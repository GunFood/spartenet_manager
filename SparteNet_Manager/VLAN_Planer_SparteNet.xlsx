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ingabe" sheetId="1" state="visible" r:id="rId3"/>
    <sheet name="Übersicht" sheetId="2" state="visible" r:id="rId4"/>
    <sheet name="Beispiele" sheetId="3" state="visible" r:id="rId5"/>
    <sheet name="VLAN-Plan" sheetId="4" state="visible" r:id="rId6"/>
    <sheet name="Geräte-IPs" sheetId="5" state="visible" r:id="rId7"/>
    <sheet name="Regeln" sheetId="6" state="visible" r:id="rId8"/>
  </sheets>
  <definedNames>
    <definedName function="false" hidden="true" localSheetId="3" name="_xlnm._FilterDatabase" vbProcedure="false">'VLAN-Plan'!$A$4:$K$2025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<sst xmlns="http://schemas.openxmlformats.org/spreadsheetml/2006/main" count="150" uniqueCount="130">
  <si>
    <t xml:space="preserve">SparteNet – VLAN-Planer: bis zu 10 Sparten an einem Gateway</t>
  </si>
  <si>
    <t xml:space="preserve">Gelbe Felder ausfüllen. Für den nächsten Gateway die Datei kopieren und die Werte ändern. Alles andere rechnet automatisch.</t>
  </si>
  <si>
    <t xml:space="preserve">Gateway-Nummer (1–254)</t>
  </si>
  <si>
    <t xml:space="preserve">nur für das Technik-Netz des Gateways selbst: 10.0.&lt;Gateway&gt;.0/24</t>
  </si>
  <si>
    <t xml:space="preserve">Gateway-Bezeichnung</t>
  </si>
  <si>
    <t xml:space="preserve">KGS Buchenweg e.V.</t>
  </si>
  <si>
    <t xml:space="preserve">WLAN-Präfix</t>
  </si>
  <si>
    <t xml:space="preserve">SparteNet.de</t>
  </si>
  <si>
    <t xml:space="preserve">WLANs: Präfix-Kürzel-Pächter, -Gäste, -Vorstand</t>
  </si>
  <si>
    <t xml:space="preserve">Steckplatz</t>
  </si>
  <si>
    <t xml:space="preserve">Sparte (Name)</t>
  </si>
  <si>
    <t xml:space="preserve">Kürzel (ohne Umlaute)</t>
  </si>
  <si>
    <t xml:space="preserve">Sparten-ID (1–254, firmenweit einmalig)</t>
  </si>
  <si>
    <t xml:space="preserve">Parzellen (1–199)</t>
  </si>
  <si>
    <t xml:space="preserve">Slots belegt</t>
  </si>
  <si>
    <t xml:space="preserve">Start-Slot</t>
  </si>
  <si>
    <t xml:space="preserve">VLAN Parzellen</t>
  </si>
  <si>
    <t xml:space="preserve">VLAN Vorstand / Gäste / Technik</t>
  </si>
  <si>
    <t xml:space="preserve">IP-Bereich</t>
  </si>
  <si>
    <t xml:space="preserve">Pächter-WLAN</t>
  </si>
  <si>
    <t xml:space="preserve">Gast-WLAN</t>
  </si>
  <si>
    <t xml:space="preserve">Netze</t>
  </si>
  <si>
    <t xml:space="preserve">Prüfung</t>
  </si>
  <si>
    <t xml:space="preserve">Beispiel Parzelle 1</t>
  </si>
  <si>
    <t xml:space="preserve">Hilfe: Start</t>
  </si>
  <si>
    <t xml:space="preserve">Hilfe: Zeilen</t>
  </si>
  <si>
    <t xml:space="preserve">BW</t>
  </si>
  <si>
    <t xml:space="preserve">Mittelweg</t>
  </si>
  <si>
    <t xml:space="preserve">MW</t>
  </si>
  <si>
    <t xml:space="preserve">Sonnenwinkel</t>
  </si>
  <si>
    <t xml:space="preserve">SW</t>
  </si>
  <si>
    <t xml:space="preserve">Sorgenfrei II</t>
  </si>
  <si>
    <t xml:space="preserve">SF2</t>
  </si>
  <si>
    <t xml:space="preserve">Slots belegt (max. 10)</t>
  </si>
  <si>
    <t xml:space="preserve">Netze gesamt am Gateway</t>
  </si>
  <si>
    <t xml:space="preserve">Parzellen gesamt</t>
  </si>
  <si>
    <t xml:space="preserve">Gesamtprüfung</t>
  </si>
  <si>
    <t xml:space="preserve">Hinweis</t>
  </si>
  <si>
    <t xml:space="preserve">Beispiel: die vier Vereine an der Straße Buchenweg (Buchenweg 62–77). Parzellenzahlen außer Buchenweg sind Schätzungen.</t>
  </si>
  <si>
    <t xml:space="preserve">Gateway (Hauptverteiler)</t>
  </si>
  <si>
    <t xml:space="preserve">255.255.255.0</t>
  </si>
  <si>
    <t xml:space="preserve">Technik des Gateways (untagged)</t>
  </si>
  <si>
    <t xml:space="preserve">Netz</t>
  </si>
  <si>
    <t xml:space="preserve">VLAN</t>
  </si>
  <si>
    <t xml:space="preserve">Netz (Subnetz)</t>
  </si>
  <si>
    <t xml:space="preserve">Subnetzmaske</t>
  </si>
  <si>
    <t xml:space="preserve">Router-IP</t>
  </si>
  <si>
    <t xml:space="preserve">Geräte-IPs (automatisch)</t>
  </si>
  <si>
    <t xml:space="preserve">WLAN und Zugang</t>
  </si>
  <si>
    <t xml:space="preserve">Beispiele zum Verständnis – so bekommt ein Gerät seine Adresse</t>
  </si>
  <si>
    <t xml:space="preserve">Ein Gerät verbindet sich mit dem WLAN und gibt ein Passwort ein. Das Passwort bestimmt das VLAN, das VLAN bestimmt das Netz und damit die IP-Adresse.</t>
  </si>
  <si>
    <t xml:space="preserve">Situation</t>
  </si>
  <si>
    <t xml:space="preserve">WLAN (SSID)</t>
  </si>
  <si>
    <t xml:space="preserve">Passwort / Anmeldung</t>
  </si>
  <si>
    <t xml:space="preserve">IP des Geräts</t>
  </si>
  <si>
    <t xml:space="preserve">Router (Gateway)</t>
  </si>
  <si>
    <t xml:space="preserve">Subnetz</t>
  </si>
  <si>
    <t xml:space="preserve">Wichtig: Zwei Parzellen mit gleicher Nummer in verschiedenen Sparten haben verschiedene VLANs (Steckplatz) und verschiedene IPs (Sparten-ID) – es gibt keine Überschneidung.</t>
  </si>
  <si>
    <t xml:space="preserve">Leere Zeilen per Filter auf Spalte „VLAN-ID“ ausblenden (Filter: nicht leer).</t>
  </si>
  <si>
    <t xml:space="preserve">Sparte</t>
  </si>
  <si>
    <t xml:space="preserve">Netzname</t>
  </si>
  <si>
    <t xml:space="preserve">Parzelle</t>
  </si>
  <si>
    <t xml:space="preserve">VLAN-ID</t>
  </si>
  <si>
    <t xml:space="preserve">Gateway-IP</t>
  </si>
  <si>
    <t xml:space="preserve">DHCP-Bereich</t>
  </si>
  <si>
    <t xml:space="preserve">Zugang</t>
  </si>
  <si>
    <t xml:space="preserve">Beispiel-IP (Gerät)</t>
  </si>
  <si>
    <t xml:space="preserve">–</t>
  </si>
  <si>
    <t xml:space="preserve">Gateway</t>
  </si>
  <si>
    <t xml:space="preserve">Technik-Gateway</t>
  </si>
  <si>
    <t xml:space="preserve">untagged: Gateway, Aggregation-Switches</t>
  </si>
  <si>
    <t xml:space="preserve">Adressen der Technik</t>
  </si>
  <si>
    <t xml:space="preserve">Gerät</t>
  </si>
  <si>
    <t xml:space="preserve">Adresse</t>
  </si>
  <si>
    <t xml:space="preserve">Standard-Gateway des Technik-Netzes</t>
  </si>
  <si>
    <t xml:space="preserve">Aggregation-Switch 1 / 2</t>
  </si>
  <si>
    <t xml:space="preserve">im Hauptverteiler</t>
  </si>
  <si>
    <t xml:space="preserve">Mast-Switch M1 / M2 / M3 (Sparte Steckplatz 1)</t>
  </si>
  <si>
    <t xml:space="preserve">Regel: Mast-Switch Mx = 10.S.250.(10 + x)</t>
  </si>
  <si>
    <t xml:space="preserve">Access Point 1 / 2 / 24 (Sparte Steckplatz 1)</t>
  </si>
  <si>
    <t xml:space="preserve">Regel: Access Point y = 10.S.250.(50 + y)</t>
  </si>
  <si>
    <t xml:space="preserve">Router der Parzelle 25 (Sparte Steckplatz 1)</t>
  </si>
  <si>
    <t xml:space="preserve">das Gateway ist in jedem Netz die .1</t>
  </si>
  <si>
    <t xml:space="preserve">Handy und Laptop in Parzelle 25</t>
  </si>
  <si>
    <t xml:space="preserve">automatisch per DHCP ab .10</t>
  </si>
  <si>
    <t xml:space="preserve">Laptop des Vorstands</t>
  </si>
  <si>
    <t xml:space="preserve">PPSK-Passwort des Vorstands</t>
  </si>
  <si>
    <t xml:space="preserve">Handy eines Gastes</t>
  </si>
  <si>
    <t xml:space="preserve">nach Voucher-Anmeldung</t>
  </si>
  <si>
    <t xml:space="preserve">Alle Werte aus den Eingaben berechnet (Gateway-Nummer und Sparten-ID der Sparte auf Steckplatz 1).</t>
  </si>
  <si>
    <t xml:space="preserve">Schema – gilt für jeden Gateway und jede Sparte gleich</t>
  </si>
  <si>
    <t xml:space="preserve">IP: alles einer Sparte liegt in 10.&lt;Sparten-ID&gt;.x.x – unabhängig vom Gateway. VLAN: eindeutig je Gateway, nach Steckplatz (Slot 1–10).</t>
  </si>
  <si>
    <t xml:space="preserve">Beispiel</t>
  </si>
  <si>
    <t xml:space="preserve">Technik-Netz Gateway</t>
  </si>
  <si>
    <t xml:space="preserve">1 (untagged)</t>
  </si>
  <si>
    <t xml:space="preserve">10.0.G.0/24</t>
  </si>
  <si>
    <t xml:space="preserve">Gateway 1: 10.0.1.0/24</t>
  </si>
  <si>
    <t xml:space="preserve">Parzelle p (1–99), Slot n</t>
  </si>
  <si>
    <t xml:space="preserve">1000 + n × 100 + p</t>
  </si>
  <si>
    <t xml:space="preserve">10.S.p.0/24</t>
  </si>
  <si>
    <t xml:space="preserve">Slot 1, Parzelle 25 → VLAN 1125, Sparte 1 → 10.1.25.0/24</t>
  </si>
  <si>
    <t xml:space="preserve">Parzelle p (100–199) einer großen Sparte</t>
  </si>
  <si>
    <t xml:space="preserve">1000 + (n+1) × 100 + (p − 100)</t>
  </si>
  <si>
    <t xml:space="preserve">große Sparte belegt 2 Slots; Parzelle 147 ab Slot 3 → VLAN 1447</t>
  </si>
  <si>
    <t xml:space="preserve">Steckplatz 10 (Sonderfall)</t>
  </si>
  <si>
    <t xml:space="preserve">3000 + p</t>
  </si>
  <si>
    <t xml:space="preserve">weil 2001–2099 schon für Dienste vergeben sind</t>
  </si>
  <si>
    <t xml:space="preserve">Vorstand, Slot n</t>
  </si>
  <si>
    <t xml:space="preserve">2000 + n × 10 + 1</t>
  </si>
  <si>
    <t xml:space="preserve">10.S.200.0/24</t>
  </si>
  <si>
    <t xml:space="preserve">Slot 1 → 2011, Slot 10 → 2101</t>
  </si>
  <si>
    <t xml:space="preserve">Gäste, Slot n</t>
  </si>
  <si>
    <t xml:space="preserve">2000 + n × 10 + 2</t>
  </si>
  <si>
    <t xml:space="preserve">10.S.201.0/24</t>
  </si>
  <si>
    <t xml:space="preserve">Slot 1 → 2012</t>
  </si>
  <si>
    <t xml:space="preserve">Technik einer Sparte, Slot n</t>
  </si>
  <si>
    <t xml:space="preserve">2000 + n × 10 + 9</t>
  </si>
  <si>
    <t xml:space="preserve">10.S.250.0/24</t>
  </si>
  <si>
    <t xml:space="preserve">Mast-Switches und Access Points</t>
  </si>
  <si>
    <t xml:space="preserve">Reserve</t>
  </si>
  <si>
    <t xml:space="preserve">2000 + n × 10 + 3 … 8</t>
  </si>
  <si>
    <t xml:space="preserve">10.S.202–249</t>
  </si>
  <si>
    <t xml:space="preserve">Kameras, Sensoren, spätere Dienste</t>
  </si>
  <si>
    <t xml:space="preserve">• Merkregel: Parzellen-VLAN = 1 · Steckplatz · Parzelle (z. B. 1125 = Steckplatz 1, Parzelle 25). Die 3. Stelle der IP ist die Parzellennummer. Namen: BW-Paz.025, BW-Vorstand, BW-Gäste, BW-Technik.</t>
  </si>
  <si>
    <t xml:space="preserve">• Die Sparten-ID ist firmenweit einmalig (1–254). So überschneiden sich keine Netze, auch wenn eine Sparte später an ein anderes Gateway umzieht: nur die VLANs ändern sich, die IP-Adressen bleiben.</t>
  </si>
  <si>
    <t xml:space="preserve">• Je Gateway bis zu 10 Slots: 10 Sparten bis 99 Parzellen, oder weniger Sparten, wenn große Sparten (100–199) dabei sind.</t>
  </si>
  <si>
    <t xml:space="preserve">• WLAN: je Sparte ein Pächter-WLAN (WPA2 mit PPSK: Passwort je Parzelle → VLAN der Parzelle) und ein Gast-WLAN, nur auf den Access Points dieser Sparte (AP-Gruppen). Alle Sparten eines Gateways liegen in einer UniFi-Site.</t>
  </si>
  <si>
    <t xml:space="preserve">• Jedes Parzellen-Netz isolieren: kein Zugriff auf andere Parzellen, Vorstand oder Technik.</t>
  </si>
  <si>
    <t xml:space="preserve">• Bei 10 Sparten à 85 Parzellen entstehen rund 880 Netze an einem Gateway. Ob ein UniFi-Gateway das schafft, vorher testen. Uplink dann etwa 5–10 Gbit/s.</t>
  </si>
  <si>
    <t xml:space="preserve">• Alternative bei zu vielen Netzen: ein Pächter-VLAN je Sparte mit Client-Isolation statt ein VLAN je Parzelle (3 Netze je Sparte). Abrechnung und Sperren bleiben über die PPSK-Passwörter möglich, aber Geräte einer Parzelle sehen sich dann gegenseitig nicht (z. B. Chromecast).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</si>
</sst>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EDE2F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name val="Arial"/>
        <charset val="1"/>
        <family val="0"/>
        <b val="1"/>
        <color rgb="FFFFFFFF"/>
      </font>
      <fill>
        <patternFill>
          <bgColor rgb="FF548235"/>
        </patternFill>
      </fill>
    </dxf>
    <dxf>
      <fill>
        <patternFill>
          <bgColor rgb="FFE2EFDA"/>
        </patternFill>
      </fill>
    </dxf>
    <dxf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2F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2F6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22"/>
    <col collapsed="false" customWidth="true" hidden="false" outlineLevel="0" max="9" min="9" style="0" width="26"/>
    <col collapsed="false" customWidth="true" hidden="false" outlineLevel="0" max="10" min="10" style="0" width="18"/>
    <col collapsed="false" customWidth="true" hidden="false" outlineLevel="0" max="11" min="11" style="0" width="22"/>
    <col collapsed="false" customWidth="true" hidden="false" outlineLevel="0" max="12" min="12" style="0" width="24"/>
    <col collapsed="false" customWidth="true" hidden="false" outlineLevel="0" max="13" min="13" style="0" width="8"/>
    <col collapsed="false" customWidth="true" hidden="false" outlineLevel="0" max="14" min="14" style="0" width="34"/>
    <col collapsed="false" customWidth="true" hidden="false" outlineLevel="0" max="15" min="15" style="0" width="40"/>
    <col collapsed="false" customWidth="true" hidden="true" outlineLevel="0" max="17" min="16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0" t="s">
        <v>2</v>
      </c>
      <c r="B4" s="3" t="n">
        <v>1</v>
      </c>
      <c r="C4" s="2" t="s">
        <v>3</v>
      </c>
    </row>
    <row r="5" customFormat="false" ht="15" hidden="false" customHeight="false" outlineLevel="0" collapsed="false">
      <c r="A5" s="0" t="s">
        <v>4</v>
      </c>
      <c r="B5" s="3" t="s">
        <v>5</v>
      </c>
    </row>
    <row r="6" customFormat="false" ht="15" hidden="false" customHeight="false" outlineLevel="0" collapsed="false">
      <c r="A6" s="0" t="s">
        <v>6</v>
      </c>
      <c r="B6" s="3" t="s">
        <v>7</v>
      </c>
      <c r="C6" s="2" t="s">
        <v>8</v>
      </c>
    </row>
    <row r="8" customFormat="false" ht="43.5" hidden="false" customHeight="true" outlineLevel="0" collapsed="false">
      <c r="A8" s="4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  <c r="K8" s="4" t="s">
        <v>19</v>
      </c>
      <c r="L8" s="4" t="s">
        <v>20</v>
      </c>
      <c r="M8" s="4" t="s">
        <v>21</v>
      </c>
      <c r="N8" s="4" t="s">
        <v>22</v>
      </c>
      <c r="O8" s="4" t="s">
        <v>23</v>
      </c>
      <c r="P8" s="2" t="s">
        <v>24</v>
      </c>
      <c r="Q8" s="2" t="s">
        <v>25</v>
      </c>
    </row>
    <row r="9" customFormat="false" ht="15" hidden="false" customHeight="false" outlineLevel="0" collapsed="false">
      <c r="A9" s="5" t="n">
        <v>1</v>
      </c>
      <c r="B9" s="3" t="s">
        <v>5</v>
      </c>
      <c r="C9" s="3" t="s">
        <v>26</v>
      </c>
      <c r="D9" s="3" t="n">
        <v>1</v>
      </c>
      <c r="E9" s="3" t="n">
        <v>85</v>
      </c>
      <c r="F9" s="6" t="n">
        <f aca="false">IF(OR(B9="",E9=""),0,IF(E9&gt;99,2,1))</f>
        <v>1</v>
      </c>
      <c r="G9" s="6" t="n">
        <f aca="false">IF(F9=0,"",1)</f>
        <v>1</v>
      </c>
      <c r="H9" s="6" t="str">
        <f aca="false">IF(F9=0,"",IF(E9&lt;=99,(IF((G9)&lt;=9,1000+(G9)*100,3000)+1)&amp;" – "&amp;(IF((G9)&lt;=9,1000+(G9)*100,3000)+E9),(IF((G9)&lt;=9,1000+(G9)*100,3000)+1)&amp;" – "&amp;(IF((G9)&lt;=9,1000+(G9)*100,3000)+99)&amp;" und "&amp;(IF((G9+1)&lt;=9,1000+(G9+1)*100,3000))&amp;" – "&amp;(IF((G9+1)&lt;=9,1000+(G9+1)*100,3000)+E9-100)))</f>
        <v>1101 – 1185</v>
      </c>
      <c r="I9" s="6" t="str">
        <f aca="false">IF(F9=0,"",(2000+G9*10+1)&amp;" / "&amp;(2000+G9*10+2)&amp;" / "&amp;(2000+G9*10+9))</f>
        <v>2011 / 2012 / 2019</v>
      </c>
      <c r="J9" s="6" t="str">
        <f aca="false">IF(F9=0,"","10."&amp;D9&amp;".0.0/16")</f>
        <v>10.1.0.0/16</v>
      </c>
      <c r="K9" s="6" t="str">
        <f aca="false">IF(F9=0,"",$B$6&amp;"-"&amp;C9&amp;"-Pächter")</f>
        <v>SparteNet.de-BW-Pächter</v>
      </c>
      <c r="L9" s="6" t="str">
        <f aca="false">IF(F9=0,"",$B$6&amp;"-"&amp;C9&amp;"-Gäste")</f>
        <v>SparteNet.de-BW-Gäste</v>
      </c>
      <c r="M9" s="6" t="n">
        <f aca="false">IF(F9=0,"",E9+3)</f>
        <v>88</v>
      </c>
      <c r="N9" s="6" t="str">
        <f aca="false">IF(F9=0,"",IF(E9&gt;199,"Fehler: max. 199 Parzellen",IF(COUNTIF($D$9:$D$18,D9)&gt;1,"Fehler: Sparten-ID doppelt",IF(OR(D9&lt;1,D9&gt;254),"Fehler: ID 1–254",IF(G9+F9-1&gt;10,"Fehler: mehr als 10 Slots","OK")))))</f>
        <v>OK</v>
      </c>
      <c r="O9" s="6" t="str">
        <f aca="false">IF(F9=0,"","Parzelle 1 → VLAN "&amp;(IF((G9)&lt;=9,1000+(G9)*100,3000)+1)&amp;" → Handy 10."&amp;D9&amp;".1.10")</f>
        <v>Parzelle 1 → VLAN 1101 → Handy 10.1.1.10</v>
      </c>
      <c r="P9" s="7" t="n">
        <f aca="false">1</f>
        <v>1</v>
      </c>
      <c r="Q9" s="7" t="n">
        <f aca="false">IF(F9=0,0,E9+5)</f>
        <v>90</v>
      </c>
    </row>
    <row r="10" customFormat="false" ht="15" hidden="false" customHeight="false" outlineLevel="0" collapsed="false">
      <c r="A10" s="5" t="n">
        <v>2</v>
      </c>
      <c r="B10" s="3" t="s">
        <v>27</v>
      </c>
      <c r="C10" s="3" t="s">
        <v>28</v>
      </c>
      <c r="D10" s="3" t="n">
        <v>2</v>
      </c>
      <c r="E10" s="3" t="n">
        <v>53</v>
      </c>
      <c r="F10" s="6" t="n">
        <f aca="false">IF(OR(B10="",E10=""),0,IF(E10&gt;99,2,1))</f>
        <v>1</v>
      </c>
      <c r="G10" s="6" t="n">
        <f aca="false">IF(F10=0,"",1+SUM($F$9:F9))</f>
        <v>2</v>
      </c>
      <c r="H10" s="6" t="str">
        <f aca="false">IF(F10=0,"",IF(E10&lt;=99,(IF((G10)&lt;=9,1000+(G10)*100,3000)+1)&amp;" – "&amp;(IF((G10)&lt;=9,1000+(G10)*100,3000)+E10),(IF((G10)&lt;=9,1000+(G10)*100,3000)+1)&amp;" – "&amp;(IF((G10)&lt;=9,1000+(G10)*100,3000)+99)&amp;" und "&amp;(IF((G10+1)&lt;=9,1000+(G10+1)*100,3000))&amp;" – "&amp;(IF((G10+1)&lt;=9,1000+(G10+1)*100,3000)+E10-100)))</f>
        <v>1201 – 1253</v>
      </c>
      <c r="I10" s="6" t="str">
        <f aca="false">IF(F10=0,"",(2000+G10*10+1)&amp;" / "&amp;(2000+G10*10+2)&amp;" / "&amp;(2000+G10*10+9))</f>
        <v>2021 / 2022 / 2029</v>
      </c>
      <c r="J10" s="6" t="str">
        <f aca="false">IF(F10=0,"","10."&amp;D10&amp;".0.0/16")</f>
        <v>10.2.0.0/16</v>
      </c>
      <c r="K10" s="6" t="str">
        <f aca="false">IF(F10=0,"",$B$6&amp;"-"&amp;C10&amp;"-Pächter")</f>
        <v>SparteNet.de-MW-Pächter</v>
      </c>
      <c r="L10" s="6" t="str">
        <f aca="false">IF(F10=0,"",$B$6&amp;"-"&amp;C10&amp;"-Gäste")</f>
        <v>SparteNet.de-MW-Gäste</v>
      </c>
      <c r="M10" s="6" t="n">
        <f aca="false">IF(F10=0,"",E10+3)</f>
        <v>56</v>
      </c>
      <c r="N10" s="6" t="str">
        <f aca="false">IF(F10=0,"",IF(E10&gt;199,"Fehler: max. 199 Parzellen",IF(COUNTIF($D$9:$D$18,D10)&gt;1,"Fehler: Sparten-ID doppelt",IF(OR(D10&lt;1,D10&gt;254),"Fehler: ID 1–254",IF(G10+F10-1&gt;10,"Fehler: mehr als 10 Slots","OK")))))</f>
        <v>OK</v>
      </c>
      <c r="O10" s="6" t="str">
        <f aca="false">IF(F10=0,"","Parzelle 1 → VLAN "&amp;(IF((G10)&lt;=9,1000+(G10)*100,3000)+1)&amp;" → Handy 10."&amp;D10&amp;".1.10")</f>
        <v>Parzelle 1 → VLAN 1201 → Handy 10.2.1.10</v>
      </c>
      <c r="P10" s="7" t="n">
        <f aca="false">P9+Q9</f>
        <v>91</v>
      </c>
      <c r="Q10" s="7" t="n">
        <f aca="false">IF(F10=0,0,E10+5)</f>
        <v>58</v>
      </c>
    </row>
    <row r="11" customFormat="false" ht="15" hidden="false" customHeight="false" outlineLevel="0" collapsed="false">
      <c r="A11" s="5" t="n">
        <v>3</v>
      </c>
      <c r="B11" s="3" t="s">
        <v>29</v>
      </c>
      <c r="C11" s="3" t="s">
        <v>30</v>
      </c>
      <c r="D11" s="3" t="n">
        <v>3</v>
      </c>
      <c r="E11" s="3" t="n">
        <v>53</v>
      </c>
      <c r="F11" s="6" t="n">
        <f aca="false">IF(OR(B11="",E11=""),0,IF(E11&gt;99,2,1))</f>
        <v>1</v>
      </c>
      <c r="G11" s="6" t="n">
        <f aca="false">IF(F11=0,"",1+SUM($F$9:F10))</f>
        <v>3</v>
      </c>
      <c r="H11" s="6" t="str">
        <f aca="false">IF(F11=0,"",IF(E11&lt;=99,(IF((G11)&lt;=9,1000+(G11)*100,3000)+1)&amp;" – "&amp;(IF((G11)&lt;=9,1000+(G11)*100,3000)+E11),(IF((G11)&lt;=9,1000+(G11)*100,3000)+1)&amp;" – "&amp;(IF((G11)&lt;=9,1000+(G11)*100,3000)+99)&amp;" und "&amp;(IF((G11+1)&lt;=9,1000+(G11+1)*100,3000))&amp;" – "&amp;(IF((G11+1)&lt;=9,1000+(G11+1)*100,3000)+E11-100)))</f>
        <v>1301 – 1353</v>
      </c>
      <c r="I11" s="6" t="str">
        <f aca="false">IF(F11=0,"",(2000+G11*10+1)&amp;" / "&amp;(2000+G11*10+2)&amp;" / "&amp;(2000+G11*10+9))</f>
        <v>2031 / 2032 / 2039</v>
      </c>
      <c r="J11" s="6" t="str">
        <f aca="false">IF(F11=0,"","10."&amp;D11&amp;".0.0/16")</f>
        <v>10.3.0.0/16</v>
      </c>
      <c r="K11" s="6" t="str">
        <f aca="false">IF(F11=0,"",$B$6&amp;"-"&amp;C11&amp;"-Pächter")</f>
        <v>SparteNet.de-SW-Pächter</v>
      </c>
      <c r="L11" s="6" t="str">
        <f aca="false">IF(F11=0,"",$B$6&amp;"-"&amp;C11&amp;"-Gäste")</f>
        <v>SparteNet.de-SW-Gäste</v>
      </c>
      <c r="M11" s="6" t="n">
        <f aca="false">IF(F11=0,"",E11+3)</f>
        <v>56</v>
      </c>
      <c r="N11" s="6" t="str">
        <f aca="false">IF(F11=0,"",IF(E11&gt;199,"Fehler: max. 199 Parzellen",IF(COUNTIF($D$9:$D$18,D11)&gt;1,"Fehler: Sparten-ID doppelt",IF(OR(D11&lt;1,D11&gt;254),"Fehler: ID 1–254",IF(G11+F11-1&gt;10,"Fehler: mehr als 10 Slots","OK")))))</f>
        <v>OK</v>
      </c>
      <c r="O11" s="6" t="str">
        <f aca="false">IF(F11=0,"","Parzelle 1 → VLAN "&amp;(IF((G11)&lt;=9,1000+(G11)*100,3000)+1)&amp;" → Handy 10."&amp;D11&amp;".1.10")</f>
        <v>Parzelle 1 → VLAN 1301 → Handy 10.3.1.10</v>
      </c>
      <c r="P11" s="7" t="n">
        <f aca="false">P10+Q10</f>
        <v>149</v>
      </c>
      <c r="Q11" s="7" t="n">
        <f aca="false">IF(F11=0,0,E11+5)</f>
        <v>58</v>
      </c>
    </row>
    <row r="12" customFormat="false" ht="15" hidden="false" customHeight="false" outlineLevel="0" collapsed="false">
      <c r="A12" s="5" t="n">
        <v>4</v>
      </c>
      <c r="B12" s="3" t="s">
        <v>31</v>
      </c>
      <c r="C12" s="3" t="s">
        <v>32</v>
      </c>
      <c r="D12" s="3" t="n">
        <v>4</v>
      </c>
      <c r="E12" s="3" t="n">
        <v>53</v>
      </c>
      <c r="F12" s="6" t="n">
        <f aca="false">IF(OR(B12="",E12=""),0,IF(E12&gt;99,2,1))</f>
        <v>1</v>
      </c>
      <c r="G12" s="6" t="n">
        <f aca="false">IF(F12=0,"",1+SUM($F$9:F11))</f>
        <v>4</v>
      </c>
      <c r="H12" s="6" t="str">
        <f aca="false">IF(F12=0,"",IF(E12&lt;=99,(IF((G12)&lt;=9,1000+(G12)*100,3000)+1)&amp;" – "&amp;(IF((G12)&lt;=9,1000+(G12)*100,3000)+E12),(IF((G12)&lt;=9,1000+(G12)*100,3000)+1)&amp;" – "&amp;(IF((G12)&lt;=9,1000+(G12)*100,3000)+99)&amp;" und "&amp;(IF((G12+1)&lt;=9,1000+(G12+1)*100,3000))&amp;" – "&amp;(IF((G12+1)&lt;=9,1000+(G12+1)*100,3000)+E12-100)))</f>
        <v>1401 – 1453</v>
      </c>
      <c r="I12" s="6" t="str">
        <f aca="false">IF(F12=0,"",(2000+G12*10+1)&amp;" / "&amp;(2000+G12*10+2)&amp;" / "&amp;(2000+G12*10+9))</f>
        <v>2041 / 2042 / 2049</v>
      </c>
      <c r="J12" s="6" t="str">
        <f aca="false">IF(F12=0,"","10."&amp;D12&amp;".0.0/16")</f>
        <v>10.4.0.0/16</v>
      </c>
      <c r="K12" s="6" t="str">
        <f aca="false">IF(F12=0,"",$B$6&amp;"-"&amp;C12&amp;"-Pächter")</f>
        <v>SparteNet.de-SF2-Pächter</v>
      </c>
      <c r="L12" s="6" t="str">
        <f aca="false">IF(F12=0,"",$B$6&amp;"-"&amp;C12&amp;"-Gäste")</f>
        <v>SparteNet.de-SF2-Gäste</v>
      </c>
      <c r="M12" s="6" t="n">
        <f aca="false">IF(F12=0,"",E12+3)</f>
        <v>56</v>
      </c>
      <c r="N12" s="6" t="str">
        <f aca="false">IF(F12=0,"",IF(E12&gt;199,"Fehler: max. 199 Parzellen",IF(COUNTIF($D$9:$D$18,D12)&gt;1,"Fehler: Sparten-ID doppelt",IF(OR(D12&lt;1,D12&gt;254),"Fehler: ID 1–254",IF(G12+F12-1&gt;10,"Fehler: mehr als 10 Slots","OK")))))</f>
        <v>OK</v>
      </c>
      <c r="O12" s="6" t="str">
        <f aca="false">IF(F12=0,"","Parzelle 1 → VLAN "&amp;(IF((G12)&lt;=9,1000+(G12)*100,3000)+1)&amp;" → Handy 10."&amp;D12&amp;".1.10")</f>
        <v>Parzelle 1 → VLAN 1401 → Handy 10.4.1.10</v>
      </c>
      <c r="P12" s="7" t="n">
        <f aca="false">P11+Q11</f>
        <v>207</v>
      </c>
      <c r="Q12" s="7" t="n">
        <f aca="false">IF(F12=0,0,E12+5)</f>
        <v>58</v>
      </c>
    </row>
    <row r="13" customFormat="false" ht="15" hidden="false" customHeight="false" outlineLevel="0" collapsed="false">
      <c r="A13" s="5" t="n">
        <v>5</v>
      </c>
      <c r="B13" s="3"/>
      <c r="C13" s="3"/>
      <c r="D13" s="3"/>
      <c r="E13" s="3"/>
      <c r="F13" s="6" t="n">
        <f aca="false">IF(OR(B13="",E13=""),0,IF(E13&gt;99,2,1))</f>
        <v>0</v>
      </c>
      <c r="G13" s="6" t="str">
        <f aca="false">IF(F13=0,"",1+SUM($F$9:F12))</f>
        <v/>
      </c>
      <c r="H13" s="6" t="str">
        <f aca="false">IF(F13=0,"",IF(E13&lt;=99,(IF((G13)&lt;=9,1000+(G13)*100,3000)+1)&amp;" – "&amp;(IF((G13)&lt;=9,1000+(G13)*100,3000)+E13),(IF((G13)&lt;=9,1000+(G13)*100,3000)+1)&amp;" – "&amp;(IF((G13)&lt;=9,1000+(G13)*100,3000)+99)&amp;" und "&amp;(IF((G13+1)&lt;=9,1000+(G13+1)*100,3000))&amp;" – "&amp;(IF((G13+1)&lt;=9,1000+(G13+1)*100,3000)+E13-100)))</f>
        <v/>
      </c>
      <c r="I13" s="6" t="str">
        <f aca="false">IF(F13=0,"",(2000+G13*10+1)&amp;" / "&amp;(2000+G13*10+2)&amp;" / "&amp;(2000+G13*10+9))</f>
        <v/>
      </c>
      <c r="J13" s="6" t="str">
        <f aca="false">IF(F13=0,"","10."&amp;D13&amp;".0.0/16")</f>
        <v/>
      </c>
      <c r="K13" s="6" t="str">
        <f aca="false">IF(F13=0,"",$B$6&amp;"-"&amp;C13&amp;"-Pächter")</f>
        <v/>
      </c>
      <c r="L13" s="6" t="str">
        <f aca="false">IF(F13=0,"",$B$6&amp;"-"&amp;C13&amp;"-Gäste")</f>
        <v/>
      </c>
      <c r="M13" s="6" t="str">
        <f aca="false">IF(F13=0,"",E13+3)</f>
        <v/>
      </c>
      <c r="N13" s="6" t="str">
        <f aca="false">IF(F13=0,"",IF(E13&gt;199,"Fehler: max. 199 Parzellen",IF(COUNTIF($D$9:$D$18,D13)&gt;1,"Fehler: Sparten-ID doppelt",IF(OR(D13&lt;1,D13&gt;254),"Fehler: ID 1–254",IF(G13+F13-1&gt;10,"Fehler: mehr als 10 Slots","OK")))))</f>
        <v/>
      </c>
      <c r="O13" s="6" t="str">
        <f aca="false">IF(F13=0,"","Parzelle 1 → VLAN "&amp;(IF((G13)&lt;=9,1000+(G13)*100,3000)+1)&amp;" → Handy 10."&amp;D13&amp;".1.10")</f>
        <v/>
      </c>
      <c r="P13" s="7" t="n">
        <f aca="false">P12+Q12</f>
        <v>265</v>
      </c>
      <c r="Q13" s="7" t="n">
        <f aca="false">IF(F13=0,0,E13+5)</f>
        <v>0</v>
      </c>
    </row>
    <row r="14" customFormat="false" ht="15" hidden="false" customHeight="false" outlineLevel="0" collapsed="false">
      <c r="A14" s="5" t="n">
        <v>6</v>
      </c>
      <c r="B14" s="3"/>
      <c r="C14" s="3"/>
      <c r="D14" s="3"/>
      <c r="E14" s="3"/>
      <c r="F14" s="6" t="n">
        <f aca="false">IF(OR(B14="",E14=""),0,IF(E14&gt;99,2,1))</f>
        <v>0</v>
      </c>
      <c r="G14" s="6" t="str">
        <f aca="false">IF(F14=0,"",1+SUM($F$9:F13))</f>
        <v/>
      </c>
      <c r="H14" s="6" t="str">
        <f aca="false">IF(F14=0,"",IF(E14&lt;=99,(IF((G14)&lt;=9,1000+(G14)*100,3000)+1)&amp;" – "&amp;(IF((G14)&lt;=9,1000+(G14)*100,3000)+E14),(IF((G14)&lt;=9,1000+(G14)*100,3000)+1)&amp;" – "&amp;(IF((G14)&lt;=9,1000+(G14)*100,3000)+99)&amp;" und "&amp;(IF((G14+1)&lt;=9,1000+(G14+1)*100,3000))&amp;" – "&amp;(IF((G14+1)&lt;=9,1000+(G14+1)*100,3000)+E14-100)))</f>
        <v/>
      </c>
      <c r="I14" s="6" t="str">
        <f aca="false">IF(F14=0,"",(2000+G14*10+1)&amp;" / "&amp;(2000+G14*10+2)&amp;" / "&amp;(2000+G14*10+9))</f>
        <v/>
      </c>
      <c r="J14" s="6" t="str">
        <f aca="false">IF(F14=0,"","10."&amp;D14&amp;".0.0/16")</f>
        <v/>
      </c>
      <c r="K14" s="6" t="str">
        <f aca="false">IF(F14=0,"",$B$6&amp;"-"&amp;C14&amp;"-Pächter")</f>
        <v/>
      </c>
      <c r="L14" s="6" t="str">
        <f aca="false">IF(F14=0,"",$B$6&amp;"-"&amp;C14&amp;"-Gäste")</f>
        <v/>
      </c>
      <c r="M14" s="6" t="str">
        <f aca="false">IF(F14=0,"",E14+3)</f>
        <v/>
      </c>
      <c r="N14" s="6" t="str">
        <f aca="false">IF(F14=0,"",IF(E14&gt;199,"Fehler: max. 199 Parzellen",IF(COUNTIF($D$9:$D$18,D14)&gt;1,"Fehler: Sparten-ID doppelt",IF(OR(D14&lt;1,D14&gt;254),"Fehler: ID 1–254",IF(G14+F14-1&gt;10,"Fehler: mehr als 10 Slots","OK")))))</f>
        <v/>
      </c>
      <c r="O14" s="6" t="str">
        <f aca="false">IF(F14=0,"","Parzelle 1 → VLAN "&amp;(IF((G14)&lt;=9,1000+(G14)*100,3000)+1)&amp;" → Handy 10."&amp;D14&amp;".1.10")</f>
        <v/>
      </c>
      <c r="P14" s="7" t="n">
        <f aca="false">P13+Q13</f>
        <v>265</v>
      </c>
      <c r="Q14" s="7" t="n">
        <f aca="false">IF(F14=0,0,E14+5)</f>
        <v>0</v>
      </c>
    </row>
    <row r="15" customFormat="false" ht="15" hidden="false" customHeight="false" outlineLevel="0" collapsed="false">
      <c r="A15" s="5" t="n">
        <v>7</v>
      </c>
      <c r="B15" s="3"/>
      <c r="C15" s="3"/>
      <c r="D15" s="3"/>
      <c r="E15" s="3"/>
      <c r="F15" s="6" t="n">
        <f aca="false">IF(OR(B15="",E15=""),0,IF(E15&gt;99,2,1))</f>
        <v>0</v>
      </c>
      <c r="G15" s="6" t="str">
        <f aca="false">IF(F15=0,"",1+SUM($F$9:F14))</f>
        <v/>
      </c>
      <c r="H15" s="6" t="str">
        <f aca="false">IF(F15=0,"",IF(E15&lt;=99,(IF((G15)&lt;=9,1000+(G15)*100,3000)+1)&amp;" – "&amp;(IF((G15)&lt;=9,1000+(G15)*100,3000)+E15),(IF((G15)&lt;=9,1000+(G15)*100,3000)+1)&amp;" – "&amp;(IF((G15)&lt;=9,1000+(G15)*100,3000)+99)&amp;" und "&amp;(IF((G15+1)&lt;=9,1000+(G15+1)*100,3000))&amp;" – "&amp;(IF((G15+1)&lt;=9,1000+(G15+1)*100,3000)+E15-100)))</f>
        <v/>
      </c>
      <c r="I15" s="6" t="str">
        <f aca="false">IF(F15=0,"",(2000+G15*10+1)&amp;" / "&amp;(2000+G15*10+2)&amp;" / "&amp;(2000+G15*10+9))</f>
        <v/>
      </c>
      <c r="J15" s="6" t="str">
        <f aca="false">IF(F15=0,"","10."&amp;D15&amp;".0.0/16")</f>
        <v/>
      </c>
      <c r="K15" s="6" t="str">
        <f aca="false">IF(F15=0,"",$B$6&amp;"-"&amp;C15&amp;"-Pächter")</f>
        <v/>
      </c>
      <c r="L15" s="6" t="str">
        <f aca="false">IF(F15=0,"",$B$6&amp;"-"&amp;C15&amp;"-Gäste")</f>
        <v/>
      </c>
      <c r="M15" s="6" t="str">
        <f aca="false">IF(F15=0,"",E15+3)</f>
        <v/>
      </c>
      <c r="N15" s="6" t="str">
        <f aca="false">IF(F15=0,"",IF(E15&gt;199,"Fehler: max. 199 Parzellen",IF(COUNTIF($D$9:$D$18,D15)&gt;1,"Fehler: Sparten-ID doppelt",IF(OR(D15&lt;1,D15&gt;254),"Fehler: ID 1–254",IF(G15+F15-1&gt;10,"Fehler: mehr als 10 Slots","OK")))))</f>
        <v/>
      </c>
      <c r="O15" s="6" t="str">
        <f aca="false">IF(F15=0,"","Parzelle 1 → VLAN "&amp;(IF((G15)&lt;=9,1000+(G15)*100,3000)+1)&amp;" → Handy 10."&amp;D15&amp;".1.10")</f>
        <v/>
      </c>
      <c r="P15" s="7" t="n">
        <f aca="false">P14+Q14</f>
        <v>265</v>
      </c>
      <c r="Q15" s="7" t="n">
        <f aca="false">IF(F15=0,0,E15+5)</f>
        <v>0</v>
      </c>
    </row>
    <row r="16" customFormat="false" ht="15" hidden="false" customHeight="false" outlineLevel="0" collapsed="false">
      <c r="A16" s="5" t="n">
        <v>8</v>
      </c>
      <c r="B16" s="3"/>
      <c r="C16" s="3"/>
      <c r="D16" s="3"/>
      <c r="E16" s="3"/>
      <c r="F16" s="6" t="n">
        <f aca="false">IF(OR(B16="",E16=""),0,IF(E16&gt;99,2,1))</f>
        <v>0</v>
      </c>
      <c r="G16" s="6" t="str">
        <f aca="false">IF(F16=0,"",1+SUM($F$9:F15))</f>
        <v/>
      </c>
      <c r="H16" s="6" t="str">
        <f aca="false">IF(F16=0,"",IF(E16&lt;=99,(IF((G16)&lt;=9,1000+(G16)*100,3000)+1)&amp;" – "&amp;(IF((G16)&lt;=9,1000+(G16)*100,3000)+E16),(IF((G16)&lt;=9,1000+(G16)*100,3000)+1)&amp;" – "&amp;(IF((G16)&lt;=9,1000+(G16)*100,3000)+99)&amp;" und "&amp;(IF((G16+1)&lt;=9,1000+(G16+1)*100,3000))&amp;" – "&amp;(IF((G16+1)&lt;=9,1000+(G16+1)*100,3000)+E16-100)))</f>
        <v/>
      </c>
      <c r="I16" s="6" t="str">
        <f aca="false">IF(F16=0,"",(2000+G16*10+1)&amp;" / "&amp;(2000+G16*10+2)&amp;" / "&amp;(2000+G16*10+9))</f>
        <v/>
      </c>
      <c r="J16" s="6" t="str">
        <f aca="false">IF(F16=0,"","10."&amp;D16&amp;".0.0/16")</f>
        <v/>
      </c>
      <c r="K16" s="6" t="str">
        <f aca="false">IF(F16=0,"",$B$6&amp;"-"&amp;C16&amp;"-Pächter")</f>
        <v/>
      </c>
      <c r="L16" s="6" t="str">
        <f aca="false">IF(F16=0,"",$B$6&amp;"-"&amp;C16&amp;"-Gäste")</f>
        <v/>
      </c>
      <c r="M16" s="6" t="str">
        <f aca="false">IF(F16=0,"",E16+3)</f>
        <v/>
      </c>
      <c r="N16" s="6" t="str">
        <f aca="false">IF(F16=0,"",IF(E16&gt;199,"Fehler: max. 199 Parzellen",IF(COUNTIF($D$9:$D$18,D16)&gt;1,"Fehler: Sparten-ID doppelt",IF(OR(D16&lt;1,D16&gt;254),"Fehler: ID 1–254",IF(G16+F16-1&gt;10,"Fehler: mehr als 10 Slots","OK")))))</f>
        <v/>
      </c>
      <c r="O16" s="6" t="str">
        <f aca="false">IF(F16=0,"","Parzelle 1 → VLAN "&amp;(IF((G16)&lt;=9,1000+(G16)*100,3000)+1)&amp;" → Handy 10."&amp;D16&amp;".1.10")</f>
        <v/>
      </c>
      <c r="P16" s="7" t="n">
        <f aca="false">P15+Q15</f>
        <v>265</v>
      </c>
      <c r="Q16" s="7" t="n">
        <f aca="false">IF(F16=0,0,E16+5)</f>
        <v>0</v>
      </c>
    </row>
    <row r="17" customFormat="false" ht="15" hidden="false" customHeight="false" outlineLevel="0" collapsed="false">
      <c r="A17" s="5" t="n">
        <v>9</v>
      </c>
      <c r="B17" s="3"/>
      <c r="C17" s="3"/>
      <c r="D17" s="3"/>
      <c r="E17" s="3"/>
      <c r="F17" s="6" t="n">
        <f aca="false">IF(OR(B17="",E17=""),0,IF(E17&gt;99,2,1))</f>
        <v>0</v>
      </c>
      <c r="G17" s="6" t="str">
        <f aca="false">IF(F17=0,"",1+SUM($F$9:F16))</f>
        <v/>
      </c>
      <c r="H17" s="6" t="str">
        <f aca="false">IF(F17=0,"",IF(E17&lt;=99,(IF((G17)&lt;=9,1000+(G17)*100,3000)+1)&amp;" – "&amp;(IF((G17)&lt;=9,1000+(G17)*100,3000)+E17),(IF((G17)&lt;=9,1000+(G17)*100,3000)+1)&amp;" – "&amp;(IF((G17)&lt;=9,1000+(G17)*100,3000)+99)&amp;" und "&amp;(IF((G17+1)&lt;=9,1000+(G17+1)*100,3000))&amp;" – "&amp;(IF((G17+1)&lt;=9,1000+(G17+1)*100,3000)+E17-100)))</f>
        <v/>
      </c>
      <c r="I17" s="6" t="str">
        <f aca="false">IF(F17=0,"",(2000+G17*10+1)&amp;" / "&amp;(2000+G17*10+2)&amp;" / "&amp;(2000+G17*10+9))</f>
        <v/>
      </c>
      <c r="J17" s="6" t="str">
        <f aca="false">IF(F17=0,"","10."&amp;D17&amp;".0.0/16")</f>
        <v/>
      </c>
      <c r="K17" s="6" t="str">
        <f aca="false">IF(F17=0,"",$B$6&amp;"-"&amp;C17&amp;"-Pächter")</f>
        <v/>
      </c>
      <c r="L17" s="6" t="str">
        <f aca="false">IF(F17=0,"",$B$6&amp;"-"&amp;C17&amp;"-Gäste")</f>
        <v/>
      </c>
      <c r="M17" s="6" t="str">
        <f aca="false">IF(F17=0,"",E17+3)</f>
        <v/>
      </c>
      <c r="N17" s="6" t="str">
        <f aca="false">IF(F17=0,"",IF(E17&gt;199,"Fehler: max. 199 Parzellen",IF(COUNTIF($D$9:$D$18,D17)&gt;1,"Fehler: Sparten-ID doppelt",IF(OR(D17&lt;1,D17&gt;254),"Fehler: ID 1–254",IF(G17+F17-1&gt;10,"Fehler: mehr als 10 Slots","OK")))))</f>
        <v/>
      </c>
      <c r="O17" s="6" t="str">
        <f aca="false">IF(F17=0,"","Parzelle 1 → VLAN "&amp;(IF((G17)&lt;=9,1000+(G17)*100,3000)+1)&amp;" → Handy 10."&amp;D17&amp;".1.10")</f>
        <v/>
      </c>
      <c r="P17" s="7" t="n">
        <f aca="false">P16+Q16</f>
        <v>265</v>
      </c>
      <c r="Q17" s="7" t="n">
        <f aca="false">IF(F17=0,0,E17+5)</f>
        <v>0</v>
      </c>
    </row>
    <row r="18" customFormat="false" ht="15" hidden="false" customHeight="false" outlineLevel="0" collapsed="false">
      <c r="A18" s="5" t="n">
        <v>10</v>
      </c>
      <c r="B18" s="3"/>
      <c r="C18" s="3"/>
      <c r="D18" s="3"/>
      <c r="E18" s="3"/>
      <c r="F18" s="6" t="n">
        <f aca="false">IF(OR(B18="",E18=""),0,IF(E18&gt;99,2,1))</f>
        <v>0</v>
      </c>
      <c r="G18" s="6" t="str">
        <f aca="false">IF(F18=0,"",1+SUM($F$9:F17))</f>
        <v/>
      </c>
      <c r="H18" s="6" t="str">
        <f aca="false">IF(F18=0,"",IF(E18&lt;=99,(IF((G18)&lt;=9,1000+(G18)*100,3000)+1)&amp;" – "&amp;(IF((G18)&lt;=9,1000+(G18)*100,3000)+E18),(IF((G18)&lt;=9,1000+(G18)*100,3000)+1)&amp;" – "&amp;(IF((G18)&lt;=9,1000+(G18)*100,3000)+99)&amp;" und "&amp;(IF((G18+1)&lt;=9,1000+(G18+1)*100,3000))&amp;" – "&amp;(IF((G18+1)&lt;=9,1000+(G18+1)*100,3000)+E18-100)))</f>
        <v/>
      </c>
      <c r="I18" s="6" t="str">
        <f aca="false">IF(F18=0,"",(2000+G18*10+1)&amp;" / "&amp;(2000+G18*10+2)&amp;" / "&amp;(2000+G18*10+9))</f>
        <v/>
      </c>
      <c r="J18" s="6" t="str">
        <f aca="false">IF(F18=0,"","10."&amp;D18&amp;".0.0/16")</f>
        <v/>
      </c>
      <c r="K18" s="6" t="str">
        <f aca="false">IF(F18=0,"",$B$6&amp;"-"&amp;C18&amp;"-Pächter")</f>
        <v/>
      </c>
      <c r="L18" s="6" t="str">
        <f aca="false">IF(F18=0,"",$B$6&amp;"-"&amp;C18&amp;"-Gäste")</f>
        <v/>
      </c>
      <c r="M18" s="6" t="str">
        <f aca="false">IF(F18=0,"",E18+3)</f>
        <v/>
      </c>
      <c r="N18" s="6" t="str">
        <f aca="false">IF(F18=0,"",IF(E18&gt;199,"Fehler: max. 199 Parzellen",IF(COUNTIF($D$9:$D$18,D18)&gt;1,"Fehler: Sparten-ID doppelt",IF(OR(D18&lt;1,D18&gt;254),"Fehler: ID 1–254",IF(G18+F18-1&gt;10,"Fehler: mehr als 10 Slots","OK")))))</f>
        <v/>
      </c>
      <c r="O18" s="6" t="str">
        <f aca="false">IF(F18=0,"","Parzelle 1 → VLAN "&amp;(IF((G18)&lt;=9,1000+(G18)*100,3000)+1)&amp;" → Handy 10."&amp;D18&amp;".1.10")</f>
        <v/>
      </c>
      <c r="P18" s="7" t="n">
        <f aca="false">P17+Q17</f>
        <v>265</v>
      </c>
      <c r="Q18" s="7" t="n">
        <f aca="false">IF(F18=0,0,E18+5)</f>
        <v>0</v>
      </c>
    </row>
    <row r="20" customFormat="false" ht="15" hidden="false" customHeight="false" outlineLevel="0" collapsed="false">
      <c r="A20" s="8" t="s">
        <v>33</v>
      </c>
      <c r="B20" s="8" t="n">
        <f aca="false">SUM(F9:F18)</f>
        <v>4</v>
      </c>
    </row>
    <row r="21" customFormat="false" ht="15" hidden="false" customHeight="false" outlineLevel="0" collapsed="false">
      <c r="A21" s="8" t="s">
        <v>34</v>
      </c>
      <c r="B21" s="8" t="n">
        <f aca="false">SUM(M9:M18)+1</f>
        <v>257</v>
      </c>
    </row>
    <row r="22" customFormat="false" ht="15" hidden="false" customHeight="false" outlineLevel="0" collapsed="false">
      <c r="A22" s="8" t="s">
        <v>35</v>
      </c>
      <c r="B22" s="8" t="n">
        <f aca="false">SUM(E9:E18)</f>
        <v>244</v>
      </c>
    </row>
    <row r="23" customFormat="false" ht="15" hidden="false" customHeight="false" outlineLevel="0" collapsed="false">
      <c r="A23" s="8" t="s">
        <v>36</v>
      </c>
      <c r="B23" s="9" t="str">
        <f aca="false">IF(B20&gt;10,"Fehler: mehr als 10 Slots",IF(COUNTIF(N9:N18,"Fehler*")&gt;0,"Fehler in Tabelle","OK"))</f>
        <v>OK</v>
      </c>
    </row>
    <row r="24" customFormat="false" ht="15" hidden="false" customHeight="false" outlineLevel="0" collapsed="false">
      <c r="A24" s="8" t="s">
        <v>37</v>
      </c>
      <c r="B24" s="9" t="str">
        <f aca="false">IF(B21&gt;300,"Mehr als 300 Netze: Gateway-Leistung vorher testen, ggf. größeres Gateway","")</f>
        <v/>
      </c>
    </row>
    <row r="26" customFormat="false" ht="15" hidden="false" customHeight="false" outlineLevel="0" collapsed="false">
      <c r="A26" s="2" t="s">
        <v>38</v>
      </c>
    </row>
  </sheetData>
  <dataValidations count="2">
    <dataValidation allowBlank="true" errorStyle="stop" operator="between" showDropDown="false" showErrorMessage="false" showInputMessage="false" sqref="E9:E18" type="whole">
      <formula1>1</formula1>
      <formula2>199</formula2>
    </dataValidation>
    <dataValidation allowBlank="true" errorStyle="stop" operator="between" showDropDown="false" showErrorMessage="false" showInputMessage="false" sqref="D9:D18" type="whole">
      <formula1>1</formula1>
      <formula2>254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true" outlineLevel="0" max="11" min="9" style="0" width="13"/>
  </cols>
  <sheetData>
    <row r="1" customFormat="false" ht="17.35" hidden="false" customHeight="false" outlineLevel="0" collapsed="false">
      <c r="A1" s="1" t="str">
        <f aca="false">"IP-Plan "&amp;Eingabe!$B$5</f>
        <v>IP-Plan KGS Buchenweg e.V.</v>
      </c>
    </row>
    <row r="3" customFormat="false" ht="15" hidden="false" customHeight="false" outlineLevel="0" collapsed="false">
      <c r="A3" s="10" t="s">
        <v>39</v>
      </c>
      <c r="B3" s="11" t="n">
        <v>1</v>
      </c>
      <c r="C3" s="11" t="str">
        <f aca="false">"10.0."&amp;Eingabe!$B$4&amp;".0/24"</f>
        <v>10.0.1.0/24</v>
      </c>
      <c r="D3" s="11" t="s">
        <v>40</v>
      </c>
      <c r="E3" s="11" t="str">
        <f aca="false">"10.0."&amp;Eingabe!$B$4&amp;".1"</f>
        <v>10.0.1.1</v>
      </c>
      <c r="F3" s="11" t="str">
        <f aca="false">"10.0."&amp;Eingabe!$B$4&amp;".2 – .50"</f>
        <v>10.0.1.2 – .50</v>
      </c>
      <c r="G3" s="11" t="s">
        <v>41</v>
      </c>
    </row>
    <row r="5" customFormat="false" ht="15" hidden="false" customHeight="false" outlineLevel="0" collapsed="false">
      <c r="A5" s="12" t="s">
        <v>42</v>
      </c>
      <c r="B5" s="12" t="s">
        <v>43</v>
      </c>
      <c r="C5" s="12" t="s">
        <v>44</v>
      </c>
      <c r="D5" s="12" t="s">
        <v>45</v>
      </c>
      <c r="E5" s="12" t="s">
        <v>46</v>
      </c>
      <c r="F5" s="12" t="s">
        <v>47</v>
      </c>
      <c r="G5" s="12" t="s">
        <v>48</v>
      </c>
    </row>
    <row r="6" customFormat="false" ht="15" hidden="false" customHeight="false" outlineLevel="0" collapsed="false">
      <c r="A6" s="0" t="str">
        <f aca="false">IF(I6="","",IF(J6=0,"Sparte "&amp;I6&amp;": "&amp;INDEX(Eingabe!$B$9:$B$18,I6)&amp;"  (Sparten-ID "&amp;INDEX(Eingabe!$D$9:$D$18,I6)&amp;", "&amp;K6&amp;" Parzellen)",IF(J6&lt;=K6,"   Parzelle "&amp;J6,IF(J6=K6+1,"   Vorstand",IF(J6=K6+2,"   Gäste",IF(J6=K6+3,"   Technik (Switches, Access Points)",""))))))</f>
        <v>Sparte 1: KGS Buchenweg e.V.  (Sparten-ID 1, 85 Parzellen)</v>
      </c>
      <c r="B6" s="0" t="str">
        <f aca="false">IF(I6="","",IF(AND(J6&gt;=1,J6&lt;=K6+3),IF(J6&lt;=K6,IF(J6&lt;=99,IF((INDEX(Eingabe!$G$9:$G$18,I6))&lt;=9,1000+(INDEX(Eingabe!$G$9:$G$18,I6))*100,3000)+J6,IF((INDEX(Eingabe!$G$9:$G$18,I6)+1)&lt;=9,1000+(INDEX(Eingabe!$G$9:$G$18,I6)+1)*100,3000)+J6-100),IF(J6=K6+1,2000+INDEX(Eingabe!$G$9:$G$18,I6)*10+1,IF(J6=K6+2,2000+INDEX(Eingabe!$G$9:$G$18,I6)*10+2,2000+INDEX(Eingabe!$G$9:$G$18,I6)*10+9))),""))</f>
        <v/>
      </c>
      <c r="C6" s="0" t="str">
        <f aca="false">IF(I6="","",IF(AND(J6&gt;=1,J6&lt;=K6+3),"10."&amp;INDEX(Eingabe!$D$9:$D$18,I6)&amp;"."&amp;IF(J6&lt;=K6,J6,IF(J6=K6+1,200,IF(J6=K6+2,201,250)))&amp;".0/24",""))</f>
        <v/>
      </c>
      <c r="D6" s="0" t="str">
        <f aca="false">IF(I6="","",IF(AND(J6&gt;=1,J6&lt;=K6+3),"255.255.255.0",""))</f>
        <v/>
      </c>
      <c r="E6" s="0" t="str">
        <f aca="false">IF(I6="","",IF(AND(J6&gt;=1,J6&lt;=K6+3),"10."&amp;INDEX(Eingabe!$D$9:$D$18,I6)&amp;"."&amp;IF(J6&lt;=K6,J6,IF(J6=K6+1,200,IF(J6=K6+2,201,250)))&amp;".1",""))</f>
        <v/>
      </c>
      <c r="F6" s="0" t="str">
        <f aca="false">IF(I6="","",IF(AND(J6&gt;=1,J6&lt;=K6+3),"10."&amp;INDEX(Eingabe!$D$9:$D$18,I6)&amp;"."&amp;IF(J6&lt;=K6,J6,IF(J6=K6+1,200,IF(J6=K6+2,201,250)))&amp;".10 – 10."&amp;INDEX(Eingabe!$D$9:$D$18,I6)&amp;"."&amp;IF(J6&lt;=K6,J6,IF(J6=K6+1,200,IF(J6=K6+2,201,250)))&amp;".250",""))</f>
        <v/>
      </c>
      <c r="G6" s="0" t="str">
        <f aca="false">IF(I6="","",IF(AND(J6&gt;=1,J6&lt;=K6),Eingabe!$B$6&amp;"-"&amp;INDEX(Eingabe!$C$9:$C$18,I6)&amp;"-Pächter  ·  Passwort Parzelle "&amp;J6,IF(J6=K6+1,Eingabe!$B$6&amp;"-"&amp;INDEX(Eingabe!$C$9:$C$18,I6)&amp;"-Vorstand  ·  eigenes WLAN",IF(J6=K6+2,Eingabe!$B$6&amp;"-"&amp;INDEX(Eingabe!$C$9:$C$18,I6)&amp;"-Gäste  ·  Voucher",IF(J6=K6+3,"Kabel  ·  Access Point y = .(50+y), Mast-Switch x = .(10+x)","")))))</f>
        <v/>
      </c>
      <c r="I6" s="7" t="n">
        <f aca="false">IF(1&lt;=(Eingabe!$P$18+Eingabe!$Q$18-1),MATCH(1,Eingabe!$P$9:$P$18,1),"")</f>
        <v>1</v>
      </c>
      <c r="J6" s="7" t="n">
        <f aca="false">IF(I6="","",1-INDEX(Eingabe!$P$9:$P$18,I6))</f>
        <v>0</v>
      </c>
      <c r="K6" s="7" t="n">
        <f aca="false">IF(I6="","",INDEX(Eingabe!$E$9:$E$18,I6))</f>
        <v>85</v>
      </c>
    </row>
    <row r="7" customFormat="false" ht="15" hidden="false" customHeight="false" outlineLevel="0" collapsed="false">
      <c r="A7" s="0" t="str">
        <f aca="false">IF(I7="","",IF(J7=0,"Sparte "&amp;I7&amp;": "&amp;INDEX(Eingabe!$B$9:$B$18,I7)&amp;"  (Sparten-ID "&amp;INDEX(Eingabe!$D$9:$D$18,I7)&amp;", "&amp;K7&amp;" Parzellen)",IF(J7&lt;=K7,"   Parzelle "&amp;J7,IF(J7=K7+1,"   Vorstand",IF(J7=K7+2,"   Gäste",IF(J7=K7+3,"   Technik (Switches, Access Points)",""))))))</f>
        <v>   Parzelle 1</v>
      </c>
      <c r="B7" s="0" t="n">
        <f aca="false">IF(I7="","",IF(AND(J7&gt;=1,J7&lt;=K7+3),IF(J7&lt;=K7,IF(J7&lt;=99,IF((INDEX(Eingabe!$G$9:$G$18,I7))&lt;=9,1000+(INDEX(Eingabe!$G$9:$G$18,I7))*100,3000)+J7,IF((INDEX(Eingabe!$G$9:$G$18,I7)+1)&lt;=9,1000+(INDEX(Eingabe!$G$9:$G$18,I7)+1)*100,3000)+J7-100),IF(J7=K7+1,2000+INDEX(Eingabe!$G$9:$G$18,I7)*10+1,IF(J7=K7+2,2000+INDEX(Eingabe!$G$9:$G$18,I7)*10+2,2000+INDEX(Eingabe!$G$9:$G$18,I7)*10+9))),""))</f>
        <v>1101</v>
      </c>
      <c r="C7" s="0" t="str">
        <f aca="false">IF(I7="","",IF(AND(J7&gt;=1,J7&lt;=K7+3),"10."&amp;INDEX(Eingabe!$D$9:$D$18,I7)&amp;"."&amp;IF(J7&lt;=K7,J7,IF(J7=K7+1,200,IF(J7=K7+2,201,250)))&amp;".0/24",""))</f>
        <v>10.1.1.0/24</v>
      </c>
      <c r="D7" s="0" t="str">
        <f aca="false">IF(I7="","",IF(AND(J7&gt;=1,J7&lt;=K7+3),"255.255.255.0",""))</f>
        <v>255.255.255.0</v>
      </c>
      <c r="E7" s="0" t="str">
        <f aca="false">IF(I7="","",IF(AND(J7&gt;=1,J7&lt;=K7+3),"10."&amp;INDEX(Eingabe!$D$9:$D$18,I7)&amp;"."&amp;IF(J7&lt;=K7,J7,IF(J7=K7+1,200,IF(J7=K7+2,201,250)))&amp;".1",""))</f>
        <v>10.1.1.1</v>
      </c>
      <c r="F7" s="0" t="str">
        <f aca="false">IF(I7="","",IF(AND(J7&gt;=1,J7&lt;=K7+3),"10."&amp;INDEX(Eingabe!$D$9:$D$18,I7)&amp;"."&amp;IF(J7&lt;=K7,J7,IF(J7=K7+1,200,IF(J7=K7+2,201,250)))&amp;".10 – 10."&amp;INDEX(Eingabe!$D$9:$D$18,I7)&amp;"."&amp;IF(J7&lt;=K7,J7,IF(J7=K7+1,200,IF(J7=K7+2,201,250)))&amp;".250",""))</f>
        <v>10.1.1.10 – 10.1.1.250</v>
      </c>
      <c r="G7" s="0" t="str">
        <f aca="false">IF(I7="","",IF(AND(J7&gt;=1,J7&lt;=K7),Eingabe!$B$6&amp;"-"&amp;INDEX(Eingabe!$C$9:$C$18,I7)&amp;"-Pächter  ·  Passwort Parzelle "&amp;J7,IF(J7=K7+1,Eingabe!$B$6&amp;"-"&amp;INDEX(Eingabe!$C$9:$C$18,I7)&amp;"-Vorstand  ·  eigenes WLAN",IF(J7=K7+2,Eingabe!$B$6&amp;"-"&amp;INDEX(Eingabe!$C$9:$C$18,I7)&amp;"-Gäste  ·  Voucher",IF(J7=K7+3,"Kabel  ·  Access Point y = .(50+y), Mast-Switch x = .(10+x)","")))))</f>
        <v>SparteNet.de-BW-Pächter  ·  Passwort Parzelle 1</v>
      </c>
      <c r="I7" s="7" t="n">
        <f aca="false">IF(2&lt;=(Eingabe!$P$18+Eingabe!$Q$18-1),MATCH(2,Eingabe!$P$9:$P$18,1),"")</f>
        <v>1</v>
      </c>
      <c r="J7" s="7" t="n">
        <f aca="false">IF(I7="","",2-INDEX(Eingabe!$P$9:$P$18,I7))</f>
        <v>1</v>
      </c>
      <c r="K7" s="7" t="n">
        <f aca="false">IF(I7="","",INDEX(Eingabe!$E$9:$E$18,I7))</f>
        <v>85</v>
      </c>
    </row>
    <row r="8" customFormat="false" ht="15" hidden="false" customHeight="false" outlineLevel="0" collapsed="false">
      <c r="A8" s="0" t="str">
        <f aca="false">IF(I8="","",IF(J8=0,"Sparte "&amp;I8&amp;": "&amp;INDEX(Eingabe!$B$9:$B$18,I8)&amp;"  (Sparten-ID "&amp;INDEX(Eingabe!$D$9:$D$18,I8)&amp;", "&amp;K8&amp;" Parzellen)",IF(J8&lt;=K8,"   Parzelle "&amp;J8,IF(J8=K8+1,"   Vorstand",IF(J8=K8+2,"   Gäste",IF(J8=K8+3,"   Technik (Switches, Access Points)",""))))))</f>
        <v>   Parzelle 2</v>
      </c>
      <c r="B8" s="0" t="n">
        <f aca="false">IF(I8="","",IF(AND(J8&gt;=1,J8&lt;=K8+3),IF(J8&lt;=K8,IF(J8&lt;=99,IF((INDEX(Eingabe!$G$9:$G$18,I8))&lt;=9,1000+(INDEX(Eingabe!$G$9:$G$18,I8))*100,3000)+J8,IF((INDEX(Eingabe!$G$9:$G$18,I8)+1)&lt;=9,1000+(INDEX(Eingabe!$G$9:$G$18,I8)+1)*100,3000)+J8-100),IF(J8=K8+1,2000+INDEX(Eingabe!$G$9:$G$18,I8)*10+1,IF(J8=K8+2,2000+INDEX(Eingabe!$G$9:$G$18,I8)*10+2,2000+INDEX(Eingabe!$G$9:$G$18,I8)*10+9))),""))</f>
        <v>1102</v>
      </c>
      <c r="C8" s="0" t="str">
        <f aca="false">IF(I8="","",IF(AND(J8&gt;=1,J8&lt;=K8+3),"10."&amp;INDEX(Eingabe!$D$9:$D$18,I8)&amp;"."&amp;IF(J8&lt;=K8,J8,IF(J8=K8+1,200,IF(J8=K8+2,201,250)))&amp;".0/24",""))</f>
        <v>10.1.2.0/24</v>
      </c>
      <c r="D8" s="0" t="str">
        <f aca="false">IF(I8="","",IF(AND(J8&gt;=1,J8&lt;=K8+3),"255.255.255.0",""))</f>
        <v>255.255.255.0</v>
      </c>
      <c r="E8" s="0" t="str">
        <f aca="false">IF(I8="","",IF(AND(J8&gt;=1,J8&lt;=K8+3),"10."&amp;INDEX(Eingabe!$D$9:$D$18,I8)&amp;"."&amp;IF(J8&lt;=K8,J8,IF(J8=K8+1,200,IF(J8=K8+2,201,250)))&amp;".1",""))</f>
        <v>10.1.2.1</v>
      </c>
      <c r="F8" s="0" t="str">
        <f aca="false">IF(I8="","",IF(AND(J8&gt;=1,J8&lt;=K8+3),"10."&amp;INDEX(Eingabe!$D$9:$D$18,I8)&amp;"."&amp;IF(J8&lt;=K8,J8,IF(J8=K8+1,200,IF(J8=K8+2,201,250)))&amp;".10 – 10."&amp;INDEX(Eingabe!$D$9:$D$18,I8)&amp;"."&amp;IF(J8&lt;=K8,J8,IF(J8=K8+1,200,IF(J8=K8+2,201,250)))&amp;".250",""))</f>
        <v>10.1.2.10 – 10.1.2.250</v>
      </c>
      <c r="G8" s="0" t="str">
        <f aca="false">IF(I8="","",IF(AND(J8&gt;=1,J8&lt;=K8),Eingabe!$B$6&amp;"-"&amp;INDEX(Eingabe!$C$9:$C$18,I8)&amp;"-Pächter  ·  Passwort Parzelle "&amp;J8,IF(J8=K8+1,Eingabe!$B$6&amp;"-"&amp;INDEX(Eingabe!$C$9:$C$18,I8)&amp;"-Vorstand  ·  eigenes WLAN",IF(J8=K8+2,Eingabe!$B$6&amp;"-"&amp;INDEX(Eingabe!$C$9:$C$18,I8)&amp;"-Gäste  ·  Voucher",IF(J8=K8+3,"Kabel  ·  Access Point y = .(50+y), Mast-Switch x = .(10+x)","")))))</f>
        <v>SparteNet.de-BW-Pächter  ·  Passwort Parzelle 2</v>
      </c>
      <c r="I8" s="7" t="n">
        <f aca="false">IF(3&lt;=(Eingabe!$P$18+Eingabe!$Q$18-1),MATCH(3,Eingabe!$P$9:$P$18,1),"")</f>
        <v>1</v>
      </c>
      <c r="J8" s="7" t="n">
        <f aca="false">IF(I8="","",3-INDEX(Eingabe!$P$9:$P$18,I8))</f>
        <v>2</v>
      </c>
      <c r="K8" s="7" t="n">
        <f aca="false">IF(I8="","",INDEX(Eingabe!$E$9:$E$18,I8))</f>
        <v>85</v>
      </c>
    </row>
    <row r="9" customFormat="false" ht="15" hidden="false" customHeight="false" outlineLevel="0" collapsed="false">
      <c r="A9" s="0" t="str">
        <f aca="false">IF(I9="","",IF(J9=0,"Sparte "&amp;I9&amp;": "&amp;INDEX(Eingabe!$B$9:$B$18,I9)&amp;"  (Sparten-ID "&amp;INDEX(Eingabe!$D$9:$D$18,I9)&amp;", "&amp;K9&amp;" Parzellen)",IF(J9&lt;=K9,"   Parzelle "&amp;J9,IF(J9=K9+1,"   Vorstand",IF(J9=K9+2,"   Gäste",IF(J9=K9+3,"   Technik (Switches, Access Points)",""))))))</f>
        <v>   Parzelle 3</v>
      </c>
      <c r="B9" s="0" t="n">
        <f aca="false">IF(I9="","",IF(AND(J9&gt;=1,J9&lt;=K9+3),IF(J9&lt;=K9,IF(J9&lt;=99,IF((INDEX(Eingabe!$G$9:$G$18,I9))&lt;=9,1000+(INDEX(Eingabe!$G$9:$G$18,I9))*100,3000)+J9,IF((INDEX(Eingabe!$G$9:$G$18,I9)+1)&lt;=9,1000+(INDEX(Eingabe!$G$9:$G$18,I9)+1)*100,3000)+J9-100),IF(J9=K9+1,2000+INDEX(Eingabe!$G$9:$G$18,I9)*10+1,IF(J9=K9+2,2000+INDEX(Eingabe!$G$9:$G$18,I9)*10+2,2000+INDEX(Eingabe!$G$9:$G$18,I9)*10+9))),""))</f>
        <v>1103</v>
      </c>
      <c r="C9" s="0" t="str">
        <f aca="false">IF(I9="","",IF(AND(J9&gt;=1,J9&lt;=K9+3),"10."&amp;INDEX(Eingabe!$D$9:$D$18,I9)&amp;"."&amp;IF(J9&lt;=K9,J9,IF(J9=K9+1,200,IF(J9=K9+2,201,250)))&amp;".0/24",""))</f>
        <v>10.1.3.0/24</v>
      </c>
      <c r="D9" s="0" t="str">
        <f aca="false">IF(I9="","",IF(AND(J9&gt;=1,J9&lt;=K9+3),"255.255.255.0",""))</f>
        <v>255.255.255.0</v>
      </c>
      <c r="E9" s="0" t="str">
        <f aca="false">IF(I9="","",IF(AND(J9&gt;=1,J9&lt;=K9+3),"10."&amp;INDEX(Eingabe!$D$9:$D$18,I9)&amp;"."&amp;IF(J9&lt;=K9,J9,IF(J9=K9+1,200,IF(J9=K9+2,201,250)))&amp;".1",""))</f>
        <v>10.1.3.1</v>
      </c>
      <c r="F9" s="0" t="str">
        <f aca="false">IF(I9="","",IF(AND(J9&gt;=1,J9&lt;=K9+3),"10."&amp;INDEX(Eingabe!$D$9:$D$18,I9)&amp;"."&amp;IF(J9&lt;=K9,J9,IF(J9=K9+1,200,IF(J9=K9+2,201,250)))&amp;".10 – 10."&amp;INDEX(Eingabe!$D$9:$D$18,I9)&amp;"."&amp;IF(J9&lt;=K9,J9,IF(J9=K9+1,200,IF(J9=K9+2,201,250)))&amp;".250",""))</f>
        <v>10.1.3.10 – 10.1.3.250</v>
      </c>
      <c r="G9" s="0" t="str">
        <f aca="false">IF(I9="","",IF(AND(J9&gt;=1,J9&lt;=K9),Eingabe!$B$6&amp;"-"&amp;INDEX(Eingabe!$C$9:$C$18,I9)&amp;"-Pächter  ·  Passwort Parzelle "&amp;J9,IF(J9=K9+1,Eingabe!$B$6&amp;"-"&amp;INDEX(Eingabe!$C$9:$C$18,I9)&amp;"-Vorstand  ·  eigenes WLAN",IF(J9=K9+2,Eingabe!$B$6&amp;"-"&amp;INDEX(Eingabe!$C$9:$C$18,I9)&amp;"-Gäste  ·  Voucher",IF(J9=K9+3,"Kabel  ·  Access Point y = .(50+y), Mast-Switch x = .(10+x)","")))))</f>
        <v>SparteNet.de-BW-Pächter  ·  Passwort Parzelle 3</v>
      </c>
      <c r="I9" s="7" t="n">
        <f aca="false">IF(4&lt;=(Eingabe!$P$18+Eingabe!$Q$18-1),MATCH(4,Eingabe!$P$9:$P$18,1),"")</f>
        <v>1</v>
      </c>
      <c r="J9" s="7" t="n">
        <f aca="false">IF(I9="","",4-INDEX(Eingabe!$P$9:$P$18,I9))</f>
        <v>3</v>
      </c>
      <c r="K9" s="7" t="n">
        <f aca="false">IF(I9="","",INDEX(Eingabe!$E$9:$E$18,I9))</f>
        <v>85</v>
      </c>
    </row>
    <row r="10" customFormat="false" ht="15" hidden="false" customHeight="false" outlineLevel="0" collapsed="false">
      <c r="A10" s="0" t="str">
        <f aca="false">IF(I10="","",IF(J10=0,"Sparte "&amp;I10&amp;": "&amp;INDEX(Eingabe!$B$9:$B$18,I10)&amp;"  (Sparten-ID "&amp;INDEX(Eingabe!$D$9:$D$18,I10)&amp;", "&amp;K10&amp;" Parzellen)",IF(J10&lt;=K10,"   Parzelle "&amp;J10,IF(J10=K10+1,"   Vorstand",IF(J10=K10+2,"   Gäste",IF(J10=K10+3,"   Technik (Switches, Access Points)",""))))))</f>
        <v>   Parzelle 4</v>
      </c>
      <c r="B10" s="0" t="n">
        <f aca="false">IF(I10="","",IF(AND(J10&gt;=1,J10&lt;=K10+3),IF(J10&lt;=K10,IF(J10&lt;=99,IF((INDEX(Eingabe!$G$9:$G$18,I10))&lt;=9,1000+(INDEX(Eingabe!$G$9:$G$18,I10))*100,3000)+J10,IF((INDEX(Eingabe!$G$9:$G$18,I10)+1)&lt;=9,1000+(INDEX(Eingabe!$G$9:$G$18,I10)+1)*100,3000)+J10-100),IF(J10=K10+1,2000+INDEX(Eingabe!$G$9:$G$18,I10)*10+1,IF(J10=K10+2,2000+INDEX(Eingabe!$G$9:$G$18,I10)*10+2,2000+INDEX(Eingabe!$G$9:$G$18,I10)*10+9))),""))</f>
        <v>1104</v>
      </c>
      <c r="C10" s="0" t="str">
        <f aca="false">IF(I10="","",IF(AND(J10&gt;=1,J10&lt;=K10+3),"10."&amp;INDEX(Eingabe!$D$9:$D$18,I10)&amp;"."&amp;IF(J10&lt;=K10,J10,IF(J10=K10+1,200,IF(J10=K10+2,201,250)))&amp;".0/24",""))</f>
        <v>10.1.4.0/24</v>
      </c>
      <c r="D10" s="0" t="str">
        <f aca="false">IF(I10="","",IF(AND(J10&gt;=1,J10&lt;=K10+3),"255.255.255.0",""))</f>
        <v>255.255.255.0</v>
      </c>
      <c r="E10" s="0" t="str">
        <f aca="false">IF(I10="","",IF(AND(J10&gt;=1,J10&lt;=K10+3),"10."&amp;INDEX(Eingabe!$D$9:$D$18,I10)&amp;"."&amp;IF(J10&lt;=K10,J10,IF(J10=K10+1,200,IF(J10=K10+2,201,250)))&amp;".1",""))</f>
        <v>10.1.4.1</v>
      </c>
      <c r="F10" s="0" t="str">
        <f aca="false">IF(I10="","",IF(AND(J10&gt;=1,J10&lt;=K10+3),"10."&amp;INDEX(Eingabe!$D$9:$D$18,I10)&amp;"."&amp;IF(J10&lt;=K10,J10,IF(J10=K10+1,200,IF(J10=K10+2,201,250)))&amp;".10 – 10."&amp;INDEX(Eingabe!$D$9:$D$18,I10)&amp;"."&amp;IF(J10&lt;=K10,J10,IF(J10=K10+1,200,IF(J10=K10+2,201,250)))&amp;".250",""))</f>
        <v>10.1.4.10 – 10.1.4.250</v>
      </c>
      <c r="G10" s="0" t="str">
        <f aca="false">IF(I10="","",IF(AND(J10&gt;=1,J10&lt;=K10),Eingabe!$B$6&amp;"-"&amp;INDEX(Eingabe!$C$9:$C$18,I10)&amp;"-Pächter  ·  Passwort Parzelle "&amp;J10,IF(J10=K10+1,Eingabe!$B$6&amp;"-"&amp;INDEX(Eingabe!$C$9:$C$18,I10)&amp;"-Vorstand  ·  eigenes WLAN",IF(J10=K10+2,Eingabe!$B$6&amp;"-"&amp;INDEX(Eingabe!$C$9:$C$18,I10)&amp;"-Gäste  ·  Voucher",IF(J10=K10+3,"Kabel  ·  Access Point y = .(50+y), Mast-Switch x = .(10+x)","")))))</f>
        <v>SparteNet.de-BW-Pächter  ·  Passwort Parzelle 4</v>
      </c>
      <c r="I10" s="7" t="n">
        <f aca="false">IF(5&lt;=(Eingabe!$P$18+Eingabe!$Q$18-1),MATCH(5,Eingabe!$P$9:$P$18,1),"")</f>
        <v>1</v>
      </c>
      <c r="J10" s="7" t="n">
        <f aca="false">IF(I10="","",5-INDEX(Eingabe!$P$9:$P$18,I10))</f>
        <v>4</v>
      </c>
      <c r="K10" s="7" t="n">
        <f aca="false">IF(I10="","",INDEX(Eingabe!$E$9:$E$18,I10))</f>
        <v>85</v>
      </c>
    </row>
    <row r="11" customFormat="false" ht="15" hidden="false" customHeight="false" outlineLevel="0" collapsed="false">
      <c r="A11" s="0" t="str">
        <f aca="false">IF(I11="","",IF(J11=0,"Sparte "&amp;I11&amp;": "&amp;INDEX(Eingabe!$B$9:$B$18,I11)&amp;"  (Sparten-ID "&amp;INDEX(Eingabe!$D$9:$D$18,I11)&amp;", "&amp;K11&amp;" Parzellen)",IF(J11&lt;=K11,"   Parzelle "&amp;J11,IF(J11=K11+1,"   Vorstand",IF(J11=K11+2,"   Gäste",IF(J11=K11+3,"   Technik (Switches, Access Points)",""))))))</f>
        <v>   Parzelle 5</v>
      </c>
      <c r="B11" s="0" t="n">
        <f aca="false">IF(I11="","",IF(AND(J11&gt;=1,J11&lt;=K11+3),IF(J11&lt;=K11,IF(J11&lt;=99,IF((INDEX(Eingabe!$G$9:$G$18,I11))&lt;=9,1000+(INDEX(Eingabe!$G$9:$G$18,I11))*100,3000)+J11,IF((INDEX(Eingabe!$G$9:$G$18,I11)+1)&lt;=9,1000+(INDEX(Eingabe!$G$9:$G$18,I11)+1)*100,3000)+J11-100),IF(J11=K11+1,2000+INDEX(Eingabe!$G$9:$G$18,I11)*10+1,IF(J11=K11+2,2000+INDEX(Eingabe!$G$9:$G$18,I11)*10+2,2000+INDEX(Eingabe!$G$9:$G$18,I11)*10+9))),""))</f>
        <v>1105</v>
      </c>
      <c r="C11" s="0" t="str">
        <f aca="false">IF(I11="","",IF(AND(J11&gt;=1,J11&lt;=K11+3),"10."&amp;INDEX(Eingabe!$D$9:$D$18,I11)&amp;"."&amp;IF(J11&lt;=K11,J11,IF(J11=K11+1,200,IF(J11=K11+2,201,250)))&amp;".0/24",""))</f>
        <v>10.1.5.0/24</v>
      </c>
      <c r="D11" s="0" t="str">
        <f aca="false">IF(I11="","",IF(AND(J11&gt;=1,J11&lt;=K11+3),"255.255.255.0",""))</f>
        <v>255.255.255.0</v>
      </c>
      <c r="E11" s="0" t="str">
        <f aca="false">IF(I11="","",IF(AND(J11&gt;=1,J11&lt;=K11+3),"10."&amp;INDEX(Eingabe!$D$9:$D$18,I11)&amp;"."&amp;IF(J11&lt;=K11,J11,IF(J11=K11+1,200,IF(J11=K11+2,201,250)))&amp;".1",""))</f>
        <v>10.1.5.1</v>
      </c>
      <c r="F11" s="0" t="str">
        <f aca="false">IF(I11="","",IF(AND(J11&gt;=1,J11&lt;=K11+3),"10."&amp;INDEX(Eingabe!$D$9:$D$18,I11)&amp;"."&amp;IF(J11&lt;=K11,J11,IF(J11=K11+1,200,IF(J11=K11+2,201,250)))&amp;".10 – 10."&amp;INDEX(Eingabe!$D$9:$D$18,I11)&amp;"."&amp;IF(J11&lt;=K11,J11,IF(J11=K11+1,200,IF(J11=K11+2,201,250)))&amp;".250",""))</f>
        <v>10.1.5.10 – 10.1.5.250</v>
      </c>
      <c r="G11" s="0" t="str">
        <f aca="false">IF(I11="","",IF(AND(J11&gt;=1,J11&lt;=K11),Eingabe!$B$6&amp;"-"&amp;INDEX(Eingabe!$C$9:$C$18,I11)&amp;"-Pächter  ·  Passwort Parzelle "&amp;J11,IF(J11=K11+1,Eingabe!$B$6&amp;"-"&amp;INDEX(Eingabe!$C$9:$C$18,I11)&amp;"-Vorstand  ·  eigenes WLAN",IF(J11=K11+2,Eingabe!$B$6&amp;"-"&amp;INDEX(Eingabe!$C$9:$C$18,I11)&amp;"-Gäste  ·  Voucher",IF(J11=K11+3,"Kabel  ·  Access Point y = .(50+y), Mast-Switch x = .(10+x)","")))))</f>
        <v>SparteNet.de-BW-Pächter  ·  Passwort Parzelle 5</v>
      </c>
      <c r="I11" s="7" t="n">
        <f aca="false">IF(6&lt;=(Eingabe!$P$18+Eingabe!$Q$18-1),MATCH(6,Eingabe!$P$9:$P$18,1),"")</f>
        <v>1</v>
      </c>
      <c r="J11" s="7" t="n">
        <f aca="false">IF(I11="","",6-INDEX(Eingabe!$P$9:$P$18,I11))</f>
        <v>5</v>
      </c>
      <c r="K11" s="7" t="n">
        <f aca="false">IF(I11="","",INDEX(Eingabe!$E$9:$E$18,I11))</f>
        <v>85</v>
      </c>
    </row>
    <row r="12" customFormat="false" ht="15" hidden="false" customHeight="false" outlineLevel="0" collapsed="false">
      <c r="A12" s="0" t="str">
        <f aca="false">IF(I12="","",IF(J12=0,"Sparte "&amp;I12&amp;": "&amp;INDEX(Eingabe!$B$9:$B$18,I12)&amp;"  (Sparten-ID "&amp;INDEX(Eingabe!$D$9:$D$18,I12)&amp;", "&amp;K12&amp;" Parzellen)",IF(J12&lt;=K12,"   Parzelle "&amp;J12,IF(J12=K12+1,"   Vorstand",IF(J12=K12+2,"   Gäste",IF(J12=K12+3,"   Technik (Switches, Access Points)",""))))))</f>
        <v>   Parzelle 6</v>
      </c>
      <c r="B12" s="0" t="n">
        <f aca="false">IF(I12="","",IF(AND(J12&gt;=1,J12&lt;=K12+3),IF(J12&lt;=K12,IF(J12&lt;=99,IF((INDEX(Eingabe!$G$9:$G$18,I12))&lt;=9,1000+(INDEX(Eingabe!$G$9:$G$18,I12))*100,3000)+J12,IF((INDEX(Eingabe!$G$9:$G$18,I12)+1)&lt;=9,1000+(INDEX(Eingabe!$G$9:$G$18,I12)+1)*100,3000)+J12-100),IF(J12=K12+1,2000+INDEX(Eingabe!$G$9:$G$18,I12)*10+1,IF(J12=K12+2,2000+INDEX(Eingabe!$G$9:$G$18,I12)*10+2,2000+INDEX(Eingabe!$G$9:$G$18,I12)*10+9))),""))</f>
        <v>1106</v>
      </c>
      <c r="C12" s="0" t="str">
        <f aca="false">IF(I12="","",IF(AND(J12&gt;=1,J12&lt;=K12+3),"10."&amp;INDEX(Eingabe!$D$9:$D$18,I12)&amp;"."&amp;IF(J12&lt;=K12,J12,IF(J12=K12+1,200,IF(J12=K12+2,201,250)))&amp;".0/24",""))</f>
        <v>10.1.6.0/24</v>
      </c>
      <c r="D12" s="0" t="str">
        <f aca="false">IF(I12="","",IF(AND(J12&gt;=1,J12&lt;=K12+3),"255.255.255.0",""))</f>
        <v>255.255.255.0</v>
      </c>
      <c r="E12" s="0" t="str">
        <f aca="false">IF(I12="","",IF(AND(J12&gt;=1,J12&lt;=K12+3),"10."&amp;INDEX(Eingabe!$D$9:$D$18,I12)&amp;"."&amp;IF(J12&lt;=K12,J12,IF(J12=K12+1,200,IF(J12=K12+2,201,250)))&amp;".1",""))</f>
        <v>10.1.6.1</v>
      </c>
      <c r="F12" s="0" t="str">
        <f aca="false">IF(I12="","",IF(AND(J12&gt;=1,J12&lt;=K12+3),"10."&amp;INDEX(Eingabe!$D$9:$D$18,I12)&amp;"."&amp;IF(J12&lt;=K12,J12,IF(J12=K12+1,200,IF(J12=K12+2,201,250)))&amp;".10 – 10."&amp;INDEX(Eingabe!$D$9:$D$18,I12)&amp;"."&amp;IF(J12&lt;=K12,J12,IF(J12=K12+1,200,IF(J12=K12+2,201,250)))&amp;".250",""))</f>
        <v>10.1.6.10 – 10.1.6.250</v>
      </c>
      <c r="G12" s="0" t="str">
        <f aca="false">IF(I12="","",IF(AND(J12&gt;=1,J12&lt;=K12),Eingabe!$B$6&amp;"-"&amp;INDEX(Eingabe!$C$9:$C$18,I12)&amp;"-Pächter  ·  Passwort Parzelle "&amp;J12,IF(J12=K12+1,Eingabe!$B$6&amp;"-"&amp;INDEX(Eingabe!$C$9:$C$18,I12)&amp;"-Vorstand  ·  eigenes WLAN",IF(J12=K12+2,Eingabe!$B$6&amp;"-"&amp;INDEX(Eingabe!$C$9:$C$18,I12)&amp;"-Gäste  ·  Voucher",IF(J12=K12+3,"Kabel  ·  Access Point y = .(50+y), Mast-Switch x = .(10+x)","")))))</f>
        <v>SparteNet.de-BW-Pächter  ·  Passwort Parzelle 6</v>
      </c>
      <c r="I12" s="7" t="n">
        <f aca="false">IF(7&lt;=(Eingabe!$P$18+Eingabe!$Q$18-1),MATCH(7,Eingabe!$P$9:$P$18,1),"")</f>
        <v>1</v>
      </c>
      <c r="J12" s="7" t="n">
        <f aca="false">IF(I12="","",7-INDEX(Eingabe!$P$9:$P$18,I12))</f>
        <v>6</v>
      </c>
      <c r="K12" s="7" t="n">
        <f aca="false">IF(I12="","",INDEX(Eingabe!$E$9:$E$18,I12))</f>
        <v>85</v>
      </c>
    </row>
    <row r="13" customFormat="false" ht="15" hidden="false" customHeight="false" outlineLevel="0" collapsed="false">
      <c r="A13" s="0" t="str">
        <f aca="false">IF(I13="","",IF(J13=0,"Sparte "&amp;I13&amp;": "&amp;INDEX(Eingabe!$B$9:$B$18,I13)&amp;"  (Sparten-ID "&amp;INDEX(Eingabe!$D$9:$D$18,I13)&amp;", "&amp;K13&amp;" Parzellen)",IF(J13&lt;=K13,"   Parzelle "&amp;J13,IF(J13=K13+1,"   Vorstand",IF(J13=K13+2,"   Gäste",IF(J13=K13+3,"   Technik (Switches, Access Points)",""))))))</f>
        <v>   Parzelle 7</v>
      </c>
      <c r="B13" s="0" t="n">
        <f aca="false">IF(I13="","",IF(AND(J13&gt;=1,J13&lt;=K13+3),IF(J13&lt;=K13,IF(J13&lt;=99,IF((INDEX(Eingabe!$G$9:$G$18,I13))&lt;=9,1000+(INDEX(Eingabe!$G$9:$G$18,I13))*100,3000)+J13,IF((INDEX(Eingabe!$G$9:$G$18,I13)+1)&lt;=9,1000+(INDEX(Eingabe!$G$9:$G$18,I13)+1)*100,3000)+J13-100),IF(J13=K13+1,2000+INDEX(Eingabe!$G$9:$G$18,I13)*10+1,IF(J13=K13+2,2000+INDEX(Eingabe!$G$9:$G$18,I13)*10+2,2000+INDEX(Eingabe!$G$9:$G$18,I13)*10+9))),""))</f>
        <v>1107</v>
      </c>
      <c r="C13" s="0" t="str">
        <f aca="false">IF(I13="","",IF(AND(J13&gt;=1,J13&lt;=K13+3),"10."&amp;INDEX(Eingabe!$D$9:$D$18,I13)&amp;"."&amp;IF(J13&lt;=K13,J13,IF(J13=K13+1,200,IF(J13=K13+2,201,250)))&amp;".0/24",""))</f>
        <v>10.1.7.0/24</v>
      </c>
      <c r="D13" s="0" t="str">
        <f aca="false">IF(I13="","",IF(AND(J13&gt;=1,J13&lt;=K13+3),"255.255.255.0",""))</f>
        <v>255.255.255.0</v>
      </c>
      <c r="E13" s="0" t="str">
        <f aca="false">IF(I13="","",IF(AND(J13&gt;=1,J13&lt;=K13+3),"10."&amp;INDEX(Eingabe!$D$9:$D$18,I13)&amp;"."&amp;IF(J13&lt;=K13,J13,IF(J13=K13+1,200,IF(J13=K13+2,201,250)))&amp;".1",""))</f>
        <v>10.1.7.1</v>
      </c>
      <c r="F13" s="0" t="str">
        <f aca="false">IF(I13="","",IF(AND(J13&gt;=1,J13&lt;=K13+3),"10."&amp;INDEX(Eingabe!$D$9:$D$18,I13)&amp;"."&amp;IF(J13&lt;=K13,J13,IF(J13=K13+1,200,IF(J13=K13+2,201,250)))&amp;".10 – 10."&amp;INDEX(Eingabe!$D$9:$D$18,I13)&amp;"."&amp;IF(J13&lt;=K13,J13,IF(J13=K13+1,200,IF(J13=K13+2,201,250)))&amp;".250",""))</f>
        <v>10.1.7.10 – 10.1.7.250</v>
      </c>
      <c r="G13" s="0" t="str">
        <f aca="false">IF(I13="","",IF(AND(J13&gt;=1,J13&lt;=K13),Eingabe!$B$6&amp;"-"&amp;INDEX(Eingabe!$C$9:$C$18,I13)&amp;"-Pächter  ·  Passwort Parzelle "&amp;J13,IF(J13=K13+1,Eingabe!$B$6&amp;"-"&amp;INDEX(Eingabe!$C$9:$C$18,I13)&amp;"-Vorstand  ·  eigenes WLAN",IF(J13=K13+2,Eingabe!$B$6&amp;"-"&amp;INDEX(Eingabe!$C$9:$C$18,I13)&amp;"-Gäste  ·  Voucher",IF(J13=K13+3,"Kabel  ·  Access Point y = .(50+y), Mast-Switch x = .(10+x)","")))))</f>
        <v>SparteNet.de-BW-Pächter  ·  Passwort Parzelle 7</v>
      </c>
      <c r="I13" s="7" t="n">
        <f aca="false">IF(8&lt;=(Eingabe!$P$18+Eingabe!$Q$18-1),MATCH(8,Eingabe!$P$9:$P$18,1),"")</f>
        <v>1</v>
      </c>
      <c r="J13" s="7" t="n">
        <f aca="false">IF(I13="","",8-INDEX(Eingabe!$P$9:$P$18,I13))</f>
        <v>7</v>
      </c>
      <c r="K13" s="7" t="n">
        <f aca="false">IF(I13="","",INDEX(Eingabe!$E$9:$E$18,I13))</f>
        <v>85</v>
      </c>
    </row>
    <row r="14" customFormat="false" ht="15" hidden="false" customHeight="false" outlineLevel="0" collapsed="false">
      <c r="A14" s="0" t="str">
        <f aca="false">IF(I14="","",IF(J14=0,"Sparte "&amp;I14&amp;": "&amp;INDEX(Eingabe!$B$9:$B$18,I14)&amp;"  (Sparten-ID "&amp;INDEX(Eingabe!$D$9:$D$18,I14)&amp;", "&amp;K14&amp;" Parzellen)",IF(J14&lt;=K14,"   Parzelle "&amp;J14,IF(J14=K14+1,"   Vorstand",IF(J14=K14+2,"   Gäste",IF(J14=K14+3,"   Technik (Switches, Access Points)",""))))))</f>
        <v>   Parzelle 8</v>
      </c>
      <c r="B14" s="0" t="n">
        <f aca="false">IF(I14="","",IF(AND(J14&gt;=1,J14&lt;=K14+3),IF(J14&lt;=K14,IF(J14&lt;=99,IF((INDEX(Eingabe!$G$9:$G$18,I14))&lt;=9,1000+(INDEX(Eingabe!$G$9:$G$18,I14))*100,3000)+J14,IF((INDEX(Eingabe!$G$9:$G$18,I14)+1)&lt;=9,1000+(INDEX(Eingabe!$G$9:$G$18,I14)+1)*100,3000)+J14-100),IF(J14=K14+1,2000+INDEX(Eingabe!$G$9:$G$18,I14)*10+1,IF(J14=K14+2,2000+INDEX(Eingabe!$G$9:$G$18,I14)*10+2,2000+INDEX(Eingabe!$G$9:$G$18,I14)*10+9))),""))</f>
        <v>1108</v>
      </c>
      <c r="C14" s="0" t="str">
        <f aca="false">IF(I14="","",IF(AND(J14&gt;=1,J14&lt;=K14+3),"10."&amp;INDEX(Eingabe!$D$9:$D$18,I14)&amp;"."&amp;IF(J14&lt;=K14,J14,IF(J14=K14+1,200,IF(J14=K14+2,201,250)))&amp;".0/24",""))</f>
        <v>10.1.8.0/24</v>
      </c>
      <c r="D14" s="0" t="str">
        <f aca="false">IF(I14="","",IF(AND(J14&gt;=1,J14&lt;=K14+3),"255.255.255.0",""))</f>
        <v>255.255.255.0</v>
      </c>
      <c r="E14" s="0" t="str">
        <f aca="false">IF(I14="","",IF(AND(J14&gt;=1,J14&lt;=K14+3),"10."&amp;INDEX(Eingabe!$D$9:$D$18,I14)&amp;"."&amp;IF(J14&lt;=K14,J14,IF(J14=K14+1,200,IF(J14=K14+2,201,250)))&amp;".1",""))</f>
        <v>10.1.8.1</v>
      </c>
      <c r="F14" s="0" t="str">
        <f aca="false">IF(I14="","",IF(AND(J14&gt;=1,J14&lt;=K14+3),"10."&amp;INDEX(Eingabe!$D$9:$D$18,I14)&amp;"."&amp;IF(J14&lt;=K14,J14,IF(J14=K14+1,200,IF(J14=K14+2,201,250)))&amp;".10 – 10."&amp;INDEX(Eingabe!$D$9:$D$18,I14)&amp;"."&amp;IF(J14&lt;=K14,J14,IF(J14=K14+1,200,IF(J14=K14+2,201,250)))&amp;".250",""))</f>
        <v>10.1.8.10 – 10.1.8.250</v>
      </c>
      <c r="G14" s="0" t="str">
        <f aca="false">IF(I14="","",IF(AND(J14&gt;=1,J14&lt;=K14),Eingabe!$B$6&amp;"-"&amp;INDEX(Eingabe!$C$9:$C$18,I14)&amp;"-Pächter  ·  Passwort Parzelle "&amp;J14,IF(J14=K14+1,Eingabe!$B$6&amp;"-"&amp;INDEX(Eingabe!$C$9:$C$18,I14)&amp;"-Vorstand  ·  eigenes WLAN",IF(J14=K14+2,Eingabe!$B$6&amp;"-"&amp;INDEX(Eingabe!$C$9:$C$18,I14)&amp;"-Gäste  ·  Voucher",IF(J14=K14+3,"Kabel  ·  Access Point y = .(50+y), Mast-Switch x = .(10+x)","")))))</f>
        <v>SparteNet.de-BW-Pächter  ·  Passwort Parzelle 8</v>
      </c>
      <c r="I14" s="7" t="n">
        <f aca="false">IF(9&lt;=(Eingabe!$P$18+Eingabe!$Q$18-1),MATCH(9,Eingabe!$P$9:$P$18,1),"")</f>
        <v>1</v>
      </c>
      <c r="J14" s="7" t="n">
        <f aca="false">IF(I14="","",9-INDEX(Eingabe!$P$9:$P$18,I14))</f>
        <v>8</v>
      </c>
      <c r="K14" s="7" t="n">
        <f aca="false">IF(I14="","",INDEX(Eingabe!$E$9:$E$18,I14))</f>
        <v>85</v>
      </c>
    </row>
    <row r="15" customFormat="false" ht="15" hidden="false" customHeight="false" outlineLevel="0" collapsed="false">
      <c r="A15" s="0" t="str">
        <f aca="false">IF(I15="","",IF(J15=0,"Sparte "&amp;I15&amp;": "&amp;INDEX(Eingabe!$B$9:$B$18,I15)&amp;"  (Sparten-ID "&amp;INDEX(Eingabe!$D$9:$D$18,I15)&amp;", "&amp;K15&amp;" Parzellen)",IF(J15&lt;=K15,"   Parzelle "&amp;J15,IF(J15=K15+1,"   Vorstand",IF(J15=K15+2,"   Gäste",IF(J15=K15+3,"   Technik (Switches, Access Points)",""))))))</f>
        <v>   Parzelle 9</v>
      </c>
      <c r="B15" s="0" t="n">
        <f aca="false">IF(I15="","",IF(AND(J15&gt;=1,J15&lt;=K15+3),IF(J15&lt;=K15,IF(J15&lt;=99,IF((INDEX(Eingabe!$G$9:$G$18,I15))&lt;=9,1000+(INDEX(Eingabe!$G$9:$G$18,I15))*100,3000)+J15,IF((INDEX(Eingabe!$G$9:$G$18,I15)+1)&lt;=9,1000+(INDEX(Eingabe!$G$9:$G$18,I15)+1)*100,3000)+J15-100),IF(J15=K15+1,2000+INDEX(Eingabe!$G$9:$G$18,I15)*10+1,IF(J15=K15+2,2000+INDEX(Eingabe!$G$9:$G$18,I15)*10+2,2000+INDEX(Eingabe!$G$9:$G$18,I15)*10+9))),""))</f>
        <v>1109</v>
      </c>
      <c r="C15" s="0" t="str">
        <f aca="false">IF(I15="","",IF(AND(J15&gt;=1,J15&lt;=K15+3),"10."&amp;INDEX(Eingabe!$D$9:$D$18,I15)&amp;"."&amp;IF(J15&lt;=K15,J15,IF(J15=K15+1,200,IF(J15=K15+2,201,250)))&amp;".0/24",""))</f>
        <v>10.1.9.0/24</v>
      </c>
      <c r="D15" s="0" t="str">
        <f aca="false">IF(I15="","",IF(AND(J15&gt;=1,J15&lt;=K15+3),"255.255.255.0",""))</f>
        <v>255.255.255.0</v>
      </c>
      <c r="E15" s="0" t="str">
        <f aca="false">IF(I15="","",IF(AND(J15&gt;=1,J15&lt;=K15+3),"10."&amp;INDEX(Eingabe!$D$9:$D$18,I15)&amp;"."&amp;IF(J15&lt;=K15,J15,IF(J15=K15+1,200,IF(J15=K15+2,201,250)))&amp;".1",""))</f>
        <v>10.1.9.1</v>
      </c>
      <c r="F15" s="0" t="str">
        <f aca="false">IF(I15="","",IF(AND(J15&gt;=1,J15&lt;=K15+3),"10."&amp;INDEX(Eingabe!$D$9:$D$18,I15)&amp;"."&amp;IF(J15&lt;=K15,J15,IF(J15=K15+1,200,IF(J15=K15+2,201,250)))&amp;".10 – 10."&amp;INDEX(Eingabe!$D$9:$D$18,I15)&amp;"."&amp;IF(J15&lt;=K15,J15,IF(J15=K15+1,200,IF(J15=K15+2,201,250)))&amp;".250",""))</f>
        <v>10.1.9.10 – 10.1.9.250</v>
      </c>
      <c r="G15" s="0" t="str">
        <f aca="false">IF(I15="","",IF(AND(J15&gt;=1,J15&lt;=K15),Eingabe!$B$6&amp;"-"&amp;INDEX(Eingabe!$C$9:$C$18,I15)&amp;"-Pächter  ·  Passwort Parzelle "&amp;J15,IF(J15=K15+1,Eingabe!$B$6&amp;"-"&amp;INDEX(Eingabe!$C$9:$C$18,I15)&amp;"-Vorstand  ·  eigenes WLAN",IF(J15=K15+2,Eingabe!$B$6&amp;"-"&amp;INDEX(Eingabe!$C$9:$C$18,I15)&amp;"-Gäste  ·  Voucher",IF(J15=K15+3,"Kabel  ·  Access Point y = .(50+y), Mast-Switch x = .(10+x)","")))))</f>
        <v>SparteNet.de-BW-Pächter  ·  Passwort Parzelle 9</v>
      </c>
      <c r="I15" s="7" t="n">
        <f aca="false">IF(10&lt;=(Eingabe!$P$18+Eingabe!$Q$18-1),MATCH(10,Eingabe!$P$9:$P$18,1),"")</f>
        <v>1</v>
      </c>
      <c r="J15" s="7" t="n">
        <f aca="false">IF(I15="","",10-INDEX(Eingabe!$P$9:$P$18,I15))</f>
        <v>9</v>
      </c>
      <c r="K15" s="7" t="n">
        <f aca="false">IF(I15="","",INDEX(Eingabe!$E$9:$E$18,I15))</f>
        <v>85</v>
      </c>
    </row>
    <row r="16" customFormat="false" ht="15" hidden="false" customHeight="false" outlineLevel="0" collapsed="false">
      <c r="A16" s="0" t="str">
        <f aca="false">IF(I16="","",IF(J16=0,"Sparte "&amp;I16&amp;": "&amp;INDEX(Eingabe!$B$9:$B$18,I16)&amp;"  (Sparten-ID "&amp;INDEX(Eingabe!$D$9:$D$18,I16)&amp;", "&amp;K16&amp;" Parzellen)",IF(J16&lt;=K16,"   Parzelle "&amp;J16,IF(J16=K16+1,"   Vorstand",IF(J16=K16+2,"   Gäste",IF(J16=K16+3,"   Technik (Switches, Access Points)",""))))))</f>
        <v>   Parzelle 10</v>
      </c>
      <c r="B16" s="0" t="n">
        <f aca="false">IF(I16="","",IF(AND(J16&gt;=1,J16&lt;=K16+3),IF(J16&lt;=K16,IF(J16&lt;=99,IF((INDEX(Eingabe!$G$9:$G$18,I16))&lt;=9,1000+(INDEX(Eingabe!$G$9:$G$18,I16))*100,3000)+J16,IF((INDEX(Eingabe!$G$9:$G$18,I16)+1)&lt;=9,1000+(INDEX(Eingabe!$G$9:$G$18,I16)+1)*100,3000)+J16-100),IF(J16=K16+1,2000+INDEX(Eingabe!$G$9:$G$18,I16)*10+1,IF(J16=K16+2,2000+INDEX(Eingabe!$G$9:$G$18,I16)*10+2,2000+INDEX(Eingabe!$G$9:$G$18,I16)*10+9))),""))</f>
        <v>1110</v>
      </c>
      <c r="C16" s="0" t="str">
        <f aca="false">IF(I16="","",IF(AND(J16&gt;=1,J16&lt;=K16+3),"10."&amp;INDEX(Eingabe!$D$9:$D$18,I16)&amp;"."&amp;IF(J16&lt;=K16,J16,IF(J16=K16+1,200,IF(J16=K16+2,201,250)))&amp;".0/24",""))</f>
        <v>10.1.10.0/24</v>
      </c>
      <c r="D16" s="0" t="str">
        <f aca="false">IF(I16="","",IF(AND(J16&gt;=1,J16&lt;=K16+3),"255.255.255.0",""))</f>
        <v>255.255.255.0</v>
      </c>
      <c r="E16" s="0" t="str">
        <f aca="false">IF(I16="","",IF(AND(J16&gt;=1,J16&lt;=K16+3),"10."&amp;INDEX(Eingabe!$D$9:$D$18,I16)&amp;"."&amp;IF(J16&lt;=K16,J16,IF(J16=K16+1,200,IF(J16=K16+2,201,250)))&amp;".1",""))</f>
        <v>10.1.10.1</v>
      </c>
      <c r="F16" s="0" t="str">
        <f aca="false">IF(I16="","",IF(AND(J16&gt;=1,J16&lt;=K16+3),"10."&amp;INDEX(Eingabe!$D$9:$D$18,I16)&amp;"."&amp;IF(J16&lt;=K16,J16,IF(J16=K16+1,200,IF(J16=K16+2,201,250)))&amp;".10 – 10."&amp;INDEX(Eingabe!$D$9:$D$18,I16)&amp;"."&amp;IF(J16&lt;=K16,J16,IF(J16=K16+1,200,IF(J16=K16+2,201,250)))&amp;".250",""))</f>
        <v>10.1.10.10 – 10.1.10.250</v>
      </c>
      <c r="G16" s="0" t="str">
        <f aca="false">IF(I16="","",IF(AND(J16&gt;=1,J16&lt;=K16),Eingabe!$B$6&amp;"-"&amp;INDEX(Eingabe!$C$9:$C$18,I16)&amp;"-Pächter  ·  Passwort Parzelle "&amp;J16,IF(J16=K16+1,Eingabe!$B$6&amp;"-"&amp;INDEX(Eingabe!$C$9:$C$18,I16)&amp;"-Vorstand  ·  eigenes WLAN",IF(J16=K16+2,Eingabe!$B$6&amp;"-"&amp;INDEX(Eingabe!$C$9:$C$18,I16)&amp;"-Gäste  ·  Voucher",IF(J16=K16+3,"Kabel  ·  Access Point y = .(50+y), Mast-Switch x = .(10+x)","")))))</f>
        <v>SparteNet.de-BW-Pächter  ·  Passwort Parzelle 10</v>
      </c>
      <c r="I16" s="7" t="n">
        <f aca="false">IF(11&lt;=(Eingabe!$P$18+Eingabe!$Q$18-1),MATCH(11,Eingabe!$P$9:$P$18,1),"")</f>
        <v>1</v>
      </c>
      <c r="J16" s="7" t="n">
        <f aca="false">IF(I16="","",11-INDEX(Eingabe!$P$9:$P$18,I16))</f>
        <v>10</v>
      </c>
      <c r="K16" s="7" t="n">
        <f aca="false">IF(I16="","",INDEX(Eingabe!$E$9:$E$18,I16))</f>
        <v>85</v>
      </c>
    </row>
    <row r="17" customFormat="false" ht="15" hidden="false" customHeight="false" outlineLevel="0" collapsed="false">
      <c r="A17" s="0" t="str">
        <f aca="false">IF(I17="","",IF(J17=0,"Sparte "&amp;I17&amp;": "&amp;INDEX(Eingabe!$B$9:$B$18,I17)&amp;"  (Sparten-ID "&amp;INDEX(Eingabe!$D$9:$D$18,I17)&amp;", "&amp;K17&amp;" Parzellen)",IF(J17&lt;=K17,"   Parzelle "&amp;J17,IF(J17=K17+1,"   Vorstand",IF(J17=K17+2,"   Gäste",IF(J17=K17+3,"   Technik (Switches, Access Points)",""))))))</f>
        <v>   Parzelle 11</v>
      </c>
      <c r="B17" s="0" t="n">
        <f aca="false">IF(I17="","",IF(AND(J17&gt;=1,J17&lt;=K17+3),IF(J17&lt;=K17,IF(J17&lt;=99,IF((INDEX(Eingabe!$G$9:$G$18,I17))&lt;=9,1000+(INDEX(Eingabe!$G$9:$G$18,I17))*100,3000)+J17,IF((INDEX(Eingabe!$G$9:$G$18,I17)+1)&lt;=9,1000+(INDEX(Eingabe!$G$9:$G$18,I17)+1)*100,3000)+J17-100),IF(J17=K17+1,2000+INDEX(Eingabe!$G$9:$G$18,I17)*10+1,IF(J17=K17+2,2000+INDEX(Eingabe!$G$9:$G$18,I17)*10+2,2000+INDEX(Eingabe!$G$9:$G$18,I17)*10+9))),""))</f>
        <v>1111</v>
      </c>
      <c r="C17" s="0" t="str">
        <f aca="false">IF(I17="","",IF(AND(J17&gt;=1,J17&lt;=K17+3),"10."&amp;INDEX(Eingabe!$D$9:$D$18,I17)&amp;"."&amp;IF(J17&lt;=K17,J17,IF(J17=K17+1,200,IF(J17=K17+2,201,250)))&amp;".0/24",""))</f>
        <v>10.1.11.0/24</v>
      </c>
      <c r="D17" s="0" t="str">
        <f aca="false">IF(I17="","",IF(AND(J17&gt;=1,J17&lt;=K17+3),"255.255.255.0",""))</f>
        <v>255.255.255.0</v>
      </c>
      <c r="E17" s="0" t="str">
        <f aca="false">IF(I17="","",IF(AND(J17&gt;=1,J17&lt;=K17+3),"10."&amp;INDEX(Eingabe!$D$9:$D$18,I17)&amp;"."&amp;IF(J17&lt;=K17,J17,IF(J17=K17+1,200,IF(J17=K17+2,201,250)))&amp;".1",""))</f>
        <v>10.1.11.1</v>
      </c>
      <c r="F17" s="0" t="str">
        <f aca="false">IF(I17="","",IF(AND(J17&gt;=1,J17&lt;=K17+3),"10."&amp;INDEX(Eingabe!$D$9:$D$18,I17)&amp;"."&amp;IF(J17&lt;=K17,J17,IF(J17=K17+1,200,IF(J17=K17+2,201,250)))&amp;".10 – 10."&amp;INDEX(Eingabe!$D$9:$D$18,I17)&amp;"."&amp;IF(J17&lt;=K17,J17,IF(J17=K17+1,200,IF(J17=K17+2,201,250)))&amp;".250",""))</f>
        <v>10.1.11.10 – 10.1.11.250</v>
      </c>
      <c r="G17" s="0" t="str">
        <f aca="false">IF(I17="","",IF(AND(J17&gt;=1,J17&lt;=K17),Eingabe!$B$6&amp;"-"&amp;INDEX(Eingabe!$C$9:$C$18,I17)&amp;"-Pächter  ·  Passwort Parzelle "&amp;J17,IF(J17=K17+1,Eingabe!$B$6&amp;"-"&amp;INDEX(Eingabe!$C$9:$C$18,I17)&amp;"-Vorstand  ·  eigenes WLAN",IF(J17=K17+2,Eingabe!$B$6&amp;"-"&amp;INDEX(Eingabe!$C$9:$C$18,I17)&amp;"-Gäste  ·  Voucher",IF(J17=K17+3,"Kabel  ·  Access Point y = .(50+y), Mast-Switch x = .(10+x)","")))))</f>
        <v>SparteNet.de-BW-Pächter  ·  Passwort Parzelle 11</v>
      </c>
      <c r="I17" s="7" t="n">
        <f aca="false">IF(12&lt;=(Eingabe!$P$18+Eingabe!$Q$18-1),MATCH(12,Eingabe!$P$9:$P$18,1),"")</f>
        <v>1</v>
      </c>
      <c r="J17" s="7" t="n">
        <f aca="false">IF(I17="","",12-INDEX(Eingabe!$P$9:$P$18,I17))</f>
        <v>11</v>
      </c>
      <c r="K17" s="7" t="n">
        <f aca="false">IF(I17="","",INDEX(Eingabe!$E$9:$E$18,I17))</f>
        <v>85</v>
      </c>
    </row>
    <row r="18" customFormat="false" ht="15" hidden="false" customHeight="false" outlineLevel="0" collapsed="false">
      <c r="A18" s="0" t="str">
        <f aca="false">IF(I18="","",IF(J18=0,"Sparte "&amp;I18&amp;": "&amp;INDEX(Eingabe!$B$9:$B$18,I18)&amp;"  (Sparten-ID "&amp;INDEX(Eingabe!$D$9:$D$18,I18)&amp;", "&amp;K18&amp;" Parzellen)",IF(J18&lt;=K18,"   Parzelle "&amp;J18,IF(J18=K18+1,"   Vorstand",IF(J18=K18+2,"   Gäste",IF(J18=K18+3,"   Technik (Switches, Access Points)",""))))))</f>
        <v>   Parzelle 12</v>
      </c>
      <c r="B18" s="0" t="n">
        <f aca="false">IF(I18="","",IF(AND(J18&gt;=1,J18&lt;=K18+3),IF(J18&lt;=K18,IF(J18&lt;=99,IF((INDEX(Eingabe!$G$9:$G$18,I18))&lt;=9,1000+(INDEX(Eingabe!$G$9:$G$18,I18))*100,3000)+J18,IF((INDEX(Eingabe!$G$9:$G$18,I18)+1)&lt;=9,1000+(INDEX(Eingabe!$G$9:$G$18,I18)+1)*100,3000)+J18-100),IF(J18=K18+1,2000+INDEX(Eingabe!$G$9:$G$18,I18)*10+1,IF(J18=K18+2,2000+INDEX(Eingabe!$G$9:$G$18,I18)*10+2,2000+INDEX(Eingabe!$G$9:$G$18,I18)*10+9))),""))</f>
        <v>1112</v>
      </c>
      <c r="C18" s="0" t="str">
        <f aca="false">IF(I18="","",IF(AND(J18&gt;=1,J18&lt;=K18+3),"10."&amp;INDEX(Eingabe!$D$9:$D$18,I18)&amp;"."&amp;IF(J18&lt;=K18,J18,IF(J18=K18+1,200,IF(J18=K18+2,201,250)))&amp;".0/24",""))</f>
        <v>10.1.12.0/24</v>
      </c>
      <c r="D18" s="0" t="str">
        <f aca="false">IF(I18="","",IF(AND(J18&gt;=1,J18&lt;=K18+3),"255.255.255.0",""))</f>
        <v>255.255.255.0</v>
      </c>
      <c r="E18" s="0" t="str">
        <f aca="false">IF(I18="","",IF(AND(J18&gt;=1,J18&lt;=K18+3),"10."&amp;INDEX(Eingabe!$D$9:$D$18,I18)&amp;"."&amp;IF(J18&lt;=K18,J18,IF(J18=K18+1,200,IF(J18=K18+2,201,250)))&amp;".1",""))</f>
        <v>10.1.12.1</v>
      </c>
      <c r="F18" s="0" t="str">
        <f aca="false">IF(I18="","",IF(AND(J18&gt;=1,J18&lt;=K18+3),"10."&amp;INDEX(Eingabe!$D$9:$D$18,I18)&amp;"."&amp;IF(J18&lt;=K18,J18,IF(J18=K18+1,200,IF(J18=K18+2,201,250)))&amp;".10 – 10."&amp;INDEX(Eingabe!$D$9:$D$18,I18)&amp;"."&amp;IF(J18&lt;=K18,J18,IF(J18=K18+1,200,IF(J18=K18+2,201,250)))&amp;".250",""))</f>
        <v>10.1.12.10 – 10.1.12.250</v>
      </c>
      <c r="G18" s="0" t="str">
        <f aca="false">IF(I18="","",IF(AND(J18&gt;=1,J18&lt;=K18),Eingabe!$B$6&amp;"-"&amp;INDEX(Eingabe!$C$9:$C$18,I18)&amp;"-Pächter  ·  Passwort Parzelle "&amp;J18,IF(J18=K18+1,Eingabe!$B$6&amp;"-"&amp;INDEX(Eingabe!$C$9:$C$18,I18)&amp;"-Vorstand  ·  eigenes WLAN",IF(J18=K18+2,Eingabe!$B$6&amp;"-"&amp;INDEX(Eingabe!$C$9:$C$18,I18)&amp;"-Gäste  ·  Voucher",IF(J18=K18+3,"Kabel  ·  Access Point y = .(50+y), Mast-Switch x = .(10+x)","")))))</f>
        <v>SparteNet.de-BW-Pächter  ·  Passwort Parzelle 12</v>
      </c>
      <c r="I18" s="7" t="n">
        <f aca="false">IF(13&lt;=(Eingabe!$P$18+Eingabe!$Q$18-1),MATCH(13,Eingabe!$P$9:$P$18,1),"")</f>
        <v>1</v>
      </c>
      <c r="J18" s="7" t="n">
        <f aca="false">IF(I18="","",13-INDEX(Eingabe!$P$9:$P$18,I18))</f>
        <v>12</v>
      </c>
      <c r="K18" s="7" t="n">
        <f aca="false">IF(I18="","",INDEX(Eingabe!$E$9:$E$18,I18))</f>
        <v>85</v>
      </c>
    </row>
    <row r="19" customFormat="false" ht="15" hidden="false" customHeight="false" outlineLevel="0" collapsed="false">
      <c r="A19" s="0" t="str">
        <f aca="false">IF(I19="","",IF(J19=0,"Sparte "&amp;I19&amp;": "&amp;INDEX(Eingabe!$B$9:$B$18,I19)&amp;"  (Sparten-ID "&amp;INDEX(Eingabe!$D$9:$D$18,I19)&amp;", "&amp;K19&amp;" Parzellen)",IF(J19&lt;=K19,"   Parzelle "&amp;J19,IF(J19=K19+1,"   Vorstand",IF(J19=K19+2,"   Gäste",IF(J19=K19+3,"   Technik (Switches, Access Points)",""))))))</f>
        <v>   Parzelle 13</v>
      </c>
      <c r="B19" s="0" t="n">
        <f aca="false">IF(I19="","",IF(AND(J19&gt;=1,J19&lt;=K19+3),IF(J19&lt;=K19,IF(J19&lt;=99,IF((INDEX(Eingabe!$G$9:$G$18,I19))&lt;=9,1000+(INDEX(Eingabe!$G$9:$G$18,I19))*100,3000)+J19,IF((INDEX(Eingabe!$G$9:$G$18,I19)+1)&lt;=9,1000+(INDEX(Eingabe!$G$9:$G$18,I19)+1)*100,3000)+J19-100),IF(J19=K19+1,2000+INDEX(Eingabe!$G$9:$G$18,I19)*10+1,IF(J19=K19+2,2000+INDEX(Eingabe!$G$9:$G$18,I19)*10+2,2000+INDEX(Eingabe!$G$9:$G$18,I19)*10+9))),""))</f>
        <v>1113</v>
      </c>
      <c r="C19" s="0" t="str">
        <f aca="false">IF(I19="","",IF(AND(J19&gt;=1,J19&lt;=K19+3),"10."&amp;INDEX(Eingabe!$D$9:$D$18,I19)&amp;"."&amp;IF(J19&lt;=K19,J19,IF(J19=K19+1,200,IF(J19=K19+2,201,250)))&amp;".0/24",""))</f>
        <v>10.1.13.0/24</v>
      </c>
      <c r="D19" s="0" t="str">
        <f aca="false">IF(I19="","",IF(AND(J19&gt;=1,J19&lt;=K19+3),"255.255.255.0",""))</f>
        <v>255.255.255.0</v>
      </c>
      <c r="E19" s="0" t="str">
        <f aca="false">IF(I19="","",IF(AND(J19&gt;=1,J19&lt;=K19+3),"10."&amp;INDEX(Eingabe!$D$9:$D$18,I19)&amp;"."&amp;IF(J19&lt;=K19,J19,IF(J19=K19+1,200,IF(J19=K19+2,201,250)))&amp;".1",""))</f>
        <v>10.1.13.1</v>
      </c>
      <c r="F19" s="0" t="str">
        <f aca="false">IF(I19="","",IF(AND(J19&gt;=1,J19&lt;=K19+3),"10."&amp;INDEX(Eingabe!$D$9:$D$18,I19)&amp;"."&amp;IF(J19&lt;=K19,J19,IF(J19=K19+1,200,IF(J19=K19+2,201,250)))&amp;".10 – 10."&amp;INDEX(Eingabe!$D$9:$D$18,I19)&amp;"."&amp;IF(J19&lt;=K19,J19,IF(J19=K19+1,200,IF(J19=K19+2,201,250)))&amp;".250",""))</f>
        <v>10.1.13.10 – 10.1.13.250</v>
      </c>
      <c r="G19" s="0" t="str">
        <f aca="false">IF(I19="","",IF(AND(J19&gt;=1,J19&lt;=K19),Eingabe!$B$6&amp;"-"&amp;INDEX(Eingabe!$C$9:$C$18,I19)&amp;"-Pächter  ·  Passwort Parzelle "&amp;J19,IF(J19=K19+1,Eingabe!$B$6&amp;"-"&amp;INDEX(Eingabe!$C$9:$C$18,I19)&amp;"-Vorstand  ·  eigenes WLAN",IF(J19=K19+2,Eingabe!$B$6&amp;"-"&amp;INDEX(Eingabe!$C$9:$C$18,I19)&amp;"-Gäste  ·  Voucher",IF(J19=K19+3,"Kabel  ·  Access Point y = .(50+y), Mast-Switch x = .(10+x)","")))))</f>
        <v>SparteNet.de-BW-Pächter  ·  Passwort Parzelle 13</v>
      </c>
      <c r="I19" s="7" t="n">
        <f aca="false">IF(14&lt;=(Eingabe!$P$18+Eingabe!$Q$18-1),MATCH(14,Eingabe!$P$9:$P$18,1),"")</f>
        <v>1</v>
      </c>
      <c r="J19" s="7" t="n">
        <f aca="false">IF(I19="","",14-INDEX(Eingabe!$P$9:$P$18,I19))</f>
        <v>13</v>
      </c>
      <c r="K19" s="7" t="n">
        <f aca="false">IF(I19="","",INDEX(Eingabe!$E$9:$E$18,I19))</f>
        <v>85</v>
      </c>
    </row>
    <row r="20" customFormat="false" ht="15" hidden="false" customHeight="false" outlineLevel="0" collapsed="false">
      <c r="A20" s="0" t="str">
        <f aca="false">IF(I20="","",IF(J20=0,"Sparte "&amp;I20&amp;": "&amp;INDEX(Eingabe!$B$9:$B$18,I20)&amp;"  (Sparten-ID "&amp;INDEX(Eingabe!$D$9:$D$18,I20)&amp;", "&amp;K20&amp;" Parzellen)",IF(J20&lt;=K20,"   Parzelle "&amp;J20,IF(J20=K20+1,"   Vorstand",IF(J20=K20+2,"   Gäste",IF(J20=K20+3,"   Technik (Switches, Access Points)",""))))))</f>
        <v>   Parzelle 14</v>
      </c>
      <c r="B20" s="0" t="n">
        <f aca="false">IF(I20="","",IF(AND(J20&gt;=1,J20&lt;=K20+3),IF(J20&lt;=K20,IF(J20&lt;=99,IF((INDEX(Eingabe!$G$9:$G$18,I20))&lt;=9,1000+(INDEX(Eingabe!$G$9:$G$18,I20))*100,3000)+J20,IF((INDEX(Eingabe!$G$9:$G$18,I20)+1)&lt;=9,1000+(INDEX(Eingabe!$G$9:$G$18,I20)+1)*100,3000)+J20-100),IF(J20=K20+1,2000+INDEX(Eingabe!$G$9:$G$18,I20)*10+1,IF(J20=K20+2,2000+INDEX(Eingabe!$G$9:$G$18,I20)*10+2,2000+INDEX(Eingabe!$G$9:$G$18,I20)*10+9))),""))</f>
        <v>1114</v>
      </c>
      <c r="C20" s="0" t="str">
        <f aca="false">IF(I20="","",IF(AND(J20&gt;=1,J20&lt;=K20+3),"10."&amp;INDEX(Eingabe!$D$9:$D$18,I20)&amp;"."&amp;IF(J20&lt;=K20,J20,IF(J20=K20+1,200,IF(J20=K20+2,201,250)))&amp;".0/24",""))</f>
        <v>10.1.14.0/24</v>
      </c>
      <c r="D20" s="0" t="str">
        <f aca="false">IF(I20="","",IF(AND(J20&gt;=1,J20&lt;=K20+3),"255.255.255.0",""))</f>
        <v>255.255.255.0</v>
      </c>
      <c r="E20" s="0" t="str">
        <f aca="false">IF(I20="","",IF(AND(J20&gt;=1,J20&lt;=K20+3),"10."&amp;INDEX(Eingabe!$D$9:$D$18,I20)&amp;"."&amp;IF(J20&lt;=K20,J20,IF(J20=K20+1,200,IF(J20=K20+2,201,250)))&amp;".1",""))</f>
        <v>10.1.14.1</v>
      </c>
      <c r="F20" s="0" t="str">
        <f aca="false">IF(I20="","",IF(AND(J20&gt;=1,J20&lt;=K20+3),"10."&amp;INDEX(Eingabe!$D$9:$D$18,I20)&amp;"."&amp;IF(J20&lt;=K20,J20,IF(J20=K20+1,200,IF(J20=K20+2,201,250)))&amp;".10 – 10."&amp;INDEX(Eingabe!$D$9:$D$18,I20)&amp;"."&amp;IF(J20&lt;=K20,J20,IF(J20=K20+1,200,IF(J20=K20+2,201,250)))&amp;".250",""))</f>
        <v>10.1.14.10 – 10.1.14.250</v>
      </c>
      <c r="G20" s="0" t="str">
        <f aca="false">IF(I20="","",IF(AND(J20&gt;=1,J20&lt;=K20),Eingabe!$B$6&amp;"-"&amp;INDEX(Eingabe!$C$9:$C$18,I20)&amp;"-Pächter  ·  Passwort Parzelle "&amp;J20,IF(J20=K20+1,Eingabe!$B$6&amp;"-"&amp;INDEX(Eingabe!$C$9:$C$18,I20)&amp;"-Vorstand  ·  eigenes WLAN",IF(J20=K20+2,Eingabe!$B$6&amp;"-"&amp;INDEX(Eingabe!$C$9:$C$18,I20)&amp;"-Gäste  ·  Voucher",IF(J20=K20+3,"Kabel  ·  Access Point y = .(50+y), Mast-Switch x = .(10+x)","")))))</f>
        <v>SparteNet.de-BW-Pächter  ·  Passwort Parzelle 14</v>
      </c>
      <c r="I20" s="7" t="n">
        <f aca="false">IF(15&lt;=(Eingabe!$P$18+Eingabe!$Q$18-1),MATCH(15,Eingabe!$P$9:$P$18,1),"")</f>
        <v>1</v>
      </c>
      <c r="J20" s="7" t="n">
        <f aca="false">IF(I20="","",15-INDEX(Eingabe!$P$9:$P$18,I20))</f>
        <v>14</v>
      </c>
      <c r="K20" s="7" t="n">
        <f aca="false">IF(I20="","",INDEX(Eingabe!$E$9:$E$18,I20))</f>
        <v>85</v>
      </c>
    </row>
    <row r="21" customFormat="false" ht="15" hidden="false" customHeight="false" outlineLevel="0" collapsed="false">
      <c r="A21" s="0" t="str">
        <f aca="false">IF(I21="","",IF(J21=0,"Sparte "&amp;I21&amp;": "&amp;INDEX(Eingabe!$B$9:$B$18,I21)&amp;"  (Sparten-ID "&amp;INDEX(Eingabe!$D$9:$D$18,I21)&amp;", "&amp;K21&amp;" Parzellen)",IF(J21&lt;=K21,"   Parzelle "&amp;J21,IF(J21=K21+1,"   Vorstand",IF(J21=K21+2,"   Gäste",IF(J21=K21+3,"   Technik (Switches, Access Points)",""))))))</f>
        <v>   Parzelle 15</v>
      </c>
      <c r="B21" s="0" t="n">
        <f aca="false">IF(I21="","",IF(AND(J21&gt;=1,J21&lt;=K21+3),IF(J21&lt;=K21,IF(J21&lt;=99,IF((INDEX(Eingabe!$G$9:$G$18,I21))&lt;=9,1000+(INDEX(Eingabe!$G$9:$G$18,I21))*100,3000)+J21,IF((INDEX(Eingabe!$G$9:$G$18,I21)+1)&lt;=9,1000+(INDEX(Eingabe!$G$9:$G$18,I21)+1)*100,3000)+J21-100),IF(J21=K21+1,2000+INDEX(Eingabe!$G$9:$G$18,I21)*10+1,IF(J21=K21+2,2000+INDEX(Eingabe!$G$9:$G$18,I21)*10+2,2000+INDEX(Eingabe!$G$9:$G$18,I21)*10+9))),""))</f>
        <v>1115</v>
      </c>
      <c r="C21" s="0" t="str">
        <f aca="false">IF(I21="","",IF(AND(J21&gt;=1,J21&lt;=K21+3),"10."&amp;INDEX(Eingabe!$D$9:$D$18,I21)&amp;"."&amp;IF(J21&lt;=K21,J21,IF(J21=K21+1,200,IF(J21=K21+2,201,250)))&amp;".0/24",""))</f>
        <v>10.1.15.0/24</v>
      </c>
      <c r="D21" s="0" t="str">
        <f aca="false">IF(I21="","",IF(AND(J21&gt;=1,J21&lt;=K21+3),"255.255.255.0",""))</f>
        <v>255.255.255.0</v>
      </c>
      <c r="E21" s="0" t="str">
        <f aca="false">IF(I21="","",IF(AND(J21&gt;=1,J21&lt;=K21+3),"10."&amp;INDEX(Eingabe!$D$9:$D$18,I21)&amp;"."&amp;IF(J21&lt;=K21,J21,IF(J21=K21+1,200,IF(J21=K21+2,201,250)))&amp;".1",""))</f>
        <v>10.1.15.1</v>
      </c>
      <c r="F21" s="0" t="str">
        <f aca="false">IF(I21="","",IF(AND(J21&gt;=1,J21&lt;=K21+3),"10."&amp;INDEX(Eingabe!$D$9:$D$18,I21)&amp;"."&amp;IF(J21&lt;=K21,J21,IF(J21=K21+1,200,IF(J21=K21+2,201,250)))&amp;".10 – 10."&amp;INDEX(Eingabe!$D$9:$D$18,I21)&amp;"."&amp;IF(J21&lt;=K21,J21,IF(J21=K21+1,200,IF(J21=K21+2,201,250)))&amp;".250",""))</f>
        <v>10.1.15.10 – 10.1.15.250</v>
      </c>
      <c r="G21" s="0" t="str">
        <f aca="false">IF(I21="","",IF(AND(J21&gt;=1,J21&lt;=K21),Eingabe!$B$6&amp;"-"&amp;INDEX(Eingabe!$C$9:$C$18,I21)&amp;"-Pächter  ·  Passwort Parzelle "&amp;J21,IF(J21=K21+1,Eingabe!$B$6&amp;"-"&amp;INDEX(Eingabe!$C$9:$C$18,I21)&amp;"-Vorstand  ·  eigenes WLAN",IF(J21=K21+2,Eingabe!$B$6&amp;"-"&amp;INDEX(Eingabe!$C$9:$C$18,I21)&amp;"-Gäste  ·  Voucher",IF(J21=K21+3,"Kabel  ·  Access Point y = .(50+y), Mast-Switch x = .(10+x)","")))))</f>
        <v>SparteNet.de-BW-Pächter  ·  Passwort Parzelle 15</v>
      </c>
      <c r="I21" s="7" t="n">
        <f aca="false">IF(16&lt;=(Eingabe!$P$18+Eingabe!$Q$18-1),MATCH(16,Eingabe!$P$9:$P$18,1),"")</f>
        <v>1</v>
      </c>
      <c r="J21" s="7" t="n">
        <f aca="false">IF(I21="","",16-INDEX(Eingabe!$P$9:$P$18,I21))</f>
        <v>15</v>
      </c>
      <c r="K21" s="7" t="n">
        <f aca="false">IF(I21="","",INDEX(Eingabe!$E$9:$E$18,I21))</f>
        <v>85</v>
      </c>
    </row>
    <row r="22" customFormat="false" ht="15" hidden="false" customHeight="false" outlineLevel="0" collapsed="false">
      <c r="A22" s="0" t="str">
        <f aca="false">IF(I22="","",IF(J22=0,"Sparte "&amp;I22&amp;": "&amp;INDEX(Eingabe!$B$9:$B$18,I22)&amp;"  (Sparten-ID "&amp;INDEX(Eingabe!$D$9:$D$18,I22)&amp;", "&amp;K22&amp;" Parzellen)",IF(J22&lt;=K22,"   Parzelle "&amp;J22,IF(J22=K22+1,"   Vorstand",IF(J22=K22+2,"   Gäste",IF(J22=K22+3,"   Technik (Switches, Access Points)",""))))))</f>
        <v>   Parzelle 16</v>
      </c>
      <c r="B22" s="0" t="n">
        <f aca="false">IF(I22="","",IF(AND(J22&gt;=1,J22&lt;=K22+3),IF(J22&lt;=K22,IF(J22&lt;=99,IF((INDEX(Eingabe!$G$9:$G$18,I22))&lt;=9,1000+(INDEX(Eingabe!$G$9:$G$18,I22))*100,3000)+J22,IF((INDEX(Eingabe!$G$9:$G$18,I22)+1)&lt;=9,1000+(INDEX(Eingabe!$G$9:$G$18,I22)+1)*100,3000)+J22-100),IF(J22=K22+1,2000+INDEX(Eingabe!$G$9:$G$18,I22)*10+1,IF(J22=K22+2,2000+INDEX(Eingabe!$G$9:$G$18,I22)*10+2,2000+INDEX(Eingabe!$G$9:$G$18,I22)*10+9))),""))</f>
        <v>1116</v>
      </c>
      <c r="C22" s="0" t="str">
        <f aca="false">IF(I22="","",IF(AND(J22&gt;=1,J22&lt;=K22+3),"10."&amp;INDEX(Eingabe!$D$9:$D$18,I22)&amp;"."&amp;IF(J22&lt;=K22,J22,IF(J22=K22+1,200,IF(J22=K22+2,201,250)))&amp;".0/24",""))</f>
        <v>10.1.16.0/24</v>
      </c>
      <c r="D22" s="0" t="str">
        <f aca="false">IF(I22="","",IF(AND(J22&gt;=1,J22&lt;=K22+3),"255.255.255.0",""))</f>
        <v>255.255.255.0</v>
      </c>
      <c r="E22" s="0" t="str">
        <f aca="false">IF(I22="","",IF(AND(J22&gt;=1,J22&lt;=K22+3),"10."&amp;INDEX(Eingabe!$D$9:$D$18,I22)&amp;"."&amp;IF(J22&lt;=K22,J22,IF(J22=K22+1,200,IF(J22=K22+2,201,250)))&amp;".1",""))</f>
        <v>10.1.16.1</v>
      </c>
      <c r="F22" s="0" t="str">
        <f aca="false">IF(I22="","",IF(AND(J22&gt;=1,J22&lt;=K22+3),"10."&amp;INDEX(Eingabe!$D$9:$D$18,I22)&amp;"."&amp;IF(J22&lt;=K22,J22,IF(J22=K22+1,200,IF(J22=K22+2,201,250)))&amp;".10 – 10."&amp;INDEX(Eingabe!$D$9:$D$18,I22)&amp;"."&amp;IF(J22&lt;=K22,J22,IF(J22=K22+1,200,IF(J22=K22+2,201,250)))&amp;".250",""))</f>
        <v>10.1.16.10 – 10.1.16.250</v>
      </c>
      <c r="G22" s="0" t="str">
        <f aca="false">IF(I22="","",IF(AND(J22&gt;=1,J22&lt;=K22),Eingabe!$B$6&amp;"-"&amp;INDEX(Eingabe!$C$9:$C$18,I22)&amp;"-Pächter  ·  Passwort Parzelle "&amp;J22,IF(J22=K22+1,Eingabe!$B$6&amp;"-"&amp;INDEX(Eingabe!$C$9:$C$18,I22)&amp;"-Vorstand  ·  eigenes WLAN",IF(J22=K22+2,Eingabe!$B$6&amp;"-"&amp;INDEX(Eingabe!$C$9:$C$18,I22)&amp;"-Gäste  ·  Voucher",IF(J22=K22+3,"Kabel  ·  Access Point y = .(50+y), Mast-Switch x = .(10+x)","")))))</f>
        <v>SparteNet.de-BW-Pächter  ·  Passwort Parzelle 16</v>
      </c>
      <c r="I22" s="7" t="n">
        <f aca="false">IF(17&lt;=(Eingabe!$P$18+Eingabe!$Q$18-1),MATCH(17,Eingabe!$P$9:$P$18,1),"")</f>
        <v>1</v>
      </c>
      <c r="J22" s="7" t="n">
        <f aca="false">IF(I22="","",17-INDEX(Eingabe!$P$9:$P$18,I22))</f>
        <v>16</v>
      </c>
      <c r="K22" s="7" t="n">
        <f aca="false">IF(I22="","",INDEX(Eingabe!$E$9:$E$18,I22))</f>
        <v>85</v>
      </c>
    </row>
    <row r="23" customFormat="false" ht="15" hidden="false" customHeight="false" outlineLevel="0" collapsed="false">
      <c r="A23" s="0" t="str">
        <f aca="false">IF(I23="","",IF(J23=0,"Sparte "&amp;I23&amp;": "&amp;INDEX(Eingabe!$B$9:$B$18,I23)&amp;"  (Sparten-ID "&amp;INDEX(Eingabe!$D$9:$D$18,I23)&amp;", "&amp;K23&amp;" Parzellen)",IF(J23&lt;=K23,"   Parzelle "&amp;J23,IF(J23=K23+1,"   Vorstand",IF(J23=K23+2,"   Gäste",IF(J23=K23+3,"   Technik (Switches, Access Points)",""))))))</f>
        <v>   Parzelle 17</v>
      </c>
      <c r="B23" s="0" t="n">
        <f aca="false">IF(I23="","",IF(AND(J23&gt;=1,J23&lt;=K23+3),IF(J23&lt;=K23,IF(J23&lt;=99,IF((INDEX(Eingabe!$G$9:$G$18,I23))&lt;=9,1000+(INDEX(Eingabe!$G$9:$G$18,I23))*100,3000)+J23,IF((INDEX(Eingabe!$G$9:$G$18,I23)+1)&lt;=9,1000+(INDEX(Eingabe!$G$9:$G$18,I23)+1)*100,3000)+J23-100),IF(J23=K23+1,2000+INDEX(Eingabe!$G$9:$G$18,I23)*10+1,IF(J23=K23+2,2000+INDEX(Eingabe!$G$9:$G$18,I23)*10+2,2000+INDEX(Eingabe!$G$9:$G$18,I23)*10+9))),""))</f>
        <v>1117</v>
      </c>
      <c r="C23" s="0" t="str">
        <f aca="false">IF(I23="","",IF(AND(J23&gt;=1,J23&lt;=K23+3),"10."&amp;INDEX(Eingabe!$D$9:$D$18,I23)&amp;"."&amp;IF(J23&lt;=K23,J23,IF(J23=K23+1,200,IF(J23=K23+2,201,250)))&amp;".0/24",""))</f>
        <v>10.1.17.0/24</v>
      </c>
      <c r="D23" s="0" t="str">
        <f aca="false">IF(I23="","",IF(AND(J23&gt;=1,J23&lt;=K23+3),"255.255.255.0",""))</f>
        <v>255.255.255.0</v>
      </c>
      <c r="E23" s="0" t="str">
        <f aca="false">IF(I23="","",IF(AND(J23&gt;=1,J23&lt;=K23+3),"10."&amp;INDEX(Eingabe!$D$9:$D$18,I23)&amp;"."&amp;IF(J23&lt;=K23,J23,IF(J23=K23+1,200,IF(J23=K23+2,201,250)))&amp;".1",""))</f>
        <v>10.1.17.1</v>
      </c>
      <c r="F23" s="0" t="str">
        <f aca="false">IF(I23="","",IF(AND(J23&gt;=1,J23&lt;=K23+3),"10."&amp;INDEX(Eingabe!$D$9:$D$18,I23)&amp;"."&amp;IF(J23&lt;=K23,J23,IF(J23=K23+1,200,IF(J23=K23+2,201,250)))&amp;".10 – 10."&amp;INDEX(Eingabe!$D$9:$D$18,I23)&amp;"."&amp;IF(J23&lt;=K23,J23,IF(J23=K23+1,200,IF(J23=K23+2,201,250)))&amp;".250",""))</f>
        <v>10.1.17.10 – 10.1.17.250</v>
      </c>
      <c r="G23" s="0" t="str">
        <f aca="false">IF(I23="","",IF(AND(J23&gt;=1,J23&lt;=K23),Eingabe!$B$6&amp;"-"&amp;INDEX(Eingabe!$C$9:$C$18,I23)&amp;"-Pächter  ·  Passwort Parzelle "&amp;J23,IF(J23=K23+1,Eingabe!$B$6&amp;"-"&amp;INDEX(Eingabe!$C$9:$C$18,I23)&amp;"-Vorstand  ·  eigenes WLAN",IF(J23=K23+2,Eingabe!$B$6&amp;"-"&amp;INDEX(Eingabe!$C$9:$C$18,I23)&amp;"-Gäste  ·  Voucher",IF(J23=K23+3,"Kabel  ·  Access Point y = .(50+y), Mast-Switch x = .(10+x)","")))))</f>
        <v>SparteNet.de-BW-Pächter  ·  Passwort Parzelle 17</v>
      </c>
      <c r="I23" s="7" t="n">
        <f aca="false">IF(18&lt;=(Eingabe!$P$18+Eingabe!$Q$18-1),MATCH(18,Eingabe!$P$9:$P$18,1),"")</f>
        <v>1</v>
      </c>
      <c r="J23" s="7" t="n">
        <f aca="false">IF(I23="","",18-INDEX(Eingabe!$P$9:$P$18,I23))</f>
        <v>17</v>
      </c>
      <c r="K23" s="7" t="n">
        <f aca="false">IF(I23="","",INDEX(Eingabe!$E$9:$E$18,I23))</f>
        <v>85</v>
      </c>
    </row>
    <row r="24" customFormat="false" ht="15" hidden="false" customHeight="false" outlineLevel="0" collapsed="false">
      <c r="A24" s="0" t="str">
        <f aca="false">IF(I24="","",IF(J24=0,"Sparte "&amp;I24&amp;": "&amp;INDEX(Eingabe!$B$9:$B$18,I24)&amp;"  (Sparten-ID "&amp;INDEX(Eingabe!$D$9:$D$18,I24)&amp;", "&amp;K24&amp;" Parzellen)",IF(J24&lt;=K24,"   Parzelle "&amp;J24,IF(J24=K24+1,"   Vorstand",IF(J24=K24+2,"   Gäste",IF(J24=K24+3,"   Technik (Switches, Access Points)",""))))))</f>
        <v>   Parzelle 18</v>
      </c>
      <c r="B24" s="0" t="n">
        <f aca="false">IF(I24="","",IF(AND(J24&gt;=1,J24&lt;=K24+3),IF(J24&lt;=K24,IF(J24&lt;=99,IF((INDEX(Eingabe!$G$9:$G$18,I24))&lt;=9,1000+(INDEX(Eingabe!$G$9:$G$18,I24))*100,3000)+J24,IF((INDEX(Eingabe!$G$9:$G$18,I24)+1)&lt;=9,1000+(INDEX(Eingabe!$G$9:$G$18,I24)+1)*100,3000)+J24-100),IF(J24=K24+1,2000+INDEX(Eingabe!$G$9:$G$18,I24)*10+1,IF(J24=K24+2,2000+INDEX(Eingabe!$G$9:$G$18,I24)*10+2,2000+INDEX(Eingabe!$G$9:$G$18,I24)*10+9))),""))</f>
        <v>1118</v>
      </c>
      <c r="C24" s="0" t="str">
        <f aca="false">IF(I24="","",IF(AND(J24&gt;=1,J24&lt;=K24+3),"10."&amp;INDEX(Eingabe!$D$9:$D$18,I24)&amp;"."&amp;IF(J24&lt;=K24,J24,IF(J24=K24+1,200,IF(J24=K24+2,201,250)))&amp;".0/24",""))</f>
        <v>10.1.18.0/24</v>
      </c>
      <c r="D24" s="0" t="str">
        <f aca="false">IF(I24="","",IF(AND(J24&gt;=1,J24&lt;=K24+3),"255.255.255.0",""))</f>
        <v>255.255.255.0</v>
      </c>
      <c r="E24" s="0" t="str">
        <f aca="false">IF(I24="","",IF(AND(J24&gt;=1,J24&lt;=K24+3),"10."&amp;INDEX(Eingabe!$D$9:$D$18,I24)&amp;"."&amp;IF(J24&lt;=K24,J24,IF(J24=K24+1,200,IF(J24=K24+2,201,250)))&amp;".1",""))</f>
        <v>10.1.18.1</v>
      </c>
      <c r="F24" s="0" t="str">
        <f aca="false">IF(I24="","",IF(AND(J24&gt;=1,J24&lt;=K24+3),"10."&amp;INDEX(Eingabe!$D$9:$D$18,I24)&amp;"."&amp;IF(J24&lt;=K24,J24,IF(J24=K24+1,200,IF(J24=K24+2,201,250)))&amp;".10 – 10."&amp;INDEX(Eingabe!$D$9:$D$18,I24)&amp;"."&amp;IF(J24&lt;=K24,J24,IF(J24=K24+1,200,IF(J24=K24+2,201,250)))&amp;".250",""))</f>
        <v>10.1.18.10 – 10.1.18.250</v>
      </c>
      <c r="G24" s="0" t="str">
        <f aca="false">IF(I24="","",IF(AND(J24&gt;=1,J24&lt;=K24),Eingabe!$B$6&amp;"-"&amp;INDEX(Eingabe!$C$9:$C$18,I24)&amp;"-Pächter  ·  Passwort Parzelle "&amp;J24,IF(J24=K24+1,Eingabe!$B$6&amp;"-"&amp;INDEX(Eingabe!$C$9:$C$18,I24)&amp;"-Vorstand  ·  eigenes WLAN",IF(J24=K24+2,Eingabe!$B$6&amp;"-"&amp;INDEX(Eingabe!$C$9:$C$18,I24)&amp;"-Gäste  ·  Voucher",IF(J24=K24+3,"Kabel  ·  Access Point y = .(50+y), Mast-Switch x = .(10+x)","")))))</f>
        <v>SparteNet.de-BW-Pächter  ·  Passwort Parzelle 18</v>
      </c>
      <c r="I24" s="7" t="n">
        <f aca="false">IF(19&lt;=(Eingabe!$P$18+Eingabe!$Q$18-1),MATCH(19,Eingabe!$P$9:$P$18,1),"")</f>
        <v>1</v>
      </c>
      <c r="J24" s="7" t="n">
        <f aca="false">IF(I24="","",19-INDEX(Eingabe!$P$9:$P$18,I24))</f>
        <v>18</v>
      </c>
      <c r="K24" s="7" t="n">
        <f aca="false">IF(I24="","",INDEX(Eingabe!$E$9:$E$18,I24))</f>
        <v>85</v>
      </c>
    </row>
    <row r="25" customFormat="false" ht="15" hidden="false" customHeight="false" outlineLevel="0" collapsed="false">
      <c r="A25" s="0" t="str">
        <f aca="false">IF(I25="","",IF(J25=0,"Sparte "&amp;I25&amp;": "&amp;INDEX(Eingabe!$B$9:$B$18,I25)&amp;"  (Sparten-ID "&amp;INDEX(Eingabe!$D$9:$D$18,I25)&amp;", "&amp;K25&amp;" Parzellen)",IF(J25&lt;=K25,"   Parzelle "&amp;J25,IF(J25=K25+1,"   Vorstand",IF(J25=K25+2,"   Gäste",IF(J25=K25+3,"   Technik (Switches, Access Points)",""))))))</f>
        <v>   Parzelle 19</v>
      </c>
      <c r="B25" s="0" t="n">
        <f aca="false">IF(I25="","",IF(AND(J25&gt;=1,J25&lt;=K25+3),IF(J25&lt;=K25,IF(J25&lt;=99,IF((INDEX(Eingabe!$G$9:$G$18,I25))&lt;=9,1000+(INDEX(Eingabe!$G$9:$G$18,I25))*100,3000)+J25,IF((INDEX(Eingabe!$G$9:$G$18,I25)+1)&lt;=9,1000+(INDEX(Eingabe!$G$9:$G$18,I25)+1)*100,3000)+J25-100),IF(J25=K25+1,2000+INDEX(Eingabe!$G$9:$G$18,I25)*10+1,IF(J25=K25+2,2000+INDEX(Eingabe!$G$9:$G$18,I25)*10+2,2000+INDEX(Eingabe!$G$9:$G$18,I25)*10+9))),""))</f>
        <v>1119</v>
      </c>
      <c r="C25" s="0" t="str">
        <f aca="false">IF(I25="","",IF(AND(J25&gt;=1,J25&lt;=K25+3),"10."&amp;INDEX(Eingabe!$D$9:$D$18,I25)&amp;"."&amp;IF(J25&lt;=K25,J25,IF(J25=K25+1,200,IF(J25=K25+2,201,250)))&amp;".0/24",""))</f>
        <v>10.1.19.0/24</v>
      </c>
      <c r="D25" s="0" t="str">
        <f aca="false">IF(I25="","",IF(AND(J25&gt;=1,J25&lt;=K25+3),"255.255.255.0",""))</f>
        <v>255.255.255.0</v>
      </c>
      <c r="E25" s="0" t="str">
        <f aca="false">IF(I25="","",IF(AND(J25&gt;=1,J25&lt;=K25+3),"10."&amp;INDEX(Eingabe!$D$9:$D$18,I25)&amp;"."&amp;IF(J25&lt;=K25,J25,IF(J25=K25+1,200,IF(J25=K25+2,201,250)))&amp;".1",""))</f>
        <v>10.1.19.1</v>
      </c>
      <c r="F25" s="0" t="str">
        <f aca="false">IF(I25="","",IF(AND(J25&gt;=1,J25&lt;=K25+3),"10."&amp;INDEX(Eingabe!$D$9:$D$18,I25)&amp;"."&amp;IF(J25&lt;=K25,J25,IF(J25=K25+1,200,IF(J25=K25+2,201,250)))&amp;".10 – 10."&amp;INDEX(Eingabe!$D$9:$D$18,I25)&amp;"."&amp;IF(J25&lt;=K25,J25,IF(J25=K25+1,200,IF(J25=K25+2,201,250)))&amp;".250",""))</f>
        <v>10.1.19.10 – 10.1.19.250</v>
      </c>
      <c r="G25" s="0" t="str">
        <f aca="false">IF(I25="","",IF(AND(J25&gt;=1,J25&lt;=K25),Eingabe!$B$6&amp;"-"&amp;INDEX(Eingabe!$C$9:$C$18,I25)&amp;"-Pächter  ·  Passwort Parzelle "&amp;J25,IF(J25=K25+1,Eingabe!$B$6&amp;"-"&amp;INDEX(Eingabe!$C$9:$C$18,I25)&amp;"-Vorstand  ·  eigenes WLAN",IF(J25=K25+2,Eingabe!$B$6&amp;"-"&amp;INDEX(Eingabe!$C$9:$C$18,I25)&amp;"-Gäste  ·  Voucher",IF(J25=K25+3,"Kabel  ·  Access Point y = .(50+y), Mast-Switch x = .(10+x)","")))))</f>
        <v>SparteNet.de-BW-Pächter  ·  Passwort Parzelle 19</v>
      </c>
      <c r="I25" s="7" t="n">
        <f aca="false">IF(20&lt;=(Eingabe!$P$18+Eingabe!$Q$18-1),MATCH(20,Eingabe!$P$9:$P$18,1),"")</f>
        <v>1</v>
      </c>
      <c r="J25" s="7" t="n">
        <f aca="false">IF(I25="","",20-INDEX(Eingabe!$P$9:$P$18,I25))</f>
        <v>19</v>
      </c>
      <c r="K25" s="7" t="n">
        <f aca="false">IF(I25="","",INDEX(Eingabe!$E$9:$E$18,I25))</f>
        <v>85</v>
      </c>
    </row>
    <row r="26" customFormat="false" ht="15" hidden="false" customHeight="false" outlineLevel="0" collapsed="false">
      <c r="A26" s="0" t="str">
        <f aca="false">IF(I26="","",IF(J26=0,"Sparte "&amp;I26&amp;": "&amp;INDEX(Eingabe!$B$9:$B$18,I26)&amp;"  (Sparten-ID "&amp;INDEX(Eingabe!$D$9:$D$18,I26)&amp;", "&amp;K26&amp;" Parzellen)",IF(J26&lt;=K26,"   Parzelle "&amp;J26,IF(J26=K26+1,"   Vorstand",IF(J26=K26+2,"   Gäste",IF(J26=K26+3,"   Technik (Switches, Access Points)",""))))))</f>
        <v>   Parzelle 20</v>
      </c>
      <c r="B26" s="0" t="n">
        <f aca="false">IF(I26="","",IF(AND(J26&gt;=1,J26&lt;=K26+3),IF(J26&lt;=K26,IF(J26&lt;=99,IF((INDEX(Eingabe!$G$9:$G$18,I26))&lt;=9,1000+(INDEX(Eingabe!$G$9:$G$18,I26))*100,3000)+J26,IF((INDEX(Eingabe!$G$9:$G$18,I26)+1)&lt;=9,1000+(INDEX(Eingabe!$G$9:$G$18,I26)+1)*100,3000)+J26-100),IF(J26=K26+1,2000+INDEX(Eingabe!$G$9:$G$18,I26)*10+1,IF(J26=K26+2,2000+INDEX(Eingabe!$G$9:$G$18,I26)*10+2,2000+INDEX(Eingabe!$G$9:$G$18,I26)*10+9))),""))</f>
        <v>1120</v>
      </c>
      <c r="C26" s="0" t="str">
        <f aca="false">IF(I26="","",IF(AND(J26&gt;=1,J26&lt;=K26+3),"10."&amp;INDEX(Eingabe!$D$9:$D$18,I26)&amp;"."&amp;IF(J26&lt;=K26,J26,IF(J26=K26+1,200,IF(J26=K26+2,201,250)))&amp;".0/24",""))</f>
        <v>10.1.20.0/24</v>
      </c>
      <c r="D26" s="0" t="str">
        <f aca="false">IF(I26="","",IF(AND(J26&gt;=1,J26&lt;=K26+3),"255.255.255.0",""))</f>
        <v>255.255.255.0</v>
      </c>
      <c r="E26" s="0" t="str">
        <f aca="false">IF(I26="","",IF(AND(J26&gt;=1,J26&lt;=K26+3),"10."&amp;INDEX(Eingabe!$D$9:$D$18,I26)&amp;"."&amp;IF(J26&lt;=K26,J26,IF(J26=K26+1,200,IF(J26=K26+2,201,250)))&amp;".1",""))</f>
        <v>10.1.20.1</v>
      </c>
      <c r="F26" s="0" t="str">
        <f aca="false">IF(I26="","",IF(AND(J26&gt;=1,J26&lt;=K26+3),"10."&amp;INDEX(Eingabe!$D$9:$D$18,I26)&amp;"."&amp;IF(J26&lt;=K26,J26,IF(J26=K26+1,200,IF(J26=K26+2,201,250)))&amp;".10 – 10."&amp;INDEX(Eingabe!$D$9:$D$18,I26)&amp;"."&amp;IF(J26&lt;=K26,J26,IF(J26=K26+1,200,IF(J26=K26+2,201,250)))&amp;".250",""))</f>
        <v>10.1.20.10 – 10.1.20.250</v>
      </c>
      <c r="G26" s="0" t="str">
        <f aca="false">IF(I26="","",IF(AND(J26&gt;=1,J26&lt;=K26),Eingabe!$B$6&amp;"-"&amp;INDEX(Eingabe!$C$9:$C$18,I26)&amp;"-Pächter  ·  Passwort Parzelle "&amp;J26,IF(J26=K26+1,Eingabe!$B$6&amp;"-"&amp;INDEX(Eingabe!$C$9:$C$18,I26)&amp;"-Vorstand  ·  eigenes WLAN",IF(J26=K26+2,Eingabe!$B$6&amp;"-"&amp;INDEX(Eingabe!$C$9:$C$18,I26)&amp;"-Gäste  ·  Voucher",IF(J26=K26+3,"Kabel  ·  Access Point y = .(50+y), Mast-Switch x = .(10+x)","")))))</f>
        <v>SparteNet.de-BW-Pächter  ·  Passwort Parzelle 20</v>
      </c>
      <c r="I26" s="7" t="n">
        <f aca="false">IF(21&lt;=(Eingabe!$P$18+Eingabe!$Q$18-1),MATCH(21,Eingabe!$P$9:$P$18,1),"")</f>
        <v>1</v>
      </c>
      <c r="J26" s="7" t="n">
        <f aca="false">IF(I26="","",21-INDEX(Eingabe!$P$9:$P$18,I26))</f>
        <v>20</v>
      </c>
      <c r="K26" s="7" t="n">
        <f aca="false">IF(I26="","",INDEX(Eingabe!$E$9:$E$18,I26))</f>
        <v>85</v>
      </c>
    </row>
    <row r="27" customFormat="false" ht="15" hidden="false" customHeight="false" outlineLevel="0" collapsed="false">
      <c r="A27" s="0" t="str">
        <f aca="false">IF(I27="","",IF(J27=0,"Sparte "&amp;I27&amp;": "&amp;INDEX(Eingabe!$B$9:$B$18,I27)&amp;"  (Sparten-ID "&amp;INDEX(Eingabe!$D$9:$D$18,I27)&amp;", "&amp;K27&amp;" Parzellen)",IF(J27&lt;=K27,"   Parzelle "&amp;J27,IF(J27=K27+1,"   Vorstand",IF(J27=K27+2,"   Gäste",IF(J27=K27+3,"   Technik (Switches, Access Points)",""))))))</f>
        <v>   Parzelle 21</v>
      </c>
      <c r="B27" s="0" t="n">
        <f aca="false">IF(I27="","",IF(AND(J27&gt;=1,J27&lt;=K27+3),IF(J27&lt;=K27,IF(J27&lt;=99,IF((INDEX(Eingabe!$G$9:$G$18,I27))&lt;=9,1000+(INDEX(Eingabe!$G$9:$G$18,I27))*100,3000)+J27,IF((INDEX(Eingabe!$G$9:$G$18,I27)+1)&lt;=9,1000+(INDEX(Eingabe!$G$9:$G$18,I27)+1)*100,3000)+J27-100),IF(J27=K27+1,2000+INDEX(Eingabe!$G$9:$G$18,I27)*10+1,IF(J27=K27+2,2000+INDEX(Eingabe!$G$9:$G$18,I27)*10+2,2000+INDEX(Eingabe!$G$9:$G$18,I27)*10+9))),""))</f>
        <v>1121</v>
      </c>
      <c r="C27" s="0" t="str">
        <f aca="false">IF(I27="","",IF(AND(J27&gt;=1,J27&lt;=K27+3),"10."&amp;INDEX(Eingabe!$D$9:$D$18,I27)&amp;"."&amp;IF(J27&lt;=K27,J27,IF(J27=K27+1,200,IF(J27=K27+2,201,250)))&amp;".0/24",""))</f>
        <v>10.1.21.0/24</v>
      </c>
      <c r="D27" s="0" t="str">
        <f aca="false">IF(I27="","",IF(AND(J27&gt;=1,J27&lt;=K27+3),"255.255.255.0",""))</f>
        <v>255.255.255.0</v>
      </c>
      <c r="E27" s="0" t="str">
        <f aca="false">IF(I27="","",IF(AND(J27&gt;=1,J27&lt;=K27+3),"10."&amp;INDEX(Eingabe!$D$9:$D$18,I27)&amp;"."&amp;IF(J27&lt;=K27,J27,IF(J27=K27+1,200,IF(J27=K27+2,201,250)))&amp;".1",""))</f>
        <v>10.1.21.1</v>
      </c>
      <c r="F27" s="0" t="str">
        <f aca="false">IF(I27="","",IF(AND(J27&gt;=1,J27&lt;=K27+3),"10."&amp;INDEX(Eingabe!$D$9:$D$18,I27)&amp;"."&amp;IF(J27&lt;=K27,J27,IF(J27=K27+1,200,IF(J27=K27+2,201,250)))&amp;".10 – 10."&amp;INDEX(Eingabe!$D$9:$D$18,I27)&amp;"."&amp;IF(J27&lt;=K27,J27,IF(J27=K27+1,200,IF(J27=K27+2,201,250)))&amp;".250",""))</f>
        <v>10.1.21.10 – 10.1.21.250</v>
      </c>
      <c r="G27" s="0" t="str">
        <f aca="false">IF(I27="","",IF(AND(J27&gt;=1,J27&lt;=K27),Eingabe!$B$6&amp;"-"&amp;INDEX(Eingabe!$C$9:$C$18,I27)&amp;"-Pächter  ·  Passwort Parzelle "&amp;J27,IF(J27=K27+1,Eingabe!$B$6&amp;"-"&amp;INDEX(Eingabe!$C$9:$C$18,I27)&amp;"-Vorstand  ·  eigenes WLAN",IF(J27=K27+2,Eingabe!$B$6&amp;"-"&amp;INDEX(Eingabe!$C$9:$C$18,I27)&amp;"-Gäste  ·  Voucher",IF(J27=K27+3,"Kabel  ·  Access Point y = .(50+y), Mast-Switch x = .(10+x)","")))))</f>
        <v>SparteNet.de-BW-Pächter  ·  Passwort Parzelle 21</v>
      </c>
      <c r="I27" s="7" t="n">
        <f aca="false">IF(22&lt;=(Eingabe!$P$18+Eingabe!$Q$18-1),MATCH(22,Eingabe!$P$9:$P$18,1),"")</f>
        <v>1</v>
      </c>
      <c r="J27" s="7" t="n">
        <f aca="false">IF(I27="","",22-INDEX(Eingabe!$P$9:$P$18,I27))</f>
        <v>21</v>
      </c>
      <c r="K27" s="7" t="n">
        <f aca="false">IF(I27="","",INDEX(Eingabe!$E$9:$E$18,I27))</f>
        <v>85</v>
      </c>
    </row>
    <row r="28" customFormat="false" ht="15" hidden="false" customHeight="false" outlineLevel="0" collapsed="false">
      <c r="A28" s="0" t="str">
        <f aca="false">IF(I28="","",IF(J28=0,"Sparte "&amp;I28&amp;": "&amp;INDEX(Eingabe!$B$9:$B$18,I28)&amp;"  (Sparten-ID "&amp;INDEX(Eingabe!$D$9:$D$18,I28)&amp;", "&amp;K28&amp;" Parzellen)",IF(J28&lt;=K28,"   Parzelle "&amp;J28,IF(J28=K28+1,"   Vorstand",IF(J28=K28+2,"   Gäste",IF(J28=K28+3,"   Technik (Switches, Access Points)",""))))))</f>
        <v>   Parzelle 22</v>
      </c>
      <c r="B28" s="0" t="n">
        <f aca="false">IF(I28="","",IF(AND(J28&gt;=1,J28&lt;=K28+3),IF(J28&lt;=K28,IF(J28&lt;=99,IF((INDEX(Eingabe!$G$9:$G$18,I28))&lt;=9,1000+(INDEX(Eingabe!$G$9:$G$18,I28))*100,3000)+J28,IF((INDEX(Eingabe!$G$9:$G$18,I28)+1)&lt;=9,1000+(INDEX(Eingabe!$G$9:$G$18,I28)+1)*100,3000)+J28-100),IF(J28=K28+1,2000+INDEX(Eingabe!$G$9:$G$18,I28)*10+1,IF(J28=K28+2,2000+INDEX(Eingabe!$G$9:$G$18,I28)*10+2,2000+INDEX(Eingabe!$G$9:$G$18,I28)*10+9))),""))</f>
        <v>1122</v>
      </c>
      <c r="C28" s="0" t="str">
        <f aca="false">IF(I28="","",IF(AND(J28&gt;=1,J28&lt;=K28+3),"10."&amp;INDEX(Eingabe!$D$9:$D$18,I28)&amp;"."&amp;IF(J28&lt;=K28,J28,IF(J28=K28+1,200,IF(J28=K28+2,201,250)))&amp;".0/24",""))</f>
        <v>10.1.22.0/24</v>
      </c>
      <c r="D28" s="0" t="str">
        <f aca="false">IF(I28="","",IF(AND(J28&gt;=1,J28&lt;=K28+3),"255.255.255.0",""))</f>
        <v>255.255.255.0</v>
      </c>
      <c r="E28" s="0" t="str">
        <f aca="false">IF(I28="","",IF(AND(J28&gt;=1,J28&lt;=K28+3),"10."&amp;INDEX(Eingabe!$D$9:$D$18,I28)&amp;"."&amp;IF(J28&lt;=K28,J28,IF(J28=K28+1,200,IF(J28=K28+2,201,250)))&amp;".1",""))</f>
        <v>10.1.22.1</v>
      </c>
      <c r="F28" s="0" t="str">
        <f aca="false">IF(I28="","",IF(AND(J28&gt;=1,J28&lt;=K28+3),"10."&amp;INDEX(Eingabe!$D$9:$D$18,I28)&amp;"."&amp;IF(J28&lt;=K28,J28,IF(J28=K28+1,200,IF(J28=K28+2,201,250)))&amp;".10 – 10."&amp;INDEX(Eingabe!$D$9:$D$18,I28)&amp;"."&amp;IF(J28&lt;=K28,J28,IF(J28=K28+1,200,IF(J28=K28+2,201,250)))&amp;".250",""))</f>
        <v>10.1.22.10 – 10.1.22.250</v>
      </c>
      <c r="G28" s="0" t="str">
        <f aca="false">IF(I28="","",IF(AND(J28&gt;=1,J28&lt;=K28),Eingabe!$B$6&amp;"-"&amp;INDEX(Eingabe!$C$9:$C$18,I28)&amp;"-Pächter  ·  Passwort Parzelle "&amp;J28,IF(J28=K28+1,Eingabe!$B$6&amp;"-"&amp;INDEX(Eingabe!$C$9:$C$18,I28)&amp;"-Vorstand  ·  eigenes WLAN",IF(J28=K28+2,Eingabe!$B$6&amp;"-"&amp;INDEX(Eingabe!$C$9:$C$18,I28)&amp;"-Gäste  ·  Voucher",IF(J28=K28+3,"Kabel  ·  Access Point y = .(50+y), Mast-Switch x = .(10+x)","")))))</f>
        <v>SparteNet.de-BW-Pächter  ·  Passwort Parzelle 22</v>
      </c>
      <c r="I28" s="7" t="n">
        <f aca="false">IF(23&lt;=(Eingabe!$P$18+Eingabe!$Q$18-1),MATCH(23,Eingabe!$P$9:$P$18,1),"")</f>
        <v>1</v>
      </c>
      <c r="J28" s="7" t="n">
        <f aca="false">IF(I28="","",23-INDEX(Eingabe!$P$9:$P$18,I28))</f>
        <v>22</v>
      </c>
      <c r="K28" s="7" t="n">
        <f aca="false">IF(I28="","",INDEX(Eingabe!$E$9:$E$18,I28))</f>
        <v>85</v>
      </c>
    </row>
    <row r="29" customFormat="false" ht="15" hidden="false" customHeight="false" outlineLevel="0" collapsed="false">
      <c r="A29" s="0" t="str">
        <f aca="false">IF(I29="","",IF(J29=0,"Sparte "&amp;I29&amp;": "&amp;INDEX(Eingabe!$B$9:$B$18,I29)&amp;"  (Sparten-ID "&amp;INDEX(Eingabe!$D$9:$D$18,I29)&amp;", "&amp;K29&amp;" Parzellen)",IF(J29&lt;=K29,"   Parzelle "&amp;J29,IF(J29=K29+1,"   Vorstand",IF(J29=K29+2,"   Gäste",IF(J29=K29+3,"   Technik (Switches, Access Points)",""))))))</f>
        <v>   Parzelle 23</v>
      </c>
      <c r="B29" s="0" t="n">
        <f aca="false">IF(I29="","",IF(AND(J29&gt;=1,J29&lt;=K29+3),IF(J29&lt;=K29,IF(J29&lt;=99,IF((INDEX(Eingabe!$G$9:$G$18,I29))&lt;=9,1000+(INDEX(Eingabe!$G$9:$G$18,I29))*100,3000)+J29,IF((INDEX(Eingabe!$G$9:$G$18,I29)+1)&lt;=9,1000+(INDEX(Eingabe!$G$9:$G$18,I29)+1)*100,3000)+J29-100),IF(J29=K29+1,2000+INDEX(Eingabe!$G$9:$G$18,I29)*10+1,IF(J29=K29+2,2000+INDEX(Eingabe!$G$9:$G$18,I29)*10+2,2000+INDEX(Eingabe!$G$9:$G$18,I29)*10+9))),""))</f>
        <v>1123</v>
      </c>
      <c r="C29" s="0" t="str">
        <f aca="false">IF(I29="","",IF(AND(J29&gt;=1,J29&lt;=K29+3),"10."&amp;INDEX(Eingabe!$D$9:$D$18,I29)&amp;"."&amp;IF(J29&lt;=K29,J29,IF(J29=K29+1,200,IF(J29=K29+2,201,250)))&amp;".0/24",""))</f>
        <v>10.1.23.0/24</v>
      </c>
      <c r="D29" s="0" t="str">
        <f aca="false">IF(I29="","",IF(AND(J29&gt;=1,J29&lt;=K29+3),"255.255.255.0",""))</f>
        <v>255.255.255.0</v>
      </c>
      <c r="E29" s="0" t="str">
        <f aca="false">IF(I29="","",IF(AND(J29&gt;=1,J29&lt;=K29+3),"10."&amp;INDEX(Eingabe!$D$9:$D$18,I29)&amp;"."&amp;IF(J29&lt;=K29,J29,IF(J29=K29+1,200,IF(J29=K29+2,201,250)))&amp;".1",""))</f>
        <v>10.1.23.1</v>
      </c>
      <c r="F29" s="0" t="str">
        <f aca="false">IF(I29="","",IF(AND(J29&gt;=1,J29&lt;=K29+3),"10."&amp;INDEX(Eingabe!$D$9:$D$18,I29)&amp;"."&amp;IF(J29&lt;=K29,J29,IF(J29=K29+1,200,IF(J29=K29+2,201,250)))&amp;".10 – 10."&amp;INDEX(Eingabe!$D$9:$D$18,I29)&amp;"."&amp;IF(J29&lt;=K29,J29,IF(J29=K29+1,200,IF(J29=K29+2,201,250)))&amp;".250",""))</f>
        <v>10.1.23.10 – 10.1.23.250</v>
      </c>
      <c r="G29" s="0" t="str">
        <f aca="false">IF(I29="","",IF(AND(J29&gt;=1,J29&lt;=K29),Eingabe!$B$6&amp;"-"&amp;INDEX(Eingabe!$C$9:$C$18,I29)&amp;"-Pächter  ·  Passwort Parzelle "&amp;J29,IF(J29=K29+1,Eingabe!$B$6&amp;"-"&amp;INDEX(Eingabe!$C$9:$C$18,I29)&amp;"-Vorstand  ·  eigenes WLAN",IF(J29=K29+2,Eingabe!$B$6&amp;"-"&amp;INDEX(Eingabe!$C$9:$C$18,I29)&amp;"-Gäste  ·  Voucher",IF(J29=K29+3,"Kabel  ·  Access Point y = .(50+y), Mast-Switch x = .(10+x)","")))))</f>
        <v>SparteNet.de-BW-Pächter  ·  Passwort Parzelle 23</v>
      </c>
      <c r="I29" s="7" t="n">
        <f aca="false">IF(24&lt;=(Eingabe!$P$18+Eingabe!$Q$18-1),MATCH(24,Eingabe!$P$9:$P$18,1),"")</f>
        <v>1</v>
      </c>
      <c r="J29" s="7" t="n">
        <f aca="false">IF(I29="","",24-INDEX(Eingabe!$P$9:$P$18,I29))</f>
        <v>23</v>
      </c>
      <c r="K29" s="7" t="n">
        <f aca="false">IF(I29="","",INDEX(Eingabe!$E$9:$E$18,I29))</f>
        <v>85</v>
      </c>
    </row>
    <row r="30" customFormat="false" ht="15" hidden="false" customHeight="false" outlineLevel="0" collapsed="false">
      <c r="A30" s="0" t="str">
        <f aca="false">IF(I30="","",IF(J30=0,"Sparte "&amp;I30&amp;": "&amp;INDEX(Eingabe!$B$9:$B$18,I30)&amp;"  (Sparten-ID "&amp;INDEX(Eingabe!$D$9:$D$18,I30)&amp;", "&amp;K30&amp;" Parzellen)",IF(J30&lt;=K30,"   Parzelle "&amp;J30,IF(J30=K30+1,"   Vorstand",IF(J30=K30+2,"   Gäste",IF(J30=K30+3,"   Technik (Switches, Access Points)",""))))))</f>
        <v>   Parzelle 24</v>
      </c>
      <c r="B30" s="0" t="n">
        <f aca="false">IF(I30="","",IF(AND(J30&gt;=1,J30&lt;=K30+3),IF(J30&lt;=K30,IF(J30&lt;=99,IF((INDEX(Eingabe!$G$9:$G$18,I30))&lt;=9,1000+(INDEX(Eingabe!$G$9:$G$18,I30))*100,3000)+J30,IF((INDEX(Eingabe!$G$9:$G$18,I30)+1)&lt;=9,1000+(INDEX(Eingabe!$G$9:$G$18,I30)+1)*100,3000)+J30-100),IF(J30=K30+1,2000+INDEX(Eingabe!$G$9:$G$18,I30)*10+1,IF(J30=K30+2,2000+INDEX(Eingabe!$G$9:$G$18,I30)*10+2,2000+INDEX(Eingabe!$G$9:$G$18,I30)*10+9))),""))</f>
        <v>1124</v>
      </c>
      <c r="C30" s="0" t="str">
        <f aca="false">IF(I30="","",IF(AND(J30&gt;=1,J30&lt;=K30+3),"10."&amp;INDEX(Eingabe!$D$9:$D$18,I30)&amp;"."&amp;IF(J30&lt;=K30,J30,IF(J30=K30+1,200,IF(J30=K30+2,201,250)))&amp;".0/24",""))</f>
        <v>10.1.24.0/24</v>
      </c>
      <c r="D30" s="0" t="str">
        <f aca="false">IF(I30="","",IF(AND(J30&gt;=1,J30&lt;=K30+3),"255.255.255.0",""))</f>
        <v>255.255.255.0</v>
      </c>
      <c r="E30" s="0" t="str">
        <f aca="false">IF(I30="","",IF(AND(J30&gt;=1,J30&lt;=K30+3),"10."&amp;INDEX(Eingabe!$D$9:$D$18,I30)&amp;"."&amp;IF(J30&lt;=K30,J30,IF(J30=K30+1,200,IF(J30=K30+2,201,250)))&amp;".1",""))</f>
        <v>10.1.24.1</v>
      </c>
      <c r="F30" s="0" t="str">
        <f aca="false">IF(I30="","",IF(AND(J30&gt;=1,J30&lt;=K30+3),"10."&amp;INDEX(Eingabe!$D$9:$D$18,I30)&amp;"."&amp;IF(J30&lt;=K30,J30,IF(J30=K30+1,200,IF(J30=K30+2,201,250)))&amp;".10 – 10."&amp;INDEX(Eingabe!$D$9:$D$18,I30)&amp;"."&amp;IF(J30&lt;=K30,J30,IF(J30=K30+1,200,IF(J30=K30+2,201,250)))&amp;".250",""))</f>
        <v>10.1.24.10 – 10.1.24.250</v>
      </c>
      <c r="G30" s="0" t="str">
        <f aca="false">IF(I30="","",IF(AND(J30&gt;=1,J30&lt;=K30),Eingabe!$B$6&amp;"-"&amp;INDEX(Eingabe!$C$9:$C$18,I30)&amp;"-Pächter  ·  Passwort Parzelle "&amp;J30,IF(J30=K30+1,Eingabe!$B$6&amp;"-"&amp;INDEX(Eingabe!$C$9:$C$18,I30)&amp;"-Vorstand  ·  eigenes WLAN",IF(J30=K30+2,Eingabe!$B$6&amp;"-"&amp;INDEX(Eingabe!$C$9:$C$18,I30)&amp;"-Gäste  ·  Voucher",IF(J30=K30+3,"Kabel  ·  Access Point y = .(50+y), Mast-Switch x = .(10+x)","")))))</f>
        <v>SparteNet.de-BW-Pächter  ·  Passwort Parzelle 24</v>
      </c>
      <c r="I30" s="7" t="n">
        <f aca="false">IF(25&lt;=(Eingabe!$P$18+Eingabe!$Q$18-1),MATCH(25,Eingabe!$P$9:$P$18,1),"")</f>
        <v>1</v>
      </c>
      <c r="J30" s="7" t="n">
        <f aca="false">IF(I30="","",25-INDEX(Eingabe!$P$9:$P$18,I30))</f>
        <v>24</v>
      </c>
      <c r="K30" s="7" t="n">
        <f aca="false">IF(I30="","",INDEX(Eingabe!$E$9:$E$18,I30))</f>
        <v>85</v>
      </c>
    </row>
    <row r="31" customFormat="false" ht="15" hidden="false" customHeight="false" outlineLevel="0" collapsed="false">
      <c r="A31" s="0" t="str">
        <f aca="false">IF(I31="","",IF(J31=0,"Sparte "&amp;I31&amp;": "&amp;INDEX(Eingabe!$B$9:$B$18,I31)&amp;"  (Sparten-ID "&amp;INDEX(Eingabe!$D$9:$D$18,I31)&amp;", "&amp;K31&amp;" Parzellen)",IF(J31&lt;=K31,"   Parzelle "&amp;J31,IF(J31=K31+1,"   Vorstand",IF(J31=K31+2,"   Gäste",IF(J31=K31+3,"   Technik (Switches, Access Points)",""))))))</f>
        <v>   Parzelle 25</v>
      </c>
      <c r="B31" s="0" t="n">
        <f aca="false">IF(I31="","",IF(AND(J31&gt;=1,J31&lt;=K31+3),IF(J31&lt;=K31,IF(J31&lt;=99,IF((INDEX(Eingabe!$G$9:$G$18,I31))&lt;=9,1000+(INDEX(Eingabe!$G$9:$G$18,I31))*100,3000)+J31,IF((INDEX(Eingabe!$G$9:$G$18,I31)+1)&lt;=9,1000+(INDEX(Eingabe!$G$9:$G$18,I31)+1)*100,3000)+J31-100),IF(J31=K31+1,2000+INDEX(Eingabe!$G$9:$G$18,I31)*10+1,IF(J31=K31+2,2000+INDEX(Eingabe!$G$9:$G$18,I31)*10+2,2000+INDEX(Eingabe!$G$9:$G$18,I31)*10+9))),""))</f>
        <v>1125</v>
      </c>
      <c r="C31" s="0" t="str">
        <f aca="false">IF(I31="","",IF(AND(J31&gt;=1,J31&lt;=K31+3),"10."&amp;INDEX(Eingabe!$D$9:$D$18,I31)&amp;"."&amp;IF(J31&lt;=K31,J31,IF(J31=K31+1,200,IF(J31=K31+2,201,250)))&amp;".0/24",""))</f>
        <v>10.1.25.0/24</v>
      </c>
      <c r="D31" s="0" t="str">
        <f aca="false">IF(I31="","",IF(AND(J31&gt;=1,J31&lt;=K31+3),"255.255.255.0",""))</f>
        <v>255.255.255.0</v>
      </c>
      <c r="E31" s="0" t="str">
        <f aca="false">IF(I31="","",IF(AND(J31&gt;=1,J31&lt;=K31+3),"10."&amp;INDEX(Eingabe!$D$9:$D$18,I31)&amp;"."&amp;IF(J31&lt;=K31,J31,IF(J31=K31+1,200,IF(J31=K31+2,201,250)))&amp;".1",""))</f>
        <v>10.1.25.1</v>
      </c>
      <c r="F31" s="0" t="str">
        <f aca="false">IF(I31="","",IF(AND(J31&gt;=1,J31&lt;=K31+3),"10."&amp;INDEX(Eingabe!$D$9:$D$18,I31)&amp;"."&amp;IF(J31&lt;=K31,J31,IF(J31=K31+1,200,IF(J31=K31+2,201,250)))&amp;".10 – 10."&amp;INDEX(Eingabe!$D$9:$D$18,I31)&amp;"."&amp;IF(J31&lt;=K31,J31,IF(J31=K31+1,200,IF(J31=K31+2,201,250)))&amp;".250",""))</f>
        <v>10.1.25.10 – 10.1.25.250</v>
      </c>
      <c r="G31" s="0" t="str">
        <f aca="false">IF(I31="","",IF(AND(J31&gt;=1,J31&lt;=K31),Eingabe!$B$6&amp;"-"&amp;INDEX(Eingabe!$C$9:$C$18,I31)&amp;"-Pächter  ·  Passwort Parzelle "&amp;J31,IF(J31=K31+1,Eingabe!$B$6&amp;"-"&amp;INDEX(Eingabe!$C$9:$C$18,I31)&amp;"-Vorstand  ·  eigenes WLAN",IF(J31=K31+2,Eingabe!$B$6&amp;"-"&amp;INDEX(Eingabe!$C$9:$C$18,I31)&amp;"-Gäste  ·  Voucher",IF(J31=K31+3,"Kabel  ·  Access Point y = .(50+y), Mast-Switch x = .(10+x)","")))))</f>
        <v>SparteNet.de-BW-Pächter  ·  Passwort Parzelle 25</v>
      </c>
      <c r="I31" s="7" t="n">
        <f aca="false">IF(26&lt;=(Eingabe!$P$18+Eingabe!$Q$18-1),MATCH(26,Eingabe!$P$9:$P$18,1),"")</f>
        <v>1</v>
      </c>
      <c r="J31" s="7" t="n">
        <f aca="false">IF(I31="","",26-INDEX(Eingabe!$P$9:$P$18,I31))</f>
        <v>25</v>
      </c>
      <c r="K31" s="7" t="n">
        <f aca="false">IF(I31="","",INDEX(Eingabe!$E$9:$E$18,I31))</f>
        <v>85</v>
      </c>
    </row>
    <row r="32" customFormat="false" ht="15" hidden="false" customHeight="false" outlineLevel="0" collapsed="false">
      <c r="A32" s="0" t="str">
        <f aca="false">IF(I32="","",IF(J32=0,"Sparte "&amp;I32&amp;": "&amp;INDEX(Eingabe!$B$9:$B$18,I32)&amp;"  (Sparten-ID "&amp;INDEX(Eingabe!$D$9:$D$18,I32)&amp;", "&amp;K32&amp;" Parzellen)",IF(J32&lt;=K32,"   Parzelle "&amp;J32,IF(J32=K32+1,"   Vorstand",IF(J32=K32+2,"   Gäste",IF(J32=K32+3,"   Technik (Switches, Access Points)",""))))))</f>
        <v>   Parzelle 26</v>
      </c>
      <c r="B32" s="0" t="n">
        <f aca="false">IF(I32="","",IF(AND(J32&gt;=1,J32&lt;=K32+3),IF(J32&lt;=K32,IF(J32&lt;=99,IF((INDEX(Eingabe!$G$9:$G$18,I32))&lt;=9,1000+(INDEX(Eingabe!$G$9:$G$18,I32))*100,3000)+J32,IF((INDEX(Eingabe!$G$9:$G$18,I32)+1)&lt;=9,1000+(INDEX(Eingabe!$G$9:$G$18,I32)+1)*100,3000)+J32-100),IF(J32=K32+1,2000+INDEX(Eingabe!$G$9:$G$18,I32)*10+1,IF(J32=K32+2,2000+INDEX(Eingabe!$G$9:$G$18,I32)*10+2,2000+INDEX(Eingabe!$G$9:$G$18,I32)*10+9))),""))</f>
        <v>1126</v>
      </c>
      <c r="C32" s="0" t="str">
        <f aca="false">IF(I32="","",IF(AND(J32&gt;=1,J32&lt;=K32+3),"10."&amp;INDEX(Eingabe!$D$9:$D$18,I32)&amp;"."&amp;IF(J32&lt;=K32,J32,IF(J32=K32+1,200,IF(J32=K32+2,201,250)))&amp;".0/24",""))</f>
        <v>10.1.26.0/24</v>
      </c>
      <c r="D32" s="0" t="str">
        <f aca="false">IF(I32="","",IF(AND(J32&gt;=1,J32&lt;=K32+3),"255.255.255.0",""))</f>
        <v>255.255.255.0</v>
      </c>
      <c r="E32" s="0" t="str">
        <f aca="false">IF(I32="","",IF(AND(J32&gt;=1,J32&lt;=K32+3),"10."&amp;INDEX(Eingabe!$D$9:$D$18,I32)&amp;"."&amp;IF(J32&lt;=K32,J32,IF(J32=K32+1,200,IF(J32=K32+2,201,250)))&amp;".1",""))</f>
        <v>10.1.26.1</v>
      </c>
      <c r="F32" s="0" t="str">
        <f aca="false">IF(I32="","",IF(AND(J32&gt;=1,J32&lt;=K32+3),"10."&amp;INDEX(Eingabe!$D$9:$D$18,I32)&amp;"."&amp;IF(J32&lt;=K32,J32,IF(J32=K32+1,200,IF(J32=K32+2,201,250)))&amp;".10 – 10."&amp;INDEX(Eingabe!$D$9:$D$18,I32)&amp;"."&amp;IF(J32&lt;=K32,J32,IF(J32=K32+1,200,IF(J32=K32+2,201,250)))&amp;".250",""))</f>
        <v>10.1.26.10 – 10.1.26.250</v>
      </c>
      <c r="G32" s="0" t="str">
        <f aca="false">IF(I32="","",IF(AND(J32&gt;=1,J32&lt;=K32),Eingabe!$B$6&amp;"-"&amp;INDEX(Eingabe!$C$9:$C$18,I32)&amp;"-Pächter  ·  Passwort Parzelle "&amp;J32,IF(J32=K32+1,Eingabe!$B$6&amp;"-"&amp;INDEX(Eingabe!$C$9:$C$18,I32)&amp;"-Vorstand  ·  eigenes WLAN",IF(J32=K32+2,Eingabe!$B$6&amp;"-"&amp;INDEX(Eingabe!$C$9:$C$18,I32)&amp;"-Gäste  ·  Voucher",IF(J32=K32+3,"Kabel  ·  Access Point y = .(50+y), Mast-Switch x = .(10+x)","")))))</f>
        <v>SparteNet.de-BW-Pächter  ·  Passwort Parzelle 26</v>
      </c>
      <c r="I32" s="7" t="n">
        <f aca="false">IF(27&lt;=(Eingabe!$P$18+Eingabe!$Q$18-1),MATCH(27,Eingabe!$P$9:$P$18,1),"")</f>
        <v>1</v>
      </c>
      <c r="J32" s="7" t="n">
        <f aca="false">IF(I32="","",27-INDEX(Eingabe!$P$9:$P$18,I32))</f>
        <v>26</v>
      </c>
      <c r="K32" s="7" t="n">
        <f aca="false">IF(I32="","",INDEX(Eingabe!$E$9:$E$18,I32))</f>
        <v>85</v>
      </c>
    </row>
    <row r="33" customFormat="false" ht="15" hidden="false" customHeight="false" outlineLevel="0" collapsed="false">
      <c r="A33" s="0" t="str">
        <f aca="false">IF(I33="","",IF(J33=0,"Sparte "&amp;I33&amp;": "&amp;INDEX(Eingabe!$B$9:$B$18,I33)&amp;"  (Sparten-ID "&amp;INDEX(Eingabe!$D$9:$D$18,I33)&amp;", "&amp;K33&amp;" Parzellen)",IF(J33&lt;=K33,"   Parzelle "&amp;J33,IF(J33=K33+1,"   Vorstand",IF(J33=K33+2,"   Gäste",IF(J33=K33+3,"   Technik (Switches, Access Points)",""))))))</f>
        <v>   Parzelle 27</v>
      </c>
      <c r="B33" s="0" t="n">
        <f aca="false">IF(I33="","",IF(AND(J33&gt;=1,J33&lt;=K33+3),IF(J33&lt;=K33,IF(J33&lt;=99,IF((INDEX(Eingabe!$G$9:$G$18,I33))&lt;=9,1000+(INDEX(Eingabe!$G$9:$G$18,I33))*100,3000)+J33,IF((INDEX(Eingabe!$G$9:$G$18,I33)+1)&lt;=9,1000+(INDEX(Eingabe!$G$9:$G$18,I33)+1)*100,3000)+J33-100),IF(J33=K33+1,2000+INDEX(Eingabe!$G$9:$G$18,I33)*10+1,IF(J33=K33+2,2000+INDEX(Eingabe!$G$9:$G$18,I33)*10+2,2000+INDEX(Eingabe!$G$9:$G$18,I33)*10+9))),""))</f>
        <v>1127</v>
      </c>
      <c r="C33" s="0" t="str">
        <f aca="false">IF(I33="","",IF(AND(J33&gt;=1,J33&lt;=K33+3),"10."&amp;INDEX(Eingabe!$D$9:$D$18,I33)&amp;"."&amp;IF(J33&lt;=K33,J33,IF(J33=K33+1,200,IF(J33=K33+2,201,250)))&amp;".0/24",""))</f>
        <v>10.1.27.0/24</v>
      </c>
      <c r="D33" s="0" t="str">
        <f aca="false">IF(I33="","",IF(AND(J33&gt;=1,J33&lt;=K33+3),"255.255.255.0",""))</f>
        <v>255.255.255.0</v>
      </c>
      <c r="E33" s="0" t="str">
        <f aca="false">IF(I33="","",IF(AND(J33&gt;=1,J33&lt;=K33+3),"10."&amp;INDEX(Eingabe!$D$9:$D$18,I33)&amp;"."&amp;IF(J33&lt;=K33,J33,IF(J33=K33+1,200,IF(J33=K33+2,201,250)))&amp;".1",""))</f>
        <v>10.1.27.1</v>
      </c>
      <c r="F33" s="0" t="str">
        <f aca="false">IF(I33="","",IF(AND(J33&gt;=1,J33&lt;=K33+3),"10."&amp;INDEX(Eingabe!$D$9:$D$18,I33)&amp;"."&amp;IF(J33&lt;=K33,J33,IF(J33=K33+1,200,IF(J33=K33+2,201,250)))&amp;".10 – 10."&amp;INDEX(Eingabe!$D$9:$D$18,I33)&amp;"."&amp;IF(J33&lt;=K33,J33,IF(J33=K33+1,200,IF(J33=K33+2,201,250)))&amp;".250",""))</f>
        <v>10.1.27.10 – 10.1.27.250</v>
      </c>
      <c r="G33" s="0" t="str">
        <f aca="false">IF(I33="","",IF(AND(J33&gt;=1,J33&lt;=K33),Eingabe!$B$6&amp;"-"&amp;INDEX(Eingabe!$C$9:$C$18,I33)&amp;"-Pächter  ·  Passwort Parzelle "&amp;J33,IF(J33=K33+1,Eingabe!$B$6&amp;"-"&amp;INDEX(Eingabe!$C$9:$C$18,I33)&amp;"-Vorstand  ·  eigenes WLAN",IF(J33=K33+2,Eingabe!$B$6&amp;"-"&amp;INDEX(Eingabe!$C$9:$C$18,I33)&amp;"-Gäste  ·  Voucher",IF(J33=K33+3,"Kabel  ·  Access Point y = .(50+y), Mast-Switch x = .(10+x)","")))))</f>
        <v>SparteNet.de-BW-Pächter  ·  Passwort Parzelle 27</v>
      </c>
      <c r="I33" s="7" t="n">
        <f aca="false">IF(28&lt;=(Eingabe!$P$18+Eingabe!$Q$18-1),MATCH(28,Eingabe!$P$9:$P$18,1),"")</f>
        <v>1</v>
      </c>
      <c r="J33" s="7" t="n">
        <f aca="false">IF(I33="","",28-INDEX(Eingabe!$P$9:$P$18,I33))</f>
        <v>27</v>
      </c>
      <c r="K33" s="7" t="n">
        <f aca="false">IF(I33="","",INDEX(Eingabe!$E$9:$E$18,I33))</f>
        <v>85</v>
      </c>
    </row>
    <row r="34" customFormat="false" ht="15" hidden="false" customHeight="false" outlineLevel="0" collapsed="false">
      <c r="A34" s="0" t="str">
        <f aca="false">IF(I34="","",IF(J34=0,"Sparte "&amp;I34&amp;": "&amp;INDEX(Eingabe!$B$9:$B$18,I34)&amp;"  (Sparten-ID "&amp;INDEX(Eingabe!$D$9:$D$18,I34)&amp;", "&amp;K34&amp;" Parzellen)",IF(J34&lt;=K34,"   Parzelle "&amp;J34,IF(J34=K34+1,"   Vorstand",IF(J34=K34+2,"   Gäste",IF(J34=K34+3,"   Technik (Switches, Access Points)",""))))))</f>
        <v>   Parzelle 28</v>
      </c>
      <c r="B34" s="0" t="n">
        <f aca="false">IF(I34="","",IF(AND(J34&gt;=1,J34&lt;=K34+3),IF(J34&lt;=K34,IF(J34&lt;=99,IF((INDEX(Eingabe!$G$9:$G$18,I34))&lt;=9,1000+(INDEX(Eingabe!$G$9:$G$18,I34))*100,3000)+J34,IF((INDEX(Eingabe!$G$9:$G$18,I34)+1)&lt;=9,1000+(INDEX(Eingabe!$G$9:$G$18,I34)+1)*100,3000)+J34-100),IF(J34=K34+1,2000+INDEX(Eingabe!$G$9:$G$18,I34)*10+1,IF(J34=K34+2,2000+INDEX(Eingabe!$G$9:$G$18,I34)*10+2,2000+INDEX(Eingabe!$G$9:$G$18,I34)*10+9))),""))</f>
        <v>1128</v>
      </c>
      <c r="C34" s="0" t="str">
        <f aca="false">IF(I34="","",IF(AND(J34&gt;=1,J34&lt;=K34+3),"10."&amp;INDEX(Eingabe!$D$9:$D$18,I34)&amp;"."&amp;IF(J34&lt;=K34,J34,IF(J34=K34+1,200,IF(J34=K34+2,201,250)))&amp;".0/24",""))</f>
        <v>10.1.28.0/24</v>
      </c>
      <c r="D34" s="0" t="str">
        <f aca="false">IF(I34="","",IF(AND(J34&gt;=1,J34&lt;=K34+3),"255.255.255.0",""))</f>
        <v>255.255.255.0</v>
      </c>
      <c r="E34" s="0" t="str">
        <f aca="false">IF(I34="","",IF(AND(J34&gt;=1,J34&lt;=K34+3),"10."&amp;INDEX(Eingabe!$D$9:$D$18,I34)&amp;"."&amp;IF(J34&lt;=K34,J34,IF(J34=K34+1,200,IF(J34=K34+2,201,250)))&amp;".1",""))</f>
        <v>10.1.28.1</v>
      </c>
      <c r="F34" s="0" t="str">
        <f aca="false">IF(I34="","",IF(AND(J34&gt;=1,J34&lt;=K34+3),"10."&amp;INDEX(Eingabe!$D$9:$D$18,I34)&amp;"."&amp;IF(J34&lt;=K34,J34,IF(J34=K34+1,200,IF(J34=K34+2,201,250)))&amp;".10 – 10."&amp;INDEX(Eingabe!$D$9:$D$18,I34)&amp;"."&amp;IF(J34&lt;=K34,J34,IF(J34=K34+1,200,IF(J34=K34+2,201,250)))&amp;".250",""))</f>
        <v>10.1.28.10 – 10.1.28.250</v>
      </c>
      <c r="G34" s="0" t="str">
        <f aca="false">IF(I34="","",IF(AND(J34&gt;=1,J34&lt;=K34),Eingabe!$B$6&amp;"-"&amp;INDEX(Eingabe!$C$9:$C$18,I34)&amp;"-Pächter  ·  Passwort Parzelle "&amp;J34,IF(J34=K34+1,Eingabe!$B$6&amp;"-"&amp;INDEX(Eingabe!$C$9:$C$18,I34)&amp;"-Vorstand  ·  eigenes WLAN",IF(J34=K34+2,Eingabe!$B$6&amp;"-"&amp;INDEX(Eingabe!$C$9:$C$18,I34)&amp;"-Gäste  ·  Voucher",IF(J34=K34+3,"Kabel  ·  Access Point y = .(50+y), Mast-Switch x = .(10+x)","")))))</f>
        <v>SparteNet.de-BW-Pächter  ·  Passwort Parzelle 28</v>
      </c>
      <c r="I34" s="7" t="n">
        <f aca="false">IF(29&lt;=(Eingabe!$P$18+Eingabe!$Q$18-1),MATCH(29,Eingabe!$P$9:$P$18,1),"")</f>
        <v>1</v>
      </c>
      <c r="J34" s="7" t="n">
        <f aca="false">IF(I34="","",29-INDEX(Eingabe!$P$9:$P$18,I34))</f>
        <v>28</v>
      </c>
      <c r="K34" s="7" t="n">
        <f aca="false">IF(I34="","",INDEX(Eingabe!$E$9:$E$18,I34))</f>
        <v>85</v>
      </c>
    </row>
    <row r="35" customFormat="false" ht="15" hidden="false" customHeight="false" outlineLevel="0" collapsed="false">
      <c r="A35" s="0" t="str">
        <f aca="false">IF(I35="","",IF(J35=0,"Sparte "&amp;I35&amp;": "&amp;INDEX(Eingabe!$B$9:$B$18,I35)&amp;"  (Sparten-ID "&amp;INDEX(Eingabe!$D$9:$D$18,I35)&amp;", "&amp;K35&amp;" Parzellen)",IF(J35&lt;=K35,"   Parzelle "&amp;J35,IF(J35=K35+1,"   Vorstand",IF(J35=K35+2,"   Gäste",IF(J35=K35+3,"   Technik (Switches, Access Points)",""))))))</f>
        <v>   Parzelle 29</v>
      </c>
      <c r="B35" s="0" t="n">
        <f aca="false">IF(I35="","",IF(AND(J35&gt;=1,J35&lt;=K35+3),IF(J35&lt;=K35,IF(J35&lt;=99,IF((INDEX(Eingabe!$G$9:$G$18,I35))&lt;=9,1000+(INDEX(Eingabe!$G$9:$G$18,I35))*100,3000)+J35,IF((INDEX(Eingabe!$G$9:$G$18,I35)+1)&lt;=9,1000+(INDEX(Eingabe!$G$9:$G$18,I35)+1)*100,3000)+J35-100),IF(J35=K35+1,2000+INDEX(Eingabe!$G$9:$G$18,I35)*10+1,IF(J35=K35+2,2000+INDEX(Eingabe!$G$9:$G$18,I35)*10+2,2000+INDEX(Eingabe!$G$9:$G$18,I35)*10+9))),""))</f>
        <v>1129</v>
      </c>
      <c r="C35" s="0" t="str">
        <f aca="false">IF(I35="","",IF(AND(J35&gt;=1,J35&lt;=K35+3),"10."&amp;INDEX(Eingabe!$D$9:$D$18,I35)&amp;"."&amp;IF(J35&lt;=K35,J35,IF(J35=K35+1,200,IF(J35=K35+2,201,250)))&amp;".0/24",""))</f>
        <v>10.1.29.0/24</v>
      </c>
      <c r="D35" s="0" t="str">
        <f aca="false">IF(I35="","",IF(AND(J35&gt;=1,J35&lt;=K35+3),"255.255.255.0",""))</f>
        <v>255.255.255.0</v>
      </c>
      <c r="E35" s="0" t="str">
        <f aca="false">IF(I35="","",IF(AND(J35&gt;=1,J35&lt;=K35+3),"10."&amp;INDEX(Eingabe!$D$9:$D$18,I35)&amp;"."&amp;IF(J35&lt;=K35,J35,IF(J35=K35+1,200,IF(J35=K35+2,201,250)))&amp;".1",""))</f>
        <v>10.1.29.1</v>
      </c>
      <c r="F35" s="0" t="str">
        <f aca="false">IF(I35="","",IF(AND(J35&gt;=1,J35&lt;=K35+3),"10."&amp;INDEX(Eingabe!$D$9:$D$18,I35)&amp;"."&amp;IF(J35&lt;=K35,J35,IF(J35=K35+1,200,IF(J35=K35+2,201,250)))&amp;".10 – 10."&amp;INDEX(Eingabe!$D$9:$D$18,I35)&amp;"."&amp;IF(J35&lt;=K35,J35,IF(J35=K35+1,200,IF(J35=K35+2,201,250)))&amp;".250",""))</f>
        <v>10.1.29.10 – 10.1.29.250</v>
      </c>
      <c r="G35" s="0" t="str">
        <f aca="false">IF(I35="","",IF(AND(J35&gt;=1,J35&lt;=K35),Eingabe!$B$6&amp;"-"&amp;INDEX(Eingabe!$C$9:$C$18,I35)&amp;"-Pächter  ·  Passwort Parzelle "&amp;J35,IF(J35=K35+1,Eingabe!$B$6&amp;"-"&amp;INDEX(Eingabe!$C$9:$C$18,I35)&amp;"-Vorstand  ·  eigenes WLAN",IF(J35=K35+2,Eingabe!$B$6&amp;"-"&amp;INDEX(Eingabe!$C$9:$C$18,I35)&amp;"-Gäste  ·  Voucher",IF(J35=K35+3,"Kabel  ·  Access Point y = .(50+y), Mast-Switch x = .(10+x)","")))))</f>
        <v>SparteNet.de-BW-Pächter  ·  Passwort Parzelle 29</v>
      </c>
      <c r="I35" s="7" t="n">
        <f aca="false">IF(30&lt;=(Eingabe!$P$18+Eingabe!$Q$18-1),MATCH(30,Eingabe!$P$9:$P$18,1),"")</f>
        <v>1</v>
      </c>
      <c r="J35" s="7" t="n">
        <f aca="false">IF(I35="","",30-INDEX(Eingabe!$P$9:$P$18,I35))</f>
        <v>29</v>
      </c>
      <c r="K35" s="7" t="n">
        <f aca="false">IF(I35="","",INDEX(Eingabe!$E$9:$E$18,I35))</f>
        <v>85</v>
      </c>
    </row>
    <row r="36" customFormat="false" ht="15" hidden="false" customHeight="false" outlineLevel="0" collapsed="false">
      <c r="A36" s="0" t="str">
        <f aca="false">IF(I36="","",IF(J36=0,"Sparte "&amp;I36&amp;": "&amp;INDEX(Eingabe!$B$9:$B$18,I36)&amp;"  (Sparten-ID "&amp;INDEX(Eingabe!$D$9:$D$18,I36)&amp;", "&amp;K36&amp;" Parzellen)",IF(J36&lt;=K36,"   Parzelle "&amp;J36,IF(J36=K36+1,"   Vorstand",IF(J36=K36+2,"   Gäste",IF(J36=K36+3,"   Technik (Switches, Access Points)",""))))))</f>
        <v>   Parzelle 30</v>
      </c>
      <c r="B36" s="0" t="n">
        <f aca="false">IF(I36="","",IF(AND(J36&gt;=1,J36&lt;=K36+3),IF(J36&lt;=K36,IF(J36&lt;=99,IF((INDEX(Eingabe!$G$9:$G$18,I36))&lt;=9,1000+(INDEX(Eingabe!$G$9:$G$18,I36))*100,3000)+J36,IF((INDEX(Eingabe!$G$9:$G$18,I36)+1)&lt;=9,1000+(INDEX(Eingabe!$G$9:$G$18,I36)+1)*100,3000)+J36-100),IF(J36=K36+1,2000+INDEX(Eingabe!$G$9:$G$18,I36)*10+1,IF(J36=K36+2,2000+INDEX(Eingabe!$G$9:$G$18,I36)*10+2,2000+INDEX(Eingabe!$G$9:$G$18,I36)*10+9))),""))</f>
        <v>1130</v>
      </c>
      <c r="C36" s="0" t="str">
        <f aca="false">IF(I36="","",IF(AND(J36&gt;=1,J36&lt;=K36+3),"10."&amp;INDEX(Eingabe!$D$9:$D$18,I36)&amp;"."&amp;IF(J36&lt;=K36,J36,IF(J36=K36+1,200,IF(J36=K36+2,201,250)))&amp;".0/24",""))</f>
        <v>10.1.30.0/24</v>
      </c>
      <c r="D36" s="0" t="str">
        <f aca="false">IF(I36="","",IF(AND(J36&gt;=1,J36&lt;=K36+3),"255.255.255.0",""))</f>
        <v>255.255.255.0</v>
      </c>
      <c r="E36" s="0" t="str">
        <f aca="false">IF(I36="","",IF(AND(J36&gt;=1,J36&lt;=K36+3),"10."&amp;INDEX(Eingabe!$D$9:$D$18,I36)&amp;"."&amp;IF(J36&lt;=K36,J36,IF(J36=K36+1,200,IF(J36=K36+2,201,250)))&amp;".1",""))</f>
        <v>10.1.30.1</v>
      </c>
      <c r="F36" s="0" t="str">
        <f aca="false">IF(I36="","",IF(AND(J36&gt;=1,J36&lt;=K36+3),"10."&amp;INDEX(Eingabe!$D$9:$D$18,I36)&amp;"."&amp;IF(J36&lt;=K36,J36,IF(J36=K36+1,200,IF(J36=K36+2,201,250)))&amp;".10 – 10."&amp;INDEX(Eingabe!$D$9:$D$18,I36)&amp;"."&amp;IF(J36&lt;=K36,J36,IF(J36=K36+1,200,IF(J36=K36+2,201,250)))&amp;".250",""))</f>
        <v>10.1.30.10 – 10.1.30.250</v>
      </c>
      <c r="G36" s="0" t="str">
        <f aca="false">IF(I36="","",IF(AND(J36&gt;=1,J36&lt;=K36),Eingabe!$B$6&amp;"-"&amp;INDEX(Eingabe!$C$9:$C$18,I36)&amp;"-Pächter  ·  Passwort Parzelle "&amp;J36,IF(J36=K36+1,Eingabe!$B$6&amp;"-"&amp;INDEX(Eingabe!$C$9:$C$18,I36)&amp;"-Vorstand  ·  eigenes WLAN",IF(J36=K36+2,Eingabe!$B$6&amp;"-"&amp;INDEX(Eingabe!$C$9:$C$18,I36)&amp;"-Gäste  ·  Voucher",IF(J36=K36+3,"Kabel  ·  Access Point y = .(50+y), Mast-Switch x = .(10+x)","")))))</f>
        <v>SparteNet.de-BW-Pächter  ·  Passwort Parzelle 30</v>
      </c>
      <c r="I36" s="7" t="n">
        <f aca="false">IF(31&lt;=(Eingabe!$P$18+Eingabe!$Q$18-1),MATCH(31,Eingabe!$P$9:$P$18,1),"")</f>
        <v>1</v>
      </c>
      <c r="J36" s="7" t="n">
        <f aca="false">IF(I36="","",31-INDEX(Eingabe!$P$9:$P$18,I36))</f>
        <v>30</v>
      </c>
      <c r="K36" s="7" t="n">
        <f aca="false">IF(I36="","",INDEX(Eingabe!$E$9:$E$18,I36))</f>
        <v>85</v>
      </c>
    </row>
    <row r="37" customFormat="false" ht="15" hidden="false" customHeight="false" outlineLevel="0" collapsed="false">
      <c r="A37" s="0" t="str">
        <f aca="false">IF(I37="","",IF(J37=0,"Sparte "&amp;I37&amp;": "&amp;INDEX(Eingabe!$B$9:$B$18,I37)&amp;"  (Sparten-ID "&amp;INDEX(Eingabe!$D$9:$D$18,I37)&amp;", "&amp;K37&amp;" Parzellen)",IF(J37&lt;=K37,"   Parzelle "&amp;J37,IF(J37=K37+1,"   Vorstand",IF(J37=K37+2,"   Gäste",IF(J37=K37+3,"   Technik (Switches, Access Points)",""))))))</f>
        <v>   Parzelle 31</v>
      </c>
      <c r="B37" s="0" t="n">
        <f aca="false">IF(I37="","",IF(AND(J37&gt;=1,J37&lt;=K37+3),IF(J37&lt;=K37,IF(J37&lt;=99,IF((INDEX(Eingabe!$G$9:$G$18,I37))&lt;=9,1000+(INDEX(Eingabe!$G$9:$G$18,I37))*100,3000)+J37,IF((INDEX(Eingabe!$G$9:$G$18,I37)+1)&lt;=9,1000+(INDEX(Eingabe!$G$9:$G$18,I37)+1)*100,3000)+J37-100),IF(J37=K37+1,2000+INDEX(Eingabe!$G$9:$G$18,I37)*10+1,IF(J37=K37+2,2000+INDEX(Eingabe!$G$9:$G$18,I37)*10+2,2000+INDEX(Eingabe!$G$9:$G$18,I37)*10+9))),""))</f>
        <v>1131</v>
      </c>
      <c r="C37" s="0" t="str">
        <f aca="false">IF(I37="","",IF(AND(J37&gt;=1,J37&lt;=K37+3),"10."&amp;INDEX(Eingabe!$D$9:$D$18,I37)&amp;"."&amp;IF(J37&lt;=K37,J37,IF(J37=K37+1,200,IF(J37=K37+2,201,250)))&amp;".0/24",""))</f>
        <v>10.1.31.0/24</v>
      </c>
      <c r="D37" s="0" t="str">
        <f aca="false">IF(I37="","",IF(AND(J37&gt;=1,J37&lt;=K37+3),"255.255.255.0",""))</f>
        <v>255.255.255.0</v>
      </c>
      <c r="E37" s="0" t="str">
        <f aca="false">IF(I37="","",IF(AND(J37&gt;=1,J37&lt;=K37+3),"10."&amp;INDEX(Eingabe!$D$9:$D$18,I37)&amp;"."&amp;IF(J37&lt;=K37,J37,IF(J37=K37+1,200,IF(J37=K37+2,201,250)))&amp;".1",""))</f>
        <v>10.1.31.1</v>
      </c>
      <c r="F37" s="0" t="str">
        <f aca="false">IF(I37="","",IF(AND(J37&gt;=1,J37&lt;=K37+3),"10."&amp;INDEX(Eingabe!$D$9:$D$18,I37)&amp;"."&amp;IF(J37&lt;=K37,J37,IF(J37=K37+1,200,IF(J37=K37+2,201,250)))&amp;".10 – 10."&amp;INDEX(Eingabe!$D$9:$D$18,I37)&amp;"."&amp;IF(J37&lt;=K37,J37,IF(J37=K37+1,200,IF(J37=K37+2,201,250)))&amp;".250",""))</f>
        <v>10.1.31.10 – 10.1.31.250</v>
      </c>
      <c r="G37" s="0" t="str">
        <f aca="false">IF(I37="","",IF(AND(J37&gt;=1,J37&lt;=K37),Eingabe!$B$6&amp;"-"&amp;INDEX(Eingabe!$C$9:$C$18,I37)&amp;"-Pächter  ·  Passwort Parzelle "&amp;J37,IF(J37=K37+1,Eingabe!$B$6&amp;"-"&amp;INDEX(Eingabe!$C$9:$C$18,I37)&amp;"-Vorstand  ·  eigenes WLAN",IF(J37=K37+2,Eingabe!$B$6&amp;"-"&amp;INDEX(Eingabe!$C$9:$C$18,I37)&amp;"-Gäste  ·  Voucher",IF(J37=K37+3,"Kabel  ·  Access Point y = .(50+y), Mast-Switch x = .(10+x)","")))))</f>
        <v>SparteNet.de-BW-Pächter  ·  Passwort Parzelle 31</v>
      </c>
      <c r="I37" s="7" t="n">
        <f aca="false">IF(32&lt;=(Eingabe!$P$18+Eingabe!$Q$18-1),MATCH(32,Eingabe!$P$9:$P$18,1),"")</f>
        <v>1</v>
      </c>
      <c r="J37" s="7" t="n">
        <f aca="false">IF(I37="","",32-INDEX(Eingabe!$P$9:$P$18,I37))</f>
        <v>31</v>
      </c>
      <c r="K37" s="7" t="n">
        <f aca="false">IF(I37="","",INDEX(Eingabe!$E$9:$E$18,I37))</f>
        <v>85</v>
      </c>
    </row>
    <row r="38" customFormat="false" ht="15" hidden="false" customHeight="false" outlineLevel="0" collapsed="false">
      <c r="A38" s="0" t="str">
        <f aca="false">IF(I38="","",IF(J38=0,"Sparte "&amp;I38&amp;": "&amp;INDEX(Eingabe!$B$9:$B$18,I38)&amp;"  (Sparten-ID "&amp;INDEX(Eingabe!$D$9:$D$18,I38)&amp;", "&amp;K38&amp;" Parzellen)",IF(J38&lt;=K38,"   Parzelle "&amp;J38,IF(J38=K38+1,"   Vorstand",IF(J38=K38+2,"   Gäste",IF(J38=K38+3,"   Technik (Switches, Access Points)",""))))))</f>
        <v>   Parzelle 32</v>
      </c>
      <c r="B38" s="0" t="n">
        <f aca="false">IF(I38="","",IF(AND(J38&gt;=1,J38&lt;=K38+3),IF(J38&lt;=K38,IF(J38&lt;=99,IF((INDEX(Eingabe!$G$9:$G$18,I38))&lt;=9,1000+(INDEX(Eingabe!$G$9:$G$18,I38))*100,3000)+J38,IF((INDEX(Eingabe!$G$9:$G$18,I38)+1)&lt;=9,1000+(INDEX(Eingabe!$G$9:$G$18,I38)+1)*100,3000)+J38-100),IF(J38=K38+1,2000+INDEX(Eingabe!$G$9:$G$18,I38)*10+1,IF(J38=K38+2,2000+INDEX(Eingabe!$G$9:$G$18,I38)*10+2,2000+INDEX(Eingabe!$G$9:$G$18,I38)*10+9))),""))</f>
        <v>1132</v>
      </c>
      <c r="C38" s="0" t="str">
        <f aca="false">IF(I38="","",IF(AND(J38&gt;=1,J38&lt;=K38+3),"10."&amp;INDEX(Eingabe!$D$9:$D$18,I38)&amp;"."&amp;IF(J38&lt;=K38,J38,IF(J38=K38+1,200,IF(J38=K38+2,201,250)))&amp;".0/24",""))</f>
        <v>10.1.32.0/24</v>
      </c>
      <c r="D38" s="0" t="str">
        <f aca="false">IF(I38="","",IF(AND(J38&gt;=1,J38&lt;=K38+3),"255.255.255.0",""))</f>
        <v>255.255.255.0</v>
      </c>
      <c r="E38" s="0" t="str">
        <f aca="false">IF(I38="","",IF(AND(J38&gt;=1,J38&lt;=K38+3),"10."&amp;INDEX(Eingabe!$D$9:$D$18,I38)&amp;"."&amp;IF(J38&lt;=K38,J38,IF(J38=K38+1,200,IF(J38=K38+2,201,250)))&amp;".1",""))</f>
        <v>10.1.32.1</v>
      </c>
      <c r="F38" s="0" t="str">
        <f aca="false">IF(I38="","",IF(AND(J38&gt;=1,J38&lt;=K38+3),"10."&amp;INDEX(Eingabe!$D$9:$D$18,I38)&amp;"."&amp;IF(J38&lt;=K38,J38,IF(J38=K38+1,200,IF(J38=K38+2,201,250)))&amp;".10 – 10."&amp;INDEX(Eingabe!$D$9:$D$18,I38)&amp;"."&amp;IF(J38&lt;=K38,J38,IF(J38=K38+1,200,IF(J38=K38+2,201,250)))&amp;".250",""))</f>
        <v>10.1.32.10 – 10.1.32.250</v>
      </c>
      <c r="G38" s="0" t="str">
        <f aca="false">IF(I38="","",IF(AND(J38&gt;=1,J38&lt;=K38),Eingabe!$B$6&amp;"-"&amp;INDEX(Eingabe!$C$9:$C$18,I38)&amp;"-Pächter  ·  Passwort Parzelle "&amp;J38,IF(J38=K38+1,Eingabe!$B$6&amp;"-"&amp;INDEX(Eingabe!$C$9:$C$18,I38)&amp;"-Vorstand  ·  eigenes WLAN",IF(J38=K38+2,Eingabe!$B$6&amp;"-"&amp;INDEX(Eingabe!$C$9:$C$18,I38)&amp;"-Gäste  ·  Voucher",IF(J38=K38+3,"Kabel  ·  Access Point y = .(50+y), Mast-Switch x = .(10+x)","")))))</f>
        <v>SparteNet.de-BW-Pächter  ·  Passwort Parzelle 32</v>
      </c>
      <c r="I38" s="7" t="n">
        <f aca="false">IF(33&lt;=(Eingabe!$P$18+Eingabe!$Q$18-1),MATCH(33,Eingabe!$P$9:$P$18,1),"")</f>
        <v>1</v>
      </c>
      <c r="J38" s="7" t="n">
        <f aca="false">IF(I38="","",33-INDEX(Eingabe!$P$9:$P$18,I38))</f>
        <v>32</v>
      </c>
      <c r="K38" s="7" t="n">
        <f aca="false">IF(I38="","",INDEX(Eingabe!$E$9:$E$18,I38))</f>
        <v>85</v>
      </c>
    </row>
    <row r="39" customFormat="false" ht="15" hidden="false" customHeight="false" outlineLevel="0" collapsed="false">
      <c r="A39" s="0" t="str">
        <f aca="false">IF(I39="","",IF(J39=0,"Sparte "&amp;I39&amp;": "&amp;INDEX(Eingabe!$B$9:$B$18,I39)&amp;"  (Sparten-ID "&amp;INDEX(Eingabe!$D$9:$D$18,I39)&amp;", "&amp;K39&amp;" Parzellen)",IF(J39&lt;=K39,"   Parzelle "&amp;J39,IF(J39=K39+1,"   Vorstand",IF(J39=K39+2,"   Gäste",IF(J39=K39+3,"   Technik (Switches, Access Points)",""))))))</f>
        <v>   Parzelle 33</v>
      </c>
      <c r="B39" s="0" t="n">
        <f aca="false">IF(I39="","",IF(AND(J39&gt;=1,J39&lt;=K39+3),IF(J39&lt;=K39,IF(J39&lt;=99,IF((INDEX(Eingabe!$G$9:$G$18,I39))&lt;=9,1000+(INDEX(Eingabe!$G$9:$G$18,I39))*100,3000)+J39,IF((INDEX(Eingabe!$G$9:$G$18,I39)+1)&lt;=9,1000+(INDEX(Eingabe!$G$9:$G$18,I39)+1)*100,3000)+J39-100),IF(J39=K39+1,2000+INDEX(Eingabe!$G$9:$G$18,I39)*10+1,IF(J39=K39+2,2000+INDEX(Eingabe!$G$9:$G$18,I39)*10+2,2000+INDEX(Eingabe!$G$9:$G$18,I39)*10+9))),""))</f>
        <v>1133</v>
      </c>
      <c r="C39" s="0" t="str">
        <f aca="false">IF(I39="","",IF(AND(J39&gt;=1,J39&lt;=K39+3),"10."&amp;INDEX(Eingabe!$D$9:$D$18,I39)&amp;"."&amp;IF(J39&lt;=K39,J39,IF(J39=K39+1,200,IF(J39=K39+2,201,250)))&amp;".0/24",""))</f>
        <v>10.1.33.0/24</v>
      </c>
      <c r="D39" s="0" t="str">
        <f aca="false">IF(I39="","",IF(AND(J39&gt;=1,J39&lt;=K39+3),"255.255.255.0",""))</f>
        <v>255.255.255.0</v>
      </c>
      <c r="E39" s="0" t="str">
        <f aca="false">IF(I39="","",IF(AND(J39&gt;=1,J39&lt;=K39+3),"10."&amp;INDEX(Eingabe!$D$9:$D$18,I39)&amp;"."&amp;IF(J39&lt;=K39,J39,IF(J39=K39+1,200,IF(J39=K39+2,201,250)))&amp;".1",""))</f>
        <v>10.1.33.1</v>
      </c>
      <c r="F39" s="0" t="str">
        <f aca="false">IF(I39="","",IF(AND(J39&gt;=1,J39&lt;=K39+3),"10."&amp;INDEX(Eingabe!$D$9:$D$18,I39)&amp;"."&amp;IF(J39&lt;=K39,J39,IF(J39=K39+1,200,IF(J39=K39+2,201,250)))&amp;".10 – 10."&amp;INDEX(Eingabe!$D$9:$D$18,I39)&amp;"."&amp;IF(J39&lt;=K39,J39,IF(J39=K39+1,200,IF(J39=K39+2,201,250)))&amp;".250",""))</f>
        <v>10.1.33.10 – 10.1.33.250</v>
      </c>
      <c r="G39" s="0" t="str">
        <f aca="false">IF(I39="","",IF(AND(J39&gt;=1,J39&lt;=K39),Eingabe!$B$6&amp;"-"&amp;INDEX(Eingabe!$C$9:$C$18,I39)&amp;"-Pächter  ·  Passwort Parzelle "&amp;J39,IF(J39=K39+1,Eingabe!$B$6&amp;"-"&amp;INDEX(Eingabe!$C$9:$C$18,I39)&amp;"-Vorstand  ·  eigenes WLAN",IF(J39=K39+2,Eingabe!$B$6&amp;"-"&amp;INDEX(Eingabe!$C$9:$C$18,I39)&amp;"-Gäste  ·  Voucher",IF(J39=K39+3,"Kabel  ·  Access Point y = .(50+y), Mast-Switch x = .(10+x)","")))))</f>
        <v>SparteNet.de-BW-Pächter  ·  Passwort Parzelle 33</v>
      </c>
      <c r="I39" s="7" t="n">
        <f aca="false">IF(34&lt;=(Eingabe!$P$18+Eingabe!$Q$18-1),MATCH(34,Eingabe!$P$9:$P$18,1),"")</f>
        <v>1</v>
      </c>
      <c r="J39" s="7" t="n">
        <f aca="false">IF(I39="","",34-INDEX(Eingabe!$P$9:$P$18,I39))</f>
        <v>33</v>
      </c>
      <c r="K39" s="7" t="n">
        <f aca="false">IF(I39="","",INDEX(Eingabe!$E$9:$E$18,I39))</f>
        <v>85</v>
      </c>
    </row>
    <row r="40" customFormat="false" ht="15" hidden="false" customHeight="false" outlineLevel="0" collapsed="false">
      <c r="A40" s="0" t="str">
        <f aca="false">IF(I40="","",IF(J40=0,"Sparte "&amp;I40&amp;": "&amp;INDEX(Eingabe!$B$9:$B$18,I40)&amp;"  (Sparten-ID "&amp;INDEX(Eingabe!$D$9:$D$18,I40)&amp;", "&amp;K40&amp;" Parzellen)",IF(J40&lt;=K40,"   Parzelle "&amp;J40,IF(J40=K40+1,"   Vorstand",IF(J40=K40+2,"   Gäste",IF(J40=K40+3,"   Technik (Switches, Access Points)",""))))))</f>
        <v>   Parzelle 34</v>
      </c>
      <c r="B40" s="0" t="n">
        <f aca="false">IF(I40="","",IF(AND(J40&gt;=1,J40&lt;=K40+3),IF(J40&lt;=K40,IF(J40&lt;=99,IF((INDEX(Eingabe!$G$9:$G$18,I40))&lt;=9,1000+(INDEX(Eingabe!$G$9:$G$18,I40))*100,3000)+J40,IF((INDEX(Eingabe!$G$9:$G$18,I40)+1)&lt;=9,1000+(INDEX(Eingabe!$G$9:$G$18,I40)+1)*100,3000)+J40-100),IF(J40=K40+1,2000+INDEX(Eingabe!$G$9:$G$18,I40)*10+1,IF(J40=K40+2,2000+INDEX(Eingabe!$G$9:$G$18,I40)*10+2,2000+INDEX(Eingabe!$G$9:$G$18,I40)*10+9))),""))</f>
        <v>1134</v>
      </c>
      <c r="C40" s="0" t="str">
        <f aca="false">IF(I40="","",IF(AND(J40&gt;=1,J40&lt;=K40+3),"10."&amp;INDEX(Eingabe!$D$9:$D$18,I40)&amp;"."&amp;IF(J40&lt;=K40,J40,IF(J40=K40+1,200,IF(J40=K40+2,201,250)))&amp;".0/24",""))</f>
        <v>10.1.34.0/24</v>
      </c>
      <c r="D40" s="0" t="str">
        <f aca="false">IF(I40="","",IF(AND(J40&gt;=1,J40&lt;=K40+3),"255.255.255.0",""))</f>
        <v>255.255.255.0</v>
      </c>
      <c r="E40" s="0" t="str">
        <f aca="false">IF(I40="","",IF(AND(J40&gt;=1,J40&lt;=K40+3),"10."&amp;INDEX(Eingabe!$D$9:$D$18,I40)&amp;"."&amp;IF(J40&lt;=K40,J40,IF(J40=K40+1,200,IF(J40=K40+2,201,250)))&amp;".1",""))</f>
        <v>10.1.34.1</v>
      </c>
      <c r="F40" s="0" t="str">
        <f aca="false">IF(I40="","",IF(AND(J40&gt;=1,J40&lt;=K40+3),"10."&amp;INDEX(Eingabe!$D$9:$D$18,I40)&amp;"."&amp;IF(J40&lt;=K40,J40,IF(J40=K40+1,200,IF(J40=K40+2,201,250)))&amp;".10 – 10."&amp;INDEX(Eingabe!$D$9:$D$18,I40)&amp;"."&amp;IF(J40&lt;=K40,J40,IF(J40=K40+1,200,IF(J40=K40+2,201,250)))&amp;".250",""))</f>
        <v>10.1.34.10 – 10.1.34.250</v>
      </c>
      <c r="G40" s="0" t="str">
        <f aca="false">IF(I40="","",IF(AND(J40&gt;=1,J40&lt;=K40),Eingabe!$B$6&amp;"-"&amp;INDEX(Eingabe!$C$9:$C$18,I40)&amp;"-Pächter  ·  Passwort Parzelle "&amp;J40,IF(J40=K40+1,Eingabe!$B$6&amp;"-"&amp;INDEX(Eingabe!$C$9:$C$18,I40)&amp;"-Vorstand  ·  eigenes WLAN",IF(J40=K40+2,Eingabe!$B$6&amp;"-"&amp;INDEX(Eingabe!$C$9:$C$18,I40)&amp;"-Gäste  ·  Voucher",IF(J40=K40+3,"Kabel  ·  Access Point y = .(50+y), Mast-Switch x = .(10+x)","")))))</f>
        <v>SparteNet.de-BW-Pächter  ·  Passwort Parzelle 34</v>
      </c>
      <c r="I40" s="7" t="n">
        <f aca="false">IF(35&lt;=(Eingabe!$P$18+Eingabe!$Q$18-1),MATCH(35,Eingabe!$P$9:$P$18,1),"")</f>
        <v>1</v>
      </c>
      <c r="J40" s="7" t="n">
        <f aca="false">IF(I40="","",35-INDEX(Eingabe!$P$9:$P$18,I40))</f>
        <v>34</v>
      </c>
      <c r="K40" s="7" t="n">
        <f aca="false">IF(I40="","",INDEX(Eingabe!$E$9:$E$18,I40))</f>
        <v>85</v>
      </c>
    </row>
    <row r="41" customFormat="false" ht="15" hidden="false" customHeight="false" outlineLevel="0" collapsed="false">
      <c r="A41" s="0" t="str">
        <f aca="false">IF(I41="","",IF(J41=0,"Sparte "&amp;I41&amp;": "&amp;INDEX(Eingabe!$B$9:$B$18,I41)&amp;"  (Sparten-ID "&amp;INDEX(Eingabe!$D$9:$D$18,I41)&amp;", "&amp;K41&amp;" Parzellen)",IF(J41&lt;=K41,"   Parzelle "&amp;J41,IF(J41=K41+1,"   Vorstand",IF(J41=K41+2,"   Gäste",IF(J41=K41+3,"   Technik (Switches, Access Points)",""))))))</f>
        <v>   Parzelle 35</v>
      </c>
      <c r="B41" s="0" t="n">
        <f aca="false">IF(I41="","",IF(AND(J41&gt;=1,J41&lt;=K41+3),IF(J41&lt;=K41,IF(J41&lt;=99,IF((INDEX(Eingabe!$G$9:$G$18,I41))&lt;=9,1000+(INDEX(Eingabe!$G$9:$G$18,I41))*100,3000)+J41,IF((INDEX(Eingabe!$G$9:$G$18,I41)+1)&lt;=9,1000+(INDEX(Eingabe!$G$9:$G$18,I41)+1)*100,3000)+J41-100),IF(J41=K41+1,2000+INDEX(Eingabe!$G$9:$G$18,I41)*10+1,IF(J41=K41+2,2000+INDEX(Eingabe!$G$9:$G$18,I41)*10+2,2000+INDEX(Eingabe!$G$9:$G$18,I41)*10+9))),""))</f>
        <v>1135</v>
      </c>
      <c r="C41" s="0" t="str">
        <f aca="false">IF(I41="","",IF(AND(J41&gt;=1,J41&lt;=K41+3),"10."&amp;INDEX(Eingabe!$D$9:$D$18,I41)&amp;"."&amp;IF(J41&lt;=K41,J41,IF(J41=K41+1,200,IF(J41=K41+2,201,250)))&amp;".0/24",""))</f>
        <v>10.1.35.0/24</v>
      </c>
      <c r="D41" s="0" t="str">
        <f aca="false">IF(I41="","",IF(AND(J41&gt;=1,J41&lt;=K41+3),"255.255.255.0",""))</f>
        <v>255.255.255.0</v>
      </c>
      <c r="E41" s="0" t="str">
        <f aca="false">IF(I41="","",IF(AND(J41&gt;=1,J41&lt;=K41+3),"10."&amp;INDEX(Eingabe!$D$9:$D$18,I41)&amp;"."&amp;IF(J41&lt;=K41,J41,IF(J41=K41+1,200,IF(J41=K41+2,201,250)))&amp;".1",""))</f>
        <v>10.1.35.1</v>
      </c>
      <c r="F41" s="0" t="str">
        <f aca="false">IF(I41="","",IF(AND(J41&gt;=1,J41&lt;=K41+3),"10."&amp;INDEX(Eingabe!$D$9:$D$18,I41)&amp;"."&amp;IF(J41&lt;=K41,J41,IF(J41=K41+1,200,IF(J41=K41+2,201,250)))&amp;".10 – 10."&amp;INDEX(Eingabe!$D$9:$D$18,I41)&amp;"."&amp;IF(J41&lt;=K41,J41,IF(J41=K41+1,200,IF(J41=K41+2,201,250)))&amp;".250",""))</f>
        <v>10.1.35.10 – 10.1.35.250</v>
      </c>
      <c r="G41" s="0" t="str">
        <f aca="false">IF(I41="","",IF(AND(J41&gt;=1,J41&lt;=K41),Eingabe!$B$6&amp;"-"&amp;INDEX(Eingabe!$C$9:$C$18,I41)&amp;"-Pächter  ·  Passwort Parzelle "&amp;J41,IF(J41=K41+1,Eingabe!$B$6&amp;"-"&amp;INDEX(Eingabe!$C$9:$C$18,I41)&amp;"-Vorstand  ·  eigenes WLAN",IF(J41=K41+2,Eingabe!$B$6&amp;"-"&amp;INDEX(Eingabe!$C$9:$C$18,I41)&amp;"-Gäste  ·  Voucher",IF(J41=K41+3,"Kabel  ·  Access Point y = .(50+y), Mast-Switch x = .(10+x)","")))))</f>
        <v>SparteNet.de-BW-Pächter  ·  Passwort Parzelle 35</v>
      </c>
      <c r="I41" s="7" t="n">
        <f aca="false">IF(36&lt;=(Eingabe!$P$18+Eingabe!$Q$18-1),MATCH(36,Eingabe!$P$9:$P$18,1),"")</f>
        <v>1</v>
      </c>
      <c r="J41" s="7" t="n">
        <f aca="false">IF(I41="","",36-INDEX(Eingabe!$P$9:$P$18,I41))</f>
        <v>35</v>
      </c>
      <c r="K41" s="7" t="n">
        <f aca="false">IF(I41="","",INDEX(Eingabe!$E$9:$E$18,I41))</f>
        <v>85</v>
      </c>
    </row>
    <row r="42" customFormat="false" ht="15" hidden="false" customHeight="false" outlineLevel="0" collapsed="false">
      <c r="A42" s="0" t="str">
        <f aca="false">IF(I42="","",IF(J42=0,"Sparte "&amp;I42&amp;": "&amp;INDEX(Eingabe!$B$9:$B$18,I42)&amp;"  (Sparten-ID "&amp;INDEX(Eingabe!$D$9:$D$18,I42)&amp;", "&amp;K42&amp;" Parzellen)",IF(J42&lt;=K42,"   Parzelle "&amp;J42,IF(J42=K42+1,"   Vorstand",IF(J42=K42+2,"   Gäste",IF(J42=K42+3,"   Technik (Switches, Access Points)",""))))))</f>
        <v>   Parzelle 36</v>
      </c>
      <c r="B42" s="0" t="n">
        <f aca="false">IF(I42="","",IF(AND(J42&gt;=1,J42&lt;=K42+3),IF(J42&lt;=K42,IF(J42&lt;=99,IF((INDEX(Eingabe!$G$9:$G$18,I42))&lt;=9,1000+(INDEX(Eingabe!$G$9:$G$18,I42))*100,3000)+J42,IF((INDEX(Eingabe!$G$9:$G$18,I42)+1)&lt;=9,1000+(INDEX(Eingabe!$G$9:$G$18,I42)+1)*100,3000)+J42-100),IF(J42=K42+1,2000+INDEX(Eingabe!$G$9:$G$18,I42)*10+1,IF(J42=K42+2,2000+INDEX(Eingabe!$G$9:$G$18,I42)*10+2,2000+INDEX(Eingabe!$G$9:$G$18,I42)*10+9))),""))</f>
        <v>1136</v>
      </c>
      <c r="C42" s="0" t="str">
        <f aca="false">IF(I42="","",IF(AND(J42&gt;=1,J42&lt;=K42+3),"10."&amp;INDEX(Eingabe!$D$9:$D$18,I42)&amp;"."&amp;IF(J42&lt;=K42,J42,IF(J42=K42+1,200,IF(J42=K42+2,201,250)))&amp;".0/24",""))</f>
        <v>10.1.36.0/24</v>
      </c>
      <c r="D42" s="0" t="str">
        <f aca="false">IF(I42="","",IF(AND(J42&gt;=1,J42&lt;=K42+3),"255.255.255.0",""))</f>
        <v>255.255.255.0</v>
      </c>
      <c r="E42" s="0" t="str">
        <f aca="false">IF(I42="","",IF(AND(J42&gt;=1,J42&lt;=K42+3),"10."&amp;INDEX(Eingabe!$D$9:$D$18,I42)&amp;"."&amp;IF(J42&lt;=K42,J42,IF(J42=K42+1,200,IF(J42=K42+2,201,250)))&amp;".1",""))</f>
        <v>10.1.36.1</v>
      </c>
      <c r="F42" s="0" t="str">
        <f aca="false">IF(I42="","",IF(AND(J42&gt;=1,J42&lt;=K42+3),"10."&amp;INDEX(Eingabe!$D$9:$D$18,I42)&amp;"."&amp;IF(J42&lt;=K42,J42,IF(J42=K42+1,200,IF(J42=K42+2,201,250)))&amp;".10 – 10."&amp;INDEX(Eingabe!$D$9:$D$18,I42)&amp;"."&amp;IF(J42&lt;=K42,J42,IF(J42=K42+1,200,IF(J42=K42+2,201,250)))&amp;".250",""))</f>
        <v>10.1.36.10 – 10.1.36.250</v>
      </c>
      <c r="G42" s="0" t="str">
        <f aca="false">IF(I42="","",IF(AND(J42&gt;=1,J42&lt;=K42),Eingabe!$B$6&amp;"-"&amp;INDEX(Eingabe!$C$9:$C$18,I42)&amp;"-Pächter  ·  Passwort Parzelle "&amp;J42,IF(J42=K42+1,Eingabe!$B$6&amp;"-"&amp;INDEX(Eingabe!$C$9:$C$18,I42)&amp;"-Vorstand  ·  eigenes WLAN",IF(J42=K42+2,Eingabe!$B$6&amp;"-"&amp;INDEX(Eingabe!$C$9:$C$18,I42)&amp;"-Gäste  ·  Voucher",IF(J42=K42+3,"Kabel  ·  Access Point y = .(50+y), Mast-Switch x = .(10+x)","")))))</f>
        <v>SparteNet.de-BW-Pächter  ·  Passwort Parzelle 36</v>
      </c>
      <c r="I42" s="7" t="n">
        <f aca="false">IF(37&lt;=(Eingabe!$P$18+Eingabe!$Q$18-1),MATCH(37,Eingabe!$P$9:$P$18,1),"")</f>
        <v>1</v>
      </c>
      <c r="J42" s="7" t="n">
        <f aca="false">IF(I42="","",37-INDEX(Eingabe!$P$9:$P$18,I42))</f>
        <v>36</v>
      </c>
      <c r="K42" s="7" t="n">
        <f aca="false">IF(I42="","",INDEX(Eingabe!$E$9:$E$18,I42))</f>
        <v>85</v>
      </c>
    </row>
    <row r="43" customFormat="false" ht="15" hidden="false" customHeight="false" outlineLevel="0" collapsed="false">
      <c r="A43" s="0" t="str">
        <f aca="false">IF(I43="","",IF(J43=0,"Sparte "&amp;I43&amp;": "&amp;INDEX(Eingabe!$B$9:$B$18,I43)&amp;"  (Sparten-ID "&amp;INDEX(Eingabe!$D$9:$D$18,I43)&amp;", "&amp;K43&amp;" Parzellen)",IF(J43&lt;=K43,"   Parzelle "&amp;J43,IF(J43=K43+1,"   Vorstand",IF(J43=K43+2,"   Gäste",IF(J43=K43+3,"   Technik (Switches, Access Points)",""))))))</f>
        <v>   Parzelle 37</v>
      </c>
      <c r="B43" s="0" t="n">
        <f aca="false">IF(I43="","",IF(AND(J43&gt;=1,J43&lt;=K43+3),IF(J43&lt;=K43,IF(J43&lt;=99,IF((INDEX(Eingabe!$G$9:$G$18,I43))&lt;=9,1000+(INDEX(Eingabe!$G$9:$G$18,I43))*100,3000)+J43,IF((INDEX(Eingabe!$G$9:$G$18,I43)+1)&lt;=9,1000+(INDEX(Eingabe!$G$9:$G$18,I43)+1)*100,3000)+J43-100),IF(J43=K43+1,2000+INDEX(Eingabe!$G$9:$G$18,I43)*10+1,IF(J43=K43+2,2000+INDEX(Eingabe!$G$9:$G$18,I43)*10+2,2000+INDEX(Eingabe!$G$9:$G$18,I43)*10+9))),""))</f>
        <v>1137</v>
      </c>
      <c r="C43" s="0" t="str">
        <f aca="false">IF(I43="","",IF(AND(J43&gt;=1,J43&lt;=K43+3),"10."&amp;INDEX(Eingabe!$D$9:$D$18,I43)&amp;"."&amp;IF(J43&lt;=K43,J43,IF(J43=K43+1,200,IF(J43=K43+2,201,250)))&amp;".0/24",""))</f>
        <v>10.1.37.0/24</v>
      </c>
      <c r="D43" s="0" t="str">
        <f aca="false">IF(I43="","",IF(AND(J43&gt;=1,J43&lt;=K43+3),"255.255.255.0",""))</f>
        <v>255.255.255.0</v>
      </c>
      <c r="E43" s="0" t="str">
        <f aca="false">IF(I43="","",IF(AND(J43&gt;=1,J43&lt;=K43+3),"10."&amp;INDEX(Eingabe!$D$9:$D$18,I43)&amp;"."&amp;IF(J43&lt;=K43,J43,IF(J43=K43+1,200,IF(J43=K43+2,201,250)))&amp;".1",""))</f>
        <v>10.1.37.1</v>
      </c>
      <c r="F43" s="0" t="str">
        <f aca="false">IF(I43="","",IF(AND(J43&gt;=1,J43&lt;=K43+3),"10."&amp;INDEX(Eingabe!$D$9:$D$18,I43)&amp;"."&amp;IF(J43&lt;=K43,J43,IF(J43=K43+1,200,IF(J43=K43+2,201,250)))&amp;".10 – 10."&amp;INDEX(Eingabe!$D$9:$D$18,I43)&amp;"."&amp;IF(J43&lt;=K43,J43,IF(J43=K43+1,200,IF(J43=K43+2,201,250)))&amp;".250",""))</f>
        <v>10.1.37.10 – 10.1.37.250</v>
      </c>
      <c r="G43" s="0" t="str">
        <f aca="false">IF(I43="","",IF(AND(J43&gt;=1,J43&lt;=K43),Eingabe!$B$6&amp;"-"&amp;INDEX(Eingabe!$C$9:$C$18,I43)&amp;"-Pächter  ·  Passwort Parzelle "&amp;J43,IF(J43=K43+1,Eingabe!$B$6&amp;"-"&amp;INDEX(Eingabe!$C$9:$C$18,I43)&amp;"-Vorstand  ·  eigenes WLAN",IF(J43=K43+2,Eingabe!$B$6&amp;"-"&amp;INDEX(Eingabe!$C$9:$C$18,I43)&amp;"-Gäste  ·  Voucher",IF(J43=K43+3,"Kabel  ·  Access Point y = .(50+y), Mast-Switch x = .(10+x)","")))))</f>
        <v>SparteNet.de-BW-Pächter  ·  Passwort Parzelle 37</v>
      </c>
      <c r="I43" s="7" t="n">
        <f aca="false">IF(38&lt;=(Eingabe!$P$18+Eingabe!$Q$18-1),MATCH(38,Eingabe!$P$9:$P$18,1),"")</f>
        <v>1</v>
      </c>
      <c r="J43" s="7" t="n">
        <f aca="false">IF(I43="","",38-INDEX(Eingabe!$P$9:$P$18,I43))</f>
        <v>37</v>
      </c>
      <c r="K43" s="7" t="n">
        <f aca="false">IF(I43="","",INDEX(Eingabe!$E$9:$E$18,I43))</f>
        <v>85</v>
      </c>
    </row>
    <row r="44" customFormat="false" ht="15" hidden="false" customHeight="false" outlineLevel="0" collapsed="false">
      <c r="A44" s="0" t="str">
        <f aca="false">IF(I44="","",IF(J44=0,"Sparte "&amp;I44&amp;": "&amp;INDEX(Eingabe!$B$9:$B$18,I44)&amp;"  (Sparten-ID "&amp;INDEX(Eingabe!$D$9:$D$18,I44)&amp;", "&amp;K44&amp;" Parzellen)",IF(J44&lt;=K44,"   Parzelle "&amp;J44,IF(J44=K44+1,"   Vorstand",IF(J44=K44+2,"   Gäste",IF(J44=K44+3,"   Technik (Switches, Access Points)",""))))))</f>
        <v>   Parzelle 38</v>
      </c>
      <c r="B44" s="0" t="n">
        <f aca="false">IF(I44="","",IF(AND(J44&gt;=1,J44&lt;=K44+3),IF(J44&lt;=K44,IF(J44&lt;=99,IF((INDEX(Eingabe!$G$9:$G$18,I44))&lt;=9,1000+(INDEX(Eingabe!$G$9:$G$18,I44))*100,3000)+J44,IF((INDEX(Eingabe!$G$9:$G$18,I44)+1)&lt;=9,1000+(INDEX(Eingabe!$G$9:$G$18,I44)+1)*100,3000)+J44-100),IF(J44=K44+1,2000+INDEX(Eingabe!$G$9:$G$18,I44)*10+1,IF(J44=K44+2,2000+INDEX(Eingabe!$G$9:$G$18,I44)*10+2,2000+INDEX(Eingabe!$G$9:$G$18,I44)*10+9))),""))</f>
        <v>1138</v>
      </c>
      <c r="C44" s="0" t="str">
        <f aca="false">IF(I44="","",IF(AND(J44&gt;=1,J44&lt;=K44+3),"10."&amp;INDEX(Eingabe!$D$9:$D$18,I44)&amp;"."&amp;IF(J44&lt;=K44,J44,IF(J44=K44+1,200,IF(J44=K44+2,201,250)))&amp;".0/24",""))</f>
        <v>10.1.38.0/24</v>
      </c>
      <c r="D44" s="0" t="str">
        <f aca="false">IF(I44="","",IF(AND(J44&gt;=1,J44&lt;=K44+3),"255.255.255.0",""))</f>
        <v>255.255.255.0</v>
      </c>
      <c r="E44" s="0" t="str">
        <f aca="false">IF(I44="","",IF(AND(J44&gt;=1,J44&lt;=K44+3),"10."&amp;INDEX(Eingabe!$D$9:$D$18,I44)&amp;"."&amp;IF(J44&lt;=K44,J44,IF(J44=K44+1,200,IF(J44=K44+2,201,250)))&amp;".1",""))</f>
        <v>10.1.38.1</v>
      </c>
      <c r="F44" s="0" t="str">
        <f aca="false">IF(I44="","",IF(AND(J44&gt;=1,J44&lt;=K44+3),"10."&amp;INDEX(Eingabe!$D$9:$D$18,I44)&amp;"."&amp;IF(J44&lt;=K44,J44,IF(J44=K44+1,200,IF(J44=K44+2,201,250)))&amp;".10 – 10."&amp;INDEX(Eingabe!$D$9:$D$18,I44)&amp;"."&amp;IF(J44&lt;=K44,J44,IF(J44=K44+1,200,IF(J44=K44+2,201,250)))&amp;".250",""))</f>
        <v>10.1.38.10 – 10.1.38.250</v>
      </c>
      <c r="G44" s="0" t="str">
        <f aca="false">IF(I44="","",IF(AND(J44&gt;=1,J44&lt;=K44),Eingabe!$B$6&amp;"-"&amp;INDEX(Eingabe!$C$9:$C$18,I44)&amp;"-Pächter  ·  Passwort Parzelle "&amp;J44,IF(J44=K44+1,Eingabe!$B$6&amp;"-"&amp;INDEX(Eingabe!$C$9:$C$18,I44)&amp;"-Vorstand  ·  eigenes WLAN",IF(J44=K44+2,Eingabe!$B$6&amp;"-"&amp;INDEX(Eingabe!$C$9:$C$18,I44)&amp;"-Gäste  ·  Voucher",IF(J44=K44+3,"Kabel  ·  Access Point y = .(50+y), Mast-Switch x = .(10+x)","")))))</f>
        <v>SparteNet.de-BW-Pächter  ·  Passwort Parzelle 38</v>
      </c>
      <c r="I44" s="7" t="n">
        <f aca="false">IF(39&lt;=(Eingabe!$P$18+Eingabe!$Q$18-1),MATCH(39,Eingabe!$P$9:$P$18,1),"")</f>
        <v>1</v>
      </c>
      <c r="J44" s="7" t="n">
        <f aca="false">IF(I44="","",39-INDEX(Eingabe!$P$9:$P$18,I44))</f>
        <v>38</v>
      </c>
      <c r="K44" s="7" t="n">
        <f aca="false">IF(I44="","",INDEX(Eingabe!$E$9:$E$18,I44))</f>
        <v>85</v>
      </c>
    </row>
    <row r="45" customFormat="false" ht="15" hidden="false" customHeight="false" outlineLevel="0" collapsed="false">
      <c r="A45" s="0" t="str">
        <f aca="false">IF(I45="","",IF(J45=0,"Sparte "&amp;I45&amp;": "&amp;INDEX(Eingabe!$B$9:$B$18,I45)&amp;"  (Sparten-ID "&amp;INDEX(Eingabe!$D$9:$D$18,I45)&amp;", "&amp;K45&amp;" Parzellen)",IF(J45&lt;=K45,"   Parzelle "&amp;J45,IF(J45=K45+1,"   Vorstand",IF(J45=K45+2,"   Gäste",IF(J45=K45+3,"   Technik (Switches, Access Points)",""))))))</f>
        <v>   Parzelle 39</v>
      </c>
      <c r="B45" s="0" t="n">
        <f aca="false">IF(I45="","",IF(AND(J45&gt;=1,J45&lt;=K45+3),IF(J45&lt;=K45,IF(J45&lt;=99,IF((INDEX(Eingabe!$G$9:$G$18,I45))&lt;=9,1000+(INDEX(Eingabe!$G$9:$G$18,I45))*100,3000)+J45,IF((INDEX(Eingabe!$G$9:$G$18,I45)+1)&lt;=9,1000+(INDEX(Eingabe!$G$9:$G$18,I45)+1)*100,3000)+J45-100),IF(J45=K45+1,2000+INDEX(Eingabe!$G$9:$G$18,I45)*10+1,IF(J45=K45+2,2000+INDEX(Eingabe!$G$9:$G$18,I45)*10+2,2000+INDEX(Eingabe!$G$9:$G$18,I45)*10+9))),""))</f>
        <v>1139</v>
      </c>
      <c r="C45" s="0" t="str">
        <f aca="false">IF(I45="","",IF(AND(J45&gt;=1,J45&lt;=K45+3),"10."&amp;INDEX(Eingabe!$D$9:$D$18,I45)&amp;"."&amp;IF(J45&lt;=K45,J45,IF(J45=K45+1,200,IF(J45=K45+2,201,250)))&amp;".0/24",""))</f>
        <v>10.1.39.0/24</v>
      </c>
      <c r="D45" s="0" t="str">
        <f aca="false">IF(I45="","",IF(AND(J45&gt;=1,J45&lt;=K45+3),"255.255.255.0",""))</f>
        <v>255.255.255.0</v>
      </c>
      <c r="E45" s="0" t="str">
        <f aca="false">IF(I45="","",IF(AND(J45&gt;=1,J45&lt;=K45+3),"10."&amp;INDEX(Eingabe!$D$9:$D$18,I45)&amp;"."&amp;IF(J45&lt;=K45,J45,IF(J45=K45+1,200,IF(J45=K45+2,201,250)))&amp;".1",""))</f>
        <v>10.1.39.1</v>
      </c>
      <c r="F45" s="0" t="str">
        <f aca="false">IF(I45="","",IF(AND(J45&gt;=1,J45&lt;=K45+3),"10."&amp;INDEX(Eingabe!$D$9:$D$18,I45)&amp;"."&amp;IF(J45&lt;=K45,J45,IF(J45=K45+1,200,IF(J45=K45+2,201,250)))&amp;".10 – 10."&amp;INDEX(Eingabe!$D$9:$D$18,I45)&amp;"."&amp;IF(J45&lt;=K45,J45,IF(J45=K45+1,200,IF(J45=K45+2,201,250)))&amp;".250",""))</f>
        <v>10.1.39.10 – 10.1.39.250</v>
      </c>
      <c r="G45" s="0" t="str">
        <f aca="false">IF(I45="","",IF(AND(J45&gt;=1,J45&lt;=K45),Eingabe!$B$6&amp;"-"&amp;INDEX(Eingabe!$C$9:$C$18,I45)&amp;"-Pächter  ·  Passwort Parzelle "&amp;J45,IF(J45=K45+1,Eingabe!$B$6&amp;"-"&amp;INDEX(Eingabe!$C$9:$C$18,I45)&amp;"-Vorstand  ·  eigenes WLAN",IF(J45=K45+2,Eingabe!$B$6&amp;"-"&amp;INDEX(Eingabe!$C$9:$C$18,I45)&amp;"-Gäste  ·  Voucher",IF(J45=K45+3,"Kabel  ·  Access Point y = .(50+y), Mast-Switch x = .(10+x)","")))))</f>
        <v>SparteNet.de-BW-Pächter  ·  Passwort Parzelle 39</v>
      </c>
      <c r="I45" s="7" t="n">
        <f aca="false">IF(40&lt;=(Eingabe!$P$18+Eingabe!$Q$18-1),MATCH(40,Eingabe!$P$9:$P$18,1),"")</f>
        <v>1</v>
      </c>
      <c r="J45" s="7" t="n">
        <f aca="false">IF(I45="","",40-INDEX(Eingabe!$P$9:$P$18,I45))</f>
        <v>39</v>
      </c>
      <c r="K45" s="7" t="n">
        <f aca="false">IF(I45="","",INDEX(Eingabe!$E$9:$E$18,I45))</f>
        <v>85</v>
      </c>
    </row>
    <row r="46" customFormat="false" ht="15" hidden="false" customHeight="false" outlineLevel="0" collapsed="false">
      <c r="A46" s="0" t="str">
        <f aca="false">IF(I46="","",IF(J46=0,"Sparte "&amp;I46&amp;": "&amp;INDEX(Eingabe!$B$9:$B$18,I46)&amp;"  (Sparten-ID "&amp;INDEX(Eingabe!$D$9:$D$18,I46)&amp;", "&amp;K46&amp;" Parzellen)",IF(J46&lt;=K46,"   Parzelle "&amp;J46,IF(J46=K46+1,"   Vorstand",IF(J46=K46+2,"   Gäste",IF(J46=K46+3,"   Technik (Switches, Access Points)",""))))))</f>
        <v>   Parzelle 40</v>
      </c>
      <c r="B46" s="0" t="n">
        <f aca="false">IF(I46="","",IF(AND(J46&gt;=1,J46&lt;=K46+3),IF(J46&lt;=K46,IF(J46&lt;=99,IF((INDEX(Eingabe!$G$9:$G$18,I46))&lt;=9,1000+(INDEX(Eingabe!$G$9:$G$18,I46))*100,3000)+J46,IF((INDEX(Eingabe!$G$9:$G$18,I46)+1)&lt;=9,1000+(INDEX(Eingabe!$G$9:$G$18,I46)+1)*100,3000)+J46-100),IF(J46=K46+1,2000+INDEX(Eingabe!$G$9:$G$18,I46)*10+1,IF(J46=K46+2,2000+INDEX(Eingabe!$G$9:$G$18,I46)*10+2,2000+INDEX(Eingabe!$G$9:$G$18,I46)*10+9))),""))</f>
        <v>1140</v>
      </c>
      <c r="C46" s="0" t="str">
        <f aca="false">IF(I46="","",IF(AND(J46&gt;=1,J46&lt;=K46+3),"10."&amp;INDEX(Eingabe!$D$9:$D$18,I46)&amp;"."&amp;IF(J46&lt;=K46,J46,IF(J46=K46+1,200,IF(J46=K46+2,201,250)))&amp;".0/24",""))</f>
        <v>10.1.40.0/24</v>
      </c>
      <c r="D46" s="0" t="str">
        <f aca="false">IF(I46="","",IF(AND(J46&gt;=1,J46&lt;=K46+3),"255.255.255.0",""))</f>
        <v>255.255.255.0</v>
      </c>
      <c r="E46" s="0" t="str">
        <f aca="false">IF(I46="","",IF(AND(J46&gt;=1,J46&lt;=K46+3),"10."&amp;INDEX(Eingabe!$D$9:$D$18,I46)&amp;"."&amp;IF(J46&lt;=K46,J46,IF(J46=K46+1,200,IF(J46=K46+2,201,250)))&amp;".1",""))</f>
        <v>10.1.40.1</v>
      </c>
      <c r="F46" s="0" t="str">
        <f aca="false">IF(I46="","",IF(AND(J46&gt;=1,J46&lt;=K46+3),"10."&amp;INDEX(Eingabe!$D$9:$D$18,I46)&amp;"."&amp;IF(J46&lt;=K46,J46,IF(J46=K46+1,200,IF(J46=K46+2,201,250)))&amp;".10 – 10."&amp;INDEX(Eingabe!$D$9:$D$18,I46)&amp;"."&amp;IF(J46&lt;=K46,J46,IF(J46=K46+1,200,IF(J46=K46+2,201,250)))&amp;".250",""))</f>
        <v>10.1.40.10 – 10.1.40.250</v>
      </c>
      <c r="G46" s="0" t="str">
        <f aca="false">IF(I46="","",IF(AND(J46&gt;=1,J46&lt;=K46),Eingabe!$B$6&amp;"-"&amp;INDEX(Eingabe!$C$9:$C$18,I46)&amp;"-Pächter  ·  Passwort Parzelle "&amp;J46,IF(J46=K46+1,Eingabe!$B$6&amp;"-"&amp;INDEX(Eingabe!$C$9:$C$18,I46)&amp;"-Vorstand  ·  eigenes WLAN",IF(J46=K46+2,Eingabe!$B$6&amp;"-"&amp;INDEX(Eingabe!$C$9:$C$18,I46)&amp;"-Gäste  ·  Voucher",IF(J46=K46+3,"Kabel  ·  Access Point y = .(50+y), Mast-Switch x = .(10+x)","")))))</f>
        <v>SparteNet.de-BW-Pächter  ·  Passwort Parzelle 40</v>
      </c>
      <c r="I46" s="7" t="n">
        <f aca="false">IF(41&lt;=(Eingabe!$P$18+Eingabe!$Q$18-1),MATCH(41,Eingabe!$P$9:$P$18,1),"")</f>
        <v>1</v>
      </c>
      <c r="J46" s="7" t="n">
        <f aca="false">IF(I46="","",41-INDEX(Eingabe!$P$9:$P$18,I46))</f>
        <v>40</v>
      </c>
      <c r="K46" s="7" t="n">
        <f aca="false">IF(I46="","",INDEX(Eingabe!$E$9:$E$18,I46))</f>
        <v>85</v>
      </c>
    </row>
    <row r="47" customFormat="false" ht="15" hidden="false" customHeight="false" outlineLevel="0" collapsed="false">
      <c r="A47" s="0" t="str">
        <f aca="false">IF(I47="","",IF(J47=0,"Sparte "&amp;I47&amp;": "&amp;INDEX(Eingabe!$B$9:$B$18,I47)&amp;"  (Sparten-ID "&amp;INDEX(Eingabe!$D$9:$D$18,I47)&amp;", "&amp;K47&amp;" Parzellen)",IF(J47&lt;=K47,"   Parzelle "&amp;J47,IF(J47=K47+1,"   Vorstand",IF(J47=K47+2,"   Gäste",IF(J47=K47+3,"   Technik (Switches, Access Points)",""))))))</f>
        <v>   Parzelle 41</v>
      </c>
      <c r="B47" s="0" t="n">
        <f aca="false">IF(I47="","",IF(AND(J47&gt;=1,J47&lt;=K47+3),IF(J47&lt;=K47,IF(J47&lt;=99,IF((INDEX(Eingabe!$G$9:$G$18,I47))&lt;=9,1000+(INDEX(Eingabe!$G$9:$G$18,I47))*100,3000)+J47,IF((INDEX(Eingabe!$G$9:$G$18,I47)+1)&lt;=9,1000+(INDEX(Eingabe!$G$9:$G$18,I47)+1)*100,3000)+J47-100),IF(J47=K47+1,2000+INDEX(Eingabe!$G$9:$G$18,I47)*10+1,IF(J47=K47+2,2000+INDEX(Eingabe!$G$9:$G$18,I47)*10+2,2000+INDEX(Eingabe!$G$9:$G$18,I47)*10+9))),""))</f>
        <v>1141</v>
      </c>
      <c r="C47" s="0" t="str">
        <f aca="false">IF(I47="","",IF(AND(J47&gt;=1,J47&lt;=K47+3),"10."&amp;INDEX(Eingabe!$D$9:$D$18,I47)&amp;"."&amp;IF(J47&lt;=K47,J47,IF(J47=K47+1,200,IF(J47=K47+2,201,250)))&amp;".0/24",""))</f>
        <v>10.1.41.0/24</v>
      </c>
      <c r="D47" s="0" t="str">
        <f aca="false">IF(I47="","",IF(AND(J47&gt;=1,J47&lt;=K47+3),"255.255.255.0",""))</f>
        <v>255.255.255.0</v>
      </c>
      <c r="E47" s="0" t="str">
        <f aca="false">IF(I47="","",IF(AND(J47&gt;=1,J47&lt;=K47+3),"10."&amp;INDEX(Eingabe!$D$9:$D$18,I47)&amp;"."&amp;IF(J47&lt;=K47,J47,IF(J47=K47+1,200,IF(J47=K47+2,201,250)))&amp;".1",""))</f>
        <v>10.1.41.1</v>
      </c>
      <c r="F47" s="0" t="str">
        <f aca="false">IF(I47="","",IF(AND(J47&gt;=1,J47&lt;=K47+3),"10."&amp;INDEX(Eingabe!$D$9:$D$18,I47)&amp;"."&amp;IF(J47&lt;=K47,J47,IF(J47=K47+1,200,IF(J47=K47+2,201,250)))&amp;".10 – 10."&amp;INDEX(Eingabe!$D$9:$D$18,I47)&amp;"."&amp;IF(J47&lt;=K47,J47,IF(J47=K47+1,200,IF(J47=K47+2,201,250)))&amp;".250",""))</f>
        <v>10.1.41.10 – 10.1.41.250</v>
      </c>
      <c r="G47" s="0" t="str">
        <f aca="false">IF(I47="","",IF(AND(J47&gt;=1,J47&lt;=K47),Eingabe!$B$6&amp;"-"&amp;INDEX(Eingabe!$C$9:$C$18,I47)&amp;"-Pächter  ·  Passwort Parzelle "&amp;J47,IF(J47=K47+1,Eingabe!$B$6&amp;"-"&amp;INDEX(Eingabe!$C$9:$C$18,I47)&amp;"-Vorstand  ·  eigenes WLAN",IF(J47=K47+2,Eingabe!$B$6&amp;"-"&amp;INDEX(Eingabe!$C$9:$C$18,I47)&amp;"-Gäste  ·  Voucher",IF(J47=K47+3,"Kabel  ·  Access Point y = .(50+y), Mast-Switch x = .(10+x)","")))))</f>
        <v>SparteNet.de-BW-Pächter  ·  Passwort Parzelle 41</v>
      </c>
      <c r="I47" s="7" t="n">
        <f aca="false">IF(42&lt;=(Eingabe!$P$18+Eingabe!$Q$18-1),MATCH(42,Eingabe!$P$9:$P$18,1),"")</f>
        <v>1</v>
      </c>
      <c r="J47" s="7" t="n">
        <f aca="false">IF(I47="","",42-INDEX(Eingabe!$P$9:$P$18,I47))</f>
        <v>41</v>
      </c>
      <c r="K47" s="7" t="n">
        <f aca="false">IF(I47="","",INDEX(Eingabe!$E$9:$E$18,I47))</f>
        <v>85</v>
      </c>
    </row>
    <row r="48" customFormat="false" ht="15" hidden="false" customHeight="false" outlineLevel="0" collapsed="false">
      <c r="A48" s="0" t="str">
        <f aca="false">IF(I48="","",IF(J48=0,"Sparte "&amp;I48&amp;": "&amp;INDEX(Eingabe!$B$9:$B$18,I48)&amp;"  (Sparten-ID "&amp;INDEX(Eingabe!$D$9:$D$18,I48)&amp;", "&amp;K48&amp;" Parzellen)",IF(J48&lt;=K48,"   Parzelle "&amp;J48,IF(J48=K48+1,"   Vorstand",IF(J48=K48+2,"   Gäste",IF(J48=K48+3,"   Technik (Switches, Access Points)",""))))))</f>
        <v>   Parzelle 42</v>
      </c>
      <c r="B48" s="0" t="n">
        <f aca="false">IF(I48="","",IF(AND(J48&gt;=1,J48&lt;=K48+3),IF(J48&lt;=K48,IF(J48&lt;=99,IF((INDEX(Eingabe!$G$9:$G$18,I48))&lt;=9,1000+(INDEX(Eingabe!$G$9:$G$18,I48))*100,3000)+J48,IF((INDEX(Eingabe!$G$9:$G$18,I48)+1)&lt;=9,1000+(INDEX(Eingabe!$G$9:$G$18,I48)+1)*100,3000)+J48-100),IF(J48=K48+1,2000+INDEX(Eingabe!$G$9:$G$18,I48)*10+1,IF(J48=K48+2,2000+INDEX(Eingabe!$G$9:$G$18,I48)*10+2,2000+INDEX(Eingabe!$G$9:$G$18,I48)*10+9))),""))</f>
        <v>1142</v>
      </c>
      <c r="C48" s="0" t="str">
        <f aca="false">IF(I48="","",IF(AND(J48&gt;=1,J48&lt;=K48+3),"10."&amp;INDEX(Eingabe!$D$9:$D$18,I48)&amp;"."&amp;IF(J48&lt;=K48,J48,IF(J48=K48+1,200,IF(J48=K48+2,201,250)))&amp;".0/24",""))</f>
        <v>10.1.42.0/24</v>
      </c>
      <c r="D48" s="0" t="str">
        <f aca="false">IF(I48="","",IF(AND(J48&gt;=1,J48&lt;=K48+3),"255.255.255.0",""))</f>
        <v>255.255.255.0</v>
      </c>
      <c r="E48" s="0" t="str">
        <f aca="false">IF(I48="","",IF(AND(J48&gt;=1,J48&lt;=K48+3),"10."&amp;INDEX(Eingabe!$D$9:$D$18,I48)&amp;"."&amp;IF(J48&lt;=K48,J48,IF(J48=K48+1,200,IF(J48=K48+2,201,250)))&amp;".1",""))</f>
        <v>10.1.42.1</v>
      </c>
      <c r="F48" s="0" t="str">
        <f aca="false">IF(I48="","",IF(AND(J48&gt;=1,J48&lt;=K48+3),"10."&amp;INDEX(Eingabe!$D$9:$D$18,I48)&amp;"."&amp;IF(J48&lt;=K48,J48,IF(J48=K48+1,200,IF(J48=K48+2,201,250)))&amp;".10 – 10."&amp;INDEX(Eingabe!$D$9:$D$18,I48)&amp;"."&amp;IF(J48&lt;=K48,J48,IF(J48=K48+1,200,IF(J48=K48+2,201,250)))&amp;".250",""))</f>
        <v>10.1.42.10 – 10.1.42.250</v>
      </c>
      <c r="G48" s="0" t="str">
        <f aca="false">IF(I48="","",IF(AND(J48&gt;=1,J48&lt;=K48),Eingabe!$B$6&amp;"-"&amp;INDEX(Eingabe!$C$9:$C$18,I48)&amp;"-Pächter  ·  Passwort Parzelle "&amp;J48,IF(J48=K48+1,Eingabe!$B$6&amp;"-"&amp;INDEX(Eingabe!$C$9:$C$18,I48)&amp;"-Vorstand  ·  eigenes WLAN",IF(J48=K48+2,Eingabe!$B$6&amp;"-"&amp;INDEX(Eingabe!$C$9:$C$18,I48)&amp;"-Gäste  ·  Voucher",IF(J48=K48+3,"Kabel  ·  Access Point y = .(50+y), Mast-Switch x = .(10+x)","")))))</f>
        <v>SparteNet.de-BW-Pächter  ·  Passwort Parzelle 42</v>
      </c>
      <c r="I48" s="7" t="n">
        <f aca="false">IF(43&lt;=(Eingabe!$P$18+Eingabe!$Q$18-1),MATCH(43,Eingabe!$P$9:$P$18,1),"")</f>
        <v>1</v>
      </c>
      <c r="J48" s="7" t="n">
        <f aca="false">IF(I48="","",43-INDEX(Eingabe!$P$9:$P$18,I48))</f>
        <v>42</v>
      </c>
      <c r="K48" s="7" t="n">
        <f aca="false">IF(I48="","",INDEX(Eingabe!$E$9:$E$18,I48))</f>
        <v>85</v>
      </c>
    </row>
    <row r="49" customFormat="false" ht="15" hidden="false" customHeight="false" outlineLevel="0" collapsed="false">
      <c r="A49" s="0" t="str">
        <f aca="false">IF(I49="","",IF(J49=0,"Sparte "&amp;I49&amp;": "&amp;INDEX(Eingabe!$B$9:$B$18,I49)&amp;"  (Sparten-ID "&amp;INDEX(Eingabe!$D$9:$D$18,I49)&amp;", "&amp;K49&amp;" Parzellen)",IF(J49&lt;=K49,"   Parzelle "&amp;J49,IF(J49=K49+1,"   Vorstand",IF(J49=K49+2,"   Gäste",IF(J49=K49+3,"   Technik (Switches, Access Points)",""))))))</f>
        <v>   Parzelle 43</v>
      </c>
      <c r="B49" s="0" t="n">
        <f aca="false">IF(I49="","",IF(AND(J49&gt;=1,J49&lt;=K49+3),IF(J49&lt;=K49,IF(J49&lt;=99,IF((INDEX(Eingabe!$G$9:$G$18,I49))&lt;=9,1000+(INDEX(Eingabe!$G$9:$G$18,I49))*100,3000)+J49,IF((INDEX(Eingabe!$G$9:$G$18,I49)+1)&lt;=9,1000+(INDEX(Eingabe!$G$9:$G$18,I49)+1)*100,3000)+J49-100),IF(J49=K49+1,2000+INDEX(Eingabe!$G$9:$G$18,I49)*10+1,IF(J49=K49+2,2000+INDEX(Eingabe!$G$9:$G$18,I49)*10+2,2000+INDEX(Eingabe!$G$9:$G$18,I49)*10+9))),""))</f>
        <v>1143</v>
      </c>
      <c r="C49" s="0" t="str">
        <f aca="false">IF(I49="","",IF(AND(J49&gt;=1,J49&lt;=K49+3),"10."&amp;INDEX(Eingabe!$D$9:$D$18,I49)&amp;"."&amp;IF(J49&lt;=K49,J49,IF(J49=K49+1,200,IF(J49=K49+2,201,250)))&amp;".0/24",""))</f>
        <v>10.1.43.0/24</v>
      </c>
      <c r="D49" s="0" t="str">
        <f aca="false">IF(I49="","",IF(AND(J49&gt;=1,J49&lt;=K49+3),"255.255.255.0",""))</f>
        <v>255.255.255.0</v>
      </c>
      <c r="E49" s="0" t="str">
        <f aca="false">IF(I49="","",IF(AND(J49&gt;=1,J49&lt;=K49+3),"10."&amp;INDEX(Eingabe!$D$9:$D$18,I49)&amp;"."&amp;IF(J49&lt;=K49,J49,IF(J49=K49+1,200,IF(J49=K49+2,201,250)))&amp;".1",""))</f>
        <v>10.1.43.1</v>
      </c>
      <c r="F49" s="0" t="str">
        <f aca="false">IF(I49="","",IF(AND(J49&gt;=1,J49&lt;=K49+3),"10."&amp;INDEX(Eingabe!$D$9:$D$18,I49)&amp;"."&amp;IF(J49&lt;=K49,J49,IF(J49=K49+1,200,IF(J49=K49+2,201,250)))&amp;".10 – 10."&amp;INDEX(Eingabe!$D$9:$D$18,I49)&amp;"."&amp;IF(J49&lt;=K49,J49,IF(J49=K49+1,200,IF(J49=K49+2,201,250)))&amp;".250",""))</f>
        <v>10.1.43.10 – 10.1.43.250</v>
      </c>
      <c r="G49" s="0" t="str">
        <f aca="false">IF(I49="","",IF(AND(J49&gt;=1,J49&lt;=K49),Eingabe!$B$6&amp;"-"&amp;INDEX(Eingabe!$C$9:$C$18,I49)&amp;"-Pächter  ·  Passwort Parzelle "&amp;J49,IF(J49=K49+1,Eingabe!$B$6&amp;"-"&amp;INDEX(Eingabe!$C$9:$C$18,I49)&amp;"-Vorstand  ·  eigenes WLAN",IF(J49=K49+2,Eingabe!$B$6&amp;"-"&amp;INDEX(Eingabe!$C$9:$C$18,I49)&amp;"-Gäste  ·  Voucher",IF(J49=K49+3,"Kabel  ·  Access Point y = .(50+y), Mast-Switch x = .(10+x)","")))))</f>
        <v>SparteNet.de-BW-Pächter  ·  Passwort Parzelle 43</v>
      </c>
      <c r="I49" s="7" t="n">
        <f aca="false">IF(44&lt;=(Eingabe!$P$18+Eingabe!$Q$18-1),MATCH(44,Eingabe!$P$9:$P$18,1),"")</f>
        <v>1</v>
      </c>
      <c r="J49" s="7" t="n">
        <f aca="false">IF(I49="","",44-INDEX(Eingabe!$P$9:$P$18,I49))</f>
        <v>43</v>
      </c>
      <c r="K49" s="7" t="n">
        <f aca="false">IF(I49="","",INDEX(Eingabe!$E$9:$E$18,I49))</f>
        <v>85</v>
      </c>
    </row>
    <row r="50" customFormat="false" ht="15" hidden="false" customHeight="false" outlineLevel="0" collapsed="false">
      <c r="A50" s="0" t="str">
        <f aca="false">IF(I50="","",IF(J50=0,"Sparte "&amp;I50&amp;": "&amp;INDEX(Eingabe!$B$9:$B$18,I50)&amp;"  (Sparten-ID "&amp;INDEX(Eingabe!$D$9:$D$18,I50)&amp;", "&amp;K50&amp;" Parzellen)",IF(J50&lt;=K50,"   Parzelle "&amp;J50,IF(J50=K50+1,"   Vorstand",IF(J50=K50+2,"   Gäste",IF(J50=K50+3,"   Technik (Switches, Access Points)",""))))))</f>
        <v>   Parzelle 44</v>
      </c>
      <c r="B50" s="0" t="n">
        <f aca="false">IF(I50="","",IF(AND(J50&gt;=1,J50&lt;=K50+3),IF(J50&lt;=K50,IF(J50&lt;=99,IF((INDEX(Eingabe!$G$9:$G$18,I50))&lt;=9,1000+(INDEX(Eingabe!$G$9:$G$18,I50))*100,3000)+J50,IF((INDEX(Eingabe!$G$9:$G$18,I50)+1)&lt;=9,1000+(INDEX(Eingabe!$G$9:$G$18,I50)+1)*100,3000)+J50-100),IF(J50=K50+1,2000+INDEX(Eingabe!$G$9:$G$18,I50)*10+1,IF(J50=K50+2,2000+INDEX(Eingabe!$G$9:$G$18,I50)*10+2,2000+INDEX(Eingabe!$G$9:$G$18,I50)*10+9))),""))</f>
        <v>1144</v>
      </c>
      <c r="C50" s="0" t="str">
        <f aca="false">IF(I50="","",IF(AND(J50&gt;=1,J50&lt;=K50+3),"10."&amp;INDEX(Eingabe!$D$9:$D$18,I50)&amp;"."&amp;IF(J50&lt;=K50,J50,IF(J50=K50+1,200,IF(J50=K50+2,201,250)))&amp;".0/24",""))</f>
        <v>10.1.44.0/24</v>
      </c>
      <c r="D50" s="0" t="str">
        <f aca="false">IF(I50="","",IF(AND(J50&gt;=1,J50&lt;=K50+3),"255.255.255.0",""))</f>
        <v>255.255.255.0</v>
      </c>
      <c r="E50" s="0" t="str">
        <f aca="false">IF(I50="","",IF(AND(J50&gt;=1,J50&lt;=K50+3),"10."&amp;INDEX(Eingabe!$D$9:$D$18,I50)&amp;"."&amp;IF(J50&lt;=K50,J50,IF(J50=K50+1,200,IF(J50=K50+2,201,250)))&amp;".1",""))</f>
        <v>10.1.44.1</v>
      </c>
      <c r="F50" s="0" t="str">
        <f aca="false">IF(I50="","",IF(AND(J50&gt;=1,J50&lt;=K50+3),"10."&amp;INDEX(Eingabe!$D$9:$D$18,I50)&amp;"."&amp;IF(J50&lt;=K50,J50,IF(J50=K50+1,200,IF(J50=K50+2,201,250)))&amp;".10 – 10."&amp;INDEX(Eingabe!$D$9:$D$18,I50)&amp;"."&amp;IF(J50&lt;=K50,J50,IF(J50=K50+1,200,IF(J50=K50+2,201,250)))&amp;".250",""))</f>
        <v>10.1.44.10 – 10.1.44.250</v>
      </c>
      <c r="G50" s="0" t="str">
        <f aca="false">IF(I50="","",IF(AND(J50&gt;=1,J50&lt;=K50),Eingabe!$B$6&amp;"-"&amp;INDEX(Eingabe!$C$9:$C$18,I50)&amp;"-Pächter  ·  Passwort Parzelle "&amp;J50,IF(J50=K50+1,Eingabe!$B$6&amp;"-"&amp;INDEX(Eingabe!$C$9:$C$18,I50)&amp;"-Vorstand  ·  eigenes WLAN",IF(J50=K50+2,Eingabe!$B$6&amp;"-"&amp;INDEX(Eingabe!$C$9:$C$18,I50)&amp;"-Gäste  ·  Voucher",IF(J50=K50+3,"Kabel  ·  Access Point y = .(50+y), Mast-Switch x = .(10+x)","")))))</f>
        <v>SparteNet.de-BW-Pächter  ·  Passwort Parzelle 44</v>
      </c>
      <c r="I50" s="7" t="n">
        <f aca="false">IF(45&lt;=(Eingabe!$P$18+Eingabe!$Q$18-1),MATCH(45,Eingabe!$P$9:$P$18,1),"")</f>
        <v>1</v>
      </c>
      <c r="J50" s="7" t="n">
        <f aca="false">IF(I50="","",45-INDEX(Eingabe!$P$9:$P$18,I50))</f>
        <v>44</v>
      </c>
      <c r="K50" s="7" t="n">
        <f aca="false">IF(I50="","",INDEX(Eingabe!$E$9:$E$18,I50))</f>
        <v>85</v>
      </c>
    </row>
    <row r="51" customFormat="false" ht="15" hidden="false" customHeight="false" outlineLevel="0" collapsed="false">
      <c r="A51" s="0" t="str">
        <f aca="false">IF(I51="","",IF(J51=0,"Sparte "&amp;I51&amp;": "&amp;INDEX(Eingabe!$B$9:$B$18,I51)&amp;"  (Sparten-ID "&amp;INDEX(Eingabe!$D$9:$D$18,I51)&amp;", "&amp;K51&amp;" Parzellen)",IF(J51&lt;=K51,"   Parzelle "&amp;J51,IF(J51=K51+1,"   Vorstand",IF(J51=K51+2,"   Gäste",IF(J51=K51+3,"   Technik (Switches, Access Points)",""))))))</f>
        <v>   Parzelle 45</v>
      </c>
      <c r="B51" s="0" t="n">
        <f aca="false">IF(I51="","",IF(AND(J51&gt;=1,J51&lt;=K51+3),IF(J51&lt;=K51,IF(J51&lt;=99,IF((INDEX(Eingabe!$G$9:$G$18,I51))&lt;=9,1000+(INDEX(Eingabe!$G$9:$G$18,I51))*100,3000)+J51,IF((INDEX(Eingabe!$G$9:$G$18,I51)+1)&lt;=9,1000+(INDEX(Eingabe!$G$9:$G$18,I51)+1)*100,3000)+J51-100),IF(J51=K51+1,2000+INDEX(Eingabe!$G$9:$G$18,I51)*10+1,IF(J51=K51+2,2000+INDEX(Eingabe!$G$9:$G$18,I51)*10+2,2000+INDEX(Eingabe!$G$9:$G$18,I51)*10+9))),""))</f>
        <v>1145</v>
      </c>
      <c r="C51" s="0" t="str">
        <f aca="false">IF(I51="","",IF(AND(J51&gt;=1,J51&lt;=K51+3),"10."&amp;INDEX(Eingabe!$D$9:$D$18,I51)&amp;"."&amp;IF(J51&lt;=K51,J51,IF(J51=K51+1,200,IF(J51=K51+2,201,250)))&amp;".0/24",""))</f>
        <v>10.1.45.0/24</v>
      </c>
      <c r="D51" s="0" t="str">
        <f aca="false">IF(I51="","",IF(AND(J51&gt;=1,J51&lt;=K51+3),"255.255.255.0",""))</f>
        <v>255.255.255.0</v>
      </c>
      <c r="E51" s="0" t="str">
        <f aca="false">IF(I51="","",IF(AND(J51&gt;=1,J51&lt;=K51+3),"10."&amp;INDEX(Eingabe!$D$9:$D$18,I51)&amp;"."&amp;IF(J51&lt;=K51,J51,IF(J51=K51+1,200,IF(J51=K51+2,201,250)))&amp;".1",""))</f>
        <v>10.1.45.1</v>
      </c>
      <c r="F51" s="0" t="str">
        <f aca="false">IF(I51="","",IF(AND(J51&gt;=1,J51&lt;=K51+3),"10."&amp;INDEX(Eingabe!$D$9:$D$18,I51)&amp;"."&amp;IF(J51&lt;=K51,J51,IF(J51=K51+1,200,IF(J51=K51+2,201,250)))&amp;".10 – 10."&amp;INDEX(Eingabe!$D$9:$D$18,I51)&amp;"."&amp;IF(J51&lt;=K51,J51,IF(J51=K51+1,200,IF(J51=K51+2,201,250)))&amp;".250",""))</f>
        <v>10.1.45.10 – 10.1.45.250</v>
      </c>
      <c r="G51" s="0" t="str">
        <f aca="false">IF(I51="","",IF(AND(J51&gt;=1,J51&lt;=K51),Eingabe!$B$6&amp;"-"&amp;INDEX(Eingabe!$C$9:$C$18,I51)&amp;"-Pächter  ·  Passwort Parzelle "&amp;J51,IF(J51=K51+1,Eingabe!$B$6&amp;"-"&amp;INDEX(Eingabe!$C$9:$C$18,I51)&amp;"-Vorstand  ·  eigenes WLAN",IF(J51=K51+2,Eingabe!$B$6&amp;"-"&amp;INDEX(Eingabe!$C$9:$C$18,I51)&amp;"-Gäste  ·  Voucher",IF(J51=K51+3,"Kabel  ·  Access Point y = .(50+y), Mast-Switch x = .(10+x)","")))))</f>
        <v>SparteNet.de-BW-Pächter  ·  Passwort Parzelle 45</v>
      </c>
      <c r="I51" s="7" t="n">
        <f aca="false">IF(46&lt;=(Eingabe!$P$18+Eingabe!$Q$18-1),MATCH(46,Eingabe!$P$9:$P$18,1),"")</f>
        <v>1</v>
      </c>
      <c r="J51" s="7" t="n">
        <f aca="false">IF(I51="","",46-INDEX(Eingabe!$P$9:$P$18,I51))</f>
        <v>45</v>
      </c>
      <c r="K51" s="7" t="n">
        <f aca="false">IF(I51="","",INDEX(Eingabe!$E$9:$E$18,I51))</f>
        <v>85</v>
      </c>
    </row>
    <row r="52" customFormat="false" ht="15" hidden="false" customHeight="false" outlineLevel="0" collapsed="false">
      <c r="A52" s="0" t="str">
        <f aca="false">IF(I52="","",IF(J52=0,"Sparte "&amp;I52&amp;": "&amp;INDEX(Eingabe!$B$9:$B$18,I52)&amp;"  (Sparten-ID "&amp;INDEX(Eingabe!$D$9:$D$18,I52)&amp;", "&amp;K52&amp;" Parzellen)",IF(J52&lt;=K52,"   Parzelle "&amp;J52,IF(J52=K52+1,"   Vorstand",IF(J52=K52+2,"   Gäste",IF(J52=K52+3,"   Technik (Switches, Access Points)",""))))))</f>
        <v>   Parzelle 46</v>
      </c>
      <c r="B52" s="0" t="n">
        <f aca="false">IF(I52="","",IF(AND(J52&gt;=1,J52&lt;=K52+3),IF(J52&lt;=K52,IF(J52&lt;=99,IF((INDEX(Eingabe!$G$9:$G$18,I52))&lt;=9,1000+(INDEX(Eingabe!$G$9:$G$18,I52))*100,3000)+J52,IF((INDEX(Eingabe!$G$9:$G$18,I52)+1)&lt;=9,1000+(INDEX(Eingabe!$G$9:$G$18,I52)+1)*100,3000)+J52-100),IF(J52=K52+1,2000+INDEX(Eingabe!$G$9:$G$18,I52)*10+1,IF(J52=K52+2,2000+INDEX(Eingabe!$G$9:$G$18,I52)*10+2,2000+INDEX(Eingabe!$G$9:$G$18,I52)*10+9))),""))</f>
        <v>1146</v>
      </c>
      <c r="C52" s="0" t="str">
        <f aca="false">IF(I52="","",IF(AND(J52&gt;=1,J52&lt;=K52+3),"10."&amp;INDEX(Eingabe!$D$9:$D$18,I52)&amp;"."&amp;IF(J52&lt;=K52,J52,IF(J52=K52+1,200,IF(J52=K52+2,201,250)))&amp;".0/24",""))</f>
        <v>10.1.46.0/24</v>
      </c>
      <c r="D52" s="0" t="str">
        <f aca="false">IF(I52="","",IF(AND(J52&gt;=1,J52&lt;=K52+3),"255.255.255.0",""))</f>
        <v>255.255.255.0</v>
      </c>
      <c r="E52" s="0" t="str">
        <f aca="false">IF(I52="","",IF(AND(J52&gt;=1,J52&lt;=K52+3),"10."&amp;INDEX(Eingabe!$D$9:$D$18,I52)&amp;"."&amp;IF(J52&lt;=K52,J52,IF(J52=K52+1,200,IF(J52=K52+2,201,250)))&amp;".1",""))</f>
        <v>10.1.46.1</v>
      </c>
      <c r="F52" s="0" t="str">
        <f aca="false">IF(I52="","",IF(AND(J52&gt;=1,J52&lt;=K52+3),"10."&amp;INDEX(Eingabe!$D$9:$D$18,I52)&amp;"."&amp;IF(J52&lt;=K52,J52,IF(J52=K52+1,200,IF(J52=K52+2,201,250)))&amp;".10 – 10."&amp;INDEX(Eingabe!$D$9:$D$18,I52)&amp;"."&amp;IF(J52&lt;=K52,J52,IF(J52=K52+1,200,IF(J52=K52+2,201,250)))&amp;".250",""))</f>
        <v>10.1.46.10 – 10.1.46.250</v>
      </c>
      <c r="G52" s="0" t="str">
        <f aca="false">IF(I52="","",IF(AND(J52&gt;=1,J52&lt;=K52),Eingabe!$B$6&amp;"-"&amp;INDEX(Eingabe!$C$9:$C$18,I52)&amp;"-Pächter  ·  Passwort Parzelle "&amp;J52,IF(J52=K52+1,Eingabe!$B$6&amp;"-"&amp;INDEX(Eingabe!$C$9:$C$18,I52)&amp;"-Vorstand  ·  eigenes WLAN",IF(J52=K52+2,Eingabe!$B$6&amp;"-"&amp;INDEX(Eingabe!$C$9:$C$18,I52)&amp;"-Gäste  ·  Voucher",IF(J52=K52+3,"Kabel  ·  Access Point y = .(50+y), Mast-Switch x = .(10+x)","")))))</f>
        <v>SparteNet.de-BW-Pächter  ·  Passwort Parzelle 46</v>
      </c>
      <c r="I52" s="7" t="n">
        <f aca="false">IF(47&lt;=(Eingabe!$P$18+Eingabe!$Q$18-1),MATCH(47,Eingabe!$P$9:$P$18,1),"")</f>
        <v>1</v>
      </c>
      <c r="J52" s="7" t="n">
        <f aca="false">IF(I52="","",47-INDEX(Eingabe!$P$9:$P$18,I52))</f>
        <v>46</v>
      </c>
      <c r="K52" s="7" t="n">
        <f aca="false">IF(I52="","",INDEX(Eingabe!$E$9:$E$18,I52))</f>
        <v>85</v>
      </c>
    </row>
    <row r="53" customFormat="false" ht="15" hidden="false" customHeight="false" outlineLevel="0" collapsed="false">
      <c r="A53" s="0" t="str">
        <f aca="false">IF(I53="","",IF(J53=0,"Sparte "&amp;I53&amp;": "&amp;INDEX(Eingabe!$B$9:$B$18,I53)&amp;"  (Sparten-ID "&amp;INDEX(Eingabe!$D$9:$D$18,I53)&amp;", "&amp;K53&amp;" Parzellen)",IF(J53&lt;=K53,"   Parzelle "&amp;J53,IF(J53=K53+1,"   Vorstand",IF(J53=K53+2,"   Gäste",IF(J53=K53+3,"   Technik (Switches, Access Points)",""))))))</f>
        <v>   Parzelle 47</v>
      </c>
      <c r="B53" s="0" t="n">
        <f aca="false">IF(I53="","",IF(AND(J53&gt;=1,J53&lt;=K53+3),IF(J53&lt;=K53,IF(J53&lt;=99,IF((INDEX(Eingabe!$G$9:$G$18,I53))&lt;=9,1000+(INDEX(Eingabe!$G$9:$G$18,I53))*100,3000)+J53,IF((INDEX(Eingabe!$G$9:$G$18,I53)+1)&lt;=9,1000+(INDEX(Eingabe!$G$9:$G$18,I53)+1)*100,3000)+J53-100),IF(J53=K53+1,2000+INDEX(Eingabe!$G$9:$G$18,I53)*10+1,IF(J53=K53+2,2000+INDEX(Eingabe!$G$9:$G$18,I53)*10+2,2000+INDEX(Eingabe!$G$9:$G$18,I53)*10+9))),""))</f>
        <v>1147</v>
      </c>
      <c r="C53" s="0" t="str">
        <f aca="false">IF(I53="","",IF(AND(J53&gt;=1,J53&lt;=K53+3),"10."&amp;INDEX(Eingabe!$D$9:$D$18,I53)&amp;"."&amp;IF(J53&lt;=K53,J53,IF(J53=K53+1,200,IF(J53=K53+2,201,250)))&amp;".0/24",""))</f>
        <v>10.1.47.0/24</v>
      </c>
      <c r="D53" s="0" t="str">
        <f aca="false">IF(I53="","",IF(AND(J53&gt;=1,J53&lt;=K53+3),"255.255.255.0",""))</f>
        <v>255.255.255.0</v>
      </c>
      <c r="E53" s="0" t="str">
        <f aca="false">IF(I53="","",IF(AND(J53&gt;=1,J53&lt;=K53+3),"10."&amp;INDEX(Eingabe!$D$9:$D$18,I53)&amp;"."&amp;IF(J53&lt;=K53,J53,IF(J53=K53+1,200,IF(J53=K53+2,201,250)))&amp;".1",""))</f>
        <v>10.1.47.1</v>
      </c>
      <c r="F53" s="0" t="str">
        <f aca="false">IF(I53="","",IF(AND(J53&gt;=1,J53&lt;=K53+3),"10."&amp;INDEX(Eingabe!$D$9:$D$18,I53)&amp;"."&amp;IF(J53&lt;=K53,J53,IF(J53=K53+1,200,IF(J53=K53+2,201,250)))&amp;".10 – 10."&amp;INDEX(Eingabe!$D$9:$D$18,I53)&amp;"."&amp;IF(J53&lt;=K53,J53,IF(J53=K53+1,200,IF(J53=K53+2,201,250)))&amp;".250",""))</f>
        <v>10.1.47.10 – 10.1.47.250</v>
      </c>
      <c r="G53" s="0" t="str">
        <f aca="false">IF(I53="","",IF(AND(J53&gt;=1,J53&lt;=K53),Eingabe!$B$6&amp;"-"&amp;INDEX(Eingabe!$C$9:$C$18,I53)&amp;"-Pächter  ·  Passwort Parzelle "&amp;J53,IF(J53=K53+1,Eingabe!$B$6&amp;"-"&amp;INDEX(Eingabe!$C$9:$C$18,I53)&amp;"-Vorstand  ·  eigenes WLAN",IF(J53=K53+2,Eingabe!$B$6&amp;"-"&amp;INDEX(Eingabe!$C$9:$C$18,I53)&amp;"-Gäste  ·  Voucher",IF(J53=K53+3,"Kabel  ·  Access Point y = .(50+y), Mast-Switch x = .(10+x)","")))))</f>
        <v>SparteNet.de-BW-Pächter  ·  Passwort Parzelle 47</v>
      </c>
      <c r="I53" s="7" t="n">
        <f aca="false">IF(48&lt;=(Eingabe!$P$18+Eingabe!$Q$18-1),MATCH(48,Eingabe!$P$9:$P$18,1),"")</f>
        <v>1</v>
      </c>
      <c r="J53" s="7" t="n">
        <f aca="false">IF(I53="","",48-INDEX(Eingabe!$P$9:$P$18,I53))</f>
        <v>47</v>
      </c>
      <c r="K53" s="7" t="n">
        <f aca="false">IF(I53="","",INDEX(Eingabe!$E$9:$E$18,I53))</f>
        <v>85</v>
      </c>
    </row>
    <row r="54" customFormat="false" ht="15" hidden="false" customHeight="false" outlineLevel="0" collapsed="false">
      <c r="A54" s="0" t="str">
        <f aca="false">IF(I54="","",IF(J54=0,"Sparte "&amp;I54&amp;": "&amp;INDEX(Eingabe!$B$9:$B$18,I54)&amp;"  (Sparten-ID "&amp;INDEX(Eingabe!$D$9:$D$18,I54)&amp;", "&amp;K54&amp;" Parzellen)",IF(J54&lt;=K54,"   Parzelle "&amp;J54,IF(J54=K54+1,"   Vorstand",IF(J54=K54+2,"   Gäste",IF(J54=K54+3,"   Technik (Switches, Access Points)",""))))))</f>
        <v>   Parzelle 48</v>
      </c>
      <c r="B54" s="0" t="n">
        <f aca="false">IF(I54="","",IF(AND(J54&gt;=1,J54&lt;=K54+3),IF(J54&lt;=K54,IF(J54&lt;=99,IF((INDEX(Eingabe!$G$9:$G$18,I54))&lt;=9,1000+(INDEX(Eingabe!$G$9:$G$18,I54))*100,3000)+J54,IF((INDEX(Eingabe!$G$9:$G$18,I54)+1)&lt;=9,1000+(INDEX(Eingabe!$G$9:$G$18,I54)+1)*100,3000)+J54-100),IF(J54=K54+1,2000+INDEX(Eingabe!$G$9:$G$18,I54)*10+1,IF(J54=K54+2,2000+INDEX(Eingabe!$G$9:$G$18,I54)*10+2,2000+INDEX(Eingabe!$G$9:$G$18,I54)*10+9))),""))</f>
        <v>1148</v>
      </c>
      <c r="C54" s="0" t="str">
        <f aca="false">IF(I54="","",IF(AND(J54&gt;=1,J54&lt;=K54+3),"10."&amp;INDEX(Eingabe!$D$9:$D$18,I54)&amp;"."&amp;IF(J54&lt;=K54,J54,IF(J54=K54+1,200,IF(J54=K54+2,201,250)))&amp;".0/24",""))</f>
        <v>10.1.48.0/24</v>
      </c>
      <c r="D54" s="0" t="str">
        <f aca="false">IF(I54="","",IF(AND(J54&gt;=1,J54&lt;=K54+3),"255.255.255.0",""))</f>
        <v>255.255.255.0</v>
      </c>
      <c r="E54" s="0" t="str">
        <f aca="false">IF(I54="","",IF(AND(J54&gt;=1,J54&lt;=K54+3),"10."&amp;INDEX(Eingabe!$D$9:$D$18,I54)&amp;"."&amp;IF(J54&lt;=K54,J54,IF(J54=K54+1,200,IF(J54=K54+2,201,250)))&amp;".1",""))</f>
        <v>10.1.48.1</v>
      </c>
      <c r="F54" s="0" t="str">
        <f aca="false">IF(I54="","",IF(AND(J54&gt;=1,J54&lt;=K54+3),"10."&amp;INDEX(Eingabe!$D$9:$D$18,I54)&amp;"."&amp;IF(J54&lt;=K54,J54,IF(J54=K54+1,200,IF(J54=K54+2,201,250)))&amp;".10 – 10."&amp;INDEX(Eingabe!$D$9:$D$18,I54)&amp;"."&amp;IF(J54&lt;=K54,J54,IF(J54=K54+1,200,IF(J54=K54+2,201,250)))&amp;".250",""))</f>
        <v>10.1.48.10 – 10.1.48.250</v>
      </c>
      <c r="G54" s="0" t="str">
        <f aca="false">IF(I54="","",IF(AND(J54&gt;=1,J54&lt;=K54),Eingabe!$B$6&amp;"-"&amp;INDEX(Eingabe!$C$9:$C$18,I54)&amp;"-Pächter  ·  Passwort Parzelle "&amp;J54,IF(J54=K54+1,Eingabe!$B$6&amp;"-"&amp;INDEX(Eingabe!$C$9:$C$18,I54)&amp;"-Vorstand  ·  eigenes WLAN",IF(J54=K54+2,Eingabe!$B$6&amp;"-"&amp;INDEX(Eingabe!$C$9:$C$18,I54)&amp;"-Gäste  ·  Voucher",IF(J54=K54+3,"Kabel  ·  Access Point y = .(50+y), Mast-Switch x = .(10+x)","")))))</f>
        <v>SparteNet.de-BW-Pächter  ·  Passwort Parzelle 48</v>
      </c>
      <c r="I54" s="7" t="n">
        <f aca="false">IF(49&lt;=(Eingabe!$P$18+Eingabe!$Q$18-1),MATCH(49,Eingabe!$P$9:$P$18,1),"")</f>
        <v>1</v>
      </c>
      <c r="J54" s="7" t="n">
        <f aca="false">IF(I54="","",49-INDEX(Eingabe!$P$9:$P$18,I54))</f>
        <v>48</v>
      </c>
      <c r="K54" s="7" t="n">
        <f aca="false">IF(I54="","",INDEX(Eingabe!$E$9:$E$18,I54))</f>
        <v>85</v>
      </c>
    </row>
    <row r="55" customFormat="false" ht="15" hidden="false" customHeight="false" outlineLevel="0" collapsed="false">
      <c r="A55" s="0" t="str">
        <f aca="false">IF(I55="","",IF(J55=0,"Sparte "&amp;I55&amp;": "&amp;INDEX(Eingabe!$B$9:$B$18,I55)&amp;"  (Sparten-ID "&amp;INDEX(Eingabe!$D$9:$D$18,I55)&amp;", "&amp;K55&amp;" Parzellen)",IF(J55&lt;=K55,"   Parzelle "&amp;J55,IF(J55=K55+1,"   Vorstand",IF(J55=K55+2,"   Gäste",IF(J55=K55+3,"   Technik (Switches, Access Points)",""))))))</f>
        <v>   Parzelle 49</v>
      </c>
      <c r="B55" s="0" t="n">
        <f aca="false">IF(I55="","",IF(AND(J55&gt;=1,J55&lt;=K55+3),IF(J55&lt;=K55,IF(J55&lt;=99,IF((INDEX(Eingabe!$G$9:$G$18,I55))&lt;=9,1000+(INDEX(Eingabe!$G$9:$G$18,I55))*100,3000)+J55,IF((INDEX(Eingabe!$G$9:$G$18,I55)+1)&lt;=9,1000+(INDEX(Eingabe!$G$9:$G$18,I55)+1)*100,3000)+J55-100),IF(J55=K55+1,2000+INDEX(Eingabe!$G$9:$G$18,I55)*10+1,IF(J55=K55+2,2000+INDEX(Eingabe!$G$9:$G$18,I55)*10+2,2000+INDEX(Eingabe!$G$9:$G$18,I55)*10+9))),""))</f>
        <v>1149</v>
      </c>
      <c r="C55" s="0" t="str">
        <f aca="false">IF(I55="","",IF(AND(J55&gt;=1,J55&lt;=K55+3),"10."&amp;INDEX(Eingabe!$D$9:$D$18,I55)&amp;"."&amp;IF(J55&lt;=K55,J55,IF(J55=K55+1,200,IF(J55=K55+2,201,250)))&amp;".0/24",""))</f>
        <v>10.1.49.0/24</v>
      </c>
      <c r="D55" s="0" t="str">
        <f aca="false">IF(I55="","",IF(AND(J55&gt;=1,J55&lt;=K55+3),"255.255.255.0",""))</f>
        <v>255.255.255.0</v>
      </c>
      <c r="E55" s="0" t="str">
        <f aca="false">IF(I55="","",IF(AND(J55&gt;=1,J55&lt;=K55+3),"10."&amp;INDEX(Eingabe!$D$9:$D$18,I55)&amp;"."&amp;IF(J55&lt;=K55,J55,IF(J55=K55+1,200,IF(J55=K55+2,201,250)))&amp;".1",""))</f>
        <v>10.1.49.1</v>
      </c>
      <c r="F55" s="0" t="str">
        <f aca="false">IF(I55="","",IF(AND(J55&gt;=1,J55&lt;=K55+3),"10."&amp;INDEX(Eingabe!$D$9:$D$18,I55)&amp;"."&amp;IF(J55&lt;=K55,J55,IF(J55=K55+1,200,IF(J55=K55+2,201,250)))&amp;".10 – 10."&amp;INDEX(Eingabe!$D$9:$D$18,I55)&amp;"."&amp;IF(J55&lt;=K55,J55,IF(J55=K55+1,200,IF(J55=K55+2,201,250)))&amp;".250",""))</f>
        <v>10.1.49.10 – 10.1.49.250</v>
      </c>
      <c r="G55" s="0" t="str">
        <f aca="false">IF(I55="","",IF(AND(J55&gt;=1,J55&lt;=K55),Eingabe!$B$6&amp;"-"&amp;INDEX(Eingabe!$C$9:$C$18,I55)&amp;"-Pächter  ·  Passwort Parzelle "&amp;J55,IF(J55=K55+1,Eingabe!$B$6&amp;"-"&amp;INDEX(Eingabe!$C$9:$C$18,I55)&amp;"-Vorstand  ·  eigenes WLAN",IF(J55=K55+2,Eingabe!$B$6&amp;"-"&amp;INDEX(Eingabe!$C$9:$C$18,I55)&amp;"-Gäste  ·  Voucher",IF(J55=K55+3,"Kabel  ·  Access Point y = .(50+y), Mast-Switch x = .(10+x)","")))))</f>
        <v>SparteNet.de-BW-Pächter  ·  Passwort Parzelle 49</v>
      </c>
      <c r="I55" s="7" t="n">
        <f aca="false">IF(50&lt;=(Eingabe!$P$18+Eingabe!$Q$18-1),MATCH(50,Eingabe!$P$9:$P$18,1),"")</f>
        <v>1</v>
      </c>
      <c r="J55" s="7" t="n">
        <f aca="false">IF(I55="","",50-INDEX(Eingabe!$P$9:$P$18,I55))</f>
        <v>49</v>
      </c>
      <c r="K55" s="7" t="n">
        <f aca="false">IF(I55="","",INDEX(Eingabe!$E$9:$E$18,I55))</f>
        <v>85</v>
      </c>
    </row>
    <row r="56" customFormat="false" ht="15" hidden="false" customHeight="false" outlineLevel="0" collapsed="false">
      <c r="A56" s="0" t="str">
        <f aca="false">IF(I56="","",IF(J56=0,"Sparte "&amp;I56&amp;": "&amp;INDEX(Eingabe!$B$9:$B$18,I56)&amp;"  (Sparten-ID "&amp;INDEX(Eingabe!$D$9:$D$18,I56)&amp;", "&amp;K56&amp;" Parzellen)",IF(J56&lt;=K56,"   Parzelle "&amp;J56,IF(J56=K56+1,"   Vorstand",IF(J56=K56+2,"   Gäste",IF(J56=K56+3,"   Technik (Switches, Access Points)",""))))))</f>
        <v>   Parzelle 50</v>
      </c>
      <c r="B56" s="0" t="n">
        <f aca="false">IF(I56="","",IF(AND(J56&gt;=1,J56&lt;=K56+3),IF(J56&lt;=K56,IF(J56&lt;=99,IF((INDEX(Eingabe!$G$9:$G$18,I56))&lt;=9,1000+(INDEX(Eingabe!$G$9:$G$18,I56))*100,3000)+J56,IF((INDEX(Eingabe!$G$9:$G$18,I56)+1)&lt;=9,1000+(INDEX(Eingabe!$G$9:$G$18,I56)+1)*100,3000)+J56-100),IF(J56=K56+1,2000+INDEX(Eingabe!$G$9:$G$18,I56)*10+1,IF(J56=K56+2,2000+INDEX(Eingabe!$G$9:$G$18,I56)*10+2,2000+INDEX(Eingabe!$G$9:$G$18,I56)*10+9))),""))</f>
        <v>1150</v>
      </c>
      <c r="C56" s="0" t="str">
        <f aca="false">IF(I56="","",IF(AND(J56&gt;=1,J56&lt;=K56+3),"10."&amp;INDEX(Eingabe!$D$9:$D$18,I56)&amp;"."&amp;IF(J56&lt;=K56,J56,IF(J56=K56+1,200,IF(J56=K56+2,201,250)))&amp;".0/24",""))</f>
        <v>10.1.50.0/24</v>
      </c>
      <c r="D56" s="0" t="str">
        <f aca="false">IF(I56="","",IF(AND(J56&gt;=1,J56&lt;=K56+3),"255.255.255.0",""))</f>
        <v>255.255.255.0</v>
      </c>
      <c r="E56" s="0" t="str">
        <f aca="false">IF(I56="","",IF(AND(J56&gt;=1,J56&lt;=K56+3),"10."&amp;INDEX(Eingabe!$D$9:$D$18,I56)&amp;"."&amp;IF(J56&lt;=K56,J56,IF(J56=K56+1,200,IF(J56=K56+2,201,250)))&amp;".1",""))</f>
        <v>10.1.50.1</v>
      </c>
      <c r="F56" s="0" t="str">
        <f aca="false">IF(I56="","",IF(AND(J56&gt;=1,J56&lt;=K56+3),"10."&amp;INDEX(Eingabe!$D$9:$D$18,I56)&amp;"."&amp;IF(J56&lt;=K56,J56,IF(J56=K56+1,200,IF(J56=K56+2,201,250)))&amp;".10 – 10."&amp;INDEX(Eingabe!$D$9:$D$18,I56)&amp;"."&amp;IF(J56&lt;=K56,J56,IF(J56=K56+1,200,IF(J56=K56+2,201,250)))&amp;".250",""))</f>
        <v>10.1.50.10 – 10.1.50.250</v>
      </c>
      <c r="G56" s="0" t="str">
        <f aca="false">IF(I56="","",IF(AND(J56&gt;=1,J56&lt;=K56),Eingabe!$B$6&amp;"-"&amp;INDEX(Eingabe!$C$9:$C$18,I56)&amp;"-Pächter  ·  Passwort Parzelle "&amp;J56,IF(J56=K56+1,Eingabe!$B$6&amp;"-"&amp;INDEX(Eingabe!$C$9:$C$18,I56)&amp;"-Vorstand  ·  eigenes WLAN",IF(J56=K56+2,Eingabe!$B$6&amp;"-"&amp;INDEX(Eingabe!$C$9:$C$18,I56)&amp;"-Gäste  ·  Voucher",IF(J56=K56+3,"Kabel  ·  Access Point y = .(50+y), Mast-Switch x = .(10+x)","")))))</f>
        <v>SparteNet.de-BW-Pächter  ·  Passwort Parzelle 50</v>
      </c>
      <c r="I56" s="7" t="n">
        <f aca="false">IF(51&lt;=(Eingabe!$P$18+Eingabe!$Q$18-1),MATCH(51,Eingabe!$P$9:$P$18,1),"")</f>
        <v>1</v>
      </c>
      <c r="J56" s="7" t="n">
        <f aca="false">IF(I56="","",51-INDEX(Eingabe!$P$9:$P$18,I56))</f>
        <v>50</v>
      </c>
      <c r="K56" s="7" t="n">
        <f aca="false">IF(I56="","",INDEX(Eingabe!$E$9:$E$18,I56))</f>
        <v>85</v>
      </c>
    </row>
    <row r="57" customFormat="false" ht="15" hidden="false" customHeight="false" outlineLevel="0" collapsed="false">
      <c r="A57" s="0" t="str">
        <f aca="false">IF(I57="","",IF(J57=0,"Sparte "&amp;I57&amp;": "&amp;INDEX(Eingabe!$B$9:$B$18,I57)&amp;"  (Sparten-ID "&amp;INDEX(Eingabe!$D$9:$D$18,I57)&amp;", "&amp;K57&amp;" Parzellen)",IF(J57&lt;=K57,"   Parzelle "&amp;J57,IF(J57=K57+1,"   Vorstand",IF(J57=K57+2,"   Gäste",IF(J57=K57+3,"   Technik (Switches, Access Points)",""))))))</f>
        <v>   Parzelle 51</v>
      </c>
      <c r="B57" s="0" t="n">
        <f aca="false">IF(I57="","",IF(AND(J57&gt;=1,J57&lt;=K57+3),IF(J57&lt;=K57,IF(J57&lt;=99,IF((INDEX(Eingabe!$G$9:$G$18,I57))&lt;=9,1000+(INDEX(Eingabe!$G$9:$G$18,I57))*100,3000)+J57,IF((INDEX(Eingabe!$G$9:$G$18,I57)+1)&lt;=9,1000+(INDEX(Eingabe!$G$9:$G$18,I57)+1)*100,3000)+J57-100),IF(J57=K57+1,2000+INDEX(Eingabe!$G$9:$G$18,I57)*10+1,IF(J57=K57+2,2000+INDEX(Eingabe!$G$9:$G$18,I57)*10+2,2000+INDEX(Eingabe!$G$9:$G$18,I57)*10+9))),""))</f>
        <v>1151</v>
      </c>
      <c r="C57" s="0" t="str">
        <f aca="false">IF(I57="","",IF(AND(J57&gt;=1,J57&lt;=K57+3),"10."&amp;INDEX(Eingabe!$D$9:$D$18,I57)&amp;"."&amp;IF(J57&lt;=K57,J57,IF(J57=K57+1,200,IF(J57=K57+2,201,250)))&amp;".0/24",""))</f>
        <v>10.1.51.0/24</v>
      </c>
      <c r="D57" s="0" t="str">
        <f aca="false">IF(I57="","",IF(AND(J57&gt;=1,J57&lt;=K57+3),"255.255.255.0",""))</f>
        <v>255.255.255.0</v>
      </c>
      <c r="E57" s="0" t="str">
        <f aca="false">IF(I57="","",IF(AND(J57&gt;=1,J57&lt;=K57+3),"10."&amp;INDEX(Eingabe!$D$9:$D$18,I57)&amp;"."&amp;IF(J57&lt;=K57,J57,IF(J57=K57+1,200,IF(J57=K57+2,201,250)))&amp;".1",""))</f>
        <v>10.1.51.1</v>
      </c>
      <c r="F57" s="0" t="str">
        <f aca="false">IF(I57="","",IF(AND(J57&gt;=1,J57&lt;=K57+3),"10."&amp;INDEX(Eingabe!$D$9:$D$18,I57)&amp;"."&amp;IF(J57&lt;=K57,J57,IF(J57=K57+1,200,IF(J57=K57+2,201,250)))&amp;".10 – 10."&amp;INDEX(Eingabe!$D$9:$D$18,I57)&amp;"."&amp;IF(J57&lt;=K57,J57,IF(J57=K57+1,200,IF(J57=K57+2,201,250)))&amp;".250",""))</f>
        <v>10.1.51.10 – 10.1.51.250</v>
      </c>
      <c r="G57" s="0" t="str">
        <f aca="false">IF(I57="","",IF(AND(J57&gt;=1,J57&lt;=K57),Eingabe!$B$6&amp;"-"&amp;INDEX(Eingabe!$C$9:$C$18,I57)&amp;"-Pächter  ·  Passwort Parzelle "&amp;J57,IF(J57=K57+1,Eingabe!$B$6&amp;"-"&amp;INDEX(Eingabe!$C$9:$C$18,I57)&amp;"-Vorstand  ·  eigenes WLAN",IF(J57=K57+2,Eingabe!$B$6&amp;"-"&amp;INDEX(Eingabe!$C$9:$C$18,I57)&amp;"-Gäste  ·  Voucher",IF(J57=K57+3,"Kabel  ·  Access Point y = .(50+y), Mast-Switch x = .(10+x)","")))))</f>
        <v>SparteNet.de-BW-Pächter  ·  Passwort Parzelle 51</v>
      </c>
      <c r="I57" s="7" t="n">
        <f aca="false">IF(52&lt;=(Eingabe!$P$18+Eingabe!$Q$18-1),MATCH(52,Eingabe!$P$9:$P$18,1),"")</f>
        <v>1</v>
      </c>
      <c r="J57" s="7" t="n">
        <f aca="false">IF(I57="","",52-INDEX(Eingabe!$P$9:$P$18,I57))</f>
        <v>51</v>
      </c>
      <c r="K57" s="7" t="n">
        <f aca="false">IF(I57="","",INDEX(Eingabe!$E$9:$E$18,I57))</f>
        <v>85</v>
      </c>
    </row>
    <row r="58" customFormat="false" ht="15" hidden="false" customHeight="false" outlineLevel="0" collapsed="false">
      <c r="A58" s="0" t="str">
        <f aca="false">IF(I58="","",IF(J58=0,"Sparte "&amp;I58&amp;": "&amp;INDEX(Eingabe!$B$9:$B$18,I58)&amp;"  (Sparten-ID "&amp;INDEX(Eingabe!$D$9:$D$18,I58)&amp;", "&amp;K58&amp;" Parzellen)",IF(J58&lt;=K58,"   Parzelle "&amp;J58,IF(J58=K58+1,"   Vorstand",IF(J58=K58+2,"   Gäste",IF(J58=K58+3,"   Technik (Switches, Access Points)",""))))))</f>
        <v>   Parzelle 52</v>
      </c>
      <c r="B58" s="0" t="n">
        <f aca="false">IF(I58="","",IF(AND(J58&gt;=1,J58&lt;=K58+3),IF(J58&lt;=K58,IF(J58&lt;=99,IF((INDEX(Eingabe!$G$9:$G$18,I58))&lt;=9,1000+(INDEX(Eingabe!$G$9:$G$18,I58))*100,3000)+J58,IF((INDEX(Eingabe!$G$9:$G$18,I58)+1)&lt;=9,1000+(INDEX(Eingabe!$G$9:$G$18,I58)+1)*100,3000)+J58-100),IF(J58=K58+1,2000+INDEX(Eingabe!$G$9:$G$18,I58)*10+1,IF(J58=K58+2,2000+INDEX(Eingabe!$G$9:$G$18,I58)*10+2,2000+INDEX(Eingabe!$G$9:$G$18,I58)*10+9))),""))</f>
        <v>1152</v>
      </c>
      <c r="C58" s="0" t="str">
        <f aca="false">IF(I58="","",IF(AND(J58&gt;=1,J58&lt;=K58+3),"10."&amp;INDEX(Eingabe!$D$9:$D$18,I58)&amp;"."&amp;IF(J58&lt;=K58,J58,IF(J58=K58+1,200,IF(J58=K58+2,201,250)))&amp;".0/24",""))</f>
        <v>10.1.52.0/24</v>
      </c>
      <c r="D58" s="0" t="str">
        <f aca="false">IF(I58="","",IF(AND(J58&gt;=1,J58&lt;=K58+3),"255.255.255.0",""))</f>
        <v>255.255.255.0</v>
      </c>
      <c r="E58" s="0" t="str">
        <f aca="false">IF(I58="","",IF(AND(J58&gt;=1,J58&lt;=K58+3),"10."&amp;INDEX(Eingabe!$D$9:$D$18,I58)&amp;"."&amp;IF(J58&lt;=K58,J58,IF(J58=K58+1,200,IF(J58=K58+2,201,250)))&amp;".1",""))</f>
        <v>10.1.52.1</v>
      </c>
      <c r="F58" s="0" t="str">
        <f aca="false">IF(I58="","",IF(AND(J58&gt;=1,J58&lt;=K58+3),"10."&amp;INDEX(Eingabe!$D$9:$D$18,I58)&amp;"."&amp;IF(J58&lt;=K58,J58,IF(J58=K58+1,200,IF(J58=K58+2,201,250)))&amp;".10 – 10."&amp;INDEX(Eingabe!$D$9:$D$18,I58)&amp;"."&amp;IF(J58&lt;=K58,J58,IF(J58=K58+1,200,IF(J58=K58+2,201,250)))&amp;".250",""))</f>
        <v>10.1.52.10 – 10.1.52.250</v>
      </c>
      <c r="G58" s="0" t="str">
        <f aca="false">IF(I58="","",IF(AND(J58&gt;=1,J58&lt;=K58),Eingabe!$B$6&amp;"-"&amp;INDEX(Eingabe!$C$9:$C$18,I58)&amp;"-Pächter  ·  Passwort Parzelle "&amp;J58,IF(J58=K58+1,Eingabe!$B$6&amp;"-"&amp;INDEX(Eingabe!$C$9:$C$18,I58)&amp;"-Vorstand  ·  eigenes WLAN",IF(J58=K58+2,Eingabe!$B$6&amp;"-"&amp;INDEX(Eingabe!$C$9:$C$18,I58)&amp;"-Gäste  ·  Voucher",IF(J58=K58+3,"Kabel  ·  Access Point y = .(50+y), Mast-Switch x = .(10+x)","")))))</f>
        <v>SparteNet.de-BW-Pächter  ·  Passwort Parzelle 52</v>
      </c>
      <c r="I58" s="7" t="n">
        <f aca="false">IF(53&lt;=(Eingabe!$P$18+Eingabe!$Q$18-1),MATCH(53,Eingabe!$P$9:$P$18,1),"")</f>
        <v>1</v>
      </c>
      <c r="J58" s="7" t="n">
        <f aca="false">IF(I58="","",53-INDEX(Eingabe!$P$9:$P$18,I58))</f>
        <v>52</v>
      </c>
      <c r="K58" s="7" t="n">
        <f aca="false">IF(I58="","",INDEX(Eingabe!$E$9:$E$18,I58))</f>
        <v>85</v>
      </c>
    </row>
    <row r="59" customFormat="false" ht="15" hidden="false" customHeight="false" outlineLevel="0" collapsed="false">
      <c r="A59" s="0" t="str">
        <f aca="false">IF(I59="","",IF(J59=0,"Sparte "&amp;I59&amp;": "&amp;INDEX(Eingabe!$B$9:$B$18,I59)&amp;"  (Sparten-ID "&amp;INDEX(Eingabe!$D$9:$D$18,I59)&amp;", "&amp;K59&amp;" Parzellen)",IF(J59&lt;=K59,"   Parzelle "&amp;J59,IF(J59=K59+1,"   Vorstand",IF(J59=K59+2,"   Gäste",IF(J59=K59+3,"   Technik (Switches, Access Points)",""))))))</f>
        <v>   Parzelle 53</v>
      </c>
      <c r="B59" s="0" t="n">
        <f aca="false">IF(I59="","",IF(AND(J59&gt;=1,J59&lt;=K59+3),IF(J59&lt;=K59,IF(J59&lt;=99,IF((INDEX(Eingabe!$G$9:$G$18,I59))&lt;=9,1000+(INDEX(Eingabe!$G$9:$G$18,I59))*100,3000)+J59,IF((INDEX(Eingabe!$G$9:$G$18,I59)+1)&lt;=9,1000+(INDEX(Eingabe!$G$9:$G$18,I59)+1)*100,3000)+J59-100),IF(J59=K59+1,2000+INDEX(Eingabe!$G$9:$G$18,I59)*10+1,IF(J59=K59+2,2000+INDEX(Eingabe!$G$9:$G$18,I59)*10+2,2000+INDEX(Eingabe!$G$9:$G$18,I59)*10+9))),""))</f>
        <v>1153</v>
      </c>
      <c r="C59" s="0" t="str">
        <f aca="false">IF(I59="","",IF(AND(J59&gt;=1,J59&lt;=K59+3),"10."&amp;INDEX(Eingabe!$D$9:$D$18,I59)&amp;"."&amp;IF(J59&lt;=K59,J59,IF(J59=K59+1,200,IF(J59=K59+2,201,250)))&amp;".0/24",""))</f>
        <v>10.1.53.0/24</v>
      </c>
      <c r="D59" s="0" t="str">
        <f aca="false">IF(I59="","",IF(AND(J59&gt;=1,J59&lt;=K59+3),"255.255.255.0",""))</f>
        <v>255.255.255.0</v>
      </c>
      <c r="E59" s="0" t="str">
        <f aca="false">IF(I59="","",IF(AND(J59&gt;=1,J59&lt;=K59+3),"10."&amp;INDEX(Eingabe!$D$9:$D$18,I59)&amp;"."&amp;IF(J59&lt;=K59,J59,IF(J59=K59+1,200,IF(J59=K59+2,201,250)))&amp;".1",""))</f>
        <v>10.1.53.1</v>
      </c>
      <c r="F59" s="0" t="str">
        <f aca="false">IF(I59="","",IF(AND(J59&gt;=1,J59&lt;=K59+3),"10."&amp;INDEX(Eingabe!$D$9:$D$18,I59)&amp;"."&amp;IF(J59&lt;=K59,J59,IF(J59=K59+1,200,IF(J59=K59+2,201,250)))&amp;".10 – 10."&amp;INDEX(Eingabe!$D$9:$D$18,I59)&amp;"."&amp;IF(J59&lt;=K59,J59,IF(J59=K59+1,200,IF(J59=K59+2,201,250)))&amp;".250",""))</f>
        <v>10.1.53.10 – 10.1.53.250</v>
      </c>
      <c r="G59" s="0" t="str">
        <f aca="false">IF(I59="","",IF(AND(J59&gt;=1,J59&lt;=K59),Eingabe!$B$6&amp;"-"&amp;INDEX(Eingabe!$C$9:$C$18,I59)&amp;"-Pächter  ·  Passwort Parzelle "&amp;J59,IF(J59=K59+1,Eingabe!$B$6&amp;"-"&amp;INDEX(Eingabe!$C$9:$C$18,I59)&amp;"-Vorstand  ·  eigenes WLAN",IF(J59=K59+2,Eingabe!$B$6&amp;"-"&amp;INDEX(Eingabe!$C$9:$C$18,I59)&amp;"-Gäste  ·  Voucher",IF(J59=K59+3,"Kabel  ·  Access Point y = .(50+y), Mast-Switch x = .(10+x)","")))))</f>
        <v>SparteNet.de-BW-Pächter  ·  Passwort Parzelle 53</v>
      </c>
      <c r="I59" s="7" t="n">
        <f aca="false">IF(54&lt;=(Eingabe!$P$18+Eingabe!$Q$18-1),MATCH(54,Eingabe!$P$9:$P$18,1),"")</f>
        <v>1</v>
      </c>
      <c r="J59" s="7" t="n">
        <f aca="false">IF(I59="","",54-INDEX(Eingabe!$P$9:$P$18,I59))</f>
        <v>53</v>
      </c>
      <c r="K59" s="7" t="n">
        <f aca="false">IF(I59="","",INDEX(Eingabe!$E$9:$E$18,I59))</f>
        <v>85</v>
      </c>
    </row>
    <row r="60" customFormat="false" ht="15" hidden="false" customHeight="false" outlineLevel="0" collapsed="false">
      <c r="A60" s="0" t="str">
        <f aca="false">IF(I60="","",IF(J60=0,"Sparte "&amp;I60&amp;": "&amp;INDEX(Eingabe!$B$9:$B$18,I60)&amp;"  (Sparten-ID "&amp;INDEX(Eingabe!$D$9:$D$18,I60)&amp;", "&amp;K60&amp;" Parzellen)",IF(J60&lt;=K60,"   Parzelle "&amp;J60,IF(J60=K60+1,"   Vorstand",IF(J60=K60+2,"   Gäste",IF(J60=K60+3,"   Technik (Switches, Access Points)",""))))))</f>
        <v>   Parzelle 54</v>
      </c>
      <c r="B60" s="0" t="n">
        <f aca="false">IF(I60="","",IF(AND(J60&gt;=1,J60&lt;=K60+3),IF(J60&lt;=K60,IF(J60&lt;=99,IF((INDEX(Eingabe!$G$9:$G$18,I60))&lt;=9,1000+(INDEX(Eingabe!$G$9:$G$18,I60))*100,3000)+J60,IF((INDEX(Eingabe!$G$9:$G$18,I60)+1)&lt;=9,1000+(INDEX(Eingabe!$G$9:$G$18,I60)+1)*100,3000)+J60-100),IF(J60=K60+1,2000+INDEX(Eingabe!$G$9:$G$18,I60)*10+1,IF(J60=K60+2,2000+INDEX(Eingabe!$G$9:$G$18,I60)*10+2,2000+INDEX(Eingabe!$G$9:$G$18,I60)*10+9))),""))</f>
        <v>1154</v>
      </c>
      <c r="C60" s="0" t="str">
        <f aca="false">IF(I60="","",IF(AND(J60&gt;=1,J60&lt;=K60+3),"10."&amp;INDEX(Eingabe!$D$9:$D$18,I60)&amp;"."&amp;IF(J60&lt;=K60,J60,IF(J60=K60+1,200,IF(J60=K60+2,201,250)))&amp;".0/24",""))</f>
        <v>10.1.54.0/24</v>
      </c>
      <c r="D60" s="0" t="str">
        <f aca="false">IF(I60="","",IF(AND(J60&gt;=1,J60&lt;=K60+3),"255.255.255.0",""))</f>
        <v>255.255.255.0</v>
      </c>
      <c r="E60" s="0" t="str">
        <f aca="false">IF(I60="","",IF(AND(J60&gt;=1,J60&lt;=K60+3),"10."&amp;INDEX(Eingabe!$D$9:$D$18,I60)&amp;"."&amp;IF(J60&lt;=K60,J60,IF(J60=K60+1,200,IF(J60=K60+2,201,250)))&amp;".1",""))</f>
        <v>10.1.54.1</v>
      </c>
      <c r="F60" s="0" t="str">
        <f aca="false">IF(I60="","",IF(AND(J60&gt;=1,J60&lt;=K60+3),"10."&amp;INDEX(Eingabe!$D$9:$D$18,I60)&amp;"."&amp;IF(J60&lt;=K60,J60,IF(J60=K60+1,200,IF(J60=K60+2,201,250)))&amp;".10 – 10."&amp;INDEX(Eingabe!$D$9:$D$18,I60)&amp;"."&amp;IF(J60&lt;=K60,J60,IF(J60=K60+1,200,IF(J60=K60+2,201,250)))&amp;".250",""))</f>
        <v>10.1.54.10 – 10.1.54.250</v>
      </c>
      <c r="G60" s="0" t="str">
        <f aca="false">IF(I60="","",IF(AND(J60&gt;=1,J60&lt;=K60),Eingabe!$B$6&amp;"-"&amp;INDEX(Eingabe!$C$9:$C$18,I60)&amp;"-Pächter  ·  Passwort Parzelle "&amp;J60,IF(J60=K60+1,Eingabe!$B$6&amp;"-"&amp;INDEX(Eingabe!$C$9:$C$18,I60)&amp;"-Vorstand  ·  eigenes WLAN",IF(J60=K60+2,Eingabe!$B$6&amp;"-"&amp;INDEX(Eingabe!$C$9:$C$18,I60)&amp;"-Gäste  ·  Voucher",IF(J60=K60+3,"Kabel  ·  Access Point y = .(50+y), Mast-Switch x = .(10+x)","")))))</f>
        <v>SparteNet.de-BW-Pächter  ·  Passwort Parzelle 54</v>
      </c>
      <c r="I60" s="7" t="n">
        <f aca="false">IF(55&lt;=(Eingabe!$P$18+Eingabe!$Q$18-1),MATCH(55,Eingabe!$P$9:$P$18,1),"")</f>
        <v>1</v>
      </c>
      <c r="J60" s="7" t="n">
        <f aca="false">IF(I60="","",55-INDEX(Eingabe!$P$9:$P$18,I60))</f>
        <v>54</v>
      </c>
      <c r="K60" s="7" t="n">
        <f aca="false">IF(I60="","",INDEX(Eingabe!$E$9:$E$18,I60))</f>
        <v>85</v>
      </c>
    </row>
    <row r="61" customFormat="false" ht="15" hidden="false" customHeight="false" outlineLevel="0" collapsed="false">
      <c r="A61" s="0" t="str">
        <f aca="false">IF(I61="","",IF(J61=0,"Sparte "&amp;I61&amp;": "&amp;INDEX(Eingabe!$B$9:$B$18,I61)&amp;"  (Sparten-ID "&amp;INDEX(Eingabe!$D$9:$D$18,I61)&amp;", "&amp;K61&amp;" Parzellen)",IF(J61&lt;=K61,"   Parzelle "&amp;J61,IF(J61=K61+1,"   Vorstand",IF(J61=K61+2,"   Gäste",IF(J61=K61+3,"   Technik (Switches, Access Points)",""))))))</f>
        <v>   Parzelle 55</v>
      </c>
      <c r="B61" s="0" t="n">
        <f aca="false">IF(I61="","",IF(AND(J61&gt;=1,J61&lt;=K61+3),IF(J61&lt;=K61,IF(J61&lt;=99,IF((INDEX(Eingabe!$G$9:$G$18,I61))&lt;=9,1000+(INDEX(Eingabe!$G$9:$G$18,I61))*100,3000)+J61,IF((INDEX(Eingabe!$G$9:$G$18,I61)+1)&lt;=9,1000+(INDEX(Eingabe!$G$9:$G$18,I61)+1)*100,3000)+J61-100),IF(J61=K61+1,2000+INDEX(Eingabe!$G$9:$G$18,I61)*10+1,IF(J61=K61+2,2000+INDEX(Eingabe!$G$9:$G$18,I61)*10+2,2000+INDEX(Eingabe!$G$9:$G$18,I61)*10+9))),""))</f>
        <v>1155</v>
      </c>
      <c r="C61" s="0" t="str">
        <f aca="false">IF(I61="","",IF(AND(J61&gt;=1,J61&lt;=K61+3),"10."&amp;INDEX(Eingabe!$D$9:$D$18,I61)&amp;"."&amp;IF(J61&lt;=K61,J61,IF(J61=K61+1,200,IF(J61=K61+2,201,250)))&amp;".0/24",""))</f>
        <v>10.1.55.0/24</v>
      </c>
      <c r="D61" s="0" t="str">
        <f aca="false">IF(I61="","",IF(AND(J61&gt;=1,J61&lt;=K61+3),"255.255.255.0",""))</f>
        <v>255.255.255.0</v>
      </c>
      <c r="E61" s="0" t="str">
        <f aca="false">IF(I61="","",IF(AND(J61&gt;=1,J61&lt;=K61+3),"10."&amp;INDEX(Eingabe!$D$9:$D$18,I61)&amp;"."&amp;IF(J61&lt;=K61,J61,IF(J61=K61+1,200,IF(J61=K61+2,201,250)))&amp;".1",""))</f>
        <v>10.1.55.1</v>
      </c>
      <c r="F61" s="0" t="str">
        <f aca="false">IF(I61="","",IF(AND(J61&gt;=1,J61&lt;=K61+3),"10."&amp;INDEX(Eingabe!$D$9:$D$18,I61)&amp;"."&amp;IF(J61&lt;=K61,J61,IF(J61=K61+1,200,IF(J61=K61+2,201,250)))&amp;".10 – 10."&amp;INDEX(Eingabe!$D$9:$D$18,I61)&amp;"."&amp;IF(J61&lt;=K61,J61,IF(J61=K61+1,200,IF(J61=K61+2,201,250)))&amp;".250",""))</f>
        <v>10.1.55.10 – 10.1.55.250</v>
      </c>
      <c r="G61" s="0" t="str">
        <f aca="false">IF(I61="","",IF(AND(J61&gt;=1,J61&lt;=K61),Eingabe!$B$6&amp;"-"&amp;INDEX(Eingabe!$C$9:$C$18,I61)&amp;"-Pächter  ·  Passwort Parzelle "&amp;J61,IF(J61=K61+1,Eingabe!$B$6&amp;"-"&amp;INDEX(Eingabe!$C$9:$C$18,I61)&amp;"-Vorstand  ·  eigenes WLAN",IF(J61=K61+2,Eingabe!$B$6&amp;"-"&amp;INDEX(Eingabe!$C$9:$C$18,I61)&amp;"-Gäste  ·  Voucher",IF(J61=K61+3,"Kabel  ·  Access Point y = .(50+y), Mast-Switch x = .(10+x)","")))))</f>
        <v>SparteNet.de-BW-Pächter  ·  Passwort Parzelle 55</v>
      </c>
      <c r="I61" s="7" t="n">
        <f aca="false">IF(56&lt;=(Eingabe!$P$18+Eingabe!$Q$18-1),MATCH(56,Eingabe!$P$9:$P$18,1),"")</f>
        <v>1</v>
      </c>
      <c r="J61" s="7" t="n">
        <f aca="false">IF(I61="","",56-INDEX(Eingabe!$P$9:$P$18,I61))</f>
        <v>55</v>
      </c>
      <c r="K61" s="7" t="n">
        <f aca="false">IF(I61="","",INDEX(Eingabe!$E$9:$E$18,I61))</f>
        <v>85</v>
      </c>
    </row>
    <row r="62" customFormat="false" ht="15" hidden="false" customHeight="false" outlineLevel="0" collapsed="false">
      <c r="A62" s="0" t="str">
        <f aca="false">IF(I62="","",IF(J62=0,"Sparte "&amp;I62&amp;": "&amp;INDEX(Eingabe!$B$9:$B$18,I62)&amp;"  (Sparten-ID "&amp;INDEX(Eingabe!$D$9:$D$18,I62)&amp;", "&amp;K62&amp;" Parzellen)",IF(J62&lt;=K62,"   Parzelle "&amp;J62,IF(J62=K62+1,"   Vorstand",IF(J62=K62+2,"   Gäste",IF(J62=K62+3,"   Technik (Switches, Access Points)",""))))))</f>
        <v>   Parzelle 56</v>
      </c>
      <c r="B62" s="0" t="n">
        <f aca="false">IF(I62="","",IF(AND(J62&gt;=1,J62&lt;=K62+3),IF(J62&lt;=K62,IF(J62&lt;=99,IF((INDEX(Eingabe!$G$9:$G$18,I62))&lt;=9,1000+(INDEX(Eingabe!$G$9:$G$18,I62))*100,3000)+J62,IF((INDEX(Eingabe!$G$9:$G$18,I62)+1)&lt;=9,1000+(INDEX(Eingabe!$G$9:$G$18,I62)+1)*100,3000)+J62-100),IF(J62=K62+1,2000+INDEX(Eingabe!$G$9:$G$18,I62)*10+1,IF(J62=K62+2,2000+INDEX(Eingabe!$G$9:$G$18,I62)*10+2,2000+INDEX(Eingabe!$G$9:$G$18,I62)*10+9))),""))</f>
        <v>1156</v>
      </c>
      <c r="C62" s="0" t="str">
        <f aca="false">IF(I62="","",IF(AND(J62&gt;=1,J62&lt;=K62+3),"10."&amp;INDEX(Eingabe!$D$9:$D$18,I62)&amp;"."&amp;IF(J62&lt;=K62,J62,IF(J62=K62+1,200,IF(J62=K62+2,201,250)))&amp;".0/24",""))</f>
        <v>10.1.56.0/24</v>
      </c>
      <c r="D62" s="0" t="str">
        <f aca="false">IF(I62="","",IF(AND(J62&gt;=1,J62&lt;=K62+3),"255.255.255.0",""))</f>
        <v>255.255.255.0</v>
      </c>
      <c r="E62" s="0" t="str">
        <f aca="false">IF(I62="","",IF(AND(J62&gt;=1,J62&lt;=K62+3),"10."&amp;INDEX(Eingabe!$D$9:$D$18,I62)&amp;"."&amp;IF(J62&lt;=K62,J62,IF(J62=K62+1,200,IF(J62=K62+2,201,250)))&amp;".1",""))</f>
        <v>10.1.56.1</v>
      </c>
      <c r="F62" s="0" t="str">
        <f aca="false">IF(I62="","",IF(AND(J62&gt;=1,J62&lt;=K62+3),"10."&amp;INDEX(Eingabe!$D$9:$D$18,I62)&amp;"."&amp;IF(J62&lt;=K62,J62,IF(J62=K62+1,200,IF(J62=K62+2,201,250)))&amp;".10 – 10."&amp;INDEX(Eingabe!$D$9:$D$18,I62)&amp;"."&amp;IF(J62&lt;=K62,J62,IF(J62=K62+1,200,IF(J62=K62+2,201,250)))&amp;".250",""))</f>
        <v>10.1.56.10 – 10.1.56.250</v>
      </c>
      <c r="G62" s="0" t="str">
        <f aca="false">IF(I62="","",IF(AND(J62&gt;=1,J62&lt;=K62),Eingabe!$B$6&amp;"-"&amp;INDEX(Eingabe!$C$9:$C$18,I62)&amp;"-Pächter  ·  Passwort Parzelle "&amp;J62,IF(J62=K62+1,Eingabe!$B$6&amp;"-"&amp;INDEX(Eingabe!$C$9:$C$18,I62)&amp;"-Vorstand  ·  eigenes WLAN",IF(J62=K62+2,Eingabe!$B$6&amp;"-"&amp;INDEX(Eingabe!$C$9:$C$18,I62)&amp;"-Gäste  ·  Voucher",IF(J62=K62+3,"Kabel  ·  Access Point y = .(50+y), Mast-Switch x = .(10+x)","")))))</f>
        <v>SparteNet.de-BW-Pächter  ·  Passwort Parzelle 56</v>
      </c>
      <c r="I62" s="7" t="n">
        <f aca="false">IF(57&lt;=(Eingabe!$P$18+Eingabe!$Q$18-1),MATCH(57,Eingabe!$P$9:$P$18,1),"")</f>
        <v>1</v>
      </c>
      <c r="J62" s="7" t="n">
        <f aca="false">IF(I62="","",57-INDEX(Eingabe!$P$9:$P$18,I62))</f>
        <v>56</v>
      </c>
      <c r="K62" s="7" t="n">
        <f aca="false">IF(I62="","",INDEX(Eingabe!$E$9:$E$18,I62))</f>
        <v>85</v>
      </c>
    </row>
    <row r="63" customFormat="false" ht="15" hidden="false" customHeight="false" outlineLevel="0" collapsed="false">
      <c r="A63" s="0" t="str">
        <f aca="false">IF(I63="","",IF(J63=0,"Sparte "&amp;I63&amp;": "&amp;INDEX(Eingabe!$B$9:$B$18,I63)&amp;"  (Sparten-ID "&amp;INDEX(Eingabe!$D$9:$D$18,I63)&amp;", "&amp;K63&amp;" Parzellen)",IF(J63&lt;=K63,"   Parzelle "&amp;J63,IF(J63=K63+1,"   Vorstand",IF(J63=K63+2,"   Gäste",IF(J63=K63+3,"   Technik (Switches, Access Points)",""))))))</f>
        <v>   Parzelle 57</v>
      </c>
      <c r="B63" s="0" t="n">
        <f aca="false">IF(I63="","",IF(AND(J63&gt;=1,J63&lt;=K63+3),IF(J63&lt;=K63,IF(J63&lt;=99,IF((INDEX(Eingabe!$G$9:$G$18,I63))&lt;=9,1000+(INDEX(Eingabe!$G$9:$G$18,I63))*100,3000)+J63,IF((INDEX(Eingabe!$G$9:$G$18,I63)+1)&lt;=9,1000+(INDEX(Eingabe!$G$9:$G$18,I63)+1)*100,3000)+J63-100),IF(J63=K63+1,2000+INDEX(Eingabe!$G$9:$G$18,I63)*10+1,IF(J63=K63+2,2000+INDEX(Eingabe!$G$9:$G$18,I63)*10+2,2000+INDEX(Eingabe!$G$9:$G$18,I63)*10+9))),""))</f>
        <v>1157</v>
      </c>
      <c r="C63" s="0" t="str">
        <f aca="false">IF(I63="","",IF(AND(J63&gt;=1,J63&lt;=K63+3),"10."&amp;INDEX(Eingabe!$D$9:$D$18,I63)&amp;"."&amp;IF(J63&lt;=K63,J63,IF(J63=K63+1,200,IF(J63=K63+2,201,250)))&amp;".0/24",""))</f>
        <v>10.1.57.0/24</v>
      </c>
      <c r="D63" s="0" t="str">
        <f aca="false">IF(I63="","",IF(AND(J63&gt;=1,J63&lt;=K63+3),"255.255.255.0",""))</f>
        <v>255.255.255.0</v>
      </c>
      <c r="E63" s="0" t="str">
        <f aca="false">IF(I63="","",IF(AND(J63&gt;=1,J63&lt;=K63+3),"10."&amp;INDEX(Eingabe!$D$9:$D$18,I63)&amp;"."&amp;IF(J63&lt;=K63,J63,IF(J63=K63+1,200,IF(J63=K63+2,201,250)))&amp;".1",""))</f>
        <v>10.1.57.1</v>
      </c>
      <c r="F63" s="0" t="str">
        <f aca="false">IF(I63="","",IF(AND(J63&gt;=1,J63&lt;=K63+3),"10."&amp;INDEX(Eingabe!$D$9:$D$18,I63)&amp;"."&amp;IF(J63&lt;=K63,J63,IF(J63=K63+1,200,IF(J63=K63+2,201,250)))&amp;".10 – 10."&amp;INDEX(Eingabe!$D$9:$D$18,I63)&amp;"."&amp;IF(J63&lt;=K63,J63,IF(J63=K63+1,200,IF(J63=K63+2,201,250)))&amp;".250",""))</f>
        <v>10.1.57.10 – 10.1.57.250</v>
      </c>
      <c r="G63" s="0" t="str">
        <f aca="false">IF(I63="","",IF(AND(J63&gt;=1,J63&lt;=K63),Eingabe!$B$6&amp;"-"&amp;INDEX(Eingabe!$C$9:$C$18,I63)&amp;"-Pächter  ·  Passwort Parzelle "&amp;J63,IF(J63=K63+1,Eingabe!$B$6&amp;"-"&amp;INDEX(Eingabe!$C$9:$C$18,I63)&amp;"-Vorstand  ·  eigenes WLAN",IF(J63=K63+2,Eingabe!$B$6&amp;"-"&amp;INDEX(Eingabe!$C$9:$C$18,I63)&amp;"-Gäste  ·  Voucher",IF(J63=K63+3,"Kabel  ·  Access Point y = .(50+y), Mast-Switch x = .(10+x)","")))))</f>
        <v>SparteNet.de-BW-Pächter  ·  Passwort Parzelle 57</v>
      </c>
      <c r="I63" s="7" t="n">
        <f aca="false">IF(58&lt;=(Eingabe!$P$18+Eingabe!$Q$18-1),MATCH(58,Eingabe!$P$9:$P$18,1),"")</f>
        <v>1</v>
      </c>
      <c r="J63" s="7" t="n">
        <f aca="false">IF(I63="","",58-INDEX(Eingabe!$P$9:$P$18,I63))</f>
        <v>57</v>
      </c>
      <c r="K63" s="7" t="n">
        <f aca="false">IF(I63="","",INDEX(Eingabe!$E$9:$E$18,I63))</f>
        <v>85</v>
      </c>
    </row>
    <row r="64" customFormat="false" ht="15" hidden="false" customHeight="false" outlineLevel="0" collapsed="false">
      <c r="A64" s="0" t="str">
        <f aca="false">IF(I64="","",IF(J64=0,"Sparte "&amp;I64&amp;": "&amp;INDEX(Eingabe!$B$9:$B$18,I64)&amp;"  (Sparten-ID "&amp;INDEX(Eingabe!$D$9:$D$18,I64)&amp;", "&amp;K64&amp;" Parzellen)",IF(J64&lt;=K64,"   Parzelle "&amp;J64,IF(J64=K64+1,"   Vorstand",IF(J64=K64+2,"   Gäste",IF(J64=K64+3,"   Technik (Switches, Access Points)",""))))))</f>
        <v>   Parzelle 58</v>
      </c>
      <c r="B64" s="0" t="n">
        <f aca="false">IF(I64="","",IF(AND(J64&gt;=1,J64&lt;=K64+3),IF(J64&lt;=K64,IF(J64&lt;=99,IF((INDEX(Eingabe!$G$9:$G$18,I64))&lt;=9,1000+(INDEX(Eingabe!$G$9:$G$18,I64))*100,3000)+J64,IF((INDEX(Eingabe!$G$9:$G$18,I64)+1)&lt;=9,1000+(INDEX(Eingabe!$G$9:$G$18,I64)+1)*100,3000)+J64-100),IF(J64=K64+1,2000+INDEX(Eingabe!$G$9:$G$18,I64)*10+1,IF(J64=K64+2,2000+INDEX(Eingabe!$G$9:$G$18,I64)*10+2,2000+INDEX(Eingabe!$G$9:$G$18,I64)*10+9))),""))</f>
        <v>1158</v>
      </c>
      <c r="C64" s="0" t="str">
        <f aca="false">IF(I64="","",IF(AND(J64&gt;=1,J64&lt;=K64+3),"10."&amp;INDEX(Eingabe!$D$9:$D$18,I64)&amp;"."&amp;IF(J64&lt;=K64,J64,IF(J64=K64+1,200,IF(J64=K64+2,201,250)))&amp;".0/24",""))</f>
        <v>10.1.58.0/24</v>
      </c>
      <c r="D64" s="0" t="str">
        <f aca="false">IF(I64="","",IF(AND(J64&gt;=1,J64&lt;=K64+3),"255.255.255.0",""))</f>
        <v>255.255.255.0</v>
      </c>
      <c r="E64" s="0" t="str">
        <f aca="false">IF(I64="","",IF(AND(J64&gt;=1,J64&lt;=K64+3),"10."&amp;INDEX(Eingabe!$D$9:$D$18,I64)&amp;"."&amp;IF(J64&lt;=K64,J64,IF(J64=K64+1,200,IF(J64=K64+2,201,250)))&amp;".1",""))</f>
        <v>10.1.58.1</v>
      </c>
      <c r="F64" s="0" t="str">
        <f aca="false">IF(I64="","",IF(AND(J64&gt;=1,J64&lt;=K64+3),"10."&amp;INDEX(Eingabe!$D$9:$D$18,I64)&amp;"."&amp;IF(J64&lt;=K64,J64,IF(J64=K64+1,200,IF(J64=K64+2,201,250)))&amp;".10 – 10."&amp;INDEX(Eingabe!$D$9:$D$18,I64)&amp;"."&amp;IF(J64&lt;=K64,J64,IF(J64=K64+1,200,IF(J64=K64+2,201,250)))&amp;".250",""))</f>
        <v>10.1.58.10 – 10.1.58.250</v>
      </c>
      <c r="G64" s="0" t="str">
        <f aca="false">IF(I64="","",IF(AND(J64&gt;=1,J64&lt;=K64),Eingabe!$B$6&amp;"-"&amp;INDEX(Eingabe!$C$9:$C$18,I64)&amp;"-Pächter  ·  Passwort Parzelle "&amp;J64,IF(J64=K64+1,Eingabe!$B$6&amp;"-"&amp;INDEX(Eingabe!$C$9:$C$18,I64)&amp;"-Vorstand  ·  eigenes WLAN",IF(J64=K64+2,Eingabe!$B$6&amp;"-"&amp;INDEX(Eingabe!$C$9:$C$18,I64)&amp;"-Gäste  ·  Voucher",IF(J64=K64+3,"Kabel  ·  Access Point y = .(50+y), Mast-Switch x = .(10+x)","")))))</f>
        <v>SparteNet.de-BW-Pächter  ·  Passwort Parzelle 58</v>
      </c>
      <c r="I64" s="7" t="n">
        <f aca="false">IF(59&lt;=(Eingabe!$P$18+Eingabe!$Q$18-1),MATCH(59,Eingabe!$P$9:$P$18,1),"")</f>
        <v>1</v>
      </c>
      <c r="J64" s="7" t="n">
        <f aca="false">IF(I64="","",59-INDEX(Eingabe!$P$9:$P$18,I64))</f>
        <v>58</v>
      </c>
      <c r="K64" s="7" t="n">
        <f aca="false">IF(I64="","",INDEX(Eingabe!$E$9:$E$18,I64))</f>
        <v>85</v>
      </c>
    </row>
    <row r="65" customFormat="false" ht="15" hidden="false" customHeight="false" outlineLevel="0" collapsed="false">
      <c r="A65" s="0" t="str">
        <f aca="false">IF(I65="","",IF(J65=0,"Sparte "&amp;I65&amp;": "&amp;INDEX(Eingabe!$B$9:$B$18,I65)&amp;"  (Sparten-ID "&amp;INDEX(Eingabe!$D$9:$D$18,I65)&amp;", "&amp;K65&amp;" Parzellen)",IF(J65&lt;=K65,"   Parzelle "&amp;J65,IF(J65=K65+1,"   Vorstand",IF(J65=K65+2,"   Gäste",IF(J65=K65+3,"   Technik (Switches, Access Points)",""))))))</f>
        <v>   Parzelle 59</v>
      </c>
      <c r="B65" s="0" t="n">
        <f aca="false">IF(I65="","",IF(AND(J65&gt;=1,J65&lt;=K65+3),IF(J65&lt;=K65,IF(J65&lt;=99,IF((INDEX(Eingabe!$G$9:$G$18,I65))&lt;=9,1000+(INDEX(Eingabe!$G$9:$G$18,I65))*100,3000)+J65,IF((INDEX(Eingabe!$G$9:$G$18,I65)+1)&lt;=9,1000+(INDEX(Eingabe!$G$9:$G$18,I65)+1)*100,3000)+J65-100),IF(J65=K65+1,2000+INDEX(Eingabe!$G$9:$G$18,I65)*10+1,IF(J65=K65+2,2000+INDEX(Eingabe!$G$9:$G$18,I65)*10+2,2000+INDEX(Eingabe!$G$9:$G$18,I65)*10+9))),""))</f>
        <v>1159</v>
      </c>
      <c r="C65" s="0" t="str">
        <f aca="false">IF(I65="","",IF(AND(J65&gt;=1,J65&lt;=K65+3),"10."&amp;INDEX(Eingabe!$D$9:$D$18,I65)&amp;"."&amp;IF(J65&lt;=K65,J65,IF(J65=K65+1,200,IF(J65=K65+2,201,250)))&amp;".0/24",""))</f>
        <v>10.1.59.0/24</v>
      </c>
      <c r="D65" s="0" t="str">
        <f aca="false">IF(I65="","",IF(AND(J65&gt;=1,J65&lt;=K65+3),"255.255.255.0",""))</f>
        <v>255.255.255.0</v>
      </c>
      <c r="E65" s="0" t="str">
        <f aca="false">IF(I65="","",IF(AND(J65&gt;=1,J65&lt;=K65+3),"10."&amp;INDEX(Eingabe!$D$9:$D$18,I65)&amp;"."&amp;IF(J65&lt;=K65,J65,IF(J65=K65+1,200,IF(J65=K65+2,201,250)))&amp;".1",""))</f>
        <v>10.1.59.1</v>
      </c>
      <c r="F65" s="0" t="str">
        <f aca="false">IF(I65="","",IF(AND(J65&gt;=1,J65&lt;=K65+3),"10."&amp;INDEX(Eingabe!$D$9:$D$18,I65)&amp;"."&amp;IF(J65&lt;=K65,J65,IF(J65=K65+1,200,IF(J65=K65+2,201,250)))&amp;".10 – 10."&amp;INDEX(Eingabe!$D$9:$D$18,I65)&amp;"."&amp;IF(J65&lt;=K65,J65,IF(J65=K65+1,200,IF(J65=K65+2,201,250)))&amp;".250",""))</f>
        <v>10.1.59.10 – 10.1.59.250</v>
      </c>
      <c r="G65" s="0" t="str">
        <f aca="false">IF(I65="","",IF(AND(J65&gt;=1,J65&lt;=K65),Eingabe!$B$6&amp;"-"&amp;INDEX(Eingabe!$C$9:$C$18,I65)&amp;"-Pächter  ·  Passwort Parzelle "&amp;J65,IF(J65=K65+1,Eingabe!$B$6&amp;"-"&amp;INDEX(Eingabe!$C$9:$C$18,I65)&amp;"-Vorstand  ·  eigenes WLAN",IF(J65=K65+2,Eingabe!$B$6&amp;"-"&amp;INDEX(Eingabe!$C$9:$C$18,I65)&amp;"-Gäste  ·  Voucher",IF(J65=K65+3,"Kabel  ·  Access Point y = .(50+y), Mast-Switch x = .(10+x)","")))))</f>
        <v>SparteNet.de-BW-Pächter  ·  Passwort Parzelle 59</v>
      </c>
      <c r="I65" s="7" t="n">
        <f aca="false">IF(60&lt;=(Eingabe!$P$18+Eingabe!$Q$18-1),MATCH(60,Eingabe!$P$9:$P$18,1),"")</f>
        <v>1</v>
      </c>
      <c r="J65" s="7" t="n">
        <f aca="false">IF(I65="","",60-INDEX(Eingabe!$P$9:$P$18,I65))</f>
        <v>59</v>
      </c>
      <c r="K65" s="7" t="n">
        <f aca="false">IF(I65="","",INDEX(Eingabe!$E$9:$E$18,I65))</f>
        <v>85</v>
      </c>
    </row>
    <row r="66" customFormat="false" ht="15" hidden="false" customHeight="false" outlineLevel="0" collapsed="false">
      <c r="A66" s="0" t="str">
        <f aca="false">IF(I66="","",IF(J66=0,"Sparte "&amp;I66&amp;": "&amp;INDEX(Eingabe!$B$9:$B$18,I66)&amp;"  (Sparten-ID "&amp;INDEX(Eingabe!$D$9:$D$18,I66)&amp;", "&amp;K66&amp;" Parzellen)",IF(J66&lt;=K66,"   Parzelle "&amp;J66,IF(J66=K66+1,"   Vorstand",IF(J66=K66+2,"   Gäste",IF(J66=K66+3,"   Technik (Switches, Access Points)",""))))))</f>
        <v>   Parzelle 60</v>
      </c>
      <c r="B66" s="0" t="n">
        <f aca="false">IF(I66="","",IF(AND(J66&gt;=1,J66&lt;=K66+3),IF(J66&lt;=K66,IF(J66&lt;=99,IF((INDEX(Eingabe!$G$9:$G$18,I66))&lt;=9,1000+(INDEX(Eingabe!$G$9:$G$18,I66))*100,3000)+J66,IF((INDEX(Eingabe!$G$9:$G$18,I66)+1)&lt;=9,1000+(INDEX(Eingabe!$G$9:$G$18,I66)+1)*100,3000)+J66-100),IF(J66=K66+1,2000+INDEX(Eingabe!$G$9:$G$18,I66)*10+1,IF(J66=K66+2,2000+INDEX(Eingabe!$G$9:$G$18,I66)*10+2,2000+INDEX(Eingabe!$G$9:$G$18,I66)*10+9))),""))</f>
        <v>1160</v>
      </c>
      <c r="C66" s="0" t="str">
        <f aca="false">IF(I66="","",IF(AND(J66&gt;=1,J66&lt;=K66+3),"10."&amp;INDEX(Eingabe!$D$9:$D$18,I66)&amp;"."&amp;IF(J66&lt;=K66,J66,IF(J66=K66+1,200,IF(J66=K66+2,201,250)))&amp;".0/24",""))</f>
        <v>10.1.60.0/24</v>
      </c>
      <c r="D66" s="0" t="str">
        <f aca="false">IF(I66="","",IF(AND(J66&gt;=1,J66&lt;=K66+3),"255.255.255.0",""))</f>
        <v>255.255.255.0</v>
      </c>
      <c r="E66" s="0" t="str">
        <f aca="false">IF(I66="","",IF(AND(J66&gt;=1,J66&lt;=K66+3),"10."&amp;INDEX(Eingabe!$D$9:$D$18,I66)&amp;"."&amp;IF(J66&lt;=K66,J66,IF(J66=K66+1,200,IF(J66=K66+2,201,250)))&amp;".1",""))</f>
        <v>10.1.60.1</v>
      </c>
      <c r="F66" s="0" t="str">
        <f aca="false">IF(I66="","",IF(AND(J66&gt;=1,J66&lt;=K66+3),"10."&amp;INDEX(Eingabe!$D$9:$D$18,I66)&amp;"."&amp;IF(J66&lt;=K66,J66,IF(J66=K66+1,200,IF(J66=K66+2,201,250)))&amp;".10 – 10."&amp;INDEX(Eingabe!$D$9:$D$18,I66)&amp;"."&amp;IF(J66&lt;=K66,J66,IF(J66=K66+1,200,IF(J66=K66+2,201,250)))&amp;".250",""))</f>
        <v>10.1.60.10 – 10.1.60.250</v>
      </c>
      <c r="G66" s="0" t="str">
        <f aca="false">IF(I66="","",IF(AND(J66&gt;=1,J66&lt;=K66),Eingabe!$B$6&amp;"-"&amp;INDEX(Eingabe!$C$9:$C$18,I66)&amp;"-Pächter  ·  Passwort Parzelle "&amp;J66,IF(J66=K66+1,Eingabe!$B$6&amp;"-"&amp;INDEX(Eingabe!$C$9:$C$18,I66)&amp;"-Vorstand  ·  eigenes WLAN",IF(J66=K66+2,Eingabe!$B$6&amp;"-"&amp;INDEX(Eingabe!$C$9:$C$18,I66)&amp;"-Gäste  ·  Voucher",IF(J66=K66+3,"Kabel  ·  Access Point y = .(50+y), Mast-Switch x = .(10+x)","")))))</f>
        <v>SparteNet.de-BW-Pächter  ·  Passwort Parzelle 60</v>
      </c>
      <c r="I66" s="7" t="n">
        <f aca="false">IF(61&lt;=(Eingabe!$P$18+Eingabe!$Q$18-1),MATCH(61,Eingabe!$P$9:$P$18,1),"")</f>
        <v>1</v>
      </c>
      <c r="J66" s="7" t="n">
        <f aca="false">IF(I66="","",61-INDEX(Eingabe!$P$9:$P$18,I66))</f>
        <v>60</v>
      </c>
      <c r="K66" s="7" t="n">
        <f aca="false">IF(I66="","",INDEX(Eingabe!$E$9:$E$18,I66))</f>
        <v>85</v>
      </c>
    </row>
    <row r="67" customFormat="false" ht="15" hidden="false" customHeight="false" outlineLevel="0" collapsed="false">
      <c r="A67" s="0" t="str">
        <f aca="false">IF(I67="","",IF(J67=0,"Sparte "&amp;I67&amp;": "&amp;INDEX(Eingabe!$B$9:$B$18,I67)&amp;"  (Sparten-ID "&amp;INDEX(Eingabe!$D$9:$D$18,I67)&amp;", "&amp;K67&amp;" Parzellen)",IF(J67&lt;=K67,"   Parzelle "&amp;J67,IF(J67=K67+1,"   Vorstand",IF(J67=K67+2,"   Gäste",IF(J67=K67+3,"   Technik (Switches, Access Points)",""))))))</f>
        <v>   Parzelle 61</v>
      </c>
      <c r="B67" s="0" t="n">
        <f aca="false">IF(I67="","",IF(AND(J67&gt;=1,J67&lt;=K67+3),IF(J67&lt;=K67,IF(J67&lt;=99,IF((INDEX(Eingabe!$G$9:$G$18,I67))&lt;=9,1000+(INDEX(Eingabe!$G$9:$G$18,I67))*100,3000)+J67,IF((INDEX(Eingabe!$G$9:$G$18,I67)+1)&lt;=9,1000+(INDEX(Eingabe!$G$9:$G$18,I67)+1)*100,3000)+J67-100),IF(J67=K67+1,2000+INDEX(Eingabe!$G$9:$G$18,I67)*10+1,IF(J67=K67+2,2000+INDEX(Eingabe!$G$9:$G$18,I67)*10+2,2000+INDEX(Eingabe!$G$9:$G$18,I67)*10+9))),""))</f>
        <v>1161</v>
      </c>
      <c r="C67" s="0" t="str">
        <f aca="false">IF(I67="","",IF(AND(J67&gt;=1,J67&lt;=K67+3),"10."&amp;INDEX(Eingabe!$D$9:$D$18,I67)&amp;"."&amp;IF(J67&lt;=K67,J67,IF(J67=K67+1,200,IF(J67=K67+2,201,250)))&amp;".0/24",""))</f>
        <v>10.1.61.0/24</v>
      </c>
      <c r="D67" s="0" t="str">
        <f aca="false">IF(I67="","",IF(AND(J67&gt;=1,J67&lt;=K67+3),"255.255.255.0",""))</f>
        <v>255.255.255.0</v>
      </c>
      <c r="E67" s="0" t="str">
        <f aca="false">IF(I67="","",IF(AND(J67&gt;=1,J67&lt;=K67+3),"10."&amp;INDEX(Eingabe!$D$9:$D$18,I67)&amp;"."&amp;IF(J67&lt;=K67,J67,IF(J67=K67+1,200,IF(J67=K67+2,201,250)))&amp;".1",""))</f>
        <v>10.1.61.1</v>
      </c>
      <c r="F67" s="0" t="str">
        <f aca="false">IF(I67="","",IF(AND(J67&gt;=1,J67&lt;=K67+3),"10."&amp;INDEX(Eingabe!$D$9:$D$18,I67)&amp;"."&amp;IF(J67&lt;=K67,J67,IF(J67=K67+1,200,IF(J67=K67+2,201,250)))&amp;".10 – 10."&amp;INDEX(Eingabe!$D$9:$D$18,I67)&amp;"."&amp;IF(J67&lt;=K67,J67,IF(J67=K67+1,200,IF(J67=K67+2,201,250)))&amp;".250",""))</f>
        <v>10.1.61.10 – 10.1.61.250</v>
      </c>
      <c r="G67" s="0" t="str">
        <f aca="false">IF(I67="","",IF(AND(J67&gt;=1,J67&lt;=K67),Eingabe!$B$6&amp;"-"&amp;INDEX(Eingabe!$C$9:$C$18,I67)&amp;"-Pächter  ·  Passwort Parzelle "&amp;J67,IF(J67=K67+1,Eingabe!$B$6&amp;"-"&amp;INDEX(Eingabe!$C$9:$C$18,I67)&amp;"-Vorstand  ·  eigenes WLAN",IF(J67=K67+2,Eingabe!$B$6&amp;"-"&amp;INDEX(Eingabe!$C$9:$C$18,I67)&amp;"-Gäste  ·  Voucher",IF(J67=K67+3,"Kabel  ·  Access Point y = .(50+y), Mast-Switch x = .(10+x)","")))))</f>
        <v>SparteNet.de-BW-Pächter  ·  Passwort Parzelle 61</v>
      </c>
      <c r="I67" s="7" t="n">
        <f aca="false">IF(62&lt;=(Eingabe!$P$18+Eingabe!$Q$18-1),MATCH(62,Eingabe!$P$9:$P$18,1),"")</f>
        <v>1</v>
      </c>
      <c r="J67" s="7" t="n">
        <f aca="false">IF(I67="","",62-INDEX(Eingabe!$P$9:$P$18,I67))</f>
        <v>61</v>
      </c>
      <c r="K67" s="7" t="n">
        <f aca="false">IF(I67="","",INDEX(Eingabe!$E$9:$E$18,I67))</f>
        <v>85</v>
      </c>
    </row>
    <row r="68" customFormat="false" ht="15" hidden="false" customHeight="false" outlineLevel="0" collapsed="false">
      <c r="A68" s="0" t="str">
        <f aca="false">IF(I68="","",IF(J68=0,"Sparte "&amp;I68&amp;": "&amp;INDEX(Eingabe!$B$9:$B$18,I68)&amp;"  (Sparten-ID "&amp;INDEX(Eingabe!$D$9:$D$18,I68)&amp;", "&amp;K68&amp;" Parzellen)",IF(J68&lt;=K68,"   Parzelle "&amp;J68,IF(J68=K68+1,"   Vorstand",IF(J68=K68+2,"   Gäste",IF(J68=K68+3,"   Technik (Switches, Access Points)",""))))))</f>
        <v>   Parzelle 62</v>
      </c>
      <c r="B68" s="0" t="n">
        <f aca="false">IF(I68="","",IF(AND(J68&gt;=1,J68&lt;=K68+3),IF(J68&lt;=K68,IF(J68&lt;=99,IF((INDEX(Eingabe!$G$9:$G$18,I68))&lt;=9,1000+(INDEX(Eingabe!$G$9:$G$18,I68))*100,3000)+J68,IF((INDEX(Eingabe!$G$9:$G$18,I68)+1)&lt;=9,1000+(INDEX(Eingabe!$G$9:$G$18,I68)+1)*100,3000)+J68-100),IF(J68=K68+1,2000+INDEX(Eingabe!$G$9:$G$18,I68)*10+1,IF(J68=K68+2,2000+INDEX(Eingabe!$G$9:$G$18,I68)*10+2,2000+INDEX(Eingabe!$G$9:$G$18,I68)*10+9))),""))</f>
        <v>1162</v>
      </c>
      <c r="C68" s="0" t="str">
        <f aca="false">IF(I68="","",IF(AND(J68&gt;=1,J68&lt;=K68+3),"10."&amp;INDEX(Eingabe!$D$9:$D$18,I68)&amp;"."&amp;IF(J68&lt;=K68,J68,IF(J68=K68+1,200,IF(J68=K68+2,201,250)))&amp;".0/24",""))</f>
        <v>10.1.62.0/24</v>
      </c>
      <c r="D68" s="0" t="str">
        <f aca="false">IF(I68="","",IF(AND(J68&gt;=1,J68&lt;=K68+3),"255.255.255.0",""))</f>
        <v>255.255.255.0</v>
      </c>
      <c r="E68" s="0" t="str">
        <f aca="false">IF(I68="","",IF(AND(J68&gt;=1,J68&lt;=K68+3),"10."&amp;INDEX(Eingabe!$D$9:$D$18,I68)&amp;"."&amp;IF(J68&lt;=K68,J68,IF(J68=K68+1,200,IF(J68=K68+2,201,250)))&amp;".1",""))</f>
        <v>10.1.62.1</v>
      </c>
      <c r="F68" s="0" t="str">
        <f aca="false">IF(I68="","",IF(AND(J68&gt;=1,J68&lt;=K68+3),"10."&amp;INDEX(Eingabe!$D$9:$D$18,I68)&amp;"."&amp;IF(J68&lt;=K68,J68,IF(J68=K68+1,200,IF(J68=K68+2,201,250)))&amp;".10 – 10."&amp;INDEX(Eingabe!$D$9:$D$18,I68)&amp;"."&amp;IF(J68&lt;=K68,J68,IF(J68=K68+1,200,IF(J68=K68+2,201,250)))&amp;".250",""))</f>
        <v>10.1.62.10 – 10.1.62.250</v>
      </c>
      <c r="G68" s="0" t="str">
        <f aca="false">IF(I68="","",IF(AND(J68&gt;=1,J68&lt;=K68),Eingabe!$B$6&amp;"-"&amp;INDEX(Eingabe!$C$9:$C$18,I68)&amp;"-Pächter  ·  Passwort Parzelle "&amp;J68,IF(J68=K68+1,Eingabe!$B$6&amp;"-"&amp;INDEX(Eingabe!$C$9:$C$18,I68)&amp;"-Vorstand  ·  eigenes WLAN",IF(J68=K68+2,Eingabe!$B$6&amp;"-"&amp;INDEX(Eingabe!$C$9:$C$18,I68)&amp;"-Gäste  ·  Voucher",IF(J68=K68+3,"Kabel  ·  Access Point y = .(50+y), Mast-Switch x = .(10+x)","")))))</f>
        <v>SparteNet.de-BW-Pächter  ·  Passwort Parzelle 62</v>
      </c>
      <c r="I68" s="7" t="n">
        <f aca="false">IF(63&lt;=(Eingabe!$P$18+Eingabe!$Q$18-1),MATCH(63,Eingabe!$P$9:$P$18,1),"")</f>
        <v>1</v>
      </c>
      <c r="J68" s="7" t="n">
        <f aca="false">IF(I68="","",63-INDEX(Eingabe!$P$9:$P$18,I68))</f>
        <v>62</v>
      </c>
      <c r="K68" s="7" t="n">
        <f aca="false">IF(I68="","",INDEX(Eingabe!$E$9:$E$18,I68))</f>
        <v>85</v>
      </c>
    </row>
    <row r="69" customFormat="false" ht="15" hidden="false" customHeight="false" outlineLevel="0" collapsed="false">
      <c r="A69" s="0" t="str">
        <f aca="false">IF(I69="","",IF(J69=0,"Sparte "&amp;I69&amp;": "&amp;INDEX(Eingabe!$B$9:$B$18,I69)&amp;"  (Sparten-ID "&amp;INDEX(Eingabe!$D$9:$D$18,I69)&amp;", "&amp;K69&amp;" Parzellen)",IF(J69&lt;=K69,"   Parzelle "&amp;J69,IF(J69=K69+1,"   Vorstand",IF(J69=K69+2,"   Gäste",IF(J69=K69+3,"   Technik (Switches, Access Points)",""))))))</f>
        <v>   Parzelle 63</v>
      </c>
      <c r="B69" s="0" t="n">
        <f aca="false">IF(I69="","",IF(AND(J69&gt;=1,J69&lt;=K69+3),IF(J69&lt;=K69,IF(J69&lt;=99,IF((INDEX(Eingabe!$G$9:$G$18,I69))&lt;=9,1000+(INDEX(Eingabe!$G$9:$G$18,I69))*100,3000)+J69,IF((INDEX(Eingabe!$G$9:$G$18,I69)+1)&lt;=9,1000+(INDEX(Eingabe!$G$9:$G$18,I69)+1)*100,3000)+J69-100),IF(J69=K69+1,2000+INDEX(Eingabe!$G$9:$G$18,I69)*10+1,IF(J69=K69+2,2000+INDEX(Eingabe!$G$9:$G$18,I69)*10+2,2000+INDEX(Eingabe!$G$9:$G$18,I69)*10+9))),""))</f>
        <v>1163</v>
      </c>
      <c r="C69" s="0" t="str">
        <f aca="false">IF(I69="","",IF(AND(J69&gt;=1,J69&lt;=K69+3),"10."&amp;INDEX(Eingabe!$D$9:$D$18,I69)&amp;"."&amp;IF(J69&lt;=K69,J69,IF(J69=K69+1,200,IF(J69=K69+2,201,250)))&amp;".0/24",""))</f>
        <v>10.1.63.0/24</v>
      </c>
      <c r="D69" s="0" t="str">
        <f aca="false">IF(I69="","",IF(AND(J69&gt;=1,J69&lt;=K69+3),"255.255.255.0",""))</f>
        <v>255.255.255.0</v>
      </c>
      <c r="E69" s="0" t="str">
        <f aca="false">IF(I69="","",IF(AND(J69&gt;=1,J69&lt;=K69+3),"10."&amp;INDEX(Eingabe!$D$9:$D$18,I69)&amp;"."&amp;IF(J69&lt;=K69,J69,IF(J69=K69+1,200,IF(J69=K69+2,201,250)))&amp;".1",""))</f>
        <v>10.1.63.1</v>
      </c>
      <c r="F69" s="0" t="str">
        <f aca="false">IF(I69="","",IF(AND(J69&gt;=1,J69&lt;=K69+3),"10."&amp;INDEX(Eingabe!$D$9:$D$18,I69)&amp;"."&amp;IF(J69&lt;=K69,J69,IF(J69=K69+1,200,IF(J69=K69+2,201,250)))&amp;".10 – 10."&amp;INDEX(Eingabe!$D$9:$D$18,I69)&amp;"."&amp;IF(J69&lt;=K69,J69,IF(J69=K69+1,200,IF(J69=K69+2,201,250)))&amp;".250",""))</f>
        <v>10.1.63.10 – 10.1.63.250</v>
      </c>
      <c r="G69" s="0" t="str">
        <f aca="false">IF(I69="","",IF(AND(J69&gt;=1,J69&lt;=K69),Eingabe!$B$6&amp;"-"&amp;INDEX(Eingabe!$C$9:$C$18,I69)&amp;"-Pächter  ·  Passwort Parzelle "&amp;J69,IF(J69=K69+1,Eingabe!$B$6&amp;"-"&amp;INDEX(Eingabe!$C$9:$C$18,I69)&amp;"-Vorstand  ·  eigenes WLAN",IF(J69=K69+2,Eingabe!$B$6&amp;"-"&amp;INDEX(Eingabe!$C$9:$C$18,I69)&amp;"-Gäste  ·  Voucher",IF(J69=K69+3,"Kabel  ·  Access Point y = .(50+y), Mast-Switch x = .(10+x)","")))))</f>
        <v>SparteNet.de-BW-Pächter  ·  Passwort Parzelle 63</v>
      </c>
      <c r="I69" s="7" t="n">
        <f aca="false">IF(64&lt;=(Eingabe!$P$18+Eingabe!$Q$18-1),MATCH(64,Eingabe!$P$9:$P$18,1),"")</f>
        <v>1</v>
      </c>
      <c r="J69" s="7" t="n">
        <f aca="false">IF(I69="","",64-INDEX(Eingabe!$P$9:$P$18,I69))</f>
        <v>63</v>
      </c>
      <c r="K69" s="7" t="n">
        <f aca="false">IF(I69="","",INDEX(Eingabe!$E$9:$E$18,I69))</f>
        <v>85</v>
      </c>
    </row>
    <row r="70" customFormat="false" ht="15" hidden="false" customHeight="false" outlineLevel="0" collapsed="false">
      <c r="A70" s="0" t="str">
        <f aca="false">IF(I70="","",IF(J70=0,"Sparte "&amp;I70&amp;": "&amp;INDEX(Eingabe!$B$9:$B$18,I70)&amp;"  (Sparten-ID "&amp;INDEX(Eingabe!$D$9:$D$18,I70)&amp;", "&amp;K70&amp;" Parzellen)",IF(J70&lt;=K70,"   Parzelle "&amp;J70,IF(J70=K70+1,"   Vorstand",IF(J70=K70+2,"   Gäste",IF(J70=K70+3,"   Technik (Switches, Access Points)",""))))))</f>
        <v>   Parzelle 64</v>
      </c>
      <c r="B70" s="0" t="n">
        <f aca="false">IF(I70="","",IF(AND(J70&gt;=1,J70&lt;=K70+3),IF(J70&lt;=K70,IF(J70&lt;=99,IF((INDEX(Eingabe!$G$9:$G$18,I70))&lt;=9,1000+(INDEX(Eingabe!$G$9:$G$18,I70))*100,3000)+J70,IF((INDEX(Eingabe!$G$9:$G$18,I70)+1)&lt;=9,1000+(INDEX(Eingabe!$G$9:$G$18,I70)+1)*100,3000)+J70-100),IF(J70=K70+1,2000+INDEX(Eingabe!$G$9:$G$18,I70)*10+1,IF(J70=K70+2,2000+INDEX(Eingabe!$G$9:$G$18,I70)*10+2,2000+INDEX(Eingabe!$G$9:$G$18,I70)*10+9))),""))</f>
        <v>1164</v>
      </c>
      <c r="C70" s="0" t="str">
        <f aca="false">IF(I70="","",IF(AND(J70&gt;=1,J70&lt;=K70+3),"10."&amp;INDEX(Eingabe!$D$9:$D$18,I70)&amp;"."&amp;IF(J70&lt;=K70,J70,IF(J70=K70+1,200,IF(J70=K70+2,201,250)))&amp;".0/24",""))</f>
        <v>10.1.64.0/24</v>
      </c>
      <c r="D70" s="0" t="str">
        <f aca="false">IF(I70="","",IF(AND(J70&gt;=1,J70&lt;=K70+3),"255.255.255.0",""))</f>
        <v>255.255.255.0</v>
      </c>
      <c r="E70" s="0" t="str">
        <f aca="false">IF(I70="","",IF(AND(J70&gt;=1,J70&lt;=K70+3),"10."&amp;INDEX(Eingabe!$D$9:$D$18,I70)&amp;"."&amp;IF(J70&lt;=K70,J70,IF(J70=K70+1,200,IF(J70=K70+2,201,250)))&amp;".1",""))</f>
        <v>10.1.64.1</v>
      </c>
      <c r="F70" s="0" t="str">
        <f aca="false">IF(I70="","",IF(AND(J70&gt;=1,J70&lt;=K70+3),"10."&amp;INDEX(Eingabe!$D$9:$D$18,I70)&amp;"."&amp;IF(J70&lt;=K70,J70,IF(J70=K70+1,200,IF(J70=K70+2,201,250)))&amp;".10 – 10."&amp;INDEX(Eingabe!$D$9:$D$18,I70)&amp;"."&amp;IF(J70&lt;=K70,J70,IF(J70=K70+1,200,IF(J70=K70+2,201,250)))&amp;".250",""))</f>
        <v>10.1.64.10 – 10.1.64.250</v>
      </c>
      <c r="G70" s="0" t="str">
        <f aca="false">IF(I70="","",IF(AND(J70&gt;=1,J70&lt;=K70),Eingabe!$B$6&amp;"-"&amp;INDEX(Eingabe!$C$9:$C$18,I70)&amp;"-Pächter  ·  Passwort Parzelle "&amp;J70,IF(J70=K70+1,Eingabe!$B$6&amp;"-"&amp;INDEX(Eingabe!$C$9:$C$18,I70)&amp;"-Vorstand  ·  eigenes WLAN",IF(J70=K70+2,Eingabe!$B$6&amp;"-"&amp;INDEX(Eingabe!$C$9:$C$18,I70)&amp;"-Gäste  ·  Voucher",IF(J70=K70+3,"Kabel  ·  Access Point y = .(50+y), Mast-Switch x = .(10+x)","")))))</f>
        <v>SparteNet.de-BW-Pächter  ·  Passwort Parzelle 64</v>
      </c>
      <c r="I70" s="7" t="n">
        <f aca="false">IF(65&lt;=(Eingabe!$P$18+Eingabe!$Q$18-1),MATCH(65,Eingabe!$P$9:$P$18,1),"")</f>
        <v>1</v>
      </c>
      <c r="J70" s="7" t="n">
        <f aca="false">IF(I70="","",65-INDEX(Eingabe!$P$9:$P$18,I70))</f>
        <v>64</v>
      </c>
      <c r="K70" s="7" t="n">
        <f aca="false">IF(I70="","",INDEX(Eingabe!$E$9:$E$18,I70))</f>
        <v>85</v>
      </c>
    </row>
    <row r="71" customFormat="false" ht="15" hidden="false" customHeight="false" outlineLevel="0" collapsed="false">
      <c r="A71" s="0" t="str">
        <f aca="false">IF(I71="","",IF(J71=0,"Sparte "&amp;I71&amp;": "&amp;INDEX(Eingabe!$B$9:$B$18,I71)&amp;"  (Sparten-ID "&amp;INDEX(Eingabe!$D$9:$D$18,I71)&amp;", "&amp;K71&amp;" Parzellen)",IF(J71&lt;=K71,"   Parzelle "&amp;J71,IF(J71=K71+1,"   Vorstand",IF(J71=K71+2,"   Gäste",IF(J71=K71+3,"   Technik (Switches, Access Points)",""))))))</f>
        <v>   Parzelle 65</v>
      </c>
      <c r="B71" s="0" t="n">
        <f aca="false">IF(I71="","",IF(AND(J71&gt;=1,J71&lt;=K71+3),IF(J71&lt;=K71,IF(J71&lt;=99,IF((INDEX(Eingabe!$G$9:$G$18,I71))&lt;=9,1000+(INDEX(Eingabe!$G$9:$G$18,I71))*100,3000)+J71,IF((INDEX(Eingabe!$G$9:$G$18,I71)+1)&lt;=9,1000+(INDEX(Eingabe!$G$9:$G$18,I71)+1)*100,3000)+J71-100),IF(J71=K71+1,2000+INDEX(Eingabe!$G$9:$G$18,I71)*10+1,IF(J71=K71+2,2000+INDEX(Eingabe!$G$9:$G$18,I71)*10+2,2000+INDEX(Eingabe!$G$9:$G$18,I71)*10+9))),""))</f>
        <v>1165</v>
      </c>
      <c r="C71" s="0" t="str">
        <f aca="false">IF(I71="","",IF(AND(J71&gt;=1,J71&lt;=K71+3),"10."&amp;INDEX(Eingabe!$D$9:$D$18,I71)&amp;"."&amp;IF(J71&lt;=K71,J71,IF(J71=K71+1,200,IF(J71=K71+2,201,250)))&amp;".0/24",""))</f>
        <v>10.1.65.0/24</v>
      </c>
      <c r="D71" s="0" t="str">
        <f aca="false">IF(I71="","",IF(AND(J71&gt;=1,J71&lt;=K71+3),"255.255.255.0",""))</f>
        <v>255.255.255.0</v>
      </c>
      <c r="E71" s="0" t="str">
        <f aca="false">IF(I71="","",IF(AND(J71&gt;=1,J71&lt;=K71+3),"10."&amp;INDEX(Eingabe!$D$9:$D$18,I71)&amp;"."&amp;IF(J71&lt;=K71,J71,IF(J71=K71+1,200,IF(J71=K71+2,201,250)))&amp;".1",""))</f>
        <v>10.1.65.1</v>
      </c>
      <c r="F71" s="0" t="str">
        <f aca="false">IF(I71="","",IF(AND(J71&gt;=1,J71&lt;=K71+3),"10."&amp;INDEX(Eingabe!$D$9:$D$18,I71)&amp;"."&amp;IF(J71&lt;=K71,J71,IF(J71=K71+1,200,IF(J71=K71+2,201,250)))&amp;".10 – 10."&amp;INDEX(Eingabe!$D$9:$D$18,I71)&amp;"."&amp;IF(J71&lt;=K71,J71,IF(J71=K71+1,200,IF(J71=K71+2,201,250)))&amp;".250",""))</f>
        <v>10.1.65.10 – 10.1.65.250</v>
      </c>
      <c r="G71" s="0" t="str">
        <f aca="false">IF(I71="","",IF(AND(J71&gt;=1,J71&lt;=K71),Eingabe!$B$6&amp;"-"&amp;INDEX(Eingabe!$C$9:$C$18,I71)&amp;"-Pächter  ·  Passwort Parzelle "&amp;J71,IF(J71=K71+1,Eingabe!$B$6&amp;"-"&amp;INDEX(Eingabe!$C$9:$C$18,I71)&amp;"-Vorstand  ·  eigenes WLAN",IF(J71=K71+2,Eingabe!$B$6&amp;"-"&amp;INDEX(Eingabe!$C$9:$C$18,I71)&amp;"-Gäste  ·  Voucher",IF(J71=K71+3,"Kabel  ·  Access Point y = .(50+y), Mast-Switch x = .(10+x)","")))))</f>
        <v>SparteNet.de-BW-Pächter  ·  Passwort Parzelle 65</v>
      </c>
      <c r="I71" s="7" t="n">
        <f aca="false">IF(66&lt;=(Eingabe!$P$18+Eingabe!$Q$18-1),MATCH(66,Eingabe!$P$9:$P$18,1),"")</f>
        <v>1</v>
      </c>
      <c r="J71" s="7" t="n">
        <f aca="false">IF(I71="","",66-INDEX(Eingabe!$P$9:$P$18,I71))</f>
        <v>65</v>
      </c>
      <c r="K71" s="7" t="n">
        <f aca="false">IF(I71="","",INDEX(Eingabe!$E$9:$E$18,I71))</f>
        <v>85</v>
      </c>
    </row>
    <row r="72" customFormat="false" ht="15" hidden="false" customHeight="false" outlineLevel="0" collapsed="false">
      <c r="A72" s="0" t="str">
        <f aca="false">IF(I72="","",IF(J72=0,"Sparte "&amp;I72&amp;": "&amp;INDEX(Eingabe!$B$9:$B$18,I72)&amp;"  (Sparten-ID "&amp;INDEX(Eingabe!$D$9:$D$18,I72)&amp;", "&amp;K72&amp;" Parzellen)",IF(J72&lt;=K72,"   Parzelle "&amp;J72,IF(J72=K72+1,"   Vorstand",IF(J72=K72+2,"   Gäste",IF(J72=K72+3,"   Technik (Switches, Access Points)",""))))))</f>
        <v>   Parzelle 66</v>
      </c>
      <c r="B72" s="0" t="n">
        <f aca="false">IF(I72="","",IF(AND(J72&gt;=1,J72&lt;=K72+3),IF(J72&lt;=K72,IF(J72&lt;=99,IF((INDEX(Eingabe!$G$9:$G$18,I72))&lt;=9,1000+(INDEX(Eingabe!$G$9:$G$18,I72))*100,3000)+J72,IF((INDEX(Eingabe!$G$9:$G$18,I72)+1)&lt;=9,1000+(INDEX(Eingabe!$G$9:$G$18,I72)+1)*100,3000)+J72-100),IF(J72=K72+1,2000+INDEX(Eingabe!$G$9:$G$18,I72)*10+1,IF(J72=K72+2,2000+INDEX(Eingabe!$G$9:$G$18,I72)*10+2,2000+INDEX(Eingabe!$G$9:$G$18,I72)*10+9))),""))</f>
        <v>1166</v>
      </c>
      <c r="C72" s="0" t="str">
        <f aca="false">IF(I72="","",IF(AND(J72&gt;=1,J72&lt;=K72+3),"10."&amp;INDEX(Eingabe!$D$9:$D$18,I72)&amp;"."&amp;IF(J72&lt;=K72,J72,IF(J72=K72+1,200,IF(J72=K72+2,201,250)))&amp;".0/24",""))</f>
        <v>10.1.66.0/24</v>
      </c>
      <c r="D72" s="0" t="str">
        <f aca="false">IF(I72="","",IF(AND(J72&gt;=1,J72&lt;=K72+3),"255.255.255.0",""))</f>
        <v>255.255.255.0</v>
      </c>
      <c r="E72" s="0" t="str">
        <f aca="false">IF(I72="","",IF(AND(J72&gt;=1,J72&lt;=K72+3),"10."&amp;INDEX(Eingabe!$D$9:$D$18,I72)&amp;"."&amp;IF(J72&lt;=K72,J72,IF(J72=K72+1,200,IF(J72=K72+2,201,250)))&amp;".1",""))</f>
        <v>10.1.66.1</v>
      </c>
      <c r="F72" s="0" t="str">
        <f aca="false">IF(I72="","",IF(AND(J72&gt;=1,J72&lt;=K72+3),"10."&amp;INDEX(Eingabe!$D$9:$D$18,I72)&amp;"."&amp;IF(J72&lt;=K72,J72,IF(J72=K72+1,200,IF(J72=K72+2,201,250)))&amp;".10 – 10."&amp;INDEX(Eingabe!$D$9:$D$18,I72)&amp;"."&amp;IF(J72&lt;=K72,J72,IF(J72=K72+1,200,IF(J72=K72+2,201,250)))&amp;".250",""))</f>
        <v>10.1.66.10 – 10.1.66.250</v>
      </c>
      <c r="G72" s="0" t="str">
        <f aca="false">IF(I72="","",IF(AND(J72&gt;=1,J72&lt;=K72),Eingabe!$B$6&amp;"-"&amp;INDEX(Eingabe!$C$9:$C$18,I72)&amp;"-Pächter  ·  Passwort Parzelle "&amp;J72,IF(J72=K72+1,Eingabe!$B$6&amp;"-"&amp;INDEX(Eingabe!$C$9:$C$18,I72)&amp;"-Vorstand  ·  eigenes WLAN",IF(J72=K72+2,Eingabe!$B$6&amp;"-"&amp;INDEX(Eingabe!$C$9:$C$18,I72)&amp;"-Gäste  ·  Voucher",IF(J72=K72+3,"Kabel  ·  Access Point y = .(50+y), Mast-Switch x = .(10+x)","")))))</f>
        <v>SparteNet.de-BW-Pächter  ·  Passwort Parzelle 66</v>
      </c>
      <c r="I72" s="7" t="n">
        <f aca="false">IF(67&lt;=(Eingabe!$P$18+Eingabe!$Q$18-1),MATCH(67,Eingabe!$P$9:$P$18,1),"")</f>
        <v>1</v>
      </c>
      <c r="J72" s="7" t="n">
        <f aca="false">IF(I72="","",67-INDEX(Eingabe!$P$9:$P$18,I72))</f>
        <v>66</v>
      </c>
      <c r="K72" s="7" t="n">
        <f aca="false">IF(I72="","",INDEX(Eingabe!$E$9:$E$18,I72))</f>
        <v>85</v>
      </c>
    </row>
    <row r="73" customFormat="false" ht="15" hidden="false" customHeight="false" outlineLevel="0" collapsed="false">
      <c r="A73" s="0" t="str">
        <f aca="false">IF(I73="","",IF(J73=0,"Sparte "&amp;I73&amp;": "&amp;INDEX(Eingabe!$B$9:$B$18,I73)&amp;"  (Sparten-ID "&amp;INDEX(Eingabe!$D$9:$D$18,I73)&amp;", "&amp;K73&amp;" Parzellen)",IF(J73&lt;=K73,"   Parzelle "&amp;J73,IF(J73=K73+1,"   Vorstand",IF(J73=K73+2,"   Gäste",IF(J73=K73+3,"   Technik (Switches, Access Points)",""))))))</f>
        <v>   Parzelle 67</v>
      </c>
      <c r="B73" s="0" t="n">
        <f aca="false">IF(I73="","",IF(AND(J73&gt;=1,J73&lt;=K73+3),IF(J73&lt;=K73,IF(J73&lt;=99,IF((INDEX(Eingabe!$G$9:$G$18,I73))&lt;=9,1000+(INDEX(Eingabe!$G$9:$G$18,I73))*100,3000)+J73,IF((INDEX(Eingabe!$G$9:$G$18,I73)+1)&lt;=9,1000+(INDEX(Eingabe!$G$9:$G$18,I73)+1)*100,3000)+J73-100),IF(J73=K73+1,2000+INDEX(Eingabe!$G$9:$G$18,I73)*10+1,IF(J73=K73+2,2000+INDEX(Eingabe!$G$9:$G$18,I73)*10+2,2000+INDEX(Eingabe!$G$9:$G$18,I73)*10+9))),""))</f>
        <v>1167</v>
      </c>
      <c r="C73" s="0" t="str">
        <f aca="false">IF(I73="","",IF(AND(J73&gt;=1,J73&lt;=K73+3),"10."&amp;INDEX(Eingabe!$D$9:$D$18,I73)&amp;"."&amp;IF(J73&lt;=K73,J73,IF(J73=K73+1,200,IF(J73=K73+2,201,250)))&amp;".0/24",""))</f>
        <v>10.1.67.0/24</v>
      </c>
      <c r="D73" s="0" t="str">
        <f aca="false">IF(I73="","",IF(AND(J73&gt;=1,J73&lt;=K73+3),"255.255.255.0",""))</f>
        <v>255.255.255.0</v>
      </c>
      <c r="E73" s="0" t="str">
        <f aca="false">IF(I73="","",IF(AND(J73&gt;=1,J73&lt;=K73+3),"10."&amp;INDEX(Eingabe!$D$9:$D$18,I73)&amp;"."&amp;IF(J73&lt;=K73,J73,IF(J73=K73+1,200,IF(J73=K73+2,201,250)))&amp;".1",""))</f>
        <v>10.1.67.1</v>
      </c>
      <c r="F73" s="0" t="str">
        <f aca="false">IF(I73="","",IF(AND(J73&gt;=1,J73&lt;=K73+3),"10."&amp;INDEX(Eingabe!$D$9:$D$18,I73)&amp;"."&amp;IF(J73&lt;=K73,J73,IF(J73=K73+1,200,IF(J73=K73+2,201,250)))&amp;".10 – 10."&amp;INDEX(Eingabe!$D$9:$D$18,I73)&amp;"."&amp;IF(J73&lt;=K73,J73,IF(J73=K73+1,200,IF(J73=K73+2,201,250)))&amp;".250",""))</f>
        <v>10.1.67.10 – 10.1.67.250</v>
      </c>
      <c r="G73" s="0" t="str">
        <f aca="false">IF(I73="","",IF(AND(J73&gt;=1,J73&lt;=K73),Eingabe!$B$6&amp;"-"&amp;INDEX(Eingabe!$C$9:$C$18,I73)&amp;"-Pächter  ·  Passwort Parzelle "&amp;J73,IF(J73=K73+1,Eingabe!$B$6&amp;"-"&amp;INDEX(Eingabe!$C$9:$C$18,I73)&amp;"-Vorstand  ·  eigenes WLAN",IF(J73=K73+2,Eingabe!$B$6&amp;"-"&amp;INDEX(Eingabe!$C$9:$C$18,I73)&amp;"-Gäste  ·  Voucher",IF(J73=K73+3,"Kabel  ·  Access Point y = .(50+y), Mast-Switch x = .(10+x)","")))))</f>
        <v>SparteNet.de-BW-Pächter  ·  Passwort Parzelle 67</v>
      </c>
      <c r="I73" s="7" t="n">
        <f aca="false">IF(68&lt;=(Eingabe!$P$18+Eingabe!$Q$18-1),MATCH(68,Eingabe!$P$9:$P$18,1),"")</f>
        <v>1</v>
      </c>
      <c r="J73" s="7" t="n">
        <f aca="false">IF(I73="","",68-INDEX(Eingabe!$P$9:$P$18,I73))</f>
        <v>67</v>
      </c>
      <c r="K73" s="7" t="n">
        <f aca="false">IF(I73="","",INDEX(Eingabe!$E$9:$E$18,I73))</f>
        <v>85</v>
      </c>
    </row>
    <row r="74" customFormat="false" ht="15" hidden="false" customHeight="false" outlineLevel="0" collapsed="false">
      <c r="A74" s="0" t="str">
        <f aca="false">IF(I74="","",IF(J74=0,"Sparte "&amp;I74&amp;": "&amp;INDEX(Eingabe!$B$9:$B$18,I74)&amp;"  (Sparten-ID "&amp;INDEX(Eingabe!$D$9:$D$18,I74)&amp;", "&amp;K74&amp;" Parzellen)",IF(J74&lt;=K74,"   Parzelle "&amp;J74,IF(J74=K74+1,"   Vorstand",IF(J74=K74+2,"   Gäste",IF(J74=K74+3,"   Technik (Switches, Access Points)",""))))))</f>
        <v>   Parzelle 68</v>
      </c>
      <c r="B74" s="0" t="n">
        <f aca="false">IF(I74="","",IF(AND(J74&gt;=1,J74&lt;=K74+3),IF(J74&lt;=K74,IF(J74&lt;=99,IF((INDEX(Eingabe!$G$9:$G$18,I74))&lt;=9,1000+(INDEX(Eingabe!$G$9:$G$18,I74))*100,3000)+J74,IF((INDEX(Eingabe!$G$9:$G$18,I74)+1)&lt;=9,1000+(INDEX(Eingabe!$G$9:$G$18,I74)+1)*100,3000)+J74-100),IF(J74=K74+1,2000+INDEX(Eingabe!$G$9:$G$18,I74)*10+1,IF(J74=K74+2,2000+INDEX(Eingabe!$G$9:$G$18,I74)*10+2,2000+INDEX(Eingabe!$G$9:$G$18,I74)*10+9))),""))</f>
        <v>1168</v>
      </c>
      <c r="C74" s="0" t="str">
        <f aca="false">IF(I74="","",IF(AND(J74&gt;=1,J74&lt;=K74+3),"10."&amp;INDEX(Eingabe!$D$9:$D$18,I74)&amp;"."&amp;IF(J74&lt;=K74,J74,IF(J74=K74+1,200,IF(J74=K74+2,201,250)))&amp;".0/24",""))</f>
        <v>10.1.68.0/24</v>
      </c>
      <c r="D74" s="0" t="str">
        <f aca="false">IF(I74="","",IF(AND(J74&gt;=1,J74&lt;=K74+3),"255.255.255.0",""))</f>
        <v>255.255.255.0</v>
      </c>
      <c r="E74" s="0" t="str">
        <f aca="false">IF(I74="","",IF(AND(J74&gt;=1,J74&lt;=K74+3),"10."&amp;INDEX(Eingabe!$D$9:$D$18,I74)&amp;"."&amp;IF(J74&lt;=K74,J74,IF(J74=K74+1,200,IF(J74=K74+2,201,250)))&amp;".1",""))</f>
        <v>10.1.68.1</v>
      </c>
      <c r="F74" s="0" t="str">
        <f aca="false">IF(I74="","",IF(AND(J74&gt;=1,J74&lt;=K74+3),"10."&amp;INDEX(Eingabe!$D$9:$D$18,I74)&amp;"."&amp;IF(J74&lt;=K74,J74,IF(J74=K74+1,200,IF(J74=K74+2,201,250)))&amp;".10 – 10."&amp;INDEX(Eingabe!$D$9:$D$18,I74)&amp;"."&amp;IF(J74&lt;=K74,J74,IF(J74=K74+1,200,IF(J74=K74+2,201,250)))&amp;".250",""))</f>
        <v>10.1.68.10 – 10.1.68.250</v>
      </c>
      <c r="G74" s="0" t="str">
        <f aca="false">IF(I74="","",IF(AND(J74&gt;=1,J74&lt;=K74),Eingabe!$B$6&amp;"-"&amp;INDEX(Eingabe!$C$9:$C$18,I74)&amp;"-Pächter  ·  Passwort Parzelle "&amp;J74,IF(J74=K74+1,Eingabe!$B$6&amp;"-"&amp;INDEX(Eingabe!$C$9:$C$18,I74)&amp;"-Vorstand  ·  eigenes WLAN",IF(J74=K74+2,Eingabe!$B$6&amp;"-"&amp;INDEX(Eingabe!$C$9:$C$18,I74)&amp;"-Gäste  ·  Voucher",IF(J74=K74+3,"Kabel  ·  Access Point y = .(50+y), Mast-Switch x = .(10+x)","")))))</f>
        <v>SparteNet.de-BW-Pächter  ·  Passwort Parzelle 68</v>
      </c>
      <c r="I74" s="7" t="n">
        <f aca="false">IF(69&lt;=(Eingabe!$P$18+Eingabe!$Q$18-1),MATCH(69,Eingabe!$P$9:$P$18,1),"")</f>
        <v>1</v>
      </c>
      <c r="J74" s="7" t="n">
        <f aca="false">IF(I74="","",69-INDEX(Eingabe!$P$9:$P$18,I74))</f>
        <v>68</v>
      </c>
      <c r="K74" s="7" t="n">
        <f aca="false">IF(I74="","",INDEX(Eingabe!$E$9:$E$18,I74))</f>
        <v>85</v>
      </c>
    </row>
    <row r="75" customFormat="false" ht="15" hidden="false" customHeight="false" outlineLevel="0" collapsed="false">
      <c r="A75" s="0" t="str">
        <f aca="false">IF(I75="","",IF(J75=0,"Sparte "&amp;I75&amp;": "&amp;INDEX(Eingabe!$B$9:$B$18,I75)&amp;"  (Sparten-ID "&amp;INDEX(Eingabe!$D$9:$D$18,I75)&amp;", "&amp;K75&amp;" Parzellen)",IF(J75&lt;=K75,"   Parzelle "&amp;J75,IF(J75=K75+1,"   Vorstand",IF(J75=K75+2,"   Gäste",IF(J75=K75+3,"   Technik (Switches, Access Points)",""))))))</f>
        <v>   Parzelle 69</v>
      </c>
      <c r="B75" s="0" t="n">
        <f aca="false">IF(I75="","",IF(AND(J75&gt;=1,J75&lt;=K75+3),IF(J75&lt;=K75,IF(J75&lt;=99,IF((INDEX(Eingabe!$G$9:$G$18,I75))&lt;=9,1000+(INDEX(Eingabe!$G$9:$G$18,I75))*100,3000)+J75,IF((INDEX(Eingabe!$G$9:$G$18,I75)+1)&lt;=9,1000+(INDEX(Eingabe!$G$9:$G$18,I75)+1)*100,3000)+J75-100),IF(J75=K75+1,2000+INDEX(Eingabe!$G$9:$G$18,I75)*10+1,IF(J75=K75+2,2000+INDEX(Eingabe!$G$9:$G$18,I75)*10+2,2000+INDEX(Eingabe!$G$9:$G$18,I75)*10+9))),""))</f>
        <v>1169</v>
      </c>
      <c r="C75" s="0" t="str">
        <f aca="false">IF(I75="","",IF(AND(J75&gt;=1,J75&lt;=K75+3),"10."&amp;INDEX(Eingabe!$D$9:$D$18,I75)&amp;"."&amp;IF(J75&lt;=K75,J75,IF(J75=K75+1,200,IF(J75=K75+2,201,250)))&amp;".0/24",""))</f>
        <v>10.1.69.0/24</v>
      </c>
      <c r="D75" s="0" t="str">
        <f aca="false">IF(I75="","",IF(AND(J75&gt;=1,J75&lt;=K75+3),"255.255.255.0",""))</f>
        <v>255.255.255.0</v>
      </c>
      <c r="E75" s="0" t="str">
        <f aca="false">IF(I75="","",IF(AND(J75&gt;=1,J75&lt;=K75+3),"10."&amp;INDEX(Eingabe!$D$9:$D$18,I75)&amp;"."&amp;IF(J75&lt;=K75,J75,IF(J75=K75+1,200,IF(J75=K75+2,201,250)))&amp;".1",""))</f>
        <v>10.1.69.1</v>
      </c>
      <c r="F75" s="0" t="str">
        <f aca="false">IF(I75="","",IF(AND(J75&gt;=1,J75&lt;=K75+3),"10."&amp;INDEX(Eingabe!$D$9:$D$18,I75)&amp;"."&amp;IF(J75&lt;=K75,J75,IF(J75=K75+1,200,IF(J75=K75+2,201,250)))&amp;".10 – 10."&amp;INDEX(Eingabe!$D$9:$D$18,I75)&amp;"."&amp;IF(J75&lt;=K75,J75,IF(J75=K75+1,200,IF(J75=K75+2,201,250)))&amp;".250",""))</f>
        <v>10.1.69.10 – 10.1.69.250</v>
      </c>
      <c r="G75" s="0" t="str">
        <f aca="false">IF(I75="","",IF(AND(J75&gt;=1,J75&lt;=K75),Eingabe!$B$6&amp;"-"&amp;INDEX(Eingabe!$C$9:$C$18,I75)&amp;"-Pächter  ·  Passwort Parzelle "&amp;J75,IF(J75=K75+1,Eingabe!$B$6&amp;"-"&amp;INDEX(Eingabe!$C$9:$C$18,I75)&amp;"-Vorstand  ·  eigenes WLAN",IF(J75=K75+2,Eingabe!$B$6&amp;"-"&amp;INDEX(Eingabe!$C$9:$C$18,I75)&amp;"-Gäste  ·  Voucher",IF(J75=K75+3,"Kabel  ·  Access Point y = .(50+y), Mast-Switch x = .(10+x)","")))))</f>
        <v>SparteNet.de-BW-Pächter  ·  Passwort Parzelle 69</v>
      </c>
      <c r="I75" s="7" t="n">
        <f aca="false">IF(70&lt;=(Eingabe!$P$18+Eingabe!$Q$18-1),MATCH(70,Eingabe!$P$9:$P$18,1),"")</f>
        <v>1</v>
      </c>
      <c r="J75" s="7" t="n">
        <f aca="false">IF(I75="","",70-INDEX(Eingabe!$P$9:$P$18,I75))</f>
        <v>69</v>
      </c>
      <c r="K75" s="7" t="n">
        <f aca="false">IF(I75="","",INDEX(Eingabe!$E$9:$E$18,I75))</f>
        <v>85</v>
      </c>
    </row>
    <row r="76" customFormat="false" ht="15" hidden="false" customHeight="false" outlineLevel="0" collapsed="false">
      <c r="A76" s="0" t="str">
        <f aca="false">IF(I76="","",IF(J76=0,"Sparte "&amp;I76&amp;": "&amp;INDEX(Eingabe!$B$9:$B$18,I76)&amp;"  (Sparten-ID "&amp;INDEX(Eingabe!$D$9:$D$18,I76)&amp;", "&amp;K76&amp;" Parzellen)",IF(J76&lt;=K76,"   Parzelle "&amp;J76,IF(J76=K76+1,"   Vorstand",IF(J76=K76+2,"   Gäste",IF(J76=K76+3,"   Technik (Switches, Access Points)",""))))))</f>
        <v>   Parzelle 70</v>
      </c>
      <c r="B76" s="0" t="n">
        <f aca="false">IF(I76="","",IF(AND(J76&gt;=1,J76&lt;=K76+3),IF(J76&lt;=K76,IF(J76&lt;=99,IF((INDEX(Eingabe!$G$9:$G$18,I76))&lt;=9,1000+(INDEX(Eingabe!$G$9:$G$18,I76))*100,3000)+J76,IF((INDEX(Eingabe!$G$9:$G$18,I76)+1)&lt;=9,1000+(INDEX(Eingabe!$G$9:$G$18,I76)+1)*100,3000)+J76-100),IF(J76=K76+1,2000+INDEX(Eingabe!$G$9:$G$18,I76)*10+1,IF(J76=K76+2,2000+INDEX(Eingabe!$G$9:$G$18,I76)*10+2,2000+INDEX(Eingabe!$G$9:$G$18,I76)*10+9))),""))</f>
        <v>1170</v>
      </c>
      <c r="C76" s="0" t="str">
        <f aca="false">IF(I76="","",IF(AND(J76&gt;=1,J76&lt;=K76+3),"10."&amp;INDEX(Eingabe!$D$9:$D$18,I76)&amp;"."&amp;IF(J76&lt;=K76,J76,IF(J76=K76+1,200,IF(J76=K76+2,201,250)))&amp;".0/24",""))</f>
        <v>10.1.70.0/24</v>
      </c>
      <c r="D76" s="0" t="str">
        <f aca="false">IF(I76="","",IF(AND(J76&gt;=1,J76&lt;=K76+3),"255.255.255.0",""))</f>
        <v>255.255.255.0</v>
      </c>
      <c r="E76" s="0" t="str">
        <f aca="false">IF(I76="","",IF(AND(J76&gt;=1,J76&lt;=K76+3),"10."&amp;INDEX(Eingabe!$D$9:$D$18,I76)&amp;"."&amp;IF(J76&lt;=K76,J76,IF(J76=K76+1,200,IF(J76=K76+2,201,250)))&amp;".1",""))</f>
        <v>10.1.70.1</v>
      </c>
      <c r="F76" s="0" t="str">
        <f aca="false">IF(I76="","",IF(AND(J76&gt;=1,J76&lt;=K76+3),"10."&amp;INDEX(Eingabe!$D$9:$D$18,I76)&amp;"."&amp;IF(J76&lt;=K76,J76,IF(J76=K76+1,200,IF(J76=K76+2,201,250)))&amp;".10 – 10."&amp;INDEX(Eingabe!$D$9:$D$18,I76)&amp;"."&amp;IF(J76&lt;=K76,J76,IF(J76=K76+1,200,IF(J76=K76+2,201,250)))&amp;".250",""))</f>
        <v>10.1.70.10 – 10.1.70.250</v>
      </c>
      <c r="G76" s="0" t="str">
        <f aca="false">IF(I76="","",IF(AND(J76&gt;=1,J76&lt;=K76),Eingabe!$B$6&amp;"-"&amp;INDEX(Eingabe!$C$9:$C$18,I76)&amp;"-Pächter  ·  Passwort Parzelle "&amp;J76,IF(J76=K76+1,Eingabe!$B$6&amp;"-"&amp;INDEX(Eingabe!$C$9:$C$18,I76)&amp;"-Vorstand  ·  eigenes WLAN",IF(J76=K76+2,Eingabe!$B$6&amp;"-"&amp;INDEX(Eingabe!$C$9:$C$18,I76)&amp;"-Gäste  ·  Voucher",IF(J76=K76+3,"Kabel  ·  Access Point y = .(50+y), Mast-Switch x = .(10+x)","")))))</f>
        <v>SparteNet.de-BW-Pächter  ·  Passwort Parzelle 70</v>
      </c>
      <c r="I76" s="7" t="n">
        <f aca="false">IF(71&lt;=(Eingabe!$P$18+Eingabe!$Q$18-1),MATCH(71,Eingabe!$P$9:$P$18,1),"")</f>
        <v>1</v>
      </c>
      <c r="J76" s="7" t="n">
        <f aca="false">IF(I76="","",71-INDEX(Eingabe!$P$9:$P$18,I76))</f>
        <v>70</v>
      </c>
      <c r="K76" s="7" t="n">
        <f aca="false">IF(I76="","",INDEX(Eingabe!$E$9:$E$18,I76))</f>
        <v>85</v>
      </c>
    </row>
    <row r="77" customFormat="false" ht="15" hidden="false" customHeight="false" outlineLevel="0" collapsed="false">
      <c r="A77" s="0" t="str">
        <f aca="false">IF(I77="","",IF(J77=0,"Sparte "&amp;I77&amp;": "&amp;INDEX(Eingabe!$B$9:$B$18,I77)&amp;"  (Sparten-ID "&amp;INDEX(Eingabe!$D$9:$D$18,I77)&amp;", "&amp;K77&amp;" Parzellen)",IF(J77&lt;=K77,"   Parzelle "&amp;J77,IF(J77=K77+1,"   Vorstand",IF(J77=K77+2,"   Gäste",IF(J77=K77+3,"   Technik (Switches, Access Points)",""))))))</f>
        <v>   Parzelle 71</v>
      </c>
      <c r="B77" s="0" t="n">
        <f aca="false">IF(I77="","",IF(AND(J77&gt;=1,J77&lt;=K77+3),IF(J77&lt;=K77,IF(J77&lt;=99,IF((INDEX(Eingabe!$G$9:$G$18,I77))&lt;=9,1000+(INDEX(Eingabe!$G$9:$G$18,I77))*100,3000)+J77,IF((INDEX(Eingabe!$G$9:$G$18,I77)+1)&lt;=9,1000+(INDEX(Eingabe!$G$9:$G$18,I77)+1)*100,3000)+J77-100),IF(J77=K77+1,2000+INDEX(Eingabe!$G$9:$G$18,I77)*10+1,IF(J77=K77+2,2000+INDEX(Eingabe!$G$9:$G$18,I77)*10+2,2000+INDEX(Eingabe!$G$9:$G$18,I77)*10+9))),""))</f>
        <v>1171</v>
      </c>
      <c r="C77" s="0" t="str">
        <f aca="false">IF(I77="","",IF(AND(J77&gt;=1,J77&lt;=K77+3),"10."&amp;INDEX(Eingabe!$D$9:$D$18,I77)&amp;"."&amp;IF(J77&lt;=K77,J77,IF(J77=K77+1,200,IF(J77=K77+2,201,250)))&amp;".0/24",""))</f>
        <v>10.1.71.0/24</v>
      </c>
      <c r="D77" s="0" t="str">
        <f aca="false">IF(I77="","",IF(AND(J77&gt;=1,J77&lt;=K77+3),"255.255.255.0",""))</f>
        <v>255.255.255.0</v>
      </c>
      <c r="E77" s="0" t="str">
        <f aca="false">IF(I77="","",IF(AND(J77&gt;=1,J77&lt;=K77+3),"10."&amp;INDEX(Eingabe!$D$9:$D$18,I77)&amp;"."&amp;IF(J77&lt;=K77,J77,IF(J77=K77+1,200,IF(J77=K77+2,201,250)))&amp;".1",""))</f>
        <v>10.1.71.1</v>
      </c>
      <c r="F77" s="0" t="str">
        <f aca="false">IF(I77="","",IF(AND(J77&gt;=1,J77&lt;=K77+3),"10."&amp;INDEX(Eingabe!$D$9:$D$18,I77)&amp;"."&amp;IF(J77&lt;=K77,J77,IF(J77=K77+1,200,IF(J77=K77+2,201,250)))&amp;".10 – 10."&amp;INDEX(Eingabe!$D$9:$D$18,I77)&amp;"."&amp;IF(J77&lt;=K77,J77,IF(J77=K77+1,200,IF(J77=K77+2,201,250)))&amp;".250",""))</f>
        <v>10.1.71.10 – 10.1.71.250</v>
      </c>
      <c r="G77" s="0" t="str">
        <f aca="false">IF(I77="","",IF(AND(J77&gt;=1,J77&lt;=K77),Eingabe!$B$6&amp;"-"&amp;INDEX(Eingabe!$C$9:$C$18,I77)&amp;"-Pächter  ·  Passwort Parzelle "&amp;J77,IF(J77=K77+1,Eingabe!$B$6&amp;"-"&amp;INDEX(Eingabe!$C$9:$C$18,I77)&amp;"-Vorstand  ·  eigenes WLAN",IF(J77=K77+2,Eingabe!$B$6&amp;"-"&amp;INDEX(Eingabe!$C$9:$C$18,I77)&amp;"-Gäste  ·  Voucher",IF(J77=K77+3,"Kabel  ·  Access Point y = .(50+y), Mast-Switch x = .(10+x)","")))))</f>
        <v>SparteNet.de-BW-Pächter  ·  Passwort Parzelle 71</v>
      </c>
      <c r="I77" s="7" t="n">
        <f aca="false">IF(72&lt;=(Eingabe!$P$18+Eingabe!$Q$18-1),MATCH(72,Eingabe!$P$9:$P$18,1),"")</f>
        <v>1</v>
      </c>
      <c r="J77" s="7" t="n">
        <f aca="false">IF(I77="","",72-INDEX(Eingabe!$P$9:$P$18,I77))</f>
        <v>71</v>
      </c>
      <c r="K77" s="7" t="n">
        <f aca="false">IF(I77="","",INDEX(Eingabe!$E$9:$E$18,I77))</f>
        <v>85</v>
      </c>
    </row>
    <row r="78" customFormat="false" ht="15" hidden="false" customHeight="false" outlineLevel="0" collapsed="false">
      <c r="A78" s="0" t="str">
        <f aca="false">IF(I78="","",IF(J78=0,"Sparte "&amp;I78&amp;": "&amp;INDEX(Eingabe!$B$9:$B$18,I78)&amp;"  (Sparten-ID "&amp;INDEX(Eingabe!$D$9:$D$18,I78)&amp;", "&amp;K78&amp;" Parzellen)",IF(J78&lt;=K78,"   Parzelle "&amp;J78,IF(J78=K78+1,"   Vorstand",IF(J78=K78+2,"   Gäste",IF(J78=K78+3,"   Technik (Switches, Access Points)",""))))))</f>
        <v>   Parzelle 72</v>
      </c>
      <c r="B78" s="0" t="n">
        <f aca="false">IF(I78="","",IF(AND(J78&gt;=1,J78&lt;=K78+3),IF(J78&lt;=K78,IF(J78&lt;=99,IF((INDEX(Eingabe!$G$9:$G$18,I78))&lt;=9,1000+(INDEX(Eingabe!$G$9:$G$18,I78))*100,3000)+J78,IF((INDEX(Eingabe!$G$9:$G$18,I78)+1)&lt;=9,1000+(INDEX(Eingabe!$G$9:$G$18,I78)+1)*100,3000)+J78-100),IF(J78=K78+1,2000+INDEX(Eingabe!$G$9:$G$18,I78)*10+1,IF(J78=K78+2,2000+INDEX(Eingabe!$G$9:$G$18,I78)*10+2,2000+INDEX(Eingabe!$G$9:$G$18,I78)*10+9))),""))</f>
        <v>1172</v>
      </c>
      <c r="C78" s="0" t="str">
        <f aca="false">IF(I78="","",IF(AND(J78&gt;=1,J78&lt;=K78+3),"10."&amp;INDEX(Eingabe!$D$9:$D$18,I78)&amp;"."&amp;IF(J78&lt;=K78,J78,IF(J78=K78+1,200,IF(J78=K78+2,201,250)))&amp;".0/24",""))</f>
        <v>10.1.72.0/24</v>
      </c>
      <c r="D78" s="0" t="str">
        <f aca="false">IF(I78="","",IF(AND(J78&gt;=1,J78&lt;=K78+3),"255.255.255.0",""))</f>
        <v>255.255.255.0</v>
      </c>
      <c r="E78" s="0" t="str">
        <f aca="false">IF(I78="","",IF(AND(J78&gt;=1,J78&lt;=K78+3),"10."&amp;INDEX(Eingabe!$D$9:$D$18,I78)&amp;"."&amp;IF(J78&lt;=K78,J78,IF(J78=K78+1,200,IF(J78=K78+2,201,250)))&amp;".1",""))</f>
        <v>10.1.72.1</v>
      </c>
      <c r="F78" s="0" t="str">
        <f aca="false">IF(I78="","",IF(AND(J78&gt;=1,J78&lt;=K78+3),"10."&amp;INDEX(Eingabe!$D$9:$D$18,I78)&amp;"."&amp;IF(J78&lt;=K78,J78,IF(J78=K78+1,200,IF(J78=K78+2,201,250)))&amp;".10 – 10."&amp;INDEX(Eingabe!$D$9:$D$18,I78)&amp;"."&amp;IF(J78&lt;=K78,J78,IF(J78=K78+1,200,IF(J78=K78+2,201,250)))&amp;".250",""))</f>
        <v>10.1.72.10 – 10.1.72.250</v>
      </c>
      <c r="G78" s="0" t="str">
        <f aca="false">IF(I78="","",IF(AND(J78&gt;=1,J78&lt;=K78),Eingabe!$B$6&amp;"-"&amp;INDEX(Eingabe!$C$9:$C$18,I78)&amp;"-Pächter  ·  Passwort Parzelle "&amp;J78,IF(J78=K78+1,Eingabe!$B$6&amp;"-"&amp;INDEX(Eingabe!$C$9:$C$18,I78)&amp;"-Vorstand  ·  eigenes WLAN",IF(J78=K78+2,Eingabe!$B$6&amp;"-"&amp;INDEX(Eingabe!$C$9:$C$18,I78)&amp;"-Gäste  ·  Voucher",IF(J78=K78+3,"Kabel  ·  Access Point y = .(50+y), Mast-Switch x = .(10+x)","")))))</f>
        <v>SparteNet.de-BW-Pächter  ·  Passwort Parzelle 72</v>
      </c>
      <c r="I78" s="7" t="n">
        <f aca="false">IF(73&lt;=(Eingabe!$P$18+Eingabe!$Q$18-1),MATCH(73,Eingabe!$P$9:$P$18,1),"")</f>
        <v>1</v>
      </c>
      <c r="J78" s="7" t="n">
        <f aca="false">IF(I78="","",73-INDEX(Eingabe!$P$9:$P$18,I78))</f>
        <v>72</v>
      </c>
      <c r="K78" s="7" t="n">
        <f aca="false">IF(I78="","",INDEX(Eingabe!$E$9:$E$18,I78))</f>
        <v>85</v>
      </c>
    </row>
    <row r="79" customFormat="false" ht="15" hidden="false" customHeight="false" outlineLevel="0" collapsed="false">
      <c r="A79" s="0" t="str">
        <f aca="false">IF(I79="","",IF(J79=0,"Sparte "&amp;I79&amp;": "&amp;INDEX(Eingabe!$B$9:$B$18,I79)&amp;"  (Sparten-ID "&amp;INDEX(Eingabe!$D$9:$D$18,I79)&amp;", "&amp;K79&amp;" Parzellen)",IF(J79&lt;=K79,"   Parzelle "&amp;J79,IF(J79=K79+1,"   Vorstand",IF(J79=K79+2,"   Gäste",IF(J79=K79+3,"   Technik (Switches, Access Points)",""))))))</f>
        <v>   Parzelle 73</v>
      </c>
      <c r="B79" s="0" t="n">
        <f aca="false">IF(I79="","",IF(AND(J79&gt;=1,J79&lt;=K79+3),IF(J79&lt;=K79,IF(J79&lt;=99,IF((INDEX(Eingabe!$G$9:$G$18,I79))&lt;=9,1000+(INDEX(Eingabe!$G$9:$G$18,I79))*100,3000)+J79,IF((INDEX(Eingabe!$G$9:$G$18,I79)+1)&lt;=9,1000+(INDEX(Eingabe!$G$9:$G$18,I79)+1)*100,3000)+J79-100),IF(J79=K79+1,2000+INDEX(Eingabe!$G$9:$G$18,I79)*10+1,IF(J79=K79+2,2000+INDEX(Eingabe!$G$9:$G$18,I79)*10+2,2000+INDEX(Eingabe!$G$9:$G$18,I79)*10+9))),""))</f>
        <v>1173</v>
      </c>
      <c r="C79" s="0" t="str">
        <f aca="false">IF(I79="","",IF(AND(J79&gt;=1,J79&lt;=K79+3),"10."&amp;INDEX(Eingabe!$D$9:$D$18,I79)&amp;"."&amp;IF(J79&lt;=K79,J79,IF(J79=K79+1,200,IF(J79=K79+2,201,250)))&amp;".0/24",""))</f>
        <v>10.1.73.0/24</v>
      </c>
      <c r="D79" s="0" t="str">
        <f aca="false">IF(I79="","",IF(AND(J79&gt;=1,J79&lt;=K79+3),"255.255.255.0",""))</f>
        <v>255.255.255.0</v>
      </c>
      <c r="E79" s="0" t="str">
        <f aca="false">IF(I79="","",IF(AND(J79&gt;=1,J79&lt;=K79+3),"10."&amp;INDEX(Eingabe!$D$9:$D$18,I79)&amp;"."&amp;IF(J79&lt;=K79,J79,IF(J79=K79+1,200,IF(J79=K79+2,201,250)))&amp;".1",""))</f>
        <v>10.1.73.1</v>
      </c>
      <c r="F79" s="0" t="str">
        <f aca="false">IF(I79="","",IF(AND(J79&gt;=1,J79&lt;=K79+3),"10."&amp;INDEX(Eingabe!$D$9:$D$18,I79)&amp;"."&amp;IF(J79&lt;=K79,J79,IF(J79=K79+1,200,IF(J79=K79+2,201,250)))&amp;".10 – 10."&amp;INDEX(Eingabe!$D$9:$D$18,I79)&amp;"."&amp;IF(J79&lt;=K79,J79,IF(J79=K79+1,200,IF(J79=K79+2,201,250)))&amp;".250",""))</f>
        <v>10.1.73.10 – 10.1.73.250</v>
      </c>
      <c r="G79" s="0" t="str">
        <f aca="false">IF(I79="","",IF(AND(J79&gt;=1,J79&lt;=K79),Eingabe!$B$6&amp;"-"&amp;INDEX(Eingabe!$C$9:$C$18,I79)&amp;"-Pächter  ·  Passwort Parzelle "&amp;J79,IF(J79=K79+1,Eingabe!$B$6&amp;"-"&amp;INDEX(Eingabe!$C$9:$C$18,I79)&amp;"-Vorstand  ·  eigenes WLAN",IF(J79=K79+2,Eingabe!$B$6&amp;"-"&amp;INDEX(Eingabe!$C$9:$C$18,I79)&amp;"-Gäste  ·  Voucher",IF(J79=K79+3,"Kabel  ·  Access Point y = .(50+y), Mast-Switch x = .(10+x)","")))))</f>
        <v>SparteNet.de-BW-Pächter  ·  Passwort Parzelle 73</v>
      </c>
      <c r="I79" s="7" t="n">
        <f aca="false">IF(74&lt;=(Eingabe!$P$18+Eingabe!$Q$18-1),MATCH(74,Eingabe!$P$9:$P$18,1),"")</f>
        <v>1</v>
      </c>
      <c r="J79" s="7" t="n">
        <f aca="false">IF(I79="","",74-INDEX(Eingabe!$P$9:$P$18,I79))</f>
        <v>73</v>
      </c>
      <c r="K79" s="7" t="n">
        <f aca="false">IF(I79="","",INDEX(Eingabe!$E$9:$E$18,I79))</f>
        <v>85</v>
      </c>
    </row>
    <row r="80" customFormat="false" ht="15" hidden="false" customHeight="false" outlineLevel="0" collapsed="false">
      <c r="A80" s="0" t="str">
        <f aca="false">IF(I80="","",IF(J80=0,"Sparte "&amp;I80&amp;": "&amp;INDEX(Eingabe!$B$9:$B$18,I80)&amp;"  (Sparten-ID "&amp;INDEX(Eingabe!$D$9:$D$18,I80)&amp;", "&amp;K80&amp;" Parzellen)",IF(J80&lt;=K80,"   Parzelle "&amp;J80,IF(J80=K80+1,"   Vorstand",IF(J80=K80+2,"   Gäste",IF(J80=K80+3,"   Technik (Switches, Access Points)",""))))))</f>
        <v>   Parzelle 74</v>
      </c>
      <c r="B80" s="0" t="n">
        <f aca="false">IF(I80="","",IF(AND(J80&gt;=1,J80&lt;=K80+3),IF(J80&lt;=K80,IF(J80&lt;=99,IF((INDEX(Eingabe!$G$9:$G$18,I80))&lt;=9,1000+(INDEX(Eingabe!$G$9:$G$18,I80))*100,3000)+J80,IF((INDEX(Eingabe!$G$9:$G$18,I80)+1)&lt;=9,1000+(INDEX(Eingabe!$G$9:$G$18,I80)+1)*100,3000)+J80-100),IF(J80=K80+1,2000+INDEX(Eingabe!$G$9:$G$18,I80)*10+1,IF(J80=K80+2,2000+INDEX(Eingabe!$G$9:$G$18,I80)*10+2,2000+INDEX(Eingabe!$G$9:$G$18,I80)*10+9))),""))</f>
        <v>1174</v>
      </c>
      <c r="C80" s="0" t="str">
        <f aca="false">IF(I80="","",IF(AND(J80&gt;=1,J80&lt;=K80+3),"10."&amp;INDEX(Eingabe!$D$9:$D$18,I80)&amp;"."&amp;IF(J80&lt;=K80,J80,IF(J80=K80+1,200,IF(J80=K80+2,201,250)))&amp;".0/24",""))</f>
        <v>10.1.74.0/24</v>
      </c>
      <c r="D80" s="0" t="str">
        <f aca="false">IF(I80="","",IF(AND(J80&gt;=1,J80&lt;=K80+3),"255.255.255.0",""))</f>
        <v>255.255.255.0</v>
      </c>
      <c r="E80" s="0" t="str">
        <f aca="false">IF(I80="","",IF(AND(J80&gt;=1,J80&lt;=K80+3),"10."&amp;INDEX(Eingabe!$D$9:$D$18,I80)&amp;"."&amp;IF(J80&lt;=K80,J80,IF(J80=K80+1,200,IF(J80=K80+2,201,250)))&amp;".1",""))</f>
        <v>10.1.74.1</v>
      </c>
      <c r="F80" s="0" t="str">
        <f aca="false">IF(I80="","",IF(AND(J80&gt;=1,J80&lt;=K80+3),"10."&amp;INDEX(Eingabe!$D$9:$D$18,I80)&amp;"."&amp;IF(J80&lt;=K80,J80,IF(J80=K80+1,200,IF(J80=K80+2,201,250)))&amp;".10 – 10."&amp;INDEX(Eingabe!$D$9:$D$18,I80)&amp;"."&amp;IF(J80&lt;=K80,J80,IF(J80=K80+1,200,IF(J80=K80+2,201,250)))&amp;".250",""))</f>
        <v>10.1.74.10 – 10.1.74.250</v>
      </c>
      <c r="G80" s="0" t="str">
        <f aca="false">IF(I80="","",IF(AND(J80&gt;=1,J80&lt;=K80),Eingabe!$B$6&amp;"-"&amp;INDEX(Eingabe!$C$9:$C$18,I80)&amp;"-Pächter  ·  Passwort Parzelle "&amp;J80,IF(J80=K80+1,Eingabe!$B$6&amp;"-"&amp;INDEX(Eingabe!$C$9:$C$18,I80)&amp;"-Vorstand  ·  eigenes WLAN",IF(J80=K80+2,Eingabe!$B$6&amp;"-"&amp;INDEX(Eingabe!$C$9:$C$18,I80)&amp;"-Gäste  ·  Voucher",IF(J80=K80+3,"Kabel  ·  Access Point y = .(50+y), Mast-Switch x = .(10+x)","")))))</f>
        <v>SparteNet.de-BW-Pächter  ·  Passwort Parzelle 74</v>
      </c>
      <c r="I80" s="7" t="n">
        <f aca="false">IF(75&lt;=(Eingabe!$P$18+Eingabe!$Q$18-1),MATCH(75,Eingabe!$P$9:$P$18,1),"")</f>
        <v>1</v>
      </c>
      <c r="J80" s="7" t="n">
        <f aca="false">IF(I80="","",75-INDEX(Eingabe!$P$9:$P$18,I80))</f>
        <v>74</v>
      </c>
      <c r="K80" s="7" t="n">
        <f aca="false">IF(I80="","",INDEX(Eingabe!$E$9:$E$18,I80))</f>
        <v>85</v>
      </c>
    </row>
    <row r="81" customFormat="false" ht="15" hidden="false" customHeight="false" outlineLevel="0" collapsed="false">
      <c r="A81" s="0" t="str">
        <f aca="false">IF(I81="","",IF(J81=0,"Sparte "&amp;I81&amp;": "&amp;INDEX(Eingabe!$B$9:$B$18,I81)&amp;"  (Sparten-ID "&amp;INDEX(Eingabe!$D$9:$D$18,I81)&amp;", "&amp;K81&amp;" Parzellen)",IF(J81&lt;=K81,"   Parzelle "&amp;J81,IF(J81=K81+1,"   Vorstand",IF(J81=K81+2,"   Gäste",IF(J81=K81+3,"   Technik (Switches, Access Points)",""))))))</f>
        <v>   Parzelle 75</v>
      </c>
      <c r="B81" s="0" t="n">
        <f aca="false">IF(I81="","",IF(AND(J81&gt;=1,J81&lt;=K81+3),IF(J81&lt;=K81,IF(J81&lt;=99,IF((INDEX(Eingabe!$G$9:$G$18,I81))&lt;=9,1000+(INDEX(Eingabe!$G$9:$G$18,I81))*100,3000)+J81,IF((INDEX(Eingabe!$G$9:$G$18,I81)+1)&lt;=9,1000+(INDEX(Eingabe!$G$9:$G$18,I81)+1)*100,3000)+J81-100),IF(J81=K81+1,2000+INDEX(Eingabe!$G$9:$G$18,I81)*10+1,IF(J81=K81+2,2000+INDEX(Eingabe!$G$9:$G$18,I81)*10+2,2000+INDEX(Eingabe!$G$9:$G$18,I81)*10+9))),""))</f>
        <v>1175</v>
      </c>
      <c r="C81" s="0" t="str">
        <f aca="false">IF(I81="","",IF(AND(J81&gt;=1,J81&lt;=K81+3),"10."&amp;INDEX(Eingabe!$D$9:$D$18,I81)&amp;"."&amp;IF(J81&lt;=K81,J81,IF(J81=K81+1,200,IF(J81=K81+2,201,250)))&amp;".0/24",""))</f>
        <v>10.1.75.0/24</v>
      </c>
      <c r="D81" s="0" t="str">
        <f aca="false">IF(I81="","",IF(AND(J81&gt;=1,J81&lt;=K81+3),"255.255.255.0",""))</f>
        <v>255.255.255.0</v>
      </c>
      <c r="E81" s="0" t="str">
        <f aca="false">IF(I81="","",IF(AND(J81&gt;=1,J81&lt;=K81+3),"10."&amp;INDEX(Eingabe!$D$9:$D$18,I81)&amp;"."&amp;IF(J81&lt;=K81,J81,IF(J81=K81+1,200,IF(J81=K81+2,201,250)))&amp;".1",""))</f>
        <v>10.1.75.1</v>
      </c>
      <c r="F81" s="0" t="str">
        <f aca="false">IF(I81="","",IF(AND(J81&gt;=1,J81&lt;=K81+3),"10."&amp;INDEX(Eingabe!$D$9:$D$18,I81)&amp;"."&amp;IF(J81&lt;=K81,J81,IF(J81=K81+1,200,IF(J81=K81+2,201,250)))&amp;".10 – 10."&amp;INDEX(Eingabe!$D$9:$D$18,I81)&amp;"."&amp;IF(J81&lt;=K81,J81,IF(J81=K81+1,200,IF(J81=K81+2,201,250)))&amp;".250",""))</f>
        <v>10.1.75.10 – 10.1.75.250</v>
      </c>
      <c r="G81" s="0" t="str">
        <f aca="false">IF(I81="","",IF(AND(J81&gt;=1,J81&lt;=K81),Eingabe!$B$6&amp;"-"&amp;INDEX(Eingabe!$C$9:$C$18,I81)&amp;"-Pächter  ·  Passwort Parzelle "&amp;J81,IF(J81=K81+1,Eingabe!$B$6&amp;"-"&amp;INDEX(Eingabe!$C$9:$C$18,I81)&amp;"-Vorstand  ·  eigenes WLAN",IF(J81=K81+2,Eingabe!$B$6&amp;"-"&amp;INDEX(Eingabe!$C$9:$C$18,I81)&amp;"-Gäste  ·  Voucher",IF(J81=K81+3,"Kabel  ·  Access Point y = .(50+y), Mast-Switch x = .(10+x)","")))))</f>
        <v>SparteNet.de-BW-Pächter  ·  Passwort Parzelle 75</v>
      </c>
      <c r="I81" s="7" t="n">
        <f aca="false">IF(76&lt;=(Eingabe!$P$18+Eingabe!$Q$18-1),MATCH(76,Eingabe!$P$9:$P$18,1),"")</f>
        <v>1</v>
      </c>
      <c r="J81" s="7" t="n">
        <f aca="false">IF(I81="","",76-INDEX(Eingabe!$P$9:$P$18,I81))</f>
        <v>75</v>
      </c>
      <c r="K81" s="7" t="n">
        <f aca="false">IF(I81="","",INDEX(Eingabe!$E$9:$E$18,I81))</f>
        <v>85</v>
      </c>
    </row>
    <row r="82" customFormat="false" ht="15" hidden="false" customHeight="false" outlineLevel="0" collapsed="false">
      <c r="A82" s="0" t="str">
        <f aca="false">IF(I82="","",IF(J82=0,"Sparte "&amp;I82&amp;": "&amp;INDEX(Eingabe!$B$9:$B$18,I82)&amp;"  (Sparten-ID "&amp;INDEX(Eingabe!$D$9:$D$18,I82)&amp;", "&amp;K82&amp;" Parzellen)",IF(J82&lt;=K82,"   Parzelle "&amp;J82,IF(J82=K82+1,"   Vorstand",IF(J82=K82+2,"   Gäste",IF(J82=K82+3,"   Technik (Switches, Access Points)",""))))))</f>
        <v>   Parzelle 76</v>
      </c>
      <c r="B82" s="0" t="n">
        <f aca="false">IF(I82="","",IF(AND(J82&gt;=1,J82&lt;=K82+3),IF(J82&lt;=K82,IF(J82&lt;=99,IF((INDEX(Eingabe!$G$9:$G$18,I82))&lt;=9,1000+(INDEX(Eingabe!$G$9:$G$18,I82))*100,3000)+J82,IF((INDEX(Eingabe!$G$9:$G$18,I82)+1)&lt;=9,1000+(INDEX(Eingabe!$G$9:$G$18,I82)+1)*100,3000)+J82-100),IF(J82=K82+1,2000+INDEX(Eingabe!$G$9:$G$18,I82)*10+1,IF(J82=K82+2,2000+INDEX(Eingabe!$G$9:$G$18,I82)*10+2,2000+INDEX(Eingabe!$G$9:$G$18,I82)*10+9))),""))</f>
        <v>1176</v>
      </c>
      <c r="C82" s="0" t="str">
        <f aca="false">IF(I82="","",IF(AND(J82&gt;=1,J82&lt;=K82+3),"10."&amp;INDEX(Eingabe!$D$9:$D$18,I82)&amp;"."&amp;IF(J82&lt;=K82,J82,IF(J82=K82+1,200,IF(J82=K82+2,201,250)))&amp;".0/24",""))</f>
        <v>10.1.76.0/24</v>
      </c>
      <c r="D82" s="0" t="str">
        <f aca="false">IF(I82="","",IF(AND(J82&gt;=1,J82&lt;=K82+3),"255.255.255.0",""))</f>
        <v>255.255.255.0</v>
      </c>
      <c r="E82" s="0" t="str">
        <f aca="false">IF(I82="","",IF(AND(J82&gt;=1,J82&lt;=K82+3),"10."&amp;INDEX(Eingabe!$D$9:$D$18,I82)&amp;"."&amp;IF(J82&lt;=K82,J82,IF(J82=K82+1,200,IF(J82=K82+2,201,250)))&amp;".1",""))</f>
        <v>10.1.76.1</v>
      </c>
      <c r="F82" s="0" t="str">
        <f aca="false">IF(I82="","",IF(AND(J82&gt;=1,J82&lt;=K82+3),"10."&amp;INDEX(Eingabe!$D$9:$D$18,I82)&amp;"."&amp;IF(J82&lt;=K82,J82,IF(J82=K82+1,200,IF(J82=K82+2,201,250)))&amp;".10 – 10."&amp;INDEX(Eingabe!$D$9:$D$18,I82)&amp;"."&amp;IF(J82&lt;=K82,J82,IF(J82=K82+1,200,IF(J82=K82+2,201,250)))&amp;".250",""))</f>
        <v>10.1.76.10 – 10.1.76.250</v>
      </c>
      <c r="G82" s="0" t="str">
        <f aca="false">IF(I82="","",IF(AND(J82&gt;=1,J82&lt;=K82),Eingabe!$B$6&amp;"-"&amp;INDEX(Eingabe!$C$9:$C$18,I82)&amp;"-Pächter  ·  Passwort Parzelle "&amp;J82,IF(J82=K82+1,Eingabe!$B$6&amp;"-"&amp;INDEX(Eingabe!$C$9:$C$18,I82)&amp;"-Vorstand  ·  eigenes WLAN",IF(J82=K82+2,Eingabe!$B$6&amp;"-"&amp;INDEX(Eingabe!$C$9:$C$18,I82)&amp;"-Gäste  ·  Voucher",IF(J82=K82+3,"Kabel  ·  Access Point y = .(50+y), Mast-Switch x = .(10+x)","")))))</f>
        <v>SparteNet.de-BW-Pächter  ·  Passwort Parzelle 76</v>
      </c>
      <c r="I82" s="7" t="n">
        <f aca="false">IF(77&lt;=(Eingabe!$P$18+Eingabe!$Q$18-1),MATCH(77,Eingabe!$P$9:$P$18,1),"")</f>
        <v>1</v>
      </c>
      <c r="J82" s="7" t="n">
        <f aca="false">IF(I82="","",77-INDEX(Eingabe!$P$9:$P$18,I82))</f>
        <v>76</v>
      </c>
      <c r="K82" s="7" t="n">
        <f aca="false">IF(I82="","",INDEX(Eingabe!$E$9:$E$18,I82))</f>
        <v>85</v>
      </c>
    </row>
    <row r="83" customFormat="false" ht="15" hidden="false" customHeight="false" outlineLevel="0" collapsed="false">
      <c r="A83" s="0" t="str">
        <f aca="false">IF(I83="","",IF(J83=0,"Sparte "&amp;I83&amp;": "&amp;INDEX(Eingabe!$B$9:$B$18,I83)&amp;"  (Sparten-ID "&amp;INDEX(Eingabe!$D$9:$D$18,I83)&amp;", "&amp;K83&amp;" Parzellen)",IF(J83&lt;=K83,"   Parzelle "&amp;J83,IF(J83=K83+1,"   Vorstand",IF(J83=K83+2,"   Gäste",IF(J83=K83+3,"   Technik (Switches, Access Points)",""))))))</f>
        <v>   Parzelle 77</v>
      </c>
      <c r="B83" s="0" t="n">
        <f aca="false">IF(I83="","",IF(AND(J83&gt;=1,J83&lt;=K83+3),IF(J83&lt;=K83,IF(J83&lt;=99,IF((INDEX(Eingabe!$G$9:$G$18,I83))&lt;=9,1000+(INDEX(Eingabe!$G$9:$G$18,I83))*100,3000)+J83,IF((INDEX(Eingabe!$G$9:$G$18,I83)+1)&lt;=9,1000+(INDEX(Eingabe!$G$9:$G$18,I83)+1)*100,3000)+J83-100),IF(J83=K83+1,2000+INDEX(Eingabe!$G$9:$G$18,I83)*10+1,IF(J83=K83+2,2000+INDEX(Eingabe!$G$9:$G$18,I83)*10+2,2000+INDEX(Eingabe!$G$9:$G$18,I83)*10+9))),""))</f>
        <v>1177</v>
      </c>
      <c r="C83" s="0" t="str">
        <f aca="false">IF(I83="","",IF(AND(J83&gt;=1,J83&lt;=K83+3),"10."&amp;INDEX(Eingabe!$D$9:$D$18,I83)&amp;"."&amp;IF(J83&lt;=K83,J83,IF(J83=K83+1,200,IF(J83=K83+2,201,250)))&amp;".0/24",""))</f>
        <v>10.1.77.0/24</v>
      </c>
      <c r="D83" s="0" t="str">
        <f aca="false">IF(I83="","",IF(AND(J83&gt;=1,J83&lt;=K83+3),"255.255.255.0",""))</f>
        <v>255.255.255.0</v>
      </c>
      <c r="E83" s="0" t="str">
        <f aca="false">IF(I83="","",IF(AND(J83&gt;=1,J83&lt;=K83+3),"10."&amp;INDEX(Eingabe!$D$9:$D$18,I83)&amp;"."&amp;IF(J83&lt;=K83,J83,IF(J83=K83+1,200,IF(J83=K83+2,201,250)))&amp;".1",""))</f>
        <v>10.1.77.1</v>
      </c>
      <c r="F83" s="0" t="str">
        <f aca="false">IF(I83="","",IF(AND(J83&gt;=1,J83&lt;=K83+3),"10."&amp;INDEX(Eingabe!$D$9:$D$18,I83)&amp;"."&amp;IF(J83&lt;=K83,J83,IF(J83=K83+1,200,IF(J83=K83+2,201,250)))&amp;".10 – 10."&amp;INDEX(Eingabe!$D$9:$D$18,I83)&amp;"."&amp;IF(J83&lt;=K83,J83,IF(J83=K83+1,200,IF(J83=K83+2,201,250)))&amp;".250",""))</f>
        <v>10.1.77.10 – 10.1.77.250</v>
      </c>
      <c r="G83" s="0" t="str">
        <f aca="false">IF(I83="","",IF(AND(J83&gt;=1,J83&lt;=K83),Eingabe!$B$6&amp;"-"&amp;INDEX(Eingabe!$C$9:$C$18,I83)&amp;"-Pächter  ·  Passwort Parzelle "&amp;J83,IF(J83=K83+1,Eingabe!$B$6&amp;"-"&amp;INDEX(Eingabe!$C$9:$C$18,I83)&amp;"-Vorstand  ·  eigenes WLAN",IF(J83=K83+2,Eingabe!$B$6&amp;"-"&amp;INDEX(Eingabe!$C$9:$C$18,I83)&amp;"-Gäste  ·  Voucher",IF(J83=K83+3,"Kabel  ·  Access Point y = .(50+y), Mast-Switch x = .(10+x)","")))))</f>
        <v>SparteNet.de-BW-Pächter  ·  Passwort Parzelle 77</v>
      </c>
      <c r="I83" s="7" t="n">
        <f aca="false">IF(78&lt;=(Eingabe!$P$18+Eingabe!$Q$18-1),MATCH(78,Eingabe!$P$9:$P$18,1),"")</f>
        <v>1</v>
      </c>
      <c r="J83" s="7" t="n">
        <f aca="false">IF(I83="","",78-INDEX(Eingabe!$P$9:$P$18,I83))</f>
        <v>77</v>
      </c>
      <c r="K83" s="7" t="n">
        <f aca="false">IF(I83="","",INDEX(Eingabe!$E$9:$E$18,I83))</f>
        <v>85</v>
      </c>
    </row>
    <row r="84" customFormat="false" ht="15" hidden="false" customHeight="false" outlineLevel="0" collapsed="false">
      <c r="A84" s="0" t="str">
        <f aca="false">IF(I84="","",IF(J84=0,"Sparte "&amp;I84&amp;": "&amp;INDEX(Eingabe!$B$9:$B$18,I84)&amp;"  (Sparten-ID "&amp;INDEX(Eingabe!$D$9:$D$18,I84)&amp;", "&amp;K84&amp;" Parzellen)",IF(J84&lt;=K84,"   Parzelle "&amp;J84,IF(J84=K84+1,"   Vorstand",IF(J84=K84+2,"   Gäste",IF(J84=K84+3,"   Technik (Switches, Access Points)",""))))))</f>
        <v>   Parzelle 78</v>
      </c>
      <c r="B84" s="0" t="n">
        <f aca="false">IF(I84="","",IF(AND(J84&gt;=1,J84&lt;=K84+3),IF(J84&lt;=K84,IF(J84&lt;=99,IF((INDEX(Eingabe!$G$9:$G$18,I84))&lt;=9,1000+(INDEX(Eingabe!$G$9:$G$18,I84))*100,3000)+J84,IF((INDEX(Eingabe!$G$9:$G$18,I84)+1)&lt;=9,1000+(INDEX(Eingabe!$G$9:$G$18,I84)+1)*100,3000)+J84-100),IF(J84=K84+1,2000+INDEX(Eingabe!$G$9:$G$18,I84)*10+1,IF(J84=K84+2,2000+INDEX(Eingabe!$G$9:$G$18,I84)*10+2,2000+INDEX(Eingabe!$G$9:$G$18,I84)*10+9))),""))</f>
        <v>1178</v>
      </c>
      <c r="C84" s="0" t="str">
        <f aca="false">IF(I84="","",IF(AND(J84&gt;=1,J84&lt;=K84+3),"10."&amp;INDEX(Eingabe!$D$9:$D$18,I84)&amp;"."&amp;IF(J84&lt;=K84,J84,IF(J84=K84+1,200,IF(J84=K84+2,201,250)))&amp;".0/24",""))</f>
        <v>10.1.78.0/24</v>
      </c>
      <c r="D84" s="0" t="str">
        <f aca="false">IF(I84="","",IF(AND(J84&gt;=1,J84&lt;=K84+3),"255.255.255.0",""))</f>
        <v>255.255.255.0</v>
      </c>
      <c r="E84" s="0" t="str">
        <f aca="false">IF(I84="","",IF(AND(J84&gt;=1,J84&lt;=K84+3),"10."&amp;INDEX(Eingabe!$D$9:$D$18,I84)&amp;"."&amp;IF(J84&lt;=K84,J84,IF(J84=K84+1,200,IF(J84=K84+2,201,250)))&amp;".1",""))</f>
        <v>10.1.78.1</v>
      </c>
      <c r="F84" s="0" t="str">
        <f aca="false">IF(I84="","",IF(AND(J84&gt;=1,J84&lt;=K84+3),"10."&amp;INDEX(Eingabe!$D$9:$D$18,I84)&amp;"."&amp;IF(J84&lt;=K84,J84,IF(J84=K84+1,200,IF(J84=K84+2,201,250)))&amp;".10 – 10."&amp;INDEX(Eingabe!$D$9:$D$18,I84)&amp;"."&amp;IF(J84&lt;=K84,J84,IF(J84=K84+1,200,IF(J84=K84+2,201,250)))&amp;".250",""))</f>
        <v>10.1.78.10 – 10.1.78.250</v>
      </c>
      <c r="G84" s="0" t="str">
        <f aca="false">IF(I84="","",IF(AND(J84&gt;=1,J84&lt;=K84),Eingabe!$B$6&amp;"-"&amp;INDEX(Eingabe!$C$9:$C$18,I84)&amp;"-Pächter  ·  Passwort Parzelle "&amp;J84,IF(J84=K84+1,Eingabe!$B$6&amp;"-"&amp;INDEX(Eingabe!$C$9:$C$18,I84)&amp;"-Vorstand  ·  eigenes WLAN",IF(J84=K84+2,Eingabe!$B$6&amp;"-"&amp;INDEX(Eingabe!$C$9:$C$18,I84)&amp;"-Gäste  ·  Voucher",IF(J84=K84+3,"Kabel  ·  Access Point y = .(50+y), Mast-Switch x = .(10+x)","")))))</f>
        <v>SparteNet.de-BW-Pächter  ·  Passwort Parzelle 78</v>
      </c>
      <c r="I84" s="7" t="n">
        <f aca="false">IF(79&lt;=(Eingabe!$P$18+Eingabe!$Q$18-1),MATCH(79,Eingabe!$P$9:$P$18,1),"")</f>
        <v>1</v>
      </c>
      <c r="J84" s="7" t="n">
        <f aca="false">IF(I84="","",79-INDEX(Eingabe!$P$9:$P$18,I84))</f>
        <v>78</v>
      </c>
      <c r="K84" s="7" t="n">
        <f aca="false">IF(I84="","",INDEX(Eingabe!$E$9:$E$18,I84))</f>
        <v>85</v>
      </c>
    </row>
    <row r="85" customFormat="false" ht="15" hidden="false" customHeight="false" outlineLevel="0" collapsed="false">
      <c r="A85" s="0" t="str">
        <f aca="false">IF(I85="","",IF(J85=0,"Sparte "&amp;I85&amp;": "&amp;INDEX(Eingabe!$B$9:$B$18,I85)&amp;"  (Sparten-ID "&amp;INDEX(Eingabe!$D$9:$D$18,I85)&amp;", "&amp;K85&amp;" Parzellen)",IF(J85&lt;=K85,"   Parzelle "&amp;J85,IF(J85=K85+1,"   Vorstand",IF(J85=K85+2,"   Gäste",IF(J85=K85+3,"   Technik (Switches, Access Points)",""))))))</f>
        <v>   Parzelle 79</v>
      </c>
      <c r="B85" s="0" t="n">
        <f aca="false">IF(I85="","",IF(AND(J85&gt;=1,J85&lt;=K85+3),IF(J85&lt;=K85,IF(J85&lt;=99,IF((INDEX(Eingabe!$G$9:$G$18,I85))&lt;=9,1000+(INDEX(Eingabe!$G$9:$G$18,I85))*100,3000)+J85,IF((INDEX(Eingabe!$G$9:$G$18,I85)+1)&lt;=9,1000+(INDEX(Eingabe!$G$9:$G$18,I85)+1)*100,3000)+J85-100),IF(J85=K85+1,2000+INDEX(Eingabe!$G$9:$G$18,I85)*10+1,IF(J85=K85+2,2000+INDEX(Eingabe!$G$9:$G$18,I85)*10+2,2000+INDEX(Eingabe!$G$9:$G$18,I85)*10+9))),""))</f>
        <v>1179</v>
      </c>
      <c r="C85" s="0" t="str">
        <f aca="false">IF(I85="","",IF(AND(J85&gt;=1,J85&lt;=K85+3),"10."&amp;INDEX(Eingabe!$D$9:$D$18,I85)&amp;"."&amp;IF(J85&lt;=K85,J85,IF(J85=K85+1,200,IF(J85=K85+2,201,250)))&amp;".0/24",""))</f>
        <v>10.1.79.0/24</v>
      </c>
      <c r="D85" s="0" t="str">
        <f aca="false">IF(I85="","",IF(AND(J85&gt;=1,J85&lt;=K85+3),"255.255.255.0",""))</f>
        <v>255.255.255.0</v>
      </c>
      <c r="E85" s="0" t="str">
        <f aca="false">IF(I85="","",IF(AND(J85&gt;=1,J85&lt;=K85+3),"10."&amp;INDEX(Eingabe!$D$9:$D$18,I85)&amp;"."&amp;IF(J85&lt;=K85,J85,IF(J85=K85+1,200,IF(J85=K85+2,201,250)))&amp;".1",""))</f>
        <v>10.1.79.1</v>
      </c>
      <c r="F85" s="0" t="str">
        <f aca="false">IF(I85="","",IF(AND(J85&gt;=1,J85&lt;=K85+3),"10."&amp;INDEX(Eingabe!$D$9:$D$18,I85)&amp;"."&amp;IF(J85&lt;=K85,J85,IF(J85=K85+1,200,IF(J85=K85+2,201,250)))&amp;".10 – 10."&amp;INDEX(Eingabe!$D$9:$D$18,I85)&amp;"."&amp;IF(J85&lt;=K85,J85,IF(J85=K85+1,200,IF(J85=K85+2,201,250)))&amp;".250",""))</f>
        <v>10.1.79.10 – 10.1.79.250</v>
      </c>
      <c r="G85" s="0" t="str">
        <f aca="false">IF(I85="","",IF(AND(J85&gt;=1,J85&lt;=K85),Eingabe!$B$6&amp;"-"&amp;INDEX(Eingabe!$C$9:$C$18,I85)&amp;"-Pächter  ·  Passwort Parzelle "&amp;J85,IF(J85=K85+1,Eingabe!$B$6&amp;"-"&amp;INDEX(Eingabe!$C$9:$C$18,I85)&amp;"-Vorstand  ·  eigenes WLAN",IF(J85=K85+2,Eingabe!$B$6&amp;"-"&amp;INDEX(Eingabe!$C$9:$C$18,I85)&amp;"-Gäste  ·  Voucher",IF(J85=K85+3,"Kabel  ·  Access Point y = .(50+y), Mast-Switch x = .(10+x)","")))))</f>
        <v>SparteNet.de-BW-Pächter  ·  Passwort Parzelle 79</v>
      </c>
      <c r="I85" s="7" t="n">
        <f aca="false">IF(80&lt;=(Eingabe!$P$18+Eingabe!$Q$18-1),MATCH(80,Eingabe!$P$9:$P$18,1),"")</f>
        <v>1</v>
      </c>
      <c r="J85" s="7" t="n">
        <f aca="false">IF(I85="","",80-INDEX(Eingabe!$P$9:$P$18,I85))</f>
        <v>79</v>
      </c>
      <c r="K85" s="7" t="n">
        <f aca="false">IF(I85="","",INDEX(Eingabe!$E$9:$E$18,I85))</f>
        <v>85</v>
      </c>
    </row>
    <row r="86" customFormat="false" ht="15" hidden="false" customHeight="false" outlineLevel="0" collapsed="false">
      <c r="A86" s="0" t="str">
        <f aca="false">IF(I86="","",IF(J86=0,"Sparte "&amp;I86&amp;": "&amp;INDEX(Eingabe!$B$9:$B$18,I86)&amp;"  (Sparten-ID "&amp;INDEX(Eingabe!$D$9:$D$18,I86)&amp;", "&amp;K86&amp;" Parzellen)",IF(J86&lt;=K86,"   Parzelle "&amp;J86,IF(J86=K86+1,"   Vorstand",IF(J86=K86+2,"   Gäste",IF(J86=K86+3,"   Technik (Switches, Access Points)",""))))))</f>
        <v>   Parzelle 80</v>
      </c>
      <c r="B86" s="0" t="n">
        <f aca="false">IF(I86="","",IF(AND(J86&gt;=1,J86&lt;=K86+3),IF(J86&lt;=K86,IF(J86&lt;=99,IF((INDEX(Eingabe!$G$9:$G$18,I86))&lt;=9,1000+(INDEX(Eingabe!$G$9:$G$18,I86))*100,3000)+J86,IF((INDEX(Eingabe!$G$9:$G$18,I86)+1)&lt;=9,1000+(INDEX(Eingabe!$G$9:$G$18,I86)+1)*100,3000)+J86-100),IF(J86=K86+1,2000+INDEX(Eingabe!$G$9:$G$18,I86)*10+1,IF(J86=K86+2,2000+INDEX(Eingabe!$G$9:$G$18,I86)*10+2,2000+INDEX(Eingabe!$G$9:$G$18,I86)*10+9))),""))</f>
        <v>1180</v>
      </c>
      <c r="C86" s="0" t="str">
        <f aca="false">IF(I86="","",IF(AND(J86&gt;=1,J86&lt;=K86+3),"10."&amp;INDEX(Eingabe!$D$9:$D$18,I86)&amp;"."&amp;IF(J86&lt;=K86,J86,IF(J86=K86+1,200,IF(J86=K86+2,201,250)))&amp;".0/24",""))</f>
        <v>10.1.80.0/24</v>
      </c>
      <c r="D86" s="0" t="str">
        <f aca="false">IF(I86="","",IF(AND(J86&gt;=1,J86&lt;=K86+3),"255.255.255.0",""))</f>
        <v>255.255.255.0</v>
      </c>
      <c r="E86" s="0" t="str">
        <f aca="false">IF(I86="","",IF(AND(J86&gt;=1,J86&lt;=K86+3),"10."&amp;INDEX(Eingabe!$D$9:$D$18,I86)&amp;"."&amp;IF(J86&lt;=K86,J86,IF(J86=K86+1,200,IF(J86=K86+2,201,250)))&amp;".1",""))</f>
        <v>10.1.80.1</v>
      </c>
      <c r="F86" s="0" t="str">
        <f aca="false">IF(I86="","",IF(AND(J86&gt;=1,J86&lt;=K86+3),"10."&amp;INDEX(Eingabe!$D$9:$D$18,I86)&amp;"."&amp;IF(J86&lt;=K86,J86,IF(J86=K86+1,200,IF(J86=K86+2,201,250)))&amp;".10 – 10."&amp;INDEX(Eingabe!$D$9:$D$18,I86)&amp;"."&amp;IF(J86&lt;=K86,J86,IF(J86=K86+1,200,IF(J86=K86+2,201,250)))&amp;".250",""))</f>
        <v>10.1.80.10 – 10.1.80.250</v>
      </c>
      <c r="G86" s="0" t="str">
        <f aca="false">IF(I86="","",IF(AND(J86&gt;=1,J86&lt;=K86),Eingabe!$B$6&amp;"-"&amp;INDEX(Eingabe!$C$9:$C$18,I86)&amp;"-Pächter  ·  Passwort Parzelle "&amp;J86,IF(J86=K86+1,Eingabe!$B$6&amp;"-"&amp;INDEX(Eingabe!$C$9:$C$18,I86)&amp;"-Vorstand  ·  eigenes WLAN",IF(J86=K86+2,Eingabe!$B$6&amp;"-"&amp;INDEX(Eingabe!$C$9:$C$18,I86)&amp;"-Gäste  ·  Voucher",IF(J86=K86+3,"Kabel  ·  Access Point y = .(50+y), Mast-Switch x = .(10+x)","")))))</f>
        <v>SparteNet.de-BW-Pächter  ·  Passwort Parzelle 80</v>
      </c>
      <c r="I86" s="7" t="n">
        <f aca="false">IF(81&lt;=(Eingabe!$P$18+Eingabe!$Q$18-1),MATCH(81,Eingabe!$P$9:$P$18,1),"")</f>
        <v>1</v>
      </c>
      <c r="J86" s="7" t="n">
        <f aca="false">IF(I86="","",81-INDEX(Eingabe!$P$9:$P$18,I86))</f>
        <v>80</v>
      </c>
      <c r="K86" s="7" t="n">
        <f aca="false">IF(I86="","",INDEX(Eingabe!$E$9:$E$18,I86))</f>
        <v>85</v>
      </c>
    </row>
    <row r="87" customFormat="false" ht="15" hidden="false" customHeight="false" outlineLevel="0" collapsed="false">
      <c r="A87" s="0" t="str">
        <f aca="false">IF(I87="","",IF(J87=0,"Sparte "&amp;I87&amp;": "&amp;INDEX(Eingabe!$B$9:$B$18,I87)&amp;"  (Sparten-ID "&amp;INDEX(Eingabe!$D$9:$D$18,I87)&amp;", "&amp;K87&amp;" Parzellen)",IF(J87&lt;=K87,"   Parzelle "&amp;J87,IF(J87=K87+1,"   Vorstand",IF(J87=K87+2,"   Gäste",IF(J87=K87+3,"   Technik (Switches, Access Points)",""))))))</f>
        <v>   Parzelle 81</v>
      </c>
      <c r="B87" s="0" t="n">
        <f aca="false">IF(I87="","",IF(AND(J87&gt;=1,J87&lt;=K87+3),IF(J87&lt;=K87,IF(J87&lt;=99,IF((INDEX(Eingabe!$G$9:$G$18,I87))&lt;=9,1000+(INDEX(Eingabe!$G$9:$G$18,I87))*100,3000)+J87,IF((INDEX(Eingabe!$G$9:$G$18,I87)+1)&lt;=9,1000+(INDEX(Eingabe!$G$9:$G$18,I87)+1)*100,3000)+J87-100),IF(J87=K87+1,2000+INDEX(Eingabe!$G$9:$G$18,I87)*10+1,IF(J87=K87+2,2000+INDEX(Eingabe!$G$9:$G$18,I87)*10+2,2000+INDEX(Eingabe!$G$9:$G$18,I87)*10+9))),""))</f>
        <v>1181</v>
      </c>
      <c r="C87" s="0" t="str">
        <f aca="false">IF(I87="","",IF(AND(J87&gt;=1,J87&lt;=K87+3),"10."&amp;INDEX(Eingabe!$D$9:$D$18,I87)&amp;"."&amp;IF(J87&lt;=K87,J87,IF(J87=K87+1,200,IF(J87=K87+2,201,250)))&amp;".0/24",""))</f>
        <v>10.1.81.0/24</v>
      </c>
      <c r="D87" s="0" t="str">
        <f aca="false">IF(I87="","",IF(AND(J87&gt;=1,J87&lt;=K87+3),"255.255.255.0",""))</f>
        <v>255.255.255.0</v>
      </c>
      <c r="E87" s="0" t="str">
        <f aca="false">IF(I87="","",IF(AND(J87&gt;=1,J87&lt;=K87+3),"10."&amp;INDEX(Eingabe!$D$9:$D$18,I87)&amp;"."&amp;IF(J87&lt;=K87,J87,IF(J87=K87+1,200,IF(J87=K87+2,201,250)))&amp;".1",""))</f>
        <v>10.1.81.1</v>
      </c>
      <c r="F87" s="0" t="str">
        <f aca="false">IF(I87="","",IF(AND(J87&gt;=1,J87&lt;=K87+3),"10."&amp;INDEX(Eingabe!$D$9:$D$18,I87)&amp;"."&amp;IF(J87&lt;=K87,J87,IF(J87=K87+1,200,IF(J87=K87+2,201,250)))&amp;".10 – 10."&amp;INDEX(Eingabe!$D$9:$D$18,I87)&amp;"."&amp;IF(J87&lt;=K87,J87,IF(J87=K87+1,200,IF(J87=K87+2,201,250)))&amp;".250",""))</f>
        <v>10.1.81.10 – 10.1.81.250</v>
      </c>
      <c r="G87" s="0" t="str">
        <f aca="false">IF(I87="","",IF(AND(J87&gt;=1,J87&lt;=K87),Eingabe!$B$6&amp;"-"&amp;INDEX(Eingabe!$C$9:$C$18,I87)&amp;"-Pächter  ·  Passwort Parzelle "&amp;J87,IF(J87=K87+1,Eingabe!$B$6&amp;"-"&amp;INDEX(Eingabe!$C$9:$C$18,I87)&amp;"-Vorstand  ·  eigenes WLAN",IF(J87=K87+2,Eingabe!$B$6&amp;"-"&amp;INDEX(Eingabe!$C$9:$C$18,I87)&amp;"-Gäste  ·  Voucher",IF(J87=K87+3,"Kabel  ·  Access Point y = .(50+y), Mast-Switch x = .(10+x)","")))))</f>
        <v>SparteNet.de-BW-Pächter  ·  Passwort Parzelle 81</v>
      </c>
      <c r="I87" s="7" t="n">
        <f aca="false">IF(82&lt;=(Eingabe!$P$18+Eingabe!$Q$18-1),MATCH(82,Eingabe!$P$9:$P$18,1),"")</f>
        <v>1</v>
      </c>
      <c r="J87" s="7" t="n">
        <f aca="false">IF(I87="","",82-INDEX(Eingabe!$P$9:$P$18,I87))</f>
        <v>81</v>
      </c>
      <c r="K87" s="7" t="n">
        <f aca="false">IF(I87="","",INDEX(Eingabe!$E$9:$E$18,I87))</f>
        <v>85</v>
      </c>
    </row>
    <row r="88" customFormat="false" ht="15" hidden="false" customHeight="false" outlineLevel="0" collapsed="false">
      <c r="A88" s="0" t="str">
        <f aca="false">IF(I88="","",IF(J88=0,"Sparte "&amp;I88&amp;": "&amp;INDEX(Eingabe!$B$9:$B$18,I88)&amp;"  (Sparten-ID "&amp;INDEX(Eingabe!$D$9:$D$18,I88)&amp;", "&amp;K88&amp;" Parzellen)",IF(J88&lt;=K88,"   Parzelle "&amp;J88,IF(J88=K88+1,"   Vorstand",IF(J88=K88+2,"   Gäste",IF(J88=K88+3,"   Technik (Switches, Access Points)",""))))))</f>
        <v>   Parzelle 82</v>
      </c>
      <c r="B88" s="0" t="n">
        <f aca="false">IF(I88="","",IF(AND(J88&gt;=1,J88&lt;=K88+3),IF(J88&lt;=K88,IF(J88&lt;=99,IF((INDEX(Eingabe!$G$9:$G$18,I88))&lt;=9,1000+(INDEX(Eingabe!$G$9:$G$18,I88))*100,3000)+J88,IF((INDEX(Eingabe!$G$9:$G$18,I88)+1)&lt;=9,1000+(INDEX(Eingabe!$G$9:$G$18,I88)+1)*100,3000)+J88-100),IF(J88=K88+1,2000+INDEX(Eingabe!$G$9:$G$18,I88)*10+1,IF(J88=K88+2,2000+INDEX(Eingabe!$G$9:$G$18,I88)*10+2,2000+INDEX(Eingabe!$G$9:$G$18,I88)*10+9))),""))</f>
        <v>1182</v>
      </c>
      <c r="C88" s="0" t="str">
        <f aca="false">IF(I88="","",IF(AND(J88&gt;=1,J88&lt;=K88+3),"10."&amp;INDEX(Eingabe!$D$9:$D$18,I88)&amp;"."&amp;IF(J88&lt;=K88,J88,IF(J88=K88+1,200,IF(J88=K88+2,201,250)))&amp;".0/24",""))</f>
        <v>10.1.82.0/24</v>
      </c>
      <c r="D88" s="0" t="str">
        <f aca="false">IF(I88="","",IF(AND(J88&gt;=1,J88&lt;=K88+3),"255.255.255.0",""))</f>
        <v>255.255.255.0</v>
      </c>
      <c r="E88" s="0" t="str">
        <f aca="false">IF(I88="","",IF(AND(J88&gt;=1,J88&lt;=K88+3),"10."&amp;INDEX(Eingabe!$D$9:$D$18,I88)&amp;"."&amp;IF(J88&lt;=K88,J88,IF(J88=K88+1,200,IF(J88=K88+2,201,250)))&amp;".1",""))</f>
        <v>10.1.82.1</v>
      </c>
      <c r="F88" s="0" t="str">
        <f aca="false">IF(I88="","",IF(AND(J88&gt;=1,J88&lt;=K88+3),"10."&amp;INDEX(Eingabe!$D$9:$D$18,I88)&amp;"."&amp;IF(J88&lt;=K88,J88,IF(J88=K88+1,200,IF(J88=K88+2,201,250)))&amp;".10 – 10."&amp;INDEX(Eingabe!$D$9:$D$18,I88)&amp;"."&amp;IF(J88&lt;=K88,J88,IF(J88=K88+1,200,IF(J88=K88+2,201,250)))&amp;".250",""))</f>
        <v>10.1.82.10 – 10.1.82.250</v>
      </c>
      <c r="G88" s="0" t="str">
        <f aca="false">IF(I88="","",IF(AND(J88&gt;=1,J88&lt;=K88),Eingabe!$B$6&amp;"-"&amp;INDEX(Eingabe!$C$9:$C$18,I88)&amp;"-Pächter  ·  Passwort Parzelle "&amp;J88,IF(J88=K88+1,Eingabe!$B$6&amp;"-"&amp;INDEX(Eingabe!$C$9:$C$18,I88)&amp;"-Vorstand  ·  eigenes WLAN",IF(J88=K88+2,Eingabe!$B$6&amp;"-"&amp;INDEX(Eingabe!$C$9:$C$18,I88)&amp;"-Gäste  ·  Voucher",IF(J88=K88+3,"Kabel  ·  Access Point y = .(50+y), Mast-Switch x = .(10+x)","")))))</f>
        <v>SparteNet.de-BW-Pächter  ·  Passwort Parzelle 82</v>
      </c>
      <c r="I88" s="7" t="n">
        <f aca="false">IF(83&lt;=(Eingabe!$P$18+Eingabe!$Q$18-1),MATCH(83,Eingabe!$P$9:$P$18,1),"")</f>
        <v>1</v>
      </c>
      <c r="J88" s="7" t="n">
        <f aca="false">IF(I88="","",83-INDEX(Eingabe!$P$9:$P$18,I88))</f>
        <v>82</v>
      </c>
      <c r="K88" s="7" t="n">
        <f aca="false">IF(I88="","",INDEX(Eingabe!$E$9:$E$18,I88))</f>
        <v>85</v>
      </c>
    </row>
    <row r="89" customFormat="false" ht="15" hidden="false" customHeight="false" outlineLevel="0" collapsed="false">
      <c r="A89" s="0" t="str">
        <f aca="false">IF(I89="","",IF(J89=0,"Sparte "&amp;I89&amp;": "&amp;INDEX(Eingabe!$B$9:$B$18,I89)&amp;"  (Sparten-ID "&amp;INDEX(Eingabe!$D$9:$D$18,I89)&amp;", "&amp;K89&amp;" Parzellen)",IF(J89&lt;=K89,"   Parzelle "&amp;J89,IF(J89=K89+1,"   Vorstand",IF(J89=K89+2,"   Gäste",IF(J89=K89+3,"   Technik (Switches, Access Points)",""))))))</f>
        <v>   Parzelle 83</v>
      </c>
      <c r="B89" s="0" t="n">
        <f aca="false">IF(I89="","",IF(AND(J89&gt;=1,J89&lt;=K89+3),IF(J89&lt;=K89,IF(J89&lt;=99,IF((INDEX(Eingabe!$G$9:$G$18,I89))&lt;=9,1000+(INDEX(Eingabe!$G$9:$G$18,I89))*100,3000)+J89,IF((INDEX(Eingabe!$G$9:$G$18,I89)+1)&lt;=9,1000+(INDEX(Eingabe!$G$9:$G$18,I89)+1)*100,3000)+J89-100),IF(J89=K89+1,2000+INDEX(Eingabe!$G$9:$G$18,I89)*10+1,IF(J89=K89+2,2000+INDEX(Eingabe!$G$9:$G$18,I89)*10+2,2000+INDEX(Eingabe!$G$9:$G$18,I89)*10+9))),""))</f>
        <v>1183</v>
      </c>
      <c r="C89" s="0" t="str">
        <f aca="false">IF(I89="","",IF(AND(J89&gt;=1,J89&lt;=K89+3),"10."&amp;INDEX(Eingabe!$D$9:$D$18,I89)&amp;"."&amp;IF(J89&lt;=K89,J89,IF(J89=K89+1,200,IF(J89=K89+2,201,250)))&amp;".0/24",""))</f>
        <v>10.1.83.0/24</v>
      </c>
      <c r="D89" s="0" t="str">
        <f aca="false">IF(I89="","",IF(AND(J89&gt;=1,J89&lt;=K89+3),"255.255.255.0",""))</f>
        <v>255.255.255.0</v>
      </c>
      <c r="E89" s="0" t="str">
        <f aca="false">IF(I89="","",IF(AND(J89&gt;=1,J89&lt;=K89+3),"10."&amp;INDEX(Eingabe!$D$9:$D$18,I89)&amp;"."&amp;IF(J89&lt;=K89,J89,IF(J89=K89+1,200,IF(J89=K89+2,201,250)))&amp;".1",""))</f>
        <v>10.1.83.1</v>
      </c>
      <c r="F89" s="0" t="str">
        <f aca="false">IF(I89="","",IF(AND(J89&gt;=1,J89&lt;=K89+3),"10."&amp;INDEX(Eingabe!$D$9:$D$18,I89)&amp;"."&amp;IF(J89&lt;=K89,J89,IF(J89=K89+1,200,IF(J89=K89+2,201,250)))&amp;".10 – 10."&amp;INDEX(Eingabe!$D$9:$D$18,I89)&amp;"."&amp;IF(J89&lt;=K89,J89,IF(J89=K89+1,200,IF(J89=K89+2,201,250)))&amp;".250",""))</f>
        <v>10.1.83.10 – 10.1.83.250</v>
      </c>
      <c r="G89" s="0" t="str">
        <f aca="false">IF(I89="","",IF(AND(J89&gt;=1,J89&lt;=K89),Eingabe!$B$6&amp;"-"&amp;INDEX(Eingabe!$C$9:$C$18,I89)&amp;"-Pächter  ·  Passwort Parzelle "&amp;J89,IF(J89=K89+1,Eingabe!$B$6&amp;"-"&amp;INDEX(Eingabe!$C$9:$C$18,I89)&amp;"-Vorstand  ·  eigenes WLAN",IF(J89=K89+2,Eingabe!$B$6&amp;"-"&amp;INDEX(Eingabe!$C$9:$C$18,I89)&amp;"-Gäste  ·  Voucher",IF(J89=K89+3,"Kabel  ·  Access Point y = .(50+y), Mast-Switch x = .(10+x)","")))))</f>
        <v>SparteNet.de-BW-Pächter  ·  Passwort Parzelle 83</v>
      </c>
      <c r="I89" s="7" t="n">
        <f aca="false">IF(84&lt;=(Eingabe!$P$18+Eingabe!$Q$18-1),MATCH(84,Eingabe!$P$9:$P$18,1),"")</f>
        <v>1</v>
      </c>
      <c r="J89" s="7" t="n">
        <f aca="false">IF(I89="","",84-INDEX(Eingabe!$P$9:$P$18,I89))</f>
        <v>83</v>
      </c>
      <c r="K89" s="7" t="n">
        <f aca="false">IF(I89="","",INDEX(Eingabe!$E$9:$E$18,I89))</f>
        <v>85</v>
      </c>
    </row>
    <row r="90" customFormat="false" ht="15" hidden="false" customHeight="false" outlineLevel="0" collapsed="false">
      <c r="A90" s="0" t="str">
        <f aca="false">IF(I90="","",IF(J90=0,"Sparte "&amp;I90&amp;": "&amp;INDEX(Eingabe!$B$9:$B$18,I90)&amp;"  (Sparten-ID "&amp;INDEX(Eingabe!$D$9:$D$18,I90)&amp;", "&amp;K90&amp;" Parzellen)",IF(J90&lt;=K90,"   Parzelle "&amp;J90,IF(J90=K90+1,"   Vorstand",IF(J90=K90+2,"   Gäste",IF(J90=K90+3,"   Technik (Switches, Access Points)",""))))))</f>
        <v>   Parzelle 84</v>
      </c>
      <c r="B90" s="0" t="n">
        <f aca="false">IF(I90="","",IF(AND(J90&gt;=1,J90&lt;=K90+3),IF(J90&lt;=K90,IF(J90&lt;=99,IF((INDEX(Eingabe!$G$9:$G$18,I90))&lt;=9,1000+(INDEX(Eingabe!$G$9:$G$18,I90))*100,3000)+J90,IF((INDEX(Eingabe!$G$9:$G$18,I90)+1)&lt;=9,1000+(INDEX(Eingabe!$G$9:$G$18,I90)+1)*100,3000)+J90-100),IF(J90=K90+1,2000+INDEX(Eingabe!$G$9:$G$18,I90)*10+1,IF(J90=K90+2,2000+INDEX(Eingabe!$G$9:$G$18,I90)*10+2,2000+INDEX(Eingabe!$G$9:$G$18,I90)*10+9))),""))</f>
        <v>1184</v>
      </c>
      <c r="C90" s="0" t="str">
        <f aca="false">IF(I90="","",IF(AND(J90&gt;=1,J90&lt;=K90+3),"10."&amp;INDEX(Eingabe!$D$9:$D$18,I90)&amp;"."&amp;IF(J90&lt;=K90,J90,IF(J90=K90+1,200,IF(J90=K90+2,201,250)))&amp;".0/24",""))</f>
        <v>10.1.84.0/24</v>
      </c>
      <c r="D90" s="0" t="str">
        <f aca="false">IF(I90="","",IF(AND(J90&gt;=1,J90&lt;=K90+3),"255.255.255.0",""))</f>
        <v>255.255.255.0</v>
      </c>
      <c r="E90" s="0" t="str">
        <f aca="false">IF(I90="","",IF(AND(J90&gt;=1,J90&lt;=K90+3),"10."&amp;INDEX(Eingabe!$D$9:$D$18,I90)&amp;"."&amp;IF(J90&lt;=K90,J90,IF(J90=K90+1,200,IF(J90=K90+2,201,250)))&amp;".1",""))</f>
        <v>10.1.84.1</v>
      </c>
      <c r="F90" s="0" t="str">
        <f aca="false">IF(I90="","",IF(AND(J90&gt;=1,J90&lt;=K90+3),"10."&amp;INDEX(Eingabe!$D$9:$D$18,I90)&amp;"."&amp;IF(J90&lt;=K90,J90,IF(J90=K90+1,200,IF(J90=K90+2,201,250)))&amp;".10 – 10."&amp;INDEX(Eingabe!$D$9:$D$18,I90)&amp;"."&amp;IF(J90&lt;=K90,J90,IF(J90=K90+1,200,IF(J90=K90+2,201,250)))&amp;".250",""))</f>
        <v>10.1.84.10 – 10.1.84.250</v>
      </c>
      <c r="G90" s="0" t="str">
        <f aca="false">IF(I90="","",IF(AND(J90&gt;=1,J90&lt;=K90),Eingabe!$B$6&amp;"-"&amp;INDEX(Eingabe!$C$9:$C$18,I90)&amp;"-Pächter  ·  Passwort Parzelle "&amp;J90,IF(J90=K90+1,Eingabe!$B$6&amp;"-"&amp;INDEX(Eingabe!$C$9:$C$18,I90)&amp;"-Vorstand  ·  eigenes WLAN",IF(J90=K90+2,Eingabe!$B$6&amp;"-"&amp;INDEX(Eingabe!$C$9:$C$18,I90)&amp;"-Gäste  ·  Voucher",IF(J90=K90+3,"Kabel  ·  Access Point y = .(50+y), Mast-Switch x = .(10+x)","")))))</f>
        <v>SparteNet.de-BW-Pächter  ·  Passwort Parzelle 84</v>
      </c>
      <c r="I90" s="7" t="n">
        <f aca="false">IF(85&lt;=(Eingabe!$P$18+Eingabe!$Q$18-1),MATCH(85,Eingabe!$P$9:$P$18,1),"")</f>
        <v>1</v>
      </c>
      <c r="J90" s="7" t="n">
        <f aca="false">IF(I90="","",85-INDEX(Eingabe!$P$9:$P$18,I90))</f>
        <v>84</v>
      </c>
      <c r="K90" s="7" t="n">
        <f aca="false">IF(I90="","",INDEX(Eingabe!$E$9:$E$18,I90))</f>
        <v>85</v>
      </c>
    </row>
    <row r="91" customFormat="false" ht="15" hidden="false" customHeight="false" outlineLevel="0" collapsed="false">
      <c r="A91" s="0" t="str">
        <f aca="false">IF(I91="","",IF(J91=0,"Sparte "&amp;I91&amp;": "&amp;INDEX(Eingabe!$B$9:$B$18,I91)&amp;"  (Sparten-ID "&amp;INDEX(Eingabe!$D$9:$D$18,I91)&amp;", "&amp;K91&amp;" Parzellen)",IF(J91&lt;=K91,"   Parzelle "&amp;J91,IF(J91=K91+1,"   Vorstand",IF(J91=K91+2,"   Gäste",IF(J91=K91+3,"   Technik (Switches, Access Points)",""))))))</f>
        <v>   Parzelle 85</v>
      </c>
      <c r="B91" s="0" t="n">
        <f aca="false">IF(I91="","",IF(AND(J91&gt;=1,J91&lt;=K91+3),IF(J91&lt;=K91,IF(J91&lt;=99,IF((INDEX(Eingabe!$G$9:$G$18,I91))&lt;=9,1000+(INDEX(Eingabe!$G$9:$G$18,I91))*100,3000)+J91,IF((INDEX(Eingabe!$G$9:$G$18,I91)+1)&lt;=9,1000+(INDEX(Eingabe!$G$9:$G$18,I91)+1)*100,3000)+J91-100),IF(J91=K91+1,2000+INDEX(Eingabe!$G$9:$G$18,I91)*10+1,IF(J91=K91+2,2000+INDEX(Eingabe!$G$9:$G$18,I91)*10+2,2000+INDEX(Eingabe!$G$9:$G$18,I91)*10+9))),""))</f>
        <v>1185</v>
      </c>
      <c r="C91" s="0" t="str">
        <f aca="false">IF(I91="","",IF(AND(J91&gt;=1,J91&lt;=K91+3),"10."&amp;INDEX(Eingabe!$D$9:$D$18,I91)&amp;"."&amp;IF(J91&lt;=K91,J91,IF(J91=K91+1,200,IF(J91=K91+2,201,250)))&amp;".0/24",""))</f>
        <v>10.1.85.0/24</v>
      </c>
      <c r="D91" s="0" t="str">
        <f aca="false">IF(I91="","",IF(AND(J91&gt;=1,J91&lt;=K91+3),"255.255.255.0",""))</f>
        <v>255.255.255.0</v>
      </c>
      <c r="E91" s="0" t="str">
        <f aca="false">IF(I91="","",IF(AND(J91&gt;=1,J91&lt;=K91+3),"10."&amp;INDEX(Eingabe!$D$9:$D$18,I91)&amp;"."&amp;IF(J91&lt;=K91,J91,IF(J91=K91+1,200,IF(J91=K91+2,201,250)))&amp;".1",""))</f>
        <v>10.1.85.1</v>
      </c>
      <c r="F91" s="0" t="str">
        <f aca="false">IF(I91="","",IF(AND(J91&gt;=1,J91&lt;=K91+3),"10."&amp;INDEX(Eingabe!$D$9:$D$18,I91)&amp;"."&amp;IF(J91&lt;=K91,J91,IF(J91=K91+1,200,IF(J91=K91+2,201,250)))&amp;".10 – 10."&amp;INDEX(Eingabe!$D$9:$D$18,I91)&amp;"."&amp;IF(J91&lt;=K91,J91,IF(J91=K91+1,200,IF(J91=K91+2,201,250)))&amp;".250",""))</f>
        <v>10.1.85.10 – 10.1.85.250</v>
      </c>
      <c r="G91" s="0" t="str">
        <f aca="false">IF(I91="","",IF(AND(J91&gt;=1,J91&lt;=K91),Eingabe!$B$6&amp;"-"&amp;INDEX(Eingabe!$C$9:$C$18,I91)&amp;"-Pächter  ·  Passwort Parzelle "&amp;J91,IF(J91=K91+1,Eingabe!$B$6&amp;"-"&amp;INDEX(Eingabe!$C$9:$C$18,I91)&amp;"-Vorstand  ·  eigenes WLAN",IF(J91=K91+2,Eingabe!$B$6&amp;"-"&amp;INDEX(Eingabe!$C$9:$C$18,I91)&amp;"-Gäste  ·  Voucher",IF(J91=K91+3,"Kabel  ·  Access Point y = .(50+y), Mast-Switch x = .(10+x)","")))))</f>
        <v>SparteNet.de-BW-Pächter  ·  Passwort Parzelle 85</v>
      </c>
      <c r="I91" s="7" t="n">
        <f aca="false">IF(86&lt;=(Eingabe!$P$18+Eingabe!$Q$18-1),MATCH(86,Eingabe!$P$9:$P$18,1),"")</f>
        <v>1</v>
      </c>
      <c r="J91" s="7" t="n">
        <f aca="false">IF(I91="","",86-INDEX(Eingabe!$P$9:$P$18,I91))</f>
        <v>85</v>
      </c>
      <c r="K91" s="7" t="n">
        <f aca="false">IF(I91="","",INDEX(Eingabe!$E$9:$E$18,I91))</f>
        <v>85</v>
      </c>
    </row>
    <row r="92" customFormat="false" ht="15" hidden="false" customHeight="false" outlineLevel="0" collapsed="false">
      <c r="A92" s="0" t="str">
        <f aca="false">IF(I92="","",IF(J92=0,"Sparte "&amp;I92&amp;": "&amp;INDEX(Eingabe!$B$9:$B$18,I92)&amp;"  (Sparten-ID "&amp;INDEX(Eingabe!$D$9:$D$18,I92)&amp;", "&amp;K92&amp;" Parzellen)",IF(J92&lt;=K92,"   Parzelle "&amp;J92,IF(J92=K92+1,"   Vorstand",IF(J92=K92+2,"   Gäste",IF(J92=K92+3,"   Technik (Switches, Access Points)",""))))))</f>
        <v>   Vorstand</v>
      </c>
      <c r="B92" s="0" t="n">
        <f aca="false">IF(I92="","",IF(AND(J92&gt;=1,J92&lt;=K92+3),IF(J92&lt;=K92,IF(J92&lt;=99,IF((INDEX(Eingabe!$G$9:$G$18,I92))&lt;=9,1000+(INDEX(Eingabe!$G$9:$G$18,I92))*100,3000)+J92,IF((INDEX(Eingabe!$G$9:$G$18,I92)+1)&lt;=9,1000+(INDEX(Eingabe!$G$9:$G$18,I92)+1)*100,3000)+J92-100),IF(J92=K92+1,2000+INDEX(Eingabe!$G$9:$G$18,I92)*10+1,IF(J92=K92+2,2000+INDEX(Eingabe!$G$9:$G$18,I92)*10+2,2000+INDEX(Eingabe!$G$9:$G$18,I92)*10+9))),""))</f>
        <v>2011</v>
      </c>
      <c r="C92" s="0" t="str">
        <f aca="false">IF(I92="","",IF(AND(J92&gt;=1,J92&lt;=K92+3),"10."&amp;INDEX(Eingabe!$D$9:$D$18,I92)&amp;"."&amp;IF(J92&lt;=K92,J92,IF(J92=K92+1,200,IF(J92=K92+2,201,250)))&amp;".0/24",""))</f>
        <v>10.1.200.0/24</v>
      </c>
      <c r="D92" s="0" t="str">
        <f aca="false">IF(I92="","",IF(AND(J92&gt;=1,J92&lt;=K92+3),"255.255.255.0",""))</f>
        <v>255.255.255.0</v>
      </c>
      <c r="E92" s="0" t="str">
        <f aca="false">IF(I92="","",IF(AND(J92&gt;=1,J92&lt;=K92+3),"10."&amp;INDEX(Eingabe!$D$9:$D$18,I92)&amp;"."&amp;IF(J92&lt;=K92,J92,IF(J92=K92+1,200,IF(J92=K92+2,201,250)))&amp;".1",""))</f>
        <v>10.1.200.1</v>
      </c>
      <c r="F92" s="0" t="str">
        <f aca="false">IF(I92="","",IF(AND(J92&gt;=1,J92&lt;=K92+3),"10."&amp;INDEX(Eingabe!$D$9:$D$18,I92)&amp;"."&amp;IF(J92&lt;=K92,J92,IF(J92=K92+1,200,IF(J92=K92+2,201,250)))&amp;".10 – 10."&amp;INDEX(Eingabe!$D$9:$D$18,I92)&amp;"."&amp;IF(J92&lt;=K92,J92,IF(J92=K92+1,200,IF(J92=K92+2,201,250)))&amp;".250",""))</f>
        <v>10.1.200.10 – 10.1.200.250</v>
      </c>
      <c r="G92" s="0" t="str">
        <f aca="false">IF(I92="","",IF(AND(J92&gt;=1,J92&lt;=K92),Eingabe!$B$6&amp;"-"&amp;INDEX(Eingabe!$C$9:$C$18,I92)&amp;"-Pächter  ·  Passwort Parzelle "&amp;J92,IF(J92=K92+1,Eingabe!$B$6&amp;"-"&amp;INDEX(Eingabe!$C$9:$C$18,I92)&amp;"-Vorstand  ·  eigenes WLAN",IF(J92=K92+2,Eingabe!$B$6&amp;"-"&amp;INDEX(Eingabe!$C$9:$C$18,I92)&amp;"-Gäste  ·  Voucher",IF(J92=K92+3,"Kabel  ·  Access Point y = .(50+y), Mast-Switch x = .(10+x)","")))))</f>
        <v>SparteNet.de-BW-Vorstand  ·  eigenes WLAN</v>
      </c>
      <c r="I92" s="7" t="n">
        <f aca="false">IF(87&lt;=(Eingabe!$P$18+Eingabe!$Q$18-1),MATCH(87,Eingabe!$P$9:$P$18,1),"")</f>
        <v>1</v>
      </c>
      <c r="J92" s="7" t="n">
        <f aca="false">IF(I92="","",87-INDEX(Eingabe!$P$9:$P$18,I92))</f>
        <v>86</v>
      </c>
      <c r="K92" s="7" t="n">
        <f aca="false">IF(I92="","",INDEX(Eingabe!$E$9:$E$18,I92))</f>
        <v>85</v>
      </c>
    </row>
    <row r="93" customFormat="false" ht="15" hidden="false" customHeight="false" outlineLevel="0" collapsed="false">
      <c r="A93" s="0" t="str">
        <f aca="false">IF(I93="","",IF(J93=0,"Sparte "&amp;I93&amp;": "&amp;INDEX(Eingabe!$B$9:$B$18,I93)&amp;"  (Sparten-ID "&amp;INDEX(Eingabe!$D$9:$D$18,I93)&amp;", "&amp;K93&amp;" Parzellen)",IF(J93&lt;=K93,"   Parzelle "&amp;J93,IF(J93=K93+1,"   Vorstand",IF(J93=K93+2,"   Gäste",IF(J93=K93+3,"   Technik (Switches, Access Points)",""))))))</f>
        <v>   Gäste</v>
      </c>
      <c r="B93" s="0" t="n">
        <f aca="false">IF(I93="","",IF(AND(J93&gt;=1,J93&lt;=K93+3),IF(J93&lt;=K93,IF(J93&lt;=99,IF((INDEX(Eingabe!$G$9:$G$18,I93))&lt;=9,1000+(INDEX(Eingabe!$G$9:$G$18,I93))*100,3000)+J93,IF((INDEX(Eingabe!$G$9:$G$18,I93)+1)&lt;=9,1000+(INDEX(Eingabe!$G$9:$G$18,I93)+1)*100,3000)+J93-100),IF(J93=K93+1,2000+INDEX(Eingabe!$G$9:$G$18,I93)*10+1,IF(J93=K93+2,2000+INDEX(Eingabe!$G$9:$G$18,I93)*10+2,2000+INDEX(Eingabe!$G$9:$G$18,I93)*10+9))),""))</f>
        <v>2012</v>
      </c>
      <c r="C93" s="0" t="str">
        <f aca="false">IF(I93="","",IF(AND(J93&gt;=1,J93&lt;=K93+3),"10."&amp;INDEX(Eingabe!$D$9:$D$18,I93)&amp;"."&amp;IF(J93&lt;=K93,J93,IF(J93=K93+1,200,IF(J93=K93+2,201,250)))&amp;".0/24",""))</f>
        <v>10.1.201.0/24</v>
      </c>
      <c r="D93" s="0" t="str">
        <f aca="false">IF(I93="","",IF(AND(J93&gt;=1,J93&lt;=K93+3),"255.255.255.0",""))</f>
        <v>255.255.255.0</v>
      </c>
      <c r="E93" s="0" t="str">
        <f aca="false">IF(I93="","",IF(AND(J93&gt;=1,J93&lt;=K93+3),"10."&amp;INDEX(Eingabe!$D$9:$D$18,I93)&amp;"."&amp;IF(J93&lt;=K93,J93,IF(J93=K93+1,200,IF(J93=K93+2,201,250)))&amp;".1",""))</f>
        <v>10.1.201.1</v>
      </c>
      <c r="F93" s="0" t="str">
        <f aca="false">IF(I93="","",IF(AND(J93&gt;=1,J93&lt;=K93+3),"10."&amp;INDEX(Eingabe!$D$9:$D$18,I93)&amp;"."&amp;IF(J93&lt;=K93,J93,IF(J93=K93+1,200,IF(J93=K93+2,201,250)))&amp;".10 – 10."&amp;INDEX(Eingabe!$D$9:$D$18,I93)&amp;"."&amp;IF(J93&lt;=K93,J93,IF(J93=K93+1,200,IF(J93=K93+2,201,250)))&amp;".250",""))</f>
        <v>10.1.201.10 – 10.1.201.250</v>
      </c>
      <c r="G93" s="0" t="str">
        <f aca="false">IF(I93="","",IF(AND(J93&gt;=1,J93&lt;=K93),Eingabe!$B$6&amp;"-"&amp;INDEX(Eingabe!$C$9:$C$18,I93)&amp;"-Pächter  ·  Passwort Parzelle "&amp;J93,IF(J93=K93+1,Eingabe!$B$6&amp;"-"&amp;INDEX(Eingabe!$C$9:$C$18,I93)&amp;"-Vorstand  ·  eigenes WLAN",IF(J93=K93+2,Eingabe!$B$6&amp;"-"&amp;INDEX(Eingabe!$C$9:$C$18,I93)&amp;"-Gäste  ·  Voucher",IF(J93=K93+3,"Kabel  ·  Access Point y = .(50+y), Mast-Switch x = .(10+x)","")))))</f>
        <v>SparteNet.de-BW-Gäste  ·  Voucher</v>
      </c>
      <c r="I93" s="7" t="n">
        <f aca="false">IF(88&lt;=(Eingabe!$P$18+Eingabe!$Q$18-1),MATCH(88,Eingabe!$P$9:$P$18,1),"")</f>
        <v>1</v>
      </c>
      <c r="J93" s="7" t="n">
        <f aca="false">IF(I93="","",88-INDEX(Eingabe!$P$9:$P$18,I93))</f>
        <v>87</v>
      </c>
      <c r="K93" s="7" t="n">
        <f aca="false">IF(I93="","",INDEX(Eingabe!$E$9:$E$18,I93))</f>
        <v>85</v>
      </c>
    </row>
    <row r="94" customFormat="false" ht="15" hidden="false" customHeight="false" outlineLevel="0" collapsed="false">
      <c r="A94" s="0" t="str">
        <f aca="false">IF(I94="","",IF(J94=0,"Sparte "&amp;I94&amp;": "&amp;INDEX(Eingabe!$B$9:$B$18,I94)&amp;"  (Sparten-ID "&amp;INDEX(Eingabe!$D$9:$D$18,I94)&amp;", "&amp;K94&amp;" Parzellen)",IF(J94&lt;=K94,"   Parzelle "&amp;J94,IF(J94=K94+1,"   Vorstand",IF(J94=K94+2,"   Gäste",IF(J94=K94+3,"   Technik (Switches, Access Points)",""))))))</f>
        <v>   Technik (Switches, Access Points)</v>
      </c>
      <c r="B94" s="0" t="n">
        <f aca="false">IF(I94="","",IF(AND(J94&gt;=1,J94&lt;=K94+3),IF(J94&lt;=K94,IF(J94&lt;=99,IF((INDEX(Eingabe!$G$9:$G$18,I94))&lt;=9,1000+(INDEX(Eingabe!$G$9:$G$18,I94))*100,3000)+J94,IF((INDEX(Eingabe!$G$9:$G$18,I94)+1)&lt;=9,1000+(INDEX(Eingabe!$G$9:$G$18,I94)+1)*100,3000)+J94-100),IF(J94=K94+1,2000+INDEX(Eingabe!$G$9:$G$18,I94)*10+1,IF(J94=K94+2,2000+INDEX(Eingabe!$G$9:$G$18,I94)*10+2,2000+INDEX(Eingabe!$G$9:$G$18,I94)*10+9))),""))</f>
        <v>2019</v>
      </c>
      <c r="C94" s="0" t="str">
        <f aca="false">IF(I94="","",IF(AND(J94&gt;=1,J94&lt;=K94+3),"10."&amp;INDEX(Eingabe!$D$9:$D$18,I94)&amp;"."&amp;IF(J94&lt;=K94,J94,IF(J94=K94+1,200,IF(J94=K94+2,201,250)))&amp;".0/24",""))</f>
        <v>10.1.250.0/24</v>
      </c>
      <c r="D94" s="0" t="str">
        <f aca="false">IF(I94="","",IF(AND(J94&gt;=1,J94&lt;=K94+3),"255.255.255.0",""))</f>
        <v>255.255.255.0</v>
      </c>
      <c r="E94" s="0" t="str">
        <f aca="false">IF(I94="","",IF(AND(J94&gt;=1,J94&lt;=K94+3),"10."&amp;INDEX(Eingabe!$D$9:$D$18,I94)&amp;"."&amp;IF(J94&lt;=K94,J94,IF(J94=K94+1,200,IF(J94=K94+2,201,250)))&amp;".1",""))</f>
        <v>10.1.250.1</v>
      </c>
      <c r="F94" s="0" t="str">
        <f aca="false">IF(I94="","",IF(AND(J94&gt;=1,J94&lt;=K94+3),"10."&amp;INDEX(Eingabe!$D$9:$D$18,I94)&amp;"."&amp;IF(J94&lt;=K94,J94,IF(J94=K94+1,200,IF(J94=K94+2,201,250)))&amp;".10 – 10."&amp;INDEX(Eingabe!$D$9:$D$18,I94)&amp;"."&amp;IF(J94&lt;=K94,J94,IF(J94=K94+1,200,IF(J94=K94+2,201,250)))&amp;".250",""))</f>
        <v>10.1.250.10 – 10.1.250.250</v>
      </c>
      <c r="G94" s="0" t="str">
        <f aca="false">IF(I94="","",IF(AND(J94&gt;=1,J94&lt;=K94),Eingabe!$B$6&amp;"-"&amp;INDEX(Eingabe!$C$9:$C$18,I94)&amp;"-Pächter  ·  Passwort Parzelle "&amp;J94,IF(J94=K94+1,Eingabe!$B$6&amp;"-"&amp;INDEX(Eingabe!$C$9:$C$18,I94)&amp;"-Vorstand  ·  eigenes WLAN",IF(J94=K94+2,Eingabe!$B$6&amp;"-"&amp;INDEX(Eingabe!$C$9:$C$18,I94)&amp;"-Gäste  ·  Voucher",IF(J94=K94+3,"Kabel  ·  Access Point y = .(50+y), Mast-Switch x = .(10+x)","")))))</f>
        <v>Kabel  ·  Access Point y = .(50+y), Mast-Switch x = .(10+x)</v>
      </c>
      <c r="I94" s="7" t="n">
        <f aca="false">IF(89&lt;=(Eingabe!$P$18+Eingabe!$Q$18-1),MATCH(89,Eingabe!$P$9:$P$18,1),"")</f>
        <v>1</v>
      </c>
      <c r="J94" s="7" t="n">
        <f aca="false">IF(I94="","",89-INDEX(Eingabe!$P$9:$P$18,I94))</f>
        <v>88</v>
      </c>
      <c r="K94" s="7" t="n">
        <f aca="false">IF(I94="","",INDEX(Eingabe!$E$9:$E$18,I94))</f>
        <v>85</v>
      </c>
    </row>
    <row r="95" customFormat="false" ht="15" hidden="false" customHeight="false" outlineLevel="0" collapsed="false">
      <c r="A95" s="0" t="str">
        <f aca="false">IF(I95="","",IF(J95=0,"Sparte "&amp;I95&amp;": "&amp;INDEX(Eingabe!$B$9:$B$18,I95)&amp;"  (Sparten-ID "&amp;INDEX(Eingabe!$D$9:$D$18,I95)&amp;", "&amp;K95&amp;" Parzellen)",IF(J95&lt;=K95,"   Parzelle "&amp;J95,IF(J95=K95+1,"   Vorstand",IF(J95=K95+2,"   Gäste",IF(J95=K95+3,"   Technik (Switches, Access Points)",""))))))</f>
        <v/>
      </c>
      <c r="B95" s="0" t="str">
        <f aca="false">IF(I95="","",IF(AND(J95&gt;=1,J95&lt;=K95+3),IF(J95&lt;=K95,IF(J95&lt;=99,IF((INDEX(Eingabe!$G$9:$G$18,I95))&lt;=9,1000+(INDEX(Eingabe!$G$9:$G$18,I95))*100,3000)+J95,IF((INDEX(Eingabe!$G$9:$G$18,I95)+1)&lt;=9,1000+(INDEX(Eingabe!$G$9:$G$18,I95)+1)*100,3000)+J95-100),IF(J95=K95+1,2000+INDEX(Eingabe!$G$9:$G$18,I95)*10+1,IF(J95=K95+2,2000+INDEX(Eingabe!$G$9:$G$18,I95)*10+2,2000+INDEX(Eingabe!$G$9:$G$18,I95)*10+9))),""))</f>
        <v/>
      </c>
      <c r="C95" s="0" t="str">
        <f aca="false">IF(I95="","",IF(AND(J95&gt;=1,J95&lt;=K95+3),"10."&amp;INDEX(Eingabe!$D$9:$D$18,I95)&amp;"."&amp;IF(J95&lt;=K95,J95,IF(J95=K95+1,200,IF(J95=K95+2,201,250)))&amp;".0/24",""))</f>
        <v/>
      </c>
      <c r="D95" s="0" t="str">
        <f aca="false">IF(I95="","",IF(AND(J95&gt;=1,J95&lt;=K95+3),"255.255.255.0",""))</f>
        <v/>
      </c>
      <c r="E95" s="0" t="str">
        <f aca="false">IF(I95="","",IF(AND(J95&gt;=1,J95&lt;=K95+3),"10."&amp;INDEX(Eingabe!$D$9:$D$18,I95)&amp;"."&amp;IF(J95&lt;=K95,J95,IF(J95=K95+1,200,IF(J95=K95+2,201,250)))&amp;".1",""))</f>
        <v/>
      </c>
      <c r="F95" s="0" t="str">
        <f aca="false">IF(I95="","",IF(AND(J95&gt;=1,J95&lt;=K95+3),"10."&amp;INDEX(Eingabe!$D$9:$D$18,I95)&amp;"."&amp;IF(J95&lt;=K95,J95,IF(J95=K95+1,200,IF(J95=K95+2,201,250)))&amp;".10 – 10."&amp;INDEX(Eingabe!$D$9:$D$18,I95)&amp;"."&amp;IF(J95&lt;=K95,J95,IF(J95=K95+1,200,IF(J95=K95+2,201,250)))&amp;".250",""))</f>
        <v/>
      </c>
      <c r="G95" s="0" t="str">
        <f aca="false">IF(I95="","",IF(AND(J95&gt;=1,J95&lt;=K95),Eingabe!$B$6&amp;"-"&amp;INDEX(Eingabe!$C$9:$C$18,I95)&amp;"-Pächter  ·  Passwort Parzelle "&amp;J95,IF(J95=K95+1,Eingabe!$B$6&amp;"-"&amp;INDEX(Eingabe!$C$9:$C$18,I95)&amp;"-Vorstand  ·  eigenes WLAN",IF(J95=K95+2,Eingabe!$B$6&amp;"-"&amp;INDEX(Eingabe!$C$9:$C$18,I95)&amp;"-Gäste  ·  Voucher",IF(J95=K95+3,"Kabel  ·  Access Point y = .(50+y), Mast-Switch x = .(10+x)","")))))</f>
        <v/>
      </c>
      <c r="I95" s="7" t="n">
        <f aca="false">IF(90&lt;=(Eingabe!$P$18+Eingabe!$Q$18-1),MATCH(90,Eingabe!$P$9:$P$18,1),"")</f>
        <v>1</v>
      </c>
      <c r="J95" s="7" t="n">
        <f aca="false">IF(I95="","",90-INDEX(Eingabe!$P$9:$P$18,I95))</f>
        <v>89</v>
      </c>
      <c r="K95" s="7" t="n">
        <f aca="false">IF(I95="","",INDEX(Eingabe!$E$9:$E$18,I95))</f>
        <v>85</v>
      </c>
    </row>
    <row r="96" customFormat="false" ht="15" hidden="false" customHeight="false" outlineLevel="0" collapsed="false">
      <c r="A96" s="0" t="str">
        <f aca="false">IF(I96="","",IF(J96=0,"Sparte "&amp;I96&amp;": "&amp;INDEX(Eingabe!$B$9:$B$18,I96)&amp;"  (Sparten-ID "&amp;INDEX(Eingabe!$D$9:$D$18,I96)&amp;", "&amp;K96&amp;" Parzellen)",IF(J96&lt;=K96,"   Parzelle "&amp;J96,IF(J96=K96+1,"   Vorstand",IF(J96=K96+2,"   Gäste",IF(J96=K96+3,"   Technik (Switches, Access Points)",""))))))</f>
        <v>Sparte 2: Mittelweg  (Sparten-ID 2, 53 Parzellen)</v>
      </c>
      <c r="B96" s="0" t="str">
        <f aca="false">IF(I96="","",IF(AND(J96&gt;=1,J96&lt;=K96+3),IF(J96&lt;=K96,IF(J96&lt;=99,IF((INDEX(Eingabe!$G$9:$G$18,I96))&lt;=9,1000+(INDEX(Eingabe!$G$9:$G$18,I96))*100,3000)+J96,IF((INDEX(Eingabe!$G$9:$G$18,I96)+1)&lt;=9,1000+(INDEX(Eingabe!$G$9:$G$18,I96)+1)*100,3000)+J96-100),IF(J96=K96+1,2000+INDEX(Eingabe!$G$9:$G$18,I96)*10+1,IF(J96=K96+2,2000+INDEX(Eingabe!$G$9:$G$18,I96)*10+2,2000+INDEX(Eingabe!$G$9:$G$18,I96)*10+9))),""))</f>
        <v/>
      </c>
      <c r="C96" s="0" t="str">
        <f aca="false">IF(I96="","",IF(AND(J96&gt;=1,J96&lt;=K96+3),"10."&amp;INDEX(Eingabe!$D$9:$D$18,I96)&amp;"."&amp;IF(J96&lt;=K96,J96,IF(J96=K96+1,200,IF(J96=K96+2,201,250)))&amp;".0/24",""))</f>
        <v/>
      </c>
      <c r="D96" s="0" t="str">
        <f aca="false">IF(I96="","",IF(AND(J96&gt;=1,J96&lt;=K96+3),"255.255.255.0",""))</f>
        <v/>
      </c>
      <c r="E96" s="0" t="str">
        <f aca="false">IF(I96="","",IF(AND(J96&gt;=1,J96&lt;=K96+3),"10."&amp;INDEX(Eingabe!$D$9:$D$18,I96)&amp;"."&amp;IF(J96&lt;=K96,J96,IF(J96=K96+1,200,IF(J96=K96+2,201,250)))&amp;".1",""))</f>
        <v/>
      </c>
      <c r="F96" s="0" t="str">
        <f aca="false">IF(I96="","",IF(AND(J96&gt;=1,J96&lt;=K96+3),"10."&amp;INDEX(Eingabe!$D$9:$D$18,I96)&amp;"."&amp;IF(J96&lt;=K96,J96,IF(J96=K96+1,200,IF(J96=K96+2,201,250)))&amp;".10 – 10."&amp;INDEX(Eingabe!$D$9:$D$18,I96)&amp;"."&amp;IF(J96&lt;=K96,J96,IF(J96=K96+1,200,IF(J96=K96+2,201,250)))&amp;".250",""))</f>
        <v/>
      </c>
      <c r="G96" s="0" t="str">
        <f aca="false">IF(I96="","",IF(AND(J96&gt;=1,J96&lt;=K96),Eingabe!$B$6&amp;"-"&amp;INDEX(Eingabe!$C$9:$C$18,I96)&amp;"-Pächter  ·  Passwort Parzelle "&amp;J96,IF(J96=K96+1,Eingabe!$B$6&amp;"-"&amp;INDEX(Eingabe!$C$9:$C$18,I96)&amp;"-Vorstand  ·  eigenes WLAN",IF(J96=K96+2,Eingabe!$B$6&amp;"-"&amp;INDEX(Eingabe!$C$9:$C$18,I96)&amp;"-Gäste  ·  Voucher",IF(J96=K96+3,"Kabel  ·  Access Point y = .(50+y), Mast-Switch x = .(10+x)","")))))</f>
        <v/>
      </c>
      <c r="I96" s="7" t="n">
        <f aca="false">IF(91&lt;=(Eingabe!$P$18+Eingabe!$Q$18-1),MATCH(91,Eingabe!$P$9:$P$18,1),"")</f>
        <v>2</v>
      </c>
      <c r="J96" s="7" t="n">
        <f aca="false">IF(I96="","",91-INDEX(Eingabe!$P$9:$P$18,I96))</f>
        <v>0</v>
      </c>
      <c r="K96" s="7" t="n">
        <f aca="false">IF(I96="","",INDEX(Eingabe!$E$9:$E$18,I96))</f>
        <v>53</v>
      </c>
    </row>
    <row r="97" customFormat="false" ht="15" hidden="false" customHeight="false" outlineLevel="0" collapsed="false">
      <c r="A97" s="0" t="str">
        <f aca="false">IF(I97="","",IF(J97=0,"Sparte "&amp;I97&amp;": "&amp;INDEX(Eingabe!$B$9:$B$18,I97)&amp;"  (Sparten-ID "&amp;INDEX(Eingabe!$D$9:$D$18,I97)&amp;", "&amp;K97&amp;" Parzellen)",IF(J97&lt;=K97,"   Parzelle "&amp;J97,IF(J97=K97+1,"   Vorstand",IF(J97=K97+2,"   Gäste",IF(J97=K97+3,"   Technik (Switches, Access Points)",""))))))</f>
        <v>   Parzelle 1</v>
      </c>
      <c r="B97" s="0" t="n">
        <f aca="false">IF(I97="","",IF(AND(J97&gt;=1,J97&lt;=K97+3),IF(J97&lt;=K97,IF(J97&lt;=99,IF((INDEX(Eingabe!$G$9:$G$18,I97))&lt;=9,1000+(INDEX(Eingabe!$G$9:$G$18,I97))*100,3000)+J97,IF((INDEX(Eingabe!$G$9:$G$18,I97)+1)&lt;=9,1000+(INDEX(Eingabe!$G$9:$G$18,I97)+1)*100,3000)+J97-100),IF(J97=K97+1,2000+INDEX(Eingabe!$G$9:$G$18,I97)*10+1,IF(J97=K97+2,2000+INDEX(Eingabe!$G$9:$G$18,I97)*10+2,2000+INDEX(Eingabe!$G$9:$G$18,I97)*10+9))),""))</f>
        <v>1201</v>
      </c>
      <c r="C97" s="0" t="str">
        <f aca="false">IF(I97="","",IF(AND(J97&gt;=1,J97&lt;=K97+3),"10."&amp;INDEX(Eingabe!$D$9:$D$18,I97)&amp;"."&amp;IF(J97&lt;=K97,J97,IF(J97=K97+1,200,IF(J97=K97+2,201,250)))&amp;".0/24",""))</f>
        <v>10.2.1.0/24</v>
      </c>
      <c r="D97" s="0" t="str">
        <f aca="false">IF(I97="","",IF(AND(J97&gt;=1,J97&lt;=K97+3),"255.255.255.0",""))</f>
        <v>255.255.255.0</v>
      </c>
      <c r="E97" s="0" t="str">
        <f aca="false">IF(I97="","",IF(AND(J97&gt;=1,J97&lt;=K97+3),"10."&amp;INDEX(Eingabe!$D$9:$D$18,I97)&amp;"."&amp;IF(J97&lt;=K97,J97,IF(J97=K97+1,200,IF(J97=K97+2,201,250)))&amp;".1",""))</f>
        <v>10.2.1.1</v>
      </c>
      <c r="F97" s="0" t="str">
        <f aca="false">IF(I97="","",IF(AND(J97&gt;=1,J97&lt;=K97+3),"10."&amp;INDEX(Eingabe!$D$9:$D$18,I97)&amp;"."&amp;IF(J97&lt;=K97,J97,IF(J97=K97+1,200,IF(J97=K97+2,201,250)))&amp;".10 – 10."&amp;INDEX(Eingabe!$D$9:$D$18,I97)&amp;"."&amp;IF(J97&lt;=K97,J97,IF(J97=K97+1,200,IF(J97=K97+2,201,250)))&amp;".250",""))</f>
        <v>10.2.1.10 – 10.2.1.250</v>
      </c>
      <c r="G97" s="0" t="str">
        <f aca="false">IF(I97="","",IF(AND(J97&gt;=1,J97&lt;=K97),Eingabe!$B$6&amp;"-"&amp;INDEX(Eingabe!$C$9:$C$18,I97)&amp;"-Pächter  ·  Passwort Parzelle "&amp;J97,IF(J97=K97+1,Eingabe!$B$6&amp;"-"&amp;INDEX(Eingabe!$C$9:$C$18,I97)&amp;"-Vorstand  ·  eigenes WLAN",IF(J97=K97+2,Eingabe!$B$6&amp;"-"&amp;INDEX(Eingabe!$C$9:$C$18,I97)&amp;"-Gäste  ·  Voucher",IF(J97=K97+3,"Kabel  ·  Access Point y = .(50+y), Mast-Switch x = .(10+x)","")))))</f>
        <v>SparteNet.de-MW-Pächter  ·  Passwort Parzelle 1</v>
      </c>
      <c r="I97" s="7" t="n">
        <f aca="false">IF(92&lt;=(Eingabe!$P$18+Eingabe!$Q$18-1),MATCH(92,Eingabe!$P$9:$P$18,1),"")</f>
        <v>2</v>
      </c>
      <c r="J97" s="7" t="n">
        <f aca="false">IF(I97="","",92-INDEX(Eingabe!$P$9:$P$18,I97))</f>
        <v>1</v>
      </c>
      <c r="K97" s="7" t="n">
        <f aca="false">IF(I97="","",INDEX(Eingabe!$E$9:$E$18,I97))</f>
        <v>53</v>
      </c>
    </row>
    <row r="98" customFormat="false" ht="15" hidden="false" customHeight="false" outlineLevel="0" collapsed="false">
      <c r="A98" s="0" t="str">
        <f aca="false">IF(I98="","",IF(J98=0,"Sparte "&amp;I98&amp;": "&amp;INDEX(Eingabe!$B$9:$B$18,I98)&amp;"  (Sparten-ID "&amp;INDEX(Eingabe!$D$9:$D$18,I98)&amp;", "&amp;K98&amp;" Parzellen)",IF(J98&lt;=K98,"   Parzelle "&amp;J98,IF(J98=K98+1,"   Vorstand",IF(J98=K98+2,"   Gäste",IF(J98=K98+3,"   Technik (Switches, Access Points)",""))))))</f>
        <v>   Parzelle 2</v>
      </c>
      <c r="B98" s="0" t="n">
        <f aca="false">IF(I98="","",IF(AND(J98&gt;=1,J98&lt;=K98+3),IF(J98&lt;=K98,IF(J98&lt;=99,IF((INDEX(Eingabe!$G$9:$G$18,I98))&lt;=9,1000+(INDEX(Eingabe!$G$9:$G$18,I98))*100,3000)+J98,IF((INDEX(Eingabe!$G$9:$G$18,I98)+1)&lt;=9,1000+(INDEX(Eingabe!$G$9:$G$18,I98)+1)*100,3000)+J98-100),IF(J98=K98+1,2000+INDEX(Eingabe!$G$9:$G$18,I98)*10+1,IF(J98=K98+2,2000+INDEX(Eingabe!$G$9:$G$18,I98)*10+2,2000+INDEX(Eingabe!$G$9:$G$18,I98)*10+9))),""))</f>
        <v>1202</v>
      </c>
      <c r="C98" s="0" t="str">
        <f aca="false">IF(I98="","",IF(AND(J98&gt;=1,J98&lt;=K98+3),"10."&amp;INDEX(Eingabe!$D$9:$D$18,I98)&amp;"."&amp;IF(J98&lt;=K98,J98,IF(J98=K98+1,200,IF(J98=K98+2,201,250)))&amp;".0/24",""))</f>
        <v>10.2.2.0/24</v>
      </c>
      <c r="D98" s="0" t="str">
        <f aca="false">IF(I98="","",IF(AND(J98&gt;=1,J98&lt;=K98+3),"255.255.255.0",""))</f>
        <v>255.255.255.0</v>
      </c>
      <c r="E98" s="0" t="str">
        <f aca="false">IF(I98="","",IF(AND(J98&gt;=1,J98&lt;=K98+3),"10."&amp;INDEX(Eingabe!$D$9:$D$18,I98)&amp;"."&amp;IF(J98&lt;=K98,J98,IF(J98=K98+1,200,IF(J98=K98+2,201,250)))&amp;".1",""))</f>
        <v>10.2.2.1</v>
      </c>
      <c r="F98" s="0" t="str">
        <f aca="false">IF(I98="","",IF(AND(J98&gt;=1,J98&lt;=K98+3),"10."&amp;INDEX(Eingabe!$D$9:$D$18,I98)&amp;"."&amp;IF(J98&lt;=K98,J98,IF(J98=K98+1,200,IF(J98=K98+2,201,250)))&amp;".10 – 10."&amp;INDEX(Eingabe!$D$9:$D$18,I98)&amp;"."&amp;IF(J98&lt;=K98,J98,IF(J98=K98+1,200,IF(J98=K98+2,201,250)))&amp;".250",""))</f>
        <v>10.2.2.10 – 10.2.2.250</v>
      </c>
      <c r="G98" s="0" t="str">
        <f aca="false">IF(I98="","",IF(AND(J98&gt;=1,J98&lt;=K98),Eingabe!$B$6&amp;"-"&amp;INDEX(Eingabe!$C$9:$C$18,I98)&amp;"-Pächter  ·  Passwort Parzelle "&amp;J98,IF(J98=K98+1,Eingabe!$B$6&amp;"-"&amp;INDEX(Eingabe!$C$9:$C$18,I98)&amp;"-Vorstand  ·  eigenes WLAN",IF(J98=K98+2,Eingabe!$B$6&amp;"-"&amp;INDEX(Eingabe!$C$9:$C$18,I98)&amp;"-Gäste  ·  Voucher",IF(J98=K98+3,"Kabel  ·  Access Point y = .(50+y), Mast-Switch x = .(10+x)","")))))</f>
        <v>SparteNet.de-MW-Pächter  ·  Passwort Parzelle 2</v>
      </c>
      <c r="I98" s="7" t="n">
        <f aca="false">IF(93&lt;=(Eingabe!$P$18+Eingabe!$Q$18-1),MATCH(93,Eingabe!$P$9:$P$18,1),"")</f>
        <v>2</v>
      </c>
      <c r="J98" s="7" t="n">
        <f aca="false">IF(I98="","",93-INDEX(Eingabe!$P$9:$P$18,I98))</f>
        <v>2</v>
      </c>
      <c r="K98" s="7" t="n">
        <f aca="false">IF(I98="","",INDEX(Eingabe!$E$9:$E$18,I98))</f>
        <v>53</v>
      </c>
    </row>
    <row r="99" customFormat="false" ht="15" hidden="false" customHeight="false" outlineLevel="0" collapsed="false">
      <c r="A99" s="0" t="str">
        <f aca="false">IF(I99="","",IF(J99=0,"Sparte "&amp;I99&amp;": "&amp;INDEX(Eingabe!$B$9:$B$18,I99)&amp;"  (Sparten-ID "&amp;INDEX(Eingabe!$D$9:$D$18,I99)&amp;", "&amp;K99&amp;" Parzellen)",IF(J99&lt;=K99,"   Parzelle "&amp;J99,IF(J99=K99+1,"   Vorstand",IF(J99=K99+2,"   Gäste",IF(J99=K99+3,"   Technik (Switches, Access Points)",""))))))</f>
        <v>   Parzelle 3</v>
      </c>
      <c r="B99" s="0" t="n">
        <f aca="false">IF(I99="","",IF(AND(J99&gt;=1,J99&lt;=K99+3),IF(J99&lt;=K99,IF(J99&lt;=99,IF((INDEX(Eingabe!$G$9:$G$18,I99))&lt;=9,1000+(INDEX(Eingabe!$G$9:$G$18,I99))*100,3000)+J99,IF((INDEX(Eingabe!$G$9:$G$18,I99)+1)&lt;=9,1000+(INDEX(Eingabe!$G$9:$G$18,I99)+1)*100,3000)+J99-100),IF(J99=K99+1,2000+INDEX(Eingabe!$G$9:$G$18,I99)*10+1,IF(J99=K99+2,2000+INDEX(Eingabe!$G$9:$G$18,I99)*10+2,2000+INDEX(Eingabe!$G$9:$G$18,I99)*10+9))),""))</f>
        <v>1203</v>
      </c>
      <c r="C99" s="0" t="str">
        <f aca="false">IF(I99="","",IF(AND(J99&gt;=1,J99&lt;=K99+3),"10."&amp;INDEX(Eingabe!$D$9:$D$18,I99)&amp;"."&amp;IF(J99&lt;=K99,J99,IF(J99=K99+1,200,IF(J99=K99+2,201,250)))&amp;".0/24",""))</f>
        <v>10.2.3.0/24</v>
      </c>
      <c r="D99" s="0" t="str">
        <f aca="false">IF(I99="","",IF(AND(J99&gt;=1,J99&lt;=K99+3),"255.255.255.0",""))</f>
        <v>255.255.255.0</v>
      </c>
      <c r="E99" s="0" t="str">
        <f aca="false">IF(I99="","",IF(AND(J99&gt;=1,J99&lt;=K99+3),"10."&amp;INDEX(Eingabe!$D$9:$D$18,I99)&amp;"."&amp;IF(J99&lt;=K99,J99,IF(J99=K99+1,200,IF(J99=K99+2,201,250)))&amp;".1",""))</f>
        <v>10.2.3.1</v>
      </c>
      <c r="F99" s="0" t="str">
        <f aca="false">IF(I99="","",IF(AND(J99&gt;=1,J99&lt;=K99+3),"10."&amp;INDEX(Eingabe!$D$9:$D$18,I99)&amp;"."&amp;IF(J99&lt;=K99,J99,IF(J99=K99+1,200,IF(J99=K99+2,201,250)))&amp;".10 – 10."&amp;INDEX(Eingabe!$D$9:$D$18,I99)&amp;"."&amp;IF(J99&lt;=K99,J99,IF(J99=K99+1,200,IF(J99=K99+2,201,250)))&amp;".250",""))</f>
        <v>10.2.3.10 – 10.2.3.250</v>
      </c>
      <c r="G99" s="0" t="str">
        <f aca="false">IF(I99="","",IF(AND(J99&gt;=1,J99&lt;=K99),Eingabe!$B$6&amp;"-"&amp;INDEX(Eingabe!$C$9:$C$18,I99)&amp;"-Pächter  ·  Passwort Parzelle "&amp;J99,IF(J99=K99+1,Eingabe!$B$6&amp;"-"&amp;INDEX(Eingabe!$C$9:$C$18,I99)&amp;"-Vorstand  ·  eigenes WLAN",IF(J99=K99+2,Eingabe!$B$6&amp;"-"&amp;INDEX(Eingabe!$C$9:$C$18,I99)&amp;"-Gäste  ·  Voucher",IF(J99=K99+3,"Kabel  ·  Access Point y = .(50+y), Mast-Switch x = .(10+x)","")))))</f>
        <v>SparteNet.de-MW-Pächter  ·  Passwort Parzelle 3</v>
      </c>
      <c r="I99" s="7" t="n">
        <f aca="false">IF(94&lt;=(Eingabe!$P$18+Eingabe!$Q$18-1),MATCH(94,Eingabe!$P$9:$P$18,1),"")</f>
        <v>2</v>
      </c>
      <c r="J99" s="7" t="n">
        <f aca="false">IF(I99="","",94-INDEX(Eingabe!$P$9:$P$18,I99))</f>
        <v>3</v>
      </c>
      <c r="K99" s="7" t="n">
        <f aca="false">IF(I99="","",INDEX(Eingabe!$E$9:$E$18,I99))</f>
        <v>53</v>
      </c>
    </row>
    <row r="100" customFormat="false" ht="15" hidden="false" customHeight="false" outlineLevel="0" collapsed="false">
      <c r="A100" s="0" t="str">
        <f aca="false">IF(I100="","",IF(J100=0,"Sparte "&amp;I100&amp;": "&amp;INDEX(Eingabe!$B$9:$B$18,I100)&amp;"  (Sparten-ID "&amp;INDEX(Eingabe!$D$9:$D$18,I100)&amp;", "&amp;K100&amp;" Parzellen)",IF(J100&lt;=K100,"   Parzelle "&amp;J100,IF(J100=K100+1,"   Vorstand",IF(J100=K100+2,"   Gäste",IF(J100=K100+3,"   Technik (Switches, Access Points)",""))))))</f>
        <v>   Parzelle 4</v>
      </c>
      <c r="B100" s="0" t="n">
        <f aca="false">IF(I100="","",IF(AND(J100&gt;=1,J100&lt;=K100+3),IF(J100&lt;=K100,IF(J100&lt;=99,IF((INDEX(Eingabe!$G$9:$G$18,I100))&lt;=9,1000+(INDEX(Eingabe!$G$9:$G$18,I100))*100,3000)+J100,IF((INDEX(Eingabe!$G$9:$G$18,I100)+1)&lt;=9,1000+(INDEX(Eingabe!$G$9:$G$18,I100)+1)*100,3000)+J100-100),IF(J100=K100+1,2000+INDEX(Eingabe!$G$9:$G$18,I100)*10+1,IF(J100=K100+2,2000+INDEX(Eingabe!$G$9:$G$18,I100)*10+2,2000+INDEX(Eingabe!$G$9:$G$18,I100)*10+9))),""))</f>
        <v>1204</v>
      </c>
      <c r="C100" s="0" t="str">
        <f aca="false">IF(I100="","",IF(AND(J100&gt;=1,J100&lt;=K100+3),"10."&amp;INDEX(Eingabe!$D$9:$D$18,I100)&amp;"."&amp;IF(J100&lt;=K100,J100,IF(J100=K100+1,200,IF(J100=K100+2,201,250)))&amp;".0/24",""))</f>
        <v>10.2.4.0/24</v>
      </c>
      <c r="D100" s="0" t="str">
        <f aca="false">IF(I100="","",IF(AND(J100&gt;=1,J100&lt;=K100+3),"255.255.255.0",""))</f>
        <v>255.255.255.0</v>
      </c>
      <c r="E100" s="0" t="str">
        <f aca="false">IF(I100="","",IF(AND(J100&gt;=1,J100&lt;=K100+3),"10."&amp;INDEX(Eingabe!$D$9:$D$18,I100)&amp;"."&amp;IF(J100&lt;=K100,J100,IF(J100=K100+1,200,IF(J100=K100+2,201,250)))&amp;".1",""))</f>
        <v>10.2.4.1</v>
      </c>
      <c r="F100" s="0" t="str">
        <f aca="false">IF(I100="","",IF(AND(J100&gt;=1,J100&lt;=K100+3),"10."&amp;INDEX(Eingabe!$D$9:$D$18,I100)&amp;"."&amp;IF(J100&lt;=K100,J100,IF(J100=K100+1,200,IF(J100=K100+2,201,250)))&amp;".10 – 10."&amp;INDEX(Eingabe!$D$9:$D$18,I100)&amp;"."&amp;IF(J100&lt;=K100,J100,IF(J100=K100+1,200,IF(J100=K100+2,201,250)))&amp;".250",""))</f>
        <v>10.2.4.10 – 10.2.4.250</v>
      </c>
      <c r="G100" s="0" t="str">
        <f aca="false">IF(I100="","",IF(AND(J100&gt;=1,J100&lt;=K100),Eingabe!$B$6&amp;"-"&amp;INDEX(Eingabe!$C$9:$C$18,I100)&amp;"-Pächter  ·  Passwort Parzelle "&amp;J100,IF(J100=K100+1,Eingabe!$B$6&amp;"-"&amp;INDEX(Eingabe!$C$9:$C$18,I100)&amp;"-Vorstand  ·  eigenes WLAN",IF(J100=K100+2,Eingabe!$B$6&amp;"-"&amp;INDEX(Eingabe!$C$9:$C$18,I100)&amp;"-Gäste  ·  Voucher",IF(J100=K100+3,"Kabel  ·  Access Point y = .(50+y), Mast-Switch x = .(10+x)","")))))</f>
        <v>SparteNet.de-MW-Pächter  ·  Passwort Parzelle 4</v>
      </c>
      <c r="I100" s="7" t="n">
        <f aca="false">IF(95&lt;=(Eingabe!$P$18+Eingabe!$Q$18-1),MATCH(95,Eingabe!$P$9:$P$18,1),"")</f>
        <v>2</v>
      </c>
      <c r="J100" s="7" t="n">
        <f aca="false">IF(I100="","",95-INDEX(Eingabe!$P$9:$P$18,I100))</f>
        <v>4</v>
      </c>
      <c r="K100" s="7" t="n">
        <f aca="false">IF(I100="","",INDEX(Eingabe!$E$9:$E$18,I100))</f>
        <v>53</v>
      </c>
    </row>
    <row r="101" customFormat="false" ht="15" hidden="false" customHeight="false" outlineLevel="0" collapsed="false">
      <c r="A101" s="0" t="str">
        <f aca="false">IF(I101="","",IF(J101=0,"Sparte "&amp;I101&amp;": "&amp;INDEX(Eingabe!$B$9:$B$18,I101)&amp;"  (Sparten-ID "&amp;INDEX(Eingabe!$D$9:$D$18,I101)&amp;", "&amp;K101&amp;" Parzellen)",IF(J101&lt;=K101,"   Parzelle "&amp;J101,IF(J101=K101+1,"   Vorstand",IF(J101=K101+2,"   Gäste",IF(J101=K101+3,"   Technik (Switches, Access Points)",""))))))</f>
        <v>   Parzelle 5</v>
      </c>
      <c r="B101" s="0" t="n">
        <f aca="false">IF(I101="","",IF(AND(J101&gt;=1,J101&lt;=K101+3),IF(J101&lt;=K101,IF(J101&lt;=99,IF((INDEX(Eingabe!$G$9:$G$18,I101))&lt;=9,1000+(INDEX(Eingabe!$G$9:$G$18,I101))*100,3000)+J101,IF((INDEX(Eingabe!$G$9:$G$18,I101)+1)&lt;=9,1000+(INDEX(Eingabe!$G$9:$G$18,I101)+1)*100,3000)+J101-100),IF(J101=K101+1,2000+INDEX(Eingabe!$G$9:$G$18,I101)*10+1,IF(J101=K101+2,2000+INDEX(Eingabe!$G$9:$G$18,I101)*10+2,2000+INDEX(Eingabe!$G$9:$G$18,I101)*10+9))),""))</f>
        <v>1205</v>
      </c>
      <c r="C101" s="0" t="str">
        <f aca="false">IF(I101="","",IF(AND(J101&gt;=1,J101&lt;=K101+3),"10."&amp;INDEX(Eingabe!$D$9:$D$18,I101)&amp;"."&amp;IF(J101&lt;=K101,J101,IF(J101=K101+1,200,IF(J101=K101+2,201,250)))&amp;".0/24",""))</f>
        <v>10.2.5.0/24</v>
      </c>
      <c r="D101" s="0" t="str">
        <f aca="false">IF(I101="","",IF(AND(J101&gt;=1,J101&lt;=K101+3),"255.255.255.0",""))</f>
        <v>255.255.255.0</v>
      </c>
      <c r="E101" s="0" t="str">
        <f aca="false">IF(I101="","",IF(AND(J101&gt;=1,J101&lt;=K101+3),"10."&amp;INDEX(Eingabe!$D$9:$D$18,I101)&amp;"."&amp;IF(J101&lt;=K101,J101,IF(J101=K101+1,200,IF(J101=K101+2,201,250)))&amp;".1",""))</f>
        <v>10.2.5.1</v>
      </c>
      <c r="F101" s="0" t="str">
        <f aca="false">IF(I101="","",IF(AND(J101&gt;=1,J101&lt;=K101+3),"10."&amp;INDEX(Eingabe!$D$9:$D$18,I101)&amp;"."&amp;IF(J101&lt;=K101,J101,IF(J101=K101+1,200,IF(J101=K101+2,201,250)))&amp;".10 – 10."&amp;INDEX(Eingabe!$D$9:$D$18,I101)&amp;"."&amp;IF(J101&lt;=K101,J101,IF(J101=K101+1,200,IF(J101=K101+2,201,250)))&amp;".250",""))</f>
        <v>10.2.5.10 – 10.2.5.250</v>
      </c>
      <c r="G101" s="0" t="str">
        <f aca="false">IF(I101="","",IF(AND(J101&gt;=1,J101&lt;=K101),Eingabe!$B$6&amp;"-"&amp;INDEX(Eingabe!$C$9:$C$18,I101)&amp;"-Pächter  ·  Passwort Parzelle "&amp;J101,IF(J101=K101+1,Eingabe!$B$6&amp;"-"&amp;INDEX(Eingabe!$C$9:$C$18,I101)&amp;"-Vorstand  ·  eigenes WLAN",IF(J101=K101+2,Eingabe!$B$6&amp;"-"&amp;INDEX(Eingabe!$C$9:$C$18,I101)&amp;"-Gäste  ·  Voucher",IF(J101=K101+3,"Kabel  ·  Access Point y = .(50+y), Mast-Switch x = .(10+x)","")))))</f>
        <v>SparteNet.de-MW-Pächter  ·  Passwort Parzelle 5</v>
      </c>
      <c r="I101" s="7" t="n">
        <f aca="false">IF(96&lt;=(Eingabe!$P$18+Eingabe!$Q$18-1),MATCH(96,Eingabe!$P$9:$P$18,1),"")</f>
        <v>2</v>
      </c>
      <c r="J101" s="7" t="n">
        <f aca="false">IF(I101="","",96-INDEX(Eingabe!$P$9:$P$18,I101))</f>
        <v>5</v>
      </c>
      <c r="K101" s="7" t="n">
        <f aca="false">IF(I101="","",INDEX(Eingabe!$E$9:$E$18,I101))</f>
        <v>53</v>
      </c>
    </row>
    <row r="102" customFormat="false" ht="15" hidden="false" customHeight="false" outlineLevel="0" collapsed="false">
      <c r="A102" s="0" t="str">
        <f aca="false">IF(I102="","",IF(J102=0,"Sparte "&amp;I102&amp;": "&amp;INDEX(Eingabe!$B$9:$B$18,I102)&amp;"  (Sparten-ID "&amp;INDEX(Eingabe!$D$9:$D$18,I102)&amp;", "&amp;K102&amp;" Parzellen)",IF(J102&lt;=K102,"   Parzelle "&amp;J102,IF(J102=K102+1,"   Vorstand",IF(J102=K102+2,"   Gäste",IF(J102=K102+3,"   Technik (Switches, Access Points)",""))))))</f>
        <v>   Parzelle 6</v>
      </c>
      <c r="B102" s="0" t="n">
        <f aca="false">IF(I102="","",IF(AND(J102&gt;=1,J102&lt;=K102+3),IF(J102&lt;=K102,IF(J102&lt;=99,IF((INDEX(Eingabe!$G$9:$G$18,I102))&lt;=9,1000+(INDEX(Eingabe!$G$9:$G$18,I102))*100,3000)+J102,IF((INDEX(Eingabe!$G$9:$G$18,I102)+1)&lt;=9,1000+(INDEX(Eingabe!$G$9:$G$18,I102)+1)*100,3000)+J102-100),IF(J102=K102+1,2000+INDEX(Eingabe!$G$9:$G$18,I102)*10+1,IF(J102=K102+2,2000+INDEX(Eingabe!$G$9:$G$18,I102)*10+2,2000+INDEX(Eingabe!$G$9:$G$18,I102)*10+9))),""))</f>
        <v>1206</v>
      </c>
      <c r="C102" s="0" t="str">
        <f aca="false">IF(I102="","",IF(AND(J102&gt;=1,J102&lt;=K102+3),"10."&amp;INDEX(Eingabe!$D$9:$D$18,I102)&amp;"."&amp;IF(J102&lt;=K102,J102,IF(J102=K102+1,200,IF(J102=K102+2,201,250)))&amp;".0/24",""))</f>
        <v>10.2.6.0/24</v>
      </c>
      <c r="D102" s="0" t="str">
        <f aca="false">IF(I102="","",IF(AND(J102&gt;=1,J102&lt;=K102+3),"255.255.255.0",""))</f>
        <v>255.255.255.0</v>
      </c>
      <c r="E102" s="0" t="str">
        <f aca="false">IF(I102="","",IF(AND(J102&gt;=1,J102&lt;=K102+3),"10."&amp;INDEX(Eingabe!$D$9:$D$18,I102)&amp;"."&amp;IF(J102&lt;=K102,J102,IF(J102=K102+1,200,IF(J102=K102+2,201,250)))&amp;".1",""))</f>
        <v>10.2.6.1</v>
      </c>
      <c r="F102" s="0" t="str">
        <f aca="false">IF(I102="","",IF(AND(J102&gt;=1,J102&lt;=K102+3),"10."&amp;INDEX(Eingabe!$D$9:$D$18,I102)&amp;"."&amp;IF(J102&lt;=K102,J102,IF(J102=K102+1,200,IF(J102=K102+2,201,250)))&amp;".10 – 10."&amp;INDEX(Eingabe!$D$9:$D$18,I102)&amp;"."&amp;IF(J102&lt;=K102,J102,IF(J102=K102+1,200,IF(J102=K102+2,201,250)))&amp;".250",""))</f>
        <v>10.2.6.10 – 10.2.6.250</v>
      </c>
      <c r="G102" s="0" t="str">
        <f aca="false">IF(I102="","",IF(AND(J102&gt;=1,J102&lt;=K102),Eingabe!$B$6&amp;"-"&amp;INDEX(Eingabe!$C$9:$C$18,I102)&amp;"-Pächter  ·  Passwort Parzelle "&amp;J102,IF(J102=K102+1,Eingabe!$B$6&amp;"-"&amp;INDEX(Eingabe!$C$9:$C$18,I102)&amp;"-Vorstand  ·  eigenes WLAN",IF(J102=K102+2,Eingabe!$B$6&amp;"-"&amp;INDEX(Eingabe!$C$9:$C$18,I102)&amp;"-Gäste  ·  Voucher",IF(J102=K102+3,"Kabel  ·  Access Point y = .(50+y), Mast-Switch x = .(10+x)","")))))</f>
        <v>SparteNet.de-MW-Pächter  ·  Passwort Parzelle 6</v>
      </c>
      <c r="I102" s="7" t="n">
        <f aca="false">IF(97&lt;=(Eingabe!$P$18+Eingabe!$Q$18-1),MATCH(97,Eingabe!$P$9:$P$18,1),"")</f>
        <v>2</v>
      </c>
      <c r="J102" s="7" t="n">
        <f aca="false">IF(I102="","",97-INDEX(Eingabe!$P$9:$P$18,I102))</f>
        <v>6</v>
      </c>
      <c r="K102" s="7" t="n">
        <f aca="false">IF(I102="","",INDEX(Eingabe!$E$9:$E$18,I102))</f>
        <v>53</v>
      </c>
    </row>
    <row r="103" customFormat="false" ht="15" hidden="false" customHeight="false" outlineLevel="0" collapsed="false">
      <c r="A103" s="0" t="str">
        <f aca="false">IF(I103="","",IF(J103=0,"Sparte "&amp;I103&amp;": "&amp;INDEX(Eingabe!$B$9:$B$18,I103)&amp;"  (Sparten-ID "&amp;INDEX(Eingabe!$D$9:$D$18,I103)&amp;", "&amp;K103&amp;" Parzellen)",IF(J103&lt;=K103,"   Parzelle "&amp;J103,IF(J103=K103+1,"   Vorstand",IF(J103=K103+2,"   Gäste",IF(J103=K103+3,"   Technik (Switches, Access Points)",""))))))</f>
        <v>   Parzelle 7</v>
      </c>
      <c r="B103" s="0" t="n">
        <f aca="false">IF(I103="","",IF(AND(J103&gt;=1,J103&lt;=K103+3),IF(J103&lt;=K103,IF(J103&lt;=99,IF((INDEX(Eingabe!$G$9:$G$18,I103))&lt;=9,1000+(INDEX(Eingabe!$G$9:$G$18,I103))*100,3000)+J103,IF((INDEX(Eingabe!$G$9:$G$18,I103)+1)&lt;=9,1000+(INDEX(Eingabe!$G$9:$G$18,I103)+1)*100,3000)+J103-100),IF(J103=K103+1,2000+INDEX(Eingabe!$G$9:$G$18,I103)*10+1,IF(J103=K103+2,2000+INDEX(Eingabe!$G$9:$G$18,I103)*10+2,2000+INDEX(Eingabe!$G$9:$G$18,I103)*10+9))),""))</f>
        <v>1207</v>
      </c>
      <c r="C103" s="0" t="str">
        <f aca="false">IF(I103="","",IF(AND(J103&gt;=1,J103&lt;=K103+3),"10."&amp;INDEX(Eingabe!$D$9:$D$18,I103)&amp;"."&amp;IF(J103&lt;=K103,J103,IF(J103=K103+1,200,IF(J103=K103+2,201,250)))&amp;".0/24",""))</f>
        <v>10.2.7.0/24</v>
      </c>
      <c r="D103" s="0" t="str">
        <f aca="false">IF(I103="","",IF(AND(J103&gt;=1,J103&lt;=K103+3),"255.255.255.0",""))</f>
        <v>255.255.255.0</v>
      </c>
      <c r="E103" s="0" t="str">
        <f aca="false">IF(I103="","",IF(AND(J103&gt;=1,J103&lt;=K103+3),"10."&amp;INDEX(Eingabe!$D$9:$D$18,I103)&amp;"."&amp;IF(J103&lt;=K103,J103,IF(J103=K103+1,200,IF(J103=K103+2,201,250)))&amp;".1",""))</f>
        <v>10.2.7.1</v>
      </c>
      <c r="F103" s="0" t="str">
        <f aca="false">IF(I103="","",IF(AND(J103&gt;=1,J103&lt;=K103+3),"10."&amp;INDEX(Eingabe!$D$9:$D$18,I103)&amp;"."&amp;IF(J103&lt;=K103,J103,IF(J103=K103+1,200,IF(J103=K103+2,201,250)))&amp;".10 – 10."&amp;INDEX(Eingabe!$D$9:$D$18,I103)&amp;"."&amp;IF(J103&lt;=K103,J103,IF(J103=K103+1,200,IF(J103=K103+2,201,250)))&amp;".250",""))</f>
        <v>10.2.7.10 – 10.2.7.250</v>
      </c>
      <c r="G103" s="0" t="str">
        <f aca="false">IF(I103="","",IF(AND(J103&gt;=1,J103&lt;=K103),Eingabe!$B$6&amp;"-"&amp;INDEX(Eingabe!$C$9:$C$18,I103)&amp;"-Pächter  ·  Passwort Parzelle "&amp;J103,IF(J103=K103+1,Eingabe!$B$6&amp;"-"&amp;INDEX(Eingabe!$C$9:$C$18,I103)&amp;"-Vorstand  ·  eigenes WLAN",IF(J103=K103+2,Eingabe!$B$6&amp;"-"&amp;INDEX(Eingabe!$C$9:$C$18,I103)&amp;"-Gäste  ·  Voucher",IF(J103=K103+3,"Kabel  ·  Access Point y = .(50+y), Mast-Switch x = .(10+x)","")))))</f>
        <v>SparteNet.de-MW-Pächter  ·  Passwort Parzelle 7</v>
      </c>
      <c r="I103" s="7" t="n">
        <f aca="false">IF(98&lt;=(Eingabe!$P$18+Eingabe!$Q$18-1),MATCH(98,Eingabe!$P$9:$P$18,1),"")</f>
        <v>2</v>
      </c>
      <c r="J103" s="7" t="n">
        <f aca="false">IF(I103="","",98-INDEX(Eingabe!$P$9:$P$18,I103))</f>
        <v>7</v>
      </c>
      <c r="K103" s="7" t="n">
        <f aca="false">IF(I103="","",INDEX(Eingabe!$E$9:$E$18,I103))</f>
        <v>53</v>
      </c>
    </row>
    <row r="104" customFormat="false" ht="15" hidden="false" customHeight="false" outlineLevel="0" collapsed="false">
      <c r="A104" s="0" t="str">
        <f aca="false">IF(I104="","",IF(J104=0,"Sparte "&amp;I104&amp;": "&amp;INDEX(Eingabe!$B$9:$B$18,I104)&amp;"  (Sparten-ID "&amp;INDEX(Eingabe!$D$9:$D$18,I104)&amp;", "&amp;K104&amp;" Parzellen)",IF(J104&lt;=K104,"   Parzelle "&amp;J104,IF(J104=K104+1,"   Vorstand",IF(J104=K104+2,"   Gäste",IF(J104=K104+3,"   Technik (Switches, Access Points)",""))))))</f>
        <v>   Parzelle 8</v>
      </c>
      <c r="B104" s="0" t="n">
        <f aca="false">IF(I104="","",IF(AND(J104&gt;=1,J104&lt;=K104+3),IF(J104&lt;=K104,IF(J104&lt;=99,IF((INDEX(Eingabe!$G$9:$G$18,I104))&lt;=9,1000+(INDEX(Eingabe!$G$9:$G$18,I104))*100,3000)+J104,IF((INDEX(Eingabe!$G$9:$G$18,I104)+1)&lt;=9,1000+(INDEX(Eingabe!$G$9:$G$18,I104)+1)*100,3000)+J104-100),IF(J104=K104+1,2000+INDEX(Eingabe!$G$9:$G$18,I104)*10+1,IF(J104=K104+2,2000+INDEX(Eingabe!$G$9:$G$18,I104)*10+2,2000+INDEX(Eingabe!$G$9:$G$18,I104)*10+9))),""))</f>
        <v>1208</v>
      </c>
      <c r="C104" s="0" t="str">
        <f aca="false">IF(I104="","",IF(AND(J104&gt;=1,J104&lt;=K104+3),"10."&amp;INDEX(Eingabe!$D$9:$D$18,I104)&amp;"."&amp;IF(J104&lt;=K104,J104,IF(J104=K104+1,200,IF(J104=K104+2,201,250)))&amp;".0/24",""))</f>
        <v>10.2.8.0/24</v>
      </c>
      <c r="D104" s="0" t="str">
        <f aca="false">IF(I104="","",IF(AND(J104&gt;=1,J104&lt;=K104+3),"255.255.255.0",""))</f>
        <v>255.255.255.0</v>
      </c>
      <c r="E104" s="0" t="str">
        <f aca="false">IF(I104="","",IF(AND(J104&gt;=1,J104&lt;=K104+3),"10."&amp;INDEX(Eingabe!$D$9:$D$18,I104)&amp;"."&amp;IF(J104&lt;=K104,J104,IF(J104=K104+1,200,IF(J104=K104+2,201,250)))&amp;".1",""))</f>
        <v>10.2.8.1</v>
      </c>
      <c r="F104" s="0" t="str">
        <f aca="false">IF(I104="","",IF(AND(J104&gt;=1,J104&lt;=K104+3),"10."&amp;INDEX(Eingabe!$D$9:$D$18,I104)&amp;"."&amp;IF(J104&lt;=K104,J104,IF(J104=K104+1,200,IF(J104=K104+2,201,250)))&amp;".10 – 10."&amp;INDEX(Eingabe!$D$9:$D$18,I104)&amp;"."&amp;IF(J104&lt;=K104,J104,IF(J104=K104+1,200,IF(J104=K104+2,201,250)))&amp;".250",""))</f>
        <v>10.2.8.10 – 10.2.8.250</v>
      </c>
      <c r="G104" s="0" t="str">
        <f aca="false">IF(I104="","",IF(AND(J104&gt;=1,J104&lt;=K104),Eingabe!$B$6&amp;"-"&amp;INDEX(Eingabe!$C$9:$C$18,I104)&amp;"-Pächter  ·  Passwort Parzelle "&amp;J104,IF(J104=K104+1,Eingabe!$B$6&amp;"-"&amp;INDEX(Eingabe!$C$9:$C$18,I104)&amp;"-Vorstand  ·  eigenes WLAN",IF(J104=K104+2,Eingabe!$B$6&amp;"-"&amp;INDEX(Eingabe!$C$9:$C$18,I104)&amp;"-Gäste  ·  Voucher",IF(J104=K104+3,"Kabel  ·  Access Point y = .(50+y), Mast-Switch x = .(10+x)","")))))</f>
        <v>SparteNet.de-MW-Pächter  ·  Passwort Parzelle 8</v>
      </c>
      <c r="I104" s="7" t="n">
        <f aca="false">IF(99&lt;=(Eingabe!$P$18+Eingabe!$Q$18-1),MATCH(99,Eingabe!$P$9:$P$18,1),"")</f>
        <v>2</v>
      </c>
      <c r="J104" s="7" t="n">
        <f aca="false">IF(I104="","",99-INDEX(Eingabe!$P$9:$P$18,I104))</f>
        <v>8</v>
      </c>
      <c r="K104" s="7" t="n">
        <f aca="false">IF(I104="","",INDEX(Eingabe!$E$9:$E$18,I104))</f>
        <v>53</v>
      </c>
    </row>
    <row r="105" customFormat="false" ht="15" hidden="false" customHeight="false" outlineLevel="0" collapsed="false">
      <c r="A105" s="0" t="str">
        <f aca="false">IF(I105="","",IF(J105=0,"Sparte "&amp;I105&amp;": "&amp;INDEX(Eingabe!$B$9:$B$18,I105)&amp;"  (Sparten-ID "&amp;INDEX(Eingabe!$D$9:$D$18,I105)&amp;", "&amp;K105&amp;" Parzellen)",IF(J105&lt;=K105,"   Parzelle "&amp;J105,IF(J105=K105+1,"   Vorstand",IF(J105=K105+2,"   Gäste",IF(J105=K105+3,"   Technik (Switches, Access Points)",""))))))</f>
        <v>   Parzelle 9</v>
      </c>
      <c r="B105" s="0" t="n">
        <f aca="false">IF(I105="","",IF(AND(J105&gt;=1,J105&lt;=K105+3),IF(J105&lt;=K105,IF(J105&lt;=99,IF((INDEX(Eingabe!$G$9:$G$18,I105))&lt;=9,1000+(INDEX(Eingabe!$G$9:$G$18,I105))*100,3000)+J105,IF((INDEX(Eingabe!$G$9:$G$18,I105)+1)&lt;=9,1000+(INDEX(Eingabe!$G$9:$G$18,I105)+1)*100,3000)+J105-100),IF(J105=K105+1,2000+INDEX(Eingabe!$G$9:$G$18,I105)*10+1,IF(J105=K105+2,2000+INDEX(Eingabe!$G$9:$G$18,I105)*10+2,2000+INDEX(Eingabe!$G$9:$G$18,I105)*10+9))),""))</f>
        <v>1209</v>
      </c>
      <c r="C105" s="0" t="str">
        <f aca="false">IF(I105="","",IF(AND(J105&gt;=1,J105&lt;=K105+3),"10."&amp;INDEX(Eingabe!$D$9:$D$18,I105)&amp;"."&amp;IF(J105&lt;=K105,J105,IF(J105=K105+1,200,IF(J105=K105+2,201,250)))&amp;".0/24",""))</f>
        <v>10.2.9.0/24</v>
      </c>
      <c r="D105" s="0" t="str">
        <f aca="false">IF(I105="","",IF(AND(J105&gt;=1,J105&lt;=K105+3),"255.255.255.0",""))</f>
        <v>255.255.255.0</v>
      </c>
      <c r="E105" s="0" t="str">
        <f aca="false">IF(I105="","",IF(AND(J105&gt;=1,J105&lt;=K105+3),"10."&amp;INDEX(Eingabe!$D$9:$D$18,I105)&amp;"."&amp;IF(J105&lt;=K105,J105,IF(J105=K105+1,200,IF(J105=K105+2,201,250)))&amp;".1",""))</f>
        <v>10.2.9.1</v>
      </c>
      <c r="F105" s="0" t="str">
        <f aca="false">IF(I105="","",IF(AND(J105&gt;=1,J105&lt;=K105+3),"10."&amp;INDEX(Eingabe!$D$9:$D$18,I105)&amp;"."&amp;IF(J105&lt;=K105,J105,IF(J105=K105+1,200,IF(J105=K105+2,201,250)))&amp;".10 – 10."&amp;INDEX(Eingabe!$D$9:$D$18,I105)&amp;"."&amp;IF(J105&lt;=K105,J105,IF(J105=K105+1,200,IF(J105=K105+2,201,250)))&amp;".250",""))</f>
        <v>10.2.9.10 – 10.2.9.250</v>
      </c>
      <c r="G105" s="0" t="str">
        <f aca="false">IF(I105="","",IF(AND(J105&gt;=1,J105&lt;=K105),Eingabe!$B$6&amp;"-"&amp;INDEX(Eingabe!$C$9:$C$18,I105)&amp;"-Pächter  ·  Passwort Parzelle "&amp;J105,IF(J105=K105+1,Eingabe!$B$6&amp;"-"&amp;INDEX(Eingabe!$C$9:$C$18,I105)&amp;"-Vorstand  ·  eigenes WLAN",IF(J105=K105+2,Eingabe!$B$6&amp;"-"&amp;INDEX(Eingabe!$C$9:$C$18,I105)&amp;"-Gäste  ·  Voucher",IF(J105=K105+3,"Kabel  ·  Access Point y = .(50+y), Mast-Switch x = .(10+x)","")))))</f>
        <v>SparteNet.de-MW-Pächter  ·  Passwort Parzelle 9</v>
      </c>
      <c r="I105" s="7" t="n">
        <f aca="false">IF(100&lt;=(Eingabe!$P$18+Eingabe!$Q$18-1),MATCH(100,Eingabe!$P$9:$P$18,1),"")</f>
        <v>2</v>
      </c>
      <c r="J105" s="7" t="n">
        <f aca="false">IF(I105="","",100-INDEX(Eingabe!$P$9:$P$18,I105))</f>
        <v>9</v>
      </c>
      <c r="K105" s="7" t="n">
        <f aca="false">IF(I105="","",INDEX(Eingabe!$E$9:$E$18,I105))</f>
        <v>53</v>
      </c>
    </row>
    <row r="106" customFormat="false" ht="15" hidden="false" customHeight="false" outlineLevel="0" collapsed="false">
      <c r="A106" s="0" t="str">
        <f aca="false">IF(I106="","",IF(J106=0,"Sparte "&amp;I106&amp;": "&amp;INDEX(Eingabe!$B$9:$B$18,I106)&amp;"  (Sparten-ID "&amp;INDEX(Eingabe!$D$9:$D$18,I106)&amp;", "&amp;K106&amp;" Parzellen)",IF(J106&lt;=K106,"   Parzelle "&amp;J106,IF(J106=K106+1,"   Vorstand",IF(J106=K106+2,"   Gäste",IF(J106=K106+3,"   Technik (Switches, Access Points)",""))))))</f>
        <v>   Parzelle 10</v>
      </c>
      <c r="B106" s="0" t="n">
        <f aca="false">IF(I106="","",IF(AND(J106&gt;=1,J106&lt;=K106+3),IF(J106&lt;=K106,IF(J106&lt;=99,IF((INDEX(Eingabe!$G$9:$G$18,I106))&lt;=9,1000+(INDEX(Eingabe!$G$9:$G$18,I106))*100,3000)+J106,IF((INDEX(Eingabe!$G$9:$G$18,I106)+1)&lt;=9,1000+(INDEX(Eingabe!$G$9:$G$18,I106)+1)*100,3000)+J106-100),IF(J106=K106+1,2000+INDEX(Eingabe!$G$9:$G$18,I106)*10+1,IF(J106=K106+2,2000+INDEX(Eingabe!$G$9:$G$18,I106)*10+2,2000+INDEX(Eingabe!$G$9:$G$18,I106)*10+9))),""))</f>
        <v>1210</v>
      </c>
      <c r="C106" s="0" t="str">
        <f aca="false">IF(I106="","",IF(AND(J106&gt;=1,J106&lt;=K106+3),"10."&amp;INDEX(Eingabe!$D$9:$D$18,I106)&amp;"."&amp;IF(J106&lt;=K106,J106,IF(J106=K106+1,200,IF(J106=K106+2,201,250)))&amp;".0/24",""))</f>
        <v>10.2.10.0/24</v>
      </c>
      <c r="D106" s="0" t="str">
        <f aca="false">IF(I106="","",IF(AND(J106&gt;=1,J106&lt;=K106+3),"255.255.255.0",""))</f>
        <v>255.255.255.0</v>
      </c>
      <c r="E106" s="0" t="str">
        <f aca="false">IF(I106="","",IF(AND(J106&gt;=1,J106&lt;=K106+3),"10."&amp;INDEX(Eingabe!$D$9:$D$18,I106)&amp;"."&amp;IF(J106&lt;=K106,J106,IF(J106=K106+1,200,IF(J106=K106+2,201,250)))&amp;".1",""))</f>
        <v>10.2.10.1</v>
      </c>
      <c r="F106" s="0" t="str">
        <f aca="false">IF(I106="","",IF(AND(J106&gt;=1,J106&lt;=K106+3),"10."&amp;INDEX(Eingabe!$D$9:$D$18,I106)&amp;"."&amp;IF(J106&lt;=K106,J106,IF(J106=K106+1,200,IF(J106=K106+2,201,250)))&amp;".10 – 10."&amp;INDEX(Eingabe!$D$9:$D$18,I106)&amp;"."&amp;IF(J106&lt;=K106,J106,IF(J106=K106+1,200,IF(J106=K106+2,201,250)))&amp;".250",""))</f>
        <v>10.2.10.10 – 10.2.10.250</v>
      </c>
      <c r="G106" s="0" t="str">
        <f aca="false">IF(I106="","",IF(AND(J106&gt;=1,J106&lt;=K106),Eingabe!$B$6&amp;"-"&amp;INDEX(Eingabe!$C$9:$C$18,I106)&amp;"-Pächter  ·  Passwort Parzelle "&amp;J106,IF(J106=K106+1,Eingabe!$B$6&amp;"-"&amp;INDEX(Eingabe!$C$9:$C$18,I106)&amp;"-Vorstand  ·  eigenes WLAN",IF(J106=K106+2,Eingabe!$B$6&amp;"-"&amp;INDEX(Eingabe!$C$9:$C$18,I106)&amp;"-Gäste  ·  Voucher",IF(J106=K106+3,"Kabel  ·  Access Point y = .(50+y), Mast-Switch x = .(10+x)","")))))</f>
        <v>SparteNet.de-MW-Pächter  ·  Passwort Parzelle 10</v>
      </c>
      <c r="I106" s="7" t="n">
        <f aca="false">IF(101&lt;=(Eingabe!$P$18+Eingabe!$Q$18-1),MATCH(101,Eingabe!$P$9:$P$18,1),"")</f>
        <v>2</v>
      </c>
      <c r="J106" s="7" t="n">
        <f aca="false">IF(I106="","",101-INDEX(Eingabe!$P$9:$P$18,I106))</f>
        <v>10</v>
      </c>
      <c r="K106" s="7" t="n">
        <f aca="false">IF(I106="","",INDEX(Eingabe!$E$9:$E$18,I106))</f>
        <v>53</v>
      </c>
    </row>
    <row r="107" customFormat="false" ht="15" hidden="false" customHeight="false" outlineLevel="0" collapsed="false">
      <c r="A107" s="0" t="str">
        <f aca="false">IF(I107="","",IF(J107=0,"Sparte "&amp;I107&amp;": "&amp;INDEX(Eingabe!$B$9:$B$18,I107)&amp;"  (Sparten-ID "&amp;INDEX(Eingabe!$D$9:$D$18,I107)&amp;", "&amp;K107&amp;" Parzellen)",IF(J107&lt;=K107,"   Parzelle "&amp;J107,IF(J107=K107+1,"   Vorstand",IF(J107=K107+2,"   Gäste",IF(J107=K107+3,"   Technik (Switches, Access Points)",""))))))</f>
        <v>   Parzelle 11</v>
      </c>
      <c r="B107" s="0" t="n">
        <f aca="false">IF(I107="","",IF(AND(J107&gt;=1,J107&lt;=K107+3),IF(J107&lt;=K107,IF(J107&lt;=99,IF((INDEX(Eingabe!$G$9:$G$18,I107))&lt;=9,1000+(INDEX(Eingabe!$G$9:$G$18,I107))*100,3000)+J107,IF((INDEX(Eingabe!$G$9:$G$18,I107)+1)&lt;=9,1000+(INDEX(Eingabe!$G$9:$G$18,I107)+1)*100,3000)+J107-100),IF(J107=K107+1,2000+INDEX(Eingabe!$G$9:$G$18,I107)*10+1,IF(J107=K107+2,2000+INDEX(Eingabe!$G$9:$G$18,I107)*10+2,2000+INDEX(Eingabe!$G$9:$G$18,I107)*10+9))),""))</f>
        <v>1211</v>
      </c>
      <c r="C107" s="0" t="str">
        <f aca="false">IF(I107="","",IF(AND(J107&gt;=1,J107&lt;=K107+3),"10."&amp;INDEX(Eingabe!$D$9:$D$18,I107)&amp;"."&amp;IF(J107&lt;=K107,J107,IF(J107=K107+1,200,IF(J107=K107+2,201,250)))&amp;".0/24",""))</f>
        <v>10.2.11.0/24</v>
      </c>
      <c r="D107" s="0" t="str">
        <f aca="false">IF(I107="","",IF(AND(J107&gt;=1,J107&lt;=K107+3),"255.255.255.0",""))</f>
        <v>255.255.255.0</v>
      </c>
      <c r="E107" s="0" t="str">
        <f aca="false">IF(I107="","",IF(AND(J107&gt;=1,J107&lt;=K107+3),"10."&amp;INDEX(Eingabe!$D$9:$D$18,I107)&amp;"."&amp;IF(J107&lt;=K107,J107,IF(J107=K107+1,200,IF(J107=K107+2,201,250)))&amp;".1",""))</f>
        <v>10.2.11.1</v>
      </c>
      <c r="F107" s="0" t="str">
        <f aca="false">IF(I107="","",IF(AND(J107&gt;=1,J107&lt;=K107+3),"10."&amp;INDEX(Eingabe!$D$9:$D$18,I107)&amp;"."&amp;IF(J107&lt;=K107,J107,IF(J107=K107+1,200,IF(J107=K107+2,201,250)))&amp;".10 – 10."&amp;INDEX(Eingabe!$D$9:$D$18,I107)&amp;"."&amp;IF(J107&lt;=K107,J107,IF(J107=K107+1,200,IF(J107=K107+2,201,250)))&amp;".250",""))</f>
        <v>10.2.11.10 – 10.2.11.250</v>
      </c>
      <c r="G107" s="0" t="str">
        <f aca="false">IF(I107="","",IF(AND(J107&gt;=1,J107&lt;=K107),Eingabe!$B$6&amp;"-"&amp;INDEX(Eingabe!$C$9:$C$18,I107)&amp;"-Pächter  ·  Passwort Parzelle "&amp;J107,IF(J107=K107+1,Eingabe!$B$6&amp;"-"&amp;INDEX(Eingabe!$C$9:$C$18,I107)&amp;"-Vorstand  ·  eigenes WLAN",IF(J107=K107+2,Eingabe!$B$6&amp;"-"&amp;INDEX(Eingabe!$C$9:$C$18,I107)&amp;"-Gäste  ·  Voucher",IF(J107=K107+3,"Kabel  ·  Access Point y = .(50+y), Mast-Switch x = .(10+x)","")))))</f>
        <v>SparteNet.de-MW-Pächter  ·  Passwort Parzelle 11</v>
      </c>
      <c r="I107" s="7" t="n">
        <f aca="false">IF(102&lt;=(Eingabe!$P$18+Eingabe!$Q$18-1),MATCH(102,Eingabe!$P$9:$P$18,1),"")</f>
        <v>2</v>
      </c>
      <c r="J107" s="7" t="n">
        <f aca="false">IF(I107="","",102-INDEX(Eingabe!$P$9:$P$18,I107))</f>
        <v>11</v>
      </c>
      <c r="K107" s="7" t="n">
        <f aca="false">IF(I107="","",INDEX(Eingabe!$E$9:$E$18,I107))</f>
        <v>53</v>
      </c>
    </row>
    <row r="108" customFormat="false" ht="15" hidden="false" customHeight="false" outlineLevel="0" collapsed="false">
      <c r="A108" s="0" t="str">
        <f aca="false">IF(I108="","",IF(J108=0,"Sparte "&amp;I108&amp;": "&amp;INDEX(Eingabe!$B$9:$B$18,I108)&amp;"  (Sparten-ID "&amp;INDEX(Eingabe!$D$9:$D$18,I108)&amp;", "&amp;K108&amp;" Parzellen)",IF(J108&lt;=K108,"   Parzelle "&amp;J108,IF(J108=K108+1,"   Vorstand",IF(J108=K108+2,"   Gäste",IF(J108=K108+3,"   Technik (Switches, Access Points)",""))))))</f>
        <v>   Parzelle 12</v>
      </c>
      <c r="B108" s="0" t="n">
        <f aca="false">IF(I108="","",IF(AND(J108&gt;=1,J108&lt;=K108+3),IF(J108&lt;=K108,IF(J108&lt;=99,IF((INDEX(Eingabe!$G$9:$G$18,I108))&lt;=9,1000+(INDEX(Eingabe!$G$9:$G$18,I108))*100,3000)+J108,IF((INDEX(Eingabe!$G$9:$G$18,I108)+1)&lt;=9,1000+(INDEX(Eingabe!$G$9:$G$18,I108)+1)*100,3000)+J108-100),IF(J108=K108+1,2000+INDEX(Eingabe!$G$9:$G$18,I108)*10+1,IF(J108=K108+2,2000+INDEX(Eingabe!$G$9:$G$18,I108)*10+2,2000+INDEX(Eingabe!$G$9:$G$18,I108)*10+9))),""))</f>
        <v>1212</v>
      </c>
      <c r="C108" s="0" t="str">
        <f aca="false">IF(I108="","",IF(AND(J108&gt;=1,J108&lt;=K108+3),"10."&amp;INDEX(Eingabe!$D$9:$D$18,I108)&amp;"."&amp;IF(J108&lt;=K108,J108,IF(J108=K108+1,200,IF(J108=K108+2,201,250)))&amp;".0/24",""))</f>
        <v>10.2.12.0/24</v>
      </c>
      <c r="D108" s="0" t="str">
        <f aca="false">IF(I108="","",IF(AND(J108&gt;=1,J108&lt;=K108+3),"255.255.255.0",""))</f>
        <v>255.255.255.0</v>
      </c>
      <c r="E108" s="0" t="str">
        <f aca="false">IF(I108="","",IF(AND(J108&gt;=1,J108&lt;=K108+3),"10."&amp;INDEX(Eingabe!$D$9:$D$18,I108)&amp;"."&amp;IF(J108&lt;=K108,J108,IF(J108=K108+1,200,IF(J108=K108+2,201,250)))&amp;".1",""))</f>
        <v>10.2.12.1</v>
      </c>
      <c r="F108" s="0" t="str">
        <f aca="false">IF(I108="","",IF(AND(J108&gt;=1,J108&lt;=K108+3),"10."&amp;INDEX(Eingabe!$D$9:$D$18,I108)&amp;"."&amp;IF(J108&lt;=K108,J108,IF(J108=K108+1,200,IF(J108=K108+2,201,250)))&amp;".10 – 10."&amp;INDEX(Eingabe!$D$9:$D$18,I108)&amp;"."&amp;IF(J108&lt;=K108,J108,IF(J108=K108+1,200,IF(J108=K108+2,201,250)))&amp;".250",""))</f>
        <v>10.2.12.10 – 10.2.12.250</v>
      </c>
      <c r="G108" s="0" t="str">
        <f aca="false">IF(I108="","",IF(AND(J108&gt;=1,J108&lt;=K108),Eingabe!$B$6&amp;"-"&amp;INDEX(Eingabe!$C$9:$C$18,I108)&amp;"-Pächter  ·  Passwort Parzelle "&amp;J108,IF(J108=K108+1,Eingabe!$B$6&amp;"-"&amp;INDEX(Eingabe!$C$9:$C$18,I108)&amp;"-Vorstand  ·  eigenes WLAN",IF(J108=K108+2,Eingabe!$B$6&amp;"-"&amp;INDEX(Eingabe!$C$9:$C$18,I108)&amp;"-Gäste  ·  Voucher",IF(J108=K108+3,"Kabel  ·  Access Point y = .(50+y), Mast-Switch x = .(10+x)","")))))</f>
        <v>SparteNet.de-MW-Pächter  ·  Passwort Parzelle 12</v>
      </c>
      <c r="I108" s="7" t="n">
        <f aca="false">IF(103&lt;=(Eingabe!$P$18+Eingabe!$Q$18-1),MATCH(103,Eingabe!$P$9:$P$18,1),"")</f>
        <v>2</v>
      </c>
      <c r="J108" s="7" t="n">
        <f aca="false">IF(I108="","",103-INDEX(Eingabe!$P$9:$P$18,I108))</f>
        <v>12</v>
      </c>
      <c r="K108" s="7" t="n">
        <f aca="false">IF(I108="","",INDEX(Eingabe!$E$9:$E$18,I108))</f>
        <v>53</v>
      </c>
    </row>
    <row r="109" customFormat="false" ht="15" hidden="false" customHeight="false" outlineLevel="0" collapsed="false">
      <c r="A109" s="0" t="str">
        <f aca="false">IF(I109="","",IF(J109=0,"Sparte "&amp;I109&amp;": "&amp;INDEX(Eingabe!$B$9:$B$18,I109)&amp;"  (Sparten-ID "&amp;INDEX(Eingabe!$D$9:$D$18,I109)&amp;", "&amp;K109&amp;" Parzellen)",IF(J109&lt;=K109,"   Parzelle "&amp;J109,IF(J109=K109+1,"   Vorstand",IF(J109=K109+2,"   Gäste",IF(J109=K109+3,"   Technik (Switches, Access Points)",""))))))</f>
        <v>   Parzelle 13</v>
      </c>
      <c r="B109" s="0" t="n">
        <f aca="false">IF(I109="","",IF(AND(J109&gt;=1,J109&lt;=K109+3),IF(J109&lt;=K109,IF(J109&lt;=99,IF((INDEX(Eingabe!$G$9:$G$18,I109))&lt;=9,1000+(INDEX(Eingabe!$G$9:$G$18,I109))*100,3000)+J109,IF((INDEX(Eingabe!$G$9:$G$18,I109)+1)&lt;=9,1000+(INDEX(Eingabe!$G$9:$G$18,I109)+1)*100,3000)+J109-100),IF(J109=K109+1,2000+INDEX(Eingabe!$G$9:$G$18,I109)*10+1,IF(J109=K109+2,2000+INDEX(Eingabe!$G$9:$G$18,I109)*10+2,2000+INDEX(Eingabe!$G$9:$G$18,I109)*10+9))),""))</f>
        <v>1213</v>
      </c>
      <c r="C109" s="0" t="str">
        <f aca="false">IF(I109="","",IF(AND(J109&gt;=1,J109&lt;=K109+3),"10."&amp;INDEX(Eingabe!$D$9:$D$18,I109)&amp;"."&amp;IF(J109&lt;=K109,J109,IF(J109=K109+1,200,IF(J109=K109+2,201,250)))&amp;".0/24",""))</f>
        <v>10.2.13.0/24</v>
      </c>
      <c r="D109" s="0" t="str">
        <f aca="false">IF(I109="","",IF(AND(J109&gt;=1,J109&lt;=K109+3),"255.255.255.0",""))</f>
        <v>255.255.255.0</v>
      </c>
      <c r="E109" s="0" t="str">
        <f aca="false">IF(I109="","",IF(AND(J109&gt;=1,J109&lt;=K109+3),"10."&amp;INDEX(Eingabe!$D$9:$D$18,I109)&amp;"."&amp;IF(J109&lt;=K109,J109,IF(J109=K109+1,200,IF(J109=K109+2,201,250)))&amp;".1",""))</f>
        <v>10.2.13.1</v>
      </c>
      <c r="F109" s="0" t="str">
        <f aca="false">IF(I109="","",IF(AND(J109&gt;=1,J109&lt;=K109+3),"10."&amp;INDEX(Eingabe!$D$9:$D$18,I109)&amp;"."&amp;IF(J109&lt;=K109,J109,IF(J109=K109+1,200,IF(J109=K109+2,201,250)))&amp;".10 – 10."&amp;INDEX(Eingabe!$D$9:$D$18,I109)&amp;"."&amp;IF(J109&lt;=K109,J109,IF(J109=K109+1,200,IF(J109=K109+2,201,250)))&amp;".250",""))</f>
        <v>10.2.13.10 – 10.2.13.250</v>
      </c>
      <c r="G109" s="0" t="str">
        <f aca="false">IF(I109="","",IF(AND(J109&gt;=1,J109&lt;=K109),Eingabe!$B$6&amp;"-"&amp;INDEX(Eingabe!$C$9:$C$18,I109)&amp;"-Pächter  ·  Passwort Parzelle "&amp;J109,IF(J109=K109+1,Eingabe!$B$6&amp;"-"&amp;INDEX(Eingabe!$C$9:$C$18,I109)&amp;"-Vorstand  ·  eigenes WLAN",IF(J109=K109+2,Eingabe!$B$6&amp;"-"&amp;INDEX(Eingabe!$C$9:$C$18,I109)&amp;"-Gäste  ·  Voucher",IF(J109=K109+3,"Kabel  ·  Access Point y = .(50+y), Mast-Switch x = .(10+x)","")))))</f>
        <v>SparteNet.de-MW-Pächter  ·  Passwort Parzelle 13</v>
      </c>
      <c r="I109" s="7" t="n">
        <f aca="false">IF(104&lt;=(Eingabe!$P$18+Eingabe!$Q$18-1),MATCH(104,Eingabe!$P$9:$P$18,1),"")</f>
        <v>2</v>
      </c>
      <c r="J109" s="7" t="n">
        <f aca="false">IF(I109="","",104-INDEX(Eingabe!$P$9:$P$18,I109))</f>
        <v>13</v>
      </c>
      <c r="K109" s="7" t="n">
        <f aca="false">IF(I109="","",INDEX(Eingabe!$E$9:$E$18,I109))</f>
        <v>53</v>
      </c>
    </row>
    <row r="110" customFormat="false" ht="15" hidden="false" customHeight="false" outlineLevel="0" collapsed="false">
      <c r="A110" s="0" t="str">
        <f aca="false">IF(I110="","",IF(J110=0,"Sparte "&amp;I110&amp;": "&amp;INDEX(Eingabe!$B$9:$B$18,I110)&amp;"  (Sparten-ID "&amp;INDEX(Eingabe!$D$9:$D$18,I110)&amp;", "&amp;K110&amp;" Parzellen)",IF(J110&lt;=K110,"   Parzelle "&amp;J110,IF(J110=K110+1,"   Vorstand",IF(J110=K110+2,"   Gäste",IF(J110=K110+3,"   Technik (Switches, Access Points)",""))))))</f>
        <v>   Parzelle 14</v>
      </c>
      <c r="B110" s="0" t="n">
        <f aca="false">IF(I110="","",IF(AND(J110&gt;=1,J110&lt;=K110+3),IF(J110&lt;=K110,IF(J110&lt;=99,IF((INDEX(Eingabe!$G$9:$G$18,I110))&lt;=9,1000+(INDEX(Eingabe!$G$9:$G$18,I110))*100,3000)+J110,IF((INDEX(Eingabe!$G$9:$G$18,I110)+1)&lt;=9,1000+(INDEX(Eingabe!$G$9:$G$18,I110)+1)*100,3000)+J110-100),IF(J110=K110+1,2000+INDEX(Eingabe!$G$9:$G$18,I110)*10+1,IF(J110=K110+2,2000+INDEX(Eingabe!$G$9:$G$18,I110)*10+2,2000+INDEX(Eingabe!$G$9:$G$18,I110)*10+9))),""))</f>
        <v>1214</v>
      </c>
      <c r="C110" s="0" t="str">
        <f aca="false">IF(I110="","",IF(AND(J110&gt;=1,J110&lt;=K110+3),"10."&amp;INDEX(Eingabe!$D$9:$D$18,I110)&amp;"."&amp;IF(J110&lt;=K110,J110,IF(J110=K110+1,200,IF(J110=K110+2,201,250)))&amp;".0/24",""))</f>
        <v>10.2.14.0/24</v>
      </c>
      <c r="D110" s="0" t="str">
        <f aca="false">IF(I110="","",IF(AND(J110&gt;=1,J110&lt;=K110+3),"255.255.255.0",""))</f>
        <v>255.255.255.0</v>
      </c>
      <c r="E110" s="0" t="str">
        <f aca="false">IF(I110="","",IF(AND(J110&gt;=1,J110&lt;=K110+3),"10."&amp;INDEX(Eingabe!$D$9:$D$18,I110)&amp;"."&amp;IF(J110&lt;=K110,J110,IF(J110=K110+1,200,IF(J110=K110+2,201,250)))&amp;".1",""))</f>
        <v>10.2.14.1</v>
      </c>
      <c r="F110" s="0" t="str">
        <f aca="false">IF(I110="","",IF(AND(J110&gt;=1,J110&lt;=K110+3),"10."&amp;INDEX(Eingabe!$D$9:$D$18,I110)&amp;"."&amp;IF(J110&lt;=K110,J110,IF(J110=K110+1,200,IF(J110=K110+2,201,250)))&amp;".10 – 10."&amp;INDEX(Eingabe!$D$9:$D$18,I110)&amp;"."&amp;IF(J110&lt;=K110,J110,IF(J110=K110+1,200,IF(J110=K110+2,201,250)))&amp;".250",""))</f>
        <v>10.2.14.10 – 10.2.14.250</v>
      </c>
      <c r="G110" s="0" t="str">
        <f aca="false">IF(I110="","",IF(AND(J110&gt;=1,J110&lt;=K110),Eingabe!$B$6&amp;"-"&amp;INDEX(Eingabe!$C$9:$C$18,I110)&amp;"-Pächter  ·  Passwort Parzelle "&amp;J110,IF(J110=K110+1,Eingabe!$B$6&amp;"-"&amp;INDEX(Eingabe!$C$9:$C$18,I110)&amp;"-Vorstand  ·  eigenes WLAN",IF(J110=K110+2,Eingabe!$B$6&amp;"-"&amp;INDEX(Eingabe!$C$9:$C$18,I110)&amp;"-Gäste  ·  Voucher",IF(J110=K110+3,"Kabel  ·  Access Point y = .(50+y), Mast-Switch x = .(10+x)","")))))</f>
        <v>SparteNet.de-MW-Pächter  ·  Passwort Parzelle 14</v>
      </c>
      <c r="I110" s="7" t="n">
        <f aca="false">IF(105&lt;=(Eingabe!$P$18+Eingabe!$Q$18-1),MATCH(105,Eingabe!$P$9:$P$18,1),"")</f>
        <v>2</v>
      </c>
      <c r="J110" s="7" t="n">
        <f aca="false">IF(I110="","",105-INDEX(Eingabe!$P$9:$P$18,I110))</f>
        <v>14</v>
      </c>
      <c r="K110" s="7" t="n">
        <f aca="false">IF(I110="","",INDEX(Eingabe!$E$9:$E$18,I110))</f>
        <v>53</v>
      </c>
    </row>
    <row r="111" customFormat="false" ht="15" hidden="false" customHeight="false" outlineLevel="0" collapsed="false">
      <c r="A111" s="0" t="str">
        <f aca="false">IF(I111="","",IF(J111=0,"Sparte "&amp;I111&amp;": "&amp;INDEX(Eingabe!$B$9:$B$18,I111)&amp;"  (Sparten-ID "&amp;INDEX(Eingabe!$D$9:$D$18,I111)&amp;", "&amp;K111&amp;" Parzellen)",IF(J111&lt;=K111,"   Parzelle "&amp;J111,IF(J111=K111+1,"   Vorstand",IF(J111=K111+2,"   Gäste",IF(J111=K111+3,"   Technik (Switches, Access Points)",""))))))</f>
        <v>   Parzelle 15</v>
      </c>
      <c r="B111" s="0" t="n">
        <f aca="false">IF(I111="","",IF(AND(J111&gt;=1,J111&lt;=K111+3),IF(J111&lt;=K111,IF(J111&lt;=99,IF((INDEX(Eingabe!$G$9:$G$18,I111))&lt;=9,1000+(INDEX(Eingabe!$G$9:$G$18,I111))*100,3000)+J111,IF((INDEX(Eingabe!$G$9:$G$18,I111)+1)&lt;=9,1000+(INDEX(Eingabe!$G$9:$G$18,I111)+1)*100,3000)+J111-100),IF(J111=K111+1,2000+INDEX(Eingabe!$G$9:$G$18,I111)*10+1,IF(J111=K111+2,2000+INDEX(Eingabe!$G$9:$G$18,I111)*10+2,2000+INDEX(Eingabe!$G$9:$G$18,I111)*10+9))),""))</f>
        <v>1215</v>
      </c>
      <c r="C111" s="0" t="str">
        <f aca="false">IF(I111="","",IF(AND(J111&gt;=1,J111&lt;=K111+3),"10."&amp;INDEX(Eingabe!$D$9:$D$18,I111)&amp;"."&amp;IF(J111&lt;=K111,J111,IF(J111=K111+1,200,IF(J111=K111+2,201,250)))&amp;".0/24",""))</f>
        <v>10.2.15.0/24</v>
      </c>
      <c r="D111" s="0" t="str">
        <f aca="false">IF(I111="","",IF(AND(J111&gt;=1,J111&lt;=K111+3),"255.255.255.0",""))</f>
        <v>255.255.255.0</v>
      </c>
      <c r="E111" s="0" t="str">
        <f aca="false">IF(I111="","",IF(AND(J111&gt;=1,J111&lt;=K111+3),"10."&amp;INDEX(Eingabe!$D$9:$D$18,I111)&amp;"."&amp;IF(J111&lt;=K111,J111,IF(J111=K111+1,200,IF(J111=K111+2,201,250)))&amp;".1",""))</f>
        <v>10.2.15.1</v>
      </c>
      <c r="F111" s="0" t="str">
        <f aca="false">IF(I111="","",IF(AND(J111&gt;=1,J111&lt;=K111+3),"10."&amp;INDEX(Eingabe!$D$9:$D$18,I111)&amp;"."&amp;IF(J111&lt;=K111,J111,IF(J111=K111+1,200,IF(J111=K111+2,201,250)))&amp;".10 – 10."&amp;INDEX(Eingabe!$D$9:$D$18,I111)&amp;"."&amp;IF(J111&lt;=K111,J111,IF(J111=K111+1,200,IF(J111=K111+2,201,250)))&amp;".250",""))</f>
        <v>10.2.15.10 – 10.2.15.250</v>
      </c>
      <c r="G111" s="0" t="str">
        <f aca="false">IF(I111="","",IF(AND(J111&gt;=1,J111&lt;=K111),Eingabe!$B$6&amp;"-"&amp;INDEX(Eingabe!$C$9:$C$18,I111)&amp;"-Pächter  ·  Passwort Parzelle "&amp;J111,IF(J111=K111+1,Eingabe!$B$6&amp;"-"&amp;INDEX(Eingabe!$C$9:$C$18,I111)&amp;"-Vorstand  ·  eigenes WLAN",IF(J111=K111+2,Eingabe!$B$6&amp;"-"&amp;INDEX(Eingabe!$C$9:$C$18,I111)&amp;"-Gäste  ·  Voucher",IF(J111=K111+3,"Kabel  ·  Access Point y = .(50+y), Mast-Switch x = .(10+x)","")))))</f>
        <v>SparteNet.de-MW-Pächter  ·  Passwort Parzelle 15</v>
      </c>
      <c r="I111" s="7" t="n">
        <f aca="false">IF(106&lt;=(Eingabe!$P$18+Eingabe!$Q$18-1),MATCH(106,Eingabe!$P$9:$P$18,1),"")</f>
        <v>2</v>
      </c>
      <c r="J111" s="7" t="n">
        <f aca="false">IF(I111="","",106-INDEX(Eingabe!$P$9:$P$18,I111))</f>
        <v>15</v>
      </c>
      <c r="K111" s="7" t="n">
        <f aca="false">IF(I111="","",INDEX(Eingabe!$E$9:$E$18,I111))</f>
        <v>53</v>
      </c>
    </row>
    <row r="112" customFormat="false" ht="15" hidden="false" customHeight="false" outlineLevel="0" collapsed="false">
      <c r="A112" s="0" t="str">
        <f aca="false">IF(I112="","",IF(J112=0,"Sparte "&amp;I112&amp;": "&amp;INDEX(Eingabe!$B$9:$B$18,I112)&amp;"  (Sparten-ID "&amp;INDEX(Eingabe!$D$9:$D$18,I112)&amp;", "&amp;K112&amp;" Parzellen)",IF(J112&lt;=K112,"   Parzelle "&amp;J112,IF(J112=K112+1,"   Vorstand",IF(J112=K112+2,"   Gäste",IF(J112=K112+3,"   Technik (Switches, Access Points)",""))))))</f>
        <v>   Parzelle 16</v>
      </c>
      <c r="B112" s="0" t="n">
        <f aca="false">IF(I112="","",IF(AND(J112&gt;=1,J112&lt;=K112+3),IF(J112&lt;=K112,IF(J112&lt;=99,IF((INDEX(Eingabe!$G$9:$G$18,I112))&lt;=9,1000+(INDEX(Eingabe!$G$9:$G$18,I112))*100,3000)+J112,IF((INDEX(Eingabe!$G$9:$G$18,I112)+1)&lt;=9,1000+(INDEX(Eingabe!$G$9:$G$18,I112)+1)*100,3000)+J112-100),IF(J112=K112+1,2000+INDEX(Eingabe!$G$9:$G$18,I112)*10+1,IF(J112=K112+2,2000+INDEX(Eingabe!$G$9:$G$18,I112)*10+2,2000+INDEX(Eingabe!$G$9:$G$18,I112)*10+9))),""))</f>
        <v>1216</v>
      </c>
      <c r="C112" s="0" t="str">
        <f aca="false">IF(I112="","",IF(AND(J112&gt;=1,J112&lt;=K112+3),"10."&amp;INDEX(Eingabe!$D$9:$D$18,I112)&amp;"."&amp;IF(J112&lt;=K112,J112,IF(J112=K112+1,200,IF(J112=K112+2,201,250)))&amp;".0/24",""))</f>
        <v>10.2.16.0/24</v>
      </c>
      <c r="D112" s="0" t="str">
        <f aca="false">IF(I112="","",IF(AND(J112&gt;=1,J112&lt;=K112+3),"255.255.255.0",""))</f>
        <v>255.255.255.0</v>
      </c>
      <c r="E112" s="0" t="str">
        <f aca="false">IF(I112="","",IF(AND(J112&gt;=1,J112&lt;=K112+3),"10."&amp;INDEX(Eingabe!$D$9:$D$18,I112)&amp;"."&amp;IF(J112&lt;=K112,J112,IF(J112=K112+1,200,IF(J112=K112+2,201,250)))&amp;".1",""))</f>
        <v>10.2.16.1</v>
      </c>
      <c r="F112" s="0" t="str">
        <f aca="false">IF(I112="","",IF(AND(J112&gt;=1,J112&lt;=K112+3),"10."&amp;INDEX(Eingabe!$D$9:$D$18,I112)&amp;"."&amp;IF(J112&lt;=K112,J112,IF(J112=K112+1,200,IF(J112=K112+2,201,250)))&amp;".10 – 10."&amp;INDEX(Eingabe!$D$9:$D$18,I112)&amp;"."&amp;IF(J112&lt;=K112,J112,IF(J112=K112+1,200,IF(J112=K112+2,201,250)))&amp;".250",""))</f>
        <v>10.2.16.10 – 10.2.16.250</v>
      </c>
      <c r="G112" s="0" t="str">
        <f aca="false">IF(I112="","",IF(AND(J112&gt;=1,J112&lt;=K112),Eingabe!$B$6&amp;"-"&amp;INDEX(Eingabe!$C$9:$C$18,I112)&amp;"-Pächter  ·  Passwort Parzelle "&amp;J112,IF(J112=K112+1,Eingabe!$B$6&amp;"-"&amp;INDEX(Eingabe!$C$9:$C$18,I112)&amp;"-Vorstand  ·  eigenes WLAN",IF(J112=K112+2,Eingabe!$B$6&amp;"-"&amp;INDEX(Eingabe!$C$9:$C$18,I112)&amp;"-Gäste  ·  Voucher",IF(J112=K112+3,"Kabel  ·  Access Point y = .(50+y), Mast-Switch x = .(10+x)","")))))</f>
        <v>SparteNet.de-MW-Pächter  ·  Passwort Parzelle 16</v>
      </c>
      <c r="I112" s="7" t="n">
        <f aca="false">IF(107&lt;=(Eingabe!$P$18+Eingabe!$Q$18-1),MATCH(107,Eingabe!$P$9:$P$18,1),"")</f>
        <v>2</v>
      </c>
      <c r="J112" s="7" t="n">
        <f aca="false">IF(I112="","",107-INDEX(Eingabe!$P$9:$P$18,I112))</f>
        <v>16</v>
      </c>
      <c r="K112" s="7" t="n">
        <f aca="false">IF(I112="","",INDEX(Eingabe!$E$9:$E$18,I112))</f>
        <v>53</v>
      </c>
    </row>
    <row r="113" customFormat="false" ht="15" hidden="false" customHeight="false" outlineLevel="0" collapsed="false">
      <c r="A113" s="0" t="str">
        <f aca="false">IF(I113="","",IF(J113=0,"Sparte "&amp;I113&amp;": "&amp;INDEX(Eingabe!$B$9:$B$18,I113)&amp;"  (Sparten-ID "&amp;INDEX(Eingabe!$D$9:$D$18,I113)&amp;", "&amp;K113&amp;" Parzellen)",IF(J113&lt;=K113,"   Parzelle "&amp;J113,IF(J113=K113+1,"   Vorstand",IF(J113=K113+2,"   Gäste",IF(J113=K113+3,"   Technik (Switches, Access Points)",""))))))</f>
        <v>   Parzelle 17</v>
      </c>
      <c r="B113" s="0" t="n">
        <f aca="false">IF(I113="","",IF(AND(J113&gt;=1,J113&lt;=K113+3),IF(J113&lt;=K113,IF(J113&lt;=99,IF((INDEX(Eingabe!$G$9:$G$18,I113))&lt;=9,1000+(INDEX(Eingabe!$G$9:$G$18,I113))*100,3000)+J113,IF((INDEX(Eingabe!$G$9:$G$18,I113)+1)&lt;=9,1000+(INDEX(Eingabe!$G$9:$G$18,I113)+1)*100,3000)+J113-100),IF(J113=K113+1,2000+INDEX(Eingabe!$G$9:$G$18,I113)*10+1,IF(J113=K113+2,2000+INDEX(Eingabe!$G$9:$G$18,I113)*10+2,2000+INDEX(Eingabe!$G$9:$G$18,I113)*10+9))),""))</f>
        <v>1217</v>
      </c>
      <c r="C113" s="0" t="str">
        <f aca="false">IF(I113="","",IF(AND(J113&gt;=1,J113&lt;=K113+3),"10."&amp;INDEX(Eingabe!$D$9:$D$18,I113)&amp;"."&amp;IF(J113&lt;=K113,J113,IF(J113=K113+1,200,IF(J113=K113+2,201,250)))&amp;".0/24",""))</f>
        <v>10.2.17.0/24</v>
      </c>
      <c r="D113" s="0" t="str">
        <f aca="false">IF(I113="","",IF(AND(J113&gt;=1,J113&lt;=K113+3),"255.255.255.0",""))</f>
        <v>255.255.255.0</v>
      </c>
      <c r="E113" s="0" t="str">
        <f aca="false">IF(I113="","",IF(AND(J113&gt;=1,J113&lt;=K113+3),"10."&amp;INDEX(Eingabe!$D$9:$D$18,I113)&amp;"."&amp;IF(J113&lt;=K113,J113,IF(J113=K113+1,200,IF(J113=K113+2,201,250)))&amp;".1",""))</f>
        <v>10.2.17.1</v>
      </c>
      <c r="F113" s="0" t="str">
        <f aca="false">IF(I113="","",IF(AND(J113&gt;=1,J113&lt;=K113+3),"10."&amp;INDEX(Eingabe!$D$9:$D$18,I113)&amp;"."&amp;IF(J113&lt;=K113,J113,IF(J113=K113+1,200,IF(J113=K113+2,201,250)))&amp;".10 – 10."&amp;INDEX(Eingabe!$D$9:$D$18,I113)&amp;"."&amp;IF(J113&lt;=K113,J113,IF(J113=K113+1,200,IF(J113=K113+2,201,250)))&amp;".250",""))</f>
        <v>10.2.17.10 – 10.2.17.250</v>
      </c>
      <c r="G113" s="0" t="str">
        <f aca="false">IF(I113="","",IF(AND(J113&gt;=1,J113&lt;=K113),Eingabe!$B$6&amp;"-"&amp;INDEX(Eingabe!$C$9:$C$18,I113)&amp;"-Pächter  ·  Passwort Parzelle "&amp;J113,IF(J113=K113+1,Eingabe!$B$6&amp;"-"&amp;INDEX(Eingabe!$C$9:$C$18,I113)&amp;"-Vorstand  ·  eigenes WLAN",IF(J113=K113+2,Eingabe!$B$6&amp;"-"&amp;INDEX(Eingabe!$C$9:$C$18,I113)&amp;"-Gäste  ·  Voucher",IF(J113=K113+3,"Kabel  ·  Access Point y = .(50+y), Mast-Switch x = .(10+x)","")))))</f>
        <v>SparteNet.de-MW-Pächter  ·  Passwort Parzelle 17</v>
      </c>
      <c r="I113" s="7" t="n">
        <f aca="false">IF(108&lt;=(Eingabe!$P$18+Eingabe!$Q$18-1),MATCH(108,Eingabe!$P$9:$P$18,1),"")</f>
        <v>2</v>
      </c>
      <c r="J113" s="7" t="n">
        <f aca="false">IF(I113="","",108-INDEX(Eingabe!$P$9:$P$18,I113))</f>
        <v>17</v>
      </c>
      <c r="K113" s="7" t="n">
        <f aca="false">IF(I113="","",INDEX(Eingabe!$E$9:$E$18,I113))</f>
        <v>53</v>
      </c>
    </row>
    <row r="114" customFormat="false" ht="15" hidden="false" customHeight="false" outlineLevel="0" collapsed="false">
      <c r="A114" s="0" t="str">
        <f aca="false">IF(I114="","",IF(J114=0,"Sparte "&amp;I114&amp;": "&amp;INDEX(Eingabe!$B$9:$B$18,I114)&amp;"  (Sparten-ID "&amp;INDEX(Eingabe!$D$9:$D$18,I114)&amp;", "&amp;K114&amp;" Parzellen)",IF(J114&lt;=K114,"   Parzelle "&amp;J114,IF(J114=K114+1,"   Vorstand",IF(J114=K114+2,"   Gäste",IF(J114=K114+3,"   Technik (Switches, Access Points)",""))))))</f>
        <v>   Parzelle 18</v>
      </c>
      <c r="B114" s="0" t="n">
        <f aca="false">IF(I114="","",IF(AND(J114&gt;=1,J114&lt;=K114+3),IF(J114&lt;=K114,IF(J114&lt;=99,IF((INDEX(Eingabe!$G$9:$G$18,I114))&lt;=9,1000+(INDEX(Eingabe!$G$9:$G$18,I114))*100,3000)+J114,IF((INDEX(Eingabe!$G$9:$G$18,I114)+1)&lt;=9,1000+(INDEX(Eingabe!$G$9:$G$18,I114)+1)*100,3000)+J114-100),IF(J114=K114+1,2000+INDEX(Eingabe!$G$9:$G$18,I114)*10+1,IF(J114=K114+2,2000+INDEX(Eingabe!$G$9:$G$18,I114)*10+2,2000+INDEX(Eingabe!$G$9:$G$18,I114)*10+9))),""))</f>
        <v>1218</v>
      </c>
      <c r="C114" s="0" t="str">
        <f aca="false">IF(I114="","",IF(AND(J114&gt;=1,J114&lt;=K114+3),"10."&amp;INDEX(Eingabe!$D$9:$D$18,I114)&amp;"."&amp;IF(J114&lt;=K114,J114,IF(J114=K114+1,200,IF(J114=K114+2,201,250)))&amp;".0/24",""))</f>
        <v>10.2.18.0/24</v>
      </c>
      <c r="D114" s="0" t="str">
        <f aca="false">IF(I114="","",IF(AND(J114&gt;=1,J114&lt;=K114+3),"255.255.255.0",""))</f>
        <v>255.255.255.0</v>
      </c>
      <c r="E114" s="0" t="str">
        <f aca="false">IF(I114="","",IF(AND(J114&gt;=1,J114&lt;=K114+3),"10."&amp;INDEX(Eingabe!$D$9:$D$18,I114)&amp;"."&amp;IF(J114&lt;=K114,J114,IF(J114=K114+1,200,IF(J114=K114+2,201,250)))&amp;".1",""))</f>
        <v>10.2.18.1</v>
      </c>
      <c r="F114" s="0" t="str">
        <f aca="false">IF(I114="","",IF(AND(J114&gt;=1,J114&lt;=K114+3),"10."&amp;INDEX(Eingabe!$D$9:$D$18,I114)&amp;"."&amp;IF(J114&lt;=K114,J114,IF(J114=K114+1,200,IF(J114=K114+2,201,250)))&amp;".10 – 10."&amp;INDEX(Eingabe!$D$9:$D$18,I114)&amp;"."&amp;IF(J114&lt;=K114,J114,IF(J114=K114+1,200,IF(J114=K114+2,201,250)))&amp;".250",""))</f>
        <v>10.2.18.10 – 10.2.18.250</v>
      </c>
      <c r="G114" s="0" t="str">
        <f aca="false">IF(I114="","",IF(AND(J114&gt;=1,J114&lt;=K114),Eingabe!$B$6&amp;"-"&amp;INDEX(Eingabe!$C$9:$C$18,I114)&amp;"-Pächter  ·  Passwort Parzelle "&amp;J114,IF(J114=K114+1,Eingabe!$B$6&amp;"-"&amp;INDEX(Eingabe!$C$9:$C$18,I114)&amp;"-Vorstand  ·  eigenes WLAN",IF(J114=K114+2,Eingabe!$B$6&amp;"-"&amp;INDEX(Eingabe!$C$9:$C$18,I114)&amp;"-Gäste  ·  Voucher",IF(J114=K114+3,"Kabel  ·  Access Point y = .(50+y), Mast-Switch x = .(10+x)","")))))</f>
        <v>SparteNet.de-MW-Pächter  ·  Passwort Parzelle 18</v>
      </c>
      <c r="I114" s="7" t="n">
        <f aca="false">IF(109&lt;=(Eingabe!$P$18+Eingabe!$Q$18-1),MATCH(109,Eingabe!$P$9:$P$18,1),"")</f>
        <v>2</v>
      </c>
      <c r="J114" s="7" t="n">
        <f aca="false">IF(I114="","",109-INDEX(Eingabe!$P$9:$P$18,I114))</f>
        <v>18</v>
      </c>
      <c r="K114" s="7" t="n">
        <f aca="false">IF(I114="","",INDEX(Eingabe!$E$9:$E$18,I114))</f>
        <v>53</v>
      </c>
    </row>
    <row r="115" customFormat="false" ht="15" hidden="false" customHeight="false" outlineLevel="0" collapsed="false">
      <c r="A115" s="0" t="str">
        <f aca="false">IF(I115="","",IF(J115=0,"Sparte "&amp;I115&amp;": "&amp;INDEX(Eingabe!$B$9:$B$18,I115)&amp;"  (Sparten-ID "&amp;INDEX(Eingabe!$D$9:$D$18,I115)&amp;", "&amp;K115&amp;" Parzellen)",IF(J115&lt;=K115,"   Parzelle "&amp;J115,IF(J115=K115+1,"   Vorstand",IF(J115=K115+2,"   Gäste",IF(J115=K115+3,"   Technik (Switches, Access Points)",""))))))</f>
        <v>   Parzelle 19</v>
      </c>
      <c r="B115" s="0" t="n">
        <f aca="false">IF(I115="","",IF(AND(J115&gt;=1,J115&lt;=K115+3),IF(J115&lt;=K115,IF(J115&lt;=99,IF((INDEX(Eingabe!$G$9:$G$18,I115))&lt;=9,1000+(INDEX(Eingabe!$G$9:$G$18,I115))*100,3000)+J115,IF((INDEX(Eingabe!$G$9:$G$18,I115)+1)&lt;=9,1000+(INDEX(Eingabe!$G$9:$G$18,I115)+1)*100,3000)+J115-100),IF(J115=K115+1,2000+INDEX(Eingabe!$G$9:$G$18,I115)*10+1,IF(J115=K115+2,2000+INDEX(Eingabe!$G$9:$G$18,I115)*10+2,2000+INDEX(Eingabe!$G$9:$G$18,I115)*10+9))),""))</f>
        <v>1219</v>
      </c>
      <c r="C115" s="0" t="str">
        <f aca="false">IF(I115="","",IF(AND(J115&gt;=1,J115&lt;=K115+3),"10."&amp;INDEX(Eingabe!$D$9:$D$18,I115)&amp;"."&amp;IF(J115&lt;=K115,J115,IF(J115=K115+1,200,IF(J115=K115+2,201,250)))&amp;".0/24",""))</f>
        <v>10.2.19.0/24</v>
      </c>
      <c r="D115" s="0" t="str">
        <f aca="false">IF(I115="","",IF(AND(J115&gt;=1,J115&lt;=K115+3),"255.255.255.0",""))</f>
        <v>255.255.255.0</v>
      </c>
      <c r="E115" s="0" t="str">
        <f aca="false">IF(I115="","",IF(AND(J115&gt;=1,J115&lt;=K115+3),"10."&amp;INDEX(Eingabe!$D$9:$D$18,I115)&amp;"."&amp;IF(J115&lt;=K115,J115,IF(J115=K115+1,200,IF(J115=K115+2,201,250)))&amp;".1",""))</f>
        <v>10.2.19.1</v>
      </c>
      <c r="F115" s="0" t="str">
        <f aca="false">IF(I115="","",IF(AND(J115&gt;=1,J115&lt;=K115+3),"10."&amp;INDEX(Eingabe!$D$9:$D$18,I115)&amp;"."&amp;IF(J115&lt;=K115,J115,IF(J115=K115+1,200,IF(J115=K115+2,201,250)))&amp;".10 – 10."&amp;INDEX(Eingabe!$D$9:$D$18,I115)&amp;"."&amp;IF(J115&lt;=K115,J115,IF(J115=K115+1,200,IF(J115=K115+2,201,250)))&amp;".250",""))</f>
        <v>10.2.19.10 – 10.2.19.250</v>
      </c>
      <c r="G115" s="0" t="str">
        <f aca="false">IF(I115="","",IF(AND(J115&gt;=1,J115&lt;=K115),Eingabe!$B$6&amp;"-"&amp;INDEX(Eingabe!$C$9:$C$18,I115)&amp;"-Pächter  ·  Passwort Parzelle "&amp;J115,IF(J115=K115+1,Eingabe!$B$6&amp;"-"&amp;INDEX(Eingabe!$C$9:$C$18,I115)&amp;"-Vorstand  ·  eigenes WLAN",IF(J115=K115+2,Eingabe!$B$6&amp;"-"&amp;INDEX(Eingabe!$C$9:$C$18,I115)&amp;"-Gäste  ·  Voucher",IF(J115=K115+3,"Kabel  ·  Access Point y = .(50+y), Mast-Switch x = .(10+x)","")))))</f>
        <v>SparteNet.de-MW-Pächter  ·  Passwort Parzelle 19</v>
      </c>
      <c r="I115" s="7" t="n">
        <f aca="false">IF(110&lt;=(Eingabe!$P$18+Eingabe!$Q$18-1),MATCH(110,Eingabe!$P$9:$P$18,1),"")</f>
        <v>2</v>
      </c>
      <c r="J115" s="7" t="n">
        <f aca="false">IF(I115="","",110-INDEX(Eingabe!$P$9:$P$18,I115))</f>
        <v>19</v>
      </c>
      <c r="K115" s="7" t="n">
        <f aca="false">IF(I115="","",INDEX(Eingabe!$E$9:$E$18,I115))</f>
        <v>53</v>
      </c>
    </row>
    <row r="116" customFormat="false" ht="15" hidden="false" customHeight="false" outlineLevel="0" collapsed="false">
      <c r="A116" s="0" t="str">
        <f aca="false">IF(I116="","",IF(J116=0,"Sparte "&amp;I116&amp;": "&amp;INDEX(Eingabe!$B$9:$B$18,I116)&amp;"  (Sparten-ID "&amp;INDEX(Eingabe!$D$9:$D$18,I116)&amp;", "&amp;K116&amp;" Parzellen)",IF(J116&lt;=K116,"   Parzelle "&amp;J116,IF(J116=K116+1,"   Vorstand",IF(J116=K116+2,"   Gäste",IF(J116=K116+3,"   Technik (Switches, Access Points)",""))))))</f>
        <v>   Parzelle 20</v>
      </c>
      <c r="B116" s="0" t="n">
        <f aca="false">IF(I116="","",IF(AND(J116&gt;=1,J116&lt;=K116+3),IF(J116&lt;=K116,IF(J116&lt;=99,IF((INDEX(Eingabe!$G$9:$G$18,I116))&lt;=9,1000+(INDEX(Eingabe!$G$9:$G$18,I116))*100,3000)+J116,IF((INDEX(Eingabe!$G$9:$G$18,I116)+1)&lt;=9,1000+(INDEX(Eingabe!$G$9:$G$18,I116)+1)*100,3000)+J116-100),IF(J116=K116+1,2000+INDEX(Eingabe!$G$9:$G$18,I116)*10+1,IF(J116=K116+2,2000+INDEX(Eingabe!$G$9:$G$18,I116)*10+2,2000+INDEX(Eingabe!$G$9:$G$18,I116)*10+9))),""))</f>
        <v>1220</v>
      </c>
      <c r="C116" s="0" t="str">
        <f aca="false">IF(I116="","",IF(AND(J116&gt;=1,J116&lt;=K116+3),"10."&amp;INDEX(Eingabe!$D$9:$D$18,I116)&amp;"."&amp;IF(J116&lt;=K116,J116,IF(J116=K116+1,200,IF(J116=K116+2,201,250)))&amp;".0/24",""))</f>
        <v>10.2.20.0/24</v>
      </c>
      <c r="D116" s="0" t="str">
        <f aca="false">IF(I116="","",IF(AND(J116&gt;=1,J116&lt;=K116+3),"255.255.255.0",""))</f>
        <v>255.255.255.0</v>
      </c>
      <c r="E116" s="0" t="str">
        <f aca="false">IF(I116="","",IF(AND(J116&gt;=1,J116&lt;=K116+3),"10."&amp;INDEX(Eingabe!$D$9:$D$18,I116)&amp;"."&amp;IF(J116&lt;=K116,J116,IF(J116=K116+1,200,IF(J116=K116+2,201,250)))&amp;".1",""))</f>
        <v>10.2.20.1</v>
      </c>
      <c r="F116" s="0" t="str">
        <f aca="false">IF(I116="","",IF(AND(J116&gt;=1,J116&lt;=K116+3),"10."&amp;INDEX(Eingabe!$D$9:$D$18,I116)&amp;"."&amp;IF(J116&lt;=K116,J116,IF(J116=K116+1,200,IF(J116=K116+2,201,250)))&amp;".10 – 10."&amp;INDEX(Eingabe!$D$9:$D$18,I116)&amp;"."&amp;IF(J116&lt;=K116,J116,IF(J116=K116+1,200,IF(J116=K116+2,201,250)))&amp;".250",""))</f>
        <v>10.2.20.10 – 10.2.20.250</v>
      </c>
      <c r="G116" s="0" t="str">
        <f aca="false">IF(I116="","",IF(AND(J116&gt;=1,J116&lt;=K116),Eingabe!$B$6&amp;"-"&amp;INDEX(Eingabe!$C$9:$C$18,I116)&amp;"-Pächter  ·  Passwort Parzelle "&amp;J116,IF(J116=K116+1,Eingabe!$B$6&amp;"-"&amp;INDEX(Eingabe!$C$9:$C$18,I116)&amp;"-Vorstand  ·  eigenes WLAN",IF(J116=K116+2,Eingabe!$B$6&amp;"-"&amp;INDEX(Eingabe!$C$9:$C$18,I116)&amp;"-Gäste  ·  Voucher",IF(J116=K116+3,"Kabel  ·  Access Point y = .(50+y), Mast-Switch x = .(10+x)","")))))</f>
        <v>SparteNet.de-MW-Pächter  ·  Passwort Parzelle 20</v>
      </c>
      <c r="I116" s="7" t="n">
        <f aca="false">IF(111&lt;=(Eingabe!$P$18+Eingabe!$Q$18-1),MATCH(111,Eingabe!$P$9:$P$18,1),"")</f>
        <v>2</v>
      </c>
      <c r="J116" s="7" t="n">
        <f aca="false">IF(I116="","",111-INDEX(Eingabe!$P$9:$P$18,I116))</f>
        <v>20</v>
      </c>
      <c r="K116" s="7" t="n">
        <f aca="false">IF(I116="","",INDEX(Eingabe!$E$9:$E$18,I116))</f>
        <v>53</v>
      </c>
    </row>
    <row r="117" customFormat="false" ht="15" hidden="false" customHeight="false" outlineLevel="0" collapsed="false">
      <c r="A117" s="0" t="str">
        <f aca="false">IF(I117="","",IF(J117=0,"Sparte "&amp;I117&amp;": "&amp;INDEX(Eingabe!$B$9:$B$18,I117)&amp;"  (Sparten-ID "&amp;INDEX(Eingabe!$D$9:$D$18,I117)&amp;", "&amp;K117&amp;" Parzellen)",IF(J117&lt;=K117,"   Parzelle "&amp;J117,IF(J117=K117+1,"   Vorstand",IF(J117=K117+2,"   Gäste",IF(J117=K117+3,"   Technik (Switches, Access Points)",""))))))</f>
        <v>   Parzelle 21</v>
      </c>
      <c r="B117" s="0" t="n">
        <f aca="false">IF(I117="","",IF(AND(J117&gt;=1,J117&lt;=K117+3),IF(J117&lt;=K117,IF(J117&lt;=99,IF((INDEX(Eingabe!$G$9:$G$18,I117))&lt;=9,1000+(INDEX(Eingabe!$G$9:$G$18,I117))*100,3000)+J117,IF((INDEX(Eingabe!$G$9:$G$18,I117)+1)&lt;=9,1000+(INDEX(Eingabe!$G$9:$G$18,I117)+1)*100,3000)+J117-100),IF(J117=K117+1,2000+INDEX(Eingabe!$G$9:$G$18,I117)*10+1,IF(J117=K117+2,2000+INDEX(Eingabe!$G$9:$G$18,I117)*10+2,2000+INDEX(Eingabe!$G$9:$G$18,I117)*10+9))),""))</f>
        <v>1221</v>
      </c>
      <c r="C117" s="0" t="str">
        <f aca="false">IF(I117="","",IF(AND(J117&gt;=1,J117&lt;=K117+3),"10."&amp;INDEX(Eingabe!$D$9:$D$18,I117)&amp;"."&amp;IF(J117&lt;=K117,J117,IF(J117=K117+1,200,IF(J117=K117+2,201,250)))&amp;".0/24",""))</f>
        <v>10.2.21.0/24</v>
      </c>
      <c r="D117" s="0" t="str">
        <f aca="false">IF(I117="","",IF(AND(J117&gt;=1,J117&lt;=K117+3),"255.255.255.0",""))</f>
        <v>255.255.255.0</v>
      </c>
      <c r="E117" s="0" t="str">
        <f aca="false">IF(I117="","",IF(AND(J117&gt;=1,J117&lt;=K117+3),"10."&amp;INDEX(Eingabe!$D$9:$D$18,I117)&amp;"."&amp;IF(J117&lt;=K117,J117,IF(J117=K117+1,200,IF(J117=K117+2,201,250)))&amp;".1",""))</f>
        <v>10.2.21.1</v>
      </c>
      <c r="F117" s="0" t="str">
        <f aca="false">IF(I117="","",IF(AND(J117&gt;=1,J117&lt;=K117+3),"10."&amp;INDEX(Eingabe!$D$9:$D$18,I117)&amp;"."&amp;IF(J117&lt;=K117,J117,IF(J117=K117+1,200,IF(J117=K117+2,201,250)))&amp;".10 – 10."&amp;INDEX(Eingabe!$D$9:$D$18,I117)&amp;"."&amp;IF(J117&lt;=K117,J117,IF(J117=K117+1,200,IF(J117=K117+2,201,250)))&amp;".250",""))</f>
        <v>10.2.21.10 – 10.2.21.250</v>
      </c>
      <c r="G117" s="0" t="str">
        <f aca="false">IF(I117="","",IF(AND(J117&gt;=1,J117&lt;=K117),Eingabe!$B$6&amp;"-"&amp;INDEX(Eingabe!$C$9:$C$18,I117)&amp;"-Pächter  ·  Passwort Parzelle "&amp;J117,IF(J117=K117+1,Eingabe!$B$6&amp;"-"&amp;INDEX(Eingabe!$C$9:$C$18,I117)&amp;"-Vorstand  ·  eigenes WLAN",IF(J117=K117+2,Eingabe!$B$6&amp;"-"&amp;INDEX(Eingabe!$C$9:$C$18,I117)&amp;"-Gäste  ·  Voucher",IF(J117=K117+3,"Kabel  ·  Access Point y = .(50+y), Mast-Switch x = .(10+x)","")))))</f>
        <v>SparteNet.de-MW-Pächter  ·  Passwort Parzelle 21</v>
      </c>
      <c r="I117" s="7" t="n">
        <f aca="false">IF(112&lt;=(Eingabe!$P$18+Eingabe!$Q$18-1),MATCH(112,Eingabe!$P$9:$P$18,1),"")</f>
        <v>2</v>
      </c>
      <c r="J117" s="7" t="n">
        <f aca="false">IF(I117="","",112-INDEX(Eingabe!$P$9:$P$18,I117))</f>
        <v>21</v>
      </c>
      <c r="K117" s="7" t="n">
        <f aca="false">IF(I117="","",INDEX(Eingabe!$E$9:$E$18,I117))</f>
        <v>53</v>
      </c>
    </row>
    <row r="118" customFormat="false" ht="15" hidden="false" customHeight="false" outlineLevel="0" collapsed="false">
      <c r="A118" s="0" t="str">
        <f aca="false">IF(I118="","",IF(J118=0,"Sparte "&amp;I118&amp;": "&amp;INDEX(Eingabe!$B$9:$B$18,I118)&amp;"  (Sparten-ID "&amp;INDEX(Eingabe!$D$9:$D$18,I118)&amp;", "&amp;K118&amp;" Parzellen)",IF(J118&lt;=K118,"   Parzelle "&amp;J118,IF(J118=K118+1,"   Vorstand",IF(J118=K118+2,"   Gäste",IF(J118=K118+3,"   Technik (Switches, Access Points)",""))))))</f>
        <v>   Parzelle 22</v>
      </c>
      <c r="B118" s="0" t="n">
        <f aca="false">IF(I118="","",IF(AND(J118&gt;=1,J118&lt;=K118+3),IF(J118&lt;=K118,IF(J118&lt;=99,IF((INDEX(Eingabe!$G$9:$G$18,I118))&lt;=9,1000+(INDEX(Eingabe!$G$9:$G$18,I118))*100,3000)+J118,IF((INDEX(Eingabe!$G$9:$G$18,I118)+1)&lt;=9,1000+(INDEX(Eingabe!$G$9:$G$18,I118)+1)*100,3000)+J118-100),IF(J118=K118+1,2000+INDEX(Eingabe!$G$9:$G$18,I118)*10+1,IF(J118=K118+2,2000+INDEX(Eingabe!$G$9:$G$18,I118)*10+2,2000+INDEX(Eingabe!$G$9:$G$18,I118)*10+9))),""))</f>
        <v>1222</v>
      </c>
      <c r="C118" s="0" t="str">
        <f aca="false">IF(I118="","",IF(AND(J118&gt;=1,J118&lt;=K118+3),"10."&amp;INDEX(Eingabe!$D$9:$D$18,I118)&amp;"."&amp;IF(J118&lt;=K118,J118,IF(J118=K118+1,200,IF(J118=K118+2,201,250)))&amp;".0/24",""))</f>
        <v>10.2.22.0/24</v>
      </c>
      <c r="D118" s="0" t="str">
        <f aca="false">IF(I118="","",IF(AND(J118&gt;=1,J118&lt;=K118+3),"255.255.255.0",""))</f>
        <v>255.255.255.0</v>
      </c>
      <c r="E118" s="0" t="str">
        <f aca="false">IF(I118="","",IF(AND(J118&gt;=1,J118&lt;=K118+3),"10."&amp;INDEX(Eingabe!$D$9:$D$18,I118)&amp;"."&amp;IF(J118&lt;=K118,J118,IF(J118=K118+1,200,IF(J118=K118+2,201,250)))&amp;".1",""))</f>
        <v>10.2.22.1</v>
      </c>
      <c r="F118" s="0" t="str">
        <f aca="false">IF(I118="","",IF(AND(J118&gt;=1,J118&lt;=K118+3),"10."&amp;INDEX(Eingabe!$D$9:$D$18,I118)&amp;"."&amp;IF(J118&lt;=K118,J118,IF(J118=K118+1,200,IF(J118=K118+2,201,250)))&amp;".10 – 10."&amp;INDEX(Eingabe!$D$9:$D$18,I118)&amp;"."&amp;IF(J118&lt;=K118,J118,IF(J118=K118+1,200,IF(J118=K118+2,201,250)))&amp;".250",""))</f>
        <v>10.2.22.10 – 10.2.22.250</v>
      </c>
      <c r="G118" s="0" t="str">
        <f aca="false">IF(I118="","",IF(AND(J118&gt;=1,J118&lt;=K118),Eingabe!$B$6&amp;"-"&amp;INDEX(Eingabe!$C$9:$C$18,I118)&amp;"-Pächter  ·  Passwort Parzelle "&amp;J118,IF(J118=K118+1,Eingabe!$B$6&amp;"-"&amp;INDEX(Eingabe!$C$9:$C$18,I118)&amp;"-Vorstand  ·  eigenes WLAN",IF(J118=K118+2,Eingabe!$B$6&amp;"-"&amp;INDEX(Eingabe!$C$9:$C$18,I118)&amp;"-Gäste  ·  Voucher",IF(J118=K118+3,"Kabel  ·  Access Point y = .(50+y), Mast-Switch x = .(10+x)","")))))</f>
        <v>SparteNet.de-MW-Pächter  ·  Passwort Parzelle 22</v>
      </c>
      <c r="I118" s="7" t="n">
        <f aca="false">IF(113&lt;=(Eingabe!$P$18+Eingabe!$Q$18-1),MATCH(113,Eingabe!$P$9:$P$18,1),"")</f>
        <v>2</v>
      </c>
      <c r="J118" s="7" t="n">
        <f aca="false">IF(I118="","",113-INDEX(Eingabe!$P$9:$P$18,I118))</f>
        <v>22</v>
      </c>
      <c r="K118" s="7" t="n">
        <f aca="false">IF(I118="","",INDEX(Eingabe!$E$9:$E$18,I118))</f>
        <v>53</v>
      </c>
    </row>
    <row r="119" customFormat="false" ht="15" hidden="false" customHeight="false" outlineLevel="0" collapsed="false">
      <c r="A119" s="0" t="str">
        <f aca="false">IF(I119="","",IF(J119=0,"Sparte "&amp;I119&amp;": "&amp;INDEX(Eingabe!$B$9:$B$18,I119)&amp;"  (Sparten-ID "&amp;INDEX(Eingabe!$D$9:$D$18,I119)&amp;", "&amp;K119&amp;" Parzellen)",IF(J119&lt;=K119,"   Parzelle "&amp;J119,IF(J119=K119+1,"   Vorstand",IF(J119=K119+2,"   Gäste",IF(J119=K119+3,"   Technik (Switches, Access Points)",""))))))</f>
        <v>   Parzelle 23</v>
      </c>
      <c r="B119" s="0" t="n">
        <f aca="false">IF(I119="","",IF(AND(J119&gt;=1,J119&lt;=K119+3),IF(J119&lt;=K119,IF(J119&lt;=99,IF((INDEX(Eingabe!$G$9:$G$18,I119))&lt;=9,1000+(INDEX(Eingabe!$G$9:$G$18,I119))*100,3000)+J119,IF((INDEX(Eingabe!$G$9:$G$18,I119)+1)&lt;=9,1000+(INDEX(Eingabe!$G$9:$G$18,I119)+1)*100,3000)+J119-100),IF(J119=K119+1,2000+INDEX(Eingabe!$G$9:$G$18,I119)*10+1,IF(J119=K119+2,2000+INDEX(Eingabe!$G$9:$G$18,I119)*10+2,2000+INDEX(Eingabe!$G$9:$G$18,I119)*10+9))),""))</f>
        <v>1223</v>
      </c>
      <c r="C119" s="0" t="str">
        <f aca="false">IF(I119="","",IF(AND(J119&gt;=1,J119&lt;=K119+3),"10."&amp;INDEX(Eingabe!$D$9:$D$18,I119)&amp;"."&amp;IF(J119&lt;=K119,J119,IF(J119=K119+1,200,IF(J119=K119+2,201,250)))&amp;".0/24",""))</f>
        <v>10.2.23.0/24</v>
      </c>
      <c r="D119" s="0" t="str">
        <f aca="false">IF(I119="","",IF(AND(J119&gt;=1,J119&lt;=K119+3),"255.255.255.0",""))</f>
        <v>255.255.255.0</v>
      </c>
      <c r="E119" s="0" t="str">
        <f aca="false">IF(I119="","",IF(AND(J119&gt;=1,J119&lt;=K119+3),"10."&amp;INDEX(Eingabe!$D$9:$D$18,I119)&amp;"."&amp;IF(J119&lt;=K119,J119,IF(J119=K119+1,200,IF(J119=K119+2,201,250)))&amp;".1",""))</f>
        <v>10.2.23.1</v>
      </c>
      <c r="F119" s="0" t="str">
        <f aca="false">IF(I119="","",IF(AND(J119&gt;=1,J119&lt;=K119+3),"10."&amp;INDEX(Eingabe!$D$9:$D$18,I119)&amp;"."&amp;IF(J119&lt;=K119,J119,IF(J119=K119+1,200,IF(J119=K119+2,201,250)))&amp;".10 – 10."&amp;INDEX(Eingabe!$D$9:$D$18,I119)&amp;"."&amp;IF(J119&lt;=K119,J119,IF(J119=K119+1,200,IF(J119=K119+2,201,250)))&amp;".250",""))</f>
        <v>10.2.23.10 – 10.2.23.250</v>
      </c>
      <c r="G119" s="0" t="str">
        <f aca="false">IF(I119="","",IF(AND(J119&gt;=1,J119&lt;=K119),Eingabe!$B$6&amp;"-"&amp;INDEX(Eingabe!$C$9:$C$18,I119)&amp;"-Pächter  ·  Passwort Parzelle "&amp;J119,IF(J119=K119+1,Eingabe!$B$6&amp;"-"&amp;INDEX(Eingabe!$C$9:$C$18,I119)&amp;"-Vorstand  ·  eigenes WLAN",IF(J119=K119+2,Eingabe!$B$6&amp;"-"&amp;INDEX(Eingabe!$C$9:$C$18,I119)&amp;"-Gäste  ·  Voucher",IF(J119=K119+3,"Kabel  ·  Access Point y = .(50+y), Mast-Switch x = .(10+x)","")))))</f>
        <v>SparteNet.de-MW-Pächter  ·  Passwort Parzelle 23</v>
      </c>
      <c r="I119" s="7" t="n">
        <f aca="false">IF(114&lt;=(Eingabe!$P$18+Eingabe!$Q$18-1),MATCH(114,Eingabe!$P$9:$P$18,1),"")</f>
        <v>2</v>
      </c>
      <c r="J119" s="7" t="n">
        <f aca="false">IF(I119="","",114-INDEX(Eingabe!$P$9:$P$18,I119))</f>
        <v>23</v>
      </c>
      <c r="K119" s="7" t="n">
        <f aca="false">IF(I119="","",INDEX(Eingabe!$E$9:$E$18,I119))</f>
        <v>53</v>
      </c>
    </row>
    <row r="120" customFormat="false" ht="15" hidden="false" customHeight="false" outlineLevel="0" collapsed="false">
      <c r="A120" s="0" t="str">
        <f aca="false">IF(I120="","",IF(J120=0,"Sparte "&amp;I120&amp;": "&amp;INDEX(Eingabe!$B$9:$B$18,I120)&amp;"  (Sparten-ID "&amp;INDEX(Eingabe!$D$9:$D$18,I120)&amp;", "&amp;K120&amp;" Parzellen)",IF(J120&lt;=K120,"   Parzelle "&amp;J120,IF(J120=K120+1,"   Vorstand",IF(J120=K120+2,"   Gäste",IF(J120=K120+3,"   Technik (Switches, Access Points)",""))))))</f>
        <v>   Parzelle 24</v>
      </c>
      <c r="B120" s="0" t="n">
        <f aca="false">IF(I120="","",IF(AND(J120&gt;=1,J120&lt;=K120+3),IF(J120&lt;=K120,IF(J120&lt;=99,IF((INDEX(Eingabe!$G$9:$G$18,I120))&lt;=9,1000+(INDEX(Eingabe!$G$9:$G$18,I120))*100,3000)+J120,IF((INDEX(Eingabe!$G$9:$G$18,I120)+1)&lt;=9,1000+(INDEX(Eingabe!$G$9:$G$18,I120)+1)*100,3000)+J120-100),IF(J120=K120+1,2000+INDEX(Eingabe!$G$9:$G$18,I120)*10+1,IF(J120=K120+2,2000+INDEX(Eingabe!$G$9:$G$18,I120)*10+2,2000+INDEX(Eingabe!$G$9:$G$18,I120)*10+9))),""))</f>
        <v>1224</v>
      </c>
      <c r="C120" s="0" t="str">
        <f aca="false">IF(I120="","",IF(AND(J120&gt;=1,J120&lt;=K120+3),"10."&amp;INDEX(Eingabe!$D$9:$D$18,I120)&amp;"."&amp;IF(J120&lt;=K120,J120,IF(J120=K120+1,200,IF(J120=K120+2,201,250)))&amp;".0/24",""))</f>
        <v>10.2.24.0/24</v>
      </c>
      <c r="D120" s="0" t="str">
        <f aca="false">IF(I120="","",IF(AND(J120&gt;=1,J120&lt;=K120+3),"255.255.255.0",""))</f>
        <v>255.255.255.0</v>
      </c>
      <c r="E120" s="0" t="str">
        <f aca="false">IF(I120="","",IF(AND(J120&gt;=1,J120&lt;=K120+3),"10."&amp;INDEX(Eingabe!$D$9:$D$18,I120)&amp;"."&amp;IF(J120&lt;=K120,J120,IF(J120=K120+1,200,IF(J120=K120+2,201,250)))&amp;".1",""))</f>
        <v>10.2.24.1</v>
      </c>
      <c r="F120" s="0" t="str">
        <f aca="false">IF(I120="","",IF(AND(J120&gt;=1,J120&lt;=K120+3),"10."&amp;INDEX(Eingabe!$D$9:$D$18,I120)&amp;"."&amp;IF(J120&lt;=K120,J120,IF(J120=K120+1,200,IF(J120=K120+2,201,250)))&amp;".10 – 10."&amp;INDEX(Eingabe!$D$9:$D$18,I120)&amp;"."&amp;IF(J120&lt;=K120,J120,IF(J120=K120+1,200,IF(J120=K120+2,201,250)))&amp;".250",""))</f>
        <v>10.2.24.10 – 10.2.24.250</v>
      </c>
      <c r="G120" s="0" t="str">
        <f aca="false">IF(I120="","",IF(AND(J120&gt;=1,J120&lt;=K120),Eingabe!$B$6&amp;"-"&amp;INDEX(Eingabe!$C$9:$C$18,I120)&amp;"-Pächter  ·  Passwort Parzelle "&amp;J120,IF(J120=K120+1,Eingabe!$B$6&amp;"-"&amp;INDEX(Eingabe!$C$9:$C$18,I120)&amp;"-Vorstand  ·  eigenes WLAN",IF(J120=K120+2,Eingabe!$B$6&amp;"-"&amp;INDEX(Eingabe!$C$9:$C$18,I120)&amp;"-Gäste  ·  Voucher",IF(J120=K120+3,"Kabel  ·  Access Point y = .(50+y), Mast-Switch x = .(10+x)","")))))</f>
        <v>SparteNet.de-MW-Pächter  ·  Passwort Parzelle 24</v>
      </c>
      <c r="I120" s="7" t="n">
        <f aca="false">IF(115&lt;=(Eingabe!$P$18+Eingabe!$Q$18-1),MATCH(115,Eingabe!$P$9:$P$18,1),"")</f>
        <v>2</v>
      </c>
      <c r="J120" s="7" t="n">
        <f aca="false">IF(I120="","",115-INDEX(Eingabe!$P$9:$P$18,I120))</f>
        <v>24</v>
      </c>
      <c r="K120" s="7" t="n">
        <f aca="false">IF(I120="","",INDEX(Eingabe!$E$9:$E$18,I120))</f>
        <v>53</v>
      </c>
    </row>
    <row r="121" customFormat="false" ht="15" hidden="false" customHeight="false" outlineLevel="0" collapsed="false">
      <c r="A121" s="0" t="str">
        <f aca="false">IF(I121="","",IF(J121=0,"Sparte "&amp;I121&amp;": "&amp;INDEX(Eingabe!$B$9:$B$18,I121)&amp;"  (Sparten-ID "&amp;INDEX(Eingabe!$D$9:$D$18,I121)&amp;", "&amp;K121&amp;" Parzellen)",IF(J121&lt;=K121,"   Parzelle "&amp;J121,IF(J121=K121+1,"   Vorstand",IF(J121=K121+2,"   Gäste",IF(J121=K121+3,"   Technik (Switches, Access Points)",""))))))</f>
        <v>   Parzelle 25</v>
      </c>
      <c r="B121" s="0" t="n">
        <f aca="false">IF(I121="","",IF(AND(J121&gt;=1,J121&lt;=K121+3),IF(J121&lt;=K121,IF(J121&lt;=99,IF((INDEX(Eingabe!$G$9:$G$18,I121))&lt;=9,1000+(INDEX(Eingabe!$G$9:$G$18,I121))*100,3000)+J121,IF((INDEX(Eingabe!$G$9:$G$18,I121)+1)&lt;=9,1000+(INDEX(Eingabe!$G$9:$G$18,I121)+1)*100,3000)+J121-100),IF(J121=K121+1,2000+INDEX(Eingabe!$G$9:$G$18,I121)*10+1,IF(J121=K121+2,2000+INDEX(Eingabe!$G$9:$G$18,I121)*10+2,2000+INDEX(Eingabe!$G$9:$G$18,I121)*10+9))),""))</f>
        <v>1225</v>
      </c>
      <c r="C121" s="0" t="str">
        <f aca="false">IF(I121="","",IF(AND(J121&gt;=1,J121&lt;=K121+3),"10."&amp;INDEX(Eingabe!$D$9:$D$18,I121)&amp;"."&amp;IF(J121&lt;=K121,J121,IF(J121=K121+1,200,IF(J121=K121+2,201,250)))&amp;".0/24",""))</f>
        <v>10.2.25.0/24</v>
      </c>
      <c r="D121" s="0" t="str">
        <f aca="false">IF(I121="","",IF(AND(J121&gt;=1,J121&lt;=K121+3),"255.255.255.0",""))</f>
        <v>255.255.255.0</v>
      </c>
      <c r="E121" s="0" t="str">
        <f aca="false">IF(I121="","",IF(AND(J121&gt;=1,J121&lt;=K121+3),"10."&amp;INDEX(Eingabe!$D$9:$D$18,I121)&amp;"."&amp;IF(J121&lt;=K121,J121,IF(J121=K121+1,200,IF(J121=K121+2,201,250)))&amp;".1",""))</f>
        <v>10.2.25.1</v>
      </c>
      <c r="F121" s="0" t="str">
        <f aca="false">IF(I121="","",IF(AND(J121&gt;=1,J121&lt;=K121+3),"10."&amp;INDEX(Eingabe!$D$9:$D$18,I121)&amp;"."&amp;IF(J121&lt;=K121,J121,IF(J121=K121+1,200,IF(J121=K121+2,201,250)))&amp;".10 – 10."&amp;INDEX(Eingabe!$D$9:$D$18,I121)&amp;"."&amp;IF(J121&lt;=K121,J121,IF(J121=K121+1,200,IF(J121=K121+2,201,250)))&amp;".250",""))</f>
        <v>10.2.25.10 – 10.2.25.250</v>
      </c>
      <c r="G121" s="0" t="str">
        <f aca="false">IF(I121="","",IF(AND(J121&gt;=1,J121&lt;=K121),Eingabe!$B$6&amp;"-"&amp;INDEX(Eingabe!$C$9:$C$18,I121)&amp;"-Pächter  ·  Passwort Parzelle "&amp;J121,IF(J121=K121+1,Eingabe!$B$6&amp;"-"&amp;INDEX(Eingabe!$C$9:$C$18,I121)&amp;"-Vorstand  ·  eigenes WLAN",IF(J121=K121+2,Eingabe!$B$6&amp;"-"&amp;INDEX(Eingabe!$C$9:$C$18,I121)&amp;"-Gäste  ·  Voucher",IF(J121=K121+3,"Kabel  ·  Access Point y = .(50+y), Mast-Switch x = .(10+x)","")))))</f>
        <v>SparteNet.de-MW-Pächter  ·  Passwort Parzelle 25</v>
      </c>
      <c r="I121" s="7" t="n">
        <f aca="false">IF(116&lt;=(Eingabe!$P$18+Eingabe!$Q$18-1),MATCH(116,Eingabe!$P$9:$P$18,1),"")</f>
        <v>2</v>
      </c>
      <c r="J121" s="7" t="n">
        <f aca="false">IF(I121="","",116-INDEX(Eingabe!$P$9:$P$18,I121))</f>
        <v>25</v>
      </c>
      <c r="K121" s="7" t="n">
        <f aca="false">IF(I121="","",INDEX(Eingabe!$E$9:$E$18,I121))</f>
        <v>53</v>
      </c>
    </row>
    <row r="122" customFormat="false" ht="15" hidden="false" customHeight="false" outlineLevel="0" collapsed="false">
      <c r="A122" s="0" t="str">
        <f aca="false">IF(I122="","",IF(J122=0,"Sparte "&amp;I122&amp;": "&amp;INDEX(Eingabe!$B$9:$B$18,I122)&amp;"  (Sparten-ID "&amp;INDEX(Eingabe!$D$9:$D$18,I122)&amp;", "&amp;K122&amp;" Parzellen)",IF(J122&lt;=K122,"   Parzelle "&amp;J122,IF(J122=K122+1,"   Vorstand",IF(J122=K122+2,"   Gäste",IF(J122=K122+3,"   Technik (Switches, Access Points)",""))))))</f>
        <v>   Parzelle 26</v>
      </c>
      <c r="B122" s="0" t="n">
        <f aca="false">IF(I122="","",IF(AND(J122&gt;=1,J122&lt;=K122+3),IF(J122&lt;=K122,IF(J122&lt;=99,IF((INDEX(Eingabe!$G$9:$G$18,I122))&lt;=9,1000+(INDEX(Eingabe!$G$9:$G$18,I122))*100,3000)+J122,IF((INDEX(Eingabe!$G$9:$G$18,I122)+1)&lt;=9,1000+(INDEX(Eingabe!$G$9:$G$18,I122)+1)*100,3000)+J122-100),IF(J122=K122+1,2000+INDEX(Eingabe!$G$9:$G$18,I122)*10+1,IF(J122=K122+2,2000+INDEX(Eingabe!$G$9:$G$18,I122)*10+2,2000+INDEX(Eingabe!$G$9:$G$18,I122)*10+9))),""))</f>
        <v>1226</v>
      </c>
      <c r="C122" s="0" t="str">
        <f aca="false">IF(I122="","",IF(AND(J122&gt;=1,J122&lt;=K122+3),"10."&amp;INDEX(Eingabe!$D$9:$D$18,I122)&amp;"."&amp;IF(J122&lt;=K122,J122,IF(J122=K122+1,200,IF(J122=K122+2,201,250)))&amp;".0/24",""))</f>
        <v>10.2.26.0/24</v>
      </c>
      <c r="D122" s="0" t="str">
        <f aca="false">IF(I122="","",IF(AND(J122&gt;=1,J122&lt;=K122+3),"255.255.255.0",""))</f>
        <v>255.255.255.0</v>
      </c>
      <c r="E122" s="0" t="str">
        <f aca="false">IF(I122="","",IF(AND(J122&gt;=1,J122&lt;=K122+3),"10."&amp;INDEX(Eingabe!$D$9:$D$18,I122)&amp;"."&amp;IF(J122&lt;=K122,J122,IF(J122=K122+1,200,IF(J122=K122+2,201,250)))&amp;".1",""))</f>
        <v>10.2.26.1</v>
      </c>
      <c r="F122" s="0" t="str">
        <f aca="false">IF(I122="","",IF(AND(J122&gt;=1,J122&lt;=K122+3),"10."&amp;INDEX(Eingabe!$D$9:$D$18,I122)&amp;"."&amp;IF(J122&lt;=K122,J122,IF(J122=K122+1,200,IF(J122=K122+2,201,250)))&amp;".10 – 10."&amp;INDEX(Eingabe!$D$9:$D$18,I122)&amp;"."&amp;IF(J122&lt;=K122,J122,IF(J122=K122+1,200,IF(J122=K122+2,201,250)))&amp;".250",""))</f>
        <v>10.2.26.10 – 10.2.26.250</v>
      </c>
      <c r="G122" s="0" t="str">
        <f aca="false">IF(I122="","",IF(AND(J122&gt;=1,J122&lt;=K122),Eingabe!$B$6&amp;"-"&amp;INDEX(Eingabe!$C$9:$C$18,I122)&amp;"-Pächter  ·  Passwort Parzelle "&amp;J122,IF(J122=K122+1,Eingabe!$B$6&amp;"-"&amp;INDEX(Eingabe!$C$9:$C$18,I122)&amp;"-Vorstand  ·  eigenes WLAN",IF(J122=K122+2,Eingabe!$B$6&amp;"-"&amp;INDEX(Eingabe!$C$9:$C$18,I122)&amp;"-Gäste  ·  Voucher",IF(J122=K122+3,"Kabel  ·  Access Point y = .(50+y), Mast-Switch x = .(10+x)","")))))</f>
        <v>SparteNet.de-MW-Pächter  ·  Passwort Parzelle 26</v>
      </c>
      <c r="I122" s="7" t="n">
        <f aca="false">IF(117&lt;=(Eingabe!$P$18+Eingabe!$Q$18-1),MATCH(117,Eingabe!$P$9:$P$18,1),"")</f>
        <v>2</v>
      </c>
      <c r="J122" s="7" t="n">
        <f aca="false">IF(I122="","",117-INDEX(Eingabe!$P$9:$P$18,I122))</f>
        <v>26</v>
      </c>
      <c r="K122" s="7" t="n">
        <f aca="false">IF(I122="","",INDEX(Eingabe!$E$9:$E$18,I122))</f>
        <v>53</v>
      </c>
    </row>
    <row r="123" customFormat="false" ht="15" hidden="false" customHeight="false" outlineLevel="0" collapsed="false">
      <c r="A123" s="0" t="str">
        <f aca="false">IF(I123="","",IF(J123=0,"Sparte "&amp;I123&amp;": "&amp;INDEX(Eingabe!$B$9:$B$18,I123)&amp;"  (Sparten-ID "&amp;INDEX(Eingabe!$D$9:$D$18,I123)&amp;", "&amp;K123&amp;" Parzellen)",IF(J123&lt;=K123,"   Parzelle "&amp;J123,IF(J123=K123+1,"   Vorstand",IF(J123=K123+2,"   Gäste",IF(J123=K123+3,"   Technik (Switches, Access Points)",""))))))</f>
        <v>   Parzelle 27</v>
      </c>
      <c r="B123" s="0" t="n">
        <f aca="false">IF(I123="","",IF(AND(J123&gt;=1,J123&lt;=K123+3),IF(J123&lt;=K123,IF(J123&lt;=99,IF((INDEX(Eingabe!$G$9:$G$18,I123))&lt;=9,1000+(INDEX(Eingabe!$G$9:$G$18,I123))*100,3000)+J123,IF((INDEX(Eingabe!$G$9:$G$18,I123)+1)&lt;=9,1000+(INDEX(Eingabe!$G$9:$G$18,I123)+1)*100,3000)+J123-100),IF(J123=K123+1,2000+INDEX(Eingabe!$G$9:$G$18,I123)*10+1,IF(J123=K123+2,2000+INDEX(Eingabe!$G$9:$G$18,I123)*10+2,2000+INDEX(Eingabe!$G$9:$G$18,I123)*10+9))),""))</f>
        <v>1227</v>
      </c>
      <c r="C123" s="0" t="str">
        <f aca="false">IF(I123="","",IF(AND(J123&gt;=1,J123&lt;=K123+3),"10."&amp;INDEX(Eingabe!$D$9:$D$18,I123)&amp;"."&amp;IF(J123&lt;=K123,J123,IF(J123=K123+1,200,IF(J123=K123+2,201,250)))&amp;".0/24",""))</f>
        <v>10.2.27.0/24</v>
      </c>
      <c r="D123" s="0" t="str">
        <f aca="false">IF(I123="","",IF(AND(J123&gt;=1,J123&lt;=K123+3),"255.255.255.0",""))</f>
        <v>255.255.255.0</v>
      </c>
      <c r="E123" s="0" t="str">
        <f aca="false">IF(I123="","",IF(AND(J123&gt;=1,J123&lt;=K123+3),"10."&amp;INDEX(Eingabe!$D$9:$D$18,I123)&amp;"."&amp;IF(J123&lt;=K123,J123,IF(J123=K123+1,200,IF(J123=K123+2,201,250)))&amp;".1",""))</f>
        <v>10.2.27.1</v>
      </c>
      <c r="F123" s="0" t="str">
        <f aca="false">IF(I123="","",IF(AND(J123&gt;=1,J123&lt;=K123+3),"10."&amp;INDEX(Eingabe!$D$9:$D$18,I123)&amp;"."&amp;IF(J123&lt;=K123,J123,IF(J123=K123+1,200,IF(J123=K123+2,201,250)))&amp;".10 – 10."&amp;INDEX(Eingabe!$D$9:$D$18,I123)&amp;"."&amp;IF(J123&lt;=K123,J123,IF(J123=K123+1,200,IF(J123=K123+2,201,250)))&amp;".250",""))</f>
        <v>10.2.27.10 – 10.2.27.250</v>
      </c>
      <c r="G123" s="0" t="str">
        <f aca="false">IF(I123="","",IF(AND(J123&gt;=1,J123&lt;=K123),Eingabe!$B$6&amp;"-"&amp;INDEX(Eingabe!$C$9:$C$18,I123)&amp;"-Pächter  ·  Passwort Parzelle "&amp;J123,IF(J123=K123+1,Eingabe!$B$6&amp;"-"&amp;INDEX(Eingabe!$C$9:$C$18,I123)&amp;"-Vorstand  ·  eigenes WLAN",IF(J123=K123+2,Eingabe!$B$6&amp;"-"&amp;INDEX(Eingabe!$C$9:$C$18,I123)&amp;"-Gäste  ·  Voucher",IF(J123=K123+3,"Kabel  ·  Access Point y = .(50+y), Mast-Switch x = .(10+x)","")))))</f>
        <v>SparteNet.de-MW-Pächter  ·  Passwort Parzelle 27</v>
      </c>
      <c r="I123" s="7" t="n">
        <f aca="false">IF(118&lt;=(Eingabe!$P$18+Eingabe!$Q$18-1),MATCH(118,Eingabe!$P$9:$P$18,1),"")</f>
        <v>2</v>
      </c>
      <c r="J123" s="7" t="n">
        <f aca="false">IF(I123="","",118-INDEX(Eingabe!$P$9:$P$18,I123))</f>
        <v>27</v>
      </c>
      <c r="K123" s="7" t="n">
        <f aca="false">IF(I123="","",INDEX(Eingabe!$E$9:$E$18,I123))</f>
        <v>53</v>
      </c>
    </row>
    <row r="124" customFormat="false" ht="15" hidden="false" customHeight="false" outlineLevel="0" collapsed="false">
      <c r="A124" s="0" t="str">
        <f aca="false">IF(I124="","",IF(J124=0,"Sparte "&amp;I124&amp;": "&amp;INDEX(Eingabe!$B$9:$B$18,I124)&amp;"  (Sparten-ID "&amp;INDEX(Eingabe!$D$9:$D$18,I124)&amp;", "&amp;K124&amp;" Parzellen)",IF(J124&lt;=K124,"   Parzelle "&amp;J124,IF(J124=K124+1,"   Vorstand",IF(J124=K124+2,"   Gäste",IF(J124=K124+3,"   Technik (Switches, Access Points)",""))))))</f>
        <v>   Parzelle 28</v>
      </c>
      <c r="B124" s="0" t="n">
        <f aca="false">IF(I124="","",IF(AND(J124&gt;=1,J124&lt;=K124+3),IF(J124&lt;=K124,IF(J124&lt;=99,IF((INDEX(Eingabe!$G$9:$G$18,I124))&lt;=9,1000+(INDEX(Eingabe!$G$9:$G$18,I124))*100,3000)+J124,IF((INDEX(Eingabe!$G$9:$G$18,I124)+1)&lt;=9,1000+(INDEX(Eingabe!$G$9:$G$18,I124)+1)*100,3000)+J124-100),IF(J124=K124+1,2000+INDEX(Eingabe!$G$9:$G$18,I124)*10+1,IF(J124=K124+2,2000+INDEX(Eingabe!$G$9:$G$18,I124)*10+2,2000+INDEX(Eingabe!$G$9:$G$18,I124)*10+9))),""))</f>
        <v>1228</v>
      </c>
      <c r="C124" s="0" t="str">
        <f aca="false">IF(I124="","",IF(AND(J124&gt;=1,J124&lt;=K124+3),"10."&amp;INDEX(Eingabe!$D$9:$D$18,I124)&amp;"."&amp;IF(J124&lt;=K124,J124,IF(J124=K124+1,200,IF(J124=K124+2,201,250)))&amp;".0/24",""))</f>
        <v>10.2.28.0/24</v>
      </c>
      <c r="D124" s="0" t="str">
        <f aca="false">IF(I124="","",IF(AND(J124&gt;=1,J124&lt;=K124+3),"255.255.255.0",""))</f>
        <v>255.255.255.0</v>
      </c>
      <c r="E124" s="0" t="str">
        <f aca="false">IF(I124="","",IF(AND(J124&gt;=1,J124&lt;=K124+3),"10."&amp;INDEX(Eingabe!$D$9:$D$18,I124)&amp;"."&amp;IF(J124&lt;=K124,J124,IF(J124=K124+1,200,IF(J124=K124+2,201,250)))&amp;".1",""))</f>
        <v>10.2.28.1</v>
      </c>
      <c r="F124" s="0" t="str">
        <f aca="false">IF(I124="","",IF(AND(J124&gt;=1,J124&lt;=K124+3),"10."&amp;INDEX(Eingabe!$D$9:$D$18,I124)&amp;"."&amp;IF(J124&lt;=K124,J124,IF(J124=K124+1,200,IF(J124=K124+2,201,250)))&amp;".10 – 10."&amp;INDEX(Eingabe!$D$9:$D$18,I124)&amp;"."&amp;IF(J124&lt;=K124,J124,IF(J124=K124+1,200,IF(J124=K124+2,201,250)))&amp;".250",""))</f>
        <v>10.2.28.10 – 10.2.28.250</v>
      </c>
      <c r="G124" s="0" t="str">
        <f aca="false">IF(I124="","",IF(AND(J124&gt;=1,J124&lt;=K124),Eingabe!$B$6&amp;"-"&amp;INDEX(Eingabe!$C$9:$C$18,I124)&amp;"-Pächter  ·  Passwort Parzelle "&amp;J124,IF(J124=K124+1,Eingabe!$B$6&amp;"-"&amp;INDEX(Eingabe!$C$9:$C$18,I124)&amp;"-Vorstand  ·  eigenes WLAN",IF(J124=K124+2,Eingabe!$B$6&amp;"-"&amp;INDEX(Eingabe!$C$9:$C$18,I124)&amp;"-Gäste  ·  Voucher",IF(J124=K124+3,"Kabel  ·  Access Point y = .(50+y), Mast-Switch x = .(10+x)","")))))</f>
        <v>SparteNet.de-MW-Pächter  ·  Passwort Parzelle 28</v>
      </c>
      <c r="I124" s="7" t="n">
        <f aca="false">IF(119&lt;=(Eingabe!$P$18+Eingabe!$Q$18-1),MATCH(119,Eingabe!$P$9:$P$18,1),"")</f>
        <v>2</v>
      </c>
      <c r="J124" s="7" t="n">
        <f aca="false">IF(I124="","",119-INDEX(Eingabe!$P$9:$P$18,I124))</f>
        <v>28</v>
      </c>
      <c r="K124" s="7" t="n">
        <f aca="false">IF(I124="","",INDEX(Eingabe!$E$9:$E$18,I124))</f>
        <v>53</v>
      </c>
    </row>
    <row r="125" customFormat="false" ht="15" hidden="false" customHeight="false" outlineLevel="0" collapsed="false">
      <c r="A125" s="0" t="str">
        <f aca="false">IF(I125="","",IF(J125=0,"Sparte "&amp;I125&amp;": "&amp;INDEX(Eingabe!$B$9:$B$18,I125)&amp;"  (Sparten-ID "&amp;INDEX(Eingabe!$D$9:$D$18,I125)&amp;", "&amp;K125&amp;" Parzellen)",IF(J125&lt;=K125,"   Parzelle "&amp;J125,IF(J125=K125+1,"   Vorstand",IF(J125=K125+2,"   Gäste",IF(J125=K125+3,"   Technik (Switches, Access Points)",""))))))</f>
        <v>   Parzelle 29</v>
      </c>
      <c r="B125" s="0" t="n">
        <f aca="false">IF(I125="","",IF(AND(J125&gt;=1,J125&lt;=K125+3),IF(J125&lt;=K125,IF(J125&lt;=99,IF((INDEX(Eingabe!$G$9:$G$18,I125))&lt;=9,1000+(INDEX(Eingabe!$G$9:$G$18,I125))*100,3000)+J125,IF((INDEX(Eingabe!$G$9:$G$18,I125)+1)&lt;=9,1000+(INDEX(Eingabe!$G$9:$G$18,I125)+1)*100,3000)+J125-100),IF(J125=K125+1,2000+INDEX(Eingabe!$G$9:$G$18,I125)*10+1,IF(J125=K125+2,2000+INDEX(Eingabe!$G$9:$G$18,I125)*10+2,2000+INDEX(Eingabe!$G$9:$G$18,I125)*10+9))),""))</f>
        <v>1229</v>
      </c>
      <c r="C125" s="0" t="str">
        <f aca="false">IF(I125="","",IF(AND(J125&gt;=1,J125&lt;=K125+3),"10."&amp;INDEX(Eingabe!$D$9:$D$18,I125)&amp;"."&amp;IF(J125&lt;=K125,J125,IF(J125=K125+1,200,IF(J125=K125+2,201,250)))&amp;".0/24",""))</f>
        <v>10.2.29.0/24</v>
      </c>
      <c r="D125" s="0" t="str">
        <f aca="false">IF(I125="","",IF(AND(J125&gt;=1,J125&lt;=K125+3),"255.255.255.0",""))</f>
        <v>255.255.255.0</v>
      </c>
      <c r="E125" s="0" t="str">
        <f aca="false">IF(I125="","",IF(AND(J125&gt;=1,J125&lt;=K125+3),"10."&amp;INDEX(Eingabe!$D$9:$D$18,I125)&amp;"."&amp;IF(J125&lt;=K125,J125,IF(J125=K125+1,200,IF(J125=K125+2,201,250)))&amp;".1",""))</f>
        <v>10.2.29.1</v>
      </c>
      <c r="F125" s="0" t="str">
        <f aca="false">IF(I125="","",IF(AND(J125&gt;=1,J125&lt;=K125+3),"10."&amp;INDEX(Eingabe!$D$9:$D$18,I125)&amp;"."&amp;IF(J125&lt;=K125,J125,IF(J125=K125+1,200,IF(J125=K125+2,201,250)))&amp;".10 – 10."&amp;INDEX(Eingabe!$D$9:$D$18,I125)&amp;"."&amp;IF(J125&lt;=K125,J125,IF(J125=K125+1,200,IF(J125=K125+2,201,250)))&amp;".250",""))</f>
        <v>10.2.29.10 – 10.2.29.250</v>
      </c>
      <c r="G125" s="0" t="str">
        <f aca="false">IF(I125="","",IF(AND(J125&gt;=1,J125&lt;=K125),Eingabe!$B$6&amp;"-"&amp;INDEX(Eingabe!$C$9:$C$18,I125)&amp;"-Pächter  ·  Passwort Parzelle "&amp;J125,IF(J125=K125+1,Eingabe!$B$6&amp;"-"&amp;INDEX(Eingabe!$C$9:$C$18,I125)&amp;"-Vorstand  ·  eigenes WLAN",IF(J125=K125+2,Eingabe!$B$6&amp;"-"&amp;INDEX(Eingabe!$C$9:$C$18,I125)&amp;"-Gäste  ·  Voucher",IF(J125=K125+3,"Kabel  ·  Access Point y = .(50+y), Mast-Switch x = .(10+x)","")))))</f>
        <v>SparteNet.de-MW-Pächter  ·  Passwort Parzelle 29</v>
      </c>
      <c r="I125" s="7" t="n">
        <f aca="false">IF(120&lt;=(Eingabe!$P$18+Eingabe!$Q$18-1),MATCH(120,Eingabe!$P$9:$P$18,1),"")</f>
        <v>2</v>
      </c>
      <c r="J125" s="7" t="n">
        <f aca="false">IF(I125="","",120-INDEX(Eingabe!$P$9:$P$18,I125))</f>
        <v>29</v>
      </c>
      <c r="K125" s="7" t="n">
        <f aca="false">IF(I125="","",INDEX(Eingabe!$E$9:$E$18,I125))</f>
        <v>53</v>
      </c>
    </row>
    <row r="126" customFormat="false" ht="15" hidden="false" customHeight="false" outlineLevel="0" collapsed="false">
      <c r="A126" s="0" t="str">
        <f aca="false">IF(I126="","",IF(J126=0,"Sparte "&amp;I126&amp;": "&amp;INDEX(Eingabe!$B$9:$B$18,I126)&amp;"  (Sparten-ID "&amp;INDEX(Eingabe!$D$9:$D$18,I126)&amp;", "&amp;K126&amp;" Parzellen)",IF(J126&lt;=K126,"   Parzelle "&amp;J126,IF(J126=K126+1,"   Vorstand",IF(J126=K126+2,"   Gäste",IF(J126=K126+3,"   Technik (Switches, Access Points)",""))))))</f>
        <v>   Parzelle 30</v>
      </c>
      <c r="B126" s="0" t="n">
        <f aca="false">IF(I126="","",IF(AND(J126&gt;=1,J126&lt;=K126+3),IF(J126&lt;=K126,IF(J126&lt;=99,IF((INDEX(Eingabe!$G$9:$G$18,I126))&lt;=9,1000+(INDEX(Eingabe!$G$9:$G$18,I126))*100,3000)+J126,IF((INDEX(Eingabe!$G$9:$G$18,I126)+1)&lt;=9,1000+(INDEX(Eingabe!$G$9:$G$18,I126)+1)*100,3000)+J126-100),IF(J126=K126+1,2000+INDEX(Eingabe!$G$9:$G$18,I126)*10+1,IF(J126=K126+2,2000+INDEX(Eingabe!$G$9:$G$18,I126)*10+2,2000+INDEX(Eingabe!$G$9:$G$18,I126)*10+9))),""))</f>
        <v>1230</v>
      </c>
      <c r="C126" s="0" t="str">
        <f aca="false">IF(I126="","",IF(AND(J126&gt;=1,J126&lt;=K126+3),"10."&amp;INDEX(Eingabe!$D$9:$D$18,I126)&amp;"."&amp;IF(J126&lt;=K126,J126,IF(J126=K126+1,200,IF(J126=K126+2,201,250)))&amp;".0/24",""))</f>
        <v>10.2.30.0/24</v>
      </c>
      <c r="D126" s="0" t="str">
        <f aca="false">IF(I126="","",IF(AND(J126&gt;=1,J126&lt;=K126+3),"255.255.255.0",""))</f>
        <v>255.255.255.0</v>
      </c>
      <c r="E126" s="0" t="str">
        <f aca="false">IF(I126="","",IF(AND(J126&gt;=1,J126&lt;=K126+3),"10."&amp;INDEX(Eingabe!$D$9:$D$18,I126)&amp;"."&amp;IF(J126&lt;=K126,J126,IF(J126=K126+1,200,IF(J126=K126+2,201,250)))&amp;".1",""))</f>
        <v>10.2.30.1</v>
      </c>
      <c r="F126" s="0" t="str">
        <f aca="false">IF(I126="","",IF(AND(J126&gt;=1,J126&lt;=K126+3),"10."&amp;INDEX(Eingabe!$D$9:$D$18,I126)&amp;"."&amp;IF(J126&lt;=K126,J126,IF(J126=K126+1,200,IF(J126=K126+2,201,250)))&amp;".10 – 10."&amp;INDEX(Eingabe!$D$9:$D$18,I126)&amp;"."&amp;IF(J126&lt;=K126,J126,IF(J126=K126+1,200,IF(J126=K126+2,201,250)))&amp;".250",""))</f>
        <v>10.2.30.10 – 10.2.30.250</v>
      </c>
      <c r="G126" s="0" t="str">
        <f aca="false">IF(I126="","",IF(AND(J126&gt;=1,J126&lt;=K126),Eingabe!$B$6&amp;"-"&amp;INDEX(Eingabe!$C$9:$C$18,I126)&amp;"-Pächter  ·  Passwort Parzelle "&amp;J126,IF(J126=K126+1,Eingabe!$B$6&amp;"-"&amp;INDEX(Eingabe!$C$9:$C$18,I126)&amp;"-Vorstand  ·  eigenes WLAN",IF(J126=K126+2,Eingabe!$B$6&amp;"-"&amp;INDEX(Eingabe!$C$9:$C$18,I126)&amp;"-Gäste  ·  Voucher",IF(J126=K126+3,"Kabel  ·  Access Point y = .(50+y), Mast-Switch x = .(10+x)","")))))</f>
        <v>SparteNet.de-MW-Pächter  ·  Passwort Parzelle 30</v>
      </c>
      <c r="I126" s="7" t="n">
        <f aca="false">IF(121&lt;=(Eingabe!$P$18+Eingabe!$Q$18-1),MATCH(121,Eingabe!$P$9:$P$18,1),"")</f>
        <v>2</v>
      </c>
      <c r="J126" s="7" t="n">
        <f aca="false">IF(I126="","",121-INDEX(Eingabe!$P$9:$P$18,I126))</f>
        <v>30</v>
      </c>
      <c r="K126" s="7" t="n">
        <f aca="false">IF(I126="","",INDEX(Eingabe!$E$9:$E$18,I126))</f>
        <v>53</v>
      </c>
    </row>
    <row r="127" customFormat="false" ht="15" hidden="false" customHeight="false" outlineLevel="0" collapsed="false">
      <c r="A127" s="0" t="str">
        <f aca="false">IF(I127="","",IF(J127=0,"Sparte "&amp;I127&amp;": "&amp;INDEX(Eingabe!$B$9:$B$18,I127)&amp;"  (Sparten-ID "&amp;INDEX(Eingabe!$D$9:$D$18,I127)&amp;", "&amp;K127&amp;" Parzellen)",IF(J127&lt;=K127,"   Parzelle "&amp;J127,IF(J127=K127+1,"   Vorstand",IF(J127=K127+2,"   Gäste",IF(J127=K127+3,"   Technik (Switches, Access Points)",""))))))</f>
        <v>   Parzelle 31</v>
      </c>
      <c r="B127" s="0" t="n">
        <f aca="false">IF(I127="","",IF(AND(J127&gt;=1,J127&lt;=K127+3),IF(J127&lt;=K127,IF(J127&lt;=99,IF((INDEX(Eingabe!$G$9:$G$18,I127))&lt;=9,1000+(INDEX(Eingabe!$G$9:$G$18,I127))*100,3000)+J127,IF((INDEX(Eingabe!$G$9:$G$18,I127)+1)&lt;=9,1000+(INDEX(Eingabe!$G$9:$G$18,I127)+1)*100,3000)+J127-100),IF(J127=K127+1,2000+INDEX(Eingabe!$G$9:$G$18,I127)*10+1,IF(J127=K127+2,2000+INDEX(Eingabe!$G$9:$G$18,I127)*10+2,2000+INDEX(Eingabe!$G$9:$G$18,I127)*10+9))),""))</f>
        <v>1231</v>
      </c>
      <c r="C127" s="0" t="str">
        <f aca="false">IF(I127="","",IF(AND(J127&gt;=1,J127&lt;=K127+3),"10."&amp;INDEX(Eingabe!$D$9:$D$18,I127)&amp;"."&amp;IF(J127&lt;=K127,J127,IF(J127=K127+1,200,IF(J127=K127+2,201,250)))&amp;".0/24",""))</f>
        <v>10.2.31.0/24</v>
      </c>
      <c r="D127" s="0" t="str">
        <f aca="false">IF(I127="","",IF(AND(J127&gt;=1,J127&lt;=K127+3),"255.255.255.0",""))</f>
        <v>255.255.255.0</v>
      </c>
      <c r="E127" s="0" t="str">
        <f aca="false">IF(I127="","",IF(AND(J127&gt;=1,J127&lt;=K127+3),"10."&amp;INDEX(Eingabe!$D$9:$D$18,I127)&amp;"."&amp;IF(J127&lt;=K127,J127,IF(J127=K127+1,200,IF(J127=K127+2,201,250)))&amp;".1",""))</f>
        <v>10.2.31.1</v>
      </c>
      <c r="F127" s="0" t="str">
        <f aca="false">IF(I127="","",IF(AND(J127&gt;=1,J127&lt;=K127+3),"10."&amp;INDEX(Eingabe!$D$9:$D$18,I127)&amp;"."&amp;IF(J127&lt;=K127,J127,IF(J127=K127+1,200,IF(J127=K127+2,201,250)))&amp;".10 – 10."&amp;INDEX(Eingabe!$D$9:$D$18,I127)&amp;"."&amp;IF(J127&lt;=K127,J127,IF(J127=K127+1,200,IF(J127=K127+2,201,250)))&amp;".250",""))</f>
        <v>10.2.31.10 – 10.2.31.250</v>
      </c>
      <c r="G127" s="0" t="str">
        <f aca="false">IF(I127="","",IF(AND(J127&gt;=1,J127&lt;=K127),Eingabe!$B$6&amp;"-"&amp;INDEX(Eingabe!$C$9:$C$18,I127)&amp;"-Pächter  ·  Passwort Parzelle "&amp;J127,IF(J127=K127+1,Eingabe!$B$6&amp;"-"&amp;INDEX(Eingabe!$C$9:$C$18,I127)&amp;"-Vorstand  ·  eigenes WLAN",IF(J127=K127+2,Eingabe!$B$6&amp;"-"&amp;INDEX(Eingabe!$C$9:$C$18,I127)&amp;"-Gäste  ·  Voucher",IF(J127=K127+3,"Kabel  ·  Access Point y = .(50+y), Mast-Switch x = .(10+x)","")))))</f>
        <v>SparteNet.de-MW-Pächter  ·  Passwort Parzelle 31</v>
      </c>
      <c r="I127" s="7" t="n">
        <f aca="false">IF(122&lt;=(Eingabe!$P$18+Eingabe!$Q$18-1),MATCH(122,Eingabe!$P$9:$P$18,1),"")</f>
        <v>2</v>
      </c>
      <c r="J127" s="7" t="n">
        <f aca="false">IF(I127="","",122-INDEX(Eingabe!$P$9:$P$18,I127))</f>
        <v>31</v>
      </c>
      <c r="K127" s="7" t="n">
        <f aca="false">IF(I127="","",INDEX(Eingabe!$E$9:$E$18,I127))</f>
        <v>53</v>
      </c>
    </row>
    <row r="128" customFormat="false" ht="15" hidden="false" customHeight="false" outlineLevel="0" collapsed="false">
      <c r="A128" s="0" t="str">
        <f aca="false">IF(I128="","",IF(J128=0,"Sparte "&amp;I128&amp;": "&amp;INDEX(Eingabe!$B$9:$B$18,I128)&amp;"  (Sparten-ID "&amp;INDEX(Eingabe!$D$9:$D$18,I128)&amp;", "&amp;K128&amp;" Parzellen)",IF(J128&lt;=K128,"   Parzelle "&amp;J128,IF(J128=K128+1,"   Vorstand",IF(J128=K128+2,"   Gäste",IF(J128=K128+3,"   Technik (Switches, Access Points)",""))))))</f>
        <v>   Parzelle 32</v>
      </c>
      <c r="B128" s="0" t="n">
        <f aca="false">IF(I128="","",IF(AND(J128&gt;=1,J128&lt;=K128+3),IF(J128&lt;=K128,IF(J128&lt;=99,IF((INDEX(Eingabe!$G$9:$G$18,I128))&lt;=9,1000+(INDEX(Eingabe!$G$9:$G$18,I128))*100,3000)+J128,IF((INDEX(Eingabe!$G$9:$G$18,I128)+1)&lt;=9,1000+(INDEX(Eingabe!$G$9:$G$18,I128)+1)*100,3000)+J128-100),IF(J128=K128+1,2000+INDEX(Eingabe!$G$9:$G$18,I128)*10+1,IF(J128=K128+2,2000+INDEX(Eingabe!$G$9:$G$18,I128)*10+2,2000+INDEX(Eingabe!$G$9:$G$18,I128)*10+9))),""))</f>
        <v>1232</v>
      </c>
      <c r="C128" s="0" t="str">
        <f aca="false">IF(I128="","",IF(AND(J128&gt;=1,J128&lt;=K128+3),"10."&amp;INDEX(Eingabe!$D$9:$D$18,I128)&amp;"."&amp;IF(J128&lt;=K128,J128,IF(J128=K128+1,200,IF(J128=K128+2,201,250)))&amp;".0/24",""))</f>
        <v>10.2.32.0/24</v>
      </c>
      <c r="D128" s="0" t="str">
        <f aca="false">IF(I128="","",IF(AND(J128&gt;=1,J128&lt;=K128+3),"255.255.255.0",""))</f>
        <v>255.255.255.0</v>
      </c>
      <c r="E128" s="0" t="str">
        <f aca="false">IF(I128="","",IF(AND(J128&gt;=1,J128&lt;=K128+3),"10."&amp;INDEX(Eingabe!$D$9:$D$18,I128)&amp;"."&amp;IF(J128&lt;=K128,J128,IF(J128=K128+1,200,IF(J128=K128+2,201,250)))&amp;".1",""))</f>
        <v>10.2.32.1</v>
      </c>
      <c r="F128" s="0" t="str">
        <f aca="false">IF(I128="","",IF(AND(J128&gt;=1,J128&lt;=K128+3),"10."&amp;INDEX(Eingabe!$D$9:$D$18,I128)&amp;"."&amp;IF(J128&lt;=K128,J128,IF(J128=K128+1,200,IF(J128=K128+2,201,250)))&amp;".10 – 10."&amp;INDEX(Eingabe!$D$9:$D$18,I128)&amp;"."&amp;IF(J128&lt;=K128,J128,IF(J128=K128+1,200,IF(J128=K128+2,201,250)))&amp;".250",""))</f>
        <v>10.2.32.10 – 10.2.32.250</v>
      </c>
      <c r="G128" s="0" t="str">
        <f aca="false">IF(I128="","",IF(AND(J128&gt;=1,J128&lt;=K128),Eingabe!$B$6&amp;"-"&amp;INDEX(Eingabe!$C$9:$C$18,I128)&amp;"-Pächter  ·  Passwort Parzelle "&amp;J128,IF(J128=K128+1,Eingabe!$B$6&amp;"-"&amp;INDEX(Eingabe!$C$9:$C$18,I128)&amp;"-Vorstand  ·  eigenes WLAN",IF(J128=K128+2,Eingabe!$B$6&amp;"-"&amp;INDEX(Eingabe!$C$9:$C$18,I128)&amp;"-Gäste  ·  Voucher",IF(J128=K128+3,"Kabel  ·  Access Point y = .(50+y), Mast-Switch x = .(10+x)","")))))</f>
        <v>SparteNet.de-MW-Pächter  ·  Passwort Parzelle 32</v>
      </c>
      <c r="I128" s="7" t="n">
        <f aca="false">IF(123&lt;=(Eingabe!$P$18+Eingabe!$Q$18-1),MATCH(123,Eingabe!$P$9:$P$18,1),"")</f>
        <v>2</v>
      </c>
      <c r="J128" s="7" t="n">
        <f aca="false">IF(I128="","",123-INDEX(Eingabe!$P$9:$P$18,I128))</f>
        <v>32</v>
      </c>
      <c r="K128" s="7" t="n">
        <f aca="false">IF(I128="","",INDEX(Eingabe!$E$9:$E$18,I128))</f>
        <v>53</v>
      </c>
    </row>
    <row r="129" customFormat="false" ht="15" hidden="false" customHeight="false" outlineLevel="0" collapsed="false">
      <c r="A129" s="0" t="str">
        <f aca="false">IF(I129="","",IF(J129=0,"Sparte "&amp;I129&amp;": "&amp;INDEX(Eingabe!$B$9:$B$18,I129)&amp;"  (Sparten-ID "&amp;INDEX(Eingabe!$D$9:$D$18,I129)&amp;", "&amp;K129&amp;" Parzellen)",IF(J129&lt;=K129,"   Parzelle "&amp;J129,IF(J129=K129+1,"   Vorstand",IF(J129=K129+2,"   Gäste",IF(J129=K129+3,"   Technik (Switches, Access Points)",""))))))</f>
        <v>   Parzelle 33</v>
      </c>
      <c r="B129" s="0" t="n">
        <f aca="false">IF(I129="","",IF(AND(J129&gt;=1,J129&lt;=K129+3),IF(J129&lt;=K129,IF(J129&lt;=99,IF((INDEX(Eingabe!$G$9:$G$18,I129))&lt;=9,1000+(INDEX(Eingabe!$G$9:$G$18,I129))*100,3000)+J129,IF((INDEX(Eingabe!$G$9:$G$18,I129)+1)&lt;=9,1000+(INDEX(Eingabe!$G$9:$G$18,I129)+1)*100,3000)+J129-100),IF(J129=K129+1,2000+INDEX(Eingabe!$G$9:$G$18,I129)*10+1,IF(J129=K129+2,2000+INDEX(Eingabe!$G$9:$G$18,I129)*10+2,2000+INDEX(Eingabe!$G$9:$G$18,I129)*10+9))),""))</f>
        <v>1233</v>
      </c>
      <c r="C129" s="0" t="str">
        <f aca="false">IF(I129="","",IF(AND(J129&gt;=1,J129&lt;=K129+3),"10."&amp;INDEX(Eingabe!$D$9:$D$18,I129)&amp;"."&amp;IF(J129&lt;=K129,J129,IF(J129=K129+1,200,IF(J129=K129+2,201,250)))&amp;".0/24",""))</f>
        <v>10.2.33.0/24</v>
      </c>
      <c r="D129" s="0" t="str">
        <f aca="false">IF(I129="","",IF(AND(J129&gt;=1,J129&lt;=K129+3),"255.255.255.0",""))</f>
        <v>255.255.255.0</v>
      </c>
      <c r="E129" s="0" t="str">
        <f aca="false">IF(I129="","",IF(AND(J129&gt;=1,J129&lt;=K129+3),"10."&amp;INDEX(Eingabe!$D$9:$D$18,I129)&amp;"."&amp;IF(J129&lt;=K129,J129,IF(J129=K129+1,200,IF(J129=K129+2,201,250)))&amp;".1",""))</f>
        <v>10.2.33.1</v>
      </c>
      <c r="F129" s="0" t="str">
        <f aca="false">IF(I129="","",IF(AND(J129&gt;=1,J129&lt;=K129+3),"10."&amp;INDEX(Eingabe!$D$9:$D$18,I129)&amp;"."&amp;IF(J129&lt;=K129,J129,IF(J129=K129+1,200,IF(J129=K129+2,201,250)))&amp;".10 – 10."&amp;INDEX(Eingabe!$D$9:$D$18,I129)&amp;"."&amp;IF(J129&lt;=K129,J129,IF(J129=K129+1,200,IF(J129=K129+2,201,250)))&amp;".250",""))</f>
        <v>10.2.33.10 – 10.2.33.250</v>
      </c>
      <c r="G129" s="0" t="str">
        <f aca="false">IF(I129="","",IF(AND(J129&gt;=1,J129&lt;=K129),Eingabe!$B$6&amp;"-"&amp;INDEX(Eingabe!$C$9:$C$18,I129)&amp;"-Pächter  ·  Passwort Parzelle "&amp;J129,IF(J129=K129+1,Eingabe!$B$6&amp;"-"&amp;INDEX(Eingabe!$C$9:$C$18,I129)&amp;"-Vorstand  ·  eigenes WLAN",IF(J129=K129+2,Eingabe!$B$6&amp;"-"&amp;INDEX(Eingabe!$C$9:$C$18,I129)&amp;"-Gäste  ·  Voucher",IF(J129=K129+3,"Kabel  ·  Access Point y = .(50+y), Mast-Switch x = .(10+x)","")))))</f>
        <v>SparteNet.de-MW-Pächter  ·  Passwort Parzelle 33</v>
      </c>
      <c r="I129" s="7" t="n">
        <f aca="false">IF(124&lt;=(Eingabe!$P$18+Eingabe!$Q$18-1),MATCH(124,Eingabe!$P$9:$P$18,1),"")</f>
        <v>2</v>
      </c>
      <c r="J129" s="7" t="n">
        <f aca="false">IF(I129="","",124-INDEX(Eingabe!$P$9:$P$18,I129))</f>
        <v>33</v>
      </c>
      <c r="K129" s="7" t="n">
        <f aca="false">IF(I129="","",INDEX(Eingabe!$E$9:$E$18,I129))</f>
        <v>53</v>
      </c>
    </row>
    <row r="130" customFormat="false" ht="15" hidden="false" customHeight="false" outlineLevel="0" collapsed="false">
      <c r="A130" s="0" t="str">
        <f aca="false">IF(I130="","",IF(J130=0,"Sparte "&amp;I130&amp;": "&amp;INDEX(Eingabe!$B$9:$B$18,I130)&amp;"  (Sparten-ID "&amp;INDEX(Eingabe!$D$9:$D$18,I130)&amp;", "&amp;K130&amp;" Parzellen)",IF(J130&lt;=K130,"   Parzelle "&amp;J130,IF(J130=K130+1,"   Vorstand",IF(J130=K130+2,"   Gäste",IF(J130=K130+3,"   Technik (Switches, Access Points)",""))))))</f>
        <v>   Parzelle 34</v>
      </c>
      <c r="B130" s="0" t="n">
        <f aca="false">IF(I130="","",IF(AND(J130&gt;=1,J130&lt;=K130+3),IF(J130&lt;=K130,IF(J130&lt;=99,IF((INDEX(Eingabe!$G$9:$G$18,I130))&lt;=9,1000+(INDEX(Eingabe!$G$9:$G$18,I130))*100,3000)+J130,IF((INDEX(Eingabe!$G$9:$G$18,I130)+1)&lt;=9,1000+(INDEX(Eingabe!$G$9:$G$18,I130)+1)*100,3000)+J130-100),IF(J130=K130+1,2000+INDEX(Eingabe!$G$9:$G$18,I130)*10+1,IF(J130=K130+2,2000+INDEX(Eingabe!$G$9:$G$18,I130)*10+2,2000+INDEX(Eingabe!$G$9:$G$18,I130)*10+9))),""))</f>
        <v>1234</v>
      </c>
      <c r="C130" s="0" t="str">
        <f aca="false">IF(I130="","",IF(AND(J130&gt;=1,J130&lt;=K130+3),"10."&amp;INDEX(Eingabe!$D$9:$D$18,I130)&amp;"."&amp;IF(J130&lt;=K130,J130,IF(J130=K130+1,200,IF(J130=K130+2,201,250)))&amp;".0/24",""))</f>
        <v>10.2.34.0/24</v>
      </c>
      <c r="D130" s="0" t="str">
        <f aca="false">IF(I130="","",IF(AND(J130&gt;=1,J130&lt;=K130+3),"255.255.255.0",""))</f>
        <v>255.255.255.0</v>
      </c>
      <c r="E130" s="0" t="str">
        <f aca="false">IF(I130="","",IF(AND(J130&gt;=1,J130&lt;=K130+3),"10."&amp;INDEX(Eingabe!$D$9:$D$18,I130)&amp;"."&amp;IF(J130&lt;=K130,J130,IF(J130=K130+1,200,IF(J130=K130+2,201,250)))&amp;".1",""))</f>
        <v>10.2.34.1</v>
      </c>
      <c r="F130" s="0" t="str">
        <f aca="false">IF(I130="","",IF(AND(J130&gt;=1,J130&lt;=K130+3),"10."&amp;INDEX(Eingabe!$D$9:$D$18,I130)&amp;"."&amp;IF(J130&lt;=K130,J130,IF(J130=K130+1,200,IF(J130=K130+2,201,250)))&amp;".10 – 10."&amp;INDEX(Eingabe!$D$9:$D$18,I130)&amp;"."&amp;IF(J130&lt;=K130,J130,IF(J130=K130+1,200,IF(J130=K130+2,201,250)))&amp;".250",""))</f>
        <v>10.2.34.10 – 10.2.34.250</v>
      </c>
      <c r="G130" s="0" t="str">
        <f aca="false">IF(I130="","",IF(AND(J130&gt;=1,J130&lt;=K130),Eingabe!$B$6&amp;"-"&amp;INDEX(Eingabe!$C$9:$C$18,I130)&amp;"-Pächter  ·  Passwort Parzelle "&amp;J130,IF(J130=K130+1,Eingabe!$B$6&amp;"-"&amp;INDEX(Eingabe!$C$9:$C$18,I130)&amp;"-Vorstand  ·  eigenes WLAN",IF(J130=K130+2,Eingabe!$B$6&amp;"-"&amp;INDEX(Eingabe!$C$9:$C$18,I130)&amp;"-Gäste  ·  Voucher",IF(J130=K130+3,"Kabel  ·  Access Point y = .(50+y), Mast-Switch x = .(10+x)","")))))</f>
        <v>SparteNet.de-MW-Pächter  ·  Passwort Parzelle 34</v>
      </c>
      <c r="I130" s="7" t="n">
        <f aca="false">IF(125&lt;=(Eingabe!$P$18+Eingabe!$Q$18-1),MATCH(125,Eingabe!$P$9:$P$18,1),"")</f>
        <v>2</v>
      </c>
      <c r="J130" s="7" t="n">
        <f aca="false">IF(I130="","",125-INDEX(Eingabe!$P$9:$P$18,I130))</f>
        <v>34</v>
      </c>
      <c r="K130" s="7" t="n">
        <f aca="false">IF(I130="","",INDEX(Eingabe!$E$9:$E$18,I130))</f>
        <v>53</v>
      </c>
    </row>
    <row r="131" customFormat="false" ht="15" hidden="false" customHeight="false" outlineLevel="0" collapsed="false">
      <c r="A131" s="0" t="str">
        <f aca="false">IF(I131="","",IF(J131=0,"Sparte "&amp;I131&amp;": "&amp;INDEX(Eingabe!$B$9:$B$18,I131)&amp;"  (Sparten-ID "&amp;INDEX(Eingabe!$D$9:$D$18,I131)&amp;", "&amp;K131&amp;" Parzellen)",IF(J131&lt;=K131,"   Parzelle "&amp;J131,IF(J131=K131+1,"   Vorstand",IF(J131=K131+2,"   Gäste",IF(J131=K131+3,"   Technik (Switches, Access Points)",""))))))</f>
        <v>   Parzelle 35</v>
      </c>
      <c r="B131" s="0" t="n">
        <f aca="false">IF(I131="","",IF(AND(J131&gt;=1,J131&lt;=K131+3),IF(J131&lt;=K131,IF(J131&lt;=99,IF((INDEX(Eingabe!$G$9:$G$18,I131))&lt;=9,1000+(INDEX(Eingabe!$G$9:$G$18,I131))*100,3000)+J131,IF((INDEX(Eingabe!$G$9:$G$18,I131)+1)&lt;=9,1000+(INDEX(Eingabe!$G$9:$G$18,I131)+1)*100,3000)+J131-100),IF(J131=K131+1,2000+INDEX(Eingabe!$G$9:$G$18,I131)*10+1,IF(J131=K131+2,2000+INDEX(Eingabe!$G$9:$G$18,I131)*10+2,2000+INDEX(Eingabe!$G$9:$G$18,I131)*10+9))),""))</f>
        <v>1235</v>
      </c>
      <c r="C131" s="0" t="str">
        <f aca="false">IF(I131="","",IF(AND(J131&gt;=1,J131&lt;=K131+3),"10."&amp;INDEX(Eingabe!$D$9:$D$18,I131)&amp;"."&amp;IF(J131&lt;=K131,J131,IF(J131=K131+1,200,IF(J131=K131+2,201,250)))&amp;".0/24",""))</f>
        <v>10.2.35.0/24</v>
      </c>
      <c r="D131" s="0" t="str">
        <f aca="false">IF(I131="","",IF(AND(J131&gt;=1,J131&lt;=K131+3),"255.255.255.0",""))</f>
        <v>255.255.255.0</v>
      </c>
      <c r="E131" s="0" t="str">
        <f aca="false">IF(I131="","",IF(AND(J131&gt;=1,J131&lt;=K131+3),"10."&amp;INDEX(Eingabe!$D$9:$D$18,I131)&amp;"."&amp;IF(J131&lt;=K131,J131,IF(J131=K131+1,200,IF(J131=K131+2,201,250)))&amp;".1",""))</f>
        <v>10.2.35.1</v>
      </c>
      <c r="F131" s="0" t="str">
        <f aca="false">IF(I131="","",IF(AND(J131&gt;=1,J131&lt;=K131+3),"10."&amp;INDEX(Eingabe!$D$9:$D$18,I131)&amp;"."&amp;IF(J131&lt;=K131,J131,IF(J131=K131+1,200,IF(J131=K131+2,201,250)))&amp;".10 – 10."&amp;INDEX(Eingabe!$D$9:$D$18,I131)&amp;"."&amp;IF(J131&lt;=K131,J131,IF(J131=K131+1,200,IF(J131=K131+2,201,250)))&amp;".250",""))</f>
        <v>10.2.35.10 – 10.2.35.250</v>
      </c>
      <c r="G131" s="0" t="str">
        <f aca="false">IF(I131="","",IF(AND(J131&gt;=1,J131&lt;=K131),Eingabe!$B$6&amp;"-"&amp;INDEX(Eingabe!$C$9:$C$18,I131)&amp;"-Pächter  ·  Passwort Parzelle "&amp;J131,IF(J131=K131+1,Eingabe!$B$6&amp;"-"&amp;INDEX(Eingabe!$C$9:$C$18,I131)&amp;"-Vorstand  ·  eigenes WLAN",IF(J131=K131+2,Eingabe!$B$6&amp;"-"&amp;INDEX(Eingabe!$C$9:$C$18,I131)&amp;"-Gäste  ·  Voucher",IF(J131=K131+3,"Kabel  ·  Access Point y = .(50+y), Mast-Switch x = .(10+x)","")))))</f>
        <v>SparteNet.de-MW-Pächter  ·  Passwort Parzelle 35</v>
      </c>
      <c r="I131" s="7" t="n">
        <f aca="false">IF(126&lt;=(Eingabe!$P$18+Eingabe!$Q$18-1),MATCH(126,Eingabe!$P$9:$P$18,1),"")</f>
        <v>2</v>
      </c>
      <c r="J131" s="7" t="n">
        <f aca="false">IF(I131="","",126-INDEX(Eingabe!$P$9:$P$18,I131))</f>
        <v>35</v>
      </c>
      <c r="K131" s="7" t="n">
        <f aca="false">IF(I131="","",INDEX(Eingabe!$E$9:$E$18,I131))</f>
        <v>53</v>
      </c>
    </row>
    <row r="132" customFormat="false" ht="15" hidden="false" customHeight="false" outlineLevel="0" collapsed="false">
      <c r="A132" s="0" t="str">
        <f aca="false">IF(I132="","",IF(J132=0,"Sparte "&amp;I132&amp;": "&amp;INDEX(Eingabe!$B$9:$B$18,I132)&amp;"  (Sparten-ID "&amp;INDEX(Eingabe!$D$9:$D$18,I132)&amp;", "&amp;K132&amp;" Parzellen)",IF(J132&lt;=K132,"   Parzelle "&amp;J132,IF(J132=K132+1,"   Vorstand",IF(J132=K132+2,"   Gäste",IF(J132=K132+3,"   Technik (Switches, Access Points)",""))))))</f>
        <v>   Parzelle 36</v>
      </c>
      <c r="B132" s="0" t="n">
        <f aca="false">IF(I132="","",IF(AND(J132&gt;=1,J132&lt;=K132+3),IF(J132&lt;=K132,IF(J132&lt;=99,IF((INDEX(Eingabe!$G$9:$G$18,I132))&lt;=9,1000+(INDEX(Eingabe!$G$9:$G$18,I132))*100,3000)+J132,IF((INDEX(Eingabe!$G$9:$G$18,I132)+1)&lt;=9,1000+(INDEX(Eingabe!$G$9:$G$18,I132)+1)*100,3000)+J132-100),IF(J132=K132+1,2000+INDEX(Eingabe!$G$9:$G$18,I132)*10+1,IF(J132=K132+2,2000+INDEX(Eingabe!$G$9:$G$18,I132)*10+2,2000+INDEX(Eingabe!$G$9:$G$18,I132)*10+9))),""))</f>
        <v>1236</v>
      </c>
      <c r="C132" s="0" t="str">
        <f aca="false">IF(I132="","",IF(AND(J132&gt;=1,J132&lt;=K132+3),"10."&amp;INDEX(Eingabe!$D$9:$D$18,I132)&amp;"."&amp;IF(J132&lt;=K132,J132,IF(J132=K132+1,200,IF(J132=K132+2,201,250)))&amp;".0/24",""))</f>
        <v>10.2.36.0/24</v>
      </c>
      <c r="D132" s="0" t="str">
        <f aca="false">IF(I132="","",IF(AND(J132&gt;=1,J132&lt;=K132+3),"255.255.255.0",""))</f>
        <v>255.255.255.0</v>
      </c>
      <c r="E132" s="0" t="str">
        <f aca="false">IF(I132="","",IF(AND(J132&gt;=1,J132&lt;=K132+3),"10."&amp;INDEX(Eingabe!$D$9:$D$18,I132)&amp;"."&amp;IF(J132&lt;=K132,J132,IF(J132=K132+1,200,IF(J132=K132+2,201,250)))&amp;".1",""))</f>
        <v>10.2.36.1</v>
      </c>
      <c r="F132" s="0" t="str">
        <f aca="false">IF(I132="","",IF(AND(J132&gt;=1,J132&lt;=K132+3),"10."&amp;INDEX(Eingabe!$D$9:$D$18,I132)&amp;"."&amp;IF(J132&lt;=K132,J132,IF(J132=K132+1,200,IF(J132=K132+2,201,250)))&amp;".10 – 10."&amp;INDEX(Eingabe!$D$9:$D$18,I132)&amp;"."&amp;IF(J132&lt;=K132,J132,IF(J132=K132+1,200,IF(J132=K132+2,201,250)))&amp;".250",""))</f>
        <v>10.2.36.10 – 10.2.36.250</v>
      </c>
      <c r="G132" s="0" t="str">
        <f aca="false">IF(I132="","",IF(AND(J132&gt;=1,J132&lt;=K132),Eingabe!$B$6&amp;"-"&amp;INDEX(Eingabe!$C$9:$C$18,I132)&amp;"-Pächter  ·  Passwort Parzelle "&amp;J132,IF(J132=K132+1,Eingabe!$B$6&amp;"-"&amp;INDEX(Eingabe!$C$9:$C$18,I132)&amp;"-Vorstand  ·  eigenes WLAN",IF(J132=K132+2,Eingabe!$B$6&amp;"-"&amp;INDEX(Eingabe!$C$9:$C$18,I132)&amp;"-Gäste  ·  Voucher",IF(J132=K132+3,"Kabel  ·  Access Point y = .(50+y), Mast-Switch x = .(10+x)","")))))</f>
        <v>SparteNet.de-MW-Pächter  ·  Passwort Parzelle 36</v>
      </c>
      <c r="I132" s="7" t="n">
        <f aca="false">IF(127&lt;=(Eingabe!$P$18+Eingabe!$Q$18-1),MATCH(127,Eingabe!$P$9:$P$18,1),"")</f>
        <v>2</v>
      </c>
      <c r="J132" s="7" t="n">
        <f aca="false">IF(I132="","",127-INDEX(Eingabe!$P$9:$P$18,I132))</f>
        <v>36</v>
      </c>
      <c r="K132" s="7" t="n">
        <f aca="false">IF(I132="","",INDEX(Eingabe!$E$9:$E$18,I132))</f>
        <v>53</v>
      </c>
    </row>
    <row r="133" customFormat="false" ht="15" hidden="false" customHeight="false" outlineLevel="0" collapsed="false">
      <c r="A133" s="0" t="str">
        <f aca="false">IF(I133="","",IF(J133=0,"Sparte "&amp;I133&amp;": "&amp;INDEX(Eingabe!$B$9:$B$18,I133)&amp;"  (Sparten-ID "&amp;INDEX(Eingabe!$D$9:$D$18,I133)&amp;", "&amp;K133&amp;" Parzellen)",IF(J133&lt;=K133,"   Parzelle "&amp;J133,IF(J133=K133+1,"   Vorstand",IF(J133=K133+2,"   Gäste",IF(J133=K133+3,"   Technik (Switches, Access Points)",""))))))</f>
        <v>   Parzelle 37</v>
      </c>
      <c r="B133" s="0" t="n">
        <f aca="false">IF(I133="","",IF(AND(J133&gt;=1,J133&lt;=K133+3),IF(J133&lt;=K133,IF(J133&lt;=99,IF((INDEX(Eingabe!$G$9:$G$18,I133))&lt;=9,1000+(INDEX(Eingabe!$G$9:$G$18,I133))*100,3000)+J133,IF((INDEX(Eingabe!$G$9:$G$18,I133)+1)&lt;=9,1000+(INDEX(Eingabe!$G$9:$G$18,I133)+1)*100,3000)+J133-100),IF(J133=K133+1,2000+INDEX(Eingabe!$G$9:$G$18,I133)*10+1,IF(J133=K133+2,2000+INDEX(Eingabe!$G$9:$G$18,I133)*10+2,2000+INDEX(Eingabe!$G$9:$G$18,I133)*10+9))),""))</f>
        <v>1237</v>
      </c>
      <c r="C133" s="0" t="str">
        <f aca="false">IF(I133="","",IF(AND(J133&gt;=1,J133&lt;=K133+3),"10."&amp;INDEX(Eingabe!$D$9:$D$18,I133)&amp;"."&amp;IF(J133&lt;=K133,J133,IF(J133=K133+1,200,IF(J133=K133+2,201,250)))&amp;".0/24",""))</f>
        <v>10.2.37.0/24</v>
      </c>
      <c r="D133" s="0" t="str">
        <f aca="false">IF(I133="","",IF(AND(J133&gt;=1,J133&lt;=K133+3),"255.255.255.0",""))</f>
        <v>255.255.255.0</v>
      </c>
      <c r="E133" s="0" t="str">
        <f aca="false">IF(I133="","",IF(AND(J133&gt;=1,J133&lt;=K133+3),"10."&amp;INDEX(Eingabe!$D$9:$D$18,I133)&amp;"."&amp;IF(J133&lt;=K133,J133,IF(J133=K133+1,200,IF(J133=K133+2,201,250)))&amp;".1",""))</f>
        <v>10.2.37.1</v>
      </c>
      <c r="F133" s="0" t="str">
        <f aca="false">IF(I133="","",IF(AND(J133&gt;=1,J133&lt;=K133+3),"10."&amp;INDEX(Eingabe!$D$9:$D$18,I133)&amp;"."&amp;IF(J133&lt;=K133,J133,IF(J133=K133+1,200,IF(J133=K133+2,201,250)))&amp;".10 – 10."&amp;INDEX(Eingabe!$D$9:$D$18,I133)&amp;"."&amp;IF(J133&lt;=K133,J133,IF(J133=K133+1,200,IF(J133=K133+2,201,250)))&amp;".250",""))</f>
        <v>10.2.37.10 – 10.2.37.250</v>
      </c>
      <c r="G133" s="0" t="str">
        <f aca="false">IF(I133="","",IF(AND(J133&gt;=1,J133&lt;=K133),Eingabe!$B$6&amp;"-"&amp;INDEX(Eingabe!$C$9:$C$18,I133)&amp;"-Pächter  ·  Passwort Parzelle "&amp;J133,IF(J133=K133+1,Eingabe!$B$6&amp;"-"&amp;INDEX(Eingabe!$C$9:$C$18,I133)&amp;"-Vorstand  ·  eigenes WLAN",IF(J133=K133+2,Eingabe!$B$6&amp;"-"&amp;INDEX(Eingabe!$C$9:$C$18,I133)&amp;"-Gäste  ·  Voucher",IF(J133=K133+3,"Kabel  ·  Access Point y = .(50+y), Mast-Switch x = .(10+x)","")))))</f>
        <v>SparteNet.de-MW-Pächter  ·  Passwort Parzelle 37</v>
      </c>
      <c r="I133" s="7" t="n">
        <f aca="false">IF(128&lt;=(Eingabe!$P$18+Eingabe!$Q$18-1),MATCH(128,Eingabe!$P$9:$P$18,1),"")</f>
        <v>2</v>
      </c>
      <c r="J133" s="7" t="n">
        <f aca="false">IF(I133="","",128-INDEX(Eingabe!$P$9:$P$18,I133))</f>
        <v>37</v>
      </c>
      <c r="K133" s="7" t="n">
        <f aca="false">IF(I133="","",INDEX(Eingabe!$E$9:$E$18,I133))</f>
        <v>53</v>
      </c>
    </row>
    <row r="134" customFormat="false" ht="15" hidden="false" customHeight="false" outlineLevel="0" collapsed="false">
      <c r="A134" s="0" t="str">
        <f aca="false">IF(I134="","",IF(J134=0,"Sparte "&amp;I134&amp;": "&amp;INDEX(Eingabe!$B$9:$B$18,I134)&amp;"  (Sparten-ID "&amp;INDEX(Eingabe!$D$9:$D$18,I134)&amp;", "&amp;K134&amp;" Parzellen)",IF(J134&lt;=K134,"   Parzelle "&amp;J134,IF(J134=K134+1,"   Vorstand",IF(J134=K134+2,"   Gäste",IF(J134=K134+3,"   Technik (Switches, Access Points)",""))))))</f>
        <v>   Parzelle 38</v>
      </c>
      <c r="B134" s="0" t="n">
        <f aca="false">IF(I134="","",IF(AND(J134&gt;=1,J134&lt;=K134+3),IF(J134&lt;=K134,IF(J134&lt;=99,IF((INDEX(Eingabe!$G$9:$G$18,I134))&lt;=9,1000+(INDEX(Eingabe!$G$9:$G$18,I134))*100,3000)+J134,IF((INDEX(Eingabe!$G$9:$G$18,I134)+1)&lt;=9,1000+(INDEX(Eingabe!$G$9:$G$18,I134)+1)*100,3000)+J134-100),IF(J134=K134+1,2000+INDEX(Eingabe!$G$9:$G$18,I134)*10+1,IF(J134=K134+2,2000+INDEX(Eingabe!$G$9:$G$18,I134)*10+2,2000+INDEX(Eingabe!$G$9:$G$18,I134)*10+9))),""))</f>
        <v>1238</v>
      </c>
      <c r="C134" s="0" t="str">
        <f aca="false">IF(I134="","",IF(AND(J134&gt;=1,J134&lt;=K134+3),"10."&amp;INDEX(Eingabe!$D$9:$D$18,I134)&amp;"."&amp;IF(J134&lt;=K134,J134,IF(J134=K134+1,200,IF(J134=K134+2,201,250)))&amp;".0/24",""))</f>
        <v>10.2.38.0/24</v>
      </c>
      <c r="D134" s="0" t="str">
        <f aca="false">IF(I134="","",IF(AND(J134&gt;=1,J134&lt;=K134+3),"255.255.255.0",""))</f>
        <v>255.255.255.0</v>
      </c>
      <c r="E134" s="0" t="str">
        <f aca="false">IF(I134="","",IF(AND(J134&gt;=1,J134&lt;=K134+3),"10."&amp;INDEX(Eingabe!$D$9:$D$18,I134)&amp;"."&amp;IF(J134&lt;=K134,J134,IF(J134=K134+1,200,IF(J134=K134+2,201,250)))&amp;".1",""))</f>
        <v>10.2.38.1</v>
      </c>
      <c r="F134" s="0" t="str">
        <f aca="false">IF(I134="","",IF(AND(J134&gt;=1,J134&lt;=K134+3),"10."&amp;INDEX(Eingabe!$D$9:$D$18,I134)&amp;"."&amp;IF(J134&lt;=K134,J134,IF(J134=K134+1,200,IF(J134=K134+2,201,250)))&amp;".10 – 10."&amp;INDEX(Eingabe!$D$9:$D$18,I134)&amp;"."&amp;IF(J134&lt;=K134,J134,IF(J134=K134+1,200,IF(J134=K134+2,201,250)))&amp;".250",""))</f>
        <v>10.2.38.10 – 10.2.38.250</v>
      </c>
      <c r="G134" s="0" t="str">
        <f aca="false">IF(I134="","",IF(AND(J134&gt;=1,J134&lt;=K134),Eingabe!$B$6&amp;"-"&amp;INDEX(Eingabe!$C$9:$C$18,I134)&amp;"-Pächter  ·  Passwort Parzelle "&amp;J134,IF(J134=K134+1,Eingabe!$B$6&amp;"-"&amp;INDEX(Eingabe!$C$9:$C$18,I134)&amp;"-Vorstand  ·  eigenes WLAN",IF(J134=K134+2,Eingabe!$B$6&amp;"-"&amp;INDEX(Eingabe!$C$9:$C$18,I134)&amp;"-Gäste  ·  Voucher",IF(J134=K134+3,"Kabel  ·  Access Point y = .(50+y), Mast-Switch x = .(10+x)","")))))</f>
        <v>SparteNet.de-MW-Pächter  ·  Passwort Parzelle 38</v>
      </c>
      <c r="I134" s="7" t="n">
        <f aca="false">IF(129&lt;=(Eingabe!$P$18+Eingabe!$Q$18-1),MATCH(129,Eingabe!$P$9:$P$18,1),"")</f>
        <v>2</v>
      </c>
      <c r="J134" s="7" t="n">
        <f aca="false">IF(I134="","",129-INDEX(Eingabe!$P$9:$P$18,I134))</f>
        <v>38</v>
      </c>
      <c r="K134" s="7" t="n">
        <f aca="false">IF(I134="","",INDEX(Eingabe!$E$9:$E$18,I134))</f>
        <v>53</v>
      </c>
    </row>
    <row r="135" customFormat="false" ht="15" hidden="false" customHeight="false" outlineLevel="0" collapsed="false">
      <c r="A135" s="0" t="str">
        <f aca="false">IF(I135="","",IF(J135=0,"Sparte "&amp;I135&amp;": "&amp;INDEX(Eingabe!$B$9:$B$18,I135)&amp;"  (Sparten-ID "&amp;INDEX(Eingabe!$D$9:$D$18,I135)&amp;", "&amp;K135&amp;" Parzellen)",IF(J135&lt;=K135,"   Parzelle "&amp;J135,IF(J135=K135+1,"   Vorstand",IF(J135=K135+2,"   Gäste",IF(J135=K135+3,"   Technik (Switches, Access Points)",""))))))</f>
        <v>   Parzelle 39</v>
      </c>
      <c r="B135" s="0" t="n">
        <f aca="false">IF(I135="","",IF(AND(J135&gt;=1,J135&lt;=K135+3),IF(J135&lt;=K135,IF(J135&lt;=99,IF((INDEX(Eingabe!$G$9:$G$18,I135))&lt;=9,1000+(INDEX(Eingabe!$G$9:$G$18,I135))*100,3000)+J135,IF((INDEX(Eingabe!$G$9:$G$18,I135)+1)&lt;=9,1000+(INDEX(Eingabe!$G$9:$G$18,I135)+1)*100,3000)+J135-100),IF(J135=K135+1,2000+INDEX(Eingabe!$G$9:$G$18,I135)*10+1,IF(J135=K135+2,2000+INDEX(Eingabe!$G$9:$G$18,I135)*10+2,2000+INDEX(Eingabe!$G$9:$G$18,I135)*10+9))),""))</f>
        <v>1239</v>
      </c>
      <c r="C135" s="0" t="str">
        <f aca="false">IF(I135="","",IF(AND(J135&gt;=1,J135&lt;=K135+3),"10."&amp;INDEX(Eingabe!$D$9:$D$18,I135)&amp;"."&amp;IF(J135&lt;=K135,J135,IF(J135=K135+1,200,IF(J135=K135+2,201,250)))&amp;".0/24",""))</f>
        <v>10.2.39.0/24</v>
      </c>
      <c r="D135" s="0" t="str">
        <f aca="false">IF(I135="","",IF(AND(J135&gt;=1,J135&lt;=K135+3),"255.255.255.0",""))</f>
        <v>255.255.255.0</v>
      </c>
      <c r="E135" s="0" t="str">
        <f aca="false">IF(I135="","",IF(AND(J135&gt;=1,J135&lt;=K135+3),"10."&amp;INDEX(Eingabe!$D$9:$D$18,I135)&amp;"."&amp;IF(J135&lt;=K135,J135,IF(J135=K135+1,200,IF(J135=K135+2,201,250)))&amp;".1",""))</f>
        <v>10.2.39.1</v>
      </c>
      <c r="F135" s="0" t="str">
        <f aca="false">IF(I135="","",IF(AND(J135&gt;=1,J135&lt;=K135+3),"10."&amp;INDEX(Eingabe!$D$9:$D$18,I135)&amp;"."&amp;IF(J135&lt;=K135,J135,IF(J135=K135+1,200,IF(J135=K135+2,201,250)))&amp;".10 – 10."&amp;INDEX(Eingabe!$D$9:$D$18,I135)&amp;"."&amp;IF(J135&lt;=K135,J135,IF(J135=K135+1,200,IF(J135=K135+2,201,250)))&amp;".250",""))</f>
        <v>10.2.39.10 – 10.2.39.250</v>
      </c>
      <c r="G135" s="0" t="str">
        <f aca="false">IF(I135="","",IF(AND(J135&gt;=1,J135&lt;=K135),Eingabe!$B$6&amp;"-"&amp;INDEX(Eingabe!$C$9:$C$18,I135)&amp;"-Pächter  ·  Passwort Parzelle "&amp;J135,IF(J135=K135+1,Eingabe!$B$6&amp;"-"&amp;INDEX(Eingabe!$C$9:$C$18,I135)&amp;"-Vorstand  ·  eigenes WLAN",IF(J135=K135+2,Eingabe!$B$6&amp;"-"&amp;INDEX(Eingabe!$C$9:$C$18,I135)&amp;"-Gäste  ·  Voucher",IF(J135=K135+3,"Kabel  ·  Access Point y = .(50+y), Mast-Switch x = .(10+x)","")))))</f>
        <v>SparteNet.de-MW-Pächter  ·  Passwort Parzelle 39</v>
      </c>
      <c r="I135" s="7" t="n">
        <f aca="false">IF(130&lt;=(Eingabe!$P$18+Eingabe!$Q$18-1),MATCH(130,Eingabe!$P$9:$P$18,1),"")</f>
        <v>2</v>
      </c>
      <c r="J135" s="7" t="n">
        <f aca="false">IF(I135="","",130-INDEX(Eingabe!$P$9:$P$18,I135))</f>
        <v>39</v>
      </c>
      <c r="K135" s="7" t="n">
        <f aca="false">IF(I135="","",INDEX(Eingabe!$E$9:$E$18,I135))</f>
        <v>53</v>
      </c>
    </row>
    <row r="136" customFormat="false" ht="15" hidden="false" customHeight="false" outlineLevel="0" collapsed="false">
      <c r="A136" s="0" t="str">
        <f aca="false">IF(I136="","",IF(J136=0,"Sparte "&amp;I136&amp;": "&amp;INDEX(Eingabe!$B$9:$B$18,I136)&amp;"  (Sparten-ID "&amp;INDEX(Eingabe!$D$9:$D$18,I136)&amp;", "&amp;K136&amp;" Parzellen)",IF(J136&lt;=K136,"   Parzelle "&amp;J136,IF(J136=K136+1,"   Vorstand",IF(J136=K136+2,"   Gäste",IF(J136=K136+3,"   Technik (Switches, Access Points)",""))))))</f>
        <v>   Parzelle 40</v>
      </c>
      <c r="B136" s="0" t="n">
        <f aca="false">IF(I136="","",IF(AND(J136&gt;=1,J136&lt;=K136+3),IF(J136&lt;=K136,IF(J136&lt;=99,IF((INDEX(Eingabe!$G$9:$G$18,I136))&lt;=9,1000+(INDEX(Eingabe!$G$9:$G$18,I136))*100,3000)+J136,IF((INDEX(Eingabe!$G$9:$G$18,I136)+1)&lt;=9,1000+(INDEX(Eingabe!$G$9:$G$18,I136)+1)*100,3000)+J136-100),IF(J136=K136+1,2000+INDEX(Eingabe!$G$9:$G$18,I136)*10+1,IF(J136=K136+2,2000+INDEX(Eingabe!$G$9:$G$18,I136)*10+2,2000+INDEX(Eingabe!$G$9:$G$18,I136)*10+9))),""))</f>
        <v>1240</v>
      </c>
      <c r="C136" s="0" t="str">
        <f aca="false">IF(I136="","",IF(AND(J136&gt;=1,J136&lt;=K136+3),"10."&amp;INDEX(Eingabe!$D$9:$D$18,I136)&amp;"."&amp;IF(J136&lt;=K136,J136,IF(J136=K136+1,200,IF(J136=K136+2,201,250)))&amp;".0/24",""))</f>
        <v>10.2.40.0/24</v>
      </c>
      <c r="D136" s="0" t="str">
        <f aca="false">IF(I136="","",IF(AND(J136&gt;=1,J136&lt;=K136+3),"255.255.255.0",""))</f>
        <v>255.255.255.0</v>
      </c>
      <c r="E136" s="0" t="str">
        <f aca="false">IF(I136="","",IF(AND(J136&gt;=1,J136&lt;=K136+3),"10."&amp;INDEX(Eingabe!$D$9:$D$18,I136)&amp;"."&amp;IF(J136&lt;=K136,J136,IF(J136=K136+1,200,IF(J136=K136+2,201,250)))&amp;".1",""))</f>
        <v>10.2.40.1</v>
      </c>
      <c r="F136" s="0" t="str">
        <f aca="false">IF(I136="","",IF(AND(J136&gt;=1,J136&lt;=K136+3),"10."&amp;INDEX(Eingabe!$D$9:$D$18,I136)&amp;"."&amp;IF(J136&lt;=K136,J136,IF(J136=K136+1,200,IF(J136=K136+2,201,250)))&amp;".10 – 10."&amp;INDEX(Eingabe!$D$9:$D$18,I136)&amp;"."&amp;IF(J136&lt;=K136,J136,IF(J136=K136+1,200,IF(J136=K136+2,201,250)))&amp;".250",""))</f>
        <v>10.2.40.10 – 10.2.40.250</v>
      </c>
      <c r="G136" s="0" t="str">
        <f aca="false">IF(I136="","",IF(AND(J136&gt;=1,J136&lt;=K136),Eingabe!$B$6&amp;"-"&amp;INDEX(Eingabe!$C$9:$C$18,I136)&amp;"-Pächter  ·  Passwort Parzelle "&amp;J136,IF(J136=K136+1,Eingabe!$B$6&amp;"-"&amp;INDEX(Eingabe!$C$9:$C$18,I136)&amp;"-Vorstand  ·  eigenes WLAN",IF(J136=K136+2,Eingabe!$B$6&amp;"-"&amp;INDEX(Eingabe!$C$9:$C$18,I136)&amp;"-Gäste  ·  Voucher",IF(J136=K136+3,"Kabel  ·  Access Point y = .(50+y), Mast-Switch x = .(10+x)","")))))</f>
        <v>SparteNet.de-MW-Pächter  ·  Passwort Parzelle 40</v>
      </c>
      <c r="I136" s="7" t="n">
        <f aca="false">IF(131&lt;=(Eingabe!$P$18+Eingabe!$Q$18-1),MATCH(131,Eingabe!$P$9:$P$18,1),"")</f>
        <v>2</v>
      </c>
      <c r="J136" s="7" t="n">
        <f aca="false">IF(I136="","",131-INDEX(Eingabe!$P$9:$P$18,I136))</f>
        <v>40</v>
      </c>
      <c r="K136" s="7" t="n">
        <f aca="false">IF(I136="","",INDEX(Eingabe!$E$9:$E$18,I136))</f>
        <v>53</v>
      </c>
    </row>
    <row r="137" customFormat="false" ht="15" hidden="false" customHeight="false" outlineLevel="0" collapsed="false">
      <c r="A137" s="0" t="str">
        <f aca="false">IF(I137="","",IF(J137=0,"Sparte "&amp;I137&amp;": "&amp;INDEX(Eingabe!$B$9:$B$18,I137)&amp;"  (Sparten-ID "&amp;INDEX(Eingabe!$D$9:$D$18,I137)&amp;", "&amp;K137&amp;" Parzellen)",IF(J137&lt;=K137,"   Parzelle "&amp;J137,IF(J137=K137+1,"   Vorstand",IF(J137=K137+2,"   Gäste",IF(J137=K137+3,"   Technik (Switches, Access Points)",""))))))</f>
        <v>   Parzelle 41</v>
      </c>
      <c r="B137" s="0" t="n">
        <f aca="false">IF(I137="","",IF(AND(J137&gt;=1,J137&lt;=K137+3),IF(J137&lt;=K137,IF(J137&lt;=99,IF((INDEX(Eingabe!$G$9:$G$18,I137))&lt;=9,1000+(INDEX(Eingabe!$G$9:$G$18,I137))*100,3000)+J137,IF((INDEX(Eingabe!$G$9:$G$18,I137)+1)&lt;=9,1000+(INDEX(Eingabe!$G$9:$G$18,I137)+1)*100,3000)+J137-100),IF(J137=K137+1,2000+INDEX(Eingabe!$G$9:$G$18,I137)*10+1,IF(J137=K137+2,2000+INDEX(Eingabe!$G$9:$G$18,I137)*10+2,2000+INDEX(Eingabe!$G$9:$G$18,I137)*10+9))),""))</f>
        <v>1241</v>
      </c>
      <c r="C137" s="0" t="str">
        <f aca="false">IF(I137="","",IF(AND(J137&gt;=1,J137&lt;=K137+3),"10."&amp;INDEX(Eingabe!$D$9:$D$18,I137)&amp;"."&amp;IF(J137&lt;=K137,J137,IF(J137=K137+1,200,IF(J137=K137+2,201,250)))&amp;".0/24",""))</f>
        <v>10.2.41.0/24</v>
      </c>
      <c r="D137" s="0" t="str">
        <f aca="false">IF(I137="","",IF(AND(J137&gt;=1,J137&lt;=K137+3),"255.255.255.0",""))</f>
        <v>255.255.255.0</v>
      </c>
      <c r="E137" s="0" t="str">
        <f aca="false">IF(I137="","",IF(AND(J137&gt;=1,J137&lt;=K137+3),"10."&amp;INDEX(Eingabe!$D$9:$D$18,I137)&amp;"."&amp;IF(J137&lt;=K137,J137,IF(J137=K137+1,200,IF(J137=K137+2,201,250)))&amp;".1",""))</f>
        <v>10.2.41.1</v>
      </c>
      <c r="F137" s="0" t="str">
        <f aca="false">IF(I137="","",IF(AND(J137&gt;=1,J137&lt;=K137+3),"10."&amp;INDEX(Eingabe!$D$9:$D$18,I137)&amp;"."&amp;IF(J137&lt;=K137,J137,IF(J137=K137+1,200,IF(J137=K137+2,201,250)))&amp;".10 – 10."&amp;INDEX(Eingabe!$D$9:$D$18,I137)&amp;"."&amp;IF(J137&lt;=K137,J137,IF(J137=K137+1,200,IF(J137=K137+2,201,250)))&amp;".250",""))</f>
        <v>10.2.41.10 – 10.2.41.250</v>
      </c>
      <c r="G137" s="0" t="str">
        <f aca="false">IF(I137="","",IF(AND(J137&gt;=1,J137&lt;=K137),Eingabe!$B$6&amp;"-"&amp;INDEX(Eingabe!$C$9:$C$18,I137)&amp;"-Pächter  ·  Passwort Parzelle "&amp;J137,IF(J137=K137+1,Eingabe!$B$6&amp;"-"&amp;INDEX(Eingabe!$C$9:$C$18,I137)&amp;"-Vorstand  ·  eigenes WLAN",IF(J137=K137+2,Eingabe!$B$6&amp;"-"&amp;INDEX(Eingabe!$C$9:$C$18,I137)&amp;"-Gäste  ·  Voucher",IF(J137=K137+3,"Kabel  ·  Access Point y = .(50+y), Mast-Switch x = .(10+x)","")))))</f>
        <v>SparteNet.de-MW-Pächter  ·  Passwort Parzelle 41</v>
      </c>
      <c r="I137" s="7" t="n">
        <f aca="false">IF(132&lt;=(Eingabe!$P$18+Eingabe!$Q$18-1),MATCH(132,Eingabe!$P$9:$P$18,1),"")</f>
        <v>2</v>
      </c>
      <c r="J137" s="7" t="n">
        <f aca="false">IF(I137="","",132-INDEX(Eingabe!$P$9:$P$18,I137))</f>
        <v>41</v>
      </c>
      <c r="K137" s="7" t="n">
        <f aca="false">IF(I137="","",INDEX(Eingabe!$E$9:$E$18,I137))</f>
        <v>53</v>
      </c>
    </row>
    <row r="138" customFormat="false" ht="15" hidden="false" customHeight="false" outlineLevel="0" collapsed="false">
      <c r="A138" s="0" t="str">
        <f aca="false">IF(I138="","",IF(J138=0,"Sparte "&amp;I138&amp;": "&amp;INDEX(Eingabe!$B$9:$B$18,I138)&amp;"  (Sparten-ID "&amp;INDEX(Eingabe!$D$9:$D$18,I138)&amp;", "&amp;K138&amp;" Parzellen)",IF(J138&lt;=K138,"   Parzelle "&amp;J138,IF(J138=K138+1,"   Vorstand",IF(J138=K138+2,"   Gäste",IF(J138=K138+3,"   Technik (Switches, Access Points)",""))))))</f>
        <v>   Parzelle 42</v>
      </c>
      <c r="B138" s="0" t="n">
        <f aca="false">IF(I138="","",IF(AND(J138&gt;=1,J138&lt;=K138+3),IF(J138&lt;=K138,IF(J138&lt;=99,IF((INDEX(Eingabe!$G$9:$G$18,I138))&lt;=9,1000+(INDEX(Eingabe!$G$9:$G$18,I138))*100,3000)+J138,IF((INDEX(Eingabe!$G$9:$G$18,I138)+1)&lt;=9,1000+(INDEX(Eingabe!$G$9:$G$18,I138)+1)*100,3000)+J138-100),IF(J138=K138+1,2000+INDEX(Eingabe!$G$9:$G$18,I138)*10+1,IF(J138=K138+2,2000+INDEX(Eingabe!$G$9:$G$18,I138)*10+2,2000+INDEX(Eingabe!$G$9:$G$18,I138)*10+9))),""))</f>
        <v>1242</v>
      </c>
      <c r="C138" s="0" t="str">
        <f aca="false">IF(I138="","",IF(AND(J138&gt;=1,J138&lt;=K138+3),"10."&amp;INDEX(Eingabe!$D$9:$D$18,I138)&amp;"."&amp;IF(J138&lt;=K138,J138,IF(J138=K138+1,200,IF(J138=K138+2,201,250)))&amp;".0/24",""))</f>
        <v>10.2.42.0/24</v>
      </c>
      <c r="D138" s="0" t="str">
        <f aca="false">IF(I138="","",IF(AND(J138&gt;=1,J138&lt;=K138+3),"255.255.255.0",""))</f>
        <v>255.255.255.0</v>
      </c>
      <c r="E138" s="0" t="str">
        <f aca="false">IF(I138="","",IF(AND(J138&gt;=1,J138&lt;=K138+3),"10."&amp;INDEX(Eingabe!$D$9:$D$18,I138)&amp;"."&amp;IF(J138&lt;=K138,J138,IF(J138=K138+1,200,IF(J138=K138+2,201,250)))&amp;".1",""))</f>
        <v>10.2.42.1</v>
      </c>
      <c r="F138" s="0" t="str">
        <f aca="false">IF(I138="","",IF(AND(J138&gt;=1,J138&lt;=K138+3),"10."&amp;INDEX(Eingabe!$D$9:$D$18,I138)&amp;"."&amp;IF(J138&lt;=K138,J138,IF(J138=K138+1,200,IF(J138=K138+2,201,250)))&amp;".10 – 10."&amp;INDEX(Eingabe!$D$9:$D$18,I138)&amp;"."&amp;IF(J138&lt;=K138,J138,IF(J138=K138+1,200,IF(J138=K138+2,201,250)))&amp;".250",""))</f>
        <v>10.2.42.10 – 10.2.42.250</v>
      </c>
      <c r="G138" s="0" t="str">
        <f aca="false">IF(I138="","",IF(AND(J138&gt;=1,J138&lt;=K138),Eingabe!$B$6&amp;"-"&amp;INDEX(Eingabe!$C$9:$C$18,I138)&amp;"-Pächter  ·  Passwort Parzelle "&amp;J138,IF(J138=K138+1,Eingabe!$B$6&amp;"-"&amp;INDEX(Eingabe!$C$9:$C$18,I138)&amp;"-Vorstand  ·  eigenes WLAN",IF(J138=K138+2,Eingabe!$B$6&amp;"-"&amp;INDEX(Eingabe!$C$9:$C$18,I138)&amp;"-Gäste  ·  Voucher",IF(J138=K138+3,"Kabel  ·  Access Point y = .(50+y), Mast-Switch x = .(10+x)","")))))</f>
        <v>SparteNet.de-MW-Pächter  ·  Passwort Parzelle 42</v>
      </c>
      <c r="I138" s="7" t="n">
        <f aca="false">IF(133&lt;=(Eingabe!$P$18+Eingabe!$Q$18-1),MATCH(133,Eingabe!$P$9:$P$18,1),"")</f>
        <v>2</v>
      </c>
      <c r="J138" s="7" t="n">
        <f aca="false">IF(I138="","",133-INDEX(Eingabe!$P$9:$P$18,I138))</f>
        <v>42</v>
      </c>
      <c r="K138" s="7" t="n">
        <f aca="false">IF(I138="","",INDEX(Eingabe!$E$9:$E$18,I138))</f>
        <v>53</v>
      </c>
    </row>
    <row r="139" customFormat="false" ht="15" hidden="false" customHeight="false" outlineLevel="0" collapsed="false">
      <c r="A139" s="0" t="str">
        <f aca="false">IF(I139="","",IF(J139=0,"Sparte "&amp;I139&amp;": "&amp;INDEX(Eingabe!$B$9:$B$18,I139)&amp;"  (Sparten-ID "&amp;INDEX(Eingabe!$D$9:$D$18,I139)&amp;", "&amp;K139&amp;" Parzellen)",IF(J139&lt;=K139,"   Parzelle "&amp;J139,IF(J139=K139+1,"   Vorstand",IF(J139=K139+2,"   Gäste",IF(J139=K139+3,"   Technik (Switches, Access Points)",""))))))</f>
        <v>   Parzelle 43</v>
      </c>
      <c r="B139" s="0" t="n">
        <f aca="false">IF(I139="","",IF(AND(J139&gt;=1,J139&lt;=K139+3),IF(J139&lt;=K139,IF(J139&lt;=99,IF((INDEX(Eingabe!$G$9:$G$18,I139))&lt;=9,1000+(INDEX(Eingabe!$G$9:$G$18,I139))*100,3000)+J139,IF((INDEX(Eingabe!$G$9:$G$18,I139)+1)&lt;=9,1000+(INDEX(Eingabe!$G$9:$G$18,I139)+1)*100,3000)+J139-100),IF(J139=K139+1,2000+INDEX(Eingabe!$G$9:$G$18,I139)*10+1,IF(J139=K139+2,2000+INDEX(Eingabe!$G$9:$G$18,I139)*10+2,2000+INDEX(Eingabe!$G$9:$G$18,I139)*10+9))),""))</f>
        <v>1243</v>
      </c>
      <c r="C139" s="0" t="str">
        <f aca="false">IF(I139="","",IF(AND(J139&gt;=1,J139&lt;=K139+3),"10."&amp;INDEX(Eingabe!$D$9:$D$18,I139)&amp;"."&amp;IF(J139&lt;=K139,J139,IF(J139=K139+1,200,IF(J139=K139+2,201,250)))&amp;".0/24",""))</f>
        <v>10.2.43.0/24</v>
      </c>
      <c r="D139" s="0" t="str">
        <f aca="false">IF(I139="","",IF(AND(J139&gt;=1,J139&lt;=K139+3),"255.255.255.0",""))</f>
        <v>255.255.255.0</v>
      </c>
      <c r="E139" s="0" t="str">
        <f aca="false">IF(I139="","",IF(AND(J139&gt;=1,J139&lt;=K139+3),"10."&amp;INDEX(Eingabe!$D$9:$D$18,I139)&amp;"."&amp;IF(J139&lt;=K139,J139,IF(J139=K139+1,200,IF(J139=K139+2,201,250)))&amp;".1",""))</f>
        <v>10.2.43.1</v>
      </c>
      <c r="F139" s="0" t="str">
        <f aca="false">IF(I139="","",IF(AND(J139&gt;=1,J139&lt;=K139+3),"10."&amp;INDEX(Eingabe!$D$9:$D$18,I139)&amp;"."&amp;IF(J139&lt;=K139,J139,IF(J139=K139+1,200,IF(J139=K139+2,201,250)))&amp;".10 – 10."&amp;INDEX(Eingabe!$D$9:$D$18,I139)&amp;"."&amp;IF(J139&lt;=K139,J139,IF(J139=K139+1,200,IF(J139=K139+2,201,250)))&amp;".250",""))</f>
        <v>10.2.43.10 – 10.2.43.250</v>
      </c>
      <c r="G139" s="0" t="str">
        <f aca="false">IF(I139="","",IF(AND(J139&gt;=1,J139&lt;=K139),Eingabe!$B$6&amp;"-"&amp;INDEX(Eingabe!$C$9:$C$18,I139)&amp;"-Pächter  ·  Passwort Parzelle "&amp;J139,IF(J139=K139+1,Eingabe!$B$6&amp;"-"&amp;INDEX(Eingabe!$C$9:$C$18,I139)&amp;"-Vorstand  ·  eigenes WLAN",IF(J139=K139+2,Eingabe!$B$6&amp;"-"&amp;INDEX(Eingabe!$C$9:$C$18,I139)&amp;"-Gäste  ·  Voucher",IF(J139=K139+3,"Kabel  ·  Access Point y = .(50+y), Mast-Switch x = .(10+x)","")))))</f>
        <v>SparteNet.de-MW-Pächter  ·  Passwort Parzelle 43</v>
      </c>
      <c r="I139" s="7" t="n">
        <f aca="false">IF(134&lt;=(Eingabe!$P$18+Eingabe!$Q$18-1),MATCH(134,Eingabe!$P$9:$P$18,1),"")</f>
        <v>2</v>
      </c>
      <c r="J139" s="7" t="n">
        <f aca="false">IF(I139="","",134-INDEX(Eingabe!$P$9:$P$18,I139))</f>
        <v>43</v>
      </c>
      <c r="K139" s="7" t="n">
        <f aca="false">IF(I139="","",INDEX(Eingabe!$E$9:$E$18,I139))</f>
        <v>53</v>
      </c>
    </row>
    <row r="140" customFormat="false" ht="15" hidden="false" customHeight="false" outlineLevel="0" collapsed="false">
      <c r="A140" s="0" t="str">
        <f aca="false">IF(I140="","",IF(J140=0,"Sparte "&amp;I140&amp;": "&amp;INDEX(Eingabe!$B$9:$B$18,I140)&amp;"  (Sparten-ID "&amp;INDEX(Eingabe!$D$9:$D$18,I140)&amp;", "&amp;K140&amp;" Parzellen)",IF(J140&lt;=K140,"   Parzelle "&amp;J140,IF(J140=K140+1,"   Vorstand",IF(J140=K140+2,"   Gäste",IF(J140=K140+3,"   Technik (Switches, Access Points)",""))))))</f>
        <v>   Parzelle 44</v>
      </c>
      <c r="B140" s="0" t="n">
        <f aca="false">IF(I140="","",IF(AND(J140&gt;=1,J140&lt;=K140+3),IF(J140&lt;=K140,IF(J140&lt;=99,IF((INDEX(Eingabe!$G$9:$G$18,I140))&lt;=9,1000+(INDEX(Eingabe!$G$9:$G$18,I140))*100,3000)+J140,IF((INDEX(Eingabe!$G$9:$G$18,I140)+1)&lt;=9,1000+(INDEX(Eingabe!$G$9:$G$18,I140)+1)*100,3000)+J140-100),IF(J140=K140+1,2000+INDEX(Eingabe!$G$9:$G$18,I140)*10+1,IF(J140=K140+2,2000+INDEX(Eingabe!$G$9:$G$18,I140)*10+2,2000+INDEX(Eingabe!$G$9:$G$18,I140)*10+9))),""))</f>
        <v>1244</v>
      </c>
      <c r="C140" s="0" t="str">
        <f aca="false">IF(I140="","",IF(AND(J140&gt;=1,J140&lt;=K140+3),"10."&amp;INDEX(Eingabe!$D$9:$D$18,I140)&amp;"."&amp;IF(J140&lt;=K140,J140,IF(J140=K140+1,200,IF(J140=K140+2,201,250)))&amp;".0/24",""))</f>
        <v>10.2.44.0/24</v>
      </c>
      <c r="D140" s="0" t="str">
        <f aca="false">IF(I140="","",IF(AND(J140&gt;=1,J140&lt;=K140+3),"255.255.255.0",""))</f>
        <v>255.255.255.0</v>
      </c>
      <c r="E140" s="0" t="str">
        <f aca="false">IF(I140="","",IF(AND(J140&gt;=1,J140&lt;=K140+3),"10."&amp;INDEX(Eingabe!$D$9:$D$18,I140)&amp;"."&amp;IF(J140&lt;=K140,J140,IF(J140=K140+1,200,IF(J140=K140+2,201,250)))&amp;".1",""))</f>
        <v>10.2.44.1</v>
      </c>
      <c r="F140" s="0" t="str">
        <f aca="false">IF(I140="","",IF(AND(J140&gt;=1,J140&lt;=K140+3),"10."&amp;INDEX(Eingabe!$D$9:$D$18,I140)&amp;"."&amp;IF(J140&lt;=K140,J140,IF(J140=K140+1,200,IF(J140=K140+2,201,250)))&amp;".10 – 10."&amp;INDEX(Eingabe!$D$9:$D$18,I140)&amp;"."&amp;IF(J140&lt;=K140,J140,IF(J140=K140+1,200,IF(J140=K140+2,201,250)))&amp;".250",""))</f>
        <v>10.2.44.10 – 10.2.44.250</v>
      </c>
      <c r="G140" s="0" t="str">
        <f aca="false">IF(I140="","",IF(AND(J140&gt;=1,J140&lt;=K140),Eingabe!$B$6&amp;"-"&amp;INDEX(Eingabe!$C$9:$C$18,I140)&amp;"-Pächter  ·  Passwort Parzelle "&amp;J140,IF(J140=K140+1,Eingabe!$B$6&amp;"-"&amp;INDEX(Eingabe!$C$9:$C$18,I140)&amp;"-Vorstand  ·  eigenes WLAN",IF(J140=K140+2,Eingabe!$B$6&amp;"-"&amp;INDEX(Eingabe!$C$9:$C$18,I140)&amp;"-Gäste  ·  Voucher",IF(J140=K140+3,"Kabel  ·  Access Point y = .(50+y), Mast-Switch x = .(10+x)","")))))</f>
        <v>SparteNet.de-MW-Pächter  ·  Passwort Parzelle 44</v>
      </c>
      <c r="I140" s="7" t="n">
        <f aca="false">IF(135&lt;=(Eingabe!$P$18+Eingabe!$Q$18-1),MATCH(135,Eingabe!$P$9:$P$18,1),"")</f>
        <v>2</v>
      </c>
      <c r="J140" s="7" t="n">
        <f aca="false">IF(I140="","",135-INDEX(Eingabe!$P$9:$P$18,I140))</f>
        <v>44</v>
      </c>
      <c r="K140" s="7" t="n">
        <f aca="false">IF(I140="","",INDEX(Eingabe!$E$9:$E$18,I140))</f>
        <v>53</v>
      </c>
    </row>
    <row r="141" customFormat="false" ht="15" hidden="false" customHeight="false" outlineLevel="0" collapsed="false">
      <c r="A141" s="0" t="str">
        <f aca="false">IF(I141="","",IF(J141=0,"Sparte "&amp;I141&amp;": "&amp;INDEX(Eingabe!$B$9:$B$18,I141)&amp;"  (Sparten-ID "&amp;INDEX(Eingabe!$D$9:$D$18,I141)&amp;", "&amp;K141&amp;" Parzellen)",IF(J141&lt;=K141,"   Parzelle "&amp;J141,IF(J141=K141+1,"   Vorstand",IF(J141=K141+2,"   Gäste",IF(J141=K141+3,"   Technik (Switches, Access Points)",""))))))</f>
        <v>   Parzelle 45</v>
      </c>
      <c r="B141" s="0" t="n">
        <f aca="false">IF(I141="","",IF(AND(J141&gt;=1,J141&lt;=K141+3),IF(J141&lt;=K141,IF(J141&lt;=99,IF((INDEX(Eingabe!$G$9:$G$18,I141))&lt;=9,1000+(INDEX(Eingabe!$G$9:$G$18,I141))*100,3000)+J141,IF((INDEX(Eingabe!$G$9:$G$18,I141)+1)&lt;=9,1000+(INDEX(Eingabe!$G$9:$G$18,I141)+1)*100,3000)+J141-100),IF(J141=K141+1,2000+INDEX(Eingabe!$G$9:$G$18,I141)*10+1,IF(J141=K141+2,2000+INDEX(Eingabe!$G$9:$G$18,I141)*10+2,2000+INDEX(Eingabe!$G$9:$G$18,I141)*10+9))),""))</f>
        <v>1245</v>
      </c>
      <c r="C141" s="0" t="str">
        <f aca="false">IF(I141="","",IF(AND(J141&gt;=1,J141&lt;=K141+3),"10."&amp;INDEX(Eingabe!$D$9:$D$18,I141)&amp;"."&amp;IF(J141&lt;=K141,J141,IF(J141=K141+1,200,IF(J141=K141+2,201,250)))&amp;".0/24",""))</f>
        <v>10.2.45.0/24</v>
      </c>
      <c r="D141" s="0" t="str">
        <f aca="false">IF(I141="","",IF(AND(J141&gt;=1,J141&lt;=K141+3),"255.255.255.0",""))</f>
        <v>255.255.255.0</v>
      </c>
      <c r="E141" s="0" t="str">
        <f aca="false">IF(I141="","",IF(AND(J141&gt;=1,J141&lt;=K141+3),"10."&amp;INDEX(Eingabe!$D$9:$D$18,I141)&amp;"."&amp;IF(J141&lt;=K141,J141,IF(J141=K141+1,200,IF(J141=K141+2,201,250)))&amp;".1",""))</f>
        <v>10.2.45.1</v>
      </c>
      <c r="F141" s="0" t="str">
        <f aca="false">IF(I141="","",IF(AND(J141&gt;=1,J141&lt;=K141+3),"10."&amp;INDEX(Eingabe!$D$9:$D$18,I141)&amp;"."&amp;IF(J141&lt;=K141,J141,IF(J141=K141+1,200,IF(J141=K141+2,201,250)))&amp;".10 – 10."&amp;INDEX(Eingabe!$D$9:$D$18,I141)&amp;"."&amp;IF(J141&lt;=K141,J141,IF(J141=K141+1,200,IF(J141=K141+2,201,250)))&amp;".250",""))</f>
        <v>10.2.45.10 – 10.2.45.250</v>
      </c>
      <c r="G141" s="0" t="str">
        <f aca="false">IF(I141="","",IF(AND(J141&gt;=1,J141&lt;=K141),Eingabe!$B$6&amp;"-"&amp;INDEX(Eingabe!$C$9:$C$18,I141)&amp;"-Pächter  ·  Passwort Parzelle "&amp;J141,IF(J141=K141+1,Eingabe!$B$6&amp;"-"&amp;INDEX(Eingabe!$C$9:$C$18,I141)&amp;"-Vorstand  ·  eigenes WLAN",IF(J141=K141+2,Eingabe!$B$6&amp;"-"&amp;INDEX(Eingabe!$C$9:$C$18,I141)&amp;"-Gäste  ·  Voucher",IF(J141=K141+3,"Kabel  ·  Access Point y = .(50+y), Mast-Switch x = .(10+x)","")))))</f>
        <v>SparteNet.de-MW-Pächter  ·  Passwort Parzelle 45</v>
      </c>
      <c r="I141" s="7" t="n">
        <f aca="false">IF(136&lt;=(Eingabe!$P$18+Eingabe!$Q$18-1),MATCH(136,Eingabe!$P$9:$P$18,1),"")</f>
        <v>2</v>
      </c>
      <c r="J141" s="7" t="n">
        <f aca="false">IF(I141="","",136-INDEX(Eingabe!$P$9:$P$18,I141))</f>
        <v>45</v>
      </c>
      <c r="K141" s="7" t="n">
        <f aca="false">IF(I141="","",INDEX(Eingabe!$E$9:$E$18,I141))</f>
        <v>53</v>
      </c>
    </row>
    <row r="142" customFormat="false" ht="15" hidden="false" customHeight="false" outlineLevel="0" collapsed="false">
      <c r="A142" s="0" t="str">
        <f aca="false">IF(I142="","",IF(J142=0,"Sparte "&amp;I142&amp;": "&amp;INDEX(Eingabe!$B$9:$B$18,I142)&amp;"  (Sparten-ID "&amp;INDEX(Eingabe!$D$9:$D$18,I142)&amp;", "&amp;K142&amp;" Parzellen)",IF(J142&lt;=K142,"   Parzelle "&amp;J142,IF(J142=K142+1,"   Vorstand",IF(J142=K142+2,"   Gäste",IF(J142=K142+3,"   Technik (Switches, Access Points)",""))))))</f>
        <v>   Parzelle 46</v>
      </c>
      <c r="B142" s="0" t="n">
        <f aca="false">IF(I142="","",IF(AND(J142&gt;=1,J142&lt;=K142+3),IF(J142&lt;=K142,IF(J142&lt;=99,IF((INDEX(Eingabe!$G$9:$G$18,I142))&lt;=9,1000+(INDEX(Eingabe!$G$9:$G$18,I142))*100,3000)+J142,IF((INDEX(Eingabe!$G$9:$G$18,I142)+1)&lt;=9,1000+(INDEX(Eingabe!$G$9:$G$18,I142)+1)*100,3000)+J142-100),IF(J142=K142+1,2000+INDEX(Eingabe!$G$9:$G$18,I142)*10+1,IF(J142=K142+2,2000+INDEX(Eingabe!$G$9:$G$18,I142)*10+2,2000+INDEX(Eingabe!$G$9:$G$18,I142)*10+9))),""))</f>
        <v>1246</v>
      </c>
      <c r="C142" s="0" t="str">
        <f aca="false">IF(I142="","",IF(AND(J142&gt;=1,J142&lt;=K142+3),"10."&amp;INDEX(Eingabe!$D$9:$D$18,I142)&amp;"."&amp;IF(J142&lt;=K142,J142,IF(J142=K142+1,200,IF(J142=K142+2,201,250)))&amp;".0/24",""))</f>
        <v>10.2.46.0/24</v>
      </c>
      <c r="D142" s="0" t="str">
        <f aca="false">IF(I142="","",IF(AND(J142&gt;=1,J142&lt;=K142+3),"255.255.255.0",""))</f>
        <v>255.255.255.0</v>
      </c>
      <c r="E142" s="0" t="str">
        <f aca="false">IF(I142="","",IF(AND(J142&gt;=1,J142&lt;=K142+3),"10."&amp;INDEX(Eingabe!$D$9:$D$18,I142)&amp;"."&amp;IF(J142&lt;=K142,J142,IF(J142=K142+1,200,IF(J142=K142+2,201,250)))&amp;".1",""))</f>
        <v>10.2.46.1</v>
      </c>
      <c r="F142" s="0" t="str">
        <f aca="false">IF(I142="","",IF(AND(J142&gt;=1,J142&lt;=K142+3),"10."&amp;INDEX(Eingabe!$D$9:$D$18,I142)&amp;"."&amp;IF(J142&lt;=K142,J142,IF(J142=K142+1,200,IF(J142=K142+2,201,250)))&amp;".10 – 10."&amp;INDEX(Eingabe!$D$9:$D$18,I142)&amp;"."&amp;IF(J142&lt;=K142,J142,IF(J142=K142+1,200,IF(J142=K142+2,201,250)))&amp;".250",""))</f>
        <v>10.2.46.10 – 10.2.46.250</v>
      </c>
      <c r="G142" s="0" t="str">
        <f aca="false">IF(I142="","",IF(AND(J142&gt;=1,J142&lt;=K142),Eingabe!$B$6&amp;"-"&amp;INDEX(Eingabe!$C$9:$C$18,I142)&amp;"-Pächter  ·  Passwort Parzelle "&amp;J142,IF(J142=K142+1,Eingabe!$B$6&amp;"-"&amp;INDEX(Eingabe!$C$9:$C$18,I142)&amp;"-Vorstand  ·  eigenes WLAN",IF(J142=K142+2,Eingabe!$B$6&amp;"-"&amp;INDEX(Eingabe!$C$9:$C$18,I142)&amp;"-Gäste  ·  Voucher",IF(J142=K142+3,"Kabel  ·  Access Point y = .(50+y), Mast-Switch x = .(10+x)","")))))</f>
        <v>SparteNet.de-MW-Pächter  ·  Passwort Parzelle 46</v>
      </c>
      <c r="I142" s="7" t="n">
        <f aca="false">IF(137&lt;=(Eingabe!$P$18+Eingabe!$Q$18-1),MATCH(137,Eingabe!$P$9:$P$18,1),"")</f>
        <v>2</v>
      </c>
      <c r="J142" s="7" t="n">
        <f aca="false">IF(I142="","",137-INDEX(Eingabe!$P$9:$P$18,I142))</f>
        <v>46</v>
      </c>
      <c r="K142" s="7" t="n">
        <f aca="false">IF(I142="","",INDEX(Eingabe!$E$9:$E$18,I142))</f>
        <v>53</v>
      </c>
    </row>
    <row r="143" customFormat="false" ht="15" hidden="false" customHeight="false" outlineLevel="0" collapsed="false">
      <c r="A143" s="0" t="str">
        <f aca="false">IF(I143="","",IF(J143=0,"Sparte "&amp;I143&amp;": "&amp;INDEX(Eingabe!$B$9:$B$18,I143)&amp;"  (Sparten-ID "&amp;INDEX(Eingabe!$D$9:$D$18,I143)&amp;", "&amp;K143&amp;" Parzellen)",IF(J143&lt;=K143,"   Parzelle "&amp;J143,IF(J143=K143+1,"   Vorstand",IF(J143=K143+2,"   Gäste",IF(J143=K143+3,"   Technik (Switches, Access Points)",""))))))</f>
        <v>   Parzelle 47</v>
      </c>
      <c r="B143" s="0" t="n">
        <f aca="false">IF(I143="","",IF(AND(J143&gt;=1,J143&lt;=K143+3),IF(J143&lt;=K143,IF(J143&lt;=99,IF((INDEX(Eingabe!$G$9:$G$18,I143))&lt;=9,1000+(INDEX(Eingabe!$G$9:$G$18,I143))*100,3000)+J143,IF((INDEX(Eingabe!$G$9:$G$18,I143)+1)&lt;=9,1000+(INDEX(Eingabe!$G$9:$G$18,I143)+1)*100,3000)+J143-100),IF(J143=K143+1,2000+INDEX(Eingabe!$G$9:$G$18,I143)*10+1,IF(J143=K143+2,2000+INDEX(Eingabe!$G$9:$G$18,I143)*10+2,2000+INDEX(Eingabe!$G$9:$G$18,I143)*10+9))),""))</f>
        <v>1247</v>
      </c>
      <c r="C143" s="0" t="str">
        <f aca="false">IF(I143="","",IF(AND(J143&gt;=1,J143&lt;=K143+3),"10."&amp;INDEX(Eingabe!$D$9:$D$18,I143)&amp;"."&amp;IF(J143&lt;=K143,J143,IF(J143=K143+1,200,IF(J143=K143+2,201,250)))&amp;".0/24",""))</f>
        <v>10.2.47.0/24</v>
      </c>
      <c r="D143" s="0" t="str">
        <f aca="false">IF(I143="","",IF(AND(J143&gt;=1,J143&lt;=K143+3),"255.255.255.0",""))</f>
        <v>255.255.255.0</v>
      </c>
      <c r="E143" s="0" t="str">
        <f aca="false">IF(I143="","",IF(AND(J143&gt;=1,J143&lt;=K143+3),"10."&amp;INDEX(Eingabe!$D$9:$D$18,I143)&amp;"."&amp;IF(J143&lt;=K143,J143,IF(J143=K143+1,200,IF(J143=K143+2,201,250)))&amp;".1",""))</f>
        <v>10.2.47.1</v>
      </c>
      <c r="F143" s="0" t="str">
        <f aca="false">IF(I143="","",IF(AND(J143&gt;=1,J143&lt;=K143+3),"10."&amp;INDEX(Eingabe!$D$9:$D$18,I143)&amp;"."&amp;IF(J143&lt;=K143,J143,IF(J143=K143+1,200,IF(J143=K143+2,201,250)))&amp;".10 – 10."&amp;INDEX(Eingabe!$D$9:$D$18,I143)&amp;"."&amp;IF(J143&lt;=K143,J143,IF(J143=K143+1,200,IF(J143=K143+2,201,250)))&amp;".250",""))</f>
        <v>10.2.47.10 – 10.2.47.250</v>
      </c>
      <c r="G143" s="0" t="str">
        <f aca="false">IF(I143="","",IF(AND(J143&gt;=1,J143&lt;=K143),Eingabe!$B$6&amp;"-"&amp;INDEX(Eingabe!$C$9:$C$18,I143)&amp;"-Pächter  ·  Passwort Parzelle "&amp;J143,IF(J143=K143+1,Eingabe!$B$6&amp;"-"&amp;INDEX(Eingabe!$C$9:$C$18,I143)&amp;"-Vorstand  ·  eigenes WLAN",IF(J143=K143+2,Eingabe!$B$6&amp;"-"&amp;INDEX(Eingabe!$C$9:$C$18,I143)&amp;"-Gäste  ·  Voucher",IF(J143=K143+3,"Kabel  ·  Access Point y = .(50+y), Mast-Switch x = .(10+x)","")))))</f>
        <v>SparteNet.de-MW-Pächter  ·  Passwort Parzelle 47</v>
      </c>
      <c r="I143" s="7" t="n">
        <f aca="false">IF(138&lt;=(Eingabe!$P$18+Eingabe!$Q$18-1),MATCH(138,Eingabe!$P$9:$P$18,1),"")</f>
        <v>2</v>
      </c>
      <c r="J143" s="7" t="n">
        <f aca="false">IF(I143="","",138-INDEX(Eingabe!$P$9:$P$18,I143))</f>
        <v>47</v>
      </c>
      <c r="K143" s="7" t="n">
        <f aca="false">IF(I143="","",INDEX(Eingabe!$E$9:$E$18,I143))</f>
        <v>53</v>
      </c>
    </row>
    <row r="144" customFormat="false" ht="15" hidden="false" customHeight="false" outlineLevel="0" collapsed="false">
      <c r="A144" s="0" t="str">
        <f aca="false">IF(I144="","",IF(J144=0,"Sparte "&amp;I144&amp;": "&amp;INDEX(Eingabe!$B$9:$B$18,I144)&amp;"  (Sparten-ID "&amp;INDEX(Eingabe!$D$9:$D$18,I144)&amp;", "&amp;K144&amp;" Parzellen)",IF(J144&lt;=K144,"   Parzelle "&amp;J144,IF(J144=K144+1,"   Vorstand",IF(J144=K144+2,"   Gäste",IF(J144=K144+3,"   Technik (Switches, Access Points)",""))))))</f>
        <v>   Parzelle 48</v>
      </c>
      <c r="B144" s="0" t="n">
        <f aca="false">IF(I144="","",IF(AND(J144&gt;=1,J144&lt;=K144+3),IF(J144&lt;=K144,IF(J144&lt;=99,IF((INDEX(Eingabe!$G$9:$G$18,I144))&lt;=9,1000+(INDEX(Eingabe!$G$9:$G$18,I144))*100,3000)+J144,IF((INDEX(Eingabe!$G$9:$G$18,I144)+1)&lt;=9,1000+(INDEX(Eingabe!$G$9:$G$18,I144)+1)*100,3000)+J144-100),IF(J144=K144+1,2000+INDEX(Eingabe!$G$9:$G$18,I144)*10+1,IF(J144=K144+2,2000+INDEX(Eingabe!$G$9:$G$18,I144)*10+2,2000+INDEX(Eingabe!$G$9:$G$18,I144)*10+9))),""))</f>
        <v>1248</v>
      </c>
      <c r="C144" s="0" t="str">
        <f aca="false">IF(I144="","",IF(AND(J144&gt;=1,J144&lt;=K144+3),"10."&amp;INDEX(Eingabe!$D$9:$D$18,I144)&amp;"."&amp;IF(J144&lt;=K144,J144,IF(J144=K144+1,200,IF(J144=K144+2,201,250)))&amp;".0/24",""))</f>
        <v>10.2.48.0/24</v>
      </c>
      <c r="D144" s="0" t="str">
        <f aca="false">IF(I144="","",IF(AND(J144&gt;=1,J144&lt;=K144+3),"255.255.255.0",""))</f>
        <v>255.255.255.0</v>
      </c>
      <c r="E144" s="0" t="str">
        <f aca="false">IF(I144="","",IF(AND(J144&gt;=1,J144&lt;=K144+3),"10."&amp;INDEX(Eingabe!$D$9:$D$18,I144)&amp;"."&amp;IF(J144&lt;=K144,J144,IF(J144=K144+1,200,IF(J144=K144+2,201,250)))&amp;".1",""))</f>
        <v>10.2.48.1</v>
      </c>
      <c r="F144" s="0" t="str">
        <f aca="false">IF(I144="","",IF(AND(J144&gt;=1,J144&lt;=K144+3),"10."&amp;INDEX(Eingabe!$D$9:$D$18,I144)&amp;"."&amp;IF(J144&lt;=K144,J144,IF(J144=K144+1,200,IF(J144=K144+2,201,250)))&amp;".10 – 10."&amp;INDEX(Eingabe!$D$9:$D$18,I144)&amp;"."&amp;IF(J144&lt;=K144,J144,IF(J144=K144+1,200,IF(J144=K144+2,201,250)))&amp;".250",""))</f>
        <v>10.2.48.10 – 10.2.48.250</v>
      </c>
      <c r="G144" s="0" t="str">
        <f aca="false">IF(I144="","",IF(AND(J144&gt;=1,J144&lt;=K144),Eingabe!$B$6&amp;"-"&amp;INDEX(Eingabe!$C$9:$C$18,I144)&amp;"-Pächter  ·  Passwort Parzelle "&amp;J144,IF(J144=K144+1,Eingabe!$B$6&amp;"-"&amp;INDEX(Eingabe!$C$9:$C$18,I144)&amp;"-Vorstand  ·  eigenes WLAN",IF(J144=K144+2,Eingabe!$B$6&amp;"-"&amp;INDEX(Eingabe!$C$9:$C$18,I144)&amp;"-Gäste  ·  Voucher",IF(J144=K144+3,"Kabel  ·  Access Point y = .(50+y), Mast-Switch x = .(10+x)","")))))</f>
        <v>SparteNet.de-MW-Pächter  ·  Passwort Parzelle 48</v>
      </c>
      <c r="I144" s="7" t="n">
        <f aca="false">IF(139&lt;=(Eingabe!$P$18+Eingabe!$Q$18-1),MATCH(139,Eingabe!$P$9:$P$18,1),"")</f>
        <v>2</v>
      </c>
      <c r="J144" s="7" t="n">
        <f aca="false">IF(I144="","",139-INDEX(Eingabe!$P$9:$P$18,I144))</f>
        <v>48</v>
      </c>
      <c r="K144" s="7" t="n">
        <f aca="false">IF(I144="","",INDEX(Eingabe!$E$9:$E$18,I144))</f>
        <v>53</v>
      </c>
    </row>
    <row r="145" customFormat="false" ht="15" hidden="false" customHeight="false" outlineLevel="0" collapsed="false">
      <c r="A145" s="0" t="str">
        <f aca="false">IF(I145="","",IF(J145=0,"Sparte "&amp;I145&amp;": "&amp;INDEX(Eingabe!$B$9:$B$18,I145)&amp;"  (Sparten-ID "&amp;INDEX(Eingabe!$D$9:$D$18,I145)&amp;", "&amp;K145&amp;" Parzellen)",IF(J145&lt;=K145,"   Parzelle "&amp;J145,IF(J145=K145+1,"   Vorstand",IF(J145=K145+2,"   Gäste",IF(J145=K145+3,"   Technik (Switches, Access Points)",""))))))</f>
        <v>   Parzelle 49</v>
      </c>
      <c r="B145" s="0" t="n">
        <f aca="false">IF(I145="","",IF(AND(J145&gt;=1,J145&lt;=K145+3),IF(J145&lt;=K145,IF(J145&lt;=99,IF((INDEX(Eingabe!$G$9:$G$18,I145))&lt;=9,1000+(INDEX(Eingabe!$G$9:$G$18,I145))*100,3000)+J145,IF((INDEX(Eingabe!$G$9:$G$18,I145)+1)&lt;=9,1000+(INDEX(Eingabe!$G$9:$G$18,I145)+1)*100,3000)+J145-100),IF(J145=K145+1,2000+INDEX(Eingabe!$G$9:$G$18,I145)*10+1,IF(J145=K145+2,2000+INDEX(Eingabe!$G$9:$G$18,I145)*10+2,2000+INDEX(Eingabe!$G$9:$G$18,I145)*10+9))),""))</f>
        <v>1249</v>
      </c>
      <c r="C145" s="0" t="str">
        <f aca="false">IF(I145="","",IF(AND(J145&gt;=1,J145&lt;=K145+3),"10."&amp;INDEX(Eingabe!$D$9:$D$18,I145)&amp;"."&amp;IF(J145&lt;=K145,J145,IF(J145=K145+1,200,IF(J145=K145+2,201,250)))&amp;".0/24",""))</f>
        <v>10.2.49.0/24</v>
      </c>
      <c r="D145" s="0" t="str">
        <f aca="false">IF(I145="","",IF(AND(J145&gt;=1,J145&lt;=K145+3),"255.255.255.0",""))</f>
        <v>255.255.255.0</v>
      </c>
      <c r="E145" s="0" t="str">
        <f aca="false">IF(I145="","",IF(AND(J145&gt;=1,J145&lt;=K145+3),"10."&amp;INDEX(Eingabe!$D$9:$D$18,I145)&amp;"."&amp;IF(J145&lt;=K145,J145,IF(J145=K145+1,200,IF(J145=K145+2,201,250)))&amp;".1",""))</f>
        <v>10.2.49.1</v>
      </c>
      <c r="F145" s="0" t="str">
        <f aca="false">IF(I145="","",IF(AND(J145&gt;=1,J145&lt;=K145+3),"10."&amp;INDEX(Eingabe!$D$9:$D$18,I145)&amp;"."&amp;IF(J145&lt;=K145,J145,IF(J145=K145+1,200,IF(J145=K145+2,201,250)))&amp;".10 – 10."&amp;INDEX(Eingabe!$D$9:$D$18,I145)&amp;"."&amp;IF(J145&lt;=K145,J145,IF(J145=K145+1,200,IF(J145=K145+2,201,250)))&amp;".250",""))</f>
        <v>10.2.49.10 – 10.2.49.250</v>
      </c>
      <c r="G145" s="0" t="str">
        <f aca="false">IF(I145="","",IF(AND(J145&gt;=1,J145&lt;=K145),Eingabe!$B$6&amp;"-"&amp;INDEX(Eingabe!$C$9:$C$18,I145)&amp;"-Pächter  ·  Passwort Parzelle "&amp;J145,IF(J145=K145+1,Eingabe!$B$6&amp;"-"&amp;INDEX(Eingabe!$C$9:$C$18,I145)&amp;"-Vorstand  ·  eigenes WLAN",IF(J145=K145+2,Eingabe!$B$6&amp;"-"&amp;INDEX(Eingabe!$C$9:$C$18,I145)&amp;"-Gäste  ·  Voucher",IF(J145=K145+3,"Kabel  ·  Access Point y = .(50+y), Mast-Switch x = .(10+x)","")))))</f>
        <v>SparteNet.de-MW-Pächter  ·  Passwort Parzelle 49</v>
      </c>
      <c r="I145" s="7" t="n">
        <f aca="false">IF(140&lt;=(Eingabe!$P$18+Eingabe!$Q$18-1),MATCH(140,Eingabe!$P$9:$P$18,1),"")</f>
        <v>2</v>
      </c>
      <c r="J145" s="7" t="n">
        <f aca="false">IF(I145="","",140-INDEX(Eingabe!$P$9:$P$18,I145))</f>
        <v>49</v>
      </c>
      <c r="K145" s="7" t="n">
        <f aca="false">IF(I145="","",INDEX(Eingabe!$E$9:$E$18,I145))</f>
        <v>53</v>
      </c>
    </row>
    <row r="146" customFormat="false" ht="15" hidden="false" customHeight="false" outlineLevel="0" collapsed="false">
      <c r="A146" s="0" t="str">
        <f aca="false">IF(I146="","",IF(J146=0,"Sparte "&amp;I146&amp;": "&amp;INDEX(Eingabe!$B$9:$B$18,I146)&amp;"  (Sparten-ID "&amp;INDEX(Eingabe!$D$9:$D$18,I146)&amp;", "&amp;K146&amp;" Parzellen)",IF(J146&lt;=K146,"   Parzelle "&amp;J146,IF(J146=K146+1,"   Vorstand",IF(J146=K146+2,"   Gäste",IF(J146=K146+3,"   Technik (Switches, Access Points)",""))))))</f>
        <v>   Parzelle 50</v>
      </c>
      <c r="B146" s="0" t="n">
        <f aca="false">IF(I146="","",IF(AND(J146&gt;=1,J146&lt;=K146+3),IF(J146&lt;=K146,IF(J146&lt;=99,IF((INDEX(Eingabe!$G$9:$G$18,I146))&lt;=9,1000+(INDEX(Eingabe!$G$9:$G$18,I146))*100,3000)+J146,IF((INDEX(Eingabe!$G$9:$G$18,I146)+1)&lt;=9,1000+(INDEX(Eingabe!$G$9:$G$18,I146)+1)*100,3000)+J146-100),IF(J146=K146+1,2000+INDEX(Eingabe!$G$9:$G$18,I146)*10+1,IF(J146=K146+2,2000+INDEX(Eingabe!$G$9:$G$18,I146)*10+2,2000+INDEX(Eingabe!$G$9:$G$18,I146)*10+9))),""))</f>
        <v>1250</v>
      </c>
      <c r="C146" s="0" t="str">
        <f aca="false">IF(I146="","",IF(AND(J146&gt;=1,J146&lt;=K146+3),"10."&amp;INDEX(Eingabe!$D$9:$D$18,I146)&amp;"."&amp;IF(J146&lt;=K146,J146,IF(J146=K146+1,200,IF(J146=K146+2,201,250)))&amp;".0/24",""))</f>
        <v>10.2.50.0/24</v>
      </c>
      <c r="D146" s="0" t="str">
        <f aca="false">IF(I146="","",IF(AND(J146&gt;=1,J146&lt;=K146+3),"255.255.255.0",""))</f>
        <v>255.255.255.0</v>
      </c>
      <c r="E146" s="0" t="str">
        <f aca="false">IF(I146="","",IF(AND(J146&gt;=1,J146&lt;=K146+3),"10."&amp;INDEX(Eingabe!$D$9:$D$18,I146)&amp;"."&amp;IF(J146&lt;=K146,J146,IF(J146=K146+1,200,IF(J146=K146+2,201,250)))&amp;".1",""))</f>
        <v>10.2.50.1</v>
      </c>
      <c r="F146" s="0" t="str">
        <f aca="false">IF(I146="","",IF(AND(J146&gt;=1,J146&lt;=K146+3),"10."&amp;INDEX(Eingabe!$D$9:$D$18,I146)&amp;"."&amp;IF(J146&lt;=K146,J146,IF(J146=K146+1,200,IF(J146=K146+2,201,250)))&amp;".10 – 10."&amp;INDEX(Eingabe!$D$9:$D$18,I146)&amp;"."&amp;IF(J146&lt;=K146,J146,IF(J146=K146+1,200,IF(J146=K146+2,201,250)))&amp;".250",""))</f>
        <v>10.2.50.10 – 10.2.50.250</v>
      </c>
      <c r="G146" s="0" t="str">
        <f aca="false">IF(I146="","",IF(AND(J146&gt;=1,J146&lt;=K146),Eingabe!$B$6&amp;"-"&amp;INDEX(Eingabe!$C$9:$C$18,I146)&amp;"-Pächter  ·  Passwort Parzelle "&amp;J146,IF(J146=K146+1,Eingabe!$B$6&amp;"-"&amp;INDEX(Eingabe!$C$9:$C$18,I146)&amp;"-Vorstand  ·  eigenes WLAN",IF(J146=K146+2,Eingabe!$B$6&amp;"-"&amp;INDEX(Eingabe!$C$9:$C$18,I146)&amp;"-Gäste  ·  Voucher",IF(J146=K146+3,"Kabel  ·  Access Point y = .(50+y), Mast-Switch x = .(10+x)","")))))</f>
        <v>SparteNet.de-MW-Pächter  ·  Passwort Parzelle 50</v>
      </c>
      <c r="I146" s="7" t="n">
        <f aca="false">IF(141&lt;=(Eingabe!$P$18+Eingabe!$Q$18-1),MATCH(141,Eingabe!$P$9:$P$18,1),"")</f>
        <v>2</v>
      </c>
      <c r="J146" s="7" t="n">
        <f aca="false">IF(I146="","",141-INDEX(Eingabe!$P$9:$P$18,I146))</f>
        <v>50</v>
      </c>
      <c r="K146" s="7" t="n">
        <f aca="false">IF(I146="","",INDEX(Eingabe!$E$9:$E$18,I146))</f>
        <v>53</v>
      </c>
    </row>
    <row r="147" customFormat="false" ht="15" hidden="false" customHeight="false" outlineLevel="0" collapsed="false">
      <c r="A147" s="0" t="str">
        <f aca="false">IF(I147="","",IF(J147=0,"Sparte "&amp;I147&amp;": "&amp;INDEX(Eingabe!$B$9:$B$18,I147)&amp;"  (Sparten-ID "&amp;INDEX(Eingabe!$D$9:$D$18,I147)&amp;", "&amp;K147&amp;" Parzellen)",IF(J147&lt;=K147,"   Parzelle "&amp;J147,IF(J147=K147+1,"   Vorstand",IF(J147=K147+2,"   Gäste",IF(J147=K147+3,"   Technik (Switches, Access Points)",""))))))</f>
        <v>   Parzelle 51</v>
      </c>
      <c r="B147" s="0" t="n">
        <f aca="false">IF(I147="","",IF(AND(J147&gt;=1,J147&lt;=K147+3),IF(J147&lt;=K147,IF(J147&lt;=99,IF((INDEX(Eingabe!$G$9:$G$18,I147))&lt;=9,1000+(INDEX(Eingabe!$G$9:$G$18,I147))*100,3000)+J147,IF((INDEX(Eingabe!$G$9:$G$18,I147)+1)&lt;=9,1000+(INDEX(Eingabe!$G$9:$G$18,I147)+1)*100,3000)+J147-100),IF(J147=K147+1,2000+INDEX(Eingabe!$G$9:$G$18,I147)*10+1,IF(J147=K147+2,2000+INDEX(Eingabe!$G$9:$G$18,I147)*10+2,2000+INDEX(Eingabe!$G$9:$G$18,I147)*10+9))),""))</f>
        <v>1251</v>
      </c>
      <c r="C147" s="0" t="str">
        <f aca="false">IF(I147="","",IF(AND(J147&gt;=1,J147&lt;=K147+3),"10."&amp;INDEX(Eingabe!$D$9:$D$18,I147)&amp;"."&amp;IF(J147&lt;=K147,J147,IF(J147=K147+1,200,IF(J147=K147+2,201,250)))&amp;".0/24",""))</f>
        <v>10.2.51.0/24</v>
      </c>
      <c r="D147" s="0" t="str">
        <f aca="false">IF(I147="","",IF(AND(J147&gt;=1,J147&lt;=K147+3),"255.255.255.0",""))</f>
        <v>255.255.255.0</v>
      </c>
      <c r="E147" s="0" t="str">
        <f aca="false">IF(I147="","",IF(AND(J147&gt;=1,J147&lt;=K147+3),"10."&amp;INDEX(Eingabe!$D$9:$D$18,I147)&amp;"."&amp;IF(J147&lt;=K147,J147,IF(J147=K147+1,200,IF(J147=K147+2,201,250)))&amp;".1",""))</f>
        <v>10.2.51.1</v>
      </c>
      <c r="F147" s="0" t="str">
        <f aca="false">IF(I147="","",IF(AND(J147&gt;=1,J147&lt;=K147+3),"10."&amp;INDEX(Eingabe!$D$9:$D$18,I147)&amp;"."&amp;IF(J147&lt;=K147,J147,IF(J147=K147+1,200,IF(J147=K147+2,201,250)))&amp;".10 – 10."&amp;INDEX(Eingabe!$D$9:$D$18,I147)&amp;"."&amp;IF(J147&lt;=K147,J147,IF(J147=K147+1,200,IF(J147=K147+2,201,250)))&amp;".250",""))</f>
        <v>10.2.51.10 – 10.2.51.250</v>
      </c>
      <c r="G147" s="0" t="str">
        <f aca="false">IF(I147="","",IF(AND(J147&gt;=1,J147&lt;=K147),Eingabe!$B$6&amp;"-"&amp;INDEX(Eingabe!$C$9:$C$18,I147)&amp;"-Pächter  ·  Passwort Parzelle "&amp;J147,IF(J147=K147+1,Eingabe!$B$6&amp;"-"&amp;INDEX(Eingabe!$C$9:$C$18,I147)&amp;"-Vorstand  ·  eigenes WLAN",IF(J147=K147+2,Eingabe!$B$6&amp;"-"&amp;INDEX(Eingabe!$C$9:$C$18,I147)&amp;"-Gäste  ·  Voucher",IF(J147=K147+3,"Kabel  ·  Access Point y = .(50+y), Mast-Switch x = .(10+x)","")))))</f>
        <v>SparteNet.de-MW-Pächter  ·  Passwort Parzelle 51</v>
      </c>
      <c r="I147" s="7" t="n">
        <f aca="false">IF(142&lt;=(Eingabe!$P$18+Eingabe!$Q$18-1),MATCH(142,Eingabe!$P$9:$P$18,1),"")</f>
        <v>2</v>
      </c>
      <c r="J147" s="7" t="n">
        <f aca="false">IF(I147="","",142-INDEX(Eingabe!$P$9:$P$18,I147))</f>
        <v>51</v>
      </c>
      <c r="K147" s="7" t="n">
        <f aca="false">IF(I147="","",INDEX(Eingabe!$E$9:$E$18,I147))</f>
        <v>53</v>
      </c>
    </row>
    <row r="148" customFormat="false" ht="15" hidden="false" customHeight="false" outlineLevel="0" collapsed="false">
      <c r="A148" s="0" t="str">
        <f aca="false">IF(I148="","",IF(J148=0,"Sparte "&amp;I148&amp;": "&amp;INDEX(Eingabe!$B$9:$B$18,I148)&amp;"  (Sparten-ID "&amp;INDEX(Eingabe!$D$9:$D$18,I148)&amp;", "&amp;K148&amp;" Parzellen)",IF(J148&lt;=K148,"   Parzelle "&amp;J148,IF(J148=K148+1,"   Vorstand",IF(J148=K148+2,"   Gäste",IF(J148=K148+3,"   Technik (Switches, Access Points)",""))))))</f>
        <v>   Parzelle 52</v>
      </c>
      <c r="B148" s="0" t="n">
        <f aca="false">IF(I148="","",IF(AND(J148&gt;=1,J148&lt;=K148+3),IF(J148&lt;=K148,IF(J148&lt;=99,IF((INDEX(Eingabe!$G$9:$G$18,I148))&lt;=9,1000+(INDEX(Eingabe!$G$9:$G$18,I148))*100,3000)+J148,IF((INDEX(Eingabe!$G$9:$G$18,I148)+1)&lt;=9,1000+(INDEX(Eingabe!$G$9:$G$18,I148)+1)*100,3000)+J148-100),IF(J148=K148+1,2000+INDEX(Eingabe!$G$9:$G$18,I148)*10+1,IF(J148=K148+2,2000+INDEX(Eingabe!$G$9:$G$18,I148)*10+2,2000+INDEX(Eingabe!$G$9:$G$18,I148)*10+9))),""))</f>
        <v>1252</v>
      </c>
      <c r="C148" s="0" t="str">
        <f aca="false">IF(I148="","",IF(AND(J148&gt;=1,J148&lt;=K148+3),"10."&amp;INDEX(Eingabe!$D$9:$D$18,I148)&amp;"."&amp;IF(J148&lt;=K148,J148,IF(J148=K148+1,200,IF(J148=K148+2,201,250)))&amp;".0/24",""))</f>
        <v>10.2.52.0/24</v>
      </c>
      <c r="D148" s="0" t="str">
        <f aca="false">IF(I148="","",IF(AND(J148&gt;=1,J148&lt;=K148+3),"255.255.255.0",""))</f>
        <v>255.255.255.0</v>
      </c>
      <c r="E148" s="0" t="str">
        <f aca="false">IF(I148="","",IF(AND(J148&gt;=1,J148&lt;=K148+3),"10."&amp;INDEX(Eingabe!$D$9:$D$18,I148)&amp;"."&amp;IF(J148&lt;=K148,J148,IF(J148=K148+1,200,IF(J148=K148+2,201,250)))&amp;".1",""))</f>
        <v>10.2.52.1</v>
      </c>
      <c r="F148" s="0" t="str">
        <f aca="false">IF(I148="","",IF(AND(J148&gt;=1,J148&lt;=K148+3),"10."&amp;INDEX(Eingabe!$D$9:$D$18,I148)&amp;"."&amp;IF(J148&lt;=K148,J148,IF(J148=K148+1,200,IF(J148=K148+2,201,250)))&amp;".10 – 10."&amp;INDEX(Eingabe!$D$9:$D$18,I148)&amp;"."&amp;IF(J148&lt;=K148,J148,IF(J148=K148+1,200,IF(J148=K148+2,201,250)))&amp;".250",""))</f>
        <v>10.2.52.10 – 10.2.52.250</v>
      </c>
      <c r="G148" s="0" t="str">
        <f aca="false">IF(I148="","",IF(AND(J148&gt;=1,J148&lt;=K148),Eingabe!$B$6&amp;"-"&amp;INDEX(Eingabe!$C$9:$C$18,I148)&amp;"-Pächter  ·  Passwort Parzelle "&amp;J148,IF(J148=K148+1,Eingabe!$B$6&amp;"-"&amp;INDEX(Eingabe!$C$9:$C$18,I148)&amp;"-Vorstand  ·  eigenes WLAN",IF(J148=K148+2,Eingabe!$B$6&amp;"-"&amp;INDEX(Eingabe!$C$9:$C$18,I148)&amp;"-Gäste  ·  Voucher",IF(J148=K148+3,"Kabel  ·  Access Point y = .(50+y), Mast-Switch x = .(10+x)","")))))</f>
        <v>SparteNet.de-MW-Pächter  ·  Passwort Parzelle 52</v>
      </c>
      <c r="I148" s="7" t="n">
        <f aca="false">IF(143&lt;=(Eingabe!$P$18+Eingabe!$Q$18-1),MATCH(143,Eingabe!$P$9:$P$18,1),"")</f>
        <v>2</v>
      </c>
      <c r="J148" s="7" t="n">
        <f aca="false">IF(I148="","",143-INDEX(Eingabe!$P$9:$P$18,I148))</f>
        <v>52</v>
      </c>
      <c r="K148" s="7" t="n">
        <f aca="false">IF(I148="","",INDEX(Eingabe!$E$9:$E$18,I148))</f>
        <v>53</v>
      </c>
    </row>
    <row r="149" customFormat="false" ht="15" hidden="false" customHeight="false" outlineLevel="0" collapsed="false">
      <c r="A149" s="0" t="str">
        <f aca="false">IF(I149="","",IF(J149=0,"Sparte "&amp;I149&amp;": "&amp;INDEX(Eingabe!$B$9:$B$18,I149)&amp;"  (Sparten-ID "&amp;INDEX(Eingabe!$D$9:$D$18,I149)&amp;", "&amp;K149&amp;" Parzellen)",IF(J149&lt;=K149,"   Parzelle "&amp;J149,IF(J149=K149+1,"   Vorstand",IF(J149=K149+2,"   Gäste",IF(J149=K149+3,"   Technik (Switches, Access Points)",""))))))</f>
        <v>   Parzelle 53</v>
      </c>
      <c r="B149" s="0" t="n">
        <f aca="false">IF(I149="","",IF(AND(J149&gt;=1,J149&lt;=K149+3),IF(J149&lt;=K149,IF(J149&lt;=99,IF((INDEX(Eingabe!$G$9:$G$18,I149))&lt;=9,1000+(INDEX(Eingabe!$G$9:$G$18,I149))*100,3000)+J149,IF((INDEX(Eingabe!$G$9:$G$18,I149)+1)&lt;=9,1000+(INDEX(Eingabe!$G$9:$G$18,I149)+1)*100,3000)+J149-100),IF(J149=K149+1,2000+INDEX(Eingabe!$G$9:$G$18,I149)*10+1,IF(J149=K149+2,2000+INDEX(Eingabe!$G$9:$G$18,I149)*10+2,2000+INDEX(Eingabe!$G$9:$G$18,I149)*10+9))),""))</f>
        <v>1253</v>
      </c>
      <c r="C149" s="0" t="str">
        <f aca="false">IF(I149="","",IF(AND(J149&gt;=1,J149&lt;=K149+3),"10."&amp;INDEX(Eingabe!$D$9:$D$18,I149)&amp;"."&amp;IF(J149&lt;=K149,J149,IF(J149=K149+1,200,IF(J149=K149+2,201,250)))&amp;".0/24",""))</f>
        <v>10.2.53.0/24</v>
      </c>
      <c r="D149" s="0" t="str">
        <f aca="false">IF(I149="","",IF(AND(J149&gt;=1,J149&lt;=K149+3),"255.255.255.0",""))</f>
        <v>255.255.255.0</v>
      </c>
      <c r="E149" s="0" t="str">
        <f aca="false">IF(I149="","",IF(AND(J149&gt;=1,J149&lt;=K149+3),"10."&amp;INDEX(Eingabe!$D$9:$D$18,I149)&amp;"."&amp;IF(J149&lt;=K149,J149,IF(J149=K149+1,200,IF(J149=K149+2,201,250)))&amp;".1",""))</f>
        <v>10.2.53.1</v>
      </c>
      <c r="F149" s="0" t="str">
        <f aca="false">IF(I149="","",IF(AND(J149&gt;=1,J149&lt;=K149+3),"10."&amp;INDEX(Eingabe!$D$9:$D$18,I149)&amp;"."&amp;IF(J149&lt;=K149,J149,IF(J149=K149+1,200,IF(J149=K149+2,201,250)))&amp;".10 – 10."&amp;INDEX(Eingabe!$D$9:$D$18,I149)&amp;"."&amp;IF(J149&lt;=K149,J149,IF(J149=K149+1,200,IF(J149=K149+2,201,250)))&amp;".250",""))</f>
        <v>10.2.53.10 – 10.2.53.250</v>
      </c>
      <c r="G149" s="0" t="str">
        <f aca="false">IF(I149="","",IF(AND(J149&gt;=1,J149&lt;=K149),Eingabe!$B$6&amp;"-"&amp;INDEX(Eingabe!$C$9:$C$18,I149)&amp;"-Pächter  ·  Passwort Parzelle "&amp;J149,IF(J149=K149+1,Eingabe!$B$6&amp;"-"&amp;INDEX(Eingabe!$C$9:$C$18,I149)&amp;"-Vorstand  ·  eigenes WLAN",IF(J149=K149+2,Eingabe!$B$6&amp;"-"&amp;INDEX(Eingabe!$C$9:$C$18,I149)&amp;"-Gäste  ·  Voucher",IF(J149=K149+3,"Kabel  ·  Access Point y = .(50+y), Mast-Switch x = .(10+x)","")))))</f>
        <v>SparteNet.de-MW-Pächter  ·  Passwort Parzelle 53</v>
      </c>
      <c r="I149" s="7" t="n">
        <f aca="false">IF(144&lt;=(Eingabe!$P$18+Eingabe!$Q$18-1),MATCH(144,Eingabe!$P$9:$P$18,1),"")</f>
        <v>2</v>
      </c>
      <c r="J149" s="7" t="n">
        <f aca="false">IF(I149="","",144-INDEX(Eingabe!$P$9:$P$18,I149))</f>
        <v>53</v>
      </c>
      <c r="K149" s="7" t="n">
        <f aca="false">IF(I149="","",INDEX(Eingabe!$E$9:$E$18,I149))</f>
        <v>53</v>
      </c>
    </row>
    <row r="150" customFormat="false" ht="15" hidden="false" customHeight="false" outlineLevel="0" collapsed="false">
      <c r="A150" s="0" t="str">
        <f aca="false">IF(I150="","",IF(J150=0,"Sparte "&amp;I150&amp;": "&amp;INDEX(Eingabe!$B$9:$B$18,I150)&amp;"  (Sparten-ID "&amp;INDEX(Eingabe!$D$9:$D$18,I150)&amp;", "&amp;K150&amp;" Parzellen)",IF(J150&lt;=K150,"   Parzelle "&amp;J150,IF(J150=K150+1,"   Vorstand",IF(J150=K150+2,"   Gäste",IF(J150=K150+3,"   Technik (Switches, Access Points)",""))))))</f>
        <v>   Vorstand</v>
      </c>
      <c r="B150" s="0" t="n">
        <f aca="false">IF(I150="","",IF(AND(J150&gt;=1,J150&lt;=K150+3),IF(J150&lt;=K150,IF(J150&lt;=99,IF((INDEX(Eingabe!$G$9:$G$18,I150))&lt;=9,1000+(INDEX(Eingabe!$G$9:$G$18,I150))*100,3000)+J150,IF((INDEX(Eingabe!$G$9:$G$18,I150)+1)&lt;=9,1000+(INDEX(Eingabe!$G$9:$G$18,I150)+1)*100,3000)+J150-100),IF(J150=K150+1,2000+INDEX(Eingabe!$G$9:$G$18,I150)*10+1,IF(J150=K150+2,2000+INDEX(Eingabe!$G$9:$G$18,I150)*10+2,2000+INDEX(Eingabe!$G$9:$G$18,I150)*10+9))),""))</f>
        <v>2021</v>
      </c>
      <c r="C150" s="0" t="str">
        <f aca="false">IF(I150="","",IF(AND(J150&gt;=1,J150&lt;=K150+3),"10."&amp;INDEX(Eingabe!$D$9:$D$18,I150)&amp;"."&amp;IF(J150&lt;=K150,J150,IF(J150=K150+1,200,IF(J150=K150+2,201,250)))&amp;".0/24",""))</f>
        <v>10.2.200.0/24</v>
      </c>
      <c r="D150" s="0" t="str">
        <f aca="false">IF(I150="","",IF(AND(J150&gt;=1,J150&lt;=K150+3),"255.255.255.0",""))</f>
        <v>255.255.255.0</v>
      </c>
      <c r="E150" s="0" t="str">
        <f aca="false">IF(I150="","",IF(AND(J150&gt;=1,J150&lt;=K150+3),"10."&amp;INDEX(Eingabe!$D$9:$D$18,I150)&amp;"."&amp;IF(J150&lt;=K150,J150,IF(J150=K150+1,200,IF(J150=K150+2,201,250)))&amp;".1",""))</f>
        <v>10.2.200.1</v>
      </c>
      <c r="F150" s="0" t="str">
        <f aca="false">IF(I150="","",IF(AND(J150&gt;=1,J150&lt;=K150+3),"10."&amp;INDEX(Eingabe!$D$9:$D$18,I150)&amp;"."&amp;IF(J150&lt;=K150,J150,IF(J150=K150+1,200,IF(J150=K150+2,201,250)))&amp;".10 – 10."&amp;INDEX(Eingabe!$D$9:$D$18,I150)&amp;"."&amp;IF(J150&lt;=K150,J150,IF(J150=K150+1,200,IF(J150=K150+2,201,250)))&amp;".250",""))</f>
        <v>10.2.200.10 – 10.2.200.250</v>
      </c>
      <c r="G150" s="0" t="str">
        <f aca="false">IF(I150="","",IF(AND(J150&gt;=1,J150&lt;=K150),Eingabe!$B$6&amp;"-"&amp;INDEX(Eingabe!$C$9:$C$18,I150)&amp;"-Pächter  ·  Passwort Parzelle "&amp;J150,IF(J150=K150+1,Eingabe!$B$6&amp;"-"&amp;INDEX(Eingabe!$C$9:$C$18,I150)&amp;"-Vorstand  ·  eigenes WLAN",IF(J150=K150+2,Eingabe!$B$6&amp;"-"&amp;INDEX(Eingabe!$C$9:$C$18,I150)&amp;"-Gäste  ·  Voucher",IF(J150=K150+3,"Kabel  ·  Access Point y = .(50+y), Mast-Switch x = .(10+x)","")))))</f>
        <v>SparteNet.de-MW-Vorstand  ·  eigenes WLAN</v>
      </c>
      <c r="I150" s="7" t="n">
        <f aca="false">IF(145&lt;=(Eingabe!$P$18+Eingabe!$Q$18-1),MATCH(145,Eingabe!$P$9:$P$18,1),"")</f>
        <v>2</v>
      </c>
      <c r="J150" s="7" t="n">
        <f aca="false">IF(I150="","",145-INDEX(Eingabe!$P$9:$P$18,I150))</f>
        <v>54</v>
      </c>
      <c r="K150" s="7" t="n">
        <f aca="false">IF(I150="","",INDEX(Eingabe!$E$9:$E$18,I150))</f>
        <v>53</v>
      </c>
    </row>
    <row r="151" customFormat="false" ht="15" hidden="false" customHeight="false" outlineLevel="0" collapsed="false">
      <c r="A151" s="0" t="str">
        <f aca="false">IF(I151="","",IF(J151=0,"Sparte "&amp;I151&amp;": "&amp;INDEX(Eingabe!$B$9:$B$18,I151)&amp;"  (Sparten-ID "&amp;INDEX(Eingabe!$D$9:$D$18,I151)&amp;", "&amp;K151&amp;" Parzellen)",IF(J151&lt;=K151,"   Parzelle "&amp;J151,IF(J151=K151+1,"   Vorstand",IF(J151=K151+2,"   Gäste",IF(J151=K151+3,"   Technik (Switches, Access Points)",""))))))</f>
        <v>   Gäste</v>
      </c>
      <c r="B151" s="0" t="n">
        <f aca="false">IF(I151="","",IF(AND(J151&gt;=1,J151&lt;=K151+3),IF(J151&lt;=K151,IF(J151&lt;=99,IF((INDEX(Eingabe!$G$9:$G$18,I151))&lt;=9,1000+(INDEX(Eingabe!$G$9:$G$18,I151))*100,3000)+J151,IF((INDEX(Eingabe!$G$9:$G$18,I151)+1)&lt;=9,1000+(INDEX(Eingabe!$G$9:$G$18,I151)+1)*100,3000)+J151-100),IF(J151=K151+1,2000+INDEX(Eingabe!$G$9:$G$18,I151)*10+1,IF(J151=K151+2,2000+INDEX(Eingabe!$G$9:$G$18,I151)*10+2,2000+INDEX(Eingabe!$G$9:$G$18,I151)*10+9))),""))</f>
        <v>2022</v>
      </c>
      <c r="C151" s="0" t="str">
        <f aca="false">IF(I151="","",IF(AND(J151&gt;=1,J151&lt;=K151+3),"10."&amp;INDEX(Eingabe!$D$9:$D$18,I151)&amp;"."&amp;IF(J151&lt;=K151,J151,IF(J151=K151+1,200,IF(J151=K151+2,201,250)))&amp;".0/24",""))</f>
        <v>10.2.201.0/24</v>
      </c>
      <c r="D151" s="0" t="str">
        <f aca="false">IF(I151="","",IF(AND(J151&gt;=1,J151&lt;=K151+3),"255.255.255.0",""))</f>
        <v>255.255.255.0</v>
      </c>
      <c r="E151" s="0" t="str">
        <f aca="false">IF(I151="","",IF(AND(J151&gt;=1,J151&lt;=K151+3),"10."&amp;INDEX(Eingabe!$D$9:$D$18,I151)&amp;"."&amp;IF(J151&lt;=K151,J151,IF(J151=K151+1,200,IF(J151=K151+2,201,250)))&amp;".1",""))</f>
        <v>10.2.201.1</v>
      </c>
      <c r="F151" s="0" t="str">
        <f aca="false">IF(I151="","",IF(AND(J151&gt;=1,J151&lt;=K151+3),"10."&amp;INDEX(Eingabe!$D$9:$D$18,I151)&amp;"."&amp;IF(J151&lt;=K151,J151,IF(J151=K151+1,200,IF(J151=K151+2,201,250)))&amp;".10 – 10."&amp;INDEX(Eingabe!$D$9:$D$18,I151)&amp;"."&amp;IF(J151&lt;=K151,J151,IF(J151=K151+1,200,IF(J151=K151+2,201,250)))&amp;".250",""))</f>
        <v>10.2.201.10 – 10.2.201.250</v>
      </c>
      <c r="G151" s="0" t="str">
        <f aca="false">IF(I151="","",IF(AND(J151&gt;=1,J151&lt;=K151),Eingabe!$B$6&amp;"-"&amp;INDEX(Eingabe!$C$9:$C$18,I151)&amp;"-Pächter  ·  Passwort Parzelle "&amp;J151,IF(J151=K151+1,Eingabe!$B$6&amp;"-"&amp;INDEX(Eingabe!$C$9:$C$18,I151)&amp;"-Vorstand  ·  eigenes WLAN",IF(J151=K151+2,Eingabe!$B$6&amp;"-"&amp;INDEX(Eingabe!$C$9:$C$18,I151)&amp;"-Gäste  ·  Voucher",IF(J151=K151+3,"Kabel  ·  Access Point y = .(50+y), Mast-Switch x = .(10+x)","")))))</f>
        <v>SparteNet.de-MW-Gäste  ·  Voucher</v>
      </c>
      <c r="I151" s="7" t="n">
        <f aca="false">IF(146&lt;=(Eingabe!$P$18+Eingabe!$Q$18-1),MATCH(146,Eingabe!$P$9:$P$18,1),"")</f>
        <v>2</v>
      </c>
      <c r="J151" s="7" t="n">
        <f aca="false">IF(I151="","",146-INDEX(Eingabe!$P$9:$P$18,I151))</f>
        <v>55</v>
      </c>
      <c r="K151" s="7" t="n">
        <f aca="false">IF(I151="","",INDEX(Eingabe!$E$9:$E$18,I151))</f>
        <v>53</v>
      </c>
    </row>
    <row r="152" customFormat="false" ht="15" hidden="false" customHeight="false" outlineLevel="0" collapsed="false">
      <c r="A152" s="0" t="str">
        <f aca="false">IF(I152="","",IF(J152=0,"Sparte "&amp;I152&amp;": "&amp;INDEX(Eingabe!$B$9:$B$18,I152)&amp;"  (Sparten-ID "&amp;INDEX(Eingabe!$D$9:$D$18,I152)&amp;", "&amp;K152&amp;" Parzellen)",IF(J152&lt;=K152,"   Parzelle "&amp;J152,IF(J152=K152+1,"   Vorstand",IF(J152=K152+2,"   Gäste",IF(J152=K152+3,"   Technik (Switches, Access Points)",""))))))</f>
        <v>   Technik (Switches, Access Points)</v>
      </c>
      <c r="B152" s="0" t="n">
        <f aca="false">IF(I152="","",IF(AND(J152&gt;=1,J152&lt;=K152+3),IF(J152&lt;=K152,IF(J152&lt;=99,IF((INDEX(Eingabe!$G$9:$G$18,I152))&lt;=9,1000+(INDEX(Eingabe!$G$9:$G$18,I152))*100,3000)+J152,IF((INDEX(Eingabe!$G$9:$G$18,I152)+1)&lt;=9,1000+(INDEX(Eingabe!$G$9:$G$18,I152)+1)*100,3000)+J152-100),IF(J152=K152+1,2000+INDEX(Eingabe!$G$9:$G$18,I152)*10+1,IF(J152=K152+2,2000+INDEX(Eingabe!$G$9:$G$18,I152)*10+2,2000+INDEX(Eingabe!$G$9:$G$18,I152)*10+9))),""))</f>
        <v>2029</v>
      </c>
      <c r="C152" s="0" t="str">
        <f aca="false">IF(I152="","",IF(AND(J152&gt;=1,J152&lt;=K152+3),"10."&amp;INDEX(Eingabe!$D$9:$D$18,I152)&amp;"."&amp;IF(J152&lt;=K152,J152,IF(J152=K152+1,200,IF(J152=K152+2,201,250)))&amp;".0/24",""))</f>
        <v>10.2.250.0/24</v>
      </c>
      <c r="D152" s="0" t="str">
        <f aca="false">IF(I152="","",IF(AND(J152&gt;=1,J152&lt;=K152+3),"255.255.255.0",""))</f>
        <v>255.255.255.0</v>
      </c>
      <c r="E152" s="0" t="str">
        <f aca="false">IF(I152="","",IF(AND(J152&gt;=1,J152&lt;=K152+3),"10."&amp;INDEX(Eingabe!$D$9:$D$18,I152)&amp;"."&amp;IF(J152&lt;=K152,J152,IF(J152=K152+1,200,IF(J152=K152+2,201,250)))&amp;".1",""))</f>
        <v>10.2.250.1</v>
      </c>
      <c r="F152" s="0" t="str">
        <f aca="false">IF(I152="","",IF(AND(J152&gt;=1,J152&lt;=K152+3),"10."&amp;INDEX(Eingabe!$D$9:$D$18,I152)&amp;"."&amp;IF(J152&lt;=K152,J152,IF(J152=K152+1,200,IF(J152=K152+2,201,250)))&amp;".10 – 10."&amp;INDEX(Eingabe!$D$9:$D$18,I152)&amp;"."&amp;IF(J152&lt;=K152,J152,IF(J152=K152+1,200,IF(J152=K152+2,201,250)))&amp;".250",""))</f>
        <v>10.2.250.10 – 10.2.250.250</v>
      </c>
      <c r="G152" s="0" t="str">
        <f aca="false">IF(I152="","",IF(AND(J152&gt;=1,J152&lt;=K152),Eingabe!$B$6&amp;"-"&amp;INDEX(Eingabe!$C$9:$C$18,I152)&amp;"-Pächter  ·  Passwort Parzelle "&amp;J152,IF(J152=K152+1,Eingabe!$B$6&amp;"-"&amp;INDEX(Eingabe!$C$9:$C$18,I152)&amp;"-Vorstand  ·  eigenes WLAN",IF(J152=K152+2,Eingabe!$B$6&amp;"-"&amp;INDEX(Eingabe!$C$9:$C$18,I152)&amp;"-Gäste  ·  Voucher",IF(J152=K152+3,"Kabel  ·  Access Point y = .(50+y), Mast-Switch x = .(10+x)","")))))</f>
        <v>Kabel  ·  Access Point y = .(50+y), Mast-Switch x = .(10+x)</v>
      </c>
      <c r="I152" s="7" t="n">
        <f aca="false">IF(147&lt;=(Eingabe!$P$18+Eingabe!$Q$18-1),MATCH(147,Eingabe!$P$9:$P$18,1),"")</f>
        <v>2</v>
      </c>
      <c r="J152" s="7" t="n">
        <f aca="false">IF(I152="","",147-INDEX(Eingabe!$P$9:$P$18,I152))</f>
        <v>56</v>
      </c>
      <c r="K152" s="7" t="n">
        <f aca="false">IF(I152="","",INDEX(Eingabe!$E$9:$E$18,I152))</f>
        <v>53</v>
      </c>
    </row>
    <row r="153" customFormat="false" ht="15" hidden="false" customHeight="false" outlineLevel="0" collapsed="false">
      <c r="A153" s="0" t="str">
        <f aca="false">IF(I153="","",IF(J153=0,"Sparte "&amp;I153&amp;": "&amp;INDEX(Eingabe!$B$9:$B$18,I153)&amp;"  (Sparten-ID "&amp;INDEX(Eingabe!$D$9:$D$18,I153)&amp;", "&amp;K153&amp;" Parzellen)",IF(J153&lt;=K153,"   Parzelle "&amp;J153,IF(J153=K153+1,"   Vorstand",IF(J153=K153+2,"   Gäste",IF(J153=K153+3,"   Technik (Switches, Access Points)",""))))))</f>
        <v/>
      </c>
      <c r="B153" s="0" t="str">
        <f aca="false">IF(I153="","",IF(AND(J153&gt;=1,J153&lt;=K153+3),IF(J153&lt;=K153,IF(J153&lt;=99,IF((INDEX(Eingabe!$G$9:$G$18,I153))&lt;=9,1000+(INDEX(Eingabe!$G$9:$G$18,I153))*100,3000)+J153,IF((INDEX(Eingabe!$G$9:$G$18,I153)+1)&lt;=9,1000+(INDEX(Eingabe!$G$9:$G$18,I153)+1)*100,3000)+J153-100),IF(J153=K153+1,2000+INDEX(Eingabe!$G$9:$G$18,I153)*10+1,IF(J153=K153+2,2000+INDEX(Eingabe!$G$9:$G$18,I153)*10+2,2000+INDEX(Eingabe!$G$9:$G$18,I153)*10+9))),""))</f>
        <v/>
      </c>
      <c r="C153" s="0" t="str">
        <f aca="false">IF(I153="","",IF(AND(J153&gt;=1,J153&lt;=K153+3),"10."&amp;INDEX(Eingabe!$D$9:$D$18,I153)&amp;"."&amp;IF(J153&lt;=K153,J153,IF(J153=K153+1,200,IF(J153=K153+2,201,250)))&amp;".0/24",""))</f>
        <v/>
      </c>
      <c r="D153" s="0" t="str">
        <f aca="false">IF(I153="","",IF(AND(J153&gt;=1,J153&lt;=K153+3),"255.255.255.0",""))</f>
        <v/>
      </c>
      <c r="E153" s="0" t="str">
        <f aca="false">IF(I153="","",IF(AND(J153&gt;=1,J153&lt;=K153+3),"10."&amp;INDEX(Eingabe!$D$9:$D$18,I153)&amp;"."&amp;IF(J153&lt;=K153,J153,IF(J153=K153+1,200,IF(J153=K153+2,201,250)))&amp;".1",""))</f>
        <v/>
      </c>
      <c r="F153" s="0" t="str">
        <f aca="false">IF(I153="","",IF(AND(J153&gt;=1,J153&lt;=K153+3),"10."&amp;INDEX(Eingabe!$D$9:$D$18,I153)&amp;"."&amp;IF(J153&lt;=K153,J153,IF(J153=K153+1,200,IF(J153=K153+2,201,250)))&amp;".10 – 10."&amp;INDEX(Eingabe!$D$9:$D$18,I153)&amp;"."&amp;IF(J153&lt;=K153,J153,IF(J153=K153+1,200,IF(J153=K153+2,201,250)))&amp;".250",""))</f>
        <v/>
      </c>
      <c r="G153" s="0" t="str">
        <f aca="false">IF(I153="","",IF(AND(J153&gt;=1,J153&lt;=K153),Eingabe!$B$6&amp;"-"&amp;INDEX(Eingabe!$C$9:$C$18,I153)&amp;"-Pächter  ·  Passwort Parzelle "&amp;J153,IF(J153=K153+1,Eingabe!$B$6&amp;"-"&amp;INDEX(Eingabe!$C$9:$C$18,I153)&amp;"-Vorstand  ·  eigenes WLAN",IF(J153=K153+2,Eingabe!$B$6&amp;"-"&amp;INDEX(Eingabe!$C$9:$C$18,I153)&amp;"-Gäste  ·  Voucher",IF(J153=K153+3,"Kabel  ·  Access Point y = .(50+y), Mast-Switch x = .(10+x)","")))))</f>
        <v/>
      </c>
      <c r="I153" s="7" t="n">
        <f aca="false">IF(148&lt;=(Eingabe!$P$18+Eingabe!$Q$18-1),MATCH(148,Eingabe!$P$9:$P$18,1),"")</f>
        <v>2</v>
      </c>
      <c r="J153" s="7" t="n">
        <f aca="false">IF(I153="","",148-INDEX(Eingabe!$P$9:$P$18,I153))</f>
        <v>57</v>
      </c>
      <c r="K153" s="7" t="n">
        <f aca="false">IF(I153="","",INDEX(Eingabe!$E$9:$E$18,I153))</f>
        <v>53</v>
      </c>
    </row>
    <row r="154" customFormat="false" ht="15" hidden="false" customHeight="false" outlineLevel="0" collapsed="false">
      <c r="A154" s="0" t="str">
        <f aca="false">IF(I154="","",IF(J154=0,"Sparte "&amp;I154&amp;": "&amp;INDEX(Eingabe!$B$9:$B$18,I154)&amp;"  (Sparten-ID "&amp;INDEX(Eingabe!$D$9:$D$18,I154)&amp;", "&amp;K154&amp;" Parzellen)",IF(J154&lt;=K154,"   Parzelle "&amp;J154,IF(J154=K154+1,"   Vorstand",IF(J154=K154+2,"   Gäste",IF(J154=K154+3,"   Technik (Switches, Access Points)",""))))))</f>
        <v>Sparte 3: Sonnenwinkel  (Sparten-ID 3, 53 Parzellen)</v>
      </c>
      <c r="B154" s="0" t="str">
        <f aca="false">IF(I154="","",IF(AND(J154&gt;=1,J154&lt;=K154+3),IF(J154&lt;=K154,IF(J154&lt;=99,IF((INDEX(Eingabe!$G$9:$G$18,I154))&lt;=9,1000+(INDEX(Eingabe!$G$9:$G$18,I154))*100,3000)+J154,IF((INDEX(Eingabe!$G$9:$G$18,I154)+1)&lt;=9,1000+(INDEX(Eingabe!$G$9:$G$18,I154)+1)*100,3000)+J154-100),IF(J154=K154+1,2000+INDEX(Eingabe!$G$9:$G$18,I154)*10+1,IF(J154=K154+2,2000+INDEX(Eingabe!$G$9:$G$18,I154)*10+2,2000+INDEX(Eingabe!$G$9:$G$18,I154)*10+9))),""))</f>
        <v/>
      </c>
      <c r="C154" s="0" t="str">
        <f aca="false">IF(I154="","",IF(AND(J154&gt;=1,J154&lt;=K154+3),"10."&amp;INDEX(Eingabe!$D$9:$D$18,I154)&amp;"."&amp;IF(J154&lt;=K154,J154,IF(J154=K154+1,200,IF(J154=K154+2,201,250)))&amp;".0/24",""))</f>
        <v/>
      </c>
      <c r="D154" s="0" t="str">
        <f aca="false">IF(I154="","",IF(AND(J154&gt;=1,J154&lt;=K154+3),"255.255.255.0",""))</f>
        <v/>
      </c>
      <c r="E154" s="0" t="str">
        <f aca="false">IF(I154="","",IF(AND(J154&gt;=1,J154&lt;=K154+3),"10."&amp;INDEX(Eingabe!$D$9:$D$18,I154)&amp;"."&amp;IF(J154&lt;=K154,J154,IF(J154=K154+1,200,IF(J154=K154+2,201,250)))&amp;".1",""))</f>
        <v/>
      </c>
      <c r="F154" s="0" t="str">
        <f aca="false">IF(I154="","",IF(AND(J154&gt;=1,J154&lt;=K154+3),"10."&amp;INDEX(Eingabe!$D$9:$D$18,I154)&amp;"."&amp;IF(J154&lt;=K154,J154,IF(J154=K154+1,200,IF(J154=K154+2,201,250)))&amp;".10 – 10."&amp;INDEX(Eingabe!$D$9:$D$18,I154)&amp;"."&amp;IF(J154&lt;=K154,J154,IF(J154=K154+1,200,IF(J154=K154+2,201,250)))&amp;".250",""))</f>
        <v/>
      </c>
      <c r="G154" s="0" t="str">
        <f aca="false">IF(I154="","",IF(AND(J154&gt;=1,J154&lt;=K154),Eingabe!$B$6&amp;"-"&amp;INDEX(Eingabe!$C$9:$C$18,I154)&amp;"-Pächter  ·  Passwort Parzelle "&amp;J154,IF(J154=K154+1,Eingabe!$B$6&amp;"-"&amp;INDEX(Eingabe!$C$9:$C$18,I154)&amp;"-Vorstand  ·  eigenes WLAN",IF(J154=K154+2,Eingabe!$B$6&amp;"-"&amp;INDEX(Eingabe!$C$9:$C$18,I154)&amp;"-Gäste  ·  Voucher",IF(J154=K154+3,"Kabel  ·  Access Point y = .(50+y), Mast-Switch x = .(10+x)","")))))</f>
        <v/>
      </c>
      <c r="I154" s="7" t="n">
        <f aca="false">IF(149&lt;=(Eingabe!$P$18+Eingabe!$Q$18-1),MATCH(149,Eingabe!$P$9:$P$18,1),"")</f>
        <v>3</v>
      </c>
      <c r="J154" s="7" t="n">
        <f aca="false">IF(I154="","",149-INDEX(Eingabe!$P$9:$P$18,I154))</f>
        <v>0</v>
      </c>
      <c r="K154" s="7" t="n">
        <f aca="false">IF(I154="","",INDEX(Eingabe!$E$9:$E$18,I154))</f>
        <v>53</v>
      </c>
    </row>
    <row r="155" customFormat="false" ht="15" hidden="false" customHeight="false" outlineLevel="0" collapsed="false">
      <c r="A155" s="0" t="str">
        <f aca="false">IF(I155="","",IF(J155=0,"Sparte "&amp;I155&amp;": "&amp;INDEX(Eingabe!$B$9:$B$18,I155)&amp;"  (Sparten-ID "&amp;INDEX(Eingabe!$D$9:$D$18,I155)&amp;", "&amp;K155&amp;" Parzellen)",IF(J155&lt;=K155,"   Parzelle "&amp;J155,IF(J155=K155+1,"   Vorstand",IF(J155=K155+2,"   Gäste",IF(J155=K155+3,"   Technik (Switches, Access Points)",""))))))</f>
        <v>   Parzelle 1</v>
      </c>
      <c r="B155" s="0" t="n">
        <f aca="false">IF(I155="","",IF(AND(J155&gt;=1,J155&lt;=K155+3),IF(J155&lt;=K155,IF(J155&lt;=99,IF((INDEX(Eingabe!$G$9:$G$18,I155))&lt;=9,1000+(INDEX(Eingabe!$G$9:$G$18,I155))*100,3000)+J155,IF((INDEX(Eingabe!$G$9:$G$18,I155)+1)&lt;=9,1000+(INDEX(Eingabe!$G$9:$G$18,I155)+1)*100,3000)+J155-100),IF(J155=K155+1,2000+INDEX(Eingabe!$G$9:$G$18,I155)*10+1,IF(J155=K155+2,2000+INDEX(Eingabe!$G$9:$G$18,I155)*10+2,2000+INDEX(Eingabe!$G$9:$G$18,I155)*10+9))),""))</f>
        <v>1301</v>
      </c>
      <c r="C155" s="0" t="str">
        <f aca="false">IF(I155="","",IF(AND(J155&gt;=1,J155&lt;=K155+3),"10."&amp;INDEX(Eingabe!$D$9:$D$18,I155)&amp;"."&amp;IF(J155&lt;=K155,J155,IF(J155=K155+1,200,IF(J155=K155+2,201,250)))&amp;".0/24",""))</f>
        <v>10.3.1.0/24</v>
      </c>
      <c r="D155" s="0" t="str">
        <f aca="false">IF(I155="","",IF(AND(J155&gt;=1,J155&lt;=K155+3),"255.255.255.0",""))</f>
        <v>255.255.255.0</v>
      </c>
      <c r="E155" s="0" t="str">
        <f aca="false">IF(I155="","",IF(AND(J155&gt;=1,J155&lt;=K155+3),"10."&amp;INDEX(Eingabe!$D$9:$D$18,I155)&amp;"."&amp;IF(J155&lt;=K155,J155,IF(J155=K155+1,200,IF(J155=K155+2,201,250)))&amp;".1",""))</f>
        <v>10.3.1.1</v>
      </c>
      <c r="F155" s="0" t="str">
        <f aca="false">IF(I155="","",IF(AND(J155&gt;=1,J155&lt;=K155+3),"10."&amp;INDEX(Eingabe!$D$9:$D$18,I155)&amp;"."&amp;IF(J155&lt;=K155,J155,IF(J155=K155+1,200,IF(J155=K155+2,201,250)))&amp;".10 – 10."&amp;INDEX(Eingabe!$D$9:$D$18,I155)&amp;"."&amp;IF(J155&lt;=K155,J155,IF(J155=K155+1,200,IF(J155=K155+2,201,250)))&amp;".250",""))</f>
        <v>10.3.1.10 – 10.3.1.250</v>
      </c>
      <c r="G155" s="0" t="str">
        <f aca="false">IF(I155="","",IF(AND(J155&gt;=1,J155&lt;=K155),Eingabe!$B$6&amp;"-"&amp;INDEX(Eingabe!$C$9:$C$18,I155)&amp;"-Pächter  ·  Passwort Parzelle "&amp;J155,IF(J155=K155+1,Eingabe!$B$6&amp;"-"&amp;INDEX(Eingabe!$C$9:$C$18,I155)&amp;"-Vorstand  ·  eigenes WLAN",IF(J155=K155+2,Eingabe!$B$6&amp;"-"&amp;INDEX(Eingabe!$C$9:$C$18,I155)&amp;"-Gäste  ·  Voucher",IF(J155=K155+3,"Kabel  ·  Access Point y = .(50+y), Mast-Switch x = .(10+x)","")))))</f>
        <v>SparteNet.de-SW-Pächter  ·  Passwort Parzelle 1</v>
      </c>
      <c r="I155" s="7" t="n">
        <f aca="false">IF(150&lt;=(Eingabe!$P$18+Eingabe!$Q$18-1),MATCH(150,Eingabe!$P$9:$P$18,1),"")</f>
        <v>3</v>
      </c>
      <c r="J155" s="7" t="n">
        <f aca="false">IF(I155="","",150-INDEX(Eingabe!$P$9:$P$18,I155))</f>
        <v>1</v>
      </c>
      <c r="K155" s="7" t="n">
        <f aca="false">IF(I155="","",INDEX(Eingabe!$E$9:$E$18,I155))</f>
        <v>53</v>
      </c>
    </row>
    <row r="156" customFormat="false" ht="15" hidden="false" customHeight="false" outlineLevel="0" collapsed="false">
      <c r="A156" s="0" t="str">
        <f aca="false">IF(I156="","",IF(J156=0,"Sparte "&amp;I156&amp;": "&amp;INDEX(Eingabe!$B$9:$B$18,I156)&amp;"  (Sparten-ID "&amp;INDEX(Eingabe!$D$9:$D$18,I156)&amp;", "&amp;K156&amp;" Parzellen)",IF(J156&lt;=K156,"   Parzelle "&amp;J156,IF(J156=K156+1,"   Vorstand",IF(J156=K156+2,"   Gäste",IF(J156=K156+3,"   Technik (Switches, Access Points)",""))))))</f>
        <v>   Parzelle 2</v>
      </c>
      <c r="B156" s="0" t="n">
        <f aca="false">IF(I156="","",IF(AND(J156&gt;=1,J156&lt;=K156+3),IF(J156&lt;=K156,IF(J156&lt;=99,IF((INDEX(Eingabe!$G$9:$G$18,I156))&lt;=9,1000+(INDEX(Eingabe!$G$9:$G$18,I156))*100,3000)+J156,IF((INDEX(Eingabe!$G$9:$G$18,I156)+1)&lt;=9,1000+(INDEX(Eingabe!$G$9:$G$18,I156)+1)*100,3000)+J156-100),IF(J156=K156+1,2000+INDEX(Eingabe!$G$9:$G$18,I156)*10+1,IF(J156=K156+2,2000+INDEX(Eingabe!$G$9:$G$18,I156)*10+2,2000+INDEX(Eingabe!$G$9:$G$18,I156)*10+9))),""))</f>
        <v>1302</v>
      </c>
      <c r="C156" s="0" t="str">
        <f aca="false">IF(I156="","",IF(AND(J156&gt;=1,J156&lt;=K156+3),"10."&amp;INDEX(Eingabe!$D$9:$D$18,I156)&amp;"."&amp;IF(J156&lt;=K156,J156,IF(J156=K156+1,200,IF(J156=K156+2,201,250)))&amp;".0/24",""))</f>
        <v>10.3.2.0/24</v>
      </c>
      <c r="D156" s="0" t="str">
        <f aca="false">IF(I156="","",IF(AND(J156&gt;=1,J156&lt;=K156+3),"255.255.255.0",""))</f>
        <v>255.255.255.0</v>
      </c>
      <c r="E156" s="0" t="str">
        <f aca="false">IF(I156="","",IF(AND(J156&gt;=1,J156&lt;=K156+3),"10."&amp;INDEX(Eingabe!$D$9:$D$18,I156)&amp;"."&amp;IF(J156&lt;=K156,J156,IF(J156=K156+1,200,IF(J156=K156+2,201,250)))&amp;".1",""))</f>
        <v>10.3.2.1</v>
      </c>
      <c r="F156" s="0" t="str">
        <f aca="false">IF(I156="","",IF(AND(J156&gt;=1,J156&lt;=K156+3),"10."&amp;INDEX(Eingabe!$D$9:$D$18,I156)&amp;"."&amp;IF(J156&lt;=K156,J156,IF(J156=K156+1,200,IF(J156=K156+2,201,250)))&amp;".10 – 10."&amp;INDEX(Eingabe!$D$9:$D$18,I156)&amp;"."&amp;IF(J156&lt;=K156,J156,IF(J156=K156+1,200,IF(J156=K156+2,201,250)))&amp;".250",""))</f>
        <v>10.3.2.10 – 10.3.2.250</v>
      </c>
      <c r="G156" s="0" t="str">
        <f aca="false">IF(I156="","",IF(AND(J156&gt;=1,J156&lt;=K156),Eingabe!$B$6&amp;"-"&amp;INDEX(Eingabe!$C$9:$C$18,I156)&amp;"-Pächter  ·  Passwort Parzelle "&amp;J156,IF(J156=K156+1,Eingabe!$B$6&amp;"-"&amp;INDEX(Eingabe!$C$9:$C$18,I156)&amp;"-Vorstand  ·  eigenes WLAN",IF(J156=K156+2,Eingabe!$B$6&amp;"-"&amp;INDEX(Eingabe!$C$9:$C$18,I156)&amp;"-Gäste  ·  Voucher",IF(J156=K156+3,"Kabel  ·  Access Point y = .(50+y), Mast-Switch x = .(10+x)","")))))</f>
        <v>SparteNet.de-SW-Pächter  ·  Passwort Parzelle 2</v>
      </c>
      <c r="I156" s="7" t="n">
        <f aca="false">IF(151&lt;=(Eingabe!$P$18+Eingabe!$Q$18-1),MATCH(151,Eingabe!$P$9:$P$18,1),"")</f>
        <v>3</v>
      </c>
      <c r="J156" s="7" t="n">
        <f aca="false">IF(I156="","",151-INDEX(Eingabe!$P$9:$P$18,I156))</f>
        <v>2</v>
      </c>
      <c r="K156" s="7" t="n">
        <f aca="false">IF(I156="","",INDEX(Eingabe!$E$9:$E$18,I156))</f>
        <v>53</v>
      </c>
    </row>
    <row r="157" customFormat="false" ht="15" hidden="false" customHeight="false" outlineLevel="0" collapsed="false">
      <c r="A157" s="0" t="str">
        <f aca="false">IF(I157="","",IF(J157=0,"Sparte "&amp;I157&amp;": "&amp;INDEX(Eingabe!$B$9:$B$18,I157)&amp;"  (Sparten-ID "&amp;INDEX(Eingabe!$D$9:$D$18,I157)&amp;", "&amp;K157&amp;" Parzellen)",IF(J157&lt;=K157,"   Parzelle "&amp;J157,IF(J157=K157+1,"   Vorstand",IF(J157=K157+2,"   Gäste",IF(J157=K157+3,"   Technik (Switches, Access Points)",""))))))</f>
        <v>   Parzelle 3</v>
      </c>
      <c r="B157" s="0" t="n">
        <f aca="false">IF(I157="","",IF(AND(J157&gt;=1,J157&lt;=K157+3),IF(J157&lt;=K157,IF(J157&lt;=99,IF((INDEX(Eingabe!$G$9:$G$18,I157))&lt;=9,1000+(INDEX(Eingabe!$G$9:$G$18,I157))*100,3000)+J157,IF((INDEX(Eingabe!$G$9:$G$18,I157)+1)&lt;=9,1000+(INDEX(Eingabe!$G$9:$G$18,I157)+1)*100,3000)+J157-100),IF(J157=K157+1,2000+INDEX(Eingabe!$G$9:$G$18,I157)*10+1,IF(J157=K157+2,2000+INDEX(Eingabe!$G$9:$G$18,I157)*10+2,2000+INDEX(Eingabe!$G$9:$G$18,I157)*10+9))),""))</f>
        <v>1303</v>
      </c>
      <c r="C157" s="0" t="str">
        <f aca="false">IF(I157="","",IF(AND(J157&gt;=1,J157&lt;=K157+3),"10."&amp;INDEX(Eingabe!$D$9:$D$18,I157)&amp;"."&amp;IF(J157&lt;=K157,J157,IF(J157=K157+1,200,IF(J157=K157+2,201,250)))&amp;".0/24",""))</f>
        <v>10.3.3.0/24</v>
      </c>
      <c r="D157" s="0" t="str">
        <f aca="false">IF(I157="","",IF(AND(J157&gt;=1,J157&lt;=K157+3),"255.255.255.0",""))</f>
        <v>255.255.255.0</v>
      </c>
      <c r="E157" s="0" t="str">
        <f aca="false">IF(I157="","",IF(AND(J157&gt;=1,J157&lt;=K157+3),"10."&amp;INDEX(Eingabe!$D$9:$D$18,I157)&amp;"."&amp;IF(J157&lt;=K157,J157,IF(J157=K157+1,200,IF(J157=K157+2,201,250)))&amp;".1",""))</f>
        <v>10.3.3.1</v>
      </c>
      <c r="F157" s="0" t="str">
        <f aca="false">IF(I157="","",IF(AND(J157&gt;=1,J157&lt;=K157+3),"10."&amp;INDEX(Eingabe!$D$9:$D$18,I157)&amp;"."&amp;IF(J157&lt;=K157,J157,IF(J157=K157+1,200,IF(J157=K157+2,201,250)))&amp;".10 – 10."&amp;INDEX(Eingabe!$D$9:$D$18,I157)&amp;"."&amp;IF(J157&lt;=K157,J157,IF(J157=K157+1,200,IF(J157=K157+2,201,250)))&amp;".250",""))</f>
        <v>10.3.3.10 – 10.3.3.250</v>
      </c>
      <c r="G157" s="0" t="str">
        <f aca="false">IF(I157="","",IF(AND(J157&gt;=1,J157&lt;=K157),Eingabe!$B$6&amp;"-"&amp;INDEX(Eingabe!$C$9:$C$18,I157)&amp;"-Pächter  ·  Passwort Parzelle "&amp;J157,IF(J157=K157+1,Eingabe!$B$6&amp;"-"&amp;INDEX(Eingabe!$C$9:$C$18,I157)&amp;"-Vorstand  ·  eigenes WLAN",IF(J157=K157+2,Eingabe!$B$6&amp;"-"&amp;INDEX(Eingabe!$C$9:$C$18,I157)&amp;"-Gäste  ·  Voucher",IF(J157=K157+3,"Kabel  ·  Access Point y = .(50+y), Mast-Switch x = .(10+x)","")))))</f>
        <v>SparteNet.de-SW-Pächter  ·  Passwort Parzelle 3</v>
      </c>
      <c r="I157" s="7" t="n">
        <f aca="false">IF(152&lt;=(Eingabe!$P$18+Eingabe!$Q$18-1),MATCH(152,Eingabe!$P$9:$P$18,1),"")</f>
        <v>3</v>
      </c>
      <c r="J157" s="7" t="n">
        <f aca="false">IF(I157="","",152-INDEX(Eingabe!$P$9:$P$18,I157))</f>
        <v>3</v>
      </c>
      <c r="K157" s="7" t="n">
        <f aca="false">IF(I157="","",INDEX(Eingabe!$E$9:$E$18,I157))</f>
        <v>53</v>
      </c>
    </row>
    <row r="158" customFormat="false" ht="15" hidden="false" customHeight="false" outlineLevel="0" collapsed="false">
      <c r="A158" s="0" t="str">
        <f aca="false">IF(I158="","",IF(J158=0,"Sparte "&amp;I158&amp;": "&amp;INDEX(Eingabe!$B$9:$B$18,I158)&amp;"  (Sparten-ID "&amp;INDEX(Eingabe!$D$9:$D$18,I158)&amp;", "&amp;K158&amp;" Parzellen)",IF(J158&lt;=K158,"   Parzelle "&amp;J158,IF(J158=K158+1,"   Vorstand",IF(J158=K158+2,"   Gäste",IF(J158=K158+3,"   Technik (Switches, Access Points)",""))))))</f>
        <v>   Parzelle 4</v>
      </c>
      <c r="B158" s="0" t="n">
        <f aca="false">IF(I158="","",IF(AND(J158&gt;=1,J158&lt;=K158+3),IF(J158&lt;=K158,IF(J158&lt;=99,IF((INDEX(Eingabe!$G$9:$G$18,I158))&lt;=9,1000+(INDEX(Eingabe!$G$9:$G$18,I158))*100,3000)+J158,IF((INDEX(Eingabe!$G$9:$G$18,I158)+1)&lt;=9,1000+(INDEX(Eingabe!$G$9:$G$18,I158)+1)*100,3000)+J158-100),IF(J158=K158+1,2000+INDEX(Eingabe!$G$9:$G$18,I158)*10+1,IF(J158=K158+2,2000+INDEX(Eingabe!$G$9:$G$18,I158)*10+2,2000+INDEX(Eingabe!$G$9:$G$18,I158)*10+9))),""))</f>
        <v>1304</v>
      </c>
      <c r="C158" s="0" t="str">
        <f aca="false">IF(I158="","",IF(AND(J158&gt;=1,J158&lt;=K158+3),"10."&amp;INDEX(Eingabe!$D$9:$D$18,I158)&amp;"."&amp;IF(J158&lt;=K158,J158,IF(J158=K158+1,200,IF(J158=K158+2,201,250)))&amp;".0/24",""))</f>
        <v>10.3.4.0/24</v>
      </c>
      <c r="D158" s="0" t="str">
        <f aca="false">IF(I158="","",IF(AND(J158&gt;=1,J158&lt;=K158+3),"255.255.255.0",""))</f>
        <v>255.255.255.0</v>
      </c>
      <c r="E158" s="0" t="str">
        <f aca="false">IF(I158="","",IF(AND(J158&gt;=1,J158&lt;=K158+3),"10."&amp;INDEX(Eingabe!$D$9:$D$18,I158)&amp;"."&amp;IF(J158&lt;=K158,J158,IF(J158=K158+1,200,IF(J158=K158+2,201,250)))&amp;".1",""))</f>
        <v>10.3.4.1</v>
      </c>
      <c r="F158" s="0" t="str">
        <f aca="false">IF(I158="","",IF(AND(J158&gt;=1,J158&lt;=K158+3),"10."&amp;INDEX(Eingabe!$D$9:$D$18,I158)&amp;"."&amp;IF(J158&lt;=K158,J158,IF(J158=K158+1,200,IF(J158=K158+2,201,250)))&amp;".10 – 10."&amp;INDEX(Eingabe!$D$9:$D$18,I158)&amp;"."&amp;IF(J158&lt;=K158,J158,IF(J158=K158+1,200,IF(J158=K158+2,201,250)))&amp;".250",""))</f>
        <v>10.3.4.10 – 10.3.4.250</v>
      </c>
      <c r="G158" s="0" t="str">
        <f aca="false">IF(I158="","",IF(AND(J158&gt;=1,J158&lt;=K158),Eingabe!$B$6&amp;"-"&amp;INDEX(Eingabe!$C$9:$C$18,I158)&amp;"-Pächter  ·  Passwort Parzelle "&amp;J158,IF(J158=K158+1,Eingabe!$B$6&amp;"-"&amp;INDEX(Eingabe!$C$9:$C$18,I158)&amp;"-Vorstand  ·  eigenes WLAN",IF(J158=K158+2,Eingabe!$B$6&amp;"-"&amp;INDEX(Eingabe!$C$9:$C$18,I158)&amp;"-Gäste  ·  Voucher",IF(J158=K158+3,"Kabel  ·  Access Point y = .(50+y), Mast-Switch x = .(10+x)","")))))</f>
        <v>SparteNet.de-SW-Pächter  ·  Passwort Parzelle 4</v>
      </c>
      <c r="I158" s="7" t="n">
        <f aca="false">IF(153&lt;=(Eingabe!$P$18+Eingabe!$Q$18-1),MATCH(153,Eingabe!$P$9:$P$18,1),"")</f>
        <v>3</v>
      </c>
      <c r="J158" s="7" t="n">
        <f aca="false">IF(I158="","",153-INDEX(Eingabe!$P$9:$P$18,I158))</f>
        <v>4</v>
      </c>
      <c r="K158" s="7" t="n">
        <f aca="false">IF(I158="","",INDEX(Eingabe!$E$9:$E$18,I158))</f>
        <v>53</v>
      </c>
    </row>
    <row r="159" customFormat="false" ht="15" hidden="false" customHeight="false" outlineLevel="0" collapsed="false">
      <c r="A159" s="0" t="str">
        <f aca="false">IF(I159="","",IF(J159=0,"Sparte "&amp;I159&amp;": "&amp;INDEX(Eingabe!$B$9:$B$18,I159)&amp;"  (Sparten-ID "&amp;INDEX(Eingabe!$D$9:$D$18,I159)&amp;", "&amp;K159&amp;" Parzellen)",IF(J159&lt;=K159,"   Parzelle "&amp;J159,IF(J159=K159+1,"   Vorstand",IF(J159=K159+2,"   Gäste",IF(J159=K159+3,"   Technik (Switches, Access Points)",""))))))</f>
        <v>   Parzelle 5</v>
      </c>
      <c r="B159" s="0" t="n">
        <f aca="false">IF(I159="","",IF(AND(J159&gt;=1,J159&lt;=K159+3),IF(J159&lt;=K159,IF(J159&lt;=99,IF((INDEX(Eingabe!$G$9:$G$18,I159))&lt;=9,1000+(INDEX(Eingabe!$G$9:$G$18,I159))*100,3000)+J159,IF((INDEX(Eingabe!$G$9:$G$18,I159)+1)&lt;=9,1000+(INDEX(Eingabe!$G$9:$G$18,I159)+1)*100,3000)+J159-100),IF(J159=K159+1,2000+INDEX(Eingabe!$G$9:$G$18,I159)*10+1,IF(J159=K159+2,2000+INDEX(Eingabe!$G$9:$G$18,I159)*10+2,2000+INDEX(Eingabe!$G$9:$G$18,I159)*10+9))),""))</f>
        <v>1305</v>
      </c>
      <c r="C159" s="0" t="str">
        <f aca="false">IF(I159="","",IF(AND(J159&gt;=1,J159&lt;=K159+3),"10."&amp;INDEX(Eingabe!$D$9:$D$18,I159)&amp;"."&amp;IF(J159&lt;=K159,J159,IF(J159=K159+1,200,IF(J159=K159+2,201,250)))&amp;".0/24",""))</f>
        <v>10.3.5.0/24</v>
      </c>
      <c r="D159" s="0" t="str">
        <f aca="false">IF(I159="","",IF(AND(J159&gt;=1,J159&lt;=K159+3),"255.255.255.0",""))</f>
        <v>255.255.255.0</v>
      </c>
      <c r="E159" s="0" t="str">
        <f aca="false">IF(I159="","",IF(AND(J159&gt;=1,J159&lt;=K159+3),"10."&amp;INDEX(Eingabe!$D$9:$D$18,I159)&amp;"."&amp;IF(J159&lt;=K159,J159,IF(J159=K159+1,200,IF(J159=K159+2,201,250)))&amp;".1",""))</f>
        <v>10.3.5.1</v>
      </c>
      <c r="F159" s="0" t="str">
        <f aca="false">IF(I159="","",IF(AND(J159&gt;=1,J159&lt;=K159+3),"10."&amp;INDEX(Eingabe!$D$9:$D$18,I159)&amp;"."&amp;IF(J159&lt;=K159,J159,IF(J159=K159+1,200,IF(J159=K159+2,201,250)))&amp;".10 – 10."&amp;INDEX(Eingabe!$D$9:$D$18,I159)&amp;"."&amp;IF(J159&lt;=K159,J159,IF(J159=K159+1,200,IF(J159=K159+2,201,250)))&amp;".250",""))</f>
        <v>10.3.5.10 – 10.3.5.250</v>
      </c>
      <c r="G159" s="0" t="str">
        <f aca="false">IF(I159="","",IF(AND(J159&gt;=1,J159&lt;=K159),Eingabe!$B$6&amp;"-"&amp;INDEX(Eingabe!$C$9:$C$18,I159)&amp;"-Pächter  ·  Passwort Parzelle "&amp;J159,IF(J159=K159+1,Eingabe!$B$6&amp;"-"&amp;INDEX(Eingabe!$C$9:$C$18,I159)&amp;"-Vorstand  ·  eigenes WLAN",IF(J159=K159+2,Eingabe!$B$6&amp;"-"&amp;INDEX(Eingabe!$C$9:$C$18,I159)&amp;"-Gäste  ·  Voucher",IF(J159=K159+3,"Kabel  ·  Access Point y = .(50+y), Mast-Switch x = .(10+x)","")))))</f>
        <v>SparteNet.de-SW-Pächter  ·  Passwort Parzelle 5</v>
      </c>
      <c r="I159" s="7" t="n">
        <f aca="false">IF(154&lt;=(Eingabe!$P$18+Eingabe!$Q$18-1),MATCH(154,Eingabe!$P$9:$P$18,1),"")</f>
        <v>3</v>
      </c>
      <c r="J159" s="7" t="n">
        <f aca="false">IF(I159="","",154-INDEX(Eingabe!$P$9:$P$18,I159))</f>
        <v>5</v>
      </c>
      <c r="K159" s="7" t="n">
        <f aca="false">IF(I159="","",INDEX(Eingabe!$E$9:$E$18,I159))</f>
        <v>53</v>
      </c>
    </row>
    <row r="160" customFormat="false" ht="15" hidden="false" customHeight="false" outlineLevel="0" collapsed="false">
      <c r="A160" s="0" t="str">
        <f aca="false">IF(I160="","",IF(J160=0,"Sparte "&amp;I160&amp;": "&amp;INDEX(Eingabe!$B$9:$B$18,I160)&amp;"  (Sparten-ID "&amp;INDEX(Eingabe!$D$9:$D$18,I160)&amp;", "&amp;K160&amp;" Parzellen)",IF(J160&lt;=K160,"   Parzelle "&amp;J160,IF(J160=K160+1,"   Vorstand",IF(J160=K160+2,"   Gäste",IF(J160=K160+3,"   Technik (Switches, Access Points)",""))))))</f>
        <v>   Parzelle 6</v>
      </c>
      <c r="B160" s="0" t="n">
        <f aca="false">IF(I160="","",IF(AND(J160&gt;=1,J160&lt;=K160+3),IF(J160&lt;=K160,IF(J160&lt;=99,IF((INDEX(Eingabe!$G$9:$G$18,I160))&lt;=9,1000+(INDEX(Eingabe!$G$9:$G$18,I160))*100,3000)+J160,IF((INDEX(Eingabe!$G$9:$G$18,I160)+1)&lt;=9,1000+(INDEX(Eingabe!$G$9:$G$18,I160)+1)*100,3000)+J160-100),IF(J160=K160+1,2000+INDEX(Eingabe!$G$9:$G$18,I160)*10+1,IF(J160=K160+2,2000+INDEX(Eingabe!$G$9:$G$18,I160)*10+2,2000+INDEX(Eingabe!$G$9:$G$18,I160)*10+9))),""))</f>
        <v>1306</v>
      </c>
      <c r="C160" s="0" t="str">
        <f aca="false">IF(I160="","",IF(AND(J160&gt;=1,J160&lt;=K160+3),"10."&amp;INDEX(Eingabe!$D$9:$D$18,I160)&amp;"."&amp;IF(J160&lt;=K160,J160,IF(J160=K160+1,200,IF(J160=K160+2,201,250)))&amp;".0/24",""))</f>
        <v>10.3.6.0/24</v>
      </c>
      <c r="D160" s="0" t="str">
        <f aca="false">IF(I160="","",IF(AND(J160&gt;=1,J160&lt;=K160+3),"255.255.255.0",""))</f>
        <v>255.255.255.0</v>
      </c>
      <c r="E160" s="0" t="str">
        <f aca="false">IF(I160="","",IF(AND(J160&gt;=1,J160&lt;=K160+3),"10."&amp;INDEX(Eingabe!$D$9:$D$18,I160)&amp;"."&amp;IF(J160&lt;=K160,J160,IF(J160=K160+1,200,IF(J160=K160+2,201,250)))&amp;".1",""))</f>
        <v>10.3.6.1</v>
      </c>
      <c r="F160" s="0" t="str">
        <f aca="false">IF(I160="","",IF(AND(J160&gt;=1,J160&lt;=K160+3),"10."&amp;INDEX(Eingabe!$D$9:$D$18,I160)&amp;"."&amp;IF(J160&lt;=K160,J160,IF(J160=K160+1,200,IF(J160=K160+2,201,250)))&amp;".10 – 10."&amp;INDEX(Eingabe!$D$9:$D$18,I160)&amp;"."&amp;IF(J160&lt;=K160,J160,IF(J160=K160+1,200,IF(J160=K160+2,201,250)))&amp;".250",""))</f>
        <v>10.3.6.10 – 10.3.6.250</v>
      </c>
      <c r="G160" s="0" t="str">
        <f aca="false">IF(I160="","",IF(AND(J160&gt;=1,J160&lt;=K160),Eingabe!$B$6&amp;"-"&amp;INDEX(Eingabe!$C$9:$C$18,I160)&amp;"-Pächter  ·  Passwort Parzelle "&amp;J160,IF(J160=K160+1,Eingabe!$B$6&amp;"-"&amp;INDEX(Eingabe!$C$9:$C$18,I160)&amp;"-Vorstand  ·  eigenes WLAN",IF(J160=K160+2,Eingabe!$B$6&amp;"-"&amp;INDEX(Eingabe!$C$9:$C$18,I160)&amp;"-Gäste  ·  Voucher",IF(J160=K160+3,"Kabel  ·  Access Point y = .(50+y), Mast-Switch x = .(10+x)","")))))</f>
        <v>SparteNet.de-SW-Pächter  ·  Passwort Parzelle 6</v>
      </c>
      <c r="I160" s="7" t="n">
        <f aca="false">IF(155&lt;=(Eingabe!$P$18+Eingabe!$Q$18-1),MATCH(155,Eingabe!$P$9:$P$18,1),"")</f>
        <v>3</v>
      </c>
      <c r="J160" s="7" t="n">
        <f aca="false">IF(I160="","",155-INDEX(Eingabe!$P$9:$P$18,I160))</f>
        <v>6</v>
      </c>
      <c r="K160" s="7" t="n">
        <f aca="false">IF(I160="","",INDEX(Eingabe!$E$9:$E$18,I160))</f>
        <v>53</v>
      </c>
    </row>
    <row r="161" customFormat="false" ht="15" hidden="false" customHeight="false" outlineLevel="0" collapsed="false">
      <c r="A161" s="0" t="str">
        <f aca="false">IF(I161="","",IF(J161=0,"Sparte "&amp;I161&amp;": "&amp;INDEX(Eingabe!$B$9:$B$18,I161)&amp;"  (Sparten-ID "&amp;INDEX(Eingabe!$D$9:$D$18,I161)&amp;", "&amp;K161&amp;" Parzellen)",IF(J161&lt;=K161,"   Parzelle "&amp;J161,IF(J161=K161+1,"   Vorstand",IF(J161=K161+2,"   Gäste",IF(J161=K161+3,"   Technik (Switches, Access Points)",""))))))</f>
        <v>   Parzelle 7</v>
      </c>
      <c r="B161" s="0" t="n">
        <f aca="false">IF(I161="","",IF(AND(J161&gt;=1,J161&lt;=K161+3),IF(J161&lt;=K161,IF(J161&lt;=99,IF((INDEX(Eingabe!$G$9:$G$18,I161))&lt;=9,1000+(INDEX(Eingabe!$G$9:$G$18,I161))*100,3000)+J161,IF((INDEX(Eingabe!$G$9:$G$18,I161)+1)&lt;=9,1000+(INDEX(Eingabe!$G$9:$G$18,I161)+1)*100,3000)+J161-100),IF(J161=K161+1,2000+INDEX(Eingabe!$G$9:$G$18,I161)*10+1,IF(J161=K161+2,2000+INDEX(Eingabe!$G$9:$G$18,I161)*10+2,2000+INDEX(Eingabe!$G$9:$G$18,I161)*10+9))),""))</f>
        <v>1307</v>
      </c>
      <c r="C161" s="0" t="str">
        <f aca="false">IF(I161="","",IF(AND(J161&gt;=1,J161&lt;=K161+3),"10."&amp;INDEX(Eingabe!$D$9:$D$18,I161)&amp;"."&amp;IF(J161&lt;=K161,J161,IF(J161=K161+1,200,IF(J161=K161+2,201,250)))&amp;".0/24",""))</f>
        <v>10.3.7.0/24</v>
      </c>
      <c r="D161" s="0" t="str">
        <f aca="false">IF(I161="","",IF(AND(J161&gt;=1,J161&lt;=K161+3),"255.255.255.0",""))</f>
        <v>255.255.255.0</v>
      </c>
      <c r="E161" s="0" t="str">
        <f aca="false">IF(I161="","",IF(AND(J161&gt;=1,J161&lt;=K161+3),"10."&amp;INDEX(Eingabe!$D$9:$D$18,I161)&amp;"."&amp;IF(J161&lt;=K161,J161,IF(J161=K161+1,200,IF(J161=K161+2,201,250)))&amp;".1",""))</f>
        <v>10.3.7.1</v>
      </c>
      <c r="F161" s="0" t="str">
        <f aca="false">IF(I161="","",IF(AND(J161&gt;=1,J161&lt;=K161+3),"10."&amp;INDEX(Eingabe!$D$9:$D$18,I161)&amp;"."&amp;IF(J161&lt;=K161,J161,IF(J161=K161+1,200,IF(J161=K161+2,201,250)))&amp;".10 – 10."&amp;INDEX(Eingabe!$D$9:$D$18,I161)&amp;"."&amp;IF(J161&lt;=K161,J161,IF(J161=K161+1,200,IF(J161=K161+2,201,250)))&amp;".250",""))</f>
        <v>10.3.7.10 – 10.3.7.250</v>
      </c>
      <c r="G161" s="0" t="str">
        <f aca="false">IF(I161="","",IF(AND(J161&gt;=1,J161&lt;=K161),Eingabe!$B$6&amp;"-"&amp;INDEX(Eingabe!$C$9:$C$18,I161)&amp;"-Pächter  ·  Passwort Parzelle "&amp;J161,IF(J161=K161+1,Eingabe!$B$6&amp;"-"&amp;INDEX(Eingabe!$C$9:$C$18,I161)&amp;"-Vorstand  ·  eigenes WLAN",IF(J161=K161+2,Eingabe!$B$6&amp;"-"&amp;INDEX(Eingabe!$C$9:$C$18,I161)&amp;"-Gäste  ·  Voucher",IF(J161=K161+3,"Kabel  ·  Access Point y = .(50+y), Mast-Switch x = .(10+x)","")))))</f>
        <v>SparteNet.de-SW-Pächter  ·  Passwort Parzelle 7</v>
      </c>
      <c r="I161" s="7" t="n">
        <f aca="false">IF(156&lt;=(Eingabe!$P$18+Eingabe!$Q$18-1),MATCH(156,Eingabe!$P$9:$P$18,1),"")</f>
        <v>3</v>
      </c>
      <c r="J161" s="7" t="n">
        <f aca="false">IF(I161="","",156-INDEX(Eingabe!$P$9:$P$18,I161))</f>
        <v>7</v>
      </c>
      <c r="K161" s="7" t="n">
        <f aca="false">IF(I161="","",INDEX(Eingabe!$E$9:$E$18,I161))</f>
        <v>53</v>
      </c>
    </row>
    <row r="162" customFormat="false" ht="15" hidden="false" customHeight="false" outlineLevel="0" collapsed="false">
      <c r="A162" s="0" t="str">
        <f aca="false">IF(I162="","",IF(J162=0,"Sparte "&amp;I162&amp;": "&amp;INDEX(Eingabe!$B$9:$B$18,I162)&amp;"  (Sparten-ID "&amp;INDEX(Eingabe!$D$9:$D$18,I162)&amp;", "&amp;K162&amp;" Parzellen)",IF(J162&lt;=K162,"   Parzelle "&amp;J162,IF(J162=K162+1,"   Vorstand",IF(J162=K162+2,"   Gäste",IF(J162=K162+3,"   Technik (Switches, Access Points)",""))))))</f>
        <v>   Parzelle 8</v>
      </c>
      <c r="B162" s="0" t="n">
        <f aca="false">IF(I162="","",IF(AND(J162&gt;=1,J162&lt;=K162+3),IF(J162&lt;=K162,IF(J162&lt;=99,IF((INDEX(Eingabe!$G$9:$G$18,I162))&lt;=9,1000+(INDEX(Eingabe!$G$9:$G$18,I162))*100,3000)+J162,IF((INDEX(Eingabe!$G$9:$G$18,I162)+1)&lt;=9,1000+(INDEX(Eingabe!$G$9:$G$18,I162)+1)*100,3000)+J162-100),IF(J162=K162+1,2000+INDEX(Eingabe!$G$9:$G$18,I162)*10+1,IF(J162=K162+2,2000+INDEX(Eingabe!$G$9:$G$18,I162)*10+2,2000+INDEX(Eingabe!$G$9:$G$18,I162)*10+9))),""))</f>
        <v>1308</v>
      </c>
      <c r="C162" s="0" t="str">
        <f aca="false">IF(I162="","",IF(AND(J162&gt;=1,J162&lt;=K162+3),"10."&amp;INDEX(Eingabe!$D$9:$D$18,I162)&amp;"."&amp;IF(J162&lt;=K162,J162,IF(J162=K162+1,200,IF(J162=K162+2,201,250)))&amp;".0/24",""))</f>
        <v>10.3.8.0/24</v>
      </c>
      <c r="D162" s="0" t="str">
        <f aca="false">IF(I162="","",IF(AND(J162&gt;=1,J162&lt;=K162+3),"255.255.255.0",""))</f>
        <v>255.255.255.0</v>
      </c>
      <c r="E162" s="0" t="str">
        <f aca="false">IF(I162="","",IF(AND(J162&gt;=1,J162&lt;=K162+3),"10."&amp;INDEX(Eingabe!$D$9:$D$18,I162)&amp;"."&amp;IF(J162&lt;=K162,J162,IF(J162=K162+1,200,IF(J162=K162+2,201,250)))&amp;".1",""))</f>
        <v>10.3.8.1</v>
      </c>
      <c r="F162" s="0" t="str">
        <f aca="false">IF(I162="","",IF(AND(J162&gt;=1,J162&lt;=K162+3),"10."&amp;INDEX(Eingabe!$D$9:$D$18,I162)&amp;"."&amp;IF(J162&lt;=K162,J162,IF(J162=K162+1,200,IF(J162=K162+2,201,250)))&amp;".10 – 10."&amp;INDEX(Eingabe!$D$9:$D$18,I162)&amp;"."&amp;IF(J162&lt;=K162,J162,IF(J162=K162+1,200,IF(J162=K162+2,201,250)))&amp;".250",""))</f>
        <v>10.3.8.10 – 10.3.8.250</v>
      </c>
      <c r="G162" s="0" t="str">
        <f aca="false">IF(I162="","",IF(AND(J162&gt;=1,J162&lt;=K162),Eingabe!$B$6&amp;"-"&amp;INDEX(Eingabe!$C$9:$C$18,I162)&amp;"-Pächter  ·  Passwort Parzelle "&amp;J162,IF(J162=K162+1,Eingabe!$B$6&amp;"-"&amp;INDEX(Eingabe!$C$9:$C$18,I162)&amp;"-Vorstand  ·  eigenes WLAN",IF(J162=K162+2,Eingabe!$B$6&amp;"-"&amp;INDEX(Eingabe!$C$9:$C$18,I162)&amp;"-Gäste  ·  Voucher",IF(J162=K162+3,"Kabel  ·  Access Point y = .(50+y), Mast-Switch x = .(10+x)","")))))</f>
        <v>SparteNet.de-SW-Pächter  ·  Passwort Parzelle 8</v>
      </c>
      <c r="I162" s="7" t="n">
        <f aca="false">IF(157&lt;=(Eingabe!$P$18+Eingabe!$Q$18-1),MATCH(157,Eingabe!$P$9:$P$18,1),"")</f>
        <v>3</v>
      </c>
      <c r="J162" s="7" t="n">
        <f aca="false">IF(I162="","",157-INDEX(Eingabe!$P$9:$P$18,I162))</f>
        <v>8</v>
      </c>
      <c r="K162" s="7" t="n">
        <f aca="false">IF(I162="","",INDEX(Eingabe!$E$9:$E$18,I162))</f>
        <v>53</v>
      </c>
    </row>
    <row r="163" customFormat="false" ht="15" hidden="false" customHeight="false" outlineLevel="0" collapsed="false">
      <c r="A163" s="0" t="str">
        <f aca="false">IF(I163="","",IF(J163=0,"Sparte "&amp;I163&amp;": "&amp;INDEX(Eingabe!$B$9:$B$18,I163)&amp;"  (Sparten-ID "&amp;INDEX(Eingabe!$D$9:$D$18,I163)&amp;", "&amp;K163&amp;" Parzellen)",IF(J163&lt;=K163,"   Parzelle "&amp;J163,IF(J163=K163+1,"   Vorstand",IF(J163=K163+2,"   Gäste",IF(J163=K163+3,"   Technik (Switches, Access Points)",""))))))</f>
        <v>   Parzelle 9</v>
      </c>
      <c r="B163" s="0" t="n">
        <f aca="false">IF(I163="","",IF(AND(J163&gt;=1,J163&lt;=K163+3),IF(J163&lt;=K163,IF(J163&lt;=99,IF((INDEX(Eingabe!$G$9:$G$18,I163))&lt;=9,1000+(INDEX(Eingabe!$G$9:$G$18,I163))*100,3000)+J163,IF((INDEX(Eingabe!$G$9:$G$18,I163)+1)&lt;=9,1000+(INDEX(Eingabe!$G$9:$G$18,I163)+1)*100,3000)+J163-100),IF(J163=K163+1,2000+INDEX(Eingabe!$G$9:$G$18,I163)*10+1,IF(J163=K163+2,2000+INDEX(Eingabe!$G$9:$G$18,I163)*10+2,2000+INDEX(Eingabe!$G$9:$G$18,I163)*10+9))),""))</f>
        <v>1309</v>
      </c>
      <c r="C163" s="0" t="str">
        <f aca="false">IF(I163="","",IF(AND(J163&gt;=1,J163&lt;=K163+3),"10."&amp;INDEX(Eingabe!$D$9:$D$18,I163)&amp;"."&amp;IF(J163&lt;=K163,J163,IF(J163=K163+1,200,IF(J163=K163+2,201,250)))&amp;".0/24",""))</f>
        <v>10.3.9.0/24</v>
      </c>
      <c r="D163" s="0" t="str">
        <f aca="false">IF(I163="","",IF(AND(J163&gt;=1,J163&lt;=K163+3),"255.255.255.0",""))</f>
        <v>255.255.255.0</v>
      </c>
      <c r="E163" s="0" t="str">
        <f aca="false">IF(I163="","",IF(AND(J163&gt;=1,J163&lt;=K163+3),"10."&amp;INDEX(Eingabe!$D$9:$D$18,I163)&amp;"."&amp;IF(J163&lt;=K163,J163,IF(J163=K163+1,200,IF(J163=K163+2,201,250)))&amp;".1",""))</f>
        <v>10.3.9.1</v>
      </c>
      <c r="F163" s="0" t="str">
        <f aca="false">IF(I163="","",IF(AND(J163&gt;=1,J163&lt;=K163+3),"10."&amp;INDEX(Eingabe!$D$9:$D$18,I163)&amp;"."&amp;IF(J163&lt;=K163,J163,IF(J163=K163+1,200,IF(J163=K163+2,201,250)))&amp;".10 – 10."&amp;INDEX(Eingabe!$D$9:$D$18,I163)&amp;"."&amp;IF(J163&lt;=K163,J163,IF(J163=K163+1,200,IF(J163=K163+2,201,250)))&amp;".250",""))</f>
        <v>10.3.9.10 – 10.3.9.250</v>
      </c>
      <c r="G163" s="0" t="str">
        <f aca="false">IF(I163="","",IF(AND(J163&gt;=1,J163&lt;=K163),Eingabe!$B$6&amp;"-"&amp;INDEX(Eingabe!$C$9:$C$18,I163)&amp;"-Pächter  ·  Passwort Parzelle "&amp;J163,IF(J163=K163+1,Eingabe!$B$6&amp;"-"&amp;INDEX(Eingabe!$C$9:$C$18,I163)&amp;"-Vorstand  ·  eigenes WLAN",IF(J163=K163+2,Eingabe!$B$6&amp;"-"&amp;INDEX(Eingabe!$C$9:$C$18,I163)&amp;"-Gäste  ·  Voucher",IF(J163=K163+3,"Kabel  ·  Access Point y = .(50+y), Mast-Switch x = .(10+x)","")))))</f>
        <v>SparteNet.de-SW-Pächter  ·  Passwort Parzelle 9</v>
      </c>
      <c r="I163" s="7" t="n">
        <f aca="false">IF(158&lt;=(Eingabe!$P$18+Eingabe!$Q$18-1),MATCH(158,Eingabe!$P$9:$P$18,1),"")</f>
        <v>3</v>
      </c>
      <c r="J163" s="7" t="n">
        <f aca="false">IF(I163="","",158-INDEX(Eingabe!$P$9:$P$18,I163))</f>
        <v>9</v>
      </c>
      <c r="K163" s="7" t="n">
        <f aca="false">IF(I163="","",INDEX(Eingabe!$E$9:$E$18,I163))</f>
        <v>53</v>
      </c>
    </row>
    <row r="164" customFormat="false" ht="15" hidden="false" customHeight="false" outlineLevel="0" collapsed="false">
      <c r="A164" s="0" t="str">
        <f aca="false">IF(I164="","",IF(J164=0,"Sparte "&amp;I164&amp;": "&amp;INDEX(Eingabe!$B$9:$B$18,I164)&amp;"  (Sparten-ID "&amp;INDEX(Eingabe!$D$9:$D$18,I164)&amp;", "&amp;K164&amp;" Parzellen)",IF(J164&lt;=K164,"   Parzelle "&amp;J164,IF(J164=K164+1,"   Vorstand",IF(J164=K164+2,"   Gäste",IF(J164=K164+3,"   Technik (Switches, Access Points)",""))))))</f>
        <v>   Parzelle 10</v>
      </c>
      <c r="B164" s="0" t="n">
        <f aca="false">IF(I164="","",IF(AND(J164&gt;=1,J164&lt;=K164+3),IF(J164&lt;=K164,IF(J164&lt;=99,IF((INDEX(Eingabe!$G$9:$G$18,I164))&lt;=9,1000+(INDEX(Eingabe!$G$9:$G$18,I164))*100,3000)+J164,IF((INDEX(Eingabe!$G$9:$G$18,I164)+1)&lt;=9,1000+(INDEX(Eingabe!$G$9:$G$18,I164)+1)*100,3000)+J164-100),IF(J164=K164+1,2000+INDEX(Eingabe!$G$9:$G$18,I164)*10+1,IF(J164=K164+2,2000+INDEX(Eingabe!$G$9:$G$18,I164)*10+2,2000+INDEX(Eingabe!$G$9:$G$18,I164)*10+9))),""))</f>
        <v>1310</v>
      </c>
      <c r="C164" s="0" t="str">
        <f aca="false">IF(I164="","",IF(AND(J164&gt;=1,J164&lt;=K164+3),"10."&amp;INDEX(Eingabe!$D$9:$D$18,I164)&amp;"."&amp;IF(J164&lt;=K164,J164,IF(J164=K164+1,200,IF(J164=K164+2,201,250)))&amp;".0/24",""))</f>
        <v>10.3.10.0/24</v>
      </c>
      <c r="D164" s="0" t="str">
        <f aca="false">IF(I164="","",IF(AND(J164&gt;=1,J164&lt;=K164+3),"255.255.255.0",""))</f>
        <v>255.255.255.0</v>
      </c>
      <c r="E164" s="0" t="str">
        <f aca="false">IF(I164="","",IF(AND(J164&gt;=1,J164&lt;=K164+3),"10."&amp;INDEX(Eingabe!$D$9:$D$18,I164)&amp;"."&amp;IF(J164&lt;=K164,J164,IF(J164=K164+1,200,IF(J164=K164+2,201,250)))&amp;".1",""))</f>
        <v>10.3.10.1</v>
      </c>
      <c r="F164" s="0" t="str">
        <f aca="false">IF(I164="","",IF(AND(J164&gt;=1,J164&lt;=K164+3),"10."&amp;INDEX(Eingabe!$D$9:$D$18,I164)&amp;"."&amp;IF(J164&lt;=K164,J164,IF(J164=K164+1,200,IF(J164=K164+2,201,250)))&amp;".10 – 10."&amp;INDEX(Eingabe!$D$9:$D$18,I164)&amp;"."&amp;IF(J164&lt;=K164,J164,IF(J164=K164+1,200,IF(J164=K164+2,201,250)))&amp;".250",""))</f>
        <v>10.3.10.10 – 10.3.10.250</v>
      </c>
      <c r="G164" s="0" t="str">
        <f aca="false">IF(I164="","",IF(AND(J164&gt;=1,J164&lt;=K164),Eingabe!$B$6&amp;"-"&amp;INDEX(Eingabe!$C$9:$C$18,I164)&amp;"-Pächter  ·  Passwort Parzelle "&amp;J164,IF(J164=K164+1,Eingabe!$B$6&amp;"-"&amp;INDEX(Eingabe!$C$9:$C$18,I164)&amp;"-Vorstand  ·  eigenes WLAN",IF(J164=K164+2,Eingabe!$B$6&amp;"-"&amp;INDEX(Eingabe!$C$9:$C$18,I164)&amp;"-Gäste  ·  Voucher",IF(J164=K164+3,"Kabel  ·  Access Point y = .(50+y), Mast-Switch x = .(10+x)","")))))</f>
        <v>SparteNet.de-SW-Pächter  ·  Passwort Parzelle 10</v>
      </c>
      <c r="I164" s="7" t="n">
        <f aca="false">IF(159&lt;=(Eingabe!$P$18+Eingabe!$Q$18-1),MATCH(159,Eingabe!$P$9:$P$18,1),"")</f>
        <v>3</v>
      </c>
      <c r="J164" s="7" t="n">
        <f aca="false">IF(I164="","",159-INDEX(Eingabe!$P$9:$P$18,I164))</f>
        <v>10</v>
      </c>
      <c r="K164" s="7" t="n">
        <f aca="false">IF(I164="","",INDEX(Eingabe!$E$9:$E$18,I164))</f>
        <v>53</v>
      </c>
    </row>
    <row r="165" customFormat="false" ht="15" hidden="false" customHeight="false" outlineLevel="0" collapsed="false">
      <c r="A165" s="0" t="str">
        <f aca="false">IF(I165="","",IF(J165=0,"Sparte "&amp;I165&amp;": "&amp;INDEX(Eingabe!$B$9:$B$18,I165)&amp;"  (Sparten-ID "&amp;INDEX(Eingabe!$D$9:$D$18,I165)&amp;", "&amp;K165&amp;" Parzellen)",IF(J165&lt;=K165,"   Parzelle "&amp;J165,IF(J165=K165+1,"   Vorstand",IF(J165=K165+2,"   Gäste",IF(J165=K165+3,"   Technik (Switches, Access Points)",""))))))</f>
        <v>   Parzelle 11</v>
      </c>
      <c r="B165" s="0" t="n">
        <f aca="false">IF(I165="","",IF(AND(J165&gt;=1,J165&lt;=K165+3),IF(J165&lt;=K165,IF(J165&lt;=99,IF((INDEX(Eingabe!$G$9:$G$18,I165))&lt;=9,1000+(INDEX(Eingabe!$G$9:$G$18,I165))*100,3000)+J165,IF((INDEX(Eingabe!$G$9:$G$18,I165)+1)&lt;=9,1000+(INDEX(Eingabe!$G$9:$G$18,I165)+1)*100,3000)+J165-100),IF(J165=K165+1,2000+INDEX(Eingabe!$G$9:$G$18,I165)*10+1,IF(J165=K165+2,2000+INDEX(Eingabe!$G$9:$G$18,I165)*10+2,2000+INDEX(Eingabe!$G$9:$G$18,I165)*10+9))),""))</f>
        <v>1311</v>
      </c>
      <c r="C165" s="0" t="str">
        <f aca="false">IF(I165="","",IF(AND(J165&gt;=1,J165&lt;=K165+3),"10."&amp;INDEX(Eingabe!$D$9:$D$18,I165)&amp;"."&amp;IF(J165&lt;=K165,J165,IF(J165=K165+1,200,IF(J165=K165+2,201,250)))&amp;".0/24",""))</f>
        <v>10.3.11.0/24</v>
      </c>
      <c r="D165" s="0" t="str">
        <f aca="false">IF(I165="","",IF(AND(J165&gt;=1,J165&lt;=K165+3),"255.255.255.0",""))</f>
        <v>255.255.255.0</v>
      </c>
      <c r="E165" s="0" t="str">
        <f aca="false">IF(I165="","",IF(AND(J165&gt;=1,J165&lt;=K165+3),"10."&amp;INDEX(Eingabe!$D$9:$D$18,I165)&amp;"."&amp;IF(J165&lt;=K165,J165,IF(J165=K165+1,200,IF(J165=K165+2,201,250)))&amp;".1",""))</f>
        <v>10.3.11.1</v>
      </c>
      <c r="F165" s="0" t="str">
        <f aca="false">IF(I165="","",IF(AND(J165&gt;=1,J165&lt;=K165+3),"10."&amp;INDEX(Eingabe!$D$9:$D$18,I165)&amp;"."&amp;IF(J165&lt;=K165,J165,IF(J165=K165+1,200,IF(J165=K165+2,201,250)))&amp;".10 – 10."&amp;INDEX(Eingabe!$D$9:$D$18,I165)&amp;"."&amp;IF(J165&lt;=K165,J165,IF(J165=K165+1,200,IF(J165=K165+2,201,250)))&amp;".250",""))</f>
        <v>10.3.11.10 – 10.3.11.250</v>
      </c>
      <c r="G165" s="0" t="str">
        <f aca="false">IF(I165="","",IF(AND(J165&gt;=1,J165&lt;=K165),Eingabe!$B$6&amp;"-"&amp;INDEX(Eingabe!$C$9:$C$18,I165)&amp;"-Pächter  ·  Passwort Parzelle "&amp;J165,IF(J165=K165+1,Eingabe!$B$6&amp;"-"&amp;INDEX(Eingabe!$C$9:$C$18,I165)&amp;"-Vorstand  ·  eigenes WLAN",IF(J165=K165+2,Eingabe!$B$6&amp;"-"&amp;INDEX(Eingabe!$C$9:$C$18,I165)&amp;"-Gäste  ·  Voucher",IF(J165=K165+3,"Kabel  ·  Access Point y = .(50+y), Mast-Switch x = .(10+x)","")))))</f>
        <v>SparteNet.de-SW-Pächter  ·  Passwort Parzelle 11</v>
      </c>
      <c r="I165" s="7" t="n">
        <f aca="false">IF(160&lt;=(Eingabe!$P$18+Eingabe!$Q$18-1),MATCH(160,Eingabe!$P$9:$P$18,1),"")</f>
        <v>3</v>
      </c>
      <c r="J165" s="7" t="n">
        <f aca="false">IF(I165="","",160-INDEX(Eingabe!$P$9:$P$18,I165))</f>
        <v>11</v>
      </c>
      <c r="K165" s="7" t="n">
        <f aca="false">IF(I165="","",INDEX(Eingabe!$E$9:$E$18,I165))</f>
        <v>53</v>
      </c>
    </row>
    <row r="166" customFormat="false" ht="15" hidden="false" customHeight="false" outlineLevel="0" collapsed="false">
      <c r="A166" s="0" t="str">
        <f aca="false">IF(I166="","",IF(J166=0,"Sparte "&amp;I166&amp;": "&amp;INDEX(Eingabe!$B$9:$B$18,I166)&amp;"  (Sparten-ID "&amp;INDEX(Eingabe!$D$9:$D$18,I166)&amp;", "&amp;K166&amp;" Parzellen)",IF(J166&lt;=K166,"   Parzelle "&amp;J166,IF(J166=K166+1,"   Vorstand",IF(J166=K166+2,"   Gäste",IF(J166=K166+3,"   Technik (Switches, Access Points)",""))))))</f>
        <v>   Parzelle 12</v>
      </c>
      <c r="B166" s="0" t="n">
        <f aca="false">IF(I166="","",IF(AND(J166&gt;=1,J166&lt;=K166+3),IF(J166&lt;=K166,IF(J166&lt;=99,IF((INDEX(Eingabe!$G$9:$G$18,I166))&lt;=9,1000+(INDEX(Eingabe!$G$9:$G$18,I166))*100,3000)+J166,IF((INDEX(Eingabe!$G$9:$G$18,I166)+1)&lt;=9,1000+(INDEX(Eingabe!$G$9:$G$18,I166)+1)*100,3000)+J166-100),IF(J166=K166+1,2000+INDEX(Eingabe!$G$9:$G$18,I166)*10+1,IF(J166=K166+2,2000+INDEX(Eingabe!$G$9:$G$18,I166)*10+2,2000+INDEX(Eingabe!$G$9:$G$18,I166)*10+9))),""))</f>
        <v>1312</v>
      </c>
      <c r="C166" s="0" t="str">
        <f aca="false">IF(I166="","",IF(AND(J166&gt;=1,J166&lt;=K166+3),"10."&amp;INDEX(Eingabe!$D$9:$D$18,I166)&amp;"."&amp;IF(J166&lt;=K166,J166,IF(J166=K166+1,200,IF(J166=K166+2,201,250)))&amp;".0/24",""))</f>
        <v>10.3.12.0/24</v>
      </c>
      <c r="D166" s="0" t="str">
        <f aca="false">IF(I166="","",IF(AND(J166&gt;=1,J166&lt;=K166+3),"255.255.255.0",""))</f>
        <v>255.255.255.0</v>
      </c>
      <c r="E166" s="0" t="str">
        <f aca="false">IF(I166="","",IF(AND(J166&gt;=1,J166&lt;=K166+3),"10."&amp;INDEX(Eingabe!$D$9:$D$18,I166)&amp;"."&amp;IF(J166&lt;=K166,J166,IF(J166=K166+1,200,IF(J166=K166+2,201,250)))&amp;".1",""))</f>
        <v>10.3.12.1</v>
      </c>
      <c r="F166" s="0" t="str">
        <f aca="false">IF(I166="","",IF(AND(J166&gt;=1,J166&lt;=K166+3),"10."&amp;INDEX(Eingabe!$D$9:$D$18,I166)&amp;"."&amp;IF(J166&lt;=K166,J166,IF(J166=K166+1,200,IF(J166=K166+2,201,250)))&amp;".10 – 10."&amp;INDEX(Eingabe!$D$9:$D$18,I166)&amp;"."&amp;IF(J166&lt;=K166,J166,IF(J166=K166+1,200,IF(J166=K166+2,201,250)))&amp;".250",""))</f>
        <v>10.3.12.10 – 10.3.12.250</v>
      </c>
      <c r="G166" s="0" t="str">
        <f aca="false">IF(I166="","",IF(AND(J166&gt;=1,J166&lt;=K166),Eingabe!$B$6&amp;"-"&amp;INDEX(Eingabe!$C$9:$C$18,I166)&amp;"-Pächter  ·  Passwort Parzelle "&amp;J166,IF(J166=K166+1,Eingabe!$B$6&amp;"-"&amp;INDEX(Eingabe!$C$9:$C$18,I166)&amp;"-Vorstand  ·  eigenes WLAN",IF(J166=K166+2,Eingabe!$B$6&amp;"-"&amp;INDEX(Eingabe!$C$9:$C$18,I166)&amp;"-Gäste  ·  Voucher",IF(J166=K166+3,"Kabel  ·  Access Point y = .(50+y), Mast-Switch x = .(10+x)","")))))</f>
        <v>SparteNet.de-SW-Pächter  ·  Passwort Parzelle 12</v>
      </c>
      <c r="I166" s="7" t="n">
        <f aca="false">IF(161&lt;=(Eingabe!$P$18+Eingabe!$Q$18-1),MATCH(161,Eingabe!$P$9:$P$18,1),"")</f>
        <v>3</v>
      </c>
      <c r="J166" s="7" t="n">
        <f aca="false">IF(I166="","",161-INDEX(Eingabe!$P$9:$P$18,I166))</f>
        <v>12</v>
      </c>
      <c r="K166" s="7" t="n">
        <f aca="false">IF(I166="","",INDEX(Eingabe!$E$9:$E$18,I166))</f>
        <v>53</v>
      </c>
    </row>
    <row r="167" customFormat="false" ht="15" hidden="false" customHeight="false" outlineLevel="0" collapsed="false">
      <c r="A167" s="0" t="str">
        <f aca="false">IF(I167="","",IF(J167=0,"Sparte "&amp;I167&amp;": "&amp;INDEX(Eingabe!$B$9:$B$18,I167)&amp;"  (Sparten-ID "&amp;INDEX(Eingabe!$D$9:$D$18,I167)&amp;", "&amp;K167&amp;" Parzellen)",IF(J167&lt;=K167,"   Parzelle "&amp;J167,IF(J167=K167+1,"   Vorstand",IF(J167=K167+2,"   Gäste",IF(J167=K167+3,"   Technik (Switches, Access Points)",""))))))</f>
        <v>   Parzelle 13</v>
      </c>
      <c r="B167" s="0" t="n">
        <f aca="false">IF(I167="","",IF(AND(J167&gt;=1,J167&lt;=K167+3),IF(J167&lt;=K167,IF(J167&lt;=99,IF((INDEX(Eingabe!$G$9:$G$18,I167))&lt;=9,1000+(INDEX(Eingabe!$G$9:$G$18,I167))*100,3000)+J167,IF((INDEX(Eingabe!$G$9:$G$18,I167)+1)&lt;=9,1000+(INDEX(Eingabe!$G$9:$G$18,I167)+1)*100,3000)+J167-100),IF(J167=K167+1,2000+INDEX(Eingabe!$G$9:$G$18,I167)*10+1,IF(J167=K167+2,2000+INDEX(Eingabe!$G$9:$G$18,I167)*10+2,2000+INDEX(Eingabe!$G$9:$G$18,I167)*10+9))),""))</f>
        <v>1313</v>
      </c>
      <c r="C167" s="0" t="str">
        <f aca="false">IF(I167="","",IF(AND(J167&gt;=1,J167&lt;=K167+3),"10."&amp;INDEX(Eingabe!$D$9:$D$18,I167)&amp;"."&amp;IF(J167&lt;=K167,J167,IF(J167=K167+1,200,IF(J167=K167+2,201,250)))&amp;".0/24",""))</f>
        <v>10.3.13.0/24</v>
      </c>
      <c r="D167" s="0" t="str">
        <f aca="false">IF(I167="","",IF(AND(J167&gt;=1,J167&lt;=K167+3),"255.255.255.0",""))</f>
        <v>255.255.255.0</v>
      </c>
      <c r="E167" s="0" t="str">
        <f aca="false">IF(I167="","",IF(AND(J167&gt;=1,J167&lt;=K167+3),"10."&amp;INDEX(Eingabe!$D$9:$D$18,I167)&amp;"."&amp;IF(J167&lt;=K167,J167,IF(J167=K167+1,200,IF(J167=K167+2,201,250)))&amp;".1",""))</f>
        <v>10.3.13.1</v>
      </c>
      <c r="F167" s="0" t="str">
        <f aca="false">IF(I167="","",IF(AND(J167&gt;=1,J167&lt;=K167+3),"10."&amp;INDEX(Eingabe!$D$9:$D$18,I167)&amp;"."&amp;IF(J167&lt;=K167,J167,IF(J167=K167+1,200,IF(J167=K167+2,201,250)))&amp;".10 – 10."&amp;INDEX(Eingabe!$D$9:$D$18,I167)&amp;"."&amp;IF(J167&lt;=K167,J167,IF(J167=K167+1,200,IF(J167=K167+2,201,250)))&amp;".250",""))</f>
        <v>10.3.13.10 – 10.3.13.250</v>
      </c>
      <c r="G167" s="0" t="str">
        <f aca="false">IF(I167="","",IF(AND(J167&gt;=1,J167&lt;=K167),Eingabe!$B$6&amp;"-"&amp;INDEX(Eingabe!$C$9:$C$18,I167)&amp;"-Pächter  ·  Passwort Parzelle "&amp;J167,IF(J167=K167+1,Eingabe!$B$6&amp;"-"&amp;INDEX(Eingabe!$C$9:$C$18,I167)&amp;"-Vorstand  ·  eigenes WLAN",IF(J167=K167+2,Eingabe!$B$6&amp;"-"&amp;INDEX(Eingabe!$C$9:$C$18,I167)&amp;"-Gäste  ·  Voucher",IF(J167=K167+3,"Kabel  ·  Access Point y = .(50+y), Mast-Switch x = .(10+x)","")))))</f>
        <v>SparteNet.de-SW-Pächter  ·  Passwort Parzelle 13</v>
      </c>
      <c r="I167" s="7" t="n">
        <f aca="false">IF(162&lt;=(Eingabe!$P$18+Eingabe!$Q$18-1),MATCH(162,Eingabe!$P$9:$P$18,1),"")</f>
        <v>3</v>
      </c>
      <c r="J167" s="7" t="n">
        <f aca="false">IF(I167="","",162-INDEX(Eingabe!$P$9:$P$18,I167))</f>
        <v>13</v>
      </c>
      <c r="K167" s="7" t="n">
        <f aca="false">IF(I167="","",INDEX(Eingabe!$E$9:$E$18,I167))</f>
        <v>53</v>
      </c>
    </row>
    <row r="168" customFormat="false" ht="15" hidden="false" customHeight="false" outlineLevel="0" collapsed="false">
      <c r="A168" s="0" t="str">
        <f aca="false">IF(I168="","",IF(J168=0,"Sparte "&amp;I168&amp;": "&amp;INDEX(Eingabe!$B$9:$B$18,I168)&amp;"  (Sparten-ID "&amp;INDEX(Eingabe!$D$9:$D$18,I168)&amp;", "&amp;K168&amp;" Parzellen)",IF(J168&lt;=K168,"   Parzelle "&amp;J168,IF(J168=K168+1,"   Vorstand",IF(J168=K168+2,"   Gäste",IF(J168=K168+3,"   Technik (Switches, Access Points)",""))))))</f>
        <v>   Parzelle 14</v>
      </c>
      <c r="B168" s="0" t="n">
        <f aca="false">IF(I168="","",IF(AND(J168&gt;=1,J168&lt;=K168+3),IF(J168&lt;=K168,IF(J168&lt;=99,IF((INDEX(Eingabe!$G$9:$G$18,I168))&lt;=9,1000+(INDEX(Eingabe!$G$9:$G$18,I168))*100,3000)+J168,IF((INDEX(Eingabe!$G$9:$G$18,I168)+1)&lt;=9,1000+(INDEX(Eingabe!$G$9:$G$18,I168)+1)*100,3000)+J168-100),IF(J168=K168+1,2000+INDEX(Eingabe!$G$9:$G$18,I168)*10+1,IF(J168=K168+2,2000+INDEX(Eingabe!$G$9:$G$18,I168)*10+2,2000+INDEX(Eingabe!$G$9:$G$18,I168)*10+9))),""))</f>
        <v>1314</v>
      </c>
      <c r="C168" s="0" t="str">
        <f aca="false">IF(I168="","",IF(AND(J168&gt;=1,J168&lt;=K168+3),"10."&amp;INDEX(Eingabe!$D$9:$D$18,I168)&amp;"."&amp;IF(J168&lt;=K168,J168,IF(J168=K168+1,200,IF(J168=K168+2,201,250)))&amp;".0/24",""))</f>
        <v>10.3.14.0/24</v>
      </c>
      <c r="D168" s="0" t="str">
        <f aca="false">IF(I168="","",IF(AND(J168&gt;=1,J168&lt;=K168+3),"255.255.255.0",""))</f>
        <v>255.255.255.0</v>
      </c>
      <c r="E168" s="0" t="str">
        <f aca="false">IF(I168="","",IF(AND(J168&gt;=1,J168&lt;=K168+3),"10."&amp;INDEX(Eingabe!$D$9:$D$18,I168)&amp;"."&amp;IF(J168&lt;=K168,J168,IF(J168=K168+1,200,IF(J168=K168+2,201,250)))&amp;".1",""))</f>
        <v>10.3.14.1</v>
      </c>
      <c r="F168" s="0" t="str">
        <f aca="false">IF(I168="","",IF(AND(J168&gt;=1,J168&lt;=K168+3),"10."&amp;INDEX(Eingabe!$D$9:$D$18,I168)&amp;"."&amp;IF(J168&lt;=K168,J168,IF(J168=K168+1,200,IF(J168=K168+2,201,250)))&amp;".10 – 10."&amp;INDEX(Eingabe!$D$9:$D$18,I168)&amp;"."&amp;IF(J168&lt;=K168,J168,IF(J168=K168+1,200,IF(J168=K168+2,201,250)))&amp;".250",""))</f>
        <v>10.3.14.10 – 10.3.14.250</v>
      </c>
      <c r="G168" s="0" t="str">
        <f aca="false">IF(I168="","",IF(AND(J168&gt;=1,J168&lt;=K168),Eingabe!$B$6&amp;"-"&amp;INDEX(Eingabe!$C$9:$C$18,I168)&amp;"-Pächter  ·  Passwort Parzelle "&amp;J168,IF(J168=K168+1,Eingabe!$B$6&amp;"-"&amp;INDEX(Eingabe!$C$9:$C$18,I168)&amp;"-Vorstand  ·  eigenes WLAN",IF(J168=K168+2,Eingabe!$B$6&amp;"-"&amp;INDEX(Eingabe!$C$9:$C$18,I168)&amp;"-Gäste  ·  Voucher",IF(J168=K168+3,"Kabel  ·  Access Point y = .(50+y), Mast-Switch x = .(10+x)","")))))</f>
        <v>SparteNet.de-SW-Pächter  ·  Passwort Parzelle 14</v>
      </c>
      <c r="I168" s="7" t="n">
        <f aca="false">IF(163&lt;=(Eingabe!$P$18+Eingabe!$Q$18-1),MATCH(163,Eingabe!$P$9:$P$18,1),"")</f>
        <v>3</v>
      </c>
      <c r="J168" s="7" t="n">
        <f aca="false">IF(I168="","",163-INDEX(Eingabe!$P$9:$P$18,I168))</f>
        <v>14</v>
      </c>
      <c r="K168" s="7" t="n">
        <f aca="false">IF(I168="","",INDEX(Eingabe!$E$9:$E$18,I168))</f>
        <v>53</v>
      </c>
    </row>
    <row r="169" customFormat="false" ht="15" hidden="false" customHeight="false" outlineLevel="0" collapsed="false">
      <c r="A169" s="0" t="str">
        <f aca="false">IF(I169="","",IF(J169=0,"Sparte "&amp;I169&amp;": "&amp;INDEX(Eingabe!$B$9:$B$18,I169)&amp;"  (Sparten-ID "&amp;INDEX(Eingabe!$D$9:$D$18,I169)&amp;", "&amp;K169&amp;" Parzellen)",IF(J169&lt;=K169,"   Parzelle "&amp;J169,IF(J169=K169+1,"   Vorstand",IF(J169=K169+2,"   Gäste",IF(J169=K169+3,"   Technik (Switches, Access Points)",""))))))</f>
        <v>   Parzelle 15</v>
      </c>
      <c r="B169" s="0" t="n">
        <f aca="false">IF(I169="","",IF(AND(J169&gt;=1,J169&lt;=K169+3),IF(J169&lt;=K169,IF(J169&lt;=99,IF((INDEX(Eingabe!$G$9:$G$18,I169))&lt;=9,1000+(INDEX(Eingabe!$G$9:$G$18,I169))*100,3000)+J169,IF((INDEX(Eingabe!$G$9:$G$18,I169)+1)&lt;=9,1000+(INDEX(Eingabe!$G$9:$G$18,I169)+1)*100,3000)+J169-100),IF(J169=K169+1,2000+INDEX(Eingabe!$G$9:$G$18,I169)*10+1,IF(J169=K169+2,2000+INDEX(Eingabe!$G$9:$G$18,I169)*10+2,2000+INDEX(Eingabe!$G$9:$G$18,I169)*10+9))),""))</f>
        <v>1315</v>
      </c>
      <c r="C169" s="0" t="str">
        <f aca="false">IF(I169="","",IF(AND(J169&gt;=1,J169&lt;=K169+3),"10."&amp;INDEX(Eingabe!$D$9:$D$18,I169)&amp;"."&amp;IF(J169&lt;=K169,J169,IF(J169=K169+1,200,IF(J169=K169+2,201,250)))&amp;".0/24",""))</f>
        <v>10.3.15.0/24</v>
      </c>
      <c r="D169" s="0" t="str">
        <f aca="false">IF(I169="","",IF(AND(J169&gt;=1,J169&lt;=K169+3),"255.255.255.0",""))</f>
        <v>255.255.255.0</v>
      </c>
      <c r="E169" s="0" t="str">
        <f aca="false">IF(I169="","",IF(AND(J169&gt;=1,J169&lt;=K169+3),"10."&amp;INDEX(Eingabe!$D$9:$D$18,I169)&amp;"."&amp;IF(J169&lt;=K169,J169,IF(J169=K169+1,200,IF(J169=K169+2,201,250)))&amp;".1",""))</f>
        <v>10.3.15.1</v>
      </c>
      <c r="F169" s="0" t="str">
        <f aca="false">IF(I169="","",IF(AND(J169&gt;=1,J169&lt;=K169+3),"10."&amp;INDEX(Eingabe!$D$9:$D$18,I169)&amp;"."&amp;IF(J169&lt;=K169,J169,IF(J169=K169+1,200,IF(J169=K169+2,201,250)))&amp;".10 – 10."&amp;INDEX(Eingabe!$D$9:$D$18,I169)&amp;"."&amp;IF(J169&lt;=K169,J169,IF(J169=K169+1,200,IF(J169=K169+2,201,250)))&amp;".250",""))</f>
        <v>10.3.15.10 – 10.3.15.250</v>
      </c>
      <c r="G169" s="0" t="str">
        <f aca="false">IF(I169="","",IF(AND(J169&gt;=1,J169&lt;=K169),Eingabe!$B$6&amp;"-"&amp;INDEX(Eingabe!$C$9:$C$18,I169)&amp;"-Pächter  ·  Passwort Parzelle "&amp;J169,IF(J169=K169+1,Eingabe!$B$6&amp;"-"&amp;INDEX(Eingabe!$C$9:$C$18,I169)&amp;"-Vorstand  ·  eigenes WLAN",IF(J169=K169+2,Eingabe!$B$6&amp;"-"&amp;INDEX(Eingabe!$C$9:$C$18,I169)&amp;"-Gäste  ·  Voucher",IF(J169=K169+3,"Kabel  ·  Access Point y = .(50+y), Mast-Switch x = .(10+x)","")))))</f>
        <v>SparteNet.de-SW-Pächter  ·  Passwort Parzelle 15</v>
      </c>
      <c r="I169" s="7" t="n">
        <f aca="false">IF(164&lt;=(Eingabe!$P$18+Eingabe!$Q$18-1),MATCH(164,Eingabe!$P$9:$P$18,1),"")</f>
        <v>3</v>
      </c>
      <c r="J169" s="7" t="n">
        <f aca="false">IF(I169="","",164-INDEX(Eingabe!$P$9:$P$18,I169))</f>
        <v>15</v>
      </c>
      <c r="K169" s="7" t="n">
        <f aca="false">IF(I169="","",INDEX(Eingabe!$E$9:$E$18,I169))</f>
        <v>53</v>
      </c>
    </row>
    <row r="170" customFormat="false" ht="15" hidden="false" customHeight="false" outlineLevel="0" collapsed="false">
      <c r="A170" s="0" t="str">
        <f aca="false">IF(I170="","",IF(J170=0,"Sparte "&amp;I170&amp;": "&amp;INDEX(Eingabe!$B$9:$B$18,I170)&amp;"  (Sparten-ID "&amp;INDEX(Eingabe!$D$9:$D$18,I170)&amp;", "&amp;K170&amp;" Parzellen)",IF(J170&lt;=K170,"   Parzelle "&amp;J170,IF(J170=K170+1,"   Vorstand",IF(J170=K170+2,"   Gäste",IF(J170=K170+3,"   Technik (Switches, Access Points)",""))))))</f>
        <v>   Parzelle 16</v>
      </c>
      <c r="B170" s="0" t="n">
        <f aca="false">IF(I170="","",IF(AND(J170&gt;=1,J170&lt;=K170+3),IF(J170&lt;=K170,IF(J170&lt;=99,IF((INDEX(Eingabe!$G$9:$G$18,I170))&lt;=9,1000+(INDEX(Eingabe!$G$9:$G$18,I170))*100,3000)+J170,IF((INDEX(Eingabe!$G$9:$G$18,I170)+1)&lt;=9,1000+(INDEX(Eingabe!$G$9:$G$18,I170)+1)*100,3000)+J170-100),IF(J170=K170+1,2000+INDEX(Eingabe!$G$9:$G$18,I170)*10+1,IF(J170=K170+2,2000+INDEX(Eingabe!$G$9:$G$18,I170)*10+2,2000+INDEX(Eingabe!$G$9:$G$18,I170)*10+9))),""))</f>
        <v>1316</v>
      </c>
      <c r="C170" s="0" t="str">
        <f aca="false">IF(I170="","",IF(AND(J170&gt;=1,J170&lt;=K170+3),"10."&amp;INDEX(Eingabe!$D$9:$D$18,I170)&amp;"."&amp;IF(J170&lt;=K170,J170,IF(J170=K170+1,200,IF(J170=K170+2,201,250)))&amp;".0/24",""))</f>
        <v>10.3.16.0/24</v>
      </c>
      <c r="D170" s="0" t="str">
        <f aca="false">IF(I170="","",IF(AND(J170&gt;=1,J170&lt;=K170+3),"255.255.255.0",""))</f>
        <v>255.255.255.0</v>
      </c>
      <c r="E170" s="0" t="str">
        <f aca="false">IF(I170="","",IF(AND(J170&gt;=1,J170&lt;=K170+3),"10."&amp;INDEX(Eingabe!$D$9:$D$18,I170)&amp;"."&amp;IF(J170&lt;=K170,J170,IF(J170=K170+1,200,IF(J170=K170+2,201,250)))&amp;".1",""))</f>
        <v>10.3.16.1</v>
      </c>
      <c r="F170" s="0" t="str">
        <f aca="false">IF(I170="","",IF(AND(J170&gt;=1,J170&lt;=K170+3),"10."&amp;INDEX(Eingabe!$D$9:$D$18,I170)&amp;"."&amp;IF(J170&lt;=K170,J170,IF(J170=K170+1,200,IF(J170=K170+2,201,250)))&amp;".10 – 10."&amp;INDEX(Eingabe!$D$9:$D$18,I170)&amp;"."&amp;IF(J170&lt;=K170,J170,IF(J170=K170+1,200,IF(J170=K170+2,201,250)))&amp;".250",""))</f>
        <v>10.3.16.10 – 10.3.16.250</v>
      </c>
      <c r="G170" s="0" t="str">
        <f aca="false">IF(I170="","",IF(AND(J170&gt;=1,J170&lt;=K170),Eingabe!$B$6&amp;"-"&amp;INDEX(Eingabe!$C$9:$C$18,I170)&amp;"-Pächter  ·  Passwort Parzelle "&amp;J170,IF(J170=K170+1,Eingabe!$B$6&amp;"-"&amp;INDEX(Eingabe!$C$9:$C$18,I170)&amp;"-Vorstand  ·  eigenes WLAN",IF(J170=K170+2,Eingabe!$B$6&amp;"-"&amp;INDEX(Eingabe!$C$9:$C$18,I170)&amp;"-Gäste  ·  Voucher",IF(J170=K170+3,"Kabel  ·  Access Point y = .(50+y), Mast-Switch x = .(10+x)","")))))</f>
        <v>SparteNet.de-SW-Pächter  ·  Passwort Parzelle 16</v>
      </c>
      <c r="I170" s="7" t="n">
        <f aca="false">IF(165&lt;=(Eingabe!$P$18+Eingabe!$Q$18-1),MATCH(165,Eingabe!$P$9:$P$18,1),"")</f>
        <v>3</v>
      </c>
      <c r="J170" s="7" t="n">
        <f aca="false">IF(I170="","",165-INDEX(Eingabe!$P$9:$P$18,I170))</f>
        <v>16</v>
      </c>
      <c r="K170" s="7" t="n">
        <f aca="false">IF(I170="","",INDEX(Eingabe!$E$9:$E$18,I170))</f>
        <v>53</v>
      </c>
    </row>
    <row r="171" customFormat="false" ht="15" hidden="false" customHeight="false" outlineLevel="0" collapsed="false">
      <c r="A171" s="0" t="str">
        <f aca="false">IF(I171="","",IF(J171=0,"Sparte "&amp;I171&amp;": "&amp;INDEX(Eingabe!$B$9:$B$18,I171)&amp;"  (Sparten-ID "&amp;INDEX(Eingabe!$D$9:$D$18,I171)&amp;", "&amp;K171&amp;" Parzellen)",IF(J171&lt;=K171,"   Parzelle "&amp;J171,IF(J171=K171+1,"   Vorstand",IF(J171=K171+2,"   Gäste",IF(J171=K171+3,"   Technik (Switches, Access Points)",""))))))</f>
        <v>   Parzelle 17</v>
      </c>
      <c r="B171" s="0" t="n">
        <f aca="false">IF(I171="","",IF(AND(J171&gt;=1,J171&lt;=K171+3),IF(J171&lt;=K171,IF(J171&lt;=99,IF((INDEX(Eingabe!$G$9:$G$18,I171))&lt;=9,1000+(INDEX(Eingabe!$G$9:$G$18,I171))*100,3000)+J171,IF((INDEX(Eingabe!$G$9:$G$18,I171)+1)&lt;=9,1000+(INDEX(Eingabe!$G$9:$G$18,I171)+1)*100,3000)+J171-100),IF(J171=K171+1,2000+INDEX(Eingabe!$G$9:$G$18,I171)*10+1,IF(J171=K171+2,2000+INDEX(Eingabe!$G$9:$G$18,I171)*10+2,2000+INDEX(Eingabe!$G$9:$G$18,I171)*10+9))),""))</f>
        <v>1317</v>
      </c>
      <c r="C171" s="0" t="str">
        <f aca="false">IF(I171="","",IF(AND(J171&gt;=1,J171&lt;=K171+3),"10."&amp;INDEX(Eingabe!$D$9:$D$18,I171)&amp;"."&amp;IF(J171&lt;=K171,J171,IF(J171=K171+1,200,IF(J171=K171+2,201,250)))&amp;".0/24",""))</f>
        <v>10.3.17.0/24</v>
      </c>
      <c r="D171" s="0" t="str">
        <f aca="false">IF(I171="","",IF(AND(J171&gt;=1,J171&lt;=K171+3),"255.255.255.0",""))</f>
        <v>255.255.255.0</v>
      </c>
      <c r="E171" s="0" t="str">
        <f aca="false">IF(I171="","",IF(AND(J171&gt;=1,J171&lt;=K171+3),"10."&amp;INDEX(Eingabe!$D$9:$D$18,I171)&amp;"."&amp;IF(J171&lt;=K171,J171,IF(J171=K171+1,200,IF(J171=K171+2,201,250)))&amp;".1",""))</f>
        <v>10.3.17.1</v>
      </c>
      <c r="F171" s="0" t="str">
        <f aca="false">IF(I171="","",IF(AND(J171&gt;=1,J171&lt;=K171+3),"10."&amp;INDEX(Eingabe!$D$9:$D$18,I171)&amp;"."&amp;IF(J171&lt;=K171,J171,IF(J171=K171+1,200,IF(J171=K171+2,201,250)))&amp;".10 – 10."&amp;INDEX(Eingabe!$D$9:$D$18,I171)&amp;"."&amp;IF(J171&lt;=K171,J171,IF(J171=K171+1,200,IF(J171=K171+2,201,250)))&amp;".250",""))</f>
        <v>10.3.17.10 – 10.3.17.250</v>
      </c>
      <c r="G171" s="0" t="str">
        <f aca="false">IF(I171="","",IF(AND(J171&gt;=1,J171&lt;=K171),Eingabe!$B$6&amp;"-"&amp;INDEX(Eingabe!$C$9:$C$18,I171)&amp;"-Pächter  ·  Passwort Parzelle "&amp;J171,IF(J171=K171+1,Eingabe!$B$6&amp;"-"&amp;INDEX(Eingabe!$C$9:$C$18,I171)&amp;"-Vorstand  ·  eigenes WLAN",IF(J171=K171+2,Eingabe!$B$6&amp;"-"&amp;INDEX(Eingabe!$C$9:$C$18,I171)&amp;"-Gäste  ·  Voucher",IF(J171=K171+3,"Kabel  ·  Access Point y = .(50+y), Mast-Switch x = .(10+x)","")))))</f>
        <v>SparteNet.de-SW-Pächter  ·  Passwort Parzelle 17</v>
      </c>
      <c r="I171" s="7" t="n">
        <f aca="false">IF(166&lt;=(Eingabe!$P$18+Eingabe!$Q$18-1),MATCH(166,Eingabe!$P$9:$P$18,1),"")</f>
        <v>3</v>
      </c>
      <c r="J171" s="7" t="n">
        <f aca="false">IF(I171="","",166-INDEX(Eingabe!$P$9:$P$18,I171))</f>
        <v>17</v>
      </c>
      <c r="K171" s="7" t="n">
        <f aca="false">IF(I171="","",INDEX(Eingabe!$E$9:$E$18,I171))</f>
        <v>53</v>
      </c>
    </row>
    <row r="172" customFormat="false" ht="15" hidden="false" customHeight="false" outlineLevel="0" collapsed="false">
      <c r="A172" s="0" t="str">
        <f aca="false">IF(I172="","",IF(J172=0,"Sparte "&amp;I172&amp;": "&amp;INDEX(Eingabe!$B$9:$B$18,I172)&amp;"  (Sparten-ID "&amp;INDEX(Eingabe!$D$9:$D$18,I172)&amp;", "&amp;K172&amp;" Parzellen)",IF(J172&lt;=K172,"   Parzelle "&amp;J172,IF(J172=K172+1,"   Vorstand",IF(J172=K172+2,"   Gäste",IF(J172=K172+3,"   Technik (Switches, Access Points)",""))))))</f>
        <v>   Parzelle 18</v>
      </c>
      <c r="B172" s="0" t="n">
        <f aca="false">IF(I172="","",IF(AND(J172&gt;=1,J172&lt;=K172+3),IF(J172&lt;=K172,IF(J172&lt;=99,IF((INDEX(Eingabe!$G$9:$G$18,I172))&lt;=9,1000+(INDEX(Eingabe!$G$9:$G$18,I172))*100,3000)+J172,IF((INDEX(Eingabe!$G$9:$G$18,I172)+1)&lt;=9,1000+(INDEX(Eingabe!$G$9:$G$18,I172)+1)*100,3000)+J172-100),IF(J172=K172+1,2000+INDEX(Eingabe!$G$9:$G$18,I172)*10+1,IF(J172=K172+2,2000+INDEX(Eingabe!$G$9:$G$18,I172)*10+2,2000+INDEX(Eingabe!$G$9:$G$18,I172)*10+9))),""))</f>
        <v>1318</v>
      </c>
      <c r="C172" s="0" t="str">
        <f aca="false">IF(I172="","",IF(AND(J172&gt;=1,J172&lt;=K172+3),"10."&amp;INDEX(Eingabe!$D$9:$D$18,I172)&amp;"."&amp;IF(J172&lt;=K172,J172,IF(J172=K172+1,200,IF(J172=K172+2,201,250)))&amp;".0/24",""))</f>
        <v>10.3.18.0/24</v>
      </c>
      <c r="D172" s="0" t="str">
        <f aca="false">IF(I172="","",IF(AND(J172&gt;=1,J172&lt;=K172+3),"255.255.255.0",""))</f>
        <v>255.255.255.0</v>
      </c>
      <c r="E172" s="0" t="str">
        <f aca="false">IF(I172="","",IF(AND(J172&gt;=1,J172&lt;=K172+3),"10."&amp;INDEX(Eingabe!$D$9:$D$18,I172)&amp;"."&amp;IF(J172&lt;=K172,J172,IF(J172=K172+1,200,IF(J172=K172+2,201,250)))&amp;".1",""))</f>
        <v>10.3.18.1</v>
      </c>
      <c r="F172" s="0" t="str">
        <f aca="false">IF(I172="","",IF(AND(J172&gt;=1,J172&lt;=K172+3),"10."&amp;INDEX(Eingabe!$D$9:$D$18,I172)&amp;"."&amp;IF(J172&lt;=K172,J172,IF(J172=K172+1,200,IF(J172=K172+2,201,250)))&amp;".10 – 10."&amp;INDEX(Eingabe!$D$9:$D$18,I172)&amp;"."&amp;IF(J172&lt;=K172,J172,IF(J172=K172+1,200,IF(J172=K172+2,201,250)))&amp;".250",""))</f>
        <v>10.3.18.10 – 10.3.18.250</v>
      </c>
      <c r="G172" s="0" t="str">
        <f aca="false">IF(I172="","",IF(AND(J172&gt;=1,J172&lt;=K172),Eingabe!$B$6&amp;"-"&amp;INDEX(Eingabe!$C$9:$C$18,I172)&amp;"-Pächter  ·  Passwort Parzelle "&amp;J172,IF(J172=K172+1,Eingabe!$B$6&amp;"-"&amp;INDEX(Eingabe!$C$9:$C$18,I172)&amp;"-Vorstand  ·  eigenes WLAN",IF(J172=K172+2,Eingabe!$B$6&amp;"-"&amp;INDEX(Eingabe!$C$9:$C$18,I172)&amp;"-Gäste  ·  Voucher",IF(J172=K172+3,"Kabel  ·  Access Point y = .(50+y), Mast-Switch x = .(10+x)","")))))</f>
        <v>SparteNet.de-SW-Pächter  ·  Passwort Parzelle 18</v>
      </c>
      <c r="I172" s="7" t="n">
        <f aca="false">IF(167&lt;=(Eingabe!$P$18+Eingabe!$Q$18-1),MATCH(167,Eingabe!$P$9:$P$18,1),"")</f>
        <v>3</v>
      </c>
      <c r="J172" s="7" t="n">
        <f aca="false">IF(I172="","",167-INDEX(Eingabe!$P$9:$P$18,I172))</f>
        <v>18</v>
      </c>
      <c r="K172" s="7" t="n">
        <f aca="false">IF(I172="","",INDEX(Eingabe!$E$9:$E$18,I172))</f>
        <v>53</v>
      </c>
    </row>
    <row r="173" customFormat="false" ht="15" hidden="false" customHeight="false" outlineLevel="0" collapsed="false">
      <c r="A173" s="0" t="str">
        <f aca="false">IF(I173="","",IF(J173=0,"Sparte "&amp;I173&amp;": "&amp;INDEX(Eingabe!$B$9:$B$18,I173)&amp;"  (Sparten-ID "&amp;INDEX(Eingabe!$D$9:$D$18,I173)&amp;", "&amp;K173&amp;" Parzellen)",IF(J173&lt;=K173,"   Parzelle "&amp;J173,IF(J173=K173+1,"   Vorstand",IF(J173=K173+2,"   Gäste",IF(J173=K173+3,"   Technik (Switches, Access Points)",""))))))</f>
        <v>   Parzelle 19</v>
      </c>
      <c r="B173" s="0" t="n">
        <f aca="false">IF(I173="","",IF(AND(J173&gt;=1,J173&lt;=K173+3),IF(J173&lt;=K173,IF(J173&lt;=99,IF((INDEX(Eingabe!$G$9:$G$18,I173))&lt;=9,1000+(INDEX(Eingabe!$G$9:$G$18,I173))*100,3000)+J173,IF((INDEX(Eingabe!$G$9:$G$18,I173)+1)&lt;=9,1000+(INDEX(Eingabe!$G$9:$G$18,I173)+1)*100,3000)+J173-100),IF(J173=K173+1,2000+INDEX(Eingabe!$G$9:$G$18,I173)*10+1,IF(J173=K173+2,2000+INDEX(Eingabe!$G$9:$G$18,I173)*10+2,2000+INDEX(Eingabe!$G$9:$G$18,I173)*10+9))),""))</f>
        <v>1319</v>
      </c>
      <c r="C173" s="0" t="str">
        <f aca="false">IF(I173="","",IF(AND(J173&gt;=1,J173&lt;=K173+3),"10."&amp;INDEX(Eingabe!$D$9:$D$18,I173)&amp;"."&amp;IF(J173&lt;=K173,J173,IF(J173=K173+1,200,IF(J173=K173+2,201,250)))&amp;".0/24",""))</f>
        <v>10.3.19.0/24</v>
      </c>
      <c r="D173" s="0" t="str">
        <f aca="false">IF(I173="","",IF(AND(J173&gt;=1,J173&lt;=K173+3),"255.255.255.0",""))</f>
        <v>255.255.255.0</v>
      </c>
      <c r="E173" s="0" t="str">
        <f aca="false">IF(I173="","",IF(AND(J173&gt;=1,J173&lt;=K173+3),"10."&amp;INDEX(Eingabe!$D$9:$D$18,I173)&amp;"."&amp;IF(J173&lt;=K173,J173,IF(J173=K173+1,200,IF(J173=K173+2,201,250)))&amp;".1",""))</f>
        <v>10.3.19.1</v>
      </c>
      <c r="F173" s="0" t="str">
        <f aca="false">IF(I173="","",IF(AND(J173&gt;=1,J173&lt;=K173+3),"10."&amp;INDEX(Eingabe!$D$9:$D$18,I173)&amp;"."&amp;IF(J173&lt;=K173,J173,IF(J173=K173+1,200,IF(J173=K173+2,201,250)))&amp;".10 – 10."&amp;INDEX(Eingabe!$D$9:$D$18,I173)&amp;"."&amp;IF(J173&lt;=K173,J173,IF(J173=K173+1,200,IF(J173=K173+2,201,250)))&amp;".250",""))</f>
        <v>10.3.19.10 – 10.3.19.250</v>
      </c>
      <c r="G173" s="0" t="str">
        <f aca="false">IF(I173="","",IF(AND(J173&gt;=1,J173&lt;=K173),Eingabe!$B$6&amp;"-"&amp;INDEX(Eingabe!$C$9:$C$18,I173)&amp;"-Pächter  ·  Passwort Parzelle "&amp;J173,IF(J173=K173+1,Eingabe!$B$6&amp;"-"&amp;INDEX(Eingabe!$C$9:$C$18,I173)&amp;"-Vorstand  ·  eigenes WLAN",IF(J173=K173+2,Eingabe!$B$6&amp;"-"&amp;INDEX(Eingabe!$C$9:$C$18,I173)&amp;"-Gäste  ·  Voucher",IF(J173=K173+3,"Kabel  ·  Access Point y = .(50+y), Mast-Switch x = .(10+x)","")))))</f>
        <v>SparteNet.de-SW-Pächter  ·  Passwort Parzelle 19</v>
      </c>
      <c r="I173" s="7" t="n">
        <f aca="false">IF(168&lt;=(Eingabe!$P$18+Eingabe!$Q$18-1),MATCH(168,Eingabe!$P$9:$P$18,1),"")</f>
        <v>3</v>
      </c>
      <c r="J173" s="7" t="n">
        <f aca="false">IF(I173="","",168-INDEX(Eingabe!$P$9:$P$18,I173))</f>
        <v>19</v>
      </c>
      <c r="K173" s="7" t="n">
        <f aca="false">IF(I173="","",INDEX(Eingabe!$E$9:$E$18,I173))</f>
        <v>53</v>
      </c>
    </row>
    <row r="174" customFormat="false" ht="15" hidden="false" customHeight="false" outlineLevel="0" collapsed="false">
      <c r="A174" s="0" t="str">
        <f aca="false">IF(I174="","",IF(J174=0,"Sparte "&amp;I174&amp;": "&amp;INDEX(Eingabe!$B$9:$B$18,I174)&amp;"  (Sparten-ID "&amp;INDEX(Eingabe!$D$9:$D$18,I174)&amp;", "&amp;K174&amp;" Parzellen)",IF(J174&lt;=K174,"   Parzelle "&amp;J174,IF(J174=K174+1,"   Vorstand",IF(J174=K174+2,"   Gäste",IF(J174=K174+3,"   Technik (Switches, Access Points)",""))))))</f>
        <v>   Parzelle 20</v>
      </c>
      <c r="B174" s="0" t="n">
        <f aca="false">IF(I174="","",IF(AND(J174&gt;=1,J174&lt;=K174+3),IF(J174&lt;=K174,IF(J174&lt;=99,IF((INDEX(Eingabe!$G$9:$G$18,I174))&lt;=9,1000+(INDEX(Eingabe!$G$9:$G$18,I174))*100,3000)+J174,IF((INDEX(Eingabe!$G$9:$G$18,I174)+1)&lt;=9,1000+(INDEX(Eingabe!$G$9:$G$18,I174)+1)*100,3000)+J174-100),IF(J174=K174+1,2000+INDEX(Eingabe!$G$9:$G$18,I174)*10+1,IF(J174=K174+2,2000+INDEX(Eingabe!$G$9:$G$18,I174)*10+2,2000+INDEX(Eingabe!$G$9:$G$18,I174)*10+9))),""))</f>
        <v>1320</v>
      </c>
      <c r="C174" s="0" t="str">
        <f aca="false">IF(I174="","",IF(AND(J174&gt;=1,J174&lt;=K174+3),"10."&amp;INDEX(Eingabe!$D$9:$D$18,I174)&amp;"."&amp;IF(J174&lt;=K174,J174,IF(J174=K174+1,200,IF(J174=K174+2,201,250)))&amp;".0/24",""))</f>
        <v>10.3.20.0/24</v>
      </c>
      <c r="D174" s="0" t="str">
        <f aca="false">IF(I174="","",IF(AND(J174&gt;=1,J174&lt;=K174+3),"255.255.255.0",""))</f>
        <v>255.255.255.0</v>
      </c>
      <c r="E174" s="0" t="str">
        <f aca="false">IF(I174="","",IF(AND(J174&gt;=1,J174&lt;=K174+3),"10."&amp;INDEX(Eingabe!$D$9:$D$18,I174)&amp;"."&amp;IF(J174&lt;=K174,J174,IF(J174=K174+1,200,IF(J174=K174+2,201,250)))&amp;".1",""))</f>
        <v>10.3.20.1</v>
      </c>
      <c r="F174" s="0" t="str">
        <f aca="false">IF(I174="","",IF(AND(J174&gt;=1,J174&lt;=K174+3),"10."&amp;INDEX(Eingabe!$D$9:$D$18,I174)&amp;"."&amp;IF(J174&lt;=K174,J174,IF(J174=K174+1,200,IF(J174=K174+2,201,250)))&amp;".10 – 10."&amp;INDEX(Eingabe!$D$9:$D$18,I174)&amp;"."&amp;IF(J174&lt;=K174,J174,IF(J174=K174+1,200,IF(J174=K174+2,201,250)))&amp;".250",""))</f>
        <v>10.3.20.10 – 10.3.20.250</v>
      </c>
      <c r="G174" s="0" t="str">
        <f aca="false">IF(I174="","",IF(AND(J174&gt;=1,J174&lt;=K174),Eingabe!$B$6&amp;"-"&amp;INDEX(Eingabe!$C$9:$C$18,I174)&amp;"-Pächter  ·  Passwort Parzelle "&amp;J174,IF(J174=K174+1,Eingabe!$B$6&amp;"-"&amp;INDEX(Eingabe!$C$9:$C$18,I174)&amp;"-Vorstand  ·  eigenes WLAN",IF(J174=K174+2,Eingabe!$B$6&amp;"-"&amp;INDEX(Eingabe!$C$9:$C$18,I174)&amp;"-Gäste  ·  Voucher",IF(J174=K174+3,"Kabel  ·  Access Point y = .(50+y), Mast-Switch x = .(10+x)","")))))</f>
        <v>SparteNet.de-SW-Pächter  ·  Passwort Parzelle 20</v>
      </c>
      <c r="I174" s="7" t="n">
        <f aca="false">IF(169&lt;=(Eingabe!$P$18+Eingabe!$Q$18-1),MATCH(169,Eingabe!$P$9:$P$18,1),"")</f>
        <v>3</v>
      </c>
      <c r="J174" s="7" t="n">
        <f aca="false">IF(I174="","",169-INDEX(Eingabe!$P$9:$P$18,I174))</f>
        <v>20</v>
      </c>
      <c r="K174" s="7" t="n">
        <f aca="false">IF(I174="","",INDEX(Eingabe!$E$9:$E$18,I174))</f>
        <v>53</v>
      </c>
    </row>
    <row r="175" customFormat="false" ht="15" hidden="false" customHeight="false" outlineLevel="0" collapsed="false">
      <c r="A175" s="0" t="str">
        <f aca="false">IF(I175="","",IF(J175=0,"Sparte "&amp;I175&amp;": "&amp;INDEX(Eingabe!$B$9:$B$18,I175)&amp;"  (Sparten-ID "&amp;INDEX(Eingabe!$D$9:$D$18,I175)&amp;", "&amp;K175&amp;" Parzellen)",IF(J175&lt;=K175,"   Parzelle "&amp;J175,IF(J175=K175+1,"   Vorstand",IF(J175=K175+2,"   Gäste",IF(J175=K175+3,"   Technik (Switches, Access Points)",""))))))</f>
        <v>   Parzelle 21</v>
      </c>
      <c r="B175" s="0" t="n">
        <f aca="false">IF(I175="","",IF(AND(J175&gt;=1,J175&lt;=K175+3),IF(J175&lt;=K175,IF(J175&lt;=99,IF((INDEX(Eingabe!$G$9:$G$18,I175))&lt;=9,1000+(INDEX(Eingabe!$G$9:$G$18,I175))*100,3000)+J175,IF((INDEX(Eingabe!$G$9:$G$18,I175)+1)&lt;=9,1000+(INDEX(Eingabe!$G$9:$G$18,I175)+1)*100,3000)+J175-100),IF(J175=K175+1,2000+INDEX(Eingabe!$G$9:$G$18,I175)*10+1,IF(J175=K175+2,2000+INDEX(Eingabe!$G$9:$G$18,I175)*10+2,2000+INDEX(Eingabe!$G$9:$G$18,I175)*10+9))),""))</f>
        <v>1321</v>
      </c>
      <c r="C175" s="0" t="str">
        <f aca="false">IF(I175="","",IF(AND(J175&gt;=1,J175&lt;=K175+3),"10."&amp;INDEX(Eingabe!$D$9:$D$18,I175)&amp;"."&amp;IF(J175&lt;=K175,J175,IF(J175=K175+1,200,IF(J175=K175+2,201,250)))&amp;".0/24",""))</f>
        <v>10.3.21.0/24</v>
      </c>
      <c r="D175" s="0" t="str">
        <f aca="false">IF(I175="","",IF(AND(J175&gt;=1,J175&lt;=K175+3),"255.255.255.0",""))</f>
        <v>255.255.255.0</v>
      </c>
      <c r="E175" s="0" t="str">
        <f aca="false">IF(I175="","",IF(AND(J175&gt;=1,J175&lt;=K175+3),"10."&amp;INDEX(Eingabe!$D$9:$D$18,I175)&amp;"."&amp;IF(J175&lt;=K175,J175,IF(J175=K175+1,200,IF(J175=K175+2,201,250)))&amp;".1",""))</f>
        <v>10.3.21.1</v>
      </c>
      <c r="F175" s="0" t="str">
        <f aca="false">IF(I175="","",IF(AND(J175&gt;=1,J175&lt;=K175+3),"10."&amp;INDEX(Eingabe!$D$9:$D$18,I175)&amp;"."&amp;IF(J175&lt;=K175,J175,IF(J175=K175+1,200,IF(J175=K175+2,201,250)))&amp;".10 – 10."&amp;INDEX(Eingabe!$D$9:$D$18,I175)&amp;"."&amp;IF(J175&lt;=K175,J175,IF(J175=K175+1,200,IF(J175=K175+2,201,250)))&amp;".250",""))</f>
        <v>10.3.21.10 – 10.3.21.250</v>
      </c>
      <c r="G175" s="0" t="str">
        <f aca="false">IF(I175="","",IF(AND(J175&gt;=1,J175&lt;=K175),Eingabe!$B$6&amp;"-"&amp;INDEX(Eingabe!$C$9:$C$18,I175)&amp;"-Pächter  ·  Passwort Parzelle "&amp;J175,IF(J175=K175+1,Eingabe!$B$6&amp;"-"&amp;INDEX(Eingabe!$C$9:$C$18,I175)&amp;"-Vorstand  ·  eigenes WLAN",IF(J175=K175+2,Eingabe!$B$6&amp;"-"&amp;INDEX(Eingabe!$C$9:$C$18,I175)&amp;"-Gäste  ·  Voucher",IF(J175=K175+3,"Kabel  ·  Access Point y = .(50+y), Mast-Switch x = .(10+x)","")))))</f>
        <v>SparteNet.de-SW-Pächter  ·  Passwort Parzelle 21</v>
      </c>
      <c r="I175" s="7" t="n">
        <f aca="false">IF(170&lt;=(Eingabe!$P$18+Eingabe!$Q$18-1),MATCH(170,Eingabe!$P$9:$P$18,1),"")</f>
        <v>3</v>
      </c>
      <c r="J175" s="7" t="n">
        <f aca="false">IF(I175="","",170-INDEX(Eingabe!$P$9:$P$18,I175))</f>
        <v>21</v>
      </c>
      <c r="K175" s="7" t="n">
        <f aca="false">IF(I175="","",INDEX(Eingabe!$E$9:$E$18,I175))</f>
        <v>53</v>
      </c>
    </row>
    <row r="176" customFormat="false" ht="15" hidden="false" customHeight="false" outlineLevel="0" collapsed="false">
      <c r="A176" s="0" t="str">
        <f aca="false">IF(I176="","",IF(J176=0,"Sparte "&amp;I176&amp;": "&amp;INDEX(Eingabe!$B$9:$B$18,I176)&amp;"  (Sparten-ID "&amp;INDEX(Eingabe!$D$9:$D$18,I176)&amp;", "&amp;K176&amp;" Parzellen)",IF(J176&lt;=K176,"   Parzelle "&amp;J176,IF(J176=K176+1,"   Vorstand",IF(J176=K176+2,"   Gäste",IF(J176=K176+3,"   Technik (Switches, Access Points)",""))))))</f>
        <v>   Parzelle 22</v>
      </c>
      <c r="B176" s="0" t="n">
        <f aca="false">IF(I176="","",IF(AND(J176&gt;=1,J176&lt;=K176+3),IF(J176&lt;=K176,IF(J176&lt;=99,IF((INDEX(Eingabe!$G$9:$G$18,I176))&lt;=9,1000+(INDEX(Eingabe!$G$9:$G$18,I176))*100,3000)+J176,IF((INDEX(Eingabe!$G$9:$G$18,I176)+1)&lt;=9,1000+(INDEX(Eingabe!$G$9:$G$18,I176)+1)*100,3000)+J176-100),IF(J176=K176+1,2000+INDEX(Eingabe!$G$9:$G$18,I176)*10+1,IF(J176=K176+2,2000+INDEX(Eingabe!$G$9:$G$18,I176)*10+2,2000+INDEX(Eingabe!$G$9:$G$18,I176)*10+9))),""))</f>
        <v>1322</v>
      </c>
      <c r="C176" s="0" t="str">
        <f aca="false">IF(I176="","",IF(AND(J176&gt;=1,J176&lt;=K176+3),"10."&amp;INDEX(Eingabe!$D$9:$D$18,I176)&amp;"."&amp;IF(J176&lt;=K176,J176,IF(J176=K176+1,200,IF(J176=K176+2,201,250)))&amp;".0/24",""))</f>
        <v>10.3.22.0/24</v>
      </c>
      <c r="D176" s="0" t="str">
        <f aca="false">IF(I176="","",IF(AND(J176&gt;=1,J176&lt;=K176+3),"255.255.255.0",""))</f>
        <v>255.255.255.0</v>
      </c>
      <c r="E176" s="0" t="str">
        <f aca="false">IF(I176="","",IF(AND(J176&gt;=1,J176&lt;=K176+3),"10."&amp;INDEX(Eingabe!$D$9:$D$18,I176)&amp;"."&amp;IF(J176&lt;=K176,J176,IF(J176=K176+1,200,IF(J176=K176+2,201,250)))&amp;".1",""))</f>
        <v>10.3.22.1</v>
      </c>
      <c r="F176" s="0" t="str">
        <f aca="false">IF(I176="","",IF(AND(J176&gt;=1,J176&lt;=K176+3),"10."&amp;INDEX(Eingabe!$D$9:$D$18,I176)&amp;"."&amp;IF(J176&lt;=K176,J176,IF(J176=K176+1,200,IF(J176=K176+2,201,250)))&amp;".10 – 10."&amp;INDEX(Eingabe!$D$9:$D$18,I176)&amp;"."&amp;IF(J176&lt;=K176,J176,IF(J176=K176+1,200,IF(J176=K176+2,201,250)))&amp;".250",""))</f>
        <v>10.3.22.10 – 10.3.22.250</v>
      </c>
      <c r="G176" s="0" t="str">
        <f aca="false">IF(I176="","",IF(AND(J176&gt;=1,J176&lt;=K176),Eingabe!$B$6&amp;"-"&amp;INDEX(Eingabe!$C$9:$C$18,I176)&amp;"-Pächter  ·  Passwort Parzelle "&amp;J176,IF(J176=K176+1,Eingabe!$B$6&amp;"-"&amp;INDEX(Eingabe!$C$9:$C$18,I176)&amp;"-Vorstand  ·  eigenes WLAN",IF(J176=K176+2,Eingabe!$B$6&amp;"-"&amp;INDEX(Eingabe!$C$9:$C$18,I176)&amp;"-Gäste  ·  Voucher",IF(J176=K176+3,"Kabel  ·  Access Point y = .(50+y), Mast-Switch x = .(10+x)","")))))</f>
        <v>SparteNet.de-SW-Pächter  ·  Passwort Parzelle 22</v>
      </c>
      <c r="I176" s="7" t="n">
        <f aca="false">IF(171&lt;=(Eingabe!$P$18+Eingabe!$Q$18-1),MATCH(171,Eingabe!$P$9:$P$18,1),"")</f>
        <v>3</v>
      </c>
      <c r="J176" s="7" t="n">
        <f aca="false">IF(I176="","",171-INDEX(Eingabe!$P$9:$P$18,I176))</f>
        <v>22</v>
      </c>
      <c r="K176" s="7" t="n">
        <f aca="false">IF(I176="","",INDEX(Eingabe!$E$9:$E$18,I176))</f>
        <v>53</v>
      </c>
    </row>
    <row r="177" customFormat="false" ht="15" hidden="false" customHeight="false" outlineLevel="0" collapsed="false">
      <c r="A177" s="0" t="str">
        <f aca="false">IF(I177="","",IF(J177=0,"Sparte "&amp;I177&amp;": "&amp;INDEX(Eingabe!$B$9:$B$18,I177)&amp;"  (Sparten-ID "&amp;INDEX(Eingabe!$D$9:$D$18,I177)&amp;", "&amp;K177&amp;" Parzellen)",IF(J177&lt;=K177,"   Parzelle "&amp;J177,IF(J177=K177+1,"   Vorstand",IF(J177=K177+2,"   Gäste",IF(J177=K177+3,"   Technik (Switches, Access Points)",""))))))</f>
        <v>   Parzelle 23</v>
      </c>
      <c r="B177" s="0" t="n">
        <f aca="false">IF(I177="","",IF(AND(J177&gt;=1,J177&lt;=K177+3),IF(J177&lt;=K177,IF(J177&lt;=99,IF((INDEX(Eingabe!$G$9:$G$18,I177))&lt;=9,1000+(INDEX(Eingabe!$G$9:$G$18,I177))*100,3000)+J177,IF((INDEX(Eingabe!$G$9:$G$18,I177)+1)&lt;=9,1000+(INDEX(Eingabe!$G$9:$G$18,I177)+1)*100,3000)+J177-100),IF(J177=K177+1,2000+INDEX(Eingabe!$G$9:$G$18,I177)*10+1,IF(J177=K177+2,2000+INDEX(Eingabe!$G$9:$G$18,I177)*10+2,2000+INDEX(Eingabe!$G$9:$G$18,I177)*10+9))),""))</f>
        <v>1323</v>
      </c>
      <c r="C177" s="0" t="str">
        <f aca="false">IF(I177="","",IF(AND(J177&gt;=1,J177&lt;=K177+3),"10."&amp;INDEX(Eingabe!$D$9:$D$18,I177)&amp;"."&amp;IF(J177&lt;=K177,J177,IF(J177=K177+1,200,IF(J177=K177+2,201,250)))&amp;".0/24",""))</f>
        <v>10.3.23.0/24</v>
      </c>
      <c r="D177" s="0" t="str">
        <f aca="false">IF(I177="","",IF(AND(J177&gt;=1,J177&lt;=K177+3),"255.255.255.0",""))</f>
        <v>255.255.255.0</v>
      </c>
      <c r="E177" s="0" t="str">
        <f aca="false">IF(I177="","",IF(AND(J177&gt;=1,J177&lt;=K177+3),"10."&amp;INDEX(Eingabe!$D$9:$D$18,I177)&amp;"."&amp;IF(J177&lt;=K177,J177,IF(J177=K177+1,200,IF(J177=K177+2,201,250)))&amp;".1",""))</f>
        <v>10.3.23.1</v>
      </c>
      <c r="F177" s="0" t="str">
        <f aca="false">IF(I177="","",IF(AND(J177&gt;=1,J177&lt;=K177+3),"10."&amp;INDEX(Eingabe!$D$9:$D$18,I177)&amp;"."&amp;IF(J177&lt;=K177,J177,IF(J177=K177+1,200,IF(J177=K177+2,201,250)))&amp;".10 – 10."&amp;INDEX(Eingabe!$D$9:$D$18,I177)&amp;"."&amp;IF(J177&lt;=K177,J177,IF(J177=K177+1,200,IF(J177=K177+2,201,250)))&amp;".250",""))</f>
        <v>10.3.23.10 – 10.3.23.250</v>
      </c>
      <c r="G177" s="0" t="str">
        <f aca="false">IF(I177="","",IF(AND(J177&gt;=1,J177&lt;=K177),Eingabe!$B$6&amp;"-"&amp;INDEX(Eingabe!$C$9:$C$18,I177)&amp;"-Pächter  ·  Passwort Parzelle "&amp;J177,IF(J177=K177+1,Eingabe!$B$6&amp;"-"&amp;INDEX(Eingabe!$C$9:$C$18,I177)&amp;"-Vorstand  ·  eigenes WLAN",IF(J177=K177+2,Eingabe!$B$6&amp;"-"&amp;INDEX(Eingabe!$C$9:$C$18,I177)&amp;"-Gäste  ·  Voucher",IF(J177=K177+3,"Kabel  ·  Access Point y = .(50+y), Mast-Switch x = .(10+x)","")))))</f>
        <v>SparteNet.de-SW-Pächter  ·  Passwort Parzelle 23</v>
      </c>
      <c r="I177" s="7" t="n">
        <f aca="false">IF(172&lt;=(Eingabe!$P$18+Eingabe!$Q$18-1),MATCH(172,Eingabe!$P$9:$P$18,1),"")</f>
        <v>3</v>
      </c>
      <c r="J177" s="7" t="n">
        <f aca="false">IF(I177="","",172-INDEX(Eingabe!$P$9:$P$18,I177))</f>
        <v>23</v>
      </c>
      <c r="K177" s="7" t="n">
        <f aca="false">IF(I177="","",INDEX(Eingabe!$E$9:$E$18,I177))</f>
        <v>53</v>
      </c>
    </row>
    <row r="178" customFormat="false" ht="15" hidden="false" customHeight="false" outlineLevel="0" collapsed="false">
      <c r="A178" s="0" t="str">
        <f aca="false">IF(I178="","",IF(J178=0,"Sparte "&amp;I178&amp;": "&amp;INDEX(Eingabe!$B$9:$B$18,I178)&amp;"  (Sparten-ID "&amp;INDEX(Eingabe!$D$9:$D$18,I178)&amp;", "&amp;K178&amp;" Parzellen)",IF(J178&lt;=K178,"   Parzelle "&amp;J178,IF(J178=K178+1,"   Vorstand",IF(J178=K178+2,"   Gäste",IF(J178=K178+3,"   Technik (Switches, Access Points)",""))))))</f>
        <v>   Parzelle 24</v>
      </c>
      <c r="B178" s="0" t="n">
        <f aca="false">IF(I178="","",IF(AND(J178&gt;=1,J178&lt;=K178+3),IF(J178&lt;=K178,IF(J178&lt;=99,IF((INDEX(Eingabe!$G$9:$G$18,I178))&lt;=9,1000+(INDEX(Eingabe!$G$9:$G$18,I178))*100,3000)+J178,IF((INDEX(Eingabe!$G$9:$G$18,I178)+1)&lt;=9,1000+(INDEX(Eingabe!$G$9:$G$18,I178)+1)*100,3000)+J178-100),IF(J178=K178+1,2000+INDEX(Eingabe!$G$9:$G$18,I178)*10+1,IF(J178=K178+2,2000+INDEX(Eingabe!$G$9:$G$18,I178)*10+2,2000+INDEX(Eingabe!$G$9:$G$18,I178)*10+9))),""))</f>
        <v>1324</v>
      </c>
      <c r="C178" s="0" t="str">
        <f aca="false">IF(I178="","",IF(AND(J178&gt;=1,J178&lt;=K178+3),"10."&amp;INDEX(Eingabe!$D$9:$D$18,I178)&amp;"."&amp;IF(J178&lt;=K178,J178,IF(J178=K178+1,200,IF(J178=K178+2,201,250)))&amp;".0/24",""))</f>
        <v>10.3.24.0/24</v>
      </c>
      <c r="D178" s="0" t="str">
        <f aca="false">IF(I178="","",IF(AND(J178&gt;=1,J178&lt;=K178+3),"255.255.255.0",""))</f>
        <v>255.255.255.0</v>
      </c>
      <c r="E178" s="0" t="str">
        <f aca="false">IF(I178="","",IF(AND(J178&gt;=1,J178&lt;=K178+3),"10."&amp;INDEX(Eingabe!$D$9:$D$18,I178)&amp;"."&amp;IF(J178&lt;=K178,J178,IF(J178=K178+1,200,IF(J178=K178+2,201,250)))&amp;".1",""))</f>
        <v>10.3.24.1</v>
      </c>
      <c r="F178" s="0" t="str">
        <f aca="false">IF(I178="","",IF(AND(J178&gt;=1,J178&lt;=K178+3),"10."&amp;INDEX(Eingabe!$D$9:$D$18,I178)&amp;"."&amp;IF(J178&lt;=K178,J178,IF(J178=K178+1,200,IF(J178=K178+2,201,250)))&amp;".10 – 10."&amp;INDEX(Eingabe!$D$9:$D$18,I178)&amp;"."&amp;IF(J178&lt;=K178,J178,IF(J178=K178+1,200,IF(J178=K178+2,201,250)))&amp;".250",""))</f>
        <v>10.3.24.10 – 10.3.24.250</v>
      </c>
      <c r="G178" s="0" t="str">
        <f aca="false">IF(I178="","",IF(AND(J178&gt;=1,J178&lt;=K178),Eingabe!$B$6&amp;"-"&amp;INDEX(Eingabe!$C$9:$C$18,I178)&amp;"-Pächter  ·  Passwort Parzelle "&amp;J178,IF(J178=K178+1,Eingabe!$B$6&amp;"-"&amp;INDEX(Eingabe!$C$9:$C$18,I178)&amp;"-Vorstand  ·  eigenes WLAN",IF(J178=K178+2,Eingabe!$B$6&amp;"-"&amp;INDEX(Eingabe!$C$9:$C$18,I178)&amp;"-Gäste  ·  Voucher",IF(J178=K178+3,"Kabel  ·  Access Point y = .(50+y), Mast-Switch x = .(10+x)","")))))</f>
        <v>SparteNet.de-SW-Pächter  ·  Passwort Parzelle 24</v>
      </c>
      <c r="I178" s="7" t="n">
        <f aca="false">IF(173&lt;=(Eingabe!$P$18+Eingabe!$Q$18-1),MATCH(173,Eingabe!$P$9:$P$18,1),"")</f>
        <v>3</v>
      </c>
      <c r="J178" s="7" t="n">
        <f aca="false">IF(I178="","",173-INDEX(Eingabe!$P$9:$P$18,I178))</f>
        <v>24</v>
      </c>
      <c r="K178" s="7" t="n">
        <f aca="false">IF(I178="","",INDEX(Eingabe!$E$9:$E$18,I178))</f>
        <v>53</v>
      </c>
    </row>
    <row r="179" customFormat="false" ht="15" hidden="false" customHeight="false" outlineLevel="0" collapsed="false">
      <c r="A179" s="0" t="str">
        <f aca="false">IF(I179="","",IF(J179=0,"Sparte "&amp;I179&amp;": "&amp;INDEX(Eingabe!$B$9:$B$18,I179)&amp;"  (Sparten-ID "&amp;INDEX(Eingabe!$D$9:$D$18,I179)&amp;", "&amp;K179&amp;" Parzellen)",IF(J179&lt;=K179,"   Parzelle "&amp;J179,IF(J179=K179+1,"   Vorstand",IF(J179=K179+2,"   Gäste",IF(J179=K179+3,"   Technik (Switches, Access Points)",""))))))</f>
        <v>   Parzelle 25</v>
      </c>
      <c r="B179" s="0" t="n">
        <f aca="false">IF(I179="","",IF(AND(J179&gt;=1,J179&lt;=K179+3),IF(J179&lt;=K179,IF(J179&lt;=99,IF((INDEX(Eingabe!$G$9:$G$18,I179))&lt;=9,1000+(INDEX(Eingabe!$G$9:$G$18,I179))*100,3000)+J179,IF((INDEX(Eingabe!$G$9:$G$18,I179)+1)&lt;=9,1000+(INDEX(Eingabe!$G$9:$G$18,I179)+1)*100,3000)+J179-100),IF(J179=K179+1,2000+INDEX(Eingabe!$G$9:$G$18,I179)*10+1,IF(J179=K179+2,2000+INDEX(Eingabe!$G$9:$G$18,I179)*10+2,2000+INDEX(Eingabe!$G$9:$G$18,I179)*10+9))),""))</f>
        <v>1325</v>
      </c>
      <c r="C179" s="0" t="str">
        <f aca="false">IF(I179="","",IF(AND(J179&gt;=1,J179&lt;=K179+3),"10."&amp;INDEX(Eingabe!$D$9:$D$18,I179)&amp;"."&amp;IF(J179&lt;=K179,J179,IF(J179=K179+1,200,IF(J179=K179+2,201,250)))&amp;".0/24",""))</f>
        <v>10.3.25.0/24</v>
      </c>
      <c r="D179" s="0" t="str">
        <f aca="false">IF(I179="","",IF(AND(J179&gt;=1,J179&lt;=K179+3),"255.255.255.0",""))</f>
        <v>255.255.255.0</v>
      </c>
      <c r="E179" s="0" t="str">
        <f aca="false">IF(I179="","",IF(AND(J179&gt;=1,J179&lt;=K179+3),"10."&amp;INDEX(Eingabe!$D$9:$D$18,I179)&amp;"."&amp;IF(J179&lt;=K179,J179,IF(J179=K179+1,200,IF(J179=K179+2,201,250)))&amp;".1",""))</f>
        <v>10.3.25.1</v>
      </c>
      <c r="F179" s="0" t="str">
        <f aca="false">IF(I179="","",IF(AND(J179&gt;=1,J179&lt;=K179+3),"10."&amp;INDEX(Eingabe!$D$9:$D$18,I179)&amp;"."&amp;IF(J179&lt;=K179,J179,IF(J179=K179+1,200,IF(J179=K179+2,201,250)))&amp;".10 – 10."&amp;INDEX(Eingabe!$D$9:$D$18,I179)&amp;"."&amp;IF(J179&lt;=K179,J179,IF(J179=K179+1,200,IF(J179=K179+2,201,250)))&amp;".250",""))</f>
        <v>10.3.25.10 – 10.3.25.250</v>
      </c>
      <c r="G179" s="0" t="str">
        <f aca="false">IF(I179="","",IF(AND(J179&gt;=1,J179&lt;=K179),Eingabe!$B$6&amp;"-"&amp;INDEX(Eingabe!$C$9:$C$18,I179)&amp;"-Pächter  ·  Passwort Parzelle "&amp;J179,IF(J179=K179+1,Eingabe!$B$6&amp;"-"&amp;INDEX(Eingabe!$C$9:$C$18,I179)&amp;"-Vorstand  ·  eigenes WLAN",IF(J179=K179+2,Eingabe!$B$6&amp;"-"&amp;INDEX(Eingabe!$C$9:$C$18,I179)&amp;"-Gäste  ·  Voucher",IF(J179=K179+3,"Kabel  ·  Access Point y = .(50+y), Mast-Switch x = .(10+x)","")))))</f>
        <v>SparteNet.de-SW-Pächter  ·  Passwort Parzelle 25</v>
      </c>
      <c r="I179" s="7" t="n">
        <f aca="false">IF(174&lt;=(Eingabe!$P$18+Eingabe!$Q$18-1),MATCH(174,Eingabe!$P$9:$P$18,1),"")</f>
        <v>3</v>
      </c>
      <c r="J179" s="7" t="n">
        <f aca="false">IF(I179="","",174-INDEX(Eingabe!$P$9:$P$18,I179))</f>
        <v>25</v>
      </c>
      <c r="K179" s="7" t="n">
        <f aca="false">IF(I179="","",INDEX(Eingabe!$E$9:$E$18,I179))</f>
        <v>53</v>
      </c>
    </row>
    <row r="180" customFormat="false" ht="15" hidden="false" customHeight="false" outlineLevel="0" collapsed="false">
      <c r="A180" s="0" t="str">
        <f aca="false">IF(I180="","",IF(J180=0,"Sparte "&amp;I180&amp;": "&amp;INDEX(Eingabe!$B$9:$B$18,I180)&amp;"  (Sparten-ID "&amp;INDEX(Eingabe!$D$9:$D$18,I180)&amp;", "&amp;K180&amp;" Parzellen)",IF(J180&lt;=K180,"   Parzelle "&amp;J180,IF(J180=K180+1,"   Vorstand",IF(J180=K180+2,"   Gäste",IF(J180=K180+3,"   Technik (Switches, Access Points)",""))))))</f>
        <v>   Parzelle 26</v>
      </c>
      <c r="B180" s="0" t="n">
        <f aca="false">IF(I180="","",IF(AND(J180&gt;=1,J180&lt;=K180+3),IF(J180&lt;=K180,IF(J180&lt;=99,IF((INDEX(Eingabe!$G$9:$G$18,I180))&lt;=9,1000+(INDEX(Eingabe!$G$9:$G$18,I180))*100,3000)+J180,IF((INDEX(Eingabe!$G$9:$G$18,I180)+1)&lt;=9,1000+(INDEX(Eingabe!$G$9:$G$18,I180)+1)*100,3000)+J180-100),IF(J180=K180+1,2000+INDEX(Eingabe!$G$9:$G$18,I180)*10+1,IF(J180=K180+2,2000+INDEX(Eingabe!$G$9:$G$18,I180)*10+2,2000+INDEX(Eingabe!$G$9:$G$18,I180)*10+9))),""))</f>
        <v>1326</v>
      </c>
      <c r="C180" s="0" t="str">
        <f aca="false">IF(I180="","",IF(AND(J180&gt;=1,J180&lt;=K180+3),"10."&amp;INDEX(Eingabe!$D$9:$D$18,I180)&amp;"."&amp;IF(J180&lt;=K180,J180,IF(J180=K180+1,200,IF(J180=K180+2,201,250)))&amp;".0/24",""))</f>
        <v>10.3.26.0/24</v>
      </c>
      <c r="D180" s="0" t="str">
        <f aca="false">IF(I180="","",IF(AND(J180&gt;=1,J180&lt;=K180+3),"255.255.255.0",""))</f>
        <v>255.255.255.0</v>
      </c>
      <c r="E180" s="0" t="str">
        <f aca="false">IF(I180="","",IF(AND(J180&gt;=1,J180&lt;=K180+3),"10."&amp;INDEX(Eingabe!$D$9:$D$18,I180)&amp;"."&amp;IF(J180&lt;=K180,J180,IF(J180=K180+1,200,IF(J180=K180+2,201,250)))&amp;".1",""))</f>
        <v>10.3.26.1</v>
      </c>
      <c r="F180" s="0" t="str">
        <f aca="false">IF(I180="","",IF(AND(J180&gt;=1,J180&lt;=K180+3),"10."&amp;INDEX(Eingabe!$D$9:$D$18,I180)&amp;"."&amp;IF(J180&lt;=K180,J180,IF(J180=K180+1,200,IF(J180=K180+2,201,250)))&amp;".10 – 10."&amp;INDEX(Eingabe!$D$9:$D$18,I180)&amp;"."&amp;IF(J180&lt;=K180,J180,IF(J180=K180+1,200,IF(J180=K180+2,201,250)))&amp;".250",""))</f>
        <v>10.3.26.10 – 10.3.26.250</v>
      </c>
      <c r="G180" s="0" t="str">
        <f aca="false">IF(I180="","",IF(AND(J180&gt;=1,J180&lt;=K180),Eingabe!$B$6&amp;"-"&amp;INDEX(Eingabe!$C$9:$C$18,I180)&amp;"-Pächter  ·  Passwort Parzelle "&amp;J180,IF(J180=K180+1,Eingabe!$B$6&amp;"-"&amp;INDEX(Eingabe!$C$9:$C$18,I180)&amp;"-Vorstand  ·  eigenes WLAN",IF(J180=K180+2,Eingabe!$B$6&amp;"-"&amp;INDEX(Eingabe!$C$9:$C$18,I180)&amp;"-Gäste  ·  Voucher",IF(J180=K180+3,"Kabel  ·  Access Point y = .(50+y), Mast-Switch x = .(10+x)","")))))</f>
        <v>SparteNet.de-SW-Pächter  ·  Passwort Parzelle 26</v>
      </c>
      <c r="I180" s="7" t="n">
        <f aca="false">IF(175&lt;=(Eingabe!$P$18+Eingabe!$Q$18-1),MATCH(175,Eingabe!$P$9:$P$18,1),"")</f>
        <v>3</v>
      </c>
      <c r="J180" s="7" t="n">
        <f aca="false">IF(I180="","",175-INDEX(Eingabe!$P$9:$P$18,I180))</f>
        <v>26</v>
      </c>
      <c r="K180" s="7" t="n">
        <f aca="false">IF(I180="","",INDEX(Eingabe!$E$9:$E$18,I180))</f>
        <v>53</v>
      </c>
    </row>
    <row r="181" customFormat="false" ht="15" hidden="false" customHeight="false" outlineLevel="0" collapsed="false">
      <c r="A181" s="0" t="str">
        <f aca="false">IF(I181="","",IF(J181=0,"Sparte "&amp;I181&amp;": "&amp;INDEX(Eingabe!$B$9:$B$18,I181)&amp;"  (Sparten-ID "&amp;INDEX(Eingabe!$D$9:$D$18,I181)&amp;", "&amp;K181&amp;" Parzellen)",IF(J181&lt;=K181,"   Parzelle "&amp;J181,IF(J181=K181+1,"   Vorstand",IF(J181=K181+2,"   Gäste",IF(J181=K181+3,"   Technik (Switches, Access Points)",""))))))</f>
        <v>   Parzelle 27</v>
      </c>
      <c r="B181" s="0" t="n">
        <f aca="false">IF(I181="","",IF(AND(J181&gt;=1,J181&lt;=K181+3),IF(J181&lt;=K181,IF(J181&lt;=99,IF((INDEX(Eingabe!$G$9:$G$18,I181))&lt;=9,1000+(INDEX(Eingabe!$G$9:$G$18,I181))*100,3000)+J181,IF((INDEX(Eingabe!$G$9:$G$18,I181)+1)&lt;=9,1000+(INDEX(Eingabe!$G$9:$G$18,I181)+1)*100,3000)+J181-100),IF(J181=K181+1,2000+INDEX(Eingabe!$G$9:$G$18,I181)*10+1,IF(J181=K181+2,2000+INDEX(Eingabe!$G$9:$G$18,I181)*10+2,2000+INDEX(Eingabe!$G$9:$G$18,I181)*10+9))),""))</f>
        <v>1327</v>
      </c>
      <c r="C181" s="0" t="str">
        <f aca="false">IF(I181="","",IF(AND(J181&gt;=1,J181&lt;=K181+3),"10."&amp;INDEX(Eingabe!$D$9:$D$18,I181)&amp;"."&amp;IF(J181&lt;=K181,J181,IF(J181=K181+1,200,IF(J181=K181+2,201,250)))&amp;".0/24",""))</f>
        <v>10.3.27.0/24</v>
      </c>
      <c r="D181" s="0" t="str">
        <f aca="false">IF(I181="","",IF(AND(J181&gt;=1,J181&lt;=K181+3),"255.255.255.0",""))</f>
        <v>255.255.255.0</v>
      </c>
      <c r="E181" s="0" t="str">
        <f aca="false">IF(I181="","",IF(AND(J181&gt;=1,J181&lt;=K181+3),"10."&amp;INDEX(Eingabe!$D$9:$D$18,I181)&amp;"."&amp;IF(J181&lt;=K181,J181,IF(J181=K181+1,200,IF(J181=K181+2,201,250)))&amp;".1",""))</f>
        <v>10.3.27.1</v>
      </c>
      <c r="F181" s="0" t="str">
        <f aca="false">IF(I181="","",IF(AND(J181&gt;=1,J181&lt;=K181+3),"10."&amp;INDEX(Eingabe!$D$9:$D$18,I181)&amp;"."&amp;IF(J181&lt;=K181,J181,IF(J181=K181+1,200,IF(J181=K181+2,201,250)))&amp;".10 – 10."&amp;INDEX(Eingabe!$D$9:$D$18,I181)&amp;"."&amp;IF(J181&lt;=K181,J181,IF(J181=K181+1,200,IF(J181=K181+2,201,250)))&amp;".250",""))</f>
        <v>10.3.27.10 – 10.3.27.250</v>
      </c>
      <c r="G181" s="0" t="str">
        <f aca="false">IF(I181="","",IF(AND(J181&gt;=1,J181&lt;=K181),Eingabe!$B$6&amp;"-"&amp;INDEX(Eingabe!$C$9:$C$18,I181)&amp;"-Pächter  ·  Passwort Parzelle "&amp;J181,IF(J181=K181+1,Eingabe!$B$6&amp;"-"&amp;INDEX(Eingabe!$C$9:$C$18,I181)&amp;"-Vorstand  ·  eigenes WLAN",IF(J181=K181+2,Eingabe!$B$6&amp;"-"&amp;INDEX(Eingabe!$C$9:$C$18,I181)&amp;"-Gäste  ·  Voucher",IF(J181=K181+3,"Kabel  ·  Access Point y = .(50+y), Mast-Switch x = .(10+x)","")))))</f>
        <v>SparteNet.de-SW-Pächter  ·  Passwort Parzelle 27</v>
      </c>
      <c r="I181" s="7" t="n">
        <f aca="false">IF(176&lt;=(Eingabe!$P$18+Eingabe!$Q$18-1),MATCH(176,Eingabe!$P$9:$P$18,1),"")</f>
        <v>3</v>
      </c>
      <c r="J181" s="7" t="n">
        <f aca="false">IF(I181="","",176-INDEX(Eingabe!$P$9:$P$18,I181))</f>
        <v>27</v>
      </c>
      <c r="K181" s="7" t="n">
        <f aca="false">IF(I181="","",INDEX(Eingabe!$E$9:$E$18,I181))</f>
        <v>53</v>
      </c>
    </row>
    <row r="182" customFormat="false" ht="15" hidden="false" customHeight="false" outlineLevel="0" collapsed="false">
      <c r="A182" s="0" t="str">
        <f aca="false">IF(I182="","",IF(J182=0,"Sparte "&amp;I182&amp;": "&amp;INDEX(Eingabe!$B$9:$B$18,I182)&amp;"  (Sparten-ID "&amp;INDEX(Eingabe!$D$9:$D$18,I182)&amp;", "&amp;K182&amp;" Parzellen)",IF(J182&lt;=K182,"   Parzelle "&amp;J182,IF(J182=K182+1,"   Vorstand",IF(J182=K182+2,"   Gäste",IF(J182=K182+3,"   Technik (Switches, Access Points)",""))))))</f>
        <v>   Parzelle 28</v>
      </c>
      <c r="B182" s="0" t="n">
        <f aca="false">IF(I182="","",IF(AND(J182&gt;=1,J182&lt;=K182+3),IF(J182&lt;=K182,IF(J182&lt;=99,IF((INDEX(Eingabe!$G$9:$G$18,I182))&lt;=9,1000+(INDEX(Eingabe!$G$9:$G$18,I182))*100,3000)+J182,IF((INDEX(Eingabe!$G$9:$G$18,I182)+1)&lt;=9,1000+(INDEX(Eingabe!$G$9:$G$18,I182)+1)*100,3000)+J182-100),IF(J182=K182+1,2000+INDEX(Eingabe!$G$9:$G$18,I182)*10+1,IF(J182=K182+2,2000+INDEX(Eingabe!$G$9:$G$18,I182)*10+2,2000+INDEX(Eingabe!$G$9:$G$18,I182)*10+9))),""))</f>
        <v>1328</v>
      </c>
      <c r="C182" s="0" t="str">
        <f aca="false">IF(I182="","",IF(AND(J182&gt;=1,J182&lt;=K182+3),"10."&amp;INDEX(Eingabe!$D$9:$D$18,I182)&amp;"."&amp;IF(J182&lt;=K182,J182,IF(J182=K182+1,200,IF(J182=K182+2,201,250)))&amp;".0/24",""))</f>
        <v>10.3.28.0/24</v>
      </c>
      <c r="D182" s="0" t="str">
        <f aca="false">IF(I182="","",IF(AND(J182&gt;=1,J182&lt;=K182+3),"255.255.255.0",""))</f>
        <v>255.255.255.0</v>
      </c>
      <c r="E182" s="0" t="str">
        <f aca="false">IF(I182="","",IF(AND(J182&gt;=1,J182&lt;=K182+3),"10."&amp;INDEX(Eingabe!$D$9:$D$18,I182)&amp;"."&amp;IF(J182&lt;=K182,J182,IF(J182=K182+1,200,IF(J182=K182+2,201,250)))&amp;".1",""))</f>
        <v>10.3.28.1</v>
      </c>
      <c r="F182" s="0" t="str">
        <f aca="false">IF(I182="","",IF(AND(J182&gt;=1,J182&lt;=K182+3),"10."&amp;INDEX(Eingabe!$D$9:$D$18,I182)&amp;"."&amp;IF(J182&lt;=K182,J182,IF(J182=K182+1,200,IF(J182=K182+2,201,250)))&amp;".10 – 10."&amp;INDEX(Eingabe!$D$9:$D$18,I182)&amp;"."&amp;IF(J182&lt;=K182,J182,IF(J182=K182+1,200,IF(J182=K182+2,201,250)))&amp;".250",""))</f>
        <v>10.3.28.10 – 10.3.28.250</v>
      </c>
      <c r="G182" s="0" t="str">
        <f aca="false">IF(I182="","",IF(AND(J182&gt;=1,J182&lt;=K182),Eingabe!$B$6&amp;"-"&amp;INDEX(Eingabe!$C$9:$C$18,I182)&amp;"-Pächter  ·  Passwort Parzelle "&amp;J182,IF(J182=K182+1,Eingabe!$B$6&amp;"-"&amp;INDEX(Eingabe!$C$9:$C$18,I182)&amp;"-Vorstand  ·  eigenes WLAN",IF(J182=K182+2,Eingabe!$B$6&amp;"-"&amp;INDEX(Eingabe!$C$9:$C$18,I182)&amp;"-Gäste  ·  Voucher",IF(J182=K182+3,"Kabel  ·  Access Point y = .(50+y), Mast-Switch x = .(10+x)","")))))</f>
        <v>SparteNet.de-SW-Pächter  ·  Passwort Parzelle 28</v>
      </c>
      <c r="I182" s="7" t="n">
        <f aca="false">IF(177&lt;=(Eingabe!$P$18+Eingabe!$Q$18-1),MATCH(177,Eingabe!$P$9:$P$18,1),"")</f>
        <v>3</v>
      </c>
      <c r="J182" s="7" t="n">
        <f aca="false">IF(I182="","",177-INDEX(Eingabe!$P$9:$P$18,I182))</f>
        <v>28</v>
      </c>
      <c r="K182" s="7" t="n">
        <f aca="false">IF(I182="","",INDEX(Eingabe!$E$9:$E$18,I182))</f>
        <v>53</v>
      </c>
    </row>
    <row r="183" customFormat="false" ht="15" hidden="false" customHeight="false" outlineLevel="0" collapsed="false">
      <c r="A183" s="0" t="str">
        <f aca="false">IF(I183="","",IF(J183=0,"Sparte "&amp;I183&amp;": "&amp;INDEX(Eingabe!$B$9:$B$18,I183)&amp;"  (Sparten-ID "&amp;INDEX(Eingabe!$D$9:$D$18,I183)&amp;", "&amp;K183&amp;" Parzellen)",IF(J183&lt;=K183,"   Parzelle "&amp;J183,IF(J183=K183+1,"   Vorstand",IF(J183=K183+2,"   Gäste",IF(J183=K183+3,"   Technik (Switches, Access Points)",""))))))</f>
        <v>   Parzelle 29</v>
      </c>
      <c r="B183" s="0" t="n">
        <f aca="false">IF(I183="","",IF(AND(J183&gt;=1,J183&lt;=K183+3),IF(J183&lt;=K183,IF(J183&lt;=99,IF((INDEX(Eingabe!$G$9:$G$18,I183))&lt;=9,1000+(INDEX(Eingabe!$G$9:$G$18,I183))*100,3000)+J183,IF((INDEX(Eingabe!$G$9:$G$18,I183)+1)&lt;=9,1000+(INDEX(Eingabe!$G$9:$G$18,I183)+1)*100,3000)+J183-100),IF(J183=K183+1,2000+INDEX(Eingabe!$G$9:$G$18,I183)*10+1,IF(J183=K183+2,2000+INDEX(Eingabe!$G$9:$G$18,I183)*10+2,2000+INDEX(Eingabe!$G$9:$G$18,I183)*10+9))),""))</f>
        <v>1329</v>
      </c>
      <c r="C183" s="0" t="str">
        <f aca="false">IF(I183="","",IF(AND(J183&gt;=1,J183&lt;=K183+3),"10."&amp;INDEX(Eingabe!$D$9:$D$18,I183)&amp;"."&amp;IF(J183&lt;=K183,J183,IF(J183=K183+1,200,IF(J183=K183+2,201,250)))&amp;".0/24",""))</f>
        <v>10.3.29.0/24</v>
      </c>
      <c r="D183" s="0" t="str">
        <f aca="false">IF(I183="","",IF(AND(J183&gt;=1,J183&lt;=K183+3),"255.255.255.0",""))</f>
        <v>255.255.255.0</v>
      </c>
      <c r="E183" s="0" t="str">
        <f aca="false">IF(I183="","",IF(AND(J183&gt;=1,J183&lt;=K183+3),"10."&amp;INDEX(Eingabe!$D$9:$D$18,I183)&amp;"."&amp;IF(J183&lt;=K183,J183,IF(J183=K183+1,200,IF(J183=K183+2,201,250)))&amp;".1",""))</f>
        <v>10.3.29.1</v>
      </c>
      <c r="F183" s="0" t="str">
        <f aca="false">IF(I183="","",IF(AND(J183&gt;=1,J183&lt;=K183+3),"10."&amp;INDEX(Eingabe!$D$9:$D$18,I183)&amp;"."&amp;IF(J183&lt;=K183,J183,IF(J183=K183+1,200,IF(J183=K183+2,201,250)))&amp;".10 – 10."&amp;INDEX(Eingabe!$D$9:$D$18,I183)&amp;"."&amp;IF(J183&lt;=K183,J183,IF(J183=K183+1,200,IF(J183=K183+2,201,250)))&amp;".250",""))</f>
        <v>10.3.29.10 – 10.3.29.250</v>
      </c>
      <c r="G183" s="0" t="str">
        <f aca="false">IF(I183="","",IF(AND(J183&gt;=1,J183&lt;=K183),Eingabe!$B$6&amp;"-"&amp;INDEX(Eingabe!$C$9:$C$18,I183)&amp;"-Pächter  ·  Passwort Parzelle "&amp;J183,IF(J183=K183+1,Eingabe!$B$6&amp;"-"&amp;INDEX(Eingabe!$C$9:$C$18,I183)&amp;"-Vorstand  ·  eigenes WLAN",IF(J183=K183+2,Eingabe!$B$6&amp;"-"&amp;INDEX(Eingabe!$C$9:$C$18,I183)&amp;"-Gäste  ·  Voucher",IF(J183=K183+3,"Kabel  ·  Access Point y = .(50+y), Mast-Switch x = .(10+x)","")))))</f>
        <v>SparteNet.de-SW-Pächter  ·  Passwort Parzelle 29</v>
      </c>
      <c r="I183" s="7" t="n">
        <f aca="false">IF(178&lt;=(Eingabe!$P$18+Eingabe!$Q$18-1),MATCH(178,Eingabe!$P$9:$P$18,1),"")</f>
        <v>3</v>
      </c>
      <c r="J183" s="7" t="n">
        <f aca="false">IF(I183="","",178-INDEX(Eingabe!$P$9:$P$18,I183))</f>
        <v>29</v>
      </c>
      <c r="K183" s="7" t="n">
        <f aca="false">IF(I183="","",INDEX(Eingabe!$E$9:$E$18,I183))</f>
        <v>53</v>
      </c>
    </row>
    <row r="184" customFormat="false" ht="15" hidden="false" customHeight="false" outlineLevel="0" collapsed="false">
      <c r="A184" s="0" t="str">
        <f aca="false">IF(I184="","",IF(J184=0,"Sparte "&amp;I184&amp;": "&amp;INDEX(Eingabe!$B$9:$B$18,I184)&amp;"  (Sparten-ID "&amp;INDEX(Eingabe!$D$9:$D$18,I184)&amp;", "&amp;K184&amp;" Parzellen)",IF(J184&lt;=K184,"   Parzelle "&amp;J184,IF(J184=K184+1,"   Vorstand",IF(J184=K184+2,"   Gäste",IF(J184=K184+3,"   Technik (Switches, Access Points)",""))))))</f>
        <v>   Parzelle 30</v>
      </c>
      <c r="B184" s="0" t="n">
        <f aca="false">IF(I184="","",IF(AND(J184&gt;=1,J184&lt;=K184+3),IF(J184&lt;=K184,IF(J184&lt;=99,IF((INDEX(Eingabe!$G$9:$G$18,I184))&lt;=9,1000+(INDEX(Eingabe!$G$9:$G$18,I184))*100,3000)+J184,IF((INDEX(Eingabe!$G$9:$G$18,I184)+1)&lt;=9,1000+(INDEX(Eingabe!$G$9:$G$18,I184)+1)*100,3000)+J184-100),IF(J184=K184+1,2000+INDEX(Eingabe!$G$9:$G$18,I184)*10+1,IF(J184=K184+2,2000+INDEX(Eingabe!$G$9:$G$18,I184)*10+2,2000+INDEX(Eingabe!$G$9:$G$18,I184)*10+9))),""))</f>
        <v>1330</v>
      </c>
      <c r="C184" s="0" t="str">
        <f aca="false">IF(I184="","",IF(AND(J184&gt;=1,J184&lt;=K184+3),"10."&amp;INDEX(Eingabe!$D$9:$D$18,I184)&amp;"."&amp;IF(J184&lt;=K184,J184,IF(J184=K184+1,200,IF(J184=K184+2,201,250)))&amp;".0/24",""))</f>
        <v>10.3.30.0/24</v>
      </c>
      <c r="D184" s="0" t="str">
        <f aca="false">IF(I184="","",IF(AND(J184&gt;=1,J184&lt;=K184+3),"255.255.255.0",""))</f>
        <v>255.255.255.0</v>
      </c>
      <c r="E184" s="0" t="str">
        <f aca="false">IF(I184="","",IF(AND(J184&gt;=1,J184&lt;=K184+3),"10."&amp;INDEX(Eingabe!$D$9:$D$18,I184)&amp;"."&amp;IF(J184&lt;=K184,J184,IF(J184=K184+1,200,IF(J184=K184+2,201,250)))&amp;".1",""))</f>
        <v>10.3.30.1</v>
      </c>
      <c r="F184" s="0" t="str">
        <f aca="false">IF(I184="","",IF(AND(J184&gt;=1,J184&lt;=K184+3),"10."&amp;INDEX(Eingabe!$D$9:$D$18,I184)&amp;"."&amp;IF(J184&lt;=K184,J184,IF(J184=K184+1,200,IF(J184=K184+2,201,250)))&amp;".10 – 10."&amp;INDEX(Eingabe!$D$9:$D$18,I184)&amp;"."&amp;IF(J184&lt;=K184,J184,IF(J184=K184+1,200,IF(J184=K184+2,201,250)))&amp;".250",""))</f>
        <v>10.3.30.10 – 10.3.30.250</v>
      </c>
      <c r="G184" s="0" t="str">
        <f aca="false">IF(I184="","",IF(AND(J184&gt;=1,J184&lt;=K184),Eingabe!$B$6&amp;"-"&amp;INDEX(Eingabe!$C$9:$C$18,I184)&amp;"-Pächter  ·  Passwort Parzelle "&amp;J184,IF(J184=K184+1,Eingabe!$B$6&amp;"-"&amp;INDEX(Eingabe!$C$9:$C$18,I184)&amp;"-Vorstand  ·  eigenes WLAN",IF(J184=K184+2,Eingabe!$B$6&amp;"-"&amp;INDEX(Eingabe!$C$9:$C$18,I184)&amp;"-Gäste  ·  Voucher",IF(J184=K184+3,"Kabel  ·  Access Point y = .(50+y), Mast-Switch x = .(10+x)","")))))</f>
        <v>SparteNet.de-SW-Pächter  ·  Passwort Parzelle 30</v>
      </c>
      <c r="I184" s="7" t="n">
        <f aca="false">IF(179&lt;=(Eingabe!$P$18+Eingabe!$Q$18-1),MATCH(179,Eingabe!$P$9:$P$18,1),"")</f>
        <v>3</v>
      </c>
      <c r="J184" s="7" t="n">
        <f aca="false">IF(I184="","",179-INDEX(Eingabe!$P$9:$P$18,I184))</f>
        <v>30</v>
      </c>
      <c r="K184" s="7" t="n">
        <f aca="false">IF(I184="","",INDEX(Eingabe!$E$9:$E$18,I184))</f>
        <v>53</v>
      </c>
    </row>
    <row r="185" customFormat="false" ht="15" hidden="false" customHeight="false" outlineLevel="0" collapsed="false">
      <c r="A185" s="0" t="str">
        <f aca="false">IF(I185="","",IF(J185=0,"Sparte "&amp;I185&amp;": "&amp;INDEX(Eingabe!$B$9:$B$18,I185)&amp;"  (Sparten-ID "&amp;INDEX(Eingabe!$D$9:$D$18,I185)&amp;", "&amp;K185&amp;" Parzellen)",IF(J185&lt;=K185,"   Parzelle "&amp;J185,IF(J185=K185+1,"   Vorstand",IF(J185=K185+2,"   Gäste",IF(J185=K185+3,"   Technik (Switches, Access Points)",""))))))</f>
        <v>   Parzelle 31</v>
      </c>
      <c r="B185" s="0" t="n">
        <f aca="false">IF(I185="","",IF(AND(J185&gt;=1,J185&lt;=K185+3),IF(J185&lt;=K185,IF(J185&lt;=99,IF((INDEX(Eingabe!$G$9:$G$18,I185))&lt;=9,1000+(INDEX(Eingabe!$G$9:$G$18,I185))*100,3000)+J185,IF((INDEX(Eingabe!$G$9:$G$18,I185)+1)&lt;=9,1000+(INDEX(Eingabe!$G$9:$G$18,I185)+1)*100,3000)+J185-100),IF(J185=K185+1,2000+INDEX(Eingabe!$G$9:$G$18,I185)*10+1,IF(J185=K185+2,2000+INDEX(Eingabe!$G$9:$G$18,I185)*10+2,2000+INDEX(Eingabe!$G$9:$G$18,I185)*10+9))),""))</f>
        <v>1331</v>
      </c>
      <c r="C185" s="0" t="str">
        <f aca="false">IF(I185="","",IF(AND(J185&gt;=1,J185&lt;=K185+3),"10."&amp;INDEX(Eingabe!$D$9:$D$18,I185)&amp;"."&amp;IF(J185&lt;=K185,J185,IF(J185=K185+1,200,IF(J185=K185+2,201,250)))&amp;".0/24",""))</f>
        <v>10.3.31.0/24</v>
      </c>
      <c r="D185" s="0" t="str">
        <f aca="false">IF(I185="","",IF(AND(J185&gt;=1,J185&lt;=K185+3),"255.255.255.0",""))</f>
        <v>255.255.255.0</v>
      </c>
      <c r="E185" s="0" t="str">
        <f aca="false">IF(I185="","",IF(AND(J185&gt;=1,J185&lt;=K185+3),"10."&amp;INDEX(Eingabe!$D$9:$D$18,I185)&amp;"."&amp;IF(J185&lt;=K185,J185,IF(J185=K185+1,200,IF(J185=K185+2,201,250)))&amp;".1",""))</f>
        <v>10.3.31.1</v>
      </c>
      <c r="F185" s="0" t="str">
        <f aca="false">IF(I185="","",IF(AND(J185&gt;=1,J185&lt;=K185+3),"10."&amp;INDEX(Eingabe!$D$9:$D$18,I185)&amp;"."&amp;IF(J185&lt;=K185,J185,IF(J185=K185+1,200,IF(J185=K185+2,201,250)))&amp;".10 – 10."&amp;INDEX(Eingabe!$D$9:$D$18,I185)&amp;"."&amp;IF(J185&lt;=K185,J185,IF(J185=K185+1,200,IF(J185=K185+2,201,250)))&amp;".250",""))</f>
        <v>10.3.31.10 – 10.3.31.250</v>
      </c>
      <c r="G185" s="0" t="str">
        <f aca="false">IF(I185="","",IF(AND(J185&gt;=1,J185&lt;=K185),Eingabe!$B$6&amp;"-"&amp;INDEX(Eingabe!$C$9:$C$18,I185)&amp;"-Pächter  ·  Passwort Parzelle "&amp;J185,IF(J185=K185+1,Eingabe!$B$6&amp;"-"&amp;INDEX(Eingabe!$C$9:$C$18,I185)&amp;"-Vorstand  ·  eigenes WLAN",IF(J185=K185+2,Eingabe!$B$6&amp;"-"&amp;INDEX(Eingabe!$C$9:$C$18,I185)&amp;"-Gäste  ·  Voucher",IF(J185=K185+3,"Kabel  ·  Access Point y = .(50+y), Mast-Switch x = .(10+x)","")))))</f>
        <v>SparteNet.de-SW-Pächter  ·  Passwort Parzelle 31</v>
      </c>
      <c r="I185" s="7" t="n">
        <f aca="false">IF(180&lt;=(Eingabe!$P$18+Eingabe!$Q$18-1),MATCH(180,Eingabe!$P$9:$P$18,1),"")</f>
        <v>3</v>
      </c>
      <c r="J185" s="7" t="n">
        <f aca="false">IF(I185="","",180-INDEX(Eingabe!$P$9:$P$18,I185))</f>
        <v>31</v>
      </c>
      <c r="K185" s="7" t="n">
        <f aca="false">IF(I185="","",INDEX(Eingabe!$E$9:$E$18,I185))</f>
        <v>53</v>
      </c>
    </row>
    <row r="186" customFormat="false" ht="15" hidden="false" customHeight="false" outlineLevel="0" collapsed="false">
      <c r="A186" s="0" t="str">
        <f aca="false">IF(I186="","",IF(J186=0,"Sparte "&amp;I186&amp;": "&amp;INDEX(Eingabe!$B$9:$B$18,I186)&amp;"  (Sparten-ID "&amp;INDEX(Eingabe!$D$9:$D$18,I186)&amp;", "&amp;K186&amp;" Parzellen)",IF(J186&lt;=K186,"   Parzelle "&amp;J186,IF(J186=K186+1,"   Vorstand",IF(J186=K186+2,"   Gäste",IF(J186=K186+3,"   Technik (Switches, Access Points)",""))))))</f>
        <v>   Parzelle 32</v>
      </c>
      <c r="B186" s="0" t="n">
        <f aca="false">IF(I186="","",IF(AND(J186&gt;=1,J186&lt;=K186+3),IF(J186&lt;=K186,IF(J186&lt;=99,IF((INDEX(Eingabe!$G$9:$G$18,I186))&lt;=9,1000+(INDEX(Eingabe!$G$9:$G$18,I186))*100,3000)+J186,IF((INDEX(Eingabe!$G$9:$G$18,I186)+1)&lt;=9,1000+(INDEX(Eingabe!$G$9:$G$18,I186)+1)*100,3000)+J186-100),IF(J186=K186+1,2000+INDEX(Eingabe!$G$9:$G$18,I186)*10+1,IF(J186=K186+2,2000+INDEX(Eingabe!$G$9:$G$18,I186)*10+2,2000+INDEX(Eingabe!$G$9:$G$18,I186)*10+9))),""))</f>
        <v>1332</v>
      </c>
      <c r="C186" s="0" t="str">
        <f aca="false">IF(I186="","",IF(AND(J186&gt;=1,J186&lt;=K186+3),"10."&amp;INDEX(Eingabe!$D$9:$D$18,I186)&amp;"."&amp;IF(J186&lt;=K186,J186,IF(J186=K186+1,200,IF(J186=K186+2,201,250)))&amp;".0/24",""))</f>
        <v>10.3.32.0/24</v>
      </c>
      <c r="D186" s="0" t="str">
        <f aca="false">IF(I186="","",IF(AND(J186&gt;=1,J186&lt;=K186+3),"255.255.255.0",""))</f>
        <v>255.255.255.0</v>
      </c>
      <c r="E186" s="0" t="str">
        <f aca="false">IF(I186="","",IF(AND(J186&gt;=1,J186&lt;=K186+3),"10."&amp;INDEX(Eingabe!$D$9:$D$18,I186)&amp;"."&amp;IF(J186&lt;=K186,J186,IF(J186=K186+1,200,IF(J186=K186+2,201,250)))&amp;".1",""))</f>
        <v>10.3.32.1</v>
      </c>
      <c r="F186" s="0" t="str">
        <f aca="false">IF(I186="","",IF(AND(J186&gt;=1,J186&lt;=K186+3),"10."&amp;INDEX(Eingabe!$D$9:$D$18,I186)&amp;"."&amp;IF(J186&lt;=K186,J186,IF(J186=K186+1,200,IF(J186=K186+2,201,250)))&amp;".10 – 10."&amp;INDEX(Eingabe!$D$9:$D$18,I186)&amp;"."&amp;IF(J186&lt;=K186,J186,IF(J186=K186+1,200,IF(J186=K186+2,201,250)))&amp;".250",""))</f>
        <v>10.3.32.10 – 10.3.32.250</v>
      </c>
      <c r="G186" s="0" t="str">
        <f aca="false">IF(I186="","",IF(AND(J186&gt;=1,J186&lt;=K186),Eingabe!$B$6&amp;"-"&amp;INDEX(Eingabe!$C$9:$C$18,I186)&amp;"-Pächter  ·  Passwort Parzelle "&amp;J186,IF(J186=K186+1,Eingabe!$B$6&amp;"-"&amp;INDEX(Eingabe!$C$9:$C$18,I186)&amp;"-Vorstand  ·  eigenes WLAN",IF(J186=K186+2,Eingabe!$B$6&amp;"-"&amp;INDEX(Eingabe!$C$9:$C$18,I186)&amp;"-Gäste  ·  Voucher",IF(J186=K186+3,"Kabel  ·  Access Point y = .(50+y), Mast-Switch x = .(10+x)","")))))</f>
        <v>SparteNet.de-SW-Pächter  ·  Passwort Parzelle 32</v>
      </c>
      <c r="I186" s="7" t="n">
        <f aca="false">IF(181&lt;=(Eingabe!$P$18+Eingabe!$Q$18-1),MATCH(181,Eingabe!$P$9:$P$18,1),"")</f>
        <v>3</v>
      </c>
      <c r="J186" s="7" t="n">
        <f aca="false">IF(I186="","",181-INDEX(Eingabe!$P$9:$P$18,I186))</f>
        <v>32</v>
      </c>
      <c r="K186" s="7" t="n">
        <f aca="false">IF(I186="","",INDEX(Eingabe!$E$9:$E$18,I186))</f>
        <v>53</v>
      </c>
    </row>
    <row r="187" customFormat="false" ht="15" hidden="false" customHeight="false" outlineLevel="0" collapsed="false">
      <c r="A187" s="0" t="str">
        <f aca="false">IF(I187="","",IF(J187=0,"Sparte "&amp;I187&amp;": "&amp;INDEX(Eingabe!$B$9:$B$18,I187)&amp;"  (Sparten-ID "&amp;INDEX(Eingabe!$D$9:$D$18,I187)&amp;", "&amp;K187&amp;" Parzellen)",IF(J187&lt;=K187,"   Parzelle "&amp;J187,IF(J187=K187+1,"   Vorstand",IF(J187=K187+2,"   Gäste",IF(J187=K187+3,"   Technik (Switches, Access Points)",""))))))</f>
        <v>   Parzelle 33</v>
      </c>
      <c r="B187" s="0" t="n">
        <f aca="false">IF(I187="","",IF(AND(J187&gt;=1,J187&lt;=K187+3),IF(J187&lt;=K187,IF(J187&lt;=99,IF((INDEX(Eingabe!$G$9:$G$18,I187))&lt;=9,1000+(INDEX(Eingabe!$G$9:$G$18,I187))*100,3000)+J187,IF((INDEX(Eingabe!$G$9:$G$18,I187)+1)&lt;=9,1000+(INDEX(Eingabe!$G$9:$G$18,I187)+1)*100,3000)+J187-100),IF(J187=K187+1,2000+INDEX(Eingabe!$G$9:$G$18,I187)*10+1,IF(J187=K187+2,2000+INDEX(Eingabe!$G$9:$G$18,I187)*10+2,2000+INDEX(Eingabe!$G$9:$G$18,I187)*10+9))),""))</f>
        <v>1333</v>
      </c>
      <c r="C187" s="0" t="str">
        <f aca="false">IF(I187="","",IF(AND(J187&gt;=1,J187&lt;=K187+3),"10."&amp;INDEX(Eingabe!$D$9:$D$18,I187)&amp;"."&amp;IF(J187&lt;=K187,J187,IF(J187=K187+1,200,IF(J187=K187+2,201,250)))&amp;".0/24",""))</f>
        <v>10.3.33.0/24</v>
      </c>
      <c r="D187" s="0" t="str">
        <f aca="false">IF(I187="","",IF(AND(J187&gt;=1,J187&lt;=K187+3),"255.255.255.0",""))</f>
        <v>255.255.255.0</v>
      </c>
      <c r="E187" s="0" t="str">
        <f aca="false">IF(I187="","",IF(AND(J187&gt;=1,J187&lt;=K187+3),"10."&amp;INDEX(Eingabe!$D$9:$D$18,I187)&amp;"."&amp;IF(J187&lt;=K187,J187,IF(J187=K187+1,200,IF(J187=K187+2,201,250)))&amp;".1",""))</f>
        <v>10.3.33.1</v>
      </c>
      <c r="F187" s="0" t="str">
        <f aca="false">IF(I187="","",IF(AND(J187&gt;=1,J187&lt;=K187+3),"10."&amp;INDEX(Eingabe!$D$9:$D$18,I187)&amp;"."&amp;IF(J187&lt;=K187,J187,IF(J187=K187+1,200,IF(J187=K187+2,201,250)))&amp;".10 – 10."&amp;INDEX(Eingabe!$D$9:$D$18,I187)&amp;"."&amp;IF(J187&lt;=K187,J187,IF(J187=K187+1,200,IF(J187=K187+2,201,250)))&amp;".250",""))</f>
        <v>10.3.33.10 – 10.3.33.250</v>
      </c>
      <c r="G187" s="0" t="str">
        <f aca="false">IF(I187="","",IF(AND(J187&gt;=1,J187&lt;=K187),Eingabe!$B$6&amp;"-"&amp;INDEX(Eingabe!$C$9:$C$18,I187)&amp;"-Pächter  ·  Passwort Parzelle "&amp;J187,IF(J187=K187+1,Eingabe!$B$6&amp;"-"&amp;INDEX(Eingabe!$C$9:$C$18,I187)&amp;"-Vorstand  ·  eigenes WLAN",IF(J187=K187+2,Eingabe!$B$6&amp;"-"&amp;INDEX(Eingabe!$C$9:$C$18,I187)&amp;"-Gäste  ·  Voucher",IF(J187=K187+3,"Kabel  ·  Access Point y = .(50+y), Mast-Switch x = .(10+x)","")))))</f>
        <v>SparteNet.de-SW-Pächter  ·  Passwort Parzelle 33</v>
      </c>
      <c r="I187" s="7" t="n">
        <f aca="false">IF(182&lt;=(Eingabe!$P$18+Eingabe!$Q$18-1),MATCH(182,Eingabe!$P$9:$P$18,1),"")</f>
        <v>3</v>
      </c>
      <c r="J187" s="7" t="n">
        <f aca="false">IF(I187="","",182-INDEX(Eingabe!$P$9:$P$18,I187))</f>
        <v>33</v>
      </c>
      <c r="K187" s="7" t="n">
        <f aca="false">IF(I187="","",INDEX(Eingabe!$E$9:$E$18,I187))</f>
        <v>53</v>
      </c>
    </row>
    <row r="188" customFormat="false" ht="15" hidden="false" customHeight="false" outlineLevel="0" collapsed="false">
      <c r="A188" s="0" t="str">
        <f aca="false">IF(I188="","",IF(J188=0,"Sparte "&amp;I188&amp;": "&amp;INDEX(Eingabe!$B$9:$B$18,I188)&amp;"  (Sparten-ID "&amp;INDEX(Eingabe!$D$9:$D$18,I188)&amp;", "&amp;K188&amp;" Parzellen)",IF(J188&lt;=K188,"   Parzelle "&amp;J188,IF(J188=K188+1,"   Vorstand",IF(J188=K188+2,"   Gäste",IF(J188=K188+3,"   Technik (Switches, Access Points)",""))))))</f>
        <v>   Parzelle 34</v>
      </c>
      <c r="B188" s="0" t="n">
        <f aca="false">IF(I188="","",IF(AND(J188&gt;=1,J188&lt;=K188+3),IF(J188&lt;=K188,IF(J188&lt;=99,IF((INDEX(Eingabe!$G$9:$G$18,I188))&lt;=9,1000+(INDEX(Eingabe!$G$9:$G$18,I188))*100,3000)+J188,IF((INDEX(Eingabe!$G$9:$G$18,I188)+1)&lt;=9,1000+(INDEX(Eingabe!$G$9:$G$18,I188)+1)*100,3000)+J188-100),IF(J188=K188+1,2000+INDEX(Eingabe!$G$9:$G$18,I188)*10+1,IF(J188=K188+2,2000+INDEX(Eingabe!$G$9:$G$18,I188)*10+2,2000+INDEX(Eingabe!$G$9:$G$18,I188)*10+9))),""))</f>
        <v>1334</v>
      </c>
      <c r="C188" s="0" t="str">
        <f aca="false">IF(I188="","",IF(AND(J188&gt;=1,J188&lt;=K188+3),"10."&amp;INDEX(Eingabe!$D$9:$D$18,I188)&amp;"."&amp;IF(J188&lt;=K188,J188,IF(J188=K188+1,200,IF(J188=K188+2,201,250)))&amp;".0/24",""))</f>
        <v>10.3.34.0/24</v>
      </c>
      <c r="D188" s="0" t="str">
        <f aca="false">IF(I188="","",IF(AND(J188&gt;=1,J188&lt;=K188+3),"255.255.255.0",""))</f>
        <v>255.255.255.0</v>
      </c>
      <c r="E188" s="0" t="str">
        <f aca="false">IF(I188="","",IF(AND(J188&gt;=1,J188&lt;=K188+3),"10."&amp;INDEX(Eingabe!$D$9:$D$18,I188)&amp;"."&amp;IF(J188&lt;=K188,J188,IF(J188=K188+1,200,IF(J188=K188+2,201,250)))&amp;".1",""))</f>
        <v>10.3.34.1</v>
      </c>
      <c r="F188" s="0" t="str">
        <f aca="false">IF(I188="","",IF(AND(J188&gt;=1,J188&lt;=K188+3),"10."&amp;INDEX(Eingabe!$D$9:$D$18,I188)&amp;"."&amp;IF(J188&lt;=K188,J188,IF(J188=K188+1,200,IF(J188=K188+2,201,250)))&amp;".10 – 10."&amp;INDEX(Eingabe!$D$9:$D$18,I188)&amp;"."&amp;IF(J188&lt;=K188,J188,IF(J188=K188+1,200,IF(J188=K188+2,201,250)))&amp;".250",""))</f>
        <v>10.3.34.10 – 10.3.34.250</v>
      </c>
      <c r="G188" s="0" t="str">
        <f aca="false">IF(I188="","",IF(AND(J188&gt;=1,J188&lt;=K188),Eingabe!$B$6&amp;"-"&amp;INDEX(Eingabe!$C$9:$C$18,I188)&amp;"-Pächter  ·  Passwort Parzelle "&amp;J188,IF(J188=K188+1,Eingabe!$B$6&amp;"-"&amp;INDEX(Eingabe!$C$9:$C$18,I188)&amp;"-Vorstand  ·  eigenes WLAN",IF(J188=K188+2,Eingabe!$B$6&amp;"-"&amp;INDEX(Eingabe!$C$9:$C$18,I188)&amp;"-Gäste  ·  Voucher",IF(J188=K188+3,"Kabel  ·  Access Point y = .(50+y), Mast-Switch x = .(10+x)","")))))</f>
        <v>SparteNet.de-SW-Pächter  ·  Passwort Parzelle 34</v>
      </c>
      <c r="I188" s="7" t="n">
        <f aca="false">IF(183&lt;=(Eingabe!$P$18+Eingabe!$Q$18-1),MATCH(183,Eingabe!$P$9:$P$18,1),"")</f>
        <v>3</v>
      </c>
      <c r="J188" s="7" t="n">
        <f aca="false">IF(I188="","",183-INDEX(Eingabe!$P$9:$P$18,I188))</f>
        <v>34</v>
      </c>
      <c r="K188" s="7" t="n">
        <f aca="false">IF(I188="","",INDEX(Eingabe!$E$9:$E$18,I188))</f>
        <v>53</v>
      </c>
    </row>
    <row r="189" customFormat="false" ht="15" hidden="false" customHeight="false" outlineLevel="0" collapsed="false">
      <c r="A189" s="0" t="str">
        <f aca="false">IF(I189="","",IF(J189=0,"Sparte "&amp;I189&amp;": "&amp;INDEX(Eingabe!$B$9:$B$18,I189)&amp;"  (Sparten-ID "&amp;INDEX(Eingabe!$D$9:$D$18,I189)&amp;", "&amp;K189&amp;" Parzellen)",IF(J189&lt;=K189,"   Parzelle "&amp;J189,IF(J189=K189+1,"   Vorstand",IF(J189=K189+2,"   Gäste",IF(J189=K189+3,"   Technik (Switches, Access Points)",""))))))</f>
        <v>   Parzelle 35</v>
      </c>
      <c r="B189" s="0" t="n">
        <f aca="false">IF(I189="","",IF(AND(J189&gt;=1,J189&lt;=K189+3),IF(J189&lt;=K189,IF(J189&lt;=99,IF((INDEX(Eingabe!$G$9:$G$18,I189))&lt;=9,1000+(INDEX(Eingabe!$G$9:$G$18,I189))*100,3000)+J189,IF((INDEX(Eingabe!$G$9:$G$18,I189)+1)&lt;=9,1000+(INDEX(Eingabe!$G$9:$G$18,I189)+1)*100,3000)+J189-100),IF(J189=K189+1,2000+INDEX(Eingabe!$G$9:$G$18,I189)*10+1,IF(J189=K189+2,2000+INDEX(Eingabe!$G$9:$G$18,I189)*10+2,2000+INDEX(Eingabe!$G$9:$G$18,I189)*10+9))),""))</f>
        <v>1335</v>
      </c>
      <c r="C189" s="0" t="str">
        <f aca="false">IF(I189="","",IF(AND(J189&gt;=1,J189&lt;=K189+3),"10."&amp;INDEX(Eingabe!$D$9:$D$18,I189)&amp;"."&amp;IF(J189&lt;=K189,J189,IF(J189=K189+1,200,IF(J189=K189+2,201,250)))&amp;".0/24",""))</f>
        <v>10.3.35.0/24</v>
      </c>
      <c r="D189" s="0" t="str">
        <f aca="false">IF(I189="","",IF(AND(J189&gt;=1,J189&lt;=K189+3),"255.255.255.0",""))</f>
        <v>255.255.255.0</v>
      </c>
      <c r="E189" s="0" t="str">
        <f aca="false">IF(I189="","",IF(AND(J189&gt;=1,J189&lt;=K189+3),"10."&amp;INDEX(Eingabe!$D$9:$D$18,I189)&amp;"."&amp;IF(J189&lt;=K189,J189,IF(J189=K189+1,200,IF(J189=K189+2,201,250)))&amp;".1",""))</f>
        <v>10.3.35.1</v>
      </c>
      <c r="F189" s="0" t="str">
        <f aca="false">IF(I189="","",IF(AND(J189&gt;=1,J189&lt;=K189+3),"10."&amp;INDEX(Eingabe!$D$9:$D$18,I189)&amp;"."&amp;IF(J189&lt;=K189,J189,IF(J189=K189+1,200,IF(J189=K189+2,201,250)))&amp;".10 – 10."&amp;INDEX(Eingabe!$D$9:$D$18,I189)&amp;"."&amp;IF(J189&lt;=K189,J189,IF(J189=K189+1,200,IF(J189=K189+2,201,250)))&amp;".250",""))</f>
        <v>10.3.35.10 – 10.3.35.250</v>
      </c>
      <c r="G189" s="0" t="str">
        <f aca="false">IF(I189="","",IF(AND(J189&gt;=1,J189&lt;=K189),Eingabe!$B$6&amp;"-"&amp;INDEX(Eingabe!$C$9:$C$18,I189)&amp;"-Pächter  ·  Passwort Parzelle "&amp;J189,IF(J189=K189+1,Eingabe!$B$6&amp;"-"&amp;INDEX(Eingabe!$C$9:$C$18,I189)&amp;"-Vorstand  ·  eigenes WLAN",IF(J189=K189+2,Eingabe!$B$6&amp;"-"&amp;INDEX(Eingabe!$C$9:$C$18,I189)&amp;"-Gäste  ·  Voucher",IF(J189=K189+3,"Kabel  ·  Access Point y = .(50+y), Mast-Switch x = .(10+x)","")))))</f>
        <v>SparteNet.de-SW-Pächter  ·  Passwort Parzelle 35</v>
      </c>
      <c r="I189" s="7" t="n">
        <f aca="false">IF(184&lt;=(Eingabe!$P$18+Eingabe!$Q$18-1),MATCH(184,Eingabe!$P$9:$P$18,1),"")</f>
        <v>3</v>
      </c>
      <c r="J189" s="7" t="n">
        <f aca="false">IF(I189="","",184-INDEX(Eingabe!$P$9:$P$18,I189))</f>
        <v>35</v>
      </c>
      <c r="K189" s="7" t="n">
        <f aca="false">IF(I189="","",INDEX(Eingabe!$E$9:$E$18,I189))</f>
        <v>53</v>
      </c>
    </row>
    <row r="190" customFormat="false" ht="15" hidden="false" customHeight="false" outlineLevel="0" collapsed="false">
      <c r="A190" s="0" t="str">
        <f aca="false">IF(I190="","",IF(J190=0,"Sparte "&amp;I190&amp;": "&amp;INDEX(Eingabe!$B$9:$B$18,I190)&amp;"  (Sparten-ID "&amp;INDEX(Eingabe!$D$9:$D$18,I190)&amp;", "&amp;K190&amp;" Parzellen)",IF(J190&lt;=K190,"   Parzelle "&amp;J190,IF(J190=K190+1,"   Vorstand",IF(J190=K190+2,"   Gäste",IF(J190=K190+3,"   Technik (Switches, Access Points)",""))))))</f>
        <v>   Parzelle 36</v>
      </c>
      <c r="B190" s="0" t="n">
        <f aca="false">IF(I190="","",IF(AND(J190&gt;=1,J190&lt;=K190+3),IF(J190&lt;=K190,IF(J190&lt;=99,IF((INDEX(Eingabe!$G$9:$G$18,I190))&lt;=9,1000+(INDEX(Eingabe!$G$9:$G$18,I190))*100,3000)+J190,IF((INDEX(Eingabe!$G$9:$G$18,I190)+1)&lt;=9,1000+(INDEX(Eingabe!$G$9:$G$18,I190)+1)*100,3000)+J190-100),IF(J190=K190+1,2000+INDEX(Eingabe!$G$9:$G$18,I190)*10+1,IF(J190=K190+2,2000+INDEX(Eingabe!$G$9:$G$18,I190)*10+2,2000+INDEX(Eingabe!$G$9:$G$18,I190)*10+9))),""))</f>
        <v>1336</v>
      </c>
      <c r="C190" s="0" t="str">
        <f aca="false">IF(I190="","",IF(AND(J190&gt;=1,J190&lt;=K190+3),"10."&amp;INDEX(Eingabe!$D$9:$D$18,I190)&amp;"."&amp;IF(J190&lt;=K190,J190,IF(J190=K190+1,200,IF(J190=K190+2,201,250)))&amp;".0/24",""))</f>
        <v>10.3.36.0/24</v>
      </c>
      <c r="D190" s="0" t="str">
        <f aca="false">IF(I190="","",IF(AND(J190&gt;=1,J190&lt;=K190+3),"255.255.255.0",""))</f>
        <v>255.255.255.0</v>
      </c>
      <c r="E190" s="0" t="str">
        <f aca="false">IF(I190="","",IF(AND(J190&gt;=1,J190&lt;=K190+3),"10."&amp;INDEX(Eingabe!$D$9:$D$18,I190)&amp;"."&amp;IF(J190&lt;=K190,J190,IF(J190=K190+1,200,IF(J190=K190+2,201,250)))&amp;".1",""))</f>
        <v>10.3.36.1</v>
      </c>
      <c r="F190" s="0" t="str">
        <f aca="false">IF(I190="","",IF(AND(J190&gt;=1,J190&lt;=K190+3),"10."&amp;INDEX(Eingabe!$D$9:$D$18,I190)&amp;"."&amp;IF(J190&lt;=K190,J190,IF(J190=K190+1,200,IF(J190=K190+2,201,250)))&amp;".10 – 10."&amp;INDEX(Eingabe!$D$9:$D$18,I190)&amp;"."&amp;IF(J190&lt;=K190,J190,IF(J190=K190+1,200,IF(J190=K190+2,201,250)))&amp;".250",""))</f>
        <v>10.3.36.10 – 10.3.36.250</v>
      </c>
      <c r="G190" s="0" t="str">
        <f aca="false">IF(I190="","",IF(AND(J190&gt;=1,J190&lt;=K190),Eingabe!$B$6&amp;"-"&amp;INDEX(Eingabe!$C$9:$C$18,I190)&amp;"-Pächter  ·  Passwort Parzelle "&amp;J190,IF(J190=K190+1,Eingabe!$B$6&amp;"-"&amp;INDEX(Eingabe!$C$9:$C$18,I190)&amp;"-Vorstand  ·  eigenes WLAN",IF(J190=K190+2,Eingabe!$B$6&amp;"-"&amp;INDEX(Eingabe!$C$9:$C$18,I190)&amp;"-Gäste  ·  Voucher",IF(J190=K190+3,"Kabel  ·  Access Point y = .(50+y), Mast-Switch x = .(10+x)","")))))</f>
        <v>SparteNet.de-SW-Pächter  ·  Passwort Parzelle 36</v>
      </c>
      <c r="I190" s="7" t="n">
        <f aca="false">IF(185&lt;=(Eingabe!$P$18+Eingabe!$Q$18-1),MATCH(185,Eingabe!$P$9:$P$18,1),"")</f>
        <v>3</v>
      </c>
      <c r="J190" s="7" t="n">
        <f aca="false">IF(I190="","",185-INDEX(Eingabe!$P$9:$P$18,I190))</f>
        <v>36</v>
      </c>
      <c r="K190" s="7" t="n">
        <f aca="false">IF(I190="","",INDEX(Eingabe!$E$9:$E$18,I190))</f>
        <v>53</v>
      </c>
    </row>
    <row r="191" customFormat="false" ht="15" hidden="false" customHeight="false" outlineLevel="0" collapsed="false">
      <c r="A191" s="0" t="str">
        <f aca="false">IF(I191="","",IF(J191=0,"Sparte "&amp;I191&amp;": "&amp;INDEX(Eingabe!$B$9:$B$18,I191)&amp;"  (Sparten-ID "&amp;INDEX(Eingabe!$D$9:$D$18,I191)&amp;", "&amp;K191&amp;" Parzellen)",IF(J191&lt;=K191,"   Parzelle "&amp;J191,IF(J191=K191+1,"   Vorstand",IF(J191=K191+2,"   Gäste",IF(J191=K191+3,"   Technik (Switches, Access Points)",""))))))</f>
        <v>   Parzelle 37</v>
      </c>
      <c r="B191" s="0" t="n">
        <f aca="false">IF(I191="","",IF(AND(J191&gt;=1,J191&lt;=K191+3),IF(J191&lt;=K191,IF(J191&lt;=99,IF((INDEX(Eingabe!$G$9:$G$18,I191))&lt;=9,1000+(INDEX(Eingabe!$G$9:$G$18,I191))*100,3000)+J191,IF((INDEX(Eingabe!$G$9:$G$18,I191)+1)&lt;=9,1000+(INDEX(Eingabe!$G$9:$G$18,I191)+1)*100,3000)+J191-100),IF(J191=K191+1,2000+INDEX(Eingabe!$G$9:$G$18,I191)*10+1,IF(J191=K191+2,2000+INDEX(Eingabe!$G$9:$G$18,I191)*10+2,2000+INDEX(Eingabe!$G$9:$G$18,I191)*10+9))),""))</f>
        <v>1337</v>
      </c>
      <c r="C191" s="0" t="str">
        <f aca="false">IF(I191="","",IF(AND(J191&gt;=1,J191&lt;=K191+3),"10."&amp;INDEX(Eingabe!$D$9:$D$18,I191)&amp;"."&amp;IF(J191&lt;=K191,J191,IF(J191=K191+1,200,IF(J191=K191+2,201,250)))&amp;".0/24",""))</f>
        <v>10.3.37.0/24</v>
      </c>
      <c r="D191" s="0" t="str">
        <f aca="false">IF(I191="","",IF(AND(J191&gt;=1,J191&lt;=K191+3),"255.255.255.0",""))</f>
        <v>255.255.255.0</v>
      </c>
      <c r="E191" s="0" t="str">
        <f aca="false">IF(I191="","",IF(AND(J191&gt;=1,J191&lt;=K191+3),"10."&amp;INDEX(Eingabe!$D$9:$D$18,I191)&amp;"."&amp;IF(J191&lt;=K191,J191,IF(J191=K191+1,200,IF(J191=K191+2,201,250)))&amp;".1",""))</f>
        <v>10.3.37.1</v>
      </c>
      <c r="F191" s="0" t="str">
        <f aca="false">IF(I191="","",IF(AND(J191&gt;=1,J191&lt;=K191+3),"10."&amp;INDEX(Eingabe!$D$9:$D$18,I191)&amp;"."&amp;IF(J191&lt;=K191,J191,IF(J191=K191+1,200,IF(J191=K191+2,201,250)))&amp;".10 – 10."&amp;INDEX(Eingabe!$D$9:$D$18,I191)&amp;"."&amp;IF(J191&lt;=K191,J191,IF(J191=K191+1,200,IF(J191=K191+2,201,250)))&amp;".250",""))</f>
        <v>10.3.37.10 – 10.3.37.250</v>
      </c>
      <c r="G191" s="0" t="str">
        <f aca="false">IF(I191="","",IF(AND(J191&gt;=1,J191&lt;=K191),Eingabe!$B$6&amp;"-"&amp;INDEX(Eingabe!$C$9:$C$18,I191)&amp;"-Pächter  ·  Passwort Parzelle "&amp;J191,IF(J191=K191+1,Eingabe!$B$6&amp;"-"&amp;INDEX(Eingabe!$C$9:$C$18,I191)&amp;"-Vorstand  ·  eigenes WLAN",IF(J191=K191+2,Eingabe!$B$6&amp;"-"&amp;INDEX(Eingabe!$C$9:$C$18,I191)&amp;"-Gäste  ·  Voucher",IF(J191=K191+3,"Kabel  ·  Access Point y = .(50+y), Mast-Switch x = .(10+x)","")))))</f>
        <v>SparteNet.de-SW-Pächter  ·  Passwort Parzelle 37</v>
      </c>
      <c r="I191" s="7" t="n">
        <f aca="false">IF(186&lt;=(Eingabe!$P$18+Eingabe!$Q$18-1),MATCH(186,Eingabe!$P$9:$P$18,1),"")</f>
        <v>3</v>
      </c>
      <c r="J191" s="7" t="n">
        <f aca="false">IF(I191="","",186-INDEX(Eingabe!$P$9:$P$18,I191))</f>
        <v>37</v>
      </c>
      <c r="K191" s="7" t="n">
        <f aca="false">IF(I191="","",INDEX(Eingabe!$E$9:$E$18,I191))</f>
        <v>53</v>
      </c>
    </row>
    <row r="192" customFormat="false" ht="15" hidden="false" customHeight="false" outlineLevel="0" collapsed="false">
      <c r="A192" s="0" t="str">
        <f aca="false">IF(I192="","",IF(J192=0,"Sparte "&amp;I192&amp;": "&amp;INDEX(Eingabe!$B$9:$B$18,I192)&amp;"  (Sparten-ID "&amp;INDEX(Eingabe!$D$9:$D$18,I192)&amp;", "&amp;K192&amp;" Parzellen)",IF(J192&lt;=K192,"   Parzelle "&amp;J192,IF(J192=K192+1,"   Vorstand",IF(J192=K192+2,"   Gäste",IF(J192=K192+3,"   Technik (Switches, Access Points)",""))))))</f>
        <v>   Parzelle 38</v>
      </c>
      <c r="B192" s="0" t="n">
        <f aca="false">IF(I192="","",IF(AND(J192&gt;=1,J192&lt;=K192+3),IF(J192&lt;=K192,IF(J192&lt;=99,IF((INDEX(Eingabe!$G$9:$G$18,I192))&lt;=9,1000+(INDEX(Eingabe!$G$9:$G$18,I192))*100,3000)+J192,IF((INDEX(Eingabe!$G$9:$G$18,I192)+1)&lt;=9,1000+(INDEX(Eingabe!$G$9:$G$18,I192)+1)*100,3000)+J192-100),IF(J192=K192+1,2000+INDEX(Eingabe!$G$9:$G$18,I192)*10+1,IF(J192=K192+2,2000+INDEX(Eingabe!$G$9:$G$18,I192)*10+2,2000+INDEX(Eingabe!$G$9:$G$18,I192)*10+9))),""))</f>
        <v>1338</v>
      </c>
      <c r="C192" s="0" t="str">
        <f aca="false">IF(I192="","",IF(AND(J192&gt;=1,J192&lt;=K192+3),"10."&amp;INDEX(Eingabe!$D$9:$D$18,I192)&amp;"."&amp;IF(J192&lt;=K192,J192,IF(J192=K192+1,200,IF(J192=K192+2,201,250)))&amp;".0/24",""))</f>
        <v>10.3.38.0/24</v>
      </c>
      <c r="D192" s="0" t="str">
        <f aca="false">IF(I192="","",IF(AND(J192&gt;=1,J192&lt;=K192+3),"255.255.255.0",""))</f>
        <v>255.255.255.0</v>
      </c>
      <c r="E192" s="0" t="str">
        <f aca="false">IF(I192="","",IF(AND(J192&gt;=1,J192&lt;=K192+3),"10."&amp;INDEX(Eingabe!$D$9:$D$18,I192)&amp;"."&amp;IF(J192&lt;=K192,J192,IF(J192=K192+1,200,IF(J192=K192+2,201,250)))&amp;".1",""))</f>
        <v>10.3.38.1</v>
      </c>
      <c r="F192" s="0" t="str">
        <f aca="false">IF(I192="","",IF(AND(J192&gt;=1,J192&lt;=K192+3),"10."&amp;INDEX(Eingabe!$D$9:$D$18,I192)&amp;"."&amp;IF(J192&lt;=K192,J192,IF(J192=K192+1,200,IF(J192=K192+2,201,250)))&amp;".10 – 10."&amp;INDEX(Eingabe!$D$9:$D$18,I192)&amp;"."&amp;IF(J192&lt;=K192,J192,IF(J192=K192+1,200,IF(J192=K192+2,201,250)))&amp;".250",""))</f>
        <v>10.3.38.10 – 10.3.38.250</v>
      </c>
      <c r="G192" s="0" t="str">
        <f aca="false">IF(I192="","",IF(AND(J192&gt;=1,J192&lt;=K192),Eingabe!$B$6&amp;"-"&amp;INDEX(Eingabe!$C$9:$C$18,I192)&amp;"-Pächter  ·  Passwort Parzelle "&amp;J192,IF(J192=K192+1,Eingabe!$B$6&amp;"-"&amp;INDEX(Eingabe!$C$9:$C$18,I192)&amp;"-Vorstand  ·  eigenes WLAN",IF(J192=K192+2,Eingabe!$B$6&amp;"-"&amp;INDEX(Eingabe!$C$9:$C$18,I192)&amp;"-Gäste  ·  Voucher",IF(J192=K192+3,"Kabel  ·  Access Point y = .(50+y), Mast-Switch x = .(10+x)","")))))</f>
        <v>SparteNet.de-SW-Pächter  ·  Passwort Parzelle 38</v>
      </c>
      <c r="I192" s="7" t="n">
        <f aca="false">IF(187&lt;=(Eingabe!$P$18+Eingabe!$Q$18-1),MATCH(187,Eingabe!$P$9:$P$18,1),"")</f>
        <v>3</v>
      </c>
      <c r="J192" s="7" t="n">
        <f aca="false">IF(I192="","",187-INDEX(Eingabe!$P$9:$P$18,I192))</f>
        <v>38</v>
      </c>
      <c r="K192" s="7" t="n">
        <f aca="false">IF(I192="","",INDEX(Eingabe!$E$9:$E$18,I192))</f>
        <v>53</v>
      </c>
    </row>
    <row r="193" customFormat="false" ht="15" hidden="false" customHeight="false" outlineLevel="0" collapsed="false">
      <c r="A193" s="0" t="str">
        <f aca="false">IF(I193="","",IF(J193=0,"Sparte "&amp;I193&amp;": "&amp;INDEX(Eingabe!$B$9:$B$18,I193)&amp;"  (Sparten-ID "&amp;INDEX(Eingabe!$D$9:$D$18,I193)&amp;", "&amp;K193&amp;" Parzellen)",IF(J193&lt;=K193,"   Parzelle "&amp;J193,IF(J193=K193+1,"   Vorstand",IF(J193=K193+2,"   Gäste",IF(J193=K193+3,"   Technik (Switches, Access Points)",""))))))</f>
        <v>   Parzelle 39</v>
      </c>
      <c r="B193" s="0" t="n">
        <f aca="false">IF(I193="","",IF(AND(J193&gt;=1,J193&lt;=K193+3),IF(J193&lt;=K193,IF(J193&lt;=99,IF((INDEX(Eingabe!$G$9:$G$18,I193))&lt;=9,1000+(INDEX(Eingabe!$G$9:$G$18,I193))*100,3000)+J193,IF((INDEX(Eingabe!$G$9:$G$18,I193)+1)&lt;=9,1000+(INDEX(Eingabe!$G$9:$G$18,I193)+1)*100,3000)+J193-100),IF(J193=K193+1,2000+INDEX(Eingabe!$G$9:$G$18,I193)*10+1,IF(J193=K193+2,2000+INDEX(Eingabe!$G$9:$G$18,I193)*10+2,2000+INDEX(Eingabe!$G$9:$G$18,I193)*10+9))),""))</f>
        <v>1339</v>
      </c>
      <c r="C193" s="0" t="str">
        <f aca="false">IF(I193="","",IF(AND(J193&gt;=1,J193&lt;=K193+3),"10."&amp;INDEX(Eingabe!$D$9:$D$18,I193)&amp;"."&amp;IF(J193&lt;=K193,J193,IF(J193=K193+1,200,IF(J193=K193+2,201,250)))&amp;".0/24",""))</f>
        <v>10.3.39.0/24</v>
      </c>
      <c r="D193" s="0" t="str">
        <f aca="false">IF(I193="","",IF(AND(J193&gt;=1,J193&lt;=K193+3),"255.255.255.0",""))</f>
        <v>255.255.255.0</v>
      </c>
      <c r="E193" s="0" t="str">
        <f aca="false">IF(I193="","",IF(AND(J193&gt;=1,J193&lt;=K193+3),"10."&amp;INDEX(Eingabe!$D$9:$D$18,I193)&amp;"."&amp;IF(J193&lt;=K193,J193,IF(J193=K193+1,200,IF(J193=K193+2,201,250)))&amp;".1",""))</f>
        <v>10.3.39.1</v>
      </c>
      <c r="F193" s="0" t="str">
        <f aca="false">IF(I193="","",IF(AND(J193&gt;=1,J193&lt;=K193+3),"10."&amp;INDEX(Eingabe!$D$9:$D$18,I193)&amp;"."&amp;IF(J193&lt;=K193,J193,IF(J193=K193+1,200,IF(J193=K193+2,201,250)))&amp;".10 – 10."&amp;INDEX(Eingabe!$D$9:$D$18,I193)&amp;"."&amp;IF(J193&lt;=K193,J193,IF(J193=K193+1,200,IF(J193=K193+2,201,250)))&amp;".250",""))</f>
        <v>10.3.39.10 – 10.3.39.250</v>
      </c>
      <c r="G193" s="0" t="str">
        <f aca="false">IF(I193="","",IF(AND(J193&gt;=1,J193&lt;=K193),Eingabe!$B$6&amp;"-"&amp;INDEX(Eingabe!$C$9:$C$18,I193)&amp;"-Pächter  ·  Passwort Parzelle "&amp;J193,IF(J193=K193+1,Eingabe!$B$6&amp;"-"&amp;INDEX(Eingabe!$C$9:$C$18,I193)&amp;"-Vorstand  ·  eigenes WLAN",IF(J193=K193+2,Eingabe!$B$6&amp;"-"&amp;INDEX(Eingabe!$C$9:$C$18,I193)&amp;"-Gäste  ·  Voucher",IF(J193=K193+3,"Kabel  ·  Access Point y = .(50+y), Mast-Switch x = .(10+x)","")))))</f>
        <v>SparteNet.de-SW-Pächter  ·  Passwort Parzelle 39</v>
      </c>
      <c r="I193" s="7" t="n">
        <f aca="false">IF(188&lt;=(Eingabe!$P$18+Eingabe!$Q$18-1),MATCH(188,Eingabe!$P$9:$P$18,1),"")</f>
        <v>3</v>
      </c>
      <c r="J193" s="7" t="n">
        <f aca="false">IF(I193="","",188-INDEX(Eingabe!$P$9:$P$18,I193))</f>
        <v>39</v>
      </c>
      <c r="K193" s="7" t="n">
        <f aca="false">IF(I193="","",INDEX(Eingabe!$E$9:$E$18,I193))</f>
        <v>53</v>
      </c>
    </row>
    <row r="194" customFormat="false" ht="15" hidden="false" customHeight="false" outlineLevel="0" collapsed="false">
      <c r="A194" s="0" t="str">
        <f aca="false">IF(I194="","",IF(J194=0,"Sparte "&amp;I194&amp;": "&amp;INDEX(Eingabe!$B$9:$B$18,I194)&amp;"  (Sparten-ID "&amp;INDEX(Eingabe!$D$9:$D$18,I194)&amp;", "&amp;K194&amp;" Parzellen)",IF(J194&lt;=K194,"   Parzelle "&amp;J194,IF(J194=K194+1,"   Vorstand",IF(J194=K194+2,"   Gäste",IF(J194=K194+3,"   Technik (Switches, Access Points)",""))))))</f>
        <v>   Parzelle 40</v>
      </c>
      <c r="B194" s="0" t="n">
        <f aca="false">IF(I194="","",IF(AND(J194&gt;=1,J194&lt;=K194+3),IF(J194&lt;=K194,IF(J194&lt;=99,IF((INDEX(Eingabe!$G$9:$G$18,I194))&lt;=9,1000+(INDEX(Eingabe!$G$9:$G$18,I194))*100,3000)+J194,IF((INDEX(Eingabe!$G$9:$G$18,I194)+1)&lt;=9,1000+(INDEX(Eingabe!$G$9:$G$18,I194)+1)*100,3000)+J194-100),IF(J194=K194+1,2000+INDEX(Eingabe!$G$9:$G$18,I194)*10+1,IF(J194=K194+2,2000+INDEX(Eingabe!$G$9:$G$18,I194)*10+2,2000+INDEX(Eingabe!$G$9:$G$18,I194)*10+9))),""))</f>
        <v>1340</v>
      </c>
      <c r="C194" s="0" t="str">
        <f aca="false">IF(I194="","",IF(AND(J194&gt;=1,J194&lt;=K194+3),"10."&amp;INDEX(Eingabe!$D$9:$D$18,I194)&amp;"."&amp;IF(J194&lt;=K194,J194,IF(J194=K194+1,200,IF(J194=K194+2,201,250)))&amp;".0/24",""))</f>
        <v>10.3.40.0/24</v>
      </c>
      <c r="D194" s="0" t="str">
        <f aca="false">IF(I194="","",IF(AND(J194&gt;=1,J194&lt;=K194+3),"255.255.255.0",""))</f>
        <v>255.255.255.0</v>
      </c>
      <c r="E194" s="0" t="str">
        <f aca="false">IF(I194="","",IF(AND(J194&gt;=1,J194&lt;=K194+3),"10."&amp;INDEX(Eingabe!$D$9:$D$18,I194)&amp;"."&amp;IF(J194&lt;=K194,J194,IF(J194=K194+1,200,IF(J194=K194+2,201,250)))&amp;".1",""))</f>
        <v>10.3.40.1</v>
      </c>
      <c r="F194" s="0" t="str">
        <f aca="false">IF(I194="","",IF(AND(J194&gt;=1,J194&lt;=K194+3),"10."&amp;INDEX(Eingabe!$D$9:$D$18,I194)&amp;"."&amp;IF(J194&lt;=K194,J194,IF(J194=K194+1,200,IF(J194=K194+2,201,250)))&amp;".10 – 10."&amp;INDEX(Eingabe!$D$9:$D$18,I194)&amp;"."&amp;IF(J194&lt;=K194,J194,IF(J194=K194+1,200,IF(J194=K194+2,201,250)))&amp;".250",""))</f>
        <v>10.3.40.10 – 10.3.40.250</v>
      </c>
      <c r="G194" s="0" t="str">
        <f aca="false">IF(I194="","",IF(AND(J194&gt;=1,J194&lt;=K194),Eingabe!$B$6&amp;"-"&amp;INDEX(Eingabe!$C$9:$C$18,I194)&amp;"-Pächter  ·  Passwort Parzelle "&amp;J194,IF(J194=K194+1,Eingabe!$B$6&amp;"-"&amp;INDEX(Eingabe!$C$9:$C$18,I194)&amp;"-Vorstand  ·  eigenes WLAN",IF(J194=K194+2,Eingabe!$B$6&amp;"-"&amp;INDEX(Eingabe!$C$9:$C$18,I194)&amp;"-Gäste  ·  Voucher",IF(J194=K194+3,"Kabel  ·  Access Point y = .(50+y), Mast-Switch x = .(10+x)","")))))</f>
        <v>SparteNet.de-SW-Pächter  ·  Passwort Parzelle 40</v>
      </c>
      <c r="I194" s="7" t="n">
        <f aca="false">IF(189&lt;=(Eingabe!$P$18+Eingabe!$Q$18-1),MATCH(189,Eingabe!$P$9:$P$18,1),"")</f>
        <v>3</v>
      </c>
      <c r="J194" s="7" t="n">
        <f aca="false">IF(I194="","",189-INDEX(Eingabe!$P$9:$P$18,I194))</f>
        <v>40</v>
      </c>
      <c r="K194" s="7" t="n">
        <f aca="false">IF(I194="","",INDEX(Eingabe!$E$9:$E$18,I194))</f>
        <v>53</v>
      </c>
    </row>
    <row r="195" customFormat="false" ht="15" hidden="false" customHeight="false" outlineLevel="0" collapsed="false">
      <c r="A195" s="0" t="str">
        <f aca="false">IF(I195="","",IF(J195=0,"Sparte "&amp;I195&amp;": "&amp;INDEX(Eingabe!$B$9:$B$18,I195)&amp;"  (Sparten-ID "&amp;INDEX(Eingabe!$D$9:$D$18,I195)&amp;", "&amp;K195&amp;" Parzellen)",IF(J195&lt;=K195,"   Parzelle "&amp;J195,IF(J195=K195+1,"   Vorstand",IF(J195=K195+2,"   Gäste",IF(J195=K195+3,"   Technik (Switches, Access Points)",""))))))</f>
        <v>   Parzelle 41</v>
      </c>
      <c r="B195" s="0" t="n">
        <f aca="false">IF(I195="","",IF(AND(J195&gt;=1,J195&lt;=K195+3),IF(J195&lt;=K195,IF(J195&lt;=99,IF((INDEX(Eingabe!$G$9:$G$18,I195))&lt;=9,1000+(INDEX(Eingabe!$G$9:$G$18,I195))*100,3000)+J195,IF((INDEX(Eingabe!$G$9:$G$18,I195)+1)&lt;=9,1000+(INDEX(Eingabe!$G$9:$G$18,I195)+1)*100,3000)+J195-100),IF(J195=K195+1,2000+INDEX(Eingabe!$G$9:$G$18,I195)*10+1,IF(J195=K195+2,2000+INDEX(Eingabe!$G$9:$G$18,I195)*10+2,2000+INDEX(Eingabe!$G$9:$G$18,I195)*10+9))),""))</f>
        <v>1341</v>
      </c>
      <c r="C195" s="0" t="str">
        <f aca="false">IF(I195="","",IF(AND(J195&gt;=1,J195&lt;=K195+3),"10."&amp;INDEX(Eingabe!$D$9:$D$18,I195)&amp;"."&amp;IF(J195&lt;=K195,J195,IF(J195=K195+1,200,IF(J195=K195+2,201,250)))&amp;".0/24",""))</f>
        <v>10.3.41.0/24</v>
      </c>
      <c r="D195" s="0" t="str">
        <f aca="false">IF(I195="","",IF(AND(J195&gt;=1,J195&lt;=K195+3),"255.255.255.0",""))</f>
        <v>255.255.255.0</v>
      </c>
      <c r="E195" s="0" t="str">
        <f aca="false">IF(I195="","",IF(AND(J195&gt;=1,J195&lt;=K195+3),"10."&amp;INDEX(Eingabe!$D$9:$D$18,I195)&amp;"."&amp;IF(J195&lt;=K195,J195,IF(J195=K195+1,200,IF(J195=K195+2,201,250)))&amp;".1",""))</f>
        <v>10.3.41.1</v>
      </c>
      <c r="F195" s="0" t="str">
        <f aca="false">IF(I195="","",IF(AND(J195&gt;=1,J195&lt;=K195+3),"10."&amp;INDEX(Eingabe!$D$9:$D$18,I195)&amp;"."&amp;IF(J195&lt;=K195,J195,IF(J195=K195+1,200,IF(J195=K195+2,201,250)))&amp;".10 – 10."&amp;INDEX(Eingabe!$D$9:$D$18,I195)&amp;"."&amp;IF(J195&lt;=K195,J195,IF(J195=K195+1,200,IF(J195=K195+2,201,250)))&amp;".250",""))</f>
        <v>10.3.41.10 – 10.3.41.250</v>
      </c>
      <c r="G195" s="0" t="str">
        <f aca="false">IF(I195="","",IF(AND(J195&gt;=1,J195&lt;=K195),Eingabe!$B$6&amp;"-"&amp;INDEX(Eingabe!$C$9:$C$18,I195)&amp;"-Pächter  ·  Passwort Parzelle "&amp;J195,IF(J195=K195+1,Eingabe!$B$6&amp;"-"&amp;INDEX(Eingabe!$C$9:$C$18,I195)&amp;"-Vorstand  ·  eigenes WLAN",IF(J195=K195+2,Eingabe!$B$6&amp;"-"&amp;INDEX(Eingabe!$C$9:$C$18,I195)&amp;"-Gäste  ·  Voucher",IF(J195=K195+3,"Kabel  ·  Access Point y = .(50+y), Mast-Switch x = .(10+x)","")))))</f>
        <v>SparteNet.de-SW-Pächter  ·  Passwort Parzelle 41</v>
      </c>
      <c r="I195" s="7" t="n">
        <f aca="false">IF(190&lt;=(Eingabe!$P$18+Eingabe!$Q$18-1),MATCH(190,Eingabe!$P$9:$P$18,1),"")</f>
        <v>3</v>
      </c>
      <c r="J195" s="7" t="n">
        <f aca="false">IF(I195="","",190-INDEX(Eingabe!$P$9:$P$18,I195))</f>
        <v>41</v>
      </c>
      <c r="K195" s="7" t="n">
        <f aca="false">IF(I195="","",INDEX(Eingabe!$E$9:$E$18,I195))</f>
        <v>53</v>
      </c>
    </row>
    <row r="196" customFormat="false" ht="15" hidden="false" customHeight="false" outlineLevel="0" collapsed="false">
      <c r="A196" s="0" t="str">
        <f aca="false">IF(I196="","",IF(J196=0,"Sparte "&amp;I196&amp;": "&amp;INDEX(Eingabe!$B$9:$B$18,I196)&amp;"  (Sparten-ID "&amp;INDEX(Eingabe!$D$9:$D$18,I196)&amp;", "&amp;K196&amp;" Parzellen)",IF(J196&lt;=K196,"   Parzelle "&amp;J196,IF(J196=K196+1,"   Vorstand",IF(J196=K196+2,"   Gäste",IF(J196=K196+3,"   Technik (Switches, Access Points)",""))))))</f>
        <v>   Parzelle 42</v>
      </c>
      <c r="B196" s="0" t="n">
        <f aca="false">IF(I196="","",IF(AND(J196&gt;=1,J196&lt;=K196+3),IF(J196&lt;=K196,IF(J196&lt;=99,IF((INDEX(Eingabe!$G$9:$G$18,I196))&lt;=9,1000+(INDEX(Eingabe!$G$9:$G$18,I196))*100,3000)+J196,IF((INDEX(Eingabe!$G$9:$G$18,I196)+1)&lt;=9,1000+(INDEX(Eingabe!$G$9:$G$18,I196)+1)*100,3000)+J196-100),IF(J196=K196+1,2000+INDEX(Eingabe!$G$9:$G$18,I196)*10+1,IF(J196=K196+2,2000+INDEX(Eingabe!$G$9:$G$18,I196)*10+2,2000+INDEX(Eingabe!$G$9:$G$18,I196)*10+9))),""))</f>
        <v>1342</v>
      </c>
      <c r="C196" s="0" t="str">
        <f aca="false">IF(I196="","",IF(AND(J196&gt;=1,J196&lt;=K196+3),"10."&amp;INDEX(Eingabe!$D$9:$D$18,I196)&amp;"."&amp;IF(J196&lt;=K196,J196,IF(J196=K196+1,200,IF(J196=K196+2,201,250)))&amp;".0/24",""))</f>
        <v>10.3.42.0/24</v>
      </c>
      <c r="D196" s="0" t="str">
        <f aca="false">IF(I196="","",IF(AND(J196&gt;=1,J196&lt;=K196+3),"255.255.255.0",""))</f>
        <v>255.255.255.0</v>
      </c>
      <c r="E196" s="0" t="str">
        <f aca="false">IF(I196="","",IF(AND(J196&gt;=1,J196&lt;=K196+3),"10."&amp;INDEX(Eingabe!$D$9:$D$18,I196)&amp;"."&amp;IF(J196&lt;=K196,J196,IF(J196=K196+1,200,IF(J196=K196+2,201,250)))&amp;".1",""))</f>
        <v>10.3.42.1</v>
      </c>
      <c r="F196" s="0" t="str">
        <f aca="false">IF(I196="","",IF(AND(J196&gt;=1,J196&lt;=K196+3),"10."&amp;INDEX(Eingabe!$D$9:$D$18,I196)&amp;"."&amp;IF(J196&lt;=K196,J196,IF(J196=K196+1,200,IF(J196=K196+2,201,250)))&amp;".10 – 10."&amp;INDEX(Eingabe!$D$9:$D$18,I196)&amp;"."&amp;IF(J196&lt;=K196,J196,IF(J196=K196+1,200,IF(J196=K196+2,201,250)))&amp;".250",""))</f>
        <v>10.3.42.10 – 10.3.42.250</v>
      </c>
      <c r="G196" s="0" t="str">
        <f aca="false">IF(I196="","",IF(AND(J196&gt;=1,J196&lt;=K196),Eingabe!$B$6&amp;"-"&amp;INDEX(Eingabe!$C$9:$C$18,I196)&amp;"-Pächter  ·  Passwort Parzelle "&amp;J196,IF(J196=K196+1,Eingabe!$B$6&amp;"-"&amp;INDEX(Eingabe!$C$9:$C$18,I196)&amp;"-Vorstand  ·  eigenes WLAN",IF(J196=K196+2,Eingabe!$B$6&amp;"-"&amp;INDEX(Eingabe!$C$9:$C$18,I196)&amp;"-Gäste  ·  Voucher",IF(J196=K196+3,"Kabel  ·  Access Point y = .(50+y), Mast-Switch x = .(10+x)","")))))</f>
        <v>SparteNet.de-SW-Pächter  ·  Passwort Parzelle 42</v>
      </c>
      <c r="I196" s="7" t="n">
        <f aca="false">IF(191&lt;=(Eingabe!$P$18+Eingabe!$Q$18-1),MATCH(191,Eingabe!$P$9:$P$18,1),"")</f>
        <v>3</v>
      </c>
      <c r="J196" s="7" t="n">
        <f aca="false">IF(I196="","",191-INDEX(Eingabe!$P$9:$P$18,I196))</f>
        <v>42</v>
      </c>
      <c r="K196" s="7" t="n">
        <f aca="false">IF(I196="","",INDEX(Eingabe!$E$9:$E$18,I196))</f>
        <v>53</v>
      </c>
    </row>
    <row r="197" customFormat="false" ht="15" hidden="false" customHeight="false" outlineLevel="0" collapsed="false">
      <c r="A197" s="0" t="str">
        <f aca="false">IF(I197="","",IF(J197=0,"Sparte "&amp;I197&amp;": "&amp;INDEX(Eingabe!$B$9:$B$18,I197)&amp;"  (Sparten-ID "&amp;INDEX(Eingabe!$D$9:$D$18,I197)&amp;", "&amp;K197&amp;" Parzellen)",IF(J197&lt;=K197,"   Parzelle "&amp;J197,IF(J197=K197+1,"   Vorstand",IF(J197=K197+2,"   Gäste",IF(J197=K197+3,"   Technik (Switches, Access Points)",""))))))</f>
        <v>   Parzelle 43</v>
      </c>
      <c r="B197" s="0" t="n">
        <f aca="false">IF(I197="","",IF(AND(J197&gt;=1,J197&lt;=K197+3),IF(J197&lt;=K197,IF(J197&lt;=99,IF((INDEX(Eingabe!$G$9:$G$18,I197))&lt;=9,1000+(INDEX(Eingabe!$G$9:$G$18,I197))*100,3000)+J197,IF((INDEX(Eingabe!$G$9:$G$18,I197)+1)&lt;=9,1000+(INDEX(Eingabe!$G$9:$G$18,I197)+1)*100,3000)+J197-100),IF(J197=K197+1,2000+INDEX(Eingabe!$G$9:$G$18,I197)*10+1,IF(J197=K197+2,2000+INDEX(Eingabe!$G$9:$G$18,I197)*10+2,2000+INDEX(Eingabe!$G$9:$G$18,I197)*10+9))),""))</f>
        <v>1343</v>
      </c>
      <c r="C197" s="0" t="str">
        <f aca="false">IF(I197="","",IF(AND(J197&gt;=1,J197&lt;=K197+3),"10."&amp;INDEX(Eingabe!$D$9:$D$18,I197)&amp;"."&amp;IF(J197&lt;=K197,J197,IF(J197=K197+1,200,IF(J197=K197+2,201,250)))&amp;".0/24",""))</f>
        <v>10.3.43.0/24</v>
      </c>
      <c r="D197" s="0" t="str">
        <f aca="false">IF(I197="","",IF(AND(J197&gt;=1,J197&lt;=K197+3),"255.255.255.0",""))</f>
        <v>255.255.255.0</v>
      </c>
      <c r="E197" s="0" t="str">
        <f aca="false">IF(I197="","",IF(AND(J197&gt;=1,J197&lt;=K197+3),"10."&amp;INDEX(Eingabe!$D$9:$D$18,I197)&amp;"."&amp;IF(J197&lt;=K197,J197,IF(J197=K197+1,200,IF(J197=K197+2,201,250)))&amp;".1",""))</f>
        <v>10.3.43.1</v>
      </c>
      <c r="F197" s="0" t="str">
        <f aca="false">IF(I197="","",IF(AND(J197&gt;=1,J197&lt;=K197+3),"10."&amp;INDEX(Eingabe!$D$9:$D$18,I197)&amp;"."&amp;IF(J197&lt;=K197,J197,IF(J197=K197+1,200,IF(J197=K197+2,201,250)))&amp;".10 – 10."&amp;INDEX(Eingabe!$D$9:$D$18,I197)&amp;"."&amp;IF(J197&lt;=K197,J197,IF(J197=K197+1,200,IF(J197=K197+2,201,250)))&amp;".250",""))</f>
        <v>10.3.43.10 – 10.3.43.250</v>
      </c>
      <c r="G197" s="0" t="str">
        <f aca="false">IF(I197="","",IF(AND(J197&gt;=1,J197&lt;=K197),Eingabe!$B$6&amp;"-"&amp;INDEX(Eingabe!$C$9:$C$18,I197)&amp;"-Pächter  ·  Passwort Parzelle "&amp;J197,IF(J197=K197+1,Eingabe!$B$6&amp;"-"&amp;INDEX(Eingabe!$C$9:$C$18,I197)&amp;"-Vorstand  ·  eigenes WLAN",IF(J197=K197+2,Eingabe!$B$6&amp;"-"&amp;INDEX(Eingabe!$C$9:$C$18,I197)&amp;"-Gäste  ·  Voucher",IF(J197=K197+3,"Kabel  ·  Access Point y = .(50+y), Mast-Switch x = .(10+x)","")))))</f>
        <v>SparteNet.de-SW-Pächter  ·  Passwort Parzelle 43</v>
      </c>
      <c r="I197" s="7" t="n">
        <f aca="false">IF(192&lt;=(Eingabe!$P$18+Eingabe!$Q$18-1),MATCH(192,Eingabe!$P$9:$P$18,1),"")</f>
        <v>3</v>
      </c>
      <c r="J197" s="7" t="n">
        <f aca="false">IF(I197="","",192-INDEX(Eingabe!$P$9:$P$18,I197))</f>
        <v>43</v>
      </c>
      <c r="K197" s="7" t="n">
        <f aca="false">IF(I197="","",INDEX(Eingabe!$E$9:$E$18,I197))</f>
        <v>53</v>
      </c>
    </row>
    <row r="198" customFormat="false" ht="15" hidden="false" customHeight="false" outlineLevel="0" collapsed="false">
      <c r="A198" s="0" t="str">
        <f aca="false">IF(I198="","",IF(J198=0,"Sparte "&amp;I198&amp;": "&amp;INDEX(Eingabe!$B$9:$B$18,I198)&amp;"  (Sparten-ID "&amp;INDEX(Eingabe!$D$9:$D$18,I198)&amp;", "&amp;K198&amp;" Parzellen)",IF(J198&lt;=K198,"   Parzelle "&amp;J198,IF(J198=K198+1,"   Vorstand",IF(J198=K198+2,"   Gäste",IF(J198=K198+3,"   Technik (Switches, Access Points)",""))))))</f>
        <v>   Parzelle 44</v>
      </c>
      <c r="B198" s="0" t="n">
        <f aca="false">IF(I198="","",IF(AND(J198&gt;=1,J198&lt;=K198+3),IF(J198&lt;=K198,IF(J198&lt;=99,IF((INDEX(Eingabe!$G$9:$G$18,I198))&lt;=9,1000+(INDEX(Eingabe!$G$9:$G$18,I198))*100,3000)+J198,IF((INDEX(Eingabe!$G$9:$G$18,I198)+1)&lt;=9,1000+(INDEX(Eingabe!$G$9:$G$18,I198)+1)*100,3000)+J198-100),IF(J198=K198+1,2000+INDEX(Eingabe!$G$9:$G$18,I198)*10+1,IF(J198=K198+2,2000+INDEX(Eingabe!$G$9:$G$18,I198)*10+2,2000+INDEX(Eingabe!$G$9:$G$18,I198)*10+9))),""))</f>
        <v>1344</v>
      </c>
      <c r="C198" s="0" t="str">
        <f aca="false">IF(I198="","",IF(AND(J198&gt;=1,J198&lt;=K198+3),"10."&amp;INDEX(Eingabe!$D$9:$D$18,I198)&amp;"."&amp;IF(J198&lt;=K198,J198,IF(J198=K198+1,200,IF(J198=K198+2,201,250)))&amp;".0/24",""))</f>
        <v>10.3.44.0/24</v>
      </c>
      <c r="D198" s="0" t="str">
        <f aca="false">IF(I198="","",IF(AND(J198&gt;=1,J198&lt;=K198+3),"255.255.255.0",""))</f>
        <v>255.255.255.0</v>
      </c>
      <c r="E198" s="0" t="str">
        <f aca="false">IF(I198="","",IF(AND(J198&gt;=1,J198&lt;=K198+3),"10."&amp;INDEX(Eingabe!$D$9:$D$18,I198)&amp;"."&amp;IF(J198&lt;=K198,J198,IF(J198=K198+1,200,IF(J198=K198+2,201,250)))&amp;".1",""))</f>
        <v>10.3.44.1</v>
      </c>
      <c r="F198" s="0" t="str">
        <f aca="false">IF(I198="","",IF(AND(J198&gt;=1,J198&lt;=K198+3),"10."&amp;INDEX(Eingabe!$D$9:$D$18,I198)&amp;"."&amp;IF(J198&lt;=K198,J198,IF(J198=K198+1,200,IF(J198=K198+2,201,250)))&amp;".10 – 10."&amp;INDEX(Eingabe!$D$9:$D$18,I198)&amp;"."&amp;IF(J198&lt;=K198,J198,IF(J198=K198+1,200,IF(J198=K198+2,201,250)))&amp;".250",""))</f>
        <v>10.3.44.10 – 10.3.44.250</v>
      </c>
      <c r="G198" s="0" t="str">
        <f aca="false">IF(I198="","",IF(AND(J198&gt;=1,J198&lt;=K198),Eingabe!$B$6&amp;"-"&amp;INDEX(Eingabe!$C$9:$C$18,I198)&amp;"-Pächter  ·  Passwort Parzelle "&amp;J198,IF(J198=K198+1,Eingabe!$B$6&amp;"-"&amp;INDEX(Eingabe!$C$9:$C$18,I198)&amp;"-Vorstand  ·  eigenes WLAN",IF(J198=K198+2,Eingabe!$B$6&amp;"-"&amp;INDEX(Eingabe!$C$9:$C$18,I198)&amp;"-Gäste  ·  Voucher",IF(J198=K198+3,"Kabel  ·  Access Point y = .(50+y), Mast-Switch x = .(10+x)","")))))</f>
        <v>SparteNet.de-SW-Pächter  ·  Passwort Parzelle 44</v>
      </c>
      <c r="I198" s="7" t="n">
        <f aca="false">IF(193&lt;=(Eingabe!$P$18+Eingabe!$Q$18-1),MATCH(193,Eingabe!$P$9:$P$18,1),"")</f>
        <v>3</v>
      </c>
      <c r="J198" s="7" t="n">
        <f aca="false">IF(I198="","",193-INDEX(Eingabe!$P$9:$P$18,I198))</f>
        <v>44</v>
      </c>
      <c r="K198" s="7" t="n">
        <f aca="false">IF(I198="","",INDEX(Eingabe!$E$9:$E$18,I198))</f>
        <v>53</v>
      </c>
    </row>
    <row r="199" customFormat="false" ht="15" hidden="false" customHeight="false" outlineLevel="0" collapsed="false">
      <c r="A199" s="0" t="str">
        <f aca="false">IF(I199="","",IF(J199=0,"Sparte "&amp;I199&amp;": "&amp;INDEX(Eingabe!$B$9:$B$18,I199)&amp;"  (Sparten-ID "&amp;INDEX(Eingabe!$D$9:$D$18,I199)&amp;", "&amp;K199&amp;" Parzellen)",IF(J199&lt;=K199,"   Parzelle "&amp;J199,IF(J199=K199+1,"   Vorstand",IF(J199=K199+2,"   Gäste",IF(J199=K199+3,"   Technik (Switches, Access Points)",""))))))</f>
        <v>   Parzelle 45</v>
      </c>
      <c r="B199" s="0" t="n">
        <f aca="false">IF(I199="","",IF(AND(J199&gt;=1,J199&lt;=K199+3),IF(J199&lt;=K199,IF(J199&lt;=99,IF((INDEX(Eingabe!$G$9:$G$18,I199))&lt;=9,1000+(INDEX(Eingabe!$G$9:$G$18,I199))*100,3000)+J199,IF((INDEX(Eingabe!$G$9:$G$18,I199)+1)&lt;=9,1000+(INDEX(Eingabe!$G$9:$G$18,I199)+1)*100,3000)+J199-100),IF(J199=K199+1,2000+INDEX(Eingabe!$G$9:$G$18,I199)*10+1,IF(J199=K199+2,2000+INDEX(Eingabe!$G$9:$G$18,I199)*10+2,2000+INDEX(Eingabe!$G$9:$G$18,I199)*10+9))),""))</f>
        <v>1345</v>
      </c>
      <c r="C199" s="0" t="str">
        <f aca="false">IF(I199="","",IF(AND(J199&gt;=1,J199&lt;=K199+3),"10."&amp;INDEX(Eingabe!$D$9:$D$18,I199)&amp;"."&amp;IF(J199&lt;=K199,J199,IF(J199=K199+1,200,IF(J199=K199+2,201,250)))&amp;".0/24",""))</f>
        <v>10.3.45.0/24</v>
      </c>
      <c r="D199" s="0" t="str">
        <f aca="false">IF(I199="","",IF(AND(J199&gt;=1,J199&lt;=K199+3),"255.255.255.0",""))</f>
        <v>255.255.255.0</v>
      </c>
      <c r="E199" s="0" t="str">
        <f aca="false">IF(I199="","",IF(AND(J199&gt;=1,J199&lt;=K199+3),"10."&amp;INDEX(Eingabe!$D$9:$D$18,I199)&amp;"."&amp;IF(J199&lt;=K199,J199,IF(J199=K199+1,200,IF(J199=K199+2,201,250)))&amp;".1",""))</f>
        <v>10.3.45.1</v>
      </c>
      <c r="F199" s="0" t="str">
        <f aca="false">IF(I199="","",IF(AND(J199&gt;=1,J199&lt;=K199+3),"10."&amp;INDEX(Eingabe!$D$9:$D$18,I199)&amp;"."&amp;IF(J199&lt;=K199,J199,IF(J199=K199+1,200,IF(J199=K199+2,201,250)))&amp;".10 – 10."&amp;INDEX(Eingabe!$D$9:$D$18,I199)&amp;"."&amp;IF(J199&lt;=K199,J199,IF(J199=K199+1,200,IF(J199=K199+2,201,250)))&amp;".250",""))</f>
        <v>10.3.45.10 – 10.3.45.250</v>
      </c>
      <c r="G199" s="0" t="str">
        <f aca="false">IF(I199="","",IF(AND(J199&gt;=1,J199&lt;=K199),Eingabe!$B$6&amp;"-"&amp;INDEX(Eingabe!$C$9:$C$18,I199)&amp;"-Pächter  ·  Passwort Parzelle "&amp;J199,IF(J199=K199+1,Eingabe!$B$6&amp;"-"&amp;INDEX(Eingabe!$C$9:$C$18,I199)&amp;"-Vorstand  ·  eigenes WLAN",IF(J199=K199+2,Eingabe!$B$6&amp;"-"&amp;INDEX(Eingabe!$C$9:$C$18,I199)&amp;"-Gäste  ·  Voucher",IF(J199=K199+3,"Kabel  ·  Access Point y = .(50+y), Mast-Switch x = .(10+x)","")))))</f>
        <v>SparteNet.de-SW-Pächter  ·  Passwort Parzelle 45</v>
      </c>
      <c r="I199" s="7" t="n">
        <f aca="false">IF(194&lt;=(Eingabe!$P$18+Eingabe!$Q$18-1),MATCH(194,Eingabe!$P$9:$P$18,1),"")</f>
        <v>3</v>
      </c>
      <c r="J199" s="7" t="n">
        <f aca="false">IF(I199="","",194-INDEX(Eingabe!$P$9:$P$18,I199))</f>
        <v>45</v>
      </c>
      <c r="K199" s="7" t="n">
        <f aca="false">IF(I199="","",INDEX(Eingabe!$E$9:$E$18,I199))</f>
        <v>53</v>
      </c>
    </row>
    <row r="200" customFormat="false" ht="15" hidden="false" customHeight="false" outlineLevel="0" collapsed="false">
      <c r="A200" s="0" t="str">
        <f aca="false">IF(I200="","",IF(J200=0,"Sparte "&amp;I200&amp;": "&amp;INDEX(Eingabe!$B$9:$B$18,I200)&amp;"  (Sparten-ID "&amp;INDEX(Eingabe!$D$9:$D$18,I200)&amp;", "&amp;K200&amp;" Parzellen)",IF(J200&lt;=K200,"   Parzelle "&amp;J200,IF(J200=K200+1,"   Vorstand",IF(J200=K200+2,"   Gäste",IF(J200=K200+3,"   Technik (Switches, Access Points)",""))))))</f>
        <v>   Parzelle 46</v>
      </c>
      <c r="B200" s="0" t="n">
        <f aca="false">IF(I200="","",IF(AND(J200&gt;=1,J200&lt;=K200+3),IF(J200&lt;=K200,IF(J200&lt;=99,IF((INDEX(Eingabe!$G$9:$G$18,I200))&lt;=9,1000+(INDEX(Eingabe!$G$9:$G$18,I200))*100,3000)+J200,IF((INDEX(Eingabe!$G$9:$G$18,I200)+1)&lt;=9,1000+(INDEX(Eingabe!$G$9:$G$18,I200)+1)*100,3000)+J200-100),IF(J200=K200+1,2000+INDEX(Eingabe!$G$9:$G$18,I200)*10+1,IF(J200=K200+2,2000+INDEX(Eingabe!$G$9:$G$18,I200)*10+2,2000+INDEX(Eingabe!$G$9:$G$18,I200)*10+9))),""))</f>
        <v>1346</v>
      </c>
      <c r="C200" s="0" t="str">
        <f aca="false">IF(I200="","",IF(AND(J200&gt;=1,J200&lt;=K200+3),"10."&amp;INDEX(Eingabe!$D$9:$D$18,I200)&amp;"."&amp;IF(J200&lt;=K200,J200,IF(J200=K200+1,200,IF(J200=K200+2,201,250)))&amp;".0/24",""))</f>
        <v>10.3.46.0/24</v>
      </c>
      <c r="D200" s="0" t="str">
        <f aca="false">IF(I200="","",IF(AND(J200&gt;=1,J200&lt;=K200+3),"255.255.255.0",""))</f>
        <v>255.255.255.0</v>
      </c>
      <c r="E200" s="0" t="str">
        <f aca="false">IF(I200="","",IF(AND(J200&gt;=1,J200&lt;=K200+3),"10."&amp;INDEX(Eingabe!$D$9:$D$18,I200)&amp;"."&amp;IF(J200&lt;=K200,J200,IF(J200=K200+1,200,IF(J200=K200+2,201,250)))&amp;".1",""))</f>
        <v>10.3.46.1</v>
      </c>
      <c r="F200" s="0" t="str">
        <f aca="false">IF(I200="","",IF(AND(J200&gt;=1,J200&lt;=K200+3),"10."&amp;INDEX(Eingabe!$D$9:$D$18,I200)&amp;"."&amp;IF(J200&lt;=K200,J200,IF(J200=K200+1,200,IF(J200=K200+2,201,250)))&amp;".10 – 10."&amp;INDEX(Eingabe!$D$9:$D$18,I200)&amp;"."&amp;IF(J200&lt;=K200,J200,IF(J200=K200+1,200,IF(J200=K200+2,201,250)))&amp;".250",""))</f>
        <v>10.3.46.10 – 10.3.46.250</v>
      </c>
      <c r="G200" s="0" t="str">
        <f aca="false">IF(I200="","",IF(AND(J200&gt;=1,J200&lt;=K200),Eingabe!$B$6&amp;"-"&amp;INDEX(Eingabe!$C$9:$C$18,I200)&amp;"-Pächter  ·  Passwort Parzelle "&amp;J200,IF(J200=K200+1,Eingabe!$B$6&amp;"-"&amp;INDEX(Eingabe!$C$9:$C$18,I200)&amp;"-Vorstand  ·  eigenes WLAN",IF(J200=K200+2,Eingabe!$B$6&amp;"-"&amp;INDEX(Eingabe!$C$9:$C$18,I200)&amp;"-Gäste  ·  Voucher",IF(J200=K200+3,"Kabel  ·  Access Point y = .(50+y), Mast-Switch x = .(10+x)","")))))</f>
        <v>SparteNet.de-SW-Pächter  ·  Passwort Parzelle 46</v>
      </c>
      <c r="I200" s="7" t="n">
        <f aca="false">IF(195&lt;=(Eingabe!$P$18+Eingabe!$Q$18-1),MATCH(195,Eingabe!$P$9:$P$18,1),"")</f>
        <v>3</v>
      </c>
      <c r="J200" s="7" t="n">
        <f aca="false">IF(I200="","",195-INDEX(Eingabe!$P$9:$P$18,I200))</f>
        <v>46</v>
      </c>
      <c r="K200" s="7" t="n">
        <f aca="false">IF(I200="","",INDEX(Eingabe!$E$9:$E$18,I200))</f>
        <v>53</v>
      </c>
    </row>
    <row r="201" customFormat="false" ht="15" hidden="false" customHeight="false" outlineLevel="0" collapsed="false">
      <c r="A201" s="0" t="str">
        <f aca="false">IF(I201="","",IF(J201=0,"Sparte "&amp;I201&amp;": "&amp;INDEX(Eingabe!$B$9:$B$18,I201)&amp;"  (Sparten-ID "&amp;INDEX(Eingabe!$D$9:$D$18,I201)&amp;", "&amp;K201&amp;" Parzellen)",IF(J201&lt;=K201,"   Parzelle "&amp;J201,IF(J201=K201+1,"   Vorstand",IF(J201=K201+2,"   Gäste",IF(J201=K201+3,"   Technik (Switches, Access Points)",""))))))</f>
        <v>   Parzelle 47</v>
      </c>
      <c r="B201" s="0" t="n">
        <f aca="false">IF(I201="","",IF(AND(J201&gt;=1,J201&lt;=K201+3),IF(J201&lt;=K201,IF(J201&lt;=99,IF((INDEX(Eingabe!$G$9:$G$18,I201))&lt;=9,1000+(INDEX(Eingabe!$G$9:$G$18,I201))*100,3000)+J201,IF((INDEX(Eingabe!$G$9:$G$18,I201)+1)&lt;=9,1000+(INDEX(Eingabe!$G$9:$G$18,I201)+1)*100,3000)+J201-100),IF(J201=K201+1,2000+INDEX(Eingabe!$G$9:$G$18,I201)*10+1,IF(J201=K201+2,2000+INDEX(Eingabe!$G$9:$G$18,I201)*10+2,2000+INDEX(Eingabe!$G$9:$G$18,I201)*10+9))),""))</f>
        <v>1347</v>
      </c>
      <c r="C201" s="0" t="str">
        <f aca="false">IF(I201="","",IF(AND(J201&gt;=1,J201&lt;=K201+3),"10."&amp;INDEX(Eingabe!$D$9:$D$18,I201)&amp;"."&amp;IF(J201&lt;=K201,J201,IF(J201=K201+1,200,IF(J201=K201+2,201,250)))&amp;".0/24",""))</f>
        <v>10.3.47.0/24</v>
      </c>
      <c r="D201" s="0" t="str">
        <f aca="false">IF(I201="","",IF(AND(J201&gt;=1,J201&lt;=K201+3),"255.255.255.0",""))</f>
        <v>255.255.255.0</v>
      </c>
      <c r="E201" s="0" t="str">
        <f aca="false">IF(I201="","",IF(AND(J201&gt;=1,J201&lt;=K201+3),"10."&amp;INDEX(Eingabe!$D$9:$D$18,I201)&amp;"."&amp;IF(J201&lt;=K201,J201,IF(J201=K201+1,200,IF(J201=K201+2,201,250)))&amp;".1",""))</f>
        <v>10.3.47.1</v>
      </c>
      <c r="F201" s="0" t="str">
        <f aca="false">IF(I201="","",IF(AND(J201&gt;=1,J201&lt;=K201+3),"10."&amp;INDEX(Eingabe!$D$9:$D$18,I201)&amp;"."&amp;IF(J201&lt;=K201,J201,IF(J201=K201+1,200,IF(J201=K201+2,201,250)))&amp;".10 – 10."&amp;INDEX(Eingabe!$D$9:$D$18,I201)&amp;"."&amp;IF(J201&lt;=K201,J201,IF(J201=K201+1,200,IF(J201=K201+2,201,250)))&amp;".250",""))</f>
        <v>10.3.47.10 – 10.3.47.250</v>
      </c>
      <c r="G201" s="0" t="str">
        <f aca="false">IF(I201="","",IF(AND(J201&gt;=1,J201&lt;=K201),Eingabe!$B$6&amp;"-"&amp;INDEX(Eingabe!$C$9:$C$18,I201)&amp;"-Pächter  ·  Passwort Parzelle "&amp;J201,IF(J201=K201+1,Eingabe!$B$6&amp;"-"&amp;INDEX(Eingabe!$C$9:$C$18,I201)&amp;"-Vorstand  ·  eigenes WLAN",IF(J201=K201+2,Eingabe!$B$6&amp;"-"&amp;INDEX(Eingabe!$C$9:$C$18,I201)&amp;"-Gäste  ·  Voucher",IF(J201=K201+3,"Kabel  ·  Access Point y = .(50+y), Mast-Switch x = .(10+x)","")))))</f>
        <v>SparteNet.de-SW-Pächter  ·  Passwort Parzelle 47</v>
      </c>
      <c r="I201" s="7" t="n">
        <f aca="false">IF(196&lt;=(Eingabe!$P$18+Eingabe!$Q$18-1),MATCH(196,Eingabe!$P$9:$P$18,1),"")</f>
        <v>3</v>
      </c>
      <c r="J201" s="7" t="n">
        <f aca="false">IF(I201="","",196-INDEX(Eingabe!$P$9:$P$18,I201))</f>
        <v>47</v>
      </c>
      <c r="K201" s="7" t="n">
        <f aca="false">IF(I201="","",INDEX(Eingabe!$E$9:$E$18,I201))</f>
        <v>53</v>
      </c>
    </row>
    <row r="202" customFormat="false" ht="15" hidden="false" customHeight="false" outlineLevel="0" collapsed="false">
      <c r="A202" s="0" t="str">
        <f aca="false">IF(I202="","",IF(J202=0,"Sparte "&amp;I202&amp;": "&amp;INDEX(Eingabe!$B$9:$B$18,I202)&amp;"  (Sparten-ID "&amp;INDEX(Eingabe!$D$9:$D$18,I202)&amp;", "&amp;K202&amp;" Parzellen)",IF(J202&lt;=K202,"   Parzelle "&amp;J202,IF(J202=K202+1,"   Vorstand",IF(J202=K202+2,"   Gäste",IF(J202=K202+3,"   Technik (Switches, Access Points)",""))))))</f>
        <v>   Parzelle 48</v>
      </c>
      <c r="B202" s="0" t="n">
        <f aca="false">IF(I202="","",IF(AND(J202&gt;=1,J202&lt;=K202+3),IF(J202&lt;=K202,IF(J202&lt;=99,IF((INDEX(Eingabe!$G$9:$G$18,I202))&lt;=9,1000+(INDEX(Eingabe!$G$9:$G$18,I202))*100,3000)+J202,IF((INDEX(Eingabe!$G$9:$G$18,I202)+1)&lt;=9,1000+(INDEX(Eingabe!$G$9:$G$18,I202)+1)*100,3000)+J202-100),IF(J202=K202+1,2000+INDEX(Eingabe!$G$9:$G$18,I202)*10+1,IF(J202=K202+2,2000+INDEX(Eingabe!$G$9:$G$18,I202)*10+2,2000+INDEX(Eingabe!$G$9:$G$18,I202)*10+9))),""))</f>
        <v>1348</v>
      </c>
      <c r="C202" s="0" t="str">
        <f aca="false">IF(I202="","",IF(AND(J202&gt;=1,J202&lt;=K202+3),"10."&amp;INDEX(Eingabe!$D$9:$D$18,I202)&amp;"."&amp;IF(J202&lt;=K202,J202,IF(J202=K202+1,200,IF(J202=K202+2,201,250)))&amp;".0/24",""))</f>
        <v>10.3.48.0/24</v>
      </c>
      <c r="D202" s="0" t="str">
        <f aca="false">IF(I202="","",IF(AND(J202&gt;=1,J202&lt;=K202+3),"255.255.255.0",""))</f>
        <v>255.255.255.0</v>
      </c>
      <c r="E202" s="0" t="str">
        <f aca="false">IF(I202="","",IF(AND(J202&gt;=1,J202&lt;=K202+3),"10."&amp;INDEX(Eingabe!$D$9:$D$18,I202)&amp;"."&amp;IF(J202&lt;=K202,J202,IF(J202=K202+1,200,IF(J202=K202+2,201,250)))&amp;".1",""))</f>
        <v>10.3.48.1</v>
      </c>
      <c r="F202" s="0" t="str">
        <f aca="false">IF(I202="","",IF(AND(J202&gt;=1,J202&lt;=K202+3),"10."&amp;INDEX(Eingabe!$D$9:$D$18,I202)&amp;"."&amp;IF(J202&lt;=K202,J202,IF(J202=K202+1,200,IF(J202=K202+2,201,250)))&amp;".10 – 10."&amp;INDEX(Eingabe!$D$9:$D$18,I202)&amp;"."&amp;IF(J202&lt;=K202,J202,IF(J202=K202+1,200,IF(J202=K202+2,201,250)))&amp;".250",""))</f>
        <v>10.3.48.10 – 10.3.48.250</v>
      </c>
      <c r="G202" s="0" t="str">
        <f aca="false">IF(I202="","",IF(AND(J202&gt;=1,J202&lt;=K202),Eingabe!$B$6&amp;"-"&amp;INDEX(Eingabe!$C$9:$C$18,I202)&amp;"-Pächter  ·  Passwort Parzelle "&amp;J202,IF(J202=K202+1,Eingabe!$B$6&amp;"-"&amp;INDEX(Eingabe!$C$9:$C$18,I202)&amp;"-Vorstand  ·  eigenes WLAN",IF(J202=K202+2,Eingabe!$B$6&amp;"-"&amp;INDEX(Eingabe!$C$9:$C$18,I202)&amp;"-Gäste  ·  Voucher",IF(J202=K202+3,"Kabel  ·  Access Point y = .(50+y), Mast-Switch x = .(10+x)","")))))</f>
        <v>SparteNet.de-SW-Pächter  ·  Passwort Parzelle 48</v>
      </c>
      <c r="I202" s="7" t="n">
        <f aca="false">IF(197&lt;=(Eingabe!$P$18+Eingabe!$Q$18-1),MATCH(197,Eingabe!$P$9:$P$18,1),"")</f>
        <v>3</v>
      </c>
      <c r="J202" s="7" t="n">
        <f aca="false">IF(I202="","",197-INDEX(Eingabe!$P$9:$P$18,I202))</f>
        <v>48</v>
      </c>
      <c r="K202" s="7" t="n">
        <f aca="false">IF(I202="","",INDEX(Eingabe!$E$9:$E$18,I202))</f>
        <v>53</v>
      </c>
    </row>
    <row r="203" customFormat="false" ht="15" hidden="false" customHeight="false" outlineLevel="0" collapsed="false">
      <c r="A203" s="0" t="str">
        <f aca="false">IF(I203="","",IF(J203=0,"Sparte "&amp;I203&amp;": "&amp;INDEX(Eingabe!$B$9:$B$18,I203)&amp;"  (Sparten-ID "&amp;INDEX(Eingabe!$D$9:$D$18,I203)&amp;", "&amp;K203&amp;" Parzellen)",IF(J203&lt;=K203,"   Parzelle "&amp;J203,IF(J203=K203+1,"   Vorstand",IF(J203=K203+2,"   Gäste",IF(J203=K203+3,"   Technik (Switches, Access Points)",""))))))</f>
        <v>   Parzelle 49</v>
      </c>
      <c r="B203" s="0" t="n">
        <f aca="false">IF(I203="","",IF(AND(J203&gt;=1,J203&lt;=K203+3),IF(J203&lt;=K203,IF(J203&lt;=99,IF((INDEX(Eingabe!$G$9:$G$18,I203))&lt;=9,1000+(INDEX(Eingabe!$G$9:$G$18,I203))*100,3000)+J203,IF((INDEX(Eingabe!$G$9:$G$18,I203)+1)&lt;=9,1000+(INDEX(Eingabe!$G$9:$G$18,I203)+1)*100,3000)+J203-100),IF(J203=K203+1,2000+INDEX(Eingabe!$G$9:$G$18,I203)*10+1,IF(J203=K203+2,2000+INDEX(Eingabe!$G$9:$G$18,I203)*10+2,2000+INDEX(Eingabe!$G$9:$G$18,I203)*10+9))),""))</f>
        <v>1349</v>
      </c>
      <c r="C203" s="0" t="str">
        <f aca="false">IF(I203="","",IF(AND(J203&gt;=1,J203&lt;=K203+3),"10."&amp;INDEX(Eingabe!$D$9:$D$18,I203)&amp;"."&amp;IF(J203&lt;=K203,J203,IF(J203=K203+1,200,IF(J203=K203+2,201,250)))&amp;".0/24",""))</f>
        <v>10.3.49.0/24</v>
      </c>
      <c r="D203" s="0" t="str">
        <f aca="false">IF(I203="","",IF(AND(J203&gt;=1,J203&lt;=K203+3),"255.255.255.0",""))</f>
        <v>255.255.255.0</v>
      </c>
      <c r="E203" s="0" t="str">
        <f aca="false">IF(I203="","",IF(AND(J203&gt;=1,J203&lt;=K203+3),"10."&amp;INDEX(Eingabe!$D$9:$D$18,I203)&amp;"."&amp;IF(J203&lt;=K203,J203,IF(J203=K203+1,200,IF(J203=K203+2,201,250)))&amp;".1",""))</f>
        <v>10.3.49.1</v>
      </c>
      <c r="F203" s="0" t="str">
        <f aca="false">IF(I203="","",IF(AND(J203&gt;=1,J203&lt;=K203+3),"10."&amp;INDEX(Eingabe!$D$9:$D$18,I203)&amp;"."&amp;IF(J203&lt;=K203,J203,IF(J203=K203+1,200,IF(J203=K203+2,201,250)))&amp;".10 – 10."&amp;INDEX(Eingabe!$D$9:$D$18,I203)&amp;"."&amp;IF(J203&lt;=K203,J203,IF(J203=K203+1,200,IF(J203=K203+2,201,250)))&amp;".250",""))</f>
        <v>10.3.49.10 – 10.3.49.250</v>
      </c>
      <c r="G203" s="0" t="str">
        <f aca="false">IF(I203="","",IF(AND(J203&gt;=1,J203&lt;=K203),Eingabe!$B$6&amp;"-"&amp;INDEX(Eingabe!$C$9:$C$18,I203)&amp;"-Pächter  ·  Passwort Parzelle "&amp;J203,IF(J203=K203+1,Eingabe!$B$6&amp;"-"&amp;INDEX(Eingabe!$C$9:$C$18,I203)&amp;"-Vorstand  ·  eigenes WLAN",IF(J203=K203+2,Eingabe!$B$6&amp;"-"&amp;INDEX(Eingabe!$C$9:$C$18,I203)&amp;"-Gäste  ·  Voucher",IF(J203=K203+3,"Kabel  ·  Access Point y = .(50+y), Mast-Switch x = .(10+x)","")))))</f>
        <v>SparteNet.de-SW-Pächter  ·  Passwort Parzelle 49</v>
      </c>
      <c r="I203" s="7" t="n">
        <f aca="false">IF(198&lt;=(Eingabe!$P$18+Eingabe!$Q$18-1),MATCH(198,Eingabe!$P$9:$P$18,1),"")</f>
        <v>3</v>
      </c>
      <c r="J203" s="7" t="n">
        <f aca="false">IF(I203="","",198-INDEX(Eingabe!$P$9:$P$18,I203))</f>
        <v>49</v>
      </c>
      <c r="K203" s="7" t="n">
        <f aca="false">IF(I203="","",INDEX(Eingabe!$E$9:$E$18,I203))</f>
        <v>53</v>
      </c>
    </row>
    <row r="204" customFormat="false" ht="15" hidden="false" customHeight="false" outlineLevel="0" collapsed="false">
      <c r="A204" s="0" t="str">
        <f aca="false">IF(I204="","",IF(J204=0,"Sparte "&amp;I204&amp;": "&amp;INDEX(Eingabe!$B$9:$B$18,I204)&amp;"  (Sparten-ID "&amp;INDEX(Eingabe!$D$9:$D$18,I204)&amp;", "&amp;K204&amp;" Parzellen)",IF(J204&lt;=K204,"   Parzelle "&amp;J204,IF(J204=K204+1,"   Vorstand",IF(J204=K204+2,"   Gäste",IF(J204=K204+3,"   Technik (Switches, Access Points)",""))))))</f>
        <v>   Parzelle 50</v>
      </c>
      <c r="B204" s="0" t="n">
        <f aca="false">IF(I204="","",IF(AND(J204&gt;=1,J204&lt;=K204+3),IF(J204&lt;=K204,IF(J204&lt;=99,IF((INDEX(Eingabe!$G$9:$G$18,I204))&lt;=9,1000+(INDEX(Eingabe!$G$9:$G$18,I204))*100,3000)+J204,IF((INDEX(Eingabe!$G$9:$G$18,I204)+1)&lt;=9,1000+(INDEX(Eingabe!$G$9:$G$18,I204)+1)*100,3000)+J204-100),IF(J204=K204+1,2000+INDEX(Eingabe!$G$9:$G$18,I204)*10+1,IF(J204=K204+2,2000+INDEX(Eingabe!$G$9:$G$18,I204)*10+2,2000+INDEX(Eingabe!$G$9:$G$18,I204)*10+9))),""))</f>
        <v>1350</v>
      </c>
      <c r="C204" s="0" t="str">
        <f aca="false">IF(I204="","",IF(AND(J204&gt;=1,J204&lt;=K204+3),"10."&amp;INDEX(Eingabe!$D$9:$D$18,I204)&amp;"."&amp;IF(J204&lt;=K204,J204,IF(J204=K204+1,200,IF(J204=K204+2,201,250)))&amp;".0/24",""))</f>
        <v>10.3.50.0/24</v>
      </c>
      <c r="D204" s="0" t="str">
        <f aca="false">IF(I204="","",IF(AND(J204&gt;=1,J204&lt;=K204+3),"255.255.255.0",""))</f>
        <v>255.255.255.0</v>
      </c>
      <c r="E204" s="0" t="str">
        <f aca="false">IF(I204="","",IF(AND(J204&gt;=1,J204&lt;=K204+3),"10."&amp;INDEX(Eingabe!$D$9:$D$18,I204)&amp;"."&amp;IF(J204&lt;=K204,J204,IF(J204=K204+1,200,IF(J204=K204+2,201,250)))&amp;".1",""))</f>
        <v>10.3.50.1</v>
      </c>
      <c r="F204" s="0" t="str">
        <f aca="false">IF(I204="","",IF(AND(J204&gt;=1,J204&lt;=K204+3),"10."&amp;INDEX(Eingabe!$D$9:$D$18,I204)&amp;"."&amp;IF(J204&lt;=K204,J204,IF(J204=K204+1,200,IF(J204=K204+2,201,250)))&amp;".10 – 10."&amp;INDEX(Eingabe!$D$9:$D$18,I204)&amp;"."&amp;IF(J204&lt;=K204,J204,IF(J204=K204+1,200,IF(J204=K204+2,201,250)))&amp;".250",""))</f>
        <v>10.3.50.10 – 10.3.50.250</v>
      </c>
      <c r="G204" s="0" t="str">
        <f aca="false">IF(I204="","",IF(AND(J204&gt;=1,J204&lt;=K204),Eingabe!$B$6&amp;"-"&amp;INDEX(Eingabe!$C$9:$C$18,I204)&amp;"-Pächter  ·  Passwort Parzelle "&amp;J204,IF(J204=K204+1,Eingabe!$B$6&amp;"-"&amp;INDEX(Eingabe!$C$9:$C$18,I204)&amp;"-Vorstand  ·  eigenes WLAN",IF(J204=K204+2,Eingabe!$B$6&amp;"-"&amp;INDEX(Eingabe!$C$9:$C$18,I204)&amp;"-Gäste  ·  Voucher",IF(J204=K204+3,"Kabel  ·  Access Point y = .(50+y), Mast-Switch x = .(10+x)","")))))</f>
        <v>SparteNet.de-SW-Pächter  ·  Passwort Parzelle 50</v>
      </c>
      <c r="I204" s="7" t="n">
        <f aca="false">IF(199&lt;=(Eingabe!$P$18+Eingabe!$Q$18-1),MATCH(199,Eingabe!$P$9:$P$18,1),"")</f>
        <v>3</v>
      </c>
      <c r="J204" s="7" t="n">
        <f aca="false">IF(I204="","",199-INDEX(Eingabe!$P$9:$P$18,I204))</f>
        <v>50</v>
      </c>
      <c r="K204" s="7" t="n">
        <f aca="false">IF(I204="","",INDEX(Eingabe!$E$9:$E$18,I204))</f>
        <v>53</v>
      </c>
    </row>
    <row r="205" customFormat="false" ht="15" hidden="false" customHeight="false" outlineLevel="0" collapsed="false">
      <c r="A205" s="0" t="str">
        <f aca="false">IF(I205="","",IF(J205=0,"Sparte "&amp;I205&amp;": "&amp;INDEX(Eingabe!$B$9:$B$18,I205)&amp;"  (Sparten-ID "&amp;INDEX(Eingabe!$D$9:$D$18,I205)&amp;", "&amp;K205&amp;" Parzellen)",IF(J205&lt;=K205,"   Parzelle "&amp;J205,IF(J205=K205+1,"   Vorstand",IF(J205=K205+2,"   Gäste",IF(J205=K205+3,"   Technik (Switches, Access Points)",""))))))</f>
        <v>   Parzelle 51</v>
      </c>
      <c r="B205" s="0" t="n">
        <f aca="false">IF(I205="","",IF(AND(J205&gt;=1,J205&lt;=K205+3),IF(J205&lt;=K205,IF(J205&lt;=99,IF((INDEX(Eingabe!$G$9:$G$18,I205))&lt;=9,1000+(INDEX(Eingabe!$G$9:$G$18,I205))*100,3000)+J205,IF((INDEX(Eingabe!$G$9:$G$18,I205)+1)&lt;=9,1000+(INDEX(Eingabe!$G$9:$G$18,I205)+1)*100,3000)+J205-100),IF(J205=K205+1,2000+INDEX(Eingabe!$G$9:$G$18,I205)*10+1,IF(J205=K205+2,2000+INDEX(Eingabe!$G$9:$G$18,I205)*10+2,2000+INDEX(Eingabe!$G$9:$G$18,I205)*10+9))),""))</f>
        <v>1351</v>
      </c>
      <c r="C205" s="0" t="str">
        <f aca="false">IF(I205="","",IF(AND(J205&gt;=1,J205&lt;=K205+3),"10."&amp;INDEX(Eingabe!$D$9:$D$18,I205)&amp;"."&amp;IF(J205&lt;=K205,J205,IF(J205=K205+1,200,IF(J205=K205+2,201,250)))&amp;".0/24",""))</f>
        <v>10.3.51.0/24</v>
      </c>
      <c r="D205" s="0" t="str">
        <f aca="false">IF(I205="","",IF(AND(J205&gt;=1,J205&lt;=K205+3),"255.255.255.0",""))</f>
        <v>255.255.255.0</v>
      </c>
      <c r="E205" s="0" t="str">
        <f aca="false">IF(I205="","",IF(AND(J205&gt;=1,J205&lt;=K205+3),"10."&amp;INDEX(Eingabe!$D$9:$D$18,I205)&amp;"."&amp;IF(J205&lt;=K205,J205,IF(J205=K205+1,200,IF(J205=K205+2,201,250)))&amp;".1",""))</f>
        <v>10.3.51.1</v>
      </c>
      <c r="F205" s="0" t="str">
        <f aca="false">IF(I205="","",IF(AND(J205&gt;=1,J205&lt;=K205+3),"10."&amp;INDEX(Eingabe!$D$9:$D$18,I205)&amp;"."&amp;IF(J205&lt;=K205,J205,IF(J205=K205+1,200,IF(J205=K205+2,201,250)))&amp;".10 – 10."&amp;INDEX(Eingabe!$D$9:$D$18,I205)&amp;"."&amp;IF(J205&lt;=K205,J205,IF(J205=K205+1,200,IF(J205=K205+2,201,250)))&amp;".250",""))</f>
        <v>10.3.51.10 – 10.3.51.250</v>
      </c>
      <c r="G205" s="0" t="str">
        <f aca="false">IF(I205="","",IF(AND(J205&gt;=1,J205&lt;=K205),Eingabe!$B$6&amp;"-"&amp;INDEX(Eingabe!$C$9:$C$18,I205)&amp;"-Pächter  ·  Passwort Parzelle "&amp;J205,IF(J205=K205+1,Eingabe!$B$6&amp;"-"&amp;INDEX(Eingabe!$C$9:$C$18,I205)&amp;"-Vorstand  ·  eigenes WLAN",IF(J205=K205+2,Eingabe!$B$6&amp;"-"&amp;INDEX(Eingabe!$C$9:$C$18,I205)&amp;"-Gäste  ·  Voucher",IF(J205=K205+3,"Kabel  ·  Access Point y = .(50+y), Mast-Switch x = .(10+x)","")))))</f>
        <v>SparteNet.de-SW-Pächter  ·  Passwort Parzelle 51</v>
      </c>
      <c r="I205" s="7" t="n">
        <f aca="false">IF(200&lt;=(Eingabe!$P$18+Eingabe!$Q$18-1),MATCH(200,Eingabe!$P$9:$P$18,1),"")</f>
        <v>3</v>
      </c>
      <c r="J205" s="7" t="n">
        <f aca="false">IF(I205="","",200-INDEX(Eingabe!$P$9:$P$18,I205))</f>
        <v>51</v>
      </c>
      <c r="K205" s="7" t="n">
        <f aca="false">IF(I205="","",INDEX(Eingabe!$E$9:$E$18,I205))</f>
        <v>53</v>
      </c>
    </row>
    <row r="206" customFormat="false" ht="15" hidden="false" customHeight="false" outlineLevel="0" collapsed="false">
      <c r="A206" s="0" t="str">
        <f aca="false">IF(I206="","",IF(J206=0,"Sparte "&amp;I206&amp;": "&amp;INDEX(Eingabe!$B$9:$B$18,I206)&amp;"  (Sparten-ID "&amp;INDEX(Eingabe!$D$9:$D$18,I206)&amp;", "&amp;K206&amp;" Parzellen)",IF(J206&lt;=K206,"   Parzelle "&amp;J206,IF(J206=K206+1,"   Vorstand",IF(J206=K206+2,"   Gäste",IF(J206=K206+3,"   Technik (Switches, Access Points)",""))))))</f>
        <v>   Parzelle 52</v>
      </c>
      <c r="B206" s="0" t="n">
        <f aca="false">IF(I206="","",IF(AND(J206&gt;=1,J206&lt;=K206+3),IF(J206&lt;=K206,IF(J206&lt;=99,IF((INDEX(Eingabe!$G$9:$G$18,I206))&lt;=9,1000+(INDEX(Eingabe!$G$9:$G$18,I206))*100,3000)+J206,IF((INDEX(Eingabe!$G$9:$G$18,I206)+1)&lt;=9,1000+(INDEX(Eingabe!$G$9:$G$18,I206)+1)*100,3000)+J206-100),IF(J206=K206+1,2000+INDEX(Eingabe!$G$9:$G$18,I206)*10+1,IF(J206=K206+2,2000+INDEX(Eingabe!$G$9:$G$18,I206)*10+2,2000+INDEX(Eingabe!$G$9:$G$18,I206)*10+9))),""))</f>
        <v>1352</v>
      </c>
      <c r="C206" s="0" t="str">
        <f aca="false">IF(I206="","",IF(AND(J206&gt;=1,J206&lt;=K206+3),"10."&amp;INDEX(Eingabe!$D$9:$D$18,I206)&amp;"."&amp;IF(J206&lt;=K206,J206,IF(J206=K206+1,200,IF(J206=K206+2,201,250)))&amp;".0/24",""))</f>
        <v>10.3.52.0/24</v>
      </c>
      <c r="D206" s="0" t="str">
        <f aca="false">IF(I206="","",IF(AND(J206&gt;=1,J206&lt;=K206+3),"255.255.255.0",""))</f>
        <v>255.255.255.0</v>
      </c>
      <c r="E206" s="0" t="str">
        <f aca="false">IF(I206="","",IF(AND(J206&gt;=1,J206&lt;=K206+3),"10."&amp;INDEX(Eingabe!$D$9:$D$18,I206)&amp;"."&amp;IF(J206&lt;=K206,J206,IF(J206=K206+1,200,IF(J206=K206+2,201,250)))&amp;".1",""))</f>
        <v>10.3.52.1</v>
      </c>
      <c r="F206" s="0" t="str">
        <f aca="false">IF(I206="","",IF(AND(J206&gt;=1,J206&lt;=K206+3),"10."&amp;INDEX(Eingabe!$D$9:$D$18,I206)&amp;"."&amp;IF(J206&lt;=K206,J206,IF(J206=K206+1,200,IF(J206=K206+2,201,250)))&amp;".10 – 10."&amp;INDEX(Eingabe!$D$9:$D$18,I206)&amp;"."&amp;IF(J206&lt;=K206,J206,IF(J206=K206+1,200,IF(J206=K206+2,201,250)))&amp;".250",""))</f>
        <v>10.3.52.10 – 10.3.52.250</v>
      </c>
      <c r="G206" s="0" t="str">
        <f aca="false">IF(I206="","",IF(AND(J206&gt;=1,J206&lt;=K206),Eingabe!$B$6&amp;"-"&amp;INDEX(Eingabe!$C$9:$C$18,I206)&amp;"-Pächter  ·  Passwort Parzelle "&amp;J206,IF(J206=K206+1,Eingabe!$B$6&amp;"-"&amp;INDEX(Eingabe!$C$9:$C$18,I206)&amp;"-Vorstand  ·  eigenes WLAN",IF(J206=K206+2,Eingabe!$B$6&amp;"-"&amp;INDEX(Eingabe!$C$9:$C$18,I206)&amp;"-Gäste  ·  Voucher",IF(J206=K206+3,"Kabel  ·  Access Point y = .(50+y), Mast-Switch x = .(10+x)","")))))</f>
        <v>SparteNet.de-SW-Pächter  ·  Passwort Parzelle 52</v>
      </c>
      <c r="I206" s="7" t="n">
        <f aca="false">IF(201&lt;=(Eingabe!$P$18+Eingabe!$Q$18-1),MATCH(201,Eingabe!$P$9:$P$18,1),"")</f>
        <v>3</v>
      </c>
      <c r="J206" s="7" t="n">
        <f aca="false">IF(I206="","",201-INDEX(Eingabe!$P$9:$P$18,I206))</f>
        <v>52</v>
      </c>
      <c r="K206" s="7" t="n">
        <f aca="false">IF(I206="","",INDEX(Eingabe!$E$9:$E$18,I206))</f>
        <v>53</v>
      </c>
    </row>
    <row r="207" customFormat="false" ht="15" hidden="false" customHeight="false" outlineLevel="0" collapsed="false">
      <c r="A207" s="0" t="str">
        <f aca="false">IF(I207="","",IF(J207=0,"Sparte "&amp;I207&amp;": "&amp;INDEX(Eingabe!$B$9:$B$18,I207)&amp;"  (Sparten-ID "&amp;INDEX(Eingabe!$D$9:$D$18,I207)&amp;", "&amp;K207&amp;" Parzellen)",IF(J207&lt;=K207,"   Parzelle "&amp;J207,IF(J207=K207+1,"   Vorstand",IF(J207=K207+2,"   Gäste",IF(J207=K207+3,"   Technik (Switches, Access Points)",""))))))</f>
        <v>   Parzelle 53</v>
      </c>
      <c r="B207" s="0" t="n">
        <f aca="false">IF(I207="","",IF(AND(J207&gt;=1,J207&lt;=K207+3),IF(J207&lt;=K207,IF(J207&lt;=99,IF((INDEX(Eingabe!$G$9:$G$18,I207))&lt;=9,1000+(INDEX(Eingabe!$G$9:$G$18,I207))*100,3000)+J207,IF((INDEX(Eingabe!$G$9:$G$18,I207)+1)&lt;=9,1000+(INDEX(Eingabe!$G$9:$G$18,I207)+1)*100,3000)+J207-100),IF(J207=K207+1,2000+INDEX(Eingabe!$G$9:$G$18,I207)*10+1,IF(J207=K207+2,2000+INDEX(Eingabe!$G$9:$G$18,I207)*10+2,2000+INDEX(Eingabe!$G$9:$G$18,I207)*10+9))),""))</f>
        <v>1353</v>
      </c>
      <c r="C207" s="0" t="str">
        <f aca="false">IF(I207="","",IF(AND(J207&gt;=1,J207&lt;=K207+3),"10."&amp;INDEX(Eingabe!$D$9:$D$18,I207)&amp;"."&amp;IF(J207&lt;=K207,J207,IF(J207=K207+1,200,IF(J207=K207+2,201,250)))&amp;".0/24",""))</f>
        <v>10.3.53.0/24</v>
      </c>
      <c r="D207" s="0" t="str">
        <f aca="false">IF(I207="","",IF(AND(J207&gt;=1,J207&lt;=K207+3),"255.255.255.0",""))</f>
        <v>255.255.255.0</v>
      </c>
      <c r="E207" s="0" t="str">
        <f aca="false">IF(I207="","",IF(AND(J207&gt;=1,J207&lt;=K207+3),"10."&amp;INDEX(Eingabe!$D$9:$D$18,I207)&amp;"."&amp;IF(J207&lt;=K207,J207,IF(J207=K207+1,200,IF(J207=K207+2,201,250)))&amp;".1",""))</f>
        <v>10.3.53.1</v>
      </c>
      <c r="F207" s="0" t="str">
        <f aca="false">IF(I207="","",IF(AND(J207&gt;=1,J207&lt;=K207+3),"10."&amp;INDEX(Eingabe!$D$9:$D$18,I207)&amp;"."&amp;IF(J207&lt;=K207,J207,IF(J207=K207+1,200,IF(J207=K207+2,201,250)))&amp;".10 – 10."&amp;INDEX(Eingabe!$D$9:$D$18,I207)&amp;"."&amp;IF(J207&lt;=K207,J207,IF(J207=K207+1,200,IF(J207=K207+2,201,250)))&amp;".250",""))</f>
        <v>10.3.53.10 – 10.3.53.250</v>
      </c>
      <c r="G207" s="0" t="str">
        <f aca="false">IF(I207="","",IF(AND(J207&gt;=1,J207&lt;=K207),Eingabe!$B$6&amp;"-"&amp;INDEX(Eingabe!$C$9:$C$18,I207)&amp;"-Pächter  ·  Passwort Parzelle "&amp;J207,IF(J207=K207+1,Eingabe!$B$6&amp;"-"&amp;INDEX(Eingabe!$C$9:$C$18,I207)&amp;"-Vorstand  ·  eigenes WLAN",IF(J207=K207+2,Eingabe!$B$6&amp;"-"&amp;INDEX(Eingabe!$C$9:$C$18,I207)&amp;"-Gäste  ·  Voucher",IF(J207=K207+3,"Kabel  ·  Access Point y = .(50+y), Mast-Switch x = .(10+x)","")))))</f>
        <v>SparteNet.de-SW-Pächter  ·  Passwort Parzelle 53</v>
      </c>
      <c r="I207" s="7" t="n">
        <f aca="false">IF(202&lt;=(Eingabe!$P$18+Eingabe!$Q$18-1),MATCH(202,Eingabe!$P$9:$P$18,1),"")</f>
        <v>3</v>
      </c>
      <c r="J207" s="7" t="n">
        <f aca="false">IF(I207="","",202-INDEX(Eingabe!$P$9:$P$18,I207))</f>
        <v>53</v>
      </c>
      <c r="K207" s="7" t="n">
        <f aca="false">IF(I207="","",INDEX(Eingabe!$E$9:$E$18,I207))</f>
        <v>53</v>
      </c>
    </row>
    <row r="208" customFormat="false" ht="15" hidden="false" customHeight="false" outlineLevel="0" collapsed="false">
      <c r="A208" s="0" t="str">
        <f aca="false">IF(I208="","",IF(J208=0,"Sparte "&amp;I208&amp;": "&amp;INDEX(Eingabe!$B$9:$B$18,I208)&amp;"  (Sparten-ID "&amp;INDEX(Eingabe!$D$9:$D$18,I208)&amp;", "&amp;K208&amp;" Parzellen)",IF(J208&lt;=K208,"   Parzelle "&amp;J208,IF(J208=K208+1,"   Vorstand",IF(J208=K208+2,"   Gäste",IF(J208=K208+3,"   Technik (Switches, Access Points)",""))))))</f>
        <v>   Vorstand</v>
      </c>
      <c r="B208" s="0" t="n">
        <f aca="false">IF(I208="","",IF(AND(J208&gt;=1,J208&lt;=K208+3),IF(J208&lt;=K208,IF(J208&lt;=99,IF((INDEX(Eingabe!$G$9:$G$18,I208))&lt;=9,1000+(INDEX(Eingabe!$G$9:$G$18,I208))*100,3000)+J208,IF((INDEX(Eingabe!$G$9:$G$18,I208)+1)&lt;=9,1000+(INDEX(Eingabe!$G$9:$G$18,I208)+1)*100,3000)+J208-100),IF(J208=K208+1,2000+INDEX(Eingabe!$G$9:$G$18,I208)*10+1,IF(J208=K208+2,2000+INDEX(Eingabe!$G$9:$G$18,I208)*10+2,2000+INDEX(Eingabe!$G$9:$G$18,I208)*10+9))),""))</f>
        <v>2031</v>
      </c>
      <c r="C208" s="0" t="str">
        <f aca="false">IF(I208="","",IF(AND(J208&gt;=1,J208&lt;=K208+3),"10."&amp;INDEX(Eingabe!$D$9:$D$18,I208)&amp;"."&amp;IF(J208&lt;=K208,J208,IF(J208=K208+1,200,IF(J208=K208+2,201,250)))&amp;".0/24",""))</f>
        <v>10.3.200.0/24</v>
      </c>
      <c r="D208" s="0" t="str">
        <f aca="false">IF(I208="","",IF(AND(J208&gt;=1,J208&lt;=K208+3),"255.255.255.0",""))</f>
        <v>255.255.255.0</v>
      </c>
      <c r="E208" s="0" t="str">
        <f aca="false">IF(I208="","",IF(AND(J208&gt;=1,J208&lt;=K208+3),"10."&amp;INDEX(Eingabe!$D$9:$D$18,I208)&amp;"."&amp;IF(J208&lt;=K208,J208,IF(J208=K208+1,200,IF(J208=K208+2,201,250)))&amp;".1",""))</f>
        <v>10.3.200.1</v>
      </c>
      <c r="F208" s="0" t="str">
        <f aca="false">IF(I208="","",IF(AND(J208&gt;=1,J208&lt;=K208+3),"10."&amp;INDEX(Eingabe!$D$9:$D$18,I208)&amp;"."&amp;IF(J208&lt;=K208,J208,IF(J208=K208+1,200,IF(J208=K208+2,201,250)))&amp;".10 – 10."&amp;INDEX(Eingabe!$D$9:$D$18,I208)&amp;"."&amp;IF(J208&lt;=K208,J208,IF(J208=K208+1,200,IF(J208=K208+2,201,250)))&amp;".250",""))</f>
        <v>10.3.200.10 – 10.3.200.250</v>
      </c>
      <c r="G208" s="0" t="str">
        <f aca="false">IF(I208="","",IF(AND(J208&gt;=1,J208&lt;=K208),Eingabe!$B$6&amp;"-"&amp;INDEX(Eingabe!$C$9:$C$18,I208)&amp;"-Pächter  ·  Passwort Parzelle "&amp;J208,IF(J208=K208+1,Eingabe!$B$6&amp;"-"&amp;INDEX(Eingabe!$C$9:$C$18,I208)&amp;"-Vorstand  ·  eigenes WLAN",IF(J208=K208+2,Eingabe!$B$6&amp;"-"&amp;INDEX(Eingabe!$C$9:$C$18,I208)&amp;"-Gäste  ·  Voucher",IF(J208=K208+3,"Kabel  ·  Access Point y = .(50+y), Mast-Switch x = .(10+x)","")))))</f>
        <v>SparteNet.de-SW-Vorstand  ·  eigenes WLAN</v>
      </c>
      <c r="I208" s="7" t="n">
        <f aca="false">IF(203&lt;=(Eingabe!$P$18+Eingabe!$Q$18-1),MATCH(203,Eingabe!$P$9:$P$18,1),"")</f>
        <v>3</v>
      </c>
      <c r="J208" s="7" t="n">
        <f aca="false">IF(I208="","",203-INDEX(Eingabe!$P$9:$P$18,I208))</f>
        <v>54</v>
      </c>
      <c r="K208" s="7" t="n">
        <f aca="false">IF(I208="","",INDEX(Eingabe!$E$9:$E$18,I208))</f>
        <v>53</v>
      </c>
    </row>
    <row r="209" customFormat="false" ht="15" hidden="false" customHeight="false" outlineLevel="0" collapsed="false">
      <c r="A209" s="0" t="str">
        <f aca="false">IF(I209="","",IF(J209=0,"Sparte "&amp;I209&amp;": "&amp;INDEX(Eingabe!$B$9:$B$18,I209)&amp;"  (Sparten-ID "&amp;INDEX(Eingabe!$D$9:$D$18,I209)&amp;", "&amp;K209&amp;" Parzellen)",IF(J209&lt;=K209,"   Parzelle "&amp;J209,IF(J209=K209+1,"   Vorstand",IF(J209=K209+2,"   Gäste",IF(J209=K209+3,"   Technik (Switches, Access Points)",""))))))</f>
        <v>   Gäste</v>
      </c>
      <c r="B209" s="0" t="n">
        <f aca="false">IF(I209="","",IF(AND(J209&gt;=1,J209&lt;=K209+3),IF(J209&lt;=K209,IF(J209&lt;=99,IF((INDEX(Eingabe!$G$9:$G$18,I209))&lt;=9,1000+(INDEX(Eingabe!$G$9:$G$18,I209))*100,3000)+J209,IF((INDEX(Eingabe!$G$9:$G$18,I209)+1)&lt;=9,1000+(INDEX(Eingabe!$G$9:$G$18,I209)+1)*100,3000)+J209-100),IF(J209=K209+1,2000+INDEX(Eingabe!$G$9:$G$18,I209)*10+1,IF(J209=K209+2,2000+INDEX(Eingabe!$G$9:$G$18,I209)*10+2,2000+INDEX(Eingabe!$G$9:$G$18,I209)*10+9))),""))</f>
        <v>2032</v>
      </c>
      <c r="C209" s="0" t="str">
        <f aca="false">IF(I209="","",IF(AND(J209&gt;=1,J209&lt;=K209+3),"10."&amp;INDEX(Eingabe!$D$9:$D$18,I209)&amp;"."&amp;IF(J209&lt;=K209,J209,IF(J209=K209+1,200,IF(J209=K209+2,201,250)))&amp;".0/24",""))</f>
        <v>10.3.201.0/24</v>
      </c>
      <c r="D209" s="0" t="str">
        <f aca="false">IF(I209="","",IF(AND(J209&gt;=1,J209&lt;=K209+3),"255.255.255.0",""))</f>
        <v>255.255.255.0</v>
      </c>
      <c r="E209" s="0" t="str">
        <f aca="false">IF(I209="","",IF(AND(J209&gt;=1,J209&lt;=K209+3),"10."&amp;INDEX(Eingabe!$D$9:$D$18,I209)&amp;"."&amp;IF(J209&lt;=K209,J209,IF(J209=K209+1,200,IF(J209=K209+2,201,250)))&amp;".1",""))</f>
        <v>10.3.201.1</v>
      </c>
      <c r="F209" s="0" t="str">
        <f aca="false">IF(I209="","",IF(AND(J209&gt;=1,J209&lt;=K209+3),"10."&amp;INDEX(Eingabe!$D$9:$D$18,I209)&amp;"."&amp;IF(J209&lt;=K209,J209,IF(J209=K209+1,200,IF(J209=K209+2,201,250)))&amp;".10 – 10."&amp;INDEX(Eingabe!$D$9:$D$18,I209)&amp;"."&amp;IF(J209&lt;=K209,J209,IF(J209=K209+1,200,IF(J209=K209+2,201,250)))&amp;".250",""))</f>
        <v>10.3.201.10 – 10.3.201.250</v>
      </c>
      <c r="G209" s="0" t="str">
        <f aca="false">IF(I209="","",IF(AND(J209&gt;=1,J209&lt;=K209),Eingabe!$B$6&amp;"-"&amp;INDEX(Eingabe!$C$9:$C$18,I209)&amp;"-Pächter  ·  Passwort Parzelle "&amp;J209,IF(J209=K209+1,Eingabe!$B$6&amp;"-"&amp;INDEX(Eingabe!$C$9:$C$18,I209)&amp;"-Vorstand  ·  eigenes WLAN",IF(J209=K209+2,Eingabe!$B$6&amp;"-"&amp;INDEX(Eingabe!$C$9:$C$18,I209)&amp;"-Gäste  ·  Voucher",IF(J209=K209+3,"Kabel  ·  Access Point y = .(50+y), Mast-Switch x = .(10+x)","")))))</f>
        <v>SparteNet.de-SW-Gäste  ·  Voucher</v>
      </c>
      <c r="I209" s="7" t="n">
        <f aca="false">IF(204&lt;=(Eingabe!$P$18+Eingabe!$Q$18-1),MATCH(204,Eingabe!$P$9:$P$18,1),"")</f>
        <v>3</v>
      </c>
      <c r="J209" s="7" t="n">
        <f aca="false">IF(I209="","",204-INDEX(Eingabe!$P$9:$P$18,I209))</f>
        <v>55</v>
      </c>
      <c r="K209" s="7" t="n">
        <f aca="false">IF(I209="","",INDEX(Eingabe!$E$9:$E$18,I209))</f>
        <v>53</v>
      </c>
    </row>
    <row r="210" customFormat="false" ht="15" hidden="false" customHeight="false" outlineLevel="0" collapsed="false">
      <c r="A210" s="0" t="str">
        <f aca="false">IF(I210="","",IF(J210=0,"Sparte "&amp;I210&amp;": "&amp;INDEX(Eingabe!$B$9:$B$18,I210)&amp;"  (Sparten-ID "&amp;INDEX(Eingabe!$D$9:$D$18,I210)&amp;", "&amp;K210&amp;" Parzellen)",IF(J210&lt;=K210,"   Parzelle "&amp;J210,IF(J210=K210+1,"   Vorstand",IF(J210=K210+2,"   Gäste",IF(J210=K210+3,"   Technik (Switches, Access Points)",""))))))</f>
        <v>   Technik (Switches, Access Points)</v>
      </c>
      <c r="B210" s="0" t="n">
        <f aca="false">IF(I210="","",IF(AND(J210&gt;=1,J210&lt;=K210+3),IF(J210&lt;=K210,IF(J210&lt;=99,IF((INDEX(Eingabe!$G$9:$G$18,I210))&lt;=9,1000+(INDEX(Eingabe!$G$9:$G$18,I210))*100,3000)+J210,IF((INDEX(Eingabe!$G$9:$G$18,I210)+1)&lt;=9,1000+(INDEX(Eingabe!$G$9:$G$18,I210)+1)*100,3000)+J210-100),IF(J210=K210+1,2000+INDEX(Eingabe!$G$9:$G$18,I210)*10+1,IF(J210=K210+2,2000+INDEX(Eingabe!$G$9:$G$18,I210)*10+2,2000+INDEX(Eingabe!$G$9:$G$18,I210)*10+9))),""))</f>
        <v>2039</v>
      </c>
      <c r="C210" s="0" t="str">
        <f aca="false">IF(I210="","",IF(AND(J210&gt;=1,J210&lt;=K210+3),"10."&amp;INDEX(Eingabe!$D$9:$D$18,I210)&amp;"."&amp;IF(J210&lt;=K210,J210,IF(J210=K210+1,200,IF(J210=K210+2,201,250)))&amp;".0/24",""))</f>
        <v>10.3.250.0/24</v>
      </c>
      <c r="D210" s="0" t="str">
        <f aca="false">IF(I210="","",IF(AND(J210&gt;=1,J210&lt;=K210+3),"255.255.255.0",""))</f>
        <v>255.255.255.0</v>
      </c>
      <c r="E210" s="0" t="str">
        <f aca="false">IF(I210="","",IF(AND(J210&gt;=1,J210&lt;=K210+3),"10."&amp;INDEX(Eingabe!$D$9:$D$18,I210)&amp;"."&amp;IF(J210&lt;=K210,J210,IF(J210=K210+1,200,IF(J210=K210+2,201,250)))&amp;".1",""))</f>
        <v>10.3.250.1</v>
      </c>
      <c r="F210" s="0" t="str">
        <f aca="false">IF(I210="","",IF(AND(J210&gt;=1,J210&lt;=K210+3),"10."&amp;INDEX(Eingabe!$D$9:$D$18,I210)&amp;"."&amp;IF(J210&lt;=K210,J210,IF(J210=K210+1,200,IF(J210=K210+2,201,250)))&amp;".10 – 10."&amp;INDEX(Eingabe!$D$9:$D$18,I210)&amp;"."&amp;IF(J210&lt;=K210,J210,IF(J210=K210+1,200,IF(J210=K210+2,201,250)))&amp;".250",""))</f>
        <v>10.3.250.10 – 10.3.250.250</v>
      </c>
      <c r="G210" s="0" t="str">
        <f aca="false">IF(I210="","",IF(AND(J210&gt;=1,J210&lt;=K210),Eingabe!$B$6&amp;"-"&amp;INDEX(Eingabe!$C$9:$C$18,I210)&amp;"-Pächter  ·  Passwort Parzelle "&amp;J210,IF(J210=K210+1,Eingabe!$B$6&amp;"-"&amp;INDEX(Eingabe!$C$9:$C$18,I210)&amp;"-Vorstand  ·  eigenes WLAN",IF(J210=K210+2,Eingabe!$B$6&amp;"-"&amp;INDEX(Eingabe!$C$9:$C$18,I210)&amp;"-Gäste  ·  Voucher",IF(J210=K210+3,"Kabel  ·  Access Point y = .(50+y), Mast-Switch x = .(10+x)","")))))</f>
        <v>Kabel  ·  Access Point y = .(50+y), Mast-Switch x = .(10+x)</v>
      </c>
      <c r="I210" s="7" t="n">
        <f aca="false">IF(205&lt;=(Eingabe!$P$18+Eingabe!$Q$18-1),MATCH(205,Eingabe!$P$9:$P$18,1),"")</f>
        <v>3</v>
      </c>
      <c r="J210" s="7" t="n">
        <f aca="false">IF(I210="","",205-INDEX(Eingabe!$P$9:$P$18,I210))</f>
        <v>56</v>
      </c>
      <c r="K210" s="7" t="n">
        <f aca="false">IF(I210="","",INDEX(Eingabe!$E$9:$E$18,I210))</f>
        <v>53</v>
      </c>
    </row>
    <row r="211" customFormat="false" ht="15" hidden="false" customHeight="false" outlineLevel="0" collapsed="false">
      <c r="A211" s="0" t="str">
        <f aca="false">IF(I211="","",IF(J211=0,"Sparte "&amp;I211&amp;": "&amp;INDEX(Eingabe!$B$9:$B$18,I211)&amp;"  (Sparten-ID "&amp;INDEX(Eingabe!$D$9:$D$18,I211)&amp;", "&amp;K211&amp;" Parzellen)",IF(J211&lt;=K211,"   Parzelle "&amp;J211,IF(J211=K211+1,"   Vorstand",IF(J211=K211+2,"   Gäste",IF(J211=K211+3,"   Technik (Switches, Access Points)",""))))))</f>
        <v/>
      </c>
      <c r="B211" s="0" t="str">
        <f aca="false">IF(I211="","",IF(AND(J211&gt;=1,J211&lt;=K211+3),IF(J211&lt;=K211,IF(J211&lt;=99,IF((INDEX(Eingabe!$G$9:$G$18,I211))&lt;=9,1000+(INDEX(Eingabe!$G$9:$G$18,I211))*100,3000)+J211,IF((INDEX(Eingabe!$G$9:$G$18,I211)+1)&lt;=9,1000+(INDEX(Eingabe!$G$9:$G$18,I211)+1)*100,3000)+J211-100),IF(J211=K211+1,2000+INDEX(Eingabe!$G$9:$G$18,I211)*10+1,IF(J211=K211+2,2000+INDEX(Eingabe!$G$9:$G$18,I211)*10+2,2000+INDEX(Eingabe!$G$9:$G$18,I211)*10+9))),""))</f>
        <v/>
      </c>
      <c r="C211" s="0" t="str">
        <f aca="false">IF(I211="","",IF(AND(J211&gt;=1,J211&lt;=K211+3),"10."&amp;INDEX(Eingabe!$D$9:$D$18,I211)&amp;"."&amp;IF(J211&lt;=K211,J211,IF(J211=K211+1,200,IF(J211=K211+2,201,250)))&amp;".0/24",""))</f>
        <v/>
      </c>
      <c r="D211" s="0" t="str">
        <f aca="false">IF(I211="","",IF(AND(J211&gt;=1,J211&lt;=K211+3),"255.255.255.0",""))</f>
        <v/>
      </c>
      <c r="E211" s="0" t="str">
        <f aca="false">IF(I211="","",IF(AND(J211&gt;=1,J211&lt;=K211+3),"10."&amp;INDEX(Eingabe!$D$9:$D$18,I211)&amp;"."&amp;IF(J211&lt;=K211,J211,IF(J211=K211+1,200,IF(J211=K211+2,201,250)))&amp;".1",""))</f>
        <v/>
      </c>
      <c r="F211" s="0" t="str">
        <f aca="false">IF(I211="","",IF(AND(J211&gt;=1,J211&lt;=K211+3),"10."&amp;INDEX(Eingabe!$D$9:$D$18,I211)&amp;"."&amp;IF(J211&lt;=K211,J211,IF(J211=K211+1,200,IF(J211=K211+2,201,250)))&amp;".10 – 10."&amp;INDEX(Eingabe!$D$9:$D$18,I211)&amp;"."&amp;IF(J211&lt;=K211,J211,IF(J211=K211+1,200,IF(J211=K211+2,201,250)))&amp;".250",""))</f>
        <v/>
      </c>
      <c r="G211" s="0" t="str">
        <f aca="false">IF(I211="","",IF(AND(J211&gt;=1,J211&lt;=K211),Eingabe!$B$6&amp;"-"&amp;INDEX(Eingabe!$C$9:$C$18,I211)&amp;"-Pächter  ·  Passwort Parzelle "&amp;J211,IF(J211=K211+1,Eingabe!$B$6&amp;"-"&amp;INDEX(Eingabe!$C$9:$C$18,I211)&amp;"-Vorstand  ·  eigenes WLAN",IF(J211=K211+2,Eingabe!$B$6&amp;"-"&amp;INDEX(Eingabe!$C$9:$C$18,I211)&amp;"-Gäste  ·  Voucher",IF(J211=K211+3,"Kabel  ·  Access Point y = .(50+y), Mast-Switch x = .(10+x)","")))))</f>
        <v/>
      </c>
      <c r="I211" s="7" t="n">
        <f aca="false">IF(206&lt;=(Eingabe!$P$18+Eingabe!$Q$18-1),MATCH(206,Eingabe!$P$9:$P$18,1),"")</f>
        <v>3</v>
      </c>
      <c r="J211" s="7" t="n">
        <f aca="false">IF(I211="","",206-INDEX(Eingabe!$P$9:$P$18,I211))</f>
        <v>57</v>
      </c>
      <c r="K211" s="7" t="n">
        <f aca="false">IF(I211="","",INDEX(Eingabe!$E$9:$E$18,I211))</f>
        <v>53</v>
      </c>
    </row>
    <row r="212" customFormat="false" ht="15" hidden="false" customHeight="false" outlineLevel="0" collapsed="false">
      <c r="A212" s="0" t="str">
        <f aca="false">IF(I212="","",IF(J212=0,"Sparte "&amp;I212&amp;": "&amp;INDEX(Eingabe!$B$9:$B$18,I212)&amp;"  (Sparten-ID "&amp;INDEX(Eingabe!$D$9:$D$18,I212)&amp;", "&amp;K212&amp;" Parzellen)",IF(J212&lt;=K212,"   Parzelle "&amp;J212,IF(J212=K212+1,"   Vorstand",IF(J212=K212+2,"   Gäste",IF(J212=K212+3,"   Technik (Switches, Access Points)",""))))))</f>
        <v>Sparte 4: Sorgenfrei II  (Sparten-ID 4, 53 Parzellen)</v>
      </c>
      <c r="B212" s="0" t="str">
        <f aca="false">IF(I212="","",IF(AND(J212&gt;=1,J212&lt;=K212+3),IF(J212&lt;=K212,IF(J212&lt;=99,IF((INDEX(Eingabe!$G$9:$G$18,I212))&lt;=9,1000+(INDEX(Eingabe!$G$9:$G$18,I212))*100,3000)+J212,IF((INDEX(Eingabe!$G$9:$G$18,I212)+1)&lt;=9,1000+(INDEX(Eingabe!$G$9:$G$18,I212)+1)*100,3000)+J212-100),IF(J212=K212+1,2000+INDEX(Eingabe!$G$9:$G$18,I212)*10+1,IF(J212=K212+2,2000+INDEX(Eingabe!$G$9:$G$18,I212)*10+2,2000+INDEX(Eingabe!$G$9:$G$18,I212)*10+9))),""))</f>
        <v/>
      </c>
      <c r="C212" s="0" t="str">
        <f aca="false">IF(I212="","",IF(AND(J212&gt;=1,J212&lt;=K212+3),"10."&amp;INDEX(Eingabe!$D$9:$D$18,I212)&amp;"."&amp;IF(J212&lt;=K212,J212,IF(J212=K212+1,200,IF(J212=K212+2,201,250)))&amp;".0/24",""))</f>
        <v/>
      </c>
      <c r="D212" s="0" t="str">
        <f aca="false">IF(I212="","",IF(AND(J212&gt;=1,J212&lt;=K212+3),"255.255.255.0",""))</f>
        <v/>
      </c>
      <c r="E212" s="0" t="str">
        <f aca="false">IF(I212="","",IF(AND(J212&gt;=1,J212&lt;=K212+3),"10."&amp;INDEX(Eingabe!$D$9:$D$18,I212)&amp;"."&amp;IF(J212&lt;=K212,J212,IF(J212=K212+1,200,IF(J212=K212+2,201,250)))&amp;".1",""))</f>
        <v/>
      </c>
      <c r="F212" s="0" t="str">
        <f aca="false">IF(I212="","",IF(AND(J212&gt;=1,J212&lt;=K212+3),"10."&amp;INDEX(Eingabe!$D$9:$D$18,I212)&amp;"."&amp;IF(J212&lt;=K212,J212,IF(J212=K212+1,200,IF(J212=K212+2,201,250)))&amp;".10 – 10."&amp;INDEX(Eingabe!$D$9:$D$18,I212)&amp;"."&amp;IF(J212&lt;=K212,J212,IF(J212=K212+1,200,IF(J212=K212+2,201,250)))&amp;".250",""))</f>
        <v/>
      </c>
      <c r="G212" s="0" t="str">
        <f aca="false">IF(I212="","",IF(AND(J212&gt;=1,J212&lt;=K212),Eingabe!$B$6&amp;"-"&amp;INDEX(Eingabe!$C$9:$C$18,I212)&amp;"-Pächter  ·  Passwort Parzelle "&amp;J212,IF(J212=K212+1,Eingabe!$B$6&amp;"-"&amp;INDEX(Eingabe!$C$9:$C$18,I212)&amp;"-Vorstand  ·  eigenes WLAN",IF(J212=K212+2,Eingabe!$B$6&amp;"-"&amp;INDEX(Eingabe!$C$9:$C$18,I212)&amp;"-Gäste  ·  Voucher",IF(J212=K212+3,"Kabel  ·  Access Point y = .(50+y), Mast-Switch x = .(10+x)","")))))</f>
        <v/>
      </c>
      <c r="I212" s="7" t="n">
        <f aca="false">IF(207&lt;=(Eingabe!$P$18+Eingabe!$Q$18-1),MATCH(207,Eingabe!$P$9:$P$18,1),"")</f>
        <v>4</v>
      </c>
      <c r="J212" s="7" t="n">
        <f aca="false">IF(I212="","",207-INDEX(Eingabe!$P$9:$P$18,I212))</f>
        <v>0</v>
      </c>
      <c r="K212" s="7" t="n">
        <f aca="false">IF(I212="","",INDEX(Eingabe!$E$9:$E$18,I212))</f>
        <v>53</v>
      </c>
    </row>
    <row r="213" customFormat="false" ht="15" hidden="false" customHeight="false" outlineLevel="0" collapsed="false">
      <c r="A213" s="0" t="str">
        <f aca="false">IF(I213="","",IF(J213=0,"Sparte "&amp;I213&amp;": "&amp;INDEX(Eingabe!$B$9:$B$18,I213)&amp;"  (Sparten-ID "&amp;INDEX(Eingabe!$D$9:$D$18,I213)&amp;", "&amp;K213&amp;" Parzellen)",IF(J213&lt;=K213,"   Parzelle "&amp;J213,IF(J213=K213+1,"   Vorstand",IF(J213=K213+2,"   Gäste",IF(J213=K213+3,"   Technik (Switches, Access Points)",""))))))</f>
        <v>   Parzelle 1</v>
      </c>
      <c r="B213" s="0" t="n">
        <f aca="false">IF(I213="","",IF(AND(J213&gt;=1,J213&lt;=K213+3),IF(J213&lt;=K213,IF(J213&lt;=99,IF((INDEX(Eingabe!$G$9:$G$18,I213))&lt;=9,1000+(INDEX(Eingabe!$G$9:$G$18,I213))*100,3000)+J213,IF((INDEX(Eingabe!$G$9:$G$18,I213)+1)&lt;=9,1000+(INDEX(Eingabe!$G$9:$G$18,I213)+1)*100,3000)+J213-100),IF(J213=K213+1,2000+INDEX(Eingabe!$G$9:$G$18,I213)*10+1,IF(J213=K213+2,2000+INDEX(Eingabe!$G$9:$G$18,I213)*10+2,2000+INDEX(Eingabe!$G$9:$G$18,I213)*10+9))),""))</f>
        <v>1401</v>
      </c>
      <c r="C213" s="0" t="str">
        <f aca="false">IF(I213="","",IF(AND(J213&gt;=1,J213&lt;=K213+3),"10."&amp;INDEX(Eingabe!$D$9:$D$18,I213)&amp;"."&amp;IF(J213&lt;=K213,J213,IF(J213=K213+1,200,IF(J213=K213+2,201,250)))&amp;".0/24",""))</f>
        <v>10.4.1.0/24</v>
      </c>
      <c r="D213" s="0" t="str">
        <f aca="false">IF(I213="","",IF(AND(J213&gt;=1,J213&lt;=K213+3),"255.255.255.0",""))</f>
        <v>255.255.255.0</v>
      </c>
      <c r="E213" s="0" t="str">
        <f aca="false">IF(I213="","",IF(AND(J213&gt;=1,J213&lt;=K213+3),"10."&amp;INDEX(Eingabe!$D$9:$D$18,I213)&amp;"."&amp;IF(J213&lt;=K213,J213,IF(J213=K213+1,200,IF(J213=K213+2,201,250)))&amp;".1",""))</f>
        <v>10.4.1.1</v>
      </c>
      <c r="F213" s="0" t="str">
        <f aca="false">IF(I213="","",IF(AND(J213&gt;=1,J213&lt;=K213+3),"10."&amp;INDEX(Eingabe!$D$9:$D$18,I213)&amp;"."&amp;IF(J213&lt;=K213,J213,IF(J213=K213+1,200,IF(J213=K213+2,201,250)))&amp;".10 – 10."&amp;INDEX(Eingabe!$D$9:$D$18,I213)&amp;"."&amp;IF(J213&lt;=K213,J213,IF(J213=K213+1,200,IF(J213=K213+2,201,250)))&amp;".250",""))</f>
        <v>10.4.1.10 – 10.4.1.250</v>
      </c>
      <c r="G213" s="0" t="str">
        <f aca="false">IF(I213="","",IF(AND(J213&gt;=1,J213&lt;=K213),Eingabe!$B$6&amp;"-"&amp;INDEX(Eingabe!$C$9:$C$18,I213)&amp;"-Pächter  ·  Passwort Parzelle "&amp;J213,IF(J213=K213+1,Eingabe!$B$6&amp;"-"&amp;INDEX(Eingabe!$C$9:$C$18,I213)&amp;"-Vorstand  ·  eigenes WLAN",IF(J213=K213+2,Eingabe!$B$6&amp;"-"&amp;INDEX(Eingabe!$C$9:$C$18,I213)&amp;"-Gäste  ·  Voucher",IF(J213=K213+3,"Kabel  ·  Access Point y = .(50+y), Mast-Switch x = .(10+x)","")))))</f>
        <v>SparteNet.de-SF2-Pächter  ·  Passwort Parzelle 1</v>
      </c>
      <c r="I213" s="7" t="n">
        <f aca="false">IF(208&lt;=(Eingabe!$P$18+Eingabe!$Q$18-1),MATCH(208,Eingabe!$P$9:$P$18,1),"")</f>
        <v>4</v>
      </c>
      <c r="J213" s="7" t="n">
        <f aca="false">IF(I213="","",208-INDEX(Eingabe!$P$9:$P$18,I213))</f>
        <v>1</v>
      </c>
      <c r="K213" s="7" t="n">
        <f aca="false">IF(I213="","",INDEX(Eingabe!$E$9:$E$18,I213))</f>
        <v>53</v>
      </c>
    </row>
    <row r="214" customFormat="false" ht="15" hidden="false" customHeight="false" outlineLevel="0" collapsed="false">
      <c r="A214" s="0" t="str">
        <f aca="false">IF(I214="","",IF(J214=0,"Sparte "&amp;I214&amp;": "&amp;INDEX(Eingabe!$B$9:$B$18,I214)&amp;"  (Sparten-ID "&amp;INDEX(Eingabe!$D$9:$D$18,I214)&amp;", "&amp;K214&amp;" Parzellen)",IF(J214&lt;=K214,"   Parzelle "&amp;J214,IF(J214=K214+1,"   Vorstand",IF(J214=K214+2,"   Gäste",IF(J214=K214+3,"   Technik (Switches, Access Points)",""))))))</f>
        <v>   Parzelle 2</v>
      </c>
      <c r="B214" s="0" t="n">
        <f aca="false">IF(I214="","",IF(AND(J214&gt;=1,J214&lt;=K214+3),IF(J214&lt;=K214,IF(J214&lt;=99,IF((INDEX(Eingabe!$G$9:$G$18,I214))&lt;=9,1000+(INDEX(Eingabe!$G$9:$G$18,I214))*100,3000)+J214,IF((INDEX(Eingabe!$G$9:$G$18,I214)+1)&lt;=9,1000+(INDEX(Eingabe!$G$9:$G$18,I214)+1)*100,3000)+J214-100),IF(J214=K214+1,2000+INDEX(Eingabe!$G$9:$G$18,I214)*10+1,IF(J214=K214+2,2000+INDEX(Eingabe!$G$9:$G$18,I214)*10+2,2000+INDEX(Eingabe!$G$9:$G$18,I214)*10+9))),""))</f>
        <v>1402</v>
      </c>
      <c r="C214" s="0" t="str">
        <f aca="false">IF(I214="","",IF(AND(J214&gt;=1,J214&lt;=K214+3),"10."&amp;INDEX(Eingabe!$D$9:$D$18,I214)&amp;"."&amp;IF(J214&lt;=K214,J214,IF(J214=K214+1,200,IF(J214=K214+2,201,250)))&amp;".0/24",""))</f>
        <v>10.4.2.0/24</v>
      </c>
      <c r="D214" s="0" t="str">
        <f aca="false">IF(I214="","",IF(AND(J214&gt;=1,J214&lt;=K214+3),"255.255.255.0",""))</f>
        <v>255.255.255.0</v>
      </c>
      <c r="E214" s="0" t="str">
        <f aca="false">IF(I214="","",IF(AND(J214&gt;=1,J214&lt;=K214+3),"10."&amp;INDEX(Eingabe!$D$9:$D$18,I214)&amp;"."&amp;IF(J214&lt;=K214,J214,IF(J214=K214+1,200,IF(J214=K214+2,201,250)))&amp;".1",""))</f>
        <v>10.4.2.1</v>
      </c>
      <c r="F214" s="0" t="str">
        <f aca="false">IF(I214="","",IF(AND(J214&gt;=1,J214&lt;=K214+3),"10."&amp;INDEX(Eingabe!$D$9:$D$18,I214)&amp;"."&amp;IF(J214&lt;=K214,J214,IF(J214=K214+1,200,IF(J214=K214+2,201,250)))&amp;".10 – 10."&amp;INDEX(Eingabe!$D$9:$D$18,I214)&amp;"."&amp;IF(J214&lt;=K214,J214,IF(J214=K214+1,200,IF(J214=K214+2,201,250)))&amp;".250",""))</f>
        <v>10.4.2.10 – 10.4.2.250</v>
      </c>
      <c r="G214" s="0" t="str">
        <f aca="false">IF(I214="","",IF(AND(J214&gt;=1,J214&lt;=K214),Eingabe!$B$6&amp;"-"&amp;INDEX(Eingabe!$C$9:$C$18,I214)&amp;"-Pächter  ·  Passwort Parzelle "&amp;J214,IF(J214=K214+1,Eingabe!$B$6&amp;"-"&amp;INDEX(Eingabe!$C$9:$C$18,I214)&amp;"-Vorstand  ·  eigenes WLAN",IF(J214=K214+2,Eingabe!$B$6&amp;"-"&amp;INDEX(Eingabe!$C$9:$C$18,I214)&amp;"-Gäste  ·  Voucher",IF(J214=K214+3,"Kabel  ·  Access Point y = .(50+y), Mast-Switch x = .(10+x)","")))))</f>
        <v>SparteNet.de-SF2-Pächter  ·  Passwort Parzelle 2</v>
      </c>
      <c r="I214" s="7" t="n">
        <f aca="false">IF(209&lt;=(Eingabe!$P$18+Eingabe!$Q$18-1),MATCH(209,Eingabe!$P$9:$P$18,1),"")</f>
        <v>4</v>
      </c>
      <c r="J214" s="7" t="n">
        <f aca="false">IF(I214="","",209-INDEX(Eingabe!$P$9:$P$18,I214))</f>
        <v>2</v>
      </c>
      <c r="K214" s="7" t="n">
        <f aca="false">IF(I214="","",INDEX(Eingabe!$E$9:$E$18,I214))</f>
        <v>53</v>
      </c>
    </row>
    <row r="215" customFormat="false" ht="15" hidden="false" customHeight="false" outlineLevel="0" collapsed="false">
      <c r="A215" s="0" t="str">
        <f aca="false">IF(I215="","",IF(J215=0,"Sparte "&amp;I215&amp;": "&amp;INDEX(Eingabe!$B$9:$B$18,I215)&amp;"  (Sparten-ID "&amp;INDEX(Eingabe!$D$9:$D$18,I215)&amp;", "&amp;K215&amp;" Parzellen)",IF(J215&lt;=K215,"   Parzelle "&amp;J215,IF(J215=K215+1,"   Vorstand",IF(J215=K215+2,"   Gäste",IF(J215=K215+3,"   Technik (Switches, Access Points)",""))))))</f>
        <v>   Parzelle 3</v>
      </c>
      <c r="B215" s="0" t="n">
        <f aca="false">IF(I215="","",IF(AND(J215&gt;=1,J215&lt;=K215+3),IF(J215&lt;=K215,IF(J215&lt;=99,IF((INDEX(Eingabe!$G$9:$G$18,I215))&lt;=9,1000+(INDEX(Eingabe!$G$9:$G$18,I215))*100,3000)+J215,IF((INDEX(Eingabe!$G$9:$G$18,I215)+1)&lt;=9,1000+(INDEX(Eingabe!$G$9:$G$18,I215)+1)*100,3000)+J215-100),IF(J215=K215+1,2000+INDEX(Eingabe!$G$9:$G$18,I215)*10+1,IF(J215=K215+2,2000+INDEX(Eingabe!$G$9:$G$18,I215)*10+2,2000+INDEX(Eingabe!$G$9:$G$18,I215)*10+9))),""))</f>
        <v>1403</v>
      </c>
      <c r="C215" s="0" t="str">
        <f aca="false">IF(I215="","",IF(AND(J215&gt;=1,J215&lt;=K215+3),"10."&amp;INDEX(Eingabe!$D$9:$D$18,I215)&amp;"."&amp;IF(J215&lt;=K215,J215,IF(J215=K215+1,200,IF(J215=K215+2,201,250)))&amp;".0/24",""))</f>
        <v>10.4.3.0/24</v>
      </c>
      <c r="D215" s="0" t="str">
        <f aca="false">IF(I215="","",IF(AND(J215&gt;=1,J215&lt;=K215+3),"255.255.255.0",""))</f>
        <v>255.255.255.0</v>
      </c>
      <c r="E215" s="0" t="str">
        <f aca="false">IF(I215="","",IF(AND(J215&gt;=1,J215&lt;=K215+3),"10."&amp;INDEX(Eingabe!$D$9:$D$18,I215)&amp;"."&amp;IF(J215&lt;=K215,J215,IF(J215=K215+1,200,IF(J215=K215+2,201,250)))&amp;".1",""))</f>
        <v>10.4.3.1</v>
      </c>
      <c r="F215" s="0" t="str">
        <f aca="false">IF(I215="","",IF(AND(J215&gt;=1,J215&lt;=K215+3),"10."&amp;INDEX(Eingabe!$D$9:$D$18,I215)&amp;"."&amp;IF(J215&lt;=K215,J215,IF(J215=K215+1,200,IF(J215=K215+2,201,250)))&amp;".10 – 10."&amp;INDEX(Eingabe!$D$9:$D$18,I215)&amp;"."&amp;IF(J215&lt;=K215,J215,IF(J215=K215+1,200,IF(J215=K215+2,201,250)))&amp;".250",""))</f>
        <v>10.4.3.10 – 10.4.3.250</v>
      </c>
      <c r="G215" s="0" t="str">
        <f aca="false">IF(I215="","",IF(AND(J215&gt;=1,J215&lt;=K215),Eingabe!$B$6&amp;"-"&amp;INDEX(Eingabe!$C$9:$C$18,I215)&amp;"-Pächter  ·  Passwort Parzelle "&amp;J215,IF(J215=K215+1,Eingabe!$B$6&amp;"-"&amp;INDEX(Eingabe!$C$9:$C$18,I215)&amp;"-Vorstand  ·  eigenes WLAN",IF(J215=K215+2,Eingabe!$B$6&amp;"-"&amp;INDEX(Eingabe!$C$9:$C$18,I215)&amp;"-Gäste  ·  Voucher",IF(J215=K215+3,"Kabel  ·  Access Point y = .(50+y), Mast-Switch x = .(10+x)","")))))</f>
        <v>SparteNet.de-SF2-Pächter  ·  Passwort Parzelle 3</v>
      </c>
      <c r="I215" s="7" t="n">
        <f aca="false">IF(210&lt;=(Eingabe!$P$18+Eingabe!$Q$18-1),MATCH(210,Eingabe!$P$9:$P$18,1),"")</f>
        <v>4</v>
      </c>
      <c r="J215" s="7" t="n">
        <f aca="false">IF(I215="","",210-INDEX(Eingabe!$P$9:$P$18,I215))</f>
        <v>3</v>
      </c>
      <c r="K215" s="7" t="n">
        <f aca="false">IF(I215="","",INDEX(Eingabe!$E$9:$E$18,I215))</f>
        <v>53</v>
      </c>
    </row>
    <row r="216" customFormat="false" ht="15" hidden="false" customHeight="false" outlineLevel="0" collapsed="false">
      <c r="A216" s="0" t="str">
        <f aca="false">IF(I216="","",IF(J216=0,"Sparte "&amp;I216&amp;": "&amp;INDEX(Eingabe!$B$9:$B$18,I216)&amp;"  (Sparten-ID "&amp;INDEX(Eingabe!$D$9:$D$18,I216)&amp;", "&amp;K216&amp;" Parzellen)",IF(J216&lt;=K216,"   Parzelle "&amp;J216,IF(J216=K216+1,"   Vorstand",IF(J216=K216+2,"   Gäste",IF(J216=K216+3,"   Technik (Switches, Access Points)",""))))))</f>
        <v>   Parzelle 4</v>
      </c>
      <c r="B216" s="0" t="n">
        <f aca="false">IF(I216="","",IF(AND(J216&gt;=1,J216&lt;=K216+3),IF(J216&lt;=K216,IF(J216&lt;=99,IF((INDEX(Eingabe!$G$9:$G$18,I216))&lt;=9,1000+(INDEX(Eingabe!$G$9:$G$18,I216))*100,3000)+J216,IF((INDEX(Eingabe!$G$9:$G$18,I216)+1)&lt;=9,1000+(INDEX(Eingabe!$G$9:$G$18,I216)+1)*100,3000)+J216-100),IF(J216=K216+1,2000+INDEX(Eingabe!$G$9:$G$18,I216)*10+1,IF(J216=K216+2,2000+INDEX(Eingabe!$G$9:$G$18,I216)*10+2,2000+INDEX(Eingabe!$G$9:$G$18,I216)*10+9))),""))</f>
        <v>1404</v>
      </c>
      <c r="C216" s="0" t="str">
        <f aca="false">IF(I216="","",IF(AND(J216&gt;=1,J216&lt;=K216+3),"10."&amp;INDEX(Eingabe!$D$9:$D$18,I216)&amp;"."&amp;IF(J216&lt;=K216,J216,IF(J216=K216+1,200,IF(J216=K216+2,201,250)))&amp;".0/24",""))</f>
        <v>10.4.4.0/24</v>
      </c>
      <c r="D216" s="0" t="str">
        <f aca="false">IF(I216="","",IF(AND(J216&gt;=1,J216&lt;=K216+3),"255.255.255.0",""))</f>
        <v>255.255.255.0</v>
      </c>
      <c r="E216" s="0" t="str">
        <f aca="false">IF(I216="","",IF(AND(J216&gt;=1,J216&lt;=K216+3),"10."&amp;INDEX(Eingabe!$D$9:$D$18,I216)&amp;"."&amp;IF(J216&lt;=K216,J216,IF(J216=K216+1,200,IF(J216=K216+2,201,250)))&amp;".1",""))</f>
        <v>10.4.4.1</v>
      </c>
      <c r="F216" s="0" t="str">
        <f aca="false">IF(I216="","",IF(AND(J216&gt;=1,J216&lt;=K216+3),"10."&amp;INDEX(Eingabe!$D$9:$D$18,I216)&amp;"."&amp;IF(J216&lt;=K216,J216,IF(J216=K216+1,200,IF(J216=K216+2,201,250)))&amp;".10 – 10."&amp;INDEX(Eingabe!$D$9:$D$18,I216)&amp;"."&amp;IF(J216&lt;=K216,J216,IF(J216=K216+1,200,IF(J216=K216+2,201,250)))&amp;".250",""))</f>
        <v>10.4.4.10 – 10.4.4.250</v>
      </c>
      <c r="G216" s="0" t="str">
        <f aca="false">IF(I216="","",IF(AND(J216&gt;=1,J216&lt;=K216),Eingabe!$B$6&amp;"-"&amp;INDEX(Eingabe!$C$9:$C$18,I216)&amp;"-Pächter  ·  Passwort Parzelle "&amp;J216,IF(J216=K216+1,Eingabe!$B$6&amp;"-"&amp;INDEX(Eingabe!$C$9:$C$18,I216)&amp;"-Vorstand  ·  eigenes WLAN",IF(J216=K216+2,Eingabe!$B$6&amp;"-"&amp;INDEX(Eingabe!$C$9:$C$18,I216)&amp;"-Gäste  ·  Voucher",IF(J216=K216+3,"Kabel  ·  Access Point y = .(50+y), Mast-Switch x = .(10+x)","")))))</f>
        <v>SparteNet.de-SF2-Pächter  ·  Passwort Parzelle 4</v>
      </c>
      <c r="I216" s="7" t="n">
        <f aca="false">IF(211&lt;=(Eingabe!$P$18+Eingabe!$Q$18-1),MATCH(211,Eingabe!$P$9:$P$18,1),"")</f>
        <v>4</v>
      </c>
      <c r="J216" s="7" t="n">
        <f aca="false">IF(I216="","",211-INDEX(Eingabe!$P$9:$P$18,I216))</f>
        <v>4</v>
      </c>
      <c r="K216" s="7" t="n">
        <f aca="false">IF(I216="","",INDEX(Eingabe!$E$9:$E$18,I216))</f>
        <v>53</v>
      </c>
    </row>
    <row r="217" customFormat="false" ht="15" hidden="false" customHeight="false" outlineLevel="0" collapsed="false">
      <c r="A217" s="0" t="str">
        <f aca="false">IF(I217="","",IF(J217=0,"Sparte "&amp;I217&amp;": "&amp;INDEX(Eingabe!$B$9:$B$18,I217)&amp;"  (Sparten-ID "&amp;INDEX(Eingabe!$D$9:$D$18,I217)&amp;", "&amp;K217&amp;" Parzellen)",IF(J217&lt;=K217,"   Parzelle "&amp;J217,IF(J217=K217+1,"   Vorstand",IF(J217=K217+2,"   Gäste",IF(J217=K217+3,"   Technik (Switches, Access Points)",""))))))</f>
        <v>   Parzelle 5</v>
      </c>
      <c r="B217" s="0" t="n">
        <f aca="false">IF(I217="","",IF(AND(J217&gt;=1,J217&lt;=K217+3),IF(J217&lt;=K217,IF(J217&lt;=99,IF((INDEX(Eingabe!$G$9:$G$18,I217))&lt;=9,1000+(INDEX(Eingabe!$G$9:$G$18,I217))*100,3000)+J217,IF((INDEX(Eingabe!$G$9:$G$18,I217)+1)&lt;=9,1000+(INDEX(Eingabe!$G$9:$G$18,I217)+1)*100,3000)+J217-100),IF(J217=K217+1,2000+INDEX(Eingabe!$G$9:$G$18,I217)*10+1,IF(J217=K217+2,2000+INDEX(Eingabe!$G$9:$G$18,I217)*10+2,2000+INDEX(Eingabe!$G$9:$G$18,I217)*10+9))),""))</f>
        <v>1405</v>
      </c>
      <c r="C217" s="0" t="str">
        <f aca="false">IF(I217="","",IF(AND(J217&gt;=1,J217&lt;=K217+3),"10."&amp;INDEX(Eingabe!$D$9:$D$18,I217)&amp;"."&amp;IF(J217&lt;=K217,J217,IF(J217=K217+1,200,IF(J217=K217+2,201,250)))&amp;".0/24",""))</f>
        <v>10.4.5.0/24</v>
      </c>
      <c r="D217" s="0" t="str">
        <f aca="false">IF(I217="","",IF(AND(J217&gt;=1,J217&lt;=K217+3),"255.255.255.0",""))</f>
        <v>255.255.255.0</v>
      </c>
      <c r="E217" s="0" t="str">
        <f aca="false">IF(I217="","",IF(AND(J217&gt;=1,J217&lt;=K217+3),"10."&amp;INDEX(Eingabe!$D$9:$D$18,I217)&amp;"."&amp;IF(J217&lt;=K217,J217,IF(J217=K217+1,200,IF(J217=K217+2,201,250)))&amp;".1",""))</f>
        <v>10.4.5.1</v>
      </c>
      <c r="F217" s="0" t="str">
        <f aca="false">IF(I217="","",IF(AND(J217&gt;=1,J217&lt;=K217+3),"10."&amp;INDEX(Eingabe!$D$9:$D$18,I217)&amp;"."&amp;IF(J217&lt;=K217,J217,IF(J217=K217+1,200,IF(J217=K217+2,201,250)))&amp;".10 – 10."&amp;INDEX(Eingabe!$D$9:$D$18,I217)&amp;"."&amp;IF(J217&lt;=K217,J217,IF(J217=K217+1,200,IF(J217=K217+2,201,250)))&amp;".250",""))</f>
        <v>10.4.5.10 – 10.4.5.250</v>
      </c>
      <c r="G217" s="0" t="str">
        <f aca="false">IF(I217="","",IF(AND(J217&gt;=1,J217&lt;=K217),Eingabe!$B$6&amp;"-"&amp;INDEX(Eingabe!$C$9:$C$18,I217)&amp;"-Pächter  ·  Passwort Parzelle "&amp;J217,IF(J217=K217+1,Eingabe!$B$6&amp;"-"&amp;INDEX(Eingabe!$C$9:$C$18,I217)&amp;"-Vorstand  ·  eigenes WLAN",IF(J217=K217+2,Eingabe!$B$6&amp;"-"&amp;INDEX(Eingabe!$C$9:$C$18,I217)&amp;"-Gäste  ·  Voucher",IF(J217=K217+3,"Kabel  ·  Access Point y = .(50+y), Mast-Switch x = .(10+x)","")))))</f>
        <v>SparteNet.de-SF2-Pächter  ·  Passwort Parzelle 5</v>
      </c>
      <c r="I217" s="7" t="n">
        <f aca="false">IF(212&lt;=(Eingabe!$P$18+Eingabe!$Q$18-1),MATCH(212,Eingabe!$P$9:$P$18,1),"")</f>
        <v>4</v>
      </c>
      <c r="J217" s="7" t="n">
        <f aca="false">IF(I217="","",212-INDEX(Eingabe!$P$9:$P$18,I217))</f>
        <v>5</v>
      </c>
      <c r="K217" s="7" t="n">
        <f aca="false">IF(I217="","",INDEX(Eingabe!$E$9:$E$18,I217))</f>
        <v>53</v>
      </c>
    </row>
    <row r="218" customFormat="false" ht="15" hidden="false" customHeight="false" outlineLevel="0" collapsed="false">
      <c r="A218" s="0" t="str">
        <f aca="false">IF(I218="","",IF(J218=0,"Sparte "&amp;I218&amp;": "&amp;INDEX(Eingabe!$B$9:$B$18,I218)&amp;"  (Sparten-ID "&amp;INDEX(Eingabe!$D$9:$D$18,I218)&amp;", "&amp;K218&amp;" Parzellen)",IF(J218&lt;=K218,"   Parzelle "&amp;J218,IF(J218=K218+1,"   Vorstand",IF(J218=K218+2,"   Gäste",IF(J218=K218+3,"   Technik (Switches, Access Points)",""))))))</f>
        <v>   Parzelle 6</v>
      </c>
      <c r="B218" s="0" t="n">
        <f aca="false">IF(I218="","",IF(AND(J218&gt;=1,J218&lt;=K218+3),IF(J218&lt;=K218,IF(J218&lt;=99,IF((INDEX(Eingabe!$G$9:$G$18,I218))&lt;=9,1000+(INDEX(Eingabe!$G$9:$G$18,I218))*100,3000)+J218,IF((INDEX(Eingabe!$G$9:$G$18,I218)+1)&lt;=9,1000+(INDEX(Eingabe!$G$9:$G$18,I218)+1)*100,3000)+J218-100),IF(J218=K218+1,2000+INDEX(Eingabe!$G$9:$G$18,I218)*10+1,IF(J218=K218+2,2000+INDEX(Eingabe!$G$9:$G$18,I218)*10+2,2000+INDEX(Eingabe!$G$9:$G$18,I218)*10+9))),""))</f>
        <v>1406</v>
      </c>
      <c r="C218" s="0" t="str">
        <f aca="false">IF(I218="","",IF(AND(J218&gt;=1,J218&lt;=K218+3),"10."&amp;INDEX(Eingabe!$D$9:$D$18,I218)&amp;"."&amp;IF(J218&lt;=K218,J218,IF(J218=K218+1,200,IF(J218=K218+2,201,250)))&amp;".0/24",""))</f>
        <v>10.4.6.0/24</v>
      </c>
      <c r="D218" s="0" t="str">
        <f aca="false">IF(I218="","",IF(AND(J218&gt;=1,J218&lt;=K218+3),"255.255.255.0",""))</f>
        <v>255.255.255.0</v>
      </c>
      <c r="E218" s="0" t="str">
        <f aca="false">IF(I218="","",IF(AND(J218&gt;=1,J218&lt;=K218+3),"10."&amp;INDEX(Eingabe!$D$9:$D$18,I218)&amp;"."&amp;IF(J218&lt;=K218,J218,IF(J218=K218+1,200,IF(J218=K218+2,201,250)))&amp;".1",""))</f>
        <v>10.4.6.1</v>
      </c>
      <c r="F218" s="0" t="str">
        <f aca="false">IF(I218="","",IF(AND(J218&gt;=1,J218&lt;=K218+3),"10."&amp;INDEX(Eingabe!$D$9:$D$18,I218)&amp;"."&amp;IF(J218&lt;=K218,J218,IF(J218=K218+1,200,IF(J218=K218+2,201,250)))&amp;".10 – 10."&amp;INDEX(Eingabe!$D$9:$D$18,I218)&amp;"."&amp;IF(J218&lt;=K218,J218,IF(J218=K218+1,200,IF(J218=K218+2,201,250)))&amp;".250",""))</f>
        <v>10.4.6.10 – 10.4.6.250</v>
      </c>
      <c r="G218" s="0" t="str">
        <f aca="false">IF(I218="","",IF(AND(J218&gt;=1,J218&lt;=K218),Eingabe!$B$6&amp;"-"&amp;INDEX(Eingabe!$C$9:$C$18,I218)&amp;"-Pächter  ·  Passwort Parzelle "&amp;J218,IF(J218=K218+1,Eingabe!$B$6&amp;"-"&amp;INDEX(Eingabe!$C$9:$C$18,I218)&amp;"-Vorstand  ·  eigenes WLAN",IF(J218=K218+2,Eingabe!$B$6&amp;"-"&amp;INDEX(Eingabe!$C$9:$C$18,I218)&amp;"-Gäste  ·  Voucher",IF(J218=K218+3,"Kabel  ·  Access Point y = .(50+y), Mast-Switch x = .(10+x)","")))))</f>
        <v>SparteNet.de-SF2-Pächter  ·  Passwort Parzelle 6</v>
      </c>
      <c r="I218" s="7" t="n">
        <f aca="false">IF(213&lt;=(Eingabe!$P$18+Eingabe!$Q$18-1),MATCH(213,Eingabe!$P$9:$P$18,1),"")</f>
        <v>4</v>
      </c>
      <c r="J218" s="7" t="n">
        <f aca="false">IF(I218="","",213-INDEX(Eingabe!$P$9:$P$18,I218))</f>
        <v>6</v>
      </c>
      <c r="K218" s="7" t="n">
        <f aca="false">IF(I218="","",INDEX(Eingabe!$E$9:$E$18,I218))</f>
        <v>53</v>
      </c>
    </row>
    <row r="219" customFormat="false" ht="15" hidden="false" customHeight="false" outlineLevel="0" collapsed="false">
      <c r="A219" s="0" t="str">
        <f aca="false">IF(I219="","",IF(J219=0,"Sparte "&amp;I219&amp;": "&amp;INDEX(Eingabe!$B$9:$B$18,I219)&amp;"  (Sparten-ID "&amp;INDEX(Eingabe!$D$9:$D$18,I219)&amp;", "&amp;K219&amp;" Parzellen)",IF(J219&lt;=K219,"   Parzelle "&amp;J219,IF(J219=K219+1,"   Vorstand",IF(J219=K219+2,"   Gäste",IF(J219=K219+3,"   Technik (Switches, Access Points)",""))))))</f>
        <v>   Parzelle 7</v>
      </c>
      <c r="B219" s="0" t="n">
        <f aca="false">IF(I219="","",IF(AND(J219&gt;=1,J219&lt;=K219+3),IF(J219&lt;=K219,IF(J219&lt;=99,IF((INDEX(Eingabe!$G$9:$G$18,I219))&lt;=9,1000+(INDEX(Eingabe!$G$9:$G$18,I219))*100,3000)+J219,IF((INDEX(Eingabe!$G$9:$G$18,I219)+1)&lt;=9,1000+(INDEX(Eingabe!$G$9:$G$18,I219)+1)*100,3000)+J219-100),IF(J219=K219+1,2000+INDEX(Eingabe!$G$9:$G$18,I219)*10+1,IF(J219=K219+2,2000+INDEX(Eingabe!$G$9:$G$18,I219)*10+2,2000+INDEX(Eingabe!$G$9:$G$18,I219)*10+9))),""))</f>
        <v>1407</v>
      </c>
      <c r="C219" s="0" t="str">
        <f aca="false">IF(I219="","",IF(AND(J219&gt;=1,J219&lt;=K219+3),"10."&amp;INDEX(Eingabe!$D$9:$D$18,I219)&amp;"."&amp;IF(J219&lt;=K219,J219,IF(J219=K219+1,200,IF(J219=K219+2,201,250)))&amp;".0/24",""))</f>
        <v>10.4.7.0/24</v>
      </c>
      <c r="D219" s="0" t="str">
        <f aca="false">IF(I219="","",IF(AND(J219&gt;=1,J219&lt;=K219+3),"255.255.255.0",""))</f>
        <v>255.255.255.0</v>
      </c>
      <c r="E219" s="0" t="str">
        <f aca="false">IF(I219="","",IF(AND(J219&gt;=1,J219&lt;=K219+3),"10."&amp;INDEX(Eingabe!$D$9:$D$18,I219)&amp;"."&amp;IF(J219&lt;=K219,J219,IF(J219=K219+1,200,IF(J219=K219+2,201,250)))&amp;".1",""))</f>
        <v>10.4.7.1</v>
      </c>
      <c r="F219" s="0" t="str">
        <f aca="false">IF(I219="","",IF(AND(J219&gt;=1,J219&lt;=K219+3),"10."&amp;INDEX(Eingabe!$D$9:$D$18,I219)&amp;"."&amp;IF(J219&lt;=K219,J219,IF(J219=K219+1,200,IF(J219=K219+2,201,250)))&amp;".10 – 10."&amp;INDEX(Eingabe!$D$9:$D$18,I219)&amp;"."&amp;IF(J219&lt;=K219,J219,IF(J219=K219+1,200,IF(J219=K219+2,201,250)))&amp;".250",""))</f>
        <v>10.4.7.10 – 10.4.7.250</v>
      </c>
      <c r="G219" s="0" t="str">
        <f aca="false">IF(I219="","",IF(AND(J219&gt;=1,J219&lt;=K219),Eingabe!$B$6&amp;"-"&amp;INDEX(Eingabe!$C$9:$C$18,I219)&amp;"-Pächter  ·  Passwort Parzelle "&amp;J219,IF(J219=K219+1,Eingabe!$B$6&amp;"-"&amp;INDEX(Eingabe!$C$9:$C$18,I219)&amp;"-Vorstand  ·  eigenes WLAN",IF(J219=K219+2,Eingabe!$B$6&amp;"-"&amp;INDEX(Eingabe!$C$9:$C$18,I219)&amp;"-Gäste  ·  Voucher",IF(J219=K219+3,"Kabel  ·  Access Point y = .(50+y), Mast-Switch x = .(10+x)","")))))</f>
        <v>SparteNet.de-SF2-Pächter  ·  Passwort Parzelle 7</v>
      </c>
      <c r="I219" s="7" t="n">
        <f aca="false">IF(214&lt;=(Eingabe!$P$18+Eingabe!$Q$18-1),MATCH(214,Eingabe!$P$9:$P$18,1),"")</f>
        <v>4</v>
      </c>
      <c r="J219" s="7" t="n">
        <f aca="false">IF(I219="","",214-INDEX(Eingabe!$P$9:$P$18,I219))</f>
        <v>7</v>
      </c>
      <c r="K219" s="7" t="n">
        <f aca="false">IF(I219="","",INDEX(Eingabe!$E$9:$E$18,I219))</f>
        <v>53</v>
      </c>
    </row>
    <row r="220" customFormat="false" ht="15" hidden="false" customHeight="false" outlineLevel="0" collapsed="false">
      <c r="A220" s="0" t="str">
        <f aca="false">IF(I220="","",IF(J220=0,"Sparte "&amp;I220&amp;": "&amp;INDEX(Eingabe!$B$9:$B$18,I220)&amp;"  (Sparten-ID "&amp;INDEX(Eingabe!$D$9:$D$18,I220)&amp;", "&amp;K220&amp;" Parzellen)",IF(J220&lt;=K220,"   Parzelle "&amp;J220,IF(J220=K220+1,"   Vorstand",IF(J220=K220+2,"   Gäste",IF(J220=K220+3,"   Technik (Switches, Access Points)",""))))))</f>
        <v>   Parzelle 8</v>
      </c>
      <c r="B220" s="0" t="n">
        <f aca="false">IF(I220="","",IF(AND(J220&gt;=1,J220&lt;=K220+3),IF(J220&lt;=K220,IF(J220&lt;=99,IF((INDEX(Eingabe!$G$9:$G$18,I220))&lt;=9,1000+(INDEX(Eingabe!$G$9:$G$18,I220))*100,3000)+J220,IF((INDEX(Eingabe!$G$9:$G$18,I220)+1)&lt;=9,1000+(INDEX(Eingabe!$G$9:$G$18,I220)+1)*100,3000)+J220-100),IF(J220=K220+1,2000+INDEX(Eingabe!$G$9:$G$18,I220)*10+1,IF(J220=K220+2,2000+INDEX(Eingabe!$G$9:$G$18,I220)*10+2,2000+INDEX(Eingabe!$G$9:$G$18,I220)*10+9))),""))</f>
        <v>1408</v>
      </c>
      <c r="C220" s="0" t="str">
        <f aca="false">IF(I220="","",IF(AND(J220&gt;=1,J220&lt;=K220+3),"10."&amp;INDEX(Eingabe!$D$9:$D$18,I220)&amp;"."&amp;IF(J220&lt;=K220,J220,IF(J220=K220+1,200,IF(J220=K220+2,201,250)))&amp;".0/24",""))</f>
        <v>10.4.8.0/24</v>
      </c>
      <c r="D220" s="0" t="str">
        <f aca="false">IF(I220="","",IF(AND(J220&gt;=1,J220&lt;=K220+3),"255.255.255.0",""))</f>
        <v>255.255.255.0</v>
      </c>
      <c r="E220" s="0" t="str">
        <f aca="false">IF(I220="","",IF(AND(J220&gt;=1,J220&lt;=K220+3),"10."&amp;INDEX(Eingabe!$D$9:$D$18,I220)&amp;"."&amp;IF(J220&lt;=K220,J220,IF(J220=K220+1,200,IF(J220=K220+2,201,250)))&amp;".1",""))</f>
        <v>10.4.8.1</v>
      </c>
      <c r="F220" s="0" t="str">
        <f aca="false">IF(I220="","",IF(AND(J220&gt;=1,J220&lt;=K220+3),"10."&amp;INDEX(Eingabe!$D$9:$D$18,I220)&amp;"."&amp;IF(J220&lt;=K220,J220,IF(J220=K220+1,200,IF(J220=K220+2,201,250)))&amp;".10 – 10."&amp;INDEX(Eingabe!$D$9:$D$18,I220)&amp;"."&amp;IF(J220&lt;=K220,J220,IF(J220=K220+1,200,IF(J220=K220+2,201,250)))&amp;".250",""))</f>
        <v>10.4.8.10 – 10.4.8.250</v>
      </c>
      <c r="G220" s="0" t="str">
        <f aca="false">IF(I220="","",IF(AND(J220&gt;=1,J220&lt;=K220),Eingabe!$B$6&amp;"-"&amp;INDEX(Eingabe!$C$9:$C$18,I220)&amp;"-Pächter  ·  Passwort Parzelle "&amp;J220,IF(J220=K220+1,Eingabe!$B$6&amp;"-"&amp;INDEX(Eingabe!$C$9:$C$18,I220)&amp;"-Vorstand  ·  eigenes WLAN",IF(J220=K220+2,Eingabe!$B$6&amp;"-"&amp;INDEX(Eingabe!$C$9:$C$18,I220)&amp;"-Gäste  ·  Voucher",IF(J220=K220+3,"Kabel  ·  Access Point y = .(50+y), Mast-Switch x = .(10+x)","")))))</f>
        <v>SparteNet.de-SF2-Pächter  ·  Passwort Parzelle 8</v>
      </c>
      <c r="I220" s="7" t="n">
        <f aca="false">IF(215&lt;=(Eingabe!$P$18+Eingabe!$Q$18-1),MATCH(215,Eingabe!$P$9:$P$18,1),"")</f>
        <v>4</v>
      </c>
      <c r="J220" s="7" t="n">
        <f aca="false">IF(I220="","",215-INDEX(Eingabe!$P$9:$P$18,I220))</f>
        <v>8</v>
      </c>
      <c r="K220" s="7" t="n">
        <f aca="false">IF(I220="","",INDEX(Eingabe!$E$9:$E$18,I220))</f>
        <v>53</v>
      </c>
    </row>
    <row r="221" customFormat="false" ht="15" hidden="false" customHeight="false" outlineLevel="0" collapsed="false">
      <c r="A221" s="0" t="str">
        <f aca="false">IF(I221="","",IF(J221=0,"Sparte "&amp;I221&amp;": "&amp;INDEX(Eingabe!$B$9:$B$18,I221)&amp;"  (Sparten-ID "&amp;INDEX(Eingabe!$D$9:$D$18,I221)&amp;", "&amp;K221&amp;" Parzellen)",IF(J221&lt;=K221,"   Parzelle "&amp;J221,IF(J221=K221+1,"   Vorstand",IF(J221=K221+2,"   Gäste",IF(J221=K221+3,"   Technik (Switches, Access Points)",""))))))</f>
        <v>   Parzelle 9</v>
      </c>
      <c r="B221" s="0" t="n">
        <f aca="false">IF(I221="","",IF(AND(J221&gt;=1,J221&lt;=K221+3),IF(J221&lt;=K221,IF(J221&lt;=99,IF((INDEX(Eingabe!$G$9:$G$18,I221))&lt;=9,1000+(INDEX(Eingabe!$G$9:$G$18,I221))*100,3000)+J221,IF((INDEX(Eingabe!$G$9:$G$18,I221)+1)&lt;=9,1000+(INDEX(Eingabe!$G$9:$G$18,I221)+1)*100,3000)+J221-100),IF(J221=K221+1,2000+INDEX(Eingabe!$G$9:$G$18,I221)*10+1,IF(J221=K221+2,2000+INDEX(Eingabe!$G$9:$G$18,I221)*10+2,2000+INDEX(Eingabe!$G$9:$G$18,I221)*10+9))),""))</f>
        <v>1409</v>
      </c>
      <c r="C221" s="0" t="str">
        <f aca="false">IF(I221="","",IF(AND(J221&gt;=1,J221&lt;=K221+3),"10."&amp;INDEX(Eingabe!$D$9:$D$18,I221)&amp;"."&amp;IF(J221&lt;=K221,J221,IF(J221=K221+1,200,IF(J221=K221+2,201,250)))&amp;".0/24",""))</f>
        <v>10.4.9.0/24</v>
      </c>
      <c r="D221" s="0" t="str">
        <f aca="false">IF(I221="","",IF(AND(J221&gt;=1,J221&lt;=K221+3),"255.255.255.0",""))</f>
        <v>255.255.255.0</v>
      </c>
      <c r="E221" s="0" t="str">
        <f aca="false">IF(I221="","",IF(AND(J221&gt;=1,J221&lt;=K221+3),"10."&amp;INDEX(Eingabe!$D$9:$D$18,I221)&amp;"."&amp;IF(J221&lt;=K221,J221,IF(J221=K221+1,200,IF(J221=K221+2,201,250)))&amp;".1",""))</f>
        <v>10.4.9.1</v>
      </c>
      <c r="F221" s="0" t="str">
        <f aca="false">IF(I221="","",IF(AND(J221&gt;=1,J221&lt;=K221+3),"10."&amp;INDEX(Eingabe!$D$9:$D$18,I221)&amp;"."&amp;IF(J221&lt;=K221,J221,IF(J221=K221+1,200,IF(J221=K221+2,201,250)))&amp;".10 – 10."&amp;INDEX(Eingabe!$D$9:$D$18,I221)&amp;"."&amp;IF(J221&lt;=K221,J221,IF(J221=K221+1,200,IF(J221=K221+2,201,250)))&amp;".250",""))</f>
        <v>10.4.9.10 – 10.4.9.250</v>
      </c>
      <c r="G221" s="0" t="str">
        <f aca="false">IF(I221="","",IF(AND(J221&gt;=1,J221&lt;=K221),Eingabe!$B$6&amp;"-"&amp;INDEX(Eingabe!$C$9:$C$18,I221)&amp;"-Pächter  ·  Passwort Parzelle "&amp;J221,IF(J221=K221+1,Eingabe!$B$6&amp;"-"&amp;INDEX(Eingabe!$C$9:$C$18,I221)&amp;"-Vorstand  ·  eigenes WLAN",IF(J221=K221+2,Eingabe!$B$6&amp;"-"&amp;INDEX(Eingabe!$C$9:$C$18,I221)&amp;"-Gäste  ·  Voucher",IF(J221=K221+3,"Kabel  ·  Access Point y = .(50+y), Mast-Switch x = .(10+x)","")))))</f>
        <v>SparteNet.de-SF2-Pächter  ·  Passwort Parzelle 9</v>
      </c>
      <c r="I221" s="7" t="n">
        <f aca="false">IF(216&lt;=(Eingabe!$P$18+Eingabe!$Q$18-1),MATCH(216,Eingabe!$P$9:$P$18,1),"")</f>
        <v>4</v>
      </c>
      <c r="J221" s="7" t="n">
        <f aca="false">IF(I221="","",216-INDEX(Eingabe!$P$9:$P$18,I221))</f>
        <v>9</v>
      </c>
      <c r="K221" s="7" t="n">
        <f aca="false">IF(I221="","",INDEX(Eingabe!$E$9:$E$18,I221))</f>
        <v>53</v>
      </c>
    </row>
    <row r="222" customFormat="false" ht="15" hidden="false" customHeight="false" outlineLevel="0" collapsed="false">
      <c r="A222" s="0" t="str">
        <f aca="false">IF(I222="","",IF(J222=0,"Sparte "&amp;I222&amp;": "&amp;INDEX(Eingabe!$B$9:$B$18,I222)&amp;"  (Sparten-ID "&amp;INDEX(Eingabe!$D$9:$D$18,I222)&amp;", "&amp;K222&amp;" Parzellen)",IF(J222&lt;=K222,"   Parzelle "&amp;J222,IF(J222=K222+1,"   Vorstand",IF(J222=K222+2,"   Gäste",IF(J222=K222+3,"   Technik (Switches, Access Points)",""))))))</f>
        <v>   Parzelle 10</v>
      </c>
      <c r="B222" s="0" t="n">
        <f aca="false">IF(I222="","",IF(AND(J222&gt;=1,J222&lt;=K222+3),IF(J222&lt;=K222,IF(J222&lt;=99,IF((INDEX(Eingabe!$G$9:$G$18,I222))&lt;=9,1000+(INDEX(Eingabe!$G$9:$G$18,I222))*100,3000)+J222,IF((INDEX(Eingabe!$G$9:$G$18,I222)+1)&lt;=9,1000+(INDEX(Eingabe!$G$9:$G$18,I222)+1)*100,3000)+J222-100),IF(J222=K222+1,2000+INDEX(Eingabe!$G$9:$G$18,I222)*10+1,IF(J222=K222+2,2000+INDEX(Eingabe!$G$9:$G$18,I222)*10+2,2000+INDEX(Eingabe!$G$9:$G$18,I222)*10+9))),""))</f>
        <v>1410</v>
      </c>
      <c r="C222" s="0" t="str">
        <f aca="false">IF(I222="","",IF(AND(J222&gt;=1,J222&lt;=K222+3),"10."&amp;INDEX(Eingabe!$D$9:$D$18,I222)&amp;"."&amp;IF(J222&lt;=K222,J222,IF(J222=K222+1,200,IF(J222=K222+2,201,250)))&amp;".0/24",""))</f>
        <v>10.4.10.0/24</v>
      </c>
      <c r="D222" s="0" t="str">
        <f aca="false">IF(I222="","",IF(AND(J222&gt;=1,J222&lt;=K222+3),"255.255.255.0",""))</f>
        <v>255.255.255.0</v>
      </c>
      <c r="E222" s="0" t="str">
        <f aca="false">IF(I222="","",IF(AND(J222&gt;=1,J222&lt;=K222+3),"10."&amp;INDEX(Eingabe!$D$9:$D$18,I222)&amp;"."&amp;IF(J222&lt;=K222,J222,IF(J222=K222+1,200,IF(J222=K222+2,201,250)))&amp;".1",""))</f>
        <v>10.4.10.1</v>
      </c>
      <c r="F222" s="0" t="str">
        <f aca="false">IF(I222="","",IF(AND(J222&gt;=1,J222&lt;=K222+3),"10."&amp;INDEX(Eingabe!$D$9:$D$18,I222)&amp;"."&amp;IF(J222&lt;=K222,J222,IF(J222=K222+1,200,IF(J222=K222+2,201,250)))&amp;".10 – 10."&amp;INDEX(Eingabe!$D$9:$D$18,I222)&amp;"."&amp;IF(J222&lt;=K222,J222,IF(J222=K222+1,200,IF(J222=K222+2,201,250)))&amp;".250",""))</f>
        <v>10.4.10.10 – 10.4.10.250</v>
      </c>
      <c r="G222" s="0" t="str">
        <f aca="false">IF(I222="","",IF(AND(J222&gt;=1,J222&lt;=K222),Eingabe!$B$6&amp;"-"&amp;INDEX(Eingabe!$C$9:$C$18,I222)&amp;"-Pächter  ·  Passwort Parzelle "&amp;J222,IF(J222=K222+1,Eingabe!$B$6&amp;"-"&amp;INDEX(Eingabe!$C$9:$C$18,I222)&amp;"-Vorstand  ·  eigenes WLAN",IF(J222=K222+2,Eingabe!$B$6&amp;"-"&amp;INDEX(Eingabe!$C$9:$C$18,I222)&amp;"-Gäste  ·  Voucher",IF(J222=K222+3,"Kabel  ·  Access Point y = .(50+y), Mast-Switch x = .(10+x)","")))))</f>
        <v>SparteNet.de-SF2-Pächter  ·  Passwort Parzelle 10</v>
      </c>
      <c r="I222" s="7" t="n">
        <f aca="false">IF(217&lt;=(Eingabe!$P$18+Eingabe!$Q$18-1),MATCH(217,Eingabe!$P$9:$P$18,1),"")</f>
        <v>4</v>
      </c>
      <c r="J222" s="7" t="n">
        <f aca="false">IF(I222="","",217-INDEX(Eingabe!$P$9:$P$18,I222))</f>
        <v>10</v>
      </c>
      <c r="K222" s="7" t="n">
        <f aca="false">IF(I222="","",INDEX(Eingabe!$E$9:$E$18,I222))</f>
        <v>53</v>
      </c>
    </row>
    <row r="223" customFormat="false" ht="15" hidden="false" customHeight="false" outlineLevel="0" collapsed="false">
      <c r="A223" s="0" t="str">
        <f aca="false">IF(I223="","",IF(J223=0,"Sparte "&amp;I223&amp;": "&amp;INDEX(Eingabe!$B$9:$B$18,I223)&amp;"  (Sparten-ID "&amp;INDEX(Eingabe!$D$9:$D$18,I223)&amp;", "&amp;K223&amp;" Parzellen)",IF(J223&lt;=K223,"   Parzelle "&amp;J223,IF(J223=K223+1,"   Vorstand",IF(J223=K223+2,"   Gäste",IF(J223=K223+3,"   Technik (Switches, Access Points)",""))))))</f>
        <v>   Parzelle 11</v>
      </c>
      <c r="B223" s="0" t="n">
        <f aca="false">IF(I223="","",IF(AND(J223&gt;=1,J223&lt;=K223+3),IF(J223&lt;=K223,IF(J223&lt;=99,IF((INDEX(Eingabe!$G$9:$G$18,I223))&lt;=9,1000+(INDEX(Eingabe!$G$9:$G$18,I223))*100,3000)+J223,IF((INDEX(Eingabe!$G$9:$G$18,I223)+1)&lt;=9,1000+(INDEX(Eingabe!$G$9:$G$18,I223)+1)*100,3000)+J223-100),IF(J223=K223+1,2000+INDEX(Eingabe!$G$9:$G$18,I223)*10+1,IF(J223=K223+2,2000+INDEX(Eingabe!$G$9:$G$18,I223)*10+2,2000+INDEX(Eingabe!$G$9:$G$18,I223)*10+9))),""))</f>
        <v>1411</v>
      </c>
      <c r="C223" s="0" t="str">
        <f aca="false">IF(I223="","",IF(AND(J223&gt;=1,J223&lt;=K223+3),"10."&amp;INDEX(Eingabe!$D$9:$D$18,I223)&amp;"."&amp;IF(J223&lt;=K223,J223,IF(J223=K223+1,200,IF(J223=K223+2,201,250)))&amp;".0/24",""))</f>
        <v>10.4.11.0/24</v>
      </c>
      <c r="D223" s="0" t="str">
        <f aca="false">IF(I223="","",IF(AND(J223&gt;=1,J223&lt;=K223+3),"255.255.255.0",""))</f>
        <v>255.255.255.0</v>
      </c>
      <c r="E223" s="0" t="str">
        <f aca="false">IF(I223="","",IF(AND(J223&gt;=1,J223&lt;=K223+3),"10."&amp;INDEX(Eingabe!$D$9:$D$18,I223)&amp;"."&amp;IF(J223&lt;=K223,J223,IF(J223=K223+1,200,IF(J223=K223+2,201,250)))&amp;".1",""))</f>
        <v>10.4.11.1</v>
      </c>
      <c r="F223" s="0" t="str">
        <f aca="false">IF(I223="","",IF(AND(J223&gt;=1,J223&lt;=K223+3),"10."&amp;INDEX(Eingabe!$D$9:$D$18,I223)&amp;"."&amp;IF(J223&lt;=K223,J223,IF(J223=K223+1,200,IF(J223=K223+2,201,250)))&amp;".10 – 10."&amp;INDEX(Eingabe!$D$9:$D$18,I223)&amp;"."&amp;IF(J223&lt;=K223,J223,IF(J223=K223+1,200,IF(J223=K223+2,201,250)))&amp;".250",""))</f>
        <v>10.4.11.10 – 10.4.11.250</v>
      </c>
      <c r="G223" s="0" t="str">
        <f aca="false">IF(I223="","",IF(AND(J223&gt;=1,J223&lt;=K223),Eingabe!$B$6&amp;"-"&amp;INDEX(Eingabe!$C$9:$C$18,I223)&amp;"-Pächter  ·  Passwort Parzelle "&amp;J223,IF(J223=K223+1,Eingabe!$B$6&amp;"-"&amp;INDEX(Eingabe!$C$9:$C$18,I223)&amp;"-Vorstand  ·  eigenes WLAN",IF(J223=K223+2,Eingabe!$B$6&amp;"-"&amp;INDEX(Eingabe!$C$9:$C$18,I223)&amp;"-Gäste  ·  Voucher",IF(J223=K223+3,"Kabel  ·  Access Point y = .(50+y), Mast-Switch x = .(10+x)","")))))</f>
        <v>SparteNet.de-SF2-Pächter  ·  Passwort Parzelle 11</v>
      </c>
      <c r="I223" s="7" t="n">
        <f aca="false">IF(218&lt;=(Eingabe!$P$18+Eingabe!$Q$18-1),MATCH(218,Eingabe!$P$9:$P$18,1),"")</f>
        <v>4</v>
      </c>
      <c r="J223" s="7" t="n">
        <f aca="false">IF(I223="","",218-INDEX(Eingabe!$P$9:$P$18,I223))</f>
        <v>11</v>
      </c>
      <c r="K223" s="7" t="n">
        <f aca="false">IF(I223="","",INDEX(Eingabe!$E$9:$E$18,I223))</f>
        <v>53</v>
      </c>
    </row>
    <row r="224" customFormat="false" ht="15" hidden="false" customHeight="false" outlineLevel="0" collapsed="false">
      <c r="A224" s="0" t="str">
        <f aca="false">IF(I224="","",IF(J224=0,"Sparte "&amp;I224&amp;": "&amp;INDEX(Eingabe!$B$9:$B$18,I224)&amp;"  (Sparten-ID "&amp;INDEX(Eingabe!$D$9:$D$18,I224)&amp;", "&amp;K224&amp;" Parzellen)",IF(J224&lt;=K224,"   Parzelle "&amp;J224,IF(J224=K224+1,"   Vorstand",IF(J224=K224+2,"   Gäste",IF(J224=K224+3,"   Technik (Switches, Access Points)",""))))))</f>
        <v>   Parzelle 12</v>
      </c>
      <c r="B224" s="0" t="n">
        <f aca="false">IF(I224="","",IF(AND(J224&gt;=1,J224&lt;=K224+3),IF(J224&lt;=K224,IF(J224&lt;=99,IF((INDEX(Eingabe!$G$9:$G$18,I224))&lt;=9,1000+(INDEX(Eingabe!$G$9:$G$18,I224))*100,3000)+J224,IF((INDEX(Eingabe!$G$9:$G$18,I224)+1)&lt;=9,1000+(INDEX(Eingabe!$G$9:$G$18,I224)+1)*100,3000)+J224-100),IF(J224=K224+1,2000+INDEX(Eingabe!$G$9:$G$18,I224)*10+1,IF(J224=K224+2,2000+INDEX(Eingabe!$G$9:$G$18,I224)*10+2,2000+INDEX(Eingabe!$G$9:$G$18,I224)*10+9))),""))</f>
        <v>1412</v>
      </c>
      <c r="C224" s="0" t="str">
        <f aca="false">IF(I224="","",IF(AND(J224&gt;=1,J224&lt;=K224+3),"10."&amp;INDEX(Eingabe!$D$9:$D$18,I224)&amp;"."&amp;IF(J224&lt;=K224,J224,IF(J224=K224+1,200,IF(J224=K224+2,201,250)))&amp;".0/24",""))</f>
        <v>10.4.12.0/24</v>
      </c>
      <c r="D224" s="0" t="str">
        <f aca="false">IF(I224="","",IF(AND(J224&gt;=1,J224&lt;=K224+3),"255.255.255.0",""))</f>
        <v>255.255.255.0</v>
      </c>
      <c r="E224" s="0" t="str">
        <f aca="false">IF(I224="","",IF(AND(J224&gt;=1,J224&lt;=K224+3),"10."&amp;INDEX(Eingabe!$D$9:$D$18,I224)&amp;"."&amp;IF(J224&lt;=K224,J224,IF(J224=K224+1,200,IF(J224=K224+2,201,250)))&amp;".1",""))</f>
        <v>10.4.12.1</v>
      </c>
      <c r="F224" s="0" t="str">
        <f aca="false">IF(I224="","",IF(AND(J224&gt;=1,J224&lt;=K224+3),"10."&amp;INDEX(Eingabe!$D$9:$D$18,I224)&amp;"."&amp;IF(J224&lt;=K224,J224,IF(J224=K224+1,200,IF(J224=K224+2,201,250)))&amp;".10 – 10."&amp;INDEX(Eingabe!$D$9:$D$18,I224)&amp;"."&amp;IF(J224&lt;=K224,J224,IF(J224=K224+1,200,IF(J224=K224+2,201,250)))&amp;".250",""))</f>
        <v>10.4.12.10 – 10.4.12.250</v>
      </c>
      <c r="G224" s="0" t="str">
        <f aca="false">IF(I224="","",IF(AND(J224&gt;=1,J224&lt;=K224),Eingabe!$B$6&amp;"-"&amp;INDEX(Eingabe!$C$9:$C$18,I224)&amp;"-Pächter  ·  Passwort Parzelle "&amp;J224,IF(J224=K224+1,Eingabe!$B$6&amp;"-"&amp;INDEX(Eingabe!$C$9:$C$18,I224)&amp;"-Vorstand  ·  eigenes WLAN",IF(J224=K224+2,Eingabe!$B$6&amp;"-"&amp;INDEX(Eingabe!$C$9:$C$18,I224)&amp;"-Gäste  ·  Voucher",IF(J224=K224+3,"Kabel  ·  Access Point y = .(50+y), Mast-Switch x = .(10+x)","")))))</f>
        <v>SparteNet.de-SF2-Pächter  ·  Passwort Parzelle 12</v>
      </c>
      <c r="I224" s="7" t="n">
        <f aca="false">IF(219&lt;=(Eingabe!$P$18+Eingabe!$Q$18-1),MATCH(219,Eingabe!$P$9:$P$18,1),"")</f>
        <v>4</v>
      </c>
      <c r="J224" s="7" t="n">
        <f aca="false">IF(I224="","",219-INDEX(Eingabe!$P$9:$P$18,I224))</f>
        <v>12</v>
      </c>
      <c r="K224" s="7" t="n">
        <f aca="false">IF(I224="","",INDEX(Eingabe!$E$9:$E$18,I224))</f>
        <v>53</v>
      </c>
    </row>
    <row r="225" customFormat="false" ht="15" hidden="false" customHeight="false" outlineLevel="0" collapsed="false">
      <c r="A225" s="0" t="str">
        <f aca="false">IF(I225="","",IF(J225=0,"Sparte "&amp;I225&amp;": "&amp;INDEX(Eingabe!$B$9:$B$18,I225)&amp;"  (Sparten-ID "&amp;INDEX(Eingabe!$D$9:$D$18,I225)&amp;", "&amp;K225&amp;" Parzellen)",IF(J225&lt;=K225,"   Parzelle "&amp;J225,IF(J225=K225+1,"   Vorstand",IF(J225=K225+2,"   Gäste",IF(J225=K225+3,"   Technik (Switches, Access Points)",""))))))</f>
        <v>   Parzelle 13</v>
      </c>
      <c r="B225" s="0" t="n">
        <f aca="false">IF(I225="","",IF(AND(J225&gt;=1,J225&lt;=K225+3),IF(J225&lt;=K225,IF(J225&lt;=99,IF((INDEX(Eingabe!$G$9:$G$18,I225))&lt;=9,1000+(INDEX(Eingabe!$G$9:$G$18,I225))*100,3000)+J225,IF((INDEX(Eingabe!$G$9:$G$18,I225)+1)&lt;=9,1000+(INDEX(Eingabe!$G$9:$G$18,I225)+1)*100,3000)+J225-100),IF(J225=K225+1,2000+INDEX(Eingabe!$G$9:$G$18,I225)*10+1,IF(J225=K225+2,2000+INDEX(Eingabe!$G$9:$G$18,I225)*10+2,2000+INDEX(Eingabe!$G$9:$G$18,I225)*10+9))),""))</f>
        <v>1413</v>
      </c>
      <c r="C225" s="0" t="str">
        <f aca="false">IF(I225="","",IF(AND(J225&gt;=1,J225&lt;=K225+3),"10."&amp;INDEX(Eingabe!$D$9:$D$18,I225)&amp;"."&amp;IF(J225&lt;=K225,J225,IF(J225=K225+1,200,IF(J225=K225+2,201,250)))&amp;".0/24",""))</f>
        <v>10.4.13.0/24</v>
      </c>
      <c r="D225" s="0" t="str">
        <f aca="false">IF(I225="","",IF(AND(J225&gt;=1,J225&lt;=K225+3),"255.255.255.0",""))</f>
        <v>255.255.255.0</v>
      </c>
      <c r="E225" s="0" t="str">
        <f aca="false">IF(I225="","",IF(AND(J225&gt;=1,J225&lt;=K225+3),"10."&amp;INDEX(Eingabe!$D$9:$D$18,I225)&amp;"."&amp;IF(J225&lt;=K225,J225,IF(J225=K225+1,200,IF(J225=K225+2,201,250)))&amp;".1",""))</f>
        <v>10.4.13.1</v>
      </c>
      <c r="F225" s="0" t="str">
        <f aca="false">IF(I225="","",IF(AND(J225&gt;=1,J225&lt;=K225+3),"10."&amp;INDEX(Eingabe!$D$9:$D$18,I225)&amp;"."&amp;IF(J225&lt;=K225,J225,IF(J225=K225+1,200,IF(J225=K225+2,201,250)))&amp;".10 – 10."&amp;INDEX(Eingabe!$D$9:$D$18,I225)&amp;"."&amp;IF(J225&lt;=K225,J225,IF(J225=K225+1,200,IF(J225=K225+2,201,250)))&amp;".250",""))</f>
        <v>10.4.13.10 – 10.4.13.250</v>
      </c>
      <c r="G225" s="0" t="str">
        <f aca="false">IF(I225="","",IF(AND(J225&gt;=1,J225&lt;=K225),Eingabe!$B$6&amp;"-"&amp;INDEX(Eingabe!$C$9:$C$18,I225)&amp;"-Pächter  ·  Passwort Parzelle "&amp;J225,IF(J225=K225+1,Eingabe!$B$6&amp;"-"&amp;INDEX(Eingabe!$C$9:$C$18,I225)&amp;"-Vorstand  ·  eigenes WLAN",IF(J225=K225+2,Eingabe!$B$6&amp;"-"&amp;INDEX(Eingabe!$C$9:$C$18,I225)&amp;"-Gäste  ·  Voucher",IF(J225=K225+3,"Kabel  ·  Access Point y = .(50+y), Mast-Switch x = .(10+x)","")))))</f>
        <v>SparteNet.de-SF2-Pächter  ·  Passwort Parzelle 13</v>
      </c>
      <c r="I225" s="7" t="n">
        <f aca="false">IF(220&lt;=(Eingabe!$P$18+Eingabe!$Q$18-1),MATCH(220,Eingabe!$P$9:$P$18,1),"")</f>
        <v>4</v>
      </c>
      <c r="J225" s="7" t="n">
        <f aca="false">IF(I225="","",220-INDEX(Eingabe!$P$9:$P$18,I225))</f>
        <v>13</v>
      </c>
      <c r="K225" s="7" t="n">
        <f aca="false">IF(I225="","",INDEX(Eingabe!$E$9:$E$18,I225))</f>
        <v>53</v>
      </c>
    </row>
    <row r="226" customFormat="false" ht="15" hidden="false" customHeight="false" outlineLevel="0" collapsed="false">
      <c r="A226" s="0" t="str">
        <f aca="false">IF(I226="","",IF(J226=0,"Sparte "&amp;I226&amp;": "&amp;INDEX(Eingabe!$B$9:$B$18,I226)&amp;"  (Sparten-ID "&amp;INDEX(Eingabe!$D$9:$D$18,I226)&amp;", "&amp;K226&amp;" Parzellen)",IF(J226&lt;=K226,"   Parzelle "&amp;J226,IF(J226=K226+1,"   Vorstand",IF(J226=K226+2,"   Gäste",IF(J226=K226+3,"   Technik (Switches, Access Points)",""))))))</f>
        <v>   Parzelle 14</v>
      </c>
      <c r="B226" s="0" t="n">
        <f aca="false">IF(I226="","",IF(AND(J226&gt;=1,J226&lt;=K226+3),IF(J226&lt;=K226,IF(J226&lt;=99,IF((INDEX(Eingabe!$G$9:$G$18,I226))&lt;=9,1000+(INDEX(Eingabe!$G$9:$G$18,I226))*100,3000)+J226,IF((INDEX(Eingabe!$G$9:$G$18,I226)+1)&lt;=9,1000+(INDEX(Eingabe!$G$9:$G$18,I226)+1)*100,3000)+J226-100),IF(J226=K226+1,2000+INDEX(Eingabe!$G$9:$G$18,I226)*10+1,IF(J226=K226+2,2000+INDEX(Eingabe!$G$9:$G$18,I226)*10+2,2000+INDEX(Eingabe!$G$9:$G$18,I226)*10+9))),""))</f>
        <v>1414</v>
      </c>
      <c r="C226" s="0" t="str">
        <f aca="false">IF(I226="","",IF(AND(J226&gt;=1,J226&lt;=K226+3),"10."&amp;INDEX(Eingabe!$D$9:$D$18,I226)&amp;"."&amp;IF(J226&lt;=K226,J226,IF(J226=K226+1,200,IF(J226=K226+2,201,250)))&amp;".0/24",""))</f>
        <v>10.4.14.0/24</v>
      </c>
      <c r="D226" s="0" t="str">
        <f aca="false">IF(I226="","",IF(AND(J226&gt;=1,J226&lt;=K226+3),"255.255.255.0",""))</f>
        <v>255.255.255.0</v>
      </c>
      <c r="E226" s="0" t="str">
        <f aca="false">IF(I226="","",IF(AND(J226&gt;=1,J226&lt;=K226+3),"10."&amp;INDEX(Eingabe!$D$9:$D$18,I226)&amp;"."&amp;IF(J226&lt;=K226,J226,IF(J226=K226+1,200,IF(J226=K226+2,201,250)))&amp;".1",""))</f>
        <v>10.4.14.1</v>
      </c>
      <c r="F226" s="0" t="str">
        <f aca="false">IF(I226="","",IF(AND(J226&gt;=1,J226&lt;=K226+3),"10."&amp;INDEX(Eingabe!$D$9:$D$18,I226)&amp;"."&amp;IF(J226&lt;=K226,J226,IF(J226=K226+1,200,IF(J226=K226+2,201,250)))&amp;".10 – 10."&amp;INDEX(Eingabe!$D$9:$D$18,I226)&amp;"."&amp;IF(J226&lt;=K226,J226,IF(J226=K226+1,200,IF(J226=K226+2,201,250)))&amp;".250",""))</f>
        <v>10.4.14.10 – 10.4.14.250</v>
      </c>
      <c r="G226" s="0" t="str">
        <f aca="false">IF(I226="","",IF(AND(J226&gt;=1,J226&lt;=K226),Eingabe!$B$6&amp;"-"&amp;INDEX(Eingabe!$C$9:$C$18,I226)&amp;"-Pächter  ·  Passwort Parzelle "&amp;J226,IF(J226=K226+1,Eingabe!$B$6&amp;"-"&amp;INDEX(Eingabe!$C$9:$C$18,I226)&amp;"-Vorstand  ·  eigenes WLAN",IF(J226=K226+2,Eingabe!$B$6&amp;"-"&amp;INDEX(Eingabe!$C$9:$C$18,I226)&amp;"-Gäste  ·  Voucher",IF(J226=K226+3,"Kabel  ·  Access Point y = .(50+y), Mast-Switch x = .(10+x)","")))))</f>
        <v>SparteNet.de-SF2-Pächter  ·  Passwort Parzelle 14</v>
      </c>
      <c r="I226" s="7" t="n">
        <f aca="false">IF(221&lt;=(Eingabe!$P$18+Eingabe!$Q$18-1),MATCH(221,Eingabe!$P$9:$P$18,1),"")</f>
        <v>4</v>
      </c>
      <c r="J226" s="7" t="n">
        <f aca="false">IF(I226="","",221-INDEX(Eingabe!$P$9:$P$18,I226))</f>
        <v>14</v>
      </c>
      <c r="K226" s="7" t="n">
        <f aca="false">IF(I226="","",INDEX(Eingabe!$E$9:$E$18,I226))</f>
        <v>53</v>
      </c>
    </row>
    <row r="227" customFormat="false" ht="15" hidden="false" customHeight="false" outlineLevel="0" collapsed="false">
      <c r="A227" s="0" t="str">
        <f aca="false">IF(I227="","",IF(J227=0,"Sparte "&amp;I227&amp;": "&amp;INDEX(Eingabe!$B$9:$B$18,I227)&amp;"  (Sparten-ID "&amp;INDEX(Eingabe!$D$9:$D$18,I227)&amp;", "&amp;K227&amp;" Parzellen)",IF(J227&lt;=K227,"   Parzelle "&amp;J227,IF(J227=K227+1,"   Vorstand",IF(J227=K227+2,"   Gäste",IF(J227=K227+3,"   Technik (Switches, Access Points)",""))))))</f>
        <v>   Parzelle 15</v>
      </c>
      <c r="B227" s="0" t="n">
        <f aca="false">IF(I227="","",IF(AND(J227&gt;=1,J227&lt;=K227+3),IF(J227&lt;=K227,IF(J227&lt;=99,IF((INDEX(Eingabe!$G$9:$G$18,I227))&lt;=9,1000+(INDEX(Eingabe!$G$9:$G$18,I227))*100,3000)+J227,IF((INDEX(Eingabe!$G$9:$G$18,I227)+1)&lt;=9,1000+(INDEX(Eingabe!$G$9:$G$18,I227)+1)*100,3000)+J227-100),IF(J227=K227+1,2000+INDEX(Eingabe!$G$9:$G$18,I227)*10+1,IF(J227=K227+2,2000+INDEX(Eingabe!$G$9:$G$18,I227)*10+2,2000+INDEX(Eingabe!$G$9:$G$18,I227)*10+9))),""))</f>
        <v>1415</v>
      </c>
      <c r="C227" s="0" t="str">
        <f aca="false">IF(I227="","",IF(AND(J227&gt;=1,J227&lt;=K227+3),"10."&amp;INDEX(Eingabe!$D$9:$D$18,I227)&amp;"."&amp;IF(J227&lt;=K227,J227,IF(J227=K227+1,200,IF(J227=K227+2,201,250)))&amp;".0/24",""))</f>
        <v>10.4.15.0/24</v>
      </c>
      <c r="D227" s="0" t="str">
        <f aca="false">IF(I227="","",IF(AND(J227&gt;=1,J227&lt;=K227+3),"255.255.255.0",""))</f>
        <v>255.255.255.0</v>
      </c>
      <c r="E227" s="0" t="str">
        <f aca="false">IF(I227="","",IF(AND(J227&gt;=1,J227&lt;=K227+3),"10."&amp;INDEX(Eingabe!$D$9:$D$18,I227)&amp;"."&amp;IF(J227&lt;=K227,J227,IF(J227=K227+1,200,IF(J227=K227+2,201,250)))&amp;".1",""))</f>
        <v>10.4.15.1</v>
      </c>
      <c r="F227" s="0" t="str">
        <f aca="false">IF(I227="","",IF(AND(J227&gt;=1,J227&lt;=K227+3),"10."&amp;INDEX(Eingabe!$D$9:$D$18,I227)&amp;"."&amp;IF(J227&lt;=K227,J227,IF(J227=K227+1,200,IF(J227=K227+2,201,250)))&amp;".10 – 10."&amp;INDEX(Eingabe!$D$9:$D$18,I227)&amp;"."&amp;IF(J227&lt;=K227,J227,IF(J227=K227+1,200,IF(J227=K227+2,201,250)))&amp;".250",""))</f>
        <v>10.4.15.10 – 10.4.15.250</v>
      </c>
      <c r="G227" s="0" t="str">
        <f aca="false">IF(I227="","",IF(AND(J227&gt;=1,J227&lt;=K227),Eingabe!$B$6&amp;"-"&amp;INDEX(Eingabe!$C$9:$C$18,I227)&amp;"-Pächter  ·  Passwort Parzelle "&amp;J227,IF(J227=K227+1,Eingabe!$B$6&amp;"-"&amp;INDEX(Eingabe!$C$9:$C$18,I227)&amp;"-Vorstand  ·  eigenes WLAN",IF(J227=K227+2,Eingabe!$B$6&amp;"-"&amp;INDEX(Eingabe!$C$9:$C$18,I227)&amp;"-Gäste  ·  Voucher",IF(J227=K227+3,"Kabel  ·  Access Point y = .(50+y), Mast-Switch x = .(10+x)","")))))</f>
        <v>SparteNet.de-SF2-Pächter  ·  Passwort Parzelle 15</v>
      </c>
      <c r="I227" s="7" t="n">
        <f aca="false">IF(222&lt;=(Eingabe!$P$18+Eingabe!$Q$18-1),MATCH(222,Eingabe!$P$9:$P$18,1),"")</f>
        <v>4</v>
      </c>
      <c r="J227" s="7" t="n">
        <f aca="false">IF(I227="","",222-INDEX(Eingabe!$P$9:$P$18,I227))</f>
        <v>15</v>
      </c>
      <c r="K227" s="7" t="n">
        <f aca="false">IF(I227="","",INDEX(Eingabe!$E$9:$E$18,I227))</f>
        <v>53</v>
      </c>
    </row>
    <row r="228" customFormat="false" ht="15" hidden="false" customHeight="false" outlineLevel="0" collapsed="false">
      <c r="A228" s="0" t="str">
        <f aca="false">IF(I228="","",IF(J228=0,"Sparte "&amp;I228&amp;": "&amp;INDEX(Eingabe!$B$9:$B$18,I228)&amp;"  (Sparten-ID "&amp;INDEX(Eingabe!$D$9:$D$18,I228)&amp;", "&amp;K228&amp;" Parzellen)",IF(J228&lt;=K228,"   Parzelle "&amp;J228,IF(J228=K228+1,"   Vorstand",IF(J228=K228+2,"   Gäste",IF(J228=K228+3,"   Technik (Switches, Access Points)",""))))))</f>
        <v>   Parzelle 16</v>
      </c>
      <c r="B228" s="0" t="n">
        <f aca="false">IF(I228="","",IF(AND(J228&gt;=1,J228&lt;=K228+3),IF(J228&lt;=K228,IF(J228&lt;=99,IF((INDEX(Eingabe!$G$9:$G$18,I228))&lt;=9,1000+(INDEX(Eingabe!$G$9:$G$18,I228))*100,3000)+J228,IF((INDEX(Eingabe!$G$9:$G$18,I228)+1)&lt;=9,1000+(INDEX(Eingabe!$G$9:$G$18,I228)+1)*100,3000)+J228-100),IF(J228=K228+1,2000+INDEX(Eingabe!$G$9:$G$18,I228)*10+1,IF(J228=K228+2,2000+INDEX(Eingabe!$G$9:$G$18,I228)*10+2,2000+INDEX(Eingabe!$G$9:$G$18,I228)*10+9))),""))</f>
        <v>1416</v>
      </c>
      <c r="C228" s="0" t="str">
        <f aca="false">IF(I228="","",IF(AND(J228&gt;=1,J228&lt;=K228+3),"10."&amp;INDEX(Eingabe!$D$9:$D$18,I228)&amp;"."&amp;IF(J228&lt;=K228,J228,IF(J228=K228+1,200,IF(J228=K228+2,201,250)))&amp;".0/24",""))</f>
        <v>10.4.16.0/24</v>
      </c>
      <c r="D228" s="0" t="str">
        <f aca="false">IF(I228="","",IF(AND(J228&gt;=1,J228&lt;=K228+3),"255.255.255.0",""))</f>
        <v>255.255.255.0</v>
      </c>
      <c r="E228" s="0" t="str">
        <f aca="false">IF(I228="","",IF(AND(J228&gt;=1,J228&lt;=K228+3),"10."&amp;INDEX(Eingabe!$D$9:$D$18,I228)&amp;"."&amp;IF(J228&lt;=K228,J228,IF(J228=K228+1,200,IF(J228=K228+2,201,250)))&amp;".1",""))</f>
        <v>10.4.16.1</v>
      </c>
      <c r="F228" s="0" t="str">
        <f aca="false">IF(I228="","",IF(AND(J228&gt;=1,J228&lt;=K228+3),"10."&amp;INDEX(Eingabe!$D$9:$D$18,I228)&amp;"."&amp;IF(J228&lt;=K228,J228,IF(J228=K228+1,200,IF(J228=K228+2,201,250)))&amp;".10 – 10."&amp;INDEX(Eingabe!$D$9:$D$18,I228)&amp;"."&amp;IF(J228&lt;=K228,J228,IF(J228=K228+1,200,IF(J228=K228+2,201,250)))&amp;".250",""))</f>
        <v>10.4.16.10 – 10.4.16.250</v>
      </c>
      <c r="G228" s="0" t="str">
        <f aca="false">IF(I228="","",IF(AND(J228&gt;=1,J228&lt;=K228),Eingabe!$B$6&amp;"-"&amp;INDEX(Eingabe!$C$9:$C$18,I228)&amp;"-Pächter  ·  Passwort Parzelle "&amp;J228,IF(J228=K228+1,Eingabe!$B$6&amp;"-"&amp;INDEX(Eingabe!$C$9:$C$18,I228)&amp;"-Vorstand  ·  eigenes WLAN",IF(J228=K228+2,Eingabe!$B$6&amp;"-"&amp;INDEX(Eingabe!$C$9:$C$18,I228)&amp;"-Gäste  ·  Voucher",IF(J228=K228+3,"Kabel  ·  Access Point y = .(50+y), Mast-Switch x = .(10+x)","")))))</f>
        <v>SparteNet.de-SF2-Pächter  ·  Passwort Parzelle 16</v>
      </c>
      <c r="I228" s="7" t="n">
        <f aca="false">IF(223&lt;=(Eingabe!$P$18+Eingabe!$Q$18-1),MATCH(223,Eingabe!$P$9:$P$18,1),"")</f>
        <v>4</v>
      </c>
      <c r="J228" s="7" t="n">
        <f aca="false">IF(I228="","",223-INDEX(Eingabe!$P$9:$P$18,I228))</f>
        <v>16</v>
      </c>
      <c r="K228" s="7" t="n">
        <f aca="false">IF(I228="","",INDEX(Eingabe!$E$9:$E$18,I228))</f>
        <v>53</v>
      </c>
    </row>
    <row r="229" customFormat="false" ht="15" hidden="false" customHeight="false" outlineLevel="0" collapsed="false">
      <c r="A229" s="0" t="str">
        <f aca="false">IF(I229="","",IF(J229=0,"Sparte "&amp;I229&amp;": "&amp;INDEX(Eingabe!$B$9:$B$18,I229)&amp;"  (Sparten-ID "&amp;INDEX(Eingabe!$D$9:$D$18,I229)&amp;", "&amp;K229&amp;" Parzellen)",IF(J229&lt;=K229,"   Parzelle "&amp;J229,IF(J229=K229+1,"   Vorstand",IF(J229=K229+2,"   Gäste",IF(J229=K229+3,"   Technik (Switches, Access Points)",""))))))</f>
        <v>   Parzelle 17</v>
      </c>
      <c r="B229" s="0" t="n">
        <f aca="false">IF(I229="","",IF(AND(J229&gt;=1,J229&lt;=K229+3),IF(J229&lt;=K229,IF(J229&lt;=99,IF((INDEX(Eingabe!$G$9:$G$18,I229))&lt;=9,1000+(INDEX(Eingabe!$G$9:$G$18,I229))*100,3000)+J229,IF((INDEX(Eingabe!$G$9:$G$18,I229)+1)&lt;=9,1000+(INDEX(Eingabe!$G$9:$G$18,I229)+1)*100,3000)+J229-100),IF(J229=K229+1,2000+INDEX(Eingabe!$G$9:$G$18,I229)*10+1,IF(J229=K229+2,2000+INDEX(Eingabe!$G$9:$G$18,I229)*10+2,2000+INDEX(Eingabe!$G$9:$G$18,I229)*10+9))),""))</f>
        <v>1417</v>
      </c>
      <c r="C229" s="0" t="str">
        <f aca="false">IF(I229="","",IF(AND(J229&gt;=1,J229&lt;=K229+3),"10."&amp;INDEX(Eingabe!$D$9:$D$18,I229)&amp;"."&amp;IF(J229&lt;=K229,J229,IF(J229=K229+1,200,IF(J229=K229+2,201,250)))&amp;".0/24",""))</f>
        <v>10.4.17.0/24</v>
      </c>
      <c r="D229" s="0" t="str">
        <f aca="false">IF(I229="","",IF(AND(J229&gt;=1,J229&lt;=K229+3),"255.255.255.0",""))</f>
        <v>255.255.255.0</v>
      </c>
      <c r="E229" s="0" t="str">
        <f aca="false">IF(I229="","",IF(AND(J229&gt;=1,J229&lt;=K229+3),"10."&amp;INDEX(Eingabe!$D$9:$D$18,I229)&amp;"."&amp;IF(J229&lt;=K229,J229,IF(J229=K229+1,200,IF(J229=K229+2,201,250)))&amp;".1",""))</f>
        <v>10.4.17.1</v>
      </c>
      <c r="F229" s="0" t="str">
        <f aca="false">IF(I229="","",IF(AND(J229&gt;=1,J229&lt;=K229+3),"10."&amp;INDEX(Eingabe!$D$9:$D$18,I229)&amp;"."&amp;IF(J229&lt;=K229,J229,IF(J229=K229+1,200,IF(J229=K229+2,201,250)))&amp;".10 – 10."&amp;INDEX(Eingabe!$D$9:$D$18,I229)&amp;"."&amp;IF(J229&lt;=K229,J229,IF(J229=K229+1,200,IF(J229=K229+2,201,250)))&amp;".250",""))</f>
        <v>10.4.17.10 – 10.4.17.250</v>
      </c>
      <c r="G229" s="0" t="str">
        <f aca="false">IF(I229="","",IF(AND(J229&gt;=1,J229&lt;=K229),Eingabe!$B$6&amp;"-"&amp;INDEX(Eingabe!$C$9:$C$18,I229)&amp;"-Pächter  ·  Passwort Parzelle "&amp;J229,IF(J229=K229+1,Eingabe!$B$6&amp;"-"&amp;INDEX(Eingabe!$C$9:$C$18,I229)&amp;"-Vorstand  ·  eigenes WLAN",IF(J229=K229+2,Eingabe!$B$6&amp;"-"&amp;INDEX(Eingabe!$C$9:$C$18,I229)&amp;"-Gäste  ·  Voucher",IF(J229=K229+3,"Kabel  ·  Access Point y = .(50+y), Mast-Switch x = .(10+x)","")))))</f>
        <v>SparteNet.de-SF2-Pächter  ·  Passwort Parzelle 17</v>
      </c>
      <c r="I229" s="7" t="n">
        <f aca="false">IF(224&lt;=(Eingabe!$P$18+Eingabe!$Q$18-1),MATCH(224,Eingabe!$P$9:$P$18,1),"")</f>
        <v>4</v>
      </c>
      <c r="J229" s="7" t="n">
        <f aca="false">IF(I229="","",224-INDEX(Eingabe!$P$9:$P$18,I229))</f>
        <v>17</v>
      </c>
      <c r="K229" s="7" t="n">
        <f aca="false">IF(I229="","",INDEX(Eingabe!$E$9:$E$18,I229))</f>
        <v>53</v>
      </c>
    </row>
    <row r="230" customFormat="false" ht="15" hidden="false" customHeight="false" outlineLevel="0" collapsed="false">
      <c r="A230" s="0" t="str">
        <f aca="false">IF(I230="","",IF(J230=0,"Sparte "&amp;I230&amp;": "&amp;INDEX(Eingabe!$B$9:$B$18,I230)&amp;"  (Sparten-ID "&amp;INDEX(Eingabe!$D$9:$D$18,I230)&amp;", "&amp;K230&amp;" Parzellen)",IF(J230&lt;=K230,"   Parzelle "&amp;J230,IF(J230=K230+1,"   Vorstand",IF(J230=K230+2,"   Gäste",IF(J230=K230+3,"   Technik (Switches, Access Points)",""))))))</f>
        <v>   Parzelle 18</v>
      </c>
      <c r="B230" s="0" t="n">
        <f aca="false">IF(I230="","",IF(AND(J230&gt;=1,J230&lt;=K230+3),IF(J230&lt;=K230,IF(J230&lt;=99,IF((INDEX(Eingabe!$G$9:$G$18,I230))&lt;=9,1000+(INDEX(Eingabe!$G$9:$G$18,I230))*100,3000)+J230,IF((INDEX(Eingabe!$G$9:$G$18,I230)+1)&lt;=9,1000+(INDEX(Eingabe!$G$9:$G$18,I230)+1)*100,3000)+J230-100),IF(J230=K230+1,2000+INDEX(Eingabe!$G$9:$G$18,I230)*10+1,IF(J230=K230+2,2000+INDEX(Eingabe!$G$9:$G$18,I230)*10+2,2000+INDEX(Eingabe!$G$9:$G$18,I230)*10+9))),""))</f>
        <v>1418</v>
      </c>
      <c r="C230" s="0" t="str">
        <f aca="false">IF(I230="","",IF(AND(J230&gt;=1,J230&lt;=K230+3),"10."&amp;INDEX(Eingabe!$D$9:$D$18,I230)&amp;"."&amp;IF(J230&lt;=K230,J230,IF(J230=K230+1,200,IF(J230=K230+2,201,250)))&amp;".0/24",""))</f>
        <v>10.4.18.0/24</v>
      </c>
      <c r="D230" s="0" t="str">
        <f aca="false">IF(I230="","",IF(AND(J230&gt;=1,J230&lt;=K230+3),"255.255.255.0",""))</f>
        <v>255.255.255.0</v>
      </c>
      <c r="E230" s="0" t="str">
        <f aca="false">IF(I230="","",IF(AND(J230&gt;=1,J230&lt;=K230+3),"10."&amp;INDEX(Eingabe!$D$9:$D$18,I230)&amp;"."&amp;IF(J230&lt;=K230,J230,IF(J230=K230+1,200,IF(J230=K230+2,201,250)))&amp;".1",""))</f>
        <v>10.4.18.1</v>
      </c>
      <c r="F230" s="0" t="str">
        <f aca="false">IF(I230="","",IF(AND(J230&gt;=1,J230&lt;=K230+3),"10."&amp;INDEX(Eingabe!$D$9:$D$18,I230)&amp;"."&amp;IF(J230&lt;=K230,J230,IF(J230=K230+1,200,IF(J230=K230+2,201,250)))&amp;".10 – 10."&amp;INDEX(Eingabe!$D$9:$D$18,I230)&amp;"."&amp;IF(J230&lt;=K230,J230,IF(J230=K230+1,200,IF(J230=K230+2,201,250)))&amp;".250",""))</f>
        <v>10.4.18.10 – 10.4.18.250</v>
      </c>
      <c r="G230" s="0" t="str">
        <f aca="false">IF(I230="","",IF(AND(J230&gt;=1,J230&lt;=K230),Eingabe!$B$6&amp;"-"&amp;INDEX(Eingabe!$C$9:$C$18,I230)&amp;"-Pächter  ·  Passwort Parzelle "&amp;J230,IF(J230=K230+1,Eingabe!$B$6&amp;"-"&amp;INDEX(Eingabe!$C$9:$C$18,I230)&amp;"-Vorstand  ·  eigenes WLAN",IF(J230=K230+2,Eingabe!$B$6&amp;"-"&amp;INDEX(Eingabe!$C$9:$C$18,I230)&amp;"-Gäste  ·  Voucher",IF(J230=K230+3,"Kabel  ·  Access Point y = .(50+y), Mast-Switch x = .(10+x)","")))))</f>
        <v>SparteNet.de-SF2-Pächter  ·  Passwort Parzelle 18</v>
      </c>
      <c r="I230" s="7" t="n">
        <f aca="false">IF(225&lt;=(Eingabe!$P$18+Eingabe!$Q$18-1),MATCH(225,Eingabe!$P$9:$P$18,1),"")</f>
        <v>4</v>
      </c>
      <c r="J230" s="7" t="n">
        <f aca="false">IF(I230="","",225-INDEX(Eingabe!$P$9:$P$18,I230))</f>
        <v>18</v>
      </c>
      <c r="K230" s="7" t="n">
        <f aca="false">IF(I230="","",INDEX(Eingabe!$E$9:$E$18,I230))</f>
        <v>53</v>
      </c>
    </row>
    <row r="231" customFormat="false" ht="15" hidden="false" customHeight="false" outlineLevel="0" collapsed="false">
      <c r="A231" s="0" t="str">
        <f aca="false">IF(I231="","",IF(J231=0,"Sparte "&amp;I231&amp;": "&amp;INDEX(Eingabe!$B$9:$B$18,I231)&amp;"  (Sparten-ID "&amp;INDEX(Eingabe!$D$9:$D$18,I231)&amp;", "&amp;K231&amp;" Parzellen)",IF(J231&lt;=K231,"   Parzelle "&amp;J231,IF(J231=K231+1,"   Vorstand",IF(J231=K231+2,"   Gäste",IF(J231=K231+3,"   Technik (Switches, Access Points)",""))))))</f>
        <v>   Parzelle 19</v>
      </c>
      <c r="B231" s="0" t="n">
        <f aca="false">IF(I231="","",IF(AND(J231&gt;=1,J231&lt;=K231+3),IF(J231&lt;=K231,IF(J231&lt;=99,IF((INDEX(Eingabe!$G$9:$G$18,I231))&lt;=9,1000+(INDEX(Eingabe!$G$9:$G$18,I231))*100,3000)+J231,IF((INDEX(Eingabe!$G$9:$G$18,I231)+1)&lt;=9,1000+(INDEX(Eingabe!$G$9:$G$18,I231)+1)*100,3000)+J231-100),IF(J231=K231+1,2000+INDEX(Eingabe!$G$9:$G$18,I231)*10+1,IF(J231=K231+2,2000+INDEX(Eingabe!$G$9:$G$18,I231)*10+2,2000+INDEX(Eingabe!$G$9:$G$18,I231)*10+9))),""))</f>
        <v>1419</v>
      </c>
      <c r="C231" s="0" t="str">
        <f aca="false">IF(I231="","",IF(AND(J231&gt;=1,J231&lt;=K231+3),"10."&amp;INDEX(Eingabe!$D$9:$D$18,I231)&amp;"."&amp;IF(J231&lt;=K231,J231,IF(J231=K231+1,200,IF(J231=K231+2,201,250)))&amp;".0/24",""))</f>
        <v>10.4.19.0/24</v>
      </c>
      <c r="D231" s="0" t="str">
        <f aca="false">IF(I231="","",IF(AND(J231&gt;=1,J231&lt;=K231+3),"255.255.255.0",""))</f>
        <v>255.255.255.0</v>
      </c>
      <c r="E231" s="0" t="str">
        <f aca="false">IF(I231="","",IF(AND(J231&gt;=1,J231&lt;=K231+3),"10."&amp;INDEX(Eingabe!$D$9:$D$18,I231)&amp;"."&amp;IF(J231&lt;=K231,J231,IF(J231=K231+1,200,IF(J231=K231+2,201,250)))&amp;".1",""))</f>
        <v>10.4.19.1</v>
      </c>
      <c r="F231" s="0" t="str">
        <f aca="false">IF(I231="","",IF(AND(J231&gt;=1,J231&lt;=K231+3),"10."&amp;INDEX(Eingabe!$D$9:$D$18,I231)&amp;"."&amp;IF(J231&lt;=K231,J231,IF(J231=K231+1,200,IF(J231=K231+2,201,250)))&amp;".10 – 10."&amp;INDEX(Eingabe!$D$9:$D$18,I231)&amp;"."&amp;IF(J231&lt;=K231,J231,IF(J231=K231+1,200,IF(J231=K231+2,201,250)))&amp;".250",""))</f>
        <v>10.4.19.10 – 10.4.19.250</v>
      </c>
      <c r="G231" s="0" t="str">
        <f aca="false">IF(I231="","",IF(AND(J231&gt;=1,J231&lt;=K231),Eingabe!$B$6&amp;"-"&amp;INDEX(Eingabe!$C$9:$C$18,I231)&amp;"-Pächter  ·  Passwort Parzelle "&amp;J231,IF(J231=K231+1,Eingabe!$B$6&amp;"-"&amp;INDEX(Eingabe!$C$9:$C$18,I231)&amp;"-Vorstand  ·  eigenes WLAN",IF(J231=K231+2,Eingabe!$B$6&amp;"-"&amp;INDEX(Eingabe!$C$9:$C$18,I231)&amp;"-Gäste  ·  Voucher",IF(J231=K231+3,"Kabel  ·  Access Point y = .(50+y), Mast-Switch x = .(10+x)","")))))</f>
        <v>SparteNet.de-SF2-Pächter  ·  Passwort Parzelle 19</v>
      </c>
      <c r="I231" s="7" t="n">
        <f aca="false">IF(226&lt;=(Eingabe!$P$18+Eingabe!$Q$18-1),MATCH(226,Eingabe!$P$9:$P$18,1),"")</f>
        <v>4</v>
      </c>
      <c r="J231" s="7" t="n">
        <f aca="false">IF(I231="","",226-INDEX(Eingabe!$P$9:$P$18,I231))</f>
        <v>19</v>
      </c>
      <c r="K231" s="7" t="n">
        <f aca="false">IF(I231="","",INDEX(Eingabe!$E$9:$E$18,I231))</f>
        <v>53</v>
      </c>
    </row>
    <row r="232" customFormat="false" ht="15" hidden="false" customHeight="false" outlineLevel="0" collapsed="false">
      <c r="A232" s="0" t="str">
        <f aca="false">IF(I232="","",IF(J232=0,"Sparte "&amp;I232&amp;": "&amp;INDEX(Eingabe!$B$9:$B$18,I232)&amp;"  (Sparten-ID "&amp;INDEX(Eingabe!$D$9:$D$18,I232)&amp;", "&amp;K232&amp;" Parzellen)",IF(J232&lt;=K232,"   Parzelle "&amp;J232,IF(J232=K232+1,"   Vorstand",IF(J232=K232+2,"   Gäste",IF(J232=K232+3,"   Technik (Switches, Access Points)",""))))))</f>
        <v>   Parzelle 20</v>
      </c>
      <c r="B232" s="0" t="n">
        <f aca="false">IF(I232="","",IF(AND(J232&gt;=1,J232&lt;=K232+3),IF(J232&lt;=K232,IF(J232&lt;=99,IF((INDEX(Eingabe!$G$9:$G$18,I232))&lt;=9,1000+(INDEX(Eingabe!$G$9:$G$18,I232))*100,3000)+J232,IF((INDEX(Eingabe!$G$9:$G$18,I232)+1)&lt;=9,1000+(INDEX(Eingabe!$G$9:$G$18,I232)+1)*100,3000)+J232-100),IF(J232=K232+1,2000+INDEX(Eingabe!$G$9:$G$18,I232)*10+1,IF(J232=K232+2,2000+INDEX(Eingabe!$G$9:$G$18,I232)*10+2,2000+INDEX(Eingabe!$G$9:$G$18,I232)*10+9))),""))</f>
        <v>1420</v>
      </c>
      <c r="C232" s="0" t="str">
        <f aca="false">IF(I232="","",IF(AND(J232&gt;=1,J232&lt;=K232+3),"10."&amp;INDEX(Eingabe!$D$9:$D$18,I232)&amp;"."&amp;IF(J232&lt;=K232,J232,IF(J232=K232+1,200,IF(J232=K232+2,201,250)))&amp;".0/24",""))</f>
        <v>10.4.20.0/24</v>
      </c>
      <c r="D232" s="0" t="str">
        <f aca="false">IF(I232="","",IF(AND(J232&gt;=1,J232&lt;=K232+3),"255.255.255.0",""))</f>
        <v>255.255.255.0</v>
      </c>
      <c r="E232" s="0" t="str">
        <f aca="false">IF(I232="","",IF(AND(J232&gt;=1,J232&lt;=K232+3),"10."&amp;INDEX(Eingabe!$D$9:$D$18,I232)&amp;"."&amp;IF(J232&lt;=K232,J232,IF(J232=K232+1,200,IF(J232=K232+2,201,250)))&amp;".1",""))</f>
        <v>10.4.20.1</v>
      </c>
      <c r="F232" s="0" t="str">
        <f aca="false">IF(I232="","",IF(AND(J232&gt;=1,J232&lt;=K232+3),"10."&amp;INDEX(Eingabe!$D$9:$D$18,I232)&amp;"."&amp;IF(J232&lt;=K232,J232,IF(J232=K232+1,200,IF(J232=K232+2,201,250)))&amp;".10 – 10."&amp;INDEX(Eingabe!$D$9:$D$18,I232)&amp;"."&amp;IF(J232&lt;=K232,J232,IF(J232=K232+1,200,IF(J232=K232+2,201,250)))&amp;".250",""))</f>
        <v>10.4.20.10 – 10.4.20.250</v>
      </c>
      <c r="G232" s="0" t="str">
        <f aca="false">IF(I232="","",IF(AND(J232&gt;=1,J232&lt;=K232),Eingabe!$B$6&amp;"-"&amp;INDEX(Eingabe!$C$9:$C$18,I232)&amp;"-Pächter  ·  Passwort Parzelle "&amp;J232,IF(J232=K232+1,Eingabe!$B$6&amp;"-"&amp;INDEX(Eingabe!$C$9:$C$18,I232)&amp;"-Vorstand  ·  eigenes WLAN",IF(J232=K232+2,Eingabe!$B$6&amp;"-"&amp;INDEX(Eingabe!$C$9:$C$18,I232)&amp;"-Gäste  ·  Voucher",IF(J232=K232+3,"Kabel  ·  Access Point y = .(50+y), Mast-Switch x = .(10+x)","")))))</f>
        <v>SparteNet.de-SF2-Pächter  ·  Passwort Parzelle 20</v>
      </c>
      <c r="I232" s="7" t="n">
        <f aca="false">IF(227&lt;=(Eingabe!$P$18+Eingabe!$Q$18-1),MATCH(227,Eingabe!$P$9:$P$18,1),"")</f>
        <v>4</v>
      </c>
      <c r="J232" s="7" t="n">
        <f aca="false">IF(I232="","",227-INDEX(Eingabe!$P$9:$P$18,I232))</f>
        <v>20</v>
      </c>
      <c r="K232" s="7" t="n">
        <f aca="false">IF(I232="","",INDEX(Eingabe!$E$9:$E$18,I232))</f>
        <v>53</v>
      </c>
    </row>
    <row r="233" customFormat="false" ht="15" hidden="false" customHeight="false" outlineLevel="0" collapsed="false">
      <c r="A233" s="0" t="str">
        <f aca="false">IF(I233="","",IF(J233=0,"Sparte "&amp;I233&amp;": "&amp;INDEX(Eingabe!$B$9:$B$18,I233)&amp;"  (Sparten-ID "&amp;INDEX(Eingabe!$D$9:$D$18,I233)&amp;", "&amp;K233&amp;" Parzellen)",IF(J233&lt;=K233,"   Parzelle "&amp;J233,IF(J233=K233+1,"   Vorstand",IF(J233=K233+2,"   Gäste",IF(J233=K233+3,"   Technik (Switches, Access Points)",""))))))</f>
        <v>   Parzelle 21</v>
      </c>
      <c r="B233" s="0" t="n">
        <f aca="false">IF(I233="","",IF(AND(J233&gt;=1,J233&lt;=K233+3),IF(J233&lt;=K233,IF(J233&lt;=99,IF((INDEX(Eingabe!$G$9:$G$18,I233))&lt;=9,1000+(INDEX(Eingabe!$G$9:$G$18,I233))*100,3000)+J233,IF((INDEX(Eingabe!$G$9:$G$18,I233)+1)&lt;=9,1000+(INDEX(Eingabe!$G$9:$G$18,I233)+1)*100,3000)+J233-100),IF(J233=K233+1,2000+INDEX(Eingabe!$G$9:$G$18,I233)*10+1,IF(J233=K233+2,2000+INDEX(Eingabe!$G$9:$G$18,I233)*10+2,2000+INDEX(Eingabe!$G$9:$G$18,I233)*10+9))),""))</f>
        <v>1421</v>
      </c>
      <c r="C233" s="0" t="str">
        <f aca="false">IF(I233="","",IF(AND(J233&gt;=1,J233&lt;=K233+3),"10."&amp;INDEX(Eingabe!$D$9:$D$18,I233)&amp;"."&amp;IF(J233&lt;=K233,J233,IF(J233=K233+1,200,IF(J233=K233+2,201,250)))&amp;".0/24",""))</f>
        <v>10.4.21.0/24</v>
      </c>
      <c r="D233" s="0" t="str">
        <f aca="false">IF(I233="","",IF(AND(J233&gt;=1,J233&lt;=K233+3),"255.255.255.0",""))</f>
        <v>255.255.255.0</v>
      </c>
      <c r="E233" s="0" t="str">
        <f aca="false">IF(I233="","",IF(AND(J233&gt;=1,J233&lt;=K233+3),"10."&amp;INDEX(Eingabe!$D$9:$D$18,I233)&amp;"."&amp;IF(J233&lt;=K233,J233,IF(J233=K233+1,200,IF(J233=K233+2,201,250)))&amp;".1",""))</f>
        <v>10.4.21.1</v>
      </c>
      <c r="F233" s="0" t="str">
        <f aca="false">IF(I233="","",IF(AND(J233&gt;=1,J233&lt;=K233+3),"10."&amp;INDEX(Eingabe!$D$9:$D$18,I233)&amp;"."&amp;IF(J233&lt;=K233,J233,IF(J233=K233+1,200,IF(J233=K233+2,201,250)))&amp;".10 – 10."&amp;INDEX(Eingabe!$D$9:$D$18,I233)&amp;"."&amp;IF(J233&lt;=K233,J233,IF(J233=K233+1,200,IF(J233=K233+2,201,250)))&amp;".250",""))</f>
        <v>10.4.21.10 – 10.4.21.250</v>
      </c>
      <c r="G233" s="0" t="str">
        <f aca="false">IF(I233="","",IF(AND(J233&gt;=1,J233&lt;=K233),Eingabe!$B$6&amp;"-"&amp;INDEX(Eingabe!$C$9:$C$18,I233)&amp;"-Pächter  ·  Passwort Parzelle "&amp;J233,IF(J233=K233+1,Eingabe!$B$6&amp;"-"&amp;INDEX(Eingabe!$C$9:$C$18,I233)&amp;"-Vorstand  ·  eigenes WLAN",IF(J233=K233+2,Eingabe!$B$6&amp;"-"&amp;INDEX(Eingabe!$C$9:$C$18,I233)&amp;"-Gäste  ·  Voucher",IF(J233=K233+3,"Kabel  ·  Access Point y = .(50+y), Mast-Switch x = .(10+x)","")))))</f>
        <v>SparteNet.de-SF2-Pächter  ·  Passwort Parzelle 21</v>
      </c>
      <c r="I233" s="7" t="n">
        <f aca="false">IF(228&lt;=(Eingabe!$P$18+Eingabe!$Q$18-1),MATCH(228,Eingabe!$P$9:$P$18,1),"")</f>
        <v>4</v>
      </c>
      <c r="J233" s="7" t="n">
        <f aca="false">IF(I233="","",228-INDEX(Eingabe!$P$9:$P$18,I233))</f>
        <v>21</v>
      </c>
      <c r="K233" s="7" t="n">
        <f aca="false">IF(I233="","",INDEX(Eingabe!$E$9:$E$18,I233))</f>
        <v>53</v>
      </c>
    </row>
    <row r="234" customFormat="false" ht="15" hidden="false" customHeight="false" outlineLevel="0" collapsed="false">
      <c r="A234" s="0" t="str">
        <f aca="false">IF(I234="","",IF(J234=0,"Sparte "&amp;I234&amp;": "&amp;INDEX(Eingabe!$B$9:$B$18,I234)&amp;"  (Sparten-ID "&amp;INDEX(Eingabe!$D$9:$D$18,I234)&amp;", "&amp;K234&amp;" Parzellen)",IF(J234&lt;=K234,"   Parzelle "&amp;J234,IF(J234=K234+1,"   Vorstand",IF(J234=K234+2,"   Gäste",IF(J234=K234+3,"   Technik (Switches, Access Points)",""))))))</f>
        <v>   Parzelle 22</v>
      </c>
      <c r="B234" s="0" t="n">
        <f aca="false">IF(I234="","",IF(AND(J234&gt;=1,J234&lt;=K234+3),IF(J234&lt;=K234,IF(J234&lt;=99,IF((INDEX(Eingabe!$G$9:$G$18,I234))&lt;=9,1000+(INDEX(Eingabe!$G$9:$G$18,I234))*100,3000)+J234,IF((INDEX(Eingabe!$G$9:$G$18,I234)+1)&lt;=9,1000+(INDEX(Eingabe!$G$9:$G$18,I234)+1)*100,3000)+J234-100),IF(J234=K234+1,2000+INDEX(Eingabe!$G$9:$G$18,I234)*10+1,IF(J234=K234+2,2000+INDEX(Eingabe!$G$9:$G$18,I234)*10+2,2000+INDEX(Eingabe!$G$9:$G$18,I234)*10+9))),""))</f>
        <v>1422</v>
      </c>
      <c r="C234" s="0" t="str">
        <f aca="false">IF(I234="","",IF(AND(J234&gt;=1,J234&lt;=K234+3),"10."&amp;INDEX(Eingabe!$D$9:$D$18,I234)&amp;"."&amp;IF(J234&lt;=K234,J234,IF(J234=K234+1,200,IF(J234=K234+2,201,250)))&amp;".0/24",""))</f>
        <v>10.4.22.0/24</v>
      </c>
      <c r="D234" s="0" t="str">
        <f aca="false">IF(I234="","",IF(AND(J234&gt;=1,J234&lt;=K234+3),"255.255.255.0",""))</f>
        <v>255.255.255.0</v>
      </c>
      <c r="E234" s="0" t="str">
        <f aca="false">IF(I234="","",IF(AND(J234&gt;=1,J234&lt;=K234+3),"10."&amp;INDEX(Eingabe!$D$9:$D$18,I234)&amp;"."&amp;IF(J234&lt;=K234,J234,IF(J234=K234+1,200,IF(J234=K234+2,201,250)))&amp;".1",""))</f>
        <v>10.4.22.1</v>
      </c>
      <c r="F234" s="0" t="str">
        <f aca="false">IF(I234="","",IF(AND(J234&gt;=1,J234&lt;=K234+3),"10."&amp;INDEX(Eingabe!$D$9:$D$18,I234)&amp;"."&amp;IF(J234&lt;=K234,J234,IF(J234=K234+1,200,IF(J234=K234+2,201,250)))&amp;".10 – 10."&amp;INDEX(Eingabe!$D$9:$D$18,I234)&amp;"."&amp;IF(J234&lt;=K234,J234,IF(J234=K234+1,200,IF(J234=K234+2,201,250)))&amp;".250",""))</f>
        <v>10.4.22.10 – 10.4.22.250</v>
      </c>
      <c r="G234" s="0" t="str">
        <f aca="false">IF(I234="","",IF(AND(J234&gt;=1,J234&lt;=K234),Eingabe!$B$6&amp;"-"&amp;INDEX(Eingabe!$C$9:$C$18,I234)&amp;"-Pächter  ·  Passwort Parzelle "&amp;J234,IF(J234=K234+1,Eingabe!$B$6&amp;"-"&amp;INDEX(Eingabe!$C$9:$C$18,I234)&amp;"-Vorstand  ·  eigenes WLAN",IF(J234=K234+2,Eingabe!$B$6&amp;"-"&amp;INDEX(Eingabe!$C$9:$C$18,I234)&amp;"-Gäste  ·  Voucher",IF(J234=K234+3,"Kabel  ·  Access Point y = .(50+y), Mast-Switch x = .(10+x)","")))))</f>
        <v>SparteNet.de-SF2-Pächter  ·  Passwort Parzelle 22</v>
      </c>
      <c r="I234" s="7" t="n">
        <f aca="false">IF(229&lt;=(Eingabe!$P$18+Eingabe!$Q$18-1),MATCH(229,Eingabe!$P$9:$P$18,1),"")</f>
        <v>4</v>
      </c>
      <c r="J234" s="7" t="n">
        <f aca="false">IF(I234="","",229-INDEX(Eingabe!$P$9:$P$18,I234))</f>
        <v>22</v>
      </c>
      <c r="K234" s="7" t="n">
        <f aca="false">IF(I234="","",INDEX(Eingabe!$E$9:$E$18,I234))</f>
        <v>53</v>
      </c>
    </row>
    <row r="235" customFormat="false" ht="15" hidden="false" customHeight="false" outlineLevel="0" collapsed="false">
      <c r="A235" s="0" t="str">
        <f aca="false">IF(I235="","",IF(J235=0,"Sparte "&amp;I235&amp;": "&amp;INDEX(Eingabe!$B$9:$B$18,I235)&amp;"  (Sparten-ID "&amp;INDEX(Eingabe!$D$9:$D$18,I235)&amp;", "&amp;K235&amp;" Parzellen)",IF(J235&lt;=K235,"   Parzelle "&amp;J235,IF(J235=K235+1,"   Vorstand",IF(J235=K235+2,"   Gäste",IF(J235=K235+3,"   Technik (Switches, Access Points)",""))))))</f>
        <v>   Parzelle 23</v>
      </c>
      <c r="B235" s="0" t="n">
        <f aca="false">IF(I235="","",IF(AND(J235&gt;=1,J235&lt;=K235+3),IF(J235&lt;=K235,IF(J235&lt;=99,IF((INDEX(Eingabe!$G$9:$G$18,I235))&lt;=9,1000+(INDEX(Eingabe!$G$9:$G$18,I235))*100,3000)+J235,IF((INDEX(Eingabe!$G$9:$G$18,I235)+1)&lt;=9,1000+(INDEX(Eingabe!$G$9:$G$18,I235)+1)*100,3000)+J235-100),IF(J235=K235+1,2000+INDEX(Eingabe!$G$9:$G$18,I235)*10+1,IF(J235=K235+2,2000+INDEX(Eingabe!$G$9:$G$18,I235)*10+2,2000+INDEX(Eingabe!$G$9:$G$18,I235)*10+9))),""))</f>
        <v>1423</v>
      </c>
      <c r="C235" s="0" t="str">
        <f aca="false">IF(I235="","",IF(AND(J235&gt;=1,J235&lt;=K235+3),"10."&amp;INDEX(Eingabe!$D$9:$D$18,I235)&amp;"."&amp;IF(J235&lt;=K235,J235,IF(J235=K235+1,200,IF(J235=K235+2,201,250)))&amp;".0/24",""))</f>
        <v>10.4.23.0/24</v>
      </c>
      <c r="D235" s="0" t="str">
        <f aca="false">IF(I235="","",IF(AND(J235&gt;=1,J235&lt;=K235+3),"255.255.255.0",""))</f>
        <v>255.255.255.0</v>
      </c>
      <c r="E235" s="0" t="str">
        <f aca="false">IF(I235="","",IF(AND(J235&gt;=1,J235&lt;=K235+3),"10."&amp;INDEX(Eingabe!$D$9:$D$18,I235)&amp;"."&amp;IF(J235&lt;=K235,J235,IF(J235=K235+1,200,IF(J235=K235+2,201,250)))&amp;".1",""))</f>
        <v>10.4.23.1</v>
      </c>
      <c r="F235" s="0" t="str">
        <f aca="false">IF(I235="","",IF(AND(J235&gt;=1,J235&lt;=K235+3),"10."&amp;INDEX(Eingabe!$D$9:$D$18,I235)&amp;"."&amp;IF(J235&lt;=K235,J235,IF(J235=K235+1,200,IF(J235=K235+2,201,250)))&amp;".10 – 10."&amp;INDEX(Eingabe!$D$9:$D$18,I235)&amp;"."&amp;IF(J235&lt;=K235,J235,IF(J235=K235+1,200,IF(J235=K235+2,201,250)))&amp;".250",""))</f>
        <v>10.4.23.10 – 10.4.23.250</v>
      </c>
      <c r="G235" s="0" t="str">
        <f aca="false">IF(I235="","",IF(AND(J235&gt;=1,J235&lt;=K235),Eingabe!$B$6&amp;"-"&amp;INDEX(Eingabe!$C$9:$C$18,I235)&amp;"-Pächter  ·  Passwort Parzelle "&amp;J235,IF(J235=K235+1,Eingabe!$B$6&amp;"-"&amp;INDEX(Eingabe!$C$9:$C$18,I235)&amp;"-Vorstand  ·  eigenes WLAN",IF(J235=K235+2,Eingabe!$B$6&amp;"-"&amp;INDEX(Eingabe!$C$9:$C$18,I235)&amp;"-Gäste  ·  Voucher",IF(J235=K235+3,"Kabel  ·  Access Point y = .(50+y), Mast-Switch x = .(10+x)","")))))</f>
        <v>SparteNet.de-SF2-Pächter  ·  Passwort Parzelle 23</v>
      </c>
      <c r="I235" s="7" t="n">
        <f aca="false">IF(230&lt;=(Eingabe!$P$18+Eingabe!$Q$18-1),MATCH(230,Eingabe!$P$9:$P$18,1),"")</f>
        <v>4</v>
      </c>
      <c r="J235" s="7" t="n">
        <f aca="false">IF(I235="","",230-INDEX(Eingabe!$P$9:$P$18,I235))</f>
        <v>23</v>
      </c>
      <c r="K235" s="7" t="n">
        <f aca="false">IF(I235="","",INDEX(Eingabe!$E$9:$E$18,I235))</f>
        <v>53</v>
      </c>
    </row>
    <row r="236" customFormat="false" ht="15" hidden="false" customHeight="false" outlineLevel="0" collapsed="false">
      <c r="A236" s="0" t="str">
        <f aca="false">IF(I236="","",IF(J236=0,"Sparte "&amp;I236&amp;": "&amp;INDEX(Eingabe!$B$9:$B$18,I236)&amp;"  (Sparten-ID "&amp;INDEX(Eingabe!$D$9:$D$18,I236)&amp;", "&amp;K236&amp;" Parzellen)",IF(J236&lt;=K236,"   Parzelle "&amp;J236,IF(J236=K236+1,"   Vorstand",IF(J236=K236+2,"   Gäste",IF(J236=K236+3,"   Technik (Switches, Access Points)",""))))))</f>
        <v>   Parzelle 24</v>
      </c>
      <c r="B236" s="0" t="n">
        <f aca="false">IF(I236="","",IF(AND(J236&gt;=1,J236&lt;=K236+3),IF(J236&lt;=K236,IF(J236&lt;=99,IF((INDEX(Eingabe!$G$9:$G$18,I236))&lt;=9,1000+(INDEX(Eingabe!$G$9:$G$18,I236))*100,3000)+J236,IF((INDEX(Eingabe!$G$9:$G$18,I236)+1)&lt;=9,1000+(INDEX(Eingabe!$G$9:$G$18,I236)+1)*100,3000)+J236-100),IF(J236=K236+1,2000+INDEX(Eingabe!$G$9:$G$18,I236)*10+1,IF(J236=K236+2,2000+INDEX(Eingabe!$G$9:$G$18,I236)*10+2,2000+INDEX(Eingabe!$G$9:$G$18,I236)*10+9))),""))</f>
        <v>1424</v>
      </c>
      <c r="C236" s="0" t="str">
        <f aca="false">IF(I236="","",IF(AND(J236&gt;=1,J236&lt;=K236+3),"10."&amp;INDEX(Eingabe!$D$9:$D$18,I236)&amp;"."&amp;IF(J236&lt;=K236,J236,IF(J236=K236+1,200,IF(J236=K236+2,201,250)))&amp;".0/24",""))</f>
        <v>10.4.24.0/24</v>
      </c>
      <c r="D236" s="0" t="str">
        <f aca="false">IF(I236="","",IF(AND(J236&gt;=1,J236&lt;=K236+3),"255.255.255.0",""))</f>
        <v>255.255.255.0</v>
      </c>
      <c r="E236" s="0" t="str">
        <f aca="false">IF(I236="","",IF(AND(J236&gt;=1,J236&lt;=K236+3),"10."&amp;INDEX(Eingabe!$D$9:$D$18,I236)&amp;"."&amp;IF(J236&lt;=K236,J236,IF(J236=K236+1,200,IF(J236=K236+2,201,250)))&amp;".1",""))</f>
        <v>10.4.24.1</v>
      </c>
      <c r="F236" s="0" t="str">
        <f aca="false">IF(I236="","",IF(AND(J236&gt;=1,J236&lt;=K236+3),"10."&amp;INDEX(Eingabe!$D$9:$D$18,I236)&amp;"."&amp;IF(J236&lt;=K236,J236,IF(J236=K236+1,200,IF(J236=K236+2,201,250)))&amp;".10 – 10."&amp;INDEX(Eingabe!$D$9:$D$18,I236)&amp;"."&amp;IF(J236&lt;=K236,J236,IF(J236=K236+1,200,IF(J236=K236+2,201,250)))&amp;".250",""))</f>
        <v>10.4.24.10 – 10.4.24.250</v>
      </c>
      <c r="G236" s="0" t="str">
        <f aca="false">IF(I236="","",IF(AND(J236&gt;=1,J236&lt;=K236),Eingabe!$B$6&amp;"-"&amp;INDEX(Eingabe!$C$9:$C$18,I236)&amp;"-Pächter  ·  Passwort Parzelle "&amp;J236,IF(J236=K236+1,Eingabe!$B$6&amp;"-"&amp;INDEX(Eingabe!$C$9:$C$18,I236)&amp;"-Vorstand  ·  eigenes WLAN",IF(J236=K236+2,Eingabe!$B$6&amp;"-"&amp;INDEX(Eingabe!$C$9:$C$18,I236)&amp;"-Gäste  ·  Voucher",IF(J236=K236+3,"Kabel  ·  Access Point y = .(50+y), Mast-Switch x = .(10+x)","")))))</f>
        <v>SparteNet.de-SF2-Pächter  ·  Passwort Parzelle 24</v>
      </c>
      <c r="I236" s="7" t="n">
        <f aca="false">IF(231&lt;=(Eingabe!$P$18+Eingabe!$Q$18-1),MATCH(231,Eingabe!$P$9:$P$18,1),"")</f>
        <v>4</v>
      </c>
      <c r="J236" s="7" t="n">
        <f aca="false">IF(I236="","",231-INDEX(Eingabe!$P$9:$P$18,I236))</f>
        <v>24</v>
      </c>
      <c r="K236" s="7" t="n">
        <f aca="false">IF(I236="","",INDEX(Eingabe!$E$9:$E$18,I236))</f>
        <v>53</v>
      </c>
    </row>
    <row r="237" customFormat="false" ht="15" hidden="false" customHeight="false" outlineLevel="0" collapsed="false">
      <c r="A237" s="0" t="str">
        <f aca="false">IF(I237="","",IF(J237=0,"Sparte "&amp;I237&amp;": "&amp;INDEX(Eingabe!$B$9:$B$18,I237)&amp;"  (Sparten-ID "&amp;INDEX(Eingabe!$D$9:$D$18,I237)&amp;", "&amp;K237&amp;" Parzellen)",IF(J237&lt;=K237,"   Parzelle "&amp;J237,IF(J237=K237+1,"   Vorstand",IF(J237=K237+2,"   Gäste",IF(J237=K237+3,"   Technik (Switches, Access Points)",""))))))</f>
        <v>   Parzelle 25</v>
      </c>
      <c r="B237" s="0" t="n">
        <f aca="false">IF(I237="","",IF(AND(J237&gt;=1,J237&lt;=K237+3),IF(J237&lt;=K237,IF(J237&lt;=99,IF((INDEX(Eingabe!$G$9:$G$18,I237))&lt;=9,1000+(INDEX(Eingabe!$G$9:$G$18,I237))*100,3000)+J237,IF((INDEX(Eingabe!$G$9:$G$18,I237)+1)&lt;=9,1000+(INDEX(Eingabe!$G$9:$G$18,I237)+1)*100,3000)+J237-100),IF(J237=K237+1,2000+INDEX(Eingabe!$G$9:$G$18,I237)*10+1,IF(J237=K237+2,2000+INDEX(Eingabe!$G$9:$G$18,I237)*10+2,2000+INDEX(Eingabe!$G$9:$G$18,I237)*10+9))),""))</f>
        <v>1425</v>
      </c>
      <c r="C237" s="0" t="str">
        <f aca="false">IF(I237="","",IF(AND(J237&gt;=1,J237&lt;=K237+3),"10."&amp;INDEX(Eingabe!$D$9:$D$18,I237)&amp;"."&amp;IF(J237&lt;=K237,J237,IF(J237=K237+1,200,IF(J237=K237+2,201,250)))&amp;".0/24",""))</f>
        <v>10.4.25.0/24</v>
      </c>
      <c r="D237" s="0" t="str">
        <f aca="false">IF(I237="","",IF(AND(J237&gt;=1,J237&lt;=K237+3),"255.255.255.0",""))</f>
        <v>255.255.255.0</v>
      </c>
      <c r="E237" s="0" t="str">
        <f aca="false">IF(I237="","",IF(AND(J237&gt;=1,J237&lt;=K237+3),"10."&amp;INDEX(Eingabe!$D$9:$D$18,I237)&amp;"."&amp;IF(J237&lt;=K237,J237,IF(J237=K237+1,200,IF(J237=K237+2,201,250)))&amp;".1",""))</f>
        <v>10.4.25.1</v>
      </c>
      <c r="F237" s="0" t="str">
        <f aca="false">IF(I237="","",IF(AND(J237&gt;=1,J237&lt;=K237+3),"10."&amp;INDEX(Eingabe!$D$9:$D$18,I237)&amp;"."&amp;IF(J237&lt;=K237,J237,IF(J237=K237+1,200,IF(J237=K237+2,201,250)))&amp;".10 – 10."&amp;INDEX(Eingabe!$D$9:$D$18,I237)&amp;"."&amp;IF(J237&lt;=K237,J237,IF(J237=K237+1,200,IF(J237=K237+2,201,250)))&amp;".250",""))</f>
        <v>10.4.25.10 – 10.4.25.250</v>
      </c>
      <c r="G237" s="0" t="str">
        <f aca="false">IF(I237="","",IF(AND(J237&gt;=1,J237&lt;=K237),Eingabe!$B$6&amp;"-"&amp;INDEX(Eingabe!$C$9:$C$18,I237)&amp;"-Pächter  ·  Passwort Parzelle "&amp;J237,IF(J237=K237+1,Eingabe!$B$6&amp;"-"&amp;INDEX(Eingabe!$C$9:$C$18,I237)&amp;"-Vorstand  ·  eigenes WLAN",IF(J237=K237+2,Eingabe!$B$6&amp;"-"&amp;INDEX(Eingabe!$C$9:$C$18,I237)&amp;"-Gäste  ·  Voucher",IF(J237=K237+3,"Kabel  ·  Access Point y = .(50+y), Mast-Switch x = .(10+x)","")))))</f>
        <v>SparteNet.de-SF2-Pächter  ·  Passwort Parzelle 25</v>
      </c>
      <c r="I237" s="7" t="n">
        <f aca="false">IF(232&lt;=(Eingabe!$P$18+Eingabe!$Q$18-1),MATCH(232,Eingabe!$P$9:$P$18,1),"")</f>
        <v>4</v>
      </c>
      <c r="J237" s="7" t="n">
        <f aca="false">IF(I237="","",232-INDEX(Eingabe!$P$9:$P$18,I237))</f>
        <v>25</v>
      </c>
      <c r="K237" s="7" t="n">
        <f aca="false">IF(I237="","",INDEX(Eingabe!$E$9:$E$18,I237))</f>
        <v>53</v>
      </c>
    </row>
    <row r="238" customFormat="false" ht="15" hidden="false" customHeight="false" outlineLevel="0" collapsed="false">
      <c r="A238" s="0" t="str">
        <f aca="false">IF(I238="","",IF(J238=0,"Sparte "&amp;I238&amp;": "&amp;INDEX(Eingabe!$B$9:$B$18,I238)&amp;"  (Sparten-ID "&amp;INDEX(Eingabe!$D$9:$D$18,I238)&amp;", "&amp;K238&amp;" Parzellen)",IF(J238&lt;=K238,"   Parzelle "&amp;J238,IF(J238=K238+1,"   Vorstand",IF(J238=K238+2,"   Gäste",IF(J238=K238+3,"   Technik (Switches, Access Points)",""))))))</f>
        <v>   Parzelle 26</v>
      </c>
      <c r="B238" s="0" t="n">
        <f aca="false">IF(I238="","",IF(AND(J238&gt;=1,J238&lt;=K238+3),IF(J238&lt;=K238,IF(J238&lt;=99,IF((INDEX(Eingabe!$G$9:$G$18,I238))&lt;=9,1000+(INDEX(Eingabe!$G$9:$G$18,I238))*100,3000)+J238,IF((INDEX(Eingabe!$G$9:$G$18,I238)+1)&lt;=9,1000+(INDEX(Eingabe!$G$9:$G$18,I238)+1)*100,3000)+J238-100),IF(J238=K238+1,2000+INDEX(Eingabe!$G$9:$G$18,I238)*10+1,IF(J238=K238+2,2000+INDEX(Eingabe!$G$9:$G$18,I238)*10+2,2000+INDEX(Eingabe!$G$9:$G$18,I238)*10+9))),""))</f>
        <v>1426</v>
      </c>
      <c r="C238" s="0" t="str">
        <f aca="false">IF(I238="","",IF(AND(J238&gt;=1,J238&lt;=K238+3),"10."&amp;INDEX(Eingabe!$D$9:$D$18,I238)&amp;"."&amp;IF(J238&lt;=K238,J238,IF(J238=K238+1,200,IF(J238=K238+2,201,250)))&amp;".0/24",""))</f>
        <v>10.4.26.0/24</v>
      </c>
      <c r="D238" s="0" t="str">
        <f aca="false">IF(I238="","",IF(AND(J238&gt;=1,J238&lt;=K238+3),"255.255.255.0",""))</f>
        <v>255.255.255.0</v>
      </c>
      <c r="E238" s="0" t="str">
        <f aca="false">IF(I238="","",IF(AND(J238&gt;=1,J238&lt;=K238+3),"10."&amp;INDEX(Eingabe!$D$9:$D$18,I238)&amp;"."&amp;IF(J238&lt;=K238,J238,IF(J238=K238+1,200,IF(J238=K238+2,201,250)))&amp;".1",""))</f>
        <v>10.4.26.1</v>
      </c>
      <c r="F238" s="0" t="str">
        <f aca="false">IF(I238="","",IF(AND(J238&gt;=1,J238&lt;=K238+3),"10."&amp;INDEX(Eingabe!$D$9:$D$18,I238)&amp;"."&amp;IF(J238&lt;=K238,J238,IF(J238=K238+1,200,IF(J238=K238+2,201,250)))&amp;".10 – 10."&amp;INDEX(Eingabe!$D$9:$D$18,I238)&amp;"."&amp;IF(J238&lt;=K238,J238,IF(J238=K238+1,200,IF(J238=K238+2,201,250)))&amp;".250",""))</f>
        <v>10.4.26.10 – 10.4.26.250</v>
      </c>
      <c r="G238" s="0" t="str">
        <f aca="false">IF(I238="","",IF(AND(J238&gt;=1,J238&lt;=K238),Eingabe!$B$6&amp;"-"&amp;INDEX(Eingabe!$C$9:$C$18,I238)&amp;"-Pächter  ·  Passwort Parzelle "&amp;J238,IF(J238=K238+1,Eingabe!$B$6&amp;"-"&amp;INDEX(Eingabe!$C$9:$C$18,I238)&amp;"-Vorstand  ·  eigenes WLAN",IF(J238=K238+2,Eingabe!$B$6&amp;"-"&amp;INDEX(Eingabe!$C$9:$C$18,I238)&amp;"-Gäste  ·  Voucher",IF(J238=K238+3,"Kabel  ·  Access Point y = .(50+y), Mast-Switch x = .(10+x)","")))))</f>
        <v>SparteNet.de-SF2-Pächter  ·  Passwort Parzelle 26</v>
      </c>
      <c r="I238" s="7" t="n">
        <f aca="false">IF(233&lt;=(Eingabe!$P$18+Eingabe!$Q$18-1),MATCH(233,Eingabe!$P$9:$P$18,1),"")</f>
        <v>4</v>
      </c>
      <c r="J238" s="7" t="n">
        <f aca="false">IF(I238="","",233-INDEX(Eingabe!$P$9:$P$18,I238))</f>
        <v>26</v>
      </c>
      <c r="K238" s="7" t="n">
        <f aca="false">IF(I238="","",INDEX(Eingabe!$E$9:$E$18,I238))</f>
        <v>53</v>
      </c>
    </row>
    <row r="239" customFormat="false" ht="15" hidden="false" customHeight="false" outlineLevel="0" collapsed="false">
      <c r="A239" s="0" t="str">
        <f aca="false">IF(I239="","",IF(J239=0,"Sparte "&amp;I239&amp;": "&amp;INDEX(Eingabe!$B$9:$B$18,I239)&amp;"  (Sparten-ID "&amp;INDEX(Eingabe!$D$9:$D$18,I239)&amp;", "&amp;K239&amp;" Parzellen)",IF(J239&lt;=K239,"   Parzelle "&amp;J239,IF(J239=K239+1,"   Vorstand",IF(J239=K239+2,"   Gäste",IF(J239=K239+3,"   Technik (Switches, Access Points)",""))))))</f>
        <v>   Parzelle 27</v>
      </c>
      <c r="B239" s="0" t="n">
        <f aca="false">IF(I239="","",IF(AND(J239&gt;=1,J239&lt;=K239+3),IF(J239&lt;=K239,IF(J239&lt;=99,IF((INDEX(Eingabe!$G$9:$G$18,I239))&lt;=9,1000+(INDEX(Eingabe!$G$9:$G$18,I239))*100,3000)+J239,IF((INDEX(Eingabe!$G$9:$G$18,I239)+1)&lt;=9,1000+(INDEX(Eingabe!$G$9:$G$18,I239)+1)*100,3000)+J239-100),IF(J239=K239+1,2000+INDEX(Eingabe!$G$9:$G$18,I239)*10+1,IF(J239=K239+2,2000+INDEX(Eingabe!$G$9:$G$18,I239)*10+2,2000+INDEX(Eingabe!$G$9:$G$18,I239)*10+9))),""))</f>
        <v>1427</v>
      </c>
      <c r="C239" s="0" t="str">
        <f aca="false">IF(I239="","",IF(AND(J239&gt;=1,J239&lt;=K239+3),"10."&amp;INDEX(Eingabe!$D$9:$D$18,I239)&amp;"."&amp;IF(J239&lt;=K239,J239,IF(J239=K239+1,200,IF(J239=K239+2,201,250)))&amp;".0/24",""))</f>
        <v>10.4.27.0/24</v>
      </c>
      <c r="D239" s="0" t="str">
        <f aca="false">IF(I239="","",IF(AND(J239&gt;=1,J239&lt;=K239+3),"255.255.255.0",""))</f>
        <v>255.255.255.0</v>
      </c>
      <c r="E239" s="0" t="str">
        <f aca="false">IF(I239="","",IF(AND(J239&gt;=1,J239&lt;=K239+3),"10."&amp;INDEX(Eingabe!$D$9:$D$18,I239)&amp;"."&amp;IF(J239&lt;=K239,J239,IF(J239=K239+1,200,IF(J239=K239+2,201,250)))&amp;".1",""))</f>
        <v>10.4.27.1</v>
      </c>
      <c r="F239" s="0" t="str">
        <f aca="false">IF(I239="","",IF(AND(J239&gt;=1,J239&lt;=K239+3),"10."&amp;INDEX(Eingabe!$D$9:$D$18,I239)&amp;"."&amp;IF(J239&lt;=K239,J239,IF(J239=K239+1,200,IF(J239=K239+2,201,250)))&amp;".10 – 10."&amp;INDEX(Eingabe!$D$9:$D$18,I239)&amp;"."&amp;IF(J239&lt;=K239,J239,IF(J239=K239+1,200,IF(J239=K239+2,201,250)))&amp;".250",""))</f>
        <v>10.4.27.10 – 10.4.27.250</v>
      </c>
      <c r="G239" s="0" t="str">
        <f aca="false">IF(I239="","",IF(AND(J239&gt;=1,J239&lt;=K239),Eingabe!$B$6&amp;"-"&amp;INDEX(Eingabe!$C$9:$C$18,I239)&amp;"-Pächter  ·  Passwort Parzelle "&amp;J239,IF(J239=K239+1,Eingabe!$B$6&amp;"-"&amp;INDEX(Eingabe!$C$9:$C$18,I239)&amp;"-Vorstand  ·  eigenes WLAN",IF(J239=K239+2,Eingabe!$B$6&amp;"-"&amp;INDEX(Eingabe!$C$9:$C$18,I239)&amp;"-Gäste  ·  Voucher",IF(J239=K239+3,"Kabel  ·  Access Point y = .(50+y), Mast-Switch x = .(10+x)","")))))</f>
        <v>SparteNet.de-SF2-Pächter  ·  Passwort Parzelle 27</v>
      </c>
      <c r="I239" s="7" t="n">
        <f aca="false">IF(234&lt;=(Eingabe!$P$18+Eingabe!$Q$18-1),MATCH(234,Eingabe!$P$9:$P$18,1),"")</f>
        <v>4</v>
      </c>
      <c r="J239" s="7" t="n">
        <f aca="false">IF(I239="","",234-INDEX(Eingabe!$P$9:$P$18,I239))</f>
        <v>27</v>
      </c>
      <c r="K239" s="7" t="n">
        <f aca="false">IF(I239="","",INDEX(Eingabe!$E$9:$E$18,I239))</f>
        <v>53</v>
      </c>
    </row>
    <row r="240" customFormat="false" ht="15" hidden="false" customHeight="false" outlineLevel="0" collapsed="false">
      <c r="A240" s="0" t="str">
        <f aca="false">IF(I240="","",IF(J240=0,"Sparte "&amp;I240&amp;": "&amp;INDEX(Eingabe!$B$9:$B$18,I240)&amp;"  (Sparten-ID "&amp;INDEX(Eingabe!$D$9:$D$18,I240)&amp;", "&amp;K240&amp;" Parzellen)",IF(J240&lt;=K240,"   Parzelle "&amp;J240,IF(J240=K240+1,"   Vorstand",IF(J240=K240+2,"   Gäste",IF(J240=K240+3,"   Technik (Switches, Access Points)",""))))))</f>
        <v>   Parzelle 28</v>
      </c>
      <c r="B240" s="0" t="n">
        <f aca="false">IF(I240="","",IF(AND(J240&gt;=1,J240&lt;=K240+3),IF(J240&lt;=K240,IF(J240&lt;=99,IF((INDEX(Eingabe!$G$9:$G$18,I240))&lt;=9,1000+(INDEX(Eingabe!$G$9:$G$18,I240))*100,3000)+J240,IF((INDEX(Eingabe!$G$9:$G$18,I240)+1)&lt;=9,1000+(INDEX(Eingabe!$G$9:$G$18,I240)+1)*100,3000)+J240-100),IF(J240=K240+1,2000+INDEX(Eingabe!$G$9:$G$18,I240)*10+1,IF(J240=K240+2,2000+INDEX(Eingabe!$G$9:$G$18,I240)*10+2,2000+INDEX(Eingabe!$G$9:$G$18,I240)*10+9))),""))</f>
        <v>1428</v>
      </c>
      <c r="C240" s="0" t="str">
        <f aca="false">IF(I240="","",IF(AND(J240&gt;=1,J240&lt;=K240+3),"10."&amp;INDEX(Eingabe!$D$9:$D$18,I240)&amp;"."&amp;IF(J240&lt;=K240,J240,IF(J240=K240+1,200,IF(J240=K240+2,201,250)))&amp;".0/24",""))</f>
        <v>10.4.28.0/24</v>
      </c>
      <c r="D240" s="0" t="str">
        <f aca="false">IF(I240="","",IF(AND(J240&gt;=1,J240&lt;=K240+3),"255.255.255.0",""))</f>
        <v>255.255.255.0</v>
      </c>
      <c r="E240" s="0" t="str">
        <f aca="false">IF(I240="","",IF(AND(J240&gt;=1,J240&lt;=K240+3),"10."&amp;INDEX(Eingabe!$D$9:$D$18,I240)&amp;"."&amp;IF(J240&lt;=K240,J240,IF(J240=K240+1,200,IF(J240=K240+2,201,250)))&amp;".1",""))</f>
        <v>10.4.28.1</v>
      </c>
      <c r="F240" s="0" t="str">
        <f aca="false">IF(I240="","",IF(AND(J240&gt;=1,J240&lt;=K240+3),"10."&amp;INDEX(Eingabe!$D$9:$D$18,I240)&amp;"."&amp;IF(J240&lt;=K240,J240,IF(J240=K240+1,200,IF(J240=K240+2,201,250)))&amp;".10 – 10."&amp;INDEX(Eingabe!$D$9:$D$18,I240)&amp;"."&amp;IF(J240&lt;=K240,J240,IF(J240=K240+1,200,IF(J240=K240+2,201,250)))&amp;".250",""))</f>
        <v>10.4.28.10 – 10.4.28.250</v>
      </c>
      <c r="G240" s="0" t="str">
        <f aca="false">IF(I240="","",IF(AND(J240&gt;=1,J240&lt;=K240),Eingabe!$B$6&amp;"-"&amp;INDEX(Eingabe!$C$9:$C$18,I240)&amp;"-Pächter  ·  Passwort Parzelle "&amp;J240,IF(J240=K240+1,Eingabe!$B$6&amp;"-"&amp;INDEX(Eingabe!$C$9:$C$18,I240)&amp;"-Vorstand  ·  eigenes WLAN",IF(J240=K240+2,Eingabe!$B$6&amp;"-"&amp;INDEX(Eingabe!$C$9:$C$18,I240)&amp;"-Gäste  ·  Voucher",IF(J240=K240+3,"Kabel  ·  Access Point y = .(50+y), Mast-Switch x = .(10+x)","")))))</f>
        <v>SparteNet.de-SF2-Pächter  ·  Passwort Parzelle 28</v>
      </c>
      <c r="I240" s="7" t="n">
        <f aca="false">IF(235&lt;=(Eingabe!$P$18+Eingabe!$Q$18-1),MATCH(235,Eingabe!$P$9:$P$18,1),"")</f>
        <v>4</v>
      </c>
      <c r="J240" s="7" t="n">
        <f aca="false">IF(I240="","",235-INDEX(Eingabe!$P$9:$P$18,I240))</f>
        <v>28</v>
      </c>
      <c r="K240" s="7" t="n">
        <f aca="false">IF(I240="","",INDEX(Eingabe!$E$9:$E$18,I240))</f>
        <v>53</v>
      </c>
    </row>
    <row r="241" customFormat="false" ht="15" hidden="false" customHeight="false" outlineLevel="0" collapsed="false">
      <c r="A241" s="0" t="str">
        <f aca="false">IF(I241="","",IF(J241=0,"Sparte "&amp;I241&amp;": "&amp;INDEX(Eingabe!$B$9:$B$18,I241)&amp;"  (Sparten-ID "&amp;INDEX(Eingabe!$D$9:$D$18,I241)&amp;", "&amp;K241&amp;" Parzellen)",IF(J241&lt;=K241,"   Parzelle "&amp;J241,IF(J241=K241+1,"   Vorstand",IF(J241=K241+2,"   Gäste",IF(J241=K241+3,"   Technik (Switches, Access Points)",""))))))</f>
        <v>   Parzelle 29</v>
      </c>
      <c r="B241" s="0" t="n">
        <f aca="false">IF(I241="","",IF(AND(J241&gt;=1,J241&lt;=K241+3),IF(J241&lt;=K241,IF(J241&lt;=99,IF((INDEX(Eingabe!$G$9:$G$18,I241))&lt;=9,1000+(INDEX(Eingabe!$G$9:$G$18,I241))*100,3000)+J241,IF((INDEX(Eingabe!$G$9:$G$18,I241)+1)&lt;=9,1000+(INDEX(Eingabe!$G$9:$G$18,I241)+1)*100,3000)+J241-100),IF(J241=K241+1,2000+INDEX(Eingabe!$G$9:$G$18,I241)*10+1,IF(J241=K241+2,2000+INDEX(Eingabe!$G$9:$G$18,I241)*10+2,2000+INDEX(Eingabe!$G$9:$G$18,I241)*10+9))),""))</f>
        <v>1429</v>
      </c>
      <c r="C241" s="0" t="str">
        <f aca="false">IF(I241="","",IF(AND(J241&gt;=1,J241&lt;=K241+3),"10."&amp;INDEX(Eingabe!$D$9:$D$18,I241)&amp;"."&amp;IF(J241&lt;=K241,J241,IF(J241=K241+1,200,IF(J241=K241+2,201,250)))&amp;".0/24",""))</f>
        <v>10.4.29.0/24</v>
      </c>
      <c r="D241" s="0" t="str">
        <f aca="false">IF(I241="","",IF(AND(J241&gt;=1,J241&lt;=K241+3),"255.255.255.0",""))</f>
        <v>255.255.255.0</v>
      </c>
      <c r="E241" s="0" t="str">
        <f aca="false">IF(I241="","",IF(AND(J241&gt;=1,J241&lt;=K241+3),"10."&amp;INDEX(Eingabe!$D$9:$D$18,I241)&amp;"."&amp;IF(J241&lt;=K241,J241,IF(J241=K241+1,200,IF(J241=K241+2,201,250)))&amp;".1",""))</f>
        <v>10.4.29.1</v>
      </c>
      <c r="F241" s="0" t="str">
        <f aca="false">IF(I241="","",IF(AND(J241&gt;=1,J241&lt;=K241+3),"10."&amp;INDEX(Eingabe!$D$9:$D$18,I241)&amp;"."&amp;IF(J241&lt;=K241,J241,IF(J241=K241+1,200,IF(J241=K241+2,201,250)))&amp;".10 – 10."&amp;INDEX(Eingabe!$D$9:$D$18,I241)&amp;"."&amp;IF(J241&lt;=K241,J241,IF(J241=K241+1,200,IF(J241=K241+2,201,250)))&amp;".250",""))</f>
        <v>10.4.29.10 – 10.4.29.250</v>
      </c>
      <c r="G241" s="0" t="str">
        <f aca="false">IF(I241="","",IF(AND(J241&gt;=1,J241&lt;=K241),Eingabe!$B$6&amp;"-"&amp;INDEX(Eingabe!$C$9:$C$18,I241)&amp;"-Pächter  ·  Passwort Parzelle "&amp;J241,IF(J241=K241+1,Eingabe!$B$6&amp;"-"&amp;INDEX(Eingabe!$C$9:$C$18,I241)&amp;"-Vorstand  ·  eigenes WLAN",IF(J241=K241+2,Eingabe!$B$6&amp;"-"&amp;INDEX(Eingabe!$C$9:$C$18,I241)&amp;"-Gäste  ·  Voucher",IF(J241=K241+3,"Kabel  ·  Access Point y = .(50+y), Mast-Switch x = .(10+x)","")))))</f>
        <v>SparteNet.de-SF2-Pächter  ·  Passwort Parzelle 29</v>
      </c>
      <c r="I241" s="7" t="n">
        <f aca="false">IF(236&lt;=(Eingabe!$P$18+Eingabe!$Q$18-1),MATCH(236,Eingabe!$P$9:$P$18,1),"")</f>
        <v>4</v>
      </c>
      <c r="J241" s="7" t="n">
        <f aca="false">IF(I241="","",236-INDEX(Eingabe!$P$9:$P$18,I241))</f>
        <v>29</v>
      </c>
      <c r="K241" s="7" t="n">
        <f aca="false">IF(I241="","",INDEX(Eingabe!$E$9:$E$18,I241))</f>
        <v>53</v>
      </c>
    </row>
    <row r="242" customFormat="false" ht="15" hidden="false" customHeight="false" outlineLevel="0" collapsed="false">
      <c r="A242" s="0" t="str">
        <f aca="false">IF(I242="","",IF(J242=0,"Sparte "&amp;I242&amp;": "&amp;INDEX(Eingabe!$B$9:$B$18,I242)&amp;"  (Sparten-ID "&amp;INDEX(Eingabe!$D$9:$D$18,I242)&amp;", "&amp;K242&amp;" Parzellen)",IF(J242&lt;=K242,"   Parzelle "&amp;J242,IF(J242=K242+1,"   Vorstand",IF(J242=K242+2,"   Gäste",IF(J242=K242+3,"   Technik (Switches, Access Points)",""))))))</f>
        <v>   Parzelle 30</v>
      </c>
      <c r="B242" s="0" t="n">
        <f aca="false">IF(I242="","",IF(AND(J242&gt;=1,J242&lt;=K242+3),IF(J242&lt;=K242,IF(J242&lt;=99,IF((INDEX(Eingabe!$G$9:$G$18,I242))&lt;=9,1000+(INDEX(Eingabe!$G$9:$G$18,I242))*100,3000)+J242,IF((INDEX(Eingabe!$G$9:$G$18,I242)+1)&lt;=9,1000+(INDEX(Eingabe!$G$9:$G$18,I242)+1)*100,3000)+J242-100),IF(J242=K242+1,2000+INDEX(Eingabe!$G$9:$G$18,I242)*10+1,IF(J242=K242+2,2000+INDEX(Eingabe!$G$9:$G$18,I242)*10+2,2000+INDEX(Eingabe!$G$9:$G$18,I242)*10+9))),""))</f>
        <v>1430</v>
      </c>
      <c r="C242" s="0" t="str">
        <f aca="false">IF(I242="","",IF(AND(J242&gt;=1,J242&lt;=K242+3),"10."&amp;INDEX(Eingabe!$D$9:$D$18,I242)&amp;"."&amp;IF(J242&lt;=K242,J242,IF(J242=K242+1,200,IF(J242=K242+2,201,250)))&amp;".0/24",""))</f>
        <v>10.4.30.0/24</v>
      </c>
      <c r="D242" s="0" t="str">
        <f aca="false">IF(I242="","",IF(AND(J242&gt;=1,J242&lt;=K242+3),"255.255.255.0",""))</f>
        <v>255.255.255.0</v>
      </c>
      <c r="E242" s="0" t="str">
        <f aca="false">IF(I242="","",IF(AND(J242&gt;=1,J242&lt;=K242+3),"10."&amp;INDEX(Eingabe!$D$9:$D$18,I242)&amp;"."&amp;IF(J242&lt;=K242,J242,IF(J242=K242+1,200,IF(J242=K242+2,201,250)))&amp;".1",""))</f>
        <v>10.4.30.1</v>
      </c>
      <c r="F242" s="0" t="str">
        <f aca="false">IF(I242="","",IF(AND(J242&gt;=1,J242&lt;=K242+3),"10."&amp;INDEX(Eingabe!$D$9:$D$18,I242)&amp;"."&amp;IF(J242&lt;=K242,J242,IF(J242=K242+1,200,IF(J242=K242+2,201,250)))&amp;".10 – 10."&amp;INDEX(Eingabe!$D$9:$D$18,I242)&amp;"."&amp;IF(J242&lt;=K242,J242,IF(J242=K242+1,200,IF(J242=K242+2,201,250)))&amp;".250",""))</f>
        <v>10.4.30.10 – 10.4.30.250</v>
      </c>
      <c r="G242" s="0" t="str">
        <f aca="false">IF(I242="","",IF(AND(J242&gt;=1,J242&lt;=K242),Eingabe!$B$6&amp;"-"&amp;INDEX(Eingabe!$C$9:$C$18,I242)&amp;"-Pächter  ·  Passwort Parzelle "&amp;J242,IF(J242=K242+1,Eingabe!$B$6&amp;"-"&amp;INDEX(Eingabe!$C$9:$C$18,I242)&amp;"-Vorstand  ·  eigenes WLAN",IF(J242=K242+2,Eingabe!$B$6&amp;"-"&amp;INDEX(Eingabe!$C$9:$C$18,I242)&amp;"-Gäste  ·  Voucher",IF(J242=K242+3,"Kabel  ·  Access Point y = .(50+y), Mast-Switch x = .(10+x)","")))))</f>
        <v>SparteNet.de-SF2-Pächter  ·  Passwort Parzelle 30</v>
      </c>
      <c r="I242" s="7" t="n">
        <f aca="false">IF(237&lt;=(Eingabe!$P$18+Eingabe!$Q$18-1),MATCH(237,Eingabe!$P$9:$P$18,1),"")</f>
        <v>4</v>
      </c>
      <c r="J242" s="7" t="n">
        <f aca="false">IF(I242="","",237-INDEX(Eingabe!$P$9:$P$18,I242))</f>
        <v>30</v>
      </c>
      <c r="K242" s="7" t="n">
        <f aca="false">IF(I242="","",INDEX(Eingabe!$E$9:$E$18,I242))</f>
        <v>53</v>
      </c>
    </row>
    <row r="243" customFormat="false" ht="15" hidden="false" customHeight="false" outlineLevel="0" collapsed="false">
      <c r="A243" s="0" t="str">
        <f aca="false">IF(I243="","",IF(J243=0,"Sparte "&amp;I243&amp;": "&amp;INDEX(Eingabe!$B$9:$B$18,I243)&amp;"  (Sparten-ID "&amp;INDEX(Eingabe!$D$9:$D$18,I243)&amp;", "&amp;K243&amp;" Parzellen)",IF(J243&lt;=K243,"   Parzelle "&amp;J243,IF(J243=K243+1,"   Vorstand",IF(J243=K243+2,"   Gäste",IF(J243=K243+3,"   Technik (Switches, Access Points)",""))))))</f>
        <v>   Parzelle 31</v>
      </c>
      <c r="B243" s="0" t="n">
        <f aca="false">IF(I243="","",IF(AND(J243&gt;=1,J243&lt;=K243+3),IF(J243&lt;=K243,IF(J243&lt;=99,IF((INDEX(Eingabe!$G$9:$G$18,I243))&lt;=9,1000+(INDEX(Eingabe!$G$9:$G$18,I243))*100,3000)+J243,IF((INDEX(Eingabe!$G$9:$G$18,I243)+1)&lt;=9,1000+(INDEX(Eingabe!$G$9:$G$18,I243)+1)*100,3000)+J243-100),IF(J243=K243+1,2000+INDEX(Eingabe!$G$9:$G$18,I243)*10+1,IF(J243=K243+2,2000+INDEX(Eingabe!$G$9:$G$18,I243)*10+2,2000+INDEX(Eingabe!$G$9:$G$18,I243)*10+9))),""))</f>
        <v>1431</v>
      </c>
      <c r="C243" s="0" t="str">
        <f aca="false">IF(I243="","",IF(AND(J243&gt;=1,J243&lt;=K243+3),"10."&amp;INDEX(Eingabe!$D$9:$D$18,I243)&amp;"."&amp;IF(J243&lt;=K243,J243,IF(J243=K243+1,200,IF(J243=K243+2,201,250)))&amp;".0/24",""))</f>
        <v>10.4.31.0/24</v>
      </c>
      <c r="D243" s="0" t="str">
        <f aca="false">IF(I243="","",IF(AND(J243&gt;=1,J243&lt;=K243+3),"255.255.255.0",""))</f>
        <v>255.255.255.0</v>
      </c>
      <c r="E243" s="0" t="str">
        <f aca="false">IF(I243="","",IF(AND(J243&gt;=1,J243&lt;=K243+3),"10."&amp;INDEX(Eingabe!$D$9:$D$18,I243)&amp;"."&amp;IF(J243&lt;=K243,J243,IF(J243=K243+1,200,IF(J243=K243+2,201,250)))&amp;".1",""))</f>
        <v>10.4.31.1</v>
      </c>
      <c r="F243" s="0" t="str">
        <f aca="false">IF(I243="","",IF(AND(J243&gt;=1,J243&lt;=K243+3),"10."&amp;INDEX(Eingabe!$D$9:$D$18,I243)&amp;"."&amp;IF(J243&lt;=K243,J243,IF(J243=K243+1,200,IF(J243=K243+2,201,250)))&amp;".10 – 10."&amp;INDEX(Eingabe!$D$9:$D$18,I243)&amp;"."&amp;IF(J243&lt;=K243,J243,IF(J243=K243+1,200,IF(J243=K243+2,201,250)))&amp;".250",""))</f>
        <v>10.4.31.10 – 10.4.31.250</v>
      </c>
      <c r="G243" s="0" t="str">
        <f aca="false">IF(I243="","",IF(AND(J243&gt;=1,J243&lt;=K243),Eingabe!$B$6&amp;"-"&amp;INDEX(Eingabe!$C$9:$C$18,I243)&amp;"-Pächter  ·  Passwort Parzelle "&amp;J243,IF(J243=K243+1,Eingabe!$B$6&amp;"-"&amp;INDEX(Eingabe!$C$9:$C$18,I243)&amp;"-Vorstand  ·  eigenes WLAN",IF(J243=K243+2,Eingabe!$B$6&amp;"-"&amp;INDEX(Eingabe!$C$9:$C$18,I243)&amp;"-Gäste  ·  Voucher",IF(J243=K243+3,"Kabel  ·  Access Point y = .(50+y), Mast-Switch x = .(10+x)","")))))</f>
        <v>SparteNet.de-SF2-Pächter  ·  Passwort Parzelle 31</v>
      </c>
      <c r="I243" s="7" t="n">
        <f aca="false">IF(238&lt;=(Eingabe!$P$18+Eingabe!$Q$18-1),MATCH(238,Eingabe!$P$9:$P$18,1),"")</f>
        <v>4</v>
      </c>
      <c r="J243" s="7" t="n">
        <f aca="false">IF(I243="","",238-INDEX(Eingabe!$P$9:$P$18,I243))</f>
        <v>31</v>
      </c>
      <c r="K243" s="7" t="n">
        <f aca="false">IF(I243="","",INDEX(Eingabe!$E$9:$E$18,I243))</f>
        <v>53</v>
      </c>
    </row>
    <row r="244" customFormat="false" ht="15" hidden="false" customHeight="false" outlineLevel="0" collapsed="false">
      <c r="A244" s="0" t="str">
        <f aca="false">IF(I244="","",IF(J244=0,"Sparte "&amp;I244&amp;": "&amp;INDEX(Eingabe!$B$9:$B$18,I244)&amp;"  (Sparten-ID "&amp;INDEX(Eingabe!$D$9:$D$18,I244)&amp;", "&amp;K244&amp;" Parzellen)",IF(J244&lt;=K244,"   Parzelle "&amp;J244,IF(J244=K244+1,"   Vorstand",IF(J244=K244+2,"   Gäste",IF(J244=K244+3,"   Technik (Switches, Access Points)",""))))))</f>
        <v>   Parzelle 32</v>
      </c>
      <c r="B244" s="0" t="n">
        <f aca="false">IF(I244="","",IF(AND(J244&gt;=1,J244&lt;=K244+3),IF(J244&lt;=K244,IF(J244&lt;=99,IF((INDEX(Eingabe!$G$9:$G$18,I244))&lt;=9,1000+(INDEX(Eingabe!$G$9:$G$18,I244))*100,3000)+J244,IF((INDEX(Eingabe!$G$9:$G$18,I244)+1)&lt;=9,1000+(INDEX(Eingabe!$G$9:$G$18,I244)+1)*100,3000)+J244-100),IF(J244=K244+1,2000+INDEX(Eingabe!$G$9:$G$18,I244)*10+1,IF(J244=K244+2,2000+INDEX(Eingabe!$G$9:$G$18,I244)*10+2,2000+INDEX(Eingabe!$G$9:$G$18,I244)*10+9))),""))</f>
        <v>1432</v>
      </c>
      <c r="C244" s="0" t="str">
        <f aca="false">IF(I244="","",IF(AND(J244&gt;=1,J244&lt;=K244+3),"10."&amp;INDEX(Eingabe!$D$9:$D$18,I244)&amp;"."&amp;IF(J244&lt;=K244,J244,IF(J244=K244+1,200,IF(J244=K244+2,201,250)))&amp;".0/24",""))</f>
        <v>10.4.32.0/24</v>
      </c>
      <c r="D244" s="0" t="str">
        <f aca="false">IF(I244="","",IF(AND(J244&gt;=1,J244&lt;=K244+3),"255.255.255.0",""))</f>
        <v>255.255.255.0</v>
      </c>
      <c r="E244" s="0" t="str">
        <f aca="false">IF(I244="","",IF(AND(J244&gt;=1,J244&lt;=K244+3),"10."&amp;INDEX(Eingabe!$D$9:$D$18,I244)&amp;"."&amp;IF(J244&lt;=K244,J244,IF(J244=K244+1,200,IF(J244=K244+2,201,250)))&amp;".1",""))</f>
        <v>10.4.32.1</v>
      </c>
      <c r="F244" s="0" t="str">
        <f aca="false">IF(I244="","",IF(AND(J244&gt;=1,J244&lt;=K244+3),"10."&amp;INDEX(Eingabe!$D$9:$D$18,I244)&amp;"."&amp;IF(J244&lt;=K244,J244,IF(J244=K244+1,200,IF(J244=K244+2,201,250)))&amp;".10 – 10."&amp;INDEX(Eingabe!$D$9:$D$18,I244)&amp;"."&amp;IF(J244&lt;=K244,J244,IF(J244=K244+1,200,IF(J244=K244+2,201,250)))&amp;".250",""))</f>
        <v>10.4.32.10 – 10.4.32.250</v>
      </c>
      <c r="G244" s="0" t="str">
        <f aca="false">IF(I244="","",IF(AND(J244&gt;=1,J244&lt;=K244),Eingabe!$B$6&amp;"-"&amp;INDEX(Eingabe!$C$9:$C$18,I244)&amp;"-Pächter  ·  Passwort Parzelle "&amp;J244,IF(J244=K244+1,Eingabe!$B$6&amp;"-"&amp;INDEX(Eingabe!$C$9:$C$18,I244)&amp;"-Vorstand  ·  eigenes WLAN",IF(J244=K244+2,Eingabe!$B$6&amp;"-"&amp;INDEX(Eingabe!$C$9:$C$18,I244)&amp;"-Gäste  ·  Voucher",IF(J244=K244+3,"Kabel  ·  Access Point y = .(50+y), Mast-Switch x = .(10+x)","")))))</f>
        <v>SparteNet.de-SF2-Pächter  ·  Passwort Parzelle 32</v>
      </c>
      <c r="I244" s="7" t="n">
        <f aca="false">IF(239&lt;=(Eingabe!$P$18+Eingabe!$Q$18-1),MATCH(239,Eingabe!$P$9:$P$18,1),"")</f>
        <v>4</v>
      </c>
      <c r="J244" s="7" t="n">
        <f aca="false">IF(I244="","",239-INDEX(Eingabe!$P$9:$P$18,I244))</f>
        <v>32</v>
      </c>
      <c r="K244" s="7" t="n">
        <f aca="false">IF(I244="","",INDEX(Eingabe!$E$9:$E$18,I244))</f>
        <v>53</v>
      </c>
    </row>
    <row r="245" customFormat="false" ht="15" hidden="false" customHeight="false" outlineLevel="0" collapsed="false">
      <c r="A245" s="0" t="str">
        <f aca="false">IF(I245="","",IF(J245=0,"Sparte "&amp;I245&amp;": "&amp;INDEX(Eingabe!$B$9:$B$18,I245)&amp;"  (Sparten-ID "&amp;INDEX(Eingabe!$D$9:$D$18,I245)&amp;", "&amp;K245&amp;" Parzellen)",IF(J245&lt;=K245,"   Parzelle "&amp;J245,IF(J245=K245+1,"   Vorstand",IF(J245=K245+2,"   Gäste",IF(J245=K245+3,"   Technik (Switches, Access Points)",""))))))</f>
        <v>   Parzelle 33</v>
      </c>
      <c r="B245" s="0" t="n">
        <f aca="false">IF(I245="","",IF(AND(J245&gt;=1,J245&lt;=K245+3),IF(J245&lt;=K245,IF(J245&lt;=99,IF((INDEX(Eingabe!$G$9:$G$18,I245))&lt;=9,1000+(INDEX(Eingabe!$G$9:$G$18,I245))*100,3000)+J245,IF((INDEX(Eingabe!$G$9:$G$18,I245)+1)&lt;=9,1000+(INDEX(Eingabe!$G$9:$G$18,I245)+1)*100,3000)+J245-100),IF(J245=K245+1,2000+INDEX(Eingabe!$G$9:$G$18,I245)*10+1,IF(J245=K245+2,2000+INDEX(Eingabe!$G$9:$G$18,I245)*10+2,2000+INDEX(Eingabe!$G$9:$G$18,I245)*10+9))),""))</f>
        <v>1433</v>
      </c>
      <c r="C245" s="0" t="str">
        <f aca="false">IF(I245="","",IF(AND(J245&gt;=1,J245&lt;=K245+3),"10."&amp;INDEX(Eingabe!$D$9:$D$18,I245)&amp;"."&amp;IF(J245&lt;=K245,J245,IF(J245=K245+1,200,IF(J245=K245+2,201,250)))&amp;".0/24",""))</f>
        <v>10.4.33.0/24</v>
      </c>
      <c r="D245" s="0" t="str">
        <f aca="false">IF(I245="","",IF(AND(J245&gt;=1,J245&lt;=K245+3),"255.255.255.0",""))</f>
        <v>255.255.255.0</v>
      </c>
      <c r="E245" s="0" t="str">
        <f aca="false">IF(I245="","",IF(AND(J245&gt;=1,J245&lt;=K245+3),"10."&amp;INDEX(Eingabe!$D$9:$D$18,I245)&amp;"."&amp;IF(J245&lt;=K245,J245,IF(J245=K245+1,200,IF(J245=K245+2,201,250)))&amp;".1",""))</f>
        <v>10.4.33.1</v>
      </c>
      <c r="F245" s="0" t="str">
        <f aca="false">IF(I245="","",IF(AND(J245&gt;=1,J245&lt;=K245+3),"10."&amp;INDEX(Eingabe!$D$9:$D$18,I245)&amp;"."&amp;IF(J245&lt;=K245,J245,IF(J245=K245+1,200,IF(J245=K245+2,201,250)))&amp;".10 – 10."&amp;INDEX(Eingabe!$D$9:$D$18,I245)&amp;"."&amp;IF(J245&lt;=K245,J245,IF(J245=K245+1,200,IF(J245=K245+2,201,250)))&amp;".250",""))</f>
        <v>10.4.33.10 – 10.4.33.250</v>
      </c>
      <c r="G245" s="0" t="str">
        <f aca="false">IF(I245="","",IF(AND(J245&gt;=1,J245&lt;=K245),Eingabe!$B$6&amp;"-"&amp;INDEX(Eingabe!$C$9:$C$18,I245)&amp;"-Pächter  ·  Passwort Parzelle "&amp;J245,IF(J245=K245+1,Eingabe!$B$6&amp;"-"&amp;INDEX(Eingabe!$C$9:$C$18,I245)&amp;"-Vorstand  ·  eigenes WLAN",IF(J245=K245+2,Eingabe!$B$6&amp;"-"&amp;INDEX(Eingabe!$C$9:$C$18,I245)&amp;"-Gäste  ·  Voucher",IF(J245=K245+3,"Kabel  ·  Access Point y = .(50+y), Mast-Switch x = .(10+x)","")))))</f>
        <v>SparteNet.de-SF2-Pächter  ·  Passwort Parzelle 33</v>
      </c>
      <c r="I245" s="7" t="n">
        <f aca="false">IF(240&lt;=(Eingabe!$P$18+Eingabe!$Q$18-1),MATCH(240,Eingabe!$P$9:$P$18,1),"")</f>
        <v>4</v>
      </c>
      <c r="J245" s="7" t="n">
        <f aca="false">IF(I245="","",240-INDEX(Eingabe!$P$9:$P$18,I245))</f>
        <v>33</v>
      </c>
      <c r="K245" s="7" t="n">
        <f aca="false">IF(I245="","",INDEX(Eingabe!$E$9:$E$18,I245))</f>
        <v>53</v>
      </c>
    </row>
    <row r="246" customFormat="false" ht="15" hidden="false" customHeight="false" outlineLevel="0" collapsed="false">
      <c r="A246" s="0" t="str">
        <f aca="false">IF(I246="","",IF(J246=0,"Sparte "&amp;I246&amp;": "&amp;INDEX(Eingabe!$B$9:$B$18,I246)&amp;"  (Sparten-ID "&amp;INDEX(Eingabe!$D$9:$D$18,I246)&amp;", "&amp;K246&amp;" Parzellen)",IF(J246&lt;=K246,"   Parzelle "&amp;J246,IF(J246=K246+1,"   Vorstand",IF(J246=K246+2,"   Gäste",IF(J246=K246+3,"   Technik (Switches, Access Points)",""))))))</f>
        <v>   Parzelle 34</v>
      </c>
      <c r="B246" s="0" t="n">
        <f aca="false">IF(I246="","",IF(AND(J246&gt;=1,J246&lt;=K246+3),IF(J246&lt;=K246,IF(J246&lt;=99,IF((INDEX(Eingabe!$G$9:$G$18,I246))&lt;=9,1000+(INDEX(Eingabe!$G$9:$G$18,I246))*100,3000)+J246,IF((INDEX(Eingabe!$G$9:$G$18,I246)+1)&lt;=9,1000+(INDEX(Eingabe!$G$9:$G$18,I246)+1)*100,3000)+J246-100),IF(J246=K246+1,2000+INDEX(Eingabe!$G$9:$G$18,I246)*10+1,IF(J246=K246+2,2000+INDEX(Eingabe!$G$9:$G$18,I246)*10+2,2000+INDEX(Eingabe!$G$9:$G$18,I246)*10+9))),""))</f>
        <v>1434</v>
      </c>
      <c r="C246" s="0" t="str">
        <f aca="false">IF(I246="","",IF(AND(J246&gt;=1,J246&lt;=K246+3),"10."&amp;INDEX(Eingabe!$D$9:$D$18,I246)&amp;"."&amp;IF(J246&lt;=K246,J246,IF(J246=K246+1,200,IF(J246=K246+2,201,250)))&amp;".0/24",""))</f>
        <v>10.4.34.0/24</v>
      </c>
      <c r="D246" s="0" t="str">
        <f aca="false">IF(I246="","",IF(AND(J246&gt;=1,J246&lt;=K246+3),"255.255.255.0",""))</f>
        <v>255.255.255.0</v>
      </c>
      <c r="E246" s="0" t="str">
        <f aca="false">IF(I246="","",IF(AND(J246&gt;=1,J246&lt;=K246+3),"10."&amp;INDEX(Eingabe!$D$9:$D$18,I246)&amp;"."&amp;IF(J246&lt;=K246,J246,IF(J246=K246+1,200,IF(J246=K246+2,201,250)))&amp;".1",""))</f>
        <v>10.4.34.1</v>
      </c>
      <c r="F246" s="0" t="str">
        <f aca="false">IF(I246="","",IF(AND(J246&gt;=1,J246&lt;=K246+3),"10."&amp;INDEX(Eingabe!$D$9:$D$18,I246)&amp;"."&amp;IF(J246&lt;=K246,J246,IF(J246=K246+1,200,IF(J246=K246+2,201,250)))&amp;".10 – 10."&amp;INDEX(Eingabe!$D$9:$D$18,I246)&amp;"."&amp;IF(J246&lt;=K246,J246,IF(J246=K246+1,200,IF(J246=K246+2,201,250)))&amp;".250",""))</f>
        <v>10.4.34.10 – 10.4.34.250</v>
      </c>
      <c r="G246" s="0" t="str">
        <f aca="false">IF(I246="","",IF(AND(J246&gt;=1,J246&lt;=K246),Eingabe!$B$6&amp;"-"&amp;INDEX(Eingabe!$C$9:$C$18,I246)&amp;"-Pächter  ·  Passwort Parzelle "&amp;J246,IF(J246=K246+1,Eingabe!$B$6&amp;"-"&amp;INDEX(Eingabe!$C$9:$C$18,I246)&amp;"-Vorstand  ·  eigenes WLAN",IF(J246=K246+2,Eingabe!$B$6&amp;"-"&amp;INDEX(Eingabe!$C$9:$C$18,I246)&amp;"-Gäste  ·  Voucher",IF(J246=K246+3,"Kabel  ·  Access Point y = .(50+y), Mast-Switch x = .(10+x)","")))))</f>
        <v>SparteNet.de-SF2-Pächter  ·  Passwort Parzelle 34</v>
      </c>
      <c r="I246" s="7" t="n">
        <f aca="false">IF(241&lt;=(Eingabe!$P$18+Eingabe!$Q$18-1),MATCH(241,Eingabe!$P$9:$P$18,1),"")</f>
        <v>4</v>
      </c>
      <c r="J246" s="7" t="n">
        <f aca="false">IF(I246="","",241-INDEX(Eingabe!$P$9:$P$18,I246))</f>
        <v>34</v>
      </c>
      <c r="K246" s="7" t="n">
        <f aca="false">IF(I246="","",INDEX(Eingabe!$E$9:$E$18,I246))</f>
        <v>53</v>
      </c>
    </row>
    <row r="247" customFormat="false" ht="15" hidden="false" customHeight="false" outlineLevel="0" collapsed="false">
      <c r="A247" s="0" t="str">
        <f aca="false">IF(I247="","",IF(J247=0,"Sparte "&amp;I247&amp;": "&amp;INDEX(Eingabe!$B$9:$B$18,I247)&amp;"  (Sparten-ID "&amp;INDEX(Eingabe!$D$9:$D$18,I247)&amp;", "&amp;K247&amp;" Parzellen)",IF(J247&lt;=K247,"   Parzelle "&amp;J247,IF(J247=K247+1,"   Vorstand",IF(J247=K247+2,"   Gäste",IF(J247=K247+3,"   Technik (Switches, Access Points)",""))))))</f>
        <v>   Parzelle 35</v>
      </c>
      <c r="B247" s="0" t="n">
        <f aca="false">IF(I247="","",IF(AND(J247&gt;=1,J247&lt;=K247+3),IF(J247&lt;=K247,IF(J247&lt;=99,IF((INDEX(Eingabe!$G$9:$G$18,I247))&lt;=9,1000+(INDEX(Eingabe!$G$9:$G$18,I247))*100,3000)+J247,IF((INDEX(Eingabe!$G$9:$G$18,I247)+1)&lt;=9,1000+(INDEX(Eingabe!$G$9:$G$18,I247)+1)*100,3000)+J247-100),IF(J247=K247+1,2000+INDEX(Eingabe!$G$9:$G$18,I247)*10+1,IF(J247=K247+2,2000+INDEX(Eingabe!$G$9:$G$18,I247)*10+2,2000+INDEX(Eingabe!$G$9:$G$18,I247)*10+9))),""))</f>
        <v>1435</v>
      </c>
      <c r="C247" s="0" t="str">
        <f aca="false">IF(I247="","",IF(AND(J247&gt;=1,J247&lt;=K247+3),"10."&amp;INDEX(Eingabe!$D$9:$D$18,I247)&amp;"."&amp;IF(J247&lt;=K247,J247,IF(J247=K247+1,200,IF(J247=K247+2,201,250)))&amp;".0/24",""))</f>
        <v>10.4.35.0/24</v>
      </c>
      <c r="D247" s="0" t="str">
        <f aca="false">IF(I247="","",IF(AND(J247&gt;=1,J247&lt;=K247+3),"255.255.255.0",""))</f>
        <v>255.255.255.0</v>
      </c>
      <c r="E247" s="0" t="str">
        <f aca="false">IF(I247="","",IF(AND(J247&gt;=1,J247&lt;=K247+3),"10."&amp;INDEX(Eingabe!$D$9:$D$18,I247)&amp;"."&amp;IF(J247&lt;=K247,J247,IF(J247=K247+1,200,IF(J247=K247+2,201,250)))&amp;".1",""))</f>
        <v>10.4.35.1</v>
      </c>
      <c r="F247" s="0" t="str">
        <f aca="false">IF(I247="","",IF(AND(J247&gt;=1,J247&lt;=K247+3),"10."&amp;INDEX(Eingabe!$D$9:$D$18,I247)&amp;"."&amp;IF(J247&lt;=K247,J247,IF(J247=K247+1,200,IF(J247=K247+2,201,250)))&amp;".10 – 10."&amp;INDEX(Eingabe!$D$9:$D$18,I247)&amp;"."&amp;IF(J247&lt;=K247,J247,IF(J247=K247+1,200,IF(J247=K247+2,201,250)))&amp;".250",""))</f>
        <v>10.4.35.10 – 10.4.35.250</v>
      </c>
      <c r="G247" s="0" t="str">
        <f aca="false">IF(I247="","",IF(AND(J247&gt;=1,J247&lt;=K247),Eingabe!$B$6&amp;"-"&amp;INDEX(Eingabe!$C$9:$C$18,I247)&amp;"-Pächter  ·  Passwort Parzelle "&amp;J247,IF(J247=K247+1,Eingabe!$B$6&amp;"-"&amp;INDEX(Eingabe!$C$9:$C$18,I247)&amp;"-Vorstand  ·  eigenes WLAN",IF(J247=K247+2,Eingabe!$B$6&amp;"-"&amp;INDEX(Eingabe!$C$9:$C$18,I247)&amp;"-Gäste  ·  Voucher",IF(J247=K247+3,"Kabel  ·  Access Point y = .(50+y), Mast-Switch x = .(10+x)","")))))</f>
        <v>SparteNet.de-SF2-Pächter  ·  Passwort Parzelle 35</v>
      </c>
      <c r="I247" s="7" t="n">
        <f aca="false">IF(242&lt;=(Eingabe!$P$18+Eingabe!$Q$18-1),MATCH(242,Eingabe!$P$9:$P$18,1),"")</f>
        <v>4</v>
      </c>
      <c r="J247" s="7" t="n">
        <f aca="false">IF(I247="","",242-INDEX(Eingabe!$P$9:$P$18,I247))</f>
        <v>35</v>
      </c>
      <c r="K247" s="7" t="n">
        <f aca="false">IF(I247="","",INDEX(Eingabe!$E$9:$E$18,I247))</f>
        <v>53</v>
      </c>
    </row>
    <row r="248" customFormat="false" ht="15" hidden="false" customHeight="false" outlineLevel="0" collapsed="false">
      <c r="A248" s="0" t="str">
        <f aca="false">IF(I248="","",IF(J248=0,"Sparte "&amp;I248&amp;": "&amp;INDEX(Eingabe!$B$9:$B$18,I248)&amp;"  (Sparten-ID "&amp;INDEX(Eingabe!$D$9:$D$18,I248)&amp;", "&amp;K248&amp;" Parzellen)",IF(J248&lt;=K248,"   Parzelle "&amp;J248,IF(J248=K248+1,"   Vorstand",IF(J248=K248+2,"   Gäste",IF(J248=K248+3,"   Technik (Switches, Access Points)",""))))))</f>
        <v>   Parzelle 36</v>
      </c>
      <c r="B248" s="0" t="n">
        <f aca="false">IF(I248="","",IF(AND(J248&gt;=1,J248&lt;=K248+3),IF(J248&lt;=K248,IF(J248&lt;=99,IF((INDEX(Eingabe!$G$9:$G$18,I248))&lt;=9,1000+(INDEX(Eingabe!$G$9:$G$18,I248))*100,3000)+J248,IF((INDEX(Eingabe!$G$9:$G$18,I248)+1)&lt;=9,1000+(INDEX(Eingabe!$G$9:$G$18,I248)+1)*100,3000)+J248-100),IF(J248=K248+1,2000+INDEX(Eingabe!$G$9:$G$18,I248)*10+1,IF(J248=K248+2,2000+INDEX(Eingabe!$G$9:$G$18,I248)*10+2,2000+INDEX(Eingabe!$G$9:$G$18,I248)*10+9))),""))</f>
        <v>1436</v>
      </c>
      <c r="C248" s="0" t="str">
        <f aca="false">IF(I248="","",IF(AND(J248&gt;=1,J248&lt;=K248+3),"10."&amp;INDEX(Eingabe!$D$9:$D$18,I248)&amp;"."&amp;IF(J248&lt;=K248,J248,IF(J248=K248+1,200,IF(J248=K248+2,201,250)))&amp;".0/24",""))</f>
        <v>10.4.36.0/24</v>
      </c>
      <c r="D248" s="0" t="str">
        <f aca="false">IF(I248="","",IF(AND(J248&gt;=1,J248&lt;=K248+3),"255.255.255.0",""))</f>
        <v>255.255.255.0</v>
      </c>
      <c r="E248" s="0" t="str">
        <f aca="false">IF(I248="","",IF(AND(J248&gt;=1,J248&lt;=K248+3),"10."&amp;INDEX(Eingabe!$D$9:$D$18,I248)&amp;"."&amp;IF(J248&lt;=K248,J248,IF(J248=K248+1,200,IF(J248=K248+2,201,250)))&amp;".1",""))</f>
        <v>10.4.36.1</v>
      </c>
      <c r="F248" s="0" t="str">
        <f aca="false">IF(I248="","",IF(AND(J248&gt;=1,J248&lt;=K248+3),"10."&amp;INDEX(Eingabe!$D$9:$D$18,I248)&amp;"."&amp;IF(J248&lt;=K248,J248,IF(J248=K248+1,200,IF(J248=K248+2,201,250)))&amp;".10 – 10."&amp;INDEX(Eingabe!$D$9:$D$18,I248)&amp;"."&amp;IF(J248&lt;=K248,J248,IF(J248=K248+1,200,IF(J248=K248+2,201,250)))&amp;".250",""))</f>
        <v>10.4.36.10 – 10.4.36.250</v>
      </c>
      <c r="G248" s="0" t="str">
        <f aca="false">IF(I248="","",IF(AND(J248&gt;=1,J248&lt;=K248),Eingabe!$B$6&amp;"-"&amp;INDEX(Eingabe!$C$9:$C$18,I248)&amp;"-Pächter  ·  Passwort Parzelle "&amp;J248,IF(J248=K248+1,Eingabe!$B$6&amp;"-"&amp;INDEX(Eingabe!$C$9:$C$18,I248)&amp;"-Vorstand  ·  eigenes WLAN",IF(J248=K248+2,Eingabe!$B$6&amp;"-"&amp;INDEX(Eingabe!$C$9:$C$18,I248)&amp;"-Gäste  ·  Voucher",IF(J248=K248+3,"Kabel  ·  Access Point y = .(50+y), Mast-Switch x = .(10+x)","")))))</f>
        <v>SparteNet.de-SF2-Pächter  ·  Passwort Parzelle 36</v>
      </c>
      <c r="I248" s="7" t="n">
        <f aca="false">IF(243&lt;=(Eingabe!$P$18+Eingabe!$Q$18-1),MATCH(243,Eingabe!$P$9:$P$18,1),"")</f>
        <v>4</v>
      </c>
      <c r="J248" s="7" t="n">
        <f aca="false">IF(I248="","",243-INDEX(Eingabe!$P$9:$P$18,I248))</f>
        <v>36</v>
      </c>
      <c r="K248" s="7" t="n">
        <f aca="false">IF(I248="","",INDEX(Eingabe!$E$9:$E$18,I248))</f>
        <v>53</v>
      </c>
    </row>
    <row r="249" customFormat="false" ht="15" hidden="false" customHeight="false" outlineLevel="0" collapsed="false">
      <c r="A249" s="0" t="str">
        <f aca="false">IF(I249="","",IF(J249=0,"Sparte "&amp;I249&amp;": "&amp;INDEX(Eingabe!$B$9:$B$18,I249)&amp;"  (Sparten-ID "&amp;INDEX(Eingabe!$D$9:$D$18,I249)&amp;", "&amp;K249&amp;" Parzellen)",IF(J249&lt;=K249,"   Parzelle "&amp;J249,IF(J249=K249+1,"   Vorstand",IF(J249=K249+2,"   Gäste",IF(J249=K249+3,"   Technik (Switches, Access Points)",""))))))</f>
        <v>   Parzelle 37</v>
      </c>
      <c r="B249" s="0" t="n">
        <f aca="false">IF(I249="","",IF(AND(J249&gt;=1,J249&lt;=K249+3),IF(J249&lt;=K249,IF(J249&lt;=99,IF((INDEX(Eingabe!$G$9:$G$18,I249))&lt;=9,1000+(INDEX(Eingabe!$G$9:$G$18,I249))*100,3000)+J249,IF((INDEX(Eingabe!$G$9:$G$18,I249)+1)&lt;=9,1000+(INDEX(Eingabe!$G$9:$G$18,I249)+1)*100,3000)+J249-100),IF(J249=K249+1,2000+INDEX(Eingabe!$G$9:$G$18,I249)*10+1,IF(J249=K249+2,2000+INDEX(Eingabe!$G$9:$G$18,I249)*10+2,2000+INDEX(Eingabe!$G$9:$G$18,I249)*10+9))),""))</f>
        <v>1437</v>
      </c>
      <c r="C249" s="0" t="str">
        <f aca="false">IF(I249="","",IF(AND(J249&gt;=1,J249&lt;=K249+3),"10."&amp;INDEX(Eingabe!$D$9:$D$18,I249)&amp;"."&amp;IF(J249&lt;=K249,J249,IF(J249=K249+1,200,IF(J249=K249+2,201,250)))&amp;".0/24",""))</f>
        <v>10.4.37.0/24</v>
      </c>
      <c r="D249" s="0" t="str">
        <f aca="false">IF(I249="","",IF(AND(J249&gt;=1,J249&lt;=K249+3),"255.255.255.0",""))</f>
        <v>255.255.255.0</v>
      </c>
      <c r="E249" s="0" t="str">
        <f aca="false">IF(I249="","",IF(AND(J249&gt;=1,J249&lt;=K249+3),"10."&amp;INDEX(Eingabe!$D$9:$D$18,I249)&amp;"."&amp;IF(J249&lt;=K249,J249,IF(J249=K249+1,200,IF(J249=K249+2,201,250)))&amp;".1",""))</f>
        <v>10.4.37.1</v>
      </c>
      <c r="F249" s="0" t="str">
        <f aca="false">IF(I249="","",IF(AND(J249&gt;=1,J249&lt;=K249+3),"10."&amp;INDEX(Eingabe!$D$9:$D$18,I249)&amp;"."&amp;IF(J249&lt;=K249,J249,IF(J249=K249+1,200,IF(J249=K249+2,201,250)))&amp;".10 – 10."&amp;INDEX(Eingabe!$D$9:$D$18,I249)&amp;"."&amp;IF(J249&lt;=K249,J249,IF(J249=K249+1,200,IF(J249=K249+2,201,250)))&amp;".250",""))</f>
        <v>10.4.37.10 – 10.4.37.250</v>
      </c>
      <c r="G249" s="0" t="str">
        <f aca="false">IF(I249="","",IF(AND(J249&gt;=1,J249&lt;=K249),Eingabe!$B$6&amp;"-"&amp;INDEX(Eingabe!$C$9:$C$18,I249)&amp;"-Pächter  ·  Passwort Parzelle "&amp;J249,IF(J249=K249+1,Eingabe!$B$6&amp;"-"&amp;INDEX(Eingabe!$C$9:$C$18,I249)&amp;"-Vorstand  ·  eigenes WLAN",IF(J249=K249+2,Eingabe!$B$6&amp;"-"&amp;INDEX(Eingabe!$C$9:$C$18,I249)&amp;"-Gäste  ·  Voucher",IF(J249=K249+3,"Kabel  ·  Access Point y = .(50+y), Mast-Switch x = .(10+x)","")))))</f>
        <v>SparteNet.de-SF2-Pächter  ·  Passwort Parzelle 37</v>
      </c>
      <c r="I249" s="7" t="n">
        <f aca="false">IF(244&lt;=(Eingabe!$P$18+Eingabe!$Q$18-1),MATCH(244,Eingabe!$P$9:$P$18,1),"")</f>
        <v>4</v>
      </c>
      <c r="J249" s="7" t="n">
        <f aca="false">IF(I249="","",244-INDEX(Eingabe!$P$9:$P$18,I249))</f>
        <v>37</v>
      </c>
      <c r="K249" s="7" t="n">
        <f aca="false">IF(I249="","",INDEX(Eingabe!$E$9:$E$18,I249))</f>
        <v>53</v>
      </c>
    </row>
    <row r="250" customFormat="false" ht="15" hidden="false" customHeight="false" outlineLevel="0" collapsed="false">
      <c r="A250" s="0" t="str">
        <f aca="false">IF(I250="","",IF(J250=0,"Sparte "&amp;I250&amp;": "&amp;INDEX(Eingabe!$B$9:$B$18,I250)&amp;"  (Sparten-ID "&amp;INDEX(Eingabe!$D$9:$D$18,I250)&amp;", "&amp;K250&amp;" Parzellen)",IF(J250&lt;=K250,"   Parzelle "&amp;J250,IF(J250=K250+1,"   Vorstand",IF(J250=K250+2,"   Gäste",IF(J250=K250+3,"   Technik (Switches, Access Points)",""))))))</f>
        <v>   Parzelle 38</v>
      </c>
      <c r="B250" s="0" t="n">
        <f aca="false">IF(I250="","",IF(AND(J250&gt;=1,J250&lt;=K250+3),IF(J250&lt;=K250,IF(J250&lt;=99,IF((INDEX(Eingabe!$G$9:$G$18,I250))&lt;=9,1000+(INDEX(Eingabe!$G$9:$G$18,I250))*100,3000)+J250,IF((INDEX(Eingabe!$G$9:$G$18,I250)+1)&lt;=9,1000+(INDEX(Eingabe!$G$9:$G$18,I250)+1)*100,3000)+J250-100),IF(J250=K250+1,2000+INDEX(Eingabe!$G$9:$G$18,I250)*10+1,IF(J250=K250+2,2000+INDEX(Eingabe!$G$9:$G$18,I250)*10+2,2000+INDEX(Eingabe!$G$9:$G$18,I250)*10+9))),""))</f>
        <v>1438</v>
      </c>
      <c r="C250" s="0" t="str">
        <f aca="false">IF(I250="","",IF(AND(J250&gt;=1,J250&lt;=K250+3),"10."&amp;INDEX(Eingabe!$D$9:$D$18,I250)&amp;"."&amp;IF(J250&lt;=K250,J250,IF(J250=K250+1,200,IF(J250=K250+2,201,250)))&amp;".0/24",""))</f>
        <v>10.4.38.0/24</v>
      </c>
      <c r="D250" s="0" t="str">
        <f aca="false">IF(I250="","",IF(AND(J250&gt;=1,J250&lt;=K250+3),"255.255.255.0",""))</f>
        <v>255.255.255.0</v>
      </c>
      <c r="E250" s="0" t="str">
        <f aca="false">IF(I250="","",IF(AND(J250&gt;=1,J250&lt;=K250+3),"10."&amp;INDEX(Eingabe!$D$9:$D$18,I250)&amp;"."&amp;IF(J250&lt;=K250,J250,IF(J250=K250+1,200,IF(J250=K250+2,201,250)))&amp;".1",""))</f>
        <v>10.4.38.1</v>
      </c>
      <c r="F250" s="0" t="str">
        <f aca="false">IF(I250="","",IF(AND(J250&gt;=1,J250&lt;=K250+3),"10."&amp;INDEX(Eingabe!$D$9:$D$18,I250)&amp;"."&amp;IF(J250&lt;=K250,J250,IF(J250=K250+1,200,IF(J250=K250+2,201,250)))&amp;".10 – 10."&amp;INDEX(Eingabe!$D$9:$D$18,I250)&amp;"."&amp;IF(J250&lt;=K250,J250,IF(J250=K250+1,200,IF(J250=K250+2,201,250)))&amp;".250",""))</f>
        <v>10.4.38.10 – 10.4.38.250</v>
      </c>
      <c r="G250" s="0" t="str">
        <f aca="false">IF(I250="","",IF(AND(J250&gt;=1,J250&lt;=K250),Eingabe!$B$6&amp;"-"&amp;INDEX(Eingabe!$C$9:$C$18,I250)&amp;"-Pächter  ·  Passwort Parzelle "&amp;J250,IF(J250=K250+1,Eingabe!$B$6&amp;"-"&amp;INDEX(Eingabe!$C$9:$C$18,I250)&amp;"-Vorstand  ·  eigenes WLAN",IF(J250=K250+2,Eingabe!$B$6&amp;"-"&amp;INDEX(Eingabe!$C$9:$C$18,I250)&amp;"-Gäste  ·  Voucher",IF(J250=K250+3,"Kabel  ·  Access Point y = .(50+y), Mast-Switch x = .(10+x)","")))))</f>
        <v>SparteNet.de-SF2-Pächter  ·  Passwort Parzelle 38</v>
      </c>
      <c r="I250" s="7" t="n">
        <f aca="false">IF(245&lt;=(Eingabe!$P$18+Eingabe!$Q$18-1),MATCH(245,Eingabe!$P$9:$P$18,1),"")</f>
        <v>4</v>
      </c>
      <c r="J250" s="7" t="n">
        <f aca="false">IF(I250="","",245-INDEX(Eingabe!$P$9:$P$18,I250))</f>
        <v>38</v>
      </c>
      <c r="K250" s="7" t="n">
        <f aca="false">IF(I250="","",INDEX(Eingabe!$E$9:$E$18,I250))</f>
        <v>53</v>
      </c>
    </row>
    <row r="251" customFormat="false" ht="15" hidden="false" customHeight="false" outlineLevel="0" collapsed="false">
      <c r="A251" s="0" t="str">
        <f aca="false">IF(I251="","",IF(J251=0,"Sparte "&amp;I251&amp;": "&amp;INDEX(Eingabe!$B$9:$B$18,I251)&amp;"  (Sparten-ID "&amp;INDEX(Eingabe!$D$9:$D$18,I251)&amp;", "&amp;K251&amp;" Parzellen)",IF(J251&lt;=K251,"   Parzelle "&amp;J251,IF(J251=K251+1,"   Vorstand",IF(J251=K251+2,"   Gäste",IF(J251=K251+3,"   Technik (Switches, Access Points)",""))))))</f>
        <v>   Parzelle 39</v>
      </c>
      <c r="B251" s="0" t="n">
        <f aca="false">IF(I251="","",IF(AND(J251&gt;=1,J251&lt;=K251+3),IF(J251&lt;=K251,IF(J251&lt;=99,IF((INDEX(Eingabe!$G$9:$G$18,I251))&lt;=9,1000+(INDEX(Eingabe!$G$9:$G$18,I251))*100,3000)+J251,IF((INDEX(Eingabe!$G$9:$G$18,I251)+1)&lt;=9,1000+(INDEX(Eingabe!$G$9:$G$18,I251)+1)*100,3000)+J251-100),IF(J251=K251+1,2000+INDEX(Eingabe!$G$9:$G$18,I251)*10+1,IF(J251=K251+2,2000+INDEX(Eingabe!$G$9:$G$18,I251)*10+2,2000+INDEX(Eingabe!$G$9:$G$18,I251)*10+9))),""))</f>
        <v>1439</v>
      </c>
      <c r="C251" s="0" t="str">
        <f aca="false">IF(I251="","",IF(AND(J251&gt;=1,J251&lt;=K251+3),"10."&amp;INDEX(Eingabe!$D$9:$D$18,I251)&amp;"."&amp;IF(J251&lt;=K251,J251,IF(J251=K251+1,200,IF(J251=K251+2,201,250)))&amp;".0/24",""))</f>
        <v>10.4.39.0/24</v>
      </c>
      <c r="D251" s="0" t="str">
        <f aca="false">IF(I251="","",IF(AND(J251&gt;=1,J251&lt;=K251+3),"255.255.255.0",""))</f>
        <v>255.255.255.0</v>
      </c>
      <c r="E251" s="0" t="str">
        <f aca="false">IF(I251="","",IF(AND(J251&gt;=1,J251&lt;=K251+3),"10."&amp;INDEX(Eingabe!$D$9:$D$18,I251)&amp;"."&amp;IF(J251&lt;=K251,J251,IF(J251=K251+1,200,IF(J251=K251+2,201,250)))&amp;".1",""))</f>
        <v>10.4.39.1</v>
      </c>
      <c r="F251" s="0" t="str">
        <f aca="false">IF(I251="","",IF(AND(J251&gt;=1,J251&lt;=K251+3),"10."&amp;INDEX(Eingabe!$D$9:$D$18,I251)&amp;"."&amp;IF(J251&lt;=K251,J251,IF(J251=K251+1,200,IF(J251=K251+2,201,250)))&amp;".10 – 10."&amp;INDEX(Eingabe!$D$9:$D$18,I251)&amp;"."&amp;IF(J251&lt;=K251,J251,IF(J251=K251+1,200,IF(J251=K251+2,201,250)))&amp;".250",""))</f>
        <v>10.4.39.10 – 10.4.39.250</v>
      </c>
      <c r="G251" s="0" t="str">
        <f aca="false">IF(I251="","",IF(AND(J251&gt;=1,J251&lt;=K251),Eingabe!$B$6&amp;"-"&amp;INDEX(Eingabe!$C$9:$C$18,I251)&amp;"-Pächter  ·  Passwort Parzelle "&amp;J251,IF(J251=K251+1,Eingabe!$B$6&amp;"-"&amp;INDEX(Eingabe!$C$9:$C$18,I251)&amp;"-Vorstand  ·  eigenes WLAN",IF(J251=K251+2,Eingabe!$B$6&amp;"-"&amp;INDEX(Eingabe!$C$9:$C$18,I251)&amp;"-Gäste  ·  Voucher",IF(J251=K251+3,"Kabel  ·  Access Point y = .(50+y), Mast-Switch x = .(10+x)","")))))</f>
        <v>SparteNet.de-SF2-Pächter  ·  Passwort Parzelle 39</v>
      </c>
      <c r="I251" s="7" t="n">
        <f aca="false">IF(246&lt;=(Eingabe!$P$18+Eingabe!$Q$18-1),MATCH(246,Eingabe!$P$9:$P$18,1),"")</f>
        <v>4</v>
      </c>
      <c r="J251" s="7" t="n">
        <f aca="false">IF(I251="","",246-INDEX(Eingabe!$P$9:$P$18,I251))</f>
        <v>39</v>
      </c>
      <c r="K251" s="7" t="n">
        <f aca="false">IF(I251="","",INDEX(Eingabe!$E$9:$E$18,I251))</f>
        <v>53</v>
      </c>
    </row>
    <row r="252" customFormat="false" ht="15" hidden="false" customHeight="false" outlineLevel="0" collapsed="false">
      <c r="A252" s="0" t="str">
        <f aca="false">IF(I252="","",IF(J252=0,"Sparte "&amp;I252&amp;": "&amp;INDEX(Eingabe!$B$9:$B$18,I252)&amp;"  (Sparten-ID "&amp;INDEX(Eingabe!$D$9:$D$18,I252)&amp;", "&amp;K252&amp;" Parzellen)",IF(J252&lt;=K252,"   Parzelle "&amp;J252,IF(J252=K252+1,"   Vorstand",IF(J252=K252+2,"   Gäste",IF(J252=K252+3,"   Technik (Switches, Access Points)",""))))))</f>
        <v>   Parzelle 40</v>
      </c>
      <c r="B252" s="0" t="n">
        <f aca="false">IF(I252="","",IF(AND(J252&gt;=1,J252&lt;=K252+3),IF(J252&lt;=K252,IF(J252&lt;=99,IF((INDEX(Eingabe!$G$9:$G$18,I252))&lt;=9,1000+(INDEX(Eingabe!$G$9:$G$18,I252))*100,3000)+J252,IF((INDEX(Eingabe!$G$9:$G$18,I252)+1)&lt;=9,1000+(INDEX(Eingabe!$G$9:$G$18,I252)+1)*100,3000)+J252-100),IF(J252=K252+1,2000+INDEX(Eingabe!$G$9:$G$18,I252)*10+1,IF(J252=K252+2,2000+INDEX(Eingabe!$G$9:$G$18,I252)*10+2,2000+INDEX(Eingabe!$G$9:$G$18,I252)*10+9))),""))</f>
        <v>1440</v>
      </c>
      <c r="C252" s="0" t="str">
        <f aca="false">IF(I252="","",IF(AND(J252&gt;=1,J252&lt;=K252+3),"10."&amp;INDEX(Eingabe!$D$9:$D$18,I252)&amp;"."&amp;IF(J252&lt;=K252,J252,IF(J252=K252+1,200,IF(J252=K252+2,201,250)))&amp;".0/24",""))</f>
        <v>10.4.40.0/24</v>
      </c>
      <c r="D252" s="0" t="str">
        <f aca="false">IF(I252="","",IF(AND(J252&gt;=1,J252&lt;=K252+3),"255.255.255.0",""))</f>
        <v>255.255.255.0</v>
      </c>
      <c r="E252" s="0" t="str">
        <f aca="false">IF(I252="","",IF(AND(J252&gt;=1,J252&lt;=K252+3),"10."&amp;INDEX(Eingabe!$D$9:$D$18,I252)&amp;"."&amp;IF(J252&lt;=K252,J252,IF(J252=K252+1,200,IF(J252=K252+2,201,250)))&amp;".1",""))</f>
        <v>10.4.40.1</v>
      </c>
      <c r="F252" s="0" t="str">
        <f aca="false">IF(I252="","",IF(AND(J252&gt;=1,J252&lt;=K252+3),"10."&amp;INDEX(Eingabe!$D$9:$D$18,I252)&amp;"."&amp;IF(J252&lt;=K252,J252,IF(J252=K252+1,200,IF(J252=K252+2,201,250)))&amp;".10 – 10."&amp;INDEX(Eingabe!$D$9:$D$18,I252)&amp;"."&amp;IF(J252&lt;=K252,J252,IF(J252=K252+1,200,IF(J252=K252+2,201,250)))&amp;".250",""))</f>
        <v>10.4.40.10 – 10.4.40.250</v>
      </c>
      <c r="G252" s="0" t="str">
        <f aca="false">IF(I252="","",IF(AND(J252&gt;=1,J252&lt;=K252),Eingabe!$B$6&amp;"-"&amp;INDEX(Eingabe!$C$9:$C$18,I252)&amp;"-Pächter  ·  Passwort Parzelle "&amp;J252,IF(J252=K252+1,Eingabe!$B$6&amp;"-"&amp;INDEX(Eingabe!$C$9:$C$18,I252)&amp;"-Vorstand  ·  eigenes WLAN",IF(J252=K252+2,Eingabe!$B$6&amp;"-"&amp;INDEX(Eingabe!$C$9:$C$18,I252)&amp;"-Gäste  ·  Voucher",IF(J252=K252+3,"Kabel  ·  Access Point y = .(50+y), Mast-Switch x = .(10+x)","")))))</f>
        <v>SparteNet.de-SF2-Pächter  ·  Passwort Parzelle 40</v>
      </c>
      <c r="I252" s="7" t="n">
        <f aca="false">IF(247&lt;=(Eingabe!$P$18+Eingabe!$Q$18-1),MATCH(247,Eingabe!$P$9:$P$18,1),"")</f>
        <v>4</v>
      </c>
      <c r="J252" s="7" t="n">
        <f aca="false">IF(I252="","",247-INDEX(Eingabe!$P$9:$P$18,I252))</f>
        <v>40</v>
      </c>
      <c r="K252" s="7" t="n">
        <f aca="false">IF(I252="","",INDEX(Eingabe!$E$9:$E$18,I252))</f>
        <v>53</v>
      </c>
    </row>
    <row r="253" customFormat="false" ht="15" hidden="false" customHeight="false" outlineLevel="0" collapsed="false">
      <c r="A253" s="0" t="str">
        <f aca="false">IF(I253="","",IF(J253=0,"Sparte "&amp;I253&amp;": "&amp;INDEX(Eingabe!$B$9:$B$18,I253)&amp;"  (Sparten-ID "&amp;INDEX(Eingabe!$D$9:$D$18,I253)&amp;", "&amp;K253&amp;" Parzellen)",IF(J253&lt;=K253,"   Parzelle "&amp;J253,IF(J253=K253+1,"   Vorstand",IF(J253=K253+2,"   Gäste",IF(J253=K253+3,"   Technik (Switches, Access Points)",""))))))</f>
        <v>   Parzelle 41</v>
      </c>
      <c r="B253" s="0" t="n">
        <f aca="false">IF(I253="","",IF(AND(J253&gt;=1,J253&lt;=K253+3),IF(J253&lt;=K253,IF(J253&lt;=99,IF((INDEX(Eingabe!$G$9:$G$18,I253))&lt;=9,1000+(INDEX(Eingabe!$G$9:$G$18,I253))*100,3000)+J253,IF((INDEX(Eingabe!$G$9:$G$18,I253)+1)&lt;=9,1000+(INDEX(Eingabe!$G$9:$G$18,I253)+1)*100,3000)+J253-100),IF(J253=K253+1,2000+INDEX(Eingabe!$G$9:$G$18,I253)*10+1,IF(J253=K253+2,2000+INDEX(Eingabe!$G$9:$G$18,I253)*10+2,2000+INDEX(Eingabe!$G$9:$G$18,I253)*10+9))),""))</f>
        <v>1441</v>
      </c>
      <c r="C253" s="0" t="str">
        <f aca="false">IF(I253="","",IF(AND(J253&gt;=1,J253&lt;=K253+3),"10."&amp;INDEX(Eingabe!$D$9:$D$18,I253)&amp;"."&amp;IF(J253&lt;=K253,J253,IF(J253=K253+1,200,IF(J253=K253+2,201,250)))&amp;".0/24",""))</f>
        <v>10.4.41.0/24</v>
      </c>
      <c r="D253" s="0" t="str">
        <f aca="false">IF(I253="","",IF(AND(J253&gt;=1,J253&lt;=K253+3),"255.255.255.0",""))</f>
        <v>255.255.255.0</v>
      </c>
      <c r="E253" s="0" t="str">
        <f aca="false">IF(I253="","",IF(AND(J253&gt;=1,J253&lt;=K253+3),"10."&amp;INDEX(Eingabe!$D$9:$D$18,I253)&amp;"."&amp;IF(J253&lt;=K253,J253,IF(J253=K253+1,200,IF(J253=K253+2,201,250)))&amp;".1",""))</f>
        <v>10.4.41.1</v>
      </c>
      <c r="F253" s="0" t="str">
        <f aca="false">IF(I253="","",IF(AND(J253&gt;=1,J253&lt;=K253+3),"10."&amp;INDEX(Eingabe!$D$9:$D$18,I253)&amp;"."&amp;IF(J253&lt;=K253,J253,IF(J253=K253+1,200,IF(J253=K253+2,201,250)))&amp;".10 – 10."&amp;INDEX(Eingabe!$D$9:$D$18,I253)&amp;"."&amp;IF(J253&lt;=K253,J253,IF(J253=K253+1,200,IF(J253=K253+2,201,250)))&amp;".250",""))</f>
        <v>10.4.41.10 – 10.4.41.250</v>
      </c>
      <c r="G253" s="0" t="str">
        <f aca="false">IF(I253="","",IF(AND(J253&gt;=1,J253&lt;=K253),Eingabe!$B$6&amp;"-"&amp;INDEX(Eingabe!$C$9:$C$18,I253)&amp;"-Pächter  ·  Passwort Parzelle "&amp;J253,IF(J253=K253+1,Eingabe!$B$6&amp;"-"&amp;INDEX(Eingabe!$C$9:$C$18,I253)&amp;"-Vorstand  ·  eigenes WLAN",IF(J253=K253+2,Eingabe!$B$6&amp;"-"&amp;INDEX(Eingabe!$C$9:$C$18,I253)&amp;"-Gäste  ·  Voucher",IF(J253=K253+3,"Kabel  ·  Access Point y = .(50+y), Mast-Switch x = .(10+x)","")))))</f>
        <v>SparteNet.de-SF2-Pächter  ·  Passwort Parzelle 41</v>
      </c>
      <c r="I253" s="7" t="n">
        <f aca="false">IF(248&lt;=(Eingabe!$P$18+Eingabe!$Q$18-1),MATCH(248,Eingabe!$P$9:$P$18,1),"")</f>
        <v>4</v>
      </c>
      <c r="J253" s="7" t="n">
        <f aca="false">IF(I253="","",248-INDEX(Eingabe!$P$9:$P$18,I253))</f>
        <v>41</v>
      </c>
      <c r="K253" s="7" t="n">
        <f aca="false">IF(I253="","",INDEX(Eingabe!$E$9:$E$18,I253))</f>
        <v>53</v>
      </c>
    </row>
    <row r="254" customFormat="false" ht="15" hidden="false" customHeight="false" outlineLevel="0" collapsed="false">
      <c r="A254" s="0" t="str">
        <f aca="false">IF(I254="","",IF(J254=0,"Sparte "&amp;I254&amp;": "&amp;INDEX(Eingabe!$B$9:$B$18,I254)&amp;"  (Sparten-ID "&amp;INDEX(Eingabe!$D$9:$D$18,I254)&amp;", "&amp;K254&amp;" Parzellen)",IF(J254&lt;=K254,"   Parzelle "&amp;J254,IF(J254=K254+1,"   Vorstand",IF(J254=K254+2,"   Gäste",IF(J254=K254+3,"   Technik (Switches, Access Points)",""))))))</f>
        <v>   Parzelle 42</v>
      </c>
      <c r="B254" s="0" t="n">
        <f aca="false">IF(I254="","",IF(AND(J254&gt;=1,J254&lt;=K254+3),IF(J254&lt;=K254,IF(J254&lt;=99,IF((INDEX(Eingabe!$G$9:$G$18,I254))&lt;=9,1000+(INDEX(Eingabe!$G$9:$G$18,I254))*100,3000)+J254,IF((INDEX(Eingabe!$G$9:$G$18,I254)+1)&lt;=9,1000+(INDEX(Eingabe!$G$9:$G$18,I254)+1)*100,3000)+J254-100),IF(J254=K254+1,2000+INDEX(Eingabe!$G$9:$G$18,I254)*10+1,IF(J254=K254+2,2000+INDEX(Eingabe!$G$9:$G$18,I254)*10+2,2000+INDEX(Eingabe!$G$9:$G$18,I254)*10+9))),""))</f>
        <v>1442</v>
      </c>
      <c r="C254" s="0" t="str">
        <f aca="false">IF(I254="","",IF(AND(J254&gt;=1,J254&lt;=K254+3),"10."&amp;INDEX(Eingabe!$D$9:$D$18,I254)&amp;"."&amp;IF(J254&lt;=K254,J254,IF(J254=K254+1,200,IF(J254=K254+2,201,250)))&amp;".0/24",""))</f>
        <v>10.4.42.0/24</v>
      </c>
      <c r="D254" s="0" t="str">
        <f aca="false">IF(I254="","",IF(AND(J254&gt;=1,J254&lt;=K254+3),"255.255.255.0",""))</f>
        <v>255.255.255.0</v>
      </c>
      <c r="E254" s="0" t="str">
        <f aca="false">IF(I254="","",IF(AND(J254&gt;=1,J254&lt;=K254+3),"10."&amp;INDEX(Eingabe!$D$9:$D$18,I254)&amp;"."&amp;IF(J254&lt;=K254,J254,IF(J254=K254+1,200,IF(J254=K254+2,201,250)))&amp;".1",""))</f>
        <v>10.4.42.1</v>
      </c>
      <c r="F254" s="0" t="str">
        <f aca="false">IF(I254="","",IF(AND(J254&gt;=1,J254&lt;=K254+3),"10."&amp;INDEX(Eingabe!$D$9:$D$18,I254)&amp;"."&amp;IF(J254&lt;=K254,J254,IF(J254=K254+1,200,IF(J254=K254+2,201,250)))&amp;".10 – 10."&amp;INDEX(Eingabe!$D$9:$D$18,I254)&amp;"."&amp;IF(J254&lt;=K254,J254,IF(J254=K254+1,200,IF(J254=K254+2,201,250)))&amp;".250",""))</f>
        <v>10.4.42.10 – 10.4.42.250</v>
      </c>
      <c r="G254" s="0" t="str">
        <f aca="false">IF(I254="","",IF(AND(J254&gt;=1,J254&lt;=K254),Eingabe!$B$6&amp;"-"&amp;INDEX(Eingabe!$C$9:$C$18,I254)&amp;"-Pächter  ·  Passwort Parzelle "&amp;J254,IF(J254=K254+1,Eingabe!$B$6&amp;"-"&amp;INDEX(Eingabe!$C$9:$C$18,I254)&amp;"-Vorstand  ·  eigenes WLAN",IF(J254=K254+2,Eingabe!$B$6&amp;"-"&amp;INDEX(Eingabe!$C$9:$C$18,I254)&amp;"-Gäste  ·  Voucher",IF(J254=K254+3,"Kabel  ·  Access Point y = .(50+y), Mast-Switch x = .(10+x)","")))))</f>
        <v>SparteNet.de-SF2-Pächter  ·  Passwort Parzelle 42</v>
      </c>
      <c r="I254" s="7" t="n">
        <f aca="false">IF(249&lt;=(Eingabe!$P$18+Eingabe!$Q$18-1),MATCH(249,Eingabe!$P$9:$P$18,1),"")</f>
        <v>4</v>
      </c>
      <c r="J254" s="7" t="n">
        <f aca="false">IF(I254="","",249-INDEX(Eingabe!$P$9:$P$18,I254))</f>
        <v>42</v>
      </c>
      <c r="K254" s="7" t="n">
        <f aca="false">IF(I254="","",INDEX(Eingabe!$E$9:$E$18,I254))</f>
        <v>53</v>
      </c>
    </row>
    <row r="255" customFormat="false" ht="15" hidden="false" customHeight="false" outlineLevel="0" collapsed="false">
      <c r="A255" s="0" t="str">
        <f aca="false">IF(I255="","",IF(J255=0,"Sparte "&amp;I255&amp;": "&amp;INDEX(Eingabe!$B$9:$B$18,I255)&amp;"  (Sparten-ID "&amp;INDEX(Eingabe!$D$9:$D$18,I255)&amp;", "&amp;K255&amp;" Parzellen)",IF(J255&lt;=K255,"   Parzelle "&amp;J255,IF(J255=K255+1,"   Vorstand",IF(J255=K255+2,"   Gäste",IF(J255=K255+3,"   Technik (Switches, Access Points)",""))))))</f>
        <v>   Parzelle 43</v>
      </c>
      <c r="B255" s="0" t="n">
        <f aca="false">IF(I255="","",IF(AND(J255&gt;=1,J255&lt;=K255+3),IF(J255&lt;=K255,IF(J255&lt;=99,IF((INDEX(Eingabe!$G$9:$G$18,I255))&lt;=9,1000+(INDEX(Eingabe!$G$9:$G$18,I255))*100,3000)+J255,IF((INDEX(Eingabe!$G$9:$G$18,I255)+1)&lt;=9,1000+(INDEX(Eingabe!$G$9:$G$18,I255)+1)*100,3000)+J255-100),IF(J255=K255+1,2000+INDEX(Eingabe!$G$9:$G$18,I255)*10+1,IF(J255=K255+2,2000+INDEX(Eingabe!$G$9:$G$18,I255)*10+2,2000+INDEX(Eingabe!$G$9:$G$18,I255)*10+9))),""))</f>
        <v>1443</v>
      </c>
      <c r="C255" s="0" t="str">
        <f aca="false">IF(I255="","",IF(AND(J255&gt;=1,J255&lt;=K255+3),"10."&amp;INDEX(Eingabe!$D$9:$D$18,I255)&amp;"."&amp;IF(J255&lt;=K255,J255,IF(J255=K255+1,200,IF(J255=K255+2,201,250)))&amp;".0/24",""))</f>
        <v>10.4.43.0/24</v>
      </c>
      <c r="D255" s="0" t="str">
        <f aca="false">IF(I255="","",IF(AND(J255&gt;=1,J255&lt;=K255+3),"255.255.255.0",""))</f>
        <v>255.255.255.0</v>
      </c>
      <c r="E255" s="0" t="str">
        <f aca="false">IF(I255="","",IF(AND(J255&gt;=1,J255&lt;=K255+3),"10."&amp;INDEX(Eingabe!$D$9:$D$18,I255)&amp;"."&amp;IF(J255&lt;=K255,J255,IF(J255=K255+1,200,IF(J255=K255+2,201,250)))&amp;".1",""))</f>
        <v>10.4.43.1</v>
      </c>
      <c r="F255" s="0" t="str">
        <f aca="false">IF(I255="","",IF(AND(J255&gt;=1,J255&lt;=K255+3),"10."&amp;INDEX(Eingabe!$D$9:$D$18,I255)&amp;"."&amp;IF(J255&lt;=K255,J255,IF(J255=K255+1,200,IF(J255=K255+2,201,250)))&amp;".10 – 10."&amp;INDEX(Eingabe!$D$9:$D$18,I255)&amp;"."&amp;IF(J255&lt;=K255,J255,IF(J255=K255+1,200,IF(J255=K255+2,201,250)))&amp;".250",""))</f>
        <v>10.4.43.10 – 10.4.43.250</v>
      </c>
      <c r="G255" s="0" t="str">
        <f aca="false">IF(I255="","",IF(AND(J255&gt;=1,J255&lt;=K255),Eingabe!$B$6&amp;"-"&amp;INDEX(Eingabe!$C$9:$C$18,I255)&amp;"-Pächter  ·  Passwort Parzelle "&amp;J255,IF(J255=K255+1,Eingabe!$B$6&amp;"-"&amp;INDEX(Eingabe!$C$9:$C$18,I255)&amp;"-Vorstand  ·  eigenes WLAN",IF(J255=K255+2,Eingabe!$B$6&amp;"-"&amp;INDEX(Eingabe!$C$9:$C$18,I255)&amp;"-Gäste  ·  Voucher",IF(J255=K255+3,"Kabel  ·  Access Point y = .(50+y), Mast-Switch x = .(10+x)","")))))</f>
        <v>SparteNet.de-SF2-Pächter  ·  Passwort Parzelle 43</v>
      </c>
      <c r="I255" s="7" t="n">
        <f aca="false">IF(250&lt;=(Eingabe!$P$18+Eingabe!$Q$18-1),MATCH(250,Eingabe!$P$9:$P$18,1),"")</f>
        <v>4</v>
      </c>
      <c r="J255" s="7" t="n">
        <f aca="false">IF(I255="","",250-INDEX(Eingabe!$P$9:$P$18,I255))</f>
        <v>43</v>
      </c>
      <c r="K255" s="7" t="n">
        <f aca="false">IF(I255="","",INDEX(Eingabe!$E$9:$E$18,I255))</f>
        <v>53</v>
      </c>
    </row>
    <row r="256" customFormat="false" ht="15" hidden="false" customHeight="false" outlineLevel="0" collapsed="false">
      <c r="A256" s="0" t="str">
        <f aca="false">IF(I256="","",IF(J256=0,"Sparte "&amp;I256&amp;": "&amp;INDEX(Eingabe!$B$9:$B$18,I256)&amp;"  (Sparten-ID "&amp;INDEX(Eingabe!$D$9:$D$18,I256)&amp;", "&amp;K256&amp;" Parzellen)",IF(J256&lt;=K256,"   Parzelle "&amp;J256,IF(J256=K256+1,"   Vorstand",IF(J256=K256+2,"   Gäste",IF(J256=K256+3,"   Technik (Switches, Access Points)",""))))))</f>
        <v>   Parzelle 44</v>
      </c>
      <c r="B256" s="0" t="n">
        <f aca="false">IF(I256="","",IF(AND(J256&gt;=1,J256&lt;=K256+3),IF(J256&lt;=K256,IF(J256&lt;=99,IF((INDEX(Eingabe!$G$9:$G$18,I256))&lt;=9,1000+(INDEX(Eingabe!$G$9:$G$18,I256))*100,3000)+J256,IF((INDEX(Eingabe!$G$9:$G$18,I256)+1)&lt;=9,1000+(INDEX(Eingabe!$G$9:$G$18,I256)+1)*100,3000)+J256-100),IF(J256=K256+1,2000+INDEX(Eingabe!$G$9:$G$18,I256)*10+1,IF(J256=K256+2,2000+INDEX(Eingabe!$G$9:$G$18,I256)*10+2,2000+INDEX(Eingabe!$G$9:$G$18,I256)*10+9))),""))</f>
        <v>1444</v>
      </c>
      <c r="C256" s="0" t="str">
        <f aca="false">IF(I256="","",IF(AND(J256&gt;=1,J256&lt;=K256+3),"10."&amp;INDEX(Eingabe!$D$9:$D$18,I256)&amp;"."&amp;IF(J256&lt;=K256,J256,IF(J256=K256+1,200,IF(J256=K256+2,201,250)))&amp;".0/24",""))</f>
        <v>10.4.44.0/24</v>
      </c>
      <c r="D256" s="0" t="str">
        <f aca="false">IF(I256="","",IF(AND(J256&gt;=1,J256&lt;=K256+3),"255.255.255.0",""))</f>
        <v>255.255.255.0</v>
      </c>
      <c r="E256" s="0" t="str">
        <f aca="false">IF(I256="","",IF(AND(J256&gt;=1,J256&lt;=K256+3),"10."&amp;INDEX(Eingabe!$D$9:$D$18,I256)&amp;"."&amp;IF(J256&lt;=K256,J256,IF(J256=K256+1,200,IF(J256=K256+2,201,250)))&amp;".1",""))</f>
        <v>10.4.44.1</v>
      </c>
      <c r="F256" s="0" t="str">
        <f aca="false">IF(I256="","",IF(AND(J256&gt;=1,J256&lt;=K256+3),"10."&amp;INDEX(Eingabe!$D$9:$D$18,I256)&amp;"."&amp;IF(J256&lt;=K256,J256,IF(J256=K256+1,200,IF(J256=K256+2,201,250)))&amp;".10 – 10."&amp;INDEX(Eingabe!$D$9:$D$18,I256)&amp;"."&amp;IF(J256&lt;=K256,J256,IF(J256=K256+1,200,IF(J256=K256+2,201,250)))&amp;".250",""))</f>
        <v>10.4.44.10 – 10.4.44.250</v>
      </c>
      <c r="G256" s="0" t="str">
        <f aca="false">IF(I256="","",IF(AND(J256&gt;=1,J256&lt;=K256),Eingabe!$B$6&amp;"-"&amp;INDEX(Eingabe!$C$9:$C$18,I256)&amp;"-Pächter  ·  Passwort Parzelle "&amp;J256,IF(J256=K256+1,Eingabe!$B$6&amp;"-"&amp;INDEX(Eingabe!$C$9:$C$18,I256)&amp;"-Vorstand  ·  eigenes WLAN",IF(J256=K256+2,Eingabe!$B$6&amp;"-"&amp;INDEX(Eingabe!$C$9:$C$18,I256)&amp;"-Gäste  ·  Voucher",IF(J256=K256+3,"Kabel  ·  Access Point y = .(50+y), Mast-Switch x = .(10+x)","")))))</f>
        <v>SparteNet.de-SF2-Pächter  ·  Passwort Parzelle 44</v>
      </c>
      <c r="I256" s="7" t="n">
        <f aca="false">IF(251&lt;=(Eingabe!$P$18+Eingabe!$Q$18-1),MATCH(251,Eingabe!$P$9:$P$18,1),"")</f>
        <v>4</v>
      </c>
      <c r="J256" s="7" t="n">
        <f aca="false">IF(I256="","",251-INDEX(Eingabe!$P$9:$P$18,I256))</f>
        <v>44</v>
      </c>
      <c r="K256" s="7" t="n">
        <f aca="false">IF(I256="","",INDEX(Eingabe!$E$9:$E$18,I256))</f>
        <v>53</v>
      </c>
    </row>
    <row r="257" customFormat="false" ht="15" hidden="false" customHeight="false" outlineLevel="0" collapsed="false">
      <c r="A257" s="0" t="str">
        <f aca="false">IF(I257="","",IF(J257=0,"Sparte "&amp;I257&amp;": "&amp;INDEX(Eingabe!$B$9:$B$18,I257)&amp;"  (Sparten-ID "&amp;INDEX(Eingabe!$D$9:$D$18,I257)&amp;", "&amp;K257&amp;" Parzellen)",IF(J257&lt;=K257,"   Parzelle "&amp;J257,IF(J257=K257+1,"   Vorstand",IF(J257=K257+2,"   Gäste",IF(J257=K257+3,"   Technik (Switches, Access Points)",""))))))</f>
        <v>   Parzelle 45</v>
      </c>
      <c r="B257" s="0" t="n">
        <f aca="false">IF(I257="","",IF(AND(J257&gt;=1,J257&lt;=K257+3),IF(J257&lt;=K257,IF(J257&lt;=99,IF((INDEX(Eingabe!$G$9:$G$18,I257))&lt;=9,1000+(INDEX(Eingabe!$G$9:$G$18,I257))*100,3000)+J257,IF((INDEX(Eingabe!$G$9:$G$18,I257)+1)&lt;=9,1000+(INDEX(Eingabe!$G$9:$G$18,I257)+1)*100,3000)+J257-100),IF(J257=K257+1,2000+INDEX(Eingabe!$G$9:$G$18,I257)*10+1,IF(J257=K257+2,2000+INDEX(Eingabe!$G$9:$G$18,I257)*10+2,2000+INDEX(Eingabe!$G$9:$G$18,I257)*10+9))),""))</f>
        <v>1445</v>
      </c>
      <c r="C257" s="0" t="str">
        <f aca="false">IF(I257="","",IF(AND(J257&gt;=1,J257&lt;=K257+3),"10."&amp;INDEX(Eingabe!$D$9:$D$18,I257)&amp;"."&amp;IF(J257&lt;=K257,J257,IF(J257=K257+1,200,IF(J257=K257+2,201,250)))&amp;".0/24",""))</f>
        <v>10.4.45.0/24</v>
      </c>
      <c r="D257" s="0" t="str">
        <f aca="false">IF(I257="","",IF(AND(J257&gt;=1,J257&lt;=K257+3),"255.255.255.0",""))</f>
        <v>255.255.255.0</v>
      </c>
      <c r="E257" s="0" t="str">
        <f aca="false">IF(I257="","",IF(AND(J257&gt;=1,J257&lt;=K257+3),"10."&amp;INDEX(Eingabe!$D$9:$D$18,I257)&amp;"."&amp;IF(J257&lt;=K257,J257,IF(J257=K257+1,200,IF(J257=K257+2,201,250)))&amp;".1",""))</f>
        <v>10.4.45.1</v>
      </c>
      <c r="F257" s="0" t="str">
        <f aca="false">IF(I257="","",IF(AND(J257&gt;=1,J257&lt;=K257+3),"10."&amp;INDEX(Eingabe!$D$9:$D$18,I257)&amp;"."&amp;IF(J257&lt;=K257,J257,IF(J257=K257+1,200,IF(J257=K257+2,201,250)))&amp;".10 – 10."&amp;INDEX(Eingabe!$D$9:$D$18,I257)&amp;"."&amp;IF(J257&lt;=K257,J257,IF(J257=K257+1,200,IF(J257=K257+2,201,250)))&amp;".250",""))</f>
        <v>10.4.45.10 – 10.4.45.250</v>
      </c>
      <c r="G257" s="0" t="str">
        <f aca="false">IF(I257="","",IF(AND(J257&gt;=1,J257&lt;=K257),Eingabe!$B$6&amp;"-"&amp;INDEX(Eingabe!$C$9:$C$18,I257)&amp;"-Pächter  ·  Passwort Parzelle "&amp;J257,IF(J257=K257+1,Eingabe!$B$6&amp;"-"&amp;INDEX(Eingabe!$C$9:$C$18,I257)&amp;"-Vorstand  ·  eigenes WLAN",IF(J257=K257+2,Eingabe!$B$6&amp;"-"&amp;INDEX(Eingabe!$C$9:$C$18,I257)&amp;"-Gäste  ·  Voucher",IF(J257=K257+3,"Kabel  ·  Access Point y = .(50+y), Mast-Switch x = .(10+x)","")))))</f>
        <v>SparteNet.de-SF2-Pächter  ·  Passwort Parzelle 45</v>
      </c>
      <c r="I257" s="7" t="n">
        <f aca="false">IF(252&lt;=(Eingabe!$P$18+Eingabe!$Q$18-1),MATCH(252,Eingabe!$P$9:$P$18,1),"")</f>
        <v>4</v>
      </c>
      <c r="J257" s="7" t="n">
        <f aca="false">IF(I257="","",252-INDEX(Eingabe!$P$9:$P$18,I257))</f>
        <v>45</v>
      </c>
      <c r="K257" s="7" t="n">
        <f aca="false">IF(I257="","",INDEX(Eingabe!$E$9:$E$18,I257))</f>
        <v>53</v>
      </c>
    </row>
    <row r="258" customFormat="false" ht="15" hidden="false" customHeight="false" outlineLevel="0" collapsed="false">
      <c r="A258" s="0" t="str">
        <f aca="false">IF(I258="","",IF(J258=0,"Sparte "&amp;I258&amp;": "&amp;INDEX(Eingabe!$B$9:$B$18,I258)&amp;"  (Sparten-ID "&amp;INDEX(Eingabe!$D$9:$D$18,I258)&amp;", "&amp;K258&amp;" Parzellen)",IF(J258&lt;=K258,"   Parzelle "&amp;J258,IF(J258=K258+1,"   Vorstand",IF(J258=K258+2,"   Gäste",IF(J258=K258+3,"   Technik (Switches, Access Points)",""))))))</f>
        <v>   Parzelle 46</v>
      </c>
      <c r="B258" s="0" t="n">
        <f aca="false">IF(I258="","",IF(AND(J258&gt;=1,J258&lt;=K258+3),IF(J258&lt;=K258,IF(J258&lt;=99,IF((INDEX(Eingabe!$G$9:$G$18,I258))&lt;=9,1000+(INDEX(Eingabe!$G$9:$G$18,I258))*100,3000)+J258,IF((INDEX(Eingabe!$G$9:$G$18,I258)+1)&lt;=9,1000+(INDEX(Eingabe!$G$9:$G$18,I258)+1)*100,3000)+J258-100),IF(J258=K258+1,2000+INDEX(Eingabe!$G$9:$G$18,I258)*10+1,IF(J258=K258+2,2000+INDEX(Eingabe!$G$9:$G$18,I258)*10+2,2000+INDEX(Eingabe!$G$9:$G$18,I258)*10+9))),""))</f>
        <v>1446</v>
      </c>
      <c r="C258" s="0" t="str">
        <f aca="false">IF(I258="","",IF(AND(J258&gt;=1,J258&lt;=K258+3),"10."&amp;INDEX(Eingabe!$D$9:$D$18,I258)&amp;"."&amp;IF(J258&lt;=K258,J258,IF(J258=K258+1,200,IF(J258=K258+2,201,250)))&amp;".0/24",""))</f>
        <v>10.4.46.0/24</v>
      </c>
      <c r="D258" s="0" t="str">
        <f aca="false">IF(I258="","",IF(AND(J258&gt;=1,J258&lt;=K258+3),"255.255.255.0",""))</f>
        <v>255.255.255.0</v>
      </c>
      <c r="E258" s="0" t="str">
        <f aca="false">IF(I258="","",IF(AND(J258&gt;=1,J258&lt;=K258+3),"10."&amp;INDEX(Eingabe!$D$9:$D$18,I258)&amp;"."&amp;IF(J258&lt;=K258,J258,IF(J258=K258+1,200,IF(J258=K258+2,201,250)))&amp;".1",""))</f>
        <v>10.4.46.1</v>
      </c>
      <c r="F258" s="0" t="str">
        <f aca="false">IF(I258="","",IF(AND(J258&gt;=1,J258&lt;=K258+3),"10."&amp;INDEX(Eingabe!$D$9:$D$18,I258)&amp;"."&amp;IF(J258&lt;=K258,J258,IF(J258=K258+1,200,IF(J258=K258+2,201,250)))&amp;".10 – 10."&amp;INDEX(Eingabe!$D$9:$D$18,I258)&amp;"."&amp;IF(J258&lt;=K258,J258,IF(J258=K258+1,200,IF(J258=K258+2,201,250)))&amp;".250",""))</f>
        <v>10.4.46.10 – 10.4.46.250</v>
      </c>
      <c r="G258" s="0" t="str">
        <f aca="false">IF(I258="","",IF(AND(J258&gt;=1,J258&lt;=K258),Eingabe!$B$6&amp;"-"&amp;INDEX(Eingabe!$C$9:$C$18,I258)&amp;"-Pächter  ·  Passwort Parzelle "&amp;J258,IF(J258=K258+1,Eingabe!$B$6&amp;"-"&amp;INDEX(Eingabe!$C$9:$C$18,I258)&amp;"-Vorstand  ·  eigenes WLAN",IF(J258=K258+2,Eingabe!$B$6&amp;"-"&amp;INDEX(Eingabe!$C$9:$C$18,I258)&amp;"-Gäste  ·  Voucher",IF(J258=K258+3,"Kabel  ·  Access Point y = .(50+y), Mast-Switch x = .(10+x)","")))))</f>
        <v>SparteNet.de-SF2-Pächter  ·  Passwort Parzelle 46</v>
      </c>
      <c r="I258" s="7" t="n">
        <f aca="false">IF(253&lt;=(Eingabe!$P$18+Eingabe!$Q$18-1),MATCH(253,Eingabe!$P$9:$P$18,1),"")</f>
        <v>4</v>
      </c>
      <c r="J258" s="7" t="n">
        <f aca="false">IF(I258="","",253-INDEX(Eingabe!$P$9:$P$18,I258))</f>
        <v>46</v>
      </c>
      <c r="K258" s="7" t="n">
        <f aca="false">IF(I258="","",INDEX(Eingabe!$E$9:$E$18,I258))</f>
        <v>53</v>
      </c>
    </row>
    <row r="259" customFormat="false" ht="15" hidden="false" customHeight="false" outlineLevel="0" collapsed="false">
      <c r="A259" s="0" t="str">
        <f aca="false">IF(I259="","",IF(J259=0,"Sparte "&amp;I259&amp;": "&amp;INDEX(Eingabe!$B$9:$B$18,I259)&amp;"  (Sparten-ID "&amp;INDEX(Eingabe!$D$9:$D$18,I259)&amp;", "&amp;K259&amp;" Parzellen)",IF(J259&lt;=K259,"   Parzelle "&amp;J259,IF(J259=K259+1,"   Vorstand",IF(J259=K259+2,"   Gäste",IF(J259=K259+3,"   Technik (Switches, Access Points)",""))))))</f>
        <v>   Parzelle 47</v>
      </c>
      <c r="B259" s="0" t="n">
        <f aca="false">IF(I259="","",IF(AND(J259&gt;=1,J259&lt;=K259+3),IF(J259&lt;=K259,IF(J259&lt;=99,IF((INDEX(Eingabe!$G$9:$G$18,I259))&lt;=9,1000+(INDEX(Eingabe!$G$9:$G$18,I259))*100,3000)+J259,IF((INDEX(Eingabe!$G$9:$G$18,I259)+1)&lt;=9,1000+(INDEX(Eingabe!$G$9:$G$18,I259)+1)*100,3000)+J259-100),IF(J259=K259+1,2000+INDEX(Eingabe!$G$9:$G$18,I259)*10+1,IF(J259=K259+2,2000+INDEX(Eingabe!$G$9:$G$18,I259)*10+2,2000+INDEX(Eingabe!$G$9:$G$18,I259)*10+9))),""))</f>
        <v>1447</v>
      </c>
      <c r="C259" s="0" t="str">
        <f aca="false">IF(I259="","",IF(AND(J259&gt;=1,J259&lt;=K259+3),"10."&amp;INDEX(Eingabe!$D$9:$D$18,I259)&amp;"."&amp;IF(J259&lt;=K259,J259,IF(J259=K259+1,200,IF(J259=K259+2,201,250)))&amp;".0/24",""))</f>
        <v>10.4.47.0/24</v>
      </c>
      <c r="D259" s="0" t="str">
        <f aca="false">IF(I259="","",IF(AND(J259&gt;=1,J259&lt;=K259+3),"255.255.255.0",""))</f>
        <v>255.255.255.0</v>
      </c>
      <c r="E259" s="0" t="str">
        <f aca="false">IF(I259="","",IF(AND(J259&gt;=1,J259&lt;=K259+3),"10."&amp;INDEX(Eingabe!$D$9:$D$18,I259)&amp;"."&amp;IF(J259&lt;=K259,J259,IF(J259=K259+1,200,IF(J259=K259+2,201,250)))&amp;".1",""))</f>
        <v>10.4.47.1</v>
      </c>
      <c r="F259" s="0" t="str">
        <f aca="false">IF(I259="","",IF(AND(J259&gt;=1,J259&lt;=K259+3),"10."&amp;INDEX(Eingabe!$D$9:$D$18,I259)&amp;"."&amp;IF(J259&lt;=K259,J259,IF(J259=K259+1,200,IF(J259=K259+2,201,250)))&amp;".10 – 10."&amp;INDEX(Eingabe!$D$9:$D$18,I259)&amp;"."&amp;IF(J259&lt;=K259,J259,IF(J259=K259+1,200,IF(J259=K259+2,201,250)))&amp;".250",""))</f>
        <v>10.4.47.10 – 10.4.47.250</v>
      </c>
      <c r="G259" s="0" t="str">
        <f aca="false">IF(I259="","",IF(AND(J259&gt;=1,J259&lt;=K259),Eingabe!$B$6&amp;"-"&amp;INDEX(Eingabe!$C$9:$C$18,I259)&amp;"-Pächter  ·  Passwort Parzelle "&amp;J259,IF(J259=K259+1,Eingabe!$B$6&amp;"-"&amp;INDEX(Eingabe!$C$9:$C$18,I259)&amp;"-Vorstand  ·  eigenes WLAN",IF(J259=K259+2,Eingabe!$B$6&amp;"-"&amp;INDEX(Eingabe!$C$9:$C$18,I259)&amp;"-Gäste  ·  Voucher",IF(J259=K259+3,"Kabel  ·  Access Point y = .(50+y), Mast-Switch x = .(10+x)","")))))</f>
        <v>SparteNet.de-SF2-Pächter  ·  Passwort Parzelle 47</v>
      </c>
      <c r="I259" s="7" t="n">
        <f aca="false">IF(254&lt;=(Eingabe!$P$18+Eingabe!$Q$18-1),MATCH(254,Eingabe!$P$9:$P$18,1),"")</f>
        <v>4</v>
      </c>
      <c r="J259" s="7" t="n">
        <f aca="false">IF(I259="","",254-INDEX(Eingabe!$P$9:$P$18,I259))</f>
        <v>47</v>
      </c>
      <c r="K259" s="7" t="n">
        <f aca="false">IF(I259="","",INDEX(Eingabe!$E$9:$E$18,I259))</f>
        <v>53</v>
      </c>
    </row>
    <row r="260" customFormat="false" ht="15" hidden="false" customHeight="false" outlineLevel="0" collapsed="false">
      <c r="A260" s="0" t="str">
        <f aca="false">IF(I260="","",IF(J260=0,"Sparte "&amp;I260&amp;": "&amp;INDEX(Eingabe!$B$9:$B$18,I260)&amp;"  (Sparten-ID "&amp;INDEX(Eingabe!$D$9:$D$18,I260)&amp;", "&amp;K260&amp;" Parzellen)",IF(J260&lt;=K260,"   Parzelle "&amp;J260,IF(J260=K260+1,"   Vorstand",IF(J260=K260+2,"   Gäste",IF(J260=K260+3,"   Technik (Switches, Access Points)",""))))))</f>
        <v>   Parzelle 48</v>
      </c>
      <c r="B260" s="0" t="n">
        <f aca="false">IF(I260="","",IF(AND(J260&gt;=1,J260&lt;=K260+3),IF(J260&lt;=K260,IF(J260&lt;=99,IF((INDEX(Eingabe!$G$9:$G$18,I260))&lt;=9,1000+(INDEX(Eingabe!$G$9:$G$18,I260))*100,3000)+J260,IF((INDEX(Eingabe!$G$9:$G$18,I260)+1)&lt;=9,1000+(INDEX(Eingabe!$G$9:$G$18,I260)+1)*100,3000)+J260-100),IF(J260=K260+1,2000+INDEX(Eingabe!$G$9:$G$18,I260)*10+1,IF(J260=K260+2,2000+INDEX(Eingabe!$G$9:$G$18,I260)*10+2,2000+INDEX(Eingabe!$G$9:$G$18,I260)*10+9))),""))</f>
        <v>1448</v>
      </c>
      <c r="C260" s="0" t="str">
        <f aca="false">IF(I260="","",IF(AND(J260&gt;=1,J260&lt;=K260+3),"10."&amp;INDEX(Eingabe!$D$9:$D$18,I260)&amp;"."&amp;IF(J260&lt;=K260,J260,IF(J260=K260+1,200,IF(J260=K260+2,201,250)))&amp;".0/24",""))</f>
        <v>10.4.48.0/24</v>
      </c>
      <c r="D260" s="0" t="str">
        <f aca="false">IF(I260="","",IF(AND(J260&gt;=1,J260&lt;=K260+3),"255.255.255.0",""))</f>
        <v>255.255.255.0</v>
      </c>
      <c r="E260" s="0" t="str">
        <f aca="false">IF(I260="","",IF(AND(J260&gt;=1,J260&lt;=K260+3),"10."&amp;INDEX(Eingabe!$D$9:$D$18,I260)&amp;"."&amp;IF(J260&lt;=K260,J260,IF(J260=K260+1,200,IF(J260=K260+2,201,250)))&amp;".1",""))</f>
        <v>10.4.48.1</v>
      </c>
      <c r="F260" s="0" t="str">
        <f aca="false">IF(I260="","",IF(AND(J260&gt;=1,J260&lt;=K260+3),"10."&amp;INDEX(Eingabe!$D$9:$D$18,I260)&amp;"."&amp;IF(J260&lt;=K260,J260,IF(J260=K260+1,200,IF(J260=K260+2,201,250)))&amp;".10 – 10."&amp;INDEX(Eingabe!$D$9:$D$18,I260)&amp;"."&amp;IF(J260&lt;=K260,J260,IF(J260=K260+1,200,IF(J260=K260+2,201,250)))&amp;".250",""))</f>
        <v>10.4.48.10 – 10.4.48.250</v>
      </c>
      <c r="G260" s="0" t="str">
        <f aca="false">IF(I260="","",IF(AND(J260&gt;=1,J260&lt;=K260),Eingabe!$B$6&amp;"-"&amp;INDEX(Eingabe!$C$9:$C$18,I260)&amp;"-Pächter  ·  Passwort Parzelle "&amp;J260,IF(J260=K260+1,Eingabe!$B$6&amp;"-"&amp;INDEX(Eingabe!$C$9:$C$18,I260)&amp;"-Vorstand  ·  eigenes WLAN",IF(J260=K260+2,Eingabe!$B$6&amp;"-"&amp;INDEX(Eingabe!$C$9:$C$18,I260)&amp;"-Gäste  ·  Voucher",IF(J260=K260+3,"Kabel  ·  Access Point y = .(50+y), Mast-Switch x = .(10+x)","")))))</f>
        <v>SparteNet.de-SF2-Pächter  ·  Passwort Parzelle 48</v>
      </c>
      <c r="I260" s="7" t="n">
        <f aca="false">IF(255&lt;=(Eingabe!$P$18+Eingabe!$Q$18-1),MATCH(255,Eingabe!$P$9:$P$18,1),"")</f>
        <v>4</v>
      </c>
      <c r="J260" s="7" t="n">
        <f aca="false">IF(I260="","",255-INDEX(Eingabe!$P$9:$P$18,I260))</f>
        <v>48</v>
      </c>
      <c r="K260" s="7" t="n">
        <f aca="false">IF(I260="","",INDEX(Eingabe!$E$9:$E$18,I260))</f>
        <v>53</v>
      </c>
    </row>
    <row r="261" customFormat="false" ht="15" hidden="false" customHeight="false" outlineLevel="0" collapsed="false">
      <c r="A261" s="0" t="str">
        <f aca="false">IF(I261="","",IF(J261=0,"Sparte "&amp;I261&amp;": "&amp;INDEX(Eingabe!$B$9:$B$18,I261)&amp;"  (Sparten-ID "&amp;INDEX(Eingabe!$D$9:$D$18,I261)&amp;", "&amp;K261&amp;" Parzellen)",IF(J261&lt;=K261,"   Parzelle "&amp;J261,IF(J261=K261+1,"   Vorstand",IF(J261=K261+2,"   Gäste",IF(J261=K261+3,"   Technik (Switches, Access Points)",""))))))</f>
        <v>   Parzelle 49</v>
      </c>
      <c r="B261" s="0" t="n">
        <f aca="false">IF(I261="","",IF(AND(J261&gt;=1,J261&lt;=K261+3),IF(J261&lt;=K261,IF(J261&lt;=99,IF((INDEX(Eingabe!$G$9:$G$18,I261))&lt;=9,1000+(INDEX(Eingabe!$G$9:$G$18,I261))*100,3000)+J261,IF((INDEX(Eingabe!$G$9:$G$18,I261)+1)&lt;=9,1000+(INDEX(Eingabe!$G$9:$G$18,I261)+1)*100,3000)+J261-100),IF(J261=K261+1,2000+INDEX(Eingabe!$G$9:$G$18,I261)*10+1,IF(J261=K261+2,2000+INDEX(Eingabe!$G$9:$G$18,I261)*10+2,2000+INDEX(Eingabe!$G$9:$G$18,I261)*10+9))),""))</f>
        <v>1449</v>
      </c>
      <c r="C261" s="0" t="str">
        <f aca="false">IF(I261="","",IF(AND(J261&gt;=1,J261&lt;=K261+3),"10."&amp;INDEX(Eingabe!$D$9:$D$18,I261)&amp;"."&amp;IF(J261&lt;=K261,J261,IF(J261=K261+1,200,IF(J261=K261+2,201,250)))&amp;".0/24",""))</f>
        <v>10.4.49.0/24</v>
      </c>
      <c r="D261" s="0" t="str">
        <f aca="false">IF(I261="","",IF(AND(J261&gt;=1,J261&lt;=K261+3),"255.255.255.0",""))</f>
        <v>255.255.255.0</v>
      </c>
      <c r="E261" s="0" t="str">
        <f aca="false">IF(I261="","",IF(AND(J261&gt;=1,J261&lt;=K261+3),"10."&amp;INDEX(Eingabe!$D$9:$D$18,I261)&amp;"."&amp;IF(J261&lt;=K261,J261,IF(J261=K261+1,200,IF(J261=K261+2,201,250)))&amp;".1",""))</f>
        <v>10.4.49.1</v>
      </c>
      <c r="F261" s="0" t="str">
        <f aca="false">IF(I261="","",IF(AND(J261&gt;=1,J261&lt;=K261+3),"10."&amp;INDEX(Eingabe!$D$9:$D$18,I261)&amp;"."&amp;IF(J261&lt;=K261,J261,IF(J261=K261+1,200,IF(J261=K261+2,201,250)))&amp;".10 – 10."&amp;INDEX(Eingabe!$D$9:$D$18,I261)&amp;"."&amp;IF(J261&lt;=K261,J261,IF(J261=K261+1,200,IF(J261=K261+2,201,250)))&amp;".250",""))</f>
        <v>10.4.49.10 – 10.4.49.250</v>
      </c>
      <c r="G261" s="0" t="str">
        <f aca="false">IF(I261="","",IF(AND(J261&gt;=1,J261&lt;=K261),Eingabe!$B$6&amp;"-"&amp;INDEX(Eingabe!$C$9:$C$18,I261)&amp;"-Pächter  ·  Passwort Parzelle "&amp;J261,IF(J261=K261+1,Eingabe!$B$6&amp;"-"&amp;INDEX(Eingabe!$C$9:$C$18,I261)&amp;"-Vorstand  ·  eigenes WLAN",IF(J261=K261+2,Eingabe!$B$6&amp;"-"&amp;INDEX(Eingabe!$C$9:$C$18,I261)&amp;"-Gäste  ·  Voucher",IF(J261=K261+3,"Kabel  ·  Access Point y = .(50+y), Mast-Switch x = .(10+x)","")))))</f>
        <v>SparteNet.de-SF2-Pächter  ·  Passwort Parzelle 49</v>
      </c>
      <c r="I261" s="7" t="n">
        <f aca="false">IF(256&lt;=(Eingabe!$P$18+Eingabe!$Q$18-1),MATCH(256,Eingabe!$P$9:$P$18,1),"")</f>
        <v>4</v>
      </c>
      <c r="J261" s="7" t="n">
        <f aca="false">IF(I261="","",256-INDEX(Eingabe!$P$9:$P$18,I261))</f>
        <v>49</v>
      </c>
      <c r="K261" s="7" t="n">
        <f aca="false">IF(I261="","",INDEX(Eingabe!$E$9:$E$18,I261))</f>
        <v>53</v>
      </c>
    </row>
    <row r="262" customFormat="false" ht="15" hidden="false" customHeight="false" outlineLevel="0" collapsed="false">
      <c r="A262" s="0" t="str">
        <f aca="false">IF(I262="","",IF(J262=0,"Sparte "&amp;I262&amp;": "&amp;INDEX(Eingabe!$B$9:$B$18,I262)&amp;"  (Sparten-ID "&amp;INDEX(Eingabe!$D$9:$D$18,I262)&amp;", "&amp;K262&amp;" Parzellen)",IF(J262&lt;=K262,"   Parzelle "&amp;J262,IF(J262=K262+1,"   Vorstand",IF(J262=K262+2,"   Gäste",IF(J262=K262+3,"   Technik (Switches, Access Points)",""))))))</f>
        <v>   Parzelle 50</v>
      </c>
      <c r="B262" s="0" t="n">
        <f aca="false">IF(I262="","",IF(AND(J262&gt;=1,J262&lt;=K262+3),IF(J262&lt;=K262,IF(J262&lt;=99,IF((INDEX(Eingabe!$G$9:$G$18,I262))&lt;=9,1000+(INDEX(Eingabe!$G$9:$G$18,I262))*100,3000)+J262,IF((INDEX(Eingabe!$G$9:$G$18,I262)+1)&lt;=9,1000+(INDEX(Eingabe!$G$9:$G$18,I262)+1)*100,3000)+J262-100),IF(J262=K262+1,2000+INDEX(Eingabe!$G$9:$G$18,I262)*10+1,IF(J262=K262+2,2000+INDEX(Eingabe!$G$9:$G$18,I262)*10+2,2000+INDEX(Eingabe!$G$9:$G$18,I262)*10+9))),""))</f>
        <v>1450</v>
      </c>
      <c r="C262" s="0" t="str">
        <f aca="false">IF(I262="","",IF(AND(J262&gt;=1,J262&lt;=K262+3),"10."&amp;INDEX(Eingabe!$D$9:$D$18,I262)&amp;"."&amp;IF(J262&lt;=K262,J262,IF(J262=K262+1,200,IF(J262=K262+2,201,250)))&amp;".0/24",""))</f>
        <v>10.4.50.0/24</v>
      </c>
      <c r="D262" s="0" t="str">
        <f aca="false">IF(I262="","",IF(AND(J262&gt;=1,J262&lt;=K262+3),"255.255.255.0",""))</f>
        <v>255.255.255.0</v>
      </c>
      <c r="E262" s="0" t="str">
        <f aca="false">IF(I262="","",IF(AND(J262&gt;=1,J262&lt;=K262+3),"10."&amp;INDEX(Eingabe!$D$9:$D$18,I262)&amp;"."&amp;IF(J262&lt;=K262,J262,IF(J262=K262+1,200,IF(J262=K262+2,201,250)))&amp;".1",""))</f>
        <v>10.4.50.1</v>
      </c>
      <c r="F262" s="0" t="str">
        <f aca="false">IF(I262="","",IF(AND(J262&gt;=1,J262&lt;=K262+3),"10."&amp;INDEX(Eingabe!$D$9:$D$18,I262)&amp;"."&amp;IF(J262&lt;=K262,J262,IF(J262=K262+1,200,IF(J262=K262+2,201,250)))&amp;".10 – 10."&amp;INDEX(Eingabe!$D$9:$D$18,I262)&amp;"."&amp;IF(J262&lt;=K262,J262,IF(J262=K262+1,200,IF(J262=K262+2,201,250)))&amp;".250",""))</f>
        <v>10.4.50.10 – 10.4.50.250</v>
      </c>
      <c r="G262" s="0" t="str">
        <f aca="false">IF(I262="","",IF(AND(J262&gt;=1,J262&lt;=K262),Eingabe!$B$6&amp;"-"&amp;INDEX(Eingabe!$C$9:$C$18,I262)&amp;"-Pächter  ·  Passwort Parzelle "&amp;J262,IF(J262=K262+1,Eingabe!$B$6&amp;"-"&amp;INDEX(Eingabe!$C$9:$C$18,I262)&amp;"-Vorstand  ·  eigenes WLAN",IF(J262=K262+2,Eingabe!$B$6&amp;"-"&amp;INDEX(Eingabe!$C$9:$C$18,I262)&amp;"-Gäste  ·  Voucher",IF(J262=K262+3,"Kabel  ·  Access Point y = .(50+y), Mast-Switch x = .(10+x)","")))))</f>
        <v>SparteNet.de-SF2-Pächter  ·  Passwort Parzelle 50</v>
      </c>
      <c r="I262" s="7" t="n">
        <f aca="false">IF(257&lt;=(Eingabe!$P$18+Eingabe!$Q$18-1),MATCH(257,Eingabe!$P$9:$P$18,1),"")</f>
        <v>4</v>
      </c>
      <c r="J262" s="7" t="n">
        <f aca="false">IF(I262="","",257-INDEX(Eingabe!$P$9:$P$18,I262))</f>
        <v>50</v>
      </c>
      <c r="K262" s="7" t="n">
        <f aca="false">IF(I262="","",INDEX(Eingabe!$E$9:$E$18,I262))</f>
        <v>53</v>
      </c>
    </row>
    <row r="263" customFormat="false" ht="15" hidden="false" customHeight="false" outlineLevel="0" collapsed="false">
      <c r="A263" s="0" t="str">
        <f aca="false">IF(I263="","",IF(J263=0,"Sparte "&amp;I263&amp;": "&amp;INDEX(Eingabe!$B$9:$B$18,I263)&amp;"  (Sparten-ID "&amp;INDEX(Eingabe!$D$9:$D$18,I263)&amp;", "&amp;K263&amp;" Parzellen)",IF(J263&lt;=K263,"   Parzelle "&amp;J263,IF(J263=K263+1,"   Vorstand",IF(J263=K263+2,"   Gäste",IF(J263=K263+3,"   Technik (Switches, Access Points)",""))))))</f>
        <v>   Parzelle 51</v>
      </c>
      <c r="B263" s="0" t="n">
        <f aca="false">IF(I263="","",IF(AND(J263&gt;=1,J263&lt;=K263+3),IF(J263&lt;=K263,IF(J263&lt;=99,IF((INDEX(Eingabe!$G$9:$G$18,I263))&lt;=9,1000+(INDEX(Eingabe!$G$9:$G$18,I263))*100,3000)+J263,IF((INDEX(Eingabe!$G$9:$G$18,I263)+1)&lt;=9,1000+(INDEX(Eingabe!$G$9:$G$18,I263)+1)*100,3000)+J263-100),IF(J263=K263+1,2000+INDEX(Eingabe!$G$9:$G$18,I263)*10+1,IF(J263=K263+2,2000+INDEX(Eingabe!$G$9:$G$18,I263)*10+2,2000+INDEX(Eingabe!$G$9:$G$18,I263)*10+9))),""))</f>
        <v>1451</v>
      </c>
      <c r="C263" s="0" t="str">
        <f aca="false">IF(I263="","",IF(AND(J263&gt;=1,J263&lt;=K263+3),"10."&amp;INDEX(Eingabe!$D$9:$D$18,I263)&amp;"."&amp;IF(J263&lt;=K263,J263,IF(J263=K263+1,200,IF(J263=K263+2,201,250)))&amp;".0/24",""))</f>
        <v>10.4.51.0/24</v>
      </c>
      <c r="D263" s="0" t="str">
        <f aca="false">IF(I263="","",IF(AND(J263&gt;=1,J263&lt;=K263+3),"255.255.255.0",""))</f>
        <v>255.255.255.0</v>
      </c>
      <c r="E263" s="0" t="str">
        <f aca="false">IF(I263="","",IF(AND(J263&gt;=1,J263&lt;=K263+3),"10."&amp;INDEX(Eingabe!$D$9:$D$18,I263)&amp;"."&amp;IF(J263&lt;=K263,J263,IF(J263=K263+1,200,IF(J263=K263+2,201,250)))&amp;".1",""))</f>
        <v>10.4.51.1</v>
      </c>
      <c r="F263" s="0" t="str">
        <f aca="false">IF(I263="","",IF(AND(J263&gt;=1,J263&lt;=K263+3),"10."&amp;INDEX(Eingabe!$D$9:$D$18,I263)&amp;"."&amp;IF(J263&lt;=K263,J263,IF(J263=K263+1,200,IF(J263=K263+2,201,250)))&amp;".10 – 10."&amp;INDEX(Eingabe!$D$9:$D$18,I263)&amp;"."&amp;IF(J263&lt;=K263,J263,IF(J263=K263+1,200,IF(J263=K263+2,201,250)))&amp;".250",""))</f>
        <v>10.4.51.10 – 10.4.51.250</v>
      </c>
      <c r="G263" s="0" t="str">
        <f aca="false">IF(I263="","",IF(AND(J263&gt;=1,J263&lt;=K263),Eingabe!$B$6&amp;"-"&amp;INDEX(Eingabe!$C$9:$C$18,I263)&amp;"-Pächter  ·  Passwort Parzelle "&amp;J263,IF(J263=K263+1,Eingabe!$B$6&amp;"-"&amp;INDEX(Eingabe!$C$9:$C$18,I263)&amp;"-Vorstand  ·  eigenes WLAN",IF(J263=K263+2,Eingabe!$B$6&amp;"-"&amp;INDEX(Eingabe!$C$9:$C$18,I263)&amp;"-Gäste  ·  Voucher",IF(J263=K263+3,"Kabel  ·  Access Point y = .(50+y), Mast-Switch x = .(10+x)","")))))</f>
        <v>SparteNet.de-SF2-Pächter  ·  Passwort Parzelle 51</v>
      </c>
      <c r="I263" s="7" t="n">
        <f aca="false">IF(258&lt;=(Eingabe!$P$18+Eingabe!$Q$18-1),MATCH(258,Eingabe!$P$9:$P$18,1),"")</f>
        <v>4</v>
      </c>
      <c r="J263" s="7" t="n">
        <f aca="false">IF(I263="","",258-INDEX(Eingabe!$P$9:$P$18,I263))</f>
        <v>51</v>
      </c>
      <c r="K263" s="7" t="n">
        <f aca="false">IF(I263="","",INDEX(Eingabe!$E$9:$E$18,I263))</f>
        <v>53</v>
      </c>
    </row>
    <row r="264" customFormat="false" ht="15" hidden="false" customHeight="false" outlineLevel="0" collapsed="false">
      <c r="A264" s="0" t="str">
        <f aca="false">IF(I264="","",IF(J264=0,"Sparte "&amp;I264&amp;": "&amp;INDEX(Eingabe!$B$9:$B$18,I264)&amp;"  (Sparten-ID "&amp;INDEX(Eingabe!$D$9:$D$18,I264)&amp;", "&amp;K264&amp;" Parzellen)",IF(J264&lt;=K264,"   Parzelle "&amp;J264,IF(J264=K264+1,"   Vorstand",IF(J264=K264+2,"   Gäste",IF(J264=K264+3,"   Technik (Switches, Access Points)",""))))))</f>
        <v>   Parzelle 52</v>
      </c>
      <c r="B264" s="0" t="n">
        <f aca="false">IF(I264="","",IF(AND(J264&gt;=1,J264&lt;=K264+3),IF(J264&lt;=K264,IF(J264&lt;=99,IF((INDEX(Eingabe!$G$9:$G$18,I264))&lt;=9,1000+(INDEX(Eingabe!$G$9:$G$18,I264))*100,3000)+J264,IF((INDEX(Eingabe!$G$9:$G$18,I264)+1)&lt;=9,1000+(INDEX(Eingabe!$G$9:$G$18,I264)+1)*100,3000)+J264-100),IF(J264=K264+1,2000+INDEX(Eingabe!$G$9:$G$18,I264)*10+1,IF(J264=K264+2,2000+INDEX(Eingabe!$G$9:$G$18,I264)*10+2,2000+INDEX(Eingabe!$G$9:$G$18,I264)*10+9))),""))</f>
        <v>1452</v>
      </c>
      <c r="C264" s="0" t="str">
        <f aca="false">IF(I264="","",IF(AND(J264&gt;=1,J264&lt;=K264+3),"10."&amp;INDEX(Eingabe!$D$9:$D$18,I264)&amp;"."&amp;IF(J264&lt;=K264,J264,IF(J264=K264+1,200,IF(J264=K264+2,201,250)))&amp;".0/24",""))</f>
        <v>10.4.52.0/24</v>
      </c>
      <c r="D264" s="0" t="str">
        <f aca="false">IF(I264="","",IF(AND(J264&gt;=1,J264&lt;=K264+3),"255.255.255.0",""))</f>
        <v>255.255.255.0</v>
      </c>
      <c r="E264" s="0" t="str">
        <f aca="false">IF(I264="","",IF(AND(J264&gt;=1,J264&lt;=K264+3),"10."&amp;INDEX(Eingabe!$D$9:$D$18,I264)&amp;"."&amp;IF(J264&lt;=K264,J264,IF(J264=K264+1,200,IF(J264=K264+2,201,250)))&amp;".1",""))</f>
        <v>10.4.52.1</v>
      </c>
      <c r="F264" s="0" t="str">
        <f aca="false">IF(I264="","",IF(AND(J264&gt;=1,J264&lt;=K264+3),"10."&amp;INDEX(Eingabe!$D$9:$D$18,I264)&amp;"."&amp;IF(J264&lt;=K264,J264,IF(J264=K264+1,200,IF(J264=K264+2,201,250)))&amp;".10 – 10."&amp;INDEX(Eingabe!$D$9:$D$18,I264)&amp;"."&amp;IF(J264&lt;=K264,J264,IF(J264=K264+1,200,IF(J264=K264+2,201,250)))&amp;".250",""))</f>
        <v>10.4.52.10 – 10.4.52.250</v>
      </c>
      <c r="G264" s="0" t="str">
        <f aca="false">IF(I264="","",IF(AND(J264&gt;=1,J264&lt;=K264),Eingabe!$B$6&amp;"-"&amp;INDEX(Eingabe!$C$9:$C$18,I264)&amp;"-Pächter  ·  Passwort Parzelle "&amp;J264,IF(J264=K264+1,Eingabe!$B$6&amp;"-"&amp;INDEX(Eingabe!$C$9:$C$18,I264)&amp;"-Vorstand  ·  eigenes WLAN",IF(J264=K264+2,Eingabe!$B$6&amp;"-"&amp;INDEX(Eingabe!$C$9:$C$18,I264)&amp;"-Gäste  ·  Voucher",IF(J264=K264+3,"Kabel  ·  Access Point y = .(50+y), Mast-Switch x = .(10+x)","")))))</f>
        <v>SparteNet.de-SF2-Pächter  ·  Passwort Parzelle 52</v>
      </c>
      <c r="I264" s="7" t="n">
        <f aca="false">IF(259&lt;=(Eingabe!$P$18+Eingabe!$Q$18-1),MATCH(259,Eingabe!$P$9:$P$18,1),"")</f>
        <v>4</v>
      </c>
      <c r="J264" s="7" t="n">
        <f aca="false">IF(I264="","",259-INDEX(Eingabe!$P$9:$P$18,I264))</f>
        <v>52</v>
      </c>
      <c r="K264" s="7" t="n">
        <f aca="false">IF(I264="","",INDEX(Eingabe!$E$9:$E$18,I264))</f>
        <v>53</v>
      </c>
    </row>
    <row r="265" customFormat="false" ht="15" hidden="false" customHeight="false" outlineLevel="0" collapsed="false">
      <c r="A265" s="0" t="str">
        <f aca="false">IF(I265="","",IF(J265=0,"Sparte "&amp;I265&amp;": "&amp;INDEX(Eingabe!$B$9:$B$18,I265)&amp;"  (Sparten-ID "&amp;INDEX(Eingabe!$D$9:$D$18,I265)&amp;", "&amp;K265&amp;" Parzellen)",IF(J265&lt;=K265,"   Parzelle "&amp;J265,IF(J265=K265+1,"   Vorstand",IF(J265=K265+2,"   Gäste",IF(J265=K265+3,"   Technik (Switches, Access Points)",""))))))</f>
        <v>   Parzelle 53</v>
      </c>
      <c r="B265" s="0" t="n">
        <f aca="false">IF(I265="","",IF(AND(J265&gt;=1,J265&lt;=K265+3),IF(J265&lt;=K265,IF(J265&lt;=99,IF((INDEX(Eingabe!$G$9:$G$18,I265))&lt;=9,1000+(INDEX(Eingabe!$G$9:$G$18,I265))*100,3000)+J265,IF((INDEX(Eingabe!$G$9:$G$18,I265)+1)&lt;=9,1000+(INDEX(Eingabe!$G$9:$G$18,I265)+1)*100,3000)+J265-100),IF(J265=K265+1,2000+INDEX(Eingabe!$G$9:$G$18,I265)*10+1,IF(J265=K265+2,2000+INDEX(Eingabe!$G$9:$G$18,I265)*10+2,2000+INDEX(Eingabe!$G$9:$G$18,I265)*10+9))),""))</f>
        <v>1453</v>
      </c>
      <c r="C265" s="0" t="str">
        <f aca="false">IF(I265="","",IF(AND(J265&gt;=1,J265&lt;=K265+3),"10."&amp;INDEX(Eingabe!$D$9:$D$18,I265)&amp;"."&amp;IF(J265&lt;=K265,J265,IF(J265=K265+1,200,IF(J265=K265+2,201,250)))&amp;".0/24",""))</f>
        <v>10.4.53.0/24</v>
      </c>
      <c r="D265" s="0" t="str">
        <f aca="false">IF(I265="","",IF(AND(J265&gt;=1,J265&lt;=K265+3),"255.255.255.0",""))</f>
        <v>255.255.255.0</v>
      </c>
      <c r="E265" s="0" t="str">
        <f aca="false">IF(I265="","",IF(AND(J265&gt;=1,J265&lt;=K265+3),"10."&amp;INDEX(Eingabe!$D$9:$D$18,I265)&amp;"."&amp;IF(J265&lt;=K265,J265,IF(J265=K265+1,200,IF(J265=K265+2,201,250)))&amp;".1",""))</f>
        <v>10.4.53.1</v>
      </c>
      <c r="F265" s="0" t="str">
        <f aca="false">IF(I265="","",IF(AND(J265&gt;=1,J265&lt;=K265+3),"10."&amp;INDEX(Eingabe!$D$9:$D$18,I265)&amp;"."&amp;IF(J265&lt;=K265,J265,IF(J265=K265+1,200,IF(J265=K265+2,201,250)))&amp;".10 – 10."&amp;INDEX(Eingabe!$D$9:$D$18,I265)&amp;"."&amp;IF(J265&lt;=K265,J265,IF(J265=K265+1,200,IF(J265=K265+2,201,250)))&amp;".250",""))</f>
        <v>10.4.53.10 – 10.4.53.250</v>
      </c>
      <c r="G265" s="0" t="str">
        <f aca="false">IF(I265="","",IF(AND(J265&gt;=1,J265&lt;=K265),Eingabe!$B$6&amp;"-"&amp;INDEX(Eingabe!$C$9:$C$18,I265)&amp;"-Pächter  ·  Passwort Parzelle "&amp;J265,IF(J265=K265+1,Eingabe!$B$6&amp;"-"&amp;INDEX(Eingabe!$C$9:$C$18,I265)&amp;"-Vorstand  ·  eigenes WLAN",IF(J265=K265+2,Eingabe!$B$6&amp;"-"&amp;INDEX(Eingabe!$C$9:$C$18,I265)&amp;"-Gäste  ·  Voucher",IF(J265=K265+3,"Kabel  ·  Access Point y = .(50+y), Mast-Switch x = .(10+x)","")))))</f>
        <v>SparteNet.de-SF2-Pächter  ·  Passwort Parzelle 53</v>
      </c>
      <c r="I265" s="7" t="n">
        <f aca="false">IF(260&lt;=(Eingabe!$P$18+Eingabe!$Q$18-1),MATCH(260,Eingabe!$P$9:$P$18,1),"")</f>
        <v>4</v>
      </c>
      <c r="J265" s="7" t="n">
        <f aca="false">IF(I265="","",260-INDEX(Eingabe!$P$9:$P$18,I265))</f>
        <v>53</v>
      </c>
      <c r="K265" s="7" t="n">
        <f aca="false">IF(I265="","",INDEX(Eingabe!$E$9:$E$18,I265))</f>
        <v>53</v>
      </c>
    </row>
    <row r="266" customFormat="false" ht="15" hidden="false" customHeight="false" outlineLevel="0" collapsed="false">
      <c r="A266" s="0" t="str">
        <f aca="false">IF(I266="","",IF(J266=0,"Sparte "&amp;I266&amp;": "&amp;INDEX(Eingabe!$B$9:$B$18,I266)&amp;"  (Sparten-ID "&amp;INDEX(Eingabe!$D$9:$D$18,I266)&amp;", "&amp;K266&amp;" Parzellen)",IF(J266&lt;=K266,"   Parzelle "&amp;J266,IF(J266=K266+1,"   Vorstand",IF(J266=K266+2,"   Gäste",IF(J266=K266+3,"   Technik (Switches, Access Points)",""))))))</f>
        <v>   Vorstand</v>
      </c>
      <c r="B266" s="0" t="n">
        <f aca="false">IF(I266="","",IF(AND(J266&gt;=1,J266&lt;=K266+3),IF(J266&lt;=K266,IF(J266&lt;=99,IF((INDEX(Eingabe!$G$9:$G$18,I266))&lt;=9,1000+(INDEX(Eingabe!$G$9:$G$18,I266))*100,3000)+J266,IF((INDEX(Eingabe!$G$9:$G$18,I266)+1)&lt;=9,1000+(INDEX(Eingabe!$G$9:$G$18,I266)+1)*100,3000)+J266-100),IF(J266=K266+1,2000+INDEX(Eingabe!$G$9:$G$18,I266)*10+1,IF(J266=K266+2,2000+INDEX(Eingabe!$G$9:$G$18,I266)*10+2,2000+INDEX(Eingabe!$G$9:$G$18,I266)*10+9))),""))</f>
        <v>2041</v>
      </c>
      <c r="C266" s="0" t="str">
        <f aca="false">IF(I266="","",IF(AND(J266&gt;=1,J266&lt;=K266+3),"10."&amp;INDEX(Eingabe!$D$9:$D$18,I266)&amp;"."&amp;IF(J266&lt;=K266,J266,IF(J266=K266+1,200,IF(J266=K266+2,201,250)))&amp;".0/24",""))</f>
        <v>10.4.200.0/24</v>
      </c>
      <c r="D266" s="0" t="str">
        <f aca="false">IF(I266="","",IF(AND(J266&gt;=1,J266&lt;=K266+3),"255.255.255.0",""))</f>
        <v>255.255.255.0</v>
      </c>
      <c r="E266" s="0" t="str">
        <f aca="false">IF(I266="","",IF(AND(J266&gt;=1,J266&lt;=K266+3),"10."&amp;INDEX(Eingabe!$D$9:$D$18,I266)&amp;"."&amp;IF(J266&lt;=K266,J266,IF(J266=K266+1,200,IF(J266=K266+2,201,250)))&amp;".1",""))</f>
        <v>10.4.200.1</v>
      </c>
      <c r="F266" s="0" t="str">
        <f aca="false">IF(I266="","",IF(AND(J266&gt;=1,J266&lt;=K266+3),"10."&amp;INDEX(Eingabe!$D$9:$D$18,I266)&amp;"."&amp;IF(J266&lt;=K266,J266,IF(J266=K266+1,200,IF(J266=K266+2,201,250)))&amp;".10 – 10."&amp;INDEX(Eingabe!$D$9:$D$18,I266)&amp;"."&amp;IF(J266&lt;=K266,J266,IF(J266=K266+1,200,IF(J266=K266+2,201,250)))&amp;".250",""))</f>
        <v>10.4.200.10 – 10.4.200.250</v>
      </c>
      <c r="G266" s="0" t="str">
        <f aca="false">IF(I266="","",IF(AND(J266&gt;=1,J266&lt;=K266),Eingabe!$B$6&amp;"-"&amp;INDEX(Eingabe!$C$9:$C$18,I266)&amp;"-Pächter  ·  Passwort Parzelle "&amp;J266,IF(J266=K266+1,Eingabe!$B$6&amp;"-"&amp;INDEX(Eingabe!$C$9:$C$18,I266)&amp;"-Vorstand  ·  eigenes WLAN",IF(J266=K266+2,Eingabe!$B$6&amp;"-"&amp;INDEX(Eingabe!$C$9:$C$18,I266)&amp;"-Gäste  ·  Voucher",IF(J266=K266+3,"Kabel  ·  Access Point y = .(50+y), Mast-Switch x = .(10+x)","")))))</f>
        <v>SparteNet.de-SF2-Vorstand  ·  eigenes WLAN</v>
      </c>
      <c r="I266" s="7" t="n">
        <f aca="false">IF(261&lt;=(Eingabe!$P$18+Eingabe!$Q$18-1),MATCH(261,Eingabe!$P$9:$P$18,1),"")</f>
        <v>4</v>
      </c>
      <c r="J266" s="7" t="n">
        <f aca="false">IF(I266="","",261-INDEX(Eingabe!$P$9:$P$18,I266))</f>
        <v>54</v>
      </c>
      <c r="K266" s="7" t="n">
        <f aca="false">IF(I266="","",INDEX(Eingabe!$E$9:$E$18,I266))</f>
        <v>53</v>
      </c>
    </row>
    <row r="267" customFormat="false" ht="15" hidden="false" customHeight="false" outlineLevel="0" collapsed="false">
      <c r="A267" s="0" t="str">
        <f aca="false">IF(I267="","",IF(J267=0,"Sparte "&amp;I267&amp;": "&amp;INDEX(Eingabe!$B$9:$B$18,I267)&amp;"  (Sparten-ID "&amp;INDEX(Eingabe!$D$9:$D$18,I267)&amp;", "&amp;K267&amp;" Parzellen)",IF(J267&lt;=K267,"   Parzelle "&amp;J267,IF(J267=K267+1,"   Vorstand",IF(J267=K267+2,"   Gäste",IF(J267=K267+3,"   Technik (Switches, Access Points)",""))))))</f>
        <v>   Gäste</v>
      </c>
      <c r="B267" s="0" t="n">
        <f aca="false">IF(I267="","",IF(AND(J267&gt;=1,J267&lt;=K267+3),IF(J267&lt;=K267,IF(J267&lt;=99,IF((INDEX(Eingabe!$G$9:$G$18,I267))&lt;=9,1000+(INDEX(Eingabe!$G$9:$G$18,I267))*100,3000)+J267,IF((INDEX(Eingabe!$G$9:$G$18,I267)+1)&lt;=9,1000+(INDEX(Eingabe!$G$9:$G$18,I267)+1)*100,3000)+J267-100),IF(J267=K267+1,2000+INDEX(Eingabe!$G$9:$G$18,I267)*10+1,IF(J267=K267+2,2000+INDEX(Eingabe!$G$9:$G$18,I267)*10+2,2000+INDEX(Eingabe!$G$9:$G$18,I267)*10+9))),""))</f>
        <v>2042</v>
      </c>
      <c r="C267" s="0" t="str">
        <f aca="false">IF(I267="","",IF(AND(J267&gt;=1,J267&lt;=K267+3),"10."&amp;INDEX(Eingabe!$D$9:$D$18,I267)&amp;"."&amp;IF(J267&lt;=K267,J267,IF(J267=K267+1,200,IF(J267=K267+2,201,250)))&amp;".0/24",""))</f>
        <v>10.4.201.0/24</v>
      </c>
      <c r="D267" s="0" t="str">
        <f aca="false">IF(I267="","",IF(AND(J267&gt;=1,J267&lt;=K267+3),"255.255.255.0",""))</f>
        <v>255.255.255.0</v>
      </c>
      <c r="E267" s="0" t="str">
        <f aca="false">IF(I267="","",IF(AND(J267&gt;=1,J267&lt;=K267+3),"10."&amp;INDEX(Eingabe!$D$9:$D$18,I267)&amp;"."&amp;IF(J267&lt;=K267,J267,IF(J267=K267+1,200,IF(J267=K267+2,201,250)))&amp;".1",""))</f>
        <v>10.4.201.1</v>
      </c>
      <c r="F267" s="0" t="str">
        <f aca="false">IF(I267="","",IF(AND(J267&gt;=1,J267&lt;=K267+3),"10."&amp;INDEX(Eingabe!$D$9:$D$18,I267)&amp;"."&amp;IF(J267&lt;=K267,J267,IF(J267=K267+1,200,IF(J267=K267+2,201,250)))&amp;".10 – 10."&amp;INDEX(Eingabe!$D$9:$D$18,I267)&amp;"."&amp;IF(J267&lt;=K267,J267,IF(J267=K267+1,200,IF(J267=K267+2,201,250)))&amp;".250",""))</f>
        <v>10.4.201.10 – 10.4.201.250</v>
      </c>
      <c r="G267" s="0" t="str">
        <f aca="false">IF(I267="","",IF(AND(J267&gt;=1,J267&lt;=K267),Eingabe!$B$6&amp;"-"&amp;INDEX(Eingabe!$C$9:$C$18,I267)&amp;"-Pächter  ·  Passwort Parzelle "&amp;J267,IF(J267=K267+1,Eingabe!$B$6&amp;"-"&amp;INDEX(Eingabe!$C$9:$C$18,I267)&amp;"-Vorstand  ·  eigenes WLAN",IF(J267=K267+2,Eingabe!$B$6&amp;"-"&amp;INDEX(Eingabe!$C$9:$C$18,I267)&amp;"-Gäste  ·  Voucher",IF(J267=K267+3,"Kabel  ·  Access Point y = .(50+y), Mast-Switch x = .(10+x)","")))))</f>
        <v>SparteNet.de-SF2-Gäste  ·  Voucher</v>
      </c>
      <c r="I267" s="7" t="n">
        <f aca="false">IF(262&lt;=(Eingabe!$P$18+Eingabe!$Q$18-1),MATCH(262,Eingabe!$P$9:$P$18,1),"")</f>
        <v>4</v>
      </c>
      <c r="J267" s="7" t="n">
        <f aca="false">IF(I267="","",262-INDEX(Eingabe!$P$9:$P$18,I267))</f>
        <v>55</v>
      </c>
      <c r="K267" s="7" t="n">
        <f aca="false">IF(I267="","",INDEX(Eingabe!$E$9:$E$18,I267))</f>
        <v>53</v>
      </c>
    </row>
    <row r="268" customFormat="false" ht="15" hidden="false" customHeight="false" outlineLevel="0" collapsed="false">
      <c r="A268" s="0" t="str">
        <f aca="false">IF(I268="","",IF(J268=0,"Sparte "&amp;I268&amp;": "&amp;INDEX(Eingabe!$B$9:$B$18,I268)&amp;"  (Sparten-ID "&amp;INDEX(Eingabe!$D$9:$D$18,I268)&amp;", "&amp;K268&amp;" Parzellen)",IF(J268&lt;=K268,"   Parzelle "&amp;J268,IF(J268=K268+1,"   Vorstand",IF(J268=K268+2,"   Gäste",IF(J268=K268+3,"   Technik (Switches, Access Points)",""))))))</f>
        <v>   Technik (Switches, Access Points)</v>
      </c>
      <c r="B268" s="0" t="n">
        <f aca="false">IF(I268="","",IF(AND(J268&gt;=1,J268&lt;=K268+3),IF(J268&lt;=K268,IF(J268&lt;=99,IF((INDEX(Eingabe!$G$9:$G$18,I268))&lt;=9,1000+(INDEX(Eingabe!$G$9:$G$18,I268))*100,3000)+J268,IF((INDEX(Eingabe!$G$9:$G$18,I268)+1)&lt;=9,1000+(INDEX(Eingabe!$G$9:$G$18,I268)+1)*100,3000)+J268-100),IF(J268=K268+1,2000+INDEX(Eingabe!$G$9:$G$18,I268)*10+1,IF(J268=K268+2,2000+INDEX(Eingabe!$G$9:$G$18,I268)*10+2,2000+INDEX(Eingabe!$G$9:$G$18,I268)*10+9))),""))</f>
        <v>2049</v>
      </c>
      <c r="C268" s="0" t="str">
        <f aca="false">IF(I268="","",IF(AND(J268&gt;=1,J268&lt;=K268+3),"10."&amp;INDEX(Eingabe!$D$9:$D$18,I268)&amp;"."&amp;IF(J268&lt;=K268,J268,IF(J268=K268+1,200,IF(J268=K268+2,201,250)))&amp;".0/24",""))</f>
        <v>10.4.250.0/24</v>
      </c>
      <c r="D268" s="0" t="str">
        <f aca="false">IF(I268="","",IF(AND(J268&gt;=1,J268&lt;=K268+3),"255.255.255.0",""))</f>
        <v>255.255.255.0</v>
      </c>
      <c r="E268" s="0" t="str">
        <f aca="false">IF(I268="","",IF(AND(J268&gt;=1,J268&lt;=K268+3),"10."&amp;INDEX(Eingabe!$D$9:$D$18,I268)&amp;"."&amp;IF(J268&lt;=K268,J268,IF(J268=K268+1,200,IF(J268=K268+2,201,250)))&amp;".1",""))</f>
        <v>10.4.250.1</v>
      </c>
      <c r="F268" s="0" t="str">
        <f aca="false">IF(I268="","",IF(AND(J268&gt;=1,J268&lt;=K268+3),"10."&amp;INDEX(Eingabe!$D$9:$D$18,I268)&amp;"."&amp;IF(J268&lt;=K268,J268,IF(J268=K268+1,200,IF(J268=K268+2,201,250)))&amp;".10 – 10."&amp;INDEX(Eingabe!$D$9:$D$18,I268)&amp;"."&amp;IF(J268&lt;=K268,J268,IF(J268=K268+1,200,IF(J268=K268+2,201,250)))&amp;".250",""))</f>
        <v>10.4.250.10 – 10.4.250.250</v>
      </c>
      <c r="G268" s="0" t="str">
        <f aca="false">IF(I268="","",IF(AND(J268&gt;=1,J268&lt;=K268),Eingabe!$B$6&amp;"-"&amp;INDEX(Eingabe!$C$9:$C$18,I268)&amp;"-Pächter  ·  Passwort Parzelle "&amp;J268,IF(J268=K268+1,Eingabe!$B$6&amp;"-"&amp;INDEX(Eingabe!$C$9:$C$18,I268)&amp;"-Vorstand  ·  eigenes WLAN",IF(J268=K268+2,Eingabe!$B$6&amp;"-"&amp;INDEX(Eingabe!$C$9:$C$18,I268)&amp;"-Gäste  ·  Voucher",IF(J268=K268+3,"Kabel  ·  Access Point y = .(50+y), Mast-Switch x = .(10+x)","")))))</f>
        <v>Kabel  ·  Access Point y = .(50+y), Mast-Switch x = .(10+x)</v>
      </c>
      <c r="I268" s="7" t="n">
        <f aca="false">IF(263&lt;=(Eingabe!$P$18+Eingabe!$Q$18-1),MATCH(263,Eingabe!$P$9:$P$18,1),"")</f>
        <v>4</v>
      </c>
      <c r="J268" s="7" t="n">
        <f aca="false">IF(I268="","",263-INDEX(Eingabe!$P$9:$P$18,I268))</f>
        <v>56</v>
      </c>
      <c r="K268" s="7" t="n">
        <f aca="false">IF(I268="","",INDEX(Eingabe!$E$9:$E$18,I268))</f>
        <v>53</v>
      </c>
    </row>
    <row r="269" customFormat="false" ht="15" hidden="false" customHeight="false" outlineLevel="0" collapsed="false">
      <c r="A269" s="0" t="str">
        <f aca="false">IF(I269="","",IF(J269=0,"Sparte "&amp;I269&amp;": "&amp;INDEX(Eingabe!$B$9:$B$18,I269)&amp;"  (Sparten-ID "&amp;INDEX(Eingabe!$D$9:$D$18,I269)&amp;", "&amp;K269&amp;" Parzellen)",IF(J269&lt;=K269,"   Parzelle "&amp;J269,IF(J269=K269+1,"   Vorstand",IF(J269=K269+2,"   Gäste",IF(J269=K269+3,"   Technik (Switches, Access Points)",""))))))</f>
        <v/>
      </c>
      <c r="B269" s="0" t="str">
        <f aca="false">IF(I269="","",IF(AND(J269&gt;=1,J269&lt;=K269+3),IF(J269&lt;=K269,IF(J269&lt;=99,IF((INDEX(Eingabe!$G$9:$G$18,I269))&lt;=9,1000+(INDEX(Eingabe!$G$9:$G$18,I269))*100,3000)+J269,IF((INDEX(Eingabe!$G$9:$G$18,I269)+1)&lt;=9,1000+(INDEX(Eingabe!$G$9:$G$18,I269)+1)*100,3000)+J269-100),IF(J269=K269+1,2000+INDEX(Eingabe!$G$9:$G$18,I269)*10+1,IF(J269=K269+2,2000+INDEX(Eingabe!$G$9:$G$18,I269)*10+2,2000+INDEX(Eingabe!$G$9:$G$18,I269)*10+9))),""))</f>
        <v/>
      </c>
      <c r="C269" s="0" t="str">
        <f aca="false">IF(I269="","",IF(AND(J269&gt;=1,J269&lt;=K269+3),"10."&amp;INDEX(Eingabe!$D$9:$D$18,I269)&amp;"."&amp;IF(J269&lt;=K269,J269,IF(J269=K269+1,200,IF(J269=K269+2,201,250)))&amp;".0/24",""))</f>
        <v/>
      </c>
      <c r="D269" s="0" t="str">
        <f aca="false">IF(I269="","",IF(AND(J269&gt;=1,J269&lt;=K269+3),"255.255.255.0",""))</f>
        <v/>
      </c>
      <c r="E269" s="0" t="str">
        <f aca="false">IF(I269="","",IF(AND(J269&gt;=1,J269&lt;=K269+3),"10."&amp;INDEX(Eingabe!$D$9:$D$18,I269)&amp;"."&amp;IF(J269&lt;=K269,J269,IF(J269=K269+1,200,IF(J269=K269+2,201,250)))&amp;".1",""))</f>
        <v/>
      </c>
      <c r="F269" s="0" t="str">
        <f aca="false">IF(I269="","",IF(AND(J269&gt;=1,J269&lt;=K269+3),"10."&amp;INDEX(Eingabe!$D$9:$D$18,I269)&amp;"."&amp;IF(J269&lt;=K269,J269,IF(J269=K269+1,200,IF(J269=K269+2,201,250)))&amp;".10 – 10."&amp;INDEX(Eingabe!$D$9:$D$18,I269)&amp;"."&amp;IF(J269&lt;=K269,J269,IF(J269=K269+1,200,IF(J269=K269+2,201,250)))&amp;".250",""))</f>
        <v/>
      </c>
      <c r="G269" s="0" t="str">
        <f aca="false">IF(I269="","",IF(AND(J269&gt;=1,J269&lt;=K269),Eingabe!$B$6&amp;"-"&amp;INDEX(Eingabe!$C$9:$C$18,I269)&amp;"-Pächter  ·  Passwort Parzelle "&amp;J269,IF(J269=K269+1,Eingabe!$B$6&amp;"-"&amp;INDEX(Eingabe!$C$9:$C$18,I269)&amp;"-Vorstand  ·  eigenes WLAN",IF(J269=K269+2,Eingabe!$B$6&amp;"-"&amp;INDEX(Eingabe!$C$9:$C$18,I269)&amp;"-Gäste  ·  Voucher",IF(J269=K269+3,"Kabel  ·  Access Point y = .(50+y), Mast-Switch x = .(10+x)","")))))</f>
        <v/>
      </c>
      <c r="I269" s="7" t="n">
        <f aca="false">IF(264&lt;=(Eingabe!$P$18+Eingabe!$Q$18-1),MATCH(264,Eingabe!$P$9:$P$18,1),"")</f>
        <v>4</v>
      </c>
      <c r="J269" s="7" t="n">
        <f aca="false">IF(I269="","",264-INDEX(Eingabe!$P$9:$P$18,I269))</f>
        <v>57</v>
      </c>
      <c r="K269" s="7" t="n">
        <f aca="false">IF(I269="","",INDEX(Eingabe!$E$9:$E$18,I269))</f>
        <v>53</v>
      </c>
    </row>
    <row r="270" customFormat="false" ht="15" hidden="false" customHeight="false" outlineLevel="0" collapsed="false">
      <c r="A270" s="0" t="str">
        <f aca="false">IF(I270="","",IF(J270=0,"Sparte "&amp;I270&amp;": "&amp;INDEX(Eingabe!$B$9:$B$18,I270)&amp;"  (Sparten-ID "&amp;INDEX(Eingabe!$D$9:$D$18,I270)&amp;", "&amp;K270&amp;" Parzellen)",IF(J270&lt;=K270,"   Parzelle "&amp;J270,IF(J270=K270+1,"   Vorstand",IF(J270=K270+2,"   Gäste",IF(J270=K270+3,"   Technik (Switches, Access Points)",""))))))</f>
        <v/>
      </c>
      <c r="B270" s="0" t="str">
        <f aca="false">IF(I270="","",IF(AND(J270&gt;=1,J270&lt;=K270+3),IF(J270&lt;=K270,IF(J270&lt;=99,IF((INDEX(Eingabe!$G$9:$G$18,I270))&lt;=9,1000+(INDEX(Eingabe!$G$9:$G$18,I270))*100,3000)+J270,IF((INDEX(Eingabe!$G$9:$G$18,I270)+1)&lt;=9,1000+(INDEX(Eingabe!$G$9:$G$18,I270)+1)*100,3000)+J270-100),IF(J270=K270+1,2000+INDEX(Eingabe!$G$9:$G$18,I270)*10+1,IF(J270=K270+2,2000+INDEX(Eingabe!$G$9:$G$18,I270)*10+2,2000+INDEX(Eingabe!$G$9:$G$18,I270)*10+9))),""))</f>
        <v/>
      </c>
      <c r="C270" s="0" t="str">
        <f aca="false">IF(I270="","",IF(AND(J270&gt;=1,J270&lt;=K270+3),"10."&amp;INDEX(Eingabe!$D$9:$D$18,I270)&amp;"."&amp;IF(J270&lt;=K270,J270,IF(J270=K270+1,200,IF(J270=K270+2,201,250)))&amp;".0/24",""))</f>
        <v/>
      </c>
      <c r="D270" s="0" t="str">
        <f aca="false">IF(I270="","",IF(AND(J270&gt;=1,J270&lt;=K270+3),"255.255.255.0",""))</f>
        <v/>
      </c>
      <c r="E270" s="0" t="str">
        <f aca="false">IF(I270="","",IF(AND(J270&gt;=1,J270&lt;=K270+3),"10."&amp;INDEX(Eingabe!$D$9:$D$18,I270)&amp;"."&amp;IF(J270&lt;=K270,J270,IF(J270=K270+1,200,IF(J270=K270+2,201,250)))&amp;".1",""))</f>
        <v/>
      </c>
      <c r="F270" s="0" t="str">
        <f aca="false">IF(I270="","",IF(AND(J270&gt;=1,J270&lt;=K270+3),"10."&amp;INDEX(Eingabe!$D$9:$D$18,I270)&amp;"."&amp;IF(J270&lt;=K270,J270,IF(J270=K270+1,200,IF(J270=K270+2,201,250)))&amp;".10 – 10."&amp;INDEX(Eingabe!$D$9:$D$18,I270)&amp;"."&amp;IF(J270&lt;=K270,J270,IF(J270=K270+1,200,IF(J270=K270+2,201,250)))&amp;".250",""))</f>
        <v/>
      </c>
      <c r="G270" s="0" t="str">
        <f aca="false">IF(I270="","",IF(AND(J270&gt;=1,J270&lt;=K270),Eingabe!$B$6&amp;"-"&amp;INDEX(Eingabe!$C$9:$C$18,I270)&amp;"-Pächter  ·  Passwort Parzelle "&amp;J270,IF(J270=K270+1,Eingabe!$B$6&amp;"-"&amp;INDEX(Eingabe!$C$9:$C$18,I270)&amp;"-Vorstand  ·  eigenes WLAN",IF(J270=K270+2,Eingabe!$B$6&amp;"-"&amp;INDEX(Eingabe!$C$9:$C$18,I270)&amp;"-Gäste  ·  Voucher",IF(J270=K270+3,"Kabel  ·  Access Point y = .(50+y), Mast-Switch x = .(10+x)","")))))</f>
        <v/>
      </c>
      <c r="I270" s="0" t="str">
        <f aca="false">IF(265&lt;=(Eingabe!$P$18+Eingabe!$Q$18-1),MATCH(265,Eingabe!$P$9:$P$18,1),"")</f>
        <v/>
      </c>
      <c r="J270" s="0" t="str">
        <f aca="false">IF(I270="","",265-INDEX(Eingabe!$P$9:$P$18,I270))</f>
        <v/>
      </c>
      <c r="K270" s="0" t="str">
        <f aca="false">IF(I270="","",INDEX(Eingabe!$E$9:$E$18,I270))</f>
        <v/>
      </c>
    </row>
    <row r="271" customFormat="false" ht="15" hidden="false" customHeight="false" outlineLevel="0" collapsed="false">
      <c r="A271" s="0" t="str">
        <f aca="false">IF(I271="","",IF(J271=0,"Sparte "&amp;I271&amp;": "&amp;INDEX(Eingabe!$B$9:$B$18,I271)&amp;"  (Sparten-ID "&amp;INDEX(Eingabe!$D$9:$D$18,I271)&amp;", "&amp;K271&amp;" Parzellen)",IF(J271&lt;=K271,"   Parzelle "&amp;J271,IF(J271=K271+1,"   Vorstand",IF(J271=K271+2,"   Gäste",IF(J271=K271+3,"   Technik (Switches, Access Points)",""))))))</f>
        <v/>
      </c>
      <c r="B271" s="0" t="str">
        <f aca="false">IF(I271="","",IF(AND(J271&gt;=1,J271&lt;=K271+3),IF(J271&lt;=K271,IF(J271&lt;=99,IF((INDEX(Eingabe!$G$9:$G$18,I271))&lt;=9,1000+(INDEX(Eingabe!$G$9:$G$18,I271))*100,3000)+J271,IF((INDEX(Eingabe!$G$9:$G$18,I271)+1)&lt;=9,1000+(INDEX(Eingabe!$G$9:$G$18,I271)+1)*100,3000)+J271-100),IF(J271=K271+1,2000+INDEX(Eingabe!$G$9:$G$18,I271)*10+1,IF(J271=K271+2,2000+INDEX(Eingabe!$G$9:$G$18,I271)*10+2,2000+INDEX(Eingabe!$G$9:$G$18,I271)*10+9))),""))</f>
        <v/>
      </c>
      <c r="C271" s="0" t="str">
        <f aca="false">IF(I271="","",IF(AND(J271&gt;=1,J271&lt;=K271+3),"10."&amp;INDEX(Eingabe!$D$9:$D$18,I271)&amp;"."&amp;IF(J271&lt;=K271,J271,IF(J271=K271+1,200,IF(J271=K271+2,201,250)))&amp;".0/24",""))</f>
        <v/>
      </c>
      <c r="D271" s="0" t="str">
        <f aca="false">IF(I271="","",IF(AND(J271&gt;=1,J271&lt;=K271+3),"255.255.255.0",""))</f>
        <v/>
      </c>
      <c r="E271" s="0" t="str">
        <f aca="false">IF(I271="","",IF(AND(J271&gt;=1,J271&lt;=K271+3),"10."&amp;INDEX(Eingabe!$D$9:$D$18,I271)&amp;"."&amp;IF(J271&lt;=K271,J271,IF(J271=K271+1,200,IF(J271=K271+2,201,250)))&amp;".1",""))</f>
        <v/>
      </c>
      <c r="F271" s="0" t="str">
        <f aca="false">IF(I271="","",IF(AND(J271&gt;=1,J271&lt;=K271+3),"10."&amp;INDEX(Eingabe!$D$9:$D$18,I271)&amp;"."&amp;IF(J271&lt;=K271,J271,IF(J271=K271+1,200,IF(J271=K271+2,201,250)))&amp;".10 – 10."&amp;INDEX(Eingabe!$D$9:$D$18,I271)&amp;"."&amp;IF(J271&lt;=K271,J271,IF(J271=K271+1,200,IF(J271=K271+2,201,250)))&amp;".250",""))</f>
        <v/>
      </c>
      <c r="G271" s="0" t="str">
        <f aca="false">IF(I271="","",IF(AND(J271&gt;=1,J271&lt;=K271),Eingabe!$B$6&amp;"-"&amp;INDEX(Eingabe!$C$9:$C$18,I271)&amp;"-Pächter  ·  Passwort Parzelle "&amp;J271,IF(J271=K271+1,Eingabe!$B$6&amp;"-"&amp;INDEX(Eingabe!$C$9:$C$18,I271)&amp;"-Vorstand  ·  eigenes WLAN",IF(J271=K271+2,Eingabe!$B$6&amp;"-"&amp;INDEX(Eingabe!$C$9:$C$18,I271)&amp;"-Gäste  ·  Voucher",IF(J271=K271+3,"Kabel  ·  Access Point y = .(50+y), Mast-Switch x = .(10+x)","")))))</f>
        <v/>
      </c>
      <c r="I271" s="0" t="str">
        <f aca="false">IF(266&lt;=(Eingabe!$P$18+Eingabe!$Q$18-1),MATCH(266,Eingabe!$P$9:$P$18,1),"")</f>
        <v/>
      </c>
      <c r="J271" s="0" t="str">
        <f aca="false">IF(I271="","",266-INDEX(Eingabe!$P$9:$P$18,I271))</f>
        <v/>
      </c>
      <c r="K271" s="0" t="str">
        <f aca="false">IF(I271="","",INDEX(Eingabe!$E$9:$E$18,I271))</f>
        <v/>
      </c>
    </row>
    <row r="272" customFormat="false" ht="15" hidden="false" customHeight="false" outlineLevel="0" collapsed="false">
      <c r="A272" s="0" t="str">
        <f aca="false">IF(I272="","",IF(J272=0,"Sparte "&amp;I272&amp;": "&amp;INDEX(Eingabe!$B$9:$B$18,I272)&amp;"  (Sparten-ID "&amp;INDEX(Eingabe!$D$9:$D$18,I272)&amp;", "&amp;K272&amp;" Parzellen)",IF(J272&lt;=K272,"   Parzelle "&amp;J272,IF(J272=K272+1,"   Vorstand",IF(J272=K272+2,"   Gäste",IF(J272=K272+3,"   Technik (Switches, Access Points)",""))))))</f>
        <v/>
      </c>
      <c r="B272" s="0" t="str">
        <f aca="false">IF(I272="","",IF(AND(J272&gt;=1,J272&lt;=K272+3),IF(J272&lt;=K272,IF(J272&lt;=99,IF((INDEX(Eingabe!$G$9:$G$18,I272))&lt;=9,1000+(INDEX(Eingabe!$G$9:$G$18,I272))*100,3000)+J272,IF((INDEX(Eingabe!$G$9:$G$18,I272)+1)&lt;=9,1000+(INDEX(Eingabe!$G$9:$G$18,I272)+1)*100,3000)+J272-100),IF(J272=K272+1,2000+INDEX(Eingabe!$G$9:$G$18,I272)*10+1,IF(J272=K272+2,2000+INDEX(Eingabe!$G$9:$G$18,I272)*10+2,2000+INDEX(Eingabe!$G$9:$G$18,I272)*10+9))),""))</f>
        <v/>
      </c>
      <c r="C272" s="0" t="str">
        <f aca="false">IF(I272="","",IF(AND(J272&gt;=1,J272&lt;=K272+3),"10."&amp;INDEX(Eingabe!$D$9:$D$18,I272)&amp;"."&amp;IF(J272&lt;=K272,J272,IF(J272=K272+1,200,IF(J272=K272+2,201,250)))&amp;".0/24",""))</f>
        <v/>
      </c>
      <c r="D272" s="0" t="str">
        <f aca="false">IF(I272="","",IF(AND(J272&gt;=1,J272&lt;=K272+3),"255.255.255.0",""))</f>
        <v/>
      </c>
      <c r="E272" s="0" t="str">
        <f aca="false">IF(I272="","",IF(AND(J272&gt;=1,J272&lt;=K272+3),"10."&amp;INDEX(Eingabe!$D$9:$D$18,I272)&amp;"."&amp;IF(J272&lt;=K272,J272,IF(J272=K272+1,200,IF(J272=K272+2,201,250)))&amp;".1",""))</f>
        <v/>
      </c>
      <c r="F272" s="0" t="str">
        <f aca="false">IF(I272="","",IF(AND(J272&gt;=1,J272&lt;=K272+3),"10."&amp;INDEX(Eingabe!$D$9:$D$18,I272)&amp;"."&amp;IF(J272&lt;=K272,J272,IF(J272=K272+1,200,IF(J272=K272+2,201,250)))&amp;".10 – 10."&amp;INDEX(Eingabe!$D$9:$D$18,I272)&amp;"."&amp;IF(J272&lt;=K272,J272,IF(J272=K272+1,200,IF(J272=K272+2,201,250)))&amp;".250",""))</f>
        <v/>
      </c>
      <c r="G272" s="0" t="str">
        <f aca="false">IF(I272="","",IF(AND(J272&gt;=1,J272&lt;=K272),Eingabe!$B$6&amp;"-"&amp;INDEX(Eingabe!$C$9:$C$18,I272)&amp;"-Pächter  ·  Passwort Parzelle "&amp;J272,IF(J272=K272+1,Eingabe!$B$6&amp;"-"&amp;INDEX(Eingabe!$C$9:$C$18,I272)&amp;"-Vorstand  ·  eigenes WLAN",IF(J272=K272+2,Eingabe!$B$6&amp;"-"&amp;INDEX(Eingabe!$C$9:$C$18,I272)&amp;"-Gäste  ·  Voucher",IF(J272=K272+3,"Kabel  ·  Access Point y = .(50+y), Mast-Switch x = .(10+x)","")))))</f>
        <v/>
      </c>
      <c r="I272" s="0" t="str">
        <f aca="false">IF(267&lt;=(Eingabe!$P$18+Eingabe!$Q$18-1),MATCH(267,Eingabe!$P$9:$P$18,1),"")</f>
        <v/>
      </c>
      <c r="J272" s="0" t="str">
        <f aca="false">IF(I272="","",267-INDEX(Eingabe!$P$9:$P$18,I272))</f>
        <v/>
      </c>
      <c r="K272" s="0" t="str">
        <f aca="false">IF(I272="","",INDEX(Eingabe!$E$9:$E$18,I272))</f>
        <v/>
      </c>
    </row>
    <row r="273" customFormat="false" ht="15" hidden="false" customHeight="false" outlineLevel="0" collapsed="false">
      <c r="A273" s="0" t="str">
        <f aca="false">IF(I273="","",IF(J273=0,"Sparte "&amp;I273&amp;": "&amp;INDEX(Eingabe!$B$9:$B$18,I273)&amp;"  (Sparten-ID "&amp;INDEX(Eingabe!$D$9:$D$18,I273)&amp;", "&amp;K273&amp;" Parzellen)",IF(J273&lt;=K273,"   Parzelle "&amp;J273,IF(J273=K273+1,"   Vorstand",IF(J273=K273+2,"   Gäste",IF(J273=K273+3,"   Technik (Switches, Access Points)",""))))))</f>
        <v/>
      </c>
      <c r="B273" s="0" t="str">
        <f aca="false">IF(I273="","",IF(AND(J273&gt;=1,J273&lt;=K273+3),IF(J273&lt;=K273,IF(J273&lt;=99,IF((INDEX(Eingabe!$G$9:$G$18,I273))&lt;=9,1000+(INDEX(Eingabe!$G$9:$G$18,I273))*100,3000)+J273,IF((INDEX(Eingabe!$G$9:$G$18,I273)+1)&lt;=9,1000+(INDEX(Eingabe!$G$9:$G$18,I273)+1)*100,3000)+J273-100),IF(J273=K273+1,2000+INDEX(Eingabe!$G$9:$G$18,I273)*10+1,IF(J273=K273+2,2000+INDEX(Eingabe!$G$9:$G$18,I273)*10+2,2000+INDEX(Eingabe!$G$9:$G$18,I273)*10+9))),""))</f>
        <v/>
      </c>
      <c r="C273" s="0" t="str">
        <f aca="false">IF(I273="","",IF(AND(J273&gt;=1,J273&lt;=K273+3),"10."&amp;INDEX(Eingabe!$D$9:$D$18,I273)&amp;"."&amp;IF(J273&lt;=K273,J273,IF(J273=K273+1,200,IF(J273=K273+2,201,250)))&amp;".0/24",""))</f>
        <v/>
      </c>
      <c r="D273" s="0" t="str">
        <f aca="false">IF(I273="","",IF(AND(J273&gt;=1,J273&lt;=K273+3),"255.255.255.0",""))</f>
        <v/>
      </c>
      <c r="E273" s="0" t="str">
        <f aca="false">IF(I273="","",IF(AND(J273&gt;=1,J273&lt;=K273+3),"10."&amp;INDEX(Eingabe!$D$9:$D$18,I273)&amp;"."&amp;IF(J273&lt;=K273,J273,IF(J273=K273+1,200,IF(J273=K273+2,201,250)))&amp;".1",""))</f>
        <v/>
      </c>
      <c r="F273" s="0" t="str">
        <f aca="false">IF(I273="","",IF(AND(J273&gt;=1,J273&lt;=K273+3),"10."&amp;INDEX(Eingabe!$D$9:$D$18,I273)&amp;"."&amp;IF(J273&lt;=K273,J273,IF(J273=K273+1,200,IF(J273=K273+2,201,250)))&amp;".10 – 10."&amp;INDEX(Eingabe!$D$9:$D$18,I273)&amp;"."&amp;IF(J273&lt;=K273,J273,IF(J273=K273+1,200,IF(J273=K273+2,201,250)))&amp;".250",""))</f>
        <v/>
      </c>
      <c r="G273" s="0" t="str">
        <f aca="false">IF(I273="","",IF(AND(J273&gt;=1,J273&lt;=K273),Eingabe!$B$6&amp;"-"&amp;INDEX(Eingabe!$C$9:$C$18,I273)&amp;"-Pächter  ·  Passwort Parzelle "&amp;J273,IF(J273=K273+1,Eingabe!$B$6&amp;"-"&amp;INDEX(Eingabe!$C$9:$C$18,I273)&amp;"-Vorstand  ·  eigenes WLAN",IF(J273=K273+2,Eingabe!$B$6&amp;"-"&amp;INDEX(Eingabe!$C$9:$C$18,I273)&amp;"-Gäste  ·  Voucher",IF(J273=K273+3,"Kabel  ·  Access Point y = .(50+y), Mast-Switch x = .(10+x)","")))))</f>
        <v/>
      </c>
      <c r="I273" s="0" t="str">
        <f aca="false">IF(268&lt;=(Eingabe!$P$18+Eingabe!$Q$18-1),MATCH(268,Eingabe!$P$9:$P$18,1),"")</f>
        <v/>
      </c>
      <c r="J273" s="0" t="str">
        <f aca="false">IF(I273="","",268-INDEX(Eingabe!$P$9:$P$18,I273))</f>
        <v/>
      </c>
      <c r="K273" s="0" t="str">
        <f aca="false">IF(I273="","",INDEX(Eingabe!$E$9:$E$18,I273))</f>
        <v/>
      </c>
    </row>
    <row r="274" customFormat="false" ht="15" hidden="false" customHeight="false" outlineLevel="0" collapsed="false">
      <c r="A274" s="0" t="str">
        <f aca="false">IF(I274="","",IF(J274=0,"Sparte "&amp;I274&amp;": "&amp;INDEX(Eingabe!$B$9:$B$18,I274)&amp;"  (Sparten-ID "&amp;INDEX(Eingabe!$D$9:$D$18,I274)&amp;", "&amp;K274&amp;" Parzellen)",IF(J274&lt;=K274,"   Parzelle "&amp;J274,IF(J274=K274+1,"   Vorstand",IF(J274=K274+2,"   Gäste",IF(J274=K274+3,"   Technik (Switches, Access Points)",""))))))</f>
        <v/>
      </c>
      <c r="B274" s="0" t="str">
        <f aca="false">IF(I274="","",IF(AND(J274&gt;=1,J274&lt;=K274+3),IF(J274&lt;=K274,IF(J274&lt;=99,IF((INDEX(Eingabe!$G$9:$G$18,I274))&lt;=9,1000+(INDEX(Eingabe!$G$9:$G$18,I274))*100,3000)+J274,IF((INDEX(Eingabe!$G$9:$G$18,I274)+1)&lt;=9,1000+(INDEX(Eingabe!$G$9:$G$18,I274)+1)*100,3000)+J274-100),IF(J274=K274+1,2000+INDEX(Eingabe!$G$9:$G$18,I274)*10+1,IF(J274=K274+2,2000+INDEX(Eingabe!$G$9:$G$18,I274)*10+2,2000+INDEX(Eingabe!$G$9:$G$18,I274)*10+9))),""))</f>
        <v/>
      </c>
      <c r="C274" s="0" t="str">
        <f aca="false">IF(I274="","",IF(AND(J274&gt;=1,J274&lt;=K274+3),"10."&amp;INDEX(Eingabe!$D$9:$D$18,I274)&amp;"."&amp;IF(J274&lt;=K274,J274,IF(J274=K274+1,200,IF(J274=K274+2,201,250)))&amp;".0/24",""))</f>
        <v/>
      </c>
      <c r="D274" s="0" t="str">
        <f aca="false">IF(I274="","",IF(AND(J274&gt;=1,J274&lt;=K274+3),"255.255.255.0",""))</f>
        <v/>
      </c>
      <c r="E274" s="0" t="str">
        <f aca="false">IF(I274="","",IF(AND(J274&gt;=1,J274&lt;=K274+3),"10."&amp;INDEX(Eingabe!$D$9:$D$18,I274)&amp;"."&amp;IF(J274&lt;=K274,J274,IF(J274=K274+1,200,IF(J274=K274+2,201,250)))&amp;".1",""))</f>
        <v/>
      </c>
      <c r="F274" s="0" t="str">
        <f aca="false">IF(I274="","",IF(AND(J274&gt;=1,J274&lt;=K274+3),"10."&amp;INDEX(Eingabe!$D$9:$D$18,I274)&amp;"."&amp;IF(J274&lt;=K274,J274,IF(J274=K274+1,200,IF(J274=K274+2,201,250)))&amp;".10 – 10."&amp;INDEX(Eingabe!$D$9:$D$18,I274)&amp;"."&amp;IF(J274&lt;=K274,J274,IF(J274=K274+1,200,IF(J274=K274+2,201,250)))&amp;".250",""))</f>
        <v/>
      </c>
      <c r="G274" s="0" t="str">
        <f aca="false">IF(I274="","",IF(AND(J274&gt;=1,J274&lt;=K274),Eingabe!$B$6&amp;"-"&amp;INDEX(Eingabe!$C$9:$C$18,I274)&amp;"-Pächter  ·  Passwort Parzelle "&amp;J274,IF(J274=K274+1,Eingabe!$B$6&amp;"-"&amp;INDEX(Eingabe!$C$9:$C$18,I274)&amp;"-Vorstand  ·  eigenes WLAN",IF(J274=K274+2,Eingabe!$B$6&amp;"-"&amp;INDEX(Eingabe!$C$9:$C$18,I274)&amp;"-Gäste  ·  Voucher",IF(J274=K274+3,"Kabel  ·  Access Point y = .(50+y), Mast-Switch x = .(10+x)","")))))</f>
        <v/>
      </c>
      <c r="I274" s="0" t="str">
        <f aca="false">IF(269&lt;=(Eingabe!$P$18+Eingabe!$Q$18-1),MATCH(269,Eingabe!$P$9:$P$18,1),"")</f>
        <v/>
      </c>
      <c r="J274" s="0" t="str">
        <f aca="false">IF(I274="","",269-INDEX(Eingabe!$P$9:$P$18,I274))</f>
        <v/>
      </c>
      <c r="K274" s="0" t="str">
        <f aca="false">IF(I274="","",INDEX(Eingabe!$E$9:$E$18,I274))</f>
        <v/>
      </c>
    </row>
    <row r="275" customFormat="false" ht="15" hidden="false" customHeight="false" outlineLevel="0" collapsed="false">
      <c r="A275" s="0" t="str">
        <f aca="false">IF(I275="","",IF(J275=0,"Sparte "&amp;I275&amp;": "&amp;INDEX(Eingabe!$B$9:$B$18,I275)&amp;"  (Sparten-ID "&amp;INDEX(Eingabe!$D$9:$D$18,I275)&amp;", "&amp;K275&amp;" Parzellen)",IF(J275&lt;=K275,"   Parzelle "&amp;J275,IF(J275=K275+1,"   Vorstand",IF(J275=K275+2,"   Gäste",IF(J275=K275+3,"   Technik (Switches, Access Points)",""))))))</f>
        <v/>
      </c>
      <c r="B275" s="0" t="str">
        <f aca="false">IF(I275="","",IF(AND(J275&gt;=1,J275&lt;=K275+3),IF(J275&lt;=K275,IF(J275&lt;=99,IF((INDEX(Eingabe!$G$9:$G$18,I275))&lt;=9,1000+(INDEX(Eingabe!$G$9:$G$18,I275))*100,3000)+J275,IF((INDEX(Eingabe!$G$9:$G$18,I275)+1)&lt;=9,1000+(INDEX(Eingabe!$G$9:$G$18,I275)+1)*100,3000)+J275-100),IF(J275=K275+1,2000+INDEX(Eingabe!$G$9:$G$18,I275)*10+1,IF(J275=K275+2,2000+INDEX(Eingabe!$G$9:$G$18,I275)*10+2,2000+INDEX(Eingabe!$G$9:$G$18,I275)*10+9))),""))</f>
        <v/>
      </c>
      <c r="C275" s="0" t="str">
        <f aca="false">IF(I275="","",IF(AND(J275&gt;=1,J275&lt;=K275+3),"10."&amp;INDEX(Eingabe!$D$9:$D$18,I275)&amp;"."&amp;IF(J275&lt;=K275,J275,IF(J275=K275+1,200,IF(J275=K275+2,201,250)))&amp;".0/24",""))</f>
        <v/>
      </c>
      <c r="D275" s="0" t="str">
        <f aca="false">IF(I275="","",IF(AND(J275&gt;=1,J275&lt;=K275+3),"255.255.255.0",""))</f>
        <v/>
      </c>
      <c r="E275" s="0" t="str">
        <f aca="false">IF(I275="","",IF(AND(J275&gt;=1,J275&lt;=K275+3),"10."&amp;INDEX(Eingabe!$D$9:$D$18,I275)&amp;"."&amp;IF(J275&lt;=K275,J275,IF(J275=K275+1,200,IF(J275=K275+2,201,250)))&amp;".1",""))</f>
        <v/>
      </c>
      <c r="F275" s="0" t="str">
        <f aca="false">IF(I275="","",IF(AND(J275&gt;=1,J275&lt;=K275+3),"10."&amp;INDEX(Eingabe!$D$9:$D$18,I275)&amp;"."&amp;IF(J275&lt;=K275,J275,IF(J275=K275+1,200,IF(J275=K275+2,201,250)))&amp;".10 – 10."&amp;INDEX(Eingabe!$D$9:$D$18,I275)&amp;"."&amp;IF(J275&lt;=K275,J275,IF(J275=K275+1,200,IF(J275=K275+2,201,250)))&amp;".250",""))</f>
        <v/>
      </c>
      <c r="G275" s="0" t="str">
        <f aca="false">IF(I275="","",IF(AND(J275&gt;=1,J275&lt;=K275),Eingabe!$B$6&amp;"-"&amp;INDEX(Eingabe!$C$9:$C$18,I275)&amp;"-Pächter  ·  Passwort Parzelle "&amp;J275,IF(J275=K275+1,Eingabe!$B$6&amp;"-"&amp;INDEX(Eingabe!$C$9:$C$18,I275)&amp;"-Vorstand  ·  eigenes WLAN",IF(J275=K275+2,Eingabe!$B$6&amp;"-"&amp;INDEX(Eingabe!$C$9:$C$18,I275)&amp;"-Gäste  ·  Voucher",IF(J275=K275+3,"Kabel  ·  Access Point y = .(50+y), Mast-Switch x = .(10+x)","")))))</f>
        <v/>
      </c>
      <c r="I275" s="0" t="str">
        <f aca="false">IF(270&lt;=(Eingabe!$P$18+Eingabe!$Q$18-1),MATCH(270,Eingabe!$P$9:$P$18,1),"")</f>
        <v/>
      </c>
      <c r="J275" s="0" t="str">
        <f aca="false">IF(I275="","",270-INDEX(Eingabe!$P$9:$P$18,I275))</f>
        <v/>
      </c>
      <c r="K275" s="0" t="str">
        <f aca="false">IF(I275="","",INDEX(Eingabe!$E$9:$E$18,I275))</f>
        <v/>
      </c>
    </row>
    <row r="276" customFormat="false" ht="15" hidden="false" customHeight="false" outlineLevel="0" collapsed="false">
      <c r="A276" s="0" t="str">
        <f aca="false">IF(I276="","",IF(J276=0,"Sparte "&amp;I276&amp;": "&amp;INDEX(Eingabe!$B$9:$B$18,I276)&amp;"  (Sparten-ID "&amp;INDEX(Eingabe!$D$9:$D$18,I276)&amp;", "&amp;K276&amp;" Parzellen)",IF(J276&lt;=K276,"   Parzelle "&amp;J276,IF(J276=K276+1,"   Vorstand",IF(J276=K276+2,"   Gäste",IF(J276=K276+3,"   Technik (Switches, Access Points)",""))))))</f>
        <v/>
      </c>
      <c r="B276" s="0" t="str">
        <f aca="false">IF(I276="","",IF(AND(J276&gt;=1,J276&lt;=K276+3),IF(J276&lt;=K276,IF(J276&lt;=99,IF((INDEX(Eingabe!$G$9:$G$18,I276))&lt;=9,1000+(INDEX(Eingabe!$G$9:$G$18,I276))*100,3000)+J276,IF((INDEX(Eingabe!$G$9:$G$18,I276)+1)&lt;=9,1000+(INDEX(Eingabe!$G$9:$G$18,I276)+1)*100,3000)+J276-100),IF(J276=K276+1,2000+INDEX(Eingabe!$G$9:$G$18,I276)*10+1,IF(J276=K276+2,2000+INDEX(Eingabe!$G$9:$G$18,I276)*10+2,2000+INDEX(Eingabe!$G$9:$G$18,I276)*10+9))),""))</f>
        <v/>
      </c>
      <c r="C276" s="0" t="str">
        <f aca="false">IF(I276="","",IF(AND(J276&gt;=1,J276&lt;=K276+3),"10."&amp;INDEX(Eingabe!$D$9:$D$18,I276)&amp;"."&amp;IF(J276&lt;=K276,J276,IF(J276=K276+1,200,IF(J276=K276+2,201,250)))&amp;".0/24",""))</f>
        <v/>
      </c>
      <c r="D276" s="0" t="str">
        <f aca="false">IF(I276="","",IF(AND(J276&gt;=1,J276&lt;=K276+3),"255.255.255.0",""))</f>
        <v/>
      </c>
      <c r="E276" s="0" t="str">
        <f aca="false">IF(I276="","",IF(AND(J276&gt;=1,J276&lt;=K276+3),"10."&amp;INDEX(Eingabe!$D$9:$D$18,I276)&amp;"."&amp;IF(J276&lt;=K276,J276,IF(J276=K276+1,200,IF(J276=K276+2,201,250)))&amp;".1",""))</f>
        <v/>
      </c>
      <c r="F276" s="0" t="str">
        <f aca="false">IF(I276="","",IF(AND(J276&gt;=1,J276&lt;=K276+3),"10."&amp;INDEX(Eingabe!$D$9:$D$18,I276)&amp;"."&amp;IF(J276&lt;=K276,J276,IF(J276=K276+1,200,IF(J276=K276+2,201,250)))&amp;".10 – 10."&amp;INDEX(Eingabe!$D$9:$D$18,I276)&amp;"."&amp;IF(J276&lt;=K276,J276,IF(J276=K276+1,200,IF(J276=K276+2,201,250)))&amp;".250",""))</f>
        <v/>
      </c>
      <c r="G276" s="0" t="str">
        <f aca="false">IF(I276="","",IF(AND(J276&gt;=1,J276&lt;=K276),Eingabe!$B$6&amp;"-"&amp;INDEX(Eingabe!$C$9:$C$18,I276)&amp;"-Pächter  ·  Passwort Parzelle "&amp;J276,IF(J276=K276+1,Eingabe!$B$6&amp;"-"&amp;INDEX(Eingabe!$C$9:$C$18,I276)&amp;"-Vorstand  ·  eigenes WLAN",IF(J276=K276+2,Eingabe!$B$6&amp;"-"&amp;INDEX(Eingabe!$C$9:$C$18,I276)&amp;"-Gäste  ·  Voucher",IF(J276=K276+3,"Kabel  ·  Access Point y = .(50+y), Mast-Switch x = .(10+x)","")))))</f>
        <v/>
      </c>
      <c r="I276" s="0" t="str">
        <f aca="false">IF(271&lt;=(Eingabe!$P$18+Eingabe!$Q$18-1),MATCH(271,Eingabe!$P$9:$P$18,1),"")</f>
        <v/>
      </c>
      <c r="J276" s="0" t="str">
        <f aca="false">IF(I276="","",271-INDEX(Eingabe!$P$9:$P$18,I276))</f>
        <v/>
      </c>
      <c r="K276" s="0" t="str">
        <f aca="false">IF(I276="","",INDEX(Eingabe!$E$9:$E$18,I276))</f>
        <v/>
      </c>
    </row>
    <row r="277" customFormat="false" ht="15" hidden="false" customHeight="false" outlineLevel="0" collapsed="false">
      <c r="A277" s="0" t="str">
        <f aca="false">IF(I277="","",IF(J277=0,"Sparte "&amp;I277&amp;": "&amp;INDEX(Eingabe!$B$9:$B$18,I277)&amp;"  (Sparten-ID "&amp;INDEX(Eingabe!$D$9:$D$18,I277)&amp;", "&amp;K277&amp;" Parzellen)",IF(J277&lt;=K277,"   Parzelle "&amp;J277,IF(J277=K277+1,"   Vorstand",IF(J277=K277+2,"   Gäste",IF(J277=K277+3,"   Technik (Switches, Access Points)",""))))))</f>
        <v/>
      </c>
      <c r="B277" s="0" t="str">
        <f aca="false">IF(I277="","",IF(AND(J277&gt;=1,J277&lt;=K277+3),IF(J277&lt;=K277,IF(J277&lt;=99,IF((INDEX(Eingabe!$G$9:$G$18,I277))&lt;=9,1000+(INDEX(Eingabe!$G$9:$G$18,I277))*100,3000)+J277,IF((INDEX(Eingabe!$G$9:$G$18,I277)+1)&lt;=9,1000+(INDEX(Eingabe!$G$9:$G$18,I277)+1)*100,3000)+J277-100),IF(J277=K277+1,2000+INDEX(Eingabe!$G$9:$G$18,I277)*10+1,IF(J277=K277+2,2000+INDEX(Eingabe!$G$9:$G$18,I277)*10+2,2000+INDEX(Eingabe!$G$9:$G$18,I277)*10+9))),""))</f>
        <v/>
      </c>
      <c r="C277" s="0" t="str">
        <f aca="false">IF(I277="","",IF(AND(J277&gt;=1,J277&lt;=K277+3),"10."&amp;INDEX(Eingabe!$D$9:$D$18,I277)&amp;"."&amp;IF(J277&lt;=K277,J277,IF(J277=K277+1,200,IF(J277=K277+2,201,250)))&amp;".0/24",""))</f>
        <v/>
      </c>
      <c r="D277" s="0" t="str">
        <f aca="false">IF(I277="","",IF(AND(J277&gt;=1,J277&lt;=K277+3),"255.255.255.0",""))</f>
        <v/>
      </c>
      <c r="E277" s="0" t="str">
        <f aca="false">IF(I277="","",IF(AND(J277&gt;=1,J277&lt;=K277+3),"10."&amp;INDEX(Eingabe!$D$9:$D$18,I277)&amp;"."&amp;IF(J277&lt;=K277,J277,IF(J277=K277+1,200,IF(J277=K277+2,201,250)))&amp;".1",""))</f>
        <v/>
      </c>
      <c r="F277" s="0" t="str">
        <f aca="false">IF(I277="","",IF(AND(J277&gt;=1,J277&lt;=K277+3),"10."&amp;INDEX(Eingabe!$D$9:$D$18,I277)&amp;"."&amp;IF(J277&lt;=K277,J277,IF(J277=K277+1,200,IF(J277=K277+2,201,250)))&amp;".10 – 10."&amp;INDEX(Eingabe!$D$9:$D$18,I277)&amp;"."&amp;IF(J277&lt;=K277,J277,IF(J277=K277+1,200,IF(J277=K277+2,201,250)))&amp;".250",""))</f>
        <v/>
      </c>
      <c r="G277" s="0" t="str">
        <f aca="false">IF(I277="","",IF(AND(J277&gt;=1,J277&lt;=K277),Eingabe!$B$6&amp;"-"&amp;INDEX(Eingabe!$C$9:$C$18,I277)&amp;"-Pächter  ·  Passwort Parzelle "&amp;J277,IF(J277=K277+1,Eingabe!$B$6&amp;"-"&amp;INDEX(Eingabe!$C$9:$C$18,I277)&amp;"-Vorstand  ·  eigenes WLAN",IF(J277=K277+2,Eingabe!$B$6&amp;"-"&amp;INDEX(Eingabe!$C$9:$C$18,I277)&amp;"-Gäste  ·  Voucher",IF(J277=K277+3,"Kabel  ·  Access Point y = .(50+y), Mast-Switch x = .(10+x)","")))))</f>
        <v/>
      </c>
      <c r="I277" s="0" t="str">
        <f aca="false">IF(272&lt;=(Eingabe!$P$18+Eingabe!$Q$18-1),MATCH(272,Eingabe!$P$9:$P$18,1),"")</f>
        <v/>
      </c>
      <c r="J277" s="0" t="str">
        <f aca="false">IF(I277="","",272-INDEX(Eingabe!$P$9:$P$18,I277))</f>
        <v/>
      </c>
      <c r="K277" s="0" t="str">
        <f aca="false">IF(I277="","",INDEX(Eingabe!$E$9:$E$18,I277))</f>
        <v/>
      </c>
    </row>
    <row r="278" customFormat="false" ht="15" hidden="false" customHeight="false" outlineLevel="0" collapsed="false">
      <c r="A278" s="0" t="str">
        <f aca="false">IF(I278="","",IF(J278=0,"Sparte "&amp;I278&amp;": "&amp;INDEX(Eingabe!$B$9:$B$18,I278)&amp;"  (Sparten-ID "&amp;INDEX(Eingabe!$D$9:$D$18,I278)&amp;", "&amp;K278&amp;" Parzellen)",IF(J278&lt;=K278,"   Parzelle "&amp;J278,IF(J278=K278+1,"   Vorstand",IF(J278=K278+2,"   Gäste",IF(J278=K278+3,"   Technik (Switches, Access Points)",""))))))</f>
        <v/>
      </c>
      <c r="B278" s="0" t="str">
        <f aca="false">IF(I278="","",IF(AND(J278&gt;=1,J278&lt;=K278+3),IF(J278&lt;=K278,IF(J278&lt;=99,IF((INDEX(Eingabe!$G$9:$G$18,I278))&lt;=9,1000+(INDEX(Eingabe!$G$9:$G$18,I278))*100,3000)+J278,IF((INDEX(Eingabe!$G$9:$G$18,I278)+1)&lt;=9,1000+(INDEX(Eingabe!$G$9:$G$18,I278)+1)*100,3000)+J278-100),IF(J278=K278+1,2000+INDEX(Eingabe!$G$9:$G$18,I278)*10+1,IF(J278=K278+2,2000+INDEX(Eingabe!$G$9:$G$18,I278)*10+2,2000+INDEX(Eingabe!$G$9:$G$18,I278)*10+9))),""))</f>
        <v/>
      </c>
      <c r="C278" s="0" t="str">
        <f aca="false">IF(I278="","",IF(AND(J278&gt;=1,J278&lt;=K278+3),"10."&amp;INDEX(Eingabe!$D$9:$D$18,I278)&amp;"."&amp;IF(J278&lt;=K278,J278,IF(J278=K278+1,200,IF(J278=K278+2,201,250)))&amp;".0/24",""))</f>
        <v/>
      </c>
      <c r="D278" s="0" t="str">
        <f aca="false">IF(I278="","",IF(AND(J278&gt;=1,J278&lt;=K278+3),"255.255.255.0",""))</f>
        <v/>
      </c>
      <c r="E278" s="0" t="str">
        <f aca="false">IF(I278="","",IF(AND(J278&gt;=1,J278&lt;=K278+3),"10."&amp;INDEX(Eingabe!$D$9:$D$18,I278)&amp;"."&amp;IF(J278&lt;=K278,J278,IF(J278=K278+1,200,IF(J278=K278+2,201,250)))&amp;".1",""))</f>
        <v/>
      </c>
      <c r="F278" s="0" t="str">
        <f aca="false">IF(I278="","",IF(AND(J278&gt;=1,J278&lt;=K278+3),"10."&amp;INDEX(Eingabe!$D$9:$D$18,I278)&amp;"."&amp;IF(J278&lt;=K278,J278,IF(J278=K278+1,200,IF(J278=K278+2,201,250)))&amp;".10 – 10."&amp;INDEX(Eingabe!$D$9:$D$18,I278)&amp;"."&amp;IF(J278&lt;=K278,J278,IF(J278=K278+1,200,IF(J278=K278+2,201,250)))&amp;".250",""))</f>
        <v/>
      </c>
      <c r="G278" s="0" t="str">
        <f aca="false">IF(I278="","",IF(AND(J278&gt;=1,J278&lt;=K278),Eingabe!$B$6&amp;"-"&amp;INDEX(Eingabe!$C$9:$C$18,I278)&amp;"-Pächter  ·  Passwort Parzelle "&amp;J278,IF(J278=K278+1,Eingabe!$B$6&amp;"-"&amp;INDEX(Eingabe!$C$9:$C$18,I278)&amp;"-Vorstand  ·  eigenes WLAN",IF(J278=K278+2,Eingabe!$B$6&amp;"-"&amp;INDEX(Eingabe!$C$9:$C$18,I278)&amp;"-Gäste  ·  Voucher",IF(J278=K278+3,"Kabel  ·  Access Point y = .(50+y), Mast-Switch x = .(10+x)","")))))</f>
        <v/>
      </c>
      <c r="I278" s="0" t="str">
        <f aca="false">IF(273&lt;=(Eingabe!$P$18+Eingabe!$Q$18-1),MATCH(273,Eingabe!$P$9:$P$18,1),"")</f>
        <v/>
      </c>
      <c r="J278" s="0" t="str">
        <f aca="false">IF(I278="","",273-INDEX(Eingabe!$P$9:$P$18,I278))</f>
        <v/>
      </c>
      <c r="K278" s="0" t="str">
        <f aca="false">IF(I278="","",INDEX(Eingabe!$E$9:$E$18,I278))</f>
        <v/>
      </c>
    </row>
    <row r="279" customFormat="false" ht="15" hidden="false" customHeight="false" outlineLevel="0" collapsed="false">
      <c r="A279" s="0" t="str">
        <f aca="false">IF(I279="","",IF(J279=0,"Sparte "&amp;I279&amp;": "&amp;INDEX(Eingabe!$B$9:$B$18,I279)&amp;"  (Sparten-ID "&amp;INDEX(Eingabe!$D$9:$D$18,I279)&amp;", "&amp;K279&amp;" Parzellen)",IF(J279&lt;=K279,"   Parzelle "&amp;J279,IF(J279=K279+1,"   Vorstand",IF(J279=K279+2,"   Gäste",IF(J279=K279+3,"   Technik (Switches, Access Points)",""))))))</f>
        <v/>
      </c>
      <c r="B279" s="0" t="str">
        <f aca="false">IF(I279="","",IF(AND(J279&gt;=1,J279&lt;=K279+3),IF(J279&lt;=K279,IF(J279&lt;=99,IF((INDEX(Eingabe!$G$9:$G$18,I279))&lt;=9,1000+(INDEX(Eingabe!$G$9:$G$18,I279))*100,3000)+J279,IF((INDEX(Eingabe!$G$9:$G$18,I279)+1)&lt;=9,1000+(INDEX(Eingabe!$G$9:$G$18,I279)+1)*100,3000)+J279-100),IF(J279=K279+1,2000+INDEX(Eingabe!$G$9:$G$18,I279)*10+1,IF(J279=K279+2,2000+INDEX(Eingabe!$G$9:$G$18,I279)*10+2,2000+INDEX(Eingabe!$G$9:$G$18,I279)*10+9))),""))</f>
        <v/>
      </c>
      <c r="C279" s="0" t="str">
        <f aca="false">IF(I279="","",IF(AND(J279&gt;=1,J279&lt;=K279+3),"10."&amp;INDEX(Eingabe!$D$9:$D$18,I279)&amp;"."&amp;IF(J279&lt;=K279,J279,IF(J279=K279+1,200,IF(J279=K279+2,201,250)))&amp;".0/24",""))</f>
        <v/>
      </c>
      <c r="D279" s="0" t="str">
        <f aca="false">IF(I279="","",IF(AND(J279&gt;=1,J279&lt;=K279+3),"255.255.255.0",""))</f>
        <v/>
      </c>
      <c r="E279" s="0" t="str">
        <f aca="false">IF(I279="","",IF(AND(J279&gt;=1,J279&lt;=K279+3),"10."&amp;INDEX(Eingabe!$D$9:$D$18,I279)&amp;"."&amp;IF(J279&lt;=K279,J279,IF(J279=K279+1,200,IF(J279=K279+2,201,250)))&amp;".1",""))</f>
        <v/>
      </c>
      <c r="F279" s="0" t="str">
        <f aca="false">IF(I279="","",IF(AND(J279&gt;=1,J279&lt;=K279+3),"10."&amp;INDEX(Eingabe!$D$9:$D$18,I279)&amp;"."&amp;IF(J279&lt;=K279,J279,IF(J279=K279+1,200,IF(J279=K279+2,201,250)))&amp;".10 – 10."&amp;INDEX(Eingabe!$D$9:$D$18,I279)&amp;"."&amp;IF(J279&lt;=K279,J279,IF(J279=K279+1,200,IF(J279=K279+2,201,250)))&amp;".250",""))</f>
        <v/>
      </c>
      <c r="G279" s="0" t="str">
        <f aca="false">IF(I279="","",IF(AND(J279&gt;=1,J279&lt;=K279),Eingabe!$B$6&amp;"-"&amp;INDEX(Eingabe!$C$9:$C$18,I279)&amp;"-Pächter  ·  Passwort Parzelle "&amp;J279,IF(J279=K279+1,Eingabe!$B$6&amp;"-"&amp;INDEX(Eingabe!$C$9:$C$18,I279)&amp;"-Vorstand  ·  eigenes WLAN",IF(J279=K279+2,Eingabe!$B$6&amp;"-"&amp;INDEX(Eingabe!$C$9:$C$18,I279)&amp;"-Gäste  ·  Voucher",IF(J279=K279+3,"Kabel  ·  Access Point y = .(50+y), Mast-Switch x = .(10+x)","")))))</f>
        <v/>
      </c>
      <c r="I279" s="0" t="str">
        <f aca="false">IF(274&lt;=(Eingabe!$P$18+Eingabe!$Q$18-1),MATCH(274,Eingabe!$P$9:$P$18,1),"")</f>
        <v/>
      </c>
      <c r="J279" s="0" t="str">
        <f aca="false">IF(I279="","",274-INDEX(Eingabe!$P$9:$P$18,I279))</f>
        <v/>
      </c>
      <c r="K279" s="0" t="str">
        <f aca="false">IF(I279="","",INDEX(Eingabe!$E$9:$E$18,I279))</f>
        <v/>
      </c>
    </row>
    <row r="280" customFormat="false" ht="15" hidden="false" customHeight="false" outlineLevel="0" collapsed="false">
      <c r="A280" s="0" t="str">
        <f aca="false">IF(I280="","",IF(J280=0,"Sparte "&amp;I280&amp;": "&amp;INDEX(Eingabe!$B$9:$B$18,I280)&amp;"  (Sparten-ID "&amp;INDEX(Eingabe!$D$9:$D$18,I280)&amp;", "&amp;K280&amp;" Parzellen)",IF(J280&lt;=K280,"   Parzelle "&amp;J280,IF(J280=K280+1,"   Vorstand",IF(J280=K280+2,"   Gäste",IF(J280=K280+3,"   Technik (Switches, Access Points)",""))))))</f>
        <v/>
      </c>
      <c r="B280" s="0" t="str">
        <f aca="false">IF(I280="","",IF(AND(J280&gt;=1,J280&lt;=K280+3),IF(J280&lt;=K280,IF(J280&lt;=99,IF((INDEX(Eingabe!$G$9:$G$18,I280))&lt;=9,1000+(INDEX(Eingabe!$G$9:$G$18,I280))*100,3000)+J280,IF((INDEX(Eingabe!$G$9:$G$18,I280)+1)&lt;=9,1000+(INDEX(Eingabe!$G$9:$G$18,I280)+1)*100,3000)+J280-100),IF(J280=K280+1,2000+INDEX(Eingabe!$G$9:$G$18,I280)*10+1,IF(J280=K280+2,2000+INDEX(Eingabe!$G$9:$G$18,I280)*10+2,2000+INDEX(Eingabe!$G$9:$G$18,I280)*10+9))),""))</f>
        <v/>
      </c>
      <c r="C280" s="0" t="str">
        <f aca="false">IF(I280="","",IF(AND(J280&gt;=1,J280&lt;=K280+3),"10."&amp;INDEX(Eingabe!$D$9:$D$18,I280)&amp;"."&amp;IF(J280&lt;=K280,J280,IF(J280=K280+1,200,IF(J280=K280+2,201,250)))&amp;".0/24",""))</f>
        <v/>
      </c>
      <c r="D280" s="0" t="str">
        <f aca="false">IF(I280="","",IF(AND(J280&gt;=1,J280&lt;=K280+3),"255.255.255.0",""))</f>
        <v/>
      </c>
      <c r="E280" s="0" t="str">
        <f aca="false">IF(I280="","",IF(AND(J280&gt;=1,J280&lt;=K280+3),"10."&amp;INDEX(Eingabe!$D$9:$D$18,I280)&amp;"."&amp;IF(J280&lt;=K280,J280,IF(J280=K280+1,200,IF(J280=K280+2,201,250)))&amp;".1",""))</f>
        <v/>
      </c>
      <c r="F280" s="0" t="str">
        <f aca="false">IF(I280="","",IF(AND(J280&gt;=1,J280&lt;=K280+3),"10."&amp;INDEX(Eingabe!$D$9:$D$18,I280)&amp;"."&amp;IF(J280&lt;=K280,J280,IF(J280=K280+1,200,IF(J280=K280+2,201,250)))&amp;".10 – 10."&amp;INDEX(Eingabe!$D$9:$D$18,I280)&amp;"."&amp;IF(J280&lt;=K280,J280,IF(J280=K280+1,200,IF(J280=K280+2,201,250)))&amp;".250",""))</f>
        <v/>
      </c>
      <c r="G280" s="0" t="str">
        <f aca="false">IF(I280="","",IF(AND(J280&gt;=1,J280&lt;=K280),Eingabe!$B$6&amp;"-"&amp;INDEX(Eingabe!$C$9:$C$18,I280)&amp;"-Pächter  ·  Passwort Parzelle "&amp;J280,IF(J280=K280+1,Eingabe!$B$6&amp;"-"&amp;INDEX(Eingabe!$C$9:$C$18,I280)&amp;"-Vorstand  ·  eigenes WLAN",IF(J280=K280+2,Eingabe!$B$6&amp;"-"&amp;INDEX(Eingabe!$C$9:$C$18,I280)&amp;"-Gäste  ·  Voucher",IF(J280=K280+3,"Kabel  ·  Access Point y = .(50+y), Mast-Switch x = .(10+x)","")))))</f>
        <v/>
      </c>
      <c r="I280" s="0" t="str">
        <f aca="false">IF(275&lt;=(Eingabe!$P$18+Eingabe!$Q$18-1),MATCH(275,Eingabe!$P$9:$P$18,1),"")</f>
        <v/>
      </c>
      <c r="J280" s="0" t="str">
        <f aca="false">IF(I280="","",275-INDEX(Eingabe!$P$9:$P$18,I280))</f>
        <v/>
      </c>
      <c r="K280" s="0" t="str">
        <f aca="false">IF(I280="","",INDEX(Eingabe!$E$9:$E$18,I280))</f>
        <v/>
      </c>
    </row>
    <row r="281" customFormat="false" ht="15" hidden="false" customHeight="false" outlineLevel="0" collapsed="false">
      <c r="A281" s="0" t="str">
        <f aca="false">IF(I281="","",IF(J281=0,"Sparte "&amp;I281&amp;": "&amp;INDEX(Eingabe!$B$9:$B$18,I281)&amp;"  (Sparten-ID "&amp;INDEX(Eingabe!$D$9:$D$18,I281)&amp;", "&amp;K281&amp;" Parzellen)",IF(J281&lt;=K281,"   Parzelle "&amp;J281,IF(J281=K281+1,"   Vorstand",IF(J281=K281+2,"   Gäste",IF(J281=K281+3,"   Technik (Switches, Access Points)",""))))))</f>
        <v/>
      </c>
      <c r="B281" s="0" t="str">
        <f aca="false">IF(I281="","",IF(AND(J281&gt;=1,J281&lt;=K281+3),IF(J281&lt;=K281,IF(J281&lt;=99,IF((INDEX(Eingabe!$G$9:$G$18,I281))&lt;=9,1000+(INDEX(Eingabe!$G$9:$G$18,I281))*100,3000)+J281,IF((INDEX(Eingabe!$G$9:$G$18,I281)+1)&lt;=9,1000+(INDEX(Eingabe!$G$9:$G$18,I281)+1)*100,3000)+J281-100),IF(J281=K281+1,2000+INDEX(Eingabe!$G$9:$G$18,I281)*10+1,IF(J281=K281+2,2000+INDEX(Eingabe!$G$9:$G$18,I281)*10+2,2000+INDEX(Eingabe!$G$9:$G$18,I281)*10+9))),""))</f>
        <v/>
      </c>
      <c r="C281" s="0" t="str">
        <f aca="false">IF(I281="","",IF(AND(J281&gt;=1,J281&lt;=K281+3),"10."&amp;INDEX(Eingabe!$D$9:$D$18,I281)&amp;"."&amp;IF(J281&lt;=K281,J281,IF(J281=K281+1,200,IF(J281=K281+2,201,250)))&amp;".0/24",""))</f>
        <v/>
      </c>
      <c r="D281" s="0" t="str">
        <f aca="false">IF(I281="","",IF(AND(J281&gt;=1,J281&lt;=K281+3),"255.255.255.0",""))</f>
        <v/>
      </c>
      <c r="E281" s="0" t="str">
        <f aca="false">IF(I281="","",IF(AND(J281&gt;=1,J281&lt;=K281+3),"10."&amp;INDEX(Eingabe!$D$9:$D$18,I281)&amp;"."&amp;IF(J281&lt;=K281,J281,IF(J281=K281+1,200,IF(J281=K281+2,201,250)))&amp;".1",""))</f>
        <v/>
      </c>
      <c r="F281" s="0" t="str">
        <f aca="false">IF(I281="","",IF(AND(J281&gt;=1,J281&lt;=K281+3),"10."&amp;INDEX(Eingabe!$D$9:$D$18,I281)&amp;"."&amp;IF(J281&lt;=K281,J281,IF(J281=K281+1,200,IF(J281=K281+2,201,250)))&amp;".10 – 10."&amp;INDEX(Eingabe!$D$9:$D$18,I281)&amp;"."&amp;IF(J281&lt;=K281,J281,IF(J281=K281+1,200,IF(J281=K281+2,201,250)))&amp;".250",""))</f>
        <v/>
      </c>
      <c r="G281" s="0" t="str">
        <f aca="false">IF(I281="","",IF(AND(J281&gt;=1,J281&lt;=K281),Eingabe!$B$6&amp;"-"&amp;INDEX(Eingabe!$C$9:$C$18,I281)&amp;"-Pächter  ·  Passwort Parzelle "&amp;J281,IF(J281=K281+1,Eingabe!$B$6&amp;"-"&amp;INDEX(Eingabe!$C$9:$C$18,I281)&amp;"-Vorstand  ·  eigenes WLAN",IF(J281=K281+2,Eingabe!$B$6&amp;"-"&amp;INDEX(Eingabe!$C$9:$C$18,I281)&amp;"-Gäste  ·  Voucher",IF(J281=K281+3,"Kabel  ·  Access Point y = .(50+y), Mast-Switch x = .(10+x)","")))))</f>
        <v/>
      </c>
      <c r="I281" s="0" t="str">
        <f aca="false">IF(276&lt;=(Eingabe!$P$18+Eingabe!$Q$18-1),MATCH(276,Eingabe!$P$9:$P$18,1),"")</f>
        <v/>
      </c>
      <c r="J281" s="0" t="str">
        <f aca="false">IF(I281="","",276-INDEX(Eingabe!$P$9:$P$18,I281))</f>
        <v/>
      </c>
      <c r="K281" s="0" t="str">
        <f aca="false">IF(I281="","",INDEX(Eingabe!$E$9:$E$18,I281))</f>
        <v/>
      </c>
    </row>
    <row r="282" customFormat="false" ht="15" hidden="false" customHeight="false" outlineLevel="0" collapsed="false">
      <c r="A282" s="0" t="str">
        <f aca="false">IF(I282="","",IF(J282=0,"Sparte "&amp;I282&amp;": "&amp;INDEX(Eingabe!$B$9:$B$18,I282)&amp;"  (Sparten-ID "&amp;INDEX(Eingabe!$D$9:$D$18,I282)&amp;", "&amp;K282&amp;" Parzellen)",IF(J282&lt;=K282,"   Parzelle "&amp;J282,IF(J282=K282+1,"   Vorstand",IF(J282=K282+2,"   Gäste",IF(J282=K282+3,"   Technik (Switches, Access Points)",""))))))</f>
        <v/>
      </c>
      <c r="B282" s="0" t="str">
        <f aca="false">IF(I282="","",IF(AND(J282&gt;=1,J282&lt;=K282+3),IF(J282&lt;=K282,IF(J282&lt;=99,IF((INDEX(Eingabe!$G$9:$G$18,I282))&lt;=9,1000+(INDEX(Eingabe!$G$9:$G$18,I282))*100,3000)+J282,IF((INDEX(Eingabe!$G$9:$G$18,I282)+1)&lt;=9,1000+(INDEX(Eingabe!$G$9:$G$18,I282)+1)*100,3000)+J282-100),IF(J282=K282+1,2000+INDEX(Eingabe!$G$9:$G$18,I282)*10+1,IF(J282=K282+2,2000+INDEX(Eingabe!$G$9:$G$18,I282)*10+2,2000+INDEX(Eingabe!$G$9:$G$18,I282)*10+9))),""))</f>
        <v/>
      </c>
      <c r="C282" s="0" t="str">
        <f aca="false">IF(I282="","",IF(AND(J282&gt;=1,J282&lt;=K282+3),"10."&amp;INDEX(Eingabe!$D$9:$D$18,I282)&amp;"."&amp;IF(J282&lt;=K282,J282,IF(J282=K282+1,200,IF(J282=K282+2,201,250)))&amp;".0/24",""))</f>
        <v/>
      </c>
      <c r="D282" s="0" t="str">
        <f aca="false">IF(I282="","",IF(AND(J282&gt;=1,J282&lt;=K282+3),"255.255.255.0",""))</f>
        <v/>
      </c>
      <c r="E282" s="0" t="str">
        <f aca="false">IF(I282="","",IF(AND(J282&gt;=1,J282&lt;=K282+3),"10."&amp;INDEX(Eingabe!$D$9:$D$18,I282)&amp;"."&amp;IF(J282&lt;=K282,J282,IF(J282=K282+1,200,IF(J282=K282+2,201,250)))&amp;".1",""))</f>
        <v/>
      </c>
      <c r="F282" s="0" t="str">
        <f aca="false">IF(I282="","",IF(AND(J282&gt;=1,J282&lt;=K282+3),"10."&amp;INDEX(Eingabe!$D$9:$D$18,I282)&amp;"."&amp;IF(J282&lt;=K282,J282,IF(J282=K282+1,200,IF(J282=K282+2,201,250)))&amp;".10 – 10."&amp;INDEX(Eingabe!$D$9:$D$18,I282)&amp;"."&amp;IF(J282&lt;=K282,J282,IF(J282=K282+1,200,IF(J282=K282+2,201,250)))&amp;".250",""))</f>
        <v/>
      </c>
      <c r="G282" s="0" t="str">
        <f aca="false">IF(I282="","",IF(AND(J282&gt;=1,J282&lt;=K282),Eingabe!$B$6&amp;"-"&amp;INDEX(Eingabe!$C$9:$C$18,I282)&amp;"-Pächter  ·  Passwort Parzelle "&amp;J282,IF(J282=K282+1,Eingabe!$B$6&amp;"-"&amp;INDEX(Eingabe!$C$9:$C$18,I282)&amp;"-Vorstand  ·  eigenes WLAN",IF(J282=K282+2,Eingabe!$B$6&amp;"-"&amp;INDEX(Eingabe!$C$9:$C$18,I282)&amp;"-Gäste  ·  Voucher",IF(J282=K282+3,"Kabel  ·  Access Point y = .(50+y), Mast-Switch x = .(10+x)","")))))</f>
        <v/>
      </c>
      <c r="I282" s="0" t="str">
        <f aca="false">IF(277&lt;=(Eingabe!$P$18+Eingabe!$Q$18-1),MATCH(277,Eingabe!$P$9:$P$18,1),"")</f>
        <v/>
      </c>
      <c r="J282" s="0" t="str">
        <f aca="false">IF(I282="","",277-INDEX(Eingabe!$P$9:$P$18,I282))</f>
        <v/>
      </c>
      <c r="K282" s="0" t="str">
        <f aca="false">IF(I282="","",INDEX(Eingabe!$E$9:$E$18,I282))</f>
        <v/>
      </c>
    </row>
    <row r="283" customFormat="false" ht="15" hidden="false" customHeight="false" outlineLevel="0" collapsed="false">
      <c r="A283" s="0" t="str">
        <f aca="false">IF(I283="","",IF(J283=0,"Sparte "&amp;I283&amp;": "&amp;INDEX(Eingabe!$B$9:$B$18,I283)&amp;"  (Sparten-ID "&amp;INDEX(Eingabe!$D$9:$D$18,I283)&amp;", "&amp;K283&amp;" Parzellen)",IF(J283&lt;=K283,"   Parzelle "&amp;J283,IF(J283=K283+1,"   Vorstand",IF(J283=K283+2,"   Gäste",IF(J283=K283+3,"   Technik (Switches, Access Points)",""))))))</f>
        <v/>
      </c>
      <c r="B283" s="0" t="str">
        <f aca="false">IF(I283="","",IF(AND(J283&gt;=1,J283&lt;=K283+3),IF(J283&lt;=K283,IF(J283&lt;=99,IF((INDEX(Eingabe!$G$9:$G$18,I283))&lt;=9,1000+(INDEX(Eingabe!$G$9:$G$18,I283))*100,3000)+J283,IF((INDEX(Eingabe!$G$9:$G$18,I283)+1)&lt;=9,1000+(INDEX(Eingabe!$G$9:$G$18,I283)+1)*100,3000)+J283-100),IF(J283=K283+1,2000+INDEX(Eingabe!$G$9:$G$18,I283)*10+1,IF(J283=K283+2,2000+INDEX(Eingabe!$G$9:$G$18,I283)*10+2,2000+INDEX(Eingabe!$G$9:$G$18,I283)*10+9))),""))</f>
        <v/>
      </c>
      <c r="C283" s="0" t="str">
        <f aca="false">IF(I283="","",IF(AND(J283&gt;=1,J283&lt;=K283+3),"10."&amp;INDEX(Eingabe!$D$9:$D$18,I283)&amp;"."&amp;IF(J283&lt;=K283,J283,IF(J283=K283+1,200,IF(J283=K283+2,201,250)))&amp;".0/24",""))</f>
        <v/>
      </c>
      <c r="D283" s="0" t="str">
        <f aca="false">IF(I283="","",IF(AND(J283&gt;=1,J283&lt;=K283+3),"255.255.255.0",""))</f>
        <v/>
      </c>
      <c r="E283" s="0" t="str">
        <f aca="false">IF(I283="","",IF(AND(J283&gt;=1,J283&lt;=K283+3),"10."&amp;INDEX(Eingabe!$D$9:$D$18,I283)&amp;"."&amp;IF(J283&lt;=K283,J283,IF(J283=K283+1,200,IF(J283=K283+2,201,250)))&amp;".1",""))</f>
        <v/>
      </c>
      <c r="F283" s="0" t="str">
        <f aca="false">IF(I283="","",IF(AND(J283&gt;=1,J283&lt;=K283+3),"10."&amp;INDEX(Eingabe!$D$9:$D$18,I283)&amp;"."&amp;IF(J283&lt;=K283,J283,IF(J283=K283+1,200,IF(J283=K283+2,201,250)))&amp;".10 – 10."&amp;INDEX(Eingabe!$D$9:$D$18,I283)&amp;"."&amp;IF(J283&lt;=K283,J283,IF(J283=K283+1,200,IF(J283=K283+2,201,250)))&amp;".250",""))</f>
        <v/>
      </c>
      <c r="G283" s="0" t="str">
        <f aca="false">IF(I283="","",IF(AND(J283&gt;=1,J283&lt;=K283),Eingabe!$B$6&amp;"-"&amp;INDEX(Eingabe!$C$9:$C$18,I283)&amp;"-Pächter  ·  Passwort Parzelle "&amp;J283,IF(J283=K283+1,Eingabe!$B$6&amp;"-"&amp;INDEX(Eingabe!$C$9:$C$18,I283)&amp;"-Vorstand  ·  eigenes WLAN",IF(J283=K283+2,Eingabe!$B$6&amp;"-"&amp;INDEX(Eingabe!$C$9:$C$18,I283)&amp;"-Gäste  ·  Voucher",IF(J283=K283+3,"Kabel  ·  Access Point y = .(50+y), Mast-Switch x = .(10+x)","")))))</f>
        <v/>
      </c>
      <c r="I283" s="0" t="str">
        <f aca="false">IF(278&lt;=(Eingabe!$P$18+Eingabe!$Q$18-1),MATCH(278,Eingabe!$P$9:$P$18,1),"")</f>
        <v/>
      </c>
      <c r="J283" s="0" t="str">
        <f aca="false">IF(I283="","",278-INDEX(Eingabe!$P$9:$P$18,I283))</f>
        <v/>
      </c>
      <c r="K283" s="0" t="str">
        <f aca="false">IF(I283="","",INDEX(Eingabe!$E$9:$E$18,I283))</f>
        <v/>
      </c>
    </row>
    <row r="284" customFormat="false" ht="15" hidden="false" customHeight="false" outlineLevel="0" collapsed="false">
      <c r="A284" s="0" t="str">
        <f aca="false">IF(I284="","",IF(J284=0,"Sparte "&amp;I284&amp;": "&amp;INDEX(Eingabe!$B$9:$B$18,I284)&amp;"  (Sparten-ID "&amp;INDEX(Eingabe!$D$9:$D$18,I284)&amp;", "&amp;K284&amp;" Parzellen)",IF(J284&lt;=K284,"   Parzelle "&amp;J284,IF(J284=K284+1,"   Vorstand",IF(J284=K284+2,"   Gäste",IF(J284=K284+3,"   Technik (Switches, Access Points)",""))))))</f>
        <v/>
      </c>
      <c r="B284" s="0" t="str">
        <f aca="false">IF(I284="","",IF(AND(J284&gt;=1,J284&lt;=K284+3),IF(J284&lt;=K284,IF(J284&lt;=99,IF((INDEX(Eingabe!$G$9:$G$18,I284))&lt;=9,1000+(INDEX(Eingabe!$G$9:$G$18,I284))*100,3000)+J284,IF((INDEX(Eingabe!$G$9:$G$18,I284)+1)&lt;=9,1000+(INDEX(Eingabe!$G$9:$G$18,I284)+1)*100,3000)+J284-100),IF(J284=K284+1,2000+INDEX(Eingabe!$G$9:$G$18,I284)*10+1,IF(J284=K284+2,2000+INDEX(Eingabe!$G$9:$G$18,I284)*10+2,2000+INDEX(Eingabe!$G$9:$G$18,I284)*10+9))),""))</f>
        <v/>
      </c>
      <c r="C284" s="0" t="str">
        <f aca="false">IF(I284="","",IF(AND(J284&gt;=1,J284&lt;=K284+3),"10."&amp;INDEX(Eingabe!$D$9:$D$18,I284)&amp;"."&amp;IF(J284&lt;=K284,J284,IF(J284=K284+1,200,IF(J284=K284+2,201,250)))&amp;".0/24",""))</f>
        <v/>
      </c>
      <c r="D284" s="0" t="str">
        <f aca="false">IF(I284="","",IF(AND(J284&gt;=1,J284&lt;=K284+3),"255.255.255.0",""))</f>
        <v/>
      </c>
      <c r="E284" s="0" t="str">
        <f aca="false">IF(I284="","",IF(AND(J284&gt;=1,J284&lt;=K284+3),"10."&amp;INDEX(Eingabe!$D$9:$D$18,I284)&amp;"."&amp;IF(J284&lt;=K284,J284,IF(J284=K284+1,200,IF(J284=K284+2,201,250)))&amp;".1",""))</f>
        <v/>
      </c>
      <c r="F284" s="0" t="str">
        <f aca="false">IF(I284="","",IF(AND(J284&gt;=1,J284&lt;=K284+3),"10."&amp;INDEX(Eingabe!$D$9:$D$18,I284)&amp;"."&amp;IF(J284&lt;=K284,J284,IF(J284=K284+1,200,IF(J284=K284+2,201,250)))&amp;".10 – 10."&amp;INDEX(Eingabe!$D$9:$D$18,I284)&amp;"."&amp;IF(J284&lt;=K284,J284,IF(J284=K284+1,200,IF(J284=K284+2,201,250)))&amp;".250",""))</f>
        <v/>
      </c>
      <c r="G284" s="0" t="str">
        <f aca="false">IF(I284="","",IF(AND(J284&gt;=1,J284&lt;=K284),Eingabe!$B$6&amp;"-"&amp;INDEX(Eingabe!$C$9:$C$18,I284)&amp;"-Pächter  ·  Passwort Parzelle "&amp;J284,IF(J284=K284+1,Eingabe!$B$6&amp;"-"&amp;INDEX(Eingabe!$C$9:$C$18,I284)&amp;"-Vorstand  ·  eigenes WLAN",IF(J284=K284+2,Eingabe!$B$6&amp;"-"&amp;INDEX(Eingabe!$C$9:$C$18,I284)&amp;"-Gäste  ·  Voucher",IF(J284=K284+3,"Kabel  ·  Access Point y = .(50+y), Mast-Switch x = .(10+x)","")))))</f>
        <v/>
      </c>
      <c r="I284" s="0" t="str">
        <f aca="false">IF(279&lt;=(Eingabe!$P$18+Eingabe!$Q$18-1),MATCH(279,Eingabe!$P$9:$P$18,1),"")</f>
        <v/>
      </c>
      <c r="J284" s="0" t="str">
        <f aca="false">IF(I284="","",279-INDEX(Eingabe!$P$9:$P$18,I284))</f>
        <v/>
      </c>
      <c r="K284" s="0" t="str">
        <f aca="false">IF(I284="","",INDEX(Eingabe!$E$9:$E$18,I284))</f>
        <v/>
      </c>
    </row>
    <row r="285" customFormat="false" ht="15" hidden="false" customHeight="false" outlineLevel="0" collapsed="false">
      <c r="A285" s="0" t="str">
        <f aca="false">IF(I285="","",IF(J285=0,"Sparte "&amp;I285&amp;": "&amp;INDEX(Eingabe!$B$9:$B$18,I285)&amp;"  (Sparten-ID "&amp;INDEX(Eingabe!$D$9:$D$18,I285)&amp;", "&amp;K285&amp;" Parzellen)",IF(J285&lt;=K285,"   Parzelle "&amp;J285,IF(J285=K285+1,"   Vorstand",IF(J285=K285+2,"   Gäste",IF(J285=K285+3,"   Technik (Switches, Access Points)",""))))))</f>
        <v/>
      </c>
      <c r="B285" s="0" t="str">
        <f aca="false">IF(I285="","",IF(AND(J285&gt;=1,J285&lt;=K285+3),IF(J285&lt;=K285,IF(J285&lt;=99,IF((INDEX(Eingabe!$G$9:$G$18,I285))&lt;=9,1000+(INDEX(Eingabe!$G$9:$G$18,I285))*100,3000)+J285,IF((INDEX(Eingabe!$G$9:$G$18,I285)+1)&lt;=9,1000+(INDEX(Eingabe!$G$9:$G$18,I285)+1)*100,3000)+J285-100),IF(J285=K285+1,2000+INDEX(Eingabe!$G$9:$G$18,I285)*10+1,IF(J285=K285+2,2000+INDEX(Eingabe!$G$9:$G$18,I285)*10+2,2000+INDEX(Eingabe!$G$9:$G$18,I285)*10+9))),""))</f>
        <v/>
      </c>
      <c r="C285" s="0" t="str">
        <f aca="false">IF(I285="","",IF(AND(J285&gt;=1,J285&lt;=K285+3),"10."&amp;INDEX(Eingabe!$D$9:$D$18,I285)&amp;"."&amp;IF(J285&lt;=K285,J285,IF(J285=K285+1,200,IF(J285=K285+2,201,250)))&amp;".0/24",""))</f>
        <v/>
      </c>
      <c r="D285" s="0" t="str">
        <f aca="false">IF(I285="","",IF(AND(J285&gt;=1,J285&lt;=K285+3),"255.255.255.0",""))</f>
        <v/>
      </c>
      <c r="E285" s="0" t="str">
        <f aca="false">IF(I285="","",IF(AND(J285&gt;=1,J285&lt;=K285+3),"10."&amp;INDEX(Eingabe!$D$9:$D$18,I285)&amp;"."&amp;IF(J285&lt;=K285,J285,IF(J285=K285+1,200,IF(J285=K285+2,201,250)))&amp;".1",""))</f>
        <v/>
      </c>
      <c r="F285" s="0" t="str">
        <f aca="false">IF(I285="","",IF(AND(J285&gt;=1,J285&lt;=K285+3),"10."&amp;INDEX(Eingabe!$D$9:$D$18,I285)&amp;"."&amp;IF(J285&lt;=K285,J285,IF(J285=K285+1,200,IF(J285=K285+2,201,250)))&amp;".10 – 10."&amp;INDEX(Eingabe!$D$9:$D$18,I285)&amp;"."&amp;IF(J285&lt;=K285,J285,IF(J285=K285+1,200,IF(J285=K285+2,201,250)))&amp;".250",""))</f>
        <v/>
      </c>
      <c r="G285" s="0" t="str">
        <f aca="false">IF(I285="","",IF(AND(J285&gt;=1,J285&lt;=K285),Eingabe!$B$6&amp;"-"&amp;INDEX(Eingabe!$C$9:$C$18,I285)&amp;"-Pächter  ·  Passwort Parzelle "&amp;J285,IF(J285=K285+1,Eingabe!$B$6&amp;"-"&amp;INDEX(Eingabe!$C$9:$C$18,I285)&amp;"-Vorstand  ·  eigenes WLAN",IF(J285=K285+2,Eingabe!$B$6&amp;"-"&amp;INDEX(Eingabe!$C$9:$C$18,I285)&amp;"-Gäste  ·  Voucher",IF(J285=K285+3,"Kabel  ·  Access Point y = .(50+y), Mast-Switch x = .(10+x)","")))))</f>
        <v/>
      </c>
      <c r="I285" s="0" t="str">
        <f aca="false">IF(280&lt;=(Eingabe!$P$18+Eingabe!$Q$18-1),MATCH(280,Eingabe!$P$9:$P$18,1),"")</f>
        <v/>
      </c>
      <c r="J285" s="0" t="str">
        <f aca="false">IF(I285="","",280-INDEX(Eingabe!$P$9:$P$18,I285))</f>
        <v/>
      </c>
      <c r="K285" s="0" t="str">
        <f aca="false">IF(I285="","",INDEX(Eingabe!$E$9:$E$18,I285))</f>
        <v/>
      </c>
    </row>
    <row r="286" customFormat="false" ht="15" hidden="false" customHeight="false" outlineLevel="0" collapsed="false">
      <c r="A286" s="0" t="str">
        <f aca="false">IF(I286="","",IF(J286=0,"Sparte "&amp;I286&amp;": "&amp;INDEX(Eingabe!$B$9:$B$18,I286)&amp;"  (Sparten-ID "&amp;INDEX(Eingabe!$D$9:$D$18,I286)&amp;", "&amp;K286&amp;" Parzellen)",IF(J286&lt;=K286,"   Parzelle "&amp;J286,IF(J286=K286+1,"   Vorstand",IF(J286=K286+2,"   Gäste",IF(J286=K286+3,"   Technik (Switches, Access Points)",""))))))</f>
        <v/>
      </c>
      <c r="B286" s="0" t="str">
        <f aca="false">IF(I286="","",IF(AND(J286&gt;=1,J286&lt;=K286+3),IF(J286&lt;=K286,IF(J286&lt;=99,IF((INDEX(Eingabe!$G$9:$G$18,I286))&lt;=9,1000+(INDEX(Eingabe!$G$9:$G$18,I286))*100,3000)+J286,IF((INDEX(Eingabe!$G$9:$G$18,I286)+1)&lt;=9,1000+(INDEX(Eingabe!$G$9:$G$18,I286)+1)*100,3000)+J286-100),IF(J286=K286+1,2000+INDEX(Eingabe!$G$9:$G$18,I286)*10+1,IF(J286=K286+2,2000+INDEX(Eingabe!$G$9:$G$18,I286)*10+2,2000+INDEX(Eingabe!$G$9:$G$18,I286)*10+9))),""))</f>
        <v/>
      </c>
      <c r="C286" s="0" t="str">
        <f aca="false">IF(I286="","",IF(AND(J286&gt;=1,J286&lt;=K286+3),"10."&amp;INDEX(Eingabe!$D$9:$D$18,I286)&amp;"."&amp;IF(J286&lt;=K286,J286,IF(J286=K286+1,200,IF(J286=K286+2,201,250)))&amp;".0/24",""))</f>
        <v/>
      </c>
      <c r="D286" s="0" t="str">
        <f aca="false">IF(I286="","",IF(AND(J286&gt;=1,J286&lt;=K286+3),"255.255.255.0",""))</f>
        <v/>
      </c>
      <c r="E286" s="0" t="str">
        <f aca="false">IF(I286="","",IF(AND(J286&gt;=1,J286&lt;=K286+3),"10."&amp;INDEX(Eingabe!$D$9:$D$18,I286)&amp;"."&amp;IF(J286&lt;=K286,J286,IF(J286=K286+1,200,IF(J286=K286+2,201,250)))&amp;".1",""))</f>
        <v/>
      </c>
      <c r="F286" s="0" t="str">
        <f aca="false">IF(I286="","",IF(AND(J286&gt;=1,J286&lt;=K286+3),"10."&amp;INDEX(Eingabe!$D$9:$D$18,I286)&amp;"."&amp;IF(J286&lt;=K286,J286,IF(J286=K286+1,200,IF(J286=K286+2,201,250)))&amp;".10 – 10."&amp;INDEX(Eingabe!$D$9:$D$18,I286)&amp;"."&amp;IF(J286&lt;=K286,J286,IF(J286=K286+1,200,IF(J286=K286+2,201,250)))&amp;".250",""))</f>
        <v/>
      </c>
      <c r="G286" s="0" t="str">
        <f aca="false">IF(I286="","",IF(AND(J286&gt;=1,J286&lt;=K286),Eingabe!$B$6&amp;"-"&amp;INDEX(Eingabe!$C$9:$C$18,I286)&amp;"-Pächter  ·  Passwort Parzelle "&amp;J286,IF(J286=K286+1,Eingabe!$B$6&amp;"-"&amp;INDEX(Eingabe!$C$9:$C$18,I286)&amp;"-Vorstand  ·  eigenes WLAN",IF(J286=K286+2,Eingabe!$B$6&amp;"-"&amp;INDEX(Eingabe!$C$9:$C$18,I286)&amp;"-Gäste  ·  Voucher",IF(J286=K286+3,"Kabel  ·  Access Point y = .(50+y), Mast-Switch x = .(10+x)","")))))</f>
        <v/>
      </c>
      <c r="I286" s="0" t="str">
        <f aca="false">IF(281&lt;=(Eingabe!$P$18+Eingabe!$Q$18-1),MATCH(281,Eingabe!$P$9:$P$18,1),"")</f>
        <v/>
      </c>
      <c r="J286" s="0" t="str">
        <f aca="false">IF(I286="","",281-INDEX(Eingabe!$P$9:$P$18,I286))</f>
        <v/>
      </c>
      <c r="K286" s="0" t="str">
        <f aca="false">IF(I286="","",INDEX(Eingabe!$E$9:$E$18,I286))</f>
        <v/>
      </c>
    </row>
    <row r="287" customFormat="false" ht="15" hidden="false" customHeight="false" outlineLevel="0" collapsed="false">
      <c r="A287" s="0" t="str">
        <f aca="false">IF(I287="","",IF(J287=0,"Sparte "&amp;I287&amp;": "&amp;INDEX(Eingabe!$B$9:$B$18,I287)&amp;"  (Sparten-ID "&amp;INDEX(Eingabe!$D$9:$D$18,I287)&amp;", "&amp;K287&amp;" Parzellen)",IF(J287&lt;=K287,"   Parzelle "&amp;J287,IF(J287=K287+1,"   Vorstand",IF(J287=K287+2,"   Gäste",IF(J287=K287+3,"   Technik (Switches, Access Points)",""))))))</f>
        <v/>
      </c>
      <c r="B287" s="0" t="str">
        <f aca="false">IF(I287="","",IF(AND(J287&gt;=1,J287&lt;=K287+3),IF(J287&lt;=K287,IF(J287&lt;=99,IF((INDEX(Eingabe!$G$9:$G$18,I287))&lt;=9,1000+(INDEX(Eingabe!$G$9:$G$18,I287))*100,3000)+J287,IF((INDEX(Eingabe!$G$9:$G$18,I287)+1)&lt;=9,1000+(INDEX(Eingabe!$G$9:$G$18,I287)+1)*100,3000)+J287-100),IF(J287=K287+1,2000+INDEX(Eingabe!$G$9:$G$18,I287)*10+1,IF(J287=K287+2,2000+INDEX(Eingabe!$G$9:$G$18,I287)*10+2,2000+INDEX(Eingabe!$G$9:$G$18,I287)*10+9))),""))</f>
        <v/>
      </c>
      <c r="C287" s="0" t="str">
        <f aca="false">IF(I287="","",IF(AND(J287&gt;=1,J287&lt;=K287+3),"10."&amp;INDEX(Eingabe!$D$9:$D$18,I287)&amp;"."&amp;IF(J287&lt;=K287,J287,IF(J287=K287+1,200,IF(J287=K287+2,201,250)))&amp;".0/24",""))</f>
        <v/>
      </c>
      <c r="D287" s="0" t="str">
        <f aca="false">IF(I287="","",IF(AND(J287&gt;=1,J287&lt;=K287+3),"255.255.255.0",""))</f>
        <v/>
      </c>
      <c r="E287" s="0" t="str">
        <f aca="false">IF(I287="","",IF(AND(J287&gt;=1,J287&lt;=K287+3),"10."&amp;INDEX(Eingabe!$D$9:$D$18,I287)&amp;"."&amp;IF(J287&lt;=K287,J287,IF(J287=K287+1,200,IF(J287=K287+2,201,250)))&amp;".1",""))</f>
        <v/>
      </c>
      <c r="F287" s="0" t="str">
        <f aca="false">IF(I287="","",IF(AND(J287&gt;=1,J287&lt;=K287+3),"10."&amp;INDEX(Eingabe!$D$9:$D$18,I287)&amp;"."&amp;IF(J287&lt;=K287,J287,IF(J287=K287+1,200,IF(J287=K287+2,201,250)))&amp;".10 – 10."&amp;INDEX(Eingabe!$D$9:$D$18,I287)&amp;"."&amp;IF(J287&lt;=K287,J287,IF(J287=K287+1,200,IF(J287=K287+2,201,250)))&amp;".250",""))</f>
        <v/>
      </c>
      <c r="G287" s="0" t="str">
        <f aca="false">IF(I287="","",IF(AND(J287&gt;=1,J287&lt;=K287),Eingabe!$B$6&amp;"-"&amp;INDEX(Eingabe!$C$9:$C$18,I287)&amp;"-Pächter  ·  Passwort Parzelle "&amp;J287,IF(J287=K287+1,Eingabe!$B$6&amp;"-"&amp;INDEX(Eingabe!$C$9:$C$18,I287)&amp;"-Vorstand  ·  eigenes WLAN",IF(J287=K287+2,Eingabe!$B$6&amp;"-"&amp;INDEX(Eingabe!$C$9:$C$18,I287)&amp;"-Gäste  ·  Voucher",IF(J287=K287+3,"Kabel  ·  Access Point y = .(50+y), Mast-Switch x = .(10+x)","")))))</f>
        <v/>
      </c>
      <c r="I287" s="0" t="str">
        <f aca="false">IF(282&lt;=(Eingabe!$P$18+Eingabe!$Q$18-1),MATCH(282,Eingabe!$P$9:$P$18,1),"")</f>
        <v/>
      </c>
      <c r="J287" s="0" t="str">
        <f aca="false">IF(I287="","",282-INDEX(Eingabe!$P$9:$P$18,I287))</f>
        <v/>
      </c>
      <c r="K287" s="0" t="str">
        <f aca="false">IF(I287="","",INDEX(Eingabe!$E$9:$E$18,I287))</f>
        <v/>
      </c>
    </row>
    <row r="288" customFormat="false" ht="15" hidden="false" customHeight="false" outlineLevel="0" collapsed="false">
      <c r="A288" s="0" t="str">
        <f aca="false">IF(I288="","",IF(J288=0,"Sparte "&amp;I288&amp;": "&amp;INDEX(Eingabe!$B$9:$B$18,I288)&amp;"  (Sparten-ID "&amp;INDEX(Eingabe!$D$9:$D$18,I288)&amp;", "&amp;K288&amp;" Parzellen)",IF(J288&lt;=K288,"   Parzelle "&amp;J288,IF(J288=K288+1,"   Vorstand",IF(J288=K288+2,"   Gäste",IF(J288=K288+3,"   Technik (Switches, Access Points)",""))))))</f>
        <v/>
      </c>
      <c r="B288" s="0" t="str">
        <f aca="false">IF(I288="","",IF(AND(J288&gt;=1,J288&lt;=K288+3),IF(J288&lt;=K288,IF(J288&lt;=99,IF((INDEX(Eingabe!$G$9:$G$18,I288))&lt;=9,1000+(INDEX(Eingabe!$G$9:$G$18,I288))*100,3000)+J288,IF((INDEX(Eingabe!$G$9:$G$18,I288)+1)&lt;=9,1000+(INDEX(Eingabe!$G$9:$G$18,I288)+1)*100,3000)+J288-100),IF(J288=K288+1,2000+INDEX(Eingabe!$G$9:$G$18,I288)*10+1,IF(J288=K288+2,2000+INDEX(Eingabe!$G$9:$G$18,I288)*10+2,2000+INDEX(Eingabe!$G$9:$G$18,I288)*10+9))),""))</f>
        <v/>
      </c>
      <c r="C288" s="0" t="str">
        <f aca="false">IF(I288="","",IF(AND(J288&gt;=1,J288&lt;=K288+3),"10."&amp;INDEX(Eingabe!$D$9:$D$18,I288)&amp;"."&amp;IF(J288&lt;=K288,J288,IF(J288=K288+1,200,IF(J288=K288+2,201,250)))&amp;".0/24",""))</f>
        <v/>
      </c>
      <c r="D288" s="0" t="str">
        <f aca="false">IF(I288="","",IF(AND(J288&gt;=1,J288&lt;=K288+3),"255.255.255.0",""))</f>
        <v/>
      </c>
      <c r="E288" s="0" t="str">
        <f aca="false">IF(I288="","",IF(AND(J288&gt;=1,J288&lt;=K288+3),"10."&amp;INDEX(Eingabe!$D$9:$D$18,I288)&amp;"."&amp;IF(J288&lt;=K288,J288,IF(J288=K288+1,200,IF(J288=K288+2,201,250)))&amp;".1",""))</f>
        <v/>
      </c>
      <c r="F288" s="0" t="str">
        <f aca="false">IF(I288="","",IF(AND(J288&gt;=1,J288&lt;=K288+3),"10."&amp;INDEX(Eingabe!$D$9:$D$18,I288)&amp;"."&amp;IF(J288&lt;=K288,J288,IF(J288=K288+1,200,IF(J288=K288+2,201,250)))&amp;".10 – 10."&amp;INDEX(Eingabe!$D$9:$D$18,I288)&amp;"."&amp;IF(J288&lt;=K288,J288,IF(J288=K288+1,200,IF(J288=K288+2,201,250)))&amp;".250",""))</f>
        <v/>
      </c>
      <c r="G288" s="0" t="str">
        <f aca="false">IF(I288="","",IF(AND(J288&gt;=1,J288&lt;=K288),Eingabe!$B$6&amp;"-"&amp;INDEX(Eingabe!$C$9:$C$18,I288)&amp;"-Pächter  ·  Passwort Parzelle "&amp;J288,IF(J288=K288+1,Eingabe!$B$6&amp;"-"&amp;INDEX(Eingabe!$C$9:$C$18,I288)&amp;"-Vorstand  ·  eigenes WLAN",IF(J288=K288+2,Eingabe!$B$6&amp;"-"&amp;INDEX(Eingabe!$C$9:$C$18,I288)&amp;"-Gäste  ·  Voucher",IF(J288=K288+3,"Kabel  ·  Access Point y = .(50+y), Mast-Switch x = .(10+x)","")))))</f>
        <v/>
      </c>
      <c r="I288" s="0" t="str">
        <f aca="false">IF(283&lt;=(Eingabe!$P$18+Eingabe!$Q$18-1),MATCH(283,Eingabe!$P$9:$P$18,1),"")</f>
        <v/>
      </c>
      <c r="J288" s="0" t="str">
        <f aca="false">IF(I288="","",283-INDEX(Eingabe!$P$9:$P$18,I288))</f>
        <v/>
      </c>
      <c r="K288" s="0" t="str">
        <f aca="false">IF(I288="","",INDEX(Eingabe!$E$9:$E$18,I288))</f>
        <v/>
      </c>
    </row>
    <row r="289" customFormat="false" ht="15" hidden="false" customHeight="false" outlineLevel="0" collapsed="false">
      <c r="A289" s="0" t="str">
        <f aca="false">IF(I289="","",IF(J289=0,"Sparte "&amp;I289&amp;": "&amp;INDEX(Eingabe!$B$9:$B$18,I289)&amp;"  (Sparten-ID "&amp;INDEX(Eingabe!$D$9:$D$18,I289)&amp;", "&amp;K289&amp;" Parzellen)",IF(J289&lt;=K289,"   Parzelle "&amp;J289,IF(J289=K289+1,"   Vorstand",IF(J289=K289+2,"   Gäste",IF(J289=K289+3,"   Technik (Switches, Access Points)",""))))))</f>
        <v/>
      </c>
      <c r="B289" s="0" t="str">
        <f aca="false">IF(I289="","",IF(AND(J289&gt;=1,J289&lt;=K289+3),IF(J289&lt;=K289,IF(J289&lt;=99,IF((INDEX(Eingabe!$G$9:$G$18,I289))&lt;=9,1000+(INDEX(Eingabe!$G$9:$G$18,I289))*100,3000)+J289,IF((INDEX(Eingabe!$G$9:$G$18,I289)+1)&lt;=9,1000+(INDEX(Eingabe!$G$9:$G$18,I289)+1)*100,3000)+J289-100),IF(J289=K289+1,2000+INDEX(Eingabe!$G$9:$G$18,I289)*10+1,IF(J289=K289+2,2000+INDEX(Eingabe!$G$9:$G$18,I289)*10+2,2000+INDEX(Eingabe!$G$9:$G$18,I289)*10+9))),""))</f>
        <v/>
      </c>
      <c r="C289" s="0" t="str">
        <f aca="false">IF(I289="","",IF(AND(J289&gt;=1,J289&lt;=K289+3),"10."&amp;INDEX(Eingabe!$D$9:$D$18,I289)&amp;"."&amp;IF(J289&lt;=K289,J289,IF(J289=K289+1,200,IF(J289=K289+2,201,250)))&amp;".0/24",""))</f>
        <v/>
      </c>
      <c r="D289" s="0" t="str">
        <f aca="false">IF(I289="","",IF(AND(J289&gt;=1,J289&lt;=K289+3),"255.255.255.0",""))</f>
        <v/>
      </c>
      <c r="E289" s="0" t="str">
        <f aca="false">IF(I289="","",IF(AND(J289&gt;=1,J289&lt;=K289+3),"10."&amp;INDEX(Eingabe!$D$9:$D$18,I289)&amp;"."&amp;IF(J289&lt;=K289,J289,IF(J289=K289+1,200,IF(J289=K289+2,201,250)))&amp;".1",""))</f>
        <v/>
      </c>
      <c r="F289" s="0" t="str">
        <f aca="false">IF(I289="","",IF(AND(J289&gt;=1,J289&lt;=K289+3),"10."&amp;INDEX(Eingabe!$D$9:$D$18,I289)&amp;"."&amp;IF(J289&lt;=K289,J289,IF(J289=K289+1,200,IF(J289=K289+2,201,250)))&amp;".10 – 10."&amp;INDEX(Eingabe!$D$9:$D$18,I289)&amp;"."&amp;IF(J289&lt;=K289,J289,IF(J289=K289+1,200,IF(J289=K289+2,201,250)))&amp;".250",""))</f>
        <v/>
      </c>
      <c r="G289" s="0" t="str">
        <f aca="false">IF(I289="","",IF(AND(J289&gt;=1,J289&lt;=K289),Eingabe!$B$6&amp;"-"&amp;INDEX(Eingabe!$C$9:$C$18,I289)&amp;"-Pächter  ·  Passwort Parzelle "&amp;J289,IF(J289=K289+1,Eingabe!$B$6&amp;"-"&amp;INDEX(Eingabe!$C$9:$C$18,I289)&amp;"-Vorstand  ·  eigenes WLAN",IF(J289=K289+2,Eingabe!$B$6&amp;"-"&amp;INDEX(Eingabe!$C$9:$C$18,I289)&amp;"-Gäste  ·  Voucher",IF(J289=K289+3,"Kabel  ·  Access Point y = .(50+y), Mast-Switch x = .(10+x)","")))))</f>
        <v/>
      </c>
      <c r="I289" s="0" t="str">
        <f aca="false">IF(284&lt;=(Eingabe!$P$18+Eingabe!$Q$18-1),MATCH(284,Eingabe!$P$9:$P$18,1),"")</f>
        <v/>
      </c>
      <c r="J289" s="0" t="str">
        <f aca="false">IF(I289="","",284-INDEX(Eingabe!$P$9:$P$18,I289))</f>
        <v/>
      </c>
      <c r="K289" s="0" t="str">
        <f aca="false">IF(I289="","",INDEX(Eingabe!$E$9:$E$18,I289))</f>
        <v/>
      </c>
    </row>
    <row r="290" customFormat="false" ht="15" hidden="false" customHeight="false" outlineLevel="0" collapsed="false">
      <c r="A290" s="0" t="str">
        <f aca="false">IF(I290="","",IF(J290=0,"Sparte "&amp;I290&amp;": "&amp;INDEX(Eingabe!$B$9:$B$18,I290)&amp;"  (Sparten-ID "&amp;INDEX(Eingabe!$D$9:$D$18,I290)&amp;", "&amp;K290&amp;" Parzellen)",IF(J290&lt;=K290,"   Parzelle "&amp;J290,IF(J290=K290+1,"   Vorstand",IF(J290=K290+2,"   Gäste",IF(J290=K290+3,"   Technik (Switches, Access Points)",""))))))</f>
        <v/>
      </c>
      <c r="B290" s="0" t="str">
        <f aca="false">IF(I290="","",IF(AND(J290&gt;=1,J290&lt;=K290+3),IF(J290&lt;=K290,IF(J290&lt;=99,IF((INDEX(Eingabe!$G$9:$G$18,I290))&lt;=9,1000+(INDEX(Eingabe!$G$9:$G$18,I290))*100,3000)+J290,IF((INDEX(Eingabe!$G$9:$G$18,I290)+1)&lt;=9,1000+(INDEX(Eingabe!$G$9:$G$18,I290)+1)*100,3000)+J290-100),IF(J290=K290+1,2000+INDEX(Eingabe!$G$9:$G$18,I290)*10+1,IF(J290=K290+2,2000+INDEX(Eingabe!$G$9:$G$18,I290)*10+2,2000+INDEX(Eingabe!$G$9:$G$18,I290)*10+9))),""))</f>
        <v/>
      </c>
      <c r="C290" s="0" t="str">
        <f aca="false">IF(I290="","",IF(AND(J290&gt;=1,J290&lt;=K290+3),"10."&amp;INDEX(Eingabe!$D$9:$D$18,I290)&amp;"."&amp;IF(J290&lt;=K290,J290,IF(J290=K290+1,200,IF(J290=K290+2,201,250)))&amp;".0/24",""))</f>
        <v/>
      </c>
      <c r="D290" s="0" t="str">
        <f aca="false">IF(I290="","",IF(AND(J290&gt;=1,J290&lt;=K290+3),"255.255.255.0",""))</f>
        <v/>
      </c>
      <c r="E290" s="0" t="str">
        <f aca="false">IF(I290="","",IF(AND(J290&gt;=1,J290&lt;=K290+3),"10."&amp;INDEX(Eingabe!$D$9:$D$18,I290)&amp;"."&amp;IF(J290&lt;=K290,J290,IF(J290=K290+1,200,IF(J290=K290+2,201,250)))&amp;".1",""))</f>
        <v/>
      </c>
      <c r="F290" s="0" t="str">
        <f aca="false">IF(I290="","",IF(AND(J290&gt;=1,J290&lt;=K290+3),"10."&amp;INDEX(Eingabe!$D$9:$D$18,I290)&amp;"."&amp;IF(J290&lt;=K290,J290,IF(J290=K290+1,200,IF(J290=K290+2,201,250)))&amp;".10 – 10."&amp;INDEX(Eingabe!$D$9:$D$18,I290)&amp;"."&amp;IF(J290&lt;=K290,J290,IF(J290=K290+1,200,IF(J290=K290+2,201,250)))&amp;".250",""))</f>
        <v/>
      </c>
      <c r="G290" s="0" t="str">
        <f aca="false">IF(I290="","",IF(AND(J290&gt;=1,J290&lt;=K290),Eingabe!$B$6&amp;"-"&amp;INDEX(Eingabe!$C$9:$C$18,I290)&amp;"-Pächter  ·  Passwort Parzelle "&amp;J290,IF(J290=K290+1,Eingabe!$B$6&amp;"-"&amp;INDEX(Eingabe!$C$9:$C$18,I290)&amp;"-Vorstand  ·  eigenes WLAN",IF(J290=K290+2,Eingabe!$B$6&amp;"-"&amp;INDEX(Eingabe!$C$9:$C$18,I290)&amp;"-Gäste  ·  Voucher",IF(J290=K290+3,"Kabel  ·  Access Point y = .(50+y), Mast-Switch x = .(10+x)","")))))</f>
        <v/>
      </c>
      <c r="I290" s="0" t="str">
        <f aca="false">IF(285&lt;=(Eingabe!$P$18+Eingabe!$Q$18-1),MATCH(285,Eingabe!$P$9:$P$18,1),"")</f>
        <v/>
      </c>
      <c r="J290" s="0" t="str">
        <f aca="false">IF(I290="","",285-INDEX(Eingabe!$P$9:$P$18,I290))</f>
        <v/>
      </c>
      <c r="K290" s="0" t="str">
        <f aca="false">IF(I290="","",INDEX(Eingabe!$E$9:$E$18,I290))</f>
        <v/>
      </c>
    </row>
    <row r="291" customFormat="false" ht="15" hidden="false" customHeight="false" outlineLevel="0" collapsed="false">
      <c r="A291" s="0" t="str">
        <f aca="false">IF(I291="","",IF(J291=0,"Sparte "&amp;I291&amp;": "&amp;INDEX(Eingabe!$B$9:$B$18,I291)&amp;"  (Sparten-ID "&amp;INDEX(Eingabe!$D$9:$D$18,I291)&amp;", "&amp;K291&amp;" Parzellen)",IF(J291&lt;=K291,"   Parzelle "&amp;J291,IF(J291=K291+1,"   Vorstand",IF(J291=K291+2,"   Gäste",IF(J291=K291+3,"   Technik (Switches, Access Points)",""))))))</f>
        <v/>
      </c>
      <c r="B291" s="0" t="str">
        <f aca="false">IF(I291="","",IF(AND(J291&gt;=1,J291&lt;=K291+3),IF(J291&lt;=K291,IF(J291&lt;=99,IF((INDEX(Eingabe!$G$9:$G$18,I291))&lt;=9,1000+(INDEX(Eingabe!$G$9:$G$18,I291))*100,3000)+J291,IF((INDEX(Eingabe!$G$9:$G$18,I291)+1)&lt;=9,1000+(INDEX(Eingabe!$G$9:$G$18,I291)+1)*100,3000)+J291-100),IF(J291=K291+1,2000+INDEX(Eingabe!$G$9:$G$18,I291)*10+1,IF(J291=K291+2,2000+INDEX(Eingabe!$G$9:$G$18,I291)*10+2,2000+INDEX(Eingabe!$G$9:$G$18,I291)*10+9))),""))</f>
        <v/>
      </c>
      <c r="C291" s="0" t="str">
        <f aca="false">IF(I291="","",IF(AND(J291&gt;=1,J291&lt;=K291+3),"10."&amp;INDEX(Eingabe!$D$9:$D$18,I291)&amp;"."&amp;IF(J291&lt;=K291,J291,IF(J291=K291+1,200,IF(J291=K291+2,201,250)))&amp;".0/24",""))</f>
        <v/>
      </c>
      <c r="D291" s="0" t="str">
        <f aca="false">IF(I291="","",IF(AND(J291&gt;=1,J291&lt;=K291+3),"255.255.255.0",""))</f>
        <v/>
      </c>
      <c r="E291" s="0" t="str">
        <f aca="false">IF(I291="","",IF(AND(J291&gt;=1,J291&lt;=K291+3),"10."&amp;INDEX(Eingabe!$D$9:$D$18,I291)&amp;"."&amp;IF(J291&lt;=K291,J291,IF(J291=K291+1,200,IF(J291=K291+2,201,250)))&amp;".1",""))</f>
        <v/>
      </c>
      <c r="F291" s="0" t="str">
        <f aca="false">IF(I291="","",IF(AND(J291&gt;=1,J291&lt;=K291+3),"10."&amp;INDEX(Eingabe!$D$9:$D$18,I291)&amp;"."&amp;IF(J291&lt;=K291,J291,IF(J291=K291+1,200,IF(J291=K291+2,201,250)))&amp;".10 – 10."&amp;INDEX(Eingabe!$D$9:$D$18,I291)&amp;"."&amp;IF(J291&lt;=K291,J291,IF(J291=K291+1,200,IF(J291=K291+2,201,250)))&amp;".250",""))</f>
        <v/>
      </c>
      <c r="G291" s="0" t="str">
        <f aca="false">IF(I291="","",IF(AND(J291&gt;=1,J291&lt;=K291),Eingabe!$B$6&amp;"-"&amp;INDEX(Eingabe!$C$9:$C$18,I291)&amp;"-Pächter  ·  Passwort Parzelle "&amp;J291,IF(J291=K291+1,Eingabe!$B$6&amp;"-"&amp;INDEX(Eingabe!$C$9:$C$18,I291)&amp;"-Vorstand  ·  eigenes WLAN",IF(J291=K291+2,Eingabe!$B$6&amp;"-"&amp;INDEX(Eingabe!$C$9:$C$18,I291)&amp;"-Gäste  ·  Voucher",IF(J291=K291+3,"Kabel  ·  Access Point y = .(50+y), Mast-Switch x = .(10+x)","")))))</f>
        <v/>
      </c>
      <c r="I291" s="0" t="str">
        <f aca="false">IF(286&lt;=(Eingabe!$P$18+Eingabe!$Q$18-1),MATCH(286,Eingabe!$P$9:$P$18,1),"")</f>
        <v/>
      </c>
      <c r="J291" s="0" t="str">
        <f aca="false">IF(I291="","",286-INDEX(Eingabe!$P$9:$P$18,I291))</f>
        <v/>
      </c>
      <c r="K291" s="0" t="str">
        <f aca="false">IF(I291="","",INDEX(Eingabe!$E$9:$E$18,I291))</f>
        <v/>
      </c>
    </row>
    <row r="292" customFormat="false" ht="15" hidden="false" customHeight="false" outlineLevel="0" collapsed="false">
      <c r="A292" s="0" t="str">
        <f aca="false">IF(I292="","",IF(J292=0,"Sparte "&amp;I292&amp;": "&amp;INDEX(Eingabe!$B$9:$B$18,I292)&amp;"  (Sparten-ID "&amp;INDEX(Eingabe!$D$9:$D$18,I292)&amp;", "&amp;K292&amp;" Parzellen)",IF(J292&lt;=K292,"   Parzelle "&amp;J292,IF(J292=K292+1,"   Vorstand",IF(J292=K292+2,"   Gäste",IF(J292=K292+3,"   Technik (Switches, Access Points)",""))))))</f>
        <v/>
      </c>
      <c r="B292" s="0" t="str">
        <f aca="false">IF(I292="","",IF(AND(J292&gt;=1,J292&lt;=K292+3),IF(J292&lt;=K292,IF(J292&lt;=99,IF((INDEX(Eingabe!$G$9:$G$18,I292))&lt;=9,1000+(INDEX(Eingabe!$G$9:$G$18,I292))*100,3000)+J292,IF((INDEX(Eingabe!$G$9:$G$18,I292)+1)&lt;=9,1000+(INDEX(Eingabe!$G$9:$G$18,I292)+1)*100,3000)+J292-100),IF(J292=K292+1,2000+INDEX(Eingabe!$G$9:$G$18,I292)*10+1,IF(J292=K292+2,2000+INDEX(Eingabe!$G$9:$G$18,I292)*10+2,2000+INDEX(Eingabe!$G$9:$G$18,I292)*10+9))),""))</f>
        <v/>
      </c>
      <c r="C292" s="0" t="str">
        <f aca="false">IF(I292="","",IF(AND(J292&gt;=1,J292&lt;=K292+3),"10."&amp;INDEX(Eingabe!$D$9:$D$18,I292)&amp;"."&amp;IF(J292&lt;=K292,J292,IF(J292=K292+1,200,IF(J292=K292+2,201,250)))&amp;".0/24",""))</f>
        <v/>
      </c>
      <c r="D292" s="0" t="str">
        <f aca="false">IF(I292="","",IF(AND(J292&gt;=1,J292&lt;=K292+3),"255.255.255.0",""))</f>
        <v/>
      </c>
      <c r="E292" s="0" t="str">
        <f aca="false">IF(I292="","",IF(AND(J292&gt;=1,J292&lt;=K292+3),"10."&amp;INDEX(Eingabe!$D$9:$D$18,I292)&amp;"."&amp;IF(J292&lt;=K292,J292,IF(J292=K292+1,200,IF(J292=K292+2,201,250)))&amp;".1",""))</f>
        <v/>
      </c>
      <c r="F292" s="0" t="str">
        <f aca="false">IF(I292="","",IF(AND(J292&gt;=1,J292&lt;=K292+3),"10."&amp;INDEX(Eingabe!$D$9:$D$18,I292)&amp;"."&amp;IF(J292&lt;=K292,J292,IF(J292=K292+1,200,IF(J292=K292+2,201,250)))&amp;".10 – 10."&amp;INDEX(Eingabe!$D$9:$D$18,I292)&amp;"."&amp;IF(J292&lt;=K292,J292,IF(J292=K292+1,200,IF(J292=K292+2,201,250)))&amp;".250",""))</f>
        <v/>
      </c>
      <c r="G292" s="0" t="str">
        <f aca="false">IF(I292="","",IF(AND(J292&gt;=1,J292&lt;=K292),Eingabe!$B$6&amp;"-"&amp;INDEX(Eingabe!$C$9:$C$18,I292)&amp;"-Pächter  ·  Passwort Parzelle "&amp;J292,IF(J292=K292+1,Eingabe!$B$6&amp;"-"&amp;INDEX(Eingabe!$C$9:$C$18,I292)&amp;"-Vorstand  ·  eigenes WLAN",IF(J292=K292+2,Eingabe!$B$6&amp;"-"&amp;INDEX(Eingabe!$C$9:$C$18,I292)&amp;"-Gäste  ·  Voucher",IF(J292=K292+3,"Kabel  ·  Access Point y = .(50+y), Mast-Switch x = .(10+x)","")))))</f>
        <v/>
      </c>
      <c r="I292" s="0" t="str">
        <f aca="false">IF(287&lt;=(Eingabe!$P$18+Eingabe!$Q$18-1),MATCH(287,Eingabe!$P$9:$P$18,1),"")</f>
        <v/>
      </c>
      <c r="J292" s="0" t="str">
        <f aca="false">IF(I292="","",287-INDEX(Eingabe!$P$9:$P$18,I292))</f>
        <v/>
      </c>
      <c r="K292" s="0" t="str">
        <f aca="false">IF(I292="","",INDEX(Eingabe!$E$9:$E$18,I292))</f>
        <v/>
      </c>
    </row>
    <row r="293" customFormat="false" ht="15" hidden="false" customHeight="false" outlineLevel="0" collapsed="false">
      <c r="A293" s="0" t="str">
        <f aca="false">IF(I293="","",IF(J293=0,"Sparte "&amp;I293&amp;": "&amp;INDEX(Eingabe!$B$9:$B$18,I293)&amp;"  (Sparten-ID "&amp;INDEX(Eingabe!$D$9:$D$18,I293)&amp;", "&amp;K293&amp;" Parzellen)",IF(J293&lt;=K293,"   Parzelle "&amp;J293,IF(J293=K293+1,"   Vorstand",IF(J293=K293+2,"   Gäste",IF(J293=K293+3,"   Technik (Switches, Access Points)",""))))))</f>
        <v/>
      </c>
      <c r="B293" s="0" t="str">
        <f aca="false">IF(I293="","",IF(AND(J293&gt;=1,J293&lt;=K293+3),IF(J293&lt;=K293,IF(J293&lt;=99,IF((INDEX(Eingabe!$G$9:$G$18,I293))&lt;=9,1000+(INDEX(Eingabe!$G$9:$G$18,I293))*100,3000)+J293,IF((INDEX(Eingabe!$G$9:$G$18,I293)+1)&lt;=9,1000+(INDEX(Eingabe!$G$9:$G$18,I293)+1)*100,3000)+J293-100),IF(J293=K293+1,2000+INDEX(Eingabe!$G$9:$G$18,I293)*10+1,IF(J293=K293+2,2000+INDEX(Eingabe!$G$9:$G$18,I293)*10+2,2000+INDEX(Eingabe!$G$9:$G$18,I293)*10+9))),""))</f>
        <v/>
      </c>
      <c r="C293" s="0" t="str">
        <f aca="false">IF(I293="","",IF(AND(J293&gt;=1,J293&lt;=K293+3),"10."&amp;INDEX(Eingabe!$D$9:$D$18,I293)&amp;"."&amp;IF(J293&lt;=K293,J293,IF(J293=K293+1,200,IF(J293=K293+2,201,250)))&amp;".0/24",""))</f>
        <v/>
      </c>
      <c r="D293" s="0" t="str">
        <f aca="false">IF(I293="","",IF(AND(J293&gt;=1,J293&lt;=K293+3),"255.255.255.0",""))</f>
        <v/>
      </c>
      <c r="E293" s="0" t="str">
        <f aca="false">IF(I293="","",IF(AND(J293&gt;=1,J293&lt;=K293+3),"10."&amp;INDEX(Eingabe!$D$9:$D$18,I293)&amp;"."&amp;IF(J293&lt;=K293,J293,IF(J293=K293+1,200,IF(J293=K293+2,201,250)))&amp;".1",""))</f>
        <v/>
      </c>
      <c r="F293" s="0" t="str">
        <f aca="false">IF(I293="","",IF(AND(J293&gt;=1,J293&lt;=K293+3),"10."&amp;INDEX(Eingabe!$D$9:$D$18,I293)&amp;"."&amp;IF(J293&lt;=K293,J293,IF(J293=K293+1,200,IF(J293=K293+2,201,250)))&amp;".10 – 10."&amp;INDEX(Eingabe!$D$9:$D$18,I293)&amp;"."&amp;IF(J293&lt;=K293,J293,IF(J293=K293+1,200,IF(J293=K293+2,201,250)))&amp;".250",""))</f>
        <v/>
      </c>
      <c r="G293" s="0" t="str">
        <f aca="false">IF(I293="","",IF(AND(J293&gt;=1,J293&lt;=K293),Eingabe!$B$6&amp;"-"&amp;INDEX(Eingabe!$C$9:$C$18,I293)&amp;"-Pächter  ·  Passwort Parzelle "&amp;J293,IF(J293=K293+1,Eingabe!$B$6&amp;"-"&amp;INDEX(Eingabe!$C$9:$C$18,I293)&amp;"-Vorstand  ·  eigenes WLAN",IF(J293=K293+2,Eingabe!$B$6&amp;"-"&amp;INDEX(Eingabe!$C$9:$C$18,I293)&amp;"-Gäste  ·  Voucher",IF(J293=K293+3,"Kabel  ·  Access Point y = .(50+y), Mast-Switch x = .(10+x)","")))))</f>
        <v/>
      </c>
      <c r="I293" s="0" t="str">
        <f aca="false">IF(288&lt;=(Eingabe!$P$18+Eingabe!$Q$18-1),MATCH(288,Eingabe!$P$9:$P$18,1),"")</f>
        <v/>
      </c>
      <c r="J293" s="0" t="str">
        <f aca="false">IF(I293="","",288-INDEX(Eingabe!$P$9:$P$18,I293))</f>
        <v/>
      </c>
      <c r="K293" s="0" t="str">
        <f aca="false">IF(I293="","",INDEX(Eingabe!$E$9:$E$18,I293))</f>
        <v/>
      </c>
    </row>
    <row r="294" customFormat="false" ht="15" hidden="false" customHeight="false" outlineLevel="0" collapsed="false">
      <c r="A294" s="0" t="str">
        <f aca="false">IF(I294="","",IF(J294=0,"Sparte "&amp;I294&amp;": "&amp;INDEX(Eingabe!$B$9:$B$18,I294)&amp;"  (Sparten-ID "&amp;INDEX(Eingabe!$D$9:$D$18,I294)&amp;", "&amp;K294&amp;" Parzellen)",IF(J294&lt;=K294,"   Parzelle "&amp;J294,IF(J294=K294+1,"   Vorstand",IF(J294=K294+2,"   Gäste",IF(J294=K294+3,"   Technik (Switches, Access Points)",""))))))</f>
        <v/>
      </c>
      <c r="B294" s="0" t="str">
        <f aca="false">IF(I294="","",IF(AND(J294&gt;=1,J294&lt;=K294+3),IF(J294&lt;=K294,IF(J294&lt;=99,IF((INDEX(Eingabe!$G$9:$G$18,I294))&lt;=9,1000+(INDEX(Eingabe!$G$9:$G$18,I294))*100,3000)+J294,IF((INDEX(Eingabe!$G$9:$G$18,I294)+1)&lt;=9,1000+(INDEX(Eingabe!$G$9:$G$18,I294)+1)*100,3000)+J294-100),IF(J294=K294+1,2000+INDEX(Eingabe!$G$9:$G$18,I294)*10+1,IF(J294=K294+2,2000+INDEX(Eingabe!$G$9:$G$18,I294)*10+2,2000+INDEX(Eingabe!$G$9:$G$18,I294)*10+9))),""))</f>
        <v/>
      </c>
      <c r="C294" s="0" t="str">
        <f aca="false">IF(I294="","",IF(AND(J294&gt;=1,J294&lt;=K294+3),"10."&amp;INDEX(Eingabe!$D$9:$D$18,I294)&amp;"."&amp;IF(J294&lt;=K294,J294,IF(J294=K294+1,200,IF(J294=K294+2,201,250)))&amp;".0/24",""))</f>
        <v/>
      </c>
      <c r="D294" s="0" t="str">
        <f aca="false">IF(I294="","",IF(AND(J294&gt;=1,J294&lt;=K294+3),"255.255.255.0",""))</f>
        <v/>
      </c>
      <c r="E294" s="0" t="str">
        <f aca="false">IF(I294="","",IF(AND(J294&gt;=1,J294&lt;=K294+3),"10."&amp;INDEX(Eingabe!$D$9:$D$18,I294)&amp;"."&amp;IF(J294&lt;=K294,J294,IF(J294=K294+1,200,IF(J294=K294+2,201,250)))&amp;".1",""))</f>
        <v/>
      </c>
      <c r="F294" s="0" t="str">
        <f aca="false">IF(I294="","",IF(AND(J294&gt;=1,J294&lt;=K294+3),"10."&amp;INDEX(Eingabe!$D$9:$D$18,I294)&amp;"."&amp;IF(J294&lt;=K294,J294,IF(J294=K294+1,200,IF(J294=K294+2,201,250)))&amp;".10 – 10."&amp;INDEX(Eingabe!$D$9:$D$18,I294)&amp;"."&amp;IF(J294&lt;=K294,J294,IF(J294=K294+1,200,IF(J294=K294+2,201,250)))&amp;".250",""))</f>
        <v/>
      </c>
      <c r="G294" s="0" t="str">
        <f aca="false">IF(I294="","",IF(AND(J294&gt;=1,J294&lt;=K294),Eingabe!$B$6&amp;"-"&amp;INDEX(Eingabe!$C$9:$C$18,I294)&amp;"-Pächter  ·  Passwort Parzelle "&amp;J294,IF(J294=K294+1,Eingabe!$B$6&amp;"-"&amp;INDEX(Eingabe!$C$9:$C$18,I294)&amp;"-Vorstand  ·  eigenes WLAN",IF(J294=K294+2,Eingabe!$B$6&amp;"-"&amp;INDEX(Eingabe!$C$9:$C$18,I294)&amp;"-Gäste  ·  Voucher",IF(J294=K294+3,"Kabel  ·  Access Point y = .(50+y), Mast-Switch x = .(10+x)","")))))</f>
        <v/>
      </c>
      <c r="I294" s="0" t="str">
        <f aca="false">IF(289&lt;=(Eingabe!$P$18+Eingabe!$Q$18-1),MATCH(289,Eingabe!$P$9:$P$18,1),"")</f>
        <v/>
      </c>
      <c r="J294" s="0" t="str">
        <f aca="false">IF(I294="","",289-INDEX(Eingabe!$P$9:$P$18,I294))</f>
        <v/>
      </c>
      <c r="K294" s="0" t="str">
        <f aca="false">IF(I294="","",INDEX(Eingabe!$E$9:$E$18,I294))</f>
        <v/>
      </c>
    </row>
    <row r="295" customFormat="false" ht="15" hidden="false" customHeight="false" outlineLevel="0" collapsed="false">
      <c r="A295" s="0" t="str">
        <f aca="false">IF(I295="","",IF(J295=0,"Sparte "&amp;I295&amp;": "&amp;INDEX(Eingabe!$B$9:$B$18,I295)&amp;"  (Sparten-ID "&amp;INDEX(Eingabe!$D$9:$D$18,I295)&amp;", "&amp;K295&amp;" Parzellen)",IF(J295&lt;=K295,"   Parzelle "&amp;J295,IF(J295=K295+1,"   Vorstand",IF(J295=K295+2,"   Gäste",IF(J295=K295+3,"   Technik (Switches, Access Points)",""))))))</f>
        <v/>
      </c>
      <c r="B295" s="0" t="str">
        <f aca="false">IF(I295="","",IF(AND(J295&gt;=1,J295&lt;=K295+3),IF(J295&lt;=K295,IF(J295&lt;=99,IF((INDEX(Eingabe!$G$9:$G$18,I295))&lt;=9,1000+(INDEX(Eingabe!$G$9:$G$18,I295))*100,3000)+J295,IF((INDEX(Eingabe!$G$9:$G$18,I295)+1)&lt;=9,1000+(INDEX(Eingabe!$G$9:$G$18,I295)+1)*100,3000)+J295-100),IF(J295=K295+1,2000+INDEX(Eingabe!$G$9:$G$18,I295)*10+1,IF(J295=K295+2,2000+INDEX(Eingabe!$G$9:$G$18,I295)*10+2,2000+INDEX(Eingabe!$G$9:$G$18,I295)*10+9))),""))</f>
        <v/>
      </c>
      <c r="C295" s="0" t="str">
        <f aca="false">IF(I295="","",IF(AND(J295&gt;=1,J295&lt;=K295+3),"10."&amp;INDEX(Eingabe!$D$9:$D$18,I295)&amp;"."&amp;IF(J295&lt;=K295,J295,IF(J295=K295+1,200,IF(J295=K295+2,201,250)))&amp;".0/24",""))</f>
        <v/>
      </c>
      <c r="D295" s="0" t="str">
        <f aca="false">IF(I295="","",IF(AND(J295&gt;=1,J295&lt;=K295+3),"255.255.255.0",""))</f>
        <v/>
      </c>
      <c r="E295" s="0" t="str">
        <f aca="false">IF(I295="","",IF(AND(J295&gt;=1,J295&lt;=K295+3),"10."&amp;INDEX(Eingabe!$D$9:$D$18,I295)&amp;"."&amp;IF(J295&lt;=K295,J295,IF(J295=K295+1,200,IF(J295=K295+2,201,250)))&amp;".1",""))</f>
        <v/>
      </c>
      <c r="F295" s="0" t="str">
        <f aca="false">IF(I295="","",IF(AND(J295&gt;=1,J295&lt;=K295+3),"10."&amp;INDEX(Eingabe!$D$9:$D$18,I295)&amp;"."&amp;IF(J295&lt;=K295,J295,IF(J295=K295+1,200,IF(J295=K295+2,201,250)))&amp;".10 – 10."&amp;INDEX(Eingabe!$D$9:$D$18,I295)&amp;"."&amp;IF(J295&lt;=K295,J295,IF(J295=K295+1,200,IF(J295=K295+2,201,250)))&amp;".250",""))</f>
        <v/>
      </c>
      <c r="G295" s="0" t="str">
        <f aca="false">IF(I295="","",IF(AND(J295&gt;=1,J295&lt;=K295),Eingabe!$B$6&amp;"-"&amp;INDEX(Eingabe!$C$9:$C$18,I295)&amp;"-Pächter  ·  Passwort Parzelle "&amp;J295,IF(J295=K295+1,Eingabe!$B$6&amp;"-"&amp;INDEX(Eingabe!$C$9:$C$18,I295)&amp;"-Vorstand  ·  eigenes WLAN",IF(J295=K295+2,Eingabe!$B$6&amp;"-"&amp;INDEX(Eingabe!$C$9:$C$18,I295)&amp;"-Gäste  ·  Voucher",IF(J295=K295+3,"Kabel  ·  Access Point y = .(50+y), Mast-Switch x = .(10+x)","")))))</f>
        <v/>
      </c>
      <c r="I295" s="0" t="str">
        <f aca="false">IF(290&lt;=(Eingabe!$P$18+Eingabe!$Q$18-1),MATCH(290,Eingabe!$P$9:$P$18,1),"")</f>
        <v/>
      </c>
      <c r="J295" s="0" t="str">
        <f aca="false">IF(I295="","",290-INDEX(Eingabe!$P$9:$P$18,I295))</f>
        <v/>
      </c>
      <c r="K295" s="0" t="str">
        <f aca="false">IF(I295="","",INDEX(Eingabe!$E$9:$E$18,I295))</f>
        <v/>
      </c>
    </row>
    <row r="296" customFormat="false" ht="15" hidden="false" customHeight="false" outlineLevel="0" collapsed="false">
      <c r="A296" s="0" t="str">
        <f aca="false">IF(I296="","",IF(J296=0,"Sparte "&amp;I296&amp;": "&amp;INDEX(Eingabe!$B$9:$B$18,I296)&amp;"  (Sparten-ID "&amp;INDEX(Eingabe!$D$9:$D$18,I296)&amp;", "&amp;K296&amp;" Parzellen)",IF(J296&lt;=K296,"   Parzelle "&amp;J296,IF(J296=K296+1,"   Vorstand",IF(J296=K296+2,"   Gäste",IF(J296=K296+3,"   Technik (Switches, Access Points)",""))))))</f>
        <v/>
      </c>
      <c r="B296" s="0" t="str">
        <f aca="false">IF(I296="","",IF(AND(J296&gt;=1,J296&lt;=K296+3),IF(J296&lt;=K296,IF(J296&lt;=99,IF((INDEX(Eingabe!$G$9:$G$18,I296))&lt;=9,1000+(INDEX(Eingabe!$G$9:$G$18,I296))*100,3000)+J296,IF((INDEX(Eingabe!$G$9:$G$18,I296)+1)&lt;=9,1000+(INDEX(Eingabe!$G$9:$G$18,I296)+1)*100,3000)+J296-100),IF(J296=K296+1,2000+INDEX(Eingabe!$G$9:$G$18,I296)*10+1,IF(J296=K296+2,2000+INDEX(Eingabe!$G$9:$G$18,I296)*10+2,2000+INDEX(Eingabe!$G$9:$G$18,I296)*10+9))),""))</f>
        <v/>
      </c>
      <c r="C296" s="0" t="str">
        <f aca="false">IF(I296="","",IF(AND(J296&gt;=1,J296&lt;=K296+3),"10."&amp;INDEX(Eingabe!$D$9:$D$18,I296)&amp;"."&amp;IF(J296&lt;=K296,J296,IF(J296=K296+1,200,IF(J296=K296+2,201,250)))&amp;".0/24",""))</f>
        <v/>
      </c>
      <c r="D296" s="0" t="str">
        <f aca="false">IF(I296="","",IF(AND(J296&gt;=1,J296&lt;=K296+3),"255.255.255.0",""))</f>
        <v/>
      </c>
      <c r="E296" s="0" t="str">
        <f aca="false">IF(I296="","",IF(AND(J296&gt;=1,J296&lt;=K296+3),"10."&amp;INDEX(Eingabe!$D$9:$D$18,I296)&amp;"."&amp;IF(J296&lt;=K296,J296,IF(J296=K296+1,200,IF(J296=K296+2,201,250)))&amp;".1",""))</f>
        <v/>
      </c>
      <c r="F296" s="0" t="str">
        <f aca="false">IF(I296="","",IF(AND(J296&gt;=1,J296&lt;=K296+3),"10."&amp;INDEX(Eingabe!$D$9:$D$18,I296)&amp;"."&amp;IF(J296&lt;=K296,J296,IF(J296=K296+1,200,IF(J296=K296+2,201,250)))&amp;".10 – 10."&amp;INDEX(Eingabe!$D$9:$D$18,I296)&amp;"."&amp;IF(J296&lt;=K296,J296,IF(J296=K296+1,200,IF(J296=K296+2,201,250)))&amp;".250",""))</f>
        <v/>
      </c>
      <c r="G296" s="0" t="str">
        <f aca="false">IF(I296="","",IF(AND(J296&gt;=1,J296&lt;=K296),Eingabe!$B$6&amp;"-"&amp;INDEX(Eingabe!$C$9:$C$18,I296)&amp;"-Pächter  ·  Passwort Parzelle "&amp;J296,IF(J296=K296+1,Eingabe!$B$6&amp;"-"&amp;INDEX(Eingabe!$C$9:$C$18,I296)&amp;"-Vorstand  ·  eigenes WLAN",IF(J296=K296+2,Eingabe!$B$6&amp;"-"&amp;INDEX(Eingabe!$C$9:$C$18,I296)&amp;"-Gäste  ·  Voucher",IF(J296=K296+3,"Kabel  ·  Access Point y = .(50+y), Mast-Switch x = .(10+x)","")))))</f>
        <v/>
      </c>
      <c r="I296" s="0" t="str">
        <f aca="false">IF(291&lt;=(Eingabe!$P$18+Eingabe!$Q$18-1),MATCH(291,Eingabe!$P$9:$P$18,1),"")</f>
        <v/>
      </c>
      <c r="J296" s="0" t="str">
        <f aca="false">IF(I296="","",291-INDEX(Eingabe!$P$9:$P$18,I296))</f>
        <v/>
      </c>
      <c r="K296" s="0" t="str">
        <f aca="false">IF(I296="","",INDEX(Eingabe!$E$9:$E$18,I296))</f>
        <v/>
      </c>
    </row>
    <row r="297" customFormat="false" ht="15" hidden="false" customHeight="false" outlineLevel="0" collapsed="false">
      <c r="A297" s="0" t="str">
        <f aca="false">IF(I297="","",IF(J297=0,"Sparte "&amp;I297&amp;": "&amp;INDEX(Eingabe!$B$9:$B$18,I297)&amp;"  (Sparten-ID "&amp;INDEX(Eingabe!$D$9:$D$18,I297)&amp;", "&amp;K297&amp;" Parzellen)",IF(J297&lt;=K297,"   Parzelle "&amp;J297,IF(J297=K297+1,"   Vorstand",IF(J297=K297+2,"   Gäste",IF(J297=K297+3,"   Technik (Switches, Access Points)",""))))))</f>
        <v/>
      </c>
      <c r="B297" s="0" t="str">
        <f aca="false">IF(I297="","",IF(AND(J297&gt;=1,J297&lt;=K297+3),IF(J297&lt;=K297,IF(J297&lt;=99,IF((INDEX(Eingabe!$G$9:$G$18,I297))&lt;=9,1000+(INDEX(Eingabe!$G$9:$G$18,I297))*100,3000)+J297,IF((INDEX(Eingabe!$G$9:$G$18,I297)+1)&lt;=9,1000+(INDEX(Eingabe!$G$9:$G$18,I297)+1)*100,3000)+J297-100),IF(J297=K297+1,2000+INDEX(Eingabe!$G$9:$G$18,I297)*10+1,IF(J297=K297+2,2000+INDEX(Eingabe!$G$9:$G$18,I297)*10+2,2000+INDEX(Eingabe!$G$9:$G$18,I297)*10+9))),""))</f>
        <v/>
      </c>
      <c r="C297" s="0" t="str">
        <f aca="false">IF(I297="","",IF(AND(J297&gt;=1,J297&lt;=K297+3),"10."&amp;INDEX(Eingabe!$D$9:$D$18,I297)&amp;"."&amp;IF(J297&lt;=K297,J297,IF(J297=K297+1,200,IF(J297=K297+2,201,250)))&amp;".0/24",""))</f>
        <v/>
      </c>
      <c r="D297" s="0" t="str">
        <f aca="false">IF(I297="","",IF(AND(J297&gt;=1,J297&lt;=K297+3),"255.255.255.0",""))</f>
        <v/>
      </c>
      <c r="E297" s="0" t="str">
        <f aca="false">IF(I297="","",IF(AND(J297&gt;=1,J297&lt;=K297+3),"10."&amp;INDEX(Eingabe!$D$9:$D$18,I297)&amp;"."&amp;IF(J297&lt;=K297,J297,IF(J297=K297+1,200,IF(J297=K297+2,201,250)))&amp;".1",""))</f>
        <v/>
      </c>
      <c r="F297" s="0" t="str">
        <f aca="false">IF(I297="","",IF(AND(J297&gt;=1,J297&lt;=K297+3),"10."&amp;INDEX(Eingabe!$D$9:$D$18,I297)&amp;"."&amp;IF(J297&lt;=K297,J297,IF(J297=K297+1,200,IF(J297=K297+2,201,250)))&amp;".10 – 10."&amp;INDEX(Eingabe!$D$9:$D$18,I297)&amp;"."&amp;IF(J297&lt;=K297,J297,IF(J297=K297+1,200,IF(J297=K297+2,201,250)))&amp;".250",""))</f>
        <v/>
      </c>
      <c r="G297" s="0" t="str">
        <f aca="false">IF(I297="","",IF(AND(J297&gt;=1,J297&lt;=K297),Eingabe!$B$6&amp;"-"&amp;INDEX(Eingabe!$C$9:$C$18,I297)&amp;"-Pächter  ·  Passwort Parzelle "&amp;J297,IF(J297=K297+1,Eingabe!$B$6&amp;"-"&amp;INDEX(Eingabe!$C$9:$C$18,I297)&amp;"-Vorstand  ·  eigenes WLAN",IF(J297=K297+2,Eingabe!$B$6&amp;"-"&amp;INDEX(Eingabe!$C$9:$C$18,I297)&amp;"-Gäste  ·  Voucher",IF(J297=K297+3,"Kabel  ·  Access Point y = .(50+y), Mast-Switch x = .(10+x)","")))))</f>
        <v/>
      </c>
      <c r="I297" s="0" t="str">
        <f aca="false">IF(292&lt;=(Eingabe!$P$18+Eingabe!$Q$18-1),MATCH(292,Eingabe!$P$9:$P$18,1),"")</f>
        <v/>
      </c>
      <c r="J297" s="0" t="str">
        <f aca="false">IF(I297="","",292-INDEX(Eingabe!$P$9:$P$18,I297))</f>
        <v/>
      </c>
      <c r="K297" s="0" t="str">
        <f aca="false">IF(I297="","",INDEX(Eingabe!$E$9:$E$18,I297))</f>
        <v/>
      </c>
    </row>
    <row r="298" customFormat="false" ht="15" hidden="false" customHeight="false" outlineLevel="0" collapsed="false">
      <c r="A298" s="0" t="str">
        <f aca="false">IF(I298="","",IF(J298=0,"Sparte "&amp;I298&amp;": "&amp;INDEX(Eingabe!$B$9:$B$18,I298)&amp;"  (Sparten-ID "&amp;INDEX(Eingabe!$D$9:$D$18,I298)&amp;", "&amp;K298&amp;" Parzellen)",IF(J298&lt;=K298,"   Parzelle "&amp;J298,IF(J298=K298+1,"   Vorstand",IF(J298=K298+2,"   Gäste",IF(J298=K298+3,"   Technik (Switches, Access Points)",""))))))</f>
        <v/>
      </c>
      <c r="B298" s="0" t="str">
        <f aca="false">IF(I298="","",IF(AND(J298&gt;=1,J298&lt;=K298+3),IF(J298&lt;=K298,IF(J298&lt;=99,IF((INDEX(Eingabe!$G$9:$G$18,I298))&lt;=9,1000+(INDEX(Eingabe!$G$9:$G$18,I298))*100,3000)+J298,IF((INDEX(Eingabe!$G$9:$G$18,I298)+1)&lt;=9,1000+(INDEX(Eingabe!$G$9:$G$18,I298)+1)*100,3000)+J298-100),IF(J298=K298+1,2000+INDEX(Eingabe!$G$9:$G$18,I298)*10+1,IF(J298=K298+2,2000+INDEX(Eingabe!$G$9:$G$18,I298)*10+2,2000+INDEX(Eingabe!$G$9:$G$18,I298)*10+9))),""))</f>
        <v/>
      </c>
      <c r="C298" s="0" t="str">
        <f aca="false">IF(I298="","",IF(AND(J298&gt;=1,J298&lt;=K298+3),"10."&amp;INDEX(Eingabe!$D$9:$D$18,I298)&amp;"."&amp;IF(J298&lt;=K298,J298,IF(J298=K298+1,200,IF(J298=K298+2,201,250)))&amp;".0/24",""))</f>
        <v/>
      </c>
      <c r="D298" s="0" t="str">
        <f aca="false">IF(I298="","",IF(AND(J298&gt;=1,J298&lt;=K298+3),"255.255.255.0",""))</f>
        <v/>
      </c>
      <c r="E298" s="0" t="str">
        <f aca="false">IF(I298="","",IF(AND(J298&gt;=1,J298&lt;=K298+3),"10."&amp;INDEX(Eingabe!$D$9:$D$18,I298)&amp;"."&amp;IF(J298&lt;=K298,J298,IF(J298=K298+1,200,IF(J298=K298+2,201,250)))&amp;".1",""))</f>
        <v/>
      </c>
      <c r="F298" s="0" t="str">
        <f aca="false">IF(I298="","",IF(AND(J298&gt;=1,J298&lt;=K298+3),"10."&amp;INDEX(Eingabe!$D$9:$D$18,I298)&amp;"."&amp;IF(J298&lt;=K298,J298,IF(J298=K298+1,200,IF(J298=K298+2,201,250)))&amp;".10 – 10."&amp;INDEX(Eingabe!$D$9:$D$18,I298)&amp;"."&amp;IF(J298&lt;=K298,J298,IF(J298=K298+1,200,IF(J298=K298+2,201,250)))&amp;".250",""))</f>
        <v/>
      </c>
      <c r="G298" s="0" t="str">
        <f aca="false">IF(I298="","",IF(AND(J298&gt;=1,J298&lt;=K298),Eingabe!$B$6&amp;"-"&amp;INDEX(Eingabe!$C$9:$C$18,I298)&amp;"-Pächter  ·  Passwort Parzelle "&amp;J298,IF(J298=K298+1,Eingabe!$B$6&amp;"-"&amp;INDEX(Eingabe!$C$9:$C$18,I298)&amp;"-Vorstand  ·  eigenes WLAN",IF(J298=K298+2,Eingabe!$B$6&amp;"-"&amp;INDEX(Eingabe!$C$9:$C$18,I298)&amp;"-Gäste  ·  Voucher",IF(J298=K298+3,"Kabel  ·  Access Point y = .(50+y), Mast-Switch x = .(10+x)","")))))</f>
        <v/>
      </c>
      <c r="I298" s="0" t="str">
        <f aca="false">IF(293&lt;=(Eingabe!$P$18+Eingabe!$Q$18-1),MATCH(293,Eingabe!$P$9:$P$18,1),"")</f>
        <v/>
      </c>
      <c r="J298" s="0" t="str">
        <f aca="false">IF(I298="","",293-INDEX(Eingabe!$P$9:$P$18,I298))</f>
        <v/>
      </c>
      <c r="K298" s="0" t="str">
        <f aca="false">IF(I298="","",INDEX(Eingabe!$E$9:$E$18,I298))</f>
        <v/>
      </c>
    </row>
    <row r="299" customFormat="false" ht="15" hidden="false" customHeight="false" outlineLevel="0" collapsed="false">
      <c r="A299" s="0" t="str">
        <f aca="false">IF(I299="","",IF(J299=0,"Sparte "&amp;I299&amp;": "&amp;INDEX(Eingabe!$B$9:$B$18,I299)&amp;"  (Sparten-ID "&amp;INDEX(Eingabe!$D$9:$D$18,I299)&amp;", "&amp;K299&amp;" Parzellen)",IF(J299&lt;=K299,"   Parzelle "&amp;J299,IF(J299=K299+1,"   Vorstand",IF(J299=K299+2,"   Gäste",IF(J299=K299+3,"   Technik (Switches, Access Points)",""))))))</f>
        <v/>
      </c>
      <c r="B299" s="0" t="str">
        <f aca="false">IF(I299="","",IF(AND(J299&gt;=1,J299&lt;=K299+3),IF(J299&lt;=K299,IF(J299&lt;=99,IF((INDEX(Eingabe!$G$9:$G$18,I299))&lt;=9,1000+(INDEX(Eingabe!$G$9:$G$18,I299))*100,3000)+J299,IF((INDEX(Eingabe!$G$9:$G$18,I299)+1)&lt;=9,1000+(INDEX(Eingabe!$G$9:$G$18,I299)+1)*100,3000)+J299-100),IF(J299=K299+1,2000+INDEX(Eingabe!$G$9:$G$18,I299)*10+1,IF(J299=K299+2,2000+INDEX(Eingabe!$G$9:$G$18,I299)*10+2,2000+INDEX(Eingabe!$G$9:$G$18,I299)*10+9))),""))</f>
        <v/>
      </c>
      <c r="C299" s="0" t="str">
        <f aca="false">IF(I299="","",IF(AND(J299&gt;=1,J299&lt;=K299+3),"10."&amp;INDEX(Eingabe!$D$9:$D$18,I299)&amp;"."&amp;IF(J299&lt;=K299,J299,IF(J299=K299+1,200,IF(J299=K299+2,201,250)))&amp;".0/24",""))</f>
        <v/>
      </c>
      <c r="D299" s="0" t="str">
        <f aca="false">IF(I299="","",IF(AND(J299&gt;=1,J299&lt;=K299+3),"255.255.255.0",""))</f>
        <v/>
      </c>
      <c r="E299" s="0" t="str">
        <f aca="false">IF(I299="","",IF(AND(J299&gt;=1,J299&lt;=K299+3),"10."&amp;INDEX(Eingabe!$D$9:$D$18,I299)&amp;"."&amp;IF(J299&lt;=K299,J299,IF(J299=K299+1,200,IF(J299=K299+2,201,250)))&amp;".1",""))</f>
        <v/>
      </c>
      <c r="F299" s="0" t="str">
        <f aca="false">IF(I299="","",IF(AND(J299&gt;=1,J299&lt;=K299+3),"10."&amp;INDEX(Eingabe!$D$9:$D$18,I299)&amp;"."&amp;IF(J299&lt;=K299,J299,IF(J299=K299+1,200,IF(J299=K299+2,201,250)))&amp;".10 – 10."&amp;INDEX(Eingabe!$D$9:$D$18,I299)&amp;"."&amp;IF(J299&lt;=K299,J299,IF(J299=K299+1,200,IF(J299=K299+2,201,250)))&amp;".250",""))</f>
        <v/>
      </c>
      <c r="G299" s="0" t="str">
        <f aca="false">IF(I299="","",IF(AND(J299&gt;=1,J299&lt;=K299),Eingabe!$B$6&amp;"-"&amp;INDEX(Eingabe!$C$9:$C$18,I299)&amp;"-Pächter  ·  Passwort Parzelle "&amp;J299,IF(J299=K299+1,Eingabe!$B$6&amp;"-"&amp;INDEX(Eingabe!$C$9:$C$18,I299)&amp;"-Vorstand  ·  eigenes WLAN",IF(J299=K299+2,Eingabe!$B$6&amp;"-"&amp;INDEX(Eingabe!$C$9:$C$18,I299)&amp;"-Gäste  ·  Voucher",IF(J299=K299+3,"Kabel  ·  Access Point y = .(50+y), Mast-Switch x = .(10+x)","")))))</f>
        <v/>
      </c>
      <c r="I299" s="0" t="str">
        <f aca="false">IF(294&lt;=(Eingabe!$P$18+Eingabe!$Q$18-1),MATCH(294,Eingabe!$P$9:$P$18,1),"")</f>
        <v/>
      </c>
      <c r="J299" s="0" t="str">
        <f aca="false">IF(I299="","",294-INDEX(Eingabe!$P$9:$P$18,I299))</f>
        <v/>
      </c>
      <c r="K299" s="0" t="str">
        <f aca="false">IF(I299="","",INDEX(Eingabe!$E$9:$E$18,I299))</f>
        <v/>
      </c>
    </row>
    <row r="300" customFormat="false" ht="15" hidden="false" customHeight="false" outlineLevel="0" collapsed="false">
      <c r="A300" s="0" t="str">
        <f aca="false">IF(I300="","",IF(J300=0,"Sparte "&amp;I300&amp;": "&amp;INDEX(Eingabe!$B$9:$B$18,I300)&amp;"  (Sparten-ID "&amp;INDEX(Eingabe!$D$9:$D$18,I300)&amp;", "&amp;K300&amp;" Parzellen)",IF(J300&lt;=K300,"   Parzelle "&amp;J300,IF(J300=K300+1,"   Vorstand",IF(J300=K300+2,"   Gäste",IF(J300=K300+3,"   Technik (Switches, Access Points)",""))))))</f>
        <v/>
      </c>
      <c r="B300" s="0" t="str">
        <f aca="false">IF(I300="","",IF(AND(J300&gt;=1,J300&lt;=K300+3),IF(J300&lt;=K300,IF(J300&lt;=99,IF((INDEX(Eingabe!$G$9:$G$18,I300))&lt;=9,1000+(INDEX(Eingabe!$G$9:$G$18,I300))*100,3000)+J300,IF((INDEX(Eingabe!$G$9:$G$18,I300)+1)&lt;=9,1000+(INDEX(Eingabe!$G$9:$G$18,I300)+1)*100,3000)+J300-100),IF(J300=K300+1,2000+INDEX(Eingabe!$G$9:$G$18,I300)*10+1,IF(J300=K300+2,2000+INDEX(Eingabe!$G$9:$G$18,I300)*10+2,2000+INDEX(Eingabe!$G$9:$G$18,I300)*10+9))),""))</f>
        <v/>
      </c>
      <c r="C300" s="0" t="str">
        <f aca="false">IF(I300="","",IF(AND(J300&gt;=1,J300&lt;=K300+3),"10."&amp;INDEX(Eingabe!$D$9:$D$18,I300)&amp;"."&amp;IF(J300&lt;=K300,J300,IF(J300=K300+1,200,IF(J300=K300+2,201,250)))&amp;".0/24",""))</f>
        <v/>
      </c>
      <c r="D300" s="0" t="str">
        <f aca="false">IF(I300="","",IF(AND(J300&gt;=1,J300&lt;=K300+3),"255.255.255.0",""))</f>
        <v/>
      </c>
      <c r="E300" s="0" t="str">
        <f aca="false">IF(I300="","",IF(AND(J300&gt;=1,J300&lt;=K300+3),"10."&amp;INDEX(Eingabe!$D$9:$D$18,I300)&amp;"."&amp;IF(J300&lt;=K300,J300,IF(J300=K300+1,200,IF(J300=K300+2,201,250)))&amp;".1",""))</f>
        <v/>
      </c>
      <c r="F300" s="0" t="str">
        <f aca="false">IF(I300="","",IF(AND(J300&gt;=1,J300&lt;=K300+3),"10."&amp;INDEX(Eingabe!$D$9:$D$18,I300)&amp;"."&amp;IF(J300&lt;=K300,J300,IF(J300=K300+1,200,IF(J300=K300+2,201,250)))&amp;".10 – 10."&amp;INDEX(Eingabe!$D$9:$D$18,I300)&amp;"."&amp;IF(J300&lt;=K300,J300,IF(J300=K300+1,200,IF(J300=K300+2,201,250)))&amp;".250",""))</f>
        <v/>
      </c>
      <c r="G300" s="0" t="str">
        <f aca="false">IF(I300="","",IF(AND(J300&gt;=1,J300&lt;=K300),Eingabe!$B$6&amp;"-"&amp;INDEX(Eingabe!$C$9:$C$18,I300)&amp;"-Pächter  ·  Passwort Parzelle "&amp;J300,IF(J300=K300+1,Eingabe!$B$6&amp;"-"&amp;INDEX(Eingabe!$C$9:$C$18,I300)&amp;"-Vorstand  ·  eigenes WLAN",IF(J300=K300+2,Eingabe!$B$6&amp;"-"&amp;INDEX(Eingabe!$C$9:$C$18,I300)&amp;"-Gäste  ·  Voucher",IF(J300=K300+3,"Kabel  ·  Access Point y = .(50+y), Mast-Switch x = .(10+x)","")))))</f>
        <v/>
      </c>
      <c r="I300" s="0" t="str">
        <f aca="false">IF(295&lt;=(Eingabe!$P$18+Eingabe!$Q$18-1),MATCH(295,Eingabe!$P$9:$P$18,1),"")</f>
        <v/>
      </c>
      <c r="J300" s="0" t="str">
        <f aca="false">IF(I300="","",295-INDEX(Eingabe!$P$9:$P$18,I300))</f>
        <v/>
      </c>
      <c r="K300" s="0" t="str">
        <f aca="false">IF(I300="","",INDEX(Eingabe!$E$9:$E$18,I300))</f>
        <v/>
      </c>
    </row>
    <row r="301" customFormat="false" ht="15" hidden="false" customHeight="false" outlineLevel="0" collapsed="false">
      <c r="A301" s="0" t="str">
        <f aca="false">IF(I301="","",IF(J301=0,"Sparte "&amp;I301&amp;": "&amp;INDEX(Eingabe!$B$9:$B$18,I301)&amp;"  (Sparten-ID "&amp;INDEX(Eingabe!$D$9:$D$18,I301)&amp;", "&amp;K301&amp;" Parzellen)",IF(J301&lt;=K301,"   Parzelle "&amp;J301,IF(J301=K301+1,"   Vorstand",IF(J301=K301+2,"   Gäste",IF(J301=K301+3,"   Technik (Switches, Access Points)",""))))))</f>
        <v/>
      </c>
      <c r="B301" s="0" t="str">
        <f aca="false">IF(I301="","",IF(AND(J301&gt;=1,J301&lt;=K301+3),IF(J301&lt;=K301,IF(J301&lt;=99,IF((INDEX(Eingabe!$G$9:$G$18,I301))&lt;=9,1000+(INDEX(Eingabe!$G$9:$G$18,I301))*100,3000)+J301,IF((INDEX(Eingabe!$G$9:$G$18,I301)+1)&lt;=9,1000+(INDEX(Eingabe!$G$9:$G$18,I301)+1)*100,3000)+J301-100),IF(J301=K301+1,2000+INDEX(Eingabe!$G$9:$G$18,I301)*10+1,IF(J301=K301+2,2000+INDEX(Eingabe!$G$9:$G$18,I301)*10+2,2000+INDEX(Eingabe!$G$9:$G$18,I301)*10+9))),""))</f>
        <v/>
      </c>
      <c r="C301" s="0" t="str">
        <f aca="false">IF(I301="","",IF(AND(J301&gt;=1,J301&lt;=K301+3),"10."&amp;INDEX(Eingabe!$D$9:$D$18,I301)&amp;"."&amp;IF(J301&lt;=K301,J301,IF(J301=K301+1,200,IF(J301=K301+2,201,250)))&amp;".0/24",""))</f>
        <v/>
      </c>
      <c r="D301" s="0" t="str">
        <f aca="false">IF(I301="","",IF(AND(J301&gt;=1,J301&lt;=K301+3),"255.255.255.0",""))</f>
        <v/>
      </c>
      <c r="E301" s="0" t="str">
        <f aca="false">IF(I301="","",IF(AND(J301&gt;=1,J301&lt;=K301+3),"10."&amp;INDEX(Eingabe!$D$9:$D$18,I301)&amp;"."&amp;IF(J301&lt;=K301,J301,IF(J301=K301+1,200,IF(J301=K301+2,201,250)))&amp;".1",""))</f>
        <v/>
      </c>
      <c r="F301" s="0" t="str">
        <f aca="false">IF(I301="","",IF(AND(J301&gt;=1,J301&lt;=K301+3),"10."&amp;INDEX(Eingabe!$D$9:$D$18,I301)&amp;"."&amp;IF(J301&lt;=K301,J301,IF(J301=K301+1,200,IF(J301=K301+2,201,250)))&amp;".10 – 10."&amp;INDEX(Eingabe!$D$9:$D$18,I301)&amp;"."&amp;IF(J301&lt;=K301,J301,IF(J301=K301+1,200,IF(J301=K301+2,201,250)))&amp;".250",""))</f>
        <v/>
      </c>
      <c r="G301" s="0" t="str">
        <f aca="false">IF(I301="","",IF(AND(J301&gt;=1,J301&lt;=K301),Eingabe!$B$6&amp;"-"&amp;INDEX(Eingabe!$C$9:$C$18,I301)&amp;"-Pächter  ·  Passwort Parzelle "&amp;J301,IF(J301=K301+1,Eingabe!$B$6&amp;"-"&amp;INDEX(Eingabe!$C$9:$C$18,I301)&amp;"-Vorstand  ·  eigenes WLAN",IF(J301=K301+2,Eingabe!$B$6&amp;"-"&amp;INDEX(Eingabe!$C$9:$C$18,I301)&amp;"-Gäste  ·  Voucher",IF(J301=K301+3,"Kabel  ·  Access Point y = .(50+y), Mast-Switch x = .(10+x)","")))))</f>
        <v/>
      </c>
      <c r="I301" s="0" t="str">
        <f aca="false">IF(296&lt;=(Eingabe!$P$18+Eingabe!$Q$18-1),MATCH(296,Eingabe!$P$9:$P$18,1),"")</f>
        <v/>
      </c>
      <c r="J301" s="0" t="str">
        <f aca="false">IF(I301="","",296-INDEX(Eingabe!$P$9:$P$18,I301))</f>
        <v/>
      </c>
      <c r="K301" s="0" t="str">
        <f aca="false">IF(I301="","",INDEX(Eingabe!$E$9:$E$18,I301))</f>
        <v/>
      </c>
    </row>
    <row r="302" customFormat="false" ht="15" hidden="false" customHeight="false" outlineLevel="0" collapsed="false">
      <c r="A302" s="0" t="str">
        <f aca="false">IF(I302="","",IF(J302=0,"Sparte "&amp;I302&amp;": "&amp;INDEX(Eingabe!$B$9:$B$18,I302)&amp;"  (Sparten-ID "&amp;INDEX(Eingabe!$D$9:$D$18,I302)&amp;", "&amp;K302&amp;" Parzellen)",IF(J302&lt;=K302,"   Parzelle "&amp;J302,IF(J302=K302+1,"   Vorstand",IF(J302=K302+2,"   Gäste",IF(J302=K302+3,"   Technik (Switches, Access Points)",""))))))</f>
        <v/>
      </c>
      <c r="B302" s="0" t="str">
        <f aca="false">IF(I302="","",IF(AND(J302&gt;=1,J302&lt;=K302+3),IF(J302&lt;=K302,IF(J302&lt;=99,IF((INDEX(Eingabe!$G$9:$G$18,I302))&lt;=9,1000+(INDEX(Eingabe!$G$9:$G$18,I302))*100,3000)+J302,IF((INDEX(Eingabe!$G$9:$G$18,I302)+1)&lt;=9,1000+(INDEX(Eingabe!$G$9:$G$18,I302)+1)*100,3000)+J302-100),IF(J302=K302+1,2000+INDEX(Eingabe!$G$9:$G$18,I302)*10+1,IF(J302=K302+2,2000+INDEX(Eingabe!$G$9:$G$18,I302)*10+2,2000+INDEX(Eingabe!$G$9:$G$18,I302)*10+9))),""))</f>
        <v/>
      </c>
      <c r="C302" s="0" t="str">
        <f aca="false">IF(I302="","",IF(AND(J302&gt;=1,J302&lt;=K302+3),"10."&amp;INDEX(Eingabe!$D$9:$D$18,I302)&amp;"."&amp;IF(J302&lt;=K302,J302,IF(J302=K302+1,200,IF(J302=K302+2,201,250)))&amp;".0/24",""))</f>
        <v/>
      </c>
      <c r="D302" s="0" t="str">
        <f aca="false">IF(I302="","",IF(AND(J302&gt;=1,J302&lt;=K302+3),"255.255.255.0",""))</f>
        <v/>
      </c>
      <c r="E302" s="0" t="str">
        <f aca="false">IF(I302="","",IF(AND(J302&gt;=1,J302&lt;=K302+3),"10."&amp;INDEX(Eingabe!$D$9:$D$18,I302)&amp;"."&amp;IF(J302&lt;=K302,J302,IF(J302=K302+1,200,IF(J302=K302+2,201,250)))&amp;".1",""))</f>
        <v/>
      </c>
      <c r="F302" s="0" t="str">
        <f aca="false">IF(I302="","",IF(AND(J302&gt;=1,J302&lt;=K302+3),"10."&amp;INDEX(Eingabe!$D$9:$D$18,I302)&amp;"."&amp;IF(J302&lt;=K302,J302,IF(J302=K302+1,200,IF(J302=K302+2,201,250)))&amp;".10 – 10."&amp;INDEX(Eingabe!$D$9:$D$18,I302)&amp;"."&amp;IF(J302&lt;=K302,J302,IF(J302=K302+1,200,IF(J302=K302+2,201,250)))&amp;".250",""))</f>
        <v/>
      </c>
      <c r="G302" s="0" t="str">
        <f aca="false">IF(I302="","",IF(AND(J302&gt;=1,J302&lt;=K302),Eingabe!$B$6&amp;"-"&amp;INDEX(Eingabe!$C$9:$C$18,I302)&amp;"-Pächter  ·  Passwort Parzelle "&amp;J302,IF(J302=K302+1,Eingabe!$B$6&amp;"-"&amp;INDEX(Eingabe!$C$9:$C$18,I302)&amp;"-Vorstand  ·  eigenes WLAN",IF(J302=K302+2,Eingabe!$B$6&amp;"-"&amp;INDEX(Eingabe!$C$9:$C$18,I302)&amp;"-Gäste  ·  Voucher",IF(J302=K302+3,"Kabel  ·  Access Point y = .(50+y), Mast-Switch x = .(10+x)","")))))</f>
        <v/>
      </c>
      <c r="I302" s="0" t="str">
        <f aca="false">IF(297&lt;=(Eingabe!$P$18+Eingabe!$Q$18-1),MATCH(297,Eingabe!$P$9:$P$18,1),"")</f>
        <v/>
      </c>
      <c r="J302" s="0" t="str">
        <f aca="false">IF(I302="","",297-INDEX(Eingabe!$P$9:$P$18,I302))</f>
        <v/>
      </c>
      <c r="K302" s="0" t="str">
        <f aca="false">IF(I302="","",INDEX(Eingabe!$E$9:$E$18,I302))</f>
        <v/>
      </c>
    </row>
    <row r="303" customFormat="false" ht="15" hidden="false" customHeight="false" outlineLevel="0" collapsed="false">
      <c r="A303" s="0" t="str">
        <f aca="false">IF(I303="","",IF(J303=0,"Sparte "&amp;I303&amp;": "&amp;INDEX(Eingabe!$B$9:$B$18,I303)&amp;"  (Sparten-ID "&amp;INDEX(Eingabe!$D$9:$D$18,I303)&amp;", "&amp;K303&amp;" Parzellen)",IF(J303&lt;=K303,"   Parzelle "&amp;J303,IF(J303=K303+1,"   Vorstand",IF(J303=K303+2,"   Gäste",IF(J303=K303+3,"   Technik (Switches, Access Points)",""))))))</f>
        <v/>
      </c>
      <c r="B303" s="0" t="str">
        <f aca="false">IF(I303="","",IF(AND(J303&gt;=1,J303&lt;=K303+3),IF(J303&lt;=K303,IF(J303&lt;=99,IF((INDEX(Eingabe!$G$9:$G$18,I303))&lt;=9,1000+(INDEX(Eingabe!$G$9:$G$18,I303))*100,3000)+J303,IF((INDEX(Eingabe!$G$9:$G$18,I303)+1)&lt;=9,1000+(INDEX(Eingabe!$G$9:$G$18,I303)+1)*100,3000)+J303-100),IF(J303=K303+1,2000+INDEX(Eingabe!$G$9:$G$18,I303)*10+1,IF(J303=K303+2,2000+INDEX(Eingabe!$G$9:$G$18,I303)*10+2,2000+INDEX(Eingabe!$G$9:$G$18,I303)*10+9))),""))</f>
        <v/>
      </c>
      <c r="C303" s="0" t="str">
        <f aca="false">IF(I303="","",IF(AND(J303&gt;=1,J303&lt;=K303+3),"10."&amp;INDEX(Eingabe!$D$9:$D$18,I303)&amp;"."&amp;IF(J303&lt;=K303,J303,IF(J303=K303+1,200,IF(J303=K303+2,201,250)))&amp;".0/24",""))</f>
        <v/>
      </c>
      <c r="D303" s="0" t="str">
        <f aca="false">IF(I303="","",IF(AND(J303&gt;=1,J303&lt;=K303+3),"255.255.255.0",""))</f>
        <v/>
      </c>
      <c r="E303" s="0" t="str">
        <f aca="false">IF(I303="","",IF(AND(J303&gt;=1,J303&lt;=K303+3),"10."&amp;INDEX(Eingabe!$D$9:$D$18,I303)&amp;"."&amp;IF(J303&lt;=K303,J303,IF(J303=K303+1,200,IF(J303=K303+2,201,250)))&amp;".1",""))</f>
        <v/>
      </c>
      <c r="F303" s="0" t="str">
        <f aca="false">IF(I303="","",IF(AND(J303&gt;=1,J303&lt;=K303+3),"10."&amp;INDEX(Eingabe!$D$9:$D$18,I303)&amp;"."&amp;IF(J303&lt;=K303,J303,IF(J303=K303+1,200,IF(J303=K303+2,201,250)))&amp;".10 – 10."&amp;INDEX(Eingabe!$D$9:$D$18,I303)&amp;"."&amp;IF(J303&lt;=K303,J303,IF(J303=K303+1,200,IF(J303=K303+2,201,250)))&amp;".250",""))</f>
        <v/>
      </c>
      <c r="G303" s="0" t="str">
        <f aca="false">IF(I303="","",IF(AND(J303&gt;=1,J303&lt;=K303),Eingabe!$B$6&amp;"-"&amp;INDEX(Eingabe!$C$9:$C$18,I303)&amp;"-Pächter  ·  Passwort Parzelle "&amp;J303,IF(J303=K303+1,Eingabe!$B$6&amp;"-"&amp;INDEX(Eingabe!$C$9:$C$18,I303)&amp;"-Vorstand  ·  eigenes WLAN",IF(J303=K303+2,Eingabe!$B$6&amp;"-"&amp;INDEX(Eingabe!$C$9:$C$18,I303)&amp;"-Gäste  ·  Voucher",IF(J303=K303+3,"Kabel  ·  Access Point y = .(50+y), Mast-Switch x = .(10+x)","")))))</f>
        <v/>
      </c>
      <c r="I303" s="0" t="str">
        <f aca="false">IF(298&lt;=(Eingabe!$P$18+Eingabe!$Q$18-1),MATCH(298,Eingabe!$P$9:$P$18,1),"")</f>
        <v/>
      </c>
      <c r="J303" s="0" t="str">
        <f aca="false">IF(I303="","",298-INDEX(Eingabe!$P$9:$P$18,I303))</f>
        <v/>
      </c>
      <c r="K303" s="0" t="str">
        <f aca="false">IF(I303="","",INDEX(Eingabe!$E$9:$E$18,I303))</f>
        <v/>
      </c>
    </row>
    <row r="304" customFormat="false" ht="15" hidden="false" customHeight="false" outlineLevel="0" collapsed="false">
      <c r="A304" s="0" t="str">
        <f aca="false">IF(I304="","",IF(J304=0,"Sparte "&amp;I304&amp;": "&amp;INDEX(Eingabe!$B$9:$B$18,I304)&amp;"  (Sparten-ID "&amp;INDEX(Eingabe!$D$9:$D$18,I304)&amp;", "&amp;K304&amp;" Parzellen)",IF(J304&lt;=K304,"   Parzelle "&amp;J304,IF(J304=K304+1,"   Vorstand",IF(J304=K304+2,"   Gäste",IF(J304=K304+3,"   Technik (Switches, Access Points)",""))))))</f>
        <v/>
      </c>
      <c r="B304" s="0" t="str">
        <f aca="false">IF(I304="","",IF(AND(J304&gt;=1,J304&lt;=K304+3),IF(J304&lt;=K304,IF(J304&lt;=99,IF((INDEX(Eingabe!$G$9:$G$18,I304))&lt;=9,1000+(INDEX(Eingabe!$G$9:$G$18,I304))*100,3000)+J304,IF((INDEX(Eingabe!$G$9:$G$18,I304)+1)&lt;=9,1000+(INDEX(Eingabe!$G$9:$G$18,I304)+1)*100,3000)+J304-100),IF(J304=K304+1,2000+INDEX(Eingabe!$G$9:$G$18,I304)*10+1,IF(J304=K304+2,2000+INDEX(Eingabe!$G$9:$G$18,I304)*10+2,2000+INDEX(Eingabe!$G$9:$G$18,I304)*10+9))),""))</f>
        <v/>
      </c>
      <c r="C304" s="0" t="str">
        <f aca="false">IF(I304="","",IF(AND(J304&gt;=1,J304&lt;=K304+3),"10."&amp;INDEX(Eingabe!$D$9:$D$18,I304)&amp;"."&amp;IF(J304&lt;=K304,J304,IF(J304=K304+1,200,IF(J304=K304+2,201,250)))&amp;".0/24",""))</f>
        <v/>
      </c>
      <c r="D304" s="0" t="str">
        <f aca="false">IF(I304="","",IF(AND(J304&gt;=1,J304&lt;=K304+3),"255.255.255.0",""))</f>
        <v/>
      </c>
      <c r="E304" s="0" t="str">
        <f aca="false">IF(I304="","",IF(AND(J304&gt;=1,J304&lt;=K304+3),"10."&amp;INDEX(Eingabe!$D$9:$D$18,I304)&amp;"."&amp;IF(J304&lt;=K304,J304,IF(J304=K304+1,200,IF(J304=K304+2,201,250)))&amp;".1",""))</f>
        <v/>
      </c>
      <c r="F304" s="0" t="str">
        <f aca="false">IF(I304="","",IF(AND(J304&gt;=1,J304&lt;=K304+3),"10."&amp;INDEX(Eingabe!$D$9:$D$18,I304)&amp;"."&amp;IF(J304&lt;=K304,J304,IF(J304=K304+1,200,IF(J304=K304+2,201,250)))&amp;".10 – 10."&amp;INDEX(Eingabe!$D$9:$D$18,I304)&amp;"."&amp;IF(J304&lt;=K304,J304,IF(J304=K304+1,200,IF(J304=K304+2,201,250)))&amp;".250",""))</f>
        <v/>
      </c>
      <c r="G304" s="0" t="str">
        <f aca="false">IF(I304="","",IF(AND(J304&gt;=1,J304&lt;=K304),Eingabe!$B$6&amp;"-"&amp;INDEX(Eingabe!$C$9:$C$18,I304)&amp;"-Pächter  ·  Passwort Parzelle "&amp;J304,IF(J304=K304+1,Eingabe!$B$6&amp;"-"&amp;INDEX(Eingabe!$C$9:$C$18,I304)&amp;"-Vorstand  ·  eigenes WLAN",IF(J304=K304+2,Eingabe!$B$6&amp;"-"&amp;INDEX(Eingabe!$C$9:$C$18,I304)&amp;"-Gäste  ·  Voucher",IF(J304=K304+3,"Kabel  ·  Access Point y = .(50+y), Mast-Switch x = .(10+x)","")))))</f>
        <v/>
      </c>
      <c r="I304" s="0" t="str">
        <f aca="false">IF(299&lt;=(Eingabe!$P$18+Eingabe!$Q$18-1),MATCH(299,Eingabe!$P$9:$P$18,1),"")</f>
        <v/>
      </c>
      <c r="J304" s="0" t="str">
        <f aca="false">IF(I304="","",299-INDEX(Eingabe!$P$9:$P$18,I304))</f>
        <v/>
      </c>
      <c r="K304" s="0" t="str">
        <f aca="false">IF(I304="","",INDEX(Eingabe!$E$9:$E$18,I304))</f>
        <v/>
      </c>
    </row>
    <row r="305" customFormat="false" ht="15" hidden="false" customHeight="false" outlineLevel="0" collapsed="false">
      <c r="A305" s="0" t="str">
        <f aca="false">IF(I305="","",IF(J305=0,"Sparte "&amp;I305&amp;": "&amp;INDEX(Eingabe!$B$9:$B$18,I305)&amp;"  (Sparten-ID "&amp;INDEX(Eingabe!$D$9:$D$18,I305)&amp;", "&amp;K305&amp;" Parzellen)",IF(J305&lt;=K305,"   Parzelle "&amp;J305,IF(J305=K305+1,"   Vorstand",IF(J305=K305+2,"   Gäste",IF(J305=K305+3,"   Technik (Switches, Access Points)",""))))))</f>
        <v/>
      </c>
      <c r="B305" s="0" t="str">
        <f aca="false">IF(I305="","",IF(AND(J305&gt;=1,J305&lt;=K305+3),IF(J305&lt;=K305,IF(J305&lt;=99,IF((INDEX(Eingabe!$G$9:$G$18,I305))&lt;=9,1000+(INDEX(Eingabe!$G$9:$G$18,I305))*100,3000)+J305,IF((INDEX(Eingabe!$G$9:$G$18,I305)+1)&lt;=9,1000+(INDEX(Eingabe!$G$9:$G$18,I305)+1)*100,3000)+J305-100),IF(J305=K305+1,2000+INDEX(Eingabe!$G$9:$G$18,I305)*10+1,IF(J305=K305+2,2000+INDEX(Eingabe!$G$9:$G$18,I305)*10+2,2000+INDEX(Eingabe!$G$9:$G$18,I305)*10+9))),""))</f>
        <v/>
      </c>
      <c r="C305" s="0" t="str">
        <f aca="false">IF(I305="","",IF(AND(J305&gt;=1,J305&lt;=K305+3),"10."&amp;INDEX(Eingabe!$D$9:$D$18,I305)&amp;"."&amp;IF(J305&lt;=K305,J305,IF(J305=K305+1,200,IF(J305=K305+2,201,250)))&amp;".0/24",""))</f>
        <v/>
      </c>
      <c r="D305" s="0" t="str">
        <f aca="false">IF(I305="","",IF(AND(J305&gt;=1,J305&lt;=K305+3),"255.255.255.0",""))</f>
        <v/>
      </c>
      <c r="E305" s="0" t="str">
        <f aca="false">IF(I305="","",IF(AND(J305&gt;=1,J305&lt;=K305+3),"10."&amp;INDEX(Eingabe!$D$9:$D$18,I305)&amp;"."&amp;IF(J305&lt;=K305,J305,IF(J305=K305+1,200,IF(J305=K305+2,201,250)))&amp;".1",""))</f>
        <v/>
      </c>
      <c r="F305" s="0" t="str">
        <f aca="false">IF(I305="","",IF(AND(J305&gt;=1,J305&lt;=K305+3),"10."&amp;INDEX(Eingabe!$D$9:$D$18,I305)&amp;"."&amp;IF(J305&lt;=K305,J305,IF(J305=K305+1,200,IF(J305=K305+2,201,250)))&amp;".10 – 10."&amp;INDEX(Eingabe!$D$9:$D$18,I305)&amp;"."&amp;IF(J305&lt;=K305,J305,IF(J305=K305+1,200,IF(J305=K305+2,201,250)))&amp;".250",""))</f>
        <v/>
      </c>
      <c r="G305" s="0" t="str">
        <f aca="false">IF(I305="","",IF(AND(J305&gt;=1,J305&lt;=K305),Eingabe!$B$6&amp;"-"&amp;INDEX(Eingabe!$C$9:$C$18,I305)&amp;"-Pächter  ·  Passwort Parzelle "&amp;J305,IF(J305=K305+1,Eingabe!$B$6&amp;"-"&amp;INDEX(Eingabe!$C$9:$C$18,I305)&amp;"-Vorstand  ·  eigenes WLAN",IF(J305=K305+2,Eingabe!$B$6&amp;"-"&amp;INDEX(Eingabe!$C$9:$C$18,I305)&amp;"-Gäste  ·  Voucher",IF(J305=K305+3,"Kabel  ·  Access Point y = .(50+y), Mast-Switch x = .(10+x)","")))))</f>
        <v/>
      </c>
      <c r="I305" s="0" t="str">
        <f aca="false">IF(300&lt;=(Eingabe!$P$18+Eingabe!$Q$18-1),MATCH(300,Eingabe!$P$9:$P$18,1),"")</f>
        <v/>
      </c>
      <c r="J305" s="0" t="str">
        <f aca="false">IF(I305="","",300-INDEX(Eingabe!$P$9:$P$18,I305))</f>
        <v/>
      </c>
      <c r="K305" s="0" t="str">
        <f aca="false">IF(I305="","",INDEX(Eingabe!$E$9:$E$18,I305))</f>
        <v/>
      </c>
    </row>
    <row r="306" customFormat="false" ht="15" hidden="false" customHeight="false" outlineLevel="0" collapsed="false">
      <c r="A306" s="0" t="str">
        <f aca="false">IF(I306="","",IF(J306=0,"Sparte "&amp;I306&amp;": "&amp;INDEX(Eingabe!$B$9:$B$18,I306)&amp;"  (Sparten-ID "&amp;INDEX(Eingabe!$D$9:$D$18,I306)&amp;", "&amp;K306&amp;" Parzellen)",IF(J306&lt;=K306,"   Parzelle "&amp;J306,IF(J306=K306+1,"   Vorstand",IF(J306=K306+2,"   Gäste",IF(J306=K306+3,"   Technik (Switches, Access Points)",""))))))</f>
        <v/>
      </c>
      <c r="B306" s="0" t="str">
        <f aca="false">IF(I306="","",IF(AND(J306&gt;=1,J306&lt;=K306+3),IF(J306&lt;=K306,IF(J306&lt;=99,IF((INDEX(Eingabe!$G$9:$G$18,I306))&lt;=9,1000+(INDEX(Eingabe!$G$9:$G$18,I306))*100,3000)+J306,IF((INDEX(Eingabe!$G$9:$G$18,I306)+1)&lt;=9,1000+(INDEX(Eingabe!$G$9:$G$18,I306)+1)*100,3000)+J306-100),IF(J306=K306+1,2000+INDEX(Eingabe!$G$9:$G$18,I306)*10+1,IF(J306=K306+2,2000+INDEX(Eingabe!$G$9:$G$18,I306)*10+2,2000+INDEX(Eingabe!$G$9:$G$18,I306)*10+9))),""))</f>
        <v/>
      </c>
      <c r="C306" s="0" t="str">
        <f aca="false">IF(I306="","",IF(AND(J306&gt;=1,J306&lt;=K306+3),"10."&amp;INDEX(Eingabe!$D$9:$D$18,I306)&amp;"."&amp;IF(J306&lt;=K306,J306,IF(J306=K306+1,200,IF(J306=K306+2,201,250)))&amp;".0/24",""))</f>
        <v/>
      </c>
      <c r="D306" s="0" t="str">
        <f aca="false">IF(I306="","",IF(AND(J306&gt;=1,J306&lt;=K306+3),"255.255.255.0",""))</f>
        <v/>
      </c>
      <c r="E306" s="0" t="str">
        <f aca="false">IF(I306="","",IF(AND(J306&gt;=1,J306&lt;=K306+3),"10."&amp;INDEX(Eingabe!$D$9:$D$18,I306)&amp;"."&amp;IF(J306&lt;=K306,J306,IF(J306=K306+1,200,IF(J306=K306+2,201,250)))&amp;".1",""))</f>
        <v/>
      </c>
      <c r="F306" s="0" t="str">
        <f aca="false">IF(I306="","",IF(AND(J306&gt;=1,J306&lt;=K306+3),"10."&amp;INDEX(Eingabe!$D$9:$D$18,I306)&amp;"."&amp;IF(J306&lt;=K306,J306,IF(J306=K306+1,200,IF(J306=K306+2,201,250)))&amp;".10 – 10."&amp;INDEX(Eingabe!$D$9:$D$18,I306)&amp;"."&amp;IF(J306&lt;=K306,J306,IF(J306=K306+1,200,IF(J306=K306+2,201,250)))&amp;".250",""))</f>
        <v/>
      </c>
      <c r="G306" s="0" t="str">
        <f aca="false">IF(I306="","",IF(AND(J306&gt;=1,J306&lt;=K306),Eingabe!$B$6&amp;"-"&amp;INDEX(Eingabe!$C$9:$C$18,I306)&amp;"-Pächter  ·  Passwort Parzelle "&amp;J306,IF(J306=K306+1,Eingabe!$B$6&amp;"-"&amp;INDEX(Eingabe!$C$9:$C$18,I306)&amp;"-Vorstand  ·  eigenes WLAN",IF(J306=K306+2,Eingabe!$B$6&amp;"-"&amp;INDEX(Eingabe!$C$9:$C$18,I306)&amp;"-Gäste  ·  Voucher",IF(J306=K306+3,"Kabel  ·  Access Point y = .(50+y), Mast-Switch x = .(10+x)","")))))</f>
        <v/>
      </c>
      <c r="I306" s="0" t="str">
        <f aca="false">IF(301&lt;=(Eingabe!$P$18+Eingabe!$Q$18-1),MATCH(301,Eingabe!$P$9:$P$18,1),"")</f>
        <v/>
      </c>
      <c r="J306" s="0" t="str">
        <f aca="false">IF(I306="","",301-INDEX(Eingabe!$P$9:$P$18,I306))</f>
        <v/>
      </c>
      <c r="K306" s="0" t="str">
        <f aca="false">IF(I306="","",INDEX(Eingabe!$E$9:$E$18,I306))</f>
        <v/>
      </c>
    </row>
    <row r="307" customFormat="false" ht="15" hidden="false" customHeight="false" outlineLevel="0" collapsed="false">
      <c r="A307" s="0" t="str">
        <f aca="false">IF(I307="","",IF(J307=0,"Sparte "&amp;I307&amp;": "&amp;INDEX(Eingabe!$B$9:$B$18,I307)&amp;"  (Sparten-ID "&amp;INDEX(Eingabe!$D$9:$D$18,I307)&amp;", "&amp;K307&amp;" Parzellen)",IF(J307&lt;=K307,"   Parzelle "&amp;J307,IF(J307=K307+1,"   Vorstand",IF(J307=K307+2,"   Gäste",IF(J307=K307+3,"   Technik (Switches, Access Points)",""))))))</f>
        <v/>
      </c>
      <c r="B307" s="0" t="str">
        <f aca="false">IF(I307="","",IF(AND(J307&gt;=1,J307&lt;=K307+3),IF(J307&lt;=K307,IF(J307&lt;=99,IF((INDEX(Eingabe!$G$9:$G$18,I307))&lt;=9,1000+(INDEX(Eingabe!$G$9:$G$18,I307))*100,3000)+J307,IF((INDEX(Eingabe!$G$9:$G$18,I307)+1)&lt;=9,1000+(INDEX(Eingabe!$G$9:$G$18,I307)+1)*100,3000)+J307-100),IF(J307=K307+1,2000+INDEX(Eingabe!$G$9:$G$18,I307)*10+1,IF(J307=K307+2,2000+INDEX(Eingabe!$G$9:$G$18,I307)*10+2,2000+INDEX(Eingabe!$G$9:$G$18,I307)*10+9))),""))</f>
        <v/>
      </c>
      <c r="C307" s="0" t="str">
        <f aca="false">IF(I307="","",IF(AND(J307&gt;=1,J307&lt;=K307+3),"10."&amp;INDEX(Eingabe!$D$9:$D$18,I307)&amp;"."&amp;IF(J307&lt;=K307,J307,IF(J307=K307+1,200,IF(J307=K307+2,201,250)))&amp;".0/24",""))</f>
        <v/>
      </c>
      <c r="D307" s="0" t="str">
        <f aca="false">IF(I307="","",IF(AND(J307&gt;=1,J307&lt;=K307+3),"255.255.255.0",""))</f>
        <v/>
      </c>
      <c r="E307" s="0" t="str">
        <f aca="false">IF(I307="","",IF(AND(J307&gt;=1,J307&lt;=K307+3),"10."&amp;INDEX(Eingabe!$D$9:$D$18,I307)&amp;"."&amp;IF(J307&lt;=K307,J307,IF(J307=K307+1,200,IF(J307=K307+2,201,250)))&amp;".1",""))</f>
        <v/>
      </c>
      <c r="F307" s="0" t="str">
        <f aca="false">IF(I307="","",IF(AND(J307&gt;=1,J307&lt;=K307+3),"10."&amp;INDEX(Eingabe!$D$9:$D$18,I307)&amp;"."&amp;IF(J307&lt;=K307,J307,IF(J307=K307+1,200,IF(J307=K307+2,201,250)))&amp;".10 – 10."&amp;INDEX(Eingabe!$D$9:$D$18,I307)&amp;"."&amp;IF(J307&lt;=K307,J307,IF(J307=K307+1,200,IF(J307=K307+2,201,250)))&amp;".250",""))</f>
        <v/>
      </c>
      <c r="G307" s="0" t="str">
        <f aca="false">IF(I307="","",IF(AND(J307&gt;=1,J307&lt;=K307),Eingabe!$B$6&amp;"-"&amp;INDEX(Eingabe!$C$9:$C$18,I307)&amp;"-Pächter  ·  Passwort Parzelle "&amp;J307,IF(J307=K307+1,Eingabe!$B$6&amp;"-"&amp;INDEX(Eingabe!$C$9:$C$18,I307)&amp;"-Vorstand  ·  eigenes WLAN",IF(J307=K307+2,Eingabe!$B$6&amp;"-"&amp;INDEX(Eingabe!$C$9:$C$18,I307)&amp;"-Gäste  ·  Voucher",IF(J307=K307+3,"Kabel  ·  Access Point y = .(50+y), Mast-Switch x = .(10+x)","")))))</f>
        <v/>
      </c>
      <c r="I307" s="0" t="str">
        <f aca="false">IF(302&lt;=(Eingabe!$P$18+Eingabe!$Q$18-1),MATCH(302,Eingabe!$P$9:$P$18,1),"")</f>
        <v/>
      </c>
      <c r="J307" s="0" t="str">
        <f aca="false">IF(I307="","",302-INDEX(Eingabe!$P$9:$P$18,I307))</f>
        <v/>
      </c>
      <c r="K307" s="0" t="str">
        <f aca="false">IF(I307="","",INDEX(Eingabe!$E$9:$E$18,I307))</f>
        <v/>
      </c>
    </row>
    <row r="308" customFormat="false" ht="15" hidden="false" customHeight="false" outlineLevel="0" collapsed="false">
      <c r="A308" s="0" t="str">
        <f aca="false">IF(I308="","",IF(J308=0,"Sparte "&amp;I308&amp;": "&amp;INDEX(Eingabe!$B$9:$B$18,I308)&amp;"  (Sparten-ID "&amp;INDEX(Eingabe!$D$9:$D$18,I308)&amp;", "&amp;K308&amp;" Parzellen)",IF(J308&lt;=K308,"   Parzelle "&amp;J308,IF(J308=K308+1,"   Vorstand",IF(J308=K308+2,"   Gäste",IF(J308=K308+3,"   Technik (Switches, Access Points)",""))))))</f>
        <v/>
      </c>
      <c r="B308" s="0" t="str">
        <f aca="false">IF(I308="","",IF(AND(J308&gt;=1,J308&lt;=K308+3),IF(J308&lt;=K308,IF(J308&lt;=99,IF((INDEX(Eingabe!$G$9:$G$18,I308))&lt;=9,1000+(INDEX(Eingabe!$G$9:$G$18,I308))*100,3000)+J308,IF((INDEX(Eingabe!$G$9:$G$18,I308)+1)&lt;=9,1000+(INDEX(Eingabe!$G$9:$G$18,I308)+1)*100,3000)+J308-100),IF(J308=K308+1,2000+INDEX(Eingabe!$G$9:$G$18,I308)*10+1,IF(J308=K308+2,2000+INDEX(Eingabe!$G$9:$G$18,I308)*10+2,2000+INDEX(Eingabe!$G$9:$G$18,I308)*10+9))),""))</f>
        <v/>
      </c>
      <c r="C308" s="0" t="str">
        <f aca="false">IF(I308="","",IF(AND(J308&gt;=1,J308&lt;=K308+3),"10."&amp;INDEX(Eingabe!$D$9:$D$18,I308)&amp;"."&amp;IF(J308&lt;=K308,J308,IF(J308=K308+1,200,IF(J308=K308+2,201,250)))&amp;".0/24",""))</f>
        <v/>
      </c>
      <c r="D308" s="0" t="str">
        <f aca="false">IF(I308="","",IF(AND(J308&gt;=1,J308&lt;=K308+3),"255.255.255.0",""))</f>
        <v/>
      </c>
      <c r="E308" s="0" t="str">
        <f aca="false">IF(I308="","",IF(AND(J308&gt;=1,J308&lt;=K308+3),"10."&amp;INDEX(Eingabe!$D$9:$D$18,I308)&amp;"."&amp;IF(J308&lt;=K308,J308,IF(J308=K308+1,200,IF(J308=K308+2,201,250)))&amp;".1",""))</f>
        <v/>
      </c>
      <c r="F308" s="0" t="str">
        <f aca="false">IF(I308="","",IF(AND(J308&gt;=1,J308&lt;=K308+3),"10."&amp;INDEX(Eingabe!$D$9:$D$18,I308)&amp;"."&amp;IF(J308&lt;=K308,J308,IF(J308=K308+1,200,IF(J308=K308+2,201,250)))&amp;".10 – 10."&amp;INDEX(Eingabe!$D$9:$D$18,I308)&amp;"."&amp;IF(J308&lt;=K308,J308,IF(J308=K308+1,200,IF(J308=K308+2,201,250)))&amp;".250",""))</f>
        <v/>
      </c>
      <c r="G308" s="0" t="str">
        <f aca="false">IF(I308="","",IF(AND(J308&gt;=1,J308&lt;=K308),Eingabe!$B$6&amp;"-"&amp;INDEX(Eingabe!$C$9:$C$18,I308)&amp;"-Pächter  ·  Passwort Parzelle "&amp;J308,IF(J308=K308+1,Eingabe!$B$6&amp;"-"&amp;INDEX(Eingabe!$C$9:$C$18,I308)&amp;"-Vorstand  ·  eigenes WLAN",IF(J308=K308+2,Eingabe!$B$6&amp;"-"&amp;INDEX(Eingabe!$C$9:$C$18,I308)&amp;"-Gäste  ·  Voucher",IF(J308=K308+3,"Kabel  ·  Access Point y = .(50+y), Mast-Switch x = .(10+x)","")))))</f>
        <v/>
      </c>
      <c r="I308" s="0" t="str">
        <f aca="false">IF(303&lt;=(Eingabe!$P$18+Eingabe!$Q$18-1),MATCH(303,Eingabe!$P$9:$P$18,1),"")</f>
        <v/>
      </c>
      <c r="J308" s="0" t="str">
        <f aca="false">IF(I308="","",303-INDEX(Eingabe!$P$9:$P$18,I308))</f>
        <v/>
      </c>
      <c r="K308" s="0" t="str">
        <f aca="false">IF(I308="","",INDEX(Eingabe!$E$9:$E$18,I308))</f>
        <v/>
      </c>
    </row>
    <row r="309" customFormat="false" ht="15" hidden="false" customHeight="false" outlineLevel="0" collapsed="false">
      <c r="A309" s="0" t="str">
        <f aca="false">IF(I309="","",IF(J309=0,"Sparte "&amp;I309&amp;": "&amp;INDEX(Eingabe!$B$9:$B$18,I309)&amp;"  (Sparten-ID "&amp;INDEX(Eingabe!$D$9:$D$18,I309)&amp;", "&amp;K309&amp;" Parzellen)",IF(J309&lt;=K309,"   Parzelle "&amp;J309,IF(J309=K309+1,"   Vorstand",IF(J309=K309+2,"   Gäste",IF(J309=K309+3,"   Technik (Switches, Access Points)",""))))))</f>
        <v/>
      </c>
      <c r="B309" s="0" t="str">
        <f aca="false">IF(I309="","",IF(AND(J309&gt;=1,J309&lt;=K309+3),IF(J309&lt;=K309,IF(J309&lt;=99,IF((INDEX(Eingabe!$G$9:$G$18,I309))&lt;=9,1000+(INDEX(Eingabe!$G$9:$G$18,I309))*100,3000)+J309,IF((INDEX(Eingabe!$G$9:$G$18,I309)+1)&lt;=9,1000+(INDEX(Eingabe!$G$9:$G$18,I309)+1)*100,3000)+J309-100),IF(J309=K309+1,2000+INDEX(Eingabe!$G$9:$G$18,I309)*10+1,IF(J309=K309+2,2000+INDEX(Eingabe!$G$9:$G$18,I309)*10+2,2000+INDEX(Eingabe!$G$9:$G$18,I309)*10+9))),""))</f>
        <v/>
      </c>
      <c r="C309" s="0" t="str">
        <f aca="false">IF(I309="","",IF(AND(J309&gt;=1,J309&lt;=K309+3),"10."&amp;INDEX(Eingabe!$D$9:$D$18,I309)&amp;"."&amp;IF(J309&lt;=K309,J309,IF(J309=K309+1,200,IF(J309=K309+2,201,250)))&amp;".0/24",""))</f>
        <v/>
      </c>
      <c r="D309" s="0" t="str">
        <f aca="false">IF(I309="","",IF(AND(J309&gt;=1,J309&lt;=K309+3),"255.255.255.0",""))</f>
        <v/>
      </c>
      <c r="E309" s="0" t="str">
        <f aca="false">IF(I309="","",IF(AND(J309&gt;=1,J309&lt;=K309+3),"10."&amp;INDEX(Eingabe!$D$9:$D$18,I309)&amp;"."&amp;IF(J309&lt;=K309,J309,IF(J309=K309+1,200,IF(J309=K309+2,201,250)))&amp;".1",""))</f>
        <v/>
      </c>
      <c r="F309" s="0" t="str">
        <f aca="false">IF(I309="","",IF(AND(J309&gt;=1,J309&lt;=K309+3),"10."&amp;INDEX(Eingabe!$D$9:$D$18,I309)&amp;"."&amp;IF(J309&lt;=K309,J309,IF(J309=K309+1,200,IF(J309=K309+2,201,250)))&amp;".10 – 10."&amp;INDEX(Eingabe!$D$9:$D$18,I309)&amp;"."&amp;IF(J309&lt;=K309,J309,IF(J309=K309+1,200,IF(J309=K309+2,201,250)))&amp;".250",""))</f>
        <v/>
      </c>
      <c r="G309" s="0" t="str">
        <f aca="false">IF(I309="","",IF(AND(J309&gt;=1,J309&lt;=K309),Eingabe!$B$6&amp;"-"&amp;INDEX(Eingabe!$C$9:$C$18,I309)&amp;"-Pächter  ·  Passwort Parzelle "&amp;J309,IF(J309=K309+1,Eingabe!$B$6&amp;"-"&amp;INDEX(Eingabe!$C$9:$C$18,I309)&amp;"-Vorstand  ·  eigenes WLAN",IF(J309=K309+2,Eingabe!$B$6&amp;"-"&amp;INDEX(Eingabe!$C$9:$C$18,I309)&amp;"-Gäste  ·  Voucher",IF(J309=K309+3,"Kabel  ·  Access Point y = .(50+y), Mast-Switch x = .(10+x)","")))))</f>
        <v/>
      </c>
      <c r="I309" s="0" t="str">
        <f aca="false">IF(304&lt;=(Eingabe!$P$18+Eingabe!$Q$18-1),MATCH(304,Eingabe!$P$9:$P$18,1),"")</f>
        <v/>
      </c>
      <c r="J309" s="0" t="str">
        <f aca="false">IF(I309="","",304-INDEX(Eingabe!$P$9:$P$18,I309))</f>
        <v/>
      </c>
      <c r="K309" s="0" t="str">
        <f aca="false">IF(I309="","",INDEX(Eingabe!$E$9:$E$18,I309))</f>
        <v/>
      </c>
    </row>
    <row r="310" customFormat="false" ht="15" hidden="false" customHeight="false" outlineLevel="0" collapsed="false">
      <c r="A310" s="0" t="str">
        <f aca="false">IF(I310="","",IF(J310=0,"Sparte "&amp;I310&amp;": "&amp;INDEX(Eingabe!$B$9:$B$18,I310)&amp;"  (Sparten-ID "&amp;INDEX(Eingabe!$D$9:$D$18,I310)&amp;", "&amp;K310&amp;" Parzellen)",IF(J310&lt;=K310,"   Parzelle "&amp;J310,IF(J310=K310+1,"   Vorstand",IF(J310=K310+2,"   Gäste",IF(J310=K310+3,"   Technik (Switches, Access Points)",""))))))</f>
        <v/>
      </c>
      <c r="B310" s="0" t="str">
        <f aca="false">IF(I310="","",IF(AND(J310&gt;=1,J310&lt;=K310+3),IF(J310&lt;=K310,IF(J310&lt;=99,IF((INDEX(Eingabe!$G$9:$G$18,I310))&lt;=9,1000+(INDEX(Eingabe!$G$9:$G$18,I310))*100,3000)+J310,IF((INDEX(Eingabe!$G$9:$G$18,I310)+1)&lt;=9,1000+(INDEX(Eingabe!$G$9:$G$18,I310)+1)*100,3000)+J310-100),IF(J310=K310+1,2000+INDEX(Eingabe!$G$9:$G$18,I310)*10+1,IF(J310=K310+2,2000+INDEX(Eingabe!$G$9:$G$18,I310)*10+2,2000+INDEX(Eingabe!$G$9:$G$18,I310)*10+9))),""))</f>
        <v/>
      </c>
      <c r="C310" s="0" t="str">
        <f aca="false">IF(I310="","",IF(AND(J310&gt;=1,J310&lt;=K310+3),"10."&amp;INDEX(Eingabe!$D$9:$D$18,I310)&amp;"."&amp;IF(J310&lt;=K310,J310,IF(J310=K310+1,200,IF(J310=K310+2,201,250)))&amp;".0/24",""))</f>
        <v/>
      </c>
      <c r="D310" s="0" t="str">
        <f aca="false">IF(I310="","",IF(AND(J310&gt;=1,J310&lt;=K310+3),"255.255.255.0",""))</f>
        <v/>
      </c>
      <c r="E310" s="0" t="str">
        <f aca="false">IF(I310="","",IF(AND(J310&gt;=1,J310&lt;=K310+3),"10."&amp;INDEX(Eingabe!$D$9:$D$18,I310)&amp;"."&amp;IF(J310&lt;=K310,J310,IF(J310=K310+1,200,IF(J310=K310+2,201,250)))&amp;".1",""))</f>
        <v/>
      </c>
      <c r="F310" s="0" t="str">
        <f aca="false">IF(I310="","",IF(AND(J310&gt;=1,J310&lt;=K310+3),"10."&amp;INDEX(Eingabe!$D$9:$D$18,I310)&amp;"."&amp;IF(J310&lt;=K310,J310,IF(J310=K310+1,200,IF(J310=K310+2,201,250)))&amp;".10 – 10."&amp;INDEX(Eingabe!$D$9:$D$18,I310)&amp;"."&amp;IF(J310&lt;=K310,J310,IF(J310=K310+1,200,IF(J310=K310+2,201,250)))&amp;".250",""))</f>
        <v/>
      </c>
      <c r="G310" s="0" t="str">
        <f aca="false">IF(I310="","",IF(AND(J310&gt;=1,J310&lt;=K310),Eingabe!$B$6&amp;"-"&amp;INDEX(Eingabe!$C$9:$C$18,I310)&amp;"-Pächter  ·  Passwort Parzelle "&amp;J310,IF(J310=K310+1,Eingabe!$B$6&amp;"-"&amp;INDEX(Eingabe!$C$9:$C$18,I310)&amp;"-Vorstand  ·  eigenes WLAN",IF(J310=K310+2,Eingabe!$B$6&amp;"-"&amp;INDEX(Eingabe!$C$9:$C$18,I310)&amp;"-Gäste  ·  Voucher",IF(J310=K310+3,"Kabel  ·  Access Point y = .(50+y), Mast-Switch x = .(10+x)","")))))</f>
        <v/>
      </c>
      <c r="I310" s="0" t="str">
        <f aca="false">IF(305&lt;=(Eingabe!$P$18+Eingabe!$Q$18-1),MATCH(305,Eingabe!$P$9:$P$18,1),"")</f>
        <v/>
      </c>
      <c r="J310" s="0" t="str">
        <f aca="false">IF(I310="","",305-INDEX(Eingabe!$P$9:$P$18,I310))</f>
        <v/>
      </c>
      <c r="K310" s="0" t="str">
        <f aca="false">IF(I310="","",INDEX(Eingabe!$E$9:$E$18,I310))</f>
        <v/>
      </c>
    </row>
    <row r="311" customFormat="false" ht="15" hidden="false" customHeight="false" outlineLevel="0" collapsed="false">
      <c r="A311" s="0" t="str">
        <f aca="false">IF(I311="","",IF(J311=0,"Sparte "&amp;I311&amp;": "&amp;INDEX(Eingabe!$B$9:$B$18,I311)&amp;"  (Sparten-ID "&amp;INDEX(Eingabe!$D$9:$D$18,I311)&amp;", "&amp;K311&amp;" Parzellen)",IF(J311&lt;=K311,"   Parzelle "&amp;J311,IF(J311=K311+1,"   Vorstand",IF(J311=K311+2,"   Gäste",IF(J311=K311+3,"   Technik (Switches, Access Points)",""))))))</f>
        <v/>
      </c>
      <c r="B311" s="0" t="str">
        <f aca="false">IF(I311="","",IF(AND(J311&gt;=1,J311&lt;=K311+3),IF(J311&lt;=K311,IF(J311&lt;=99,IF((INDEX(Eingabe!$G$9:$G$18,I311))&lt;=9,1000+(INDEX(Eingabe!$G$9:$G$18,I311))*100,3000)+J311,IF((INDEX(Eingabe!$G$9:$G$18,I311)+1)&lt;=9,1000+(INDEX(Eingabe!$G$9:$G$18,I311)+1)*100,3000)+J311-100),IF(J311=K311+1,2000+INDEX(Eingabe!$G$9:$G$18,I311)*10+1,IF(J311=K311+2,2000+INDEX(Eingabe!$G$9:$G$18,I311)*10+2,2000+INDEX(Eingabe!$G$9:$G$18,I311)*10+9))),""))</f>
        <v/>
      </c>
      <c r="C311" s="0" t="str">
        <f aca="false">IF(I311="","",IF(AND(J311&gt;=1,J311&lt;=K311+3),"10."&amp;INDEX(Eingabe!$D$9:$D$18,I311)&amp;"."&amp;IF(J311&lt;=K311,J311,IF(J311=K311+1,200,IF(J311=K311+2,201,250)))&amp;".0/24",""))</f>
        <v/>
      </c>
      <c r="D311" s="0" t="str">
        <f aca="false">IF(I311="","",IF(AND(J311&gt;=1,J311&lt;=K311+3),"255.255.255.0",""))</f>
        <v/>
      </c>
      <c r="E311" s="0" t="str">
        <f aca="false">IF(I311="","",IF(AND(J311&gt;=1,J311&lt;=K311+3),"10."&amp;INDEX(Eingabe!$D$9:$D$18,I311)&amp;"."&amp;IF(J311&lt;=K311,J311,IF(J311=K311+1,200,IF(J311=K311+2,201,250)))&amp;".1",""))</f>
        <v/>
      </c>
      <c r="F311" s="0" t="str">
        <f aca="false">IF(I311="","",IF(AND(J311&gt;=1,J311&lt;=K311+3),"10."&amp;INDEX(Eingabe!$D$9:$D$18,I311)&amp;"."&amp;IF(J311&lt;=K311,J311,IF(J311=K311+1,200,IF(J311=K311+2,201,250)))&amp;".10 – 10."&amp;INDEX(Eingabe!$D$9:$D$18,I311)&amp;"."&amp;IF(J311&lt;=K311,J311,IF(J311=K311+1,200,IF(J311=K311+2,201,250)))&amp;".250",""))</f>
        <v/>
      </c>
      <c r="G311" s="0" t="str">
        <f aca="false">IF(I311="","",IF(AND(J311&gt;=1,J311&lt;=K311),Eingabe!$B$6&amp;"-"&amp;INDEX(Eingabe!$C$9:$C$18,I311)&amp;"-Pächter  ·  Passwort Parzelle "&amp;J311,IF(J311=K311+1,Eingabe!$B$6&amp;"-"&amp;INDEX(Eingabe!$C$9:$C$18,I311)&amp;"-Vorstand  ·  eigenes WLAN",IF(J311=K311+2,Eingabe!$B$6&amp;"-"&amp;INDEX(Eingabe!$C$9:$C$18,I311)&amp;"-Gäste  ·  Voucher",IF(J311=K311+3,"Kabel  ·  Access Point y = .(50+y), Mast-Switch x = .(10+x)","")))))</f>
        <v/>
      </c>
      <c r="I311" s="0" t="str">
        <f aca="false">IF(306&lt;=(Eingabe!$P$18+Eingabe!$Q$18-1),MATCH(306,Eingabe!$P$9:$P$18,1),"")</f>
        <v/>
      </c>
      <c r="J311" s="0" t="str">
        <f aca="false">IF(I311="","",306-INDEX(Eingabe!$P$9:$P$18,I311))</f>
        <v/>
      </c>
      <c r="K311" s="0" t="str">
        <f aca="false">IF(I311="","",INDEX(Eingabe!$E$9:$E$18,I311))</f>
        <v/>
      </c>
    </row>
    <row r="312" customFormat="false" ht="15" hidden="false" customHeight="false" outlineLevel="0" collapsed="false">
      <c r="A312" s="0" t="str">
        <f aca="false">IF(I312="","",IF(J312=0,"Sparte "&amp;I312&amp;": "&amp;INDEX(Eingabe!$B$9:$B$18,I312)&amp;"  (Sparten-ID "&amp;INDEX(Eingabe!$D$9:$D$18,I312)&amp;", "&amp;K312&amp;" Parzellen)",IF(J312&lt;=K312,"   Parzelle "&amp;J312,IF(J312=K312+1,"   Vorstand",IF(J312=K312+2,"   Gäste",IF(J312=K312+3,"   Technik (Switches, Access Points)",""))))))</f>
        <v/>
      </c>
      <c r="B312" s="0" t="str">
        <f aca="false">IF(I312="","",IF(AND(J312&gt;=1,J312&lt;=K312+3),IF(J312&lt;=K312,IF(J312&lt;=99,IF((INDEX(Eingabe!$G$9:$G$18,I312))&lt;=9,1000+(INDEX(Eingabe!$G$9:$G$18,I312))*100,3000)+J312,IF((INDEX(Eingabe!$G$9:$G$18,I312)+1)&lt;=9,1000+(INDEX(Eingabe!$G$9:$G$18,I312)+1)*100,3000)+J312-100),IF(J312=K312+1,2000+INDEX(Eingabe!$G$9:$G$18,I312)*10+1,IF(J312=K312+2,2000+INDEX(Eingabe!$G$9:$G$18,I312)*10+2,2000+INDEX(Eingabe!$G$9:$G$18,I312)*10+9))),""))</f>
        <v/>
      </c>
      <c r="C312" s="0" t="str">
        <f aca="false">IF(I312="","",IF(AND(J312&gt;=1,J312&lt;=K312+3),"10."&amp;INDEX(Eingabe!$D$9:$D$18,I312)&amp;"."&amp;IF(J312&lt;=K312,J312,IF(J312=K312+1,200,IF(J312=K312+2,201,250)))&amp;".0/24",""))</f>
        <v/>
      </c>
      <c r="D312" s="0" t="str">
        <f aca="false">IF(I312="","",IF(AND(J312&gt;=1,J312&lt;=K312+3),"255.255.255.0",""))</f>
        <v/>
      </c>
      <c r="E312" s="0" t="str">
        <f aca="false">IF(I312="","",IF(AND(J312&gt;=1,J312&lt;=K312+3),"10."&amp;INDEX(Eingabe!$D$9:$D$18,I312)&amp;"."&amp;IF(J312&lt;=K312,J312,IF(J312=K312+1,200,IF(J312=K312+2,201,250)))&amp;".1",""))</f>
        <v/>
      </c>
      <c r="F312" s="0" t="str">
        <f aca="false">IF(I312="","",IF(AND(J312&gt;=1,J312&lt;=K312+3),"10."&amp;INDEX(Eingabe!$D$9:$D$18,I312)&amp;"."&amp;IF(J312&lt;=K312,J312,IF(J312=K312+1,200,IF(J312=K312+2,201,250)))&amp;".10 – 10."&amp;INDEX(Eingabe!$D$9:$D$18,I312)&amp;"."&amp;IF(J312&lt;=K312,J312,IF(J312=K312+1,200,IF(J312=K312+2,201,250)))&amp;".250",""))</f>
        <v/>
      </c>
      <c r="G312" s="0" t="str">
        <f aca="false">IF(I312="","",IF(AND(J312&gt;=1,J312&lt;=K312),Eingabe!$B$6&amp;"-"&amp;INDEX(Eingabe!$C$9:$C$18,I312)&amp;"-Pächter  ·  Passwort Parzelle "&amp;J312,IF(J312=K312+1,Eingabe!$B$6&amp;"-"&amp;INDEX(Eingabe!$C$9:$C$18,I312)&amp;"-Vorstand  ·  eigenes WLAN",IF(J312=K312+2,Eingabe!$B$6&amp;"-"&amp;INDEX(Eingabe!$C$9:$C$18,I312)&amp;"-Gäste  ·  Voucher",IF(J312=K312+3,"Kabel  ·  Access Point y = .(50+y), Mast-Switch x = .(10+x)","")))))</f>
        <v/>
      </c>
      <c r="I312" s="0" t="str">
        <f aca="false">IF(307&lt;=(Eingabe!$P$18+Eingabe!$Q$18-1),MATCH(307,Eingabe!$P$9:$P$18,1),"")</f>
        <v/>
      </c>
      <c r="J312" s="0" t="str">
        <f aca="false">IF(I312="","",307-INDEX(Eingabe!$P$9:$P$18,I312))</f>
        <v/>
      </c>
      <c r="K312" s="0" t="str">
        <f aca="false">IF(I312="","",INDEX(Eingabe!$E$9:$E$18,I312))</f>
        <v/>
      </c>
    </row>
    <row r="313" customFormat="false" ht="15" hidden="false" customHeight="false" outlineLevel="0" collapsed="false">
      <c r="A313" s="0" t="str">
        <f aca="false">IF(I313="","",IF(J313=0,"Sparte "&amp;I313&amp;": "&amp;INDEX(Eingabe!$B$9:$B$18,I313)&amp;"  (Sparten-ID "&amp;INDEX(Eingabe!$D$9:$D$18,I313)&amp;", "&amp;K313&amp;" Parzellen)",IF(J313&lt;=K313,"   Parzelle "&amp;J313,IF(J313=K313+1,"   Vorstand",IF(J313=K313+2,"   Gäste",IF(J313=K313+3,"   Technik (Switches, Access Points)",""))))))</f>
        <v/>
      </c>
      <c r="B313" s="0" t="str">
        <f aca="false">IF(I313="","",IF(AND(J313&gt;=1,J313&lt;=K313+3),IF(J313&lt;=K313,IF(J313&lt;=99,IF((INDEX(Eingabe!$G$9:$G$18,I313))&lt;=9,1000+(INDEX(Eingabe!$G$9:$G$18,I313))*100,3000)+J313,IF((INDEX(Eingabe!$G$9:$G$18,I313)+1)&lt;=9,1000+(INDEX(Eingabe!$G$9:$G$18,I313)+1)*100,3000)+J313-100),IF(J313=K313+1,2000+INDEX(Eingabe!$G$9:$G$18,I313)*10+1,IF(J313=K313+2,2000+INDEX(Eingabe!$G$9:$G$18,I313)*10+2,2000+INDEX(Eingabe!$G$9:$G$18,I313)*10+9))),""))</f>
        <v/>
      </c>
      <c r="C313" s="0" t="str">
        <f aca="false">IF(I313="","",IF(AND(J313&gt;=1,J313&lt;=K313+3),"10."&amp;INDEX(Eingabe!$D$9:$D$18,I313)&amp;"."&amp;IF(J313&lt;=K313,J313,IF(J313=K313+1,200,IF(J313=K313+2,201,250)))&amp;".0/24",""))</f>
        <v/>
      </c>
      <c r="D313" s="0" t="str">
        <f aca="false">IF(I313="","",IF(AND(J313&gt;=1,J313&lt;=K313+3),"255.255.255.0",""))</f>
        <v/>
      </c>
      <c r="E313" s="0" t="str">
        <f aca="false">IF(I313="","",IF(AND(J313&gt;=1,J313&lt;=K313+3),"10."&amp;INDEX(Eingabe!$D$9:$D$18,I313)&amp;"."&amp;IF(J313&lt;=K313,J313,IF(J313=K313+1,200,IF(J313=K313+2,201,250)))&amp;".1",""))</f>
        <v/>
      </c>
      <c r="F313" s="0" t="str">
        <f aca="false">IF(I313="","",IF(AND(J313&gt;=1,J313&lt;=K313+3),"10."&amp;INDEX(Eingabe!$D$9:$D$18,I313)&amp;"."&amp;IF(J313&lt;=K313,J313,IF(J313=K313+1,200,IF(J313=K313+2,201,250)))&amp;".10 – 10."&amp;INDEX(Eingabe!$D$9:$D$18,I313)&amp;"."&amp;IF(J313&lt;=K313,J313,IF(J313=K313+1,200,IF(J313=K313+2,201,250)))&amp;".250",""))</f>
        <v/>
      </c>
      <c r="G313" s="0" t="str">
        <f aca="false">IF(I313="","",IF(AND(J313&gt;=1,J313&lt;=K313),Eingabe!$B$6&amp;"-"&amp;INDEX(Eingabe!$C$9:$C$18,I313)&amp;"-Pächter  ·  Passwort Parzelle "&amp;J313,IF(J313=K313+1,Eingabe!$B$6&amp;"-"&amp;INDEX(Eingabe!$C$9:$C$18,I313)&amp;"-Vorstand  ·  eigenes WLAN",IF(J313=K313+2,Eingabe!$B$6&amp;"-"&amp;INDEX(Eingabe!$C$9:$C$18,I313)&amp;"-Gäste  ·  Voucher",IF(J313=K313+3,"Kabel  ·  Access Point y = .(50+y), Mast-Switch x = .(10+x)","")))))</f>
        <v/>
      </c>
      <c r="I313" s="0" t="str">
        <f aca="false">IF(308&lt;=(Eingabe!$P$18+Eingabe!$Q$18-1),MATCH(308,Eingabe!$P$9:$P$18,1),"")</f>
        <v/>
      </c>
      <c r="J313" s="0" t="str">
        <f aca="false">IF(I313="","",308-INDEX(Eingabe!$P$9:$P$18,I313))</f>
        <v/>
      </c>
      <c r="K313" s="0" t="str">
        <f aca="false">IF(I313="","",INDEX(Eingabe!$E$9:$E$18,I313))</f>
        <v/>
      </c>
    </row>
    <row r="314" customFormat="false" ht="15" hidden="false" customHeight="false" outlineLevel="0" collapsed="false">
      <c r="A314" s="0" t="str">
        <f aca="false">IF(I314="","",IF(J314=0,"Sparte "&amp;I314&amp;": "&amp;INDEX(Eingabe!$B$9:$B$18,I314)&amp;"  (Sparten-ID "&amp;INDEX(Eingabe!$D$9:$D$18,I314)&amp;", "&amp;K314&amp;" Parzellen)",IF(J314&lt;=K314,"   Parzelle "&amp;J314,IF(J314=K314+1,"   Vorstand",IF(J314=K314+2,"   Gäste",IF(J314=K314+3,"   Technik (Switches, Access Points)",""))))))</f>
        <v/>
      </c>
      <c r="B314" s="0" t="str">
        <f aca="false">IF(I314="","",IF(AND(J314&gt;=1,J314&lt;=K314+3),IF(J314&lt;=K314,IF(J314&lt;=99,IF((INDEX(Eingabe!$G$9:$G$18,I314))&lt;=9,1000+(INDEX(Eingabe!$G$9:$G$18,I314))*100,3000)+J314,IF((INDEX(Eingabe!$G$9:$G$18,I314)+1)&lt;=9,1000+(INDEX(Eingabe!$G$9:$G$18,I314)+1)*100,3000)+J314-100),IF(J314=K314+1,2000+INDEX(Eingabe!$G$9:$G$18,I314)*10+1,IF(J314=K314+2,2000+INDEX(Eingabe!$G$9:$G$18,I314)*10+2,2000+INDEX(Eingabe!$G$9:$G$18,I314)*10+9))),""))</f>
        <v/>
      </c>
      <c r="C314" s="0" t="str">
        <f aca="false">IF(I314="","",IF(AND(J314&gt;=1,J314&lt;=K314+3),"10."&amp;INDEX(Eingabe!$D$9:$D$18,I314)&amp;"."&amp;IF(J314&lt;=K314,J314,IF(J314=K314+1,200,IF(J314=K314+2,201,250)))&amp;".0/24",""))</f>
        <v/>
      </c>
      <c r="D314" s="0" t="str">
        <f aca="false">IF(I314="","",IF(AND(J314&gt;=1,J314&lt;=K314+3),"255.255.255.0",""))</f>
        <v/>
      </c>
      <c r="E314" s="0" t="str">
        <f aca="false">IF(I314="","",IF(AND(J314&gt;=1,J314&lt;=K314+3),"10."&amp;INDEX(Eingabe!$D$9:$D$18,I314)&amp;"."&amp;IF(J314&lt;=K314,J314,IF(J314=K314+1,200,IF(J314=K314+2,201,250)))&amp;".1",""))</f>
        <v/>
      </c>
      <c r="F314" s="0" t="str">
        <f aca="false">IF(I314="","",IF(AND(J314&gt;=1,J314&lt;=K314+3),"10."&amp;INDEX(Eingabe!$D$9:$D$18,I314)&amp;"."&amp;IF(J314&lt;=K314,J314,IF(J314=K314+1,200,IF(J314=K314+2,201,250)))&amp;".10 – 10."&amp;INDEX(Eingabe!$D$9:$D$18,I314)&amp;"."&amp;IF(J314&lt;=K314,J314,IF(J314=K314+1,200,IF(J314=K314+2,201,250)))&amp;".250",""))</f>
        <v/>
      </c>
      <c r="G314" s="0" t="str">
        <f aca="false">IF(I314="","",IF(AND(J314&gt;=1,J314&lt;=K314),Eingabe!$B$6&amp;"-"&amp;INDEX(Eingabe!$C$9:$C$18,I314)&amp;"-Pächter  ·  Passwort Parzelle "&amp;J314,IF(J314=K314+1,Eingabe!$B$6&amp;"-"&amp;INDEX(Eingabe!$C$9:$C$18,I314)&amp;"-Vorstand  ·  eigenes WLAN",IF(J314=K314+2,Eingabe!$B$6&amp;"-"&amp;INDEX(Eingabe!$C$9:$C$18,I314)&amp;"-Gäste  ·  Voucher",IF(J314=K314+3,"Kabel  ·  Access Point y = .(50+y), Mast-Switch x = .(10+x)","")))))</f>
        <v/>
      </c>
      <c r="I314" s="0" t="str">
        <f aca="false">IF(309&lt;=(Eingabe!$P$18+Eingabe!$Q$18-1),MATCH(309,Eingabe!$P$9:$P$18,1),"")</f>
        <v/>
      </c>
      <c r="J314" s="0" t="str">
        <f aca="false">IF(I314="","",309-INDEX(Eingabe!$P$9:$P$18,I314))</f>
        <v/>
      </c>
      <c r="K314" s="0" t="str">
        <f aca="false">IF(I314="","",INDEX(Eingabe!$E$9:$E$18,I314))</f>
        <v/>
      </c>
    </row>
    <row r="315" customFormat="false" ht="15" hidden="false" customHeight="false" outlineLevel="0" collapsed="false">
      <c r="A315" s="0" t="str">
        <f aca="false">IF(I315="","",IF(J315=0,"Sparte "&amp;I315&amp;": "&amp;INDEX(Eingabe!$B$9:$B$18,I315)&amp;"  (Sparten-ID "&amp;INDEX(Eingabe!$D$9:$D$18,I315)&amp;", "&amp;K315&amp;" Parzellen)",IF(J315&lt;=K315,"   Parzelle "&amp;J315,IF(J315=K315+1,"   Vorstand",IF(J315=K315+2,"   Gäste",IF(J315=K315+3,"   Technik (Switches, Access Points)",""))))))</f>
        <v/>
      </c>
      <c r="B315" s="0" t="str">
        <f aca="false">IF(I315="","",IF(AND(J315&gt;=1,J315&lt;=K315+3),IF(J315&lt;=K315,IF(J315&lt;=99,IF((INDEX(Eingabe!$G$9:$G$18,I315))&lt;=9,1000+(INDEX(Eingabe!$G$9:$G$18,I315))*100,3000)+J315,IF((INDEX(Eingabe!$G$9:$G$18,I315)+1)&lt;=9,1000+(INDEX(Eingabe!$G$9:$G$18,I315)+1)*100,3000)+J315-100),IF(J315=K315+1,2000+INDEX(Eingabe!$G$9:$G$18,I315)*10+1,IF(J315=K315+2,2000+INDEX(Eingabe!$G$9:$G$18,I315)*10+2,2000+INDEX(Eingabe!$G$9:$G$18,I315)*10+9))),""))</f>
        <v/>
      </c>
      <c r="C315" s="0" t="str">
        <f aca="false">IF(I315="","",IF(AND(J315&gt;=1,J315&lt;=K315+3),"10."&amp;INDEX(Eingabe!$D$9:$D$18,I315)&amp;"."&amp;IF(J315&lt;=K315,J315,IF(J315=K315+1,200,IF(J315=K315+2,201,250)))&amp;".0/24",""))</f>
        <v/>
      </c>
      <c r="D315" s="0" t="str">
        <f aca="false">IF(I315="","",IF(AND(J315&gt;=1,J315&lt;=K315+3),"255.255.255.0",""))</f>
        <v/>
      </c>
      <c r="E315" s="0" t="str">
        <f aca="false">IF(I315="","",IF(AND(J315&gt;=1,J315&lt;=K315+3),"10."&amp;INDEX(Eingabe!$D$9:$D$18,I315)&amp;"."&amp;IF(J315&lt;=K315,J315,IF(J315=K315+1,200,IF(J315=K315+2,201,250)))&amp;".1",""))</f>
        <v/>
      </c>
      <c r="F315" s="0" t="str">
        <f aca="false">IF(I315="","",IF(AND(J315&gt;=1,J315&lt;=K315+3),"10."&amp;INDEX(Eingabe!$D$9:$D$18,I315)&amp;"."&amp;IF(J315&lt;=K315,J315,IF(J315=K315+1,200,IF(J315=K315+2,201,250)))&amp;".10 – 10."&amp;INDEX(Eingabe!$D$9:$D$18,I315)&amp;"."&amp;IF(J315&lt;=K315,J315,IF(J315=K315+1,200,IF(J315=K315+2,201,250)))&amp;".250",""))</f>
        <v/>
      </c>
      <c r="G315" s="0" t="str">
        <f aca="false">IF(I315="","",IF(AND(J315&gt;=1,J315&lt;=K315),Eingabe!$B$6&amp;"-"&amp;INDEX(Eingabe!$C$9:$C$18,I315)&amp;"-Pächter  ·  Passwort Parzelle "&amp;J315,IF(J315=K315+1,Eingabe!$B$6&amp;"-"&amp;INDEX(Eingabe!$C$9:$C$18,I315)&amp;"-Vorstand  ·  eigenes WLAN",IF(J315=K315+2,Eingabe!$B$6&amp;"-"&amp;INDEX(Eingabe!$C$9:$C$18,I315)&amp;"-Gäste  ·  Voucher",IF(J315=K315+3,"Kabel  ·  Access Point y = .(50+y), Mast-Switch x = .(10+x)","")))))</f>
        <v/>
      </c>
      <c r="I315" s="0" t="str">
        <f aca="false">IF(310&lt;=(Eingabe!$P$18+Eingabe!$Q$18-1),MATCH(310,Eingabe!$P$9:$P$18,1),"")</f>
        <v/>
      </c>
      <c r="J315" s="0" t="str">
        <f aca="false">IF(I315="","",310-INDEX(Eingabe!$P$9:$P$18,I315))</f>
        <v/>
      </c>
      <c r="K315" s="0" t="str">
        <f aca="false">IF(I315="","",INDEX(Eingabe!$E$9:$E$18,I315))</f>
        <v/>
      </c>
    </row>
    <row r="316" customFormat="false" ht="15" hidden="false" customHeight="false" outlineLevel="0" collapsed="false">
      <c r="A316" s="0" t="str">
        <f aca="false">IF(I316="","",IF(J316=0,"Sparte "&amp;I316&amp;": "&amp;INDEX(Eingabe!$B$9:$B$18,I316)&amp;"  (Sparten-ID "&amp;INDEX(Eingabe!$D$9:$D$18,I316)&amp;", "&amp;K316&amp;" Parzellen)",IF(J316&lt;=K316,"   Parzelle "&amp;J316,IF(J316=K316+1,"   Vorstand",IF(J316=K316+2,"   Gäste",IF(J316=K316+3,"   Technik (Switches, Access Points)",""))))))</f>
        <v/>
      </c>
      <c r="B316" s="0" t="str">
        <f aca="false">IF(I316="","",IF(AND(J316&gt;=1,J316&lt;=K316+3),IF(J316&lt;=K316,IF(J316&lt;=99,IF((INDEX(Eingabe!$G$9:$G$18,I316))&lt;=9,1000+(INDEX(Eingabe!$G$9:$G$18,I316))*100,3000)+J316,IF((INDEX(Eingabe!$G$9:$G$18,I316)+1)&lt;=9,1000+(INDEX(Eingabe!$G$9:$G$18,I316)+1)*100,3000)+J316-100),IF(J316=K316+1,2000+INDEX(Eingabe!$G$9:$G$18,I316)*10+1,IF(J316=K316+2,2000+INDEX(Eingabe!$G$9:$G$18,I316)*10+2,2000+INDEX(Eingabe!$G$9:$G$18,I316)*10+9))),""))</f>
        <v/>
      </c>
      <c r="C316" s="0" t="str">
        <f aca="false">IF(I316="","",IF(AND(J316&gt;=1,J316&lt;=K316+3),"10."&amp;INDEX(Eingabe!$D$9:$D$18,I316)&amp;"."&amp;IF(J316&lt;=K316,J316,IF(J316=K316+1,200,IF(J316=K316+2,201,250)))&amp;".0/24",""))</f>
        <v/>
      </c>
      <c r="D316" s="0" t="str">
        <f aca="false">IF(I316="","",IF(AND(J316&gt;=1,J316&lt;=K316+3),"255.255.255.0",""))</f>
        <v/>
      </c>
      <c r="E316" s="0" t="str">
        <f aca="false">IF(I316="","",IF(AND(J316&gt;=1,J316&lt;=K316+3),"10."&amp;INDEX(Eingabe!$D$9:$D$18,I316)&amp;"."&amp;IF(J316&lt;=K316,J316,IF(J316=K316+1,200,IF(J316=K316+2,201,250)))&amp;".1",""))</f>
        <v/>
      </c>
      <c r="F316" s="0" t="str">
        <f aca="false">IF(I316="","",IF(AND(J316&gt;=1,J316&lt;=K316+3),"10."&amp;INDEX(Eingabe!$D$9:$D$18,I316)&amp;"."&amp;IF(J316&lt;=K316,J316,IF(J316=K316+1,200,IF(J316=K316+2,201,250)))&amp;".10 – 10."&amp;INDEX(Eingabe!$D$9:$D$18,I316)&amp;"."&amp;IF(J316&lt;=K316,J316,IF(J316=K316+1,200,IF(J316=K316+2,201,250)))&amp;".250",""))</f>
        <v/>
      </c>
      <c r="G316" s="0" t="str">
        <f aca="false">IF(I316="","",IF(AND(J316&gt;=1,J316&lt;=K316),Eingabe!$B$6&amp;"-"&amp;INDEX(Eingabe!$C$9:$C$18,I316)&amp;"-Pächter  ·  Passwort Parzelle "&amp;J316,IF(J316=K316+1,Eingabe!$B$6&amp;"-"&amp;INDEX(Eingabe!$C$9:$C$18,I316)&amp;"-Vorstand  ·  eigenes WLAN",IF(J316=K316+2,Eingabe!$B$6&amp;"-"&amp;INDEX(Eingabe!$C$9:$C$18,I316)&amp;"-Gäste  ·  Voucher",IF(J316=K316+3,"Kabel  ·  Access Point y = .(50+y), Mast-Switch x = .(10+x)","")))))</f>
        <v/>
      </c>
      <c r="I316" s="0" t="str">
        <f aca="false">IF(311&lt;=(Eingabe!$P$18+Eingabe!$Q$18-1),MATCH(311,Eingabe!$P$9:$P$18,1),"")</f>
        <v/>
      </c>
      <c r="J316" s="0" t="str">
        <f aca="false">IF(I316="","",311-INDEX(Eingabe!$P$9:$P$18,I316))</f>
        <v/>
      </c>
      <c r="K316" s="0" t="str">
        <f aca="false">IF(I316="","",INDEX(Eingabe!$E$9:$E$18,I316))</f>
        <v/>
      </c>
    </row>
    <row r="317" customFormat="false" ht="15" hidden="false" customHeight="false" outlineLevel="0" collapsed="false">
      <c r="A317" s="0" t="str">
        <f aca="false">IF(I317="","",IF(J317=0,"Sparte "&amp;I317&amp;": "&amp;INDEX(Eingabe!$B$9:$B$18,I317)&amp;"  (Sparten-ID "&amp;INDEX(Eingabe!$D$9:$D$18,I317)&amp;", "&amp;K317&amp;" Parzellen)",IF(J317&lt;=K317,"   Parzelle "&amp;J317,IF(J317=K317+1,"   Vorstand",IF(J317=K317+2,"   Gäste",IF(J317=K317+3,"   Technik (Switches, Access Points)",""))))))</f>
        <v/>
      </c>
      <c r="B317" s="0" t="str">
        <f aca="false">IF(I317="","",IF(AND(J317&gt;=1,J317&lt;=K317+3),IF(J317&lt;=K317,IF(J317&lt;=99,IF((INDEX(Eingabe!$G$9:$G$18,I317))&lt;=9,1000+(INDEX(Eingabe!$G$9:$G$18,I317))*100,3000)+J317,IF((INDEX(Eingabe!$G$9:$G$18,I317)+1)&lt;=9,1000+(INDEX(Eingabe!$G$9:$G$18,I317)+1)*100,3000)+J317-100),IF(J317=K317+1,2000+INDEX(Eingabe!$G$9:$G$18,I317)*10+1,IF(J317=K317+2,2000+INDEX(Eingabe!$G$9:$G$18,I317)*10+2,2000+INDEX(Eingabe!$G$9:$G$18,I317)*10+9))),""))</f>
        <v/>
      </c>
      <c r="C317" s="0" t="str">
        <f aca="false">IF(I317="","",IF(AND(J317&gt;=1,J317&lt;=K317+3),"10."&amp;INDEX(Eingabe!$D$9:$D$18,I317)&amp;"."&amp;IF(J317&lt;=K317,J317,IF(J317=K317+1,200,IF(J317=K317+2,201,250)))&amp;".0/24",""))</f>
        <v/>
      </c>
      <c r="D317" s="0" t="str">
        <f aca="false">IF(I317="","",IF(AND(J317&gt;=1,J317&lt;=K317+3),"255.255.255.0",""))</f>
        <v/>
      </c>
      <c r="E317" s="0" t="str">
        <f aca="false">IF(I317="","",IF(AND(J317&gt;=1,J317&lt;=K317+3),"10."&amp;INDEX(Eingabe!$D$9:$D$18,I317)&amp;"."&amp;IF(J317&lt;=K317,J317,IF(J317=K317+1,200,IF(J317=K317+2,201,250)))&amp;".1",""))</f>
        <v/>
      </c>
      <c r="F317" s="0" t="str">
        <f aca="false">IF(I317="","",IF(AND(J317&gt;=1,J317&lt;=K317+3),"10."&amp;INDEX(Eingabe!$D$9:$D$18,I317)&amp;"."&amp;IF(J317&lt;=K317,J317,IF(J317=K317+1,200,IF(J317=K317+2,201,250)))&amp;".10 – 10."&amp;INDEX(Eingabe!$D$9:$D$18,I317)&amp;"."&amp;IF(J317&lt;=K317,J317,IF(J317=K317+1,200,IF(J317=K317+2,201,250)))&amp;".250",""))</f>
        <v/>
      </c>
      <c r="G317" s="0" t="str">
        <f aca="false">IF(I317="","",IF(AND(J317&gt;=1,J317&lt;=K317),Eingabe!$B$6&amp;"-"&amp;INDEX(Eingabe!$C$9:$C$18,I317)&amp;"-Pächter  ·  Passwort Parzelle "&amp;J317,IF(J317=K317+1,Eingabe!$B$6&amp;"-"&amp;INDEX(Eingabe!$C$9:$C$18,I317)&amp;"-Vorstand  ·  eigenes WLAN",IF(J317=K317+2,Eingabe!$B$6&amp;"-"&amp;INDEX(Eingabe!$C$9:$C$18,I317)&amp;"-Gäste  ·  Voucher",IF(J317=K317+3,"Kabel  ·  Access Point y = .(50+y), Mast-Switch x = .(10+x)","")))))</f>
        <v/>
      </c>
      <c r="I317" s="0" t="str">
        <f aca="false">IF(312&lt;=(Eingabe!$P$18+Eingabe!$Q$18-1),MATCH(312,Eingabe!$P$9:$P$18,1),"")</f>
        <v/>
      </c>
      <c r="J317" s="0" t="str">
        <f aca="false">IF(I317="","",312-INDEX(Eingabe!$P$9:$P$18,I317))</f>
        <v/>
      </c>
      <c r="K317" s="0" t="str">
        <f aca="false">IF(I317="","",INDEX(Eingabe!$E$9:$E$18,I317))</f>
        <v/>
      </c>
    </row>
    <row r="318" customFormat="false" ht="15" hidden="false" customHeight="false" outlineLevel="0" collapsed="false">
      <c r="A318" s="0" t="str">
        <f aca="false">IF(I318="","",IF(J318=0,"Sparte "&amp;I318&amp;": "&amp;INDEX(Eingabe!$B$9:$B$18,I318)&amp;"  (Sparten-ID "&amp;INDEX(Eingabe!$D$9:$D$18,I318)&amp;", "&amp;K318&amp;" Parzellen)",IF(J318&lt;=K318,"   Parzelle "&amp;J318,IF(J318=K318+1,"   Vorstand",IF(J318=K318+2,"   Gäste",IF(J318=K318+3,"   Technik (Switches, Access Points)",""))))))</f>
        <v/>
      </c>
      <c r="B318" s="0" t="str">
        <f aca="false">IF(I318="","",IF(AND(J318&gt;=1,J318&lt;=K318+3),IF(J318&lt;=K318,IF(J318&lt;=99,IF((INDEX(Eingabe!$G$9:$G$18,I318))&lt;=9,1000+(INDEX(Eingabe!$G$9:$G$18,I318))*100,3000)+J318,IF((INDEX(Eingabe!$G$9:$G$18,I318)+1)&lt;=9,1000+(INDEX(Eingabe!$G$9:$G$18,I318)+1)*100,3000)+J318-100),IF(J318=K318+1,2000+INDEX(Eingabe!$G$9:$G$18,I318)*10+1,IF(J318=K318+2,2000+INDEX(Eingabe!$G$9:$G$18,I318)*10+2,2000+INDEX(Eingabe!$G$9:$G$18,I318)*10+9))),""))</f>
        <v/>
      </c>
      <c r="C318" s="0" t="str">
        <f aca="false">IF(I318="","",IF(AND(J318&gt;=1,J318&lt;=K318+3),"10."&amp;INDEX(Eingabe!$D$9:$D$18,I318)&amp;"."&amp;IF(J318&lt;=K318,J318,IF(J318=K318+1,200,IF(J318=K318+2,201,250)))&amp;".0/24",""))</f>
        <v/>
      </c>
      <c r="D318" s="0" t="str">
        <f aca="false">IF(I318="","",IF(AND(J318&gt;=1,J318&lt;=K318+3),"255.255.255.0",""))</f>
        <v/>
      </c>
      <c r="E318" s="0" t="str">
        <f aca="false">IF(I318="","",IF(AND(J318&gt;=1,J318&lt;=K318+3),"10."&amp;INDEX(Eingabe!$D$9:$D$18,I318)&amp;"."&amp;IF(J318&lt;=K318,J318,IF(J318=K318+1,200,IF(J318=K318+2,201,250)))&amp;".1",""))</f>
        <v/>
      </c>
      <c r="F318" s="0" t="str">
        <f aca="false">IF(I318="","",IF(AND(J318&gt;=1,J318&lt;=K318+3),"10."&amp;INDEX(Eingabe!$D$9:$D$18,I318)&amp;"."&amp;IF(J318&lt;=K318,J318,IF(J318=K318+1,200,IF(J318=K318+2,201,250)))&amp;".10 – 10."&amp;INDEX(Eingabe!$D$9:$D$18,I318)&amp;"."&amp;IF(J318&lt;=K318,J318,IF(J318=K318+1,200,IF(J318=K318+2,201,250)))&amp;".250",""))</f>
        <v/>
      </c>
      <c r="G318" s="0" t="str">
        <f aca="false">IF(I318="","",IF(AND(J318&gt;=1,J318&lt;=K318),Eingabe!$B$6&amp;"-"&amp;INDEX(Eingabe!$C$9:$C$18,I318)&amp;"-Pächter  ·  Passwort Parzelle "&amp;J318,IF(J318=K318+1,Eingabe!$B$6&amp;"-"&amp;INDEX(Eingabe!$C$9:$C$18,I318)&amp;"-Vorstand  ·  eigenes WLAN",IF(J318=K318+2,Eingabe!$B$6&amp;"-"&amp;INDEX(Eingabe!$C$9:$C$18,I318)&amp;"-Gäste  ·  Voucher",IF(J318=K318+3,"Kabel  ·  Access Point y = .(50+y), Mast-Switch x = .(10+x)","")))))</f>
        <v/>
      </c>
      <c r="I318" s="0" t="str">
        <f aca="false">IF(313&lt;=(Eingabe!$P$18+Eingabe!$Q$18-1),MATCH(313,Eingabe!$P$9:$P$18,1),"")</f>
        <v/>
      </c>
      <c r="J318" s="0" t="str">
        <f aca="false">IF(I318="","",313-INDEX(Eingabe!$P$9:$P$18,I318))</f>
        <v/>
      </c>
      <c r="K318" s="0" t="str">
        <f aca="false">IF(I318="","",INDEX(Eingabe!$E$9:$E$18,I318))</f>
        <v/>
      </c>
    </row>
    <row r="319" customFormat="false" ht="15" hidden="false" customHeight="false" outlineLevel="0" collapsed="false">
      <c r="A319" s="0" t="str">
        <f aca="false">IF(I319="","",IF(J319=0,"Sparte "&amp;I319&amp;": "&amp;INDEX(Eingabe!$B$9:$B$18,I319)&amp;"  (Sparten-ID "&amp;INDEX(Eingabe!$D$9:$D$18,I319)&amp;", "&amp;K319&amp;" Parzellen)",IF(J319&lt;=K319,"   Parzelle "&amp;J319,IF(J319=K319+1,"   Vorstand",IF(J319=K319+2,"   Gäste",IF(J319=K319+3,"   Technik (Switches, Access Points)",""))))))</f>
        <v/>
      </c>
      <c r="B319" s="0" t="str">
        <f aca="false">IF(I319="","",IF(AND(J319&gt;=1,J319&lt;=K319+3),IF(J319&lt;=K319,IF(J319&lt;=99,IF((INDEX(Eingabe!$G$9:$G$18,I319))&lt;=9,1000+(INDEX(Eingabe!$G$9:$G$18,I319))*100,3000)+J319,IF((INDEX(Eingabe!$G$9:$G$18,I319)+1)&lt;=9,1000+(INDEX(Eingabe!$G$9:$G$18,I319)+1)*100,3000)+J319-100),IF(J319=K319+1,2000+INDEX(Eingabe!$G$9:$G$18,I319)*10+1,IF(J319=K319+2,2000+INDEX(Eingabe!$G$9:$G$18,I319)*10+2,2000+INDEX(Eingabe!$G$9:$G$18,I319)*10+9))),""))</f>
        <v/>
      </c>
      <c r="C319" s="0" t="str">
        <f aca="false">IF(I319="","",IF(AND(J319&gt;=1,J319&lt;=K319+3),"10."&amp;INDEX(Eingabe!$D$9:$D$18,I319)&amp;"."&amp;IF(J319&lt;=K319,J319,IF(J319=K319+1,200,IF(J319=K319+2,201,250)))&amp;".0/24",""))</f>
        <v/>
      </c>
      <c r="D319" s="0" t="str">
        <f aca="false">IF(I319="","",IF(AND(J319&gt;=1,J319&lt;=K319+3),"255.255.255.0",""))</f>
        <v/>
      </c>
      <c r="E319" s="0" t="str">
        <f aca="false">IF(I319="","",IF(AND(J319&gt;=1,J319&lt;=K319+3),"10."&amp;INDEX(Eingabe!$D$9:$D$18,I319)&amp;"."&amp;IF(J319&lt;=K319,J319,IF(J319=K319+1,200,IF(J319=K319+2,201,250)))&amp;".1",""))</f>
        <v/>
      </c>
      <c r="F319" s="0" t="str">
        <f aca="false">IF(I319="","",IF(AND(J319&gt;=1,J319&lt;=K319+3),"10."&amp;INDEX(Eingabe!$D$9:$D$18,I319)&amp;"."&amp;IF(J319&lt;=K319,J319,IF(J319=K319+1,200,IF(J319=K319+2,201,250)))&amp;".10 – 10."&amp;INDEX(Eingabe!$D$9:$D$18,I319)&amp;"."&amp;IF(J319&lt;=K319,J319,IF(J319=K319+1,200,IF(J319=K319+2,201,250)))&amp;".250",""))</f>
        <v/>
      </c>
      <c r="G319" s="0" t="str">
        <f aca="false">IF(I319="","",IF(AND(J319&gt;=1,J319&lt;=K319),Eingabe!$B$6&amp;"-"&amp;INDEX(Eingabe!$C$9:$C$18,I319)&amp;"-Pächter  ·  Passwort Parzelle "&amp;J319,IF(J319=K319+1,Eingabe!$B$6&amp;"-"&amp;INDEX(Eingabe!$C$9:$C$18,I319)&amp;"-Vorstand  ·  eigenes WLAN",IF(J319=K319+2,Eingabe!$B$6&amp;"-"&amp;INDEX(Eingabe!$C$9:$C$18,I319)&amp;"-Gäste  ·  Voucher",IF(J319=K319+3,"Kabel  ·  Access Point y = .(50+y), Mast-Switch x = .(10+x)","")))))</f>
        <v/>
      </c>
      <c r="I319" s="0" t="str">
        <f aca="false">IF(314&lt;=(Eingabe!$P$18+Eingabe!$Q$18-1),MATCH(314,Eingabe!$P$9:$P$18,1),"")</f>
        <v/>
      </c>
      <c r="J319" s="0" t="str">
        <f aca="false">IF(I319="","",314-INDEX(Eingabe!$P$9:$P$18,I319))</f>
        <v/>
      </c>
      <c r="K319" s="0" t="str">
        <f aca="false">IF(I319="","",INDEX(Eingabe!$E$9:$E$18,I319))</f>
        <v/>
      </c>
    </row>
    <row r="320" customFormat="false" ht="15" hidden="false" customHeight="false" outlineLevel="0" collapsed="false">
      <c r="A320" s="0" t="str">
        <f aca="false">IF(I320="","",IF(J320=0,"Sparte "&amp;I320&amp;": "&amp;INDEX(Eingabe!$B$9:$B$18,I320)&amp;"  (Sparten-ID "&amp;INDEX(Eingabe!$D$9:$D$18,I320)&amp;", "&amp;K320&amp;" Parzellen)",IF(J320&lt;=K320,"   Parzelle "&amp;J320,IF(J320=K320+1,"   Vorstand",IF(J320=K320+2,"   Gäste",IF(J320=K320+3,"   Technik (Switches, Access Points)",""))))))</f>
        <v/>
      </c>
      <c r="B320" s="0" t="str">
        <f aca="false">IF(I320="","",IF(AND(J320&gt;=1,J320&lt;=K320+3),IF(J320&lt;=K320,IF(J320&lt;=99,IF((INDEX(Eingabe!$G$9:$G$18,I320))&lt;=9,1000+(INDEX(Eingabe!$G$9:$G$18,I320))*100,3000)+J320,IF((INDEX(Eingabe!$G$9:$G$18,I320)+1)&lt;=9,1000+(INDEX(Eingabe!$G$9:$G$18,I320)+1)*100,3000)+J320-100),IF(J320=K320+1,2000+INDEX(Eingabe!$G$9:$G$18,I320)*10+1,IF(J320=K320+2,2000+INDEX(Eingabe!$G$9:$G$18,I320)*10+2,2000+INDEX(Eingabe!$G$9:$G$18,I320)*10+9))),""))</f>
        <v/>
      </c>
      <c r="C320" s="0" t="str">
        <f aca="false">IF(I320="","",IF(AND(J320&gt;=1,J320&lt;=K320+3),"10."&amp;INDEX(Eingabe!$D$9:$D$18,I320)&amp;"."&amp;IF(J320&lt;=K320,J320,IF(J320=K320+1,200,IF(J320=K320+2,201,250)))&amp;".0/24",""))</f>
        <v/>
      </c>
      <c r="D320" s="0" t="str">
        <f aca="false">IF(I320="","",IF(AND(J320&gt;=1,J320&lt;=K320+3),"255.255.255.0",""))</f>
        <v/>
      </c>
      <c r="E320" s="0" t="str">
        <f aca="false">IF(I320="","",IF(AND(J320&gt;=1,J320&lt;=K320+3),"10."&amp;INDEX(Eingabe!$D$9:$D$18,I320)&amp;"."&amp;IF(J320&lt;=K320,J320,IF(J320=K320+1,200,IF(J320=K320+2,201,250)))&amp;".1",""))</f>
        <v/>
      </c>
      <c r="F320" s="0" t="str">
        <f aca="false">IF(I320="","",IF(AND(J320&gt;=1,J320&lt;=K320+3),"10."&amp;INDEX(Eingabe!$D$9:$D$18,I320)&amp;"."&amp;IF(J320&lt;=K320,J320,IF(J320=K320+1,200,IF(J320=K320+2,201,250)))&amp;".10 – 10."&amp;INDEX(Eingabe!$D$9:$D$18,I320)&amp;"."&amp;IF(J320&lt;=K320,J320,IF(J320=K320+1,200,IF(J320=K320+2,201,250)))&amp;".250",""))</f>
        <v/>
      </c>
      <c r="G320" s="0" t="str">
        <f aca="false">IF(I320="","",IF(AND(J320&gt;=1,J320&lt;=K320),Eingabe!$B$6&amp;"-"&amp;INDEX(Eingabe!$C$9:$C$18,I320)&amp;"-Pächter  ·  Passwort Parzelle "&amp;J320,IF(J320=K320+1,Eingabe!$B$6&amp;"-"&amp;INDEX(Eingabe!$C$9:$C$18,I320)&amp;"-Vorstand  ·  eigenes WLAN",IF(J320=K320+2,Eingabe!$B$6&amp;"-"&amp;INDEX(Eingabe!$C$9:$C$18,I320)&amp;"-Gäste  ·  Voucher",IF(J320=K320+3,"Kabel  ·  Access Point y = .(50+y), Mast-Switch x = .(10+x)","")))))</f>
        <v/>
      </c>
      <c r="I320" s="0" t="str">
        <f aca="false">IF(315&lt;=(Eingabe!$P$18+Eingabe!$Q$18-1),MATCH(315,Eingabe!$P$9:$P$18,1),"")</f>
        <v/>
      </c>
      <c r="J320" s="0" t="str">
        <f aca="false">IF(I320="","",315-INDEX(Eingabe!$P$9:$P$18,I320))</f>
        <v/>
      </c>
      <c r="K320" s="0" t="str">
        <f aca="false">IF(I320="","",INDEX(Eingabe!$E$9:$E$18,I320))</f>
        <v/>
      </c>
    </row>
    <row r="321" customFormat="false" ht="15" hidden="false" customHeight="false" outlineLevel="0" collapsed="false">
      <c r="A321" s="0" t="str">
        <f aca="false">IF(I321="","",IF(J321=0,"Sparte "&amp;I321&amp;": "&amp;INDEX(Eingabe!$B$9:$B$18,I321)&amp;"  (Sparten-ID "&amp;INDEX(Eingabe!$D$9:$D$18,I321)&amp;", "&amp;K321&amp;" Parzellen)",IF(J321&lt;=K321,"   Parzelle "&amp;J321,IF(J321=K321+1,"   Vorstand",IF(J321=K321+2,"   Gäste",IF(J321=K321+3,"   Technik (Switches, Access Points)",""))))))</f>
        <v/>
      </c>
      <c r="B321" s="0" t="str">
        <f aca="false">IF(I321="","",IF(AND(J321&gt;=1,J321&lt;=K321+3),IF(J321&lt;=K321,IF(J321&lt;=99,IF((INDEX(Eingabe!$G$9:$G$18,I321))&lt;=9,1000+(INDEX(Eingabe!$G$9:$G$18,I321))*100,3000)+J321,IF((INDEX(Eingabe!$G$9:$G$18,I321)+1)&lt;=9,1000+(INDEX(Eingabe!$G$9:$G$18,I321)+1)*100,3000)+J321-100),IF(J321=K321+1,2000+INDEX(Eingabe!$G$9:$G$18,I321)*10+1,IF(J321=K321+2,2000+INDEX(Eingabe!$G$9:$G$18,I321)*10+2,2000+INDEX(Eingabe!$G$9:$G$18,I321)*10+9))),""))</f>
        <v/>
      </c>
      <c r="C321" s="0" t="str">
        <f aca="false">IF(I321="","",IF(AND(J321&gt;=1,J321&lt;=K321+3),"10."&amp;INDEX(Eingabe!$D$9:$D$18,I321)&amp;"."&amp;IF(J321&lt;=K321,J321,IF(J321=K321+1,200,IF(J321=K321+2,201,250)))&amp;".0/24",""))</f>
        <v/>
      </c>
      <c r="D321" s="0" t="str">
        <f aca="false">IF(I321="","",IF(AND(J321&gt;=1,J321&lt;=K321+3),"255.255.255.0",""))</f>
        <v/>
      </c>
      <c r="E321" s="0" t="str">
        <f aca="false">IF(I321="","",IF(AND(J321&gt;=1,J321&lt;=K321+3),"10."&amp;INDEX(Eingabe!$D$9:$D$18,I321)&amp;"."&amp;IF(J321&lt;=K321,J321,IF(J321=K321+1,200,IF(J321=K321+2,201,250)))&amp;".1",""))</f>
        <v/>
      </c>
      <c r="F321" s="0" t="str">
        <f aca="false">IF(I321="","",IF(AND(J321&gt;=1,J321&lt;=K321+3),"10."&amp;INDEX(Eingabe!$D$9:$D$18,I321)&amp;"."&amp;IF(J321&lt;=K321,J321,IF(J321=K321+1,200,IF(J321=K321+2,201,250)))&amp;".10 – 10."&amp;INDEX(Eingabe!$D$9:$D$18,I321)&amp;"."&amp;IF(J321&lt;=K321,J321,IF(J321=K321+1,200,IF(J321=K321+2,201,250)))&amp;".250",""))</f>
        <v/>
      </c>
      <c r="G321" s="0" t="str">
        <f aca="false">IF(I321="","",IF(AND(J321&gt;=1,J321&lt;=K321),Eingabe!$B$6&amp;"-"&amp;INDEX(Eingabe!$C$9:$C$18,I321)&amp;"-Pächter  ·  Passwort Parzelle "&amp;J321,IF(J321=K321+1,Eingabe!$B$6&amp;"-"&amp;INDEX(Eingabe!$C$9:$C$18,I321)&amp;"-Vorstand  ·  eigenes WLAN",IF(J321=K321+2,Eingabe!$B$6&amp;"-"&amp;INDEX(Eingabe!$C$9:$C$18,I321)&amp;"-Gäste  ·  Voucher",IF(J321=K321+3,"Kabel  ·  Access Point y = .(50+y), Mast-Switch x = .(10+x)","")))))</f>
        <v/>
      </c>
      <c r="I321" s="0" t="str">
        <f aca="false">IF(316&lt;=(Eingabe!$P$18+Eingabe!$Q$18-1),MATCH(316,Eingabe!$P$9:$P$18,1),"")</f>
        <v/>
      </c>
      <c r="J321" s="0" t="str">
        <f aca="false">IF(I321="","",316-INDEX(Eingabe!$P$9:$P$18,I321))</f>
        <v/>
      </c>
      <c r="K321" s="0" t="str">
        <f aca="false">IF(I321="","",INDEX(Eingabe!$E$9:$E$18,I321))</f>
        <v/>
      </c>
    </row>
    <row r="322" customFormat="false" ht="15" hidden="false" customHeight="false" outlineLevel="0" collapsed="false">
      <c r="A322" s="0" t="str">
        <f aca="false">IF(I322="","",IF(J322=0,"Sparte "&amp;I322&amp;": "&amp;INDEX(Eingabe!$B$9:$B$18,I322)&amp;"  (Sparten-ID "&amp;INDEX(Eingabe!$D$9:$D$18,I322)&amp;", "&amp;K322&amp;" Parzellen)",IF(J322&lt;=K322,"   Parzelle "&amp;J322,IF(J322=K322+1,"   Vorstand",IF(J322=K322+2,"   Gäste",IF(J322=K322+3,"   Technik (Switches, Access Points)",""))))))</f>
        <v/>
      </c>
      <c r="B322" s="0" t="str">
        <f aca="false">IF(I322="","",IF(AND(J322&gt;=1,J322&lt;=K322+3),IF(J322&lt;=K322,IF(J322&lt;=99,IF((INDEX(Eingabe!$G$9:$G$18,I322))&lt;=9,1000+(INDEX(Eingabe!$G$9:$G$18,I322))*100,3000)+J322,IF((INDEX(Eingabe!$G$9:$G$18,I322)+1)&lt;=9,1000+(INDEX(Eingabe!$G$9:$G$18,I322)+1)*100,3000)+J322-100),IF(J322=K322+1,2000+INDEX(Eingabe!$G$9:$G$18,I322)*10+1,IF(J322=K322+2,2000+INDEX(Eingabe!$G$9:$G$18,I322)*10+2,2000+INDEX(Eingabe!$G$9:$G$18,I322)*10+9))),""))</f>
        <v/>
      </c>
      <c r="C322" s="0" t="str">
        <f aca="false">IF(I322="","",IF(AND(J322&gt;=1,J322&lt;=K322+3),"10."&amp;INDEX(Eingabe!$D$9:$D$18,I322)&amp;"."&amp;IF(J322&lt;=K322,J322,IF(J322=K322+1,200,IF(J322=K322+2,201,250)))&amp;".0/24",""))</f>
        <v/>
      </c>
      <c r="D322" s="0" t="str">
        <f aca="false">IF(I322="","",IF(AND(J322&gt;=1,J322&lt;=K322+3),"255.255.255.0",""))</f>
        <v/>
      </c>
      <c r="E322" s="0" t="str">
        <f aca="false">IF(I322="","",IF(AND(J322&gt;=1,J322&lt;=K322+3),"10."&amp;INDEX(Eingabe!$D$9:$D$18,I322)&amp;"."&amp;IF(J322&lt;=K322,J322,IF(J322=K322+1,200,IF(J322=K322+2,201,250)))&amp;".1",""))</f>
        <v/>
      </c>
      <c r="F322" s="0" t="str">
        <f aca="false">IF(I322="","",IF(AND(J322&gt;=1,J322&lt;=K322+3),"10."&amp;INDEX(Eingabe!$D$9:$D$18,I322)&amp;"."&amp;IF(J322&lt;=K322,J322,IF(J322=K322+1,200,IF(J322=K322+2,201,250)))&amp;".10 – 10."&amp;INDEX(Eingabe!$D$9:$D$18,I322)&amp;"."&amp;IF(J322&lt;=K322,J322,IF(J322=K322+1,200,IF(J322=K322+2,201,250)))&amp;".250",""))</f>
        <v/>
      </c>
      <c r="G322" s="0" t="str">
        <f aca="false">IF(I322="","",IF(AND(J322&gt;=1,J322&lt;=K322),Eingabe!$B$6&amp;"-"&amp;INDEX(Eingabe!$C$9:$C$18,I322)&amp;"-Pächter  ·  Passwort Parzelle "&amp;J322,IF(J322=K322+1,Eingabe!$B$6&amp;"-"&amp;INDEX(Eingabe!$C$9:$C$18,I322)&amp;"-Vorstand  ·  eigenes WLAN",IF(J322=K322+2,Eingabe!$B$6&amp;"-"&amp;INDEX(Eingabe!$C$9:$C$18,I322)&amp;"-Gäste  ·  Voucher",IF(J322=K322+3,"Kabel  ·  Access Point y = .(50+y), Mast-Switch x = .(10+x)","")))))</f>
        <v/>
      </c>
      <c r="I322" s="0" t="str">
        <f aca="false">IF(317&lt;=(Eingabe!$P$18+Eingabe!$Q$18-1),MATCH(317,Eingabe!$P$9:$P$18,1),"")</f>
        <v/>
      </c>
      <c r="J322" s="0" t="str">
        <f aca="false">IF(I322="","",317-INDEX(Eingabe!$P$9:$P$18,I322))</f>
        <v/>
      </c>
      <c r="K322" s="0" t="str">
        <f aca="false">IF(I322="","",INDEX(Eingabe!$E$9:$E$18,I322))</f>
        <v/>
      </c>
    </row>
    <row r="323" customFormat="false" ht="15" hidden="false" customHeight="false" outlineLevel="0" collapsed="false">
      <c r="A323" s="0" t="str">
        <f aca="false">IF(I323="","",IF(J323=0,"Sparte "&amp;I323&amp;": "&amp;INDEX(Eingabe!$B$9:$B$18,I323)&amp;"  (Sparten-ID "&amp;INDEX(Eingabe!$D$9:$D$18,I323)&amp;", "&amp;K323&amp;" Parzellen)",IF(J323&lt;=K323,"   Parzelle "&amp;J323,IF(J323=K323+1,"   Vorstand",IF(J323=K323+2,"   Gäste",IF(J323=K323+3,"   Technik (Switches, Access Points)",""))))))</f>
        <v/>
      </c>
      <c r="B323" s="0" t="str">
        <f aca="false">IF(I323="","",IF(AND(J323&gt;=1,J323&lt;=K323+3),IF(J323&lt;=K323,IF(J323&lt;=99,IF((INDEX(Eingabe!$G$9:$G$18,I323))&lt;=9,1000+(INDEX(Eingabe!$G$9:$G$18,I323))*100,3000)+J323,IF((INDEX(Eingabe!$G$9:$G$18,I323)+1)&lt;=9,1000+(INDEX(Eingabe!$G$9:$G$18,I323)+1)*100,3000)+J323-100),IF(J323=K323+1,2000+INDEX(Eingabe!$G$9:$G$18,I323)*10+1,IF(J323=K323+2,2000+INDEX(Eingabe!$G$9:$G$18,I323)*10+2,2000+INDEX(Eingabe!$G$9:$G$18,I323)*10+9))),""))</f>
        <v/>
      </c>
      <c r="C323" s="0" t="str">
        <f aca="false">IF(I323="","",IF(AND(J323&gt;=1,J323&lt;=K323+3),"10."&amp;INDEX(Eingabe!$D$9:$D$18,I323)&amp;"."&amp;IF(J323&lt;=K323,J323,IF(J323=K323+1,200,IF(J323=K323+2,201,250)))&amp;".0/24",""))</f>
        <v/>
      </c>
      <c r="D323" s="0" t="str">
        <f aca="false">IF(I323="","",IF(AND(J323&gt;=1,J323&lt;=K323+3),"255.255.255.0",""))</f>
        <v/>
      </c>
      <c r="E323" s="0" t="str">
        <f aca="false">IF(I323="","",IF(AND(J323&gt;=1,J323&lt;=K323+3),"10."&amp;INDEX(Eingabe!$D$9:$D$18,I323)&amp;"."&amp;IF(J323&lt;=K323,J323,IF(J323=K323+1,200,IF(J323=K323+2,201,250)))&amp;".1",""))</f>
        <v/>
      </c>
      <c r="F323" s="0" t="str">
        <f aca="false">IF(I323="","",IF(AND(J323&gt;=1,J323&lt;=K323+3),"10."&amp;INDEX(Eingabe!$D$9:$D$18,I323)&amp;"."&amp;IF(J323&lt;=K323,J323,IF(J323=K323+1,200,IF(J323=K323+2,201,250)))&amp;".10 – 10."&amp;INDEX(Eingabe!$D$9:$D$18,I323)&amp;"."&amp;IF(J323&lt;=K323,J323,IF(J323=K323+1,200,IF(J323=K323+2,201,250)))&amp;".250",""))</f>
        <v/>
      </c>
      <c r="G323" s="0" t="str">
        <f aca="false">IF(I323="","",IF(AND(J323&gt;=1,J323&lt;=K323),Eingabe!$B$6&amp;"-"&amp;INDEX(Eingabe!$C$9:$C$18,I323)&amp;"-Pächter  ·  Passwort Parzelle "&amp;J323,IF(J323=K323+1,Eingabe!$B$6&amp;"-"&amp;INDEX(Eingabe!$C$9:$C$18,I323)&amp;"-Vorstand  ·  eigenes WLAN",IF(J323=K323+2,Eingabe!$B$6&amp;"-"&amp;INDEX(Eingabe!$C$9:$C$18,I323)&amp;"-Gäste  ·  Voucher",IF(J323=K323+3,"Kabel  ·  Access Point y = .(50+y), Mast-Switch x = .(10+x)","")))))</f>
        <v/>
      </c>
      <c r="I323" s="0" t="str">
        <f aca="false">IF(318&lt;=(Eingabe!$P$18+Eingabe!$Q$18-1),MATCH(318,Eingabe!$P$9:$P$18,1),"")</f>
        <v/>
      </c>
      <c r="J323" s="0" t="str">
        <f aca="false">IF(I323="","",318-INDEX(Eingabe!$P$9:$P$18,I323))</f>
        <v/>
      </c>
      <c r="K323" s="0" t="str">
        <f aca="false">IF(I323="","",INDEX(Eingabe!$E$9:$E$18,I323))</f>
        <v/>
      </c>
    </row>
    <row r="324" customFormat="false" ht="15" hidden="false" customHeight="false" outlineLevel="0" collapsed="false">
      <c r="A324" s="0" t="str">
        <f aca="false">IF(I324="","",IF(J324=0,"Sparte "&amp;I324&amp;": "&amp;INDEX(Eingabe!$B$9:$B$18,I324)&amp;"  (Sparten-ID "&amp;INDEX(Eingabe!$D$9:$D$18,I324)&amp;", "&amp;K324&amp;" Parzellen)",IF(J324&lt;=K324,"   Parzelle "&amp;J324,IF(J324=K324+1,"   Vorstand",IF(J324=K324+2,"   Gäste",IF(J324=K324+3,"   Technik (Switches, Access Points)",""))))))</f>
        <v/>
      </c>
      <c r="B324" s="0" t="str">
        <f aca="false">IF(I324="","",IF(AND(J324&gt;=1,J324&lt;=K324+3),IF(J324&lt;=K324,IF(J324&lt;=99,IF((INDEX(Eingabe!$G$9:$G$18,I324))&lt;=9,1000+(INDEX(Eingabe!$G$9:$G$18,I324))*100,3000)+J324,IF((INDEX(Eingabe!$G$9:$G$18,I324)+1)&lt;=9,1000+(INDEX(Eingabe!$G$9:$G$18,I324)+1)*100,3000)+J324-100),IF(J324=K324+1,2000+INDEX(Eingabe!$G$9:$G$18,I324)*10+1,IF(J324=K324+2,2000+INDEX(Eingabe!$G$9:$G$18,I324)*10+2,2000+INDEX(Eingabe!$G$9:$G$18,I324)*10+9))),""))</f>
        <v/>
      </c>
      <c r="C324" s="0" t="str">
        <f aca="false">IF(I324="","",IF(AND(J324&gt;=1,J324&lt;=K324+3),"10."&amp;INDEX(Eingabe!$D$9:$D$18,I324)&amp;"."&amp;IF(J324&lt;=K324,J324,IF(J324=K324+1,200,IF(J324=K324+2,201,250)))&amp;".0/24",""))</f>
        <v/>
      </c>
      <c r="D324" s="0" t="str">
        <f aca="false">IF(I324="","",IF(AND(J324&gt;=1,J324&lt;=K324+3),"255.255.255.0",""))</f>
        <v/>
      </c>
      <c r="E324" s="0" t="str">
        <f aca="false">IF(I324="","",IF(AND(J324&gt;=1,J324&lt;=K324+3),"10."&amp;INDEX(Eingabe!$D$9:$D$18,I324)&amp;"."&amp;IF(J324&lt;=K324,J324,IF(J324=K324+1,200,IF(J324=K324+2,201,250)))&amp;".1",""))</f>
        <v/>
      </c>
      <c r="F324" s="0" t="str">
        <f aca="false">IF(I324="","",IF(AND(J324&gt;=1,J324&lt;=K324+3),"10."&amp;INDEX(Eingabe!$D$9:$D$18,I324)&amp;"."&amp;IF(J324&lt;=K324,J324,IF(J324=K324+1,200,IF(J324=K324+2,201,250)))&amp;".10 – 10."&amp;INDEX(Eingabe!$D$9:$D$18,I324)&amp;"."&amp;IF(J324&lt;=K324,J324,IF(J324=K324+1,200,IF(J324=K324+2,201,250)))&amp;".250",""))</f>
        <v/>
      </c>
      <c r="G324" s="0" t="str">
        <f aca="false">IF(I324="","",IF(AND(J324&gt;=1,J324&lt;=K324),Eingabe!$B$6&amp;"-"&amp;INDEX(Eingabe!$C$9:$C$18,I324)&amp;"-Pächter  ·  Passwort Parzelle "&amp;J324,IF(J324=K324+1,Eingabe!$B$6&amp;"-"&amp;INDEX(Eingabe!$C$9:$C$18,I324)&amp;"-Vorstand  ·  eigenes WLAN",IF(J324=K324+2,Eingabe!$B$6&amp;"-"&amp;INDEX(Eingabe!$C$9:$C$18,I324)&amp;"-Gäste  ·  Voucher",IF(J324=K324+3,"Kabel  ·  Access Point y = .(50+y), Mast-Switch x = .(10+x)","")))))</f>
        <v/>
      </c>
      <c r="I324" s="0" t="str">
        <f aca="false">IF(319&lt;=(Eingabe!$P$18+Eingabe!$Q$18-1),MATCH(319,Eingabe!$P$9:$P$18,1),"")</f>
        <v/>
      </c>
      <c r="J324" s="0" t="str">
        <f aca="false">IF(I324="","",319-INDEX(Eingabe!$P$9:$P$18,I324))</f>
        <v/>
      </c>
      <c r="K324" s="0" t="str">
        <f aca="false">IF(I324="","",INDEX(Eingabe!$E$9:$E$18,I324))</f>
        <v/>
      </c>
    </row>
    <row r="325" customFormat="false" ht="15" hidden="false" customHeight="false" outlineLevel="0" collapsed="false">
      <c r="A325" s="0" t="str">
        <f aca="false">IF(I325="","",IF(J325=0,"Sparte "&amp;I325&amp;": "&amp;INDEX(Eingabe!$B$9:$B$18,I325)&amp;"  (Sparten-ID "&amp;INDEX(Eingabe!$D$9:$D$18,I325)&amp;", "&amp;K325&amp;" Parzellen)",IF(J325&lt;=K325,"   Parzelle "&amp;J325,IF(J325=K325+1,"   Vorstand",IF(J325=K325+2,"   Gäste",IF(J325=K325+3,"   Technik (Switches, Access Points)",""))))))</f>
        <v/>
      </c>
      <c r="B325" s="0" t="str">
        <f aca="false">IF(I325="","",IF(AND(J325&gt;=1,J325&lt;=K325+3),IF(J325&lt;=K325,IF(J325&lt;=99,IF((INDEX(Eingabe!$G$9:$G$18,I325))&lt;=9,1000+(INDEX(Eingabe!$G$9:$G$18,I325))*100,3000)+J325,IF((INDEX(Eingabe!$G$9:$G$18,I325)+1)&lt;=9,1000+(INDEX(Eingabe!$G$9:$G$18,I325)+1)*100,3000)+J325-100),IF(J325=K325+1,2000+INDEX(Eingabe!$G$9:$G$18,I325)*10+1,IF(J325=K325+2,2000+INDEX(Eingabe!$G$9:$G$18,I325)*10+2,2000+INDEX(Eingabe!$G$9:$G$18,I325)*10+9))),""))</f>
        <v/>
      </c>
      <c r="C325" s="0" t="str">
        <f aca="false">IF(I325="","",IF(AND(J325&gt;=1,J325&lt;=K325+3),"10."&amp;INDEX(Eingabe!$D$9:$D$18,I325)&amp;"."&amp;IF(J325&lt;=K325,J325,IF(J325=K325+1,200,IF(J325=K325+2,201,250)))&amp;".0/24",""))</f>
        <v/>
      </c>
      <c r="D325" s="0" t="str">
        <f aca="false">IF(I325="","",IF(AND(J325&gt;=1,J325&lt;=K325+3),"255.255.255.0",""))</f>
        <v/>
      </c>
      <c r="E325" s="0" t="str">
        <f aca="false">IF(I325="","",IF(AND(J325&gt;=1,J325&lt;=K325+3),"10."&amp;INDEX(Eingabe!$D$9:$D$18,I325)&amp;"."&amp;IF(J325&lt;=K325,J325,IF(J325=K325+1,200,IF(J325=K325+2,201,250)))&amp;".1",""))</f>
        <v/>
      </c>
      <c r="F325" s="0" t="str">
        <f aca="false">IF(I325="","",IF(AND(J325&gt;=1,J325&lt;=K325+3),"10."&amp;INDEX(Eingabe!$D$9:$D$18,I325)&amp;"."&amp;IF(J325&lt;=K325,J325,IF(J325=K325+1,200,IF(J325=K325+2,201,250)))&amp;".10 – 10."&amp;INDEX(Eingabe!$D$9:$D$18,I325)&amp;"."&amp;IF(J325&lt;=K325,J325,IF(J325=K325+1,200,IF(J325=K325+2,201,250)))&amp;".250",""))</f>
        <v/>
      </c>
      <c r="G325" s="0" t="str">
        <f aca="false">IF(I325="","",IF(AND(J325&gt;=1,J325&lt;=K325),Eingabe!$B$6&amp;"-"&amp;INDEX(Eingabe!$C$9:$C$18,I325)&amp;"-Pächter  ·  Passwort Parzelle "&amp;J325,IF(J325=K325+1,Eingabe!$B$6&amp;"-"&amp;INDEX(Eingabe!$C$9:$C$18,I325)&amp;"-Vorstand  ·  eigenes WLAN",IF(J325=K325+2,Eingabe!$B$6&amp;"-"&amp;INDEX(Eingabe!$C$9:$C$18,I325)&amp;"-Gäste  ·  Voucher",IF(J325=K325+3,"Kabel  ·  Access Point y = .(50+y), Mast-Switch x = .(10+x)","")))))</f>
        <v/>
      </c>
      <c r="I325" s="0" t="str">
        <f aca="false">IF(320&lt;=(Eingabe!$P$18+Eingabe!$Q$18-1),MATCH(320,Eingabe!$P$9:$P$18,1),"")</f>
        <v/>
      </c>
      <c r="J325" s="0" t="str">
        <f aca="false">IF(I325="","",320-INDEX(Eingabe!$P$9:$P$18,I325))</f>
        <v/>
      </c>
      <c r="K325" s="0" t="str">
        <f aca="false">IF(I325="","",INDEX(Eingabe!$E$9:$E$18,I325))</f>
        <v/>
      </c>
    </row>
    <row r="326" customFormat="false" ht="15" hidden="false" customHeight="false" outlineLevel="0" collapsed="false">
      <c r="A326" s="0" t="str">
        <f aca="false">IF(I326="","",IF(J326=0,"Sparte "&amp;I326&amp;": "&amp;INDEX(Eingabe!$B$9:$B$18,I326)&amp;"  (Sparten-ID "&amp;INDEX(Eingabe!$D$9:$D$18,I326)&amp;", "&amp;K326&amp;" Parzellen)",IF(J326&lt;=K326,"   Parzelle "&amp;J326,IF(J326=K326+1,"   Vorstand",IF(J326=K326+2,"   Gäste",IF(J326=K326+3,"   Technik (Switches, Access Points)",""))))))</f>
        <v/>
      </c>
      <c r="B326" s="0" t="str">
        <f aca="false">IF(I326="","",IF(AND(J326&gt;=1,J326&lt;=K326+3),IF(J326&lt;=K326,IF(J326&lt;=99,IF((INDEX(Eingabe!$G$9:$G$18,I326))&lt;=9,1000+(INDEX(Eingabe!$G$9:$G$18,I326))*100,3000)+J326,IF((INDEX(Eingabe!$G$9:$G$18,I326)+1)&lt;=9,1000+(INDEX(Eingabe!$G$9:$G$18,I326)+1)*100,3000)+J326-100),IF(J326=K326+1,2000+INDEX(Eingabe!$G$9:$G$18,I326)*10+1,IF(J326=K326+2,2000+INDEX(Eingabe!$G$9:$G$18,I326)*10+2,2000+INDEX(Eingabe!$G$9:$G$18,I326)*10+9))),""))</f>
        <v/>
      </c>
      <c r="C326" s="0" t="str">
        <f aca="false">IF(I326="","",IF(AND(J326&gt;=1,J326&lt;=K326+3),"10."&amp;INDEX(Eingabe!$D$9:$D$18,I326)&amp;"."&amp;IF(J326&lt;=K326,J326,IF(J326=K326+1,200,IF(J326=K326+2,201,250)))&amp;".0/24",""))</f>
        <v/>
      </c>
      <c r="D326" s="0" t="str">
        <f aca="false">IF(I326="","",IF(AND(J326&gt;=1,J326&lt;=K326+3),"255.255.255.0",""))</f>
        <v/>
      </c>
      <c r="E326" s="0" t="str">
        <f aca="false">IF(I326="","",IF(AND(J326&gt;=1,J326&lt;=K326+3),"10."&amp;INDEX(Eingabe!$D$9:$D$18,I326)&amp;"."&amp;IF(J326&lt;=K326,J326,IF(J326=K326+1,200,IF(J326=K326+2,201,250)))&amp;".1",""))</f>
        <v/>
      </c>
      <c r="F326" s="0" t="str">
        <f aca="false">IF(I326="","",IF(AND(J326&gt;=1,J326&lt;=K326+3),"10."&amp;INDEX(Eingabe!$D$9:$D$18,I326)&amp;"."&amp;IF(J326&lt;=K326,J326,IF(J326=K326+1,200,IF(J326=K326+2,201,250)))&amp;".10 – 10."&amp;INDEX(Eingabe!$D$9:$D$18,I326)&amp;"."&amp;IF(J326&lt;=K326,J326,IF(J326=K326+1,200,IF(J326=K326+2,201,250)))&amp;".250",""))</f>
        <v/>
      </c>
      <c r="G326" s="0" t="str">
        <f aca="false">IF(I326="","",IF(AND(J326&gt;=1,J326&lt;=K326),Eingabe!$B$6&amp;"-"&amp;INDEX(Eingabe!$C$9:$C$18,I326)&amp;"-Pächter  ·  Passwort Parzelle "&amp;J326,IF(J326=K326+1,Eingabe!$B$6&amp;"-"&amp;INDEX(Eingabe!$C$9:$C$18,I326)&amp;"-Vorstand  ·  eigenes WLAN",IF(J326=K326+2,Eingabe!$B$6&amp;"-"&amp;INDEX(Eingabe!$C$9:$C$18,I326)&amp;"-Gäste  ·  Voucher",IF(J326=K326+3,"Kabel  ·  Access Point y = .(50+y), Mast-Switch x = .(10+x)","")))))</f>
        <v/>
      </c>
      <c r="I326" s="0" t="str">
        <f aca="false">IF(321&lt;=(Eingabe!$P$18+Eingabe!$Q$18-1),MATCH(321,Eingabe!$P$9:$P$18,1),"")</f>
        <v/>
      </c>
      <c r="J326" s="0" t="str">
        <f aca="false">IF(I326="","",321-INDEX(Eingabe!$P$9:$P$18,I326))</f>
        <v/>
      </c>
      <c r="K326" s="0" t="str">
        <f aca="false">IF(I326="","",INDEX(Eingabe!$E$9:$E$18,I326))</f>
        <v/>
      </c>
    </row>
    <row r="327" customFormat="false" ht="15" hidden="false" customHeight="false" outlineLevel="0" collapsed="false">
      <c r="A327" s="0" t="str">
        <f aca="false">IF(I327="","",IF(J327=0,"Sparte "&amp;I327&amp;": "&amp;INDEX(Eingabe!$B$9:$B$18,I327)&amp;"  (Sparten-ID "&amp;INDEX(Eingabe!$D$9:$D$18,I327)&amp;", "&amp;K327&amp;" Parzellen)",IF(J327&lt;=K327,"   Parzelle "&amp;J327,IF(J327=K327+1,"   Vorstand",IF(J327=K327+2,"   Gäste",IF(J327=K327+3,"   Technik (Switches, Access Points)",""))))))</f>
        <v/>
      </c>
      <c r="B327" s="0" t="str">
        <f aca="false">IF(I327="","",IF(AND(J327&gt;=1,J327&lt;=K327+3),IF(J327&lt;=K327,IF(J327&lt;=99,IF((INDEX(Eingabe!$G$9:$G$18,I327))&lt;=9,1000+(INDEX(Eingabe!$G$9:$G$18,I327))*100,3000)+J327,IF((INDEX(Eingabe!$G$9:$G$18,I327)+1)&lt;=9,1000+(INDEX(Eingabe!$G$9:$G$18,I327)+1)*100,3000)+J327-100),IF(J327=K327+1,2000+INDEX(Eingabe!$G$9:$G$18,I327)*10+1,IF(J327=K327+2,2000+INDEX(Eingabe!$G$9:$G$18,I327)*10+2,2000+INDEX(Eingabe!$G$9:$G$18,I327)*10+9))),""))</f>
        <v/>
      </c>
      <c r="C327" s="0" t="str">
        <f aca="false">IF(I327="","",IF(AND(J327&gt;=1,J327&lt;=K327+3),"10."&amp;INDEX(Eingabe!$D$9:$D$18,I327)&amp;"."&amp;IF(J327&lt;=K327,J327,IF(J327=K327+1,200,IF(J327=K327+2,201,250)))&amp;".0/24",""))</f>
        <v/>
      </c>
      <c r="D327" s="0" t="str">
        <f aca="false">IF(I327="","",IF(AND(J327&gt;=1,J327&lt;=K327+3),"255.255.255.0",""))</f>
        <v/>
      </c>
      <c r="E327" s="0" t="str">
        <f aca="false">IF(I327="","",IF(AND(J327&gt;=1,J327&lt;=K327+3),"10."&amp;INDEX(Eingabe!$D$9:$D$18,I327)&amp;"."&amp;IF(J327&lt;=K327,J327,IF(J327=K327+1,200,IF(J327=K327+2,201,250)))&amp;".1",""))</f>
        <v/>
      </c>
      <c r="F327" s="0" t="str">
        <f aca="false">IF(I327="","",IF(AND(J327&gt;=1,J327&lt;=K327+3),"10."&amp;INDEX(Eingabe!$D$9:$D$18,I327)&amp;"."&amp;IF(J327&lt;=K327,J327,IF(J327=K327+1,200,IF(J327=K327+2,201,250)))&amp;".10 – 10."&amp;INDEX(Eingabe!$D$9:$D$18,I327)&amp;"."&amp;IF(J327&lt;=K327,J327,IF(J327=K327+1,200,IF(J327=K327+2,201,250)))&amp;".250",""))</f>
        <v/>
      </c>
      <c r="G327" s="0" t="str">
        <f aca="false">IF(I327="","",IF(AND(J327&gt;=1,J327&lt;=K327),Eingabe!$B$6&amp;"-"&amp;INDEX(Eingabe!$C$9:$C$18,I327)&amp;"-Pächter  ·  Passwort Parzelle "&amp;J327,IF(J327=K327+1,Eingabe!$B$6&amp;"-"&amp;INDEX(Eingabe!$C$9:$C$18,I327)&amp;"-Vorstand  ·  eigenes WLAN",IF(J327=K327+2,Eingabe!$B$6&amp;"-"&amp;INDEX(Eingabe!$C$9:$C$18,I327)&amp;"-Gäste  ·  Voucher",IF(J327=K327+3,"Kabel  ·  Access Point y = .(50+y), Mast-Switch x = .(10+x)","")))))</f>
        <v/>
      </c>
      <c r="I327" s="0" t="str">
        <f aca="false">IF(322&lt;=(Eingabe!$P$18+Eingabe!$Q$18-1),MATCH(322,Eingabe!$P$9:$P$18,1),"")</f>
        <v/>
      </c>
      <c r="J327" s="0" t="str">
        <f aca="false">IF(I327="","",322-INDEX(Eingabe!$P$9:$P$18,I327))</f>
        <v/>
      </c>
      <c r="K327" s="0" t="str">
        <f aca="false">IF(I327="","",INDEX(Eingabe!$E$9:$E$18,I327))</f>
        <v/>
      </c>
    </row>
    <row r="328" customFormat="false" ht="15" hidden="false" customHeight="false" outlineLevel="0" collapsed="false">
      <c r="A328" s="0" t="str">
        <f aca="false">IF(I328="","",IF(J328=0,"Sparte "&amp;I328&amp;": "&amp;INDEX(Eingabe!$B$9:$B$18,I328)&amp;"  (Sparten-ID "&amp;INDEX(Eingabe!$D$9:$D$18,I328)&amp;", "&amp;K328&amp;" Parzellen)",IF(J328&lt;=K328,"   Parzelle "&amp;J328,IF(J328=K328+1,"   Vorstand",IF(J328=K328+2,"   Gäste",IF(J328=K328+3,"   Technik (Switches, Access Points)",""))))))</f>
        <v/>
      </c>
      <c r="B328" s="0" t="str">
        <f aca="false">IF(I328="","",IF(AND(J328&gt;=1,J328&lt;=K328+3),IF(J328&lt;=K328,IF(J328&lt;=99,IF((INDEX(Eingabe!$G$9:$G$18,I328))&lt;=9,1000+(INDEX(Eingabe!$G$9:$G$18,I328))*100,3000)+J328,IF((INDEX(Eingabe!$G$9:$G$18,I328)+1)&lt;=9,1000+(INDEX(Eingabe!$G$9:$G$18,I328)+1)*100,3000)+J328-100),IF(J328=K328+1,2000+INDEX(Eingabe!$G$9:$G$18,I328)*10+1,IF(J328=K328+2,2000+INDEX(Eingabe!$G$9:$G$18,I328)*10+2,2000+INDEX(Eingabe!$G$9:$G$18,I328)*10+9))),""))</f>
        <v/>
      </c>
      <c r="C328" s="0" t="str">
        <f aca="false">IF(I328="","",IF(AND(J328&gt;=1,J328&lt;=K328+3),"10."&amp;INDEX(Eingabe!$D$9:$D$18,I328)&amp;"."&amp;IF(J328&lt;=K328,J328,IF(J328=K328+1,200,IF(J328=K328+2,201,250)))&amp;".0/24",""))</f>
        <v/>
      </c>
      <c r="D328" s="0" t="str">
        <f aca="false">IF(I328="","",IF(AND(J328&gt;=1,J328&lt;=K328+3),"255.255.255.0",""))</f>
        <v/>
      </c>
      <c r="E328" s="0" t="str">
        <f aca="false">IF(I328="","",IF(AND(J328&gt;=1,J328&lt;=K328+3),"10."&amp;INDEX(Eingabe!$D$9:$D$18,I328)&amp;"."&amp;IF(J328&lt;=K328,J328,IF(J328=K328+1,200,IF(J328=K328+2,201,250)))&amp;".1",""))</f>
        <v/>
      </c>
      <c r="F328" s="0" t="str">
        <f aca="false">IF(I328="","",IF(AND(J328&gt;=1,J328&lt;=K328+3),"10."&amp;INDEX(Eingabe!$D$9:$D$18,I328)&amp;"."&amp;IF(J328&lt;=K328,J328,IF(J328=K328+1,200,IF(J328=K328+2,201,250)))&amp;".10 – 10."&amp;INDEX(Eingabe!$D$9:$D$18,I328)&amp;"."&amp;IF(J328&lt;=K328,J328,IF(J328=K328+1,200,IF(J328=K328+2,201,250)))&amp;".250",""))</f>
        <v/>
      </c>
      <c r="G328" s="0" t="str">
        <f aca="false">IF(I328="","",IF(AND(J328&gt;=1,J328&lt;=K328),Eingabe!$B$6&amp;"-"&amp;INDEX(Eingabe!$C$9:$C$18,I328)&amp;"-Pächter  ·  Passwort Parzelle "&amp;J328,IF(J328=K328+1,Eingabe!$B$6&amp;"-"&amp;INDEX(Eingabe!$C$9:$C$18,I328)&amp;"-Vorstand  ·  eigenes WLAN",IF(J328=K328+2,Eingabe!$B$6&amp;"-"&amp;INDEX(Eingabe!$C$9:$C$18,I328)&amp;"-Gäste  ·  Voucher",IF(J328=K328+3,"Kabel  ·  Access Point y = .(50+y), Mast-Switch x = .(10+x)","")))))</f>
        <v/>
      </c>
      <c r="I328" s="0" t="str">
        <f aca="false">IF(323&lt;=(Eingabe!$P$18+Eingabe!$Q$18-1),MATCH(323,Eingabe!$P$9:$P$18,1),"")</f>
        <v/>
      </c>
      <c r="J328" s="0" t="str">
        <f aca="false">IF(I328="","",323-INDEX(Eingabe!$P$9:$P$18,I328))</f>
        <v/>
      </c>
      <c r="K328" s="0" t="str">
        <f aca="false">IF(I328="","",INDEX(Eingabe!$E$9:$E$18,I328))</f>
        <v/>
      </c>
    </row>
    <row r="329" customFormat="false" ht="15" hidden="false" customHeight="false" outlineLevel="0" collapsed="false">
      <c r="A329" s="0" t="str">
        <f aca="false">IF(I329="","",IF(J329=0,"Sparte "&amp;I329&amp;": "&amp;INDEX(Eingabe!$B$9:$B$18,I329)&amp;"  (Sparten-ID "&amp;INDEX(Eingabe!$D$9:$D$18,I329)&amp;", "&amp;K329&amp;" Parzellen)",IF(J329&lt;=K329,"   Parzelle "&amp;J329,IF(J329=K329+1,"   Vorstand",IF(J329=K329+2,"   Gäste",IF(J329=K329+3,"   Technik (Switches, Access Points)",""))))))</f>
        <v/>
      </c>
      <c r="B329" s="0" t="str">
        <f aca="false">IF(I329="","",IF(AND(J329&gt;=1,J329&lt;=K329+3),IF(J329&lt;=K329,IF(J329&lt;=99,IF((INDEX(Eingabe!$G$9:$G$18,I329))&lt;=9,1000+(INDEX(Eingabe!$G$9:$G$18,I329))*100,3000)+J329,IF((INDEX(Eingabe!$G$9:$G$18,I329)+1)&lt;=9,1000+(INDEX(Eingabe!$G$9:$G$18,I329)+1)*100,3000)+J329-100),IF(J329=K329+1,2000+INDEX(Eingabe!$G$9:$G$18,I329)*10+1,IF(J329=K329+2,2000+INDEX(Eingabe!$G$9:$G$18,I329)*10+2,2000+INDEX(Eingabe!$G$9:$G$18,I329)*10+9))),""))</f>
        <v/>
      </c>
      <c r="C329" s="0" t="str">
        <f aca="false">IF(I329="","",IF(AND(J329&gt;=1,J329&lt;=K329+3),"10."&amp;INDEX(Eingabe!$D$9:$D$18,I329)&amp;"."&amp;IF(J329&lt;=K329,J329,IF(J329=K329+1,200,IF(J329=K329+2,201,250)))&amp;".0/24",""))</f>
        <v/>
      </c>
      <c r="D329" s="0" t="str">
        <f aca="false">IF(I329="","",IF(AND(J329&gt;=1,J329&lt;=K329+3),"255.255.255.0",""))</f>
        <v/>
      </c>
      <c r="E329" s="0" t="str">
        <f aca="false">IF(I329="","",IF(AND(J329&gt;=1,J329&lt;=K329+3),"10."&amp;INDEX(Eingabe!$D$9:$D$18,I329)&amp;"."&amp;IF(J329&lt;=K329,J329,IF(J329=K329+1,200,IF(J329=K329+2,201,250)))&amp;".1",""))</f>
        <v/>
      </c>
      <c r="F329" s="0" t="str">
        <f aca="false">IF(I329="","",IF(AND(J329&gt;=1,J329&lt;=K329+3),"10."&amp;INDEX(Eingabe!$D$9:$D$18,I329)&amp;"."&amp;IF(J329&lt;=K329,J329,IF(J329=K329+1,200,IF(J329=K329+2,201,250)))&amp;".10 – 10."&amp;INDEX(Eingabe!$D$9:$D$18,I329)&amp;"."&amp;IF(J329&lt;=K329,J329,IF(J329=K329+1,200,IF(J329=K329+2,201,250)))&amp;".250",""))</f>
        <v/>
      </c>
      <c r="G329" s="0" t="str">
        <f aca="false">IF(I329="","",IF(AND(J329&gt;=1,J329&lt;=K329),Eingabe!$B$6&amp;"-"&amp;INDEX(Eingabe!$C$9:$C$18,I329)&amp;"-Pächter  ·  Passwort Parzelle "&amp;J329,IF(J329=K329+1,Eingabe!$B$6&amp;"-"&amp;INDEX(Eingabe!$C$9:$C$18,I329)&amp;"-Vorstand  ·  eigenes WLAN",IF(J329=K329+2,Eingabe!$B$6&amp;"-"&amp;INDEX(Eingabe!$C$9:$C$18,I329)&amp;"-Gäste  ·  Voucher",IF(J329=K329+3,"Kabel  ·  Access Point y = .(50+y), Mast-Switch x = .(10+x)","")))))</f>
        <v/>
      </c>
      <c r="I329" s="0" t="str">
        <f aca="false">IF(324&lt;=(Eingabe!$P$18+Eingabe!$Q$18-1),MATCH(324,Eingabe!$P$9:$P$18,1),"")</f>
        <v/>
      </c>
      <c r="J329" s="0" t="str">
        <f aca="false">IF(I329="","",324-INDEX(Eingabe!$P$9:$P$18,I329))</f>
        <v/>
      </c>
      <c r="K329" s="0" t="str">
        <f aca="false">IF(I329="","",INDEX(Eingabe!$E$9:$E$18,I329))</f>
        <v/>
      </c>
    </row>
    <row r="330" customFormat="false" ht="15" hidden="false" customHeight="false" outlineLevel="0" collapsed="false">
      <c r="A330" s="0" t="str">
        <f aca="false">IF(I330="","",IF(J330=0,"Sparte "&amp;I330&amp;": "&amp;INDEX(Eingabe!$B$9:$B$18,I330)&amp;"  (Sparten-ID "&amp;INDEX(Eingabe!$D$9:$D$18,I330)&amp;", "&amp;K330&amp;" Parzellen)",IF(J330&lt;=K330,"   Parzelle "&amp;J330,IF(J330=K330+1,"   Vorstand",IF(J330=K330+2,"   Gäste",IF(J330=K330+3,"   Technik (Switches, Access Points)",""))))))</f>
        <v/>
      </c>
      <c r="B330" s="0" t="str">
        <f aca="false">IF(I330="","",IF(AND(J330&gt;=1,J330&lt;=K330+3),IF(J330&lt;=K330,IF(J330&lt;=99,IF((INDEX(Eingabe!$G$9:$G$18,I330))&lt;=9,1000+(INDEX(Eingabe!$G$9:$G$18,I330))*100,3000)+J330,IF((INDEX(Eingabe!$G$9:$G$18,I330)+1)&lt;=9,1000+(INDEX(Eingabe!$G$9:$G$18,I330)+1)*100,3000)+J330-100),IF(J330=K330+1,2000+INDEX(Eingabe!$G$9:$G$18,I330)*10+1,IF(J330=K330+2,2000+INDEX(Eingabe!$G$9:$G$18,I330)*10+2,2000+INDEX(Eingabe!$G$9:$G$18,I330)*10+9))),""))</f>
        <v/>
      </c>
      <c r="C330" s="0" t="str">
        <f aca="false">IF(I330="","",IF(AND(J330&gt;=1,J330&lt;=K330+3),"10."&amp;INDEX(Eingabe!$D$9:$D$18,I330)&amp;"."&amp;IF(J330&lt;=K330,J330,IF(J330=K330+1,200,IF(J330=K330+2,201,250)))&amp;".0/24",""))</f>
        <v/>
      </c>
      <c r="D330" s="0" t="str">
        <f aca="false">IF(I330="","",IF(AND(J330&gt;=1,J330&lt;=K330+3),"255.255.255.0",""))</f>
        <v/>
      </c>
      <c r="E330" s="0" t="str">
        <f aca="false">IF(I330="","",IF(AND(J330&gt;=1,J330&lt;=K330+3),"10."&amp;INDEX(Eingabe!$D$9:$D$18,I330)&amp;"."&amp;IF(J330&lt;=K330,J330,IF(J330=K330+1,200,IF(J330=K330+2,201,250)))&amp;".1",""))</f>
        <v/>
      </c>
      <c r="F330" s="0" t="str">
        <f aca="false">IF(I330="","",IF(AND(J330&gt;=1,J330&lt;=K330+3),"10."&amp;INDEX(Eingabe!$D$9:$D$18,I330)&amp;"."&amp;IF(J330&lt;=K330,J330,IF(J330=K330+1,200,IF(J330=K330+2,201,250)))&amp;".10 – 10."&amp;INDEX(Eingabe!$D$9:$D$18,I330)&amp;"."&amp;IF(J330&lt;=K330,J330,IF(J330=K330+1,200,IF(J330=K330+2,201,250)))&amp;".250",""))</f>
        <v/>
      </c>
      <c r="G330" s="0" t="str">
        <f aca="false">IF(I330="","",IF(AND(J330&gt;=1,J330&lt;=K330),Eingabe!$B$6&amp;"-"&amp;INDEX(Eingabe!$C$9:$C$18,I330)&amp;"-Pächter  ·  Passwort Parzelle "&amp;J330,IF(J330=K330+1,Eingabe!$B$6&amp;"-"&amp;INDEX(Eingabe!$C$9:$C$18,I330)&amp;"-Vorstand  ·  eigenes WLAN",IF(J330=K330+2,Eingabe!$B$6&amp;"-"&amp;INDEX(Eingabe!$C$9:$C$18,I330)&amp;"-Gäste  ·  Voucher",IF(J330=K330+3,"Kabel  ·  Access Point y = .(50+y), Mast-Switch x = .(10+x)","")))))</f>
        <v/>
      </c>
      <c r="I330" s="0" t="str">
        <f aca="false">IF(325&lt;=(Eingabe!$P$18+Eingabe!$Q$18-1),MATCH(325,Eingabe!$P$9:$P$18,1),"")</f>
        <v/>
      </c>
      <c r="J330" s="0" t="str">
        <f aca="false">IF(I330="","",325-INDEX(Eingabe!$P$9:$P$18,I330))</f>
        <v/>
      </c>
      <c r="K330" s="0" t="str">
        <f aca="false">IF(I330="","",INDEX(Eingabe!$E$9:$E$18,I330))</f>
        <v/>
      </c>
    </row>
    <row r="331" customFormat="false" ht="15" hidden="false" customHeight="false" outlineLevel="0" collapsed="false">
      <c r="A331" s="0" t="str">
        <f aca="false">IF(I331="","",IF(J331=0,"Sparte "&amp;I331&amp;": "&amp;INDEX(Eingabe!$B$9:$B$18,I331)&amp;"  (Sparten-ID "&amp;INDEX(Eingabe!$D$9:$D$18,I331)&amp;", "&amp;K331&amp;" Parzellen)",IF(J331&lt;=K331,"   Parzelle "&amp;J331,IF(J331=K331+1,"   Vorstand",IF(J331=K331+2,"   Gäste",IF(J331=K331+3,"   Technik (Switches, Access Points)",""))))))</f>
        <v/>
      </c>
      <c r="B331" s="0" t="str">
        <f aca="false">IF(I331="","",IF(AND(J331&gt;=1,J331&lt;=K331+3),IF(J331&lt;=K331,IF(J331&lt;=99,IF((INDEX(Eingabe!$G$9:$G$18,I331))&lt;=9,1000+(INDEX(Eingabe!$G$9:$G$18,I331))*100,3000)+J331,IF((INDEX(Eingabe!$G$9:$G$18,I331)+1)&lt;=9,1000+(INDEX(Eingabe!$G$9:$G$18,I331)+1)*100,3000)+J331-100),IF(J331=K331+1,2000+INDEX(Eingabe!$G$9:$G$18,I331)*10+1,IF(J331=K331+2,2000+INDEX(Eingabe!$G$9:$G$18,I331)*10+2,2000+INDEX(Eingabe!$G$9:$G$18,I331)*10+9))),""))</f>
        <v/>
      </c>
      <c r="C331" s="0" t="str">
        <f aca="false">IF(I331="","",IF(AND(J331&gt;=1,J331&lt;=K331+3),"10."&amp;INDEX(Eingabe!$D$9:$D$18,I331)&amp;"."&amp;IF(J331&lt;=K331,J331,IF(J331=K331+1,200,IF(J331=K331+2,201,250)))&amp;".0/24",""))</f>
        <v/>
      </c>
      <c r="D331" s="0" t="str">
        <f aca="false">IF(I331="","",IF(AND(J331&gt;=1,J331&lt;=K331+3),"255.255.255.0",""))</f>
        <v/>
      </c>
      <c r="E331" s="0" t="str">
        <f aca="false">IF(I331="","",IF(AND(J331&gt;=1,J331&lt;=K331+3),"10."&amp;INDEX(Eingabe!$D$9:$D$18,I331)&amp;"."&amp;IF(J331&lt;=K331,J331,IF(J331=K331+1,200,IF(J331=K331+2,201,250)))&amp;".1",""))</f>
        <v/>
      </c>
      <c r="F331" s="0" t="str">
        <f aca="false">IF(I331="","",IF(AND(J331&gt;=1,J331&lt;=K331+3),"10."&amp;INDEX(Eingabe!$D$9:$D$18,I331)&amp;"."&amp;IF(J331&lt;=K331,J331,IF(J331=K331+1,200,IF(J331=K331+2,201,250)))&amp;".10 – 10."&amp;INDEX(Eingabe!$D$9:$D$18,I331)&amp;"."&amp;IF(J331&lt;=K331,J331,IF(J331=K331+1,200,IF(J331=K331+2,201,250)))&amp;".250",""))</f>
        <v/>
      </c>
      <c r="G331" s="0" t="str">
        <f aca="false">IF(I331="","",IF(AND(J331&gt;=1,J331&lt;=K331),Eingabe!$B$6&amp;"-"&amp;INDEX(Eingabe!$C$9:$C$18,I331)&amp;"-Pächter  ·  Passwort Parzelle "&amp;J331,IF(J331=K331+1,Eingabe!$B$6&amp;"-"&amp;INDEX(Eingabe!$C$9:$C$18,I331)&amp;"-Vorstand  ·  eigenes WLAN",IF(J331=K331+2,Eingabe!$B$6&amp;"-"&amp;INDEX(Eingabe!$C$9:$C$18,I331)&amp;"-Gäste  ·  Voucher",IF(J331=K331+3,"Kabel  ·  Access Point y = .(50+y), Mast-Switch x = .(10+x)","")))))</f>
        <v/>
      </c>
      <c r="I331" s="0" t="str">
        <f aca="false">IF(326&lt;=(Eingabe!$P$18+Eingabe!$Q$18-1),MATCH(326,Eingabe!$P$9:$P$18,1),"")</f>
        <v/>
      </c>
      <c r="J331" s="0" t="str">
        <f aca="false">IF(I331="","",326-INDEX(Eingabe!$P$9:$P$18,I331))</f>
        <v/>
      </c>
      <c r="K331" s="0" t="str">
        <f aca="false">IF(I331="","",INDEX(Eingabe!$E$9:$E$18,I331))</f>
        <v/>
      </c>
    </row>
    <row r="332" customFormat="false" ht="15" hidden="false" customHeight="false" outlineLevel="0" collapsed="false">
      <c r="A332" s="0" t="str">
        <f aca="false">IF(I332="","",IF(J332=0,"Sparte "&amp;I332&amp;": "&amp;INDEX(Eingabe!$B$9:$B$18,I332)&amp;"  (Sparten-ID "&amp;INDEX(Eingabe!$D$9:$D$18,I332)&amp;", "&amp;K332&amp;" Parzellen)",IF(J332&lt;=K332,"   Parzelle "&amp;J332,IF(J332=K332+1,"   Vorstand",IF(J332=K332+2,"   Gäste",IF(J332=K332+3,"   Technik (Switches, Access Points)",""))))))</f>
        <v/>
      </c>
      <c r="B332" s="0" t="str">
        <f aca="false">IF(I332="","",IF(AND(J332&gt;=1,J332&lt;=K332+3),IF(J332&lt;=K332,IF(J332&lt;=99,IF((INDEX(Eingabe!$G$9:$G$18,I332))&lt;=9,1000+(INDEX(Eingabe!$G$9:$G$18,I332))*100,3000)+J332,IF((INDEX(Eingabe!$G$9:$G$18,I332)+1)&lt;=9,1000+(INDEX(Eingabe!$G$9:$G$18,I332)+1)*100,3000)+J332-100),IF(J332=K332+1,2000+INDEX(Eingabe!$G$9:$G$18,I332)*10+1,IF(J332=K332+2,2000+INDEX(Eingabe!$G$9:$G$18,I332)*10+2,2000+INDEX(Eingabe!$G$9:$G$18,I332)*10+9))),""))</f>
        <v/>
      </c>
      <c r="C332" s="0" t="str">
        <f aca="false">IF(I332="","",IF(AND(J332&gt;=1,J332&lt;=K332+3),"10."&amp;INDEX(Eingabe!$D$9:$D$18,I332)&amp;"."&amp;IF(J332&lt;=K332,J332,IF(J332=K332+1,200,IF(J332=K332+2,201,250)))&amp;".0/24",""))</f>
        <v/>
      </c>
      <c r="D332" s="0" t="str">
        <f aca="false">IF(I332="","",IF(AND(J332&gt;=1,J332&lt;=K332+3),"255.255.255.0",""))</f>
        <v/>
      </c>
      <c r="E332" s="0" t="str">
        <f aca="false">IF(I332="","",IF(AND(J332&gt;=1,J332&lt;=K332+3),"10."&amp;INDEX(Eingabe!$D$9:$D$18,I332)&amp;"."&amp;IF(J332&lt;=K332,J332,IF(J332=K332+1,200,IF(J332=K332+2,201,250)))&amp;".1",""))</f>
        <v/>
      </c>
      <c r="F332" s="0" t="str">
        <f aca="false">IF(I332="","",IF(AND(J332&gt;=1,J332&lt;=K332+3),"10."&amp;INDEX(Eingabe!$D$9:$D$18,I332)&amp;"."&amp;IF(J332&lt;=K332,J332,IF(J332=K332+1,200,IF(J332=K332+2,201,250)))&amp;".10 – 10."&amp;INDEX(Eingabe!$D$9:$D$18,I332)&amp;"."&amp;IF(J332&lt;=K332,J332,IF(J332=K332+1,200,IF(J332=K332+2,201,250)))&amp;".250",""))</f>
        <v/>
      </c>
      <c r="G332" s="0" t="str">
        <f aca="false">IF(I332="","",IF(AND(J332&gt;=1,J332&lt;=K332),Eingabe!$B$6&amp;"-"&amp;INDEX(Eingabe!$C$9:$C$18,I332)&amp;"-Pächter  ·  Passwort Parzelle "&amp;J332,IF(J332=K332+1,Eingabe!$B$6&amp;"-"&amp;INDEX(Eingabe!$C$9:$C$18,I332)&amp;"-Vorstand  ·  eigenes WLAN",IF(J332=K332+2,Eingabe!$B$6&amp;"-"&amp;INDEX(Eingabe!$C$9:$C$18,I332)&amp;"-Gäste  ·  Voucher",IF(J332=K332+3,"Kabel  ·  Access Point y = .(50+y), Mast-Switch x = .(10+x)","")))))</f>
        <v/>
      </c>
      <c r="I332" s="0" t="str">
        <f aca="false">IF(327&lt;=(Eingabe!$P$18+Eingabe!$Q$18-1),MATCH(327,Eingabe!$P$9:$P$18,1),"")</f>
        <v/>
      </c>
      <c r="J332" s="0" t="str">
        <f aca="false">IF(I332="","",327-INDEX(Eingabe!$P$9:$P$18,I332))</f>
        <v/>
      </c>
      <c r="K332" s="0" t="str">
        <f aca="false">IF(I332="","",INDEX(Eingabe!$E$9:$E$18,I332))</f>
        <v/>
      </c>
    </row>
    <row r="333" customFormat="false" ht="15" hidden="false" customHeight="false" outlineLevel="0" collapsed="false">
      <c r="A333" s="0" t="str">
        <f aca="false">IF(I333="","",IF(J333=0,"Sparte "&amp;I333&amp;": "&amp;INDEX(Eingabe!$B$9:$B$18,I333)&amp;"  (Sparten-ID "&amp;INDEX(Eingabe!$D$9:$D$18,I333)&amp;", "&amp;K333&amp;" Parzellen)",IF(J333&lt;=K333,"   Parzelle "&amp;J333,IF(J333=K333+1,"   Vorstand",IF(J333=K333+2,"   Gäste",IF(J333=K333+3,"   Technik (Switches, Access Points)",""))))))</f>
        <v/>
      </c>
      <c r="B333" s="0" t="str">
        <f aca="false">IF(I333="","",IF(AND(J333&gt;=1,J333&lt;=K333+3),IF(J333&lt;=K333,IF(J333&lt;=99,IF((INDEX(Eingabe!$G$9:$G$18,I333))&lt;=9,1000+(INDEX(Eingabe!$G$9:$G$18,I333))*100,3000)+J333,IF((INDEX(Eingabe!$G$9:$G$18,I333)+1)&lt;=9,1000+(INDEX(Eingabe!$G$9:$G$18,I333)+1)*100,3000)+J333-100),IF(J333=K333+1,2000+INDEX(Eingabe!$G$9:$G$18,I333)*10+1,IF(J333=K333+2,2000+INDEX(Eingabe!$G$9:$G$18,I333)*10+2,2000+INDEX(Eingabe!$G$9:$G$18,I333)*10+9))),""))</f>
        <v/>
      </c>
      <c r="C333" s="0" t="str">
        <f aca="false">IF(I333="","",IF(AND(J333&gt;=1,J333&lt;=K333+3),"10."&amp;INDEX(Eingabe!$D$9:$D$18,I333)&amp;"."&amp;IF(J333&lt;=K333,J333,IF(J333=K333+1,200,IF(J333=K333+2,201,250)))&amp;".0/24",""))</f>
        <v/>
      </c>
      <c r="D333" s="0" t="str">
        <f aca="false">IF(I333="","",IF(AND(J333&gt;=1,J333&lt;=K333+3),"255.255.255.0",""))</f>
        <v/>
      </c>
      <c r="E333" s="0" t="str">
        <f aca="false">IF(I333="","",IF(AND(J333&gt;=1,J333&lt;=K333+3),"10."&amp;INDEX(Eingabe!$D$9:$D$18,I333)&amp;"."&amp;IF(J333&lt;=K333,J333,IF(J333=K333+1,200,IF(J333=K333+2,201,250)))&amp;".1",""))</f>
        <v/>
      </c>
      <c r="F333" s="0" t="str">
        <f aca="false">IF(I333="","",IF(AND(J333&gt;=1,J333&lt;=K333+3),"10."&amp;INDEX(Eingabe!$D$9:$D$18,I333)&amp;"."&amp;IF(J333&lt;=K333,J333,IF(J333=K333+1,200,IF(J333=K333+2,201,250)))&amp;".10 – 10."&amp;INDEX(Eingabe!$D$9:$D$18,I333)&amp;"."&amp;IF(J333&lt;=K333,J333,IF(J333=K333+1,200,IF(J333=K333+2,201,250)))&amp;".250",""))</f>
        <v/>
      </c>
      <c r="G333" s="0" t="str">
        <f aca="false">IF(I333="","",IF(AND(J333&gt;=1,J333&lt;=K333),Eingabe!$B$6&amp;"-"&amp;INDEX(Eingabe!$C$9:$C$18,I333)&amp;"-Pächter  ·  Passwort Parzelle "&amp;J333,IF(J333=K333+1,Eingabe!$B$6&amp;"-"&amp;INDEX(Eingabe!$C$9:$C$18,I333)&amp;"-Vorstand  ·  eigenes WLAN",IF(J333=K333+2,Eingabe!$B$6&amp;"-"&amp;INDEX(Eingabe!$C$9:$C$18,I333)&amp;"-Gäste  ·  Voucher",IF(J333=K333+3,"Kabel  ·  Access Point y = .(50+y), Mast-Switch x = .(10+x)","")))))</f>
        <v/>
      </c>
      <c r="I333" s="0" t="str">
        <f aca="false">IF(328&lt;=(Eingabe!$P$18+Eingabe!$Q$18-1),MATCH(328,Eingabe!$P$9:$P$18,1),"")</f>
        <v/>
      </c>
      <c r="J333" s="0" t="str">
        <f aca="false">IF(I333="","",328-INDEX(Eingabe!$P$9:$P$18,I333))</f>
        <v/>
      </c>
      <c r="K333" s="0" t="str">
        <f aca="false">IF(I333="","",INDEX(Eingabe!$E$9:$E$18,I333))</f>
        <v/>
      </c>
    </row>
    <row r="334" customFormat="false" ht="15" hidden="false" customHeight="false" outlineLevel="0" collapsed="false">
      <c r="A334" s="0" t="str">
        <f aca="false">IF(I334="","",IF(J334=0,"Sparte "&amp;I334&amp;": "&amp;INDEX(Eingabe!$B$9:$B$18,I334)&amp;"  (Sparten-ID "&amp;INDEX(Eingabe!$D$9:$D$18,I334)&amp;", "&amp;K334&amp;" Parzellen)",IF(J334&lt;=K334,"   Parzelle "&amp;J334,IF(J334=K334+1,"   Vorstand",IF(J334=K334+2,"   Gäste",IF(J334=K334+3,"   Technik (Switches, Access Points)",""))))))</f>
        <v/>
      </c>
      <c r="B334" s="0" t="str">
        <f aca="false">IF(I334="","",IF(AND(J334&gt;=1,J334&lt;=K334+3),IF(J334&lt;=K334,IF(J334&lt;=99,IF((INDEX(Eingabe!$G$9:$G$18,I334))&lt;=9,1000+(INDEX(Eingabe!$G$9:$G$18,I334))*100,3000)+J334,IF((INDEX(Eingabe!$G$9:$G$18,I334)+1)&lt;=9,1000+(INDEX(Eingabe!$G$9:$G$18,I334)+1)*100,3000)+J334-100),IF(J334=K334+1,2000+INDEX(Eingabe!$G$9:$G$18,I334)*10+1,IF(J334=K334+2,2000+INDEX(Eingabe!$G$9:$G$18,I334)*10+2,2000+INDEX(Eingabe!$G$9:$G$18,I334)*10+9))),""))</f>
        <v/>
      </c>
      <c r="C334" s="0" t="str">
        <f aca="false">IF(I334="","",IF(AND(J334&gt;=1,J334&lt;=K334+3),"10."&amp;INDEX(Eingabe!$D$9:$D$18,I334)&amp;"."&amp;IF(J334&lt;=K334,J334,IF(J334=K334+1,200,IF(J334=K334+2,201,250)))&amp;".0/24",""))</f>
        <v/>
      </c>
      <c r="D334" s="0" t="str">
        <f aca="false">IF(I334="","",IF(AND(J334&gt;=1,J334&lt;=K334+3),"255.255.255.0",""))</f>
        <v/>
      </c>
      <c r="E334" s="0" t="str">
        <f aca="false">IF(I334="","",IF(AND(J334&gt;=1,J334&lt;=K334+3),"10."&amp;INDEX(Eingabe!$D$9:$D$18,I334)&amp;"."&amp;IF(J334&lt;=K334,J334,IF(J334=K334+1,200,IF(J334=K334+2,201,250)))&amp;".1",""))</f>
        <v/>
      </c>
      <c r="F334" s="0" t="str">
        <f aca="false">IF(I334="","",IF(AND(J334&gt;=1,J334&lt;=K334+3),"10."&amp;INDEX(Eingabe!$D$9:$D$18,I334)&amp;"."&amp;IF(J334&lt;=K334,J334,IF(J334=K334+1,200,IF(J334=K334+2,201,250)))&amp;".10 – 10."&amp;INDEX(Eingabe!$D$9:$D$18,I334)&amp;"."&amp;IF(J334&lt;=K334,J334,IF(J334=K334+1,200,IF(J334=K334+2,201,250)))&amp;".250",""))</f>
        <v/>
      </c>
      <c r="G334" s="0" t="str">
        <f aca="false">IF(I334="","",IF(AND(J334&gt;=1,J334&lt;=K334),Eingabe!$B$6&amp;"-"&amp;INDEX(Eingabe!$C$9:$C$18,I334)&amp;"-Pächter  ·  Passwort Parzelle "&amp;J334,IF(J334=K334+1,Eingabe!$B$6&amp;"-"&amp;INDEX(Eingabe!$C$9:$C$18,I334)&amp;"-Vorstand  ·  eigenes WLAN",IF(J334=K334+2,Eingabe!$B$6&amp;"-"&amp;INDEX(Eingabe!$C$9:$C$18,I334)&amp;"-Gäste  ·  Voucher",IF(J334=K334+3,"Kabel  ·  Access Point y = .(50+y), Mast-Switch x = .(10+x)","")))))</f>
        <v/>
      </c>
      <c r="I334" s="0" t="str">
        <f aca="false">IF(329&lt;=(Eingabe!$P$18+Eingabe!$Q$18-1),MATCH(329,Eingabe!$P$9:$P$18,1),"")</f>
        <v/>
      </c>
      <c r="J334" s="0" t="str">
        <f aca="false">IF(I334="","",329-INDEX(Eingabe!$P$9:$P$18,I334))</f>
        <v/>
      </c>
      <c r="K334" s="0" t="str">
        <f aca="false">IF(I334="","",INDEX(Eingabe!$E$9:$E$18,I334))</f>
        <v/>
      </c>
    </row>
    <row r="335" customFormat="false" ht="15" hidden="false" customHeight="false" outlineLevel="0" collapsed="false">
      <c r="A335" s="0" t="str">
        <f aca="false">IF(I335="","",IF(J335=0,"Sparte "&amp;I335&amp;": "&amp;INDEX(Eingabe!$B$9:$B$18,I335)&amp;"  (Sparten-ID "&amp;INDEX(Eingabe!$D$9:$D$18,I335)&amp;", "&amp;K335&amp;" Parzellen)",IF(J335&lt;=K335,"   Parzelle "&amp;J335,IF(J335=K335+1,"   Vorstand",IF(J335=K335+2,"   Gäste",IF(J335=K335+3,"   Technik (Switches, Access Points)",""))))))</f>
        <v/>
      </c>
      <c r="B335" s="0" t="str">
        <f aca="false">IF(I335="","",IF(AND(J335&gt;=1,J335&lt;=K335+3),IF(J335&lt;=K335,IF(J335&lt;=99,IF((INDEX(Eingabe!$G$9:$G$18,I335))&lt;=9,1000+(INDEX(Eingabe!$G$9:$G$18,I335))*100,3000)+J335,IF((INDEX(Eingabe!$G$9:$G$18,I335)+1)&lt;=9,1000+(INDEX(Eingabe!$G$9:$G$18,I335)+1)*100,3000)+J335-100),IF(J335=K335+1,2000+INDEX(Eingabe!$G$9:$G$18,I335)*10+1,IF(J335=K335+2,2000+INDEX(Eingabe!$G$9:$G$18,I335)*10+2,2000+INDEX(Eingabe!$G$9:$G$18,I335)*10+9))),""))</f>
        <v/>
      </c>
      <c r="C335" s="0" t="str">
        <f aca="false">IF(I335="","",IF(AND(J335&gt;=1,J335&lt;=K335+3),"10."&amp;INDEX(Eingabe!$D$9:$D$18,I335)&amp;"."&amp;IF(J335&lt;=K335,J335,IF(J335=K335+1,200,IF(J335=K335+2,201,250)))&amp;".0/24",""))</f>
        <v/>
      </c>
      <c r="D335" s="0" t="str">
        <f aca="false">IF(I335="","",IF(AND(J335&gt;=1,J335&lt;=K335+3),"255.255.255.0",""))</f>
        <v/>
      </c>
      <c r="E335" s="0" t="str">
        <f aca="false">IF(I335="","",IF(AND(J335&gt;=1,J335&lt;=K335+3),"10."&amp;INDEX(Eingabe!$D$9:$D$18,I335)&amp;"."&amp;IF(J335&lt;=K335,J335,IF(J335=K335+1,200,IF(J335=K335+2,201,250)))&amp;".1",""))</f>
        <v/>
      </c>
      <c r="F335" s="0" t="str">
        <f aca="false">IF(I335="","",IF(AND(J335&gt;=1,J335&lt;=K335+3),"10."&amp;INDEX(Eingabe!$D$9:$D$18,I335)&amp;"."&amp;IF(J335&lt;=K335,J335,IF(J335=K335+1,200,IF(J335=K335+2,201,250)))&amp;".10 – 10."&amp;INDEX(Eingabe!$D$9:$D$18,I335)&amp;"."&amp;IF(J335&lt;=K335,J335,IF(J335=K335+1,200,IF(J335=K335+2,201,250)))&amp;".250",""))</f>
        <v/>
      </c>
      <c r="G335" s="0" t="str">
        <f aca="false">IF(I335="","",IF(AND(J335&gt;=1,J335&lt;=K335),Eingabe!$B$6&amp;"-"&amp;INDEX(Eingabe!$C$9:$C$18,I335)&amp;"-Pächter  ·  Passwort Parzelle "&amp;J335,IF(J335=K335+1,Eingabe!$B$6&amp;"-"&amp;INDEX(Eingabe!$C$9:$C$18,I335)&amp;"-Vorstand  ·  eigenes WLAN",IF(J335=K335+2,Eingabe!$B$6&amp;"-"&amp;INDEX(Eingabe!$C$9:$C$18,I335)&amp;"-Gäste  ·  Voucher",IF(J335=K335+3,"Kabel  ·  Access Point y = .(50+y), Mast-Switch x = .(10+x)","")))))</f>
        <v/>
      </c>
      <c r="I335" s="0" t="str">
        <f aca="false">IF(330&lt;=(Eingabe!$P$18+Eingabe!$Q$18-1),MATCH(330,Eingabe!$P$9:$P$18,1),"")</f>
        <v/>
      </c>
      <c r="J335" s="0" t="str">
        <f aca="false">IF(I335="","",330-INDEX(Eingabe!$P$9:$P$18,I335))</f>
        <v/>
      </c>
      <c r="K335" s="0" t="str">
        <f aca="false">IF(I335="","",INDEX(Eingabe!$E$9:$E$18,I335))</f>
        <v/>
      </c>
    </row>
    <row r="336" customFormat="false" ht="15" hidden="false" customHeight="false" outlineLevel="0" collapsed="false">
      <c r="A336" s="0" t="str">
        <f aca="false">IF(I336="","",IF(J336=0,"Sparte "&amp;I336&amp;": "&amp;INDEX(Eingabe!$B$9:$B$18,I336)&amp;"  (Sparten-ID "&amp;INDEX(Eingabe!$D$9:$D$18,I336)&amp;", "&amp;K336&amp;" Parzellen)",IF(J336&lt;=K336,"   Parzelle "&amp;J336,IF(J336=K336+1,"   Vorstand",IF(J336=K336+2,"   Gäste",IF(J336=K336+3,"   Technik (Switches, Access Points)",""))))))</f>
        <v/>
      </c>
      <c r="B336" s="0" t="str">
        <f aca="false">IF(I336="","",IF(AND(J336&gt;=1,J336&lt;=K336+3),IF(J336&lt;=K336,IF(J336&lt;=99,IF((INDEX(Eingabe!$G$9:$G$18,I336))&lt;=9,1000+(INDEX(Eingabe!$G$9:$G$18,I336))*100,3000)+J336,IF((INDEX(Eingabe!$G$9:$G$18,I336)+1)&lt;=9,1000+(INDEX(Eingabe!$G$9:$G$18,I336)+1)*100,3000)+J336-100),IF(J336=K336+1,2000+INDEX(Eingabe!$G$9:$G$18,I336)*10+1,IF(J336=K336+2,2000+INDEX(Eingabe!$G$9:$G$18,I336)*10+2,2000+INDEX(Eingabe!$G$9:$G$18,I336)*10+9))),""))</f>
        <v/>
      </c>
      <c r="C336" s="0" t="str">
        <f aca="false">IF(I336="","",IF(AND(J336&gt;=1,J336&lt;=K336+3),"10."&amp;INDEX(Eingabe!$D$9:$D$18,I336)&amp;"."&amp;IF(J336&lt;=K336,J336,IF(J336=K336+1,200,IF(J336=K336+2,201,250)))&amp;".0/24",""))</f>
        <v/>
      </c>
      <c r="D336" s="0" t="str">
        <f aca="false">IF(I336="","",IF(AND(J336&gt;=1,J336&lt;=K336+3),"255.255.255.0",""))</f>
        <v/>
      </c>
      <c r="E336" s="0" t="str">
        <f aca="false">IF(I336="","",IF(AND(J336&gt;=1,J336&lt;=K336+3),"10."&amp;INDEX(Eingabe!$D$9:$D$18,I336)&amp;"."&amp;IF(J336&lt;=K336,J336,IF(J336=K336+1,200,IF(J336=K336+2,201,250)))&amp;".1",""))</f>
        <v/>
      </c>
      <c r="F336" s="0" t="str">
        <f aca="false">IF(I336="","",IF(AND(J336&gt;=1,J336&lt;=K336+3),"10."&amp;INDEX(Eingabe!$D$9:$D$18,I336)&amp;"."&amp;IF(J336&lt;=K336,J336,IF(J336=K336+1,200,IF(J336=K336+2,201,250)))&amp;".10 – 10."&amp;INDEX(Eingabe!$D$9:$D$18,I336)&amp;"."&amp;IF(J336&lt;=K336,J336,IF(J336=K336+1,200,IF(J336=K336+2,201,250)))&amp;".250",""))</f>
        <v/>
      </c>
      <c r="G336" s="0" t="str">
        <f aca="false">IF(I336="","",IF(AND(J336&gt;=1,J336&lt;=K336),Eingabe!$B$6&amp;"-"&amp;INDEX(Eingabe!$C$9:$C$18,I336)&amp;"-Pächter  ·  Passwort Parzelle "&amp;J336,IF(J336=K336+1,Eingabe!$B$6&amp;"-"&amp;INDEX(Eingabe!$C$9:$C$18,I336)&amp;"-Vorstand  ·  eigenes WLAN",IF(J336=K336+2,Eingabe!$B$6&amp;"-"&amp;INDEX(Eingabe!$C$9:$C$18,I336)&amp;"-Gäste  ·  Voucher",IF(J336=K336+3,"Kabel  ·  Access Point y = .(50+y), Mast-Switch x = .(10+x)","")))))</f>
        <v/>
      </c>
      <c r="I336" s="0" t="str">
        <f aca="false">IF(331&lt;=(Eingabe!$P$18+Eingabe!$Q$18-1),MATCH(331,Eingabe!$P$9:$P$18,1),"")</f>
        <v/>
      </c>
      <c r="J336" s="0" t="str">
        <f aca="false">IF(I336="","",331-INDEX(Eingabe!$P$9:$P$18,I336))</f>
        <v/>
      </c>
      <c r="K336" s="0" t="str">
        <f aca="false">IF(I336="","",INDEX(Eingabe!$E$9:$E$18,I336))</f>
        <v/>
      </c>
    </row>
    <row r="337" customFormat="false" ht="15" hidden="false" customHeight="false" outlineLevel="0" collapsed="false">
      <c r="A337" s="0" t="str">
        <f aca="false">IF(I337="","",IF(J337=0,"Sparte "&amp;I337&amp;": "&amp;INDEX(Eingabe!$B$9:$B$18,I337)&amp;"  (Sparten-ID "&amp;INDEX(Eingabe!$D$9:$D$18,I337)&amp;", "&amp;K337&amp;" Parzellen)",IF(J337&lt;=K337,"   Parzelle "&amp;J337,IF(J337=K337+1,"   Vorstand",IF(J337=K337+2,"   Gäste",IF(J337=K337+3,"   Technik (Switches, Access Points)",""))))))</f>
        <v/>
      </c>
      <c r="B337" s="0" t="str">
        <f aca="false">IF(I337="","",IF(AND(J337&gt;=1,J337&lt;=K337+3),IF(J337&lt;=K337,IF(J337&lt;=99,IF((INDEX(Eingabe!$G$9:$G$18,I337))&lt;=9,1000+(INDEX(Eingabe!$G$9:$G$18,I337))*100,3000)+J337,IF((INDEX(Eingabe!$G$9:$G$18,I337)+1)&lt;=9,1000+(INDEX(Eingabe!$G$9:$G$18,I337)+1)*100,3000)+J337-100),IF(J337=K337+1,2000+INDEX(Eingabe!$G$9:$G$18,I337)*10+1,IF(J337=K337+2,2000+INDEX(Eingabe!$G$9:$G$18,I337)*10+2,2000+INDEX(Eingabe!$G$9:$G$18,I337)*10+9))),""))</f>
        <v/>
      </c>
      <c r="C337" s="0" t="str">
        <f aca="false">IF(I337="","",IF(AND(J337&gt;=1,J337&lt;=K337+3),"10."&amp;INDEX(Eingabe!$D$9:$D$18,I337)&amp;"."&amp;IF(J337&lt;=K337,J337,IF(J337=K337+1,200,IF(J337=K337+2,201,250)))&amp;".0/24",""))</f>
        <v/>
      </c>
      <c r="D337" s="0" t="str">
        <f aca="false">IF(I337="","",IF(AND(J337&gt;=1,J337&lt;=K337+3),"255.255.255.0",""))</f>
        <v/>
      </c>
      <c r="E337" s="0" t="str">
        <f aca="false">IF(I337="","",IF(AND(J337&gt;=1,J337&lt;=K337+3),"10."&amp;INDEX(Eingabe!$D$9:$D$18,I337)&amp;"."&amp;IF(J337&lt;=K337,J337,IF(J337=K337+1,200,IF(J337=K337+2,201,250)))&amp;".1",""))</f>
        <v/>
      </c>
      <c r="F337" s="0" t="str">
        <f aca="false">IF(I337="","",IF(AND(J337&gt;=1,J337&lt;=K337+3),"10."&amp;INDEX(Eingabe!$D$9:$D$18,I337)&amp;"."&amp;IF(J337&lt;=K337,J337,IF(J337=K337+1,200,IF(J337=K337+2,201,250)))&amp;".10 – 10."&amp;INDEX(Eingabe!$D$9:$D$18,I337)&amp;"."&amp;IF(J337&lt;=K337,J337,IF(J337=K337+1,200,IF(J337=K337+2,201,250)))&amp;".250",""))</f>
        <v/>
      </c>
      <c r="G337" s="0" t="str">
        <f aca="false">IF(I337="","",IF(AND(J337&gt;=1,J337&lt;=K337),Eingabe!$B$6&amp;"-"&amp;INDEX(Eingabe!$C$9:$C$18,I337)&amp;"-Pächter  ·  Passwort Parzelle "&amp;J337,IF(J337=K337+1,Eingabe!$B$6&amp;"-"&amp;INDEX(Eingabe!$C$9:$C$18,I337)&amp;"-Vorstand  ·  eigenes WLAN",IF(J337=K337+2,Eingabe!$B$6&amp;"-"&amp;INDEX(Eingabe!$C$9:$C$18,I337)&amp;"-Gäste  ·  Voucher",IF(J337=K337+3,"Kabel  ·  Access Point y = .(50+y), Mast-Switch x = .(10+x)","")))))</f>
        <v/>
      </c>
      <c r="I337" s="0" t="str">
        <f aca="false">IF(332&lt;=(Eingabe!$P$18+Eingabe!$Q$18-1),MATCH(332,Eingabe!$P$9:$P$18,1),"")</f>
        <v/>
      </c>
      <c r="J337" s="0" t="str">
        <f aca="false">IF(I337="","",332-INDEX(Eingabe!$P$9:$P$18,I337))</f>
        <v/>
      </c>
      <c r="K337" s="0" t="str">
        <f aca="false">IF(I337="","",INDEX(Eingabe!$E$9:$E$18,I337))</f>
        <v/>
      </c>
    </row>
    <row r="338" customFormat="false" ht="15" hidden="false" customHeight="false" outlineLevel="0" collapsed="false">
      <c r="A338" s="0" t="str">
        <f aca="false">IF(I338="","",IF(J338=0,"Sparte "&amp;I338&amp;": "&amp;INDEX(Eingabe!$B$9:$B$18,I338)&amp;"  (Sparten-ID "&amp;INDEX(Eingabe!$D$9:$D$18,I338)&amp;", "&amp;K338&amp;" Parzellen)",IF(J338&lt;=K338,"   Parzelle "&amp;J338,IF(J338=K338+1,"   Vorstand",IF(J338=K338+2,"   Gäste",IF(J338=K338+3,"   Technik (Switches, Access Points)",""))))))</f>
        <v/>
      </c>
      <c r="B338" s="0" t="str">
        <f aca="false">IF(I338="","",IF(AND(J338&gt;=1,J338&lt;=K338+3),IF(J338&lt;=K338,IF(J338&lt;=99,IF((INDEX(Eingabe!$G$9:$G$18,I338))&lt;=9,1000+(INDEX(Eingabe!$G$9:$G$18,I338))*100,3000)+J338,IF((INDEX(Eingabe!$G$9:$G$18,I338)+1)&lt;=9,1000+(INDEX(Eingabe!$G$9:$G$18,I338)+1)*100,3000)+J338-100),IF(J338=K338+1,2000+INDEX(Eingabe!$G$9:$G$18,I338)*10+1,IF(J338=K338+2,2000+INDEX(Eingabe!$G$9:$G$18,I338)*10+2,2000+INDEX(Eingabe!$G$9:$G$18,I338)*10+9))),""))</f>
        <v/>
      </c>
      <c r="C338" s="0" t="str">
        <f aca="false">IF(I338="","",IF(AND(J338&gt;=1,J338&lt;=K338+3),"10."&amp;INDEX(Eingabe!$D$9:$D$18,I338)&amp;"."&amp;IF(J338&lt;=K338,J338,IF(J338=K338+1,200,IF(J338=K338+2,201,250)))&amp;".0/24",""))</f>
        <v/>
      </c>
      <c r="D338" s="0" t="str">
        <f aca="false">IF(I338="","",IF(AND(J338&gt;=1,J338&lt;=K338+3),"255.255.255.0",""))</f>
        <v/>
      </c>
      <c r="E338" s="0" t="str">
        <f aca="false">IF(I338="","",IF(AND(J338&gt;=1,J338&lt;=K338+3),"10."&amp;INDEX(Eingabe!$D$9:$D$18,I338)&amp;"."&amp;IF(J338&lt;=K338,J338,IF(J338=K338+1,200,IF(J338=K338+2,201,250)))&amp;".1",""))</f>
        <v/>
      </c>
      <c r="F338" s="0" t="str">
        <f aca="false">IF(I338="","",IF(AND(J338&gt;=1,J338&lt;=K338+3),"10."&amp;INDEX(Eingabe!$D$9:$D$18,I338)&amp;"."&amp;IF(J338&lt;=K338,J338,IF(J338=K338+1,200,IF(J338=K338+2,201,250)))&amp;".10 – 10."&amp;INDEX(Eingabe!$D$9:$D$18,I338)&amp;"."&amp;IF(J338&lt;=K338,J338,IF(J338=K338+1,200,IF(J338=K338+2,201,250)))&amp;".250",""))</f>
        <v/>
      </c>
      <c r="G338" s="0" t="str">
        <f aca="false">IF(I338="","",IF(AND(J338&gt;=1,J338&lt;=K338),Eingabe!$B$6&amp;"-"&amp;INDEX(Eingabe!$C$9:$C$18,I338)&amp;"-Pächter  ·  Passwort Parzelle "&amp;J338,IF(J338=K338+1,Eingabe!$B$6&amp;"-"&amp;INDEX(Eingabe!$C$9:$C$18,I338)&amp;"-Vorstand  ·  eigenes WLAN",IF(J338=K338+2,Eingabe!$B$6&amp;"-"&amp;INDEX(Eingabe!$C$9:$C$18,I338)&amp;"-Gäste  ·  Voucher",IF(J338=K338+3,"Kabel  ·  Access Point y = .(50+y), Mast-Switch x = .(10+x)","")))))</f>
        <v/>
      </c>
      <c r="I338" s="0" t="str">
        <f aca="false">IF(333&lt;=(Eingabe!$P$18+Eingabe!$Q$18-1),MATCH(333,Eingabe!$P$9:$P$18,1),"")</f>
        <v/>
      </c>
      <c r="J338" s="0" t="str">
        <f aca="false">IF(I338="","",333-INDEX(Eingabe!$P$9:$P$18,I338))</f>
        <v/>
      </c>
      <c r="K338" s="0" t="str">
        <f aca="false">IF(I338="","",INDEX(Eingabe!$E$9:$E$18,I338))</f>
        <v/>
      </c>
    </row>
    <row r="339" customFormat="false" ht="15" hidden="false" customHeight="false" outlineLevel="0" collapsed="false">
      <c r="A339" s="0" t="str">
        <f aca="false">IF(I339="","",IF(J339=0,"Sparte "&amp;I339&amp;": "&amp;INDEX(Eingabe!$B$9:$B$18,I339)&amp;"  (Sparten-ID "&amp;INDEX(Eingabe!$D$9:$D$18,I339)&amp;", "&amp;K339&amp;" Parzellen)",IF(J339&lt;=K339,"   Parzelle "&amp;J339,IF(J339=K339+1,"   Vorstand",IF(J339=K339+2,"   Gäste",IF(J339=K339+3,"   Technik (Switches, Access Points)",""))))))</f>
        <v/>
      </c>
      <c r="B339" s="0" t="str">
        <f aca="false">IF(I339="","",IF(AND(J339&gt;=1,J339&lt;=K339+3),IF(J339&lt;=K339,IF(J339&lt;=99,IF((INDEX(Eingabe!$G$9:$G$18,I339))&lt;=9,1000+(INDEX(Eingabe!$G$9:$G$18,I339))*100,3000)+J339,IF((INDEX(Eingabe!$G$9:$G$18,I339)+1)&lt;=9,1000+(INDEX(Eingabe!$G$9:$G$18,I339)+1)*100,3000)+J339-100),IF(J339=K339+1,2000+INDEX(Eingabe!$G$9:$G$18,I339)*10+1,IF(J339=K339+2,2000+INDEX(Eingabe!$G$9:$G$18,I339)*10+2,2000+INDEX(Eingabe!$G$9:$G$18,I339)*10+9))),""))</f>
        <v/>
      </c>
      <c r="C339" s="0" t="str">
        <f aca="false">IF(I339="","",IF(AND(J339&gt;=1,J339&lt;=K339+3),"10."&amp;INDEX(Eingabe!$D$9:$D$18,I339)&amp;"."&amp;IF(J339&lt;=K339,J339,IF(J339=K339+1,200,IF(J339=K339+2,201,250)))&amp;".0/24",""))</f>
        <v/>
      </c>
      <c r="D339" s="0" t="str">
        <f aca="false">IF(I339="","",IF(AND(J339&gt;=1,J339&lt;=K339+3),"255.255.255.0",""))</f>
        <v/>
      </c>
      <c r="E339" s="0" t="str">
        <f aca="false">IF(I339="","",IF(AND(J339&gt;=1,J339&lt;=K339+3),"10."&amp;INDEX(Eingabe!$D$9:$D$18,I339)&amp;"."&amp;IF(J339&lt;=K339,J339,IF(J339=K339+1,200,IF(J339=K339+2,201,250)))&amp;".1",""))</f>
        <v/>
      </c>
      <c r="F339" s="0" t="str">
        <f aca="false">IF(I339="","",IF(AND(J339&gt;=1,J339&lt;=K339+3),"10."&amp;INDEX(Eingabe!$D$9:$D$18,I339)&amp;"."&amp;IF(J339&lt;=K339,J339,IF(J339=K339+1,200,IF(J339=K339+2,201,250)))&amp;".10 – 10."&amp;INDEX(Eingabe!$D$9:$D$18,I339)&amp;"."&amp;IF(J339&lt;=K339,J339,IF(J339=K339+1,200,IF(J339=K339+2,201,250)))&amp;".250",""))</f>
        <v/>
      </c>
      <c r="G339" s="0" t="str">
        <f aca="false">IF(I339="","",IF(AND(J339&gt;=1,J339&lt;=K339),Eingabe!$B$6&amp;"-"&amp;INDEX(Eingabe!$C$9:$C$18,I339)&amp;"-Pächter  ·  Passwort Parzelle "&amp;J339,IF(J339=K339+1,Eingabe!$B$6&amp;"-"&amp;INDEX(Eingabe!$C$9:$C$18,I339)&amp;"-Vorstand  ·  eigenes WLAN",IF(J339=K339+2,Eingabe!$B$6&amp;"-"&amp;INDEX(Eingabe!$C$9:$C$18,I339)&amp;"-Gäste  ·  Voucher",IF(J339=K339+3,"Kabel  ·  Access Point y = .(50+y), Mast-Switch x = .(10+x)","")))))</f>
        <v/>
      </c>
      <c r="I339" s="0" t="str">
        <f aca="false">IF(334&lt;=(Eingabe!$P$18+Eingabe!$Q$18-1),MATCH(334,Eingabe!$P$9:$P$18,1),"")</f>
        <v/>
      </c>
      <c r="J339" s="0" t="str">
        <f aca="false">IF(I339="","",334-INDEX(Eingabe!$P$9:$P$18,I339))</f>
        <v/>
      </c>
      <c r="K339" s="0" t="str">
        <f aca="false">IF(I339="","",INDEX(Eingabe!$E$9:$E$18,I339))</f>
        <v/>
      </c>
    </row>
    <row r="340" customFormat="false" ht="15" hidden="false" customHeight="false" outlineLevel="0" collapsed="false">
      <c r="A340" s="0" t="str">
        <f aca="false">IF(I340="","",IF(J340=0,"Sparte "&amp;I340&amp;": "&amp;INDEX(Eingabe!$B$9:$B$18,I340)&amp;"  (Sparten-ID "&amp;INDEX(Eingabe!$D$9:$D$18,I340)&amp;", "&amp;K340&amp;" Parzellen)",IF(J340&lt;=K340,"   Parzelle "&amp;J340,IF(J340=K340+1,"   Vorstand",IF(J340=K340+2,"   Gäste",IF(J340=K340+3,"   Technik (Switches, Access Points)",""))))))</f>
        <v/>
      </c>
      <c r="B340" s="0" t="str">
        <f aca="false">IF(I340="","",IF(AND(J340&gt;=1,J340&lt;=K340+3),IF(J340&lt;=K340,IF(J340&lt;=99,IF((INDEX(Eingabe!$G$9:$G$18,I340))&lt;=9,1000+(INDEX(Eingabe!$G$9:$G$18,I340))*100,3000)+J340,IF((INDEX(Eingabe!$G$9:$G$18,I340)+1)&lt;=9,1000+(INDEX(Eingabe!$G$9:$G$18,I340)+1)*100,3000)+J340-100),IF(J340=K340+1,2000+INDEX(Eingabe!$G$9:$G$18,I340)*10+1,IF(J340=K340+2,2000+INDEX(Eingabe!$G$9:$G$18,I340)*10+2,2000+INDEX(Eingabe!$G$9:$G$18,I340)*10+9))),""))</f>
        <v/>
      </c>
      <c r="C340" s="0" t="str">
        <f aca="false">IF(I340="","",IF(AND(J340&gt;=1,J340&lt;=K340+3),"10."&amp;INDEX(Eingabe!$D$9:$D$18,I340)&amp;"."&amp;IF(J340&lt;=K340,J340,IF(J340=K340+1,200,IF(J340=K340+2,201,250)))&amp;".0/24",""))</f>
        <v/>
      </c>
      <c r="D340" s="0" t="str">
        <f aca="false">IF(I340="","",IF(AND(J340&gt;=1,J340&lt;=K340+3),"255.255.255.0",""))</f>
        <v/>
      </c>
      <c r="E340" s="0" t="str">
        <f aca="false">IF(I340="","",IF(AND(J340&gt;=1,J340&lt;=K340+3),"10."&amp;INDEX(Eingabe!$D$9:$D$18,I340)&amp;"."&amp;IF(J340&lt;=K340,J340,IF(J340=K340+1,200,IF(J340=K340+2,201,250)))&amp;".1",""))</f>
        <v/>
      </c>
      <c r="F340" s="0" t="str">
        <f aca="false">IF(I340="","",IF(AND(J340&gt;=1,J340&lt;=K340+3),"10."&amp;INDEX(Eingabe!$D$9:$D$18,I340)&amp;"."&amp;IF(J340&lt;=K340,J340,IF(J340=K340+1,200,IF(J340=K340+2,201,250)))&amp;".10 – 10."&amp;INDEX(Eingabe!$D$9:$D$18,I340)&amp;"."&amp;IF(J340&lt;=K340,J340,IF(J340=K340+1,200,IF(J340=K340+2,201,250)))&amp;".250",""))</f>
        <v/>
      </c>
      <c r="G340" s="0" t="str">
        <f aca="false">IF(I340="","",IF(AND(J340&gt;=1,J340&lt;=K340),Eingabe!$B$6&amp;"-"&amp;INDEX(Eingabe!$C$9:$C$18,I340)&amp;"-Pächter  ·  Passwort Parzelle "&amp;J340,IF(J340=K340+1,Eingabe!$B$6&amp;"-"&amp;INDEX(Eingabe!$C$9:$C$18,I340)&amp;"-Vorstand  ·  eigenes WLAN",IF(J340=K340+2,Eingabe!$B$6&amp;"-"&amp;INDEX(Eingabe!$C$9:$C$18,I340)&amp;"-Gäste  ·  Voucher",IF(J340=K340+3,"Kabel  ·  Access Point y = .(50+y), Mast-Switch x = .(10+x)","")))))</f>
        <v/>
      </c>
      <c r="I340" s="0" t="str">
        <f aca="false">IF(335&lt;=(Eingabe!$P$18+Eingabe!$Q$18-1),MATCH(335,Eingabe!$P$9:$P$18,1),"")</f>
        <v/>
      </c>
      <c r="J340" s="0" t="str">
        <f aca="false">IF(I340="","",335-INDEX(Eingabe!$P$9:$P$18,I340))</f>
        <v/>
      </c>
      <c r="K340" s="0" t="str">
        <f aca="false">IF(I340="","",INDEX(Eingabe!$E$9:$E$18,I340))</f>
        <v/>
      </c>
    </row>
    <row r="341" customFormat="false" ht="15" hidden="false" customHeight="false" outlineLevel="0" collapsed="false">
      <c r="A341" s="0" t="str">
        <f aca="false">IF(I341="","",IF(J341=0,"Sparte "&amp;I341&amp;": "&amp;INDEX(Eingabe!$B$9:$B$18,I341)&amp;"  (Sparten-ID "&amp;INDEX(Eingabe!$D$9:$D$18,I341)&amp;", "&amp;K341&amp;" Parzellen)",IF(J341&lt;=K341,"   Parzelle "&amp;J341,IF(J341=K341+1,"   Vorstand",IF(J341=K341+2,"   Gäste",IF(J341=K341+3,"   Technik (Switches, Access Points)",""))))))</f>
        <v/>
      </c>
      <c r="B341" s="0" t="str">
        <f aca="false">IF(I341="","",IF(AND(J341&gt;=1,J341&lt;=K341+3),IF(J341&lt;=K341,IF(J341&lt;=99,IF((INDEX(Eingabe!$G$9:$G$18,I341))&lt;=9,1000+(INDEX(Eingabe!$G$9:$G$18,I341))*100,3000)+J341,IF((INDEX(Eingabe!$G$9:$G$18,I341)+1)&lt;=9,1000+(INDEX(Eingabe!$G$9:$G$18,I341)+1)*100,3000)+J341-100),IF(J341=K341+1,2000+INDEX(Eingabe!$G$9:$G$18,I341)*10+1,IF(J341=K341+2,2000+INDEX(Eingabe!$G$9:$G$18,I341)*10+2,2000+INDEX(Eingabe!$G$9:$G$18,I341)*10+9))),""))</f>
        <v/>
      </c>
      <c r="C341" s="0" t="str">
        <f aca="false">IF(I341="","",IF(AND(J341&gt;=1,J341&lt;=K341+3),"10."&amp;INDEX(Eingabe!$D$9:$D$18,I341)&amp;"."&amp;IF(J341&lt;=K341,J341,IF(J341=K341+1,200,IF(J341=K341+2,201,250)))&amp;".0/24",""))</f>
        <v/>
      </c>
      <c r="D341" s="0" t="str">
        <f aca="false">IF(I341="","",IF(AND(J341&gt;=1,J341&lt;=K341+3),"255.255.255.0",""))</f>
        <v/>
      </c>
      <c r="E341" s="0" t="str">
        <f aca="false">IF(I341="","",IF(AND(J341&gt;=1,J341&lt;=K341+3),"10."&amp;INDEX(Eingabe!$D$9:$D$18,I341)&amp;"."&amp;IF(J341&lt;=K341,J341,IF(J341=K341+1,200,IF(J341=K341+2,201,250)))&amp;".1",""))</f>
        <v/>
      </c>
      <c r="F341" s="0" t="str">
        <f aca="false">IF(I341="","",IF(AND(J341&gt;=1,J341&lt;=K341+3),"10."&amp;INDEX(Eingabe!$D$9:$D$18,I341)&amp;"."&amp;IF(J341&lt;=K341,J341,IF(J341=K341+1,200,IF(J341=K341+2,201,250)))&amp;".10 – 10."&amp;INDEX(Eingabe!$D$9:$D$18,I341)&amp;"."&amp;IF(J341&lt;=K341,J341,IF(J341=K341+1,200,IF(J341=K341+2,201,250)))&amp;".250",""))</f>
        <v/>
      </c>
      <c r="G341" s="0" t="str">
        <f aca="false">IF(I341="","",IF(AND(J341&gt;=1,J341&lt;=K341),Eingabe!$B$6&amp;"-"&amp;INDEX(Eingabe!$C$9:$C$18,I341)&amp;"-Pächter  ·  Passwort Parzelle "&amp;J341,IF(J341=K341+1,Eingabe!$B$6&amp;"-"&amp;INDEX(Eingabe!$C$9:$C$18,I341)&amp;"-Vorstand  ·  eigenes WLAN",IF(J341=K341+2,Eingabe!$B$6&amp;"-"&amp;INDEX(Eingabe!$C$9:$C$18,I341)&amp;"-Gäste  ·  Voucher",IF(J341=K341+3,"Kabel  ·  Access Point y = .(50+y), Mast-Switch x = .(10+x)","")))))</f>
        <v/>
      </c>
      <c r="I341" s="0" t="str">
        <f aca="false">IF(336&lt;=(Eingabe!$P$18+Eingabe!$Q$18-1),MATCH(336,Eingabe!$P$9:$P$18,1),"")</f>
        <v/>
      </c>
      <c r="J341" s="0" t="str">
        <f aca="false">IF(I341="","",336-INDEX(Eingabe!$P$9:$P$18,I341))</f>
        <v/>
      </c>
      <c r="K341" s="0" t="str">
        <f aca="false">IF(I341="","",INDEX(Eingabe!$E$9:$E$18,I341))</f>
        <v/>
      </c>
    </row>
    <row r="342" customFormat="false" ht="15" hidden="false" customHeight="false" outlineLevel="0" collapsed="false">
      <c r="A342" s="0" t="str">
        <f aca="false">IF(I342="","",IF(J342=0,"Sparte "&amp;I342&amp;": "&amp;INDEX(Eingabe!$B$9:$B$18,I342)&amp;"  (Sparten-ID "&amp;INDEX(Eingabe!$D$9:$D$18,I342)&amp;", "&amp;K342&amp;" Parzellen)",IF(J342&lt;=K342,"   Parzelle "&amp;J342,IF(J342=K342+1,"   Vorstand",IF(J342=K342+2,"   Gäste",IF(J342=K342+3,"   Technik (Switches, Access Points)",""))))))</f>
        <v/>
      </c>
      <c r="B342" s="0" t="str">
        <f aca="false">IF(I342="","",IF(AND(J342&gt;=1,J342&lt;=K342+3),IF(J342&lt;=K342,IF(J342&lt;=99,IF((INDEX(Eingabe!$G$9:$G$18,I342))&lt;=9,1000+(INDEX(Eingabe!$G$9:$G$18,I342))*100,3000)+J342,IF((INDEX(Eingabe!$G$9:$G$18,I342)+1)&lt;=9,1000+(INDEX(Eingabe!$G$9:$G$18,I342)+1)*100,3000)+J342-100),IF(J342=K342+1,2000+INDEX(Eingabe!$G$9:$G$18,I342)*10+1,IF(J342=K342+2,2000+INDEX(Eingabe!$G$9:$G$18,I342)*10+2,2000+INDEX(Eingabe!$G$9:$G$18,I342)*10+9))),""))</f>
        <v/>
      </c>
      <c r="C342" s="0" t="str">
        <f aca="false">IF(I342="","",IF(AND(J342&gt;=1,J342&lt;=K342+3),"10."&amp;INDEX(Eingabe!$D$9:$D$18,I342)&amp;"."&amp;IF(J342&lt;=K342,J342,IF(J342=K342+1,200,IF(J342=K342+2,201,250)))&amp;".0/24",""))</f>
        <v/>
      </c>
      <c r="D342" s="0" t="str">
        <f aca="false">IF(I342="","",IF(AND(J342&gt;=1,J342&lt;=K342+3),"255.255.255.0",""))</f>
        <v/>
      </c>
      <c r="E342" s="0" t="str">
        <f aca="false">IF(I342="","",IF(AND(J342&gt;=1,J342&lt;=K342+3),"10."&amp;INDEX(Eingabe!$D$9:$D$18,I342)&amp;"."&amp;IF(J342&lt;=K342,J342,IF(J342=K342+1,200,IF(J342=K342+2,201,250)))&amp;".1",""))</f>
        <v/>
      </c>
      <c r="F342" s="0" t="str">
        <f aca="false">IF(I342="","",IF(AND(J342&gt;=1,J342&lt;=K342+3),"10."&amp;INDEX(Eingabe!$D$9:$D$18,I342)&amp;"."&amp;IF(J342&lt;=K342,J342,IF(J342=K342+1,200,IF(J342=K342+2,201,250)))&amp;".10 – 10."&amp;INDEX(Eingabe!$D$9:$D$18,I342)&amp;"."&amp;IF(J342&lt;=K342,J342,IF(J342=K342+1,200,IF(J342=K342+2,201,250)))&amp;".250",""))</f>
        <v/>
      </c>
      <c r="G342" s="0" t="str">
        <f aca="false">IF(I342="","",IF(AND(J342&gt;=1,J342&lt;=K342),Eingabe!$B$6&amp;"-"&amp;INDEX(Eingabe!$C$9:$C$18,I342)&amp;"-Pächter  ·  Passwort Parzelle "&amp;J342,IF(J342=K342+1,Eingabe!$B$6&amp;"-"&amp;INDEX(Eingabe!$C$9:$C$18,I342)&amp;"-Vorstand  ·  eigenes WLAN",IF(J342=K342+2,Eingabe!$B$6&amp;"-"&amp;INDEX(Eingabe!$C$9:$C$18,I342)&amp;"-Gäste  ·  Voucher",IF(J342=K342+3,"Kabel  ·  Access Point y = .(50+y), Mast-Switch x = .(10+x)","")))))</f>
        <v/>
      </c>
      <c r="I342" s="0" t="str">
        <f aca="false">IF(337&lt;=(Eingabe!$P$18+Eingabe!$Q$18-1),MATCH(337,Eingabe!$P$9:$P$18,1),"")</f>
        <v/>
      </c>
      <c r="J342" s="0" t="str">
        <f aca="false">IF(I342="","",337-INDEX(Eingabe!$P$9:$P$18,I342))</f>
        <v/>
      </c>
      <c r="K342" s="0" t="str">
        <f aca="false">IF(I342="","",INDEX(Eingabe!$E$9:$E$18,I342))</f>
        <v/>
      </c>
    </row>
    <row r="343" customFormat="false" ht="15" hidden="false" customHeight="false" outlineLevel="0" collapsed="false">
      <c r="A343" s="0" t="str">
        <f aca="false">IF(I343="","",IF(J343=0,"Sparte "&amp;I343&amp;": "&amp;INDEX(Eingabe!$B$9:$B$18,I343)&amp;"  (Sparten-ID "&amp;INDEX(Eingabe!$D$9:$D$18,I343)&amp;", "&amp;K343&amp;" Parzellen)",IF(J343&lt;=K343,"   Parzelle "&amp;J343,IF(J343=K343+1,"   Vorstand",IF(J343=K343+2,"   Gäste",IF(J343=K343+3,"   Technik (Switches, Access Points)",""))))))</f>
        <v/>
      </c>
      <c r="B343" s="0" t="str">
        <f aca="false">IF(I343="","",IF(AND(J343&gt;=1,J343&lt;=K343+3),IF(J343&lt;=K343,IF(J343&lt;=99,IF((INDEX(Eingabe!$G$9:$G$18,I343))&lt;=9,1000+(INDEX(Eingabe!$G$9:$G$18,I343))*100,3000)+J343,IF((INDEX(Eingabe!$G$9:$G$18,I343)+1)&lt;=9,1000+(INDEX(Eingabe!$G$9:$G$18,I343)+1)*100,3000)+J343-100),IF(J343=K343+1,2000+INDEX(Eingabe!$G$9:$G$18,I343)*10+1,IF(J343=K343+2,2000+INDEX(Eingabe!$G$9:$G$18,I343)*10+2,2000+INDEX(Eingabe!$G$9:$G$18,I343)*10+9))),""))</f>
        <v/>
      </c>
      <c r="C343" s="0" t="str">
        <f aca="false">IF(I343="","",IF(AND(J343&gt;=1,J343&lt;=K343+3),"10."&amp;INDEX(Eingabe!$D$9:$D$18,I343)&amp;"."&amp;IF(J343&lt;=K343,J343,IF(J343=K343+1,200,IF(J343=K343+2,201,250)))&amp;".0/24",""))</f>
        <v/>
      </c>
      <c r="D343" s="0" t="str">
        <f aca="false">IF(I343="","",IF(AND(J343&gt;=1,J343&lt;=K343+3),"255.255.255.0",""))</f>
        <v/>
      </c>
      <c r="E343" s="0" t="str">
        <f aca="false">IF(I343="","",IF(AND(J343&gt;=1,J343&lt;=K343+3),"10."&amp;INDEX(Eingabe!$D$9:$D$18,I343)&amp;"."&amp;IF(J343&lt;=K343,J343,IF(J343=K343+1,200,IF(J343=K343+2,201,250)))&amp;".1",""))</f>
        <v/>
      </c>
      <c r="F343" s="0" t="str">
        <f aca="false">IF(I343="","",IF(AND(J343&gt;=1,J343&lt;=K343+3),"10."&amp;INDEX(Eingabe!$D$9:$D$18,I343)&amp;"."&amp;IF(J343&lt;=K343,J343,IF(J343=K343+1,200,IF(J343=K343+2,201,250)))&amp;".10 – 10."&amp;INDEX(Eingabe!$D$9:$D$18,I343)&amp;"."&amp;IF(J343&lt;=K343,J343,IF(J343=K343+1,200,IF(J343=K343+2,201,250)))&amp;".250",""))</f>
        <v/>
      </c>
      <c r="G343" s="0" t="str">
        <f aca="false">IF(I343="","",IF(AND(J343&gt;=1,J343&lt;=K343),Eingabe!$B$6&amp;"-"&amp;INDEX(Eingabe!$C$9:$C$18,I343)&amp;"-Pächter  ·  Passwort Parzelle "&amp;J343,IF(J343=K343+1,Eingabe!$B$6&amp;"-"&amp;INDEX(Eingabe!$C$9:$C$18,I343)&amp;"-Vorstand  ·  eigenes WLAN",IF(J343=K343+2,Eingabe!$B$6&amp;"-"&amp;INDEX(Eingabe!$C$9:$C$18,I343)&amp;"-Gäste  ·  Voucher",IF(J343=K343+3,"Kabel  ·  Access Point y = .(50+y), Mast-Switch x = .(10+x)","")))))</f>
        <v/>
      </c>
      <c r="I343" s="0" t="str">
        <f aca="false">IF(338&lt;=(Eingabe!$P$18+Eingabe!$Q$18-1),MATCH(338,Eingabe!$P$9:$P$18,1),"")</f>
        <v/>
      </c>
      <c r="J343" s="0" t="str">
        <f aca="false">IF(I343="","",338-INDEX(Eingabe!$P$9:$P$18,I343))</f>
        <v/>
      </c>
      <c r="K343" s="0" t="str">
        <f aca="false">IF(I343="","",INDEX(Eingabe!$E$9:$E$18,I343))</f>
        <v/>
      </c>
    </row>
    <row r="344" customFormat="false" ht="15" hidden="false" customHeight="false" outlineLevel="0" collapsed="false">
      <c r="A344" s="0" t="str">
        <f aca="false">IF(I344="","",IF(J344=0,"Sparte "&amp;I344&amp;": "&amp;INDEX(Eingabe!$B$9:$B$18,I344)&amp;"  (Sparten-ID "&amp;INDEX(Eingabe!$D$9:$D$18,I344)&amp;", "&amp;K344&amp;" Parzellen)",IF(J344&lt;=K344,"   Parzelle "&amp;J344,IF(J344=K344+1,"   Vorstand",IF(J344=K344+2,"   Gäste",IF(J344=K344+3,"   Technik (Switches, Access Points)",""))))))</f>
        <v/>
      </c>
      <c r="B344" s="0" t="str">
        <f aca="false">IF(I344="","",IF(AND(J344&gt;=1,J344&lt;=K344+3),IF(J344&lt;=K344,IF(J344&lt;=99,IF((INDEX(Eingabe!$G$9:$G$18,I344))&lt;=9,1000+(INDEX(Eingabe!$G$9:$G$18,I344))*100,3000)+J344,IF((INDEX(Eingabe!$G$9:$G$18,I344)+1)&lt;=9,1000+(INDEX(Eingabe!$G$9:$G$18,I344)+1)*100,3000)+J344-100),IF(J344=K344+1,2000+INDEX(Eingabe!$G$9:$G$18,I344)*10+1,IF(J344=K344+2,2000+INDEX(Eingabe!$G$9:$G$18,I344)*10+2,2000+INDEX(Eingabe!$G$9:$G$18,I344)*10+9))),""))</f>
        <v/>
      </c>
      <c r="C344" s="0" t="str">
        <f aca="false">IF(I344="","",IF(AND(J344&gt;=1,J344&lt;=K344+3),"10."&amp;INDEX(Eingabe!$D$9:$D$18,I344)&amp;"."&amp;IF(J344&lt;=K344,J344,IF(J344=K344+1,200,IF(J344=K344+2,201,250)))&amp;".0/24",""))</f>
        <v/>
      </c>
      <c r="D344" s="0" t="str">
        <f aca="false">IF(I344="","",IF(AND(J344&gt;=1,J344&lt;=K344+3),"255.255.255.0",""))</f>
        <v/>
      </c>
      <c r="E344" s="0" t="str">
        <f aca="false">IF(I344="","",IF(AND(J344&gt;=1,J344&lt;=K344+3),"10."&amp;INDEX(Eingabe!$D$9:$D$18,I344)&amp;"."&amp;IF(J344&lt;=K344,J344,IF(J344=K344+1,200,IF(J344=K344+2,201,250)))&amp;".1",""))</f>
        <v/>
      </c>
      <c r="F344" s="0" t="str">
        <f aca="false">IF(I344="","",IF(AND(J344&gt;=1,J344&lt;=K344+3),"10."&amp;INDEX(Eingabe!$D$9:$D$18,I344)&amp;"."&amp;IF(J344&lt;=K344,J344,IF(J344=K344+1,200,IF(J344=K344+2,201,250)))&amp;".10 – 10."&amp;INDEX(Eingabe!$D$9:$D$18,I344)&amp;"."&amp;IF(J344&lt;=K344,J344,IF(J344=K344+1,200,IF(J344=K344+2,201,250)))&amp;".250",""))</f>
        <v/>
      </c>
      <c r="G344" s="0" t="str">
        <f aca="false">IF(I344="","",IF(AND(J344&gt;=1,J344&lt;=K344),Eingabe!$B$6&amp;"-"&amp;INDEX(Eingabe!$C$9:$C$18,I344)&amp;"-Pächter  ·  Passwort Parzelle "&amp;J344,IF(J344=K344+1,Eingabe!$B$6&amp;"-"&amp;INDEX(Eingabe!$C$9:$C$18,I344)&amp;"-Vorstand  ·  eigenes WLAN",IF(J344=K344+2,Eingabe!$B$6&amp;"-"&amp;INDEX(Eingabe!$C$9:$C$18,I344)&amp;"-Gäste  ·  Voucher",IF(J344=K344+3,"Kabel  ·  Access Point y = .(50+y), Mast-Switch x = .(10+x)","")))))</f>
        <v/>
      </c>
      <c r="I344" s="0" t="str">
        <f aca="false">IF(339&lt;=(Eingabe!$P$18+Eingabe!$Q$18-1),MATCH(339,Eingabe!$P$9:$P$18,1),"")</f>
        <v/>
      </c>
      <c r="J344" s="0" t="str">
        <f aca="false">IF(I344="","",339-INDEX(Eingabe!$P$9:$P$18,I344))</f>
        <v/>
      </c>
      <c r="K344" s="0" t="str">
        <f aca="false">IF(I344="","",INDEX(Eingabe!$E$9:$E$18,I344))</f>
        <v/>
      </c>
    </row>
    <row r="345" customFormat="false" ht="15" hidden="false" customHeight="false" outlineLevel="0" collapsed="false">
      <c r="A345" s="0" t="str">
        <f aca="false">IF(I345="","",IF(J345=0,"Sparte "&amp;I345&amp;": "&amp;INDEX(Eingabe!$B$9:$B$18,I345)&amp;"  (Sparten-ID "&amp;INDEX(Eingabe!$D$9:$D$18,I345)&amp;", "&amp;K345&amp;" Parzellen)",IF(J345&lt;=K345,"   Parzelle "&amp;J345,IF(J345=K345+1,"   Vorstand",IF(J345=K345+2,"   Gäste",IF(J345=K345+3,"   Technik (Switches, Access Points)",""))))))</f>
        <v/>
      </c>
      <c r="B345" s="0" t="str">
        <f aca="false">IF(I345="","",IF(AND(J345&gt;=1,J345&lt;=K345+3),IF(J345&lt;=K345,IF(J345&lt;=99,IF((INDEX(Eingabe!$G$9:$G$18,I345))&lt;=9,1000+(INDEX(Eingabe!$G$9:$G$18,I345))*100,3000)+J345,IF((INDEX(Eingabe!$G$9:$G$18,I345)+1)&lt;=9,1000+(INDEX(Eingabe!$G$9:$G$18,I345)+1)*100,3000)+J345-100),IF(J345=K345+1,2000+INDEX(Eingabe!$G$9:$G$18,I345)*10+1,IF(J345=K345+2,2000+INDEX(Eingabe!$G$9:$G$18,I345)*10+2,2000+INDEX(Eingabe!$G$9:$G$18,I345)*10+9))),""))</f>
        <v/>
      </c>
      <c r="C345" s="0" t="str">
        <f aca="false">IF(I345="","",IF(AND(J345&gt;=1,J345&lt;=K345+3),"10."&amp;INDEX(Eingabe!$D$9:$D$18,I345)&amp;"."&amp;IF(J345&lt;=K345,J345,IF(J345=K345+1,200,IF(J345=K345+2,201,250)))&amp;".0/24",""))</f>
        <v/>
      </c>
      <c r="D345" s="0" t="str">
        <f aca="false">IF(I345="","",IF(AND(J345&gt;=1,J345&lt;=K345+3),"255.255.255.0",""))</f>
        <v/>
      </c>
      <c r="E345" s="0" t="str">
        <f aca="false">IF(I345="","",IF(AND(J345&gt;=1,J345&lt;=K345+3),"10."&amp;INDEX(Eingabe!$D$9:$D$18,I345)&amp;"."&amp;IF(J345&lt;=K345,J345,IF(J345=K345+1,200,IF(J345=K345+2,201,250)))&amp;".1",""))</f>
        <v/>
      </c>
      <c r="F345" s="0" t="str">
        <f aca="false">IF(I345="","",IF(AND(J345&gt;=1,J345&lt;=K345+3),"10."&amp;INDEX(Eingabe!$D$9:$D$18,I345)&amp;"."&amp;IF(J345&lt;=K345,J345,IF(J345=K345+1,200,IF(J345=K345+2,201,250)))&amp;".10 – 10."&amp;INDEX(Eingabe!$D$9:$D$18,I345)&amp;"."&amp;IF(J345&lt;=K345,J345,IF(J345=K345+1,200,IF(J345=K345+2,201,250)))&amp;".250",""))</f>
        <v/>
      </c>
      <c r="G345" s="0" t="str">
        <f aca="false">IF(I345="","",IF(AND(J345&gt;=1,J345&lt;=K345),Eingabe!$B$6&amp;"-"&amp;INDEX(Eingabe!$C$9:$C$18,I345)&amp;"-Pächter  ·  Passwort Parzelle "&amp;J345,IF(J345=K345+1,Eingabe!$B$6&amp;"-"&amp;INDEX(Eingabe!$C$9:$C$18,I345)&amp;"-Vorstand  ·  eigenes WLAN",IF(J345=K345+2,Eingabe!$B$6&amp;"-"&amp;INDEX(Eingabe!$C$9:$C$18,I345)&amp;"-Gäste  ·  Voucher",IF(J345=K345+3,"Kabel  ·  Access Point y = .(50+y), Mast-Switch x = .(10+x)","")))))</f>
        <v/>
      </c>
      <c r="I345" s="0" t="str">
        <f aca="false">IF(340&lt;=(Eingabe!$P$18+Eingabe!$Q$18-1),MATCH(340,Eingabe!$P$9:$P$18,1),"")</f>
        <v/>
      </c>
      <c r="J345" s="0" t="str">
        <f aca="false">IF(I345="","",340-INDEX(Eingabe!$P$9:$P$18,I345))</f>
        <v/>
      </c>
      <c r="K345" s="0" t="str">
        <f aca="false">IF(I345="","",INDEX(Eingabe!$E$9:$E$18,I345))</f>
        <v/>
      </c>
    </row>
    <row r="346" customFormat="false" ht="15" hidden="false" customHeight="false" outlineLevel="0" collapsed="false">
      <c r="A346" s="0" t="str">
        <f aca="false">IF(I346="","",IF(J346=0,"Sparte "&amp;I346&amp;": "&amp;INDEX(Eingabe!$B$9:$B$18,I346)&amp;"  (Sparten-ID "&amp;INDEX(Eingabe!$D$9:$D$18,I346)&amp;", "&amp;K346&amp;" Parzellen)",IF(J346&lt;=K346,"   Parzelle "&amp;J346,IF(J346=K346+1,"   Vorstand",IF(J346=K346+2,"   Gäste",IF(J346=K346+3,"   Technik (Switches, Access Points)",""))))))</f>
        <v/>
      </c>
      <c r="B346" s="0" t="str">
        <f aca="false">IF(I346="","",IF(AND(J346&gt;=1,J346&lt;=K346+3),IF(J346&lt;=K346,IF(J346&lt;=99,IF((INDEX(Eingabe!$G$9:$G$18,I346))&lt;=9,1000+(INDEX(Eingabe!$G$9:$G$18,I346))*100,3000)+J346,IF((INDEX(Eingabe!$G$9:$G$18,I346)+1)&lt;=9,1000+(INDEX(Eingabe!$G$9:$G$18,I346)+1)*100,3000)+J346-100),IF(J346=K346+1,2000+INDEX(Eingabe!$G$9:$G$18,I346)*10+1,IF(J346=K346+2,2000+INDEX(Eingabe!$G$9:$G$18,I346)*10+2,2000+INDEX(Eingabe!$G$9:$G$18,I346)*10+9))),""))</f>
        <v/>
      </c>
      <c r="C346" s="0" t="str">
        <f aca="false">IF(I346="","",IF(AND(J346&gt;=1,J346&lt;=K346+3),"10."&amp;INDEX(Eingabe!$D$9:$D$18,I346)&amp;"."&amp;IF(J346&lt;=K346,J346,IF(J346=K346+1,200,IF(J346=K346+2,201,250)))&amp;".0/24",""))</f>
        <v/>
      </c>
      <c r="D346" s="0" t="str">
        <f aca="false">IF(I346="","",IF(AND(J346&gt;=1,J346&lt;=K346+3),"255.255.255.0",""))</f>
        <v/>
      </c>
      <c r="E346" s="0" t="str">
        <f aca="false">IF(I346="","",IF(AND(J346&gt;=1,J346&lt;=K346+3),"10."&amp;INDEX(Eingabe!$D$9:$D$18,I346)&amp;"."&amp;IF(J346&lt;=K346,J346,IF(J346=K346+1,200,IF(J346=K346+2,201,250)))&amp;".1",""))</f>
        <v/>
      </c>
      <c r="F346" s="0" t="str">
        <f aca="false">IF(I346="","",IF(AND(J346&gt;=1,J346&lt;=K346+3),"10."&amp;INDEX(Eingabe!$D$9:$D$18,I346)&amp;"."&amp;IF(J346&lt;=K346,J346,IF(J346=K346+1,200,IF(J346=K346+2,201,250)))&amp;".10 – 10."&amp;INDEX(Eingabe!$D$9:$D$18,I346)&amp;"."&amp;IF(J346&lt;=K346,J346,IF(J346=K346+1,200,IF(J346=K346+2,201,250)))&amp;".250",""))</f>
        <v/>
      </c>
      <c r="G346" s="0" t="str">
        <f aca="false">IF(I346="","",IF(AND(J346&gt;=1,J346&lt;=K346),Eingabe!$B$6&amp;"-"&amp;INDEX(Eingabe!$C$9:$C$18,I346)&amp;"-Pächter  ·  Passwort Parzelle "&amp;J346,IF(J346=K346+1,Eingabe!$B$6&amp;"-"&amp;INDEX(Eingabe!$C$9:$C$18,I346)&amp;"-Vorstand  ·  eigenes WLAN",IF(J346=K346+2,Eingabe!$B$6&amp;"-"&amp;INDEX(Eingabe!$C$9:$C$18,I346)&amp;"-Gäste  ·  Voucher",IF(J346=K346+3,"Kabel  ·  Access Point y = .(50+y), Mast-Switch x = .(10+x)","")))))</f>
        <v/>
      </c>
      <c r="I346" s="0" t="str">
        <f aca="false">IF(341&lt;=(Eingabe!$P$18+Eingabe!$Q$18-1),MATCH(341,Eingabe!$P$9:$P$18,1),"")</f>
        <v/>
      </c>
      <c r="J346" s="0" t="str">
        <f aca="false">IF(I346="","",341-INDEX(Eingabe!$P$9:$P$18,I346))</f>
        <v/>
      </c>
      <c r="K346" s="0" t="str">
        <f aca="false">IF(I346="","",INDEX(Eingabe!$E$9:$E$18,I346))</f>
        <v/>
      </c>
    </row>
    <row r="347" customFormat="false" ht="15" hidden="false" customHeight="false" outlineLevel="0" collapsed="false">
      <c r="A347" s="0" t="str">
        <f aca="false">IF(I347="","",IF(J347=0,"Sparte "&amp;I347&amp;": "&amp;INDEX(Eingabe!$B$9:$B$18,I347)&amp;"  (Sparten-ID "&amp;INDEX(Eingabe!$D$9:$D$18,I347)&amp;", "&amp;K347&amp;" Parzellen)",IF(J347&lt;=K347,"   Parzelle "&amp;J347,IF(J347=K347+1,"   Vorstand",IF(J347=K347+2,"   Gäste",IF(J347=K347+3,"   Technik (Switches, Access Points)",""))))))</f>
        <v/>
      </c>
      <c r="B347" s="0" t="str">
        <f aca="false">IF(I347="","",IF(AND(J347&gt;=1,J347&lt;=K347+3),IF(J347&lt;=K347,IF(J347&lt;=99,IF((INDEX(Eingabe!$G$9:$G$18,I347))&lt;=9,1000+(INDEX(Eingabe!$G$9:$G$18,I347))*100,3000)+J347,IF((INDEX(Eingabe!$G$9:$G$18,I347)+1)&lt;=9,1000+(INDEX(Eingabe!$G$9:$G$18,I347)+1)*100,3000)+J347-100),IF(J347=K347+1,2000+INDEX(Eingabe!$G$9:$G$18,I347)*10+1,IF(J347=K347+2,2000+INDEX(Eingabe!$G$9:$G$18,I347)*10+2,2000+INDEX(Eingabe!$G$9:$G$18,I347)*10+9))),""))</f>
        <v/>
      </c>
      <c r="C347" s="0" t="str">
        <f aca="false">IF(I347="","",IF(AND(J347&gt;=1,J347&lt;=K347+3),"10."&amp;INDEX(Eingabe!$D$9:$D$18,I347)&amp;"."&amp;IF(J347&lt;=K347,J347,IF(J347=K347+1,200,IF(J347=K347+2,201,250)))&amp;".0/24",""))</f>
        <v/>
      </c>
      <c r="D347" s="0" t="str">
        <f aca="false">IF(I347="","",IF(AND(J347&gt;=1,J347&lt;=K347+3),"255.255.255.0",""))</f>
        <v/>
      </c>
      <c r="E347" s="0" t="str">
        <f aca="false">IF(I347="","",IF(AND(J347&gt;=1,J347&lt;=K347+3),"10."&amp;INDEX(Eingabe!$D$9:$D$18,I347)&amp;"."&amp;IF(J347&lt;=K347,J347,IF(J347=K347+1,200,IF(J347=K347+2,201,250)))&amp;".1",""))</f>
        <v/>
      </c>
      <c r="F347" s="0" t="str">
        <f aca="false">IF(I347="","",IF(AND(J347&gt;=1,J347&lt;=K347+3),"10."&amp;INDEX(Eingabe!$D$9:$D$18,I347)&amp;"."&amp;IF(J347&lt;=K347,J347,IF(J347=K347+1,200,IF(J347=K347+2,201,250)))&amp;".10 – 10."&amp;INDEX(Eingabe!$D$9:$D$18,I347)&amp;"."&amp;IF(J347&lt;=K347,J347,IF(J347=K347+1,200,IF(J347=K347+2,201,250)))&amp;".250",""))</f>
        <v/>
      </c>
      <c r="G347" s="0" t="str">
        <f aca="false">IF(I347="","",IF(AND(J347&gt;=1,J347&lt;=K347),Eingabe!$B$6&amp;"-"&amp;INDEX(Eingabe!$C$9:$C$18,I347)&amp;"-Pächter  ·  Passwort Parzelle "&amp;J347,IF(J347=K347+1,Eingabe!$B$6&amp;"-"&amp;INDEX(Eingabe!$C$9:$C$18,I347)&amp;"-Vorstand  ·  eigenes WLAN",IF(J347=K347+2,Eingabe!$B$6&amp;"-"&amp;INDEX(Eingabe!$C$9:$C$18,I347)&amp;"-Gäste  ·  Voucher",IF(J347=K347+3,"Kabel  ·  Access Point y = .(50+y), Mast-Switch x = .(10+x)","")))))</f>
        <v/>
      </c>
      <c r="I347" s="0" t="str">
        <f aca="false">IF(342&lt;=(Eingabe!$P$18+Eingabe!$Q$18-1),MATCH(342,Eingabe!$P$9:$P$18,1),"")</f>
        <v/>
      </c>
      <c r="J347" s="0" t="str">
        <f aca="false">IF(I347="","",342-INDEX(Eingabe!$P$9:$P$18,I347))</f>
        <v/>
      </c>
      <c r="K347" s="0" t="str">
        <f aca="false">IF(I347="","",INDEX(Eingabe!$E$9:$E$18,I347))</f>
        <v/>
      </c>
    </row>
    <row r="348" customFormat="false" ht="15" hidden="false" customHeight="false" outlineLevel="0" collapsed="false">
      <c r="A348" s="0" t="str">
        <f aca="false">IF(I348="","",IF(J348=0,"Sparte "&amp;I348&amp;": "&amp;INDEX(Eingabe!$B$9:$B$18,I348)&amp;"  (Sparten-ID "&amp;INDEX(Eingabe!$D$9:$D$18,I348)&amp;", "&amp;K348&amp;" Parzellen)",IF(J348&lt;=K348,"   Parzelle "&amp;J348,IF(J348=K348+1,"   Vorstand",IF(J348=K348+2,"   Gäste",IF(J348=K348+3,"   Technik (Switches, Access Points)",""))))))</f>
        <v/>
      </c>
      <c r="B348" s="0" t="str">
        <f aca="false">IF(I348="","",IF(AND(J348&gt;=1,J348&lt;=K348+3),IF(J348&lt;=K348,IF(J348&lt;=99,IF((INDEX(Eingabe!$G$9:$G$18,I348))&lt;=9,1000+(INDEX(Eingabe!$G$9:$G$18,I348))*100,3000)+J348,IF((INDEX(Eingabe!$G$9:$G$18,I348)+1)&lt;=9,1000+(INDEX(Eingabe!$G$9:$G$18,I348)+1)*100,3000)+J348-100),IF(J348=K348+1,2000+INDEX(Eingabe!$G$9:$G$18,I348)*10+1,IF(J348=K348+2,2000+INDEX(Eingabe!$G$9:$G$18,I348)*10+2,2000+INDEX(Eingabe!$G$9:$G$18,I348)*10+9))),""))</f>
        <v/>
      </c>
      <c r="C348" s="0" t="str">
        <f aca="false">IF(I348="","",IF(AND(J348&gt;=1,J348&lt;=K348+3),"10."&amp;INDEX(Eingabe!$D$9:$D$18,I348)&amp;"."&amp;IF(J348&lt;=K348,J348,IF(J348=K348+1,200,IF(J348=K348+2,201,250)))&amp;".0/24",""))</f>
        <v/>
      </c>
      <c r="D348" s="0" t="str">
        <f aca="false">IF(I348="","",IF(AND(J348&gt;=1,J348&lt;=K348+3),"255.255.255.0",""))</f>
        <v/>
      </c>
      <c r="E348" s="0" t="str">
        <f aca="false">IF(I348="","",IF(AND(J348&gt;=1,J348&lt;=K348+3),"10."&amp;INDEX(Eingabe!$D$9:$D$18,I348)&amp;"."&amp;IF(J348&lt;=K348,J348,IF(J348=K348+1,200,IF(J348=K348+2,201,250)))&amp;".1",""))</f>
        <v/>
      </c>
      <c r="F348" s="0" t="str">
        <f aca="false">IF(I348="","",IF(AND(J348&gt;=1,J348&lt;=K348+3),"10."&amp;INDEX(Eingabe!$D$9:$D$18,I348)&amp;"."&amp;IF(J348&lt;=K348,J348,IF(J348=K348+1,200,IF(J348=K348+2,201,250)))&amp;".10 – 10."&amp;INDEX(Eingabe!$D$9:$D$18,I348)&amp;"."&amp;IF(J348&lt;=K348,J348,IF(J348=K348+1,200,IF(J348=K348+2,201,250)))&amp;".250",""))</f>
        <v/>
      </c>
      <c r="G348" s="0" t="str">
        <f aca="false">IF(I348="","",IF(AND(J348&gt;=1,J348&lt;=K348),Eingabe!$B$6&amp;"-"&amp;INDEX(Eingabe!$C$9:$C$18,I348)&amp;"-Pächter  ·  Passwort Parzelle "&amp;J348,IF(J348=K348+1,Eingabe!$B$6&amp;"-"&amp;INDEX(Eingabe!$C$9:$C$18,I348)&amp;"-Vorstand  ·  eigenes WLAN",IF(J348=K348+2,Eingabe!$B$6&amp;"-"&amp;INDEX(Eingabe!$C$9:$C$18,I348)&amp;"-Gäste  ·  Voucher",IF(J348=K348+3,"Kabel  ·  Access Point y = .(50+y), Mast-Switch x = .(10+x)","")))))</f>
        <v/>
      </c>
      <c r="I348" s="0" t="str">
        <f aca="false">IF(343&lt;=(Eingabe!$P$18+Eingabe!$Q$18-1),MATCH(343,Eingabe!$P$9:$P$18,1),"")</f>
        <v/>
      </c>
      <c r="J348" s="0" t="str">
        <f aca="false">IF(I348="","",343-INDEX(Eingabe!$P$9:$P$18,I348))</f>
        <v/>
      </c>
      <c r="K348" s="0" t="str">
        <f aca="false">IF(I348="","",INDEX(Eingabe!$E$9:$E$18,I348))</f>
        <v/>
      </c>
    </row>
    <row r="349" customFormat="false" ht="15" hidden="false" customHeight="false" outlineLevel="0" collapsed="false">
      <c r="A349" s="0" t="str">
        <f aca="false">IF(I349="","",IF(J349=0,"Sparte "&amp;I349&amp;": "&amp;INDEX(Eingabe!$B$9:$B$18,I349)&amp;"  (Sparten-ID "&amp;INDEX(Eingabe!$D$9:$D$18,I349)&amp;", "&amp;K349&amp;" Parzellen)",IF(J349&lt;=K349,"   Parzelle "&amp;J349,IF(J349=K349+1,"   Vorstand",IF(J349=K349+2,"   Gäste",IF(J349=K349+3,"   Technik (Switches, Access Points)",""))))))</f>
        <v/>
      </c>
      <c r="B349" s="0" t="str">
        <f aca="false">IF(I349="","",IF(AND(J349&gt;=1,J349&lt;=K349+3),IF(J349&lt;=K349,IF(J349&lt;=99,IF((INDEX(Eingabe!$G$9:$G$18,I349))&lt;=9,1000+(INDEX(Eingabe!$G$9:$G$18,I349))*100,3000)+J349,IF((INDEX(Eingabe!$G$9:$G$18,I349)+1)&lt;=9,1000+(INDEX(Eingabe!$G$9:$G$18,I349)+1)*100,3000)+J349-100),IF(J349=K349+1,2000+INDEX(Eingabe!$G$9:$G$18,I349)*10+1,IF(J349=K349+2,2000+INDEX(Eingabe!$G$9:$G$18,I349)*10+2,2000+INDEX(Eingabe!$G$9:$G$18,I349)*10+9))),""))</f>
        <v/>
      </c>
      <c r="C349" s="0" t="str">
        <f aca="false">IF(I349="","",IF(AND(J349&gt;=1,J349&lt;=K349+3),"10."&amp;INDEX(Eingabe!$D$9:$D$18,I349)&amp;"."&amp;IF(J349&lt;=K349,J349,IF(J349=K349+1,200,IF(J349=K349+2,201,250)))&amp;".0/24",""))</f>
        <v/>
      </c>
      <c r="D349" s="0" t="str">
        <f aca="false">IF(I349="","",IF(AND(J349&gt;=1,J349&lt;=K349+3),"255.255.255.0",""))</f>
        <v/>
      </c>
      <c r="E349" s="0" t="str">
        <f aca="false">IF(I349="","",IF(AND(J349&gt;=1,J349&lt;=K349+3),"10."&amp;INDEX(Eingabe!$D$9:$D$18,I349)&amp;"."&amp;IF(J349&lt;=K349,J349,IF(J349=K349+1,200,IF(J349=K349+2,201,250)))&amp;".1",""))</f>
        <v/>
      </c>
      <c r="F349" s="0" t="str">
        <f aca="false">IF(I349="","",IF(AND(J349&gt;=1,J349&lt;=K349+3),"10."&amp;INDEX(Eingabe!$D$9:$D$18,I349)&amp;"."&amp;IF(J349&lt;=K349,J349,IF(J349=K349+1,200,IF(J349=K349+2,201,250)))&amp;".10 – 10."&amp;INDEX(Eingabe!$D$9:$D$18,I349)&amp;"."&amp;IF(J349&lt;=K349,J349,IF(J349=K349+1,200,IF(J349=K349+2,201,250)))&amp;".250",""))</f>
        <v/>
      </c>
      <c r="G349" s="0" t="str">
        <f aca="false">IF(I349="","",IF(AND(J349&gt;=1,J349&lt;=K349),Eingabe!$B$6&amp;"-"&amp;INDEX(Eingabe!$C$9:$C$18,I349)&amp;"-Pächter  ·  Passwort Parzelle "&amp;J349,IF(J349=K349+1,Eingabe!$B$6&amp;"-"&amp;INDEX(Eingabe!$C$9:$C$18,I349)&amp;"-Vorstand  ·  eigenes WLAN",IF(J349=K349+2,Eingabe!$B$6&amp;"-"&amp;INDEX(Eingabe!$C$9:$C$18,I349)&amp;"-Gäste  ·  Voucher",IF(J349=K349+3,"Kabel  ·  Access Point y = .(50+y), Mast-Switch x = .(10+x)","")))))</f>
        <v/>
      </c>
      <c r="I349" s="0" t="str">
        <f aca="false">IF(344&lt;=(Eingabe!$P$18+Eingabe!$Q$18-1),MATCH(344,Eingabe!$P$9:$P$18,1),"")</f>
        <v/>
      </c>
      <c r="J349" s="0" t="str">
        <f aca="false">IF(I349="","",344-INDEX(Eingabe!$P$9:$P$18,I349))</f>
        <v/>
      </c>
      <c r="K349" s="0" t="str">
        <f aca="false">IF(I349="","",INDEX(Eingabe!$E$9:$E$18,I349))</f>
        <v/>
      </c>
    </row>
    <row r="350" customFormat="false" ht="15" hidden="false" customHeight="false" outlineLevel="0" collapsed="false">
      <c r="A350" s="0" t="str">
        <f aca="false">IF(I350="","",IF(J350=0,"Sparte "&amp;I350&amp;": "&amp;INDEX(Eingabe!$B$9:$B$18,I350)&amp;"  (Sparten-ID "&amp;INDEX(Eingabe!$D$9:$D$18,I350)&amp;", "&amp;K350&amp;" Parzellen)",IF(J350&lt;=K350,"   Parzelle "&amp;J350,IF(J350=K350+1,"   Vorstand",IF(J350=K350+2,"   Gäste",IF(J350=K350+3,"   Technik (Switches, Access Points)",""))))))</f>
        <v/>
      </c>
      <c r="B350" s="0" t="str">
        <f aca="false">IF(I350="","",IF(AND(J350&gt;=1,J350&lt;=K350+3),IF(J350&lt;=K350,IF(J350&lt;=99,IF((INDEX(Eingabe!$G$9:$G$18,I350))&lt;=9,1000+(INDEX(Eingabe!$G$9:$G$18,I350))*100,3000)+J350,IF((INDEX(Eingabe!$G$9:$G$18,I350)+1)&lt;=9,1000+(INDEX(Eingabe!$G$9:$G$18,I350)+1)*100,3000)+J350-100),IF(J350=K350+1,2000+INDEX(Eingabe!$G$9:$G$18,I350)*10+1,IF(J350=K350+2,2000+INDEX(Eingabe!$G$9:$G$18,I350)*10+2,2000+INDEX(Eingabe!$G$9:$G$18,I350)*10+9))),""))</f>
        <v/>
      </c>
      <c r="C350" s="0" t="str">
        <f aca="false">IF(I350="","",IF(AND(J350&gt;=1,J350&lt;=K350+3),"10."&amp;INDEX(Eingabe!$D$9:$D$18,I350)&amp;"."&amp;IF(J350&lt;=K350,J350,IF(J350=K350+1,200,IF(J350=K350+2,201,250)))&amp;".0/24",""))</f>
        <v/>
      </c>
      <c r="D350" s="0" t="str">
        <f aca="false">IF(I350="","",IF(AND(J350&gt;=1,J350&lt;=K350+3),"255.255.255.0",""))</f>
        <v/>
      </c>
      <c r="E350" s="0" t="str">
        <f aca="false">IF(I350="","",IF(AND(J350&gt;=1,J350&lt;=K350+3),"10."&amp;INDEX(Eingabe!$D$9:$D$18,I350)&amp;"."&amp;IF(J350&lt;=K350,J350,IF(J350=K350+1,200,IF(J350=K350+2,201,250)))&amp;".1",""))</f>
        <v/>
      </c>
      <c r="F350" s="0" t="str">
        <f aca="false">IF(I350="","",IF(AND(J350&gt;=1,J350&lt;=K350+3),"10."&amp;INDEX(Eingabe!$D$9:$D$18,I350)&amp;"."&amp;IF(J350&lt;=K350,J350,IF(J350=K350+1,200,IF(J350=K350+2,201,250)))&amp;".10 – 10."&amp;INDEX(Eingabe!$D$9:$D$18,I350)&amp;"."&amp;IF(J350&lt;=K350,J350,IF(J350=K350+1,200,IF(J350=K350+2,201,250)))&amp;".250",""))</f>
        <v/>
      </c>
      <c r="G350" s="0" t="str">
        <f aca="false">IF(I350="","",IF(AND(J350&gt;=1,J350&lt;=K350),Eingabe!$B$6&amp;"-"&amp;INDEX(Eingabe!$C$9:$C$18,I350)&amp;"-Pächter  ·  Passwort Parzelle "&amp;J350,IF(J350=K350+1,Eingabe!$B$6&amp;"-"&amp;INDEX(Eingabe!$C$9:$C$18,I350)&amp;"-Vorstand  ·  eigenes WLAN",IF(J350=K350+2,Eingabe!$B$6&amp;"-"&amp;INDEX(Eingabe!$C$9:$C$18,I350)&amp;"-Gäste  ·  Voucher",IF(J350=K350+3,"Kabel  ·  Access Point y = .(50+y), Mast-Switch x = .(10+x)","")))))</f>
        <v/>
      </c>
      <c r="I350" s="0" t="str">
        <f aca="false">IF(345&lt;=(Eingabe!$P$18+Eingabe!$Q$18-1),MATCH(345,Eingabe!$P$9:$P$18,1),"")</f>
        <v/>
      </c>
      <c r="J350" s="0" t="str">
        <f aca="false">IF(I350="","",345-INDEX(Eingabe!$P$9:$P$18,I350))</f>
        <v/>
      </c>
      <c r="K350" s="0" t="str">
        <f aca="false">IF(I350="","",INDEX(Eingabe!$E$9:$E$18,I350))</f>
        <v/>
      </c>
    </row>
    <row r="351" customFormat="false" ht="15" hidden="false" customHeight="false" outlineLevel="0" collapsed="false">
      <c r="A351" s="0" t="str">
        <f aca="false">IF(I351="","",IF(J351=0,"Sparte "&amp;I351&amp;": "&amp;INDEX(Eingabe!$B$9:$B$18,I351)&amp;"  (Sparten-ID "&amp;INDEX(Eingabe!$D$9:$D$18,I351)&amp;", "&amp;K351&amp;" Parzellen)",IF(J351&lt;=K351,"   Parzelle "&amp;J351,IF(J351=K351+1,"   Vorstand",IF(J351=K351+2,"   Gäste",IF(J351=K351+3,"   Technik (Switches, Access Points)",""))))))</f>
        <v/>
      </c>
      <c r="B351" s="0" t="str">
        <f aca="false">IF(I351="","",IF(AND(J351&gt;=1,J351&lt;=K351+3),IF(J351&lt;=K351,IF(J351&lt;=99,IF((INDEX(Eingabe!$G$9:$G$18,I351))&lt;=9,1000+(INDEX(Eingabe!$G$9:$G$18,I351))*100,3000)+J351,IF((INDEX(Eingabe!$G$9:$G$18,I351)+1)&lt;=9,1000+(INDEX(Eingabe!$G$9:$G$18,I351)+1)*100,3000)+J351-100),IF(J351=K351+1,2000+INDEX(Eingabe!$G$9:$G$18,I351)*10+1,IF(J351=K351+2,2000+INDEX(Eingabe!$G$9:$G$18,I351)*10+2,2000+INDEX(Eingabe!$G$9:$G$18,I351)*10+9))),""))</f>
        <v/>
      </c>
      <c r="C351" s="0" t="str">
        <f aca="false">IF(I351="","",IF(AND(J351&gt;=1,J351&lt;=K351+3),"10."&amp;INDEX(Eingabe!$D$9:$D$18,I351)&amp;"."&amp;IF(J351&lt;=K351,J351,IF(J351=K351+1,200,IF(J351=K351+2,201,250)))&amp;".0/24",""))</f>
        <v/>
      </c>
      <c r="D351" s="0" t="str">
        <f aca="false">IF(I351="","",IF(AND(J351&gt;=1,J351&lt;=K351+3),"255.255.255.0",""))</f>
        <v/>
      </c>
      <c r="E351" s="0" t="str">
        <f aca="false">IF(I351="","",IF(AND(J351&gt;=1,J351&lt;=K351+3),"10."&amp;INDEX(Eingabe!$D$9:$D$18,I351)&amp;"."&amp;IF(J351&lt;=K351,J351,IF(J351=K351+1,200,IF(J351=K351+2,201,250)))&amp;".1",""))</f>
        <v/>
      </c>
      <c r="F351" s="0" t="str">
        <f aca="false">IF(I351="","",IF(AND(J351&gt;=1,J351&lt;=K351+3),"10."&amp;INDEX(Eingabe!$D$9:$D$18,I351)&amp;"."&amp;IF(J351&lt;=K351,J351,IF(J351=K351+1,200,IF(J351=K351+2,201,250)))&amp;".10 – 10."&amp;INDEX(Eingabe!$D$9:$D$18,I351)&amp;"."&amp;IF(J351&lt;=K351,J351,IF(J351=K351+1,200,IF(J351=K351+2,201,250)))&amp;".250",""))</f>
        <v/>
      </c>
      <c r="G351" s="0" t="str">
        <f aca="false">IF(I351="","",IF(AND(J351&gt;=1,J351&lt;=K351),Eingabe!$B$6&amp;"-"&amp;INDEX(Eingabe!$C$9:$C$18,I351)&amp;"-Pächter  ·  Passwort Parzelle "&amp;J351,IF(J351=K351+1,Eingabe!$B$6&amp;"-"&amp;INDEX(Eingabe!$C$9:$C$18,I351)&amp;"-Vorstand  ·  eigenes WLAN",IF(J351=K351+2,Eingabe!$B$6&amp;"-"&amp;INDEX(Eingabe!$C$9:$C$18,I351)&amp;"-Gäste  ·  Voucher",IF(J351=K351+3,"Kabel  ·  Access Point y = .(50+y), Mast-Switch x = .(10+x)","")))))</f>
        <v/>
      </c>
      <c r="I351" s="0" t="str">
        <f aca="false">IF(346&lt;=(Eingabe!$P$18+Eingabe!$Q$18-1),MATCH(346,Eingabe!$P$9:$P$18,1),"")</f>
        <v/>
      </c>
      <c r="J351" s="0" t="str">
        <f aca="false">IF(I351="","",346-INDEX(Eingabe!$P$9:$P$18,I351))</f>
        <v/>
      </c>
      <c r="K351" s="0" t="str">
        <f aca="false">IF(I351="","",INDEX(Eingabe!$E$9:$E$18,I351))</f>
        <v/>
      </c>
    </row>
    <row r="352" customFormat="false" ht="15" hidden="false" customHeight="false" outlineLevel="0" collapsed="false">
      <c r="A352" s="0" t="str">
        <f aca="false">IF(I352="","",IF(J352=0,"Sparte "&amp;I352&amp;": "&amp;INDEX(Eingabe!$B$9:$B$18,I352)&amp;"  (Sparten-ID "&amp;INDEX(Eingabe!$D$9:$D$18,I352)&amp;", "&amp;K352&amp;" Parzellen)",IF(J352&lt;=K352,"   Parzelle "&amp;J352,IF(J352=K352+1,"   Vorstand",IF(J352=K352+2,"   Gäste",IF(J352=K352+3,"   Technik (Switches, Access Points)",""))))))</f>
        <v/>
      </c>
      <c r="B352" s="0" t="str">
        <f aca="false">IF(I352="","",IF(AND(J352&gt;=1,J352&lt;=K352+3),IF(J352&lt;=K352,IF(J352&lt;=99,IF((INDEX(Eingabe!$G$9:$G$18,I352))&lt;=9,1000+(INDEX(Eingabe!$G$9:$G$18,I352))*100,3000)+J352,IF((INDEX(Eingabe!$G$9:$G$18,I352)+1)&lt;=9,1000+(INDEX(Eingabe!$G$9:$G$18,I352)+1)*100,3000)+J352-100),IF(J352=K352+1,2000+INDEX(Eingabe!$G$9:$G$18,I352)*10+1,IF(J352=K352+2,2000+INDEX(Eingabe!$G$9:$G$18,I352)*10+2,2000+INDEX(Eingabe!$G$9:$G$18,I352)*10+9))),""))</f>
        <v/>
      </c>
      <c r="C352" s="0" t="str">
        <f aca="false">IF(I352="","",IF(AND(J352&gt;=1,J352&lt;=K352+3),"10."&amp;INDEX(Eingabe!$D$9:$D$18,I352)&amp;"."&amp;IF(J352&lt;=K352,J352,IF(J352=K352+1,200,IF(J352=K352+2,201,250)))&amp;".0/24",""))</f>
        <v/>
      </c>
      <c r="D352" s="0" t="str">
        <f aca="false">IF(I352="","",IF(AND(J352&gt;=1,J352&lt;=K352+3),"255.255.255.0",""))</f>
        <v/>
      </c>
      <c r="E352" s="0" t="str">
        <f aca="false">IF(I352="","",IF(AND(J352&gt;=1,J352&lt;=K352+3),"10."&amp;INDEX(Eingabe!$D$9:$D$18,I352)&amp;"."&amp;IF(J352&lt;=K352,J352,IF(J352=K352+1,200,IF(J352=K352+2,201,250)))&amp;".1",""))</f>
        <v/>
      </c>
      <c r="F352" s="0" t="str">
        <f aca="false">IF(I352="","",IF(AND(J352&gt;=1,J352&lt;=K352+3),"10."&amp;INDEX(Eingabe!$D$9:$D$18,I352)&amp;"."&amp;IF(J352&lt;=K352,J352,IF(J352=K352+1,200,IF(J352=K352+2,201,250)))&amp;".10 – 10."&amp;INDEX(Eingabe!$D$9:$D$18,I352)&amp;"."&amp;IF(J352&lt;=K352,J352,IF(J352=K352+1,200,IF(J352=K352+2,201,250)))&amp;".250",""))</f>
        <v/>
      </c>
      <c r="G352" s="0" t="str">
        <f aca="false">IF(I352="","",IF(AND(J352&gt;=1,J352&lt;=K352),Eingabe!$B$6&amp;"-"&amp;INDEX(Eingabe!$C$9:$C$18,I352)&amp;"-Pächter  ·  Passwort Parzelle "&amp;J352,IF(J352=K352+1,Eingabe!$B$6&amp;"-"&amp;INDEX(Eingabe!$C$9:$C$18,I352)&amp;"-Vorstand  ·  eigenes WLAN",IF(J352=K352+2,Eingabe!$B$6&amp;"-"&amp;INDEX(Eingabe!$C$9:$C$18,I352)&amp;"-Gäste  ·  Voucher",IF(J352=K352+3,"Kabel  ·  Access Point y = .(50+y), Mast-Switch x = .(10+x)","")))))</f>
        <v/>
      </c>
      <c r="I352" s="0" t="str">
        <f aca="false">IF(347&lt;=(Eingabe!$P$18+Eingabe!$Q$18-1),MATCH(347,Eingabe!$P$9:$P$18,1),"")</f>
        <v/>
      </c>
      <c r="J352" s="0" t="str">
        <f aca="false">IF(I352="","",347-INDEX(Eingabe!$P$9:$P$18,I352))</f>
        <v/>
      </c>
      <c r="K352" s="0" t="str">
        <f aca="false">IF(I352="","",INDEX(Eingabe!$E$9:$E$18,I352))</f>
        <v/>
      </c>
    </row>
    <row r="353" customFormat="false" ht="15" hidden="false" customHeight="false" outlineLevel="0" collapsed="false">
      <c r="A353" s="0" t="str">
        <f aca="false">IF(I353="","",IF(J353=0,"Sparte "&amp;I353&amp;": "&amp;INDEX(Eingabe!$B$9:$B$18,I353)&amp;"  (Sparten-ID "&amp;INDEX(Eingabe!$D$9:$D$18,I353)&amp;", "&amp;K353&amp;" Parzellen)",IF(J353&lt;=K353,"   Parzelle "&amp;J353,IF(J353=K353+1,"   Vorstand",IF(J353=K353+2,"   Gäste",IF(J353=K353+3,"   Technik (Switches, Access Points)",""))))))</f>
        <v/>
      </c>
      <c r="B353" s="0" t="str">
        <f aca="false">IF(I353="","",IF(AND(J353&gt;=1,J353&lt;=K353+3),IF(J353&lt;=K353,IF(J353&lt;=99,IF((INDEX(Eingabe!$G$9:$G$18,I353))&lt;=9,1000+(INDEX(Eingabe!$G$9:$G$18,I353))*100,3000)+J353,IF((INDEX(Eingabe!$G$9:$G$18,I353)+1)&lt;=9,1000+(INDEX(Eingabe!$G$9:$G$18,I353)+1)*100,3000)+J353-100),IF(J353=K353+1,2000+INDEX(Eingabe!$G$9:$G$18,I353)*10+1,IF(J353=K353+2,2000+INDEX(Eingabe!$G$9:$G$18,I353)*10+2,2000+INDEX(Eingabe!$G$9:$G$18,I353)*10+9))),""))</f>
        <v/>
      </c>
      <c r="C353" s="0" t="str">
        <f aca="false">IF(I353="","",IF(AND(J353&gt;=1,J353&lt;=K353+3),"10."&amp;INDEX(Eingabe!$D$9:$D$18,I353)&amp;"."&amp;IF(J353&lt;=K353,J353,IF(J353=K353+1,200,IF(J353=K353+2,201,250)))&amp;".0/24",""))</f>
        <v/>
      </c>
      <c r="D353" s="0" t="str">
        <f aca="false">IF(I353="","",IF(AND(J353&gt;=1,J353&lt;=K353+3),"255.255.255.0",""))</f>
        <v/>
      </c>
      <c r="E353" s="0" t="str">
        <f aca="false">IF(I353="","",IF(AND(J353&gt;=1,J353&lt;=K353+3),"10."&amp;INDEX(Eingabe!$D$9:$D$18,I353)&amp;"."&amp;IF(J353&lt;=K353,J353,IF(J353=K353+1,200,IF(J353=K353+2,201,250)))&amp;".1",""))</f>
        <v/>
      </c>
      <c r="F353" s="0" t="str">
        <f aca="false">IF(I353="","",IF(AND(J353&gt;=1,J353&lt;=K353+3),"10."&amp;INDEX(Eingabe!$D$9:$D$18,I353)&amp;"."&amp;IF(J353&lt;=K353,J353,IF(J353=K353+1,200,IF(J353=K353+2,201,250)))&amp;".10 – 10."&amp;INDEX(Eingabe!$D$9:$D$18,I353)&amp;"."&amp;IF(J353&lt;=K353,J353,IF(J353=K353+1,200,IF(J353=K353+2,201,250)))&amp;".250",""))</f>
        <v/>
      </c>
      <c r="G353" s="0" t="str">
        <f aca="false">IF(I353="","",IF(AND(J353&gt;=1,J353&lt;=K353),Eingabe!$B$6&amp;"-"&amp;INDEX(Eingabe!$C$9:$C$18,I353)&amp;"-Pächter  ·  Passwort Parzelle "&amp;J353,IF(J353=K353+1,Eingabe!$B$6&amp;"-"&amp;INDEX(Eingabe!$C$9:$C$18,I353)&amp;"-Vorstand  ·  eigenes WLAN",IF(J353=K353+2,Eingabe!$B$6&amp;"-"&amp;INDEX(Eingabe!$C$9:$C$18,I353)&amp;"-Gäste  ·  Voucher",IF(J353=K353+3,"Kabel  ·  Access Point y = .(50+y), Mast-Switch x = .(10+x)","")))))</f>
        <v/>
      </c>
      <c r="I353" s="0" t="str">
        <f aca="false">IF(348&lt;=(Eingabe!$P$18+Eingabe!$Q$18-1),MATCH(348,Eingabe!$P$9:$P$18,1),"")</f>
        <v/>
      </c>
      <c r="J353" s="0" t="str">
        <f aca="false">IF(I353="","",348-INDEX(Eingabe!$P$9:$P$18,I353))</f>
        <v/>
      </c>
      <c r="K353" s="0" t="str">
        <f aca="false">IF(I353="","",INDEX(Eingabe!$E$9:$E$18,I353))</f>
        <v/>
      </c>
    </row>
    <row r="354" customFormat="false" ht="15" hidden="false" customHeight="false" outlineLevel="0" collapsed="false">
      <c r="A354" s="0" t="str">
        <f aca="false">IF(I354="","",IF(J354=0,"Sparte "&amp;I354&amp;": "&amp;INDEX(Eingabe!$B$9:$B$18,I354)&amp;"  (Sparten-ID "&amp;INDEX(Eingabe!$D$9:$D$18,I354)&amp;", "&amp;K354&amp;" Parzellen)",IF(J354&lt;=K354,"   Parzelle "&amp;J354,IF(J354=K354+1,"   Vorstand",IF(J354=K354+2,"   Gäste",IF(J354=K354+3,"   Technik (Switches, Access Points)",""))))))</f>
        <v/>
      </c>
      <c r="B354" s="0" t="str">
        <f aca="false">IF(I354="","",IF(AND(J354&gt;=1,J354&lt;=K354+3),IF(J354&lt;=K354,IF(J354&lt;=99,IF((INDEX(Eingabe!$G$9:$G$18,I354))&lt;=9,1000+(INDEX(Eingabe!$G$9:$G$18,I354))*100,3000)+J354,IF((INDEX(Eingabe!$G$9:$G$18,I354)+1)&lt;=9,1000+(INDEX(Eingabe!$G$9:$G$18,I354)+1)*100,3000)+J354-100),IF(J354=K354+1,2000+INDEX(Eingabe!$G$9:$G$18,I354)*10+1,IF(J354=K354+2,2000+INDEX(Eingabe!$G$9:$G$18,I354)*10+2,2000+INDEX(Eingabe!$G$9:$G$18,I354)*10+9))),""))</f>
        <v/>
      </c>
      <c r="C354" s="0" t="str">
        <f aca="false">IF(I354="","",IF(AND(J354&gt;=1,J354&lt;=K354+3),"10."&amp;INDEX(Eingabe!$D$9:$D$18,I354)&amp;"."&amp;IF(J354&lt;=K354,J354,IF(J354=K354+1,200,IF(J354=K354+2,201,250)))&amp;".0/24",""))</f>
        <v/>
      </c>
      <c r="D354" s="0" t="str">
        <f aca="false">IF(I354="","",IF(AND(J354&gt;=1,J354&lt;=K354+3),"255.255.255.0",""))</f>
        <v/>
      </c>
      <c r="E354" s="0" t="str">
        <f aca="false">IF(I354="","",IF(AND(J354&gt;=1,J354&lt;=K354+3),"10."&amp;INDEX(Eingabe!$D$9:$D$18,I354)&amp;"."&amp;IF(J354&lt;=K354,J354,IF(J354=K354+1,200,IF(J354=K354+2,201,250)))&amp;".1",""))</f>
        <v/>
      </c>
      <c r="F354" s="0" t="str">
        <f aca="false">IF(I354="","",IF(AND(J354&gt;=1,J354&lt;=K354+3),"10."&amp;INDEX(Eingabe!$D$9:$D$18,I354)&amp;"."&amp;IF(J354&lt;=K354,J354,IF(J354=K354+1,200,IF(J354=K354+2,201,250)))&amp;".10 – 10."&amp;INDEX(Eingabe!$D$9:$D$18,I354)&amp;"."&amp;IF(J354&lt;=K354,J354,IF(J354=K354+1,200,IF(J354=K354+2,201,250)))&amp;".250",""))</f>
        <v/>
      </c>
      <c r="G354" s="0" t="str">
        <f aca="false">IF(I354="","",IF(AND(J354&gt;=1,J354&lt;=K354),Eingabe!$B$6&amp;"-"&amp;INDEX(Eingabe!$C$9:$C$18,I354)&amp;"-Pächter  ·  Passwort Parzelle "&amp;J354,IF(J354=K354+1,Eingabe!$B$6&amp;"-"&amp;INDEX(Eingabe!$C$9:$C$18,I354)&amp;"-Vorstand  ·  eigenes WLAN",IF(J354=K354+2,Eingabe!$B$6&amp;"-"&amp;INDEX(Eingabe!$C$9:$C$18,I354)&amp;"-Gäste  ·  Voucher",IF(J354=K354+3,"Kabel  ·  Access Point y = .(50+y), Mast-Switch x = .(10+x)","")))))</f>
        <v/>
      </c>
      <c r="I354" s="0" t="str">
        <f aca="false">IF(349&lt;=(Eingabe!$P$18+Eingabe!$Q$18-1),MATCH(349,Eingabe!$P$9:$P$18,1),"")</f>
        <v/>
      </c>
      <c r="J354" s="0" t="str">
        <f aca="false">IF(I354="","",349-INDEX(Eingabe!$P$9:$P$18,I354))</f>
        <v/>
      </c>
      <c r="K354" s="0" t="str">
        <f aca="false">IF(I354="","",INDEX(Eingabe!$E$9:$E$18,I354))</f>
        <v/>
      </c>
    </row>
    <row r="355" customFormat="false" ht="15" hidden="false" customHeight="false" outlineLevel="0" collapsed="false">
      <c r="A355" s="0" t="str">
        <f aca="false">IF(I355="","",IF(J355=0,"Sparte "&amp;I355&amp;": "&amp;INDEX(Eingabe!$B$9:$B$18,I355)&amp;"  (Sparten-ID "&amp;INDEX(Eingabe!$D$9:$D$18,I355)&amp;", "&amp;K355&amp;" Parzellen)",IF(J355&lt;=K355,"   Parzelle "&amp;J355,IF(J355=K355+1,"   Vorstand",IF(J355=K355+2,"   Gäste",IF(J355=K355+3,"   Technik (Switches, Access Points)",""))))))</f>
        <v/>
      </c>
      <c r="B355" s="0" t="str">
        <f aca="false">IF(I355="","",IF(AND(J355&gt;=1,J355&lt;=K355+3),IF(J355&lt;=K355,IF(J355&lt;=99,IF((INDEX(Eingabe!$G$9:$G$18,I355))&lt;=9,1000+(INDEX(Eingabe!$G$9:$G$18,I355))*100,3000)+J355,IF((INDEX(Eingabe!$G$9:$G$18,I355)+1)&lt;=9,1000+(INDEX(Eingabe!$G$9:$G$18,I355)+1)*100,3000)+J355-100),IF(J355=K355+1,2000+INDEX(Eingabe!$G$9:$G$18,I355)*10+1,IF(J355=K355+2,2000+INDEX(Eingabe!$G$9:$G$18,I355)*10+2,2000+INDEX(Eingabe!$G$9:$G$18,I355)*10+9))),""))</f>
        <v/>
      </c>
      <c r="C355" s="0" t="str">
        <f aca="false">IF(I355="","",IF(AND(J355&gt;=1,J355&lt;=K355+3),"10."&amp;INDEX(Eingabe!$D$9:$D$18,I355)&amp;"."&amp;IF(J355&lt;=K355,J355,IF(J355=K355+1,200,IF(J355=K355+2,201,250)))&amp;".0/24",""))</f>
        <v/>
      </c>
      <c r="D355" s="0" t="str">
        <f aca="false">IF(I355="","",IF(AND(J355&gt;=1,J355&lt;=K355+3),"255.255.255.0",""))</f>
        <v/>
      </c>
      <c r="E355" s="0" t="str">
        <f aca="false">IF(I355="","",IF(AND(J355&gt;=1,J355&lt;=K355+3),"10."&amp;INDEX(Eingabe!$D$9:$D$18,I355)&amp;"."&amp;IF(J355&lt;=K355,J355,IF(J355=K355+1,200,IF(J355=K355+2,201,250)))&amp;".1",""))</f>
        <v/>
      </c>
      <c r="F355" s="0" t="str">
        <f aca="false">IF(I355="","",IF(AND(J355&gt;=1,J355&lt;=K355+3),"10."&amp;INDEX(Eingabe!$D$9:$D$18,I355)&amp;"."&amp;IF(J355&lt;=K355,J355,IF(J355=K355+1,200,IF(J355=K355+2,201,250)))&amp;".10 – 10."&amp;INDEX(Eingabe!$D$9:$D$18,I355)&amp;"."&amp;IF(J355&lt;=K355,J355,IF(J355=K355+1,200,IF(J355=K355+2,201,250)))&amp;".250",""))</f>
        <v/>
      </c>
      <c r="G355" s="0" t="str">
        <f aca="false">IF(I355="","",IF(AND(J355&gt;=1,J355&lt;=K355),Eingabe!$B$6&amp;"-"&amp;INDEX(Eingabe!$C$9:$C$18,I355)&amp;"-Pächter  ·  Passwort Parzelle "&amp;J355,IF(J355=K355+1,Eingabe!$B$6&amp;"-"&amp;INDEX(Eingabe!$C$9:$C$18,I355)&amp;"-Vorstand  ·  eigenes WLAN",IF(J355=K355+2,Eingabe!$B$6&amp;"-"&amp;INDEX(Eingabe!$C$9:$C$18,I355)&amp;"-Gäste  ·  Voucher",IF(J355=K355+3,"Kabel  ·  Access Point y = .(50+y), Mast-Switch x = .(10+x)","")))))</f>
        <v/>
      </c>
      <c r="I355" s="0" t="str">
        <f aca="false">IF(350&lt;=(Eingabe!$P$18+Eingabe!$Q$18-1),MATCH(350,Eingabe!$P$9:$P$18,1),"")</f>
        <v/>
      </c>
      <c r="J355" s="0" t="str">
        <f aca="false">IF(I355="","",350-INDEX(Eingabe!$P$9:$P$18,I355))</f>
        <v/>
      </c>
      <c r="K355" s="0" t="str">
        <f aca="false">IF(I355="","",INDEX(Eingabe!$E$9:$E$18,I355))</f>
        <v/>
      </c>
    </row>
    <row r="356" customFormat="false" ht="15" hidden="false" customHeight="false" outlineLevel="0" collapsed="false">
      <c r="A356" s="0" t="str">
        <f aca="false">IF(I356="","",IF(J356=0,"Sparte "&amp;I356&amp;": "&amp;INDEX(Eingabe!$B$9:$B$18,I356)&amp;"  (Sparten-ID "&amp;INDEX(Eingabe!$D$9:$D$18,I356)&amp;", "&amp;K356&amp;" Parzellen)",IF(J356&lt;=K356,"   Parzelle "&amp;J356,IF(J356=K356+1,"   Vorstand",IF(J356=K356+2,"   Gäste",IF(J356=K356+3,"   Technik (Switches, Access Points)",""))))))</f>
        <v/>
      </c>
      <c r="B356" s="0" t="str">
        <f aca="false">IF(I356="","",IF(AND(J356&gt;=1,J356&lt;=K356+3),IF(J356&lt;=K356,IF(J356&lt;=99,IF((INDEX(Eingabe!$G$9:$G$18,I356))&lt;=9,1000+(INDEX(Eingabe!$G$9:$G$18,I356))*100,3000)+J356,IF((INDEX(Eingabe!$G$9:$G$18,I356)+1)&lt;=9,1000+(INDEX(Eingabe!$G$9:$G$18,I356)+1)*100,3000)+J356-100),IF(J356=K356+1,2000+INDEX(Eingabe!$G$9:$G$18,I356)*10+1,IF(J356=K356+2,2000+INDEX(Eingabe!$G$9:$G$18,I356)*10+2,2000+INDEX(Eingabe!$G$9:$G$18,I356)*10+9))),""))</f>
        <v/>
      </c>
      <c r="C356" s="0" t="str">
        <f aca="false">IF(I356="","",IF(AND(J356&gt;=1,J356&lt;=K356+3),"10."&amp;INDEX(Eingabe!$D$9:$D$18,I356)&amp;"."&amp;IF(J356&lt;=K356,J356,IF(J356=K356+1,200,IF(J356=K356+2,201,250)))&amp;".0/24",""))</f>
        <v/>
      </c>
      <c r="D356" s="0" t="str">
        <f aca="false">IF(I356="","",IF(AND(J356&gt;=1,J356&lt;=K356+3),"255.255.255.0",""))</f>
        <v/>
      </c>
      <c r="E356" s="0" t="str">
        <f aca="false">IF(I356="","",IF(AND(J356&gt;=1,J356&lt;=K356+3),"10."&amp;INDEX(Eingabe!$D$9:$D$18,I356)&amp;"."&amp;IF(J356&lt;=K356,J356,IF(J356=K356+1,200,IF(J356=K356+2,201,250)))&amp;".1",""))</f>
        <v/>
      </c>
      <c r="F356" s="0" t="str">
        <f aca="false">IF(I356="","",IF(AND(J356&gt;=1,J356&lt;=K356+3),"10."&amp;INDEX(Eingabe!$D$9:$D$18,I356)&amp;"."&amp;IF(J356&lt;=K356,J356,IF(J356=K356+1,200,IF(J356=K356+2,201,250)))&amp;".10 – 10."&amp;INDEX(Eingabe!$D$9:$D$18,I356)&amp;"."&amp;IF(J356&lt;=K356,J356,IF(J356=K356+1,200,IF(J356=K356+2,201,250)))&amp;".250",""))</f>
        <v/>
      </c>
      <c r="G356" s="0" t="str">
        <f aca="false">IF(I356="","",IF(AND(J356&gt;=1,J356&lt;=K356),Eingabe!$B$6&amp;"-"&amp;INDEX(Eingabe!$C$9:$C$18,I356)&amp;"-Pächter  ·  Passwort Parzelle "&amp;J356,IF(J356=K356+1,Eingabe!$B$6&amp;"-"&amp;INDEX(Eingabe!$C$9:$C$18,I356)&amp;"-Vorstand  ·  eigenes WLAN",IF(J356=K356+2,Eingabe!$B$6&amp;"-"&amp;INDEX(Eingabe!$C$9:$C$18,I356)&amp;"-Gäste  ·  Voucher",IF(J356=K356+3,"Kabel  ·  Access Point y = .(50+y), Mast-Switch x = .(10+x)","")))))</f>
        <v/>
      </c>
      <c r="I356" s="0" t="str">
        <f aca="false">IF(351&lt;=(Eingabe!$P$18+Eingabe!$Q$18-1),MATCH(351,Eingabe!$P$9:$P$18,1),"")</f>
        <v/>
      </c>
      <c r="J356" s="0" t="str">
        <f aca="false">IF(I356="","",351-INDEX(Eingabe!$P$9:$P$18,I356))</f>
        <v/>
      </c>
      <c r="K356" s="0" t="str">
        <f aca="false">IF(I356="","",INDEX(Eingabe!$E$9:$E$18,I356))</f>
        <v/>
      </c>
    </row>
    <row r="357" customFormat="false" ht="15" hidden="false" customHeight="false" outlineLevel="0" collapsed="false">
      <c r="A357" s="0" t="str">
        <f aca="false">IF(I357="","",IF(J357=0,"Sparte "&amp;I357&amp;": "&amp;INDEX(Eingabe!$B$9:$B$18,I357)&amp;"  (Sparten-ID "&amp;INDEX(Eingabe!$D$9:$D$18,I357)&amp;", "&amp;K357&amp;" Parzellen)",IF(J357&lt;=K357,"   Parzelle "&amp;J357,IF(J357=K357+1,"   Vorstand",IF(J357=K357+2,"   Gäste",IF(J357=K357+3,"   Technik (Switches, Access Points)",""))))))</f>
        <v/>
      </c>
      <c r="B357" s="0" t="str">
        <f aca="false">IF(I357="","",IF(AND(J357&gt;=1,J357&lt;=K357+3),IF(J357&lt;=K357,IF(J357&lt;=99,IF((INDEX(Eingabe!$G$9:$G$18,I357))&lt;=9,1000+(INDEX(Eingabe!$G$9:$G$18,I357))*100,3000)+J357,IF((INDEX(Eingabe!$G$9:$G$18,I357)+1)&lt;=9,1000+(INDEX(Eingabe!$G$9:$G$18,I357)+1)*100,3000)+J357-100),IF(J357=K357+1,2000+INDEX(Eingabe!$G$9:$G$18,I357)*10+1,IF(J357=K357+2,2000+INDEX(Eingabe!$G$9:$G$18,I357)*10+2,2000+INDEX(Eingabe!$G$9:$G$18,I357)*10+9))),""))</f>
        <v/>
      </c>
      <c r="C357" s="0" t="str">
        <f aca="false">IF(I357="","",IF(AND(J357&gt;=1,J357&lt;=K357+3),"10."&amp;INDEX(Eingabe!$D$9:$D$18,I357)&amp;"."&amp;IF(J357&lt;=K357,J357,IF(J357=K357+1,200,IF(J357=K357+2,201,250)))&amp;".0/24",""))</f>
        <v/>
      </c>
      <c r="D357" s="0" t="str">
        <f aca="false">IF(I357="","",IF(AND(J357&gt;=1,J357&lt;=K357+3),"255.255.255.0",""))</f>
        <v/>
      </c>
      <c r="E357" s="0" t="str">
        <f aca="false">IF(I357="","",IF(AND(J357&gt;=1,J357&lt;=K357+3),"10."&amp;INDEX(Eingabe!$D$9:$D$18,I357)&amp;"."&amp;IF(J357&lt;=K357,J357,IF(J357=K357+1,200,IF(J357=K357+2,201,250)))&amp;".1",""))</f>
        <v/>
      </c>
      <c r="F357" s="0" t="str">
        <f aca="false">IF(I357="","",IF(AND(J357&gt;=1,J357&lt;=K357+3),"10."&amp;INDEX(Eingabe!$D$9:$D$18,I357)&amp;"."&amp;IF(J357&lt;=K357,J357,IF(J357=K357+1,200,IF(J357=K357+2,201,250)))&amp;".10 – 10."&amp;INDEX(Eingabe!$D$9:$D$18,I357)&amp;"."&amp;IF(J357&lt;=K357,J357,IF(J357=K357+1,200,IF(J357=K357+2,201,250)))&amp;".250",""))</f>
        <v/>
      </c>
      <c r="G357" s="0" t="str">
        <f aca="false">IF(I357="","",IF(AND(J357&gt;=1,J357&lt;=K357),Eingabe!$B$6&amp;"-"&amp;INDEX(Eingabe!$C$9:$C$18,I357)&amp;"-Pächter  ·  Passwort Parzelle "&amp;J357,IF(J357=K357+1,Eingabe!$B$6&amp;"-"&amp;INDEX(Eingabe!$C$9:$C$18,I357)&amp;"-Vorstand  ·  eigenes WLAN",IF(J357=K357+2,Eingabe!$B$6&amp;"-"&amp;INDEX(Eingabe!$C$9:$C$18,I357)&amp;"-Gäste  ·  Voucher",IF(J357=K357+3,"Kabel  ·  Access Point y = .(50+y), Mast-Switch x = .(10+x)","")))))</f>
        <v/>
      </c>
      <c r="I357" s="0" t="str">
        <f aca="false">IF(352&lt;=(Eingabe!$P$18+Eingabe!$Q$18-1),MATCH(352,Eingabe!$P$9:$P$18,1),"")</f>
        <v/>
      </c>
      <c r="J357" s="0" t="str">
        <f aca="false">IF(I357="","",352-INDEX(Eingabe!$P$9:$P$18,I357))</f>
        <v/>
      </c>
      <c r="K357" s="0" t="str">
        <f aca="false">IF(I357="","",INDEX(Eingabe!$E$9:$E$18,I357))</f>
        <v/>
      </c>
    </row>
    <row r="358" customFormat="false" ht="15" hidden="false" customHeight="false" outlineLevel="0" collapsed="false">
      <c r="A358" s="0" t="str">
        <f aca="false">IF(I358="","",IF(J358=0,"Sparte "&amp;I358&amp;": "&amp;INDEX(Eingabe!$B$9:$B$18,I358)&amp;"  (Sparten-ID "&amp;INDEX(Eingabe!$D$9:$D$18,I358)&amp;", "&amp;K358&amp;" Parzellen)",IF(J358&lt;=K358,"   Parzelle "&amp;J358,IF(J358=K358+1,"   Vorstand",IF(J358=K358+2,"   Gäste",IF(J358=K358+3,"   Technik (Switches, Access Points)",""))))))</f>
        <v/>
      </c>
      <c r="B358" s="0" t="str">
        <f aca="false">IF(I358="","",IF(AND(J358&gt;=1,J358&lt;=K358+3),IF(J358&lt;=K358,IF(J358&lt;=99,IF((INDEX(Eingabe!$G$9:$G$18,I358))&lt;=9,1000+(INDEX(Eingabe!$G$9:$G$18,I358))*100,3000)+J358,IF((INDEX(Eingabe!$G$9:$G$18,I358)+1)&lt;=9,1000+(INDEX(Eingabe!$G$9:$G$18,I358)+1)*100,3000)+J358-100),IF(J358=K358+1,2000+INDEX(Eingabe!$G$9:$G$18,I358)*10+1,IF(J358=K358+2,2000+INDEX(Eingabe!$G$9:$G$18,I358)*10+2,2000+INDEX(Eingabe!$G$9:$G$18,I358)*10+9))),""))</f>
        <v/>
      </c>
      <c r="C358" s="0" t="str">
        <f aca="false">IF(I358="","",IF(AND(J358&gt;=1,J358&lt;=K358+3),"10."&amp;INDEX(Eingabe!$D$9:$D$18,I358)&amp;"."&amp;IF(J358&lt;=K358,J358,IF(J358=K358+1,200,IF(J358=K358+2,201,250)))&amp;".0/24",""))</f>
        <v/>
      </c>
      <c r="D358" s="0" t="str">
        <f aca="false">IF(I358="","",IF(AND(J358&gt;=1,J358&lt;=K358+3),"255.255.255.0",""))</f>
        <v/>
      </c>
      <c r="E358" s="0" t="str">
        <f aca="false">IF(I358="","",IF(AND(J358&gt;=1,J358&lt;=K358+3),"10."&amp;INDEX(Eingabe!$D$9:$D$18,I358)&amp;"."&amp;IF(J358&lt;=K358,J358,IF(J358=K358+1,200,IF(J358=K358+2,201,250)))&amp;".1",""))</f>
        <v/>
      </c>
      <c r="F358" s="0" t="str">
        <f aca="false">IF(I358="","",IF(AND(J358&gt;=1,J358&lt;=K358+3),"10."&amp;INDEX(Eingabe!$D$9:$D$18,I358)&amp;"."&amp;IF(J358&lt;=K358,J358,IF(J358=K358+1,200,IF(J358=K358+2,201,250)))&amp;".10 – 10."&amp;INDEX(Eingabe!$D$9:$D$18,I358)&amp;"."&amp;IF(J358&lt;=K358,J358,IF(J358=K358+1,200,IF(J358=K358+2,201,250)))&amp;".250",""))</f>
        <v/>
      </c>
      <c r="G358" s="0" t="str">
        <f aca="false">IF(I358="","",IF(AND(J358&gt;=1,J358&lt;=K358),Eingabe!$B$6&amp;"-"&amp;INDEX(Eingabe!$C$9:$C$18,I358)&amp;"-Pächter  ·  Passwort Parzelle "&amp;J358,IF(J358=K358+1,Eingabe!$B$6&amp;"-"&amp;INDEX(Eingabe!$C$9:$C$18,I358)&amp;"-Vorstand  ·  eigenes WLAN",IF(J358=K358+2,Eingabe!$B$6&amp;"-"&amp;INDEX(Eingabe!$C$9:$C$18,I358)&amp;"-Gäste  ·  Voucher",IF(J358=K358+3,"Kabel  ·  Access Point y = .(50+y), Mast-Switch x = .(10+x)","")))))</f>
        <v/>
      </c>
      <c r="I358" s="0" t="str">
        <f aca="false">IF(353&lt;=(Eingabe!$P$18+Eingabe!$Q$18-1),MATCH(353,Eingabe!$P$9:$P$18,1),"")</f>
        <v/>
      </c>
      <c r="J358" s="0" t="str">
        <f aca="false">IF(I358="","",353-INDEX(Eingabe!$P$9:$P$18,I358))</f>
        <v/>
      </c>
      <c r="K358" s="0" t="str">
        <f aca="false">IF(I358="","",INDEX(Eingabe!$E$9:$E$18,I358))</f>
        <v/>
      </c>
    </row>
    <row r="359" customFormat="false" ht="15" hidden="false" customHeight="false" outlineLevel="0" collapsed="false">
      <c r="A359" s="0" t="str">
        <f aca="false">IF(I359="","",IF(J359=0,"Sparte "&amp;I359&amp;": "&amp;INDEX(Eingabe!$B$9:$B$18,I359)&amp;"  (Sparten-ID "&amp;INDEX(Eingabe!$D$9:$D$18,I359)&amp;", "&amp;K359&amp;" Parzellen)",IF(J359&lt;=K359,"   Parzelle "&amp;J359,IF(J359=K359+1,"   Vorstand",IF(J359=K359+2,"   Gäste",IF(J359=K359+3,"   Technik (Switches, Access Points)",""))))))</f>
        <v/>
      </c>
      <c r="B359" s="0" t="str">
        <f aca="false">IF(I359="","",IF(AND(J359&gt;=1,J359&lt;=K359+3),IF(J359&lt;=K359,IF(J359&lt;=99,IF((INDEX(Eingabe!$G$9:$G$18,I359))&lt;=9,1000+(INDEX(Eingabe!$G$9:$G$18,I359))*100,3000)+J359,IF((INDEX(Eingabe!$G$9:$G$18,I359)+1)&lt;=9,1000+(INDEX(Eingabe!$G$9:$G$18,I359)+1)*100,3000)+J359-100),IF(J359=K359+1,2000+INDEX(Eingabe!$G$9:$G$18,I359)*10+1,IF(J359=K359+2,2000+INDEX(Eingabe!$G$9:$G$18,I359)*10+2,2000+INDEX(Eingabe!$G$9:$G$18,I359)*10+9))),""))</f>
        <v/>
      </c>
      <c r="C359" s="0" t="str">
        <f aca="false">IF(I359="","",IF(AND(J359&gt;=1,J359&lt;=K359+3),"10."&amp;INDEX(Eingabe!$D$9:$D$18,I359)&amp;"."&amp;IF(J359&lt;=K359,J359,IF(J359=K359+1,200,IF(J359=K359+2,201,250)))&amp;".0/24",""))</f>
        <v/>
      </c>
      <c r="D359" s="0" t="str">
        <f aca="false">IF(I359="","",IF(AND(J359&gt;=1,J359&lt;=K359+3),"255.255.255.0",""))</f>
        <v/>
      </c>
      <c r="E359" s="0" t="str">
        <f aca="false">IF(I359="","",IF(AND(J359&gt;=1,J359&lt;=K359+3),"10."&amp;INDEX(Eingabe!$D$9:$D$18,I359)&amp;"."&amp;IF(J359&lt;=K359,J359,IF(J359=K359+1,200,IF(J359=K359+2,201,250)))&amp;".1",""))</f>
        <v/>
      </c>
      <c r="F359" s="0" t="str">
        <f aca="false">IF(I359="","",IF(AND(J359&gt;=1,J359&lt;=K359+3),"10."&amp;INDEX(Eingabe!$D$9:$D$18,I359)&amp;"."&amp;IF(J359&lt;=K359,J359,IF(J359=K359+1,200,IF(J359=K359+2,201,250)))&amp;".10 – 10."&amp;INDEX(Eingabe!$D$9:$D$18,I359)&amp;"."&amp;IF(J359&lt;=K359,J359,IF(J359=K359+1,200,IF(J359=K359+2,201,250)))&amp;".250",""))</f>
        <v/>
      </c>
      <c r="G359" s="0" t="str">
        <f aca="false">IF(I359="","",IF(AND(J359&gt;=1,J359&lt;=K359),Eingabe!$B$6&amp;"-"&amp;INDEX(Eingabe!$C$9:$C$18,I359)&amp;"-Pächter  ·  Passwort Parzelle "&amp;J359,IF(J359=K359+1,Eingabe!$B$6&amp;"-"&amp;INDEX(Eingabe!$C$9:$C$18,I359)&amp;"-Vorstand  ·  eigenes WLAN",IF(J359=K359+2,Eingabe!$B$6&amp;"-"&amp;INDEX(Eingabe!$C$9:$C$18,I359)&amp;"-Gäste  ·  Voucher",IF(J359=K359+3,"Kabel  ·  Access Point y = .(50+y), Mast-Switch x = .(10+x)","")))))</f>
        <v/>
      </c>
      <c r="I359" s="0" t="str">
        <f aca="false">IF(354&lt;=(Eingabe!$P$18+Eingabe!$Q$18-1),MATCH(354,Eingabe!$P$9:$P$18,1),"")</f>
        <v/>
      </c>
      <c r="J359" s="0" t="str">
        <f aca="false">IF(I359="","",354-INDEX(Eingabe!$P$9:$P$18,I359))</f>
        <v/>
      </c>
      <c r="K359" s="0" t="str">
        <f aca="false">IF(I359="","",INDEX(Eingabe!$E$9:$E$18,I359))</f>
        <v/>
      </c>
    </row>
    <row r="360" customFormat="false" ht="15" hidden="false" customHeight="false" outlineLevel="0" collapsed="false">
      <c r="A360" s="0" t="str">
        <f aca="false">IF(I360="","",IF(J360=0,"Sparte "&amp;I360&amp;": "&amp;INDEX(Eingabe!$B$9:$B$18,I360)&amp;"  (Sparten-ID "&amp;INDEX(Eingabe!$D$9:$D$18,I360)&amp;", "&amp;K360&amp;" Parzellen)",IF(J360&lt;=K360,"   Parzelle "&amp;J360,IF(J360=K360+1,"   Vorstand",IF(J360=K360+2,"   Gäste",IF(J360=K360+3,"   Technik (Switches, Access Points)",""))))))</f>
        <v/>
      </c>
      <c r="B360" s="0" t="str">
        <f aca="false">IF(I360="","",IF(AND(J360&gt;=1,J360&lt;=K360+3),IF(J360&lt;=K360,IF(J360&lt;=99,IF((INDEX(Eingabe!$G$9:$G$18,I360))&lt;=9,1000+(INDEX(Eingabe!$G$9:$G$18,I360))*100,3000)+J360,IF((INDEX(Eingabe!$G$9:$G$18,I360)+1)&lt;=9,1000+(INDEX(Eingabe!$G$9:$G$18,I360)+1)*100,3000)+J360-100),IF(J360=K360+1,2000+INDEX(Eingabe!$G$9:$G$18,I360)*10+1,IF(J360=K360+2,2000+INDEX(Eingabe!$G$9:$G$18,I360)*10+2,2000+INDEX(Eingabe!$G$9:$G$18,I360)*10+9))),""))</f>
        <v/>
      </c>
      <c r="C360" s="0" t="str">
        <f aca="false">IF(I360="","",IF(AND(J360&gt;=1,J360&lt;=K360+3),"10."&amp;INDEX(Eingabe!$D$9:$D$18,I360)&amp;"."&amp;IF(J360&lt;=K360,J360,IF(J360=K360+1,200,IF(J360=K360+2,201,250)))&amp;".0/24",""))</f>
        <v/>
      </c>
      <c r="D360" s="0" t="str">
        <f aca="false">IF(I360="","",IF(AND(J360&gt;=1,J360&lt;=K360+3),"255.255.255.0",""))</f>
        <v/>
      </c>
      <c r="E360" s="0" t="str">
        <f aca="false">IF(I360="","",IF(AND(J360&gt;=1,J360&lt;=K360+3),"10."&amp;INDEX(Eingabe!$D$9:$D$18,I360)&amp;"."&amp;IF(J360&lt;=K360,J360,IF(J360=K360+1,200,IF(J360=K360+2,201,250)))&amp;".1",""))</f>
        <v/>
      </c>
      <c r="F360" s="0" t="str">
        <f aca="false">IF(I360="","",IF(AND(J360&gt;=1,J360&lt;=K360+3),"10."&amp;INDEX(Eingabe!$D$9:$D$18,I360)&amp;"."&amp;IF(J360&lt;=K360,J360,IF(J360=K360+1,200,IF(J360=K360+2,201,250)))&amp;".10 – 10."&amp;INDEX(Eingabe!$D$9:$D$18,I360)&amp;"."&amp;IF(J360&lt;=K360,J360,IF(J360=K360+1,200,IF(J360=K360+2,201,250)))&amp;".250",""))</f>
        <v/>
      </c>
      <c r="G360" s="0" t="str">
        <f aca="false">IF(I360="","",IF(AND(J360&gt;=1,J360&lt;=K360),Eingabe!$B$6&amp;"-"&amp;INDEX(Eingabe!$C$9:$C$18,I360)&amp;"-Pächter  ·  Passwort Parzelle "&amp;J360,IF(J360=K360+1,Eingabe!$B$6&amp;"-"&amp;INDEX(Eingabe!$C$9:$C$18,I360)&amp;"-Vorstand  ·  eigenes WLAN",IF(J360=K360+2,Eingabe!$B$6&amp;"-"&amp;INDEX(Eingabe!$C$9:$C$18,I360)&amp;"-Gäste  ·  Voucher",IF(J360=K360+3,"Kabel  ·  Access Point y = .(50+y), Mast-Switch x = .(10+x)","")))))</f>
        <v/>
      </c>
      <c r="I360" s="0" t="str">
        <f aca="false">IF(355&lt;=(Eingabe!$P$18+Eingabe!$Q$18-1),MATCH(355,Eingabe!$P$9:$P$18,1),"")</f>
        <v/>
      </c>
      <c r="J360" s="0" t="str">
        <f aca="false">IF(I360="","",355-INDEX(Eingabe!$P$9:$P$18,I360))</f>
        <v/>
      </c>
      <c r="K360" s="0" t="str">
        <f aca="false">IF(I360="","",INDEX(Eingabe!$E$9:$E$18,I360))</f>
        <v/>
      </c>
    </row>
    <row r="361" customFormat="false" ht="15" hidden="false" customHeight="false" outlineLevel="0" collapsed="false">
      <c r="A361" s="0" t="str">
        <f aca="false">IF(I361="","",IF(J361=0,"Sparte "&amp;I361&amp;": "&amp;INDEX(Eingabe!$B$9:$B$18,I361)&amp;"  (Sparten-ID "&amp;INDEX(Eingabe!$D$9:$D$18,I361)&amp;", "&amp;K361&amp;" Parzellen)",IF(J361&lt;=K361,"   Parzelle "&amp;J361,IF(J361=K361+1,"   Vorstand",IF(J361=K361+2,"   Gäste",IF(J361=K361+3,"   Technik (Switches, Access Points)",""))))))</f>
        <v/>
      </c>
      <c r="B361" s="0" t="str">
        <f aca="false">IF(I361="","",IF(AND(J361&gt;=1,J361&lt;=K361+3),IF(J361&lt;=K361,IF(J361&lt;=99,IF((INDEX(Eingabe!$G$9:$G$18,I361))&lt;=9,1000+(INDEX(Eingabe!$G$9:$G$18,I361))*100,3000)+J361,IF((INDEX(Eingabe!$G$9:$G$18,I361)+1)&lt;=9,1000+(INDEX(Eingabe!$G$9:$G$18,I361)+1)*100,3000)+J361-100),IF(J361=K361+1,2000+INDEX(Eingabe!$G$9:$G$18,I361)*10+1,IF(J361=K361+2,2000+INDEX(Eingabe!$G$9:$G$18,I361)*10+2,2000+INDEX(Eingabe!$G$9:$G$18,I361)*10+9))),""))</f>
        <v/>
      </c>
      <c r="C361" s="0" t="str">
        <f aca="false">IF(I361="","",IF(AND(J361&gt;=1,J361&lt;=K361+3),"10."&amp;INDEX(Eingabe!$D$9:$D$18,I361)&amp;"."&amp;IF(J361&lt;=K361,J361,IF(J361=K361+1,200,IF(J361=K361+2,201,250)))&amp;".0/24",""))</f>
        <v/>
      </c>
      <c r="D361" s="0" t="str">
        <f aca="false">IF(I361="","",IF(AND(J361&gt;=1,J361&lt;=K361+3),"255.255.255.0",""))</f>
        <v/>
      </c>
      <c r="E361" s="0" t="str">
        <f aca="false">IF(I361="","",IF(AND(J361&gt;=1,J361&lt;=K361+3),"10."&amp;INDEX(Eingabe!$D$9:$D$18,I361)&amp;"."&amp;IF(J361&lt;=K361,J361,IF(J361=K361+1,200,IF(J361=K361+2,201,250)))&amp;".1",""))</f>
        <v/>
      </c>
      <c r="F361" s="0" t="str">
        <f aca="false">IF(I361="","",IF(AND(J361&gt;=1,J361&lt;=K361+3),"10."&amp;INDEX(Eingabe!$D$9:$D$18,I361)&amp;"."&amp;IF(J361&lt;=K361,J361,IF(J361=K361+1,200,IF(J361=K361+2,201,250)))&amp;".10 – 10."&amp;INDEX(Eingabe!$D$9:$D$18,I361)&amp;"."&amp;IF(J361&lt;=K361,J361,IF(J361=K361+1,200,IF(J361=K361+2,201,250)))&amp;".250",""))</f>
        <v/>
      </c>
      <c r="G361" s="0" t="str">
        <f aca="false">IF(I361="","",IF(AND(J361&gt;=1,J361&lt;=K361),Eingabe!$B$6&amp;"-"&amp;INDEX(Eingabe!$C$9:$C$18,I361)&amp;"-Pächter  ·  Passwort Parzelle "&amp;J361,IF(J361=K361+1,Eingabe!$B$6&amp;"-"&amp;INDEX(Eingabe!$C$9:$C$18,I361)&amp;"-Vorstand  ·  eigenes WLAN",IF(J361=K361+2,Eingabe!$B$6&amp;"-"&amp;INDEX(Eingabe!$C$9:$C$18,I361)&amp;"-Gäste  ·  Voucher",IF(J361=K361+3,"Kabel  ·  Access Point y = .(50+y), Mast-Switch x = .(10+x)","")))))</f>
        <v/>
      </c>
      <c r="I361" s="0" t="str">
        <f aca="false">IF(356&lt;=(Eingabe!$P$18+Eingabe!$Q$18-1),MATCH(356,Eingabe!$P$9:$P$18,1),"")</f>
        <v/>
      </c>
      <c r="J361" s="0" t="str">
        <f aca="false">IF(I361="","",356-INDEX(Eingabe!$P$9:$P$18,I361))</f>
        <v/>
      </c>
      <c r="K361" s="0" t="str">
        <f aca="false">IF(I361="","",INDEX(Eingabe!$E$9:$E$18,I361))</f>
        <v/>
      </c>
    </row>
    <row r="362" customFormat="false" ht="15" hidden="false" customHeight="false" outlineLevel="0" collapsed="false">
      <c r="A362" s="0" t="str">
        <f aca="false">IF(I362="","",IF(J362=0,"Sparte "&amp;I362&amp;": "&amp;INDEX(Eingabe!$B$9:$B$18,I362)&amp;"  (Sparten-ID "&amp;INDEX(Eingabe!$D$9:$D$18,I362)&amp;", "&amp;K362&amp;" Parzellen)",IF(J362&lt;=K362,"   Parzelle "&amp;J362,IF(J362=K362+1,"   Vorstand",IF(J362=K362+2,"   Gäste",IF(J362=K362+3,"   Technik (Switches, Access Points)",""))))))</f>
        <v/>
      </c>
      <c r="B362" s="0" t="str">
        <f aca="false">IF(I362="","",IF(AND(J362&gt;=1,J362&lt;=K362+3),IF(J362&lt;=K362,IF(J362&lt;=99,IF((INDEX(Eingabe!$G$9:$G$18,I362))&lt;=9,1000+(INDEX(Eingabe!$G$9:$G$18,I362))*100,3000)+J362,IF((INDEX(Eingabe!$G$9:$G$18,I362)+1)&lt;=9,1000+(INDEX(Eingabe!$G$9:$G$18,I362)+1)*100,3000)+J362-100),IF(J362=K362+1,2000+INDEX(Eingabe!$G$9:$G$18,I362)*10+1,IF(J362=K362+2,2000+INDEX(Eingabe!$G$9:$G$18,I362)*10+2,2000+INDEX(Eingabe!$G$9:$G$18,I362)*10+9))),""))</f>
        <v/>
      </c>
      <c r="C362" s="0" t="str">
        <f aca="false">IF(I362="","",IF(AND(J362&gt;=1,J362&lt;=K362+3),"10."&amp;INDEX(Eingabe!$D$9:$D$18,I362)&amp;"."&amp;IF(J362&lt;=K362,J362,IF(J362=K362+1,200,IF(J362=K362+2,201,250)))&amp;".0/24",""))</f>
        <v/>
      </c>
      <c r="D362" s="0" t="str">
        <f aca="false">IF(I362="","",IF(AND(J362&gt;=1,J362&lt;=K362+3),"255.255.255.0",""))</f>
        <v/>
      </c>
      <c r="E362" s="0" t="str">
        <f aca="false">IF(I362="","",IF(AND(J362&gt;=1,J362&lt;=K362+3),"10."&amp;INDEX(Eingabe!$D$9:$D$18,I362)&amp;"."&amp;IF(J362&lt;=K362,J362,IF(J362=K362+1,200,IF(J362=K362+2,201,250)))&amp;".1",""))</f>
        <v/>
      </c>
      <c r="F362" s="0" t="str">
        <f aca="false">IF(I362="","",IF(AND(J362&gt;=1,J362&lt;=K362+3),"10."&amp;INDEX(Eingabe!$D$9:$D$18,I362)&amp;"."&amp;IF(J362&lt;=K362,J362,IF(J362=K362+1,200,IF(J362=K362+2,201,250)))&amp;".10 – 10."&amp;INDEX(Eingabe!$D$9:$D$18,I362)&amp;"."&amp;IF(J362&lt;=K362,J362,IF(J362=K362+1,200,IF(J362=K362+2,201,250)))&amp;".250",""))</f>
        <v/>
      </c>
      <c r="G362" s="0" t="str">
        <f aca="false">IF(I362="","",IF(AND(J362&gt;=1,J362&lt;=K362),Eingabe!$B$6&amp;"-"&amp;INDEX(Eingabe!$C$9:$C$18,I362)&amp;"-Pächter  ·  Passwort Parzelle "&amp;J362,IF(J362=K362+1,Eingabe!$B$6&amp;"-"&amp;INDEX(Eingabe!$C$9:$C$18,I362)&amp;"-Vorstand  ·  eigenes WLAN",IF(J362=K362+2,Eingabe!$B$6&amp;"-"&amp;INDEX(Eingabe!$C$9:$C$18,I362)&amp;"-Gäste  ·  Voucher",IF(J362=K362+3,"Kabel  ·  Access Point y = .(50+y), Mast-Switch x = .(10+x)","")))))</f>
        <v/>
      </c>
      <c r="I362" s="0" t="str">
        <f aca="false">IF(357&lt;=(Eingabe!$P$18+Eingabe!$Q$18-1),MATCH(357,Eingabe!$P$9:$P$18,1),"")</f>
        <v/>
      </c>
      <c r="J362" s="0" t="str">
        <f aca="false">IF(I362="","",357-INDEX(Eingabe!$P$9:$P$18,I362))</f>
        <v/>
      </c>
      <c r="K362" s="0" t="str">
        <f aca="false">IF(I362="","",INDEX(Eingabe!$E$9:$E$18,I362))</f>
        <v/>
      </c>
    </row>
    <row r="363" customFormat="false" ht="15" hidden="false" customHeight="false" outlineLevel="0" collapsed="false">
      <c r="A363" s="0" t="str">
        <f aca="false">IF(I363="","",IF(J363=0,"Sparte "&amp;I363&amp;": "&amp;INDEX(Eingabe!$B$9:$B$18,I363)&amp;"  (Sparten-ID "&amp;INDEX(Eingabe!$D$9:$D$18,I363)&amp;", "&amp;K363&amp;" Parzellen)",IF(J363&lt;=K363,"   Parzelle "&amp;J363,IF(J363=K363+1,"   Vorstand",IF(J363=K363+2,"   Gäste",IF(J363=K363+3,"   Technik (Switches, Access Points)",""))))))</f>
        <v/>
      </c>
      <c r="B363" s="0" t="str">
        <f aca="false">IF(I363="","",IF(AND(J363&gt;=1,J363&lt;=K363+3),IF(J363&lt;=K363,IF(J363&lt;=99,IF((INDEX(Eingabe!$G$9:$G$18,I363))&lt;=9,1000+(INDEX(Eingabe!$G$9:$G$18,I363))*100,3000)+J363,IF((INDEX(Eingabe!$G$9:$G$18,I363)+1)&lt;=9,1000+(INDEX(Eingabe!$G$9:$G$18,I363)+1)*100,3000)+J363-100),IF(J363=K363+1,2000+INDEX(Eingabe!$G$9:$G$18,I363)*10+1,IF(J363=K363+2,2000+INDEX(Eingabe!$G$9:$G$18,I363)*10+2,2000+INDEX(Eingabe!$G$9:$G$18,I363)*10+9))),""))</f>
        <v/>
      </c>
      <c r="C363" s="0" t="str">
        <f aca="false">IF(I363="","",IF(AND(J363&gt;=1,J363&lt;=K363+3),"10."&amp;INDEX(Eingabe!$D$9:$D$18,I363)&amp;"."&amp;IF(J363&lt;=K363,J363,IF(J363=K363+1,200,IF(J363=K363+2,201,250)))&amp;".0/24",""))</f>
        <v/>
      </c>
      <c r="D363" s="0" t="str">
        <f aca="false">IF(I363="","",IF(AND(J363&gt;=1,J363&lt;=K363+3),"255.255.255.0",""))</f>
        <v/>
      </c>
      <c r="E363" s="0" t="str">
        <f aca="false">IF(I363="","",IF(AND(J363&gt;=1,J363&lt;=K363+3),"10."&amp;INDEX(Eingabe!$D$9:$D$18,I363)&amp;"."&amp;IF(J363&lt;=K363,J363,IF(J363=K363+1,200,IF(J363=K363+2,201,250)))&amp;".1",""))</f>
        <v/>
      </c>
      <c r="F363" s="0" t="str">
        <f aca="false">IF(I363="","",IF(AND(J363&gt;=1,J363&lt;=K363+3),"10."&amp;INDEX(Eingabe!$D$9:$D$18,I363)&amp;"."&amp;IF(J363&lt;=K363,J363,IF(J363=K363+1,200,IF(J363=K363+2,201,250)))&amp;".10 – 10."&amp;INDEX(Eingabe!$D$9:$D$18,I363)&amp;"."&amp;IF(J363&lt;=K363,J363,IF(J363=K363+1,200,IF(J363=K363+2,201,250)))&amp;".250",""))</f>
        <v/>
      </c>
      <c r="G363" s="0" t="str">
        <f aca="false">IF(I363="","",IF(AND(J363&gt;=1,J363&lt;=K363),Eingabe!$B$6&amp;"-"&amp;INDEX(Eingabe!$C$9:$C$18,I363)&amp;"-Pächter  ·  Passwort Parzelle "&amp;J363,IF(J363=K363+1,Eingabe!$B$6&amp;"-"&amp;INDEX(Eingabe!$C$9:$C$18,I363)&amp;"-Vorstand  ·  eigenes WLAN",IF(J363=K363+2,Eingabe!$B$6&amp;"-"&amp;INDEX(Eingabe!$C$9:$C$18,I363)&amp;"-Gäste  ·  Voucher",IF(J363=K363+3,"Kabel  ·  Access Point y = .(50+y), Mast-Switch x = .(10+x)","")))))</f>
        <v/>
      </c>
      <c r="I363" s="0" t="str">
        <f aca="false">IF(358&lt;=(Eingabe!$P$18+Eingabe!$Q$18-1),MATCH(358,Eingabe!$P$9:$P$18,1),"")</f>
        <v/>
      </c>
      <c r="J363" s="0" t="str">
        <f aca="false">IF(I363="","",358-INDEX(Eingabe!$P$9:$P$18,I363))</f>
        <v/>
      </c>
      <c r="K363" s="0" t="str">
        <f aca="false">IF(I363="","",INDEX(Eingabe!$E$9:$E$18,I363))</f>
        <v/>
      </c>
    </row>
    <row r="364" customFormat="false" ht="15" hidden="false" customHeight="false" outlineLevel="0" collapsed="false">
      <c r="A364" s="0" t="str">
        <f aca="false">IF(I364="","",IF(J364=0,"Sparte "&amp;I364&amp;": "&amp;INDEX(Eingabe!$B$9:$B$18,I364)&amp;"  (Sparten-ID "&amp;INDEX(Eingabe!$D$9:$D$18,I364)&amp;", "&amp;K364&amp;" Parzellen)",IF(J364&lt;=K364,"   Parzelle "&amp;J364,IF(J364=K364+1,"   Vorstand",IF(J364=K364+2,"   Gäste",IF(J364=K364+3,"   Technik (Switches, Access Points)",""))))))</f>
        <v/>
      </c>
      <c r="B364" s="0" t="str">
        <f aca="false">IF(I364="","",IF(AND(J364&gt;=1,J364&lt;=K364+3),IF(J364&lt;=K364,IF(J364&lt;=99,IF((INDEX(Eingabe!$G$9:$G$18,I364))&lt;=9,1000+(INDEX(Eingabe!$G$9:$G$18,I364))*100,3000)+J364,IF((INDEX(Eingabe!$G$9:$G$18,I364)+1)&lt;=9,1000+(INDEX(Eingabe!$G$9:$G$18,I364)+1)*100,3000)+J364-100),IF(J364=K364+1,2000+INDEX(Eingabe!$G$9:$G$18,I364)*10+1,IF(J364=K364+2,2000+INDEX(Eingabe!$G$9:$G$18,I364)*10+2,2000+INDEX(Eingabe!$G$9:$G$18,I364)*10+9))),""))</f>
        <v/>
      </c>
      <c r="C364" s="0" t="str">
        <f aca="false">IF(I364="","",IF(AND(J364&gt;=1,J364&lt;=K364+3),"10."&amp;INDEX(Eingabe!$D$9:$D$18,I364)&amp;"."&amp;IF(J364&lt;=K364,J364,IF(J364=K364+1,200,IF(J364=K364+2,201,250)))&amp;".0/24",""))</f>
        <v/>
      </c>
      <c r="D364" s="0" t="str">
        <f aca="false">IF(I364="","",IF(AND(J364&gt;=1,J364&lt;=K364+3),"255.255.255.0",""))</f>
        <v/>
      </c>
      <c r="E364" s="0" t="str">
        <f aca="false">IF(I364="","",IF(AND(J364&gt;=1,J364&lt;=K364+3),"10."&amp;INDEX(Eingabe!$D$9:$D$18,I364)&amp;"."&amp;IF(J364&lt;=K364,J364,IF(J364=K364+1,200,IF(J364=K364+2,201,250)))&amp;".1",""))</f>
        <v/>
      </c>
      <c r="F364" s="0" t="str">
        <f aca="false">IF(I364="","",IF(AND(J364&gt;=1,J364&lt;=K364+3),"10."&amp;INDEX(Eingabe!$D$9:$D$18,I364)&amp;"."&amp;IF(J364&lt;=K364,J364,IF(J364=K364+1,200,IF(J364=K364+2,201,250)))&amp;".10 – 10."&amp;INDEX(Eingabe!$D$9:$D$18,I364)&amp;"."&amp;IF(J364&lt;=K364,J364,IF(J364=K364+1,200,IF(J364=K364+2,201,250)))&amp;".250",""))</f>
        <v/>
      </c>
      <c r="G364" s="0" t="str">
        <f aca="false">IF(I364="","",IF(AND(J364&gt;=1,J364&lt;=K364),Eingabe!$B$6&amp;"-"&amp;INDEX(Eingabe!$C$9:$C$18,I364)&amp;"-Pächter  ·  Passwort Parzelle "&amp;J364,IF(J364=K364+1,Eingabe!$B$6&amp;"-"&amp;INDEX(Eingabe!$C$9:$C$18,I364)&amp;"-Vorstand  ·  eigenes WLAN",IF(J364=K364+2,Eingabe!$B$6&amp;"-"&amp;INDEX(Eingabe!$C$9:$C$18,I364)&amp;"-Gäste  ·  Voucher",IF(J364=K364+3,"Kabel  ·  Access Point y = .(50+y), Mast-Switch x = .(10+x)","")))))</f>
        <v/>
      </c>
      <c r="I364" s="0" t="str">
        <f aca="false">IF(359&lt;=(Eingabe!$P$18+Eingabe!$Q$18-1),MATCH(359,Eingabe!$P$9:$P$18,1),"")</f>
        <v/>
      </c>
      <c r="J364" s="0" t="str">
        <f aca="false">IF(I364="","",359-INDEX(Eingabe!$P$9:$P$18,I364))</f>
        <v/>
      </c>
      <c r="K364" s="0" t="str">
        <f aca="false">IF(I364="","",INDEX(Eingabe!$E$9:$E$18,I364))</f>
        <v/>
      </c>
    </row>
    <row r="365" customFormat="false" ht="15" hidden="false" customHeight="false" outlineLevel="0" collapsed="false">
      <c r="A365" s="0" t="str">
        <f aca="false">IF(I365="","",IF(J365=0,"Sparte "&amp;I365&amp;": "&amp;INDEX(Eingabe!$B$9:$B$18,I365)&amp;"  (Sparten-ID "&amp;INDEX(Eingabe!$D$9:$D$18,I365)&amp;", "&amp;K365&amp;" Parzellen)",IF(J365&lt;=K365,"   Parzelle "&amp;J365,IF(J365=K365+1,"   Vorstand",IF(J365=K365+2,"   Gäste",IF(J365=K365+3,"   Technik (Switches, Access Points)",""))))))</f>
        <v/>
      </c>
      <c r="B365" s="0" t="str">
        <f aca="false">IF(I365="","",IF(AND(J365&gt;=1,J365&lt;=K365+3),IF(J365&lt;=K365,IF(J365&lt;=99,IF((INDEX(Eingabe!$G$9:$G$18,I365))&lt;=9,1000+(INDEX(Eingabe!$G$9:$G$18,I365))*100,3000)+J365,IF((INDEX(Eingabe!$G$9:$G$18,I365)+1)&lt;=9,1000+(INDEX(Eingabe!$G$9:$G$18,I365)+1)*100,3000)+J365-100),IF(J365=K365+1,2000+INDEX(Eingabe!$G$9:$G$18,I365)*10+1,IF(J365=K365+2,2000+INDEX(Eingabe!$G$9:$G$18,I365)*10+2,2000+INDEX(Eingabe!$G$9:$G$18,I365)*10+9))),""))</f>
        <v/>
      </c>
      <c r="C365" s="0" t="str">
        <f aca="false">IF(I365="","",IF(AND(J365&gt;=1,J365&lt;=K365+3),"10."&amp;INDEX(Eingabe!$D$9:$D$18,I365)&amp;"."&amp;IF(J365&lt;=K365,J365,IF(J365=K365+1,200,IF(J365=K365+2,201,250)))&amp;".0/24",""))</f>
        <v/>
      </c>
      <c r="D365" s="0" t="str">
        <f aca="false">IF(I365="","",IF(AND(J365&gt;=1,J365&lt;=K365+3),"255.255.255.0",""))</f>
        <v/>
      </c>
      <c r="E365" s="0" t="str">
        <f aca="false">IF(I365="","",IF(AND(J365&gt;=1,J365&lt;=K365+3),"10."&amp;INDEX(Eingabe!$D$9:$D$18,I365)&amp;"."&amp;IF(J365&lt;=K365,J365,IF(J365=K365+1,200,IF(J365=K365+2,201,250)))&amp;".1",""))</f>
        <v/>
      </c>
      <c r="F365" s="0" t="str">
        <f aca="false">IF(I365="","",IF(AND(J365&gt;=1,J365&lt;=K365+3),"10."&amp;INDEX(Eingabe!$D$9:$D$18,I365)&amp;"."&amp;IF(J365&lt;=K365,J365,IF(J365=K365+1,200,IF(J365=K365+2,201,250)))&amp;".10 – 10."&amp;INDEX(Eingabe!$D$9:$D$18,I365)&amp;"."&amp;IF(J365&lt;=K365,J365,IF(J365=K365+1,200,IF(J365=K365+2,201,250)))&amp;".250",""))</f>
        <v/>
      </c>
      <c r="G365" s="0" t="str">
        <f aca="false">IF(I365="","",IF(AND(J365&gt;=1,J365&lt;=K365),Eingabe!$B$6&amp;"-"&amp;INDEX(Eingabe!$C$9:$C$18,I365)&amp;"-Pächter  ·  Passwort Parzelle "&amp;J365,IF(J365=K365+1,Eingabe!$B$6&amp;"-"&amp;INDEX(Eingabe!$C$9:$C$18,I365)&amp;"-Vorstand  ·  eigenes WLAN",IF(J365=K365+2,Eingabe!$B$6&amp;"-"&amp;INDEX(Eingabe!$C$9:$C$18,I365)&amp;"-Gäste  ·  Voucher",IF(J365=K365+3,"Kabel  ·  Access Point y = .(50+y), Mast-Switch x = .(10+x)","")))))</f>
        <v/>
      </c>
      <c r="I365" s="0" t="str">
        <f aca="false">IF(360&lt;=(Eingabe!$P$18+Eingabe!$Q$18-1),MATCH(360,Eingabe!$P$9:$P$18,1),"")</f>
        <v/>
      </c>
      <c r="J365" s="0" t="str">
        <f aca="false">IF(I365="","",360-INDEX(Eingabe!$P$9:$P$18,I365))</f>
        <v/>
      </c>
      <c r="K365" s="0" t="str">
        <f aca="false">IF(I365="","",INDEX(Eingabe!$E$9:$E$18,I365))</f>
        <v/>
      </c>
    </row>
    <row r="366" customFormat="false" ht="15" hidden="false" customHeight="false" outlineLevel="0" collapsed="false">
      <c r="A366" s="0" t="str">
        <f aca="false">IF(I366="","",IF(J366=0,"Sparte "&amp;I366&amp;": "&amp;INDEX(Eingabe!$B$9:$B$18,I366)&amp;"  (Sparten-ID "&amp;INDEX(Eingabe!$D$9:$D$18,I366)&amp;", "&amp;K366&amp;" Parzellen)",IF(J366&lt;=K366,"   Parzelle "&amp;J366,IF(J366=K366+1,"   Vorstand",IF(J366=K366+2,"   Gäste",IF(J366=K366+3,"   Technik (Switches, Access Points)",""))))))</f>
        <v/>
      </c>
      <c r="B366" s="0" t="str">
        <f aca="false">IF(I366="","",IF(AND(J366&gt;=1,J366&lt;=K366+3),IF(J366&lt;=K366,IF(J366&lt;=99,IF((INDEX(Eingabe!$G$9:$G$18,I366))&lt;=9,1000+(INDEX(Eingabe!$G$9:$G$18,I366))*100,3000)+J366,IF((INDEX(Eingabe!$G$9:$G$18,I366)+1)&lt;=9,1000+(INDEX(Eingabe!$G$9:$G$18,I366)+1)*100,3000)+J366-100),IF(J366=K366+1,2000+INDEX(Eingabe!$G$9:$G$18,I366)*10+1,IF(J366=K366+2,2000+INDEX(Eingabe!$G$9:$G$18,I366)*10+2,2000+INDEX(Eingabe!$G$9:$G$18,I366)*10+9))),""))</f>
        <v/>
      </c>
      <c r="C366" s="0" t="str">
        <f aca="false">IF(I366="","",IF(AND(J366&gt;=1,J366&lt;=K366+3),"10."&amp;INDEX(Eingabe!$D$9:$D$18,I366)&amp;"."&amp;IF(J366&lt;=K366,J366,IF(J366=K366+1,200,IF(J366=K366+2,201,250)))&amp;".0/24",""))</f>
        <v/>
      </c>
      <c r="D366" s="0" t="str">
        <f aca="false">IF(I366="","",IF(AND(J366&gt;=1,J366&lt;=K366+3),"255.255.255.0",""))</f>
        <v/>
      </c>
      <c r="E366" s="0" t="str">
        <f aca="false">IF(I366="","",IF(AND(J366&gt;=1,J366&lt;=K366+3),"10."&amp;INDEX(Eingabe!$D$9:$D$18,I366)&amp;"."&amp;IF(J366&lt;=K366,J366,IF(J366=K366+1,200,IF(J366=K366+2,201,250)))&amp;".1",""))</f>
        <v/>
      </c>
      <c r="F366" s="0" t="str">
        <f aca="false">IF(I366="","",IF(AND(J366&gt;=1,J366&lt;=K366+3),"10."&amp;INDEX(Eingabe!$D$9:$D$18,I366)&amp;"."&amp;IF(J366&lt;=K366,J366,IF(J366=K366+1,200,IF(J366=K366+2,201,250)))&amp;".10 – 10."&amp;INDEX(Eingabe!$D$9:$D$18,I366)&amp;"."&amp;IF(J366&lt;=K366,J366,IF(J366=K366+1,200,IF(J366=K366+2,201,250)))&amp;".250",""))</f>
        <v/>
      </c>
      <c r="G366" s="0" t="str">
        <f aca="false">IF(I366="","",IF(AND(J366&gt;=1,J366&lt;=K366),Eingabe!$B$6&amp;"-"&amp;INDEX(Eingabe!$C$9:$C$18,I366)&amp;"-Pächter  ·  Passwort Parzelle "&amp;J366,IF(J366=K366+1,Eingabe!$B$6&amp;"-"&amp;INDEX(Eingabe!$C$9:$C$18,I366)&amp;"-Vorstand  ·  eigenes WLAN",IF(J366=K366+2,Eingabe!$B$6&amp;"-"&amp;INDEX(Eingabe!$C$9:$C$18,I366)&amp;"-Gäste  ·  Voucher",IF(J366=K366+3,"Kabel  ·  Access Point y = .(50+y), Mast-Switch x = .(10+x)","")))))</f>
        <v/>
      </c>
      <c r="I366" s="0" t="str">
        <f aca="false">IF(361&lt;=(Eingabe!$P$18+Eingabe!$Q$18-1),MATCH(361,Eingabe!$P$9:$P$18,1),"")</f>
        <v/>
      </c>
      <c r="J366" s="0" t="str">
        <f aca="false">IF(I366="","",361-INDEX(Eingabe!$P$9:$P$18,I366))</f>
        <v/>
      </c>
      <c r="K366" s="0" t="str">
        <f aca="false">IF(I366="","",INDEX(Eingabe!$E$9:$E$18,I366))</f>
        <v/>
      </c>
    </row>
    <row r="367" customFormat="false" ht="15" hidden="false" customHeight="false" outlineLevel="0" collapsed="false">
      <c r="A367" s="0" t="str">
        <f aca="false">IF(I367="","",IF(J367=0,"Sparte "&amp;I367&amp;": "&amp;INDEX(Eingabe!$B$9:$B$18,I367)&amp;"  (Sparten-ID "&amp;INDEX(Eingabe!$D$9:$D$18,I367)&amp;", "&amp;K367&amp;" Parzellen)",IF(J367&lt;=K367,"   Parzelle "&amp;J367,IF(J367=K367+1,"   Vorstand",IF(J367=K367+2,"   Gäste",IF(J367=K367+3,"   Technik (Switches, Access Points)",""))))))</f>
        <v/>
      </c>
      <c r="B367" s="0" t="str">
        <f aca="false">IF(I367="","",IF(AND(J367&gt;=1,J367&lt;=K367+3),IF(J367&lt;=K367,IF(J367&lt;=99,IF((INDEX(Eingabe!$G$9:$G$18,I367))&lt;=9,1000+(INDEX(Eingabe!$G$9:$G$18,I367))*100,3000)+J367,IF((INDEX(Eingabe!$G$9:$G$18,I367)+1)&lt;=9,1000+(INDEX(Eingabe!$G$9:$G$18,I367)+1)*100,3000)+J367-100),IF(J367=K367+1,2000+INDEX(Eingabe!$G$9:$G$18,I367)*10+1,IF(J367=K367+2,2000+INDEX(Eingabe!$G$9:$G$18,I367)*10+2,2000+INDEX(Eingabe!$G$9:$G$18,I367)*10+9))),""))</f>
        <v/>
      </c>
      <c r="C367" s="0" t="str">
        <f aca="false">IF(I367="","",IF(AND(J367&gt;=1,J367&lt;=K367+3),"10."&amp;INDEX(Eingabe!$D$9:$D$18,I367)&amp;"."&amp;IF(J367&lt;=K367,J367,IF(J367=K367+1,200,IF(J367=K367+2,201,250)))&amp;".0/24",""))</f>
        <v/>
      </c>
      <c r="D367" s="0" t="str">
        <f aca="false">IF(I367="","",IF(AND(J367&gt;=1,J367&lt;=K367+3),"255.255.255.0",""))</f>
        <v/>
      </c>
      <c r="E367" s="0" t="str">
        <f aca="false">IF(I367="","",IF(AND(J367&gt;=1,J367&lt;=K367+3),"10."&amp;INDEX(Eingabe!$D$9:$D$18,I367)&amp;"."&amp;IF(J367&lt;=K367,J367,IF(J367=K367+1,200,IF(J367=K367+2,201,250)))&amp;".1",""))</f>
        <v/>
      </c>
      <c r="F367" s="0" t="str">
        <f aca="false">IF(I367="","",IF(AND(J367&gt;=1,J367&lt;=K367+3),"10."&amp;INDEX(Eingabe!$D$9:$D$18,I367)&amp;"."&amp;IF(J367&lt;=K367,J367,IF(J367=K367+1,200,IF(J367=K367+2,201,250)))&amp;".10 – 10."&amp;INDEX(Eingabe!$D$9:$D$18,I367)&amp;"."&amp;IF(J367&lt;=K367,J367,IF(J367=K367+1,200,IF(J367=K367+2,201,250)))&amp;".250",""))</f>
        <v/>
      </c>
      <c r="G367" s="0" t="str">
        <f aca="false">IF(I367="","",IF(AND(J367&gt;=1,J367&lt;=K367),Eingabe!$B$6&amp;"-"&amp;INDEX(Eingabe!$C$9:$C$18,I367)&amp;"-Pächter  ·  Passwort Parzelle "&amp;J367,IF(J367=K367+1,Eingabe!$B$6&amp;"-"&amp;INDEX(Eingabe!$C$9:$C$18,I367)&amp;"-Vorstand  ·  eigenes WLAN",IF(J367=K367+2,Eingabe!$B$6&amp;"-"&amp;INDEX(Eingabe!$C$9:$C$18,I367)&amp;"-Gäste  ·  Voucher",IF(J367=K367+3,"Kabel  ·  Access Point y = .(50+y), Mast-Switch x = .(10+x)","")))))</f>
        <v/>
      </c>
      <c r="I367" s="0" t="str">
        <f aca="false">IF(362&lt;=(Eingabe!$P$18+Eingabe!$Q$18-1),MATCH(362,Eingabe!$P$9:$P$18,1),"")</f>
        <v/>
      </c>
      <c r="J367" s="0" t="str">
        <f aca="false">IF(I367="","",362-INDEX(Eingabe!$P$9:$P$18,I367))</f>
        <v/>
      </c>
      <c r="K367" s="0" t="str">
        <f aca="false">IF(I367="","",INDEX(Eingabe!$E$9:$E$18,I367))</f>
        <v/>
      </c>
    </row>
    <row r="368" customFormat="false" ht="15" hidden="false" customHeight="false" outlineLevel="0" collapsed="false">
      <c r="A368" s="0" t="str">
        <f aca="false">IF(I368="","",IF(J368=0,"Sparte "&amp;I368&amp;": "&amp;INDEX(Eingabe!$B$9:$B$18,I368)&amp;"  (Sparten-ID "&amp;INDEX(Eingabe!$D$9:$D$18,I368)&amp;", "&amp;K368&amp;" Parzellen)",IF(J368&lt;=K368,"   Parzelle "&amp;J368,IF(J368=K368+1,"   Vorstand",IF(J368=K368+2,"   Gäste",IF(J368=K368+3,"   Technik (Switches, Access Points)",""))))))</f>
        <v/>
      </c>
      <c r="B368" s="0" t="str">
        <f aca="false">IF(I368="","",IF(AND(J368&gt;=1,J368&lt;=K368+3),IF(J368&lt;=K368,IF(J368&lt;=99,IF((INDEX(Eingabe!$G$9:$G$18,I368))&lt;=9,1000+(INDEX(Eingabe!$G$9:$G$18,I368))*100,3000)+J368,IF((INDEX(Eingabe!$G$9:$G$18,I368)+1)&lt;=9,1000+(INDEX(Eingabe!$G$9:$G$18,I368)+1)*100,3000)+J368-100),IF(J368=K368+1,2000+INDEX(Eingabe!$G$9:$G$18,I368)*10+1,IF(J368=K368+2,2000+INDEX(Eingabe!$G$9:$G$18,I368)*10+2,2000+INDEX(Eingabe!$G$9:$G$18,I368)*10+9))),""))</f>
        <v/>
      </c>
      <c r="C368" s="0" t="str">
        <f aca="false">IF(I368="","",IF(AND(J368&gt;=1,J368&lt;=K368+3),"10."&amp;INDEX(Eingabe!$D$9:$D$18,I368)&amp;"."&amp;IF(J368&lt;=K368,J368,IF(J368=K368+1,200,IF(J368=K368+2,201,250)))&amp;".0/24",""))</f>
        <v/>
      </c>
      <c r="D368" s="0" t="str">
        <f aca="false">IF(I368="","",IF(AND(J368&gt;=1,J368&lt;=K368+3),"255.255.255.0",""))</f>
        <v/>
      </c>
      <c r="E368" s="0" t="str">
        <f aca="false">IF(I368="","",IF(AND(J368&gt;=1,J368&lt;=K368+3),"10."&amp;INDEX(Eingabe!$D$9:$D$18,I368)&amp;"."&amp;IF(J368&lt;=K368,J368,IF(J368=K368+1,200,IF(J368=K368+2,201,250)))&amp;".1",""))</f>
        <v/>
      </c>
      <c r="F368" s="0" t="str">
        <f aca="false">IF(I368="","",IF(AND(J368&gt;=1,J368&lt;=K368+3),"10."&amp;INDEX(Eingabe!$D$9:$D$18,I368)&amp;"."&amp;IF(J368&lt;=K368,J368,IF(J368=K368+1,200,IF(J368=K368+2,201,250)))&amp;".10 – 10."&amp;INDEX(Eingabe!$D$9:$D$18,I368)&amp;"."&amp;IF(J368&lt;=K368,J368,IF(J368=K368+1,200,IF(J368=K368+2,201,250)))&amp;".250",""))</f>
        <v/>
      </c>
      <c r="G368" s="0" t="str">
        <f aca="false">IF(I368="","",IF(AND(J368&gt;=1,J368&lt;=K368),Eingabe!$B$6&amp;"-"&amp;INDEX(Eingabe!$C$9:$C$18,I368)&amp;"-Pächter  ·  Passwort Parzelle "&amp;J368,IF(J368=K368+1,Eingabe!$B$6&amp;"-"&amp;INDEX(Eingabe!$C$9:$C$18,I368)&amp;"-Vorstand  ·  eigenes WLAN",IF(J368=K368+2,Eingabe!$B$6&amp;"-"&amp;INDEX(Eingabe!$C$9:$C$18,I368)&amp;"-Gäste  ·  Voucher",IF(J368=K368+3,"Kabel  ·  Access Point y = .(50+y), Mast-Switch x = .(10+x)","")))))</f>
        <v/>
      </c>
      <c r="I368" s="0" t="str">
        <f aca="false">IF(363&lt;=(Eingabe!$P$18+Eingabe!$Q$18-1),MATCH(363,Eingabe!$P$9:$P$18,1),"")</f>
        <v/>
      </c>
      <c r="J368" s="0" t="str">
        <f aca="false">IF(I368="","",363-INDEX(Eingabe!$P$9:$P$18,I368))</f>
        <v/>
      </c>
      <c r="K368" s="0" t="str">
        <f aca="false">IF(I368="","",INDEX(Eingabe!$E$9:$E$18,I368))</f>
        <v/>
      </c>
    </row>
    <row r="369" customFormat="false" ht="15" hidden="false" customHeight="false" outlineLevel="0" collapsed="false">
      <c r="A369" s="0" t="str">
        <f aca="false">IF(I369="","",IF(J369=0,"Sparte "&amp;I369&amp;": "&amp;INDEX(Eingabe!$B$9:$B$18,I369)&amp;"  (Sparten-ID "&amp;INDEX(Eingabe!$D$9:$D$18,I369)&amp;", "&amp;K369&amp;" Parzellen)",IF(J369&lt;=K369,"   Parzelle "&amp;J369,IF(J369=K369+1,"   Vorstand",IF(J369=K369+2,"   Gäste",IF(J369=K369+3,"   Technik (Switches, Access Points)",""))))))</f>
        <v/>
      </c>
      <c r="B369" s="0" t="str">
        <f aca="false">IF(I369="","",IF(AND(J369&gt;=1,J369&lt;=K369+3),IF(J369&lt;=K369,IF(J369&lt;=99,IF((INDEX(Eingabe!$G$9:$G$18,I369))&lt;=9,1000+(INDEX(Eingabe!$G$9:$G$18,I369))*100,3000)+J369,IF((INDEX(Eingabe!$G$9:$G$18,I369)+1)&lt;=9,1000+(INDEX(Eingabe!$G$9:$G$18,I369)+1)*100,3000)+J369-100),IF(J369=K369+1,2000+INDEX(Eingabe!$G$9:$G$18,I369)*10+1,IF(J369=K369+2,2000+INDEX(Eingabe!$G$9:$G$18,I369)*10+2,2000+INDEX(Eingabe!$G$9:$G$18,I369)*10+9))),""))</f>
        <v/>
      </c>
      <c r="C369" s="0" t="str">
        <f aca="false">IF(I369="","",IF(AND(J369&gt;=1,J369&lt;=K369+3),"10."&amp;INDEX(Eingabe!$D$9:$D$18,I369)&amp;"."&amp;IF(J369&lt;=K369,J369,IF(J369=K369+1,200,IF(J369=K369+2,201,250)))&amp;".0/24",""))</f>
        <v/>
      </c>
      <c r="D369" s="0" t="str">
        <f aca="false">IF(I369="","",IF(AND(J369&gt;=1,J369&lt;=K369+3),"255.255.255.0",""))</f>
        <v/>
      </c>
      <c r="E369" s="0" t="str">
        <f aca="false">IF(I369="","",IF(AND(J369&gt;=1,J369&lt;=K369+3),"10."&amp;INDEX(Eingabe!$D$9:$D$18,I369)&amp;"."&amp;IF(J369&lt;=K369,J369,IF(J369=K369+1,200,IF(J369=K369+2,201,250)))&amp;".1",""))</f>
        <v/>
      </c>
      <c r="F369" s="0" t="str">
        <f aca="false">IF(I369="","",IF(AND(J369&gt;=1,J369&lt;=K369+3),"10."&amp;INDEX(Eingabe!$D$9:$D$18,I369)&amp;"."&amp;IF(J369&lt;=K369,J369,IF(J369=K369+1,200,IF(J369=K369+2,201,250)))&amp;".10 – 10."&amp;INDEX(Eingabe!$D$9:$D$18,I369)&amp;"."&amp;IF(J369&lt;=K369,J369,IF(J369=K369+1,200,IF(J369=K369+2,201,250)))&amp;".250",""))</f>
        <v/>
      </c>
      <c r="G369" s="0" t="str">
        <f aca="false">IF(I369="","",IF(AND(J369&gt;=1,J369&lt;=K369),Eingabe!$B$6&amp;"-"&amp;INDEX(Eingabe!$C$9:$C$18,I369)&amp;"-Pächter  ·  Passwort Parzelle "&amp;J369,IF(J369=K369+1,Eingabe!$B$6&amp;"-"&amp;INDEX(Eingabe!$C$9:$C$18,I369)&amp;"-Vorstand  ·  eigenes WLAN",IF(J369=K369+2,Eingabe!$B$6&amp;"-"&amp;INDEX(Eingabe!$C$9:$C$18,I369)&amp;"-Gäste  ·  Voucher",IF(J369=K369+3,"Kabel  ·  Access Point y = .(50+y), Mast-Switch x = .(10+x)","")))))</f>
        <v/>
      </c>
      <c r="I369" s="0" t="str">
        <f aca="false">IF(364&lt;=(Eingabe!$P$18+Eingabe!$Q$18-1),MATCH(364,Eingabe!$P$9:$P$18,1),"")</f>
        <v/>
      </c>
      <c r="J369" s="0" t="str">
        <f aca="false">IF(I369="","",364-INDEX(Eingabe!$P$9:$P$18,I369))</f>
        <v/>
      </c>
      <c r="K369" s="0" t="str">
        <f aca="false">IF(I369="","",INDEX(Eingabe!$E$9:$E$18,I369))</f>
        <v/>
      </c>
    </row>
    <row r="370" customFormat="false" ht="15" hidden="false" customHeight="false" outlineLevel="0" collapsed="false">
      <c r="A370" s="0" t="str">
        <f aca="false">IF(I370="","",IF(J370=0,"Sparte "&amp;I370&amp;": "&amp;INDEX(Eingabe!$B$9:$B$18,I370)&amp;"  (Sparten-ID "&amp;INDEX(Eingabe!$D$9:$D$18,I370)&amp;", "&amp;K370&amp;" Parzellen)",IF(J370&lt;=K370,"   Parzelle "&amp;J370,IF(J370=K370+1,"   Vorstand",IF(J370=K370+2,"   Gäste",IF(J370=K370+3,"   Technik (Switches, Access Points)",""))))))</f>
        <v/>
      </c>
      <c r="B370" s="0" t="str">
        <f aca="false">IF(I370="","",IF(AND(J370&gt;=1,J370&lt;=K370+3),IF(J370&lt;=K370,IF(J370&lt;=99,IF((INDEX(Eingabe!$G$9:$G$18,I370))&lt;=9,1000+(INDEX(Eingabe!$G$9:$G$18,I370))*100,3000)+J370,IF((INDEX(Eingabe!$G$9:$G$18,I370)+1)&lt;=9,1000+(INDEX(Eingabe!$G$9:$G$18,I370)+1)*100,3000)+J370-100),IF(J370=K370+1,2000+INDEX(Eingabe!$G$9:$G$18,I370)*10+1,IF(J370=K370+2,2000+INDEX(Eingabe!$G$9:$G$18,I370)*10+2,2000+INDEX(Eingabe!$G$9:$G$18,I370)*10+9))),""))</f>
        <v/>
      </c>
      <c r="C370" s="0" t="str">
        <f aca="false">IF(I370="","",IF(AND(J370&gt;=1,J370&lt;=K370+3),"10."&amp;INDEX(Eingabe!$D$9:$D$18,I370)&amp;"."&amp;IF(J370&lt;=K370,J370,IF(J370=K370+1,200,IF(J370=K370+2,201,250)))&amp;".0/24",""))</f>
        <v/>
      </c>
      <c r="D370" s="0" t="str">
        <f aca="false">IF(I370="","",IF(AND(J370&gt;=1,J370&lt;=K370+3),"255.255.255.0",""))</f>
        <v/>
      </c>
      <c r="E370" s="0" t="str">
        <f aca="false">IF(I370="","",IF(AND(J370&gt;=1,J370&lt;=K370+3),"10."&amp;INDEX(Eingabe!$D$9:$D$18,I370)&amp;"."&amp;IF(J370&lt;=K370,J370,IF(J370=K370+1,200,IF(J370=K370+2,201,250)))&amp;".1",""))</f>
        <v/>
      </c>
      <c r="F370" s="0" t="str">
        <f aca="false">IF(I370="","",IF(AND(J370&gt;=1,J370&lt;=K370+3),"10."&amp;INDEX(Eingabe!$D$9:$D$18,I370)&amp;"."&amp;IF(J370&lt;=K370,J370,IF(J370=K370+1,200,IF(J370=K370+2,201,250)))&amp;".10 – 10."&amp;INDEX(Eingabe!$D$9:$D$18,I370)&amp;"."&amp;IF(J370&lt;=K370,J370,IF(J370=K370+1,200,IF(J370=K370+2,201,250)))&amp;".250",""))</f>
        <v/>
      </c>
      <c r="G370" s="0" t="str">
        <f aca="false">IF(I370="","",IF(AND(J370&gt;=1,J370&lt;=K370),Eingabe!$B$6&amp;"-"&amp;INDEX(Eingabe!$C$9:$C$18,I370)&amp;"-Pächter  ·  Passwort Parzelle "&amp;J370,IF(J370=K370+1,Eingabe!$B$6&amp;"-"&amp;INDEX(Eingabe!$C$9:$C$18,I370)&amp;"-Vorstand  ·  eigenes WLAN",IF(J370=K370+2,Eingabe!$B$6&amp;"-"&amp;INDEX(Eingabe!$C$9:$C$18,I370)&amp;"-Gäste  ·  Voucher",IF(J370=K370+3,"Kabel  ·  Access Point y = .(50+y), Mast-Switch x = .(10+x)","")))))</f>
        <v/>
      </c>
      <c r="I370" s="0" t="str">
        <f aca="false">IF(365&lt;=(Eingabe!$P$18+Eingabe!$Q$18-1),MATCH(365,Eingabe!$P$9:$P$18,1),"")</f>
        <v/>
      </c>
      <c r="J370" s="0" t="str">
        <f aca="false">IF(I370="","",365-INDEX(Eingabe!$P$9:$P$18,I370))</f>
        <v/>
      </c>
      <c r="K370" s="0" t="str">
        <f aca="false">IF(I370="","",INDEX(Eingabe!$E$9:$E$18,I370))</f>
        <v/>
      </c>
    </row>
    <row r="371" customFormat="false" ht="15" hidden="false" customHeight="false" outlineLevel="0" collapsed="false">
      <c r="A371" s="0" t="str">
        <f aca="false">IF(I371="","",IF(J371=0,"Sparte "&amp;I371&amp;": "&amp;INDEX(Eingabe!$B$9:$B$18,I371)&amp;"  (Sparten-ID "&amp;INDEX(Eingabe!$D$9:$D$18,I371)&amp;", "&amp;K371&amp;" Parzellen)",IF(J371&lt;=K371,"   Parzelle "&amp;J371,IF(J371=K371+1,"   Vorstand",IF(J371=K371+2,"   Gäste",IF(J371=K371+3,"   Technik (Switches, Access Points)",""))))))</f>
        <v/>
      </c>
      <c r="B371" s="0" t="str">
        <f aca="false">IF(I371="","",IF(AND(J371&gt;=1,J371&lt;=K371+3),IF(J371&lt;=K371,IF(J371&lt;=99,IF((INDEX(Eingabe!$G$9:$G$18,I371))&lt;=9,1000+(INDEX(Eingabe!$G$9:$G$18,I371))*100,3000)+J371,IF((INDEX(Eingabe!$G$9:$G$18,I371)+1)&lt;=9,1000+(INDEX(Eingabe!$G$9:$G$18,I371)+1)*100,3000)+J371-100),IF(J371=K371+1,2000+INDEX(Eingabe!$G$9:$G$18,I371)*10+1,IF(J371=K371+2,2000+INDEX(Eingabe!$G$9:$G$18,I371)*10+2,2000+INDEX(Eingabe!$G$9:$G$18,I371)*10+9))),""))</f>
        <v/>
      </c>
      <c r="C371" s="0" t="str">
        <f aca="false">IF(I371="","",IF(AND(J371&gt;=1,J371&lt;=K371+3),"10."&amp;INDEX(Eingabe!$D$9:$D$18,I371)&amp;"."&amp;IF(J371&lt;=K371,J371,IF(J371=K371+1,200,IF(J371=K371+2,201,250)))&amp;".0/24",""))</f>
        <v/>
      </c>
      <c r="D371" s="0" t="str">
        <f aca="false">IF(I371="","",IF(AND(J371&gt;=1,J371&lt;=K371+3),"255.255.255.0",""))</f>
        <v/>
      </c>
      <c r="E371" s="0" t="str">
        <f aca="false">IF(I371="","",IF(AND(J371&gt;=1,J371&lt;=K371+3),"10."&amp;INDEX(Eingabe!$D$9:$D$18,I371)&amp;"."&amp;IF(J371&lt;=K371,J371,IF(J371=K371+1,200,IF(J371=K371+2,201,250)))&amp;".1",""))</f>
        <v/>
      </c>
      <c r="F371" s="0" t="str">
        <f aca="false">IF(I371="","",IF(AND(J371&gt;=1,J371&lt;=K371+3),"10."&amp;INDEX(Eingabe!$D$9:$D$18,I371)&amp;"."&amp;IF(J371&lt;=K371,J371,IF(J371=K371+1,200,IF(J371=K371+2,201,250)))&amp;".10 – 10."&amp;INDEX(Eingabe!$D$9:$D$18,I371)&amp;"."&amp;IF(J371&lt;=K371,J371,IF(J371=K371+1,200,IF(J371=K371+2,201,250)))&amp;".250",""))</f>
        <v/>
      </c>
      <c r="G371" s="0" t="str">
        <f aca="false">IF(I371="","",IF(AND(J371&gt;=1,J371&lt;=K371),Eingabe!$B$6&amp;"-"&amp;INDEX(Eingabe!$C$9:$C$18,I371)&amp;"-Pächter  ·  Passwort Parzelle "&amp;J371,IF(J371=K371+1,Eingabe!$B$6&amp;"-"&amp;INDEX(Eingabe!$C$9:$C$18,I371)&amp;"-Vorstand  ·  eigenes WLAN",IF(J371=K371+2,Eingabe!$B$6&amp;"-"&amp;INDEX(Eingabe!$C$9:$C$18,I371)&amp;"-Gäste  ·  Voucher",IF(J371=K371+3,"Kabel  ·  Access Point y = .(50+y), Mast-Switch x = .(10+x)","")))))</f>
        <v/>
      </c>
      <c r="I371" s="0" t="str">
        <f aca="false">IF(366&lt;=(Eingabe!$P$18+Eingabe!$Q$18-1),MATCH(366,Eingabe!$P$9:$P$18,1),"")</f>
        <v/>
      </c>
      <c r="J371" s="0" t="str">
        <f aca="false">IF(I371="","",366-INDEX(Eingabe!$P$9:$P$18,I371))</f>
        <v/>
      </c>
      <c r="K371" s="0" t="str">
        <f aca="false">IF(I371="","",INDEX(Eingabe!$E$9:$E$18,I371))</f>
        <v/>
      </c>
    </row>
    <row r="372" customFormat="false" ht="15" hidden="false" customHeight="false" outlineLevel="0" collapsed="false">
      <c r="A372" s="0" t="str">
        <f aca="false">IF(I372="","",IF(J372=0,"Sparte "&amp;I372&amp;": "&amp;INDEX(Eingabe!$B$9:$B$18,I372)&amp;"  (Sparten-ID "&amp;INDEX(Eingabe!$D$9:$D$18,I372)&amp;", "&amp;K372&amp;" Parzellen)",IF(J372&lt;=K372,"   Parzelle "&amp;J372,IF(J372=K372+1,"   Vorstand",IF(J372=K372+2,"   Gäste",IF(J372=K372+3,"   Technik (Switches, Access Points)",""))))))</f>
        <v/>
      </c>
      <c r="B372" s="0" t="str">
        <f aca="false">IF(I372="","",IF(AND(J372&gt;=1,J372&lt;=K372+3),IF(J372&lt;=K372,IF(J372&lt;=99,IF((INDEX(Eingabe!$G$9:$G$18,I372))&lt;=9,1000+(INDEX(Eingabe!$G$9:$G$18,I372))*100,3000)+J372,IF((INDEX(Eingabe!$G$9:$G$18,I372)+1)&lt;=9,1000+(INDEX(Eingabe!$G$9:$G$18,I372)+1)*100,3000)+J372-100),IF(J372=K372+1,2000+INDEX(Eingabe!$G$9:$G$18,I372)*10+1,IF(J372=K372+2,2000+INDEX(Eingabe!$G$9:$G$18,I372)*10+2,2000+INDEX(Eingabe!$G$9:$G$18,I372)*10+9))),""))</f>
        <v/>
      </c>
      <c r="C372" s="0" t="str">
        <f aca="false">IF(I372="","",IF(AND(J372&gt;=1,J372&lt;=K372+3),"10."&amp;INDEX(Eingabe!$D$9:$D$18,I372)&amp;"."&amp;IF(J372&lt;=K372,J372,IF(J372=K372+1,200,IF(J372=K372+2,201,250)))&amp;".0/24",""))</f>
        <v/>
      </c>
      <c r="D372" s="0" t="str">
        <f aca="false">IF(I372="","",IF(AND(J372&gt;=1,J372&lt;=K372+3),"255.255.255.0",""))</f>
        <v/>
      </c>
      <c r="E372" s="0" t="str">
        <f aca="false">IF(I372="","",IF(AND(J372&gt;=1,J372&lt;=K372+3),"10."&amp;INDEX(Eingabe!$D$9:$D$18,I372)&amp;"."&amp;IF(J372&lt;=K372,J372,IF(J372=K372+1,200,IF(J372=K372+2,201,250)))&amp;".1",""))</f>
        <v/>
      </c>
      <c r="F372" s="0" t="str">
        <f aca="false">IF(I372="","",IF(AND(J372&gt;=1,J372&lt;=K372+3),"10."&amp;INDEX(Eingabe!$D$9:$D$18,I372)&amp;"."&amp;IF(J372&lt;=K372,J372,IF(J372=K372+1,200,IF(J372=K372+2,201,250)))&amp;".10 – 10."&amp;INDEX(Eingabe!$D$9:$D$18,I372)&amp;"."&amp;IF(J372&lt;=K372,J372,IF(J372=K372+1,200,IF(J372=K372+2,201,250)))&amp;".250",""))</f>
        <v/>
      </c>
      <c r="G372" s="0" t="str">
        <f aca="false">IF(I372="","",IF(AND(J372&gt;=1,J372&lt;=K372),Eingabe!$B$6&amp;"-"&amp;INDEX(Eingabe!$C$9:$C$18,I372)&amp;"-Pächter  ·  Passwort Parzelle "&amp;J372,IF(J372=K372+1,Eingabe!$B$6&amp;"-"&amp;INDEX(Eingabe!$C$9:$C$18,I372)&amp;"-Vorstand  ·  eigenes WLAN",IF(J372=K372+2,Eingabe!$B$6&amp;"-"&amp;INDEX(Eingabe!$C$9:$C$18,I372)&amp;"-Gäste  ·  Voucher",IF(J372=K372+3,"Kabel  ·  Access Point y = .(50+y), Mast-Switch x = .(10+x)","")))))</f>
        <v/>
      </c>
      <c r="I372" s="0" t="str">
        <f aca="false">IF(367&lt;=(Eingabe!$P$18+Eingabe!$Q$18-1),MATCH(367,Eingabe!$P$9:$P$18,1),"")</f>
        <v/>
      </c>
      <c r="J372" s="0" t="str">
        <f aca="false">IF(I372="","",367-INDEX(Eingabe!$P$9:$P$18,I372))</f>
        <v/>
      </c>
      <c r="K372" s="0" t="str">
        <f aca="false">IF(I372="","",INDEX(Eingabe!$E$9:$E$18,I372))</f>
        <v/>
      </c>
    </row>
    <row r="373" customFormat="false" ht="15" hidden="false" customHeight="false" outlineLevel="0" collapsed="false">
      <c r="A373" s="0" t="str">
        <f aca="false">IF(I373="","",IF(J373=0,"Sparte "&amp;I373&amp;": "&amp;INDEX(Eingabe!$B$9:$B$18,I373)&amp;"  (Sparten-ID "&amp;INDEX(Eingabe!$D$9:$D$18,I373)&amp;", "&amp;K373&amp;" Parzellen)",IF(J373&lt;=K373,"   Parzelle "&amp;J373,IF(J373=K373+1,"   Vorstand",IF(J373=K373+2,"   Gäste",IF(J373=K373+3,"   Technik (Switches, Access Points)",""))))))</f>
        <v/>
      </c>
      <c r="B373" s="0" t="str">
        <f aca="false">IF(I373="","",IF(AND(J373&gt;=1,J373&lt;=K373+3),IF(J373&lt;=K373,IF(J373&lt;=99,IF((INDEX(Eingabe!$G$9:$G$18,I373))&lt;=9,1000+(INDEX(Eingabe!$G$9:$G$18,I373))*100,3000)+J373,IF((INDEX(Eingabe!$G$9:$G$18,I373)+1)&lt;=9,1000+(INDEX(Eingabe!$G$9:$G$18,I373)+1)*100,3000)+J373-100),IF(J373=K373+1,2000+INDEX(Eingabe!$G$9:$G$18,I373)*10+1,IF(J373=K373+2,2000+INDEX(Eingabe!$G$9:$G$18,I373)*10+2,2000+INDEX(Eingabe!$G$9:$G$18,I373)*10+9))),""))</f>
        <v/>
      </c>
      <c r="C373" s="0" t="str">
        <f aca="false">IF(I373="","",IF(AND(J373&gt;=1,J373&lt;=K373+3),"10."&amp;INDEX(Eingabe!$D$9:$D$18,I373)&amp;"."&amp;IF(J373&lt;=K373,J373,IF(J373=K373+1,200,IF(J373=K373+2,201,250)))&amp;".0/24",""))</f>
        <v/>
      </c>
      <c r="D373" s="0" t="str">
        <f aca="false">IF(I373="","",IF(AND(J373&gt;=1,J373&lt;=K373+3),"255.255.255.0",""))</f>
        <v/>
      </c>
      <c r="E373" s="0" t="str">
        <f aca="false">IF(I373="","",IF(AND(J373&gt;=1,J373&lt;=K373+3),"10."&amp;INDEX(Eingabe!$D$9:$D$18,I373)&amp;"."&amp;IF(J373&lt;=K373,J373,IF(J373=K373+1,200,IF(J373=K373+2,201,250)))&amp;".1",""))</f>
        <v/>
      </c>
      <c r="F373" s="0" t="str">
        <f aca="false">IF(I373="","",IF(AND(J373&gt;=1,J373&lt;=K373+3),"10."&amp;INDEX(Eingabe!$D$9:$D$18,I373)&amp;"."&amp;IF(J373&lt;=K373,J373,IF(J373=K373+1,200,IF(J373=K373+2,201,250)))&amp;".10 – 10."&amp;INDEX(Eingabe!$D$9:$D$18,I373)&amp;"."&amp;IF(J373&lt;=K373,J373,IF(J373=K373+1,200,IF(J373=K373+2,201,250)))&amp;".250",""))</f>
        <v/>
      </c>
      <c r="G373" s="0" t="str">
        <f aca="false">IF(I373="","",IF(AND(J373&gt;=1,J373&lt;=K373),Eingabe!$B$6&amp;"-"&amp;INDEX(Eingabe!$C$9:$C$18,I373)&amp;"-Pächter  ·  Passwort Parzelle "&amp;J373,IF(J373=K373+1,Eingabe!$B$6&amp;"-"&amp;INDEX(Eingabe!$C$9:$C$18,I373)&amp;"-Vorstand  ·  eigenes WLAN",IF(J373=K373+2,Eingabe!$B$6&amp;"-"&amp;INDEX(Eingabe!$C$9:$C$18,I373)&amp;"-Gäste  ·  Voucher",IF(J373=K373+3,"Kabel  ·  Access Point y = .(50+y), Mast-Switch x = .(10+x)","")))))</f>
        <v/>
      </c>
      <c r="I373" s="0" t="str">
        <f aca="false">IF(368&lt;=(Eingabe!$P$18+Eingabe!$Q$18-1),MATCH(368,Eingabe!$P$9:$P$18,1),"")</f>
        <v/>
      </c>
      <c r="J373" s="0" t="str">
        <f aca="false">IF(I373="","",368-INDEX(Eingabe!$P$9:$P$18,I373))</f>
        <v/>
      </c>
      <c r="K373" s="0" t="str">
        <f aca="false">IF(I373="","",INDEX(Eingabe!$E$9:$E$18,I373))</f>
        <v/>
      </c>
    </row>
    <row r="374" customFormat="false" ht="15" hidden="false" customHeight="false" outlineLevel="0" collapsed="false">
      <c r="A374" s="0" t="str">
        <f aca="false">IF(I374="","",IF(J374=0,"Sparte "&amp;I374&amp;": "&amp;INDEX(Eingabe!$B$9:$B$18,I374)&amp;"  (Sparten-ID "&amp;INDEX(Eingabe!$D$9:$D$18,I374)&amp;", "&amp;K374&amp;" Parzellen)",IF(J374&lt;=K374,"   Parzelle "&amp;J374,IF(J374=K374+1,"   Vorstand",IF(J374=K374+2,"   Gäste",IF(J374=K374+3,"   Technik (Switches, Access Points)",""))))))</f>
        <v/>
      </c>
      <c r="B374" s="0" t="str">
        <f aca="false">IF(I374="","",IF(AND(J374&gt;=1,J374&lt;=K374+3),IF(J374&lt;=K374,IF(J374&lt;=99,IF((INDEX(Eingabe!$G$9:$G$18,I374))&lt;=9,1000+(INDEX(Eingabe!$G$9:$G$18,I374))*100,3000)+J374,IF((INDEX(Eingabe!$G$9:$G$18,I374)+1)&lt;=9,1000+(INDEX(Eingabe!$G$9:$G$18,I374)+1)*100,3000)+J374-100),IF(J374=K374+1,2000+INDEX(Eingabe!$G$9:$G$18,I374)*10+1,IF(J374=K374+2,2000+INDEX(Eingabe!$G$9:$G$18,I374)*10+2,2000+INDEX(Eingabe!$G$9:$G$18,I374)*10+9))),""))</f>
        <v/>
      </c>
      <c r="C374" s="0" t="str">
        <f aca="false">IF(I374="","",IF(AND(J374&gt;=1,J374&lt;=K374+3),"10."&amp;INDEX(Eingabe!$D$9:$D$18,I374)&amp;"."&amp;IF(J374&lt;=K374,J374,IF(J374=K374+1,200,IF(J374=K374+2,201,250)))&amp;".0/24",""))</f>
        <v/>
      </c>
      <c r="D374" s="0" t="str">
        <f aca="false">IF(I374="","",IF(AND(J374&gt;=1,J374&lt;=K374+3),"255.255.255.0",""))</f>
        <v/>
      </c>
      <c r="E374" s="0" t="str">
        <f aca="false">IF(I374="","",IF(AND(J374&gt;=1,J374&lt;=K374+3),"10."&amp;INDEX(Eingabe!$D$9:$D$18,I374)&amp;"."&amp;IF(J374&lt;=K374,J374,IF(J374=K374+1,200,IF(J374=K374+2,201,250)))&amp;".1",""))</f>
        <v/>
      </c>
      <c r="F374" s="0" t="str">
        <f aca="false">IF(I374="","",IF(AND(J374&gt;=1,J374&lt;=K374+3),"10."&amp;INDEX(Eingabe!$D$9:$D$18,I374)&amp;"."&amp;IF(J374&lt;=K374,J374,IF(J374=K374+1,200,IF(J374=K374+2,201,250)))&amp;".10 – 10."&amp;INDEX(Eingabe!$D$9:$D$18,I374)&amp;"."&amp;IF(J374&lt;=K374,J374,IF(J374=K374+1,200,IF(J374=K374+2,201,250)))&amp;".250",""))</f>
        <v/>
      </c>
      <c r="G374" s="0" t="str">
        <f aca="false">IF(I374="","",IF(AND(J374&gt;=1,J374&lt;=K374),Eingabe!$B$6&amp;"-"&amp;INDEX(Eingabe!$C$9:$C$18,I374)&amp;"-Pächter  ·  Passwort Parzelle "&amp;J374,IF(J374=K374+1,Eingabe!$B$6&amp;"-"&amp;INDEX(Eingabe!$C$9:$C$18,I374)&amp;"-Vorstand  ·  eigenes WLAN",IF(J374=K374+2,Eingabe!$B$6&amp;"-"&amp;INDEX(Eingabe!$C$9:$C$18,I374)&amp;"-Gäste  ·  Voucher",IF(J374=K374+3,"Kabel  ·  Access Point y = .(50+y), Mast-Switch x = .(10+x)","")))))</f>
        <v/>
      </c>
      <c r="I374" s="0" t="str">
        <f aca="false">IF(369&lt;=(Eingabe!$P$18+Eingabe!$Q$18-1),MATCH(369,Eingabe!$P$9:$P$18,1),"")</f>
        <v/>
      </c>
      <c r="J374" s="0" t="str">
        <f aca="false">IF(I374="","",369-INDEX(Eingabe!$P$9:$P$18,I374))</f>
        <v/>
      </c>
      <c r="K374" s="0" t="str">
        <f aca="false">IF(I374="","",INDEX(Eingabe!$E$9:$E$18,I374))</f>
        <v/>
      </c>
    </row>
    <row r="375" customFormat="false" ht="15" hidden="false" customHeight="false" outlineLevel="0" collapsed="false">
      <c r="A375" s="0" t="str">
        <f aca="false">IF(I375="","",IF(J375=0,"Sparte "&amp;I375&amp;": "&amp;INDEX(Eingabe!$B$9:$B$18,I375)&amp;"  (Sparten-ID "&amp;INDEX(Eingabe!$D$9:$D$18,I375)&amp;", "&amp;K375&amp;" Parzellen)",IF(J375&lt;=K375,"   Parzelle "&amp;J375,IF(J375=K375+1,"   Vorstand",IF(J375=K375+2,"   Gäste",IF(J375=K375+3,"   Technik (Switches, Access Points)",""))))))</f>
        <v/>
      </c>
      <c r="B375" s="0" t="str">
        <f aca="false">IF(I375="","",IF(AND(J375&gt;=1,J375&lt;=K375+3),IF(J375&lt;=K375,IF(J375&lt;=99,IF((INDEX(Eingabe!$G$9:$G$18,I375))&lt;=9,1000+(INDEX(Eingabe!$G$9:$G$18,I375))*100,3000)+J375,IF((INDEX(Eingabe!$G$9:$G$18,I375)+1)&lt;=9,1000+(INDEX(Eingabe!$G$9:$G$18,I375)+1)*100,3000)+J375-100),IF(J375=K375+1,2000+INDEX(Eingabe!$G$9:$G$18,I375)*10+1,IF(J375=K375+2,2000+INDEX(Eingabe!$G$9:$G$18,I375)*10+2,2000+INDEX(Eingabe!$G$9:$G$18,I375)*10+9))),""))</f>
        <v/>
      </c>
      <c r="C375" s="0" t="str">
        <f aca="false">IF(I375="","",IF(AND(J375&gt;=1,J375&lt;=K375+3),"10."&amp;INDEX(Eingabe!$D$9:$D$18,I375)&amp;"."&amp;IF(J375&lt;=K375,J375,IF(J375=K375+1,200,IF(J375=K375+2,201,250)))&amp;".0/24",""))</f>
        <v/>
      </c>
      <c r="D375" s="0" t="str">
        <f aca="false">IF(I375="","",IF(AND(J375&gt;=1,J375&lt;=K375+3),"255.255.255.0",""))</f>
        <v/>
      </c>
      <c r="E375" s="0" t="str">
        <f aca="false">IF(I375="","",IF(AND(J375&gt;=1,J375&lt;=K375+3),"10."&amp;INDEX(Eingabe!$D$9:$D$18,I375)&amp;"."&amp;IF(J375&lt;=K375,J375,IF(J375=K375+1,200,IF(J375=K375+2,201,250)))&amp;".1",""))</f>
        <v/>
      </c>
      <c r="F375" s="0" t="str">
        <f aca="false">IF(I375="","",IF(AND(J375&gt;=1,J375&lt;=K375+3),"10."&amp;INDEX(Eingabe!$D$9:$D$18,I375)&amp;"."&amp;IF(J375&lt;=K375,J375,IF(J375=K375+1,200,IF(J375=K375+2,201,250)))&amp;".10 – 10."&amp;INDEX(Eingabe!$D$9:$D$18,I375)&amp;"."&amp;IF(J375&lt;=K375,J375,IF(J375=K375+1,200,IF(J375=K375+2,201,250)))&amp;".250",""))</f>
        <v/>
      </c>
      <c r="G375" s="0" t="str">
        <f aca="false">IF(I375="","",IF(AND(J375&gt;=1,J375&lt;=K375),Eingabe!$B$6&amp;"-"&amp;INDEX(Eingabe!$C$9:$C$18,I375)&amp;"-Pächter  ·  Passwort Parzelle "&amp;J375,IF(J375=K375+1,Eingabe!$B$6&amp;"-"&amp;INDEX(Eingabe!$C$9:$C$18,I375)&amp;"-Vorstand  ·  eigenes WLAN",IF(J375=K375+2,Eingabe!$B$6&amp;"-"&amp;INDEX(Eingabe!$C$9:$C$18,I375)&amp;"-Gäste  ·  Voucher",IF(J375=K375+3,"Kabel  ·  Access Point y = .(50+y), Mast-Switch x = .(10+x)","")))))</f>
        <v/>
      </c>
      <c r="I375" s="0" t="str">
        <f aca="false">IF(370&lt;=(Eingabe!$P$18+Eingabe!$Q$18-1),MATCH(370,Eingabe!$P$9:$P$18,1),"")</f>
        <v/>
      </c>
      <c r="J375" s="0" t="str">
        <f aca="false">IF(I375="","",370-INDEX(Eingabe!$P$9:$P$18,I375))</f>
        <v/>
      </c>
      <c r="K375" s="0" t="str">
        <f aca="false">IF(I375="","",INDEX(Eingabe!$E$9:$E$18,I375))</f>
        <v/>
      </c>
    </row>
    <row r="376" customFormat="false" ht="15" hidden="false" customHeight="false" outlineLevel="0" collapsed="false">
      <c r="A376" s="0" t="str">
        <f aca="false">IF(I376="","",IF(J376=0,"Sparte "&amp;I376&amp;": "&amp;INDEX(Eingabe!$B$9:$B$18,I376)&amp;"  (Sparten-ID "&amp;INDEX(Eingabe!$D$9:$D$18,I376)&amp;", "&amp;K376&amp;" Parzellen)",IF(J376&lt;=K376,"   Parzelle "&amp;J376,IF(J376=K376+1,"   Vorstand",IF(J376=K376+2,"   Gäste",IF(J376=K376+3,"   Technik (Switches, Access Points)",""))))))</f>
        <v/>
      </c>
      <c r="B376" s="0" t="str">
        <f aca="false">IF(I376="","",IF(AND(J376&gt;=1,J376&lt;=K376+3),IF(J376&lt;=K376,IF(J376&lt;=99,IF((INDEX(Eingabe!$G$9:$G$18,I376))&lt;=9,1000+(INDEX(Eingabe!$G$9:$G$18,I376))*100,3000)+J376,IF((INDEX(Eingabe!$G$9:$G$18,I376)+1)&lt;=9,1000+(INDEX(Eingabe!$G$9:$G$18,I376)+1)*100,3000)+J376-100),IF(J376=K376+1,2000+INDEX(Eingabe!$G$9:$G$18,I376)*10+1,IF(J376=K376+2,2000+INDEX(Eingabe!$G$9:$G$18,I376)*10+2,2000+INDEX(Eingabe!$G$9:$G$18,I376)*10+9))),""))</f>
        <v/>
      </c>
      <c r="C376" s="0" t="str">
        <f aca="false">IF(I376="","",IF(AND(J376&gt;=1,J376&lt;=K376+3),"10."&amp;INDEX(Eingabe!$D$9:$D$18,I376)&amp;"."&amp;IF(J376&lt;=K376,J376,IF(J376=K376+1,200,IF(J376=K376+2,201,250)))&amp;".0/24",""))</f>
        <v/>
      </c>
      <c r="D376" s="0" t="str">
        <f aca="false">IF(I376="","",IF(AND(J376&gt;=1,J376&lt;=K376+3),"255.255.255.0",""))</f>
        <v/>
      </c>
      <c r="E376" s="0" t="str">
        <f aca="false">IF(I376="","",IF(AND(J376&gt;=1,J376&lt;=K376+3),"10."&amp;INDEX(Eingabe!$D$9:$D$18,I376)&amp;"."&amp;IF(J376&lt;=K376,J376,IF(J376=K376+1,200,IF(J376=K376+2,201,250)))&amp;".1",""))</f>
        <v/>
      </c>
      <c r="F376" s="0" t="str">
        <f aca="false">IF(I376="","",IF(AND(J376&gt;=1,J376&lt;=K376+3),"10."&amp;INDEX(Eingabe!$D$9:$D$18,I376)&amp;"."&amp;IF(J376&lt;=K376,J376,IF(J376=K376+1,200,IF(J376=K376+2,201,250)))&amp;".10 – 10."&amp;INDEX(Eingabe!$D$9:$D$18,I376)&amp;"."&amp;IF(J376&lt;=K376,J376,IF(J376=K376+1,200,IF(J376=K376+2,201,250)))&amp;".250",""))</f>
        <v/>
      </c>
      <c r="G376" s="0" t="str">
        <f aca="false">IF(I376="","",IF(AND(J376&gt;=1,J376&lt;=K376),Eingabe!$B$6&amp;"-"&amp;INDEX(Eingabe!$C$9:$C$18,I376)&amp;"-Pächter  ·  Passwort Parzelle "&amp;J376,IF(J376=K376+1,Eingabe!$B$6&amp;"-"&amp;INDEX(Eingabe!$C$9:$C$18,I376)&amp;"-Vorstand  ·  eigenes WLAN",IF(J376=K376+2,Eingabe!$B$6&amp;"-"&amp;INDEX(Eingabe!$C$9:$C$18,I376)&amp;"-Gäste  ·  Voucher",IF(J376=K376+3,"Kabel  ·  Access Point y = .(50+y), Mast-Switch x = .(10+x)","")))))</f>
        <v/>
      </c>
      <c r="I376" s="0" t="str">
        <f aca="false">IF(371&lt;=(Eingabe!$P$18+Eingabe!$Q$18-1),MATCH(371,Eingabe!$P$9:$P$18,1),"")</f>
        <v/>
      </c>
      <c r="J376" s="0" t="str">
        <f aca="false">IF(I376="","",371-INDEX(Eingabe!$P$9:$P$18,I376))</f>
        <v/>
      </c>
      <c r="K376" s="0" t="str">
        <f aca="false">IF(I376="","",INDEX(Eingabe!$E$9:$E$18,I376))</f>
        <v/>
      </c>
    </row>
    <row r="377" customFormat="false" ht="15" hidden="false" customHeight="false" outlineLevel="0" collapsed="false">
      <c r="A377" s="0" t="str">
        <f aca="false">IF(I377="","",IF(J377=0,"Sparte "&amp;I377&amp;": "&amp;INDEX(Eingabe!$B$9:$B$18,I377)&amp;"  (Sparten-ID "&amp;INDEX(Eingabe!$D$9:$D$18,I377)&amp;", "&amp;K377&amp;" Parzellen)",IF(J377&lt;=K377,"   Parzelle "&amp;J377,IF(J377=K377+1,"   Vorstand",IF(J377=K377+2,"   Gäste",IF(J377=K377+3,"   Technik (Switches, Access Points)",""))))))</f>
        <v/>
      </c>
      <c r="B377" s="0" t="str">
        <f aca="false">IF(I377="","",IF(AND(J377&gt;=1,J377&lt;=K377+3),IF(J377&lt;=K377,IF(J377&lt;=99,IF((INDEX(Eingabe!$G$9:$G$18,I377))&lt;=9,1000+(INDEX(Eingabe!$G$9:$G$18,I377))*100,3000)+J377,IF((INDEX(Eingabe!$G$9:$G$18,I377)+1)&lt;=9,1000+(INDEX(Eingabe!$G$9:$G$18,I377)+1)*100,3000)+J377-100),IF(J377=K377+1,2000+INDEX(Eingabe!$G$9:$G$18,I377)*10+1,IF(J377=K377+2,2000+INDEX(Eingabe!$G$9:$G$18,I377)*10+2,2000+INDEX(Eingabe!$G$9:$G$18,I377)*10+9))),""))</f>
        <v/>
      </c>
      <c r="C377" s="0" t="str">
        <f aca="false">IF(I377="","",IF(AND(J377&gt;=1,J377&lt;=K377+3),"10."&amp;INDEX(Eingabe!$D$9:$D$18,I377)&amp;"."&amp;IF(J377&lt;=K377,J377,IF(J377=K377+1,200,IF(J377=K377+2,201,250)))&amp;".0/24",""))</f>
        <v/>
      </c>
      <c r="D377" s="0" t="str">
        <f aca="false">IF(I377="","",IF(AND(J377&gt;=1,J377&lt;=K377+3),"255.255.255.0",""))</f>
        <v/>
      </c>
      <c r="E377" s="0" t="str">
        <f aca="false">IF(I377="","",IF(AND(J377&gt;=1,J377&lt;=K377+3),"10."&amp;INDEX(Eingabe!$D$9:$D$18,I377)&amp;"."&amp;IF(J377&lt;=K377,J377,IF(J377=K377+1,200,IF(J377=K377+2,201,250)))&amp;".1",""))</f>
        <v/>
      </c>
      <c r="F377" s="0" t="str">
        <f aca="false">IF(I377="","",IF(AND(J377&gt;=1,J377&lt;=K377+3),"10."&amp;INDEX(Eingabe!$D$9:$D$18,I377)&amp;"."&amp;IF(J377&lt;=K377,J377,IF(J377=K377+1,200,IF(J377=K377+2,201,250)))&amp;".10 – 10."&amp;INDEX(Eingabe!$D$9:$D$18,I377)&amp;"."&amp;IF(J377&lt;=K377,J377,IF(J377=K377+1,200,IF(J377=K377+2,201,250)))&amp;".250",""))</f>
        <v/>
      </c>
      <c r="G377" s="0" t="str">
        <f aca="false">IF(I377="","",IF(AND(J377&gt;=1,J377&lt;=K377),Eingabe!$B$6&amp;"-"&amp;INDEX(Eingabe!$C$9:$C$18,I377)&amp;"-Pächter  ·  Passwort Parzelle "&amp;J377,IF(J377=K377+1,Eingabe!$B$6&amp;"-"&amp;INDEX(Eingabe!$C$9:$C$18,I377)&amp;"-Vorstand  ·  eigenes WLAN",IF(J377=K377+2,Eingabe!$B$6&amp;"-"&amp;INDEX(Eingabe!$C$9:$C$18,I377)&amp;"-Gäste  ·  Voucher",IF(J377=K377+3,"Kabel  ·  Access Point y = .(50+y), Mast-Switch x = .(10+x)","")))))</f>
        <v/>
      </c>
      <c r="I377" s="0" t="str">
        <f aca="false">IF(372&lt;=(Eingabe!$P$18+Eingabe!$Q$18-1),MATCH(372,Eingabe!$P$9:$P$18,1),"")</f>
        <v/>
      </c>
      <c r="J377" s="0" t="str">
        <f aca="false">IF(I377="","",372-INDEX(Eingabe!$P$9:$P$18,I377))</f>
        <v/>
      </c>
      <c r="K377" s="0" t="str">
        <f aca="false">IF(I377="","",INDEX(Eingabe!$E$9:$E$18,I377))</f>
        <v/>
      </c>
    </row>
    <row r="378" customFormat="false" ht="15" hidden="false" customHeight="false" outlineLevel="0" collapsed="false">
      <c r="A378" s="0" t="str">
        <f aca="false">IF(I378="","",IF(J378=0,"Sparte "&amp;I378&amp;": "&amp;INDEX(Eingabe!$B$9:$B$18,I378)&amp;"  (Sparten-ID "&amp;INDEX(Eingabe!$D$9:$D$18,I378)&amp;", "&amp;K378&amp;" Parzellen)",IF(J378&lt;=K378,"   Parzelle "&amp;J378,IF(J378=K378+1,"   Vorstand",IF(J378=K378+2,"   Gäste",IF(J378=K378+3,"   Technik (Switches, Access Points)",""))))))</f>
        <v/>
      </c>
      <c r="B378" s="0" t="str">
        <f aca="false">IF(I378="","",IF(AND(J378&gt;=1,J378&lt;=K378+3),IF(J378&lt;=K378,IF(J378&lt;=99,IF((INDEX(Eingabe!$G$9:$G$18,I378))&lt;=9,1000+(INDEX(Eingabe!$G$9:$G$18,I378))*100,3000)+J378,IF((INDEX(Eingabe!$G$9:$G$18,I378)+1)&lt;=9,1000+(INDEX(Eingabe!$G$9:$G$18,I378)+1)*100,3000)+J378-100),IF(J378=K378+1,2000+INDEX(Eingabe!$G$9:$G$18,I378)*10+1,IF(J378=K378+2,2000+INDEX(Eingabe!$G$9:$G$18,I378)*10+2,2000+INDEX(Eingabe!$G$9:$G$18,I378)*10+9))),""))</f>
        <v/>
      </c>
      <c r="C378" s="0" t="str">
        <f aca="false">IF(I378="","",IF(AND(J378&gt;=1,J378&lt;=K378+3),"10."&amp;INDEX(Eingabe!$D$9:$D$18,I378)&amp;"."&amp;IF(J378&lt;=K378,J378,IF(J378=K378+1,200,IF(J378=K378+2,201,250)))&amp;".0/24",""))</f>
        <v/>
      </c>
      <c r="D378" s="0" t="str">
        <f aca="false">IF(I378="","",IF(AND(J378&gt;=1,J378&lt;=K378+3),"255.255.255.0",""))</f>
        <v/>
      </c>
      <c r="E378" s="0" t="str">
        <f aca="false">IF(I378="","",IF(AND(J378&gt;=1,J378&lt;=K378+3),"10."&amp;INDEX(Eingabe!$D$9:$D$18,I378)&amp;"."&amp;IF(J378&lt;=K378,J378,IF(J378=K378+1,200,IF(J378=K378+2,201,250)))&amp;".1",""))</f>
        <v/>
      </c>
      <c r="F378" s="0" t="str">
        <f aca="false">IF(I378="","",IF(AND(J378&gt;=1,J378&lt;=K378+3),"10."&amp;INDEX(Eingabe!$D$9:$D$18,I378)&amp;"."&amp;IF(J378&lt;=K378,J378,IF(J378=K378+1,200,IF(J378=K378+2,201,250)))&amp;".10 – 10."&amp;INDEX(Eingabe!$D$9:$D$18,I378)&amp;"."&amp;IF(J378&lt;=K378,J378,IF(J378=K378+1,200,IF(J378=K378+2,201,250)))&amp;".250",""))</f>
        <v/>
      </c>
      <c r="G378" s="0" t="str">
        <f aca="false">IF(I378="","",IF(AND(J378&gt;=1,J378&lt;=K378),Eingabe!$B$6&amp;"-"&amp;INDEX(Eingabe!$C$9:$C$18,I378)&amp;"-Pächter  ·  Passwort Parzelle "&amp;J378,IF(J378=K378+1,Eingabe!$B$6&amp;"-"&amp;INDEX(Eingabe!$C$9:$C$18,I378)&amp;"-Vorstand  ·  eigenes WLAN",IF(J378=K378+2,Eingabe!$B$6&amp;"-"&amp;INDEX(Eingabe!$C$9:$C$18,I378)&amp;"-Gäste  ·  Voucher",IF(J378=K378+3,"Kabel  ·  Access Point y = .(50+y), Mast-Switch x = .(10+x)","")))))</f>
        <v/>
      </c>
      <c r="I378" s="0" t="str">
        <f aca="false">IF(373&lt;=(Eingabe!$P$18+Eingabe!$Q$18-1),MATCH(373,Eingabe!$P$9:$P$18,1),"")</f>
        <v/>
      </c>
      <c r="J378" s="0" t="str">
        <f aca="false">IF(I378="","",373-INDEX(Eingabe!$P$9:$P$18,I378))</f>
        <v/>
      </c>
      <c r="K378" s="0" t="str">
        <f aca="false">IF(I378="","",INDEX(Eingabe!$E$9:$E$18,I378))</f>
        <v/>
      </c>
    </row>
    <row r="379" customFormat="false" ht="15" hidden="false" customHeight="false" outlineLevel="0" collapsed="false">
      <c r="A379" s="0" t="str">
        <f aca="false">IF(I379="","",IF(J379=0,"Sparte "&amp;I379&amp;": "&amp;INDEX(Eingabe!$B$9:$B$18,I379)&amp;"  (Sparten-ID "&amp;INDEX(Eingabe!$D$9:$D$18,I379)&amp;", "&amp;K379&amp;" Parzellen)",IF(J379&lt;=K379,"   Parzelle "&amp;J379,IF(J379=K379+1,"   Vorstand",IF(J379=K379+2,"   Gäste",IF(J379=K379+3,"   Technik (Switches, Access Points)",""))))))</f>
        <v/>
      </c>
      <c r="B379" s="0" t="str">
        <f aca="false">IF(I379="","",IF(AND(J379&gt;=1,J379&lt;=K379+3),IF(J379&lt;=K379,IF(J379&lt;=99,IF((INDEX(Eingabe!$G$9:$G$18,I379))&lt;=9,1000+(INDEX(Eingabe!$G$9:$G$18,I379))*100,3000)+J379,IF((INDEX(Eingabe!$G$9:$G$18,I379)+1)&lt;=9,1000+(INDEX(Eingabe!$G$9:$G$18,I379)+1)*100,3000)+J379-100),IF(J379=K379+1,2000+INDEX(Eingabe!$G$9:$G$18,I379)*10+1,IF(J379=K379+2,2000+INDEX(Eingabe!$G$9:$G$18,I379)*10+2,2000+INDEX(Eingabe!$G$9:$G$18,I379)*10+9))),""))</f>
        <v/>
      </c>
      <c r="C379" s="0" t="str">
        <f aca="false">IF(I379="","",IF(AND(J379&gt;=1,J379&lt;=K379+3),"10."&amp;INDEX(Eingabe!$D$9:$D$18,I379)&amp;"."&amp;IF(J379&lt;=K379,J379,IF(J379=K379+1,200,IF(J379=K379+2,201,250)))&amp;".0/24",""))</f>
        <v/>
      </c>
      <c r="D379" s="0" t="str">
        <f aca="false">IF(I379="","",IF(AND(J379&gt;=1,J379&lt;=K379+3),"255.255.255.0",""))</f>
        <v/>
      </c>
      <c r="E379" s="0" t="str">
        <f aca="false">IF(I379="","",IF(AND(J379&gt;=1,J379&lt;=K379+3),"10."&amp;INDEX(Eingabe!$D$9:$D$18,I379)&amp;"."&amp;IF(J379&lt;=K379,J379,IF(J379=K379+1,200,IF(J379=K379+2,201,250)))&amp;".1",""))</f>
        <v/>
      </c>
      <c r="F379" s="0" t="str">
        <f aca="false">IF(I379="","",IF(AND(J379&gt;=1,J379&lt;=K379+3),"10."&amp;INDEX(Eingabe!$D$9:$D$18,I379)&amp;"."&amp;IF(J379&lt;=K379,J379,IF(J379=K379+1,200,IF(J379=K379+2,201,250)))&amp;".10 – 10."&amp;INDEX(Eingabe!$D$9:$D$18,I379)&amp;"."&amp;IF(J379&lt;=K379,J379,IF(J379=K379+1,200,IF(J379=K379+2,201,250)))&amp;".250",""))</f>
        <v/>
      </c>
      <c r="G379" s="0" t="str">
        <f aca="false">IF(I379="","",IF(AND(J379&gt;=1,J379&lt;=K379),Eingabe!$B$6&amp;"-"&amp;INDEX(Eingabe!$C$9:$C$18,I379)&amp;"-Pächter  ·  Passwort Parzelle "&amp;J379,IF(J379=K379+1,Eingabe!$B$6&amp;"-"&amp;INDEX(Eingabe!$C$9:$C$18,I379)&amp;"-Vorstand  ·  eigenes WLAN",IF(J379=K379+2,Eingabe!$B$6&amp;"-"&amp;INDEX(Eingabe!$C$9:$C$18,I379)&amp;"-Gäste  ·  Voucher",IF(J379=K379+3,"Kabel  ·  Access Point y = .(50+y), Mast-Switch x = .(10+x)","")))))</f>
        <v/>
      </c>
      <c r="I379" s="0" t="str">
        <f aca="false">IF(374&lt;=(Eingabe!$P$18+Eingabe!$Q$18-1),MATCH(374,Eingabe!$P$9:$P$18,1),"")</f>
        <v/>
      </c>
      <c r="J379" s="0" t="str">
        <f aca="false">IF(I379="","",374-INDEX(Eingabe!$P$9:$P$18,I379))</f>
        <v/>
      </c>
      <c r="K379" s="0" t="str">
        <f aca="false">IF(I379="","",INDEX(Eingabe!$E$9:$E$18,I379))</f>
        <v/>
      </c>
    </row>
    <row r="380" customFormat="false" ht="15" hidden="false" customHeight="false" outlineLevel="0" collapsed="false">
      <c r="A380" s="0" t="str">
        <f aca="false">IF(I380="","",IF(J380=0,"Sparte "&amp;I380&amp;": "&amp;INDEX(Eingabe!$B$9:$B$18,I380)&amp;"  (Sparten-ID "&amp;INDEX(Eingabe!$D$9:$D$18,I380)&amp;", "&amp;K380&amp;" Parzellen)",IF(J380&lt;=K380,"   Parzelle "&amp;J380,IF(J380=K380+1,"   Vorstand",IF(J380=K380+2,"   Gäste",IF(J380=K380+3,"   Technik (Switches, Access Points)",""))))))</f>
        <v/>
      </c>
      <c r="B380" s="0" t="str">
        <f aca="false">IF(I380="","",IF(AND(J380&gt;=1,J380&lt;=K380+3),IF(J380&lt;=K380,IF(J380&lt;=99,IF((INDEX(Eingabe!$G$9:$G$18,I380))&lt;=9,1000+(INDEX(Eingabe!$G$9:$G$18,I380))*100,3000)+J380,IF((INDEX(Eingabe!$G$9:$G$18,I380)+1)&lt;=9,1000+(INDEX(Eingabe!$G$9:$G$18,I380)+1)*100,3000)+J380-100),IF(J380=K380+1,2000+INDEX(Eingabe!$G$9:$G$18,I380)*10+1,IF(J380=K380+2,2000+INDEX(Eingabe!$G$9:$G$18,I380)*10+2,2000+INDEX(Eingabe!$G$9:$G$18,I380)*10+9))),""))</f>
        <v/>
      </c>
      <c r="C380" s="0" t="str">
        <f aca="false">IF(I380="","",IF(AND(J380&gt;=1,J380&lt;=K380+3),"10."&amp;INDEX(Eingabe!$D$9:$D$18,I380)&amp;"."&amp;IF(J380&lt;=K380,J380,IF(J380=K380+1,200,IF(J380=K380+2,201,250)))&amp;".0/24",""))</f>
        <v/>
      </c>
      <c r="D380" s="0" t="str">
        <f aca="false">IF(I380="","",IF(AND(J380&gt;=1,J380&lt;=K380+3),"255.255.255.0",""))</f>
        <v/>
      </c>
      <c r="E380" s="0" t="str">
        <f aca="false">IF(I380="","",IF(AND(J380&gt;=1,J380&lt;=K380+3),"10."&amp;INDEX(Eingabe!$D$9:$D$18,I380)&amp;"."&amp;IF(J380&lt;=K380,J380,IF(J380=K380+1,200,IF(J380=K380+2,201,250)))&amp;".1",""))</f>
        <v/>
      </c>
      <c r="F380" s="0" t="str">
        <f aca="false">IF(I380="","",IF(AND(J380&gt;=1,J380&lt;=K380+3),"10."&amp;INDEX(Eingabe!$D$9:$D$18,I380)&amp;"."&amp;IF(J380&lt;=K380,J380,IF(J380=K380+1,200,IF(J380=K380+2,201,250)))&amp;".10 – 10."&amp;INDEX(Eingabe!$D$9:$D$18,I380)&amp;"."&amp;IF(J380&lt;=K380,J380,IF(J380=K380+1,200,IF(J380=K380+2,201,250)))&amp;".250",""))</f>
        <v/>
      </c>
      <c r="G380" s="0" t="str">
        <f aca="false">IF(I380="","",IF(AND(J380&gt;=1,J380&lt;=K380),Eingabe!$B$6&amp;"-"&amp;INDEX(Eingabe!$C$9:$C$18,I380)&amp;"-Pächter  ·  Passwort Parzelle "&amp;J380,IF(J380=K380+1,Eingabe!$B$6&amp;"-"&amp;INDEX(Eingabe!$C$9:$C$18,I380)&amp;"-Vorstand  ·  eigenes WLAN",IF(J380=K380+2,Eingabe!$B$6&amp;"-"&amp;INDEX(Eingabe!$C$9:$C$18,I380)&amp;"-Gäste  ·  Voucher",IF(J380=K380+3,"Kabel  ·  Access Point y = .(50+y), Mast-Switch x = .(10+x)","")))))</f>
        <v/>
      </c>
      <c r="I380" s="0" t="str">
        <f aca="false">IF(375&lt;=(Eingabe!$P$18+Eingabe!$Q$18-1),MATCH(375,Eingabe!$P$9:$P$18,1),"")</f>
        <v/>
      </c>
      <c r="J380" s="0" t="str">
        <f aca="false">IF(I380="","",375-INDEX(Eingabe!$P$9:$P$18,I380))</f>
        <v/>
      </c>
      <c r="K380" s="0" t="str">
        <f aca="false">IF(I380="","",INDEX(Eingabe!$E$9:$E$18,I380))</f>
        <v/>
      </c>
    </row>
    <row r="381" customFormat="false" ht="15" hidden="false" customHeight="false" outlineLevel="0" collapsed="false">
      <c r="A381" s="0" t="str">
        <f aca="false">IF(I381="","",IF(J381=0,"Sparte "&amp;I381&amp;": "&amp;INDEX(Eingabe!$B$9:$B$18,I381)&amp;"  (Sparten-ID "&amp;INDEX(Eingabe!$D$9:$D$18,I381)&amp;", "&amp;K381&amp;" Parzellen)",IF(J381&lt;=K381,"   Parzelle "&amp;J381,IF(J381=K381+1,"   Vorstand",IF(J381=K381+2,"   Gäste",IF(J381=K381+3,"   Technik (Switches, Access Points)",""))))))</f>
        <v/>
      </c>
      <c r="B381" s="0" t="str">
        <f aca="false">IF(I381="","",IF(AND(J381&gt;=1,J381&lt;=K381+3),IF(J381&lt;=K381,IF(J381&lt;=99,IF((INDEX(Eingabe!$G$9:$G$18,I381))&lt;=9,1000+(INDEX(Eingabe!$G$9:$G$18,I381))*100,3000)+J381,IF((INDEX(Eingabe!$G$9:$G$18,I381)+1)&lt;=9,1000+(INDEX(Eingabe!$G$9:$G$18,I381)+1)*100,3000)+J381-100),IF(J381=K381+1,2000+INDEX(Eingabe!$G$9:$G$18,I381)*10+1,IF(J381=K381+2,2000+INDEX(Eingabe!$G$9:$G$18,I381)*10+2,2000+INDEX(Eingabe!$G$9:$G$18,I381)*10+9))),""))</f>
        <v/>
      </c>
      <c r="C381" s="0" t="str">
        <f aca="false">IF(I381="","",IF(AND(J381&gt;=1,J381&lt;=K381+3),"10."&amp;INDEX(Eingabe!$D$9:$D$18,I381)&amp;"."&amp;IF(J381&lt;=K381,J381,IF(J381=K381+1,200,IF(J381=K381+2,201,250)))&amp;".0/24",""))</f>
        <v/>
      </c>
      <c r="D381" s="0" t="str">
        <f aca="false">IF(I381="","",IF(AND(J381&gt;=1,J381&lt;=K381+3),"255.255.255.0",""))</f>
        <v/>
      </c>
      <c r="E381" s="0" t="str">
        <f aca="false">IF(I381="","",IF(AND(J381&gt;=1,J381&lt;=K381+3),"10."&amp;INDEX(Eingabe!$D$9:$D$18,I381)&amp;"."&amp;IF(J381&lt;=K381,J381,IF(J381=K381+1,200,IF(J381=K381+2,201,250)))&amp;".1",""))</f>
        <v/>
      </c>
      <c r="F381" s="0" t="str">
        <f aca="false">IF(I381="","",IF(AND(J381&gt;=1,J381&lt;=K381+3),"10."&amp;INDEX(Eingabe!$D$9:$D$18,I381)&amp;"."&amp;IF(J381&lt;=K381,J381,IF(J381=K381+1,200,IF(J381=K381+2,201,250)))&amp;".10 – 10."&amp;INDEX(Eingabe!$D$9:$D$18,I381)&amp;"."&amp;IF(J381&lt;=K381,J381,IF(J381=K381+1,200,IF(J381=K381+2,201,250)))&amp;".250",""))</f>
        <v/>
      </c>
      <c r="G381" s="0" t="str">
        <f aca="false">IF(I381="","",IF(AND(J381&gt;=1,J381&lt;=K381),Eingabe!$B$6&amp;"-"&amp;INDEX(Eingabe!$C$9:$C$18,I381)&amp;"-Pächter  ·  Passwort Parzelle "&amp;J381,IF(J381=K381+1,Eingabe!$B$6&amp;"-"&amp;INDEX(Eingabe!$C$9:$C$18,I381)&amp;"-Vorstand  ·  eigenes WLAN",IF(J381=K381+2,Eingabe!$B$6&amp;"-"&amp;INDEX(Eingabe!$C$9:$C$18,I381)&amp;"-Gäste  ·  Voucher",IF(J381=K381+3,"Kabel  ·  Access Point y = .(50+y), Mast-Switch x = .(10+x)","")))))</f>
        <v/>
      </c>
      <c r="I381" s="0" t="str">
        <f aca="false">IF(376&lt;=(Eingabe!$P$18+Eingabe!$Q$18-1),MATCH(376,Eingabe!$P$9:$P$18,1),"")</f>
        <v/>
      </c>
      <c r="J381" s="0" t="str">
        <f aca="false">IF(I381="","",376-INDEX(Eingabe!$P$9:$P$18,I381))</f>
        <v/>
      </c>
      <c r="K381" s="0" t="str">
        <f aca="false">IF(I381="","",INDEX(Eingabe!$E$9:$E$18,I381))</f>
        <v/>
      </c>
    </row>
    <row r="382" customFormat="false" ht="15" hidden="false" customHeight="false" outlineLevel="0" collapsed="false">
      <c r="A382" s="0" t="str">
        <f aca="false">IF(I382="","",IF(J382=0,"Sparte "&amp;I382&amp;": "&amp;INDEX(Eingabe!$B$9:$B$18,I382)&amp;"  (Sparten-ID "&amp;INDEX(Eingabe!$D$9:$D$18,I382)&amp;", "&amp;K382&amp;" Parzellen)",IF(J382&lt;=K382,"   Parzelle "&amp;J382,IF(J382=K382+1,"   Vorstand",IF(J382=K382+2,"   Gäste",IF(J382=K382+3,"   Technik (Switches, Access Points)",""))))))</f>
        <v/>
      </c>
      <c r="B382" s="0" t="str">
        <f aca="false">IF(I382="","",IF(AND(J382&gt;=1,J382&lt;=K382+3),IF(J382&lt;=K382,IF(J382&lt;=99,IF((INDEX(Eingabe!$G$9:$G$18,I382))&lt;=9,1000+(INDEX(Eingabe!$G$9:$G$18,I382))*100,3000)+J382,IF((INDEX(Eingabe!$G$9:$G$18,I382)+1)&lt;=9,1000+(INDEX(Eingabe!$G$9:$G$18,I382)+1)*100,3000)+J382-100),IF(J382=K382+1,2000+INDEX(Eingabe!$G$9:$G$18,I382)*10+1,IF(J382=K382+2,2000+INDEX(Eingabe!$G$9:$G$18,I382)*10+2,2000+INDEX(Eingabe!$G$9:$G$18,I382)*10+9))),""))</f>
        <v/>
      </c>
      <c r="C382" s="0" t="str">
        <f aca="false">IF(I382="","",IF(AND(J382&gt;=1,J382&lt;=K382+3),"10."&amp;INDEX(Eingabe!$D$9:$D$18,I382)&amp;"."&amp;IF(J382&lt;=K382,J382,IF(J382=K382+1,200,IF(J382=K382+2,201,250)))&amp;".0/24",""))</f>
        <v/>
      </c>
      <c r="D382" s="0" t="str">
        <f aca="false">IF(I382="","",IF(AND(J382&gt;=1,J382&lt;=K382+3),"255.255.255.0",""))</f>
        <v/>
      </c>
      <c r="E382" s="0" t="str">
        <f aca="false">IF(I382="","",IF(AND(J382&gt;=1,J382&lt;=K382+3),"10."&amp;INDEX(Eingabe!$D$9:$D$18,I382)&amp;"."&amp;IF(J382&lt;=K382,J382,IF(J382=K382+1,200,IF(J382=K382+2,201,250)))&amp;".1",""))</f>
        <v/>
      </c>
      <c r="F382" s="0" t="str">
        <f aca="false">IF(I382="","",IF(AND(J382&gt;=1,J382&lt;=K382+3),"10."&amp;INDEX(Eingabe!$D$9:$D$18,I382)&amp;"."&amp;IF(J382&lt;=K382,J382,IF(J382=K382+1,200,IF(J382=K382+2,201,250)))&amp;".10 – 10."&amp;INDEX(Eingabe!$D$9:$D$18,I382)&amp;"."&amp;IF(J382&lt;=K382,J382,IF(J382=K382+1,200,IF(J382=K382+2,201,250)))&amp;".250",""))</f>
        <v/>
      </c>
      <c r="G382" s="0" t="str">
        <f aca="false">IF(I382="","",IF(AND(J382&gt;=1,J382&lt;=K382),Eingabe!$B$6&amp;"-"&amp;INDEX(Eingabe!$C$9:$C$18,I382)&amp;"-Pächter  ·  Passwort Parzelle "&amp;J382,IF(J382=K382+1,Eingabe!$B$6&amp;"-"&amp;INDEX(Eingabe!$C$9:$C$18,I382)&amp;"-Vorstand  ·  eigenes WLAN",IF(J382=K382+2,Eingabe!$B$6&amp;"-"&amp;INDEX(Eingabe!$C$9:$C$18,I382)&amp;"-Gäste  ·  Voucher",IF(J382=K382+3,"Kabel  ·  Access Point y = .(50+y), Mast-Switch x = .(10+x)","")))))</f>
        <v/>
      </c>
      <c r="I382" s="0" t="str">
        <f aca="false">IF(377&lt;=(Eingabe!$P$18+Eingabe!$Q$18-1),MATCH(377,Eingabe!$P$9:$P$18,1),"")</f>
        <v/>
      </c>
      <c r="J382" s="0" t="str">
        <f aca="false">IF(I382="","",377-INDEX(Eingabe!$P$9:$P$18,I382))</f>
        <v/>
      </c>
      <c r="K382" s="0" t="str">
        <f aca="false">IF(I382="","",INDEX(Eingabe!$E$9:$E$18,I382))</f>
        <v/>
      </c>
    </row>
    <row r="383" customFormat="false" ht="15" hidden="false" customHeight="false" outlineLevel="0" collapsed="false">
      <c r="A383" s="0" t="str">
        <f aca="false">IF(I383="","",IF(J383=0,"Sparte "&amp;I383&amp;": "&amp;INDEX(Eingabe!$B$9:$B$18,I383)&amp;"  (Sparten-ID "&amp;INDEX(Eingabe!$D$9:$D$18,I383)&amp;", "&amp;K383&amp;" Parzellen)",IF(J383&lt;=K383,"   Parzelle "&amp;J383,IF(J383=K383+1,"   Vorstand",IF(J383=K383+2,"   Gäste",IF(J383=K383+3,"   Technik (Switches, Access Points)",""))))))</f>
        <v/>
      </c>
      <c r="B383" s="0" t="str">
        <f aca="false">IF(I383="","",IF(AND(J383&gt;=1,J383&lt;=K383+3),IF(J383&lt;=K383,IF(J383&lt;=99,IF((INDEX(Eingabe!$G$9:$G$18,I383))&lt;=9,1000+(INDEX(Eingabe!$G$9:$G$18,I383))*100,3000)+J383,IF((INDEX(Eingabe!$G$9:$G$18,I383)+1)&lt;=9,1000+(INDEX(Eingabe!$G$9:$G$18,I383)+1)*100,3000)+J383-100),IF(J383=K383+1,2000+INDEX(Eingabe!$G$9:$G$18,I383)*10+1,IF(J383=K383+2,2000+INDEX(Eingabe!$G$9:$G$18,I383)*10+2,2000+INDEX(Eingabe!$G$9:$G$18,I383)*10+9))),""))</f>
        <v/>
      </c>
      <c r="C383" s="0" t="str">
        <f aca="false">IF(I383="","",IF(AND(J383&gt;=1,J383&lt;=K383+3),"10."&amp;INDEX(Eingabe!$D$9:$D$18,I383)&amp;"."&amp;IF(J383&lt;=K383,J383,IF(J383=K383+1,200,IF(J383=K383+2,201,250)))&amp;".0/24",""))</f>
        <v/>
      </c>
      <c r="D383" s="0" t="str">
        <f aca="false">IF(I383="","",IF(AND(J383&gt;=1,J383&lt;=K383+3),"255.255.255.0",""))</f>
        <v/>
      </c>
      <c r="E383" s="0" t="str">
        <f aca="false">IF(I383="","",IF(AND(J383&gt;=1,J383&lt;=K383+3),"10."&amp;INDEX(Eingabe!$D$9:$D$18,I383)&amp;"."&amp;IF(J383&lt;=K383,J383,IF(J383=K383+1,200,IF(J383=K383+2,201,250)))&amp;".1",""))</f>
        <v/>
      </c>
      <c r="F383" s="0" t="str">
        <f aca="false">IF(I383="","",IF(AND(J383&gt;=1,J383&lt;=K383+3),"10."&amp;INDEX(Eingabe!$D$9:$D$18,I383)&amp;"."&amp;IF(J383&lt;=K383,J383,IF(J383=K383+1,200,IF(J383=K383+2,201,250)))&amp;".10 – 10."&amp;INDEX(Eingabe!$D$9:$D$18,I383)&amp;"."&amp;IF(J383&lt;=K383,J383,IF(J383=K383+1,200,IF(J383=K383+2,201,250)))&amp;".250",""))</f>
        <v/>
      </c>
      <c r="G383" s="0" t="str">
        <f aca="false">IF(I383="","",IF(AND(J383&gt;=1,J383&lt;=K383),Eingabe!$B$6&amp;"-"&amp;INDEX(Eingabe!$C$9:$C$18,I383)&amp;"-Pächter  ·  Passwort Parzelle "&amp;J383,IF(J383=K383+1,Eingabe!$B$6&amp;"-"&amp;INDEX(Eingabe!$C$9:$C$18,I383)&amp;"-Vorstand  ·  eigenes WLAN",IF(J383=K383+2,Eingabe!$B$6&amp;"-"&amp;INDEX(Eingabe!$C$9:$C$18,I383)&amp;"-Gäste  ·  Voucher",IF(J383=K383+3,"Kabel  ·  Access Point y = .(50+y), Mast-Switch x = .(10+x)","")))))</f>
        <v/>
      </c>
      <c r="I383" s="0" t="str">
        <f aca="false">IF(378&lt;=(Eingabe!$P$18+Eingabe!$Q$18-1),MATCH(378,Eingabe!$P$9:$P$18,1),"")</f>
        <v/>
      </c>
      <c r="J383" s="0" t="str">
        <f aca="false">IF(I383="","",378-INDEX(Eingabe!$P$9:$P$18,I383))</f>
        <v/>
      </c>
      <c r="K383" s="0" t="str">
        <f aca="false">IF(I383="","",INDEX(Eingabe!$E$9:$E$18,I383))</f>
        <v/>
      </c>
    </row>
    <row r="384" customFormat="false" ht="15" hidden="false" customHeight="false" outlineLevel="0" collapsed="false">
      <c r="A384" s="0" t="str">
        <f aca="false">IF(I384="","",IF(J384=0,"Sparte "&amp;I384&amp;": "&amp;INDEX(Eingabe!$B$9:$B$18,I384)&amp;"  (Sparten-ID "&amp;INDEX(Eingabe!$D$9:$D$18,I384)&amp;", "&amp;K384&amp;" Parzellen)",IF(J384&lt;=K384,"   Parzelle "&amp;J384,IF(J384=K384+1,"   Vorstand",IF(J384=K384+2,"   Gäste",IF(J384=K384+3,"   Technik (Switches, Access Points)",""))))))</f>
        <v/>
      </c>
      <c r="B384" s="0" t="str">
        <f aca="false">IF(I384="","",IF(AND(J384&gt;=1,J384&lt;=K384+3),IF(J384&lt;=K384,IF(J384&lt;=99,IF((INDEX(Eingabe!$G$9:$G$18,I384))&lt;=9,1000+(INDEX(Eingabe!$G$9:$G$18,I384))*100,3000)+J384,IF((INDEX(Eingabe!$G$9:$G$18,I384)+1)&lt;=9,1000+(INDEX(Eingabe!$G$9:$G$18,I384)+1)*100,3000)+J384-100),IF(J384=K384+1,2000+INDEX(Eingabe!$G$9:$G$18,I384)*10+1,IF(J384=K384+2,2000+INDEX(Eingabe!$G$9:$G$18,I384)*10+2,2000+INDEX(Eingabe!$G$9:$G$18,I384)*10+9))),""))</f>
        <v/>
      </c>
      <c r="C384" s="0" t="str">
        <f aca="false">IF(I384="","",IF(AND(J384&gt;=1,J384&lt;=K384+3),"10."&amp;INDEX(Eingabe!$D$9:$D$18,I384)&amp;"."&amp;IF(J384&lt;=K384,J384,IF(J384=K384+1,200,IF(J384=K384+2,201,250)))&amp;".0/24",""))</f>
        <v/>
      </c>
      <c r="D384" s="0" t="str">
        <f aca="false">IF(I384="","",IF(AND(J384&gt;=1,J384&lt;=K384+3),"255.255.255.0",""))</f>
        <v/>
      </c>
      <c r="E384" s="0" t="str">
        <f aca="false">IF(I384="","",IF(AND(J384&gt;=1,J384&lt;=K384+3),"10."&amp;INDEX(Eingabe!$D$9:$D$18,I384)&amp;"."&amp;IF(J384&lt;=K384,J384,IF(J384=K384+1,200,IF(J384=K384+2,201,250)))&amp;".1",""))</f>
        <v/>
      </c>
      <c r="F384" s="0" t="str">
        <f aca="false">IF(I384="","",IF(AND(J384&gt;=1,J384&lt;=K384+3),"10."&amp;INDEX(Eingabe!$D$9:$D$18,I384)&amp;"."&amp;IF(J384&lt;=K384,J384,IF(J384=K384+1,200,IF(J384=K384+2,201,250)))&amp;".10 – 10."&amp;INDEX(Eingabe!$D$9:$D$18,I384)&amp;"."&amp;IF(J384&lt;=K384,J384,IF(J384=K384+1,200,IF(J384=K384+2,201,250)))&amp;".250",""))</f>
        <v/>
      </c>
      <c r="G384" s="0" t="str">
        <f aca="false">IF(I384="","",IF(AND(J384&gt;=1,J384&lt;=K384),Eingabe!$B$6&amp;"-"&amp;INDEX(Eingabe!$C$9:$C$18,I384)&amp;"-Pächter  ·  Passwort Parzelle "&amp;J384,IF(J384=K384+1,Eingabe!$B$6&amp;"-"&amp;INDEX(Eingabe!$C$9:$C$18,I384)&amp;"-Vorstand  ·  eigenes WLAN",IF(J384=K384+2,Eingabe!$B$6&amp;"-"&amp;INDEX(Eingabe!$C$9:$C$18,I384)&amp;"-Gäste  ·  Voucher",IF(J384=K384+3,"Kabel  ·  Access Point y = .(50+y), Mast-Switch x = .(10+x)","")))))</f>
        <v/>
      </c>
      <c r="I384" s="0" t="str">
        <f aca="false">IF(379&lt;=(Eingabe!$P$18+Eingabe!$Q$18-1),MATCH(379,Eingabe!$P$9:$P$18,1),"")</f>
        <v/>
      </c>
      <c r="J384" s="0" t="str">
        <f aca="false">IF(I384="","",379-INDEX(Eingabe!$P$9:$P$18,I384))</f>
        <v/>
      </c>
      <c r="K384" s="0" t="str">
        <f aca="false">IF(I384="","",INDEX(Eingabe!$E$9:$E$18,I384))</f>
        <v/>
      </c>
    </row>
    <row r="385" customFormat="false" ht="15" hidden="false" customHeight="false" outlineLevel="0" collapsed="false">
      <c r="A385" s="0" t="str">
        <f aca="false">IF(I385="","",IF(J385=0,"Sparte "&amp;I385&amp;": "&amp;INDEX(Eingabe!$B$9:$B$18,I385)&amp;"  (Sparten-ID "&amp;INDEX(Eingabe!$D$9:$D$18,I385)&amp;", "&amp;K385&amp;" Parzellen)",IF(J385&lt;=K385,"   Parzelle "&amp;J385,IF(J385=K385+1,"   Vorstand",IF(J385=K385+2,"   Gäste",IF(J385=K385+3,"   Technik (Switches, Access Points)",""))))))</f>
        <v/>
      </c>
      <c r="B385" s="0" t="str">
        <f aca="false">IF(I385="","",IF(AND(J385&gt;=1,J385&lt;=K385+3),IF(J385&lt;=K385,IF(J385&lt;=99,IF((INDEX(Eingabe!$G$9:$G$18,I385))&lt;=9,1000+(INDEX(Eingabe!$G$9:$G$18,I385))*100,3000)+J385,IF((INDEX(Eingabe!$G$9:$G$18,I385)+1)&lt;=9,1000+(INDEX(Eingabe!$G$9:$G$18,I385)+1)*100,3000)+J385-100),IF(J385=K385+1,2000+INDEX(Eingabe!$G$9:$G$18,I385)*10+1,IF(J385=K385+2,2000+INDEX(Eingabe!$G$9:$G$18,I385)*10+2,2000+INDEX(Eingabe!$G$9:$G$18,I385)*10+9))),""))</f>
        <v/>
      </c>
      <c r="C385" s="0" t="str">
        <f aca="false">IF(I385="","",IF(AND(J385&gt;=1,J385&lt;=K385+3),"10."&amp;INDEX(Eingabe!$D$9:$D$18,I385)&amp;"."&amp;IF(J385&lt;=K385,J385,IF(J385=K385+1,200,IF(J385=K385+2,201,250)))&amp;".0/24",""))</f>
        <v/>
      </c>
      <c r="D385" s="0" t="str">
        <f aca="false">IF(I385="","",IF(AND(J385&gt;=1,J385&lt;=K385+3),"255.255.255.0",""))</f>
        <v/>
      </c>
      <c r="E385" s="0" t="str">
        <f aca="false">IF(I385="","",IF(AND(J385&gt;=1,J385&lt;=K385+3),"10."&amp;INDEX(Eingabe!$D$9:$D$18,I385)&amp;"."&amp;IF(J385&lt;=K385,J385,IF(J385=K385+1,200,IF(J385=K385+2,201,250)))&amp;".1",""))</f>
        <v/>
      </c>
      <c r="F385" s="0" t="str">
        <f aca="false">IF(I385="","",IF(AND(J385&gt;=1,J385&lt;=K385+3),"10."&amp;INDEX(Eingabe!$D$9:$D$18,I385)&amp;"."&amp;IF(J385&lt;=K385,J385,IF(J385=K385+1,200,IF(J385=K385+2,201,250)))&amp;".10 – 10."&amp;INDEX(Eingabe!$D$9:$D$18,I385)&amp;"."&amp;IF(J385&lt;=K385,J385,IF(J385=K385+1,200,IF(J385=K385+2,201,250)))&amp;".250",""))</f>
        <v/>
      </c>
      <c r="G385" s="0" t="str">
        <f aca="false">IF(I385="","",IF(AND(J385&gt;=1,J385&lt;=K385),Eingabe!$B$6&amp;"-"&amp;INDEX(Eingabe!$C$9:$C$18,I385)&amp;"-Pächter  ·  Passwort Parzelle "&amp;J385,IF(J385=K385+1,Eingabe!$B$6&amp;"-"&amp;INDEX(Eingabe!$C$9:$C$18,I385)&amp;"-Vorstand  ·  eigenes WLAN",IF(J385=K385+2,Eingabe!$B$6&amp;"-"&amp;INDEX(Eingabe!$C$9:$C$18,I385)&amp;"-Gäste  ·  Voucher",IF(J385=K385+3,"Kabel  ·  Access Point y = .(50+y), Mast-Switch x = .(10+x)","")))))</f>
        <v/>
      </c>
      <c r="I385" s="0" t="str">
        <f aca="false">IF(380&lt;=(Eingabe!$P$18+Eingabe!$Q$18-1),MATCH(380,Eingabe!$P$9:$P$18,1),"")</f>
        <v/>
      </c>
      <c r="J385" s="0" t="str">
        <f aca="false">IF(I385="","",380-INDEX(Eingabe!$P$9:$P$18,I385))</f>
        <v/>
      </c>
      <c r="K385" s="0" t="str">
        <f aca="false">IF(I385="","",INDEX(Eingabe!$E$9:$E$18,I385))</f>
        <v/>
      </c>
    </row>
    <row r="386" customFormat="false" ht="15" hidden="false" customHeight="false" outlineLevel="0" collapsed="false">
      <c r="A386" s="0" t="str">
        <f aca="false">IF(I386="","",IF(J386=0,"Sparte "&amp;I386&amp;": "&amp;INDEX(Eingabe!$B$9:$B$18,I386)&amp;"  (Sparten-ID "&amp;INDEX(Eingabe!$D$9:$D$18,I386)&amp;", "&amp;K386&amp;" Parzellen)",IF(J386&lt;=K386,"   Parzelle "&amp;J386,IF(J386=K386+1,"   Vorstand",IF(J386=K386+2,"   Gäste",IF(J386=K386+3,"   Technik (Switches, Access Points)",""))))))</f>
        <v/>
      </c>
      <c r="B386" s="0" t="str">
        <f aca="false">IF(I386="","",IF(AND(J386&gt;=1,J386&lt;=K386+3),IF(J386&lt;=K386,IF(J386&lt;=99,IF((INDEX(Eingabe!$G$9:$G$18,I386))&lt;=9,1000+(INDEX(Eingabe!$G$9:$G$18,I386))*100,3000)+J386,IF((INDEX(Eingabe!$G$9:$G$18,I386)+1)&lt;=9,1000+(INDEX(Eingabe!$G$9:$G$18,I386)+1)*100,3000)+J386-100),IF(J386=K386+1,2000+INDEX(Eingabe!$G$9:$G$18,I386)*10+1,IF(J386=K386+2,2000+INDEX(Eingabe!$G$9:$G$18,I386)*10+2,2000+INDEX(Eingabe!$G$9:$G$18,I386)*10+9))),""))</f>
        <v/>
      </c>
      <c r="C386" s="0" t="str">
        <f aca="false">IF(I386="","",IF(AND(J386&gt;=1,J386&lt;=K386+3),"10."&amp;INDEX(Eingabe!$D$9:$D$18,I386)&amp;"."&amp;IF(J386&lt;=K386,J386,IF(J386=K386+1,200,IF(J386=K386+2,201,250)))&amp;".0/24",""))</f>
        <v/>
      </c>
      <c r="D386" s="0" t="str">
        <f aca="false">IF(I386="","",IF(AND(J386&gt;=1,J386&lt;=K386+3),"255.255.255.0",""))</f>
        <v/>
      </c>
      <c r="E386" s="0" t="str">
        <f aca="false">IF(I386="","",IF(AND(J386&gt;=1,J386&lt;=K386+3),"10."&amp;INDEX(Eingabe!$D$9:$D$18,I386)&amp;"."&amp;IF(J386&lt;=K386,J386,IF(J386=K386+1,200,IF(J386=K386+2,201,250)))&amp;".1",""))</f>
        <v/>
      </c>
      <c r="F386" s="0" t="str">
        <f aca="false">IF(I386="","",IF(AND(J386&gt;=1,J386&lt;=K386+3),"10."&amp;INDEX(Eingabe!$D$9:$D$18,I386)&amp;"."&amp;IF(J386&lt;=K386,J386,IF(J386=K386+1,200,IF(J386=K386+2,201,250)))&amp;".10 – 10."&amp;INDEX(Eingabe!$D$9:$D$18,I386)&amp;"."&amp;IF(J386&lt;=K386,J386,IF(J386=K386+1,200,IF(J386=K386+2,201,250)))&amp;".250",""))</f>
        <v/>
      </c>
      <c r="G386" s="0" t="str">
        <f aca="false">IF(I386="","",IF(AND(J386&gt;=1,J386&lt;=K386),Eingabe!$B$6&amp;"-"&amp;INDEX(Eingabe!$C$9:$C$18,I386)&amp;"-Pächter  ·  Passwort Parzelle "&amp;J386,IF(J386=K386+1,Eingabe!$B$6&amp;"-"&amp;INDEX(Eingabe!$C$9:$C$18,I386)&amp;"-Vorstand  ·  eigenes WLAN",IF(J386=K386+2,Eingabe!$B$6&amp;"-"&amp;INDEX(Eingabe!$C$9:$C$18,I386)&amp;"-Gäste  ·  Voucher",IF(J386=K386+3,"Kabel  ·  Access Point y = .(50+y), Mast-Switch x = .(10+x)","")))))</f>
        <v/>
      </c>
      <c r="I386" s="0" t="str">
        <f aca="false">IF(381&lt;=(Eingabe!$P$18+Eingabe!$Q$18-1),MATCH(381,Eingabe!$P$9:$P$18,1),"")</f>
        <v/>
      </c>
      <c r="J386" s="0" t="str">
        <f aca="false">IF(I386="","",381-INDEX(Eingabe!$P$9:$P$18,I386))</f>
        <v/>
      </c>
      <c r="K386" s="0" t="str">
        <f aca="false">IF(I386="","",INDEX(Eingabe!$E$9:$E$18,I386))</f>
        <v/>
      </c>
    </row>
    <row r="387" customFormat="false" ht="15" hidden="false" customHeight="false" outlineLevel="0" collapsed="false">
      <c r="A387" s="0" t="str">
        <f aca="false">IF(I387="","",IF(J387=0,"Sparte "&amp;I387&amp;": "&amp;INDEX(Eingabe!$B$9:$B$18,I387)&amp;"  (Sparten-ID "&amp;INDEX(Eingabe!$D$9:$D$18,I387)&amp;", "&amp;K387&amp;" Parzellen)",IF(J387&lt;=K387,"   Parzelle "&amp;J387,IF(J387=K387+1,"   Vorstand",IF(J387=K387+2,"   Gäste",IF(J387=K387+3,"   Technik (Switches, Access Points)",""))))))</f>
        <v/>
      </c>
      <c r="B387" s="0" t="str">
        <f aca="false">IF(I387="","",IF(AND(J387&gt;=1,J387&lt;=K387+3),IF(J387&lt;=K387,IF(J387&lt;=99,IF((INDEX(Eingabe!$G$9:$G$18,I387))&lt;=9,1000+(INDEX(Eingabe!$G$9:$G$18,I387))*100,3000)+J387,IF((INDEX(Eingabe!$G$9:$G$18,I387)+1)&lt;=9,1000+(INDEX(Eingabe!$G$9:$G$18,I387)+1)*100,3000)+J387-100),IF(J387=K387+1,2000+INDEX(Eingabe!$G$9:$G$18,I387)*10+1,IF(J387=K387+2,2000+INDEX(Eingabe!$G$9:$G$18,I387)*10+2,2000+INDEX(Eingabe!$G$9:$G$18,I387)*10+9))),""))</f>
        <v/>
      </c>
      <c r="C387" s="0" t="str">
        <f aca="false">IF(I387="","",IF(AND(J387&gt;=1,J387&lt;=K387+3),"10."&amp;INDEX(Eingabe!$D$9:$D$18,I387)&amp;"."&amp;IF(J387&lt;=K387,J387,IF(J387=K387+1,200,IF(J387=K387+2,201,250)))&amp;".0/24",""))</f>
        <v/>
      </c>
      <c r="D387" s="0" t="str">
        <f aca="false">IF(I387="","",IF(AND(J387&gt;=1,J387&lt;=K387+3),"255.255.255.0",""))</f>
        <v/>
      </c>
      <c r="E387" s="0" t="str">
        <f aca="false">IF(I387="","",IF(AND(J387&gt;=1,J387&lt;=K387+3),"10."&amp;INDEX(Eingabe!$D$9:$D$18,I387)&amp;"."&amp;IF(J387&lt;=K387,J387,IF(J387=K387+1,200,IF(J387=K387+2,201,250)))&amp;".1",""))</f>
        <v/>
      </c>
      <c r="F387" s="0" t="str">
        <f aca="false">IF(I387="","",IF(AND(J387&gt;=1,J387&lt;=K387+3),"10."&amp;INDEX(Eingabe!$D$9:$D$18,I387)&amp;"."&amp;IF(J387&lt;=K387,J387,IF(J387=K387+1,200,IF(J387=K387+2,201,250)))&amp;".10 – 10."&amp;INDEX(Eingabe!$D$9:$D$18,I387)&amp;"."&amp;IF(J387&lt;=K387,J387,IF(J387=K387+1,200,IF(J387=K387+2,201,250)))&amp;".250",""))</f>
        <v/>
      </c>
      <c r="G387" s="0" t="str">
        <f aca="false">IF(I387="","",IF(AND(J387&gt;=1,J387&lt;=K387),Eingabe!$B$6&amp;"-"&amp;INDEX(Eingabe!$C$9:$C$18,I387)&amp;"-Pächter  ·  Passwort Parzelle "&amp;J387,IF(J387=K387+1,Eingabe!$B$6&amp;"-"&amp;INDEX(Eingabe!$C$9:$C$18,I387)&amp;"-Vorstand  ·  eigenes WLAN",IF(J387=K387+2,Eingabe!$B$6&amp;"-"&amp;INDEX(Eingabe!$C$9:$C$18,I387)&amp;"-Gäste  ·  Voucher",IF(J387=K387+3,"Kabel  ·  Access Point y = .(50+y), Mast-Switch x = .(10+x)","")))))</f>
        <v/>
      </c>
      <c r="I387" s="0" t="str">
        <f aca="false">IF(382&lt;=(Eingabe!$P$18+Eingabe!$Q$18-1),MATCH(382,Eingabe!$P$9:$P$18,1),"")</f>
        <v/>
      </c>
      <c r="J387" s="0" t="str">
        <f aca="false">IF(I387="","",382-INDEX(Eingabe!$P$9:$P$18,I387))</f>
        <v/>
      </c>
      <c r="K387" s="0" t="str">
        <f aca="false">IF(I387="","",INDEX(Eingabe!$E$9:$E$18,I387))</f>
        <v/>
      </c>
    </row>
    <row r="388" customFormat="false" ht="15" hidden="false" customHeight="false" outlineLevel="0" collapsed="false">
      <c r="A388" s="0" t="str">
        <f aca="false">IF(I388="","",IF(J388=0,"Sparte "&amp;I388&amp;": "&amp;INDEX(Eingabe!$B$9:$B$18,I388)&amp;"  (Sparten-ID "&amp;INDEX(Eingabe!$D$9:$D$18,I388)&amp;", "&amp;K388&amp;" Parzellen)",IF(J388&lt;=K388,"   Parzelle "&amp;J388,IF(J388=K388+1,"   Vorstand",IF(J388=K388+2,"   Gäste",IF(J388=K388+3,"   Technik (Switches, Access Points)",""))))))</f>
        <v/>
      </c>
      <c r="B388" s="0" t="str">
        <f aca="false">IF(I388="","",IF(AND(J388&gt;=1,J388&lt;=K388+3),IF(J388&lt;=K388,IF(J388&lt;=99,IF((INDEX(Eingabe!$G$9:$G$18,I388))&lt;=9,1000+(INDEX(Eingabe!$G$9:$G$18,I388))*100,3000)+J388,IF((INDEX(Eingabe!$G$9:$G$18,I388)+1)&lt;=9,1000+(INDEX(Eingabe!$G$9:$G$18,I388)+1)*100,3000)+J388-100),IF(J388=K388+1,2000+INDEX(Eingabe!$G$9:$G$18,I388)*10+1,IF(J388=K388+2,2000+INDEX(Eingabe!$G$9:$G$18,I388)*10+2,2000+INDEX(Eingabe!$G$9:$G$18,I388)*10+9))),""))</f>
        <v/>
      </c>
      <c r="C388" s="0" t="str">
        <f aca="false">IF(I388="","",IF(AND(J388&gt;=1,J388&lt;=K388+3),"10."&amp;INDEX(Eingabe!$D$9:$D$18,I388)&amp;"."&amp;IF(J388&lt;=K388,J388,IF(J388=K388+1,200,IF(J388=K388+2,201,250)))&amp;".0/24",""))</f>
        <v/>
      </c>
      <c r="D388" s="0" t="str">
        <f aca="false">IF(I388="","",IF(AND(J388&gt;=1,J388&lt;=K388+3),"255.255.255.0",""))</f>
        <v/>
      </c>
      <c r="E388" s="0" t="str">
        <f aca="false">IF(I388="","",IF(AND(J388&gt;=1,J388&lt;=K388+3),"10."&amp;INDEX(Eingabe!$D$9:$D$18,I388)&amp;"."&amp;IF(J388&lt;=K388,J388,IF(J388=K388+1,200,IF(J388=K388+2,201,250)))&amp;".1",""))</f>
        <v/>
      </c>
      <c r="F388" s="0" t="str">
        <f aca="false">IF(I388="","",IF(AND(J388&gt;=1,J388&lt;=K388+3),"10."&amp;INDEX(Eingabe!$D$9:$D$18,I388)&amp;"."&amp;IF(J388&lt;=K388,J388,IF(J388=K388+1,200,IF(J388=K388+2,201,250)))&amp;".10 – 10."&amp;INDEX(Eingabe!$D$9:$D$18,I388)&amp;"."&amp;IF(J388&lt;=K388,J388,IF(J388=K388+1,200,IF(J388=K388+2,201,250)))&amp;".250",""))</f>
        <v/>
      </c>
      <c r="G388" s="0" t="str">
        <f aca="false">IF(I388="","",IF(AND(J388&gt;=1,J388&lt;=K388),Eingabe!$B$6&amp;"-"&amp;INDEX(Eingabe!$C$9:$C$18,I388)&amp;"-Pächter  ·  Passwort Parzelle "&amp;J388,IF(J388=K388+1,Eingabe!$B$6&amp;"-"&amp;INDEX(Eingabe!$C$9:$C$18,I388)&amp;"-Vorstand  ·  eigenes WLAN",IF(J388=K388+2,Eingabe!$B$6&amp;"-"&amp;INDEX(Eingabe!$C$9:$C$18,I388)&amp;"-Gäste  ·  Voucher",IF(J388=K388+3,"Kabel  ·  Access Point y = .(50+y), Mast-Switch x = .(10+x)","")))))</f>
        <v/>
      </c>
      <c r="I388" s="0" t="str">
        <f aca="false">IF(383&lt;=(Eingabe!$P$18+Eingabe!$Q$18-1),MATCH(383,Eingabe!$P$9:$P$18,1),"")</f>
        <v/>
      </c>
      <c r="J388" s="0" t="str">
        <f aca="false">IF(I388="","",383-INDEX(Eingabe!$P$9:$P$18,I388))</f>
        <v/>
      </c>
      <c r="K388" s="0" t="str">
        <f aca="false">IF(I388="","",INDEX(Eingabe!$E$9:$E$18,I388))</f>
        <v/>
      </c>
    </row>
    <row r="389" customFormat="false" ht="15" hidden="false" customHeight="false" outlineLevel="0" collapsed="false">
      <c r="A389" s="0" t="str">
        <f aca="false">IF(I389="","",IF(J389=0,"Sparte "&amp;I389&amp;": "&amp;INDEX(Eingabe!$B$9:$B$18,I389)&amp;"  (Sparten-ID "&amp;INDEX(Eingabe!$D$9:$D$18,I389)&amp;", "&amp;K389&amp;" Parzellen)",IF(J389&lt;=K389,"   Parzelle "&amp;J389,IF(J389=K389+1,"   Vorstand",IF(J389=K389+2,"   Gäste",IF(J389=K389+3,"   Technik (Switches, Access Points)",""))))))</f>
        <v/>
      </c>
      <c r="B389" s="0" t="str">
        <f aca="false">IF(I389="","",IF(AND(J389&gt;=1,J389&lt;=K389+3),IF(J389&lt;=K389,IF(J389&lt;=99,IF((INDEX(Eingabe!$G$9:$G$18,I389))&lt;=9,1000+(INDEX(Eingabe!$G$9:$G$18,I389))*100,3000)+J389,IF((INDEX(Eingabe!$G$9:$G$18,I389)+1)&lt;=9,1000+(INDEX(Eingabe!$G$9:$G$18,I389)+1)*100,3000)+J389-100),IF(J389=K389+1,2000+INDEX(Eingabe!$G$9:$G$18,I389)*10+1,IF(J389=K389+2,2000+INDEX(Eingabe!$G$9:$G$18,I389)*10+2,2000+INDEX(Eingabe!$G$9:$G$18,I389)*10+9))),""))</f>
        <v/>
      </c>
      <c r="C389" s="0" t="str">
        <f aca="false">IF(I389="","",IF(AND(J389&gt;=1,J389&lt;=K389+3),"10."&amp;INDEX(Eingabe!$D$9:$D$18,I389)&amp;"."&amp;IF(J389&lt;=K389,J389,IF(J389=K389+1,200,IF(J389=K389+2,201,250)))&amp;".0/24",""))</f>
        <v/>
      </c>
      <c r="D389" s="0" t="str">
        <f aca="false">IF(I389="","",IF(AND(J389&gt;=1,J389&lt;=K389+3),"255.255.255.0",""))</f>
        <v/>
      </c>
      <c r="E389" s="0" t="str">
        <f aca="false">IF(I389="","",IF(AND(J389&gt;=1,J389&lt;=K389+3),"10."&amp;INDEX(Eingabe!$D$9:$D$18,I389)&amp;"."&amp;IF(J389&lt;=K389,J389,IF(J389=K389+1,200,IF(J389=K389+2,201,250)))&amp;".1",""))</f>
        <v/>
      </c>
      <c r="F389" s="0" t="str">
        <f aca="false">IF(I389="","",IF(AND(J389&gt;=1,J389&lt;=K389+3),"10."&amp;INDEX(Eingabe!$D$9:$D$18,I389)&amp;"."&amp;IF(J389&lt;=K389,J389,IF(J389=K389+1,200,IF(J389=K389+2,201,250)))&amp;".10 – 10."&amp;INDEX(Eingabe!$D$9:$D$18,I389)&amp;"."&amp;IF(J389&lt;=K389,J389,IF(J389=K389+1,200,IF(J389=K389+2,201,250)))&amp;".250",""))</f>
        <v/>
      </c>
      <c r="G389" s="0" t="str">
        <f aca="false">IF(I389="","",IF(AND(J389&gt;=1,J389&lt;=K389),Eingabe!$B$6&amp;"-"&amp;INDEX(Eingabe!$C$9:$C$18,I389)&amp;"-Pächter  ·  Passwort Parzelle "&amp;J389,IF(J389=K389+1,Eingabe!$B$6&amp;"-"&amp;INDEX(Eingabe!$C$9:$C$18,I389)&amp;"-Vorstand  ·  eigenes WLAN",IF(J389=K389+2,Eingabe!$B$6&amp;"-"&amp;INDEX(Eingabe!$C$9:$C$18,I389)&amp;"-Gäste  ·  Voucher",IF(J389=K389+3,"Kabel  ·  Access Point y = .(50+y), Mast-Switch x = .(10+x)","")))))</f>
        <v/>
      </c>
      <c r="I389" s="0" t="str">
        <f aca="false">IF(384&lt;=(Eingabe!$P$18+Eingabe!$Q$18-1),MATCH(384,Eingabe!$P$9:$P$18,1),"")</f>
        <v/>
      </c>
      <c r="J389" s="0" t="str">
        <f aca="false">IF(I389="","",384-INDEX(Eingabe!$P$9:$P$18,I389))</f>
        <v/>
      </c>
      <c r="K389" s="0" t="str">
        <f aca="false">IF(I389="","",INDEX(Eingabe!$E$9:$E$18,I389))</f>
        <v/>
      </c>
    </row>
    <row r="390" customFormat="false" ht="15" hidden="false" customHeight="false" outlineLevel="0" collapsed="false">
      <c r="A390" s="0" t="str">
        <f aca="false">IF(I390="","",IF(J390=0,"Sparte "&amp;I390&amp;": "&amp;INDEX(Eingabe!$B$9:$B$18,I390)&amp;"  (Sparten-ID "&amp;INDEX(Eingabe!$D$9:$D$18,I390)&amp;", "&amp;K390&amp;" Parzellen)",IF(J390&lt;=K390,"   Parzelle "&amp;J390,IF(J390=K390+1,"   Vorstand",IF(J390=K390+2,"   Gäste",IF(J390=K390+3,"   Technik (Switches, Access Points)",""))))))</f>
        <v/>
      </c>
      <c r="B390" s="0" t="str">
        <f aca="false">IF(I390="","",IF(AND(J390&gt;=1,J390&lt;=K390+3),IF(J390&lt;=K390,IF(J390&lt;=99,IF((INDEX(Eingabe!$G$9:$G$18,I390))&lt;=9,1000+(INDEX(Eingabe!$G$9:$G$18,I390))*100,3000)+J390,IF((INDEX(Eingabe!$G$9:$G$18,I390)+1)&lt;=9,1000+(INDEX(Eingabe!$G$9:$G$18,I390)+1)*100,3000)+J390-100),IF(J390=K390+1,2000+INDEX(Eingabe!$G$9:$G$18,I390)*10+1,IF(J390=K390+2,2000+INDEX(Eingabe!$G$9:$G$18,I390)*10+2,2000+INDEX(Eingabe!$G$9:$G$18,I390)*10+9))),""))</f>
        <v/>
      </c>
      <c r="C390" s="0" t="str">
        <f aca="false">IF(I390="","",IF(AND(J390&gt;=1,J390&lt;=K390+3),"10."&amp;INDEX(Eingabe!$D$9:$D$18,I390)&amp;"."&amp;IF(J390&lt;=K390,J390,IF(J390=K390+1,200,IF(J390=K390+2,201,250)))&amp;".0/24",""))</f>
        <v/>
      </c>
      <c r="D390" s="0" t="str">
        <f aca="false">IF(I390="","",IF(AND(J390&gt;=1,J390&lt;=K390+3),"255.255.255.0",""))</f>
        <v/>
      </c>
      <c r="E390" s="0" t="str">
        <f aca="false">IF(I390="","",IF(AND(J390&gt;=1,J390&lt;=K390+3),"10."&amp;INDEX(Eingabe!$D$9:$D$18,I390)&amp;"."&amp;IF(J390&lt;=K390,J390,IF(J390=K390+1,200,IF(J390=K390+2,201,250)))&amp;".1",""))</f>
        <v/>
      </c>
      <c r="F390" s="0" t="str">
        <f aca="false">IF(I390="","",IF(AND(J390&gt;=1,J390&lt;=K390+3),"10."&amp;INDEX(Eingabe!$D$9:$D$18,I390)&amp;"."&amp;IF(J390&lt;=K390,J390,IF(J390=K390+1,200,IF(J390=K390+2,201,250)))&amp;".10 – 10."&amp;INDEX(Eingabe!$D$9:$D$18,I390)&amp;"."&amp;IF(J390&lt;=K390,J390,IF(J390=K390+1,200,IF(J390=K390+2,201,250)))&amp;".250",""))</f>
        <v/>
      </c>
      <c r="G390" s="0" t="str">
        <f aca="false">IF(I390="","",IF(AND(J390&gt;=1,J390&lt;=K390),Eingabe!$B$6&amp;"-"&amp;INDEX(Eingabe!$C$9:$C$18,I390)&amp;"-Pächter  ·  Passwort Parzelle "&amp;J390,IF(J390=K390+1,Eingabe!$B$6&amp;"-"&amp;INDEX(Eingabe!$C$9:$C$18,I390)&amp;"-Vorstand  ·  eigenes WLAN",IF(J390=K390+2,Eingabe!$B$6&amp;"-"&amp;INDEX(Eingabe!$C$9:$C$18,I390)&amp;"-Gäste  ·  Voucher",IF(J390=K390+3,"Kabel  ·  Access Point y = .(50+y), Mast-Switch x = .(10+x)","")))))</f>
        <v/>
      </c>
      <c r="I390" s="0" t="str">
        <f aca="false">IF(385&lt;=(Eingabe!$P$18+Eingabe!$Q$18-1),MATCH(385,Eingabe!$P$9:$P$18,1),"")</f>
        <v/>
      </c>
      <c r="J390" s="0" t="str">
        <f aca="false">IF(I390="","",385-INDEX(Eingabe!$P$9:$P$18,I390))</f>
        <v/>
      </c>
      <c r="K390" s="0" t="str">
        <f aca="false">IF(I390="","",INDEX(Eingabe!$E$9:$E$18,I390))</f>
        <v/>
      </c>
    </row>
    <row r="391" customFormat="false" ht="15" hidden="false" customHeight="false" outlineLevel="0" collapsed="false">
      <c r="A391" s="0" t="str">
        <f aca="false">IF(I391="","",IF(J391=0,"Sparte "&amp;I391&amp;": "&amp;INDEX(Eingabe!$B$9:$B$18,I391)&amp;"  (Sparten-ID "&amp;INDEX(Eingabe!$D$9:$D$18,I391)&amp;", "&amp;K391&amp;" Parzellen)",IF(J391&lt;=K391,"   Parzelle "&amp;J391,IF(J391=K391+1,"   Vorstand",IF(J391=K391+2,"   Gäste",IF(J391=K391+3,"   Technik (Switches, Access Points)",""))))))</f>
        <v/>
      </c>
      <c r="B391" s="0" t="str">
        <f aca="false">IF(I391="","",IF(AND(J391&gt;=1,J391&lt;=K391+3),IF(J391&lt;=K391,IF(J391&lt;=99,IF((INDEX(Eingabe!$G$9:$G$18,I391))&lt;=9,1000+(INDEX(Eingabe!$G$9:$G$18,I391))*100,3000)+J391,IF((INDEX(Eingabe!$G$9:$G$18,I391)+1)&lt;=9,1000+(INDEX(Eingabe!$G$9:$G$18,I391)+1)*100,3000)+J391-100),IF(J391=K391+1,2000+INDEX(Eingabe!$G$9:$G$18,I391)*10+1,IF(J391=K391+2,2000+INDEX(Eingabe!$G$9:$G$18,I391)*10+2,2000+INDEX(Eingabe!$G$9:$G$18,I391)*10+9))),""))</f>
        <v/>
      </c>
      <c r="C391" s="0" t="str">
        <f aca="false">IF(I391="","",IF(AND(J391&gt;=1,J391&lt;=K391+3),"10."&amp;INDEX(Eingabe!$D$9:$D$18,I391)&amp;"."&amp;IF(J391&lt;=K391,J391,IF(J391=K391+1,200,IF(J391=K391+2,201,250)))&amp;".0/24",""))</f>
        <v/>
      </c>
      <c r="D391" s="0" t="str">
        <f aca="false">IF(I391="","",IF(AND(J391&gt;=1,J391&lt;=K391+3),"255.255.255.0",""))</f>
        <v/>
      </c>
      <c r="E391" s="0" t="str">
        <f aca="false">IF(I391="","",IF(AND(J391&gt;=1,J391&lt;=K391+3),"10."&amp;INDEX(Eingabe!$D$9:$D$18,I391)&amp;"."&amp;IF(J391&lt;=K391,J391,IF(J391=K391+1,200,IF(J391=K391+2,201,250)))&amp;".1",""))</f>
        <v/>
      </c>
      <c r="F391" s="0" t="str">
        <f aca="false">IF(I391="","",IF(AND(J391&gt;=1,J391&lt;=K391+3),"10."&amp;INDEX(Eingabe!$D$9:$D$18,I391)&amp;"."&amp;IF(J391&lt;=K391,J391,IF(J391=K391+1,200,IF(J391=K391+2,201,250)))&amp;".10 – 10."&amp;INDEX(Eingabe!$D$9:$D$18,I391)&amp;"."&amp;IF(J391&lt;=K391,J391,IF(J391=K391+1,200,IF(J391=K391+2,201,250)))&amp;".250",""))</f>
        <v/>
      </c>
      <c r="G391" s="0" t="str">
        <f aca="false">IF(I391="","",IF(AND(J391&gt;=1,J391&lt;=K391),Eingabe!$B$6&amp;"-"&amp;INDEX(Eingabe!$C$9:$C$18,I391)&amp;"-Pächter  ·  Passwort Parzelle "&amp;J391,IF(J391=K391+1,Eingabe!$B$6&amp;"-"&amp;INDEX(Eingabe!$C$9:$C$18,I391)&amp;"-Vorstand  ·  eigenes WLAN",IF(J391=K391+2,Eingabe!$B$6&amp;"-"&amp;INDEX(Eingabe!$C$9:$C$18,I391)&amp;"-Gäste  ·  Voucher",IF(J391=K391+3,"Kabel  ·  Access Point y = .(50+y), Mast-Switch x = .(10+x)","")))))</f>
        <v/>
      </c>
      <c r="I391" s="0" t="str">
        <f aca="false">IF(386&lt;=(Eingabe!$P$18+Eingabe!$Q$18-1),MATCH(386,Eingabe!$P$9:$P$18,1),"")</f>
        <v/>
      </c>
      <c r="J391" s="0" t="str">
        <f aca="false">IF(I391="","",386-INDEX(Eingabe!$P$9:$P$18,I391))</f>
        <v/>
      </c>
      <c r="K391" s="0" t="str">
        <f aca="false">IF(I391="","",INDEX(Eingabe!$E$9:$E$18,I391))</f>
        <v/>
      </c>
    </row>
    <row r="392" customFormat="false" ht="15" hidden="false" customHeight="false" outlineLevel="0" collapsed="false">
      <c r="A392" s="0" t="str">
        <f aca="false">IF(I392="","",IF(J392=0,"Sparte "&amp;I392&amp;": "&amp;INDEX(Eingabe!$B$9:$B$18,I392)&amp;"  (Sparten-ID "&amp;INDEX(Eingabe!$D$9:$D$18,I392)&amp;", "&amp;K392&amp;" Parzellen)",IF(J392&lt;=K392,"   Parzelle "&amp;J392,IF(J392=K392+1,"   Vorstand",IF(J392=K392+2,"   Gäste",IF(J392=K392+3,"   Technik (Switches, Access Points)",""))))))</f>
        <v/>
      </c>
      <c r="B392" s="0" t="str">
        <f aca="false">IF(I392="","",IF(AND(J392&gt;=1,J392&lt;=K392+3),IF(J392&lt;=K392,IF(J392&lt;=99,IF((INDEX(Eingabe!$G$9:$G$18,I392))&lt;=9,1000+(INDEX(Eingabe!$G$9:$G$18,I392))*100,3000)+J392,IF((INDEX(Eingabe!$G$9:$G$18,I392)+1)&lt;=9,1000+(INDEX(Eingabe!$G$9:$G$18,I392)+1)*100,3000)+J392-100),IF(J392=K392+1,2000+INDEX(Eingabe!$G$9:$G$18,I392)*10+1,IF(J392=K392+2,2000+INDEX(Eingabe!$G$9:$G$18,I392)*10+2,2000+INDEX(Eingabe!$G$9:$G$18,I392)*10+9))),""))</f>
        <v/>
      </c>
      <c r="C392" s="0" t="str">
        <f aca="false">IF(I392="","",IF(AND(J392&gt;=1,J392&lt;=K392+3),"10."&amp;INDEX(Eingabe!$D$9:$D$18,I392)&amp;"."&amp;IF(J392&lt;=K392,J392,IF(J392=K392+1,200,IF(J392=K392+2,201,250)))&amp;".0/24",""))</f>
        <v/>
      </c>
      <c r="D392" s="0" t="str">
        <f aca="false">IF(I392="","",IF(AND(J392&gt;=1,J392&lt;=K392+3),"255.255.255.0",""))</f>
        <v/>
      </c>
      <c r="E392" s="0" t="str">
        <f aca="false">IF(I392="","",IF(AND(J392&gt;=1,J392&lt;=K392+3),"10."&amp;INDEX(Eingabe!$D$9:$D$18,I392)&amp;"."&amp;IF(J392&lt;=K392,J392,IF(J392=K392+1,200,IF(J392=K392+2,201,250)))&amp;".1",""))</f>
        <v/>
      </c>
      <c r="F392" s="0" t="str">
        <f aca="false">IF(I392="","",IF(AND(J392&gt;=1,J392&lt;=K392+3),"10."&amp;INDEX(Eingabe!$D$9:$D$18,I392)&amp;"."&amp;IF(J392&lt;=K392,J392,IF(J392=K392+1,200,IF(J392=K392+2,201,250)))&amp;".10 – 10."&amp;INDEX(Eingabe!$D$9:$D$18,I392)&amp;"."&amp;IF(J392&lt;=K392,J392,IF(J392=K392+1,200,IF(J392=K392+2,201,250)))&amp;".250",""))</f>
        <v/>
      </c>
      <c r="G392" s="0" t="str">
        <f aca="false">IF(I392="","",IF(AND(J392&gt;=1,J392&lt;=K392),Eingabe!$B$6&amp;"-"&amp;INDEX(Eingabe!$C$9:$C$18,I392)&amp;"-Pächter  ·  Passwort Parzelle "&amp;J392,IF(J392=K392+1,Eingabe!$B$6&amp;"-"&amp;INDEX(Eingabe!$C$9:$C$18,I392)&amp;"-Vorstand  ·  eigenes WLAN",IF(J392=K392+2,Eingabe!$B$6&amp;"-"&amp;INDEX(Eingabe!$C$9:$C$18,I392)&amp;"-Gäste  ·  Voucher",IF(J392=K392+3,"Kabel  ·  Access Point y = .(50+y), Mast-Switch x = .(10+x)","")))))</f>
        <v/>
      </c>
      <c r="I392" s="0" t="str">
        <f aca="false">IF(387&lt;=(Eingabe!$P$18+Eingabe!$Q$18-1),MATCH(387,Eingabe!$P$9:$P$18,1),"")</f>
        <v/>
      </c>
      <c r="J392" s="0" t="str">
        <f aca="false">IF(I392="","",387-INDEX(Eingabe!$P$9:$P$18,I392))</f>
        <v/>
      </c>
      <c r="K392" s="0" t="str">
        <f aca="false">IF(I392="","",INDEX(Eingabe!$E$9:$E$18,I392))</f>
        <v/>
      </c>
    </row>
    <row r="393" customFormat="false" ht="15" hidden="false" customHeight="false" outlineLevel="0" collapsed="false">
      <c r="A393" s="0" t="str">
        <f aca="false">IF(I393="","",IF(J393=0,"Sparte "&amp;I393&amp;": "&amp;INDEX(Eingabe!$B$9:$B$18,I393)&amp;"  (Sparten-ID "&amp;INDEX(Eingabe!$D$9:$D$18,I393)&amp;", "&amp;K393&amp;" Parzellen)",IF(J393&lt;=K393,"   Parzelle "&amp;J393,IF(J393=K393+1,"   Vorstand",IF(J393=K393+2,"   Gäste",IF(J393=K393+3,"   Technik (Switches, Access Points)",""))))))</f>
        <v/>
      </c>
      <c r="B393" s="0" t="str">
        <f aca="false">IF(I393="","",IF(AND(J393&gt;=1,J393&lt;=K393+3),IF(J393&lt;=K393,IF(J393&lt;=99,IF((INDEX(Eingabe!$G$9:$G$18,I393))&lt;=9,1000+(INDEX(Eingabe!$G$9:$G$18,I393))*100,3000)+J393,IF((INDEX(Eingabe!$G$9:$G$18,I393)+1)&lt;=9,1000+(INDEX(Eingabe!$G$9:$G$18,I393)+1)*100,3000)+J393-100),IF(J393=K393+1,2000+INDEX(Eingabe!$G$9:$G$18,I393)*10+1,IF(J393=K393+2,2000+INDEX(Eingabe!$G$9:$G$18,I393)*10+2,2000+INDEX(Eingabe!$G$9:$G$18,I393)*10+9))),""))</f>
        <v/>
      </c>
      <c r="C393" s="0" t="str">
        <f aca="false">IF(I393="","",IF(AND(J393&gt;=1,J393&lt;=K393+3),"10."&amp;INDEX(Eingabe!$D$9:$D$18,I393)&amp;"."&amp;IF(J393&lt;=K393,J393,IF(J393=K393+1,200,IF(J393=K393+2,201,250)))&amp;".0/24",""))</f>
        <v/>
      </c>
      <c r="D393" s="0" t="str">
        <f aca="false">IF(I393="","",IF(AND(J393&gt;=1,J393&lt;=K393+3),"255.255.255.0",""))</f>
        <v/>
      </c>
      <c r="E393" s="0" t="str">
        <f aca="false">IF(I393="","",IF(AND(J393&gt;=1,J393&lt;=K393+3),"10."&amp;INDEX(Eingabe!$D$9:$D$18,I393)&amp;"."&amp;IF(J393&lt;=K393,J393,IF(J393=K393+1,200,IF(J393=K393+2,201,250)))&amp;".1",""))</f>
        <v/>
      </c>
      <c r="F393" s="0" t="str">
        <f aca="false">IF(I393="","",IF(AND(J393&gt;=1,J393&lt;=K393+3),"10."&amp;INDEX(Eingabe!$D$9:$D$18,I393)&amp;"."&amp;IF(J393&lt;=K393,J393,IF(J393=K393+1,200,IF(J393=K393+2,201,250)))&amp;".10 – 10."&amp;INDEX(Eingabe!$D$9:$D$18,I393)&amp;"."&amp;IF(J393&lt;=K393,J393,IF(J393=K393+1,200,IF(J393=K393+2,201,250)))&amp;".250",""))</f>
        <v/>
      </c>
      <c r="G393" s="0" t="str">
        <f aca="false">IF(I393="","",IF(AND(J393&gt;=1,J393&lt;=K393),Eingabe!$B$6&amp;"-"&amp;INDEX(Eingabe!$C$9:$C$18,I393)&amp;"-Pächter  ·  Passwort Parzelle "&amp;J393,IF(J393=K393+1,Eingabe!$B$6&amp;"-"&amp;INDEX(Eingabe!$C$9:$C$18,I393)&amp;"-Vorstand  ·  eigenes WLAN",IF(J393=K393+2,Eingabe!$B$6&amp;"-"&amp;INDEX(Eingabe!$C$9:$C$18,I393)&amp;"-Gäste  ·  Voucher",IF(J393=K393+3,"Kabel  ·  Access Point y = .(50+y), Mast-Switch x = .(10+x)","")))))</f>
        <v/>
      </c>
      <c r="I393" s="0" t="str">
        <f aca="false">IF(388&lt;=(Eingabe!$P$18+Eingabe!$Q$18-1),MATCH(388,Eingabe!$P$9:$P$18,1),"")</f>
        <v/>
      </c>
      <c r="J393" s="0" t="str">
        <f aca="false">IF(I393="","",388-INDEX(Eingabe!$P$9:$P$18,I393))</f>
        <v/>
      </c>
      <c r="K393" s="0" t="str">
        <f aca="false">IF(I393="","",INDEX(Eingabe!$E$9:$E$18,I393))</f>
        <v/>
      </c>
    </row>
    <row r="394" customFormat="false" ht="15" hidden="false" customHeight="false" outlineLevel="0" collapsed="false">
      <c r="A394" s="0" t="str">
        <f aca="false">IF(I394="","",IF(J394=0,"Sparte "&amp;I394&amp;": "&amp;INDEX(Eingabe!$B$9:$B$18,I394)&amp;"  (Sparten-ID "&amp;INDEX(Eingabe!$D$9:$D$18,I394)&amp;", "&amp;K394&amp;" Parzellen)",IF(J394&lt;=K394,"   Parzelle "&amp;J394,IF(J394=K394+1,"   Vorstand",IF(J394=K394+2,"   Gäste",IF(J394=K394+3,"   Technik (Switches, Access Points)",""))))))</f>
        <v/>
      </c>
      <c r="B394" s="0" t="str">
        <f aca="false">IF(I394="","",IF(AND(J394&gt;=1,J394&lt;=K394+3),IF(J394&lt;=K394,IF(J394&lt;=99,IF((INDEX(Eingabe!$G$9:$G$18,I394))&lt;=9,1000+(INDEX(Eingabe!$G$9:$G$18,I394))*100,3000)+J394,IF((INDEX(Eingabe!$G$9:$G$18,I394)+1)&lt;=9,1000+(INDEX(Eingabe!$G$9:$G$18,I394)+1)*100,3000)+J394-100),IF(J394=K394+1,2000+INDEX(Eingabe!$G$9:$G$18,I394)*10+1,IF(J394=K394+2,2000+INDEX(Eingabe!$G$9:$G$18,I394)*10+2,2000+INDEX(Eingabe!$G$9:$G$18,I394)*10+9))),""))</f>
        <v/>
      </c>
      <c r="C394" s="0" t="str">
        <f aca="false">IF(I394="","",IF(AND(J394&gt;=1,J394&lt;=K394+3),"10."&amp;INDEX(Eingabe!$D$9:$D$18,I394)&amp;"."&amp;IF(J394&lt;=K394,J394,IF(J394=K394+1,200,IF(J394=K394+2,201,250)))&amp;".0/24",""))</f>
        <v/>
      </c>
      <c r="D394" s="0" t="str">
        <f aca="false">IF(I394="","",IF(AND(J394&gt;=1,J394&lt;=K394+3),"255.255.255.0",""))</f>
        <v/>
      </c>
      <c r="E394" s="0" t="str">
        <f aca="false">IF(I394="","",IF(AND(J394&gt;=1,J394&lt;=K394+3),"10."&amp;INDEX(Eingabe!$D$9:$D$18,I394)&amp;"."&amp;IF(J394&lt;=K394,J394,IF(J394=K394+1,200,IF(J394=K394+2,201,250)))&amp;".1",""))</f>
        <v/>
      </c>
      <c r="F394" s="0" t="str">
        <f aca="false">IF(I394="","",IF(AND(J394&gt;=1,J394&lt;=K394+3),"10."&amp;INDEX(Eingabe!$D$9:$D$18,I394)&amp;"."&amp;IF(J394&lt;=K394,J394,IF(J394=K394+1,200,IF(J394=K394+2,201,250)))&amp;".10 – 10."&amp;INDEX(Eingabe!$D$9:$D$18,I394)&amp;"."&amp;IF(J394&lt;=K394,J394,IF(J394=K394+1,200,IF(J394=K394+2,201,250)))&amp;".250",""))</f>
        <v/>
      </c>
      <c r="G394" s="0" t="str">
        <f aca="false">IF(I394="","",IF(AND(J394&gt;=1,J394&lt;=K394),Eingabe!$B$6&amp;"-"&amp;INDEX(Eingabe!$C$9:$C$18,I394)&amp;"-Pächter  ·  Passwort Parzelle "&amp;J394,IF(J394=K394+1,Eingabe!$B$6&amp;"-"&amp;INDEX(Eingabe!$C$9:$C$18,I394)&amp;"-Vorstand  ·  eigenes WLAN",IF(J394=K394+2,Eingabe!$B$6&amp;"-"&amp;INDEX(Eingabe!$C$9:$C$18,I394)&amp;"-Gäste  ·  Voucher",IF(J394=K394+3,"Kabel  ·  Access Point y = .(50+y), Mast-Switch x = .(10+x)","")))))</f>
        <v/>
      </c>
      <c r="I394" s="0" t="str">
        <f aca="false">IF(389&lt;=(Eingabe!$P$18+Eingabe!$Q$18-1),MATCH(389,Eingabe!$P$9:$P$18,1),"")</f>
        <v/>
      </c>
      <c r="J394" s="0" t="str">
        <f aca="false">IF(I394="","",389-INDEX(Eingabe!$P$9:$P$18,I394))</f>
        <v/>
      </c>
      <c r="K394" s="0" t="str">
        <f aca="false">IF(I394="","",INDEX(Eingabe!$E$9:$E$18,I394))</f>
        <v/>
      </c>
    </row>
    <row r="395" customFormat="false" ht="15" hidden="false" customHeight="false" outlineLevel="0" collapsed="false">
      <c r="A395" s="0" t="str">
        <f aca="false">IF(I395="","",IF(J395=0,"Sparte "&amp;I395&amp;": "&amp;INDEX(Eingabe!$B$9:$B$18,I395)&amp;"  (Sparten-ID "&amp;INDEX(Eingabe!$D$9:$D$18,I395)&amp;", "&amp;K395&amp;" Parzellen)",IF(J395&lt;=K395,"   Parzelle "&amp;J395,IF(J395=K395+1,"   Vorstand",IF(J395=K395+2,"   Gäste",IF(J395=K395+3,"   Technik (Switches, Access Points)",""))))))</f>
        <v/>
      </c>
      <c r="B395" s="0" t="str">
        <f aca="false">IF(I395="","",IF(AND(J395&gt;=1,J395&lt;=K395+3),IF(J395&lt;=K395,IF(J395&lt;=99,IF((INDEX(Eingabe!$G$9:$G$18,I395))&lt;=9,1000+(INDEX(Eingabe!$G$9:$G$18,I395))*100,3000)+J395,IF((INDEX(Eingabe!$G$9:$G$18,I395)+1)&lt;=9,1000+(INDEX(Eingabe!$G$9:$G$18,I395)+1)*100,3000)+J395-100),IF(J395=K395+1,2000+INDEX(Eingabe!$G$9:$G$18,I395)*10+1,IF(J395=K395+2,2000+INDEX(Eingabe!$G$9:$G$18,I395)*10+2,2000+INDEX(Eingabe!$G$9:$G$18,I395)*10+9))),""))</f>
        <v/>
      </c>
      <c r="C395" s="0" t="str">
        <f aca="false">IF(I395="","",IF(AND(J395&gt;=1,J395&lt;=K395+3),"10."&amp;INDEX(Eingabe!$D$9:$D$18,I395)&amp;"."&amp;IF(J395&lt;=K395,J395,IF(J395=K395+1,200,IF(J395=K395+2,201,250)))&amp;".0/24",""))</f>
        <v/>
      </c>
      <c r="D395" s="0" t="str">
        <f aca="false">IF(I395="","",IF(AND(J395&gt;=1,J395&lt;=K395+3),"255.255.255.0",""))</f>
        <v/>
      </c>
      <c r="E395" s="0" t="str">
        <f aca="false">IF(I395="","",IF(AND(J395&gt;=1,J395&lt;=K395+3),"10."&amp;INDEX(Eingabe!$D$9:$D$18,I395)&amp;"."&amp;IF(J395&lt;=K395,J395,IF(J395=K395+1,200,IF(J395=K395+2,201,250)))&amp;".1",""))</f>
        <v/>
      </c>
      <c r="F395" s="0" t="str">
        <f aca="false">IF(I395="","",IF(AND(J395&gt;=1,J395&lt;=K395+3),"10."&amp;INDEX(Eingabe!$D$9:$D$18,I395)&amp;"."&amp;IF(J395&lt;=K395,J395,IF(J395=K395+1,200,IF(J395=K395+2,201,250)))&amp;".10 – 10."&amp;INDEX(Eingabe!$D$9:$D$18,I395)&amp;"."&amp;IF(J395&lt;=K395,J395,IF(J395=K395+1,200,IF(J395=K395+2,201,250)))&amp;".250",""))</f>
        <v/>
      </c>
      <c r="G395" s="0" t="str">
        <f aca="false">IF(I395="","",IF(AND(J395&gt;=1,J395&lt;=K395),Eingabe!$B$6&amp;"-"&amp;INDEX(Eingabe!$C$9:$C$18,I395)&amp;"-Pächter  ·  Passwort Parzelle "&amp;J395,IF(J395=K395+1,Eingabe!$B$6&amp;"-"&amp;INDEX(Eingabe!$C$9:$C$18,I395)&amp;"-Vorstand  ·  eigenes WLAN",IF(J395=K395+2,Eingabe!$B$6&amp;"-"&amp;INDEX(Eingabe!$C$9:$C$18,I395)&amp;"-Gäste  ·  Voucher",IF(J395=K395+3,"Kabel  ·  Access Point y = .(50+y), Mast-Switch x = .(10+x)","")))))</f>
        <v/>
      </c>
      <c r="I395" s="0" t="str">
        <f aca="false">IF(390&lt;=(Eingabe!$P$18+Eingabe!$Q$18-1),MATCH(390,Eingabe!$P$9:$P$18,1),"")</f>
        <v/>
      </c>
      <c r="J395" s="0" t="str">
        <f aca="false">IF(I395="","",390-INDEX(Eingabe!$P$9:$P$18,I395))</f>
        <v/>
      </c>
      <c r="K395" s="0" t="str">
        <f aca="false">IF(I395="","",INDEX(Eingabe!$E$9:$E$18,I395))</f>
        <v/>
      </c>
    </row>
    <row r="396" customFormat="false" ht="15" hidden="false" customHeight="false" outlineLevel="0" collapsed="false">
      <c r="A396" s="0" t="str">
        <f aca="false">IF(I396="","",IF(J396=0,"Sparte "&amp;I396&amp;": "&amp;INDEX(Eingabe!$B$9:$B$18,I396)&amp;"  (Sparten-ID "&amp;INDEX(Eingabe!$D$9:$D$18,I396)&amp;", "&amp;K396&amp;" Parzellen)",IF(J396&lt;=K396,"   Parzelle "&amp;J396,IF(J396=K396+1,"   Vorstand",IF(J396=K396+2,"   Gäste",IF(J396=K396+3,"   Technik (Switches, Access Points)",""))))))</f>
        <v/>
      </c>
      <c r="B396" s="0" t="str">
        <f aca="false">IF(I396="","",IF(AND(J396&gt;=1,J396&lt;=K396+3),IF(J396&lt;=K396,IF(J396&lt;=99,IF((INDEX(Eingabe!$G$9:$G$18,I396))&lt;=9,1000+(INDEX(Eingabe!$G$9:$G$18,I396))*100,3000)+J396,IF((INDEX(Eingabe!$G$9:$G$18,I396)+1)&lt;=9,1000+(INDEX(Eingabe!$G$9:$G$18,I396)+1)*100,3000)+J396-100),IF(J396=K396+1,2000+INDEX(Eingabe!$G$9:$G$18,I396)*10+1,IF(J396=K396+2,2000+INDEX(Eingabe!$G$9:$G$18,I396)*10+2,2000+INDEX(Eingabe!$G$9:$G$18,I396)*10+9))),""))</f>
        <v/>
      </c>
      <c r="C396" s="0" t="str">
        <f aca="false">IF(I396="","",IF(AND(J396&gt;=1,J396&lt;=K396+3),"10."&amp;INDEX(Eingabe!$D$9:$D$18,I396)&amp;"."&amp;IF(J396&lt;=K396,J396,IF(J396=K396+1,200,IF(J396=K396+2,201,250)))&amp;".0/24",""))</f>
        <v/>
      </c>
      <c r="D396" s="0" t="str">
        <f aca="false">IF(I396="","",IF(AND(J396&gt;=1,J396&lt;=K396+3),"255.255.255.0",""))</f>
        <v/>
      </c>
      <c r="E396" s="0" t="str">
        <f aca="false">IF(I396="","",IF(AND(J396&gt;=1,J396&lt;=K396+3),"10."&amp;INDEX(Eingabe!$D$9:$D$18,I396)&amp;"."&amp;IF(J396&lt;=K396,J396,IF(J396=K396+1,200,IF(J396=K396+2,201,250)))&amp;".1",""))</f>
        <v/>
      </c>
      <c r="F396" s="0" t="str">
        <f aca="false">IF(I396="","",IF(AND(J396&gt;=1,J396&lt;=K396+3),"10."&amp;INDEX(Eingabe!$D$9:$D$18,I396)&amp;"."&amp;IF(J396&lt;=K396,J396,IF(J396=K396+1,200,IF(J396=K396+2,201,250)))&amp;".10 – 10."&amp;INDEX(Eingabe!$D$9:$D$18,I396)&amp;"."&amp;IF(J396&lt;=K396,J396,IF(J396=K396+1,200,IF(J396=K396+2,201,250)))&amp;".250",""))</f>
        <v/>
      </c>
      <c r="G396" s="0" t="str">
        <f aca="false">IF(I396="","",IF(AND(J396&gt;=1,J396&lt;=K396),Eingabe!$B$6&amp;"-"&amp;INDEX(Eingabe!$C$9:$C$18,I396)&amp;"-Pächter  ·  Passwort Parzelle "&amp;J396,IF(J396=K396+1,Eingabe!$B$6&amp;"-"&amp;INDEX(Eingabe!$C$9:$C$18,I396)&amp;"-Vorstand  ·  eigenes WLAN",IF(J396=K396+2,Eingabe!$B$6&amp;"-"&amp;INDEX(Eingabe!$C$9:$C$18,I396)&amp;"-Gäste  ·  Voucher",IF(J396=K396+3,"Kabel  ·  Access Point y = .(50+y), Mast-Switch x = .(10+x)","")))))</f>
        <v/>
      </c>
      <c r="I396" s="0" t="str">
        <f aca="false">IF(391&lt;=(Eingabe!$P$18+Eingabe!$Q$18-1),MATCH(391,Eingabe!$P$9:$P$18,1),"")</f>
        <v/>
      </c>
      <c r="J396" s="0" t="str">
        <f aca="false">IF(I396="","",391-INDEX(Eingabe!$P$9:$P$18,I396))</f>
        <v/>
      </c>
      <c r="K396" s="0" t="str">
        <f aca="false">IF(I396="","",INDEX(Eingabe!$E$9:$E$18,I396))</f>
        <v/>
      </c>
    </row>
    <row r="397" customFormat="false" ht="15" hidden="false" customHeight="false" outlineLevel="0" collapsed="false">
      <c r="A397" s="0" t="str">
        <f aca="false">IF(I397="","",IF(J397=0,"Sparte "&amp;I397&amp;": "&amp;INDEX(Eingabe!$B$9:$B$18,I397)&amp;"  (Sparten-ID "&amp;INDEX(Eingabe!$D$9:$D$18,I397)&amp;", "&amp;K397&amp;" Parzellen)",IF(J397&lt;=K397,"   Parzelle "&amp;J397,IF(J397=K397+1,"   Vorstand",IF(J397=K397+2,"   Gäste",IF(J397=K397+3,"   Technik (Switches, Access Points)",""))))))</f>
        <v/>
      </c>
      <c r="B397" s="0" t="str">
        <f aca="false">IF(I397="","",IF(AND(J397&gt;=1,J397&lt;=K397+3),IF(J397&lt;=K397,IF(J397&lt;=99,IF((INDEX(Eingabe!$G$9:$G$18,I397))&lt;=9,1000+(INDEX(Eingabe!$G$9:$G$18,I397))*100,3000)+J397,IF((INDEX(Eingabe!$G$9:$G$18,I397)+1)&lt;=9,1000+(INDEX(Eingabe!$G$9:$G$18,I397)+1)*100,3000)+J397-100),IF(J397=K397+1,2000+INDEX(Eingabe!$G$9:$G$18,I397)*10+1,IF(J397=K397+2,2000+INDEX(Eingabe!$G$9:$G$18,I397)*10+2,2000+INDEX(Eingabe!$G$9:$G$18,I397)*10+9))),""))</f>
        <v/>
      </c>
      <c r="C397" s="0" t="str">
        <f aca="false">IF(I397="","",IF(AND(J397&gt;=1,J397&lt;=K397+3),"10."&amp;INDEX(Eingabe!$D$9:$D$18,I397)&amp;"."&amp;IF(J397&lt;=K397,J397,IF(J397=K397+1,200,IF(J397=K397+2,201,250)))&amp;".0/24",""))</f>
        <v/>
      </c>
      <c r="D397" s="0" t="str">
        <f aca="false">IF(I397="","",IF(AND(J397&gt;=1,J397&lt;=K397+3),"255.255.255.0",""))</f>
        <v/>
      </c>
      <c r="E397" s="0" t="str">
        <f aca="false">IF(I397="","",IF(AND(J397&gt;=1,J397&lt;=K397+3),"10."&amp;INDEX(Eingabe!$D$9:$D$18,I397)&amp;"."&amp;IF(J397&lt;=K397,J397,IF(J397=K397+1,200,IF(J397=K397+2,201,250)))&amp;".1",""))</f>
        <v/>
      </c>
      <c r="F397" s="0" t="str">
        <f aca="false">IF(I397="","",IF(AND(J397&gt;=1,J397&lt;=K397+3),"10."&amp;INDEX(Eingabe!$D$9:$D$18,I397)&amp;"."&amp;IF(J397&lt;=K397,J397,IF(J397=K397+1,200,IF(J397=K397+2,201,250)))&amp;".10 – 10."&amp;INDEX(Eingabe!$D$9:$D$18,I397)&amp;"."&amp;IF(J397&lt;=K397,J397,IF(J397=K397+1,200,IF(J397=K397+2,201,250)))&amp;".250",""))</f>
        <v/>
      </c>
      <c r="G397" s="0" t="str">
        <f aca="false">IF(I397="","",IF(AND(J397&gt;=1,J397&lt;=K397),Eingabe!$B$6&amp;"-"&amp;INDEX(Eingabe!$C$9:$C$18,I397)&amp;"-Pächter  ·  Passwort Parzelle "&amp;J397,IF(J397=K397+1,Eingabe!$B$6&amp;"-"&amp;INDEX(Eingabe!$C$9:$C$18,I397)&amp;"-Vorstand  ·  eigenes WLAN",IF(J397=K397+2,Eingabe!$B$6&amp;"-"&amp;INDEX(Eingabe!$C$9:$C$18,I397)&amp;"-Gäste  ·  Voucher",IF(J397=K397+3,"Kabel  ·  Access Point y = .(50+y), Mast-Switch x = .(10+x)","")))))</f>
        <v/>
      </c>
      <c r="I397" s="0" t="str">
        <f aca="false">IF(392&lt;=(Eingabe!$P$18+Eingabe!$Q$18-1),MATCH(392,Eingabe!$P$9:$P$18,1),"")</f>
        <v/>
      </c>
      <c r="J397" s="0" t="str">
        <f aca="false">IF(I397="","",392-INDEX(Eingabe!$P$9:$P$18,I397))</f>
        <v/>
      </c>
      <c r="K397" s="0" t="str">
        <f aca="false">IF(I397="","",INDEX(Eingabe!$E$9:$E$18,I397))</f>
        <v/>
      </c>
    </row>
    <row r="398" customFormat="false" ht="15" hidden="false" customHeight="false" outlineLevel="0" collapsed="false">
      <c r="A398" s="0" t="str">
        <f aca="false">IF(I398="","",IF(J398=0,"Sparte "&amp;I398&amp;": "&amp;INDEX(Eingabe!$B$9:$B$18,I398)&amp;"  (Sparten-ID "&amp;INDEX(Eingabe!$D$9:$D$18,I398)&amp;", "&amp;K398&amp;" Parzellen)",IF(J398&lt;=K398,"   Parzelle "&amp;J398,IF(J398=K398+1,"   Vorstand",IF(J398=K398+2,"   Gäste",IF(J398=K398+3,"   Technik (Switches, Access Points)",""))))))</f>
        <v/>
      </c>
      <c r="B398" s="0" t="str">
        <f aca="false">IF(I398="","",IF(AND(J398&gt;=1,J398&lt;=K398+3),IF(J398&lt;=K398,IF(J398&lt;=99,IF((INDEX(Eingabe!$G$9:$G$18,I398))&lt;=9,1000+(INDEX(Eingabe!$G$9:$G$18,I398))*100,3000)+J398,IF((INDEX(Eingabe!$G$9:$G$18,I398)+1)&lt;=9,1000+(INDEX(Eingabe!$G$9:$G$18,I398)+1)*100,3000)+J398-100),IF(J398=K398+1,2000+INDEX(Eingabe!$G$9:$G$18,I398)*10+1,IF(J398=K398+2,2000+INDEX(Eingabe!$G$9:$G$18,I398)*10+2,2000+INDEX(Eingabe!$G$9:$G$18,I398)*10+9))),""))</f>
        <v/>
      </c>
      <c r="C398" s="0" t="str">
        <f aca="false">IF(I398="","",IF(AND(J398&gt;=1,J398&lt;=K398+3),"10."&amp;INDEX(Eingabe!$D$9:$D$18,I398)&amp;"."&amp;IF(J398&lt;=K398,J398,IF(J398=K398+1,200,IF(J398=K398+2,201,250)))&amp;".0/24",""))</f>
        <v/>
      </c>
      <c r="D398" s="0" t="str">
        <f aca="false">IF(I398="","",IF(AND(J398&gt;=1,J398&lt;=K398+3),"255.255.255.0",""))</f>
        <v/>
      </c>
      <c r="E398" s="0" t="str">
        <f aca="false">IF(I398="","",IF(AND(J398&gt;=1,J398&lt;=K398+3),"10."&amp;INDEX(Eingabe!$D$9:$D$18,I398)&amp;"."&amp;IF(J398&lt;=K398,J398,IF(J398=K398+1,200,IF(J398=K398+2,201,250)))&amp;".1",""))</f>
        <v/>
      </c>
      <c r="F398" s="0" t="str">
        <f aca="false">IF(I398="","",IF(AND(J398&gt;=1,J398&lt;=K398+3),"10."&amp;INDEX(Eingabe!$D$9:$D$18,I398)&amp;"."&amp;IF(J398&lt;=K398,J398,IF(J398=K398+1,200,IF(J398=K398+2,201,250)))&amp;".10 – 10."&amp;INDEX(Eingabe!$D$9:$D$18,I398)&amp;"."&amp;IF(J398&lt;=K398,J398,IF(J398=K398+1,200,IF(J398=K398+2,201,250)))&amp;".250",""))</f>
        <v/>
      </c>
      <c r="G398" s="0" t="str">
        <f aca="false">IF(I398="","",IF(AND(J398&gt;=1,J398&lt;=K398),Eingabe!$B$6&amp;"-"&amp;INDEX(Eingabe!$C$9:$C$18,I398)&amp;"-Pächter  ·  Passwort Parzelle "&amp;J398,IF(J398=K398+1,Eingabe!$B$6&amp;"-"&amp;INDEX(Eingabe!$C$9:$C$18,I398)&amp;"-Vorstand  ·  eigenes WLAN",IF(J398=K398+2,Eingabe!$B$6&amp;"-"&amp;INDEX(Eingabe!$C$9:$C$18,I398)&amp;"-Gäste  ·  Voucher",IF(J398=K398+3,"Kabel  ·  Access Point y = .(50+y), Mast-Switch x = .(10+x)","")))))</f>
        <v/>
      </c>
      <c r="I398" s="0" t="str">
        <f aca="false">IF(393&lt;=(Eingabe!$P$18+Eingabe!$Q$18-1),MATCH(393,Eingabe!$P$9:$P$18,1),"")</f>
        <v/>
      </c>
      <c r="J398" s="0" t="str">
        <f aca="false">IF(I398="","",393-INDEX(Eingabe!$P$9:$P$18,I398))</f>
        <v/>
      </c>
      <c r="K398" s="0" t="str">
        <f aca="false">IF(I398="","",INDEX(Eingabe!$E$9:$E$18,I398))</f>
        <v/>
      </c>
    </row>
    <row r="399" customFormat="false" ht="15" hidden="false" customHeight="false" outlineLevel="0" collapsed="false">
      <c r="A399" s="0" t="str">
        <f aca="false">IF(I399="","",IF(J399=0,"Sparte "&amp;I399&amp;": "&amp;INDEX(Eingabe!$B$9:$B$18,I399)&amp;"  (Sparten-ID "&amp;INDEX(Eingabe!$D$9:$D$18,I399)&amp;", "&amp;K399&amp;" Parzellen)",IF(J399&lt;=K399,"   Parzelle "&amp;J399,IF(J399=K399+1,"   Vorstand",IF(J399=K399+2,"   Gäste",IF(J399=K399+3,"   Technik (Switches, Access Points)",""))))))</f>
        <v/>
      </c>
      <c r="B399" s="0" t="str">
        <f aca="false">IF(I399="","",IF(AND(J399&gt;=1,J399&lt;=K399+3),IF(J399&lt;=K399,IF(J399&lt;=99,IF((INDEX(Eingabe!$G$9:$G$18,I399))&lt;=9,1000+(INDEX(Eingabe!$G$9:$G$18,I399))*100,3000)+J399,IF((INDEX(Eingabe!$G$9:$G$18,I399)+1)&lt;=9,1000+(INDEX(Eingabe!$G$9:$G$18,I399)+1)*100,3000)+J399-100),IF(J399=K399+1,2000+INDEX(Eingabe!$G$9:$G$18,I399)*10+1,IF(J399=K399+2,2000+INDEX(Eingabe!$G$9:$G$18,I399)*10+2,2000+INDEX(Eingabe!$G$9:$G$18,I399)*10+9))),""))</f>
        <v/>
      </c>
      <c r="C399" s="0" t="str">
        <f aca="false">IF(I399="","",IF(AND(J399&gt;=1,J399&lt;=K399+3),"10."&amp;INDEX(Eingabe!$D$9:$D$18,I399)&amp;"."&amp;IF(J399&lt;=K399,J399,IF(J399=K399+1,200,IF(J399=K399+2,201,250)))&amp;".0/24",""))</f>
        <v/>
      </c>
      <c r="D399" s="0" t="str">
        <f aca="false">IF(I399="","",IF(AND(J399&gt;=1,J399&lt;=K399+3),"255.255.255.0",""))</f>
        <v/>
      </c>
      <c r="E399" s="0" t="str">
        <f aca="false">IF(I399="","",IF(AND(J399&gt;=1,J399&lt;=K399+3),"10."&amp;INDEX(Eingabe!$D$9:$D$18,I399)&amp;"."&amp;IF(J399&lt;=K399,J399,IF(J399=K399+1,200,IF(J399=K399+2,201,250)))&amp;".1",""))</f>
        <v/>
      </c>
      <c r="F399" s="0" t="str">
        <f aca="false">IF(I399="","",IF(AND(J399&gt;=1,J399&lt;=K399+3),"10."&amp;INDEX(Eingabe!$D$9:$D$18,I399)&amp;"."&amp;IF(J399&lt;=K399,J399,IF(J399=K399+1,200,IF(J399=K399+2,201,250)))&amp;".10 – 10."&amp;INDEX(Eingabe!$D$9:$D$18,I399)&amp;"."&amp;IF(J399&lt;=K399,J399,IF(J399=K399+1,200,IF(J399=K399+2,201,250)))&amp;".250",""))</f>
        <v/>
      </c>
      <c r="G399" s="0" t="str">
        <f aca="false">IF(I399="","",IF(AND(J399&gt;=1,J399&lt;=K399),Eingabe!$B$6&amp;"-"&amp;INDEX(Eingabe!$C$9:$C$18,I399)&amp;"-Pächter  ·  Passwort Parzelle "&amp;J399,IF(J399=K399+1,Eingabe!$B$6&amp;"-"&amp;INDEX(Eingabe!$C$9:$C$18,I399)&amp;"-Vorstand  ·  eigenes WLAN",IF(J399=K399+2,Eingabe!$B$6&amp;"-"&amp;INDEX(Eingabe!$C$9:$C$18,I399)&amp;"-Gäste  ·  Voucher",IF(J399=K399+3,"Kabel  ·  Access Point y = .(50+y), Mast-Switch x = .(10+x)","")))))</f>
        <v/>
      </c>
      <c r="I399" s="0" t="str">
        <f aca="false">IF(394&lt;=(Eingabe!$P$18+Eingabe!$Q$18-1),MATCH(394,Eingabe!$P$9:$P$18,1),"")</f>
        <v/>
      </c>
      <c r="J399" s="0" t="str">
        <f aca="false">IF(I399="","",394-INDEX(Eingabe!$P$9:$P$18,I399))</f>
        <v/>
      </c>
      <c r="K399" s="0" t="str">
        <f aca="false">IF(I399="","",INDEX(Eingabe!$E$9:$E$18,I399))</f>
        <v/>
      </c>
    </row>
    <row r="400" customFormat="false" ht="15" hidden="false" customHeight="false" outlineLevel="0" collapsed="false">
      <c r="A400" s="0" t="str">
        <f aca="false">IF(I400="","",IF(J400=0,"Sparte "&amp;I400&amp;": "&amp;INDEX(Eingabe!$B$9:$B$18,I400)&amp;"  (Sparten-ID "&amp;INDEX(Eingabe!$D$9:$D$18,I400)&amp;", "&amp;K400&amp;" Parzellen)",IF(J400&lt;=K400,"   Parzelle "&amp;J400,IF(J400=K400+1,"   Vorstand",IF(J400=K400+2,"   Gäste",IF(J400=K400+3,"   Technik (Switches, Access Points)",""))))))</f>
        <v/>
      </c>
      <c r="B400" s="0" t="str">
        <f aca="false">IF(I400="","",IF(AND(J400&gt;=1,J400&lt;=K400+3),IF(J400&lt;=K400,IF(J400&lt;=99,IF((INDEX(Eingabe!$G$9:$G$18,I400))&lt;=9,1000+(INDEX(Eingabe!$G$9:$G$18,I400))*100,3000)+J400,IF((INDEX(Eingabe!$G$9:$G$18,I400)+1)&lt;=9,1000+(INDEX(Eingabe!$G$9:$G$18,I400)+1)*100,3000)+J400-100),IF(J400=K400+1,2000+INDEX(Eingabe!$G$9:$G$18,I400)*10+1,IF(J400=K400+2,2000+INDEX(Eingabe!$G$9:$G$18,I400)*10+2,2000+INDEX(Eingabe!$G$9:$G$18,I400)*10+9))),""))</f>
        <v/>
      </c>
      <c r="C400" s="0" t="str">
        <f aca="false">IF(I400="","",IF(AND(J400&gt;=1,J400&lt;=K400+3),"10."&amp;INDEX(Eingabe!$D$9:$D$18,I400)&amp;"."&amp;IF(J400&lt;=K400,J400,IF(J400=K400+1,200,IF(J400=K400+2,201,250)))&amp;".0/24",""))</f>
        <v/>
      </c>
      <c r="D400" s="0" t="str">
        <f aca="false">IF(I400="","",IF(AND(J400&gt;=1,J400&lt;=K400+3),"255.255.255.0",""))</f>
        <v/>
      </c>
      <c r="E400" s="0" t="str">
        <f aca="false">IF(I400="","",IF(AND(J400&gt;=1,J400&lt;=K400+3),"10."&amp;INDEX(Eingabe!$D$9:$D$18,I400)&amp;"."&amp;IF(J400&lt;=K400,J400,IF(J400=K400+1,200,IF(J400=K400+2,201,250)))&amp;".1",""))</f>
        <v/>
      </c>
      <c r="F400" s="0" t="str">
        <f aca="false">IF(I400="","",IF(AND(J400&gt;=1,J400&lt;=K400+3),"10."&amp;INDEX(Eingabe!$D$9:$D$18,I400)&amp;"."&amp;IF(J400&lt;=K400,J400,IF(J400=K400+1,200,IF(J400=K400+2,201,250)))&amp;".10 – 10."&amp;INDEX(Eingabe!$D$9:$D$18,I400)&amp;"."&amp;IF(J400&lt;=K400,J400,IF(J400=K400+1,200,IF(J400=K400+2,201,250)))&amp;".250",""))</f>
        <v/>
      </c>
      <c r="G400" s="0" t="str">
        <f aca="false">IF(I400="","",IF(AND(J400&gt;=1,J400&lt;=K400),Eingabe!$B$6&amp;"-"&amp;INDEX(Eingabe!$C$9:$C$18,I400)&amp;"-Pächter  ·  Passwort Parzelle "&amp;J400,IF(J400=K400+1,Eingabe!$B$6&amp;"-"&amp;INDEX(Eingabe!$C$9:$C$18,I400)&amp;"-Vorstand  ·  eigenes WLAN",IF(J400=K400+2,Eingabe!$B$6&amp;"-"&amp;INDEX(Eingabe!$C$9:$C$18,I400)&amp;"-Gäste  ·  Voucher",IF(J400=K400+3,"Kabel  ·  Access Point y = .(50+y), Mast-Switch x = .(10+x)","")))))</f>
        <v/>
      </c>
      <c r="I400" s="0" t="str">
        <f aca="false">IF(395&lt;=(Eingabe!$P$18+Eingabe!$Q$18-1),MATCH(395,Eingabe!$P$9:$P$18,1),"")</f>
        <v/>
      </c>
      <c r="J400" s="0" t="str">
        <f aca="false">IF(I400="","",395-INDEX(Eingabe!$P$9:$P$18,I400))</f>
        <v/>
      </c>
      <c r="K400" s="0" t="str">
        <f aca="false">IF(I400="","",INDEX(Eingabe!$E$9:$E$18,I400))</f>
        <v/>
      </c>
    </row>
    <row r="401" customFormat="false" ht="15" hidden="false" customHeight="false" outlineLevel="0" collapsed="false">
      <c r="A401" s="0" t="str">
        <f aca="false">IF(I401="","",IF(J401=0,"Sparte "&amp;I401&amp;": "&amp;INDEX(Eingabe!$B$9:$B$18,I401)&amp;"  (Sparten-ID "&amp;INDEX(Eingabe!$D$9:$D$18,I401)&amp;", "&amp;K401&amp;" Parzellen)",IF(J401&lt;=K401,"   Parzelle "&amp;J401,IF(J401=K401+1,"   Vorstand",IF(J401=K401+2,"   Gäste",IF(J401=K401+3,"   Technik (Switches, Access Points)",""))))))</f>
        <v/>
      </c>
      <c r="B401" s="0" t="str">
        <f aca="false">IF(I401="","",IF(AND(J401&gt;=1,J401&lt;=K401+3),IF(J401&lt;=K401,IF(J401&lt;=99,IF((INDEX(Eingabe!$G$9:$G$18,I401))&lt;=9,1000+(INDEX(Eingabe!$G$9:$G$18,I401))*100,3000)+J401,IF((INDEX(Eingabe!$G$9:$G$18,I401)+1)&lt;=9,1000+(INDEX(Eingabe!$G$9:$G$18,I401)+1)*100,3000)+J401-100),IF(J401=K401+1,2000+INDEX(Eingabe!$G$9:$G$18,I401)*10+1,IF(J401=K401+2,2000+INDEX(Eingabe!$G$9:$G$18,I401)*10+2,2000+INDEX(Eingabe!$G$9:$G$18,I401)*10+9))),""))</f>
        <v/>
      </c>
      <c r="C401" s="0" t="str">
        <f aca="false">IF(I401="","",IF(AND(J401&gt;=1,J401&lt;=K401+3),"10."&amp;INDEX(Eingabe!$D$9:$D$18,I401)&amp;"."&amp;IF(J401&lt;=K401,J401,IF(J401=K401+1,200,IF(J401=K401+2,201,250)))&amp;".0/24",""))</f>
        <v/>
      </c>
      <c r="D401" s="0" t="str">
        <f aca="false">IF(I401="","",IF(AND(J401&gt;=1,J401&lt;=K401+3),"255.255.255.0",""))</f>
        <v/>
      </c>
      <c r="E401" s="0" t="str">
        <f aca="false">IF(I401="","",IF(AND(J401&gt;=1,J401&lt;=K401+3),"10."&amp;INDEX(Eingabe!$D$9:$D$18,I401)&amp;"."&amp;IF(J401&lt;=K401,J401,IF(J401=K401+1,200,IF(J401=K401+2,201,250)))&amp;".1",""))</f>
        <v/>
      </c>
      <c r="F401" s="0" t="str">
        <f aca="false">IF(I401="","",IF(AND(J401&gt;=1,J401&lt;=K401+3),"10."&amp;INDEX(Eingabe!$D$9:$D$18,I401)&amp;"."&amp;IF(J401&lt;=K401,J401,IF(J401=K401+1,200,IF(J401=K401+2,201,250)))&amp;".10 – 10."&amp;INDEX(Eingabe!$D$9:$D$18,I401)&amp;"."&amp;IF(J401&lt;=K401,J401,IF(J401=K401+1,200,IF(J401=K401+2,201,250)))&amp;".250",""))</f>
        <v/>
      </c>
      <c r="G401" s="0" t="str">
        <f aca="false">IF(I401="","",IF(AND(J401&gt;=1,J401&lt;=K401),Eingabe!$B$6&amp;"-"&amp;INDEX(Eingabe!$C$9:$C$18,I401)&amp;"-Pächter  ·  Passwort Parzelle "&amp;J401,IF(J401=K401+1,Eingabe!$B$6&amp;"-"&amp;INDEX(Eingabe!$C$9:$C$18,I401)&amp;"-Vorstand  ·  eigenes WLAN",IF(J401=K401+2,Eingabe!$B$6&amp;"-"&amp;INDEX(Eingabe!$C$9:$C$18,I401)&amp;"-Gäste  ·  Voucher",IF(J401=K401+3,"Kabel  ·  Access Point y = .(50+y), Mast-Switch x = .(10+x)","")))))</f>
        <v/>
      </c>
      <c r="I401" s="0" t="str">
        <f aca="false">IF(396&lt;=(Eingabe!$P$18+Eingabe!$Q$18-1),MATCH(396,Eingabe!$P$9:$P$18,1),"")</f>
        <v/>
      </c>
      <c r="J401" s="0" t="str">
        <f aca="false">IF(I401="","",396-INDEX(Eingabe!$P$9:$P$18,I401))</f>
        <v/>
      </c>
      <c r="K401" s="0" t="str">
        <f aca="false">IF(I401="","",INDEX(Eingabe!$E$9:$E$18,I401))</f>
        <v/>
      </c>
    </row>
    <row r="402" customFormat="false" ht="15" hidden="false" customHeight="false" outlineLevel="0" collapsed="false">
      <c r="A402" s="0" t="str">
        <f aca="false">IF(I402="","",IF(J402=0,"Sparte "&amp;I402&amp;": "&amp;INDEX(Eingabe!$B$9:$B$18,I402)&amp;"  (Sparten-ID "&amp;INDEX(Eingabe!$D$9:$D$18,I402)&amp;", "&amp;K402&amp;" Parzellen)",IF(J402&lt;=K402,"   Parzelle "&amp;J402,IF(J402=K402+1,"   Vorstand",IF(J402=K402+2,"   Gäste",IF(J402=K402+3,"   Technik (Switches, Access Points)",""))))))</f>
        <v/>
      </c>
      <c r="B402" s="0" t="str">
        <f aca="false">IF(I402="","",IF(AND(J402&gt;=1,J402&lt;=K402+3),IF(J402&lt;=K402,IF(J402&lt;=99,IF((INDEX(Eingabe!$G$9:$G$18,I402))&lt;=9,1000+(INDEX(Eingabe!$G$9:$G$18,I402))*100,3000)+J402,IF((INDEX(Eingabe!$G$9:$G$18,I402)+1)&lt;=9,1000+(INDEX(Eingabe!$G$9:$G$18,I402)+1)*100,3000)+J402-100),IF(J402=K402+1,2000+INDEX(Eingabe!$G$9:$G$18,I402)*10+1,IF(J402=K402+2,2000+INDEX(Eingabe!$G$9:$G$18,I402)*10+2,2000+INDEX(Eingabe!$G$9:$G$18,I402)*10+9))),""))</f>
        <v/>
      </c>
      <c r="C402" s="0" t="str">
        <f aca="false">IF(I402="","",IF(AND(J402&gt;=1,J402&lt;=K402+3),"10."&amp;INDEX(Eingabe!$D$9:$D$18,I402)&amp;"."&amp;IF(J402&lt;=K402,J402,IF(J402=K402+1,200,IF(J402=K402+2,201,250)))&amp;".0/24",""))</f>
        <v/>
      </c>
      <c r="D402" s="0" t="str">
        <f aca="false">IF(I402="","",IF(AND(J402&gt;=1,J402&lt;=K402+3),"255.255.255.0",""))</f>
        <v/>
      </c>
      <c r="E402" s="0" t="str">
        <f aca="false">IF(I402="","",IF(AND(J402&gt;=1,J402&lt;=K402+3),"10."&amp;INDEX(Eingabe!$D$9:$D$18,I402)&amp;"."&amp;IF(J402&lt;=K402,J402,IF(J402=K402+1,200,IF(J402=K402+2,201,250)))&amp;".1",""))</f>
        <v/>
      </c>
      <c r="F402" s="0" t="str">
        <f aca="false">IF(I402="","",IF(AND(J402&gt;=1,J402&lt;=K402+3),"10."&amp;INDEX(Eingabe!$D$9:$D$18,I402)&amp;"."&amp;IF(J402&lt;=K402,J402,IF(J402=K402+1,200,IF(J402=K402+2,201,250)))&amp;".10 – 10."&amp;INDEX(Eingabe!$D$9:$D$18,I402)&amp;"."&amp;IF(J402&lt;=K402,J402,IF(J402=K402+1,200,IF(J402=K402+2,201,250)))&amp;".250",""))</f>
        <v/>
      </c>
      <c r="G402" s="0" t="str">
        <f aca="false">IF(I402="","",IF(AND(J402&gt;=1,J402&lt;=K402),Eingabe!$B$6&amp;"-"&amp;INDEX(Eingabe!$C$9:$C$18,I402)&amp;"-Pächter  ·  Passwort Parzelle "&amp;J402,IF(J402=K402+1,Eingabe!$B$6&amp;"-"&amp;INDEX(Eingabe!$C$9:$C$18,I402)&amp;"-Vorstand  ·  eigenes WLAN",IF(J402=K402+2,Eingabe!$B$6&amp;"-"&amp;INDEX(Eingabe!$C$9:$C$18,I402)&amp;"-Gäste  ·  Voucher",IF(J402=K402+3,"Kabel  ·  Access Point y = .(50+y), Mast-Switch x = .(10+x)","")))))</f>
        <v/>
      </c>
      <c r="I402" s="0" t="str">
        <f aca="false">IF(397&lt;=(Eingabe!$P$18+Eingabe!$Q$18-1),MATCH(397,Eingabe!$P$9:$P$18,1),"")</f>
        <v/>
      </c>
      <c r="J402" s="0" t="str">
        <f aca="false">IF(I402="","",397-INDEX(Eingabe!$P$9:$P$18,I402))</f>
        <v/>
      </c>
      <c r="K402" s="0" t="str">
        <f aca="false">IF(I402="","",INDEX(Eingabe!$E$9:$E$18,I402))</f>
        <v/>
      </c>
    </row>
    <row r="403" customFormat="false" ht="15" hidden="false" customHeight="false" outlineLevel="0" collapsed="false">
      <c r="A403" s="0" t="str">
        <f aca="false">IF(I403="","",IF(J403=0,"Sparte "&amp;I403&amp;": "&amp;INDEX(Eingabe!$B$9:$B$18,I403)&amp;"  (Sparten-ID "&amp;INDEX(Eingabe!$D$9:$D$18,I403)&amp;", "&amp;K403&amp;" Parzellen)",IF(J403&lt;=K403,"   Parzelle "&amp;J403,IF(J403=K403+1,"   Vorstand",IF(J403=K403+2,"   Gäste",IF(J403=K403+3,"   Technik (Switches, Access Points)",""))))))</f>
        <v/>
      </c>
      <c r="B403" s="0" t="str">
        <f aca="false">IF(I403="","",IF(AND(J403&gt;=1,J403&lt;=K403+3),IF(J403&lt;=K403,IF(J403&lt;=99,IF((INDEX(Eingabe!$G$9:$G$18,I403))&lt;=9,1000+(INDEX(Eingabe!$G$9:$G$18,I403))*100,3000)+J403,IF((INDEX(Eingabe!$G$9:$G$18,I403)+1)&lt;=9,1000+(INDEX(Eingabe!$G$9:$G$18,I403)+1)*100,3000)+J403-100),IF(J403=K403+1,2000+INDEX(Eingabe!$G$9:$G$18,I403)*10+1,IF(J403=K403+2,2000+INDEX(Eingabe!$G$9:$G$18,I403)*10+2,2000+INDEX(Eingabe!$G$9:$G$18,I403)*10+9))),""))</f>
        <v/>
      </c>
      <c r="C403" s="0" t="str">
        <f aca="false">IF(I403="","",IF(AND(J403&gt;=1,J403&lt;=K403+3),"10."&amp;INDEX(Eingabe!$D$9:$D$18,I403)&amp;"."&amp;IF(J403&lt;=K403,J403,IF(J403=K403+1,200,IF(J403=K403+2,201,250)))&amp;".0/24",""))</f>
        <v/>
      </c>
      <c r="D403" s="0" t="str">
        <f aca="false">IF(I403="","",IF(AND(J403&gt;=1,J403&lt;=K403+3),"255.255.255.0",""))</f>
        <v/>
      </c>
      <c r="E403" s="0" t="str">
        <f aca="false">IF(I403="","",IF(AND(J403&gt;=1,J403&lt;=K403+3),"10."&amp;INDEX(Eingabe!$D$9:$D$18,I403)&amp;"."&amp;IF(J403&lt;=K403,J403,IF(J403=K403+1,200,IF(J403=K403+2,201,250)))&amp;".1",""))</f>
        <v/>
      </c>
      <c r="F403" s="0" t="str">
        <f aca="false">IF(I403="","",IF(AND(J403&gt;=1,J403&lt;=K403+3),"10."&amp;INDEX(Eingabe!$D$9:$D$18,I403)&amp;"."&amp;IF(J403&lt;=K403,J403,IF(J403=K403+1,200,IF(J403=K403+2,201,250)))&amp;".10 – 10."&amp;INDEX(Eingabe!$D$9:$D$18,I403)&amp;"."&amp;IF(J403&lt;=K403,J403,IF(J403=K403+1,200,IF(J403=K403+2,201,250)))&amp;".250",""))</f>
        <v/>
      </c>
      <c r="G403" s="0" t="str">
        <f aca="false">IF(I403="","",IF(AND(J403&gt;=1,J403&lt;=K403),Eingabe!$B$6&amp;"-"&amp;INDEX(Eingabe!$C$9:$C$18,I403)&amp;"-Pächter  ·  Passwort Parzelle "&amp;J403,IF(J403=K403+1,Eingabe!$B$6&amp;"-"&amp;INDEX(Eingabe!$C$9:$C$18,I403)&amp;"-Vorstand  ·  eigenes WLAN",IF(J403=K403+2,Eingabe!$B$6&amp;"-"&amp;INDEX(Eingabe!$C$9:$C$18,I403)&amp;"-Gäste  ·  Voucher",IF(J403=K403+3,"Kabel  ·  Access Point y = .(50+y), Mast-Switch x = .(10+x)","")))))</f>
        <v/>
      </c>
      <c r="I403" s="0" t="str">
        <f aca="false">IF(398&lt;=(Eingabe!$P$18+Eingabe!$Q$18-1),MATCH(398,Eingabe!$P$9:$P$18,1),"")</f>
        <v/>
      </c>
      <c r="J403" s="0" t="str">
        <f aca="false">IF(I403="","",398-INDEX(Eingabe!$P$9:$P$18,I403))</f>
        <v/>
      </c>
      <c r="K403" s="0" t="str">
        <f aca="false">IF(I403="","",INDEX(Eingabe!$E$9:$E$18,I403))</f>
        <v/>
      </c>
    </row>
    <row r="404" customFormat="false" ht="15" hidden="false" customHeight="false" outlineLevel="0" collapsed="false">
      <c r="A404" s="0" t="str">
        <f aca="false">IF(I404="","",IF(J404=0,"Sparte "&amp;I404&amp;": "&amp;INDEX(Eingabe!$B$9:$B$18,I404)&amp;"  (Sparten-ID "&amp;INDEX(Eingabe!$D$9:$D$18,I404)&amp;", "&amp;K404&amp;" Parzellen)",IF(J404&lt;=K404,"   Parzelle "&amp;J404,IF(J404=K404+1,"   Vorstand",IF(J404=K404+2,"   Gäste",IF(J404=K404+3,"   Technik (Switches, Access Points)",""))))))</f>
        <v/>
      </c>
      <c r="B404" s="0" t="str">
        <f aca="false">IF(I404="","",IF(AND(J404&gt;=1,J404&lt;=K404+3),IF(J404&lt;=K404,IF(J404&lt;=99,IF((INDEX(Eingabe!$G$9:$G$18,I404))&lt;=9,1000+(INDEX(Eingabe!$G$9:$G$18,I404))*100,3000)+J404,IF((INDEX(Eingabe!$G$9:$G$18,I404)+1)&lt;=9,1000+(INDEX(Eingabe!$G$9:$G$18,I404)+1)*100,3000)+J404-100),IF(J404=K404+1,2000+INDEX(Eingabe!$G$9:$G$18,I404)*10+1,IF(J404=K404+2,2000+INDEX(Eingabe!$G$9:$G$18,I404)*10+2,2000+INDEX(Eingabe!$G$9:$G$18,I404)*10+9))),""))</f>
        <v/>
      </c>
      <c r="C404" s="0" t="str">
        <f aca="false">IF(I404="","",IF(AND(J404&gt;=1,J404&lt;=K404+3),"10."&amp;INDEX(Eingabe!$D$9:$D$18,I404)&amp;"."&amp;IF(J404&lt;=K404,J404,IF(J404=K404+1,200,IF(J404=K404+2,201,250)))&amp;".0/24",""))</f>
        <v/>
      </c>
      <c r="D404" s="0" t="str">
        <f aca="false">IF(I404="","",IF(AND(J404&gt;=1,J404&lt;=K404+3),"255.255.255.0",""))</f>
        <v/>
      </c>
      <c r="E404" s="0" t="str">
        <f aca="false">IF(I404="","",IF(AND(J404&gt;=1,J404&lt;=K404+3),"10."&amp;INDEX(Eingabe!$D$9:$D$18,I404)&amp;"."&amp;IF(J404&lt;=K404,J404,IF(J404=K404+1,200,IF(J404=K404+2,201,250)))&amp;".1",""))</f>
        <v/>
      </c>
      <c r="F404" s="0" t="str">
        <f aca="false">IF(I404="","",IF(AND(J404&gt;=1,J404&lt;=K404+3),"10."&amp;INDEX(Eingabe!$D$9:$D$18,I404)&amp;"."&amp;IF(J404&lt;=K404,J404,IF(J404=K404+1,200,IF(J404=K404+2,201,250)))&amp;".10 – 10."&amp;INDEX(Eingabe!$D$9:$D$18,I404)&amp;"."&amp;IF(J404&lt;=K404,J404,IF(J404=K404+1,200,IF(J404=K404+2,201,250)))&amp;".250",""))</f>
        <v/>
      </c>
      <c r="G404" s="0" t="str">
        <f aca="false">IF(I404="","",IF(AND(J404&gt;=1,J404&lt;=K404),Eingabe!$B$6&amp;"-"&amp;INDEX(Eingabe!$C$9:$C$18,I404)&amp;"-Pächter  ·  Passwort Parzelle "&amp;J404,IF(J404=K404+1,Eingabe!$B$6&amp;"-"&amp;INDEX(Eingabe!$C$9:$C$18,I404)&amp;"-Vorstand  ·  eigenes WLAN",IF(J404=K404+2,Eingabe!$B$6&amp;"-"&amp;INDEX(Eingabe!$C$9:$C$18,I404)&amp;"-Gäste  ·  Voucher",IF(J404=K404+3,"Kabel  ·  Access Point y = .(50+y), Mast-Switch x = .(10+x)","")))))</f>
        <v/>
      </c>
      <c r="I404" s="0" t="str">
        <f aca="false">IF(399&lt;=(Eingabe!$P$18+Eingabe!$Q$18-1),MATCH(399,Eingabe!$P$9:$P$18,1),"")</f>
        <v/>
      </c>
      <c r="J404" s="0" t="str">
        <f aca="false">IF(I404="","",399-INDEX(Eingabe!$P$9:$P$18,I404))</f>
        <v/>
      </c>
      <c r="K404" s="0" t="str">
        <f aca="false">IF(I404="","",INDEX(Eingabe!$E$9:$E$18,I404))</f>
        <v/>
      </c>
    </row>
    <row r="405" customFormat="false" ht="15" hidden="false" customHeight="false" outlineLevel="0" collapsed="false">
      <c r="A405" s="0" t="str">
        <f aca="false">IF(I405="","",IF(J405=0,"Sparte "&amp;I405&amp;": "&amp;INDEX(Eingabe!$B$9:$B$18,I405)&amp;"  (Sparten-ID "&amp;INDEX(Eingabe!$D$9:$D$18,I405)&amp;", "&amp;K405&amp;" Parzellen)",IF(J405&lt;=K405,"   Parzelle "&amp;J405,IF(J405=K405+1,"   Vorstand",IF(J405=K405+2,"   Gäste",IF(J405=K405+3,"   Technik (Switches, Access Points)",""))))))</f>
        <v/>
      </c>
      <c r="B405" s="0" t="str">
        <f aca="false">IF(I405="","",IF(AND(J405&gt;=1,J405&lt;=K405+3),IF(J405&lt;=K405,IF(J405&lt;=99,IF((INDEX(Eingabe!$G$9:$G$18,I405))&lt;=9,1000+(INDEX(Eingabe!$G$9:$G$18,I405))*100,3000)+J405,IF((INDEX(Eingabe!$G$9:$G$18,I405)+1)&lt;=9,1000+(INDEX(Eingabe!$G$9:$G$18,I405)+1)*100,3000)+J405-100),IF(J405=K405+1,2000+INDEX(Eingabe!$G$9:$G$18,I405)*10+1,IF(J405=K405+2,2000+INDEX(Eingabe!$G$9:$G$18,I405)*10+2,2000+INDEX(Eingabe!$G$9:$G$18,I405)*10+9))),""))</f>
        <v/>
      </c>
      <c r="C405" s="0" t="str">
        <f aca="false">IF(I405="","",IF(AND(J405&gt;=1,J405&lt;=K405+3),"10."&amp;INDEX(Eingabe!$D$9:$D$18,I405)&amp;"."&amp;IF(J405&lt;=K405,J405,IF(J405=K405+1,200,IF(J405=K405+2,201,250)))&amp;".0/24",""))</f>
        <v/>
      </c>
      <c r="D405" s="0" t="str">
        <f aca="false">IF(I405="","",IF(AND(J405&gt;=1,J405&lt;=K405+3),"255.255.255.0",""))</f>
        <v/>
      </c>
      <c r="E405" s="0" t="str">
        <f aca="false">IF(I405="","",IF(AND(J405&gt;=1,J405&lt;=K405+3),"10."&amp;INDEX(Eingabe!$D$9:$D$18,I405)&amp;"."&amp;IF(J405&lt;=K405,J405,IF(J405=K405+1,200,IF(J405=K405+2,201,250)))&amp;".1",""))</f>
        <v/>
      </c>
      <c r="F405" s="0" t="str">
        <f aca="false">IF(I405="","",IF(AND(J405&gt;=1,J405&lt;=K405+3),"10."&amp;INDEX(Eingabe!$D$9:$D$18,I405)&amp;"."&amp;IF(J405&lt;=K405,J405,IF(J405=K405+1,200,IF(J405=K405+2,201,250)))&amp;".10 – 10."&amp;INDEX(Eingabe!$D$9:$D$18,I405)&amp;"."&amp;IF(J405&lt;=K405,J405,IF(J405=K405+1,200,IF(J405=K405+2,201,250)))&amp;".250",""))</f>
        <v/>
      </c>
      <c r="G405" s="0" t="str">
        <f aca="false">IF(I405="","",IF(AND(J405&gt;=1,J405&lt;=K405),Eingabe!$B$6&amp;"-"&amp;INDEX(Eingabe!$C$9:$C$18,I405)&amp;"-Pächter  ·  Passwort Parzelle "&amp;J405,IF(J405=K405+1,Eingabe!$B$6&amp;"-"&amp;INDEX(Eingabe!$C$9:$C$18,I405)&amp;"-Vorstand  ·  eigenes WLAN",IF(J405=K405+2,Eingabe!$B$6&amp;"-"&amp;INDEX(Eingabe!$C$9:$C$18,I405)&amp;"-Gäste  ·  Voucher",IF(J405=K405+3,"Kabel  ·  Access Point y = .(50+y), Mast-Switch x = .(10+x)","")))))</f>
        <v/>
      </c>
      <c r="I405" s="0" t="str">
        <f aca="false">IF(400&lt;=(Eingabe!$P$18+Eingabe!$Q$18-1),MATCH(400,Eingabe!$P$9:$P$18,1),"")</f>
        <v/>
      </c>
      <c r="J405" s="0" t="str">
        <f aca="false">IF(I405="","",400-INDEX(Eingabe!$P$9:$P$18,I405))</f>
        <v/>
      </c>
      <c r="K405" s="0" t="str">
        <f aca="false">IF(I405="","",INDEX(Eingabe!$E$9:$E$18,I405))</f>
        <v/>
      </c>
    </row>
    <row r="406" customFormat="false" ht="15" hidden="false" customHeight="false" outlineLevel="0" collapsed="false">
      <c r="A406" s="0" t="str">
        <f aca="false">IF(I406="","",IF(J406=0,"Sparte "&amp;I406&amp;": "&amp;INDEX(Eingabe!$B$9:$B$18,I406)&amp;"  (Sparten-ID "&amp;INDEX(Eingabe!$D$9:$D$18,I406)&amp;", "&amp;K406&amp;" Parzellen)",IF(J406&lt;=K406,"   Parzelle "&amp;J406,IF(J406=K406+1,"   Vorstand",IF(J406=K406+2,"   Gäste",IF(J406=K406+3,"   Technik (Switches, Access Points)",""))))))</f>
        <v/>
      </c>
      <c r="B406" s="0" t="str">
        <f aca="false">IF(I406="","",IF(AND(J406&gt;=1,J406&lt;=K406+3),IF(J406&lt;=K406,IF(J406&lt;=99,IF((INDEX(Eingabe!$G$9:$G$18,I406))&lt;=9,1000+(INDEX(Eingabe!$G$9:$G$18,I406))*100,3000)+J406,IF((INDEX(Eingabe!$G$9:$G$18,I406)+1)&lt;=9,1000+(INDEX(Eingabe!$G$9:$G$18,I406)+1)*100,3000)+J406-100),IF(J406=K406+1,2000+INDEX(Eingabe!$G$9:$G$18,I406)*10+1,IF(J406=K406+2,2000+INDEX(Eingabe!$G$9:$G$18,I406)*10+2,2000+INDEX(Eingabe!$G$9:$G$18,I406)*10+9))),""))</f>
        <v/>
      </c>
      <c r="C406" s="0" t="str">
        <f aca="false">IF(I406="","",IF(AND(J406&gt;=1,J406&lt;=K406+3),"10."&amp;INDEX(Eingabe!$D$9:$D$18,I406)&amp;"."&amp;IF(J406&lt;=K406,J406,IF(J406=K406+1,200,IF(J406=K406+2,201,250)))&amp;".0/24",""))</f>
        <v/>
      </c>
      <c r="D406" s="0" t="str">
        <f aca="false">IF(I406="","",IF(AND(J406&gt;=1,J406&lt;=K406+3),"255.255.255.0",""))</f>
        <v/>
      </c>
      <c r="E406" s="0" t="str">
        <f aca="false">IF(I406="","",IF(AND(J406&gt;=1,J406&lt;=K406+3),"10."&amp;INDEX(Eingabe!$D$9:$D$18,I406)&amp;"."&amp;IF(J406&lt;=K406,J406,IF(J406=K406+1,200,IF(J406=K406+2,201,250)))&amp;".1",""))</f>
        <v/>
      </c>
      <c r="F406" s="0" t="str">
        <f aca="false">IF(I406="","",IF(AND(J406&gt;=1,J406&lt;=K406+3),"10."&amp;INDEX(Eingabe!$D$9:$D$18,I406)&amp;"."&amp;IF(J406&lt;=K406,J406,IF(J406=K406+1,200,IF(J406=K406+2,201,250)))&amp;".10 – 10."&amp;INDEX(Eingabe!$D$9:$D$18,I406)&amp;"."&amp;IF(J406&lt;=K406,J406,IF(J406=K406+1,200,IF(J406=K406+2,201,250)))&amp;".250",""))</f>
        <v/>
      </c>
      <c r="G406" s="0" t="str">
        <f aca="false">IF(I406="","",IF(AND(J406&gt;=1,J406&lt;=K406),Eingabe!$B$6&amp;"-"&amp;INDEX(Eingabe!$C$9:$C$18,I406)&amp;"-Pächter  ·  Passwort Parzelle "&amp;J406,IF(J406=K406+1,Eingabe!$B$6&amp;"-"&amp;INDEX(Eingabe!$C$9:$C$18,I406)&amp;"-Vorstand  ·  eigenes WLAN",IF(J406=K406+2,Eingabe!$B$6&amp;"-"&amp;INDEX(Eingabe!$C$9:$C$18,I406)&amp;"-Gäste  ·  Voucher",IF(J406=K406+3,"Kabel  ·  Access Point y = .(50+y), Mast-Switch x = .(10+x)","")))))</f>
        <v/>
      </c>
      <c r="I406" s="0" t="str">
        <f aca="false">IF(401&lt;=(Eingabe!$P$18+Eingabe!$Q$18-1),MATCH(401,Eingabe!$P$9:$P$18,1),"")</f>
        <v/>
      </c>
      <c r="J406" s="0" t="str">
        <f aca="false">IF(I406="","",401-INDEX(Eingabe!$P$9:$P$18,I406))</f>
        <v/>
      </c>
      <c r="K406" s="0" t="str">
        <f aca="false">IF(I406="","",INDEX(Eingabe!$E$9:$E$18,I406))</f>
        <v/>
      </c>
    </row>
    <row r="407" customFormat="false" ht="15" hidden="false" customHeight="false" outlineLevel="0" collapsed="false">
      <c r="A407" s="0" t="str">
        <f aca="false">IF(I407="","",IF(J407=0,"Sparte "&amp;I407&amp;": "&amp;INDEX(Eingabe!$B$9:$B$18,I407)&amp;"  (Sparten-ID "&amp;INDEX(Eingabe!$D$9:$D$18,I407)&amp;", "&amp;K407&amp;" Parzellen)",IF(J407&lt;=K407,"   Parzelle "&amp;J407,IF(J407=K407+1,"   Vorstand",IF(J407=K407+2,"   Gäste",IF(J407=K407+3,"   Technik (Switches, Access Points)",""))))))</f>
        <v/>
      </c>
      <c r="B407" s="0" t="str">
        <f aca="false">IF(I407="","",IF(AND(J407&gt;=1,J407&lt;=K407+3),IF(J407&lt;=K407,IF(J407&lt;=99,IF((INDEX(Eingabe!$G$9:$G$18,I407))&lt;=9,1000+(INDEX(Eingabe!$G$9:$G$18,I407))*100,3000)+J407,IF((INDEX(Eingabe!$G$9:$G$18,I407)+1)&lt;=9,1000+(INDEX(Eingabe!$G$9:$G$18,I407)+1)*100,3000)+J407-100),IF(J407=K407+1,2000+INDEX(Eingabe!$G$9:$G$18,I407)*10+1,IF(J407=K407+2,2000+INDEX(Eingabe!$G$9:$G$18,I407)*10+2,2000+INDEX(Eingabe!$G$9:$G$18,I407)*10+9))),""))</f>
        <v/>
      </c>
      <c r="C407" s="0" t="str">
        <f aca="false">IF(I407="","",IF(AND(J407&gt;=1,J407&lt;=K407+3),"10."&amp;INDEX(Eingabe!$D$9:$D$18,I407)&amp;"."&amp;IF(J407&lt;=K407,J407,IF(J407=K407+1,200,IF(J407=K407+2,201,250)))&amp;".0/24",""))</f>
        <v/>
      </c>
      <c r="D407" s="0" t="str">
        <f aca="false">IF(I407="","",IF(AND(J407&gt;=1,J407&lt;=K407+3),"255.255.255.0",""))</f>
        <v/>
      </c>
      <c r="E407" s="0" t="str">
        <f aca="false">IF(I407="","",IF(AND(J407&gt;=1,J407&lt;=K407+3),"10."&amp;INDEX(Eingabe!$D$9:$D$18,I407)&amp;"."&amp;IF(J407&lt;=K407,J407,IF(J407=K407+1,200,IF(J407=K407+2,201,250)))&amp;".1",""))</f>
        <v/>
      </c>
      <c r="F407" s="0" t="str">
        <f aca="false">IF(I407="","",IF(AND(J407&gt;=1,J407&lt;=K407+3),"10."&amp;INDEX(Eingabe!$D$9:$D$18,I407)&amp;"."&amp;IF(J407&lt;=K407,J407,IF(J407=K407+1,200,IF(J407=K407+2,201,250)))&amp;".10 – 10."&amp;INDEX(Eingabe!$D$9:$D$18,I407)&amp;"."&amp;IF(J407&lt;=K407,J407,IF(J407=K407+1,200,IF(J407=K407+2,201,250)))&amp;".250",""))</f>
        <v/>
      </c>
      <c r="G407" s="0" t="str">
        <f aca="false">IF(I407="","",IF(AND(J407&gt;=1,J407&lt;=K407),Eingabe!$B$6&amp;"-"&amp;INDEX(Eingabe!$C$9:$C$18,I407)&amp;"-Pächter  ·  Passwort Parzelle "&amp;J407,IF(J407=K407+1,Eingabe!$B$6&amp;"-"&amp;INDEX(Eingabe!$C$9:$C$18,I407)&amp;"-Vorstand  ·  eigenes WLAN",IF(J407=K407+2,Eingabe!$B$6&amp;"-"&amp;INDEX(Eingabe!$C$9:$C$18,I407)&amp;"-Gäste  ·  Voucher",IF(J407=K407+3,"Kabel  ·  Access Point y = .(50+y), Mast-Switch x = .(10+x)","")))))</f>
        <v/>
      </c>
      <c r="I407" s="0" t="str">
        <f aca="false">IF(402&lt;=(Eingabe!$P$18+Eingabe!$Q$18-1),MATCH(402,Eingabe!$P$9:$P$18,1),"")</f>
        <v/>
      </c>
      <c r="J407" s="0" t="str">
        <f aca="false">IF(I407="","",402-INDEX(Eingabe!$P$9:$P$18,I407))</f>
        <v/>
      </c>
      <c r="K407" s="0" t="str">
        <f aca="false">IF(I407="","",INDEX(Eingabe!$E$9:$E$18,I407))</f>
        <v/>
      </c>
    </row>
    <row r="408" customFormat="false" ht="15" hidden="false" customHeight="false" outlineLevel="0" collapsed="false">
      <c r="A408" s="0" t="str">
        <f aca="false">IF(I408="","",IF(J408=0,"Sparte "&amp;I408&amp;": "&amp;INDEX(Eingabe!$B$9:$B$18,I408)&amp;"  (Sparten-ID "&amp;INDEX(Eingabe!$D$9:$D$18,I408)&amp;", "&amp;K408&amp;" Parzellen)",IF(J408&lt;=K408,"   Parzelle "&amp;J408,IF(J408=K408+1,"   Vorstand",IF(J408=K408+2,"   Gäste",IF(J408=K408+3,"   Technik (Switches, Access Points)",""))))))</f>
        <v/>
      </c>
      <c r="B408" s="0" t="str">
        <f aca="false">IF(I408="","",IF(AND(J408&gt;=1,J408&lt;=K408+3),IF(J408&lt;=K408,IF(J408&lt;=99,IF((INDEX(Eingabe!$G$9:$G$18,I408))&lt;=9,1000+(INDEX(Eingabe!$G$9:$G$18,I408))*100,3000)+J408,IF((INDEX(Eingabe!$G$9:$G$18,I408)+1)&lt;=9,1000+(INDEX(Eingabe!$G$9:$G$18,I408)+1)*100,3000)+J408-100),IF(J408=K408+1,2000+INDEX(Eingabe!$G$9:$G$18,I408)*10+1,IF(J408=K408+2,2000+INDEX(Eingabe!$G$9:$G$18,I408)*10+2,2000+INDEX(Eingabe!$G$9:$G$18,I408)*10+9))),""))</f>
        <v/>
      </c>
      <c r="C408" s="0" t="str">
        <f aca="false">IF(I408="","",IF(AND(J408&gt;=1,J408&lt;=K408+3),"10."&amp;INDEX(Eingabe!$D$9:$D$18,I408)&amp;"."&amp;IF(J408&lt;=K408,J408,IF(J408=K408+1,200,IF(J408=K408+2,201,250)))&amp;".0/24",""))</f>
        <v/>
      </c>
      <c r="D408" s="0" t="str">
        <f aca="false">IF(I408="","",IF(AND(J408&gt;=1,J408&lt;=K408+3),"255.255.255.0",""))</f>
        <v/>
      </c>
      <c r="E408" s="0" t="str">
        <f aca="false">IF(I408="","",IF(AND(J408&gt;=1,J408&lt;=K408+3),"10."&amp;INDEX(Eingabe!$D$9:$D$18,I408)&amp;"."&amp;IF(J408&lt;=K408,J408,IF(J408=K408+1,200,IF(J408=K408+2,201,250)))&amp;".1",""))</f>
        <v/>
      </c>
      <c r="F408" s="0" t="str">
        <f aca="false">IF(I408="","",IF(AND(J408&gt;=1,J408&lt;=K408+3),"10."&amp;INDEX(Eingabe!$D$9:$D$18,I408)&amp;"."&amp;IF(J408&lt;=K408,J408,IF(J408=K408+1,200,IF(J408=K408+2,201,250)))&amp;".10 – 10."&amp;INDEX(Eingabe!$D$9:$D$18,I408)&amp;"."&amp;IF(J408&lt;=K408,J408,IF(J408=K408+1,200,IF(J408=K408+2,201,250)))&amp;".250",""))</f>
        <v/>
      </c>
      <c r="G408" s="0" t="str">
        <f aca="false">IF(I408="","",IF(AND(J408&gt;=1,J408&lt;=K408),Eingabe!$B$6&amp;"-"&amp;INDEX(Eingabe!$C$9:$C$18,I408)&amp;"-Pächter  ·  Passwort Parzelle "&amp;J408,IF(J408=K408+1,Eingabe!$B$6&amp;"-"&amp;INDEX(Eingabe!$C$9:$C$18,I408)&amp;"-Vorstand  ·  eigenes WLAN",IF(J408=K408+2,Eingabe!$B$6&amp;"-"&amp;INDEX(Eingabe!$C$9:$C$18,I408)&amp;"-Gäste  ·  Voucher",IF(J408=K408+3,"Kabel  ·  Access Point y = .(50+y), Mast-Switch x = .(10+x)","")))))</f>
        <v/>
      </c>
      <c r="I408" s="0" t="str">
        <f aca="false">IF(403&lt;=(Eingabe!$P$18+Eingabe!$Q$18-1),MATCH(403,Eingabe!$P$9:$P$18,1),"")</f>
        <v/>
      </c>
      <c r="J408" s="0" t="str">
        <f aca="false">IF(I408="","",403-INDEX(Eingabe!$P$9:$P$18,I408))</f>
        <v/>
      </c>
      <c r="K408" s="0" t="str">
        <f aca="false">IF(I408="","",INDEX(Eingabe!$E$9:$E$18,I408))</f>
        <v/>
      </c>
    </row>
    <row r="409" customFormat="false" ht="15" hidden="false" customHeight="false" outlineLevel="0" collapsed="false">
      <c r="A409" s="0" t="str">
        <f aca="false">IF(I409="","",IF(J409=0,"Sparte "&amp;I409&amp;": "&amp;INDEX(Eingabe!$B$9:$B$18,I409)&amp;"  (Sparten-ID "&amp;INDEX(Eingabe!$D$9:$D$18,I409)&amp;", "&amp;K409&amp;" Parzellen)",IF(J409&lt;=K409,"   Parzelle "&amp;J409,IF(J409=K409+1,"   Vorstand",IF(J409=K409+2,"   Gäste",IF(J409=K409+3,"   Technik (Switches, Access Points)",""))))))</f>
        <v/>
      </c>
      <c r="B409" s="0" t="str">
        <f aca="false">IF(I409="","",IF(AND(J409&gt;=1,J409&lt;=K409+3),IF(J409&lt;=K409,IF(J409&lt;=99,IF((INDEX(Eingabe!$G$9:$G$18,I409))&lt;=9,1000+(INDEX(Eingabe!$G$9:$G$18,I409))*100,3000)+J409,IF((INDEX(Eingabe!$G$9:$G$18,I409)+1)&lt;=9,1000+(INDEX(Eingabe!$G$9:$G$18,I409)+1)*100,3000)+J409-100),IF(J409=K409+1,2000+INDEX(Eingabe!$G$9:$G$18,I409)*10+1,IF(J409=K409+2,2000+INDEX(Eingabe!$G$9:$G$18,I409)*10+2,2000+INDEX(Eingabe!$G$9:$G$18,I409)*10+9))),""))</f>
        <v/>
      </c>
      <c r="C409" s="0" t="str">
        <f aca="false">IF(I409="","",IF(AND(J409&gt;=1,J409&lt;=K409+3),"10."&amp;INDEX(Eingabe!$D$9:$D$18,I409)&amp;"."&amp;IF(J409&lt;=K409,J409,IF(J409=K409+1,200,IF(J409=K409+2,201,250)))&amp;".0/24",""))</f>
        <v/>
      </c>
      <c r="D409" s="0" t="str">
        <f aca="false">IF(I409="","",IF(AND(J409&gt;=1,J409&lt;=K409+3),"255.255.255.0",""))</f>
        <v/>
      </c>
      <c r="E409" s="0" t="str">
        <f aca="false">IF(I409="","",IF(AND(J409&gt;=1,J409&lt;=K409+3),"10."&amp;INDEX(Eingabe!$D$9:$D$18,I409)&amp;"."&amp;IF(J409&lt;=K409,J409,IF(J409=K409+1,200,IF(J409=K409+2,201,250)))&amp;".1",""))</f>
        <v/>
      </c>
      <c r="F409" s="0" t="str">
        <f aca="false">IF(I409="","",IF(AND(J409&gt;=1,J409&lt;=K409+3),"10."&amp;INDEX(Eingabe!$D$9:$D$18,I409)&amp;"."&amp;IF(J409&lt;=K409,J409,IF(J409=K409+1,200,IF(J409=K409+2,201,250)))&amp;".10 – 10."&amp;INDEX(Eingabe!$D$9:$D$18,I409)&amp;"."&amp;IF(J409&lt;=K409,J409,IF(J409=K409+1,200,IF(J409=K409+2,201,250)))&amp;".250",""))</f>
        <v/>
      </c>
      <c r="G409" s="0" t="str">
        <f aca="false">IF(I409="","",IF(AND(J409&gt;=1,J409&lt;=K409),Eingabe!$B$6&amp;"-"&amp;INDEX(Eingabe!$C$9:$C$18,I409)&amp;"-Pächter  ·  Passwort Parzelle "&amp;J409,IF(J409=K409+1,Eingabe!$B$6&amp;"-"&amp;INDEX(Eingabe!$C$9:$C$18,I409)&amp;"-Vorstand  ·  eigenes WLAN",IF(J409=K409+2,Eingabe!$B$6&amp;"-"&amp;INDEX(Eingabe!$C$9:$C$18,I409)&amp;"-Gäste  ·  Voucher",IF(J409=K409+3,"Kabel  ·  Access Point y = .(50+y), Mast-Switch x = .(10+x)","")))))</f>
        <v/>
      </c>
      <c r="I409" s="0" t="str">
        <f aca="false">IF(404&lt;=(Eingabe!$P$18+Eingabe!$Q$18-1),MATCH(404,Eingabe!$P$9:$P$18,1),"")</f>
        <v/>
      </c>
      <c r="J409" s="0" t="str">
        <f aca="false">IF(I409="","",404-INDEX(Eingabe!$P$9:$P$18,I409))</f>
        <v/>
      </c>
      <c r="K409" s="0" t="str">
        <f aca="false">IF(I409="","",INDEX(Eingabe!$E$9:$E$18,I409))</f>
        <v/>
      </c>
    </row>
    <row r="410" customFormat="false" ht="15" hidden="false" customHeight="false" outlineLevel="0" collapsed="false">
      <c r="A410" s="0" t="str">
        <f aca="false">IF(I410="","",IF(J410=0,"Sparte "&amp;I410&amp;": "&amp;INDEX(Eingabe!$B$9:$B$18,I410)&amp;"  (Sparten-ID "&amp;INDEX(Eingabe!$D$9:$D$18,I410)&amp;", "&amp;K410&amp;" Parzellen)",IF(J410&lt;=K410,"   Parzelle "&amp;J410,IF(J410=K410+1,"   Vorstand",IF(J410=K410+2,"   Gäste",IF(J410=K410+3,"   Technik (Switches, Access Points)",""))))))</f>
        <v/>
      </c>
      <c r="B410" s="0" t="str">
        <f aca="false">IF(I410="","",IF(AND(J410&gt;=1,J410&lt;=K410+3),IF(J410&lt;=K410,IF(J410&lt;=99,IF((INDEX(Eingabe!$G$9:$G$18,I410))&lt;=9,1000+(INDEX(Eingabe!$G$9:$G$18,I410))*100,3000)+J410,IF((INDEX(Eingabe!$G$9:$G$18,I410)+1)&lt;=9,1000+(INDEX(Eingabe!$G$9:$G$18,I410)+1)*100,3000)+J410-100),IF(J410=K410+1,2000+INDEX(Eingabe!$G$9:$G$18,I410)*10+1,IF(J410=K410+2,2000+INDEX(Eingabe!$G$9:$G$18,I410)*10+2,2000+INDEX(Eingabe!$G$9:$G$18,I410)*10+9))),""))</f>
        <v/>
      </c>
      <c r="C410" s="0" t="str">
        <f aca="false">IF(I410="","",IF(AND(J410&gt;=1,J410&lt;=K410+3),"10."&amp;INDEX(Eingabe!$D$9:$D$18,I410)&amp;"."&amp;IF(J410&lt;=K410,J410,IF(J410=K410+1,200,IF(J410=K410+2,201,250)))&amp;".0/24",""))</f>
        <v/>
      </c>
      <c r="D410" s="0" t="str">
        <f aca="false">IF(I410="","",IF(AND(J410&gt;=1,J410&lt;=K410+3),"255.255.255.0",""))</f>
        <v/>
      </c>
      <c r="E410" s="0" t="str">
        <f aca="false">IF(I410="","",IF(AND(J410&gt;=1,J410&lt;=K410+3),"10."&amp;INDEX(Eingabe!$D$9:$D$18,I410)&amp;"."&amp;IF(J410&lt;=K410,J410,IF(J410=K410+1,200,IF(J410=K410+2,201,250)))&amp;".1",""))</f>
        <v/>
      </c>
      <c r="F410" s="0" t="str">
        <f aca="false">IF(I410="","",IF(AND(J410&gt;=1,J410&lt;=K410+3),"10."&amp;INDEX(Eingabe!$D$9:$D$18,I410)&amp;"."&amp;IF(J410&lt;=K410,J410,IF(J410=K410+1,200,IF(J410=K410+2,201,250)))&amp;".10 – 10."&amp;INDEX(Eingabe!$D$9:$D$18,I410)&amp;"."&amp;IF(J410&lt;=K410,J410,IF(J410=K410+1,200,IF(J410=K410+2,201,250)))&amp;".250",""))</f>
        <v/>
      </c>
      <c r="G410" s="0" t="str">
        <f aca="false">IF(I410="","",IF(AND(J410&gt;=1,J410&lt;=K410),Eingabe!$B$6&amp;"-"&amp;INDEX(Eingabe!$C$9:$C$18,I410)&amp;"-Pächter  ·  Passwort Parzelle "&amp;J410,IF(J410=K410+1,Eingabe!$B$6&amp;"-"&amp;INDEX(Eingabe!$C$9:$C$18,I410)&amp;"-Vorstand  ·  eigenes WLAN",IF(J410=K410+2,Eingabe!$B$6&amp;"-"&amp;INDEX(Eingabe!$C$9:$C$18,I410)&amp;"-Gäste  ·  Voucher",IF(J410=K410+3,"Kabel  ·  Access Point y = .(50+y), Mast-Switch x = .(10+x)","")))))</f>
        <v/>
      </c>
      <c r="I410" s="0" t="str">
        <f aca="false">IF(405&lt;=(Eingabe!$P$18+Eingabe!$Q$18-1),MATCH(405,Eingabe!$P$9:$P$18,1),"")</f>
        <v/>
      </c>
      <c r="J410" s="0" t="str">
        <f aca="false">IF(I410="","",405-INDEX(Eingabe!$P$9:$P$18,I410))</f>
        <v/>
      </c>
      <c r="K410" s="0" t="str">
        <f aca="false">IF(I410="","",INDEX(Eingabe!$E$9:$E$18,I410))</f>
        <v/>
      </c>
    </row>
    <row r="411" customFormat="false" ht="15" hidden="false" customHeight="false" outlineLevel="0" collapsed="false">
      <c r="A411" s="0" t="str">
        <f aca="false">IF(I411="","",IF(J411=0,"Sparte "&amp;I411&amp;": "&amp;INDEX(Eingabe!$B$9:$B$18,I411)&amp;"  (Sparten-ID "&amp;INDEX(Eingabe!$D$9:$D$18,I411)&amp;", "&amp;K411&amp;" Parzellen)",IF(J411&lt;=K411,"   Parzelle "&amp;J411,IF(J411=K411+1,"   Vorstand",IF(J411=K411+2,"   Gäste",IF(J411=K411+3,"   Technik (Switches, Access Points)",""))))))</f>
        <v/>
      </c>
      <c r="B411" s="0" t="str">
        <f aca="false">IF(I411="","",IF(AND(J411&gt;=1,J411&lt;=K411+3),IF(J411&lt;=K411,IF(J411&lt;=99,IF((INDEX(Eingabe!$G$9:$G$18,I411))&lt;=9,1000+(INDEX(Eingabe!$G$9:$G$18,I411))*100,3000)+J411,IF((INDEX(Eingabe!$G$9:$G$18,I411)+1)&lt;=9,1000+(INDEX(Eingabe!$G$9:$G$18,I411)+1)*100,3000)+J411-100),IF(J411=K411+1,2000+INDEX(Eingabe!$G$9:$G$18,I411)*10+1,IF(J411=K411+2,2000+INDEX(Eingabe!$G$9:$G$18,I411)*10+2,2000+INDEX(Eingabe!$G$9:$G$18,I411)*10+9))),""))</f>
        <v/>
      </c>
      <c r="C411" s="0" t="str">
        <f aca="false">IF(I411="","",IF(AND(J411&gt;=1,J411&lt;=K411+3),"10."&amp;INDEX(Eingabe!$D$9:$D$18,I411)&amp;"."&amp;IF(J411&lt;=K411,J411,IF(J411=K411+1,200,IF(J411=K411+2,201,250)))&amp;".0/24",""))</f>
        <v/>
      </c>
      <c r="D411" s="0" t="str">
        <f aca="false">IF(I411="","",IF(AND(J411&gt;=1,J411&lt;=K411+3),"255.255.255.0",""))</f>
        <v/>
      </c>
      <c r="E411" s="0" t="str">
        <f aca="false">IF(I411="","",IF(AND(J411&gt;=1,J411&lt;=K411+3),"10."&amp;INDEX(Eingabe!$D$9:$D$18,I411)&amp;"."&amp;IF(J411&lt;=K411,J411,IF(J411=K411+1,200,IF(J411=K411+2,201,250)))&amp;".1",""))</f>
        <v/>
      </c>
      <c r="F411" s="0" t="str">
        <f aca="false">IF(I411="","",IF(AND(J411&gt;=1,J411&lt;=K411+3),"10."&amp;INDEX(Eingabe!$D$9:$D$18,I411)&amp;"."&amp;IF(J411&lt;=K411,J411,IF(J411=K411+1,200,IF(J411=K411+2,201,250)))&amp;".10 – 10."&amp;INDEX(Eingabe!$D$9:$D$18,I411)&amp;"."&amp;IF(J411&lt;=K411,J411,IF(J411=K411+1,200,IF(J411=K411+2,201,250)))&amp;".250",""))</f>
        <v/>
      </c>
      <c r="G411" s="0" t="str">
        <f aca="false">IF(I411="","",IF(AND(J411&gt;=1,J411&lt;=K411),Eingabe!$B$6&amp;"-"&amp;INDEX(Eingabe!$C$9:$C$18,I411)&amp;"-Pächter  ·  Passwort Parzelle "&amp;J411,IF(J411=K411+1,Eingabe!$B$6&amp;"-"&amp;INDEX(Eingabe!$C$9:$C$18,I411)&amp;"-Vorstand  ·  eigenes WLAN",IF(J411=K411+2,Eingabe!$B$6&amp;"-"&amp;INDEX(Eingabe!$C$9:$C$18,I411)&amp;"-Gäste  ·  Voucher",IF(J411=K411+3,"Kabel  ·  Access Point y = .(50+y), Mast-Switch x = .(10+x)","")))))</f>
        <v/>
      </c>
      <c r="I411" s="0" t="str">
        <f aca="false">IF(406&lt;=(Eingabe!$P$18+Eingabe!$Q$18-1),MATCH(406,Eingabe!$P$9:$P$18,1),"")</f>
        <v/>
      </c>
      <c r="J411" s="0" t="str">
        <f aca="false">IF(I411="","",406-INDEX(Eingabe!$P$9:$P$18,I411))</f>
        <v/>
      </c>
      <c r="K411" s="0" t="str">
        <f aca="false">IF(I411="","",INDEX(Eingabe!$E$9:$E$18,I411))</f>
        <v/>
      </c>
    </row>
    <row r="412" customFormat="false" ht="15" hidden="false" customHeight="false" outlineLevel="0" collapsed="false">
      <c r="A412" s="0" t="str">
        <f aca="false">IF(I412="","",IF(J412=0,"Sparte "&amp;I412&amp;": "&amp;INDEX(Eingabe!$B$9:$B$18,I412)&amp;"  (Sparten-ID "&amp;INDEX(Eingabe!$D$9:$D$18,I412)&amp;", "&amp;K412&amp;" Parzellen)",IF(J412&lt;=K412,"   Parzelle "&amp;J412,IF(J412=K412+1,"   Vorstand",IF(J412=K412+2,"   Gäste",IF(J412=K412+3,"   Technik (Switches, Access Points)",""))))))</f>
        <v/>
      </c>
      <c r="B412" s="0" t="str">
        <f aca="false">IF(I412="","",IF(AND(J412&gt;=1,J412&lt;=K412+3),IF(J412&lt;=K412,IF(J412&lt;=99,IF((INDEX(Eingabe!$G$9:$G$18,I412))&lt;=9,1000+(INDEX(Eingabe!$G$9:$G$18,I412))*100,3000)+J412,IF((INDEX(Eingabe!$G$9:$G$18,I412)+1)&lt;=9,1000+(INDEX(Eingabe!$G$9:$G$18,I412)+1)*100,3000)+J412-100),IF(J412=K412+1,2000+INDEX(Eingabe!$G$9:$G$18,I412)*10+1,IF(J412=K412+2,2000+INDEX(Eingabe!$G$9:$G$18,I412)*10+2,2000+INDEX(Eingabe!$G$9:$G$18,I412)*10+9))),""))</f>
        <v/>
      </c>
      <c r="C412" s="0" t="str">
        <f aca="false">IF(I412="","",IF(AND(J412&gt;=1,J412&lt;=K412+3),"10."&amp;INDEX(Eingabe!$D$9:$D$18,I412)&amp;"."&amp;IF(J412&lt;=K412,J412,IF(J412=K412+1,200,IF(J412=K412+2,201,250)))&amp;".0/24",""))</f>
        <v/>
      </c>
      <c r="D412" s="0" t="str">
        <f aca="false">IF(I412="","",IF(AND(J412&gt;=1,J412&lt;=K412+3),"255.255.255.0",""))</f>
        <v/>
      </c>
      <c r="E412" s="0" t="str">
        <f aca="false">IF(I412="","",IF(AND(J412&gt;=1,J412&lt;=K412+3),"10."&amp;INDEX(Eingabe!$D$9:$D$18,I412)&amp;"."&amp;IF(J412&lt;=K412,J412,IF(J412=K412+1,200,IF(J412=K412+2,201,250)))&amp;".1",""))</f>
        <v/>
      </c>
      <c r="F412" s="0" t="str">
        <f aca="false">IF(I412="","",IF(AND(J412&gt;=1,J412&lt;=K412+3),"10."&amp;INDEX(Eingabe!$D$9:$D$18,I412)&amp;"."&amp;IF(J412&lt;=K412,J412,IF(J412=K412+1,200,IF(J412=K412+2,201,250)))&amp;".10 – 10."&amp;INDEX(Eingabe!$D$9:$D$18,I412)&amp;"."&amp;IF(J412&lt;=K412,J412,IF(J412=K412+1,200,IF(J412=K412+2,201,250)))&amp;".250",""))</f>
        <v/>
      </c>
      <c r="G412" s="0" t="str">
        <f aca="false">IF(I412="","",IF(AND(J412&gt;=1,J412&lt;=K412),Eingabe!$B$6&amp;"-"&amp;INDEX(Eingabe!$C$9:$C$18,I412)&amp;"-Pächter  ·  Passwort Parzelle "&amp;J412,IF(J412=K412+1,Eingabe!$B$6&amp;"-"&amp;INDEX(Eingabe!$C$9:$C$18,I412)&amp;"-Vorstand  ·  eigenes WLAN",IF(J412=K412+2,Eingabe!$B$6&amp;"-"&amp;INDEX(Eingabe!$C$9:$C$18,I412)&amp;"-Gäste  ·  Voucher",IF(J412=K412+3,"Kabel  ·  Access Point y = .(50+y), Mast-Switch x = .(10+x)","")))))</f>
        <v/>
      </c>
      <c r="I412" s="0" t="str">
        <f aca="false">IF(407&lt;=(Eingabe!$P$18+Eingabe!$Q$18-1),MATCH(407,Eingabe!$P$9:$P$18,1),"")</f>
        <v/>
      </c>
      <c r="J412" s="0" t="str">
        <f aca="false">IF(I412="","",407-INDEX(Eingabe!$P$9:$P$18,I412))</f>
        <v/>
      </c>
      <c r="K412" s="0" t="str">
        <f aca="false">IF(I412="","",INDEX(Eingabe!$E$9:$E$18,I412))</f>
        <v/>
      </c>
    </row>
    <row r="413" customFormat="false" ht="15" hidden="false" customHeight="false" outlineLevel="0" collapsed="false">
      <c r="A413" s="0" t="str">
        <f aca="false">IF(I413="","",IF(J413=0,"Sparte "&amp;I413&amp;": "&amp;INDEX(Eingabe!$B$9:$B$18,I413)&amp;"  (Sparten-ID "&amp;INDEX(Eingabe!$D$9:$D$18,I413)&amp;", "&amp;K413&amp;" Parzellen)",IF(J413&lt;=K413,"   Parzelle "&amp;J413,IF(J413=K413+1,"   Vorstand",IF(J413=K413+2,"   Gäste",IF(J413=K413+3,"   Technik (Switches, Access Points)",""))))))</f>
        <v/>
      </c>
      <c r="B413" s="0" t="str">
        <f aca="false">IF(I413="","",IF(AND(J413&gt;=1,J413&lt;=K413+3),IF(J413&lt;=K413,IF(J413&lt;=99,IF((INDEX(Eingabe!$G$9:$G$18,I413))&lt;=9,1000+(INDEX(Eingabe!$G$9:$G$18,I413))*100,3000)+J413,IF((INDEX(Eingabe!$G$9:$G$18,I413)+1)&lt;=9,1000+(INDEX(Eingabe!$G$9:$G$18,I413)+1)*100,3000)+J413-100),IF(J413=K413+1,2000+INDEX(Eingabe!$G$9:$G$18,I413)*10+1,IF(J413=K413+2,2000+INDEX(Eingabe!$G$9:$G$18,I413)*10+2,2000+INDEX(Eingabe!$G$9:$G$18,I413)*10+9))),""))</f>
        <v/>
      </c>
      <c r="C413" s="0" t="str">
        <f aca="false">IF(I413="","",IF(AND(J413&gt;=1,J413&lt;=K413+3),"10."&amp;INDEX(Eingabe!$D$9:$D$18,I413)&amp;"."&amp;IF(J413&lt;=K413,J413,IF(J413=K413+1,200,IF(J413=K413+2,201,250)))&amp;".0/24",""))</f>
        <v/>
      </c>
      <c r="D413" s="0" t="str">
        <f aca="false">IF(I413="","",IF(AND(J413&gt;=1,J413&lt;=K413+3),"255.255.255.0",""))</f>
        <v/>
      </c>
      <c r="E413" s="0" t="str">
        <f aca="false">IF(I413="","",IF(AND(J413&gt;=1,J413&lt;=K413+3),"10."&amp;INDEX(Eingabe!$D$9:$D$18,I413)&amp;"."&amp;IF(J413&lt;=K413,J413,IF(J413=K413+1,200,IF(J413=K413+2,201,250)))&amp;".1",""))</f>
        <v/>
      </c>
      <c r="F413" s="0" t="str">
        <f aca="false">IF(I413="","",IF(AND(J413&gt;=1,J413&lt;=K413+3),"10."&amp;INDEX(Eingabe!$D$9:$D$18,I413)&amp;"."&amp;IF(J413&lt;=K413,J413,IF(J413=K413+1,200,IF(J413=K413+2,201,250)))&amp;".10 – 10."&amp;INDEX(Eingabe!$D$9:$D$18,I413)&amp;"."&amp;IF(J413&lt;=K413,J413,IF(J413=K413+1,200,IF(J413=K413+2,201,250)))&amp;".250",""))</f>
        <v/>
      </c>
      <c r="G413" s="0" t="str">
        <f aca="false">IF(I413="","",IF(AND(J413&gt;=1,J413&lt;=K413),Eingabe!$B$6&amp;"-"&amp;INDEX(Eingabe!$C$9:$C$18,I413)&amp;"-Pächter  ·  Passwort Parzelle "&amp;J413,IF(J413=K413+1,Eingabe!$B$6&amp;"-"&amp;INDEX(Eingabe!$C$9:$C$18,I413)&amp;"-Vorstand  ·  eigenes WLAN",IF(J413=K413+2,Eingabe!$B$6&amp;"-"&amp;INDEX(Eingabe!$C$9:$C$18,I413)&amp;"-Gäste  ·  Voucher",IF(J413=K413+3,"Kabel  ·  Access Point y = .(50+y), Mast-Switch x = .(10+x)","")))))</f>
        <v/>
      </c>
      <c r="I413" s="0" t="str">
        <f aca="false">IF(408&lt;=(Eingabe!$P$18+Eingabe!$Q$18-1),MATCH(408,Eingabe!$P$9:$P$18,1),"")</f>
        <v/>
      </c>
      <c r="J413" s="0" t="str">
        <f aca="false">IF(I413="","",408-INDEX(Eingabe!$P$9:$P$18,I413))</f>
        <v/>
      </c>
      <c r="K413" s="0" t="str">
        <f aca="false">IF(I413="","",INDEX(Eingabe!$E$9:$E$18,I413))</f>
        <v/>
      </c>
    </row>
    <row r="414" customFormat="false" ht="15" hidden="false" customHeight="false" outlineLevel="0" collapsed="false">
      <c r="A414" s="0" t="str">
        <f aca="false">IF(I414="","",IF(J414=0,"Sparte "&amp;I414&amp;": "&amp;INDEX(Eingabe!$B$9:$B$18,I414)&amp;"  (Sparten-ID "&amp;INDEX(Eingabe!$D$9:$D$18,I414)&amp;", "&amp;K414&amp;" Parzellen)",IF(J414&lt;=K414,"   Parzelle "&amp;J414,IF(J414=K414+1,"   Vorstand",IF(J414=K414+2,"   Gäste",IF(J414=K414+3,"   Technik (Switches, Access Points)",""))))))</f>
        <v/>
      </c>
      <c r="B414" s="0" t="str">
        <f aca="false">IF(I414="","",IF(AND(J414&gt;=1,J414&lt;=K414+3),IF(J414&lt;=K414,IF(J414&lt;=99,IF((INDEX(Eingabe!$G$9:$G$18,I414))&lt;=9,1000+(INDEX(Eingabe!$G$9:$G$18,I414))*100,3000)+J414,IF((INDEX(Eingabe!$G$9:$G$18,I414)+1)&lt;=9,1000+(INDEX(Eingabe!$G$9:$G$18,I414)+1)*100,3000)+J414-100),IF(J414=K414+1,2000+INDEX(Eingabe!$G$9:$G$18,I414)*10+1,IF(J414=K414+2,2000+INDEX(Eingabe!$G$9:$G$18,I414)*10+2,2000+INDEX(Eingabe!$G$9:$G$18,I414)*10+9))),""))</f>
        <v/>
      </c>
      <c r="C414" s="0" t="str">
        <f aca="false">IF(I414="","",IF(AND(J414&gt;=1,J414&lt;=K414+3),"10."&amp;INDEX(Eingabe!$D$9:$D$18,I414)&amp;"."&amp;IF(J414&lt;=K414,J414,IF(J414=K414+1,200,IF(J414=K414+2,201,250)))&amp;".0/24",""))</f>
        <v/>
      </c>
      <c r="D414" s="0" t="str">
        <f aca="false">IF(I414="","",IF(AND(J414&gt;=1,J414&lt;=K414+3),"255.255.255.0",""))</f>
        <v/>
      </c>
      <c r="E414" s="0" t="str">
        <f aca="false">IF(I414="","",IF(AND(J414&gt;=1,J414&lt;=K414+3),"10."&amp;INDEX(Eingabe!$D$9:$D$18,I414)&amp;"."&amp;IF(J414&lt;=K414,J414,IF(J414=K414+1,200,IF(J414=K414+2,201,250)))&amp;".1",""))</f>
        <v/>
      </c>
      <c r="F414" s="0" t="str">
        <f aca="false">IF(I414="","",IF(AND(J414&gt;=1,J414&lt;=K414+3),"10."&amp;INDEX(Eingabe!$D$9:$D$18,I414)&amp;"."&amp;IF(J414&lt;=K414,J414,IF(J414=K414+1,200,IF(J414=K414+2,201,250)))&amp;".10 – 10."&amp;INDEX(Eingabe!$D$9:$D$18,I414)&amp;"."&amp;IF(J414&lt;=K414,J414,IF(J414=K414+1,200,IF(J414=K414+2,201,250)))&amp;".250",""))</f>
        <v/>
      </c>
      <c r="G414" s="0" t="str">
        <f aca="false">IF(I414="","",IF(AND(J414&gt;=1,J414&lt;=K414),Eingabe!$B$6&amp;"-"&amp;INDEX(Eingabe!$C$9:$C$18,I414)&amp;"-Pächter  ·  Passwort Parzelle "&amp;J414,IF(J414=K414+1,Eingabe!$B$6&amp;"-"&amp;INDEX(Eingabe!$C$9:$C$18,I414)&amp;"-Vorstand  ·  eigenes WLAN",IF(J414=K414+2,Eingabe!$B$6&amp;"-"&amp;INDEX(Eingabe!$C$9:$C$18,I414)&amp;"-Gäste  ·  Voucher",IF(J414=K414+3,"Kabel  ·  Access Point y = .(50+y), Mast-Switch x = .(10+x)","")))))</f>
        <v/>
      </c>
      <c r="I414" s="0" t="str">
        <f aca="false">IF(409&lt;=(Eingabe!$P$18+Eingabe!$Q$18-1),MATCH(409,Eingabe!$P$9:$P$18,1),"")</f>
        <v/>
      </c>
      <c r="J414" s="0" t="str">
        <f aca="false">IF(I414="","",409-INDEX(Eingabe!$P$9:$P$18,I414))</f>
        <v/>
      </c>
      <c r="K414" s="0" t="str">
        <f aca="false">IF(I414="","",INDEX(Eingabe!$E$9:$E$18,I414))</f>
        <v/>
      </c>
    </row>
    <row r="415" customFormat="false" ht="15" hidden="false" customHeight="false" outlineLevel="0" collapsed="false">
      <c r="A415" s="0" t="str">
        <f aca="false">IF(I415="","",IF(J415=0,"Sparte "&amp;I415&amp;": "&amp;INDEX(Eingabe!$B$9:$B$18,I415)&amp;"  (Sparten-ID "&amp;INDEX(Eingabe!$D$9:$D$18,I415)&amp;", "&amp;K415&amp;" Parzellen)",IF(J415&lt;=K415,"   Parzelle "&amp;J415,IF(J415=K415+1,"   Vorstand",IF(J415=K415+2,"   Gäste",IF(J415=K415+3,"   Technik (Switches, Access Points)",""))))))</f>
        <v/>
      </c>
      <c r="B415" s="0" t="str">
        <f aca="false">IF(I415="","",IF(AND(J415&gt;=1,J415&lt;=K415+3),IF(J415&lt;=K415,IF(J415&lt;=99,IF((INDEX(Eingabe!$G$9:$G$18,I415))&lt;=9,1000+(INDEX(Eingabe!$G$9:$G$18,I415))*100,3000)+J415,IF((INDEX(Eingabe!$G$9:$G$18,I415)+1)&lt;=9,1000+(INDEX(Eingabe!$G$9:$G$18,I415)+1)*100,3000)+J415-100),IF(J415=K415+1,2000+INDEX(Eingabe!$G$9:$G$18,I415)*10+1,IF(J415=K415+2,2000+INDEX(Eingabe!$G$9:$G$18,I415)*10+2,2000+INDEX(Eingabe!$G$9:$G$18,I415)*10+9))),""))</f>
        <v/>
      </c>
      <c r="C415" s="0" t="str">
        <f aca="false">IF(I415="","",IF(AND(J415&gt;=1,J415&lt;=K415+3),"10."&amp;INDEX(Eingabe!$D$9:$D$18,I415)&amp;"."&amp;IF(J415&lt;=K415,J415,IF(J415=K415+1,200,IF(J415=K415+2,201,250)))&amp;".0/24",""))</f>
        <v/>
      </c>
      <c r="D415" s="0" t="str">
        <f aca="false">IF(I415="","",IF(AND(J415&gt;=1,J415&lt;=K415+3),"255.255.255.0",""))</f>
        <v/>
      </c>
      <c r="E415" s="0" t="str">
        <f aca="false">IF(I415="","",IF(AND(J415&gt;=1,J415&lt;=K415+3),"10."&amp;INDEX(Eingabe!$D$9:$D$18,I415)&amp;"."&amp;IF(J415&lt;=K415,J415,IF(J415=K415+1,200,IF(J415=K415+2,201,250)))&amp;".1",""))</f>
        <v/>
      </c>
      <c r="F415" s="0" t="str">
        <f aca="false">IF(I415="","",IF(AND(J415&gt;=1,J415&lt;=K415+3),"10."&amp;INDEX(Eingabe!$D$9:$D$18,I415)&amp;"."&amp;IF(J415&lt;=K415,J415,IF(J415=K415+1,200,IF(J415=K415+2,201,250)))&amp;".10 – 10."&amp;INDEX(Eingabe!$D$9:$D$18,I415)&amp;"."&amp;IF(J415&lt;=K415,J415,IF(J415=K415+1,200,IF(J415=K415+2,201,250)))&amp;".250",""))</f>
        <v/>
      </c>
      <c r="G415" s="0" t="str">
        <f aca="false">IF(I415="","",IF(AND(J415&gt;=1,J415&lt;=K415),Eingabe!$B$6&amp;"-"&amp;INDEX(Eingabe!$C$9:$C$18,I415)&amp;"-Pächter  ·  Passwort Parzelle "&amp;J415,IF(J415=K415+1,Eingabe!$B$6&amp;"-"&amp;INDEX(Eingabe!$C$9:$C$18,I415)&amp;"-Vorstand  ·  eigenes WLAN",IF(J415=K415+2,Eingabe!$B$6&amp;"-"&amp;INDEX(Eingabe!$C$9:$C$18,I415)&amp;"-Gäste  ·  Voucher",IF(J415=K415+3,"Kabel  ·  Access Point y = .(50+y), Mast-Switch x = .(10+x)","")))))</f>
        <v/>
      </c>
      <c r="I415" s="0" t="str">
        <f aca="false">IF(410&lt;=(Eingabe!$P$18+Eingabe!$Q$18-1),MATCH(410,Eingabe!$P$9:$P$18,1),"")</f>
        <v/>
      </c>
      <c r="J415" s="0" t="str">
        <f aca="false">IF(I415="","",410-INDEX(Eingabe!$P$9:$P$18,I415))</f>
        <v/>
      </c>
      <c r="K415" s="0" t="str">
        <f aca="false">IF(I415="","",INDEX(Eingabe!$E$9:$E$18,I415))</f>
        <v/>
      </c>
    </row>
    <row r="416" customFormat="false" ht="15" hidden="false" customHeight="false" outlineLevel="0" collapsed="false">
      <c r="A416" s="0" t="str">
        <f aca="false">IF(I416="","",IF(J416=0,"Sparte "&amp;I416&amp;": "&amp;INDEX(Eingabe!$B$9:$B$18,I416)&amp;"  (Sparten-ID "&amp;INDEX(Eingabe!$D$9:$D$18,I416)&amp;", "&amp;K416&amp;" Parzellen)",IF(J416&lt;=K416,"   Parzelle "&amp;J416,IF(J416=K416+1,"   Vorstand",IF(J416=K416+2,"   Gäste",IF(J416=K416+3,"   Technik (Switches, Access Points)",""))))))</f>
        <v/>
      </c>
      <c r="B416" s="0" t="str">
        <f aca="false">IF(I416="","",IF(AND(J416&gt;=1,J416&lt;=K416+3),IF(J416&lt;=K416,IF(J416&lt;=99,IF((INDEX(Eingabe!$G$9:$G$18,I416))&lt;=9,1000+(INDEX(Eingabe!$G$9:$G$18,I416))*100,3000)+J416,IF((INDEX(Eingabe!$G$9:$G$18,I416)+1)&lt;=9,1000+(INDEX(Eingabe!$G$9:$G$18,I416)+1)*100,3000)+J416-100),IF(J416=K416+1,2000+INDEX(Eingabe!$G$9:$G$18,I416)*10+1,IF(J416=K416+2,2000+INDEX(Eingabe!$G$9:$G$18,I416)*10+2,2000+INDEX(Eingabe!$G$9:$G$18,I416)*10+9))),""))</f>
        <v/>
      </c>
      <c r="C416" s="0" t="str">
        <f aca="false">IF(I416="","",IF(AND(J416&gt;=1,J416&lt;=K416+3),"10."&amp;INDEX(Eingabe!$D$9:$D$18,I416)&amp;"."&amp;IF(J416&lt;=K416,J416,IF(J416=K416+1,200,IF(J416=K416+2,201,250)))&amp;".0/24",""))</f>
        <v/>
      </c>
      <c r="D416" s="0" t="str">
        <f aca="false">IF(I416="","",IF(AND(J416&gt;=1,J416&lt;=K416+3),"255.255.255.0",""))</f>
        <v/>
      </c>
      <c r="E416" s="0" t="str">
        <f aca="false">IF(I416="","",IF(AND(J416&gt;=1,J416&lt;=K416+3),"10."&amp;INDEX(Eingabe!$D$9:$D$18,I416)&amp;"."&amp;IF(J416&lt;=K416,J416,IF(J416=K416+1,200,IF(J416=K416+2,201,250)))&amp;".1",""))</f>
        <v/>
      </c>
      <c r="F416" s="0" t="str">
        <f aca="false">IF(I416="","",IF(AND(J416&gt;=1,J416&lt;=K416+3),"10."&amp;INDEX(Eingabe!$D$9:$D$18,I416)&amp;"."&amp;IF(J416&lt;=K416,J416,IF(J416=K416+1,200,IF(J416=K416+2,201,250)))&amp;".10 – 10."&amp;INDEX(Eingabe!$D$9:$D$18,I416)&amp;"."&amp;IF(J416&lt;=K416,J416,IF(J416=K416+1,200,IF(J416=K416+2,201,250)))&amp;".250",""))</f>
        <v/>
      </c>
      <c r="G416" s="0" t="str">
        <f aca="false">IF(I416="","",IF(AND(J416&gt;=1,J416&lt;=K416),Eingabe!$B$6&amp;"-"&amp;INDEX(Eingabe!$C$9:$C$18,I416)&amp;"-Pächter  ·  Passwort Parzelle "&amp;J416,IF(J416=K416+1,Eingabe!$B$6&amp;"-"&amp;INDEX(Eingabe!$C$9:$C$18,I416)&amp;"-Vorstand  ·  eigenes WLAN",IF(J416=K416+2,Eingabe!$B$6&amp;"-"&amp;INDEX(Eingabe!$C$9:$C$18,I416)&amp;"-Gäste  ·  Voucher",IF(J416=K416+3,"Kabel  ·  Access Point y = .(50+y), Mast-Switch x = .(10+x)","")))))</f>
        <v/>
      </c>
      <c r="I416" s="0" t="str">
        <f aca="false">IF(411&lt;=(Eingabe!$P$18+Eingabe!$Q$18-1),MATCH(411,Eingabe!$P$9:$P$18,1),"")</f>
        <v/>
      </c>
      <c r="J416" s="0" t="str">
        <f aca="false">IF(I416="","",411-INDEX(Eingabe!$P$9:$P$18,I416))</f>
        <v/>
      </c>
      <c r="K416" s="0" t="str">
        <f aca="false">IF(I416="","",INDEX(Eingabe!$E$9:$E$18,I416))</f>
        <v/>
      </c>
    </row>
    <row r="417" customFormat="false" ht="15" hidden="false" customHeight="false" outlineLevel="0" collapsed="false">
      <c r="A417" s="0" t="str">
        <f aca="false">IF(I417="","",IF(J417=0,"Sparte "&amp;I417&amp;": "&amp;INDEX(Eingabe!$B$9:$B$18,I417)&amp;"  (Sparten-ID "&amp;INDEX(Eingabe!$D$9:$D$18,I417)&amp;", "&amp;K417&amp;" Parzellen)",IF(J417&lt;=K417,"   Parzelle "&amp;J417,IF(J417=K417+1,"   Vorstand",IF(J417=K417+2,"   Gäste",IF(J417=K417+3,"   Technik (Switches, Access Points)",""))))))</f>
        <v/>
      </c>
      <c r="B417" s="0" t="str">
        <f aca="false">IF(I417="","",IF(AND(J417&gt;=1,J417&lt;=K417+3),IF(J417&lt;=K417,IF(J417&lt;=99,IF((INDEX(Eingabe!$G$9:$G$18,I417))&lt;=9,1000+(INDEX(Eingabe!$G$9:$G$18,I417))*100,3000)+J417,IF((INDEX(Eingabe!$G$9:$G$18,I417)+1)&lt;=9,1000+(INDEX(Eingabe!$G$9:$G$18,I417)+1)*100,3000)+J417-100),IF(J417=K417+1,2000+INDEX(Eingabe!$G$9:$G$18,I417)*10+1,IF(J417=K417+2,2000+INDEX(Eingabe!$G$9:$G$18,I417)*10+2,2000+INDEX(Eingabe!$G$9:$G$18,I417)*10+9))),""))</f>
        <v/>
      </c>
      <c r="C417" s="0" t="str">
        <f aca="false">IF(I417="","",IF(AND(J417&gt;=1,J417&lt;=K417+3),"10."&amp;INDEX(Eingabe!$D$9:$D$18,I417)&amp;"."&amp;IF(J417&lt;=K417,J417,IF(J417=K417+1,200,IF(J417=K417+2,201,250)))&amp;".0/24",""))</f>
        <v/>
      </c>
      <c r="D417" s="0" t="str">
        <f aca="false">IF(I417="","",IF(AND(J417&gt;=1,J417&lt;=K417+3),"255.255.255.0",""))</f>
        <v/>
      </c>
      <c r="E417" s="0" t="str">
        <f aca="false">IF(I417="","",IF(AND(J417&gt;=1,J417&lt;=K417+3),"10."&amp;INDEX(Eingabe!$D$9:$D$18,I417)&amp;"."&amp;IF(J417&lt;=K417,J417,IF(J417=K417+1,200,IF(J417=K417+2,201,250)))&amp;".1",""))</f>
        <v/>
      </c>
      <c r="F417" s="0" t="str">
        <f aca="false">IF(I417="","",IF(AND(J417&gt;=1,J417&lt;=K417+3),"10."&amp;INDEX(Eingabe!$D$9:$D$18,I417)&amp;"."&amp;IF(J417&lt;=K417,J417,IF(J417=K417+1,200,IF(J417=K417+2,201,250)))&amp;".10 – 10."&amp;INDEX(Eingabe!$D$9:$D$18,I417)&amp;"."&amp;IF(J417&lt;=K417,J417,IF(J417=K417+1,200,IF(J417=K417+2,201,250)))&amp;".250",""))</f>
        <v/>
      </c>
      <c r="G417" s="0" t="str">
        <f aca="false">IF(I417="","",IF(AND(J417&gt;=1,J417&lt;=K417),Eingabe!$B$6&amp;"-"&amp;INDEX(Eingabe!$C$9:$C$18,I417)&amp;"-Pächter  ·  Passwort Parzelle "&amp;J417,IF(J417=K417+1,Eingabe!$B$6&amp;"-"&amp;INDEX(Eingabe!$C$9:$C$18,I417)&amp;"-Vorstand  ·  eigenes WLAN",IF(J417=K417+2,Eingabe!$B$6&amp;"-"&amp;INDEX(Eingabe!$C$9:$C$18,I417)&amp;"-Gäste  ·  Voucher",IF(J417=K417+3,"Kabel  ·  Access Point y = .(50+y), Mast-Switch x = .(10+x)","")))))</f>
        <v/>
      </c>
      <c r="I417" s="0" t="str">
        <f aca="false">IF(412&lt;=(Eingabe!$P$18+Eingabe!$Q$18-1),MATCH(412,Eingabe!$P$9:$P$18,1),"")</f>
        <v/>
      </c>
      <c r="J417" s="0" t="str">
        <f aca="false">IF(I417="","",412-INDEX(Eingabe!$P$9:$P$18,I417))</f>
        <v/>
      </c>
      <c r="K417" s="0" t="str">
        <f aca="false">IF(I417="","",INDEX(Eingabe!$E$9:$E$18,I417))</f>
        <v/>
      </c>
    </row>
    <row r="418" customFormat="false" ht="15" hidden="false" customHeight="false" outlineLevel="0" collapsed="false">
      <c r="A418" s="0" t="str">
        <f aca="false">IF(I418="","",IF(J418=0,"Sparte "&amp;I418&amp;": "&amp;INDEX(Eingabe!$B$9:$B$18,I418)&amp;"  (Sparten-ID "&amp;INDEX(Eingabe!$D$9:$D$18,I418)&amp;", "&amp;K418&amp;" Parzellen)",IF(J418&lt;=K418,"   Parzelle "&amp;J418,IF(J418=K418+1,"   Vorstand",IF(J418=K418+2,"   Gäste",IF(J418=K418+3,"   Technik (Switches, Access Points)",""))))))</f>
        <v/>
      </c>
      <c r="B418" s="0" t="str">
        <f aca="false">IF(I418="","",IF(AND(J418&gt;=1,J418&lt;=K418+3),IF(J418&lt;=K418,IF(J418&lt;=99,IF((INDEX(Eingabe!$G$9:$G$18,I418))&lt;=9,1000+(INDEX(Eingabe!$G$9:$G$18,I418))*100,3000)+J418,IF((INDEX(Eingabe!$G$9:$G$18,I418)+1)&lt;=9,1000+(INDEX(Eingabe!$G$9:$G$18,I418)+1)*100,3000)+J418-100),IF(J418=K418+1,2000+INDEX(Eingabe!$G$9:$G$18,I418)*10+1,IF(J418=K418+2,2000+INDEX(Eingabe!$G$9:$G$18,I418)*10+2,2000+INDEX(Eingabe!$G$9:$G$18,I418)*10+9))),""))</f>
        <v/>
      </c>
      <c r="C418" s="0" t="str">
        <f aca="false">IF(I418="","",IF(AND(J418&gt;=1,J418&lt;=K418+3),"10."&amp;INDEX(Eingabe!$D$9:$D$18,I418)&amp;"."&amp;IF(J418&lt;=K418,J418,IF(J418=K418+1,200,IF(J418=K418+2,201,250)))&amp;".0/24",""))</f>
        <v/>
      </c>
      <c r="D418" s="0" t="str">
        <f aca="false">IF(I418="","",IF(AND(J418&gt;=1,J418&lt;=K418+3),"255.255.255.0",""))</f>
        <v/>
      </c>
      <c r="E418" s="0" t="str">
        <f aca="false">IF(I418="","",IF(AND(J418&gt;=1,J418&lt;=K418+3),"10."&amp;INDEX(Eingabe!$D$9:$D$18,I418)&amp;"."&amp;IF(J418&lt;=K418,J418,IF(J418=K418+1,200,IF(J418=K418+2,201,250)))&amp;".1",""))</f>
        <v/>
      </c>
      <c r="F418" s="0" t="str">
        <f aca="false">IF(I418="","",IF(AND(J418&gt;=1,J418&lt;=K418+3),"10."&amp;INDEX(Eingabe!$D$9:$D$18,I418)&amp;"."&amp;IF(J418&lt;=K418,J418,IF(J418=K418+1,200,IF(J418=K418+2,201,250)))&amp;".10 – 10."&amp;INDEX(Eingabe!$D$9:$D$18,I418)&amp;"."&amp;IF(J418&lt;=K418,J418,IF(J418=K418+1,200,IF(J418=K418+2,201,250)))&amp;".250",""))</f>
        <v/>
      </c>
      <c r="G418" s="0" t="str">
        <f aca="false">IF(I418="","",IF(AND(J418&gt;=1,J418&lt;=K418),Eingabe!$B$6&amp;"-"&amp;INDEX(Eingabe!$C$9:$C$18,I418)&amp;"-Pächter  ·  Passwort Parzelle "&amp;J418,IF(J418=K418+1,Eingabe!$B$6&amp;"-"&amp;INDEX(Eingabe!$C$9:$C$18,I418)&amp;"-Vorstand  ·  eigenes WLAN",IF(J418=K418+2,Eingabe!$B$6&amp;"-"&amp;INDEX(Eingabe!$C$9:$C$18,I418)&amp;"-Gäste  ·  Voucher",IF(J418=K418+3,"Kabel  ·  Access Point y = .(50+y), Mast-Switch x = .(10+x)","")))))</f>
        <v/>
      </c>
      <c r="I418" s="0" t="str">
        <f aca="false">IF(413&lt;=(Eingabe!$P$18+Eingabe!$Q$18-1),MATCH(413,Eingabe!$P$9:$P$18,1),"")</f>
        <v/>
      </c>
      <c r="J418" s="0" t="str">
        <f aca="false">IF(I418="","",413-INDEX(Eingabe!$P$9:$P$18,I418))</f>
        <v/>
      </c>
      <c r="K418" s="0" t="str">
        <f aca="false">IF(I418="","",INDEX(Eingabe!$E$9:$E$18,I418))</f>
        <v/>
      </c>
    </row>
    <row r="419" customFormat="false" ht="15" hidden="false" customHeight="false" outlineLevel="0" collapsed="false">
      <c r="A419" s="0" t="str">
        <f aca="false">IF(I419="","",IF(J419=0,"Sparte "&amp;I419&amp;": "&amp;INDEX(Eingabe!$B$9:$B$18,I419)&amp;"  (Sparten-ID "&amp;INDEX(Eingabe!$D$9:$D$18,I419)&amp;", "&amp;K419&amp;" Parzellen)",IF(J419&lt;=K419,"   Parzelle "&amp;J419,IF(J419=K419+1,"   Vorstand",IF(J419=K419+2,"   Gäste",IF(J419=K419+3,"   Technik (Switches, Access Points)",""))))))</f>
        <v/>
      </c>
      <c r="B419" s="0" t="str">
        <f aca="false">IF(I419="","",IF(AND(J419&gt;=1,J419&lt;=K419+3),IF(J419&lt;=K419,IF(J419&lt;=99,IF((INDEX(Eingabe!$G$9:$G$18,I419))&lt;=9,1000+(INDEX(Eingabe!$G$9:$G$18,I419))*100,3000)+J419,IF((INDEX(Eingabe!$G$9:$G$18,I419)+1)&lt;=9,1000+(INDEX(Eingabe!$G$9:$G$18,I419)+1)*100,3000)+J419-100),IF(J419=K419+1,2000+INDEX(Eingabe!$G$9:$G$18,I419)*10+1,IF(J419=K419+2,2000+INDEX(Eingabe!$G$9:$G$18,I419)*10+2,2000+INDEX(Eingabe!$G$9:$G$18,I419)*10+9))),""))</f>
        <v/>
      </c>
      <c r="C419" s="0" t="str">
        <f aca="false">IF(I419="","",IF(AND(J419&gt;=1,J419&lt;=K419+3),"10."&amp;INDEX(Eingabe!$D$9:$D$18,I419)&amp;"."&amp;IF(J419&lt;=K419,J419,IF(J419=K419+1,200,IF(J419=K419+2,201,250)))&amp;".0/24",""))</f>
        <v/>
      </c>
      <c r="D419" s="0" t="str">
        <f aca="false">IF(I419="","",IF(AND(J419&gt;=1,J419&lt;=K419+3),"255.255.255.0",""))</f>
        <v/>
      </c>
      <c r="E419" s="0" t="str">
        <f aca="false">IF(I419="","",IF(AND(J419&gt;=1,J419&lt;=K419+3),"10."&amp;INDEX(Eingabe!$D$9:$D$18,I419)&amp;"."&amp;IF(J419&lt;=K419,J419,IF(J419=K419+1,200,IF(J419=K419+2,201,250)))&amp;".1",""))</f>
        <v/>
      </c>
      <c r="F419" s="0" t="str">
        <f aca="false">IF(I419="","",IF(AND(J419&gt;=1,J419&lt;=K419+3),"10."&amp;INDEX(Eingabe!$D$9:$D$18,I419)&amp;"."&amp;IF(J419&lt;=K419,J419,IF(J419=K419+1,200,IF(J419=K419+2,201,250)))&amp;".10 – 10."&amp;INDEX(Eingabe!$D$9:$D$18,I419)&amp;"."&amp;IF(J419&lt;=K419,J419,IF(J419=K419+1,200,IF(J419=K419+2,201,250)))&amp;".250",""))</f>
        <v/>
      </c>
      <c r="G419" s="0" t="str">
        <f aca="false">IF(I419="","",IF(AND(J419&gt;=1,J419&lt;=K419),Eingabe!$B$6&amp;"-"&amp;INDEX(Eingabe!$C$9:$C$18,I419)&amp;"-Pächter  ·  Passwort Parzelle "&amp;J419,IF(J419=K419+1,Eingabe!$B$6&amp;"-"&amp;INDEX(Eingabe!$C$9:$C$18,I419)&amp;"-Vorstand  ·  eigenes WLAN",IF(J419=K419+2,Eingabe!$B$6&amp;"-"&amp;INDEX(Eingabe!$C$9:$C$18,I419)&amp;"-Gäste  ·  Voucher",IF(J419=K419+3,"Kabel  ·  Access Point y = .(50+y), Mast-Switch x = .(10+x)","")))))</f>
        <v/>
      </c>
      <c r="I419" s="0" t="str">
        <f aca="false">IF(414&lt;=(Eingabe!$P$18+Eingabe!$Q$18-1),MATCH(414,Eingabe!$P$9:$P$18,1),"")</f>
        <v/>
      </c>
      <c r="J419" s="0" t="str">
        <f aca="false">IF(I419="","",414-INDEX(Eingabe!$P$9:$P$18,I419))</f>
        <v/>
      </c>
      <c r="K419" s="0" t="str">
        <f aca="false">IF(I419="","",INDEX(Eingabe!$E$9:$E$18,I419))</f>
        <v/>
      </c>
    </row>
    <row r="420" customFormat="false" ht="15" hidden="false" customHeight="false" outlineLevel="0" collapsed="false">
      <c r="A420" s="0" t="str">
        <f aca="false">IF(I420="","",IF(J420=0,"Sparte "&amp;I420&amp;": "&amp;INDEX(Eingabe!$B$9:$B$18,I420)&amp;"  (Sparten-ID "&amp;INDEX(Eingabe!$D$9:$D$18,I420)&amp;", "&amp;K420&amp;" Parzellen)",IF(J420&lt;=K420,"   Parzelle "&amp;J420,IF(J420=K420+1,"   Vorstand",IF(J420=K420+2,"   Gäste",IF(J420=K420+3,"   Technik (Switches, Access Points)",""))))))</f>
        <v/>
      </c>
      <c r="B420" s="0" t="str">
        <f aca="false">IF(I420="","",IF(AND(J420&gt;=1,J420&lt;=K420+3),IF(J420&lt;=K420,IF(J420&lt;=99,IF((INDEX(Eingabe!$G$9:$G$18,I420))&lt;=9,1000+(INDEX(Eingabe!$G$9:$G$18,I420))*100,3000)+J420,IF((INDEX(Eingabe!$G$9:$G$18,I420)+1)&lt;=9,1000+(INDEX(Eingabe!$G$9:$G$18,I420)+1)*100,3000)+J420-100),IF(J420=K420+1,2000+INDEX(Eingabe!$G$9:$G$18,I420)*10+1,IF(J420=K420+2,2000+INDEX(Eingabe!$G$9:$G$18,I420)*10+2,2000+INDEX(Eingabe!$G$9:$G$18,I420)*10+9))),""))</f>
        <v/>
      </c>
      <c r="C420" s="0" t="str">
        <f aca="false">IF(I420="","",IF(AND(J420&gt;=1,J420&lt;=K420+3),"10."&amp;INDEX(Eingabe!$D$9:$D$18,I420)&amp;"."&amp;IF(J420&lt;=K420,J420,IF(J420=K420+1,200,IF(J420=K420+2,201,250)))&amp;".0/24",""))</f>
        <v/>
      </c>
      <c r="D420" s="0" t="str">
        <f aca="false">IF(I420="","",IF(AND(J420&gt;=1,J420&lt;=K420+3),"255.255.255.0",""))</f>
        <v/>
      </c>
      <c r="E420" s="0" t="str">
        <f aca="false">IF(I420="","",IF(AND(J420&gt;=1,J420&lt;=K420+3),"10."&amp;INDEX(Eingabe!$D$9:$D$18,I420)&amp;"."&amp;IF(J420&lt;=K420,J420,IF(J420=K420+1,200,IF(J420=K420+2,201,250)))&amp;".1",""))</f>
        <v/>
      </c>
      <c r="F420" s="0" t="str">
        <f aca="false">IF(I420="","",IF(AND(J420&gt;=1,J420&lt;=K420+3),"10."&amp;INDEX(Eingabe!$D$9:$D$18,I420)&amp;"."&amp;IF(J420&lt;=K420,J420,IF(J420=K420+1,200,IF(J420=K420+2,201,250)))&amp;".10 – 10."&amp;INDEX(Eingabe!$D$9:$D$18,I420)&amp;"."&amp;IF(J420&lt;=K420,J420,IF(J420=K420+1,200,IF(J420=K420+2,201,250)))&amp;".250",""))</f>
        <v/>
      </c>
      <c r="G420" s="0" t="str">
        <f aca="false">IF(I420="","",IF(AND(J420&gt;=1,J420&lt;=K420),Eingabe!$B$6&amp;"-"&amp;INDEX(Eingabe!$C$9:$C$18,I420)&amp;"-Pächter  ·  Passwort Parzelle "&amp;J420,IF(J420=K420+1,Eingabe!$B$6&amp;"-"&amp;INDEX(Eingabe!$C$9:$C$18,I420)&amp;"-Vorstand  ·  eigenes WLAN",IF(J420=K420+2,Eingabe!$B$6&amp;"-"&amp;INDEX(Eingabe!$C$9:$C$18,I420)&amp;"-Gäste  ·  Voucher",IF(J420=K420+3,"Kabel  ·  Access Point y = .(50+y), Mast-Switch x = .(10+x)","")))))</f>
        <v/>
      </c>
      <c r="I420" s="0" t="str">
        <f aca="false">IF(415&lt;=(Eingabe!$P$18+Eingabe!$Q$18-1),MATCH(415,Eingabe!$P$9:$P$18,1),"")</f>
        <v/>
      </c>
      <c r="J420" s="0" t="str">
        <f aca="false">IF(I420="","",415-INDEX(Eingabe!$P$9:$P$18,I420))</f>
        <v/>
      </c>
      <c r="K420" s="0" t="str">
        <f aca="false">IF(I420="","",INDEX(Eingabe!$E$9:$E$18,I420))</f>
        <v/>
      </c>
    </row>
    <row r="421" customFormat="false" ht="15" hidden="false" customHeight="false" outlineLevel="0" collapsed="false">
      <c r="A421" s="0" t="str">
        <f aca="false">IF(I421="","",IF(J421=0,"Sparte "&amp;I421&amp;": "&amp;INDEX(Eingabe!$B$9:$B$18,I421)&amp;"  (Sparten-ID "&amp;INDEX(Eingabe!$D$9:$D$18,I421)&amp;", "&amp;K421&amp;" Parzellen)",IF(J421&lt;=K421,"   Parzelle "&amp;J421,IF(J421=K421+1,"   Vorstand",IF(J421=K421+2,"   Gäste",IF(J421=K421+3,"   Technik (Switches, Access Points)",""))))))</f>
        <v/>
      </c>
      <c r="B421" s="0" t="str">
        <f aca="false">IF(I421="","",IF(AND(J421&gt;=1,J421&lt;=K421+3),IF(J421&lt;=K421,IF(J421&lt;=99,IF((INDEX(Eingabe!$G$9:$G$18,I421))&lt;=9,1000+(INDEX(Eingabe!$G$9:$G$18,I421))*100,3000)+J421,IF((INDEX(Eingabe!$G$9:$G$18,I421)+1)&lt;=9,1000+(INDEX(Eingabe!$G$9:$G$18,I421)+1)*100,3000)+J421-100),IF(J421=K421+1,2000+INDEX(Eingabe!$G$9:$G$18,I421)*10+1,IF(J421=K421+2,2000+INDEX(Eingabe!$G$9:$G$18,I421)*10+2,2000+INDEX(Eingabe!$G$9:$G$18,I421)*10+9))),""))</f>
        <v/>
      </c>
      <c r="C421" s="0" t="str">
        <f aca="false">IF(I421="","",IF(AND(J421&gt;=1,J421&lt;=K421+3),"10."&amp;INDEX(Eingabe!$D$9:$D$18,I421)&amp;"."&amp;IF(J421&lt;=K421,J421,IF(J421=K421+1,200,IF(J421=K421+2,201,250)))&amp;".0/24",""))</f>
        <v/>
      </c>
      <c r="D421" s="0" t="str">
        <f aca="false">IF(I421="","",IF(AND(J421&gt;=1,J421&lt;=K421+3),"255.255.255.0",""))</f>
        <v/>
      </c>
      <c r="E421" s="0" t="str">
        <f aca="false">IF(I421="","",IF(AND(J421&gt;=1,J421&lt;=K421+3),"10."&amp;INDEX(Eingabe!$D$9:$D$18,I421)&amp;"."&amp;IF(J421&lt;=K421,J421,IF(J421=K421+1,200,IF(J421=K421+2,201,250)))&amp;".1",""))</f>
        <v/>
      </c>
      <c r="F421" s="0" t="str">
        <f aca="false">IF(I421="","",IF(AND(J421&gt;=1,J421&lt;=K421+3),"10."&amp;INDEX(Eingabe!$D$9:$D$18,I421)&amp;"."&amp;IF(J421&lt;=K421,J421,IF(J421=K421+1,200,IF(J421=K421+2,201,250)))&amp;".10 – 10."&amp;INDEX(Eingabe!$D$9:$D$18,I421)&amp;"."&amp;IF(J421&lt;=K421,J421,IF(J421=K421+1,200,IF(J421=K421+2,201,250)))&amp;".250",""))</f>
        <v/>
      </c>
      <c r="G421" s="0" t="str">
        <f aca="false">IF(I421="","",IF(AND(J421&gt;=1,J421&lt;=K421),Eingabe!$B$6&amp;"-"&amp;INDEX(Eingabe!$C$9:$C$18,I421)&amp;"-Pächter  ·  Passwort Parzelle "&amp;J421,IF(J421=K421+1,Eingabe!$B$6&amp;"-"&amp;INDEX(Eingabe!$C$9:$C$18,I421)&amp;"-Vorstand  ·  eigenes WLAN",IF(J421=K421+2,Eingabe!$B$6&amp;"-"&amp;INDEX(Eingabe!$C$9:$C$18,I421)&amp;"-Gäste  ·  Voucher",IF(J421=K421+3,"Kabel  ·  Access Point y = .(50+y), Mast-Switch x = .(10+x)","")))))</f>
        <v/>
      </c>
      <c r="I421" s="0" t="str">
        <f aca="false">IF(416&lt;=(Eingabe!$P$18+Eingabe!$Q$18-1),MATCH(416,Eingabe!$P$9:$P$18,1),"")</f>
        <v/>
      </c>
      <c r="J421" s="0" t="str">
        <f aca="false">IF(I421="","",416-INDEX(Eingabe!$P$9:$P$18,I421))</f>
        <v/>
      </c>
      <c r="K421" s="0" t="str">
        <f aca="false">IF(I421="","",INDEX(Eingabe!$E$9:$E$18,I421))</f>
        <v/>
      </c>
    </row>
    <row r="422" customFormat="false" ht="15" hidden="false" customHeight="false" outlineLevel="0" collapsed="false">
      <c r="A422" s="0" t="str">
        <f aca="false">IF(I422="","",IF(J422=0,"Sparte "&amp;I422&amp;": "&amp;INDEX(Eingabe!$B$9:$B$18,I422)&amp;"  (Sparten-ID "&amp;INDEX(Eingabe!$D$9:$D$18,I422)&amp;", "&amp;K422&amp;" Parzellen)",IF(J422&lt;=K422,"   Parzelle "&amp;J422,IF(J422=K422+1,"   Vorstand",IF(J422=K422+2,"   Gäste",IF(J422=K422+3,"   Technik (Switches, Access Points)",""))))))</f>
        <v/>
      </c>
      <c r="B422" s="0" t="str">
        <f aca="false">IF(I422="","",IF(AND(J422&gt;=1,J422&lt;=K422+3),IF(J422&lt;=K422,IF(J422&lt;=99,IF((INDEX(Eingabe!$G$9:$G$18,I422))&lt;=9,1000+(INDEX(Eingabe!$G$9:$G$18,I422))*100,3000)+J422,IF((INDEX(Eingabe!$G$9:$G$18,I422)+1)&lt;=9,1000+(INDEX(Eingabe!$G$9:$G$18,I422)+1)*100,3000)+J422-100),IF(J422=K422+1,2000+INDEX(Eingabe!$G$9:$G$18,I422)*10+1,IF(J422=K422+2,2000+INDEX(Eingabe!$G$9:$G$18,I422)*10+2,2000+INDEX(Eingabe!$G$9:$G$18,I422)*10+9))),""))</f>
        <v/>
      </c>
      <c r="C422" s="0" t="str">
        <f aca="false">IF(I422="","",IF(AND(J422&gt;=1,J422&lt;=K422+3),"10."&amp;INDEX(Eingabe!$D$9:$D$18,I422)&amp;"."&amp;IF(J422&lt;=K422,J422,IF(J422=K422+1,200,IF(J422=K422+2,201,250)))&amp;".0/24",""))</f>
        <v/>
      </c>
      <c r="D422" s="0" t="str">
        <f aca="false">IF(I422="","",IF(AND(J422&gt;=1,J422&lt;=K422+3),"255.255.255.0",""))</f>
        <v/>
      </c>
      <c r="E422" s="0" t="str">
        <f aca="false">IF(I422="","",IF(AND(J422&gt;=1,J422&lt;=K422+3),"10."&amp;INDEX(Eingabe!$D$9:$D$18,I422)&amp;"."&amp;IF(J422&lt;=K422,J422,IF(J422=K422+1,200,IF(J422=K422+2,201,250)))&amp;".1",""))</f>
        <v/>
      </c>
      <c r="F422" s="0" t="str">
        <f aca="false">IF(I422="","",IF(AND(J422&gt;=1,J422&lt;=K422+3),"10."&amp;INDEX(Eingabe!$D$9:$D$18,I422)&amp;"."&amp;IF(J422&lt;=K422,J422,IF(J422=K422+1,200,IF(J422=K422+2,201,250)))&amp;".10 – 10."&amp;INDEX(Eingabe!$D$9:$D$18,I422)&amp;"."&amp;IF(J422&lt;=K422,J422,IF(J422=K422+1,200,IF(J422=K422+2,201,250)))&amp;".250",""))</f>
        <v/>
      </c>
      <c r="G422" s="0" t="str">
        <f aca="false">IF(I422="","",IF(AND(J422&gt;=1,J422&lt;=K422),Eingabe!$B$6&amp;"-"&amp;INDEX(Eingabe!$C$9:$C$18,I422)&amp;"-Pächter  ·  Passwort Parzelle "&amp;J422,IF(J422=K422+1,Eingabe!$B$6&amp;"-"&amp;INDEX(Eingabe!$C$9:$C$18,I422)&amp;"-Vorstand  ·  eigenes WLAN",IF(J422=K422+2,Eingabe!$B$6&amp;"-"&amp;INDEX(Eingabe!$C$9:$C$18,I422)&amp;"-Gäste  ·  Voucher",IF(J422=K422+3,"Kabel  ·  Access Point y = .(50+y), Mast-Switch x = .(10+x)","")))))</f>
        <v/>
      </c>
      <c r="I422" s="0" t="str">
        <f aca="false">IF(417&lt;=(Eingabe!$P$18+Eingabe!$Q$18-1),MATCH(417,Eingabe!$P$9:$P$18,1),"")</f>
        <v/>
      </c>
      <c r="J422" s="0" t="str">
        <f aca="false">IF(I422="","",417-INDEX(Eingabe!$P$9:$P$18,I422))</f>
        <v/>
      </c>
      <c r="K422" s="0" t="str">
        <f aca="false">IF(I422="","",INDEX(Eingabe!$E$9:$E$18,I422))</f>
        <v/>
      </c>
    </row>
    <row r="423" customFormat="false" ht="15" hidden="false" customHeight="false" outlineLevel="0" collapsed="false">
      <c r="A423" s="0" t="str">
        <f aca="false">IF(I423="","",IF(J423=0,"Sparte "&amp;I423&amp;": "&amp;INDEX(Eingabe!$B$9:$B$18,I423)&amp;"  (Sparten-ID "&amp;INDEX(Eingabe!$D$9:$D$18,I423)&amp;", "&amp;K423&amp;" Parzellen)",IF(J423&lt;=K423,"   Parzelle "&amp;J423,IF(J423=K423+1,"   Vorstand",IF(J423=K423+2,"   Gäste",IF(J423=K423+3,"   Technik (Switches, Access Points)",""))))))</f>
        <v/>
      </c>
      <c r="B423" s="0" t="str">
        <f aca="false">IF(I423="","",IF(AND(J423&gt;=1,J423&lt;=K423+3),IF(J423&lt;=K423,IF(J423&lt;=99,IF((INDEX(Eingabe!$G$9:$G$18,I423))&lt;=9,1000+(INDEX(Eingabe!$G$9:$G$18,I423))*100,3000)+J423,IF((INDEX(Eingabe!$G$9:$G$18,I423)+1)&lt;=9,1000+(INDEX(Eingabe!$G$9:$G$18,I423)+1)*100,3000)+J423-100),IF(J423=K423+1,2000+INDEX(Eingabe!$G$9:$G$18,I423)*10+1,IF(J423=K423+2,2000+INDEX(Eingabe!$G$9:$G$18,I423)*10+2,2000+INDEX(Eingabe!$G$9:$G$18,I423)*10+9))),""))</f>
        <v/>
      </c>
      <c r="C423" s="0" t="str">
        <f aca="false">IF(I423="","",IF(AND(J423&gt;=1,J423&lt;=K423+3),"10."&amp;INDEX(Eingabe!$D$9:$D$18,I423)&amp;"."&amp;IF(J423&lt;=K423,J423,IF(J423=K423+1,200,IF(J423=K423+2,201,250)))&amp;".0/24",""))</f>
        <v/>
      </c>
      <c r="D423" s="0" t="str">
        <f aca="false">IF(I423="","",IF(AND(J423&gt;=1,J423&lt;=K423+3),"255.255.255.0",""))</f>
        <v/>
      </c>
      <c r="E423" s="0" t="str">
        <f aca="false">IF(I423="","",IF(AND(J423&gt;=1,J423&lt;=K423+3),"10."&amp;INDEX(Eingabe!$D$9:$D$18,I423)&amp;"."&amp;IF(J423&lt;=K423,J423,IF(J423=K423+1,200,IF(J423=K423+2,201,250)))&amp;".1",""))</f>
        <v/>
      </c>
      <c r="F423" s="0" t="str">
        <f aca="false">IF(I423="","",IF(AND(J423&gt;=1,J423&lt;=K423+3),"10."&amp;INDEX(Eingabe!$D$9:$D$18,I423)&amp;"."&amp;IF(J423&lt;=K423,J423,IF(J423=K423+1,200,IF(J423=K423+2,201,250)))&amp;".10 – 10."&amp;INDEX(Eingabe!$D$9:$D$18,I423)&amp;"."&amp;IF(J423&lt;=K423,J423,IF(J423=K423+1,200,IF(J423=K423+2,201,250)))&amp;".250",""))</f>
        <v/>
      </c>
      <c r="G423" s="0" t="str">
        <f aca="false">IF(I423="","",IF(AND(J423&gt;=1,J423&lt;=K423),Eingabe!$B$6&amp;"-"&amp;INDEX(Eingabe!$C$9:$C$18,I423)&amp;"-Pächter  ·  Passwort Parzelle "&amp;J423,IF(J423=K423+1,Eingabe!$B$6&amp;"-"&amp;INDEX(Eingabe!$C$9:$C$18,I423)&amp;"-Vorstand  ·  eigenes WLAN",IF(J423=K423+2,Eingabe!$B$6&amp;"-"&amp;INDEX(Eingabe!$C$9:$C$18,I423)&amp;"-Gäste  ·  Voucher",IF(J423=K423+3,"Kabel  ·  Access Point y = .(50+y), Mast-Switch x = .(10+x)","")))))</f>
        <v/>
      </c>
      <c r="I423" s="0" t="str">
        <f aca="false">IF(418&lt;=(Eingabe!$P$18+Eingabe!$Q$18-1),MATCH(418,Eingabe!$P$9:$P$18,1),"")</f>
        <v/>
      </c>
      <c r="J423" s="0" t="str">
        <f aca="false">IF(I423="","",418-INDEX(Eingabe!$P$9:$P$18,I423))</f>
        <v/>
      </c>
      <c r="K423" s="0" t="str">
        <f aca="false">IF(I423="","",INDEX(Eingabe!$E$9:$E$18,I423))</f>
        <v/>
      </c>
    </row>
    <row r="424" customFormat="false" ht="15" hidden="false" customHeight="false" outlineLevel="0" collapsed="false">
      <c r="A424" s="0" t="str">
        <f aca="false">IF(I424="","",IF(J424=0,"Sparte "&amp;I424&amp;": "&amp;INDEX(Eingabe!$B$9:$B$18,I424)&amp;"  (Sparten-ID "&amp;INDEX(Eingabe!$D$9:$D$18,I424)&amp;", "&amp;K424&amp;" Parzellen)",IF(J424&lt;=K424,"   Parzelle "&amp;J424,IF(J424=K424+1,"   Vorstand",IF(J424=K424+2,"   Gäste",IF(J424=K424+3,"   Technik (Switches, Access Points)",""))))))</f>
        <v/>
      </c>
      <c r="B424" s="0" t="str">
        <f aca="false">IF(I424="","",IF(AND(J424&gt;=1,J424&lt;=K424+3),IF(J424&lt;=K424,IF(J424&lt;=99,IF((INDEX(Eingabe!$G$9:$G$18,I424))&lt;=9,1000+(INDEX(Eingabe!$G$9:$G$18,I424))*100,3000)+J424,IF((INDEX(Eingabe!$G$9:$G$18,I424)+1)&lt;=9,1000+(INDEX(Eingabe!$G$9:$G$18,I424)+1)*100,3000)+J424-100),IF(J424=K424+1,2000+INDEX(Eingabe!$G$9:$G$18,I424)*10+1,IF(J424=K424+2,2000+INDEX(Eingabe!$G$9:$G$18,I424)*10+2,2000+INDEX(Eingabe!$G$9:$G$18,I424)*10+9))),""))</f>
        <v/>
      </c>
      <c r="C424" s="0" t="str">
        <f aca="false">IF(I424="","",IF(AND(J424&gt;=1,J424&lt;=K424+3),"10."&amp;INDEX(Eingabe!$D$9:$D$18,I424)&amp;"."&amp;IF(J424&lt;=K424,J424,IF(J424=K424+1,200,IF(J424=K424+2,201,250)))&amp;".0/24",""))</f>
        <v/>
      </c>
      <c r="D424" s="0" t="str">
        <f aca="false">IF(I424="","",IF(AND(J424&gt;=1,J424&lt;=K424+3),"255.255.255.0",""))</f>
        <v/>
      </c>
      <c r="E424" s="0" t="str">
        <f aca="false">IF(I424="","",IF(AND(J424&gt;=1,J424&lt;=K424+3),"10."&amp;INDEX(Eingabe!$D$9:$D$18,I424)&amp;"."&amp;IF(J424&lt;=K424,J424,IF(J424=K424+1,200,IF(J424=K424+2,201,250)))&amp;".1",""))</f>
        <v/>
      </c>
      <c r="F424" s="0" t="str">
        <f aca="false">IF(I424="","",IF(AND(J424&gt;=1,J424&lt;=K424+3),"10."&amp;INDEX(Eingabe!$D$9:$D$18,I424)&amp;"."&amp;IF(J424&lt;=K424,J424,IF(J424=K424+1,200,IF(J424=K424+2,201,250)))&amp;".10 – 10."&amp;INDEX(Eingabe!$D$9:$D$18,I424)&amp;"."&amp;IF(J424&lt;=K424,J424,IF(J424=K424+1,200,IF(J424=K424+2,201,250)))&amp;".250",""))</f>
        <v/>
      </c>
      <c r="G424" s="0" t="str">
        <f aca="false">IF(I424="","",IF(AND(J424&gt;=1,J424&lt;=K424),Eingabe!$B$6&amp;"-"&amp;INDEX(Eingabe!$C$9:$C$18,I424)&amp;"-Pächter  ·  Passwort Parzelle "&amp;J424,IF(J424=K424+1,Eingabe!$B$6&amp;"-"&amp;INDEX(Eingabe!$C$9:$C$18,I424)&amp;"-Vorstand  ·  eigenes WLAN",IF(J424=K424+2,Eingabe!$B$6&amp;"-"&amp;INDEX(Eingabe!$C$9:$C$18,I424)&amp;"-Gäste  ·  Voucher",IF(J424=K424+3,"Kabel  ·  Access Point y = .(50+y), Mast-Switch x = .(10+x)","")))))</f>
        <v/>
      </c>
      <c r="I424" s="0" t="str">
        <f aca="false">IF(419&lt;=(Eingabe!$P$18+Eingabe!$Q$18-1),MATCH(419,Eingabe!$P$9:$P$18,1),"")</f>
        <v/>
      </c>
      <c r="J424" s="0" t="str">
        <f aca="false">IF(I424="","",419-INDEX(Eingabe!$P$9:$P$18,I424))</f>
        <v/>
      </c>
      <c r="K424" s="0" t="str">
        <f aca="false">IF(I424="","",INDEX(Eingabe!$E$9:$E$18,I424))</f>
        <v/>
      </c>
    </row>
    <row r="425" customFormat="false" ht="15" hidden="false" customHeight="false" outlineLevel="0" collapsed="false">
      <c r="A425" s="0" t="str">
        <f aca="false">IF(I425="","",IF(J425=0,"Sparte "&amp;I425&amp;": "&amp;INDEX(Eingabe!$B$9:$B$18,I425)&amp;"  (Sparten-ID "&amp;INDEX(Eingabe!$D$9:$D$18,I425)&amp;", "&amp;K425&amp;" Parzellen)",IF(J425&lt;=K425,"   Parzelle "&amp;J425,IF(J425=K425+1,"   Vorstand",IF(J425=K425+2,"   Gäste",IF(J425=K425+3,"   Technik (Switches, Access Points)",""))))))</f>
        <v/>
      </c>
      <c r="B425" s="0" t="str">
        <f aca="false">IF(I425="","",IF(AND(J425&gt;=1,J425&lt;=K425+3),IF(J425&lt;=K425,IF(J425&lt;=99,IF((INDEX(Eingabe!$G$9:$G$18,I425))&lt;=9,1000+(INDEX(Eingabe!$G$9:$G$18,I425))*100,3000)+J425,IF((INDEX(Eingabe!$G$9:$G$18,I425)+1)&lt;=9,1000+(INDEX(Eingabe!$G$9:$G$18,I425)+1)*100,3000)+J425-100),IF(J425=K425+1,2000+INDEX(Eingabe!$G$9:$G$18,I425)*10+1,IF(J425=K425+2,2000+INDEX(Eingabe!$G$9:$G$18,I425)*10+2,2000+INDEX(Eingabe!$G$9:$G$18,I425)*10+9))),""))</f>
        <v/>
      </c>
      <c r="C425" s="0" t="str">
        <f aca="false">IF(I425="","",IF(AND(J425&gt;=1,J425&lt;=K425+3),"10."&amp;INDEX(Eingabe!$D$9:$D$18,I425)&amp;"."&amp;IF(J425&lt;=K425,J425,IF(J425=K425+1,200,IF(J425=K425+2,201,250)))&amp;".0/24",""))</f>
        <v/>
      </c>
      <c r="D425" s="0" t="str">
        <f aca="false">IF(I425="","",IF(AND(J425&gt;=1,J425&lt;=K425+3),"255.255.255.0",""))</f>
        <v/>
      </c>
      <c r="E425" s="0" t="str">
        <f aca="false">IF(I425="","",IF(AND(J425&gt;=1,J425&lt;=K425+3),"10."&amp;INDEX(Eingabe!$D$9:$D$18,I425)&amp;"."&amp;IF(J425&lt;=K425,J425,IF(J425=K425+1,200,IF(J425=K425+2,201,250)))&amp;".1",""))</f>
        <v/>
      </c>
      <c r="F425" s="0" t="str">
        <f aca="false">IF(I425="","",IF(AND(J425&gt;=1,J425&lt;=K425+3),"10."&amp;INDEX(Eingabe!$D$9:$D$18,I425)&amp;"."&amp;IF(J425&lt;=K425,J425,IF(J425=K425+1,200,IF(J425=K425+2,201,250)))&amp;".10 – 10."&amp;INDEX(Eingabe!$D$9:$D$18,I425)&amp;"."&amp;IF(J425&lt;=K425,J425,IF(J425=K425+1,200,IF(J425=K425+2,201,250)))&amp;".250",""))</f>
        <v/>
      </c>
      <c r="G425" s="0" t="str">
        <f aca="false">IF(I425="","",IF(AND(J425&gt;=1,J425&lt;=K425),Eingabe!$B$6&amp;"-"&amp;INDEX(Eingabe!$C$9:$C$18,I425)&amp;"-Pächter  ·  Passwort Parzelle "&amp;J425,IF(J425=K425+1,Eingabe!$B$6&amp;"-"&amp;INDEX(Eingabe!$C$9:$C$18,I425)&amp;"-Vorstand  ·  eigenes WLAN",IF(J425=K425+2,Eingabe!$B$6&amp;"-"&amp;INDEX(Eingabe!$C$9:$C$18,I425)&amp;"-Gäste  ·  Voucher",IF(J425=K425+3,"Kabel  ·  Access Point y = .(50+y), Mast-Switch x = .(10+x)","")))))</f>
        <v/>
      </c>
      <c r="I425" s="0" t="str">
        <f aca="false">IF(420&lt;=(Eingabe!$P$18+Eingabe!$Q$18-1),MATCH(420,Eingabe!$P$9:$P$18,1),"")</f>
        <v/>
      </c>
      <c r="J425" s="0" t="str">
        <f aca="false">IF(I425="","",420-INDEX(Eingabe!$P$9:$P$18,I425))</f>
        <v/>
      </c>
      <c r="K425" s="0" t="str">
        <f aca="false">IF(I425="","",INDEX(Eingabe!$E$9:$E$18,I425))</f>
        <v/>
      </c>
    </row>
    <row r="426" customFormat="false" ht="15" hidden="false" customHeight="false" outlineLevel="0" collapsed="false">
      <c r="A426" s="0" t="str">
        <f aca="false">IF(I426="","",IF(J426=0,"Sparte "&amp;I426&amp;": "&amp;INDEX(Eingabe!$B$9:$B$18,I426)&amp;"  (Sparten-ID "&amp;INDEX(Eingabe!$D$9:$D$18,I426)&amp;", "&amp;K426&amp;" Parzellen)",IF(J426&lt;=K426,"   Parzelle "&amp;J426,IF(J426=K426+1,"   Vorstand",IF(J426=K426+2,"   Gäste",IF(J426=K426+3,"   Technik (Switches, Access Points)",""))))))</f>
        <v/>
      </c>
      <c r="B426" s="0" t="str">
        <f aca="false">IF(I426="","",IF(AND(J426&gt;=1,J426&lt;=K426+3),IF(J426&lt;=K426,IF(J426&lt;=99,IF((INDEX(Eingabe!$G$9:$G$18,I426))&lt;=9,1000+(INDEX(Eingabe!$G$9:$G$18,I426))*100,3000)+J426,IF((INDEX(Eingabe!$G$9:$G$18,I426)+1)&lt;=9,1000+(INDEX(Eingabe!$G$9:$G$18,I426)+1)*100,3000)+J426-100),IF(J426=K426+1,2000+INDEX(Eingabe!$G$9:$G$18,I426)*10+1,IF(J426=K426+2,2000+INDEX(Eingabe!$G$9:$G$18,I426)*10+2,2000+INDEX(Eingabe!$G$9:$G$18,I426)*10+9))),""))</f>
        <v/>
      </c>
      <c r="C426" s="0" t="str">
        <f aca="false">IF(I426="","",IF(AND(J426&gt;=1,J426&lt;=K426+3),"10."&amp;INDEX(Eingabe!$D$9:$D$18,I426)&amp;"."&amp;IF(J426&lt;=K426,J426,IF(J426=K426+1,200,IF(J426=K426+2,201,250)))&amp;".0/24",""))</f>
        <v/>
      </c>
      <c r="D426" s="0" t="str">
        <f aca="false">IF(I426="","",IF(AND(J426&gt;=1,J426&lt;=K426+3),"255.255.255.0",""))</f>
        <v/>
      </c>
      <c r="E426" s="0" t="str">
        <f aca="false">IF(I426="","",IF(AND(J426&gt;=1,J426&lt;=K426+3),"10."&amp;INDEX(Eingabe!$D$9:$D$18,I426)&amp;"."&amp;IF(J426&lt;=K426,J426,IF(J426=K426+1,200,IF(J426=K426+2,201,250)))&amp;".1",""))</f>
        <v/>
      </c>
      <c r="F426" s="0" t="str">
        <f aca="false">IF(I426="","",IF(AND(J426&gt;=1,J426&lt;=K426+3),"10."&amp;INDEX(Eingabe!$D$9:$D$18,I426)&amp;"."&amp;IF(J426&lt;=K426,J426,IF(J426=K426+1,200,IF(J426=K426+2,201,250)))&amp;".10 – 10."&amp;INDEX(Eingabe!$D$9:$D$18,I426)&amp;"."&amp;IF(J426&lt;=K426,J426,IF(J426=K426+1,200,IF(J426=K426+2,201,250)))&amp;".250",""))</f>
        <v/>
      </c>
      <c r="G426" s="0" t="str">
        <f aca="false">IF(I426="","",IF(AND(J426&gt;=1,J426&lt;=K426),Eingabe!$B$6&amp;"-"&amp;INDEX(Eingabe!$C$9:$C$18,I426)&amp;"-Pächter  ·  Passwort Parzelle "&amp;J426,IF(J426=K426+1,Eingabe!$B$6&amp;"-"&amp;INDEX(Eingabe!$C$9:$C$18,I426)&amp;"-Vorstand  ·  eigenes WLAN",IF(J426=K426+2,Eingabe!$B$6&amp;"-"&amp;INDEX(Eingabe!$C$9:$C$18,I426)&amp;"-Gäste  ·  Voucher",IF(J426=K426+3,"Kabel  ·  Access Point y = .(50+y), Mast-Switch x = .(10+x)","")))))</f>
        <v/>
      </c>
      <c r="I426" s="0" t="str">
        <f aca="false">IF(421&lt;=(Eingabe!$P$18+Eingabe!$Q$18-1),MATCH(421,Eingabe!$P$9:$P$18,1),"")</f>
        <v/>
      </c>
      <c r="J426" s="0" t="str">
        <f aca="false">IF(I426="","",421-INDEX(Eingabe!$P$9:$P$18,I426))</f>
        <v/>
      </c>
      <c r="K426" s="0" t="str">
        <f aca="false">IF(I426="","",INDEX(Eingabe!$E$9:$E$18,I426))</f>
        <v/>
      </c>
    </row>
    <row r="427" customFormat="false" ht="15" hidden="false" customHeight="false" outlineLevel="0" collapsed="false">
      <c r="A427" s="0" t="str">
        <f aca="false">IF(I427="","",IF(J427=0,"Sparte "&amp;I427&amp;": "&amp;INDEX(Eingabe!$B$9:$B$18,I427)&amp;"  (Sparten-ID "&amp;INDEX(Eingabe!$D$9:$D$18,I427)&amp;", "&amp;K427&amp;" Parzellen)",IF(J427&lt;=K427,"   Parzelle "&amp;J427,IF(J427=K427+1,"   Vorstand",IF(J427=K427+2,"   Gäste",IF(J427=K427+3,"   Technik (Switches, Access Points)",""))))))</f>
        <v/>
      </c>
      <c r="B427" s="0" t="str">
        <f aca="false">IF(I427="","",IF(AND(J427&gt;=1,J427&lt;=K427+3),IF(J427&lt;=K427,IF(J427&lt;=99,IF((INDEX(Eingabe!$G$9:$G$18,I427))&lt;=9,1000+(INDEX(Eingabe!$G$9:$G$18,I427))*100,3000)+J427,IF((INDEX(Eingabe!$G$9:$G$18,I427)+1)&lt;=9,1000+(INDEX(Eingabe!$G$9:$G$18,I427)+1)*100,3000)+J427-100),IF(J427=K427+1,2000+INDEX(Eingabe!$G$9:$G$18,I427)*10+1,IF(J427=K427+2,2000+INDEX(Eingabe!$G$9:$G$18,I427)*10+2,2000+INDEX(Eingabe!$G$9:$G$18,I427)*10+9))),""))</f>
        <v/>
      </c>
      <c r="C427" s="0" t="str">
        <f aca="false">IF(I427="","",IF(AND(J427&gt;=1,J427&lt;=K427+3),"10."&amp;INDEX(Eingabe!$D$9:$D$18,I427)&amp;"."&amp;IF(J427&lt;=K427,J427,IF(J427=K427+1,200,IF(J427=K427+2,201,250)))&amp;".0/24",""))</f>
        <v/>
      </c>
      <c r="D427" s="0" t="str">
        <f aca="false">IF(I427="","",IF(AND(J427&gt;=1,J427&lt;=K427+3),"255.255.255.0",""))</f>
        <v/>
      </c>
      <c r="E427" s="0" t="str">
        <f aca="false">IF(I427="","",IF(AND(J427&gt;=1,J427&lt;=K427+3),"10."&amp;INDEX(Eingabe!$D$9:$D$18,I427)&amp;"."&amp;IF(J427&lt;=K427,J427,IF(J427=K427+1,200,IF(J427=K427+2,201,250)))&amp;".1",""))</f>
        <v/>
      </c>
      <c r="F427" s="0" t="str">
        <f aca="false">IF(I427="","",IF(AND(J427&gt;=1,J427&lt;=K427+3),"10."&amp;INDEX(Eingabe!$D$9:$D$18,I427)&amp;"."&amp;IF(J427&lt;=K427,J427,IF(J427=K427+1,200,IF(J427=K427+2,201,250)))&amp;".10 – 10."&amp;INDEX(Eingabe!$D$9:$D$18,I427)&amp;"."&amp;IF(J427&lt;=K427,J427,IF(J427=K427+1,200,IF(J427=K427+2,201,250)))&amp;".250",""))</f>
        <v/>
      </c>
      <c r="G427" s="0" t="str">
        <f aca="false">IF(I427="","",IF(AND(J427&gt;=1,J427&lt;=K427),Eingabe!$B$6&amp;"-"&amp;INDEX(Eingabe!$C$9:$C$18,I427)&amp;"-Pächter  ·  Passwort Parzelle "&amp;J427,IF(J427=K427+1,Eingabe!$B$6&amp;"-"&amp;INDEX(Eingabe!$C$9:$C$18,I427)&amp;"-Vorstand  ·  eigenes WLAN",IF(J427=K427+2,Eingabe!$B$6&amp;"-"&amp;INDEX(Eingabe!$C$9:$C$18,I427)&amp;"-Gäste  ·  Voucher",IF(J427=K427+3,"Kabel  ·  Access Point y = .(50+y), Mast-Switch x = .(10+x)","")))))</f>
        <v/>
      </c>
      <c r="I427" s="0" t="str">
        <f aca="false">IF(422&lt;=(Eingabe!$P$18+Eingabe!$Q$18-1),MATCH(422,Eingabe!$P$9:$P$18,1),"")</f>
        <v/>
      </c>
      <c r="J427" s="0" t="str">
        <f aca="false">IF(I427="","",422-INDEX(Eingabe!$P$9:$P$18,I427))</f>
        <v/>
      </c>
      <c r="K427" s="0" t="str">
        <f aca="false">IF(I427="","",INDEX(Eingabe!$E$9:$E$18,I427))</f>
        <v/>
      </c>
    </row>
    <row r="428" customFormat="false" ht="15" hidden="false" customHeight="false" outlineLevel="0" collapsed="false">
      <c r="A428" s="0" t="str">
        <f aca="false">IF(I428="","",IF(J428=0,"Sparte "&amp;I428&amp;": "&amp;INDEX(Eingabe!$B$9:$B$18,I428)&amp;"  (Sparten-ID "&amp;INDEX(Eingabe!$D$9:$D$18,I428)&amp;", "&amp;K428&amp;" Parzellen)",IF(J428&lt;=K428,"   Parzelle "&amp;J428,IF(J428=K428+1,"   Vorstand",IF(J428=K428+2,"   Gäste",IF(J428=K428+3,"   Technik (Switches, Access Points)",""))))))</f>
        <v/>
      </c>
      <c r="B428" s="0" t="str">
        <f aca="false">IF(I428="","",IF(AND(J428&gt;=1,J428&lt;=K428+3),IF(J428&lt;=K428,IF(J428&lt;=99,IF((INDEX(Eingabe!$G$9:$G$18,I428))&lt;=9,1000+(INDEX(Eingabe!$G$9:$G$18,I428))*100,3000)+J428,IF((INDEX(Eingabe!$G$9:$G$18,I428)+1)&lt;=9,1000+(INDEX(Eingabe!$G$9:$G$18,I428)+1)*100,3000)+J428-100),IF(J428=K428+1,2000+INDEX(Eingabe!$G$9:$G$18,I428)*10+1,IF(J428=K428+2,2000+INDEX(Eingabe!$G$9:$G$18,I428)*10+2,2000+INDEX(Eingabe!$G$9:$G$18,I428)*10+9))),""))</f>
        <v/>
      </c>
      <c r="C428" s="0" t="str">
        <f aca="false">IF(I428="","",IF(AND(J428&gt;=1,J428&lt;=K428+3),"10."&amp;INDEX(Eingabe!$D$9:$D$18,I428)&amp;"."&amp;IF(J428&lt;=K428,J428,IF(J428=K428+1,200,IF(J428=K428+2,201,250)))&amp;".0/24",""))</f>
        <v/>
      </c>
      <c r="D428" s="0" t="str">
        <f aca="false">IF(I428="","",IF(AND(J428&gt;=1,J428&lt;=K428+3),"255.255.255.0",""))</f>
        <v/>
      </c>
      <c r="E428" s="0" t="str">
        <f aca="false">IF(I428="","",IF(AND(J428&gt;=1,J428&lt;=K428+3),"10."&amp;INDEX(Eingabe!$D$9:$D$18,I428)&amp;"."&amp;IF(J428&lt;=K428,J428,IF(J428=K428+1,200,IF(J428=K428+2,201,250)))&amp;".1",""))</f>
        <v/>
      </c>
      <c r="F428" s="0" t="str">
        <f aca="false">IF(I428="","",IF(AND(J428&gt;=1,J428&lt;=K428+3),"10."&amp;INDEX(Eingabe!$D$9:$D$18,I428)&amp;"."&amp;IF(J428&lt;=K428,J428,IF(J428=K428+1,200,IF(J428=K428+2,201,250)))&amp;".10 – 10."&amp;INDEX(Eingabe!$D$9:$D$18,I428)&amp;"."&amp;IF(J428&lt;=K428,J428,IF(J428=K428+1,200,IF(J428=K428+2,201,250)))&amp;".250",""))</f>
        <v/>
      </c>
      <c r="G428" s="0" t="str">
        <f aca="false">IF(I428="","",IF(AND(J428&gt;=1,J428&lt;=K428),Eingabe!$B$6&amp;"-"&amp;INDEX(Eingabe!$C$9:$C$18,I428)&amp;"-Pächter  ·  Passwort Parzelle "&amp;J428,IF(J428=K428+1,Eingabe!$B$6&amp;"-"&amp;INDEX(Eingabe!$C$9:$C$18,I428)&amp;"-Vorstand  ·  eigenes WLAN",IF(J428=K428+2,Eingabe!$B$6&amp;"-"&amp;INDEX(Eingabe!$C$9:$C$18,I428)&amp;"-Gäste  ·  Voucher",IF(J428=K428+3,"Kabel  ·  Access Point y = .(50+y), Mast-Switch x = .(10+x)","")))))</f>
        <v/>
      </c>
      <c r="I428" s="0" t="str">
        <f aca="false">IF(423&lt;=(Eingabe!$P$18+Eingabe!$Q$18-1),MATCH(423,Eingabe!$P$9:$P$18,1),"")</f>
        <v/>
      </c>
      <c r="J428" s="0" t="str">
        <f aca="false">IF(I428="","",423-INDEX(Eingabe!$P$9:$P$18,I428))</f>
        <v/>
      </c>
      <c r="K428" s="0" t="str">
        <f aca="false">IF(I428="","",INDEX(Eingabe!$E$9:$E$18,I428))</f>
        <v/>
      </c>
    </row>
    <row r="429" customFormat="false" ht="15" hidden="false" customHeight="false" outlineLevel="0" collapsed="false">
      <c r="A429" s="0" t="str">
        <f aca="false">IF(I429="","",IF(J429=0,"Sparte "&amp;I429&amp;": "&amp;INDEX(Eingabe!$B$9:$B$18,I429)&amp;"  (Sparten-ID "&amp;INDEX(Eingabe!$D$9:$D$18,I429)&amp;", "&amp;K429&amp;" Parzellen)",IF(J429&lt;=K429,"   Parzelle "&amp;J429,IF(J429=K429+1,"   Vorstand",IF(J429=K429+2,"   Gäste",IF(J429=K429+3,"   Technik (Switches, Access Points)",""))))))</f>
        <v/>
      </c>
      <c r="B429" s="0" t="str">
        <f aca="false">IF(I429="","",IF(AND(J429&gt;=1,J429&lt;=K429+3),IF(J429&lt;=K429,IF(J429&lt;=99,IF((INDEX(Eingabe!$G$9:$G$18,I429))&lt;=9,1000+(INDEX(Eingabe!$G$9:$G$18,I429))*100,3000)+J429,IF((INDEX(Eingabe!$G$9:$G$18,I429)+1)&lt;=9,1000+(INDEX(Eingabe!$G$9:$G$18,I429)+1)*100,3000)+J429-100),IF(J429=K429+1,2000+INDEX(Eingabe!$G$9:$G$18,I429)*10+1,IF(J429=K429+2,2000+INDEX(Eingabe!$G$9:$G$18,I429)*10+2,2000+INDEX(Eingabe!$G$9:$G$18,I429)*10+9))),""))</f>
        <v/>
      </c>
      <c r="C429" s="0" t="str">
        <f aca="false">IF(I429="","",IF(AND(J429&gt;=1,J429&lt;=K429+3),"10."&amp;INDEX(Eingabe!$D$9:$D$18,I429)&amp;"."&amp;IF(J429&lt;=K429,J429,IF(J429=K429+1,200,IF(J429=K429+2,201,250)))&amp;".0/24",""))</f>
        <v/>
      </c>
      <c r="D429" s="0" t="str">
        <f aca="false">IF(I429="","",IF(AND(J429&gt;=1,J429&lt;=K429+3),"255.255.255.0",""))</f>
        <v/>
      </c>
      <c r="E429" s="0" t="str">
        <f aca="false">IF(I429="","",IF(AND(J429&gt;=1,J429&lt;=K429+3),"10."&amp;INDEX(Eingabe!$D$9:$D$18,I429)&amp;"."&amp;IF(J429&lt;=K429,J429,IF(J429=K429+1,200,IF(J429=K429+2,201,250)))&amp;".1",""))</f>
        <v/>
      </c>
      <c r="F429" s="0" t="str">
        <f aca="false">IF(I429="","",IF(AND(J429&gt;=1,J429&lt;=K429+3),"10."&amp;INDEX(Eingabe!$D$9:$D$18,I429)&amp;"."&amp;IF(J429&lt;=K429,J429,IF(J429=K429+1,200,IF(J429=K429+2,201,250)))&amp;".10 – 10."&amp;INDEX(Eingabe!$D$9:$D$18,I429)&amp;"."&amp;IF(J429&lt;=K429,J429,IF(J429=K429+1,200,IF(J429=K429+2,201,250)))&amp;".250",""))</f>
        <v/>
      </c>
      <c r="G429" s="0" t="str">
        <f aca="false">IF(I429="","",IF(AND(J429&gt;=1,J429&lt;=K429),Eingabe!$B$6&amp;"-"&amp;INDEX(Eingabe!$C$9:$C$18,I429)&amp;"-Pächter  ·  Passwort Parzelle "&amp;J429,IF(J429=K429+1,Eingabe!$B$6&amp;"-"&amp;INDEX(Eingabe!$C$9:$C$18,I429)&amp;"-Vorstand  ·  eigenes WLAN",IF(J429=K429+2,Eingabe!$B$6&amp;"-"&amp;INDEX(Eingabe!$C$9:$C$18,I429)&amp;"-Gäste  ·  Voucher",IF(J429=K429+3,"Kabel  ·  Access Point y = .(50+y), Mast-Switch x = .(10+x)","")))))</f>
        <v/>
      </c>
      <c r="I429" s="0" t="str">
        <f aca="false">IF(424&lt;=(Eingabe!$P$18+Eingabe!$Q$18-1),MATCH(424,Eingabe!$P$9:$P$18,1),"")</f>
        <v/>
      </c>
      <c r="J429" s="0" t="str">
        <f aca="false">IF(I429="","",424-INDEX(Eingabe!$P$9:$P$18,I429))</f>
        <v/>
      </c>
      <c r="K429" s="0" t="str">
        <f aca="false">IF(I429="","",INDEX(Eingabe!$E$9:$E$18,I429))</f>
        <v/>
      </c>
    </row>
    <row r="430" customFormat="false" ht="15" hidden="false" customHeight="false" outlineLevel="0" collapsed="false">
      <c r="A430" s="0" t="str">
        <f aca="false">IF(I430="","",IF(J430=0,"Sparte "&amp;I430&amp;": "&amp;INDEX(Eingabe!$B$9:$B$18,I430)&amp;"  (Sparten-ID "&amp;INDEX(Eingabe!$D$9:$D$18,I430)&amp;", "&amp;K430&amp;" Parzellen)",IF(J430&lt;=K430,"   Parzelle "&amp;J430,IF(J430=K430+1,"   Vorstand",IF(J430=K430+2,"   Gäste",IF(J430=K430+3,"   Technik (Switches, Access Points)",""))))))</f>
        <v/>
      </c>
      <c r="B430" s="0" t="str">
        <f aca="false">IF(I430="","",IF(AND(J430&gt;=1,J430&lt;=K430+3),IF(J430&lt;=K430,IF(J430&lt;=99,IF((INDEX(Eingabe!$G$9:$G$18,I430))&lt;=9,1000+(INDEX(Eingabe!$G$9:$G$18,I430))*100,3000)+J430,IF((INDEX(Eingabe!$G$9:$G$18,I430)+1)&lt;=9,1000+(INDEX(Eingabe!$G$9:$G$18,I430)+1)*100,3000)+J430-100),IF(J430=K430+1,2000+INDEX(Eingabe!$G$9:$G$18,I430)*10+1,IF(J430=K430+2,2000+INDEX(Eingabe!$G$9:$G$18,I430)*10+2,2000+INDEX(Eingabe!$G$9:$G$18,I430)*10+9))),""))</f>
        <v/>
      </c>
      <c r="C430" s="0" t="str">
        <f aca="false">IF(I430="","",IF(AND(J430&gt;=1,J430&lt;=K430+3),"10."&amp;INDEX(Eingabe!$D$9:$D$18,I430)&amp;"."&amp;IF(J430&lt;=K430,J430,IF(J430=K430+1,200,IF(J430=K430+2,201,250)))&amp;".0/24",""))</f>
        <v/>
      </c>
      <c r="D430" s="0" t="str">
        <f aca="false">IF(I430="","",IF(AND(J430&gt;=1,J430&lt;=K430+3),"255.255.255.0",""))</f>
        <v/>
      </c>
      <c r="E430" s="0" t="str">
        <f aca="false">IF(I430="","",IF(AND(J430&gt;=1,J430&lt;=K430+3),"10."&amp;INDEX(Eingabe!$D$9:$D$18,I430)&amp;"."&amp;IF(J430&lt;=K430,J430,IF(J430=K430+1,200,IF(J430=K430+2,201,250)))&amp;".1",""))</f>
        <v/>
      </c>
      <c r="F430" s="0" t="str">
        <f aca="false">IF(I430="","",IF(AND(J430&gt;=1,J430&lt;=K430+3),"10."&amp;INDEX(Eingabe!$D$9:$D$18,I430)&amp;"."&amp;IF(J430&lt;=K430,J430,IF(J430=K430+1,200,IF(J430=K430+2,201,250)))&amp;".10 – 10."&amp;INDEX(Eingabe!$D$9:$D$18,I430)&amp;"."&amp;IF(J430&lt;=K430,J430,IF(J430=K430+1,200,IF(J430=K430+2,201,250)))&amp;".250",""))</f>
        <v/>
      </c>
      <c r="G430" s="0" t="str">
        <f aca="false">IF(I430="","",IF(AND(J430&gt;=1,J430&lt;=K430),Eingabe!$B$6&amp;"-"&amp;INDEX(Eingabe!$C$9:$C$18,I430)&amp;"-Pächter  ·  Passwort Parzelle "&amp;J430,IF(J430=K430+1,Eingabe!$B$6&amp;"-"&amp;INDEX(Eingabe!$C$9:$C$18,I430)&amp;"-Vorstand  ·  eigenes WLAN",IF(J430=K430+2,Eingabe!$B$6&amp;"-"&amp;INDEX(Eingabe!$C$9:$C$18,I430)&amp;"-Gäste  ·  Voucher",IF(J430=K430+3,"Kabel  ·  Access Point y = .(50+y), Mast-Switch x = .(10+x)","")))))</f>
        <v/>
      </c>
      <c r="I430" s="0" t="str">
        <f aca="false">IF(425&lt;=(Eingabe!$P$18+Eingabe!$Q$18-1),MATCH(425,Eingabe!$P$9:$P$18,1),"")</f>
        <v/>
      </c>
      <c r="J430" s="0" t="str">
        <f aca="false">IF(I430="","",425-INDEX(Eingabe!$P$9:$P$18,I430))</f>
        <v/>
      </c>
      <c r="K430" s="0" t="str">
        <f aca="false">IF(I430="","",INDEX(Eingabe!$E$9:$E$18,I430))</f>
        <v/>
      </c>
    </row>
    <row r="431" customFormat="false" ht="15" hidden="false" customHeight="false" outlineLevel="0" collapsed="false">
      <c r="A431" s="0" t="str">
        <f aca="false">IF(I431="","",IF(J431=0,"Sparte "&amp;I431&amp;": "&amp;INDEX(Eingabe!$B$9:$B$18,I431)&amp;"  (Sparten-ID "&amp;INDEX(Eingabe!$D$9:$D$18,I431)&amp;", "&amp;K431&amp;" Parzellen)",IF(J431&lt;=K431,"   Parzelle "&amp;J431,IF(J431=K431+1,"   Vorstand",IF(J431=K431+2,"   Gäste",IF(J431=K431+3,"   Technik (Switches, Access Points)",""))))))</f>
        <v/>
      </c>
      <c r="B431" s="0" t="str">
        <f aca="false">IF(I431="","",IF(AND(J431&gt;=1,J431&lt;=K431+3),IF(J431&lt;=K431,IF(J431&lt;=99,IF((INDEX(Eingabe!$G$9:$G$18,I431))&lt;=9,1000+(INDEX(Eingabe!$G$9:$G$18,I431))*100,3000)+J431,IF((INDEX(Eingabe!$G$9:$G$18,I431)+1)&lt;=9,1000+(INDEX(Eingabe!$G$9:$G$18,I431)+1)*100,3000)+J431-100),IF(J431=K431+1,2000+INDEX(Eingabe!$G$9:$G$18,I431)*10+1,IF(J431=K431+2,2000+INDEX(Eingabe!$G$9:$G$18,I431)*10+2,2000+INDEX(Eingabe!$G$9:$G$18,I431)*10+9))),""))</f>
        <v/>
      </c>
      <c r="C431" s="0" t="str">
        <f aca="false">IF(I431="","",IF(AND(J431&gt;=1,J431&lt;=K431+3),"10."&amp;INDEX(Eingabe!$D$9:$D$18,I431)&amp;"."&amp;IF(J431&lt;=K431,J431,IF(J431=K431+1,200,IF(J431=K431+2,201,250)))&amp;".0/24",""))</f>
        <v/>
      </c>
      <c r="D431" s="0" t="str">
        <f aca="false">IF(I431="","",IF(AND(J431&gt;=1,J431&lt;=K431+3),"255.255.255.0",""))</f>
        <v/>
      </c>
      <c r="E431" s="0" t="str">
        <f aca="false">IF(I431="","",IF(AND(J431&gt;=1,J431&lt;=K431+3),"10."&amp;INDEX(Eingabe!$D$9:$D$18,I431)&amp;"."&amp;IF(J431&lt;=K431,J431,IF(J431=K431+1,200,IF(J431=K431+2,201,250)))&amp;".1",""))</f>
        <v/>
      </c>
      <c r="F431" s="0" t="str">
        <f aca="false">IF(I431="","",IF(AND(J431&gt;=1,J431&lt;=K431+3),"10."&amp;INDEX(Eingabe!$D$9:$D$18,I431)&amp;"."&amp;IF(J431&lt;=K431,J431,IF(J431=K431+1,200,IF(J431=K431+2,201,250)))&amp;".10 – 10."&amp;INDEX(Eingabe!$D$9:$D$18,I431)&amp;"."&amp;IF(J431&lt;=K431,J431,IF(J431=K431+1,200,IF(J431=K431+2,201,250)))&amp;".250",""))</f>
        <v/>
      </c>
      <c r="G431" s="0" t="str">
        <f aca="false">IF(I431="","",IF(AND(J431&gt;=1,J431&lt;=K431),Eingabe!$B$6&amp;"-"&amp;INDEX(Eingabe!$C$9:$C$18,I431)&amp;"-Pächter  ·  Passwort Parzelle "&amp;J431,IF(J431=K431+1,Eingabe!$B$6&amp;"-"&amp;INDEX(Eingabe!$C$9:$C$18,I431)&amp;"-Vorstand  ·  eigenes WLAN",IF(J431=K431+2,Eingabe!$B$6&amp;"-"&amp;INDEX(Eingabe!$C$9:$C$18,I431)&amp;"-Gäste  ·  Voucher",IF(J431=K431+3,"Kabel  ·  Access Point y = .(50+y), Mast-Switch x = .(10+x)","")))))</f>
        <v/>
      </c>
      <c r="I431" s="0" t="str">
        <f aca="false">IF(426&lt;=(Eingabe!$P$18+Eingabe!$Q$18-1),MATCH(426,Eingabe!$P$9:$P$18,1),"")</f>
        <v/>
      </c>
      <c r="J431" s="0" t="str">
        <f aca="false">IF(I431="","",426-INDEX(Eingabe!$P$9:$P$18,I431))</f>
        <v/>
      </c>
      <c r="K431" s="0" t="str">
        <f aca="false">IF(I431="","",INDEX(Eingabe!$E$9:$E$18,I431))</f>
        <v/>
      </c>
    </row>
    <row r="432" customFormat="false" ht="15" hidden="false" customHeight="false" outlineLevel="0" collapsed="false">
      <c r="A432" s="0" t="str">
        <f aca="false">IF(I432="","",IF(J432=0,"Sparte "&amp;I432&amp;": "&amp;INDEX(Eingabe!$B$9:$B$18,I432)&amp;"  (Sparten-ID "&amp;INDEX(Eingabe!$D$9:$D$18,I432)&amp;", "&amp;K432&amp;" Parzellen)",IF(J432&lt;=K432,"   Parzelle "&amp;J432,IF(J432=K432+1,"   Vorstand",IF(J432=K432+2,"   Gäste",IF(J432=K432+3,"   Technik (Switches, Access Points)",""))))))</f>
        <v/>
      </c>
      <c r="B432" s="0" t="str">
        <f aca="false">IF(I432="","",IF(AND(J432&gt;=1,J432&lt;=K432+3),IF(J432&lt;=K432,IF(J432&lt;=99,IF((INDEX(Eingabe!$G$9:$G$18,I432))&lt;=9,1000+(INDEX(Eingabe!$G$9:$G$18,I432))*100,3000)+J432,IF((INDEX(Eingabe!$G$9:$G$18,I432)+1)&lt;=9,1000+(INDEX(Eingabe!$G$9:$G$18,I432)+1)*100,3000)+J432-100),IF(J432=K432+1,2000+INDEX(Eingabe!$G$9:$G$18,I432)*10+1,IF(J432=K432+2,2000+INDEX(Eingabe!$G$9:$G$18,I432)*10+2,2000+INDEX(Eingabe!$G$9:$G$18,I432)*10+9))),""))</f>
        <v/>
      </c>
      <c r="C432" s="0" t="str">
        <f aca="false">IF(I432="","",IF(AND(J432&gt;=1,J432&lt;=K432+3),"10."&amp;INDEX(Eingabe!$D$9:$D$18,I432)&amp;"."&amp;IF(J432&lt;=K432,J432,IF(J432=K432+1,200,IF(J432=K432+2,201,250)))&amp;".0/24",""))</f>
        <v/>
      </c>
      <c r="D432" s="0" t="str">
        <f aca="false">IF(I432="","",IF(AND(J432&gt;=1,J432&lt;=K432+3),"255.255.255.0",""))</f>
        <v/>
      </c>
      <c r="E432" s="0" t="str">
        <f aca="false">IF(I432="","",IF(AND(J432&gt;=1,J432&lt;=K432+3),"10."&amp;INDEX(Eingabe!$D$9:$D$18,I432)&amp;"."&amp;IF(J432&lt;=K432,J432,IF(J432=K432+1,200,IF(J432=K432+2,201,250)))&amp;".1",""))</f>
        <v/>
      </c>
      <c r="F432" s="0" t="str">
        <f aca="false">IF(I432="","",IF(AND(J432&gt;=1,J432&lt;=K432+3),"10."&amp;INDEX(Eingabe!$D$9:$D$18,I432)&amp;"."&amp;IF(J432&lt;=K432,J432,IF(J432=K432+1,200,IF(J432=K432+2,201,250)))&amp;".10 – 10."&amp;INDEX(Eingabe!$D$9:$D$18,I432)&amp;"."&amp;IF(J432&lt;=K432,J432,IF(J432=K432+1,200,IF(J432=K432+2,201,250)))&amp;".250",""))</f>
        <v/>
      </c>
      <c r="G432" s="0" t="str">
        <f aca="false">IF(I432="","",IF(AND(J432&gt;=1,J432&lt;=K432),Eingabe!$B$6&amp;"-"&amp;INDEX(Eingabe!$C$9:$C$18,I432)&amp;"-Pächter  ·  Passwort Parzelle "&amp;J432,IF(J432=K432+1,Eingabe!$B$6&amp;"-"&amp;INDEX(Eingabe!$C$9:$C$18,I432)&amp;"-Vorstand  ·  eigenes WLAN",IF(J432=K432+2,Eingabe!$B$6&amp;"-"&amp;INDEX(Eingabe!$C$9:$C$18,I432)&amp;"-Gäste  ·  Voucher",IF(J432=K432+3,"Kabel  ·  Access Point y = .(50+y), Mast-Switch x = .(10+x)","")))))</f>
        <v/>
      </c>
      <c r="I432" s="0" t="str">
        <f aca="false">IF(427&lt;=(Eingabe!$P$18+Eingabe!$Q$18-1),MATCH(427,Eingabe!$P$9:$P$18,1),"")</f>
        <v/>
      </c>
      <c r="J432" s="0" t="str">
        <f aca="false">IF(I432="","",427-INDEX(Eingabe!$P$9:$P$18,I432))</f>
        <v/>
      </c>
      <c r="K432" s="0" t="str">
        <f aca="false">IF(I432="","",INDEX(Eingabe!$E$9:$E$18,I432))</f>
        <v/>
      </c>
    </row>
    <row r="433" customFormat="false" ht="15" hidden="false" customHeight="false" outlineLevel="0" collapsed="false">
      <c r="A433" s="0" t="str">
        <f aca="false">IF(I433="","",IF(J433=0,"Sparte "&amp;I433&amp;": "&amp;INDEX(Eingabe!$B$9:$B$18,I433)&amp;"  (Sparten-ID "&amp;INDEX(Eingabe!$D$9:$D$18,I433)&amp;", "&amp;K433&amp;" Parzellen)",IF(J433&lt;=K433,"   Parzelle "&amp;J433,IF(J433=K433+1,"   Vorstand",IF(J433=K433+2,"   Gäste",IF(J433=K433+3,"   Technik (Switches, Access Points)",""))))))</f>
        <v/>
      </c>
      <c r="B433" s="0" t="str">
        <f aca="false">IF(I433="","",IF(AND(J433&gt;=1,J433&lt;=K433+3),IF(J433&lt;=K433,IF(J433&lt;=99,IF((INDEX(Eingabe!$G$9:$G$18,I433))&lt;=9,1000+(INDEX(Eingabe!$G$9:$G$18,I433))*100,3000)+J433,IF((INDEX(Eingabe!$G$9:$G$18,I433)+1)&lt;=9,1000+(INDEX(Eingabe!$G$9:$G$18,I433)+1)*100,3000)+J433-100),IF(J433=K433+1,2000+INDEX(Eingabe!$G$9:$G$18,I433)*10+1,IF(J433=K433+2,2000+INDEX(Eingabe!$G$9:$G$18,I433)*10+2,2000+INDEX(Eingabe!$G$9:$G$18,I433)*10+9))),""))</f>
        <v/>
      </c>
      <c r="C433" s="0" t="str">
        <f aca="false">IF(I433="","",IF(AND(J433&gt;=1,J433&lt;=K433+3),"10."&amp;INDEX(Eingabe!$D$9:$D$18,I433)&amp;"."&amp;IF(J433&lt;=K433,J433,IF(J433=K433+1,200,IF(J433=K433+2,201,250)))&amp;".0/24",""))</f>
        <v/>
      </c>
      <c r="D433" s="0" t="str">
        <f aca="false">IF(I433="","",IF(AND(J433&gt;=1,J433&lt;=K433+3),"255.255.255.0",""))</f>
        <v/>
      </c>
      <c r="E433" s="0" t="str">
        <f aca="false">IF(I433="","",IF(AND(J433&gt;=1,J433&lt;=K433+3),"10."&amp;INDEX(Eingabe!$D$9:$D$18,I433)&amp;"."&amp;IF(J433&lt;=K433,J433,IF(J433=K433+1,200,IF(J433=K433+2,201,250)))&amp;".1",""))</f>
        <v/>
      </c>
      <c r="F433" s="0" t="str">
        <f aca="false">IF(I433="","",IF(AND(J433&gt;=1,J433&lt;=K433+3),"10."&amp;INDEX(Eingabe!$D$9:$D$18,I433)&amp;"."&amp;IF(J433&lt;=K433,J433,IF(J433=K433+1,200,IF(J433=K433+2,201,250)))&amp;".10 – 10."&amp;INDEX(Eingabe!$D$9:$D$18,I433)&amp;"."&amp;IF(J433&lt;=K433,J433,IF(J433=K433+1,200,IF(J433=K433+2,201,250)))&amp;".250",""))</f>
        <v/>
      </c>
      <c r="G433" s="0" t="str">
        <f aca="false">IF(I433="","",IF(AND(J433&gt;=1,J433&lt;=K433),Eingabe!$B$6&amp;"-"&amp;INDEX(Eingabe!$C$9:$C$18,I433)&amp;"-Pächter  ·  Passwort Parzelle "&amp;J433,IF(J433=K433+1,Eingabe!$B$6&amp;"-"&amp;INDEX(Eingabe!$C$9:$C$18,I433)&amp;"-Vorstand  ·  eigenes WLAN",IF(J433=K433+2,Eingabe!$B$6&amp;"-"&amp;INDEX(Eingabe!$C$9:$C$18,I433)&amp;"-Gäste  ·  Voucher",IF(J433=K433+3,"Kabel  ·  Access Point y = .(50+y), Mast-Switch x = .(10+x)","")))))</f>
        <v/>
      </c>
      <c r="I433" s="0" t="str">
        <f aca="false">IF(428&lt;=(Eingabe!$P$18+Eingabe!$Q$18-1),MATCH(428,Eingabe!$P$9:$P$18,1),"")</f>
        <v/>
      </c>
      <c r="J433" s="0" t="str">
        <f aca="false">IF(I433="","",428-INDEX(Eingabe!$P$9:$P$18,I433))</f>
        <v/>
      </c>
      <c r="K433" s="0" t="str">
        <f aca="false">IF(I433="","",INDEX(Eingabe!$E$9:$E$18,I433))</f>
        <v/>
      </c>
    </row>
    <row r="434" customFormat="false" ht="15" hidden="false" customHeight="false" outlineLevel="0" collapsed="false">
      <c r="A434" s="0" t="str">
        <f aca="false">IF(I434="","",IF(J434=0,"Sparte "&amp;I434&amp;": "&amp;INDEX(Eingabe!$B$9:$B$18,I434)&amp;"  (Sparten-ID "&amp;INDEX(Eingabe!$D$9:$D$18,I434)&amp;", "&amp;K434&amp;" Parzellen)",IF(J434&lt;=K434,"   Parzelle "&amp;J434,IF(J434=K434+1,"   Vorstand",IF(J434=K434+2,"   Gäste",IF(J434=K434+3,"   Technik (Switches, Access Points)",""))))))</f>
        <v/>
      </c>
      <c r="B434" s="0" t="str">
        <f aca="false">IF(I434="","",IF(AND(J434&gt;=1,J434&lt;=K434+3),IF(J434&lt;=K434,IF(J434&lt;=99,IF((INDEX(Eingabe!$G$9:$G$18,I434))&lt;=9,1000+(INDEX(Eingabe!$G$9:$G$18,I434))*100,3000)+J434,IF((INDEX(Eingabe!$G$9:$G$18,I434)+1)&lt;=9,1000+(INDEX(Eingabe!$G$9:$G$18,I434)+1)*100,3000)+J434-100),IF(J434=K434+1,2000+INDEX(Eingabe!$G$9:$G$18,I434)*10+1,IF(J434=K434+2,2000+INDEX(Eingabe!$G$9:$G$18,I434)*10+2,2000+INDEX(Eingabe!$G$9:$G$18,I434)*10+9))),""))</f>
        <v/>
      </c>
      <c r="C434" s="0" t="str">
        <f aca="false">IF(I434="","",IF(AND(J434&gt;=1,J434&lt;=K434+3),"10."&amp;INDEX(Eingabe!$D$9:$D$18,I434)&amp;"."&amp;IF(J434&lt;=K434,J434,IF(J434=K434+1,200,IF(J434=K434+2,201,250)))&amp;".0/24",""))</f>
        <v/>
      </c>
      <c r="D434" s="0" t="str">
        <f aca="false">IF(I434="","",IF(AND(J434&gt;=1,J434&lt;=K434+3),"255.255.255.0",""))</f>
        <v/>
      </c>
      <c r="E434" s="0" t="str">
        <f aca="false">IF(I434="","",IF(AND(J434&gt;=1,J434&lt;=K434+3),"10."&amp;INDEX(Eingabe!$D$9:$D$18,I434)&amp;"."&amp;IF(J434&lt;=K434,J434,IF(J434=K434+1,200,IF(J434=K434+2,201,250)))&amp;".1",""))</f>
        <v/>
      </c>
      <c r="F434" s="0" t="str">
        <f aca="false">IF(I434="","",IF(AND(J434&gt;=1,J434&lt;=K434+3),"10."&amp;INDEX(Eingabe!$D$9:$D$18,I434)&amp;"."&amp;IF(J434&lt;=K434,J434,IF(J434=K434+1,200,IF(J434=K434+2,201,250)))&amp;".10 – 10."&amp;INDEX(Eingabe!$D$9:$D$18,I434)&amp;"."&amp;IF(J434&lt;=K434,J434,IF(J434=K434+1,200,IF(J434=K434+2,201,250)))&amp;".250",""))</f>
        <v/>
      </c>
      <c r="G434" s="0" t="str">
        <f aca="false">IF(I434="","",IF(AND(J434&gt;=1,J434&lt;=K434),Eingabe!$B$6&amp;"-"&amp;INDEX(Eingabe!$C$9:$C$18,I434)&amp;"-Pächter  ·  Passwort Parzelle "&amp;J434,IF(J434=K434+1,Eingabe!$B$6&amp;"-"&amp;INDEX(Eingabe!$C$9:$C$18,I434)&amp;"-Vorstand  ·  eigenes WLAN",IF(J434=K434+2,Eingabe!$B$6&amp;"-"&amp;INDEX(Eingabe!$C$9:$C$18,I434)&amp;"-Gäste  ·  Voucher",IF(J434=K434+3,"Kabel  ·  Access Point y = .(50+y), Mast-Switch x = .(10+x)","")))))</f>
        <v/>
      </c>
      <c r="I434" s="0" t="str">
        <f aca="false">IF(429&lt;=(Eingabe!$P$18+Eingabe!$Q$18-1),MATCH(429,Eingabe!$P$9:$P$18,1),"")</f>
        <v/>
      </c>
      <c r="J434" s="0" t="str">
        <f aca="false">IF(I434="","",429-INDEX(Eingabe!$P$9:$P$18,I434))</f>
        <v/>
      </c>
      <c r="K434" s="0" t="str">
        <f aca="false">IF(I434="","",INDEX(Eingabe!$E$9:$E$18,I434))</f>
        <v/>
      </c>
    </row>
    <row r="435" customFormat="false" ht="15" hidden="false" customHeight="false" outlineLevel="0" collapsed="false">
      <c r="A435" s="0" t="str">
        <f aca="false">IF(I435="","",IF(J435=0,"Sparte "&amp;I435&amp;": "&amp;INDEX(Eingabe!$B$9:$B$18,I435)&amp;"  (Sparten-ID "&amp;INDEX(Eingabe!$D$9:$D$18,I435)&amp;", "&amp;K435&amp;" Parzellen)",IF(J435&lt;=K435,"   Parzelle "&amp;J435,IF(J435=K435+1,"   Vorstand",IF(J435=K435+2,"   Gäste",IF(J435=K435+3,"   Technik (Switches, Access Points)",""))))))</f>
        <v/>
      </c>
      <c r="B435" s="0" t="str">
        <f aca="false">IF(I435="","",IF(AND(J435&gt;=1,J435&lt;=K435+3),IF(J435&lt;=K435,IF(J435&lt;=99,IF((INDEX(Eingabe!$G$9:$G$18,I435))&lt;=9,1000+(INDEX(Eingabe!$G$9:$G$18,I435))*100,3000)+J435,IF((INDEX(Eingabe!$G$9:$G$18,I435)+1)&lt;=9,1000+(INDEX(Eingabe!$G$9:$G$18,I435)+1)*100,3000)+J435-100),IF(J435=K435+1,2000+INDEX(Eingabe!$G$9:$G$18,I435)*10+1,IF(J435=K435+2,2000+INDEX(Eingabe!$G$9:$G$18,I435)*10+2,2000+INDEX(Eingabe!$G$9:$G$18,I435)*10+9))),""))</f>
        <v/>
      </c>
      <c r="C435" s="0" t="str">
        <f aca="false">IF(I435="","",IF(AND(J435&gt;=1,J435&lt;=K435+3),"10."&amp;INDEX(Eingabe!$D$9:$D$18,I435)&amp;"."&amp;IF(J435&lt;=K435,J435,IF(J435=K435+1,200,IF(J435=K435+2,201,250)))&amp;".0/24",""))</f>
        <v/>
      </c>
      <c r="D435" s="0" t="str">
        <f aca="false">IF(I435="","",IF(AND(J435&gt;=1,J435&lt;=K435+3),"255.255.255.0",""))</f>
        <v/>
      </c>
      <c r="E435" s="0" t="str">
        <f aca="false">IF(I435="","",IF(AND(J435&gt;=1,J435&lt;=K435+3),"10."&amp;INDEX(Eingabe!$D$9:$D$18,I435)&amp;"."&amp;IF(J435&lt;=K435,J435,IF(J435=K435+1,200,IF(J435=K435+2,201,250)))&amp;".1",""))</f>
        <v/>
      </c>
      <c r="F435" s="0" t="str">
        <f aca="false">IF(I435="","",IF(AND(J435&gt;=1,J435&lt;=K435+3),"10."&amp;INDEX(Eingabe!$D$9:$D$18,I435)&amp;"."&amp;IF(J435&lt;=K435,J435,IF(J435=K435+1,200,IF(J435=K435+2,201,250)))&amp;".10 – 10."&amp;INDEX(Eingabe!$D$9:$D$18,I435)&amp;"."&amp;IF(J435&lt;=K435,J435,IF(J435=K435+1,200,IF(J435=K435+2,201,250)))&amp;".250",""))</f>
        <v/>
      </c>
      <c r="G435" s="0" t="str">
        <f aca="false">IF(I435="","",IF(AND(J435&gt;=1,J435&lt;=K435),Eingabe!$B$6&amp;"-"&amp;INDEX(Eingabe!$C$9:$C$18,I435)&amp;"-Pächter  ·  Passwort Parzelle "&amp;J435,IF(J435=K435+1,Eingabe!$B$6&amp;"-"&amp;INDEX(Eingabe!$C$9:$C$18,I435)&amp;"-Vorstand  ·  eigenes WLAN",IF(J435=K435+2,Eingabe!$B$6&amp;"-"&amp;INDEX(Eingabe!$C$9:$C$18,I435)&amp;"-Gäste  ·  Voucher",IF(J435=K435+3,"Kabel  ·  Access Point y = .(50+y), Mast-Switch x = .(10+x)","")))))</f>
        <v/>
      </c>
      <c r="I435" s="0" t="str">
        <f aca="false">IF(430&lt;=(Eingabe!$P$18+Eingabe!$Q$18-1),MATCH(430,Eingabe!$P$9:$P$18,1),"")</f>
        <v/>
      </c>
      <c r="J435" s="0" t="str">
        <f aca="false">IF(I435="","",430-INDEX(Eingabe!$P$9:$P$18,I435))</f>
        <v/>
      </c>
      <c r="K435" s="0" t="str">
        <f aca="false">IF(I435="","",INDEX(Eingabe!$E$9:$E$18,I435))</f>
        <v/>
      </c>
    </row>
    <row r="436" customFormat="false" ht="15" hidden="false" customHeight="false" outlineLevel="0" collapsed="false">
      <c r="A436" s="0" t="str">
        <f aca="false">IF(I436="","",IF(J436=0,"Sparte "&amp;I436&amp;": "&amp;INDEX(Eingabe!$B$9:$B$18,I436)&amp;"  (Sparten-ID "&amp;INDEX(Eingabe!$D$9:$D$18,I436)&amp;", "&amp;K436&amp;" Parzellen)",IF(J436&lt;=K436,"   Parzelle "&amp;J436,IF(J436=K436+1,"   Vorstand",IF(J436=K436+2,"   Gäste",IF(J436=K436+3,"   Technik (Switches, Access Points)",""))))))</f>
        <v/>
      </c>
      <c r="B436" s="0" t="str">
        <f aca="false">IF(I436="","",IF(AND(J436&gt;=1,J436&lt;=K436+3),IF(J436&lt;=K436,IF(J436&lt;=99,IF((INDEX(Eingabe!$G$9:$G$18,I436))&lt;=9,1000+(INDEX(Eingabe!$G$9:$G$18,I436))*100,3000)+J436,IF((INDEX(Eingabe!$G$9:$G$18,I436)+1)&lt;=9,1000+(INDEX(Eingabe!$G$9:$G$18,I436)+1)*100,3000)+J436-100),IF(J436=K436+1,2000+INDEX(Eingabe!$G$9:$G$18,I436)*10+1,IF(J436=K436+2,2000+INDEX(Eingabe!$G$9:$G$18,I436)*10+2,2000+INDEX(Eingabe!$G$9:$G$18,I436)*10+9))),""))</f>
        <v/>
      </c>
      <c r="C436" s="0" t="str">
        <f aca="false">IF(I436="","",IF(AND(J436&gt;=1,J436&lt;=K436+3),"10."&amp;INDEX(Eingabe!$D$9:$D$18,I436)&amp;"."&amp;IF(J436&lt;=K436,J436,IF(J436=K436+1,200,IF(J436=K436+2,201,250)))&amp;".0/24",""))</f>
        <v/>
      </c>
      <c r="D436" s="0" t="str">
        <f aca="false">IF(I436="","",IF(AND(J436&gt;=1,J436&lt;=K436+3),"255.255.255.0",""))</f>
        <v/>
      </c>
      <c r="E436" s="0" t="str">
        <f aca="false">IF(I436="","",IF(AND(J436&gt;=1,J436&lt;=K436+3),"10."&amp;INDEX(Eingabe!$D$9:$D$18,I436)&amp;"."&amp;IF(J436&lt;=K436,J436,IF(J436=K436+1,200,IF(J436=K436+2,201,250)))&amp;".1",""))</f>
        <v/>
      </c>
      <c r="F436" s="0" t="str">
        <f aca="false">IF(I436="","",IF(AND(J436&gt;=1,J436&lt;=K436+3),"10."&amp;INDEX(Eingabe!$D$9:$D$18,I436)&amp;"."&amp;IF(J436&lt;=K436,J436,IF(J436=K436+1,200,IF(J436=K436+2,201,250)))&amp;".10 – 10."&amp;INDEX(Eingabe!$D$9:$D$18,I436)&amp;"."&amp;IF(J436&lt;=K436,J436,IF(J436=K436+1,200,IF(J436=K436+2,201,250)))&amp;".250",""))</f>
        <v/>
      </c>
      <c r="G436" s="0" t="str">
        <f aca="false">IF(I436="","",IF(AND(J436&gt;=1,J436&lt;=K436),Eingabe!$B$6&amp;"-"&amp;INDEX(Eingabe!$C$9:$C$18,I436)&amp;"-Pächter  ·  Passwort Parzelle "&amp;J436,IF(J436=K436+1,Eingabe!$B$6&amp;"-"&amp;INDEX(Eingabe!$C$9:$C$18,I436)&amp;"-Vorstand  ·  eigenes WLAN",IF(J436=K436+2,Eingabe!$B$6&amp;"-"&amp;INDEX(Eingabe!$C$9:$C$18,I436)&amp;"-Gäste  ·  Voucher",IF(J436=K436+3,"Kabel  ·  Access Point y = .(50+y), Mast-Switch x = .(10+x)","")))))</f>
        <v/>
      </c>
      <c r="I436" s="0" t="str">
        <f aca="false">IF(431&lt;=(Eingabe!$P$18+Eingabe!$Q$18-1),MATCH(431,Eingabe!$P$9:$P$18,1),"")</f>
        <v/>
      </c>
      <c r="J436" s="0" t="str">
        <f aca="false">IF(I436="","",431-INDEX(Eingabe!$P$9:$P$18,I436))</f>
        <v/>
      </c>
      <c r="K436" s="0" t="str">
        <f aca="false">IF(I436="","",INDEX(Eingabe!$E$9:$E$18,I436))</f>
        <v/>
      </c>
    </row>
    <row r="437" customFormat="false" ht="15" hidden="false" customHeight="false" outlineLevel="0" collapsed="false">
      <c r="A437" s="0" t="str">
        <f aca="false">IF(I437="","",IF(J437=0,"Sparte "&amp;I437&amp;": "&amp;INDEX(Eingabe!$B$9:$B$18,I437)&amp;"  (Sparten-ID "&amp;INDEX(Eingabe!$D$9:$D$18,I437)&amp;", "&amp;K437&amp;" Parzellen)",IF(J437&lt;=K437,"   Parzelle "&amp;J437,IF(J437=K437+1,"   Vorstand",IF(J437=K437+2,"   Gäste",IF(J437=K437+3,"   Technik (Switches, Access Points)",""))))))</f>
        <v/>
      </c>
      <c r="B437" s="0" t="str">
        <f aca="false">IF(I437="","",IF(AND(J437&gt;=1,J437&lt;=K437+3),IF(J437&lt;=K437,IF(J437&lt;=99,IF((INDEX(Eingabe!$G$9:$G$18,I437))&lt;=9,1000+(INDEX(Eingabe!$G$9:$G$18,I437))*100,3000)+J437,IF((INDEX(Eingabe!$G$9:$G$18,I437)+1)&lt;=9,1000+(INDEX(Eingabe!$G$9:$G$18,I437)+1)*100,3000)+J437-100),IF(J437=K437+1,2000+INDEX(Eingabe!$G$9:$G$18,I437)*10+1,IF(J437=K437+2,2000+INDEX(Eingabe!$G$9:$G$18,I437)*10+2,2000+INDEX(Eingabe!$G$9:$G$18,I437)*10+9))),""))</f>
        <v/>
      </c>
      <c r="C437" s="0" t="str">
        <f aca="false">IF(I437="","",IF(AND(J437&gt;=1,J437&lt;=K437+3),"10."&amp;INDEX(Eingabe!$D$9:$D$18,I437)&amp;"."&amp;IF(J437&lt;=K437,J437,IF(J437=K437+1,200,IF(J437=K437+2,201,250)))&amp;".0/24",""))</f>
        <v/>
      </c>
      <c r="D437" s="0" t="str">
        <f aca="false">IF(I437="","",IF(AND(J437&gt;=1,J437&lt;=K437+3),"255.255.255.0",""))</f>
        <v/>
      </c>
      <c r="E437" s="0" t="str">
        <f aca="false">IF(I437="","",IF(AND(J437&gt;=1,J437&lt;=K437+3),"10."&amp;INDEX(Eingabe!$D$9:$D$18,I437)&amp;"."&amp;IF(J437&lt;=K437,J437,IF(J437=K437+1,200,IF(J437=K437+2,201,250)))&amp;".1",""))</f>
        <v/>
      </c>
      <c r="F437" s="0" t="str">
        <f aca="false">IF(I437="","",IF(AND(J437&gt;=1,J437&lt;=K437+3),"10."&amp;INDEX(Eingabe!$D$9:$D$18,I437)&amp;"."&amp;IF(J437&lt;=K437,J437,IF(J437=K437+1,200,IF(J437=K437+2,201,250)))&amp;".10 – 10."&amp;INDEX(Eingabe!$D$9:$D$18,I437)&amp;"."&amp;IF(J437&lt;=K437,J437,IF(J437=K437+1,200,IF(J437=K437+2,201,250)))&amp;".250",""))</f>
        <v/>
      </c>
      <c r="G437" s="0" t="str">
        <f aca="false">IF(I437="","",IF(AND(J437&gt;=1,J437&lt;=K437),Eingabe!$B$6&amp;"-"&amp;INDEX(Eingabe!$C$9:$C$18,I437)&amp;"-Pächter  ·  Passwort Parzelle "&amp;J437,IF(J437=K437+1,Eingabe!$B$6&amp;"-"&amp;INDEX(Eingabe!$C$9:$C$18,I437)&amp;"-Vorstand  ·  eigenes WLAN",IF(J437=K437+2,Eingabe!$B$6&amp;"-"&amp;INDEX(Eingabe!$C$9:$C$18,I437)&amp;"-Gäste  ·  Voucher",IF(J437=K437+3,"Kabel  ·  Access Point y = .(50+y), Mast-Switch x = .(10+x)","")))))</f>
        <v/>
      </c>
      <c r="I437" s="0" t="str">
        <f aca="false">IF(432&lt;=(Eingabe!$P$18+Eingabe!$Q$18-1),MATCH(432,Eingabe!$P$9:$P$18,1),"")</f>
        <v/>
      </c>
      <c r="J437" s="0" t="str">
        <f aca="false">IF(I437="","",432-INDEX(Eingabe!$P$9:$P$18,I437))</f>
        <v/>
      </c>
      <c r="K437" s="0" t="str">
        <f aca="false">IF(I437="","",INDEX(Eingabe!$E$9:$E$18,I437))</f>
        <v/>
      </c>
    </row>
    <row r="438" customFormat="false" ht="15" hidden="false" customHeight="false" outlineLevel="0" collapsed="false">
      <c r="A438" s="0" t="str">
        <f aca="false">IF(I438="","",IF(J438=0,"Sparte "&amp;I438&amp;": "&amp;INDEX(Eingabe!$B$9:$B$18,I438)&amp;"  (Sparten-ID "&amp;INDEX(Eingabe!$D$9:$D$18,I438)&amp;", "&amp;K438&amp;" Parzellen)",IF(J438&lt;=K438,"   Parzelle "&amp;J438,IF(J438=K438+1,"   Vorstand",IF(J438=K438+2,"   Gäste",IF(J438=K438+3,"   Technik (Switches, Access Points)",""))))))</f>
        <v/>
      </c>
      <c r="B438" s="0" t="str">
        <f aca="false">IF(I438="","",IF(AND(J438&gt;=1,J438&lt;=K438+3),IF(J438&lt;=K438,IF(J438&lt;=99,IF((INDEX(Eingabe!$G$9:$G$18,I438))&lt;=9,1000+(INDEX(Eingabe!$G$9:$G$18,I438))*100,3000)+J438,IF((INDEX(Eingabe!$G$9:$G$18,I438)+1)&lt;=9,1000+(INDEX(Eingabe!$G$9:$G$18,I438)+1)*100,3000)+J438-100),IF(J438=K438+1,2000+INDEX(Eingabe!$G$9:$G$18,I438)*10+1,IF(J438=K438+2,2000+INDEX(Eingabe!$G$9:$G$18,I438)*10+2,2000+INDEX(Eingabe!$G$9:$G$18,I438)*10+9))),""))</f>
        <v/>
      </c>
      <c r="C438" s="0" t="str">
        <f aca="false">IF(I438="","",IF(AND(J438&gt;=1,J438&lt;=K438+3),"10."&amp;INDEX(Eingabe!$D$9:$D$18,I438)&amp;"."&amp;IF(J438&lt;=K438,J438,IF(J438=K438+1,200,IF(J438=K438+2,201,250)))&amp;".0/24",""))</f>
        <v/>
      </c>
      <c r="D438" s="0" t="str">
        <f aca="false">IF(I438="","",IF(AND(J438&gt;=1,J438&lt;=K438+3),"255.255.255.0",""))</f>
        <v/>
      </c>
      <c r="E438" s="0" t="str">
        <f aca="false">IF(I438="","",IF(AND(J438&gt;=1,J438&lt;=K438+3),"10."&amp;INDEX(Eingabe!$D$9:$D$18,I438)&amp;"."&amp;IF(J438&lt;=K438,J438,IF(J438=K438+1,200,IF(J438=K438+2,201,250)))&amp;".1",""))</f>
        <v/>
      </c>
      <c r="F438" s="0" t="str">
        <f aca="false">IF(I438="","",IF(AND(J438&gt;=1,J438&lt;=K438+3),"10."&amp;INDEX(Eingabe!$D$9:$D$18,I438)&amp;"."&amp;IF(J438&lt;=K438,J438,IF(J438=K438+1,200,IF(J438=K438+2,201,250)))&amp;".10 – 10."&amp;INDEX(Eingabe!$D$9:$D$18,I438)&amp;"."&amp;IF(J438&lt;=K438,J438,IF(J438=K438+1,200,IF(J438=K438+2,201,250)))&amp;".250",""))</f>
        <v/>
      </c>
      <c r="G438" s="0" t="str">
        <f aca="false">IF(I438="","",IF(AND(J438&gt;=1,J438&lt;=K438),Eingabe!$B$6&amp;"-"&amp;INDEX(Eingabe!$C$9:$C$18,I438)&amp;"-Pächter  ·  Passwort Parzelle "&amp;J438,IF(J438=K438+1,Eingabe!$B$6&amp;"-"&amp;INDEX(Eingabe!$C$9:$C$18,I438)&amp;"-Vorstand  ·  eigenes WLAN",IF(J438=K438+2,Eingabe!$B$6&amp;"-"&amp;INDEX(Eingabe!$C$9:$C$18,I438)&amp;"-Gäste  ·  Voucher",IF(J438=K438+3,"Kabel  ·  Access Point y = .(50+y), Mast-Switch x = .(10+x)","")))))</f>
        <v/>
      </c>
      <c r="I438" s="0" t="str">
        <f aca="false">IF(433&lt;=(Eingabe!$P$18+Eingabe!$Q$18-1),MATCH(433,Eingabe!$P$9:$P$18,1),"")</f>
        <v/>
      </c>
      <c r="J438" s="0" t="str">
        <f aca="false">IF(I438="","",433-INDEX(Eingabe!$P$9:$P$18,I438))</f>
        <v/>
      </c>
      <c r="K438" s="0" t="str">
        <f aca="false">IF(I438="","",INDEX(Eingabe!$E$9:$E$18,I438))</f>
        <v/>
      </c>
    </row>
    <row r="439" customFormat="false" ht="15" hidden="false" customHeight="false" outlineLevel="0" collapsed="false">
      <c r="A439" s="0" t="str">
        <f aca="false">IF(I439="","",IF(J439=0,"Sparte "&amp;I439&amp;": "&amp;INDEX(Eingabe!$B$9:$B$18,I439)&amp;"  (Sparten-ID "&amp;INDEX(Eingabe!$D$9:$D$18,I439)&amp;", "&amp;K439&amp;" Parzellen)",IF(J439&lt;=K439,"   Parzelle "&amp;J439,IF(J439=K439+1,"   Vorstand",IF(J439=K439+2,"   Gäste",IF(J439=K439+3,"   Technik (Switches, Access Points)",""))))))</f>
        <v/>
      </c>
      <c r="B439" s="0" t="str">
        <f aca="false">IF(I439="","",IF(AND(J439&gt;=1,J439&lt;=K439+3),IF(J439&lt;=K439,IF(J439&lt;=99,IF((INDEX(Eingabe!$G$9:$G$18,I439))&lt;=9,1000+(INDEX(Eingabe!$G$9:$G$18,I439))*100,3000)+J439,IF((INDEX(Eingabe!$G$9:$G$18,I439)+1)&lt;=9,1000+(INDEX(Eingabe!$G$9:$G$18,I439)+1)*100,3000)+J439-100),IF(J439=K439+1,2000+INDEX(Eingabe!$G$9:$G$18,I439)*10+1,IF(J439=K439+2,2000+INDEX(Eingabe!$G$9:$G$18,I439)*10+2,2000+INDEX(Eingabe!$G$9:$G$18,I439)*10+9))),""))</f>
        <v/>
      </c>
      <c r="C439" s="0" t="str">
        <f aca="false">IF(I439="","",IF(AND(J439&gt;=1,J439&lt;=K439+3),"10."&amp;INDEX(Eingabe!$D$9:$D$18,I439)&amp;"."&amp;IF(J439&lt;=K439,J439,IF(J439=K439+1,200,IF(J439=K439+2,201,250)))&amp;".0/24",""))</f>
        <v/>
      </c>
      <c r="D439" s="0" t="str">
        <f aca="false">IF(I439="","",IF(AND(J439&gt;=1,J439&lt;=K439+3),"255.255.255.0",""))</f>
        <v/>
      </c>
      <c r="E439" s="0" t="str">
        <f aca="false">IF(I439="","",IF(AND(J439&gt;=1,J439&lt;=K439+3),"10."&amp;INDEX(Eingabe!$D$9:$D$18,I439)&amp;"."&amp;IF(J439&lt;=K439,J439,IF(J439=K439+1,200,IF(J439=K439+2,201,250)))&amp;".1",""))</f>
        <v/>
      </c>
      <c r="F439" s="0" t="str">
        <f aca="false">IF(I439="","",IF(AND(J439&gt;=1,J439&lt;=K439+3),"10."&amp;INDEX(Eingabe!$D$9:$D$18,I439)&amp;"."&amp;IF(J439&lt;=K439,J439,IF(J439=K439+1,200,IF(J439=K439+2,201,250)))&amp;".10 – 10."&amp;INDEX(Eingabe!$D$9:$D$18,I439)&amp;"."&amp;IF(J439&lt;=K439,J439,IF(J439=K439+1,200,IF(J439=K439+2,201,250)))&amp;".250",""))</f>
        <v/>
      </c>
      <c r="G439" s="0" t="str">
        <f aca="false">IF(I439="","",IF(AND(J439&gt;=1,J439&lt;=K439),Eingabe!$B$6&amp;"-"&amp;INDEX(Eingabe!$C$9:$C$18,I439)&amp;"-Pächter  ·  Passwort Parzelle "&amp;J439,IF(J439=K439+1,Eingabe!$B$6&amp;"-"&amp;INDEX(Eingabe!$C$9:$C$18,I439)&amp;"-Vorstand  ·  eigenes WLAN",IF(J439=K439+2,Eingabe!$B$6&amp;"-"&amp;INDEX(Eingabe!$C$9:$C$18,I439)&amp;"-Gäste  ·  Voucher",IF(J439=K439+3,"Kabel  ·  Access Point y = .(50+y), Mast-Switch x = .(10+x)","")))))</f>
        <v/>
      </c>
      <c r="I439" s="0" t="str">
        <f aca="false">IF(434&lt;=(Eingabe!$P$18+Eingabe!$Q$18-1),MATCH(434,Eingabe!$P$9:$P$18,1),"")</f>
        <v/>
      </c>
      <c r="J439" s="0" t="str">
        <f aca="false">IF(I439="","",434-INDEX(Eingabe!$P$9:$P$18,I439))</f>
        <v/>
      </c>
      <c r="K439" s="0" t="str">
        <f aca="false">IF(I439="","",INDEX(Eingabe!$E$9:$E$18,I439))</f>
        <v/>
      </c>
    </row>
    <row r="440" customFormat="false" ht="15" hidden="false" customHeight="false" outlineLevel="0" collapsed="false">
      <c r="A440" s="0" t="str">
        <f aca="false">IF(I440="","",IF(J440=0,"Sparte "&amp;I440&amp;": "&amp;INDEX(Eingabe!$B$9:$B$18,I440)&amp;"  (Sparten-ID "&amp;INDEX(Eingabe!$D$9:$D$18,I440)&amp;", "&amp;K440&amp;" Parzellen)",IF(J440&lt;=K440,"   Parzelle "&amp;J440,IF(J440=K440+1,"   Vorstand",IF(J440=K440+2,"   Gäste",IF(J440=K440+3,"   Technik (Switches, Access Points)",""))))))</f>
        <v/>
      </c>
      <c r="B440" s="0" t="str">
        <f aca="false">IF(I440="","",IF(AND(J440&gt;=1,J440&lt;=K440+3),IF(J440&lt;=K440,IF(J440&lt;=99,IF((INDEX(Eingabe!$G$9:$G$18,I440))&lt;=9,1000+(INDEX(Eingabe!$G$9:$G$18,I440))*100,3000)+J440,IF((INDEX(Eingabe!$G$9:$G$18,I440)+1)&lt;=9,1000+(INDEX(Eingabe!$G$9:$G$18,I440)+1)*100,3000)+J440-100),IF(J440=K440+1,2000+INDEX(Eingabe!$G$9:$G$18,I440)*10+1,IF(J440=K440+2,2000+INDEX(Eingabe!$G$9:$G$18,I440)*10+2,2000+INDEX(Eingabe!$G$9:$G$18,I440)*10+9))),""))</f>
        <v/>
      </c>
      <c r="C440" s="0" t="str">
        <f aca="false">IF(I440="","",IF(AND(J440&gt;=1,J440&lt;=K440+3),"10."&amp;INDEX(Eingabe!$D$9:$D$18,I440)&amp;"."&amp;IF(J440&lt;=K440,J440,IF(J440=K440+1,200,IF(J440=K440+2,201,250)))&amp;".0/24",""))</f>
        <v/>
      </c>
      <c r="D440" s="0" t="str">
        <f aca="false">IF(I440="","",IF(AND(J440&gt;=1,J440&lt;=K440+3),"255.255.255.0",""))</f>
        <v/>
      </c>
      <c r="E440" s="0" t="str">
        <f aca="false">IF(I440="","",IF(AND(J440&gt;=1,J440&lt;=K440+3),"10."&amp;INDEX(Eingabe!$D$9:$D$18,I440)&amp;"."&amp;IF(J440&lt;=K440,J440,IF(J440=K440+1,200,IF(J440=K440+2,201,250)))&amp;".1",""))</f>
        <v/>
      </c>
      <c r="F440" s="0" t="str">
        <f aca="false">IF(I440="","",IF(AND(J440&gt;=1,J440&lt;=K440+3),"10."&amp;INDEX(Eingabe!$D$9:$D$18,I440)&amp;"."&amp;IF(J440&lt;=K440,J440,IF(J440=K440+1,200,IF(J440=K440+2,201,250)))&amp;".10 – 10."&amp;INDEX(Eingabe!$D$9:$D$18,I440)&amp;"."&amp;IF(J440&lt;=K440,J440,IF(J440=K440+1,200,IF(J440=K440+2,201,250)))&amp;".250",""))</f>
        <v/>
      </c>
      <c r="G440" s="0" t="str">
        <f aca="false">IF(I440="","",IF(AND(J440&gt;=1,J440&lt;=K440),Eingabe!$B$6&amp;"-"&amp;INDEX(Eingabe!$C$9:$C$18,I440)&amp;"-Pächter  ·  Passwort Parzelle "&amp;J440,IF(J440=K440+1,Eingabe!$B$6&amp;"-"&amp;INDEX(Eingabe!$C$9:$C$18,I440)&amp;"-Vorstand  ·  eigenes WLAN",IF(J440=K440+2,Eingabe!$B$6&amp;"-"&amp;INDEX(Eingabe!$C$9:$C$18,I440)&amp;"-Gäste  ·  Voucher",IF(J440=K440+3,"Kabel  ·  Access Point y = .(50+y), Mast-Switch x = .(10+x)","")))))</f>
        <v/>
      </c>
      <c r="I440" s="0" t="str">
        <f aca="false">IF(435&lt;=(Eingabe!$P$18+Eingabe!$Q$18-1),MATCH(435,Eingabe!$P$9:$P$18,1),"")</f>
        <v/>
      </c>
      <c r="J440" s="0" t="str">
        <f aca="false">IF(I440="","",435-INDEX(Eingabe!$P$9:$P$18,I440))</f>
        <v/>
      </c>
      <c r="K440" s="0" t="str">
        <f aca="false">IF(I440="","",INDEX(Eingabe!$E$9:$E$18,I440))</f>
        <v/>
      </c>
    </row>
    <row r="441" customFormat="false" ht="15" hidden="false" customHeight="false" outlineLevel="0" collapsed="false">
      <c r="A441" s="0" t="str">
        <f aca="false">IF(I441="","",IF(J441=0,"Sparte "&amp;I441&amp;": "&amp;INDEX(Eingabe!$B$9:$B$18,I441)&amp;"  (Sparten-ID "&amp;INDEX(Eingabe!$D$9:$D$18,I441)&amp;", "&amp;K441&amp;" Parzellen)",IF(J441&lt;=K441,"   Parzelle "&amp;J441,IF(J441=K441+1,"   Vorstand",IF(J441=K441+2,"   Gäste",IF(J441=K441+3,"   Technik (Switches, Access Points)",""))))))</f>
        <v/>
      </c>
      <c r="B441" s="0" t="str">
        <f aca="false">IF(I441="","",IF(AND(J441&gt;=1,J441&lt;=K441+3),IF(J441&lt;=K441,IF(J441&lt;=99,IF((INDEX(Eingabe!$G$9:$G$18,I441))&lt;=9,1000+(INDEX(Eingabe!$G$9:$G$18,I441))*100,3000)+J441,IF((INDEX(Eingabe!$G$9:$G$18,I441)+1)&lt;=9,1000+(INDEX(Eingabe!$G$9:$G$18,I441)+1)*100,3000)+J441-100),IF(J441=K441+1,2000+INDEX(Eingabe!$G$9:$G$18,I441)*10+1,IF(J441=K441+2,2000+INDEX(Eingabe!$G$9:$G$18,I441)*10+2,2000+INDEX(Eingabe!$G$9:$G$18,I441)*10+9))),""))</f>
        <v/>
      </c>
      <c r="C441" s="0" t="str">
        <f aca="false">IF(I441="","",IF(AND(J441&gt;=1,J441&lt;=K441+3),"10."&amp;INDEX(Eingabe!$D$9:$D$18,I441)&amp;"."&amp;IF(J441&lt;=K441,J441,IF(J441=K441+1,200,IF(J441=K441+2,201,250)))&amp;".0/24",""))</f>
        <v/>
      </c>
      <c r="D441" s="0" t="str">
        <f aca="false">IF(I441="","",IF(AND(J441&gt;=1,J441&lt;=K441+3),"255.255.255.0",""))</f>
        <v/>
      </c>
      <c r="E441" s="0" t="str">
        <f aca="false">IF(I441="","",IF(AND(J441&gt;=1,J441&lt;=K441+3),"10."&amp;INDEX(Eingabe!$D$9:$D$18,I441)&amp;"."&amp;IF(J441&lt;=K441,J441,IF(J441=K441+1,200,IF(J441=K441+2,201,250)))&amp;".1",""))</f>
        <v/>
      </c>
      <c r="F441" s="0" t="str">
        <f aca="false">IF(I441="","",IF(AND(J441&gt;=1,J441&lt;=K441+3),"10."&amp;INDEX(Eingabe!$D$9:$D$18,I441)&amp;"."&amp;IF(J441&lt;=K441,J441,IF(J441=K441+1,200,IF(J441=K441+2,201,250)))&amp;".10 – 10."&amp;INDEX(Eingabe!$D$9:$D$18,I441)&amp;"."&amp;IF(J441&lt;=K441,J441,IF(J441=K441+1,200,IF(J441=K441+2,201,250)))&amp;".250",""))</f>
        <v/>
      </c>
      <c r="G441" s="0" t="str">
        <f aca="false">IF(I441="","",IF(AND(J441&gt;=1,J441&lt;=K441),Eingabe!$B$6&amp;"-"&amp;INDEX(Eingabe!$C$9:$C$18,I441)&amp;"-Pächter  ·  Passwort Parzelle "&amp;J441,IF(J441=K441+1,Eingabe!$B$6&amp;"-"&amp;INDEX(Eingabe!$C$9:$C$18,I441)&amp;"-Vorstand  ·  eigenes WLAN",IF(J441=K441+2,Eingabe!$B$6&amp;"-"&amp;INDEX(Eingabe!$C$9:$C$18,I441)&amp;"-Gäste  ·  Voucher",IF(J441=K441+3,"Kabel  ·  Access Point y = .(50+y), Mast-Switch x = .(10+x)","")))))</f>
        <v/>
      </c>
      <c r="I441" s="0" t="str">
        <f aca="false">IF(436&lt;=(Eingabe!$P$18+Eingabe!$Q$18-1),MATCH(436,Eingabe!$P$9:$P$18,1),"")</f>
        <v/>
      </c>
      <c r="J441" s="0" t="str">
        <f aca="false">IF(I441="","",436-INDEX(Eingabe!$P$9:$P$18,I441))</f>
        <v/>
      </c>
      <c r="K441" s="0" t="str">
        <f aca="false">IF(I441="","",INDEX(Eingabe!$E$9:$E$18,I441))</f>
        <v/>
      </c>
    </row>
    <row r="442" customFormat="false" ht="15" hidden="false" customHeight="false" outlineLevel="0" collapsed="false">
      <c r="A442" s="0" t="str">
        <f aca="false">IF(I442="","",IF(J442=0,"Sparte "&amp;I442&amp;": "&amp;INDEX(Eingabe!$B$9:$B$18,I442)&amp;"  (Sparten-ID "&amp;INDEX(Eingabe!$D$9:$D$18,I442)&amp;", "&amp;K442&amp;" Parzellen)",IF(J442&lt;=K442,"   Parzelle "&amp;J442,IF(J442=K442+1,"   Vorstand",IF(J442=K442+2,"   Gäste",IF(J442=K442+3,"   Technik (Switches, Access Points)",""))))))</f>
        <v/>
      </c>
      <c r="B442" s="0" t="str">
        <f aca="false">IF(I442="","",IF(AND(J442&gt;=1,J442&lt;=K442+3),IF(J442&lt;=K442,IF(J442&lt;=99,IF((INDEX(Eingabe!$G$9:$G$18,I442))&lt;=9,1000+(INDEX(Eingabe!$G$9:$G$18,I442))*100,3000)+J442,IF((INDEX(Eingabe!$G$9:$G$18,I442)+1)&lt;=9,1000+(INDEX(Eingabe!$G$9:$G$18,I442)+1)*100,3000)+J442-100),IF(J442=K442+1,2000+INDEX(Eingabe!$G$9:$G$18,I442)*10+1,IF(J442=K442+2,2000+INDEX(Eingabe!$G$9:$G$18,I442)*10+2,2000+INDEX(Eingabe!$G$9:$G$18,I442)*10+9))),""))</f>
        <v/>
      </c>
      <c r="C442" s="0" t="str">
        <f aca="false">IF(I442="","",IF(AND(J442&gt;=1,J442&lt;=K442+3),"10."&amp;INDEX(Eingabe!$D$9:$D$18,I442)&amp;"."&amp;IF(J442&lt;=K442,J442,IF(J442=K442+1,200,IF(J442=K442+2,201,250)))&amp;".0/24",""))</f>
        <v/>
      </c>
      <c r="D442" s="0" t="str">
        <f aca="false">IF(I442="","",IF(AND(J442&gt;=1,J442&lt;=K442+3),"255.255.255.0",""))</f>
        <v/>
      </c>
      <c r="E442" s="0" t="str">
        <f aca="false">IF(I442="","",IF(AND(J442&gt;=1,J442&lt;=K442+3),"10."&amp;INDEX(Eingabe!$D$9:$D$18,I442)&amp;"."&amp;IF(J442&lt;=K442,J442,IF(J442=K442+1,200,IF(J442=K442+2,201,250)))&amp;".1",""))</f>
        <v/>
      </c>
      <c r="F442" s="0" t="str">
        <f aca="false">IF(I442="","",IF(AND(J442&gt;=1,J442&lt;=K442+3),"10."&amp;INDEX(Eingabe!$D$9:$D$18,I442)&amp;"."&amp;IF(J442&lt;=K442,J442,IF(J442=K442+1,200,IF(J442=K442+2,201,250)))&amp;".10 – 10."&amp;INDEX(Eingabe!$D$9:$D$18,I442)&amp;"."&amp;IF(J442&lt;=K442,J442,IF(J442=K442+1,200,IF(J442=K442+2,201,250)))&amp;".250",""))</f>
        <v/>
      </c>
      <c r="G442" s="0" t="str">
        <f aca="false">IF(I442="","",IF(AND(J442&gt;=1,J442&lt;=K442),Eingabe!$B$6&amp;"-"&amp;INDEX(Eingabe!$C$9:$C$18,I442)&amp;"-Pächter  ·  Passwort Parzelle "&amp;J442,IF(J442=K442+1,Eingabe!$B$6&amp;"-"&amp;INDEX(Eingabe!$C$9:$C$18,I442)&amp;"-Vorstand  ·  eigenes WLAN",IF(J442=K442+2,Eingabe!$B$6&amp;"-"&amp;INDEX(Eingabe!$C$9:$C$18,I442)&amp;"-Gäste  ·  Voucher",IF(J442=K442+3,"Kabel  ·  Access Point y = .(50+y), Mast-Switch x = .(10+x)","")))))</f>
        <v/>
      </c>
      <c r="I442" s="0" t="str">
        <f aca="false">IF(437&lt;=(Eingabe!$P$18+Eingabe!$Q$18-1),MATCH(437,Eingabe!$P$9:$P$18,1),"")</f>
        <v/>
      </c>
      <c r="J442" s="0" t="str">
        <f aca="false">IF(I442="","",437-INDEX(Eingabe!$P$9:$P$18,I442))</f>
        <v/>
      </c>
      <c r="K442" s="0" t="str">
        <f aca="false">IF(I442="","",INDEX(Eingabe!$E$9:$E$18,I442))</f>
        <v/>
      </c>
    </row>
    <row r="443" customFormat="false" ht="15" hidden="false" customHeight="false" outlineLevel="0" collapsed="false">
      <c r="A443" s="0" t="str">
        <f aca="false">IF(I443="","",IF(J443=0,"Sparte "&amp;I443&amp;": "&amp;INDEX(Eingabe!$B$9:$B$18,I443)&amp;"  (Sparten-ID "&amp;INDEX(Eingabe!$D$9:$D$18,I443)&amp;", "&amp;K443&amp;" Parzellen)",IF(J443&lt;=K443,"   Parzelle "&amp;J443,IF(J443=K443+1,"   Vorstand",IF(J443=K443+2,"   Gäste",IF(J443=K443+3,"   Technik (Switches, Access Points)",""))))))</f>
        <v/>
      </c>
      <c r="B443" s="0" t="str">
        <f aca="false">IF(I443="","",IF(AND(J443&gt;=1,J443&lt;=K443+3),IF(J443&lt;=K443,IF(J443&lt;=99,IF((INDEX(Eingabe!$G$9:$G$18,I443))&lt;=9,1000+(INDEX(Eingabe!$G$9:$G$18,I443))*100,3000)+J443,IF((INDEX(Eingabe!$G$9:$G$18,I443)+1)&lt;=9,1000+(INDEX(Eingabe!$G$9:$G$18,I443)+1)*100,3000)+J443-100),IF(J443=K443+1,2000+INDEX(Eingabe!$G$9:$G$18,I443)*10+1,IF(J443=K443+2,2000+INDEX(Eingabe!$G$9:$G$18,I443)*10+2,2000+INDEX(Eingabe!$G$9:$G$18,I443)*10+9))),""))</f>
        <v/>
      </c>
      <c r="C443" s="0" t="str">
        <f aca="false">IF(I443="","",IF(AND(J443&gt;=1,J443&lt;=K443+3),"10."&amp;INDEX(Eingabe!$D$9:$D$18,I443)&amp;"."&amp;IF(J443&lt;=K443,J443,IF(J443=K443+1,200,IF(J443=K443+2,201,250)))&amp;".0/24",""))</f>
        <v/>
      </c>
      <c r="D443" s="0" t="str">
        <f aca="false">IF(I443="","",IF(AND(J443&gt;=1,J443&lt;=K443+3),"255.255.255.0",""))</f>
        <v/>
      </c>
      <c r="E443" s="0" t="str">
        <f aca="false">IF(I443="","",IF(AND(J443&gt;=1,J443&lt;=K443+3),"10."&amp;INDEX(Eingabe!$D$9:$D$18,I443)&amp;"."&amp;IF(J443&lt;=K443,J443,IF(J443=K443+1,200,IF(J443=K443+2,201,250)))&amp;".1",""))</f>
        <v/>
      </c>
      <c r="F443" s="0" t="str">
        <f aca="false">IF(I443="","",IF(AND(J443&gt;=1,J443&lt;=K443+3),"10."&amp;INDEX(Eingabe!$D$9:$D$18,I443)&amp;"."&amp;IF(J443&lt;=K443,J443,IF(J443=K443+1,200,IF(J443=K443+2,201,250)))&amp;".10 – 10."&amp;INDEX(Eingabe!$D$9:$D$18,I443)&amp;"."&amp;IF(J443&lt;=K443,J443,IF(J443=K443+1,200,IF(J443=K443+2,201,250)))&amp;".250",""))</f>
        <v/>
      </c>
      <c r="G443" s="0" t="str">
        <f aca="false">IF(I443="","",IF(AND(J443&gt;=1,J443&lt;=K443),Eingabe!$B$6&amp;"-"&amp;INDEX(Eingabe!$C$9:$C$18,I443)&amp;"-Pächter  ·  Passwort Parzelle "&amp;J443,IF(J443=K443+1,Eingabe!$B$6&amp;"-"&amp;INDEX(Eingabe!$C$9:$C$18,I443)&amp;"-Vorstand  ·  eigenes WLAN",IF(J443=K443+2,Eingabe!$B$6&amp;"-"&amp;INDEX(Eingabe!$C$9:$C$18,I443)&amp;"-Gäste  ·  Voucher",IF(J443=K443+3,"Kabel  ·  Access Point y = .(50+y), Mast-Switch x = .(10+x)","")))))</f>
        <v/>
      </c>
      <c r="I443" s="0" t="str">
        <f aca="false">IF(438&lt;=(Eingabe!$P$18+Eingabe!$Q$18-1),MATCH(438,Eingabe!$P$9:$P$18,1),"")</f>
        <v/>
      </c>
      <c r="J443" s="0" t="str">
        <f aca="false">IF(I443="","",438-INDEX(Eingabe!$P$9:$P$18,I443))</f>
        <v/>
      </c>
      <c r="K443" s="0" t="str">
        <f aca="false">IF(I443="","",INDEX(Eingabe!$E$9:$E$18,I443))</f>
        <v/>
      </c>
    </row>
    <row r="444" customFormat="false" ht="15" hidden="false" customHeight="false" outlineLevel="0" collapsed="false">
      <c r="A444" s="0" t="str">
        <f aca="false">IF(I444="","",IF(J444=0,"Sparte "&amp;I444&amp;": "&amp;INDEX(Eingabe!$B$9:$B$18,I444)&amp;"  (Sparten-ID "&amp;INDEX(Eingabe!$D$9:$D$18,I444)&amp;", "&amp;K444&amp;" Parzellen)",IF(J444&lt;=K444,"   Parzelle "&amp;J444,IF(J444=K444+1,"   Vorstand",IF(J444=K444+2,"   Gäste",IF(J444=K444+3,"   Technik (Switches, Access Points)",""))))))</f>
        <v/>
      </c>
      <c r="B444" s="0" t="str">
        <f aca="false">IF(I444="","",IF(AND(J444&gt;=1,J444&lt;=K444+3),IF(J444&lt;=K444,IF(J444&lt;=99,IF((INDEX(Eingabe!$G$9:$G$18,I444))&lt;=9,1000+(INDEX(Eingabe!$G$9:$G$18,I444))*100,3000)+J444,IF((INDEX(Eingabe!$G$9:$G$18,I444)+1)&lt;=9,1000+(INDEX(Eingabe!$G$9:$G$18,I444)+1)*100,3000)+J444-100),IF(J444=K444+1,2000+INDEX(Eingabe!$G$9:$G$18,I444)*10+1,IF(J444=K444+2,2000+INDEX(Eingabe!$G$9:$G$18,I444)*10+2,2000+INDEX(Eingabe!$G$9:$G$18,I444)*10+9))),""))</f>
        <v/>
      </c>
      <c r="C444" s="0" t="str">
        <f aca="false">IF(I444="","",IF(AND(J444&gt;=1,J444&lt;=K444+3),"10."&amp;INDEX(Eingabe!$D$9:$D$18,I444)&amp;"."&amp;IF(J444&lt;=K444,J444,IF(J444=K444+1,200,IF(J444=K444+2,201,250)))&amp;".0/24",""))</f>
        <v/>
      </c>
      <c r="D444" s="0" t="str">
        <f aca="false">IF(I444="","",IF(AND(J444&gt;=1,J444&lt;=K444+3),"255.255.255.0",""))</f>
        <v/>
      </c>
      <c r="E444" s="0" t="str">
        <f aca="false">IF(I444="","",IF(AND(J444&gt;=1,J444&lt;=K444+3),"10."&amp;INDEX(Eingabe!$D$9:$D$18,I444)&amp;"."&amp;IF(J444&lt;=K444,J444,IF(J444=K444+1,200,IF(J444=K444+2,201,250)))&amp;".1",""))</f>
        <v/>
      </c>
      <c r="F444" s="0" t="str">
        <f aca="false">IF(I444="","",IF(AND(J444&gt;=1,J444&lt;=K444+3),"10."&amp;INDEX(Eingabe!$D$9:$D$18,I444)&amp;"."&amp;IF(J444&lt;=K444,J444,IF(J444=K444+1,200,IF(J444=K444+2,201,250)))&amp;".10 – 10."&amp;INDEX(Eingabe!$D$9:$D$18,I444)&amp;"."&amp;IF(J444&lt;=K444,J444,IF(J444=K444+1,200,IF(J444=K444+2,201,250)))&amp;".250",""))</f>
        <v/>
      </c>
      <c r="G444" s="0" t="str">
        <f aca="false">IF(I444="","",IF(AND(J444&gt;=1,J444&lt;=K444),Eingabe!$B$6&amp;"-"&amp;INDEX(Eingabe!$C$9:$C$18,I444)&amp;"-Pächter  ·  Passwort Parzelle "&amp;J444,IF(J444=K444+1,Eingabe!$B$6&amp;"-"&amp;INDEX(Eingabe!$C$9:$C$18,I444)&amp;"-Vorstand  ·  eigenes WLAN",IF(J444=K444+2,Eingabe!$B$6&amp;"-"&amp;INDEX(Eingabe!$C$9:$C$18,I444)&amp;"-Gäste  ·  Voucher",IF(J444=K444+3,"Kabel  ·  Access Point y = .(50+y), Mast-Switch x = .(10+x)","")))))</f>
        <v/>
      </c>
      <c r="I444" s="0" t="str">
        <f aca="false">IF(439&lt;=(Eingabe!$P$18+Eingabe!$Q$18-1),MATCH(439,Eingabe!$P$9:$P$18,1),"")</f>
        <v/>
      </c>
      <c r="J444" s="0" t="str">
        <f aca="false">IF(I444="","",439-INDEX(Eingabe!$P$9:$P$18,I444))</f>
        <v/>
      </c>
      <c r="K444" s="0" t="str">
        <f aca="false">IF(I444="","",INDEX(Eingabe!$E$9:$E$18,I444))</f>
        <v/>
      </c>
    </row>
    <row r="445" customFormat="false" ht="15" hidden="false" customHeight="false" outlineLevel="0" collapsed="false">
      <c r="A445" s="0" t="str">
        <f aca="false">IF(I445="","",IF(J445=0,"Sparte "&amp;I445&amp;": "&amp;INDEX(Eingabe!$B$9:$B$18,I445)&amp;"  (Sparten-ID "&amp;INDEX(Eingabe!$D$9:$D$18,I445)&amp;", "&amp;K445&amp;" Parzellen)",IF(J445&lt;=K445,"   Parzelle "&amp;J445,IF(J445=K445+1,"   Vorstand",IF(J445=K445+2,"   Gäste",IF(J445=K445+3,"   Technik (Switches, Access Points)",""))))))</f>
        <v/>
      </c>
      <c r="B445" s="0" t="str">
        <f aca="false">IF(I445="","",IF(AND(J445&gt;=1,J445&lt;=K445+3),IF(J445&lt;=K445,IF(J445&lt;=99,IF((INDEX(Eingabe!$G$9:$G$18,I445))&lt;=9,1000+(INDEX(Eingabe!$G$9:$G$18,I445))*100,3000)+J445,IF((INDEX(Eingabe!$G$9:$G$18,I445)+1)&lt;=9,1000+(INDEX(Eingabe!$G$9:$G$18,I445)+1)*100,3000)+J445-100),IF(J445=K445+1,2000+INDEX(Eingabe!$G$9:$G$18,I445)*10+1,IF(J445=K445+2,2000+INDEX(Eingabe!$G$9:$G$18,I445)*10+2,2000+INDEX(Eingabe!$G$9:$G$18,I445)*10+9))),""))</f>
        <v/>
      </c>
      <c r="C445" s="0" t="str">
        <f aca="false">IF(I445="","",IF(AND(J445&gt;=1,J445&lt;=K445+3),"10."&amp;INDEX(Eingabe!$D$9:$D$18,I445)&amp;"."&amp;IF(J445&lt;=K445,J445,IF(J445=K445+1,200,IF(J445=K445+2,201,250)))&amp;".0/24",""))</f>
        <v/>
      </c>
      <c r="D445" s="0" t="str">
        <f aca="false">IF(I445="","",IF(AND(J445&gt;=1,J445&lt;=K445+3),"255.255.255.0",""))</f>
        <v/>
      </c>
      <c r="E445" s="0" t="str">
        <f aca="false">IF(I445="","",IF(AND(J445&gt;=1,J445&lt;=K445+3),"10."&amp;INDEX(Eingabe!$D$9:$D$18,I445)&amp;"."&amp;IF(J445&lt;=K445,J445,IF(J445=K445+1,200,IF(J445=K445+2,201,250)))&amp;".1",""))</f>
        <v/>
      </c>
      <c r="F445" s="0" t="str">
        <f aca="false">IF(I445="","",IF(AND(J445&gt;=1,J445&lt;=K445+3),"10."&amp;INDEX(Eingabe!$D$9:$D$18,I445)&amp;"."&amp;IF(J445&lt;=K445,J445,IF(J445=K445+1,200,IF(J445=K445+2,201,250)))&amp;".10 – 10."&amp;INDEX(Eingabe!$D$9:$D$18,I445)&amp;"."&amp;IF(J445&lt;=K445,J445,IF(J445=K445+1,200,IF(J445=K445+2,201,250)))&amp;".250",""))</f>
        <v/>
      </c>
      <c r="G445" s="0" t="str">
        <f aca="false">IF(I445="","",IF(AND(J445&gt;=1,J445&lt;=K445),Eingabe!$B$6&amp;"-"&amp;INDEX(Eingabe!$C$9:$C$18,I445)&amp;"-Pächter  ·  Passwort Parzelle "&amp;J445,IF(J445=K445+1,Eingabe!$B$6&amp;"-"&amp;INDEX(Eingabe!$C$9:$C$18,I445)&amp;"-Vorstand  ·  eigenes WLAN",IF(J445=K445+2,Eingabe!$B$6&amp;"-"&amp;INDEX(Eingabe!$C$9:$C$18,I445)&amp;"-Gäste  ·  Voucher",IF(J445=K445+3,"Kabel  ·  Access Point y = .(50+y), Mast-Switch x = .(10+x)","")))))</f>
        <v/>
      </c>
      <c r="I445" s="0" t="str">
        <f aca="false">IF(440&lt;=(Eingabe!$P$18+Eingabe!$Q$18-1),MATCH(440,Eingabe!$P$9:$P$18,1),"")</f>
        <v/>
      </c>
      <c r="J445" s="0" t="str">
        <f aca="false">IF(I445="","",440-INDEX(Eingabe!$P$9:$P$18,I445))</f>
        <v/>
      </c>
      <c r="K445" s="0" t="str">
        <f aca="false">IF(I445="","",INDEX(Eingabe!$E$9:$E$18,I445))</f>
        <v/>
      </c>
    </row>
    <row r="446" customFormat="false" ht="15" hidden="false" customHeight="false" outlineLevel="0" collapsed="false">
      <c r="A446" s="0" t="str">
        <f aca="false">IF(I446="","",IF(J446=0,"Sparte "&amp;I446&amp;": "&amp;INDEX(Eingabe!$B$9:$B$18,I446)&amp;"  (Sparten-ID "&amp;INDEX(Eingabe!$D$9:$D$18,I446)&amp;", "&amp;K446&amp;" Parzellen)",IF(J446&lt;=K446,"   Parzelle "&amp;J446,IF(J446=K446+1,"   Vorstand",IF(J446=K446+2,"   Gäste",IF(J446=K446+3,"   Technik (Switches, Access Points)",""))))))</f>
        <v/>
      </c>
      <c r="B446" s="0" t="str">
        <f aca="false">IF(I446="","",IF(AND(J446&gt;=1,J446&lt;=K446+3),IF(J446&lt;=K446,IF(J446&lt;=99,IF((INDEX(Eingabe!$G$9:$G$18,I446))&lt;=9,1000+(INDEX(Eingabe!$G$9:$G$18,I446))*100,3000)+J446,IF((INDEX(Eingabe!$G$9:$G$18,I446)+1)&lt;=9,1000+(INDEX(Eingabe!$G$9:$G$18,I446)+1)*100,3000)+J446-100),IF(J446=K446+1,2000+INDEX(Eingabe!$G$9:$G$18,I446)*10+1,IF(J446=K446+2,2000+INDEX(Eingabe!$G$9:$G$18,I446)*10+2,2000+INDEX(Eingabe!$G$9:$G$18,I446)*10+9))),""))</f>
        <v/>
      </c>
      <c r="C446" s="0" t="str">
        <f aca="false">IF(I446="","",IF(AND(J446&gt;=1,J446&lt;=K446+3),"10."&amp;INDEX(Eingabe!$D$9:$D$18,I446)&amp;"."&amp;IF(J446&lt;=K446,J446,IF(J446=K446+1,200,IF(J446=K446+2,201,250)))&amp;".0/24",""))</f>
        <v/>
      </c>
      <c r="D446" s="0" t="str">
        <f aca="false">IF(I446="","",IF(AND(J446&gt;=1,J446&lt;=K446+3),"255.255.255.0",""))</f>
        <v/>
      </c>
      <c r="E446" s="0" t="str">
        <f aca="false">IF(I446="","",IF(AND(J446&gt;=1,J446&lt;=K446+3),"10."&amp;INDEX(Eingabe!$D$9:$D$18,I446)&amp;"."&amp;IF(J446&lt;=K446,J446,IF(J446=K446+1,200,IF(J446=K446+2,201,250)))&amp;".1",""))</f>
        <v/>
      </c>
      <c r="F446" s="0" t="str">
        <f aca="false">IF(I446="","",IF(AND(J446&gt;=1,J446&lt;=K446+3),"10."&amp;INDEX(Eingabe!$D$9:$D$18,I446)&amp;"."&amp;IF(J446&lt;=K446,J446,IF(J446=K446+1,200,IF(J446=K446+2,201,250)))&amp;".10 – 10."&amp;INDEX(Eingabe!$D$9:$D$18,I446)&amp;"."&amp;IF(J446&lt;=K446,J446,IF(J446=K446+1,200,IF(J446=K446+2,201,250)))&amp;".250",""))</f>
        <v/>
      </c>
      <c r="G446" s="0" t="str">
        <f aca="false">IF(I446="","",IF(AND(J446&gt;=1,J446&lt;=K446),Eingabe!$B$6&amp;"-"&amp;INDEX(Eingabe!$C$9:$C$18,I446)&amp;"-Pächter  ·  Passwort Parzelle "&amp;J446,IF(J446=K446+1,Eingabe!$B$6&amp;"-"&amp;INDEX(Eingabe!$C$9:$C$18,I446)&amp;"-Vorstand  ·  eigenes WLAN",IF(J446=K446+2,Eingabe!$B$6&amp;"-"&amp;INDEX(Eingabe!$C$9:$C$18,I446)&amp;"-Gäste  ·  Voucher",IF(J446=K446+3,"Kabel  ·  Access Point y = .(50+y), Mast-Switch x = .(10+x)","")))))</f>
        <v/>
      </c>
      <c r="I446" s="0" t="str">
        <f aca="false">IF(441&lt;=(Eingabe!$P$18+Eingabe!$Q$18-1),MATCH(441,Eingabe!$P$9:$P$18,1),"")</f>
        <v/>
      </c>
      <c r="J446" s="0" t="str">
        <f aca="false">IF(I446="","",441-INDEX(Eingabe!$P$9:$P$18,I446))</f>
        <v/>
      </c>
      <c r="K446" s="0" t="str">
        <f aca="false">IF(I446="","",INDEX(Eingabe!$E$9:$E$18,I446))</f>
        <v/>
      </c>
    </row>
    <row r="447" customFormat="false" ht="15" hidden="false" customHeight="false" outlineLevel="0" collapsed="false">
      <c r="A447" s="0" t="str">
        <f aca="false">IF(I447="","",IF(J447=0,"Sparte "&amp;I447&amp;": "&amp;INDEX(Eingabe!$B$9:$B$18,I447)&amp;"  (Sparten-ID "&amp;INDEX(Eingabe!$D$9:$D$18,I447)&amp;", "&amp;K447&amp;" Parzellen)",IF(J447&lt;=K447,"   Parzelle "&amp;J447,IF(J447=K447+1,"   Vorstand",IF(J447=K447+2,"   Gäste",IF(J447=K447+3,"   Technik (Switches, Access Points)",""))))))</f>
        <v/>
      </c>
      <c r="B447" s="0" t="str">
        <f aca="false">IF(I447="","",IF(AND(J447&gt;=1,J447&lt;=K447+3),IF(J447&lt;=K447,IF(J447&lt;=99,IF((INDEX(Eingabe!$G$9:$G$18,I447))&lt;=9,1000+(INDEX(Eingabe!$G$9:$G$18,I447))*100,3000)+J447,IF((INDEX(Eingabe!$G$9:$G$18,I447)+1)&lt;=9,1000+(INDEX(Eingabe!$G$9:$G$18,I447)+1)*100,3000)+J447-100),IF(J447=K447+1,2000+INDEX(Eingabe!$G$9:$G$18,I447)*10+1,IF(J447=K447+2,2000+INDEX(Eingabe!$G$9:$G$18,I447)*10+2,2000+INDEX(Eingabe!$G$9:$G$18,I447)*10+9))),""))</f>
        <v/>
      </c>
      <c r="C447" s="0" t="str">
        <f aca="false">IF(I447="","",IF(AND(J447&gt;=1,J447&lt;=K447+3),"10."&amp;INDEX(Eingabe!$D$9:$D$18,I447)&amp;"."&amp;IF(J447&lt;=K447,J447,IF(J447=K447+1,200,IF(J447=K447+2,201,250)))&amp;".0/24",""))</f>
        <v/>
      </c>
      <c r="D447" s="0" t="str">
        <f aca="false">IF(I447="","",IF(AND(J447&gt;=1,J447&lt;=K447+3),"255.255.255.0",""))</f>
        <v/>
      </c>
      <c r="E447" s="0" t="str">
        <f aca="false">IF(I447="","",IF(AND(J447&gt;=1,J447&lt;=K447+3),"10."&amp;INDEX(Eingabe!$D$9:$D$18,I447)&amp;"."&amp;IF(J447&lt;=K447,J447,IF(J447=K447+1,200,IF(J447=K447+2,201,250)))&amp;".1",""))</f>
        <v/>
      </c>
      <c r="F447" s="0" t="str">
        <f aca="false">IF(I447="","",IF(AND(J447&gt;=1,J447&lt;=K447+3),"10."&amp;INDEX(Eingabe!$D$9:$D$18,I447)&amp;"."&amp;IF(J447&lt;=K447,J447,IF(J447=K447+1,200,IF(J447=K447+2,201,250)))&amp;".10 – 10."&amp;INDEX(Eingabe!$D$9:$D$18,I447)&amp;"."&amp;IF(J447&lt;=K447,J447,IF(J447=K447+1,200,IF(J447=K447+2,201,250)))&amp;".250",""))</f>
        <v/>
      </c>
      <c r="G447" s="0" t="str">
        <f aca="false">IF(I447="","",IF(AND(J447&gt;=1,J447&lt;=K447),Eingabe!$B$6&amp;"-"&amp;INDEX(Eingabe!$C$9:$C$18,I447)&amp;"-Pächter  ·  Passwort Parzelle "&amp;J447,IF(J447=K447+1,Eingabe!$B$6&amp;"-"&amp;INDEX(Eingabe!$C$9:$C$18,I447)&amp;"-Vorstand  ·  eigenes WLAN",IF(J447=K447+2,Eingabe!$B$6&amp;"-"&amp;INDEX(Eingabe!$C$9:$C$18,I447)&amp;"-Gäste  ·  Voucher",IF(J447=K447+3,"Kabel  ·  Access Point y = .(50+y), Mast-Switch x = .(10+x)","")))))</f>
        <v/>
      </c>
      <c r="I447" s="0" t="str">
        <f aca="false">IF(442&lt;=(Eingabe!$P$18+Eingabe!$Q$18-1),MATCH(442,Eingabe!$P$9:$P$18,1),"")</f>
        <v/>
      </c>
      <c r="J447" s="0" t="str">
        <f aca="false">IF(I447="","",442-INDEX(Eingabe!$P$9:$P$18,I447))</f>
        <v/>
      </c>
      <c r="K447" s="0" t="str">
        <f aca="false">IF(I447="","",INDEX(Eingabe!$E$9:$E$18,I447))</f>
        <v/>
      </c>
    </row>
    <row r="448" customFormat="false" ht="15" hidden="false" customHeight="false" outlineLevel="0" collapsed="false">
      <c r="A448" s="0" t="str">
        <f aca="false">IF(I448="","",IF(J448=0,"Sparte "&amp;I448&amp;": "&amp;INDEX(Eingabe!$B$9:$B$18,I448)&amp;"  (Sparten-ID "&amp;INDEX(Eingabe!$D$9:$D$18,I448)&amp;", "&amp;K448&amp;" Parzellen)",IF(J448&lt;=K448,"   Parzelle "&amp;J448,IF(J448=K448+1,"   Vorstand",IF(J448=K448+2,"   Gäste",IF(J448=K448+3,"   Technik (Switches, Access Points)",""))))))</f>
        <v/>
      </c>
      <c r="B448" s="0" t="str">
        <f aca="false">IF(I448="","",IF(AND(J448&gt;=1,J448&lt;=K448+3),IF(J448&lt;=K448,IF(J448&lt;=99,IF((INDEX(Eingabe!$G$9:$G$18,I448))&lt;=9,1000+(INDEX(Eingabe!$G$9:$G$18,I448))*100,3000)+J448,IF((INDEX(Eingabe!$G$9:$G$18,I448)+1)&lt;=9,1000+(INDEX(Eingabe!$G$9:$G$18,I448)+1)*100,3000)+J448-100),IF(J448=K448+1,2000+INDEX(Eingabe!$G$9:$G$18,I448)*10+1,IF(J448=K448+2,2000+INDEX(Eingabe!$G$9:$G$18,I448)*10+2,2000+INDEX(Eingabe!$G$9:$G$18,I448)*10+9))),""))</f>
        <v/>
      </c>
      <c r="C448" s="0" t="str">
        <f aca="false">IF(I448="","",IF(AND(J448&gt;=1,J448&lt;=K448+3),"10."&amp;INDEX(Eingabe!$D$9:$D$18,I448)&amp;"."&amp;IF(J448&lt;=K448,J448,IF(J448=K448+1,200,IF(J448=K448+2,201,250)))&amp;".0/24",""))</f>
        <v/>
      </c>
      <c r="D448" s="0" t="str">
        <f aca="false">IF(I448="","",IF(AND(J448&gt;=1,J448&lt;=K448+3),"255.255.255.0",""))</f>
        <v/>
      </c>
      <c r="E448" s="0" t="str">
        <f aca="false">IF(I448="","",IF(AND(J448&gt;=1,J448&lt;=K448+3),"10."&amp;INDEX(Eingabe!$D$9:$D$18,I448)&amp;"."&amp;IF(J448&lt;=K448,J448,IF(J448=K448+1,200,IF(J448=K448+2,201,250)))&amp;".1",""))</f>
        <v/>
      </c>
      <c r="F448" s="0" t="str">
        <f aca="false">IF(I448="","",IF(AND(J448&gt;=1,J448&lt;=K448+3),"10."&amp;INDEX(Eingabe!$D$9:$D$18,I448)&amp;"."&amp;IF(J448&lt;=K448,J448,IF(J448=K448+1,200,IF(J448=K448+2,201,250)))&amp;".10 – 10."&amp;INDEX(Eingabe!$D$9:$D$18,I448)&amp;"."&amp;IF(J448&lt;=K448,J448,IF(J448=K448+1,200,IF(J448=K448+2,201,250)))&amp;".250",""))</f>
        <v/>
      </c>
      <c r="G448" s="0" t="str">
        <f aca="false">IF(I448="","",IF(AND(J448&gt;=1,J448&lt;=K448),Eingabe!$B$6&amp;"-"&amp;INDEX(Eingabe!$C$9:$C$18,I448)&amp;"-Pächter  ·  Passwort Parzelle "&amp;J448,IF(J448=K448+1,Eingabe!$B$6&amp;"-"&amp;INDEX(Eingabe!$C$9:$C$18,I448)&amp;"-Vorstand  ·  eigenes WLAN",IF(J448=K448+2,Eingabe!$B$6&amp;"-"&amp;INDEX(Eingabe!$C$9:$C$18,I448)&amp;"-Gäste  ·  Voucher",IF(J448=K448+3,"Kabel  ·  Access Point y = .(50+y), Mast-Switch x = .(10+x)","")))))</f>
        <v/>
      </c>
      <c r="I448" s="0" t="str">
        <f aca="false">IF(443&lt;=(Eingabe!$P$18+Eingabe!$Q$18-1),MATCH(443,Eingabe!$P$9:$P$18,1),"")</f>
        <v/>
      </c>
      <c r="J448" s="0" t="str">
        <f aca="false">IF(I448="","",443-INDEX(Eingabe!$P$9:$P$18,I448))</f>
        <v/>
      </c>
      <c r="K448" s="0" t="str">
        <f aca="false">IF(I448="","",INDEX(Eingabe!$E$9:$E$18,I448))</f>
        <v/>
      </c>
    </row>
    <row r="449" customFormat="false" ht="15" hidden="false" customHeight="false" outlineLevel="0" collapsed="false">
      <c r="A449" s="0" t="str">
        <f aca="false">IF(I449="","",IF(J449=0,"Sparte "&amp;I449&amp;": "&amp;INDEX(Eingabe!$B$9:$B$18,I449)&amp;"  (Sparten-ID "&amp;INDEX(Eingabe!$D$9:$D$18,I449)&amp;", "&amp;K449&amp;" Parzellen)",IF(J449&lt;=K449,"   Parzelle "&amp;J449,IF(J449=K449+1,"   Vorstand",IF(J449=K449+2,"   Gäste",IF(J449=K449+3,"   Technik (Switches, Access Points)",""))))))</f>
        <v/>
      </c>
      <c r="B449" s="0" t="str">
        <f aca="false">IF(I449="","",IF(AND(J449&gt;=1,J449&lt;=K449+3),IF(J449&lt;=K449,IF(J449&lt;=99,IF((INDEX(Eingabe!$G$9:$G$18,I449))&lt;=9,1000+(INDEX(Eingabe!$G$9:$G$18,I449))*100,3000)+J449,IF((INDEX(Eingabe!$G$9:$G$18,I449)+1)&lt;=9,1000+(INDEX(Eingabe!$G$9:$G$18,I449)+1)*100,3000)+J449-100),IF(J449=K449+1,2000+INDEX(Eingabe!$G$9:$G$18,I449)*10+1,IF(J449=K449+2,2000+INDEX(Eingabe!$G$9:$G$18,I449)*10+2,2000+INDEX(Eingabe!$G$9:$G$18,I449)*10+9))),""))</f>
        <v/>
      </c>
      <c r="C449" s="0" t="str">
        <f aca="false">IF(I449="","",IF(AND(J449&gt;=1,J449&lt;=K449+3),"10."&amp;INDEX(Eingabe!$D$9:$D$18,I449)&amp;"."&amp;IF(J449&lt;=K449,J449,IF(J449=K449+1,200,IF(J449=K449+2,201,250)))&amp;".0/24",""))</f>
        <v/>
      </c>
      <c r="D449" s="0" t="str">
        <f aca="false">IF(I449="","",IF(AND(J449&gt;=1,J449&lt;=K449+3),"255.255.255.0",""))</f>
        <v/>
      </c>
      <c r="E449" s="0" t="str">
        <f aca="false">IF(I449="","",IF(AND(J449&gt;=1,J449&lt;=K449+3),"10."&amp;INDEX(Eingabe!$D$9:$D$18,I449)&amp;"."&amp;IF(J449&lt;=K449,J449,IF(J449=K449+1,200,IF(J449=K449+2,201,250)))&amp;".1",""))</f>
        <v/>
      </c>
      <c r="F449" s="0" t="str">
        <f aca="false">IF(I449="","",IF(AND(J449&gt;=1,J449&lt;=K449+3),"10."&amp;INDEX(Eingabe!$D$9:$D$18,I449)&amp;"."&amp;IF(J449&lt;=K449,J449,IF(J449=K449+1,200,IF(J449=K449+2,201,250)))&amp;".10 – 10."&amp;INDEX(Eingabe!$D$9:$D$18,I449)&amp;"."&amp;IF(J449&lt;=K449,J449,IF(J449=K449+1,200,IF(J449=K449+2,201,250)))&amp;".250",""))</f>
        <v/>
      </c>
      <c r="G449" s="0" t="str">
        <f aca="false">IF(I449="","",IF(AND(J449&gt;=1,J449&lt;=K449),Eingabe!$B$6&amp;"-"&amp;INDEX(Eingabe!$C$9:$C$18,I449)&amp;"-Pächter  ·  Passwort Parzelle "&amp;J449,IF(J449=K449+1,Eingabe!$B$6&amp;"-"&amp;INDEX(Eingabe!$C$9:$C$18,I449)&amp;"-Vorstand  ·  eigenes WLAN",IF(J449=K449+2,Eingabe!$B$6&amp;"-"&amp;INDEX(Eingabe!$C$9:$C$18,I449)&amp;"-Gäste  ·  Voucher",IF(J449=K449+3,"Kabel  ·  Access Point y = .(50+y), Mast-Switch x = .(10+x)","")))))</f>
        <v/>
      </c>
      <c r="I449" s="0" t="str">
        <f aca="false">IF(444&lt;=(Eingabe!$P$18+Eingabe!$Q$18-1),MATCH(444,Eingabe!$P$9:$P$18,1),"")</f>
        <v/>
      </c>
      <c r="J449" s="0" t="str">
        <f aca="false">IF(I449="","",444-INDEX(Eingabe!$P$9:$P$18,I449))</f>
        <v/>
      </c>
      <c r="K449" s="0" t="str">
        <f aca="false">IF(I449="","",INDEX(Eingabe!$E$9:$E$18,I449))</f>
        <v/>
      </c>
    </row>
    <row r="450" customFormat="false" ht="15" hidden="false" customHeight="false" outlineLevel="0" collapsed="false">
      <c r="A450" s="0" t="str">
        <f aca="false">IF(I450="","",IF(J450=0,"Sparte "&amp;I450&amp;": "&amp;INDEX(Eingabe!$B$9:$B$18,I450)&amp;"  (Sparten-ID "&amp;INDEX(Eingabe!$D$9:$D$18,I450)&amp;", "&amp;K450&amp;" Parzellen)",IF(J450&lt;=K450,"   Parzelle "&amp;J450,IF(J450=K450+1,"   Vorstand",IF(J450=K450+2,"   Gäste",IF(J450=K450+3,"   Technik (Switches, Access Points)",""))))))</f>
        <v/>
      </c>
      <c r="B450" s="0" t="str">
        <f aca="false">IF(I450="","",IF(AND(J450&gt;=1,J450&lt;=K450+3),IF(J450&lt;=K450,IF(J450&lt;=99,IF((INDEX(Eingabe!$G$9:$G$18,I450))&lt;=9,1000+(INDEX(Eingabe!$G$9:$G$18,I450))*100,3000)+J450,IF((INDEX(Eingabe!$G$9:$G$18,I450)+1)&lt;=9,1000+(INDEX(Eingabe!$G$9:$G$18,I450)+1)*100,3000)+J450-100),IF(J450=K450+1,2000+INDEX(Eingabe!$G$9:$G$18,I450)*10+1,IF(J450=K450+2,2000+INDEX(Eingabe!$G$9:$G$18,I450)*10+2,2000+INDEX(Eingabe!$G$9:$G$18,I450)*10+9))),""))</f>
        <v/>
      </c>
      <c r="C450" s="0" t="str">
        <f aca="false">IF(I450="","",IF(AND(J450&gt;=1,J450&lt;=K450+3),"10."&amp;INDEX(Eingabe!$D$9:$D$18,I450)&amp;"."&amp;IF(J450&lt;=K450,J450,IF(J450=K450+1,200,IF(J450=K450+2,201,250)))&amp;".0/24",""))</f>
        <v/>
      </c>
      <c r="D450" s="0" t="str">
        <f aca="false">IF(I450="","",IF(AND(J450&gt;=1,J450&lt;=K450+3),"255.255.255.0",""))</f>
        <v/>
      </c>
      <c r="E450" s="0" t="str">
        <f aca="false">IF(I450="","",IF(AND(J450&gt;=1,J450&lt;=K450+3),"10."&amp;INDEX(Eingabe!$D$9:$D$18,I450)&amp;"."&amp;IF(J450&lt;=K450,J450,IF(J450=K450+1,200,IF(J450=K450+2,201,250)))&amp;".1",""))</f>
        <v/>
      </c>
      <c r="F450" s="0" t="str">
        <f aca="false">IF(I450="","",IF(AND(J450&gt;=1,J450&lt;=K450+3),"10."&amp;INDEX(Eingabe!$D$9:$D$18,I450)&amp;"."&amp;IF(J450&lt;=K450,J450,IF(J450=K450+1,200,IF(J450=K450+2,201,250)))&amp;".10 – 10."&amp;INDEX(Eingabe!$D$9:$D$18,I450)&amp;"."&amp;IF(J450&lt;=K450,J450,IF(J450=K450+1,200,IF(J450=K450+2,201,250)))&amp;".250",""))</f>
        <v/>
      </c>
      <c r="G450" s="0" t="str">
        <f aca="false">IF(I450="","",IF(AND(J450&gt;=1,J450&lt;=K450),Eingabe!$B$6&amp;"-"&amp;INDEX(Eingabe!$C$9:$C$18,I450)&amp;"-Pächter  ·  Passwort Parzelle "&amp;J450,IF(J450=K450+1,Eingabe!$B$6&amp;"-"&amp;INDEX(Eingabe!$C$9:$C$18,I450)&amp;"-Vorstand  ·  eigenes WLAN",IF(J450=K450+2,Eingabe!$B$6&amp;"-"&amp;INDEX(Eingabe!$C$9:$C$18,I450)&amp;"-Gäste  ·  Voucher",IF(J450=K450+3,"Kabel  ·  Access Point y = .(50+y), Mast-Switch x = .(10+x)","")))))</f>
        <v/>
      </c>
      <c r="I450" s="0" t="str">
        <f aca="false">IF(445&lt;=(Eingabe!$P$18+Eingabe!$Q$18-1),MATCH(445,Eingabe!$P$9:$P$18,1),"")</f>
        <v/>
      </c>
      <c r="J450" s="0" t="str">
        <f aca="false">IF(I450="","",445-INDEX(Eingabe!$P$9:$P$18,I450))</f>
        <v/>
      </c>
      <c r="K450" s="0" t="str">
        <f aca="false">IF(I450="","",INDEX(Eingabe!$E$9:$E$18,I450))</f>
        <v/>
      </c>
    </row>
    <row r="451" customFormat="false" ht="15" hidden="false" customHeight="false" outlineLevel="0" collapsed="false">
      <c r="A451" s="0" t="str">
        <f aca="false">IF(I451="","",IF(J451=0,"Sparte "&amp;I451&amp;": "&amp;INDEX(Eingabe!$B$9:$B$18,I451)&amp;"  (Sparten-ID "&amp;INDEX(Eingabe!$D$9:$D$18,I451)&amp;", "&amp;K451&amp;" Parzellen)",IF(J451&lt;=K451,"   Parzelle "&amp;J451,IF(J451=K451+1,"   Vorstand",IF(J451=K451+2,"   Gäste",IF(J451=K451+3,"   Technik (Switches, Access Points)",""))))))</f>
        <v/>
      </c>
      <c r="B451" s="0" t="str">
        <f aca="false">IF(I451="","",IF(AND(J451&gt;=1,J451&lt;=K451+3),IF(J451&lt;=K451,IF(J451&lt;=99,IF((INDEX(Eingabe!$G$9:$G$18,I451))&lt;=9,1000+(INDEX(Eingabe!$G$9:$G$18,I451))*100,3000)+J451,IF((INDEX(Eingabe!$G$9:$G$18,I451)+1)&lt;=9,1000+(INDEX(Eingabe!$G$9:$G$18,I451)+1)*100,3000)+J451-100),IF(J451=K451+1,2000+INDEX(Eingabe!$G$9:$G$18,I451)*10+1,IF(J451=K451+2,2000+INDEX(Eingabe!$G$9:$G$18,I451)*10+2,2000+INDEX(Eingabe!$G$9:$G$18,I451)*10+9))),""))</f>
        <v/>
      </c>
      <c r="C451" s="0" t="str">
        <f aca="false">IF(I451="","",IF(AND(J451&gt;=1,J451&lt;=K451+3),"10."&amp;INDEX(Eingabe!$D$9:$D$18,I451)&amp;"."&amp;IF(J451&lt;=K451,J451,IF(J451=K451+1,200,IF(J451=K451+2,201,250)))&amp;".0/24",""))</f>
        <v/>
      </c>
      <c r="D451" s="0" t="str">
        <f aca="false">IF(I451="","",IF(AND(J451&gt;=1,J451&lt;=K451+3),"255.255.255.0",""))</f>
        <v/>
      </c>
      <c r="E451" s="0" t="str">
        <f aca="false">IF(I451="","",IF(AND(J451&gt;=1,J451&lt;=K451+3),"10."&amp;INDEX(Eingabe!$D$9:$D$18,I451)&amp;"."&amp;IF(J451&lt;=K451,J451,IF(J451=K451+1,200,IF(J451=K451+2,201,250)))&amp;".1",""))</f>
        <v/>
      </c>
      <c r="F451" s="0" t="str">
        <f aca="false">IF(I451="","",IF(AND(J451&gt;=1,J451&lt;=K451+3),"10."&amp;INDEX(Eingabe!$D$9:$D$18,I451)&amp;"."&amp;IF(J451&lt;=K451,J451,IF(J451=K451+1,200,IF(J451=K451+2,201,250)))&amp;".10 – 10."&amp;INDEX(Eingabe!$D$9:$D$18,I451)&amp;"."&amp;IF(J451&lt;=K451,J451,IF(J451=K451+1,200,IF(J451=K451+2,201,250)))&amp;".250",""))</f>
        <v/>
      </c>
      <c r="G451" s="0" t="str">
        <f aca="false">IF(I451="","",IF(AND(J451&gt;=1,J451&lt;=K451),Eingabe!$B$6&amp;"-"&amp;INDEX(Eingabe!$C$9:$C$18,I451)&amp;"-Pächter  ·  Passwort Parzelle "&amp;J451,IF(J451=K451+1,Eingabe!$B$6&amp;"-"&amp;INDEX(Eingabe!$C$9:$C$18,I451)&amp;"-Vorstand  ·  eigenes WLAN",IF(J451=K451+2,Eingabe!$B$6&amp;"-"&amp;INDEX(Eingabe!$C$9:$C$18,I451)&amp;"-Gäste  ·  Voucher",IF(J451=K451+3,"Kabel  ·  Access Point y = .(50+y), Mast-Switch x = .(10+x)","")))))</f>
        <v/>
      </c>
      <c r="I451" s="0" t="str">
        <f aca="false">IF(446&lt;=(Eingabe!$P$18+Eingabe!$Q$18-1),MATCH(446,Eingabe!$P$9:$P$18,1),"")</f>
        <v/>
      </c>
      <c r="J451" s="0" t="str">
        <f aca="false">IF(I451="","",446-INDEX(Eingabe!$P$9:$P$18,I451))</f>
        <v/>
      </c>
      <c r="K451" s="0" t="str">
        <f aca="false">IF(I451="","",INDEX(Eingabe!$E$9:$E$18,I451))</f>
        <v/>
      </c>
    </row>
    <row r="452" customFormat="false" ht="15" hidden="false" customHeight="false" outlineLevel="0" collapsed="false">
      <c r="A452" s="0" t="str">
        <f aca="false">IF(I452="","",IF(J452=0,"Sparte "&amp;I452&amp;": "&amp;INDEX(Eingabe!$B$9:$B$18,I452)&amp;"  (Sparten-ID "&amp;INDEX(Eingabe!$D$9:$D$18,I452)&amp;", "&amp;K452&amp;" Parzellen)",IF(J452&lt;=K452,"   Parzelle "&amp;J452,IF(J452=K452+1,"   Vorstand",IF(J452=K452+2,"   Gäste",IF(J452=K452+3,"   Technik (Switches, Access Points)",""))))))</f>
        <v/>
      </c>
      <c r="B452" s="0" t="str">
        <f aca="false">IF(I452="","",IF(AND(J452&gt;=1,J452&lt;=K452+3),IF(J452&lt;=K452,IF(J452&lt;=99,IF((INDEX(Eingabe!$G$9:$G$18,I452))&lt;=9,1000+(INDEX(Eingabe!$G$9:$G$18,I452))*100,3000)+J452,IF((INDEX(Eingabe!$G$9:$G$18,I452)+1)&lt;=9,1000+(INDEX(Eingabe!$G$9:$G$18,I452)+1)*100,3000)+J452-100),IF(J452=K452+1,2000+INDEX(Eingabe!$G$9:$G$18,I452)*10+1,IF(J452=K452+2,2000+INDEX(Eingabe!$G$9:$G$18,I452)*10+2,2000+INDEX(Eingabe!$G$9:$G$18,I452)*10+9))),""))</f>
        <v/>
      </c>
      <c r="C452" s="0" t="str">
        <f aca="false">IF(I452="","",IF(AND(J452&gt;=1,J452&lt;=K452+3),"10."&amp;INDEX(Eingabe!$D$9:$D$18,I452)&amp;"."&amp;IF(J452&lt;=K452,J452,IF(J452=K452+1,200,IF(J452=K452+2,201,250)))&amp;".0/24",""))</f>
        <v/>
      </c>
      <c r="D452" s="0" t="str">
        <f aca="false">IF(I452="","",IF(AND(J452&gt;=1,J452&lt;=K452+3),"255.255.255.0",""))</f>
        <v/>
      </c>
      <c r="E452" s="0" t="str">
        <f aca="false">IF(I452="","",IF(AND(J452&gt;=1,J452&lt;=K452+3),"10."&amp;INDEX(Eingabe!$D$9:$D$18,I452)&amp;"."&amp;IF(J452&lt;=K452,J452,IF(J452=K452+1,200,IF(J452=K452+2,201,250)))&amp;".1",""))</f>
        <v/>
      </c>
      <c r="F452" s="0" t="str">
        <f aca="false">IF(I452="","",IF(AND(J452&gt;=1,J452&lt;=K452+3),"10."&amp;INDEX(Eingabe!$D$9:$D$18,I452)&amp;"."&amp;IF(J452&lt;=K452,J452,IF(J452=K452+1,200,IF(J452=K452+2,201,250)))&amp;".10 – 10."&amp;INDEX(Eingabe!$D$9:$D$18,I452)&amp;"."&amp;IF(J452&lt;=K452,J452,IF(J452=K452+1,200,IF(J452=K452+2,201,250)))&amp;".250",""))</f>
        <v/>
      </c>
      <c r="G452" s="0" t="str">
        <f aca="false">IF(I452="","",IF(AND(J452&gt;=1,J452&lt;=K452),Eingabe!$B$6&amp;"-"&amp;INDEX(Eingabe!$C$9:$C$18,I452)&amp;"-Pächter  ·  Passwort Parzelle "&amp;J452,IF(J452=K452+1,Eingabe!$B$6&amp;"-"&amp;INDEX(Eingabe!$C$9:$C$18,I452)&amp;"-Vorstand  ·  eigenes WLAN",IF(J452=K452+2,Eingabe!$B$6&amp;"-"&amp;INDEX(Eingabe!$C$9:$C$18,I452)&amp;"-Gäste  ·  Voucher",IF(J452=K452+3,"Kabel  ·  Access Point y = .(50+y), Mast-Switch x = .(10+x)","")))))</f>
        <v/>
      </c>
      <c r="I452" s="0" t="str">
        <f aca="false">IF(447&lt;=(Eingabe!$P$18+Eingabe!$Q$18-1),MATCH(447,Eingabe!$P$9:$P$18,1),"")</f>
        <v/>
      </c>
      <c r="J452" s="0" t="str">
        <f aca="false">IF(I452="","",447-INDEX(Eingabe!$P$9:$P$18,I452))</f>
        <v/>
      </c>
      <c r="K452" s="0" t="str">
        <f aca="false">IF(I452="","",INDEX(Eingabe!$E$9:$E$18,I452))</f>
        <v/>
      </c>
    </row>
    <row r="453" customFormat="false" ht="15" hidden="false" customHeight="false" outlineLevel="0" collapsed="false">
      <c r="A453" s="0" t="str">
        <f aca="false">IF(I453="","",IF(J453=0,"Sparte "&amp;I453&amp;": "&amp;INDEX(Eingabe!$B$9:$B$18,I453)&amp;"  (Sparten-ID "&amp;INDEX(Eingabe!$D$9:$D$18,I453)&amp;", "&amp;K453&amp;" Parzellen)",IF(J453&lt;=K453,"   Parzelle "&amp;J453,IF(J453=K453+1,"   Vorstand",IF(J453=K453+2,"   Gäste",IF(J453=K453+3,"   Technik (Switches, Access Points)",""))))))</f>
        <v/>
      </c>
      <c r="B453" s="0" t="str">
        <f aca="false">IF(I453="","",IF(AND(J453&gt;=1,J453&lt;=K453+3),IF(J453&lt;=K453,IF(J453&lt;=99,IF((INDEX(Eingabe!$G$9:$G$18,I453))&lt;=9,1000+(INDEX(Eingabe!$G$9:$G$18,I453))*100,3000)+J453,IF((INDEX(Eingabe!$G$9:$G$18,I453)+1)&lt;=9,1000+(INDEX(Eingabe!$G$9:$G$18,I453)+1)*100,3000)+J453-100),IF(J453=K453+1,2000+INDEX(Eingabe!$G$9:$G$18,I453)*10+1,IF(J453=K453+2,2000+INDEX(Eingabe!$G$9:$G$18,I453)*10+2,2000+INDEX(Eingabe!$G$9:$G$18,I453)*10+9))),""))</f>
        <v/>
      </c>
      <c r="C453" s="0" t="str">
        <f aca="false">IF(I453="","",IF(AND(J453&gt;=1,J453&lt;=K453+3),"10."&amp;INDEX(Eingabe!$D$9:$D$18,I453)&amp;"."&amp;IF(J453&lt;=K453,J453,IF(J453=K453+1,200,IF(J453=K453+2,201,250)))&amp;".0/24",""))</f>
        <v/>
      </c>
      <c r="D453" s="0" t="str">
        <f aca="false">IF(I453="","",IF(AND(J453&gt;=1,J453&lt;=K453+3),"255.255.255.0",""))</f>
        <v/>
      </c>
      <c r="E453" s="0" t="str">
        <f aca="false">IF(I453="","",IF(AND(J453&gt;=1,J453&lt;=K453+3),"10."&amp;INDEX(Eingabe!$D$9:$D$18,I453)&amp;"."&amp;IF(J453&lt;=K453,J453,IF(J453=K453+1,200,IF(J453=K453+2,201,250)))&amp;".1",""))</f>
        <v/>
      </c>
      <c r="F453" s="0" t="str">
        <f aca="false">IF(I453="","",IF(AND(J453&gt;=1,J453&lt;=K453+3),"10."&amp;INDEX(Eingabe!$D$9:$D$18,I453)&amp;"."&amp;IF(J453&lt;=K453,J453,IF(J453=K453+1,200,IF(J453=K453+2,201,250)))&amp;".10 – 10."&amp;INDEX(Eingabe!$D$9:$D$18,I453)&amp;"."&amp;IF(J453&lt;=K453,J453,IF(J453=K453+1,200,IF(J453=K453+2,201,250)))&amp;".250",""))</f>
        <v/>
      </c>
      <c r="G453" s="0" t="str">
        <f aca="false">IF(I453="","",IF(AND(J453&gt;=1,J453&lt;=K453),Eingabe!$B$6&amp;"-"&amp;INDEX(Eingabe!$C$9:$C$18,I453)&amp;"-Pächter  ·  Passwort Parzelle "&amp;J453,IF(J453=K453+1,Eingabe!$B$6&amp;"-"&amp;INDEX(Eingabe!$C$9:$C$18,I453)&amp;"-Vorstand  ·  eigenes WLAN",IF(J453=K453+2,Eingabe!$B$6&amp;"-"&amp;INDEX(Eingabe!$C$9:$C$18,I453)&amp;"-Gäste  ·  Voucher",IF(J453=K453+3,"Kabel  ·  Access Point y = .(50+y), Mast-Switch x = .(10+x)","")))))</f>
        <v/>
      </c>
      <c r="I453" s="0" t="str">
        <f aca="false">IF(448&lt;=(Eingabe!$P$18+Eingabe!$Q$18-1),MATCH(448,Eingabe!$P$9:$P$18,1),"")</f>
        <v/>
      </c>
      <c r="J453" s="0" t="str">
        <f aca="false">IF(I453="","",448-INDEX(Eingabe!$P$9:$P$18,I453))</f>
        <v/>
      </c>
      <c r="K453" s="0" t="str">
        <f aca="false">IF(I453="","",INDEX(Eingabe!$E$9:$E$18,I453))</f>
        <v/>
      </c>
    </row>
    <row r="454" customFormat="false" ht="15" hidden="false" customHeight="false" outlineLevel="0" collapsed="false">
      <c r="A454" s="0" t="str">
        <f aca="false">IF(I454="","",IF(J454=0,"Sparte "&amp;I454&amp;": "&amp;INDEX(Eingabe!$B$9:$B$18,I454)&amp;"  (Sparten-ID "&amp;INDEX(Eingabe!$D$9:$D$18,I454)&amp;", "&amp;K454&amp;" Parzellen)",IF(J454&lt;=K454,"   Parzelle "&amp;J454,IF(J454=K454+1,"   Vorstand",IF(J454=K454+2,"   Gäste",IF(J454=K454+3,"   Technik (Switches, Access Points)",""))))))</f>
        <v/>
      </c>
      <c r="B454" s="0" t="str">
        <f aca="false">IF(I454="","",IF(AND(J454&gt;=1,J454&lt;=K454+3),IF(J454&lt;=K454,IF(J454&lt;=99,IF((INDEX(Eingabe!$G$9:$G$18,I454))&lt;=9,1000+(INDEX(Eingabe!$G$9:$G$18,I454))*100,3000)+J454,IF((INDEX(Eingabe!$G$9:$G$18,I454)+1)&lt;=9,1000+(INDEX(Eingabe!$G$9:$G$18,I454)+1)*100,3000)+J454-100),IF(J454=K454+1,2000+INDEX(Eingabe!$G$9:$G$18,I454)*10+1,IF(J454=K454+2,2000+INDEX(Eingabe!$G$9:$G$18,I454)*10+2,2000+INDEX(Eingabe!$G$9:$G$18,I454)*10+9))),""))</f>
        <v/>
      </c>
      <c r="C454" s="0" t="str">
        <f aca="false">IF(I454="","",IF(AND(J454&gt;=1,J454&lt;=K454+3),"10."&amp;INDEX(Eingabe!$D$9:$D$18,I454)&amp;"."&amp;IF(J454&lt;=K454,J454,IF(J454=K454+1,200,IF(J454=K454+2,201,250)))&amp;".0/24",""))</f>
        <v/>
      </c>
      <c r="D454" s="0" t="str">
        <f aca="false">IF(I454="","",IF(AND(J454&gt;=1,J454&lt;=K454+3),"255.255.255.0",""))</f>
        <v/>
      </c>
      <c r="E454" s="0" t="str">
        <f aca="false">IF(I454="","",IF(AND(J454&gt;=1,J454&lt;=K454+3),"10."&amp;INDEX(Eingabe!$D$9:$D$18,I454)&amp;"."&amp;IF(J454&lt;=K454,J454,IF(J454=K454+1,200,IF(J454=K454+2,201,250)))&amp;".1",""))</f>
        <v/>
      </c>
      <c r="F454" s="0" t="str">
        <f aca="false">IF(I454="","",IF(AND(J454&gt;=1,J454&lt;=K454+3),"10."&amp;INDEX(Eingabe!$D$9:$D$18,I454)&amp;"."&amp;IF(J454&lt;=K454,J454,IF(J454=K454+1,200,IF(J454=K454+2,201,250)))&amp;".10 – 10."&amp;INDEX(Eingabe!$D$9:$D$18,I454)&amp;"."&amp;IF(J454&lt;=K454,J454,IF(J454=K454+1,200,IF(J454=K454+2,201,250)))&amp;".250",""))</f>
        <v/>
      </c>
      <c r="G454" s="0" t="str">
        <f aca="false">IF(I454="","",IF(AND(J454&gt;=1,J454&lt;=K454),Eingabe!$B$6&amp;"-"&amp;INDEX(Eingabe!$C$9:$C$18,I454)&amp;"-Pächter  ·  Passwort Parzelle "&amp;J454,IF(J454=K454+1,Eingabe!$B$6&amp;"-"&amp;INDEX(Eingabe!$C$9:$C$18,I454)&amp;"-Vorstand  ·  eigenes WLAN",IF(J454=K454+2,Eingabe!$B$6&amp;"-"&amp;INDEX(Eingabe!$C$9:$C$18,I454)&amp;"-Gäste  ·  Voucher",IF(J454=K454+3,"Kabel  ·  Access Point y = .(50+y), Mast-Switch x = .(10+x)","")))))</f>
        <v/>
      </c>
      <c r="I454" s="0" t="str">
        <f aca="false">IF(449&lt;=(Eingabe!$P$18+Eingabe!$Q$18-1),MATCH(449,Eingabe!$P$9:$P$18,1),"")</f>
        <v/>
      </c>
      <c r="J454" s="0" t="str">
        <f aca="false">IF(I454="","",449-INDEX(Eingabe!$P$9:$P$18,I454))</f>
        <v/>
      </c>
      <c r="K454" s="0" t="str">
        <f aca="false">IF(I454="","",INDEX(Eingabe!$E$9:$E$18,I454))</f>
        <v/>
      </c>
    </row>
    <row r="455" customFormat="false" ht="15" hidden="false" customHeight="false" outlineLevel="0" collapsed="false">
      <c r="A455" s="0" t="str">
        <f aca="false">IF(I455="","",IF(J455=0,"Sparte "&amp;I455&amp;": "&amp;INDEX(Eingabe!$B$9:$B$18,I455)&amp;"  (Sparten-ID "&amp;INDEX(Eingabe!$D$9:$D$18,I455)&amp;", "&amp;K455&amp;" Parzellen)",IF(J455&lt;=K455,"   Parzelle "&amp;J455,IF(J455=K455+1,"   Vorstand",IF(J455=K455+2,"   Gäste",IF(J455=K455+3,"   Technik (Switches, Access Points)",""))))))</f>
        <v/>
      </c>
      <c r="B455" s="0" t="str">
        <f aca="false">IF(I455="","",IF(AND(J455&gt;=1,J455&lt;=K455+3),IF(J455&lt;=K455,IF(J455&lt;=99,IF((INDEX(Eingabe!$G$9:$G$18,I455))&lt;=9,1000+(INDEX(Eingabe!$G$9:$G$18,I455))*100,3000)+J455,IF((INDEX(Eingabe!$G$9:$G$18,I455)+1)&lt;=9,1000+(INDEX(Eingabe!$G$9:$G$18,I455)+1)*100,3000)+J455-100),IF(J455=K455+1,2000+INDEX(Eingabe!$G$9:$G$18,I455)*10+1,IF(J455=K455+2,2000+INDEX(Eingabe!$G$9:$G$18,I455)*10+2,2000+INDEX(Eingabe!$G$9:$G$18,I455)*10+9))),""))</f>
        <v/>
      </c>
      <c r="C455" s="0" t="str">
        <f aca="false">IF(I455="","",IF(AND(J455&gt;=1,J455&lt;=K455+3),"10."&amp;INDEX(Eingabe!$D$9:$D$18,I455)&amp;"."&amp;IF(J455&lt;=K455,J455,IF(J455=K455+1,200,IF(J455=K455+2,201,250)))&amp;".0/24",""))</f>
        <v/>
      </c>
      <c r="D455" s="0" t="str">
        <f aca="false">IF(I455="","",IF(AND(J455&gt;=1,J455&lt;=K455+3),"255.255.255.0",""))</f>
        <v/>
      </c>
      <c r="E455" s="0" t="str">
        <f aca="false">IF(I455="","",IF(AND(J455&gt;=1,J455&lt;=K455+3),"10."&amp;INDEX(Eingabe!$D$9:$D$18,I455)&amp;"."&amp;IF(J455&lt;=K455,J455,IF(J455=K455+1,200,IF(J455=K455+2,201,250)))&amp;".1",""))</f>
        <v/>
      </c>
      <c r="F455" s="0" t="str">
        <f aca="false">IF(I455="","",IF(AND(J455&gt;=1,J455&lt;=K455+3),"10."&amp;INDEX(Eingabe!$D$9:$D$18,I455)&amp;"."&amp;IF(J455&lt;=K455,J455,IF(J455=K455+1,200,IF(J455=K455+2,201,250)))&amp;".10 – 10."&amp;INDEX(Eingabe!$D$9:$D$18,I455)&amp;"."&amp;IF(J455&lt;=K455,J455,IF(J455=K455+1,200,IF(J455=K455+2,201,250)))&amp;".250",""))</f>
        <v/>
      </c>
      <c r="G455" s="0" t="str">
        <f aca="false">IF(I455="","",IF(AND(J455&gt;=1,J455&lt;=K455),Eingabe!$B$6&amp;"-"&amp;INDEX(Eingabe!$C$9:$C$18,I455)&amp;"-Pächter  ·  Passwort Parzelle "&amp;J455,IF(J455=K455+1,Eingabe!$B$6&amp;"-"&amp;INDEX(Eingabe!$C$9:$C$18,I455)&amp;"-Vorstand  ·  eigenes WLAN",IF(J455=K455+2,Eingabe!$B$6&amp;"-"&amp;INDEX(Eingabe!$C$9:$C$18,I455)&amp;"-Gäste  ·  Voucher",IF(J455=K455+3,"Kabel  ·  Access Point y = .(50+y), Mast-Switch x = .(10+x)","")))))</f>
        <v/>
      </c>
      <c r="I455" s="0" t="str">
        <f aca="false">IF(450&lt;=(Eingabe!$P$18+Eingabe!$Q$18-1),MATCH(450,Eingabe!$P$9:$P$18,1),"")</f>
        <v/>
      </c>
      <c r="J455" s="0" t="str">
        <f aca="false">IF(I455="","",450-INDEX(Eingabe!$P$9:$P$18,I455))</f>
        <v/>
      </c>
      <c r="K455" s="0" t="str">
        <f aca="false">IF(I455="","",INDEX(Eingabe!$E$9:$E$18,I455))</f>
        <v/>
      </c>
    </row>
    <row r="456" customFormat="false" ht="15" hidden="false" customHeight="false" outlineLevel="0" collapsed="false">
      <c r="A456" s="0" t="str">
        <f aca="false">IF(I456="","",IF(J456=0,"Sparte "&amp;I456&amp;": "&amp;INDEX(Eingabe!$B$9:$B$18,I456)&amp;"  (Sparten-ID "&amp;INDEX(Eingabe!$D$9:$D$18,I456)&amp;", "&amp;K456&amp;" Parzellen)",IF(J456&lt;=K456,"   Parzelle "&amp;J456,IF(J456=K456+1,"   Vorstand",IF(J456=K456+2,"   Gäste",IF(J456=K456+3,"   Technik (Switches, Access Points)",""))))))</f>
        <v/>
      </c>
      <c r="B456" s="0" t="str">
        <f aca="false">IF(I456="","",IF(AND(J456&gt;=1,J456&lt;=K456+3),IF(J456&lt;=K456,IF(J456&lt;=99,IF((INDEX(Eingabe!$G$9:$G$18,I456))&lt;=9,1000+(INDEX(Eingabe!$G$9:$G$18,I456))*100,3000)+J456,IF((INDEX(Eingabe!$G$9:$G$18,I456)+1)&lt;=9,1000+(INDEX(Eingabe!$G$9:$G$18,I456)+1)*100,3000)+J456-100),IF(J456=K456+1,2000+INDEX(Eingabe!$G$9:$G$18,I456)*10+1,IF(J456=K456+2,2000+INDEX(Eingabe!$G$9:$G$18,I456)*10+2,2000+INDEX(Eingabe!$G$9:$G$18,I456)*10+9))),""))</f>
        <v/>
      </c>
      <c r="C456" s="0" t="str">
        <f aca="false">IF(I456="","",IF(AND(J456&gt;=1,J456&lt;=K456+3),"10."&amp;INDEX(Eingabe!$D$9:$D$18,I456)&amp;"."&amp;IF(J456&lt;=K456,J456,IF(J456=K456+1,200,IF(J456=K456+2,201,250)))&amp;".0/24",""))</f>
        <v/>
      </c>
      <c r="D456" s="0" t="str">
        <f aca="false">IF(I456="","",IF(AND(J456&gt;=1,J456&lt;=K456+3),"255.255.255.0",""))</f>
        <v/>
      </c>
      <c r="E456" s="0" t="str">
        <f aca="false">IF(I456="","",IF(AND(J456&gt;=1,J456&lt;=K456+3),"10."&amp;INDEX(Eingabe!$D$9:$D$18,I456)&amp;"."&amp;IF(J456&lt;=K456,J456,IF(J456=K456+1,200,IF(J456=K456+2,201,250)))&amp;".1",""))</f>
        <v/>
      </c>
      <c r="F456" s="0" t="str">
        <f aca="false">IF(I456="","",IF(AND(J456&gt;=1,J456&lt;=K456+3),"10."&amp;INDEX(Eingabe!$D$9:$D$18,I456)&amp;"."&amp;IF(J456&lt;=K456,J456,IF(J456=K456+1,200,IF(J456=K456+2,201,250)))&amp;".10 – 10."&amp;INDEX(Eingabe!$D$9:$D$18,I456)&amp;"."&amp;IF(J456&lt;=K456,J456,IF(J456=K456+1,200,IF(J456=K456+2,201,250)))&amp;".250",""))</f>
        <v/>
      </c>
      <c r="G456" s="0" t="str">
        <f aca="false">IF(I456="","",IF(AND(J456&gt;=1,J456&lt;=K456),Eingabe!$B$6&amp;"-"&amp;INDEX(Eingabe!$C$9:$C$18,I456)&amp;"-Pächter  ·  Passwort Parzelle "&amp;J456,IF(J456=K456+1,Eingabe!$B$6&amp;"-"&amp;INDEX(Eingabe!$C$9:$C$18,I456)&amp;"-Vorstand  ·  eigenes WLAN",IF(J456=K456+2,Eingabe!$B$6&amp;"-"&amp;INDEX(Eingabe!$C$9:$C$18,I456)&amp;"-Gäste  ·  Voucher",IF(J456=K456+3,"Kabel  ·  Access Point y = .(50+y), Mast-Switch x = .(10+x)","")))))</f>
        <v/>
      </c>
      <c r="I456" s="0" t="str">
        <f aca="false">IF(451&lt;=(Eingabe!$P$18+Eingabe!$Q$18-1),MATCH(451,Eingabe!$P$9:$P$18,1),"")</f>
        <v/>
      </c>
      <c r="J456" s="0" t="str">
        <f aca="false">IF(I456="","",451-INDEX(Eingabe!$P$9:$P$18,I456))</f>
        <v/>
      </c>
      <c r="K456" s="0" t="str">
        <f aca="false">IF(I456="","",INDEX(Eingabe!$E$9:$E$18,I456))</f>
        <v/>
      </c>
    </row>
    <row r="457" customFormat="false" ht="15" hidden="false" customHeight="false" outlineLevel="0" collapsed="false">
      <c r="A457" s="0" t="str">
        <f aca="false">IF(I457="","",IF(J457=0,"Sparte "&amp;I457&amp;": "&amp;INDEX(Eingabe!$B$9:$B$18,I457)&amp;"  (Sparten-ID "&amp;INDEX(Eingabe!$D$9:$D$18,I457)&amp;", "&amp;K457&amp;" Parzellen)",IF(J457&lt;=K457,"   Parzelle "&amp;J457,IF(J457=K457+1,"   Vorstand",IF(J457=K457+2,"   Gäste",IF(J457=K457+3,"   Technik (Switches, Access Points)",""))))))</f>
        <v/>
      </c>
      <c r="B457" s="0" t="str">
        <f aca="false">IF(I457="","",IF(AND(J457&gt;=1,J457&lt;=K457+3),IF(J457&lt;=K457,IF(J457&lt;=99,IF((INDEX(Eingabe!$G$9:$G$18,I457))&lt;=9,1000+(INDEX(Eingabe!$G$9:$G$18,I457))*100,3000)+J457,IF((INDEX(Eingabe!$G$9:$G$18,I457)+1)&lt;=9,1000+(INDEX(Eingabe!$G$9:$G$18,I457)+1)*100,3000)+J457-100),IF(J457=K457+1,2000+INDEX(Eingabe!$G$9:$G$18,I457)*10+1,IF(J457=K457+2,2000+INDEX(Eingabe!$G$9:$G$18,I457)*10+2,2000+INDEX(Eingabe!$G$9:$G$18,I457)*10+9))),""))</f>
        <v/>
      </c>
      <c r="C457" s="0" t="str">
        <f aca="false">IF(I457="","",IF(AND(J457&gt;=1,J457&lt;=K457+3),"10."&amp;INDEX(Eingabe!$D$9:$D$18,I457)&amp;"."&amp;IF(J457&lt;=K457,J457,IF(J457=K457+1,200,IF(J457=K457+2,201,250)))&amp;".0/24",""))</f>
        <v/>
      </c>
      <c r="D457" s="0" t="str">
        <f aca="false">IF(I457="","",IF(AND(J457&gt;=1,J457&lt;=K457+3),"255.255.255.0",""))</f>
        <v/>
      </c>
      <c r="E457" s="0" t="str">
        <f aca="false">IF(I457="","",IF(AND(J457&gt;=1,J457&lt;=K457+3),"10."&amp;INDEX(Eingabe!$D$9:$D$18,I457)&amp;"."&amp;IF(J457&lt;=K457,J457,IF(J457=K457+1,200,IF(J457=K457+2,201,250)))&amp;".1",""))</f>
        <v/>
      </c>
      <c r="F457" s="0" t="str">
        <f aca="false">IF(I457="","",IF(AND(J457&gt;=1,J457&lt;=K457+3),"10."&amp;INDEX(Eingabe!$D$9:$D$18,I457)&amp;"."&amp;IF(J457&lt;=K457,J457,IF(J457=K457+1,200,IF(J457=K457+2,201,250)))&amp;".10 – 10."&amp;INDEX(Eingabe!$D$9:$D$18,I457)&amp;"."&amp;IF(J457&lt;=K457,J457,IF(J457=K457+1,200,IF(J457=K457+2,201,250)))&amp;".250",""))</f>
        <v/>
      </c>
      <c r="G457" s="0" t="str">
        <f aca="false">IF(I457="","",IF(AND(J457&gt;=1,J457&lt;=K457),Eingabe!$B$6&amp;"-"&amp;INDEX(Eingabe!$C$9:$C$18,I457)&amp;"-Pächter  ·  Passwort Parzelle "&amp;J457,IF(J457=K457+1,Eingabe!$B$6&amp;"-"&amp;INDEX(Eingabe!$C$9:$C$18,I457)&amp;"-Vorstand  ·  eigenes WLAN",IF(J457=K457+2,Eingabe!$B$6&amp;"-"&amp;INDEX(Eingabe!$C$9:$C$18,I457)&amp;"-Gäste  ·  Voucher",IF(J457=K457+3,"Kabel  ·  Access Point y = .(50+y), Mast-Switch x = .(10+x)","")))))</f>
        <v/>
      </c>
      <c r="I457" s="0" t="str">
        <f aca="false">IF(452&lt;=(Eingabe!$P$18+Eingabe!$Q$18-1),MATCH(452,Eingabe!$P$9:$P$18,1),"")</f>
        <v/>
      </c>
      <c r="J457" s="0" t="str">
        <f aca="false">IF(I457="","",452-INDEX(Eingabe!$P$9:$P$18,I457))</f>
        <v/>
      </c>
      <c r="K457" s="0" t="str">
        <f aca="false">IF(I457="","",INDEX(Eingabe!$E$9:$E$18,I457))</f>
        <v/>
      </c>
    </row>
    <row r="458" customFormat="false" ht="15" hidden="false" customHeight="false" outlineLevel="0" collapsed="false">
      <c r="A458" s="0" t="str">
        <f aca="false">IF(I458="","",IF(J458=0,"Sparte "&amp;I458&amp;": "&amp;INDEX(Eingabe!$B$9:$B$18,I458)&amp;"  (Sparten-ID "&amp;INDEX(Eingabe!$D$9:$D$18,I458)&amp;", "&amp;K458&amp;" Parzellen)",IF(J458&lt;=K458,"   Parzelle "&amp;J458,IF(J458=K458+1,"   Vorstand",IF(J458=K458+2,"   Gäste",IF(J458=K458+3,"   Technik (Switches, Access Points)",""))))))</f>
        <v/>
      </c>
      <c r="B458" s="0" t="str">
        <f aca="false">IF(I458="","",IF(AND(J458&gt;=1,J458&lt;=K458+3),IF(J458&lt;=K458,IF(J458&lt;=99,IF((INDEX(Eingabe!$G$9:$G$18,I458))&lt;=9,1000+(INDEX(Eingabe!$G$9:$G$18,I458))*100,3000)+J458,IF((INDEX(Eingabe!$G$9:$G$18,I458)+1)&lt;=9,1000+(INDEX(Eingabe!$G$9:$G$18,I458)+1)*100,3000)+J458-100),IF(J458=K458+1,2000+INDEX(Eingabe!$G$9:$G$18,I458)*10+1,IF(J458=K458+2,2000+INDEX(Eingabe!$G$9:$G$18,I458)*10+2,2000+INDEX(Eingabe!$G$9:$G$18,I458)*10+9))),""))</f>
        <v/>
      </c>
      <c r="C458" s="0" t="str">
        <f aca="false">IF(I458="","",IF(AND(J458&gt;=1,J458&lt;=K458+3),"10."&amp;INDEX(Eingabe!$D$9:$D$18,I458)&amp;"."&amp;IF(J458&lt;=K458,J458,IF(J458=K458+1,200,IF(J458=K458+2,201,250)))&amp;".0/24",""))</f>
        <v/>
      </c>
      <c r="D458" s="0" t="str">
        <f aca="false">IF(I458="","",IF(AND(J458&gt;=1,J458&lt;=K458+3),"255.255.255.0",""))</f>
        <v/>
      </c>
      <c r="E458" s="0" t="str">
        <f aca="false">IF(I458="","",IF(AND(J458&gt;=1,J458&lt;=K458+3),"10."&amp;INDEX(Eingabe!$D$9:$D$18,I458)&amp;"."&amp;IF(J458&lt;=K458,J458,IF(J458=K458+1,200,IF(J458=K458+2,201,250)))&amp;".1",""))</f>
        <v/>
      </c>
      <c r="F458" s="0" t="str">
        <f aca="false">IF(I458="","",IF(AND(J458&gt;=1,J458&lt;=K458+3),"10."&amp;INDEX(Eingabe!$D$9:$D$18,I458)&amp;"."&amp;IF(J458&lt;=K458,J458,IF(J458=K458+1,200,IF(J458=K458+2,201,250)))&amp;".10 – 10."&amp;INDEX(Eingabe!$D$9:$D$18,I458)&amp;"."&amp;IF(J458&lt;=K458,J458,IF(J458=K458+1,200,IF(J458=K458+2,201,250)))&amp;".250",""))</f>
        <v/>
      </c>
      <c r="G458" s="0" t="str">
        <f aca="false">IF(I458="","",IF(AND(J458&gt;=1,J458&lt;=K458),Eingabe!$B$6&amp;"-"&amp;INDEX(Eingabe!$C$9:$C$18,I458)&amp;"-Pächter  ·  Passwort Parzelle "&amp;J458,IF(J458=K458+1,Eingabe!$B$6&amp;"-"&amp;INDEX(Eingabe!$C$9:$C$18,I458)&amp;"-Vorstand  ·  eigenes WLAN",IF(J458=K458+2,Eingabe!$B$6&amp;"-"&amp;INDEX(Eingabe!$C$9:$C$18,I458)&amp;"-Gäste  ·  Voucher",IF(J458=K458+3,"Kabel  ·  Access Point y = .(50+y), Mast-Switch x = .(10+x)","")))))</f>
        <v/>
      </c>
      <c r="I458" s="0" t="str">
        <f aca="false">IF(453&lt;=(Eingabe!$P$18+Eingabe!$Q$18-1),MATCH(453,Eingabe!$P$9:$P$18,1),"")</f>
        <v/>
      </c>
      <c r="J458" s="0" t="str">
        <f aca="false">IF(I458="","",453-INDEX(Eingabe!$P$9:$P$18,I458))</f>
        <v/>
      </c>
      <c r="K458" s="0" t="str">
        <f aca="false">IF(I458="","",INDEX(Eingabe!$E$9:$E$18,I458))</f>
        <v/>
      </c>
    </row>
    <row r="459" customFormat="false" ht="15" hidden="false" customHeight="false" outlineLevel="0" collapsed="false">
      <c r="A459" s="0" t="str">
        <f aca="false">IF(I459="","",IF(J459=0,"Sparte "&amp;I459&amp;": "&amp;INDEX(Eingabe!$B$9:$B$18,I459)&amp;"  (Sparten-ID "&amp;INDEX(Eingabe!$D$9:$D$18,I459)&amp;", "&amp;K459&amp;" Parzellen)",IF(J459&lt;=K459,"   Parzelle "&amp;J459,IF(J459=K459+1,"   Vorstand",IF(J459=K459+2,"   Gäste",IF(J459=K459+3,"   Technik (Switches, Access Points)",""))))))</f>
        <v/>
      </c>
      <c r="B459" s="0" t="str">
        <f aca="false">IF(I459="","",IF(AND(J459&gt;=1,J459&lt;=K459+3),IF(J459&lt;=K459,IF(J459&lt;=99,IF((INDEX(Eingabe!$G$9:$G$18,I459))&lt;=9,1000+(INDEX(Eingabe!$G$9:$G$18,I459))*100,3000)+J459,IF((INDEX(Eingabe!$G$9:$G$18,I459)+1)&lt;=9,1000+(INDEX(Eingabe!$G$9:$G$18,I459)+1)*100,3000)+J459-100),IF(J459=K459+1,2000+INDEX(Eingabe!$G$9:$G$18,I459)*10+1,IF(J459=K459+2,2000+INDEX(Eingabe!$G$9:$G$18,I459)*10+2,2000+INDEX(Eingabe!$G$9:$G$18,I459)*10+9))),""))</f>
        <v/>
      </c>
      <c r="C459" s="0" t="str">
        <f aca="false">IF(I459="","",IF(AND(J459&gt;=1,J459&lt;=K459+3),"10."&amp;INDEX(Eingabe!$D$9:$D$18,I459)&amp;"."&amp;IF(J459&lt;=K459,J459,IF(J459=K459+1,200,IF(J459=K459+2,201,250)))&amp;".0/24",""))</f>
        <v/>
      </c>
      <c r="D459" s="0" t="str">
        <f aca="false">IF(I459="","",IF(AND(J459&gt;=1,J459&lt;=K459+3),"255.255.255.0",""))</f>
        <v/>
      </c>
      <c r="E459" s="0" t="str">
        <f aca="false">IF(I459="","",IF(AND(J459&gt;=1,J459&lt;=K459+3),"10."&amp;INDEX(Eingabe!$D$9:$D$18,I459)&amp;"."&amp;IF(J459&lt;=K459,J459,IF(J459=K459+1,200,IF(J459=K459+2,201,250)))&amp;".1",""))</f>
        <v/>
      </c>
      <c r="F459" s="0" t="str">
        <f aca="false">IF(I459="","",IF(AND(J459&gt;=1,J459&lt;=K459+3),"10."&amp;INDEX(Eingabe!$D$9:$D$18,I459)&amp;"."&amp;IF(J459&lt;=K459,J459,IF(J459=K459+1,200,IF(J459=K459+2,201,250)))&amp;".10 – 10."&amp;INDEX(Eingabe!$D$9:$D$18,I459)&amp;"."&amp;IF(J459&lt;=K459,J459,IF(J459=K459+1,200,IF(J459=K459+2,201,250)))&amp;".250",""))</f>
        <v/>
      </c>
      <c r="G459" s="0" t="str">
        <f aca="false">IF(I459="","",IF(AND(J459&gt;=1,J459&lt;=K459),Eingabe!$B$6&amp;"-"&amp;INDEX(Eingabe!$C$9:$C$18,I459)&amp;"-Pächter  ·  Passwort Parzelle "&amp;J459,IF(J459=K459+1,Eingabe!$B$6&amp;"-"&amp;INDEX(Eingabe!$C$9:$C$18,I459)&amp;"-Vorstand  ·  eigenes WLAN",IF(J459=K459+2,Eingabe!$B$6&amp;"-"&amp;INDEX(Eingabe!$C$9:$C$18,I459)&amp;"-Gäste  ·  Voucher",IF(J459=K459+3,"Kabel  ·  Access Point y = .(50+y), Mast-Switch x = .(10+x)","")))))</f>
        <v/>
      </c>
      <c r="I459" s="0" t="str">
        <f aca="false">IF(454&lt;=(Eingabe!$P$18+Eingabe!$Q$18-1),MATCH(454,Eingabe!$P$9:$P$18,1),"")</f>
        <v/>
      </c>
      <c r="J459" s="0" t="str">
        <f aca="false">IF(I459="","",454-INDEX(Eingabe!$P$9:$P$18,I459))</f>
        <v/>
      </c>
      <c r="K459" s="0" t="str">
        <f aca="false">IF(I459="","",INDEX(Eingabe!$E$9:$E$18,I459))</f>
        <v/>
      </c>
    </row>
    <row r="460" customFormat="false" ht="15" hidden="false" customHeight="false" outlineLevel="0" collapsed="false">
      <c r="A460" s="0" t="str">
        <f aca="false">IF(I460="","",IF(J460=0,"Sparte "&amp;I460&amp;": "&amp;INDEX(Eingabe!$B$9:$B$18,I460)&amp;"  (Sparten-ID "&amp;INDEX(Eingabe!$D$9:$D$18,I460)&amp;", "&amp;K460&amp;" Parzellen)",IF(J460&lt;=K460,"   Parzelle "&amp;J460,IF(J460=K460+1,"   Vorstand",IF(J460=K460+2,"   Gäste",IF(J460=K460+3,"   Technik (Switches, Access Points)",""))))))</f>
        <v/>
      </c>
      <c r="B460" s="0" t="str">
        <f aca="false">IF(I460="","",IF(AND(J460&gt;=1,J460&lt;=K460+3),IF(J460&lt;=K460,IF(J460&lt;=99,IF((INDEX(Eingabe!$G$9:$G$18,I460))&lt;=9,1000+(INDEX(Eingabe!$G$9:$G$18,I460))*100,3000)+J460,IF((INDEX(Eingabe!$G$9:$G$18,I460)+1)&lt;=9,1000+(INDEX(Eingabe!$G$9:$G$18,I460)+1)*100,3000)+J460-100),IF(J460=K460+1,2000+INDEX(Eingabe!$G$9:$G$18,I460)*10+1,IF(J460=K460+2,2000+INDEX(Eingabe!$G$9:$G$18,I460)*10+2,2000+INDEX(Eingabe!$G$9:$G$18,I460)*10+9))),""))</f>
        <v/>
      </c>
      <c r="C460" s="0" t="str">
        <f aca="false">IF(I460="","",IF(AND(J460&gt;=1,J460&lt;=K460+3),"10."&amp;INDEX(Eingabe!$D$9:$D$18,I460)&amp;"."&amp;IF(J460&lt;=K460,J460,IF(J460=K460+1,200,IF(J460=K460+2,201,250)))&amp;".0/24",""))</f>
        <v/>
      </c>
      <c r="D460" s="0" t="str">
        <f aca="false">IF(I460="","",IF(AND(J460&gt;=1,J460&lt;=K460+3),"255.255.255.0",""))</f>
        <v/>
      </c>
      <c r="E460" s="0" t="str">
        <f aca="false">IF(I460="","",IF(AND(J460&gt;=1,J460&lt;=K460+3),"10."&amp;INDEX(Eingabe!$D$9:$D$18,I460)&amp;"."&amp;IF(J460&lt;=K460,J460,IF(J460=K460+1,200,IF(J460=K460+2,201,250)))&amp;".1",""))</f>
        <v/>
      </c>
      <c r="F460" s="0" t="str">
        <f aca="false">IF(I460="","",IF(AND(J460&gt;=1,J460&lt;=K460+3),"10."&amp;INDEX(Eingabe!$D$9:$D$18,I460)&amp;"."&amp;IF(J460&lt;=K460,J460,IF(J460=K460+1,200,IF(J460=K460+2,201,250)))&amp;".10 – 10."&amp;INDEX(Eingabe!$D$9:$D$18,I460)&amp;"."&amp;IF(J460&lt;=K460,J460,IF(J460=K460+1,200,IF(J460=K460+2,201,250)))&amp;".250",""))</f>
        <v/>
      </c>
      <c r="G460" s="0" t="str">
        <f aca="false">IF(I460="","",IF(AND(J460&gt;=1,J460&lt;=K460),Eingabe!$B$6&amp;"-"&amp;INDEX(Eingabe!$C$9:$C$18,I460)&amp;"-Pächter  ·  Passwort Parzelle "&amp;J460,IF(J460=K460+1,Eingabe!$B$6&amp;"-"&amp;INDEX(Eingabe!$C$9:$C$18,I460)&amp;"-Vorstand  ·  eigenes WLAN",IF(J460=K460+2,Eingabe!$B$6&amp;"-"&amp;INDEX(Eingabe!$C$9:$C$18,I460)&amp;"-Gäste  ·  Voucher",IF(J460=K460+3,"Kabel  ·  Access Point y = .(50+y), Mast-Switch x = .(10+x)","")))))</f>
        <v/>
      </c>
      <c r="I460" s="0" t="str">
        <f aca="false">IF(455&lt;=(Eingabe!$P$18+Eingabe!$Q$18-1),MATCH(455,Eingabe!$P$9:$P$18,1),"")</f>
        <v/>
      </c>
      <c r="J460" s="0" t="str">
        <f aca="false">IF(I460="","",455-INDEX(Eingabe!$P$9:$P$18,I460))</f>
        <v/>
      </c>
      <c r="K460" s="0" t="str">
        <f aca="false">IF(I460="","",INDEX(Eingabe!$E$9:$E$18,I460))</f>
        <v/>
      </c>
    </row>
    <row r="461" customFormat="false" ht="15" hidden="false" customHeight="false" outlineLevel="0" collapsed="false">
      <c r="A461" s="0" t="str">
        <f aca="false">IF(I461="","",IF(J461=0,"Sparte "&amp;I461&amp;": "&amp;INDEX(Eingabe!$B$9:$B$18,I461)&amp;"  (Sparten-ID "&amp;INDEX(Eingabe!$D$9:$D$18,I461)&amp;", "&amp;K461&amp;" Parzellen)",IF(J461&lt;=K461,"   Parzelle "&amp;J461,IF(J461=K461+1,"   Vorstand",IF(J461=K461+2,"   Gäste",IF(J461=K461+3,"   Technik (Switches, Access Points)",""))))))</f>
        <v/>
      </c>
      <c r="B461" s="0" t="str">
        <f aca="false">IF(I461="","",IF(AND(J461&gt;=1,J461&lt;=K461+3),IF(J461&lt;=K461,IF(J461&lt;=99,IF((INDEX(Eingabe!$G$9:$G$18,I461))&lt;=9,1000+(INDEX(Eingabe!$G$9:$G$18,I461))*100,3000)+J461,IF((INDEX(Eingabe!$G$9:$G$18,I461)+1)&lt;=9,1000+(INDEX(Eingabe!$G$9:$G$18,I461)+1)*100,3000)+J461-100),IF(J461=K461+1,2000+INDEX(Eingabe!$G$9:$G$18,I461)*10+1,IF(J461=K461+2,2000+INDEX(Eingabe!$G$9:$G$18,I461)*10+2,2000+INDEX(Eingabe!$G$9:$G$18,I461)*10+9))),""))</f>
        <v/>
      </c>
      <c r="C461" s="0" t="str">
        <f aca="false">IF(I461="","",IF(AND(J461&gt;=1,J461&lt;=K461+3),"10."&amp;INDEX(Eingabe!$D$9:$D$18,I461)&amp;"."&amp;IF(J461&lt;=K461,J461,IF(J461=K461+1,200,IF(J461=K461+2,201,250)))&amp;".0/24",""))</f>
        <v/>
      </c>
      <c r="D461" s="0" t="str">
        <f aca="false">IF(I461="","",IF(AND(J461&gt;=1,J461&lt;=K461+3),"255.255.255.0",""))</f>
        <v/>
      </c>
      <c r="E461" s="0" t="str">
        <f aca="false">IF(I461="","",IF(AND(J461&gt;=1,J461&lt;=K461+3),"10."&amp;INDEX(Eingabe!$D$9:$D$18,I461)&amp;"."&amp;IF(J461&lt;=K461,J461,IF(J461=K461+1,200,IF(J461=K461+2,201,250)))&amp;".1",""))</f>
        <v/>
      </c>
      <c r="F461" s="0" t="str">
        <f aca="false">IF(I461="","",IF(AND(J461&gt;=1,J461&lt;=K461+3),"10."&amp;INDEX(Eingabe!$D$9:$D$18,I461)&amp;"."&amp;IF(J461&lt;=K461,J461,IF(J461=K461+1,200,IF(J461=K461+2,201,250)))&amp;".10 – 10."&amp;INDEX(Eingabe!$D$9:$D$18,I461)&amp;"."&amp;IF(J461&lt;=K461,J461,IF(J461=K461+1,200,IF(J461=K461+2,201,250)))&amp;".250",""))</f>
        <v/>
      </c>
      <c r="G461" s="0" t="str">
        <f aca="false">IF(I461="","",IF(AND(J461&gt;=1,J461&lt;=K461),Eingabe!$B$6&amp;"-"&amp;INDEX(Eingabe!$C$9:$C$18,I461)&amp;"-Pächter  ·  Passwort Parzelle "&amp;J461,IF(J461=K461+1,Eingabe!$B$6&amp;"-"&amp;INDEX(Eingabe!$C$9:$C$18,I461)&amp;"-Vorstand  ·  eigenes WLAN",IF(J461=K461+2,Eingabe!$B$6&amp;"-"&amp;INDEX(Eingabe!$C$9:$C$18,I461)&amp;"-Gäste  ·  Voucher",IF(J461=K461+3,"Kabel  ·  Access Point y = .(50+y), Mast-Switch x = .(10+x)","")))))</f>
        <v/>
      </c>
      <c r="I461" s="0" t="str">
        <f aca="false">IF(456&lt;=(Eingabe!$P$18+Eingabe!$Q$18-1),MATCH(456,Eingabe!$P$9:$P$18,1),"")</f>
        <v/>
      </c>
      <c r="J461" s="0" t="str">
        <f aca="false">IF(I461="","",456-INDEX(Eingabe!$P$9:$P$18,I461))</f>
        <v/>
      </c>
      <c r="K461" s="0" t="str">
        <f aca="false">IF(I461="","",INDEX(Eingabe!$E$9:$E$18,I461))</f>
        <v/>
      </c>
    </row>
    <row r="462" customFormat="false" ht="15" hidden="false" customHeight="false" outlineLevel="0" collapsed="false">
      <c r="A462" s="0" t="str">
        <f aca="false">IF(I462="","",IF(J462=0,"Sparte "&amp;I462&amp;": "&amp;INDEX(Eingabe!$B$9:$B$18,I462)&amp;"  (Sparten-ID "&amp;INDEX(Eingabe!$D$9:$D$18,I462)&amp;", "&amp;K462&amp;" Parzellen)",IF(J462&lt;=K462,"   Parzelle "&amp;J462,IF(J462=K462+1,"   Vorstand",IF(J462=K462+2,"   Gäste",IF(J462=K462+3,"   Technik (Switches, Access Points)",""))))))</f>
        <v/>
      </c>
      <c r="B462" s="0" t="str">
        <f aca="false">IF(I462="","",IF(AND(J462&gt;=1,J462&lt;=K462+3),IF(J462&lt;=K462,IF(J462&lt;=99,IF((INDEX(Eingabe!$G$9:$G$18,I462))&lt;=9,1000+(INDEX(Eingabe!$G$9:$G$18,I462))*100,3000)+J462,IF((INDEX(Eingabe!$G$9:$G$18,I462)+1)&lt;=9,1000+(INDEX(Eingabe!$G$9:$G$18,I462)+1)*100,3000)+J462-100),IF(J462=K462+1,2000+INDEX(Eingabe!$G$9:$G$18,I462)*10+1,IF(J462=K462+2,2000+INDEX(Eingabe!$G$9:$G$18,I462)*10+2,2000+INDEX(Eingabe!$G$9:$G$18,I462)*10+9))),""))</f>
        <v/>
      </c>
      <c r="C462" s="0" t="str">
        <f aca="false">IF(I462="","",IF(AND(J462&gt;=1,J462&lt;=K462+3),"10."&amp;INDEX(Eingabe!$D$9:$D$18,I462)&amp;"."&amp;IF(J462&lt;=K462,J462,IF(J462=K462+1,200,IF(J462=K462+2,201,250)))&amp;".0/24",""))</f>
        <v/>
      </c>
      <c r="D462" s="0" t="str">
        <f aca="false">IF(I462="","",IF(AND(J462&gt;=1,J462&lt;=K462+3),"255.255.255.0",""))</f>
        <v/>
      </c>
      <c r="E462" s="0" t="str">
        <f aca="false">IF(I462="","",IF(AND(J462&gt;=1,J462&lt;=K462+3),"10."&amp;INDEX(Eingabe!$D$9:$D$18,I462)&amp;"."&amp;IF(J462&lt;=K462,J462,IF(J462=K462+1,200,IF(J462=K462+2,201,250)))&amp;".1",""))</f>
        <v/>
      </c>
      <c r="F462" s="0" t="str">
        <f aca="false">IF(I462="","",IF(AND(J462&gt;=1,J462&lt;=K462+3),"10."&amp;INDEX(Eingabe!$D$9:$D$18,I462)&amp;"."&amp;IF(J462&lt;=K462,J462,IF(J462=K462+1,200,IF(J462=K462+2,201,250)))&amp;".10 – 10."&amp;INDEX(Eingabe!$D$9:$D$18,I462)&amp;"."&amp;IF(J462&lt;=K462,J462,IF(J462=K462+1,200,IF(J462=K462+2,201,250)))&amp;".250",""))</f>
        <v/>
      </c>
      <c r="G462" s="0" t="str">
        <f aca="false">IF(I462="","",IF(AND(J462&gt;=1,J462&lt;=K462),Eingabe!$B$6&amp;"-"&amp;INDEX(Eingabe!$C$9:$C$18,I462)&amp;"-Pächter  ·  Passwort Parzelle "&amp;J462,IF(J462=K462+1,Eingabe!$B$6&amp;"-"&amp;INDEX(Eingabe!$C$9:$C$18,I462)&amp;"-Vorstand  ·  eigenes WLAN",IF(J462=K462+2,Eingabe!$B$6&amp;"-"&amp;INDEX(Eingabe!$C$9:$C$18,I462)&amp;"-Gäste  ·  Voucher",IF(J462=K462+3,"Kabel  ·  Access Point y = .(50+y), Mast-Switch x = .(10+x)","")))))</f>
        <v/>
      </c>
      <c r="I462" s="0" t="str">
        <f aca="false">IF(457&lt;=(Eingabe!$P$18+Eingabe!$Q$18-1),MATCH(457,Eingabe!$P$9:$P$18,1),"")</f>
        <v/>
      </c>
      <c r="J462" s="0" t="str">
        <f aca="false">IF(I462="","",457-INDEX(Eingabe!$P$9:$P$18,I462))</f>
        <v/>
      </c>
      <c r="K462" s="0" t="str">
        <f aca="false">IF(I462="","",INDEX(Eingabe!$E$9:$E$18,I462))</f>
        <v/>
      </c>
    </row>
    <row r="463" customFormat="false" ht="15" hidden="false" customHeight="false" outlineLevel="0" collapsed="false">
      <c r="A463" s="0" t="str">
        <f aca="false">IF(I463="","",IF(J463=0,"Sparte "&amp;I463&amp;": "&amp;INDEX(Eingabe!$B$9:$B$18,I463)&amp;"  (Sparten-ID "&amp;INDEX(Eingabe!$D$9:$D$18,I463)&amp;", "&amp;K463&amp;" Parzellen)",IF(J463&lt;=K463,"   Parzelle "&amp;J463,IF(J463=K463+1,"   Vorstand",IF(J463=K463+2,"   Gäste",IF(J463=K463+3,"   Technik (Switches, Access Points)",""))))))</f>
        <v/>
      </c>
      <c r="B463" s="0" t="str">
        <f aca="false">IF(I463="","",IF(AND(J463&gt;=1,J463&lt;=K463+3),IF(J463&lt;=K463,IF(J463&lt;=99,IF((INDEX(Eingabe!$G$9:$G$18,I463))&lt;=9,1000+(INDEX(Eingabe!$G$9:$G$18,I463))*100,3000)+J463,IF((INDEX(Eingabe!$G$9:$G$18,I463)+1)&lt;=9,1000+(INDEX(Eingabe!$G$9:$G$18,I463)+1)*100,3000)+J463-100),IF(J463=K463+1,2000+INDEX(Eingabe!$G$9:$G$18,I463)*10+1,IF(J463=K463+2,2000+INDEX(Eingabe!$G$9:$G$18,I463)*10+2,2000+INDEX(Eingabe!$G$9:$G$18,I463)*10+9))),""))</f>
        <v/>
      </c>
      <c r="C463" s="0" t="str">
        <f aca="false">IF(I463="","",IF(AND(J463&gt;=1,J463&lt;=K463+3),"10."&amp;INDEX(Eingabe!$D$9:$D$18,I463)&amp;"."&amp;IF(J463&lt;=K463,J463,IF(J463=K463+1,200,IF(J463=K463+2,201,250)))&amp;".0/24",""))</f>
        <v/>
      </c>
      <c r="D463" s="0" t="str">
        <f aca="false">IF(I463="","",IF(AND(J463&gt;=1,J463&lt;=K463+3),"255.255.255.0",""))</f>
        <v/>
      </c>
      <c r="E463" s="0" t="str">
        <f aca="false">IF(I463="","",IF(AND(J463&gt;=1,J463&lt;=K463+3),"10."&amp;INDEX(Eingabe!$D$9:$D$18,I463)&amp;"."&amp;IF(J463&lt;=K463,J463,IF(J463=K463+1,200,IF(J463=K463+2,201,250)))&amp;".1",""))</f>
        <v/>
      </c>
      <c r="F463" s="0" t="str">
        <f aca="false">IF(I463="","",IF(AND(J463&gt;=1,J463&lt;=K463+3),"10."&amp;INDEX(Eingabe!$D$9:$D$18,I463)&amp;"."&amp;IF(J463&lt;=K463,J463,IF(J463=K463+1,200,IF(J463=K463+2,201,250)))&amp;".10 – 10."&amp;INDEX(Eingabe!$D$9:$D$18,I463)&amp;"."&amp;IF(J463&lt;=K463,J463,IF(J463=K463+1,200,IF(J463=K463+2,201,250)))&amp;".250",""))</f>
        <v/>
      </c>
      <c r="G463" s="0" t="str">
        <f aca="false">IF(I463="","",IF(AND(J463&gt;=1,J463&lt;=K463),Eingabe!$B$6&amp;"-"&amp;INDEX(Eingabe!$C$9:$C$18,I463)&amp;"-Pächter  ·  Passwort Parzelle "&amp;J463,IF(J463=K463+1,Eingabe!$B$6&amp;"-"&amp;INDEX(Eingabe!$C$9:$C$18,I463)&amp;"-Vorstand  ·  eigenes WLAN",IF(J463=K463+2,Eingabe!$B$6&amp;"-"&amp;INDEX(Eingabe!$C$9:$C$18,I463)&amp;"-Gäste  ·  Voucher",IF(J463=K463+3,"Kabel  ·  Access Point y = .(50+y), Mast-Switch x = .(10+x)","")))))</f>
        <v/>
      </c>
      <c r="I463" s="0" t="str">
        <f aca="false">IF(458&lt;=(Eingabe!$P$18+Eingabe!$Q$18-1),MATCH(458,Eingabe!$P$9:$P$18,1),"")</f>
        <v/>
      </c>
      <c r="J463" s="0" t="str">
        <f aca="false">IF(I463="","",458-INDEX(Eingabe!$P$9:$P$18,I463))</f>
        <v/>
      </c>
      <c r="K463" s="0" t="str">
        <f aca="false">IF(I463="","",INDEX(Eingabe!$E$9:$E$18,I463))</f>
        <v/>
      </c>
    </row>
    <row r="464" customFormat="false" ht="15" hidden="false" customHeight="false" outlineLevel="0" collapsed="false">
      <c r="A464" s="0" t="str">
        <f aca="false">IF(I464="","",IF(J464=0,"Sparte "&amp;I464&amp;": "&amp;INDEX(Eingabe!$B$9:$B$18,I464)&amp;"  (Sparten-ID "&amp;INDEX(Eingabe!$D$9:$D$18,I464)&amp;", "&amp;K464&amp;" Parzellen)",IF(J464&lt;=K464,"   Parzelle "&amp;J464,IF(J464=K464+1,"   Vorstand",IF(J464=K464+2,"   Gäste",IF(J464=K464+3,"   Technik (Switches, Access Points)",""))))))</f>
        <v/>
      </c>
      <c r="B464" s="0" t="str">
        <f aca="false">IF(I464="","",IF(AND(J464&gt;=1,J464&lt;=K464+3),IF(J464&lt;=K464,IF(J464&lt;=99,IF((INDEX(Eingabe!$G$9:$G$18,I464))&lt;=9,1000+(INDEX(Eingabe!$G$9:$G$18,I464))*100,3000)+J464,IF((INDEX(Eingabe!$G$9:$G$18,I464)+1)&lt;=9,1000+(INDEX(Eingabe!$G$9:$G$18,I464)+1)*100,3000)+J464-100),IF(J464=K464+1,2000+INDEX(Eingabe!$G$9:$G$18,I464)*10+1,IF(J464=K464+2,2000+INDEX(Eingabe!$G$9:$G$18,I464)*10+2,2000+INDEX(Eingabe!$G$9:$G$18,I464)*10+9))),""))</f>
        <v/>
      </c>
      <c r="C464" s="0" t="str">
        <f aca="false">IF(I464="","",IF(AND(J464&gt;=1,J464&lt;=K464+3),"10."&amp;INDEX(Eingabe!$D$9:$D$18,I464)&amp;"."&amp;IF(J464&lt;=K464,J464,IF(J464=K464+1,200,IF(J464=K464+2,201,250)))&amp;".0/24",""))</f>
        <v/>
      </c>
      <c r="D464" s="0" t="str">
        <f aca="false">IF(I464="","",IF(AND(J464&gt;=1,J464&lt;=K464+3),"255.255.255.0",""))</f>
        <v/>
      </c>
      <c r="E464" s="0" t="str">
        <f aca="false">IF(I464="","",IF(AND(J464&gt;=1,J464&lt;=K464+3),"10."&amp;INDEX(Eingabe!$D$9:$D$18,I464)&amp;"."&amp;IF(J464&lt;=K464,J464,IF(J464=K464+1,200,IF(J464=K464+2,201,250)))&amp;".1",""))</f>
        <v/>
      </c>
      <c r="F464" s="0" t="str">
        <f aca="false">IF(I464="","",IF(AND(J464&gt;=1,J464&lt;=K464+3),"10."&amp;INDEX(Eingabe!$D$9:$D$18,I464)&amp;"."&amp;IF(J464&lt;=K464,J464,IF(J464=K464+1,200,IF(J464=K464+2,201,250)))&amp;".10 – 10."&amp;INDEX(Eingabe!$D$9:$D$18,I464)&amp;"."&amp;IF(J464&lt;=K464,J464,IF(J464=K464+1,200,IF(J464=K464+2,201,250)))&amp;".250",""))</f>
        <v/>
      </c>
      <c r="G464" s="0" t="str">
        <f aca="false">IF(I464="","",IF(AND(J464&gt;=1,J464&lt;=K464),Eingabe!$B$6&amp;"-"&amp;INDEX(Eingabe!$C$9:$C$18,I464)&amp;"-Pächter  ·  Passwort Parzelle "&amp;J464,IF(J464=K464+1,Eingabe!$B$6&amp;"-"&amp;INDEX(Eingabe!$C$9:$C$18,I464)&amp;"-Vorstand  ·  eigenes WLAN",IF(J464=K464+2,Eingabe!$B$6&amp;"-"&amp;INDEX(Eingabe!$C$9:$C$18,I464)&amp;"-Gäste  ·  Voucher",IF(J464=K464+3,"Kabel  ·  Access Point y = .(50+y), Mast-Switch x = .(10+x)","")))))</f>
        <v/>
      </c>
      <c r="I464" s="0" t="str">
        <f aca="false">IF(459&lt;=(Eingabe!$P$18+Eingabe!$Q$18-1),MATCH(459,Eingabe!$P$9:$P$18,1),"")</f>
        <v/>
      </c>
      <c r="J464" s="0" t="str">
        <f aca="false">IF(I464="","",459-INDEX(Eingabe!$P$9:$P$18,I464))</f>
        <v/>
      </c>
      <c r="K464" s="0" t="str">
        <f aca="false">IF(I464="","",INDEX(Eingabe!$E$9:$E$18,I464))</f>
        <v/>
      </c>
    </row>
    <row r="465" customFormat="false" ht="15" hidden="false" customHeight="false" outlineLevel="0" collapsed="false">
      <c r="A465" s="0" t="str">
        <f aca="false">IF(I465="","",IF(J465=0,"Sparte "&amp;I465&amp;": "&amp;INDEX(Eingabe!$B$9:$B$18,I465)&amp;"  (Sparten-ID "&amp;INDEX(Eingabe!$D$9:$D$18,I465)&amp;", "&amp;K465&amp;" Parzellen)",IF(J465&lt;=K465,"   Parzelle "&amp;J465,IF(J465=K465+1,"   Vorstand",IF(J465=K465+2,"   Gäste",IF(J465=K465+3,"   Technik (Switches, Access Points)",""))))))</f>
        <v/>
      </c>
      <c r="B465" s="0" t="str">
        <f aca="false">IF(I465="","",IF(AND(J465&gt;=1,J465&lt;=K465+3),IF(J465&lt;=K465,IF(J465&lt;=99,IF((INDEX(Eingabe!$G$9:$G$18,I465))&lt;=9,1000+(INDEX(Eingabe!$G$9:$G$18,I465))*100,3000)+J465,IF((INDEX(Eingabe!$G$9:$G$18,I465)+1)&lt;=9,1000+(INDEX(Eingabe!$G$9:$G$18,I465)+1)*100,3000)+J465-100),IF(J465=K465+1,2000+INDEX(Eingabe!$G$9:$G$18,I465)*10+1,IF(J465=K465+2,2000+INDEX(Eingabe!$G$9:$G$18,I465)*10+2,2000+INDEX(Eingabe!$G$9:$G$18,I465)*10+9))),""))</f>
        <v/>
      </c>
      <c r="C465" s="0" t="str">
        <f aca="false">IF(I465="","",IF(AND(J465&gt;=1,J465&lt;=K465+3),"10."&amp;INDEX(Eingabe!$D$9:$D$18,I465)&amp;"."&amp;IF(J465&lt;=K465,J465,IF(J465=K465+1,200,IF(J465=K465+2,201,250)))&amp;".0/24",""))</f>
        <v/>
      </c>
      <c r="D465" s="0" t="str">
        <f aca="false">IF(I465="","",IF(AND(J465&gt;=1,J465&lt;=K465+3),"255.255.255.0",""))</f>
        <v/>
      </c>
      <c r="E465" s="0" t="str">
        <f aca="false">IF(I465="","",IF(AND(J465&gt;=1,J465&lt;=K465+3),"10."&amp;INDEX(Eingabe!$D$9:$D$18,I465)&amp;"."&amp;IF(J465&lt;=K465,J465,IF(J465=K465+1,200,IF(J465=K465+2,201,250)))&amp;".1",""))</f>
        <v/>
      </c>
      <c r="F465" s="0" t="str">
        <f aca="false">IF(I465="","",IF(AND(J465&gt;=1,J465&lt;=K465+3),"10."&amp;INDEX(Eingabe!$D$9:$D$18,I465)&amp;"."&amp;IF(J465&lt;=K465,J465,IF(J465=K465+1,200,IF(J465=K465+2,201,250)))&amp;".10 – 10."&amp;INDEX(Eingabe!$D$9:$D$18,I465)&amp;"."&amp;IF(J465&lt;=K465,J465,IF(J465=K465+1,200,IF(J465=K465+2,201,250)))&amp;".250",""))</f>
        <v/>
      </c>
      <c r="G465" s="0" t="str">
        <f aca="false">IF(I465="","",IF(AND(J465&gt;=1,J465&lt;=K465),Eingabe!$B$6&amp;"-"&amp;INDEX(Eingabe!$C$9:$C$18,I465)&amp;"-Pächter  ·  Passwort Parzelle "&amp;J465,IF(J465=K465+1,Eingabe!$B$6&amp;"-"&amp;INDEX(Eingabe!$C$9:$C$18,I465)&amp;"-Vorstand  ·  eigenes WLAN",IF(J465=K465+2,Eingabe!$B$6&amp;"-"&amp;INDEX(Eingabe!$C$9:$C$18,I465)&amp;"-Gäste  ·  Voucher",IF(J465=K465+3,"Kabel  ·  Access Point y = .(50+y), Mast-Switch x = .(10+x)","")))))</f>
        <v/>
      </c>
      <c r="I465" s="0" t="str">
        <f aca="false">IF(460&lt;=(Eingabe!$P$18+Eingabe!$Q$18-1),MATCH(460,Eingabe!$P$9:$P$18,1),"")</f>
        <v/>
      </c>
      <c r="J465" s="0" t="str">
        <f aca="false">IF(I465="","",460-INDEX(Eingabe!$P$9:$P$18,I465))</f>
        <v/>
      </c>
      <c r="K465" s="0" t="str">
        <f aca="false">IF(I465="","",INDEX(Eingabe!$E$9:$E$18,I465))</f>
        <v/>
      </c>
    </row>
    <row r="466" customFormat="false" ht="15" hidden="false" customHeight="false" outlineLevel="0" collapsed="false">
      <c r="A466" s="0" t="str">
        <f aca="false">IF(I466="","",IF(J466=0,"Sparte "&amp;I466&amp;": "&amp;INDEX(Eingabe!$B$9:$B$18,I466)&amp;"  (Sparten-ID "&amp;INDEX(Eingabe!$D$9:$D$18,I466)&amp;", "&amp;K466&amp;" Parzellen)",IF(J466&lt;=K466,"   Parzelle "&amp;J466,IF(J466=K466+1,"   Vorstand",IF(J466=K466+2,"   Gäste",IF(J466=K466+3,"   Technik (Switches, Access Points)",""))))))</f>
        <v/>
      </c>
      <c r="B466" s="0" t="str">
        <f aca="false">IF(I466="","",IF(AND(J466&gt;=1,J466&lt;=K466+3),IF(J466&lt;=K466,IF(J466&lt;=99,IF((INDEX(Eingabe!$G$9:$G$18,I466))&lt;=9,1000+(INDEX(Eingabe!$G$9:$G$18,I466))*100,3000)+J466,IF((INDEX(Eingabe!$G$9:$G$18,I466)+1)&lt;=9,1000+(INDEX(Eingabe!$G$9:$G$18,I466)+1)*100,3000)+J466-100),IF(J466=K466+1,2000+INDEX(Eingabe!$G$9:$G$18,I466)*10+1,IF(J466=K466+2,2000+INDEX(Eingabe!$G$9:$G$18,I466)*10+2,2000+INDEX(Eingabe!$G$9:$G$18,I466)*10+9))),""))</f>
        <v/>
      </c>
      <c r="C466" s="0" t="str">
        <f aca="false">IF(I466="","",IF(AND(J466&gt;=1,J466&lt;=K466+3),"10."&amp;INDEX(Eingabe!$D$9:$D$18,I466)&amp;"."&amp;IF(J466&lt;=K466,J466,IF(J466=K466+1,200,IF(J466=K466+2,201,250)))&amp;".0/24",""))</f>
        <v/>
      </c>
      <c r="D466" s="0" t="str">
        <f aca="false">IF(I466="","",IF(AND(J466&gt;=1,J466&lt;=K466+3),"255.255.255.0",""))</f>
        <v/>
      </c>
      <c r="E466" s="0" t="str">
        <f aca="false">IF(I466="","",IF(AND(J466&gt;=1,J466&lt;=K466+3),"10."&amp;INDEX(Eingabe!$D$9:$D$18,I466)&amp;"."&amp;IF(J466&lt;=K466,J466,IF(J466=K466+1,200,IF(J466=K466+2,201,250)))&amp;".1",""))</f>
        <v/>
      </c>
      <c r="F466" s="0" t="str">
        <f aca="false">IF(I466="","",IF(AND(J466&gt;=1,J466&lt;=K466+3),"10."&amp;INDEX(Eingabe!$D$9:$D$18,I466)&amp;"."&amp;IF(J466&lt;=K466,J466,IF(J466=K466+1,200,IF(J466=K466+2,201,250)))&amp;".10 – 10."&amp;INDEX(Eingabe!$D$9:$D$18,I466)&amp;"."&amp;IF(J466&lt;=K466,J466,IF(J466=K466+1,200,IF(J466=K466+2,201,250)))&amp;".250",""))</f>
        <v/>
      </c>
      <c r="G466" s="0" t="str">
        <f aca="false">IF(I466="","",IF(AND(J466&gt;=1,J466&lt;=K466),Eingabe!$B$6&amp;"-"&amp;INDEX(Eingabe!$C$9:$C$18,I466)&amp;"-Pächter  ·  Passwort Parzelle "&amp;J466,IF(J466=K466+1,Eingabe!$B$6&amp;"-"&amp;INDEX(Eingabe!$C$9:$C$18,I466)&amp;"-Vorstand  ·  eigenes WLAN",IF(J466=K466+2,Eingabe!$B$6&amp;"-"&amp;INDEX(Eingabe!$C$9:$C$18,I466)&amp;"-Gäste  ·  Voucher",IF(J466=K466+3,"Kabel  ·  Access Point y = .(50+y), Mast-Switch x = .(10+x)","")))))</f>
        <v/>
      </c>
      <c r="I466" s="0" t="str">
        <f aca="false">IF(461&lt;=(Eingabe!$P$18+Eingabe!$Q$18-1),MATCH(461,Eingabe!$P$9:$P$18,1),"")</f>
        <v/>
      </c>
      <c r="J466" s="0" t="str">
        <f aca="false">IF(I466="","",461-INDEX(Eingabe!$P$9:$P$18,I466))</f>
        <v/>
      </c>
      <c r="K466" s="0" t="str">
        <f aca="false">IF(I466="","",INDEX(Eingabe!$E$9:$E$18,I466))</f>
        <v/>
      </c>
    </row>
    <row r="467" customFormat="false" ht="15" hidden="false" customHeight="false" outlineLevel="0" collapsed="false">
      <c r="A467" s="0" t="str">
        <f aca="false">IF(I467="","",IF(J467=0,"Sparte "&amp;I467&amp;": "&amp;INDEX(Eingabe!$B$9:$B$18,I467)&amp;"  (Sparten-ID "&amp;INDEX(Eingabe!$D$9:$D$18,I467)&amp;", "&amp;K467&amp;" Parzellen)",IF(J467&lt;=K467,"   Parzelle "&amp;J467,IF(J467=K467+1,"   Vorstand",IF(J467=K467+2,"   Gäste",IF(J467=K467+3,"   Technik (Switches, Access Points)",""))))))</f>
        <v/>
      </c>
      <c r="B467" s="0" t="str">
        <f aca="false">IF(I467="","",IF(AND(J467&gt;=1,J467&lt;=K467+3),IF(J467&lt;=K467,IF(J467&lt;=99,IF((INDEX(Eingabe!$G$9:$G$18,I467))&lt;=9,1000+(INDEX(Eingabe!$G$9:$G$18,I467))*100,3000)+J467,IF((INDEX(Eingabe!$G$9:$G$18,I467)+1)&lt;=9,1000+(INDEX(Eingabe!$G$9:$G$18,I467)+1)*100,3000)+J467-100),IF(J467=K467+1,2000+INDEX(Eingabe!$G$9:$G$18,I467)*10+1,IF(J467=K467+2,2000+INDEX(Eingabe!$G$9:$G$18,I467)*10+2,2000+INDEX(Eingabe!$G$9:$G$18,I467)*10+9))),""))</f>
        <v/>
      </c>
      <c r="C467" s="0" t="str">
        <f aca="false">IF(I467="","",IF(AND(J467&gt;=1,J467&lt;=K467+3),"10."&amp;INDEX(Eingabe!$D$9:$D$18,I467)&amp;"."&amp;IF(J467&lt;=K467,J467,IF(J467=K467+1,200,IF(J467=K467+2,201,250)))&amp;".0/24",""))</f>
        <v/>
      </c>
      <c r="D467" s="0" t="str">
        <f aca="false">IF(I467="","",IF(AND(J467&gt;=1,J467&lt;=K467+3),"255.255.255.0",""))</f>
        <v/>
      </c>
      <c r="E467" s="0" t="str">
        <f aca="false">IF(I467="","",IF(AND(J467&gt;=1,J467&lt;=K467+3),"10."&amp;INDEX(Eingabe!$D$9:$D$18,I467)&amp;"."&amp;IF(J467&lt;=K467,J467,IF(J467=K467+1,200,IF(J467=K467+2,201,250)))&amp;".1",""))</f>
        <v/>
      </c>
      <c r="F467" s="0" t="str">
        <f aca="false">IF(I467="","",IF(AND(J467&gt;=1,J467&lt;=K467+3),"10."&amp;INDEX(Eingabe!$D$9:$D$18,I467)&amp;"."&amp;IF(J467&lt;=K467,J467,IF(J467=K467+1,200,IF(J467=K467+2,201,250)))&amp;".10 – 10."&amp;INDEX(Eingabe!$D$9:$D$18,I467)&amp;"."&amp;IF(J467&lt;=K467,J467,IF(J467=K467+1,200,IF(J467=K467+2,201,250)))&amp;".250",""))</f>
        <v/>
      </c>
      <c r="G467" s="0" t="str">
        <f aca="false">IF(I467="","",IF(AND(J467&gt;=1,J467&lt;=K467),Eingabe!$B$6&amp;"-"&amp;INDEX(Eingabe!$C$9:$C$18,I467)&amp;"-Pächter  ·  Passwort Parzelle "&amp;J467,IF(J467=K467+1,Eingabe!$B$6&amp;"-"&amp;INDEX(Eingabe!$C$9:$C$18,I467)&amp;"-Vorstand  ·  eigenes WLAN",IF(J467=K467+2,Eingabe!$B$6&amp;"-"&amp;INDEX(Eingabe!$C$9:$C$18,I467)&amp;"-Gäste  ·  Voucher",IF(J467=K467+3,"Kabel  ·  Access Point y = .(50+y), Mast-Switch x = .(10+x)","")))))</f>
        <v/>
      </c>
      <c r="I467" s="0" t="str">
        <f aca="false">IF(462&lt;=(Eingabe!$P$18+Eingabe!$Q$18-1),MATCH(462,Eingabe!$P$9:$P$18,1),"")</f>
        <v/>
      </c>
      <c r="J467" s="0" t="str">
        <f aca="false">IF(I467="","",462-INDEX(Eingabe!$P$9:$P$18,I467))</f>
        <v/>
      </c>
      <c r="K467" s="0" t="str">
        <f aca="false">IF(I467="","",INDEX(Eingabe!$E$9:$E$18,I467))</f>
        <v/>
      </c>
    </row>
    <row r="468" customFormat="false" ht="15" hidden="false" customHeight="false" outlineLevel="0" collapsed="false">
      <c r="A468" s="0" t="str">
        <f aca="false">IF(I468="","",IF(J468=0,"Sparte "&amp;I468&amp;": "&amp;INDEX(Eingabe!$B$9:$B$18,I468)&amp;"  (Sparten-ID "&amp;INDEX(Eingabe!$D$9:$D$18,I468)&amp;", "&amp;K468&amp;" Parzellen)",IF(J468&lt;=K468,"   Parzelle "&amp;J468,IF(J468=K468+1,"   Vorstand",IF(J468=K468+2,"   Gäste",IF(J468=K468+3,"   Technik (Switches, Access Points)",""))))))</f>
        <v/>
      </c>
      <c r="B468" s="0" t="str">
        <f aca="false">IF(I468="","",IF(AND(J468&gt;=1,J468&lt;=K468+3),IF(J468&lt;=K468,IF(J468&lt;=99,IF((INDEX(Eingabe!$G$9:$G$18,I468))&lt;=9,1000+(INDEX(Eingabe!$G$9:$G$18,I468))*100,3000)+J468,IF((INDEX(Eingabe!$G$9:$G$18,I468)+1)&lt;=9,1000+(INDEX(Eingabe!$G$9:$G$18,I468)+1)*100,3000)+J468-100),IF(J468=K468+1,2000+INDEX(Eingabe!$G$9:$G$18,I468)*10+1,IF(J468=K468+2,2000+INDEX(Eingabe!$G$9:$G$18,I468)*10+2,2000+INDEX(Eingabe!$G$9:$G$18,I468)*10+9))),""))</f>
        <v/>
      </c>
      <c r="C468" s="0" t="str">
        <f aca="false">IF(I468="","",IF(AND(J468&gt;=1,J468&lt;=K468+3),"10."&amp;INDEX(Eingabe!$D$9:$D$18,I468)&amp;"."&amp;IF(J468&lt;=K468,J468,IF(J468=K468+1,200,IF(J468=K468+2,201,250)))&amp;".0/24",""))</f>
        <v/>
      </c>
      <c r="D468" s="0" t="str">
        <f aca="false">IF(I468="","",IF(AND(J468&gt;=1,J468&lt;=K468+3),"255.255.255.0",""))</f>
        <v/>
      </c>
      <c r="E468" s="0" t="str">
        <f aca="false">IF(I468="","",IF(AND(J468&gt;=1,J468&lt;=K468+3),"10."&amp;INDEX(Eingabe!$D$9:$D$18,I468)&amp;"."&amp;IF(J468&lt;=K468,J468,IF(J468=K468+1,200,IF(J468=K468+2,201,250)))&amp;".1",""))</f>
        <v/>
      </c>
      <c r="F468" s="0" t="str">
        <f aca="false">IF(I468="","",IF(AND(J468&gt;=1,J468&lt;=K468+3),"10."&amp;INDEX(Eingabe!$D$9:$D$18,I468)&amp;"."&amp;IF(J468&lt;=K468,J468,IF(J468=K468+1,200,IF(J468=K468+2,201,250)))&amp;".10 – 10."&amp;INDEX(Eingabe!$D$9:$D$18,I468)&amp;"."&amp;IF(J468&lt;=K468,J468,IF(J468=K468+1,200,IF(J468=K468+2,201,250)))&amp;".250",""))</f>
        <v/>
      </c>
      <c r="G468" s="0" t="str">
        <f aca="false">IF(I468="","",IF(AND(J468&gt;=1,J468&lt;=K468),Eingabe!$B$6&amp;"-"&amp;INDEX(Eingabe!$C$9:$C$18,I468)&amp;"-Pächter  ·  Passwort Parzelle "&amp;J468,IF(J468=K468+1,Eingabe!$B$6&amp;"-"&amp;INDEX(Eingabe!$C$9:$C$18,I468)&amp;"-Vorstand  ·  eigenes WLAN",IF(J468=K468+2,Eingabe!$B$6&amp;"-"&amp;INDEX(Eingabe!$C$9:$C$18,I468)&amp;"-Gäste  ·  Voucher",IF(J468=K468+3,"Kabel  ·  Access Point y = .(50+y), Mast-Switch x = .(10+x)","")))))</f>
        <v/>
      </c>
      <c r="I468" s="0" t="str">
        <f aca="false">IF(463&lt;=(Eingabe!$P$18+Eingabe!$Q$18-1),MATCH(463,Eingabe!$P$9:$P$18,1),"")</f>
        <v/>
      </c>
      <c r="J468" s="0" t="str">
        <f aca="false">IF(I468="","",463-INDEX(Eingabe!$P$9:$P$18,I468))</f>
        <v/>
      </c>
      <c r="K468" s="0" t="str">
        <f aca="false">IF(I468="","",INDEX(Eingabe!$E$9:$E$18,I468))</f>
        <v/>
      </c>
    </row>
    <row r="469" customFormat="false" ht="15" hidden="false" customHeight="false" outlineLevel="0" collapsed="false">
      <c r="A469" s="0" t="str">
        <f aca="false">IF(I469="","",IF(J469=0,"Sparte "&amp;I469&amp;": "&amp;INDEX(Eingabe!$B$9:$B$18,I469)&amp;"  (Sparten-ID "&amp;INDEX(Eingabe!$D$9:$D$18,I469)&amp;", "&amp;K469&amp;" Parzellen)",IF(J469&lt;=K469,"   Parzelle "&amp;J469,IF(J469=K469+1,"   Vorstand",IF(J469=K469+2,"   Gäste",IF(J469=K469+3,"   Technik (Switches, Access Points)",""))))))</f>
        <v/>
      </c>
      <c r="B469" s="0" t="str">
        <f aca="false">IF(I469="","",IF(AND(J469&gt;=1,J469&lt;=K469+3),IF(J469&lt;=K469,IF(J469&lt;=99,IF((INDEX(Eingabe!$G$9:$G$18,I469))&lt;=9,1000+(INDEX(Eingabe!$G$9:$G$18,I469))*100,3000)+J469,IF((INDEX(Eingabe!$G$9:$G$18,I469)+1)&lt;=9,1000+(INDEX(Eingabe!$G$9:$G$18,I469)+1)*100,3000)+J469-100),IF(J469=K469+1,2000+INDEX(Eingabe!$G$9:$G$18,I469)*10+1,IF(J469=K469+2,2000+INDEX(Eingabe!$G$9:$G$18,I469)*10+2,2000+INDEX(Eingabe!$G$9:$G$18,I469)*10+9))),""))</f>
        <v/>
      </c>
      <c r="C469" s="0" t="str">
        <f aca="false">IF(I469="","",IF(AND(J469&gt;=1,J469&lt;=K469+3),"10."&amp;INDEX(Eingabe!$D$9:$D$18,I469)&amp;"."&amp;IF(J469&lt;=K469,J469,IF(J469=K469+1,200,IF(J469=K469+2,201,250)))&amp;".0/24",""))</f>
        <v/>
      </c>
      <c r="D469" s="0" t="str">
        <f aca="false">IF(I469="","",IF(AND(J469&gt;=1,J469&lt;=K469+3),"255.255.255.0",""))</f>
        <v/>
      </c>
      <c r="E469" s="0" t="str">
        <f aca="false">IF(I469="","",IF(AND(J469&gt;=1,J469&lt;=K469+3),"10."&amp;INDEX(Eingabe!$D$9:$D$18,I469)&amp;"."&amp;IF(J469&lt;=K469,J469,IF(J469=K469+1,200,IF(J469=K469+2,201,250)))&amp;".1",""))</f>
        <v/>
      </c>
      <c r="F469" s="0" t="str">
        <f aca="false">IF(I469="","",IF(AND(J469&gt;=1,J469&lt;=K469+3),"10."&amp;INDEX(Eingabe!$D$9:$D$18,I469)&amp;"."&amp;IF(J469&lt;=K469,J469,IF(J469=K469+1,200,IF(J469=K469+2,201,250)))&amp;".10 – 10."&amp;INDEX(Eingabe!$D$9:$D$18,I469)&amp;"."&amp;IF(J469&lt;=K469,J469,IF(J469=K469+1,200,IF(J469=K469+2,201,250)))&amp;".250",""))</f>
        <v/>
      </c>
      <c r="G469" s="0" t="str">
        <f aca="false">IF(I469="","",IF(AND(J469&gt;=1,J469&lt;=K469),Eingabe!$B$6&amp;"-"&amp;INDEX(Eingabe!$C$9:$C$18,I469)&amp;"-Pächter  ·  Passwort Parzelle "&amp;J469,IF(J469=K469+1,Eingabe!$B$6&amp;"-"&amp;INDEX(Eingabe!$C$9:$C$18,I469)&amp;"-Vorstand  ·  eigenes WLAN",IF(J469=K469+2,Eingabe!$B$6&amp;"-"&amp;INDEX(Eingabe!$C$9:$C$18,I469)&amp;"-Gäste  ·  Voucher",IF(J469=K469+3,"Kabel  ·  Access Point y = .(50+y), Mast-Switch x = .(10+x)","")))))</f>
        <v/>
      </c>
      <c r="I469" s="0" t="str">
        <f aca="false">IF(464&lt;=(Eingabe!$P$18+Eingabe!$Q$18-1),MATCH(464,Eingabe!$P$9:$P$18,1),"")</f>
        <v/>
      </c>
      <c r="J469" s="0" t="str">
        <f aca="false">IF(I469="","",464-INDEX(Eingabe!$P$9:$P$18,I469))</f>
        <v/>
      </c>
      <c r="K469" s="0" t="str">
        <f aca="false">IF(I469="","",INDEX(Eingabe!$E$9:$E$18,I469))</f>
        <v/>
      </c>
    </row>
    <row r="470" customFormat="false" ht="15" hidden="false" customHeight="false" outlineLevel="0" collapsed="false">
      <c r="A470" s="0" t="str">
        <f aca="false">IF(I470="","",IF(J470=0,"Sparte "&amp;I470&amp;": "&amp;INDEX(Eingabe!$B$9:$B$18,I470)&amp;"  (Sparten-ID "&amp;INDEX(Eingabe!$D$9:$D$18,I470)&amp;", "&amp;K470&amp;" Parzellen)",IF(J470&lt;=K470,"   Parzelle "&amp;J470,IF(J470=K470+1,"   Vorstand",IF(J470=K470+2,"   Gäste",IF(J470=K470+3,"   Technik (Switches, Access Points)",""))))))</f>
        <v/>
      </c>
      <c r="B470" s="0" t="str">
        <f aca="false">IF(I470="","",IF(AND(J470&gt;=1,J470&lt;=K470+3),IF(J470&lt;=K470,IF(J470&lt;=99,IF((INDEX(Eingabe!$G$9:$G$18,I470))&lt;=9,1000+(INDEX(Eingabe!$G$9:$G$18,I470))*100,3000)+J470,IF((INDEX(Eingabe!$G$9:$G$18,I470)+1)&lt;=9,1000+(INDEX(Eingabe!$G$9:$G$18,I470)+1)*100,3000)+J470-100),IF(J470=K470+1,2000+INDEX(Eingabe!$G$9:$G$18,I470)*10+1,IF(J470=K470+2,2000+INDEX(Eingabe!$G$9:$G$18,I470)*10+2,2000+INDEX(Eingabe!$G$9:$G$18,I470)*10+9))),""))</f>
        <v/>
      </c>
      <c r="C470" s="0" t="str">
        <f aca="false">IF(I470="","",IF(AND(J470&gt;=1,J470&lt;=K470+3),"10."&amp;INDEX(Eingabe!$D$9:$D$18,I470)&amp;"."&amp;IF(J470&lt;=K470,J470,IF(J470=K470+1,200,IF(J470=K470+2,201,250)))&amp;".0/24",""))</f>
        <v/>
      </c>
      <c r="D470" s="0" t="str">
        <f aca="false">IF(I470="","",IF(AND(J470&gt;=1,J470&lt;=K470+3),"255.255.255.0",""))</f>
        <v/>
      </c>
      <c r="E470" s="0" t="str">
        <f aca="false">IF(I470="","",IF(AND(J470&gt;=1,J470&lt;=K470+3),"10."&amp;INDEX(Eingabe!$D$9:$D$18,I470)&amp;"."&amp;IF(J470&lt;=K470,J470,IF(J470=K470+1,200,IF(J470=K470+2,201,250)))&amp;".1",""))</f>
        <v/>
      </c>
      <c r="F470" s="0" t="str">
        <f aca="false">IF(I470="","",IF(AND(J470&gt;=1,J470&lt;=K470+3),"10."&amp;INDEX(Eingabe!$D$9:$D$18,I470)&amp;"."&amp;IF(J470&lt;=K470,J470,IF(J470=K470+1,200,IF(J470=K470+2,201,250)))&amp;".10 – 10."&amp;INDEX(Eingabe!$D$9:$D$18,I470)&amp;"."&amp;IF(J470&lt;=K470,J470,IF(J470=K470+1,200,IF(J470=K470+2,201,250)))&amp;".250",""))</f>
        <v/>
      </c>
      <c r="G470" s="0" t="str">
        <f aca="false">IF(I470="","",IF(AND(J470&gt;=1,J470&lt;=K470),Eingabe!$B$6&amp;"-"&amp;INDEX(Eingabe!$C$9:$C$18,I470)&amp;"-Pächter  ·  Passwort Parzelle "&amp;J470,IF(J470=K470+1,Eingabe!$B$6&amp;"-"&amp;INDEX(Eingabe!$C$9:$C$18,I470)&amp;"-Vorstand  ·  eigenes WLAN",IF(J470=K470+2,Eingabe!$B$6&amp;"-"&amp;INDEX(Eingabe!$C$9:$C$18,I470)&amp;"-Gäste  ·  Voucher",IF(J470=K470+3,"Kabel  ·  Access Point y = .(50+y), Mast-Switch x = .(10+x)","")))))</f>
        <v/>
      </c>
      <c r="I470" s="0" t="str">
        <f aca="false">IF(465&lt;=(Eingabe!$P$18+Eingabe!$Q$18-1),MATCH(465,Eingabe!$P$9:$P$18,1),"")</f>
        <v/>
      </c>
      <c r="J470" s="0" t="str">
        <f aca="false">IF(I470="","",465-INDEX(Eingabe!$P$9:$P$18,I470))</f>
        <v/>
      </c>
      <c r="K470" s="0" t="str">
        <f aca="false">IF(I470="","",INDEX(Eingabe!$E$9:$E$18,I470))</f>
        <v/>
      </c>
    </row>
    <row r="471" customFormat="false" ht="15" hidden="false" customHeight="false" outlineLevel="0" collapsed="false">
      <c r="A471" s="0" t="str">
        <f aca="false">IF(I471="","",IF(J471=0,"Sparte "&amp;I471&amp;": "&amp;INDEX(Eingabe!$B$9:$B$18,I471)&amp;"  (Sparten-ID "&amp;INDEX(Eingabe!$D$9:$D$18,I471)&amp;", "&amp;K471&amp;" Parzellen)",IF(J471&lt;=K471,"   Parzelle "&amp;J471,IF(J471=K471+1,"   Vorstand",IF(J471=K471+2,"   Gäste",IF(J471=K471+3,"   Technik (Switches, Access Points)",""))))))</f>
        <v/>
      </c>
      <c r="B471" s="0" t="str">
        <f aca="false">IF(I471="","",IF(AND(J471&gt;=1,J471&lt;=K471+3),IF(J471&lt;=K471,IF(J471&lt;=99,IF((INDEX(Eingabe!$G$9:$G$18,I471))&lt;=9,1000+(INDEX(Eingabe!$G$9:$G$18,I471))*100,3000)+J471,IF((INDEX(Eingabe!$G$9:$G$18,I471)+1)&lt;=9,1000+(INDEX(Eingabe!$G$9:$G$18,I471)+1)*100,3000)+J471-100),IF(J471=K471+1,2000+INDEX(Eingabe!$G$9:$G$18,I471)*10+1,IF(J471=K471+2,2000+INDEX(Eingabe!$G$9:$G$18,I471)*10+2,2000+INDEX(Eingabe!$G$9:$G$18,I471)*10+9))),""))</f>
        <v/>
      </c>
      <c r="C471" s="0" t="str">
        <f aca="false">IF(I471="","",IF(AND(J471&gt;=1,J471&lt;=K471+3),"10."&amp;INDEX(Eingabe!$D$9:$D$18,I471)&amp;"."&amp;IF(J471&lt;=K471,J471,IF(J471=K471+1,200,IF(J471=K471+2,201,250)))&amp;".0/24",""))</f>
        <v/>
      </c>
      <c r="D471" s="0" t="str">
        <f aca="false">IF(I471="","",IF(AND(J471&gt;=1,J471&lt;=K471+3),"255.255.255.0",""))</f>
        <v/>
      </c>
      <c r="E471" s="0" t="str">
        <f aca="false">IF(I471="","",IF(AND(J471&gt;=1,J471&lt;=K471+3),"10."&amp;INDEX(Eingabe!$D$9:$D$18,I471)&amp;"."&amp;IF(J471&lt;=K471,J471,IF(J471=K471+1,200,IF(J471=K471+2,201,250)))&amp;".1",""))</f>
        <v/>
      </c>
      <c r="F471" s="0" t="str">
        <f aca="false">IF(I471="","",IF(AND(J471&gt;=1,J471&lt;=K471+3),"10."&amp;INDEX(Eingabe!$D$9:$D$18,I471)&amp;"."&amp;IF(J471&lt;=K471,J471,IF(J471=K471+1,200,IF(J471=K471+2,201,250)))&amp;".10 – 10."&amp;INDEX(Eingabe!$D$9:$D$18,I471)&amp;"."&amp;IF(J471&lt;=K471,J471,IF(J471=K471+1,200,IF(J471=K471+2,201,250)))&amp;".250",""))</f>
        <v/>
      </c>
      <c r="G471" s="0" t="str">
        <f aca="false">IF(I471="","",IF(AND(J471&gt;=1,J471&lt;=K471),Eingabe!$B$6&amp;"-"&amp;INDEX(Eingabe!$C$9:$C$18,I471)&amp;"-Pächter  ·  Passwort Parzelle "&amp;J471,IF(J471=K471+1,Eingabe!$B$6&amp;"-"&amp;INDEX(Eingabe!$C$9:$C$18,I471)&amp;"-Vorstand  ·  eigenes WLAN",IF(J471=K471+2,Eingabe!$B$6&amp;"-"&amp;INDEX(Eingabe!$C$9:$C$18,I471)&amp;"-Gäste  ·  Voucher",IF(J471=K471+3,"Kabel  ·  Access Point y = .(50+y), Mast-Switch x = .(10+x)","")))))</f>
        <v/>
      </c>
      <c r="I471" s="0" t="str">
        <f aca="false">IF(466&lt;=(Eingabe!$P$18+Eingabe!$Q$18-1),MATCH(466,Eingabe!$P$9:$P$18,1),"")</f>
        <v/>
      </c>
      <c r="J471" s="0" t="str">
        <f aca="false">IF(I471="","",466-INDEX(Eingabe!$P$9:$P$18,I471))</f>
        <v/>
      </c>
      <c r="K471" s="0" t="str">
        <f aca="false">IF(I471="","",INDEX(Eingabe!$E$9:$E$18,I471))</f>
        <v/>
      </c>
    </row>
    <row r="472" customFormat="false" ht="15" hidden="false" customHeight="false" outlineLevel="0" collapsed="false">
      <c r="A472" s="0" t="str">
        <f aca="false">IF(I472="","",IF(J472=0,"Sparte "&amp;I472&amp;": "&amp;INDEX(Eingabe!$B$9:$B$18,I472)&amp;"  (Sparten-ID "&amp;INDEX(Eingabe!$D$9:$D$18,I472)&amp;", "&amp;K472&amp;" Parzellen)",IF(J472&lt;=K472,"   Parzelle "&amp;J472,IF(J472=K472+1,"   Vorstand",IF(J472=K472+2,"   Gäste",IF(J472=K472+3,"   Technik (Switches, Access Points)",""))))))</f>
        <v/>
      </c>
      <c r="B472" s="0" t="str">
        <f aca="false">IF(I472="","",IF(AND(J472&gt;=1,J472&lt;=K472+3),IF(J472&lt;=K472,IF(J472&lt;=99,IF((INDEX(Eingabe!$G$9:$G$18,I472))&lt;=9,1000+(INDEX(Eingabe!$G$9:$G$18,I472))*100,3000)+J472,IF((INDEX(Eingabe!$G$9:$G$18,I472)+1)&lt;=9,1000+(INDEX(Eingabe!$G$9:$G$18,I472)+1)*100,3000)+J472-100),IF(J472=K472+1,2000+INDEX(Eingabe!$G$9:$G$18,I472)*10+1,IF(J472=K472+2,2000+INDEX(Eingabe!$G$9:$G$18,I472)*10+2,2000+INDEX(Eingabe!$G$9:$G$18,I472)*10+9))),""))</f>
        <v/>
      </c>
      <c r="C472" s="0" t="str">
        <f aca="false">IF(I472="","",IF(AND(J472&gt;=1,J472&lt;=K472+3),"10."&amp;INDEX(Eingabe!$D$9:$D$18,I472)&amp;"."&amp;IF(J472&lt;=K472,J472,IF(J472=K472+1,200,IF(J472=K472+2,201,250)))&amp;".0/24",""))</f>
        <v/>
      </c>
      <c r="D472" s="0" t="str">
        <f aca="false">IF(I472="","",IF(AND(J472&gt;=1,J472&lt;=K472+3),"255.255.255.0",""))</f>
        <v/>
      </c>
      <c r="E472" s="0" t="str">
        <f aca="false">IF(I472="","",IF(AND(J472&gt;=1,J472&lt;=K472+3),"10."&amp;INDEX(Eingabe!$D$9:$D$18,I472)&amp;"."&amp;IF(J472&lt;=K472,J472,IF(J472=K472+1,200,IF(J472=K472+2,201,250)))&amp;".1",""))</f>
        <v/>
      </c>
      <c r="F472" s="0" t="str">
        <f aca="false">IF(I472="","",IF(AND(J472&gt;=1,J472&lt;=K472+3),"10."&amp;INDEX(Eingabe!$D$9:$D$18,I472)&amp;"."&amp;IF(J472&lt;=K472,J472,IF(J472=K472+1,200,IF(J472=K472+2,201,250)))&amp;".10 – 10."&amp;INDEX(Eingabe!$D$9:$D$18,I472)&amp;"."&amp;IF(J472&lt;=K472,J472,IF(J472=K472+1,200,IF(J472=K472+2,201,250)))&amp;".250",""))</f>
        <v/>
      </c>
      <c r="G472" s="0" t="str">
        <f aca="false">IF(I472="","",IF(AND(J472&gt;=1,J472&lt;=K472),Eingabe!$B$6&amp;"-"&amp;INDEX(Eingabe!$C$9:$C$18,I472)&amp;"-Pächter  ·  Passwort Parzelle "&amp;J472,IF(J472=K472+1,Eingabe!$B$6&amp;"-"&amp;INDEX(Eingabe!$C$9:$C$18,I472)&amp;"-Vorstand  ·  eigenes WLAN",IF(J472=K472+2,Eingabe!$B$6&amp;"-"&amp;INDEX(Eingabe!$C$9:$C$18,I472)&amp;"-Gäste  ·  Voucher",IF(J472=K472+3,"Kabel  ·  Access Point y = .(50+y), Mast-Switch x = .(10+x)","")))))</f>
        <v/>
      </c>
      <c r="I472" s="0" t="str">
        <f aca="false">IF(467&lt;=(Eingabe!$P$18+Eingabe!$Q$18-1),MATCH(467,Eingabe!$P$9:$P$18,1),"")</f>
        <v/>
      </c>
      <c r="J472" s="0" t="str">
        <f aca="false">IF(I472="","",467-INDEX(Eingabe!$P$9:$P$18,I472))</f>
        <v/>
      </c>
      <c r="K472" s="0" t="str">
        <f aca="false">IF(I472="","",INDEX(Eingabe!$E$9:$E$18,I472))</f>
        <v/>
      </c>
    </row>
    <row r="473" customFormat="false" ht="15" hidden="false" customHeight="false" outlineLevel="0" collapsed="false">
      <c r="A473" s="0" t="str">
        <f aca="false">IF(I473="","",IF(J473=0,"Sparte "&amp;I473&amp;": "&amp;INDEX(Eingabe!$B$9:$B$18,I473)&amp;"  (Sparten-ID "&amp;INDEX(Eingabe!$D$9:$D$18,I473)&amp;", "&amp;K473&amp;" Parzellen)",IF(J473&lt;=K473,"   Parzelle "&amp;J473,IF(J473=K473+1,"   Vorstand",IF(J473=K473+2,"   Gäste",IF(J473=K473+3,"   Technik (Switches, Access Points)",""))))))</f>
        <v/>
      </c>
      <c r="B473" s="0" t="str">
        <f aca="false">IF(I473="","",IF(AND(J473&gt;=1,J473&lt;=K473+3),IF(J473&lt;=K473,IF(J473&lt;=99,IF((INDEX(Eingabe!$G$9:$G$18,I473))&lt;=9,1000+(INDEX(Eingabe!$G$9:$G$18,I473))*100,3000)+J473,IF((INDEX(Eingabe!$G$9:$G$18,I473)+1)&lt;=9,1000+(INDEX(Eingabe!$G$9:$G$18,I473)+1)*100,3000)+J473-100),IF(J473=K473+1,2000+INDEX(Eingabe!$G$9:$G$18,I473)*10+1,IF(J473=K473+2,2000+INDEX(Eingabe!$G$9:$G$18,I473)*10+2,2000+INDEX(Eingabe!$G$9:$G$18,I473)*10+9))),""))</f>
        <v/>
      </c>
      <c r="C473" s="0" t="str">
        <f aca="false">IF(I473="","",IF(AND(J473&gt;=1,J473&lt;=K473+3),"10."&amp;INDEX(Eingabe!$D$9:$D$18,I473)&amp;"."&amp;IF(J473&lt;=K473,J473,IF(J473=K473+1,200,IF(J473=K473+2,201,250)))&amp;".0/24",""))</f>
        <v/>
      </c>
      <c r="D473" s="0" t="str">
        <f aca="false">IF(I473="","",IF(AND(J473&gt;=1,J473&lt;=K473+3),"255.255.255.0",""))</f>
        <v/>
      </c>
      <c r="E473" s="0" t="str">
        <f aca="false">IF(I473="","",IF(AND(J473&gt;=1,J473&lt;=K473+3),"10."&amp;INDEX(Eingabe!$D$9:$D$18,I473)&amp;"."&amp;IF(J473&lt;=K473,J473,IF(J473=K473+1,200,IF(J473=K473+2,201,250)))&amp;".1",""))</f>
        <v/>
      </c>
      <c r="F473" s="0" t="str">
        <f aca="false">IF(I473="","",IF(AND(J473&gt;=1,J473&lt;=K473+3),"10."&amp;INDEX(Eingabe!$D$9:$D$18,I473)&amp;"."&amp;IF(J473&lt;=K473,J473,IF(J473=K473+1,200,IF(J473=K473+2,201,250)))&amp;".10 – 10."&amp;INDEX(Eingabe!$D$9:$D$18,I473)&amp;"."&amp;IF(J473&lt;=K473,J473,IF(J473=K473+1,200,IF(J473=K473+2,201,250)))&amp;".250",""))</f>
        <v/>
      </c>
      <c r="G473" s="0" t="str">
        <f aca="false">IF(I473="","",IF(AND(J473&gt;=1,J473&lt;=K473),Eingabe!$B$6&amp;"-"&amp;INDEX(Eingabe!$C$9:$C$18,I473)&amp;"-Pächter  ·  Passwort Parzelle "&amp;J473,IF(J473=K473+1,Eingabe!$B$6&amp;"-"&amp;INDEX(Eingabe!$C$9:$C$18,I473)&amp;"-Vorstand  ·  eigenes WLAN",IF(J473=K473+2,Eingabe!$B$6&amp;"-"&amp;INDEX(Eingabe!$C$9:$C$18,I473)&amp;"-Gäste  ·  Voucher",IF(J473=K473+3,"Kabel  ·  Access Point y = .(50+y), Mast-Switch x = .(10+x)","")))))</f>
        <v/>
      </c>
      <c r="I473" s="0" t="str">
        <f aca="false">IF(468&lt;=(Eingabe!$P$18+Eingabe!$Q$18-1),MATCH(468,Eingabe!$P$9:$P$18,1),"")</f>
        <v/>
      </c>
      <c r="J473" s="0" t="str">
        <f aca="false">IF(I473="","",468-INDEX(Eingabe!$P$9:$P$18,I473))</f>
        <v/>
      </c>
      <c r="K473" s="0" t="str">
        <f aca="false">IF(I473="","",INDEX(Eingabe!$E$9:$E$18,I473))</f>
        <v/>
      </c>
    </row>
    <row r="474" customFormat="false" ht="15" hidden="false" customHeight="false" outlineLevel="0" collapsed="false">
      <c r="A474" s="0" t="str">
        <f aca="false">IF(I474="","",IF(J474=0,"Sparte "&amp;I474&amp;": "&amp;INDEX(Eingabe!$B$9:$B$18,I474)&amp;"  (Sparten-ID "&amp;INDEX(Eingabe!$D$9:$D$18,I474)&amp;", "&amp;K474&amp;" Parzellen)",IF(J474&lt;=K474,"   Parzelle "&amp;J474,IF(J474=K474+1,"   Vorstand",IF(J474=K474+2,"   Gäste",IF(J474=K474+3,"   Technik (Switches, Access Points)",""))))))</f>
        <v/>
      </c>
      <c r="B474" s="0" t="str">
        <f aca="false">IF(I474="","",IF(AND(J474&gt;=1,J474&lt;=K474+3),IF(J474&lt;=K474,IF(J474&lt;=99,IF((INDEX(Eingabe!$G$9:$G$18,I474))&lt;=9,1000+(INDEX(Eingabe!$G$9:$G$18,I474))*100,3000)+J474,IF((INDEX(Eingabe!$G$9:$G$18,I474)+1)&lt;=9,1000+(INDEX(Eingabe!$G$9:$G$18,I474)+1)*100,3000)+J474-100),IF(J474=K474+1,2000+INDEX(Eingabe!$G$9:$G$18,I474)*10+1,IF(J474=K474+2,2000+INDEX(Eingabe!$G$9:$G$18,I474)*10+2,2000+INDEX(Eingabe!$G$9:$G$18,I474)*10+9))),""))</f>
        <v/>
      </c>
      <c r="C474" s="0" t="str">
        <f aca="false">IF(I474="","",IF(AND(J474&gt;=1,J474&lt;=K474+3),"10."&amp;INDEX(Eingabe!$D$9:$D$18,I474)&amp;"."&amp;IF(J474&lt;=K474,J474,IF(J474=K474+1,200,IF(J474=K474+2,201,250)))&amp;".0/24",""))</f>
        <v/>
      </c>
      <c r="D474" s="0" t="str">
        <f aca="false">IF(I474="","",IF(AND(J474&gt;=1,J474&lt;=K474+3),"255.255.255.0",""))</f>
        <v/>
      </c>
      <c r="E474" s="0" t="str">
        <f aca="false">IF(I474="","",IF(AND(J474&gt;=1,J474&lt;=K474+3),"10."&amp;INDEX(Eingabe!$D$9:$D$18,I474)&amp;"."&amp;IF(J474&lt;=K474,J474,IF(J474=K474+1,200,IF(J474=K474+2,201,250)))&amp;".1",""))</f>
        <v/>
      </c>
      <c r="F474" s="0" t="str">
        <f aca="false">IF(I474="","",IF(AND(J474&gt;=1,J474&lt;=K474+3),"10."&amp;INDEX(Eingabe!$D$9:$D$18,I474)&amp;"."&amp;IF(J474&lt;=K474,J474,IF(J474=K474+1,200,IF(J474=K474+2,201,250)))&amp;".10 – 10."&amp;INDEX(Eingabe!$D$9:$D$18,I474)&amp;"."&amp;IF(J474&lt;=K474,J474,IF(J474=K474+1,200,IF(J474=K474+2,201,250)))&amp;".250",""))</f>
        <v/>
      </c>
      <c r="G474" s="0" t="str">
        <f aca="false">IF(I474="","",IF(AND(J474&gt;=1,J474&lt;=K474),Eingabe!$B$6&amp;"-"&amp;INDEX(Eingabe!$C$9:$C$18,I474)&amp;"-Pächter  ·  Passwort Parzelle "&amp;J474,IF(J474=K474+1,Eingabe!$B$6&amp;"-"&amp;INDEX(Eingabe!$C$9:$C$18,I474)&amp;"-Vorstand  ·  eigenes WLAN",IF(J474=K474+2,Eingabe!$B$6&amp;"-"&amp;INDEX(Eingabe!$C$9:$C$18,I474)&amp;"-Gäste  ·  Voucher",IF(J474=K474+3,"Kabel  ·  Access Point y = .(50+y), Mast-Switch x = .(10+x)","")))))</f>
        <v/>
      </c>
      <c r="I474" s="0" t="str">
        <f aca="false">IF(469&lt;=(Eingabe!$P$18+Eingabe!$Q$18-1),MATCH(469,Eingabe!$P$9:$P$18,1),"")</f>
        <v/>
      </c>
      <c r="J474" s="0" t="str">
        <f aca="false">IF(I474="","",469-INDEX(Eingabe!$P$9:$P$18,I474))</f>
        <v/>
      </c>
      <c r="K474" s="0" t="str">
        <f aca="false">IF(I474="","",INDEX(Eingabe!$E$9:$E$18,I474))</f>
        <v/>
      </c>
    </row>
    <row r="475" customFormat="false" ht="15" hidden="false" customHeight="false" outlineLevel="0" collapsed="false">
      <c r="A475" s="0" t="str">
        <f aca="false">IF(I475="","",IF(J475=0,"Sparte "&amp;I475&amp;": "&amp;INDEX(Eingabe!$B$9:$B$18,I475)&amp;"  (Sparten-ID "&amp;INDEX(Eingabe!$D$9:$D$18,I475)&amp;", "&amp;K475&amp;" Parzellen)",IF(J475&lt;=K475,"   Parzelle "&amp;J475,IF(J475=K475+1,"   Vorstand",IF(J475=K475+2,"   Gäste",IF(J475=K475+3,"   Technik (Switches, Access Points)",""))))))</f>
        <v/>
      </c>
      <c r="B475" s="0" t="str">
        <f aca="false">IF(I475="","",IF(AND(J475&gt;=1,J475&lt;=K475+3),IF(J475&lt;=K475,IF(J475&lt;=99,IF((INDEX(Eingabe!$G$9:$G$18,I475))&lt;=9,1000+(INDEX(Eingabe!$G$9:$G$18,I475))*100,3000)+J475,IF((INDEX(Eingabe!$G$9:$G$18,I475)+1)&lt;=9,1000+(INDEX(Eingabe!$G$9:$G$18,I475)+1)*100,3000)+J475-100),IF(J475=K475+1,2000+INDEX(Eingabe!$G$9:$G$18,I475)*10+1,IF(J475=K475+2,2000+INDEX(Eingabe!$G$9:$G$18,I475)*10+2,2000+INDEX(Eingabe!$G$9:$G$18,I475)*10+9))),""))</f>
        <v/>
      </c>
      <c r="C475" s="0" t="str">
        <f aca="false">IF(I475="","",IF(AND(J475&gt;=1,J475&lt;=K475+3),"10."&amp;INDEX(Eingabe!$D$9:$D$18,I475)&amp;"."&amp;IF(J475&lt;=K475,J475,IF(J475=K475+1,200,IF(J475=K475+2,201,250)))&amp;".0/24",""))</f>
        <v/>
      </c>
      <c r="D475" s="0" t="str">
        <f aca="false">IF(I475="","",IF(AND(J475&gt;=1,J475&lt;=K475+3),"255.255.255.0",""))</f>
        <v/>
      </c>
      <c r="E475" s="0" t="str">
        <f aca="false">IF(I475="","",IF(AND(J475&gt;=1,J475&lt;=K475+3),"10."&amp;INDEX(Eingabe!$D$9:$D$18,I475)&amp;"."&amp;IF(J475&lt;=K475,J475,IF(J475=K475+1,200,IF(J475=K475+2,201,250)))&amp;".1",""))</f>
        <v/>
      </c>
      <c r="F475" s="0" t="str">
        <f aca="false">IF(I475="","",IF(AND(J475&gt;=1,J475&lt;=K475+3),"10."&amp;INDEX(Eingabe!$D$9:$D$18,I475)&amp;"."&amp;IF(J475&lt;=K475,J475,IF(J475=K475+1,200,IF(J475=K475+2,201,250)))&amp;".10 – 10."&amp;INDEX(Eingabe!$D$9:$D$18,I475)&amp;"."&amp;IF(J475&lt;=K475,J475,IF(J475=K475+1,200,IF(J475=K475+2,201,250)))&amp;".250",""))</f>
        <v/>
      </c>
      <c r="G475" s="0" t="str">
        <f aca="false">IF(I475="","",IF(AND(J475&gt;=1,J475&lt;=K475),Eingabe!$B$6&amp;"-"&amp;INDEX(Eingabe!$C$9:$C$18,I475)&amp;"-Pächter  ·  Passwort Parzelle "&amp;J475,IF(J475=K475+1,Eingabe!$B$6&amp;"-"&amp;INDEX(Eingabe!$C$9:$C$18,I475)&amp;"-Vorstand  ·  eigenes WLAN",IF(J475=K475+2,Eingabe!$B$6&amp;"-"&amp;INDEX(Eingabe!$C$9:$C$18,I475)&amp;"-Gäste  ·  Voucher",IF(J475=K475+3,"Kabel  ·  Access Point y = .(50+y), Mast-Switch x = .(10+x)","")))))</f>
        <v/>
      </c>
      <c r="I475" s="0" t="str">
        <f aca="false">IF(470&lt;=(Eingabe!$P$18+Eingabe!$Q$18-1),MATCH(470,Eingabe!$P$9:$P$18,1),"")</f>
        <v/>
      </c>
      <c r="J475" s="0" t="str">
        <f aca="false">IF(I475="","",470-INDEX(Eingabe!$P$9:$P$18,I475))</f>
        <v/>
      </c>
      <c r="K475" s="0" t="str">
        <f aca="false">IF(I475="","",INDEX(Eingabe!$E$9:$E$18,I475))</f>
        <v/>
      </c>
    </row>
    <row r="476" customFormat="false" ht="15" hidden="false" customHeight="false" outlineLevel="0" collapsed="false">
      <c r="A476" s="0" t="str">
        <f aca="false">IF(I476="","",IF(J476=0,"Sparte "&amp;I476&amp;": "&amp;INDEX(Eingabe!$B$9:$B$18,I476)&amp;"  (Sparten-ID "&amp;INDEX(Eingabe!$D$9:$D$18,I476)&amp;", "&amp;K476&amp;" Parzellen)",IF(J476&lt;=K476,"   Parzelle "&amp;J476,IF(J476=K476+1,"   Vorstand",IF(J476=K476+2,"   Gäste",IF(J476=K476+3,"   Technik (Switches, Access Points)",""))))))</f>
        <v/>
      </c>
      <c r="B476" s="0" t="str">
        <f aca="false">IF(I476="","",IF(AND(J476&gt;=1,J476&lt;=K476+3),IF(J476&lt;=K476,IF(J476&lt;=99,IF((INDEX(Eingabe!$G$9:$G$18,I476))&lt;=9,1000+(INDEX(Eingabe!$G$9:$G$18,I476))*100,3000)+J476,IF((INDEX(Eingabe!$G$9:$G$18,I476)+1)&lt;=9,1000+(INDEX(Eingabe!$G$9:$G$18,I476)+1)*100,3000)+J476-100),IF(J476=K476+1,2000+INDEX(Eingabe!$G$9:$G$18,I476)*10+1,IF(J476=K476+2,2000+INDEX(Eingabe!$G$9:$G$18,I476)*10+2,2000+INDEX(Eingabe!$G$9:$G$18,I476)*10+9))),""))</f>
        <v/>
      </c>
      <c r="C476" s="0" t="str">
        <f aca="false">IF(I476="","",IF(AND(J476&gt;=1,J476&lt;=K476+3),"10."&amp;INDEX(Eingabe!$D$9:$D$18,I476)&amp;"."&amp;IF(J476&lt;=K476,J476,IF(J476=K476+1,200,IF(J476=K476+2,201,250)))&amp;".0/24",""))</f>
        <v/>
      </c>
      <c r="D476" s="0" t="str">
        <f aca="false">IF(I476="","",IF(AND(J476&gt;=1,J476&lt;=K476+3),"255.255.255.0",""))</f>
        <v/>
      </c>
      <c r="E476" s="0" t="str">
        <f aca="false">IF(I476="","",IF(AND(J476&gt;=1,J476&lt;=K476+3),"10."&amp;INDEX(Eingabe!$D$9:$D$18,I476)&amp;"."&amp;IF(J476&lt;=K476,J476,IF(J476=K476+1,200,IF(J476=K476+2,201,250)))&amp;".1",""))</f>
        <v/>
      </c>
      <c r="F476" s="0" t="str">
        <f aca="false">IF(I476="","",IF(AND(J476&gt;=1,J476&lt;=K476+3),"10."&amp;INDEX(Eingabe!$D$9:$D$18,I476)&amp;"."&amp;IF(J476&lt;=K476,J476,IF(J476=K476+1,200,IF(J476=K476+2,201,250)))&amp;".10 – 10."&amp;INDEX(Eingabe!$D$9:$D$18,I476)&amp;"."&amp;IF(J476&lt;=K476,J476,IF(J476=K476+1,200,IF(J476=K476+2,201,250)))&amp;".250",""))</f>
        <v/>
      </c>
      <c r="G476" s="0" t="str">
        <f aca="false">IF(I476="","",IF(AND(J476&gt;=1,J476&lt;=K476),Eingabe!$B$6&amp;"-"&amp;INDEX(Eingabe!$C$9:$C$18,I476)&amp;"-Pächter  ·  Passwort Parzelle "&amp;J476,IF(J476=K476+1,Eingabe!$B$6&amp;"-"&amp;INDEX(Eingabe!$C$9:$C$18,I476)&amp;"-Vorstand  ·  eigenes WLAN",IF(J476=K476+2,Eingabe!$B$6&amp;"-"&amp;INDEX(Eingabe!$C$9:$C$18,I476)&amp;"-Gäste  ·  Voucher",IF(J476=K476+3,"Kabel  ·  Access Point y = .(50+y), Mast-Switch x = .(10+x)","")))))</f>
        <v/>
      </c>
      <c r="I476" s="0" t="str">
        <f aca="false">IF(471&lt;=(Eingabe!$P$18+Eingabe!$Q$18-1),MATCH(471,Eingabe!$P$9:$P$18,1),"")</f>
        <v/>
      </c>
      <c r="J476" s="0" t="str">
        <f aca="false">IF(I476="","",471-INDEX(Eingabe!$P$9:$P$18,I476))</f>
        <v/>
      </c>
      <c r="K476" s="0" t="str">
        <f aca="false">IF(I476="","",INDEX(Eingabe!$E$9:$E$18,I476))</f>
        <v/>
      </c>
    </row>
    <row r="477" customFormat="false" ht="15" hidden="false" customHeight="false" outlineLevel="0" collapsed="false">
      <c r="A477" s="0" t="str">
        <f aca="false">IF(I477="","",IF(J477=0,"Sparte "&amp;I477&amp;": "&amp;INDEX(Eingabe!$B$9:$B$18,I477)&amp;"  (Sparten-ID "&amp;INDEX(Eingabe!$D$9:$D$18,I477)&amp;", "&amp;K477&amp;" Parzellen)",IF(J477&lt;=K477,"   Parzelle "&amp;J477,IF(J477=K477+1,"   Vorstand",IF(J477=K477+2,"   Gäste",IF(J477=K477+3,"   Technik (Switches, Access Points)",""))))))</f>
        <v/>
      </c>
      <c r="B477" s="0" t="str">
        <f aca="false">IF(I477="","",IF(AND(J477&gt;=1,J477&lt;=K477+3),IF(J477&lt;=K477,IF(J477&lt;=99,IF((INDEX(Eingabe!$G$9:$G$18,I477))&lt;=9,1000+(INDEX(Eingabe!$G$9:$G$18,I477))*100,3000)+J477,IF((INDEX(Eingabe!$G$9:$G$18,I477)+1)&lt;=9,1000+(INDEX(Eingabe!$G$9:$G$18,I477)+1)*100,3000)+J477-100),IF(J477=K477+1,2000+INDEX(Eingabe!$G$9:$G$18,I477)*10+1,IF(J477=K477+2,2000+INDEX(Eingabe!$G$9:$G$18,I477)*10+2,2000+INDEX(Eingabe!$G$9:$G$18,I477)*10+9))),""))</f>
        <v/>
      </c>
      <c r="C477" s="0" t="str">
        <f aca="false">IF(I477="","",IF(AND(J477&gt;=1,J477&lt;=K477+3),"10."&amp;INDEX(Eingabe!$D$9:$D$18,I477)&amp;"."&amp;IF(J477&lt;=K477,J477,IF(J477=K477+1,200,IF(J477=K477+2,201,250)))&amp;".0/24",""))</f>
        <v/>
      </c>
      <c r="D477" s="0" t="str">
        <f aca="false">IF(I477="","",IF(AND(J477&gt;=1,J477&lt;=K477+3),"255.255.255.0",""))</f>
        <v/>
      </c>
      <c r="E477" s="0" t="str">
        <f aca="false">IF(I477="","",IF(AND(J477&gt;=1,J477&lt;=K477+3),"10."&amp;INDEX(Eingabe!$D$9:$D$18,I477)&amp;"."&amp;IF(J477&lt;=K477,J477,IF(J477=K477+1,200,IF(J477=K477+2,201,250)))&amp;".1",""))</f>
        <v/>
      </c>
      <c r="F477" s="0" t="str">
        <f aca="false">IF(I477="","",IF(AND(J477&gt;=1,J477&lt;=K477+3),"10."&amp;INDEX(Eingabe!$D$9:$D$18,I477)&amp;"."&amp;IF(J477&lt;=K477,J477,IF(J477=K477+1,200,IF(J477=K477+2,201,250)))&amp;".10 – 10."&amp;INDEX(Eingabe!$D$9:$D$18,I477)&amp;"."&amp;IF(J477&lt;=K477,J477,IF(J477=K477+1,200,IF(J477=K477+2,201,250)))&amp;".250",""))</f>
        <v/>
      </c>
      <c r="G477" s="0" t="str">
        <f aca="false">IF(I477="","",IF(AND(J477&gt;=1,J477&lt;=K477),Eingabe!$B$6&amp;"-"&amp;INDEX(Eingabe!$C$9:$C$18,I477)&amp;"-Pächter  ·  Passwort Parzelle "&amp;J477,IF(J477=K477+1,Eingabe!$B$6&amp;"-"&amp;INDEX(Eingabe!$C$9:$C$18,I477)&amp;"-Vorstand  ·  eigenes WLAN",IF(J477=K477+2,Eingabe!$B$6&amp;"-"&amp;INDEX(Eingabe!$C$9:$C$18,I477)&amp;"-Gäste  ·  Voucher",IF(J477=K477+3,"Kabel  ·  Access Point y = .(50+y), Mast-Switch x = .(10+x)","")))))</f>
        <v/>
      </c>
      <c r="I477" s="0" t="str">
        <f aca="false">IF(472&lt;=(Eingabe!$P$18+Eingabe!$Q$18-1),MATCH(472,Eingabe!$P$9:$P$18,1),"")</f>
        <v/>
      </c>
      <c r="J477" s="0" t="str">
        <f aca="false">IF(I477="","",472-INDEX(Eingabe!$P$9:$P$18,I477))</f>
        <v/>
      </c>
      <c r="K477" s="0" t="str">
        <f aca="false">IF(I477="","",INDEX(Eingabe!$E$9:$E$18,I477))</f>
        <v/>
      </c>
    </row>
    <row r="478" customFormat="false" ht="15" hidden="false" customHeight="false" outlineLevel="0" collapsed="false">
      <c r="A478" s="0" t="str">
        <f aca="false">IF(I478="","",IF(J478=0,"Sparte "&amp;I478&amp;": "&amp;INDEX(Eingabe!$B$9:$B$18,I478)&amp;"  (Sparten-ID "&amp;INDEX(Eingabe!$D$9:$D$18,I478)&amp;", "&amp;K478&amp;" Parzellen)",IF(J478&lt;=K478,"   Parzelle "&amp;J478,IF(J478=K478+1,"   Vorstand",IF(J478=K478+2,"   Gäste",IF(J478=K478+3,"   Technik (Switches, Access Points)",""))))))</f>
        <v/>
      </c>
      <c r="B478" s="0" t="str">
        <f aca="false">IF(I478="","",IF(AND(J478&gt;=1,J478&lt;=K478+3),IF(J478&lt;=K478,IF(J478&lt;=99,IF((INDEX(Eingabe!$G$9:$G$18,I478))&lt;=9,1000+(INDEX(Eingabe!$G$9:$G$18,I478))*100,3000)+J478,IF((INDEX(Eingabe!$G$9:$G$18,I478)+1)&lt;=9,1000+(INDEX(Eingabe!$G$9:$G$18,I478)+1)*100,3000)+J478-100),IF(J478=K478+1,2000+INDEX(Eingabe!$G$9:$G$18,I478)*10+1,IF(J478=K478+2,2000+INDEX(Eingabe!$G$9:$G$18,I478)*10+2,2000+INDEX(Eingabe!$G$9:$G$18,I478)*10+9))),""))</f>
        <v/>
      </c>
      <c r="C478" s="0" t="str">
        <f aca="false">IF(I478="","",IF(AND(J478&gt;=1,J478&lt;=K478+3),"10."&amp;INDEX(Eingabe!$D$9:$D$18,I478)&amp;"."&amp;IF(J478&lt;=K478,J478,IF(J478=K478+1,200,IF(J478=K478+2,201,250)))&amp;".0/24",""))</f>
        <v/>
      </c>
      <c r="D478" s="0" t="str">
        <f aca="false">IF(I478="","",IF(AND(J478&gt;=1,J478&lt;=K478+3),"255.255.255.0",""))</f>
        <v/>
      </c>
      <c r="E478" s="0" t="str">
        <f aca="false">IF(I478="","",IF(AND(J478&gt;=1,J478&lt;=K478+3),"10."&amp;INDEX(Eingabe!$D$9:$D$18,I478)&amp;"."&amp;IF(J478&lt;=K478,J478,IF(J478=K478+1,200,IF(J478=K478+2,201,250)))&amp;".1",""))</f>
        <v/>
      </c>
      <c r="F478" s="0" t="str">
        <f aca="false">IF(I478="","",IF(AND(J478&gt;=1,J478&lt;=K478+3),"10."&amp;INDEX(Eingabe!$D$9:$D$18,I478)&amp;"."&amp;IF(J478&lt;=K478,J478,IF(J478=K478+1,200,IF(J478=K478+2,201,250)))&amp;".10 – 10."&amp;INDEX(Eingabe!$D$9:$D$18,I478)&amp;"."&amp;IF(J478&lt;=K478,J478,IF(J478=K478+1,200,IF(J478=K478+2,201,250)))&amp;".250",""))</f>
        <v/>
      </c>
      <c r="G478" s="0" t="str">
        <f aca="false">IF(I478="","",IF(AND(J478&gt;=1,J478&lt;=K478),Eingabe!$B$6&amp;"-"&amp;INDEX(Eingabe!$C$9:$C$18,I478)&amp;"-Pächter  ·  Passwort Parzelle "&amp;J478,IF(J478=K478+1,Eingabe!$B$6&amp;"-"&amp;INDEX(Eingabe!$C$9:$C$18,I478)&amp;"-Vorstand  ·  eigenes WLAN",IF(J478=K478+2,Eingabe!$B$6&amp;"-"&amp;INDEX(Eingabe!$C$9:$C$18,I478)&amp;"-Gäste  ·  Voucher",IF(J478=K478+3,"Kabel  ·  Access Point y = .(50+y), Mast-Switch x = .(10+x)","")))))</f>
        <v/>
      </c>
      <c r="I478" s="0" t="str">
        <f aca="false">IF(473&lt;=(Eingabe!$P$18+Eingabe!$Q$18-1),MATCH(473,Eingabe!$P$9:$P$18,1),"")</f>
        <v/>
      </c>
      <c r="J478" s="0" t="str">
        <f aca="false">IF(I478="","",473-INDEX(Eingabe!$P$9:$P$18,I478))</f>
        <v/>
      </c>
      <c r="K478" s="0" t="str">
        <f aca="false">IF(I478="","",INDEX(Eingabe!$E$9:$E$18,I478))</f>
        <v/>
      </c>
    </row>
    <row r="479" customFormat="false" ht="15" hidden="false" customHeight="false" outlineLevel="0" collapsed="false">
      <c r="A479" s="0" t="str">
        <f aca="false">IF(I479="","",IF(J479=0,"Sparte "&amp;I479&amp;": "&amp;INDEX(Eingabe!$B$9:$B$18,I479)&amp;"  (Sparten-ID "&amp;INDEX(Eingabe!$D$9:$D$18,I479)&amp;", "&amp;K479&amp;" Parzellen)",IF(J479&lt;=K479,"   Parzelle "&amp;J479,IF(J479=K479+1,"   Vorstand",IF(J479=K479+2,"   Gäste",IF(J479=K479+3,"   Technik (Switches, Access Points)",""))))))</f>
        <v/>
      </c>
      <c r="B479" s="0" t="str">
        <f aca="false">IF(I479="","",IF(AND(J479&gt;=1,J479&lt;=K479+3),IF(J479&lt;=K479,IF(J479&lt;=99,IF((INDEX(Eingabe!$G$9:$G$18,I479))&lt;=9,1000+(INDEX(Eingabe!$G$9:$G$18,I479))*100,3000)+J479,IF((INDEX(Eingabe!$G$9:$G$18,I479)+1)&lt;=9,1000+(INDEX(Eingabe!$G$9:$G$18,I479)+1)*100,3000)+J479-100),IF(J479=K479+1,2000+INDEX(Eingabe!$G$9:$G$18,I479)*10+1,IF(J479=K479+2,2000+INDEX(Eingabe!$G$9:$G$18,I479)*10+2,2000+INDEX(Eingabe!$G$9:$G$18,I479)*10+9))),""))</f>
        <v/>
      </c>
      <c r="C479" s="0" t="str">
        <f aca="false">IF(I479="","",IF(AND(J479&gt;=1,J479&lt;=K479+3),"10."&amp;INDEX(Eingabe!$D$9:$D$18,I479)&amp;"."&amp;IF(J479&lt;=K479,J479,IF(J479=K479+1,200,IF(J479=K479+2,201,250)))&amp;".0/24",""))</f>
        <v/>
      </c>
      <c r="D479" s="0" t="str">
        <f aca="false">IF(I479="","",IF(AND(J479&gt;=1,J479&lt;=K479+3),"255.255.255.0",""))</f>
        <v/>
      </c>
      <c r="E479" s="0" t="str">
        <f aca="false">IF(I479="","",IF(AND(J479&gt;=1,J479&lt;=K479+3),"10."&amp;INDEX(Eingabe!$D$9:$D$18,I479)&amp;"."&amp;IF(J479&lt;=K479,J479,IF(J479=K479+1,200,IF(J479=K479+2,201,250)))&amp;".1",""))</f>
        <v/>
      </c>
      <c r="F479" s="0" t="str">
        <f aca="false">IF(I479="","",IF(AND(J479&gt;=1,J479&lt;=K479+3),"10."&amp;INDEX(Eingabe!$D$9:$D$18,I479)&amp;"."&amp;IF(J479&lt;=K479,J479,IF(J479=K479+1,200,IF(J479=K479+2,201,250)))&amp;".10 – 10."&amp;INDEX(Eingabe!$D$9:$D$18,I479)&amp;"."&amp;IF(J479&lt;=K479,J479,IF(J479=K479+1,200,IF(J479=K479+2,201,250)))&amp;".250",""))</f>
        <v/>
      </c>
      <c r="G479" s="0" t="str">
        <f aca="false">IF(I479="","",IF(AND(J479&gt;=1,J479&lt;=K479),Eingabe!$B$6&amp;"-"&amp;INDEX(Eingabe!$C$9:$C$18,I479)&amp;"-Pächter  ·  Passwort Parzelle "&amp;J479,IF(J479=K479+1,Eingabe!$B$6&amp;"-"&amp;INDEX(Eingabe!$C$9:$C$18,I479)&amp;"-Vorstand  ·  eigenes WLAN",IF(J479=K479+2,Eingabe!$B$6&amp;"-"&amp;INDEX(Eingabe!$C$9:$C$18,I479)&amp;"-Gäste  ·  Voucher",IF(J479=K479+3,"Kabel  ·  Access Point y = .(50+y), Mast-Switch x = .(10+x)","")))))</f>
        <v/>
      </c>
      <c r="I479" s="0" t="str">
        <f aca="false">IF(474&lt;=(Eingabe!$P$18+Eingabe!$Q$18-1),MATCH(474,Eingabe!$P$9:$P$18,1),"")</f>
        <v/>
      </c>
      <c r="J479" s="0" t="str">
        <f aca="false">IF(I479="","",474-INDEX(Eingabe!$P$9:$P$18,I479))</f>
        <v/>
      </c>
      <c r="K479" s="0" t="str">
        <f aca="false">IF(I479="","",INDEX(Eingabe!$E$9:$E$18,I479))</f>
        <v/>
      </c>
    </row>
    <row r="480" customFormat="false" ht="15" hidden="false" customHeight="false" outlineLevel="0" collapsed="false">
      <c r="A480" s="0" t="str">
        <f aca="false">IF(I480="","",IF(J480=0,"Sparte "&amp;I480&amp;": "&amp;INDEX(Eingabe!$B$9:$B$18,I480)&amp;"  (Sparten-ID "&amp;INDEX(Eingabe!$D$9:$D$18,I480)&amp;", "&amp;K480&amp;" Parzellen)",IF(J480&lt;=K480,"   Parzelle "&amp;J480,IF(J480=K480+1,"   Vorstand",IF(J480=K480+2,"   Gäste",IF(J480=K480+3,"   Technik (Switches, Access Points)",""))))))</f>
        <v/>
      </c>
      <c r="B480" s="0" t="str">
        <f aca="false">IF(I480="","",IF(AND(J480&gt;=1,J480&lt;=K480+3),IF(J480&lt;=K480,IF(J480&lt;=99,IF((INDEX(Eingabe!$G$9:$G$18,I480))&lt;=9,1000+(INDEX(Eingabe!$G$9:$G$18,I480))*100,3000)+J480,IF((INDEX(Eingabe!$G$9:$G$18,I480)+1)&lt;=9,1000+(INDEX(Eingabe!$G$9:$G$18,I480)+1)*100,3000)+J480-100),IF(J480=K480+1,2000+INDEX(Eingabe!$G$9:$G$18,I480)*10+1,IF(J480=K480+2,2000+INDEX(Eingabe!$G$9:$G$18,I480)*10+2,2000+INDEX(Eingabe!$G$9:$G$18,I480)*10+9))),""))</f>
        <v/>
      </c>
      <c r="C480" s="0" t="str">
        <f aca="false">IF(I480="","",IF(AND(J480&gt;=1,J480&lt;=K480+3),"10."&amp;INDEX(Eingabe!$D$9:$D$18,I480)&amp;"."&amp;IF(J480&lt;=K480,J480,IF(J480=K480+1,200,IF(J480=K480+2,201,250)))&amp;".0/24",""))</f>
        <v/>
      </c>
      <c r="D480" s="0" t="str">
        <f aca="false">IF(I480="","",IF(AND(J480&gt;=1,J480&lt;=K480+3),"255.255.255.0",""))</f>
        <v/>
      </c>
      <c r="E480" s="0" t="str">
        <f aca="false">IF(I480="","",IF(AND(J480&gt;=1,J480&lt;=K480+3),"10."&amp;INDEX(Eingabe!$D$9:$D$18,I480)&amp;"."&amp;IF(J480&lt;=K480,J480,IF(J480=K480+1,200,IF(J480=K480+2,201,250)))&amp;".1",""))</f>
        <v/>
      </c>
      <c r="F480" s="0" t="str">
        <f aca="false">IF(I480="","",IF(AND(J480&gt;=1,J480&lt;=K480+3),"10."&amp;INDEX(Eingabe!$D$9:$D$18,I480)&amp;"."&amp;IF(J480&lt;=K480,J480,IF(J480=K480+1,200,IF(J480=K480+2,201,250)))&amp;".10 – 10."&amp;INDEX(Eingabe!$D$9:$D$18,I480)&amp;"."&amp;IF(J480&lt;=K480,J480,IF(J480=K480+1,200,IF(J480=K480+2,201,250)))&amp;".250",""))</f>
        <v/>
      </c>
      <c r="G480" s="0" t="str">
        <f aca="false">IF(I480="","",IF(AND(J480&gt;=1,J480&lt;=K480),Eingabe!$B$6&amp;"-"&amp;INDEX(Eingabe!$C$9:$C$18,I480)&amp;"-Pächter  ·  Passwort Parzelle "&amp;J480,IF(J480=K480+1,Eingabe!$B$6&amp;"-"&amp;INDEX(Eingabe!$C$9:$C$18,I480)&amp;"-Vorstand  ·  eigenes WLAN",IF(J480=K480+2,Eingabe!$B$6&amp;"-"&amp;INDEX(Eingabe!$C$9:$C$18,I480)&amp;"-Gäste  ·  Voucher",IF(J480=K480+3,"Kabel  ·  Access Point y = .(50+y), Mast-Switch x = .(10+x)","")))))</f>
        <v/>
      </c>
      <c r="I480" s="0" t="str">
        <f aca="false">IF(475&lt;=(Eingabe!$P$18+Eingabe!$Q$18-1),MATCH(475,Eingabe!$P$9:$P$18,1),"")</f>
        <v/>
      </c>
      <c r="J480" s="0" t="str">
        <f aca="false">IF(I480="","",475-INDEX(Eingabe!$P$9:$P$18,I480))</f>
        <v/>
      </c>
      <c r="K480" s="0" t="str">
        <f aca="false">IF(I480="","",INDEX(Eingabe!$E$9:$E$18,I480))</f>
        <v/>
      </c>
    </row>
    <row r="481" customFormat="false" ht="15" hidden="false" customHeight="false" outlineLevel="0" collapsed="false">
      <c r="A481" s="0" t="str">
        <f aca="false">IF(I481="","",IF(J481=0,"Sparte "&amp;I481&amp;": "&amp;INDEX(Eingabe!$B$9:$B$18,I481)&amp;"  (Sparten-ID "&amp;INDEX(Eingabe!$D$9:$D$18,I481)&amp;", "&amp;K481&amp;" Parzellen)",IF(J481&lt;=K481,"   Parzelle "&amp;J481,IF(J481=K481+1,"   Vorstand",IF(J481=K481+2,"   Gäste",IF(J481=K481+3,"   Technik (Switches, Access Points)",""))))))</f>
        <v/>
      </c>
      <c r="B481" s="0" t="str">
        <f aca="false">IF(I481="","",IF(AND(J481&gt;=1,J481&lt;=K481+3),IF(J481&lt;=K481,IF(J481&lt;=99,IF((INDEX(Eingabe!$G$9:$G$18,I481))&lt;=9,1000+(INDEX(Eingabe!$G$9:$G$18,I481))*100,3000)+J481,IF((INDEX(Eingabe!$G$9:$G$18,I481)+1)&lt;=9,1000+(INDEX(Eingabe!$G$9:$G$18,I481)+1)*100,3000)+J481-100),IF(J481=K481+1,2000+INDEX(Eingabe!$G$9:$G$18,I481)*10+1,IF(J481=K481+2,2000+INDEX(Eingabe!$G$9:$G$18,I481)*10+2,2000+INDEX(Eingabe!$G$9:$G$18,I481)*10+9))),""))</f>
        <v/>
      </c>
      <c r="C481" s="0" t="str">
        <f aca="false">IF(I481="","",IF(AND(J481&gt;=1,J481&lt;=K481+3),"10."&amp;INDEX(Eingabe!$D$9:$D$18,I481)&amp;"."&amp;IF(J481&lt;=K481,J481,IF(J481=K481+1,200,IF(J481=K481+2,201,250)))&amp;".0/24",""))</f>
        <v/>
      </c>
      <c r="D481" s="0" t="str">
        <f aca="false">IF(I481="","",IF(AND(J481&gt;=1,J481&lt;=K481+3),"255.255.255.0",""))</f>
        <v/>
      </c>
      <c r="E481" s="0" t="str">
        <f aca="false">IF(I481="","",IF(AND(J481&gt;=1,J481&lt;=K481+3),"10."&amp;INDEX(Eingabe!$D$9:$D$18,I481)&amp;"."&amp;IF(J481&lt;=K481,J481,IF(J481=K481+1,200,IF(J481=K481+2,201,250)))&amp;".1",""))</f>
        <v/>
      </c>
      <c r="F481" s="0" t="str">
        <f aca="false">IF(I481="","",IF(AND(J481&gt;=1,J481&lt;=K481+3),"10."&amp;INDEX(Eingabe!$D$9:$D$18,I481)&amp;"."&amp;IF(J481&lt;=K481,J481,IF(J481=K481+1,200,IF(J481=K481+2,201,250)))&amp;".10 – 10."&amp;INDEX(Eingabe!$D$9:$D$18,I481)&amp;"."&amp;IF(J481&lt;=K481,J481,IF(J481=K481+1,200,IF(J481=K481+2,201,250)))&amp;".250",""))</f>
        <v/>
      </c>
      <c r="G481" s="0" t="str">
        <f aca="false">IF(I481="","",IF(AND(J481&gt;=1,J481&lt;=K481),Eingabe!$B$6&amp;"-"&amp;INDEX(Eingabe!$C$9:$C$18,I481)&amp;"-Pächter  ·  Passwort Parzelle "&amp;J481,IF(J481=K481+1,Eingabe!$B$6&amp;"-"&amp;INDEX(Eingabe!$C$9:$C$18,I481)&amp;"-Vorstand  ·  eigenes WLAN",IF(J481=K481+2,Eingabe!$B$6&amp;"-"&amp;INDEX(Eingabe!$C$9:$C$18,I481)&amp;"-Gäste  ·  Voucher",IF(J481=K481+3,"Kabel  ·  Access Point y = .(50+y), Mast-Switch x = .(10+x)","")))))</f>
        <v/>
      </c>
      <c r="I481" s="0" t="str">
        <f aca="false">IF(476&lt;=(Eingabe!$P$18+Eingabe!$Q$18-1),MATCH(476,Eingabe!$P$9:$P$18,1),"")</f>
        <v/>
      </c>
      <c r="J481" s="0" t="str">
        <f aca="false">IF(I481="","",476-INDEX(Eingabe!$P$9:$P$18,I481))</f>
        <v/>
      </c>
      <c r="K481" s="0" t="str">
        <f aca="false">IF(I481="","",INDEX(Eingabe!$E$9:$E$18,I481))</f>
        <v/>
      </c>
    </row>
    <row r="482" customFormat="false" ht="15" hidden="false" customHeight="false" outlineLevel="0" collapsed="false">
      <c r="A482" s="0" t="str">
        <f aca="false">IF(I482="","",IF(J482=0,"Sparte "&amp;I482&amp;": "&amp;INDEX(Eingabe!$B$9:$B$18,I482)&amp;"  (Sparten-ID "&amp;INDEX(Eingabe!$D$9:$D$18,I482)&amp;", "&amp;K482&amp;" Parzellen)",IF(J482&lt;=K482,"   Parzelle "&amp;J482,IF(J482=K482+1,"   Vorstand",IF(J482=K482+2,"   Gäste",IF(J482=K482+3,"   Technik (Switches, Access Points)",""))))))</f>
        <v/>
      </c>
      <c r="B482" s="0" t="str">
        <f aca="false">IF(I482="","",IF(AND(J482&gt;=1,J482&lt;=K482+3),IF(J482&lt;=K482,IF(J482&lt;=99,IF((INDEX(Eingabe!$G$9:$G$18,I482))&lt;=9,1000+(INDEX(Eingabe!$G$9:$G$18,I482))*100,3000)+J482,IF((INDEX(Eingabe!$G$9:$G$18,I482)+1)&lt;=9,1000+(INDEX(Eingabe!$G$9:$G$18,I482)+1)*100,3000)+J482-100),IF(J482=K482+1,2000+INDEX(Eingabe!$G$9:$G$18,I482)*10+1,IF(J482=K482+2,2000+INDEX(Eingabe!$G$9:$G$18,I482)*10+2,2000+INDEX(Eingabe!$G$9:$G$18,I482)*10+9))),""))</f>
        <v/>
      </c>
      <c r="C482" s="0" t="str">
        <f aca="false">IF(I482="","",IF(AND(J482&gt;=1,J482&lt;=K482+3),"10."&amp;INDEX(Eingabe!$D$9:$D$18,I482)&amp;"."&amp;IF(J482&lt;=K482,J482,IF(J482=K482+1,200,IF(J482=K482+2,201,250)))&amp;".0/24",""))</f>
        <v/>
      </c>
      <c r="D482" s="0" t="str">
        <f aca="false">IF(I482="","",IF(AND(J482&gt;=1,J482&lt;=K482+3),"255.255.255.0",""))</f>
        <v/>
      </c>
      <c r="E482" s="0" t="str">
        <f aca="false">IF(I482="","",IF(AND(J482&gt;=1,J482&lt;=K482+3),"10."&amp;INDEX(Eingabe!$D$9:$D$18,I482)&amp;"."&amp;IF(J482&lt;=K482,J482,IF(J482=K482+1,200,IF(J482=K482+2,201,250)))&amp;".1",""))</f>
        <v/>
      </c>
      <c r="F482" s="0" t="str">
        <f aca="false">IF(I482="","",IF(AND(J482&gt;=1,J482&lt;=K482+3),"10."&amp;INDEX(Eingabe!$D$9:$D$18,I482)&amp;"."&amp;IF(J482&lt;=K482,J482,IF(J482=K482+1,200,IF(J482=K482+2,201,250)))&amp;".10 – 10."&amp;INDEX(Eingabe!$D$9:$D$18,I482)&amp;"."&amp;IF(J482&lt;=K482,J482,IF(J482=K482+1,200,IF(J482=K482+2,201,250)))&amp;".250",""))</f>
        <v/>
      </c>
      <c r="G482" s="0" t="str">
        <f aca="false">IF(I482="","",IF(AND(J482&gt;=1,J482&lt;=K482),Eingabe!$B$6&amp;"-"&amp;INDEX(Eingabe!$C$9:$C$18,I482)&amp;"-Pächter  ·  Passwort Parzelle "&amp;J482,IF(J482=K482+1,Eingabe!$B$6&amp;"-"&amp;INDEX(Eingabe!$C$9:$C$18,I482)&amp;"-Vorstand  ·  eigenes WLAN",IF(J482=K482+2,Eingabe!$B$6&amp;"-"&amp;INDEX(Eingabe!$C$9:$C$18,I482)&amp;"-Gäste  ·  Voucher",IF(J482=K482+3,"Kabel  ·  Access Point y = .(50+y), Mast-Switch x = .(10+x)","")))))</f>
        <v/>
      </c>
      <c r="I482" s="0" t="str">
        <f aca="false">IF(477&lt;=(Eingabe!$P$18+Eingabe!$Q$18-1),MATCH(477,Eingabe!$P$9:$P$18,1),"")</f>
        <v/>
      </c>
      <c r="J482" s="0" t="str">
        <f aca="false">IF(I482="","",477-INDEX(Eingabe!$P$9:$P$18,I482))</f>
        <v/>
      </c>
      <c r="K482" s="0" t="str">
        <f aca="false">IF(I482="","",INDEX(Eingabe!$E$9:$E$18,I482))</f>
        <v/>
      </c>
    </row>
    <row r="483" customFormat="false" ht="15" hidden="false" customHeight="false" outlineLevel="0" collapsed="false">
      <c r="A483" s="0" t="str">
        <f aca="false">IF(I483="","",IF(J483=0,"Sparte "&amp;I483&amp;": "&amp;INDEX(Eingabe!$B$9:$B$18,I483)&amp;"  (Sparten-ID "&amp;INDEX(Eingabe!$D$9:$D$18,I483)&amp;", "&amp;K483&amp;" Parzellen)",IF(J483&lt;=K483,"   Parzelle "&amp;J483,IF(J483=K483+1,"   Vorstand",IF(J483=K483+2,"   Gäste",IF(J483=K483+3,"   Technik (Switches, Access Points)",""))))))</f>
        <v/>
      </c>
      <c r="B483" s="0" t="str">
        <f aca="false">IF(I483="","",IF(AND(J483&gt;=1,J483&lt;=K483+3),IF(J483&lt;=K483,IF(J483&lt;=99,IF((INDEX(Eingabe!$G$9:$G$18,I483))&lt;=9,1000+(INDEX(Eingabe!$G$9:$G$18,I483))*100,3000)+J483,IF((INDEX(Eingabe!$G$9:$G$18,I483)+1)&lt;=9,1000+(INDEX(Eingabe!$G$9:$G$18,I483)+1)*100,3000)+J483-100),IF(J483=K483+1,2000+INDEX(Eingabe!$G$9:$G$18,I483)*10+1,IF(J483=K483+2,2000+INDEX(Eingabe!$G$9:$G$18,I483)*10+2,2000+INDEX(Eingabe!$G$9:$G$18,I483)*10+9))),""))</f>
        <v/>
      </c>
      <c r="C483" s="0" t="str">
        <f aca="false">IF(I483="","",IF(AND(J483&gt;=1,J483&lt;=K483+3),"10."&amp;INDEX(Eingabe!$D$9:$D$18,I483)&amp;"."&amp;IF(J483&lt;=K483,J483,IF(J483=K483+1,200,IF(J483=K483+2,201,250)))&amp;".0/24",""))</f>
        <v/>
      </c>
      <c r="D483" s="0" t="str">
        <f aca="false">IF(I483="","",IF(AND(J483&gt;=1,J483&lt;=K483+3),"255.255.255.0",""))</f>
        <v/>
      </c>
      <c r="E483" s="0" t="str">
        <f aca="false">IF(I483="","",IF(AND(J483&gt;=1,J483&lt;=K483+3),"10."&amp;INDEX(Eingabe!$D$9:$D$18,I483)&amp;"."&amp;IF(J483&lt;=K483,J483,IF(J483=K483+1,200,IF(J483=K483+2,201,250)))&amp;".1",""))</f>
        <v/>
      </c>
      <c r="F483" s="0" t="str">
        <f aca="false">IF(I483="","",IF(AND(J483&gt;=1,J483&lt;=K483+3),"10."&amp;INDEX(Eingabe!$D$9:$D$18,I483)&amp;"."&amp;IF(J483&lt;=K483,J483,IF(J483=K483+1,200,IF(J483=K483+2,201,250)))&amp;".10 – 10."&amp;INDEX(Eingabe!$D$9:$D$18,I483)&amp;"."&amp;IF(J483&lt;=K483,J483,IF(J483=K483+1,200,IF(J483=K483+2,201,250)))&amp;".250",""))</f>
        <v/>
      </c>
      <c r="G483" s="0" t="str">
        <f aca="false">IF(I483="","",IF(AND(J483&gt;=1,J483&lt;=K483),Eingabe!$B$6&amp;"-"&amp;INDEX(Eingabe!$C$9:$C$18,I483)&amp;"-Pächter  ·  Passwort Parzelle "&amp;J483,IF(J483=K483+1,Eingabe!$B$6&amp;"-"&amp;INDEX(Eingabe!$C$9:$C$18,I483)&amp;"-Vorstand  ·  eigenes WLAN",IF(J483=K483+2,Eingabe!$B$6&amp;"-"&amp;INDEX(Eingabe!$C$9:$C$18,I483)&amp;"-Gäste  ·  Voucher",IF(J483=K483+3,"Kabel  ·  Access Point y = .(50+y), Mast-Switch x = .(10+x)","")))))</f>
        <v/>
      </c>
      <c r="I483" s="0" t="str">
        <f aca="false">IF(478&lt;=(Eingabe!$P$18+Eingabe!$Q$18-1),MATCH(478,Eingabe!$P$9:$P$18,1),"")</f>
        <v/>
      </c>
      <c r="J483" s="0" t="str">
        <f aca="false">IF(I483="","",478-INDEX(Eingabe!$P$9:$P$18,I483))</f>
        <v/>
      </c>
      <c r="K483" s="0" t="str">
        <f aca="false">IF(I483="","",INDEX(Eingabe!$E$9:$E$18,I483))</f>
        <v/>
      </c>
    </row>
    <row r="484" customFormat="false" ht="15" hidden="false" customHeight="false" outlineLevel="0" collapsed="false">
      <c r="A484" s="0" t="str">
        <f aca="false">IF(I484="","",IF(J484=0,"Sparte "&amp;I484&amp;": "&amp;INDEX(Eingabe!$B$9:$B$18,I484)&amp;"  (Sparten-ID "&amp;INDEX(Eingabe!$D$9:$D$18,I484)&amp;", "&amp;K484&amp;" Parzellen)",IF(J484&lt;=K484,"   Parzelle "&amp;J484,IF(J484=K484+1,"   Vorstand",IF(J484=K484+2,"   Gäste",IF(J484=K484+3,"   Technik (Switches, Access Points)",""))))))</f>
        <v/>
      </c>
      <c r="B484" s="0" t="str">
        <f aca="false">IF(I484="","",IF(AND(J484&gt;=1,J484&lt;=K484+3),IF(J484&lt;=K484,IF(J484&lt;=99,IF((INDEX(Eingabe!$G$9:$G$18,I484))&lt;=9,1000+(INDEX(Eingabe!$G$9:$G$18,I484))*100,3000)+J484,IF((INDEX(Eingabe!$G$9:$G$18,I484)+1)&lt;=9,1000+(INDEX(Eingabe!$G$9:$G$18,I484)+1)*100,3000)+J484-100),IF(J484=K484+1,2000+INDEX(Eingabe!$G$9:$G$18,I484)*10+1,IF(J484=K484+2,2000+INDEX(Eingabe!$G$9:$G$18,I484)*10+2,2000+INDEX(Eingabe!$G$9:$G$18,I484)*10+9))),""))</f>
        <v/>
      </c>
      <c r="C484" s="0" t="str">
        <f aca="false">IF(I484="","",IF(AND(J484&gt;=1,J484&lt;=K484+3),"10."&amp;INDEX(Eingabe!$D$9:$D$18,I484)&amp;"."&amp;IF(J484&lt;=K484,J484,IF(J484=K484+1,200,IF(J484=K484+2,201,250)))&amp;".0/24",""))</f>
        <v/>
      </c>
      <c r="D484" s="0" t="str">
        <f aca="false">IF(I484="","",IF(AND(J484&gt;=1,J484&lt;=K484+3),"255.255.255.0",""))</f>
        <v/>
      </c>
      <c r="E484" s="0" t="str">
        <f aca="false">IF(I484="","",IF(AND(J484&gt;=1,J484&lt;=K484+3),"10."&amp;INDEX(Eingabe!$D$9:$D$18,I484)&amp;"."&amp;IF(J484&lt;=K484,J484,IF(J484=K484+1,200,IF(J484=K484+2,201,250)))&amp;".1",""))</f>
        <v/>
      </c>
      <c r="F484" s="0" t="str">
        <f aca="false">IF(I484="","",IF(AND(J484&gt;=1,J484&lt;=K484+3),"10."&amp;INDEX(Eingabe!$D$9:$D$18,I484)&amp;"."&amp;IF(J484&lt;=K484,J484,IF(J484=K484+1,200,IF(J484=K484+2,201,250)))&amp;".10 – 10."&amp;INDEX(Eingabe!$D$9:$D$18,I484)&amp;"."&amp;IF(J484&lt;=K484,J484,IF(J484=K484+1,200,IF(J484=K484+2,201,250)))&amp;".250",""))</f>
        <v/>
      </c>
      <c r="G484" s="0" t="str">
        <f aca="false">IF(I484="","",IF(AND(J484&gt;=1,J484&lt;=K484),Eingabe!$B$6&amp;"-"&amp;INDEX(Eingabe!$C$9:$C$18,I484)&amp;"-Pächter  ·  Passwort Parzelle "&amp;J484,IF(J484=K484+1,Eingabe!$B$6&amp;"-"&amp;INDEX(Eingabe!$C$9:$C$18,I484)&amp;"-Vorstand  ·  eigenes WLAN",IF(J484=K484+2,Eingabe!$B$6&amp;"-"&amp;INDEX(Eingabe!$C$9:$C$18,I484)&amp;"-Gäste  ·  Voucher",IF(J484=K484+3,"Kabel  ·  Access Point y = .(50+y), Mast-Switch x = .(10+x)","")))))</f>
        <v/>
      </c>
      <c r="I484" s="0" t="str">
        <f aca="false">IF(479&lt;=(Eingabe!$P$18+Eingabe!$Q$18-1),MATCH(479,Eingabe!$P$9:$P$18,1),"")</f>
        <v/>
      </c>
      <c r="J484" s="0" t="str">
        <f aca="false">IF(I484="","",479-INDEX(Eingabe!$P$9:$P$18,I484))</f>
        <v/>
      </c>
      <c r="K484" s="0" t="str">
        <f aca="false">IF(I484="","",INDEX(Eingabe!$E$9:$E$18,I484))</f>
        <v/>
      </c>
    </row>
    <row r="485" customFormat="false" ht="15" hidden="false" customHeight="false" outlineLevel="0" collapsed="false">
      <c r="A485" s="0" t="str">
        <f aca="false">IF(I485="","",IF(J485=0,"Sparte "&amp;I485&amp;": "&amp;INDEX(Eingabe!$B$9:$B$18,I485)&amp;"  (Sparten-ID "&amp;INDEX(Eingabe!$D$9:$D$18,I485)&amp;", "&amp;K485&amp;" Parzellen)",IF(J485&lt;=K485,"   Parzelle "&amp;J485,IF(J485=K485+1,"   Vorstand",IF(J485=K485+2,"   Gäste",IF(J485=K485+3,"   Technik (Switches, Access Points)",""))))))</f>
        <v/>
      </c>
      <c r="B485" s="0" t="str">
        <f aca="false">IF(I485="","",IF(AND(J485&gt;=1,J485&lt;=K485+3),IF(J485&lt;=K485,IF(J485&lt;=99,IF((INDEX(Eingabe!$G$9:$G$18,I485))&lt;=9,1000+(INDEX(Eingabe!$G$9:$G$18,I485))*100,3000)+J485,IF((INDEX(Eingabe!$G$9:$G$18,I485)+1)&lt;=9,1000+(INDEX(Eingabe!$G$9:$G$18,I485)+1)*100,3000)+J485-100),IF(J485=K485+1,2000+INDEX(Eingabe!$G$9:$G$18,I485)*10+1,IF(J485=K485+2,2000+INDEX(Eingabe!$G$9:$G$18,I485)*10+2,2000+INDEX(Eingabe!$G$9:$G$18,I485)*10+9))),""))</f>
        <v/>
      </c>
      <c r="C485" s="0" t="str">
        <f aca="false">IF(I485="","",IF(AND(J485&gt;=1,J485&lt;=K485+3),"10."&amp;INDEX(Eingabe!$D$9:$D$18,I485)&amp;"."&amp;IF(J485&lt;=K485,J485,IF(J485=K485+1,200,IF(J485=K485+2,201,250)))&amp;".0/24",""))</f>
        <v/>
      </c>
      <c r="D485" s="0" t="str">
        <f aca="false">IF(I485="","",IF(AND(J485&gt;=1,J485&lt;=K485+3),"255.255.255.0",""))</f>
        <v/>
      </c>
      <c r="E485" s="0" t="str">
        <f aca="false">IF(I485="","",IF(AND(J485&gt;=1,J485&lt;=K485+3),"10."&amp;INDEX(Eingabe!$D$9:$D$18,I485)&amp;"."&amp;IF(J485&lt;=K485,J485,IF(J485=K485+1,200,IF(J485=K485+2,201,250)))&amp;".1",""))</f>
        <v/>
      </c>
      <c r="F485" s="0" t="str">
        <f aca="false">IF(I485="","",IF(AND(J485&gt;=1,J485&lt;=K485+3),"10."&amp;INDEX(Eingabe!$D$9:$D$18,I485)&amp;"."&amp;IF(J485&lt;=K485,J485,IF(J485=K485+1,200,IF(J485=K485+2,201,250)))&amp;".10 – 10."&amp;INDEX(Eingabe!$D$9:$D$18,I485)&amp;"."&amp;IF(J485&lt;=K485,J485,IF(J485=K485+1,200,IF(J485=K485+2,201,250)))&amp;".250",""))</f>
        <v/>
      </c>
      <c r="G485" s="0" t="str">
        <f aca="false">IF(I485="","",IF(AND(J485&gt;=1,J485&lt;=K485),Eingabe!$B$6&amp;"-"&amp;INDEX(Eingabe!$C$9:$C$18,I485)&amp;"-Pächter  ·  Passwort Parzelle "&amp;J485,IF(J485=K485+1,Eingabe!$B$6&amp;"-"&amp;INDEX(Eingabe!$C$9:$C$18,I485)&amp;"-Vorstand  ·  eigenes WLAN",IF(J485=K485+2,Eingabe!$B$6&amp;"-"&amp;INDEX(Eingabe!$C$9:$C$18,I485)&amp;"-Gäste  ·  Voucher",IF(J485=K485+3,"Kabel  ·  Access Point y = .(50+y), Mast-Switch x = .(10+x)","")))))</f>
        <v/>
      </c>
      <c r="I485" s="0" t="str">
        <f aca="false">IF(480&lt;=(Eingabe!$P$18+Eingabe!$Q$18-1),MATCH(480,Eingabe!$P$9:$P$18,1),"")</f>
        <v/>
      </c>
      <c r="J485" s="0" t="str">
        <f aca="false">IF(I485="","",480-INDEX(Eingabe!$P$9:$P$18,I485))</f>
        <v/>
      </c>
      <c r="K485" s="0" t="str">
        <f aca="false">IF(I485="","",INDEX(Eingabe!$E$9:$E$18,I485))</f>
        <v/>
      </c>
    </row>
    <row r="486" customFormat="false" ht="15" hidden="false" customHeight="false" outlineLevel="0" collapsed="false">
      <c r="A486" s="0" t="str">
        <f aca="false">IF(I486="","",IF(J486=0,"Sparte "&amp;I486&amp;": "&amp;INDEX(Eingabe!$B$9:$B$18,I486)&amp;"  (Sparten-ID "&amp;INDEX(Eingabe!$D$9:$D$18,I486)&amp;", "&amp;K486&amp;" Parzellen)",IF(J486&lt;=K486,"   Parzelle "&amp;J486,IF(J486=K486+1,"   Vorstand",IF(J486=K486+2,"   Gäste",IF(J486=K486+3,"   Technik (Switches, Access Points)",""))))))</f>
        <v/>
      </c>
      <c r="B486" s="0" t="str">
        <f aca="false">IF(I486="","",IF(AND(J486&gt;=1,J486&lt;=K486+3),IF(J486&lt;=K486,IF(J486&lt;=99,IF((INDEX(Eingabe!$G$9:$G$18,I486))&lt;=9,1000+(INDEX(Eingabe!$G$9:$G$18,I486))*100,3000)+J486,IF((INDEX(Eingabe!$G$9:$G$18,I486)+1)&lt;=9,1000+(INDEX(Eingabe!$G$9:$G$18,I486)+1)*100,3000)+J486-100),IF(J486=K486+1,2000+INDEX(Eingabe!$G$9:$G$18,I486)*10+1,IF(J486=K486+2,2000+INDEX(Eingabe!$G$9:$G$18,I486)*10+2,2000+INDEX(Eingabe!$G$9:$G$18,I486)*10+9))),""))</f>
        <v/>
      </c>
      <c r="C486" s="0" t="str">
        <f aca="false">IF(I486="","",IF(AND(J486&gt;=1,J486&lt;=K486+3),"10."&amp;INDEX(Eingabe!$D$9:$D$18,I486)&amp;"."&amp;IF(J486&lt;=K486,J486,IF(J486=K486+1,200,IF(J486=K486+2,201,250)))&amp;".0/24",""))</f>
        <v/>
      </c>
      <c r="D486" s="0" t="str">
        <f aca="false">IF(I486="","",IF(AND(J486&gt;=1,J486&lt;=K486+3),"255.255.255.0",""))</f>
        <v/>
      </c>
      <c r="E486" s="0" t="str">
        <f aca="false">IF(I486="","",IF(AND(J486&gt;=1,J486&lt;=K486+3),"10."&amp;INDEX(Eingabe!$D$9:$D$18,I486)&amp;"."&amp;IF(J486&lt;=K486,J486,IF(J486=K486+1,200,IF(J486=K486+2,201,250)))&amp;".1",""))</f>
        <v/>
      </c>
      <c r="F486" s="0" t="str">
        <f aca="false">IF(I486="","",IF(AND(J486&gt;=1,J486&lt;=K486+3),"10."&amp;INDEX(Eingabe!$D$9:$D$18,I486)&amp;"."&amp;IF(J486&lt;=K486,J486,IF(J486=K486+1,200,IF(J486=K486+2,201,250)))&amp;".10 – 10."&amp;INDEX(Eingabe!$D$9:$D$18,I486)&amp;"."&amp;IF(J486&lt;=K486,J486,IF(J486=K486+1,200,IF(J486=K486+2,201,250)))&amp;".250",""))</f>
        <v/>
      </c>
      <c r="G486" s="0" t="str">
        <f aca="false">IF(I486="","",IF(AND(J486&gt;=1,J486&lt;=K486),Eingabe!$B$6&amp;"-"&amp;INDEX(Eingabe!$C$9:$C$18,I486)&amp;"-Pächter  ·  Passwort Parzelle "&amp;J486,IF(J486=K486+1,Eingabe!$B$6&amp;"-"&amp;INDEX(Eingabe!$C$9:$C$18,I486)&amp;"-Vorstand  ·  eigenes WLAN",IF(J486=K486+2,Eingabe!$B$6&amp;"-"&amp;INDEX(Eingabe!$C$9:$C$18,I486)&amp;"-Gäste  ·  Voucher",IF(J486=K486+3,"Kabel  ·  Access Point y = .(50+y), Mast-Switch x = .(10+x)","")))))</f>
        <v/>
      </c>
      <c r="I486" s="0" t="str">
        <f aca="false">IF(481&lt;=(Eingabe!$P$18+Eingabe!$Q$18-1),MATCH(481,Eingabe!$P$9:$P$18,1),"")</f>
        <v/>
      </c>
      <c r="J486" s="0" t="str">
        <f aca="false">IF(I486="","",481-INDEX(Eingabe!$P$9:$P$18,I486))</f>
        <v/>
      </c>
      <c r="K486" s="0" t="str">
        <f aca="false">IF(I486="","",INDEX(Eingabe!$E$9:$E$18,I486))</f>
        <v/>
      </c>
    </row>
    <row r="487" customFormat="false" ht="15" hidden="false" customHeight="false" outlineLevel="0" collapsed="false">
      <c r="A487" s="0" t="str">
        <f aca="false">IF(I487="","",IF(J487=0,"Sparte "&amp;I487&amp;": "&amp;INDEX(Eingabe!$B$9:$B$18,I487)&amp;"  (Sparten-ID "&amp;INDEX(Eingabe!$D$9:$D$18,I487)&amp;", "&amp;K487&amp;" Parzellen)",IF(J487&lt;=K487,"   Parzelle "&amp;J487,IF(J487=K487+1,"   Vorstand",IF(J487=K487+2,"   Gäste",IF(J487=K487+3,"   Technik (Switches, Access Points)",""))))))</f>
        <v/>
      </c>
      <c r="B487" s="0" t="str">
        <f aca="false">IF(I487="","",IF(AND(J487&gt;=1,J487&lt;=K487+3),IF(J487&lt;=K487,IF(J487&lt;=99,IF((INDEX(Eingabe!$G$9:$G$18,I487))&lt;=9,1000+(INDEX(Eingabe!$G$9:$G$18,I487))*100,3000)+J487,IF((INDEX(Eingabe!$G$9:$G$18,I487)+1)&lt;=9,1000+(INDEX(Eingabe!$G$9:$G$18,I487)+1)*100,3000)+J487-100),IF(J487=K487+1,2000+INDEX(Eingabe!$G$9:$G$18,I487)*10+1,IF(J487=K487+2,2000+INDEX(Eingabe!$G$9:$G$18,I487)*10+2,2000+INDEX(Eingabe!$G$9:$G$18,I487)*10+9))),""))</f>
        <v/>
      </c>
      <c r="C487" s="0" t="str">
        <f aca="false">IF(I487="","",IF(AND(J487&gt;=1,J487&lt;=K487+3),"10."&amp;INDEX(Eingabe!$D$9:$D$18,I487)&amp;"."&amp;IF(J487&lt;=K487,J487,IF(J487=K487+1,200,IF(J487=K487+2,201,250)))&amp;".0/24",""))</f>
        <v/>
      </c>
      <c r="D487" s="0" t="str">
        <f aca="false">IF(I487="","",IF(AND(J487&gt;=1,J487&lt;=K487+3),"255.255.255.0",""))</f>
        <v/>
      </c>
      <c r="E487" s="0" t="str">
        <f aca="false">IF(I487="","",IF(AND(J487&gt;=1,J487&lt;=K487+3),"10."&amp;INDEX(Eingabe!$D$9:$D$18,I487)&amp;"."&amp;IF(J487&lt;=K487,J487,IF(J487=K487+1,200,IF(J487=K487+2,201,250)))&amp;".1",""))</f>
        <v/>
      </c>
      <c r="F487" s="0" t="str">
        <f aca="false">IF(I487="","",IF(AND(J487&gt;=1,J487&lt;=K487+3),"10."&amp;INDEX(Eingabe!$D$9:$D$18,I487)&amp;"."&amp;IF(J487&lt;=K487,J487,IF(J487=K487+1,200,IF(J487=K487+2,201,250)))&amp;".10 – 10."&amp;INDEX(Eingabe!$D$9:$D$18,I487)&amp;"."&amp;IF(J487&lt;=K487,J487,IF(J487=K487+1,200,IF(J487=K487+2,201,250)))&amp;".250",""))</f>
        <v/>
      </c>
      <c r="G487" s="0" t="str">
        <f aca="false">IF(I487="","",IF(AND(J487&gt;=1,J487&lt;=K487),Eingabe!$B$6&amp;"-"&amp;INDEX(Eingabe!$C$9:$C$18,I487)&amp;"-Pächter  ·  Passwort Parzelle "&amp;J487,IF(J487=K487+1,Eingabe!$B$6&amp;"-"&amp;INDEX(Eingabe!$C$9:$C$18,I487)&amp;"-Vorstand  ·  eigenes WLAN",IF(J487=K487+2,Eingabe!$B$6&amp;"-"&amp;INDEX(Eingabe!$C$9:$C$18,I487)&amp;"-Gäste  ·  Voucher",IF(J487=K487+3,"Kabel  ·  Access Point y = .(50+y), Mast-Switch x = .(10+x)","")))))</f>
        <v/>
      </c>
      <c r="I487" s="0" t="str">
        <f aca="false">IF(482&lt;=(Eingabe!$P$18+Eingabe!$Q$18-1),MATCH(482,Eingabe!$P$9:$P$18,1),"")</f>
        <v/>
      </c>
      <c r="J487" s="0" t="str">
        <f aca="false">IF(I487="","",482-INDEX(Eingabe!$P$9:$P$18,I487))</f>
        <v/>
      </c>
      <c r="K487" s="0" t="str">
        <f aca="false">IF(I487="","",INDEX(Eingabe!$E$9:$E$18,I487))</f>
        <v/>
      </c>
    </row>
    <row r="488" customFormat="false" ht="15" hidden="false" customHeight="false" outlineLevel="0" collapsed="false">
      <c r="A488" s="0" t="str">
        <f aca="false">IF(I488="","",IF(J488=0,"Sparte "&amp;I488&amp;": "&amp;INDEX(Eingabe!$B$9:$B$18,I488)&amp;"  (Sparten-ID "&amp;INDEX(Eingabe!$D$9:$D$18,I488)&amp;", "&amp;K488&amp;" Parzellen)",IF(J488&lt;=K488,"   Parzelle "&amp;J488,IF(J488=K488+1,"   Vorstand",IF(J488=K488+2,"   Gäste",IF(J488=K488+3,"   Technik (Switches, Access Points)",""))))))</f>
        <v/>
      </c>
      <c r="B488" s="0" t="str">
        <f aca="false">IF(I488="","",IF(AND(J488&gt;=1,J488&lt;=K488+3),IF(J488&lt;=K488,IF(J488&lt;=99,IF((INDEX(Eingabe!$G$9:$G$18,I488))&lt;=9,1000+(INDEX(Eingabe!$G$9:$G$18,I488))*100,3000)+J488,IF((INDEX(Eingabe!$G$9:$G$18,I488)+1)&lt;=9,1000+(INDEX(Eingabe!$G$9:$G$18,I488)+1)*100,3000)+J488-100),IF(J488=K488+1,2000+INDEX(Eingabe!$G$9:$G$18,I488)*10+1,IF(J488=K488+2,2000+INDEX(Eingabe!$G$9:$G$18,I488)*10+2,2000+INDEX(Eingabe!$G$9:$G$18,I488)*10+9))),""))</f>
        <v/>
      </c>
      <c r="C488" s="0" t="str">
        <f aca="false">IF(I488="","",IF(AND(J488&gt;=1,J488&lt;=K488+3),"10."&amp;INDEX(Eingabe!$D$9:$D$18,I488)&amp;"."&amp;IF(J488&lt;=K488,J488,IF(J488=K488+1,200,IF(J488=K488+2,201,250)))&amp;".0/24",""))</f>
        <v/>
      </c>
      <c r="D488" s="0" t="str">
        <f aca="false">IF(I488="","",IF(AND(J488&gt;=1,J488&lt;=K488+3),"255.255.255.0",""))</f>
        <v/>
      </c>
      <c r="E488" s="0" t="str">
        <f aca="false">IF(I488="","",IF(AND(J488&gt;=1,J488&lt;=K488+3),"10."&amp;INDEX(Eingabe!$D$9:$D$18,I488)&amp;"."&amp;IF(J488&lt;=K488,J488,IF(J488=K488+1,200,IF(J488=K488+2,201,250)))&amp;".1",""))</f>
        <v/>
      </c>
      <c r="F488" s="0" t="str">
        <f aca="false">IF(I488="","",IF(AND(J488&gt;=1,J488&lt;=K488+3),"10."&amp;INDEX(Eingabe!$D$9:$D$18,I488)&amp;"."&amp;IF(J488&lt;=K488,J488,IF(J488=K488+1,200,IF(J488=K488+2,201,250)))&amp;".10 – 10."&amp;INDEX(Eingabe!$D$9:$D$18,I488)&amp;"."&amp;IF(J488&lt;=K488,J488,IF(J488=K488+1,200,IF(J488=K488+2,201,250)))&amp;".250",""))</f>
        <v/>
      </c>
      <c r="G488" s="0" t="str">
        <f aca="false">IF(I488="","",IF(AND(J488&gt;=1,J488&lt;=K488),Eingabe!$B$6&amp;"-"&amp;INDEX(Eingabe!$C$9:$C$18,I488)&amp;"-Pächter  ·  Passwort Parzelle "&amp;J488,IF(J488=K488+1,Eingabe!$B$6&amp;"-"&amp;INDEX(Eingabe!$C$9:$C$18,I488)&amp;"-Vorstand  ·  eigenes WLAN",IF(J488=K488+2,Eingabe!$B$6&amp;"-"&amp;INDEX(Eingabe!$C$9:$C$18,I488)&amp;"-Gäste  ·  Voucher",IF(J488=K488+3,"Kabel  ·  Access Point y = .(50+y), Mast-Switch x = .(10+x)","")))))</f>
        <v/>
      </c>
      <c r="I488" s="0" t="str">
        <f aca="false">IF(483&lt;=(Eingabe!$P$18+Eingabe!$Q$18-1),MATCH(483,Eingabe!$P$9:$P$18,1),"")</f>
        <v/>
      </c>
      <c r="J488" s="0" t="str">
        <f aca="false">IF(I488="","",483-INDEX(Eingabe!$P$9:$P$18,I488))</f>
        <v/>
      </c>
      <c r="K488" s="0" t="str">
        <f aca="false">IF(I488="","",INDEX(Eingabe!$E$9:$E$18,I488))</f>
        <v/>
      </c>
    </row>
    <row r="489" customFormat="false" ht="15" hidden="false" customHeight="false" outlineLevel="0" collapsed="false">
      <c r="A489" s="0" t="str">
        <f aca="false">IF(I489="","",IF(J489=0,"Sparte "&amp;I489&amp;": "&amp;INDEX(Eingabe!$B$9:$B$18,I489)&amp;"  (Sparten-ID "&amp;INDEX(Eingabe!$D$9:$D$18,I489)&amp;", "&amp;K489&amp;" Parzellen)",IF(J489&lt;=K489,"   Parzelle "&amp;J489,IF(J489=K489+1,"   Vorstand",IF(J489=K489+2,"   Gäste",IF(J489=K489+3,"   Technik (Switches, Access Points)",""))))))</f>
        <v/>
      </c>
      <c r="B489" s="0" t="str">
        <f aca="false">IF(I489="","",IF(AND(J489&gt;=1,J489&lt;=K489+3),IF(J489&lt;=K489,IF(J489&lt;=99,IF((INDEX(Eingabe!$G$9:$G$18,I489))&lt;=9,1000+(INDEX(Eingabe!$G$9:$G$18,I489))*100,3000)+J489,IF((INDEX(Eingabe!$G$9:$G$18,I489)+1)&lt;=9,1000+(INDEX(Eingabe!$G$9:$G$18,I489)+1)*100,3000)+J489-100),IF(J489=K489+1,2000+INDEX(Eingabe!$G$9:$G$18,I489)*10+1,IF(J489=K489+2,2000+INDEX(Eingabe!$G$9:$G$18,I489)*10+2,2000+INDEX(Eingabe!$G$9:$G$18,I489)*10+9))),""))</f>
        <v/>
      </c>
      <c r="C489" s="0" t="str">
        <f aca="false">IF(I489="","",IF(AND(J489&gt;=1,J489&lt;=K489+3),"10."&amp;INDEX(Eingabe!$D$9:$D$18,I489)&amp;"."&amp;IF(J489&lt;=K489,J489,IF(J489=K489+1,200,IF(J489=K489+2,201,250)))&amp;".0/24",""))</f>
        <v/>
      </c>
      <c r="D489" s="0" t="str">
        <f aca="false">IF(I489="","",IF(AND(J489&gt;=1,J489&lt;=K489+3),"255.255.255.0",""))</f>
        <v/>
      </c>
      <c r="E489" s="0" t="str">
        <f aca="false">IF(I489="","",IF(AND(J489&gt;=1,J489&lt;=K489+3),"10."&amp;INDEX(Eingabe!$D$9:$D$18,I489)&amp;"."&amp;IF(J489&lt;=K489,J489,IF(J489=K489+1,200,IF(J489=K489+2,201,250)))&amp;".1",""))</f>
        <v/>
      </c>
      <c r="F489" s="0" t="str">
        <f aca="false">IF(I489="","",IF(AND(J489&gt;=1,J489&lt;=K489+3),"10."&amp;INDEX(Eingabe!$D$9:$D$18,I489)&amp;"."&amp;IF(J489&lt;=K489,J489,IF(J489=K489+1,200,IF(J489=K489+2,201,250)))&amp;".10 – 10."&amp;INDEX(Eingabe!$D$9:$D$18,I489)&amp;"."&amp;IF(J489&lt;=K489,J489,IF(J489=K489+1,200,IF(J489=K489+2,201,250)))&amp;".250",""))</f>
        <v/>
      </c>
      <c r="G489" s="0" t="str">
        <f aca="false">IF(I489="","",IF(AND(J489&gt;=1,J489&lt;=K489),Eingabe!$B$6&amp;"-"&amp;INDEX(Eingabe!$C$9:$C$18,I489)&amp;"-Pächter  ·  Passwort Parzelle "&amp;J489,IF(J489=K489+1,Eingabe!$B$6&amp;"-"&amp;INDEX(Eingabe!$C$9:$C$18,I489)&amp;"-Vorstand  ·  eigenes WLAN",IF(J489=K489+2,Eingabe!$B$6&amp;"-"&amp;INDEX(Eingabe!$C$9:$C$18,I489)&amp;"-Gäste  ·  Voucher",IF(J489=K489+3,"Kabel  ·  Access Point y = .(50+y), Mast-Switch x = .(10+x)","")))))</f>
        <v/>
      </c>
      <c r="I489" s="0" t="str">
        <f aca="false">IF(484&lt;=(Eingabe!$P$18+Eingabe!$Q$18-1),MATCH(484,Eingabe!$P$9:$P$18,1),"")</f>
        <v/>
      </c>
      <c r="J489" s="0" t="str">
        <f aca="false">IF(I489="","",484-INDEX(Eingabe!$P$9:$P$18,I489))</f>
        <v/>
      </c>
      <c r="K489" s="0" t="str">
        <f aca="false">IF(I489="","",INDEX(Eingabe!$E$9:$E$18,I489))</f>
        <v/>
      </c>
    </row>
    <row r="490" customFormat="false" ht="15" hidden="false" customHeight="false" outlineLevel="0" collapsed="false">
      <c r="A490" s="0" t="str">
        <f aca="false">IF(I490="","",IF(J490=0,"Sparte "&amp;I490&amp;": "&amp;INDEX(Eingabe!$B$9:$B$18,I490)&amp;"  (Sparten-ID "&amp;INDEX(Eingabe!$D$9:$D$18,I490)&amp;", "&amp;K490&amp;" Parzellen)",IF(J490&lt;=K490,"   Parzelle "&amp;J490,IF(J490=K490+1,"   Vorstand",IF(J490=K490+2,"   Gäste",IF(J490=K490+3,"   Technik (Switches, Access Points)",""))))))</f>
        <v/>
      </c>
      <c r="B490" s="0" t="str">
        <f aca="false">IF(I490="","",IF(AND(J490&gt;=1,J490&lt;=K490+3),IF(J490&lt;=K490,IF(J490&lt;=99,IF((INDEX(Eingabe!$G$9:$G$18,I490))&lt;=9,1000+(INDEX(Eingabe!$G$9:$G$18,I490))*100,3000)+J490,IF((INDEX(Eingabe!$G$9:$G$18,I490)+1)&lt;=9,1000+(INDEX(Eingabe!$G$9:$G$18,I490)+1)*100,3000)+J490-100),IF(J490=K490+1,2000+INDEX(Eingabe!$G$9:$G$18,I490)*10+1,IF(J490=K490+2,2000+INDEX(Eingabe!$G$9:$G$18,I490)*10+2,2000+INDEX(Eingabe!$G$9:$G$18,I490)*10+9))),""))</f>
        <v/>
      </c>
      <c r="C490" s="0" t="str">
        <f aca="false">IF(I490="","",IF(AND(J490&gt;=1,J490&lt;=K490+3),"10."&amp;INDEX(Eingabe!$D$9:$D$18,I490)&amp;"."&amp;IF(J490&lt;=K490,J490,IF(J490=K490+1,200,IF(J490=K490+2,201,250)))&amp;".0/24",""))</f>
        <v/>
      </c>
      <c r="D490" s="0" t="str">
        <f aca="false">IF(I490="","",IF(AND(J490&gt;=1,J490&lt;=K490+3),"255.255.255.0",""))</f>
        <v/>
      </c>
      <c r="E490" s="0" t="str">
        <f aca="false">IF(I490="","",IF(AND(J490&gt;=1,J490&lt;=K490+3),"10."&amp;INDEX(Eingabe!$D$9:$D$18,I490)&amp;"."&amp;IF(J490&lt;=K490,J490,IF(J490=K490+1,200,IF(J490=K490+2,201,250)))&amp;".1",""))</f>
        <v/>
      </c>
      <c r="F490" s="0" t="str">
        <f aca="false">IF(I490="","",IF(AND(J490&gt;=1,J490&lt;=K490+3),"10."&amp;INDEX(Eingabe!$D$9:$D$18,I490)&amp;"."&amp;IF(J490&lt;=K490,J490,IF(J490=K490+1,200,IF(J490=K490+2,201,250)))&amp;".10 – 10."&amp;INDEX(Eingabe!$D$9:$D$18,I490)&amp;"."&amp;IF(J490&lt;=K490,J490,IF(J490=K490+1,200,IF(J490=K490+2,201,250)))&amp;".250",""))</f>
        <v/>
      </c>
      <c r="G490" s="0" t="str">
        <f aca="false">IF(I490="","",IF(AND(J490&gt;=1,J490&lt;=K490),Eingabe!$B$6&amp;"-"&amp;INDEX(Eingabe!$C$9:$C$18,I490)&amp;"-Pächter  ·  Passwort Parzelle "&amp;J490,IF(J490=K490+1,Eingabe!$B$6&amp;"-"&amp;INDEX(Eingabe!$C$9:$C$18,I490)&amp;"-Vorstand  ·  eigenes WLAN",IF(J490=K490+2,Eingabe!$B$6&amp;"-"&amp;INDEX(Eingabe!$C$9:$C$18,I490)&amp;"-Gäste  ·  Voucher",IF(J490=K490+3,"Kabel  ·  Access Point y = .(50+y), Mast-Switch x = .(10+x)","")))))</f>
        <v/>
      </c>
      <c r="I490" s="0" t="str">
        <f aca="false">IF(485&lt;=(Eingabe!$P$18+Eingabe!$Q$18-1),MATCH(485,Eingabe!$P$9:$P$18,1),"")</f>
        <v/>
      </c>
      <c r="J490" s="0" t="str">
        <f aca="false">IF(I490="","",485-INDEX(Eingabe!$P$9:$P$18,I490))</f>
        <v/>
      </c>
      <c r="K490" s="0" t="str">
        <f aca="false">IF(I490="","",INDEX(Eingabe!$E$9:$E$18,I490))</f>
        <v/>
      </c>
    </row>
    <row r="491" customFormat="false" ht="15" hidden="false" customHeight="false" outlineLevel="0" collapsed="false">
      <c r="A491" s="0" t="str">
        <f aca="false">IF(I491="","",IF(J491=0,"Sparte "&amp;I491&amp;": "&amp;INDEX(Eingabe!$B$9:$B$18,I491)&amp;"  (Sparten-ID "&amp;INDEX(Eingabe!$D$9:$D$18,I491)&amp;", "&amp;K491&amp;" Parzellen)",IF(J491&lt;=K491,"   Parzelle "&amp;J491,IF(J491=K491+1,"   Vorstand",IF(J491=K491+2,"   Gäste",IF(J491=K491+3,"   Technik (Switches, Access Points)",""))))))</f>
        <v/>
      </c>
      <c r="B491" s="0" t="str">
        <f aca="false">IF(I491="","",IF(AND(J491&gt;=1,J491&lt;=K491+3),IF(J491&lt;=K491,IF(J491&lt;=99,IF((INDEX(Eingabe!$G$9:$G$18,I491))&lt;=9,1000+(INDEX(Eingabe!$G$9:$G$18,I491))*100,3000)+J491,IF((INDEX(Eingabe!$G$9:$G$18,I491)+1)&lt;=9,1000+(INDEX(Eingabe!$G$9:$G$18,I491)+1)*100,3000)+J491-100),IF(J491=K491+1,2000+INDEX(Eingabe!$G$9:$G$18,I491)*10+1,IF(J491=K491+2,2000+INDEX(Eingabe!$G$9:$G$18,I491)*10+2,2000+INDEX(Eingabe!$G$9:$G$18,I491)*10+9))),""))</f>
        <v/>
      </c>
      <c r="C491" s="0" t="str">
        <f aca="false">IF(I491="","",IF(AND(J491&gt;=1,J491&lt;=K491+3),"10."&amp;INDEX(Eingabe!$D$9:$D$18,I491)&amp;"."&amp;IF(J491&lt;=K491,J491,IF(J491=K491+1,200,IF(J491=K491+2,201,250)))&amp;".0/24",""))</f>
        <v/>
      </c>
      <c r="D491" s="0" t="str">
        <f aca="false">IF(I491="","",IF(AND(J491&gt;=1,J491&lt;=K491+3),"255.255.255.0",""))</f>
        <v/>
      </c>
      <c r="E491" s="0" t="str">
        <f aca="false">IF(I491="","",IF(AND(J491&gt;=1,J491&lt;=K491+3),"10."&amp;INDEX(Eingabe!$D$9:$D$18,I491)&amp;"."&amp;IF(J491&lt;=K491,J491,IF(J491=K491+1,200,IF(J491=K491+2,201,250)))&amp;".1",""))</f>
        <v/>
      </c>
      <c r="F491" s="0" t="str">
        <f aca="false">IF(I491="","",IF(AND(J491&gt;=1,J491&lt;=K491+3),"10."&amp;INDEX(Eingabe!$D$9:$D$18,I491)&amp;"."&amp;IF(J491&lt;=K491,J491,IF(J491=K491+1,200,IF(J491=K491+2,201,250)))&amp;".10 – 10."&amp;INDEX(Eingabe!$D$9:$D$18,I491)&amp;"."&amp;IF(J491&lt;=K491,J491,IF(J491=K491+1,200,IF(J491=K491+2,201,250)))&amp;".250",""))</f>
        <v/>
      </c>
      <c r="G491" s="0" t="str">
        <f aca="false">IF(I491="","",IF(AND(J491&gt;=1,J491&lt;=K491),Eingabe!$B$6&amp;"-"&amp;INDEX(Eingabe!$C$9:$C$18,I491)&amp;"-Pächter  ·  Passwort Parzelle "&amp;J491,IF(J491=K491+1,Eingabe!$B$6&amp;"-"&amp;INDEX(Eingabe!$C$9:$C$18,I491)&amp;"-Vorstand  ·  eigenes WLAN",IF(J491=K491+2,Eingabe!$B$6&amp;"-"&amp;INDEX(Eingabe!$C$9:$C$18,I491)&amp;"-Gäste  ·  Voucher",IF(J491=K491+3,"Kabel  ·  Access Point y = .(50+y), Mast-Switch x = .(10+x)","")))))</f>
        <v/>
      </c>
      <c r="I491" s="0" t="str">
        <f aca="false">IF(486&lt;=(Eingabe!$P$18+Eingabe!$Q$18-1),MATCH(486,Eingabe!$P$9:$P$18,1),"")</f>
        <v/>
      </c>
      <c r="J491" s="0" t="str">
        <f aca="false">IF(I491="","",486-INDEX(Eingabe!$P$9:$P$18,I491))</f>
        <v/>
      </c>
      <c r="K491" s="0" t="str">
        <f aca="false">IF(I491="","",INDEX(Eingabe!$E$9:$E$18,I491))</f>
        <v/>
      </c>
    </row>
    <row r="492" customFormat="false" ht="15" hidden="false" customHeight="false" outlineLevel="0" collapsed="false">
      <c r="A492" s="0" t="str">
        <f aca="false">IF(I492="","",IF(J492=0,"Sparte "&amp;I492&amp;": "&amp;INDEX(Eingabe!$B$9:$B$18,I492)&amp;"  (Sparten-ID "&amp;INDEX(Eingabe!$D$9:$D$18,I492)&amp;", "&amp;K492&amp;" Parzellen)",IF(J492&lt;=K492,"   Parzelle "&amp;J492,IF(J492=K492+1,"   Vorstand",IF(J492=K492+2,"   Gäste",IF(J492=K492+3,"   Technik (Switches, Access Points)",""))))))</f>
        <v/>
      </c>
      <c r="B492" s="0" t="str">
        <f aca="false">IF(I492="","",IF(AND(J492&gt;=1,J492&lt;=K492+3),IF(J492&lt;=K492,IF(J492&lt;=99,IF((INDEX(Eingabe!$G$9:$G$18,I492))&lt;=9,1000+(INDEX(Eingabe!$G$9:$G$18,I492))*100,3000)+J492,IF((INDEX(Eingabe!$G$9:$G$18,I492)+1)&lt;=9,1000+(INDEX(Eingabe!$G$9:$G$18,I492)+1)*100,3000)+J492-100),IF(J492=K492+1,2000+INDEX(Eingabe!$G$9:$G$18,I492)*10+1,IF(J492=K492+2,2000+INDEX(Eingabe!$G$9:$G$18,I492)*10+2,2000+INDEX(Eingabe!$G$9:$G$18,I492)*10+9))),""))</f>
        <v/>
      </c>
      <c r="C492" s="0" t="str">
        <f aca="false">IF(I492="","",IF(AND(J492&gt;=1,J492&lt;=K492+3),"10."&amp;INDEX(Eingabe!$D$9:$D$18,I492)&amp;"."&amp;IF(J492&lt;=K492,J492,IF(J492=K492+1,200,IF(J492=K492+2,201,250)))&amp;".0/24",""))</f>
        <v/>
      </c>
      <c r="D492" s="0" t="str">
        <f aca="false">IF(I492="","",IF(AND(J492&gt;=1,J492&lt;=K492+3),"255.255.255.0",""))</f>
        <v/>
      </c>
      <c r="E492" s="0" t="str">
        <f aca="false">IF(I492="","",IF(AND(J492&gt;=1,J492&lt;=K492+3),"10."&amp;INDEX(Eingabe!$D$9:$D$18,I492)&amp;"."&amp;IF(J492&lt;=K492,J492,IF(J492=K492+1,200,IF(J492=K492+2,201,250)))&amp;".1",""))</f>
        <v/>
      </c>
      <c r="F492" s="0" t="str">
        <f aca="false">IF(I492="","",IF(AND(J492&gt;=1,J492&lt;=K492+3),"10."&amp;INDEX(Eingabe!$D$9:$D$18,I492)&amp;"."&amp;IF(J492&lt;=K492,J492,IF(J492=K492+1,200,IF(J492=K492+2,201,250)))&amp;".10 – 10."&amp;INDEX(Eingabe!$D$9:$D$18,I492)&amp;"."&amp;IF(J492&lt;=K492,J492,IF(J492=K492+1,200,IF(J492=K492+2,201,250)))&amp;".250",""))</f>
        <v/>
      </c>
      <c r="G492" s="0" t="str">
        <f aca="false">IF(I492="","",IF(AND(J492&gt;=1,J492&lt;=K492),Eingabe!$B$6&amp;"-"&amp;INDEX(Eingabe!$C$9:$C$18,I492)&amp;"-Pächter  ·  Passwort Parzelle "&amp;J492,IF(J492=K492+1,Eingabe!$B$6&amp;"-"&amp;INDEX(Eingabe!$C$9:$C$18,I492)&amp;"-Vorstand  ·  eigenes WLAN",IF(J492=K492+2,Eingabe!$B$6&amp;"-"&amp;INDEX(Eingabe!$C$9:$C$18,I492)&amp;"-Gäste  ·  Voucher",IF(J492=K492+3,"Kabel  ·  Access Point y = .(50+y), Mast-Switch x = .(10+x)","")))))</f>
        <v/>
      </c>
      <c r="I492" s="0" t="str">
        <f aca="false">IF(487&lt;=(Eingabe!$P$18+Eingabe!$Q$18-1),MATCH(487,Eingabe!$P$9:$P$18,1),"")</f>
        <v/>
      </c>
      <c r="J492" s="0" t="str">
        <f aca="false">IF(I492="","",487-INDEX(Eingabe!$P$9:$P$18,I492))</f>
        <v/>
      </c>
      <c r="K492" s="0" t="str">
        <f aca="false">IF(I492="","",INDEX(Eingabe!$E$9:$E$18,I492))</f>
        <v/>
      </c>
    </row>
    <row r="493" customFormat="false" ht="15" hidden="false" customHeight="false" outlineLevel="0" collapsed="false">
      <c r="A493" s="0" t="str">
        <f aca="false">IF(I493="","",IF(J493=0,"Sparte "&amp;I493&amp;": "&amp;INDEX(Eingabe!$B$9:$B$18,I493)&amp;"  (Sparten-ID "&amp;INDEX(Eingabe!$D$9:$D$18,I493)&amp;", "&amp;K493&amp;" Parzellen)",IF(J493&lt;=K493,"   Parzelle "&amp;J493,IF(J493=K493+1,"   Vorstand",IF(J493=K493+2,"   Gäste",IF(J493=K493+3,"   Technik (Switches, Access Points)",""))))))</f>
        <v/>
      </c>
      <c r="B493" s="0" t="str">
        <f aca="false">IF(I493="","",IF(AND(J493&gt;=1,J493&lt;=K493+3),IF(J493&lt;=K493,IF(J493&lt;=99,IF((INDEX(Eingabe!$G$9:$G$18,I493))&lt;=9,1000+(INDEX(Eingabe!$G$9:$G$18,I493))*100,3000)+J493,IF((INDEX(Eingabe!$G$9:$G$18,I493)+1)&lt;=9,1000+(INDEX(Eingabe!$G$9:$G$18,I493)+1)*100,3000)+J493-100),IF(J493=K493+1,2000+INDEX(Eingabe!$G$9:$G$18,I493)*10+1,IF(J493=K493+2,2000+INDEX(Eingabe!$G$9:$G$18,I493)*10+2,2000+INDEX(Eingabe!$G$9:$G$18,I493)*10+9))),""))</f>
        <v/>
      </c>
      <c r="C493" s="0" t="str">
        <f aca="false">IF(I493="","",IF(AND(J493&gt;=1,J493&lt;=K493+3),"10."&amp;INDEX(Eingabe!$D$9:$D$18,I493)&amp;"."&amp;IF(J493&lt;=K493,J493,IF(J493=K493+1,200,IF(J493=K493+2,201,250)))&amp;".0/24",""))</f>
        <v/>
      </c>
      <c r="D493" s="0" t="str">
        <f aca="false">IF(I493="","",IF(AND(J493&gt;=1,J493&lt;=K493+3),"255.255.255.0",""))</f>
        <v/>
      </c>
      <c r="E493" s="0" t="str">
        <f aca="false">IF(I493="","",IF(AND(J493&gt;=1,J493&lt;=K493+3),"10."&amp;INDEX(Eingabe!$D$9:$D$18,I493)&amp;"."&amp;IF(J493&lt;=K493,J493,IF(J493=K493+1,200,IF(J493=K493+2,201,250)))&amp;".1",""))</f>
        <v/>
      </c>
      <c r="F493" s="0" t="str">
        <f aca="false">IF(I493="","",IF(AND(J493&gt;=1,J493&lt;=K493+3),"10."&amp;INDEX(Eingabe!$D$9:$D$18,I493)&amp;"."&amp;IF(J493&lt;=K493,J493,IF(J493=K493+1,200,IF(J493=K493+2,201,250)))&amp;".10 – 10."&amp;INDEX(Eingabe!$D$9:$D$18,I493)&amp;"."&amp;IF(J493&lt;=K493,J493,IF(J493=K493+1,200,IF(J493=K493+2,201,250)))&amp;".250",""))</f>
        <v/>
      </c>
      <c r="G493" s="0" t="str">
        <f aca="false">IF(I493="","",IF(AND(J493&gt;=1,J493&lt;=K493),Eingabe!$B$6&amp;"-"&amp;INDEX(Eingabe!$C$9:$C$18,I493)&amp;"-Pächter  ·  Passwort Parzelle "&amp;J493,IF(J493=K493+1,Eingabe!$B$6&amp;"-"&amp;INDEX(Eingabe!$C$9:$C$18,I493)&amp;"-Vorstand  ·  eigenes WLAN",IF(J493=K493+2,Eingabe!$B$6&amp;"-"&amp;INDEX(Eingabe!$C$9:$C$18,I493)&amp;"-Gäste  ·  Voucher",IF(J493=K493+3,"Kabel  ·  Access Point y = .(50+y), Mast-Switch x = .(10+x)","")))))</f>
        <v/>
      </c>
      <c r="I493" s="0" t="str">
        <f aca="false">IF(488&lt;=(Eingabe!$P$18+Eingabe!$Q$18-1),MATCH(488,Eingabe!$P$9:$P$18,1),"")</f>
        <v/>
      </c>
      <c r="J493" s="0" t="str">
        <f aca="false">IF(I493="","",488-INDEX(Eingabe!$P$9:$P$18,I493))</f>
        <v/>
      </c>
      <c r="K493" s="0" t="str">
        <f aca="false">IF(I493="","",INDEX(Eingabe!$E$9:$E$18,I493))</f>
        <v/>
      </c>
    </row>
    <row r="494" customFormat="false" ht="15" hidden="false" customHeight="false" outlineLevel="0" collapsed="false">
      <c r="A494" s="0" t="str">
        <f aca="false">IF(I494="","",IF(J494=0,"Sparte "&amp;I494&amp;": "&amp;INDEX(Eingabe!$B$9:$B$18,I494)&amp;"  (Sparten-ID "&amp;INDEX(Eingabe!$D$9:$D$18,I494)&amp;", "&amp;K494&amp;" Parzellen)",IF(J494&lt;=K494,"   Parzelle "&amp;J494,IF(J494=K494+1,"   Vorstand",IF(J494=K494+2,"   Gäste",IF(J494=K494+3,"   Technik (Switches, Access Points)",""))))))</f>
        <v/>
      </c>
      <c r="B494" s="0" t="str">
        <f aca="false">IF(I494="","",IF(AND(J494&gt;=1,J494&lt;=K494+3),IF(J494&lt;=K494,IF(J494&lt;=99,IF((INDEX(Eingabe!$G$9:$G$18,I494))&lt;=9,1000+(INDEX(Eingabe!$G$9:$G$18,I494))*100,3000)+J494,IF((INDEX(Eingabe!$G$9:$G$18,I494)+1)&lt;=9,1000+(INDEX(Eingabe!$G$9:$G$18,I494)+1)*100,3000)+J494-100),IF(J494=K494+1,2000+INDEX(Eingabe!$G$9:$G$18,I494)*10+1,IF(J494=K494+2,2000+INDEX(Eingabe!$G$9:$G$18,I494)*10+2,2000+INDEX(Eingabe!$G$9:$G$18,I494)*10+9))),""))</f>
        <v/>
      </c>
      <c r="C494" s="0" t="str">
        <f aca="false">IF(I494="","",IF(AND(J494&gt;=1,J494&lt;=K494+3),"10."&amp;INDEX(Eingabe!$D$9:$D$18,I494)&amp;"."&amp;IF(J494&lt;=K494,J494,IF(J494=K494+1,200,IF(J494=K494+2,201,250)))&amp;".0/24",""))</f>
        <v/>
      </c>
      <c r="D494" s="0" t="str">
        <f aca="false">IF(I494="","",IF(AND(J494&gt;=1,J494&lt;=K494+3),"255.255.255.0",""))</f>
        <v/>
      </c>
      <c r="E494" s="0" t="str">
        <f aca="false">IF(I494="","",IF(AND(J494&gt;=1,J494&lt;=K494+3),"10."&amp;INDEX(Eingabe!$D$9:$D$18,I494)&amp;"."&amp;IF(J494&lt;=K494,J494,IF(J494=K494+1,200,IF(J494=K494+2,201,250)))&amp;".1",""))</f>
        <v/>
      </c>
      <c r="F494" s="0" t="str">
        <f aca="false">IF(I494="","",IF(AND(J494&gt;=1,J494&lt;=K494+3),"10."&amp;INDEX(Eingabe!$D$9:$D$18,I494)&amp;"."&amp;IF(J494&lt;=K494,J494,IF(J494=K494+1,200,IF(J494=K494+2,201,250)))&amp;".10 – 10."&amp;INDEX(Eingabe!$D$9:$D$18,I494)&amp;"."&amp;IF(J494&lt;=K494,J494,IF(J494=K494+1,200,IF(J494=K494+2,201,250)))&amp;".250",""))</f>
        <v/>
      </c>
      <c r="G494" s="0" t="str">
        <f aca="false">IF(I494="","",IF(AND(J494&gt;=1,J494&lt;=K494),Eingabe!$B$6&amp;"-"&amp;INDEX(Eingabe!$C$9:$C$18,I494)&amp;"-Pächter  ·  Passwort Parzelle "&amp;J494,IF(J494=K494+1,Eingabe!$B$6&amp;"-"&amp;INDEX(Eingabe!$C$9:$C$18,I494)&amp;"-Vorstand  ·  eigenes WLAN",IF(J494=K494+2,Eingabe!$B$6&amp;"-"&amp;INDEX(Eingabe!$C$9:$C$18,I494)&amp;"-Gäste  ·  Voucher",IF(J494=K494+3,"Kabel  ·  Access Point y = .(50+y), Mast-Switch x = .(10+x)","")))))</f>
        <v/>
      </c>
      <c r="I494" s="0" t="str">
        <f aca="false">IF(489&lt;=(Eingabe!$P$18+Eingabe!$Q$18-1),MATCH(489,Eingabe!$P$9:$P$18,1),"")</f>
        <v/>
      </c>
      <c r="J494" s="0" t="str">
        <f aca="false">IF(I494="","",489-INDEX(Eingabe!$P$9:$P$18,I494))</f>
        <v/>
      </c>
      <c r="K494" s="0" t="str">
        <f aca="false">IF(I494="","",INDEX(Eingabe!$E$9:$E$18,I494))</f>
        <v/>
      </c>
    </row>
    <row r="495" customFormat="false" ht="15" hidden="false" customHeight="false" outlineLevel="0" collapsed="false">
      <c r="A495" s="0" t="str">
        <f aca="false">IF(I495="","",IF(J495=0,"Sparte "&amp;I495&amp;": "&amp;INDEX(Eingabe!$B$9:$B$18,I495)&amp;"  (Sparten-ID "&amp;INDEX(Eingabe!$D$9:$D$18,I495)&amp;", "&amp;K495&amp;" Parzellen)",IF(J495&lt;=K495,"   Parzelle "&amp;J495,IF(J495=K495+1,"   Vorstand",IF(J495=K495+2,"   Gäste",IF(J495=K495+3,"   Technik (Switches, Access Points)",""))))))</f>
        <v/>
      </c>
      <c r="B495" s="0" t="str">
        <f aca="false">IF(I495="","",IF(AND(J495&gt;=1,J495&lt;=K495+3),IF(J495&lt;=K495,IF(J495&lt;=99,IF((INDEX(Eingabe!$G$9:$G$18,I495))&lt;=9,1000+(INDEX(Eingabe!$G$9:$G$18,I495))*100,3000)+J495,IF((INDEX(Eingabe!$G$9:$G$18,I495)+1)&lt;=9,1000+(INDEX(Eingabe!$G$9:$G$18,I495)+1)*100,3000)+J495-100),IF(J495=K495+1,2000+INDEX(Eingabe!$G$9:$G$18,I495)*10+1,IF(J495=K495+2,2000+INDEX(Eingabe!$G$9:$G$18,I495)*10+2,2000+INDEX(Eingabe!$G$9:$G$18,I495)*10+9))),""))</f>
        <v/>
      </c>
      <c r="C495" s="0" t="str">
        <f aca="false">IF(I495="","",IF(AND(J495&gt;=1,J495&lt;=K495+3),"10."&amp;INDEX(Eingabe!$D$9:$D$18,I495)&amp;"."&amp;IF(J495&lt;=K495,J495,IF(J495=K495+1,200,IF(J495=K495+2,201,250)))&amp;".0/24",""))</f>
        <v/>
      </c>
      <c r="D495" s="0" t="str">
        <f aca="false">IF(I495="","",IF(AND(J495&gt;=1,J495&lt;=K495+3),"255.255.255.0",""))</f>
        <v/>
      </c>
      <c r="E495" s="0" t="str">
        <f aca="false">IF(I495="","",IF(AND(J495&gt;=1,J495&lt;=K495+3),"10."&amp;INDEX(Eingabe!$D$9:$D$18,I495)&amp;"."&amp;IF(J495&lt;=K495,J495,IF(J495=K495+1,200,IF(J495=K495+2,201,250)))&amp;".1",""))</f>
        <v/>
      </c>
      <c r="F495" s="0" t="str">
        <f aca="false">IF(I495="","",IF(AND(J495&gt;=1,J495&lt;=K495+3),"10."&amp;INDEX(Eingabe!$D$9:$D$18,I495)&amp;"."&amp;IF(J495&lt;=K495,J495,IF(J495=K495+1,200,IF(J495=K495+2,201,250)))&amp;".10 – 10."&amp;INDEX(Eingabe!$D$9:$D$18,I495)&amp;"."&amp;IF(J495&lt;=K495,J495,IF(J495=K495+1,200,IF(J495=K495+2,201,250)))&amp;".250",""))</f>
        <v/>
      </c>
      <c r="G495" s="0" t="str">
        <f aca="false">IF(I495="","",IF(AND(J495&gt;=1,J495&lt;=K495),Eingabe!$B$6&amp;"-"&amp;INDEX(Eingabe!$C$9:$C$18,I495)&amp;"-Pächter  ·  Passwort Parzelle "&amp;J495,IF(J495=K495+1,Eingabe!$B$6&amp;"-"&amp;INDEX(Eingabe!$C$9:$C$18,I495)&amp;"-Vorstand  ·  eigenes WLAN",IF(J495=K495+2,Eingabe!$B$6&amp;"-"&amp;INDEX(Eingabe!$C$9:$C$18,I495)&amp;"-Gäste  ·  Voucher",IF(J495=K495+3,"Kabel  ·  Access Point y = .(50+y), Mast-Switch x = .(10+x)","")))))</f>
        <v/>
      </c>
      <c r="I495" s="0" t="str">
        <f aca="false">IF(490&lt;=(Eingabe!$P$18+Eingabe!$Q$18-1),MATCH(490,Eingabe!$P$9:$P$18,1),"")</f>
        <v/>
      </c>
      <c r="J495" s="0" t="str">
        <f aca="false">IF(I495="","",490-INDEX(Eingabe!$P$9:$P$18,I495))</f>
        <v/>
      </c>
      <c r="K495" s="0" t="str">
        <f aca="false">IF(I495="","",INDEX(Eingabe!$E$9:$E$18,I495))</f>
        <v/>
      </c>
    </row>
    <row r="496" customFormat="false" ht="15" hidden="false" customHeight="false" outlineLevel="0" collapsed="false">
      <c r="A496" s="0" t="str">
        <f aca="false">IF(I496="","",IF(J496=0,"Sparte "&amp;I496&amp;": "&amp;INDEX(Eingabe!$B$9:$B$18,I496)&amp;"  (Sparten-ID "&amp;INDEX(Eingabe!$D$9:$D$18,I496)&amp;", "&amp;K496&amp;" Parzellen)",IF(J496&lt;=K496,"   Parzelle "&amp;J496,IF(J496=K496+1,"   Vorstand",IF(J496=K496+2,"   Gäste",IF(J496=K496+3,"   Technik (Switches, Access Points)",""))))))</f>
        <v/>
      </c>
      <c r="B496" s="0" t="str">
        <f aca="false">IF(I496="","",IF(AND(J496&gt;=1,J496&lt;=K496+3),IF(J496&lt;=K496,IF(J496&lt;=99,IF((INDEX(Eingabe!$G$9:$G$18,I496))&lt;=9,1000+(INDEX(Eingabe!$G$9:$G$18,I496))*100,3000)+J496,IF((INDEX(Eingabe!$G$9:$G$18,I496)+1)&lt;=9,1000+(INDEX(Eingabe!$G$9:$G$18,I496)+1)*100,3000)+J496-100),IF(J496=K496+1,2000+INDEX(Eingabe!$G$9:$G$18,I496)*10+1,IF(J496=K496+2,2000+INDEX(Eingabe!$G$9:$G$18,I496)*10+2,2000+INDEX(Eingabe!$G$9:$G$18,I496)*10+9))),""))</f>
        <v/>
      </c>
      <c r="C496" s="0" t="str">
        <f aca="false">IF(I496="","",IF(AND(J496&gt;=1,J496&lt;=K496+3),"10."&amp;INDEX(Eingabe!$D$9:$D$18,I496)&amp;"."&amp;IF(J496&lt;=K496,J496,IF(J496=K496+1,200,IF(J496=K496+2,201,250)))&amp;".0/24",""))</f>
        <v/>
      </c>
      <c r="D496" s="0" t="str">
        <f aca="false">IF(I496="","",IF(AND(J496&gt;=1,J496&lt;=K496+3),"255.255.255.0",""))</f>
        <v/>
      </c>
      <c r="E496" s="0" t="str">
        <f aca="false">IF(I496="","",IF(AND(J496&gt;=1,J496&lt;=K496+3),"10."&amp;INDEX(Eingabe!$D$9:$D$18,I496)&amp;"."&amp;IF(J496&lt;=K496,J496,IF(J496=K496+1,200,IF(J496=K496+2,201,250)))&amp;".1",""))</f>
        <v/>
      </c>
      <c r="F496" s="0" t="str">
        <f aca="false">IF(I496="","",IF(AND(J496&gt;=1,J496&lt;=K496+3),"10."&amp;INDEX(Eingabe!$D$9:$D$18,I496)&amp;"."&amp;IF(J496&lt;=K496,J496,IF(J496=K496+1,200,IF(J496=K496+2,201,250)))&amp;".10 – 10."&amp;INDEX(Eingabe!$D$9:$D$18,I496)&amp;"."&amp;IF(J496&lt;=K496,J496,IF(J496=K496+1,200,IF(J496=K496+2,201,250)))&amp;".250",""))</f>
        <v/>
      </c>
      <c r="G496" s="0" t="str">
        <f aca="false">IF(I496="","",IF(AND(J496&gt;=1,J496&lt;=K496),Eingabe!$B$6&amp;"-"&amp;INDEX(Eingabe!$C$9:$C$18,I496)&amp;"-Pächter  ·  Passwort Parzelle "&amp;J496,IF(J496=K496+1,Eingabe!$B$6&amp;"-"&amp;INDEX(Eingabe!$C$9:$C$18,I496)&amp;"-Vorstand  ·  eigenes WLAN",IF(J496=K496+2,Eingabe!$B$6&amp;"-"&amp;INDEX(Eingabe!$C$9:$C$18,I496)&amp;"-Gäste  ·  Voucher",IF(J496=K496+3,"Kabel  ·  Access Point y = .(50+y), Mast-Switch x = .(10+x)","")))))</f>
        <v/>
      </c>
      <c r="I496" s="0" t="str">
        <f aca="false">IF(491&lt;=(Eingabe!$P$18+Eingabe!$Q$18-1),MATCH(491,Eingabe!$P$9:$P$18,1),"")</f>
        <v/>
      </c>
      <c r="J496" s="0" t="str">
        <f aca="false">IF(I496="","",491-INDEX(Eingabe!$P$9:$P$18,I496))</f>
        <v/>
      </c>
      <c r="K496" s="0" t="str">
        <f aca="false">IF(I496="","",INDEX(Eingabe!$E$9:$E$18,I496))</f>
        <v/>
      </c>
    </row>
    <row r="497" customFormat="false" ht="15" hidden="false" customHeight="false" outlineLevel="0" collapsed="false">
      <c r="A497" s="0" t="str">
        <f aca="false">IF(I497="","",IF(J497=0,"Sparte "&amp;I497&amp;": "&amp;INDEX(Eingabe!$B$9:$B$18,I497)&amp;"  (Sparten-ID "&amp;INDEX(Eingabe!$D$9:$D$18,I497)&amp;", "&amp;K497&amp;" Parzellen)",IF(J497&lt;=K497,"   Parzelle "&amp;J497,IF(J497=K497+1,"   Vorstand",IF(J497=K497+2,"   Gäste",IF(J497=K497+3,"   Technik (Switches, Access Points)",""))))))</f>
        <v/>
      </c>
      <c r="B497" s="0" t="str">
        <f aca="false">IF(I497="","",IF(AND(J497&gt;=1,J497&lt;=K497+3),IF(J497&lt;=K497,IF(J497&lt;=99,IF((INDEX(Eingabe!$G$9:$G$18,I497))&lt;=9,1000+(INDEX(Eingabe!$G$9:$G$18,I497))*100,3000)+J497,IF((INDEX(Eingabe!$G$9:$G$18,I497)+1)&lt;=9,1000+(INDEX(Eingabe!$G$9:$G$18,I497)+1)*100,3000)+J497-100),IF(J497=K497+1,2000+INDEX(Eingabe!$G$9:$G$18,I497)*10+1,IF(J497=K497+2,2000+INDEX(Eingabe!$G$9:$G$18,I497)*10+2,2000+INDEX(Eingabe!$G$9:$G$18,I497)*10+9))),""))</f>
        <v/>
      </c>
      <c r="C497" s="0" t="str">
        <f aca="false">IF(I497="","",IF(AND(J497&gt;=1,J497&lt;=K497+3),"10."&amp;INDEX(Eingabe!$D$9:$D$18,I497)&amp;"."&amp;IF(J497&lt;=K497,J497,IF(J497=K497+1,200,IF(J497=K497+2,201,250)))&amp;".0/24",""))</f>
        <v/>
      </c>
      <c r="D497" s="0" t="str">
        <f aca="false">IF(I497="","",IF(AND(J497&gt;=1,J497&lt;=K497+3),"255.255.255.0",""))</f>
        <v/>
      </c>
      <c r="E497" s="0" t="str">
        <f aca="false">IF(I497="","",IF(AND(J497&gt;=1,J497&lt;=K497+3),"10."&amp;INDEX(Eingabe!$D$9:$D$18,I497)&amp;"."&amp;IF(J497&lt;=K497,J497,IF(J497=K497+1,200,IF(J497=K497+2,201,250)))&amp;".1",""))</f>
        <v/>
      </c>
      <c r="F497" s="0" t="str">
        <f aca="false">IF(I497="","",IF(AND(J497&gt;=1,J497&lt;=K497+3),"10."&amp;INDEX(Eingabe!$D$9:$D$18,I497)&amp;"."&amp;IF(J497&lt;=K497,J497,IF(J497=K497+1,200,IF(J497=K497+2,201,250)))&amp;".10 – 10."&amp;INDEX(Eingabe!$D$9:$D$18,I497)&amp;"."&amp;IF(J497&lt;=K497,J497,IF(J497=K497+1,200,IF(J497=K497+2,201,250)))&amp;".250",""))</f>
        <v/>
      </c>
      <c r="G497" s="0" t="str">
        <f aca="false">IF(I497="","",IF(AND(J497&gt;=1,J497&lt;=K497),Eingabe!$B$6&amp;"-"&amp;INDEX(Eingabe!$C$9:$C$18,I497)&amp;"-Pächter  ·  Passwort Parzelle "&amp;J497,IF(J497=K497+1,Eingabe!$B$6&amp;"-"&amp;INDEX(Eingabe!$C$9:$C$18,I497)&amp;"-Vorstand  ·  eigenes WLAN",IF(J497=K497+2,Eingabe!$B$6&amp;"-"&amp;INDEX(Eingabe!$C$9:$C$18,I497)&amp;"-Gäste  ·  Voucher",IF(J497=K497+3,"Kabel  ·  Access Point y = .(50+y), Mast-Switch x = .(10+x)","")))))</f>
        <v/>
      </c>
      <c r="I497" s="0" t="str">
        <f aca="false">IF(492&lt;=(Eingabe!$P$18+Eingabe!$Q$18-1),MATCH(492,Eingabe!$P$9:$P$18,1),"")</f>
        <v/>
      </c>
      <c r="J497" s="0" t="str">
        <f aca="false">IF(I497="","",492-INDEX(Eingabe!$P$9:$P$18,I497))</f>
        <v/>
      </c>
      <c r="K497" s="0" t="str">
        <f aca="false">IF(I497="","",INDEX(Eingabe!$E$9:$E$18,I497))</f>
        <v/>
      </c>
    </row>
    <row r="498" customFormat="false" ht="15" hidden="false" customHeight="false" outlineLevel="0" collapsed="false">
      <c r="A498" s="0" t="str">
        <f aca="false">IF(I498="","",IF(J498=0,"Sparte "&amp;I498&amp;": "&amp;INDEX(Eingabe!$B$9:$B$18,I498)&amp;"  (Sparten-ID "&amp;INDEX(Eingabe!$D$9:$D$18,I498)&amp;", "&amp;K498&amp;" Parzellen)",IF(J498&lt;=K498,"   Parzelle "&amp;J498,IF(J498=K498+1,"   Vorstand",IF(J498=K498+2,"   Gäste",IF(J498=K498+3,"   Technik (Switches, Access Points)",""))))))</f>
        <v/>
      </c>
      <c r="B498" s="0" t="str">
        <f aca="false">IF(I498="","",IF(AND(J498&gt;=1,J498&lt;=K498+3),IF(J498&lt;=K498,IF(J498&lt;=99,IF((INDEX(Eingabe!$G$9:$G$18,I498))&lt;=9,1000+(INDEX(Eingabe!$G$9:$G$18,I498))*100,3000)+J498,IF((INDEX(Eingabe!$G$9:$G$18,I498)+1)&lt;=9,1000+(INDEX(Eingabe!$G$9:$G$18,I498)+1)*100,3000)+J498-100),IF(J498=K498+1,2000+INDEX(Eingabe!$G$9:$G$18,I498)*10+1,IF(J498=K498+2,2000+INDEX(Eingabe!$G$9:$G$18,I498)*10+2,2000+INDEX(Eingabe!$G$9:$G$18,I498)*10+9))),""))</f>
        <v/>
      </c>
      <c r="C498" s="0" t="str">
        <f aca="false">IF(I498="","",IF(AND(J498&gt;=1,J498&lt;=K498+3),"10."&amp;INDEX(Eingabe!$D$9:$D$18,I498)&amp;"."&amp;IF(J498&lt;=K498,J498,IF(J498=K498+1,200,IF(J498=K498+2,201,250)))&amp;".0/24",""))</f>
        <v/>
      </c>
      <c r="D498" s="0" t="str">
        <f aca="false">IF(I498="","",IF(AND(J498&gt;=1,J498&lt;=K498+3),"255.255.255.0",""))</f>
        <v/>
      </c>
      <c r="E498" s="0" t="str">
        <f aca="false">IF(I498="","",IF(AND(J498&gt;=1,J498&lt;=K498+3),"10."&amp;INDEX(Eingabe!$D$9:$D$18,I498)&amp;"."&amp;IF(J498&lt;=K498,J498,IF(J498=K498+1,200,IF(J498=K498+2,201,250)))&amp;".1",""))</f>
        <v/>
      </c>
      <c r="F498" s="0" t="str">
        <f aca="false">IF(I498="","",IF(AND(J498&gt;=1,J498&lt;=K498+3),"10."&amp;INDEX(Eingabe!$D$9:$D$18,I498)&amp;"."&amp;IF(J498&lt;=K498,J498,IF(J498=K498+1,200,IF(J498=K498+2,201,250)))&amp;".10 – 10."&amp;INDEX(Eingabe!$D$9:$D$18,I498)&amp;"."&amp;IF(J498&lt;=K498,J498,IF(J498=K498+1,200,IF(J498=K498+2,201,250)))&amp;".250",""))</f>
        <v/>
      </c>
      <c r="G498" s="0" t="str">
        <f aca="false">IF(I498="","",IF(AND(J498&gt;=1,J498&lt;=K498),Eingabe!$B$6&amp;"-"&amp;INDEX(Eingabe!$C$9:$C$18,I498)&amp;"-Pächter  ·  Passwort Parzelle "&amp;J498,IF(J498=K498+1,Eingabe!$B$6&amp;"-"&amp;INDEX(Eingabe!$C$9:$C$18,I498)&amp;"-Vorstand  ·  eigenes WLAN",IF(J498=K498+2,Eingabe!$B$6&amp;"-"&amp;INDEX(Eingabe!$C$9:$C$18,I498)&amp;"-Gäste  ·  Voucher",IF(J498=K498+3,"Kabel  ·  Access Point y = .(50+y), Mast-Switch x = .(10+x)","")))))</f>
        <v/>
      </c>
      <c r="I498" s="0" t="str">
        <f aca="false">IF(493&lt;=(Eingabe!$P$18+Eingabe!$Q$18-1),MATCH(493,Eingabe!$P$9:$P$18,1),"")</f>
        <v/>
      </c>
      <c r="J498" s="0" t="str">
        <f aca="false">IF(I498="","",493-INDEX(Eingabe!$P$9:$P$18,I498))</f>
        <v/>
      </c>
      <c r="K498" s="0" t="str">
        <f aca="false">IF(I498="","",INDEX(Eingabe!$E$9:$E$18,I498))</f>
        <v/>
      </c>
    </row>
    <row r="499" customFormat="false" ht="15" hidden="false" customHeight="false" outlineLevel="0" collapsed="false">
      <c r="A499" s="0" t="str">
        <f aca="false">IF(I499="","",IF(J499=0,"Sparte "&amp;I499&amp;": "&amp;INDEX(Eingabe!$B$9:$B$18,I499)&amp;"  (Sparten-ID "&amp;INDEX(Eingabe!$D$9:$D$18,I499)&amp;", "&amp;K499&amp;" Parzellen)",IF(J499&lt;=K499,"   Parzelle "&amp;J499,IF(J499=K499+1,"   Vorstand",IF(J499=K499+2,"   Gäste",IF(J499=K499+3,"   Technik (Switches, Access Points)",""))))))</f>
        <v/>
      </c>
      <c r="B499" s="0" t="str">
        <f aca="false">IF(I499="","",IF(AND(J499&gt;=1,J499&lt;=K499+3),IF(J499&lt;=K499,IF(J499&lt;=99,IF((INDEX(Eingabe!$G$9:$G$18,I499))&lt;=9,1000+(INDEX(Eingabe!$G$9:$G$18,I499))*100,3000)+J499,IF((INDEX(Eingabe!$G$9:$G$18,I499)+1)&lt;=9,1000+(INDEX(Eingabe!$G$9:$G$18,I499)+1)*100,3000)+J499-100),IF(J499=K499+1,2000+INDEX(Eingabe!$G$9:$G$18,I499)*10+1,IF(J499=K499+2,2000+INDEX(Eingabe!$G$9:$G$18,I499)*10+2,2000+INDEX(Eingabe!$G$9:$G$18,I499)*10+9))),""))</f>
        <v/>
      </c>
      <c r="C499" s="0" t="str">
        <f aca="false">IF(I499="","",IF(AND(J499&gt;=1,J499&lt;=K499+3),"10."&amp;INDEX(Eingabe!$D$9:$D$18,I499)&amp;"."&amp;IF(J499&lt;=K499,J499,IF(J499=K499+1,200,IF(J499=K499+2,201,250)))&amp;".0/24",""))</f>
        <v/>
      </c>
      <c r="D499" s="0" t="str">
        <f aca="false">IF(I499="","",IF(AND(J499&gt;=1,J499&lt;=K499+3),"255.255.255.0",""))</f>
        <v/>
      </c>
      <c r="E499" s="0" t="str">
        <f aca="false">IF(I499="","",IF(AND(J499&gt;=1,J499&lt;=K499+3),"10."&amp;INDEX(Eingabe!$D$9:$D$18,I499)&amp;"."&amp;IF(J499&lt;=K499,J499,IF(J499=K499+1,200,IF(J499=K499+2,201,250)))&amp;".1",""))</f>
        <v/>
      </c>
      <c r="F499" s="0" t="str">
        <f aca="false">IF(I499="","",IF(AND(J499&gt;=1,J499&lt;=K499+3),"10."&amp;INDEX(Eingabe!$D$9:$D$18,I499)&amp;"."&amp;IF(J499&lt;=K499,J499,IF(J499=K499+1,200,IF(J499=K499+2,201,250)))&amp;".10 – 10."&amp;INDEX(Eingabe!$D$9:$D$18,I499)&amp;"."&amp;IF(J499&lt;=K499,J499,IF(J499=K499+1,200,IF(J499=K499+2,201,250)))&amp;".250",""))</f>
        <v/>
      </c>
      <c r="G499" s="0" t="str">
        <f aca="false">IF(I499="","",IF(AND(J499&gt;=1,J499&lt;=K499),Eingabe!$B$6&amp;"-"&amp;INDEX(Eingabe!$C$9:$C$18,I499)&amp;"-Pächter  ·  Passwort Parzelle "&amp;J499,IF(J499=K499+1,Eingabe!$B$6&amp;"-"&amp;INDEX(Eingabe!$C$9:$C$18,I499)&amp;"-Vorstand  ·  eigenes WLAN",IF(J499=K499+2,Eingabe!$B$6&amp;"-"&amp;INDEX(Eingabe!$C$9:$C$18,I499)&amp;"-Gäste  ·  Voucher",IF(J499=K499+3,"Kabel  ·  Access Point y = .(50+y), Mast-Switch x = .(10+x)","")))))</f>
        <v/>
      </c>
      <c r="I499" s="0" t="str">
        <f aca="false">IF(494&lt;=(Eingabe!$P$18+Eingabe!$Q$18-1),MATCH(494,Eingabe!$P$9:$P$18,1),"")</f>
        <v/>
      </c>
      <c r="J499" s="0" t="str">
        <f aca="false">IF(I499="","",494-INDEX(Eingabe!$P$9:$P$18,I499))</f>
        <v/>
      </c>
      <c r="K499" s="0" t="str">
        <f aca="false">IF(I499="","",INDEX(Eingabe!$E$9:$E$18,I499))</f>
        <v/>
      </c>
    </row>
    <row r="500" customFormat="false" ht="15" hidden="false" customHeight="false" outlineLevel="0" collapsed="false">
      <c r="A500" s="0" t="str">
        <f aca="false">IF(I500="","",IF(J500=0,"Sparte "&amp;I500&amp;": "&amp;INDEX(Eingabe!$B$9:$B$18,I500)&amp;"  (Sparten-ID "&amp;INDEX(Eingabe!$D$9:$D$18,I500)&amp;", "&amp;K500&amp;" Parzellen)",IF(J500&lt;=K500,"   Parzelle "&amp;J500,IF(J500=K500+1,"   Vorstand",IF(J500=K500+2,"   Gäste",IF(J500=K500+3,"   Technik (Switches, Access Points)",""))))))</f>
        <v/>
      </c>
      <c r="B500" s="0" t="str">
        <f aca="false">IF(I500="","",IF(AND(J500&gt;=1,J500&lt;=K500+3),IF(J500&lt;=K500,IF(J500&lt;=99,IF((INDEX(Eingabe!$G$9:$G$18,I500))&lt;=9,1000+(INDEX(Eingabe!$G$9:$G$18,I500))*100,3000)+J500,IF((INDEX(Eingabe!$G$9:$G$18,I500)+1)&lt;=9,1000+(INDEX(Eingabe!$G$9:$G$18,I500)+1)*100,3000)+J500-100),IF(J500=K500+1,2000+INDEX(Eingabe!$G$9:$G$18,I500)*10+1,IF(J500=K500+2,2000+INDEX(Eingabe!$G$9:$G$18,I500)*10+2,2000+INDEX(Eingabe!$G$9:$G$18,I500)*10+9))),""))</f>
        <v/>
      </c>
      <c r="C500" s="0" t="str">
        <f aca="false">IF(I500="","",IF(AND(J500&gt;=1,J500&lt;=K500+3),"10."&amp;INDEX(Eingabe!$D$9:$D$18,I500)&amp;"."&amp;IF(J500&lt;=K500,J500,IF(J500=K500+1,200,IF(J500=K500+2,201,250)))&amp;".0/24",""))</f>
        <v/>
      </c>
      <c r="D500" s="0" t="str">
        <f aca="false">IF(I500="","",IF(AND(J500&gt;=1,J500&lt;=K500+3),"255.255.255.0",""))</f>
        <v/>
      </c>
      <c r="E500" s="0" t="str">
        <f aca="false">IF(I500="","",IF(AND(J500&gt;=1,J500&lt;=K500+3),"10."&amp;INDEX(Eingabe!$D$9:$D$18,I500)&amp;"."&amp;IF(J500&lt;=K500,J500,IF(J500=K500+1,200,IF(J500=K500+2,201,250)))&amp;".1",""))</f>
        <v/>
      </c>
      <c r="F500" s="0" t="str">
        <f aca="false">IF(I500="","",IF(AND(J500&gt;=1,J500&lt;=K500+3),"10."&amp;INDEX(Eingabe!$D$9:$D$18,I500)&amp;"."&amp;IF(J500&lt;=K500,J500,IF(J500=K500+1,200,IF(J500=K500+2,201,250)))&amp;".10 – 10."&amp;INDEX(Eingabe!$D$9:$D$18,I500)&amp;"."&amp;IF(J500&lt;=K500,J500,IF(J500=K500+1,200,IF(J500=K500+2,201,250)))&amp;".250",""))</f>
        <v/>
      </c>
      <c r="G500" s="0" t="str">
        <f aca="false">IF(I500="","",IF(AND(J500&gt;=1,J500&lt;=K500),Eingabe!$B$6&amp;"-"&amp;INDEX(Eingabe!$C$9:$C$18,I500)&amp;"-Pächter  ·  Passwort Parzelle "&amp;J500,IF(J500=K500+1,Eingabe!$B$6&amp;"-"&amp;INDEX(Eingabe!$C$9:$C$18,I500)&amp;"-Vorstand  ·  eigenes WLAN",IF(J500=K500+2,Eingabe!$B$6&amp;"-"&amp;INDEX(Eingabe!$C$9:$C$18,I500)&amp;"-Gäste  ·  Voucher",IF(J500=K500+3,"Kabel  ·  Access Point y = .(50+y), Mast-Switch x = .(10+x)","")))))</f>
        <v/>
      </c>
      <c r="I500" s="0" t="str">
        <f aca="false">IF(495&lt;=(Eingabe!$P$18+Eingabe!$Q$18-1),MATCH(495,Eingabe!$P$9:$P$18,1),"")</f>
        <v/>
      </c>
      <c r="J500" s="0" t="str">
        <f aca="false">IF(I500="","",495-INDEX(Eingabe!$P$9:$P$18,I500))</f>
        <v/>
      </c>
      <c r="K500" s="0" t="str">
        <f aca="false">IF(I500="","",INDEX(Eingabe!$E$9:$E$18,I500))</f>
        <v/>
      </c>
    </row>
    <row r="501" customFormat="false" ht="15" hidden="false" customHeight="false" outlineLevel="0" collapsed="false">
      <c r="A501" s="0" t="str">
        <f aca="false">IF(I501="","",IF(J501=0,"Sparte "&amp;I501&amp;": "&amp;INDEX(Eingabe!$B$9:$B$18,I501)&amp;"  (Sparten-ID "&amp;INDEX(Eingabe!$D$9:$D$18,I501)&amp;", "&amp;K501&amp;" Parzellen)",IF(J501&lt;=K501,"   Parzelle "&amp;J501,IF(J501=K501+1,"   Vorstand",IF(J501=K501+2,"   Gäste",IF(J501=K501+3,"   Technik (Switches, Access Points)",""))))))</f>
        <v/>
      </c>
      <c r="B501" s="0" t="str">
        <f aca="false">IF(I501="","",IF(AND(J501&gt;=1,J501&lt;=K501+3),IF(J501&lt;=K501,IF(J501&lt;=99,IF((INDEX(Eingabe!$G$9:$G$18,I501))&lt;=9,1000+(INDEX(Eingabe!$G$9:$G$18,I501))*100,3000)+J501,IF((INDEX(Eingabe!$G$9:$G$18,I501)+1)&lt;=9,1000+(INDEX(Eingabe!$G$9:$G$18,I501)+1)*100,3000)+J501-100),IF(J501=K501+1,2000+INDEX(Eingabe!$G$9:$G$18,I501)*10+1,IF(J501=K501+2,2000+INDEX(Eingabe!$G$9:$G$18,I501)*10+2,2000+INDEX(Eingabe!$G$9:$G$18,I501)*10+9))),""))</f>
        <v/>
      </c>
      <c r="C501" s="0" t="str">
        <f aca="false">IF(I501="","",IF(AND(J501&gt;=1,J501&lt;=K501+3),"10."&amp;INDEX(Eingabe!$D$9:$D$18,I501)&amp;"."&amp;IF(J501&lt;=K501,J501,IF(J501=K501+1,200,IF(J501=K501+2,201,250)))&amp;".0/24",""))</f>
        <v/>
      </c>
      <c r="D501" s="0" t="str">
        <f aca="false">IF(I501="","",IF(AND(J501&gt;=1,J501&lt;=K501+3),"255.255.255.0",""))</f>
        <v/>
      </c>
      <c r="E501" s="0" t="str">
        <f aca="false">IF(I501="","",IF(AND(J501&gt;=1,J501&lt;=K501+3),"10."&amp;INDEX(Eingabe!$D$9:$D$18,I501)&amp;"."&amp;IF(J501&lt;=K501,J501,IF(J501=K501+1,200,IF(J501=K501+2,201,250)))&amp;".1",""))</f>
        <v/>
      </c>
      <c r="F501" s="0" t="str">
        <f aca="false">IF(I501="","",IF(AND(J501&gt;=1,J501&lt;=K501+3),"10."&amp;INDEX(Eingabe!$D$9:$D$18,I501)&amp;"."&amp;IF(J501&lt;=K501,J501,IF(J501=K501+1,200,IF(J501=K501+2,201,250)))&amp;".10 – 10."&amp;INDEX(Eingabe!$D$9:$D$18,I501)&amp;"."&amp;IF(J501&lt;=K501,J501,IF(J501=K501+1,200,IF(J501=K501+2,201,250)))&amp;".250",""))</f>
        <v/>
      </c>
      <c r="G501" s="0" t="str">
        <f aca="false">IF(I501="","",IF(AND(J501&gt;=1,J501&lt;=K501),Eingabe!$B$6&amp;"-"&amp;INDEX(Eingabe!$C$9:$C$18,I501)&amp;"-Pächter  ·  Passwort Parzelle "&amp;J501,IF(J501=K501+1,Eingabe!$B$6&amp;"-"&amp;INDEX(Eingabe!$C$9:$C$18,I501)&amp;"-Vorstand  ·  eigenes WLAN",IF(J501=K501+2,Eingabe!$B$6&amp;"-"&amp;INDEX(Eingabe!$C$9:$C$18,I501)&amp;"-Gäste  ·  Voucher",IF(J501=K501+3,"Kabel  ·  Access Point y = .(50+y), Mast-Switch x = .(10+x)","")))))</f>
        <v/>
      </c>
      <c r="I501" s="0" t="str">
        <f aca="false">IF(496&lt;=(Eingabe!$P$18+Eingabe!$Q$18-1),MATCH(496,Eingabe!$P$9:$P$18,1),"")</f>
        <v/>
      </c>
      <c r="J501" s="0" t="str">
        <f aca="false">IF(I501="","",496-INDEX(Eingabe!$P$9:$P$18,I501))</f>
        <v/>
      </c>
      <c r="K501" s="0" t="str">
        <f aca="false">IF(I501="","",INDEX(Eingabe!$E$9:$E$18,I501))</f>
        <v/>
      </c>
    </row>
    <row r="502" customFormat="false" ht="15" hidden="false" customHeight="false" outlineLevel="0" collapsed="false">
      <c r="A502" s="0" t="str">
        <f aca="false">IF(I502="","",IF(J502=0,"Sparte "&amp;I502&amp;": "&amp;INDEX(Eingabe!$B$9:$B$18,I502)&amp;"  (Sparten-ID "&amp;INDEX(Eingabe!$D$9:$D$18,I502)&amp;", "&amp;K502&amp;" Parzellen)",IF(J502&lt;=K502,"   Parzelle "&amp;J502,IF(J502=K502+1,"   Vorstand",IF(J502=K502+2,"   Gäste",IF(J502=K502+3,"   Technik (Switches, Access Points)",""))))))</f>
        <v/>
      </c>
      <c r="B502" s="0" t="str">
        <f aca="false">IF(I502="","",IF(AND(J502&gt;=1,J502&lt;=K502+3),IF(J502&lt;=K502,IF(J502&lt;=99,IF((INDEX(Eingabe!$G$9:$G$18,I502))&lt;=9,1000+(INDEX(Eingabe!$G$9:$G$18,I502))*100,3000)+J502,IF((INDEX(Eingabe!$G$9:$G$18,I502)+1)&lt;=9,1000+(INDEX(Eingabe!$G$9:$G$18,I502)+1)*100,3000)+J502-100),IF(J502=K502+1,2000+INDEX(Eingabe!$G$9:$G$18,I502)*10+1,IF(J502=K502+2,2000+INDEX(Eingabe!$G$9:$G$18,I502)*10+2,2000+INDEX(Eingabe!$G$9:$G$18,I502)*10+9))),""))</f>
        <v/>
      </c>
      <c r="C502" s="0" t="str">
        <f aca="false">IF(I502="","",IF(AND(J502&gt;=1,J502&lt;=K502+3),"10."&amp;INDEX(Eingabe!$D$9:$D$18,I502)&amp;"."&amp;IF(J502&lt;=K502,J502,IF(J502=K502+1,200,IF(J502=K502+2,201,250)))&amp;".0/24",""))</f>
        <v/>
      </c>
      <c r="D502" s="0" t="str">
        <f aca="false">IF(I502="","",IF(AND(J502&gt;=1,J502&lt;=K502+3),"255.255.255.0",""))</f>
        <v/>
      </c>
      <c r="E502" s="0" t="str">
        <f aca="false">IF(I502="","",IF(AND(J502&gt;=1,J502&lt;=K502+3),"10."&amp;INDEX(Eingabe!$D$9:$D$18,I502)&amp;"."&amp;IF(J502&lt;=K502,J502,IF(J502=K502+1,200,IF(J502=K502+2,201,250)))&amp;".1",""))</f>
        <v/>
      </c>
      <c r="F502" s="0" t="str">
        <f aca="false">IF(I502="","",IF(AND(J502&gt;=1,J502&lt;=K502+3),"10."&amp;INDEX(Eingabe!$D$9:$D$18,I502)&amp;"."&amp;IF(J502&lt;=K502,J502,IF(J502=K502+1,200,IF(J502=K502+2,201,250)))&amp;".10 – 10."&amp;INDEX(Eingabe!$D$9:$D$18,I502)&amp;"."&amp;IF(J502&lt;=K502,J502,IF(J502=K502+1,200,IF(J502=K502+2,201,250)))&amp;".250",""))</f>
        <v/>
      </c>
      <c r="G502" s="0" t="str">
        <f aca="false">IF(I502="","",IF(AND(J502&gt;=1,J502&lt;=K502),Eingabe!$B$6&amp;"-"&amp;INDEX(Eingabe!$C$9:$C$18,I502)&amp;"-Pächter  ·  Passwort Parzelle "&amp;J502,IF(J502=K502+1,Eingabe!$B$6&amp;"-"&amp;INDEX(Eingabe!$C$9:$C$18,I502)&amp;"-Vorstand  ·  eigenes WLAN",IF(J502=K502+2,Eingabe!$B$6&amp;"-"&amp;INDEX(Eingabe!$C$9:$C$18,I502)&amp;"-Gäste  ·  Voucher",IF(J502=K502+3,"Kabel  ·  Access Point y = .(50+y), Mast-Switch x = .(10+x)","")))))</f>
        <v/>
      </c>
      <c r="I502" s="0" t="str">
        <f aca="false">IF(497&lt;=(Eingabe!$P$18+Eingabe!$Q$18-1),MATCH(497,Eingabe!$P$9:$P$18,1),"")</f>
        <v/>
      </c>
      <c r="J502" s="0" t="str">
        <f aca="false">IF(I502="","",497-INDEX(Eingabe!$P$9:$P$18,I502))</f>
        <v/>
      </c>
      <c r="K502" s="0" t="str">
        <f aca="false">IF(I502="","",INDEX(Eingabe!$E$9:$E$18,I502))</f>
        <v/>
      </c>
    </row>
    <row r="503" customFormat="false" ht="15" hidden="false" customHeight="false" outlineLevel="0" collapsed="false">
      <c r="A503" s="0" t="str">
        <f aca="false">IF(I503="","",IF(J503=0,"Sparte "&amp;I503&amp;": "&amp;INDEX(Eingabe!$B$9:$B$18,I503)&amp;"  (Sparten-ID "&amp;INDEX(Eingabe!$D$9:$D$18,I503)&amp;", "&amp;K503&amp;" Parzellen)",IF(J503&lt;=K503,"   Parzelle "&amp;J503,IF(J503=K503+1,"   Vorstand",IF(J503=K503+2,"   Gäste",IF(J503=K503+3,"   Technik (Switches, Access Points)",""))))))</f>
        <v/>
      </c>
      <c r="B503" s="0" t="str">
        <f aca="false">IF(I503="","",IF(AND(J503&gt;=1,J503&lt;=K503+3),IF(J503&lt;=K503,IF(J503&lt;=99,IF((INDEX(Eingabe!$G$9:$G$18,I503))&lt;=9,1000+(INDEX(Eingabe!$G$9:$G$18,I503))*100,3000)+J503,IF((INDEX(Eingabe!$G$9:$G$18,I503)+1)&lt;=9,1000+(INDEX(Eingabe!$G$9:$G$18,I503)+1)*100,3000)+J503-100),IF(J503=K503+1,2000+INDEX(Eingabe!$G$9:$G$18,I503)*10+1,IF(J503=K503+2,2000+INDEX(Eingabe!$G$9:$G$18,I503)*10+2,2000+INDEX(Eingabe!$G$9:$G$18,I503)*10+9))),""))</f>
        <v/>
      </c>
      <c r="C503" s="0" t="str">
        <f aca="false">IF(I503="","",IF(AND(J503&gt;=1,J503&lt;=K503+3),"10."&amp;INDEX(Eingabe!$D$9:$D$18,I503)&amp;"."&amp;IF(J503&lt;=K503,J503,IF(J503=K503+1,200,IF(J503=K503+2,201,250)))&amp;".0/24",""))</f>
        <v/>
      </c>
      <c r="D503" s="0" t="str">
        <f aca="false">IF(I503="","",IF(AND(J503&gt;=1,J503&lt;=K503+3),"255.255.255.0",""))</f>
        <v/>
      </c>
      <c r="E503" s="0" t="str">
        <f aca="false">IF(I503="","",IF(AND(J503&gt;=1,J503&lt;=K503+3),"10."&amp;INDEX(Eingabe!$D$9:$D$18,I503)&amp;"."&amp;IF(J503&lt;=K503,J503,IF(J503=K503+1,200,IF(J503=K503+2,201,250)))&amp;".1",""))</f>
        <v/>
      </c>
      <c r="F503" s="0" t="str">
        <f aca="false">IF(I503="","",IF(AND(J503&gt;=1,J503&lt;=K503+3),"10."&amp;INDEX(Eingabe!$D$9:$D$18,I503)&amp;"."&amp;IF(J503&lt;=K503,J503,IF(J503=K503+1,200,IF(J503=K503+2,201,250)))&amp;".10 – 10."&amp;INDEX(Eingabe!$D$9:$D$18,I503)&amp;"."&amp;IF(J503&lt;=K503,J503,IF(J503=K503+1,200,IF(J503=K503+2,201,250)))&amp;".250",""))</f>
        <v/>
      </c>
      <c r="G503" s="0" t="str">
        <f aca="false">IF(I503="","",IF(AND(J503&gt;=1,J503&lt;=K503),Eingabe!$B$6&amp;"-"&amp;INDEX(Eingabe!$C$9:$C$18,I503)&amp;"-Pächter  ·  Passwort Parzelle "&amp;J503,IF(J503=K503+1,Eingabe!$B$6&amp;"-"&amp;INDEX(Eingabe!$C$9:$C$18,I503)&amp;"-Vorstand  ·  eigenes WLAN",IF(J503=K503+2,Eingabe!$B$6&amp;"-"&amp;INDEX(Eingabe!$C$9:$C$18,I503)&amp;"-Gäste  ·  Voucher",IF(J503=K503+3,"Kabel  ·  Access Point y = .(50+y), Mast-Switch x = .(10+x)","")))))</f>
        <v/>
      </c>
      <c r="I503" s="0" t="str">
        <f aca="false">IF(498&lt;=(Eingabe!$P$18+Eingabe!$Q$18-1),MATCH(498,Eingabe!$P$9:$P$18,1),"")</f>
        <v/>
      </c>
      <c r="J503" s="0" t="str">
        <f aca="false">IF(I503="","",498-INDEX(Eingabe!$P$9:$P$18,I503))</f>
        <v/>
      </c>
      <c r="K503" s="0" t="str">
        <f aca="false">IF(I503="","",INDEX(Eingabe!$E$9:$E$18,I503))</f>
        <v/>
      </c>
    </row>
    <row r="504" customFormat="false" ht="15" hidden="false" customHeight="false" outlineLevel="0" collapsed="false">
      <c r="A504" s="0" t="str">
        <f aca="false">IF(I504="","",IF(J504=0,"Sparte "&amp;I504&amp;": "&amp;INDEX(Eingabe!$B$9:$B$18,I504)&amp;"  (Sparten-ID "&amp;INDEX(Eingabe!$D$9:$D$18,I504)&amp;", "&amp;K504&amp;" Parzellen)",IF(J504&lt;=K504,"   Parzelle "&amp;J504,IF(J504=K504+1,"   Vorstand",IF(J504=K504+2,"   Gäste",IF(J504=K504+3,"   Technik (Switches, Access Points)",""))))))</f>
        <v/>
      </c>
      <c r="B504" s="0" t="str">
        <f aca="false">IF(I504="","",IF(AND(J504&gt;=1,J504&lt;=K504+3),IF(J504&lt;=K504,IF(J504&lt;=99,IF((INDEX(Eingabe!$G$9:$G$18,I504))&lt;=9,1000+(INDEX(Eingabe!$G$9:$G$18,I504))*100,3000)+J504,IF((INDEX(Eingabe!$G$9:$G$18,I504)+1)&lt;=9,1000+(INDEX(Eingabe!$G$9:$G$18,I504)+1)*100,3000)+J504-100),IF(J504=K504+1,2000+INDEX(Eingabe!$G$9:$G$18,I504)*10+1,IF(J504=K504+2,2000+INDEX(Eingabe!$G$9:$G$18,I504)*10+2,2000+INDEX(Eingabe!$G$9:$G$18,I504)*10+9))),""))</f>
        <v/>
      </c>
      <c r="C504" s="0" t="str">
        <f aca="false">IF(I504="","",IF(AND(J504&gt;=1,J504&lt;=K504+3),"10."&amp;INDEX(Eingabe!$D$9:$D$18,I504)&amp;"."&amp;IF(J504&lt;=K504,J504,IF(J504=K504+1,200,IF(J504=K504+2,201,250)))&amp;".0/24",""))</f>
        <v/>
      </c>
      <c r="D504" s="0" t="str">
        <f aca="false">IF(I504="","",IF(AND(J504&gt;=1,J504&lt;=K504+3),"255.255.255.0",""))</f>
        <v/>
      </c>
      <c r="E504" s="0" t="str">
        <f aca="false">IF(I504="","",IF(AND(J504&gt;=1,J504&lt;=K504+3),"10."&amp;INDEX(Eingabe!$D$9:$D$18,I504)&amp;"."&amp;IF(J504&lt;=K504,J504,IF(J504=K504+1,200,IF(J504=K504+2,201,250)))&amp;".1",""))</f>
        <v/>
      </c>
      <c r="F504" s="0" t="str">
        <f aca="false">IF(I504="","",IF(AND(J504&gt;=1,J504&lt;=K504+3),"10."&amp;INDEX(Eingabe!$D$9:$D$18,I504)&amp;"."&amp;IF(J504&lt;=K504,J504,IF(J504=K504+1,200,IF(J504=K504+2,201,250)))&amp;".10 – 10."&amp;INDEX(Eingabe!$D$9:$D$18,I504)&amp;"."&amp;IF(J504&lt;=K504,J504,IF(J504=K504+1,200,IF(J504=K504+2,201,250)))&amp;".250",""))</f>
        <v/>
      </c>
      <c r="G504" s="0" t="str">
        <f aca="false">IF(I504="","",IF(AND(J504&gt;=1,J504&lt;=K504),Eingabe!$B$6&amp;"-"&amp;INDEX(Eingabe!$C$9:$C$18,I504)&amp;"-Pächter  ·  Passwort Parzelle "&amp;J504,IF(J504=K504+1,Eingabe!$B$6&amp;"-"&amp;INDEX(Eingabe!$C$9:$C$18,I504)&amp;"-Vorstand  ·  eigenes WLAN",IF(J504=K504+2,Eingabe!$B$6&amp;"-"&amp;INDEX(Eingabe!$C$9:$C$18,I504)&amp;"-Gäste  ·  Voucher",IF(J504=K504+3,"Kabel  ·  Access Point y = .(50+y), Mast-Switch x = .(10+x)","")))))</f>
        <v/>
      </c>
      <c r="I504" s="0" t="str">
        <f aca="false">IF(499&lt;=(Eingabe!$P$18+Eingabe!$Q$18-1),MATCH(499,Eingabe!$P$9:$P$18,1),"")</f>
        <v/>
      </c>
      <c r="J504" s="0" t="str">
        <f aca="false">IF(I504="","",499-INDEX(Eingabe!$P$9:$P$18,I504))</f>
        <v/>
      </c>
      <c r="K504" s="0" t="str">
        <f aca="false">IF(I504="","",INDEX(Eingabe!$E$9:$E$18,I504))</f>
        <v/>
      </c>
    </row>
    <row r="505" customFormat="false" ht="15" hidden="false" customHeight="false" outlineLevel="0" collapsed="false">
      <c r="A505" s="0" t="str">
        <f aca="false">IF(I505="","",IF(J505=0,"Sparte "&amp;I505&amp;": "&amp;INDEX(Eingabe!$B$9:$B$18,I505)&amp;"  (Sparten-ID "&amp;INDEX(Eingabe!$D$9:$D$18,I505)&amp;", "&amp;K505&amp;" Parzellen)",IF(J505&lt;=K505,"   Parzelle "&amp;J505,IF(J505=K505+1,"   Vorstand",IF(J505=K505+2,"   Gäste",IF(J505=K505+3,"   Technik (Switches, Access Points)",""))))))</f>
        <v/>
      </c>
      <c r="B505" s="0" t="str">
        <f aca="false">IF(I505="","",IF(AND(J505&gt;=1,J505&lt;=K505+3),IF(J505&lt;=K505,IF(J505&lt;=99,IF((INDEX(Eingabe!$G$9:$G$18,I505))&lt;=9,1000+(INDEX(Eingabe!$G$9:$G$18,I505))*100,3000)+J505,IF((INDEX(Eingabe!$G$9:$G$18,I505)+1)&lt;=9,1000+(INDEX(Eingabe!$G$9:$G$18,I505)+1)*100,3000)+J505-100),IF(J505=K505+1,2000+INDEX(Eingabe!$G$9:$G$18,I505)*10+1,IF(J505=K505+2,2000+INDEX(Eingabe!$G$9:$G$18,I505)*10+2,2000+INDEX(Eingabe!$G$9:$G$18,I505)*10+9))),""))</f>
        <v/>
      </c>
      <c r="C505" s="0" t="str">
        <f aca="false">IF(I505="","",IF(AND(J505&gt;=1,J505&lt;=K505+3),"10."&amp;INDEX(Eingabe!$D$9:$D$18,I505)&amp;"."&amp;IF(J505&lt;=K505,J505,IF(J505=K505+1,200,IF(J505=K505+2,201,250)))&amp;".0/24",""))</f>
        <v/>
      </c>
      <c r="D505" s="0" t="str">
        <f aca="false">IF(I505="","",IF(AND(J505&gt;=1,J505&lt;=K505+3),"255.255.255.0",""))</f>
        <v/>
      </c>
      <c r="E505" s="0" t="str">
        <f aca="false">IF(I505="","",IF(AND(J505&gt;=1,J505&lt;=K505+3),"10."&amp;INDEX(Eingabe!$D$9:$D$18,I505)&amp;"."&amp;IF(J505&lt;=K505,J505,IF(J505=K505+1,200,IF(J505=K505+2,201,250)))&amp;".1",""))</f>
        <v/>
      </c>
      <c r="F505" s="0" t="str">
        <f aca="false">IF(I505="","",IF(AND(J505&gt;=1,J505&lt;=K505+3),"10."&amp;INDEX(Eingabe!$D$9:$D$18,I505)&amp;"."&amp;IF(J505&lt;=K505,J505,IF(J505=K505+1,200,IF(J505=K505+2,201,250)))&amp;".10 – 10."&amp;INDEX(Eingabe!$D$9:$D$18,I505)&amp;"."&amp;IF(J505&lt;=K505,J505,IF(J505=K505+1,200,IF(J505=K505+2,201,250)))&amp;".250",""))</f>
        <v/>
      </c>
      <c r="G505" s="0" t="str">
        <f aca="false">IF(I505="","",IF(AND(J505&gt;=1,J505&lt;=K505),Eingabe!$B$6&amp;"-"&amp;INDEX(Eingabe!$C$9:$C$18,I505)&amp;"-Pächter  ·  Passwort Parzelle "&amp;J505,IF(J505=K505+1,Eingabe!$B$6&amp;"-"&amp;INDEX(Eingabe!$C$9:$C$18,I505)&amp;"-Vorstand  ·  eigenes WLAN",IF(J505=K505+2,Eingabe!$B$6&amp;"-"&amp;INDEX(Eingabe!$C$9:$C$18,I505)&amp;"-Gäste  ·  Voucher",IF(J505=K505+3,"Kabel  ·  Access Point y = .(50+y), Mast-Switch x = .(10+x)","")))))</f>
        <v/>
      </c>
      <c r="I505" s="0" t="str">
        <f aca="false">IF(500&lt;=(Eingabe!$P$18+Eingabe!$Q$18-1),MATCH(500,Eingabe!$P$9:$P$18,1),"")</f>
        <v/>
      </c>
      <c r="J505" s="0" t="str">
        <f aca="false">IF(I505="","",500-INDEX(Eingabe!$P$9:$P$18,I505))</f>
        <v/>
      </c>
      <c r="K505" s="0" t="str">
        <f aca="false">IF(I505="","",INDEX(Eingabe!$E$9:$E$18,I505))</f>
        <v/>
      </c>
    </row>
    <row r="506" customFormat="false" ht="15" hidden="false" customHeight="false" outlineLevel="0" collapsed="false">
      <c r="A506" s="0" t="str">
        <f aca="false">IF(I506="","",IF(J506=0,"Sparte "&amp;I506&amp;": "&amp;INDEX(Eingabe!$B$9:$B$18,I506)&amp;"  (Sparten-ID "&amp;INDEX(Eingabe!$D$9:$D$18,I506)&amp;", "&amp;K506&amp;" Parzellen)",IF(J506&lt;=K506,"   Parzelle "&amp;J506,IF(J506=K506+1,"   Vorstand",IF(J506=K506+2,"   Gäste",IF(J506=K506+3,"   Technik (Switches, Access Points)",""))))))</f>
        <v/>
      </c>
      <c r="B506" s="0" t="str">
        <f aca="false">IF(I506="","",IF(AND(J506&gt;=1,J506&lt;=K506+3),IF(J506&lt;=K506,IF(J506&lt;=99,IF((INDEX(Eingabe!$G$9:$G$18,I506))&lt;=9,1000+(INDEX(Eingabe!$G$9:$G$18,I506))*100,3000)+J506,IF((INDEX(Eingabe!$G$9:$G$18,I506)+1)&lt;=9,1000+(INDEX(Eingabe!$G$9:$G$18,I506)+1)*100,3000)+J506-100),IF(J506=K506+1,2000+INDEX(Eingabe!$G$9:$G$18,I506)*10+1,IF(J506=K506+2,2000+INDEX(Eingabe!$G$9:$G$18,I506)*10+2,2000+INDEX(Eingabe!$G$9:$G$18,I506)*10+9))),""))</f>
        <v/>
      </c>
      <c r="C506" s="0" t="str">
        <f aca="false">IF(I506="","",IF(AND(J506&gt;=1,J506&lt;=K506+3),"10."&amp;INDEX(Eingabe!$D$9:$D$18,I506)&amp;"."&amp;IF(J506&lt;=K506,J506,IF(J506=K506+1,200,IF(J506=K506+2,201,250)))&amp;".0/24",""))</f>
        <v/>
      </c>
      <c r="D506" s="0" t="str">
        <f aca="false">IF(I506="","",IF(AND(J506&gt;=1,J506&lt;=K506+3),"255.255.255.0",""))</f>
        <v/>
      </c>
      <c r="E506" s="0" t="str">
        <f aca="false">IF(I506="","",IF(AND(J506&gt;=1,J506&lt;=K506+3),"10."&amp;INDEX(Eingabe!$D$9:$D$18,I506)&amp;"."&amp;IF(J506&lt;=K506,J506,IF(J506=K506+1,200,IF(J506=K506+2,201,250)))&amp;".1",""))</f>
        <v/>
      </c>
      <c r="F506" s="0" t="str">
        <f aca="false">IF(I506="","",IF(AND(J506&gt;=1,J506&lt;=K506+3),"10."&amp;INDEX(Eingabe!$D$9:$D$18,I506)&amp;"."&amp;IF(J506&lt;=K506,J506,IF(J506=K506+1,200,IF(J506=K506+2,201,250)))&amp;".10 – 10."&amp;INDEX(Eingabe!$D$9:$D$18,I506)&amp;"."&amp;IF(J506&lt;=K506,J506,IF(J506=K506+1,200,IF(J506=K506+2,201,250)))&amp;".250",""))</f>
        <v/>
      </c>
      <c r="G506" s="0" t="str">
        <f aca="false">IF(I506="","",IF(AND(J506&gt;=1,J506&lt;=K506),Eingabe!$B$6&amp;"-"&amp;INDEX(Eingabe!$C$9:$C$18,I506)&amp;"-Pächter  ·  Passwort Parzelle "&amp;J506,IF(J506=K506+1,Eingabe!$B$6&amp;"-"&amp;INDEX(Eingabe!$C$9:$C$18,I506)&amp;"-Vorstand  ·  eigenes WLAN",IF(J506=K506+2,Eingabe!$B$6&amp;"-"&amp;INDEX(Eingabe!$C$9:$C$18,I506)&amp;"-Gäste  ·  Voucher",IF(J506=K506+3,"Kabel  ·  Access Point y = .(50+y), Mast-Switch x = .(10+x)","")))))</f>
        <v/>
      </c>
      <c r="I506" s="0" t="str">
        <f aca="false">IF(501&lt;=(Eingabe!$P$18+Eingabe!$Q$18-1),MATCH(501,Eingabe!$P$9:$P$18,1),"")</f>
        <v/>
      </c>
      <c r="J506" s="0" t="str">
        <f aca="false">IF(I506="","",501-INDEX(Eingabe!$P$9:$P$18,I506))</f>
        <v/>
      </c>
      <c r="K506" s="0" t="str">
        <f aca="false">IF(I506="","",INDEX(Eingabe!$E$9:$E$18,I506))</f>
        <v/>
      </c>
    </row>
    <row r="507" customFormat="false" ht="15" hidden="false" customHeight="false" outlineLevel="0" collapsed="false">
      <c r="A507" s="0" t="str">
        <f aca="false">IF(I507="","",IF(J507=0,"Sparte "&amp;I507&amp;": "&amp;INDEX(Eingabe!$B$9:$B$18,I507)&amp;"  (Sparten-ID "&amp;INDEX(Eingabe!$D$9:$D$18,I507)&amp;", "&amp;K507&amp;" Parzellen)",IF(J507&lt;=K507,"   Parzelle "&amp;J507,IF(J507=K507+1,"   Vorstand",IF(J507=K507+2,"   Gäste",IF(J507=K507+3,"   Technik (Switches, Access Points)",""))))))</f>
        <v/>
      </c>
      <c r="B507" s="0" t="str">
        <f aca="false">IF(I507="","",IF(AND(J507&gt;=1,J507&lt;=K507+3),IF(J507&lt;=K507,IF(J507&lt;=99,IF((INDEX(Eingabe!$G$9:$G$18,I507))&lt;=9,1000+(INDEX(Eingabe!$G$9:$G$18,I507))*100,3000)+J507,IF((INDEX(Eingabe!$G$9:$G$18,I507)+1)&lt;=9,1000+(INDEX(Eingabe!$G$9:$G$18,I507)+1)*100,3000)+J507-100),IF(J507=K507+1,2000+INDEX(Eingabe!$G$9:$G$18,I507)*10+1,IF(J507=K507+2,2000+INDEX(Eingabe!$G$9:$G$18,I507)*10+2,2000+INDEX(Eingabe!$G$9:$G$18,I507)*10+9))),""))</f>
        <v/>
      </c>
      <c r="C507" s="0" t="str">
        <f aca="false">IF(I507="","",IF(AND(J507&gt;=1,J507&lt;=K507+3),"10."&amp;INDEX(Eingabe!$D$9:$D$18,I507)&amp;"."&amp;IF(J507&lt;=K507,J507,IF(J507=K507+1,200,IF(J507=K507+2,201,250)))&amp;".0/24",""))</f>
        <v/>
      </c>
      <c r="D507" s="0" t="str">
        <f aca="false">IF(I507="","",IF(AND(J507&gt;=1,J507&lt;=K507+3),"255.255.255.0",""))</f>
        <v/>
      </c>
      <c r="E507" s="0" t="str">
        <f aca="false">IF(I507="","",IF(AND(J507&gt;=1,J507&lt;=K507+3),"10."&amp;INDEX(Eingabe!$D$9:$D$18,I507)&amp;"."&amp;IF(J507&lt;=K507,J507,IF(J507=K507+1,200,IF(J507=K507+2,201,250)))&amp;".1",""))</f>
        <v/>
      </c>
      <c r="F507" s="0" t="str">
        <f aca="false">IF(I507="","",IF(AND(J507&gt;=1,J507&lt;=K507+3),"10."&amp;INDEX(Eingabe!$D$9:$D$18,I507)&amp;"."&amp;IF(J507&lt;=K507,J507,IF(J507=K507+1,200,IF(J507=K507+2,201,250)))&amp;".10 – 10."&amp;INDEX(Eingabe!$D$9:$D$18,I507)&amp;"."&amp;IF(J507&lt;=K507,J507,IF(J507=K507+1,200,IF(J507=K507+2,201,250)))&amp;".250",""))</f>
        <v/>
      </c>
      <c r="G507" s="0" t="str">
        <f aca="false">IF(I507="","",IF(AND(J507&gt;=1,J507&lt;=K507),Eingabe!$B$6&amp;"-"&amp;INDEX(Eingabe!$C$9:$C$18,I507)&amp;"-Pächter  ·  Passwort Parzelle "&amp;J507,IF(J507=K507+1,Eingabe!$B$6&amp;"-"&amp;INDEX(Eingabe!$C$9:$C$18,I507)&amp;"-Vorstand  ·  eigenes WLAN",IF(J507=K507+2,Eingabe!$B$6&amp;"-"&amp;INDEX(Eingabe!$C$9:$C$18,I507)&amp;"-Gäste  ·  Voucher",IF(J507=K507+3,"Kabel  ·  Access Point y = .(50+y), Mast-Switch x = .(10+x)","")))))</f>
        <v/>
      </c>
      <c r="I507" s="0" t="str">
        <f aca="false">IF(502&lt;=(Eingabe!$P$18+Eingabe!$Q$18-1),MATCH(502,Eingabe!$P$9:$P$18,1),"")</f>
        <v/>
      </c>
      <c r="J507" s="0" t="str">
        <f aca="false">IF(I507="","",502-INDEX(Eingabe!$P$9:$P$18,I507))</f>
        <v/>
      </c>
      <c r="K507" s="0" t="str">
        <f aca="false">IF(I507="","",INDEX(Eingabe!$E$9:$E$18,I507))</f>
        <v/>
      </c>
    </row>
    <row r="508" customFormat="false" ht="15" hidden="false" customHeight="false" outlineLevel="0" collapsed="false">
      <c r="A508" s="0" t="str">
        <f aca="false">IF(I508="","",IF(J508=0,"Sparte "&amp;I508&amp;": "&amp;INDEX(Eingabe!$B$9:$B$18,I508)&amp;"  (Sparten-ID "&amp;INDEX(Eingabe!$D$9:$D$18,I508)&amp;", "&amp;K508&amp;" Parzellen)",IF(J508&lt;=K508,"   Parzelle "&amp;J508,IF(J508=K508+1,"   Vorstand",IF(J508=K508+2,"   Gäste",IF(J508=K508+3,"   Technik (Switches, Access Points)",""))))))</f>
        <v/>
      </c>
      <c r="B508" s="0" t="str">
        <f aca="false">IF(I508="","",IF(AND(J508&gt;=1,J508&lt;=K508+3),IF(J508&lt;=K508,IF(J508&lt;=99,IF((INDEX(Eingabe!$G$9:$G$18,I508))&lt;=9,1000+(INDEX(Eingabe!$G$9:$G$18,I508))*100,3000)+J508,IF((INDEX(Eingabe!$G$9:$G$18,I508)+1)&lt;=9,1000+(INDEX(Eingabe!$G$9:$G$18,I508)+1)*100,3000)+J508-100),IF(J508=K508+1,2000+INDEX(Eingabe!$G$9:$G$18,I508)*10+1,IF(J508=K508+2,2000+INDEX(Eingabe!$G$9:$G$18,I508)*10+2,2000+INDEX(Eingabe!$G$9:$G$18,I508)*10+9))),""))</f>
        <v/>
      </c>
      <c r="C508" s="0" t="str">
        <f aca="false">IF(I508="","",IF(AND(J508&gt;=1,J508&lt;=K508+3),"10."&amp;INDEX(Eingabe!$D$9:$D$18,I508)&amp;"."&amp;IF(J508&lt;=K508,J508,IF(J508=K508+1,200,IF(J508=K508+2,201,250)))&amp;".0/24",""))</f>
        <v/>
      </c>
      <c r="D508" s="0" t="str">
        <f aca="false">IF(I508="","",IF(AND(J508&gt;=1,J508&lt;=K508+3),"255.255.255.0",""))</f>
        <v/>
      </c>
      <c r="E508" s="0" t="str">
        <f aca="false">IF(I508="","",IF(AND(J508&gt;=1,J508&lt;=K508+3),"10."&amp;INDEX(Eingabe!$D$9:$D$18,I508)&amp;"."&amp;IF(J508&lt;=K508,J508,IF(J508=K508+1,200,IF(J508=K508+2,201,250)))&amp;".1",""))</f>
        <v/>
      </c>
      <c r="F508" s="0" t="str">
        <f aca="false">IF(I508="","",IF(AND(J508&gt;=1,J508&lt;=K508+3),"10."&amp;INDEX(Eingabe!$D$9:$D$18,I508)&amp;"."&amp;IF(J508&lt;=K508,J508,IF(J508=K508+1,200,IF(J508=K508+2,201,250)))&amp;".10 – 10."&amp;INDEX(Eingabe!$D$9:$D$18,I508)&amp;"."&amp;IF(J508&lt;=K508,J508,IF(J508=K508+1,200,IF(J508=K508+2,201,250)))&amp;".250",""))</f>
        <v/>
      </c>
      <c r="G508" s="0" t="str">
        <f aca="false">IF(I508="","",IF(AND(J508&gt;=1,J508&lt;=K508),Eingabe!$B$6&amp;"-"&amp;INDEX(Eingabe!$C$9:$C$18,I508)&amp;"-Pächter  ·  Passwort Parzelle "&amp;J508,IF(J508=K508+1,Eingabe!$B$6&amp;"-"&amp;INDEX(Eingabe!$C$9:$C$18,I508)&amp;"-Vorstand  ·  eigenes WLAN",IF(J508=K508+2,Eingabe!$B$6&amp;"-"&amp;INDEX(Eingabe!$C$9:$C$18,I508)&amp;"-Gäste  ·  Voucher",IF(J508=K508+3,"Kabel  ·  Access Point y = .(50+y), Mast-Switch x = .(10+x)","")))))</f>
        <v/>
      </c>
      <c r="I508" s="0" t="str">
        <f aca="false">IF(503&lt;=(Eingabe!$P$18+Eingabe!$Q$18-1),MATCH(503,Eingabe!$P$9:$P$18,1),"")</f>
        <v/>
      </c>
      <c r="J508" s="0" t="str">
        <f aca="false">IF(I508="","",503-INDEX(Eingabe!$P$9:$P$18,I508))</f>
        <v/>
      </c>
      <c r="K508" s="0" t="str">
        <f aca="false">IF(I508="","",INDEX(Eingabe!$E$9:$E$18,I508))</f>
        <v/>
      </c>
    </row>
    <row r="509" customFormat="false" ht="15" hidden="false" customHeight="false" outlineLevel="0" collapsed="false">
      <c r="A509" s="0" t="str">
        <f aca="false">IF(I509="","",IF(J509=0,"Sparte "&amp;I509&amp;": "&amp;INDEX(Eingabe!$B$9:$B$18,I509)&amp;"  (Sparten-ID "&amp;INDEX(Eingabe!$D$9:$D$18,I509)&amp;", "&amp;K509&amp;" Parzellen)",IF(J509&lt;=K509,"   Parzelle "&amp;J509,IF(J509=K509+1,"   Vorstand",IF(J509=K509+2,"   Gäste",IF(J509=K509+3,"   Technik (Switches, Access Points)",""))))))</f>
        <v/>
      </c>
      <c r="B509" s="0" t="str">
        <f aca="false">IF(I509="","",IF(AND(J509&gt;=1,J509&lt;=K509+3),IF(J509&lt;=K509,IF(J509&lt;=99,IF((INDEX(Eingabe!$G$9:$G$18,I509))&lt;=9,1000+(INDEX(Eingabe!$G$9:$G$18,I509))*100,3000)+J509,IF((INDEX(Eingabe!$G$9:$G$18,I509)+1)&lt;=9,1000+(INDEX(Eingabe!$G$9:$G$18,I509)+1)*100,3000)+J509-100),IF(J509=K509+1,2000+INDEX(Eingabe!$G$9:$G$18,I509)*10+1,IF(J509=K509+2,2000+INDEX(Eingabe!$G$9:$G$18,I509)*10+2,2000+INDEX(Eingabe!$G$9:$G$18,I509)*10+9))),""))</f>
        <v/>
      </c>
      <c r="C509" s="0" t="str">
        <f aca="false">IF(I509="","",IF(AND(J509&gt;=1,J509&lt;=K509+3),"10."&amp;INDEX(Eingabe!$D$9:$D$18,I509)&amp;"."&amp;IF(J509&lt;=K509,J509,IF(J509=K509+1,200,IF(J509=K509+2,201,250)))&amp;".0/24",""))</f>
        <v/>
      </c>
      <c r="D509" s="0" t="str">
        <f aca="false">IF(I509="","",IF(AND(J509&gt;=1,J509&lt;=K509+3),"255.255.255.0",""))</f>
        <v/>
      </c>
      <c r="E509" s="0" t="str">
        <f aca="false">IF(I509="","",IF(AND(J509&gt;=1,J509&lt;=K509+3),"10."&amp;INDEX(Eingabe!$D$9:$D$18,I509)&amp;"."&amp;IF(J509&lt;=K509,J509,IF(J509=K509+1,200,IF(J509=K509+2,201,250)))&amp;".1",""))</f>
        <v/>
      </c>
      <c r="F509" s="0" t="str">
        <f aca="false">IF(I509="","",IF(AND(J509&gt;=1,J509&lt;=K509+3),"10."&amp;INDEX(Eingabe!$D$9:$D$18,I509)&amp;"."&amp;IF(J509&lt;=K509,J509,IF(J509=K509+1,200,IF(J509=K509+2,201,250)))&amp;".10 – 10."&amp;INDEX(Eingabe!$D$9:$D$18,I509)&amp;"."&amp;IF(J509&lt;=K509,J509,IF(J509=K509+1,200,IF(J509=K509+2,201,250)))&amp;".250",""))</f>
        <v/>
      </c>
      <c r="G509" s="0" t="str">
        <f aca="false">IF(I509="","",IF(AND(J509&gt;=1,J509&lt;=K509),Eingabe!$B$6&amp;"-"&amp;INDEX(Eingabe!$C$9:$C$18,I509)&amp;"-Pächter  ·  Passwort Parzelle "&amp;J509,IF(J509=K509+1,Eingabe!$B$6&amp;"-"&amp;INDEX(Eingabe!$C$9:$C$18,I509)&amp;"-Vorstand  ·  eigenes WLAN",IF(J509=K509+2,Eingabe!$B$6&amp;"-"&amp;INDEX(Eingabe!$C$9:$C$18,I509)&amp;"-Gäste  ·  Voucher",IF(J509=K509+3,"Kabel  ·  Access Point y = .(50+y), Mast-Switch x = .(10+x)","")))))</f>
        <v/>
      </c>
      <c r="I509" s="0" t="str">
        <f aca="false">IF(504&lt;=(Eingabe!$P$18+Eingabe!$Q$18-1),MATCH(504,Eingabe!$P$9:$P$18,1),"")</f>
        <v/>
      </c>
      <c r="J509" s="0" t="str">
        <f aca="false">IF(I509="","",504-INDEX(Eingabe!$P$9:$P$18,I509))</f>
        <v/>
      </c>
      <c r="K509" s="0" t="str">
        <f aca="false">IF(I509="","",INDEX(Eingabe!$E$9:$E$18,I509))</f>
        <v/>
      </c>
    </row>
    <row r="510" customFormat="false" ht="15" hidden="false" customHeight="false" outlineLevel="0" collapsed="false">
      <c r="A510" s="0" t="str">
        <f aca="false">IF(I510="","",IF(J510=0,"Sparte "&amp;I510&amp;": "&amp;INDEX(Eingabe!$B$9:$B$18,I510)&amp;"  (Sparten-ID "&amp;INDEX(Eingabe!$D$9:$D$18,I510)&amp;", "&amp;K510&amp;" Parzellen)",IF(J510&lt;=K510,"   Parzelle "&amp;J510,IF(J510=K510+1,"   Vorstand",IF(J510=K510+2,"   Gäste",IF(J510=K510+3,"   Technik (Switches, Access Points)",""))))))</f>
        <v/>
      </c>
      <c r="B510" s="0" t="str">
        <f aca="false">IF(I510="","",IF(AND(J510&gt;=1,J510&lt;=K510+3),IF(J510&lt;=K510,IF(J510&lt;=99,IF((INDEX(Eingabe!$G$9:$G$18,I510))&lt;=9,1000+(INDEX(Eingabe!$G$9:$G$18,I510))*100,3000)+J510,IF((INDEX(Eingabe!$G$9:$G$18,I510)+1)&lt;=9,1000+(INDEX(Eingabe!$G$9:$G$18,I510)+1)*100,3000)+J510-100),IF(J510=K510+1,2000+INDEX(Eingabe!$G$9:$G$18,I510)*10+1,IF(J510=K510+2,2000+INDEX(Eingabe!$G$9:$G$18,I510)*10+2,2000+INDEX(Eingabe!$G$9:$G$18,I510)*10+9))),""))</f>
        <v/>
      </c>
      <c r="C510" s="0" t="str">
        <f aca="false">IF(I510="","",IF(AND(J510&gt;=1,J510&lt;=K510+3),"10."&amp;INDEX(Eingabe!$D$9:$D$18,I510)&amp;"."&amp;IF(J510&lt;=K510,J510,IF(J510=K510+1,200,IF(J510=K510+2,201,250)))&amp;".0/24",""))</f>
        <v/>
      </c>
      <c r="D510" s="0" t="str">
        <f aca="false">IF(I510="","",IF(AND(J510&gt;=1,J510&lt;=K510+3),"255.255.255.0",""))</f>
        <v/>
      </c>
      <c r="E510" s="0" t="str">
        <f aca="false">IF(I510="","",IF(AND(J510&gt;=1,J510&lt;=K510+3),"10."&amp;INDEX(Eingabe!$D$9:$D$18,I510)&amp;"."&amp;IF(J510&lt;=K510,J510,IF(J510=K510+1,200,IF(J510=K510+2,201,250)))&amp;".1",""))</f>
        <v/>
      </c>
      <c r="F510" s="0" t="str">
        <f aca="false">IF(I510="","",IF(AND(J510&gt;=1,J510&lt;=K510+3),"10."&amp;INDEX(Eingabe!$D$9:$D$18,I510)&amp;"."&amp;IF(J510&lt;=K510,J510,IF(J510=K510+1,200,IF(J510=K510+2,201,250)))&amp;".10 – 10."&amp;INDEX(Eingabe!$D$9:$D$18,I510)&amp;"."&amp;IF(J510&lt;=K510,J510,IF(J510=K510+1,200,IF(J510=K510+2,201,250)))&amp;".250",""))</f>
        <v/>
      </c>
      <c r="G510" s="0" t="str">
        <f aca="false">IF(I510="","",IF(AND(J510&gt;=1,J510&lt;=K510),Eingabe!$B$6&amp;"-"&amp;INDEX(Eingabe!$C$9:$C$18,I510)&amp;"-Pächter  ·  Passwort Parzelle "&amp;J510,IF(J510=K510+1,Eingabe!$B$6&amp;"-"&amp;INDEX(Eingabe!$C$9:$C$18,I510)&amp;"-Vorstand  ·  eigenes WLAN",IF(J510=K510+2,Eingabe!$B$6&amp;"-"&amp;INDEX(Eingabe!$C$9:$C$18,I510)&amp;"-Gäste  ·  Voucher",IF(J510=K510+3,"Kabel  ·  Access Point y = .(50+y), Mast-Switch x = .(10+x)","")))))</f>
        <v/>
      </c>
      <c r="I510" s="0" t="str">
        <f aca="false">IF(505&lt;=(Eingabe!$P$18+Eingabe!$Q$18-1),MATCH(505,Eingabe!$P$9:$P$18,1),"")</f>
        <v/>
      </c>
      <c r="J510" s="0" t="str">
        <f aca="false">IF(I510="","",505-INDEX(Eingabe!$P$9:$P$18,I510))</f>
        <v/>
      </c>
      <c r="K510" s="0" t="str">
        <f aca="false">IF(I510="","",INDEX(Eingabe!$E$9:$E$18,I510))</f>
        <v/>
      </c>
    </row>
    <row r="511" customFormat="false" ht="15" hidden="false" customHeight="false" outlineLevel="0" collapsed="false">
      <c r="A511" s="0" t="str">
        <f aca="false">IF(I511="","",IF(J511=0,"Sparte "&amp;I511&amp;": "&amp;INDEX(Eingabe!$B$9:$B$18,I511)&amp;"  (Sparten-ID "&amp;INDEX(Eingabe!$D$9:$D$18,I511)&amp;", "&amp;K511&amp;" Parzellen)",IF(J511&lt;=K511,"   Parzelle "&amp;J511,IF(J511=K511+1,"   Vorstand",IF(J511=K511+2,"   Gäste",IF(J511=K511+3,"   Technik (Switches, Access Points)",""))))))</f>
        <v/>
      </c>
      <c r="B511" s="0" t="str">
        <f aca="false">IF(I511="","",IF(AND(J511&gt;=1,J511&lt;=K511+3),IF(J511&lt;=K511,IF(J511&lt;=99,IF((INDEX(Eingabe!$G$9:$G$18,I511))&lt;=9,1000+(INDEX(Eingabe!$G$9:$G$18,I511))*100,3000)+J511,IF((INDEX(Eingabe!$G$9:$G$18,I511)+1)&lt;=9,1000+(INDEX(Eingabe!$G$9:$G$18,I511)+1)*100,3000)+J511-100),IF(J511=K511+1,2000+INDEX(Eingabe!$G$9:$G$18,I511)*10+1,IF(J511=K511+2,2000+INDEX(Eingabe!$G$9:$G$18,I511)*10+2,2000+INDEX(Eingabe!$G$9:$G$18,I511)*10+9))),""))</f>
        <v/>
      </c>
      <c r="C511" s="0" t="str">
        <f aca="false">IF(I511="","",IF(AND(J511&gt;=1,J511&lt;=K511+3),"10."&amp;INDEX(Eingabe!$D$9:$D$18,I511)&amp;"."&amp;IF(J511&lt;=K511,J511,IF(J511=K511+1,200,IF(J511=K511+2,201,250)))&amp;".0/24",""))</f>
        <v/>
      </c>
      <c r="D511" s="0" t="str">
        <f aca="false">IF(I511="","",IF(AND(J511&gt;=1,J511&lt;=K511+3),"255.255.255.0",""))</f>
        <v/>
      </c>
      <c r="E511" s="0" t="str">
        <f aca="false">IF(I511="","",IF(AND(J511&gt;=1,J511&lt;=K511+3),"10."&amp;INDEX(Eingabe!$D$9:$D$18,I511)&amp;"."&amp;IF(J511&lt;=K511,J511,IF(J511=K511+1,200,IF(J511=K511+2,201,250)))&amp;".1",""))</f>
        <v/>
      </c>
      <c r="F511" s="0" t="str">
        <f aca="false">IF(I511="","",IF(AND(J511&gt;=1,J511&lt;=K511+3),"10."&amp;INDEX(Eingabe!$D$9:$D$18,I511)&amp;"."&amp;IF(J511&lt;=K511,J511,IF(J511=K511+1,200,IF(J511=K511+2,201,250)))&amp;".10 – 10."&amp;INDEX(Eingabe!$D$9:$D$18,I511)&amp;"."&amp;IF(J511&lt;=K511,J511,IF(J511=K511+1,200,IF(J511=K511+2,201,250)))&amp;".250",""))</f>
        <v/>
      </c>
      <c r="G511" s="0" t="str">
        <f aca="false">IF(I511="","",IF(AND(J511&gt;=1,J511&lt;=K511),Eingabe!$B$6&amp;"-"&amp;INDEX(Eingabe!$C$9:$C$18,I511)&amp;"-Pächter  ·  Passwort Parzelle "&amp;J511,IF(J511=K511+1,Eingabe!$B$6&amp;"-"&amp;INDEX(Eingabe!$C$9:$C$18,I511)&amp;"-Vorstand  ·  eigenes WLAN",IF(J511=K511+2,Eingabe!$B$6&amp;"-"&amp;INDEX(Eingabe!$C$9:$C$18,I511)&amp;"-Gäste  ·  Voucher",IF(J511=K511+3,"Kabel  ·  Access Point y = .(50+y), Mast-Switch x = .(10+x)","")))))</f>
        <v/>
      </c>
      <c r="I511" s="0" t="str">
        <f aca="false">IF(506&lt;=(Eingabe!$P$18+Eingabe!$Q$18-1),MATCH(506,Eingabe!$P$9:$P$18,1),"")</f>
        <v/>
      </c>
      <c r="J511" s="0" t="str">
        <f aca="false">IF(I511="","",506-INDEX(Eingabe!$P$9:$P$18,I511))</f>
        <v/>
      </c>
      <c r="K511" s="0" t="str">
        <f aca="false">IF(I511="","",INDEX(Eingabe!$E$9:$E$18,I511))</f>
        <v/>
      </c>
    </row>
    <row r="512" customFormat="false" ht="15" hidden="false" customHeight="false" outlineLevel="0" collapsed="false">
      <c r="A512" s="0" t="str">
        <f aca="false">IF(I512="","",IF(J512=0,"Sparte "&amp;I512&amp;": "&amp;INDEX(Eingabe!$B$9:$B$18,I512)&amp;"  (Sparten-ID "&amp;INDEX(Eingabe!$D$9:$D$18,I512)&amp;", "&amp;K512&amp;" Parzellen)",IF(J512&lt;=K512,"   Parzelle "&amp;J512,IF(J512=K512+1,"   Vorstand",IF(J512=K512+2,"   Gäste",IF(J512=K512+3,"   Technik (Switches, Access Points)",""))))))</f>
        <v/>
      </c>
      <c r="B512" s="0" t="str">
        <f aca="false">IF(I512="","",IF(AND(J512&gt;=1,J512&lt;=K512+3),IF(J512&lt;=K512,IF(J512&lt;=99,IF((INDEX(Eingabe!$G$9:$G$18,I512))&lt;=9,1000+(INDEX(Eingabe!$G$9:$G$18,I512))*100,3000)+J512,IF((INDEX(Eingabe!$G$9:$G$18,I512)+1)&lt;=9,1000+(INDEX(Eingabe!$G$9:$G$18,I512)+1)*100,3000)+J512-100),IF(J512=K512+1,2000+INDEX(Eingabe!$G$9:$G$18,I512)*10+1,IF(J512=K512+2,2000+INDEX(Eingabe!$G$9:$G$18,I512)*10+2,2000+INDEX(Eingabe!$G$9:$G$18,I512)*10+9))),""))</f>
        <v/>
      </c>
      <c r="C512" s="0" t="str">
        <f aca="false">IF(I512="","",IF(AND(J512&gt;=1,J512&lt;=K512+3),"10."&amp;INDEX(Eingabe!$D$9:$D$18,I512)&amp;"."&amp;IF(J512&lt;=K512,J512,IF(J512=K512+1,200,IF(J512=K512+2,201,250)))&amp;".0/24",""))</f>
        <v/>
      </c>
      <c r="D512" s="0" t="str">
        <f aca="false">IF(I512="","",IF(AND(J512&gt;=1,J512&lt;=K512+3),"255.255.255.0",""))</f>
        <v/>
      </c>
      <c r="E512" s="0" t="str">
        <f aca="false">IF(I512="","",IF(AND(J512&gt;=1,J512&lt;=K512+3),"10."&amp;INDEX(Eingabe!$D$9:$D$18,I512)&amp;"."&amp;IF(J512&lt;=K512,J512,IF(J512=K512+1,200,IF(J512=K512+2,201,250)))&amp;".1",""))</f>
        <v/>
      </c>
      <c r="F512" s="0" t="str">
        <f aca="false">IF(I512="","",IF(AND(J512&gt;=1,J512&lt;=K512+3),"10."&amp;INDEX(Eingabe!$D$9:$D$18,I512)&amp;"."&amp;IF(J512&lt;=K512,J512,IF(J512=K512+1,200,IF(J512=K512+2,201,250)))&amp;".10 – 10."&amp;INDEX(Eingabe!$D$9:$D$18,I512)&amp;"."&amp;IF(J512&lt;=K512,J512,IF(J512=K512+1,200,IF(J512=K512+2,201,250)))&amp;".250",""))</f>
        <v/>
      </c>
      <c r="G512" s="0" t="str">
        <f aca="false">IF(I512="","",IF(AND(J512&gt;=1,J512&lt;=K512),Eingabe!$B$6&amp;"-"&amp;INDEX(Eingabe!$C$9:$C$18,I512)&amp;"-Pächter  ·  Passwort Parzelle "&amp;J512,IF(J512=K512+1,Eingabe!$B$6&amp;"-"&amp;INDEX(Eingabe!$C$9:$C$18,I512)&amp;"-Vorstand  ·  eigenes WLAN",IF(J512=K512+2,Eingabe!$B$6&amp;"-"&amp;INDEX(Eingabe!$C$9:$C$18,I512)&amp;"-Gäste  ·  Voucher",IF(J512=K512+3,"Kabel  ·  Access Point y = .(50+y), Mast-Switch x = .(10+x)","")))))</f>
        <v/>
      </c>
      <c r="I512" s="0" t="str">
        <f aca="false">IF(507&lt;=(Eingabe!$P$18+Eingabe!$Q$18-1),MATCH(507,Eingabe!$P$9:$P$18,1),"")</f>
        <v/>
      </c>
      <c r="J512" s="0" t="str">
        <f aca="false">IF(I512="","",507-INDEX(Eingabe!$P$9:$P$18,I512))</f>
        <v/>
      </c>
      <c r="K512" s="0" t="str">
        <f aca="false">IF(I512="","",INDEX(Eingabe!$E$9:$E$18,I512))</f>
        <v/>
      </c>
    </row>
    <row r="513" customFormat="false" ht="15" hidden="false" customHeight="false" outlineLevel="0" collapsed="false">
      <c r="A513" s="0" t="str">
        <f aca="false">IF(I513="","",IF(J513=0,"Sparte "&amp;I513&amp;": "&amp;INDEX(Eingabe!$B$9:$B$18,I513)&amp;"  (Sparten-ID "&amp;INDEX(Eingabe!$D$9:$D$18,I513)&amp;", "&amp;K513&amp;" Parzellen)",IF(J513&lt;=K513,"   Parzelle "&amp;J513,IF(J513=K513+1,"   Vorstand",IF(J513=K513+2,"   Gäste",IF(J513=K513+3,"   Technik (Switches, Access Points)",""))))))</f>
        <v/>
      </c>
      <c r="B513" s="0" t="str">
        <f aca="false">IF(I513="","",IF(AND(J513&gt;=1,J513&lt;=K513+3),IF(J513&lt;=K513,IF(J513&lt;=99,IF((INDEX(Eingabe!$G$9:$G$18,I513))&lt;=9,1000+(INDEX(Eingabe!$G$9:$G$18,I513))*100,3000)+J513,IF((INDEX(Eingabe!$G$9:$G$18,I513)+1)&lt;=9,1000+(INDEX(Eingabe!$G$9:$G$18,I513)+1)*100,3000)+J513-100),IF(J513=K513+1,2000+INDEX(Eingabe!$G$9:$G$18,I513)*10+1,IF(J513=K513+2,2000+INDEX(Eingabe!$G$9:$G$18,I513)*10+2,2000+INDEX(Eingabe!$G$9:$G$18,I513)*10+9))),""))</f>
        <v/>
      </c>
      <c r="C513" s="0" t="str">
        <f aca="false">IF(I513="","",IF(AND(J513&gt;=1,J513&lt;=K513+3),"10."&amp;INDEX(Eingabe!$D$9:$D$18,I513)&amp;"."&amp;IF(J513&lt;=K513,J513,IF(J513=K513+1,200,IF(J513=K513+2,201,250)))&amp;".0/24",""))</f>
        <v/>
      </c>
      <c r="D513" s="0" t="str">
        <f aca="false">IF(I513="","",IF(AND(J513&gt;=1,J513&lt;=K513+3),"255.255.255.0",""))</f>
        <v/>
      </c>
      <c r="E513" s="0" t="str">
        <f aca="false">IF(I513="","",IF(AND(J513&gt;=1,J513&lt;=K513+3),"10."&amp;INDEX(Eingabe!$D$9:$D$18,I513)&amp;"."&amp;IF(J513&lt;=K513,J513,IF(J513=K513+1,200,IF(J513=K513+2,201,250)))&amp;".1",""))</f>
        <v/>
      </c>
      <c r="F513" s="0" t="str">
        <f aca="false">IF(I513="","",IF(AND(J513&gt;=1,J513&lt;=K513+3),"10."&amp;INDEX(Eingabe!$D$9:$D$18,I513)&amp;"."&amp;IF(J513&lt;=K513,J513,IF(J513=K513+1,200,IF(J513=K513+2,201,250)))&amp;".10 – 10."&amp;INDEX(Eingabe!$D$9:$D$18,I513)&amp;"."&amp;IF(J513&lt;=K513,J513,IF(J513=K513+1,200,IF(J513=K513+2,201,250)))&amp;".250",""))</f>
        <v/>
      </c>
      <c r="G513" s="0" t="str">
        <f aca="false">IF(I513="","",IF(AND(J513&gt;=1,J513&lt;=K513),Eingabe!$B$6&amp;"-"&amp;INDEX(Eingabe!$C$9:$C$18,I513)&amp;"-Pächter  ·  Passwort Parzelle "&amp;J513,IF(J513=K513+1,Eingabe!$B$6&amp;"-"&amp;INDEX(Eingabe!$C$9:$C$18,I513)&amp;"-Vorstand  ·  eigenes WLAN",IF(J513=K513+2,Eingabe!$B$6&amp;"-"&amp;INDEX(Eingabe!$C$9:$C$18,I513)&amp;"-Gäste  ·  Voucher",IF(J513=K513+3,"Kabel  ·  Access Point y = .(50+y), Mast-Switch x = .(10+x)","")))))</f>
        <v/>
      </c>
      <c r="I513" s="0" t="str">
        <f aca="false">IF(508&lt;=(Eingabe!$P$18+Eingabe!$Q$18-1),MATCH(508,Eingabe!$P$9:$P$18,1),"")</f>
        <v/>
      </c>
      <c r="J513" s="0" t="str">
        <f aca="false">IF(I513="","",508-INDEX(Eingabe!$P$9:$P$18,I513))</f>
        <v/>
      </c>
      <c r="K513" s="0" t="str">
        <f aca="false">IF(I513="","",INDEX(Eingabe!$E$9:$E$18,I513))</f>
        <v/>
      </c>
    </row>
    <row r="514" customFormat="false" ht="15" hidden="false" customHeight="false" outlineLevel="0" collapsed="false">
      <c r="A514" s="0" t="str">
        <f aca="false">IF(I514="","",IF(J514=0,"Sparte "&amp;I514&amp;": "&amp;INDEX(Eingabe!$B$9:$B$18,I514)&amp;"  (Sparten-ID "&amp;INDEX(Eingabe!$D$9:$D$18,I514)&amp;", "&amp;K514&amp;" Parzellen)",IF(J514&lt;=K514,"   Parzelle "&amp;J514,IF(J514=K514+1,"   Vorstand",IF(J514=K514+2,"   Gäste",IF(J514=K514+3,"   Technik (Switches, Access Points)",""))))))</f>
        <v/>
      </c>
      <c r="B514" s="0" t="str">
        <f aca="false">IF(I514="","",IF(AND(J514&gt;=1,J514&lt;=K514+3),IF(J514&lt;=K514,IF(J514&lt;=99,IF((INDEX(Eingabe!$G$9:$G$18,I514))&lt;=9,1000+(INDEX(Eingabe!$G$9:$G$18,I514))*100,3000)+J514,IF((INDEX(Eingabe!$G$9:$G$18,I514)+1)&lt;=9,1000+(INDEX(Eingabe!$G$9:$G$18,I514)+1)*100,3000)+J514-100),IF(J514=K514+1,2000+INDEX(Eingabe!$G$9:$G$18,I514)*10+1,IF(J514=K514+2,2000+INDEX(Eingabe!$G$9:$G$18,I514)*10+2,2000+INDEX(Eingabe!$G$9:$G$18,I514)*10+9))),""))</f>
        <v/>
      </c>
      <c r="C514" s="0" t="str">
        <f aca="false">IF(I514="","",IF(AND(J514&gt;=1,J514&lt;=K514+3),"10."&amp;INDEX(Eingabe!$D$9:$D$18,I514)&amp;"."&amp;IF(J514&lt;=K514,J514,IF(J514=K514+1,200,IF(J514=K514+2,201,250)))&amp;".0/24",""))</f>
        <v/>
      </c>
      <c r="D514" s="0" t="str">
        <f aca="false">IF(I514="","",IF(AND(J514&gt;=1,J514&lt;=K514+3),"255.255.255.0",""))</f>
        <v/>
      </c>
      <c r="E514" s="0" t="str">
        <f aca="false">IF(I514="","",IF(AND(J514&gt;=1,J514&lt;=K514+3),"10."&amp;INDEX(Eingabe!$D$9:$D$18,I514)&amp;"."&amp;IF(J514&lt;=K514,J514,IF(J514=K514+1,200,IF(J514=K514+2,201,250)))&amp;".1",""))</f>
        <v/>
      </c>
      <c r="F514" s="0" t="str">
        <f aca="false">IF(I514="","",IF(AND(J514&gt;=1,J514&lt;=K514+3),"10."&amp;INDEX(Eingabe!$D$9:$D$18,I514)&amp;"."&amp;IF(J514&lt;=K514,J514,IF(J514=K514+1,200,IF(J514=K514+2,201,250)))&amp;".10 – 10."&amp;INDEX(Eingabe!$D$9:$D$18,I514)&amp;"."&amp;IF(J514&lt;=K514,J514,IF(J514=K514+1,200,IF(J514=K514+2,201,250)))&amp;".250",""))</f>
        <v/>
      </c>
      <c r="G514" s="0" t="str">
        <f aca="false">IF(I514="","",IF(AND(J514&gt;=1,J514&lt;=K514),Eingabe!$B$6&amp;"-"&amp;INDEX(Eingabe!$C$9:$C$18,I514)&amp;"-Pächter  ·  Passwort Parzelle "&amp;J514,IF(J514=K514+1,Eingabe!$B$6&amp;"-"&amp;INDEX(Eingabe!$C$9:$C$18,I514)&amp;"-Vorstand  ·  eigenes WLAN",IF(J514=K514+2,Eingabe!$B$6&amp;"-"&amp;INDEX(Eingabe!$C$9:$C$18,I514)&amp;"-Gäste  ·  Voucher",IF(J514=K514+3,"Kabel  ·  Access Point y = .(50+y), Mast-Switch x = .(10+x)","")))))</f>
        <v/>
      </c>
      <c r="I514" s="0" t="str">
        <f aca="false">IF(509&lt;=(Eingabe!$P$18+Eingabe!$Q$18-1),MATCH(509,Eingabe!$P$9:$P$18,1),"")</f>
        <v/>
      </c>
      <c r="J514" s="0" t="str">
        <f aca="false">IF(I514="","",509-INDEX(Eingabe!$P$9:$P$18,I514))</f>
        <v/>
      </c>
      <c r="K514" s="0" t="str">
        <f aca="false">IF(I514="","",INDEX(Eingabe!$E$9:$E$18,I514))</f>
        <v/>
      </c>
    </row>
    <row r="515" customFormat="false" ht="15" hidden="false" customHeight="false" outlineLevel="0" collapsed="false">
      <c r="A515" s="0" t="str">
        <f aca="false">IF(I515="","",IF(J515=0,"Sparte "&amp;I515&amp;": "&amp;INDEX(Eingabe!$B$9:$B$18,I515)&amp;"  (Sparten-ID "&amp;INDEX(Eingabe!$D$9:$D$18,I515)&amp;", "&amp;K515&amp;" Parzellen)",IF(J515&lt;=K515,"   Parzelle "&amp;J515,IF(J515=K515+1,"   Vorstand",IF(J515=K515+2,"   Gäste",IF(J515=K515+3,"   Technik (Switches, Access Points)",""))))))</f>
        <v/>
      </c>
      <c r="B515" s="0" t="str">
        <f aca="false">IF(I515="","",IF(AND(J515&gt;=1,J515&lt;=K515+3),IF(J515&lt;=K515,IF(J515&lt;=99,IF((INDEX(Eingabe!$G$9:$G$18,I515))&lt;=9,1000+(INDEX(Eingabe!$G$9:$G$18,I515))*100,3000)+J515,IF((INDEX(Eingabe!$G$9:$G$18,I515)+1)&lt;=9,1000+(INDEX(Eingabe!$G$9:$G$18,I515)+1)*100,3000)+J515-100),IF(J515=K515+1,2000+INDEX(Eingabe!$G$9:$G$18,I515)*10+1,IF(J515=K515+2,2000+INDEX(Eingabe!$G$9:$G$18,I515)*10+2,2000+INDEX(Eingabe!$G$9:$G$18,I515)*10+9))),""))</f>
        <v/>
      </c>
      <c r="C515" s="0" t="str">
        <f aca="false">IF(I515="","",IF(AND(J515&gt;=1,J515&lt;=K515+3),"10."&amp;INDEX(Eingabe!$D$9:$D$18,I515)&amp;"."&amp;IF(J515&lt;=K515,J515,IF(J515=K515+1,200,IF(J515=K515+2,201,250)))&amp;".0/24",""))</f>
        <v/>
      </c>
      <c r="D515" s="0" t="str">
        <f aca="false">IF(I515="","",IF(AND(J515&gt;=1,J515&lt;=K515+3),"255.255.255.0",""))</f>
        <v/>
      </c>
      <c r="E515" s="0" t="str">
        <f aca="false">IF(I515="","",IF(AND(J515&gt;=1,J515&lt;=K515+3),"10."&amp;INDEX(Eingabe!$D$9:$D$18,I515)&amp;"."&amp;IF(J515&lt;=K515,J515,IF(J515=K515+1,200,IF(J515=K515+2,201,250)))&amp;".1",""))</f>
        <v/>
      </c>
      <c r="F515" s="0" t="str">
        <f aca="false">IF(I515="","",IF(AND(J515&gt;=1,J515&lt;=K515+3),"10."&amp;INDEX(Eingabe!$D$9:$D$18,I515)&amp;"."&amp;IF(J515&lt;=K515,J515,IF(J515=K515+1,200,IF(J515=K515+2,201,250)))&amp;".10 – 10."&amp;INDEX(Eingabe!$D$9:$D$18,I515)&amp;"."&amp;IF(J515&lt;=K515,J515,IF(J515=K515+1,200,IF(J515=K515+2,201,250)))&amp;".250",""))</f>
        <v/>
      </c>
      <c r="G515" s="0" t="str">
        <f aca="false">IF(I515="","",IF(AND(J515&gt;=1,J515&lt;=K515),Eingabe!$B$6&amp;"-"&amp;INDEX(Eingabe!$C$9:$C$18,I515)&amp;"-Pächter  ·  Passwort Parzelle "&amp;J515,IF(J515=K515+1,Eingabe!$B$6&amp;"-"&amp;INDEX(Eingabe!$C$9:$C$18,I515)&amp;"-Vorstand  ·  eigenes WLAN",IF(J515=K515+2,Eingabe!$B$6&amp;"-"&amp;INDEX(Eingabe!$C$9:$C$18,I515)&amp;"-Gäste  ·  Voucher",IF(J515=K515+3,"Kabel  ·  Access Point y = .(50+y), Mast-Switch x = .(10+x)","")))))</f>
        <v/>
      </c>
      <c r="I515" s="0" t="str">
        <f aca="false">IF(510&lt;=(Eingabe!$P$18+Eingabe!$Q$18-1),MATCH(510,Eingabe!$P$9:$P$18,1),"")</f>
        <v/>
      </c>
      <c r="J515" s="0" t="str">
        <f aca="false">IF(I515="","",510-INDEX(Eingabe!$P$9:$P$18,I515))</f>
        <v/>
      </c>
      <c r="K515" s="0" t="str">
        <f aca="false">IF(I515="","",INDEX(Eingabe!$E$9:$E$18,I515))</f>
        <v/>
      </c>
    </row>
    <row r="516" customFormat="false" ht="15" hidden="false" customHeight="false" outlineLevel="0" collapsed="false">
      <c r="A516" s="0" t="str">
        <f aca="false">IF(I516="","",IF(J516=0,"Sparte "&amp;I516&amp;": "&amp;INDEX(Eingabe!$B$9:$B$18,I516)&amp;"  (Sparten-ID "&amp;INDEX(Eingabe!$D$9:$D$18,I516)&amp;", "&amp;K516&amp;" Parzellen)",IF(J516&lt;=K516,"   Parzelle "&amp;J516,IF(J516=K516+1,"   Vorstand",IF(J516=K516+2,"   Gäste",IF(J516=K516+3,"   Technik (Switches, Access Points)",""))))))</f>
        <v/>
      </c>
      <c r="B516" s="0" t="str">
        <f aca="false">IF(I516="","",IF(AND(J516&gt;=1,J516&lt;=K516+3),IF(J516&lt;=K516,IF(J516&lt;=99,IF((INDEX(Eingabe!$G$9:$G$18,I516))&lt;=9,1000+(INDEX(Eingabe!$G$9:$G$18,I516))*100,3000)+J516,IF((INDEX(Eingabe!$G$9:$G$18,I516)+1)&lt;=9,1000+(INDEX(Eingabe!$G$9:$G$18,I516)+1)*100,3000)+J516-100),IF(J516=K516+1,2000+INDEX(Eingabe!$G$9:$G$18,I516)*10+1,IF(J516=K516+2,2000+INDEX(Eingabe!$G$9:$G$18,I516)*10+2,2000+INDEX(Eingabe!$G$9:$G$18,I516)*10+9))),""))</f>
        <v/>
      </c>
      <c r="C516" s="0" t="str">
        <f aca="false">IF(I516="","",IF(AND(J516&gt;=1,J516&lt;=K516+3),"10."&amp;INDEX(Eingabe!$D$9:$D$18,I516)&amp;"."&amp;IF(J516&lt;=K516,J516,IF(J516=K516+1,200,IF(J516=K516+2,201,250)))&amp;".0/24",""))</f>
        <v/>
      </c>
      <c r="D516" s="0" t="str">
        <f aca="false">IF(I516="","",IF(AND(J516&gt;=1,J516&lt;=K516+3),"255.255.255.0",""))</f>
        <v/>
      </c>
      <c r="E516" s="0" t="str">
        <f aca="false">IF(I516="","",IF(AND(J516&gt;=1,J516&lt;=K516+3),"10."&amp;INDEX(Eingabe!$D$9:$D$18,I516)&amp;"."&amp;IF(J516&lt;=K516,J516,IF(J516=K516+1,200,IF(J516=K516+2,201,250)))&amp;".1",""))</f>
        <v/>
      </c>
      <c r="F516" s="0" t="str">
        <f aca="false">IF(I516="","",IF(AND(J516&gt;=1,J516&lt;=K516+3),"10."&amp;INDEX(Eingabe!$D$9:$D$18,I516)&amp;"."&amp;IF(J516&lt;=K516,J516,IF(J516=K516+1,200,IF(J516=K516+2,201,250)))&amp;".10 – 10."&amp;INDEX(Eingabe!$D$9:$D$18,I516)&amp;"."&amp;IF(J516&lt;=K516,J516,IF(J516=K516+1,200,IF(J516=K516+2,201,250)))&amp;".250",""))</f>
        <v/>
      </c>
      <c r="G516" s="0" t="str">
        <f aca="false">IF(I516="","",IF(AND(J516&gt;=1,J516&lt;=K516),Eingabe!$B$6&amp;"-"&amp;INDEX(Eingabe!$C$9:$C$18,I516)&amp;"-Pächter  ·  Passwort Parzelle "&amp;J516,IF(J516=K516+1,Eingabe!$B$6&amp;"-"&amp;INDEX(Eingabe!$C$9:$C$18,I516)&amp;"-Vorstand  ·  eigenes WLAN",IF(J516=K516+2,Eingabe!$B$6&amp;"-"&amp;INDEX(Eingabe!$C$9:$C$18,I516)&amp;"-Gäste  ·  Voucher",IF(J516=K516+3,"Kabel  ·  Access Point y = .(50+y), Mast-Switch x = .(10+x)","")))))</f>
        <v/>
      </c>
      <c r="I516" s="0" t="str">
        <f aca="false">IF(511&lt;=(Eingabe!$P$18+Eingabe!$Q$18-1),MATCH(511,Eingabe!$P$9:$P$18,1),"")</f>
        <v/>
      </c>
      <c r="J516" s="0" t="str">
        <f aca="false">IF(I516="","",511-INDEX(Eingabe!$P$9:$P$18,I516))</f>
        <v/>
      </c>
      <c r="K516" s="0" t="str">
        <f aca="false">IF(I516="","",INDEX(Eingabe!$E$9:$E$18,I516))</f>
        <v/>
      </c>
    </row>
    <row r="517" customFormat="false" ht="15" hidden="false" customHeight="false" outlineLevel="0" collapsed="false">
      <c r="A517" s="0" t="str">
        <f aca="false">IF(I517="","",IF(J517=0,"Sparte "&amp;I517&amp;": "&amp;INDEX(Eingabe!$B$9:$B$18,I517)&amp;"  (Sparten-ID "&amp;INDEX(Eingabe!$D$9:$D$18,I517)&amp;", "&amp;K517&amp;" Parzellen)",IF(J517&lt;=K517,"   Parzelle "&amp;J517,IF(J517=K517+1,"   Vorstand",IF(J517=K517+2,"   Gäste",IF(J517=K517+3,"   Technik (Switches, Access Points)",""))))))</f>
        <v/>
      </c>
      <c r="B517" s="0" t="str">
        <f aca="false">IF(I517="","",IF(AND(J517&gt;=1,J517&lt;=K517+3),IF(J517&lt;=K517,IF(J517&lt;=99,IF((INDEX(Eingabe!$G$9:$G$18,I517))&lt;=9,1000+(INDEX(Eingabe!$G$9:$G$18,I517))*100,3000)+J517,IF((INDEX(Eingabe!$G$9:$G$18,I517)+1)&lt;=9,1000+(INDEX(Eingabe!$G$9:$G$18,I517)+1)*100,3000)+J517-100),IF(J517=K517+1,2000+INDEX(Eingabe!$G$9:$G$18,I517)*10+1,IF(J517=K517+2,2000+INDEX(Eingabe!$G$9:$G$18,I517)*10+2,2000+INDEX(Eingabe!$G$9:$G$18,I517)*10+9))),""))</f>
        <v/>
      </c>
      <c r="C517" s="0" t="str">
        <f aca="false">IF(I517="","",IF(AND(J517&gt;=1,J517&lt;=K517+3),"10."&amp;INDEX(Eingabe!$D$9:$D$18,I517)&amp;"."&amp;IF(J517&lt;=K517,J517,IF(J517=K517+1,200,IF(J517=K517+2,201,250)))&amp;".0/24",""))</f>
        <v/>
      </c>
      <c r="D517" s="0" t="str">
        <f aca="false">IF(I517="","",IF(AND(J517&gt;=1,J517&lt;=K517+3),"255.255.255.0",""))</f>
        <v/>
      </c>
      <c r="E517" s="0" t="str">
        <f aca="false">IF(I517="","",IF(AND(J517&gt;=1,J517&lt;=K517+3),"10."&amp;INDEX(Eingabe!$D$9:$D$18,I517)&amp;"."&amp;IF(J517&lt;=K517,J517,IF(J517=K517+1,200,IF(J517=K517+2,201,250)))&amp;".1",""))</f>
        <v/>
      </c>
      <c r="F517" s="0" t="str">
        <f aca="false">IF(I517="","",IF(AND(J517&gt;=1,J517&lt;=K517+3),"10."&amp;INDEX(Eingabe!$D$9:$D$18,I517)&amp;"."&amp;IF(J517&lt;=K517,J517,IF(J517=K517+1,200,IF(J517=K517+2,201,250)))&amp;".10 – 10."&amp;INDEX(Eingabe!$D$9:$D$18,I517)&amp;"."&amp;IF(J517&lt;=K517,J517,IF(J517=K517+1,200,IF(J517=K517+2,201,250)))&amp;".250",""))</f>
        <v/>
      </c>
      <c r="G517" s="0" t="str">
        <f aca="false">IF(I517="","",IF(AND(J517&gt;=1,J517&lt;=K517),Eingabe!$B$6&amp;"-"&amp;INDEX(Eingabe!$C$9:$C$18,I517)&amp;"-Pächter  ·  Passwort Parzelle "&amp;J517,IF(J517=K517+1,Eingabe!$B$6&amp;"-"&amp;INDEX(Eingabe!$C$9:$C$18,I517)&amp;"-Vorstand  ·  eigenes WLAN",IF(J517=K517+2,Eingabe!$B$6&amp;"-"&amp;INDEX(Eingabe!$C$9:$C$18,I517)&amp;"-Gäste  ·  Voucher",IF(J517=K517+3,"Kabel  ·  Access Point y = .(50+y), Mast-Switch x = .(10+x)","")))))</f>
        <v/>
      </c>
      <c r="I517" s="0" t="str">
        <f aca="false">IF(512&lt;=(Eingabe!$P$18+Eingabe!$Q$18-1),MATCH(512,Eingabe!$P$9:$P$18,1),"")</f>
        <v/>
      </c>
      <c r="J517" s="0" t="str">
        <f aca="false">IF(I517="","",512-INDEX(Eingabe!$P$9:$P$18,I517))</f>
        <v/>
      </c>
      <c r="K517" s="0" t="str">
        <f aca="false">IF(I517="","",INDEX(Eingabe!$E$9:$E$18,I517))</f>
        <v/>
      </c>
    </row>
    <row r="518" customFormat="false" ht="15" hidden="false" customHeight="false" outlineLevel="0" collapsed="false">
      <c r="A518" s="0" t="str">
        <f aca="false">IF(I518="","",IF(J518=0,"Sparte "&amp;I518&amp;": "&amp;INDEX(Eingabe!$B$9:$B$18,I518)&amp;"  (Sparten-ID "&amp;INDEX(Eingabe!$D$9:$D$18,I518)&amp;", "&amp;K518&amp;" Parzellen)",IF(J518&lt;=K518,"   Parzelle "&amp;J518,IF(J518=K518+1,"   Vorstand",IF(J518=K518+2,"   Gäste",IF(J518=K518+3,"   Technik (Switches, Access Points)",""))))))</f>
        <v/>
      </c>
      <c r="B518" s="0" t="str">
        <f aca="false">IF(I518="","",IF(AND(J518&gt;=1,J518&lt;=K518+3),IF(J518&lt;=K518,IF(J518&lt;=99,IF((INDEX(Eingabe!$G$9:$G$18,I518))&lt;=9,1000+(INDEX(Eingabe!$G$9:$G$18,I518))*100,3000)+J518,IF((INDEX(Eingabe!$G$9:$G$18,I518)+1)&lt;=9,1000+(INDEX(Eingabe!$G$9:$G$18,I518)+1)*100,3000)+J518-100),IF(J518=K518+1,2000+INDEX(Eingabe!$G$9:$G$18,I518)*10+1,IF(J518=K518+2,2000+INDEX(Eingabe!$G$9:$G$18,I518)*10+2,2000+INDEX(Eingabe!$G$9:$G$18,I518)*10+9))),""))</f>
        <v/>
      </c>
      <c r="C518" s="0" t="str">
        <f aca="false">IF(I518="","",IF(AND(J518&gt;=1,J518&lt;=K518+3),"10."&amp;INDEX(Eingabe!$D$9:$D$18,I518)&amp;"."&amp;IF(J518&lt;=K518,J518,IF(J518=K518+1,200,IF(J518=K518+2,201,250)))&amp;".0/24",""))</f>
        <v/>
      </c>
      <c r="D518" s="0" t="str">
        <f aca="false">IF(I518="","",IF(AND(J518&gt;=1,J518&lt;=K518+3),"255.255.255.0",""))</f>
        <v/>
      </c>
      <c r="E518" s="0" t="str">
        <f aca="false">IF(I518="","",IF(AND(J518&gt;=1,J518&lt;=K518+3),"10."&amp;INDEX(Eingabe!$D$9:$D$18,I518)&amp;"."&amp;IF(J518&lt;=K518,J518,IF(J518=K518+1,200,IF(J518=K518+2,201,250)))&amp;".1",""))</f>
        <v/>
      </c>
      <c r="F518" s="0" t="str">
        <f aca="false">IF(I518="","",IF(AND(J518&gt;=1,J518&lt;=K518+3),"10."&amp;INDEX(Eingabe!$D$9:$D$18,I518)&amp;"."&amp;IF(J518&lt;=K518,J518,IF(J518=K518+1,200,IF(J518=K518+2,201,250)))&amp;".10 – 10."&amp;INDEX(Eingabe!$D$9:$D$18,I518)&amp;"."&amp;IF(J518&lt;=K518,J518,IF(J518=K518+1,200,IF(J518=K518+2,201,250)))&amp;".250",""))</f>
        <v/>
      </c>
      <c r="G518" s="0" t="str">
        <f aca="false">IF(I518="","",IF(AND(J518&gt;=1,J518&lt;=K518),Eingabe!$B$6&amp;"-"&amp;INDEX(Eingabe!$C$9:$C$18,I518)&amp;"-Pächter  ·  Passwort Parzelle "&amp;J518,IF(J518=K518+1,Eingabe!$B$6&amp;"-"&amp;INDEX(Eingabe!$C$9:$C$18,I518)&amp;"-Vorstand  ·  eigenes WLAN",IF(J518=K518+2,Eingabe!$B$6&amp;"-"&amp;INDEX(Eingabe!$C$9:$C$18,I518)&amp;"-Gäste  ·  Voucher",IF(J518=K518+3,"Kabel  ·  Access Point y = .(50+y), Mast-Switch x = .(10+x)","")))))</f>
        <v/>
      </c>
      <c r="I518" s="0" t="str">
        <f aca="false">IF(513&lt;=(Eingabe!$P$18+Eingabe!$Q$18-1),MATCH(513,Eingabe!$P$9:$P$18,1),"")</f>
        <v/>
      </c>
      <c r="J518" s="0" t="str">
        <f aca="false">IF(I518="","",513-INDEX(Eingabe!$P$9:$P$18,I518))</f>
        <v/>
      </c>
      <c r="K518" s="0" t="str">
        <f aca="false">IF(I518="","",INDEX(Eingabe!$E$9:$E$18,I518))</f>
        <v/>
      </c>
    </row>
    <row r="519" customFormat="false" ht="15" hidden="false" customHeight="false" outlineLevel="0" collapsed="false">
      <c r="A519" s="0" t="str">
        <f aca="false">IF(I519="","",IF(J519=0,"Sparte "&amp;I519&amp;": "&amp;INDEX(Eingabe!$B$9:$B$18,I519)&amp;"  (Sparten-ID "&amp;INDEX(Eingabe!$D$9:$D$18,I519)&amp;", "&amp;K519&amp;" Parzellen)",IF(J519&lt;=K519,"   Parzelle "&amp;J519,IF(J519=K519+1,"   Vorstand",IF(J519=K519+2,"   Gäste",IF(J519=K519+3,"   Technik (Switches, Access Points)",""))))))</f>
        <v/>
      </c>
      <c r="B519" s="0" t="str">
        <f aca="false">IF(I519="","",IF(AND(J519&gt;=1,J519&lt;=K519+3),IF(J519&lt;=K519,IF(J519&lt;=99,IF((INDEX(Eingabe!$G$9:$G$18,I519))&lt;=9,1000+(INDEX(Eingabe!$G$9:$G$18,I519))*100,3000)+J519,IF((INDEX(Eingabe!$G$9:$G$18,I519)+1)&lt;=9,1000+(INDEX(Eingabe!$G$9:$G$18,I519)+1)*100,3000)+J519-100),IF(J519=K519+1,2000+INDEX(Eingabe!$G$9:$G$18,I519)*10+1,IF(J519=K519+2,2000+INDEX(Eingabe!$G$9:$G$18,I519)*10+2,2000+INDEX(Eingabe!$G$9:$G$18,I519)*10+9))),""))</f>
        <v/>
      </c>
      <c r="C519" s="0" t="str">
        <f aca="false">IF(I519="","",IF(AND(J519&gt;=1,J519&lt;=K519+3),"10."&amp;INDEX(Eingabe!$D$9:$D$18,I519)&amp;"."&amp;IF(J519&lt;=K519,J519,IF(J519=K519+1,200,IF(J519=K519+2,201,250)))&amp;".0/24",""))</f>
        <v/>
      </c>
      <c r="D519" s="0" t="str">
        <f aca="false">IF(I519="","",IF(AND(J519&gt;=1,J519&lt;=K519+3),"255.255.255.0",""))</f>
        <v/>
      </c>
      <c r="E519" s="0" t="str">
        <f aca="false">IF(I519="","",IF(AND(J519&gt;=1,J519&lt;=K519+3),"10."&amp;INDEX(Eingabe!$D$9:$D$18,I519)&amp;"."&amp;IF(J519&lt;=K519,J519,IF(J519=K519+1,200,IF(J519=K519+2,201,250)))&amp;".1",""))</f>
        <v/>
      </c>
      <c r="F519" s="0" t="str">
        <f aca="false">IF(I519="","",IF(AND(J519&gt;=1,J519&lt;=K519+3),"10."&amp;INDEX(Eingabe!$D$9:$D$18,I519)&amp;"."&amp;IF(J519&lt;=K519,J519,IF(J519=K519+1,200,IF(J519=K519+2,201,250)))&amp;".10 – 10."&amp;INDEX(Eingabe!$D$9:$D$18,I519)&amp;"."&amp;IF(J519&lt;=K519,J519,IF(J519=K519+1,200,IF(J519=K519+2,201,250)))&amp;".250",""))</f>
        <v/>
      </c>
      <c r="G519" s="0" t="str">
        <f aca="false">IF(I519="","",IF(AND(J519&gt;=1,J519&lt;=K519),Eingabe!$B$6&amp;"-"&amp;INDEX(Eingabe!$C$9:$C$18,I519)&amp;"-Pächter  ·  Passwort Parzelle "&amp;J519,IF(J519=K519+1,Eingabe!$B$6&amp;"-"&amp;INDEX(Eingabe!$C$9:$C$18,I519)&amp;"-Vorstand  ·  eigenes WLAN",IF(J519=K519+2,Eingabe!$B$6&amp;"-"&amp;INDEX(Eingabe!$C$9:$C$18,I519)&amp;"-Gäste  ·  Voucher",IF(J519=K519+3,"Kabel  ·  Access Point y = .(50+y), Mast-Switch x = .(10+x)","")))))</f>
        <v/>
      </c>
      <c r="I519" s="0" t="str">
        <f aca="false">IF(514&lt;=(Eingabe!$P$18+Eingabe!$Q$18-1),MATCH(514,Eingabe!$P$9:$P$18,1),"")</f>
        <v/>
      </c>
      <c r="J519" s="0" t="str">
        <f aca="false">IF(I519="","",514-INDEX(Eingabe!$P$9:$P$18,I519))</f>
        <v/>
      </c>
      <c r="K519" s="0" t="str">
        <f aca="false">IF(I519="","",INDEX(Eingabe!$E$9:$E$18,I519))</f>
        <v/>
      </c>
    </row>
    <row r="520" customFormat="false" ht="15" hidden="false" customHeight="false" outlineLevel="0" collapsed="false">
      <c r="A520" s="0" t="str">
        <f aca="false">IF(I520="","",IF(J520=0,"Sparte "&amp;I520&amp;": "&amp;INDEX(Eingabe!$B$9:$B$18,I520)&amp;"  (Sparten-ID "&amp;INDEX(Eingabe!$D$9:$D$18,I520)&amp;", "&amp;K520&amp;" Parzellen)",IF(J520&lt;=K520,"   Parzelle "&amp;J520,IF(J520=K520+1,"   Vorstand",IF(J520=K520+2,"   Gäste",IF(J520=K520+3,"   Technik (Switches, Access Points)",""))))))</f>
        <v/>
      </c>
      <c r="B520" s="0" t="str">
        <f aca="false">IF(I520="","",IF(AND(J520&gt;=1,J520&lt;=K520+3),IF(J520&lt;=K520,IF(J520&lt;=99,IF((INDEX(Eingabe!$G$9:$G$18,I520))&lt;=9,1000+(INDEX(Eingabe!$G$9:$G$18,I520))*100,3000)+J520,IF((INDEX(Eingabe!$G$9:$G$18,I520)+1)&lt;=9,1000+(INDEX(Eingabe!$G$9:$G$18,I520)+1)*100,3000)+J520-100),IF(J520=K520+1,2000+INDEX(Eingabe!$G$9:$G$18,I520)*10+1,IF(J520=K520+2,2000+INDEX(Eingabe!$G$9:$G$18,I520)*10+2,2000+INDEX(Eingabe!$G$9:$G$18,I520)*10+9))),""))</f>
        <v/>
      </c>
      <c r="C520" s="0" t="str">
        <f aca="false">IF(I520="","",IF(AND(J520&gt;=1,J520&lt;=K520+3),"10."&amp;INDEX(Eingabe!$D$9:$D$18,I520)&amp;"."&amp;IF(J520&lt;=K520,J520,IF(J520=K520+1,200,IF(J520=K520+2,201,250)))&amp;".0/24",""))</f>
        <v/>
      </c>
      <c r="D520" s="0" t="str">
        <f aca="false">IF(I520="","",IF(AND(J520&gt;=1,J520&lt;=K520+3),"255.255.255.0",""))</f>
        <v/>
      </c>
      <c r="E520" s="0" t="str">
        <f aca="false">IF(I520="","",IF(AND(J520&gt;=1,J520&lt;=K520+3),"10."&amp;INDEX(Eingabe!$D$9:$D$18,I520)&amp;"."&amp;IF(J520&lt;=K520,J520,IF(J520=K520+1,200,IF(J520=K520+2,201,250)))&amp;".1",""))</f>
        <v/>
      </c>
      <c r="F520" s="0" t="str">
        <f aca="false">IF(I520="","",IF(AND(J520&gt;=1,J520&lt;=K520+3),"10."&amp;INDEX(Eingabe!$D$9:$D$18,I520)&amp;"."&amp;IF(J520&lt;=K520,J520,IF(J520=K520+1,200,IF(J520=K520+2,201,250)))&amp;".10 – 10."&amp;INDEX(Eingabe!$D$9:$D$18,I520)&amp;"."&amp;IF(J520&lt;=K520,J520,IF(J520=K520+1,200,IF(J520=K520+2,201,250)))&amp;".250",""))</f>
        <v/>
      </c>
      <c r="G520" s="0" t="str">
        <f aca="false">IF(I520="","",IF(AND(J520&gt;=1,J520&lt;=K520),Eingabe!$B$6&amp;"-"&amp;INDEX(Eingabe!$C$9:$C$18,I520)&amp;"-Pächter  ·  Passwort Parzelle "&amp;J520,IF(J520=K520+1,Eingabe!$B$6&amp;"-"&amp;INDEX(Eingabe!$C$9:$C$18,I520)&amp;"-Vorstand  ·  eigenes WLAN",IF(J520=K520+2,Eingabe!$B$6&amp;"-"&amp;INDEX(Eingabe!$C$9:$C$18,I520)&amp;"-Gäste  ·  Voucher",IF(J520=K520+3,"Kabel  ·  Access Point y = .(50+y), Mast-Switch x = .(10+x)","")))))</f>
        <v/>
      </c>
      <c r="I520" s="0" t="str">
        <f aca="false">IF(515&lt;=(Eingabe!$P$18+Eingabe!$Q$18-1),MATCH(515,Eingabe!$P$9:$P$18,1),"")</f>
        <v/>
      </c>
      <c r="J520" s="0" t="str">
        <f aca="false">IF(I520="","",515-INDEX(Eingabe!$P$9:$P$18,I520))</f>
        <v/>
      </c>
      <c r="K520" s="0" t="str">
        <f aca="false">IF(I520="","",INDEX(Eingabe!$E$9:$E$18,I520))</f>
        <v/>
      </c>
    </row>
    <row r="521" customFormat="false" ht="15" hidden="false" customHeight="false" outlineLevel="0" collapsed="false">
      <c r="A521" s="0" t="str">
        <f aca="false">IF(I521="","",IF(J521=0,"Sparte "&amp;I521&amp;": "&amp;INDEX(Eingabe!$B$9:$B$18,I521)&amp;"  (Sparten-ID "&amp;INDEX(Eingabe!$D$9:$D$18,I521)&amp;", "&amp;K521&amp;" Parzellen)",IF(J521&lt;=K521,"   Parzelle "&amp;J521,IF(J521=K521+1,"   Vorstand",IF(J521=K521+2,"   Gäste",IF(J521=K521+3,"   Technik (Switches, Access Points)",""))))))</f>
        <v/>
      </c>
      <c r="B521" s="0" t="str">
        <f aca="false">IF(I521="","",IF(AND(J521&gt;=1,J521&lt;=K521+3),IF(J521&lt;=K521,IF(J521&lt;=99,IF((INDEX(Eingabe!$G$9:$G$18,I521))&lt;=9,1000+(INDEX(Eingabe!$G$9:$G$18,I521))*100,3000)+J521,IF((INDEX(Eingabe!$G$9:$G$18,I521)+1)&lt;=9,1000+(INDEX(Eingabe!$G$9:$G$18,I521)+1)*100,3000)+J521-100),IF(J521=K521+1,2000+INDEX(Eingabe!$G$9:$G$18,I521)*10+1,IF(J521=K521+2,2000+INDEX(Eingabe!$G$9:$G$18,I521)*10+2,2000+INDEX(Eingabe!$G$9:$G$18,I521)*10+9))),""))</f>
        <v/>
      </c>
      <c r="C521" s="0" t="str">
        <f aca="false">IF(I521="","",IF(AND(J521&gt;=1,J521&lt;=K521+3),"10."&amp;INDEX(Eingabe!$D$9:$D$18,I521)&amp;"."&amp;IF(J521&lt;=K521,J521,IF(J521=K521+1,200,IF(J521=K521+2,201,250)))&amp;".0/24",""))</f>
        <v/>
      </c>
      <c r="D521" s="0" t="str">
        <f aca="false">IF(I521="","",IF(AND(J521&gt;=1,J521&lt;=K521+3),"255.255.255.0",""))</f>
        <v/>
      </c>
      <c r="E521" s="0" t="str">
        <f aca="false">IF(I521="","",IF(AND(J521&gt;=1,J521&lt;=K521+3),"10."&amp;INDEX(Eingabe!$D$9:$D$18,I521)&amp;"."&amp;IF(J521&lt;=K521,J521,IF(J521=K521+1,200,IF(J521=K521+2,201,250)))&amp;".1",""))</f>
        <v/>
      </c>
      <c r="F521" s="0" t="str">
        <f aca="false">IF(I521="","",IF(AND(J521&gt;=1,J521&lt;=K521+3),"10."&amp;INDEX(Eingabe!$D$9:$D$18,I521)&amp;"."&amp;IF(J521&lt;=K521,J521,IF(J521=K521+1,200,IF(J521=K521+2,201,250)))&amp;".10 – 10."&amp;INDEX(Eingabe!$D$9:$D$18,I521)&amp;"."&amp;IF(J521&lt;=K521,J521,IF(J521=K521+1,200,IF(J521=K521+2,201,250)))&amp;".250",""))</f>
        <v/>
      </c>
      <c r="G521" s="0" t="str">
        <f aca="false">IF(I521="","",IF(AND(J521&gt;=1,J521&lt;=K521),Eingabe!$B$6&amp;"-"&amp;INDEX(Eingabe!$C$9:$C$18,I521)&amp;"-Pächter  ·  Passwort Parzelle "&amp;J521,IF(J521=K521+1,Eingabe!$B$6&amp;"-"&amp;INDEX(Eingabe!$C$9:$C$18,I521)&amp;"-Vorstand  ·  eigenes WLAN",IF(J521=K521+2,Eingabe!$B$6&amp;"-"&amp;INDEX(Eingabe!$C$9:$C$18,I521)&amp;"-Gäste  ·  Voucher",IF(J521=K521+3,"Kabel  ·  Access Point y = .(50+y), Mast-Switch x = .(10+x)","")))))</f>
        <v/>
      </c>
      <c r="I521" s="0" t="str">
        <f aca="false">IF(516&lt;=(Eingabe!$P$18+Eingabe!$Q$18-1),MATCH(516,Eingabe!$P$9:$P$18,1),"")</f>
        <v/>
      </c>
      <c r="J521" s="0" t="str">
        <f aca="false">IF(I521="","",516-INDEX(Eingabe!$P$9:$P$18,I521))</f>
        <v/>
      </c>
      <c r="K521" s="0" t="str">
        <f aca="false">IF(I521="","",INDEX(Eingabe!$E$9:$E$18,I521))</f>
        <v/>
      </c>
    </row>
    <row r="522" customFormat="false" ht="15" hidden="false" customHeight="false" outlineLevel="0" collapsed="false">
      <c r="A522" s="0" t="str">
        <f aca="false">IF(I522="","",IF(J522=0,"Sparte "&amp;I522&amp;": "&amp;INDEX(Eingabe!$B$9:$B$18,I522)&amp;"  (Sparten-ID "&amp;INDEX(Eingabe!$D$9:$D$18,I522)&amp;", "&amp;K522&amp;" Parzellen)",IF(J522&lt;=K522,"   Parzelle "&amp;J522,IF(J522=K522+1,"   Vorstand",IF(J522=K522+2,"   Gäste",IF(J522=K522+3,"   Technik (Switches, Access Points)",""))))))</f>
        <v/>
      </c>
      <c r="B522" s="0" t="str">
        <f aca="false">IF(I522="","",IF(AND(J522&gt;=1,J522&lt;=K522+3),IF(J522&lt;=K522,IF(J522&lt;=99,IF((INDEX(Eingabe!$G$9:$G$18,I522))&lt;=9,1000+(INDEX(Eingabe!$G$9:$G$18,I522))*100,3000)+J522,IF((INDEX(Eingabe!$G$9:$G$18,I522)+1)&lt;=9,1000+(INDEX(Eingabe!$G$9:$G$18,I522)+1)*100,3000)+J522-100),IF(J522=K522+1,2000+INDEX(Eingabe!$G$9:$G$18,I522)*10+1,IF(J522=K522+2,2000+INDEX(Eingabe!$G$9:$G$18,I522)*10+2,2000+INDEX(Eingabe!$G$9:$G$18,I522)*10+9))),""))</f>
        <v/>
      </c>
      <c r="C522" s="0" t="str">
        <f aca="false">IF(I522="","",IF(AND(J522&gt;=1,J522&lt;=K522+3),"10."&amp;INDEX(Eingabe!$D$9:$D$18,I522)&amp;"."&amp;IF(J522&lt;=K522,J522,IF(J522=K522+1,200,IF(J522=K522+2,201,250)))&amp;".0/24",""))</f>
        <v/>
      </c>
      <c r="D522" s="0" t="str">
        <f aca="false">IF(I522="","",IF(AND(J522&gt;=1,J522&lt;=K522+3),"255.255.255.0",""))</f>
        <v/>
      </c>
      <c r="E522" s="0" t="str">
        <f aca="false">IF(I522="","",IF(AND(J522&gt;=1,J522&lt;=K522+3),"10."&amp;INDEX(Eingabe!$D$9:$D$18,I522)&amp;"."&amp;IF(J522&lt;=K522,J522,IF(J522=K522+1,200,IF(J522=K522+2,201,250)))&amp;".1",""))</f>
        <v/>
      </c>
      <c r="F522" s="0" t="str">
        <f aca="false">IF(I522="","",IF(AND(J522&gt;=1,J522&lt;=K522+3),"10."&amp;INDEX(Eingabe!$D$9:$D$18,I522)&amp;"."&amp;IF(J522&lt;=K522,J522,IF(J522=K522+1,200,IF(J522=K522+2,201,250)))&amp;".10 – 10."&amp;INDEX(Eingabe!$D$9:$D$18,I522)&amp;"."&amp;IF(J522&lt;=K522,J522,IF(J522=K522+1,200,IF(J522=K522+2,201,250)))&amp;".250",""))</f>
        <v/>
      </c>
      <c r="G522" s="0" t="str">
        <f aca="false">IF(I522="","",IF(AND(J522&gt;=1,J522&lt;=K522),Eingabe!$B$6&amp;"-"&amp;INDEX(Eingabe!$C$9:$C$18,I522)&amp;"-Pächter  ·  Passwort Parzelle "&amp;J522,IF(J522=K522+1,Eingabe!$B$6&amp;"-"&amp;INDEX(Eingabe!$C$9:$C$18,I522)&amp;"-Vorstand  ·  eigenes WLAN",IF(J522=K522+2,Eingabe!$B$6&amp;"-"&amp;INDEX(Eingabe!$C$9:$C$18,I522)&amp;"-Gäste  ·  Voucher",IF(J522=K522+3,"Kabel  ·  Access Point y = .(50+y), Mast-Switch x = .(10+x)","")))))</f>
        <v/>
      </c>
      <c r="I522" s="0" t="str">
        <f aca="false">IF(517&lt;=(Eingabe!$P$18+Eingabe!$Q$18-1),MATCH(517,Eingabe!$P$9:$P$18,1),"")</f>
        <v/>
      </c>
      <c r="J522" s="0" t="str">
        <f aca="false">IF(I522="","",517-INDEX(Eingabe!$P$9:$P$18,I522))</f>
        <v/>
      </c>
      <c r="K522" s="0" t="str">
        <f aca="false">IF(I522="","",INDEX(Eingabe!$E$9:$E$18,I522))</f>
        <v/>
      </c>
    </row>
    <row r="523" customFormat="false" ht="15" hidden="false" customHeight="false" outlineLevel="0" collapsed="false">
      <c r="A523" s="0" t="str">
        <f aca="false">IF(I523="","",IF(J523=0,"Sparte "&amp;I523&amp;": "&amp;INDEX(Eingabe!$B$9:$B$18,I523)&amp;"  (Sparten-ID "&amp;INDEX(Eingabe!$D$9:$D$18,I523)&amp;", "&amp;K523&amp;" Parzellen)",IF(J523&lt;=K523,"   Parzelle "&amp;J523,IF(J523=K523+1,"   Vorstand",IF(J523=K523+2,"   Gäste",IF(J523=K523+3,"   Technik (Switches, Access Points)",""))))))</f>
        <v/>
      </c>
      <c r="B523" s="0" t="str">
        <f aca="false">IF(I523="","",IF(AND(J523&gt;=1,J523&lt;=K523+3),IF(J523&lt;=K523,IF(J523&lt;=99,IF((INDEX(Eingabe!$G$9:$G$18,I523))&lt;=9,1000+(INDEX(Eingabe!$G$9:$G$18,I523))*100,3000)+J523,IF((INDEX(Eingabe!$G$9:$G$18,I523)+1)&lt;=9,1000+(INDEX(Eingabe!$G$9:$G$18,I523)+1)*100,3000)+J523-100),IF(J523=K523+1,2000+INDEX(Eingabe!$G$9:$G$18,I523)*10+1,IF(J523=K523+2,2000+INDEX(Eingabe!$G$9:$G$18,I523)*10+2,2000+INDEX(Eingabe!$G$9:$G$18,I523)*10+9))),""))</f>
        <v/>
      </c>
      <c r="C523" s="0" t="str">
        <f aca="false">IF(I523="","",IF(AND(J523&gt;=1,J523&lt;=K523+3),"10."&amp;INDEX(Eingabe!$D$9:$D$18,I523)&amp;"."&amp;IF(J523&lt;=K523,J523,IF(J523=K523+1,200,IF(J523=K523+2,201,250)))&amp;".0/24",""))</f>
        <v/>
      </c>
      <c r="D523" s="0" t="str">
        <f aca="false">IF(I523="","",IF(AND(J523&gt;=1,J523&lt;=K523+3),"255.255.255.0",""))</f>
        <v/>
      </c>
      <c r="E523" s="0" t="str">
        <f aca="false">IF(I523="","",IF(AND(J523&gt;=1,J523&lt;=K523+3),"10."&amp;INDEX(Eingabe!$D$9:$D$18,I523)&amp;"."&amp;IF(J523&lt;=K523,J523,IF(J523=K523+1,200,IF(J523=K523+2,201,250)))&amp;".1",""))</f>
        <v/>
      </c>
      <c r="F523" s="0" t="str">
        <f aca="false">IF(I523="","",IF(AND(J523&gt;=1,J523&lt;=K523+3),"10."&amp;INDEX(Eingabe!$D$9:$D$18,I523)&amp;"."&amp;IF(J523&lt;=K523,J523,IF(J523=K523+1,200,IF(J523=K523+2,201,250)))&amp;".10 – 10."&amp;INDEX(Eingabe!$D$9:$D$18,I523)&amp;"."&amp;IF(J523&lt;=K523,J523,IF(J523=K523+1,200,IF(J523=K523+2,201,250)))&amp;".250",""))</f>
        <v/>
      </c>
      <c r="G523" s="0" t="str">
        <f aca="false">IF(I523="","",IF(AND(J523&gt;=1,J523&lt;=K523),Eingabe!$B$6&amp;"-"&amp;INDEX(Eingabe!$C$9:$C$18,I523)&amp;"-Pächter  ·  Passwort Parzelle "&amp;J523,IF(J523=K523+1,Eingabe!$B$6&amp;"-"&amp;INDEX(Eingabe!$C$9:$C$18,I523)&amp;"-Vorstand  ·  eigenes WLAN",IF(J523=K523+2,Eingabe!$B$6&amp;"-"&amp;INDEX(Eingabe!$C$9:$C$18,I523)&amp;"-Gäste  ·  Voucher",IF(J523=K523+3,"Kabel  ·  Access Point y = .(50+y), Mast-Switch x = .(10+x)","")))))</f>
        <v/>
      </c>
      <c r="I523" s="0" t="str">
        <f aca="false">IF(518&lt;=(Eingabe!$P$18+Eingabe!$Q$18-1),MATCH(518,Eingabe!$P$9:$P$18,1),"")</f>
        <v/>
      </c>
      <c r="J523" s="0" t="str">
        <f aca="false">IF(I523="","",518-INDEX(Eingabe!$P$9:$P$18,I523))</f>
        <v/>
      </c>
      <c r="K523" s="0" t="str">
        <f aca="false">IF(I523="","",INDEX(Eingabe!$E$9:$E$18,I523))</f>
        <v/>
      </c>
    </row>
    <row r="524" customFormat="false" ht="15" hidden="false" customHeight="false" outlineLevel="0" collapsed="false">
      <c r="A524" s="0" t="str">
        <f aca="false">IF(I524="","",IF(J524=0,"Sparte "&amp;I524&amp;": "&amp;INDEX(Eingabe!$B$9:$B$18,I524)&amp;"  (Sparten-ID "&amp;INDEX(Eingabe!$D$9:$D$18,I524)&amp;", "&amp;K524&amp;" Parzellen)",IF(J524&lt;=K524,"   Parzelle "&amp;J524,IF(J524=K524+1,"   Vorstand",IF(J524=K524+2,"   Gäste",IF(J524=K524+3,"   Technik (Switches, Access Points)",""))))))</f>
        <v/>
      </c>
      <c r="B524" s="0" t="str">
        <f aca="false">IF(I524="","",IF(AND(J524&gt;=1,J524&lt;=K524+3),IF(J524&lt;=K524,IF(J524&lt;=99,IF((INDEX(Eingabe!$G$9:$G$18,I524))&lt;=9,1000+(INDEX(Eingabe!$G$9:$G$18,I524))*100,3000)+J524,IF((INDEX(Eingabe!$G$9:$G$18,I524)+1)&lt;=9,1000+(INDEX(Eingabe!$G$9:$G$18,I524)+1)*100,3000)+J524-100),IF(J524=K524+1,2000+INDEX(Eingabe!$G$9:$G$18,I524)*10+1,IF(J524=K524+2,2000+INDEX(Eingabe!$G$9:$G$18,I524)*10+2,2000+INDEX(Eingabe!$G$9:$G$18,I524)*10+9))),""))</f>
        <v/>
      </c>
      <c r="C524" s="0" t="str">
        <f aca="false">IF(I524="","",IF(AND(J524&gt;=1,J524&lt;=K524+3),"10."&amp;INDEX(Eingabe!$D$9:$D$18,I524)&amp;"."&amp;IF(J524&lt;=K524,J524,IF(J524=K524+1,200,IF(J524=K524+2,201,250)))&amp;".0/24",""))</f>
        <v/>
      </c>
      <c r="D524" s="0" t="str">
        <f aca="false">IF(I524="","",IF(AND(J524&gt;=1,J524&lt;=K524+3),"255.255.255.0",""))</f>
        <v/>
      </c>
      <c r="E524" s="0" t="str">
        <f aca="false">IF(I524="","",IF(AND(J524&gt;=1,J524&lt;=K524+3),"10."&amp;INDEX(Eingabe!$D$9:$D$18,I524)&amp;"."&amp;IF(J524&lt;=K524,J524,IF(J524=K524+1,200,IF(J524=K524+2,201,250)))&amp;".1",""))</f>
        <v/>
      </c>
      <c r="F524" s="0" t="str">
        <f aca="false">IF(I524="","",IF(AND(J524&gt;=1,J524&lt;=K524+3),"10."&amp;INDEX(Eingabe!$D$9:$D$18,I524)&amp;"."&amp;IF(J524&lt;=K524,J524,IF(J524=K524+1,200,IF(J524=K524+2,201,250)))&amp;".10 – 10."&amp;INDEX(Eingabe!$D$9:$D$18,I524)&amp;"."&amp;IF(J524&lt;=K524,J524,IF(J524=K524+1,200,IF(J524=K524+2,201,250)))&amp;".250",""))</f>
        <v/>
      </c>
      <c r="G524" s="0" t="str">
        <f aca="false">IF(I524="","",IF(AND(J524&gt;=1,J524&lt;=K524),Eingabe!$B$6&amp;"-"&amp;INDEX(Eingabe!$C$9:$C$18,I524)&amp;"-Pächter  ·  Passwort Parzelle "&amp;J524,IF(J524=K524+1,Eingabe!$B$6&amp;"-"&amp;INDEX(Eingabe!$C$9:$C$18,I524)&amp;"-Vorstand  ·  eigenes WLAN",IF(J524=K524+2,Eingabe!$B$6&amp;"-"&amp;INDEX(Eingabe!$C$9:$C$18,I524)&amp;"-Gäste  ·  Voucher",IF(J524=K524+3,"Kabel  ·  Access Point y = .(50+y), Mast-Switch x = .(10+x)","")))))</f>
        <v/>
      </c>
      <c r="I524" s="0" t="str">
        <f aca="false">IF(519&lt;=(Eingabe!$P$18+Eingabe!$Q$18-1),MATCH(519,Eingabe!$P$9:$P$18,1),"")</f>
        <v/>
      </c>
      <c r="J524" s="0" t="str">
        <f aca="false">IF(I524="","",519-INDEX(Eingabe!$P$9:$P$18,I524))</f>
        <v/>
      </c>
      <c r="K524" s="0" t="str">
        <f aca="false">IF(I524="","",INDEX(Eingabe!$E$9:$E$18,I524))</f>
        <v/>
      </c>
    </row>
    <row r="525" customFormat="false" ht="15" hidden="false" customHeight="false" outlineLevel="0" collapsed="false">
      <c r="A525" s="0" t="str">
        <f aca="false">IF(I525="","",IF(J525=0,"Sparte "&amp;I525&amp;": "&amp;INDEX(Eingabe!$B$9:$B$18,I525)&amp;"  (Sparten-ID "&amp;INDEX(Eingabe!$D$9:$D$18,I525)&amp;", "&amp;K525&amp;" Parzellen)",IF(J525&lt;=K525,"   Parzelle "&amp;J525,IF(J525=K525+1,"   Vorstand",IF(J525=K525+2,"   Gäste",IF(J525=K525+3,"   Technik (Switches, Access Points)",""))))))</f>
        <v/>
      </c>
      <c r="B525" s="0" t="str">
        <f aca="false">IF(I525="","",IF(AND(J525&gt;=1,J525&lt;=K525+3),IF(J525&lt;=K525,IF(J525&lt;=99,IF((INDEX(Eingabe!$G$9:$G$18,I525))&lt;=9,1000+(INDEX(Eingabe!$G$9:$G$18,I525))*100,3000)+J525,IF((INDEX(Eingabe!$G$9:$G$18,I525)+1)&lt;=9,1000+(INDEX(Eingabe!$G$9:$G$18,I525)+1)*100,3000)+J525-100),IF(J525=K525+1,2000+INDEX(Eingabe!$G$9:$G$18,I525)*10+1,IF(J525=K525+2,2000+INDEX(Eingabe!$G$9:$G$18,I525)*10+2,2000+INDEX(Eingabe!$G$9:$G$18,I525)*10+9))),""))</f>
        <v/>
      </c>
      <c r="C525" s="0" t="str">
        <f aca="false">IF(I525="","",IF(AND(J525&gt;=1,J525&lt;=K525+3),"10."&amp;INDEX(Eingabe!$D$9:$D$18,I525)&amp;"."&amp;IF(J525&lt;=K525,J525,IF(J525=K525+1,200,IF(J525=K525+2,201,250)))&amp;".0/24",""))</f>
        <v/>
      </c>
      <c r="D525" s="0" t="str">
        <f aca="false">IF(I525="","",IF(AND(J525&gt;=1,J525&lt;=K525+3),"255.255.255.0",""))</f>
        <v/>
      </c>
      <c r="E525" s="0" t="str">
        <f aca="false">IF(I525="","",IF(AND(J525&gt;=1,J525&lt;=K525+3),"10."&amp;INDEX(Eingabe!$D$9:$D$18,I525)&amp;"."&amp;IF(J525&lt;=K525,J525,IF(J525=K525+1,200,IF(J525=K525+2,201,250)))&amp;".1",""))</f>
        <v/>
      </c>
      <c r="F525" s="0" t="str">
        <f aca="false">IF(I525="","",IF(AND(J525&gt;=1,J525&lt;=K525+3),"10."&amp;INDEX(Eingabe!$D$9:$D$18,I525)&amp;"."&amp;IF(J525&lt;=K525,J525,IF(J525=K525+1,200,IF(J525=K525+2,201,250)))&amp;".10 – 10."&amp;INDEX(Eingabe!$D$9:$D$18,I525)&amp;"."&amp;IF(J525&lt;=K525,J525,IF(J525=K525+1,200,IF(J525=K525+2,201,250)))&amp;".250",""))</f>
        <v/>
      </c>
      <c r="G525" s="0" t="str">
        <f aca="false">IF(I525="","",IF(AND(J525&gt;=1,J525&lt;=K525),Eingabe!$B$6&amp;"-"&amp;INDEX(Eingabe!$C$9:$C$18,I525)&amp;"-Pächter  ·  Passwort Parzelle "&amp;J525,IF(J525=K525+1,Eingabe!$B$6&amp;"-"&amp;INDEX(Eingabe!$C$9:$C$18,I525)&amp;"-Vorstand  ·  eigenes WLAN",IF(J525=K525+2,Eingabe!$B$6&amp;"-"&amp;INDEX(Eingabe!$C$9:$C$18,I525)&amp;"-Gäste  ·  Voucher",IF(J525=K525+3,"Kabel  ·  Access Point y = .(50+y), Mast-Switch x = .(10+x)","")))))</f>
        <v/>
      </c>
      <c r="I525" s="0" t="str">
        <f aca="false">IF(520&lt;=(Eingabe!$P$18+Eingabe!$Q$18-1),MATCH(520,Eingabe!$P$9:$P$18,1),"")</f>
        <v/>
      </c>
      <c r="J525" s="0" t="str">
        <f aca="false">IF(I525="","",520-INDEX(Eingabe!$P$9:$P$18,I525))</f>
        <v/>
      </c>
      <c r="K525" s="0" t="str">
        <f aca="false">IF(I525="","",INDEX(Eingabe!$E$9:$E$18,I525))</f>
        <v/>
      </c>
    </row>
    <row r="526" customFormat="false" ht="15" hidden="false" customHeight="false" outlineLevel="0" collapsed="false">
      <c r="A526" s="0" t="str">
        <f aca="false">IF(I526="","",IF(J526=0,"Sparte "&amp;I526&amp;": "&amp;INDEX(Eingabe!$B$9:$B$18,I526)&amp;"  (Sparten-ID "&amp;INDEX(Eingabe!$D$9:$D$18,I526)&amp;", "&amp;K526&amp;" Parzellen)",IF(J526&lt;=K526,"   Parzelle "&amp;J526,IF(J526=K526+1,"   Vorstand",IF(J526=K526+2,"   Gäste",IF(J526=K526+3,"   Technik (Switches, Access Points)",""))))))</f>
        <v/>
      </c>
      <c r="B526" s="0" t="str">
        <f aca="false">IF(I526="","",IF(AND(J526&gt;=1,J526&lt;=K526+3),IF(J526&lt;=K526,IF(J526&lt;=99,IF((INDEX(Eingabe!$G$9:$G$18,I526))&lt;=9,1000+(INDEX(Eingabe!$G$9:$G$18,I526))*100,3000)+J526,IF((INDEX(Eingabe!$G$9:$G$18,I526)+1)&lt;=9,1000+(INDEX(Eingabe!$G$9:$G$18,I526)+1)*100,3000)+J526-100),IF(J526=K526+1,2000+INDEX(Eingabe!$G$9:$G$18,I526)*10+1,IF(J526=K526+2,2000+INDEX(Eingabe!$G$9:$G$18,I526)*10+2,2000+INDEX(Eingabe!$G$9:$G$18,I526)*10+9))),""))</f>
        <v/>
      </c>
      <c r="C526" s="0" t="str">
        <f aca="false">IF(I526="","",IF(AND(J526&gt;=1,J526&lt;=K526+3),"10."&amp;INDEX(Eingabe!$D$9:$D$18,I526)&amp;"."&amp;IF(J526&lt;=K526,J526,IF(J526=K526+1,200,IF(J526=K526+2,201,250)))&amp;".0/24",""))</f>
        <v/>
      </c>
      <c r="D526" s="0" t="str">
        <f aca="false">IF(I526="","",IF(AND(J526&gt;=1,J526&lt;=K526+3),"255.255.255.0",""))</f>
        <v/>
      </c>
      <c r="E526" s="0" t="str">
        <f aca="false">IF(I526="","",IF(AND(J526&gt;=1,J526&lt;=K526+3),"10."&amp;INDEX(Eingabe!$D$9:$D$18,I526)&amp;"."&amp;IF(J526&lt;=K526,J526,IF(J526=K526+1,200,IF(J526=K526+2,201,250)))&amp;".1",""))</f>
        <v/>
      </c>
      <c r="F526" s="0" t="str">
        <f aca="false">IF(I526="","",IF(AND(J526&gt;=1,J526&lt;=K526+3),"10."&amp;INDEX(Eingabe!$D$9:$D$18,I526)&amp;"."&amp;IF(J526&lt;=K526,J526,IF(J526=K526+1,200,IF(J526=K526+2,201,250)))&amp;".10 – 10."&amp;INDEX(Eingabe!$D$9:$D$18,I526)&amp;"."&amp;IF(J526&lt;=K526,J526,IF(J526=K526+1,200,IF(J526=K526+2,201,250)))&amp;".250",""))</f>
        <v/>
      </c>
      <c r="G526" s="0" t="str">
        <f aca="false">IF(I526="","",IF(AND(J526&gt;=1,J526&lt;=K526),Eingabe!$B$6&amp;"-"&amp;INDEX(Eingabe!$C$9:$C$18,I526)&amp;"-Pächter  ·  Passwort Parzelle "&amp;J526,IF(J526=K526+1,Eingabe!$B$6&amp;"-"&amp;INDEX(Eingabe!$C$9:$C$18,I526)&amp;"-Vorstand  ·  eigenes WLAN",IF(J526=K526+2,Eingabe!$B$6&amp;"-"&amp;INDEX(Eingabe!$C$9:$C$18,I526)&amp;"-Gäste  ·  Voucher",IF(J526=K526+3,"Kabel  ·  Access Point y = .(50+y), Mast-Switch x = .(10+x)","")))))</f>
        <v/>
      </c>
      <c r="I526" s="0" t="str">
        <f aca="false">IF(521&lt;=(Eingabe!$P$18+Eingabe!$Q$18-1),MATCH(521,Eingabe!$P$9:$P$18,1),"")</f>
        <v/>
      </c>
      <c r="J526" s="0" t="str">
        <f aca="false">IF(I526="","",521-INDEX(Eingabe!$P$9:$P$18,I526))</f>
        <v/>
      </c>
      <c r="K526" s="0" t="str">
        <f aca="false">IF(I526="","",INDEX(Eingabe!$E$9:$E$18,I526))</f>
        <v/>
      </c>
    </row>
    <row r="527" customFormat="false" ht="15" hidden="false" customHeight="false" outlineLevel="0" collapsed="false">
      <c r="A527" s="0" t="str">
        <f aca="false">IF(I527="","",IF(J527=0,"Sparte "&amp;I527&amp;": "&amp;INDEX(Eingabe!$B$9:$B$18,I527)&amp;"  (Sparten-ID "&amp;INDEX(Eingabe!$D$9:$D$18,I527)&amp;", "&amp;K527&amp;" Parzellen)",IF(J527&lt;=K527,"   Parzelle "&amp;J527,IF(J527=K527+1,"   Vorstand",IF(J527=K527+2,"   Gäste",IF(J527=K527+3,"   Technik (Switches, Access Points)",""))))))</f>
        <v/>
      </c>
      <c r="B527" s="0" t="str">
        <f aca="false">IF(I527="","",IF(AND(J527&gt;=1,J527&lt;=K527+3),IF(J527&lt;=K527,IF(J527&lt;=99,IF((INDEX(Eingabe!$G$9:$G$18,I527))&lt;=9,1000+(INDEX(Eingabe!$G$9:$G$18,I527))*100,3000)+J527,IF((INDEX(Eingabe!$G$9:$G$18,I527)+1)&lt;=9,1000+(INDEX(Eingabe!$G$9:$G$18,I527)+1)*100,3000)+J527-100),IF(J527=K527+1,2000+INDEX(Eingabe!$G$9:$G$18,I527)*10+1,IF(J527=K527+2,2000+INDEX(Eingabe!$G$9:$G$18,I527)*10+2,2000+INDEX(Eingabe!$G$9:$G$18,I527)*10+9))),""))</f>
        <v/>
      </c>
      <c r="C527" s="0" t="str">
        <f aca="false">IF(I527="","",IF(AND(J527&gt;=1,J527&lt;=K527+3),"10."&amp;INDEX(Eingabe!$D$9:$D$18,I527)&amp;"."&amp;IF(J527&lt;=K527,J527,IF(J527=K527+1,200,IF(J527=K527+2,201,250)))&amp;".0/24",""))</f>
        <v/>
      </c>
      <c r="D527" s="0" t="str">
        <f aca="false">IF(I527="","",IF(AND(J527&gt;=1,J527&lt;=K527+3),"255.255.255.0",""))</f>
        <v/>
      </c>
      <c r="E527" s="0" t="str">
        <f aca="false">IF(I527="","",IF(AND(J527&gt;=1,J527&lt;=K527+3),"10."&amp;INDEX(Eingabe!$D$9:$D$18,I527)&amp;"."&amp;IF(J527&lt;=K527,J527,IF(J527=K527+1,200,IF(J527=K527+2,201,250)))&amp;".1",""))</f>
        <v/>
      </c>
      <c r="F527" s="0" t="str">
        <f aca="false">IF(I527="","",IF(AND(J527&gt;=1,J527&lt;=K527+3),"10."&amp;INDEX(Eingabe!$D$9:$D$18,I527)&amp;"."&amp;IF(J527&lt;=K527,J527,IF(J527=K527+1,200,IF(J527=K527+2,201,250)))&amp;".10 – 10."&amp;INDEX(Eingabe!$D$9:$D$18,I527)&amp;"."&amp;IF(J527&lt;=K527,J527,IF(J527=K527+1,200,IF(J527=K527+2,201,250)))&amp;".250",""))</f>
        <v/>
      </c>
      <c r="G527" s="0" t="str">
        <f aca="false">IF(I527="","",IF(AND(J527&gt;=1,J527&lt;=K527),Eingabe!$B$6&amp;"-"&amp;INDEX(Eingabe!$C$9:$C$18,I527)&amp;"-Pächter  ·  Passwort Parzelle "&amp;J527,IF(J527=K527+1,Eingabe!$B$6&amp;"-"&amp;INDEX(Eingabe!$C$9:$C$18,I527)&amp;"-Vorstand  ·  eigenes WLAN",IF(J527=K527+2,Eingabe!$B$6&amp;"-"&amp;INDEX(Eingabe!$C$9:$C$18,I527)&amp;"-Gäste  ·  Voucher",IF(J527=K527+3,"Kabel  ·  Access Point y = .(50+y), Mast-Switch x = .(10+x)","")))))</f>
        <v/>
      </c>
      <c r="I527" s="0" t="str">
        <f aca="false">IF(522&lt;=(Eingabe!$P$18+Eingabe!$Q$18-1),MATCH(522,Eingabe!$P$9:$P$18,1),"")</f>
        <v/>
      </c>
      <c r="J527" s="0" t="str">
        <f aca="false">IF(I527="","",522-INDEX(Eingabe!$P$9:$P$18,I527))</f>
        <v/>
      </c>
      <c r="K527" s="0" t="str">
        <f aca="false">IF(I527="","",INDEX(Eingabe!$E$9:$E$18,I527))</f>
        <v/>
      </c>
    </row>
    <row r="528" customFormat="false" ht="15" hidden="false" customHeight="false" outlineLevel="0" collapsed="false">
      <c r="A528" s="0" t="str">
        <f aca="false">IF(I528="","",IF(J528=0,"Sparte "&amp;I528&amp;": "&amp;INDEX(Eingabe!$B$9:$B$18,I528)&amp;"  (Sparten-ID "&amp;INDEX(Eingabe!$D$9:$D$18,I528)&amp;", "&amp;K528&amp;" Parzellen)",IF(J528&lt;=K528,"   Parzelle "&amp;J528,IF(J528=K528+1,"   Vorstand",IF(J528=K528+2,"   Gäste",IF(J528=K528+3,"   Technik (Switches, Access Points)",""))))))</f>
        <v/>
      </c>
      <c r="B528" s="0" t="str">
        <f aca="false">IF(I528="","",IF(AND(J528&gt;=1,J528&lt;=K528+3),IF(J528&lt;=K528,IF(J528&lt;=99,IF((INDEX(Eingabe!$G$9:$G$18,I528))&lt;=9,1000+(INDEX(Eingabe!$G$9:$G$18,I528))*100,3000)+J528,IF((INDEX(Eingabe!$G$9:$G$18,I528)+1)&lt;=9,1000+(INDEX(Eingabe!$G$9:$G$18,I528)+1)*100,3000)+J528-100),IF(J528=K528+1,2000+INDEX(Eingabe!$G$9:$G$18,I528)*10+1,IF(J528=K528+2,2000+INDEX(Eingabe!$G$9:$G$18,I528)*10+2,2000+INDEX(Eingabe!$G$9:$G$18,I528)*10+9))),""))</f>
        <v/>
      </c>
      <c r="C528" s="0" t="str">
        <f aca="false">IF(I528="","",IF(AND(J528&gt;=1,J528&lt;=K528+3),"10."&amp;INDEX(Eingabe!$D$9:$D$18,I528)&amp;"."&amp;IF(J528&lt;=K528,J528,IF(J528=K528+1,200,IF(J528=K528+2,201,250)))&amp;".0/24",""))</f>
        <v/>
      </c>
      <c r="D528" s="0" t="str">
        <f aca="false">IF(I528="","",IF(AND(J528&gt;=1,J528&lt;=K528+3),"255.255.255.0",""))</f>
        <v/>
      </c>
      <c r="E528" s="0" t="str">
        <f aca="false">IF(I528="","",IF(AND(J528&gt;=1,J528&lt;=K528+3),"10."&amp;INDEX(Eingabe!$D$9:$D$18,I528)&amp;"."&amp;IF(J528&lt;=K528,J528,IF(J528=K528+1,200,IF(J528=K528+2,201,250)))&amp;".1",""))</f>
        <v/>
      </c>
      <c r="F528" s="0" t="str">
        <f aca="false">IF(I528="","",IF(AND(J528&gt;=1,J528&lt;=K528+3),"10."&amp;INDEX(Eingabe!$D$9:$D$18,I528)&amp;"."&amp;IF(J528&lt;=K528,J528,IF(J528=K528+1,200,IF(J528=K528+2,201,250)))&amp;".10 – 10."&amp;INDEX(Eingabe!$D$9:$D$18,I528)&amp;"."&amp;IF(J528&lt;=K528,J528,IF(J528=K528+1,200,IF(J528=K528+2,201,250)))&amp;".250",""))</f>
        <v/>
      </c>
      <c r="G528" s="0" t="str">
        <f aca="false">IF(I528="","",IF(AND(J528&gt;=1,J528&lt;=K528),Eingabe!$B$6&amp;"-"&amp;INDEX(Eingabe!$C$9:$C$18,I528)&amp;"-Pächter  ·  Passwort Parzelle "&amp;J528,IF(J528=K528+1,Eingabe!$B$6&amp;"-"&amp;INDEX(Eingabe!$C$9:$C$18,I528)&amp;"-Vorstand  ·  eigenes WLAN",IF(J528=K528+2,Eingabe!$B$6&amp;"-"&amp;INDEX(Eingabe!$C$9:$C$18,I528)&amp;"-Gäste  ·  Voucher",IF(J528=K528+3,"Kabel  ·  Access Point y = .(50+y), Mast-Switch x = .(10+x)","")))))</f>
        <v/>
      </c>
      <c r="I528" s="0" t="str">
        <f aca="false">IF(523&lt;=(Eingabe!$P$18+Eingabe!$Q$18-1),MATCH(523,Eingabe!$P$9:$P$18,1),"")</f>
        <v/>
      </c>
      <c r="J528" s="0" t="str">
        <f aca="false">IF(I528="","",523-INDEX(Eingabe!$P$9:$P$18,I528))</f>
        <v/>
      </c>
      <c r="K528" s="0" t="str">
        <f aca="false">IF(I528="","",INDEX(Eingabe!$E$9:$E$18,I528))</f>
        <v/>
      </c>
    </row>
    <row r="529" customFormat="false" ht="15" hidden="false" customHeight="false" outlineLevel="0" collapsed="false">
      <c r="A529" s="0" t="str">
        <f aca="false">IF(I529="","",IF(J529=0,"Sparte "&amp;I529&amp;": "&amp;INDEX(Eingabe!$B$9:$B$18,I529)&amp;"  (Sparten-ID "&amp;INDEX(Eingabe!$D$9:$D$18,I529)&amp;", "&amp;K529&amp;" Parzellen)",IF(J529&lt;=K529,"   Parzelle "&amp;J529,IF(J529=K529+1,"   Vorstand",IF(J529=K529+2,"   Gäste",IF(J529=K529+3,"   Technik (Switches, Access Points)",""))))))</f>
        <v/>
      </c>
      <c r="B529" s="0" t="str">
        <f aca="false">IF(I529="","",IF(AND(J529&gt;=1,J529&lt;=K529+3),IF(J529&lt;=K529,IF(J529&lt;=99,IF((INDEX(Eingabe!$G$9:$G$18,I529))&lt;=9,1000+(INDEX(Eingabe!$G$9:$G$18,I529))*100,3000)+J529,IF((INDEX(Eingabe!$G$9:$G$18,I529)+1)&lt;=9,1000+(INDEX(Eingabe!$G$9:$G$18,I529)+1)*100,3000)+J529-100),IF(J529=K529+1,2000+INDEX(Eingabe!$G$9:$G$18,I529)*10+1,IF(J529=K529+2,2000+INDEX(Eingabe!$G$9:$G$18,I529)*10+2,2000+INDEX(Eingabe!$G$9:$G$18,I529)*10+9))),""))</f>
        <v/>
      </c>
      <c r="C529" s="0" t="str">
        <f aca="false">IF(I529="","",IF(AND(J529&gt;=1,J529&lt;=K529+3),"10."&amp;INDEX(Eingabe!$D$9:$D$18,I529)&amp;"."&amp;IF(J529&lt;=K529,J529,IF(J529=K529+1,200,IF(J529=K529+2,201,250)))&amp;".0/24",""))</f>
        <v/>
      </c>
      <c r="D529" s="0" t="str">
        <f aca="false">IF(I529="","",IF(AND(J529&gt;=1,J529&lt;=K529+3),"255.255.255.0",""))</f>
        <v/>
      </c>
      <c r="E529" s="0" t="str">
        <f aca="false">IF(I529="","",IF(AND(J529&gt;=1,J529&lt;=K529+3),"10."&amp;INDEX(Eingabe!$D$9:$D$18,I529)&amp;"."&amp;IF(J529&lt;=K529,J529,IF(J529=K529+1,200,IF(J529=K529+2,201,250)))&amp;".1",""))</f>
        <v/>
      </c>
      <c r="F529" s="0" t="str">
        <f aca="false">IF(I529="","",IF(AND(J529&gt;=1,J529&lt;=K529+3),"10."&amp;INDEX(Eingabe!$D$9:$D$18,I529)&amp;"."&amp;IF(J529&lt;=K529,J529,IF(J529=K529+1,200,IF(J529=K529+2,201,250)))&amp;".10 – 10."&amp;INDEX(Eingabe!$D$9:$D$18,I529)&amp;"."&amp;IF(J529&lt;=K529,J529,IF(J529=K529+1,200,IF(J529=K529+2,201,250)))&amp;".250",""))</f>
        <v/>
      </c>
      <c r="G529" s="0" t="str">
        <f aca="false">IF(I529="","",IF(AND(J529&gt;=1,J529&lt;=K529),Eingabe!$B$6&amp;"-"&amp;INDEX(Eingabe!$C$9:$C$18,I529)&amp;"-Pächter  ·  Passwort Parzelle "&amp;J529,IF(J529=K529+1,Eingabe!$B$6&amp;"-"&amp;INDEX(Eingabe!$C$9:$C$18,I529)&amp;"-Vorstand  ·  eigenes WLAN",IF(J529=K529+2,Eingabe!$B$6&amp;"-"&amp;INDEX(Eingabe!$C$9:$C$18,I529)&amp;"-Gäste  ·  Voucher",IF(J529=K529+3,"Kabel  ·  Access Point y = .(50+y), Mast-Switch x = .(10+x)","")))))</f>
        <v/>
      </c>
      <c r="I529" s="0" t="str">
        <f aca="false">IF(524&lt;=(Eingabe!$P$18+Eingabe!$Q$18-1),MATCH(524,Eingabe!$P$9:$P$18,1),"")</f>
        <v/>
      </c>
      <c r="J529" s="0" t="str">
        <f aca="false">IF(I529="","",524-INDEX(Eingabe!$P$9:$P$18,I529))</f>
        <v/>
      </c>
      <c r="K529" s="0" t="str">
        <f aca="false">IF(I529="","",INDEX(Eingabe!$E$9:$E$18,I529))</f>
        <v/>
      </c>
    </row>
    <row r="530" customFormat="false" ht="15" hidden="false" customHeight="false" outlineLevel="0" collapsed="false">
      <c r="A530" s="0" t="str">
        <f aca="false">IF(I530="","",IF(J530=0,"Sparte "&amp;I530&amp;": "&amp;INDEX(Eingabe!$B$9:$B$18,I530)&amp;"  (Sparten-ID "&amp;INDEX(Eingabe!$D$9:$D$18,I530)&amp;", "&amp;K530&amp;" Parzellen)",IF(J530&lt;=K530,"   Parzelle "&amp;J530,IF(J530=K530+1,"   Vorstand",IF(J530=K530+2,"   Gäste",IF(J530=K530+3,"   Technik (Switches, Access Points)",""))))))</f>
        <v/>
      </c>
      <c r="B530" s="0" t="str">
        <f aca="false">IF(I530="","",IF(AND(J530&gt;=1,J530&lt;=K530+3),IF(J530&lt;=K530,IF(J530&lt;=99,IF((INDEX(Eingabe!$G$9:$G$18,I530))&lt;=9,1000+(INDEX(Eingabe!$G$9:$G$18,I530))*100,3000)+J530,IF((INDEX(Eingabe!$G$9:$G$18,I530)+1)&lt;=9,1000+(INDEX(Eingabe!$G$9:$G$18,I530)+1)*100,3000)+J530-100),IF(J530=K530+1,2000+INDEX(Eingabe!$G$9:$G$18,I530)*10+1,IF(J530=K530+2,2000+INDEX(Eingabe!$G$9:$G$18,I530)*10+2,2000+INDEX(Eingabe!$G$9:$G$18,I530)*10+9))),""))</f>
        <v/>
      </c>
      <c r="C530" s="0" t="str">
        <f aca="false">IF(I530="","",IF(AND(J530&gt;=1,J530&lt;=K530+3),"10."&amp;INDEX(Eingabe!$D$9:$D$18,I530)&amp;"."&amp;IF(J530&lt;=K530,J530,IF(J530=K530+1,200,IF(J530=K530+2,201,250)))&amp;".0/24",""))</f>
        <v/>
      </c>
      <c r="D530" s="0" t="str">
        <f aca="false">IF(I530="","",IF(AND(J530&gt;=1,J530&lt;=K530+3),"255.255.255.0",""))</f>
        <v/>
      </c>
      <c r="E530" s="0" t="str">
        <f aca="false">IF(I530="","",IF(AND(J530&gt;=1,J530&lt;=K530+3),"10."&amp;INDEX(Eingabe!$D$9:$D$18,I530)&amp;"."&amp;IF(J530&lt;=K530,J530,IF(J530=K530+1,200,IF(J530=K530+2,201,250)))&amp;".1",""))</f>
        <v/>
      </c>
      <c r="F530" s="0" t="str">
        <f aca="false">IF(I530="","",IF(AND(J530&gt;=1,J530&lt;=K530+3),"10."&amp;INDEX(Eingabe!$D$9:$D$18,I530)&amp;"."&amp;IF(J530&lt;=K530,J530,IF(J530=K530+1,200,IF(J530=K530+2,201,250)))&amp;".10 – 10."&amp;INDEX(Eingabe!$D$9:$D$18,I530)&amp;"."&amp;IF(J530&lt;=K530,J530,IF(J530=K530+1,200,IF(J530=K530+2,201,250)))&amp;".250",""))</f>
        <v/>
      </c>
      <c r="G530" s="0" t="str">
        <f aca="false">IF(I530="","",IF(AND(J530&gt;=1,J530&lt;=K530),Eingabe!$B$6&amp;"-"&amp;INDEX(Eingabe!$C$9:$C$18,I530)&amp;"-Pächter  ·  Passwort Parzelle "&amp;J530,IF(J530=K530+1,Eingabe!$B$6&amp;"-"&amp;INDEX(Eingabe!$C$9:$C$18,I530)&amp;"-Vorstand  ·  eigenes WLAN",IF(J530=K530+2,Eingabe!$B$6&amp;"-"&amp;INDEX(Eingabe!$C$9:$C$18,I530)&amp;"-Gäste  ·  Voucher",IF(J530=K530+3,"Kabel  ·  Access Point y = .(50+y), Mast-Switch x = .(10+x)","")))))</f>
        <v/>
      </c>
      <c r="I530" s="0" t="str">
        <f aca="false">IF(525&lt;=(Eingabe!$P$18+Eingabe!$Q$18-1),MATCH(525,Eingabe!$P$9:$P$18,1),"")</f>
        <v/>
      </c>
      <c r="J530" s="0" t="str">
        <f aca="false">IF(I530="","",525-INDEX(Eingabe!$P$9:$P$18,I530))</f>
        <v/>
      </c>
      <c r="K530" s="0" t="str">
        <f aca="false">IF(I530="","",INDEX(Eingabe!$E$9:$E$18,I530))</f>
        <v/>
      </c>
    </row>
    <row r="531" customFormat="false" ht="15" hidden="false" customHeight="false" outlineLevel="0" collapsed="false">
      <c r="A531" s="0" t="str">
        <f aca="false">IF(I531="","",IF(J531=0,"Sparte "&amp;I531&amp;": "&amp;INDEX(Eingabe!$B$9:$B$18,I531)&amp;"  (Sparten-ID "&amp;INDEX(Eingabe!$D$9:$D$18,I531)&amp;", "&amp;K531&amp;" Parzellen)",IF(J531&lt;=K531,"   Parzelle "&amp;J531,IF(J531=K531+1,"   Vorstand",IF(J531=K531+2,"   Gäste",IF(J531=K531+3,"   Technik (Switches, Access Points)",""))))))</f>
        <v/>
      </c>
      <c r="B531" s="0" t="str">
        <f aca="false">IF(I531="","",IF(AND(J531&gt;=1,J531&lt;=K531+3),IF(J531&lt;=K531,IF(J531&lt;=99,IF((INDEX(Eingabe!$G$9:$G$18,I531))&lt;=9,1000+(INDEX(Eingabe!$G$9:$G$18,I531))*100,3000)+J531,IF((INDEX(Eingabe!$G$9:$G$18,I531)+1)&lt;=9,1000+(INDEX(Eingabe!$G$9:$G$18,I531)+1)*100,3000)+J531-100),IF(J531=K531+1,2000+INDEX(Eingabe!$G$9:$G$18,I531)*10+1,IF(J531=K531+2,2000+INDEX(Eingabe!$G$9:$G$18,I531)*10+2,2000+INDEX(Eingabe!$G$9:$G$18,I531)*10+9))),""))</f>
        <v/>
      </c>
      <c r="C531" s="0" t="str">
        <f aca="false">IF(I531="","",IF(AND(J531&gt;=1,J531&lt;=K531+3),"10."&amp;INDEX(Eingabe!$D$9:$D$18,I531)&amp;"."&amp;IF(J531&lt;=K531,J531,IF(J531=K531+1,200,IF(J531=K531+2,201,250)))&amp;".0/24",""))</f>
        <v/>
      </c>
      <c r="D531" s="0" t="str">
        <f aca="false">IF(I531="","",IF(AND(J531&gt;=1,J531&lt;=K531+3),"255.255.255.0",""))</f>
        <v/>
      </c>
      <c r="E531" s="0" t="str">
        <f aca="false">IF(I531="","",IF(AND(J531&gt;=1,J531&lt;=K531+3),"10."&amp;INDEX(Eingabe!$D$9:$D$18,I531)&amp;"."&amp;IF(J531&lt;=K531,J531,IF(J531=K531+1,200,IF(J531=K531+2,201,250)))&amp;".1",""))</f>
        <v/>
      </c>
      <c r="F531" s="0" t="str">
        <f aca="false">IF(I531="","",IF(AND(J531&gt;=1,J531&lt;=K531+3),"10."&amp;INDEX(Eingabe!$D$9:$D$18,I531)&amp;"."&amp;IF(J531&lt;=K531,J531,IF(J531=K531+1,200,IF(J531=K531+2,201,250)))&amp;".10 – 10."&amp;INDEX(Eingabe!$D$9:$D$18,I531)&amp;"."&amp;IF(J531&lt;=K531,J531,IF(J531=K531+1,200,IF(J531=K531+2,201,250)))&amp;".250",""))</f>
        <v/>
      </c>
      <c r="G531" s="0" t="str">
        <f aca="false">IF(I531="","",IF(AND(J531&gt;=1,J531&lt;=K531),Eingabe!$B$6&amp;"-"&amp;INDEX(Eingabe!$C$9:$C$18,I531)&amp;"-Pächter  ·  Passwort Parzelle "&amp;J531,IF(J531=K531+1,Eingabe!$B$6&amp;"-"&amp;INDEX(Eingabe!$C$9:$C$18,I531)&amp;"-Vorstand  ·  eigenes WLAN",IF(J531=K531+2,Eingabe!$B$6&amp;"-"&amp;INDEX(Eingabe!$C$9:$C$18,I531)&amp;"-Gäste  ·  Voucher",IF(J531=K531+3,"Kabel  ·  Access Point y = .(50+y), Mast-Switch x = .(10+x)","")))))</f>
        <v/>
      </c>
      <c r="I531" s="0" t="str">
        <f aca="false">IF(526&lt;=(Eingabe!$P$18+Eingabe!$Q$18-1),MATCH(526,Eingabe!$P$9:$P$18,1),"")</f>
        <v/>
      </c>
      <c r="J531" s="0" t="str">
        <f aca="false">IF(I531="","",526-INDEX(Eingabe!$P$9:$P$18,I531))</f>
        <v/>
      </c>
      <c r="K531" s="0" t="str">
        <f aca="false">IF(I531="","",INDEX(Eingabe!$E$9:$E$18,I531))</f>
        <v/>
      </c>
    </row>
    <row r="532" customFormat="false" ht="15" hidden="false" customHeight="false" outlineLevel="0" collapsed="false">
      <c r="A532" s="0" t="str">
        <f aca="false">IF(I532="","",IF(J532=0,"Sparte "&amp;I532&amp;": "&amp;INDEX(Eingabe!$B$9:$B$18,I532)&amp;"  (Sparten-ID "&amp;INDEX(Eingabe!$D$9:$D$18,I532)&amp;", "&amp;K532&amp;" Parzellen)",IF(J532&lt;=K532,"   Parzelle "&amp;J532,IF(J532=K532+1,"   Vorstand",IF(J532=K532+2,"   Gäste",IF(J532=K532+3,"   Technik (Switches, Access Points)",""))))))</f>
        <v/>
      </c>
      <c r="B532" s="0" t="str">
        <f aca="false">IF(I532="","",IF(AND(J532&gt;=1,J532&lt;=K532+3),IF(J532&lt;=K532,IF(J532&lt;=99,IF((INDEX(Eingabe!$G$9:$G$18,I532))&lt;=9,1000+(INDEX(Eingabe!$G$9:$G$18,I532))*100,3000)+J532,IF((INDEX(Eingabe!$G$9:$G$18,I532)+1)&lt;=9,1000+(INDEX(Eingabe!$G$9:$G$18,I532)+1)*100,3000)+J532-100),IF(J532=K532+1,2000+INDEX(Eingabe!$G$9:$G$18,I532)*10+1,IF(J532=K532+2,2000+INDEX(Eingabe!$G$9:$G$18,I532)*10+2,2000+INDEX(Eingabe!$G$9:$G$18,I532)*10+9))),""))</f>
        <v/>
      </c>
      <c r="C532" s="0" t="str">
        <f aca="false">IF(I532="","",IF(AND(J532&gt;=1,J532&lt;=K532+3),"10."&amp;INDEX(Eingabe!$D$9:$D$18,I532)&amp;"."&amp;IF(J532&lt;=K532,J532,IF(J532=K532+1,200,IF(J532=K532+2,201,250)))&amp;".0/24",""))</f>
        <v/>
      </c>
      <c r="D532" s="0" t="str">
        <f aca="false">IF(I532="","",IF(AND(J532&gt;=1,J532&lt;=K532+3),"255.255.255.0",""))</f>
        <v/>
      </c>
      <c r="E532" s="0" t="str">
        <f aca="false">IF(I532="","",IF(AND(J532&gt;=1,J532&lt;=K532+3),"10."&amp;INDEX(Eingabe!$D$9:$D$18,I532)&amp;"."&amp;IF(J532&lt;=K532,J532,IF(J532=K532+1,200,IF(J532=K532+2,201,250)))&amp;".1",""))</f>
        <v/>
      </c>
      <c r="F532" s="0" t="str">
        <f aca="false">IF(I532="","",IF(AND(J532&gt;=1,J532&lt;=K532+3),"10."&amp;INDEX(Eingabe!$D$9:$D$18,I532)&amp;"."&amp;IF(J532&lt;=K532,J532,IF(J532=K532+1,200,IF(J532=K532+2,201,250)))&amp;".10 – 10."&amp;INDEX(Eingabe!$D$9:$D$18,I532)&amp;"."&amp;IF(J532&lt;=K532,J532,IF(J532=K532+1,200,IF(J532=K532+2,201,250)))&amp;".250",""))</f>
        <v/>
      </c>
      <c r="G532" s="0" t="str">
        <f aca="false">IF(I532="","",IF(AND(J532&gt;=1,J532&lt;=K532),Eingabe!$B$6&amp;"-"&amp;INDEX(Eingabe!$C$9:$C$18,I532)&amp;"-Pächter  ·  Passwort Parzelle "&amp;J532,IF(J532=K532+1,Eingabe!$B$6&amp;"-"&amp;INDEX(Eingabe!$C$9:$C$18,I532)&amp;"-Vorstand  ·  eigenes WLAN",IF(J532=K532+2,Eingabe!$B$6&amp;"-"&amp;INDEX(Eingabe!$C$9:$C$18,I532)&amp;"-Gäste  ·  Voucher",IF(J532=K532+3,"Kabel  ·  Access Point y = .(50+y), Mast-Switch x = .(10+x)","")))))</f>
        <v/>
      </c>
      <c r="I532" s="0" t="str">
        <f aca="false">IF(527&lt;=(Eingabe!$P$18+Eingabe!$Q$18-1),MATCH(527,Eingabe!$P$9:$P$18,1),"")</f>
        <v/>
      </c>
      <c r="J532" s="0" t="str">
        <f aca="false">IF(I532="","",527-INDEX(Eingabe!$P$9:$P$18,I532))</f>
        <v/>
      </c>
      <c r="K532" s="0" t="str">
        <f aca="false">IF(I532="","",INDEX(Eingabe!$E$9:$E$18,I532))</f>
        <v/>
      </c>
    </row>
    <row r="533" customFormat="false" ht="15" hidden="false" customHeight="false" outlineLevel="0" collapsed="false">
      <c r="A533" s="0" t="str">
        <f aca="false">IF(I533="","",IF(J533=0,"Sparte "&amp;I533&amp;": "&amp;INDEX(Eingabe!$B$9:$B$18,I533)&amp;"  (Sparten-ID "&amp;INDEX(Eingabe!$D$9:$D$18,I533)&amp;", "&amp;K533&amp;" Parzellen)",IF(J533&lt;=K533,"   Parzelle "&amp;J533,IF(J533=K533+1,"   Vorstand",IF(J533=K533+2,"   Gäste",IF(J533=K533+3,"   Technik (Switches, Access Points)",""))))))</f>
        <v/>
      </c>
      <c r="B533" s="0" t="str">
        <f aca="false">IF(I533="","",IF(AND(J533&gt;=1,J533&lt;=K533+3),IF(J533&lt;=K533,IF(J533&lt;=99,IF((INDEX(Eingabe!$G$9:$G$18,I533))&lt;=9,1000+(INDEX(Eingabe!$G$9:$G$18,I533))*100,3000)+J533,IF((INDEX(Eingabe!$G$9:$G$18,I533)+1)&lt;=9,1000+(INDEX(Eingabe!$G$9:$G$18,I533)+1)*100,3000)+J533-100),IF(J533=K533+1,2000+INDEX(Eingabe!$G$9:$G$18,I533)*10+1,IF(J533=K533+2,2000+INDEX(Eingabe!$G$9:$G$18,I533)*10+2,2000+INDEX(Eingabe!$G$9:$G$18,I533)*10+9))),""))</f>
        <v/>
      </c>
      <c r="C533" s="0" t="str">
        <f aca="false">IF(I533="","",IF(AND(J533&gt;=1,J533&lt;=K533+3),"10."&amp;INDEX(Eingabe!$D$9:$D$18,I533)&amp;"."&amp;IF(J533&lt;=K533,J533,IF(J533=K533+1,200,IF(J533=K533+2,201,250)))&amp;".0/24",""))</f>
        <v/>
      </c>
      <c r="D533" s="0" t="str">
        <f aca="false">IF(I533="","",IF(AND(J533&gt;=1,J533&lt;=K533+3),"255.255.255.0",""))</f>
        <v/>
      </c>
      <c r="E533" s="0" t="str">
        <f aca="false">IF(I533="","",IF(AND(J533&gt;=1,J533&lt;=K533+3),"10."&amp;INDEX(Eingabe!$D$9:$D$18,I533)&amp;"."&amp;IF(J533&lt;=K533,J533,IF(J533=K533+1,200,IF(J533=K533+2,201,250)))&amp;".1",""))</f>
        <v/>
      </c>
      <c r="F533" s="0" t="str">
        <f aca="false">IF(I533="","",IF(AND(J533&gt;=1,J533&lt;=K533+3),"10."&amp;INDEX(Eingabe!$D$9:$D$18,I533)&amp;"."&amp;IF(J533&lt;=K533,J533,IF(J533=K533+1,200,IF(J533=K533+2,201,250)))&amp;".10 – 10."&amp;INDEX(Eingabe!$D$9:$D$18,I533)&amp;"."&amp;IF(J533&lt;=K533,J533,IF(J533=K533+1,200,IF(J533=K533+2,201,250)))&amp;".250",""))</f>
        <v/>
      </c>
      <c r="G533" s="0" t="str">
        <f aca="false">IF(I533="","",IF(AND(J533&gt;=1,J533&lt;=K533),Eingabe!$B$6&amp;"-"&amp;INDEX(Eingabe!$C$9:$C$18,I533)&amp;"-Pächter  ·  Passwort Parzelle "&amp;J533,IF(J533=K533+1,Eingabe!$B$6&amp;"-"&amp;INDEX(Eingabe!$C$9:$C$18,I533)&amp;"-Vorstand  ·  eigenes WLAN",IF(J533=K533+2,Eingabe!$B$6&amp;"-"&amp;INDEX(Eingabe!$C$9:$C$18,I533)&amp;"-Gäste  ·  Voucher",IF(J533=K533+3,"Kabel  ·  Access Point y = .(50+y), Mast-Switch x = .(10+x)","")))))</f>
        <v/>
      </c>
      <c r="I533" s="0" t="str">
        <f aca="false">IF(528&lt;=(Eingabe!$P$18+Eingabe!$Q$18-1),MATCH(528,Eingabe!$P$9:$P$18,1),"")</f>
        <v/>
      </c>
      <c r="J533" s="0" t="str">
        <f aca="false">IF(I533="","",528-INDEX(Eingabe!$P$9:$P$18,I533))</f>
        <v/>
      </c>
      <c r="K533" s="0" t="str">
        <f aca="false">IF(I533="","",INDEX(Eingabe!$E$9:$E$18,I533))</f>
        <v/>
      </c>
    </row>
    <row r="534" customFormat="false" ht="15" hidden="false" customHeight="false" outlineLevel="0" collapsed="false">
      <c r="A534" s="0" t="str">
        <f aca="false">IF(I534="","",IF(J534=0,"Sparte "&amp;I534&amp;": "&amp;INDEX(Eingabe!$B$9:$B$18,I534)&amp;"  (Sparten-ID "&amp;INDEX(Eingabe!$D$9:$D$18,I534)&amp;", "&amp;K534&amp;" Parzellen)",IF(J534&lt;=K534,"   Parzelle "&amp;J534,IF(J534=K534+1,"   Vorstand",IF(J534=K534+2,"   Gäste",IF(J534=K534+3,"   Technik (Switches, Access Points)",""))))))</f>
        <v/>
      </c>
      <c r="B534" s="0" t="str">
        <f aca="false">IF(I534="","",IF(AND(J534&gt;=1,J534&lt;=K534+3),IF(J534&lt;=K534,IF(J534&lt;=99,IF((INDEX(Eingabe!$G$9:$G$18,I534))&lt;=9,1000+(INDEX(Eingabe!$G$9:$G$18,I534))*100,3000)+J534,IF((INDEX(Eingabe!$G$9:$G$18,I534)+1)&lt;=9,1000+(INDEX(Eingabe!$G$9:$G$18,I534)+1)*100,3000)+J534-100),IF(J534=K534+1,2000+INDEX(Eingabe!$G$9:$G$18,I534)*10+1,IF(J534=K534+2,2000+INDEX(Eingabe!$G$9:$G$18,I534)*10+2,2000+INDEX(Eingabe!$G$9:$G$18,I534)*10+9))),""))</f>
        <v/>
      </c>
      <c r="C534" s="0" t="str">
        <f aca="false">IF(I534="","",IF(AND(J534&gt;=1,J534&lt;=K534+3),"10."&amp;INDEX(Eingabe!$D$9:$D$18,I534)&amp;"."&amp;IF(J534&lt;=K534,J534,IF(J534=K534+1,200,IF(J534=K534+2,201,250)))&amp;".0/24",""))</f>
        <v/>
      </c>
      <c r="D534" s="0" t="str">
        <f aca="false">IF(I534="","",IF(AND(J534&gt;=1,J534&lt;=K534+3),"255.255.255.0",""))</f>
        <v/>
      </c>
      <c r="E534" s="0" t="str">
        <f aca="false">IF(I534="","",IF(AND(J534&gt;=1,J534&lt;=K534+3),"10."&amp;INDEX(Eingabe!$D$9:$D$18,I534)&amp;"."&amp;IF(J534&lt;=K534,J534,IF(J534=K534+1,200,IF(J534=K534+2,201,250)))&amp;".1",""))</f>
        <v/>
      </c>
      <c r="F534" s="0" t="str">
        <f aca="false">IF(I534="","",IF(AND(J534&gt;=1,J534&lt;=K534+3),"10."&amp;INDEX(Eingabe!$D$9:$D$18,I534)&amp;"."&amp;IF(J534&lt;=K534,J534,IF(J534=K534+1,200,IF(J534=K534+2,201,250)))&amp;".10 – 10."&amp;INDEX(Eingabe!$D$9:$D$18,I534)&amp;"."&amp;IF(J534&lt;=K534,J534,IF(J534=K534+1,200,IF(J534=K534+2,201,250)))&amp;".250",""))</f>
        <v/>
      </c>
      <c r="G534" s="0" t="str">
        <f aca="false">IF(I534="","",IF(AND(J534&gt;=1,J534&lt;=K534),Eingabe!$B$6&amp;"-"&amp;INDEX(Eingabe!$C$9:$C$18,I534)&amp;"-Pächter  ·  Passwort Parzelle "&amp;J534,IF(J534=K534+1,Eingabe!$B$6&amp;"-"&amp;INDEX(Eingabe!$C$9:$C$18,I534)&amp;"-Vorstand  ·  eigenes WLAN",IF(J534=K534+2,Eingabe!$B$6&amp;"-"&amp;INDEX(Eingabe!$C$9:$C$18,I534)&amp;"-Gäste  ·  Voucher",IF(J534=K534+3,"Kabel  ·  Access Point y = .(50+y), Mast-Switch x = .(10+x)","")))))</f>
        <v/>
      </c>
      <c r="I534" s="0" t="str">
        <f aca="false">IF(529&lt;=(Eingabe!$P$18+Eingabe!$Q$18-1),MATCH(529,Eingabe!$P$9:$P$18,1),"")</f>
        <v/>
      </c>
      <c r="J534" s="0" t="str">
        <f aca="false">IF(I534="","",529-INDEX(Eingabe!$P$9:$P$18,I534))</f>
        <v/>
      </c>
      <c r="K534" s="0" t="str">
        <f aca="false">IF(I534="","",INDEX(Eingabe!$E$9:$E$18,I534))</f>
        <v/>
      </c>
    </row>
    <row r="535" customFormat="false" ht="15" hidden="false" customHeight="false" outlineLevel="0" collapsed="false">
      <c r="A535" s="0" t="str">
        <f aca="false">IF(I535="","",IF(J535=0,"Sparte "&amp;I535&amp;": "&amp;INDEX(Eingabe!$B$9:$B$18,I535)&amp;"  (Sparten-ID "&amp;INDEX(Eingabe!$D$9:$D$18,I535)&amp;", "&amp;K535&amp;" Parzellen)",IF(J535&lt;=K535,"   Parzelle "&amp;J535,IF(J535=K535+1,"   Vorstand",IF(J535=K535+2,"   Gäste",IF(J535=K535+3,"   Technik (Switches, Access Points)",""))))))</f>
        <v/>
      </c>
      <c r="B535" s="0" t="str">
        <f aca="false">IF(I535="","",IF(AND(J535&gt;=1,J535&lt;=K535+3),IF(J535&lt;=K535,IF(J535&lt;=99,IF((INDEX(Eingabe!$G$9:$G$18,I535))&lt;=9,1000+(INDEX(Eingabe!$G$9:$G$18,I535))*100,3000)+J535,IF((INDEX(Eingabe!$G$9:$G$18,I535)+1)&lt;=9,1000+(INDEX(Eingabe!$G$9:$G$18,I535)+1)*100,3000)+J535-100),IF(J535=K535+1,2000+INDEX(Eingabe!$G$9:$G$18,I535)*10+1,IF(J535=K535+2,2000+INDEX(Eingabe!$G$9:$G$18,I535)*10+2,2000+INDEX(Eingabe!$G$9:$G$18,I535)*10+9))),""))</f>
        <v/>
      </c>
      <c r="C535" s="0" t="str">
        <f aca="false">IF(I535="","",IF(AND(J535&gt;=1,J535&lt;=K535+3),"10."&amp;INDEX(Eingabe!$D$9:$D$18,I535)&amp;"."&amp;IF(J535&lt;=K535,J535,IF(J535=K535+1,200,IF(J535=K535+2,201,250)))&amp;".0/24",""))</f>
        <v/>
      </c>
      <c r="D535" s="0" t="str">
        <f aca="false">IF(I535="","",IF(AND(J535&gt;=1,J535&lt;=K535+3),"255.255.255.0",""))</f>
        <v/>
      </c>
      <c r="E535" s="0" t="str">
        <f aca="false">IF(I535="","",IF(AND(J535&gt;=1,J535&lt;=K535+3),"10."&amp;INDEX(Eingabe!$D$9:$D$18,I535)&amp;"."&amp;IF(J535&lt;=K535,J535,IF(J535=K535+1,200,IF(J535=K535+2,201,250)))&amp;".1",""))</f>
        <v/>
      </c>
      <c r="F535" s="0" t="str">
        <f aca="false">IF(I535="","",IF(AND(J535&gt;=1,J535&lt;=K535+3),"10."&amp;INDEX(Eingabe!$D$9:$D$18,I535)&amp;"."&amp;IF(J535&lt;=K535,J535,IF(J535=K535+1,200,IF(J535=K535+2,201,250)))&amp;".10 – 10."&amp;INDEX(Eingabe!$D$9:$D$18,I535)&amp;"."&amp;IF(J535&lt;=K535,J535,IF(J535=K535+1,200,IF(J535=K535+2,201,250)))&amp;".250",""))</f>
        <v/>
      </c>
      <c r="G535" s="0" t="str">
        <f aca="false">IF(I535="","",IF(AND(J535&gt;=1,J535&lt;=K535),Eingabe!$B$6&amp;"-"&amp;INDEX(Eingabe!$C$9:$C$18,I535)&amp;"-Pächter  ·  Passwort Parzelle "&amp;J535,IF(J535=K535+1,Eingabe!$B$6&amp;"-"&amp;INDEX(Eingabe!$C$9:$C$18,I535)&amp;"-Vorstand  ·  eigenes WLAN",IF(J535=K535+2,Eingabe!$B$6&amp;"-"&amp;INDEX(Eingabe!$C$9:$C$18,I535)&amp;"-Gäste  ·  Voucher",IF(J535=K535+3,"Kabel  ·  Access Point y = .(50+y), Mast-Switch x = .(10+x)","")))))</f>
        <v/>
      </c>
      <c r="I535" s="0" t="str">
        <f aca="false">IF(530&lt;=(Eingabe!$P$18+Eingabe!$Q$18-1),MATCH(530,Eingabe!$P$9:$P$18,1),"")</f>
        <v/>
      </c>
      <c r="J535" s="0" t="str">
        <f aca="false">IF(I535="","",530-INDEX(Eingabe!$P$9:$P$18,I535))</f>
        <v/>
      </c>
      <c r="K535" s="0" t="str">
        <f aca="false">IF(I535="","",INDEX(Eingabe!$E$9:$E$18,I535))</f>
        <v/>
      </c>
    </row>
    <row r="536" customFormat="false" ht="15" hidden="false" customHeight="false" outlineLevel="0" collapsed="false">
      <c r="A536" s="0" t="str">
        <f aca="false">IF(I536="","",IF(J536=0,"Sparte "&amp;I536&amp;": "&amp;INDEX(Eingabe!$B$9:$B$18,I536)&amp;"  (Sparten-ID "&amp;INDEX(Eingabe!$D$9:$D$18,I536)&amp;", "&amp;K536&amp;" Parzellen)",IF(J536&lt;=K536,"   Parzelle "&amp;J536,IF(J536=K536+1,"   Vorstand",IF(J536=K536+2,"   Gäste",IF(J536=K536+3,"   Technik (Switches, Access Points)",""))))))</f>
        <v/>
      </c>
      <c r="B536" s="0" t="str">
        <f aca="false">IF(I536="","",IF(AND(J536&gt;=1,J536&lt;=K536+3),IF(J536&lt;=K536,IF(J536&lt;=99,IF((INDEX(Eingabe!$G$9:$G$18,I536))&lt;=9,1000+(INDEX(Eingabe!$G$9:$G$18,I536))*100,3000)+J536,IF((INDEX(Eingabe!$G$9:$G$18,I536)+1)&lt;=9,1000+(INDEX(Eingabe!$G$9:$G$18,I536)+1)*100,3000)+J536-100),IF(J536=K536+1,2000+INDEX(Eingabe!$G$9:$G$18,I536)*10+1,IF(J536=K536+2,2000+INDEX(Eingabe!$G$9:$G$18,I536)*10+2,2000+INDEX(Eingabe!$G$9:$G$18,I536)*10+9))),""))</f>
        <v/>
      </c>
      <c r="C536" s="0" t="str">
        <f aca="false">IF(I536="","",IF(AND(J536&gt;=1,J536&lt;=K536+3),"10."&amp;INDEX(Eingabe!$D$9:$D$18,I536)&amp;"."&amp;IF(J536&lt;=K536,J536,IF(J536=K536+1,200,IF(J536=K536+2,201,250)))&amp;".0/24",""))</f>
        <v/>
      </c>
      <c r="D536" s="0" t="str">
        <f aca="false">IF(I536="","",IF(AND(J536&gt;=1,J536&lt;=K536+3),"255.255.255.0",""))</f>
        <v/>
      </c>
      <c r="E536" s="0" t="str">
        <f aca="false">IF(I536="","",IF(AND(J536&gt;=1,J536&lt;=K536+3),"10."&amp;INDEX(Eingabe!$D$9:$D$18,I536)&amp;"."&amp;IF(J536&lt;=K536,J536,IF(J536=K536+1,200,IF(J536=K536+2,201,250)))&amp;".1",""))</f>
        <v/>
      </c>
      <c r="F536" s="0" t="str">
        <f aca="false">IF(I536="","",IF(AND(J536&gt;=1,J536&lt;=K536+3),"10."&amp;INDEX(Eingabe!$D$9:$D$18,I536)&amp;"."&amp;IF(J536&lt;=K536,J536,IF(J536=K536+1,200,IF(J536=K536+2,201,250)))&amp;".10 – 10."&amp;INDEX(Eingabe!$D$9:$D$18,I536)&amp;"."&amp;IF(J536&lt;=K536,J536,IF(J536=K536+1,200,IF(J536=K536+2,201,250)))&amp;".250",""))</f>
        <v/>
      </c>
      <c r="G536" s="0" t="str">
        <f aca="false">IF(I536="","",IF(AND(J536&gt;=1,J536&lt;=K536),Eingabe!$B$6&amp;"-"&amp;INDEX(Eingabe!$C$9:$C$18,I536)&amp;"-Pächter  ·  Passwort Parzelle "&amp;J536,IF(J536=K536+1,Eingabe!$B$6&amp;"-"&amp;INDEX(Eingabe!$C$9:$C$18,I536)&amp;"-Vorstand  ·  eigenes WLAN",IF(J536=K536+2,Eingabe!$B$6&amp;"-"&amp;INDEX(Eingabe!$C$9:$C$18,I536)&amp;"-Gäste  ·  Voucher",IF(J536=K536+3,"Kabel  ·  Access Point y = .(50+y), Mast-Switch x = .(10+x)","")))))</f>
        <v/>
      </c>
      <c r="I536" s="0" t="str">
        <f aca="false">IF(531&lt;=(Eingabe!$P$18+Eingabe!$Q$18-1),MATCH(531,Eingabe!$P$9:$P$18,1),"")</f>
        <v/>
      </c>
      <c r="J536" s="0" t="str">
        <f aca="false">IF(I536="","",531-INDEX(Eingabe!$P$9:$P$18,I536))</f>
        <v/>
      </c>
      <c r="K536" s="0" t="str">
        <f aca="false">IF(I536="","",INDEX(Eingabe!$E$9:$E$18,I536))</f>
        <v/>
      </c>
    </row>
    <row r="537" customFormat="false" ht="15" hidden="false" customHeight="false" outlineLevel="0" collapsed="false">
      <c r="A537" s="0" t="str">
        <f aca="false">IF(I537="","",IF(J537=0,"Sparte "&amp;I537&amp;": "&amp;INDEX(Eingabe!$B$9:$B$18,I537)&amp;"  (Sparten-ID "&amp;INDEX(Eingabe!$D$9:$D$18,I537)&amp;", "&amp;K537&amp;" Parzellen)",IF(J537&lt;=K537,"   Parzelle "&amp;J537,IF(J537=K537+1,"   Vorstand",IF(J537=K537+2,"   Gäste",IF(J537=K537+3,"   Technik (Switches, Access Points)",""))))))</f>
        <v/>
      </c>
      <c r="B537" s="0" t="str">
        <f aca="false">IF(I537="","",IF(AND(J537&gt;=1,J537&lt;=K537+3),IF(J537&lt;=K537,IF(J537&lt;=99,IF((INDEX(Eingabe!$G$9:$G$18,I537))&lt;=9,1000+(INDEX(Eingabe!$G$9:$G$18,I537))*100,3000)+J537,IF((INDEX(Eingabe!$G$9:$G$18,I537)+1)&lt;=9,1000+(INDEX(Eingabe!$G$9:$G$18,I537)+1)*100,3000)+J537-100),IF(J537=K537+1,2000+INDEX(Eingabe!$G$9:$G$18,I537)*10+1,IF(J537=K537+2,2000+INDEX(Eingabe!$G$9:$G$18,I537)*10+2,2000+INDEX(Eingabe!$G$9:$G$18,I537)*10+9))),""))</f>
        <v/>
      </c>
      <c r="C537" s="0" t="str">
        <f aca="false">IF(I537="","",IF(AND(J537&gt;=1,J537&lt;=K537+3),"10."&amp;INDEX(Eingabe!$D$9:$D$18,I537)&amp;"."&amp;IF(J537&lt;=K537,J537,IF(J537=K537+1,200,IF(J537=K537+2,201,250)))&amp;".0/24",""))</f>
        <v/>
      </c>
      <c r="D537" s="0" t="str">
        <f aca="false">IF(I537="","",IF(AND(J537&gt;=1,J537&lt;=K537+3),"255.255.255.0",""))</f>
        <v/>
      </c>
      <c r="E537" s="0" t="str">
        <f aca="false">IF(I537="","",IF(AND(J537&gt;=1,J537&lt;=K537+3),"10."&amp;INDEX(Eingabe!$D$9:$D$18,I537)&amp;"."&amp;IF(J537&lt;=K537,J537,IF(J537=K537+1,200,IF(J537=K537+2,201,250)))&amp;".1",""))</f>
        <v/>
      </c>
      <c r="F537" s="0" t="str">
        <f aca="false">IF(I537="","",IF(AND(J537&gt;=1,J537&lt;=K537+3),"10."&amp;INDEX(Eingabe!$D$9:$D$18,I537)&amp;"."&amp;IF(J537&lt;=K537,J537,IF(J537=K537+1,200,IF(J537=K537+2,201,250)))&amp;".10 – 10."&amp;INDEX(Eingabe!$D$9:$D$18,I537)&amp;"."&amp;IF(J537&lt;=K537,J537,IF(J537=K537+1,200,IF(J537=K537+2,201,250)))&amp;".250",""))</f>
        <v/>
      </c>
      <c r="G537" s="0" t="str">
        <f aca="false">IF(I537="","",IF(AND(J537&gt;=1,J537&lt;=K537),Eingabe!$B$6&amp;"-"&amp;INDEX(Eingabe!$C$9:$C$18,I537)&amp;"-Pächter  ·  Passwort Parzelle "&amp;J537,IF(J537=K537+1,Eingabe!$B$6&amp;"-"&amp;INDEX(Eingabe!$C$9:$C$18,I537)&amp;"-Vorstand  ·  eigenes WLAN",IF(J537=K537+2,Eingabe!$B$6&amp;"-"&amp;INDEX(Eingabe!$C$9:$C$18,I537)&amp;"-Gäste  ·  Voucher",IF(J537=K537+3,"Kabel  ·  Access Point y = .(50+y), Mast-Switch x = .(10+x)","")))))</f>
        <v/>
      </c>
      <c r="I537" s="0" t="str">
        <f aca="false">IF(532&lt;=(Eingabe!$P$18+Eingabe!$Q$18-1),MATCH(532,Eingabe!$P$9:$P$18,1),"")</f>
        <v/>
      </c>
      <c r="J537" s="0" t="str">
        <f aca="false">IF(I537="","",532-INDEX(Eingabe!$P$9:$P$18,I537))</f>
        <v/>
      </c>
      <c r="K537" s="0" t="str">
        <f aca="false">IF(I537="","",INDEX(Eingabe!$E$9:$E$18,I537))</f>
        <v/>
      </c>
    </row>
    <row r="538" customFormat="false" ht="15" hidden="false" customHeight="false" outlineLevel="0" collapsed="false">
      <c r="A538" s="0" t="str">
        <f aca="false">IF(I538="","",IF(J538=0,"Sparte "&amp;I538&amp;": "&amp;INDEX(Eingabe!$B$9:$B$18,I538)&amp;"  (Sparten-ID "&amp;INDEX(Eingabe!$D$9:$D$18,I538)&amp;", "&amp;K538&amp;" Parzellen)",IF(J538&lt;=K538,"   Parzelle "&amp;J538,IF(J538=K538+1,"   Vorstand",IF(J538=K538+2,"   Gäste",IF(J538=K538+3,"   Technik (Switches, Access Points)",""))))))</f>
        <v/>
      </c>
      <c r="B538" s="0" t="str">
        <f aca="false">IF(I538="","",IF(AND(J538&gt;=1,J538&lt;=K538+3),IF(J538&lt;=K538,IF(J538&lt;=99,IF((INDEX(Eingabe!$G$9:$G$18,I538))&lt;=9,1000+(INDEX(Eingabe!$G$9:$G$18,I538))*100,3000)+J538,IF((INDEX(Eingabe!$G$9:$G$18,I538)+1)&lt;=9,1000+(INDEX(Eingabe!$G$9:$G$18,I538)+1)*100,3000)+J538-100),IF(J538=K538+1,2000+INDEX(Eingabe!$G$9:$G$18,I538)*10+1,IF(J538=K538+2,2000+INDEX(Eingabe!$G$9:$G$18,I538)*10+2,2000+INDEX(Eingabe!$G$9:$G$18,I538)*10+9))),""))</f>
        <v/>
      </c>
      <c r="C538" s="0" t="str">
        <f aca="false">IF(I538="","",IF(AND(J538&gt;=1,J538&lt;=K538+3),"10."&amp;INDEX(Eingabe!$D$9:$D$18,I538)&amp;"."&amp;IF(J538&lt;=K538,J538,IF(J538=K538+1,200,IF(J538=K538+2,201,250)))&amp;".0/24",""))</f>
        <v/>
      </c>
      <c r="D538" s="0" t="str">
        <f aca="false">IF(I538="","",IF(AND(J538&gt;=1,J538&lt;=K538+3),"255.255.255.0",""))</f>
        <v/>
      </c>
      <c r="E538" s="0" t="str">
        <f aca="false">IF(I538="","",IF(AND(J538&gt;=1,J538&lt;=K538+3),"10."&amp;INDEX(Eingabe!$D$9:$D$18,I538)&amp;"."&amp;IF(J538&lt;=K538,J538,IF(J538=K538+1,200,IF(J538=K538+2,201,250)))&amp;".1",""))</f>
        <v/>
      </c>
      <c r="F538" s="0" t="str">
        <f aca="false">IF(I538="","",IF(AND(J538&gt;=1,J538&lt;=K538+3),"10."&amp;INDEX(Eingabe!$D$9:$D$18,I538)&amp;"."&amp;IF(J538&lt;=K538,J538,IF(J538=K538+1,200,IF(J538=K538+2,201,250)))&amp;".10 – 10."&amp;INDEX(Eingabe!$D$9:$D$18,I538)&amp;"."&amp;IF(J538&lt;=K538,J538,IF(J538=K538+1,200,IF(J538=K538+2,201,250)))&amp;".250",""))</f>
        <v/>
      </c>
      <c r="G538" s="0" t="str">
        <f aca="false">IF(I538="","",IF(AND(J538&gt;=1,J538&lt;=K538),Eingabe!$B$6&amp;"-"&amp;INDEX(Eingabe!$C$9:$C$18,I538)&amp;"-Pächter  ·  Passwort Parzelle "&amp;J538,IF(J538=K538+1,Eingabe!$B$6&amp;"-"&amp;INDEX(Eingabe!$C$9:$C$18,I538)&amp;"-Vorstand  ·  eigenes WLAN",IF(J538=K538+2,Eingabe!$B$6&amp;"-"&amp;INDEX(Eingabe!$C$9:$C$18,I538)&amp;"-Gäste  ·  Voucher",IF(J538=K538+3,"Kabel  ·  Access Point y = .(50+y), Mast-Switch x = .(10+x)","")))))</f>
        <v/>
      </c>
      <c r="I538" s="0" t="str">
        <f aca="false">IF(533&lt;=(Eingabe!$P$18+Eingabe!$Q$18-1),MATCH(533,Eingabe!$P$9:$P$18,1),"")</f>
        <v/>
      </c>
      <c r="J538" s="0" t="str">
        <f aca="false">IF(I538="","",533-INDEX(Eingabe!$P$9:$P$18,I538))</f>
        <v/>
      </c>
      <c r="K538" s="0" t="str">
        <f aca="false">IF(I538="","",INDEX(Eingabe!$E$9:$E$18,I538))</f>
        <v/>
      </c>
    </row>
    <row r="539" customFormat="false" ht="15" hidden="false" customHeight="false" outlineLevel="0" collapsed="false">
      <c r="A539" s="0" t="str">
        <f aca="false">IF(I539="","",IF(J539=0,"Sparte "&amp;I539&amp;": "&amp;INDEX(Eingabe!$B$9:$B$18,I539)&amp;"  (Sparten-ID "&amp;INDEX(Eingabe!$D$9:$D$18,I539)&amp;", "&amp;K539&amp;" Parzellen)",IF(J539&lt;=K539,"   Parzelle "&amp;J539,IF(J539=K539+1,"   Vorstand",IF(J539=K539+2,"   Gäste",IF(J539=K539+3,"   Technik (Switches, Access Points)",""))))))</f>
        <v/>
      </c>
      <c r="B539" s="0" t="str">
        <f aca="false">IF(I539="","",IF(AND(J539&gt;=1,J539&lt;=K539+3),IF(J539&lt;=K539,IF(J539&lt;=99,IF((INDEX(Eingabe!$G$9:$G$18,I539))&lt;=9,1000+(INDEX(Eingabe!$G$9:$G$18,I539))*100,3000)+J539,IF((INDEX(Eingabe!$G$9:$G$18,I539)+1)&lt;=9,1000+(INDEX(Eingabe!$G$9:$G$18,I539)+1)*100,3000)+J539-100),IF(J539=K539+1,2000+INDEX(Eingabe!$G$9:$G$18,I539)*10+1,IF(J539=K539+2,2000+INDEX(Eingabe!$G$9:$G$18,I539)*10+2,2000+INDEX(Eingabe!$G$9:$G$18,I539)*10+9))),""))</f>
        <v/>
      </c>
      <c r="C539" s="0" t="str">
        <f aca="false">IF(I539="","",IF(AND(J539&gt;=1,J539&lt;=K539+3),"10."&amp;INDEX(Eingabe!$D$9:$D$18,I539)&amp;"."&amp;IF(J539&lt;=K539,J539,IF(J539=K539+1,200,IF(J539=K539+2,201,250)))&amp;".0/24",""))</f>
        <v/>
      </c>
      <c r="D539" s="0" t="str">
        <f aca="false">IF(I539="","",IF(AND(J539&gt;=1,J539&lt;=K539+3),"255.255.255.0",""))</f>
        <v/>
      </c>
      <c r="E539" s="0" t="str">
        <f aca="false">IF(I539="","",IF(AND(J539&gt;=1,J539&lt;=K539+3),"10."&amp;INDEX(Eingabe!$D$9:$D$18,I539)&amp;"."&amp;IF(J539&lt;=K539,J539,IF(J539=K539+1,200,IF(J539=K539+2,201,250)))&amp;".1",""))</f>
        <v/>
      </c>
      <c r="F539" s="0" t="str">
        <f aca="false">IF(I539="","",IF(AND(J539&gt;=1,J539&lt;=K539+3),"10."&amp;INDEX(Eingabe!$D$9:$D$18,I539)&amp;"."&amp;IF(J539&lt;=K539,J539,IF(J539=K539+1,200,IF(J539=K539+2,201,250)))&amp;".10 – 10."&amp;INDEX(Eingabe!$D$9:$D$18,I539)&amp;"."&amp;IF(J539&lt;=K539,J539,IF(J539=K539+1,200,IF(J539=K539+2,201,250)))&amp;".250",""))</f>
        <v/>
      </c>
      <c r="G539" s="0" t="str">
        <f aca="false">IF(I539="","",IF(AND(J539&gt;=1,J539&lt;=K539),Eingabe!$B$6&amp;"-"&amp;INDEX(Eingabe!$C$9:$C$18,I539)&amp;"-Pächter  ·  Passwort Parzelle "&amp;J539,IF(J539=K539+1,Eingabe!$B$6&amp;"-"&amp;INDEX(Eingabe!$C$9:$C$18,I539)&amp;"-Vorstand  ·  eigenes WLAN",IF(J539=K539+2,Eingabe!$B$6&amp;"-"&amp;INDEX(Eingabe!$C$9:$C$18,I539)&amp;"-Gäste  ·  Voucher",IF(J539=K539+3,"Kabel  ·  Access Point y = .(50+y), Mast-Switch x = .(10+x)","")))))</f>
        <v/>
      </c>
      <c r="I539" s="0" t="str">
        <f aca="false">IF(534&lt;=(Eingabe!$P$18+Eingabe!$Q$18-1),MATCH(534,Eingabe!$P$9:$P$18,1),"")</f>
        <v/>
      </c>
      <c r="J539" s="0" t="str">
        <f aca="false">IF(I539="","",534-INDEX(Eingabe!$P$9:$P$18,I539))</f>
        <v/>
      </c>
      <c r="K539" s="0" t="str">
        <f aca="false">IF(I539="","",INDEX(Eingabe!$E$9:$E$18,I539))</f>
        <v/>
      </c>
    </row>
    <row r="540" customFormat="false" ht="15" hidden="false" customHeight="false" outlineLevel="0" collapsed="false">
      <c r="A540" s="0" t="str">
        <f aca="false">IF(I540="","",IF(J540=0,"Sparte "&amp;I540&amp;": "&amp;INDEX(Eingabe!$B$9:$B$18,I540)&amp;"  (Sparten-ID "&amp;INDEX(Eingabe!$D$9:$D$18,I540)&amp;", "&amp;K540&amp;" Parzellen)",IF(J540&lt;=K540,"   Parzelle "&amp;J540,IF(J540=K540+1,"   Vorstand",IF(J540=K540+2,"   Gäste",IF(J540=K540+3,"   Technik (Switches, Access Points)",""))))))</f>
        <v/>
      </c>
      <c r="B540" s="0" t="str">
        <f aca="false">IF(I540="","",IF(AND(J540&gt;=1,J540&lt;=K540+3),IF(J540&lt;=K540,IF(J540&lt;=99,IF((INDEX(Eingabe!$G$9:$G$18,I540))&lt;=9,1000+(INDEX(Eingabe!$G$9:$G$18,I540))*100,3000)+J540,IF((INDEX(Eingabe!$G$9:$G$18,I540)+1)&lt;=9,1000+(INDEX(Eingabe!$G$9:$G$18,I540)+1)*100,3000)+J540-100),IF(J540=K540+1,2000+INDEX(Eingabe!$G$9:$G$18,I540)*10+1,IF(J540=K540+2,2000+INDEX(Eingabe!$G$9:$G$18,I540)*10+2,2000+INDEX(Eingabe!$G$9:$G$18,I540)*10+9))),""))</f>
        <v/>
      </c>
      <c r="C540" s="0" t="str">
        <f aca="false">IF(I540="","",IF(AND(J540&gt;=1,J540&lt;=K540+3),"10."&amp;INDEX(Eingabe!$D$9:$D$18,I540)&amp;"."&amp;IF(J540&lt;=K540,J540,IF(J540=K540+1,200,IF(J540=K540+2,201,250)))&amp;".0/24",""))</f>
        <v/>
      </c>
      <c r="D540" s="0" t="str">
        <f aca="false">IF(I540="","",IF(AND(J540&gt;=1,J540&lt;=K540+3),"255.255.255.0",""))</f>
        <v/>
      </c>
      <c r="E540" s="0" t="str">
        <f aca="false">IF(I540="","",IF(AND(J540&gt;=1,J540&lt;=K540+3),"10."&amp;INDEX(Eingabe!$D$9:$D$18,I540)&amp;"."&amp;IF(J540&lt;=K540,J540,IF(J540=K540+1,200,IF(J540=K540+2,201,250)))&amp;".1",""))</f>
        <v/>
      </c>
      <c r="F540" s="0" t="str">
        <f aca="false">IF(I540="","",IF(AND(J540&gt;=1,J540&lt;=K540+3),"10."&amp;INDEX(Eingabe!$D$9:$D$18,I540)&amp;"."&amp;IF(J540&lt;=K540,J540,IF(J540=K540+1,200,IF(J540=K540+2,201,250)))&amp;".10 – 10."&amp;INDEX(Eingabe!$D$9:$D$18,I540)&amp;"."&amp;IF(J540&lt;=K540,J540,IF(J540=K540+1,200,IF(J540=K540+2,201,250)))&amp;".250",""))</f>
        <v/>
      </c>
      <c r="G540" s="0" t="str">
        <f aca="false">IF(I540="","",IF(AND(J540&gt;=1,J540&lt;=K540),Eingabe!$B$6&amp;"-"&amp;INDEX(Eingabe!$C$9:$C$18,I540)&amp;"-Pächter  ·  Passwort Parzelle "&amp;J540,IF(J540=K540+1,Eingabe!$B$6&amp;"-"&amp;INDEX(Eingabe!$C$9:$C$18,I540)&amp;"-Vorstand  ·  eigenes WLAN",IF(J540=K540+2,Eingabe!$B$6&amp;"-"&amp;INDEX(Eingabe!$C$9:$C$18,I540)&amp;"-Gäste  ·  Voucher",IF(J540=K540+3,"Kabel  ·  Access Point y = .(50+y), Mast-Switch x = .(10+x)","")))))</f>
        <v/>
      </c>
      <c r="I540" s="0" t="str">
        <f aca="false">IF(535&lt;=(Eingabe!$P$18+Eingabe!$Q$18-1),MATCH(535,Eingabe!$P$9:$P$18,1),"")</f>
        <v/>
      </c>
      <c r="J540" s="0" t="str">
        <f aca="false">IF(I540="","",535-INDEX(Eingabe!$P$9:$P$18,I540))</f>
        <v/>
      </c>
      <c r="K540" s="0" t="str">
        <f aca="false">IF(I540="","",INDEX(Eingabe!$E$9:$E$18,I540))</f>
        <v/>
      </c>
    </row>
    <row r="541" customFormat="false" ht="15" hidden="false" customHeight="false" outlineLevel="0" collapsed="false">
      <c r="A541" s="0" t="str">
        <f aca="false">IF(I541="","",IF(J541=0,"Sparte "&amp;I541&amp;": "&amp;INDEX(Eingabe!$B$9:$B$18,I541)&amp;"  (Sparten-ID "&amp;INDEX(Eingabe!$D$9:$D$18,I541)&amp;", "&amp;K541&amp;" Parzellen)",IF(J541&lt;=K541,"   Parzelle "&amp;J541,IF(J541=K541+1,"   Vorstand",IF(J541=K541+2,"   Gäste",IF(J541=K541+3,"   Technik (Switches, Access Points)",""))))))</f>
        <v/>
      </c>
      <c r="B541" s="0" t="str">
        <f aca="false">IF(I541="","",IF(AND(J541&gt;=1,J541&lt;=K541+3),IF(J541&lt;=K541,IF(J541&lt;=99,IF((INDEX(Eingabe!$G$9:$G$18,I541))&lt;=9,1000+(INDEX(Eingabe!$G$9:$G$18,I541))*100,3000)+J541,IF((INDEX(Eingabe!$G$9:$G$18,I541)+1)&lt;=9,1000+(INDEX(Eingabe!$G$9:$G$18,I541)+1)*100,3000)+J541-100),IF(J541=K541+1,2000+INDEX(Eingabe!$G$9:$G$18,I541)*10+1,IF(J541=K541+2,2000+INDEX(Eingabe!$G$9:$G$18,I541)*10+2,2000+INDEX(Eingabe!$G$9:$G$18,I541)*10+9))),""))</f>
        <v/>
      </c>
      <c r="C541" s="0" t="str">
        <f aca="false">IF(I541="","",IF(AND(J541&gt;=1,J541&lt;=K541+3),"10."&amp;INDEX(Eingabe!$D$9:$D$18,I541)&amp;"."&amp;IF(J541&lt;=K541,J541,IF(J541=K541+1,200,IF(J541=K541+2,201,250)))&amp;".0/24",""))</f>
        <v/>
      </c>
      <c r="D541" s="0" t="str">
        <f aca="false">IF(I541="","",IF(AND(J541&gt;=1,J541&lt;=K541+3),"255.255.255.0",""))</f>
        <v/>
      </c>
      <c r="E541" s="0" t="str">
        <f aca="false">IF(I541="","",IF(AND(J541&gt;=1,J541&lt;=K541+3),"10."&amp;INDEX(Eingabe!$D$9:$D$18,I541)&amp;"."&amp;IF(J541&lt;=K541,J541,IF(J541=K541+1,200,IF(J541=K541+2,201,250)))&amp;".1",""))</f>
        <v/>
      </c>
      <c r="F541" s="0" t="str">
        <f aca="false">IF(I541="","",IF(AND(J541&gt;=1,J541&lt;=K541+3),"10."&amp;INDEX(Eingabe!$D$9:$D$18,I541)&amp;"."&amp;IF(J541&lt;=K541,J541,IF(J541=K541+1,200,IF(J541=K541+2,201,250)))&amp;".10 – 10."&amp;INDEX(Eingabe!$D$9:$D$18,I541)&amp;"."&amp;IF(J541&lt;=K541,J541,IF(J541=K541+1,200,IF(J541=K541+2,201,250)))&amp;".250",""))</f>
        <v/>
      </c>
      <c r="G541" s="0" t="str">
        <f aca="false">IF(I541="","",IF(AND(J541&gt;=1,J541&lt;=K541),Eingabe!$B$6&amp;"-"&amp;INDEX(Eingabe!$C$9:$C$18,I541)&amp;"-Pächter  ·  Passwort Parzelle "&amp;J541,IF(J541=K541+1,Eingabe!$B$6&amp;"-"&amp;INDEX(Eingabe!$C$9:$C$18,I541)&amp;"-Vorstand  ·  eigenes WLAN",IF(J541=K541+2,Eingabe!$B$6&amp;"-"&amp;INDEX(Eingabe!$C$9:$C$18,I541)&amp;"-Gäste  ·  Voucher",IF(J541=K541+3,"Kabel  ·  Access Point y = .(50+y), Mast-Switch x = .(10+x)","")))))</f>
        <v/>
      </c>
      <c r="I541" s="0" t="str">
        <f aca="false">IF(536&lt;=(Eingabe!$P$18+Eingabe!$Q$18-1),MATCH(536,Eingabe!$P$9:$P$18,1),"")</f>
        <v/>
      </c>
      <c r="J541" s="0" t="str">
        <f aca="false">IF(I541="","",536-INDEX(Eingabe!$P$9:$P$18,I541))</f>
        <v/>
      </c>
      <c r="K541" s="0" t="str">
        <f aca="false">IF(I541="","",INDEX(Eingabe!$E$9:$E$18,I541))</f>
        <v/>
      </c>
    </row>
    <row r="542" customFormat="false" ht="15" hidden="false" customHeight="false" outlineLevel="0" collapsed="false">
      <c r="A542" s="0" t="str">
        <f aca="false">IF(I542="","",IF(J542=0,"Sparte "&amp;I542&amp;": "&amp;INDEX(Eingabe!$B$9:$B$18,I542)&amp;"  (Sparten-ID "&amp;INDEX(Eingabe!$D$9:$D$18,I542)&amp;", "&amp;K542&amp;" Parzellen)",IF(J542&lt;=K542,"   Parzelle "&amp;J542,IF(J542=K542+1,"   Vorstand",IF(J542=K542+2,"   Gäste",IF(J542=K542+3,"   Technik (Switches, Access Points)",""))))))</f>
        <v/>
      </c>
      <c r="B542" s="0" t="str">
        <f aca="false">IF(I542="","",IF(AND(J542&gt;=1,J542&lt;=K542+3),IF(J542&lt;=K542,IF(J542&lt;=99,IF((INDEX(Eingabe!$G$9:$G$18,I542))&lt;=9,1000+(INDEX(Eingabe!$G$9:$G$18,I542))*100,3000)+J542,IF((INDEX(Eingabe!$G$9:$G$18,I542)+1)&lt;=9,1000+(INDEX(Eingabe!$G$9:$G$18,I542)+1)*100,3000)+J542-100),IF(J542=K542+1,2000+INDEX(Eingabe!$G$9:$G$18,I542)*10+1,IF(J542=K542+2,2000+INDEX(Eingabe!$G$9:$G$18,I542)*10+2,2000+INDEX(Eingabe!$G$9:$G$18,I542)*10+9))),""))</f>
        <v/>
      </c>
      <c r="C542" s="0" t="str">
        <f aca="false">IF(I542="","",IF(AND(J542&gt;=1,J542&lt;=K542+3),"10."&amp;INDEX(Eingabe!$D$9:$D$18,I542)&amp;"."&amp;IF(J542&lt;=K542,J542,IF(J542=K542+1,200,IF(J542=K542+2,201,250)))&amp;".0/24",""))</f>
        <v/>
      </c>
      <c r="D542" s="0" t="str">
        <f aca="false">IF(I542="","",IF(AND(J542&gt;=1,J542&lt;=K542+3),"255.255.255.0",""))</f>
        <v/>
      </c>
      <c r="E542" s="0" t="str">
        <f aca="false">IF(I542="","",IF(AND(J542&gt;=1,J542&lt;=K542+3),"10."&amp;INDEX(Eingabe!$D$9:$D$18,I542)&amp;"."&amp;IF(J542&lt;=K542,J542,IF(J542=K542+1,200,IF(J542=K542+2,201,250)))&amp;".1",""))</f>
        <v/>
      </c>
      <c r="F542" s="0" t="str">
        <f aca="false">IF(I542="","",IF(AND(J542&gt;=1,J542&lt;=K542+3),"10."&amp;INDEX(Eingabe!$D$9:$D$18,I542)&amp;"."&amp;IF(J542&lt;=K542,J542,IF(J542=K542+1,200,IF(J542=K542+2,201,250)))&amp;".10 – 10."&amp;INDEX(Eingabe!$D$9:$D$18,I542)&amp;"."&amp;IF(J542&lt;=K542,J542,IF(J542=K542+1,200,IF(J542=K542+2,201,250)))&amp;".250",""))</f>
        <v/>
      </c>
      <c r="G542" s="0" t="str">
        <f aca="false">IF(I542="","",IF(AND(J542&gt;=1,J542&lt;=K542),Eingabe!$B$6&amp;"-"&amp;INDEX(Eingabe!$C$9:$C$18,I542)&amp;"-Pächter  ·  Passwort Parzelle "&amp;J542,IF(J542=K542+1,Eingabe!$B$6&amp;"-"&amp;INDEX(Eingabe!$C$9:$C$18,I542)&amp;"-Vorstand  ·  eigenes WLAN",IF(J542=K542+2,Eingabe!$B$6&amp;"-"&amp;INDEX(Eingabe!$C$9:$C$18,I542)&amp;"-Gäste  ·  Voucher",IF(J542=K542+3,"Kabel  ·  Access Point y = .(50+y), Mast-Switch x = .(10+x)","")))))</f>
        <v/>
      </c>
      <c r="I542" s="0" t="str">
        <f aca="false">IF(537&lt;=(Eingabe!$P$18+Eingabe!$Q$18-1),MATCH(537,Eingabe!$P$9:$P$18,1),"")</f>
        <v/>
      </c>
      <c r="J542" s="0" t="str">
        <f aca="false">IF(I542="","",537-INDEX(Eingabe!$P$9:$P$18,I542))</f>
        <v/>
      </c>
      <c r="K542" s="0" t="str">
        <f aca="false">IF(I542="","",INDEX(Eingabe!$E$9:$E$18,I542))</f>
        <v/>
      </c>
    </row>
    <row r="543" customFormat="false" ht="15" hidden="false" customHeight="false" outlineLevel="0" collapsed="false">
      <c r="A543" s="0" t="str">
        <f aca="false">IF(I543="","",IF(J543=0,"Sparte "&amp;I543&amp;": "&amp;INDEX(Eingabe!$B$9:$B$18,I543)&amp;"  (Sparten-ID "&amp;INDEX(Eingabe!$D$9:$D$18,I543)&amp;", "&amp;K543&amp;" Parzellen)",IF(J543&lt;=K543,"   Parzelle "&amp;J543,IF(J543=K543+1,"   Vorstand",IF(J543=K543+2,"   Gäste",IF(J543=K543+3,"   Technik (Switches, Access Points)",""))))))</f>
        <v/>
      </c>
      <c r="B543" s="0" t="str">
        <f aca="false">IF(I543="","",IF(AND(J543&gt;=1,J543&lt;=K543+3),IF(J543&lt;=K543,IF(J543&lt;=99,IF((INDEX(Eingabe!$G$9:$G$18,I543))&lt;=9,1000+(INDEX(Eingabe!$G$9:$G$18,I543))*100,3000)+J543,IF((INDEX(Eingabe!$G$9:$G$18,I543)+1)&lt;=9,1000+(INDEX(Eingabe!$G$9:$G$18,I543)+1)*100,3000)+J543-100),IF(J543=K543+1,2000+INDEX(Eingabe!$G$9:$G$18,I543)*10+1,IF(J543=K543+2,2000+INDEX(Eingabe!$G$9:$G$18,I543)*10+2,2000+INDEX(Eingabe!$G$9:$G$18,I543)*10+9))),""))</f>
        <v/>
      </c>
      <c r="C543" s="0" t="str">
        <f aca="false">IF(I543="","",IF(AND(J543&gt;=1,J543&lt;=K543+3),"10."&amp;INDEX(Eingabe!$D$9:$D$18,I543)&amp;"."&amp;IF(J543&lt;=K543,J543,IF(J543=K543+1,200,IF(J543=K543+2,201,250)))&amp;".0/24",""))</f>
        <v/>
      </c>
      <c r="D543" s="0" t="str">
        <f aca="false">IF(I543="","",IF(AND(J543&gt;=1,J543&lt;=K543+3),"255.255.255.0",""))</f>
        <v/>
      </c>
      <c r="E543" s="0" t="str">
        <f aca="false">IF(I543="","",IF(AND(J543&gt;=1,J543&lt;=K543+3),"10."&amp;INDEX(Eingabe!$D$9:$D$18,I543)&amp;"."&amp;IF(J543&lt;=K543,J543,IF(J543=K543+1,200,IF(J543=K543+2,201,250)))&amp;".1",""))</f>
        <v/>
      </c>
      <c r="F543" s="0" t="str">
        <f aca="false">IF(I543="","",IF(AND(J543&gt;=1,J543&lt;=K543+3),"10."&amp;INDEX(Eingabe!$D$9:$D$18,I543)&amp;"."&amp;IF(J543&lt;=K543,J543,IF(J543=K543+1,200,IF(J543=K543+2,201,250)))&amp;".10 – 10."&amp;INDEX(Eingabe!$D$9:$D$18,I543)&amp;"."&amp;IF(J543&lt;=K543,J543,IF(J543=K543+1,200,IF(J543=K543+2,201,250)))&amp;".250",""))</f>
        <v/>
      </c>
      <c r="G543" s="0" t="str">
        <f aca="false">IF(I543="","",IF(AND(J543&gt;=1,J543&lt;=K543),Eingabe!$B$6&amp;"-"&amp;INDEX(Eingabe!$C$9:$C$18,I543)&amp;"-Pächter  ·  Passwort Parzelle "&amp;J543,IF(J543=K543+1,Eingabe!$B$6&amp;"-"&amp;INDEX(Eingabe!$C$9:$C$18,I543)&amp;"-Vorstand  ·  eigenes WLAN",IF(J543=K543+2,Eingabe!$B$6&amp;"-"&amp;INDEX(Eingabe!$C$9:$C$18,I543)&amp;"-Gäste  ·  Voucher",IF(J543=K543+3,"Kabel  ·  Access Point y = .(50+y), Mast-Switch x = .(10+x)","")))))</f>
        <v/>
      </c>
      <c r="I543" s="0" t="str">
        <f aca="false">IF(538&lt;=(Eingabe!$P$18+Eingabe!$Q$18-1),MATCH(538,Eingabe!$P$9:$P$18,1),"")</f>
        <v/>
      </c>
      <c r="J543" s="0" t="str">
        <f aca="false">IF(I543="","",538-INDEX(Eingabe!$P$9:$P$18,I543))</f>
        <v/>
      </c>
      <c r="K543" s="0" t="str">
        <f aca="false">IF(I543="","",INDEX(Eingabe!$E$9:$E$18,I543))</f>
        <v/>
      </c>
    </row>
    <row r="544" customFormat="false" ht="15" hidden="false" customHeight="false" outlineLevel="0" collapsed="false">
      <c r="A544" s="0" t="str">
        <f aca="false">IF(I544="","",IF(J544=0,"Sparte "&amp;I544&amp;": "&amp;INDEX(Eingabe!$B$9:$B$18,I544)&amp;"  (Sparten-ID "&amp;INDEX(Eingabe!$D$9:$D$18,I544)&amp;", "&amp;K544&amp;" Parzellen)",IF(J544&lt;=K544,"   Parzelle "&amp;J544,IF(J544=K544+1,"   Vorstand",IF(J544=K544+2,"   Gäste",IF(J544=K544+3,"   Technik (Switches, Access Points)",""))))))</f>
        <v/>
      </c>
      <c r="B544" s="0" t="str">
        <f aca="false">IF(I544="","",IF(AND(J544&gt;=1,J544&lt;=K544+3),IF(J544&lt;=K544,IF(J544&lt;=99,IF((INDEX(Eingabe!$G$9:$G$18,I544))&lt;=9,1000+(INDEX(Eingabe!$G$9:$G$18,I544))*100,3000)+J544,IF((INDEX(Eingabe!$G$9:$G$18,I544)+1)&lt;=9,1000+(INDEX(Eingabe!$G$9:$G$18,I544)+1)*100,3000)+J544-100),IF(J544=K544+1,2000+INDEX(Eingabe!$G$9:$G$18,I544)*10+1,IF(J544=K544+2,2000+INDEX(Eingabe!$G$9:$G$18,I544)*10+2,2000+INDEX(Eingabe!$G$9:$G$18,I544)*10+9))),""))</f>
        <v/>
      </c>
      <c r="C544" s="0" t="str">
        <f aca="false">IF(I544="","",IF(AND(J544&gt;=1,J544&lt;=K544+3),"10."&amp;INDEX(Eingabe!$D$9:$D$18,I544)&amp;"."&amp;IF(J544&lt;=K544,J544,IF(J544=K544+1,200,IF(J544=K544+2,201,250)))&amp;".0/24",""))</f>
        <v/>
      </c>
      <c r="D544" s="0" t="str">
        <f aca="false">IF(I544="","",IF(AND(J544&gt;=1,J544&lt;=K544+3),"255.255.255.0",""))</f>
        <v/>
      </c>
      <c r="E544" s="0" t="str">
        <f aca="false">IF(I544="","",IF(AND(J544&gt;=1,J544&lt;=K544+3),"10."&amp;INDEX(Eingabe!$D$9:$D$18,I544)&amp;"."&amp;IF(J544&lt;=K544,J544,IF(J544=K544+1,200,IF(J544=K544+2,201,250)))&amp;".1",""))</f>
        <v/>
      </c>
      <c r="F544" s="0" t="str">
        <f aca="false">IF(I544="","",IF(AND(J544&gt;=1,J544&lt;=K544+3),"10."&amp;INDEX(Eingabe!$D$9:$D$18,I544)&amp;"."&amp;IF(J544&lt;=K544,J544,IF(J544=K544+1,200,IF(J544=K544+2,201,250)))&amp;".10 – 10."&amp;INDEX(Eingabe!$D$9:$D$18,I544)&amp;"."&amp;IF(J544&lt;=K544,J544,IF(J544=K544+1,200,IF(J544=K544+2,201,250)))&amp;".250",""))</f>
        <v/>
      </c>
      <c r="G544" s="0" t="str">
        <f aca="false">IF(I544="","",IF(AND(J544&gt;=1,J544&lt;=K544),Eingabe!$B$6&amp;"-"&amp;INDEX(Eingabe!$C$9:$C$18,I544)&amp;"-Pächter  ·  Passwort Parzelle "&amp;J544,IF(J544=K544+1,Eingabe!$B$6&amp;"-"&amp;INDEX(Eingabe!$C$9:$C$18,I544)&amp;"-Vorstand  ·  eigenes WLAN",IF(J544=K544+2,Eingabe!$B$6&amp;"-"&amp;INDEX(Eingabe!$C$9:$C$18,I544)&amp;"-Gäste  ·  Voucher",IF(J544=K544+3,"Kabel  ·  Access Point y = .(50+y), Mast-Switch x = .(10+x)","")))))</f>
        <v/>
      </c>
      <c r="I544" s="0" t="str">
        <f aca="false">IF(539&lt;=(Eingabe!$P$18+Eingabe!$Q$18-1),MATCH(539,Eingabe!$P$9:$P$18,1),"")</f>
        <v/>
      </c>
      <c r="J544" s="0" t="str">
        <f aca="false">IF(I544="","",539-INDEX(Eingabe!$P$9:$P$18,I544))</f>
        <v/>
      </c>
      <c r="K544" s="0" t="str">
        <f aca="false">IF(I544="","",INDEX(Eingabe!$E$9:$E$18,I544))</f>
        <v/>
      </c>
    </row>
    <row r="545" customFormat="false" ht="15" hidden="false" customHeight="false" outlineLevel="0" collapsed="false">
      <c r="A545" s="0" t="str">
        <f aca="false">IF(I545="","",IF(J545=0,"Sparte "&amp;I545&amp;": "&amp;INDEX(Eingabe!$B$9:$B$18,I545)&amp;"  (Sparten-ID "&amp;INDEX(Eingabe!$D$9:$D$18,I545)&amp;", "&amp;K545&amp;" Parzellen)",IF(J545&lt;=K545,"   Parzelle "&amp;J545,IF(J545=K545+1,"   Vorstand",IF(J545=K545+2,"   Gäste",IF(J545=K545+3,"   Technik (Switches, Access Points)",""))))))</f>
        <v/>
      </c>
      <c r="B545" s="0" t="str">
        <f aca="false">IF(I545="","",IF(AND(J545&gt;=1,J545&lt;=K545+3),IF(J545&lt;=K545,IF(J545&lt;=99,IF((INDEX(Eingabe!$G$9:$G$18,I545))&lt;=9,1000+(INDEX(Eingabe!$G$9:$G$18,I545))*100,3000)+J545,IF((INDEX(Eingabe!$G$9:$G$18,I545)+1)&lt;=9,1000+(INDEX(Eingabe!$G$9:$G$18,I545)+1)*100,3000)+J545-100),IF(J545=K545+1,2000+INDEX(Eingabe!$G$9:$G$18,I545)*10+1,IF(J545=K545+2,2000+INDEX(Eingabe!$G$9:$G$18,I545)*10+2,2000+INDEX(Eingabe!$G$9:$G$18,I545)*10+9))),""))</f>
        <v/>
      </c>
      <c r="C545" s="0" t="str">
        <f aca="false">IF(I545="","",IF(AND(J545&gt;=1,J545&lt;=K545+3),"10."&amp;INDEX(Eingabe!$D$9:$D$18,I545)&amp;"."&amp;IF(J545&lt;=K545,J545,IF(J545=K545+1,200,IF(J545=K545+2,201,250)))&amp;".0/24",""))</f>
        <v/>
      </c>
      <c r="D545" s="0" t="str">
        <f aca="false">IF(I545="","",IF(AND(J545&gt;=1,J545&lt;=K545+3),"255.255.255.0",""))</f>
        <v/>
      </c>
      <c r="E545" s="0" t="str">
        <f aca="false">IF(I545="","",IF(AND(J545&gt;=1,J545&lt;=K545+3),"10."&amp;INDEX(Eingabe!$D$9:$D$18,I545)&amp;"."&amp;IF(J545&lt;=K545,J545,IF(J545=K545+1,200,IF(J545=K545+2,201,250)))&amp;".1",""))</f>
        <v/>
      </c>
      <c r="F545" s="0" t="str">
        <f aca="false">IF(I545="","",IF(AND(J545&gt;=1,J545&lt;=K545+3),"10."&amp;INDEX(Eingabe!$D$9:$D$18,I545)&amp;"."&amp;IF(J545&lt;=K545,J545,IF(J545=K545+1,200,IF(J545=K545+2,201,250)))&amp;".10 – 10."&amp;INDEX(Eingabe!$D$9:$D$18,I545)&amp;"."&amp;IF(J545&lt;=K545,J545,IF(J545=K545+1,200,IF(J545=K545+2,201,250)))&amp;".250",""))</f>
        <v/>
      </c>
      <c r="G545" s="0" t="str">
        <f aca="false">IF(I545="","",IF(AND(J545&gt;=1,J545&lt;=K545),Eingabe!$B$6&amp;"-"&amp;INDEX(Eingabe!$C$9:$C$18,I545)&amp;"-Pächter  ·  Passwort Parzelle "&amp;J545,IF(J545=K545+1,Eingabe!$B$6&amp;"-"&amp;INDEX(Eingabe!$C$9:$C$18,I545)&amp;"-Vorstand  ·  eigenes WLAN",IF(J545=K545+2,Eingabe!$B$6&amp;"-"&amp;INDEX(Eingabe!$C$9:$C$18,I545)&amp;"-Gäste  ·  Voucher",IF(J545=K545+3,"Kabel  ·  Access Point y = .(50+y), Mast-Switch x = .(10+x)","")))))</f>
        <v/>
      </c>
      <c r="I545" s="0" t="str">
        <f aca="false">IF(540&lt;=(Eingabe!$P$18+Eingabe!$Q$18-1),MATCH(540,Eingabe!$P$9:$P$18,1),"")</f>
        <v/>
      </c>
      <c r="J545" s="0" t="str">
        <f aca="false">IF(I545="","",540-INDEX(Eingabe!$P$9:$P$18,I545))</f>
        <v/>
      </c>
      <c r="K545" s="0" t="str">
        <f aca="false">IF(I545="","",INDEX(Eingabe!$E$9:$E$18,I545))</f>
        <v/>
      </c>
    </row>
    <row r="546" customFormat="false" ht="15" hidden="false" customHeight="false" outlineLevel="0" collapsed="false">
      <c r="A546" s="0" t="str">
        <f aca="false">IF(I546="","",IF(J546=0,"Sparte "&amp;I546&amp;": "&amp;INDEX(Eingabe!$B$9:$B$18,I546)&amp;"  (Sparten-ID "&amp;INDEX(Eingabe!$D$9:$D$18,I546)&amp;", "&amp;K546&amp;" Parzellen)",IF(J546&lt;=K546,"   Parzelle "&amp;J546,IF(J546=K546+1,"   Vorstand",IF(J546=K546+2,"   Gäste",IF(J546=K546+3,"   Technik (Switches, Access Points)",""))))))</f>
        <v/>
      </c>
      <c r="B546" s="0" t="str">
        <f aca="false">IF(I546="","",IF(AND(J546&gt;=1,J546&lt;=K546+3),IF(J546&lt;=K546,IF(J546&lt;=99,IF((INDEX(Eingabe!$G$9:$G$18,I546))&lt;=9,1000+(INDEX(Eingabe!$G$9:$G$18,I546))*100,3000)+J546,IF((INDEX(Eingabe!$G$9:$G$18,I546)+1)&lt;=9,1000+(INDEX(Eingabe!$G$9:$G$18,I546)+1)*100,3000)+J546-100),IF(J546=K546+1,2000+INDEX(Eingabe!$G$9:$G$18,I546)*10+1,IF(J546=K546+2,2000+INDEX(Eingabe!$G$9:$G$18,I546)*10+2,2000+INDEX(Eingabe!$G$9:$G$18,I546)*10+9))),""))</f>
        <v/>
      </c>
      <c r="C546" s="0" t="str">
        <f aca="false">IF(I546="","",IF(AND(J546&gt;=1,J546&lt;=K546+3),"10."&amp;INDEX(Eingabe!$D$9:$D$18,I546)&amp;"."&amp;IF(J546&lt;=K546,J546,IF(J546=K546+1,200,IF(J546=K546+2,201,250)))&amp;".0/24",""))</f>
        <v/>
      </c>
      <c r="D546" s="0" t="str">
        <f aca="false">IF(I546="","",IF(AND(J546&gt;=1,J546&lt;=K546+3),"255.255.255.0",""))</f>
        <v/>
      </c>
      <c r="E546" s="0" t="str">
        <f aca="false">IF(I546="","",IF(AND(J546&gt;=1,J546&lt;=K546+3),"10."&amp;INDEX(Eingabe!$D$9:$D$18,I546)&amp;"."&amp;IF(J546&lt;=K546,J546,IF(J546=K546+1,200,IF(J546=K546+2,201,250)))&amp;".1",""))</f>
        <v/>
      </c>
      <c r="F546" s="0" t="str">
        <f aca="false">IF(I546="","",IF(AND(J546&gt;=1,J546&lt;=K546+3),"10."&amp;INDEX(Eingabe!$D$9:$D$18,I546)&amp;"."&amp;IF(J546&lt;=K546,J546,IF(J546=K546+1,200,IF(J546=K546+2,201,250)))&amp;".10 – 10."&amp;INDEX(Eingabe!$D$9:$D$18,I546)&amp;"."&amp;IF(J546&lt;=K546,J546,IF(J546=K546+1,200,IF(J546=K546+2,201,250)))&amp;".250",""))</f>
        <v/>
      </c>
      <c r="G546" s="0" t="str">
        <f aca="false">IF(I546="","",IF(AND(J546&gt;=1,J546&lt;=K546),Eingabe!$B$6&amp;"-"&amp;INDEX(Eingabe!$C$9:$C$18,I546)&amp;"-Pächter  ·  Passwort Parzelle "&amp;J546,IF(J546=K546+1,Eingabe!$B$6&amp;"-"&amp;INDEX(Eingabe!$C$9:$C$18,I546)&amp;"-Vorstand  ·  eigenes WLAN",IF(J546=K546+2,Eingabe!$B$6&amp;"-"&amp;INDEX(Eingabe!$C$9:$C$18,I546)&amp;"-Gäste  ·  Voucher",IF(J546=K546+3,"Kabel  ·  Access Point y = .(50+y), Mast-Switch x = .(10+x)","")))))</f>
        <v/>
      </c>
      <c r="I546" s="0" t="str">
        <f aca="false">IF(541&lt;=(Eingabe!$P$18+Eingabe!$Q$18-1),MATCH(541,Eingabe!$P$9:$P$18,1),"")</f>
        <v/>
      </c>
      <c r="J546" s="0" t="str">
        <f aca="false">IF(I546="","",541-INDEX(Eingabe!$P$9:$P$18,I546))</f>
        <v/>
      </c>
      <c r="K546" s="0" t="str">
        <f aca="false">IF(I546="","",INDEX(Eingabe!$E$9:$E$18,I546))</f>
        <v/>
      </c>
    </row>
    <row r="547" customFormat="false" ht="15" hidden="false" customHeight="false" outlineLevel="0" collapsed="false">
      <c r="A547" s="0" t="str">
        <f aca="false">IF(I547="","",IF(J547=0,"Sparte "&amp;I547&amp;": "&amp;INDEX(Eingabe!$B$9:$B$18,I547)&amp;"  (Sparten-ID "&amp;INDEX(Eingabe!$D$9:$D$18,I547)&amp;", "&amp;K547&amp;" Parzellen)",IF(J547&lt;=K547,"   Parzelle "&amp;J547,IF(J547=K547+1,"   Vorstand",IF(J547=K547+2,"   Gäste",IF(J547=K547+3,"   Technik (Switches, Access Points)",""))))))</f>
        <v/>
      </c>
      <c r="B547" s="0" t="str">
        <f aca="false">IF(I547="","",IF(AND(J547&gt;=1,J547&lt;=K547+3),IF(J547&lt;=K547,IF(J547&lt;=99,IF((INDEX(Eingabe!$G$9:$G$18,I547))&lt;=9,1000+(INDEX(Eingabe!$G$9:$G$18,I547))*100,3000)+J547,IF((INDEX(Eingabe!$G$9:$G$18,I547)+1)&lt;=9,1000+(INDEX(Eingabe!$G$9:$G$18,I547)+1)*100,3000)+J547-100),IF(J547=K547+1,2000+INDEX(Eingabe!$G$9:$G$18,I547)*10+1,IF(J547=K547+2,2000+INDEX(Eingabe!$G$9:$G$18,I547)*10+2,2000+INDEX(Eingabe!$G$9:$G$18,I547)*10+9))),""))</f>
        <v/>
      </c>
      <c r="C547" s="0" t="str">
        <f aca="false">IF(I547="","",IF(AND(J547&gt;=1,J547&lt;=K547+3),"10."&amp;INDEX(Eingabe!$D$9:$D$18,I547)&amp;"."&amp;IF(J547&lt;=K547,J547,IF(J547=K547+1,200,IF(J547=K547+2,201,250)))&amp;".0/24",""))</f>
        <v/>
      </c>
      <c r="D547" s="0" t="str">
        <f aca="false">IF(I547="","",IF(AND(J547&gt;=1,J547&lt;=K547+3),"255.255.255.0",""))</f>
        <v/>
      </c>
      <c r="E547" s="0" t="str">
        <f aca="false">IF(I547="","",IF(AND(J547&gt;=1,J547&lt;=K547+3),"10."&amp;INDEX(Eingabe!$D$9:$D$18,I547)&amp;"."&amp;IF(J547&lt;=K547,J547,IF(J547=K547+1,200,IF(J547=K547+2,201,250)))&amp;".1",""))</f>
        <v/>
      </c>
      <c r="F547" s="0" t="str">
        <f aca="false">IF(I547="","",IF(AND(J547&gt;=1,J547&lt;=K547+3),"10."&amp;INDEX(Eingabe!$D$9:$D$18,I547)&amp;"."&amp;IF(J547&lt;=K547,J547,IF(J547=K547+1,200,IF(J547=K547+2,201,250)))&amp;".10 – 10."&amp;INDEX(Eingabe!$D$9:$D$18,I547)&amp;"."&amp;IF(J547&lt;=K547,J547,IF(J547=K547+1,200,IF(J547=K547+2,201,250)))&amp;".250",""))</f>
        <v/>
      </c>
      <c r="G547" s="0" t="str">
        <f aca="false">IF(I547="","",IF(AND(J547&gt;=1,J547&lt;=K547),Eingabe!$B$6&amp;"-"&amp;INDEX(Eingabe!$C$9:$C$18,I547)&amp;"-Pächter  ·  Passwort Parzelle "&amp;J547,IF(J547=K547+1,Eingabe!$B$6&amp;"-"&amp;INDEX(Eingabe!$C$9:$C$18,I547)&amp;"-Vorstand  ·  eigenes WLAN",IF(J547=K547+2,Eingabe!$B$6&amp;"-"&amp;INDEX(Eingabe!$C$9:$C$18,I547)&amp;"-Gäste  ·  Voucher",IF(J547=K547+3,"Kabel  ·  Access Point y = .(50+y), Mast-Switch x = .(10+x)","")))))</f>
        <v/>
      </c>
      <c r="I547" s="0" t="str">
        <f aca="false">IF(542&lt;=(Eingabe!$P$18+Eingabe!$Q$18-1),MATCH(542,Eingabe!$P$9:$P$18,1),"")</f>
        <v/>
      </c>
      <c r="J547" s="0" t="str">
        <f aca="false">IF(I547="","",542-INDEX(Eingabe!$P$9:$P$18,I547))</f>
        <v/>
      </c>
      <c r="K547" s="0" t="str">
        <f aca="false">IF(I547="","",INDEX(Eingabe!$E$9:$E$18,I547))</f>
        <v/>
      </c>
    </row>
    <row r="548" customFormat="false" ht="15" hidden="false" customHeight="false" outlineLevel="0" collapsed="false">
      <c r="A548" s="0" t="str">
        <f aca="false">IF(I548="","",IF(J548=0,"Sparte "&amp;I548&amp;": "&amp;INDEX(Eingabe!$B$9:$B$18,I548)&amp;"  (Sparten-ID "&amp;INDEX(Eingabe!$D$9:$D$18,I548)&amp;", "&amp;K548&amp;" Parzellen)",IF(J548&lt;=K548,"   Parzelle "&amp;J548,IF(J548=K548+1,"   Vorstand",IF(J548=K548+2,"   Gäste",IF(J548=K548+3,"   Technik (Switches, Access Points)",""))))))</f>
        <v/>
      </c>
      <c r="B548" s="0" t="str">
        <f aca="false">IF(I548="","",IF(AND(J548&gt;=1,J548&lt;=K548+3),IF(J548&lt;=K548,IF(J548&lt;=99,IF((INDEX(Eingabe!$G$9:$G$18,I548))&lt;=9,1000+(INDEX(Eingabe!$G$9:$G$18,I548))*100,3000)+J548,IF((INDEX(Eingabe!$G$9:$G$18,I548)+1)&lt;=9,1000+(INDEX(Eingabe!$G$9:$G$18,I548)+1)*100,3000)+J548-100),IF(J548=K548+1,2000+INDEX(Eingabe!$G$9:$G$18,I548)*10+1,IF(J548=K548+2,2000+INDEX(Eingabe!$G$9:$G$18,I548)*10+2,2000+INDEX(Eingabe!$G$9:$G$18,I548)*10+9))),""))</f>
        <v/>
      </c>
      <c r="C548" s="0" t="str">
        <f aca="false">IF(I548="","",IF(AND(J548&gt;=1,J548&lt;=K548+3),"10."&amp;INDEX(Eingabe!$D$9:$D$18,I548)&amp;"."&amp;IF(J548&lt;=K548,J548,IF(J548=K548+1,200,IF(J548=K548+2,201,250)))&amp;".0/24",""))</f>
        <v/>
      </c>
      <c r="D548" s="0" t="str">
        <f aca="false">IF(I548="","",IF(AND(J548&gt;=1,J548&lt;=K548+3),"255.255.255.0",""))</f>
        <v/>
      </c>
      <c r="E548" s="0" t="str">
        <f aca="false">IF(I548="","",IF(AND(J548&gt;=1,J548&lt;=K548+3),"10."&amp;INDEX(Eingabe!$D$9:$D$18,I548)&amp;"."&amp;IF(J548&lt;=K548,J548,IF(J548=K548+1,200,IF(J548=K548+2,201,250)))&amp;".1",""))</f>
        <v/>
      </c>
      <c r="F548" s="0" t="str">
        <f aca="false">IF(I548="","",IF(AND(J548&gt;=1,J548&lt;=K548+3),"10."&amp;INDEX(Eingabe!$D$9:$D$18,I548)&amp;"."&amp;IF(J548&lt;=K548,J548,IF(J548=K548+1,200,IF(J548=K548+2,201,250)))&amp;".10 – 10."&amp;INDEX(Eingabe!$D$9:$D$18,I548)&amp;"."&amp;IF(J548&lt;=K548,J548,IF(J548=K548+1,200,IF(J548=K548+2,201,250)))&amp;".250",""))</f>
        <v/>
      </c>
      <c r="G548" s="0" t="str">
        <f aca="false">IF(I548="","",IF(AND(J548&gt;=1,J548&lt;=K548),Eingabe!$B$6&amp;"-"&amp;INDEX(Eingabe!$C$9:$C$18,I548)&amp;"-Pächter  ·  Passwort Parzelle "&amp;J548,IF(J548=K548+1,Eingabe!$B$6&amp;"-"&amp;INDEX(Eingabe!$C$9:$C$18,I548)&amp;"-Vorstand  ·  eigenes WLAN",IF(J548=K548+2,Eingabe!$B$6&amp;"-"&amp;INDEX(Eingabe!$C$9:$C$18,I548)&amp;"-Gäste  ·  Voucher",IF(J548=K548+3,"Kabel  ·  Access Point y = .(50+y), Mast-Switch x = .(10+x)","")))))</f>
        <v/>
      </c>
      <c r="I548" s="0" t="str">
        <f aca="false">IF(543&lt;=(Eingabe!$P$18+Eingabe!$Q$18-1),MATCH(543,Eingabe!$P$9:$P$18,1),"")</f>
        <v/>
      </c>
      <c r="J548" s="0" t="str">
        <f aca="false">IF(I548="","",543-INDEX(Eingabe!$P$9:$P$18,I548))</f>
        <v/>
      </c>
      <c r="K548" s="0" t="str">
        <f aca="false">IF(I548="","",INDEX(Eingabe!$E$9:$E$18,I548))</f>
        <v/>
      </c>
    </row>
    <row r="549" customFormat="false" ht="15" hidden="false" customHeight="false" outlineLevel="0" collapsed="false">
      <c r="A549" s="0" t="str">
        <f aca="false">IF(I549="","",IF(J549=0,"Sparte "&amp;I549&amp;": "&amp;INDEX(Eingabe!$B$9:$B$18,I549)&amp;"  (Sparten-ID "&amp;INDEX(Eingabe!$D$9:$D$18,I549)&amp;", "&amp;K549&amp;" Parzellen)",IF(J549&lt;=K549,"   Parzelle "&amp;J549,IF(J549=K549+1,"   Vorstand",IF(J549=K549+2,"   Gäste",IF(J549=K549+3,"   Technik (Switches, Access Points)",""))))))</f>
        <v/>
      </c>
      <c r="B549" s="0" t="str">
        <f aca="false">IF(I549="","",IF(AND(J549&gt;=1,J549&lt;=K549+3),IF(J549&lt;=K549,IF(J549&lt;=99,IF((INDEX(Eingabe!$G$9:$G$18,I549))&lt;=9,1000+(INDEX(Eingabe!$G$9:$G$18,I549))*100,3000)+J549,IF((INDEX(Eingabe!$G$9:$G$18,I549)+1)&lt;=9,1000+(INDEX(Eingabe!$G$9:$G$18,I549)+1)*100,3000)+J549-100),IF(J549=K549+1,2000+INDEX(Eingabe!$G$9:$G$18,I549)*10+1,IF(J549=K549+2,2000+INDEX(Eingabe!$G$9:$G$18,I549)*10+2,2000+INDEX(Eingabe!$G$9:$G$18,I549)*10+9))),""))</f>
        <v/>
      </c>
      <c r="C549" s="0" t="str">
        <f aca="false">IF(I549="","",IF(AND(J549&gt;=1,J549&lt;=K549+3),"10."&amp;INDEX(Eingabe!$D$9:$D$18,I549)&amp;"."&amp;IF(J549&lt;=K549,J549,IF(J549=K549+1,200,IF(J549=K549+2,201,250)))&amp;".0/24",""))</f>
        <v/>
      </c>
      <c r="D549" s="0" t="str">
        <f aca="false">IF(I549="","",IF(AND(J549&gt;=1,J549&lt;=K549+3),"255.255.255.0",""))</f>
        <v/>
      </c>
      <c r="E549" s="0" t="str">
        <f aca="false">IF(I549="","",IF(AND(J549&gt;=1,J549&lt;=K549+3),"10."&amp;INDEX(Eingabe!$D$9:$D$18,I549)&amp;"."&amp;IF(J549&lt;=K549,J549,IF(J549=K549+1,200,IF(J549=K549+2,201,250)))&amp;".1",""))</f>
        <v/>
      </c>
      <c r="F549" s="0" t="str">
        <f aca="false">IF(I549="","",IF(AND(J549&gt;=1,J549&lt;=K549+3),"10."&amp;INDEX(Eingabe!$D$9:$D$18,I549)&amp;"."&amp;IF(J549&lt;=K549,J549,IF(J549=K549+1,200,IF(J549=K549+2,201,250)))&amp;".10 – 10."&amp;INDEX(Eingabe!$D$9:$D$18,I549)&amp;"."&amp;IF(J549&lt;=K549,J549,IF(J549=K549+1,200,IF(J549=K549+2,201,250)))&amp;".250",""))</f>
        <v/>
      </c>
      <c r="G549" s="0" t="str">
        <f aca="false">IF(I549="","",IF(AND(J549&gt;=1,J549&lt;=K549),Eingabe!$B$6&amp;"-"&amp;INDEX(Eingabe!$C$9:$C$18,I549)&amp;"-Pächter  ·  Passwort Parzelle "&amp;J549,IF(J549=K549+1,Eingabe!$B$6&amp;"-"&amp;INDEX(Eingabe!$C$9:$C$18,I549)&amp;"-Vorstand  ·  eigenes WLAN",IF(J549=K549+2,Eingabe!$B$6&amp;"-"&amp;INDEX(Eingabe!$C$9:$C$18,I549)&amp;"-Gäste  ·  Voucher",IF(J549=K549+3,"Kabel  ·  Access Point y = .(50+y), Mast-Switch x = .(10+x)","")))))</f>
        <v/>
      </c>
      <c r="I549" s="0" t="str">
        <f aca="false">IF(544&lt;=(Eingabe!$P$18+Eingabe!$Q$18-1),MATCH(544,Eingabe!$P$9:$P$18,1),"")</f>
        <v/>
      </c>
      <c r="J549" s="0" t="str">
        <f aca="false">IF(I549="","",544-INDEX(Eingabe!$P$9:$P$18,I549))</f>
        <v/>
      </c>
      <c r="K549" s="0" t="str">
        <f aca="false">IF(I549="","",INDEX(Eingabe!$E$9:$E$18,I549))</f>
        <v/>
      </c>
    </row>
    <row r="550" customFormat="false" ht="15" hidden="false" customHeight="false" outlineLevel="0" collapsed="false">
      <c r="A550" s="0" t="str">
        <f aca="false">IF(I550="","",IF(J550=0,"Sparte "&amp;I550&amp;": "&amp;INDEX(Eingabe!$B$9:$B$18,I550)&amp;"  (Sparten-ID "&amp;INDEX(Eingabe!$D$9:$D$18,I550)&amp;", "&amp;K550&amp;" Parzellen)",IF(J550&lt;=K550,"   Parzelle "&amp;J550,IF(J550=K550+1,"   Vorstand",IF(J550=K550+2,"   Gäste",IF(J550=K550+3,"   Technik (Switches, Access Points)",""))))))</f>
        <v/>
      </c>
      <c r="B550" s="0" t="str">
        <f aca="false">IF(I550="","",IF(AND(J550&gt;=1,J550&lt;=K550+3),IF(J550&lt;=K550,IF(J550&lt;=99,IF((INDEX(Eingabe!$G$9:$G$18,I550))&lt;=9,1000+(INDEX(Eingabe!$G$9:$G$18,I550))*100,3000)+J550,IF((INDEX(Eingabe!$G$9:$G$18,I550)+1)&lt;=9,1000+(INDEX(Eingabe!$G$9:$G$18,I550)+1)*100,3000)+J550-100),IF(J550=K550+1,2000+INDEX(Eingabe!$G$9:$G$18,I550)*10+1,IF(J550=K550+2,2000+INDEX(Eingabe!$G$9:$G$18,I550)*10+2,2000+INDEX(Eingabe!$G$9:$G$18,I550)*10+9))),""))</f>
        <v/>
      </c>
      <c r="C550" s="0" t="str">
        <f aca="false">IF(I550="","",IF(AND(J550&gt;=1,J550&lt;=K550+3),"10."&amp;INDEX(Eingabe!$D$9:$D$18,I550)&amp;"."&amp;IF(J550&lt;=K550,J550,IF(J550=K550+1,200,IF(J550=K550+2,201,250)))&amp;".0/24",""))</f>
        <v/>
      </c>
      <c r="D550" s="0" t="str">
        <f aca="false">IF(I550="","",IF(AND(J550&gt;=1,J550&lt;=K550+3),"255.255.255.0",""))</f>
        <v/>
      </c>
      <c r="E550" s="0" t="str">
        <f aca="false">IF(I550="","",IF(AND(J550&gt;=1,J550&lt;=K550+3),"10."&amp;INDEX(Eingabe!$D$9:$D$18,I550)&amp;"."&amp;IF(J550&lt;=K550,J550,IF(J550=K550+1,200,IF(J550=K550+2,201,250)))&amp;".1",""))</f>
        <v/>
      </c>
      <c r="F550" s="0" t="str">
        <f aca="false">IF(I550="","",IF(AND(J550&gt;=1,J550&lt;=K550+3),"10."&amp;INDEX(Eingabe!$D$9:$D$18,I550)&amp;"."&amp;IF(J550&lt;=K550,J550,IF(J550=K550+1,200,IF(J550=K550+2,201,250)))&amp;".10 – 10."&amp;INDEX(Eingabe!$D$9:$D$18,I550)&amp;"."&amp;IF(J550&lt;=K550,J550,IF(J550=K550+1,200,IF(J550=K550+2,201,250)))&amp;".250",""))</f>
        <v/>
      </c>
      <c r="G550" s="0" t="str">
        <f aca="false">IF(I550="","",IF(AND(J550&gt;=1,J550&lt;=K550),Eingabe!$B$6&amp;"-"&amp;INDEX(Eingabe!$C$9:$C$18,I550)&amp;"-Pächter  ·  Passwort Parzelle "&amp;J550,IF(J550=K550+1,Eingabe!$B$6&amp;"-"&amp;INDEX(Eingabe!$C$9:$C$18,I550)&amp;"-Vorstand  ·  eigenes WLAN",IF(J550=K550+2,Eingabe!$B$6&amp;"-"&amp;INDEX(Eingabe!$C$9:$C$18,I550)&amp;"-Gäste  ·  Voucher",IF(J550=K550+3,"Kabel  ·  Access Point y = .(50+y), Mast-Switch x = .(10+x)","")))))</f>
        <v/>
      </c>
      <c r="I550" s="0" t="str">
        <f aca="false">IF(545&lt;=(Eingabe!$P$18+Eingabe!$Q$18-1),MATCH(545,Eingabe!$P$9:$P$18,1),"")</f>
        <v/>
      </c>
      <c r="J550" s="0" t="str">
        <f aca="false">IF(I550="","",545-INDEX(Eingabe!$P$9:$P$18,I550))</f>
        <v/>
      </c>
      <c r="K550" s="0" t="str">
        <f aca="false">IF(I550="","",INDEX(Eingabe!$E$9:$E$18,I550))</f>
        <v/>
      </c>
    </row>
    <row r="551" customFormat="false" ht="15" hidden="false" customHeight="false" outlineLevel="0" collapsed="false">
      <c r="A551" s="0" t="str">
        <f aca="false">IF(I551="","",IF(J551=0,"Sparte "&amp;I551&amp;": "&amp;INDEX(Eingabe!$B$9:$B$18,I551)&amp;"  (Sparten-ID "&amp;INDEX(Eingabe!$D$9:$D$18,I551)&amp;", "&amp;K551&amp;" Parzellen)",IF(J551&lt;=K551,"   Parzelle "&amp;J551,IF(J551=K551+1,"   Vorstand",IF(J551=K551+2,"   Gäste",IF(J551=K551+3,"   Technik (Switches, Access Points)",""))))))</f>
        <v/>
      </c>
      <c r="B551" s="0" t="str">
        <f aca="false">IF(I551="","",IF(AND(J551&gt;=1,J551&lt;=K551+3),IF(J551&lt;=K551,IF(J551&lt;=99,IF((INDEX(Eingabe!$G$9:$G$18,I551))&lt;=9,1000+(INDEX(Eingabe!$G$9:$G$18,I551))*100,3000)+J551,IF((INDEX(Eingabe!$G$9:$G$18,I551)+1)&lt;=9,1000+(INDEX(Eingabe!$G$9:$G$18,I551)+1)*100,3000)+J551-100),IF(J551=K551+1,2000+INDEX(Eingabe!$G$9:$G$18,I551)*10+1,IF(J551=K551+2,2000+INDEX(Eingabe!$G$9:$G$18,I551)*10+2,2000+INDEX(Eingabe!$G$9:$G$18,I551)*10+9))),""))</f>
        <v/>
      </c>
      <c r="C551" s="0" t="str">
        <f aca="false">IF(I551="","",IF(AND(J551&gt;=1,J551&lt;=K551+3),"10."&amp;INDEX(Eingabe!$D$9:$D$18,I551)&amp;"."&amp;IF(J551&lt;=K551,J551,IF(J551=K551+1,200,IF(J551=K551+2,201,250)))&amp;".0/24",""))</f>
        <v/>
      </c>
      <c r="D551" s="0" t="str">
        <f aca="false">IF(I551="","",IF(AND(J551&gt;=1,J551&lt;=K551+3),"255.255.255.0",""))</f>
        <v/>
      </c>
      <c r="E551" s="0" t="str">
        <f aca="false">IF(I551="","",IF(AND(J551&gt;=1,J551&lt;=K551+3),"10."&amp;INDEX(Eingabe!$D$9:$D$18,I551)&amp;"."&amp;IF(J551&lt;=K551,J551,IF(J551=K551+1,200,IF(J551=K551+2,201,250)))&amp;".1",""))</f>
        <v/>
      </c>
      <c r="F551" s="0" t="str">
        <f aca="false">IF(I551="","",IF(AND(J551&gt;=1,J551&lt;=K551+3),"10."&amp;INDEX(Eingabe!$D$9:$D$18,I551)&amp;"."&amp;IF(J551&lt;=K551,J551,IF(J551=K551+1,200,IF(J551=K551+2,201,250)))&amp;".10 – 10."&amp;INDEX(Eingabe!$D$9:$D$18,I551)&amp;"."&amp;IF(J551&lt;=K551,J551,IF(J551=K551+1,200,IF(J551=K551+2,201,250)))&amp;".250",""))</f>
        <v/>
      </c>
      <c r="G551" s="0" t="str">
        <f aca="false">IF(I551="","",IF(AND(J551&gt;=1,J551&lt;=K551),Eingabe!$B$6&amp;"-"&amp;INDEX(Eingabe!$C$9:$C$18,I551)&amp;"-Pächter  ·  Passwort Parzelle "&amp;J551,IF(J551=K551+1,Eingabe!$B$6&amp;"-"&amp;INDEX(Eingabe!$C$9:$C$18,I551)&amp;"-Vorstand  ·  eigenes WLAN",IF(J551=K551+2,Eingabe!$B$6&amp;"-"&amp;INDEX(Eingabe!$C$9:$C$18,I551)&amp;"-Gäste  ·  Voucher",IF(J551=K551+3,"Kabel  ·  Access Point y = .(50+y), Mast-Switch x = .(10+x)","")))))</f>
        <v/>
      </c>
      <c r="I551" s="0" t="str">
        <f aca="false">IF(546&lt;=(Eingabe!$P$18+Eingabe!$Q$18-1),MATCH(546,Eingabe!$P$9:$P$18,1),"")</f>
        <v/>
      </c>
      <c r="J551" s="0" t="str">
        <f aca="false">IF(I551="","",546-INDEX(Eingabe!$P$9:$P$18,I551))</f>
        <v/>
      </c>
      <c r="K551" s="0" t="str">
        <f aca="false">IF(I551="","",INDEX(Eingabe!$E$9:$E$18,I551))</f>
        <v/>
      </c>
    </row>
    <row r="552" customFormat="false" ht="15" hidden="false" customHeight="false" outlineLevel="0" collapsed="false">
      <c r="A552" s="0" t="str">
        <f aca="false">IF(I552="","",IF(J552=0,"Sparte "&amp;I552&amp;": "&amp;INDEX(Eingabe!$B$9:$B$18,I552)&amp;"  (Sparten-ID "&amp;INDEX(Eingabe!$D$9:$D$18,I552)&amp;", "&amp;K552&amp;" Parzellen)",IF(J552&lt;=K552,"   Parzelle "&amp;J552,IF(J552=K552+1,"   Vorstand",IF(J552=K552+2,"   Gäste",IF(J552=K552+3,"   Technik (Switches, Access Points)",""))))))</f>
        <v/>
      </c>
      <c r="B552" s="0" t="str">
        <f aca="false">IF(I552="","",IF(AND(J552&gt;=1,J552&lt;=K552+3),IF(J552&lt;=K552,IF(J552&lt;=99,IF((INDEX(Eingabe!$G$9:$G$18,I552))&lt;=9,1000+(INDEX(Eingabe!$G$9:$G$18,I552))*100,3000)+J552,IF((INDEX(Eingabe!$G$9:$G$18,I552)+1)&lt;=9,1000+(INDEX(Eingabe!$G$9:$G$18,I552)+1)*100,3000)+J552-100),IF(J552=K552+1,2000+INDEX(Eingabe!$G$9:$G$18,I552)*10+1,IF(J552=K552+2,2000+INDEX(Eingabe!$G$9:$G$18,I552)*10+2,2000+INDEX(Eingabe!$G$9:$G$18,I552)*10+9))),""))</f>
        <v/>
      </c>
      <c r="C552" s="0" t="str">
        <f aca="false">IF(I552="","",IF(AND(J552&gt;=1,J552&lt;=K552+3),"10."&amp;INDEX(Eingabe!$D$9:$D$18,I552)&amp;"."&amp;IF(J552&lt;=K552,J552,IF(J552=K552+1,200,IF(J552=K552+2,201,250)))&amp;".0/24",""))</f>
        <v/>
      </c>
      <c r="D552" s="0" t="str">
        <f aca="false">IF(I552="","",IF(AND(J552&gt;=1,J552&lt;=K552+3),"255.255.255.0",""))</f>
        <v/>
      </c>
      <c r="E552" s="0" t="str">
        <f aca="false">IF(I552="","",IF(AND(J552&gt;=1,J552&lt;=K552+3),"10."&amp;INDEX(Eingabe!$D$9:$D$18,I552)&amp;"."&amp;IF(J552&lt;=K552,J552,IF(J552=K552+1,200,IF(J552=K552+2,201,250)))&amp;".1",""))</f>
        <v/>
      </c>
      <c r="F552" s="0" t="str">
        <f aca="false">IF(I552="","",IF(AND(J552&gt;=1,J552&lt;=K552+3),"10."&amp;INDEX(Eingabe!$D$9:$D$18,I552)&amp;"."&amp;IF(J552&lt;=K552,J552,IF(J552=K552+1,200,IF(J552=K552+2,201,250)))&amp;".10 – 10."&amp;INDEX(Eingabe!$D$9:$D$18,I552)&amp;"."&amp;IF(J552&lt;=K552,J552,IF(J552=K552+1,200,IF(J552=K552+2,201,250)))&amp;".250",""))</f>
        <v/>
      </c>
      <c r="G552" s="0" t="str">
        <f aca="false">IF(I552="","",IF(AND(J552&gt;=1,J552&lt;=K552),Eingabe!$B$6&amp;"-"&amp;INDEX(Eingabe!$C$9:$C$18,I552)&amp;"-Pächter  ·  Passwort Parzelle "&amp;J552,IF(J552=K552+1,Eingabe!$B$6&amp;"-"&amp;INDEX(Eingabe!$C$9:$C$18,I552)&amp;"-Vorstand  ·  eigenes WLAN",IF(J552=K552+2,Eingabe!$B$6&amp;"-"&amp;INDEX(Eingabe!$C$9:$C$18,I552)&amp;"-Gäste  ·  Voucher",IF(J552=K552+3,"Kabel  ·  Access Point y = .(50+y), Mast-Switch x = .(10+x)","")))))</f>
        <v/>
      </c>
      <c r="I552" s="0" t="str">
        <f aca="false">IF(547&lt;=(Eingabe!$P$18+Eingabe!$Q$18-1),MATCH(547,Eingabe!$P$9:$P$18,1),"")</f>
        <v/>
      </c>
      <c r="J552" s="0" t="str">
        <f aca="false">IF(I552="","",547-INDEX(Eingabe!$P$9:$P$18,I552))</f>
        <v/>
      </c>
      <c r="K552" s="0" t="str">
        <f aca="false">IF(I552="","",INDEX(Eingabe!$E$9:$E$18,I552))</f>
        <v/>
      </c>
    </row>
    <row r="553" customFormat="false" ht="15" hidden="false" customHeight="false" outlineLevel="0" collapsed="false">
      <c r="A553" s="0" t="str">
        <f aca="false">IF(I553="","",IF(J553=0,"Sparte "&amp;I553&amp;": "&amp;INDEX(Eingabe!$B$9:$B$18,I553)&amp;"  (Sparten-ID "&amp;INDEX(Eingabe!$D$9:$D$18,I553)&amp;", "&amp;K553&amp;" Parzellen)",IF(J553&lt;=K553,"   Parzelle "&amp;J553,IF(J553=K553+1,"   Vorstand",IF(J553=K553+2,"   Gäste",IF(J553=K553+3,"   Technik (Switches, Access Points)",""))))))</f>
        <v/>
      </c>
      <c r="B553" s="0" t="str">
        <f aca="false">IF(I553="","",IF(AND(J553&gt;=1,J553&lt;=K553+3),IF(J553&lt;=K553,IF(J553&lt;=99,IF((INDEX(Eingabe!$G$9:$G$18,I553))&lt;=9,1000+(INDEX(Eingabe!$G$9:$G$18,I553))*100,3000)+J553,IF((INDEX(Eingabe!$G$9:$G$18,I553)+1)&lt;=9,1000+(INDEX(Eingabe!$G$9:$G$18,I553)+1)*100,3000)+J553-100),IF(J553=K553+1,2000+INDEX(Eingabe!$G$9:$G$18,I553)*10+1,IF(J553=K553+2,2000+INDEX(Eingabe!$G$9:$G$18,I553)*10+2,2000+INDEX(Eingabe!$G$9:$G$18,I553)*10+9))),""))</f>
        <v/>
      </c>
      <c r="C553" s="0" t="str">
        <f aca="false">IF(I553="","",IF(AND(J553&gt;=1,J553&lt;=K553+3),"10."&amp;INDEX(Eingabe!$D$9:$D$18,I553)&amp;"."&amp;IF(J553&lt;=K553,J553,IF(J553=K553+1,200,IF(J553=K553+2,201,250)))&amp;".0/24",""))</f>
        <v/>
      </c>
      <c r="D553" s="0" t="str">
        <f aca="false">IF(I553="","",IF(AND(J553&gt;=1,J553&lt;=K553+3),"255.255.255.0",""))</f>
        <v/>
      </c>
      <c r="E553" s="0" t="str">
        <f aca="false">IF(I553="","",IF(AND(J553&gt;=1,J553&lt;=K553+3),"10."&amp;INDEX(Eingabe!$D$9:$D$18,I553)&amp;"."&amp;IF(J553&lt;=K553,J553,IF(J553=K553+1,200,IF(J553=K553+2,201,250)))&amp;".1",""))</f>
        <v/>
      </c>
      <c r="F553" s="0" t="str">
        <f aca="false">IF(I553="","",IF(AND(J553&gt;=1,J553&lt;=K553+3),"10."&amp;INDEX(Eingabe!$D$9:$D$18,I553)&amp;"."&amp;IF(J553&lt;=K553,J553,IF(J553=K553+1,200,IF(J553=K553+2,201,250)))&amp;".10 – 10."&amp;INDEX(Eingabe!$D$9:$D$18,I553)&amp;"."&amp;IF(J553&lt;=K553,J553,IF(J553=K553+1,200,IF(J553=K553+2,201,250)))&amp;".250",""))</f>
        <v/>
      </c>
      <c r="G553" s="0" t="str">
        <f aca="false">IF(I553="","",IF(AND(J553&gt;=1,J553&lt;=K553),Eingabe!$B$6&amp;"-"&amp;INDEX(Eingabe!$C$9:$C$18,I553)&amp;"-Pächter  ·  Passwort Parzelle "&amp;J553,IF(J553=K553+1,Eingabe!$B$6&amp;"-"&amp;INDEX(Eingabe!$C$9:$C$18,I553)&amp;"-Vorstand  ·  eigenes WLAN",IF(J553=K553+2,Eingabe!$B$6&amp;"-"&amp;INDEX(Eingabe!$C$9:$C$18,I553)&amp;"-Gäste  ·  Voucher",IF(J553=K553+3,"Kabel  ·  Access Point y = .(50+y), Mast-Switch x = .(10+x)","")))))</f>
        <v/>
      </c>
      <c r="I553" s="0" t="str">
        <f aca="false">IF(548&lt;=(Eingabe!$P$18+Eingabe!$Q$18-1),MATCH(548,Eingabe!$P$9:$P$18,1),"")</f>
        <v/>
      </c>
      <c r="J553" s="0" t="str">
        <f aca="false">IF(I553="","",548-INDEX(Eingabe!$P$9:$P$18,I553))</f>
        <v/>
      </c>
      <c r="K553" s="0" t="str">
        <f aca="false">IF(I553="","",INDEX(Eingabe!$E$9:$E$18,I553))</f>
        <v/>
      </c>
    </row>
    <row r="554" customFormat="false" ht="15" hidden="false" customHeight="false" outlineLevel="0" collapsed="false">
      <c r="A554" s="0" t="str">
        <f aca="false">IF(I554="","",IF(J554=0,"Sparte "&amp;I554&amp;": "&amp;INDEX(Eingabe!$B$9:$B$18,I554)&amp;"  (Sparten-ID "&amp;INDEX(Eingabe!$D$9:$D$18,I554)&amp;", "&amp;K554&amp;" Parzellen)",IF(J554&lt;=K554,"   Parzelle "&amp;J554,IF(J554=K554+1,"   Vorstand",IF(J554=K554+2,"   Gäste",IF(J554=K554+3,"   Technik (Switches, Access Points)",""))))))</f>
        <v/>
      </c>
      <c r="B554" s="0" t="str">
        <f aca="false">IF(I554="","",IF(AND(J554&gt;=1,J554&lt;=K554+3),IF(J554&lt;=K554,IF(J554&lt;=99,IF((INDEX(Eingabe!$G$9:$G$18,I554))&lt;=9,1000+(INDEX(Eingabe!$G$9:$G$18,I554))*100,3000)+J554,IF((INDEX(Eingabe!$G$9:$G$18,I554)+1)&lt;=9,1000+(INDEX(Eingabe!$G$9:$G$18,I554)+1)*100,3000)+J554-100),IF(J554=K554+1,2000+INDEX(Eingabe!$G$9:$G$18,I554)*10+1,IF(J554=K554+2,2000+INDEX(Eingabe!$G$9:$G$18,I554)*10+2,2000+INDEX(Eingabe!$G$9:$G$18,I554)*10+9))),""))</f>
        <v/>
      </c>
      <c r="C554" s="0" t="str">
        <f aca="false">IF(I554="","",IF(AND(J554&gt;=1,J554&lt;=K554+3),"10."&amp;INDEX(Eingabe!$D$9:$D$18,I554)&amp;"."&amp;IF(J554&lt;=K554,J554,IF(J554=K554+1,200,IF(J554=K554+2,201,250)))&amp;".0/24",""))</f>
        <v/>
      </c>
      <c r="D554" s="0" t="str">
        <f aca="false">IF(I554="","",IF(AND(J554&gt;=1,J554&lt;=K554+3),"255.255.255.0",""))</f>
        <v/>
      </c>
      <c r="E554" s="0" t="str">
        <f aca="false">IF(I554="","",IF(AND(J554&gt;=1,J554&lt;=K554+3),"10."&amp;INDEX(Eingabe!$D$9:$D$18,I554)&amp;"."&amp;IF(J554&lt;=K554,J554,IF(J554=K554+1,200,IF(J554=K554+2,201,250)))&amp;".1",""))</f>
        <v/>
      </c>
      <c r="F554" s="0" t="str">
        <f aca="false">IF(I554="","",IF(AND(J554&gt;=1,J554&lt;=K554+3),"10."&amp;INDEX(Eingabe!$D$9:$D$18,I554)&amp;"."&amp;IF(J554&lt;=K554,J554,IF(J554=K554+1,200,IF(J554=K554+2,201,250)))&amp;".10 – 10."&amp;INDEX(Eingabe!$D$9:$D$18,I554)&amp;"."&amp;IF(J554&lt;=K554,J554,IF(J554=K554+1,200,IF(J554=K554+2,201,250)))&amp;".250",""))</f>
        <v/>
      </c>
      <c r="G554" s="0" t="str">
        <f aca="false">IF(I554="","",IF(AND(J554&gt;=1,J554&lt;=K554),Eingabe!$B$6&amp;"-"&amp;INDEX(Eingabe!$C$9:$C$18,I554)&amp;"-Pächter  ·  Passwort Parzelle "&amp;J554,IF(J554=K554+1,Eingabe!$B$6&amp;"-"&amp;INDEX(Eingabe!$C$9:$C$18,I554)&amp;"-Vorstand  ·  eigenes WLAN",IF(J554=K554+2,Eingabe!$B$6&amp;"-"&amp;INDEX(Eingabe!$C$9:$C$18,I554)&amp;"-Gäste  ·  Voucher",IF(J554=K554+3,"Kabel  ·  Access Point y = .(50+y), Mast-Switch x = .(10+x)","")))))</f>
        <v/>
      </c>
      <c r="I554" s="0" t="str">
        <f aca="false">IF(549&lt;=(Eingabe!$P$18+Eingabe!$Q$18-1),MATCH(549,Eingabe!$P$9:$P$18,1),"")</f>
        <v/>
      </c>
      <c r="J554" s="0" t="str">
        <f aca="false">IF(I554="","",549-INDEX(Eingabe!$P$9:$P$18,I554))</f>
        <v/>
      </c>
      <c r="K554" s="0" t="str">
        <f aca="false">IF(I554="","",INDEX(Eingabe!$E$9:$E$18,I554))</f>
        <v/>
      </c>
    </row>
    <row r="555" customFormat="false" ht="15" hidden="false" customHeight="false" outlineLevel="0" collapsed="false">
      <c r="A555" s="0" t="str">
        <f aca="false">IF(I555="","",IF(J555=0,"Sparte "&amp;I555&amp;": "&amp;INDEX(Eingabe!$B$9:$B$18,I555)&amp;"  (Sparten-ID "&amp;INDEX(Eingabe!$D$9:$D$18,I555)&amp;", "&amp;K555&amp;" Parzellen)",IF(J555&lt;=K555,"   Parzelle "&amp;J555,IF(J555=K555+1,"   Vorstand",IF(J555=K555+2,"   Gäste",IF(J555=K555+3,"   Technik (Switches, Access Points)",""))))))</f>
        <v/>
      </c>
      <c r="B555" s="0" t="str">
        <f aca="false">IF(I555="","",IF(AND(J555&gt;=1,J555&lt;=K555+3),IF(J555&lt;=K555,IF(J555&lt;=99,IF((INDEX(Eingabe!$G$9:$G$18,I555))&lt;=9,1000+(INDEX(Eingabe!$G$9:$G$18,I555))*100,3000)+J555,IF((INDEX(Eingabe!$G$9:$G$18,I555)+1)&lt;=9,1000+(INDEX(Eingabe!$G$9:$G$18,I555)+1)*100,3000)+J555-100),IF(J555=K555+1,2000+INDEX(Eingabe!$G$9:$G$18,I555)*10+1,IF(J555=K555+2,2000+INDEX(Eingabe!$G$9:$G$18,I555)*10+2,2000+INDEX(Eingabe!$G$9:$G$18,I555)*10+9))),""))</f>
        <v/>
      </c>
      <c r="C555" s="0" t="str">
        <f aca="false">IF(I555="","",IF(AND(J555&gt;=1,J555&lt;=K555+3),"10."&amp;INDEX(Eingabe!$D$9:$D$18,I555)&amp;"."&amp;IF(J555&lt;=K555,J555,IF(J555=K555+1,200,IF(J555=K555+2,201,250)))&amp;".0/24",""))</f>
        <v/>
      </c>
      <c r="D555" s="0" t="str">
        <f aca="false">IF(I555="","",IF(AND(J555&gt;=1,J555&lt;=K555+3),"255.255.255.0",""))</f>
        <v/>
      </c>
      <c r="E555" s="0" t="str">
        <f aca="false">IF(I555="","",IF(AND(J555&gt;=1,J555&lt;=K555+3),"10."&amp;INDEX(Eingabe!$D$9:$D$18,I555)&amp;"."&amp;IF(J555&lt;=K555,J555,IF(J555=K555+1,200,IF(J555=K555+2,201,250)))&amp;".1",""))</f>
        <v/>
      </c>
      <c r="F555" s="0" t="str">
        <f aca="false">IF(I555="","",IF(AND(J555&gt;=1,J555&lt;=K555+3),"10."&amp;INDEX(Eingabe!$D$9:$D$18,I555)&amp;"."&amp;IF(J555&lt;=K555,J555,IF(J555=K555+1,200,IF(J555=K555+2,201,250)))&amp;".10 – 10."&amp;INDEX(Eingabe!$D$9:$D$18,I555)&amp;"."&amp;IF(J555&lt;=K555,J555,IF(J555=K555+1,200,IF(J555=K555+2,201,250)))&amp;".250",""))</f>
        <v/>
      </c>
      <c r="G555" s="0" t="str">
        <f aca="false">IF(I555="","",IF(AND(J555&gt;=1,J555&lt;=K555),Eingabe!$B$6&amp;"-"&amp;INDEX(Eingabe!$C$9:$C$18,I555)&amp;"-Pächter  ·  Passwort Parzelle "&amp;J555,IF(J555=K555+1,Eingabe!$B$6&amp;"-"&amp;INDEX(Eingabe!$C$9:$C$18,I555)&amp;"-Vorstand  ·  eigenes WLAN",IF(J555=K555+2,Eingabe!$B$6&amp;"-"&amp;INDEX(Eingabe!$C$9:$C$18,I555)&amp;"-Gäste  ·  Voucher",IF(J555=K555+3,"Kabel  ·  Access Point y = .(50+y), Mast-Switch x = .(10+x)","")))))</f>
        <v/>
      </c>
      <c r="I555" s="0" t="str">
        <f aca="false">IF(550&lt;=(Eingabe!$P$18+Eingabe!$Q$18-1),MATCH(550,Eingabe!$P$9:$P$18,1),"")</f>
        <v/>
      </c>
      <c r="J555" s="0" t="str">
        <f aca="false">IF(I555="","",550-INDEX(Eingabe!$P$9:$P$18,I555))</f>
        <v/>
      </c>
      <c r="K555" s="0" t="str">
        <f aca="false">IF(I555="","",INDEX(Eingabe!$E$9:$E$18,I555))</f>
        <v/>
      </c>
    </row>
    <row r="556" customFormat="false" ht="15" hidden="false" customHeight="false" outlineLevel="0" collapsed="false">
      <c r="A556" s="0" t="str">
        <f aca="false">IF(I556="","",IF(J556=0,"Sparte "&amp;I556&amp;": "&amp;INDEX(Eingabe!$B$9:$B$18,I556)&amp;"  (Sparten-ID "&amp;INDEX(Eingabe!$D$9:$D$18,I556)&amp;", "&amp;K556&amp;" Parzellen)",IF(J556&lt;=K556,"   Parzelle "&amp;J556,IF(J556=K556+1,"   Vorstand",IF(J556=K556+2,"   Gäste",IF(J556=K556+3,"   Technik (Switches, Access Points)",""))))))</f>
        <v/>
      </c>
      <c r="B556" s="0" t="str">
        <f aca="false">IF(I556="","",IF(AND(J556&gt;=1,J556&lt;=K556+3),IF(J556&lt;=K556,IF(J556&lt;=99,IF((INDEX(Eingabe!$G$9:$G$18,I556))&lt;=9,1000+(INDEX(Eingabe!$G$9:$G$18,I556))*100,3000)+J556,IF((INDEX(Eingabe!$G$9:$G$18,I556)+1)&lt;=9,1000+(INDEX(Eingabe!$G$9:$G$18,I556)+1)*100,3000)+J556-100),IF(J556=K556+1,2000+INDEX(Eingabe!$G$9:$G$18,I556)*10+1,IF(J556=K556+2,2000+INDEX(Eingabe!$G$9:$G$18,I556)*10+2,2000+INDEX(Eingabe!$G$9:$G$18,I556)*10+9))),""))</f>
        <v/>
      </c>
      <c r="C556" s="0" t="str">
        <f aca="false">IF(I556="","",IF(AND(J556&gt;=1,J556&lt;=K556+3),"10."&amp;INDEX(Eingabe!$D$9:$D$18,I556)&amp;"."&amp;IF(J556&lt;=K556,J556,IF(J556=K556+1,200,IF(J556=K556+2,201,250)))&amp;".0/24",""))</f>
        <v/>
      </c>
      <c r="D556" s="0" t="str">
        <f aca="false">IF(I556="","",IF(AND(J556&gt;=1,J556&lt;=K556+3),"255.255.255.0",""))</f>
        <v/>
      </c>
      <c r="E556" s="0" t="str">
        <f aca="false">IF(I556="","",IF(AND(J556&gt;=1,J556&lt;=K556+3),"10."&amp;INDEX(Eingabe!$D$9:$D$18,I556)&amp;"."&amp;IF(J556&lt;=K556,J556,IF(J556=K556+1,200,IF(J556=K556+2,201,250)))&amp;".1",""))</f>
        <v/>
      </c>
      <c r="F556" s="0" t="str">
        <f aca="false">IF(I556="","",IF(AND(J556&gt;=1,J556&lt;=K556+3),"10."&amp;INDEX(Eingabe!$D$9:$D$18,I556)&amp;"."&amp;IF(J556&lt;=K556,J556,IF(J556=K556+1,200,IF(J556=K556+2,201,250)))&amp;".10 – 10."&amp;INDEX(Eingabe!$D$9:$D$18,I556)&amp;"."&amp;IF(J556&lt;=K556,J556,IF(J556=K556+1,200,IF(J556=K556+2,201,250)))&amp;".250",""))</f>
        <v/>
      </c>
      <c r="G556" s="0" t="str">
        <f aca="false">IF(I556="","",IF(AND(J556&gt;=1,J556&lt;=K556),Eingabe!$B$6&amp;"-"&amp;INDEX(Eingabe!$C$9:$C$18,I556)&amp;"-Pächter  ·  Passwort Parzelle "&amp;J556,IF(J556=K556+1,Eingabe!$B$6&amp;"-"&amp;INDEX(Eingabe!$C$9:$C$18,I556)&amp;"-Vorstand  ·  eigenes WLAN",IF(J556=K556+2,Eingabe!$B$6&amp;"-"&amp;INDEX(Eingabe!$C$9:$C$18,I556)&amp;"-Gäste  ·  Voucher",IF(J556=K556+3,"Kabel  ·  Access Point y = .(50+y), Mast-Switch x = .(10+x)","")))))</f>
        <v/>
      </c>
      <c r="I556" s="0" t="str">
        <f aca="false">IF(551&lt;=(Eingabe!$P$18+Eingabe!$Q$18-1),MATCH(551,Eingabe!$P$9:$P$18,1),"")</f>
        <v/>
      </c>
      <c r="J556" s="0" t="str">
        <f aca="false">IF(I556="","",551-INDEX(Eingabe!$P$9:$P$18,I556))</f>
        <v/>
      </c>
      <c r="K556" s="0" t="str">
        <f aca="false">IF(I556="","",INDEX(Eingabe!$E$9:$E$18,I556))</f>
        <v/>
      </c>
    </row>
    <row r="557" customFormat="false" ht="15" hidden="false" customHeight="false" outlineLevel="0" collapsed="false">
      <c r="A557" s="0" t="str">
        <f aca="false">IF(I557="","",IF(J557=0,"Sparte "&amp;I557&amp;": "&amp;INDEX(Eingabe!$B$9:$B$18,I557)&amp;"  (Sparten-ID "&amp;INDEX(Eingabe!$D$9:$D$18,I557)&amp;", "&amp;K557&amp;" Parzellen)",IF(J557&lt;=K557,"   Parzelle "&amp;J557,IF(J557=K557+1,"   Vorstand",IF(J557=K557+2,"   Gäste",IF(J557=K557+3,"   Technik (Switches, Access Points)",""))))))</f>
        <v/>
      </c>
      <c r="B557" s="0" t="str">
        <f aca="false">IF(I557="","",IF(AND(J557&gt;=1,J557&lt;=K557+3),IF(J557&lt;=K557,IF(J557&lt;=99,IF((INDEX(Eingabe!$G$9:$G$18,I557))&lt;=9,1000+(INDEX(Eingabe!$G$9:$G$18,I557))*100,3000)+J557,IF((INDEX(Eingabe!$G$9:$G$18,I557)+1)&lt;=9,1000+(INDEX(Eingabe!$G$9:$G$18,I557)+1)*100,3000)+J557-100),IF(J557=K557+1,2000+INDEX(Eingabe!$G$9:$G$18,I557)*10+1,IF(J557=K557+2,2000+INDEX(Eingabe!$G$9:$G$18,I557)*10+2,2000+INDEX(Eingabe!$G$9:$G$18,I557)*10+9))),""))</f>
        <v/>
      </c>
      <c r="C557" s="0" t="str">
        <f aca="false">IF(I557="","",IF(AND(J557&gt;=1,J557&lt;=K557+3),"10."&amp;INDEX(Eingabe!$D$9:$D$18,I557)&amp;"."&amp;IF(J557&lt;=K557,J557,IF(J557=K557+1,200,IF(J557=K557+2,201,250)))&amp;".0/24",""))</f>
        <v/>
      </c>
      <c r="D557" s="0" t="str">
        <f aca="false">IF(I557="","",IF(AND(J557&gt;=1,J557&lt;=K557+3),"255.255.255.0",""))</f>
        <v/>
      </c>
      <c r="E557" s="0" t="str">
        <f aca="false">IF(I557="","",IF(AND(J557&gt;=1,J557&lt;=K557+3),"10."&amp;INDEX(Eingabe!$D$9:$D$18,I557)&amp;"."&amp;IF(J557&lt;=K557,J557,IF(J557=K557+1,200,IF(J557=K557+2,201,250)))&amp;".1",""))</f>
        <v/>
      </c>
      <c r="F557" s="0" t="str">
        <f aca="false">IF(I557="","",IF(AND(J557&gt;=1,J557&lt;=K557+3),"10."&amp;INDEX(Eingabe!$D$9:$D$18,I557)&amp;"."&amp;IF(J557&lt;=K557,J557,IF(J557=K557+1,200,IF(J557=K557+2,201,250)))&amp;".10 – 10."&amp;INDEX(Eingabe!$D$9:$D$18,I557)&amp;"."&amp;IF(J557&lt;=K557,J557,IF(J557=K557+1,200,IF(J557=K557+2,201,250)))&amp;".250",""))</f>
        <v/>
      </c>
      <c r="G557" s="0" t="str">
        <f aca="false">IF(I557="","",IF(AND(J557&gt;=1,J557&lt;=K557),Eingabe!$B$6&amp;"-"&amp;INDEX(Eingabe!$C$9:$C$18,I557)&amp;"-Pächter  ·  Passwort Parzelle "&amp;J557,IF(J557=K557+1,Eingabe!$B$6&amp;"-"&amp;INDEX(Eingabe!$C$9:$C$18,I557)&amp;"-Vorstand  ·  eigenes WLAN",IF(J557=K557+2,Eingabe!$B$6&amp;"-"&amp;INDEX(Eingabe!$C$9:$C$18,I557)&amp;"-Gäste  ·  Voucher",IF(J557=K557+3,"Kabel  ·  Access Point y = .(50+y), Mast-Switch x = .(10+x)","")))))</f>
        <v/>
      </c>
      <c r="I557" s="0" t="str">
        <f aca="false">IF(552&lt;=(Eingabe!$P$18+Eingabe!$Q$18-1),MATCH(552,Eingabe!$P$9:$P$18,1),"")</f>
        <v/>
      </c>
      <c r="J557" s="0" t="str">
        <f aca="false">IF(I557="","",552-INDEX(Eingabe!$P$9:$P$18,I557))</f>
        <v/>
      </c>
      <c r="K557" s="0" t="str">
        <f aca="false">IF(I557="","",INDEX(Eingabe!$E$9:$E$18,I557))</f>
        <v/>
      </c>
    </row>
    <row r="558" customFormat="false" ht="15" hidden="false" customHeight="false" outlineLevel="0" collapsed="false">
      <c r="A558" s="0" t="str">
        <f aca="false">IF(I558="","",IF(J558=0,"Sparte "&amp;I558&amp;": "&amp;INDEX(Eingabe!$B$9:$B$18,I558)&amp;"  (Sparten-ID "&amp;INDEX(Eingabe!$D$9:$D$18,I558)&amp;", "&amp;K558&amp;" Parzellen)",IF(J558&lt;=K558,"   Parzelle "&amp;J558,IF(J558=K558+1,"   Vorstand",IF(J558=K558+2,"   Gäste",IF(J558=K558+3,"   Technik (Switches, Access Points)",""))))))</f>
        <v/>
      </c>
      <c r="B558" s="0" t="str">
        <f aca="false">IF(I558="","",IF(AND(J558&gt;=1,J558&lt;=K558+3),IF(J558&lt;=K558,IF(J558&lt;=99,IF((INDEX(Eingabe!$G$9:$G$18,I558))&lt;=9,1000+(INDEX(Eingabe!$G$9:$G$18,I558))*100,3000)+J558,IF((INDEX(Eingabe!$G$9:$G$18,I558)+1)&lt;=9,1000+(INDEX(Eingabe!$G$9:$G$18,I558)+1)*100,3000)+J558-100),IF(J558=K558+1,2000+INDEX(Eingabe!$G$9:$G$18,I558)*10+1,IF(J558=K558+2,2000+INDEX(Eingabe!$G$9:$G$18,I558)*10+2,2000+INDEX(Eingabe!$G$9:$G$18,I558)*10+9))),""))</f>
        <v/>
      </c>
      <c r="C558" s="0" t="str">
        <f aca="false">IF(I558="","",IF(AND(J558&gt;=1,J558&lt;=K558+3),"10."&amp;INDEX(Eingabe!$D$9:$D$18,I558)&amp;"."&amp;IF(J558&lt;=K558,J558,IF(J558=K558+1,200,IF(J558=K558+2,201,250)))&amp;".0/24",""))</f>
        <v/>
      </c>
      <c r="D558" s="0" t="str">
        <f aca="false">IF(I558="","",IF(AND(J558&gt;=1,J558&lt;=K558+3),"255.255.255.0",""))</f>
        <v/>
      </c>
      <c r="E558" s="0" t="str">
        <f aca="false">IF(I558="","",IF(AND(J558&gt;=1,J558&lt;=K558+3),"10."&amp;INDEX(Eingabe!$D$9:$D$18,I558)&amp;"."&amp;IF(J558&lt;=K558,J558,IF(J558=K558+1,200,IF(J558=K558+2,201,250)))&amp;".1",""))</f>
        <v/>
      </c>
      <c r="F558" s="0" t="str">
        <f aca="false">IF(I558="","",IF(AND(J558&gt;=1,J558&lt;=K558+3),"10."&amp;INDEX(Eingabe!$D$9:$D$18,I558)&amp;"."&amp;IF(J558&lt;=K558,J558,IF(J558=K558+1,200,IF(J558=K558+2,201,250)))&amp;".10 – 10."&amp;INDEX(Eingabe!$D$9:$D$18,I558)&amp;"."&amp;IF(J558&lt;=K558,J558,IF(J558=K558+1,200,IF(J558=K558+2,201,250)))&amp;".250",""))</f>
        <v/>
      </c>
      <c r="G558" s="0" t="str">
        <f aca="false">IF(I558="","",IF(AND(J558&gt;=1,J558&lt;=K558),Eingabe!$B$6&amp;"-"&amp;INDEX(Eingabe!$C$9:$C$18,I558)&amp;"-Pächter  ·  Passwort Parzelle "&amp;J558,IF(J558=K558+1,Eingabe!$B$6&amp;"-"&amp;INDEX(Eingabe!$C$9:$C$18,I558)&amp;"-Vorstand  ·  eigenes WLAN",IF(J558=K558+2,Eingabe!$B$6&amp;"-"&amp;INDEX(Eingabe!$C$9:$C$18,I558)&amp;"-Gäste  ·  Voucher",IF(J558=K558+3,"Kabel  ·  Access Point y = .(50+y), Mast-Switch x = .(10+x)","")))))</f>
        <v/>
      </c>
      <c r="I558" s="0" t="str">
        <f aca="false">IF(553&lt;=(Eingabe!$P$18+Eingabe!$Q$18-1),MATCH(553,Eingabe!$P$9:$P$18,1),"")</f>
        <v/>
      </c>
      <c r="J558" s="0" t="str">
        <f aca="false">IF(I558="","",553-INDEX(Eingabe!$P$9:$P$18,I558))</f>
        <v/>
      </c>
      <c r="K558" s="0" t="str">
        <f aca="false">IF(I558="","",INDEX(Eingabe!$E$9:$E$18,I558))</f>
        <v/>
      </c>
    </row>
    <row r="559" customFormat="false" ht="15" hidden="false" customHeight="false" outlineLevel="0" collapsed="false">
      <c r="A559" s="0" t="str">
        <f aca="false">IF(I559="","",IF(J559=0,"Sparte "&amp;I559&amp;": "&amp;INDEX(Eingabe!$B$9:$B$18,I559)&amp;"  (Sparten-ID "&amp;INDEX(Eingabe!$D$9:$D$18,I559)&amp;", "&amp;K559&amp;" Parzellen)",IF(J559&lt;=K559,"   Parzelle "&amp;J559,IF(J559=K559+1,"   Vorstand",IF(J559=K559+2,"   Gäste",IF(J559=K559+3,"   Technik (Switches, Access Points)",""))))))</f>
        <v/>
      </c>
      <c r="B559" s="0" t="str">
        <f aca="false">IF(I559="","",IF(AND(J559&gt;=1,J559&lt;=K559+3),IF(J559&lt;=K559,IF(J559&lt;=99,IF((INDEX(Eingabe!$G$9:$G$18,I559))&lt;=9,1000+(INDEX(Eingabe!$G$9:$G$18,I559))*100,3000)+J559,IF((INDEX(Eingabe!$G$9:$G$18,I559)+1)&lt;=9,1000+(INDEX(Eingabe!$G$9:$G$18,I559)+1)*100,3000)+J559-100),IF(J559=K559+1,2000+INDEX(Eingabe!$G$9:$G$18,I559)*10+1,IF(J559=K559+2,2000+INDEX(Eingabe!$G$9:$G$18,I559)*10+2,2000+INDEX(Eingabe!$G$9:$G$18,I559)*10+9))),""))</f>
        <v/>
      </c>
      <c r="C559" s="0" t="str">
        <f aca="false">IF(I559="","",IF(AND(J559&gt;=1,J559&lt;=K559+3),"10."&amp;INDEX(Eingabe!$D$9:$D$18,I559)&amp;"."&amp;IF(J559&lt;=K559,J559,IF(J559=K559+1,200,IF(J559=K559+2,201,250)))&amp;".0/24",""))</f>
        <v/>
      </c>
      <c r="D559" s="0" t="str">
        <f aca="false">IF(I559="","",IF(AND(J559&gt;=1,J559&lt;=K559+3),"255.255.255.0",""))</f>
        <v/>
      </c>
      <c r="E559" s="0" t="str">
        <f aca="false">IF(I559="","",IF(AND(J559&gt;=1,J559&lt;=K559+3),"10."&amp;INDEX(Eingabe!$D$9:$D$18,I559)&amp;"."&amp;IF(J559&lt;=K559,J559,IF(J559=K559+1,200,IF(J559=K559+2,201,250)))&amp;".1",""))</f>
        <v/>
      </c>
      <c r="F559" s="0" t="str">
        <f aca="false">IF(I559="","",IF(AND(J559&gt;=1,J559&lt;=K559+3),"10."&amp;INDEX(Eingabe!$D$9:$D$18,I559)&amp;"."&amp;IF(J559&lt;=K559,J559,IF(J559=K559+1,200,IF(J559=K559+2,201,250)))&amp;".10 – 10."&amp;INDEX(Eingabe!$D$9:$D$18,I559)&amp;"."&amp;IF(J559&lt;=K559,J559,IF(J559=K559+1,200,IF(J559=K559+2,201,250)))&amp;".250",""))</f>
        <v/>
      </c>
      <c r="G559" s="0" t="str">
        <f aca="false">IF(I559="","",IF(AND(J559&gt;=1,J559&lt;=K559),Eingabe!$B$6&amp;"-"&amp;INDEX(Eingabe!$C$9:$C$18,I559)&amp;"-Pächter  ·  Passwort Parzelle "&amp;J559,IF(J559=K559+1,Eingabe!$B$6&amp;"-"&amp;INDEX(Eingabe!$C$9:$C$18,I559)&amp;"-Vorstand  ·  eigenes WLAN",IF(J559=K559+2,Eingabe!$B$6&amp;"-"&amp;INDEX(Eingabe!$C$9:$C$18,I559)&amp;"-Gäste  ·  Voucher",IF(J559=K559+3,"Kabel  ·  Access Point y = .(50+y), Mast-Switch x = .(10+x)","")))))</f>
        <v/>
      </c>
      <c r="I559" s="0" t="str">
        <f aca="false">IF(554&lt;=(Eingabe!$P$18+Eingabe!$Q$18-1),MATCH(554,Eingabe!$P$9:$P$18,1),"")</f>
        <v/>
      </c>
      <c r="J559" s="0" t="str">
        <f aca="false">IF(I559="","",554-INDEX(Eingabe!$P$9:$P$18,I559))</f>
        <v/>
      </c>
      <c r="K559" s="0" t="str">
        <f aca="false">IF(I559="","",INDEX(Eingabe!$E$9:$E$18,I559))</f>
        <v/>
      </c>
    </row>
    <row r="560" customFormat="false" ht="15" hidden="false" customHeight="false" outlineLevel="0" collapsed="false">
      <c r="A560" s="0" t="str">
        <f aca="false">IF(I560="","",IF(J560=0,"Sparte "&amp;I560&amp;": "&amp;INDEX(Eingabe!$B$9:$B$18,I560)&amp;"  (Sparten-ID "&amp;INDEX(Eingabe!$D$9:$D$18,I560)&amp;", "&amp;K560&amp;" Parzellen)",IF(J560&lt;=K560,"   Parzelle "&amp;J560,IF(J560=K560+1,"   Vorstand",IF(J560=K560+2,"   Gäste",IF(J560=K560+3,"   Technik (Switches, Access Points)",""))))))</f>
        <v/>
      </c>
      <c r="B560" s="0" t="str">
        <f aca="false">IF(I560="","",IF(AND(J560&gt;=1,J560&lt;=K560+3),IF(J560&lt;=K560,IF(J560&lt;=99,IF((INDEX(Eingabe!$G$9:$G$18,I560))&lt;=9,1000+(INDEX(Eingabe!$G$9:$G$18,I560))*100,3000)+J560,IF((INDEX(Eingabe!$G$9:$G$18,I560)+1)&lt;=9,1000+(INDEX(Eingabe!$G$9:$G$18,I560)+1)*100,3000)+J560-100),IF(J560=K560+1,2000+INDEX(Eingabe!$G$9:$G$18,I560)*10+1,IF(J560=K560+2,2000+INDEX(Eingabe!$G$9:$G$18,I560)*10+2,2000+INDEX(Eingabe!$G$9:$G$18,I560)*10+9))),""))</f>
        <v/>
      </c>
      <c r="C560" s="0" t="str">
        <f aca="false">IF(I560="","",IF(AND(J560&gt;=1,J560&lt;=K560+3),"10."&amp;INDEX(Eingabe!$D$9:$D$18,I560)&amp;"."&amp;IF(J560&lt;=K560,J560,IF(J560=K560+1,200,IF(J560=K560+2,201,250)))&amp;".0/24",""))</f>
        <v/>
      </c>
      <c r="D560" s="0" t="str">
        <f aca="false">IF(I560="","",IF(AND(J560&gt;=1,J560&lt;=K560+3),"255.255.255.0",""))</f>
        <v/>
      </c>
      <c r="E560" s="0" t="str">
        <f aca="false">IF(I560="","",IF(AND(J560&gt;=1,J560&lt;=K560+3),"10."&amp;INDEX(Eingabe!$D$9:$D$18,I560)&amp;"."&amp;IF(J560&lt;=K560,J560,IF(J560=K560+1,200,IF(J560=K560+2,201,250)))&amp;".1",""))</f>
        <v/>
      </c>
      <c r="F560" s="0" t="str">
        <f aca="false">IF(I560="","",IF(AND(J560&gt;=1,J560&lt;=K560+3),"10."&amp;INDEX(Eingabe!$D$9:$D$18,I560)&amp;"."&amp;IF(J560&lt;=K560,J560,IF(J560=K560+1,200,IF(J560=K560+2,201,250)))&amp;".10 – 10."&amp;INDEX(Eingabe!$D$9:$D$18,I560)&amp;"."&amp;IF(J560&lt;=K560,J560,IF(J560=K560+1,200,IF(J560=K560+2,201,250)))&amp;".250",""))</f>
        <v/>
      </c>
      <c r="G560" s="0" t="str">
        <f aca="false">IF(I560="","",IF(AND(J560&gt;=1,J560&lt;=K560),Eingabe!$B$6&amp;"-"&amp;INDEX(Eingabe!$C$9:$C$18,I560)&amp;"-Pächter  ·  Passwort Parzelle "&amp;J560,IF(J560=K560+1,Eingabe!$B$6&amp;"-"&amp;INDEX(Eingabe!$C$9:$C$18,I560)&amp;"-Vorstand  ·  eigenes WLAN",IF(J560=K560+2,Eingabe!$B$6&amp;"-"&amp;INDEX(Eingabe!$C$9:$C$18,I560)&amp;"-Gäste  ·  Voucher",IF(J560=K560+3,"Kabel  ·  Access Point y = .(50+y), Mast-Switch x = .(10+x)","")))))</f>
        <v/>
      </c>
      <c r="I560" s="0" t="str">
        <f aca="false">IF(555&lt;=(Eingabe!$P$18+Eingabe!$Q$18-1),MATCH(555,Eingabe!$P$9:$P$18,1),"")</f>
        <v/>
      </c>
      <c r="J560" s="0" t="str">
        <f aca="false">IF(I560="","",555-INDEX(Eingabe!$P$9:$P$18,I560))</f>
        <v/>
      </c>
      <c r="K560" s="0" t="str">
        <f aca="false">IF(I560="","",INDEX(Eingabe!$E$9:$E$18,I560))</f>
        <v/>
      </c>
    </row>
    <row r="561" customFormat="false" ht="15" hidden="false" customHeight="false" outlineLevel="0" collapsed="false">
      <c r="A561" s="0" t="str">
        <f aca="false">IF(I561="","",IF(J561=0,"Sparte "&amp;I561&amp;": "&amp;INDEX(Eingabe!$B$9:$B$18,I561)&amp;"  (Sparten-ID "&amp;INDEX(Eingabe!$D$9:$D$18,I561)&amp;", "&amp;K561&amp;" Parzellen)",IF(J561&lt;=K561,"   Parzelle "&amp;J561,IF(J561=K561+1,"   Vorstand",IF(J561=K561+2,"   Gäste",IF(J561=K561+3,"   Technik (Switches, Access Points)",""))))))</f>
        <v/>
      </c>
      <c r="B561" s="0" t="str">
        <f aca="false">IF(I561="","",IF(AND(J561&gt;=1,J561&lt;=K561+3),IF(J561&lt;=K561,IF(J561&lt;=99,IF((INDEX(Eingabe!$G$9:$G$18,I561))&lt;=9,1000+(INDEX(Eingabe!$G$9:$G$18,I561))*100,3000)+J561,IF((INDEX(Eingabe!$G$9:$G$18,I561)+1)&lt;=9,1000+(INDEX(Eingabe!$G$9:$G$18,I561)+1)*100,3000)+J561-100),IF(J561=K561+1,2000+INDEX(Eingabe!$G$9:$G$18,I561)*10+1,IF(J561=K561+2,2000+INDEX(Eingabe!$G$9:$G$18,I561)*10+2,2000+INDEX(Eingabe!$G$9:$G$18,I561)*10+9))),""))</f>
        <v/>
      </c>
      <c r="C561" s="0" t="str">
        <f aca="false">IF(I561="","",IF(AND(J561&gt;=1,J561&lt;=K561+3),"10."&amp;INDEX(Eingabe!$D$9:$D$18,I561)&amp;"."&amp;IF(J561&lt;=K561,J561,IF(J561=K561+1,200,IF(J561=K561+2,201,250)))&amp;".0/24",""))</f>
        <v/>
      </c>
      <c r="D561" s="0" t="str">
        <f aca="false">IF(I561="","",IF(AND(J561&gt;=1,J561&lt;=K561+3),"255.255.255.0",""))</f>
        <v/>
      </c>
      <c r="E561" s="0" t="str">
        <f aca="false">IF(I561="","",IF(AND(J561&gt;=1,J561&lt;=K561+3),"10."&amp;INDEX(Eingabe!$D$9:$D$18,I561)&amp;"."&amp;IF(J561&lt;=K561,J561,IF(J561=K561+1,200,IF(J561=K561+2,201,250)))&amp;".1",""))</f>
        <v/>
      </c>
      <c r="F561" s="0" t="str">
        <f aca="false">IF(I561="","",IF(AND(J561&gt;=1,J561&lt;=K561+3),"10."&amp;INDEX(Eingabe!$D$9:$D$18,I561)&amp;"."&amp;IF(J561&lt;=K561,J561,IF(J561=K561+1,200,IF(J561=K561+2,201,250)))&amp;".10 – 10."&amp;INDEX(Eingabe!$D$9:$D$18,I561)&amp;"."&amp;IF(J561&lt;=K561,J561,IF(J561=K561+1,200,IF(J561=K561+2,201,250)))&amp;".250",""))</f>
        <v/>
      </c>
      <c r="G561" s="0" t="str">
        <f aca="false">IF(I561="","",IF(AND(J561&gt;=1,J561&lt;=K561),Eingabe!$B$6&amp;"-"&amp;INDEX(Eingabe!$C$9:$C$18,I561)&amp;"-Pächter  ·  Passwort Parzelle "&amp;J561,IF(J561=K561+1,Eingabe!$B$6&amp;"-"&amp;INDEX(Eingabe!$C$9:$C$18,I561)&amp;"-Vorstand  ·  eigenes WLAN",IF(J561=K561+2,Eingabe!$B$6&amp;"-"&amp;INDEX(Eingabe!$C$9:$C$18,I561)&amp;"-Gäste  ·  Voucher",IF(J561=K561+3,"Kabel  ·  Access Point y = .(50+y), Mast-Switch x = .(10+x)","")))))</f>
        <v/>
      </c>
      <c r="I561" s="0" t="str">
        <f aca="false">IF(556&lt;=(Eingabe!$P$18+Eingabe!$Q$18-1),MATCH(556,Eingabe!$P$9:$P$18,1),"")</f>
        <v/>
      </c>
      <c r="J561" s="0" t="str">
        <f aca="false">IF(I561="","",556-INDEX(Eingabe!$P$9:$P$18,I561))</f>
        <v/>
      </c>
      <c r="K561" s="0" t="str">
        <f aca="false">IF(I561="","",INDEX(Eingabe!$E$9:$E$18,I561))</f>
        <v/>
      </c>
    </row>
    <row r="562" customFormat="false" ht="15" hidden="false" customHeight="false" outlineLevel="0" collapsed="false">
      <c r="A562" s="0" t="str">
        <f aca="false">IF(I562="","",IF(J562=0,"Sparte "&amp;I562&amp;": "&amp;INDEX(Eingabe!$B$9:$B$18,I562)&amp;"  (Sparten-ID "&amp;INDEX(Eingabe!$D$9:$D$18,I562)&amp;", "&amp;K562&amp;" Parzellen)",IF(J562&lt;=K562,"   Parzelle "&amp;J562,IF(J562=K562+1,"   Vorstand",IF(J562=K562+2,"   Gäste",IF(J562=K562+3,"   Technik (Switches, Access Points)",""))))))</f>
        <v/>
      </c>
      <c r="B562" s="0" t="str">
        <f aca="false">IF(I562="","",IF(AND(J562&gt;=1,J562&lt;=K562+3),IF(J562&lt;=K562,IF(J562&lt;=99,IF((INDEX(Eingabe!$G$9:$G$18,I562))&lt;=9,1000+(INDEX(Eingabe!$G$9:$G$18,I562))*100,3000)+J562,IF((INDEX(Eingabe!$G$9:$G$18,I562)+1)&lt;=9,1000+(INDEX(Eingabe!$G$9:$G$18,I562)+1)*100,3000)+J562-100),IF(J562=K562+1,2000+INDEX(Eingabe!$G$9:$G$18,I562)*10+1,IF(J562=K562+2,2000+INDEX(Eingabe!$G$9:$G$18,I562)*10+2,2000+INDEX(Eingabe!$G$9:$G$18,I562)*10+9))),""))</f>
        <v/>
      </c>
      <c r="C562" s="0" t="str">
        <f aca="false">IF(I562="","",IF(AND(J562&gt;=1,J562&lt;=K562+3),"10."&amp;INDEX(Eingabe!$D$9:$D$18,I562)&amp;"."&amp;IF(J562&lt;=K562,J562,IF(J562=K562+1,200,IF(J562=K562+2,201,250)))&amp;".0/24",""))</f>
        <v/>
      </c>
      <c r="D562" s="0" t="str">
        <f aca="false">IF(I562="","",IF(AND(J562&gt;=1,J562&lt;=K562+3),"255.255.255.0",""))</f>
        <v/>
      </c>
      <c r="E562" s="0" t="str">
        <f aca="false">IF(I562="","",IF(AND(J562&gt;=1,J562&lt;=K562+3),"10."&amp;INDEX(Eingabe!$D$9:$D$18,I562)&amp;"."&amp;IF(J562&lt;=K562,J562,IF(J562=K562+1,200,IF(J562=K562+2,201,250)))&amp;".1",""))</f>
        <v/>
      </c>
      <c r="F562" s="0" t="str">
        <f aca="false">IF(I562="","",IF(AND(J562&gt;=1,J562&lt;=K562+3),"10."&amp;INDEX(Eingabe!$D$9:$D$18,I562)&amp;"."&amp;IF(J562&lt;=K562,J562,IF(J562=K562+1,200,IF(J562=K562+2,201,250)))&amp;".10 – 10."&amp;INDEX(Eingabe!$D$9:$D$18,I562)&amp;"."&amp;IF(J562&lt;=K562,J562,IF(J562=K562+1,200,IF(J562=K562+2,201,250)))&amp;".250",""))</f>
        <v/>
      </c>
      <c r="G562" s="0" t="str">
        <f aca="false">IF(I562="","",IF(AND(J562&gt;=1,J562&lt;=K562),Eingabe!$B$6&amp;"-"&amp;INDEX(Eingabe!$C$9:$C$18,I562)&amp;"-Pächter  ·  Passwort Parzelle "&amp;J562,IF(J562=K562+1,Eingabe!$B$6&amp;"-"&amp;INDEX(Eingabe!$C$9:$C$18,I562)&amp;"-Vorstand  ·  eigenes WLAN",IF(J562=K562+2,Eingabe!$B$6&amp;"-"&amp;INDEX(Eingabe!$C$9:$C$18,I562)&amp;"-Gäste  ·  Voucher",IF(J562=K562+3,"Kabel  ·  Access Point y = .(50+y), Mast-Switch x = .(10+x)","")))))</f>
        <v/>
      </c>
      <c r="I562" s="0" t="str">
        <f aca="false">IF(557&lt;=(Eingabe!$P$18+Eingabe!$Q$18-1),MATCH(557,Eingabe!$P$9:$P$18,1),"")</f>
        <v/>
      </c>
      <c r="J562" s="0" t="str">
        <f aca="false">IF(I562="","",557-INDEX(Eingabe!$P$9:$P$18,I562))</f>
        <v/>
      </c>
      <c r="K562" s="0" t="str">
        <f aca="false">IF(I562="","",INDEX(Eingabe!$E$9:$E$18,I562))</f>
        <v/>
      </c>
    </row>
    <row r="563" customFormat="false" ht="15" hidden="false" customHeight="false" outlineLevel="0" collapsed="false">
      <c r="A563" s="0" t="str">
        <f aca="false">IF(I563="","",IF(J563=0,"Sparte "&amp;I563&amp;": "&amp;INDEX(Eingabe!$B$9:$B$18,I563)&amp;"  (Sparten-ID "&amp;INDEX(Eingabe!$D$9:$D$18,I563)&amp;", "&amp;K563&amp;" Parzellen)",IF(J563&lt;=K563,"   Parzelle "&amp;J563,IF(J563=K563+1,"   Vorstand",IF(J563=K563+2,"   Gäste",IF(J563=K563+3,"   Technik (Switches, Access Points)",""))))))</f>
        <v/>
      </c>
      <c r="B563" s="0" t="str">
        <f aca="false">IF(I563="","",IF(AND(J563&gt;=1,J563&lt;=K563+3),IF(J563&lt;=K563,IF(J563&lt;=99,IF((INDEX(Eingabe!$G$9:$G$18,I563))&lt;=9,1000+(INDEX(Eingabe!$G$9:$G$18,I563))*100,3000)+J563,IF((INDEX(Eingabe!$G$9:$G$18,I563)+1)&lt;=9,1000+(INDEX(Eingabe!$G$9:$G$18,I563)+1)*100,3000)+J563-100),IF(J563=K563+1,2000+INDEX(Eingabe!$G$9:$G$18,I563)*10+1,IF(J563=K563+2,2000+INDEX(Eingabe!$G$9:$G$18,I563)*10+2,2000+INDEX(Eingabe!$G$9:$G$18,I563)*10+9))),""))</f>
        <v/>
      </c>
      <c r="C563" s="0" t="str">
        <f aca="false">IF(I563="","",IF(AND(J563&gt;=1,J563&lt;=K563+3),"10."&amp;INDEX(Eingabe!$D$9:$D$18,I563)&amp;"."&amp;IF(J563&lt;=K563,J563,IF(J563=K563+1,200,IF(J563=K563+2,201,250)))&amp;".0/24",""))</f>
        <v/>
      </c>
      <c r="D563" s="0" t="str">
        <f aca="false">IF(I563="","",IF(AND(J563&gt;=1,J563&lt;=K563+3),"255.255.255.0",""))</f>
        <v/>
      </c>
      <c r="E563" s="0" t="str">
        <f aca="false">IF(I563="","",IF(AND(J563&gt;=1,J563&lt;=K563+3),"10."&amp;INDEX(Eingabe!$D$9:$D$18,I563)&amp;"."&amp;IF(J563&lt;=K563,J563,IF(J563=K563+1,200,IF(J563=K563+2,201,250)))&amp;".1",""))</f>
        <v/>
      </c>
      <c r="F563" s="0" t="str">
        <f aca="false">IF(I563="","",IF(AND(J563&gt;=1,J563&lt;=K563+3),"10."&amp;INDEX(Eingabe!$D$9:$D$18,I563)&amp;"."&amp;IF(J563&lt;=K563,J563,IF(J563=K563+1,200,IF(J563=K563+2,201,250)))&amp;".10 – 10."&amp;INDEX(Eingabe!$D$9:$D$18,I563)&amp;"."&amp;IF(J563&lt;=K563,J563,IF(J563=K563+1,200,IF(J563=K563+2,201,250)))&amp;".250",""))</f>
        <v/>
      </c>
      <c r="G563" s="0" t="str">
        <f aca="false">IF(I563="","",IF(AND(J563&gt;=1,J563&lt;=K563),Eingabe!$B$6&amp;"-"&amp;INDEX(Eingabe!$C$9:$C$18,I563)&amp;"-Pächter  ·  Passwort Parzelle "&amp;J563,IF(J563=K563+1,Eingabe!$B$6&amp;"-"&amp;INDEX(Eingabe!$C$9:$C$18,I563)&amp;"-Vorstand  ·  eigenes WLAN",IF(J563=K563+2,Eingabe!$B$6&amp;"-"&amp;INDEX(Eingabe!$C$9:$C$18,I563)&amp;"-Gäste  ·  Voucher",IF(J563=K563+3,"Kabel  ·  Access Point y = .(50+y), Mast-Switch x = .(10+x)","")))))</f>
        <v/>
      </c>
      <c r="I563" s="0" t="str">
        <f aca="false">IF(558&lt;=(Eingabe!$P$18+Eingabe!$Q$18-1),MATCH(558,Eingabe!$P$9:$P$18,1),"")</f>
        <v/>
      </c>
      <c r="J563" s="0" t="str">
        <f aca="false">IF(I563="","",558-INDEX(Eingabe!$P$9:$P$18,I563))</f>
        <v/>
      </c>
      <c r="K563" s="0" t="str">
        <f aca="false">IF(I563="","",INDEX(Eingabe!$E$9:$E$18,I563))</f>
        <v/>
      </c>
    </row>
    <row r="564" customFormat="false" ht="15" hidden="false" customHeight="false" outlineLevel="0" collapsed="false">
      <c r="A564" s="0" t="str">
        <f aca="false">IF(I564="","",IF(J564=0,"Sparte "&amp;I564&amp;": "&amp;INDEX(Eingabe!$B$9:$B$18,I564)&amp;"  (Sparten-ID "&amp;INDEX(Eingabe!$D$9:$D$18,I564)&amp;", "&amp;K564&amp;" Parzellen)",IF(J564&lt;=K564,"   Parzelle "&amp;J564,IF(J564=K564+1,"   Vorstand",IF(J564=K564+2,"   Gäste",IF(J564=K564+3,"   Technik (Switches, Access Points)",""))))))</f>
        <v/>
      </c>
      <c r="B564" s="0" t="str">
        <f aca="false">IF(I564="","",IF(AND(J564&gt;=1,J564&lt;=K564+3),IF(J564&lt;=K564,IF(J564&lt;=99,IF((INDEX(Eingabe!$G$9:$G$18,I564))&lt;=9,1000+(INDEX(Eingabe!$G$9:$G$18,I564))*100,3000)+J564,IF((INDEX(Eingabe!$G$9:$G$18,I564)+1)&lt;=9,1000+(INDEX(Eingabe!$G$9:$G$18,I564)+1)*100,3000)+J564-100),IF(J564=K564+1,2000+INDEX(Eingabe!$G$9:$G$18,I564)*10+1,IF(J564=K564+2,2000+INDEX(Eingabe!$G$9:$G$18,I564)*10+2,2000+INDEX(Eingabe!$G$9:$G$18,I564)*10+9))),""))</f>
        <v/>
      </c>
      <c r="C564" s="0" t="str">
        <f aca="false">IF(I564="","",IF(AND(J564&gt;=1,J564&lt;=K564+3),"10."&amp;INDEX(Eingabe!$D$9:$D$18,I564)&amp;"."&amp;IF(J564&lt;=K564,J564,IF(J564=K564+1,200,IF(J564=K564+2,201,250)))&amp;".0/24",""))</f>
        <v/>
      </c>
      <c r="D564" s="0" t="str">
        <f aca="false">IF(I564="","",IF(AND(J564&gt;=1,J564&lt;=K564+3),"255.255.255.0",""))</f>
        <v/>
      </c>
      <c r="E564" s="0" t="str">
        <f aca="false">IF(I564="","",IF(AND(J564&gt;=1,J564&lt;=K564+3),"10."&amp;INDEX(Eingabe!$D$9:$D$18,I564)&amp;"."&amp;IF(J564&lt;=K564,J564,IF(J564=K564+1,200,IF(J564=K564+2,201,250)))&amp;".1",""))</f>
        <v/>
      </c>
      <c r="F564" s="0" t="str">
        <f aca="false">IF(I564="","",IF(AND(J564&gt;=1,J564&lt;=K564+3),"10."&amp;INDEX(Eingabe!$D$9:$D$18,I564)&amp;"."&amp;IF(J564&lt;=K564,J564,IF(J564=K564+1,200,IF(J564=K564+2,201,250)))&amp;".10 – 10."&amp;INDEX(Eingabe!$D$9:$D$18,I564)&amp;"."&amp;IF(J564&lt;=K564,J564,IF(J564=K564+1,200,IF(J564=K564+2,201,250)))&amp;".250",""))</f>
        <v/>
      </c>
      <c r="G564" s="0" t="str">
        <f aca="false">IF(I564="","",IF(AND(J564&gt;=1,J564&lt;=K564),Eingabe!$B$6&amp;"-"&amp;INDEX(Eingabe!$C$9:$C$18,I564)&amp;"-Pächter  ·  Passwort Parzelle "&amp;J564,IF(J564=K564+1,Eingabe!$B$6&amp;"-"&amp;INDEX(Eingabe!$C$9:$C$18,I564)&amp;"-Vorstand  ·  eigenes WLAN",IF(J564=K564+2,Eingabe!$B$6&amp;"-"&amp;INDEX(Eingabe!$C$9:$C$18,I564)&amp;"-Gäste  ·  Voucher",IF(J564=K564+3,"Kabel  ·  Access Point y = .(50+y), Mast-Switch x = .(10+x)","")))))</f>
        <v/>
      </c>
      <c r="I564" s="0" t="str">
        <f aca="false">IF(559&lt;=(Eingabe!$P$18+Eingabe!$Q$18-1),MATCH(559,Eingabe!$P$9:$P$18,1),"")</f>
        <v/>
      </c>
      <c r="J564" s="0" t="str">
        <f aca="false">IF(I564="","",559-INDEX(Eingabe!$P$9:$P$18,I564))</f>
        <v/>
      </c>
      <c r="K564" s="0" t="str">
        <f aca="false">IF(I564="","",INDEX(Eingabe!$E$9:$E$18,I564))</f>
        <v/>
      </c>
    </row>
    <row r="565" customFormat="false" ht="15" hidden="false" customHeight="false" outlineLevel="0" collapsed="false">
      <c r="A565" s="0" t="str">
        <f aca="false">IF(I565="","",IF(J565=0,"Sparte "&amp;I565&amp;": "&amp;INDEX(Eingabe!$B$9:$B$18,I565)&amp;"  (Sparten-ID "&amp;INDEX(Eingabe!$D$9:$D$18,I565)&amp;", "&amp;K565&amp;" Parzellen)",IF(J565&lt;=K565,"   Parzelle "&amp;J565,IF(J565=K565+1,"   Vorstand",IF(J565=K565+2,"   Gäste",IF(J565=K565+3,"   Technik (Switches, Access Points)",""))))))</f>
        <v/>
      </c>
      <c r="B565" s="0" t="str">
        <f aca="false">IF(I565="","",IF(AND(J565&gt;=1,J565&lt;=K565+3),IF(J565&lt;=K565,IF(J565&lt;=99,IF((INDEX(Eingabe!$G$9:$G$18,I565))&lt;=9,1000+(INDEX(Eingabe!$G$9:$G$18,I565))*100,3000)+J565,IF((INDEX(Eingabe!$G$9:$G$18,I565)+1)&lt;=9,1000+(INDEX(Eingabe!$G$9:$G$18,I565)+1)*100,3000)+J565-100),IF(J565=K565+1,2000+INDEX(Eingabe!$G$9:$G$18,I565)*10+1,IF(J565=K565+2,2000+INDEX(Eingabe!$G$9:$G$18,I565)*10+2,2000+INDEX(Eingabe!$G$9:$G$18,I565)*10+9))),""))</f>
        <v/>
      </c>
      <c r="C565" s="0" t="str">
        <f aca="false">IF(I565="","",IF(AND(J565&gt;=1,J565&lt;=K565+3),"10."&amp;INDEX(Eingabe!$D$9:$D$18,I565)&amp;"."&amp;IF(J565&lt;=K565,J565,IF(J565=K565+1,200,IF(J565=K565+2,201,250)))&amp;".0/24",""))</f>
        <v/>
      </c>
      <c r="D565" s="0" t="str">
        <f aca="false">IF(I565="","",IF(AND(J565&gt;=1,J565&lt;=K565+3),"255.255.255.0",""))</f>
        <v/>
      </c>
      <c r="E565" s="0" t="str">
        <f aca="false">IF(I565="","",IF(AND(J565&gt;=1,J565&lt;=K565+3),"10."&amp;INDEX(Eingabe!$D$9:$D$18,I565)&amp;"."&amp;IF(J565&lt;=K565,J565,IF(J565=K565+1,200,IF(J565=K565+2,201,250)))&amp;".1",""))</f>
        <v/>
      </c>
      <c r="F565" s="0" t="str">
        <f aca="false">IF(I565="","",IF(AND(J565&gt;=1,J565&lt;=K565+3),"10."&amp;INDEX(Eingabe!$D$9:$D$18,I565)&amp;"."&amp;IF(J565&lt;=K565,J565,IF(J565=K565+1,200,IF(J565=K565+2,201,250)))&amp;".10 – 10."&amp;INDEX(Eingabe!$D$9:$D$18,I565)&amp;"."&amp;IF(J565&lt;=K565,J565,IF(J565=K565+1,200,IF(J565=K565+2,201,250)))&amp;".250",""))</f>
        <v/>
      </c>
      <c r="G565" s="0" t="str">
        <f aca="false">IF(I565="","",IF(AND(J565&gt;=1,J565&lt;=K565),Eingabe!$B$6&amp;"-"&amp;INDEX(Eingabe!$C$9:$C$18,I565)&amp;"-Pächter  ·  Passwort Parzelle "&amp;J565,IF(J565=K565+1,Eingabe!$B$6&amp;"-"&amp;INDEX(Eingabe!$C$9:$C$18,I565)&amp;"-Vorstand  ·  eigenes WLAN",IF(J565=K565+2,Eingabe!$B$6&amp;"-"&amp;INDEX(Eingabe!$C$9:$C$18,I565)&amp;"-Gäste  ·  Voucher",IF(J565=K565+3,"Kabel  ·  Access Point y = .(50+y), Mast-Switch x = .(10+x)","")))))</f>
        <v/>
      </c>
      <c r="I565" s="0" t="str">
        <f aca="false">IF(560&lt;=(Eingabe!$P$18+Eingabe!$Q$18-1),MATCH(560,Eingabe!$P$9:$P$18,1),"")</f>
        <v/>
      </c>
      <c r="J565" s="0" t="str">
        <f aca="false">IF(I565="","",560-INDEX(Eingabe!$P$9:$P$18,I565))</f>
        <v/>
      </c>
      <c r="K565" s="0" t="str">
        <f aca="false">IF(I565="","",INDEX(Eingabe!$E$9:$E$18,I565))</f>
        <v/>
      </c>
    </row>
    <row r="566" customFormat="false" ht="15" hidden="false" customHeight="false" outlineLevel="0" collapsed="false">
      <c r="A566" s="0" t="str">
        <f aca="false">IF(I566="","",IF(J566=0,"Sparte "&amp;I566&amp;": "&amp;INDEX(Eingabe!$B$9:$B$18,I566)&amp;"  (Sparten-ID "&amp;INDEX(Eingabe!$D$9:$D$18,I566)&amp;", "&amp;K566&amp;" Parzellen)",IF(J566&lt;=K566,"   Parzelle "&amp;J566,IF(J566=K566+1,"   Vorstand",IF(J566=K566+2,"   Gäste",IF(J566=K566+3,"   Technik (Switches, Access Points)",""))))))</f>
        <v/>
      </c>
      <c r="B566" s="0" t="str">
        <f aca="false">IF(I566="","",IF(AND(J566&gt;=1,J566&lt;=K566+3),IF(J566&lt;=K566,IF(J566&lt;=99,IF((INDEX(Eingabe!$G$9:$G$18,I566))&lt;=9,1000+(INDEX(Eingabe!$G$9:$G$18,I566))*100,3000)+J566,IF((INDEX(Eingabe!$G$9:$G$18,I566)+1)&lt;=9,1000+(INDEX(Eingabe!$G$9:$G$18,I566)+1)*100,3000)+J566-100),IF(J566=K566+1,2000+INDEX(Eingabe!$G$9:$G$18,I566)*10+1,IF(J566=K566+2,2000+INDEX(Eingabe!$G$9:$G$18,I566)*10+2,2000+INDEX(Eingabe!$G$9:$G$18,I566)*10+9))),""))</f>
        <v/>
      </c>
      <c r="C566" s="0" t="str">
        <f aca="false">IF(I566="","",IF(AND(J566&gt;=1,J566&lt;=K566+3),"10."&amp;INDEX(Eingabe!$D$9:$D$18,I566)&amp;"."&amp;IF(J566&lt;=K566,J566,IF(J566=K566+1,200,IF(J566=K566+2,201,250)))&amp;".0/24",""))</f>
        <v/>
      </c>
      <c r="D566" s="0" t="str">
        <f aca="false">IF(I566="","",IF(AND(J566&gt;=1,J566&lt;=K566+3),"255.255.255.0",""))</f>
        <v/>
      </c>
      <c r="E566" s="0" t="str">
        <f aca="false">IF(I566="","",IF(AND(J566&gt;=1,J566&lt;=K566+3),"10."&amp;INDEX(Eingabe!$D$9:$D$18,I566)&amp;"."&amp;IF(J566&lt;=K566,J566,IF(J566=K566+1,200,IF(J566=K566+2,201,250)))&amp;".1",""))</f>
        <v/>
      </c>
      <c r="F566" s="0" t="str">
        <f aca="false">IF(I566="","",IF(AND(J566&gt;=1,J566&lt;=K566+3),"10."&amp;INDEX(Eingabe!$D$9:$D$18,I566)&amp;"."&amp;IF(J566&lt;=K566,J566,IF(J566=K566+1,200,IF(J566=K566+2,201,250)))&amp;".10 – 10."&amp;INDEX(Eingabe!$D$9:$D$18,I566)&amp;"."&amp;IF(J566&lt;=K566,J566,IF(J566=K566+1,200,IF(J566=K566+2,201,250)))&amp;".250",""))</f>
        <v/>
      </c>
      <c r="G566" s="0" t="str">
        <f aca="false">IF(I566="","",IF(AND(J566&gt;=1,J566&lt;=K566),Eingabe!$B$6&amp;"-"&amp;INDEX(Eingabe!$C$9:$C$18,I566)&amp;"-Pächter  ·  Passwort Parzelle "&amp;J566,IF(J566=K566+1,Eingabe!$B$6&amp;"-"&amp;INDEX(Eingabe!$C$9:$C$18,I566)&amp;"-Vorstand  ·  eigenes WLAN",IF(J566=K566+2,Eingabe!$B$6&amp;"-"&amp;INDEX(Eingabe!$C$9:$C$18,I566)&amp;"-Gäste  ·  Voucher",IF(J566=K566+3,"Kabel  ·  Access Point y = .(50+y), Mast-Switch x = .(10+x)","")))))</f>
        <v/>
      </c>
      <c r="I566" s="0" t="str">
        <f aca="false">IF(561&lt;=(Eingabe!$P$18+Eingabe!$Q$18-1),MATCH(561,Eingabe!$P$9:$P$18,1),"")</f>
        <v/>
      </c>
      <c r="J566" s="0" t="str">
        <f aca="false">IF(I566="","",561-INDEX(Eingabe!$P$9:$P$18,I566))</f>
        <v/>
      </c>
      <c r="K566" s="0" t="str">
        <f aca="false">IF(I566="","",INDEX(Eingabe!$E$9:$E$18,I566))</f>
        <v/>
      </c>
    </row>
    <row r="567" customFormat="false" ht="15" hidden="false" customHeight="false" outlineLevel="0" collapsed="false">
      <c r="A567" s="0" t="str">
        <f aca="false">IF(I567="","",IF(J567=0,"Sparte "&amp;I567&amp;": "&amp;INDEX(Eingabe!$B$9:$B$18,I567)&amp;"  (Sparten-ID "&amp;INDEX(Eingabe!$D$9:$D$18,I567)&amp;", "&amp;K567&amp;" Parzellen)",IF(J567&lt;=K567,"   Parzelle "&amp;J567,IF(J567=K567+1,"   Vorstand",IF(J567=K567+2,"   Gäste",IF(J567=K567+3,"   Technik (Switches, Access Points)",""))))))</f>
        <v/>
      </c>
      <c r="B567" s="0" t="str">
        <f aca="false">IF(I567="","",IF(AND(J567&gt;=1,J567&lt;=K567+3),IF(J567&lt;=K567,IF(J567&lt;=99,IF((INDEX(Eingabe!$G$9:$G$18,I567))&lt;=9,1000+(INDEX(Eingabe!$G$9:$G$18,I567))*100,3000)+J567,IF((INDEX(Eingabe!$G$9:$G$18,I567)+1)&lt;=9,1000+(INDEX(Eingabe!$G$9:$G$18,I567)+1)*100,3000)+J567-100),IF(J567=K567+1,2000+INDEX(Eingabe!$G$9:$G$18,I567)*10+1,IF(J567=K567+2,2000+INDEX(Eingabe!$G$9:$G$18,I567)*10+2,2000+INDEX(Eingabe!$G$9:$G$18,I567)*10+9))),""))</f>
        <v/>
      </c>
      <c r="C567" s="0" t="str">
        <f aca="false">IF(I567="","",IF(AND(J567&gt;=1,J567&lt;=K567+3),"10."&amp;INDEX(Eingabe!$D$9:$D$18,I567)&amp;"."&amp;IF(J567&lt;=K567,J567,IF(J567=K567+1,200,IF(J567=K567+2,201,250)))&amp;".0/24",""))</f>
        <v/>
      </c>
      <c r="D567" s="0" t="str">
        <f aca="false">IF(I567="","",IF(AND(J567&gt;=1,J567&lt;=K567+3),"255.255.255.0",""))</f>
        <v/>
      </c>
      <c r="E567" s="0" t="str">
        <f aca="false">IF(I567="","",IF(AND(J567&gt;=1,J567&lt;=K567+3),"10."&amp;INDEX(Eingabe!$D$9:$D$18,I567)&amp;"."&amp;IF(J567&lt;=K567,J567,IF(J567=K567+1,200,IF(J567=K567+2,201,250)))&amp;".1",""))</f>
        <v/>
      </c>
      <c r="F567" s="0" t="str">
        <f aca="false">IF(I567="","",IF(AND(J567&gt;=1,J567&lt;=K567+3),"10."&amp;INDEX(Eingabe!$D$9:$D$18,I567)&amp;"."&amp;IF(J567&lt;=K567,J567,IF(J567=K567+1,200,IF(J567=K567+2,201,250)))&amp;".10 – 10."&amp;INDEX(Eingabe!$D$9:$D$18,I567)&amp;"."&amp;IF(J567&lt;=K567,J567,IF(J567=K567+1,200,IF(J567=K567+2,201,250)))&amp;".250",""))</f>
        <v/>
      </c>
      <c r="G567" s="0" t="str">
        <f aca="false">IF(I567="","",IF(AND(J567&gt;=1,J567&lt;=K567),Eingabe!$B$6&amp;"-"&amp;INDEX(Eingabe!$C$9:$C$18,I567)&amp;"-Pächter  ·  Passwort Parzelle "&amp;J567,IF(J567=K567+1,Eingabe!$B$6&amp;"-"&amp;INDEX(Eingabe!$C$9:$C$18,I567)&amp;"-Vorstand  ·  eigenes WLAN",IF(J567=K567+2,Eingabe!$B$6&amp;"-"&amp;INDEX(Eingabe!$C$9:$C$18,I567)&amp;"-Gäste  ·  Voucher",IF(J567=K567+3,"Kabel  ·  Access Point y = .(50+y), Mast-Switch x = .(10+x)","")))))</f>
        <v/>
      </c>
      <c r="I567" s="0" t="str">
        <f aca="false">IF(562&lt;=(Eingabe!$P$18+Eingabe!$Q$18-1),MATCH(562,Eingabe!$P$9:$P$18,1),"")</f>
        <v/>
      </c>
      <c r="J567" s="0" t="str">
        <f aca="false">IF(I567="","",562-INDEX(Eingabe!$P$9:$P$18,I567))</f>
        <v/>
      </c>
      <c r="K567" s="0" t="str">
        <f aca="false">IF(I567="","",INDEX(Eingabe!$E$9:$E$18,I567))</f>
        <v/>
      </c>
    </row>
    <row r="568" customFormat="false" ht="15" hidden="false" customHeight="false" outlineLevel="0" collapsed="false">
      <c r="A568" s="0" t="str">
        <f aca="false">IF(I568="","",IF(J568=0,"Sparte "&amp;I568&amp;": "&amp;INDEX(Eingabe!$B$9:$B$18,I568)&amp;"  (Sparten-ID "&amp;INDEX(Eingabe!$D$9:$D$18,I568)&amp;", "&amp;K568&amp;" Parzellen)",IF(J568&lt;=K568,"   Parzelle "&amp;J568,IF(J568=K568+1,"   Vorstand",IF(J568=K568+2,"   Gäste",IF(J568=K568+3,"   Technik (Switches, Access Points)",""))))))</f>
        <v/>
      </c>
      <c r="B568" s="0" t="str">
        <f aca="false">IF(I568="","",IF(AND(J568&gt;=1,J568&lt;=K568+3),IF(J568&lt;=K568,IF(J568&lt;=99,IF((INDEX(Eingabe!$G$9:$G$18,I568))&lt;=9,1000+(INDEX(Eingabe!$G$9:$G$18,I568))*100,3000)+J568,IF((INDEX(Eingabe!$G$9:$G$18,I568)+1)&lt;=9,1000+(INDEX(Eingabe!$G$9:$G$18,I568)+1)*100,3000)+J568-100),IF(J568=K568+1,2000+INDEX(Eingabe!$G$9:$G$18,I568)*10+1,IF(J568=K568+2,2000+INDEX(Eingabe!$G$9:$G$18,I568)*10+2,2000+INDEX(Eingabe!$G$9:$G$18,I568)*10+9))),""))</f>
        <v/>
      </c>
      <c r="C568" s="0" t="str">
        <f aca="false">IF(I568="","",IF(AND(J568&gt;=1,J568&lt;=K568+3),"10."&amp;INDEX(Eingabe!$D$9:$D$18,I568)&amp;"."&amp;IF(J568&lt;=K568,J568,IF(J568=K568+1,200,IF(J568=K568+2,201,250)))&amp;".0/24",""))</f>
        <v/>
      </c>
      <c r="D568" s="0" t="str">
        <f aca="false">IF(I568="","",IF(AND(J568&gt;=1,J568&lt;=K568+3),"255.255.255.0",""))</f>
        <v/>
      </c>
      <c r="E568" s="0" t="str">
        <f aca="false">IF(I568="","",IF(AND(J568&gt;=1,J568&lt;=K568+3),"10."&amp;INDEX(Eingabe!$D$9:$D$18,I568)&amp;"."&amp;IF(J568&lt;=K568,J568,IF(J568=K568+1,200,IF(J568=K568+2,201,250)))&amp;".1",""))</f>
        <v/>
      </c>
      <c r="F568" s="0" t="str">
        <f aca="false">IF(I568="","",IF(AND(J568&gt;=1,J568&lt;=K568+3),"10."&amp;INDEX(Eingabe!$D$9:$D$18,I568)&amp;"."&amp;IF(J568&lt;=K568,J568,IF(J568=K568+1,200,IF(J568=K568+2,201,250)))&amp;".10 – 10."&amp;INDEX(Eingabe!$D$9:$D$18,I568)&amp;"."&amp;IF(J568&lt;=K568,J568,IF(J568=K568+1,200,IF(J568=K568+2,201,250)))&amp;".250",""))</f>
        <v/>
      </c>
      <c r="G568" s="0" t="str">
        <f aca="false">IF(I568="","",IF(AND(J568&gt;=1,J568&lt;=K568),Eingabe!$B$6&amp;"-"&amp;INDEX(Eingabe!$C$9:$C$18,I568)&amp;"-Pächter  ·  Passwort Parzelle "&amp;J568,IF(J568=K568+1,Eingabe!$B$6&amp;"-"&amp;INDEX(Eingabe!$C$9:$C$18,I568)&amp;"-Vorstand  ·  eigenes WLAN",IF(J568=K568+2,Eingabe!$B$6&amp;"-"&amp;INDEX(Eingabe!$C$9:$C$18,I568)&amp;"-Gäste  ·  Voucher",IF(J568=K568+3,"Kabel  ·  Access Point y = .(50+y), Mast-Switch x = .(10+x)","")))))</f>
        <v/>
      </c>
      <c r="I568" s="0" t="str">
        <f aca="false">IF(563&lt;=(Eingabe!$P$18+Eingabe!$Q$18-1),MATCH(563,Eingabe!$P$9:$P$18,1),"")</f>
        <v/>
      </c>
      <c r="J568" s="0" t="str">
        <f aca="false">IF(I568="","",563-INDEX(Eingabe!$P$9:$P$18,I568))</f>
        <v/>
      </c>
      <c r="K568" s="0" t="str">
        <f aca="false">IF(I568="","",INDEX(Eingabe!$E$9:$E$18,I568))</f>
        <v/>
      </c>
    </row>
    <row r="569" customFormat="false" ht="15" hidden="false" customHeight="false" outlineLevel="0" collapsed="false">
      <c r="A569" s="0" t="str">
        <f aca="false">IF(I569="","",IF(J569=0,"Sparte "&amp;I569&amp;": "&amp;INDEX(Eingabe!$B$9:$B$18,I569)&amp;"  (Sparten-ID "&amp;INDEX(Eingabe!$D$9:$D$18,I569)&amp;", "&amp;K569&amp;" Parzellen)",IF(J569&lt;=K569,"   Parzelle "&amp;J569,IF(J569=K569+1,"   Vorstand",IF(J569=K569+2,"   Gäste",IF(J569=K569+3,"   Technik (Switches, Access Points)",""))))))</f>
        <v/>
      </c>
      <c r="B569" s="0" t="str">
        <f aca="false">IF(I569="","",IF(AND(J569&gt;=1,J569&lt;=K569+3),IF(J569&lt;=K569,IF(J569&lt;=99,IF((INDEX(Eingabe!$G$9:$G$18,I569))&lt;=9,1000+(INDEX(Eingabe!$G$9:$G$18,I569))*100,3000)+J569,IF((INDEX(Eingabe!$G$9:$G$18,I569)+1)&lt;=9,1000+(INDEX(Eingabe!$G$9:$G$18,I569)+1)*100,3000)+J569-100),IF(J569=K569+1,2000+INDEX(Eingabe!$G$9:$G$18,I569)*10+1,IF(J569=K569+2,2000+INDEX(Eingabe!$G$9:$G$18,I569)*10+2,2000+INDEX(Eingabe!$G$9:$G$18,I569)*10+9))),""))</f>
        <v/>
      </c>
      <c r="C569" s="0" t="str">
        <f aca="false">IF(I569="","",IF(AND(J569&gt;=1,J569&lt;=K569+3),"10."&amp;INDEX(Eingabe!$D$9:$D$18,I569)&amp;"."&amp;IF(J569&lt;=K569,J569,IF(J569=K569+1,200,IF(J569=K569+2,201,250)))&amp;".0/24",""))</f>
        <v/>
      </c>
      <c r="D569" s="0" t="str">
        <f aca="false">IF(I569="","",IF(AND(J569&gt;=1,J569&lt;=K569+3),"255.255.255.0",""))</f>
        <v/>
      </c>
      <c r="E569" s="0" t="str">
        <f aca="false">IF(I569="","",IF(AND(J569&gt;=1,J569&lt;=K569+3),"10."&amp;INDEX(Eingabe!$D$9:$D$18,I569)&amp;"."&amp;IF(J569&lt;=K569,J569,IF(J569=K569+1,200,IF(J569=K569+2,201,250)))&amp;".1",""))</f>
        <v/>
      </c>
      <c r="F569" s="0" t="str">
        <f aca="false">IF(I569="","",IF(AND(J569&gt;=1,J569&lt;=K569+3),"10."&amp;INDEX(Eingabe!$D$9:$D$18,I569)&amp;"."&amp;IF(J569&lt;=K569,J569,IF(J569=K569+1,200,IF(J569=K569+2,201,250)))&amp;".10 – 10."&amp;INDEX(Eingabe!$D$9:$D$18,I569)&amp;"."&amp;IF(J569&lt;=K569,J569,IF(J569=K569+1,200,IF(J569=K569+2,201,250)))&amp;".250",""))</f>
        <v/>
      </c>
      <c r="G569" s="0" t="str">
        <f aca="false">IF(I569="","",IF(AND(J569&gt;=1,J569&lt;=K569),Eingabe!$B$6&amp;"-"&amp;INDEX(Eingabe!$C$9:$C$18,I569)&amp;"-Pächter  ·  Passwort Parzelle "&amp;J569,IF(J569=K569+1,Eingabe!$B$6&amp;"-"&amp;INDEX(Eingabe!$C$9:$C$18,I569)&amp;"-Vorstand  ·  eigenes WLAN",IF(J569=K569+2,Eingabe!$B$6&amp;"-"&amp;INDEX(Eingabe!$C$9:$C$18,I569)&amp;"-Gäste  ·  Voucher",IF(J569=K569+3,"Kabel  ·  Access Point y = .(50+y), Mast-Switch x = .(10+x)","")))))</f>
        <v/>
      </c>
      <c r="I569" s="0" t="str">
        <f aca="false">IF(564&lt;=(Eingabe!$P$18+Eingabe!$Q$18-1),MATCH(564,Eingabe!$P$9:$P$18,1),"")</f>
        <v/>
      </c>
      <c r="J569" s="0" t="str">
        <f aca="false">IF(I569="","",564-INDEX(Eingabe!$P$9:$P$18,I569))</f>
        <v/>
      </c>
      <c r="K569" s="0" t="str">
        <f aca="false">IF(I569="","",INDEX(Eingabe!$E$9:$E$18,I569))</f>
        <v/>
      </c>
    </row>
    <row r="570" customFormat="false" ht="15" hidden="false" customHeight="false" outlineLevel="0" collapsed="false">
      <c r="A570" s="0" t="str">
        <f aca="false">IF(I570="","",IF(J570=0,"Sparte "&amp;I570&amp;": "&amp;INDEX(Eingabe!$B$9:$B$18,I570)&amp;"  (Sparten-ID "&amp;INDEX(Eingabe!$D$9:$D$18,I570)&amp;", "&amp;K570&amp;" Parzellen)",IF(J570&lt;=K570,"   Parzelle "&amp;J570,IF(J570=K570+1,"   Vorstand",IF(J570=K570+2,"   Gäste",IF(J570=K570+3,"   Technik (Switches, Access Points)",""))))))</f>
        <v/>
      </c>
      <c r="B570" s="0" t="str">
        <f aca="false">IF(I570="","",IF(AND(J570&gt;=1,J570&lt;=K570+3),IF(J570&lt;=K570,IF(J570&lt;=99,IF((INDEX(Eingabe!$G$9:$G$18,I570))&lt;=9,1000+(INDEX(Eingabe!$G$9:$G$18,I570))*100,3000)+J570,IF((INDEX(Eingabe!$G$9:$G$18,I570)+1)&lt;=9,1000+(INDEX(Eingabe!$G$9:$G$18,I570)+1)*100,3000)+J570-100),IF(J570=K570+1,2000+INDEX(Eingabe!$G$9:$G$18,I570)*10+1,IF(J570=K570+2,2000+INDEX(Eingabe!$G$9:$G$18,I570)*10+2,2000+INDEX(Eingabe!$G$9:$G$18,I570)*10+9))),""))</f>
        <v/>
      </c>
      <c r="C570" s="0" t="str">
        <f aca="false">IF(I570="","",IF(AND(J570&gt;=1,J570&lt;=K570+3),"10."&amp;INDEX(Eingabe!$D$9:$D$18,I570)&amp;"."&amp;IF(J570&lt;=K570,J570,IF(J570=K570+1,200,IF(J570=K570+2,201,250)))&amp;".0/24",""))</f>
        <v/>
      </c>
      <c r="D570" s="0" t="str">
        <f aca="false">IF(I570="","",IF(AND(J570&gt;=1,J570&lt;=K570+3),"255.255.255.0",""))</f>
        <v/>
      </c>
      <c r="E570" s="0" t="str">
        <f aca="false">IF(I570="","",IF(AND(J570&gt;=1,J570&lt;=K570+3),"10."&amp;INDEX(Eingabe!$D$9:$D$18,I570)&amp;"."&amp;IF(J570&lt;=K570,J570,IF(J570=K570+1,200,IF(J570=K570+2,201,250)))&amp;".1",""))</f>
        <v/>
      </c>
      <c r="F570" s="0" t="str">
        <f aca="false">IF(I570="","",IF(AND(J570&gt;=1,J570&lt;=K570+3),"10."&amp;INDEX(Eingabe!$D$9:$D$18,I570)&amp;"."&amp;IF(J570&lt;=K570,J570,IF(J570=K570+1,200,IF(J570=K570+2,201,250)))&amp;".10 – 10."&amp;INDEX(Eingabe!$D$9:$D$18,I570)&amp;"."&amp;IF(J570&lt;=K570,J570,IF(J570=K570+1,200,IF(J570=K570+2,201,250)))&amp;".250",""))</f>
        <v/>
      </c>
      <c r="G570" s="0" t="str">
        <f aca="false">IF(I570="","",IF(AND(J570&gt;=1,J570&lt;=K570),Eingabe!$B$6&amp;"-"&amp;INDEX(Eingabe!$C$9:$C$18,I570)&amp;"-Pächter  ·  Passwort Parzelle "&amp;J570,IF(J570=K570+1,Eingabe!$B$6&amp;"-"&amp;INDEX(Eingabe!$C$9:$C$18,I570)&amp;"-Vorstand  ·  eigenes WLAN",IF(J570=K570+2,Eingabe!$B$6&amp;"-"&amp;INDEX(Eingabe!$C$9:$C$18,I570)&amp;"-Gäste  ·  Voucher",IF(J570=K570+3,"Kabel  ·  Access Point y = .(50+y), Mast-Switch x = .(10+x)","")))))</f>
        <v/>
      </c>
      <c r="I570" s="0" t="str">
        <f aca="false">IF(565&lt;=(Eingabe!$P$18+Eingabe!$Q$18-1),MATCH(565,Eingabe!$P$9:$P$18,1),"")</f>
        <v/>
      </c>
      <c r="J570" s="0" t="str">
        <f aca="false">IF(I570="","",565-INDEX(Eingabe!$P$9:$P$18,I570))</f>
        <v/>
      </c>
      <c r="K570" s="0" t="str">
        <f aca="false">IF(I570="","",INDEX(Eingabe!$E$9:$E$18,I570))</f>
        <v/>
      </c>
    </row>
    <row r="571" customFormat="false" ht="15" hidden="false" customHeight="false" outlineLevel="0" collapsed="false">
      <c r="A571" s="0" t="str">
        <f aca="false">IF(I571="","",IF(J571=0,"Sparte "&amp;I571&amp;": "&amp;INDEX(Eingabe!$B$9:$B$18,I571)&amp;"  (Sparten-ID "&amp;INDEX(Eingabe!$D$9:$D$18,I571)&amp;", "&amp;K571&amp;" Parzellen)",IF(J571&lt;=K571,"   Parzelle "&amp;J571,IF(J571=K571+1,"   Vorstand",IF(J571=K571+2,"   Gäste",IF(J571=K571+3,"   Technik (Switches, Access Points)",""))))))</f>
        <v/>
      </c>
      <c r="B571" s="0" t="str">
        <f aca="false">IF(I571="","",IF(AND(J571&gt;=1,J571&lt;=K571+3),IF(J571&lt;=K571,IF(J571&lt;=99,IF((INDEX(Eingabe!$G$9:$G$18,I571))&lt;=9,1000+(INDEX(Eingabe!$G$9:$G$18,I571))*100,3000)+J571,IF((INDEX(Eingabe!$G$9:$G$18,I571)+1)&lt;=9,1000+(INDEX(Eingabe!$G$9:$G$18,I571)+1)*100,3000)+J571-100),IF(J571=K571+1,2000+INDEX(Eingabe!$G$9:$G$18,I571)*10+1,IF(J571=K571+2,2000+INDEX(Eingabe!$G$9:$G$18,I571)*10+2,2000+INDEX(Eingabe!$G$9:$G$18,I571)*10+9))),""))</f>
        <v/>
      </c>
      <c r="C571" s="0" t="str">
        <f aca="false">IF(I571="","",IF(AND(J571&gt;=1,J571&lt;=K571+3),"10."&amp;INDEX(Eingabe!$D$9:$D$18,I571)&amp;"."&amp;IF(J571&lt;=K571,J571,IF(J571=K571+1,200,IF(J571=K571+2,201,250)))&amp;".0/24",""))</f>
        <v/>
      </c>
      <c r="D571" s="0" t="str">
        <f aca="false">IF(I571="","",IF(AND(J571&gt;=1,J571&lt;=K571+3),"255.255.255.0",""))</f>
        <v/>
      </c>
      <c r="E571" s="0" t="str">
        <f aca="false">IF(I571="","",IF(AND(J571&gt;=1,J571&lt;=K571+3),"10."&amp;INDEX(Eingabe!$D$9:$D$18,I571)&amp;"."&amp;IF(J571&lt;=K571,J571,IF(J571=K571+1,200,IF(J571=K571+2,201,250)))&amp;".1",""))</f>
        <v/>
      </c>
      <c r="F571" s="0" t="str">
        <f aca="false">IF(I571="","",IF(AND(J571&gt;=1,J571&lt;=K571+3),"10."&amp;INDEX(Eingabe!$D$9:$D$18,I571)&amp;"."&amp;IF(J571&lt;=K571,J571,IF(J571=K571+1,200,IF(J571=K571+2,201,250)))&amp;".10 – 10."&amp;INDEX(Eingabe!$D$9:$D$18,I571)&amp;"."&amp;IF(J571&lt;=K571,J571,IF(J571=K571+1,200,IF(J571=K571+2,201,250)))&amp;".250",""))</f>
        <v/>
      </c>
      <c r="G571" s="0" t="str">
        <f aca="false">IF(I571="","",IF(AND(J571&gt;=1,J571&lt;=K571),Eingabe!$B$6&amp;"-"&amp;INDEX(Eingabe!$C$9:$C$18,I571)&amp;"-Pächter  ·  Passwort Parzelle "&amp;J571,IF(J571=K571+1,Eingabe!$B$6&amp;"-"&amp;INDEX(Eingabe!$C$9:$C$18,I571)&amp;"-Vorstand  ·  eigenes WLAN",IF(J571=K571+2,Eingabe!$B$6&amp;"-"&amp;INDEX(Eingabe!$C$9:$C$18,I571)&amp;"-Gäste  ·  Voucher",IF(J571=K571+3,"Kabel  ·  Access Point y = .(50+y), Mast-Switch x = .(10+x)","")))))</f>
        <v/>
      </c>
      <c r="I571" s="0" t="str">
        <f aca="false">IF(566&lt;=(Eingabe!$P$18+Eingabe!$Q$18-1),MATCH(566,Eingabe!$P$9:$P$18,1),"")</f>
        <v/>
      </c>
      <c r="J571" s="0" t="str">
        <f aca="false">IF(I571="","",566-INDEX(Eingabe!$P$9:$P$18,I571))</f>
        <v/>
      </c>
      <c r="K571" s="0" t="str">
        <f aca="false">IF(I571="","",INDEX(Eingabe!$E$9:$E$18,I571))</f>
        <v/>
      </c>
    </row>
    <row r="572" customFormat="false" ht="15" hidden="false" customHeight="false" outlineLevel="0" collapsed="false">
      <c r="A572" s="0" t="str">
        <f aca="false">IF(I572="","",IF(J572=0,"Sparte "&amp;I572&amp;": "&amp;INDEX(Eingabe!$B$9:$B$18,I572)&amp;"  (Sparten-ID "&amp;INDEX(Eingabe!$D$9:$D$18,I572)&amp;", "&amp;K572&amp;" Parzellen)",IF(J572&lt;=K572,"   Parzelle "&amp;J572,IF(J572=K572+1,"   Vorstand",IF(J572=K572+2,"   Gäste",IF(J572=K572+3,"   Technik (Switches, Access Points)",""))))))</f>
        <v/>
      </c>
      <c r="B572" s="0" t="str">
        <f aca="false">IF(I572="","",IF(AND(J572&gt;=1,J572&lt;=K572+3),IF(J572&lt;=K572,IF(J572&lt;=99,IF((INDEX(Eingabe!$G$9:$G$18,I572))&lt;=9,1000+(INDEX(Eingabe!$G$9:$G$18,I572))*100,3000)+J572,IF((INDEX(Eingabe!$G$9:$G$18,I572)+1)&lt;=9,1000+(INDEX(Eingabe!$G$9:$G$18,I572)+1)*100,3000)+J572-100),IF(J572=K572+1,2000+INDEX(Eingabe!$G$9:$G$18,I572)*10+1,IF(J572=K572+2,2000+INDEX(Eingabe!$G$9:$G$18,I572)*10+2,2000+INDEX(Eingabe!$G$9:$G$18,I572)*10+9))),""))</f>
        <v/>
      </c>
      <c r="C572" s="0" t="str">
        <f aca="false">IF(I572="","",IF(AND(J572&gt;=1,J572&lt;=K572+3),"10."&amp;INDEX(Eingabe!$D$9:$D$18,I572)&amp;"."&amp;IF(J572&lt;=K572,J572,IF(J572=K572+1,200,IF(J572=K572+2,201,250)))&amp;".0/24",""))</f>
        <v/>
      </c>
      <c r="D572" s="0" t="str">
        <f aca="false">IF(I572="","",IF(AND(J572&gt;=1,J572&lt;=K572+3),"255.255.255.0",""))</f>
        <v/>
      </c>
      <c r="E572" s="0" t="str">
        <f aca="false">IF(I572="","",IF(AND(J572&gt;=1,J572&lt;=K572+3),"10."&amp;INDEX(Eingabe!$D$9:$D$18,I572)&amp;"."&amp;IF(J572&lt;=K572,J572,IF(J572=K572+1,200,IF(J572=K572+2,201,250)))&amp;".1",""))</f>
        <v/>
      </c>
      <c r="F572" s="0" t="str">
        <f aca="false">IF(I572="","",IF(AND(J572&gt;=1,J572&lt;=K572+3),"10."&amp;INDEX(Eingabe!$D$9:$D$18,I572)&amp;"."&amp;IF(J572&lt;=K572,J572,IF(J572=K572+1,200,IF(J572=K572+2,201,250)))&amp;".10 – 10."&amp;INDEX(Eingabe!$D$9:$D$18,I572)&amp;"."&amp;IF(J572&lt;=K572,J572,IF(J572=K572+1,200,IF(J572=K572+2,201,250)))&amp;".250",""))</f>
        <v/>
      </c>
      <c r="G572" s="0" t="str">
        <f aca="false">IF(I572="","",IF(AND(J572&gt;=1,J572&lt;=K572),Eingabe!$B$6&amp;"-"&amp;INDEX(Eingabe!$C$9:$C$18,I572)&amp;"-Pächter  ·  Passwort Parzelle "&amp;J572,IF(J572=K572+1,Eingabe!$B$6&amp;"-"&amp;INDEX(Eingabe!$C$9:$C$18,I572)&amp;"-Vorstand  ·  eigenes WLAN",IF(J572=K572+2,Eingabe!$B$6&amp;"-"&amp;INDEX(Eingabe!$C$9:$C$18,I572)&amp;"-Gäste  ·  Voucher",IF(J572=K572+3,"Kabel  ·  Access Point y = .(50+y), Mast-Switch x = .(10+x)","")))))</f>
        <v/>
      </c>
      <c r="I572" s="0" t="str">
        <f aca="false">IF(567&lt;=(Eingabe!$P$18+Eingabe!$Q$18-1),MATCH(567,Eingabe!$P$9:$P$18,1),"")</f>
        <v/>
      </c>
      <c r="J572" s="0" t="str">
        <f aca="false">IF(I572="","",567-INDEX(Eingabe!$P$9:$P$18,I572))</f>
        <v/>
      </c>
      <c r="K572" s="0" t="str">
        <f aca="false">IF(I572="","",INDEX(Eingabe!$E$9:$E$18,I572))</f>
        <v/>
      </c>
    </row>
    <row r="573" customFormat="false" ht="15" hidden="false" customHeight="false" outlineLevel="0" collapsed="false">
      <c r="A573" s="0" t="str">
        <f aca="false">IF(I573="","",IF(J573=0,"Sparte "&amp;I573&amp;": "&amp;INDEX(Eingabe!$B$9:$B$18,I573)&amp;"  (Sparten-ID "&amp;INDEX(Eingabe!$D$9:$D$18,I573)&amp;", "&amp;K573&amp;" Parzellen)",IF(J573&lt;=K573,"   Parzelle "&amp;J573,IF(J573=K573+1,"   Vorstand",IF(J573=K573+2,"   Gäste",IF(J573=K573+3,"   Technik (Switches, Access Points)",""))))))</f>
        <v/>
      </c>
      <c r="B573" s="0" t="str">
        <f aca="false">IF(I573="","",IF(AND(J573&gt;=1,J573&lt;=K573+3),IF(J573&lt;=K573,IF(J573&lt;=99,IF((INDEX(Eingabe!$G$9:$G$18,I573))&lt;=9,1000+(INDEX(Eingabe!$G$9:$G$18,I573))*100,3000)+J573,IF((INDEX(Eingabe!$G$9:$G$18,I573)+1)&lt;=9,1000+(INDEX(Eingabe!$G$9:$G$18,I573)+1)*100,3000)+J573-100),IF(J573=K573+1,2000+INDEX(Eingabe!$G$9:$G$18,I573)*10+1,IF(J573=K573+2,2000+INDEX(Eingabe!$G$9:$G$18,I573)*10+2,2000+INDEX(Eingabe!$G$9:$G$18,I573)*10+9))),""))</f>
        <v/>
      </c>
      <c r="C573" s="0" t="str">
        <f aca="false">IF(I573="","",IF(AND(J573&gt;=1,J573&lt;=K573+3),"10."&amp;INDEX(Eingabe!$D$9:$D$18,I573)&amp;"."&amp;IF(J573&lt;=K573,J573,IF(J573=K573+1,200,IF(J573=K573+2,201,250)))&amp;".0/24",""))</f>
        <v/>
      </c>
      <c r="D573" s="0" t="str">
        <f aca="false">IF(I573="","",IF(AND(J573&gt;=1,J573&lt;=K573+3),"255.255.255.0",""))</f>
        <v/>
      </c>
      <c r="E573" s="0" t="str">
        <f aca="false">IF(I573="","",IF(AND(J573&gt;=1,J573&lt;=K573+3),"10."&amp;INDEX(Eingabe!$D$9:$D$18,I573)&amp;"."&amp;IF(J573&lt;=K573,J573,IF(J573=K573+1,200,IF(J573=K573+2,201,250)))&amp;".1",""))</f>
        <v/>
      </c>
      <c r="F573" s="0" t="str">
        <f aca="false">IF(I573="","",IF(AND(J573&gt;=1,J573&lt;=K573+3),"10."&amp;INDEX(Eingabe!$D$9:$D$18,I573)&amp;"."&amp;IF(J573&lt;=K573,J573,IF(J573=K573+1,200,IF(J573=K573+2,201,250)))&amp;".10 – 10."&amp;INDEX(Eingabe!$D$9:$D$18,I573)&amp;"."&amp;IF(J573&lt;=K573,J573,IF(J573=K573+1,200,IF(J573=K573+2,201,250)))&amp;".250",""))</f>
        <v/>
      </c>
      <c r="G573" s="0" t="str">
        <f aca="false">IF(I573="","",IF(AND(J573&gt;=1,J573&lt;=K573),Eingabe!$B$6&amp;"-"&amp;INDEX(Eingabe!$C$9:$C$18,I573)&amp;"-Pächter  ·  Passwort Parzelle "&amp;J573,IF(J573=K573+1,Eingabe!$B$6&amp;"-"&amp;INDEX(Eingabe!$C$9:$C$18,I573)&amp;"-Vorstand  ·  eigenes WLAN",IF(J573=K573+2,Eingabe!$B$6&amp;"-"&amp;INDEX(Eingabe!$C$9:$C$18,I573)&amp;"-Gäste  ·  Voucher",IF(J573=K573+3,"Kabel  ·  Access Point y = .(50+y), Mast-Switch x = .(10+x)","")))))</f>
        <v/>
      </c>
      <c r="I573" s="0" t="str">
        <f aca="false">IF(568&lt;=(Eingabe!$P$18+Eingabe!$Q$18-1),MATCH(568,Eingabe!$P$9:$P$18,1),"")</f>
        <v/>
      </c>
      <c r="J573" s="0" t="str">
        <f aca="false">IF(I573="","",568-INDEX(Eingabe!$P$9:$P$18,I573))</f>
        <v/>
      </c>
      <c r="K573" s="0" t="str">
        <f aca="false">IF(I573="","",INDEX(Eingabe!$E$9:$E$18,I573))</f>
        <v/>
      </c>
    </row>
    <row r="574" customFormat="false" ht="15" hidden="false" customHeight="false" outlineLevel="0" collapsed="false">
      <c r="A574" s="0" t="str">
        <f aca="false">IF(I574="","",IF(J574=0,"Sparte "&amp;I574&amp;": "&amp;INDEX(Eingabe!$B$9:$B$18,I574)&amp;"  (Sparten-ID "&amp;INDEX(Eingabe!$D$9:$D$18,I574)&amp;", "&amp;K574&amp;" Parzellen)",IF(J574&lt;=K574,"   Parzelle "&amp;J574,IF(J574=K574+1,"   Vorstand",IF(J574=K574+2,"   Gäste",IF(J574=K574+3,"   Technik (Switches, Access Points)",""))))))</f>
        <v/>
      </c>
      <c r="B574" s="0" t="str">
        <f aca="false">IF(I574="","",IF(AND(J574&gt;=1,J574&lt;=K574+3),IF(J574&lt;=K574,IF(J574&lt;=99,IF((INDEX(Eingabe!$G$9:$G$18,I574))&lt;=9,1000+(INDEX(Eingabe!$G$9:$G$18,I574))*100,3000)+J574,IF((INDEX(Eingabe!$G$9:$G$18,I574)+1)&lt;=9,1000+(INDEX(Eingabe!$G$9:$G$18,I574)+1)*100,3000)+J574-100),IF(J574=K574+1,2000+INDEX(Eingabe!$G$9:$G$18,I574)*10+1,IF(J574=K574+2,2000+INDEX(Eingabe!$G$9:$G$18,I574)*10+2,2000+INDEX(Eingabe!$G$9:$G$18,I574)*10+9))),""))</f>
        <v/>
      </c>
      <c r="C574" s="0" t="str">
        <f aca="false">IF(I574="","",IF(AND(J574&gt;=1,J574&lt;=K574+3),"10."&amp;INDEX(Eingabe!$D$9:$D$18,I574)&amp;"."&amp;IF(J574&lt;=K574,J574,IF(J574=K574+1,200,IF(J574=K574+2,201,250)))&amp;".0/24",""))</f>
        <v/>
      </c>
      <c r="D574" s="0" t="str">
        <f aca="false">IF(I574="","",IF(AND(J574&gt;=1,J574&lt;=K574+3),"255.255.255.0",""))</f>
        <v/>
      </c>
      <c r="E574" s="0" t="str">
        <f aca="false">IF(I574="","",IF(AND(J574&gt;=1,J574&lt;=K574+3),"10."&amp;INDEX(Eingabe!$D$9:$D$18,I574)&amp;"."&amp;IF(J574&lt;=K574,J574,IF(J574=K574+1,200,IF(J574=K574+2,201,250)))&amp;".1",""))</f>
        <v/>
      </c>
      <c r="F574" s="0" t="str">
        <f aca="false">IF(I574="","",IF(AND(J574&gt;=1,J574&lt;=K574+3),"10."&amp;INDEX(Eingabe!$D$9:$D$18,I574)&amp;"."&amp;IF(J574&lt;=K574,J574,IF(J574=K574+1,200,IF(J574=K574+2,201,250)))&amp;".10 – 10."&amp;INDEX(Eingabe!$D$9:$D$18,I574)&amp;"."&amp;IF(J574&lt;=K574,J574,IF(J574=K574+1,200,IF(J574=K574+2,201,250)))&amp;".250",""))</f>
        <v/>
      </c>
      <c r="G574" s="0" t="str">
        <f aca="false">IF(I574="","",IF(AND(J574&gt;=1,J574&lt;=K574),Eingabe!$B$6&amp;"-"&amp;INDEX(Eingabe!$C$9:$C$18,I574)&amp;"-Pächter  ·  Passwort Parzelle "&amp;J574,IF(J574=K574+1,Eingabe!$B$6&amp;"-"&amp;INDEX(Eingabe!$C$9:$C$18,I574)&amp;"-Vorstand  ·  eigenes WLAN",IF(J574=K574+2,Eingabe!$B$6&amp;"-"&amp;INDEX(Eingabe!$C$9:$C$18,I574)&amp;"-Gäste  ·  Voucher",IF(J574=K574+3,"Kabel  ·  Access Point y = .(50+y), Mast-Switch x = .(10+x)","")))))</f>
        <v/>
      </c>
      <c r="I574" s="0" t="str">
        <f aca="false">IF(569&lt;=(Eingabe!$P$18+Eingabe!$Q$18-1),MATCH(569,Eingabe!$P$9:$P$18,1),"")</f>
        <v/>
      </c>
      <c r="J574" s="0" t="str">
        <f aca="false">IF(I574="","",569-INDEX(Eingabe!$P$9:$P$18,I574))</f>
        <v/>
      </c>
      <c r="K574" s="0" t="str">
        <f aca="false">IF(I574="","",INDEX(Eingabe!$E$9:$E$18,I574))</f>
        <v/>
      </c>
    </row>
    <row r="575" customFormat="false" ht="15" hidden="false" customHeight="false" outlineLevel="0" collapsed="false">
      <c r="A575" s="0" t="str">
        <f aca="false">IF(I575="","",IF(J575=0,"Sparte "&amp;I575&amp;": "&amp;INDEX(Eingabe!$B$9:$B$18,I575)&amp;"  (Sparten-ID "&amp;INDEX(Eingabe!$D$9:$D$18,I575)&amp;", "&amp;K575&amp;" Parzellen)",IF(J575&lt;=K575,"   Parzelle "&amp;J575,IF(J575=K575+1,"   Vorstand",IF(J575=K575+2,"   Gäste",IF(J575=K575+3,"   Technik (Switches, Access Points)",""))))))</f>
        <v/>
      </c>
      <c r="B575" s="0" t="str">
        <f aca="false">IF(I575="","",IF(AND(J575&gt;=1,J575&lt;=K575+3),IF(J575&lt;=K575,IF(J575&lt;=99,IF((INDEX(Eingabe!$G$9:$G$18,I575))&lt;=9,1000+(INDEX(Eingabe!$G$9:$G$18,I575))*100,3000)+J575,IF((INDEX(Eingabe!$G$9:$G$18,I575)+1)&lt;=9,1000+(INDEX(Eingabe!$G$9:$G$18,I575)+1)*100,3000)+J575-100),IF(J575=K575+1,2000+INDEX(Eingabe!$G$9:$G$18,I575)*10+1,IF(J575=K575+2,2000+INDEX(Eingabe!$G$9:$G$18,I575)*10+2,2000+INDEX(Eingabe!$G$9:$G$18,I575)*10+9))),""))</f>
        <v/>
      </c>
      <c r="C575" s="0" t="str">
        <f aca="false">IF(I575="","",IF(AND(J575&gt;=1,J575&lt;=K575+3),"10."&amp;INDEX(Eingabe!$D$9:$D$18,I575)&amp;"."&amp;IF(J575&lt;=K575,J575,IF(J575=K575+1,200,IF(J575=K575+2,201,250)))&amp;".0/24",""))</f>
        <v/>
      </c>
      <c r="D575" s="0" t="str">
        <f aca="false">IF(I575="","",IF(AND(J575&gt;=1,J575&lt;=K575+3),"255.255.255.0",""))</f>
        <v/>
      </c>
      <c r="E575" s="0" t="str">
        <f aca="false">IF(I575="","",IF(AND(J575&gt;=1,J575&lt;=K575+3),"10."&amp;INDEX(Eingabe!$D$9:$D$18,I575)&amp;"."&amp;IF(J575&lt;=K575,J575,IF(J575=K575+1,200,IF(J575=K575+2,201,250)))&amp;".1",""))</f>
        <v/>
      </c>
      <c r="F575" s="0" t="str">
        <f aca="false">IF(I575="","",IF(AND(J575&gt;=1,J575&lt;=K575+3),"10."&amp;INDEX(Eingabe!$D$9:$D$18,I575)&amp;"."&amp;IF(J575&lt;=K575,J575,IF(J575=K575+1,200,IF(J575=K575+2,201,250)))&amp;".10 – 10."&amp;INDEX(Eingabe!$D$9:$D$18,I575)&amp;"."&amp;IF(J575&lt;=K575,J575,IF(J575=K575+1,200,IF(J575=K575+2,201,250)))&amp;".250",""))</f>
        <v/>
      </c>
      <c r="G575" s="0" t="str">
        <f aca="false">IF(I575="","",IF(AND(J575&gt;=1,J575&lt;=K575),Eingabe!$B$6&amp;"-"&amp;INDEX(Eingabe!$C$9:$C$18,I575)&amp;"-Pächter  ·  Passwort Parzelle "&amp;J575,IF(J575=K575+1,Eingabe!$B$6&amp;"-"&amp;INDEX(Eingabe!$C$9:$C$18,I575)&amp;"-Vorstand  ·  eigenes WLAN",IF(J575=K575+2,Eingabe!$B$6&amp;"-"&amp;INDEX(Eingabe!$C$9:$C$18,I575)&amp;"-Gäste  ·  Voucher",IF(J575=K575+3,"Kabel  ·  Access Point y = .(50+y), Mast-Switch x = .(10+x)","")))))</f>
        <v/>
      </c>
      <c r="I575" s="0" t="str">
        <f aca="false">IF(570&lt;=(Eingabe!$P$18+Eingabe!$Q$18-1),MATCH(570,Eingabe!$P$9:$P$18,1),"")</f>
        <v/>
      </c>
      <c r="J575" s="0" t="str">
        <f aca="false">IF(I575="","",570-INDEX(Eingabe!$P$9:$P$18,I575))</f>
        <v/>
      </c>
      <c r="K575" s="0" t="str">
        <f aca="false">IF(I575="","",INDEX(Eingabe!$E$9:$E$18,I575))</f>
        <v/>
      </c>
    </row>
    <row r="576" customFormat="false" ht="15" hidden="false" customHeight="false" outlineLevel="0" collapsed="false">
      <c r="A576" s="0" t="str">
        <f aca="false">IF(I576="","",IF(J576=0,"Sparte "&amp;I576&amp;": "&amp;INDEX(Eingabe!$B$9:$B$18,I576)&amp;"  (Sparten-ID "&amp;INDEX(Eingabe!$D$9:$D$18,I576)&amp;", "&amp;K576&amp;" Parzellen)",IF(J576&lt;=K576,"   Parzelle "&amp;J576,IF(J576=K576+1,"   Vorstand",IF(J576=K576+2,"   Gäste",IF(J576=K576+3,"   Technik (Switches, Access Points)",""))))))</f>
        <v/>
      </c>
      <c r="B576" s="0" t="str">
        <f aca="false">IF(I576="","",IF(AND(J576&gt;=1,J576&lt;=K576+3),IF(J576&lt;=K576,IF(J576&lt;=99,IF((INDEX(Eingabe!$G$9:$G$18,I576))&lt;=9,1000+(INDEX(Eingabe!$G$9:$G$18,I576))*100,3000)+J576,IF((INDEX(Eingabe!$G$9:$G$18,I576)+1)&lt;=9,1000+(INDEX(Eingabe!$G$9:$G$18,I576)+1)*100,3000)+J576-100),IF(J576=K576+1,2000+INDEX(Eingabe!$G$9:$G$18,I576)*10+1,IF(J576=K576+2,2000+INDEX(Eingabe!$G$9:$G$18,I576)*10+2,2000+INDEX(Eingabe!$G$9:$G$18,I576)*10+9))),""))</f>
        <v/>
      </c>
      <c r="C576" s="0" t="str">
        <f aca="false">IF(I576="","",IF(AND(J576&gt;=1,J576&lt;=K576+3),"10."&amp;INDEX(Eingabe!$D$9:$D$18,I576)&amp;"."&amp;IF(J576&lt;=K576,J576,IF(J576=K576+1,200,IF(J576=K576+2,201,250)))&amp;".0/24",""))</f>
        <v/>
      </c>
      <c r="D576" s="0" t="str">
        <f aca="false">IF(I576="","",IF(AND(J576&gt;=1,J576&lt;=K576+3),"255.255.255.0",""))</f>
        <v/>
      </c>
      <c r="E576" s="0" t="str">
        <f aca="false">IF(I576="","",IF(AND(J576&gt;=1,J576&lt;=K576+3),"10."&amp;INDEX(Eingabe!$D$9:$D$18,I576)&amp;"."&amp;IF(J576&lt;=K576,J576,IF(J576=K576+1,200,IF(J576=K576+2,201,250)))&amp;".1",""))</f>
        <v/>
      </c>
      <c r="F576" s="0" t="str">
        <f aca="false">IF(I576="","",IF(AND(J576&gt;=1,J576&lt;=K576+3),"10."&amp;INDEX(Eingabe!$D$9:$D$18,I576)&amp;"."&amp;IF(J576&lt;=K576,J576,IF(J576=K576+1,200,IF(J576=K576+2,201,250)))&amp;".10 – 10."&amp;INDEX(Eingabe!$D$9:$D$18,I576)&amp;"."&amp;IF(J576&lt;=K576,J576,IF(J576=K576+1,200,IF(J576=K576+2,201,250)))&amp;".250",""))</f>
        <v/>
      </c>
      <c r="G576" s="0" t="str">
        <f aca="false">IF(I576="","",IF(AND(J576&gt;=1,J576&lt;=K576),Eingabe!$B$6&amp;"-"&amp;INDEX(Eingabe!$C$9:$C$18,I576)&amp;"-Pächter  ·  Passwort Parzelle "&amp;J576,IF(J576=K576+1,Eingabe!$B$6&amp;"-"&amp;INDEX(Eingabe!$C$9:$C$18,I576)&amp;"-Vorstand  ·  eigenes WLAN",IF(J576=K576+2,Eingabe!$B$6&amp;"-"&amp;INDEX(Eingabe!$C$9:$C$18,I576)&amp;"-Gäste  ·  Voucher",IF(J576=K576+3,"Kabel  ·  Access Point y = .(50+y), Mast-Switch x = .(10+x)","")))))</f>
        <v/>
      </c>
      <c r="I576" s="0" t="str">
        <f aca="false">IF(571&lt;=(Eingabe!$P$18+Eingabe!$Q$18-1),MATCH(571,Eingabe!$P$9:$P$18,1),"")</f>
        <v/>
      </c>
      <c r="J576" s="0" t="str">
        <f aca="false">IF(I576="","",571-INDEX(Eingabe!$P$9:$P$18,I576))</f>
        <v/>
      </c>
      <c r="K576" s="0" t="str">
        <f aca="false">IF(I576="","",INDEX(Eingabe!$E$9:$E$18,I576))</f>
        <v/>
      </c>
    </row>
    <row r="577" customFormat="false" ht="15" hidden="false" customHeight="false" outlineLevel="0" collapsed="false">
      <c r="A577" s="0" t="str">
        <f aca="false">IF(I577="","",IF(J577=0,"Sparte "&amp;I577&amp;": "&amp;INDEX(Eingabe!$B$9:$B$18,I577)&amp;"  (Sparten-ID "&amp;INDEX(Eingabe!$D$9:$D$18,I577)&amp;", "&amp;K577&amp;" Parzellen)",IF(J577&lt;=K577,"   Parzelle "&amp;J577,IF(J577=K577+1,"   Vorstand",IF(J577=K577+2,"   Gäste",IF(J577=K577+3,"   Technik (Switches, Access Points)",""))))))</f>
        <v/>
      </c>
      <c r="B577" s="0" t="str">
        <f aca="false">IF(I577="","",IF(AND(J577&gt;=1,J577&lt;=K577+3),IF(J577&lt;=K577,IF(J577&lt;=99,IF((INDEX(Eingabe!$G$9:$G$18,I577))&lt;=9,1000+(INDEX(Eingabe!$G$9:$G$18,I577))*100,3000)+J577,IF((INDEX(Eingabe!$G$9:$G$18,I577)+1)&lt;=9,1000+(INDEX(Eingabe!$G$9:$G$18,I577)+1)*100,3000)+J577-100),IF(J577=K577+1,2000+INDEX(Eingabe!$G$9:$G$18,I577)*10+1,IF(J577=K577+2,2000+INDEX(Eingabe!$G$9:$G$18,I577)*10+2,2000+INDEX(Eingabe!$G$9:$G$18,I577)*10+9))),""))</f>
        <v/>
      </c>
      <c r="C577" s="0" t="str">
        <f aca="false">IF(I577="","",IF(AND(J577&gt;=1,J577&lt;=K577+3),"10."&amp;INDEX(Eingabe!$D$9:$D$18,I577)&amp;"."&amp;IF(J577&lt;=K577,J577,IF(J577=K577+1,200,IF(J577=K577+2,201,250)))&amp;".0/24",""))</f>
        <v/>
      </c>
      <c r="D577" s="0" t="str">
        <f aca="false">IF(I577="","",IF(AND(J577&gt;=1,J577&lt;=K577+3),"255.255.255.0",""))</f>
        <v/>
      </c>
      <c r="E577" s="0" t="str">
        <f aca="false">IF(I577="","",IF(AND(J577&gt;=1,J577&lt;=K577+3),"10."&amp;INDEX(Eingabe!$D$9:$D$18,I577)&amp;"."&amp;IF(J577&lt;=K577,J577,IF(J577=K577+1,200,IF(J577=K577+2,201,250)))&amp;".1",""))</f>
        <v/>
      </c>
      <c r="F577" s="0" t="str">
        <f aca="false">IF(I577="","",IF(AND(J577&gt;=1,J577&lt;=K577+3),"10."&amp;INDEX(Eingabe!$D$9:$D$18,I577)&amp;"."&amp;IF(J577&lt;=K577,J577,IF(J577=K577+1,200,IF(J577=K577+2,201,250)))&amp;".10 – 10."&amp;INDEX(Eingabe!$D$9:$D$18,I577)&amp;"."&amp;IF(J577&lt;=K577,J577,IF(J577=K577+1,200,IF(J577=K577+2,201,250)))&amp;".250",""))</f>
        <v/>
      </c>
      <c r="G577" s="0" t="str">
        <f aca="false">IF(I577="","",IF(AND(J577&gt;=1,J577&lt;=K577),Eingabe!$B$6&amp;"-"&amp;INDEX(Eingabe!$C$9:$C$18,I577)&amp;"-Pächter  ·  Passwort Parzelle "&amp;J577,IF(J577=K577+1,Eingabe!$B$6&amp;"-"&amp;INDEX(Eingabe!$C$9:$C$18,I577)&amp;"-Vorstand  ·  eigenes WLAN",IF(J577=K577+2,Eingabe!$B$6&amp;"-"&amp;INDEX(Eingabe!$C$9:$C$18,I577)&amp;"-Gäste  ·  Voucher",IF(J577=K577+3,"Kabel  ·  Access Point y = .(50+y), Mast-Switch x = .(10+x)","")))))</f>
        <v/>
      </c>
      <c r="I577" s="0" t="str">
        <f aca="false">IF(572&lt;=(Eingabe!$P$18+Eingabe!$Q$18-1),MATCH(572,Eingabe!$P$9:$P$18,1),"")</f>
        <v/>
      </c>
      <c r="J577" s="0" t="str">
        <f aca="false">IF(I577="","",572-INDEX(Eingabe!$P$9:$P$18,I577))</f>
        <v/>
      </c>
      <c r="K577" s="0" t="str">
        <f aca="false">IF(I577="","",INDEX(Eingabe!$E$9:$E$18,I577))</f>
        <v/>
      </c>
    </row>
    <row r="578" customFormat="false" ht="15" hidden="false" customHeight="false" outlineLevel="0" collapsed="false">
      <c r="A578" s="0" t="str">
        <f aca="false">IF(I578="","",IF(J578=0,"Sparte "&amp;I578&amp;": "&amp;INDEX(Eingabe!$B$9:$B$18,I578)&amp;"  (Sparten-ID "&amp;INDEX(Eingabe!$D$9:$D$18,I578)&amp;", "&amp;K578&amp;" Parzellen)",IF(J578&lt;=K578,"   Parzelle "&amp;J578,IF(J578=K578+1,"   Vorstand",IF(J578=K578+2,"   Gäste",IF(J578=K578+3,"   Technik (Switches, Access Points)",""))))))</f>
        <v/>
      </c>
      <c r="B578" s="0" t="str">
        <f aca="false">IF(I578="","",IF(AND(J578&gt;=1,J578&lt;=K578+3),IF(J578&lt;=K578,IF(J578&lt;=99,IF((INDEX(Eingabe!$G$9:$G$18,I578))&lt;=9,1000+(INDEX(Eingabe!$G$9:$G$18,I578))*100,3000)+J578,IF((INDEX(Eingabe!$G$9:$G$18,I578)+1)&lt;=9,1000+(INDEX(Eingabe!$G$9:$G$18,I578)+1)*100,3000)+J578-100),IF(J578=K578+1,2000+INDEX(Eingabe!$G$9:$G$18,I578)*10+1,IF(J578=K578+2,2000+INDEX(Eingabe!$G$9:$G$18,I578)*10+2,2000+INDEX(Eingabe!$G$9:$G$18,I578)*10+9))),""))</f>
        <v/>
      </c>
      <c r="C578" s="0" t="str">
        <f aca="false">IF(I578="","",IF(AND(J578&gt;=1,J578&lt;=K578+3),"10."&amp;INDEX(Eingabe!$D$9:$D$18,I578)&amp;"."&amp;IF(J578&lt;=K578,J578,IF(J578=K578+1,200,IF(J578=K578+2,201,250)))&amp;".0/24",""))</f>
        <v/>
      </c>
      <c r="D578" s="0" t="str">
        <f aca="false">IF(I578="","",IF(AND(J578&gt;=1,J578&lt;=K578+3),"255.255.255.0",""))</f>
        <v/>
      </c>
      <c r="E578" s="0" t="str">
        <f aca="false">IF(I578="","",IF(AND(J578&gt;=1,J578&lt;=K578+3),"10."&amp;INDEX(Eingabe!$D$9:$D$18,I578)&amp;"."&amp;IF(J578&lt;=K578,J578,IF(J578=K578+1,200,IF(J578=K578+2,201,250)))&amp;".1",""))</f>
        <v/>
      </c>
      <c r="F578" s="0" t="str">
        <f aca="false">IF(I578="","",IF(AND(J578&gt;=1,J578&lt;=K578+3),"10."&amp;INDEX(Eingabe!$D$9:$D$18,I578)&amp;"."&amp;IF(J578&lt;=K578,J578,IF(J578=K578+1,200,IF(J578=K578+2,201,250)))&amp;".10 – 10."&amp;INDEX(Eingabe!$D$9:$D$18,I578)&amp;"."&amp;IF(J578&lt;=K578,J578,IF(J578=K578+1,200,IF(J578=K578+2,201,250)))&amp;".250",""))</f>
        <v/>
      </c>
      <c r="G578" s="0" t="str">
        <f aca="false">IF(I578="","",IF(AND(J578&gt;=1,J578&lt;=K578),Eingabe!$B$6&amp;"-"&amp;INDEX(Eingabe!$C$9:$C$18,I578)&amp;"-Pächter  ·  Passwort Parzelle "&amp;J578,IF(J578=K578+1,Eingabe!$B$6&amp;"-"&amp;INDEX(Eingabe!$C$9:$C$18,I578)&amp;"-Vorstand  ·  eigenes WLAN",IF(J578=K578+2,Eingabe!$B$6&amp;"-"&amp;INDEX(Eingabe!$C$9:$C$18,I578)&amp;"-Gäste  ·  Voucher",IF(J578=K578+3,"Kabel  ·  Access Point y = .(50+y), Mast-Switch x = .(10+x)","")))))</f>
        <v/>
      </c>
      <c r="I578" s="0" t="str">
        <f aca="false">IF(573&lt;=(Eingabe!$P$18+Eingabe!$Q$18-1),MATCH(573,Eingabe!$P$9:$P$18,1),"")</f>
        <v/>
      </c>
      <c r="J578" s="0" t="str">
        <f aca="false">IF(I578="","",573-INDEX(Eingabe!$P$9:$P$18,I578))</f>
        <v/>
      </c>
      <c r="K578" s="0" t="str">
        <f aca="false">IF(I578="","",INDEX(Eingabe!$E$9:$E$18,I578))</f>
        <v/>
      </c>
    </row>
    <row r="579" customFormat="false" ht="15" hidden="false" customHeight="false" outlineLevel="0" collapsed="false">
      <c r="A579" s="0" t="str">
        <f aca="false">IF(I579="","",IF(J579=0,"Sparte "&amp;I579&amp;": "&amp;INDEX(Eingabe!$B$9:$B$18,I579)&amp;"  (Sparten-ID "&amp;INDEX(Eingabe!$D$9:$D$18,I579)&amp;", "&amp;K579&amp;" Parzellen)",IF(J579&lt;=K579,"   Parzelle "&amp;J579,IF(J579=K579+1,"   Vorstand",IF(J579=K579+2,"   Gäste",IF(J579=K579+3,"   Technik (Switches, Access Points)",""))))))</f>
        <v/>
      </c>
      <c r="B579" s="0" t="str">
        <f aca="false">IF(I579="","",IF(AND(J579&gt;=1,J579&lt;=K579+3),IF(J579&lt;=K579,IF(J579&lt;=99,IF((INDEX(Eingabe!$G$9:$G$18,I579))&lt;=9,1000+(INDEX(Eingabe!$G$9:$G$18,I579))*100,3000)+J579,IF((INDEX(Eingabe!$G$9:$G$18,I579)+1)&lt;=9,1000+(INDEX(Eingabe!$G$9:$G$18,I579)+1)*100,3000)+J579-100),IF(J579=K579+1,2000+INDEX(Eingabe!$G$9:$G$18,I579)*10+1,IF(J579=K579+2,2000+INDEX(Eingabe!$G$9:$G$18,I579)*10+2,2000+INDEX(Eingabe!$G$9:$G$18,I579)*10+9))),""))</f>
        <v/>
      </c>
      <c r="C579" s="0" t="str">
        <f aca="false">IF(I579="","",IF(AND(J579&gt;=1,J579&lt;=K579+3),"10."&amp;INDEX(Eingabe!$D$9:$D$18,I579)&amp;"."&amp;IF(J579&lt;=K579,J579,IF(J579=K579+1,200,IF(J579=K579+2,201,250)))&amp;".0/24",""))</f>
        <v/>
      </c>
      <c r="D579" s="0" t="str">
        <f aca="false">IF(I579="","",IF(AND(J579&gt;=1,J579&lt;=K579+3),"255.255.255.0",""))</f>
        <v/>
      </c>
      <c r="E579" s="0" t="str">
        <f aca="false">IF(I579="","",IF(AND(J579&gt;=1,J579&lt;=K579+3),"10."&amp;INDEX(Eingabe!$D$9:$D$18,I579)&amp;"."&amp;IF(J579&lt;=K579,J579,IF(J579=K579+1,200,IF(J579=K579+2,201,250)))&amp;".1",""))</f>
        <v/>
      </c>
      <c r="F579" s="0" t="str">
        <f aca="false">IF(I579="","",IF(AND(J579&gt;=1,J579&lt;=K579+3),"10."&amp;INDEX(Eingabe!$D$9:$D$18,I579)&amp;"."&amp;IF(J579&lt;=K579,J579,IF(J579=K579+1,200,IF(J579=K579+2,201,250)))&amp;".10 – 10."&amp;INDEX(Eingabe!$D$9:$D$18,I579)&amp;"."&amp;IF(J579&lt;=K579,J579,IF(J579=K579+1,200,IF(J579=K579+2,201,250)))&amp;".250",""))</f>
        <v/>
      </c>
      <c r="G579" s="0" t="str">
        <f aca="false">IF(I579="","",IF(AND(J579&gt;=1,J579&lt;=K579),Eingabe!$B$6&amp;"-"&amp;INDEX(Eingabe!$C$9:$C$18,I579)&amp;"-Pächter  ·  Passwort Parzelle "&amp;J579,IF(J579=K579+1,Eingabe!$B$6&amp;"-"&amp;INDEX(Eingabe!$C$9:$C$18,I579)&amp;"-Vorstand  ·  eigenes WLAN",IF(J579=K579+2,Eingabe!$B$6&amp;"-"&amp;INDEX(Eingabe!$C$9:$C$18,I579)&amp;"-Gäste  ·  Voucher",IF(J579=K579+3,"Kabel  ·  Access Point y = .(50+y), Mast-Switch x = .(10+x)","")))))</f>
        <v/>
      </c>
      <c r="I579" s="0" t="str">
        <f aca="false">IF(574&lt;=(Eingabe!$P$18+Eingabe!$Q$18-1),MATCH(574,Eingabe!$P$9:$P$18,1),"")</f>
        <v/>
      </c>
      <c r="J579" s="0" t="str">
        <f aca="false">IF(I579="","",574-INDEX(Eingabe!$P$9:$P$18,I579))</f>
        <v/>
      </c>
      <c r="K579" s="0" t="str">
        <f aca="false">IF(I579="","",INDEX(Eingabe!$E$9:$E$18,I579))</f>
        <v/>
      </c>
    </row>
    <row r="580" customFormat="false" ht="15" hidden="false" customHeight="false" outlineLevel="0" collapsed="false">
      <c r="A580" s="0" t="str">
        <f aca="false">IF(I580="","",IF(J580=0,"Sparte "&amp;I580&amp;": "&amp;INDEX(Eingabe!$B$9:$B$18,I580)&amp;"  (Sparten-ID "&amp;INDEX(Eingabe!$D$9:$D$18,I580)&amp;", "&amp;K580&amp;" Parzellen)",IF(J580&lt;=K580,"   Parzelle "&amp;J580,IF(J580=K580+1,"   Vorstand",IF(J580=K580+2,"   Gäste",IF(J580=K580+3,"   Technik (Switches, Access Points)",""))))))</f>
        <v/>
      </c>
      <c r="B580" s="0" t="str">
        <f aca="false">IF(I580="","",IF(AND(J580&gt;=1,J580&lt;=K580+3),IF(J580&lt;=K580,IF(J580&lt;=99,IF((INDEX(Eingabe!$G$9:$G$18,I580))&lt;=9,1000+(INDEX(Eingabe!$G$9:$G$18,I580))*100,3000)+J580,IF((INDEX(Eingabe!$G$9:$G$18,I580)+1)&lt;=9,1000+(INDEX(Eingabe!$G$9:$G$18,I580)+1)*100,3000)+J580-100),IF(J580=K580+1,2000+INDEX(Eingabe!$G$9:$G$18,I580)*10+1,IF(J580=K580+2,2000+INDEX(Eingabe!$G$9:$G$18,I580)*10+2,2000+INDEX(Eingabe!$G$9:$G$18,I580)*10+9))),""))</f>
        <v/>
      </c>
      <c r="C580" s="0" t="str">
        <f aca="false">IF(I580="","",IF(AND(J580&gt;=1,J580&lt;=K580+3),"10."&amp;INDEX(Eingabe!$D$9:$D$18,I580)&amp;"."&amp;IF(J580&lt;=K580,J580,IF(J580=K580+1,200,IF(J580=K580+2,201,250)))&amp;".0/24",""))</f>
        <v/>
      </c>
      <c r="D580" s="0" t="str">
        <f aca="false">IF(I580="","",IF(AND(J580&gt;=1,J580&lt;=K580+3),"255.255.255.0",""))</f>
        <v/>
      </c>
      <c r="E580" s="0" t="str">
        <f aca="false">IF(I580="","",IF(AND(J580&gt;=1,J580&lt;=K580+3),"10."&amp;INDEX(Eingabe!$D$9:$D$18,I580)&amp;"."&amp;IF(J580&lt;=K580,J580,IF(J580=K580+1,200,IF(J580=K580+2,201,250)))&amp;".1",""))</f>
        <v/>
      </c>
      <c r="F580" s="0" t="str">
        <f aca="false">IF(I580="","",IF(AND(J580&gt;=1,J580&lt;=K580+3),"10."&amp;INDEX(Eingabe!$D$9:$D$18,I580)&amp;"."&amp;IF(J580&lt;=K580,J580,IF(J580=K580+1,200,IF(J580=K580+2,201,250)))&amp;".10 – 10."&amp;INDEX(Eingabe!$D$9:$D$18,I580)&amp;"."&amp;IF(J580&lt;=K580,J580,IF(J580=K580+1,200,IF(J580=K580+2,201,250)))&amp;".250",""))</f>
        <v/>
      </c>
      <c r="G580" s="0" t="str">
        <f aca="false">IF(I580="","",IF(AND(J580&gt;=1,J580&lt;=K580),Eingabe!$B$6&amp;"-"&amp;INDEX(Eingabe!$C$9:$C$18,I580)&amp;"-Pächter  ·  Passwort Parzelle "&amp;J580,IF(J580=K580+1,Eingabe!$B$6&amp;"-"&amp;INDEX(Eingabe!$C$9:$C$18,I580)&amp;"-Vorstand  ·  eigenes WLAN",IF(J580=K580+2,Eingabe!$B$6&amp;"-"&amp;INDEX(Eingabe!$C$9:$C$18,I580)&amp;"-Gäste  ·  Voucher",IF(J580=K580+3,"Kabel  ·  Access Point y = .(50+y), Mast-Switch x = .(10+x)","")))))</f>
        <v/>
      </c>
      <c r="I580" s="0" t="str">
        <f aca="false">IF(575&lt;=(Eingabe!$P$18+Eingabe!$Q$18-1),MATCH(575,Eingabe!$P$9:$P$18,1),"")</f>
        <v/>
      </c>
      <c r="J580" s="0" t="str">
        <f aca="false">IF(I580="","",575-INDEX(Eingabe!$P$9:$P$18,I580))</f>
        <v/>
      </c>
      <c r="K580" s="0" t="str">
        <f aca="false">IF(I580="","",INDEX(Eingabe!$E$9:$E$18,I580))</f>
        <v/>
      </c>
    </row>
    <row r="581" customFormat="false" ht="15" hidden="false" customHeight="false" outlineLevel="0" collapsed="false">
      <c r="A581" s="0" t="str">
        <f aca="false">IF(I581="","",IF(J581=0,"Sparte "&amp;I581&amp;": "&amp;INDEX(Eingabe!$B$9:$B$18,I581)&amp;"  (Sparten-ID "&amp;INDEX(Eingabe!$D$9:$D$18,I581)&amp;", "&amp;K581&amp;" Parzellen)",IF(J581&lt;=K581,"   Parzelle "&amp;J581,IF(J581=K581+1,"   Vorstand",IF(J581=K581+2,"   Gäste",IF(J581=K581+3,"   Technik (Switches, Access Points)",""))))))</f>
        <v/>
      </c>
      <c r="B581" s="0" t="str">
        <f aca="false">IF(I581="","",IF(AND(J581&gt;=1,J581&lt;=K581+3),IF(J581&lt;=K581,IF(J581&lt;=99,IF((INDEX(Eingabe!$G$9:$G$18,I581))&lt;=9,1000+(INDEX(Eingabe!$G$9:$G$18,I581))*100,3000)+J581,IF((INDEX(Eingabe!$G$9:$G$18,I581)+1)&lt;=9,1000+(INDEX(Eingabe!$G$9:$G$18,I581)+1)*100,3000)+J581-100),IF(J581=K581+1,2000+INDEX(Eingabe!$G$9:$G$18,I581)*10+1,IF(J581=K581+2,2000+INDEX(Eingabe!$G$9:$G$18,I581)*10+2,2000+INDEX(Eingabe!$G$9:$G$18,I581)*10+9))),""))</f>
        <v/>
      </c>
      <c r="C581" s="0" t="str">
        <f aca="false">IF(I581="","",IF(AND(J581&gt;=1,J581&lt;=K581+3),"10."&amp;INDEX(Eingabe!$D$9:$D$18,I581)&amp;"."&amp;IF(J581&lt;=K581,J581,IF(J581=K581+1,200,IF(J581=K581+2,201,250)))&amp;".0/24",""))</f>
        <v/>
      </c>
      <c r="D581" s="0" t="str">
        <f aca="false">IF(I581="","",IF(AND(J581&gt;=1,J581&lt;=K581+3),"255.255.255.0",""))</f>
        <v/>
      </c>
      <c r="E581" s="0" t="str">
        <f aca="false">IF(I581="","",IF(AND(J581&gt;=1,J581&lt;=K581+3),"10."&amp;INDEX(Eingabe!$D$9:$D$18,I581)&amp;"."&amp;IF(J581&lt;=K581,J581,IF(J581=K581+1,200,IF(J581=K581+2,201,250)))&amp;".1",""))</f>
        <v/>
      </c>
      <c r="F581" s="0" t="str">
        <f aca="false">IF(I581="","",IF(AND(J581&gt;=1,J581&lt;=K581+3),"10."&amp;INDEX(Eingabe!$D$9:$D$18,I581)&amp;"."&amp;IF(J581&lt;=K581,J581,IF(J581=K581+1,200,IF(J581=K581+2,201,250)))&amp;".10 – 10."&amp;INDEX(Eingabe!$D$9:$D$18,I581)&amp;"."&amp;IF(J581&lt;=K581,J581,IF(J581=K581+1,200,IF(J581=K581+2,201,250)))&amp;".250",""))</f>
        <v/>
      </c>
      <c r="G581" s="0" t="str">
        <f aca="false">IF(I581="","",IF(AND(J581&gt;=1,J581&lt;=K581),Eingabe!$B$6&amp;"-"&amp;INDEX(Eingabe!$C$9:$C$18,I581)&amp;"-Pächter  ·  Passwort Parzelle "&amp;J581,IF(J581=K581+1,Eingabe!$B$6&amp;"-"&amp;INDEX(Eingabe!$C$9:$C$18,I581)&amp;"-Vorstand  ·  eigenes WLAN",IF(J581=K581+2,Eingabe!$B$6&amp;"-"&amp;INDEX(Eingabe!$C$9:$C$18,I581)&amp;"-Gäste  ·  Voucher",IF(J581=K581+3,"Kabel  ·  Access Point y = .(50+y), Mast-Switch x = .(10+x)","")))))</f>
        <v/>
      </c>
      <c r="I581" s="0" t="str">
        <f aca="false">IF(576&lt;=(Eingabe!$P$18+Eingabe!$Q$18-1),MATCH(576,Eingabe!$P$9:$P$18,1),"")</f>
        <v/>
      </c>
      <c r="J581" s="0" t="str">
        <f aca="false">IF(I581="","",576-INDEX(Eingabe!$P$9:$P$18,I581))</f>
        <v/>
      </c>
      <c r="K581" s="0" t="str">
        <f aca="false">IF(I581="","",INDEX(Eingabe!$E$9:$E$18,I581))</f>
        <v/>
      </c>
    </row>
    <row r="582" customFormat="false" ht="15" hidden="false" customHeight="false" outlineLevel="0" collapsed="false">
      <c r="A582" s="0" t="str">
        <f aca="false">IF(I582="","",IF(J582=0,"Sparte "&amp;I582&amp;": "&amp;INDEX(Eingabe!$B$9:$B$18,I582)&amp;"  (Sparten-ID "&amp;INDEX(Eingabe!$D$9:$D$18,I582)&amp;", "&amp;K582&amp;" Parzellen)",IF(J582&lt;=K582,"   Parzelle "&amp;J582,IF(J582=K582+1,"   Vorstand",IF(J582=K582+2,"   Gäste",IF(J582=K582+3,"   Technik (Switches, Access Points)",""))))))</f>
        <v/>
      </c>
      <c r="B582" s="0" t="str">
        <f aca="false">IF(I582="","",IF(AND(J582&gt;=1,J582&lt;=K582+3),IF(J582&lt;=K582,IF(J582&lt;=99,IF((INDEX(Eingabe!$G$9:$G$18,I582))&lt;=9,1000+(INDEX(Eingabe!$G$9:$G$18,I582))*100,3000)+J582,IF((INDEX(Eingabe!$G$9:$G$18,I582)+1)&lt;=9,1000+(INDEX(Eingabe!$G$9:$G$18,I582)+1)*100,3000)+J582-100),IF(J582=K582+1,2000+INDEX(Eingabe!$G$9:$G$18,I582)*10+1,IF(J582=K582+2,2000+INDEX(Eingabe!$G$9:$G$18,I582)*10+2,2000+INDEX(Eingabe!$G$9:$G$18,I582)*10+9))),""))</f>
        <v/>
      </c>
      <c r="C582" s="0" t="str">
        <f aca="false">IF(I582="","",IF(AND(J582&gt;=1,J582&lt;=K582+3),"10."&amp;INDEX(Eingabe!$D$9:$D$18,I582)&amp;"."&amp;IF(J582&lt;=K582,J582,IF(J582=K582+1,200,IF(J582=K582+2,201,250)))&amp;".0/24",""))</f>
        <v/>
      </c>
      <c r="D582" s="0" t="str">
        <f aca="false">IF(I582="","",IF(AND(J582&gt;=1,J582&lt;=K582+3),"255.255.255.0",""))</f>
        <v/>
      </c>
      <c r="E582" s="0" t="str">
        <f aca="false">IF(I582="","",IF(AND(J582&gt;=1,J582&lt;=K582+3),"10."&amp;INDEX(Eingabe!$D$9:$D$18,I582)&amp;"."&amp;IF(J582&lt;=K582,J582,IF(J582=K582+1,200,IF(J582=K582+2,201,250)))&amp;".1",""))</f>
        <v/>
      </c>
      <c r="F582" s="0" t="str">
        <f aca="false">IF(I582="","",IF(AND(J582&gt;=1,J582&lt;=K582+3),"10."&amp;INDEX(Eingabe!$D$9:$D$18,I582)&amp;"."&amp;IF(J582&lt;=K582,J582,IF(J582=K582+1,200,IF(J582=K582+2,201,250)))&amp;".10 – 10."&amp;INDEX(Eingabe!$D$9:$D$18,I582)&amp;"."&amp;IF(J582&lt;=K582,J582,IF(J582=K582+1,200,IF(J582=K582+2,201,250)))&amp;".250",""))</f>
        <v/>
      </c>
      <c r="G582" s="0" t="str">
        <f aca="false">IF(I582="","",IF(AND(J582&gt;=1,J582&lt;=K582),Eingabe!$B$6&amp;"-"&amp;INDEX(Eingabe!$C$9:$C$18,I582)&amp;"-Pächter  ·  Passwort Parzelle "&amp;J582,IF(J582=K582+1,Eingabe!$B$6&amp;"-"&amp;INDEX(Eingabe!$C$9:$C$18,I582)&amp;"-Vorstand  ·  eigenes WLAN",IF(J582=K582+2,Eingabe!$B$6&amp;"-"&amp;INDEX(Eingabe!$C$9:$C$18,I582)&amp;"-Gäste  ·  Voucher",IF(J582=K582+3,"Kabel  ·  Access Point y = .(50+y), Mast-Switch x = .(10+x)","")))))</f>
        <v/>
      </c>
      <c r="I582" s="0" t="str">
        <f aca="false">IF(577&lt;=(Eingabe!$P$18+Eingabe!$Q$18-1),MATCH(577,Eingabe!$P$9:$P$18,1),"")</f>
        <v/>
      </c>
      <c r="J582" s="0" t="str">
        <f aca="false">IF(I582="","",577-INDEX(Eingabe!$P$9:$P$18,I582))</f>
        <v/>
      </c>
      <c r="K582" s="0" t="str">
        <f aca="false">IF(I582="","",INDEX(Eingabe!$E$9:$E$18,I582))</f>
        <v/>
      </c>
    </row>
    <row r="583" customFormat="false" ht="15" hidden="false" customHeight="false" outlineLevel="0" collapsed="false">
      <c r="A583" s="0" t="str">
        <f aca="false">IF(I583="","",IF(J583=0,"Sparte "&amp;I583&amp;": "&amp;INDEX(Eingabe!$B$9:$B$18,I583)&amp;"  (Sparten-ID "&amp;INDEX(Eingabe!$D$9:$D$18,I583)&amp;", "&amp;K583&amp;" Parzellen)",IF(J583&lt;=K583,"   Parzelle "&amp;J583,IF(J583=K583+1,"   Vorstand",IF(J583=K583+2,"   Gäste",IF(J583=K583+3,"   Technik (Switches, Access Points)",""))))))</f>
        <v/>
      </c>
      <c r="B583" s="0" t="str">
        <f aca="false">IF(I583="","",IF(AND(J583&gt;=1,J583&lt;=K583+3),IF(J583&lt;=K583,IF(J583&lt;=99,IF((INDEX(Eingabe!$G$9:$G$18,I583))&lt;=9,1000+(INDEX(Eingabe!$G$9:$G$18,I583))*100,3000)+J583,IF((INDEX(Eingabe!$G$9:$G$18,I583)+1)&lt;=9,1000+(INDEX(Eingabe!$G$9:$G$18,I583)+1)*100,3000)+J583-100),IF(J583=K583+1,2000+INDEX(Eingabe!$G$9:$G$18,I583)*10+1,IF(J583=K583+2,2000+INDEX(Eingabe!$G$9:$G$18,I583)*10+2,2000+INDEX(Eingabe!$G$9:$G$18,I583)*10+9))),""))</f>
        <v/>
      </c>
      <c r="C583" s="0" t="str">
        <f aca="false">IF(I583="","",IF(AND(J583&gt;=1,J583&lt;=K583+3),"10."&amp;INDEX(Eingabe!$D$9:$D$18,I583)&amp;"."&amp;IF(J583&lt;=K583,J583,IF(J583=K583+1,200,IF(J583=K583+2,201,250)))&amp;".0/24",""))</f>
        <v/>
      </c>
      <c r="D583" s="0" t="str">
        <f aca="false">IF(I583="","",IF(AND(J583&gt;=1,J583&lt;=K583+3),"255.255.255.0",""))</f>
        <v/>
      </c>
      <c r="E583" s="0" t="str">
        <f aca="false">IF(I583="","",IF(AND(J583&gt;=1,J583&lt;=K583+3),"10."&amp;INDEX(Eingabe!$D$9:$D$18,I583)&amp;"."&amp;IF(J583&lt;=K583,J583,IF(J583=K583+1,200,IF(J583=K583+2,201,250)))&amp;".1",""))</f>
        <v/>
      </c>
      <c r="F583" s="0" t="str">
        <f aca="false">IF(I583="","",IF(AND(J583&gt;=1,J583&lt;=K583+3),"10."&amp;INDEX(Eingabe!$D$9:$D$18,I583)&amp;"."&amp;IF(J583&lt;=K583,J583,IF(J583=K583+1,200,IF(J583=K583+2,201,250)))&amp;".10 – 10."&amp;INDEX(Eingabe!$D$9:$D$18,I583)&amp;"."&amp;IF(J583&lt;=K583,J583,IF(J583=K583+1,200,IF(J583=K583+2,201,250)))&amp;".250",""))</f>
        <v/>
      </c>
      <c r="G583" s="0" t="str">
        <f aca="false">IF(I583="","",IF(AND(J583&gt;=1,J583&lt;=K583),Eingabe!$B$6&amp;"-"&amp;INDEX(Eingabe!$C$9:$C$18,I583)&amp;"-Pächter  ·  Passwort Parzelle "&amp;J583,IF(J583=K583+1,Eingabe!$B$6&amp;"-"&amp;INDEX(Eingabe!$C$9:$C$18,I583)&amp;"-Vorstand  ·  eigenes WLAN",IF(J583=K583+2,Eingabe!$B$6&amp;"-"&amp;INDEX(Eingabe!$C$9:$C$18,I583)&amp;"-Gäste  ·  Voucher",IF(J583=K583+3,"Kabel  ·  Access Point y = .(50+y), Mast-Switch x = .(10+x)","")))))</f>
        <v/>
      </c>
      <c r="I583" s="0" t="str">
        <f aca="false">IF(578&lt;=(Eingabe!$P$18+Eingabe!$Q$18-1),MATCH(578,Eingabe!$P$9:$P$18,1),"")</f>
        <v/>
      </c>
      <c r="J583" s="0" t="str">
        <f aca="false">IF(I583="","",578-INDEX(Eingabe!$P$9:$P$18,I583))</f>
        <v/>
      </c>
      <c r="K583" s="0" t="str">
        <f aca="false">IF(I583="","",INDEX(Eingabe!$E$9:$E$18,I583))</f>
        <v/>
      </c>
    </row>
    <row r="584" customFormat="false" ht="15" hidden="false" customHeight="false" outlineLevel="0" collapsed="false">
      <c r="A584" s="0" t="str">
        <f aca="false">IF(I584="","",IF(J584=0,"Sparte "&amp;I584&amp;": "&amp;INDEX(Eingabe!$B$9:$B$18,I584)&amp;"  (Sparten-ID "&amp;INDEX(Eingabe!$D$9:$D$18,I584)&amp;", "&amp;K584&amp;" Parzellen)",IF(J584&lt;=K584,"   Parzelle "&amp;J584,IF(J584=K584+1,"   Vorstand",IF(J584=K584+2,"   Gäste",IF(J584=K584+3,"   Technik (Switches, Access Points)",""))))))</f>
        <v/>
      </c>
      <c r="B584" s="0" t="str">
        <f aca="false">IF(I584="","",IF(AND(J584&gt;=1,J584&lt;=K584+3),IF(J584&lt;=K584,IF(J584&lt;=99,IF((INDEX(Eingabe!$G$9:$G$18,I584))&lt;=9,1000+(INDEX(Eingabe!$G$9:$G$18,I584))*100,3000)+J584,IF((INDEX(Eingabe!$G$9:$G$18,I584)+1)&lt;=9,1000+(INDEX(Eingabe!$G$9:$G$18,I584)+1)*100,3000)+J584-100),IF(J584=K584+1,2000+INDEX(Eingabe!$G$9:$G$18,I584)*10+1,IF(J584=K584+2,2000+INDEX(Eingabe!$G$9:$G$18,I584)*10+2,2000+INDEX(Eingabe!$G$9:$G$18,I584)*10+9))),""))</f>
        <v/>
      </c>
      <c r="C584" s="0" t="str">
        <f aca="false">IF(I584="","",IF(AND(J584&gt;=1,J584&lt;=K584+3),"10."&amp;INDEX(Eingabe!$D$9:$D$18,I584)&amp;"."&amp;IF(J584&lt;=K584,J584,IF(J584=K584+1,200,IF(J584=K584+2,201,250)))&amp;".0/24",""))</f>
        <v/>
      </c>
      <c r="D584" s="0" t="str">
        <f aca="false">IF(I584="","",IF(AND(J584&gt;=1,J584&lt;=K584+3),"255.255.255.0",""))</f>
        <v/>
      </c>
      <c r="E584" s="0" t="str">
        <f aca="false">IF(I584="","",IF(AND(J584&gt;=1,J584&lt;=K584+3),"10."&amp;INDEX(Eingabe!$D$9:$D$18,I584)&amp;"."&amp;IF(J584&lt;=K584,J584,IF(J584=K584+1,200,IF(J584=K584+2,201,250)))&amp;".1",""))</f>
        <v/>
      </c>
      <c r="F584" s="0" t="str">
        <f aca="false">IF(I584="","",IF(AND(J584&gt;=1,J584&lt;=K584+3),"10."&amp;INDEX(Eingabe!$D$9:$D$18,I584)&amp;"."&amp;IF(J584&lt;=K584,J584,IF(J584=K584+1,200,IF(J584=K584+2,201,250)))&amp;".10 – 10."&amp;INDEX(Eingabe!$D$9:$D$18,I584)&amp;"."&amp;IF(J584&lt;=K584,J584,IF(J584=K584+1,200,IF(J584=K584+2,201,250)))&amp;".250",""))</f>
        <v/>
      </c>
      <c r="G584" s="0" t="str">
        <f aca="false">IF(I584="","",IF(AND(J584&gt;=1,J584&lt;=K584),Eingabe!$B$6&amp;"-"&amp;INDEX(Eingabe!$C$9:$C$18,I584)&amp;"-Pächter  ·  Passwort Parzelle "&amp;J584,IF(J584=K584+1,Eingabe!$B$6&amp;"-"&amp;INDEX(Eingabe!$C$9:$C$18,I584)&amp;"-Vorstand  ·  eigenes WLAN",IF(J584=K584+2,Eingabe!$B$6&amp;"-"&amp;INDEX(Eingabe!$C$9:$C$18,I584)&amp;"-Gäste  ·  Voucher",IF(J584=K584+3,"Kabel  ·  Access Point y = .(50+y), Mast-Switch x = .(10+x)","")))))</f>
        <v/>
      </c>
      <c r="I584" s="0" t="str">
        <f aca="false">IF(579&lt;=(Eingabe!$P$18+Eingabe!$Q$18-1),MATCH(579,Eingabe!$P$9:$P$18,1),"")</f>
        <v/>
      </c>
      <c r="J584" s="0" t="str">
        <f aca="false">IF(I584="","",579-INDEX(Eingabe!$P$9:$P$18,I584))</f>
        <v/>
      </c>
      <c r="K584" s="0" t="str">
        <f aca="false">IF(I584="","",INDEX(Eingabe!$E$9:$E$18,I584))</f>
        <v/>
      </c>
    </row>
    <row r="585" customFormat="false" ht="15" hidden="false" customHeight="false" outlineLevel="0" collapsed="false">
      <c r="A585" s="0" t="str">
        <f aca="false">IF(I585="","",IF(J585=0,"Sparte "&amp;I585&amp;": "&amp;INDEX(Eingabe!$B$9:$B$18,I585)&amp;"  (Sparten-ID "&amp;INDEX(Eingabe!$D$9:$D$18,I585)&amp;", "&amp;K585&amp;" Parzellen)",IF(J585&lt;=K585,"   Parzelle "&amp;J585,IF(J585=K585+1,"   Vorstand",IF(J585=K585+2,"   Gäste",IF(J585=K585+3,"   Technik (Switches, Access Points)",""))))))</f>
        <v/>
      </c>
      <c r="B585" s="0" t="str">
        <f aca="false">IF(I585="","",IF(AND(J585&gt;=1,J585&lt;=K585+3),IF(J585&lt;=K585,IF(J585&lt;=99,IF((INDEX(Eingabe!$G$9:$G$18,I585))&lt;=9,1000+(INDEX(Eingabe!$G$9:$G$18,I585))*100,3000)+J585,IF((INDEX(Eingabe!$G$9:$G$18,I585)+1)&lt;=9,1000+(INDEX(Eingabe!$G$9:$G$18,I585)+1)*100,3000)+J585-100),IF(J585=K585+1,2000+INDEX(Eingabe!$G$9:$G$18,I585)*10+1,IF(J585=K585+2,2000+INDEX(Eingabe!$G$9:$G$18,I585)*10+2,2000+INDEX(Eingabe!$G$9:$G$18,I585)*10+9))),""))</f>
        <v/>
      </c>
      <c r="C585" s="0" t="str">
        <f aca="false">IF(I585="","",IF(AND(J585&gt;=1,J585&lt;=K585+3),"10."&amp;INDEX(Eingabe!$D$9:$D$18,I585)&amp;"."&amp;IF(J585&lt;=K585,J585,IF(J585=K585+1,200,IF(J585=K585+2,201,250)))&amp;".0/24",""))</f>
        <v/>
      </c>
      <c r="D585" s="0" t="str">
        <f aca="false">IF(I585="","",IF(AND(J585&gt;=1,J585&lt;=K585+3),"255.255.255.0",""))</f>
        <v/>
      </c>
      <c r="E585" s="0" t="str">
        <f aca="false">IF(I585="","",IF(AND(J585&gt;=1,J585&lt;=K585+3),"10."&amp;INDEX(Eingabe!$D$9:$D$18,I585)&amp;"."&amp;IF(J585&lt;=K585,J585,IF(J585=K585+1,200,IF(J585=K585+2,201,250)))&amp;".1",""))</f>
        <v/>
      </c>
      <c r="F585" s="0" t="str">
        <f aca="false">IF(I585="","",IF(AND(J585&gt;=1,J585&lt;=K585+3),"10."&amp;INDEX(Eingabe!$D$9:$D$18,I585)&amp;"."&amp;IF(J585&lt;=K585,J585,IF(J585=K585+1,200,IF(J585=K585+2,201,250)))&amp;".10 – 10."&amp;INDEX(Eingabe!$D$9:$D$18,I585)&amp;"."&amp;IF(J585&lt;=K585,J585,IF(J585=K585+1,200,IF(J585=K585+2,201,250)))&amp;".250",""))</f>
        <v/>
      </c>
      <c r="G585" s="0" t="str">
        <f aca="false">IF(I585="","",IF(AND(J585&gt;=1,J585&lt;=K585),Eingabe!$B$6&amp;"-"&amp;INDEX(Eingabe!$C$9:$C$18,I585)&amp;"-Pächter  ·  Passwort Parzelle "&amp;J585,IF(J585=K585+1,Eingabe!$B$6&amp;"-"&amp;INDEX(Eingabe!$C$9:$C$18,I585)&amp;"-Vorstand  ·  eigenes WLAN",IF(J585=K585+2,Eingabe!$B$6&amp;"-"&amp;INDEX(Eingabe!$C$9:$C$18,I585)&amp;"-Gäste  ·  Voucher",IF(J585=K585+3,"Kabel  ·  Access Point y = .(50+y), Mast-Switch x = .(10+x)","")))))</f>
        <v/>
      </c>
      <c r="I585" s="0" t="str">
        <f aca="false">IF(580&lt;=(Eingabe!$P$18+Eingabe!$Q$18-1),MATCH(580,Eingabe!$P$9:$P$18,1),"")</f>
        <v/>
      </c>
      <c r="J585" s="0" t="str">
        <f aca="false">IF(I585="","",580-INDEX(Eingabe!$P$9:$P$18,I585))</f>
        <v/>
      </c>
      <c r="K585" s="0" t="str">
        <f aca="false">IF(I585="","",INDEX(Eingabe!$E$9:$E$18,I585))</f>
        <v/>
      </c>
    </row>
    <row r="586" customFormat="false" ht="15" hidden="false" customHeight="false" outlineLevel="0" collapsed="false">
      <c r="A586" s="0" t="str">
        <f aca="false">IF(I586="","",IF(J586=0,"Sparte "&amp;I586&amp;": "&amp;INDEX(Eingabe!$B$9:$B$18,I586)&amp;"  (Sparten-ID "&amp;INDEX(Eingabe!$D$9:$D$18,I586)&amp;", "&amp;K586&amp;" Parzellen)",IF(J586&lt;=K586,"   Parzelle "&amp;J586,IF(J586=K586+1,"   Vorstand",IF(J586=K586+2,"   Gäste",IF(J586=K586+3,"   Technik (Switches, Access Points)",""))))))</f>
        <v/>
      </c>
      <c r="B586" s="0" t="str">
        <f aca="false">IF(I586="","",IF(AND(J586&gt;=1,J586&lt;=K586+3),IF(J586&lt;=K586,IF(J586&lt;=99,IF((INDEX(Eingabe!$G$9:$G$18,I586))&lt;=9,1000+(INDEX(Eingabe!$G$9:$G$18,I586))*100,3000)+J586,IF((INDEX(Eingabe!$G$9:$G$18,I586)+1)&lt;=9,1000+(INDEX(Eingabe!$G$9:$G$18,I586)+1)*100,3000)+J586-100),IF(J586=K586+1,2000+INDEX(Eingabe!$G$9:$G$18,I586)*10+1,IF(J586=K586+2,2000+INDEX(Eingabe!$G$9:$G$18,I586)*10+2,2000+INDEX(Eingabe!$G$9:$G$18,I586)*10+9))),""))</f>
        <v/>
      </c>
      <c r="C586" s="0" t="str">
        <f aca="false">IF(I586="","",IF(AND(J586&gt;=1,J586&lt;=K586+3),"10."&amp;INDEX(Eingabe!$D$9:$D$18,I586)&amp;"."&amp;IF(J586&lt;=K586,J586,IF(J586=K586+1,200,IF(J586=K586+2,201,250)))&amp;".0/24",""))</f>
        <v/>
      </c>
      <c r="D586" s="0" t="str">
        <f aca="false">IF(I586="","",IF(AND(J586&gt;=1,J586&lt;=K586+3),"255.255.255.0",""))</f>
        <v/>
      </c>
      <c r="E586" s="0" t="str">
        <f aca="false">IF(I586="","",IF(AND(J586&gt;=1,J586&lt;=K586+3),"10."&amp;INDEX(Eingabe!$D$9:$D$18,I586)&amp;"."&amp;IF(J586&lt;=K586,J586,IF(J586=K586+1,200,IF(J586=K586+2,201,250)))&amp;".1",""))</f>
        <v/>
      </c>
      <c r="F586" s="0" t="str">
        <f aca="false">IF(I586="","",IF(AND(J586&gt;=1,J586&lt;=K586+3),"10."&amp;INDEX(Eingabe!$D$9:$D$18,I586)&amp;"."&amp;IF(J586&lt;=K586,J586,IF(J586=K586+1,200,IF(J586=K586+2,201,250)))&amp;".10 – 10."&amp;INDEX(Eingabe!$D$9:$D$18,I586)&amp;"."&amp;IF(J586&lt;=K586,J586,IF(J586=K586+1,200,IF(J586=K586+2,201,250)))&amp;".250",""))</f>
        <v/>
      </c>
      <c r="G586" s="0" t="str">
        <f aca="false">IF(I586="","",IF(AND(J586&gt;=1,J586&lt;=K586),Eingabe!$B$6&amp;"-"&amp;INDEX(Eingabe!$C$9:$C$18,I586)&amp;"-Pächter  ·  Passwort Parzelle "&amp;J586,IF(J586=K586+1,Eingabe!$B$6&amp;"-"&amp;INDEX(Eingabe!$C$9:$C$18,I586)&amp;"-Vorstand  ·  eigenes WLAN",IF(J586=K586+2,Eingabe!$B$6&amp;"-"&amp;INDEX(Eingabe!$C$9:$C$18,I586)&amp;"-Gäste  ·  Voucher",IF(J586=K586+3,"Kabel  ·  Access Point y = .(50+y), Mast-Switch x = .(10+x)","")))))</f>
        <v/>
      </c>
      <c r="I586" s="0" t="str">
        <f aca="false">IF(581&lt;=(Eingabe!$P$18+Eingabe!$Q$18-1),MATCH(581,Eingabe!$P$9:$P$18,1),"")</f>
        <v/>
      </c>
      <c r="J586" s="0" t="str">
        <f aca="false">IF(I586="","",581-INDEX(Eingabe!$P$9:$P$18,I586))</f>
        <v/>
      </c>
      <c r="K586" s="0" t="str">
        <f aca="false">IF(I586="","",INDEX(Eingabe!$E$9:$E$18,I586))</f>
        <v/>
      </c>
    </row>
    <row r="587" customFormat="false" ht="15" hidden="false" customHeight="false" outlineLevel="0" collapsed="false">
      <c r="A587" s="0" t="str">
        <f aca="false">IF(I587="","",IF(J587=0,"Sparte "&amp;I587&amp;": "&amp;INDEX(Eingabe!$B$9:$B$18,I587)&amp;"  (Sparten-ID "&amp;INDEX(Eingabe!$D$9:$D$18,I587)&amp;", "&amp;K587&amp;" Parzellen)",IF(J587&lt;=K587,"   Parzelle "&amp;J587,IF(J587=K587+1,"   Vorstand",IF(J587=K587+2,"   Gäste",IF(J587=K587+3,"   Technik (Switches, Access Points)",""))))))</f>
        <v/>
      </c>
      <c r="B587" s="0" t="str">
        <f aca="false">IF(I587="","",IF(AND(J587&gt;=1,J587&lt;=K587+3),IF(J587&lt;=K587,IF(J587&lt;=99,IF((INDEX(Eingabe!$G$9:$G$18,I587))&lt;=9,1000+(INDEX(Eingabe!$G$9:$G$18,I587))*100,3000)+J587,IF((INDEX(Eingabe!$G$9:$G$18,I587)+1)&lt;=9,1000+(INDEX(Eingabe!$G$9:$G$18,I587)+1)*100,3000)+J587-100),IF(J587=K587+1,2000+INDEX(Eingabe!$G$9:$G$18,I587)*10+1,IF(J587=K587+2,2000+INDEX(Eingabe!$G$9:$G$18,I587)*10+2,2000+INDEX(Eingabe!$G$9:$G$18,I587)*10+9))),""))</f>
        <v/>
      </c>
      <c r="C587" s="0" t="str">
        <f aca="false">IF(I587="","",IF(AND(J587&gt;=1,J587&lt;=K587+3),"10."&amp;INDEX(Eingabe!$D$9:$D$18,I587)&amp;"."&amp;IF(J587&lt;=K587,J587,IF(J587=K587+1,200,IF(J587=K587+2,201,250)))&amp;".0/24",""))</f>
        <v/>
      </c>
      <c r="D587" s="0" t="str">
        <f aca="false">IF(I587="","",IF(AND(J587&gt;=1,J587&lt;=K587+3),"255.255.255.0",""))</f>
        <v/>
      </c>
      <c r="E587" s="0" t="str">
        <f aca="false">IF(I587="","",IF(AND(J587&gt;=1,J587&lt;=K587+3),"10."&amp;INDEX(Eingabe!$D$9:$D$18,I587)&amp;"."&amp;IF(J587&lt;=K587,J587,IF(J587=K587+1,200,IF(J587=K587+2,201,250)))&amp;".1",""))</f>
        <v/>
      </c>
      <c r="F587" s="0" t="str">
        <f aca="false">IF(I587="","",IF(AND(J587&gt;=1,J587&lt;=K587+3),"10."&amp;INDEX(Eingabe!$D$9:$D$18,I587)&amp;"."&amp;IF(J587&lt;=K587,J587,IF(J587=K587+1,200,IF(J587=K587+2,201,250)))&amp;".10 – 10."&amp;INDEX(Eingabe!$D$9:$D$18,I587)&amp;"."&amp;IF(J587&lt;=K587,J587,IF(J587=K587+1,200,IF(J587=K587+2,201,250)))&amp;".250",""))</f>
        <v/>
      </c>
      <c r="G587" s="0" t="str">
        <f aca="false">IF(I587="","",IF(AND(J587&gt;=1,J587&lt;=K587),Eingabe!$B$6&amp;"-"&amp;INDEX(Eingabe!$C$9:$C$18,I587)&amp;"-Pächter  ·  Passwort Parzelle "&amp;J587,IF(J587=K587+1,Eingabe!$B$6&amp;"-"&amp;INDEX(Eingabe!$C$9:$C$18,I587)&amp;"-Vorstand  ·  eigenes WLAN",IF(J587=K587+2,Eingabe!$B$6&amp;"-"&amp;INDEX(Eingabe!$C$9:$C$18,I587)&amp;"-Gäste  ·  Voucher",IF(J587=K587+3,"Kabel  ·  Access Point y = .(50+y), Mast-Switch x = .(10+x)","")))))</f>
        <v/>
      </c>
      <c r="I587" s="0" t="str">
        <f aca="false">IF(582&lt;=(Eingabe!$P$18+Eingabe!$Q$18-1),MATCH(582,Eingabe!$P$9:$P$18,1),"")</f>
        <v/>
      </c>
      <c r="J587" s="0" t="str">
        <f aca="false">IF(I587="","",582-INDEX(Eingabe!$P$9:$P$18,I587))</f>
        <v/>
      </c>
      <c r="K587" s="0" t="str">
        <f aca="false">IF(I587="","",INDEX(Eingabe!$E$9:$E$18,I587))</f>
        <v/>
      </c>
    </row>
    <row r="588" customFormat="false" ht="15" hidden="false" customHeight="false" outlineLevel="0" collapsed="false">
      <c r="A588" s="0" t="str">
        <f aca="false">IF(I588="","",IF(J588=0,"Sparte "&amp;I588&amp;": "&amp;INDEX(Eingabe!$B$9:$B$18,I588)&amp;"  (Sparten-ID "&amp;INDEX(Eingabe!$D$9:$D$18,I588)&amp;", "&amp;K588&amp;" Parzellen)",IF(J588&lt;=K588,"   Parzelle "&amp;J588,IF(J588=K588+1,"   Vorstand",IF(J588=K588+2,"   Gäste",IF(J588=K588+3,"   Technik (Switches, Access Points)",""))))))</f>
        <v/>
      </c>
      <c r="B588" s="0" t="str">
        <f aca="false">IF(I588="","",IF(AND(J588&gt;=1,J588&lt;=K588+3),IF(J588&lt;=K588,IF(J588&lt;=99,IF((INDEX(Eingabe!$G$9:$G$18,I588))&lt;=9,1000+(INDEX(Eingabe!$G$9:$G$18,I588))*100,3000)+J588,IF((INDEX(Eingabe!$G$9:$G$18,I588)+1)&lt;=9,1000+(INDEX(Eingabe!$G$9:$G$18,I588)+1)*100,3000)+J588-100),IF(J588=K588+1,2000+INDEX(Eingabe!$G$9:$G$18,I588)*10+1,IF(J588=K588+2,2000+INDEX(Eingabe!$G$9:$G$18,I588)*10+2,2000+INDEX(Eingabe!$G$9:$G$18,I588)*10+9))),""))</f>
        <v/>
      </c>
      <c r="C588" s="0" t="str">
        <f aca="false">IF(I588="","",IF(AND(J588&gt;=1,J588&lt;=K588+3),"10."&amp;INDEX(Eingabe!$D$9:$D$18,I588)&amp;"."&amp;IF(J588&lt;=K588,J588,IF(J588=K588+1,200,IF(J588=K588+2,201,250)))&amp;".0/24",""))</f>
        <v/>
      </c>
      <c r="D588" s="0" t="str">
        <f aca="false">IF(I588="","",IF(AND(J588&gt;=1,J588&lt;=K588+3),"255.255.255.0",""))</f>
        <v/>
      </c>
      <c r="E588" s="0" t="str">
        <f aca="false">IF(I588="","",IF(AND(J588&gt;=1,J588&lt;=K588+3),"10."&amp;INDEX(Eingabe!$D$9:$D$18,I588)&amp;"."&amp;IF(J588&lt;=K588,J588,IF(J588=K588+1,200,IF(J588=K588+2,201,250)))&amp;".1",""))</f>
        <v/>
      </c>
      <c r="F588" s="0" t="str">
        <f aca="false">IF(I588="","",IF(AND(J588&gt;=1,J588&lt;=K588+3),"10."&amp;INDEX(Eingabe!$D$9:$D$18,I588)&amp;"."&amp;IF(J588&lt;=K588,J588,IF(J588=K588+1,200,IF(J588=K588+2,201,250)))&amp;".10 – 10."&amp;INDEX(Eingabe!$D$9:$D$18,I588)&amp;"."&amp;IF(J588&lt;=K588,J588,IF(J588=K588+1,200,IF(J588=K588+2,201,250)))&amp;".250",""))</f>
        <v/>
      </c>
      <c r="G588" s="0" t="str">
        <f aca="false">IF(I588="","",IF(AND(J588&gt;=1,J588&lt;=K588),Eingabe!$B$6&amp;"-"&amp;INDEX(Eingabe!$C$9:$C$18,I588)&amp;"-Pächter  ·  Passwort Parzelle "&amp;J588,IF(J588=K588+1,Eingabe!$B$6&amp;"-"&amp;INDEX(Eingabe!$C$9:$C$18,I588)&amp;"-Vorstand  ·  eigenes WLAN",IF(J588=K588+2,Eingabe!$B$6&amp;"-"&amp;INDEX(Eingabe!$C$9:$C$18,I588)&amp;"-Gäste  ·  Voucher",IF(J588=K588+3,"Kabel  ·  Access Point y = .(50+y), Mast-Switch x = .(10+x)","")))))</f>
        <v/>
      </c>
      <c r="I588" s="0" t="str">
        <f aca="false">IF(583&lt;=(Eingabe!$P$18+Eingabe!$Q$18-1),MATCH(583,Eingabe!$P$9:$P$18,1),"")</f>
        <v/>
      </c>
      <c r="J588" s="0" t="str">
        <f aca="false">IF(I588="","",583-INDEX(Eingabe!$P$9:$P$18,I588))</f>
        <v/>
      </c>
      <c r="K588" s="0" t="str">
        <f aca="false">IF(I588="","",INDEX(Eingabe!$E$9:$E$18,I588))</f>
        <v/>
      </c>
    </row>
    <row r="589" customFormat="false" ht="15" hidden="false" customHeight="false" outlineLevel="0" collapsed="false">
      <c r="A589" s="0" t="str">
        <f aca="false">IF(I589="","",IF(J589=0,"Sparte "&amp;I589&amp;": "&amp;INDEX(Eingabe!$B$9:$B$18,I589)&amp;"  (Sparten-ID "&amp;INDEX(Eingabe!$D$9:$D$18,I589)&amp;", "&amp;K589&amp;" Parzellen)",IF(J589&lt;=K589,"   Parzelle "&amp;J589,IF(J589=K589+1,"   Vorstand",IF(J589=K589+2,"   Gäste",IF(J589=K589+3,"   Technik (Switches, Access Points)",""))))))</f>
        <v/>
      </c>
      <c r="B589" s="0" t="str">
        <f aca="false">IF(I589="","",IF(AND(J589&gt;=1,J589&lt;=K589+3),IF(J589&lt;=K589,IF(J589&lt;=99,IF((INDEX(Eingabe!$G$9:$G$18,I589))&lt;=9,1000+(INDEX(Eingabe!$G$9:$G$18,I589))*100,3000)+J589,IF((INDEX(Eingabe!$G$9:$G$18,I589)+1)&lt;=9,1000+(INDEX(Eingabe!$G$9:$G$18,I589)+1)*100,3000)+J589-100),IF(J589=K589+1,2000+INDEX(Eingabe!$G$9:$G$18,I589)*10+1,IF(J589=K589+2,2000+INDEX(Eingabe!$G$9:$G$18,I589)*10+2,2000+INDEX(Eingabe!$G$9:$G$18,I589)*10+9))),""))</f>
        <v/>
      </c>
      <c r="C589" s="0" t="str">
        <f aca="false">IF(I589="","",IF(AND(J589&gt;=1,J589&lt;=K589+3),"10."&amp;INDEX(Eingabe!$D$9:$D$18,I589)&amp;"."&amp;IF(J589&lt;=K589,J589,IF(J589=K589+1,200,IF(J589=K589+2,201,250)))&amp;".0/24",""))</f>
        <v/>
      </c>
      <c r="D589" s="0" t="str">
        <f aca="false">IF(I589="","",IF(AND(J589&gt;=1,J589&lt;=K589+3),"255.255.255.0",""))</f>
        <v/>
      </c>
      <c r="E589" s="0" t="str">
        <f aca="false">IF(I589="","",IF(AND(J589&gt;=1,J589&lt;=K589+3),"10."&amp;INDEX(Eingabe!$D$9:$D$18,I589)&amp;"."&amp;IF(J589&lt;=K589,J589,IF(J589=K589+1,200,IF(J589=K589+2,201,250)))&amp;".1",""))</f>
        <v/>
      </c>
      <c r="F589" s="0" t="str">
        <f aca="false">IF(I589="","",IF(AND(J589&gt;=1,J589&lt;=K589+3),"10."&amp;INDEX(Eingabe!$D$9:$D$18,I589)&amp;"."&amp;IF(J589&lt;=K589,J589,IF(J589=K589+1,200,IF(J589=K589+2,201,250)))&amp;".10 – 10."&amp;INDEX(Eingabe!$D$9:$D$18,I589)&amp;"."&amp;IF(J589&lt;=K589,J589,IF(J589=K589+1,200,IF(J589=K589+2,201,250)))&amp;".250",""))</f>
        <v/>
      </c>
      <c r="G589" s="0" t="str">
        <f aca="false">IF(I589="","",IF(AND(J589&gt;=1,J589&lt;=K589),Eingabe!$B$6&amp;"-"&amp;INDEX(Eingabe!$C$9:$C$18,I589)&amp;"-Pächter  ·  Passwort Parzelle "&amp;J589,IF(J589=K589+1,Eingabe!$B$6&amp;"-"&amp;INDEX(Eingabe!$C$9:$C$18,I589)&amp;"-Vorstand  ·  eigenes WLAN",IF(J589=K589+2,Eingabe!$B$6&amp;"-"&amp;INDEX(Eingabe!$C$9:$C$18,I589)&amp;"-Gäste  ·  Voucher",IF(J589=K589+3,"Kabel  ·  Access Point y = .(50+y), Mast-Switch x = .(10+x)","")))))</f>
        <v/>
      </c>
      <c r="I589" s="0" t="str">
        <f aca="false">IF(584&lt;=(Eingabe!$P$18+Eingabe!$Q$18-1),MATCH(584,Eingabe!$P$9:$P$18,1),"")</f>
        <v/>
      </c>
      <c r="J589" s="0" t="str">
        <f aca="false">IF(I589="","",584-INDEX(Eingabe!$P$9:$P$18,I589))</f>
        <v/>
      </c>
      <c r="K589" s="0" t="str">
        <f aca="false">IF(I589="","",INDEX(Eingabe!$E$9:$E$18,I589))</f>
        <v/>
      </c>
    </row>
    <row r="590" customFormat="false" ht="15" hidden="false" customHeight="false" outlineLevel="0" collapsed="false">
      <c r="A590" s="0" t="str">
        <f aca="false">IF(I590="","",IF(J590=0,"Sparte "&amp;I590&amp;": "&amp;INDEX(Eingabe!$B$9:$B$18,I590)&amp;"  (Sparten-ID "&amp;INDEX(Eingabe!$D$9:$D$18,I590)&amp;", "&amp;K590&amp;" Parzellen)",IF(J590&lt;=K590,"   Parzelle "&amp;J590,IF(J590=K590+1,"   Vorstand",IF(J590=K590+2,"   Gäste",IF(J590=K590+3,"   Technik (Switches, Access Points)",""))))))</f>
        <v/>
      </c>
      <c r="B590" s="0" t="str">
        <f aca="false">IF(I590="","",IF(AND(J590&gt;=1,J590&lt;=K590+3),IF(J590&lt;=K590,IF(J590&lt;=99,IF((INDEX(Eingabe!$G$9:$G$18,I590))&lt;=9,1000+(INDEX(Eingabe!$G$9:$G$18,I590))*100,3000)+J590,IF((INDEX(Eingabe!$G$9:$G$18,I590)+1)&lt;=9,1000+(INDEX(Eingabe!$G$9:$G$18,I590)+1)*100,3000)+J590-100),IF(J590=K590+1,2000+INDEX(Eingabe!$G$9:$G$18,I590)*10+1,IF(J590=K590+2,2000+INDEX(Eingabe!$G$9:$G$18,I590)*10+2,2000+INDEX(Eingabe!$G$9:$G$18,I590)*10+9))),""))</f>
        <v/>
      </c>
      <c r="C590" s="0" t="str">
        <f aca="false">IF(I590="","",IF(AND(J590&gt;=1,J590&lt;=K590+3),"10."&amp;INDEX(Eingabe!$D$9:$D$18,I590)&amp;"."&amp;IF(J590&lt;=K590,J590,IF(J590=K590+1,200,IF(J590=K590+2,201,250)))&amp;".0/24",""))</f>
        <v/>
      </c>
      <c r="D590" s="0" t="str">
        <f aca="false">IF(I590="","",IF(AND(J590&gt;=1,J590&lt;=K590+3),"255.255.255.0",""))</f>
        <v/>
      </c>
      <c r="E590" s="0" t="str">
        <f aca="false">IF(I590="","",IF(AND(J590&gt;=1,J590&lt;=K590+3),"10."&amp;INDEX(Eingabe!$D$9:$D$18,I590)&amp;"."&amp;IF(J590&lt;=K590,J590,IF(J590=K590+1,200,IF(J590=K590+2,201,250)))&amp;".1",""))</f>
        <v/>
      </c>
      <c r="F590" s="0" t="str">
        <f aca="false">IF(I590="","",IF(AND(J590&gt;=1,J590&lt;=K590+3),"10."&amp;INDEX(Eingabe!$D$9:$D$18,I590)&amp;"."&amp;IF(J590&lt;=K590,J590,IF(J590=K590+1,200,IF(J590=K590+2,201,250)))&amp;".10 – 10."&amp;INDEX(Eingabe!$D$9:$D$18,I590)&amp;"."&amp;IF(J590&lt;=K590,J590,IF(J590=K590+1,200,IF(J590=K590+2,201,250)))&amp;".250",""))</f>
        <v/>
      </c>
      <c r="G590" s="0" t="str">
        <f aca="false">IF(I590="","",IF(AND(J590&gt;=1,J590&lt;=K590),Eingabe!$B$6&amp;"-"&amp;INDEX(Eingabe!$C$9:$C$18,I590)&amp;"-Pächter  ·  Passwort Parzelle "&amp;J590,IF(J590=K590+1,Eingabe!$B$6&amp;"-"&amp;INDEX(Eingabe!$C$9:$C$18,I590)&amp;"-Vorstand  ·  eigenes WLAN",IF(J590=K590+2,Eingabe!$B$6&amp;"-"&amp;INDEX(Eingabe!$C$9:$C$18,I590)&amp;"-Gäste  ·  Voucher",IF(J590=K590+3,"Kabel  ·  Access Point y = .(50+y), Mast-Switch x = .(10+x)","")))))</f>
        <v/>
      </c>
      <c r="I590" s="0" t="str">
        <f aca="false">IF(585&lt;=(Eingabe!$P$18+Eingabe!$Q$18-1),MATCH(585,Eingabe!$P$9:$P$18,1),"")</f>
        <v/>
      </c>
      <c r="J590" s="0" t="str">
        <f aca="false">IF(I590="","",585-INDEX(Eingabe!$P$9:$P$18,I590))</f>
        <v/>
      </c>
      <c r="K590" s="0" t="str">
        <f aca="false">IF(I590="","",INDEX(Eingabe!$E$9:$E$18,I590))</f>
        <v/>
      </c>
    </row>
    <row r="591" customFormat="false" ht="15" hidden="false" customHeight="false" outlineLevel="0" collapsed="false">
      <c r="A591" s="0" t="str">
        <f aca="false">IF(I591="","",IF(J591=0,"Sparte "&amp;I591&amp;": "&amp;INDEX(Eingabe!$B$9:$B$18,I591)&amp;"  (Sparten-ID "&amp;INDEX(Eingabe!$D$9:$D$18,I591)&amp;", "&amp;K591&amp;" Parzellen)",IF(J591&lt;=K591,"   Parzelle "&amp;J591,IF(J591=K591+1,"   Vorstand",IF(J591=K591+2,"   Gäste",IF(J591=K591+3,"   Technik (Switches, Access Points)",""))))))</f>
        <v/>
      </c>
      <c r="B591" s="0" t="str">
        <f aca="false">IF(I591="","",IF(AND(J591&gt;=1,J591&lt;=K591+3),IF(J591&lt;=K591,IF(J591&lt;=99,IF((INDEX(Eingabe!$G$9:$G$18,I591))&lt;=9,1000+(INDEX(Eingabe!$G$9:$G$18,I591))*100,3000)+J591,IF((INDEX(Eingabe!$G$9:$G$18,I591)+1)&lt;=9,1000+(INDEX(Eingabe!$G$9:$G$18,I591)+1)*100,3000)+J591-100),IF(J591=K591+1,2000+INDEX(Eingabe!$G$9:$G$18,I591)*10+1,IF(J591=K591+2,2000+INDEX(Eingabe!$G$9:$G$18,I591)*10+2,2000+INDEX(Eingabe!$G$9:$G$18,I591)*10+9))),""))</f>
        <v/>
      </c>
      <c r="C591" s="0" t="str">
        <f aca="false">IF(I591="","",IF(AND(J591&gt;=1,J591&lt;=K591+3),"10."&amp;INDEX(Eingabe!$D$9:$D$18,I591)&amp;"."&amp;IF(J591&lt;=K591,J591,IF(J591=K591+1,200,IF(J591=K591+2,201,250)))&amp;".0/24",""))</f>
        <v/>
      </c>
      <c r="D591" s="0" t="str">
        <f aca="false">IF(I591="","",IF(AND(J591&gt;=1,J591&lt;=K591+3),"255.255.255.0",""))</f>
        <v/>
      </c>
      <c r="E591" s="0" t="str">
        <f aca="false">IF(I591="","",IF(AND(J591&gt;=1,J591&lt;=K591+3),"10."&amp;INDEX(Eingabe!$D$9:$D$18,I591)&amp;"."&amp;IF(J591&lt;=K591,J591,IF(J591=K591+1,200,IF(J591=K591+2,201,250)))&amp;".1",""))</f>
        <v/>
      </c>
      <c r="F591" s="0" t="str">
        <f aca="false">IF(I591="","",IF(AND(J591&gt;=1,J591&lt;=K591+3),"10."&amp;INDEX(Eingabe!$D$9:$D$18,I591)&amp;"."&amp;IF(J591&lt;=K591,J591,IF(J591=K591+1,200,IF(J591=K591+2,201,250)))&amp;".10 – 10."&amp;INDEX(Eingabe!$D$9:$D$18,I591)&amp;"."&amp;IF(J591&lt;=K591,J591,IF(J591=K591+1,200,IF(J591=K591+2,201,250)))&amp;".250",""))</f>
        <v/>
      </c>
      <c r="G591" s="0" t="str">
        <f aca="false">IF(I591="","",IF(AND(J591&gt;=1,J591&lt;=K591),Eingabe!$B$6&amp;"-"&amp;INDEX(Eingabe!$C$9:$C$18,I591)&amp;"-Pächter  ·  Passwort Parzelle "&amp;J591,IF(J591=K591+1,Eingabe!$B$6&amp;"-"&amp;INDEX(Eingabe!$C$9:$C$18,I591)&amp;"-Vorstand  ·  eigenes WLAN",IF(J591=K591+2,Eingabe!$B$6&amp;"-"&amp;INDEX(Eingabe!$C$9:$C$18,I591)&amp;"-Gäste  ·  Voucher",IF(J591=K591+3,"Kabel  ·  Access Point y = .(50+y), Mast-Switch x = .(10+x)","")))))</f>
        <v/>
      </c>
      <c r="I591" s="0" t="str">
        <f aca="false">IF(586&lt;=(Eingabe!$P$18+Eingabe!$Q$18-1),MATCH(586,Eingabe!$P$9:$P$18,1),"")</f>
        <v/>
      </c>
      <c r="J591" s="0" t="str">
        <f aca="false">IF(I591="","",586-INDEX(Eingabe!$P$9:$P$18,I591))</f>
        <v/>
      </c>
      <c r="K591" s="0" t="str">
        <f aca="false">IF(I591="","",INDEX(Eingabe!$E$9:$E$18,I591))</f>
        <v/>
      </c>
    </row>
    <row r="592" customFormat="false" ht="15" hidden="false" customHeight="false" outlineLevel="0" collapsed="false">
      <c r="A592" s="0" t="str">
        <f aca="false">IF(I592="","",IF(J592=0,"Sparte "&amp;I592&amp;": "&amp;INDEX(Eingabe!$B$9:$B$18,I592)&amp;"  (Sparten-ID "&amp;INDEX(Eingabe!$D$9:$D$18,I592)&amp;", "&amp;K592&amp;" Parzellen)",IF(J592&lt;=K592,"   Parzelle "&amp;J592,IF(J592=K592+1,"   Vorstand",IF(J592=K592+2,"   Gäste",IF(J592=K592+3,"   Technik (Switches, Access Points)",""))))))</f>
        <v/>
      </c>
      <c r="B592" s="0" t="str">
        <f aca="false">IF(I592="","",IF(AND(J592&gt;=1,J592&lt;=K592+3),IF(J592&lt;=K592,IF(J592&lt;=99,IF((INDEX(Eingabe!$G$9:$G$18,I592))&lt;=9,1000+(INDEX(Eingabe!$G$9:$G$18,I592))*100,3000)+J592,IF((INDEX(Eingabe!$G$9:$G$18,I592)+1)&lt;=9,1000+(INDEX(Eingabe!$G$9:$G$18,I592)+1)*100,3000)+J592-100),IF(J592=K592+1,2000+INDEX(Eingabe!$G$9:$G$18,I592)*10+1,IF(J592=K592+2,2000+INDEX(Eingabe!$G$9:$G$18,I592)*10+2,2000+INDEX(Eingabe!$G$9:$G$18,I592)*10+9))),""))</f>
        <v/>
      </c>
      <c r="C592" s="0" t="str">
        <f aca="false">IF(I592="","",IF(AND(J592&gt;=1,J592&lt;=K592+3),"10."&amp;INDEX(Eingabe!$D$9:$D$18,I592)&amp;"."&amp;IF(J592&lt;=K592,J592,IF(J592=K592+1,200,IF(J592=K592+2,201,250)))&amp;".0/24",""))</f>
        <v/>
      </c>
      <c r="D592" s="0" t="str">
        <f aca="false">IF(I592="","",IF(AND(J592&gt;=1,J592&lt;=K592+3),"255.255.255.0",""))</f>
        <v/>
      </c>
      <c r="E592" s="0" t="str">
        <f aca="false">IF(I592="","",IF(AND(J592&gt;=1,J592&lt;=K592+3),"10."&amp;INDEX(Eingabe!$D$9:$D$18,I592)&amp;"."&amp;IF(J592&lt;=K592,J592,IF(J592=K592+1,200,IF(J592=K592+2,201,250)))&amp;".1",""))</f>
        <v/>
      </c>
      <c r="F592" s="0" t="str">
        <f aca="false">IF(I592="","",IF(AND(J592&gt;=1,J592&lt;=K592+3),"10."&amp;INDEX(Eingabe!$D$9:$D$18,I592)&amp;"."&amp;IF(J592&lt;=K592,J592,IF(J592=K592+1,200,IF(J592=K592+2,201,250)))&amp;".10 – 10."&amp;INDEX(Eingabe!$D$9:$D$18,I592)&amp;"."&amp;IF(J592&lt;=K592,J592,IF(J592=K592+1,200,IF(J592=K592+2,201,250)))&amp;".250",""))</f>
        <v/>
      </c>
      <c r="G592" s="0" t="str">
        <f aca="false">IF(I592="","",IF(AND(J592&gt;=1,J592&lt;=K592),Eingabe!$B$6&amp;"-"&amp;INDEX(Eingabe!$C$9:$C$18,I592)&amp;"-Pächter  ·  Passwort Parzelle "&amp;J592,IF(J592=K592+1,Eingabe!$B$6&amp;"-"&amp;INDEX(Eingabe!$C$9:$C$18,I592)&amp;"-Vorstand  ·  eigenes WLAN",IF(J592=K592+2,Eingabe!$B$6&amp;"-"&amp;INDEX(Eingabe!$C$9:$C$18,I592)&amp;"-Gäste  ·  Voucher",IF(J592=K592+3,"Kabel  ·  Access Point y = .(50+y), Mast-Switch x = .(10+x)","")))))</f>
        <v/>
      </c>
      <c r="I592" s="0" t="str">
        <f aca="false">IF(587&lt;=(Eingabe!$P$18+Eingabe!$Q$18-1),MATCH(587,Eingabe!$P$9:$P$18,1),"")</f>
        <v/>
      </c>
      <c r="J592" s="0" t="str">
        <f aca="false">IF(I592="","",587-INDEX(Eingabe!$P$9:$P$18,I592))</f>
        <v/>
      </c>
      <c r="K592" s="0" t="str">
        <f aca="false">IF(I592="","",INDEX(Eingabe!$E$9:$E$18,I592))</f>
        <v/>
      </c>
    </row>
    <row r="593" customFormat="false" ht="15" hidden="false" customHeight="false" outlineLevel="0" collapsed="false">
      <c r="A593" s="0" t="str">
        <f aca="false">IF(I593="","",IF(J593=0,"Sparte "&amp;I593&amp;": "&amp;INDEX(Eingabe!$B$9:$B$18,I593)&amp;"  (Sparten-ID "&amp;INDEX(Eingabe!$D$9:$D$18,I593)&amp;", "&amp;K593&amp;" Parzellen)",IF(J593&lt;=K593,"   Parzelle "&amp;J593,IF(J593=K593+1,"   Vorstand",IF(J593=K593+2,"   Gäste",IF(J593=K593+3,"   Technik (Switches, Access Points)",""))))))</f>
        <v/>
      </c>
      <c r="B593" s="0" t="str">
        <f aca="false">IF(I593="","",IF(AND(J593&gt;=1,J593&lt;=K593+3),IF(J593&lt;=K593,IF(J593&lt;=99,IF((INDEX(Eingabe!$G$9:$G$18,I593))&lt;=9,1000+(INDEX(Eingabe!$G$9:$G$18,I593))*100,3000)+J593,IF((INDEX(Eingabe!$G$9:$G$18,I593)+1)&lt;=9,1000+(INDEX(Eingabe!$G$9:$G$18,I593)+1)*100,3000)+J593-100),IF(J593=K593+1,2000+INDEX(Eingabe!$G$9:$G$18,I593)*10+1,IF(J593=K593+2,2000+INDEX(Eingabe!$G$9:$G$18,I593)*10+2,2000+INDEX(Eingabe!$G$9:$G$18,I593)*10+9))),""))</f>
        <v/>
      </c>
      <c r="C593" s="0" t="str">
        <f aca="false">IF(I593="","",IF(AND(J593&gt;=1,J593&lt;=K593+3),"10."&amp;INDEX(Eingabe!$D$9:$D$18,I593)&amp;"."&amp;IF(J593&lt;=K593,J593,IF(J593=K593+1,200,IF(J593=K593+2,201,250)))&amp;".0/24",""))</f>
        <v/>
      </c>
      <c r="D593" s="0" t="str">
        <f aca="false">IF(I593="","",IF(AND(J593&gt;=1,J593&lt;=K593+3),"255.255.255.0",""))</f>
        <v/>
      </c>
      <c r="E593" s="0" t="str">
        <f aca="false">IF(I593="","",IF(AND(J593&gt;=1,J593&lt;=K593+3),"10."&amp;INDEX(Eingabe!$D$9:$D$18,I593)&amp;"."&amp;IF(J593&lt;=K593,J593,IF(J593=K593+1,200,IF(J593=K593+2,201,250)))&amp;".1",""))</f>
        <v/>
      </c>
      <c r="F593" s="0" t="str">
        <f aca="false">IF(I593="","",IF(AND(J593&gt;=1,J593&lt;=K593+3),"10."&amp;INDEX(Eingabe!$D$9:$D$18,I593)&amp;"."&amp;IF(J593&lt;=K593,J593,IF(J593=K593+1,200,IF(J593=K593+2,201,250)))&amp;".10 – 10."&amp;INDEX(Eingabe!$D$9:$D$18,I593)&amp;"."&amp;IF(J593&lt;=K593,J593,IF(J593=K593+1,200,IF(J593=K593+2,201,250)))&amp;".250",""))</f>
        <v/>
      </c>
      <c r="G593" s="0" t="str">
        <f aca="false">IF(I593="","",IF(AND(J593&gt;=1,J593&lt;=K593),Eingabe!$B$6&amp;"-"&amp;INDEX(Eingabe!$C$9:$C$18,I593)&amp;"-Pächter  ·  Passwort Parzelle "&amp;J593,IF(J593=K593+1,Eingabe!$B$6&amp;"-"&amp;INDEX(Eingabe!$C$9:$C$18,I593)&amp;"-Vorstand  ·  eigenes WLAN",IF(J593=K593+2,Eingabe!$B$6&amp;"-"&amp;INDEX(Eingabe!$C$9:$C$18,I593)&amp;"-Gäste  ·  Voucher",IF(J593=K593+3,"Kabel  ·  Access Point y = .(50+y), Mast-Switch x = .(10+x)","")))))</f>
        <v/>
      </c>
      <c r="I593" s="0" t="str">
        <f aca="false">IF(588&lt;=(Eingabe!$P$18+Eingabe!$Q$18-1),MATCH(588,Eingabe!$P$9:$P$18,1),"")</f>
        <v/>
      </c>
      <c r="J593" s="0" t="str">
        <f aca="false">IF(I593="","",588-INDEX(Eingabe!$P$9:$P$18,I593))</f>
        <v/>
      </c>
      <c r="K593" s="0" t="str">
        <f aca="false">IF(I593="","",INDEX(Eingabe!$E$9:$E$18,I593))</f>
        <v/>
      </c>
    </row>
    <row r="594" customFormat="false" ht="15" hidden="false" customHeight="false" outlineLevel="0" collapsed="false">
      <c r="A594" s="0" t="str">
        <f aca="false">IF(I594="","",IF(J594=0,"Sparte "&amp;I594&amp;": "&amp;INDEX(Eingabe!$B$9:$B$18,I594)&amp;"  (Sparten-ID "&amp;INDEX(Eingabe!$D$9:$D$18,I594)&amp;", "&amp;K594&amp;" Parzellen)",IF(J594&lt;=K594,"   Parzelle "&amp;J594,IF(J594=K594+1,"   Vorstand",IF(J594=K594+2,"   Gäste",IF(J594=K594+3,"   Technik (Switches, Access Points)",""))))))</f>
        <v/>
      </c>
      <c r="B594" s="0" t="str">
        <f aca="false">IF(I594="","",IF(AND(J594&gt;=1,J594&lt;=K594+3),IF(J594&lt;=K594,IF(J594&lt;=99,IF((INDEX(Eingabe!$G$9:$G$18,I594))&lt;=9,1000+(INDEX(Eingabe!$G$9:$G$18,I594))*100,3000)+J594,IF((INDEX(Eingabe!$G$9:$G$18,I594)+1)&lt;=9,1000+(INDEX(Eingabe!$G$9:$G$18,I594)+1)*100,3000)+J594-100),IF(J594=K594+1,2000+INDEX(Eingabe!$G$9:$G$18,I594)*10+1,IF(J594=K594+2,2000+INDEX(Eingabe!$G$9:$G$18,I594)*10+2,2000+INDEX(Eingabe!$G$9:$G$18,I594)*10+9))),""))</f>
        <v/>
      </c>
      <c r="C594" s="0" t="str">
        <f aca="false">IF(I594="","",IF(AND(J594&gt;=1,J594&lt;=K594+3),"10."&amp;INDEX(Eingabe!$D$9:$D$18,I594)&amp;"."&amp;IF(J594&lt;=K594,J594,IF(J594=K594+1,200,IF(J594=K594+2,201,250)))&amp;".0/24",""))</f>
        <v/>
      </c>
      <c r="D594" s="0" t="str">
        <f aca="false">IF(I594="","",IF(AND(J594&gt;=1,J594&lt;=K594+3),"255.255.255.0",""))</f>
        <v/>
      </c>
      <c r="E594" s="0" t="str">
        <f aca="false">IF(I594="","",IF(AND(J594&gt;=1,J594&lt;=K594+3),"10."&amp;INDEX(Eingabe!$D$9:$D$18,I594)&amp;"."&amp;IF(J594&lt;=K594,J594,IF(J594=K594+1,200,IF(J594=K594+2,201,250)))&amp;".1",""))</f>
        <v/>
      </c>
      <c r="F594" s="0" t="str">
        <f aca="false">IF(I594="","",IF(AND(J594&gt;=1,J594&lt;=K594+3),"10."&amp;INDEX(Eingabe!$D$9:$D$18,I594)&amp;"."&amp;IF(J594&lt;=K594,J594,IF(J594=K594+1,200,IF(J594=K594+2,201,250)))&amp;".10 – 10."&amp;INDEX(Eingabe!$D$9:$D$18,I594)&amp;"."&amp;IF(J594&lt;=K594,J594,IF(J594=K594+1,200,IF(J594=K594+2,201,250)))&amp;".250",""))</f>
        <v/>
      </c>
      <c r="G594" s="0" t="str">
        <f aca="false">IF(I594="","",IF(AND(J594&gt;=1,J594&lt;=K594),Eingabe!$B$6&amp;"-"&amp;INDEX(Eingabe!$C$9:$C$18,I594)&amp;"-Pächter  ·  Passwort Parzelle "&amp;J594,IF(J594=K594+1,Eingabe!$B$6&amp;"-"&amp;INDEX(Eingabe!$C$9:$C$18,I594)&amp;"-Vorstand  ·  eigenes WLAN",IF(J594=K594+2,Eingabe!$B$6&amp;"-"&amp;INDEX(Eingabe!$C$9:$C$18,I594)&amp;"-Gäste  ·  Voucher",IF(J594=K594+3,"Kabel  ·  Access Point y = .(50+y), Mast-Switch x = .(10+x)","")))))</f>
        <v/>
      </c>
      <c r="I594" s="0" t="str">
        <f aca="false">IF(589&lt;=(Eingabe!$P$18+Eingabe!$Q$18-1),MATCH(589,Eingabe!$P$9:$P$18,1),"")</f>
        <v/>
      </c>
      <c r="J594" s="0" t="str">
        <f aca="false">IF(I594="","",589-INDEX(Eingabe!$P$9:$P$18,I594))</f>
        <v/>
      </c>
      <c r="K594" s="0" t="str">
        <f aca="false">IF(I594="","",INDEX(Eingabe!$E$9:$E$18,I594))</f>
        <v/>
      </c>
    </row>
    <row r="595" customFormat="false" ht="15" hidden="false" customHeight="false" outlineLevel="0" collapsed="false">
      <c r="A595" s="0" t="str">
        <f aca="false">IF(I595="","",IF(J595=0,"Sparte "&amp;I595&amp;": "&amp;INDEX(Eingabe!$B$9:$B$18,I595)&amp;"  (Sparten-ID "&amp;INDEX(Eingabe!$D$9:$D$18,I595)&amp;", "&amp;K595&amp;" Parzellen)",IF(J595&lt;=K595,"   Parzelle "&amp;J595,IF(J595=K595+1,"   Vorstand",IF(J595=K595+2,"   Gäste",IF(J595=K595+3,"   Technik (Switches, Access Points)",""))))))</f>
        <v/>
      </c>
      <c r="B595" s="0" t="str">
        <f aca="false">IF(I595="","",IF(AND(J595&gt;=1,J595&lt;=K595+3),IF(J595&lt;=K595,IF(J595&lt;=99,IF((INDEX(Eingabe!$G$9:$G$18,I595))&lt;=9,1000+(INDEX(Eingabe!$G$9:$G$18,I595))*100,3000)+J595,IF((INDEX(Eingabe!$G$9:$G$18,I595)+1)&lt;=9,1000+(INDEX(Eingabe!$G$9:$G$18,I595)+1)*100,3000)+J595-100),IF(J595=K595+1,2000+INDEX(Eingabe!$G$9:$G$18,I595)*10+1,IF(J595=K595+2,2000+INDEX(Eingabe!$G$9:$G$18,I595)*10+2,2000+INDEX(Eingabe!$G$9:$G$18,I595)*10+9))),""))</f>
        <v/>
      </c>
      <c r="C595" s="0" t="str">
        <f aca="false">IF(I595="","",IF(AND(J595&gt;=1,J595&lt;=K595+3),"10."&amp;INDEX(Eingabe!$D$9:$D$18,I595)&amp;"."&amp;IF(J595&lt;=K595,J595,IF(J595=K595+1,200,IF(J595=K595+2,201,250)))&amp;".0/24",""))</f>
        <v/>
      </c>
      <c r="D595" s="0" t="str">
        <f aca="false">IF(I595="","",IF(AND(J595&gt;=1,J595&lt;=K595+3),"255.255.255.0",""))</f>
        <v/>
      </c>
      <c r="E595" s="0" t="str">
        <f aca="false">IF(I595="","",IF(AND(J595&gt;=1,J595&lt;=K595+3),"10."&amp;INDEX(Eingabe!$D$9:$D$18,I595)&amp;"."&amp;IF(J595&lt;=K595,J595,IF(J595=K595+1,200,IF(J595=K595+2,201,250)))&amp;".1",""))</f>
        <v/>
      </c>
      <c r="F595" s="0" t="str">
        <f aca="false">IF(I595="","",IF(AND(J595&gt;=1,J595&lt;=K595+3),"10."&amp;INDEX(Eingabe!$D$9:$D$18,I595)&amp;"."&amp;IF(J595&lt;=K595,J595,IF(J595=K595+1,200,IF(J595=K595+2,201,250)))&amp;".10 – 10."&amp;INDEX(Eingabe!$D$9:$D$18,I595)&amp;"."&amp;IF(J595&lt;=K595,J595,IF(J595=K595+1,200,IF(J595=K595+2,201,250)))&amp;".250",""))</f>
        <v/>
      </c>
      <c r="G595" s="0" t="str">
        <f aca="false">IF(I595="","",IF(AND(J595&gt;=1,J595&lt;=K595),Eingabe!$B$6&amp;"-"&amp;INDEX(Eingabe!$C$9:$C$18,I595)&amp;"-Pächter  ·  Passwort Parzelle "&amp;J595,IF(J595=K595+1,Eingabe!$B$6&amp;"-"&amp;INDEX(Eingabe!$C$9:$C$18,I595)&amp;"-Vorstand  ·  eigenes WLAN",IF(J595=K595+2,Eingabe!$B$6&amp;"-"&amp;INDEX(Eingabe!$C$9:$C$18,I595)&amp;"-Gäste  ·  Voucher",IF(J595=K595+3,"Kabel  ·  Access Point y = .(50+y), Mast-Switch x = .(10+x)","")))))</f>
        <v/>
      </c>
      <c r="I595" s="0" t="str">
        <f aca="false">IF(590&lt;=(Eingabe!$P$18+Eingabe!$Q$18-1),MATCH(590,Eingabe!$P$9:$P$18,1),"")</f>
        <v/>
      </c>
      <c r="J595" s="0" t="str">
        <f aca="false">IF(I595="","",590-INDEX(Eingabe!$P$9:$P$18,I595))</f>
        <v/>
      </c>
      <c r="K595" s="0" t="str">
        <f aca="false">IF(I595="","",INDEX(Eingabe!$E$9:$E$18,I595))</f>
        <v/>
      </c>
    </row>
    <row r="596" customFormat="false" ht="15" hidden="false" customHeight="false" outlineLevel="0" collapsed="false">
      <c r="A596" s="0" t="str">
        <f aca="false">IF(I596="","",IF(J596=0,"Sparte "&amp;I596&amp;": "&amp;INDEX(Eingabe!$B$9:$B$18,I596)&amp;"  (Sparten-ID "&amp;INDEX(Eingabe!$D$9:$D$18,I596)&amp;", "&amp;K596&amp;" Parzellen)",IF(J596&lt;=K596,"   Parzelle "&amp;J596,IF(J596=K596+1,"   Vorstand",IF(J596=K596+2,"   Gäste",IF(J596=K596+3,"   Technik (Switches, Access Points)",""))))))</f>
        <v/>
      </c>
      <c r="B596" s="0" t="str">
        <f aca="false">IF(I596="","",IF(AND(J596&gt;=1,J596&lt;=K596+3),IF(J596&lt;=K596,IF(J596&lt;=99,IF((INDEX(Eingabe!$G$9:$G$18,I596))&lt;=9,1000+(INDEX(Eingabe!$G$9:$G$18,I596))*100,3000)+J596,IF((INDEX(Eingabe!$G$9:$G$18,I596)+1)&lt;=9,1000+(INDEX(Eingabe!$G$9:$G$18,I596)+1)*100,3000)+J596-100),IF(J596=K596+1,2000+INDEX(Eingabe!$G$9:$G$18,I596)*10+1,IF(J596=K596+2,2000+INDEX(Eingabe!$G$9:$G$18,I596)*10+2,2000+INDEX(Eingabe!$G$9:$G$18,I596)*10+9))),""))</f>
        <v/>
      </c>
      <c r="C596" s="0" t="str">
        <f aca="false">IF(I596="","",IF(AND(J596&gt;=1,J596&lt;=K596+3),"10."&amp;INDEX(Eingabe!$D$9:$D$18,I596)&amp;"."&amp;IF(J596&lt;=K596,J596,IF(J596=K596+1,200,IF(J596=K596+2,201,250)))&amp;".0/24",""))</f>
        <v/>
      </c>
      <c r="D596" s="0" t="str">
        <f aca="false">IF(I596="","",IF(AND(J596&gt;=1,J596&lt;=K596+3),"255.255.255.0",""))</f>
        <v/>
      </c>
      <c r="E596" s="0" t="str">
        <f aca="false">IF(I596="","",IF(AND(J596&gt;=1,J596&lt;=K596+3),"10."&amp;INDEX(Eingabe!$D$9:$D$18,I596)&amp;"."&amp;IF(J596&lt;=K596,J596,IF(J596=K596+1,200,IF(J596=K596+2,201,250)))&amp;".1",""))</f>
        <v/>
      </c>
      <c r="F596" s="0" t="str">
        <f aca="false">IF(I596="","",IF(AND(J596&gt;=1,J596&lt;=K596+3),"10."&amp;INDEX(Eingabe!$D$9:$D$18,I596)&amp;"."&amp;IF(J596&lt;=K596,J596,IF(J596=K596+1,200,IF(J596=K596+2,201,250)))&amp;".10 – 10."&amp;INDEX(Eingabe!$D$9:$D$18,I596)&amp;"."&amp;IF(J596&lt;=K596,J596,IF(J596=K596+1,200,IF(J596=K596+2,201,250)))&amp;".250",""))</f>
        <v/>
      </c>
      <c r="G596" s="0" t="str">
        <f aca="false">IF(I596="","",IF(AND(J596&gt;=1,J596&lt;=K596),Eingabe!$B$6&amp;"-"&amp;INDEX(Eingabe!$C$9:$C$18,I596)&amp;"-Pächter  ·  Passwort Parzelle "&amp;J596,IF(J596=K596+1,Eingabe!$B$6&amp;"-"&amp;INDEX(Eingabe!$C$9:$C$18,I596)&amp;"-Vorstand  ·  eigenes WLAN",IF(J596=K596+2,Eingabe!$B$6&amp;"-"&amp;INDEX(Eingabe!$C$9:$C$18,I596)&amp;"-Gäste  ·  Voucher",IF(J596=K596+3,"Kabel  ·  Access Point y = .(50+y), Mast-Switch x = .(10+x)","")))))</f>
        <v/>
      </c>
      <c r="I596" s="0" t="str">
        <f aca="false">IF(591&lt;=(Eingabe!$P$18+Eingabe!$Q$18-1),MATCH(591,Eingabe!$P$9:$P$18,1),"")</f>
        <v/>
      </c>
      <c r="J596" s="0" t="str">
        <f aca="false">IF(I596="","",591-INDEX(Eingabe!$P$9:$P$18,I596))</f>
        <v/>
      </c>
      <c r="K596" s="0" t="str">
        <f aca="false">IF(I596="","",INDEX(Eingabe!$E$9:$E$18,I596))</f>
        <v/>
      </c>
    </row>
    <row r="597" customFormat="false" ht="15" hidden="false" customHeight="false" outlineLevel="0" collapsed="false">
      <c r="A597" s="0" t="str">
        <f aca="false">IF(I597="","",IF(J597=0,"Sparte "&amp;I597&amp;": "&amp;INDEX(Eingabe!$B$9:$B$18,I597)&amp;"  (Sparten-ID "&amp;INDEX(Eingabe!$D$9:$D$18,I597)&amp;", "&amp;K597&amp;" Parzellen)",IF(J597&lt;=K597,"   Parzelle "&amp;J597,IF(J597=K597+1,"   Vorstand",IF(J597=K597+2,"   Gäste",IF(J597=K597+3,"   Technik (Switches, Access Points)",""))))))</f>
        <v/>
      </c>
      <c r="B597" s="0" t="str">
        <f aca="false">IF(I597="","",IF(AND(J597&gt;=1,J597&lt;=K597+3),IF(J597&lt;=K597,IF(J597&lt;=99,IF((INDEX(Eingabe!$G$9:$G$18,I597))&lt;=9,1000+(INDEX(Eingabe!$G$9:$G$18,I597))*100,3000)+J597,IF((INDEX(Eingabe!$G$9:$G$18,I597)+1)&lt;=9,1000+(INDEX(Eingabe!$G$9:$G$18,I597)+1)*100,3000)+J597-100),IF(J597=K597+1,2000+INDEX(Eingabe!$G$9:$G$18,I597)*10+1,IF(J597=K597+2,2000+INDEX(Eingabe!$G$9:$G$18,I597)*10+2,2000+INDEX(Eingabe!$G$9:$G$18,I597)*10+9))),""))</f>
        <v/>
      </c>
      <c r="C597" s="0" t="str">
        <f aca="false">IF(I597="","",IF(AND(J597&gt;=1,J597&lt;=K597+3),"10."&amp;INDEX(Eingabe!$D$9:$D$18,I597)&amp;"."&amp;IF(J597&lt;=K597,J597,IF(J597=K597+1,200,IF(J597=K597+2,201,250)))&amp;".0/24",""))</f>
        <v/>
      </c>
      <c r="D597" s="0" t="str">
        <f aca="false">IF(I597="","",IF(AND(J597&gt;=1,J597&lt;=K597+3),"255.255.255.0",""))</f>
        <v/>
      </c>
      <c r="E597" s="0" t="str">
        <f aca="false">IF(I597="","",IF(AND(J597&gt;=1,J597&lt;=K597+3),"10."&amp;INDEX(Eingabe!$D$9:$D$18,I597)&amp;"."&amp;IF(J597&lt;=K597,J597,IF(J597=K597+1,200,IF(J597=K597+2,201,250)))&amp;".1",""))</f>
        <v/>
      </c>
      <c r="F597" s="0" t="str">
        <f aca="false">IF(I597="","",IF(AND(J597&gt;=1,J597&lt;=K597+3),"10."&amp;INDEX(Eingabe!$D$9:$D$18,I597)&amp;"."&amp;IF(J597&lt;=K597,J597,IF(J597=K597+1,200,IF(J597=K597+2,201,250)))&amp;".10 – 10."&amp;INDEX(Eingabe!$D$9:$D$18,I597)&amp;"."&amp;IF(J597&lt;=K597,J597,IF(J597=K597+1,200,IF(J597=K597+2,201,250)))&amp;".250",""))</f>
        <v/>
      </c>
      <c r="G597" s="0" t="str">
        <f aca="false">IF(I597="","",IF(AND(J597&gt;=1,J597&lt;=K597),Eingabe!$B$6&amp;"-"&amp;INDEX(Eingabe!$C$9:$C$18,I597)&amp;"-Pächter  ·  Passwort Parzelle "&amp;J597,IF(J597=K597+1,Eingabe!$B$6&amp;"-"&amp;INDEX(Eingabe!$C$9:$C$18,I597)&amp;"-Vorstand  ·  eigenes WLAN",IF(J597=K597+2,Eingabe!$B$6&amp;"-"&amp;INDEX(Eingabe!$C$9:$C$18,I597)&amp;"-Gäste  ·  Voucher",IF(J597=K597+3,"Kabel  ·  Access Point y = .(50+y), Mast-Switch x = .(10+x)","")))))</f>
        <v/>
      </c>
      <c r="I597" s="0" t="str">
        <f aca="false">IF(592&lt;=(Eingabe!$P$18+Eingabe!$Q$18-1),MATCH(592,Eingabe!$P$9:$P$18,1),"")</f>
        <v/>
      </c>
      <c r="J597" s="0" t="str">
        <f aca="false">IF(I597="","",592-INDEX(Eingabe!$P$9:$P$18,I597))</f>
        <v/>
      </c>
      <c r="K597" s="0" t="str">
        <f aca="false">IF(I597="","",INDEX(Eingabe!$E$9:$E$18,I597))</f>
        <v/>
      </c>
    </row>
    <row r="598" customFormat="false" ht="15" hidden="false" customHeight="false" outlineLevel="0" collapsed="false">
      <c r="A598" s="0" t="str">
        <f aca="false">IF(I598="","",IF(J598=0,"Sparte "&amp;I598&amp;": "&amp;INDEX(Eingabe!$B$9:$B$18,I598)&amp;"  (Sparten-ID "&amp;INDEX(Eingabe!$D$9:$D$18,I598)&amp;", "&amp;K598&amp;" Parzellen)",IF(J598&lt;=K598,"   Parzelle "&amp;J598,IF(J598=K598+1,"   Vorstand",IF(J598=K598+2,"   Gäste",IF(J598=K598+3,"   Technik (Switches, Access Points)",""))))))</f>
        <v/>
      </c>
      <c r="B598" s="0" t="str">
        <f aca="false">IF(I598="","",IF(AND(J598&gt;=1,J598&lt;=K598+3),IF(J598&lt;=K598,IF(J598&lt;=99,IF((INDEX(Eingabe!$G$9:$G$18,I598))&lt;=9,1000+(INDEX(Eingabe!$G$9:$G$18,I598))*100,3000)+J598,IF((INDEX(Eingabe!$G$9:$G$18,I598)+1)&lt;=9,1000+(INDEX(Eingabe!$G$9:$G$18,I598)+1)*100,3000)+J598-100),IF(J598=K598+1,2000+INDEX(Eingabe!$G$9:$G$18,I598)*10+1,IF(J598=K598+2,2000+INDEX(Eingabe!$G$9:$G$18,I598)*10+2,2000+INDEX(Eingabe!$G$9:$G$18,I598)*10+9))),""))</f>
        <v/>
      </c>
      <c r="C598" s="0" t="str">
        <f aca="false">IF(I598="","",IF(AND(J598&gt;=1,J598&lt;=K598+3),"10."&amp;INDEX(Eingabe!$D$9:$D$18,I598)&amp;"."&amp;IF(J598&lt;=K598,J598,IF(J598=K598+1,200,IF(J598=K598+2,201,250)))&amp;".0/24",""))</f>
        <v/>
      </c>
      <c r="D598" s="0" t="str">
        <f aca="false">IF(I598="","",IF(AND(J598&gt;=1,J598&lt;=K598+3),"255.255.255.0",""))</f>
        <v/>
      </c>
      <c r="E598" s="0" t="str">
        <f aca="false">IF(I598="","",IF(AND(J598&gt;=1,J598&lt;=K598+3),"10."&amp;INDEX(Eingabe!$D$9:$D$18,I598)&amp;"."&amp;IF(J598&lt;=K598,J598,IF(J598=K598+1,200,IF(J598=K598+2,201,250)))&amp;".1",""))</f>
        <v/>
      </c>
      <c r="F598" s="0" t="str">
        <f aca="false">IF(I598="","",IF(AND(J598&gt;=1,J598&lt;=K598+3),"10."&amp;INDEX(Eingabe!$D$9:$D$18,I598)&amp;"."&amp;IF(J598&lt;=K598,J598,IF(J598=K598+1,200,IF(J598=K598+2,201,250)))&amp;".10 – 10."&amp;INDEX(Eingabe!$D$9:$D$18,I598)&amp;"."&amp;IF(J598&lt;=K598,J598,IF(J598=K598+1,200,IF(J598=K598+2,201,250)))&amp;".250",""))</f>
        <v/>
      </c>
      <c r="G598" s="0" t="str">
        <f aca="false">IF(I598="","",IF(AND(J598&gt;=1,J598&lt;=K598),Eingabe!$B$6&amp;"-"&amp;INDEX(Eingabe!$C$9:$C$18,I598)&amp;"-Pächter  ·  Passwort Parzelle "&amp;J598,IF(J598=K598+1,Eingabe!$B$6&amp;"-"&amp;INDEX(Eingabe!$C$9:$C$18,I598)&amp;"-Vorstand  ·  eigenes WLAN",IF(J598=K598+2,Eingabe!$B$6&amp;"-"&amp;INDEX(Eingabe!$C$9:$C$18,I598)&amp;"-Gäste  ·  Voucher",IF(J598=K598+3,"Kabel  ·  Access Point y = .(50+y), Mast-Switch x = .(10+x)","")))))</f>
        <v/>
      </c>
      <c r="I598" s="0" t="str">
        <f aca="false">IF(593&lt;=(Eingabe!$P$18+Eingabe!$Q$18-1),MATCH(593,Eingabe!$P$9:$P$18,1),"")</f>
        <v/>
      </c>
      <c r="J598" s="0" t="str">
        <f aca="false">IF(I598="","",593-INDEX(Eingabe!$P$9:$P$18,I598))</f>
        <v/>
      </c>
      <c r="K598" s="0" t="str">
        <f aca="false">IF(I598="","",INDEX(Eingabe!$E$9:$E$18,I598))</f>
        <v/>
      </c>
    </row>
    <row r="599" customFormat="false" ht="15" hidden="false" customHeight="false" outlineLevel="0" collapsed="false">
      <c r="A599" s="0" t="str">
        <f aca="false">IF(I599="","",IF(J599=0,"Sparte "&amp;I599&amp;": "&amp;INDEX(Eingabe!$B$9:$B$18,I599)&amp;"  (Sparten-ID "&amp;INDEX(Eingabe!$D$9:$D$18,I599)&amp;", "&amp;K599&amp;" Parzellen)",IF(J599&lt;=K599,"   Parzelle "&amp;J599,IF(J599=K599+1,"   Vorstand",IF(J599=K599+2,"   Gäste",IF(J599=K599+3,"   Technik (Switches, Access Points)",""))))))</f>
        <v/>
      </c>
      <c r="B599" s="0" t="str">
        <f aca="false">IF(I599="","",IF(AND(J599&gt;=1,J599&lt;=K599+3),IF(J599&lt;=K599,IF(J599&lt;=99,IF((INDEX(Eingabe!$G$9:$G$18,I599))&lt;=9,1000+(INDEX(Eingabe!$G$9:$G$18,I599))*100,3000)+J599,IF((INDEX(Eingabe!$G$9:$G$18,I599)+1)&lt;=9,1000+(INDEX(Eingabe!$G$9:$G$18,I599)+1)*100,3000)+J599-100),IF(J599=K599+1,2000+INDEX(Eingabe!$G$9:$G$18,I599)*10+1,IF(J599=K599+2,2000+INDEX(Eingabe!$G$9:$G$18,I599)*10+2,2000+INDEX(Eingabe!$G$9:$G$18,I599)*10+9))),""))</f>
        <v/>
      </c>
      <c r="C599" s="0" t="str">
        <f aca="false">IF(I599="","",IF(AND(J599&gt;=1,J599&lt;=K599+3),"10."&amp;INDEX(Eingabe!$D$9:$D$18,I599)&amp;"."&amp;IF(J599&lt;=K599,J599,IF(J599=K599+1,200,IF(J599=K599+2,201,250)))&amp;".0/24",""))</f>
        <v/>
      </c>
      <c r="D599" s="0" t="str">
        <f aca="false">IF(I599="","",IF(AND(J599&gt;=1,J599&lt;=K599+3),"255.255.255.0",""))</f>
        <v/>
      </c>
      <c r="E599" s="0" t="str">
        <f aca="false">IF(I599="","",IF(AND(J599&gt;=1,J599&lt;=K599+3),"10."&amp;INDEX(Eingabe!$D$9:$D$18,I599)&amp;"."&amp;IF(J599&lt;=K599,J599,IF(J599=K599+1,200,IF(J599=K599+2,201,250)))&amp;".1",""))</f>
        <v/>
      </c>
      <c r="F599" s="0" t="str">
        <f aca="false">IF(I599="","",IF(AND(J599&gt;=1,J599&lt;=K599+3),"10."&amp;INDEX(Eingabe!$D$9:$D$18,I599)&amp;"."&amp;IF(J599&lt;=K599,J599,IF(J599=K599+1,200,IF(J599=K599+2,201,250)))&amp;".10 – 10."&amp;INDEX(Eingabe!$D$9:$D$18,I599)&amp;"."&amp;IF(J599&lt;=K599,J599,IF(J599=K599+1,200,IF(J599=K599+2,201,250)))&amp;".250",""))</f>
        <v/>
      </c>
      <c r="G599" s="0" t="str">
        <f aca="false">IF(I599="","",IF(AND(J599&gt;=1,J599&lt;=K599),Eingabe!$B$6&amp;"-"&amp;INDEX(Eingabe!$C$9:$C$18,I599)&amp;"-Pächter  ·  Passwort Parzelle "&amp;J599,IF(J599=K599+1,Eingabe!$B$6&amp;"-"&amp;INDEX(Eingabe!$C$9:$C$18,I599)&amp;"-Vorstand  ·  eigenes WLAN",IF(J599=K599+2,Eingabe!$B$6&amp;"-"&amp;INDEX(Eingabe!$C$9:$C$18,I599)&amp;"-Gäste  ·  Voucher",IF(J599=K599+3,"Kabel  ·  Access Point y = .(50+y), Mast-Switch x = .(10+x)","")))))</f>
        <v/>
      </c>
      <c r="I599" s="0" t="str">
        <f aca="false">IF(594&lt;=(Eingabe!$P$18+Eingabe!$Q$18-1),MATCH(594,Eingabe!$P$9:$P$18,1),"")</f>
        <v/>
      </c>
      <c r="J599" s="0" t="str">
        <f aca="false">IF(I599="","",594-INDEX(Eingabe!$P$9:$P$18,I599))</f>
        <v/>
      </c>
      <c r="K599" s="0" t="str">
        <f aca="false">IF(I599="","",INDEX(Eingabe!$E$9:$E$18,I599))</f>
        <v/>
      </c>
    </row>
    <row r="600" customFormat="false" ht="15" hidden="false" customHeight="false" outlineLevel="0" collapsed="false">
      <c r="A600" s="0" t="str">
        <f aca="false">IF(I600="","",IF(J600=0,"Sparte "&amp;I600&amp;": "&amp;INDEX(Eingabe!$B$9:$B$18,I600)&amp;"  (Sparten-ID "&amp;INDEX(Eingabe!$D$9:$D$18,I600)&amp;", "&amp;K600&amp;" Parzellen)",IF(J600&lt;=K600,"   Parzelle "&amp;J600,IF(J600=K600+1,"   Vorstand",IF(J600=K600+2,"   Gäste",IF(J600=K600+3,"   Technik (Switches, Access Points)",""))))))</f>
        <v/>
      </c>
      <c r="B600" s="0" t="str">
        <f aca="false">IF(I600="","",IF(AND(J600&gt;=1,J600&lt;=K600+3),IF(J600&lt;=K600,IF(J600&lt;=99,IF((INDEX(Eingabe!$G$9:$G$18,I600))&lt;=9,1000+(INDEX(Eingabe!$G$9:$G$18,I600))*100,3000)+J600,IF((INDEX(Eingabe!$G$9:$G$18,I600)+1)&lt;=9,1000+(INDEX(Eingabe!$G$9:$G$18,I600)+1)*100,3000)+J600-100),IF(J600=K600+1,2000+INDEX(Eingabe!$G$9:$G$18,I600)*10+1,IF(J600=K600+2,2000+INDEX(Eingabe!$G$9:$G$18,I600)*10+2,2000+INDEX(Eingabe!$G$9:$G$18,I600)*10+9))),""))</f>
        <v/>
      </c>
      <c r="C600" s="0" t="str">
        <f aca="false">IF(I600="","",IF(AND(J600&gt;=1,J600&lt;=K600+3),"10."&amp;INDEX(Eingabe!$D$9:$D$18,I600)&amp;"."&amp;IF(J600&lt;=K600,J600,IF(J600=K600+1,200,IF(J600=K600+2,201,250)))&amp;".0/24",""))</f>
        <v/>
      </c>
      <c r="D600" s="0" t="str">
        <f aca="false">IF(I600="","",IF(AND(J600&gt;=1,J600&lt;=K600+3),"255.255.255.0",""))</f>
        <v/>
      </c>
      <c r="E600" s="0" t="str">
        <f aca="false">IF(I600="","",IF(AND(J600&gt;=1,J600&lt;=K600+3),"10."&amp;INDEX(Eingabe!$D$9:$D$18,I600)&amp;"."&amp;IF(J600&lt;=K600,J600,IF(J600=K600+1,200,IF(J600=K600+2,201,250)))&amp;".1",""))</f>
        <v/>
      </c>
      <c r="F600" s="0" t="str">
        <f aca="false">IF(I600="","",IF(AND(J600&gt;=1,J600&lt;=K600+3),"10."&amp;INDEX(Eingabe!$D$9:$D$18,I600)&amp;"."&amp;IF(J600&lt;=K600,J600,IF(J600=K600+1,200,IF(J600=K600+2,201,250)))&amp;".10 – 10."&amp;INDEX(Eingabe!$D$9:$D$18,I600)&amp;"."&amp;IF(J600&lt;=K600,J600,IF(J600=K600+1,200,IF(J600=K600+2,201,250)))&amp;".250",""))</f>
        <v/>
      </c>
      <c r="G600" s="0" t="str">
        <f aca="false">IF(I600="","",IF(AND(J600&gt;=1,J600&lt;=K600),Eingabe!$B$6&amp;"-"&amp;INDEX(Eingabe!$C$9:$C$18,I600)&amp;"-Pächter  ·  Passwort Parzelle "&amp;J600,IF(J600=K600+1,Eingabe!$B$6&amp;"-"&amp;INDEX(Eingabe!$C$9:$C$18,I600)&amp;"-Vorstand  ·  eigenes WLAN",IF(J600=K600+2,Eingabe!$B$6&amp;"-"&amp;INDEX(Eingabe!$C$9:$C$18,I600)&amp;"-Gäste  ·  Voucher",IF(J600=K600+3,"Kabel  ·  Access Point y = .(50+y), Mast-Switch x = .(10+x)","")))))</f>
        <v/>
      </c>
      <c r="I600" s="0" t="str">
        <f aca="false">IF(595&lt;=(Eingabe!$P$18+Eingabe!$Q$18-1),MATCH(595,Eingabe!$P$9:$P$18,1),"")</f>
        <v/>
      </c>
      <c r="J600" s="0" t="str">
        <f aca="false">IF(I600="","",595-INDEX(Eingabe!$P$9:$P$18,I600))</f>
        <v/>
      </c>
      <c r="K600" s="0" t="str">
        <f aca="false">IF(I600="","",INDEX(Eingabe!$E$9:$E$18,I600))</f>
        <v/>
      </c>
    </row>
    <row r="601" customFormat="false" ht="15" hidden="false" customHeight="false" outlineLevel="0" collapsed="false">
      <c r="A601" s="0" t="str">
        <f aca="false">IF(I601="","",IF(J601=0,"Sparte "&amp;I601&amp;": "&amp;INDEX(Eingabe!$B$9:$B$18,I601)&amp;"  (Sparten-ID "&amp;INDEX(Eingabe!$D$9:$D$18,I601)&amp;", "&amp;K601&amp;" Parzellen)",IF(J601&lt;=K601,"   Parzelle "&amp;J601,IF(J601=K601+1,"   Vorstand",IF(J601=K601+2,"   Gäste",IF(J601=K601+3,"   Technik (Switches, Access Points)",""))))))</f>
        <v/>
      </c>
      <c r="B601" s="0" t="str">
        <f aca="false">IF(I601="","",IF(AND(J601&gt;=1,J601&lt;=K601+3),IF(J601&lt;=K601,IF(J601&lt;=99,IF((INDEX(Eingabe!$G$9:$G$18,I601))&lt;=9,1000+(INDEX(Eingabe!$G$9:$G$18,I601))*100,3000)+J601,IF((INDEX(Eingabe!$G$9:$G$18,I601)+1)&lt;=9,1000+(INDEX(Eingabe!$G$9:$G$18,I601)+1)*100,3000)+J601-100),IF(J601=K601+1,2000+INDEX(Eingabe!$G$9:$G$18,I601)*10+1,IF(J601=K601+2,2000+INDEX(Eingabe!$G$9:$G$18,I601)*10+2,2000+INDEX(Eingabe!$G$9:$G$18,I601)*10+9))),""))</f>
        <v/>
      </c>
      <c r="C601" s="0" t="str">
        <f aca="false">IF(I601="","",IF(AND(J601&gt;=1,J601&lt;=K601+3),"10."&amp;INDEX(Eingabe!$D$9:$D$18,I601)&amp;"."&amp;IF(J601&lt;=K601,J601,IF(J601=K601+1,200,IF(J601=K601+2,201,250)))&amp;".0/24",""))</f>
        <v/>
      </c>
      <c r="D601" s="0" t="str">
        <f aca="false">IF(I601="","",IF(AND(J601&gt;=1,J601&lt;=K601+3),"255.255.255.0",""))</f>
        <v/>
      </c>
      <c r="E601" s="0" t="str">
        <f aca="false">IF(I601="","",IF(AND(J601&gt;=1,J601&lt;=K601+3),"10."&amp;INDEX(Eingabe!$D$9:$D$18,I601)&amp;"."&amp;IF(J601&lt;=K601,J601,IF(J601=K601+1,200,IF(J601=K601+2,201,250)))&amp;".1",""))</f>
        <v/>
      </c>
      <c r="F601" s="0" t="str">
        <f aca="false">IF(I601="","",IF(AND(J601&gt;=1,J601&lt;=K601+3),"10."&amp;INDEX(Eingabe!$D$9:$D$18,I601)&amp;"."&amp;IF(J601&lt;=K601,J601,IF(J601=K601+1,200,IF(J601=K601+2,201,250)))&amp;".10 – 10."&amp;INDEX(Eingabe!$D$9:$D$18,I601)&amp;"."&amp;IF(J601&lt;=K601,J601,IF(J601=K601+1,200,IF(J601=K601+2,201,250)))&amp;".250",""))</f>
        <v/>
      </c>
      <c r="G601" s="0" t="str">
        <f aca="false">IF(I601="","",IF(AND(J601&gt;=1,J601&lt;=K601),Eingabe!$B$6&amp;"-"&amp;INDEX(Eingabe!$C$9:$C$18,I601)&amp;"-Pächter  ·  Passwort Parzelle "&amp;J601,IF(J601=K601+1,Eingabe!$B$6&amp;"-"&amp;INDEX(Eingabe!$C$9:$C$18,I601)&amp;"-Vorstand  ·  eigenes WLAN",IF(J601=K601+2,Eingabe!$B$6&amp;"-"&amp;INDEX(Eingabe!$C$9:$C$18,I601)&amp;"-Gäste  ·  Voucher",IF(J601=K601+3,"Kabel  ·  Access Point y = .(50+y), Mast-Switch x = .(10+x)","")))))</f>
        <v/>
      </c>
      <c r="I601" s="0" t="str">
        <f aca="false">IF(596&lt;=(Eingabe!$P$18+Eingabe!$Q$18-1),MATCH(596,Eingabe!$P$9:$P$18,1),"")</f>
        <v/>
      </c>
      <c r="J601" s="0" t="str">
        <f aca="false">IF(I601="","",596-INDEX(Eingabe!$P$9:$P$18,I601))</f>
        <v/>
      </c>
      <c r="K601" s="0" t="str">
        <f aca="false">IF(I601="","",INDEX(Eingabe!$E$9:$E$18,I601))</f>
        <v/>
      </c>
    </row>
    <row r="602" customFormat="false" ht="15" hidden="false" customHeight="false" outlineLevel="0" collapsed="false">
      <c r="A602" s="0" t="str">
        <f aca="false">IF(I602="","",IF(J602=0,"Sparte "&amp;I602&amp;": "&amp;INDEX(Eingabe!$B$9:$B$18,I602)&amp;"  (Sparten-ID "&amp;INDEX(Eingabe!$D$9:$D$18,I602)&amp;", "&amp;K602&amp;" Parzellen)",IF(J602&lt;=K602,"   Parzelle "&amp;J602,IF(J602=K602+1,"   Vorstand",IF(J602=K602+2,"   Gäste",IF(J602=K602+3,"   Technik (Switches, Access Points)",""))))))</f>
        <v/>
      </c>
      <c r="B602" s="0" t="str">
        <f aca="false">IF(I602="","",IF(AND(J602&gt;=1,J602&lt;=K602+3),IF(J602&lt;=K602,IF(J602&lt;=99,IF((INDEX(Eingabe!$G$9:$G$18,I602))&lt;=9,1000+(INDEX(Eingabe!$G$9:$G$18,I602))*100,3000)+J602,IF((INDEX(Eingabe!$G$9:$G$18,I602)+1)&lt;=9,1000+(INDEX(Eingabe!$G$9:$G$18,I602)+1)*100,3000)+J602-100),IF(J602=K602+1,2000+INDEX(Eingabe!$G$9:$G$18,I602)*10+1,IF(J602=K602+2,2000+INDEX(Eingabe!$G$9:$G$18,I602)*10+2,2000+INDEX(Eingabe!$G$9:$G$18,I602)*10+9))),""))</f>
        <v/>
      </c>
      <c r="C602" s="0" t="str">
        <f aca="false">IF(I602="","",IF(AND(J602&gt;=1,J602&lt;=K602+3),"10."&amp;INDEX(Eingabe!$D$9:$D$18,I602)&amp;"."&amp;IF(J602&lt;=K602,J602,IF(J602=K602+1,200,IF(J602=K602+2,201,250)))&amp;".0/24",""))</f>
        <v/>
      </c>
      <c r="D602" s="0" t="str">
        <f aca="false">IF(I602="","",IF(AND(J602&gt;=1,J602&lt;=K602+3),"255.255.255.0",""))</f>
        <v/>
      </c>
      <c r="E602" s="0" t="str">
        <f aca="false">IF(I602="","",IF(AND(J602&gt;=1,J602&lt;=K602+3),"10."&amp;INDEX(Eingabe!$D$9:$D$18,I602)&amp;"."&amp;IF(J602&lt;=K602,J602,IF(J602=K602+1,200,IF(J602=K602+2,201,250)))&amp;".1",""))</f>
        <v/>
      </c>
      <c r="F602" s="0" t="str">
        <f aca="false">IF(I602="","",IF(AND(J602&gt;=1,J602&lt;=K602+3),"10."&amp;INDEX(Eingabe!$D$9:$D$18,I602)&amp;"."&amp;IF(J602&lt;=K602,J602,IF(J602=K602+1,200,IF(J602=K602+2,201,250)))&amp;".10 – 10."&amp;INDEX(Eingabe!$D$9:$D$18,I602)&amp;"."&amp;IF(J602&lt;=K602,J602,IF(J602=K602+1,200,IF(J602=K602+2,201,250)))&amp;".250",""))</f>
        <v/>
      </c>
      <c r="G602" s="0" t="str">
        <f aca="false">IF(I602="","",IF(AND(J602&gt;=1,J602&lt;=K602),Eingabe!$B$6&amp;"-"&amp;INDEX(Eingabe!$C$9:$C$18,I602)&amp;"-Pächter  ·  Passwort Parzelle "&amp;J602,IF(J602=K602+1,Eingabe!$B$6&amp;"-"&amp;INDEX(Eingabe!$C$9:$C$18,I602)&amp;"-Vorstand  ·  eigenes WLAN",IF(J602=K602+2,Eingabe!$B$6&amp;"-"&amp;INDEX(Eingabe!$C$9:$C$18,I602)&amp;"-Gäste  ·  Voucher",IF(J602=K602+3,"Kabel  ·  Access Point y = .(50+y), Mast-Switch x = .(10+x)","")))))</f>
        <v/>
      </c>
      <c r="I602" s="0" t="str">
        <f aca="false">IF(597&lt;=(Eingabe!$P$18+Eingabe!$Q$18-1),MATCH(597,Eingabe!$P$9:$P$18,1),"")</f>
        <v/>
      </c>
      <c r="J602" s="0" t="str">
        <f aca="false">IF(I602="","",597-INDEX(Eingabe!$P$9:$P$18,I602))</f>
        <v/>
      </c>
      <c r="K602" s="0" t="str">
        <f aca="false">IF(I602="","",INDEX(Eingabe!$E$9:$E$18,I602))</f>
        <v/>
      </c>
    </row>
    <row r="603" customFormat="false" ht="15" hidden="false" customHeight="false" outlineLevel="0" collapsed="false">
      <c r="A603" s="0" t="str">
        <f aca="false">IF(I603="","",IF(J603=0,"Sparte "&amp;I603&amp;": "&amp;INDEX(Eingabe!$B$9:$B$18,I603)&amp;"  (Sparten-ID "&amp;INDEX(Eingabe!$D$9:$D$18,I603)&amp;", "&amp;K603&amp;" Parzellen)",IF(J603&lt;=K603,"   Parzelle "&amp;J603,IF(J603=K603+1,"   Vorstand",IF(J603=K603+2,"   Gäste",IF(J603=K603+3,"   Technik (Switches, Access Points)",""))))))</f>
        <v/>
      </c>
      <c r="B603" s="0" t="str">
        <f aca="false">IF(I603="","",IF(AND(J603&gt;=1,J603&lt;=K603+3),IF(J603&lt;=K603,IF(J603&lt;=99,IF((INDEX(Eingabe!$G$9:$G$18,I603))&lt;=9,1000+(INDEX(Eingabe!$G$9:$G$18,I603))*100,3000)+J603,IF((INDEX(Eingabe!$G$9:$G$18,I603)+1)&lt;=9,1000+(INDEX(Eingabe!$G$9:$G$18,I603)+1)*100,3000)+J603-100),IF(J603=K603+1,2000+INDEX(Eingabe!$G$9:$G$18,I603)*10+1,IF(J603=K603+2,2000+INDEX(Eingabe!$G$9:$G$18,I603)*10+2,2000+INDEX(Eingabe!$G$9:$G$18,I603)*10+9))),""))</f>
        <v/>
      </c>
      <c r="C603" s="0" t="str">
        <f aca="false">IF(I603="","",IF(AND(J603&gt;=1,J603&lt;=K603+3),"10."&amp;INDEX(Eingabe!$D$9:$D$18,I603)&amp;"."&amp;IF(J603&lt;=K603,J603,IF(J603=K603+1,200,IF(J603=K603+2,201,250)))&amp;".0/24",""))</f>
        <v/>
      </c>
      <c r="D603" s="0" t="str">
        <f aca="false">IF(I603="","",IF(AND(J603&gt;=1,J603&lt;=K603+3),"255.255.255.0",""))</f>
        <v/>
      </c>
      <c r="E603" s="0" t="str">
        <f aca="false">IF(I603="","",IF(AND(J603&gt;=1,J603&lt;=K603+3),"10."&amp;INDEX(Eingabe!$D$9:$D$18,I603)&amp;"."&amp;IF(J603&lt;=K603,J603,IF(J603=K603+1,200,IF(J603=K603+2,201,250)))&amp;".1",""))</f>
        <v/>
      </c>
      <c r="F603" s="0" t="str">
        <f aca="false">IF(I603="","",IF(AND(J603&gt;=1,J603&lt;=K603+3),"10."&amp;INDEX(Eingabe!$D$9:$D$18,I603)&amp;"."&amp;IF(J603&lt;=K603,J603,IF(J603=K603+1,200,IF(J603=K603+2,201,250)))&amp;".10 – 10."&amp;INDEX(Eingabe!$D$9:$D$18,I603)&amp;"."&amp;IF(J603&lt;=K603,J603,IF(J603=K603+1,200,IF(J603=K603+2,201,250)))&amp;".250",""))</f>
        <v/>
      </c>
      <c r="G603" s="0" t="str">
        <f aca="false">IF(I603="","",IF(AND(J603&gt;=1,J603&lt;=K603),Eingabe!$B$6&amp;"-"&amp;INDEX(Eingabe!$C$9:$C$18,I603)&amp;"-Pächter  ·  Passwort Parzelle "&amp;J603,IF(J603=K603+1,Eingabe!$B$6&amp;"-"&amp;INDEX(Eingabe!$C$9:$C$18,I603)&amp;"-Vorstand  ·  eigenes WLAN",IF(J603=K603+2,Eingabe!$B$6&amp;"-"&amp;INDEX(Eingabe!$C$9:$C$18,I603)&amp;"-Gäste  ·  Voucher",IF(J603=K603+3,"Kabel  ·  Access Point y = .(50+y), Mast-Switch x = .(10+x)","")))))</f>
        <v/>
      </c>
      <c r="I603" s="0" t="str">
        <f aca="false">IF(598&lt;=(Eingabe!$P$18+Eingabe!$Q$18-1),MATCH(598,Eingabe!$P$9:$P$18,1),"")</f>
        <v/>
      </c>
      <c r="J603" s="0" t="str">
        <f aca="false">IF(I603="","",598-INDEX(Eingabe!$P$9:$P$18,I603))</f>
        <v/>
      </c>
      <c r="K603" s="0" t="str">
        <f aca="false">IF(I603="","",INDEX(Eingabe!$E$9:$E$18,I603))</f>
        <v/>
      </c>
    </row>
    <row r="604" customFormat="false" ht="15" hidden="false" customHeight="false" outlineLevel="0" collapsed="false">
      <c r="A604" s="0" t="str">
        <f aca="false">IF(I604="","",IF(J604=0,"Sparte "&amp;I604&amp;": "&amp;INDEX(Eingabe!$B$9:$B$18,I604)&amp;"  (Sparten-ID "&amp;INDEX(Eingabe!$D$9:$D$18,I604)&amp;", "&amp;K604&amp;" Parzellen)",IF(J604&lt;=K604,"   Parzelle "&amp;J604,IF(J604=K604+1,"   Vorstand",IF(J604=K604+2,"   Gäste",IF(J604=K604+3,"   Technik (Switches, Access Points)",""))))))</f>
        <v/>
      </c>
      <c r="B604" s="0" t="str">
        <f aca="false">IF(I604="","",IF(AND(J604&gt;=1,J604&lt;=K604+3),IF(J604&lt;=K604,IF(J604&lt;=99,IF((INDEX(Eingabe!$G$9:$G$18,I604))&lt;=9,1000+(INDEX(Eingabe!$G$9:$G$18,I604))*100,3000)+J604,IF((INDEX(Eingabe!$G$9:$G$18,I604)+1)&lt;=9,1000+(INDEX(Eingabe!$G$9:$G$18,I604)+1)*100,3000)+J604-100),IF(J604=K604+1,2000+INDEX(Eingabe!$G$9:$G$18,I604)*10+1,IF(J604=K604+2,2000+INDEX(Eingabe!$G$9:$G$18,I604)*10+2,2000+INDEX(Eingabe!$G$9:$G$18,I604)*10+9))),""))</f>
        <v/>
      </c>
      <c r="C604" s="0" t="str">
        <f aca="false">IF(I604="","",IF(AND(J604&gt;=1,J604&lt;=K604+3),"10."&amp;INDEX(Eingabe!$D$9:$D$18,I604)&amp;"."&amp;IF(J604&lt;=K604,J604,IF(J604=K604+1,200,IF(J604=K604+2,201,250)))&amp;".0/24",""))</f>
        <v/>
      </c>
      <c r="D604" s="0" t="str">
        <f aca="false">IF(I604="","",IF(AND(J604&gt;=1,J604&lt;=K604+3),"255.255.255.0",""))</f>
        <v/>
      </c>
      <c r="E604" s="0" t="str">
        <f aca="false">IF(I604="","",IF(AND(J604&gt;=1,J604&lt;=K604+3),"10."&amp;INDEX(Eingabe!$D$9:$D$18,I604)&amp;"."&amp;IF(J604&lt;=K604,J604,IF(J604=K604+1,200,IF(J604=K604+2,201,250)))&amp;".1",""))</f>
        <v/>
      </c>
      <c r="F604" s="0" t="str">
        <f aca="false">IF(I604="","",IF(AND(J604&gt;=1,J604&lt;=K604+3),"10."&amp;INDEX(Eingabe!$D$9:$D$18,I604)&amp;"."&amp;IF(J604&lt;=K604,J604,IF(J604=K604+1,200,IF(J604=K604+2,201,250)))&amp;".10 – 10."&amp;INDEX(Eingabe!$D$9:$D$18,I604)&amp;"."&amp;IF(J604&lt;=K604,J604,IF(J604=K604+1,200,IF(J604=K604+2,201,250)))&amp;".250",""))</f>
        <v/>
      </c>
      <c r="G604" s="0" t="str">
        <f aca="false">IF(I604="","",IF(AND(J604&gt;=1,J604&lt;=K604),Eingabe!$B$6&amp;"-"&amp;INDEX(Eingabe!$C$9:$C$18,I604)&amp;"-Pächter  ·  Passwort Parzelle "&amp;J604,IF(J604=K604+1,Eingabe!$B$6&amp;"-"&amp;INDEX(Eingabe!$C$9:$C$18,I604)&amp;"-Vorstand  ·  eigenes WLAN",IF(J604=K604+2,Eingabe!$B$6&amp;"-"&amp;INDEX(Eingabe!$C$9:$C$18,I604)&amp;"-Gäste  ·  Voucher",IF(J604=K604+3,"Kabel  ·  Access Point y = .(50+y), Mast-Switch x = .(10+x)","")))))</f>
        <v/>
      </c>
      <c r="I604" s="0" t="str">
        <f aca="false">IF(599&lt;=(Eingabe!$P$18+Eingabe!$Q$18-1),MATCH(599,Eingabe!$P$9:$P$18,1),"")</f>
        <v/>
      </c>
      <c r="J604" s="0" t="str">
        <f aca="false">IF(I604="","",599-INDEX(Eingabe!$P$9:$P$18,I604))</f>
        <v/>
      </c>
      <c r="K604" s="0" t="str">
        <f aca="false">IF(I604="","",INDEX(Eingabe!$E$9:$E$18,I604))</f>
        <v/>
      </c>
    </row>
    <row r="605" customFormat="false" ht="15" hidden="false" customHeight="false" outlineLevel="0" collapsed="false">
      <c r="A605" s="0" t="str">
        <f aca="false">IF(I605="","",IF(J605=0,"Sparte "&amp;I605&amp;": "&amp;INDEX(Eingabe!$B$9:$B$18,I605)&amp;"  (Sparten-ID "&amp;INDEX(Eingabe!$D$9:$D$18,I605)&amp;", "&amp;K605&amp;" Parzellen)",IF(J605&lt;=K605,"   Parzelle "&amp;J605,IF(J605=K605+1,"   Vorstand",IF(J605=K605+2,"   Gäste",IF(J605=K605+3,"   Technik (Switches, Access Points)",""))))))</f>
        <v/>
      </c>
      <c r="B605" s="0" t="str">
        <f aca="false">IF(I605="","",IF(AND(J605&gt;=1,J605&lt;=K605+3),IF(J605&lt;=K605,IF(J605&lt;=99,IF((INDEX(Eingabe!$G$9:$G$18,I605))&lt;=9,1000+(INDEX(Eingabe!$G$9:$G$18,I605))*100,3000)+J605,IF((INDEX(Eingabe!$G$9:$G$18,I605)+1)&lt;=9,1000+(INDEX(Eingabe!$G$9:$G$18,I605)+1)*100,3000)+J605-100),IF(J605=K605+1,2000+INDEX(Eingabe!$G$9:$G$18,I605)*10+1,IF(J605=K605+2,2000+INDEX(Eingabe!$G$9:$G$18,I605)*10+2,2000+INDEX(Eingabe!$G$9:$G$18,I605)*10+9))),""))</f>
        <v/>
      </c>
      <c r="C605" s="0" t="str">
        <f aca="false">IF(I605="","",IF(AND(J605&gt;=1,J605&lt;=K605+3),"10."&amp;INDEX(Eingabe!$D$9:$D$18,I605)&amp;"."&amp;IF(J605&lt;=K605,J605,IF(J605=K605+1,200,IF(J605=K605+2,201,250)))&amp;".0/24",""))</f>
        <v/>
      </c>
      <c r="D605" s="0" t="str">
        <f aca="false">IF(I605="","",IF(AND(J605&gt;=1,J605&lt;=K605+3),"255.255.255.0",""))</f>
        <v/>
      </c>
      <c r="E605" s="0" t="str">
        <f aca="false">IF(I605="","",IF(AND(J605&gt;=1,J605&lt;=K605+3),"10."&amp;INDEX(Eingabe!$D$9:$D$18,I605)&amp;"."&amp;IF(J605&lt;=K605,J605,IF(J605=K605+1,200,IF(J605=K605+2,201,250)))&amp;".1",""))</f>
        <v/>
      </c>
      <c r="F605" s="0" t="str">
        <f aca="false">IF(I605="","",IF(AND(J605&gt;=1,J605&lt;=K605+3),"10."&amp;INDEX(Eingabe!$D$9:$D$18,I605)&amp;"."&amp;IF(J605&lt;=K605,J605,IF(J605=K605+1,200,IF(J605=K605+2,201,250)))&amp;".10 – 10."&amp;INDEX(Eingabe!$D$9:$D$18,I605)&amp;"."&amp;IF(J605&lt;=K605,J605,IF(J605=K605+1,200,IF(J605=K605+2,201,250)))&amp;".250",""))</f>
        <v/>
      </c>
      <c r="G605" s="0" t="str">
        <f aca="false">IF(I605="","",IF(AND(J605&gt;=1,J605&lt;=K605),Eingabe!$B$6&amp;"-"&amp;INDEX(Eingabe!$C$9:$C$18,I605)&amp;"-Pächter  ·  Passwort Parzelle "&amp;J605,IF(J605=K605+1,Eingabe!$B$6&amp;"-"&amp;INDEX(Eingabe!$C$9:$C$18,I605)&amp;"-Vorstand  ·  eigenes WLAN",IF(J605=K605+2,Eingabe!$B$6&amp;"-"&amp;INDEX(Eingabe!$C$9:$C$18,I605)&amp;"-Gäste  ·  Voucher",IF(J605=K605+3,"Kabel  ·  Access Point y = .(50+y), Mast-Switch x = .(10+x)","")))))</f>
        <v/>
      </c>
      <c r="I605" s="0" t="str">
        <f aca="false">IF(600&lt;=(Eingabe!$P$18+Eingabe!$Q$18-1),MATCH(600,Eingabe!$P$9:$P$18,1),"")</f>
        <v/>
      </c>
      <c r="J605" s="0" t="str">
        <f aca="false">IF(I605="","",600-INDEX(Eingabe!$P$9:$P$18,I605))</f>
        <v/>
      </c>
      <c r="K605" s="0" t="str">
        <f aca="false">IF(I605="","",INDEX(Eingabe!$E$9:$E$18,I605))</f>
        <v/>
      </c>
    </row>
    <row r="606" customFormat="false" ht="15" hidden="false" customHeight="false" outlineLevel="0" collapsed="false">
      <c r="A606" s="0" t="str">
        <f aca="false">IF(I606="","",IF(J606=0,"Sparte "&amp;I606&amp;": "&amp;INDEX(Eingabe!$B$9:$B$18,I606)&amp;"  (Sparten-ID "&amp;INDEX(Eingabe!$D$9:$D$18,I606)&amp;", "&amp;K606&amp;" Parzellen)",IF(J606&lt;=K606,"   Parzelle "&amp;J606,IF(J606=K606+1,"   Vorstand",IF(J606=K606+2,"   Gäste",IF(J606=K606+3,"   Technik (Switches, Access Points)",""))))))</f>
        <v/>
      </c>
      <c r="B606" s="0" t="str">
        <f aca="false">IF(I606="","",IF(AND(J606&gt;=1,J606&lt;=K606+3),IF(J606&lt;=K606,IF(J606&lt;=99,IF((INDEX(Eingabe!$G$9:$G$18,I606))&lt;=9,1000+(INDEX(Eingabe!$G$9:$G$18,I606))*100,3000)+J606,IF((INDEX(Eingabe!$G$9:$G$18,I606)+1)&lt;=9,1000+(INDEX(Eingabe!$G$9:$G$18,I606)+1)*100,3000)+J606-100),IF(J606=K606+1,2000+INDEX(Eingabe!$G$9:$G$18,I606)*10+1,IF(J606=K606+2,2000+INDEX(Eingabe!$G$9:$G$18,I606)*10+2,2000+INDEX(Eingabe!$G$9:$G$18,I606)*10+9))),""))</f>
        <v/>
      </c>
      <c r="C606" s="0" t="str">
        <f aca="false">IF(I606="","",IF(AND(J606&gt;=1,J606&lt;=K606+3),"10."&amp;INDEX(Eingabe!$D$9:$D$18,I606)&amp;"."&amp;IF(J606&lt;=K606,J606,IF(J606=K606+1,200,IF(J606=K606+2,201,250)))&amp;".0/24",""))</f>
        <v/>
      </c>
      <c r="D606" s="0" t="str">
        <f aca="false">IF(I606="","",IF(AND(J606&gt;=1,J606&lt;=K606+3),"255.255.255.0",""))</f>
        <v/>
      </c>
      <c r="E606" s="0" t="str">
        <f aca="false">IF(I606="","",IF(AND(J606&gt;=1,J606&lt;=K606+3),"10."&amp;INDEX(Eingabe!$D$9:$D$18,I606)&amp;"."&amp;IF(J606&lt;=K606,J606,IF(J606=K606+1,200,IF(J606=K606+2,201,250)))&amp;".1",""))</f>
        <v/>
      </c>
      <c r="F606" s="0" t="str">
        <f aca="false">IF(I606="","",IF(AND(J606&gt;=1,J606&lt;=K606+3),"10."&amp;INDEX(Eingabe!$D$9:$D$18,I606)&amp;"."&amp;IF(J606&lt;=K606,J606,IF(J606=K606+1,200,IF(J606=K606+2,201,250)))&amp;".10 – 10."&amp;INDEX(Eingabe!$D$9:$D$18,I606)&amp;"."&amp;IF(J606&lt;=K606,J606,IF(J606=K606+1,200,IF(J606=K606+2,201,250)))&amp;".250",""))</f>
        <v/>
      </c>
      <c r="G606" s="0" t="str">
        <f aca="false">IF(I606="","",IF(AND(J606&gt;=1,J606&lt;=K606),Eingabe!$B$6&amp;"-"&amp;INDEX(Eingabe!$C$9:$C$18,I606)&amp;"-Pächter  ·  Passwort Parzelle "&amp;J606,IF(J606=K606+1,Eingabe!$B$6&amp;"-"&amp;INDEX(Eingabe!$C$9:$C$18,I606)&amp;"-Vorstand  ·  eigenes WLAN",IF(J606=K606+2,Eingabe!$B$6&amp;"-"&amp;INDEX(Eingabe!$C$9:$C$18,I606)&amp;"-Gäste  ·  Voucher",IF(J606=K606+3,"Kabel  ·  Access Point y = .(50+y), Mast-Switch x = .(10+x)","")))))</f>
        <v/>
      </c>
      <c r="I606" s="0" t="str">
        <f aca="false">IF(601&lt;=(Eingabe!$P$18+Eingabe!$Q$18-1),MATCH(601,Eingabe!$P$9:$P$18,1),"")</f>
        <v/>
      </c>
      <c r="J606" s="0" t="str">
        <f aca="false">IF(I606="","",601-INDEX(Eingabe!$P$9:$P$18,I606))</f>
        <v/>
      </c>
      <c r="K606" s="0" t="str">
        <f aca="false">IF(I606="","",INDEX(Eingabe!$E$9:$E$18,I606))</f>
        <v/>
      </c>
    </row>
    <row r="607" customFormat="false" ht="15" hidden="false" customHeight="false" outlineLevel="0" collapsed="false">
      <c r="A607" s="0" t="str">
        <f aca="false">IF(I607="","",IF(J607=0,"Sparte "&amp;I607&amp;": "&amp;INDEX(Eingabe!$B$9:$B$18,I607)&amp;"  (Sparten-ID "&amp;INDEX(Eingabe!$D$9:$D$18,I607)&amp;", "&amp;K607&amp;" Parzellen)",IF(J607&lt;=K607,"   Parzelle "&amp;J607,IF(J607=K607+1,"   Vorstand",IF(J607=K607+2,"   Gäste",IF(J607=K607+3,"   Technik (Switches, Access Points)",""))))))</f>
        <v/>
      </c>
      <c r="B607" s="0" t="str">
        <f aca="false">IF(I607="","",IF(AND(J607&gt;=1,J607&lt;=K607+3),IF(J607&lt;=K607,IF(J607&lt;=99,IF((INDEX(Eingabe!$G$9:$G$18,I607))&lt;=9,1000+(INDEX(Eingabe!$G$9:$G$18,I607))*100,3000)+J607,IF((INDEX(Eingabe!$G$9:$G$18,I607)+1)&lt;=9,1000+(INDEX(Eingabe!$G$9:$G$18,I607)+1)*100,3000)+J607-100),IF(J607=K607+1,2000+INDEX(Eingabe!$G$9:$G$18,I607)*10+1,IF(J607=K607+2,2000+INDEX(Eingabe!$G$9:$G$18,I607)*10+2,2000+INDEX(Eingabe!$G$9:$G$18,I607)*10+9))),""))</f>
        <v/>
      </c>
      <c r="C607" s="0" t="str">
        <f aca="false">IF(I607="","",IF(AND(J607&gt;=1,J607&lt;=K607+3),"10."&amp;INDEX(Eingabe!$D$9:$D$18,I607)&amp;"."&amp;IF(J607&lt;=K607,J607,IF(J607=K607+1,200,IF(J607=K607+2,201,250)))&amp;".0/24",""))</f>
        <v/>
      </c>
      <c r="D607" s="0" t="str">
        <f aca="false">IF(I607="","",IF(AND(J607&gt;=1,J607&lt;=K607+3),"255.255.255.0",""))</f>
        <v/>
      </c>
      <c r="E607" s="0" t="str">
        <f aca="false">IF(I607="","",IF(AND(J607&gt;=1,J607&lt;=K607+3),"10."&amp;INDEX(Eingabe!$D$9:$D$18,I607)&amp;"."&amp;IF(J607&lt;=K607,J607,IF(J607=K607+1,200,IF(J607=K607+2,201,250)))&amp;".1",""))</f>
        <v/>
      </c>
      <c r="F607" s="0" t="str">
        <f aca="false">IF(I607="","",IF(AND(J607&gt;=1,J607&lt;=K607+3),"10."&amp;INDEX(Eingabe!$D$9:$D$18,I607)&amp;"."&amp;IF(J607&lt;=K607,J607,IF(J607=K607+1,200,IF(J607=K607+2,201,250)))&amp;".10 – 10."&amp;INDEX(Eingabe!$D$9:$D$18,I607)&amp;"."&amp;IF(J607&lt;=K607,J607,IF(J607=K607+1,200,IF(J607=K607+2,201,250)))&amp;".250",""))</f>
        <v/>
      </c>
      <c r="G607" s="0" t="str">
        <f aca="false">IF(I607="","",IF(AND(J607&gt;=1,J607&lt;=K607),Eingabe!$B$6&amp;"-"&amp;INDEX(Eingabe!$C$9:$C$18,I607)&amp;"-Pächter  ·  Passwort Parzelle "&amp;J607,IF(J607=K607+1,Eingabe!$B$6&amp;"-"&amp;INDEX(Eingabe!$C$9:$C$18,I607)&amp;"-Vorstand  ·  eigenes WLAN",IF(J607=K607+2,Eingabe!$B$6&amp;"-"&amp;INDEX(Eingabe!$C$9:$C$18,I607)&amp;"-Gäste  ·  Voucher",IF(J607=K607+3,"Kabel  ·  Access Point y = .(50+y), Mast-Switch x = .(10+x)","")))))</f>
        <v/>
      </c>
      <c r="I607" s="0" t="str">
        <f aca="false">IF(602&lt;=(Eingabe!$P$18+Eingabe!$Q$18-1),MATCH(602,Eingabe!$P$9:$P$18,1),"")</f>
        <v/>
      </c>
      <c r="J607" s="0" t="str">
        <f aca="false">IF(I607="","",602-INDEX(Eingabe!$P$9:$P$18,I607))</f>
        <v/>
      </c>
      <c r="K607" s="0" t="str">
        <f aca="false">IF(I607="","",INDEX(Eingabe!$E$9:$E$18,I607))</f>
        <v/>
      </c>
    </row>
    <row r="608" customFormat="false" ht="15" hidden="false" customHeight="false" outlineLevel="0" collapsed="false">
      <c r="A608" s="0" t="str">
        <f aca="false">IF(I608="","",IF(J608=0,"Sparte "&amp;I608&amp;": "&amp;INDEX(Eingabe!$B$9:$B$18,I608)&amp;"  (Sparten-ID "&amp;INDEX(Eingabe!$D$9:$D$18,I608)&amp;", "&amp;K608&amp;" Parzellen)",IF(J608&lt;=K608,"   Parzelle "&amp;J608,IF(J608=K608+1,"   Vorstand",IF(J608=K608+2,"   Gäste",IF(J608=K608+3,"   Technik (Switches, Access Points)",""))))))</f>
        <v/>
      </c>
      <c r="B608" s="0" t="str">
        <f aca="false">IF(I608="","",IF(AND(J608&gt;=1,J608&lt;=K608+3),IF(J608&lt;=K608,IF(J608&lt;=99,IF((INDEX(Eingabe!$G$9:$G$18,I608))&lt;=9,1000+(INDEX(Eingabe!$G$9:$G$18,I608))*100,3000)+J608,IF((INDEX(Eingabe!$G$9:$G$18,I608)+1)&lt;=9,1000+(INDEX(Eingabe!$G$9:$G$18,I608)+1)*100,3000)+J608-100),IF(J608=K608+1,2000+INDEX(Eingabe!$G$9:$G$18,I608)*10+1,IF(J608=K608+2,2000+INDEX(Eingabe!$G$9:$G$18,I608)*10+2,2000+INDEX(Eingabe!$G$9:$G$18,I608)*10+9))),""))</f>
        <v/>
      </c>
      <c r="C608" s="0" t="str">
        <f aca="false">IF(I608="","",IF(AND(J608&gt;=1,J608&lt;=K608+3),"10."&amp;INDEX(Eingabe!$D$9:$D$18,I608)&amp;"."&amp;IF(J608&lt;=K608,J608,IF(J608=K608+1,200,IF(J608=K608+2,201,250)))&amp;".0/24",""))</f>
        <v/>
      </c>
      <c r="D608" s="0" t="str">
        <f aca="false">IF(I608="","",IF(AND(J608&gt;=1,J608&lt;=K608+3),"255.255.255.0",""))</f>
        <v/>
      </c>
      <c r="E608" s="0" t="str">
        <f aca="false">IF(I608="","",IF(AND(J608&gt;=1,J608&lt;=K608+3),"10."&amp;INDEX(Eingabe!$D$9:$D$18,I608)&amp;"."&amp;IF(J608&lt;=K608,J608,IF(J608=K608+1,200,IF(J608=K608+2,201,250)))&amp;".1",""))</f>
        <v/>
      </c>
      <c r="F608" s="0" t="str">
        <f aca="false">IF(I608="","",IF(AND(J608&gt;=1,J608&lt;=K608+3),"10."&amp;INDEX(Eingabe!$D$9:$D$18,I608)&amp;"."&amp;IF(J608&lt;=K608,J608,IF(J608=K608+1,200,IF(J608=K608+2,201,250)))&amp;".10 – 10."&amp;INDEX(Eingabe!$D$9:$D$18,I608)&amp;"."&amp;IF(J608&lt;=K608,J608,IF(J608=K608+1,200,IF(J608=K608+2,201,250)))&amp;".250",""))</f>
        <v/>
      </c>
      <c r="G608" s="0" t="str">
        <f aca="false">IF(I608="","",IF(AND(J608&gt;=1,J608&lt;=K608),Eingabe!$B$6&amp;"-"&amp;INDEX(Eingabe!$C$9:$C$18,I608)&amp;"-Pächter  ·  Passwort Parzelle "&amp;J608,IF(J608=K608+1,Eingabe!$B$6&amp;"-"&amp;INDEX(Eingabe!$C$9:$C$18,I608)&amp;"-Vorstand  ·  eigenes WLAN",IF(J608=K608+2,Eingabe!$B$6&amp;"-"&amp;INDEX(Eingabe!$C$9:$C$18,I608)&amp;"-Gäste  ·  Voucher",IF(J608=K608+3,"Kabel  ·  Access Point y = .(50+y), Mast-Switch x = .(10+x)","")))))</f>
        <v/>
      </c>
      <c r="I608" s="0" t="str">
        <f aca="false">IF(603&lt;=(Eingabe!$P$18+Eingabe!$Q$18-1),MATCH(603,Eingabe!$P$9:$P$18,1),"")</f>
        <v/>
      </c>
      <c r="J608" s="0" t="str">
        <f aca="false">IF(I608="","",603-INDEX(Eingabe!$P$9:$P$18,I608))</f>
        <v/>
      </c>
      <c r="K608" s="0" t="str">
        <f aca="false">IF(I608="","",INDEX(Eingabe!$E$9:$E$18,I608))</f>
        <v/>
      </c>
    </row>
    <row r="609" customFormat="false" ht="15" hidden="false" customHeight="false" outlineLevel="0" collapsed="false">
      <c r="A609" s="0" t="str">
        <f aca="false">IF(I609="","",IF(J609=0,"Sparte "&amp;I609&amp;": "&amp;INDEX(Eingabe!$B$9:$B$18,I609)&amp;"  (Sparten-ID "&amp;INDEX(Eingabe!$D$9:$D$18,I609)&amp;", "&amp;K609&amp;" Parzellen)",IF(J609&lt;=K609,"   Parzelle "&amp;J609,IF(J609=K609+1,"   Vorstand",IF(J609=K609+2,"   Gäste",IF(J609=K609+3,"   Technik (Switches, Access Points)",""))))))</f>
        <v/>
      </c>
      <c r="B609" s="0" t="str">
        <f aca="false">IF(I609="","",IF(AND(J609&gt;=1,J609&lt;=K609+3),IF(J609&lt;=K609,IF(J609&lt;=99,IF((INDEX(Eingabe!$G$9:$G$18,I609))&lt;=9,1000+(INDEX(Eingabe!$G$9:$G$18,I609))*100,3000)+J609,IF((INDEX(Eingabe!$G$9:$G$18,I609)+1)&lt;=9,1000+(INDEX(Eingabe!$G$9:$G$18,I609)+1)*100,3000)+J609-100),IF(J609=K609+1,2000+INDEX(Eingabe!$G$9:$G$18,I609)*10+1,IF(J609=K609+2,2000+INDEX(Eingabe!$G$9:$G$18,I609)*10+2,2000+INDEX(Eingabe!$G$9:$G$18,I609)*10+9))),""))</f>
        <v/>
      </c>
      <c r="C609" s="0" t="str">
        <f aca="false">IF(I609="","",IF(AND(J609&gt;=1,J609&lt;=K609+3),"10."&amp;INDEX(Eingabe!$D$9:$D$18,I609)&amp;"."&amp;IF(J609&lt;=K609,J609,IF(J609=K609+1,200,IF(J609=K609+2,201,250)))&amp;".0/24",""))</f>
        <v/>
      </c>
      <c r="D609" s="0" t="str">
        <f aca="false">IF(I609="","",IF(AND(J609&gt;=1,J609&lt;=K609+3),"255.255.255.0",""))</f>
        <v/>
      </c>
      <c r="E609" s="0" t="str">
        <f aca="false">IF(I609="","",IF(AND(J609&gt;=1,J609&lt;=K609+3),"10."&amp;INDEX(Eingabe!$D$9:$D$18,I609)&amp;"."&amp;IF(J609&lt;=K609,J609,IF(J609=K609+1,200,IF(J609=K609+2,201,250)))&amp;".1",""))</f>
        <v/>
      </c>
      <c r="F609" s="0" t="str">
        <f aca="false">IF(I609="","",IF(AND(J609&gt;=1,J609&lt;=K609+3),"10."&amp;INDEX(Eingabe!$D$9:$D$18,I609)&amp;"."&amp;IF(J609&lt;=K609,J609,IF(J609=K609+1,200,IF(J609=K609+2,201,250)))&amp;".10 – 10."&amp;INDEX(Eingabe!$D$9:$D$18,I609)&amp;"."&amp;IF(J609&lt;=K609,J609,IF(J609=K609+1,200,IF(J609=K609+2,201,250)))&amp;".250",""))</f>
        <v/>
      </c>
      <c r="G609" s="0" t="str">
        <f aca="false">IF(I609="","",IF(AND(J609&gt;=1,J609&lt;=K609),Eingabe!$B$6&amp;"-"&amp;INDEX(Eingabe!$C$9:$C$18,I609)&amp;"-Pächter  ·  Passwort Parzelle "&amp;J609,IF(J609=K609+1,Eingabe!$B$6&amp;"-"&amp;INDEX(Eingabe!$C$9:$C$18,I609)&amp;"-Vorstand  ·  eigenes WLAN",IF(J609=K609+2,Eingabe!$B$6&amp;"-"&amp;INDEX(Eingabe!$C$9:$C$18,I609)&amp;"-Gäste  ·  Voucher",IF(J609=K609+3,"Kabel  ·  Access Point y = .(50+y), Mast-Switch x = .(10+x)","")))))</f>
        <v/>
      </c>
      <c r="I609" s="0" t="str">
        <f aca="false">IF(604&lt;=(Eingabe!$P$18+Eingabe!$Q$18-1),MATCH(604,Eingabe!$P$9:$P$18,1),"")</f>
        <v/>
      </c>
      <c r="J609" s="0" t="str">
        <f aca="false">IF(I609="","",604-INDEX(Eingabe!$P$9:$P$18,I609))</f>
        <v/>
      </c>
      <c r="K609" s="0" t="str">
        <f aca="false">IF(I609="","",INDEX(Eingabe!$E$9:$E$18,I609))</f>
        <v/>
      </c>
    </row>
    <row r="610" customFormat="false" ht="15" hidden="false" customHeight="false" outlineLevel="0" collapsed="false">
      <c r="A610" s="0" t="str">
        <f aca="false">IF(I610="","",IF(J610=0,"Sparte "&amp;I610&amp;": "&amp;INDEX(Eingabe!$B$9:$B$18,I610)&amp;"  (Sparten-ID "&amp;INDEX(Eingabe!$D$9:$D$18,I610)&amp;", "&amp;K610&amp;" Parzellen)",IF(J610&lt;=K610,"   Parzelle "&amp;J610,IF(J610=K610+1,"   Vorstand",IF(J610=K610+2,"   Gäste",IF(J610=K610+3,"   Technik (Switches, Access Points)",""))))))</f>
        <v/>
      </c>
      <c r="B610" s="0" t="str">
        <f aca="false">IF(I610="","",IF(AND(J610&gt;=1,J610&lt;=K610+3),IF(J610&lt;=K610,IF(J610&lt;=99,IF((INDEX(Eingabe!$G$9:$G$18,I610))&lt;=9,1000+(INDEX(Eingabe!$G$9:$G$18,I610))*100,3000)+J610,IF((INDEX(Eingabe!$G$9:$G$18,I610)+1)&lt;=9,1000+(INDEX(Eingabe!$G$9:$G$18,I610)+1)*100,3000)+J610-100),IF(J610=K610+1,2000+INDEX(Eingabe!$G$9:$G$18,I610)*10+1,IF(J610=K610+2,2000+INDEX(Eingabe!$G$9:$G$18,I610)*10+2,2000+INDEX(Eingabe!$G$9:$G$18,I610)*10+9))),""))</f>
        <v/>
      </c>
      <c r="C610" s="0" t="str">
        <f aca="false">IF(I610="","",IF(AND(J610&gt;=1,J610&lt;=K610+3),"10."&amp;INDEX(Eingabe!$D$9:$D$18,I610)&amp;"."&amp;IF(J610&lt;=K610,J610,IF(J610=K610+1,200,IF(J610=K610+2,201,250)))&amp;".0/24",""))</f>
        <v/>
      </c>
      <c r="D610" s="0" t="str">
        <f aca="false">IF(I610="","",IF(AND(J610&gt;=1,J610&lt;=K610+3),"255.255.255.0",""))</f>
        <v/>
      </c>
      <c r="E610" s="0" t="str">
        <f aca="false">IF(I610="","",IF(AND(J610&gt;=1,J610&lt;=K610+3),"10."&amp;INDEX(Eingabe!$D$9:$D$18,I610)&amp;"."&amp;IF(J610&lt;=K610,J610,IF(J610=K610+1,200,IF(J610=K610+2,201,250)))&amp;".1",""))</f>
        <v/>
      </c>
      <c r="F610" s="0" t="str">
        <f aca="false">IF(I610="","",IF(AND(J610&gt;=1,J610&lt;=K610+3),"10."&amp;INDEX(Eingabe!$D$9:$D$18,I610)&amp;"."&amp;IF(J610&lt;=K610,J610,IF(J610=K610+1,200,IF(J610=K610+2,201,250)))&amp;".10 – 10."&amp;INDEX(Eingabe!$D$9:$D$18,I610)&amp;"."&amp;IF(J610&lt;=K610,J610,IF(J610=K610+1,200,IF(J610=K610+2,201,250)))&amp;".250",""))</f>
        <v/>
      </c>
      <c r="G610" s="0" t="str">
        <f aca="false">IF(I610="","",IF(AND(J610&gt;=1,J610&lt;=K610),Eingabe!$B$6&amp;"-"&amp;INDEX(Eingabe!$C$9:$C$18,I610)&amp;"-Pächter  ·  Passwort Parzelle "&amp;J610,IF(J610=K610+1,Eingabe!$B$6&amp;"-"&amp;INDEX(Eingabe!$C$9:$C$18,I610)&amp;"-Vorstand  ·  eigenes WLAN",IF(J610=K610+2,Eingabe!$B$6&amp;"-"&amp;INDEX(Eingabe!$C$9:$C$18,I610)&amp;"-Gäste  ·  Voucher",IF(J610=K610+3,"Kabel  ·  Access Point y = .(50+y), Mast-Switch x = .(10+x)","")))))</f>
        <v/>
      </c>
      <c r="I610" s="0" t="str">
        <f aca="false">IF(605&lt;=(Eingabe!$P$18+Eingabe!$Q$18-1),MATCH(605,Eingabe!$P$9:$P$18,1),"")</f>
        <v/>
      </c>
      <c r="J610" s="0" t="str">
        <f aca="false">IF(I610="","",605-INDEX(Eingabe!$P$9:$P$18,I610))</f>
        <v/>
      </c>
      <c r="K610" s="0" t="str">
        <f aca="false">IF(I610="","",INDEX(Eingabe!$E$9:$E$18,I610))</f>
        <v/>
      </c>
    </row>
    <row r="611" customFormat="false" ht="15" hidden="false" customHeight="false" outlineLevel="0" collapsed="false">
      <c r="A611" s="0" t="str">
        <f aca="false">IF(I611="","",IF(J611=0,"Sparte "&amp;I611&amp;": "&amp;INDEX(Eingabe!$B$9:$B$18,I611)&amp;"  (Sparten-ID "&amp;INDEX(Eingabe!$D$9:$D$18,I611)&amp;", "&amp;K611&amp;" Parzellen)",IF(J611&lt;=K611,"   Parzelle "&amp;J611,IF(J611=K611+1,"   Vorstand",IF(J611=K611+2,"   Gäste",IF(J611=K611+3,"   Technik (Switches, Access Points)",""))))))</f>
        <v/>
      </c>
      <c r="B611" s="0" t="str">
        <f aca="false">IF(I611="","",IF(AND(J611&gt;=1,J611&lt;=K611+3),IF(J611&lt;=K611,IF(J611&lt;=99,IF((INDEX(Eingabe!$G$9:$G$18,I611))&lt;=9,1000+(INDEX(Eingabe!$G$9:$G$18,I611))*100,3000)+J611,IF((INDEX(Eingabe!$G$9:$G$18,I611)+1)&lt;=9,1000+(INDEX(Eingabe!$G$9:$G$18,I611)+1)*100,3000)+J611-100),IF(J611=K611+1,2000+INDEX(Eingabe!$G$9:$G$18,I611)*10+1,IF(J611=K611+2,2000+INDEX(Eingabe!$G$9:$G$18,I611)*10+2,2000+INDEX(Eingabe!$G$9:$G$18,I611)*10+9))),""))</f>
        <v/>
      </c>
      <c r="C611" s="0" t="str">
        <f aca="false">IF(I611="","",IF(AND(J611&gt;=1,J611&lt;=K611+3),"10."&amp;INDEX(Eingabe!$D$9:$D$18,I611)&amp;"."&amp;IF(J611&lt;=K611,J611,IF(J611=K611+1,200,IF(J611=K611+2,201,250)))&amp;".0/24",""))</f>
        <v/>
      </c>
      <c r="D611" s="0" t="str">
        <f aca="false">IF(I611="","",IF(AND(J611&gt;=1,J611&lt;=K611+3),"255.255.255.0",""))</f>
        <v/>
      </c>
      <c r="E611" s="0" t="str">
        <f aca="false">IF(I611="","",IF(AND(J611&gt;=1,J611&lt;=K611+3),"10."&amp;INDEX(Eingabe!$D$9:$D$18,I611)&amp;"."&amp;IF(J611&lt;=K611,J611,IF(J611=K611+1,200,IF(J611=K611+2,201,250)))&amp;".1",""))</f>
        <v/>
      </c>
      <c r="F611" s="0" t="str">
        <f aca="false">IF(I611="","",IF(AND(J611&gt;=1,J611&lt;=K611+3),"10."&amp;INDEX(Eingabe!$D$9:$D$18,I611)&amp;"."&amp;IF(J611&lt;=K611,J611,IF(J611=K611+1,200,IF(J611=K611+2,201,250)))&amp;".10 – 10."&amp;INDEX(Eingabe!$D$9:$D$18,I611)&amp;"."&amp;IF(J611&lt;=K611,J611,IF(J611=K611+1,200,IF(J611=K611+2,201,250)))&amp;".250",""))</f>
        <v/>
      </c>
      <c r="G611" s="0" t="str">
        <f aca="false">IF(I611="","",IF(AND(J611&gt;=1,J611&lt;=K611),Eingabe!$B$6&amp;"-"&amp;INDEX(Eingabe!$C$9:$C$18,I611)&amp;"-Pächter  ·  Passwort Parzelle "&amp;J611,IF(J611=K611+1,Eingabe!$B$6&amp;"-"&amp;INDEX(Eingabe!$C$9:$C$18,I611)&amp;"-Vorstand  ·  eigenes WLAN",IF(J611=K611+2,Eingabe!$B$6&amp;"-"&amp;INDEX(Eingabe!$C$9:$C$18,I611)&amp;"-Gäste  ·  Voucher",IF(J611=K611+3,"Kabel  ·  Access Point y = .(50+y), Mast-Switch x = .(10+x)","")))))</f>
        <v/>
      </c>
      <c r="I611" s="0" t="str">
        <f aca="false">IF(606&lt;=(Eingabe!$P$18+Eingabe!$Q$18-1),MATCH(606,Eingabe!$P$9:$P$18,1),"")</f>
        <v/>
      </c>
      <c r="J611" s="0" t="str">
        <f aca="false">IF(I611="","",606-INDEX(Eingabe!$P$9:$P$18,I611))</f>
        <v/>
      </c>
      <c r="K611" s="0" t="str">
        <f aca="false">IF(I611="","",INDEX(Eingabe!$E$9:$E$18,I611))</f>
        <v/>
      </c>
    </row>
    <row r="612" customFormat="false" ht="15" hidden="false" customHeight="false" outlineLevel="0" collapsed="false">
      <c r="A612" s="0" t="str">
        <f aca="false">IF(I612="","",IF(J612=0,"Sparte "&amp;I612&amp;": "&amp;INDEX(Eingabe!$B$9:$B$18,I612)&amp;"  (Sparten-ID "&amp;INDEX(Eingabe!$D$9:$D$18,I612)&amp;", "&amp;K612&amp;" Parzellen)",IF(J612&lt;=K612,"   Parzelle "&amp;J612,IF(J612=K612+1,"   Vorstand",IF(J612=K612+2,"   Gäste",IF(J612=K612+3,"   Technik (Switches, Access Points)",""))))))</f>
        <v/>
      </c>
      <c r="B612" s="0" t="str">
        <f aca="false">IF(I612="","",IF(AND(J612&gt;=1,J612&lt;=K612+3),IF(J612&lt;=K612,IF(J612&lt;=99,IF((INDEX(Eingabe!$G$9:$G$18,I612))&lt;=9,1000+(INDEX(Eingabe!$G$9:$G$18,I612))*100,3000)+J612,IF((INDEX(Eingabe!$G$9:$G$18,I612)+1)&lt;=9,1000+(INDEX(Eingabe!$G$9:$G$18,I612)+1)*100,3000)+J612-100),IF(J612=K612+1,2000+INDEX(Eingabe!$G$9:$G$18,I612)*10+1,IF(J612=K612+2,2000+INDEX(Eingabe!$G$9:$G$18,I612)*10+2,2000+INDEX(Eingabe!$G$9:$G$18,I612)*10+9))),""))</f>
        <v/>
      </c>
      <c r="C612" s="0" t="str">
        <f aca="false">IF(I612="","",IF(AND(J612&gt;=1,J612&lt;=K612+3),"10."&amp;INDEX(Eingabe!$D$9:$D$18,I612)&amp;"."&amp;IF(J612&lt;=K612,J612,IF(J612=K612+1,200,IF(J612=K612+2,201,250)))&amp;".0/24",""))</f>
        <v/>
      </c>
      <c r="D612" s="0" t="str">
        <f aca="false">IF(I612="","",IF(AND(J612&gt;=1,J612&lt;=K612+3),"255.255.255.0",""))</f>
        <v/>
      </c>
      <c r="E612" s="0" t="str">
        <f aca="false">IF(I612="","",IF(AND(J612&gt;=1,J612&lt;=K612+3),"10."&amp;INDEX(Eingabe!$D$9:$D$18,I612)&amp;"."&amp;IF(J612&lt;=K612,J612,IF(J612=K612+1,200,IF(J612=K612+2,201,250)))&amp;".1",""))</f>
        <v/>
      </c>
      <c r="F612" s="0" t="str">
        <f aca="false">IF(I612="","",IF(AND(J612&gt;=1,J612&lt;=K612+3),"10."&amp;INDEX(Eingabe!$D$9:$D$18,I612)&amp;"."&amp;IF(J612&lt;=K612,J612,IF(J612=K612+1,200,IF(J612=K612+2,201,250)))&amp;".10 – 10."&amp;INDEX(Eingabe!$D$9:$D$18,I612)&amp;"."&amp;IF(J612&lt;=K612,J612,IF(J612=K612+1,200,IF(J612=K612+2,201,250)))&amp;".250",""))</f>
        <v/>
      </c>
      <c r="G612" s="0" t="str">
        <f aca="false">IF(I612="","",IF(AND(J612&gt;=1,J612&lt;=K612),Eingabe!$B$6&amp;"-"&amp;INDEX(Eingabe!$C$9:$C$18,I612)&amp;"-Pächter  ·  Passwort Parzelle "&amp;J612,IF(J612=K612+1,Eingabe!$B$6&amp;"-"&amp;INDEX(Eingabe!$C$9:$C$18,I612)&amp;"-Vorstand  ·  eigenes WLAN",IF(J612=K612+2,Eingabe!$B$6&amp;"-"&amp;INDEX(Eingabe!$C$9:$C$18,I612)&amp;"-Gäste  ·  Voucher",IF(J612=K612+3,"Kabel  ·  Access Point y = .(50+y), Mast-Switch x = .(10+x)","")))))</f>
        <v/>
      </c>
      <c r="I612" s="0" t="str">
        <f aca="false">IF(607&lt;=(Eingabe!$P$18+Eingabe!$Q$18-1),MATCH(607,Eingabe!$P$9:$P$18,1),"")</f>
        <v/>
      </c>
      <c r="J612" s="0" t="str">
        <f aca="false">IF(I612="","",607-INDEX(Eingabe!$P$9:$P$18,I612))</f>
        <v/>
      </c>
      <c r="K612" s="0" t="str">
        <f aca="false">IF(I612="","",INDEX(Eingabe!$E$9:$E$18,I612))</f>
        <v/>
      </c>
    </row>
    <row r="613" customFormat="false" ht="15" hidden="false" customHeight="false" outlineLevel="0" collapsed="false">
      <c r="A613" s="0" t="str">
        <f aca="false">IF(I613="","",IF(J613=0,"Sparte "&amp;I613&amp;": "&amp;INDEX(Eingabe!$B$9:$B$18,I613)&amp;"  (Sparten-ID "&amp;INDEX(Eingabe!$D$9:$D$18,I613)&amp;", "&amp;K613&amp;" Parzellen)",IF(J613&lt;=K613,"   Parzelle "&amp;J613,IF(J613=K613+1,"   Vorstand",IF(J613=K613+2,"   Gäste",IF(J613=K613+3,"   Technik (Switches, Access Points)",""))))))</f>
        <v/>
      </c>
      <c r="B613" s="0" t="str">
        <f aca="false">IF(I613="","",IF(AND(J613&gt;=1,J613&lt;=K613+3),IF(J613&lt;=K613,IF(J613&lt;=99,IF((INDEX(Eingabe!$G$9:$G$18,I613))&lt;=9,1000+(INDEX(Eingabe!$G$9:$G$18,I613))*100,3000)+J613,IF((INDEX(Eingabe!$G$9:$G$18,I613)+1)&lt;=9,1000+(INDEX(Eingabe!$G$9:$G$18,I613)+1)*100,3000)+J613-100),IF(J613=K613+1,2000+INDEX(Eingabe!$G$9:$G$18,I613)*10+1,IF(J613=K613+2,2000+INDEX(Eingabe!$G$9:$G$18,I613)*10+2,2000+INDEX(Eingabe!$G$9:$G$18,I613)*10+9))),""))</f>
        <v/>
      </c>
      <c r="C613" s="0" t="str">
        <f aca="false">IF(I613="","",IF(AND(J613&gt;=1,J613&lt;=K613+3),"10."&amp;INDEX(Eingabe!$D$9:$D$18,I613)&amp;"."&amp;IF(J613&lt;=K613,J613,IF(J613=K613+1,200,IF(J613=K613+2,201,250)))&amp;".0/24",""))</f>
        <v/>
      </c>
      <c r="D613" s="0" t="str">
        <f aca="false">IF(I613="","",IF(AND(J613&gt;=1,J613&lt;=K613+3),"255.255.255.0",""))</f>
        <v/>
      </c>
      <c r="E613" s="0" t="str">
        <f aca="false">IF(I613="","",IF(AND(J613&gt;=1,J613&lt;=K613+3),"10."&amp;INDEX(Eingabe!$D$9:$D$18,I613)&amp;"."&amp;IF(J613&lt;=K613,J613,IF(J613=K613+1,200,IF(J613=K613+2,201,250)))&amp;".1",""))</f>
        <v/>
      </c>
      <c r="F613" s="0" t="str">
        <f aca="false">IF(I613="","",IF(AND(J613&gt;=1,J613&lt;=K613+3),"10."&amp;INDEX(Eingabe!$D$9:$D$18,I613)&amp;"."&amp;IF(J613&lt;=K613,J613,IF(J613=K613+1,200,IF(J613=K613+2,201,250)))&amp;".10 – 10."&amp;INDEX(Eingabe!$D$9:$D$18,I613)&amp;"."&amp;IF(J613&lt;=K613,J613,IF(J613=K613+1,200,IF(J613=K613+2,201,250)))&amp;".250",""))</f>
        <v/>
      </c>
      <c r="G613" s="0" t="str">
        <f aca="false">IF(I613="","",IF(AND(J613&gt;=1,J613&lt;=K613),Eingabe!$B$6&amp;"-"&amp;INDEX(Eingabe!$C$9:$C$18,I613)&amp;"-Pächter  ·  Passwort Parzelle "&amp;J613,IF(J613=K613+1,Eingabe!$B$6&amp;"-"&amp;INDEX(Eingabe!$C$9:$C$18,I613)&amp;"-Vorstand  ·  eigenes WLAN",IF(J613=K613+2,Eingabe!$B$6&amp;"-"&amp;INDEX(Eingabe!$C$9:$C$18,I613)&amp;"-Gäste  ·  Voucher",IF(J613=K613+3,"Kabel  ·  Access Point y = .(50+y), Mast-Switch x = .(10+x)","")))))</f>
        <v/>
      </c>
      <c r="I613" s="0" t="str">
        <f aca="false">IF(608&lt;=(Eingabe!$P$18+Eingabe!$Q$18-1),MATCH(608,Eingabe!$P$9:$P$18,1),"")</f>
        <v/>
      </c>
      <c r="J613" s="0" t="str">
        <f aca="false">IF(I613="","",608-INDEX(Eingabe!$P$9:$P$18,I613))</f>
        <v/>
      </c>
      <c r="K613" s="0" t="str">
        <f aca="false">IF(I613="","",INDEX(Eingabe!$E$9:$E$18,I613))</f>
        <v/>
      </c>
    </row>
    <row r="614" customFormat="false" ht="15" hidden="false" customHeight="false" outlineLevel="0" collapsed="false">
      <c r="A614" s="0" t="str">
        <f aca="false">IF(I614="","",IF(J614=0,"Sparte "&amp;I614&amp;": "&amp;INDEX(Eingabe!$B$9:$B$18,I614)&amp;"  (Sparten-ID "&amp;INDEX(Eingabe!$D$9:$D$18,I614)&amp;", "&amp;K614&amp;" Parzellen)",IF(J614&lt;=K614,"   Parzelle "&amp;J614,IF(J614=K614+1,"   Vorstand",IF(J614=K614+2,"   Gäste",IF(J614=K614+3,"   Technik (Switches, Access Points)",""))))))</f>
        <v/>
      </c>
      <c r="B614" s="0" t="str">
        <f aca="false">IF(I614="","",IF(AND(J614&gt;=1,J614&lt;=K614+3),IF(J614&lt;=K614,IF(J614&lt;=99,IF((INDEX(Eingabe!$G$9:$G$18,I614))&lt;=9,1000+(INDEX(Eingabe!$G$9:$G$18,I614))*100,3000)+J614,IF((INDEX(Eingabe!$G$9:$G$18,I614)+1)&lt;=9,1000+(INDEX(Eingabe!$G$9:$G$18,I614)+1)*100,3000)+J614-100),IF(J614=K614+1,2000+INDEX(Eingabe!$G$9:$G$18,I614)*10+1,IF(J614=K614+2,2000+INDEX(Eingabe!$G$9:$G$18,I614)*10+2,2000+INDEX(Eingabe!$G$9:$G$18,I614)*10+9))),""))</f>
        <v/>
      </c>
      <c r="C614" s="0" t="str">
        <f aca="false">IF(I614="","",IF(AND(J614&gt;=1,J614&lt;=K614+3),"10."&amp;INDEX(Eingabe!$D$9:$D$18,I614)&amp;"."&amp;IF(J614&lt;=K614,J614,IF(J614=K614+1,200,IF(J614=K614+2,201,250)))&amp;".0/24",""))</f>
        <v/>
      </c>
      <c r="D614" s="0" t="str">
        <f aca="false">IF(I614="","",IF(AND(J614&gt;=1,J614&lt;=K614+3),"255.255.255.0",""))</f>
        <v/>
      </c>
      <c r="E614" s="0" t="str">
        <f aca="false">IF(I614="","",IF(AND(J614&gt;=1,J614&lt;=K614+3),"10."&amp;INDEX(Eingabe!$D$9:$D$18,I614)&amp;"."&amp;IF(J614&lt;=K614,J614,IF(J614=K614+1,200,IF(J614=K614+2,201,250)))&amp;".1",""))</f>
        <v/>
      </c>
      <c r="F614" s="0" t="str">
        <f aca="false">IF(I614="","",IF(AND(J614&gt;=1,J614&lt;=K614+3),"10."&amp;INDEX(Eingabe!$D$9:$D$18,I614)&amp;"."&amp;IF(J614&lt;=K614,J614,IF(J614=K614+1,200,IF(J614=K614+2,201,250)))&amp;".10 – 10."&amp;INDEX(Eingabe!$D$9:$D$18,I614)&amp;"."&amp;IF(J614&lt;=K614,J614,IF(J614=K614+1,200,IF(J614=K614+2,201,250)))&amp;".250",""))</f>
        <v/>
      </c>
      <c r="G614" s="0" t="str">
        <f aca="false">IF(I614="","",IF(AND(J614&gt;=1,J614&lt;=K614),Eingabe!$B$6&amp;"-"&amp;INDEX(Eingabe!$C$9:$C$18,I614)&amp;"-Pächter  ·  Passwort Parzelle "&amp;J614,IF(J614=K614+1,Eingabe!$B$6&amp;"-"&amp;INDEX(Eingabe!$C$9:$C$18,I614)&amp;"-Vorstand  ·  eigenes WLAN",IF(J614=K614+2,Eingabe!$B$6&amp;"-"&amp;INDEX(Eingabe!$C$9:$C$18,I614)&amp;"-Gäste  ·  Voucher",IF(J614=K614+3,"Kabel  ·  Access Point y = .(50+y), Mast-Switch x = .(10+x)","")))))</f>
        <v/>
      </c>
      <c r="I614" s="0" t="str">
        <f aca="false">IF(609&lt;=(Eingabe!$P$18+Eingabe!$Q$18-1),MATCH(609,Eingabe!$P$9:$P$18,1),"")</f>
        <v/>
      </c>
      <c r="J614" s="0" t="str">
        <f aca="false">IF(I614="","",609-INDEX(Eingabe!$P$9:$P$18,I614))</f>
        <v/>
      </c>
      <c r="K614" s="0" t="str">
        <f aca="false">IF(I614="","",INDEX(Eingabe!$E$9:$E$18,I614))</f>
        <v/>
      </c>
    </row>
    <row r="615" customFormat="false" ht="15" hidden="false" customHeight="false" outlineLevel="0" collapsed="false">
      <c r="A615" s="0" t="str">
        <f aca="false">IF(I615="","",IF(J615=0,"Sparte "&amp;I615&amp;": "&amp;INDEX(Eingabe!$B$9:$B$18,I615)&amp;"  (Sparten-ID "&amp;INDEX(Eingabe!$D$9:$D$18,I615)&amp;", "&amp;K615&amp;" Parzellen)",IF(J615&lt;=K615,"   Parzelle "&amp;J615,IF(J615=K615+1,"   Vorstand",IF(J615=K615+2,"   Gäste",IF(J615=K615+3,"   Technik (Switches, Access Points)",""))))))</f>
        <v/>
      </c>
      <c r="B615" s="0" t="str">
        <f aca="false">IF(I615="","",IF(AND(J615&gt;=1,J615&lt;=K615+3),IF(J615&lt;=K615,IF(J615&lt;=99,IF((INDEX(Eingabe!$G$9:$G$18,I615))&lt;=9,1000+(INDEX(Eingabe!$G$9:$G$18,I615))*100,3000)+J615,IF((INDEX(Eingabe!$G$9:$G$18,I615)+1)&lt;=9,1000+(INDEX(Eingabe!$G$9:$G$18,I615)+1)*100,3000)+J615-100),IF(J615=K615+1,2000+INDEX(Eingabe!$G$9:$G$18,I615)*10+1,IF(J615=K615+2,2000+INDEX(Eingabe!$G$9:$G$18,I615)*10+2,2000+INDEX(Eingabe!$G$9:$G$18,I615)*10+9))),""))</f>
        <v/>
      </c>
      <c r="C615" s="0" t="str">
        <f aca="false">IF(I615="","",IF(AND(J615&gt;=1,J615&lt;=K615+3),"10."&amp;INDEX(Eingabe!$D$9:$D$18,I615)&amp;"."&amp;IF(J615&lt;=K615,J615,IF(J615=K615+1,200,IF(J615=K615+2,201,250)))&amp;".0/24",""))</f>
        <v/>
      </c>
      <c r="D615" s="0" t="str">
        <f aca="false">IF(I615="","",IF(AND(J615&gt;=1,J615&lt;=K615+3),"255.255.255.0",""))</f>
        <v/>
      </c>
      <c r="E615" s="0" t="str">
        <f aca="false">IF(I615="","",IF(AND(J615&gt;=1,J615&lt;=K615+3),"10."&amp;INDEX(Eingabe!$D$9:$D$18,I615)&amp;"."&amp;IF(J615&lt;=K615,J615,IF(J615=K615+1,200,IF(J615=K615+2,201,250)))&amp;".1",""))</f>
        <v/>
      </c>
      <c r="F615" s="0" t="str">
        <f aca="false">IF(I615="","",IF(AND(J615&gt;=1,J615&lt;=K615+3),"10."&amp;INDEX(Eingabe!$D$9:$D$18,I615)&amp;"."&amp;IF(J615&lt;=K615,J615,IF(J615=K615+1,200,IF(J615=K615+2,201,250)))&amp;".10 – 10."&amp;INDEX(Eingabe!$D$9:$D$18,I615)&amp;"."&amp;IF(J615&lt;=K615,J615,IF(J615=K615+1,200,IF(J615=K615+2,201,250)))&amp;".250",""))</f>
        <v/>
      </c>
      <c r="G615" s="0" t="str">
        <f aca="false">IF(I615="","",IF(AND(J615&gt;=1,J615&lt;=K615),Eingabe!$B$6&amp;"-"&amp;INDEX(Eingabe!$C$9:$C$18,I615)&amp;"-Pächter  ·  Passwort Parzelle "&amp;J615,IF(J615=K615+1,Eingabe!$B$6&amp;"-"&amp;INDEX(Eingabe!$C$9:$C$18,I615)&amp;"-Vorstand  ·  eigenes WLAN",IF(J615=K615+2,Eingabe!$B$6&amp;"-"&amp;INDEX(Eingabe!$C$9:$C$18,I615)&amp;"-Gäste  ·  Voucher",IF(J615=K615+3,"Kabel  ·  Access Point y = .(50+y), Mast-Switch x = .(10+x)","")))))</f>
        <v/>
      </c>
      <c r="I615" s="0" t="str">
        <f aca="false">IF(610&lt;=(Eingabe!$P$18+Eingabe!$Q$18-1),MATCH(610,Eingabe!$P$9:$P$18,1),"")</f>
        <v/>
      </c>
      <c r="J615" s="0" t="str">
        <f aca="false">IF(I615="","",610-INDEX(Eingabe!$P$9:$P$18,I615))</f>
        <v/>
      </c>
      <c r="K615" s="0" t="str">
        <f aca="false">IF(I615="","",INDEX(Eingabe!$E$9:$E$18,I615))</f>
        <v/>
      </c>
    </row>
    <row r="616" customFormat="false" ht="15" hidden="false" customHeight="false" outlineLevel="0" collapsed="false">
      <c r="A616" s="0" t="str">
        <f aca="false">IF(I616="","",IF(J616=0,"Sparte "&amp;I616&amp;": "&amp;INDEX(Eingabe!$B$9:$B$18,I616)&amp;"  (Sparten-ID "&amp;INDEX(Eingabe!$D$9:$D$18,I616)&amp;", "&amp;K616&amp;" Parzellen)",IF(J616&lt;=K616,"   Parzelle "&amp;J616,IF(J616=K616+1,"   Vorstand",IF(J616=K616+2,"   Gäste",IF(J616=K616+3,"   Technik (Switches, Access Points)",""))))))</f>
        <v/>
      </c>
      <c r="B616" s="0" t="str">
        <f aca="false">IF(I616="","",IF(AND(J616&gt;=1,J616&lt;=K616+3),IF(J616&lt;=K616,IF(J616&lt;=99,IF((INDEX(Eingabe!$G$9:$G$18,I616))&lt;=9,1000+(INDEX(Eingabe!$G$9:$G$18,I616))*100,3000)+J616,IF((INDEX(Eingabe!$G$9:$G$18,I616)+1)&lt;=9,1000+(INDEX(Eingabe!$G$9:$G$18,I616)+1)*100,3000)+J616-100),IF(J616=K616+1,2000+INDEX(Eingabe!$G$9:$G$18,I616)*10+1,IF(J616=K616+2,2000+INDEX(Eingabe!$G$9:$G$18,I616)*10+2,2000+INDEX(Eingabe!$G$9:$G$18,I616)*10+9))),""))</f>
        <v/>
      </c>
      <c r="C616" s="0" t="str">
        <f aca="false">IF(I616="","",IF(AND(J616&gt;=1,J616&lt;=K616+3),"10."&amp;INDEX(Eingabe!$D$9:$D$18,I616)&amp;"."&amp;IF(J616&lt;=K616,J616,IF(J616=K616+1,200,IF(J616=K616+2,201,250)))&amp;".0/24",""))</f>
        <v/>
      </c>
      <c r="D616" s="0" t="str">
        <f aca="false">IF(I616="","",IF(AND(J616&gt;=1,J616&lt;=K616+3),"255.255.255.0",""))</f>
        <v/>
      </c>
      <c r="E616" s="0" t="str">
        <f aca="false">IF(I616="","",IF(AND(J616&gt;=1,J616&lt;=K616+3),"10."&amp;INDEX(Eingabe!$D$9:$D$18,I616)&amp;"."&amp;IF(J616&lt;=K616,J616,IF(J616=K616+1,200,IF(J616=K616+2,201,250)))&amp;".1",""))</f>
        <v/>
      </c>
      <c r="F616" s="0" t="str">
        <f aca="false">IF(I616="","",IF(AND(J616&gt;=1,J616&lt;=K616+3),"10."&amp;INDEX(Eingabe!$D$9:$D$18,I616)&amp;"."&amp;IF(J616&lt;=K616,J616,IF(J616=K616+1,200,IF(J616=K616+2,201,250)))&amp;".10 – 10."&amp;INDEX(Eingabe!$D$9:$D$18,I616)&amp;"."&amp;IF(J616&lt;=K616,J616,IF(J616=K616+1,200,IF(J616=K616+2,201,250)))&amp;".250",""))</f>
        <v/>
      </c>
      <c r="G616" s="0" t="str">
        <f aca="false">IF(I616="","",IF(AND(J616&gt;=1,J616&lt;=K616),Eingabe!$B$6&amp;"-"&amp;INDEX(Eingabe!$C$9:$C$18,I616)&amp;"-Pächter  ·  Passwort Parzelle "&amp;J616,IF(J616=K616+1,Eingabe!$B$6&amp;"-"&amp;INDEX(Eingabe!$C$9:$C$18,I616)&amp;"-Vorstand  ·  eigenes WLAN",IF(J616=K616+2,Eingabe!$B$6&amp;"-"&amp;INDEX(Eingabe!$C$9:$C$18,I616)&amp;"-Gäste  ·  Voucher",IF(J616=K616+3,"Kabel  ·  Access Point y = .(50+y), Mast-Switch x = .(10+x)","")))))</f>
        <v/>
      </c>
      <c r="I616" s="0" t="str">
        <f aca="false">IF(611&lt;=(Eingabe!$P$18+Eingabe!$Q$18-1),MATCH(611,Eingabe!$P$9:$P$18,1),"")</f>
        <v/>
      </c>
      <c r="J616" s="0" t="str">
        <f aca="false">IF(I616="","",611-INDEX(Eingabe!$P$9:$P$18,I616))</f>
        <v/>
      </c>
      <c r="K616" s="0" t="str">
        <f aca="false">IF(I616="","",INDEX(Eingabe!$E$9:$E$18,I616))</f>
        <v/>
      </c>
    </row>
    <row r="617" customFormat="false" ht="15" hidden="false" customHeight="false" outlineLevel="0" collapsed="false">
      <c r="A617" s="0" t="str">
        <f aca="false">IF(I617="","",IF(J617=0,"Sparte "&amp;I617&amp;": "&amp;INDEX(Eingabe!$B$9:$B$18,I617)&amp;"  (Sparten-ID "&amp;INDEX(Eingabe!$D$9:$D$18,I617)&amp;", "&amp;K617&amp;" Parzellen)",IF(J617&lt;=K617,"   Parzelle "&amp;J617,IF(J617=K617+1,"   Vorstand",IF(J617=K617+2,"   Gäste",IF(J617=K617+3,"   Technik (Switches, Access Points)",""))))))</f>
        <v/>
      </c>
      <c r="B617" s="0" t="str">
        <f aca="false">IF(I617="","",IF(AND(J617&gt;=1,J617&lt;=K617+3),IF(J617&lt;=K617,IF(J617&lt;=99,IF((INDEX(Eingabe!$G$9:$G$18,I617))&lt;=9,1000+(INDEX(Eingabe!$G$9:$G$18,I617))*100,3000)+J617,IF((INDEX(Eingabe!$G$9:$G$18,I617)+1)&lt;=9,1000+(INDEX(Eingabe!$G$9:$G$18,I617)+1)*100,3000)+J617-100),IF(J617=K617+1,2000+INDEX(Eingabe!$G$9:$G$18,I617)*10+1,IF(J617=K617+2,2000+INDEX(Eingabe!$G$9:$G$18,I617)*10+2,2000+INDEX(Eingabe!$G$9:$G$18,I617)*10+9))),""))</f>
        <v/>
      </c>
      <c r="C617" s="0" t="str">
        <f aca="false">IF(I617="","",IF(AND(J617&gt;=1,J617&lt;=K617+3),"10."&amp;INDEX(Eingabe!$D$9:$D$18,I617)&amp;"."&amp;IF(J617&lt;=K617,J617,IF(J617=K617+1,200,IF(J617=K617+2,201,250)))&amp;".0/24",""))</f>
        <v/>
      </c>
      <c r="D617" s="0" t="str">
        <f aca="false">IF(I617="","",IF(AND(J617&gt;=1,J617&lt;=K617+3),"255.255.255.0",""))</f>
        <v/>
      </c>
      <c r="E617" s="0" t="str">
        <f aca="false">IF(I617="","",IF(AND(J617&gt;=1,J617&lt;=K617+3),"10."&amp;INDEX(Eingabe!$D$9:$D$18,I617)&amp;"."&amp;IF(J617&lt;=K617,J617,IF(J617=K617+1,200,IF(J617=K617+2,201,250)))&amp;".1",""))</f>
        <v/>
      </c>
      <c r="F617" s="0" t="str">
        <f aca="false">IF(I617="","",IF(AND(J617&gt;=1,J617&lt;=K617+3),"10."&amp;INDEX(Eingabe!$D$9:$D$18,I617)&amp;"."&amp;IF(J617&lt;=K617,J617,IF(J617=K617+1,200,IF(J617=K617+2,201,250)))&amp;".10 – 10."&amp;INDEX(Eingabe!$D$9:$D$18,I617)&amp;"."&amp;IF(J617&lt;=K617,J617,IF(J617=K617+1,200,IF(J617=K617+2,201,250)))&amp;".250",""))</f>
        <v/>
      </c>
      <c r="G617" s="0" t="str">
        <f aca="false">IF(I617="","",IF(AND(J617&gt;=1,J617&lt;=K617),Eingabe!$B$6&amp;"-"&amp;INDEX(Eingabe!$C$9:$C$18,I617)&amp;"-Pächter  ·  Passwort Parzelle "&amp;J617,IF(J617=K617+1,Eingabe!$B$6&amp;"-"&amp;INDEX(Eingabe!$C$9:$C$18,I617)&amp;"-Vorstand  ·  eigenes WLAN",IF(J617=K617+2,Eingabe!$B$6&amp;"-"&amp;INDEX(Eingabe!$C$9:$C$18,I617)&amp;"-Gäste  ·  Voucher",IF(J617=K617+3,"Kabel  ·  Access Point y = .(50+y), Mast-Switch x = .(10+x)","")))))</f>
        <v/>
      </c>
      <c r="I617" s="0" t="str">
        <f aca="false">IF(612&lt;=(Eingabe!$P$18+Eingabe!$Q$18-1),MATCH(612,Eingabe!$P$9:$P$18,1),"")</f>
        <v/>
      </c>
      <c r="J617" s="0" t="str">
        <f aca="false">IF(I617="","",612-INDEX(Eingabe!$P$9:$P$18,I617))</f>
        <v/>
      </c>
      <c r="K617" s="0" t="str">
        <f aca="false">IF(I617="","",INDEX(Eingabe!$E$9:$E$18,I617))</f>
        <v/>
      </c>
    </row>
    <row r="618" customFormat="false" ht="15" hidden="false" customHeight="false" outlineLevel="0" collapsed="false">
      <c r="A618" s="0" t="str">
        <f aca="false">IF(I618="","",IF(J618=0,"Sparte "&amp;I618&amp;": "&amp;INDEX(Eingabe!$B$9:$B$18,I618)&amp;"  (Sparten-ID "&amp;INDEX(Eingabe!$D$9:$D$18,I618)&amp;", "&amp;K618&amp;" Parzellen)",IF(J618&lt;=K618,"   Parzelle "&amp;J618,IF(J618=K618+1,"   Vorstand",IF(J618=K618+2,"   Gäste",IF(J618=K618+3,"   Technik (Switches, Access Points)",""))))))</f>
        <v/>
      </c>
      <c r="B618" s="0" t="str">
        <f aca="false">IF(I618="","",IF(AND(J618&gt;=1,J618&lt;=K618+3),IF(J618&lt;=K618,IF(J618&lt;=99,IF((INDEX(Eingabe!$G$9:$G$18,I618))&lt;=9,1000+(INDEX(Eingabe!$G$9:$G$18,I618))*100,3000)+J618,IF((INDEX(Eingabe!$G$9:$G$18,I618)+1)&lt;=9,1000+(INDEX(Eingabe!$G$9:$G$18,I618)+1)*100,3000)+J618-100),IF(J618=K618+1,2000+INDEX(Eingabe!$G$9:$G$18,I618)*10+1,IF(J618=K618+2,2000+INDEX(Eingabe!$G$9:$G$18,I618)*10+2,2000+INDEX(Eingabe!$G$9:$G$18,I618)*10+9))),""))</f>
        <v/>
      </c>
      <c r="C618" s="0" t="str">
        <f aca="false">IF(I618="","",IF(AND(J618&gt;=1,J618&lt;=K618+3),"10."&amp;INDEX(Eingabe!$D$9:$D$18,I618)&amp;"."&amp;IF(J618&lt;=K618,J618,IF(J618=K618+1,200,IF(J618=K618+2,201,250)))&amp;".0/24",""))</f>
        <v/>
      </c>
      <c r="D618" s="0" t="str">
        <f aca="false">IF(I618="","",IF(AND(J618&gt;=1,J618&lt;=K618+3),"255.255.255.0",""))</f>
        <v/>
      </c>
      <c r="E618" s="0" t="str">
        <f aca="false">IF(I618="","",IF(AND(J618&gt;=1,J618&lt;=K618+3),"10."&amp;INDEX(Eingabe!$D$9:$D$18,I618)&amp;"."&amp;IF(J618&lt;=K618,J618,IF(J618=K618+1,200,IF(J618=K618+2,201,250)))&amp;".1",""))</f>
        <v/>
      </c>
      <c r="F618" s="0" t="str">
        <f aca="false">IF(I618="","",IF(AND(J618&gt;=1,J618&lt;=K618+3),"10."&amp;INDEX(Eingabe!$D$9:$D$18,I618)&amp;"."&amp;IF(J618&lt;=K618,J618,IF(J618=K618+1,200,IF(J618=K618+2,201,250)))&amp;".10 – 10."&amp;INDEX(Eingabe!$D$9:$D$18,I618)&amp;"."&amp;IF(J618&lt;=K618,J618,IF(J618=K618+1,200,IF(J618=K618+2,201,250)))&amp;".250",""))</f>
        <v/>
      </c>
      <c r="G618" s="0" t="str">
        <f aca="false">IF(I618="","",IF(AND(J618&gt;=1,J618&lt;=K618),Eingabe!$B$6&amp;"-"&amp;INDEX(Eingabe!$C$9:$C$18,I618)&amp;"-Pächter  ·  Passwort Parzelle "&amp;J618,IF(J618=K618+1,Eingabe!$B$6&amp;"-"&amp;INDEX(Eingabe!$C$9:$C$18,I618)&amp;"-Vorstand  ·  eigenes WLAN",IF(J618=K618+2,Eingabe!$B$6&amp;"-"&amp;INDEX(Eingabe!$C$9:$C$18,I618)&amp;"-Gäste  ·  Voucher",IF(J618=K618+3,"Kabel  ·  Access Point y = .(50+y), Mast-Switch x = .(10+x)","")))))</f>
        <v/>
      </c>
      <c r="I618" s="0" t="str">
        <f aca="false">IF(613&lt;=(Eingabe!$P$18+Eingabe!$Q$18-1),MATCH(613,Eingabe!$P$9:$P$18,1),"")</f>
        <v/>
      </c>
      <c r="J618" s="0" t="str">
        <f aca="false">IF(I618="","",613-INDEX(Eingabe!$P$9:$P$18,I618))</f>
        <v/>
      </c>
      <c r="K618" s="0" t="str">
        <f aca="false">IF(I618="","",INDEX(Eingabe!$E$9:$E$18,I618))</f>
        <v/>
      </c>
    </row>
    <row r="619" customFormat="false" ht="15" hidden="false" customHeight="false" outlineLevel="0" collapsed="false">
      <c r="A619" s="0" t="str">
        <f aca="false">IF(I619="","",IF(J619=0,"Sparte "&amp;I619&amp;": "&amp;INDEX(Eingabe!$B$9:$B$18,I619)&amp;"  (Sparten-ID "&amp;INDEX(Eingabe!$D$9:$D$18,I619)&amp;", "&amp;K619&amp;" Parzellen)",IF(J619&lt;=K619,"   Parzelle "&amp;J619,IF(J619=K619+1,"   Vorstand",IF(J619=K619+2,"   Gäste",IF(J619=K619+3,"   Technik (Switches, Access Points)",""))))))</f>
        <v/>
      </c>
      <c r="B619" s="0" t="str">
        <f aca="false">IF(I619="","",IF(AND(J619&gt;=1,J619&lt;=K619+3),IF(J619&lt;=K619,IF(J619&lt;=99,IF((INDEX(Eingabe!$G$9:$G$18,I619))&lt;=9,1000+(INDEX(Eingabe!$G$9:$G$18,I619))*100,3000)+J619,IF((INDEX(Eingabe!$G$9:$G$18,I619)+1)&lt;=9,1000+(INDEX(Eingabe!$G$9:$G$18,I619)+1)*100,3000)+J619-100),IF(J619=K619+1,2000+INDEX(Eingabe!$G$9:$G$18,I619)*10+1,IF(J619=K619+2,2000+INDEX(Eingabe!$G$9:$G$18,I619)*10+2,2000+INDEX(Eingabe!$G$9:$G$18,I619)*10+9))),""))</f>
        <v/>
      </c>
      <c r="C619" s="0" t="str">
        <f aca="false">IF(I619="","",IF(AND(J619&gt;=1,J619&lt;=K619+3),"10."&amp;INDEX(Eingabe!$D$9:$D$18,I619)&amp;"."&amp;IF(J619&lt;=K619,J619,IF(J619=K619+1,200,IF(J619=K619+2,201,250)))&amp;".0/24",""))</f>
        <v/>
      </c>
      <c r="D619" s="0" t="str">
        <f aca="false">IF(I619="","",IF(AND(J619&gt;=1,J619&lt;=K619+3),"255.255.255.0",""))</f>
        <v/>
      </c>
      <c r="E619" s="0" t="str">
        <f aca="false">IF(I619="","",IF(AND(J619&gt;=1,J619&lt;=K619+3),"10."&amp;INDEX(Eingabe!$D$9:$D$18,I619)&amp;"."&amp;IF(J619&lt;=K619,J619,IF(J619=K619+1,200,IF(J619=K619+2,201,250)))&amp;".1",""))</f>
        <v/>
      </c>
      <c r="F619" s="0" t="str">
        <f aca="false">IF(I619="","",IF(AND(J619&gt;=1,J619&lt;=K619+3),"10."&amp;INDEX(Eingabe!$D$9:$D$18,I619)&amp;"."&amp;IF(J619&lt;=K619,J619,IF(J619=K619+1,200,IF(J619=K619+2,201,250)))&amp;".10 – 10."&amp;INDEX(Eingabe!$D$9:$D$18,I619)&amp;"."&amp;IF(J619&lt;=K619,J619,IF(J619=K619+1,200,IF(J619=K619+2,201,250)))&amp;".250",""))</f>
        <v/>
      </c>
      <c r="G619" s="0" t="str">
        <f aca="false">IF(I619="","",IF(AND(J619&gt;=1,J619&lt;=K619),Eingabe!$B$6&amp;"-"&amp;INDEX(Eingabe!$C$9:$C$18,I619)&amp;"-Pächter  ·  Passwort Parzelle "&amp;J619,IF(J619=K619+1,Eingabe!$B$6&amp;"-"&amp;INDEX(Eingabe!$C$9:$C$18,I619)&amp;"-Vorstand  ·  eigenes WLAN",IF(J619=K619+2,Eingabe!$B$6&amp;"-"&amp;INDEX(Eingabe!$C$9:$C$18,I619)&amp;"-Gäste  ·  Voucher",IF(J619=K619+3,"Kabel  ·  Access Point y = .(50+y), Mast-Switch x = .(10+x)","")))))</f>
        <v/>
      </c>
      <c r="I619" s="0" t="str">
        <f aca="false">IF(614&lt;=(Eingabe!$P$18+Eingabe!$Q$18-1),MATCH(614,Eingabe!$P$9:$P$18,1),"")</f>
        <v/>
      </c>
      <c r="J619" s="0" t="str">
        <f aca="false">IF(I619="","",614-INDEX(Eingabe!$P$9:$P$18,I619))</f>
        <v/>
      </c>
      <c r="K619" s="0" t="str">
        <f aca="false">IF(I619="","",INDEX(Eingabe!$E$9:$E$18,I619))</f>
        <v/>
      </c>
    </row>
    <row r="620" customFormat="false" ht="15" hidden="false" customHeight="false" outlineLevel="0" collapsed="false">
      <c r="A620" s="0" t="str">
        <f aca="false">IF(I620="","",IF(J620=0,"Sparte "&amp;I620&amp;": "&amp;INDEX(Eingabe!$B$9:$B$18,I620)&amp;"  (Sparten-ID "&amp;INDEX(Eingabe!$D$9:$D$18,I620)&amp;", "&amp;K620&amp;" Parzellen)",IF(J620&lt;=K620,"   Parzelle "&amp;J620,IF(J620=K620+1,"   Vorstand",IF(J620=K620+2,"   Gäste",IF(J620=K620+3,"   Technik (Switches, Access Points)",""))))))</f>
        <v/>
      </c>
      <c r="B620" s="0" t="str">
        <f aca="false">IF(I620="","",IF(AND(J620&gt;=1,J620&lt;=K620+3),IF(J620&lt;=K620,IF(J620&lt;=99,IF((INDEX(Eingabe!$G$9:$G$18,I620))&lt;=9,1000+(INDEX(Eingabe!$G$9:$G$18,I620))*100,3000)+J620,IF((INDEX(Eingabe!$G$9:$G$18,I620)+1)&lt;=9,1000+(INDEX(Eingabe!$G$9:$G$18,I620)+1)*100,3000)+J620-100),IF(J620=K620+1,2000+INDEX(Eingabe!$G$9:$G$18,I620)*10+1,IF(J620=K620+2,2000+INDEX(Eingabe!$G$9:$G$18,I620)*10+2,2000+INDEX(Eingabe!$G$9:$G$18,I620)*10+9))),""))</f>
        <v/>
      </c>
      <c r="C620" s="0" t="str">
        <f aca="false">IF(I620="","",IF(AND(J620&gt;=1,J620&lt;=K620+3),"10."&amp;INDEX(Eingabe!$D$9:$D$18,I620)&amp;"."&amp;IF(J620&lt;=K620,J620,IF(J620=K620+1,200,IF(J620=K620+2,201,250)))&amp;".0/24",""))</f>
        <v/>
      </c>
      <c r="D620" s="0" t="str">
        <f aca="false">IF(I620="","",IF(AND(J620&gt;=1,J620&lt;=K620+3),"255.255.255.0",""))</f>
        <v/>
      </c>
      <c r="E620" s="0" t="str">
        <f aca="false">IF(I620="","",IF(AND(J620&gt;=1,J620&lt;=K620+3),"10."&amp;INDEX(Eingabe!$D$9:$D$18,I620)&amp;"."&amp;IF(J620&lt;=K620,J620,IF(J620=K620+1,200,IF(J620=K620+2,201,250)))&amp;".1",""))</f>
        <v/>
      </c>
      <c r="F620" s="0" t="str">
        <f aca="false">IF(I620="","",IF(AND(J620&gt;=1,J620&lt;=K620+3),"10."&amp;INDEX(Eingabe!$D$9:$D$18,I620)&amp;"."&amp;IF(J620&lt;=K620,J620,IF(J620=K620+1,200,IF(J620=K620+2,201,250)))&amp;".10 – 10."&amp;INDEX(Eingabe!$D$9:$D$18,I620)&amp;"."&amp;IF(J620&lt;=K620,J620,IF(J620=K620+1,200,IF(J620=K620+2,201,250)))&amp;".250",""))</f>
        <v/>
      </c>
      <c r="G620" s="0" t="str">
        <f aca="false">IF(I620="","",IF(AND(J620&gt;=1,J620&lt;=K620),Eingabe!$B$6&amp;"-"&amp;INDEX(Eingabe!$C$9:$C$18,I620)&amp;"-Pächter  ·  Passwort Parzelle "&amp;J620,IF(J620=K620+1,Eingabe!$B$6&amp;"-"&amp;INDEX(Eingabe!$C$9:$C$18,I620)&amp;"-Vorstand  ·  eigenes WLAN",IF(J620=K620+2,Eingabe!$B$6&amp;"-"&amp;INDEX(Eingabe!$C$9:$C$18,I620)&amp;"-Gäste  ·  Voucher",IF(J620=K620+3,"Kabel  ·  Access Point y = .(50+y), Mast-Switch x = .(10+x)","")))))</f>
        <v/>
      </c>
      <c r="I620" s="0" t="str">
        <f aca="false">IF(615&lt;=(Eingabe!$P$18+Eingabe!$Q$18-1),MATCH(615,Eingabe!$P$9:$P$18,1),"")</f>
        <v/>
      </c>
      <c r="J620" s="0" t="str">
        <f aca="false">IF(I620="","",615-INDEX(Eingabe!$P$9:$P$18,I620))</f>
        <v/>
      </c>
      <c r="K620" s="0" t="str">
        <f aca="false">IF(I620="","",INDEX(Eingabe!$E$9:$E$18,I620))</f>
        <v/>
      </c>
    </row>
    <row r="621" customFormat="false" ht="15" hidden="false" customHeight="false" outlineLevel="0" collapsed="false">
      <c r="A621" s="0" t="str">
        <f aca="false">IF(I621="","",IF(J621=0,"Sparte "&amp;I621&amp;": "&amp;INDEX(Eingabe!$B$9:$B$18,I621)&amp;"  (Sparten-ID "&amp;INDEX(Eingabe!$D$9:$D$18,I621)&amp;", "&amp;K621&amp;" Parzellen)",IF(J621&lt;=K621,"   Parzelle "&amp;J621,IF(J621=K621+1,"   Vorstand",IF(J621=K621+2,"   Gäste",IF(J621=K621+3,"   Technik (Switches, Access Points)",""))))))</f>
        <v/>
      </c>
      <c r="B621" s="0" t="str">
        <f aca="false">IF(I621="","",IF(AND(J621&gt;=1,J621&lt;=K621+3),IF(J621&lt;=K621,IF(J621&lt;=99,IF((INDEX(Eingabe!$G$9:$G$18,I621))&lt;=9,1000+(INDEX(Eingabe!$G$9:$G$18,I621))*100,3000)+J621,IF((INDEX(Eingabe!$G$9:$G$18,I621)+1)&lt;=9,1000+(INDEX(Eingabe!$G$9:$G$18,I621)+1)*100,3000)+J621-100),IF(J621=K621+1,2000+INDEX(Eingabe!$G$9:$G$18,I621)*10+1,IF(J621=K621+2,2000+INDEX(Eingabe!$G$9:$G$18,I621)*10+2,2000+INDEX(Eingabe!$G$9:$G$18,I621)*10+9))),""))</f>
        <v/>
      </c>
      <c r="C621" s="0" t="str">
        <f aca="false">IF(I621="","",IF(AND(J621&gt;=1,J621&lt;=K621+3),"10."&amp;INDEX(Eingabe!$D$9:$D$18,I621)&amp;"."&amp;IF(J621&lt;=K621,J621,IF(J621=K621+1,200,IF(J621=K621+2,201,250)))&amp;".0/24",""))</f>
        <v/>
      </c>
      <c r="D621" s="0" t="str">
        <f aca="false">IF(I621="","",IF(AND(J621&gt;=1,J621&lt;=K621+3),"255.255.255.0",""))</f>
        <v/>
      </c>
      <c r="E621" s="0" t="str">
        <f aca="false">IF(I621="","",IF(AND(J621&gt;=1,J621&lt;=K621+3),"10."&amp;INDEX(Eingabe!$D$9:$D$18,I621)&amp;"."&amp;IF(J621&lt;=K621,J621,IF(J621=K621+1,200,IF(J621=K621+2,201,250)))&amp;".1",""))</f>
        <v/>
      </c>
      <c r="F621" s="0" t="str">
        <f aca="false">IF(I621="","",IF(AND(J621&gt;=1,J621&lt;=K621+3),"10."&amp;INDEX(Eingabe!$D$9:$D$18,I621)&amp;"."&amp;IF(J621&lt;=K621,J621,IF(J621=K621+1,200,IF(J621=K621+2,201,250)))&amp;".10 – 10."&amp;INDEX(Eingabe!$D$9:$D$18,I621)&amp;"."&amp;IF(J621&lt;=K621,J621,IF(J621=K621+1,200,IF(J621=K621+2,201,250)))&amp;".250",""))</f>
        <v/>
      </c>
      <c r="G621" s="0" t="str">
        <f aca="false">IF(I621="","",IF(AND(J621&gt;=1,J621&lt;=K621),Eingabe!$B$6&amp;"-"&amp;INDEX(Eingabe!$C$9:$C$18,I621)&amp;"-Pächter  ·  Passwort Parzelle "&amp;J621,IF(J621=K621+1,Eingabe!$B$6&amp;"-"&amp;INDEX(Eingabe!$C$9:$C$18,I621)&amp;"-Vorstand  ·  eigenes WLAN",IF(J621=K621+2,Eingabe!$B$6&amp;"-"&amp;INDEX(Eingabe!$C$9:$C$18,I621)&amp;"-Gäste  ·  Voucher",IF(J621=K621+3,"Kabel  ·  Access Point y = .(50+y), Mast-Switch x = .(10+x)","")))))</f>
        <v/>
      </c>
      <c r="I621" s="0" t="str">
        <f aca="false">IF(616&lt;=(Eingabe!$P$18+Eingabe!$Q$18-1),MATCH(616,Eingabe!$P$9:$P$18,1),"")</f>
        <v/>
      </c>
      <c r="J621" s="0" t="str">
        <f aca="false">IF(I621="","",616-INDEX(Eingabe!$P$9:$P$18,I621))</f>
        <v/>
      </c>
      <c r="K621" s="0" t="str">
        <f aca="false">IF(I621="","",INDEX(Eingabe!$E$9:$E$18,I621))</f>
        <v/>
      </c>
    </row>
    <row r="622" customFormat="false" ht="15" hidden="false" customHeight="false" outlineLevel="0" collapsed="false">
      <c r="A622" s="0" t="str">
        <f aca="false">IF(I622="","",IF(J622=0,"Sparte "&amp;I622&amp;": "&amp;INDEX(Eingabe!$B$9:$B$18,I622)&amp;"  (Sparten-ID "&amp;INDEX(Eingabe!$D$9:$D$18,I622)&amp;", "&amp;K622&amp;" Parzellen)",IF(J622&lt;=K622,"   Parzelle "&amp;J622,IF(J622=K622+1,"   Vorstand",IF(J622=K622+2,"   Gäste",IF(J622=K622+3,"   Technik (Switches, Access Points)",""))))))</f>
        <v/>
      </c>
      <c r="B622" s="0" t="str">
        <f aca="false">IF(I622="","",IF(AND(J622&gt;=1,J622&lt;=K622+3),IF(J622&lt;=K622,IF(J622&lt;=99,IF((INDEX(Eingabe!$G$9:$G$18,I622))&lt;=9,1000+(INDEX(Eingabe!$G$9:$G$18,I622))*100,3000)+J622,IF((INDEX(Eingabe!$G$9:$G$18,I622)+1)&lt;=9,1000+(INDEX(Eingabe!$G$9:$G$18,I622)+1)*100,3000)+J622-100),IF(J622=K622+1,2000+INDEX(Eingabe!$G$9:$G$18,I622)*10+1,IF(J622=K622+2,2000+INDEX(Eingabe!$G$9:$G$18,I622)*10+2,2000+INDEX(Eingabe!$G$9:$G$18,I622)*10+9))),""))</f>
        <v/>
      </c>
      <c r="C622" s="0" t="str">
        <f aca="false">IF(I622="","",IF(AND(J622&gt;=1,J622&lt;=K622+3),"10."&amp;INDEX(Eingabe!$D$9:$D$18,I622)&amp;"."&amp;IF(J622&lt;=K622,J622,IF(J622=K622+1,200,IF(J622=K622+2,201,250)))&amp;".0/24",""))</f>
        <v/>
      </c>
      <c r="D622" s="0" t="str">
        <f aca="false">IF(I622="","",IF(AND(J622&gt;=1,J622&lt;=K622+3),"255.255.255.0",""))</f>
        <v/>
      </c>
      <c r="E622" s="0" t="str">
        <f aca="false">IF(I622="","",IF(AND(J622&gt;=1,J622&lt;=K622+3),"10."&amp;INDEX(Eingabe!$D$9:$D$18,I622)&amp;"."&amp;IF(J622&lt;=K622,J622,IF(J622=K622+1,200,IF(J622=K622+2,201,250)))&amp;".1",""))</f>
        <v/>
      </c>
      <c r="F622" s="0" t="str">
        <f aca="false">IF(I622="","",IF(AND(J622&gt;=1,J622&lt;=K622+3),"10."&amp;INDEX(Eingabe!$D$9:$D$18,I622)&amp;"."&amp;IF(J622&lt;=K622,J622,IF(J622=K622+1,200,IF(J622=K622+2,201,250)))&amp;".10 – 10."&amp;INDEX(Eingabe!$D$9:$D$18,I622)&amp;"."&amp;IF(J622&lt;=K622,J622,IF(J622=K622+1,200,IF(J622=K622+2,201,250)))&amp;".250",""))</f>
        <v/>
      </c>
      <c r="G622" s="0" t="str">
        <f aca="false">IF(I622="","",IF(AND(J622&gt;=1,J622&lt;=K622),Eingabe!$B$6&amp;"-"&amp;INDEX(Eingabe!$C$9:$C$18,I622)&amp;"-Pächter  ·  Passwort Parzelle "&amp;J622,IF(J622=K622+1,Eingabe!$B$6&amp;"-"&amp;INDEX(Eingabe!$C$9:$C$18,I622)&amp;"-Vorstand  ·  eigenes WLAN",IF(J622=K622+2,Eingabe!$B$6&amp;"-"&amp;INDEX(Eingabe!$C$9:$C$18,I622)&amp;"-Gäste  ·  Voucher",IF(J622=K622+3,"Kabel  ·  Access Point y = .(50+y), Mast-Switch x = .(10+x)","")))))</f>
        <v/>
      </c>
      <c r="I622" s="0" t="str">
        <f aca="false">IF(617&lt;=(Eingabe!$P$18+Eingabe!$Q$18-1),MATCH(617,Eingabe!$P$9:$P$18,1),"")</f>
        <v/>
      </c>
      <c r="J622" s="0" t="str">
        <f aca="false">IF(I622="","",617-INDEX(Eingabe!$P$9:$P$18,I622))</f>
        <v/>
      </c>
      <c r="K622" s="0" t="str">
        <f aca="false">IF(I622="","",INDEX(Eingabe!$E$9:$E$18,I622))</f>
        <v/>
      </c>
    </row>
    <row r="623" customFormat="false" ht="15" hidden="false" customHeight="false" outlineLevel="0" collapsed="false">
      <c r="A623" s="0" t="str">
        <f aca="false">IF(I623="","",IF(J623=0,"Sparte "&amp;I623&amp;": "&amp;INDEX(Eingabe!$B$9:$B$18,I623)&amp;"  (Sparten-ID "&amp;INDEX(Eingabe!$D$9:$D$18,I623)&amp;", "&amp;K623&amp;" Parzellen)",IF(J623&lt;=K623,"   Parzelle "&amp;J623,IF(J623=K623+1,"   Vorstand",IF(J623=K623+2,"   Gäste",IF(J623=K623+3,"   Technik (Switches, Access Points)",""))))))</f>
        <v/>
      </c>
      <c r="B623" s="0" t="str">
        <f aca="false">IF(I623="","",IF(AND(J623&gt;=1,J623&lt;=K623+3),IF(J623&lt;=K623,IF(J623&lt;=99,IF((INDEX(Eingabe!$G$9:$G$18,I623))&lt;=9,1000+(INDEX(Eingabe!$G$9:$G$18,I623))*100,3000)+J623,IF((INDEX(Eingabe!$G$9:$G$18,I623)+1)&lt;=9,1000+(INDEX(Eingabe!$G$9:$G$18,I623)+1)*100,3000)+J623-100),IF(J623=K623+1,2000+INDEX(Eingabe!$G$9:$G$18,I623)*10+1,IF(J623=K623+2,2000+INDEX(Eingabe!$G$9:$G$18,I623)*10+2,2000+INDEX(Eingabe!$G$9:$G$18,I623)*10+9))),""))</f>
        <v/>
      </c>
      <c r="C623" s="0" t="str">
        <f aca="false">IF(I623="","",IF(AND(J623&gt;=1,J623&lt;=K623+3),"10."&amp;INDEX(Eingabe!$D$9:$D$18,I623)&amp;"."&amp;IF(J623&lt;=K623,J623,IF(J623=K623+1,200,IF(J623=K623+2,201,250)))&amp;".0/24",""))</f>
        <v/>
      </c>
      <c r="D623" s="0" t="str">
        <f aca="false">IF(I623="","",IF(AND(J623&gt;=1,J623&lt;=K623+3),"255.255.255.0",""))</f>
        <v/>
      </c>
      <c r="E623" s="0" t="str">
        <f aca="false">IF(I623="","",IF(AND(J623&gt;=1,J623&lt;=K623+3),"10."&amp;INDEX(Eingabe!$D$9:$D$18,I623)&amp;"."&amp;IF(J623&lt;=K623,J623,IF(J623=K623+1,200,IF(J623=K623+2,201,250)))&amp;".1",""))</f>
        <v/>
      </c>
      <c r="F623" s="0" t="str">
        <f aca="false">IF(I623="","",IF(AND(J623&gt;=1,J623&lt;=K623+3),"10."&amp;INDEX(Eingabe!$D$9:$D$18,I623)&amp;"."&amp;IF(J623&lt;=K623,J623,IF(J623=K623+1,200,IF(J623=K623+2,201,250)))&amp;".10 – 10."&amp;INDEX(Eingabe!$D$9:$D$18,I623)&amp;"."&amp;IF(J623&lt;=K623,J623,IF(J623=K623+1,200,IF(J623=K623+2,201,250)))&amp;".250",""))</f>
        <v/>
      </c>
      <c r="G623" s="0" t="str">
        <f aca="false">IF(I623="","",IF(AND(J623&gt;=1,J623&lt;=K623),Eingabe!$B$6&amp;"-"&amp;INDEX(Eingabe!$C$9:$C$18,I623)&amp;"-Pächter  ·  Passwort Parzelle "&amp;J623,IF(J623=K623+1,Eingabe!$B$6&amp;"-"&amp;INDEX(Eingabe!$C$9:$C$18,I623)&amp;"-Vorstand  ·  eigenes WLAN",IF(J623=K623+2,Eingabe!$B$6&amp;"-"&amp;INDEX(Eingabe!$C$9:$C$18,I623)&amp;"-Gäste  ·  Voucher",IF(J623=K623+3,"Kabel  ·  Access Point y = .(50+y), Mast-Switch x = .(10+x)","")))))</f>
        <v/>
      </c>
      <c r="I623" s="0" t="str">
        <f aca="false">IF(618&lt;=(Eingabe!$P$18+Eingabe!$Q$18-1),MATCH(618,Eingabe!$P$9:$P$18,1),"")</f>
        <v/>
      </c>
      <c r="J623" s="0" t="str">
        <f aca="false">IF(I623="","",618-INDEX(Eingabe!$P$9:$P$18,I623))</f>
        <v/>
      </c>
      <c r="K623" s="0" t="str">
        <f aca="false">IF(I623="","",INDEX(Eingabe!$E$9:$E$18,I623))</f>
        <v/>
      </c>
    </row>
    <row r="624" customFormat="false" ht="15" hidden="false" customHeight="false" outlineLevel="0" collapsed="false">
      <c r="A624" s="0" t="str">
        <f aca="false">IF(I624="","",IF(J624=0,"Sparte "&amp;I624&amp;": "&amp;INDEX(Eingabe!$B$9:$B$18,I624)&amp;"  (Sparten-ID "&amp;INDEX(Eingabe!$D$9:$D$18,I624)&amp;", "&amp;K624&amp;" Parzellen)",IF(J624&lt;=K624,"   Parzelle "&amp;J624,IF(J624=K624+1,"   Vorstand",IF(J624=K624+2,"   Gäste",IF(J624=K624+3,"   Technik (Switches, Access Points)",""))))))</f>
        <v/>
      </c>
      <c r="B624" s="0" t="str">
        <f aca="false">IF(I624="","",IF(AND(J624&gt;=1,J624&lt;=K624+3),IF(J624&lt;=K624,IF(J624&lt;=99,IF((INDEX(Eingabe!$G$9:$G$18,I624))&lt;=9,1000+(INDEX(Eingabe!$G$9:$G$18,I624))*100,3000)+J624,IF((INDEX(Eingabe!$G$9:$G$18,I624)+1)&lt;=9,1000+(INDEX(Eingabe!$G$9:$G$18,I624)+1)*100,3000)+J624-100),IF(J624=K624+1,2000+INDEX(Eingabe!$G$9:$G$18,I624)*10+1,IF(J624=K624+2,2000+INDEX(Eingabe!$G$9:$G$18,I624)*10+2,2000+INDEX(Eingabe!$G$9:$G$18,I624)*10+9))),""))</f>
        <v/>
      </c>
      <c r="C624" s="0" t="str">
        <f aca="false">IF(I624="","",IF(AND(J624&gt;=1,J624&lt;=K624+3),"10."&amp;INDEX(Eingabe!$D$9:$D$18,I624)&amp;"."&amp;IF(J624&lt;=K624,J624,IF(J624=K624+1,200,IF(J624=K624+2,201,250)))&amp;".0/24",""))</f>
        <v/>
      </c>
      <c r="D624" s="0" t="str">
        <f aca="false">IF(I624="","",IF(AND(J624&gt;=1,J624&lt;=K624+3),"255.255.255.0",""))</f>
        <v/>
      </c>
      <c r="E624" s="0" t="str">
        <f aca="false">IF(I624="","",IF(AND(J624&gt;=1,J624&lt;=K624+3),"10."&amp;INDEX(Eingabe!$D$9:$D$18,I624)&amp;"."&amp;IF(J624&lt;=K624,J624,IF(J624=K624+1,200,IF(J624=K624+2,201,250)))&amp;".1",""))</f>
        <v/>
      </c>
      <c r="F624" s="0" t="str">
        <f aca="false">IF(I624="","",IF(AND(J624&gt;=1,J624&lt;=K624+3),"10."&amp;INDEX(Eingabe!$D$9:$D$18,I624)&amp;"."&amp;IF(J624&lt;=K624,J624,IF(J624=K624+1,200,IF(J624=K624+2,201,250)))&amp;".10 – 10."&amp;INDEX(Eingabe!$D$9:$D$18,I624)&amp;"."&amp;IF(J624&lt;=K624,J624,IF(J624=K624+1,200,IF(J624=K624+2,201,250)))&amp;".250",""))</f>
        <v/>
      </c>
      <c r="G624" s="0" t="str">
        <f aca="false">IF(I624="","",IF(AND(J624&gt;=1,J624&lt;=K624),Eingabe!$B$6&amp;"-"&amp;INDEX(Eingabe!$C$9:$C$18,I624)&amp;"-Pächter  ·  Passwort Parzelle "&amp;J624,IF(J624=K624+1,Eingabe!$B$6&amp;"-"&amp;INDEX(Eingabe!$C$9:$C$18,I624)&amp;"-Vorstand  ·  eigenes WLAN",IF(J624=K624+2,Eingabe!$B$6&amp;"-"&amp;INDEX(Eingabe!$C$9:$C$18,I624)&amp;"-Gäste  ·  Voucher",IF(J624=K624+3,"Kabel  ·  Access Point y = .(50+y), Mast-Switch x = .(10+x)","")))))</f>
        <v/>
      </c>
      <c r="I624" s="0" t="str">
        <f aca="false">IF(619&lt;=(Eingabe!$P$18+Eingabe!$Q$18-1),MATCH(619,Eingabe!$P$9:$P$18,1),"")</f>
        <v/>
      </c>
      <c r="J624" s="0" t="str">
        <f aca="false">IF(I624="","",619-INDEX(Eingabe!$P$9:$P$18,I624))</f>
        <v/>
      </c>
      <c r="K624" s="0" t="str">
        <f aca="false">IF(I624="","",INDEX(Eingabe!$E$9:$E$18,I624))</f>
        <v/>
      </c>
    </row>
    <row r="625" customFormat="false" ht="15" hidden="false" customHeight="false" outlineLevel="0" collapsed="false">
      <c r="A625" s="0" t="str">
        <f aca="false">IF(I625="","",IF(J625=0,"Sparte "&amp;I625&amp;": "&amp;INDEX(Eingabe!$B$9:$B$18,I625)&amp;"  (Sparten-ID "&amp;INDEX(Eingabe!$D$9:$D$18,I625)&amp;", "&amp;K625&amp;" Parzellen)",IF(J625&lt;=K625,"   Parzelle "&amp;J625,IF(J625=K625+1,"   Vorstand",IF(J625=K625+2,"   Gäste",IF(J625=K625+3,"   Technik (Switches, Access Points)",""))))))</f>
        <v/>
      </c>
      <c r="B625" s="0" t="str">
        <f aca="false">IF(I625="","",IF(AND(J625&gt;=1,J625&lt;=K625+3),IF(J625&lt;=K625,IF(J625&lt;=99,IF((INDEX(Eingabe!$G$9:$G$18,I625))&lt;=9,1000+(INDEX(Eingabe!$G$9:$G$18,I625))*100,3000)+J625,IF((INDEX(Eingabe!$G$9:$G$18,I625)+1)&lt;=9,1000+(INDEX(Eingabe!$G$9:$G$18,I625)+1)*100,3000)+J625-100),IF(J625=K625+1,2000+INDEX(Eingabe!$G$9:$G$18,I625)*10+1,IF(J625=K625+2,2000+INDEX(Eingabe!$G$9:$G$18,I625)*10+2,2000+INDEX(Eingabe!$G$9:$G$18,I625)*10+9))),""))</f>
        <v/>
      </c>
      <c r="C625" s="0" t="str">
        <f aca="false">IF(I625="","",IF(AND(J625&gt;=1,J625&lt;=K625+3),"10."&amp;INDEX(Eingabe!$D$9:$D$18,I625)&amp;"."&amp;IF(J625&lt;=K625,J625,IF(J625=K625+1,200,IF(J625=K625+2,201,250)))&amp;".0/24",""))</f>
        <v/>
      </c>
      <c r="D625" s="0" t="str">
        <f aca="false">IF(I625="","",IF(AND(J625&gt;=1,J625&lt;=K625+3),"255.255.255.0",""))</f>
        <v/>
      </c>
      <c r="E625" s="0" t="str">
        <f aca="false">IF(I625="","",IF(AND(J625&gt;=1,J625&lt;=K625+3),"10."&amp;INDEX(Eingabe!$D$9:$D$18,I625)&amp;"."&amp;IF(J625&lt;=K625,J625,IF(J625=K625+1,200,IF(J625=K625+2,201,250)))&amp;".1",""))</f>
        <v/>
      </c>
      <c r="F625" s="0" t="str">
        <f aca="false">IF(I625="","",IF(AND(J625&gt;=1,J625&lt;=K625+3),"10."&amp;INDEX(Eingabe!$D$9:$D$18,I625)&amp;"."&amp;IF(J625&lt;=K625,J625,IF(J625=K625+1,200,IF(J625=K625+2,201,250)))&amp;".10 – 10."&amp;INDEX(Eingabe!$D$9:$D$18,I625)&amp;"."&amp;IF(J625&lt;=K625,J625,IF(J625=K625+1,200,IF(J625=K625+2,201,250)))&amp;".250",""))</f>
        <v/>
      </c>
      <c r="G625" s="0" t="str">
        <f aca="false">IF(I625="","",IF(AND(J625&gt;=1,J625&lt;=K625),Eingabe!$B$6&amp;"-"&amp;INDEX(Eingabe!$C$9:$C$18,I625)&amp;"-Pächter  ·  Passwort Parzelle "&amp;J625,IF(J625=K625+1,Eingabe!$B$6&amp;"-"&amp;INDEX(Eingabe!$C$9:$C$18,I625)&amp;"-Vorstand  ·  eigenes WLAN",IF(J625=K625+2,Eingabe!$B$6&amp;"-"&amp;INDEX(Eingabe!$C$9:$C$18,I625)&amp;"-Gäste  ·  Voucher",IF(J625=K625+3,"Kabel  ·  Access Point y = .(50+y), Mast-Switch x = .(10+x)","")))))</f>
        <v/>
      </c>
      <c r="I625" s="0" t="str">
        <f aca="false">IF(620&lt;=(Eingabe!$P$18+Eingabe!$Q$18-1),MATCH(620,Eingabe!$P$9:$P$18,1),"")</f>
        <v/>
      </c>
      <c r="J625" s="0" t="str">
        <f aca="false">IF(I625="","",620-INDEX(Eingabe!$P$9:$P$18,I625))</f>
        <v/>
      </c>
      <c r="K625" s="0" t="str">
        <f aca="false">IF(I625="","",INDEX(Eingabe!$E$9:$E$18,I625))</f>
        <v/>
      </c>
    </row>
    <row r="626" customFormat="false" ht="15" hidden="false" customHeight="false" outlineLevel="0" collapsed="false">
      <c r="A626" s="0" t="str">
        <f aca="false">IF(I626="","",IF(J626=0,"Sparte "&amp;I626&amp;": "&amp;INDEX(Eingabe!$B$9:$B$18,I626)&amp;"  (Sparten-ID "&amp;INDEX(Eingabe!$D$9:$D$18,I626)&amp;", "&amp;K626&amp;" Parzellen)",IF(J626&lt;=K626,"   Parzelle "&amp;J626,IF(J626=K626+1,"   Vorstand",IF(J626=K626+2,"   Gäste",IF(J626=K626+3,"   Technik (Switches, Access Points)",""))))))</f>
        <v/>
      </c>
      <c r="B626" s="0" t="str">
        <f aca="false">IF(I626="","",IF(AND(J626&gt;=1,J626&lt;=K626+3),IF(J626&lt;=K626,IF(J626&lt;=99,IF((INDEX(Eingabe!$G$9:$G$18,I626))&lt;=9,1000+(INDEX(Eingabe!$G$9:$G$18,I626))*100,3000)+J626,IF((INDEX(Eingabe!$G$9:$G$18,I626)+1)&lt;=9,1000+(INDEX(Eingabe!$G$9:$G$18,I626)+1)*100,3000)+J626-100),IF(J626=K626+1,2000+INDEX(Eingabe!$G$9:$G$18,I626)*10+1,IF(J626=K626+2,2000+INDEX(Eingabe!$G$9:$G$18,I626)*10+2,2000+INDEX(Eingabe!$G$9:$G$18,I626)*10+9))),""))</f>
        <v/>
      </c>
      <c r="C626" s="0" t="str">
        <f aca="false">IF(I626="","",IF(AND(J626&gt;=1,J626&lt;=K626+3),"10."&amp;INDEX(Eingabe!$D$9:$D$18,I626)&amp;"."&amp;IF(J626&lt;=K626,J626,IF(J626=K626+1,200,IF(J626=K626+2,201,250)))&amp;".0/24",""))</f>
        <v/>
      </c>
      <c r="D626" s="0" t="str">
        <f aca="false">IF(I626="","",IF(AND(J626&gt;=1,J626&lt;=K626+3),"255.255.255.0",""))</f>
        <v/>
      </c>
      <c r="E626" s="0" t="str">
        <f aca="false">IF(I626="","",IF(AND(J626&gt;=1,J626&lt;=K626+3),"10."&amp;INDEX(Eingabe!$D$9:$D$18,I626)&amp;"."&amp;IF(J626&lt;=K626,J626,IF(J626=K626+1,200,IF(J626=K626+2,201,250)))&amp;".1",""))</f>
        <v/>
      </c>
      <c r="F626" s="0" t="str">
        <f aca="false">IF(I626="","",IF(AND(J626&gt;=1,J626&lt;=K626+3),"10."&amp;INDEX(Eingabe!$D$9:$D$18,I626)&amp;"."&amp;IF(J626&lt;=K626,J626,IF(J626=K626+1,200,IF(J626=K626+2,201,250)))&amp;".10 – 10."&amp;INDEX(Eingabe!$D$9:$D$18,I626)&amp;"."&amp;IF(J626&lt;=K626,J626,IF(J626=K626+1,200,IF(J626=K626+2,201,250)))&amp;".250",""))</f>
        <v/>
      </c>
      <c r="G626" s="0" t="str">
        <f aca="false">IF(I626="","",IF(AND(J626&gt;=1,J626&lt;=K626),Eingabe!$B$6&amp;"-"&amp;INDEX(Eingabe!$C$9:$C$18,I626)&amp;"-Pächter  ·  Passwort Parzelle "&amp;J626,IF(J626=K626+1,Eingabe!$B$6&amp;"-"&amp;INDEX(Eingabe!$C$9:$C$18,I626)&amp;"-Vorstand  ·  eigenes WLAN",IF(J626=K626+2,Eingabe!$B$6&amp;"-"&amp;INDEX(Eingabe!$C$9:$C$18,I626)&amp;"-Gäste  ·  Voucher",IF(J626=K626+3,"Kabel  ·  Access Point y = .(50+y), Mast-Switch x = .(10+x)","")))))</f>
        <v/>
      </c>
      <c r="I626" s="0" t="str">
        <f aca="false">IF(621&lt;=(Eingabe!$P$18+Eingabe!$Q$18-1),MATCH(621,Eingabe!$P$9:$P$18,1),"")</f>
        <v/>
      </c>
      <c r="J626" s="0" t="str">
        <f aca="false">IF(I626="","",621-INDEX(Eingabe!$P$9:$P$18,I626))</f>
        <v/>
      </c>
      <c r="K626" s="0" t="str">
        <f aca="false">IF(I626="","",INDEX(Eingabe!$E$9:$E$18,I626))</f>
        <v/>
      </c>
    </row>
    <row r="627" customFormat="false" ht="15" hidden="false" customHeight="false" outlineLevel="0" collapsed="false">
      <c r="A627" s="0" t="str">
        <f aca="false">IF(I627="","",IF(J627=0,"Sparte "&amp;I627&amp;": "&amp;INDEX(Eingabe!$B$9:$B$18,I627)&amp;"  (Sparten-ID "&amp;INDEX(Eingabe!$D$9:$D$18,I627)&amp;", "&amp;K627&amp;" Parzellen)",IF(J627&lt;=K627,"   Parzelle "&amp;J627,IF(J627=K627+1,"   Vorstand",IF(J627=K627+2,"   Gäste",IF(J627=K627+3,"   Technik (Switches, Access Points)",""))))))</f>
        <v/>
      </c>
      <c r="B627" s="0" t="str">
        <f aca="false">IF(I627="","",IF(AND(J627&gt;=1,J627&lt;=K627+3),IF(J627&lt;=K627,IF(J627&lt;=99,IF((INDEX(Eingabe!$G$9:$G$18,I627))&lt;=9,1000+(INDEX(Eingabe!$G$9:$G$18,I627))*100,3000)+J627,IF((INDEX(Eingabe!$G$9:$G$18,I627)+1)&lt;=9,1000+(INDEX(Eingabe!$G$9:$G$18,I627)+1)*100,3000)+J627-100),IF(J627=K627+1,2000+INDEX(Eingabe!$G$9:$G$18,I627)*10+1,IF(J627=K627+2,2000+INDEX(Eingabe!$G$9:$G$18,I627)*10+2,2000+INDEX(Eingabe!$G$9:$G$18,I627)*10+9))),""))</f>
        <v/>
      </c>
      <c r="C627" s="0" t="str">
        <f aca="false">IF(I627="","",IF(AND(J627&gt;=1,J627&lt;=K627+3),"10."&amp;INDEX(Eingabe!$D$9:$D$18,I627)&amp;"."&amp;IF(J627&lt;=K627,J627,IF(J627=K627+1,200,IF(J627=K627+2,201,250)))&amp;".0/24",""))</f>
        <v/>
      </c>
      <c r="D627" s="0" t="str">
        <f aca="false">IF(I627="","",IF(AND(J627&gt;=1,J627&lt;=K627+3),"255.255.255.0",""))</f>
        <v/>
      </c>
      <c r="E627" s="0" t="str">
        <f aca="false">IF(I627="","",IF(AND(J627&gt;=1,J627&lt;=K627+3),"10."&amp;INDEX(Eingabe!$D$9:$D$18,I627)&amp;"."&amp;IF(J627&lt;=K627,J627,IF(J627=K627+1,200,IF(J627=K627+2,201,250)))&amp;".1",""))</f>
        <v/>
      </c>
      <c r="F627" s="0" t="str">
        <f aca="false">IF(I627="","",IF(AND(J627&gt;=1,J627&lt;=K627+3),"10."&amp;INDEX(Eingabe!$D$9:$D$18,I627)&amp;"."&amp;IF(J627&lt;=K627,J627,IF(J627=K627+1,200,IF(J627=K627+2,201,250)))&amp;".10 – 10."&amp;INDEX(Eingabe!$D$9:$D$18,I627)&amp;"."&amp;IF(J627&lt;=K627,J627,IF(J627=K627+1,200,IF(J627=K627+2,201,250)))&amp;".250",""))</f>
        <v/>
      </c>
      <c r="G627" s="0" t="str">
        <f aca="false">IF(I627="","",IF(AND(J627&gt;=1,J627&lt;=K627),Eingabe!$B$6&amp;"-"&amp;INDEX(Eingabe!$C$9:$C$18,I627)&amp;"-Pächter  ·  Passwort Parzelle "&amp;J627,IF(J627=K627+1,Eingabe!$B$6&amp;"-"&amp;INDEX(Eingabe!$C$9:$C$18,I627)&amp;"-Vorstand  ·  eigenes WLAN",IF(J627=K627+2,Eingabe!$B$6&amp;"-"&amp;INDEX(Eingabe!$C$9:$C$18,I627)&amp;"-Gäste  ·  Voucher",IF(J627=K627+3,"Kabel  ·  Access Point y = .(50+y), Mast-Switch x = .(10+x)","")))))</f>
        <v/>
      </c>
      <c r="I627" s="0" t="str">
        <f aca="false">IF(622&lt;=(Eingabe!$P$18+Eingabe!$Q$18-1),MATCH(622,Eingabe!$P$9:$P$18,1),"")</f>
        <v/>
      </c>
      <c r="J627" s="0" t="str">
        <f aca="false">IF(I627="","",622-INDEX(Eingabe!$P$9:$P$18,I627))</f>
        <v/>
      </c>
      <c r="K627" s="0" t="str">
        <f aca="false">IF(I627="","",INDEX(Eingabe!$E$9:$E$18,I627))</f>
        <v/>
      </c>
    </row>
    <row r="628" customFormat="false" ht="15" hidden="false" customHeight="false" outlineLevel="0" collapsed="false">
      <c r="A628" s="0" t="str">
        <f aca="false">IF(I628="","",IF(J628=0,"Sparte "&amp;I628&amp;": "&amp;INDEX(Eingabe!$B$9:$B$18,I628)&amp;"  (Sparten-ID "&amp;INDEX(Eingabe!$D$9:$D$18,I628)&amp;", "&amp;K628&amp;" Parzellen)",IF(J628&lt;=K628,"   Parzelle "&amp;J628,IF(J628=K628+1,"   Vorstand",IF(J628=K628+2,"   Gäste",IF(J628=K628+3,"   Technik (Switches, Access Points)",""))))))</f>
        <v/>
      </c>
      <c r="B628" s="0" t="str">
        <f aca="false">IF(I628="","",IF(AND(J628&gt;=1,J628&lt;=K628+3),IF(J628&lt;=K628,IF(J628&lt;=99,IF((INDEX(Eingabe!$G$9:$G$18,I628))&lt;=9,1000+(INDEX(Eingabe!$G$9:$G$18,I628))*100,3000)+J628,IF((INDEX(Eingabe!$G$9:$G$18,I628)+1)&lt;=9,1000+(INDEX(Eingabe!$G$9:$G$18,I628)+1)*100,3000)+J628-100),IF(J628=K628+1,2000+INDEX(Eingabe!$G$9:$G$18,I628)*10+1,IF(J628=K628+2,2000+INDEX(Eingabe!$G$9:$G$18,I628)*10+2,2000+INDEX(Eingabe!$G$9:$G$18,I628)*10+9))),""))</f>
        <v/>
      </c>
      <c r="C628" s="0" t="str">
        <f aca="false">IF(I628="","",IF(AND(J628&gt;=1,J628&lt;=K628+3),"10."&amp;INDEX(Eingabe!$D$9:$D$18,I628)&amp;"."&amp;IF(J628&lt;=K628,J628,IF(J628=K628+1,200,IF(J628=K628+2,201,250)))&amp;".0/24",""))</f>
        <v/>
      </c>
      <c r="D628" s="0" t="str">
        <f aca="false">IF(I628="","",IF(AND(J628&gt;=1,J628&lt;=K628+3),"255.255.255.0",""))</f>
        <v/>
      </c>
      <c r="E628" s="0" t="str">
        <f aca="false">IF(I628="","",IF(AND(J628&gt;=1,J628&lt;=K628+3),"10."&amp;INDEX(Eingabe!$D$9:$D$18,I628)&amp;"."&amp;IF(J628&lt;=K628,J628,IF(J628=K628+1,200,IF(J628=K628+2,201,250)))&amp;".1",""))</f>
        <v/>
      </c>
      <c r="F628" s="0" t="str">
        <f aca="false">IF(I628="","",IF(AND(J628&gt;=1,J628&lt;=K628+3),"10."&amp;INDEX(Eingabe!$D$9:$D$18,I628)&amp;"."&amp;IF(J628&lt;=K628,J628,IF(J628=K628+1,200,IF(J628=K628+2,201,250)))&amp;".10 – 10."&amp;INDEX(Eingabe!$D$9:$D$18,I628)&amp;"."&amp;IF(J628&lt;=K628,J628,IF(J628=K628+1,200,IF(J628=K628+2,201,250)))&amp;".250",""))</f>
        <v/>
      </c>
      <c r="G628" s="0" t="str">
        <f aca="false">IF(I628="","",IF(AND(J628&gt;=1,J628&lt;=K628),Eingabe!$B$6&amp;"-"&amp;INDEX(Eingabe!$C$9:$C$18,I628)&amp;"-Pächter  ·  Passwort Parzelle "&amp;J628,IF(J628=K628+1,Eingabe!$B$6&amp;"-"&amp;INDEX(Eingabe!$C$9:$C$18,I628)&amp;"-Vorstand  ·  eigenes WLAN",IF(J628=K628+2,Eingabe!$B$6&amp;"-"&amp;INDEX(Eingabe!$C$9:$C$18,I628)&amp;"-Gäste  ·  Voucher",IF(J628=K628+3,"Kabel  ·  Access Point y = .(50+y), Mast-Switch x = .(10+x)","")))))</f>
        <v/>
      </c>
      <c r="I628" s="0" t="str">
        <f aca="false">IF(623&lt;=(Eingabe!$P$18+Eingabe!$Q$18-1),MATCH(623,Eingabe!$P$9:$P$18,1),"")</f>
        <v/>
      </c>
      <c r="J628" s="0" t="str">
        <f aca="false">IF(I628="","",623-INDEX(Eingabe!$P$9:$P$18,I628))</f>
        <v/>
      </c>
      <c r="K628" s="0" t="str">
        <f aca="false">IF(I628="","",INDEX(Eingabe!$E$9:$E$18,I628))</f>
        <v/>
      </c>
    </row>
    <row r="629" customFormat="false" ht="15" hidden="false" customHeight="false" outlineLevel="0" collapsed="false">
      <c r="A629" s="0" t="str">
        <f aca="false">IF(I629="","",IF(J629=0,"Sparte "&amp;I629&amp;": "&amp;INDEX(Eingabe!$B$9:$B$18,I629)&amp;"  (Sparten-ID "&amp;INDEX(Eingabe!$D$9:$D$18,I629)&amp;", "&amp;K629&amp;" Parzellen)",IF(J629&lt;=K629,"   Parzelle "&amp;J629,IF(J629=K629+1,"   Vorstand",IF(J629=K629+2,"   Gäste",IF(J629=K629+3,"   Technik (Switches, Access Points)",""))))))</f>
        <v/>
      </c>
      <c r="B629" s="0" t="str">
        <f aca="false">IF(I629="","",IF(AND(J629&gt;=1,J629&lt;=K629+3),IF(J629&lt;=K629,IF(J629&lt;=99,IF((INDEX(Eingabe!$G$9:$G$18,I629))&lt;=9,1000+(INDEX(Eingabe!$G$9:$G$18,I629))*100,3000)+J629,IF((INDEX(Eingabe!$G$9:$G$18,I629)+1)&lt;=9,1000+(INDEX(Eingabe!$G$9:$G$18,I629)+1)*100,3000)+J629-100),IF(J629=K629+1,2000+INDEX(Eingabe!$G$9:$G$18,I629)*10+1,IF(J629=K629+2,2000+INDEX(Eingabe!$G$9:$G$18,I629)*10+2,2000+INDEX(Eingabe!$G$9:$G$18,I629)*10+9))),""))</f>
        <v/>
      </c>
      <c r="C629" s="0" t="str">
        <f aca="false">IF(I629="","",IF(AND(J629&gt;=1,J629&lt;=K629+3),"10."&amp;INDEX(Eingabe!$D$9:$D$18,I629)&amp;"."&amp;IF(J629&lt;=K629,J629,IF(J629=K629+1,200,IF(J629=K629+2,201,250)))&amp;".0/24",""))</f>
        <v/>
      </c>
      <c r="D629" s="0" t="str">
        <f aca="false">IF(I629="","",IF(AND(J629&gt;=1,J629&lt;=K629+3),"255.255.255.0",""))</f>
        <v/>
      </c>
      <c r="E629" s="0" t="str">
        <f aca="false">IF(I629="","",IF(AND(J629&gt;=1,J629&lt;=K629+3),"10."&amp;INDEX(Eingabe!$D$9:$D$18,I629)&amp;"."&amp;IF(J629&lt;=K629,J629,IF(J629=K629+1,200,IF(J629=K629+2,201,250)))&amp;".1",""))</f>
        <v/>
      </c>
      <c r="F629" s="0" t="str">
        <f aca="false">IF(I629="","",IF(AND(J629&gt;=1,J629&lt;=K629+3),"10."&amp;INDEX(Eingabe!$D$9:$D$18,I629)&amp;"."&amp;IF(J629&lt;=K629,J629,IF(J629=K629+1,200,IF(J629=K629+2,201,250)))&amp;".10 – 10."&amp;INDEX(Eingabe!$D$9:$D$18,I629)&amp;"."&amp;IF(J629&lt;=K629,J629,IF(J629=K629+1,200,IF(J629=K629+2,201,250)))&amp;".250",""))</f>
        <v/>
      </c>
      <c r="G629" s="0" t="str">
        <f aca="false">IF(I629="","",IF(AND(J629&gt;=1,J629&lt;=K629),Eingabe!$B$6&amp;"-"&amp;INDEX(Eingabe!$C$9:$C$18,I629)&amp;"-Pächter  ·  Passwort Parzelle "&amp;J629,IF(J629=K629+1,Eingabe!$B$6&amp;"-"&amp;INDEX(Eingabe!$C$9:$C$18,I629)&amp;"-Vorstand  ·  eigenes WLAN",IF(J629=K629+2,Eingabe!$B$6&amp;"-"&amp;INDEX(Eingabe!$C$9:$C$18,I629)&amp;"-Gäste  ·  Voucher",IF(J629=K629+3,"Kabel  ·  Access Point y = .(50+y), Mast-Switch x = .(10+x)","")))))</f>
        <v/>
      </c>
      <c r="I629" s="0" t="str">
        <f aca="false">IF(624&lt;=(Eingabe!$P$18+Eingabe!$Q$18-1),MATCH(624,Eingabe!$P$9:$P$18,1),"")</f>
        <v/>
      </c>
      <c r="J629" s="0" t="str">
        <f aca="false">IF(I629="","",624-INDEX(Eingabe!$P$9:$P$18,I629))</f>
        <v/>
      </c>
      <c r="K629" s="0" t="str">
        <f aca="false">IF(I629="","",INDEX(Eingabe!$E$9:$E$18,I629))</f>
        <v/>
      </c>
    </row>
    <row r="630" customFormat="false" ht="15" hidden="false" customHeight="false" outlineLevel="0" collapsed="false">
      <c r="A630" s="0" t="str">
        <f aca="false">IF(I630="","",IF(J630=0,"Sparte "&amp;I630&amp;": "&amp;INDEX(Eingabe!$B$9:$B$18,I630)&amp;"  (Sparten-ID "&amp;INDEX(Eingabe!$D$9:$D$18,I630)&amp;", "&amp;K630&amp;" Parzellen)",IF(J630&lt;=K630,"   Parzelle "&amp;J630,IF(J630=K630+1,"   Vorstand",IF(J630=K630+2,"   Gäste",IF(J630=K630+3,"   Technik (Switches, Access Points)",""))))))</f>
        <v/>
      </c>
      <c r="B630" s="0" t="str">
        <f aca="false">IF(I630="","",IF(AND(J630&gt;=1,J630&lt;=K630+3),IF(J630&lt;=K630,IF(J630&lt;=99,IF((INDEX(Eingabe!$G$9:$G$18,I630))&lt;=9,1000+(INDEX(Eingabe!$G$9:$G$18,I630))*100,3000)+J630,IF((INDEX(Eingabe!$G$9:$G$18,I630)+1)&lt;=9,1000+(INDEX(Eingabe!$G$9:$G$18,I630)+1)*100,3000)+J630-100),IF(J630=K630+1,2000+INDEX(Eingabe!$G$9:$G$18,I630)*10+1,IF(J630=K630+2,2000+INDEX(Eingabe!$G$9:$G$18,I630)*10+2,2000+INDEX(Eingabe!$G$9:$G$18,I630)*10+9))),""))</f>
        <v/>
      </c>
      <c r="C630" s="0" t="str">
        <f aca="false">IF(I630="","",IF(AND(J630&gt;=1,J630&lt;=K630+3),"10."&amp;INDEX(Eingabe!$D$9:$D$18,I630)&amp;"."&amp;IF(J630&lt;=K630,J630,IF(J630=K630+1,200,IF(J630=K630+2,201,250)))&amp;".0/24",""))</f>
        <v/>
      </c>
      <c r="D630" s="0" t="str">
        <f aca="false">IF(I630="","",IF(AND(J630&gt;=1,J630&lt;=K630+3),"255.255.255.0",""))</f>
        <v/>
      </c>
      <c r="E630" s="0" t="str">
        <f aca="false">IF(I630="","",IF(AND(J630&gt;=1,J630&lt;=K630+3),"10."&amp;INDEX(Eingabe!$D$9:$D$18,I630)&amp;"."&amp;IF(J630&lt;=K630,J630,IF(J630=K630+1,200,IF(J630=K630+2,201,250)))&amp;".1",""))</f>
        <v/>
      </c>
      <c r="F630" s="0" t="str">
        <f aca="false">IF(I630="","",IF(AND(J630&gt;=1,J630&lt;=K630+3),"10."&amp;INDEX(Eingabe!$D$9:$D$18,I630)&amp;"."&amp;IF(J630&lt;=K630,J630,IF(J630=K630+1,200,IF(J630=K630+2,201,250)))&amp;".10 – 10."&amp;INDEX(Eingabe!$D$9:$D$18,I630)&amp;"."&amp;IF(J630&lt;=K630,J630,IF(J630=K630+1,200,IF(J630=K630+2,201,250)))&amp;".250",""))</f>
        <v/>
      </c>
      <c r="G630" s="0" t="str">
        <f aca="false">IF(I630="","",IF(AND(J630&gt;=1,J630&lt;=K630),Eingabe!$B$6&amp;"-"&amp;INDEX(Eingabe!$C$9:$C$18,I630)&amp;"-Pächter  ·  Passwort Parzelle "&amp;J630,IF(J630=K630+1,Eingabe!$B$6&amp;"-"&amp;INDEX(Eingabe!$C$9:$C$18,I630)&amp;"-Vorstand  ·  eigenes WLAN",IF(J630=K630+2,Eingabe!$B$6&amp;"-"&amp;INDEX(Eingabe!$C$9:$C$18,I630)&amp;"-Gäste  ·  Voucher",IF(J630=K630+3,"Kabel  ·  Access Point y = .(50+y), Mast-Switch x = .(10+x)","")))))</f>
        <v/>
      </c>
      <c r="I630" s="0" t="str">
        <f aca="false">IF(625&lt;=(Eingabe!$P$18+Eingabe!$Q$18-1),MATCH(625,Eingabe!$P$9:$P$18,1),"")</f>
        <v/>
      </c>
      <c r="J630" s="0" t="str">
        <f aca="false">IF(I630="","",625-INDEX(Eingabe!$P$9:$P$18,I630))</f>
        <v/>
      </c>
      <c r="K630" s="0" t="str">
        <f aca="false">IF(I630="","",INDEX(Eingabe!$E$9:$E$18,I630))</f>
        <v/>
      </c>
    </row>
    <row r="631" customFormat="false" ht="15" hidden="false" customHeight="false" outlineLevel="0" collapsed="false">
      <c r="A631" s="0" t="str">
        <f aca="false">IF(I631="","",IF(J631=0,"Sparte "&amp;I631&amp;": "&amp;INDEX(Eingabe!$B$9:$B$18,I631)&amp;"  (Sparten-ID "&amp;INDEX(Eingabe!$D$9:$D$18,I631)&amp;", "&amp;K631&amp;" Parzellen)",IF(J631&lt;=K631,"   Parzelle "&amp;J631,IF(J631=K631+1,"   Vorstand",IF(J631=K631+2,"   Gäste",IF(J631=K631+3,"   Technik (Switches, Access Points)",""))))))</f>
        <v/>
      </c>
      <c r="B631" s="0" t="str">
        <f aca="false">IF(I631="","",IF(AND(J631&gt;=1,J631&lt;=K631+3),IF(J631&lt;=K631,IF(J631&lt;=99,IF((INDEX(Eingabe!$G$9:$G$18,I631))&lt;=9,1000+(INDEX(Eingabe!$G$9:$G$18,I631))*100,3000)+J631,IF((INDEX(Eingabe!$G$9:$G$18,I631)+1)&lt;=9,1000+(INDEX(Eingabe!$G$9:$G$18,I631)+1)*100,3000)+J631-100),IF(J631=K631+1,2000+INDEX(Eingabe!$G$9:$G$18,I631)*10+1,IF(J631=K631+2,2000+INDEX(Eingabe!$G$9:$G$18,I631)*10+2,2000+INDEX(Eingabe!$G$9:$G$18,I631)*10+9))),""))</f>
        <v/>
      </c>
      <c r="C631" s="0" t="str">
        <f aca="false">IF(I631="","",IF(AND(J631&gt;=1,J631&lt;=K631+3),"10."&amp;INDEX(Eingabe!$D$9:$D$18,I631)&amp;"."&amp;IF(J631&lt;=K631,J631,IF(J631=K631+1,200,IF(J631=K631+2,201,250)))&amp;".0/24",""))</f>
        <v/>
      </c>
      <c r="D631" s="0" t="str">
        <f aca="false">IF(I631="","",IF(AND(J631&gt;=1,J631&lt;=K631+3),"255.255.255.0",""))</f>
        <v/>
      </c>
      <c r="E631" s="0" t="str">
        <f aca="false">IF(I631="","",IF(AND(J631&gt;=1,J631&lt;=K631+3),"10."&amp;INDEX(Eingabe!$D$9:$D$18,I631)&amp;"."&amp;IF(J631&lt;=K631,J631,IF(J631=K631+1,200,IF(J631=K631+2,201,250)))&amp;".1",""))</f>
        <v/>
      </c>
      <c r="F631" s="0" t="str">
        <f aca="false">IF(I631="","",IF(AND(J631&gt;=1,J631&lt;=K631+3),"10."&amp;INDEX(Eingabe!$D$9:$D$18,I631)&amp;"."&amp;IF(J631&lt;=K631,J631,IF(J631=K631+1,200,IF(J631=K631+2,201,250)))&amp;".10 – 10."&amp;INDEX(Eingabe!$D$9:$D$18,I631)&amp;"."&amp;IF(J631&lt;=K631,J631,IF(J631=K631+1,200,IF(J631=K631+2,201,250)))&amp;".250",""))</f>
        <v/>
      </c>
      <c r="G631" s="0" t="str">
        <f aca="false">IF(I631="","",IF(AND(J631&gt;=1,J631&lt;=K631),Eingabe!$B$6&amp;"-"&amp;INDEX(Eingabe!$C$9:$C$18,I631)&amp;"-Pächter  ·  Passwort Parzelle "&amp;J631,IF(J631=K631+1,Eingabe!$B$6&amp;"-"&amp;INDEX(Eingabe!$C$9:$C$18,I631)&amp;"-Vorstand  ·  eigenes WLAN",IF(J631=K631+2,Eingabe!$B$6&amp;"-"&amp;INDEX(Eingabe!$C$9:$C$18,I631)&amp;"-Gäste  ·  Voucher",IF(J631=K631+3,"Kabel  ·  Access Point y = .(50+y), Mast-Switch x = .(10+x)","")))))</f>
        <v/>
      </c>
      <c r="I631" s="0" t="str">
        <f aca="false">IF(626&lt;=(Eingabe!$P$18+Eingabe!$Q$18-1),MATCH(626,Eingabe!$P$9:$P$18,1),"")</f>
        <v/>
      </c>
      <c r="J631" s="0" t="str">
        <f aca="false">IF(I631="","",626-INDEX(Eingabe!$P$9:$P$18,I631))</f>
        <v/>
      </c>
      <c r="K631" s="0" t="str">
        <f aca="false">IF(I631="","",INDEX(Eingabe!$E$9:$E$18,I631))</f>
        <v/>
      </c>
    </row>
    <row r="632" customFormat="false" ht="15" hidden="false" customHeight="false" outlineLevel="0" collapsed="false">
      <c r="A632" s="0" t="str">
        <f aca="false">IF(I632="","",IF(J632=0,"Sparte "&amp;I632&amp;": "&amp;INDEX(Eingabe!$B$9:$B$18,I632)&amp;"  (Sparten-ID "&amp;INDEX(Eingabe!$D$9:$D$18,I632)&amp;", "&amp;K632&amp;" Parzellen)",IF(J632&lt;=K632,"   Parzelle "&amp;J632,IF(J632=K632+1,"   Vorstand",IF(J632=K632+2,"   Gäste",IF(J632=K632+3,"   Technik (Switches, Access Points)",""))))))</f>
        <v/>
      </c>
      <c r="B632" s="0" t="str">
        <f aca="false">IF(I632="","",IF(AND(J632&gt;=1,J632&lt;=K632+3),IF(J632&lt;=K632,IF(J632&lt;=99,IF((INDEX(Eingabe!$G$9:$G$18,I632))&lt;=9,1000+(INDEX(Eingabe!$G$9:$G$18,I632))*100,3000)+J632,IF((INDEX(Eingabe!$G$9:$G$18,I632)+1)&lt;=9,1000+(INDEX(Eingabe!$G$9:$G$18,I632)+1)*100,3000)+J632-100),IF(J632=K632+1,2000+INDEX(Eingabe!$G$9:$G$18,I632)*10+1,IF(J632=K632+2,2000+INDEX(Eingabe!$G$9:$G$18,I632)*10+2,2000+INDEX(Eingabe!$G$9:$G$18,I632)*10+9))),""))</f>
        <v/>
      </c>
      <c r="C632" s="0" t="str">
        <f aca="false">IF(I632="","",IF(AND(J632&gt;=1,J632&lt;=K632+3),"10."&amp;INDEX(Eingabe!$D$9:$D$18,I632)&amp;"."&amp;IF(J632&lt;=K632,J632,IF(J632=K632+1,200,IF(J632=K632+2,201,250)))&amp;".0/24",""))</f>
        <v/>
      </c>
      <c r="D632" s="0" t="str">
        <f aca="false">IF(I632="","",IF(AND(J632&gt;=1,J632&lt;=K632+3),"255.255.255.0",""))</f>
        <v/>
      </c>
      <c r="E632" s="0" t="str">
        <f aca="false">IF(I632="","",IF(AND(J632&gt;=1,J632&lt;=K632+3),"10."&amp;INDEX(Eingabe!$D$9:$D$18,I632)&amp;"."&amp;IF(J632&lt;=K632,J632,IF(J632=K632+1,200,IF(J632=K632+2,201,250)))&amp;".1",""))</f>
        <v/>
      </c>
      <c r="F632" s="0" t="str">
        <f aca="false">IF(I632="","",IF(AND(J632&gt;=1,J632&lt;=K632+3),"10."&amp;INDEX(Eingabe!$D$9:$D$18,I632)&amp;"."&amp;IF(J632&lt;=K632,J632,IF(J632=K632+1,200,IF(J632=K632+2,201,250)))&amp;".10 – 10."&amp;INDEX(Eingabe!$D$9:$D$18,I632)&amp;"."&amp;IF(J632&lt;=K632,J632,IF(J632=K632+1,200,IF(J632=K632+2,201,250)))&amp;".250",""))</f>
        <v/>
      </c>
      <c r="G632" s="0" t="str">
        <f aca="false">IF(I632="","",IF(AND(J632&gt;=1,J632&lt;=K632),Eingabe!$B$6&amp;"-"&amp;INDEX(Eingabe!$C$9:$C$18,I632)&amp;"-Pächter  ·  Passwort Parzelle "&amp;J632,IF(J632=K632+1,Eingabe!$B$6&amp;"-"&amp;INDEX(Eingabe!$C$9:$C$18,I632)&amp;"-Vorstand  ·  eigenes WLAN",IF(J632=K632+2,Eingabe!$B$6&amp;"-"&amp;INDEX(Eingabe!$C$9:$C$18,I632)&amp;"-Gäste  ·  Voucher",IF(J632=K632+3,"Kabel  ·  Access Point y = .(50+y), Mast-Switch x = .(10+x)","")))))</f>
        <v/>
      </c>
      <c r="I632" s="0" t="str">
        <f aca="false">IF(627&lt;=(Eingabe!$P$18+Eingabe!$Q$18-1),MATCH(627,Eingabe!$P$9:$P$18,1),"")</f>
        <v/>
      </c>
      <c r="J632" s="0" t="str">
        <f aca="false">IF(I632="","",627-INDEX(Eingabe!$P$9:$P$18,I632))</f>
        <v/>
      </c>
      <c r="K632" s="0" t="str">
        <f aca="false">IF(I632="","",INDEX(Eingabe!$E$9:$E$18,I632))</f>
        <v/>
      </c>
    </row>
    <row r="633" customFormat="false" ht="15" hidden="false" customHeight="false" outlineLevel="0" collapsed="false">
      <c r="A633" s="0" t="str">
        <f aca="false">IF(I633="","",IF(J633=0,"Sparte "&amp;I633&amp;": "&amp;INDEX(Eingabe!$B$9:$B$18,I633)&amp;"  (Sparten-ID "&amp;INDEX(Eingabe!$D$9:$D$18,I633)&amp;", "&amp;K633&amp;" Parzellen)",IF(J633&lt;=K633,"   Parzelle "&amp;J633,IF(J633=K633+1,"   Vorstand",IF(J633=K633+2,"   Gäste",IF(J633=K633+3,"   Technik (Switches, Access Points)",""))))))</f>
        <v/>
      </c>
      <c r="B633" s="0" t="str">
        <f aca="false">IF(I633="","",IF(AND(J633&gt;=1,J633&lt;=K633+3),IF(J633&lt;=K633,IF(J633&lt;=99,IF((INDEX(Eingabe!$G$9:$G$18,I633))&lt;=9,1000+(INDEX(Eingabe!$G$9:$G$18,I633))*100,3000)+J633,IF((INDEX(Eingabe!$G$9:$G$18,I633)+1)&lt;=9,1000+(INDEX(Eingabe!$G$9:$G$18,I633)+1)*100,3000)+J633-100),IF(J633=K633+1,2000+INDEX(Eingabe!$G$9:$G$18,I633)*10+1,IF(J633=K633+2,2000+INDEX(Eingabe!$G$9:$G$18,I633)*10+2,2000+INDEX(Eingabe!$G$9:$G$18,I633)*10+9))),""))</f>
        <v/>
      </c>
      <c r="C633" s="0" t="str">
        <f aca="false">IF(I633="","",IF(AND(J633&gt;=1,J633&lt;=K633+3),"10."&amp;INDEX(Eingabe!$D$9:$D$18,I633)&amp;"."&amp;IF(J633&lt;=K633,J633,IF(J633=K633+1,200,IF(J633=K633+2,201,250)))&amp;".0/24",""))</f>
        <v/>
      </c>
      <c r="D633" s="0" t="str">
        <f aca="false">IF(I633="","",IF(AND(J633&gt;=1,J633&lt;=K633+3),"255.255.255.0",""))</f>
        <v/>
      </c>
      <c r="E633" s="0" t="str">
        <f aca="false">IF(I633="","",IF(AND(J633&gt;=1,J633&lt;=K633+3),"10."&amp;INDEX(Eingabe!$D$9:$D$18,I633)&amp;"."&amp;IF(J633&lt;=K633,J633,IF(J633=K633+1,200,IF(J633=K633+2,201,250)))&amp;".1",""))</f>
        <v/>
      </c>
      <c r="F633" s="0" t="str">
        <f aca="false">IF(I633="","",IF(AND(J633&gt;=1,J633&lt;=K633+3),"10."&amp;INDEX(Eingabe!$D$9:$D$18,I633)&amp;"."&amp;IF(J633&lt;=K633,J633,IF(J633=K633+1,200,IF(J633=K633+2,201,250)))&amp;".10 – 10."&amp;INDEX(Eingabe!$D$9:$D$18,I633)&amp;"."&amp;IF(J633&lt;=K633,J633,IF(J633=K633+1,200,IF(J633=K633+2,201,250)))&amp;".250",""))</f>
        <v/>
      </c>
      <c r="G633" s="0" t="str">
        <f aca="false">IF(I633="","",IF(AND(J633&gt;=1,J633&lt;=K633),Eingabe!$B$6&amp;"-"&amp;INDEX(Eingabe!$C$9:$C$18,I633)&amp;"-Pächter  ·  Passwort Parzelle "&amp;J633,IF(J633=K633+1,Eingabe!$B$6&amp;"-"&amp;INDEX(Eingabe!$C$9:$C$18,I633)&amp;"-Vorstand  ·  eigenes WLAN",IF(J633=K633+2,Eingabe!$B$6&amp;"-"&amp;INDEX(Eingabe!$C$9:$C$18,I633)&amp;"-Gäste  ·  Voucher",IF(J633=K633+3,"Kabel  ·  Access Point y = .(50+y), Mast-Switch x = .(10+x)","")))))</f>
        <v/>
      </c>
      <c r="I633" s="0" t="str">
        <f aca="false">IF(628&lt;=(Eingabe!$P$18+Eingabe!$Q$18-1),MATCH(628,Eingabe!$P$9:$P$18,1),"")</f>
        <v/>
      </c>
      <c r="J633" s="0" t="str">
        <f aca="false">IF(I633="","",628-INDEX(Eingabe!$P$9:$P$18,I633))</f>
        <v/>
      </c>
      <c r="K633" s="0" t="str">
        <f aca="false">IF(I633="","",INDEX(Eingabe!$E$9:$E$18,I633))</f>
        <v/>
      </c>
    </row>
    <row r="634" customFormat="false" ht="15" hidden="false" customHeight="false" outlineLevel="0" collapsed="false">
      <c r="A634" s="0" t="str">
        <f aca="false">IF(I634="","",IF(J634=0,"Sparte "&amp;I634&amp;": "&amp;INDEX(Eingabe!$B$9:$B$18,I634)&amp;"  (Sparten-ID "&amp;INDEX(Eingabe!$D$9:$D$18,I634)&amp;", "&amp;K634&amp;" Parzellen)",IF(J634&lt;=K634,"   Parzelle "&amp;J634,IF(J634=K634+1,"   Vorstand",IF(J634=K634+2,"   Gäste",IF(J634=K634+3,"   Technik (Switches, Access Points)",""))))))</f>
        <v/>
      </c>
      <c r="B634" s="0" t="str">
        <f aca="false">IF(I634="","",IF(AND(J634&gt;=1,J634&lt;=K634+3),IF(J634&lt;=K634,IF(J634&lt;=99,IF((INDEX(Eingabe!$G$9:$G$18,I634))&lt;=9,1000+(INDEX(Eingabe!$G$9:$G$18,I634))*100,3000)+J634,IF((INDEX(Eingabe!$G$9:$G$18,I634)+1)&lt;=9,1000+(INDEX(Eingabe!$G$9:$G$18,I634)+1)*100,3000)+J634-100),IF(J634=K634+1,2000+INDEX(Eingabe!$G$9:$G$18,I634)*10+1,IF(J634=K634+2,2000+INDEX(Eingabe!$G$9:$G$18,I634)*10+2,2000+INDEX(Eingabe!$G$9:$G$18,I634)*10+9))),""))</f>
        <v/>
      </c>
      <c r="C634" s="0" t="str">
        <f aca="false">IF(I634="","",IF(AND(J634&gt;=1,J634&lt;=K634+3),"10."&amp;INDEX(Eingabe!$D$9:$D$18,I634)&amp;"."&amp;IF(J634&lt;=K634,J634,IF(J634=K634+1,200,IF(J634=K634+2,201,250)))&amp;".0/24",""))</f>
        <v/>
      </c>
      <c r="D634" s="0" t="str">
        <f aca="false">IF(I634="","",IF(AND(J634&gt;=1,J634&lt;=K634+3),"255.255.255.0",""))</f>
        <v/>
      </c>
      <c r="E634" s="0" t="str">
        <f aca="false">IF(I634="","",IF(AND(J634&gt;=1,J634&lt;=K634+3),"10."&amp;INDEX(Eingabe!$D$9:$D$18,I634)&amp;"."&amp;IF(J634&lt;=K634,J634,IF(J634=K634+1,200,IF(J634=K634+2,201,250)))&amp;".1",""))</f>
        <v/>
      </c>
      <c r="F634" s="0" t="str">
        <f aca="false">IF(I634="","",IF(AND(J634&gt;=1,J634&lt;=K634+3),"10."&amp;INDEX(Eingabe!$D$9:$D$18,I634)&amp;"."&amp;IF(J634&lt;=K634,J634,IF(J634=K634+1,200,IF(J634=K634+2,201,250)))&amp;".10 – 10."&amp;INDEX(Eingabe!$D$9:$D$18,I634)&amp;"."&amp;IF(J634&lt;=K634,J634,IF(J634=K634+1,200,IF(J634=K634+2,201,250)))&amp;".250",""))</f>
        <v/>
      </c>
      <c r="G634" s="0" t="str">
        <f aca="false">IF(I634="","",IF(AND(J634&gt;=1,J634&lt;=K634),Eingabe!$B$6&amp;"-"&amp;INDEX(Eingabe!$C$9:$C$18,I634)&amp;"-Pächter  ·  Passwort Parzelle "&amp;J634,IF(J634=K634+1,Eingabe!$B$6&amp;"-"&amp;INDEX(Eingabe!$C$9:$C$18,I634)&amp;"-Vorstand  ·  eigenes WLAN",IF(J634=K634+2,Eingabe!$B$6&amp;"-"&amp;INDEX(Eingabe!$C$9:$C$18,I634)&amp;"-Gäste  ·  Voucher",IF(J634=K634+3,"Kabel  ·  Access Point y = .(50+y), Mast-Switch x = .(10+x)","")))))</f>
        <v/>
      </c>
      <c r="I634" s="0" t="str">
        <f aca="false">IF(629&lt;=(Eingabe!$P$18+Eingabe!$Q$18-1),MATCH(629,Eingabe!$P$9:$P$18,1),"")</f>
        <v/>
      </c>
      <c r="J634" s="0" t="str">
        <f aca="false">IF(I634="","",629-INDEX(Eingabe!$P$9:$P$18,I634))</f>
        <v/>
      </c>
      <c r="K634" s="0" t="str">
        <f aca="false">IF(I634="","",INDEX(Eingabe!$E$9:$E$18,I634))</f>
        <v/>
      </c>
    </row>
    <row r="635" customFormat="false" ht="15" hidden="false" customHeight="false" outlineLevel="0" collapsed="false">
      <c r="A635" s="0" t="str">
        <f aca="false">IF(I635="","",IF(J635=0,"Sparte "&amp;I635&amp;": "&amp;INDEX(Eingabe!$B$9:$B$18,I635)&amp;"  (Sparten-ID "&amp;INDEX(Eingabe!$D$9:$D$18,I635)&amp;", "&amp;K635&amp;" Parzellen)",IF(J635&lt;=K635,"   Parzelle "&amp;J635,IF(J635=K635+1,"   Vorstand",IF(J635=K635+2,"   Gäste",IF(J635=K635+3,"   Technik (Switches, Access Points)",""))))))</f>
        <v/>
      </c>
      <c r="B635" s="0" t="str">
        <f aca="false">IF(I635="","",IF(AND(J635&gt;=1,J635&lt;=K635+3),IF(J635&lt;=K635,IF(J635&lt;=99,IF((INDEX(Eingabe!$G$9:$G$18,I635))&lt;=9,1000+(INDEX(Eingabe!$G$9:$G$18,I635))*100,3000)+J635,IF((INDEX(Eingabe!$G$9:$G$18,I635)+1)&lt;=9,1000+(INDEX(Eingabe!$G$9:$G$18,I635)+1)*100,3000)+J635-100),IF(J635=K635+1,2000+INDEX(Eingabe!$G$9:$G$18,I635)*10+1,IF(J635=K635+2,2000+INDEX(Eingabe!$G$9:$G$18,I635)*10+2,2000+INDEX(Eingabe!$G$9:$G$18,I635)*10+9))),""))</f>
        <v/>
      </c>
      <c r="C635" s="0" t="str">
        <f aca="false">IF(I635="","",IF(AND(J635&gt;=1,J635&lt;=K635+3),"10."&amp;INDEX(Eingabe!$D$9:$D$18,I635)&amp;"."&amp;IF(J635&lt;=K635,J635,IF(J635=K635+1,200,IF(J635=K635+2,201,250)))&amp;".0/24",""))</f>
        <v/>
      </c>
      <c r="D635" s="0" t="str">
        <f aca="false">IF(I635="","",IF(AND(J635&gt;=1,J635&lt;=K635+3),"255.255.255.0",""))</f>
        <v/>
      </c>
      <c r="E635" s="0" t="str">
        <f aca="false">IF(I635="","",IF(AND(J635&gt;=1,J635&lt;=K635+3),"10."&amp;INDEX(Eingabe!$D$9:$D$18,I635)&amp;"."&amp;IF(J635&lt;=K635,J635,IF(J635=K635+1,200,IF(J635=K635+2,201,250)))&amp;".1",""))</f>
        <v/>
      </c>
      <c r="F635" s="0" t="str">
        <f aca="false">IF(I635="","",IF(AND(J635&gt;=1,J635&lt;=K635+3),"10."&amp;INDEX(Eingabe!$D$9:$D$18,I635)&amp;"."&amp;IF(J635&lt;=K635,J635,IF(J635=K635+1,200,IF(J635=K635+2,201,250)))&amp;".10 – 10."&amp;INDEX(Eingabe!$D$9:$D$18,I635)&amp;"."&amp;IF(J635&lt;=K635,J635,IF(J635=K635+1,200,IF(J635=K635+2,201,250)))&amp;".250",""))</f>
        <v/>
      </c>
      <c r="G635" s="0" t="str">
        <f aca="false">IF(I635="","",IF(AND(J635&gt;=1,J635&lt;=K635),Eingabe!$B$6&amp;"-"&amp;INDEX(Eingabe!$C$9:$C$18,I635)&amp;"-Pächter  ·  Passwort Parzelle "&amp;J635,IF(J635=K635+1,Eingabe!$B$6&amp;"-"&amp;INDEX(Eingabe!$C$9:$C$18,I635)&amp;"-Vorstand  ·  eigenes WLAN",IF(J635=K635+2,Eingabe!$B$6&amp;"-"&amp;INDEX(Eingabe!$C$9:$C$18,I635)&amp;"-Gäste  ·  Voucher",IF(J635=K635+3,"Kabel  ·  Access Point y = .(50+y), Mast-Switch x = .(10+x)","")))))</f>
        <v/>
      </c>
      <c r="I635" s="0" t="str">
        <f aca="false">IF(630&lt;=(Eingabe!$P$18+Eingabe!$Q$18-1),MATCH(630,Eingabe!$P$9:$P$18,1),"")</f>
        <v/>
      </c>
      <c r="J635" s="0" t="str">
        <f aca="false">IF(I635="","",630-INDEX(Eingabe!$P$9:$P$18,I635))</f>
        <v/>
      </c>
      <c r="K635" s="0" t="str">
        <f aca="false">IF(I635="","",INDEX(Eingabe!$E$9:$E$18,I635))</f>
        <v/>
      </c>
    </row>
    <row r="636" customFormat="false" ht="15" hidden="false" customHeight="false" outlineLevel="0" collapsed="false">
      <c r="A636" s="0" t="str">
        <f aca="false">IF(I636="","",IF(J636=0,"Sparte "&amp;I636&amp;": "&amp;INDEX(Eingabe!$B$9:$B$18,I636)&amp;"  (Sparten-ID "&amp;INDEX(Eingabe!$D$9:$D$18,I636)&amp;", "&amp;K636&amp;" Parzellen)",IF(J636&lt;=K636,"   Parzelle "&amp;J636,IF(J636=K636+1,"   Vorstand",IF(J636=K636+2,"   Gäste",IF(J636=K636+3,"   Technik (Switches, Access Points)",""))))))</f>
        <v/>
      </c>
      <c r="B636" s="0" t="str">
        <f aca="false">IF(I636="","",IF(AND(J636&gt;=1,J636&lt;=K636+3),IF(J636&lt;=K636,IF(J636&lt;=99,IF((INDEX(Eingabe!$G$9:$G$18,I636))&lt;=9,1000+(INDEX(Eingabe!$G$9:$G$18,I636))*100,3000)+J636,IF((INDEX(Eingabe!$G$9:$G$18,I636)+1)&lt;=9,1000+(INDEX(Eingabe!$G$9:$G$18,I636)+1)*100,3000)+J636-100),IF(J636=K636+1,2000+INDEX(Eingabe!$G$9:$G$18,I636)*10+1,IF(J636=K636+2,2000+INDEX(Eingabe!$G$9:$G$18,I636)*10+2,2000+INDEX(Eingabe!$G$9:$G$18,I636)*10+9))),""))</f>
        <v/>
      </c>
      <c r="C636" s="0" t="str">
        <f aca="false">IF(I636="","",IF(AND(J636&gt;=1,J636&lt;=K636+3),"10."&amp;INDEX(Eingabe!$D$9:$D$18,I636)&amp;"."&amp;IF(J636&lt;=K636,J636,IF(J636=K636+1,200,IF(J636=K636+2,201,250)))&amp;".0/24",""))</f>
        <v/>
      </c>
      <c r="D636" s="0" t="str">
        <f aca="false">IF(I636="","",IF(AND(J636&gt;=1,J636&lt;=K636+3),"255.255.255.0",""))</f>
        <v/>
      </c>
      <c r="E636" s="0" t="str">
        <f aca="false">IF(I636="","",IF(AND(J636&gt;=1,J636&lt;=K636+3),"10."&amp;INDEX(Eingabe!$D$9:$D$18,I636)&amp;"."&amp;IF(J636&lt;=K636,J636,IF(J636=K636+1,200,IF(J636=K636+2,201,250)))&amp;".1",""))</f>
        <v/>
      </c>
      <c r="F636" s="0" t="str">
        <f aca="false">IF(I636="","",IF(AND(J636&gt;=1,J636&lt;=K636+3),"10."&amp;INDEX(Eingabe!$D$9:$D$18,I636)&amp;"."&amp;IF(J636&lt;=K636,J636,IF(J636=K636+1,200,IF(J636=K636+2,201,250)))&amp;".10 – 10."&amp;INDEX(Eingabe!$D$9:$D$18,I636)&amp;"."&amp;IF(J636&lt;=K636,J636,IF(J636=K636+1,200,IF(J636=K636+2,201,250)))&amp;".250",""))</f>
        <v/>
      </c>
      <c r="G636" s="0" t="str">
        <f aca="false">IF(I636="","",IF(AND(J636&gt;=1,J636&lt;=K636),Eingabe!$B$6&amp;"-"&amp;INDEX(Eingabe!$C$9:$C$18,I636)&amp;"-Pächter  ·  Passwort Parzelle "&amp;J636,IF(J636=K636+1,Eingabe!$B$6&amp;"-"&amp;INDEX(Eingabe!$C$9:$C$18,I636)&amp;"-Vorstand  ·  eigenes WLAN",IF(J636=K636+2,Eingabe!$B$6&amp;"-"&amp;INDEX(Eingabe!$C$9:$C$18,I636)&amp;"-Gäste  ·  Voucher",IF(J636=K636+3,"Kabel  ·  Access Point y = .(50+y), Mast-Switch x = .(10+x)","")))))</f>
        <v/>
      </c>
      <c r="I636" s="0" t="str">
        <f aca="false">IF(631&lt;=(Eingabe!$P$18+Eingabe!$Q$18-1),MATCH(631,Eingabe!$P$9:$P$18,1),"")</f>
        <v/>
      </c>
      <c r="J636" s="0" t="str">
        <f aca="false">IF(I636="","",631-INDEX(Eingabe!$P$9:$P$18,I636))</f>
        <v/>
      </c>
      <c r="K636" s="0" t="str">
        <f aca="false">IF(I636="","",INDEX(Eingabe!$E$9:$E$18,I636))</f>
        <v/>
      </c>
    </row>
    <row r="637" customFormat="false" ht="15" hidden="false" customHeight="false" outlineLevel="0" collapsed="false">
      <c r="A637" s="0" t="str">
        <f aca="false">IF(I637="","",IF(J637=0,"Sparte "&amp;I637&amp;": "&amp;INDEX(Eingabe!$B$9:$B$18,I637)&amp;"  (Sparten-ID "&amp;INDEX(Eingabe!$D$9:$D$18,I637)&amp;", "&amp;K637&amp;" Parzellen)",IF(J637&lt;=K637,"   Parzelle "&amp;J637,IF(J637=K637+1,"   Vorstand",IF(J637=K637+2,"   Gäste",IF(J637=K637+3,"   Technik (Switches, Access Points)",""))))))</f>
        <v/>
      </c>
      <c r="B637" s="0" t="str">
        <f aca="false">IF(I637="","",IF(AND(J637&gt;=1,J637&lt;=K637+3),IF(J637&lt;=K637,IF(J637&lt;=99,IF((INDEX(Eingabe!$G$9:$G$18,I637))&lt;=9,1000+(INDEX(Eingabe!$G$9:$G$18,I637))*100,3000)+J637,IF((INDEX(Eingabe!$G$9:$G$18,I637)+1)&lt;=9,1000+(INDEX(Eingabe!$G$9:$G$18,I637)+1)*100,3000)+J637-100),IF(J637=K637+1,2000+INDEX(Eingabe!$G$9:$G$18,I637)*10+1,IF(J637=K637+2,2000+INDEX(Eingabe!$G$9:$G$18,I637)*10+2,2000+INDEX(Eingabe!$G$9:$G$18,I637)*10+9))),""))</f>
        <v/>
      </c>
      <c r="C637" s="0" t="str">
        <f aca="false">IF(I637="","",IF(AND(J637&gt;=1,J637&lt;=K637+3),"10."&amp;INDEX(Eingabe!$D$9:$D$18,I637)&amp;"."&amp;IF(J637&lt;=K637,J637,IF(J637=K637+1,200,IF(J637=K637+2,201,250)))&amp;".0/24",""))</f>
        <v/>
      </c>
      <c r="D637" s="0" t="str">
        <f aca="false">IF(I637="","",IF(AND(J637&gt;=1,J637&lt;=K637+3),"255.255.255.0",""))</f>
        <v/>
      </c>
      <c r="E637" s="0" t="str">
        <f aca="false">IF(I637="","",IF(AND(J637&gt;=1,J637&lt;=K637+3),"10."&amp;INDEX(Eingabe!$D$9:$D$18,I637)&amp;"."&amp;IF(J637&lt;=K637,J637,IF(J637=K637+1,200,IF(J637=K637+2,201,250)))&amp;".1",""))</f>
        <v/>
      </c>
      <c r="F637" s="0" t="str">
        <f aca="false">IF(I637="","",IF(AND(J637&gt;=1,J637&lt;=K637+3),"10."&amp;INDEX(Eingabe!$D$9:$D$18,I637)&amp;"."&amp;IF(J637&lt;=K637,J637,IF(J637=K637+1,200,IF(J637=K637+2,201,250)))&amp;".10 – 10."&amp;INDEX(Eingabe!$D$9:$D$18,I637)&amp;"."&amp;IF(J637&lt;=K637,J637,IF(J637=K637+1,200,IF(J637=K637+2,201,250)))&amp;".250",""))</f>
        <v/>
      </c>
      <c r="G637" s="0" t="str">
        <f aca="false">IF(I637="","",IF(AND(J637&gt;=1,J637&lt;=K637),Eingabe!$B$6&amp;"-"&amp;INDEX(Eingabe!$C$9:$C$18,I637)&amp;"-Pächter  ·  Passwort Parzelle "&amp;J637,IF(J637=K637+1,Eingabe!$B$6&amp;"-"&amp;INDEX(Eingabe!$C$9:$C$18,I637)&amp;"-Vorstand  ·  eigenes WLAN",IF(J637=K637+2,Eingabe!$B$6&amp;"-"&amp;INDEX(Eingabe!$C$9:$C$18,I637)&amp;"-Gäste  ·  Voucher",IF(J637=K637+3,"Kabel  ·  Access Point y = .(50+y), Mast-Switch x = .(10+x)","")))))</f>
        <v/>
      </c>
      <c r="I637" s="0" t="str">
        <f aca="false">IF(632&lt;=(Eingabe!$P$18+Eingabe!$Q$18-1),MATCH(632,Eingabe!$P$9:$P$18,1),"")</f>
        <v/>
      </c>
      <c r="J637" s="0" t="str">
        <f aca="false">IF(I637="","",632-INDEX(Eingabe!$P$9:$P$18,I637))</f>
        <v/>
      </c>
      <c r="K637" s="0" t="str">
        <f aca="false">IF(I637="","",INDEX(Eingabe!$E$9:$E$18,I637))</f>
        <v/>
      </c>
    </row>
    <row r="638" customFormat="false" ht="15" hidden="false" customHeight="false" outlineLevel="0" collapsed="false">
      <c r="A638" s="0" t="str">
        <f aca="false">IF(I638="","",IF(J638=0,"Sparte "&amp;I638&amp;": "&amp;INDEX(Eingabe!$B$9:$B$18,I638)&amp;"  (Sparten-ID "&amp;INDEX(Eingabe!$D$9:$D$18,I638)&amp;", "&amp;K638&amp;" Parzellen)",IF(J638&lt;=K638,"   Parzelle "&amp;J638,IF(J638=K638+1,"   Vorstand",IF(J638=K638+2,"   Gäste",IF(J638=K638+3,"   Technik (Switches, Access Points)",""))))))</f>
        <v/>
      </c>
      <c r="B638" s="0" t="str">
        <f aca="false">IF(I638="","",IF(AND(J638&gt;=1,J638&lt;=K638+3),IF(J638&lt;=K638,IF(J638&lt;=99,IF((INDEX(Eingabe!$G$9:$G$18,I638))&lt;=9,1000+(INDEX(Eingabe!$G$9:$G$18,I638))*100,3000)+J638,IF((INDEX(Eingabe!$G$9:$G$18,I638)+1)&lt;=9,1000+(INDEX(Eingabe!$G$9:$G$18,I638)+1)*100,3000)+J638-100),IF(J638=K638+1,2000+INDEX(Eingabe!$G$9:$G$18,I638)*10+1,IF(J638=K638+2,2000+INDEX(Eingabe!$G$9:$G$18,I638)*10+2,2000+INDEX(Eingabe!$G$9:$G$18,I638)*10+9))),""))</f>
        <v/>
      </c>
      <c r="C638" s="0" t="str">
        <f aca="false">IF(I638="","",IF(AND(J638&gt;=1,J638&lt;=K638+3),"10."&amp;INDEX(Eingabe!$D$9:$D$18,I638)&amp;"."&amp;IF(J638&lt;=K638,J638,IF(J638=K638+1,200,IF(J638=K638+2,201,250)))&amp;".0/24",""))</f>
        <v/>
      </c>
      <c r="D638" s="0" t="str">
        <f aca="false">IF(I638="","",IF(AND(J638&gt;=1,J638&lt;=K638+3),"255.255.255.0",""))</f>
        <v/>
      </c>
      <c r="E638" s="0" t="str">
        <f aca="false">IF(I638="","",IF(AND(J638&gt;=1,J638&lt;=K638+3),"10."&amp;INDEX(Eingabe!$D$9:$D$18,I638)&amp;"."&amp;IF(J638&lt;=K638,J638,IF(J638=K638+1,200,IF(J638=K638+2,201,250)))&amp;".1",""))</f>
        <v/>
      </c>
      <c r="F638" s="0" t="str">
        <f aca="false">IF(I638="","",IF(AND(J638&gt;=1,J638&lt;=K638+3),"10."&amp;INDEX(Eingabe!$D$9:$D$18,I638)&amp;"."&amp;IF(J638&lt;=K638,J638,IF(J638=K638+1,200,IF(J638=K638+2,201,250)))&amp;".10 – 10."&amp;INDEX(Eingabe!$D$9:$D$18,I638)&amp;"."&amp;IF(J638&lt;=K638,J638,IF(J638=K638+1,200,IF(J638=K638+2,201,250)))&amp;".250",""))</f>
        <v/>
      </c>
      <c r="G638" s="0" t="str">
        <f aca="false">IF(I638="","",IF(AND(J638&gt;=1,J638&lt;=K638),Eingabe!$B$6&amp;"-"&amp;INDEX(Eingabe!$C$9:$C$18,I638)&amp;"-Pächter  ·  Passwort Parzelle "&amp;J638,IF(J638=K638+1,Eingabe!$B$6&amp;"-"&amp;INDEX(Eingabe!$C$9:$C$18,I638)&amp;"-Vorstand  ·  eigenes WLAN",IF(J638=K638+2,Eingabe!$B$6&amp;"-"&amp;INDEX(Eingabe!$C$9:$C$18,I638)&amp;"-Gäste  ·  Voucher",IF(J638=K638+3,"Kabel  ·  Access Point y = .(50+y), Mast-Switch x = .(10+x)","")))))</f>
        <v/>
      </c>
      <c r="I638" s="0" t="str">
        <f aca="false">IF(633&lt;=(Eingabe!$P$18+Eingabe!$Q$18-1),MATCH(633,Eingabe!$P$9:$P$18,1),"")</f>
        <v/>
      </c>
      <c r="J638" s="0" t="str">
        <f aca="false">IF(I638="","",633-INDEX(Eingabe!$P$9:$P$18,I638))</f>
        <v/>
      </c>
      <c r="K638" s="0" t="str">
        <f aca="false">IF(I638="","",INDEX(Eingabe!$E$9:$E$18,I638))</f>
        <v/>
      </c>
    </row>
    <row r="639" customFormat="false" ht="15" hidden="false" customHeight="false" outlineLevel="0" collapsed="false">
      <c r="A639" s="0" t="str">
        <f aca="false">IF(I639="","",IF(J639=0,"Sparte "&amp;I639&amp;": "&amp;INDEX(Eingabe!$B$9:$B$18,I639)&amp;"  (Sparten-ID "&amp;INDEX(Eingabe!$D$9:$D$18,I639)&amp;", "&amp;K639&amp;" Parzellen)",IF(J639&lt;=K639,"   Parzelle "&amp;J639,IF(J639=K639+1,"   Vorstand",IF(J639=K639+2,"   Gäste",IF(J639=K639+3,"   Technik (Switches, Access Points)",""))))))</f>
        <v/>
      </c>
      <c r="B639" s="0" t="str">
        <f aca="false">IF(I639="","",IF(AND(J639&gt;=1,J639&lt;=K639+3),IF(J639&lt;=K639,IF(J639&lt;=99,IF((INDEX(Eingabe!$G$9:$G$18,I639))&lt;=9,1000+(INDEX(Eingabe!$G$9:$G$18,I639))*100,3000)+J639,IF((INDEX(Eingabe!$G$9:$G$18,I639)+1)&lt;=9,1000+(INDEX(Eingabe!$G$9:$G$18,I639)+1)*100,3000)+J639-100),IF(J639=K639+1,2000+INDEX(Eingabe!$G$9:$G$18,I639)*10+1,IF(J639=K639+2,2000+INDEX(Eingabe!$G$9:$G$18,I639)*10+2,2000+INDEX(Eingabe!$G$9:$G$18,I639)*10+9))),""))</f>
        <v/>
      </c>
      <c r="C639" s="0" t="str">
        <f aca="false">IF(I639="","",IF(AND(J639&gt;=1,J639&lt;=K639+3),"10."&amp;INDEX(Eingabe!$D$9:$D$18,I639)&amp;"."&amp;IF(J639&lt;=K639,J639,IF(J639=K639+1,200,IF(J639=K639+2,201,250)))&amp;".0/24",""))</f>
        <v/>
      </c>
      <c r="D639" s="0" t="str">
        <f aca="false">IF(I639="","",IF(AND(J639&gt;=1,J639&lt;=K639+3),"255.255.255.0",""))</f>
        <v/>
      </c>
      <c r="E639" s="0" t="str">
        <f aca="false">IF(I639="","",IF(AND(J639&gt;=1,J639&lt;=K639+3),"10."&amp;INDEX(Eingabe!$D$9:$D$18,I639)&amp;"."&amp;IF(J639&lt;=K639,J639,IF(J639=K639+1,200,IF(J639=K639+2,201,250)))&amp;".1",""))</f>
        <v/>
      </c>
      <c r="F639" s="0" t="str">
        <f aca="false">IF(I639="","",IF(AND(J639&gt;=1,J639&lt;=K639+3),"10."&amp;INDEX(Eingabe!$D$9:$D$18,I639)&amp;"."&amp;IF(J639&lt;=K639,J639,IF(J639=K639+1,200,IF(J639=K639+2,201,250)))&amp;".10 – 10."&amp;INDEX(Eingabe!$D$9:$D$18,I639)&amp;"."&amp;IF(J639&lt;=K639,J639,IF(J639=K639+1,200,IF(J639=K639+2,201,250)))&amp;".250",""))</f>
        <v/>
      </c>
      <c r="G639" s="0" t="str">
        <f aca="false">IF(I639="","",IF(AND(J639&gt;=1,J639&lt;=K639),Eingabe!$B$6&amp;"-"&amp;INDEX(Eingabe!$C$9:$C$18,I639)&amp;"-Pächter  ·  Passwort Parzelle "&amp;J639,IF(J639=K639+1,Eingabe!$B$6&amp;"-"&amp;INDEX(Eingabe!$C$9:$C$18,I639)&amp;"-Vorstand  ·  eigenes WLAN",IF(J639=K639+2,Eingabe!$B$6&amp;"-"&amp;INDEX(Eingabe!$C$9:$C$18,I639)&amp;"-Gäste  ·  Voucher",IF(J639=K639+3,"Kabel  ·  Access Point y = .(50+y), Mast-Switch x = .(10+x)","")))))</f>
        <v/>
      </c>
      <c r="I639" s="0" t="str">
        <f aca="false">IF(634&lt;=(Eingabe!$P$18+Eingabe!$Q$18-1),MATCH(634,Eingabe!$P$9:$P$18,1),"")</f>
        <v/>
      </c>
      <c r="J639" s="0" t="str">
        <f aca="false">IF(I639="","",634-INDEX(Eingabe!$P$9:$P$18,I639))</f>
        <v/>
      </c>
      <c r="K639" s="0" t="str">
        <f aca="false">IF(I639="","",INDEX(Eingabe!$E$9:$E$18,I639))</f>
        <v/>
      </c>
    </row>
    <row r="640" customFormat="false" ht="15" hidden="false" customHeight="false" outlineLevel="0" collapsed="false">
      <c r="A640" s="0" t="str">
        <f aca="false">IF(I640="","",IF(J640=0,"Sparte "&amp;I640&amp;": "&amp;INDEX(Eingabe!$B$9:$B$18,I640)&amp;"  (Sparten-ID "&amp;INDEX(Eingabe!$D$9:$D$18,I640)&amp;", "&amp;K640&amp;" Parzellen)",IF(J640&lt;=K640,"   Parzelle "&amp;J640,IF(J640=K640+1,"   Vorstand",IF(J640=K640+2,"   Gäste",IF(J640=K640+3,"   Technik (Switches, Access Points)",""))))))</f>
        <v/>
      </c>
      <c r="B640" s="0" t="str">
        <f aca="false">IF(I640="","",IF(AND(J640&gt;=1,J640&lt;=K640+3),IF(J640&lt;=K640,IF(J640&lt;=99,IF((INDEX(Eingabe!$G$9:$G$18,I640))&lt;=9,1000+(INDEX(Eingabe!$G$9:$G$18,I640))*100,3000)+J640,IF((INDEX(Eingabe!$G$9:$G$18,I640)+1)&lt;=9,1000+(INDEX(Eingabe!$G$9:$G$18,I640)+1)*100,3000)+J640-100),IF(J640=K640+1,2000+INDEX(Eingabe!$G$9:$G$18,I640)*10+1,IF(J640=K640+2,2000+INDEX(Eingabe!$G$9:$G$18,I640)*10+2,2000+INDEX(Eingabe!$G$9:$G$18,I640)*10+9))),""))</f>
        <v/>
      </c>
      <c r="C640" s="0" t="str">
        <f aca="false">IF(I640="","",IF(AND(J640&gt;=1,J640&lt;=K640+3),"10."&amp;INDEX(Eingabe!$D$9:$D$18,I640)&amp;"."&amp;IF(J640&lt;=K640,J640,IF(J640=K640+1,200,IF(J640=K640+2,201,250)))&amp;".0/24",""))</f>
        <v/>
      </c>
      <c r="D640" s="0" t="str">
        <f aca="false">IF(I640="","",IF(AND(J640&gt;=1,J640&lt;=K640+3),"255.255.255.0",""))</f>
        <v/>
      </c>
      <c r="E640" s="0" t="str">
        <f aca="false">IF(I640="","",IF(AND(J640&gt;=1,J640&lt;=K640+3),"10."&amp;INDEX(Eingabe!$D$9:$D$18,I640)&amp;"."&amp;IF(J640&lt;=K640,J640,IF(J640=K640+1,200,IF(J640=K640+2,201,250)))&amp;".1",""))</f>
        <v/>
      </c>
      <c r="F640" s="0" t="str">
        <f aca="false">IF(I640="","",IF(AND(J640&gt;=1,J640&lt;=K640+3),"10."&amp;INDEX(Eingabe!$D$9:$D$18,I640)&amp;"."&amp;IF(J640&lt;=K640,J640,IF(J640=K640+1,200,IF(J640=K640+2,201,250)))&amp;".10 – 10."&amp;INDEX(Eingabe!$D$9:$D$18,I640)&amp;"."&amp;IF(J640&lt;=K640,J640,IF(J640=K640+1,200,IF(J640=K640+2,201,250)))&amp;".250",""))</f>
        <v/>
      </c>
      <c r="G640" s="0" t="str">
        <f aca="false">IF(I640="","",IF(AND(J640&gt;=1,J640&lt;=K640),Eingabe!$B$6&amp;"-"&amp;INDEX(Eingabe!$C$9:$C$18,I640)&amp;"-Pächter  ·  Passwort Parzelle "&amp;J640,IF(J640=K640+1,Eingabe!$B$6&amp;"-"&amp;INDEX(Eingabe!$C$9:$C$18,I640)&amp;"-Vorstand  ·  eigenes WLAN",IF(J640=K640+2,Eingabe!$B$6&amp;"-"&amp;INDEX(Eingabe!$C$9:$C$18,I640)&amp;"-Gäste  ·  Voucher",IF(J640=K640+3,"Kabel  ·  Access Point y = .(50+y), Mast-Switch x = .(10+x)","")))))</f>
        <v/>
      </c>
      <c r="I640" s="0" t="str">
        <f aca="false">IF(635&lt;=(Eingabe!$P$18+Eingabe!$Q$18-1),MATCH(635,Eingabe!$P$9:$P$18,1),"")</f>
        <v/>
      </c>
      <c r="J640" s="0" t="str">
        <f aca="false">IF(I640="","",635-INDEX(Eingabe!$P$9:$P$18,I640))</f>
        <v/>
      </c>
      <c r="K640" s="0" t="str">
        <f aca="false">IF(I640="","",INDEX(Eingabe!$E$9:$E$18,I640))</f>
        <v/>
      </c>
    </row>
    <row r="641" customFormat="false" ht="15" hidden="false" customHeight="false" outlineLevel="0" collapsed="false">
      <c r="A641" s="0" t="str">
        <f aca="false">IF(I641="","",IF(J641=0,"Sparte "&amp;I641&amp;": "&amp;INDEX(Eingabe!$B$9:$B$18,I641)&amp;"  (Sparten-ID "&amp;INDEX(Eingabe!$D$9:$D$18,I641)&amp;", "&amp;K641&amp;" Parzellen)",IF(J641&lt;=K641,"   Parzelle "&amp;J641,IF(J641=K641+1,"   Vorstand",IF(J641=K641+2,"   Gäste",IF(J641=K641+3,"   Technik (Switches, Access Points)",""))))))</f>
        <v/>
      </c>
      <c r="B641" s="0" t="str">
        <f aca="false">IF(I641="","",IF(AND(J641&gt;=1,J641&lt;=K641+3),IF(J641&lt;=K641,IF(J641&lt;=99,IF((INDEX(Eingabe!$G$9:$G$18,I641))&lt;=9,1000+(INDEX(Eingabe!$G$9:$G$18,I641))*100,3000)+J641,IF((INDEX(Eingabe!$G$9:$G$18,I641)+1)&lt;=9,1000+(INDEX(Eingabe!$G$9:$G$18,I641)+1)*100,3000)+J641-100),IF(J641=K641+1,2000+INDEX(Eingabe!$G$9:$G$18,I641)*10+1,IF(J641=K641+2,2000+INDEX(Eingabe!$G$9:$G$18,I641)*10+2,2000+INDEX(Eingabe!$G$9:$G$18,I641)*10+9))),""))</f>
        <v/>
      </c>
      <c r="C641" s="0" t="str">
        <f aca="false">IF(I641="","",IF(AND(J641&gt;=1,J641&lt;=K641+3),"10."&amp;INDEX(Eingabe!$D$9:$D$18,I641)&amp;"."&amp;IF(J641&lt;=K641,J641,IF(J641=K641+1,200,IF(J641=K641+2,201,250)))&amp;".0/24",""))</f>
        <v/>
      </c>
      <c r="D641" s="0" t="str">
        <f aca="false">IF(I641="","",IF(AND(J641&gt;=1,J641&lt;=K641+3),"255.255.255.0",""))</f>
        <v/>
      </c>
      <c r="E641" s="0" t="str">
        <f aca="false">IF(I641="","",IF(AND(J641&gt;=1,J641&lt;=K641+3),"10."&amp;INDEX(Eingabe!$D$9:$D$18,I641)&amp;"."&amp;IF(J641&lt;=K641,J641,IF(J641=K641+1,200,IF(J641=K641+2,201,250)))&amp;".1",""))</f>
        <v/>
      </c>
      <c r="F641" s="0" t="str">
        <f aca="false">IF(I641="","",IF(AND(J641&gt;=1,J641&lt;=K641+3),"10."&amp;INDEX(Eingabe!$D$9:$D$18,I641)&amp;"."&amp;IF(J641&lt;=K641,J641,IF(J641=K641+1,200,IF(J641=K641+2,201,250)))&amp;".10 – 10."&amp;INDEX(Eingabe!$D$9:$D$18,I641)&amp;"."&amp;IF(J641&lt;=K641,J641,IF(J641=K641+1,200,IF(J641=K641+2,201,250)))&amp;".250",""))</f>
        <v/>
      </c>
      <c r="G641" s="0" t="str">
        <f aca="false">IF(I641="","",IF(AND(J641&gt;=1,J641&lt;=K641),Eingabe!$B$6&amp;"-"&amp;INDEX(Eingabe!$C$9:$C$18,I641)&amp;"-Pächter  ·  Passwort Parzelle "&amp;J641,IF(J641=K641+1,Eingabe!$B$6&amp;"-"&amp;INDEX(Eingabe!$C$9:$C$18,I641)&amp;"-Vorstand  ·  eigenes WLAN",IF(J641=K641+2,Eingabe!$B$6&amp;"-"&amp;INDEX(Eingabe!$C$9:$C$18,I641)&amp;"-Gäste  ·  Voucher",IF(J641=K641+3,"Kabel  ·  Access Point y = .(50+y), Mast-Switch x = .(10+x)","")))))</f>
        <v/>
      </c>
      <c r="I641" s="0" t="str">
        <f aca="false">IF(636&lt;=(Eingabe!$P$18+Eingabe!$Q$18-1),MATCH(636,Eingabe!$P$9:$P$18,1),"")</f>
        <v/>
      </c>
      <c r="J641" s="0" t="str">
        <f aca="false">IF(I641="","",636-INDEX(Eingabe!$P$9:$P$18,I641))</f>
        <v/>
      </c>
      <c r="K641" s="0" t="str">
        <f aca="false">IF(I641="","",INDEX(Eingabe!$E$9:$E$18,I641))</f>
        <v/>
      </c>
    </row>
    <row r="642" customFormat="false" ht="15" hidden="false" customHeight="false" outlineLevel="0" collapsed="false">
      <c r="A642" s="0" t="str">
        <f aca="false">IF(I642="","",IF(J642=0,"Sparte "&amp;I642&amp;": "&amp;INDEX(Eingabe!$B$9:$B$18,I642)&amp;"  (Sparten-ID "&amp;INDEX(Eingabe!$D$9:$D$18,I642)&amp;", "&amp;K642&amp;" Parzellen)",IF(J642&lt;=K642,"   Parzelle "&amp;J642,IF(J642=K642+1,"   Vorstand",IF(J642=K642+2,"   Gäste",IF(J642=K642+3,"   Technik (Switches, Access Points)",""))))))</f>
        <v/>
      </c>
      <c r="B642" s="0" t="str">
        <f aca="false">IF(I642="","",IF(AND(J642&gt;=1,J642&lt;=K642+3),IF(J642&lt;=K642,IF(J642&lt;=99,IF((INDEX(Eingabe!$G$9:$G$18,I642))&lt;=9,1000+(INDEX(Eingabe!$G$9:$G$18,I642))*100,3000)+J642,IF((INDEX(Eingabe!$G$9:$G$18,I642)+1)&lt;=9,1000+(INDEX(Eingabe!$G$9:$G$18,I642)+1)*100,3000)+J642-100),IF(J642=K642+1,2000+INDEX(Eingabe!$G$9:$G$18,I642)*10+1,IF(J642=K642+2,2000+INDEX(Eingabe!$G$9:$G$18,I642)*10+2,2000+INDEX(Eingabe!$G$9:$G$18,I642)*10+9))),""))</f>
        <v/>
      </c>
      <c r="C642" s="0" t="str">
        <f aca="false">IF(I642="","",IF(AND(J642&gt;=1,J642&lt;=K642+3),"10."&amp;INDEX(Eingabe!$D$9:$D$18,I642)&amp;"."&amp;IF(J642&lt;=K642,J642,IF(J642=K642+1,200,IF(J642=K642+2,201,250)))&amp;".0/24",""))</f>
        <v/>
      </c>
      <c r="D642" s="0" t="str">
        <f aca="false">IF(I642="","",IF(AND(J642&gt;=1,J642&lt;=K642+3),"255.255.255.0",""))</f>
        <v/>
      </c>
      <c r="E642" s="0" t="str">
        <f aca="false">IF(I642="","",IF(AND(J642&gt;=1,J642&lt;=K642+3),"10."&amp;INDEX(Eingabe!$D$9:$D$18,I642)&amp;"."&amp;IF(J642&lt;=K642,J642,IF(J642=K642+1,200,IF(J642=K642+2,201,250)))&amp;".1",""))</f>
        <v/>
      </c>
      <c r="F642" s="0" t="str">
        <f aca="false">IF(I642="","",IF(AND(J642&gt;=1,J642&lt;=K642+3),"10."&amp;INDEX(Eingabe!$D$9:$D$18,I642)&amp;"."&amp;IF(J642&lt;=K642,J642,IF(J642=K642+1,200,IF(J642=K642+2,201,250)))&amp;".10 – 10."&amp;INDEX(Eingabe!$D$9:$D$18,I642)&amp;"."&amp;IF(J642&lt;=K642,J642,IF(J642=K642+1,200,IF(J642=K642+2,201,250)))&amp;".250",""))</f>
        <v/>
      </c>
      <c r="G642" s="0" t="str">
        <f aca="false">IF(I642="","",IF(AND(J642&gt;=1,J642&lt;=K642),Eingabe!$B$6&amp;"-"&amp;INDEX(Eingabe!$C$9:$C$18,I642)&amp;"-Pächter  ·  Passwort Parzelle "&amp;J642,IF(J642=K642+1,Eingabe!$B$6&amp;"-"&amp;INDEX(Eingabe!$C$9:$C$18,I642)&amp;"-Vorstand  ·  eigenes WLAN",IF(J642=K642+2,Eingabe!$B$6&amp;"-"&amp;INDEX(Eingabe!$C$9:$C$18,I642)&amp;"-Gäste  ·  Voucher",IF(J642=K642+3,"Kabel  ·  Access Point y = .(50+y), Mast-Switch x = .(10+x)","")))))</f>
        <v/>
      </c>
      <c r="I642" s="0" t="str">
        <f aca="false">IF(637&lt;=(Eingabe!$P$18+Eingabe!$Q$18-1),MATCH(637,Eingabe!$P$9:$P$18,1),"")</f>
        <v/>
      </c>
      <c r="J642" s="0" t="str">
        <f aca="false">IF(I642="","",637-INDEX(Eingabe!$P$9:$P$18,I642))</f>
        <v/>
      </c>
      <c r="K642" s="0" t="str">
        <f aca="false">IF(I642="","",INDEX(Eingabe!$E$9:$E$18,I642))</f>
        <v/>
      </c>
    </row>
    <row r="643" customFormat="false" ht="15" hidden="false" customHeight="false" outlineLevel="0" collapsed="false">
      <c r="A643" s="0" t="str">
        <f aca="false">IF(I643="","",IF(J643=0,"Sparte "&amp;I643&amp;": "&amp;INDEX(Eingabe!$B$9:$B$18,I643)&amp;"  (Sparten-ID "&amp;INDEX(Eingabe!$D$9:$D$18,I643)&amp;", "&amp;K643&amp;" Parzellen)",IF(J643&lt;=K643,"   Parzelle "&amp;J643,IF(J643=K643+1,"   Vorstand",IF(J643=K643+2,"   Gäste",IF(J643=K643+3,"   Technik (Switches, Access Points)",""))))))</f>
        <v/>
      </c>
      <c r="B643" s="0" t="str">
        <f aca="false">IF(I643="","",IF(AND(J643&gt;=1,J643&lt;=K643+3),IF(J643&lt;=K643,IF(J643&lt;=99,IF((INDEX(Eingabe!$G$9:$G$18,I643))&lt;=9,1000+(INDEX(Eingabe!$G$9:$G$18,I643))*100,3000)+J643,IF((INDEX(Eingabe!$G$9:$G$18,I643)+1)&lt;=9,1000+(INDEX(Eingabe!$G$9:$G$18,I643)+1)*100,3000)+J643-100),IF(J643=K643+1,2000+INDEX(Eingabe!$G$9:$G$18,I643)*10+1,IF(J643=K643+2,2000+INDEX(Eingabe!$G$9:$G$18,I643)*10+2,2000+INDEX(Eingabe!$G$9:$G$18,I643)*10+9))),""))</f>
        <v/>
      </c>
      <c r="C643" s="0" t="str">
        <f aca="false">IF(I643="","",IF(AND(J643&gt;=1,J643&lt;=K643+3),"10."&amp;INDEX(Eingabe!$D$9:$D$18,I643)&amp;"."&amp;IF(J643&lt;=K643,J643,IF(J643=K643+1,200,IF(J643=K643+2,201,250)))&amp;".0/24",""))</f>
        <v/>
      </c>
      <c r="D643" s="0" t="str">
        <f aca="false">IF(I643="","",IF(AND(J643&gt;=1,J643&lt;=K643+3),"255.255.255.0",""))</f>
        <v/>
      </c>
      <c r="E643" s="0" t="str">
        <f aca="false">IF(I643="","",IF(AND(J643&gt;=1,J643&lt;=K643+3),"10."&amp;INDEX(Eingabe!$D$9:$D$18,I643)&amp;"."&amp;IF(J643&lt;=K643,J643,IF(J643=K643+1,200,IF(J643=K643+2,201,250)))&amp;".1",""))</f>
        <v/>
      </c>
      <c r="F643" s="0" t="str">
        <f aca="false">IF(I643="","",IF(AND(J643&gt;=1,J643&lt;=K643+3),"10."&amp;INDEX(Eingabe!$D$9:$D$18,I643)&amp;"."&amp;IF(J643&lt;=K643,J643,IF(J643=K643+1,200,IF(J643=K643+2,201,250)))&amp;".10 – 10."&amp;INDEX(Eingabe!$D$9:$D$18,I643)&amp;"."&amp;IF(J643&lt;=K643,J643,IF(J643=K643+1,200,IF(J643=K643+2,201,250)))&amp;".250",""))</f>
        <v/>
      </c>
      <c r="G643" s="0" t="str">
        <f aca="false">IF(I643="","",IF(AND(J643&gt;=1,J643&lt;=K643),Eingabe!$B$6&amp;"-"&amp;INDEX(Eingabe!$C$9:$C$18,I643)&amp;"-Pächter  ·  Passwort Parzelle "&amp;J643,IF(J643=K643+1,Eingabe!$B$6&amp;"-"&amp;INDEX(Eingabe!$C$9:$C$18,I643)&amp;"-Vorstand  ·  eigenes WLAN",IF(J643=K643+2,Eingabe!$B$6&amp;"-"&amp;INDEX(Eingabe!$C$9:$C$18,I643)&amp;"-Gäste  ·  Voucher",IF(J643=K643+3,"Kabel  ·  Access Point y = .(50+y), Mast-Switch x = .(10+x)","")))))</f>
        <v/>
      </c>
      <c r="I643" s="0" t="str">
        <f aca="false">IF(638&lt;=(Eingabe!$P$18+Eingabe!$Q$18-1),MATCH(638,Eingabe!$P$9:$P$18,1),"")</f>
        <v/>
      </c>
      <c r="J643" s="0" t="str">
        <f aca="false">IF(I643="","",638-INDEX(Eingabe!$P$9:$P$18,I643))</f>
        <v/>
      </c>
      <c r="K643" s="0" t="str">
        <f aca="false">IF(I643="","",INDEX(Eingabe!$E$9:$E$18,I643))</f>
        <v/>
      </c>
    </row>
    <row r="644" customFormat="false" ht="15" hidden="false" customHeight="false" outlineLevel="0" collapsed="false">
      <c r="A644" s="0" t="str">
        <f aca="false">IF(I644="","",IF(J644=0,"Sparte "&amp;I644&amp;": "&amp;INDEX(Eingabe!$B$9:$B$18,I644)&amp;"  (Sparten-ID "&amp;INDEX(Eingabe!$D$9:$D$18,I644)&amp;", "&amp;K644&amp;" Parzellen)",IF(J644&lt;=K644,"   Parzelle "&amp;J644,IF(J644=K644+1,"   Vorstand",IF(J644=K644+2,"   Gäste",IF(J644=K644+3,"   Technik (Switches, Access Points)",""))))))</f>
        <v/>
      </c>
      <c r="B644" s="0" t="str">
        <f aca="false">IF(I644="","",IF(AND(J644&gt;=1,J644&lt;=K644+3),IF(J644&lt;=K644,IF(J644&lt;=99,IF((INDEX(Eingabe!$G$9:$G$18,I644))&lt;=9,1000+(INDEX(Eingabe!$G$9:$G$18,I644))*100,3000)+J644,IF((INDEX(Eingabe!$G$9:$G$18,I644)+1)&lt;=9,1000+(INDEX(Eingabe!$G$9:$G$18,I644)+1)*100,3000)+J644-100),IF(J644=K644+1,2000+INDEX(Eingabe!$G$9:$G$18,I644)*10+1,IF(J644=K644+2,2000+INDEX(Eingabe!$G$9:$G$18,I644)*10+2,2000+INDEX(Eingabe!$G$9:$G$18,I644)*10+9))),""))</f>
        <v/>
      </c>
      <c r="C644" s="0" t="str">
        <f aca="false">IF(I644="","",IF(AND(J644&gt;=1,J644&lt;=K644+3),"10."&amp;INDEX(Eingabe!$D$9:$D$18,I644)&amp;"."&amp;IF(J644&lt;=K644,J644,IF(J644=K644+1,200,IF(J644=K644+2,201,250)))&amp;".0/24",""))</f>
        <v/>
      </c>
      <c r="D644" s="0" t="str">
        <f aca="false">IF(I644="","",IF(AND(J644&gt;=1,J644&lt;=K644+3),"255.255.255.0",""))</f>
        <v/>
      </c>
      <c r="E644" s="0" t="str">
        <f aca="false">IF(I644="","",IF(AND(J644&gt;=1,J644&lt;=K644+3),"10."&amp;INDEX(Eingabe!$D$9:$D$18,I644)&amp;"."&amp;IF(J644&lt;=K644,J644,IF(J644=K644+1,200,IF(J644=K644+2,201,250)))&amp;".1",""))</f>
        <v/>
      </c>
      <c r="F644" s="0" t="str">
        <f aca="false">IF(I644="","",IF(AND(J644&gt;=1,J644&lt;=K644+3),"10."&amp;INDEX(Eingabe!$D$9:$D$18,I644)&amp;"."&amp;IF(J644&lt;=K644,J644,IF(J644=K644+1,200,IF(J644=K644+2,201,250)))&amp;".10 – 10."&amp;INDEX(Eingabe!$D$9:$D$18,I644)&amp;"."&amp;IF(J644&lt;=K644,J644,IF(J644=K644+1,200,IF(J644=K644+2,201,250)))&amp;".250",""))</f>
        <v/>
      </c>
      <c r="G644" s="0" t="str">
        <f aca="false">IF(I644="","",IF(AND(J644&gt;=1,J644&lt;=K644),Eingabe!$B$6&amp;"-"&amp;INDEX(Eingabe!$C$9:$C$18,I644)&amp;"-Pächter  ·  Passwort Parzelle "&amp;J644,IF(J644=K644+1,Eingabe!$B$6&amp;"-"&amp;INDEX(Eingabe!$C$9:$C$18,I644)&amp;"-Vorstand  ·  eigenes WLAN",IF(J644=K644+2,Eingabe!$B$6&amp;"-"&amp;INDEX(Eingabe!$C$9:$C$18,I644)&amp;"-Gäste  ·  Voucher",IF(J644=K644+3,"Kabel  ·  Access Point y = .(50+y), Mast-Switch x = .(10+x)","")))))</f>
        <v/>
      </c>
      <c r="I644" s="0" t="str">
        <f aca="false">IF(639&lt;=(Eingabe!$P$18+Eingabe!$Q$18-1),MATCH(639,Eingabe!$P$9:$P$18,1),"")</f>
        <v/>
      </c>
      <c r="J644" s="0" t="str">
        <f aca="false">IF(I644="","",639-INDEX(Eingabe!$P$9:$P$18,I644))</f>
        <v/>
      </c>
      <c r="K644" s="0" t="str">
        <f aca="false">IF(I644="","",INDEX(Eingabe!$E$9:$E$18,I644))</f>
        <v/>
      </c>
    </row>
    <row r="645" customFormat="false" ht="15" hidden="false" customHeight="false" outlineLevel="0" collapsed="false">
      <c r="A645" s="0" t="str">
        <f aca="false">IF(I645="","",IF(J645=0,"Sparte "&amp;I645&amp;": "&amp;INDEX(Eingabe!$B$9:$B$18,I645)&amp;"  (Sparten-ID "&amp;INDEX(Eingabe!$D$9:$D$18,I645)&amp;", "&amp;K645&amp;" Parzellen)",IF(J645&lt;=K645,"   Parzelle "&amp;J645,IF(J645=K645+1,"   Vorstand",IF(J645=K645+2,"   Gäste",IF(J645=K645+3,"   Technik (Switches, Access Points)",""))))))</f>
        <v/>
      </c>
      <c r="B645" s="0" t="str">
        <f aca="false">IF(I645="","",IF(AND(J645&gt;=1,J645&lt;=K645+3),IF(J645&lt;=K645,IF(J645&lt;=99,IF((INDEX(Eingabe!$G$9:$G$18,I645))&lt;=9,1000+(INDEX(Eingabe!$G$9:$G$18,I645))*100,3000)+J645,IF((INDEX(Eingabe!$G$9:$G$18,I645)+1)&lt;=9,1000+(INDEX(Eingabe!$G$9:$G$18,I645)+1)*100,3000)+J645-100),IF(J645=K645+1,2000+INDEX(Eingabe!$G$9:$G$18,I645)*10+1,IF(J645=K645+2,2000+INDEX(Eingabe!$G$9:$G$18,I645)*10+2,2000+INDEX(Eingabe!$G$9:$G$18,I645)*10+9))),""))</f>
        <v/>
      </c>
      <c r="C645" s="0" t="str">
        <f aca="false">IF(I645="","",IF(AND(J645&gt;=1,J645&lt;=K645+3),"10."&amp;INDEX(Eingabe!$D$9:$D$18,I645)&amp;"."&amp;IF(J645&lt;=K645,J645,IF(J645=K645+1,200,IF(J645=K645+2,201,250)))&amp;".0/24",""))</f>
        <v/>
      </c>
      <c r="D645" s="0" t="str">
        <f aca="false">IF(I645="","",IF(AND(J645&gt;=1,J645&lt;=K645+3),"255.255.255.0",""))</f>
        <v/>
      </c>
      <c r="E645" s="0" t="str">
        <f aca="false">IF(I645="","",IF(AND(J645&gt;=1,J645&lt;=K645+3),"10."&amp;INDEX(Eingabe!$D$9:$D$18,I645)&amp;"."&amp;IF(J645&lt;=K645,J645,IF(J645=K645+1,200,IF(J645=K645+2,201,250)))&amp;".1",""))</f>
        <v/>
      </c>
      <c r="F645" s="0" t="str">
        <f aca="false">IF(I645="","",IF(AND(J645&gt;=1,J645&lt;=K645+3),"10."&amp;INDEX(Eingabe!$D$9:$D$18,I645)&amp;"."&amp;IF(J645&lt;=K645,J645,IF(J645=K645+1,200,IF(J645=K645+2,201,250)))&amp;".10 – 10."&amp;INDEX(Eingabe!$D$9:$D$18,I645)&amp;"."&amp;IF(J645&lt;=K645,J645,IF(J645=K645+1,200,IF(J645=K645+2,201,250)))&amp;".250",""))</f>
        <v/>
      </c>
      <c r="G645" s="0" t="str">
        <f aca="false">IF(I645="","",IF(AND(J645&gt;=1,J645&lt;=K645),Eingabe!$B$6&amp;"-"&amp;INDEX(Eingabe!$C$9:$C$18,I645)&amp;"-Pächter  ·  Passwort Parzelle "&amp;J645,IF(J645=K645+1,Eingabe!$B$6&amp;"-"&amp;INDEX(Eingabe!$C$9:$C$18,I645)&amp;"-Vorstand  ·  eigenes WLAN",IF(J645=K645+2,Eingabe!$B$6&amp;"-"&amp;INDEX(Eingabe!$C$9:$C$18,I645)&amp;"-Gäste  ·  Voucher",IF(J645=K645+3,"Kabel  ·  Access Point y = .(50+y), Mast-Switch x = .(10+x)","")))))</f>
        <v/>
      </c>
      <c r="I645" s="0" t="str">
        <f aca="false">IF(640&lt;=(Eingabe!$P$18+Eingabe!$Q$18-1),MATCH(640,Eingabe!$P$9:$P$18,1),"")</f>
        <v/>
      </c>
      <c r="J645" s="0" t="str">
        <f aca="false">IF(I645="","",640-INDEX(Eingabe!$P$9:$P$18,I645))</f>
        <v/>
      </c>
      <c r="K645" s="0" t="str">
        <f aca="false">IF(I645="","",INDEX(Eingabe!$E$9:$E$18,I645))</f>
        <v/>
      </c>
    </row>
    <row r="646" customFormat="false" ht="15" hidden="false" customHeight="false" outlineLevel="0" collapsed="false">
      <c r="A646" s="0" t="str">
        <f aca="false">IF(I646="","",IF(J646=0,"Sparte "&amp;I646&amp;": "&amp;INDEX(Eingabe!$B$9:$B$18,I646)&amp;"  (Sparten-ID "&amp;INDEX(Eingabe!$D$9:$D$18,I646)&amp;", "&amp;K646&amp;" Parzellen)",IF(J646&lt;=K646,"   Parzelle "&amp;J646,IF(J646=K646+1,"   Vorstand",IF(J646=K646+2,"   Gäste",IF(J646=K646+3,"   Technik (Switches, Access Points)",""))))))</f>
        <v/>
      </c>
      <c r="B646" s="0" t="str">
        <f aca="false">IF(I646="","",IF(AND(J646&gt;=1,J646&lt;=K646+3),IF(J646&lt;=K646,IF(J646&lt;=99,IF((INDEX(Eingabe!$G$9:$G$18,I646))&lt;=9,1000+(INDEX(Eingabe!$G$9:$G$18,I646))*100,3000)+J646,IF((INDEX(Eingabe!$G$9:$G$18,I646)+1)&lt;=9,1000+(INDEX(Eingabe!$G$9:$G$18,I646)+1)*100,3000)+J646-100),IF(J646=K646+1,2000+INDEX(Eingabe!$G$9:$G$18,I646)*10+1,IF(J646=K646+2,2000+INDEX(Eingabe!$G$9:$G$18,I646)*10+2,2000+INDEX(Eingabe!$G$9:$G$18,I646)*10+9))),""))</f>
        <v/>
      </c>
      <c r="C646" s="0" t="str">
        <f aca="false">IF(I646="","",IF(AND(J646&gt;=1,J646&lt;=K646+3),"10."&amp;INDEX(Eingabe!$D$9:$D$18,I646)&amp;"."&amp;IF(J646&lt;=K646,J646,IF(J646=K646+1,200,IF(J646=K646+2,201,250)))&amp;".0/24",""))</f>
        <v/>
      </c>
      <c r="D646" s="0" t="str">
        <f aca="false">IF(I646="","",IF(AND(J646&gt;=1,J646&lt;=K646+3),"255.255.255.0",""))</f>
        <v/>
      </c>
      <c r="E646" s="0" t="str">
        <f aca="false">IF(I646="","",IF(AND(J646&gt;=1,J646&lt;=K646+3),"10."&amp;INDEX(Eingabe!$D$9:$D$18,I646)&amp;"."&amp;IF(J646&lt;=K646,J646,IF(J646=K646+1,200,IF(J646=K646+2,201,250)))&amp;".1",""))</f>
        <v/>
      </c>
      <c r="F646" s="0" t="str">
        <f aca="false">IF(I646="","",IF(AND(J646&gt;=1,J646&lt;=K646+3),"10."&amp;INDEX(Eingabe!$D$9:$D$18,I646)&amp;"."&amp;IF(J646&lt;=K646,J646,IF(J646=K646+1,200,IF(J646=K646+2,201,250)))&amp;".10 – 10."&amp;INDEX(Eingabe!$D$9:$D$18,I646)&amp;"."&amp;IF(J646&lt;=K646,J646,IF(J646=K646+1,200,IF(J646=K646+2,201,250)))&amp;".250",""))</f>
        <v/>
      </c>
      <c r="G646" s="0" t="str">
        <f aca="false">IF(I646="","",IF(AND(J646&gt;=1,J646&lt;=K646),Eingabe!$B$6&amp;"-"&amp;INDEX(Eingabe!$C$9:$C$18,I646)&amp;"-Pächter  ·  Passwort Parzelle "&amp;J646,IF(J646=K646+1,Eingabe!$B$6&amp;"-"&amp;INDEX(Eingabe!$C$9:$C$18,I646)&amp;"-Vorstand  ·  eigenes WLAN",IF(J646=K646+2,Eingabe!$B$6&amp;"-"&amp;INDEX(Eingabe!$C$9:$C$18,I646)&amp;"-Gäste  ·  Voucher",IF(J646=K646+3,"Kabel  ·  Access Point y = .(50+y), Mast-Switch x = .(10+x)","")))))</f>
        <v/>
      </c>
      <c r="I646" s="0" t="str">
        <f aca="false">IF(641&lt;=(Eingabe!$P$18+Eingabe!$Q$18-1),MATCH(641,Eingabe!$P$9:$P$18,1),"")</f>
        <v/>
      </c>
      <c r="J646" s="0" t="str">
        <f aca="false">IF(I646="","",641-INDEX(Eingabe!$P$9:$P$18,I646))</f>
        <v/>
      </c>
      <c r="K646" s="0" t="str">
        <f aca="false">IF(I646="","",INDEX(Eingabe!$E$9:$E$18,I646))</f>
        <v/>
      </c>
    </row>
    <row r="647" customFormat="false" ht="15" hidden="false" customHeight="false" outlineLevel="0" collapsed="false">
      <c r="A647" s="0" t="str">
        <f aca="false">IF(I647="","",IF(J647=0,"Sparte "&amp;I647&amp;": "&amp;INDEX(Eingabe!$B$9:$B$18,I647)&amp;"  (Sparten-ID "&amp;INDEX(Eingabe!$D$9:$D$18,I647)&amp;", "&amp;K647&amp;" Parzellen)",IF(J647&lt;=K647,"   Parzelle "&amp;J647,IF(J647=K647+1,"   Vorstand",IF(J647=K647+2,"   Gäste",IF(J647=K647+3,"   Technik (Switches, Access Points)",""))))))</f>
        <v/>
      </c>
      <c r="B647" s="0" t="str">
        <f aca="false">IF(I647="","",IF(AND(J647&gt;=1,J647&lt;=K647+3),IF(J647&lt;=K647,IF(J647&lt;=99,IF((INDEX(Eingabe!$G$9:$G$18,I647))&lt;=9,1000+(INDEX(Eingabe!$G$9:$G$18,I647))*100,3000)+J647,IF((INDEX(Eingabe!$G$9:$G$18,I647)+1)&lt;=9,1000+(INDEX(Eingabe!$G$9:$G$18,I647)+1)*100,3000)+J647-100),IF(J647=K647+1,2000+INDEX(Eingabe!$G$9:$G$18,I647)*10+1,IF(J647=K647+2,2000+INDEX(Eingabe!$G$9:$G$18,I647)*10+2,2000+INDEX(Eingabe!$G$9:$G$18,I647)*10+9))),""))</f>
        <v/>
      </c>
      <c r="C647" s="0" t="str">
        <f aca="false">IF(I647="","",IF(AND(J647&gt;=1,J647&lt;=K647+3),"10."&amp;INDEX(Eingabe!$D$9:$D$18,I647)&amp;"."&amp;IF(J647&lt;=K647,J647,IF(J647=K647+1,200,IF(J647=K647+2,201,250)))&amp;".0/24",""))</f>
        <v/>
      </c>
      <c r="D647" s="0" t="str">
        <f aca="false">IF(I647="","",IF(AND(J647&gt;=1,J647&lt;=K647+3),"255.255.255.0",""))</f>
        <v/>
      </c>
      <c r="E647" s="0" t="str">
        <f aca="false">IF(I647="","",IF(AND(J647&gt;=1,J647&lt;=K647+3),"10."&amp;INDEX(Eingabe!$D$9:$D$18,I647)&amp;"."&amp;IF(J647&lt;=K647,J647,IF(J647=K647+1,200,IF(J647=K647+2,201,250)))&amp;".1",""))</f>
        <v/>
      </c>
      <c r="F647" s="0" t="str">
        <f aca="false">IF(I647="","",IF(AND(J647&gt;=1,J647&lt;=K647+3),"10."&amp;INDEX(Eingabe!$D$9:$D$18,I647)&amp;"."&amp;IF(J647&lt;=K647,J647,IF(J647=K647+1,200,IF(J647=K647+2,201,250)))&amp;".10 – 10."&amp;INDEX(Eingabe!$D$9:$D$18,I647)&amp;"."&amp;IF(J647&lt;=K647,J647,IF(J647=K647+1,200,IF(J647=K647+2,201,250)))&amp;".250",""))</f>
        <v/>
      </c>
      <c r="G647" s="0" t="str">
        <f aca="false">IF(I647="","",IF(AND(J647&gt;=1,J647&lt;=K647),Eingabe!$B$6&amp;"-"&amp;INDEX(Eingabe!$C$9:$C$18,I647)&amp;"-Pächter  ·  Passwort Parzelle "&amp;J647,IF(J647=K647+1,Eingabe!$B$6&amp;"-"&amp;INDEX(Eingabe!$C$9:$C$18,I647)&amp;"-Vorstand  ·  eigenes WLAN",IF(J647=K647+2,Eingabe!$B$6&amp;"-"&amp;INDEX(Eingabe!$C$9:$C$18,I647)&amp;"-Gäste  ·  Voucher",IF(J647=K647+3,"Kabel  ·  Access Point y = .(50+y), Mast-Switch x = .(10+x)","")))))</f>
        <v/>
      </c>
      <c r="I647" s="0" t="str">
        <f aca="false">IF(642&lt;=(Eingabe!$P$18+Eingabe!$Q$18-1),MATCH(642,Eingabe!$P$9:$P$18,1),"")</f>
        <v/>
      </c>
      <c r="J647" s="0" t="str">
        <f aca="false">IF(I647="","",642-INDEX(Eingabe!$P$9:$P$18,I647))</f>
        <v/>
      </c>
      <c r="K647" s="0" t="str">
        <f aca="false">IF(I647="","",INDEX(Eingabe!$E$9:$E$18,I647))</f>
        <v/>
      </c>
    </row>
    <row r="648" customFormat="false" ht="15" hidden="false" customHeight="false" outlineLevel="0" collapsed="false">
      <c r="A648" s="0" t="str">
        <f aca="false">IF(I648="","",IF(J648=0,"Sparte "&amp;I648&amp;": "&amp;INDEX(Eingabe!$B$9:$B$18,I648)&amp;"  (Sparten-ID "&amp;INDEX(Eingabe!$D$9:$D$18,I648)&amp;", "&amp;K648&amp;" Parzellen)",IF(J648&lt;=K648,"   Parzelle "&amp;J648,IF(J648=K648+1,"   Vorstand",IF(J648=K648+2,"   Gäste",IF(J648=K648+3,"   Technik (Switches, Access Points)",""))))))</f>
        <v/>
      </c>
      <c r="B648" s="0" t="str">
        <f aca="false">IF(I648="","",IF(AND(J648&gt;=1,J648&lt;=K648+3),IF(J648&lt;=K648,IF(J648&lt;=99,IF((INDEX(Eingabe!$G$9:$G$18,I648))&lt;=9,1000+(INDEX(Eingabe!$G$9:$G$18,I648))*100,3000)+J648,IF((INDEX(Eingabe!$G$9:$G$18,I648)+1)&lt;=9,1000+(INDEX(Eingabe!$G$9:$G$18,I648)+1)*100,3000)+J648-100),IF(J648=K648+1,2000+INDEX(Eingabe!$G$9:$G$18,I648)*10+1,IF(J648=K648+2,2000+INDEX(Eingabe!$G$9:$G$18,I648)*10+2,2000+INDEX(Eingabe!$G$9:$G$18,I648)*10+9))),""))</f>
        <v/>
      </c>
      <c r="C648" s="0" t="str">
        <f aca="false">IF(I648="","",IF(AND(J648&gt;=1,J648&lt;=K648+3),"10."&amp;INDEX(Eingabe!$D$9:$D$18,I648)&amp;"."&amp;IF(J648&lt;=K648,J648,IF(J648=K648+1,200,IF(J648=K648+2,201,250)))&amp;".0/24",""))</f>
        <v/>
      </c>
      <c r="D648" s="0" t="str">
        <f aca="false">IF(I648="","",IF(AND(J648&gt;=1,J648&lt;=K648+3),"255.255.255.0",""))</f>
        <v/>
      </c>
      <c r="E648" s="0" t="str">
        <f aca="false">IF(I648="","",IF(AND(J648&gt;=1,J648&lt;=K648+3),"10."&amp;INDEX(Eingabe!$D$9:$D$18,I648)&amp;"."&amp;IF(J648&lt;=K648,J648,IF(J648=K648+1,200,IF(J648=K648+2,201,250)))&amp;".1",""))</f>
        <v/>
      </c>
      <c r="F648" s="0" t="str">
        <f aca="false">IF(I648="","",IF(AND(J648&gt;=1,J648&lt;=K648+3),"10."&amp;INDEX(Eingabe!$D$9:$D$18,I648)&amp;"."&amp;IF(J648&lt;=K648,J648,IF(J648=K648+1,200,IF(J648=K648+2,201,250)))&amp;".10 – 10."&amp;INDEX(Eingabe!$D$9:$D$18,I648)&amp;"."&amp;IF(J648&lt;=K648,J648,IF(J648=K648+1,200,IF(J648=K648+2,201,250)))&amp;".250",""))</f>
        <v/>
      </c>
      <c r="G648" s="0" t="str">
        <f aca="false">IF(I648="","",IF(AND(J648&gt;=1,J648&lt;=K648),Eingabe!$B$6&amp;"-"&amp;INDEX(Eingabe!$C$9:$C$18,I648)&amp;"-Pächter  ·  Passwort Parzelle "&amp;J648,IF(J648=K648+1,Eingabe!$B$6&amp;"-"&amp;INDEX(Eingabe!$C$9:$C$18,I648)&amp;"-Vorstand  ·  eigenes WLAN",IF(J648=K648+2,Eingabe!$B$6&amp;"-"&amp;INDEX(Eingabe!$C$9:$C$18,I648)&amp;"-Gäste  ·  Voucher",IF(J648=K648+3,"Kabel  ·  Access Point y = .(50+y), Mast-Switch x = .(10+x)","")))))</f>
        <v/>
      </c>
      <c r="I648" s="0" t="str">
        <f aca="false">IF(643&lt;=(Eingabe!$P$18+Eingabe!$Q$18-1),MATCH(643,Eingabe!$P$9:$P$18,1),"")</f>
        <v/>
      </c>
      <c r="J648" s="0" t="str">
        <f aca="false">IF(I648="","",643-INDEX(Eingabe!$P$9:$P$18,I648))</f>
        <v/>
      </c>
      <c r="K648" s="0" t="str">
        <f aca="false">IF(I648="","",INDEX(Eingabe!$E$9:$E$18,I648))</f>
        <v/>
      </c>
    </row>
    <row r="649" customFormat="false" ht="15" hidden="false" customHeight="false" outlineLevel="0" collapsed="false">
      <c r="A649" s="0" t="str">
        <f aca="false">IF(I649="","",IF(J649=0,"Sparte "&amp;I649&amp;": "&amp;INDEX(Eingabe!$B$9:$B$18,I649)&amp;"  (Sparten-ID "&amp;INDEX(Eingabe!$D$9:$D$18,I649)&amp;", "&amp;K649&amp;" Parzellen)",IF(J649&lt;=K649,"   Parzelle "&amp;J649,IF(J649=K649+1,"   Vorstand",IF(J649=K649+2,"   Gäste",IF(J649=K649+3,"   Technik (Switches, Access Points)",""))))))</f>
        <v/>
      </c>
      <c r="B649" s="0" t="str">
        <f aca="false">IF(I649="","",IF(AND(J649&gt;=1,J649&lt;=K649+3),IF(J649&lt;=K649,IF(J649&lt;=99,IF((INDEX(Eingabe!$G$9:$G$18,I649))&lt;=9,1000+(INDEX(Eingabe!$G$9:$G$18,I649))*100,3000)+J649,IF((INDEX(Eingabe!$G$9:$G$18,I649)+1)&lt;=9,1000+(INDEX(Eingabe!$G$9:$G$18,I649)+1)*100,3000)+J649-100),IF(J649=K649+1,2000+INDEX(Eingabe!$G$9:$G$18,I649)*10+1,IF(J649=K649+2,2000+INDEX(Eingabe!$G$9:$G$18,I649)*10+2,2000+INDEX(Eingabe!$G$9:$G$18,I649)*10+9))),""))</f>
        <v/>
      </c>
      <c r="C649" s="0" t="str">
        <f aca="false">IF(I649="","",IF(AND(J649&gt;=1,J649&lt;=K649+3),"10."&amp;INDEX(Eingabe!$D$9:$D$18,I649)&amp;"."&amp;IF(J649&lt;=K649,J649,IF(J649=K649+1,200,IF(J649=K649+2,201,250)))&amp;".0/24",""))</f>
        <v/>
      </c>
      <c r="D649" s="0" t="str">
        <f aca="false">IF(I649="","",IF(AND(J649&gt;=1,J649&lt;=K649+3),"255.255.255.0",""))</f>
        <v/>
      </c>
      <c r="E649" s="0" t="str">
        <f aca="false">IF(I649="","",IF(AND(J649&gt;=1,J649&lt;=K649+3),"10."&amp;INDEX(Eingabe!$D$9:$D$18,I649)&amp;"."&amp;IF(J649&lt;=K649,J649,IF(J649=K649+1,200,IF(J649=K649+2,201,250)))&amp;".1",""))</f>
        <v/>
      </c>
      <c r="F649" s="0" t="str">
        <f aca="false">IF(I649="","",IF(AND(J649&gt;=1,J649&lt;=K649+3),"10."&amp;INDEX(Eingabe!$D$9:$D$18,I649)&amp;"."&amp;IF(J649&lt;=K649,J649,IF(J649=K649+1,200,IF(J649=K649+2,201,250)))&amp;".10 – 10."&amp;INDEX(Eingabe!$D$9:$D$18,I649)&amp;"."&amp;IF(J649&lt;=K649,J649,IF(J649=K649+1,200,IF(J649=K649+2,201,250)))&amp;".250",""))</f>
        <v/>
      </c>
      <c r="G649" s="0" t="str">
        <f aca="false">IF(I649="","",IF(AND(J649&gt;=1,J649&lt;=K649),Eingabe!$B$6&amp;"-"&amp;INDEX(Eingabe!$C$9:$C$18,I649)&amp;"-Pächter  ·  Passwort Parzelle "&amp;J649,IF(J649=K649+1,Eingabe!$B$6&amp;"-"&amp;INDEX(Eingabe!$C$9:$C$18,I649)&amp;"-Vorstand  ·  eigenes WLAN",IF(J649=K649+2,Eingabe!$B$6&amp;"-"&amp;INDEX(Eingabe!$C$9:$C$18,I649)&amp;"-Gäste  ·  Voucher",IF(J649=K649+3,"Kabel  ·  Access Point y = .(50+y), Mast-Switch x = .(10+x)","")))))</f>
        <v/>
      </c>
      <c r="I649" s="0" t="str">
        <f aca="false">IF(644&lt;=(Eingabe!$P$18+Eingabe!$Q$18-1),MATCH(644,Eingabe!$P$9:$P$18,1),"")</f>
        <v/>
      </c>
      <c r="J649" s="0" t="str">
        <f aca="false">IF(I649="","",644-INDEX(Eingabe!$P$9:$P$18,I649))</f>
        <v/>
      </c>
      <c r="K649" s="0" t="str">
        <f aca="false">IF(I649="","",INDEX(Eingabe!$E$9:$E$18,I649))</f>
        <v/>
      </c>
    </row>
    <row r="650" customFormat="false" ht="15" hidden="false" customHeight="false" outlineLevel="0" collapsed="false">
      <c r="A650" s="0" t="str">
        <f aca="false">IF(I650="","",IF(J650=0,"Sparte "&amp;I650&amp;": "&amp;INDEX(Eingabe!$B$9:$B$18,I650)&amp;"  (Sparten-ID "&amp;INDEX(Eingabe!$D$9:$D$18,I650)&amp;", "&amp;K650&amp;" Parzellen)",IF(J650&lt;=K650,"   Parzelle "&amp;J650,IF(J650=K650+1,"   Vorstand",IF(J650=K650+2,"   Gäste",IF(J650=K650+3,"   Technik (Switches, Access Points)",""))))))</f>
        <v/>
      </c>
      <c r="B650" s="0" t="str">
        <f aca="false">IF(I650="","",IF(AND(J650&gt;=1,J650&lt;=K650+3),IF(J650&lt;=K650,IF(J650&lt;=99,IF((INDEX(Eingabe!$G$9:$G$18,I650))&lt;=9,1000+(INDEX(Eingabe!$G$9:$G$18,I650))*100,3000)+J650,IF((INDEX(Eingabe!$G$9:$G$18,I650)+1)&lt;=9,1000+(INDEX(Eingabe!$G$9:$G$18,I650)+1)*100,3000)+J650-100),IF(J650=K650+1,2000+INDEX(Eingabe!$G$9:$G$18,I650)*10+1,IF(J650=K650+2,2000+INDEX(Eingabe!$G$9:$G$18,I650)*10+2,2000+INDEX(Eingabe!$G$9:$G$18,I650)*10+9))),""))</f>
        <v/>
      </c>
      <c r="C650" s="0" t="str">
        <f aca="false">IF(I650="","",IF(AND(J650&gt;=1,J650&lt;=K650+3),"10."&amp;INDEX(Eingabe!$D$9:$D$18,I650)&amp;"."&amp;IF(J650&lt;=K650,J650,IF(J650=K650+1,200,IF(J650=K650+2,201,250)))&amp;".0/24",""))</f>
        <v/>
      </c>
      <c r="D650" s="0" t="str">
        <f aca="false">IF(I650="","",IF(AND(J650&gt;=1,J650&lt;=K650+3),"255.255.255.0",""))</f>
        <v/>
      </c>
      <c r="E650" s="0" t="str">
        <f aca="false">IF(I650="","",IF(AND(J650&gt;=1,J650&lt;=K650+3),"10."&amp;INDEX(Eingabe!$D$9:$D$18,I650)&amp;"."&amp;IF(J650&lt;=K650,J650,IF(J650=K650+1,200,IF(J650=K650+2,201,250)))&amp;".1",""))</f>
        <v/>
      </c>
      <c r="F650" s="0" t="str">
        <f aca="false">IF(I650="","",IF(AND(J650&gt;=1,J650&lt;=K650+3),"10."&amp;INDEX(Eingabe!$D$9:$D$18,I650)&amp;"."&amp;IF(J650&lt;=K650,J650,IF(J650=K650+1,200,IF(J650=K650+2,201,250)))&amp;".10 – 10."&amp;INDEX(Eingabe!$D$9:$D$18,I650)&amp;"."&amp;IF(J650&lt;=K650,J650,IF(J650=K650+1,200,IF(J650=K650+2,201,250)))&amp;".250",""))</f>
        <v/>
      </c>
      <c r="G650" s="0" t="str">
        <f aca="false">IF(I650="","",IF(AND(J650&gt;=1,J650&lt;=K650),Eingabe!$B$6&amp;"-"&amp;INDEX(Eingabe!$C$9:$C$18,I650)&amp;"-Pächter  ·  Passwort Parzelle "&amp;J650,IF(J650=K650+1,Eingabe!$B$6&amp;"-"&amp;INDEX(Eingabe!$C$9:$C$18,I650)&amp;"-Vorstand  ·  eigenes WLAN",IF(J650=K650+2,Eingabe!$B$6&amp;"-"&amp;INDEX(Eingabe!$C$9:$C$18,I650)&amp;"-Gäste  ·  Voucher",IF(J650=K650+3,"Kabel  ·  Access Point y = .(50+y), Mast-Switch x = .(10+x)","")))))</f>
        <v/>
      </c>
      <c r="I650" s="0" t="str">
        <f aca="false">IF(645&lt;=(Eingabe!$P$18+Eingabe!$Q$18-1),MATCH(645,Eingabe!$P$9:$P$18,1),"")</f>
        <v/>
      </c>
      <c r="J650" s="0" t="str">
        <f aca="false">IF(I650="","",645-INDEX(Eingabe!$P$9:$P$18,I650))</f>
        <v/>
      </c>
      <c r="K650" s="0" t="str">
        <f aca="false">IF(I650="","",INDEX(Eingabe!$E$9:$E$18,I650))</f>
        <v/>
      </c>
    </row>
    <row r="651" customFormat="false" ht="15" hidden="false" customHeight="false" outlineLevel="0" collapsed="false">
      <c r="A651" s="0" t="str">
        <f aca="false">IF(I651="","",IF(J651=0,"Sparte "&amp;I651&amp;": "&amp;INDEX(Eingabe!$B$9:$B$18,I651)&amp;"  (Sparten-ID "&amp;INDEX(Eingabe!$D$9:$D$18,I651)&amp;", "&amp;K651&amp;" Parzellen)",IF(J651&lt;=K651,"   Parzelle "&amp;J651,IF(J651=K651+1,"   Vorstand",IF(J651=K651+2,"   Gäste",IF(J651=K651+3,"   Technik (Switches, Access Points)",""))))))</f>
        <v/>
      </c>
      <c r="B651" s="0" t="str">
        <f aca="false">IF(I651="","",IF(AND(J651&gt;=1,J651&lt;=K651+3),IF(J651&lt;=K651,IF(J651&lt;=99,IF((INDEX(Eingabe!$G$9:$G$18,I651))&lt;=9,1000+(INDEX(Eingabe!$G$9:$G$18,I651))*100,3000)+J651,IF((INDEX(Eingabe!$G$9:$G$18,I651)+1)&lt;=9,1000+(INDEX(Eingabe!$G$9:$G$18,I651)+1)*100,3000)+J651-100),IF(J651=K651+1,2000+INDEX(Eingabe!$G$9:$G$18,I651)*10+1,IF(J651=K651+2,2000+INDEX(Eingabe!$G$9:$G$18,I651)*10+2,2000+INDEX(Eingabe!$G$9:$G$18,I651)*10+9))),""))</f>
        <v/>
      </c>
      <c r="C651" s="0" t="str">
        <f aca="false">IF(I651="","",IF(AND(J651&gt;=1,J651&lt;=K651+3),"10."&amp;INDEX(Eingabe!$D$9:$D$18,I651)&amp;"."&amp;IF(J651&lt;=K651,J651,IF(J651=K651+1,200,IF(J651=K651+2,201,250)))&amp;".0/24",""))</f>
        <v/>
      </c>
      <c r="D651" s="0" t="str">
        <f aca="false">IF(I651="","",IF(AND(J651&gt;=1,J651&lt;=K651+3),"255.255.255.0",""))</f>
        <v/>
      </c>
      <c r="E651" s="0" t="str">
        <f aca="false">IF(I651="","",IF(AND(J651&gt;=1,J651&lt;=K651+3),"10."&amp;INDEX(Eingabe!$D$9:$D$18,I651)&amp;"."&amp;IF(J651&lt;=K651,J651,IF(J651=K651+1,200,IF(J651=K651+2,201,250)))&amp;".1",""))</f>
        <v/>
      </c>
      <c r="F651" s="0" t="str">
        <f aca="false">IF(I651="","",IF(AND(J651&gt;=1,J651&lt;=K651+3),"10."&amp;INDEX(Eingabe!$D$9:$D$18,I651)&amp;"."&amp;IF(J651&lt;=K651,J651,IF(J651=K651+1,200,IF(J651=K651+2,201,250)))&amp;".10 – 10."&amp;INDEX(Eingabe!$D$9:$D$18,I651)&amp;"."&amp;IF(J651&lt;=K651,J651,IF(J651=K651+1,200,IF(J651=K651+2,201,250)))&amp;".250",""))</f>
        <v/>
      </c>
      <c r="G651" s="0" t="str">
        <f aca="false">IF(I651="","",IF(AND(J651&gt;=1,J651&lt;=K651),Eingabe!$B$6&amp;"-"&amp;INDEX(Eingabe!$C$9:$C$18,I651)&amp;"-Pächter  ·  Passwort Parzelle "&amp;J651,IF(J651=K651+1,Eingabe!$B$6&amp;"-"&amp;INDEX(Eingabe!$C$9:$C$18,I651)&amp;"-Vorstand  ·  eigenes WLAN",IF(J651=K651+2,Eingabe!$B$6&amp;"-"&amp;INDEX(Eingabe!$C$9:$C$18,I651)&amp;"-Gäste  ·  Voucher",IF(J651=K651+3,"Kabel  ·  Access Point y = .(50+y), Mast-Switch x = .(10+x)","")))))</f>
        <v/>
      </c>
      <c r="I651" s="0" t="str">
        <f aca="false">IF(646&lt;=(Eingabe!$P$18+Eingabe!$Q$18-1),MATCH(646,Eingabe!$P$9:$P$18,1),"")</f>
        <v/>
      </c>
      <c r="J651" s="0" t="str">
        <f aca="false">IF(I651="","",646-INDEX(Eingabe!$P$9:$P$18,I651))</f>
        <v/>
      </c>
      <c r="K651" s="0" t="str">
        <f aca="false">IF(I651="","",INDEX(Eingabe!$E$9:$E$18,I651))</f>
        <v/>
      </c>
    </row>
    <row r="652" customFormat="false" ht="15" hidden="false" customHeight="false" outlineLevel="0" collapsed="false">
      <c r="A652" s="0" t="str">
        <f aca="false">IF(I652="","",IF(J652=0,"Sparte "&amp;I652&amp;": "&amp;INDEX(Eingabe!$B$9:$B$18,I652)&amp;"  (Sparten-ID "&amp;INDEX(Eingabe!$D$9:$D$18,I652)&amp;", "&amp;K652&amp;" Parzellen)",IF(J652&lt;=K652,"   Parzelle "&amp;J652,IF(J652=K652+1,"   Vorstand",IF(J652=K652+2,"   Gäste",IF(J652=K652+3,"   Technik (Switches, Access Points)",""))))))</f>
        <v/>
      </c>
      <c r="B652" s="0" t="str">
        <f aca="false">IF(I652="","",IF(AND(J652&gt;=1,J652&lt;=K652+3),IF(J652&lt;=K652,IF(J652&lt;=99,IF((INDEX(Eingabe!$G$9:$G$18,I652))&lt;=9,1000+(INDEX(Eingabe!$G$9:$G$18,I652))*100,3000)+J652,IF((INDEX(Eingabe!$G$9:$G$18,I652)+1)&lt;=9,1000+(INDEX(Eingabe!$G$9:$G$18,I652)+1)*100,3000)+J652-100),IF(J652=K652+1,2000+INDEX(Eingabe!$G$9:$G$18,I652)*10+1,IF(J652=K652+2,2000+INDEX(Eingabe!$G$9:$G$18,I652)*10+2,2000+INDEX(Eingabe!$G$9:$G$18,I652)*10+9))),""))</f>
        <v/>
      </c>
      <c r="C652" s="0" t="str">
        <f aca="false">IF(I652="","",IF(AND(J652&gt;=1,J652&lt;=K652+3),"10."&amp;INDEX(Eingabe!$D$9:$D$18,I652)&amp;"."&amp;IF(J652&lt;=K652,J652,IF(J652=K652+1,200,IF(J652=K652+2,201,250)))&amp;".0/24",""))</f>
        <v/>
      </c>
      <c r="D652" s="0" t="str">
        <f aca="false">IF(I652="","",IF(AND(J652&gt;=1,J652&lt;=K652+3),"255.255.255.0",""))</f>
        <v/>
      </c>
      <c r="E652" s="0" t="str">
        <f aca="false">IF(I652="","",IF(AND(J652&gt;=1,J652&lt;=K652+3),"10."&amp;INDEX(Eingabe!$D$9:$D$18,I652)&amp;"."&amp;IF(J652&lt;=K652,J652,IF(J652=K652+1,200,IF(J652=K652+2,201,250)))&amp;".1",""))</f>
        <v/>
      </c>
      <c r="F652" s="0" t="str">
        <f aca="false">IF(I652="","",IF(AND(J652&gt;=1,J652&lt;=K652+3),"10."&amp;INDEX(Eingabe!$D$9:$D$18,I652)&amp;"."&amp;IF(J652&lt;=K652,J652,IF(J652=K652+1,200,IF(J652=K652+2,201,250)))&amp;".10 – 10."&amp;INDEX(Eingabe!$D$9:$D$18,I652)&amp;"."&amp;IF(J652&lt;=K652,J652,IF(J652=K652+1,200,IF(J652=K652+2,201,250)))&amp;".250",""))</f>
        <v/>
      </c>
      <c r="G652" s="0" t="str">
        <f aca="false">IF(I652="","",IF(AND(J652&gt;=1,J652&lt;=K652),Eingabe!$B$6&amp;"-"&amp;INDEX(Eingabe!$C$9:$C$18,I652)&amp;"-Pächter  ·  Passwort Parzelle "&amp;J652,IF(J652=K652+1,Eingabe!$B$6&amp;"-"&amp;INDEX(Eingabe!$C$9:$C$18,I652)&amp;"-Vorstand  ·  eigenes WLAN",IF(J652=K652+2,Eingabe!$B$6&amp;"-"&amp;INDEX(Eingabe!$C$9:$C$18,I652)&amp;"-Gäste  ·  Voucher",IF(J652=K652+3,"Kabel  ·  Access Point y = .(50+y), Mast-Switch x = .(10+x)","")))))</f>
        <v/>
      </c>
      <c r="I652" s="0" t="str">
        <f aca="false">IF(647&lt;=(Eingabe!$P$18+Eingabe!$Q$18-1),MATCH(647,Eingabe!$P$9:$P$18,1),"")</f>
        <v/>
      </c>
      <c r="J652" s="0" t="str">
        <f aca="false">IF(I652="","",647-INDEX(Eingabe!$P$9:$P$18,I652))</f>
        <v/>
      </c>
      <c r="K652" s="0" t="str">
        <f aca="false">IF(I652="","",INDEX(Eingabe!$E$9:$E$18,I652))</f>
        <v/>
      </c>
    </row>
    <row r="653" customFormat="false" ht="15" hidden="false" customHeight="false" outlineLevel="0" collapsed="false">
      <c r="A653" s="0" t="str">
        <f aca="false">IF(I653="","",IF(J653=0,"Sparte "&amp;I653&amp;": "&amp;INDEX(Eingabe!$B$9:$B$18,I653)&amp;"  (Sparten-ID "&amp;INDEX(Eingabe!$D$9:$D$18,I653)&amp;", "&amp;K653&amp;" Parzellen)",IF(J653&lt;=K653,"   Parzelle "&amp;J653,IF(J653=K653+1,"   Vorstand",IF(J653=K653+2,"   Gäste",IF(J653=K653+3,"   Technik (Switches, Access Points)",""))))))</f>
        <v/>
      </c>
      <c r="B653" s="0" t="str">
        <f aca="false">IF(I653="","",IF(AND(J653&gt;=1,J653&lt;=K653+3),IF(J653&lt;=K653,IF(J653&lt;=99,IF((INDEX(Eingabe!$G$9:$G$18,I653))&lt;=9,1000+(INDEX(Eingabe!$G$9:$G$18,I653))*100,3000)+J653,IF((INDEX(Eingabe!$G$9:$G$18,I653)+1)&lt;=9,1000+(INDEX(Eingabe!$G$9:$G$18,I653)+1)*100,3000)+J653-100),IF(J653=K653+1,2000+INDEX(Eingabe!$G$9:$G$18,I653)*10+1,IF(J653=K653+2,2000+INDEX(Eingabe!$G$9:$G$18,I653)*10+2,2000+INDEX(Eingabe!$G$9:$G$18,I653)*10+9))),""))</f>
        <v/>
      </c>
      <c r="C653" s="0" t="str">
        <f aca="false">IF(I653="","",IF(AND(J653&gt;=1,J653&lt;=K653+3),"10."&amp;INDEX(Eingabe!$D$9:$D$18,I653)&amp;"."&amp;IF(J653&lt;=K653,J653,IF(J653=K653+1,200,IF(J653=K653+2,201,250)))&amp;".0/24",""))</f>
        <v/>
      </c>
      <c r="D653" s="0" t="str">
        <f aca="false">IF(I653="","",IF(AND(J653&gt;=1,J653&lt;=K653+3),"255.255.255.0",""))</f>
        <v/>
      </c>
      <c r="E653" s="0" t="str">
        <f aca="false">IF(I653="","",IF(AND(J653&gt;=1,J653&lt;=K653+3),"10."&amp;INDEX(Eingabe!$D$9:$D$18,I653)&amp;"."&amp;IF(J653&lt;=K653,J653,IF(J653=K653+1,200,IF(J653=K653+2,201,250)))&amp;".1",""))</f>
        <v/>
      </c>
      <c r="F653" s="0" t="str">
        <f aca="false">IF(I653="","",IF(AND(J653&gt;=1,J653&lt;=K653+3),"10."&amp;INDEX(Eingabe!$D$9:$D$18,I653)&amp;"."&amp;IF(J653&lt;=K653,J653,IF(J653=K653+1,200,IF(J653=K653+2,201,250)))&amp;".10 – 10."&amp;INDEX(Eingabe!$D$9:$D$18,I653)&amp;"."&amp;IF(J653&lt;=K653,J653,IF(J653=K653+1,200,IF(J653=K653+2,201,250)))&amp;".250",""))</f>
        <v/>
      </c>
      <c r="G653" s="0" t="str">
        <f aca="false">IF(I653="","",IF(AND(J653&gt;=1,J653&lt;=K653),Eingabe!$B$6&amp;"-"&amp;INDEX(Eingabe!$C$9:$C$18,I653)&amp;"-Pächter  ·  Passwort Parzelle "&amp;J653,IF(J653=K653+1,Eingabe!$B$6&amp;"-"&amp;INDEX(Eingabe!$C$9:$C$18,I653)&amp;"-Vorstand  ·  eigenes WLAN",IF(J653=K653+2,Eingabe!$B$6&amp;"-"&amp;INDEX(Eingabe!$C$9:$C$18,I653)&amp;"-Gäste  ·  Voucher",IF(J653=K653+3,"Kabel  ·  Access Point y = .(50+y), Mast-Switch x = .(10+x)","")))))</f>
        <v/>
      </c>
      <c r="I653" s="0" t="str">
        <f aca="false">IF(648&lt;=(Eingabe!$P$18+Eingabe!$Q$18-1),MATCH(648,Eingabe!$P$9:$P$18,1),"")</f>
        <v/>
      </c>
      <c r="J653" s="0" t="str">
        <f aca="false">IF(I653="","",648-INDEX(Eingabe!$P$9:$P$18,I653))</f>
        <v/>
      </c>
      <c r="K653" s="0" t="str">
        <f aca="false">IF(I653="","",INDEX(Eingabe!$E$9:$E$18,I653))</f>
        <v/>
      </c>
    </row>
    <row r="654" customFormat="false" ht="15" hidden="false" customHeight="false" outlineLevel="0" collapsed="false">
      <c r="A654" s="0" t="str">
        <f aca="false">IF(I654="","",IF(J654=0,"Sparte "&amp;I654&amp;": "&amp;INDEX(Eingabe!$B$9:$B$18,I654)&amp;"  (Sparten-ID "&amp;INDEX(Eingabe!$D$9:$D$18,I654)&amp;", "&amp;K654&amp;" Parzellen)",IF(J654&lt;=K654,"   Parzelle "&amp;J654,IF(J654=K654+1,"   Vorstand",IF(J654=K654+2,"   Gäste",IF(J654=K654+3,"   Technik (Switches, Access Points)",""))))))</f>
        <v/>
      </c>
      <c r="B654" s="0" t="str">
        <f aca="false">IF(I654="","",IF(AND(J654&gt;=1,J654&lt;=K654+3),IF(J654&lt;=K654,IF(J654&lt;=99,IF((INDEX(Eingabe!$G$9:$G$18,I654))&lt;=9,1000+(INDEX(Eingabe!$G$9:$G$18,I654))*100,3000)+J654,IF((INDEX(Eingabe!$G$9:$G$18,I654)+1)&lt;=9,1000+(INDEX(Eingabe!$G$9:$G$18,I654)+1)*100,3000)+J654-100),IF(J654=K654+1,2000+INDEX(Eingabe!$G$9:$G$18,I654)*10+1,IF(J654=K654+2,2000+INDEX(Eingabe!$G$9:$G$18,I654)*10+2,2000+INDEX(Eingabe!$G$9:$G$18,I654)*10+9))),""))</f>
        <v/>
      </c>
      <c r="C654" s="0" t="str">
        <f aca="false">IF(I654="","",IF(AND(J654&gt;=1,J654&lt;=K654+3),"10."&amp;INDEX(Eingabe!$D$9:$D$18,I654)&amp;"."&amp;IF(J654&lt;=K654,J654,IF(J654=K654+1,200,IF(J654=K654+2,201,250)))&amp;".0/24",""))</f>
        <v/>
      </c>
      <c r="D654" s="0" t="str">
        <f aca="false">IF(I654="","",IF(AND(J654&gt;=1,J654&lt;=K654+3),"255.255.255.0",""))</f>
        <v/>
      </c>
      <c r="E654" s="0" t="str">
        <f aca="false">IF(I654="","",IF(AND(J654&gt;=1,J654&lt;=K654+3),"10."&amp;INDEX(Eingabe!$D$9:$D$18,I654)&amp;"."&amp;IF(J654&lt;=K654,J654,IF(J654=K654+1,200,IF(J654=K654+2,201,250)))&amp;".1",""))</f>
        <v/>
      </c>
      <c r="F654" s="0" t="str">
        <f aca="false">IF(I654="","",IF(AND(J654&gt;=1,J654&lt;=K654+3),"10."&amp;INDEX(Eingabe!$D$9:$D$18,I654)&amp;"."&amp;IF(J654&lt;=K654,J654,IF(J654=K654+1,200,IF(J654=K654+2,201,250)))&amp;".10 – 10."&amp;INDEX(Eingabe!$D$9:$D$18,I654)&amp;"."&amp;IF(J654&lt;=K654,J654,IF(J654=K654+1,200,IF(J654=K654+2,201,250)))&amp;".250",""))</f>
        <v/>
      </c>
      <c r="G654" s="0" t="str">
        <f aca="false">IF(I654="","",IF(AND(J654&gt;=1,J654&lt;=K654),Eingabe!$B$6&amp;"-"&amp;INDEX(Eingabe!$C$9:$C$18,I654)&amp;"-Pächter  ·  Passwort Parzelle "&amp;J654,IF(J654=K654+1,Eingabe!$B$6&amp;"-"&amp;INDEX(Eingabe!$C$9:$C$18,I654)&amp;"-Vorstand  ·  eigenes WLAN",IF(J654=K654+2,Eingabe!$B$6&amp;"-"&amp;INDEX(Eingabe!$C$9:$C$18,I654)&amp;"-Gäste  ·  Voucher",IF(J654=K654+3,"Kabel  ·  Access Point y = .(50+y), Mast-Switch x = .(10+x)","")))))</f>
        <v/>
      </c>
      <c r="I654" s="0" t="str">
        <f aca="false">IF(649&lt;=(Eingabe!$P$18+Eingabe!$Q$18-1),MATCH(649,Eingabe!$P$9:$P$18,1),"")</f>
        <v/>
      </c>
      <c r="J654" s="0" t="str">
        <f aca="false">IF(I654="","",649-INDEX(Eingabe!$P$9:$P$18,I654))</f>
        <v/>
      </c>
      <c r="K654" s="0" t="str">
        <f aca="false">IF(I654="","",INDEX(Eingabe!$E$9:$E$18,I654))</f>
        <v/>
      </c>
    </row>
    <row r="655" customFormat="false" ht="15" hidden="false" customHeight="false" outlineLevel="0" collapsed="false">
      <c r="A655" s="0" t="str">
        <f aca="false">IF(I655="","",IF(J655=0,"Sparte "&amp;I655&amp;": "&amp;INDEX(Eingabe!$B$9:$B$18,I655)&amp;"  (Sparten-ID "&amp;INDEX(Eingabe!$D$9:$D$18,I655)&amp;", "&amp;K655&amp;" Parzellen)",IF(J655&lt;=K655,"   Parzelle "&amp;J655,IF(J655=K655+1,"   Vorstand",IF(J655=K655+2,"   Gäste",IF(J655=K655+3,"   Technik (Switches, Access Points)",""))))))</f>
        <v/>
      </c>
      <c r="B655" s="0" t="str">
        <f aca="false">IF(I655="","",IF(AND(J655&gt;=1,J655&lt;=K655+3),IF(J655&lt;=K655,IF(J655&lt;=99,IF((INDEX(Eingabe!$G$9:$G$18,I655))&lt;=9,1000+(INDEX(Eingabe!$G$9:$G$18,I655))*100,3000)+J655,IF((INDEX(Eingabe!$G$9:$G$18,I655)+1)&lt;=9,1000+(INDEX(Eingabe!$G$9:$G$18,I655)+1)*100,3000)+J655-100),IF(J655=K655+1,2000+INDEX(Eingabe!$G$9:$G$18,I655)*10+1,IF(J655=K655+2,2000+INDEX(Eingabe!$G$9:$G$18,I655)*10+2,2000+INDEX(Eingabe!$G$9:$G$18,I655)*10+9))),""))</f>
        <v/>
      </c>
      <c r="C655" s="0" t="str">
        <f aca="false">IF(I655="","",IF(AND(J655&gt;=1,J655&lt;=K655+3),"10."&amp;INDEX(Eingabe!$D$9:$D$18,I655)&amp;"."&amp;IF(J655&lt;=K655,J655,IF(J655=K655+1,200,IF(J655=K655+2,201,250)))&amp;".0/24",""))</f>
        <v/>
      </c>
      <c r="D655" s="0" t="str">
        <f aca="false">IF(I655="","",IF(AND(J655&gt;=1,J655&lt;=K655+3),"255.255.255.0",""))</f>
        <v/>
      </c>
      <c r="E655" s="0" t="str">
        <f aca="false">IF(I655="","",IF(AND(J655&gt;=1,J655&lt;=K655+3),"10."&amp;INDEX(Eingabe!$D$9:$D$18,I655)&amp;"."&amp;IF(J655&lt;=K655,J655,IF(J655=K655+1,200,IF(J655=K655+2,201,250)))&amp;".1",""))</f>
        <v/>
      </c>
      <c r="F655" s="0" t="str">
        <f aca="false">IF(I655="","",IF(AND(J655&gt;=1,J655&lt;=K655+3),"10."&amp;INDEX(Eingabe!$D$9:$D$18,I655)&amp;"."&amp;IF(J655&lt;=K655,J655,IF(J655=K655+1,200,IF(J655=K655+2,201,250)))&amp;".10 – 10."&amp;INDEX(Eingabe!$D$9:$D$18,I655)&amp;"."&amp;IF(J655&lt;=K655,J655,IF(J655=K655+1,200,IF(J655=K655+2,201,250)))&amp;".250",""))</f>
        <v/>
      </c>
      <c r="G655" s="0" t="str">
        <f aca="false">IF(I655="","",IF(AND(J655&gt;=1,J655&lt;=K655),Eingabe!$B$6&amp;"-"&amp;INDEX(Eingabe!$C$9:$C$18,I655)&amp;"-Pächter  ·  Passwort Parzelle "&amp;J655,IF(J655=K655+1,Eingabe!$B$6&amp;"-"&amp;INDEX(Eingabe!$C$9:$C$18,I655)&amp;"-Vorstand  ·  eigenes WLAN",IF(J655=K655+2,Eingabe!$B$6&amp;"-"&amp;INDEX(Eingabe!$C$9:$C$18,I655)&amp;"-Gäste  ·  Voucher",IF(J655=K655+3,"Kabel  ·  Access Point y = .(50+y), Mast-Switch x = .(10+x)","")))))</f>
        <v/>
      </c>
      <c r="I655" s="0" t="str">
        <f aca="false">IF(650&lt;=(Eingabe!$P$18+Eingabe!$Q$18-1),MATCH(650,Eingabe!$P$9:$P$18,1),"")</f>
        <v/>
      </c>
      <c r="J655" s="0" t="str">
        <f aca="false">IF(I655="","",650-INDEX(Eingabe!$P$9:$P$18,I655))</f>
        <v/>
      </c>
      <c r="K655" s="0" t="str">
        <f aca="false">IF(I655="","",INDEX(Eingabe!$E$9:$E$18,I655))</f>
        <v/>
      </c>
    </row>
    <row r="656" customFormat="false" ht="15" hidden="false" customHeight="false" outlineLevel="0" collapsed="false">
      <c r="A656" s="0" t="str">
        <f aca="false">IF(I656="","",IF(J656=0,"Sparte "&amp;I656&amp;": "&amp;INDEX(Eingabe!$B$9:$B$18,I656)&amp;"  (Sparten-ID "&amp;INDEX(Eingabe!$D$9:$D$18,I656)&amp;", "&amp;K656&amp;" Parzellen)",IF(J656&lt;=K656,"   Parzelle "&amp;J656,IF(J656=K656+1,"   Vorstand",IF(J656=K656+2,"   Gäste",IF(J656=K656+3,"   Technik (Switches, Access Points)",""))))))</f>
        <v/>
      </c>
      <c r="B656" s="0" t="str">
        <f aca="false">IF(I656="","",IF(AND(J656&gt;=1,J656&lt;=K656+3),IF(J656&lt;=K656,IF(J656&lt;=99,IF((INDEX(Eingabe!$G$9:$G$18,I656))&lt;=9,1000+(INDEX(Eingabe!$G$9:$G$18,I656))*100,3000)+J656,IF((INDEX(Eingabe!$G$9:$G$18,I656)+1)&lt;=9,1000+(INDEX(Eingabe!$G$9:$G$18,I656)+1)*100,3000)+J656-100),IF(J656=K656+1,2000+INDEX(Eingabe!$G$9:$G$18,I656)*10+1,IF(J656=K656+2,2000+INDEX(Eingabe!$G$9:$G$18,I656)*10+2,2000+INDEX(Eingabe!$G$9:$G$18,I656)*10+9))),""))</f>
        <v/>
      </c>
      <c r="C656" s="0" t="str">
        <f aca="false">IF(I656="","",IF(AND(J656&gt;=1,J656&lt;=K656+3),"10."&amp;INDEX(Eingabe!$D$9:$D$18,I656)&amp;"."&amp;IF(J656&lt;=K656,J656,IF(J656=K656+1,200,IF(J656=K656+2,201,250)))&amp;".0/24",""))</f>
        <v/>
      </c>
      <c r="D656" s="0" t="str">
        <f aca="false">IF(I656="","",IF(AND(J656&gt;=1,J656&lt;=K656+3),"255.255.255.0",""))</f>
        <v/>
      </c>
      <c r="E656" s="0" t="str">
        <f aca="false">IF(I656="","",IF(AND(J656&gt;=1,J656&lt;=K656+3),"10."&amp;INDEX(Eingabe!$D$9:$D$18,I656)&amp;"."&amp;IF(J656&lt;=K656,J656,IF(J656=K656+1,200,IF(J656=K656+2,201,250)))&amp;".1",""))</f>
        <v/>
      </c>
      <c r="F656" s="0" t="str">
        <f aca="false">IF(I656="","",IF(AND(J656&gt;=1,J656&lt;=K656+3),"10."&amp;INDEX(Eingabe!$D$9:$D$18,I656)&amp;"."&amp;IF(J656&lt;=K656,J656,IF(J656=K656+1,200,IF(J656=K656+2,201,250)))&amp;".10 – 10."&amp;INDEX(Eingabe!$D$9:$D$18,I656)&amp;"."&amp;IF(J656&lt;=K656,J656,IF(J656=K656+1,200,IF(J656=K656+2,201,250)))&amp;".250",""))</f>
        <v/>
      </c>
      <c r="G656" s="0" t="str">
        <f aca="false">IF(I656="","",IF(AND(J656&gt;=1,J656&lt;=K656),Eingabe!$B$6&amp;"-"&amp;INDEX(Eingabe!$C$9:$C$18,I656)&amp;"-Pächter  ·  Passwort Parzelle "&amp;J656,IF(J656=K656+1,Eingabe!$B$6&amp;"-"&amp;INDEX(Eingabe!$C$9:$C$18,I656)&amp;"-Vorstand  ·  eigenes WLAN",IF(J656=K656+2,Eingabe!$B$6&amp;"-"&amp;INDEX(Eingabe!$C$9:$C$18,I656)&amp;"-Gäste  ·  Voucher",IF(J656=K656+3,"Kabel  ·  Access Point y = .(50+y), Mast-Switch x = .(10+x)","")))))</f>
        <v/>
      </c>
      <c r="I656" s="0" t="str">
        <f aca="false">IF(651&lt;=(Eingabe!$P$18+Eingabe!$Q$18-1),MATCH(651,Eingabe!$P$9:$P$18,1),"")</f>
        <v/>
      </c>
      <c r="J656" s="0" t="str">
        <f aca="false">IF(I656="","",651-INDEX(Eingabe!$P$9:$P$18,I656))</f>
        <v/>
      </c>
      <c r="K656" s="0" t="str">
        <f aca="false">IF(I656="","",INDEX(Eingabe!$E$9:$E$18,I656))</f>
        <v/>
      </c>
    </row>
    <row r="657" customFormat="false" ht="15" hidden="false" customHeight="false" outlineLevel="0" collapsed="false">
      <c r="A657" s="0" t="str">
        <f aca="false">IF(I657="","",IF(J657=0,"Sparte "&amp;I657&amp;": "&amp;INDEX(Eingabe!$B$9:$B$18,I657)&amp;"  (Sparten-ID "&amp;INDEX(Eingabe!$D$9:$D$18,I657)&amp;", "&amp;K657&amp;" Parzellen)",IF(J657&lt;=K657,"   Parzelle "&amp;J657,IF(J657=K657+1,"   Vorstand",IF(J657=K657+2,"   Gäste",IF(J657=K657+3,"   Technik (Switches, Access Points)",""))))))</f>
        <v/>
      </c>
      <c r="B657" s="0" t="str">
        <f aca="false">IF(I657="","",IF(AND(J657&gt;=1,J657&lt;=K657+3),IF(J657&lt;=K657,IF(J657&lt;=99,IF((INDEX(Eingabe!$G$9:$G$18,I657))&lt;=9,1000+(INDEX(Eingabe!$G$9:$G$18,I657))*100,3000)+J657,IF((INDEX(Eingabe!$G$9:$G$18,I657)+1)&lt;=9,1000+(INDEX(Eingabe!$G$9:$G$18,I657)+1)*100,3000)+J657-100),IF(J657=K657+1,2000+INDEX(Eingabe!$G$9:$G$18,I657)*10+1,IF(J657=K657+2,2000+INDEX(Eingabe!$G$9:$G$18,I657)*10+2,2000+INDEX(Eingabe!$G$9:$G$18,I657)*10+9))),""))</f>
        <v/>
      </c>
      <c r="C657" s="0" t="str">
        <f aca="false">IF(I657="","",IF(AND(J657&gt;=1,J657&lt;=K657+3),"10."&amp;INDEX(Eingabe!$D$9:$D$18,I657)&amp;"."&amp;IF(J657&lt;=K657,J657,IF(J657=K657+1,200,IF(J657=K657+2,201,250)))&amp;".0/24",""))</f>
        <v/>
      </c>
      <c r="D657" s="0" t="str">
        <f aca="false">IF(I657="","",IF(AND(J657&gt;=1,J657&lt;=K657+3),"255.255.255.0",""))</f>
        <v/>
      </c>
      <c r="E657" s="0" t="str">
        <f aca="false">IF(I657="","",IF(AND(J657&gt;=1,J657&lt;=K657+3),"10."&amp;INDEX(Eingabe!$D$9:$D$18,I657)&amp;"."&amp;IF(J657&lt;=K657,J657,IF(J657=K657+1,200,IF(J657=K657+2,201,250)))&amp;".1",""))</f>
        <v/>
      </c>
      <c r="F657" s="0" t="str">
        <f aca="false">IF(I657="","",IF(AND(J657&gt;=1,J657&lt;=K657+3),"10."&amp;INDEX(Eingabe!$D$9:$D$18,I657)&amp;"."&amp;IF(J657&lt;=K657,J657,IF(J657=K657+1,200,IF(J657=K657+2,201,250)))&amp;".10 – 10."&amp;INDEX(Eingabe!$D$9:$D$18,I657)&amp;"."&amp;IF(J657&lt;=K657,J657,IF(J657=K657+1,200,IF(J657=K657+2,201,250)))&amp;".250",""))</f>
        <v/>
      </c>
      <c r="G657" s="0" t="str">
        <f aca="false">IF(I657="","",IF(AND(J657&gt;=1,J657&lt;=K657),Eingabe!$B$6&amp;"-"&amp;INDEX(Eingabe!$C$9:$C$18,I657)&amp;"-Pächter  ·  Passwort Parzelle "&amp;J657,IF(J657=K657+1,Eingabe!$B$6&amp;"-"&amp;INDEX(Eingabe!$C$9:$C$18,I657)&amp;"-Vorstand  ·  eigenes WLAN",IF(J657=K657+2,Eingabe!$B$6&amp;"-"&amp;INDEX(Eingabe!$C$9:$C$18,I657)&amp;"-Gäste  ·  Voucher",IF(J657=K657+3,"Kabel  ·  Access Point y = .(50+y), Mast-Switch x = .(10+x)","")))))</f>
        <v/>
      </c>
      <c r="I657" s="0" t="str">
        <f aca="false">IF(652&lt;=(Eingabe!$P$18+Eingabe!$Q$18-1),MATCH(652,Eingabe!$P$9:$P$18,1),"")</f>
        <v/>
      </c>
      <c r="J657" s="0" t="str">
        <f aca="false">IF(I657="","",652-INDEX(Eingabe!$P$9:$P$18,I657))</f>
        <v/>
      </c>
      <c r="K657" s="0" t="str">
        <f aca="false">IF(I657="","",INDEX(Eingabe!$E$9:$E$18,I657))</f>
        <v/>
      </c>
    </row>
    <row r="658" customFormat="false" ht="15" hidden="false" customHeight="false" outlineLevel="0" collapsed="false">
      <c r="A658" s="0" t="str">
        <f aca="false">IF(I658="","",IF(J658=0,"Sparte "&amp;I658&amp;": "&amp;INDEX(Eingabe!$B$9:$B$18,I658)&amp;"  (Sparten-ID "&amp;INDEX(Eingabe!$D$9:$D$18,I658)&amp;", "&amp;K658&amp;" Parzellen)",IF(J658&lt;=K658,"   Parzelle "&amp;J658,IF(J658=K658+1,"   Vorstand",IF(J658=K658+2,"   Gäste",IF(J658=K658+3,"   Technik (Switches, Access Points)",""))))))</f>
        <v/>
      </c>
      <c r="B658" s="0" t="str">
        <f aca="false">IF(I658="","",IF(AND(J658&gt;=1,J658&lt;=K658+3),IF(J658&lt;=K658,IF(J658&lt;=99,IF((INDEX(Eingabe!$G$9:$G$18,I658))&lt;=9,1000+(INDEX(Eingabe!$G$9:$G$18,I658))*100,3000)+J658,IF((INDEX(Eingabe!$G$9:$G$18,I658)+1)&lt;=9,1000+(INDEX(Eingabe!$G$9:$G$18,I658)+1)*100,3000)+J658-100),IF(J658=K658+1,2000+INDEX(Eingabe!$G$9:$G$18,I658)*10+1,IF(J658=K658+2,2000+INDEX(Eingabe!$G$9:$G$18,I658)*10+2,2000+INDEX(Eingabe!$G$9:$G$18,I658)*10+9))),""))</f>
        <v/>
      </c>
      <c r="C658" s="0" t="str">
        <f aca="false">IF(I658="","",IF(AND(J658&gt;=1,J658&lt;=K658+3),"10."&amp;INDEX(Eingabe!$D$9:$D$18,I658)&amp;"."&amp;IF(J658&lt;=K658,J658,IF(J658=K658+1,200,IF(J658=K658+2,201,250)))&amp;".0/24",""))</f>
        <v/>
      </c>
      <c r="D658" s="0" t="str">
        <f aca="false">IF(I658="","",IF(AND(J658&gt;=1,J658&lt;=K658+3),"255.255.255.0",""))</f>
        <v/>
      </c>
      <c r="E658" s="0" t="str">
        <f aca="false">IF(I658="","",IF(AND(J658&gt;=1,J658&lt;=K658+3),"10."&amp;INDEX(Eingabe!$D$9:$D$18,I658)&amp;"."&amp;IF(J658&lt;=K658,J658,IF(J658=K658+1,200,IF(J658=K658+2,201,250)))&amp;".1",""))</f>
        <v/>
      </c>
      <c r="F658" s="0" t="str">
        <f aca="false">IF(I658="","",IF(AND(J658&gt;=1,J658&lt;=K658+3),"10."&amp;INDEX(Eingabe!$D$9:$D$18,I658)&amp;"."&amp;IF(J658&lt;=K658,J658,IF(J658=K658+1,200,IF(J658=K658+2,201,250)))&amp;".10 – 10."&amp;INDEX(Eingabe!$D$9:$D$18,I658)&amp;"."&amp;IF(J658&lt;=K658,J658,IF(J658=K658+1,200,IF(J658=K658+2,201,250)))&amp;".250",""))</f>
        <v/>
      </c>
      <c r="G658" s="0" t="str">
        <f aca="false">IF(I658="","",IF(AND(J658&gt;=1,J658&lt;=K658),Eingabe!$B$6&amp;"-"&amp;INDEX(Eingabe!$C$9:$C$18,I658)&amp;"-Pächter  ·  Passwort Parzelle "&amp;J658,IF(J658=K658+1,Eingabe!$B$6&amp;"-"&amp;INDEX(Eingabe!$C$9:$C$18,I658)&amp;"-Vorstand  ·  eigenes WLAN",IF(J658=K658+2,Eingabe!$B$6&amp;"-"&amp;INDEX(Eingabe!$C$9:$C$18,I658)&amp;"-Gäste  ·  Voucher",IF(J658=K658+3,"Kabel  ·  Access Point y = .(50+y), Mast-Switch x = .(10+x)","")))))</f>
        <v/>
      </c>
      <c r="I658" s="0" t="str">
        <f aca="false">IF(653&lt;=(Eingabe!$P$18+Eingabe!$Q$18-1),MATCH(653,Eingabe!$P$9:$P$18,1),"")</f>
        <v/>
      </c>
      <c r="J658" s="0" t="str">
        <f aca="false">IF(I658="","",653-INDEX(Eingabe!$P$9:$P$18,I658))</f>
        <v/>
      </c>
      <c r="K658" s="0" t="str">
        <f aca="false">IF(I658="","",INDEX(Eingabe!$E$9:$E$18,I658))</f>
        <v/>
      </c>
    </row>
    <row r="659" customFormat="false" ht="15" hidden="false" customHeight="false" outlineLevel="0" collapsed="false">
      <c r="A659" s="0" t="str">
        <f aca="false">IF(I659="","",IF(J659=0,"Sparte "&amp;I659&amp;": "&amp;INDEX(Eingabe!$B$9:$B$18,I659)&amp;"  (Sparten-ID "&amp;INDEX(Eingabe!$D$9:$D$18,I659)&amp;", "&amp;K659&amp;" Parzellen)",IF(J659&lt;=K659,"   Parzelle "&amp;J659,IF(J659=K659+1,"   Vorstand",IF(J659=K659+2,"   Gäste",IF(J659=K659+3,"   Technik (Switches, Access Points)",""))))))</f>
        <v/>
      </c>
      <c r="B659" s="0" t="str">
        <f aca="false">IF(I659="","",IF(AND(J659&gt;=1,J659&lt;=K659+3),IF(J659&lt;=K659,IF(J659&lt;=99,IF((INDEX(Eingabe!$G$9:$G$18,I659))&lt;=9,1000+(INDEX(Eingabe!$G$9:$G$18,I659))*100,3000)+J659,IF((INDEX(Eingabe!$G$9:$G$18,I659)+1)&lt;=9,1000+(INDEX(Eingabe!$G$9:$G$18,I659)+1)*100,3000)+J659-100),IF(J659=K659+1,2000+INDEX(Eingabe!$G$9:$G$18,I659)*10+1,IF(J659=K659+2,2000+INDEX(Eingabe!$G$9:$G$18,I659)*10+2,2000+INDEX(Eingabe!$G$9:$G$18,I659)*10+9))),""))</f>
        <v/>
      </c>
      <c r="C659" s="0" t="str">
        <f aca="false">IF(I659="","",IF(AND(J659&gt;=1,J659&lt;=K659+3),"10."&amp;INDEX(Eingabe!$D$9:$D$18,I659)&amp;"."&amp;IF(J659&lt;=K659,J659,IF(J659=K659+1,200,IF(J659=K659+2,201,250)))&amp;".0/24",""))</f>
        <v/>
      </c>
      <c r="D659" s="0" t="str">
        <f aca="false">IF(I659="","",IF(AND(J659&gt;=1,J659&lt;=K659+3),"255.255.255.0",""))</f>
        <v/>
      </c>
      <c r="E659" s="0" t="str">
        <f aca="false">IF(I659="","",IF(AND(J659&gt;=1,J659&lt;=K659+3),"10."&amp;INDEX(Eingabe!$D$9:$D$18,I659)&amp;"."&amp;IF(J659&lt;=K659,J659,IF(J659=K659+1,200,IF(J659=K659+2,201,250)))&amp;".1",""))</f>
        <v/>
      </c>
      <c r="F659" s="0" t="str">
        <f aca="false">IF(I659="","",IF(AND(J659&gt;=1,J659&lt;=K659+3),"10."&amp;INDEX(Eingabe!$D$9:$D$18,I659)&amp;"."&amp;IF(J659&lt;=K659,J659,IF(J659=K659+1,200,IF(J659=K659+2,201,250)))&amp;".10 – 10."&amp;INDEX(Eingabe!$D$9:$D$18,I659)&amp;"."&amp;IF(J659&lt;=K659,J659,IF(J659=K659+1,200,IF(J659=K659+2,201,250)))&amp;".250",""))</f>
        <v/>
      </c>
      <c r="G659" s="0" t="str">
        <f aca="false">IF(I659="","",IF(AND(J659&gt;=1,J659&lt;=K659),Eingabe!$B$6&amp;"-"&amp;INDEX(Eingabe!$C$9:$C$18,I659)&amp;"-Pächter  ·  Passwort Parzelle "&amp;J659,IF(J659=K659+1,Eingabe!$B$6&amp;"-"&amp;INDEX(Eingabe!$C$9:$C$18,I659)&amp;"-Vorstand  ·  eigenes WLAN",IF(J659=K659+2,Eingabe!$B$6&amp;"-"&amp;INDEX(Eingabe!$C$9:$C$18,I659)&amp;"-Gäste  ·  Voucher",IF(J659=K659+3,"Kabel  ·  Access Point y = .(50+y), Mast-Switch x = .(10+x)","")))))</f>
        <v/>
      </c>
      <c r="I659" s="0" t="str">
        <f aca="false">IF(654&lt;=(Eingabe!$P$18+Eingabe!$Q$18-1),MATCH(654,Eingabe!$P$9:$P$18,1),"")</f>
        <v/>
      </c>
      <c r="J659" s="0" t="str">
        <f aca="false">IF(I659="","",654-INDEX(Eingabe!$P$9:$P$18,I659))</f>
        <v/>
      </c>
      <c r="K659" s="0" t="str">
        <f aca="false">IF(I659="","",INDEX(Eingabe!$E$9:$E$18,I659))</f>
        <v/>
      </c>
    </row>
    <row r="660" customFormat="false" ht="15" hidden="false" customHeight="false" outlineLevel="0" collapsed="false">
      <c r="A660" s="0" t="str">
        <f aca="false">IF(I660="","",IF(J660=0,"Sparte "&amp;I660&amp;": "&amp;INDEX(Eingabe!$B$9:$B$18,I660)&amp;"  (Sparten-ID "&amp;INDEX(Eingabe!$D$9:$D$18,I660)&amp;", "&amp;K660&amp;" Parzellen)",IF(J660&lt;=K660,"   Parzelle "&amp;J660,IF(J660=K660+1,"   Vorstand",IF(J660=K660+2,"   Gäste",IF(J660=K660+3,"   Technik (Switches, Access Points)",""))))))</f>
        <v/>
      </c>
      <c r="B660" s="0" t="str">
        <f aca="false">IF(I660="","",IF(AND(J660&gt;=1,J660&lt;=K660+3),IF(J660&lt;=K660,IF(J660&lt;=99,IF((INDEX(Eingabe!$G$9:$G$18,I660))&lt;=9,1000+(INDEX(Eingabe!$G$9:$G$18,I660))*100,3000)+J660,IF((INDEX(Eingabe!$G$9:$G$18,I660)+1)&lt;=9,1000+(INDEX(Eingabe!$G$9:$G$18,I660)+1)*100,3000)+J660-100),IF(J660=K660+1,2000+INDEX(Eingabe!$G$9:$G$18,I660)*10+1,IF(J660=K660+2,2000+INDEX(Eingabe!$G$9:$G$18,I660)*10+2,2000+INDEX(Eingabe!$G$9:$G$18,I660)*10+9))),""))</f>
        <v/>
      </c>
      <c r="C660" s="0" t="str">
        <f aca="false">IF(I660="","",IF(AND(J660&gt;=1,J660&lt;=K660+3),"10."&amp;INDEX(Eingabe!$D$9:$D$18,I660)&amp;"."&amp;IF(J660&lt;=K660,J660,IF(J660=K660+1,200,IF(J660=K660+2,201,250)))&amp;".0/24",""))</f>
        <v/>
      </c>
      <c r="D660" s="0" t="str">
        <f aca="false">IF(I660="","",IF(AND(J660&gt;=1,J660&lt;=K660+3),"255.255.255.0",""))</f>
        <v/>
      </c>
      <c r="E660" s="0" t="str">
        <f aca="false">IF(I660="","",IF(AND(J660&gt;=1,J660&lt;=K660+3),"10."&amp;INDEX(Eingabe!$D$9:$D$18,I660)&amp;"."&amp;IF(J660&lt;=K660,J660,IF(J660=K660+1,200,IF(J660=K660+2,201,250)))&amp;".1",""))</f>
        <v/>
      </c>
      <c r="F660" s="0" t="str">
        <f aca="false">IF(I660="","",IF(AND(J660&gt;=1,J660&lt;=K660+3),"10."&amp;INDEX(Eingabe!$D$9:$D$18,I660)&amp;"."&amp;IF(J660&lt;=K660,J660,IF(J660=K660+1,200,IF(J660=K660+2,201,250)))&amp;".10 – 10."&amp;INDEX(Eingabe!$D$9:$D$18,I660)&amp;"."&amp;IF(J660&lt;=K660,J660,IF(J660=K660+1,200,IF(J660=K660+2,201,250)))&amp;".250",""))</f>
        <v/>
      </c>
      <c r="G660" s="0" t="str">
        <f aca="false">IF(I660="","",IF(AND(J660&gt;=1,J660&lt;=K660),Eingabe!$B$6&amp;"-"&amp;INDEX(Eingabe!$C$9:$C$18,I660)&amp;"-Pächter  ·  Passwort Parzelle "&amp;J660,IF(J660=K660+1,Eingabe!$B$6&amp;"-"&amp;INDEX(Eingabe!$C$9:$C$18,I660)&amp;"-Vorstand  ·  eigenes WLAN",IF(J660=K660+2,Eingabe!$B$6&amp;"-"&amp;INDEX(Eingabe!$C$9:$C$18,I660)&amp;"-Gäste  ·  Voucher",IF(J660=K660+3,"Kabel  ·  Access Point y = .(50+y), Mast-Switch x = .(10+x)","")))))</f>
        <v/>
      </c>
      <c r="I660" s="0" t="str">
        <f aca="false">IF(655&lt;=(Eingabe!$P$18+Eingabe!$Q$18-1),MATCH(655,Eingabe!$P$9:$P$18,1),"")</f>
        <v/>
      </c>
      <c r="J660" s="0" t="str">
        <f aca="false">IF(I660="","",655-INDEX(Eingabe!$P$9:$P$18,I660))</f>
        <v/>
      </c>
      <c r="K660" s="0" t="str">
        <f aca="false">IF(I660="","",INDEX(Eingabe!$E$9:$E$18,I660))</f>
        <v/>
      </c>
    </row>
    <row r="661" customFormat="false" ht="15" hidden="false" customHeight="false" outlineLevel="0" collapsed="false">
      <c r="A661" s="0" t="str">
        <f aca="false">IF(I661="","",IF(J661=0,"Sparte "&amp;I661&amp;": "&amp;INDEX(Eingabe!$B$9:$B$18,I661)&amp;"  (Sparten-ID "&amp;INDEX(Eingabe!$D$9:$D$18,I661)&amp;", "&amp;K661&amp;" Parzellen)",IF(J661&lt;=K661,"   Parzelle "&amp;J661,IF(J661=K661+1,"   Vorstand",IF(J661=K661+2,"   Gäste",IF(J661=K661+3,"   Technik (Switches, Access Points)",""))))))</f>
        <v/>
      </c>
      <c r="B661" s="0" t="str">
        <f aca="false">IF(I661="","",IF(AND(J661&gt;=1,J661&lt;=K661+3),IF(J661&lt;=K661,IF(J661&lt;=99,IF((INDEX(Eingabe!$G$9:$G$18,I661))&lt;=9,1000+(INDEX(Eingabe!$G$9:$G$18,I661))*100,3000)+J661,IF((INDEX(Eingabe!$G$9:$G$18,I661)+1)&lt;=9,1000+(INDEX(Eingabe!$G$9:$G$18,I661)+1)*100,3000)+J661-100),IF(J661=K661+1,2000+INDEX(Eingabe!$G$9:$G$18,I661)*10+1,IF(J661=K661+2,2000+INDEX(Eingabe!$G$9:$G$18,I661)*10+2,2000+INDEX(Eingabe!$G$9:$G$18,I661)*10+9))),""))</f>
        <v/>
      </c>
      <c r="C661" s="0" t="str">
        <f aca="false">IF(I661="","",IF(AND(J661&gt;=1,J661&lt;=K661+3),"10."&amp;INDEX(Eingabe!$D$9:$D$18,I661)&amp;"."&amp;IF(J661&lt;=K661,J661,IF(J661=K661+1,200,IF(J661=K661+2,201,250)))&amp;".0/24",""))</f>
        <v/>
      </c>
      <c r="D661" s="0" t="str">
        <f aca="false">IF(I661="","",IF(AND(J661&gt;=1,J661&lt;=K661+3),"255.255.255.0",""))</f>
        <v/>
      </c>
      <c r="E661" s="0" t="str">
        <f aca="false">IF(I661="","",IF(AND(J661&gt;=1,J661&lt;=K661+3),"10."&amp;INDEX(Eingabe!$D$9:$D$18,I661)&amp;"."&amp;IF(J661&lt;=K661,J661,IF(J661=K661+1,200,IF(J661=K661+2,201,250)))&amp;".1",""))</f>
        <v/>
      </c>
      <c r="F661" s="0" t="str">
        <f aca="false">IF(I661="","",IF(AND(J661&gt;=1,J661&lt;=K661+3),"10."&amp;INDEX(Eingabe!$D$9:$D$18,I661)&amp;"."&amp;IF(J661&lt;=K661,J661,IF(J661=K661+1,200,IF(J661=K661+2,201,250)))&amp;".10 – 10."&amp;INDEX(Eingabe!$D$9:$D$18,I661)&amp;"."&amp;IF(J661&lt;=K661,J661,IF(J661=K661+1,200,IF(J661=K661+2,201,250)))&amp;".250",""))</f>
        <v/>
      </c>
      <c r="G661" s="0" t="str">
        <f aca="false">IF(I661="","",IF(AND(J661&gt;=1,J661&lt;=K661),Eingabe!$B$6&amp;"-"&amp;INDEX(Eingabe!$C$9:$C$18,I661)&amp;"-Pächter  ·  Passwort Parzelle "&amp;J661,IF(J661=K661+1,Eingabe!$B$6&amp;"-"&amp;INDEX(Eingabe!$C$9:$C$18,I661)&amp;"-Vorstand  ·  eigenes WLAN",IF(J661=K661+2,Eingabe!$B$6&amp;"-"&amp;INDEX(Eingabe!$C$9:$C$18,I661)&amp;"-Gäste  ·  Voucher",IF(J661=K661+3,"Kabel  ·  Access Point y = .(50+y), Mast-Switch x = .(10+x)","")))))</f>
        <v/>
      </c>
      <c r="I661" s="0" t="str">
        <f aca="false">IF(656&lt;=(Eingabe!$P$18+Eingabe!$Q$18-1),MATCH(656,Eingabe!$P$9:$P$18,1),"")</f>
        <v/>
      </c>
      <c r="J661" s="0" t="str">
        <f aca="false">IF(I661="","",656-INDEX(Eingabe!$P$9:$P$18,I661))</f>
        <v/>
      </c>
      <c r="K661" s="0" t="str">
        <f aca="false">IF(I661="","",INDEX(Eingabe!$E$9:$E$18,I661))</f>
        <v/>
      </c>
    </row>
    <row r="662" customFormat="false" ht="15" hidden="false" customHeight="false" outlineLevel="0" collapsed="false">
      <c r="A662" s="0" t="str">
        <f aca="false">IF(I662="","",IF(J662=0,"Sparte "&amp;I662&amp;": "&amp;INDEX(Eingabe!$B$9:$B$18,I662)&amp;"  (Sparten-ID "&amp;INDEX(Eingabe!$D$9:$D$18,I662)&amp;", "&amp;K662&amp;" Parzellen)",IF(J662&lt;=K662,"   Parzelle "&amp;J662,IF(J662=K662+1,"   Vorstand",IF(J662=K662+2,"   Gäste",IF(J662=K662+3,"   Technik (Switches, Access Points)",""))))))</f>
        <v/>
      </c>
      <c r="B662" s="0" t="str">
        <f aca="false">IF(I662="","",IF(AND(J662&gt;=1,J662&lt;=K662+3),IF(J662&lt;=K662,IF(J662&lt;=99,IF((INDEX(Eingabe!$G$9:$G$18,I662))&lt;=9,1000+(INDEX(Eingabe!$G$9:$G$18,I662))*100,3000)+J662,IF((INDEX(Eingabe!$G$9:$G$18,I662)+1)&lt;=9,1000+(INDEX(Eingabe!$G$9:$G$18,I662)+1)*100,3000)+J662-100),IF(J662=K662+1,2000+INDEX(Eingabe!$G$9:$G$18,I662)*10+1,IF(J662=K662+2,2000+INDEX(Eingabe!$G$9:$G$18,I662)*10+2,2000+INDEX(Eingabe!$G$9:$G$18,I662)*10+9))),""))</f>
        <v/>
      </c>
      <c r="C662" s="0" t="str">
        <f aca="false">IF(I662="","",IF(AND(J662&gt;=1,J662&lt;=K662+3),"10."&amp;INDEX(Eingabe!$D$9:$D$18,I662)&amp;"."&amp;IF(J662&lt;=K662,J662,IF(J662=K662+1,200,IF(J662=K662+2,201,250)))&amp;".0/24",""))</f>
        <v/>
      </c>
      <c r="D662" s="0" t="str">
        <f aca="false">IF(I662="","",IF(AND(J662&gt;=1,J662&lt;=K662+3),"255.255.255.0",""))</f>
        <v/>
      </c>
      <c r="E662" s="0" t="str">
        <f aca="false">IF(I662="","",IF(AND(J662&gt;=1,J662&lt;=K662+3),"10."&amp;INDEX(Eingabe!$D$9:$D$18,I662)&amp;"."&amp;IF(J662&lt;=K662,J662,IF(J662=K662+1,200,IF(J662=K662+2,201,250)))&amp;".1",""))</f>
        <v/>
      </c>
      <c r="F662" s="0" t="str">
        <f aca="false">IF(I662="","",IF(AND(J662&gt;=1,J662&lt;=K662+3),"10."&amp;INDEX(Eingabe!$D$9:$D$18,I662)&amp;"."&amp;IF(J662&lt;=K662,J662,IF(J662=K662+1,200,IF(J662=K662+2,201,250)))&amp;".10 – 10."&amp;INDEX(Eingabe!$D$9:$D$18,I662)&amp;"."&amp;IF(J662&lt;=K662,J662,IF(J662=K662+1,200,IF(J662=K662+2,201,250)))&amp;".250",""))</f>
        <v/>
      </c>
      <c r="G662" s="0" t="str">
        <f aca="false">IF(I662="","",IF(AND(J662&gt;=1,J662&lt;=K662),Eingabe!$B$6&amp;"-"&amp;INDEX(Eingabe!$C$9:$C$18,I662)&amp;"-Pächter  ·  Passwort Parzelle "&amp;J662,IF(J662=K662+1,Eingabe!$B$6&amp;"-"&amp;INDEX(Eingabe!$C$9:$C$18,I662)&amp;"-Vorstand  ·  eigenes WLAN",IF(J662=K662+2,Eingabe!$B$6&amp;"-"&amp;INDEX(Eingabe!$C$9:$C$18,I662)&amp;"-Gäste  ·  Voucher",IF(J662=K662+3,"Kabel  ·  Access Point y = .(50+y), Mast-Switch x = .(10+x)","")))))</f>
        <v/>
      </c>
      <c r="I662" s="0" t="str">
        <f aca="false">IF(657&lt;=(Eingabe!$P$18+Eingabe!$Q$18-1),MATCH(657,Eingabe!$P$9:$P$18,1),"")</f>
        <v/>
      </c>
      <c r="J662" s="0" t="str">
        <f aca="false">IF(I662="","",657-INDEX(Eingabe!$P$9:$P$18,I662))</f>
        <v/>
      </c>
      <c r="K662" s="0" t="str">
        <f aca="false">IF(I662="","",INDEX(Eingabe!$E$9:$E$18,I662))</f>
        <v/>
      </c>
    </row>
    <row r="663" customFormat="false" ht="15" hidden="false" customHeight="false" outlineLevel="0" collapsed="false">
      <c r="A663" s="0" t="str">
        <f aca="false">IF(I663="","",IF(J663=0,"Sparte "&amp;I663&amp;": "&amp;INDEX(Eingabe!$B$9:$B$18,I663)&amp;"  (Sparten-ID "&amp;INDEX(Eingabe!$D$9:$D$18,I663)&amp;", "&amp;K663&amp;" Parzellen)",IF(J663&lt;=K663,"   Parzelle "&amp;J663,IF(J663=K663+1,"   Vorstand",IF(J663=K663+2,"   Gäste",IF(J663=K663+3,"   Technik (Switches, Access Points)",""))))))</f>
        <v/>
      </c>
      <c r="B663" s="0" t="str">
        <f aca="false">IF(I663="","",IF(AND(J663&gt;=1,J663&lt;=K663+3),IF(J663&lt;=K663,IF(J663&lt;=99,IF((INDEX(Eingabe!$G$9:$G$18,I663))&lt;=9,1000+(INDEX(Eingabe!$G$9:$G$18,I663))*100,3000)+J663,IF((INDEX(Eingabe!$G$9:$G$18,I663)+1)&lt;=9,1000+(INDEX(Eingabe!$G$9:$G$18,I663)+1)*100,3000)+J663-100),IF(J663=K663+1,2000+INDEX(Eingabe!$G$9:$G$18,I663)*10+1,IF(J663=K663+2,2000+INDEX(Eingabe!$G$9:$G$18,I663)*10+2,2000+INDEX(Eingabe!$G$9:$G$18,I663)*10+9))),""))</f>
        <v/>
      </c>
      <c r="C663" s="0" t="str">
        <f aca="false">IF(I663="","",IF(AND(J663&gt;=1,J663&lt;=K663+3),"10."&amp;INDEX(Eingabe!$D$9:$D$18,I663)&amp;"."&amp;IF(J663&lt;=K663,J663,IF(J663=K663+1,200,IF(J663=K663+2,201,250)))&amp;".0/24",""))</f>
        <v/>
      </c>
      <c r="D663" s="0" t="str">
        <f aca="false">IF(I663="","",IF(AND(J663&gt;=1,J663&lt;=K663+3),"255.255.255.0",""))</f>
        <v/>
      </c>
      <c r="E663" s="0" t="str">
        <f aca="false">IF(I663="","",IF(AND(J663&gt;=1,J663&lt;=K663+3),"10."&amp;INDEX(Eingabe!$D$9:$D$18,I663)&amp;"."&amp;IF(J663&lt;=K663,J663,IF(J663=K663+1,200,IF(J663=K663+2,201,250)))&amp;".1",""))</f>
        <v/>
      </c>
      <c r="F663" s="0" t="str">
        <f aca="false">IF(I663="","",IF(AND(J663&gt;=1,J663&lt;=K663+3),"10."&amp;INDEX(Eingabe!$D$9:$D$18,I663)&amp;"."&amp;IF(J663&lt;=K663,J663,IF(J663=K663+1,200,IF(J663=K663+2,201,250)))&amp;".10 – 10."&amp;INDEX(Eingabe!$D$9:$D$18,I663)&amp;"."&amp;IF(J663&lt;=K663,J663,IF(J663=K663+1,200,IF(J663=K663+2,201,250)))&amp;".250",""))</f>
        <v/>
      </c>
      <c r="G663" s="0" t="str">
        <f aca="false">IF(I663="","",IF(AND(J663&gt;=1,J663&lt;=K663),Eingabe!$B$6&amp;"-"&amp;INDEX(Eingabe!$C$9:$C$18,I663)&amp;"-Pächter  ·  Passwort Parzelle "&amp;J663,IF(J663=K663+1,Eingabe!$B$6&amp;"-"&amp;INDEX(Eingabe!$C$9:$C$18,I663)&amp;"-Vorstand  ·  eigenes WLAN",IF(J663=K663+2,Eingabe!$B$6&amp;"-"&amp;INDEX(Eingabe!$C$9:$C$18,I663)&amp;"-Gäste  ·  Voucher",IF(J663=K663+3,"Kabel  ·  Access Point y = .(50+y), Mast-Switch x = .(10+x)","")))))</f>
        <v/>
      </c>
      <c r="I663" s="0" t="str">
        <f aca="false">IF(658&lt;=(Eingabe!$P$18+Eingabe!$Q$18-1),MATCH(658,Eingabe!$P$9:$P$18,1),"")</f>
        <v/>
      </c>
      <c r="J663" s="0" t="str">
        <f aca="false">IF(I663="","",658-INDEX(Eingabe!$P$9:$P$18,I663))</f>
        <v/>
      </c>
      <c r="K663" s="0" t="str">
        <f aca="false">IF(I663="","",INDEX(Eingabe!$E$9:$E$18,I663))</f>
        <v/>
      </c>
    </row>
    <row r="664" customFormat="false" ht="15" hidden="false" customHeight="false" outlineLevel="0" collapsed="false">
      <c r="A664" s="0" t="str">
        <f aca="false">IF(I664="","",IF(J664=0,"Sparte "&amp;I664&amp;": "&amp;INDEX(Eingabe!$B$9:$B$18,I664)&amp;"  (Sparten-ID "&amp;INDEX(Eingabe!$D$9:$D$18,I664)&amp;", "&amp;K664&amp;" Parzellen)",IF(J664&lt;=K664,"   Parzelle "&amp;J664,IF(J664=K664+1,"   Vorstand",IF(J664=K664+2,"   Gäste",IF(J664=K664+3,"   Technik (Switches, Access Points)",""))))))</f>
        <v/>
      </c>
      <c r="B664" s="0" t="str">
        <f aca="false">IF(I664="","",IF(AND(J664&gt;=1,J664&lt;=K664+3),IF(J664&lt;=K664,IF(J664&lt;=99,IF((INDEX(Eingabe!$G$9:$G$18,I664))&lt;=9,1000+(INDEX(Eingabe!$G$9:$G$18,I664))*100,3000)+J664,IF((INDEX(Eingabe!$G$9:$G$18,I664)+1)&lt;=9,1000+(INDEX(Eingabe!$G$9:$G$18,I664)+1)*100,3000)+J664-100),IF(J664=K664+1,2000+INDEX(Eingabe!$G$9:$G$18,I664)*10+1,IF(J664=K664+2,2000+INDEX(Eingabe!$G$9:$G$18,I664)*10+2,2000+INDEX(Eingabe!$G$9:$G$18,I664)*10+9))),""))</f>
        <v/>
      </c>
      <c r="C664" s="0" t="str">
        <f aca="false">IF(I664="","",IF(AND(J664&gt;=1,J664&lt;=K664+3),"10."&amp;INDEX(Eingabe!$D$9:$D$18,I664)&amp;"."&amp;IF(J664&lt;=K664,J664,IF(J664=K664+1,200,IF(J664=K664+2,201,250)))&amp;".0/24",""))</f>
        <v/>
      </c>
      <c r="D664" s="0" t="str">
        <f aca="false">IF(I664="","",IF(AND(J664&gt;=1,J664&lt;=K664+3),"255.255.255.0",""))</f>
        <v/>
      </c>
      <c r="E664" s="0" t="str">
        <f aca="false">IF(I664="","",IF(AND(J664&gt;=1,J664&lt;=K664+3),"10."&amp;INDEX(Eingabe!$D$9:$D$18,I664)&amp;"."&amp;IF(J664&lt;=K664,J664,IF(J664=K664+1,200,IF(J664=K664+2,201,250)))&amp;".1",""))</f>
        <v/>
      </c>
      <c r="F664" s="0" t="str">
        <f aca="false">IF(I664="","",IF(AND(J664&gt;=1,J664&lt;=K664+3),"10."&amp;INDEX(Eingabe!$D$9:$D$18,I664)&amp;"."&amp;IF(J664&lt;=K664,J664,IF(J664=K664+1,200,IF(J664=K664+2,201,250)))&amp;".10 – 10."&amp;INDEX(Eingabe!$D$9:$D$18,I664)&amp;"."&amp;IF(J664&lt;=K664,J664,IF(J664=K664+1,200,IF(J664=K664+2,201,250)))&amp;".250",""))</f>
        <v/>
      </c>
      <c r="G664" s="0" t="str">
        <f aca="false">IF(I664="","",IF(AND(J664&gt;=1,J664&lt;=K664),Eingabe!$B$6&amp;"-"&amp;INDEX(Eingabe!$C$9:$C$18,I664)&amp;"-Pächter  ·  Passwort Parzelle "&amp;J664,IF(J664=K664+1,Eingabe!$B$6&amp;"-"&amp;INDEX(Eingabe!$C$9:$C$18,I664)&amp;"-Vorstand  ·  eigenes WLAN",IF(J664=K664+2,Eingabe!$B$6&amp;"-"&amp;INDEX(Eingabe!$C$9:$C$18,I664)&amp;"-Gäste  ·  Voucher",IF(J664=K664+3,"Kabel  ·  Access Point y = .(50+y), Mast-Switch x = .(10+x)","")))))</f>
        <v/>
      </c>
      <c r="I664" s="0" t="str">
        <f aca="false">IF(659&lt;=(Eingabe!$P$18+Eingabe!$Q$18-1),MATCH(659,Eingabe!$P$9:$P$18,1),"")</f>
        <v/>
      </c>
      <c r="J664" s="0" t="str">
        <f aca="false">IF(I664="","",659-INDEX(Eingabe!$P$9:$P$18,I664))</f>
        <v/>
      </c>
      <c r="K664" s="0" t="str">
        <f aca="false">IF(I664="","",INDEX(Eingabe!$E$9:$E$18,I664))</f>
        <v/>
      </c>
    </row>
    <row r="665" customFormat="false" ht="15" hidden="false" customHeight="false" outlineLevel="0" collapsed="false">
      <c r="A665" s="0" t="str">
        <f aca="false">IF(I665="","",IF(J665=0,"Sparte "&amp;I665&amp;": "&amp;INDEX(Eingabe!$B$9:$B$18,I665)&amp;"  (Sparten-ID "&amp;INDEX(Eingabe!$D$9:$D$18,I665)&amp;", "&amp;K665&amp;" Parzellen)",IF(J665&lt;=K665,"   Parzelle "&amp;J665,IF(J665=K665+1,"   Vorstand",IF(J665=K665+2,"   Gäste",IF(J665=K665+3,"   Technik (Switches, Access Points)",""))))))</f>
        <v/>
      </c>
      <c r="B665" s="0" t="str">
        <f aca="false">IF(I665="","",IF(AND(J665&gt;=1,J665&lt;=K665+3),IF(J665&lt;=K665,IF(J665&lt;=99,IF((INDEX(Eingabe!$G$9:$G$18,I665))&lt;=9,1000+(INDEX(Eingabe!$G$9:$G$18,I665))*100,3000)+J665,IF((INDEX(Eingabe!$G$9:$G$18,I665)+1)&lt;=9,1000+(INDEX(Eingabe!$G$9:$G$18,I665)+1)*100,3000)+J665-100),IF(J665=K665+1,2000+INDEX(Eingabe!$G$9:$G$18,I665)*10+1,IF(J665=K665+2,2000+INDEX(Eingabe!$G$9:$G$18,I665)*10+2,2000+INDEX(Eingabe!$G$9:$G$18,I665)*10+9))),""))</f>
        <v/>
      </c>
      <c r="C665" s="0" t="str">
        <f aca="false">IF(I665="","",IF(AND(J665&gt;=1,J665&lt;=K665+3),"10."&amp;INDEX(Eingabe!$D$9:$D$18,I665)&amp;"."&amp;IF(J665&lt;=K665,J665,IF(J665=K665+1,200,IF(J665=K665+2,201,250)))&amp;".0/24",""))</f>
        <v/>
      </c>
      <c r="D665" s="0" t="str">
        <f aca="false">IF(I665="","",IF(AND(J665&gt;=1,J665&lt;=K665+3),"255.255.255.0",""))</f>
        <v/>
      </c>
      <c r="E665" s="0" t="str">
        <f aca="false">IF(I665="","",IF(AND(J665&gt;=1,J665&lt;=K665+3),"10."&amp;INDEX(Eingabe!$D$9:$D$18,I665)&amp;"."&amp;IF(J665&lt;=K665,J665,IF(J665=K665+1,200,IF(J665=K665+2,201,250)))&amp;".1",""))</f>
        <v/>
      </c>
      <c r="F665" s="0" t="str">
        <f aca="false">IF(I665="","",IF(AND(J665&gt;=1,J665&lt;=K665+3),"10."&amp;INDEX(Eingabe!$D$9:$D$18,I665)&amp;"."&amp;IF(J665&lt;=K665,J665,IF(J665=K665+1,200,IF(J665=K665+2,201,250)))&amp;".10 – 10."&amp;INDEX(Eingabe!$D$9:$D$18,I665)&amp;"."&amp;IF(J665&lt;=K665,J665,IF(J665=K665+1,200,IF(J665=K665+2,201,250)))&amp;".250",""))</f>
        <v/>
      </c>
      <c r="G665" s="0" t="str">
        <f aca="false">IF(I665="","",IF(AND(J665&gt;=1,J665&lt;=K665),Eingabe!$B$6&amp;"-"&amp;INDEX(Eingabe!$C$9:$C$18,I665)&amp;"-Pächter  ·  Passwort Parzelle "&amp;J665,IF(J665=K665+1,Eingabe!$B$6&amp;"-"&amp;INDEX(Eingabe!$C$9:$C$18,I665)&amp;"-Vorstand  ·  eigenes WLAN",IF(J665=K665+2,Eingabe!$B$6&amp;"-"&amp;INDEX(Eingabe!$C$9:$C$18,I665)&amp;"-Gäste  ·  Voucher",IF(J665=K665+3,"Kabel  ·  Access Point y = .(50+y), Mast-Switch x = .(10+x)","")))))</f>
        <v/>
      </c>
      <c r="I665" s="0" t="str">
        <f aca="false">IF(660&lt;=(Eingabe!$P$18+Eingabe!$Q$18-1),MATCH(660,Eingabe!$P$9:$P$18,1),"")</f>
        <v/>
      </c>
      <c r="J665" s="0" t="str">
        <f aca="false">IF(I665="","",660-INDEX(Eingabe!$P$9:$P$18,I665))</f>
        <v/>
      </c>
      <c r="K665" s="0" t="str">
        <f aca="false">IF(I665="","",INDEX(Eingabe!$E$9:$E$18,I665))</f>
        <v/>
      </c>
    </row>
    <row r="666" customFormat="false" ht="15" hidden="false" customHeight="false" outlineLevel="0" collapsed="false">
      <c r="A666" s="0" t="str">
        <f aca="false">IF(I666="","",IF(J666=0,"Sparte "&amp;I666&amp;": "&amp;INDEX(Eingabe!$B$9:$B$18,I666)&amp;"  (Sparten-ID "&amp;INDEX(Eingabe!$D$9:$D$18,I666)&amp;", "&amp;K666&amp;" Parzellen)",IF(J666&lt;=K666,"   Parzelle "&amp;J666,IF(J666=K666+1,"   Vorstand",IF(J666=K666+2,"   Gäste",IF(J666=K666+3,"   Technik (Switches, Access Points)",""))))))</f>
        <v/>
      </c>
      <c r="B666" s="0" t="str">
        <f aca="false">IF(I666="","",IF(AND(J666&gt;=1,J666&lt;=K666+3),IF(J666&lt;=K666,IF(J666&lt;=99,IF((INDEX(Eingabe!$G$9:$G$18,I666))&lt;=9,1000+(INDEX(Eingabe!$G$9:$G$18,I666))*100,3000)+J666,IF((INDEX(Eingabe!$G$9:$G$18,I666)+1)&lt;=9,1000+(INDEX(Eingabe!$G$9:$G$18,I666)+1)*100,3000)+J666-100),IF(J666=K666+1,2000+INDEX(Eingabe!$G$9:$G$18,I666)*10+1,IF(J666=K666+2,2000+INDEX(Eingabe!$G$9:$G$18,I666)*10+2,2000+INDEX(Eingabe!$G$9:$G$18,I666)*10+9))),""))</f>
        <v/>
      </c>
      <c r="C666" s="0" t="str">
        <f aca="false">IF(I666="","",IF(AND(J666&gt;=1,J666&lt;=K666+3),"10."&amp;INDEX(Eingabe!$D$9:$D$18,I666)&amp;"."&amp;IF(J666&lt;=K666,J666,IF(J666=K666+1,200,IF(J666=K666+2,201,250)))&amp;".0/24",""))</f>
        <v/>
      </c>
      <c r="D666" s="0" t="str">
        <f aca="false">IF(I666="","",IF(AND(J666&gt;=1,J666&lt;=K666+3),"255.255.255.0",""))</f>
        <v/>
      </c>
      <c r="E666" s="0" t="str">
        <f aca="false">IF(I666="","",IF(AND(J666&gt;=1,J666&lt;=K666+3),"10."&amp;INDEX(Eingabe!$D$9:$D$18,I666)&amp;"."&amp;IF(J666&lt;=K666,J666,IF(J666=K666+1,200,IF(J666=K666+2,201,250)))&amp;".1",""))</f>
        <v/>
      </c>
      <c r="F666" s="0" t="str">
        <f aca="false">IF(I666="","",IF(AND(J666&gt;=1,J666&lt;=K666+3),"10."&amp;INDEX(Eingabe!$D$9:$D$18,I666)&amp;"."&amp;IF(J666&lt;=K666,J666,IF(J666=K666+1,200,IF(J666=K666+2,201,250)))&amp;".10 – 10."&amp;INDEX(Eingabe!$D$9:$D$18,I666)&amp;"."&amp;IF(J666&lt;=K666,J666,IF(J666=K666+1,200,IF(J666=K666+2,201,250)))&amp;".250",""))</f>
        <v/>
      </c>
      <c r="G666" s="0" t="str">
        <f aca="false">IF(I666="","",IF(AND(J666&gt;=1,J666&lt;=K666),Eingabe!$B$6&amp;"-"&amp;INDEX(Eingabe!$C$9:$C$18,I666)&amp;"-Pächter  ·  Passwort Parzelle "&amp;J666,IF(J666=K666+1,Eingabe!$B$6&amp;"-"&amp;INDEX(Eingabe!$C$9:$C$18,I666)&amp;"-Vorstand  ·  eigenes WLAN",IF(J666=K666+2,Eingabe!$B$6&amp;"-"&amp;INDEX(Eingabe!$C$9:$C$18,I666)&amp;"-Gäste  ·  Voucher",IF(J666=K666+3,"Kabel  ·  Access Point y = .(50+y), Mast-Switch x = .(10+x)","")))))</f>
        <v/>
      </c>
      <c r="I666" s="0" t="str">
        <f aca="false">IF(661&lt;=(Eingabe!$P$18+Eingabe!$Q$18-1),MATCH(661,Eingabe!$P$9:$P$18,1),"")</f>
        <v/>
      </c>
      <c r="J666" s="0" t="str">
        <f aca="false">IF(I666="","",661-INDEX(Eingabe!$P$9:$P$18,I666))</f>
        <v/>
      </c>
      <c r="K666" s="0" t="str">
        <f aca="false">IF(I666="","",INDEX(Eingabe!$E$9:$E$18,I666))</f>
        <v/>
      </c>
    </row>
    <row r="667" customFormat="false" ht="15" hidden="false" customHeight="false" outlineLevel="0" collapsed="false">
      <c r="A667" s="0" t="str">
        <f aca="false">IF(I667="","",IF(J667=0,"Sparte "&amp;I667&amp;": "&amp;INDEX(Eingabe!$B$9:$B$18,I667)&amp;"  (Sparten-ID "&amp;INDEX(Eingabe!$D$9:$D$18,I667)&amp;", "&amp;K667&amp;" Parzellen)",IF(J667&lt;=K667,"   Parzelle "&amp;J667,IF(J667=K667+1,"   Vorstand",IF(J667=K667+2,"   Gäste",IF(J667=K667+3,"   Technik (Switches, Access Points)",""))))))</f>
        <v/>
      </c>
      <c r="B667" s="0" t="str">
        <f aca="false">IF(I667="","",IF(AND(J667&gt;=1,J667&lt;=K667+3),IF(J667&lt;=K667,IF(J667&lt;=99,IF((INDEX(Eingabe!$G$9:$G$18,I667))&lt;=9,1000+(INDEX(Eingabe!$G$9:$G$18,I667))*100,3000)+J667,IF((INDEX(Eingabe!$G$9:$G$18,I667)+1)&lt;=9,1000+(INDEX(Eingabe!$G$9:$G$18,I667)+1)*100,3000)+J667-100),IF(J667=K667+1,2000+INDEX(Eingabe!$G$9:$G$18,I667)*10+1,IF(J667=K667+2,2000+INDEX(Eingabe!$G$9:$G$18,I667)*10+2,2000+INDEX(Eingabe!$G$9:$G$18,I667)*10+9))),""))</f>
        <v/>
      </c>
      <c r="C667" s="0" t="str">
        <f aca="false">IF(I667="","",IF(AND(J667&gt;=1,J667&lt;=K667+3),"10."&amp;INDEX(Eingabe!$D$9:$D$18,I667)&amp;"."&amp;IF(J667&lt;=K667,J667,IF(J667=K667+1,200,IF(J667=K667+2,201,250)))&amp;".0/24",""))</f>
        <v/>
      </c>
      <c r="D667" s="0" t="str">
        <f aca="false">IF(I667="","",IF(AND(J667&gt;=1,J667&lt;=K667+3),"255.255.255.0",""))</f>
        <v/>
      </c>
      <c r="E667" s="0" t="str">
        <f aca="false">IF(I667="","",IF(AND(J667&gt;=1,J667&lt;=K667+3),"10."&amp;INDEX(Eingabe!$D$9:$D$18,I667)&amp;"."&amp;IF(J667&lt;=K667,J667,IF(J667=K667+1,200,IF(J667=K667+2,201,250)))&amp;".1",""))</f>
        <v/>
      </c>
      <c r="F667" s="0" t="str">
        <f aca="false">IF(I667="","",IF(AND(J667&gt;=1,J667&lt;=K667+3),"10."&amp;INDEX(Eingabe!$D$9:$D$18,I667)&amp;"."&amp;IF(J667&lt;=K667,J667,IF(J667=K667+1,200,IF(J667=K667+2,201,250)))&amp;".10 – 10."&amp;INDEX(Eingabe!$D$9:$D$18,I667)&amp;"."&amp;IF(J667&lt;=K667,J667,IF(J667=K667+1,200,IF(J667=K667+2,201,250)))&amp;".250",""))</f>
        <v/>
      </c>
      <c r="G667" s="0" t="str">
        <f aca="false">IF(I667="","",IF(AND(J667&gt;=1,J667&lt;=K667),Eingabe!$B$6&amp;"-"&amp;INDEX(Eingabe!$C$9:$C$18,I667)&amp;"-Pächter  ·  Passwort Parzelle "&amp;J667,IF(J667=K667+1,Eingabe!$B$6&amp;"-"&amp;INDEX(Eingabe!$C$9:$C$18,I667)&amp;"-Vorstand  ·  eigenes WLAN",IF(J667=K667+2,Eingabe!$B$6&amp;"-"&amp;INDEX(Eingabe!$C$9:$C$18,I667)&amp;"-Gäste  ·  Voucher",IF(J667=K667+3,"Kabel  ·  Access Point y = .(50+y), Mast-Switch x = .(10+x)","")))))</f>
        <v/>
      </c>
      <c r="I667" s="0" t="str">
        <f aca="false">IF(662&lt;=(Eingabe!$P$18+Eingabe!$Q$18-1),MATCH(662,Eingabe!$P$9:$P$18,1),"")</f>
        <v/>
      </c>
      <c r="J667" s="0" t="str">
        <f aca="false">IF(I667="","",662-INDEX(Eingabe!$P$9:$P$18,I667))</f>
        <v/>
      </c>
      <c r="K667" s="0" t="str">
        <f aca="false">IF(I667="","",INDEX(Eingabe!$E$9:$E$18,I667))</f>
        <v/>
      </c>
    </row>
    <row r="668" customFormat="false" ht="15" hidden="false" customHeight="false" outlineLevel="0" collapsed="false">
      <c r="A668" s="0" t="str">
        <f aca="false">IF(I668="","",IF(J668=0,"Sparte "&amp;I668&amp;": "&amp;INDEX(Eingabe!$B$9:$B$18,I668)&amp;"  (Sparten-ID "&amp;INDEX(Eingabe!$D$9:$D$18,I668)&amp;", "&amp;K668&amp;" Parzellen)",IF(J668&lt;=K668,"   Parzelle "&amp;J668,IF(J668=K668+1,"   Vorstand",IF(J668=K668+2,"   Gäste",IF(J668=K668+3,"   Technik (Switches, Access Points)",""))))))</f>
        <v/>
      </c>
      <c r="B668" s="0" t="str">
        <f aca="false">IF(I668="","",IF(AND(J668&gt;=1,J668&lt;=K668+3),IF(J668&lt;=K668,IF(J668&lt;=99,IF((INDEX(Eingabe!$G$9:$G$18,I668))&lt;=9,1000+(INDEX(Eingabe!$G$9:$G$18,I668))*100,3000)+J668,IF((INDEX(Eingabe!$G$9:$G$18,I668)+1)&lt;=9,1000+(INDEX(Eingabe!$G$9:$G$18,I668)+1)*100,3000)+J668-100),IF(J668=K668+1,2000+INDEX(Eingabe!$G$9:$G$18,I668)*10+1,IF(J668=K668+2,2000+INDEX(Eingabe!$G$9:$G$18,I668)*10+2,2000+INDEX(Eingabe!$G$9:$G$18,I668)*10+9))),""))</f>
        <v/>
      </c>
      <c r="C668" s="0" t="str">
        <f aca="false">IF(I668="","",IF(AND(J668&gt;=1,J668&lt;=K668+3),"10."&amp;INDEX(Eingabe!$D$9:$D$18,I668)&amp;"."&amp;IF(J668&lt;=K668,J668,IF(J668=K668+1,200,IF(J668=K668+2,201,250)))&amp;".0/24",""))</f>
        <v/>
      </c>
      <c r="D668" s="0" t="str">
        <f aca="false">IF(I668="","",IF(AND(J668&gt;=1,J668&lt;=K668+3),"255.255.255.0",""))</f>
        <v/>
      </c>
      <c r="E668" s="0" t="str">
        <f aca="false">IF(I668="","",IF(AND(J668&gt;=1,J668&lt;=K668+3),"10."&amp;INDEX(Eingabe!$D$9:$D$18,I668)&amp;"."&amp;IF(J668&lt;=K668,J668,IF(J668=K668+1,200,IF(J668=K668+2,201,250)))&amp;".1",""))</f>
        <v/>
      </c>
      <c r="F668" s="0" t="str">
        <f aca="false">IF(I668="","",IF(AND(J668&gt;=1,J668&lt;=K668+3),"10."&amp;INDEX(Eingabe!$D$9:$D$18,I668)&amp;"."&amp;IF(J668&lt;=K668,J668,IF(J668=K668+1,200,IF(J668=K668+2,201,250)))&amp;".10 – 10."&amp;INDEX(Eingabe!$D$9:$D$18,I668)&amp;"."&amp;IF(J668&lt;=K668,J668,IF(J668=K668+1,200,IF(J668=K668+2,201,250)))&amp;".250",""))</f>
        <v/>
      </c>
      <c r="G668" s="0" t="str">
        <f aca="false">IF(I668="","",IF(AND(J668&gt;=1,J668&lt;=K668),Eingabe!$B$6&amp;"-"&amp;INDEX(Eingabe!$C$9:$C$18,I668)&amp;"-Pächter  ·  Passwort Parzelle "&amp;J668,IF(J668=K668+1,Eingabe!$B$6&amp;"-"&amp;INDEX(Eingabe!$C$9:$C$18,I668)&amp;"-Vorstand  ·  eigenes WLAN",IF(J668=K668+2,Eingabe!$B$6&amp;"-"&amp;INDEX(Eingabe!$C$9:$C$18,I668)&amp;"-Gäste  ·  Voucher",IF(J668=K668+3,"Kabel  ·  Access Point y = .(50+y), Mast-Switch x = .(10+x)","")))))</f>
        <v/>
      </c>
      <c r="I668" s="0" t="str">
        <f aca="false">IF(663&lt;=(Eingabe!$P$18+Eingabe!$Q$18-1),MATCH(663,Eingabe!$P$9:$P$18,1),"")</f>
        <v/>
      </c>
      <c r="J668" s="0" t="str">
        <f aca="false">IF(I668="","",663-INDEX(Eingabe!$P$9:$P$18,I668))</f>
        <v/>
      </c>
      <c r="K668" s="0" t="str">
        <f aca="false">IF(I668="","",INDEX(Eingabe!$E$9:$E$18,I668))</f>
        <v/>
      </c>
    </row>
    <row r="669" customFormat="false" ht="15" hidden="false" customHeight="false" outlineLevel="0" collapsed="false">
      <c r="A669" s="0" t="str">
        <f aca="false">IF(I669="","",IF(J669=0,"Sparte "&amp;I669&amp;": "&amp;INDEX(Eingabe!$B$9:$B$18,I669)&amp;"  (Sparten-ID "&amp;INDEX(Eingabe!$D$9:$D$18,I669)&amp;", "&amp;K669&amp;" Parzellen)",IF(J669&lt;=K669,"   Parzelle "&amp;J669,IF(J669=K669+1,"   Vorstand",IF(J669=K669+2,"   Gäste",IF(J669=K669+3,"   Technik (Switches, Access Points)",""))))))</f>
        <v/>
      </c>
      <c r="B669" s="0" t="str">
        <f aca="false">IF(I669="","",IF(AND(J669&gt;=1,J669&lt;=K669+3),IF(J669&lt;=K669,IF(J669&lt;=99,IF((INDEX(Eingabe!$G$9:$G$18,I669))&lt;=9,1000+(INDEX(Eingabe!$G$9:$G$18,I669))*100,3000)+J669,IF((INDEX(Eingabe!$G$9:$G$18,I669)+1)&lt;=9,1000+(INDEX(Eingabe!$G$9:$G$18,I669)+1)*100,3000)+J669-100),IF(J669=K669+1,2000+INDEX(Eingabe!$G$9:$G$18,I669)*10+1,IF(J669=K669+2,2000+INDEX(Eingabe!$G$9:$G$18,I669)*10+2,2000+INDEX(Eingabe!$G$9:$G$18,I669)*10+9))),""))</f>
        <v/>
      </c>
      <c r="C669" s="0" t="str">
        <f aca="false">IF(I669="","",IF(AND(J669&gt;=1,J669&lt;=K669+3),"10."&amp;INDEX(Eingabe!$D$9:$D$18,I669)&amp;"."&amp;IF(J669&lt;=K669,J669,IF(J669=K669+1,200,IF(J669=K669+2,201,250)))&amp;".0/24",""))</f>
        <v/>
      </c>
      <c r="D669" s="0" t="str">
        <f aca="false">IF(I669="","",IF(AND(J669&gt;=1,J669&lt;=K669+3),"255.255.255.0",""))</f>
        <v/>
      </c>
      <c r="E669" s="0" t="str">
        <f aca="false">IF(I669="","",IF(AND(J669&gt;=1,J669&lt;=K669+3),"10."&amp;INDEX(Eingabe!$D$9:$D$18,I669)&amp;"."&amp;IF(J669&lt;=K669,J669,IF(J669=K669+1,200,IF(J669=K669+2,201,250)))&amp;".1",""))</f>
        <v/>
      </c>
      <c r="F669" s="0" t="str">
        <f aca="false">IF(I669="","",IF(AND(J669&gt;=1,J669&lt;=K669+3),"10."&amp;INDEX(Eingabe!$D$9:$D$18,I669)&amp;"."&amp;IF(J669&lt;=K669,J669,IF(J669=K669+1,200,IF(J669=K669+2,201,250)))&amp;".10 – 10."&amp;INDEX(Eingabe!$D$9:$D$18,I669)&amp;"."&amp;IF(J669&lt;=K669,J669,IF(J669=K669+1,200,IF(J669=K669+2,201,250)))&amp;".250",""))</f>
        <v/>
      </c>
      <c r="G669" s="0" t="str">
        <f aca="false">IF(I669="","",IF(AND(J669&gt;=1,J669&lt;=K669),Eingabe!$B$6&amp;"-"&amp;INDEX(Eingabe!$C$9:$C$18,I669)&amp;"-Pächter  ·  Passwort Parzelle "&amp;J669,IF(J669=K669+1,Eingabe!$B$6&amp;"-"&amp;INDEX(Eingabe!$C$9:$C$18,I669)&amp;"-Vorstand  ·  eigenes WLAN",IF(J669=K669+2,Eingabe!$B$6&amp;"-"&amp;INDEX(Eingabe!$C$9:$C$18,I669)&amp;"-Gäste  ·  Voucher",IF(J669=K669+3,"Kabel  ·  Access Point y = .(50+y), Mast-Switch x = .(10+x)","")))))</f>
        <v/>
      </c>
      <c r="I669" s="0" t="str">
        <f aca="false">IF(664&lt;=(Eingabe!$P$18+Eingabe!$Q$18-1),MATCH(664,Eingabe!$P$9:$P$18,1),"")</f>
        <v/>
      </c>
      <c r="J669" s="0" t="str">
        <f aca="false">IF(I669="","",664-INDEX(Eingabe!$P$9:$P$18,I669))</f>
        <v/>
      </c>
      <c r="K669" s="0" t="str">
        <f aca="false">IF(I669="","",INDEX(Eingabe!$E$9:$E$18,I669))</f>
        <v/>
      </c>
    </row>
    <row r="670" customFormat="false" ht="15" hidden="false" customHeight="false" outlineLevel="0" collapsed="false">
      <c r="A670" s="0" t="str">
        <f aca="false">IF(I670="","",IF(J670=0,"Sparte "&amp;I670&amp;": "&amp;INDEX(Eingabe!$B$9:$B$18,I670)&amp;"  (Sparten-ID "&amp;INDEX(Eingabe!$D$9:$D$18,I670)&amp;", "&amp;K670&amp;" Parzellen)",IF(J670&lt;=K670,"   Parzelle "&amp;J670,IF(J670=K670+1,"   Vorstand",IF(J670=K670+2,"   Gäste",IF(J670=K670+3,"   Technik (Switches, Access Points)",""))))))</f>
        <v/>
      </c>
      <c r="B670" s="0" t="str">
        <f aca="false">IF(I670="","",IF(AND(J670&gt;=1,J670&lt;=K670+3),IF(J670&lt;=K670,IF(J670&lt;=99,IF((INDEX(Eingabe!$G$9:$G$18,I670))&lt;=9,1000+(INDEX(Eingabe!$G$9:$G$18,I670))*100,3000)+J670,IF((INDEX(Eingabe!$G$9:$G$18,I670)+1)&lt;=9,1000+(INDEX(Eingabe!$G$9:$G$18,I670)+1)*100,3000)+J670-100),IF(J670=K670+1,2000+INDEX(Eingabe!$G$9:$G$18,I670)*10+1,IF(J670=K670+2,2000+INDEX(Eingabe!$G$9:$G$18,I670)*10+2,2000+INDEX(Eingabe!$G$9:$G$18,I670)*10+9))),""))</f>
        <v/>
      </c>
      <c r="C670" s="0" t="str">
        <f aca="false">IF(I670="","",IF(AND(J670&gt;=1,J670&lt;=K670+3),"10."&amp;INDEX(Eingabe!$D$9:$D$18,I670)&amp;"."&amp;IF(J670&lt;=K670,J670,IF(J670=K670+1,200,IF(J670=K670+2,201,250)))&amp;".0/24",""))</f>
        <v/>
      </c>
      <c r="D670" s="0" t="str">
        <f aca="false">IF(I670="","",IF(AND(J670&gt;=1,J670&lt;=K670+3),"255.255.255.0",""))</f>
        <v/>
      </c>
      <c r="E670" s="0" t="str">
        <f aca="false">IF(I670="","",IF(AND(J670&gt;=1,J670&lt;=K670+3),"10."&amp;INDEX(Eingabe!$D$9:$D$18,I670)&amp;"."&amp;IF(J670&lt;=K670,J670,IF(J670=K670+1,200,IF(J670=K670+2,201,250)))&amp;".1",""))</f>
        <v/>
      </c>
      <c r="F670" s="0" t="str">
        <f aca="false">IF(I670="","",IF(AND(J670&gt;=1,J670&lt;=K670+3),"10."&amp;INDEX(Eingabe!$D$9:$D$18,I670)&amp;"."&amp;IF(J670&lt;=K670,J670,IF(J670=K670+1,200,IF(J670=K670+2,201,250)))&amp;".10 – 10."&amp;INDEX(Eingabe!$D$9:$D$18,I670)&amp;"."&amp;IF(J670&lt;=K670,J670,IF(J670=K670+1,200,IF(J670=K670+2,201,250)))&amp;".250",""))</f>
        <v/>
      </c>
      <c r="G670" s="0" t="str">
        <f aca="false">IF(I670="","",IF(AND(J670&gt;=1,J670&lt;=K670),Eingabe!$B$6&amp;"-"&amp;INDEX(Eingabe!$C$9:$C$18,I670)&amp;"-Pächter  ·  Passwort Parzelle "&amp;J670,IF(J670=K670+1,Eingabe!$B$6&amp;"-"&amp;INDEX(Eingabe!$C$9:$C$18,I670)&amp;"-Vorstand  ·  eigenes WLAN",IF(J670=K670+2,Eingabe!$B$6&amp;"-"&amp;INDEX(Eingabe!$C$9:$C$18,I670)&amp;"-Gäste  ·  Voucher",IF(J670=K670+3,"Kabel  ·  Access Point y = .(50+y), Mast-Switch x = .(10+x)","")))))</f>
        <v/>
      </c>
      <c r="I670" s="0" t="str">
        <f aca="false">IF(665&lt;=(Eingabe!$P$18+Eingabe!$Q$18-1),MATCH(665,Eingabe!$P$9:$P$18,1),"")</f>
        <v/>
      </c>
      <c r="J670" s="0" t="str">
        <f aca="false">IF(I670="","",665-INDEX(Eingabe!$P$9:$P$18,I670))</f>
        <v/>
      </c>
      <c r="K670" s="0" t="str">
        <f aca="false">IF(I670="","",INDEX(Eingabe!$E$9:$E$18,I670))</f>
        <v/>
      </c>
    </row>
    <row r="671" customFormat="false" ht="15" hidden="false" customHeight="false" outlineLevel="0" collapsed="false">
      <c r="A671" s="0" t="str">
        <f aca="false">IF(I671="","",IF(J671=0,"Sparte "&amp;I671&amp;": "&amp;INDEX(Eingabe!$B$9:$B$18,I671)&amp;"  (Sparten-ID "&amp;INDEX(Eingabe!$D$9:$D$18,I671)&amp;", "&amp;K671&amp;" Parzellen)",IF(J671&lt;=K671,"   Parzelle "&amp;J671,IF(J671=K671+1,"   Vorstand",IF(J671=K671+2,"   Gäste",IF(J671=K671+3,"   Technik (Switches, Access Points)",""))))))</f>
        <v/>
      </c>
      <c r="B671" s="0" t="str">
        <f aca="false">IF(I671="","",IF(AND(J671&gt;=1,J671&lt;=K671+3),IF(J671&lt;=K671,IF(J671&lt;=99,IF((INDEX(Eingabe!$G$9:$G$18,I671))&lt;=9,1000+(INDEX(Eingabe!$G$9:$G$18,I671))*100,3000)+J671,IF((INDEX(Eingabe!$G$9:$G$18,I671)+1)&lt;=9,1000+(INDEX(Eingabe!$G$9:$G$18,I671)+1)*100,3000)+J671-100),IF(J671=K671+1,2000+INDEX(Eingabe!$G$9:$G$18,I671)*10+1,IF(J671=K671+2,2000+INDEX(Eingabe!$G$9:$G$18,I671)*10+2,2000+INDEX(Eingabe!$G$9:$G$18,I671)*10+9))),""))</f>
        <v/>
      </c>
      <c r="C671" s="0" t="str">
        <f aca="false">IF(I671="","",IF(AND(J671&gt;=1,J671&lt;=K671+3),"10."&amp;INDEX(Eingabe!$D$9:$D$18,I671)&amp;"."&amp;IF(J671&lt;=K671,J671,IF(J671=K671+1,200,IF(J671=K671+2,201,250)))&amp;".0/24",""))</f>
        <v/>
      </c>
      <c r="D671" s="0" t="str">
        <f aca="false">IF(I671="","",IF(AND(J671&gt;=1,J671&lt;=K671+3),"255.255.255.0",""))</f>
        <v/>
      </c>
      <c r="E671" s="0" t="str">
        <f aca="false">IF(I671="","",IF(AND(J671&gt;=1,J671&lt;=K671+3),"10."&amp;INDEX(Eingabe!$D$9:$D$18,I671)&amp;"."&amp;IF(J671&lt;=K671,J671,IF(J671=K671+1,200,IF(J671=K671+2,201,250)))&amp;".1",""))</f>
        <v/>
      </c>
      <c r="F671" s="0" t="str">
        <f aca="false">IF(I671="","",IF(AND(J671&gt;=1,J671&lt;=K671+3),"10."&amp;INDEX(Eingabe!$D$9:$D$18,I671)&amp;"."&amp;IF(J671&lt;=K671,J671,IF(J671=K671+1,200,IF(J671=K671+2,201,250)))&amp;".10 – 10."&amp;INDEX(Eingabe!$D$9:$D$18,I671)&amp;"."&amp;IF(J671&lt;=K671,J671,IF(J671=K671+1,200,IF(J671=K671+2,201,250)))&amp;".250",""))</f>
        <v/>
      </c>
      <c r="G671" s="0" t="str">
        <f aca="false">IF(I671="","",IF(AND(J671&gt;=1,J671&lt;=K671),Eingabe!$B$6&amp;"-"&amp;INDEX(Eingabe!$C$9:$C$18,I671)&amp;"-Pächter  ·  Passwort Parzelle "&amp;J671,IF(J671=K671+1,Eingabe!$B$6&amp;"-"&amp;INDEX(Eingabe!$C$9:$C$18,I671)&amp;"-Vorstand  ·  eigenes WLAN",IF(J671=K671+2,Eingabe!$B$6&amp;"-"&amp;INDEX(Eingabe!$C$9:$C$18,I671)&amp;"-Gäste  ·  Voucher",IF(J671=K671+3,"Kabel  ·  Access Point y = .(50+y), Mast-Switch x = .(10+x)","")))))</f>
        <v/>
      </c>
      <c r="I671" s="0" t="str">
        <f aca="false">IF(666&lt;=(Eingabe!$P$18+Eingabe!$Q$18-1),MATCH(666,Eingabe!$P$9:$P$18,1),"")</f>
        <v/>
      </c>
      <c r="J671" s="0" t="str">
        <f aca="false">IF(I671="","",666-INDEX(Eingabe!$P$9:$P$18,I671))</f>
        <v/>
      </c>
      <c r="K671" s="0" t="str">
        <f aca="false">IF(I671="","",INDEX(Eingabe!$E$9:$E$18,I671))</f>
        <v/>
      </c>
    </row>
    <row r="672" customFormat="false" ht="15" hidden="false" customHeight="false" outlineLevel="0" collapsed="false">
      <c r="A672" s="0" t="str">
        <f aca="false">IF(I672="","",IF(J672=0,"Sparte "&amp;I672&amp;": "&amp;INDEX(Eingabe!$B$9:$B$18,I672)&amp;"  (Sparten-ID "&amp;INDEX(Eingabe!$D$9:$D$18,I672)&amp;", "&amp;K672&amp;" Parzellen)",IF(J672&lt;=K672,"   Parzelle "&amp;J672,IF(J672=K672+1,"   Vorstand",IF(J672=K672+2,"   Gäste",IF(J672=K672+3,"   Technik (Switches, Access Points)",""))))))</f>
        <v/>
      </c>
      <c r="B672" s="0" t="str">
        <f aca="false">IF(I672="","",IF(AND(J672&gt;=1,J672&lt;=K672+3),IF(J672&lt;=K672,IF(J672&lt;=99,IF((INDEX(Eingabe!$G$9:$G$18,I672))&lt;=9,1000+(INDEX(Eingabe!$G$9:$G$18,I672))*100,3000)+J672,IF((INDEX(Eingabe!$G$9:$G$18,I672)+1)&lt;=9,1000+(INDEX(Eingabe!$G$9:$G$18,I672)+1)*100,3000)+J672-100),IF(J672=K672+1,2000+INDEX(Eingabe!$G$9:$G$18,I672)*10+1,IF(J672=K672+2,2000+INDEX(Eingabe!$G$9:$G$18,I672)*10+2,2000+INDEX(Eingabe!$G$9:$G$18,I672)*10+9))),""))</f>
        <v/>
      </c>
      <c r="C672" s="0" t="str">
        <f aca="false">IF(I672="","",IF(AND(J672&gt;=1,J672&lt;=K672+3),"10."&amp;INDEX(Eingabe!$D$9:$D$18,I672)&amp;"."&amp;IF(J672&lt;=K672,J672,IF(J672=K672+1,200,IF(J672=K672+2,201,250)))&amp;".0/24",""))</f>
        <v/>
      </c>
      <c r="D672" s="0" t="str">
        <f aca="false">IF(I672="","",IF(AND(J672&gt;=1,J672&lt;=K672+3),"255.255.255.0",""))</f>
        <v/>
      </c>
      <c r="E672" s="0" t="str">
        <f aca="false">IF(I672="","",IF(AND(J672&gt;=1,J672&lt;=K672+3),"10."&amp;INDEX(Eingabe!$D$9:$D$18,I672)&amp;"."&amp;IF(J672&lt;=K672,J672,IF(J672=K672+1,200,IF(J672=K672+2,201,250)))&amp;".1",""))</f>
        <v/>
      </c>
      <c r="F672" s="0" t="str">
        <f aca="false">IF(I672="","",IF(AND(J672&gt;=1,J672&lt;=K672+3),"10."&amp;INDEX(Eingabe!$D$9:$D$18,I672)&amp;"."&amp;IF(J672&lt;=K672,J672,IF(J672=K672+1,200,IF(J672=K672+2,201,250)))&amp;".10 – 10."&amp;INDEX(Eingabe!$D$9:$D$18,I672)&amp;"."&amp;IF(J672&lt;=K672,J672,IF(J672=K672+1,200,IF(J672=K672+2,201,250)))&amp;".250",""))</f>
        <v/>
      </c>
      <c r="G672" s="0" t="str">
        <f aca="false">IF(I672="","",IF(AND(J672&gt;=1,J672&lt;=K672),Eingabe!$B$6&amp;"-"&amp;INDEX(Eingabe!$C$9:$C$18,I672)&amp;"-Pächter  ·  Passwort Parzelle "&amp;J672,IF(J672=K672+1,Eingabe!$B$6&amp;"-"&amp;INDEX(Eingabe!$C$9:$C$18,I672)&amp;"-Vorstand  ·  eigenes WLAN",IF(J672=K672+2,Eingabe!$B$6&amp;"-"&amp;INDEX(Eingabe!$C$9:$C$18,I672)&amp;"-Gäste  ·  Voucher",IF(J672=K672+3,"Kabel  ·  Access Point y = .(50+y), Mast-Switch x = .(10+x)","")))))</f>
        <v/>
      </c>
      <c r="I672" s="0" t="str">
        <f aca="false">IF(667&lt;=(Eingabe!$P$18+Eingabe!$Q$18-1),MATCH(667,Eingabe!$P$9:$P$18,1),"")</f>
        <v/>
      </c>
      <c r="J672" s="0" t="str">
        <f aca="false">IF(I672="","",667-INDEX(Eingabe!$P$9:$P$18,I672))</f>
        <v/>
      </c>
      <c r="K672" s="0" t="str">
        <f aca="false">IF(I672="","",INDEX(Eingabe!$E$9:$E$18,I672))</f>
        <v/>
      </c>
    </row>
    <row r="673" customFormat="false" ht="15" hidden="false" customHeight="false" outlineLevel="0" collapsed="false">
      <c r="A673" s="0" t="str">
        <f aca="false">IF(I673="","",IF(J673=0,"Sparte "&amp;I673&amp;": "&amp;INDEX(Eingabe!$B$9:$B$18,I673)&amp;"  (Sparten-ID "&amp;INDEX(Eingabe!$D$9:$D$18,I673)&amp;", "&amp;K673&amp;" Parzellen)",IF(J673&lt;=K673,"   Parzelle "&amp;J673,IF(J673=K673+1,"   Vorstand",IF(J673=K673+2,"   Gäste",IF(J673=K673+3,"   Technik (Switches, Access Points)",""))))))</f>
        <v/>
      </c>
      <c r="B673" s="0" t="str">
        <f aca="false">IF(I673="","",IF(AND(J673&gt;=1,J673&lt;=K673+3),IF(J673&lt;=K673,IF(J673&lt;=99,IF((INDEX(Eingabe!$G$9:$G$18,I673))&lt;=9,1000+(INDEX(Eingabe!$G$9:$G$18,I673))*100,3000)+J673,IF((INDEX(Eingabe!$G$9:$G$18,I673)+1)&lt;=9,1000+(INDEX(Eingabe!$G$9:$G$18,I673)+1)*100,3000)+J673-100),IF(J673=K673+1,2000+INDEX(Eingabe!$G$9:$G$18,I673)*10+1,IF(J673=K673+2,2000+INDEX(Eingabe!$G$9:$G$18,I673)*10+2,2000+INDEX(Eingabe!$G$9:$G$18,I673)*10+9))),""))</f>
        <v/>
      </c>
      <c r="C673" s="0" t="str">
        <f aca="false">IF(I673="","",IF(AND(J673&gt;=1,J673&lt;=K673+3),"10."&amp;INDEX(Eingabe!$D$9:$D$18,I673)&amp;"."&amp;IF(J673&lt;=K673,J673,IF(J673=K673+1,200,IF(J673=K673+2,201,250)))&amp;".0/24",""))</f>
        <v/>
      </c>
      <c r="D673" s="0" t="str">
        <f aca="false">IF(I673="","",IF(AND(J673&gt;=1,J673&lt;=K673+3),"255.255.255.0",""))</f>
        <v/>
      </c>
      <c r="E673" s="0" t="str">
        <f aca="false">IF(I673="","",IF(AND(J673&gt;=1,J673&lt;=K673+3),"10."&amp;INDEX(Eingabe!$D$9:$D$18,I673)&amp;"."&amp;IF(J673&lt;=K673,J673,IF(J673=K673+1,200,IF(J673=K673+2,201,250)))&amp;".1",""))</f>
        <v/>
      </c>
      <c r="F673" s="0" t="str">
        <f aca="false">IF(I673="","",IF(AND(J673&gt;=1,J673&lt;=K673+3),"10."&amp;INDEX(Eingabe!$D$9:$D$18,I673)&amp;"."&amp;IF(J673&lt;=K673,J673,IF(J673=K673+1,200,IF(J673=K673+2,201,250)))&amp;".10 – 10."&amp;INDEX(Eingabe!$D$9:$D$18,I673)&amp;"."&amp;IF(J673&lt;=K673,J673,IF(J673=K673+1,200,IF(J673=K673+2,201,250)))&amp;".250",""))</f>
        <v/>
      </c>
      <c r="G673" s="0" t="str">
        <f aca="false">IF(I673="","",IF(AND(J673&gt;=1,J673&lt;=K673),Eingabe!$B$6&amp;"-"&amp;INDEX(Eingabe!$C$9:$C$18,I673)&amp;"-Pächter  ·  Passwort Parzelle "&amp;J673,IF(J673=K673+1,Eingabe!$B$6&amp;"-"&amp;INDEX(Eingabe!$C$9:$C$18,I673)&amp;"-Vorstand  ·  eigenes WLAN",IF(J673=K673+2,Eingabe!$B$6&amp;"-"&amp;INDEX(Eingabe!$C$9:$C$18,I673)&amp;"-Gäste  ·  Voucher",IF(J673=K673+3,"Kabel  ·  Access Point y = .(50+y), Mast-Switch x = .(10+x)","")))))</f>
        <v/>
      </c>
      <c r="I673" s="0" t="str">
        <f aca="false">IF(668&lt;=(Eingabe!$P$18+Eingabe!$Q$18-1),MATCH(668,Eingabe!$P$9:$P$18,1),"")</f>
        <v/>
      </c>
      <c r="J673" s="0" t="str">
        <f aca="false">IF(I673="","",668-INDEX(Eingabe!$P$9:$P$18,I673))</f>
        <v/>
      </c>
      <c r="K673" s="0" t="str">
        <f aca="false">IF(I673="","",INDEX(Eingabe!$E$9:$E$18,I673))</f>
        <v/>
      </c>
    </row>
    <row r="674" customFormat="false" ht="15" hidden="false" customHeight="false" outlineLevel="0" collapsed="false">
      <c r="A674" s="0" t="str">
        <f aca="false">IF(I674="","",IF(J674=0,"Sparte "&amp;I674&amp;": "&amp;INDEX(Eingabe!$B$9:$B$18,I674)&amp;"  (Sparten-ID "&amp;INDEX(Eingabe!$D$9:$D$18,I674)&amp;", "&amp;K674&amp;" Parzellen)",IF(J674&lt;=K674,"   Parzelle "&amp;J674,IF(J674=K674+1,"   Vorstand",IF(J674=K674+2,"   Gäste",IF(J674=K674+3,"   Technik (Switches, Access Points)",""))))))</f>
        <v/>
      </c>
      <c r="B674" s="0" t="str">
        <f aca="false">IF(I674="","",IF(AND(J674&gt;=1,J674&lt;=K674+3),IF(J674&lt;=K674,IF(J674&lt;=99,IF((INDEX(Eingabe!$G$9:$G$18,I674))&lt;=9,1000+(INDEX(Eingabe!$G$9:$G$18,I674))*100,3000)+J674,IF((INDEX(Eingabe!$G$9:$G$18,I674)+1)&lt;=9,1000+(INDEX(Eingabe!$G$9:$G$18,I674)+1)*100,3000)+J674-100),IF(J674=K674+1,2000+INDEX(Eingabe!$G$9:$G$18,I674)*10+1,IF(J674=K674+2,2000+INDEX(Eingabe!$G$9:$G$18,I674)*10+2,2000+INDEX(Eingabe!$G$9:$G$18,I674)*10+9))),""))</f>
        <v/>
      </c>
      <c r="C674" s="0" t="str">
        <f aca="false">IF(I674="","",IF(AND(J674&gt;=1,J674&lt;=K674+3),"10."&amp;INDEX(Eingabe!$D$9:$D$18,I674)&amp;"."&amp;IF(J674&lt;=K674,J674,IF(J674=K674+1,200,IF(J674=K674+2,201,250)))&amp;".0/24",""))</f>
        <v/>
      </c>
      <c r="D674" s="0" t="str">
        <f aca="false">IF(I674="","",IF(AND(J674&gt;=1,J674&lt;=K674+3),"255.255.255.0",""))</f>
        <v/>
      </c>
      <c r="E674" s="0" t="str">
        <f aca="false">IF(I674="","",IF(AND(J674&gt;=1,J674&lt;=K674+3),"10."&amp;INDEX(Eingabe!$D$9:$D$18,I674)&amp;"."&amp;IF(J674&lt;=K674,J674,IF(J674=K674+1,200,IF(J674=K674+2,201,250)))&amp;".1",""))</f>
        <v/>
      </c>
      <c r="F674" s="0" t="str">
        <f aca="false">IF(I674="","",IF(AND(J674&gt;=1,J674&lt;=K674+3),"10."&amp;INDEX(Eingabe!$D$9:$D$18,I674)&amp;"."&amp;IF(J674&lt;=K674,J674,IF(J674=K674+1,200,IF(J674=K674+2,201,250)))&amp;".10 – 10."&amp;INDEX(Eingabe!$D$9:$D$18,I674)&amp;"."&amp;IF(J674&lt;=K674,J674,IF(J674=K674+1,200,IF(J674=K674+2,201,250)))&amp;".250",""))</f>
        <v/>
      </c>
      <c r="G674" s="0" t="str">
        <f aca="false">IF(I674="","",IF(AND(J674&gt;=1,J674&lt;=K674),Eingabe!$B$6&amp;"-"&amp;INDEX(Eingabe!$C$9:$C$18,I674)&amp;"-Pächter  ·  Passwort Parzelle "&amp;J674,IF(J674=K674+1,Eingabe!$B$6&amp;"-"&amp;INDEX(Eingabe!$C$9:$C$18,I674)&amp;"-Vorstand  ·  eigenes WLAN",IF(J674=K674+2,Eingabe!$B$6&amp;"-"&amp;INDEX(Eingabe!$C$9:$C$18,I674)&amp;"-Gäste  ·  Voucher",IF(J674=K674+3,"Kabel  ·  Access Point y = .(50+y), Mast-Switch x = .(10+x)","")))))</f>
        <v/>
      </c>
      <c r="I674" s="0" t="str">
        <f aca="false">IF(669&lt;=(Eingabe!$P$18+Eingabe!$Q$18-1),MATCH(669,Eingabe!$P$9:$P$18,1),"")</f>
        <v/>
      </c>
      <c r="J674" s="0" t="str">
        <f aca="false">IF(I674="","",669-INDEX(Eingabe!$P$9:$P$18,I674))</f>
        <v/>
      </c>
      <c r="K674" s="0" t="str">
        <f aca="false">IF(I674="","",INDEX(Eingabe!$E$9:$E$18,I674))</f>
        <v/>
      </c>
    </row>
    <row r="675" customFormat="false" ht="15" hidden="false" customHeight="false" outlineLevel="0" collapsed="false">
      <c r="A675" s="0" t="str">
        <f aca="false">IF(I675="","",IF(J675=0,"Sparte "&amp;I675&amp;": "&amp;INDEX(Eingabe!$B$9:$B$18,I675)&amp;"  (Sparten-ID "&amp;INDEX(Eingabe!$D$9:$D$18,I675)&amp;", "&amp;K675&amp;" Parzellen)",IF(J675&lt;=K675,"   Parzelle "&amp;J675,IF(J675=K675+1,"   Vorstand",IF(J675=K675+2,"   Gäste",IF(J675=K675+3,"   Technik (Switches, Access Points)",""))))))</f>
        <v/>
      </c>
      <c r="B675" s="0" t="str">
        <f aca="false">IF(I675="","",IF(AND(J675&gt;=1,J675&lt;=K675+3),IF(J675&lt;=K675,IF(J675&lt;=99,IF((INDEX(Eingabe!$G$9:$G$18,I675))&lt;=9,1000+(INDEX(Eingabe!$G$9:$G$18,I675))*100,3000)+J675,IF((INDEX(Eingabe!$G$9:$G$18,I675)+1)&lt;=9,1000+(INDEX(Eingabe!$G$9:$G$18,I675)+1)*100,3000)+J675-100),IF(J675=K675+1,2000+INDEX(Eingabe!$G$9:$G$18,I675)*10+1,IF(J675=K675+2,2000+INDEX(Eingabe!$G$9:$G$18,I675)*10+2,2000+INDEX(Eingabe!$G$9:$G$18,I675)*10+9))),""))</f>
        <v/>
      </c>
      <c r="C675" s="0" t="str">
        <f aca="false">IF(I675="","",IF(AND(J675&gt;=1,J675&lt;=K675+3),"10."&amp;INDEX(Eingabe!$D$9:$D$18,I675)&amp;"."&amp;IF(J675&lt;=K675,J675,IF(J675=K675+1,200,IF(J675=K675+2,201,250)))&amp;".0/24",""))</f>
        <v/>
      </c>
      <c r="D675" s="0" t="str">
        <f aca="false">IF(I675="","",IF(AND(J675&gt;=1,J675&lt;=K675+3),"255.255.255.0",""))</f>
        <v/>
      </c>
      <c r="E675" s="0" t="str">
        <f aca="false">IF(I675="","",IF(AND(J675&gt;=1,J675&lt;=K675+3),"10."&amp;INDEX(Eingabe!$D$9:$D$18,I675)&amp;"."&amp;IF(J675&lt;=K675,J675,IF(J675=K675+1,200,IF(J675=K675+2,201,250)))&amp;".1",""))</f>
        <v/>
      </c>
      <c r="F675" s="0" t="str">
        <f aca="false">IF(I675="","",IF(AND(J675&gt;=1,J675&lt;=K675+3),"10."&amp;INDEX(Eingabe!$D$9:$D$18,I675)&amp;"."&amp;IF(J675&lt;=K675,J675,IF(J675=K675+1,200,IF(J675=K675+2,201,250)))&amp;".10 – 10."&amp;INDEX(Eingabe!$D$9:$D$18,I675)&amp;"."&amp;IF(J675&lt;=K675,J675,IF(J675=K675+1,200,IF(J675=K675+2,201,250)))&amp;".250",""))</f>
        <v/>
      </c>
      <c r="G675" s="0" t="str">
        <f aca="false">IF(I675="","",IF(AND(J675&gt;=1,J675&lt;=K675),Eingabe!$B$6&amp;"-"&amp;INDEX(Eingabe!$C$9:$C$18,I675)&amp;"-Pächter  ·  Passwort Parzelle "&amp;J675,IF(J675=K675+1,Eingabe!$B$6&amp;"-"&amp;INDEX(Eingabe!$C$9:$C$18,I675)&amp;"-Vorstand  ·  eigenes WLAN",IF(J675=K675+2,Eingabe!$B$6&amp;"-"&amp;INDEX(Eingabe!$C$9:$C$18,I675)&amp;"-Gäste  ·  Voucher",IF(J675=K675+3,"Kabel  ·  Access Point y = .(50+y), Mast-Switch x = .(10+x)","")))))</f>
        <v/>
      </c>
      <c r="I675" s="0" t="str">
        <f aca="false">IF(670&lt;=(Eingabe!$P$18+Eingabe!$Q$18-1),MATCH(670,Eingabe!$P$9:$P$18,1),"")</f>
        <v/>
      </c>
      <c r="J675" s="0" t="str">
        <f aca="false">IF(I675="","",670-INDEX(Eingabe!$P$9:$P$18,I675))</f>
        <v/>
      </c>
      <c r="K675" s="0" t="str">
        <f aca="false">IF(I675="","",INDEX(Eingabe!$E$9:$E$18,I675))</f>
        <v/>
      </c>
    </row>
    <row r="676" customFormat="false" ht="15" hidden="false" customHeight="false" outlineLevel="0" collapsed="false">
      <c r="A676" s="0" t="str">
        <f aca="false">IF(I676="","",IF(J676=0,"Sparte "&amp;I676&amp;": "&amp;INDEX(Eingabe!$B$9:$B$18,I676)&amp;"  (Sparten-ID "&amp;INDEX(Eingabe!$D$9:$D$18,I676)&amp;", "&amp;K676&amp;" Parzellen)",IF(J676&lt;=K676,"   Parzelle "&amp;J676,IF(J676=K676+1,"   Vorstand",IF(J676=K676+2,"   Gäste",IF(J676=K676+3,"   Technik (Switches, Access Points)",""))))))</f>
        <v/>
      </c>
      <c r="B676" s="0" t="str">
        <f aca="false">IF(I676="","",IF(AND(J676&gt;=1,J676&lt;=K676+3),IF(J676&lt;=K676,IF(J676&lt;=99,IF((INDEX(Eingabe!$G$9:$G$18,I676))&lt;=9,1000+(INDEX(Eingabe!$G$9:$G$18,I676))*100,3000)+J676,IF((INDEX(Eingabe!$G$9:$G$18,I676)+1)&lt;=9,1000+(INDEX(Eingabe!$G$9:$G$18,I676)+1)*100,3000)+J676-100),IF(J676=K676+1,2000+INDEX(Eingabe!$G$9:$G$18,I676)*10+1,IF(J676=K676+2,2000+INDEX(Eingabe!$G$9:$G$18,I676)*10+2,2000+INDEX(Eingabe!$G$9:$G$18,I676)*10+9))),""))</f>
        <v/>
      </c>
      <c r="C676" s="0" t="str">
        <f aca="false">IF(I676="","",IF(AND(J676&gt;=1,J676&lt;=K676+3),"10."&amp;INDEX(Eingabe!$D$9:$D$18,I676)&amp;"."&amp;IF(J676&lt;=K676,J676,IF(J676=K676+1,200,IF(J676=K676+2,201,250)))&amp;".0/24",""))</f>
        <v/>
      </c>
      <c r="D676" s="0" t="str">
        <f aca="false">IF(I676="","",IF(AND(J676&gt;=1,J676&lt;=K676+3),"255.255.255.0",""))</f>
        <v/>
      </c>
      <c r="E676" s="0" t="str">
        <f aca="false">IF(I676="","",IF(AND(J676&gt;=1,J676&lt;=K676+3),"10."&amp;INDEX(Eingabe!$D$9:$D$18,I676)&amp;"."&amp;IF(J676&lt;=K676,J676,IF(J676=K676+1,200,IF(J676=K676+2,201,250)))&amp;".1",""))</f>
        <v/>
      </c>
      <c r="F676" s="0" t="str">
        <f aca="false">IF(I676="","",IF(AND(J676&gt;=1,J676&lt;=K676+3),"10."&amp;INDEX(Eingabe!$D$9:$D$18,I676)&amp;"."&amp;IF(J676&lt;=K676,J676,IF(J676=K676+1,200,IF(J676=K676+2,201,250)))&amp;".10 – 10."&amp;INDEX(Eingabe!$D$9:$D$18,I676)&amp;"."&amp;IF(J676&lt;=K676,J676,IF(J676=K676+1,200,IF(J676=K676+2,201,250)))&amp;".250",""))</f>
        <v/>
      </c>
      <c r="G676" s="0" t="str">
        <f aca="false">IF(I676="","",IF(AND(J676&gt;=1,J676&lt;=K676),Eingabe!$B$6&amp;"-"&amp;INDEX(Eingabe!$C$9:$C$18,I676)&amp;"-Pächter  ·  Passwort Parzelle "&amp;J676,IF(J676=K676+1,Eingabe!$B$6&amp;"-"&amp;INDEX(Eingabe!$C$9:$C$18,I676)&amp;"-Vorstand  ·  eigenes WLAN",IF(J676=K676+2,Eingabe!$B$6&amp;"-"&amp;INDEX(Eingabe!$C$9:$C$18,I676)&amp;"-Gäste  ·  Voucher",IF(J676=K676+3,"Kabel  ·  Access Point y = .(50+y), Mast-Switch x = .(10+x)","")))))</f>
        <v/>
      </c>
      <c r="I676" s="0" t="str">
        <f aca="false">IF(671&lt;=(Eingabe!$P$18+Eingabe!$Q$18-1),MATCH(671,Eingabe!$P$9:$P$18,1),"")</f>
        <v/>
      </c>
      <c r="J676" s="0" t="str">
        <f aca="false">IF(I676="","",671-INDEX(Eingabe!$P$9:$P$18,I676))</f>
        <v/>
      </c>
      <c r="K676" s="0" t="str">
        <f aca="false">IF(I676="","",INDEX(Eingabe!$E$9:$E$18,I676))</f>
        <v/>
      </c>
    </row>
    <row r="677" customFormat="false" ht="15" hidden="false" customHeight="false" outlineLevel="0" collapsed="false">
      <c r="A677" s="0" t="str">
        <f aca="false">IF(I677="","",IF(J677=0,"Sparte "&amp;I677&amp;": "&amp;INDEX(Eingabe!$B$9:$B$18,I677)&amp;"  (Sparten-ID "&amp;INDEX(Eingabe!$D$9:$D$18,I677)&amp;", "&amp;K677&amp;" Parzellen)",IF(J677&lt;=K677,"   Parzelle "&amp;J677,IF(J677=K677+1,"   Vorstand",IF(J677=K677+2,"   Gäste",IF(J677=K677+3,"   Technik (Switches, Access Points)",""))))))</f>
        <v/>
      </c>
      <c r="B677" s="0" t="str">
        <f aca="false">IF(I677="","",IF(AND(J677&gt;=1,J677&lt;=K677+3),IF(J677&lt;=K677,IF(J677&lt;=99,IF((INDEX(Eingabe!$G$9:$G$18,I677))&lt;=9,1000+(INDEX(Eingabe!$G$9:$G$18,I677))*100,3000)+J677,IF((INDEX(Eingabe!$G$9:$G$18,I677)+1)&lt;=9,1000+(INDEX(Eingabe!$G$9:$G$18,I677)+1)*100,3000)+J677-100),IF(J677=K677+1,2000+INDEX(Eingabe!$G$9:$G$18,I677)*10+1,IF(J677=K677+2,2000+INDEX(Eingabe!$G$9:$G$18,I677)*10+2,2000+INDEX(Eingabe!$G$9:$G$18,I677)*10+9))),""))</f>
        <v/>
      </c>
      <c r="C677" s="0" t="str">
        <f aca="false">IF(I677="","",IF(AND(J677&gt;=1,J677&lt;=K677+3),"10."&amp;INDEX(Eingabe!$D$9:$D$18,I677)&amp;"."&amp;IF(J677&lt;=K677,J677,IF(J677=K677+1,200,IF(J677=K677+2,201,250)))&amp;".0/24",""))</f>
        <v/>
      </c>
      <c r="D677" s="0" t="str">
        <f aca="false">IF(I677="","",IF(AND(J677&gt;=1,J677&lt;=K677+3),"255.255.255.0",""))</f>
        <v/>
      </c>
      <c r="E677" s="0" t="str">
        <f aca="false">IF(I677="","",IF(AND(J677&gt;=1,J677&lt;=K677+3),"10."&amp;INDEX(Eingabe!$D$9:$D$18,I677)&amp;"."&amp;IF(J677&lt;=K677,J677,IF(J677=K677+1,200,IF(J677=K677+2,201,250)))&amp;".1",""))</f>
        <v/>
      </c>
      <c r="F677" s="0" t="str">
        <f aca="false">IF(I677="","",IF(AND(J677&gt;=1,J677&lt;=K677+3),"10."&amp;INDEX(Eingabe!$D$9:$D$18,I677)&amp;"."&amp;IF(J677&lt;=K677,J677,IF(J677=K677+1,200,IF(J677=K677+2,201,250)))&amp;".10 – 10."&amp;INDEX(Eingabe!$D$9:$D$18,I677)&amp;"."&amp;IF(J677&lt;=K677,J677,IF(J677=K677+1,200,IF(J677=K677+2,201,250)))&amp;".250",""))</f>
        <v/>
      </c>
      <c r="G677" s="0" t="str">
        <f aca="false">IF(I677="","",IF(AND(J677&gt;=1,J677&lt;=K677),Eingabe!$B$6&amp;"-"&amp;INDEX(Eingabe!$C$9:$C$18,I677)&amp;"-Pächter  ·  Passwort Parzelle "&amp;J677,IF(J677=K677+1,Eingabe!$B$6&amp;"-"&amp;INDEX(Eingabe!$C$9:$C$18,I677)&amp;"-Vorstand  ·  eigenes WLAN",IF(J677=K677+2,Eingabe!$B$6&amp;"-"&amp;INDEX(Eingabe!$C$9:$C$18,I677)&amp;"-Gäste  ·  Voucher",IF(J677=K677+3,"Kabel  ·  Access Point y = .(50+y), Mast-Switch x = .(10+x)","")))))</f>
        <v/>
      </c>
      <c r="I677" s="0" t="str">
        <f aca="false">IF(672&lt;=(Eingabe!$P$18+Eingabe!$Q$18-1),MATCH(672,Eingabe!$P$9:$P$18,1),"")</f>
        <v/>
      </c>
      <c r="J677" s="0" t="str">
        <f aca="false">IF(I677="","",672-INDEX(Eingabe!$P$9:$P$18,I677))</f>
        <v/>
      </c>
      <c r="K677" s="0" t="str">
        <f aca="false">IF(I677="","",INDEX(Eingabe!$E$9:$E$18,I677))</f>
        <v/>
      </c>
    </row>
    <row r="678" customFormat="false" ht="15" hidden="false" customHeight="false" outlineLevel="0" collapsed="false">
      <c r="A678" s="0" t="str">
        <f aca="false">IF(I678="","",IF(J678=0,"Sparte "&amp;I678&amp;": "&amp;INDEX(Eingabe!$B$9:$B$18,I678)&amp;"  (Sparten-ID "&amp;INDEX(Eingabe!$D$9:$D$18,I678)&amp;", "&amp;K678&amp;" Parzellen)",IF(J678&lt;=K678,"   Parzelle "&amp;J678,IF(J678=K678+1,"   Vorstand",IF(J678=K678+2,"   Gäste",IF(J678=K678+3,"   Technik (Switches, Access Points)",""))))))</f>
        <v/>
      </c>
      <c r="B678" s="0" t="str">
        <f aca="false">IF(I678="","",IF(AND(J678&gt;=1,J678&lt;=K678+3),IF(J678&lt;=K678,IF(J678&lt;=99,IF((INDEX(Eingabe!$G$9:$G$18,I678))&lt;=9,1000+(INDEX(Eingabe!$G$9:$G$18,I678))*100,3000)+J678,IF((INDEX(Eingabe!$G$9:$G$18,I678)+1)&lt;=9,1000+(INDEX(Eingabe!$G$9:$G$18,I678)+1)*100,3000)+J678-100),IF(J678=K678+1,2000+INDEX(Eingabe!$G$9:$G$18,I678)*10+1,IF(J678=K678+2,2000+INDEX(Eingabe!$G$9:$G$18,I678)*10+2,2000+INDEX(Eingabe!$G$9:$G$18,I678)*10+9))),""))</f>
        <v/>
      </c>
      <c r="C678" s="0" t="str">
        <f aca="false">IF(I678="","",IF(AND(J678&gt;=1,J678&lt;=K678+3),"10."&amp;INDEX(Eingabe!$D$9:$D$18,I678)&amp;"."&amp;IF(J678&lt;=K678,J678,IF(J678=K678+1,200,IF(J678=K678+2,201,250)))&amp;".0/24",""))</f>
        <v/>
      </c>
      <c r="D678" s="0" t="str">
        <f aca="false">IF(I678="","",IF(AND(J678&gt;=1,J678&lt;=K678+3),"255.255.255.0",""))</f>
        <v/>
      </c>
      <c r="E678" s="0" t="str">
        <f aca="false">IF(I678="","",IF(AND(J678&gt;=1,J678&lt;=K678+3),"10."&amp;INDEX(Eingabe!$D$9:$D$18,I678)&amp;"."&amp;IF(J678&lt;=K678,J678,IF(J678=K678+1,200,IF(J678=K678+2,201,250)))&amp;".1",""))</f>
        <v/>
      </c>
      <c r="F678" s="0" t="str">
        <f aca="false">IF(I678="","",IF(AND(J678&gt;=1,J678&lt;=K678+3),"10."&amp;INDEX(Eingabe!$D$9:$D$18,I678)&amp;"."&amp;IF(J678&lt;=K678,J678,IF(J678=K678+1,200,IF(J678=K678+2,201,250)))&amp;".10 – 10."&amp;INDEX(Eingabe!$D$9:$D$18,I678)&amp;"."&amp;IF(J678&lt;=K678,J678,IF(J678=K678+1,200,IF(J678=K678+2,201,250)))&amp;".250",""))</f>
        <v/>
      </c>
      <c r="G678" s="0" t="str">
        <f aca="false">IF(I678="","",IF(AND(J678&gt;=1,J678&lt;=K678),Eingabe!$B$6&amp;"-"&amp;INDEX(Eingabe!$C$9:$C$18,I678)&amp;"-Pächter  ·  Passwort Parzelle "&amp;J678,IF(J678=K678+1,Eingabe!$B$6&amp;"-"&amp;INDEX(Eingabe!$C$9:$C$18,I678)&amp;"-Vorstand  ·  eigenes WLAN",IF(J678=K678+2,Eingabe!$B$6&amp;"-"&amp;INDEX(Eingabe!$C$9:$C$18,I678)&amp;"-Gäste  ·  Voucher",IF(J678=K678+3,"Kabel  ·  Access Point y = .(50+y), Mast-Switch x = .(10+x)","")))))</f>
        <v/>
      </c>
      <c r="I678" s="0" t="str">
        <f aca="false">IF(673&lt;=(Eingabe!$P$18+Eingabe!$Q$18-1),MATCH(673,Eingabe!$P$9:$P$18,1),"")</f>
        <v/>
      </c>
      <c r="J678" s="0" t="str">
        <f aca="false">IF(I678="","",673-INDEX(Eingabe!$P$9:$P$18,I678))</f>
        <v/>
      </c>
      <c r="K678" s="0" t="str">
        <f aca="false">IF(I678="","",INDEX(Eingabe!$E$9:$E$18,I678))</f>
        <v/>
      </c>
    </row>
    <row r="679" customFormat="false" ht="15" hidden="false" customHeight="false" outlineLevel="0" collapsed="false">
      <c r="A679" s="0" t="str">
        <f aca="false">IF(I679="","",IF(J679=0,"Sparte "&amp;I679&amp;": "&amp;INDEX(Eingabe!$B$9:$B$18,I679)&amp;"  (Sparten-ID "&amp;INDEX(Eingabe!$D$9:$D$18,I679)&amp;", "&amp;K679&amp;" Parzellen)",IF(J679&lt;=K679,"   Parzelle "&amp;J679,IF(J679=K679+1,"   Vorstand",IF(J679=K679+2,"   Gäste",IF(J679=K679+3,"   Technik (Switches, Access Points)",""))))))</f>
        <v/>
      </c>
      <c r="B679" s="0" t="str">
        <f aca="false">IF(I679="","",IF(AND(J679&gt;=1,J679&lt;=K679+3),IF(J679&lt;=K679,IF(J679&lt;=99,IF((INDEX(Eingabe!$G$9:$G$18,I679))&lt;=9,1000+(INDEX(Eingabe!$G$9:$G$18,I679))*100,3000)+J679,IF((INDEX(Eingabe!$G$9:$G$18,I679)+1)&lt;=9,1000+(INDEX(Eingabe!$G$9:$G$18,I679)+1)*100,3000)+J679-100),IF(J679=K679+1,2000+INDEX(Eingabe!$G$9:$G$18,I679)*10+1,IF(J679=K679+2,2000+INDEX(Eingabe!$G$9:$G$18,I679)*10+2,2000+INDEX(Eingabe!$G$9:$G$18,I679)*10+9))),""))</f>
        <v/>
      </c>
      <c r="C679" s="0" t="str">
        <f aca="false">IF(I679="","",IF(AND(J679&gt;=1,J679&lt;=K679+3),"10."&amp;INDEX(Eingabe!$D$9:$D$18,I679)&amp;"."&amp;IF(J679&lt;=K679,J679,IF(J679=K679+1,200,IF(J679=K679+2,201,250)))&amp;".0/24",""))</f>
        <v/>
      </c>
      <c r="D679" s="0" t="str">
        <f aca="false">IF(I679="","",IF(AND(J679&gt;=1,J679&lt;=K679+3),"255.255.255.0",""))</f>
        <v/>
      </c>
      <c r="E679" s="0" t="str">
        <f aca="false">IF(I679="","",IF(AND(J679&gt;=1,J679&lt;=K679+3),"10."&amp;INDEX(Eingabe!$D$9:$D$18,I679)&amp;"."&amp;IF(J679&lt;=K679,J679,IF(J679=K679+1,200,IF(J679=K679+2,201,250)))&amp;".1",""))</f>
        <v/>
      </c>
      <c r="F679" s="0" t="str">
        <f aca="false">IF(I679="","",IF(AND(J679&gt;=1,J679&lt;=K679+3),"10."&amp;INDEX(Eingabe!$D$9:$D$18,I679)&amp;"."&amp;IF(J679&lt;=K679,J679,IF(J679=K679+1,200,IF(J679=K679+2,201,250)))&amp;".10 – 10."&amp;INDEX(Eingabe!$D$9:$D$18,I679)&amp;"."&amp;IF(J679&lt;=K679,J679,IF(J679=K679+1,200,IF(J679=K679+2,201,250)))&amp;".250",""))</f>
        <v/>
      </c>
      <c r="G679" s="0" t="str">
        <f aca="false">IF(I679="","",IF(AND(J679&gt;=1,J679&lt;=K679),Eingabe!$B$6&amp;"-"&amp;INDEX(Eingabe!$C$9:$C$18,I679)&amp;"-Pächter  ·  Passwort Parzelle "&amp;J679,IF(J679=K679+1,Eingabe!$B$6&amp;"-"&amp;INDEX(Eingabe!$C$9:$C$18,I679)&amp;"-Vorstand  ·  eigenes WLAN",IF(J679=K679+2,Eingabe!$B$6&amp;"-"&amp;INDEX(Eingabe!$C$9:$C$18,I679)&amp;"-Gäste  ·  Voucher",IF(J679=K679+3,"Kabel  ·  Access Point y = .(50+y), Mast-Switch x = .(10+x)","")))))</f>
        <v/>
      </c>
      <c r="I679" s="0" t="str">
        <f aca="false">IF(674&lt;=(Eingabe!$P$18+Eingabe!$Q$18-1),MATCH(674,Eingabe!$P$9:$P$18,1),"")</f>
        <v/>
      </c>
      <c r="J679" s="0" t="str">
        <f aca="false">IF(I679="","",674-INDEX(Eingabe!$P$9:$P$18,I679))</f>
        <v/>
      </c>
      <c r="K679" s="0" t="str">
        <f aca="false">IF(I679="","",INDEX(Eingabe!$E$9:$E$18,I679))</f>
        <v/>
      </c>
    </row>
    <row r="680" customFormat="false" ht="15" hidden="false" customHeight="false" outlineLevel="0" collapsed="false">
      <c r="A680" s="0" t="str">
        <f aca="false">IF(I680="","",IF(J680=0,"Sparte "&amp;I680&amp;": "&amp;INDEX(Eingabe!$B$9:$B$18,I680)&amp;"  (Sparten-ID "&amp;INDEX(Eingabe!$D$9:$D$18,I680)&amp;", "&amp;K680&amp;" Parzellen)",IF(J680&lt;=K680,"   Parzelle "&amp;J680,IF(J680=K680+1,"   Vorstand",IF(J680=K680+2,"   Gäste",IF(J680=K680+3,"   Technik (Switches, Access Points)",""))))))</f>
        <v/>
      </c>
      <c r="B680" s="0" t="str">
        <f aca="false">IF(I680="","",IF(AND(J680&gt;=1,J680&lt;=K680+3),IF(J680&lt;=K680,IF(J680&lt;=99,IF((INDEX(Eingabe!$G$9:$G$18,I680))&lt;=9,1000+(INDEX(Eingabe!$G$9:$G$18,I680))*100,3000)+J680,IF((INDEX(Eingabe!$G$9:$G$18,I680)+1)&lt;=9,1000+(INDEX(Eingabe!$G$9:$G$18,I680)+1)*100,3000)+J680-100),IF(J680=K680+1,2000+INDEX(Eingabe!$G$9:$G$18,I680)*10+1,IF(J680=K680+2,2000+INDEX(Eingabe!$G$9:$G$18,I680)*10+2,2000+INDEX(Eingabe!$G$9:$G$18,I680)*10+9))),""))</f>
        <v/>
      </c>
      <c r="C680" s="0" t="str">
        <f aca="false">IF(I680="","",IF(AND(J680&gt;=1,J680&lt;=K680+3),"10."&amp;INDEX(Eingabe!$D$9:$D$18,I680)&amp;"."&amp;IF(J680&lt;=K680,J680,IF(J680=K680+1,200,IF(J680=K680+2,201,250)))&amp;".0/24",""))</f>
        <v/>
      </c>
      <c r="D680" s="0" t="str">
        <f aca="false">IF(I680="","",IF(AND(J680&gt;=1,J680&lt;=K680+3),"255.255.255.0",""))</f>
        <v/>
      </c>
      <c r="E680" s="0" t="str">
        <f aca="false">IF(I680="","",IF(AND(J680&gt;=1,J680&lt;=K680+3),"10."&amp;INDEX(Eingabe!$D$9:$D$18,I680)&amp;"."&amp;IF(J680&lt;=K680,J680,IF(J680=K680+1,200,IF(J680=K680+2,201,250)))&amp;".1",""))</f>
        <v/>
      </c>
      <c r="F680" s="0" t="str">
        <f aca="false">IF(I680="","",IF(AND(J680&gt;=1,J680&lt;=K680+3),"10."&amp;INDEX(Eingabe!$D$9:$D$18,I680)&amp;"."&amp;IF(J680&lt;=K680,J680,IF(J680=K680+1,200,IF(J680=K680+2,201,250)))&amp;".10 – 10."&amp;INDEX(Eingabe!$D$9:$D$18,I680)&amp;"."&amp;IF(J680&lt;=K680,J680,IF(J680=K680+1,200,IF(J680=K680+2,201,250)))&amp;".250",""))</f>
        <v/>
      </c>
      <c r="G680" s="0" t="str">
        <f aca="false">IF(I680="","",IF(AND(J680&gt;=1,J680&lt;=K680),Eingabe!$B$6&amp;"-"&amp;INDEX(Eingabe!$C$9:$C$18,I680)&amp;"-Pächter  ·  Passwort Parzelle "&amp;J680,IF(J680=K680+1,Eingabe!$B$6&amp;"-"&amp;INDEX(Eingabe!$C$9:$C$18,I680)&amp;"-Vorstand  ·  eigenes WLAN",IF(J680=K680+2,Eingabe!$B$6&amp;"-"&amp;INDEX(Eingabe!$C$9:$C$18,I680)&amp;"-Gäste  ·  Voucher",IF(J680=K680+3,"Kabel  ·  Access Point y = .(50+y), Mast-Switch x = .(10+x)","")))))</f>
        <v/>
      </c>
      <c r="I680" s="0" t="str">
        <f aca="false">IF(675&lt;=(Eingabe!$P$18+Eingabe!$Q$18-1),MATCH(675,Eingabe!$P$9:$P$18,1),"")</f>
        <v/>
      </c>
      <c r="J680" s="0" t="str">
        <f aca="false">IF(I680="","",675-INDEX(Eingabe!$P$9:$P$18,I680))</f>
        <v/>
      </c>
      <c r="K680" s="0" t="str">
        <f aca="false">IF(I680="","",INDEX(Eingabe!$E$9:$E$18,I680))</f>
        <v/>
      </c>
    </row>
    <row r="681" customFormat="false" ht="15" hidden="false" customHeight="false" outlineLevel="0" collapsed="false">
      <c r="A681" s="0" t="str">
        <f aca="false">IF(I681="","",IF(J681=0,"Sparte "&amp;I681&amp;": "&amp;INDEX(Eingabe!$B$9:$B$18,I681)&amp;"  (Sparten-ID "&amp;INDEX(Eingabe!$D$9:$D$18,I681)&amp;", "&amp;K681&amp;" Parzellen)",IF(J681&lt;=K681,"   Parzelle "&amp;J681,IF(J681=K681+1,"   Vorstand",IF(J681=K681+2,"   Gäste",IF(J681=K681+3,"   Technik (Switches, Access Points)",""))))))</f>
        <v/>
      </c>
      <c r="B681" s="0" t="str">
        <f aca="false">IF(I681="","",IF(AND(J681&gt;=1,J681&lt;=K681+3),IF(J681&lt;=K681,IF(J681&lt;=99,IF((INDEX(Eingabe!$G$9:$G$18,I681))&lt;=9,1000+(INDEX(Eingabe!$G$9:$G$18,I681))*100,3000)+J681,IF((INDEX(Eingabe!$G$9:$G$18,I681)+1)&lt;=9,1000+(INDEX(Eingabe!$G$9:$G$18,I681)+1)*100,3000)+J681-100),IF(J681=K681+1,2000+INDEX(Eingabe!$G$9:$G$18,I681)*10+1,IF(J681=K681+2,2000+INDEX(Eingabe!$G$9:$G$18,I681)*10+2,2000+INDEX(Eingabe!$G$9:$G$18,I681)*10+9))),""))</f>
        <v/>
      </c>
      <c r="C681" s="0" t="str">
        <f aca="false">IF(I681="","",IF(AND(J681&gt;=1,J681&lt;=K681+3),"10."&amp;INDEX(Eingabe!$D$9:$D$18,I681)&amp;"."&amp;IF(J681&lt;=K681,J681,IF(J681=K681+1,200,IF(J681=K681+2,201,250)))&amp;".0/24",""))</f>
        <v/>
      </c>
      <c r="D681" s="0" t="str">
        <f aca="false">IF(I681="","",IF(AND(J681&gt;=1,J681&lt;=K681+3),"255.255.255.0",""))</f>
        <v/>
      </c>
      <c r="E681" s="0" t="str">
        <f aca="false">IF(I681="","",IF(AND(J681&gt;=1,J681&lt;=K681+3),"10."&amp;INDEX(Eingabe!$D$9:$D$18,I681)&amp;"."&amp;IF(J681&lt;=K681,J681,IF(J681=K681+1,200,IF(J681=K681+2,201,250)))&amp;".1",""))</f>
        <v/>
      </c>
      <c r="F681" s="0" t="str">
        <f aca="false">IF(I681="","",IF(AND(J681&gt;=1,J681&lt;=K681+3),"10."&amp;INDEX(Eingabe!$D$9:$D$18,I681)&amp;"."&amp;IF(J681&lt;=K681,J681,IF(J681=K681+1,200,IF(J681=K681+2,201,250)))&amp;".10 – 10."&amp;INDEX(Eingabe!$D$9:$D$18,I681)&amp;"."&amp;IF(J681&lt;=K681,J681,IF(J681=K681+1,200,IF(J681=K681+2,201,250)))&amp;".250",""))</f>
        <v/>
      </c>
      <c r="G681" s="0" t="str">
        <f aca="false">IF(I681="","",IF(AND(J681&gt;=1,J681&lt;=K681),Eingabe!$B$6&amp;"-"&amp;INDEX(Eingabe!$C$9:$C$18,I681)&amp;"-Pächter  ·  Passwort Parzelle "&amp;J681,IF(J681=K681+1,Eingabe!$B$6&amp;"-"&amp;INDEX(Eingabe!$C$9:$C$18,I681)&amp;"-Vorstand  ·  eigenes WLAN",IF(J681=K681+2,Eingabe!$B$6&amp;"-"&amp;INDEX(Eingabe!$C$9:$C$18,I681)&amp;"-Gäste  ·  Voucher",IF(J681=K681+3,"Kabel  ·  Access Point y = .(50+y), Mast-Switch x = .(10+x)","")))))</f>
        <v/>
      </c>
      <c r="I681" s="0" t="str">
        <f aca="false">IF(676&lt;=(Eingabe!$P$18+Eingabe!$Q$18-1),MATCH(676,Eingabe!$P$9:$P$18,1),"")</f>
        <v/>
      </c>
      <c r="J681" s="0" t="str">
        <f aca="false">IF(I681="","",676-INDEX(Eingabe!$P$9:$P$18,I681))</f>
        <v/>
      </c>
      <c r="K681" s="0" t="str">
        <f aca="false">IF(I681="","",INDEX(Eingabe!$E$9:$E$18,I681))</f>
        <v/>
      </c>
    </row>
    <row r="682" customFormat="false" ht="15" hidden="false" customHeight="false" outlineLevel="0" collapsed="false">
      <c r="A682" s="0" t="str">
        <f aca="false">IF(I682="","",IF(J682=0,"Sparte "&amp;I682&amp;": "&amp;INDEX(Eingabe!$B$9:$B$18,I682)&amp;"  (Sparten-ID "&amp;INDEX(Eingabe!$D$9:$D$18,I682)&amp;", "&amp;K682&amp;" Parzellen)",IF(J682&lt;=K682,"   Parzelle "&amp;J682,IF(J682=K682+1,"   Vorstand",IF(J682=K682+2,"   Gäste",IF(J682=K682+3,"   Technik (Switches, Access Points)",""))))))</f>
        <v/>
      </c>
      <c r="B682" s="0" t="str">
        <f aca="false">IF(I682="","",IF(AND(J682&gt;=1,J682&lt;=K682+3),IF(J682&lt;=K682,IF(J682&lt;=99,IF((INDEX(Eingabe!$G$9:$G$18,I682))&lt;=9,1000+(INDEX(Eingabe!$G$9:$G$18,I682))*100,3000)+J682,IF((INDEX(Eingabe!$G$9:$G$18,I682)+1)&lt;=9,1000+(INDEX(Eingabe!$G$9:$G$18,I682)+1)*100,3000)+J682-100),IF(J682=K682+1,2000+INDEX(Eingabe!$G$9:$G$18,I682)*10+1,IF(J682=K682+2,2000+INDEX(Eingabe!$G$9:$G$18,I682)*10+2,2000+INDEX(Eingabe!$G$9:$G$18,I682)*10+9))),""))</f>
        <v/>
      </c>
      <c r="C682" s="0" t="str">
        <f aca="false">IF(I682="","",IF(AND(J682&gt;=1,J682&lt;=K682+3),"10."&amp;INDEX(Eingabe!$D$9:$D$18,I682)&amp;"."&amp;IF(J682&lt;=K682,J682,IF(J682=K682+1,200,IF(J682=K682+2,201,250)))&amp;".0/24",""))</f>
        <v/>
      </c>
      <c r="D682" s="0" t="str">
        <f aca="false">IF(I682="","",IF(AND(J682&gt;=1,J682&lt;=K682+3),"255.255.255.0",""))</f>
        <v/>
      </c>
      <c r="E682" s="0" t="str">
        <f aca="false">IF(I682="","",IF(AND(J682&gt;=1,J682&lt;=K682+3),"10."&amp;INDEX(Eingabe!$D$9:$D$18,I682)&amp;"."&amp;IF(J682&lt;=K682,J682,IF(J682=K682+1,200,IF(J682=K682+2,201,250)))&amp;".1",""))</f>
        <v/>
      </c>
      <c r="F682" s="0" t="str">
        <f aca="false">IF(I682="","",IF(AND(J682&gt;=1,J682&lt;=K682+3),"10."&amp;INDEX(Eingabe!$D$9:$D$18,I682)&amp;"."&amp;IF(J682&lt;=K682,J682,IF(J682=K682+1,200,IF(J682=K682+2,201,250)))&amp;".10 – 10."&amp;INDEX(Eingabe!$D$9:$D$18,I682)&amp;"."&amp;IF(J682&lt;=K682,J682,IF(J682=K682+1,200,IF(J682=K682+2,201,250)))&amp;".250",""))</f>
        <v/>
      </c>
      <c r="G682" s="0" t="str">
        <f aca="false">IF(I682="","",IF(AND(J682&gt;=1,J682&lt;=K682),Eingabe!$B$6&amp;"-"&amp;INDEX(Eingabe!$C$9:$C$18,I682)&amp;"-Pächter  ·  Passwort Parzelle "&amp;J682,IF(J682=K682+1,Eingabe!$B$6&amp;"-"&amp;INDEX(Eingabe!$C$9:$C$18,I682)&amp;"-Vorstand  ·  eigenes WLAN",IF(J682=K682+2,Eingabe!$B$6&amp;"-"&amp;INDEX(Eingabe!$C$9:$C$18,I682)&amp;"-Gäste  ·  Voucher",IF(J682=K682+3,"Kabel  ·  Access Point y = .(50+y), Mast-Switch x = .(10+x)","")))))</f>
        <v/>
      </c>
      <c r="I682" s="0" t="str">
        <f aca="false">IF(677&lt;=(Eingabe!$P$18+Eingabe!$Q$18-1),MATCH(677,Eingabe!$P$9:$P$18,1),"")</f>
        <v/>
      </c>
      <c r="J682" s="0" t="str">
        <f aca="false">IF(I682="","",677-INDEX(Eingabe!$P$9:$P$18,I682))</f>
        <v/>
      </c>
      <c r="K682" s="0" t="str">
        <f aca="false">IF(I682="","",INDEX(Eingabe!$E$9:$E$18,I682))</f>
        <v/>
      </c>
    </row>
    <row r="683" customFormat="false" ht="15" hidden="false" customHeight="false" outlineLevel="0" collapsed="false">
      <c r="A683" s="0" t="str">
        <f aca="false">IF(I683="","",IF(J683=0,"Sparte "&amp;I683&amp;": "&amp;INDEX(Eingabe!$B$9:$B$18,I683)&amp;"  (Sparten-ID "&amp;INDEX(Eingabe!$D$9:$D$18,I683)&amp;", "&amp;K683&amp;" Parzellen)",IF(J683&lt;=K683,"   Parzelle "&amp;J683,IF(J683=K683+1,"   Vorstand",IF(J683=K683+2,"   Gäste",IF(J683=K683+3,"   Technik (Switches, Access Points)",""))))))</f>
        <v/>
      </c>
      <c r="B683" s="0" t="str">
        <f aca="false">IF(I683="","",IF(AND(J683&gt;=1,J683&lt;=K683+3),IF(J683&lt;=K683,IF(J683&lt;=99,IF((INDEX(Eingabe!$G$9:$G$18,I683))&lt;=9,1000+(INDEX(Eingabe!$G$9:$G$18,I683))*100,3000)+J683,IF((INDEX(Eingabe!$G$9:$G$18,I683)+1)&lt;=9,1000+(INDEX(Eingabe!$G$9:$G$18,I683)+1)*100,3000)+J683-100),IF(J683=K683+1,2000+INDEX(Eingabe!$G$9:$G$18,I683)*10+1,IF(J683=K683+2,2000+INDEX(Eingabe!$G$9:$G$18,I683)*10+2,2000+INDEX(Eingabe!$G$9:$G$18,I683)*10+9))),""))</f>
        <v/>
      </c>
      <c r="C683" s="0" t="str">
        <f aca="false">IF(I683="","",IF(AND(J683&gt;=1,J683&lt;=K683+3),"10."&amp;INDEX(Eingabe!$D$9:$D$18,I683)&amp;"."&amp;IF(J683&lt;=K683,J683,IF(J683=K683+1,200,IF(J683=K683+2,201,250)))&amp;".0/24",""))</f>
        <v/>
      </c>
      <c r="D683" s="0" t="str">
        <f aca="false">IF(I683="","",IF(AND(J683&gt;=1,J683&lt;=K683+3),"255.255.255.0",""))</f>
        <v/>
      </c>
      <c r="E683" s="0" t="str">
        <f aca="false">IF(I683="","",IF(AND(J683&gt;=1,J683&lt;=K683+3),"10."&amp;INDEX(Eingabe!$D$9:$D$18,I683)&amp;"."&amp;IF(J683&lt;=K683,J683,IF(J683=K683+1,200,IF(J683=K683+2,201,250)))&amp;".1",""))</f>
        <v/>
      </c>
      <c r="F683" s="0" t="str">
        <f aca="false">IF(I683="","",IF(AND(J683&gt;=1,J683&lt;=K683+3),"10."&amp;INDEX(Eingabe!$D$9:$D$18,I683)&amp;"."&amp;IF(J683&lt;=K683,J683,IF(J683=K683+1,200,IF(J683=K683+2,201,250)))&amp;".10 – 10."&amp;INDEX(Eingabe!$D$9:$D$18,I683)&amp;"."&amp;IF(J683&lt;=K683,J683,IF(J683=K683+1,200,IF(J683=K683+2,201,250)))&amp;".250",""))</f>
        <v/>
      </c>
      <c r="G683" s="0" t="str">
        <f aca="false">IF(I683="","",IF(AND(J683&gt;=1,J683&lt;=K683),Eingabe!$B$6&amp;"-"&amp;INDEX(Eingabe!$C$9:$C$18,I683)&amp;"-Pächter  ·  Passwort Parzelle "&amp;J683,IF(J683=K683+1,Eingabe!$B$6&amp;"-"&amp;INDEX(Eingabe!$C$9:$C$18,I683)&amp;"-Vorstand  ·  eigenes WLAN",IF(J683=K683+2,Eingabe!$B$6&amp;"-"&amp;INDEX(Eingabe!$C$9:$C$18,I683)&amp;"-Gäste  ·  Voucher",IF(J683=K683+3,"Kabel  ·  Access Point y = .(50+y), Mast-Switch x = .(10+x)","")))))</f>
        <v/>
      </c>
      <c r="I683" s="0" t="str">
        <f aca="false">IF(678&lt;=(Eingabe!$P$18+Eingabe!$Q$18-1),MATCH(678,Eingabe!$P$9:$P$18,1),"")</f>
        <v/>
      </c>
      <c r="J683" s="0" t="str">
        <f aca="false">IF(I683="","",678-INDEX(Eingabe!$P$9:$P$18,I683))</f>
        <v/>
      </c>
      <c r="K683" s="0" t="str">
        <f aca="false">IF(I683="","",INDEX(Eingabe!$E$9:$E$18,I683))</f>
        <v/>
      </c>
    </row>
    <row r="684" customFormat="false" ht="15" hidden="false" customHeight="false" outlineLevel="0" collapsed="false">
      <c r="A684" s="0" t="str">
        <f aca="false">IF(I684="","",IF(J684=0,"Sparte "&amp;I684&amp;": "&amp;INDEX(Eingabe!$B$9:$B$18,I684)&amp;"  (Sparten-ID "&amp;INDEX(Eingabe!$D$9:$D$18,I684)&amp;", "&amp;K684&amp;" Parzellen)",IF(J684&lt;=K684,"   Parzelle "&amp;J684,IF(J684=K684+1,"   Vorstand",IF(J684=K684+2,"   Gäste",IF(J684=K684+3,"   Technik (Switches, Access Points)",""))))))</f>
        <v/>
      </c>
      <c r="B684" s="0" t="str">
        <f aca="false">IF(I684="","",IF(AND(J684&gt;=1,J684&lt;=K684+3),IF(J684&lt;=K684,IF(J684&lt;=99,IF((INDEX(Eingabe!$G$9:$G$18,I684))&lt;=9,1000+(INDEX(Eingabe!$G$9:$G$18,I684))*100,3000)+J684,IF((INDEX(Eingabe!$G$9:$G$18,I684)+1)&lt;=9,1000+(INDEX(Eingabe!$G$9:$G$18,I684)+1)*100,3000)+J684-100),IF(J684=K684+1,2000+INDEX(Eingabe!$G$9:$G$18,I684)*10+1,IF(J684=K684+2,2000+INDEX(Eingabe!$G$9:$G$18,I684)*10+2,2000+INDEX(Eingabe!$G$9:$G$18,I684)*10+9))),""))</f>
        <v/>
      </c>
      <c r="C684" s="0" t="str">
        <f aca="false">IF(I684="","",IF(AND(J684&gt;=1,J684&lt;=K684+3),"10."&amp;INDEX(Eingabe!$D$9:$D$18,I684)&amp;"."&amp;IF(J684&lt;=K684,J684,IF(J684=K684+1,200,IF(J684=K684+2,201,250)))&amp;".0/24",""))</f>
        <v/>
      </c>
      <c r="D684" s="0" t="str">
        <f aca="false">IF(I684="","",IF(AND(J684&gt;=1,J684&lt;=K684+3),"255.255.255.0",""))</f>
        <v/>
      </c>
      <c r="E684" s="0" t="str">
        <f aca="false">IF(I684="","",IF(AND(J684&gt;=1,J684&lt;=K684+3),"10."&amp;INDEX(Eingabe!$D$9:$D$18,I684)&amp;"."&amp;IF(J684&lt;=K684,J684,IF(J684=K684+1,200,IF(J684=K684+2,201,250)))&amp;".1",""))</f>
        <v/>
      </c>
      <c r="F684" s="0" t="str">
        <f aca="false">IF(I684="","",IF(AND(J684&gt;=1,J684&lt;=K684+3),"10."&amp;INDEX(Eingabe!$D$9:$D$18,I684)&amp;"."&amp;IF(J684&lt;=K684,J684,IF(J684=K684+1,200,IF(J684=K684+2,201,250)))&amp;".10 – 10."&amp;INDEX(Eingabe!$D$9:$D$18,I684)&amp;"."&amp;IF(J684&lt;=K684,J684,IF(J684=K684+1,200,IF(J684=K684+2,201,250)))&amp;".250",""))</f>
        <v/>
      </c>
      <c r="G684" s="0" t="str">
        <f aca="false">IF(I684="","",IF(AND(J684&gt;=1,J684&lt;=K684),Eingabe!$B$6&amp;"-"&amp;INDEX(Eingabe!$C$9:$C$18,I684)&amp;"-Pächter  ·  Passwort Parzelle "&amp;J684,IF(J684=K684+1,Eingabe!$B$6&amp;"-"&amp;INDEX(Eingabe!$C$9:$C$18,I684)&amp;"-Vorstand  ·  eigenes WLAN",IF(J684=K684+2,Eingabe!$B$6&amp;"-"&amp;INDEX(Eingabe!$C$9:$C$18,I684)&amp;"-Gäste  ·  Voucher",IF(J684=K684+3,"Kabel  ·  Access Point y = .(50+y), Mast-Switch x = .(10+x)","")))))</f>
        <v/>
      </c>
      <c r="I684" s="0" t="str">
        <f aca="false">IF(679&lt;=(Eingabe!$P$18+Eingabe!$Q$18-1),MATCH(679,Eingabe!$P$9:$P$18,1),"")</f>
        <v/>
      </c>
      <c r="J684" s="0" t="str">
        <f aca="false">IF(I684="","",679-INDEX(Eingabe!$P$9:$P$18,I684))</f>
        <v/>
      </c>
      <c r="K684" s="0" t="str">
        <f aca="false">IF(I684="","",INDEX(Eingabe!$E$9:$E$18,I684))</f>
        <v/>
      </c>
    </row>
    <row r="685" customFormat="false" ht="15" hidden="false" customHeight="false" outlineLevel="0" collapsed="false">
      <c r="A685" s="0" t="str">
        <f aca="false">IF(I685="","",IF(J685=0,"Sparte "&amp;I685&amp;": "&amp;INDEX(Eingabe!$B$9:$B$18,I685)&amp;"  (Sparten-ID "&amp;INDEX(Eingabe!$D$9:$D$18,I685)&amp;", "&amp;K685&amp;" Parzellen)",IF(J685&lt;=K685,"   Parzelle "&amp;J685,IF(J685=K685+1,"   Vorstand",IF(J685=K685+2,"   Gäste",IF(J685=K685+3,"   Technik (Switches, Access Points)",""))))))</f>
        <v/>
      </c>
      <c r="B685" s="0" t="str">
        <f aca="false">IF(I685="","",IF(AND(J685&gt;=1,J685&lt;=K685+3),IF(J685&lt;=K685,IF(J685&lt;=99,IF((INDEX(Eingabe!$G$9:$G$18,I685))&lt;=9,1000+(INDEX(Eingabe!$G$9:$G$18,I685))*100,3000)+J685,IF((INDEX(Eingabe!$G$9:$G$18,I685)+1)&lt;=9,1000+(INDEX(Eingabe!$G$9:$G$18,I685)+1)*100,3000)+J685-100),IF(J685=K685+1,2000+INDEX(Eingabe!$G$9:$G$18,I685)*10+1,IF(J685=K685+2,2000+INDEX(Eingabe!$G$9:$G$18,I685)*10+2,2000+INDEX(Eingabe!$G$9:$G$18,I685)*10+9))),""))</f>
        <v/>
      </c>
      <c r="C685" s="0" t="str">
        <f aca="false">IF(I685="","",IF(AND(J685&gt;=1,J685&lt;=K685+3),"10."&amp;INDEX(Eingabe!$D$9:$D$18,I685)&amp;"."&amp;IF(J685&lt;=K685,J685,IF(J685=K685+1,200,IF(J685=K685+2,201,250)))&amp;".0/24",""))</f>
        <v/>
      </c>
      <c r="D685" s="0" t="str">
        <f aca="false">IF(I685="","",IF(AND(J685&gt;=1,J685&lt;=K685+3),"255.255.255.0",""))</f>
        <v/>
      </c>
      <c r="E685" s="0" t="str">
        <f aca="false">IF(I685="","",IF(AND(J685&gt;=1,J685&lt;=K685+3),"10."&amp;INDEX(Eingabe!$D$9:$D$18,I685)&amp;"."&amp;IF(J685&lt;=K685,J685,IF(J685=K685+1,200,IF(J685=K685+2,201,250)))&amp;".1",""))</f>
        <v/>
      </c>
      <c r="F685" s="0" t="str">
        <f aca="false">IF(I685="","",IF(AND(J685&gt;=1,J685&lt;=K685+3),"10."&amp;INDEX(Eingabe!$D$9:$D$18,I685)&amp;"."&amp;IF(J685&lt;=K685,J685,IF(J685=K685+1,200,IF(J685=K685+2,201,250)))&amp;".10 – 10."&amp;INDEX(Eingabe!$D$9:$D$18,I685)&amp;"."&amp;IF(J685&lt;=K685,J685,IF(J685=K685+1,200,IF(J685=K685+2,201,250)))&amp;".250",""))</f>
        <v/>
      </c>
      <c r="G685" s="0" t="str">
        <f aca="false">IF(I685="","",IF(AND(J685&gt;=1,J685&lt;=K685),Eingabe!$B$6&amp;"-"&amp;INDEX(Eingabe!$C$9:$C$18,I685)&amp;"-Pächter  ·  Passwort Parzelle "&amp;J685,IF(J685=K685+1,Eingabe!$B$6&amp;"-"&amp;INDEX(Eingabe!$C$9:$C$18,I685)&amp;"-Vorstand  ·  eigenes WLAN",IF(J685=K685+2,Eingabe!$B$6&amp;"-"&amp;INDEX(Eingabe!$C$9:$C$18,I685)&amp;"-Gäste  ·  Voucher",IF(J685=K685+3,"Kabel  ·  Access Point y = .(50+y), Mast-Switch x = .(10+x)","")))))</f>
        <v/>
      </c>
      <c r="I685" s="0" t="str">
        <f aca="false">IF(680&lt;=(Eingabe!$P$18+Eingabe!$Q$18-1),MATCH(680,Eingabe!$P$9:$P$18,1),"")</f>
        <v/>
      </c>
      <c r="J685" s="0" t="str">
        <f aca="false">IF(I685="","",680-INDEX(Eingabe!$P$9:$P$18,I685))</f>
        <v/>
      </c>
      <c r="K685" s="0" t="str">
        <f aca="false">IF(I685="","",INDEX(Eingabe!$E$9:$E$18,I685))</f>
        <v/>
      </c>
    </row>
    <row r="686" customFormat="false" ht="15" hidden="false" customHeight="false" outlineLevel="0" collapsed="false">
      <c r="A686" s="0" t="str">
        <f aca="false">IF(I686="","",IF(J686=0,"Sparte "&amp;I686&amp;": "&amp;INDEX(Eingabe!$B$9:$B$18,I686)&amp;"  (Sparten-ID "&amp;INDEX(Eingabe!$D$9:$D$18,I686)&amp;", "&amp;K686&amp;" Parzellen)",IF(J686&lt;=K686,"   Parzelle "&amp;J686,IF(J686=K686+1,"   Vorstand",IF(J686=K686+2,"   Gäste",IF(J686=K686+3,"   Technik (Switches, Access Points)",""))))))</f>
        <v/>
      </c>
      <c r="B686" s="0" t="str">
        <f aca="false">IF(I686="","",IF(AND(J686&gt;=1,J686&lt;=K686+3),IF(J686&lt;=K686,IF(J686&lt;=99,IF((INDEX(Eingabe!$G$9:$G$18,I686))&lt;=9,1000+(INDEX(Eingabe!$G$9:$G$18,I686))*100,3000)+J686,IF((INDEX(Eingabe!$G$9:$G$18,I686)+1)&lt;=9,1000+(INDEX(Eingabe!$G$9:$G$18,I686)+1)*100,3000)+J686-100),IF(J686=K686+1,2000+INDEX(Eingabe!$G$9:$G$18,I686)*10+1,IF(J686=K686+2,2000+INDEX(Eingabe!$G$9:$G$18,I686)*10+2,2000+INDEX(Eingabe!$G$9:$G$18,I686)*10+9))),""))</f>
        <v/>
      </c>
      <c r="C686" s="0" t="str">
        <f aca="false">IF(I686="","",IF(AND(J686&gt;=1,J686&lt;=K686+3),"10."&amp;INDEX(Eingabe!$D$9:$D$18,I686)&amp;"."&amp;IF(J686&lt;=K686,J686,IF(J686=K686+1,200,IF(J686=K686+2,201,250)))&amp;".0/24",""))</f>
        <v/>
      </c>
      <c r="D686" s="0" t="str">
        <f aca="false">IF(I686="","",IF(AND(J686&gt;=1,J686&lt;=K686+3),"255.255.255.0",""))</f>
        <v/>
      </c>
      <c r="E686" s="0" t="str">
        <f aca="false">IF(I686="","",IF(AND(J686&gt;=1,J686&lt;=K686+3),"10."&amp;INDEX(Eingabe!$D$9:$D$18,I686)&amp;"."&amp;IF(J686&lt;=K686,J686,IF(J686=K686+1,200,IF(J686=K686+2,201,250)))&amp;".1",""))</f>
        <v/>
      </c>
      <c r="F686" s="0" t="str">
        <f aca="false">IF(I686="","",IF(AND(J686&gt;=1,J686&lt;=K686+3),"10."&amp;INDEX(Eingabe!$D$9:$D$18,I686)&amp;"."&amp;IF(J686&lt;=K686,J686,IF(J686=K686+1,200,IF(J686=K686+2,201,250)))&amp;".10 – 10."&amp;INDEX(Eingabe!$D$9:$D$18,I686)&amp;"."&amp;IF(J686&lt;=K686,J686,IF(J686=K686+1,200,IF(J686=K686+2,201,250)))&amp;".250",""))</f>
        <v/>
      </c>
      <c r="G686" s="0" t="str">
        <f aca="false">IF(I686="","",IF(AND(J686&gt;=1,J686&lt;=K686),Eingabe!$B$6&amp;"-"&amp;INDEX(Eingabe!$C$9:$C$18,I686)&amp;"-Pächter  ·  Passwort Parzelle "&amp;J686,IF(J686=K686+1,Eingabe!$B$6&amp;"-"&amp;INDEX(Eingabe!$C$9:$C$18,I686)&amp;"-Vorstand  ·  eigenes WLAN",IF(J686=K686+2,Eingabe!$B$6&amp;"-"&amp;INDEX(Eingabe!$C$9:$C$18,I686)&amp;"-Gäste  ·  Voucher",IF(J686=K686+3,"Kabel  ·  Access Point y = .(50+y), Mast-Switch x = .(10+x)","")))))</f>
        <v/>
      </c>
      <c r="I686" s="0" t="str">
        <f aca="false">IF(681&lt;=(Eingabe!$P$18+Eingabe!$Q$18-1),MATCH(681,Eingabe!$P$9:$P$18,1),"")</f>
        <v/>
      </c>
      <c r="J686" s="0" t="str">
        <f aca="false">IF(I686="","",681-INDEX(Eingabe!$P$9:$P$18,I686))</f>
        <v/>
      </c>
      <c r="K686" s="0" t="str">
        <f aca="false">IF(I686="","",INDEX(Eingabe!$E$9:$E$18,I686))</f>
        <v/>
      </c>
    </row>
    <row r="687" customFormat="false" ht="15" hidden="false" customHeight="false" outlineLevel="0" collapsed="false">
      <c r="A687" s="0" t="str">
        <f aca="false">IF(I687="","",IF(J687=0,"Sparte "&amp;I687&amp;": "&amp;INDEX(Eingabe!$B$9:$B$18,I687)&amp;"  (Sparten-ID "&amp;INDEX(Eingabe!$D$9:$D$18,I687)&amp;", "&amp;K687&amp;" Parzellen)",IF(J687&lt;=K687,"   Parzelle "&amp;J687,IF(J687=K687+1,"   Vorstand",IF(J687=K687+2,"   Gäste",IF(J687=K687+3,"   Technik (Switches, Access Points)",""))))))</f>
        <v/>
      </c>
      <c r="B687" s="0" t="str">
        <f aca="false">IF(I687="","",IF(AND(J687&gt;=1,J687&lt;=K687+3),IF(J687&lt;=K687,IF(J687&lt;=99,IF((INDEX(Eingabe!$G$9:$G$18,I687))&lt;=9,1000+(INDEX(Eingabe!$G$9:$G$18,I687))*100,3000)+J687,IF((INDEX(Eingabe!$G$9:$G$18,I687)+1)&lt;=9,1000+(INDEX(Eingabe!$G$9:$G$18,I687)+1)*100,3000)+J687-100),IF(J687=K687+1,2000+INDEX(Eingabe!$G$9:$G$18,I687)*10+1,IF(J687=K687+2,2000+INDEX(Eingabe!$G$9:$G$18,I687)*10+2,2000+INDEX(Eingabe!$G$9:$G$18,I687)*10+9))),""))</f>
        <v/>
      </c>
      <c r="C687" s="0" t="str">
        <f aca="false">IF(I687="","",IF(AND(J687&gt;=1,J687&lt;=K687+3),"10."&amp;INDEX(Eingabe!$D$9:$D$18,I687)&amp;"."&amp;IF(J687&lt;=K687,J687,IF(J687=K687+1,200,IF(J687=K687+2,201,250)))&amp;".0/24",""))</f>
        <v/>
      </c>
      <c r="D687" s="0" t="str">
        <f aca="false">IF(I687="","",IF(AND(J687&gt;=1,J687&lt;=K687+3),"255.255.255.0",""))</f>
        <v/>
      </c>
      <c r="E687" s="0" t="str">
        <f aca="false">IF(I687="","",IF(AND(J687&gt;=1,J687&lt;=K687+3),"10."&amp;INDEX(Eingabe!$D$9:$D$18,I687)&amp;"."&amp;IF(J687&lt;=K687,J687,IF(J687=K687+1,200,IF(J687=K687+2,201,250)))&amp;".1",""))</f>
        <v/>
      </c>
      <c r="F687" s="0" t="str">
        <f aca="false">IF(I687="","",IF(AND(J687&gt;=1,J687&lt;=K687+3),"10."&amp;INDEX(Eingabe!$D$9:$D$18,I687)&amp;"."&amp;IF(J687&lt;=K687,J687,IF(J687=K687+1,200,IF(J687=K687+2,201,250)))&amp;".10 – 10."&amp;INDEX(Eingabe!$D$9:$D$18,I687)&amp;"."&amp;IF(J687&lt;=K687,J687,IF(J687=K687+1,200,IF(J687=K687+2,201,250)))&amp;".250",""))</f>
        <v/>
      </c>
      <c r="G687" s="0" t="str">
        <f aca="false">IF(I687="","",IF(AND(J687&gt;=1,J687&lt;=K687),Eingabe!$B$6&amp;"-"&amp;INDEX(Eingabe!$C$9:$C$18,I687)&amp;"-Pächter  ·  Passwort Parzelle "&amp;J687,IF(J687=K687+1,Eingabe!$B$6&amp;"-"&amp;INDEX(Eingabe!$C$9:$C$18,I687)&amp;"-Vorstand  ·  eigenes WLAN",IF(J687=K687+2,Eingabe!$B$6&amp;"-"&amp;INDEX(Eingabe!$C$9:$C$18,I687)&amp;"-Gäste  ·  Voucher",IF(J687=K687+3,"Kabel  ·  Access Point y = .(50+y), Mast-Switch x = .(10+x)","")))))</f>
        <v/>
      </c>
      <c r="I687" s="0" t="str">
        <f aca="false">IF(682&lt;=(Eingabe!$P$18+Eingabe!$Q$18-1),MATCH(682,Eingabe!$P$9:$P$18,1),"")</f>
        <v/>
      </c>
      <c r="J687" s="0" t="str">
        <f aca="false">IF(I687="","",682-INDEX(Eingabe!$P$9:$P$18,I687))</f>
        <v/>
      </c>
      <c r="K687" s="0" t="str">
        <f aca="false">IF(I687="","",INDEX(Eingabe!$E$9:$E$18,I687))</f>
        <v/>
      </c>
    </row>
    <row r="688" customFormat="false" ht="15" hidden="false" customHeight="false" outlineLevel="0" collapsed="false">
      <c r="A688" s="0" t="str">
        <f aca="false">IF(I688="","",IF(J688=0,"Sparte "&amp;I688&amp;": "&amp;INDEX(Eingabe!$B$9:$B$18,I688)&amp;"  (Sparten-ID "&amp;INDEX(Eingabe!$D$9:$D$18,I688)&amp;", "&amp;K688&amp;" Parzellen)",IF(J688&lt;=K688,"   Parzelle "&amp;J688,IF(J688=K688+1,"   Vorstand",IF(J688=K688+2,"   Gäste",IF(J688=K688+3,"   Technik (Switches, Access Points)",""))))))</f>
        <v/>
      </c>
      <c r="B688" s="0" t="str">
        <f aca="false">IF(I688="","",IF(AND(J688&gt;=1,J688&lt;=K688+3),IF(J688&lt;=K688,IF(J688&lt;=99,IF((INDEX(Eingabe!$G$9:$G$18,I688))&lt;=9,1000+(INDEX(Eingabe!$G$9:$G$18,I688))*100,3000)+J688,IF((INDEX(Eingabe!$G$9:$G$18,I688)+1)&lt;=9,1000+(INDEX(Eingabe!$G$9:$G$18,I688)+1)*100,3000)+J688-100),IF(J688=K688+1,2000+INDEX(Eingabe!$G$9:$G$18,I688)*10+1,IF(J688=K688+2,2000+INDEX(Eingabe!$G$9:$G$18,I688)*10+2,2000+INDEX(Eingabe!$G$9:$G$18,I688)*10+9))),""))</f>
        <v/>
      </c>
      <c r="C688" s="0" t="str">
        <f aca="false">IF(I688="","",IF(AND(J688&gt;=1,J688&lt;=K688+3),"10."&amp;INDEX(Eingabe!$D$9:$D$18,I688)&amp;"."&amp;IF(J688&lt;=K688,J688,IF(J688=K688+1,200,IF(J688=K688+2,201,250)))&amp;".0/24",""))</f>
        <v/>
      </c>
      <c r="D688" s="0" t="str">
        <f aca="false">IF(I688="","",IF(AND(J688&gt;=1,J688&lt;=K688+3),"255.255.255.0",""))</f>
        <v/>
      </c>
      <c r="E688" s="0" t="str">
        <f aca="false">IF(I688="","",IF(AND(J688&gt;=1,J688&lt;=K688+3),"10."&amp;INDEX(Eingabe!$D$9:$D$18,I688)&amp;"."&amp;IF(J688&lt;=K688,J688,IF(J688=K688+1,200,IF(J688=K688+2,201,250)))&amp;".1",""))</f>
        <v/>
      </c>
      <c r="F688" s="0" t="str">
        <f aca="false">IF(I688="","",IF(AND(J688&gt;=1,J688&lt;=K688+3),"10."&amp;INDEX(Eingabe!$D$9:$D$18,I688)&amp;"."&amp;IF(J688&lt;=K688,J688,IF(J688=K688+1,200,IF(J688=K688+2,201,250)))&amp;".10 – 10."&amp;INDEX(Eingabe!$D$9:$D$18,I688)&amp;"."&amp;IF(J688&lt;=K688,J688,IF(J688=K688+1,200,IF(J688=K688+2,201,250)))&amp;".250",""))</f>
        <v/>
      </c>
      <c r="G688" s="0" t="str">
        <f aca="false">IF(I688="","",IF(AND(J688&gt;=1,J688&lt;=K688),Eingabe!$B$6&amp;"-"&amp;INDEX(Eingabe!$C$9:$C$18,I688)&amp;"-Pächter  ·  Passwort Parzelle "&amp;J688,IF(J688=K688+1,Eingabe!$B$6&amp;"-"&amp;INDEX(Eingabe!$C$9:$C$18,I688)&amp;"-Vorstand  ·  eigenes WLAN",IF(J688=K688+2,Eingabe!$B$6&amp;"-"&amp;INDEX(Eingabe!$C$9:$C$18,I688)&amp;"-Gäste  ·  Voucher",IF(J688=K688+3,"Kabel  ·  Access Point y = .(50+y), Mast-Switch x = .(10+x)","")))))</f>
        <v/>
      </c>
      <c r="I688" s="0" t="str">
        <f aca="false">IF(683&lt;=(Eingabe!$P$18+Eingabe!$Q$18-1),MATCH(683,Eingabe!$P$9:$P$18,1),"")</f>
        <v/>
      </c>
      <c r="J688" s="0" t="str">
        <f aca="false">IF(I688="","",683-INDEX(Eingabe!$P$9:$P$18,I688))</f>
        <v/>
      </c>
      <c r="K688" s="0" t="str">
        <f aca="false">IF(I688="","",INDEX(Eingabe!$E$9:$E$18,I688))</f>
        <v/>
      </c>
    </row>
    <row r="689" customFormat="false" ht="15" hidden="false" customHeight="false" outlineLevel="0" collapsed="false">
      <c r="A689" s="0" t="str">
        <f aca="false">IF(I689="","",IF(J689=0,"Sparte "&amp;I689&amp;": "&amp;INDEX(Eingabe!$B$9:$B$18,I689)&amp;"  (Sparten-ID "&amp;INDEX(Eingabe!$D$9:$D$18,I689)&amp;", "&amp;K689&amp;" Parzellen)",IF(J689&lt;=K689,"   Parzelle "&amp;J689,IF(J689=K689+1,"   Vorstand",IF(J689=K689+2,"   Gäste",IF(J689=K689+3,"   Technik (Switches, Access Points)",""))))))</f>
        <v/>
      </c>
      <c r="B689" s="0" t="str">
        <f aca="false">IF(I689="","",IF(AND(J689&gt;=1,J689&lt;=K689+3),IF(J689&lt;=K689,IF(J689&lt;=99,IF((INDEX(Eingabe!$G$9:$G$18,I689))&lt;=9,1000+(INDEX(Eingabe!$G$9:$G$18,I689))*100,3000)+J689,IF((INDEX(Eingabe!$G$9:$G$18,I689)+1)&lt;=9,1000+(INDEX(Eingabe!$G$9:$G$18,I689)+1)*100,3000)+J689-100),IF(J689=K689+1,2000+INDEX(Eingabe!$G$9:$G$18,I689)*10+1,IF(J689=K689+2,2000+INDEX(Eingabe!$G$9:$G$18,I689)*10+2,2000+INDEX(Eingabe!$G$9:$G$18,I689)*10+9))),""))</f>
        <v/>
      </c>
      <c r="C689" s="0" t="str">
        <f aca="false">IF(I689="","",IF(AND(J689&gt;=1,J689&lt;=K689+3),"10."&amp;INDEX(Eingabe!$D$9:$D$18,I689)&amp;"."&amp;IF(J689&lt;=K689,J689,IF(J689=K689+1,200,IF(J689=K689+2,201,250)))&amp;".0/24",""))</f>
        <v/>
      </c>
      <c r="D689" s="0" t="str">
        <f aca="false">IF(I689="","",IF(AND(J689&gt;=1,J689&lt;=K689+3),"255.255.255.0",""))</f>
        <v/>
      </c>
      <c r="E689" s="0" t="str">
        <f aca="false">IF(I689="","",IF(AND(J689&gt;=1,J689&lt;=K689+3),"10."&amp;INDEX(Eingabe!$D$9:$D$18,I689)&amp;"."&amp;IF(J689&lt;=K689,J689,IF(J689=K689+1,200,IF(J689=K689+2,201,250)))&amp;".1",""))</f>
        <v/>
      </c>
      <c r="F689" s="0" t="str">
        <f aca="false">IF(I689="","",IF(AND(J689&gt;=1,J689&lt;=K689+3),"10."&amp;INDEX(Eingabe!$D$9:$D$18,I689)&amp;"."&amp;IF(J689&lt;=K689,J689,IF(J689=K689+1,200,IF(J689=K689+2,201,250)))&amp;".10 – 10."&amp;INDEX(Eingabe!$D$9:$D$18,I689)&amp;"."&amp;IF(J689&lt;=K689,J689,IF(J689=K689+1,200,IF(J689=K689+2,201,250)))&amp;".250",""))</f>
        <v/>
      </c>
      <c r="G689" s="0" t="str">
        <f aca="false">IF(I689="","",IF(AND(J689&gt;=1,J689&lt;=K689),Eingabe!$B$6&amp;"-"&amp;INDEX(Eingabe!$C$9:$C$18,I689)&amp;"-Pächter  ·  Passwort Parzelle "&amp;J689,IF(J689=K689+1,Eingabe!$B$6&amp;"-"&amp;INDEX(Eingabe!$C$9:$C$18,I689)&amp;"-Vorstand  ·  eigenes WLAN",IF(J689=K689+2,Eingabe!$B$6&amp;"-"&amp;INDEX(Eingabe!$C$9:$C$18,I689)&amp;"-Gäste  ·  Voucher",IF(J689=K689+3,"Kabel  ·  Access Point y = .(50+y), Mast-Switch x = .(10+x)","")))))</f>
        <v/>
      </c>
      <c r="I689" s="0" t="str">
        <f aca="false">IF(684&lt;=(Eingabe!$P$18+Eingabe!$Q$18-1),MATCH(684,Eingabe!$P$9:$P$18,1),"")</f>
        <v/>
      </c>
      <c r="J689" s="0" t="str">
        <f aca="false">IF(I689="","",684-INDEX(Eingabe!$P$9:$P$18,I689))</f>
        <v/>
      </c>
      <c r="K689" s="0" t="str">
        <f aca="false">IF(I689="","",INDEX(Eingabe!$E$9:$E$18,I689))</f>
        <v/>
      </c>
    </row>
    <row r="690" customFormat="false" ht="15" hidden="false" customHeight="false" outlineLevel="0" collapsed="false">
      <c r="A690" s="0" t="str">
        <f aca="false">IF(I690="","",IF(J690=0,"Sparte "&amp;I690&amp;": "&amp;INDEX(Eingabe!$B$9:$B$18,I690)&amp;"  (Sparten-ID "&amp;INDEX(Eingabe!$D$9:$D$18,I690)&amp;", "&amp;K690&amp;" Parzellen)",IF(J690&lt;=K690,"   Parzelle "&amp;J690,IF(J690=K690+1,"   Vorstand",IF(J690=K690+2,"   Gäste",IF(J690=K690+3,"   Technik (Switches, Access Points)",""))))))</f>
        <v/>
      </c>
      <c r="B690" s="0" t="str">
        <f aca="false">IF(I690="","",IF(AND(J690&gt;=1,J690&lt;=K690+3),IF(J690&lt;=K690,IF(J690&lt;=99,IF((INDEX(Eingabe!$G$9:$G$18,I690))&lt;=9,1000+(INDEX(Eingabe!$G$9:$G$18,I690))*100,3000)+J690,IF((INDEX(Eingabe!$G$9:$G$18,I690)+1)&lt;=9,1000+(INDEX(Eingabe!$G$9:$G$18,I690)+1)*100,3000)+J690-100),IF(J690=K690+1,2000+INDEX(Eingabe!$G$9:$G$18,I690)*10+1,IF(J690=K690+2,2000+INDEX(Eingabe!$G$9:$G$18,I690)*10+2,2000+INDEX(Eingabe!$G$9:$G$18,I690)*10+9))),""))</f>
        <v/>
      </c>
      <c r="C690" s="0" t="str">
        <f aca="false">IF(I690="","",IF(AND(J690&gt;=1,J690&lt;=K690+3),"10."&amp;INDEX(Eingabe!$D$9:$D$18,I690)&amp;"."&amp;IF(J690&lt;=K690,J690,IF(J690=K690+1,200,IF(J690=K690+2,201,250)))&amp;".0/24",""))</f>
        <v/>
      </c>
      <c r="D690" s="0" t="str">
        <f aca="false">IF(I690="","",IF(AND(J690&gt;=1,J690&lt;=K690+3),"255.255.255.0",""))</f>
        <v/>
      </c>
      <c r="E690" s="0" t="str">
        <f aca="false">IF(I690="","",IF(AND(J690&gt;=1,J690&lt;=K690+3),"10."&amp;INDEX(Eingabe!$D$9:$D$18,I690)&amp;"."&amp;IF(J690&lt;=K690,J690,IF(J690=K690+1,200,IF(J690=K690+2,201,250)))&amp;".1",""))</f>
        <v/>
      </c>
      <c r="F690" s="0" t="str">
        <f aca="false">IF(I690="","",IF(AND(J690&gt;=1,J690&lt;=K690+3),"10."&amp;INDEX(Eingabe!$D$9:$D$18,I690)&amp;"."&amp;IF(J690&lt;=K690,J690,IF(J690=K690+1,200,IF(J690=K690+2,201,250)))&amp;".10 – 10."&amp;INDEX(Eingabe!$D$9:$D$18,I690)&amp;"."&amp;IF(J690&lt;=K690,J690,IF(J690=K690+1,200,IF(J690=K690+2,201,250)))&amp;".250",""))</f>
        <v/>
      </c>
      <c r="G690" s="0" t="str">
        <f aca="false">IF(I690="","",IF(AND(J690&gt;=1,J690&lt;=K690),Eingabe!$B$6&amp;"-"&amp;INDEX(Eingabe!$C$9:$C$18,I690)&amp;"-Pächter  ·  Passwort Parzelle "&amp;J690,IF(J690=K690+1,Eingabe!$B$6&amp;"-"&amp;INDEX(Eingabe!$C$9:$C$18,I690)&amp;"-Vorstand  ·  eigenes WLAN",IF(J690=K690+2,Eingabe!$B$6&amp;"-"&amp;INDEX(Eingabe!$C$9:$C$18,I690)&amp;"-Gäste  ·  Voucher",IF(J690=K690+3,"Kabel  ·  Access Point y = .(50+y), Mast-Switch x = .(10+x)","")))))</f>
        <v/>
      </c>
      <c r="I690" s="0" t="str">
        <f aca="false">IF(685&lt;=(Eingabe!$P$18+Eingabe!$Q$18-1),MATCH(685,Eingabe!$P$9:$P$18,1),"")</f>
        <v/>
      </c>
      <c r="J690" s="0" t="str">
        <f aca="false">IF(I690="","",685-INDEX(Eingabe!$P$9:$P$18,I690))</f>
        <v/>
      </c>
      <c r="K690" s="0" t="str">
        <f aca="false">IF(I690="","",INDEX(Eingabe!$E$9:$E$18,I690))</f>
        <v/>
      </c>
    </row>
    <row r="691" customFormat="false" ht="15" hidden="false" customHeight="false" outlineLevel="0" collapsed="false">
      <c r="A691" s="0" t="str">
        <f aca="false">IF(I691="","",IF(J691=0,"Sparte "&amp;I691&amp;": "&amp;INDEX(Eingabe!$B$9:$B$18,I691)&amp;"  (Sparten-ID "&amp;INDEX(Eingabe!$D$9:$D$18,I691)&amp;", "&amp;K691&amp;" Parzellen)",IF(J691&lt;=K691,"   Parzelle "&amp;J691,IF(J691=K691+1,"   Vorstand",IF(J691=K691+2,"   Gäste",IF(J691=K691+3,"   Technik (Switches, Access Points)",""))))))</f>
        <v/>
      </c>
      <c r="B691" s="0" t="str">
        <f aca="false">IF(I691="","",IF(AND(J691&gt;=1,J691&lt;=K691+3),IF(J691&lt;=K691,IF(J691&lt;=99,IF((INDEX(Eingabe!$G$9:$G$18,I691))&lt;=9,1000+(INDEX(Eingabe!$G$9:$G$18,I691))*100,3000)+J691,IF((INDEX(Eingabe!$G$9:$G$18,I691)+1)&lt;=9,1000+(INDEX(Eingabe!$G$9:$G$18,I691)+1)*100,3000)+J691-100),IF(J691=K691+1,2000+INDEX(Eingabe!$G$9:$G$18,I691)*10+1,IF(J691=K691+2,2000+INDEX(Eingabe!$G$9:$G$18,I691)*10+2,2000+INDEX(Eingabe!$G$9:$G$18,I691)*10+9))),""))</f>
        <v/>
      </c>
      <c r="C691" s="0" t="str">
        <f aca="false">IF(I691="","",IF(AND(J691&gt;=1,J691&lt;=K691+3),"10."&amp;INDEX(Eingabe!$D$9:$D$18,I691)&amp;"."&amp;IF(J691&lt;=K691,J691,IF(J691=K691+1,200,IF(J691=K691+2,201,250)))&amp;".0/24",""))</f>
        <v/>
      </c>
      <c r="D691" s="0" t="str">
        <f aca="false">IF(I691="","",IF(AND(J691&gt;=1,J691&lt;=K691+3),"255.255.255.0",""))</f>
        <v/>
      </c>
      <c r="E691" s="0" t="str">
        <f aca="false">IF(I691="","",IF(AND(J691&gt;=1,J691&lt;=K691+3),"10."&amp;INDEX(Eingabe!$D$9:$D$18,I691)&amp;"."&amp;IF(J691&lt;=K691,J691,IF(J691=K691+1,200,IF(J691=K691+2,201,250)))&amp;".1",""))</f>
        <v/>
      </c>
      <c r="F691" s="0" t="str">
        <f aca="false">IF(I691="","",IF(AND(J691&gt;=1,J691&lt;=K691+3),"10."&amp;INDEX(Eingabe!$D$9:$D$18,I691)&amp;"."&amp;IF(J691&lt;=K691,J691,IF(J691=K691+1,200,IF(J691=K691+2,201,250)))&amp;".10 – 10."&amp;INDEX(Eingabe!$D$9:$D$18,I691)&amp;"."&amp;IF(J691&lt;=K691,J691,IF(J691=K691+1,200,IF(J691=K691+2,201,250)))&amp;".250",""))</f>
        <v/>
      </c>
      <c r="G691" s="0" t="str">
        <f aca="false">IF(I691="","",IF(AND(J691&gt;=1,J691&lt;=K691),Eingabe!$B$6&amp;"-"&amp;INDEX(Eingabe!$C$9:$C$18,I691)&amp;"-Pächter  ·  Passwort Parzelle "&amp;J691,IF(J691=K691+1,Eingabe!$B$6&amp;"-"&amp;INDEX(Eingabe!$C$9:$C$18,I691)&amp;"-Vorstand  ·  eigenes WLAN",IF(J691=K691+2,Eingabe!$B$6&amp;"-"&amp;INDEX(Eingabe!$C$9:$C$18,I691)&amp;"-Gäste  ·  Voucher",IF(J691=K691+3,"Kabel  ·  Access Point y = .(50+y), Mast-Switch x = .(10+x)","")))))</f>
        <v/>
      </c>
      <c r="I691" s="0" t="str">
        <f aca="false">IF(686&lt;=(Eingabe!$P$18+Eingabe!$Q$18-1),MATCH(686,Eingabe!$P$9:$P$18,1),"")</f>
        <v/>
      </c>
      <c r="J691" s="0" t="str">
        <f aca="false">IF(I691="","",686-INDEX(Eingabe!$P$9:$P$18,I691))</f>
        <v/>
      </c>
      <c r="K691" s="0" t="str">
        <f aca="false">IF(I691="","",INDEX(Eingabe!$E$9:$E$18,I691))</f>
        <v/>
      </c>
    </row>
    <row r="692" customFormat="false" ht="15" hidden="false" customHeight="false" outlineLevel="0" collapsed="false">
      <c r="A692" s="0" t="str">
        <f aca="false">IF(I692="","",IF(J692=0,"Sparte "&amp;I692&amp;": "&amp;INDEX(Eingabe!$B$9:$B$18,I692)&amp;"  (Sparten-ID "&amp;INDEX(Eingabe!$D$9:$D$18,I692)&amp;", "&amp;K692&amp;" Parzellen)",IF(J692&lt;=K692,"   Parzelle "&amp;J692,IF(J692=K692+1,"   Vorstand",IF(J692=K692+2,"   Gäste",IF(J692=K692+3,"   Technik (Switches, Access Points)",""))))))</f>
        <v/>
      </c>
      <c r="B692" s="0" t="str">
        <f aca="false">IF(I692="","",IF(AND(J692&gt;=1,J692&lt;=K692+3),IF(J692&lt;=K692,IF(J692&lt;=99,IF((INDEX(Eingabe!$G$9:$G$18,I692))&lt;=9,1000+(INDEX(Eingabe!$G$9:$G$18,I692))*100,3000)+J692,IF((INDEX(Eingabe!$G$9:$G$18,I692)+1)&lt;=9,1000+(INDEX(Eingabe!$G$9:$G$18,I692)+1)*100,3000)+J692-100),IF(J692=K692+1,2000+INDEX(Eingabe!$G$9:$G$18,I692)*10+1,IF(J692=K692+2,2000+INDEX(Eingabe!$G$9:$G$18,I692)*10+2,2000+INDEX(Eingabe!$G$9:$G$18,I692)*10+9))),""))</f>
        <v/>
      </c>
      <c r="C692" s="0" t="str">
        <f aca="false">IF(I692="","",IF(AND(J692&gt;=1,J692&lt;=K692+3),"10."&amp;INDEX(Eingabe!$D$9:$D$18,I692)&amp;"."&amp;IF(J692&lt;=K692,J692,IF(J692=K692+1,200,IF(J692=K692+2,201,250)))&amp;".0/24",""))</f>
        <v/>
      </c>
      <c r="D692" s="0" t="str">
        <f aca="false">IF(I692="","",IF(AND(J692&gt;=1,J692&lt;=K692+3),"255.255.255.0",""))</f>
        <v/>
      </c>
      <c r="E692" s="0" t="str">
        <f aca="false">IF(I692="","",IF(AND(J692&gt;=1,J692&lt;=K692+3),"10."&amp;INDEX(Eingabe!$D$9:$D$18,I692)&amp;"."&amp;IF(J692&lt;=K692,J692,IF(J692=K692+1,200,IF(J692=K692+2,201,250)))&amp;".1",""))</f>
        <v/>
      </c>
      <c r="F692" s="0" t="str">
        <f aca="false">IF(I692="","",IF(AND(J692&gt;=1,J692&lt;=K692+3),"10."&amp;INDEX(Eingabe!$D$9:$D$18,I692)&amp;"."&amp;IF(J692&lt;=K692,J692,IF(J692=K692+1,200,IF(J692=K692+2,201,250)))&amp;".10 – 10."&amp;INDEX(Eingabe!$D$9:$D$18,I692)&amp;"."&amp;IF(J692&lt;=K692,J692,IF(J692=K692+1,200,IF(J692=K692+2,201,250)))&amp;".250",""))</f>
        <v/>
      </c>
      <c r="G692" s="0" t="str">
        <f aca="false">IF(I692="","",IF(AND(J692&gt;=1,J692&lt;=K692),Eingabe!$B$6&amp;"-"&amp;INDEX(Eingabe!$C$9:$C$18,I692)&amp;"-Pächter  ·  Passwort Parzelle "&amp;J692,IF(J692=K692+1,Eingabe!$B$6&amp;"-"&amp;INDEX(Eingabe!$C$9:$C$18,I692)&amp;"-Vorstand  ·  eigenes WLAN",IF(J692=K692+2,Eingabe!$B$6&amp;"-"&amp;INDEX(Eingabe!$C$9:$C$18,I692)&amp;"-Gäste  ·  Voucher",IF(J692=K692+3,"Kabel  ·  Access Point y = .(50+y), Mast-Switch x = .(10+x)","")))))</f>
        <v/>
      </c>
      <c r="I692" s="0" t="str">
        <f aca="false">IF(687&lt;=(Eingabe!$P$18+Eingabe!$Q$18-1),MATCH(687,Eingabe!$P$9:$P$18,1),"")</f>
        <v/>
      </c>
      <c r="J692" s="0" t="str">
        <f aca="false">IF(I692="","",687-INDEX(Eingabe!$P$9:$P$18,I692))</f>
        <v/>
      </c>
      <c r="K692" s="0" t="str">
        <f aca="false">IF(I692="","",INDEX(Eingabe!$E$9:$E$18,I692))</f>
        <v/>
      </c>
    </row>
    <row r="693" customFormat="false" ht="15" hidden="false" customHeight="false" outlineLevel="0" collapsed="false">
      <c r="A693" s="0" t="str">
        <f aca="false">IF(I693="","",IF(J693=0,"Sparte "&amp;I693&amp;": "&amp;INDEX(Eingabe!$B$9:$B$18,I693)&amp;"  (Sparten-ID "&amp;INDEX(Eingabe!$D$9:$D$18,I693)&amp;", "&amp;K693&amp;" Parzellen)",IF(J693&lt;=K693,"   Parzelle "&amp;J693,IF(J693=K693+1,"   Vorstand",IF(J693=K693+2,"   Gäste",IF(J693=K693+3,"   Technik (Switches, Access Points)",""))))))</f>
        <v/>
      </c>
      <c r="B693" s="0" t="str">
        <f aca="false">IF(I693="","",IF(AND(J693&gt;=1,J693&lt;=K693+3),IF(J693&lt;=K693,IF(J693&lt;=99,IF((INDEX(Eingabe!$G$9:$G$18,I693))&lt;=9,1000+(INDEX(Eingabe!$G$9:$G$18,I693))*100,3000)+J693,IF((INDEX(Eingabe!$G$9:$G$18,I693)+1)&lt;=9,1000+(INDEX(Eingabe!$G$9:$G$18,I693)+1)*100,3000)+J693-100),IF(J693=K693+1,2000+INDEX(Eingabe!$G$9:$G$18,I693)*10+1,IF(J693=K693+2,2000+INDEX(Eingabe!$G$9:$G$18,I693)*10+2,2000+INDEX(Eingabe!$G$9:$G$18,I693)*10+9))),""))</f>
        <v/>
      </c>
      <c r="C693" s="0" t="str">
        <f aca="false">IF(I693="","",IF(AND(J693&gt;=1,J693&lt;=K693+3),"10."&amp;INDEX(Eingabe!$D$9:$D$18,I693)&amp;"."&amp;IF(J693&lt;=K693,J693,IF(J693=K693+1,200,IF(J693=K693+2,201,250)))&amp;".0/24",""))</f>
        <v/>
      </c>
      <c r="D693" s="0" t="str">
        <f aca="false">IF(I693="","",IF(AND(J693&gt;=1,J693&lt;=K693+3),"255.255.255.0",""))</f>
        <v/>
      </c>
      <c r="E693" s="0" t="str">
        <f aca="false">IF(I693="","",IF(AND(J693&gt;=1,J693&lt;=K693+3),"10."&amp;INDEX(Eingabe!$D$9:$D$18,I693)&amp;"."&amp;IF(J693&lt;=K693,J693,IF(J693=K693+1,200,IF(J693=K693+2,201,250)))&amp;".1",""))</f>
        <v/>
      </c>
      <c r="F693" s="0" t="str">
        <f aca="false">IF(I693="","",IF(AND(J693&gt;=1,J693&lt;=K693+3),"10."&amp;INDEX(Eingabe!$D$9:$D$18,I693)&amp;"."&amp;IF(J693&lt;=K693,J693,IF(J693=K693+1,200,IF(J693=K693+2,201,250)))&amp;".10 – 10."&amp;INDEX(Eingabe!$D$9:$D$18,I693)&amp;"."&amp;IF(J693&lt;=K693,J693,IF(J693=K693+1,200,IF(J693=K693+2,201,250)))&amp;".250",""))</f>
        <v/>
      </c>
      <c r="G693" s="0" t="str">
        <f aca="false">IF(I693="","",IF(AND(J693&gt;=1,J693&lt;=K693),Eingabe!$B$6&amp;"-"&amp;INDEX(Eingabe!$C$9:$C$18,I693)&amp;"-Pächter  ·  Passwort Parzelle "&amp;J693,IF(J693=K693+1,Eingabe!$B$6&amp;"-"&amp;INDEX(Eingabe!$C$9:$C$18,I693)&amp;"-Vorstand  ·  eigenes WLAN",IF(J693=K693+2,Eingabe!$B$6&amp;"-"&amp;INDEX(Eingabe!$C$9:$C$18,I693)&amp;"-Gäste  ·  Voucher",IF(J693=K693+3,"Kabel  ·  Access Point y = .(50+y), Mast-Switch x = .(10+x)","")))))</f>
        <v/>
      </c>
      <c r="I693" s="0" t="str">
        <f aca="false">IF(688&lt;=(Eingabe!$P$18+Eingabe!$Q$18-1),MATCH(688,Eingabe!$P$9:$P$18,1),"")</f>
        <v/>
      </c>
      <c r="J693" s="0" t="str">
        <f aca="false">IF(I693="","",688-INDEX(Eingabe!$P$9:$P$18,I693))</f>
        <v/>
      </c>
      <c r="K693" s="0" t="str">
        <f aca="false">IF(I693="","",INDEX(Eingabe!$E$9:$E$18,I693))</f>
        <v/>
      </c>
    </row>
    <row r="694" customFormat="false" ht="15" hidden="false" customHeight="false" outlineLevel="0" collapsed="false">
      <c r="A694" s="0" t="str">
        <f aca="false">IF(I694="","",IF(J694=0,"Sparte "&amp;I694&amp;": "&amp;INDEX(Eingabe!$B$9:$B$18,I694)&amp;"  (Sparten-ID "&amp;INDEX(Eingabe!$D$9:$D$18,I694)&amp;", "&amp;K694&amp;" Parzellen)",IF(J694&lt;=K694,"   Parzelle "&amp;J694,IF(J694=K694+1,"   Vorstand",IF(J694=K694+2,"   Gäste",IF(J694=K694+3,"   Technik (Switches, Access Points)",""))))))</f>
        <v/>
      </c>
      <c r="B694" s="0" t="str">
        <f aca="false">IF(I694="","",IF(AND(J694&gt;=1,J694&lt;=K694+3),IF(J694&lt;=K694,IF(J694&lt;=99,IF((INDEX(Eingabe!$G$9:$G$18,I694))&lt;=9,1000+(INDEX(Eingabe!$G$9:$G$18,I694))*100,3000)+J694,IF((INDEX(Eingabe!$G$9:$G$18,I694)+1)&lt;=9,1000+(INDEX(Eingabe!$G$9:$G$18,I694)+1)*100,3000)+J694-100),IF(J694=K694+1,2000+INDEX(Eingabe!$G$9:$G$18,I694)*10+1,IF(J694=K694+2,2000+INDEX(Eingabe!$G$9:$G$18,I694)*10+2,2000+INDEX(Eingabe!$G$9:$G$18,I694)*10+9))),""))</f>
        <v/>
      </c>
      <c r="C694" s="0" t="str">
        <f aca="false">IF(I694="","",IF(AND(J694&gt;=1,J694&lt;=K694+3),"10."&amp;INDEX(Eingabe!$D$9:$D$18,I694)&amp;"."&amp;IF(J694&lt;=K694,J694,IF(J694=K694+1,200,IF(J694=K694+2,201,250)))&amp;".0/24",""))</f>
        <v/>
      </c>
      <c r="D694" s="0" t="str">
        <f aca="false">IF(I694="","",IF(AND(J694&gt;=1,J694&lt;=K694+3),"255.255.255.0",""))</f>
        <v/>
      </c>
      <c r="E694" s="0" t="str">
        <f aca="false">IF(I694="","",IF(AND(J694&gt;=1,J694&lt;=K694+3),"10."&amp;INDEX(Eingabe!$D$9:$D$18,I694)&amp;"."&amp;IF(J694&lt;=K694,J694,IF(J694=K694+1,200,IF(J694=K694+2,201,250)))&amp;".1",""))</f>
        <v/>
      </c>
      <c r="F694" s="0" t="str">
        <f aca="false">IF(I694="","",IF(AND(J694&gt;=1,J694&lt;=K694+3),"10."&amp;INDEX(Eingabe!$D$9:$D$18,I694)&amp;"."&amp;IF(J694&lt;=K694,J694,IF(J694=K694+1,200,IF(J694=K694+2,201,250)))&amp;".10 – 10."&amp;INDEX(Eingabe!$D$9:$D$18,I694)&amp;"."&amp;IF(J694&lt;=K694,J694,IF(J694=K694+1,200,IF(J694=K694+2,201,250)))&amp;".250",""))</f>
        <v/>
      </c>
      <c r="G694" s="0" t="str">
        <f aca="false">IF(I694="","",IF(AND(J694&gt;=1,J694&lt;=K694),Eingabe!$B$6&amp;"-"&amp;INDEX(Eingabe!$C$9:$C$18,I694)&amp;"-Pächter  ·  Passwort Parzelle "&amp;J694,IF(J694=K694+1,Eingabe!$B$6&amp;"-"&amp;INDEX(Eingabe!$C$9:$C$18,I694)&amp;"-Vorstand  ·  eigenes WLAN",IF(J694=K694+2,Eingabe!$B$6&amp;"-"&amp;INDEX(Eingabe!$C$9:$C$18,I694)&amp;"-Gäste  ·  Voucher",IF(J694=K694+3,"Kabel  ·  Access Point y = .(50+y), Mast-Switch x = .(10+x)","")))))</f>
        <v/>
      </c>
      <c r="I694" s="0" t="str">
        <f aca="false">IF(689&lt;=(Eingabe!$P$18+Eingabe!$Q$18-1),MATCH(689,Eingabe!$P$9:$P$18,1),"")</f>
        <v/>
      </c>
      <c r="J694" s="0" t="str">
        <f aca="false">IF(I694="","",689-INDEX(Eingabe!$P$9:$P$18,I694))</f>
        <v/>
      </c>
      <c r="K694" s="0" t="str">
        <f aca="false">IF(I694="","",INDEX(Eingabe!$E$9:$E$18,I694))</f>
        <v/>
      </c>
    </row>
    <row r="695" customFormat="false" ht="15" hidden="false" customHeight="false" outlineLevel="0" collapsed="false">
      <c r="A695" s="0" t="str">
        <f aca="false">IF(I695="","",IF(J695=0,"Sparte "&amp;I695&amp;": "&amp;INDEX(Eingabe!$B$9:$B$18,I695)&amp;"  (Sparten-ID "&amp;INDEX(Eingabe!$D$9:$D$18,I695)&amp;", "&amp;K695&amp;" Parzellen)",IF(J695&lt;=K695,"   Parzelle "&amp;J695,IF(J695=K695+1,"   Vorstand",IF(J695=K695+2,"   Gäste",IF(J695=K695+3,"   Technik (Switches, Access Points)",""))))))</f>
        <v/>
      </c>
      <c r="B695" s="0" t="str">
        <f aca="false">IF(I695="","",IF(AND(J695&gt;=1,J695&lt;=K695+3),IF(J695&lt;=K695,IF(J695&lt;=99,IF((INDEX(Eingabe!$G$9:$G$18,I695))&lt;=9,1000+(INDEX(Eingabe!$G$9:$G$18,I695))*100,3000)+J695,IF((INDEX(Eingabe!$G$9:$G$18,I695)+1)&lt;=9,1000+(INDEX(Eingabe!$G$9:$G$18,I695)+1)*100,3000)+J695-100),IF(J695=K695+1,2000+INDEX(Eingabe!$G$9:$G$18,I695)*10+1,IF(J695=K695+2,2000+INDEX(Eingabe!$G$9:$G$18,I695)*10+2,2000+INDEX(Eingabe!$G$9:$G$18,I695)*10+9))),""))</f>
        <v/>
      </c>
      <c r="C695" s="0" t="str">
        <f aca="false">IF(I695="","",IF(AND(J695&gt;=1,J695&lt;=K695+3),"10."&amp;INDEX(Eingabe!$D$9:$D$18,I695)&amp;"."&amp;IF(J695&lt;=K695,J695,IF(J695=K695+1,200,IF(J695=K695+2,201,250)))&amp;".0/24",""))</f>
        <v/>
      </c>
      <c r="D695" s="0" t="str">
        <f aca="false">IF(I695="","",IF(AND(J695&gt;=1,J695&lt;=K695+3),"255.255.255.0",""))</f>
        <v/>
      </c>
      <c r="E695" s="0" t="str">
        <f aca="false">IF(I695="","",IF(AND(J695&gt;=1,J695&lt;=K695+3),"10."&amp;INDEX(Eingabe!$D$9:$D$18,I695)&amp;"."&amp;IF(J695&lt;=K695,J695,IF(J695=K695+1,200,IF(J695=K695+2,201,250)))&amp;".1",""))</f>
        <v/>
      </c>
      <c r="F695" s="0" t="str">
        <f aca="false">IF(I695="","",IF(AND(J695&gt;=1,J695&lt;=K695+3),"10."&amp;INDEX(Eingabe!$D$9:$D$18,I695)&amp;"."&amp;IF(J695&lt;=K695,J695,IF(J695=K695+1,200,IF(J695=K695+2,201,250)))&amp;".10 – 10."&amp;INDEX(Eingabe!$D$9:$D$18,I695)&amp;"."&amp;IF(J695&lt;=K695,J695,IF(J695=K695+1,200,IF(J695=K695+2,201,250)))&amp;".250",""))</f>
        <v/>
      </c>
      <c r="G695" s="0" t="str">
        <f aca="false">IF(I695="","",IF(AND(J695&gt;=1,J695&lt;=K695),Eingabe!$B$6&amp;"-"&amp;INDEX(Eingabe!$C$9:$C$18,I695)&amp;"-Pächter  ·  Passwort Parzelle "&amp;J695,IF(J695=K695+1,Eingabe!$B$6&amp;"-"&amp;INDEX(Eingabe!$C$9:$C$18,I695)&amp;"-Vorstand  ·  eigenes WLAN",IF(J695=K695+2,Eingabe!$B$6&amp;"-"&amp;INDEX(Eingabe!$C$9:$C$18,I695)&amp;"-Gäste  ·  Voucher",IF(J695=K695+3,"Kabel  ·  Access Point y = .(50+y), Mast-Switch x = .(10+x)","")))))</f>
        <v/>
      </c>
      <c r="I695" s="0" t="str">
        <f aca="false">IF(690&lt;=(Eingabe!$P$18+Eingabe!$Q$18-1),MATCH(690,Eingabe!$P$9:$P$18,1),"")</f>
        <v/>
      </c>
      <c r="J695" s="0" t="str">
        <f aca="false">IF(I695="","",690-INDEX(Eingabe!$P$9:$P$18,I695))</f>
        <v/>
      </c>
      <c r="K695" s="0" t="str">
        <f aca="false">IF(I695="","",INDEX(Eingabe!$E$9:$E$18,I695))</f>
        <v/>
      </c>
    </row>
    <row r="696" customFormat="false" ht="15" hidden="false" customHeight="false" outlineLevel="0" collapsed="false">
      <c r="A696" s="0" t="str">
        <f aca="false">IF(I696="","",IF(J696=0,"Sparte "&amp;I696&amp;": "&amp;INDEX(Eingabe!$B$9:$B$18,I696)&amp;"  (Sparten-ID "&amp;INDEX(Eingabe!$D$9:$D$18,I696)&amp;", "&amp;K696&amp;" Parzellen)",IF(J696&lt;=K696,"   Parzelle "&amp;J696,IF(J696=K696+1,"   Vorstand",IF(J696=K696+2,"   Gäste",IF(J696=K696+3,"   Technik (Switches, Access Points)",""))))))</f>
        <v/>
      </c>
      <c r="B696" s="0" t="str">
        <f aca="false">IF(I696="","",IF(AND(J696&gt;=1,J696&lt;=K696+3),IF(J696&lt;=K696,IF(J696&lt;=99,IF((INDEX(Eingabe!$G$9:$G$18,I696))&lt;=9,1000+(INDEX(Eingabe!$G$9:$G$18,I696))*100,3000)+J696,IF((INDEX(Eingabe!$G$9:$G$18,I696)+1)&lt;=9,1000+(INDEX(Eingabe!$G$9:$G$18,I696)+1)*100,3000)+J696-100),IF(J696=K696+1,2000+INDEX(Eingabe!$G$9:$G$18,I696)*10+1,IF(J696=K696+2,2000+INDEX(Eingabe!$G$9:$G$18,I696)*10+2,2000+INDEX(Eingabe!$G$9:$G$18,I696)*10+9))),""))</f>
        <v/>
      </c>
      <c r="C696" s="0" t="str">
        <f aca="false">IF(I696="","",IF(AND(J696&gt;=1,J696&lt;=K696+3),"10."&amp;INDEX(Eingabe!$D$9:$D$18,I696)&amp;"."&amp;IF(J696&lt;=K696,J696,IF(J696=K696+1,200,IF(J696=K696+2,201,250)))&amp;".0/24",""))</f>
        <v/>
      </c>
      <c r="D696" s="0" t="str">
        <f aca="false">IF(I696="","",IF(AND(J696&gt;=1,J696&lt;=K696+3),"255.255.255.0",""))</f>
        <v/>
      </c>
      <c r="E696" s="0" t="str">
        <f aca="false">IF(I696="","",IF(AND(J696&gt;=1,J696&lt;=K696+3),"10."&amp;INDEX(Eingabe!$D$9:$D$18,I696)&amp;"."&amp;IF(J696&lt;=K696,J696,IF(J696=K696+1,200,IF(J696=K696+2,201,250)))&amp;".1",""))</f>
        <v/>
      </c>
      <c r="F696" s="0" t="str">
        <f aca="false">IF(I696="","",IF(AND(J696&gt;=1,J696&lt;=K696+3),"10."&amp;INDEX(Eingabe!$D$9:$D$18,I696)&amp;"."&amp;IF(J696&lt;=K696,J696,IF(J696=K696+1,200,IF(J696=K696+2,201,250)))&amp;".10 – 10."&amp;INDEX(Eingabe!$D$9:$D$18,I696)&amp;"."&amp;IF(J696&lt;=K696,J696,IF(J696=K696+1,200,IF(J696=K696+2,201,250)))&amp;".250",""))</f>
        <v/>
      </c>
      <c r="G696" s="0" t="str">
        <f aca="false">IF(I696="","",IF(AND(J696&gt;=1,J696&lt;=K696),Eingabe!$B$6&amp;"-"&amp;INDEX(Eingabe!$C$9:$C$18,I696)&amp;"-Pächter  ·  Passwort Parzelle "&amp;J696,IF(J696=K696+1,Eingabe!$B$6&amp;"-"&amp;INDEX(Eingabe!$C$9:$C$18,I696)&amp;"-Vorstand  ·  eigenes WLAN",IF(J696=K696+2,Eingabe!$B$6&amp;"-"&amp;INDEX(Eingabe!$C$9:$C$18,I696)&amp;"-Gäste  ·  Voucher",IF(J696=K696+3,"Kabel  ·  Access Point y = .(50+y), Mast-Switch x = .(10+x)","")))))</f>
        <v/>
      </c>
      <c r="I696" s="0" t="str">
        <f aca="false">IF(691&lt;=(Eingabe!$P$18+Eingabe!$Q$18-1),MATCH(691,Eingabe!$P$9:$P$18,1),"")</f>
        <v/>
      </c>
      <c r="J696" s="0" t="str">
        <f aca="false">IF(I696="","",691-INDEX(Eingabe!$P$9:$P$18,I696))</f>
        <v/>
      </c>
      <c r="K696" s="0" t="str">
        <f aca="false">IF(I696="","",INDEX(Eingabe!$E$9:$E$18,I696))</f>
        <v/>
      </c>
    </row>
    <row r="697" customFormat="false" ht="15" hidden="false" customHeight="false" outlineLevel="0" collapsed="false">
      <c r="A697" s="0" t="str">
        <f aca="false">IF(I697="","",IF(J697=0,"Sparte "&amp;I697&amp;": "&amp;INDEX(Eingabe!$B$9:$B$18,I697)&amp;"  (Sparten-ID "&amp;INDEX(Eingabe!$D$9:$D$18,I697)&amp;", "&amp;K697&amp;" Parzellen)",IF(J697&lt;=K697,"   Parzelle "&amp;J697,IF(J697=K697+1,"   Vorstand",IF(J697=K697+2,"   Gäste",IF(J697=K697+3,"   Technik (Switches, Access Points)",""))))))</f>
        <v/>
      </c>
      <c r="B697" s="0" t="str">
        <f aca="false">IF(I697="","",IF(AND(J697&gt;=1,J697&lt;=K697+3),IF(J697&lt;=K697,IF(J697&lt;=99,IF((INDEX(Eingabe!$G$9:$G$18,I697))&lt;=9,1000+(INDEX(Eingabe!$G$9:$G$18,I697))*100,3000)+J697,IF((INDEX(Eingabe!$G$9:$G$18,I697)+1)&lt;=9,1000+(INDEX(Eingabe!$G$9:$G$18,I697)+1)*100,3000)+J697-100),IF(J697=K697+1,2000+INDEX(Eingabe!$G$9:$G$18,I697)*10+1,IF(J697=K697+2,2000+INDEX(Eingabe!$G$9:$G$18,I697)*10+2,2000+INDEX(Eingabe!$G$9:$G$18,I697)*10+9))),""))</f>
        <v/>
      </c>
      <c r="C697" s="0" t="str">
        <f aca="false">IF(I697="","",IF(AND(J697&gt;=1,J697&lt;=K697+3),"10."&amp;INDEX(Eingabe!$D$9:$D$18,I697)&amp;"."&amp;IF(J697&lt;=K697,J697,IF(J697=K697+1,200,IF(J697=K697+2,201,250)))&amp;".0/24",""))</f>
        <v/>
      </c>
      <c r="D697" s="0" t="str">
        <f aca="false">IF(I697="","",IF(AND(J697&gt;=1,J697&lt;=K697+3),"255.255.255.0",""))</f>
        <v/>
      </c>
      <c r="E697" s="0" t="str">
        <f aca="false">IF(I697="","",IF(AND(J697&gt;=1,J697&lt;=K697+3),"10."&amp;INDEX(Eingabe!$D$9:$D$18,I697)&amp;"."&amp;IF(J697&lt;=K697,J697,IF(J697=K697+1,200,IF(J697=K697+2,201,250)))&amp;".1",""))</f>
        <v/>
      </c>
      <c r="F697" s="0" t="str">
        <f aca="false">IF(I697="","",IF(AND(J697&gt;=1,J697&lt;=K697+3),"10."&amp;INDEX(Eingabe!$D$9:$D$18,I697)&amp;"."&amp;IF(J697&lt;=K697,J697,IF(J697=K697+1,200,IF(J697=K697+2,201,250)))&amp;".10 – 10."&amp;INDEX(Eingabe!$D$9:$D$18,I697)&amp;"."&amp;IF(J697&lt;=K697,J697,IF(J697=K697+1,200,IF(J697=K697+2,201,250)))&amp;".250",""))</f>
        <v/>
      </c>
      <c r="G697" s="0" t="str">
        <f aca="false">IF(I697="","",IF(AND(J697&gt;=1,J697&lt;=K697),Eingabe!$B$6&amp;"-"&amp;INDEX(Eingabe!$C$9:$C$18,I697)&amp;"-Pächter  ·  Passwort Parzelle "&amp;J697,IF(J697=K697+1,Eingabe!$B$6&amp;"-"&amp;INDEX(Eingabe!$C$9:$C$18,I697)&amp;"-Vorstand  ·  eigenes WLAN",IF(J697=K697+2,Eingabe!$B$6&amp;"-"&amp;INDEX(Eingabe!$C$9:$C$18,I697)&amp;"-Gäste  ·  Voucher",IF(J697=K697+3,"Kabel  ·  Access Point y = .(50+y), Mast-Switch x = .(10+x)","")))))</f>
        <v/>
      </c>
      <c r="I697" s="0" t="str">
        <f aca="false">IF(692&lt;=(Eingabe!$P$18+Eingabe!$Q$18-1),MATCH(692,Eingabe!$P$9:$P$18,1),"")</f>
        <v/>
      </c>
      <c r="J697" s="0" t="str">
        <f aca="false">IF(I697="","",692-INDEX(Eingabe!$P$9:$P$18,I697))</f>
        <v/>
      </c>
      <c r="K697" s="0" t="str">
        <f aca="false">IF(I697="","",INDEX(Eingabe!$E$9:$E$18,I697))</f>
        <v/>
      </c>
    </row>
    <row r="698" customFormat="false" ht="15" hidden="false" customHeight="false" outlineLevel="0" collapsed="false">
      <c r="A698" s="0" t="str">
        <f aca="false">IF(I698="","",IF(J698=0,"Sparte "&amp;I698&amp;": "&amp;INDEX(Eingabe!$B$9:$B$18,I698)&amp;"  (Sparten-ID "&amp;INDEX(Eingabe!$D$9:$D$18,I698)&amp;", "&amp;K698&amp;" Parzellen)",IF(J698&lt;=K698,"   Parzelle "&amp;J698,IF(J698=K698+1,"   Vorstand",IF(J698=K698+2,"   Gäste",IF(J698=K698+3,"   Technik (Switches, Access Points)",""))))))</f>
        <v/>
      </c>
      <c r="B698" s="0" t="str">
        <f aca="false">IF(I698="","",IF(AND(J698&gt;=1,J698&lt;=K698+3),IF(J698&lt;=K698,IF(J698&lt;=99,IF((INDEX(Eingabe!$G$9:$G$18,I698))&lt;=9,1000+(INDEX(Eingabe!$G$9:$G$18,I698))*100,3000)+J698,IF((INDEX(Eingabe!$G$9:$G$18,I698)+1)&lt;=9,1000+(INDEX(Eingabe!$G$9:$G$18,I698)+1)*100,3000)+J698-100),IF(J698=K698+1,2000+INDEX(Eingabe!$G$9:$G$18,I698)*10+1,IF(J698=K698+2,2000+INDEX(Eingabe!$G$9:$G$18,I698)*10+2,2000+INDEX(Eingabe!$G$9:$G$18,I698)*10+9))),""))</f>
        <v/>
      </c>
      <c r="C698" s="0" t="str">
        <f aca="false">IF(I698="","",IF(AND(J698&gt;=1,J698&lt;=K698+3),"10."&amp;INDEX(Eingabe!$D$9:$D$18,I698)&amp;"."&amp;IF(J698&lt;=K698,J698,IF(J698=K698+1,200,IF(J698=K698+2,201,250)))&amp;".0/24",""))</f>
        <v/>
      </c>
      <c r="D698" s="0" t="str">
        <f aca="false">IF(I698="","",IF(AND(J698&gt;=1,J698&lt;=K698+3),"255.255.255.0",""))</f>
        <v/>
      </c>
      <c r="E698" s="0" t="str">
        <f aca="false">IF(I698="","",IF(AND(J698&gt;=1,J698&lt;=K698+3),"10."&amp;INDEX(Eingabe!$D$9:$D$18,I698)&amp;"."&amp;IF(J698&lt;=K698,J698,IF(J698=K698+1,200,IF(J698=K698+2,201,250)))&amp;".1",""))</f>
        <v/>
      </c>
      <c r="F698" s="0" t="str">
        <f aca="false">IF(I698="","",IF(AND(J698&gt;=1,J698&lt;=K698+3),"10."&amp;INDEX(Eingabe!$D$9:$D$18,I698)&amp;"."&amp;IF(J698&lt;=K698,J698,IF(J698=K698+1,200,IF(J698=K698+2,201,250)))&amp;".10 – 10."&amp;INDEX(Eingabe!$D$9:$D$18,I698)&amp;"."&amp;IF(J698&lt;=K698,J698,IF(J698=K698+1,200,IF(J698=K698+2,201,250)))&amp;".250",""))</f>
        <v/>
      </c>
      <c r="G698" s="0" t="str">
        <f aca="false">IF(I698="","",IF(AND(J698&gt;=1,J698&lt;=K698),Eingabe!$B$6&amp;"-"&amp;INDEX(Eingabe!$C$9:$C$18,I698)&amp;"-Pächter  ·  Passwort Parzelle "&amp;J698,IF(J698=K698+1,Eingabe!$B$6&amp;"-"&amp;INDEX(Eingabe!$C$9:$C$18,I698)&amp;"-Vorstand  ·  eigenes WLAN",IF(J698=K698+2,Eingabe!$B$6&amp;"-"&amp;INDEX(Eingabe!$C$9:$C$18,I698)&amp;"-Gäste  ·  Voucher",IF(J698=K698+3,"Kabel  ·  Access Point y = .(50+y), Mast-Switch x = .(10+x)","")))))</f>
        <v/>
      </c>
      <c r="I698" s="0" t="str">
        <f aca="false">IF(693&lt;=(Eingabe!$P$18+Eingabe!$Q$18-1),MATCH(693,Eingabe!$P$9:$P$18,1),"")</f>
        <v/>
      </c>
      <c r="J698" s="0" t="str">
        <f aca="false">IF(I698="","",693-INDEX(Eingabe!$P$9:$P$18,I698))</f>
        <v/>
      </c>
      <c r="K698" s="0" t="str">
        <f aca="false">IF(I698="","",INDEX(Eingabe!$E$9:$E$18,I698))</f>
        <v/>
      </c>
    </row>
    <row r="699" customFormat="false" ht="15" hidden="false" customHeight="false" outlineLevel="0" collapsed="false">
      <c r="A699" s="0" t="str">
        <f aca="false">IF(I699="","",IF(J699=0,"Sparte "&amp;I699&amp;": "&amp;INDEX(Eingabe!$B$9:$B$18,I699)&amp;"  (Sparten-ID "&amp;INDEX(Eingabe!$D$9:$D$18,I699)&amp;", "&amp;K699&amp;" Parzellen)",IF(J699&lt;=K699,"   Parzelle "&amp;J699,IF(J699=K699+1,"   Vorstand",IF(J699=K699+2,"   Gäste",IF(J699=K699+3,"   Technik (Switches, Access Points)",""))))))</f>
        <v/>
      </c>
      <c r="B699" s="0" t="str">
        <f aca="false">IF(I699="","",IF(AND(J699&gt;=1,J699&lt;=K699+3),IF(J699&lt;=K699,IF(J699&lt;=99,IF((INDEX(Eingabe!$G$9:$G$18,I699))&lt;=9,1000+(INDEX(Eingabe!$G$9:$G$18,I699))*100,3000)+J699,IF((INDEX(Eingabe!$G$9:$G$18,I699)+1)&lt;=9,1000+(INDEX(Eingabe!$G$9:$G$18,I699)+1)*100,3000)+J699-100),IF(J699=K699+1,2000+INDEX(Eingabe!$G$9:$G$18,I699)*10+1,IF(J699=K699+2,2000+INDEX(Eingabe!$G$9:$G$18,I699)*10+2,2000+INDEX(Eingabe!$G$9:$G$18,I699)*10+9))),""))</f>
        <v/>
      </c>
      <c r="C699" s="0" t="str">
        <f aca="false">IF(I699="","",IF(AND(J699&gt;=1,J699&lt;=K699+3),"10."&amp;INDEX(Eingabe!$D$9:$D$18,I699)&amp;"."&amp;IF(J699&lt;=K699,J699,IF(J699=K699+1,200,IF(J699=K699+2,201,250)))&amp;".0/24",""))</f>
        <v/>
      </c>
      <c r="D699" s="0" t="str">
        <f aca="false">IF(I699="","",IF(AND(J699&gt;=1,J699&lt;=K699+3),"255.255.255.0",""))</f>
        <v/>
      </c>
      <c r="E699" s="0" t="str">
        <f aca="false">IF(I699="","",IF(AND(J699&gt;=1,J699&lt;=K699+3),"10."&amp;INDEX(Eingabe!$D$9:$D$18,I699)&amp;"."&amp;IF(J699&lt;=K699,J699,IF(J699=K699+1,200,IF(J699=K699+2,201,250)))&amp;".1",""))</f>
        <v/>
      </c>
      <c r="F699" s="0" t="str">
        <f aca="false">IF(I699="","",IF(AND(J699&gt;=1,J699&lt;=K699+3),"10."&amp;INDEX(Eingabe!$D$9:$D$18,I699)&amp;"."&amp;IF(J699&lt;=K699,J699,IF(J699=K699+1,200,IF(J699=K699+2,201,250)))&amp;".10 – 10."&amp;INDEX(Eingabe!$D$9:$D$18,I699)&amp;"."&amp;IF(J699&lt;=K699,J699,IF(J699=K699+1,200,IF(J699=K699+2,201,250)))&amp;".250",""))</f>
        <v/>
      </c>
      <c r="G699" s="0" t="str">
        <f aca="false">IF(I699="","",IF(AND(J699&gt;=1,J699&lt;=K699),Eingabe!$B$6&amp;"-"&amp;INDEX(Eingabe!$C$9:$C$18,I699)&amp;"-Pächter  ·  Passwort Parzelle "&amp;J699,IF(J699=K699+1,Eingabe!$B$6&amp;"-"&amp;INDEX(Eingabe!$C$9:$C$18,I699)&amp;"-Vorstand  ·  eigenes WLAN",IF(J699=K699+2,Eingabe!$B$6&amp;"-"&amp;INDEX(Eingabe!$C$9:$C$18,I699)&amp;"-Gäste  ·  Voucher",IF(J699=K699+3,"Kabel  ·  Access Point y = .(50+y), Mast-Switch x = .(10+x)","")))))</f>
        <v/>
      </c>
      <c r="I699" s="0" t="str">
        <f aca="false">IF(694&lt;=(Eingabe!$P$18+Eingabe!$Q$18-1),MATCH(694,Eingabe!$P$9:$P$18,1),"")</f>
        <v/>
      </c>
      <c r="J699" s="0" t="str">
        <f aca="false">IF(I699="","",694-INDEX(Eingabe!$P$9:$P$18,I699))</f>
        <v/>
      </c>
      <c r="K699" s="0" t="str">
        <f aca="false">IF(I699="","",INDEX(Eingabe!$E$9:$E$18,I699))</f>
        <v/>
      </c>
    </row>
    <row r="700" customFormat="false" ht="15" hidden="false" customHeight="false" outlineLevel="0" collapsed="false">
      <c r="A700" s="0" t="str">
        <f aca="false">IF(I700="","",IF(J700=0,"Sparte "&amp;I700&amp;": "&amp;INDEX(Eingabe!$B$9:$B$18,I700)&amp;"  (Sparten-ID "&amp;INDEX(Eingabe!$D$9:$D$18,I700)&amp;", "&amp;K700&amp;" Parzellen)",IF(J700&lt;=K700,"   Parzelle "&amp;J700,IF(J700=K700+1,"   Vorstand",IF(J700=K700+2,"   Gäste",IF(J700=K700+3,"   Technik (Switches, Access Points)",""))))))</f>
        <v/>
      </c>
      <c r="B700" s="0" t="str">
        <f aca="false">IF(I700="","",IF(AND(J700&gt;=1,J700&lt;=K700+3),IF(J700&lt;=K700,IF(J700&lt;=99,IF((INDEX(Eingabe!$G$9:$G$18,I700))&lt;=9,1000+(INDEX(Eingabe!$G$9:$G$18,I700))*100,3000)+J700,IF((INDEX(Eingabe!$G$9:$G$18,I700)+1)&lt;=9,1000+(INDEX(Eingabe!$G$9:$G$18,I700)+1)*100,3000)+J700-100),IF(J700=K700+1,2000+INDEX(Eingabe!$G$9:$G$18,I700)*10+1,IF(J700=K700+2,2000+INDEX(Eingabe!$G$9:$G$18,I700)*10+2,2000+INDEX(Eingabe!$G$9:$G$18,I700)*10+9))),""))</f>
        <v/>
      </c>
      <c r="C700" s="0" t="str">
        <f aca="false">IF(I700="","",IF(AND(J700&gt;=1,J700&lt;=K700+3),"10."&amp;INDEX(Eingabe!$D$9:$D$18,I700)&amp;"."&amp;IF(J700&lt;=K700,J700,IF(J700=K700+1,200,IF(J700=K700+2,201,250)))&amp;".0/24",""))</f>
        <v/>
      </c>
      <c r="D700" s="0" t="str">
        <f aca="false">IF(I700="","",IF(AND(J700&gt;=1,J700&lt;=K700+3),"255.255.255.0",""))</f>
        <v/>
      </c>
      <c r="E700" s="0" t="str">
        <f aca="false">IF(I700="","",IF(AND(J700&gt;=1,J700&lt;=K700+3),"10."&amp;INDEX(Eingabe!$D$9:$D$18,I700)&amp;"."&amp;IF(J700&lt;=K700,J700,IF(J700=K700+1,200,IF(J700=K700+2,201,250)))&amp;".1",""))</f>
        <v/>
      </c>
      <c r="F700" s="0" t="str">
        <f aca="false">IF(I700="","",IF(AND(J700&gt;=1,J700&lt;=K700+3),"10."&amp;INDEX(Eingabe!$D$9:$D$18,I700)&amp;"."&amp;IF(J700&lt;=K700,J700,IF(J700=K700+1,200,IF(J700=K700+2,201,250)))&amp;".10 – 10."&amp;INDEX(Eingabe!$D$9:$D$18,I700)&amp;"."&amp;IF(J700&lt;=K700,J700,IF(J700=K700+1,200,IF(J700=K700+2,201,250)))&amp;".250",""))</f>
        <v/>
      </c>
      <c r="G700" s="0" t="str">
        <f aca="false">IF(I700="","",IF(AND(J700&gt;=1,J700&lt;=K700),Eingabe!$B$6&amp;"-"&amp;INDEX(Eingabe!$C$9:$C$18,I700)&amp;"-Pächter  ·  Passwort Parzelle "&amp;J700,IF(J700=K700+1,Eingabe!$B$6&amp;"-"&amp;INDEX(Eingabe!$C$9:$C$18,I700)&amp;"-Vorstand  ·  eigenes WLAN",IF(J700=K700+2,Eingabe!$B$6&amp;"-"&amp;INDEX(Eingabe!$C$9:$C$18,I700)&amp;"-Gäste  ·  Voucher",IF(J700=K700+3,"Kabel  ·  Access Point y = .(50+y), Mast-Switch x = .(10+x)","")))))</f>
        <v/>
      </c>
      <c r="I700" s="0" t="str">
        <f aca="false">IF(695&lt;=(Eingabe!$P$18+Eingabe!$Q$18-1),MATCH(695,Eingabe!$P$9:$P$18,1),"")</f>
        <v/>
      </c>
      <c r="J700" s="0" t="str">
        <f aca="false">IF(I700="","",695-INDEX(Eingabe!$P$9:$P$18,I700))</f>
        <v/>
      </c>
      <c r="K700" s="0" t="str">
        <f aca="false">IF(I700="","",INDEX(Eingabe!$E$9:$E$18,I700))</f>
        <v/>
      </c>
    </row>
    <row r="701" customFormat="false" ht="15" hidden="false" customHeight="false" outlineLevel="0" collapsed="false">
      <c r="A701" s="0" t="str">
        <f aca="false">IF(I701="","",IF(J701=0,"Sparte "&amp;I701&amp;": "&amp;INDEX(Eingabe!$B$9:$B$18,I701)&amp;"  (Sparten-ID "&amp;INDEX(Eingabe!$D$9:$D$18,I701)&amp;", "&amp;K701&amp;" Parzellen)",IF(J701&lt;=K701,"   Parzelle "&amp;J701,IF(J701=K701+1,"   Vorstand",IF(J701=K701+2,"   Gäste",IF(J701=K701+3,"   Technik (Switches, Access Points)",""))))))</f>
        <v/>
      </c>
      <c r="B701" s="0" t="str">
        <f aca="false">IF(I701="","",IF(AND(J701&gt;=1,J701&lt;=K701+3),IF(J701&lt;=K701,IF(J701&lt;=99,IF((INDEX(Eingabe!$G$9:$G$18,I701))&lt;=9,1000+(INDEX(Eingabe!$G$9:$G$18,I701))*100,3000)+J701,IF((INDEX(Eingabe!$G$9:$G$18,I701)+1)&lt;=9,1000+(INDEX(Eingabe!$G$9:$G$18,I701)+1)*100,3000)+J701-100),IF(J701=K701+1,2000+INDEX(Eingabe!$G$9:$G$18,I701)*10+1,IF(J701=K701+2,2000+INDEX(Eingabe!$G$9:$G$18,I701)*10+2,2000+INDEX(Eingabe!$G$9:$G$18,I701)*10+9))),""))</f>
        <v/>
      </c>
      <c r="C701" s="0" t="str">
        <f aca="false">IF(I701="","",IF(AND(J701&gt;=1,J701&lt;=K701+3),"10."&amp;INDEX(Eingabe!$D$9:$D$18,I701)&amp;"."&amp;IF(J701&lt;=K701,J701,IF(J701=K701+1,200,IF(J701=K701+2,201,250)))&amp;".0/24",""))</f>
        <v/>
      </c>
      <c r="D701" s="0" t="str">
        <f aca="false">IF(I701="","",IF(AND(J701&gt;=1,J701&lt;=K701+3),"255.255.255.0",""))</f>
        <v/>
      </c>
      <c r="E701" s="0" t="str">
        <f aca="false">IF(I701="","",IF(AND(J701&gt;=1,J701&lt;=K701+3),"10."&amp;INDEX(Eingabe!$D$9:$D$18,I701)&amp;"."&amp;IF(J701&lt;=K701,J701,IF(J701=K701+1,200,IF(J701=K701+2,201,250)))&amp;".1",""))</f>
        <v/>
      </c>
      <c r="F701" s="0" t="str">
        <f aca="false">IF(I701="","",IF(AND(J701&gt;=1,J701&lt;=K701+3),"10."&amp;INDEX(Eingabe!$D$9:$D$18,I701)&amp;"."&amp;IF(J701&lt;=K701,J701,IF(J701=K701+1,200,IF(J701=K701+2,201,250)))&amp;".10 – 10."&amp;INDEX(Eingabe!$D$9:$D$18,I701)&amp;"."&amp;IF(J701&lt;=K701,J701,IF(J701=K701+1,200,IF(J701=K701+2,201,250)))&amp;".250",""))</f>
        <v/>
      </c>
      <c r="G701" s="0" t="str">
        <f aca="false">IF(I701="","",IF(AND(J701&gt;=1,J701&lt;=K701),Eingabe!$B$6&amp;"-"&amp;INDEX(Eingabe!$C$9:$C$18,I701)&amp;"-Pächter  ·  Passwort Parzelle "&amp;J701,IF(J701=K701+1,Eingabe!$B$6&amp;"-"&amp;INDEX(Eingabe!$C$9:$C$18,I701)&amp;"-Vorstand  ·  eigenes WLAN",IF(J701=K701+2,Eingabe!$B$6&amp;"-"&amp;INDEX(Eingabe!$C$9:$C$18,I701)&amp;"-Gäste  ·  Voucher",IF(J701=K701+3,"Kabel  ·  Access Point y = .(50+y), Mast-Switch x = .(10+x)","")))))</f>
        <v/>
      </c>
      <c r="I701" s="0" t="str">
        <f aca="false">IF(696&lt;=(Eingabe!$P$18+Eingabe!$Q$18-1),MATCH(696,Eingabe!$P$9:$P$18,1),"")</f>
        <v/>
      </c>
      <c r="J701" s="0" t="str">
        <f aca="false">IF(I701="","",696-INDEX(Eingabe!$P$9:$P$18,I701))</f>
        <v/>
      </c>
      <c r="K701" s="0" t="str">
        <f aca="false">IF(I701="","",INDEX(Eingabe!$E$9:$E$18,I701))</f>
        <v/>
      </c>
    </row>
    <row r="702" customFormat="false" ht="15" hidden="false" customHeight="false" outlineLevel="0" collapsed="false">
      <c r="A702" s="0" t="str">
        <f aca="false">IF(I702="","",IF(J702=0,"Sparte "&amp;I702&amp;": "&amp;INDEX(Eingabe!$B$9:$B$18,I702)&amp;"  (Sparten-ID "&amp;INDEX(Eingabe!$D$9:$D$18,I702)&amp;", "&amp;K702&amp;" Parzellen)",IF(J702&lt;=K702,"   Parzelle "&amp;J702,IF(J702=K702+1,"   Vorstand",IF(J702=K702+2,"   Gäste",IF(J702=K702+3,"   Technik (Switches, Access Points)",""))))))</f>
        <v/>
      </c>
      <c r="B702" s="0" t="str">
        <f aca="false">IF(I702="","",IF(AND(J702&gt;=1,J702&lt;=K702+3),IF(J702&lt;=K702,IF(J702&lt;=99,IF((INDEX(Eingabe!$G$9:$G$18,I702))&lt;=9,1000+(INDEX(Eingabe!$G$9:$G$18,I702))*100,3000)+J702,IF((INDEX(Eingabe!$G$9:$G$18,I702)+1)&lt;=9,1000+(INDEX(Eingabe!$G$9:$G$18,I702)+1)*100,3000)+J702-100),IF(J702=K702+1,2000+INDEX(Eingabe!$G$9:$G$18,I702)*10+1,IF(J702=K702+2,2000+INDEX(Eingabe!$G$9:$G$18,I702)*10+2,2000+INDEX(Eingabe!$G$9:$G$18,I702)*10+9))),""))</f>
        <v/>
      </c>
      <c r="C702" s="0" t="str">
        <f aca="false">IF(I702="","",IF(AND(J702&gt;=1,J702&lt;=K702+3),"10."&amp;INDEX(Eingabe!$D$9:$D$18,I702)&amp;"."&amp;IF(J702&lt;=K702,J702,IF(J702=K702+1,200,IF(J702=K702+2,201,250)))&amp;".0/24",""))</f>
        <v/>
      </c>
      <c r="D702" s="0" t="str">
        <f aca="false">IF(I702="","",IF(AND(J702&gt;=1,J702&lt;=K702+3),"255.255.255.0",""))</f>
        <v/>
      </c>
      <c r="E702" s="0" t="str">
        <f aca="false">IF(I702="","",IF(AND(J702&gt;=1,J702&lt;=K702+3),"10."&amp;INDEX(Eingabe!$D$9:$D$18,I702)&amp;"."&amp;IF(J702&lt;=K702,J702,IF(J702=K702+1,200,IF(J702=K702+2,201,250)))&amp;".1",""))</f>
        <v/>
      </c>
      <c r="F702" s="0" t="str">
        <f aca="false">IF(I702="","",IF(AND(J702&gt;=1,J702&lt;=K702+3),"10."&amp;INDEX(Eingabe!$D$9:$D$18,I702)&amp;"."&amp;IF(J702&lt;=K702,J702,IF(J702=K702+1,200,IF(J702=K702+2,201,250)))&amp;".10 – 10."&amp;INDEX(Eingabe!$D$9:$D$18,I702)&amp;"."&amp;IF(J702&lt;=K702,J702,IF(J702=K702+1,200,IF(J702=K702+2,201,250)))&amp;".250",""))</f>
        <v/>
      </c>
      <c r="G702" s="0" t="str">
        <f aca="false">IF(I702="","",IF(AND(J702&gt;=1,J702&lt;=K702),Eingabe!$B$6&amp;"-"&amp;INDEX(Eingabe!$C$9:$C$18,I702)&amp;"-Pächter  ·  Passwort Parzelle "&amp;J702,IF(J702=K702+1,Eingabe!$B$6&amp;"-"&amp;INDEX(Eingabe!$C$9:$C$18,I702)&amp;"-Vorstand  ·  eigenes WLAN",IF(J702=K702+2,Eingabe!$B$6&amp;"-"&amp;INDEX(Eingabe!$C$9:$C$18,I702)&amp;"-Gäste  ·  Voucher",IF(J702=K702+3,"Kabel  ·  Access Point y = .(50+y), Mast-Switch x = .(10+x)","")))))</f>
        <v/>
      </c>
      <c r="I702" s="0" t="str">
        <f aca="false">IF(697&lt;=(Eingabe!$P$18+Eingabe!$Q$18-1),MATCH(697,Eingabe!$P$9:$P$18,1),"")</f>
        <v/>
      </c>
      <c r="J702" s="0" t="str">
        <f aca="false">IF(I702="","",697-INDEX(Eingabe!$P$9:$P$18,I702))</f>
        <v/>
      </c>
      <c r="K702" s="0" t="str">
        <f aca="false">IF(I702="","",INDEX(Eingabe!$E$9:$E$18,I702))</f>
        <v/>
      </c>
    </row>
    <row r="703" customFormat="false" ht="15" hidden="false" customHeight="false" outlineLevel="0" collapsed="false">
      <c r="A703" s="0" t="str">
        <f aca="false">IF(I703="","",IF(J703=0,"Sparte "&amp;I703&amp;": "&amp;INDEX(Eingabe!$B$9:$B$18,I703)&amp;"  (Sparten-ID "&amp;INDEX(Eingabe!$D$9:$D$18,I703)&amp;", "&amp;K703&amp;" Parzellen)",IF(J703&lt;=K703,"   Parzelle "&amp;J703,IF(J703=K703+1,"   Vorstand",IF(J703=K703+2,"   Gäste",IF(J703=K703+3,"   Technik (Switches, Access Points)",""))))))</f>
        <v/>
      </c>
      <c r="B703" s="0" t="str">
        <f aca="false">IF(I703="","",IF(AND(J703&gt;=1,J703&lt;=K703+3),IF(J703&lt;=K703,IF(J703&lt;=99,IF((INDEX(Eingabe!$G$9:$G$18,I703))&lt;=9,1000+(INDEX(Eingabe!$G$9:$G$18,I703))*100,3000)+J703,IF((INDEX(Eingabe!$G$9:$G$18,I703)+1)&lt;=9,1000+(INDEX(Eingabe!$G$9:$G$18,I703)+1)*100,3000)+J703-100),IF(J703=K703+1,2000+INDEX(Eingabe!$G$9:$G$18,I703)*10+1,IF(J703=K703+2,2000+INDEX(Eingabe!$G$9:$G$18,I703)*10+2,2000+INDEX(Eingabe!$G$9:$G$18,I703)*10+9))),""))</f>
        <v/>
      </c>
      <c r="C703" s="0" t="str">
        <f aca="false">IF(I703="","",IF(AND(J703&gt;=1,J703&lt;=K703+3),"10."&amp;INDEX(Eingabe!$D$9:$D$18,I703)&amp;"."&amp;IF(J703&lt;=K703,J703,IF(J703=K703+1,200,IF(J703=K703+2,201,250)))&amp;".0/24",""))</f>
        <v/>
      </c>
      <c r="D703" s="0" t="str">
        <f aca="false">IF(I703="","",IF(AND(J703&gt;=1,J703&lt;=K703+3),"255.255.255.0",""))</f>
        <v/>
      </c>
      <c r="E703" s="0" t="str">
        <f aca="false">IF(I703="","",IF(AND(J703&gt;=1,J703&lt;=K703+3),"10."&amp;INDEX(Eingabe!$D$9:$D$18,I703)&amp;"."&amp;IF(J703&lt;=K703,J703,IF(J703=K703+1,200,IF(J703=K703+2,201,250)))&amp;".1",""))</f>
        <v/>
      </c>
      <c r="F703" s="0" t="str">
        <f aca="false">IF(I703="","",IF(AND(J703&gt;=1,J703&lt;=K703+3),"10."&amp;INDEX(Eingabe!$D$9:$D$18,I703)&amp;"."&amp;IF(J703&lt;=K703,J703,IF(J703=K703+1,200,IF(J703=K703+2,201,250)))&amp;".10 – 10."&amp;INDEX(Eingabe!$D$9:$D$18,I703)&amp;"."&amp;IF(J703&lt;=K703,J703,IF(J703=K703+1,200,IF(J703=K703+2,201,250)))&amp;".250",""))</f>
        <v/>
      </c>
      <c r="G703" s="0" t="str">
        <f aca="false">IF(I703="","",IF(AND(J703&gt;=1,J703&lt;=K703),Eingabe!$B$6&amp;"-"&amp;INDEX(Eingabe!$C$9:$C$18,I703)&amp;"-Pächter  ·  Passwort Parzelle "&amp;J703,IF(J703=K703+1,Eingabe!$B$6&amp;"-"&amp;INDEX(Eingabe!$C$9:$C$18,I703)&amp;"-Vorstand  ·  eigenes WLAN",IF(J703=K703+2,Eingabe!$B$6&amp;"-"&amp;INDEX(Eingabe!$C$9:$C$18,I703)&amp;"-Gäste  ·  Voucher",IF(J703=K703+3,"Kabel  ·  Access Point y = .(50+y), Mast-Switch x = .(10+x)","")))))</f>
        <v/>
      </c>
      <c r="I703" s="0" t="str">
        <f aca="false">IF(698&lt;=(Eingabe!$P$18+Eingabe!$Q$18-1),MATCH(698,Eingabe!$P$9:$P$18,1),"")</f>
        <v/>
      </c>
      <c r="J703" s="0" t="str">
        <f aca="false">IF(I703="","",698-INDEX(Eingabe!$P$9:$P$18,I703))</f>
        <v/>
      </c>
      <c r="K703" s="0" t="str">
        <f aca="false">IF(I703="","",INDEX(Eingabe!$E$9:$E$18,I703))</f>
        <v/>
      </c>
    </row>
    <row r="704" customFormat="false" ht="15" hidden="false" customHeight="false" outlineLevel="0" collapsed="false">
      <c r="A704" s="0" t="str">
        <f aca="false">IF(I704="","",IF(J704=0,"Sparte "&amp;I704&amp;": "&amp;INDEX(Eingabe!$B$9:$B$18,I704)&amp;"  (Sparten-ID "&amp;INDEX(Eingabe!$D$9:$D$18,I704)&amp;", "&amp;K704&amp;" Parzellen)",IF(J704&lt;=K704,"   Parzelle "&amp;J704,IF(J704=K704+1,"   Vorstand",IF(J704=K704+2,"   Gäste",IF(J704=K704+3,"   Technik (Switches, Access Points)",""))))))</f>
        <v/>
      </c>
      <c r="B704" s="0" t="str">
        <f aca="false">IF(I704="","",IF(AND(J704&gt;=1,J704&lt;=K704+3),IF(J704&lt;=K704,IF(J704&lt;=99,IF((INDEX(Eingabe!$G$9:$G$18,I704))&lt;=9,1000+(INDEX(Eingabe!$G$9:$G$18,I704))*100,3000)+J704,IF((INDEX(Eingabe!$G$9:$G$18,I704)+1)&lt;=9,1000+(INDEX(Eingabe!$G$9:$G$18,I704)+1)*100,3000)+J704-100),IF(J704=K704+1,2000+INDEX(Eingabe!$G$9:$G$18,I704)*10+1,IF(J704=K704+2,2000+INDEX(Eingabe!$G$9:$G$18,I704)*10+2,2000+INDEX(Eingabe!$G$9:$G$18,I704)*10+9))),""))</f>
        <v/>
      </c>
      <c r="C704" s="0" t="str">
        <f aca="false">IF(I704="","",IF(AND(J704&gt;=1,J704&lt;=K704+3),"10."&amp;INDEX(Eingabe!$D$9:$D$18,I704)&amp;"."&amp;IF(J704&lt;=K704,J704,IF(J704=K704+1,200,IF(J704=K704+2,201,250)))&amp;".0/24",""))</f>
        <v/>
      </c>
      <c r="D704" s="0" t="str">
        <f aca="false">IF(I704="","",IF(AND(J704&gt;=1,J704&lt;=K704+3),"255.255.255.0",""))</f>
        <v/>
      </c>
      <c r="E704" s="0" t="str">
        <f aca="false">IF(I704="","",IF(AND(J704&gt;=1,J704&lt;=K704+3),"10."&amp;INDEX(Eingabe!$D$9:$D$18,I704)&amp;"."&amp;IF(J704&lt;=K704,J704,IF(J704=K704+1,200,IF(J704=K704+2,201,250)))&amp;".1",""))</f>
        <v/>
      </c>
      <c r="F704" s="0" t="str">
        <f aca="false">IF(I704="","",IF(AND(J704&gt;=1,J704&lt;=K704+3),"10."&amp;INDEX(Eingabe!$D$9:$D$18,I704)&amp;"."&amp;IF(J704&lt;=K704,J704,IF(J704=K704+1,200,IF(J704=K704+2,201,250)))&amp;".10 – 10."&amp;INDEX(Eingabe!$D$9:$D$18,I704)&amp;"."&amp;IF(J704&lt;=K704,J704,IF(J704=K704+1,200,IF(J704=K704+2,201,250)))&amp;".250",""))</f>
        <v/>
      </c>
      <c r="G704" s="0" t="str">
        <f aca="false">IF(I704="","",IF(AND(J704&gt;=1,J704&lt;=K704),Eingabe!$B$6&amp;"-"&amp;INDEX(Eingabe!$C$9:$C$18,I704)&amp;"-Pächter  ·  Passwort Parzelle "&amp;J704,IF(J704=K704+1,Eingabe!$B$6&amp;"-"&amp;INDEX(Eingabe!$C$9:$C$18,I704)&amp;"-Vorstand  ·  eigenes WLAN",IF(J704=K704+2,Eingabe!$B$6&amp;"-"&amp;INDEX(Eingabe!$C$9:$C$18,I704)&amp;"-Gäste  ·  Voucher",IF(J704=K704+3,"Kabel  ·  Access Point y = .(50+y), Mast-Switch x = .(10+x)","")))))</f>
        <v/>
      </c>
      <c r="I704" s="0" t="str">
        <f aca="false">IF(699&lt;=(Eingabe!$P$18+Eingabe!$Q$18-1),MATCH(699,Eingabe!$P$9:$P$18,1),"")</f>
        <v/>
      </c>
      <c r="J704" s="0" t="str">
        <f aca="false">IF(I704="","",699-INDEX(Eingabe!$P$9:$P$18,I704))</f>
        <v/>
      </c>
      <c r="K704" s="0" t="str">
        <f aca="false">IF(I704="","",INDEX(Eingabe!$E$9:$E$18,I704))</f>
        <v/>
      </c>
    </row>
    <row r="705" customFormat="false" ht="15" hidden="false" customHeight="false" outlineLevel="0" collapsed="false">
      <c r="A705" s="0" t="str">
        <f aca="false">IF(I705="","",IF(J705=0,"Sparte "&amp;I705&amp;": "&amp;INDEX(Eingabe!$B$9:$B$18,I705)&amp;"  (Sparten-ID "&amp;INDEX(Eingabe!$D$9:$D$18,I705)&amp;", "&amp;K705&amp;" Parzellen)",IF(J705&lt;=K705,"   Parzelle "&amp;J705,IF(J705=K705+1,"   Vorstand",IF(J705=K705+2,"   Gäste",IF(J705=K705+3,"   Technik (Switches, Access Points)",""))))))</f>
        <v/>
      </c>
      <c r="B705" s="0" t="str">
        <f aca="false">IF(I705="","",IF(AND(J705&gt;=1,J705&lt;=K705+3),IF(J705&lt;=K705,IF(J705&lt;=99,IF((INDEX(Eingabe!$G$9:$G$18,I705))&lt;=9,1000+(INDEX(Eingabe!$G$9:$G$18,I705))*100,3000)+J705,IF((INDEX(Eingabe!$G$9:$G$18,I705)+1)&lt;=9,1000+(INDEX(Eingabe!$G$9:$G$18,I705)+1)*100,3000)+J705-100),IF(J705=K705+1,2000+INDEX(Eingabe!$G$9:$G$18,I705)*10+1,IF(J705=K705+2,2000+INDEX(Eingabe!$G$9:$G$18,I705)*10+2,2000+INDEX(Eingabe!$G$9:$G$18,I705)*10+9))),""))</f>
        <v/>
      </c>
      <c r="C705" s="0" t="str">
        <f aca="false">IF(I705="","",IF(AND(J705&gt;=1,J705&lt;=K705+3),"10."&amp;INDEX(Eingabe!$D$9:$D$18,I705)&amp;"."&amp;IF(J705&lt;=K705,J705,IF(J705=K705+1,200,IF(J705=K705+2,201,250)))&amp;".0/24",""))</f>
        <v/>
      </c>
      <c r="D705" s="0" t="str">
        <f aca="false">IF(I705="","",IF(AND(J705&gt;=1,J705&lt;=K705+3),"255.255.255.0",""))</f>
        <v/>
      </c>
      <c r="E705" s="0" t="str">
        <f aca="false">IF(I705="","",IF(AND(J705&gt;=1,J705&lt;=K705+3),"10."&amp;INDEX(Eingabe!$D$9:$D$18,I705)&amp;"."&amp;IF(J705&lt;=K705,J705,IF(J705=K705+1,200,IF(J705=K705+2,201,250)))&amp;".1",""))</f>
        <v/>
      </c>
      <c r="F705" s="0" t="str">
        <f aca="false">IF(I705="","",IF(AND(J705&gt;=1,J705&lt;=K705+3),"10."&amp;INDEX(Eingabe!$D$9:$D$18,I705)&amp;"."&amp;IF(J705&lt;=K705,J705,IF(J705=K705+1,200,IF(J705=K705+2,201,250)))&amp;".10 – 10."&amp;INDEX(Eingabe!$D$9:$D$18,I705)&amp;"."&amp;IF(J705&lt;=K705,J705,IF(J705=K705+1,200,IF(J705=K705+2,201,250)))&amp;".250",""))</f>
        <v/>
      </c>
      <c r="G705" s="0" t="str">
        <f aca="false">IF(I705="","",IF(AND(J705&gt;=1,J705&lt;=K705),Eingabe!$B$6&amp;"-"&amp;INDEX(Eingabe!$C$9:$C$18,I705)&amp;"-Pächter  ·  Passwort Parzelle "&amp;J705,IF(J705=K705+1,Eingabe!$B$6&amp;"-"&amp;INDEX(Eingabe!$C$9:$C$18,I705)&amp;"-Vorstand  ·  eigenes WLAN",IF(J705=K705+2,Eingabe!$B$6&amp;"-"&amp;INDEX(Eingabe!$C$9:$C$18,I705)&amp;"-Gäste  ·  Voucher",IF(J705=K705+3,"Kabel  ·  Access Point y = .(50+y), Mast-Switch x = .(10+x)","")))))</f>
        <v/>
      </c>
      <c r="I705" s="0" t="str">
        <f aca="false">IF(700&lt;=(Eingabe!$P$18+Eingabe!$Q$18-1),MATCH(700,Eingabe!$P$9:$P$18,1),"")</f>
        <v/>
      </c>
      <c r="J705" s="0" t="str">
        <f aca="false">IF(I705="","",700-INDEX(Eingabe!$P$9:$P$18,I705))</f>
        <v/>
      </c>
      <c r="K705" s="0" t="str">
        <f aca="false">IF(I705="","",INDEX(Eingabe!$E$9:$E$18,I705))</f>
        <v/>
      </c>
    </row>
    <row r="706" customFormat="false" ht="15" hidden="false" customHeight="false" outlineLevel="0" collapsed="false">
      <c r="A706" s="0" t="str">
        <f aca="false">IF(I706="","",IF(J706=0,"Sparte "&amp;I706&amp;": "&amp;INDEX(Eingabe!$B$9:$B$18,I706)&amp;"  (Sparten-ID "&amp;INDEX(Eingabe!$D$9:$D$18,I706)&amp;", "&amp;K706&amp;" Parzellen)",IF(J706&lt;=K706,"   Parzelle "&amp;J706,IF(J706=K706+1,"   Vorstand",IF(J706=K706+2,"   Gäste",IF(J706=K706+3,"   Technik (Switches, Access Points)",""))))))</f>
        <v/>
      </c>
      <c r="B706" s="0" t="str">
        <f aca="false">IF(I706="","",IF(AND(J706&gt;=1,J706&lt;=K706+3),IF(J706&lt;=K706,IF(J706&lt;=99,IF((INDEX(Eingabe!$G$9:$G$18,I706))&lt;=9,1000+(INDEX(Eingabe!$G$9:$G$18,I706))*100,3000)+J706,IF((INDEX(Eingabe!$G$9:$G$18,I706)+1)&lt;=9,1000+(INDEX(Eingabe!$G$9:$G$18,I706)+1)*100,3000)+J706-100),IF(J706=K706+1,2000+INDEX(Eingabe!$G$9:$G$18,I706)*10+1,IF(J706=K706+2,2000+INDEX(Eingabe!$G$9:$G$18,I706)*10+2,2000+INDEX(Eingabe!$G$9:$G$18,I706)*10+9))),""))</f>
        <v/>
      </c>
      <c r="C706" s="0" t="str">
        <f aca="false">IF(I706="","",IF(AND(J706&gt;=1,J706&lt;=K706+3),"10."&amp;INDEX(Eingabe!$D$9:$D$18,I706)&amp;"."&amp;IF(J706&lt;=K706,J706,IF(J706=K706+1,200,IF(J706=K706+2,201,250)))&amp;".0/24",""))</f>
        <v/>
      </c>
      <c r="D706" s="0" t="str">
        <f aca="false">IF(I706="","",IF(AND(J706&gt;=1,J706&lt;=K706+3),"255.255.255.0",""))</f>
        <v/>
      </c>
      <c r="E706" s="0" t="str">
        <f aca="false">IF(I706="","",IF(AND(J706&gt;=1,J706&lt;=K706+3),"10."&amp;INDEX(Eingabe!$D$9:$D$18,I706)&amp;"."&amp;IF(J706&lt;=K706,J706,IF(J706=K706+1,200,IF(J706=K706+2,201,250)))&amp;".1",""))</f>
        <v/>
      </c>
      <c r="F706" s="0" t="str">
        <f aca="false">IF(I706="","",IF(AND(J706&gt;=1,J706&lt;=K706+3),"10."&amp;INDEX(Eingabe!$D$9:$D$18,I706)&amp;"."&amp;IF(J706&lt;=K706,J706,IF(J706=K706+1,200,IF(J706=K706+2,201,250)))&amp;".10 – 10."&amp;INDEX(Eingabe!$D$9:$D$18,I706)&amp;"."&amp;IF(J706&lt;=K706,J706,IF(J706=K706+1,200,IF(J706=K706+2,201,250)))&amp;".250",""))</f>
        <v/>
      </c>
      <c r="G706" s="0" t="str">
        <f aca="false">IF(I706="","",IF(AND(J706&gt;=1,J706&lt;=K706),Eingabe!$B$6&amp;"-"&amp;INDEX(Eingabe!$C$9:$C$18,I706)&amp;"-Pächter  ·  Passwort Parzelle "&amp;J706,IF(J706=K706+1,Eingabe!$B$6&amp;"-"&amp;INDEX(Eingabe!$C$9:$C$18,I706)&amp;"-Vorstand  ·  eigenes WLAN",IF(J706=K706+2,Eingabe!$B$6&amp;"-"&amp;INDEX(Eingabe!$C$9:$C$18,I706)&amp;"-Gäste  ·  Voucher",IF(J706=K706+3,"Kabel  ·  Access Point y = .(50+y), Mast-Switch x = .(10+x)","")))))</f>
        <v/>
      </c>
      <c r="I706" s="0" t="str">
        <f aca="false">IF(701&lt;=(Eingabe!$P$18+Eingabe!$Q$18-1),MATCH(701,Eingabe!$P$9:$P$18,1),"")</f>
        <v/>
      </c>
      <c r="J706" s="0" t="str">
        <f aca="false">IF(I706="","",701-INDEX(Eingabe!$P$9:$P$18,I706))</f>
        <v/>
      </c>
      <c r="K706" s="0" t="str">
        <f aca="false">IF(I706="","",INDEX(Eingabe!$E$9:$E$18,I706))</f>
        <v/>
      </c>
    </row>
    <row r="707" customFormat="false" ht="15" hidden="false" customHeight="false" outlineLevel="0" collapsed="false">
      <c r="A707" s="0" t="str">
        <f aca="false">IF(I707="","",IF(J707=0,"Sparte "&amp;I707&amp;": "&amp;INDEX(Eingabe!$B$9:$B$18,I707)&amp;"  (Sparten-ID "&amp;INDEX(Eingabe!$D$9:$D$18,I707)&amp;", "&amp;K707&amp;" Parzellen)",IF(J707&lt;=K707,"   Parzelle "&amp;J707,IF(J707=K707+1,"   Vorstand",IF(J707=K707+2,"   Gäste",IF(J707=K707+3,"   Technik (Switches, Access Points)",""))))))</f>
        <v/>
      </c>
      <c r="B707" s="0" t="str">
        <f aca="false">IF(I707="","",IF(AND(J707&gt;=1,J707&lt;=K707+3),IF(J707&lt;=K707,IF(J707&lt;=99,IF((INDEX(Eingabe!$G$9:$G$18,I707))&lt;=9,1000+(INDEX(Eingabe!$G$9:$G$18,I707))*100,3000)+J707,IF((INDEX(Eingabe!$G$9:$G$18,I707)+1)&lt;=9,1000+(INDEX(Eingabe!$G$9:$G$18,I707)+1)*100,3000)+J707-100),IF(J707=K707+1,2000+INDEX(Eingabe!$G$9:$G$18,I707)*10+1,IF(J707=K707+2,2000+INDEX(Eingabe!$G$9:$G$18,I707)*10+2,2000+INDEX(Eingabe!$G$9:$G$18,I707)*10+9))),""))</f>
        <v/>
      </c>
      <c r="C707" s="0" t="str">
        <f aca="false">IF(I707="","",IF(AND(J707&gt;=1,J707&lt;=K707+3),"10."&amp;INDEX(Eingabe!$D$9:$D$18,I707)&amp;"."&amp;IF(J707&lt;=K707,J707,IF(J707=K707+1,200,IF(J707=K707+2,201,250)))&amp;".0/24",""))</f>
        <v/>
      </c>
      <c r="D707" s="0" t="str">
        <f aca="false">IF(I707="","",IF(AND(J707&gt;=1,J707&lt;=K707+3),"255.255.255.0",""))</f>
        <v/>
      </c>
      <c r="E707" s="0" t="str">
        <f aca="false">IF(I707="","",IF(AND(J707&gt;=1,J707&lt;=K707+3),"10."&amp;INDEX(Eingabe!$D$9:$D$18,I707)&amp;"."&amp;IF(J707&lt;=K707,J707,IF(J707=K707+1,200,IF(J707=K707+2,201,250)))&amp;".1",""))</f>
        <v/>
      </c>
      <c r="F707" s="0" t="str">
        <f aca="false">IF(I707="","",IF(AND(J707&gt;=1,J707&lt;=K707+3),"10."&amp;INDEX(Eingabe!$D$9:$D$18,I707)&amp;"."&amp;IF(J707&lt;=K707,J707,IF(J707=K707+1,200,IF(J707=K707+2,201,250)))&amp;".10 – 10."&amp;INDEX(Eingabe!$D$9:$D$18,I707)&amp;"."&amp;IF(J707&lt;=K707,J707,IF(J707=K707+1,200,IF(J707=K707+2,201,250)))&amp;".250",""))</f>
        <v/>
      </c>
      <c r="G707" s="0" t="str">
        <f aca="false">IF(I707="","",IF(AND(J707&gt;=1,J707&lt;=K707),Eingabe!$B$6&amp;"-"&amp;INDEX(Eingabe!$C$9:$C$18,I707)&amp;"-Pächter  ·  Passwort Parzelle "&amp;J707,IF(J707=K707+1,Eingabe!$B$6&amp;"-"&amp;INDEX(Eingabe!$C$9:$C$18,I707)&amp;"-Vorstand  ·  eigenes WLAN",IF(J707=K707+2,Eingabe!$B$6&amp;"-"&amp;INDEX(Eingabe!$C$9:$C$18,I707)&amp;"-Gäste  ·  Voucher",IF(J707=K707+3,"Kabel  ·  Access Point y = .(50+y), Mast-Switch x = .(10+x)","")))))</f>
        <v/>
      </c>
      <c r="I707" s="0" t="str">
        <f aca="false">IF(702&lt;=(Eingabe!$P$18+Eingabe!$Q$18-1),MATCH(702,Eingabe!$P$9:$P$18,1),"")</f>
        <v/>
      </c>
      <c r="J707" s="0" t="str">
        <f aca="false">IF(I707="","",702-INDEX(Eingabe!$P$9:$P$18,I707))</f>
        <v/>
      </c>
      <c r="K707" s="0" t="str">
        <f aca="false">IF(I707="","",INDEX(Eingabe!$E$9:$E$18,I707))</f>
        <v/>
      </c>
    </row>
    <row r="708" customFormat="false" ht="15" hidden="false" customHeight="false" outlineLevel="0" collapsed="false">
      <c r="A708" s="0" t="str">
        <f aca="false">IF(I708="","",IF(J708=0,"Sparte "&amp;I708&amp;": "&amp;INDEX(Eingabe!$B$9:$B$18,I708)&amp;"  (Sparten-ID "&amp;INDEX(Eingabe!$D$9:$D$18,I708)&amp;", "&amp;K708&amp;" Parzellen)",IF(J708&lt;=K708,"   Parzelle "&amp;J708,IF(J708=K708+1,"   Vorstand",IF(J708=K708+2,"   Gäste",IF(J708=K708+3,"   Technik (Switches, Access Points)",""))))))</f>
        <v/>
      </c>
      <c r="B708" s="0" t="str">
        <f aca="false">IF(I708="","",IF(AND(J708&gt;=1,J708&lt;=K708+3),IF(J708&lt;=K708,IF(J708&lt;=99,IF((INDEX(Eingabe!$G$9:$G$18,I708))&lt;=9,1000+(INDEX(Eingabe!$G$9:$G$18,I708))*100,3000)+J708,IF((INDEX(Eingabe!$G$9:$G$18,I708)+1)&lt;=9,1000+(INDEX(Eingabe!$G$9:$G$18,I708)+1)*100,3000)+J708-100),IF(J708=K708+1,2000+INDEX(Eingabe!$G$9:$G$18,I708)*10+1,IF(J708=K708+2,2000+INDEX(Eingabe!$G$9:$G$18,I708)*10+2,2000+INDEX(Eingabe!$G$9:$G$18,I708)*10+9))),""))</f>
        <v/>
      </c>
      <c r="C708" s="0" t="str">
        <f aca="false">IF(I708="","",IF(AND(J708&gt;=1,J708&lt;=K708+3),"10."&amp;INDEX(Eingabe!$D$9:$D$18,I708)&amp;"."&amp;IF(J708&lt;=K708,J708,IF(J708=K708+1,200,IF(J708=K708+2,201,250)))&amp;".0/24",""))</f>
        <v/>
      </c>
      <c r="D708" s="0" t="str">
        <f aca="false">IF(I708="","",IF(AND(J708&gt;=1,J708&lt;=K708+3),"255.255.255.0",""))</f>
        <v/>
      </c>
      <c r="E708" s="0" t="str">
        <f aca="false">IF(I708="","",IF(AND(J708&gt;=1,J708&lt;=K708+3),"10."&amp;INDEX(Eingabe!$D$9:$D$18,I708)&amp;"."&amp;IF(J708&lt;=K708,J708,IF(J708=K708+1,200,IF(J708=K708+2,201,250)))&amp;".1",""))</f>
        <v/>
      </c>
      <c r="F708" s="0" t="str">
        <f aca="false">IF(I708="","",IF(AND(J708&gt;=1,J708&lt;=K708+3),"10."&amp;INDEX(Eingabe!$D$9:$D$18,I708)&amp;"."&amp;IF(J708&lt;=K708,J708,IF(J708=K708+1,200,IF(J708=K708+2,201,250)))&amp;".10 – 10."&amp;INDEX(Eingabe!$D$9:$D$18,I708)&amp;"."&amp;IF(J708&lt;=K708,J708,IF(J708=K708+1,200,IF(J708=K708+2,201,250)))&amp;".250",""))</f>
        <v/>
      </c>
      <c r="G708" s="0" t="str">
        <f aca="false">IF(I708="","",IF(AND(J708&gt;=1,J708&lt;=K708),Eingabe!$B$6&amp;"-"&amp;INDEX(Eingabe!$C$9:$C$18,I708)&amp;"-Pächter  ·  Passwort Parzelle "&amp;J708,IF(J708=K708+1,Eingabe!$B$6&amp;"-"&amp;INDEX(Eingabe!$C$9:$C$18,I708)&amp;"-Vorstand  ·  eigenes WLAN",IF(J708=K708+2,Eingabe!$B$6&amp;"-"&amp;INDEX(Eingabe!$C$9:$C$18,I708)&amp;"-Gäste  ·  Voucher",IF(J708=K708+3,"Kabel  ·  Access Point y = .(50+y), Mast-Switch x = .(10+x)","")))))</f>
        <v/>
      </c>
      <c r="I708" s="0" t="str">
        <f aca="false">IF(703&lt;=(Eingabe!$P$18+Eingabe!$Q$18-1),MATCH(703,Eingabe!$P$9:$P$18,1),"")</f>
        <v/>
      </c>
      <c r="J708" s="0" t="str">
        <f aca="false">IF(I708="","",703-INDEX(Eingabe!$P$9:$P$18,I708))</f>
        <v/>
      </c>
      <c r="K708" s="0" t="str">
        <f aca="false">IF(I708="","",INDEX(Eingabe!$E$9:$E$18,I708))</f>
        <v/>
      </c>
    </row>
    <row r="709" customFormat="false" ht="15" hidden="false" customHeight="false" outlineLevel="0" collapsed="false">
      <c r="A709" s="0" t="str">
        <f aca="false">IF(I709="","",IF(J709=0,"Sparte "&amp;I709&amp;": "&amp;INDEX(Eingabe!$B$9:$B$18,I709)&amp;"  (Sparten-ID "&amp;INDEX(Eingabe!$D$9:$D$18,I709)&amp;", "&amp;K709&amp;" Parzellen)",IF(J709&lt;=K709,"   Parzelle "&amp;J709,IF(J709=K709+1,"   Vorstand",IF(J709=K709+2,"   Gäste",IF(J709=K709+3,"   Technik (Switches, Access Points)",""))))))</f>
        <v/>
      </c>
      <c r="B709" s="0" t="str">
        <f aca="false">IF(I709="","",IF(AND(J709&gt;=1,J709&lt;=K709+3),IF(J709&lt;=K709,IF(J709&lt;=99,IF((INDEX(Eingabe!$G$9:$G$18,I709))&lt;=9,1000+(INDEX(Eingabe!$G$9:$G$18,I709))*100,3000)+J709,IF((INDEX(Eingabe!$G$9:$G$18,I709)+1)&lt;=9,1000+(INDEX(Eingabe!$G$9:$G$18,I709)+1)*100,3000)+J709-100),IF(J709=K709+1,2000+INDEX(Eingabe!$G$9:$G$18,I709)*10+1,IF(J709=K709+2,2000+INDEX(Eingabe!$G$9:$G$18,I709)*10+2,2000+INDEX(Eingabe!$G$9:$G$18,I709)*10+9))),""))</f>
        <v/>
      </c>
      <c r="C709" s="0" t="str">
        <f aca="false">IF(I709="","",IF(AND(J709&gt;=1,J709&lt;=K709+3),"10."&amp;INDEX(Eingabe!$D$9:$D$18,I709)&amp;"."&amp;IF(J709&lt;=K709,J709,IF(J709=K709+1,200,IF(J709=K709+2,201,250)))&amp;".0/24",""))</f>
        <v/>
      </c>
      <c r="D709" s="0" t="str">
        <f aca="false">IF(I709="","",IF(AND(J709&gt;=1,J709&lt;=K709+3),"255.255.255.0",""))</f>
        <v/>
      </c>
      <c r="E709" s="0" t="str">
        <f aca="false">IF(I709="","",IF(AND(J709&gt;=1,J709&lt;=K709+3),"10."&amp;INDEX(Eingabe!$D$9:$D$18,I709)&amp;"."&amp;IF(J709&lt;=K709,J709,IF(J709=K709+1,200,IF(J709=K709+2,201,250)))&amp;".1",""))</f>
        <v/>
      </c>
      <c r="F709" s="0" t="str">
        <f aca="false">IF(I709="","",IF(AND(J709&gt;=1,J709&lt;=K709+3),"10."&amp;INDEX(Eingabe!$D$9:$D$18,I709)&amp;"."&amp;IF(J709&lt;=K709,J709,IF(J709=K709+1,200,IF(J709=K709+2,201,250)))&amp;".10 – 10."&amp;INDEX(Eingabe!$D$9:$D$18,I709)&amp;"."&amp;IF(J709&lt;=K709,J709,IF(J709=K709+1,200,IF(J709=K709+2,201,250)))&amp;".250",""))</f>
        <v/>
      </c>
      <c r="G709" s="0" t="str">
        <f aca="false">IF(I709="","",IF(AND(J709&gt;=1,J709&lt;=K709),Eingabe!$B$6&amp;"-"&amp;INDEX(Eingabe!$C$9:$C$18,I709)&amp;"-Pächter  ·  Passwort Parzelle "&amp;J709,IF(J709=K709+1,Eingabe!$B$6&amp;"-"&amp;INDEX(Eingabe!$C$9:$C$18,I709)&amp;"-Vorstand  ·  eigenes WLAN",IF(J709=K709+2,Eingabe!$B$6&amp;"-"&amp;INDEX(Eingabe!$C$9:$C$18,I709)&amp;"-Gäste  ·  Voucher",IF(J709=K709+3,"Kabel  ·  Access Point y = .(50+y), Mast-Switch x = .(10+x)","")))))</f>
        <v/>
      </c>
      <c r="I709" s="0" t="str">
        <f aca="false">IF(704&lt;=(Eingabe!$P$18+Eingabe!$Q$18-1),MATCH(704,Eingabe!$P$9:$P$18,1),"")</f>
        <v/>
      </c>
      <c r="J709" s="0" t="str">
        <f aca="false">IF(I709="","",704-INDEX(Eingabe!$P$9:$P$18,I709))</f>
        <v/>
      </c>
      <c r="K709" s="0" t="str">
        <f aca="false">IF(I709="","",INDEX(Eingabe!$E$9:$E$18,I709))</f>
        <v/>
      </c>
    </row>
    <row r="710" customFormat="false" ht="15" hidden="false" customHeight="false" outlineLevel="0" collapsed="false">
      <c r="A710" s="0" t="str">
        <f aca="false">IF(I710="","",IF(J710=0,"Sparte "&amp;I710&amp;": "&amp;INDEX(Eingabe!$B$9:$B$18,I710)&amp;"  (Sparten-ID "&amp;INDEX(Eingabe!$D$9:$D$18,I710)&amp;", "&amp;K710&amp;" Parzellen)",IF(J710&lt;=K710,"   Parzelle "&amp;J710,IF(J710=K710+1,"   Vorstand",IF(J710=K710+2,"   Gäste",IF(J710=K710+3,"   Technik (Switches, Access Points)",""))))))</f>
        <v/>
      </c>
      <c r="B710" s="0" t="str">
        <f aca="false">IF(I710="","",IF(AND(J710&gt;=1,J710&lt;=K710+3),IF(J710&lt;=K710,IF(J710&lt;=99,IF((INDEX(Eingabe!$G$9:$G$18,I710))&lt;=9,1000+(INDEX(Eingabe!$G$9:$G$18,I710))*100,3000)+J710,IF((INDEX(Eingabe!$G$9:$G$18,I710)+1)&lt;=9,1000+(INDEX(Eingabe!$G$9:$G$18,I710)+1)*100,3000)+J710-100),IF(J710=K710+1,2000+INDEX(Eingabe!$G$9:$G$18,I710)*10+1,IF(J710=K710+2,2000+INDEX(Eingabe!$G$9:$G$18,I710)*10+2,2000+INDEX(Eingabe!$G$9:$G$18,I710)*10+9))),""))</f>
        <v/>
      </c>
      <c r="C710" s="0" t="str">
        <f aca="false">IF(I710="","",IF(AND(J710&gt;=1,J710&lt;=K710+3),"10."&amp;INDEX(Eingabe!$D$9:$D$18,I710)&amp;"."&amp;IF(J710&lt;=K710,J710,IF(J710=K710+1,200,IF(J710=K710+2,201,250)))&amp;".0/24",""))</f>
        <v/>
      </c>
      <c r="D710" s="0" t="str">
        <f aca="false">IF(I710="","",IF(AND(J710&gt;=1,J710&lt;=K710+3),"255.255.255.0",""))</f>
        <v/>
      </c>
      <c r="E710" s="0" t="str">
        <f aca="false">IF(I710="","",IF(AND(J710&gt;=1,J710&lt;=K710+3),"10."&amp;INDEX(Eingabe!$D$9:$D$18,I710)&amp;"."&amp;IF(J710&lt;=K710,J710,IF(J710=K710+1,200,IF(J710=K710+2,201,250)))&amp;".1",""))</f>
        <v/>
      </c>
      <c r="F710" s="0" t="str">
        <f aca="false">IF(I710="","",IF(AND(J710&gt;=1,J710&lt;=K710+3),"10."&amp;INDEX(Eingabe!$D$9:$D$18,I710)&amp;"."&amp;IF(J710&lt;=K710,J710,IF(J710=K710+1,200,IF(J710=K710+2,201,250)))&amp;".10 – 10."&amp;INDEX(Eingabe!$D$9:$D$18,I710)&amp;"."&amp;IF(J710&lt;=K710,J710,IF(J710=K710+1,200,IF(J710=K710+2,201,250)))&amp;".250",""))</f>
        <v/>
      </c>
      <c r="G710" s="0" t="str">
        <f aca="false">IF(I710="","",IF(AND(J710&gt;=1,J710&lt;=K710),Eingabe!$B$6&amp;"-"&amp;INDEX(Eingabe!$C$9:$C$18,I710)&amp;"-Pächter  ·  Passwort Parzelle "&amp;J710,IF(J710=K710+1,Eingabe!$B$6&amp;"-"&amp;INDEX(Eingabe!$C$9:$C$18,I710)&amp;"-Vorstand  ·  eigenes WLAN",IF(J710=K710+2,Eingabe!$B$6&amp;"-"&amp;INDEX(Eingabe!$C$9:$C$18,I710)&amp;"-Gäste  ·  Voucher",IF(J710=K710+3,"Kabel  ·  Access Point y = .(50+y), Mast-Switch x = .(10+x)","")))))</f>
        <v/>
      </c>
      <c r="I710" s="0" t="str">
        <f aca="false">IF(705&lt;=(Eingabe!$P$18+Eingabe!$Q$18-1),MATCH(705,Eingabe!$P$9:$P$18,1),"")</f>
        <v/>
      </c>
      <c r="J710" s="0" t="str">
        <f aca="false">IF(I710="","",705-INDEX(Eingabe!$P$9:$P$18,I710))</f>
        <v/>
      </c>
      <c r="K710" s="0" t="str">
        <f aca="false">IF(I710="","",INDEX(Eingabe!$E$9:$E$18,I710))</f>
        <v/>
      </c>
    </row>
    <row r="711" customFormat="false" ht="15" hidden="false" customHeight="false" outlineLevel="0" collapsed="false">
      <c r="A711" s="0" t="str">
        <f aca="false">IF(I711="","",IF(J711=0,"Sparte "&amp;I711&amp;": "&amp;INDEX(Eingabe!$B$9:$B$18,I711)&amp;"  (Sparten-ID "&amp;INDEX(Eingabe!$D$9:$D$18,I711)&amp;", "&amp;K711&amp;" Parzellen)",IF(J711&lt;=K711,"   Parzelle "&amp;J711,IF(J711=K711+1,"   Vorstand",IF(J711=K711+2,"   Gäste",IF(J711=K711+3,"   Technik (Switches, Access Points)",""))))))</f>
        <v/>
      </c>
      <c r="B711" s="0" t="str">
        <f aca="false">IF(I711="","",IF(AND(J711&gt;=1,J711&lt;=K711+3),IF(J711&lt;=K711,IF(J711&lt;=99,IF((INDEX(Eingabe!$G$9:$G$18,I711))&lt;=9,1000+(INDEX(Eingabe!$G$9:$G$18,I711))*100,3000)+J711,IF((INDEX(Eingabe!$G$9:$G$18,I711)+1)&lt;=9,1000+(INDEX(Eingabe!$G$9:$G$18,I711)+1)*100,3000)+J711-100),IF(J711=K711+1,2000+INDEX(Eingabe!$G$9:$G$18,I711)*10+1,IF(J711=K711+2,2000+INDEX(Eingabe!$G$9:$G$18,I711)*10+2,2000+INDEX(Eingabe!$G$9:$G$18,I711)*10+9))),""))</f>
        <v/>
      </c>
      <c r="C711" s="0" t="str">
        <f aca="false">IF(I711="","",IF(AND(J711&gt;=1,J711&lt;=K711+3),"10."&amp;INDEX(Eingabe!$D$9:$D$18,I711)&amp;"."&amp;IF(J711&lt;=K711,J711,IF(J711=K711+1,200,IF(J711=K711+2,201,250)))&amp;".0/24",""))</f>
        <v/>
      </c>
      <c r="D711" s="0" t="str">
        <f aca="false">IF(I711="","",IF(AND(J711&gt;=1,J711&lt;=K711+3),"255.255.255.0",""))</f>
        <v/>
      </c>
      <c r="E711" s="0" t="str">
        <f aca="false">IF(I711="","",IF(AND(J711&gt;=1,J711&lt;=K711+3),"10."&amp;INDEX(Eingabe!$D$9:$D$18,I711)&amp;"."&amp;IF(J711&lt;=K711,J711,IF(J711=K711+1,200,IF(J711=K711+2,201,250)))&amp;".1",""))</f>
        <v/>
      </c>
      <c r="F711" s="0" t="str">
        <f aca="false">IF(I711="","",IF(AND(J711&gt;=1,J711&lt;=K711+3),"10."&amp;INDEX(Eingabe!$D$9:$D$18,I711)&amp;"."&amp;IF(J711&lt;=K711,J711,IF(J711=K711+1,200,IF(J711=K711+2,201,250)))&amp;".10 – 10."&amp;INDEX(Eingabe!$D$9:$D$18,I711)&amp;"."&amp;IF(J711&lt;=K711,J711,IF(J711=K711+1,200,IF(J711=K711+2,201,250)))&amp;".250",""))</f>
        <v/>
      </c>
      <c r="G711" s="0" t="str">
        <f aca="false">IF(I711="","",IF(AND(J711&gt;=1,J711&lt;=K711),Eingabe!$B$6&amp;"-"&amp;INDEX(Eingabe!$C$9:$C$18,I711)&amp;"-Pächter  ·  Passwort Parzelle "&amp;J711,IF(J711=K711+1,Eingabe!$B$6&amp;"-"&amp;INDEX(Eingabe!$C$9:$C$18,I711)&amp;"-Vorstand  ·  eigenes WLAN",IF(J711=K711+2,Eingabe!$B$6&amp;"-"&amp;INDEX(Eingabe!$C$9:$C$18,I711)&amp;"-Gäste  ·  Voucher",IF(J711=K711+3,"Kabel  ·  Access Point y = .(50+y), Mast-Switch x = .(10+x)","")))))</f>
        <v/>
      </c>
      <c r="I711" s="0" t="str">
        <f aca="false">IF(706&lt;=(Eingabe!$P$18+Eingabe!$Q$18-1),MATCH(706,Eingabe!$P$9:$P$18,1),"")</f>
        <v/>
      </c>
      <c r="J711" s="0" t="str">
        <f aca="false">IF(I711="","",706-INDEX(Eingabe!$P$9:$P$18,I711))</f>
        <v/>
      </c>
      <c r="K711" s="0" t="str">
        <f aca="false">IF(I711="","",INDEX(Eingabe!$E$9:$E$18,I711))</f>
        <v/>
      </c>
    </row>
    <row r="712" customFormat="false" ht="15" hidden="false" customHeight="false" outlineLevel="0" collapsed="false">
      <c r="A712" s="0" t="str">
        <f aca="false">IF(I712="","",IF(J712=0,"Sparte "&amp;I712&amp;": "&amp;INDEX(Eingabe!$B$9:$B$18,I712)&amp;"  (Sparten-ID "&amp;INDEX(Eingabe!$D$9:$D$18,I712)&amp;", "&amp;K712&amp;" Parzellen)",IF(J712&lt;=K712,"   Parzelle "&amp;J712,IF(J712=K712+1,"   Vorstand",IF(J712=K712+2,"   Gäste",IF(J712=K712+3,"   Technik (Switches, Access Points)",""))))))</f>
        <v/>
      </c>
      <c r="B712" s="0" t="str">
        <f aca="false">IF(I712="","",IF(AND(J712&gt;=1,J712&lt;=K712+3),IF(J712&lt;=K712,IF(J712&lt;=99,IF((INDEX(Eingabe!$G$9:$G$18,I712))&lt;=9,1000+(INDEX(Eingabe!$G$9:$G$18,I712))*100,3000)+J712,IF((INDEX(Eingabe!$G$9:$G$18,I712)+1)&lt;=9,1000+(INDEX(Eingabe!$G$9:$G$18,I712)+1)*100,3000)+J712-100),IF(J712=K712+1,2000+INDEX(Eingabe!$G$9:$G$18,I712)*10+1,IF(J712=K712+2,2000+INDEX(Eingabe!$G$9:$G$18,I712)*10+2,2000+INDEX(Eingabe!$G$9:$G$18,I712)*10+9))),""))</f>
        <v/>
      </c>
      <c r="C712" s="0" t="str">
        <f aca="false">IF(I712="","",IF(AND(J712&gt;=1,J712&lt;=K712+3),"10."&amp;INDEX(Eingabe!$D$9:$D$18,I712)&amp;"."&amp;IF(J712&lt;=K712,J712,IF(J712=K712+1,200,IF(J712=K712+2,201,250)))&amp;".0/24",""))</f>
        <v/>
      </c>
      <c r="D712" s="0" t="str">
        <f aca="false">IF(I712="","",IF(AND(J712&gt;=1,J712&lt;=K712+3),"255.255.255.0",""))</f>
        <v/>
      </c>
      <c r="E712" s="0" t="str">
        <f aca="false">IF(I712="","",IF(AND(J712&gt;=1,J712&lt;=K712+3),"10."&amp;INDEX(Eingabe!$D$9:$D$18,I712)&amp;"."&amp;IF(J712&lt;=K712,J712,IF(J712=K712+1,200,IF(J712=K712+2,201,250)))&amp;".1",""))</f>
        <v/>
      </c>
      <c r="F712" s="0" t="str">
        <f aca="false">IF(I712="","",IF(AND(J712&gt;=1,J712&lt;=K712+3),"10."&amp;INDEX(Eingabe!$D$9:$D$18,I712)&amp;"."&amp;IF(J712&lt;=K712,J712,IF(J712=K712+1,200,IF(J712=K712+2,201,250)))&amp;".10 – 10."&amp;INDEX(Eingabe!$D$9:$D$18,I712)&amp;"."&amp;IF(J712&lt;=K712,J712,IF(J712=K712+1,200,IF(J712=K712+2,201,250)))&amp;".250",""))</f>
        <v/>
      </c>
      <c r="G712" s="0" t="str">
        <f aca="false">IF(I712="","",IF(AND(J712&gt;=1,J712&lt;=K712),Eingabe!$B$6&amp;"-"&amp;INDEX(Eingabe!$C$9:$C$18,I712)&amp;"-Pächter  ·  Passwort Parzelle "&amp;J712,IF(J712=K712+1,Eingabe!$B$6&amp;"-"&amp;INDEX(Eingabe!$C$9:$C$18,I712)&amp;"-Vorstand  ·  eigenes WLAN",IF(J712=K712+2,Eingabe!$B$6&amp;"-"&amp;INDEX(Eingabe!$C$9:$C$18,I712)&amp;"-Gäste  ·  Voucher",IF(J712=K712+3,"Kabel  ·  Access Point y = .(50+y), Mast-Switch x = .(10+x)","")))))</f>
        <v/>
      </c>
      <c r="I712" s="0" t="str">
        <f aca="false">IF(707&lt;=(Eingabe!$P$18+Eingabe!$Q$18-1),MATCH(707,Eingabe!$P$9:$P$18,1),"")</f>
        <v/>
      </c>
      <c r="J712" s="0" t="str">
        <f aca="false">IF(I712="","",707-INDEX(Eingabe!$P$9:$P$18,I712))</f>
        <v/>
      </c>
      <c r="K712" s="0" t="str">
        <f aca="false">IF(I712="","",INDEX(Eingabe!$E$9:$E$18,I712))</f>
        <v/>
      </c>
    </row>
    <row r="713" customFormat="false" ht="15" hidden="false" customHeight="false" outlineLevel="0" collapsed="false">
      <c r="A713" s="0" t="str">
        <f aca="false">IF(I713="","",IF(J713=0,"Sparte "&amp;I713&amp;": "&amp;INDEX(Eingabe!$B$9:$B$18,I713)&amp;"  (Sparten-ID "&amp;INDEX(Eingabe!$D$9:$D$18,I713)&amp;", "&amp;K713&amp;" Parzellen)",IF(J713&lt;=K713,"   Parzelle "&amp;J713,IF(J713=K713+1,"   Vorstand",IF(J713=K713+2,"   Gäste",IF(J713=K713+3,"   Technik (Switches, Access Points)",""))))))</f>
        <v/>
      </c>
      <c r="B713" s="0" t="str">
        <f aca="false">IF(I713="","",IF(AND(J713&gt;=1,J713&lt;=K713+3),IF(J713&lt;=K713,IF(J713&lt;=99,IF((INDEX(Eingabe!$G$9:$G$18,I713))&lt;=9,1000+(INDEX(Eingabe!$G$9:$G$18,I713))*100,3000)+J713,IF((INDEX(Eingabe!$G$9:$G$18,I713)+1)&lt;=9,1000+(INDEX(Eingabe!$G$9:$G$18,I713)+1)*100,3000)+J713-100),IF(J713=K713+1,2000+INDEX(Eingabe!$G$9:$G$18,I713)*10+1,IF(J713=K713+2,2000+INDEX(Eingabe!$G$9:$G$18,I713)*10+2,2000+INDEX(Eingabe!$G$9:$G$18,I713)*10+9))),""))</f>
        <v/>
      </c>
      <c r="C713" s="0" t="str">
        <f aca="false">IF(I713="","",IF(AND(J713&gt;=1,J713&lt;=K713+3),"10."&amp;INDEX(Eingabe!$D$9:$D$18,I713)&amp;"."&amp;IF(J713&lt;=K713,J713,IF(J713=K713+1,200,IF(J713=K713+2,201,250)))&amp;".0/24",""))</f>
        <v/>
      </c>
      <c r="D713" s="0" t="str">
        <f aca="false">IF(I713="","",IF(AND(J713&gt;=1,J713&lt;=K713+3),"255.255.255.0",""))</f>
        <v/>
      </c>
      <c r="E713" s="0" t="str">
        <f aca="false">IF(I713="","",IF(AND(J713&gt;=1,J713&lt;=K713+3),"10."&amp;INDEX(Eingabe!$D$9:$D$18,I713)&amp;"."&amp;IF(J713&lt;=K713,J713,IF(J713=K713+1,200,IF(J713=K713+2,201,250)))&amp;".1",""))</f>
        <v/>
      </c>
      <c r="F713" s="0" t="str">
        <f aca="false">IF(I713="","",IF(AND(J713&gt;=1,J713&lt;=K713+3),"10."&amp;INDEX(Eingabe!$D$9:$D$18,I713)&amp;"."&amp;IF(J713&lt;=K713,J713,IF(J713=K713+1,200,IF(J713=K713+2,201,250)))&amp;".10 – 10."&amp;INDEX(Eingabe!$D$9:$D$18,I713)&amp;"."&amp;IF(J713&lt;=K713,J713,IF(J713=K713+1,200,IF(J713=K713+2,201,250)))&amp;".250",""))</f>
        <v/>
      </c>
      <c r="G713" s="0" t="str">
        <f aca="false">IF(I713="","",IF(AND(J713&gt;=1,J713&lt;=K713),Eingabe!$B$6&amp;"-"&amp;INDEX(Eingabe!$C$9:$C$18,I713)&amp;"-Pächter  ·  Passwort Parzelle "&amp;J713,IF(J713=K713+1,Eingabe!$B$6&amp;"-"&amp;INDEX(Eingabe!$C$9:$C$18,I713)&amp;"-Vorstand  ·  eigenes WLAN",IF(J713=K713+2,Eingabe!$B$6&amp;"-"&amp;INDEX(Eingabe!$C$9:$C$18,I713)&amp;"-Gäste  ·  Voucher",IF(J713=K713+3,"Kabel  ·  Access Point y = .(50+y), Mast-Switch x = .(10+x)","")))))</f>
        <v/>
      </c>
      <c r="I713" s="0" t="str">
        <f aca="false">IF(708&lt;=(Eingabe!$P$18+Eingabe!$Q$18-1),MATCH(708,Eingabe!$P$9:$P$18,1),"")</f>
        <v/>
      </c>
      <c r="J713" s="0" t="str">
        <f aca="false">IF(I713="","",708-INDEX(Eingabe!$P$9:$P$18,I713))</f>
        <v/>
      </c>
      <c r="K713" s="0" t="str">
        <f aca="false">IF(I713="","",INDEX(Eingabe!$E$9:$E$18,I713))</f>
        <v/>
      </c>
    </row>
    <row r="714" customFormat="false" ht="15" hidden="false" customHeight="false" outlineLevel="0" collapsed="false">
      <c r="A714" s="0" t="str">
        <f aca="false">IF(I714="","",IF(J714=0,"Sparte "&amp;I714&amp;": "&amp;INDEX(Eingabe!$B$9:$B$18,I714)&amp;"  (Sparten-ID "&amp;INDEX(Eingabe!$D$9:$D$18,I714)&amp;", "&amp;K714&amp;" Parzellen)",IF(J714&lt;=K714,"   Parzelle "&amp;J714,IF(J714=K714+1,"   Vorstand",IF(J714=K714+2,"   Gäste",IF(J714=K714+3,"   Technik (Switches, Access Points)",""))))))</f>
        <v/>
      </c>
      <c r="B714" s="0" t="str">
        <f aca="false">IF(I714="","",IF(AND(J714&gt;=1,J714&lt;=K714+3),IF(J714&lt;=K714,IF(J714&lt;=99,IF((INDEX(Eingabe!$G$9:$G$18,I714))&lt;=9,1000+(INDEX(Eingabe!$G$9:$G$18,I714))*100,3000)+J714,IF((INDEX(Eingabe!$G$9:$G$18,I714)+1)&lt;=9,1000+(INDEX(Eingabe!$G$9:$G$18,I714)+1)*100,3000)+J714-100),IF(J714=K714+1,2000+INDEX(Eingabe!$G$9:$G$18,I714)*10+1,IF(J714=K714+2,2000+INDEX(Eingabe!$G$9:$G$18,I714)*10+2,2000+INDEX(Eingabe!$G$9:$G$18,I714)*10+9))),""))</f>
        <v/>
      </c>
      <c r="C714" s="0" t="str">
        <f aca="false">IF(I714="","",IF(AND(J714&gt;=1,J714&lt;=K714+3),"10."&amp;INDEX(Eingabe!$D$9:$D$18,I714)&amp;"."&amp;IF(J714&lt;=K714,J714,IF(J714=K714+1,200,IF(J714=K714+2,201,250)))&amp;".0/24",""))</f>
        <v/>
      </c>
      <c r="D714" s="0" t="str">
        <f aca="false">IF(I714="","",IF(AND(J714&gt;=1,J714&lt;=K714+3),"255.255.255.0",""))</f>
        <v/>
      </c>
      <c r="E714" s="0" t="str">
        <f aca="false">IF(I714="","",IF(AND(J714&gt;=1,J714&lt;=K714+3),"10."&amp;INDEX(Eingabe!$D$9:$D$18,I714)&amp;"."&amp;IF(J714&lt;=K714,J714,IF(J714=K714+1,200,IF(J714=K714+2,201,250)))&amp;".1",""))</f>
        <v/>
      </c>
      <c r="F714" s="0" t="str">
        <f aca="false">IF(I714="","",IF(AND(J714&gt;=1,J714&lt;=K714+3),"10."&amp;INDEX(Eingabe!$D$9:$D$18,I714)&amp;"."&amp;IF(J714&lt;=K714,J714,IF(J714=K714+1,200,IF(J714=K714+2,201,250)))&amp;".10 – 10."&amp;INDEX(Eingabe!$D$9:$D$18,I714)&amp;"."&amp;IF(J714&lt;=K714,J714,IF(J714=K714+1,200,IF(J714=K714+2,201,250)))&amp;".250",""))</f>
        <v/>
      </c>
      <c r="G714" s="0" t="str">
        <f aca="false">IF(I714="","",IF(AND(J714&gt;=1,J714&lt;=K714),Eingabe!$B$6&amp;"-"&amp;INDEX(Eingabe!$C$9:$C$18,I714)&amp;"-Pächter  ·  Passwort Parzelle "&amp;J714,IF(J714=K714+1,Eingabe!$B$6&amp;"-"&amp;INDEX(Eingabe!$C$9:$C$18,I714)&amp;"-Vorstand  ·  eigenes WLAN",IF(J714=K714+2,Eingabe!$B$6&amp;"-"&amp;INDEX(Eingabe!$C$9:$C$18,I714)&amp;"-Gäste  ·  Voucher",IF(J714=K714+3,"Kabel  ·  Access Point y = .(50+y), Mast-Switch x = .(10+x)","")))))</f>
        <v/>
      </c>
      <c r="I714" s="0" t="str">
        <f aca="false">IF(709&lt;=(Eingabe!$P$18+Eingabe!$Q$18-1),MATCH(709,Eingabe!$P$9:$P$18,1),"")</f>
        <v/>
      </c>
      <c r="J714" s="0" t="str">
        <f aca="false">IF(I714="","",709-INDEX(Eingabe!$P$9:$P$18,I714))</f>
        <v/>
      </c>
      <c r="K714" s="0" t="str">
        <f aca="false">IF(I714="","",INDEX(Eingabe!$E$9:$E$18,I714))</f>
        <v/>
      </c>
    </row>
    <row r="715" customFormat="false" ht="15" hidden="false" customHeight="false" outlineLevel="0" collapsed="false">
      <c r="A715" s="0" t="str">
        <f aca="false">IF(I715="","",IF(J715=0,"Sparte "&amp;I715&amp;": "&amp;INDEX(Eingabe!$B$9:$B$18,I715)&amp;"  (Sparten-ID "&amp;INDEX(Eingabe!$D$9:$D$18,I715)&amp;", "&amp;K715&amp;" Parzellen)",IF(J715&lt;=K715,"   Parzelle "&amp;J715,IF(J715=K715+1,"   Vorstand",IF(J715=K715+2,"   Gäste",IF(J715=K715+3,"   Technik (Switches, Access Points)",""))))))</f>
        <v/>
      </c>
      <c r="B715" s="0" t="str">
        <f aca="false">IF(I715="","",IF(AND(J715&gt;=1,J715&lt;=K715+3),IF(J715&lt;=K715,IF(J715&lt;=99,IF((INDEX(Eingabe!$G$9:$G$18,I715))&lt;=9,1000+(INDEX(Eingabe!$G$9:$G$18,I715))*100,3000)+J715,IF((INDEX(Eingabe!$G$9:$G$18,I715)+1)&lt;=9,1000+(INDEX(Eingabe!$G$9:$G$18,I715)+1)*100,3000)+J715-100),IF(J715=K715+1,2000+INDEX(Eingabe!$G$9:$G$18,I715)*10+1,IF(J715=K715+2,2000+INDEX(Eingabe!$G$9:$G$18,I715)*10+2,2000+INDEX(Eingabe!$G$9:$G$18,I715)*10+9))),""))</f>
        <v/>
      </c>
      <c r="C715" s="0" t="str">
        <f aca="false">IF(I715="","",IF(AND(J715&gt;=1,J715&lt;=K715+3),"10."&amp;INDEX(Eingabe!$D$9:$D$18,I715)&amp;"."&amp;IF(J715&lt;=K715,J715,IF(J715=K715+1,200,IF(J715=K715+2,201,250)))&amp;".0/24",""))</f>
        <v/>
      </c>
      <c r="D715" s="0" t="str">
        <f aca="false">IF(I715="","",IF(AND(J715&gt;=1,J715&lt;=K715+3),"255.255.255.0",""))</f>
        <v/>
      </c>
      <c r="E715" s="0" t="str">
        <f aca="false">IF(I715="","",IF(AND(J715&gt;=1,J715&lt;=K715+3),"10."&amp;INDEX(Eingabe!$D$9:$D$18,I715)&amp;"."&amp;IF(J715&lt;=K715,J715,IF(J715=K715+1,200,IF(J715=K715+2,201,250)))&amp;".1",""))</f>
        <v/>
      </c>
      <c r="F715" s="0" t="str">
        <f aca="false">IF(I715="","",IF(AND(J715&gt;=1,J715&lt;=K715+3),"10."&amp;INDEX(Eingabe!$D$9:$D$18,I715)&amp;"."&amp;IF(J715&lt;=K715,J715,IF(J715=K715+1,200,IF(J715=K715+2,201,250)))&amp;".10 – 10."&amp;INDEX(Eingabe!$D$9:$D$18,I715)&amp;"."&amp;IF(J715&lt;=K715,J715,IF(J715=K715+1,200,IF(J715=K715+2,201,250)))&amp;".250",""))</f>
        <v/>
      </c>
      <c r="G715" s="0" t="str">
        <f aca="false">IF(I715="","",IF(AND(J715&gt;=1,J715&lt;=K715),Eingabe!$B$6&amp;"-"&amp;INDEX(Eingabe!$C$9:$C$18,I715)&amp;"-Pächter  ·  Passwort Parzelle "&amp;J715,IF(J715=K715+1,Eingabe!$B$6&amp;"-"&amp;INDEX(Eingabe!$C$9:$C$18,I715)&amp;"-Vorstand  ·  eigenes WLAN",IF(J715=K715+2,Eingabe!$B$6&amp;"-"&amp;INDEX(Eingabe!$C$9:$C$18,I715)&amp;"-Gäste  ·  Voucher",IF(J715=K715+3,"Kabel  ·  Access Point y = .(50+y), Mast-Switch x = .(10+x)","")))))</f>
        <v/>
      </c>
      <c r="I715" s="0" t="str">
        <f aca="false">IF(710&lt;=(Eingabe!$P$18+Eingabe!$Q$18-1),MATCH(710,Eingabe!$P$9:$P$18,1),"")</f>
        <v/>
      </c>
      <c r="J715" s="0" t="str">
        <f aca="false">IF(I715="","",710-INDEX(Eingabe!$P$9:$P$18,I715))</f>
        <v/>
      </c>
      <c r="K715" s="0" t="str">
        <f aca="false">IF(I715="","",INDEX(Eingabe!$E$9:$E$18,I715))</f>
        <v/>
      </c>
    </row>
    <row r="716" customFormat="false" ht="15" hidden="false" customHeight="false" outlineLevel="0" collapsed="false">
      <c r="A716" s="0" t="str">
        <f aca="false">IF(I716="","",IF(J716=0,"Sparte "&amp;I716&amp;": "&amp;INDEX(Eingabe!$B$9:$B$18,I716)&amp;"  (Sparten-ID "&amp;INDEX(Eingabe!$D$9:$D$18,I716)&amp;", "&amp;K716&amp;" Parzellen)",IF(J716&lt;=K716,"   Parzelle "&amp;J716,IF(J716=K716+1,"   Vorstand",IF(J716=K716+2,"   Gäste",IF(J716=K716+3,"   Technik (Switches, Access Points)",""))))))</f>
        <v/>
      </c>
      <c r="B716" s="0" t="str">
        <f aca="false">IF(I716="","",IF(AND(J716&gt;=1,J716&lt;=K716+3),IF(J716&lt;=K716,IF(J716&lt;=99,IF((INDEX(Eingabe!$G$9:$G$18,I716))&lt;=9,1000+(INDEX(Eingabe!$G$9:$G$18,I716))*100,3000)+J716,IF((INDEX(Eingabe!$G$9:$G$18,I716)+1)&lt;=9,1000+(INDEX(Eingabe!$G$9:$G$18,I716)+1)*100,3000)+J716-100),IF(J716=K716+1,2000+INDEX(Eingabe!$G$9:$G$18,I716)*10+1,IF(J716=K716+2,2000+INDEX(Eingabe!$G$9:$G$18,I716)*10+2,2000+INDEX(Eingabe!$G$9:$G$18,I716)*10+9))),""))</f>
        <v/>
      </c>
      <c r="C716" s="0" t="str">
        <f aca="false">IF(I716="","",IF(AND(J716&gt;=1,J716&lt;=K716+3),"10."&amp;INDEX(Eingabe!$D$9:$D$18,I716)&amp;"."&amp;IF(J716&lt;=K716,J716,IF(J716=K716+1,200,IF(J716=K716+2,201,250)))&amp;".0/24",""))</f>
        <v/>
      </c>
      <c r="D716" s="0" t="str">
        <f aca="false">IF(I716="","",IF(AND(J716&gt;=1,J716&lt;=K716+3),"255.255.255.0",""))</f>
        <v/>
      </c>
      <c r="E716" s="0" t="str">
        <f aca="false">IF(I716="","",IF(AND(J716&gt;=1,J716&lt;=K716+3),"10."&amp;INDEX(Eingabe!$D$9:$D$18,I716)&amp;"."&amp;IF(J716&lt;=K716,J716,IF(J716=K716+1,200,IF(J716=K716+2,201,250)))&amp;".1",""))</f>
        <v/>
      </c>
      <c r="F716" s="0" t="str">
        <f aca="false">IF(I716="","",IF(AND(J716&gt;=1,J716&lt;=K716+3),"10."&amp;INDEX(Eingabe!$D$9:$D$18,I716)&amp;"."&amp;IF(J716&lt;=K716,J716,IF(J716=K716+1,200,IF(J716=K716+2,201,250)))&amp;".10 – 10."&amp;INDEX(Eingabe!$D$9:$D$18,I716)&amp;"."&amp;IF(J716&lt;=K716,J716,IF(J716=K716+1,200,IF(J716=K716+2,201,250)))&amp;".250",""))</f>
        <v/>
      </c>
      <c r="G716" s="0" t="str">
        <f aca="false">IF(I716="","",IF(AND(J716&gt;=1,J716&lt;=K716),Eingabe!$B$6&amp;"-"&amp;INDEX(Eingabe!$C$9:$C$18,I716)&amp;"-Pächter  ·  Passwort Parzelle "&amp;J716,IF(J716=K716+1,Eingabe!$B$6&amp;"-"&amp;INDEX(Eingabe!$C$9:$C$18,I716)&amp;"-Vorstand  ·  eigenes WLAN",IF(J716=K716+2,Eingabe!$B$6&amp;"-"&amp;INDEX(Eingabe!$C$9:$C$18,I716)&amp;"-Gäste  ·  Voucher",IF(J716=K716+3,"Kabel  ·  Access Point y = .(50+y), Mast-Switch x = .(10+x)","")))))</f>
        <v/>
      </c>
      <c r="I716" s="0" t="str">
        <f aca="false">IF(711&lt;=(Eingabe!$P$18+Eingabe!$Q$18-1),MATCH(711,Eingabe!$P$9:$P$18,1),"")</f>
        <v/>
      </c>
      <c r="J716" s="0" t="str">
        <f aca="false">IF(I716="","",711-INDEX(Eingabe!$P$9:$P$18,I716))</f>
        <v/>
      </c>
      <c r="K716" s="0" t="str">
        <f aca="false">IF(I716="","",INDEX(Eingabe!$E$9:$E$18,I716))</f>
        <v/>
      </c>
    </row>
    <row r="717" customFormat="false" ht="15" hidden="false" customHeight="false" outlineLevel="0" collapsed="false">
      <c r="A717" s="0" t="str">
        <f aca="false">IF(I717="","",IF(J717=0,"Sparte "&amp;I717&amp;": "&amp;INDEX(Eingabe!$B$9:$B$18,I717)&amp;"  (Sparten-ID "&amp;INDEX(Eingabe!$D$9:$D$18,I717)&amp;", "&amp;K717&amp;" Parzellen)",IF(J717&lt;=K717,"   Parzelle "&amp;J717,IF(J717=K717+1,"   Vorstand",IF(J717=K717+2,"   Gäste",IF(J717=K717+3,"   Technik (Switches, Access Points)",""))))))</f>
        <v/>
      </c>
      <c r="B717" s="0" t="str">
        <f aca="false">IF(I717="","",IF(AND(J717&gt;=1,J717&lt;=K717+3),IF(J717&lt;=K717,IF(J717&lt;=99,IF((INDEX(Eingabe!$G$9:$G$18,I717))&lt;=9,1000+(INDEX(Eingabe!$G$9:$G$18,I717))*100,3000)+J717,IF((INDEX(Eingabe!$G$9:$G$18,I717)+1)&lt;=9,1000+(INDEX(Eingabe!$G$9:$G$18,I717)+1)*100,3000)+J717-100),IF(J717=K717+1,2000+INDEX(Eingabe!$G$9:$G$18,I717)*10+1,IF(J717=K717+2,2000+INDEX(Eingabe!$G$9:$G$18,I717)*10+2,2000+INDEX(Eingabe!$G$9:$G$18,I717)*10+9))),""))</f>
        <v/>
      </c>
      <c r="C717" s="0" t="str">
        <f aca="false">IF(I717="","",IF(AND(J717&gt;=1,J717&lt;=K717+3),"10."&amp;INDEX(Eingabe!$D$9:$D$18,I717)&amp;"."&amp;IF(J717&lt;=K717,J717,IF(J717=K717+1,200,IF(J717=K717+2,201,250)))&amp;".0/24",""))</f>
        <v/>
      </c>
      <c r="D717" s="0" t="str">
        <f aca="false">IF(I717="","",IF(AND(J717&gt;=1,J717&lt;=K717+3),"255.255.255.0",""))</f>
        <v/>
      </c>
      <c r="E717" s="0" t="str">
        <f aca="false">IF(I717="","",IF(AND(J717&gt;=1,J717&lt;=K717+3),"10."&amp;INDEX(Eingabe!$D$9:$D$18,I717)&amp;"."&amp;IF(J717&lt;=K717,J717,IF(J717=K717+1,200,IF(J717=K717+2,201,250)))&amp;".1",""))</f>
        <v/>
      </c>
      <c r="F717" s="0" t="str">
        <f aca="false">IF(I717="","",IF(AND(J717&gt;=1,J717&lt;=K717+3),"10."&amp;INDEX(Eingabe!$D$9:$D$18,I717)&amp;"."&amp;IF(J717&lt;=K717,J717,IF(J717=K717+1,200,IF(J717=K717+2,201,250)))&amp;".10 – 10."&amp;INDEX(Eingabe!$D$9:$D$18,I717)&amp;"."&amp;IF(J717&lt;=K717,J717,IF(J717=K717+1,200,IF(J717=K717+2,201,250)))&amp;".250",""))</f>
        <v/>
      </c>
      <c r="G717" s="0" t="str">
        <f aca="false">IF(I717="","",IF(AND(J717&gt;=1,J717&lt;=K717),Eingabe!$B$6&amp;"-"&amp;INDEX(Eingabe!$C$9:$C$18,I717)&amp;"-Pächter  ·  Passwort Parzelle "&amp;J717,IF(J717=K717+1,Eingabe!$B$6&amp;"-"&amp;INDEX(Eingabe!$C$9:$C$18,I717)&amp;"-Vorstand  ·  eigenes WLAN",IF(J717=K717+2,Eingabe!$B$6&amp;"-"&amp;INDEX(Eingabe!$C$9:$C$18,I717)&amp;"-Gäste  ·  Voucher",IF(J717=K717+3,"Kabel  ·  Access Point y = .(50+y), Mast-Switch x = .(10+x)","")))))</f>
        <v/>
      </c>
      <c r="I717" s="0" t="str">
        <f aca="false">IF(712&lt;=(Eingabe!$P$18+Eingabe!$Q$18-1),MATCH(712,Eingabe!$P$9:$P$18,1),"")</f>
        <v/>
      </c>
      <c r="J717" s="0" t="str">
        <f aca="false">IF(I717="","",712-INDEX(Eingabe!$P$9:$P$18,I717))</f>
        <v/>
      </c>
      <c r="K717" s="0" t="str">
        <f aca="false">IF(I717="","",INDEX(Eingabe!$E$9:$E$18,I717))</f>
        <v/>
      </c>
    </row>
    <row r="718" customFormat="false" ht="15" hidden="false" customHeight="false" outlineLevel="0" collapsed="false">
      <c r="A718" s="0" t="str">
        <f aca="false">IF(I718="","",IF(J718=0,"Sparte "&amp;I718&amp;": "&amp;INDEX(Eingabe!$B$9:$B$18,I718)&amp;"  (Sparten-ID "&amp;INDEX(Eingabe!$D$9:$D$18,I718)&amp;", "&amp;K718&amp;" Parzellen)",IF(J718&lt;=K718,"   Parzelle "&amp;J718,IF(J718=K718+1,"   Vorstand",IF(J718=K718+2,"   Gäste",IF(J718=K718+3,"   Technik (Switches, Access Points)",""))))))</f>
        <v/>
      </c>
      <c r="B718" s="0" t="str">
        <f aca="false">IF(I718="","",IF(AND(J718&gt;=1,J718&lt;=K718+3),IF(J718&lt;=K718,IF(J718&lt;=99,IF((INDEX(Eingabe!$G$9:$G$18,I718))&lt;=9,1000+(INDEX(Eingabe!$G$9:$G$18,I718))*100,3000)+J718,IF((INDEX(Eingabe!$G$9:$G$18,I718)+1)&lt;=9,1000+(INDEX(Eingabe!$G$9:$G$18,I718)+1)*100,3000)+J718-100),IF(J718=K718+1,2000+INDEX(Eingabe!$G$9:$G$18,I718)*10+1,IF(J718=K718+2,2000+INDEX(Eingabe!$G$9:$G$18,I718)*10+2,2000+INDEX(Eingabe!$G$9:$G$18,I718)*10+9))),""))</f>
        <v/>
      </c>
      <c r="C718" s="0" t="str">
        <f aca="false">IF(I718="","",IF(AND(J718&gt;=1,J718&lt;=K718+3),"10."&amp;INDEX(Eingabe!$D$9:$D$18,I718)&amp;"."&amp;IF(J718&lt;=K718,J718,IF(J718=K718+1,200,IF(J718=K718+2,201,250)))&amp;".0/24",""))</f>
        <v/>
      </c>
      <c r="D718" s="0" t="str">
        <f aca="false">IF(I718="","",IF(AND(J718&gt;=1,J718&lt;=K718+3),"255.255.255.0",""))</f>
        <v/>
      </c>
      <c r="E718" s="0" t="str">
        <f aca="false">IF(I718="","",IF(AND(J718&gt;=1,J718&lt;=K718+3),"10."&amp;INDEX(Eingabe!$D$9:$D$18,I718)&amp;"."&amp;IF(J718&lt;=K718,J718,IF(J718=K718+1,200,IF(J718=K718+2,201,250)))&amp;".1",""))</f>
        <v/>
      </c>
      <c r="F718" s="0" t="str">
        <f aca="false">IF(I718="","",IF(AND(J718&gt;=1,J718&lt;=K718+3),"10."&amp;INDEX(Eingabe!$D$9:$D$18,I718)&amp;"."&amp;IF(J718&lt;=K718,J718,IF(J718=K718+1,200,IF(J718=K718+2,201,250)))&amp;".10 – 10."&amp;INDEX(Eingabe!$D$9:$D$18,I718)&amp;"."&amp;IF(J718&lt;=K718,J718,IF(J718=K718+1,200,IF(J718=K718+2,201,250)))&amp;".250",""))</f>
        <v/>
      </c>
      <c r="G718" s="0" t="str">
        <f aca="false">IF(I718="","",IF(AND(J718&gt;=1,J718&lt;=K718),Eingabe!$B$6&amp;"-"&amp;INDEX(Eingabe!$C$9:$C$18,I718)&amp;"-Pächter  ·  Passwort Parzelle "&amp;J718,IF(J718=K718+1,Eingabe!$B$6&amp;"-"&amp;INDEX(Eingabe!$C$9:$C$18,I718)&amp;"-Vorstand  ·  eigenes WLAN",IF(J718=K718+2,Eingabe!$B$6&amp;"-"&amp;INDEX(Eingabe!$C$9:$C$18,I718)&amp;"-Gäste  ·  Voucher",IF(J718=K718+3,"Kabel  ·  Access Point y = .(50+y), Mast-Switch x = .(10+x)","")))))</f>
        <v/>
      </c>
      <c r="I718" s="0" t="str">
        <f aca="false">IF(713&lt;=(Eingabe!$P$18+Eingabe!$Q$18-1),MATCH(713,Eingabe!$P$9:$P$18,1),"")</f>
        <v/>
      </c>
      <c r="J718" s="0" t="str">
        <f aca="false">IF(I718="","",713-INDEX(Eingabe!$P$9:$P$18,I718))</f>
        <v/>
      </c>
      <c r="K718" s="0" t="str">
        <f aca="false">IF(I718="","",INDEX(Eingabe!$E$9:$E$18,I718))</f>
        <v/>
      </c>
    </row>
    <row r="719" customFormat="false" ht="15" hidden="false" customHeight="false" outlineLevel="0" collapsed="false">
      <c r="A719" s="0" t="str">
        <f aca="false">IF(I719="","",IF(J719=0,"Sparte "&amp;I719&amp;": "&amp;INDEX(Eingabe!$B$9:$B$18,I719)&amp;"  (Sparten-ID "&amp;INDEX(Eingabe!$D$9:$D$18,I719)&amp;", "&amp;K719&amp;" Parzellen)",IF(J719&lt;=K719,"   Parzelle "&amp;J719,IF(J719=K719+1,"   Vorstand",IF(J719=K719+2,"   Gäste",IF(J719=K719+3,"   Technik (Switches, Access Points)",""))))))</f>
        <v/>
      </c>
      <c r="B719" s="0" t="str">
        <f aca="false">IF(I719="","",IF(AND(J719&gt;=1,J719&lt;=K719+3),IF(J719&lt;=K719,IF(J719&lt;=99,IF((INDEX(Eingabe!$G$9:$G$18,I719))&lt;=9,1000+(INDEX(Eingabe!$G$9:$G$18,I719))*100,3000)+J719,IF((INDEX(Eingabe!$G$9:$G$18,I719)+1)&lt;=9,1000+(INDEX(Eingabe!$G$9:$G$18,I719)+1)*100,3000)+J719-100),IF(J719=K719+1,2000+INDEX(Eingabe!$G$9:$G$18,I719)*10+1,IF(J719=K719+2,2000+INDEX(Eingabe!$G$9:$G$18,I719)*10+2,2000+INDEX(Eingabe!$G$9:$G$18,I719)*10+9))),""))</f>
        <v/>
      </c>
      <c r="C719" s="0" t="str">
        <f aca="false">IF(I719="","",IF(AND(J719&gt;=1,J719&lt;=K719+3),"10."&amp;INDEX(Eingabe!$D$9:$D$18,I719)&amp;"."&amp;IF(J719&lt;=K719,J719,IF(J719=K719+1,200,IF(J719=K719+2,201,250)))&amp;".0/24",""))</f>
        <v/>
      </c>
      <c r="D719" s="0" t="str">
        <f aca="false">IF(I719="","",IF(AND(J719&gt;=1,J719&lt;=K719+3),"255.255.255.0",""))</f>
        <v/>
      </c>
      <c r="E719" s="0" t="str">
        <f aca="false">IF(I719="","",IF(AND(J719&gt;=1,J719&lt;=K719+3),"10."&amp;INDEX(Eingabe!$D$9:$D$18,I719)&amp;"."&amp;IF(J719&lt;=K719,J719,IF(J719=K719+1,200,IF(J719=K719+2,201,250)))&amp;".1",""))</f>
        <v/>
      </c>
      <c r="F719" s="0" t="str">
        <f aca="false">IF(I719="","",IF(AND(J719&gt;=1,J719&lt;=K719+3),"10."&amp;INDEX(Eingabe!$D$9:$D$18,I719)&amp;"."&amp;IF(J719&lt;=K719,J719,IF(J719=K719+1,200,IF(J719=K719+2,201,250)))&amp;".10 – 10."&amp;INDEX(Eingabe!$D$9:$D$18,I719)&amp;"."&amp;IF(J719&lt;=K719,J719,IF(J719=K719+1,200,IF(J719=K719+2,201,250)))&amp;".250",""))</f>
        <v/>
      </c>
      <c r="G719" s="0" t="str">
        <f aca="false">IF(I719="","",IF(AND(J719&gt;=1,J719&lt;=K719),Eingabe!$B$6&amp;"-"&amp;INDEX(Eingabe!$C$9:$C$18,I719)&amp;"-Pächter  ·  Passwort Parzelle "&amp;J719,IF(J719=K719+1,Eingabe!$B$6&amp;"-"&amp;INDEX(Eingabe!$C$9:$C$18,I719)&amp;"-Vorstand  ·  eigenes WLAN",IF(J719=K719+2,Eingabe!$B$6&amp;"-"&amp;INDEX(Eingabe!$C$9:$C$18,I719)&amp;"-Gäste  ·  Voucher",IF(J719=K719+3,"Kabel  ·  Access Point y = .(50+y), Mast-Switch x = .(10+x)","")))))</f>
        <v/>
      </c>
      <c r="I719" s="0" t="str">
        <f aca="false">IF(714&lt;=(Eingabe!$P$18+Eingabe!$Q$18-1),MATCH(714,Eingabe!$P$9:$P$18,1),"")</f>
        <v/>
      </c>
      <c r="J719" s="0" t="str">
        <f aca="false">IF(I719="","",714-INDEX(Eingabe!$P$9:$P$18,I719))</f>
        <v/>
      </c>
      <c r="K719" s="0" t="str">
        <f aca="false">IF(I719="","",INDEX(Eingabe!$E$9:$E$18,I719))</f>
        <v/>
      </c>
    </row>
    <row r="720" customFormat="false" ht="15" hidden="false" customHeight="false" outlineLevel="0" collapsed="false">
      <c r="A720" s="0" t="str">
        <f aca="false">IF(I720="","",IF(J720=0,"Sparte "&amp;I720&amp;": "&amp;INDEX(Eingabe!$B$9:$B$18,I720)&amp;"  (Sparten-ID "&amp;INDEX(Eingabe!$D$9:$D$18,I720)&amp;", "&amp;K720&amp;" Parzellen)",IF(J720&lt;=K720,"   Parzelle "&amp;J720,IF(J720=K720+1,"   Vorstand",IF(J720=K720+2,"   Gäste",IF(J720=K720+3,"   Technik (Switches, Access Points)",""))))))</f>
        <v/>
      </c>
      <c r="B720" s="0" t="str">
        <f aca="false">IF(I720="","",IF(AND(J720&gt;=1,J720&lt;=K720+3),IF(J720&lt;=K720,IF(J720&lt;=99,IF((INDEX(Eingabe!$G$9:$G$18,I720))&lt;=9,1000+(INDEX(Eingabe!$G$9:$G$18,I720))*100,3000)+J720,IF((INDEX(Eingabe!$G$9:$G$18,I720)+1)&lt;=9,1000+(INDEX(Eingabe!$G$9:$G$18,I720)+1)*100,3000)+J720-100),IF(J720=K720+1,2000+INDEX(Eingabe!$G$9:$G$18,I720)*10+1,IF(J720=K720+2,2000+INDEX(Eingabe!$G$9:$G$18,I720)*10+2,2000+INDEX(Eingabe!$G$9:$G$18,I720)*10+9))),""))</f>
        <v/>
      </c>
      <c r="C720" s="0" t="str">
        <f aca="false">IF(I720="","",IF(AND(J720&gt;=1,J720&lt;=K720+3),"10."&amp;INDEX(Eingabe!$D$9:$D$18,I720)&amp;"."&amp;IF(J720&lt;=K720,J720,IF(J720=K720+1,200,IF(J720=K720+2,201,250)))&amp;".0/24",""))</f>
        <v/>
      </c>
      <c r="D720" s="0" t="str">
        <f aca="false">IF(I720="","",IF(AND(J720&gt;=1,J720&lt;=K720+3),"255.255.255.0",""))</f>
        <v/>
      </c>
      <c r="E720" s="0" t="str">
        <f aca="false">IF(I720="","",IF(AND(J720&gt;=1,J720&lt;=K720+3),"10."&amp;INDEX(Eingabe!$D$9:$D$18,I720)&amp;"."&amp;IF(J720&lt;=K720,J720,IF(J720=K720+1,200,IF(J720=K720+2,201,250)))&amp;".1",""))</f>
        <v/>
      </c>
      <c r="F720" s="0" t="str">
        <f aca="false">IF(I720="","",IF(AND(J720&gt;=1,J720&lt;=K720+3),"10."&amp;INDEX(Eingabe!$D$9:$D$18,I720)&amp;"."&amp;IF(J720&lt;=K720,J720,IF(J720=K720+1,200,IF(J720=K720+2,201,250)))&amp;".10 – 10."&amp;INDEX(Eingabe!$D$9:$D$18,I720)&amp;"."&amp;IF(J720&lt;=K720,J720,IF(J720=K720+1,200,IF(J720=K720+2,201,250)))&amp;".250",""))</f>
        <v/>
      </c>
      <c r="G720" s="0" t="str">
        <f aca="false">IF(I720="","",IF(AND(J720&gt;=1,J720&lt;=K720),Eingabe!$B$6&amp;"-"&amp;INDEX(Eingabe!$C$9:$C$18,I720)&amp;"-Pächter  ·  Passwort Parzelle "&amp;J720,IF(J720=K720+1,Eingabe!$B$6&amp;"-"&amp;INDEX(Eingabe!$C$9:$C$18,I720)&amp;"-Vorstand  ·  eigenes WLAN",IF(J720=K720+2,Eingabe!$B$6&amp;"-"&amp;INDEX(Eingabe!$C$9:$C$18,I720)&amp;"-Gäste  ·  Voucher",IF(J720=K720+3,"Kabel  ·  Access Point y = .(50+y), Mast-Switch x = .(10+x)","")))))</f>
        <v/>
      </c>
      <c r="I720" s="0" t="str">
        <f aca="false">IF(715&lt;=(Eingabe!$P$18+Eingabe!$Q$18-1),MATCH(715,Eingabe!$P$9:$P$18,1),"")</f>
        <v/>
      </c>
      <c r="J720" s="0" t="str">
        <f aca="false">IF(I720="","",715-INDEX(Eingabe!$P$9:$P$18,I720))</f>
        <v/>
      </c>
      <c r="K720" s="0" t="str">
        <f aca="false">IF(I720="","",INDEX(Eingabe!$E$9:$E$18,I720))</f>
        <v/>
      </c>
    </row>
    <row r="721" customFormat="false" ht="15" hidden="false" customHeight="false" outlineLevel="0" collapsed="false">
      <c r="A721" s="0" t="str">
        <f aca="false">IF(I721="","",IF(J721=0,"Sparte "&amp;I721&amp;": "&amp;INDEX(Eingabe!$B$9:$B$18,I721)&amp;"  (Sparten-ID "&amp;INDEX(Eingabe!$D$9:$D$18,I721)&amp;", "&amp;K721&amp;" Parzellen)",IF(J721&lt;=K721,"   Parzelle "&amp;J721,IF(J721=K721+1,"   Vorstand",IF(J721=K721+2,"   Gäste",IF(J721=K721+3,"   Technik (Switches, Access Points)",""))))))</f>
        <v/>
      </c>
      <c r="B721" s="0" t="str">
        <f aca="false">IF(I721="","",IF(AND(J721&gt;=1,J721&lt;=K721+3),IF(J721&lt;=K721,IF(J721&lt;=99,IF((INDEX(Eingabe!$G$9:$G$18,I721))&lt;=9,1000+(INDEX(Eingabe!$G$9:$G$18,I721))*100,3000)+J721,IF((INDEX(Eingabe!$G$9:$G$18,I721)+1)&lt;=9,1000+(INDEX(Eingabe!$G$9:$G$18,I721)+1)*100,3000)+J721-100),IF(J721=K721+1,2000+INDEX(Eingabe!$G$9:$G$18,I721)*10+1,IF(J721=K721+2,2000+INDEX(Eingabe!$G$9:$G$18,I721)*10+2,2000+INDEX(Eingabe!$G$9:$G$18,I721)*10+9))),""))</f>
        <v/>
      </c>
      <c r="C721" s="0" t="str">
        <f aca="false">IF(I721="","",IF(AND(J721&gt;=1,J721&lt;=K721+3),"10."&amp;INDEX(Eingabe!$D$9:$D$18,I721)&amp;"."&amp;IF(J721&lt;=K721,J721,IF(J721=K721+1,200,IF(J721=K721+2,201,250)))&amp;".0/24",""))</f>
        <v/>
      </c>
      <c r="D721" s="0" t="str">
        <f aca="false">IF(I721="","",IF(AND(J721&gt;=1,J721&lt;=K721+3),"255.255.255.0",""))</f>
        <v/>
      </c>
      <c r="E721" s="0" t="str">
        <f aca="false">IF(I721="","",IF(AND(J721&gt;=1,J721&lt;=K721+3),"10."&amp;INDEX(Eingabe!$D$9:$D$18,I721)&amp;"."&amp;IF(J721&lt;=K721,J721,IF(J721=K721+1,200,IF(J721=K721+2,201,250)))&amp;".1",""))</f>
        <v/>
      </c>
      <c r="F721" s="0" t="str">
        <f aca="false">IF(I721="","",IF(AND(J721&gt;=1,J721&lt;=K721+3),"10."&amp;INDEX(Eingabe!$D$9:$D$18,I721)&amp;"."&amp;IF(J721&lt;=K721,J721,IF(J721=K721+1,200,IF(J721=K721+2,201,250)))&amp;".10 – 10."&amp;INDEX(Eingabe!$D$9:$D$18,I721)&amp;"."&amp;IF(J721&lt;=K721,J721,IF(J721=K721+1,200,IF(J721=K721+2,201,250)))&amp;".250",""))</f>
        <v/>
      </c>
      <c r="G721" s="0" t="str">
        <f aca="false">IF(I721="","",IF(AND(J721&gt;=1,J721&lt;=K721),Eingabe!$B$6&amp;"-"&amp;INDEX(Eingabe!$C$9:$C$18,I721)&amp;"-Pächter  ·  Passwort Parzelle "&amp;J721,IF(J721=K721+1,Eingabe!$B$6&amp;"-"&amp;INDEX(Eingabe!$C$9:$C$18,I721)&amp;"-Vorstand  ·  eigenes WLAN",IF(J721=K721+2,Eingabe!$B$6&amp;"-"&amp;INDEX(Eingabe!$C$9:$C$18,I721)&amp;"-Gäste  ·  Voucher",IF(J721=K721+3,"Kabel  ·  Access Point y = .(50+y), Mast-Switch x = .(10+x)","")))))</f>
        <v/>
      </c>
      <c r="I721" s="0" t="str">
        <f aca="false">IF(716&lt;=(Eingabe!$P$18+Eingabe!$Q$18-1),MATCH(716,Eingabe!$P$9:$P$18,1),"")</f>
        <v/>
      </c>
      <c r="J721" s="0" t="str">
        <f aca="false">IF(I721="","",716-INDEX(Eingabe!$P$9:$P$18,I721))</f>
        <v/>
      </c>
      <c r="K721" s="0" t="str">
        <f aca="false">IF(I721="","",INDEX(Eingabe!$E$9:$E$18,I721))</f>
        <v/>
      </c>
    </row>
    <row r="722" customFormat="false" ht="15" hidden="false" customHeight="false" outlineLevel="0" collapsed="false">
      <c r="A722" s="0" t="str">
        <f aca="false">IF(I722="","",IF(J722=0,"Sparte "&amp;I722&amp;": "&amp;INDEX(Eingabe!$B$9:$B$18,I722)&amp;"  (Sparten-ID "&amp;INDEX(Eingabe!$D$9:$D$18,I722)&amp;", "&amp;K722&amp;" Parzellen)",IF(J722&lt;=K722,"   Parzelle "&amp;J722,IF(J722=K722+1,"   Vorstand",IF(J722=K722+2,"   Gäste",IF(J722=K722+3,"   Technik (Switches, Access Points)",""))))))</f>
        <v/>
      </c>
      <c r="B722" s="0" t="str">
        <f aca="false">IF(I722="","",IF(AND(J722&gt;=1,J722&lt;=K722+3),IF(J722&lt;=K722,IF(J722&lt;=99,IF((INDEX(Eingabe!$G$9:$G$18,I722))&lt;=9,1000+(INDEX(Eingabe!$G$9:$G$18,I722))*100,3000)+J722,IF((INDEX(Eingabe!$G$9:$G$18,I722)+1)&lt;=9,1000+(INDEX(Eingabe!$G$9:$G$18,I722)+1)*100,3000)+J722-100),IF(J722=K722+1,2000+INDEX(Eingabe!$G$9:$G$18,I722)*10+1,IF(J722=K722+2,2000+INDEX(Eingabe!$G$9:$G$18,I722)*10+2,2000+INDEX(Eingabe!$G$9:$G$18,I722)*10+9))),""))</f>
        <v/>
      </c>
      <c r="C722" s="0" t="str">
        <f aca="false">IF(I722="","",IF(AND(J722&gt;=1,J722&lt;=K722+3),"10."&amp;INDEX(Eingabe!$D$9:$D$18,I722)&amp;"."&amp;IF(J722&lt;=K722,J722,IF(J722=K722+1,200,IF(J722=K722+2,201,250)))&amp;".0/24",""))</f>
        <v/>
      </c>
      <c r="D722" s="0" t="str">
        <f aca="false">IF(I722="","",IF(AND(J722&gt;=1,J722&lt;=K722+3),"255.255.255.0",""))</f>
        <v/>
      </c>
      <c r="E722" s="0" t="str">
        <f aca="false">IF(I722="","",IF(AND(J722&gt;=1,J722&lt;=K722+3),"10."&amp;INDEX(Eingabe!$D$9:$D$18,I722)&amp;"."&amp;IF(J722&lt;=K722,J722,IF(J722=K722+1,200,IF(J722=K722+2,201,250)))&amp;".1",""))</f>
        <v/>
      </c>
      <c r="F722" s="0" t="str">
        <f aca="false">IF(I722="","",IF(AND(J722&gt;=1,J722&lt;=K722+3),"10."&amp;INDEX(Eingabe!$D$9:$D$18,I722)&amp;"."&amp;IF(J722&lt;=K722,J722,IF(J722=K722+1,200,IF(J722=K722+2,201,250)))&amp;".10 – 10."&amp;INDEX(Eingabe!$D$9:$D$18,I722)&amp;"."&amp;IF(J722&lt;=K722,J722,IF(J722=K722+1,200,IF(J722=K722+2,201,250)))&amp;".250",""))</f>
        <v/>
      </c>
      <c r="G722" s="0" t="str">
        <f aca="false">IF(I722="","",IF(AND(J722&gt;=1,J722&lt;=K722),Eingabe!$B$6&amp;"-"&amp;INDEX(Eingabe!$C$9:$C$18,I722)&amp;"-Pächter  ·  Passwort Parzelle "&amp;J722,IF(J722=K722+1,Eingabe!$B$6&amp;"-"&amp;INDEX(Eingabe!$C$9:$C$18,I722)&amp;"-Vorstand  ·  eigenes WLAN",IF(J722=K722+2,Eingabe!$B$6&amp;"-"&amp;INDEX(Eingabe!$C$9:$C$18,I722)&amp;"-Gäste  ·  Voucher",IF(J722=K722+3,"Kabel  ·  Access Point y = .(50+y), Mast-Switch x = .(10+x)","")))))</f>
        <v/>
      </c>
      <c r="I722" s="0" t="str">
        <f aca="false">IF(717&lt;=(Eingabe!$P$18+Eingabe!$Q$18-1),MATCH(717,Eingabe!$P$9:$P$18,1),"")</f>
        <v/>
      </c>
      <c r="J722" s="0" t="str">
        <f aca="false">IF(I722="","",717-INDEX(Eingabe!$P$9:$P$18,I722))</f>
        <v/>
      </c>
      <c r="K722" s="0" t="str">
        <f aca="false">IF(I722="","",INDEX(Eingabe!$E$9:$E$18,I722))</f>
        <v/>
      </c>
    </row>
    <row r="723" customFormat="false" ht="15" hidden="false" customHeight="false" outlineLevel="0" collapsed="false">
      <c r="A723" s="0" t="str">
        <f aca="false">IF(I723="","",IF(J723=0,"Sparte "&amp;I723&amp;": "&amp;INDEX(Eingabe!$B$9:$B$18,I723)&amp;"  (Sparten-ID "&amp;INDEX(Eingabe!$D$9:$D$18,I723)&amp;", "&amp;K723&amp;" Parzellen)",IF(J723&lt;=K723,"   Parzelle "&amp;J723,IF(J723=K723+1,"   Vorstand",IF(J723=K723+2,"   Gäste",IF(J723=K723+3,"   Technik (Switches, Access Points)",""))))))</f>
        <v/>
      </c>
      <c r="B723" s="0" t="str">
        <f aca="false">IF(I723="","",IF(AND(J723&gt;=1,J723&lt;=K723+3),IF(J723&lt;=K723,IF(J723&lt;=99,IF((INDEX(Eingabe!$G$9:$G$18,I723))&lt;=9,1000+(INDEX(Eingabe!$G$9:$G$18,I723))*100,3000)+J723,IF((INDEX(Eingabe!$G$9:$G$18,I723)+1)&lt;=9,1000+(INDEX(Eingabe!$G$9:$G$18,I723)+1)*100,3000)+J723-100),IF(J723=K723+1,2000+INDEX(Eingabe!$G$9:$G$18,I723)*10+1,IF(J723=K723+2,2000+INDEX(Eingabe!$G$9:$G$18,I723)*10+2,2000+INDEX(Eingabe!$G$9:$G$18,I723)*10+9))),""))</f>
        <v/>
      </c>
      <c r="C723" s="0" t="str">
        <f aca="false">IF(I723="","",IF(AND(J723&gt;=1,J723&lt;=K723+3),"10."&amp;INDEX(Eingabe!$D$9:$D$18,I723)&amp;"."&amp;IF(J723&lt;=K723,J723,IF(J723=K723+1,200,IF(J723=K723+2,201,250)))&amp;".0/24",""))</f>
        <v/>
      </c>
      <c r="D723" s="0" t="str">
        <f aca="false">IF(I723="","",IF(AND(J723&gt;=1,J723&lt;=K723+3),"255.255.255.0",""))</f>
        <v/>
      </c>
      <c r="E723" s="0" t="str">
        <f aca="false">IF(I723="","",IF(AND(J723&gt;=1,J723&lt;=K723+3),"10."&amp;INDEX(Eingabe!$D$9:$D$18,I723)&amp;"."&amp;IF(J723&lt;=K723,J723,IF(J723=K723+1,200,IF(J723=K723+2,201,250)))&amp;".1",""))</f>
        <v/>
      </c>
      <c r="F723" s="0" t="str">
        <f aca="false">IF(I723="","",IF(AND(J723&gt;=1,J723&lt;=K723+3),"10."&amp;INDEX(Eingabe!$D$9:$D$18,I723)&amp;"."&amp;IF(J723&lt;=K723,J723,IF(J723=K723+1,200,IF(J723=K723+2,201,250)))&amp;".10 – 10."&amp;INDEX(Eingabe!$D$9:$D$18,I723)&amp;"."&amp;IF(J723&lt;=K723,J723,IF(J723=K723+1,200,IF(J723=K723+2,201,250)))&amp;".250",""))</f>
        <v/>
      </c>
      <c r="G723" s="0" t="str">
        <f aca="false">IF(I723="","",IF(AND(J723&gt;=1,J723&lt;=K723),Eingabe!$B$6&amp;"-"&amp;INDEX(Eingabe!$C$9:$C$18,I723)&amp;"-Pächter  ·  Passwort Parzelle "&amp;J723,IF(J723=K723+1,Eingabe!$B$6&amp;"-"&amp;INDEX(Eingabe!$C$9:$C$18,I723)&amp;"-Vorstand  ·  eigenes WLAN",IF(J723=K723+2,Eingabe!$B$6&amp;"-"&amp;INDEX(Eingabe!$C$9:$C$18,I723)&amp;"-Gäste  ·  Voucher",IF(J723=K723+3,"Kabel  ·  Access Point y = .(50+y), Mast-Switch x = .(10+x)","")))))</f>
        <v/>
      </c>
      <c r="I723" s="0" t="str">
        <f aca="false">IF(718&lt;=(Eingabe!$P$18+Eingabe!$Q$18-1),MATCH(718,Eingabe!$P$9:$P$18,1),"")</f>
        <v/>
      </c>
      <c r="J723" s="0" t="str">
        <f aca="false">IF(I723="","",718-INDEX(Eingabe!$P$9:$P$18,I723))</f>
        <v/>
      </c>
      <c r="K723" s="0" t="str">
        <f aca="false">IF(I723="","",INDEX(Eingabe!$E$9:$E$18,I723))</f>
        <v/>
      </c>
    </row>
    <row r="724" customFormat="false" ht="15" hidden="false" customHeight="false" outlineLevel="0" collapsed="false">
      <c r="A724" s="0" t="str">
        <f aca="false">IF(I724="","",IF(J724=0,"Sparte "&amp;I724&amp;": "&amp;INDEX(Eingabe!$B$9:$B$18,I724)&amp;"  (Sparten-ID "&amp;INDEX(Eingabe!$D$9:$D$18,I724)&amp;", "&amp;K724&amp;" Parzellen)",IF(J724&lt;=K724,"   Parzelle "&amp;J724,IF(J724=K724+1,"   Vorstand",IF(J724=K724+2,"   Gäste",IF(J724=K724+3,"   Technik (Switches, Access Points)",""))))))</f>
        <v/>
      </c>
      <c r="B724" s="0" t="str">
        <f aca="false">IF(I724="","",IF(AND(J724&gt;=1,J724&lt;=K724+3),IF(J724&lt;=K724,IF(J724&lt;=99,IF((INDEX(Eingabe!$G$9:$G$18,I724))&lt;=9,1000+(INDEX(Eingabe!$G$9:$G$18,I724))*100,3000)+J724,IF((INDEX(Eingabe!$G$9:$G$18,I724)+1)&lt;=9,1000+(INDEX(Eingabe!$G$9:$G$18,I724)+1)*100,3000)+J724-100),IF(J724=K724+1,2000+INDEX(Eingabe!$G$9:$G$18,I724)*10+1,IF(J724=K724+2,2000+INDEX(Eingabe!$G$9:$G$18,I724)*10+2,2000+INDEX(Eingabe!$G$9:$G$18,I724)*10+9))),""))</f>
        <v/>
      </c>
      <c r="C724" s="0" t="str">
        <f aca="false">IF(I724="","",IF(AND(J724&gt;=1,J724&lt;=K724+3),"10."&amp;INDEX(Eingabe!$D$9:$D$18,I724)&amp;"."&amp;IF(J724&lt;=K724,J724,IF(J724=K724+1,200,IF(J724=K724+2,201,250)))&amp;".0/24",""))</f>
        <v/>
      </c>
      <c r="D724" s="0" t="str">
        <f aca="false">IF(I724="","",IF(AND(J724&gt;=1,J724&lt;=K724+3),"255.255.255.0",""))</f>
        <v/>
      </c>
      <c r="E724" s="0" t="str">
        <f aca="false">IF(I724="","",IF(AND(J724&gt;=1,J724&lt;=K724+3),"10."&amp;INDEX(Eingabe!$D$9:$D$18,I724)&amp;"."&amp;IF(J724&lt;=K724,J724,IF(J724=K724+1,200,IF(J724=K724+2,201,250)))&amp;".1",""))</f>
        <v/>
      </c>
      <c r="F724" s="0" t="str">
        <f aca="false">IF(I724="","",IF(AND(J724&gt;=1,J724&lt;=K724+3),"10."&amp;INDEX(Eingabe!$D$9:$D$18,I724)&amp;"."&amp;IF(J724&lt;=K724,J724,IF(J724=K724+1,200,IF(J724=K724+2,201,250)))&amp;".10 – 10."&amp;INDEX(Eingabe!$D$9:$D$18,I724)&amp;"."&amp;IF(J724&lt;=K724,J724,IF(J724=K724+1,200,IF(J724=K724+2,201,250)))&amp;".250",""))</f>
        <v/>
      </c>
      <c r="G724" s="0" t="str">
        <f aca="false">IF(I724="","",IF(AND(J724&gt;=1,J724&lt;=K724),Eingabe!$B$6&amp;"-"&amp;INDEX(Eingabe!$C$9:$C$18,I724)&amp;"-Pächter  ·  Passwort Parzelle "&amp;J724,IF(J724=K724+1,Eingabe!$B$6&amp;"-"&amp;INDEX(Eingabe!$C$9:$C$18,I724)&amp;"-Vorstand  ·  eigenes WLAN",IF(J724=K724+2,Eingabe!$B$6&amp;"-"&amp;INDEX(Eingabe!$C$9:$C$18,I724)&amp;"-Gäste  ·  Voucher",IF(J724=K724+3,"Kabel  ·  Access Point y = .(50+y), Mast-Switch x = .(10+x)","")))))</f>
        <v/>
      </c>
      <c r="I724" s="0" t="str">
        <f aca="false">IF(719&lt;=(Eingabe!$P$18+Eingabe!$Q$18-1),MATCH(719,Eingabe!$P$9:$P$18,1),"")</f>
        <v/>
      </c>
      <c r="J724" s="0" t="str">
        <f aca="false">IF(I724="","",719-INDEX(Eingabe!$P$9:$P$18,I724))</f>
        <v/>
      </c>
      <c r="K724" s="0" t="str">
        <f aca="false">IF(I724="","",INDEX(Eingabe!$E$9:$E$18,I724))</f>
        <v/>
      </c>
    </row>
    <row r="725" customFormat="false" ht="15" hidden="false" customHeight="false" outlineLevel="0" collapsed="false">
      <c r="A725" s="0" t="str">
        <f aca="false">IF(I725="","",IF(J725=0,"Sparte "&amp;I725&amp;": "&amp;INDEX(Eingabe!$B$9:$B$18,I725)&amp;"  (Sparten-ID "&amp;INDEX(Eingabe!$D$9:$D$18,I725)&amp;", "&amp;K725&amp;" Parzellen)",IF(J725&lt;=K725,"   Parzelle "&amp;J725,IF(J725=K725+1,"   Vorstand",IF(J725=K725+2,"   Gäste",IF(J725=K725+3,"   Technik (Switches, Access Points)",""))))))</f>
        <v/>
      </c>
      <c r="B725" s="0" t="str">
        <f aca="false">IF(I725="","",IF(AND(J725&gt;=1,J725&lt;=K725+3),IF(J725&lt;=K725,IF(J725&lt;=99,IF((INDEX(Eingabe!$G$9:$G$18,I725))&lt;=9,1000+(INDEX(Eingabe!$G$9:$G$18,I725))*100,3000)+J725,IF((INDEX(Eingabe!$G$9:$G$18,I725)+1)&lt;=9,1000+(INDEX(Eingabe!$G$9:$G$18,I725)+1)*100,3000)+J725-100),IF(J725=K725+1,2000+INDEX(Eingabe!$G$9:$G$18,I725)*10+1,IF(J725=K725+2,2000+INDEX(Eingabe!$G$9:$G$18,I725)*10+2,2000+INDEX(Eingabe!$G$9:$G$18,I725)*10+9))),""))</f>
        <v/>
      </c>
      <c r="C725" s="0" t="str">
        <f aca="false">IF(I725="","",IF(AND(J725&gt;=1,J725&lt;=K725+3),"10."&amp;INDEX(Eingabe!$D$9:$D$18,I725)&amp;"."&amp;IF(J725&lt;=K725,J725,IF(J725=K725+1,200,IF(J725=K725+2,201,250)))&amp;".0/24",""))</f>
        <v/>
      </c>
      <c r="D725" s="0" t="str">
        <f aca="false">IF(I725="","",IF(AND(J725&gt;=1,J725&lt;=K725+3),"255.255.255.0",""))</f>
        <v/>
      </c>
      <c r="E725" s="0" t="str">
        <f aca="false">IF(I725="","",IF(AND(J725&gt;=1,J725&lt;=K725+3),"10."&amp;INDEX(Eingabe!$D$9:$D$18,I725)&amp;"."&amp;IF(J725&lt;=K725,J725,IF(J725=K725+1,200,IF(J725=K725+2,201,250)))&amp;".1",""))</f>
        <v/>
      </c>
      <c r="F725" s="0" t="str">
        <f aca="false">IF(I725="","",IF(AND(J725&gt;=1,J725&lt;=K725+3),"10."&amp;INDEX(Eingabe!$D$9:$D$18,I725)&amp;"."&amp;IF(J725&lt;=K725,J725,IF(J725=K725+1,200,IF(J725=K725+2,201,250)))&amp;".10 – 10."&amp;INDEX(Eingabe!$D$9:$D$18,I725)&amp;"."&amp;IF(J725&lt;=K725,J725,IF(J725=K725+1,200,IF(J725=K725+2,201,250)))&amp;".250",""))</f>
        <v/>
      </c>
      <c r="G725" s="0" t="str">
        <f aca="false">IF(I725="","",IF(AND(J725&gt;=1,J725&lt;=K725),Eingabe!$B$6&amp;"-"&amp;INDEX(Eingabe!$C$9:$C$18,I725)&amp;"-Pächter  ·  Passwort Parzelle "&amp;J725,IF(J725=K725+1,Eingabe!$B$6&amp;"-"&amp;INDEX(Eingabe!$C$9:$C$18,I725)&amp;"-Vorstand  ·  eigenes WLAN",IF(J725=K725+2,Eingabe!$B$6&amp;"-"&amp;INDEX(Eingabe!$C$9:$C$18,I725)&amp;"-Gäste  ·  Voucher",IF(J725=K725+3,"Kabel  ·  Access Point y = .(50+y), Mast-Switch x = .(10+x)","")))))</f>
        <v/>
      </c>
      <c r="I725" s="0" t="str">
        <f aca="false">IF(720&lt;=(Eingabe!$P$18+Eingabe!$Q$18-1),MATCH(720,Eingabe!$P$9:$P$18,1),"")</f>
        <v/>
      </c>
      <c r="J725" s="0" t="str">
        <f aca="false">IF(I725="","",720-INDEX(Eingabe!$P$9:$P$18,I725))</f>
        <v/>
      </c>
      <c r="K725" s="0" t="str">
        <f aca="false">IF(I725="","",INDEX(Eingabe!$E$9:$E$18,I725))</f>
        <v/>
      </c>
    </row>
    <row r="726" customFormat="false" ht="15" hidden="false" customHeight="false" outlineLevel="0" collapsed="false">
      <c r="A726" s="0" t="str">
        <f aca="false">IF(I726="","",IF(J726=0,"Sparte "&amp;I726&amp;": "&amp;INDEX(Eingabe!$B$9:$B$18,I726)&amp;"  (Sparten-ID "&amp;INDEX(Eingabe!$D$9:$D$18,I726)&amp;", "&amp;K726&amp;" Parzellen)",IF(J726&lt;=K726,"   Parzelle "&amp;J726,IF(J726=K726+1,"   Vorstand",IF(J726=K726+2,"   Gäste",IF(J726=K726+3,"   Technik (Switches, Access Points)",""))))))</f>
        <v/>
      </c>
      <c r="B726" s="0" t="str">
        <f aca="false">IF(I726="","",IF(AND(J726&gt;=1,J726&lt;=K726+3),IF(J726&lt;=K726,IF(J726&lt;=99,IF((INDEX(Eingabe!$G$9:$G$18,I726))&lt;=9,1000+(INDEX(Eingabe!$G$9:$G$18,I726))*100,3000)+J726,IF((INDEX(Eingabe!$G$9:$G$18,I726)+1)&lt;=9,1000+(INDEX(Eingabe!$G$9:$G$18,I726)+1)*100,3000)+J726-100),IF(J726=K726+1,2000+INDEX(Eingabe!$G$9:$G$18,I726)*10+1,IF(J726=K726+2,2000+INDEX(Eingabe!$G$9:$G$18,I726)*10+2,2000+INDEX(Eingabe!$G$9:$G$18,I726)*10+9))),""))</f>
        <v/>
      </c>
      <c r="C726" s="0" t="str">
        <f aca="false">IF(I726="","",IF(AND(J726&gt;=1,J726&lt;=K726+3),"10."&amp;INDEX(Eingabe!$D$9:$D$18,I726)&amp;"."&amp;IF(J726&lt;=K726,J726,IF(J726=K726+1,200,IF(J726=K726+2,201,250)))&amp;".0/24",""))</f>
        <v/>
      </c>
      <c r="D726" s="0" t="str">
        <f aca="false">IF(I726="","",IF(AND(J726&gt;=1,J726&lt;=K726+3),"255.255.255.0",""))</f>
        <v/>
      </c>
      <c r="E726" s="0" t="str">
        <f aca="false">IF(I726="","",IF(AND(J726&gt;=1,J726&lt;=K726+3),"10."&amp;INDEX(Eingabe!$D$9:$D$18,I726)&amp;"."&amp;IF(J726&lt;=K726,J726,IF(J726=K726+1,200,IF(J726=K726+2,201,250)))&amp;".1",""))</f>
        <v/>
      </c>
      <c r="F726" s="0" t="str">
        <f aca="false">IF(I726="","",IF(AND(J726&gt;=1,J726&lt;=K726+3),"10."&amp;INDEX(Eingabe!$D$9:$D$18,I726)&amp;"."&amp;IF(J726&lt;=K726,J726,IF(J726=K726+1,200,IF(J726=K726+2,201,250)))&amp;".10 – 10."&amp;INDEX(Eingabe!$D$9:$D$18,I726)&amp;"."&amp;IF(J726&lt;=K726,J726,IF(J726=K726+1,200,IF(J726=K726+2,201,250)))&amp;".250",""))</f>
        <v/>
      </c>
      <c r="G726" s="0" t="str">
        <f aca="false">IF(I726="","",IF(AND(J726&gt;=1,J726&lt;=K726),Eingabe!$B$6&amp;"-"&amp;INDEX(Eingabe!$C$9:$C$18,I726)&amp;"-Pächter  ·  Passwort Parzelle "&amp;J726,IF(J726=K726+1,Eingabe!$B$6&amp;"-"&amp;INDEX(Eingabe!$C$9:$C$18,I726)&amp;"-Vorstand  ·  eigenes WLAN",IF(J726=K726+2,Eingabe!$B$6&amp;"-"&amp;INDEX(Eingabe!$C$9:$C$18,I726)&amp;"-Gäste  ·  Voucher",IF(J726=K726+3,"Kabel  ·  Access Point y = .(50+y), Mast-Switch x = .(10+x)","")))))</f>
        <v/>
      </c>
      <c r="I726" s="0" t="str">
        <f aca="false">IF(721&lt;=(Eingabe!$P$18+Eingabe!$Q$18-1),MATCH(721,Eingabe!$P$9:$P$18,1),"")</f>
        <v/>
      </c>
      <c r="J726" s="0" t="str">
        <f aca="false">IF(I726="","",721-INDEX(Eingabe!$P$9:$P$18,I726))</f>
        <v/>
      </c>
      <c r="K726" s="0" t="str">
        <f aca="false">IF(I726="","",INDEX(Eingabe!$E$9:$E$18,I726))</f>
        <v/>
      </c>
    </row>
    <row r="727" customFormat="false" ht="15" hidden="false" customHeight="false" outlineLevel="0" collapsed="false">
      <c r="A727" s="0" t="str">
        <f aca="false">IF(I727="","",IF(J727=0,"Sparte "&amp;I727&amp;": "&amp;INDEX(Eingabe!$B$9:$B$18,I727)&amp;"  (Sparten-ID "&amp;INDEX(Eingabe!$D$9:$D$18,I727)&amp;", "&amp;K727&amp;" Parzellen)",IF(J727&lt;=K727,"   Parzelle "&amp;J727,IF(J727=K727+1,"   Vorstand",IF(J727=K727+2,"   Gäste",IF(J727=K727+3,"   Technik (Switches, Access Points)",""))))))</f>
        <v/>
      </c>
      <c r="B727" s="0" t="str">
        <f aca="false">IF(I727="","",IF(AND(J727&gt;=1,J727&lt;=K727+3),IF(J727&lt;=K727,IF(J727&lt;=99,IF((INDEX(Eingabe!$G$9:$G$18,I727))&lt;=9,1000+(INDEX(Eingabe!$G$9:$G$18,I727))*100,3000)+J727,IF((INDEX(Eingabe!$G$9:$G$18,I727)+1)&lt;=9,1000+(INDEX(Eingabe!$G$9:$G$18,I727)+1)*100,3000)+J727-100),IF(J727=K727+1,2000+INDEX(Eingabe!$G$9:$G$18,I727)*10+1,IF(J727=K727+2,2000+INDEX(Eingabe!$G$9:$G$18,I727)*10+2,2000+INDEX(Eingabe!$G$9:$G$18,I727)*10+9))),""))</f>
        <v/>
      </c>
      <c r="C727" s="0" t="str">
        <f aca="false">IF(I727="","",IF(AND(J727&gt;=1,J727&lt;=K727+3),"10."&amp;INDEX(Eingabe!$D$9:$D$18,I727)&amp;"."&amp;IF(J727&lt;=K727,J727,IF(J727=K727+1,200,IF(J727=K727+2,201,250)))&amp;".0/24",""))</f>
        <v/>
      </c>
      <c r="D727" s="0" t="str">
        <f aca="false">IF(I727="","",IF(AND(J727&gt;=1,J727&lt;=K727+3),"255.255.255.0",""))</f>
        <v/>
      </c>
      <c r="E727" s="0" t="str">
        <f aca="false">IF(I727="","",IF(AND(J727&gt;=1,J727&lt;=K727+3),"10."&amp;INDEX(Eingabe!$D$9:$D$18,I727)&amp;"."&amp;IF(J727&lt;=K727,J727,IF(J727=K727+1,200,IF(J727=K727+2,201,250)))&amp;".1",""))</f>
        <v/>
      </c>
      <c r="F727" s="0" t="str">
        <f aca="false">IF(I727="","",IF(AND(J727&gt;=1,J727&lt;=K727+3),"10."&amp;INDEX(Eingabe!$D$9:$D$18,I727)&amp;"."&amp;IF(J727&lt;=K727,J727,IF(J727=K727+1,200,IF(J727=K727+2,201,250)))&amp;".10 – 10."&amp;INDEX(Eingabe!$D$9:$D$18,I727)&amp;"."&amp;IF(J727&lt;=K727,J727,IF(J727=K727+1,200,IF(J727=K727+2,201,250)))&amp;".250",""))</f>
        <v/>
      </c>
      <c r="G727" s="0" t="str">
        <f aca="false">IF(I727="","",IF(AND(J727&gt;=1,J727&lt;=K727),Eingabe!$B$6&amp;"-"&amp;INDEX(Eingabe!$C$9:$C$18,I727)&amp;"-Pächter  ·  Passwort Parzelle "&amp;J727,IF(J727=K727+1,Eingabe!$B$6&amp;"-"&amp;INDEX(Eingabe!$C$9:$C$18,I727)&amp;"-Vorstand  ·  eigenes WLAN",IF(J727=K727+2,Eingabe!$B$6&amp;"-"&amp;INDEX(Eingabe!$C$9:$C$18,I727)&amp;"-Gäste  ·  Voucher",IF(J727=K727+3,"Kabel  ·  Access Point y = .(50+y), Mast-Switch x = .(10+x)","")))))</f>
        <v/>
      </c>
      <c r="I727" s="0" t="str">
        <f aca="false">IF(722&lt;=(Eingabe!$P$18+Eingabe!$Q$18-1),MATCH(722,Eingabe!$P$9:$P$18,1),"")</f>
        <v/>
      </c>
      <c r="J727" s="0" t="str">
        <f aca="false">IF(I727="","",722-INDEX(Eingabe!$P$9:$P$18,I727))</f>
        <v/>
      </c>
      <c r="K727" s="0" t="str">
        <f aca="false">IF(I727="","",INDEX(Eingabe!$E$9:$E$18,I727))</f>
        <v/>
      </c>
    </row>
    <row r="728" customFormat="false" ht="15" hidden="false" customHeight="false" outlineLevel="0" collapsed="false">
      <c r="A728" s="0" t="str">
        <f aca="false">IF(I728="","",IF(J728=0,"Sparte "&amp;I728&amp;": "&amp;INDEX(Eingabe!$B$9:$B$18,I728)&amp;"  (Sparten-ID "&amp;INDEX(Eingabe!$D$9:$D$18,I728)&amp;", "&amp;K728&amp;" Parzellen)",IF(J728&lt;=K728,"   Parzelle "&amp;J728,IF(J728=K728+1,"   Vorstand",IF(J728=K728+2,"   Gäste",IF(J728=K728+3,"   Technik (Switches, Access Points)",""))))))</f>
        <v/>
      </c>
      <c r="B728" s="0" t="str">
        <f aca="false">IF(I728="","",IF(AND(J728&gt;=1,J728&lt;=K728+3),IF(J728&lt;=K728,IF(J728&lt;=99,IF((INDEX(Eingabe!$G$9:$G$18,I728))&lt;=9,1000+(INDEX(Eingabe!$G$9:$G$18,I728))*100,3000)+J728,IF((INDEX(Eingabe!$G$9:$G$18,I728)+1)&lt;=9,1000+(INDEX(Eingabe!$G$9:$G$18,I728)+1)*100,3000)+J728-100),IF(J728=K728+1,2000+INDEX(Eingabe!$G$9:$G$18,I728)*10+1,IF(J728=K728+2,2000+INDEX(Eingabe!$G$9:$G$18,I728)*10+2,2000+INDEX(Eingabe!$G$9:$G$18,I728)*10+9))),""))</f>
        <v/>
      </c>
      <c r="C728" s="0" t="str">
        <f aca="false">IF(I728="","",IF(AND(J728&gt;=1,J728&lt;=K728+3),"10."&amp;INDEX(Eingabe!$D$9:$D$18,I728)&amp;"."&amp;IF(J728&lt;=K728,J728,IF(J728=K728+1,200,IF(J728=K728+2,201,250)))&amp;".0/24",""))</f>
        <v/>
      </c>
      <c r="D728" s="0" t="str">
        <f aca="false">IF(I728="","",IF(AND(J728&gt;=1,J728&lt;=K728+3),"255.255.255.0",""))</f>
        <v/>
      </c>
      <c r="E728" s="0" t="str">
        <f aca="false">IF(I728="","",IF(AND(J728&gt;=1,J728&lt;=K728+3),"10."&amp;INDEX(Eingabe!$D$9:$D$18,I728)&amp;"."&amp;IF(J728&lt;=K728,J728,IF(J728=K728+1,200,IF(J728=K728+2,201,250)))&amp;".1",""))</f>
        <v/>
      </c>
      <c r="F728" s="0" t="str">
        <f aca="false">IF(I728="","",IF(AND(J728&gt;=1,J728&lt;=K728+3),"10."&amp;INDEX(Eingabe!$D$9:$D$18,I728)&amp;"."&amp;IF(J728&lt;=K728,J728,IF(J728=K728+1,200,IF(J728=K728+2,201,250)))&amp;".10 – 10."&amp;INDEX(Eingabe!$D$9:$D$18,I728)&amp;"."&amp;IF(J728&lt;=K728,J728,IF(J728=K728+1,200,IF(J728=K728+2,201,250)))&amp;".250",""))</f>
        <v/>
      </c>
      <c r="G728" s="0" t="str">
        <f aca="false">IF(I728="","",IF(AND(J728&gt;=1,J728&lt;=K728),Eingabe!$B$6&amp;"-"&amp;INDEX(Eingabe!$C$9:$C$18,I728)&amp;"-Pächter  ·  Passwort Parzelle "&amp;J728,IF(J728=K728+1,Eingabe!$B$6&amp;"-"&amp;INDEX(Eingabe!$C$9:$C$18,I728)&amp;"-Vorstand  ·  eigenes WLAN",IF(J728=K728+2,Eingabe!$B$6&amp;"-"&amp;INDEX(Eingabe!$C$9:$C$18,I728)&amp;"-Gäste  ·  Voucher",IF(J728=K728+3,"Kabel  ·  Access Point y = .(50+y), Mast-Switch x = .(10+x)","")))))</f>
        <v/>
      </c>
      <c r="I728" s="0" t="str">
        <f aca="false">IF(723&lt;=(Eingabe!$P$18+Eingabe!$Q$18-1),MATCH(723,Eingabe!$P$9:$P$18,1),"")</f>
        <v/>
      </c>
      <c r="J728" s="0" t="str">
        <f aca="false">IF(I728="","",723-INDEX(Eingabe!$P$9:$P$18,I728))</f>
        <v/>
      </c>
      <c r="K728" s="0" t="str">
        <f aca="false">IF(I728="","",INDEX(Eingabe!$E$9:$E$18,I728))</f>
        <v/>
      </c>
    </row>
    <row r="729" customFormat="false" ht="15" hidden="false" customHeight="false" outlineLevel="0" collapsed="false">
      <c r="A729" s="0" t="str">
        <f aca="false">IF(I729="","",IF(J729=0,"Sparte "&amp;I729&amp;": "&amp;INDEX(Eingabe!$B$9:$B$18,I729)&amp;"  (Sparten-ID "&amp;INDEX(Eingabe!$D$9:$D$18,I729)&amp;", "&amp;K729&amp;" Parzellen)",IF(J729&lt;=K729,"   Parzelle "&amp;J729,IF(J729=K729+1,"   Vorstand",IF(J729=K729+2,"   Gäste",IF(J729=K729+3,"   Technik (Switches, Access Points)",""))))))</f>
        <v/>
      </c>
      <c r="B729" s="0" t="str">
        <f aca="false">IF(I729="","",IF(AND(J729&gt;=1,J729&lt;=K729+3),IF(J729&lt;=K729,IF(J729&lt;=99,IF((INDEX(Eingabe!$G$9:$G$18,I729))&lt;=9,1000+(INDEX(Eingabe!$G$9:$G$18,I729))*100,3000)+J729,IF((INDEX(Eingabe!$G$9:$G$18,I729)+1)&lt;=9,1000+(INDEX(Eingabe!$G$9:$G$18,I729)+1)*100,3000)+J729-100),IF(J729=K729+1,2000+INDEX(Eingabe!$G$9:$G$18,I729)*10+1,IF(J729=K729+2,2000+INDEX(Eingabe!$G$9:$G$18,I729)*10+2,2000+INDEX(Eingabe!$G$9:$G$18,I729)*10+9))),""))</f>
        <v/>
      </c>
      <c r="C729" s="0" t="str">
        <f aca="false">IF(I729="","",IF(AND(J729&gt;=1,J729&lt;=K729+3),"10."&amp;INDEX(Eingabe!$D$9:$D$18,I729)&amp;"."&amp;IF(J729&lt;=K729,J729,IF(J729=K729+1,200,IF(J729=K729+2,201,250)))&amp;".0/24",""))</f>
        <v/>
      </c>
      <c r="D729" s="0" t="str">
        <f aca="false">IF(I729="","",IF(AND(J729&gt;=1,J729&lt;=K729+3),"255.255.255.0",""))</f>
        <v/>
      </c>
      <c r="E729" s="0" t="str">
        <f aca="false">IF(I729="","",IF(AND(J729&gt;=1,J729&lt;=K729+3),"10."&amp;INDEX(Eingabe!$D$9:$D$18,I729)&amp;"."&amp;IF(J729&lt;=K729,J729,IF(J729=K729+1,200,IF(J729=K729+2,201,250)))&amp;".1",""))</f>
        <v/>
      </c>
      <c r="F729" s="0" t="str">
        <f aca="false">IF(I729="","",IF(AND(J729&gt;=1,J729&lt;=K729+3),"10."&amp;INDEX(Eingabe!$D$9:$D$18,I729)&amp;"."&amp;IF(J729&lt;=K729,J729,IF(J729=K729+1,200,IF(J729=K729+2,201,250)))&amp;".10 – 10."&amp;INDEX(Eingabe!$D$9:$D$18,I729)&amp;"."&amp;IF(J729&lt;=K729,J729,IF(J729=K729+1,200,IF(J729=K729+2,201,250)))&amp;".250",""))</f>
        <v/>
      </c>
      <c r="G729" s="0" t="str">
        <f aca="false">IF(I729="","",IF(AND(J729&gt;=1,J729&lt;=K729),Eingabe!$B$6&amp;"-"&amp;INDEX(Eingabe!$C$9:$C$18,I729)&amp;"-Pächter  ·  Passwort Parzelle "&amp;J729,IF(J729=K729+1,Eingabe!$B$6&amp;"-"&amp;INDEX(Eingabe!$C$9:$C$18,I729)&amp;"-Vorstand  ·  eigenes WLAN",IF(J729=K729+2,Eingabe!$B$6&amp;"-"&amp;INDEX(Eingabe!$C$9:$C$18,I729)&amp;"-Gäste  ·  Voucher",IF(J729=K729+3,"Kabel  ·  Access Point y = .(50+y), Mast-Switch x = .(10+x)","")))))</f>
        <v/>
      </c>
      <c r="I729" s="0" t="str">
        <f aca="false">IF(724&lt;=(Eingabe!$P$18+Eingabe!$Q$18-1),MATCH(724,Eingabe!$P$9:$P$18,1),"")</f>
        <v/>
      </c>
      <c r="J729" s="0" t="str">
        <f aca="false">IF(I729="","",724-INDEX(Eingabe!$P$9:$P$18,I729))</f>
        <v/>
      </c>
      <c r="K729" s="0" t="str">
        <f aca="false">IF(I729="","",INDEX(Eingabe!$E$9:$E$18,I729))</f>
        <v/>
      </c>
    </row>
    <row r="730" customFormat="false" ht="15" hidden="false" customHeight="false" outlineLevel="0" collapsed="false">
      <c r="A730" s="0" t="str">
        <f aca="false">IF(I730="","",IF(J730=0,"Sparte "&amp;I730&amp;": "&amp;INDEX(Eingabe!$B$9:$B$18,I730)&amp;"  (Sparten-ID "&amp;INDEX(Eingabe!$D$9:$D$18,I730)&amp;", "&amp;K730&amp;" Parzellen)",IF(J730&lt;=K730,"   Parzelle "&amp;J730,IF(J730=K730+1,"   Vorstand",IF(J730=K730+2,"   Gäste",IF(J730=K730+3,"   Technik (Switches, Access Points)",""))))))</f>
        <v/>
      </c>
      <c r="B730" s="0" t="str">
        <f aca="false">IF(I730="","",IF(AND(J730&gt;=1,J730&lt;=K730+3),IF(J730&lt;=K730,IF(J730&lt;=99,IF((INDEX(Eingabe!$G$9:$G$18,I730))&lt;=9,1000+(INDEX(Eingabe!$G$9:$G$18,I730))*100,3000)+J730,IF((INDEX(Eingabe!$G$9:$G$18,I730)+1)&lt;=9,1000+(INDEX(Eingabe!$G$9:$G$18,I730)+1)*100,3000)+J730-100),IF(J730=K730+1,2000+INDEX(Eingabe!$G$9:$G$18,I730)*10+1,IF(J730=K730+2,2000+INDEX(Eingabe!$G$9:$G$18,I730)*10+2,2000+INDEX(Eingabe!$G$9:$G$18,I730)*10+9))),""))</f>
        <v/>
      </c>
      <c r="C730" s="0" t="str">
        <f aca="false">IF(I730="","",IF(AND(J730&gt;=1,J730&lt;=K730+3),"10."&amp;INDEX(Eingabe!$D$9:$D$18,I730)&amp;"."&amp;IF(J730&lt;=K730,J730,IF(J730=K730+1,200,IF(J730=K730+2,201,250)))&amp;".0/24",""))</f>
        <v/>
      </c>
      <c r="D730" s="0" t="str">
        <f aca="false">IF(I730="","",IF(AND(J730&gt;=1,J730&lt;=K730+3),"255.255.255.0",""))</f>
        <v/>
      </c>
      <c r="E730" s="0" t="str">
        <f aca="false">IF(I730="","",IF(AND(J730&gt;=1,J730&lt;=K730+3),"10."&amp;INDEX(Eingabe!$D$9:$D$18,I730)&amp;"."&amp;IF(J730&lt;=K730,J730,IF(J730=K730+1,200,IF(J730=K730+2,201,250)))&amp;".1",""))</f>
        <v/>
      </c>
      <c r="F730" s="0" t="str">
        <f aca="false">IF(I730="","",IF(AND(J730&gt;=1,J730&lt;=K730+3),"10."&amp;INDEX(Eingabe!$D$9:$D$18,I730)&amp;"."&amp;IF(J730&lt;=K730,J730,IF(J730=K730+1,200,IF(J730=K730+2,201,250)))&amp;".10 – 10."&amp;INDEX(Eingabe!$D$9:$D$18,I730)&amp;"."&amp;IF(J730&lt;=K730,J730,IF(J730=K730+1,200,IF(J730=K730+2,201,250)))&amp;".250",""))</f>
        <v/>
      </c>
      <c r="G730" s="0" t="str">
        <f aca="false">IF(I730="","",IF(AND(J730&gt;=1,J730&lt;=K730),Eingabe!$B$6&amp;"-"&amp;INDEX(Eingabe!$C$9:$C$18,I730)&amp;"-Pächter  ·  Passwort Parzelle "&amp;J730,IF(J730=K730+1,Eingabe!$B$6&amp;"-"&amp;INDEX(Eingabe!$C$9:$C$18,I730)&amp;"-Vorstand  ·  eigenes WLAN",IF(J730=K730+2,Eingabe!$B$6&amp;"-"&amp;INDEX(Eingabe!$C$9:$C$18,I730)&amp;"-Gäste  ·  Voucher",IF(J730=K730+3,"Kabel  ·  Access Point y = .(50+y), Mast-Switch x = .(10+x)","")))))</f>
        <v/>
      </c>
      <c r="I730" s="0" t="str">
        <f aca="false">IF(725&lt;=(Eingabe!$P$18+Eingabe!$Q$18-1),MATCH(725,Eingabe!$P$9:$P$18,1),"")</f>
        <v/>
      </c>
      <c r="J730" s="0" t="str">
        <f aca="false">IF(I730="","",725-INDEX(Eingabe!$P$9:$P$18,I730))</f>
        <v/>
      </c>
      <c r="K730" s="0" t="str">
        <f aca="false">IF(I730="","",INDEX(Eingabe!$E$9:$E$18,I730))</f>
        <v/>
      </c>
    </row>
    <row r="731" customFormat="false" ht="15" hidden="false" customHeight="false" outlineLevel="0" collapsed="false">
      <c r="A731" s="0" t="str">
        <f aca="false">IF(I731="","",IF(J731=0,"Sparte "&amp;I731&amp;": "&amp;INDEX(Eingabe!$B$9:$B$18,I731)&amp;"  (Sparten-ID "&amp;INDEX(Eingabe!$D$9:$D$18,I731)&amp;", "&amp;K731&amp;" Parzellen)",IF(J731&lt;=K731,"   Parzelle "&amp;J731,IF(J731=K731+1,"   Vorstand",IF(J731=K731+2,"   Gäste",IF(J731=K731+3,"   Technik (Switches, Access Points)",""))))))</f>
        <v/>
      </c>
      <c r="B731" s="0" t="str">
        <f aca="false">IF(I731="","",IF(AND(J731&gt;=1,J731&lt;=K731+3),IF(J731&lt;=K731,IF(J731&lt;=99,IF((INDEX(Eingabe!$G$9:$G$18,I731))&lt;=9,1000+(INDEX(Eingabe!$G$9:$G$18,I731))*100,3000)+J731,IF((INDEX(Eingabe!$G$9:$G$18,I731)+1)&lt;=9,1000+(INDEX(Eingabe!$G$9:$G$18,I731)+1)*100,3000)+J731-100),IF(J731=K731+1,2000+INDEX(Eingabe!$G$9:$G$18,I731)*10+1,IF(J731=K731+2,2000+INDEX(Eingabe!$G$9:$G$18,I731)*10+2,2000+INDEX(Eingabe!$G$9:$G$18,I731)*10+9))),""))</f>
        <v/>
      </c>
      <c r="C731" s="0" t="str">
        <f aca="false">IF(I731="","",IF(AND(J731&gt;=1,J731&lt;=K731+3),"10."&amp;INDEX(Eingabe!$D$9:$D$18,I731)&amp;"."&amp;IF(J731&lt;=K731,J731,IF(J731=K731+1,200,IF(J731=K731+2,201,250)))&amp;".0/24",""))</f>
        <v/>
      </c>
      <c r="D731" s="0" t="str">
        <f aca="false">IF(I731="","",IF(AND(J731&gt;=1,J731&lt;=K731+3),"255.255.255.0",""))</f>
        <v/>
      </c>
      <c r="E731" s="0" t="str">
        <f aca="false">IF(I731="","",IF(AND(J731&gt;=1,J731&lt;=K731+3),"10."&amp;INDEX(Eingabe!$D$9:$D$18,I731)&amp;"."&amp;IF(J731&lt;=K731,J731,IF(J731=K731+1,200,IF(J731=K731+2,201,250)))&amp;".1",""))</f>
        <v/>
      </c>
      <c r="F731" s="0" t="str">
        <f aca="false">IF(I731="","",IF(AND(J731&gt;=1,J731&lt;=K731+3),"10."&amp;INDEX(Eingabe!$D$9:$D$18,I731)&amp;"."&amp;IF(J731&lt;=K731,J731,IF(J731=K731+1,200,IF(J731=K731+2,201,250)))&amp;".10 – 10."&amp;INDEX(Eingabe!$D$9:$D$18,I731)&amp;"."&amp;IF(J731&lt;=K731,J731,IF(J731=K731+1,200,IF(J731=K731+2,201,250)))&amp;".250",""))</f>
        <v/>
      </c>
      <c r="G731" s="0" t="str">
        <f aca="false">IF(I731="","",IF(AND(J731&gt;=1,J731&lt;=K731),Eingabe!$B$6&amp;"-"&amp;INDEX(Eingabe!$C$9:$C$18,I731)&amp;"-Pächter  ·  Passwort Parzelle "&amp;J731,IF(J731=K731+1,Eingabe!$B$6&amp;"-"&amp;INDEX(Eingabe!$C$9:$C$18,I731)&amp;"-Vorstand  ·  eigenes WLAN",IF(J731=K731+2,Eingabe!$B$6&amp;"-"&amp;INDEX(Eingabe!$C$9:$C$18,I731)&amp;"-Gäste  ·  Voucher",IF(J731=K731+3,"Kabel  ·  Access Point y = .(50+y), Mast-Switch x = .(10+x)","")))))</f>
        <v/>
      </c>
      <c r="I731" s="0" t="str">
        <f aca="false">IF(726&lt;=(Eingabe!$P$18+Eingabe!$Q$18-1),MATCH(726,Eingabe!$P$9:$P$18,1),"")</f>
        <v/>
      </c>
      <c r="J731" s="0" t="str">
        <f aca="false">IF(I731="","",726-INDEX(Eingabe!$P$9:$P$18,I731))</f>
        <v/>
      </c>
      <c r="K731" s="0" t="str">
        <f aca="false">IF(I731="","",INDEX(Eingabe!$E$9:$E$18,I731))</f>
        <v/>
      </c>
    </row>
    <row r="732" customFormat="false" ht="15" hidden="false" customHeight="false" outlineLevel="0" collapsed="false">
      <c r="A732" s="0" t="str">
        <f aca="false">IF(I732="","",IF(J732=0,"Sparte "&amp;I732&amp;": "&amp;INDEX(Eingabe!$B$9:$B$18,I732)&amp;"  (Sparten-ID "&amp;INDEX(Eingabe!$D$9:$D$18,I732)&amp;", "&amp;K732&amp;" Parzellen)",IF(J732&lt;=K732,"   Parzelle "&amp;J732,IF(J732=K732+1,"   Vorstand",IF(J732=K732+2,"   Gäste",IF(J732=K732+3,"   Technik (Switches, Access Points)",""))))))</f>
        <v/>
      </c>
      <c r="B732" s="0" t="str">
        <f aca="false">IF(I732="","",IF(AND(J732&gt;=1,J732&lt;=K732+3),IF(J732&lt;=K732,IF(J732&lt;=99,IF((INDEX(Eingabe!$G$9:$G$18,I732))&lt;=9,1000+(INDEX(Eingabe!$G$9:$G$18,I732))*100,3000)+J732,IF((INDEX(Eingabe!$G$9:$G$18,I732)+1)&lt;=9,1000+(INDEX(Eingabe!$G$9:$G$18,I732)+1)*100,3000)+J732-100),IF(J732=K732+1,2000+INDEX(Eingabe!$G$9:$G$18,I732)*10+1,IF(J732=K732+2,2000+INDEX(Eingabe!$G$9:$G$18,I732)*10+2,2000+INDEX(Eingabe!$G$9:$G$18,I732)*10+9))),""))</f>
        <v/>
      </c>
      <c r="C732" s="0" t="str">
        <f aca="false">IF(I732="","",IF(AND(J732&gt;=1,J732&lt;=K732+3),"10."&amp;INDEX(Eingabe!$D$9:$D$18,I732)&amp;"."&amp;IF(J732&lt;=K732,J732,IF(J732=K732+1,200,IF(J732=K732+2,201,250)))&amp;".0/24",""))</f>
        <v/>
      </c>
      <c r="D732" s="0" t="str">
        <f aca="false">IF(I732="","",IF(AND(J732&gt;=1,J732&lt;=K732+3),"255.255.255.0",""))</f>
        <v/>
      </c>
      <c r="E732" s="0" t="str">
        <f aca="false">IF(I732="","",IF(AND(J732&gt;=1,J732&lt;=K732+3),"10."&amp;INDEX(Eingabe!$D$9:$D$18,I732)&amp;"."&amp;IF(J732&lt;=K732,J732,IF(J732=K732+1,200,IF(J732=K732+2,201,250)))&amp;".1",""))</f>
        <v/>
      </c>
      <c r="F732" s="0" t="str">
        <f aca="false">IF(I732="","",IF(AND(J732&gt;=1,J732&lt;=K732+3),"10."&amp;INDEX(Eingabe!$D$9:$D$18,I732)&amp;"."&amp;IF(J732&lt;=K732,J732,IF(J732=K732+1,200,IF(J732=K732+2,201,250)))&amp;".10 – 10."&amp;INDEX(Eingabe!$D$9:$D$18,I732)&amp;"."&amp;IF(J732&lt;=K732,J732,IF(J732=K732+1,200,IF(J732=K732+2,201,250)))&amp;".250",""))</f>
        <v/>
      </c>
      <c r="G732" s="0" t="str">
        <f aca="false">IF(I732="","",IF(AND(J732&gt;=1,J732&lt;=K732),Eingabe!$B$6&amp;"-"&amp;INDEX(Eingabe!$C$9:$C$18,I732)&amp;"-Pächter  ·  Passwort Parzelle "&amp;J732,IF(J732=K732+1,Eingabe!$B$6&amp;"-"&amp;INDEX(Eingabe!$C$9:$C$18,I732)&amp;"-Vorstand  ·  eigenes WLAN",IF(J732=K732+2,Eingabe!$B$6&amp;"-"&amp;INDEX(Eingabe!$C$9:$C$18,I732)&amp;"-Gäste  ·  Voucher",IF(J732=K732+3,"Kabel  ·  Access Point y = .(50+y), Mast-Switch x = .(10+x)","")))))</f>
        <v/>
      </c>
      <c r="I732" s="0" t="str">
        <f aca="false">IF(727&lt;=(Eingabe!$P$18+Eingabe!$Q$18-1),MATCH(727,Eingabe!$P$9:$P$18,1),"")</f>
        <v/>
      </c>
      <c r="J732" s="0" t="str">
        <f aca="false">IF(I732="","",727-INDEX(Eingabe!$P$9:$P$18,I732))</f>
        <v/>
      </c>
      <c r="K732" s="0" t="str">
        <f aca="false">IF(I732="","",INDEX(Eingabe!$E$9:$E$18,I732))</f>
        <v/>
      </c>
    </row>
    <row r="733" customFormat="false" ht="15" hidden="false" customHeight="false" outlineLevel="0" collapsed="false">
      <c r="A733" s="0" t="str">
        <f aca="false">IF(I733="","",IF(J733=0,"Sparte "&amp;I733&amp;": "&amp;INDEX(Eingabe!$B$9:$B$18,I733)&amp;"  (Sparten-ID "&amp;INDEX(Eingabe!$D$9:$D$18,I733)&amp;", "&amp;K733&amp;" Parzellen)",IF(J733&lt;=K733,"   Parzelle "&amp;J733,IF(J733=K733+1,"   Vorstand",IF(J733=K733+2,"   Gäste",IF(J733=K733+3,"   Technik (Switches, Access Points)",""))))))</f>
        <v/>
      </c>
      <c r="B733" s="0" t="str">
        <f aca="false">IF(I733="","",IF(AND(J733&gt;=1,J733&lt;=K733+3),IF(J733&lt;=K733,IF(J733&lt;=99,IF((INDEX(Eingabe!$G$9:$G$18,I733))&lt;=9,1000+(INDEX(Eingabe!$G$9:$G$18,I733))*100,3000)+J733,IF((INDEX(Eingabe!$G$9:$G$18,I733)+1)&lt;=9,1000+(INDEX(Eingabe!$G$9:$G$18,I733)+1)*100,3000)+J733-100),IF(J733=K733+1,2000+INDEX(Eingabe!$G$9:$G$18,I733)*10+1,IF(J733=K733+2,2000+INDEX(Eingabe!$G$9:$G$18,I733)*10+2,2000+INDEX(Eingabe!$G$9:$G$18,I733)*10+9))),""))</f>
        <v/>
      </c>
      <c r="C733" s="0" t="str">
        <f aca="false">IF(I733="","",IF(AND(J733&gt;=1,J733&lt;=K733+3),"10."&amp;INDEX(Eingabe!$D$9:$D$18,I733)&amp;"."&amp;IF(J733&lt;=K733,J733,IF(J733=K733+1,200,IF(J733=K733+2,201,250)))&amp;".0/24",""))</f>
        <v/>
      </c>
      <c r="D733" s="0" t="str">
        <f aca="false">IF(I733="","",IF(AND(J733&gt;=1,J733&lt;=K733+3),"255.255.255.0",""))</f>
        <v/>
      </c>
      <c r="E733" s="0" t="str">
        <f aca="false">IF(I733="","",IF(AND(J733&gt;=1,J733&lt;=K733+3),"10."&amp;INDEX(Eingabe!$D$9:$D$18,I733)&amp;"."&amp;IF(J733&lt;=K733,J733,IF(J733=K733+1,200,IF(J733=K733+2,201,250)))&amp;".1",""))</f>
        <v/>
      </c>
      <c r="F733" s="0" t="str">
        <f aca="false">IF(I733="","",IF(AND(J733&gt;=1,J733&lt;=K733+3),"10."&amp;INDEX(Eingabe!$D$9:$D$18,I733)&amp;"."&amp;IF(J733&lt;=K733,J733,IF(J733=K733+1,200,IF(J733=K733+2,201,250)))&amp;".10 – 10."&amp;INDEX(Eingabe!$D$9:$D$18,I733)&amp;"."&amp;IF(J733&lt;=K733,J733,IF(J733=K733+1,200,IF(J733=K733+2,201,250)))&amp;".250",""))</f>
        <v/>
      </c>
      <c r="G733" s="0" t="str">
        <f aca="false">IF(I733="","",IF(AND(J733&gt;=1,J733&lt;=K733),Eingabe!$B$6&amp;"-"&amp;INDEX(Eingabe!$C$9:$C$18,I733)&amp;"-Pächter  ·  Passwort Parzelle "&amp;J733,IF(J733=K733+1,Eingabe!$B$6&amp;"-"&amp;INDEX(Eingabe!$C$9:$C$18,I733)&amp;"-Vorstand  ·  eigenes WLAN",IF(J733=K733+2,Eingabe!$B$6&amp;"-"&amp;INDEX(Eingabe!$C$9:$C$18,I733)&amp;"-Gäste  ·  Voucher",IF(J733=K733+3,"Kabel  ·  Access Point y = .(50+y), Mast-Switch x = .(10+x)","")))))</f>
        <v/>
      </c>
      <c r="I733" s="0" t="str">
        <f aca="false">IF(728&lt;=(Eingabe!$P$18+Eingabe!$Q$18-1),MATCH(728,Eingabe!$P$9:$P$18,1),"")</f>
        <v/>
      </c>
      <c r="J733" s="0" t="str">
        <f aca="false">IF(I733="","",728-INDEX(Eingabe!$P$9:$P$18,I733))</f>
        <v/>
      </c>
      <c r="K733" s="0" t="str">
        <f aca="false">IF(I733="","",INDEX(Eingabe!$E$9:$E$18,I733))</f>
        <v/>
      </c>
    </row>
    <row r="734" customFormat="false" ht="15" hidden="false" customHeight="false" outlineLevel="0" collapsed="false">
      <c r="A734" s="0" t="str">
        <f aca="false">IF(I734="","",IF(J734=0,"Sparte "&amp;I734&amp;": "&amp;INDEX(Eingabe!$B$9:$B$18,I734)&amp;"  (Sparten-ID "&amp;INDEX(Eingabe!$D$9:$D$18,I734)&amp;", "&amp;K734&amp;" Parzellen)",IF(J734&lt;=K734,"   Parzelle "&amp;J734,IF(J734=K734+1,"   Vorstand",IF(J734=K734+2,"   Gäste",IF(J734=K734+3,"   Technik (Switches, Access Points)",""))))))</f>
        <v/>
      </c>
      <c r="B734" s="0" t="str">
        <f aca="false">IF(I734="","",IF(AND(J734&gt;=1,J734&lt;=K734+3),IF(J734&lt;=K734,IF(J734&lt;=99,IF((INDEX(Eingabe!$G$9:$G$18,I734))&lt;=9,1000+(INDEX(Eingabe!$G$9:$G$18,I734))*100,3000)+J734,IF((INDEX(Eingabe!$G$9:$G$18,I734)+1)&lt;=9,1000+(INDEX(Eingabe!$G$9:$G$18,I734)+1)*100,3000)+J734-100),IF(J734=K734+1,2000+INDEX(Eingabe!$G$9:$G$18,I734)*10+1,IF(J734=K734+2,2000+INDEX(Eingabe!$G$9:$G$18,I734)*10+2,2000+INDEX(Eingabe!$G$9:$G$18,I734)*10+9))),""))</f>
        <v/>
      </c>
      <c r="C734" s="0" t="str">
        <f aca="false">IF(I734="","",IF(AND(J734&gt;=1,J734&lt;=K734+3),"10."&amp;INDEX(Eingabe!$D$9:$D$18,I734)&amp;"."&amp;IF(J734&lt;=K734,J734,IF(J734=K734+1,200,IF(J734=K734+2,201,250)))&amp;".0/24",""))</f>
        <v/>
      </c>
      <c r="D734" s="0" t="str">
        <f aca="false">IF(I734="","",IF(AND(J734&gt;=1,J734&lt;=K734+3),"255.255.255.0",""))</f>
        <v/>
      </c>
      <c r="E734" s="0" t="str">
        <f aca="false">IF(I734="","",IF(AND(J734&gt;=1,J734&lt;=K734+3),"10."&amp;INDEX(Eingabe!$D$9:$D$18,I734)&amp;"."&amp;IF(J734&lt;=K734,J734,IF(J734=K734+1,200,IF(J734=K734+2,201,250)))&amp;".1",""))</f>
        <v/>
      </c>
      <c r="F734" s="0" t="str">
        <f aca="false">IF(I734="","",IF(AND(J734&gt;=1,J734&lt;=K734+3),"10."&amp;INDEX(Eingabe!$D$9:$D$18,I734)&amp;"."&amp;IF(J734&lt;=K734,J734,IF(J734=K734+1,200,IF(J734=K734+2,201,250)))&amp;".10 – 10."&amp;INDEX(Eingabe!$D$9:$D$18,I734)&amp;"."&amp;IF(J734&lt;=K734,J734,IF(J734=K734+1,200,IF(J734=K734+2,201,250)))&amp;".250",""))</f>
        <v/>
      </c>
      <c r="G734" s="0" t="str">
        <f aca="false">IF(I734="","",IF(AND(J734&gt;=1,J734&lt;=K734),Eingabe!$B$6&amp;"-"&amp;INDEX(Eingabe!$C$9:$C$18,I734)&amp;"-Pächter  ·  Passwort Parzelle "&amp;J734,IF(J734=K734+1,Eingabe!$B$6&amp;"-"&amp;INDEX(Eingabe!$C$9:$C$18,I734)&amp;"-Vorstand  ·  eigenes WLAN",IF(J734=K734+2,Eingabe!$B$6&amp;"-"&amp;INDEX(Eingabe!$C$9:$C$18,I734)&amp;"-Gäste  ·  Voucher",IF(J734=K734+3,"Kabel  ·  Access Point y = .(50+y), Mast-Switch x = .(10+x)","")))))</f>
        <v/>
      </c>
      <c r="I734" s="0" t="str">
        <f aca="false">IF(729&lt;=(Eingabe!$P$18+Eingabe!$Q$18-1),MATCH(729,Eingabe!$P$9:$P$18,1),"")</f>
        <v/>
      </c>
      <c r="J734" s="0" t="str">
        <f aca="false">IF(I734="","",729-INDEX(Eingabe!$P$9:$P$18,I734))</f>
        <v/>
      </c>
      <c r="K734" s="0" t="str">
        <f aca="false">IF(I734="","",INDEX(Eingabe!$E$9:$E$18,I734))</f>
        <v/>
      </c>
    </row>
    <row r="735" customFormat="false" ht="15" hidden="false" customHeight="false" outlineLevel="0" collapsed="false">
      <c r="A735" s="0" t="str">
        <f aca="false">IF(I735="","",IF(J735=0,"Sparte "&amp;I735&amp;": "&amp;INDEX(Eingabe!$B$9:$B$18,I735)&amp;"  (Sparten-ID "&amp;INDEX(Eingabe!$D$9:$D$18,I735)&amp;", "&amp;K735&amp;" Parzellen)",IF(J735&lt;=K735,"   Parzelle "&amp;J735,IF(J735=K735+1,"   Vorstand",IF(J735=K735+2,"   Gäste",IF(J735=K735+3,"   Technik (Switches, Access Points)",""))))))</f>
        <v/>
      </c>
      <c r="B735" s="0" t="str">
        <f aca="false">IF(I735="","",IF(AND(J735&gt;=1,J735&lt;=K735+3),IF(J735&lt;=K735,IF(J735&lt;=99,IF((INDEX(Eingabe!$G$9:$G$18,I735))&lt;=9,1000+(INDEX(Eingabe!$G$9:$G$18,I735))*100,3000)+J735,IF((INDEX(Eingabe!$G$9:$G$18,I735)+1)&lt;=9,1000+(INDEX(Eingabe!$G$9:$G$18,I735)+1)*100,3000)+J735-100),IF(J735=K735+1,2000+INDEX(Eingabe!$G$9:$G$18,I735)*10+1,IF(J735=K735+2,2000+INDEX(Eingabe!$G$9:$G$18,I735)*10+2,2000+INDEX(Eingabe!$G$9:$G$18,I735)*10+9))),""))</f>
        <v/>
      </c>
      <c r="C735" s="0" t="str">
        <f aca="false">IF(I735="","",IF(AND(J735&gt;=1,J735&lt;=K735+3),"10."&amp;INDEX(Eingabe!$D$9:$D$18,I735)&amp;"."&amp;IF(J735&lt;=K735,J735,IF(J735=K735+1,200,IF(J735=K735+2,201,250)))&amp;".0/24",""))</f>
        <v/>
      </c>
      <c r="D735" s="0" t="str">
        <f aca="false">IF(I735="","",IF(AND(J735&gt;=1,J735&lt;=K735+3),"255.255.255.0",""))</f>
        <v/>
      </c>
      <c r="E735" s="0" t="str">
        <f aca="false">IF(I735="","",IF(AND(J735&gt;=1,J735&lt;=K735+3),"10."&amp;INDEX(Eingabe!$D$9:$D$18,I735)&amp;"."&amp;IF(J735&lt;=K735,J735,IF(J735=K735+1,200,IF(J735=K735+2,201,250)))&amp;".1",""))</f>
        <v/>
      </c>
      <c r="F735" s="0" t="str">
        <f aca="false">IF(I735="","",IF(AND(J735&gt;=1,J735&lt;=K735+3),"10."&amp;INDEX(Eingabe!$D$9:$D$18,I735)&amp;"."&amp;IF(J735&lt;=K735,J735,IF(J735=K735+1,200,IF(J735=K735+2,201,250)))&amp;".10 – 10."&amp;INDEX(Eingabe!$D$9:$D$18,I735)&amp;"."&amp;IF(J735&lt;=K735,J735,IF(J735=K735+1,200,IF(J735=K735+2,201,250)))&amp;".250",""))</f>
        <v/>
      </c>
      <c r="G735" s="0" t="str">
        <f aca="false">IF(I735="","",IF(AND(J735&gt;=1,J735&lt;=K735),Eingabe!$B$6&amp;"-"&amp;INDEX(Eingabe!$C$9:$C$18,I735)&amp;"-Pächter  ·  Passwort Parzelle "&amp;J735,IF(J735=K735+1,Eingabe!$B$6&amp;"-"&amp;INDEX(Eingabe!$C$9:$C$18,I735)&amp;"-Vorstand  ·  eigenes WLAN",IF(J735=K735+2,Eingabe!$B$6&amp;"-"&amp;INDEX(Eingabe!$C$9:$C$18,I735)&amp;"-Gäste  ·  Voucher",IF(J735=K735+3,"Kabel  ·  Access Point y = .(50+y), Mast-Switch x = .(10+x)","")))))</f>
        <v/>
      </c>
      <c r="I735" s="0" t="str">
        <f aca="false">IF(730&lt;=(Eingabe!$P$18+Eingabe!$Q$18-1),MATCH(730,Eingabe!$P$9:$P$18,1),"")</f>
        <v/>
      </c>
      <c r="J735" s="0" t="str">
        <f aca="false">IF(I735="","",730-INDEX(Eingabe!$P$9:$P$18,I735))</f>
        <v/>
      </c>
      <c r="K735" s="0" t="str">
        <f aca="false">IF(I735="","",INDEX(Eingabe!$E$9:$E$18,I735))</f>
        <v/>
      </c>
    </row>
    <row r="736" customFormat="false" ht="15" hidden="false" customHeight="false" outlineLevel="0" collapsed="false">
      <c r="A736" s="0" t="str">
        <f aca="false">IF(I736="","",IF(J736=0,"Sparte "&amp;I736&amp;": "&amp;INDEX(Eingabe!$B$9:$B$18,I736)&amp;"  (Sparten-ID "&amp;INDEX(Eingabe!$D$9:$D$18,I736)&amp;", "&amp;K736&amp;" Parzellen)",IF(J736&lt;=K736,"   Parzelle "&amp;J736,IF(J736=K736+1,"   Vorstand",IF(J736=K736+2,"   Gäste",IF(J736=K736+3,"   Technik (Switches, Access Points)",""))))))</f>
        <v/>
      </c>
      <c r="B736" s="0" t="str">
        <f aca="false">IF(I736="","",IF(AND(J736&gt;=1,J736&lt;=K736+3),IF(J736&lt;=K736,IF(J736&lt;=99,IF((INDEX(Eingabe!$G$9:$G$18,I736))&lt;=9,1000+(INDEX(Eingabe!$G$9:$G$18,I736))*100,3000)+J736,IF((INDEX(Eingabe!$G$9:$G$18,I736)+1)&lt;=9,1000+(INDEX(Eingabe!$G$9:$G$18,I736)+1)*100,3000)+J736-100),IF(J736=K736+1,2000+INDEX(Eingabe!$G$9:$G$18,I736)*10+1,IF(J736=K736+2,2000+INDEX(Eingabe!$G$9:$G$18,I736)*10+2,2000+INDEX(Eingabe!$G$9:$G$18,I736)*10+9))),""))</f>
        <v/>
      </c>
      <c r="C736" s="0" t="str">
        <f aca="false">IF(I736="","",IF(AND(J736&gt;=1,J736&lt;=K736+3),"10."&amp;INDEX(Eingabe!$D$9:$D$18,I736)&amp;"."&amp;IF(J736&lt;=K736,J736,IF(J736=K736+1,200,IF(J736=K736+2,201,250)))&amp;".0/24",""))</f>
        <v/>
      </c>
      <c r="D736" s="0" t="str">
        <f aca="false">IF(I736="","",IF(AND(J736&gt;=1,J736&lt;=K736+3),"255.255.255.0",""))</f>
        <v/>
      </c>
      <c r="E736" s="0" t="str">
        <f aca="false">IF(I736="","",IF(AND(J736&gt;=1,J736&lt;=K736+3),"10."&amp;INDEX(Eingabe!$D$9:$D$18,I736)&amp;"."&amp;IF(J736&lt;=K736,J736,IF(J736=K736+1,200,IF(J736=K736+2,201,250)))&amp;".1",""))</f>
        <v/>
      </c>
      <c r="F736" s="0" t="str">
        <f aca="false">IF(I736="","",IF(AND(J736&gt;=1,J736&lt;=K736+3),"10."&amp;INDEX(Eingabe!$D$9:$D$18,I736)&amp;"."&amp;IF(J736&lt;=K736,J736,IF(J736=K736+1,200,IF(J736=K736+2,201,250)))&amp;".10 – 10."&amp;INDEX(Eingabe!$D$9:$D$18,I736)&amp;"."&amp;IF(J736&lt;=K736,J736,IF(J736=K736+1,200,IF(J736=K736+2,201,250)))&amp;".250",""))</f>
        <v/>
      </c>
      <c r="G736" s="0" t="str">
        <f aca="false">IF(I736="","",IF(AND(J736&gt;=1,J736&lt;=K736),Eingabe!$B$6&amp;"-"&amp;INDEX(Eingabe!$C$9:$C$18,I736)&amp;"-Pächter  ·  Passwort Parzelle "&amp;J736,IF(J736=K736+1,Eingabe!$B$6&amp;"-"&amp;INDEX(Eingabe!$C$9:$C$18,I736)&amp;"-Vorstand  ·  eigenes WLAN",IF(J736=K736+2,Eingabe!$B$6&amp;"-"&amp;INDEX(Eingabe!$C$9:$C$18,I736)&amp;"-Gäste  ·  Voucher",IF(J736=K736+3,"Kabel  ·  Access Point y = .(50+y), Mast-Switch x = .(10+x)","")))))</f>
        <v/>
      </c>
      <c r="I736" s="0" t="str">
        <f aca="false">IF(731&lt;=(Eingabe!$P$18+Eingabe!$Q$18-1),MATCH(731,Eingabe!$P$9:$P$18,1),"")</f>
        <v/>
      </c>
      <c r="J736" s="0" t="str">
        <f aca="false">IF(I736="","",731-INDEX(Eingabe!$P$9:$P$18,I736))</f>
        <v/>
      </c>
      <c r="K736" s="0" t="str">
        <f aca="false">IF(I736="","",INDEX(Eingabe!$E$9:$E$18,I736))</f>
        <v/>
      </c>
    </row>
    <row r="737" customFormat="false" ht="15" hidden="false" customHeight="false" outlineLevel="0" collapsed="false">
      <c r="A737" s="0" t="str">
        <f aca="false">IF(I737="","",IF(J737=0,"Sparte "&amp;I737&amp;": "&amp;INDEX(Eingabe!$B$9:$B$18,I737)&amp;"  (Sparten-ID "&amp;INDEX(Eingabe!$D$9:$D$18,I737)&amp;", "&amp;K737&amp;" Parzellen)",IF(J737&lt;=K737,"   Parzelle "&amp;J737,IF(J737=K737+1,"   Vorstand",IF(J737=K737+2,"   Gäste",IF(J737=K737+3,"   Technik (Switches, Access Points)",""))))))</f>
        <v/>
      </c>
      <c r="B737" s="0" t="str">
        <f aca="false">IF(I737="","",IF(AND(J737&gt;=1,J737&lt;=K737+3),IF(J737&lt;=K737,IF(J737&lt;=99,IF((INDEX(Eingabe!$G$9:$G$18,I737))&lt;=9,1000+(INDEX(Eingabe!$G$9:$G$18,I737))*100,3000)+J737,IF((INDEX(Eingabe!$G$9:$G$18,I737)+1)&lt;=9,1000+(INDEX(Eingabe!$G$9:$G$18,I737)+1)*100,3000)+J737-100),IF(J737=K737+1,2000+INDEX(Eingabe!$G$9:$G$18,I737)*10+1,IF(J737=K737+2,2000+INDEX(Eingabe!$G$9:$G$18,I737)*10+2,2000+INDEX(Eingabe!$G$9:$G$18,I737)*10+9))),""))</f>
        <v/>
      </c>
      <c r="C737" s="0" t="str">
        <f aca="false">IF(I737="","",IF(AND(J737&gt;=1,J737&lt;=K737+3),"10."&amp;INDEX(Eingabe!$D$9:$D$18,I737)&amp;"."&amp;IF(J737&lt;=K737,J737,IF(J737=K737+1,200,IF(J737=K737+2,201,250)))&amp;".0/24",""))</f>
        <v/>
      </c>
      <c r="D737" s="0" t="str">
        <f aca="false">IF(I737="","",IF(AND(J737&gt;=1,J737&lt;=K737+3),"255.255.255.0",""))</f>
        <v/>
      </c>
      <c r="E737" s="0" t="str">
        <f aca="false">IF(I737="","",IF(AND(J737&gt;=1,J737&lt;=K737+3),"10."&amp;INDEX(Eingabe!$D$9:$D$18,I737)&amp;"."&amp;IF(J737&lt;=K737,J737,IF(J737=K737+1,200,IF(J737=K737+2,201,250)))&amp;".1",""))</f>
        <v/>
      </c>
      <c r="F737" s="0" t="str">
        <f aca="false">IF(I737="","",IF(AND(J737&gt;=1,J737&lt;=K737+3),"10."&amp;INDEX(Eingabe!$D$9:$D$18,I737)&amp;"."&amp;IF(J737&lt;=K737,J737,IF(J737=K737+1,200,IF(J737=K737+2,201,250)))&amp;".10 – 10."&amp;INDEX(Eingabe!$D$9:$D$18,I737)&amp;"."&amp;IF(J737&lt;=K737,J737,IF(J737=K737+1,200,IF(J737=K737+2,201,250)))&amp;".250",""))</f>
        <v/>
      </c>
      <c r="G737" s="0" t="str">
        <f aca="false">IF(I737="","",IF(AND(J737&gt;=1,J737&lt;=K737),Eingabe!$B$6&amp;"-"&amp;INDEX(Eingabe!$C$9:$C$18,I737)&amp;"-Pächter  ·  Passwort Parzelle "&amp;J737,IF(J737=K737+1,Eingabe!$B$6&amp;"-"&amp;INDEX(Eingabe!$C$9:$C$18,I737)&amp;"-Vorstand  ·  eigenes WLAN",IF(J737=K737+2,Eingabe!$B$6&amp;"-"&amp;INDEX(Eingabe!$C$9:$C$18,I737)&amp;"-Gäste  ·  Voucher",IF(J737=K737+3,"Kabel  ·  Access Point y = .(50+y), Mast-Switch x = .(10+x)","")))))</f>
        <v/>
      </c>
      <c r="I737" s="0" t="str">
        <f aca="false">IF(732&lt;=(Eingabe!$P$18+Eingabe!$Q$18-1),MATCH(732,Eingabe!$P$9:$P$18,1),"")</f>
        <v/>
      </c>
      <c r="J737" s="0" t="str">
        <f aca="false">IF(I737="","",732-INDEX(Eingabe!$P$9:$P$18,I737))</f>
        <v/>
      </c>
      <c r="K737" s="0" t="str">
        <f aca="false">IF(I737="","",INDEX(Eingabe!$E$9:$E$18,I737))</f>
        <v/>
      </c>
    </row>
    <row r="738" customFormat="false" ht="15" hidden="false" customHeight="false" outlineLevel="0" collapsed="false">
      <c r="A738" s="0" t="str">
        <f aca="false">IF(I738="","",IF(J738=0,"Sparte "&amp;I738&amp;": "&amp;INDEX(Eingabe!$B$9:$B$18,I738)&amp;"  (Sparten-ID "&amp;INDEX(Eingabe!$D$9:$D$18,I738)&amp;", "&amp;K738&amp;" Parzellen)",IF(J738&lt;=K738,"   Parzelle "&amp;J738,IF(J738=K738+1,"   Vorstand",IF(J738=K738+2,"   Gäste",IF(J738=K738+3,"   Technik (Switches, Access Points)",""))))))</f>
        <v/>
      </c>
      <c r="B738" s="0" t="str">
        <f aca="false">IF(I738="","",IF(AND(J738&gt;=1,J738&lt;=K738+3),IF(J738&lt;=K738,IF(J738&lt;=99,IF((INDEX(Eingabe!$G$9:$G$18,I738))&lt;=9,1000+(INDEX(Eingabe!$G$9:$G$18,I738))*100,3000)+J738,IF((INDEX(Eingabe!$G$9:$G$18,I738)+1)&lt;=9,1000+(INDEX(Eingabe!$G$9:$G$18,I738)+1)*100,3000)+J738-100),IF(J738=K738+1,2000+INDEX(Eingabe!$G$9:$G$18,I738)*10+1,IF(J738=K738+2,2000+INDEX(Eingabe!$G$9:$G$18,I738)*10+2,2000+INDEX(Eingabe!$G$9:$G$18,I738)*10+9))),""))</f>
        <v/>
      </c>
      <c r="C738" s="0" t="str">
        <f aca="false">IF(I738="","",IF(AND(J738&gt;=1,J738&lt;=K738+3),"10."&amp;INDEX(Eingabe!$D$9:$D$18,I738)&amp;"."&amp;IF(J738&lt;=K738,J738,IF(J738=K738+1,200,IF(J738=K738+2,201,250)))&amp;".0/24",""))</f>
        <v/>
      </c>
      <c r="D738" s="0" t="str">
        <f aca="false">IF(I738="","",IF(AND(J738&gt;=1,J738&lt;=K738+3),"255.255.255.0",""))</f>
        <v/>
      </c>
      <c r="E738" s="0" t="str">
        <f aca="false">IF(I738="","",IF(AND(J738&gt;=1,J738&lt;=K738+3),"10."&amp;INDEX(Eingabe!$D$9:$D$18,I738)&amp;"."&amp;IF(J738&lt;=K738,J738,IF(J738=K738+1,200,IF(J738=K738+2,201,250)))&amp;".1",""))</f>
        <v/>
      </c>
      <c r="F738" s="0" t="str">
        <f aca="false">IF(I738="","",IF(AND(J738&gt;=1,J738&lt;=K738+3),"10."&amp;INDEX(Eingabe!$D$9:$D$18,I738)&amp;"."&amp;IF(J738&lt;=K738,J738,IF(J738=K738+1,200,IF(J738=K738+2,201,250)))&amp;".10 – 10."&amp;INDEX(Eingabe!$D$9:$D$18,I738)&amp;"."&amp;IF(J738&lt;=K738,J738,IF(J738=K738+1,200,IF(J738=K738+2,201,250)))&amp;".250",""))</f>
        <v/>
      </c>
      <c r="G738" s="0" t="str">
        <f aca="false">IF(I738="","",IF(AND(J738&gt;=1,J738&lt;=K738),Eingabe!$B$6&amp;"-"&amp;INDEX(Eingabe!$C$9:$C$18,I738)&amp;"-Pächter  ·  Passwort Parzelle "&amp;J738,IF(J738=K738+1,Eingabe!$B$6&amp;"-"&amp;INDEX(Eingabe!$C$9:$C$18,I738)&amp;"-Vorstand  ·  eigenes WLAN",IF(J738=K738+2,Eingabe!$B$6&amp;"-"&amp;INDEX(Eingabe!$C$9:$C$18,I738)&amp;"-Gäste  ·  Voucher",IF(J738=K738+3,"Kabel  ·  Access Point y = .(50+y), Mast-Switch x = .(10+x)","")))))</f>
        <v/>
      </c>
      <c r="I738" s="0" t="str">
        <f aca="false">IF(733&lt;=(Eingabe!$P$18+Eingabe!$Q$18-1),MATCH(733,Eingabe!$P$9:$P$18,1),"")</f>
        <v/>
      </c>
      <c r="J738" s="0" t="str">
        <f aca="false">IF(I738="","",733-INDEX(Eingabe!$P$9:$P$18,I738))</f>
        <v/>
      </c>
      <c r="K738" s="0" t="str">
        <f aca="false">IF(I738="","",INDEX(Eingabe!$E$9:$E$18,I738))</f>
        <v/>
      </c>
    </row>
    <row r="739" customFormat="false" ht="15" hidden="false" customHeight="false" outlineLevel="0" collapsed="false">
      <c r="A739" s="0" t="str">
        <f aca="false">IF(I739="","",IF(J739=0,"Sparte "&amp;I739&amp;": "&amp;INDEX(Eingabe!$B$9:$B$18,I739)&amp;"  (Sparten-ID "&amp;INDEX(Eingabe!$D$9:$D$18,I739)&amp;", "&amp;K739&amp;" Parzellen)",IF(J739&lt;=K739,"   Parzelle "&amp;J739,IF(J739=K739+1,"   Vorstand",IF(J739=K739+2,"   Gäste",IF(J739=K739+3,"   Technik (Switches, Access Points)",""))))))</f>
        <v/>
      </c>
      <c r="B739" s="0" t="str">
        <f aca="false">IF(I739="","",IF(AND(J739&gt;=1,J739&lt;=K739+3),IF(J739&lt;=K739,IF(J739&lt;=99,IF((INDEX(Eingabe!$G$9:$G$18,I739))&lt;=9,1000+(INDEX(Eingabe!$G$9:$G$18,I739))*100,3000)+J739,IF((INDEX(Eingabe!$G$9:$G$18,I739)+1)&lt;=9,1000+(INDEX(Eingabe!$G$9:$G$18,I739)+1)*100,3000)+J739-100),IF(J739=K739+1,2000+INDEX(Eingabe!$G$9:$G$18,I739)*10+1,IF(J739=K739+2,2000+INDEX(Eingabe!$G$9:$G$18,I739)*10+2,2000+INDEX(Eingabe!$G$9:$G$18,I739)*10+9))),""))</f>
        <v/>
      </c>
      <c r="C739" s="0" t="str">
        <f aca="false">IF(I739="","",IF(AND(J739&gt;=1,J739&lt;=K739+3),"10."&amp;INDEX(Eingabe!$D$9:$D$18,I739)&amp;"."&amp;IF(J739&lt;=K739,J739,IF(J739=K739+1,200,IF(J739=K739+2,201,250)))&amp;".0/24",""))</f>
        <v/>
      </c>
      <c r="D739" s="0" t="str">
        <f aca="false">IF(I739="","",IF(AND(J739&gt;=1,J739&lt;=K739+3),"255.255.255.0",""))</f>
        <v/>
      </c>
      <c r="E739" s="0" t="str">
        <f aca="false">IF(I739="","",IF(AND(J739&gt;=1,J739&lt;=K739+3),"10."&amp;INDEX(Eingabe!$D$9:$D$18,I739)&amp;"."&amp;IF(J739&lt;=K739,J739,IF(J739=K739+1,200,IF(J739=K739+2,201,250)))&amp;".1",""))</f>
        <v/>
      </c>
      <c r="F739" s="0" t="str">
        <f aca="false">IF(I739="","",IF(AND(J739&gt;=1,J739&lt;=K739+3),"10."&amp;INDEX(Eingabe!$D$9:$D$18,I739)&amp;"."&amp;IF(J739&lt;=K739,J739,IF(J739=K739+1,200,IF(J739=K739+2,201,250)))&amp;".10 – 10."&amp;INDEX(Eingabe!$D$9:$D$18,I739)&amp;"."&amp;IF(J739&lt;=K739,J739,IF(J739=K739+1,200,IF(J739=K739+2,201,250)))&amp;".250",""))</f>
        <v/>
      </c>
      <c r="G739" s="0" t="str">
        <f aca="false">IF(I739="","",IF(AND(J739&gt;=1,J739&lt;=K739),Eingabe!$B$6&amp;"-"&amp;INDEX(Eingabe!$C$9:$C$18,I739)&amp;"-Pächter  ·  Passwort Parzelle "&amp;J739,IF(J739=K739+1,Eingabe!$B$6&amp;"-"&amp;INDEX(Eingabe!$C$9:$C$18,I739)&amp;"-Vorstand  ·  eigenes WLAN",IF(J739=K739+2,Eingabe!$B$6&amp;"-"&amp;INDEX(Eingabe!$C$9:$C$18,I739)&amp;"-Gäste  ·  Voucher",IF(J739=K739+3,"Kabel  ·  Access Point y = .(50+y), Mast-Switch x = .(10+x)","")))))</f>
        <v/>
      </c>
      <c r="I739" s="0" t="str">
        <f aca="false">IF(734&lt;=(Eingabe!$P$18+Eingabe!$Q$18-1),MATCH(734,Eingabe!$P$9:$P$18,1),"")</f>
        <v/>
      </c>
      <c r="J739" s="0" t="str">
        <f aca="false">IF(I739="","",734-INDEX(Eingabe!$P$9:$P$18,I739))</f>
        <v/>
      </c>
      <c r="K739" s="0" t="str">
        <f aca="false">IF(I739="","",INDEX(Eingabe!$E$9:$E$18,I739))</f>
        <v/>
      </c>
    </row>
    <row r="740" customFormat="false" ht="15" hidden="false" customHeight="false" outlineLevel="0" collapsed="false">
      <c r="A740" s="0" t="str">
        <f aca="false">IF(I740="","",IF(J740=0,"Sparte "&amp;I740&amp;": "&amp;INDEX(Eingabe!$B$9:$B$18,I740)&amp;"  (Sparten-ID "&amp;INDEX(Eingabe!$D$9:$D$18,I740)&amp;", "&amp;K740&amp;" Parzellen)",IF(J740&lt;=K740,"   Parzelle "&amp;J740,IF(J740=K740+1,"   Vorstand",IF(J740=K740+2,"   Gäste",IF(J740=K740+3,"   Technik (Switches, Access Points)",""))))))</f>
        <v/>
      </c>
      <c r="B740" s="0" t="str">
        <f aca="false">IF(I740="","",IF(AND(J740&gt;=1,J740&lt;=K740+3),IF(J740&lt;=K740,IF(J740&lt;=99,IF((INDEX(Eingabe!$G$9:$G$18,I740))&lt;=9,1000+(INDEX(Eingabe!$G$9:$G$18,I740))*100,3000)+J740,IF((INDEX(Eingabe!$G$9:$G$18,I740)+1)&lt;=9,1000+(INDEX(Eingabe!$G$9:$G$18,I740)+1)*100,3000)+J740-100),IF(J740=K740+1,2000+INDEX(Eingabe!$G$9:$G$18,I740)*10+1,IF(J740=K740+2,2000+INDEX(Eingabe!$G$9:$G$18,I740)*10+2,2000+INDEX(Eingabe!$G$9:$G$18,I740)*10+9))),""))</f>
        <v/>
      </c>
      <c r="C740" s="0" t="str">
        <f aca="false">IF(I740="","",IF(AND(J740&gt;=1,J740&lt;=K740+3),"10."&amp;INDEX(Eingabe!$D$9:$D$18,I740)&amp;"."&amp;IF(J740&lt;=K740,J740,IF(J740=K740+1,200,IF(J740=K740+2,201,250)))&amp;".0/24",""))</f>
        <v/>
      </c>
      <c r="D740" s="0" t="str">
        <f aca="false">IF(I740="","",IF(AND(J740&gt;=1,J740&lt;=K740+3),"255.255.255.0",""))</f>
        <v/>
      </c>
      <c r="E740" s="0" t="str">
        <f aca="false">IF(I740="","",IF(AND(J740&gt;=1,J740&lt;=K740+3),"10."&amp;INDEX(Eingabe!$D$9:$D$18,I740)&amp;"."&amp;IF(J740&lt;=K740,J740,IF(J740=K740+1,200,IF(J740=K740+2,201,250)))&amp;".1",""))</f>
        <v/>
      </c>
      <c r="F740" s="0" t="str">
        <f aca="false">IF(I740="","",IF(AND(J740&gt;=1,J740&lt;=K740+3),"10."&amp;INDEX(Eingabe!$D$9:$D$18,I740)&amp;"."&amp;IF(J740&lt;=K740,J740,IF(J740=K740+1,200,IF(J740=K740+2,201,250)))&amp;".10 – 10."&amp;INDEX(Eingabe!$D$9:$D$18,I740)&amp;"."&amp;IF(J740&lt;=K740,J740,IF(J740=K740+1,200,IF(J740=K740+2,201,250)))&amp;".250",""))</f>
        <v/>
      </c>
      <c r="G740" s="0" t="str">
        <f aca="false">IF(I740="","",IF(AND(J740&gt;=1,J740&lt;=K740),Eingabe!$B$6&amp;"-"&amp;INDEX(Eingabe!$C$9:$C$18,I740)&amp;"-Pächter  ·  Passwort Parzelle "&amp;J740,IF(J740=K740+1,Eingabe!$B$6&amp;"-"&amp;INDEX(Eingabe!$C$9:$C$18,I740)&amp;"-Vorstand  ·  eigenes WLAN",IF(J740=K740+2,Eingabe!$B$6&amp;"-"&amp;INDEX(Eingabe!$C$9:$C$18,I740)&amp;"-Gäste  ·  Voucher",IF(J740=K740+3,"Kabel  ·  Access Point y = .(50+y), Mast-Switch x = .(10+x)","")))))</f>
        <v/>
      </c>
      <c r="I740" s="0" t="str">
        <f aca="false">IF(735&lt;=(Eingabe!$P$18+Eingabe!$Q$18-1),MATCH(735,Eingabe!$P$9:$P$18,1),"")</f>
        <v/>
      </c>
      <c r="J740" s="0" t="str">
        <f aca="false">IF(I740="","",735-INDEX(Eingabe!$P$9:$P$18,I740))</f>
        <v/>
      </c>
      <c r="K740" s="0" t="str">
        <f aca="false">IF(I740="","",INDEX(Eingabe!$E$9:$E$18,I740))</f>
        <v/>
      </c>
    </row>
    <row r="741" customFormat="false" ht="15" hidden="false" customHeight="false" outlineLevel="0" collapsed="false">
      <c r="A741" s="0" t="str">
        <f aca="false">IF(I741="","",IF(J741=0,"Sparte "&amp;I741&amp;": "&amp;INDEX(Eingabe!$B$9:$B$18,I741)&amp;"  (Sparten-ID "&amp;INDEX(Eingabe!$D$9:$D$18,I741)&amp;", "&amp;K741&amp;" Parzellen)",IF(J741&lt;=K741,"   Parzelle "&amp;J741,IF(J741=K741+1,"   Vorstand",IF(J741=K741+2,"   Gäste",IF(J741=K741+3,"   Technik (Switches, Access Points)",""))))))</f>
        <v/>
      </c>
      <c r="B741" s="0" t="str">
        <f aca="false">IF(I741="","",IF(AND(J741&gt;=1,J741&lt;=K741+3),IF(J741&lt;=K741,IF(J741&lt;=99,IF((INDEX(Eingabe!$G$9:$G$18,I741))&lt;=9,1000+(INDEX(Eingabe!$G$9:$G$18,I741))*100,3000)+J741,IF((INDEX(Eingabe!$G$9:$G$18,I741)+1)&lt;=9,1000+(INDEX(Eingabe!$G$9:$G$18,I741)+1)*100,3000)+J741-100),IF(J741=K741+1,2000+INDEX(Eingabe!$G$9:$G$18,I741)*10+1,IF(J741=K741+2,2000+INDEX(Eingabe!$G$9:$G$18,I741)*10+2,2000+INDEX(Eingabe!$G$9:$G$18,I741)*10+9))),""))</f>
        <v/>
      </c>
      <c r="C741" s="0" t="str">
        <f aca="false">IF(I741="","",IF(AND(J741&gt;=1,J741&lt;=K741+3),"10."&amp;INDEX(Eingabe!$D$9:$D$18,I741)&amp;"."&amp;IF(J741&lt;=K741,J741,IF(J741=K741+1,200,IF(J741=K741+2,201,250)))&amp;".0/24",""))</f>
        <v/>
      </c>
      <c r="D741" s="0" t="str">
        <f aca="false">IF(I741="","",IF(AND(J741&gt;=1,J741&lt;=K741+3),"255.255.255.0",""))</f>
        <v/>
      </c>
      <c r="E741" s="0" t="str">
        <f aca="false">IF(I741="","",IF(AND(J741&gt;=1,J741&lt;=K741+3),"10."&amp;INDEX(Eingabe!$D$9:$D$18,I741)&amp;"."&amp;IF(J741&lt;=K741,J741,IF(J741=K741+1,200,IF(J741=K741+2,201,250)))&amp;".1",""))</f>
        <v/>
      </c>
      <c r="F741" s="0" t="str">
        <f aca="false">IF(I741="","",IF(AND(J741&gt;=1,J741&lt;=K741+3),"10."&amp;INDEX(Eingabe!$D$9:$D$18,I741)&amp;"."&amp;IF(J741&lt;=K741,J741,IF(J741=K741+1,200,IF(J741=K741+2,201,250)))&amp;".10 – 10."&amp;INDEX(Eingabe!$D$9:$D$18,I741)&amp;"."&amp;IF(J741&lt;=K741,J741,IF(J741=K741+1,200,IF(J741=K741+2,201,250)))&amp;".250",""))</f>
        <v/>
      </c>
      <c r="G741" s="0" t="str">
        <f aca="false">IF(I741="","",IF(AND(J741&gt;=1,J741&lt;=K741),Eingabe!$B$6&amp;"-"&amp;INDEX(Eingabe!$C$9:$C$18,I741)&amp;"-Pächter  ·  Passwort Parzelle "&amp;J741,IF(J741=K741+1,Eingabe!$B$6&amp;"-"&amp;INDEX(Eingabe!$C$9:$C$18,I741)&amp;"-Vorstand  ·  eigenes WLAN",IF(J741=K741+2,Eingabe!$B$6&amp;"-"&amp;INDEX(Eingabe!$C$9:$C$18,I741)&amp;"-Gäste  ·  Voucher",IF(J741=K741+3,"Kabel  ·  Access Point y = .(50+y), Mast-Switch x = .(10+x)","")))))</f>
        <v/>
      </c>
      <c r="I741" s="0" t="str">
        <f aca="false">IF(736&lt;=(Eingabe!$P$18+Eingabe!$Q$18-1),MATCH(736,Eingabe!$P$9:$P$18,1),"")</f>
        <v/>
      </c>
      <c r="J741" s="0" t="str">
        <f aca="false">IF(I741="","",736-INDEX(Eingabe!$P$9:$P$18,I741))</f>
        <v/>
      </c>
      <c r="K741" s="0" t="str">
        <f aca="false">IF(I741="","",INDEX(Eingabe!$E$9:$E$18,I741))</f>
        <v/>
      </c>
    </row>
    <row r="742" customFormat="false" ht="15" hidden="false" customHeight="false" outlineLevel="0" collapsed="false">
      <c r="A742" s="0" t="str">
        <f aca="false">IF(I742="","",IF(J742=0,"Sparte "&amp;I742&amp;": "&amp;INDEX(Eingabe!$B$9:$B$18,I742)&amp;"  (Sparten-ID "&amp;INDEX(Eingabe!$D$9:$D$18,I742)&amp;", "&amp;K742&amp;" Parzellen)",IF(J742&lt;=K742,"   Parzelle "&amp;J742,IF(J742=K742+1,"   Vorstand",IF(J742=K742+2,"   Gäste",IF(J742=K742+3,"   Technik (Switches, Access Points)",""))))))</f>
        <v/>
      </c>
      <c r="B742" s="0" t="str">
        <f aca="false">IF(I742="","",IF(AND(J742&gt;=1,J742&lt;=K742+3),IF(J742&lt;=K742,IF(J742&lt;=99,IF((INDEX(Eingabe!$G$9:$G$18,I742))&lt;=9,1000+(INDEX(Eingabe!$G$9:$G$18,I742))*100,3000)+J742,IF((INDEX(Eingabe!$G$9:$G$18,I742)+1)&lt;=9,1000+(INDEX(Eingabe!$G$9:$G$18,I742)+1)*100,3000)+J742-100),IF(J742=K742+1,2000+INDEX(Eingabe!$G$9:$G$18,I742)*10+1,IF(J742=K742+2,2000+INDEX(Eingabe!$G$9:$G$18,I742)*10+2,2000+INDEX(Eingabe!$G$9:$G$18,I742)*10+9))),""))</f>
        <v/>
      </c>
      <c r="C742" s="0" t="str">
        <f aca="false">IF(I742="","",IF(AND(J742&gt;=1,J742&lt;=K742+3),"10."&amp;INDEX(Eingabe!$D$9:$D$18,I742)&amp;"."&amp;IF(J742&lt;=K742,J742,IF(J742=K742+1,200,IF(J742=K742+2,201,250)))&amp;".0/24",""))</f>
        <v/>
      </c>
      <c r="D742" s="0" t="str">
        <f aca="false">IF(I742="","",IF(AND(J742&gt;=1,J742&lt;=K742+3),"255.255.255.0",""))</f>
        <v/>
      </c>
      <c r="E742" s="0" t="str">
        <f aca="false">IF(I742="","",IF(AND(J742&gt;=1,J742&lt;=K742+3),"10."&amp;INDEX(Eingabe!$D$9:$D$18,I742)&amp;"."&amp;IF(J742&lt;=K742,J742,IF(J742=K742+1,200,IF(J742=K742+2,201,250)))&amp;".1",""))</f>
        <v/>
      </c>
      <c r="F742" s="0" t="str">
        <f aca="false">IF(I742="","",IF(AND(J742&gt;=1,J742&lt;=K742+3),"10."&amp;INDEX(Eingabe!$D$9:$D$18,I742)&amp;"."&amp;IF(J742&lt;=K742,J742,IF(J742=K742+1,200,IF(J742=K742+2,201,250)))&amp;".10 – 10."&amp;INDEX(Eingabe!$D$9:$D$18,I742)&amp;"."&amp;IF(J742&lt;=K742,J742,IF(J742=K742+1,200,IF(J742=K742+2,201,250)))&amp;".250",""))</f>
        <v/>
      </c>
      <c r="G742" s="0" t="str">
        <f aca="false">IF(I742="","",IF(AND(J742&gt;=1,J742&lt;=K742),Eingabe!$B$6&amp;"-"&amp;INDEX(Eingabe!$C$9:$C$18,I742)&amp;"-Pächter  ·  Passwort Parzelle "&amp;J742,IF(J742=K742+1,Eingabe!$B$6&amp;"-"&amp;INDEX(Eingabe!$C$9:$C$18,I742)&amp;"-Vorstand  ·  eigenes WLAN",IF(J742=K742+2,Eingabe!$B$6&amp;"-"&amp;INDEX(Eingabe!$C$9:$C$18,I742)&amp;"-Gäste  ·  Voucher",IF(J742=K742+3,"Kabel  ·  Access Point y = .(50+y), Mast-Switch x = .(10+x)","")))))</f>
        <v/>
      </c>
      <c r="I742" s="0" t="str">
        <f aca="false">IF(737&lt;=(Eingabe!$P$18+Eingabe!$Q$18-1),MATCH(737,Eingabe!$P$9:$P$18,1),"")</f>
        <v/>
      </c>
      <c r="J742" s="0" t="str">
        <f aca="false">IF(I742="","",737-INDEX(Eingabe!$P$9:$P$18,I742))</f>
        <v/>
      </c>
      <c r="K742" s="0" t="str">
        <f aca="false">IF(I742="","",INDEX(Eingabe!$E$9:$E$18,I742))</f>
        <v/>
      </c>
    </row>
    <row r="743" customFormat="false" ht="15" hidden="false" customHeight="false" outlineLevel="0" collapsed="false">
      <c r="A743" s="0" t="str">
        <f aca="false">IF(I743="","",IF(J743=0,"Sparte "&amp;I743&amp;": "&amp;INDEX(Eingabe!$B$9:$B$18,I743)&amp;"  (Sparten-ID "&amp;INDEX(Eingabe!$D$9:$D$18,I743)&amp;", "&amp;K743&amp;" Parzellen)",IF(J743&lt;=K743,"   Parzelle "&amp;J743,IF(J743=K743+1,"   Vorstand",IF(J743=K743+2,"   Gäste",IF(J743=K743+3,"   Technik (Switches, Access Points)",""))))))</f>
        <v/>
      </c>
      <c r="B743" s="0" t="str">
        <f aca="false">IF(I743="","",IF(AND(J743&gt;=1,J743&lt;=K743+3),IF(J743&lt;=K743,IF(J743&lt;=99,IF((INDEX(Eingabe!$G$9:$G$18,I743))&lt;=9,1000+(INDEX(Eingabe!$G$9:$G$18,I743))*100,3000)+J743,IF((INDEX(Eingabe!$G$9:$G$18,I743)+1)&lt;=9,1000+(INDEX(Eingabe!$G$9:$G$18,I743)+1)*100,3000)+J743-100),IF(J743=K743+1,2000+INDEX(Eingabe!$G$9:$G$18,I743)*10+1,IF(J743=K743+2,2000+INDEX(Eingabe!$G$9:$G$18,I743)*10+2,2000+INDEX(Eingabe!$G$9:$G$18,I743)*10+9))),""))</f>
        <v/>
      </c>
      <c r="C743" s="0" t="str">
        <f aca="false">IF(I743="","",IF(AND(J743&gt;=1,J743&lt;=K743+3),"10."&amp;INDEX(Eingabe!$D$9:$D$18,I743)&amp;"."&amp;IF(J743&lt;=K743,J743,IF(J743=K743+1,200,IF(J743=K743+2,201,250)))&amp;".0/24",""))</f>
        <v/>
      </c>
      <c r="D743" s="0" t="str">
        <f aca="false">IF(I743="","",IF(AND(J743&gt;=1,J743&lt;=K743+3),"255.255.255.0",""))</f>
        <v/>
      </c>
      <c r="E743" s="0" t="str">
        <f aca="false">IF(I743="","",IF(AND(J743&gt;=1,J743&lt;=K743+3),"10."&amp;INDEX(Eingabe!$D$9:$D$18,I743)&amp;"."&amp;IF(J743&lt;=K743,J743,IF(J743=K743+1,200,IF(J743=K743+2,201,250)))&amp;".1",""))</f>
        <v/>
      </c>
      <c r="F743" s="0" t="str">
        <f aca="false">IF(I743="","",IF(AND(J743&gt;=1,J743&lt;=K743+3),"10."&amp;INDEX(Eingabe!$D$9:$D$18,I743)&amp;"."&amp;IF(J743&lt;=K743,J743,IF(J743=K743+1,200,IF(J743=K743+2,201,250)))&amp;".10 – 10."&amp;INDEX(Eingabe!$D$9:$D$18,I743)&amp;"."&amp;IF(J743&lt;=K743,J743,IF(J743=K743+1,200,IF(J743=K743+2,201,250)))&amp;".250",""))</f>
        <v/>
      </c>
      <c r="G743" s="0" t="str">
        <f aca="false">IF(I743="","",IF(AND(J743&gt;=1,J743&lt;=K743),Eingabe!$B$6&amp;"-"&amp;INDEX(Eingabe!$C$9:$C$18,I743)&amp;"-Pächter  ·  Passwort Parzelle "&amp;J743,IF(J743=K743+1,Eingabe!$B$6&amp;"-"&amp;INDEX(Eingabe!$C$9:$C$18,I743)&amp;"-Vorstand  ·  eigenes WLAN",IF(J743=K743+2,Eingabe!$B$6&amp;"-"&amp;INDEX(Eingabe!$C$9:$C$18,I743)&amp;"-Gäste  ·  Voucher",IF(J743=K743+3,"Kabel  ·  Access Point y = .(50+y), Mast-Switch x = .(10+x)","")))))</f>
        <v/>
      </c>
      <c r="I743" s="0" t="str">
        <f aca="false">IF(738&lt;=(Eingabe!$P$18+Eingabe!$Q$18-1),MATCH(738,Eingabe!$P$9:$P$18,1),"")</f>
        <v/>
      </c>
      <c r="J743" s="0" t="str">
        <f aca="false">IF(I743="","",738-INDEX(Eingabe!$P$9:$P$18,I743))</f>
        <v/>
      </c>
      <c r="K743" s="0" t="str">
        <f aca="false">IF(I743="","",INDEX(Eingabe!$E$9:$E$18,I743))</f>
        <v/>
      </c>
    </row>
    <row r="744" customFormat="false" ht="15" hidden="false" customHeight="false" outlineLevel="0" collapsed="false">
      <c r="A744" s="0" t="str">
        <f aca="false">IF(I744="","",IF(J744=0,"Sparte "&amp;I744&amp;": "&amp;INDEX(Eingabe!$B$9:$B$18,I744)&amp;"  (Sparten-ID "&amp;INDEX(Eingabe!$D$9:$D$18,I744)&amp;", "&amp;K744&amp;" Parzellen)",IF(J744&lt;=K744,"   Parzelle "&amp;J744,IF(J744=K744+1,"   Vorstand",IF(J744=K744+2,"   Gäste",IF(J744=K744+3,"   Technik (Switches, Access Points)",""))))))</f>
        <v/>
      </c>
      <c r="B744" s="0" t="str">
        <f aca="false">IF(I744="","",IF(AND(J744&gt;=1,J744&lt;=K744+3),IF(J744&lt;=K744,IF(J744&lt;=99,IF((INDEX(Eingabe!$G$9:$G$18,I744))&lt;=9,1000+(INDEX(Eingabe!$G$9:$G$18,I744))*100,3000)+J744,IF((INDEX(Eingabe!$G$9:$G$18,I744)+1)&lt;=9,1000+(INDEX(Eingabe!$G$9:$G$18,I744)+1)*100,3000)+J744-100),IF(J744=K744+1,2000+INDEX(Eingabe!$G$9:$G$18,I744)*10+1,IF(J744=K744+2,2000+INDEX(Eingabe!$G$9:$G$18,I744)*10+2,2000+INDEX(Eingabe!$G$9:$G$18,I744)*10+9))),""))</f>
        <v/>
      </c>
      <c r="C744" s="0" t="str">
        <f aca="false">IF(I744="","",IF(AND(J744&gt;=1,J744&lt;=K744+3),"10."&amp;INDEX(Eingabe!$D$9:$D$18,I744)&amp;"."&amp;IF(J744&lt;=K744,J744,IF(J744=K744+1,200,IF(J744=K744+2,201,250)))&amp;".0/24",""))</f>
        <v/>
      </c>
      <c r="D744" s="0" t="str">
        <f aca="false">IF(I744="","",IF(AND(J744&gt;=1,J744&lt;=K744+3),"255.255.255.0",""))</f>
        <v/>
      </c>
      <c r="E744" s="0" t="str">
        <f aca="false">IF(I744="","",IF(AND(J744&gt;=1,J744&lt;=K744+3),"10."&amp;INDEX(Eingabe!$D$9:$D$18,I744)&amp;"."&amp;IF(J744&lt;=K744,J744,IF(J744=K744+1,200,IF(J744=K744+2,201,250)))&amp;".1",""))</f>
        <v/>
      </c>
      <c r="F744" s="0" t="str">
        <f aca="false">IF(I744="","",IF(AND(J744&gt;=1,J744&lt;=K744+3),"10."&amp;INDEX(Eingabe!$D$9:$D$18,I744)&amp;"."&amp;IF(J744&lt;=K744,J744,IF(J744=K744+1,200,IF(J744=K744+2,201,250)))&amp;".10 – 10."&amp;INDEX(Eingabe!$D$9:$D$18,I744)&amp;"."&amp;IF(J744&lt;=K744,J744,IF(J744=K744+1,200,IF(J744=K744+2,201,250)))&amp;".250",""))</f>
        <v/>
      </c>
      <c r="G744" s="0" t="str">
        <f aca="false">IF(I744="","",IF(AND(J744&gt;=1,J744&lt;=K744),Eingabe!$B$6&amp;"-"&amp;INDEX(Eingabe!$C$9:$C$18,I744)&amp;"-Pächter  ·  Passwort Parzelle "&amp;J744,IF(J744=K744+1,Eingabe!$B$6&amp;"-"&amp;INDEX(Eingabe!$C$9:$C$18,I744)&amp;"-Vorstand  ·  eigenes WLAN",IF(J744=K744+2,Eingabe!$B$6&amp;"-"&amp;INDEX(Eingabe!$C$9:$C$18,I744)&amp;"-Gäste  ·  Voucher",IF(J744=K744+3,"Kabel  ·  Access Point y = .(50+y), Mast-Switch x = .(10+x)","")))))</f>
        <v/>
      </c>
      <c r="I744" s="0" t="str">
        <f aca="false">IF(739&lt;=(Eingabe!$P$18+Eingabe!$Q$18-1),MATCH(739,Eingabe!$P$9:$P$18,1),"")</f>
        <v/>
      </c>
      <c r="J744" s="0" t="str">
        <f aca="false">IF(I744="","",739-INDEX(Eingabe!$P$9:$P$18,I744))</f>
        <v/>
      </c>
      <c r="K744" s="0" t="str">
        <f aca="false">IF(I744="","",INDEX(Eingabe!$E$9:$E$18,I744))</f>
        <v/>
      </c>
    </row>
    <row r="745" customFormat="false" ht="15" hidden="false" customHeight="false" outlineLevel="0" collapsed="false">
      <c r="A745" s="0" t="str">
        <f aca="false">IF(I745="","",IF(J745=0,"Sparte "&amp;I745&amp;": "&amp;INDEX(Eingabe!$B$9:$B$18,I745)&amp;"  (Sparten-ID "&amp;INDEX(Eingabe!$D$9:$D$18,I745)&amp;", "&amp;K745&amp;" Parzellen)",IF(J745&lt;=K745,"   Parzelle "&amp;J745,IF(J745=K745+1,"   Vorstand",IF(J745=K745+2,"   Gäste",IF(J745=K745+3,"   Technik (Switches, Access Points)",""))))))</f>
        <v/>
      </c>
      <c r="B745" s="0" t="str">
        <f aca="false">IF(I745="","",IF(AND(J745&gt;=1,J745&lt;=K745+3),IF(J745&lt;=K745,IF(J745&lt;=99,IF((INDEX(Eingabe!$G$9:$G$18,I745))&lt;=9,1000+(INDEX(Eingabe!$G$9:$G$18,I745))*100,3000)+J745,IF((INDEX(Eingabe!$G$9:$G$18,I745)+1)&lt;=9,1000+(INDEX(Eingabe!$G$9:$G$18,I745)+1)*100,3000)+J745-100),IF(J745=K745+1,2000+INDEX(Eingabe!$G$9:$G$18,I745)*10+1,IF(J745=K745+2,2000+INDEX(Eingabe!$G$9:$G$18,I745)*10+2,2000+INDEX(Eingabe!$G$9:$G$18,I745)*10+9))),""))</f>
        <v/>
      </c>
      <c r="C745" s="0" t="str">
        <f aca="false">IF(I745="","",IF(AND(J745&gt;=1,J745&lt;=K745+3),"10."&amp;INDEX(Eingabe!$D$9:$D$18,I745)&amp;"."&amp;IF(J745&lt;=K745,J745,IF(J745=K745+1,200,IF(J745=K745+2,201,250)))&amp;".0/24",""))</f>
        <v/>
      </c>
      <c r="D745" s="0" t="str">
        <f aca="false">IF(I745="","",IF(AND(J745&gt;=1,J745&lt;=K745+3),"255.255.255.0",""))</f>
        <v/>
      </c>
      <c r="E745" s="0" t="str">
        <f aca="false">IF(I745="","",IF(AND(J745&gt;=1,J745&lt;=K745+3),"10."&amp;INDEX(Eingabe!$D$9:$D$18,I745)&amp;"."&amp;IF(J745&lt;=K745,J745,IF(J745=K745+1,200,IF(J745=K745+2,201,250)))&amp;".1",""))</f>
        <v/>
      </c>
      <c r="F745" s="0" t="str">
        <f aca="false">IF(I745="","",IF(AND(J745&gt;=1,J745&lt;=K745+3),"10."&amp;INDEX(Eingabe!$D$9:$D$18,I745)&amp;"."&amp;IF(J745&lt;=K745,J745,IF(J745=K745+1,200,IF(J745=K745+2,201,250)))&amp;".10 – 10."&amp;INDEX(Eingabe!$D$9:$D$18,I745)&amp;"."&amp;IF(J745&lt;=K745,J745,IF(J745=K745+1,200,IF(J745=K745+2,201,250)))&amp;".250",""))</f>
        <v/>
      </c>
      <c r="G745" s="0" t="str">
        <f aca="false">IF(I745="","",IF(AND(J745&gt;=1,J745&lt;=K745),Eingabe!$B$6&amp;"-"&amp;INDEX(Eingabe!$C$9:$C$18,I745)&amp;"-Pächter  ·  Passwort Parzelle "&amp;J745,IF(J745=K745+1,Eingabe!$B$6&amp;"-"&amp;INDEX(Eingabe!$C$9:$C$18,I745)&amp;"-Vorstand  ·  eigenes WLAN",IF(J745=K745+2,Eingabe!$B$6&amp;"-"&amp;INDEX(Eingabe!$C$9:$C$18,I745)&amp;"-Gäste  ·  Voucher",IF(J745=K745+3,"Kabel  ·  Access Point y = .(50+y), Mast-Switch x = .(10+x)","")))))</f>
        <v/>
      </c>
      <c r="I745" s="0" t="str">
        <f aca="false">IF(740&lt;=(Eingabe!$P$18+Eingabe!$Q$18-1),MATCH(740,Eingabe!$P$9:$P$18,1),"")</f>
        <v/>
      </c>
      <c r="J745" s="0" t="str">
        <f aca="false">IF(I745="","",740-INDEX(Eingabe!$P$9:$P$18,I745))</f>
        <v/>
      </c>
      <c r="K745" s="0" t="str">
        <f aca="false">IF(I745="","",INDEX(Eingabe!$E$9:$E$18,I745))</f>
        <v/>
      </c>
    </row>
    <row r="746" customFormat="false" ht="15" hidden="false" customHeight="false" outlineLevel="0" collapsed="false">
      <c r="A746" s="0" t="str">
        <f aca="false">IF(I746="","",IF(J746=0,"Sparte "&amp;I746&amp;": "&amp;INDEX(Eingabe!$B$9:$B$18,I746)&amp;"  (Sparten-ID "&amp;INDEX(Eingabe!$D$9:$D$18,I746)&amp;", "&amp;K746&amp;" Parzellen)",IF(J746&lt;=K746,"   Parzelle "&amp;J746,IF(J746=K746+1,"   Vorstand",IF(J746=K746+2,"   Gäste",IF(J746=K746+3,"   Technik (Switches, Access Points)",""))))))</f>
        <v/>
      </c>
      <c r="B746" s="0" t="str">
        <f aca="false">IF(I746="","",IF(AND(J746&gt;=1,J746&lt;=K746+3),IF(J746&lt;=K746,IF(J746&lt;=99,IF((INDEX(Eingabe!$G$9:$G$18,I746))&lt;=9,1000+(INDEX(Eingabe!$G$9:$G$18,I746))*100,3000)+J746,IF((INDEX(Eingabe!$G$9:$G$18,I746)+1)&lt;=9,1000+(INDEX(Eingabe!$G$9:$G$18,I746)+1)*100,3000)+J746-100),IF(J746=K746+1,2000+INDEX(Eingabe!$G$9:$G$18,I746)*10+1,IF(J746=K746+2,2000+INDEX(Eingabe!$G$9:$G$18,I746)*10+2,2000+INDEX(Eingabe!$G$9:$G$18,I746)*10+9))),""))</f>
        <v/>
      </c>
      <c r="C746" s="0" t="str">
        <f aca="false">IF(I746="","",IF(AND(J746&gt;=1,J746&lt;=K746+3),"10."&amp;INDEX(Eingabe!$D$9:$D$18,I746)&amp;"."&amp;IF(J746&lt;=K746,J746,IF(J746=K746+1,200,IF(J746=K746+2,201,250)))&amp;".0/24",""))</f>
        <v/>
      </c>
      <c r="D746" s="0" t="str">
        <f aca="false">IF(I746="","",IF(AND(J746&gt;=1,J746&lt;=K746+3),"255.255.255.0",""))</f>
        <v/>
      </c>
      <c r="E746" s="0" t="str">
        <f aca="false">IF(I746="","",IF(AND(J746&gt;=1,J746&lt;=K746+3),"10."&amp;INDEX(Eingabe!$D$9:$D$18,I746)&amp;"."&amp;IF(J746&lt;=K746,J746,IF(J746=K746+1,200,IF(J746=K746+2,201,250)))&amp;".1",""))</f>
        <v/>
      </c>
      <c r="F746" s="0" t="str">
        <f aca="false">IF(I746="","",IF(AND(J746&gt;=1,J746&lt;=K746+3),"10."&amp;INDEX(Eingabe!$D$9:$D$18,I746)&amp;"."&amp;IF(J746&lt;=K746,J746,IF(J746=K746+1,200,IF(J746=K746+2,201,250)))&amp;".10 – 10."&amp;INDEX(Eingabe!$D$9:$D$18,I746)&amp;"."&amp;IF(J746&lt;=K746,J746,IF(J746=K746+1,200,IF(J746=K746+2,201,250)))&amp;".250",""))</f>
        <v/>
      </c>
      <c r="G746" s="0" t="str">
        <f aca="false">IF(I746="","",IF(AND(J746&gt;=1,J746&lt;=K746),Eingabe!$B$6&amp;"-"&amp;INDEX(Eingabe!$C$9:$C$18,I746)&amp;"-Pächter  ·  Passwort Parzelle "&amp;J746,IF(J746=K746+1,Eingabe!$B$6&amp;"-"&amp;INDEX(Eingabe!$C$9:$C$18,I746)&amp;"-Vorstand  ·  eigenes WLAN",IF(J746=K746+2,Eingabe!$B$6&amp;"-"&amp;INDEX(Eingabe!$C$9:$C$18,I746)&amp;"-Gäste  ·  Voucher",IF(J746=K746+3,"Kabel  ·  Access Point y = .(50+y), Mast-Switch x = .(10+x)","")))))</f>
        <v/>
      </c>
      <c r="I746" s="0" t="str">
        <f aca="false">IF(741&lt;=(Eingabe!$P$18+Eingabe!$Q$18-1),MATCH(741,Eingabe!$P$9:$P$18,1),"")</f>
        <v/>
      </c>
      <c r="J746" s="0" t="str">
        <f aca="false">IF(I746="","",741-INDEX(Eingabe!$P$9:$P$18,I746))</f>
        <v/>
      </c>
      <c r="K746" s="0" t="str">
        <f aca="false">IF(I746="","",INDEX(Eingabe!$E$9:$E$18,I746))</f>
        <v/>
      </c>
    </row>
    <row r="747" customFormat="false" ht="15" hidden="false" customHeight="false" outlineLevel="0" collapsed="false">
      <c r="A747" s="0" t="str">
        <f aca="false">IF(I747="","",IF(J747=0,"Sparte "&amp;I747&amp;": "&amp;INDEX(Eingabe!$B$9:$B$18,I747)&amp;"  (Sparten-ID "&amp;INDEX(Eingabe!$D$9:$D$18,I747)&amp;", "&amp;K747&amp;" Parzellen)",IF(J747&lt;=K747,"   Parzelle "&amp;J747,IF(J747=K747+1,"   Vorstand",IF(J747=K747+2,"   Gäste",IF(J747=K747+3,"   Technik (Switches, Access Points)",""))))))</f>
        <v/>
      </c>
      <c r="B747" s="0" t="str">
        <f aca="false">IF(I747="","",IF(AND(J747&gt;=1,J747&lt;=K747+3),IF(J747&lt;=K747,IF(J747&lt;=99,IF((INDEX(Eingabe!$G$9:$G$18,I747))&lt;=9,1000+(INDEX(Eingabe!$G$9:$G$18,I747))*100,3000)+J747,IF((INDEX(Eingabe!$G$9:$G$18,I747)+1)&lt;=9,1000+(INDEX(Eingabe!$G$9:$G$18,I747)+1)*100,3000)+J747-100),IF(J747=K747+1,2000+INDEX(Eingabe!$G$9:$G$18,I747)*10+1,IF(J747=K747+2,2000+INDEX(Eingabe!$G$9:$G$18,I747)*10+2,2000+INDEX(Eingabe!$G$9:$G$18,I747)*10+9))),""))</f>
        <v/>
      </c>
      <c r="C747" s="0" t="str">
        <f aca="false">IF(I747="","",IF(AND(J747&gt;=1,J747&lt;=K747+3),"10."&amp;INDEX(Eingabe!$D$9:$D$18,I747)&amp;"."&amp;IF(J747&lt;=K747,J747,IF(J747=K747+1,200,IF(J747=K747+2,201,250)))&amp;".0/24",""))</f>
        <v/>
      </c>
      <c r="D747" s="0" t="str">
        <f aca="false">IF(I747="","",IF(AND(J747&gt;=1,J747&lt;=K747+3),"255.255.255.0",""))</f>
        <v/>
      </c>
      <c r="E747" s="0" t="str">
        <f aca="false">IF(I747="","",IF(AND(J747&gt;=1,J747&lt;=K747+3),"10."&amp;INDEX(Eingabe!$D$9:$D$18,I747)&amp;"."&amp;IF(J747&lt;=K747,J747,IF(J747=K747+1,200,IF(J747=K747+2,201,250)))&amp;".1",""))</f>
        <v/>
      </c>
      <c r="F747" s="0" t="str">
        <f aca="false">IF(I747="","",IF(AND(J747&gt;=1,J747&lt;=K747+3),"10."&amp;INDEX(Eingabe!$D$9:$D$18,I747)&amp;"."&amp;IF(J747&lt;=K747,J747,IF(J747=K747+1,200,IF(J747=K747+2,201,250)))&amp;".10 – 10."&amp;INDEX(Eingabe!$D$9:$D$18,I747)&amp;"."&amp;IF(J747&lt;=K747,J747,IF(J747=K747+1,200,IF(J747=K747+2,201,250)))&amp;".250",""))</f>
        <v/>
      </c>
      <c r="G747" s="0" t="str">
        <f aca="false">IF(I747="","",IF(AND(J747&gt;=1,J747&lt;=K747),Eingabe!$B$6&amp;"-"&amp;INDEX(Eingabe!$C$9:$C$18,I747)&amp;"-Pächter  ·  Passwort Parzelle "&amp;J747,IF(J747=K747+1,Eingabe!$B$6&amp;"-"&amp;INDEX(Eingabe!$C$9:$C$18,I747)&amp;"-Vorstand  ·  eigenes WLAN",IF(J747=K747+2,Eingabe!$B$6&amp;"-"&amp;INDEX(Eingabe!$C$9:$C$18,I747)&amp;"-Gäste  ·  Voucher",IF(J747=K747+3,"Kabel  ·  Access Point y = .(50+y), Mast-Switch x = .(10+x)","")))))</f>
        <v/>
      </c>
      <c r="I747" s="0" t="str">
        <f aca="false">IF(742&lt;=(Eingabe!$P$18+Eingabe!$Q$18-1),MATCH(742,Eingabe!$P$9:$P$18,1),"")</f>
        <v/>
      </c>
      <c r="J747" s="0" t="str">
        <f aca="false">IF(I747="","",742-INDEX(Eingabe!$P$9:$P$18,I747))</f>
        <v/>
      </c>
      <c r="K747" s="0" t="str">
        <f aca="false">IF(I747="","",INDEX(Eingabe!$E$9:$E$18,I747))</f>
        <v/>
      </c>
    </row>
    <row r="748" customFormat="false" ht="15" hidden="false" customHeight="false" outlineLevel="0" collapsed="false">
      <c r="A748" s="0" t="str">
        <f aca="false">IF(I748="","",IF(J748=0,"Sparte "&amp;I748&amp;": "&amp;INDEX(Eingabe!$B$9:$B$18,I748)&amp;"  (Sparten-ID "&amp;INDEX(Eingabe!$D$9:$D$18,I748)&amp;", "&amp;K748&amp;" Parzellen)",IF(J748&lt;=K748,"   Parzelle "&amp;J748,IF(J748=K748+1,"   Vorstand",IF(J748=K748+2,"   Gäste",IF(J748=K748+3,"   Technik (Switches, Access Points)",""))))))</f>
        <v/>
      </c>
      <c r="B748" s="0" t="str">
        <f aca="false">IF(I748="","",IF(AND(J748&gt;=1,J748&lt;=K748+3),IF(J748&lt;=K748,IF(J748&lt;=99,IF((INDEX(Eingabe!$G$9:$G$18,I748))&lt;=9,1000+(INDEX(Eingabe!$G$9:$G$18,I748))*100,3000)+J748,IF((INDEX(Eingabe!$G$9:$G$18,I748)+1)&lt;=9,1000+(INDEX(Eingabe!$G$9:$G$18,I748)+1)*100,3000)+J748-100),IF(J748=K748+1,2000+INDEX(Eingabe!$G$9:$G$18,I748)*10+1,IF(J748=K748+2,2000+INDEX(Eingabe!$G$9:$G$18,I748)*10+2,2000+INDEX(Eingabe!$G$9:$G$18,I748)*10+9))),""))</f>
        <v/>
      </c>
      <c r="C748" s="0" t="str">
        <f aca="false">IF(I748="","",IF(AND(J748&gt;=1,J748&lt;=K748+3),"10."&amp;INDEX(Eingabe!$D$9:$D$18,I748)&amp;"."&amp;IF(J748&lt;=K748,J748,IF(J748=K748+1,200,IF(J748=K748+2,201,250)))&amp;".0/24",""))</f>
        <v/>
      </c>
      <c r="D748" s="0" t="str">
        <f aca="false">IF(I748="","",IF(AND(J748&gt;=1,J748&lt;=K748+3),"255.255.255.0",""))</f>
        <v/>
      </c>
      <c r="E748" s="0" t="str">
        <f aca="false">IF(I748="","",IF(AND(J748&gt;=1,J748&lt;=K748+3),"10."&amp;INDEX(Eingabe!$D$9:$D$18,I748)&amp;"."&amp;IF(J748&lt;=K748,J748,IF(J748=K748+1,200,IF(J748=K748+2,201,250)))&amp;".1",""))</f>
        <v/>
      </c>
      <c r="F748" s="0" t="str">
        <f aca="false">IF(I748="","",IF(AND(J748&gt;=1,J748&lt;=K748+3),"10."&amp;INDEX(Eingabe!$D$9:$D$18,I748)&amp;"."&amp;IF(J748&lt;=K748,J748,IF(J748=K748+1,200,IF(J748=K748+2,201,250)))&amp;".10 – 10."&amp;INDEX(Eingabe!$D$9:$D$18,I748)&amp;"."&amp;IF(J748&lt;=K748,J748,IF(J748=K748+1,200,IF(J748=K748+2,201,250)))&amp;".250",""))</f>
        <v/>
      </c>
      <c r="G748" s="0" t="str">
        <f aca="false">IF(I748="","",IF(AND(J748&gt;=1,J748&lt;=K748),Eingabe!$B$6&amp;"-"&amp;INDEX(Eingabe!$C$9:$C$18,I748)&amp;"-Pächter  ·  Passwort Parzelle "&amp;J748,IF(J748=K748+1,Eingabe!$B$6&amp;"-"&amp;INDEX(Eingabe!$C$9:$C$18,I748)&amp;"-Vorstand  ·  eigenes WLAN",IF(J748=K748+2,Eingabe!$B$6&amp;"-"&amp;INDEX(Eingabe!$C$9:$C$18,I748)&amp;"-Gäste  ·  Voucher",IF(J748=K748+3,"Kabel  ·  Access Point y = .(50+y), Mast-Switch x = .(10+x)","")))))</f>
        <v/>
      </c>
      <c r="I748" s="0" t="str">
        <f aca="false">IF(743&lt;=(Eingabe!$P$18+Eingabe!$Q$18-1),MATCH(743,Eingabe!$P$9:$P$18,1),"")</f>
        <v/>
      </c>
      <c r="J748" s="0" t="str">
        <f aca="false">IF(I748="","",743-INDEX(Eingabe!$P$9:$P$18,I748))</f>
        <v/>
      </c>
      <c r="K748" s="0" t="str">
        <f aca="false">IF(I748="","",INDEX(Eingabe!$E$9:$E$18,I748))</f>
        <v/>
      </c>
    </row>
    <row r="749" customFormat="false" ht="15" hidden="false" customHeight="false" outlineLevel="0" collapsed="false">
      <c r="A749" s="0" t="str">
        <f aca="false">IF(I749="","",IF(J749=0,"Sparte "&amp;I749&amp;": "&amp;INDEX(Eingabe!$B$9:$B$18,I749)&amp;"  (Sparten-ID "&amp;INDEX(Eingabe!$D$9:$D$18,I749)&amp;", "&amp;K749&amp;" Parzellen)",IF(J749&lt;=K749,"   Parzelle "&amp;J749,IF(J749=K749+1,"   Vorstand",IF(J749=K749+2,"   Gäste",IF(J749=K749+3,"   Technik (Switches, Access Points)",""))))))</f>
        <v/>
      </c>
      <c r="B749" s="0" t="str">
        <f aca="false">IF(I749="","",IF(AND(J749&gt;=1,J749&lt;=K749+3),IF(J749&lt;=K749,IF(J749&lt;=99,IF((INDEX(Eingabe!$G$9:$G$18,I749))&lt;=9,1000+(INDEX(Eingabe!$G$9:$G$18,I749))*100,3000)+J749,IF((INDEX(Eingabe!$G$9:$G$18,I749)+1)&lt;=9,1000+(INDEX(Eingabe!$G$9:$G$18,I749)+1)*100,3000)+J749-100),IF(J749=K749+1,2000+INDEX(Eingabe!$G$9:$G$18,I749)*10+1,IF(J749=K749+2,2000+INDEX(Eingabe!$G$9:$G$18,I749)*10+2,2000+INDEX(Eingabe!$G$9:$G$18,I749)*10+9))),""))</f>
        <v/>
      </c>
      <c r="C749" s="0" t="str">
        <f aca="false">IF(I749="","",IF(AND(J749&gt;=1,J749&lt;=K749+3),"10."&amp;INDEX(Eingabe!$D$9:$D$18,I749)&amp;"."&amp;IF(J749&lt;=K749,J749,IF(J749=K749+1,200,IF(J749=K749+2,201,250)))&amp;".0/24",""))</f>
        <v/>
      </c>
      <c r="D749" s="0" t="str">
        <f aca="false">IF(I749="","",IF(AND(J749&gt;=1,J749&lt;=K749+3),"255.255.255.0",""))</f>
        <v/>
      </c>
      <c r="E749" s="0" t="str">
        <f aca="false">IF(I749="","",IF(AND(J749&gt;=1,J749&lt;=K749+3),"10."&amp;INDEX(Eingabe!$D$9:$D$18,I749)&amp;"."&amp;IF(J749&lt;=K749,J749,IF(J749=K749+1,200,IF(J749=K749+2,201,250)))&amp;".1",""))</f>
        <v/>
      </c>
      <c r="F749" s="0" t="str">
        <f aca="false">IF(I749="","",IF(AND(J749&gt;=1,J749&lt;=K749+3),"10."&amp;INDEX(Eingabe!$D$9:$D$18,I749)&amp;"."&amp;IF(J749&lt;=K749,J749,IF(J749=K749+1,200,IF(J749=K749+2,201,250)))&amp;".10 – 10."&amp;INDEX(Eingabe!$D$9:$D$18,I749)&amp;"."&amp;IF(J749&lt;=K749,J749,IF(J749=K749+1,200,IF(J749=K749+2,201,250)))&amp;".250",""))</f>
        <v/>
      </c>
      <c r="G749" s="0" t="str">
        <f aca="false">IF(I749="","",IF(AND(J749&gt;=1,J749&lt;=K749),Eingabe!$B$6&amp;"-"&amp;INDEX(Eingabe!$C$9:$C$18,I749)&amp;"-Pächter  ·  Passwort Parzelle "&amp;J749,IF(J749=K749+1,Eingabe!$B$6&amp;"-"&amp;INDEX(Eingabe!$C$9:$C$18,I749)&amp;"-Vorstand  ·  eigenes WLAN",IF(J749=K749+2,Eingabe!$B$6&amp;"-"&amp;INDEX(Eingabe!$C$9:$C$18,I749)&amp;"-Gäste  ·  Voucher",IF(J749=K749+3,"Kabel  ·  Access Point y = .(50+y), Mast-Switch x = .(10+x)","")))))</f>
        <v/>
      </c>
      <c r="I749" s="0" t="str">
        <f aca="false">IF(744&lt;=(Eingabe!$P$18+Eingabe!$Q$18-1),MATCH(744,Eingabe!$P$9:$P$18,1),"")</f>
        <v/>
      </c>
      <c r="J749" s="0" t="str">
        <f aca="false">IF(I749="","",744-INDEX(Eingabe!$P$9:$P$18,I749))</f>
        <v/>
      </c>
      <c r="K749" s="0" t="str">
        <f aca="false">IF(I749="","",INDEX(Eingabe!$E$9:$E$18,I749))</f>
        <v/>
      </c>
    </row>
    <row r="750" customFormat="false" ht="15" hidden="false" customHeight="false" outlineLevel="0" collapsed="false">
      <c r="A750" s="0" t="str">
        <f aca="false">IF(I750="","",IF(J750=0,"Sparte "&amp;I750&amp;": "&amp;INDEX(Eingabe!$B$9:$B$18,I750)&amp;"  (Sparten-ID "&amp;INDEX(Eingabe!$D$9:$D$18,I750)&amp;", "&amp;K750&amp;" Parzellen)",IF(J750&lt;=K750,"   Parzelle "&amp;J750,IF(J750=K750+1,"   Vorstand",IF(J750=K750+2,"   Gäste",IF(J750=K750+3,"   Technik (Switches, Access Points)",""))))))</f>
        <v/>
      </c>
      <c r="B750" s="0" t="str">
        <f aca="false">IF(I750="","",IF(AND(J750&gt;=1,J750&lt;=K750+3),IF(J750&lt;=K750,IF(J750&lt;=99,IF((INDEX(Eingabe!$G$9:$G$18,I750))&lt;=9,1000+(INDEX(Eingabe!$G$9:$G$18,I750))*100,3000)+J750,IF((INDEX(Eingabe!$G$9:$G$18,I750)+1)&lt;=9,1000+(INDEX(Eingabe!$G$9:$G$18,I750)+1)*100,3000)+J750-100),IF(J750=K750+1,2000+INDEX(Eingabe!$G$9:$G$18,I750)*10+1,IF(J750=K750+2,2000+INDEX(Eingabe!$G$9:$G$18,I750)*10+2,2000+INDEX(Eingabe!$G$9:$G$18,I750)*10+9))),""))</f>
        <v/>
      </c>
      <c r="C750" s="0" t="str">
        <f aca="false">IF(I750="","",IF(AND(J750&gt;=1,J750&lt;=K750+3),"10."&amp;INDEX(Eingabe!$D$9:$D$18,I750)&amp;"."&amp;IF(J750&lt;=K750,J750,IF(J750=K750+1,200,IF(J750=K750+2,201,250)))&amp;".0/24",""))</f>
        <v/>
      </c>
      <c r="D750" s="0" t="str">
        <f aca="false">IF(I750="","",IF(AND(J750&gt;=1,J750&lt;=K750+3),"255.255.255.0",""))</f>
        <v/>
      </c>
      <c r="E750" s="0" t="str">
        <f aca="false">IF(I750="","",IF(AND(J750&gt;=1,J750&lt;=K750+3),"10."&amp;INDEX(Eingabe!$D$9:$D$18,I750)&amp;"."&amp;IF(J750&lt;=K750,J750,IF(J750=K750+1,200,IF(J750=K750+2,201,250)))&amp;".1",""))</f>
        <v/>
      </c>
      <c r="F750" s="0" t="str">
        <f aca="false">IF(I750="","",IF(AND(J750&gt;=1,J750&lt;=K750+3),"10."&amp;INDEX(Eingabe!$D$9:$D$18,I750)&amp;"."&amp;IF(J750&lt;=K750,J750,IF(J750=K750+1,200,IF(J750=K750+2,201,250)))&amp;".10 – 10."&amp;INDEX(Eingabe!$D$9:$D$18,I750)&amp;"."&amp;IF(J750&lt;=K750,J750,IF(J750=K750+1,200,IF(J750=K750+2,201,250)))&amp;".250",""))</f>
        <v/>
      </c>
      <c r="G750" s="0" t="str">
        <f aca="false">IF(I750="","",IF(AND(J750&gt;=1,J750&lt;=K750),Eingabe!$B$6&amp;"-"&amp;INDEX(Eingabe!$C$9:$C$18,I750)&amp;"-Pächter  ·  Passwort Parzelle "&amp;J750,IF(J750=K750+1,Eingabe!$B$6&amp;"-"&amp;INDEX(Eingabe!$C$9:$C$18,I750)&amp;"-Vorstand  ·  eigenes WLAN",IF(J750=K750+2,Eingabe!$B$6&amp;"-"&amp;INDEX(Eingabe!$C$9:$C$18,I750)&amp;"-Gäste  ·  Voucher",IF(J750=K750+3,"Kabel  ·  Access Point y = .(50+y), Mast-Switch x = .(10+x)","")))))</f>
        <v/>
      </c>
      <c r="I750" s="0" t="str">
        <f aca="false">IF(745&lt;=(Eingabe!$P$18+Eingabe!$Q$18-1),MATCH(745,Eingabe!$P$9:$P$18,1),"")</f>
        <v/>
      </c>
      <c r="J750" s="0" t="str">
        <f aca="false">IF(I750="","",745-INDEX(Eingabe!$P$9:$P$18,I750))</f>
        <v/>
      </c>
      <c r="K750" s="0" t="str">
        <f aca="false">IF(I750="","",INDEX(Eingabe!$E$9:$E$18,I750))</f>
        <v/>
      </c>
    </row>
    <row r="751" customFormat="false" ht="15" hidden="false" customHeight="false" outlineLevel="0" collapsed="false">
      <c r="A751" s="0" t="str">
        <f aca="false">IF(I751="","",IF(J751=0,"Sparte "&amp;I751&amp;": "&amp;INDEX(Eingabe!$B$9:$B$18,I751)&amp;"  (Sparten-ID "&amp;INDEX(Eingabe!$D$9:$D$18,I751)&amp;", "&amp;K751&amp;" Parzellen)",IF(J751&lt;=K751,"   Parzelle "&amp;J751,IF(J751=K751+1,"   Vorstand",IF(J751=K751+2,"   Gäste",IF(J751=K751+3,"   Technik (Switches, Access Points)",""))))))</f>
        <v/>
      </c>
      <c r="B751" s="0" t="str">
        <f aca="false">IF(I751="","",IF(AND(J751&gt;=1,J751&lt;=K751+3),IF(J751&lt;=K751,IF(J751&lt;=99,IF((INDEX(Eingabe!$G$9:$G$18,I751))&lt;=9,1000+(INDEX(Eingabe!$G$9:$G$18,I751))*100,3000)+J751,IF((INDEX(Eingabe!$G$9:$G$18,I751)+1)&lt;=9,1000+(INDEX(Eingabe!$G$9:$G$18,I751)+1)*100,3000)+J751-100),IF(J751=K751+1,2000+INDEX(Eingabe!$G$9:$G$18,I751)*10+1,IF(J751=K751+2,2000+INDEX(Eingabe!$G$9:$G$18,I751)*10+2,2000+INDEX(Eingabe!$G$9:$G$18,I751)*10+9))),""))</f>
        <v/>
      </c>
      <c r="C751" s="0" t="str">
        <f aca="false">IF(I751="","",IF(AND(J751&gt;=1,J751&lt;=K751+3),"10."&amp;INDEX(Eingabe!$D$9:$D$18,I751)&amp;"."&amp;IF(J751&lt;=K751,J751,IF(J751=K751+1,200,IF(J751=K751+2,201,250)))&amp;".0/24",""))</f>
        <v/>
      </c>
      <c r="D751" s="0" t="str">
        <f aca="false">IF(I751="","",IF(AND(J751&gt;=1,J751&lt;=K751+3),"255.255.255.0",""))</f>
        <v/>
      </c>
      <c r="E751" s="0" t="str">
        <f aca="false">IF(I751="","",IF(AND(J751&gt;=1,J751&lt;=K751+3),"10."&amp;INDEX(Eingabe!$D$9:$D$18,I751)&amp;"."&amp;IF(J751&lt;=K751,J751,IF(J751=K751+1,200,IF(J751=K751+2,201,250)))&amp;".1",""))</f>
        <v/>
      </c>
      <c r="F751" s="0" t="str">
        <f aca="false">IF(I751="","",IF(AND(J751&gt;=1,J751&lt;=K751+3),"10."&amp;INDEX(Eingabe!$D$9:$D$18,I751)&amp;"."&amp;IF(J751&lt;=K751,J751,IF(J751=K751+1,200,IF(J751=K751+2,201,250)))&amp;".10 – 10."&amp;INDEX(Eingabe!$D$9:$D$18,I751)&amp;"."&amp;IF(J751&lt;=K751,J751,IF(J751=K751+1,200,IF(J751=K751+2,201,250)))&amp;".250",""))</f>
        <v/>
      </c>
      <c r="G751" s="0" t="str">
        <f aca="false">IF(I751="","",IF(AND(J751&gt;=1,J751&lt;=K751),Eingabe!$B$6&amp;"-"&amp;INDEX(Eingabe!$C$9:$C$18,I751)&amp;"-Pächter  ·  Passwort Parzelle "&amp;J751,IF(J751=K751+1,Eingabe!$B$6&amp;"-"&amp;INDEX(Eingabe!$C$9:$C$18,I751)&amp;"-Vorstand  ·  eigenes WLAN",IF(J751=K751+2,Eingabe!$B$6&amp;"-"&amp;INDEX(Eingabe!$C$9:$C$18,I751)&amp;"-Gäste  ·  Voucher",IF(J751=K751+3,"Kabel  ·  Access Point y = .(50+y), Mast-Switch x = .(10+x)","")))))</f>
        <v/>
      </c>
      <c r="I751" s="0" t="str">
        <f aca="false">IF(746&lt;=(Eingabe!$P$18+Eingabe!$Q$18-1),MATCH(746,Eingabe!$P$9:$P$18,1),"")</f>
        <v/>
      </c>
      <c r="J751" s="0" t="str">
        <f aca="false">IF(I751="","",746-INDEX(Eingabe!$P$9:$P$18,I751))</f>
        <v/>
      </c>
      <c r="K751" s="0" t="str">
        <f aca="false">IF(I751="","",INDEX(Eingabe!$E$9:$E$18,I751))</f>
        <v/>
      </c>
    </row>
    <row r="752" customFormat="false" ht="15" hidden="false" customHeight="false" outlineLevel="0" collapsed="false">
      <c r="A752" s="0" t="str">
        <f aca="false">IF(I752="","",IF(J752=0,"Sparte "&amp;I752&amp;": "&amp;INDEX(Eingabe!$B$9:$B$18,I752)&amp;"  (Sparten-ID "&amp;INDEX(Eingabe!$D$9:$D$18,I752)&amp;", "&amp;K752&amp;" Parzellen)",IF(J752&lt;=K752,"   Parzelle "&amp;J752,IF(J752=K752+1,"   Vorstand",IF(J752=K752+2,"   Gäste",IF(J752=K752+3,"   Technik (Switches, Access Points)",""))))))</f>
        <v/>
      </c>
      <c r="B752" s="0" t="str">
        <f aca="false">IF(I752="","",IF(AND(J752&gt;=1,J752&lt;=K752+3),IF(J752&lt;=K752,IF(J752&lt;=99,IF((INDEX(Eingabe!$G$9:$G$18,I752))&lt;=9,1000+(INDEX(Eingabe!$G$9:$G$18,I752))*100,3000)+J752,IF((INDEX(Eingabe!$G$9:$G$18,I752)+1)&lt;=9,1000+(INDEX(Eingabe!$G$9:$G$18,I752)+1)*100,3000)+J752-100),IF(J752=K752+1,2000+INDEX(Eingabe!$G$9:$G$18,I752)*10+1,IF(J752=K752+2,2000+INDEX(Eingabe!$G$9:$G$18,I752)*10+2,2000+INDEX(Eingabe!$G$9:$G$18,I752)*10+9))),""))</f>
        <v/>
      </c>
      <c r="C752" s="0" t="str">
        <f aca="false">IF(I752="","",IF(AND(J752&gt;=1,J752&lt;=K752+3),"10."&amp;INDEX(Eingabe!$D$9:$D$18,I752)&amp;"."&amp;IF(J752&lt;=K752,J752,IF(J752=K752+1,200,IF(J752=K752+2,201,250)))&amp;".0/24",""))</f>
        <v/>
      </c>
      <c r="D752" s="0" t="str">
        <f aca="false">IF(I752="","",IF(AND(J752&gt;=1,J752&lt;=K752+3),"255.255.255.0",""))</f>
        <v/>
      </c>
      <c r="E752" s="0" t="str">
        <f aca="false">IF(I752="","",IF(AND(J752&gt;=1,J752&lt;=K752+3),"10."&amp;INDEX(Eingabe!$D$9:$D$18,I752)&amp;"."&amp;IF(J752&lt;=K752,J752,IF(J752=K752+1,200,IF(J752=K752+2,201,250)))&amp;".1",""))</f>
        <v/>
      </c>
      <c r="F752" s="0" t="str">
        <f aca="false">IF(I752="","",IF(AND(J752&gt;=1,J752&lt;=K752+3),"10."&amp;INDEX(Eingabe!$D$9:$D$18,I752)&amp;"."&amp;IF(J752&lt;=K752,J752,IF(J752=K752+1,200,IF(J752=K752+2,201,250)))&amp;".10 – 10."&amp;INDEX(Eingabe!$D$9:$D$18,I752)&amp;"."&amp;IF(J752&lt;=K752,J752,IF(J752=K752+1,200,IF(J752=K752+2,201,250)))&amp;".250",""))</f>
        <v/>
      </c>
      <c r="G752" s="0" t="str">
        <f aca="false">IF(I752="","",IF(AND(J752&gt;=1,J752&lt;=K752),Eingabe!$B$6&amp;"-"&amp;INDEX(Eingabe!$C$9:$C$18,I752)&amp;"-Pächter  ·  Passwort Parzelle "&amp;J752,IF(J752=K752+1,Eingabe!$B$6&amp;"-"&amp;INDEX(Eingabe!$C$9:$C$18,I752)&amp;"-Vorstand  ·  eigenes WLAN",IF(J752=K752+2,Eingabe!$B$6&amp;"-"&amp;INDEX(Eingabe!$C$9:$C$18,I752)&amp;"-Gäste  ·  Voucher",IF(J752=K752+3,"Kabel  ·  Access Point y = .(50+y), Mast-Switch x = .(10+x)","")))))</f>
        <v/>
      </c>
      <c r="I752" s="0" t="str">
        <f aca="false">IF(747&lt;=(Eingabe!$P$18+Eingabe!$Q$18-1),MATCH(747,Eingabe!$P$9:$P$18,1),"")</f>
        <v/>
      </c>
      <c r="J752" s="0" t="str">
        <f aca="false">IF(I752="","",747-INDEX(Eingabe!$P$9:$P$18,I752))</f>
        <v/>
      </c>
      <c r="K752" s="0" t="str">
        <f aca="false">IF(I752="","",INDEX(Eingabe!$E$9:$E$18,I752))</f>
        <v/>
      </c>
    </row>
    <row r="753" customFormat="false" ht="15" hidden="false" customHeight="false" outlineLevel="0" collapsed="false">
      <c r="A753" s="0" t="str">
        <f aca="false">IF(I753="","",IF(J753=0,"Sparte "&amp;I753&amp;": "&amp;INDEX(Eingabe!$B$9:$B$18,I753)&amp;"  (Sparten-ID "&amp;INDEX(Eingabe!$D$9:$D$18,I753)&amp;", "&amp;K753&amp;" Parzellen)",IF(J753&lt;=K753,"   Parzelle "&amp;J753,IF(J753=K753+1,"   Vorstand",IF(J753=K753+2,"   Gäste",IF(J753=K753+3,"   Technik (Switches, Access Points)",""))))))</f>
        <v/>
      </c>
      <c r="B753" s="0" t="str">
        <f aca="false">IF(I753="","",IF(AND(J753&gt;=1,J753&lt;=K753+3),IF(J753&lt;=K753,IF(J753&lt;=99,IF((INDEX(Eingabe!$G$9:$G$18,I753))&lt;=9,1000+(INDEX(Eingabe!$G$9:$G$18,I753))*100,3000)+J753,IF((INDEX(Eingabe!$G$9:$G$18,I753)+1)&lt;=9,1000+(INDEX(Eingabe!$G$9:$G$18,I753)+1)*100,3000)+J753-100),IF(J753=K753+1,2000+INDEX(Eingabe!$G$9:$G$18,I753)*10+1,IF(J753=K753+2,2000+INDEX(Eingabe!$G$9:$G$18,I753)*10+2,2000+INDEX(Eingabe!$G$9:$G$18,I753)*10+9))),""))</f>
        <v/>
      </c>
      <c r="C753" s="0" t="str">
        <f aca="false">IF(I753="","",IF(AND(J753&gt;=1,J753&lt;=K753+3),"10."&amp;INDEX(Eingabe!$D$9:$D$18,I753)&amp;"."&amp;IF(J753&lt;=K753,J753,IF(J753=K753+1,200,IF(J753=K753+2,201,250)))&amp;".0/24",""))</f>
        <v/>
      </c>
      <c r="D753" s="0" t="str">
        <f aca="false">IF(I753="","",IF(AND(J753&gt;=1,J753&lt;=K753+3),"255.255.255.0",""))</f>
        <v/>
      </c>
      <c r="E753" s="0" t="str">
        <f aca="false">IF(I753="","",IF(AND(J753&gt;=1,J753&lt;=K753+3),"10."&amp;INDEX(Eingabe!$D$9:$D$18,I753)&amp;"."&amp;IF(J753&lt;=K753,J753,IF(J753=K753+1,200,IF(J753=K753+2,201,250)))&amp;".1",""))</f>
        <v/>
      </c>
      <c r="F753" s="0" t="str">
        <f aca="false">IF(I753="","",IF(AND(J753&gt;=1,J753&lt;=K753+3),"10."&amp;INDEX(Eingabe!$D$9:$D$18,I753)&amp;"."&amp;IF(J753&lt;=K753,J753,IF(J753=K753+1,200,IF(J753=K753+2,201,250)))&amp;".10 – 10."&amp;INDEX(Eingabe!$D$9:$D$18,I753)&amp;"."&amp;IF(J753&lt;=K753,J753,IF(J753=K753+1,200,IF(J753=K753+2,201,250)))&amp;".250",""))</f>
        <v/>
      </c>
      <c r="G753" s="0" t="str">
        <f aca="false">IF(I753="","",IF(AND(J753&gt;=1,J753&lt;=K753),Eingabe!$B$6&amp;"-"&amp;INDEX(Eingabe!$C$9:$C$18,I753)&amp;"-Pächter  ·  Passwort Parzelle "&amp;J753,IF(J753=K753+1,Eingabe!$B$6&amp;"-"&amp;INDEX(Eingabe!$C$9:$C$18,I753)&amp;"-Vorstand  ·  eigenes WLAN",IF(J753=K753+2,Eingabe!$B$6&amp;"-"&amp;INDEX(Eingabe!$C$9:$C$18,I753)&amp;"-Gäste  ·  Voucher",IF(J753=K753+3,"Kabel  ·  Access Point y = .(50+y), Mast-Switch x = .(10+x)","")))))</f>
        <v/>
      </c>
      <c r="I753" s="0" t="str">
        <f aca="false">IF(748&lt;=(Eingabe!$P$18+Eingabe!$Q$18-1),MATCH(748,Eingabe!$P$9:$P$18,1),"")</f>
        <v/>
      </c>
      <c r="J753" s="0" t="str">
        <f aca="false">IF(I753="","",748-INDEX(Eingabe!$P$9:$P$18,I753))</f>
        <v/>
      </c>
      <c r="K753" s="0" t="str">
        <f aca="false">IF(I753="","",INDEX(Eingabe!$E$9:$E$18,I753))</f>
        <v/>
      </c>
    </row>
    <row r="754" customFormat="false" ht="15" hidden="false" customHeight="false" outlineLevel="0" collapsed="false">
      <c r="A754" s="0" t="str">
        <f aca="false">IF(I754="","",IF(J754=0,"Sparte "&amp;I754&amp;": "&amp;INDEX(Eingabe!$B$9:$B$18,I754)&amp;"  (Sparten-ID "&amp;INDEX(Eingabe!$D$9:$D$18,I754)&amp;", "&amp;K754&amp;" Parzellen)",IF(J754&lt;=K754,"   Parzelle "&amp;J754,IF(J754=K754+1,"   Vorstand",IF(J754=K754+2,"   Gäste",IF(J754=K754+3,"   Technik (Switches, Access Points)",""))))))</f>
        <v/>
      </c>
      <c r="B754" s="0" t="str">
        <f aca="false">IF(I754="","",IF(AND(J754&gt;=1,J754&lt;=K754+3),IF(J754&lt;=K754,IF(J754&lt;=99,IF((INDEX(Eingabe!$G$9:$G$18,I754))&lt;=9,1000+(INDEX(Eingabe!$G$9:$G$18,I754))*100,3000)+J754,IF((INDEX(Eingabe!$G$9:$G$18,I754)+1)&lt;=9,1000+(INDEX(Eingabe!$G$9:$G$18,I754)+1)*100,3000)+J754-100),IF(J754=K754+1,2000+INDEX(Eingabe!$G$9:$G$18,I754)*10+1,IF(J754=K754+2,2000+INDEX(Eingabe!$G$9:$G$18,I754)*10+2,2000+INDEX(Eingabe!$G$9:$G$18,I754)*10+9))),""))</f>
        <v/>
      </c>
      <c r="C754" s="0" t="str">
        <f aca="false">IF(I754="","",IF(AND(J754&gt;=1,J754&lt;=K754+3),"10."&amp;INDEX(Eingabe!$D$9:$D$18,I754)&amp;"."&amp;IF(J754&lt;=K754,J754,IF(J754=K754+1,200,IF(J754=K754+2,201,250)))&amp;".0/24",""))</f>
        <v/>
      </c>
      <c r="D754" s="0" t="str">
        <f aca="false">IF(I754="","",IF(AND(J754&gt;=1,J754&lt;=K754+3),"255.255.255.0",""))</f>
        <v/>
      </c>
      <c r="E754" s="0" t="str">
        <f aca="false">IF(I754="","",IF(AND(J754&gt;=1,J754&lt;=K754+3),"10."&amp;INDEX(Eingabe!$D$9:$D$18,I754)&amp;"."&amp;IF(J754&lt;=K754,J754,IF(J754=K754+1,200,IF(J754=K754+2,201,250)))&amp;".1",""))</f>
        <v/>
      </c>
      <c r="F754" s="0" t="str">
        <f aca="false">IF(I754="","",IF(AND(J754&gt;=1,J754&lt;=K754+3),"10."&amp;INDEX(Eingabe!$D$9:$D$18,I754)&amp;"."&amp;IF(J754&lt;=K754,J754,IF(J754=K754+1,200,IF(J754=K754+2,201,250)))&amp;".10 – 10."&amp;INDEX(Eingabe!$D$9:$D$18,I754)&amp;"."&amp;IF(J754&lt;=K754,J754,IF(J754=K754+1,200,IF(J754=K754+2,201,250)))&amp;".250",""))</f>
        <v/>
      </c>
      <c r="G754" s="0" t="str">
        <f aca="false">IF(I754="","",IF(AND(J754&gt;=1,J754&lt;=K754),Eingabe!$B$6&amp;"-"&amp;INDEX(Eingabe!$C$9:$C$18,I754)&amp;"-Pächter  ·  Passwort Parzelle "&amp;J754,IF(J754=K754+1,Eingabe!$B$6&amp;"-"&amp;INDEX(Eingabe!$C$9:$C$18,I754)&amp;"-Vorstand  ·  eigenes WLAN",IF(J754=K754+2,Eingabe!$B$6&amp;"-"&amp;INDEX(Eingabe!$C$9:$C$18,I754)&amp;"-Gäste  ·  Voucher",IF(J754=K754+3,"Kabel  ·  Access Point y = .(50+y), Mast-Switch x = .(10+x)","")))))</f>
        <v/>
      </c>
      <c r="I754" s="0" t="str">
        <f aca="false">IF(749&lt;=(Eingabe!$P$18+Eingabe!$Q$18-1),MATCH(749,Eingabe!$P$9:$P$18,1),"")</f>
        <v/>
      </c>
      <c r="J754" s="0" t="str">
        <f aca="false">IF(I754="","",749-INDEX(Eingabe!$P$9:$P$18,I754))</f>
        <v/>
      </c>
      <c r="K754" s="0" t="str">
        <f aca="false">IF(I754="","",INDEX(Eingabe!$E$9:$E$18,I754))</f>
        <v/>
      </c>
    </row>
    <row r="755" customFormat="false" ht="15" hidden="false" customHeight="false" outlineLevel="0" collapsed="false">
      <c r="A755" s="0" t="str">
        <f aca="false">IF(I755="","",IF(J755=0,"Sparte "&amp;I755&amp;": "&amp;INDEX(Eingabe!$B$9:$B$18,I755)&amp;"  (Sparten-ID "&amp;INDEX(Eingabe!$D$9:$D$18,I755)&amp;", "&amp;K755&amp;" Parzellen)",IF(J755&lt;=K755,"   Parzelle "&amp;J755,IF(J755=K755+1,"   Vorstand",IF(J755=K755+2,"   Gäste",IF(J755=K755+3,"   Technik (Switches, Access Points)",""))))))</f>
        <v/>
      </c>
      <c r="B755" s="0" t="str">
        <f aca="false">IF(I755="","",IF(AND(J755&gt;=1,J755&lt;=K755+3),IF(J755&lt;=K755,IF(J755&lt;=99,IF((INDEX(Eingabe!$G$9:$G$18,I755))&lt;=9,1000+(INDEX(Eingabe!$G$9:$G$18,I755))*100,3000)+J755,IF((INDEX(Eingabe!$G$9:$G$18,I755)+1)&lt;=9,1000+(INDEX(Eingabe!$G$9:$G$18,I755)+1)*100,3000)+J755-100),IF(J755=K755+1,2000+INDEX(Eingabe!$G$9:$G$18,I755)*10+1,IF(J755=K755+2,2000+INDEX(Eingabe!$G$9:$G$18,I755)*10+2,2000+INDEX(Eingabe!$G$9:$G$18,I755)*10+9))),""))</f>
        <v/>
      </c>
      <c r="C755" s="0" t="str">
        <f aca="false">IF(I755="","",IF(AND(J755&gt;=1,J755&lt;=K755+3),"10."&amp;INDEX(Eingabe!$D$9:$D$18,I755)&amp;"."&amp;IF(J755&lt;=K755,J755,IF(J755=K755+1,200,IF(J755=K755+2,201,250)))&amp;".0/24",""))</f>
        <v/>
      </c>
      <c r="D755" s="0" t="str">
        <f aca="false">IF(I755="","",IF(AND(J755&gt;=1,J755&lt;=K755+3),"255.255.255.0",""))</f>
        <v/>
      </c>
      <c r="E755" s="0" t="str">
        <f aca="false">IF(I755="","",IF(AND(J755&gt;=1,J755&lt;=K755+3),"10."&amp;INDEX(Eingabe!$D$9:$D$18,I755)&amp;"."&amp;IF(J755&lt;=K755,J755,IF(J755=K755+1,200,IF(J755=K755+2,201,250)))&amp;".1",""))</f>
        <v/>
      </c>
      <c r="F755" s="0" t="str">
        <f aca="false">IF(I755="","",IF(AND(J755&gt;=1,J755&lt;=K755+3),"10."&amp;INDEX(Eingabe!$D$9:$D$18,I755)&amp;"."&amp;IF(J755&lt;=K755,J755,IF(J755=K755+1,200,IF(J755=K755+2,201,250)))&amp;".10 – 10."&amp;INDEX(Eingabe!$D$9:$D$18,I755)&amp;"."&amp;IF(J755&lt;=K755,J755,IF(J755=K755+1,200,IF(J755=K755+2,201,250)))&amp;".250",""))</f>
        <v/>
      </c>
      <c r="G755" s="0" t="str">
        <f aca="false">IF(I755="","",IF(AND(J755&gt;=1,J755&lt;=K755),Eingabe!$B$6&amp;"-"&amp;INDEX(Eingabe!$C$9:$C$18,I755)&amp;"-Pächter  ·  Passwort Parzelle "&amp;J755,IF(J755=K755+1,Eingabe!$B$6&amp;"-"&amp;INDEX(Eingabe!$C$9:$C$18,I755)&amp;"-Vorstand  ·  eigenes WLAN",IF(J755=K755+2,Eingabe!$B$6&amp;"-"&amp;INDEX(Eingabe!$C$9:$C$18,I755)&amp;"-Gäste  ·  Voucher",IF(J755=K755+3,"Kabel  ·  Access Point y = .(50+y), Mast-Switch x = .(10+x)","")))))</f>
        <v/>
      </c>
      <c r="I755" s="0" t="str">
        <f aca="false">IF(750&lt;=(Eingabe!$P$18+Eingabe!$Q$18-1),MATCH(750,Eingabe!$P$9:$P$18,1),"")</f>
        <v/>
      </c>
      <c r="J755" s="0" t="str">
        <f aca="false">IF(I755="","",750-INDEX(Eingabe!$P$9:$P$18,I755))</f>
        <v/>
      </c>
      <c r="K755" s="0" t="str">
        <f aca="false">IF(I755="","",INDEX(Eingabe!$E$9:$E$18,I755))</f>
        <v/>
      </c>
    </row>
    <row r="756" customFormat="false" ht="15" hidden="false" customHeight="false" outlineLevel="0" collapsed="false">
      <c r="A756" s="0" t="str">
        <f aca="false">IF(I756="","",IF(J756=0,"Sparte "&amp;I756&amp;": "&amp;INDEX(Eingabe!$B$9:$B$18,I756)&amp;"  (Sparten-ID "&amp;INDEX(Eingabe!$D$9:$D$18,I756)&amp;", "&amp;K756&amp;" Parzellen)",IF(J756&lt;=K756,"   Parzelle "&amp;J756,IF(J756=K756+1,"   Vorstand",IF(J756=K756+2,"   Gäste",IF(J756=K756+3,"   Technik (Switches, Access Points)",""))))))</f>
        <v/>
      </c>
      <c r="B756" s="0" t="str">
        <f aca="false">IF(I756="","",IF(AND(J756&gt;=1,J756&lt;=K756+3),IF(J756&lt;=K756,IF(J756&lt;=99,IF((INDEX(Eingabe!$G$9:$G$18,I756))&lt;=9,1000+(INDEX(Eingabe!$G$9:$G$18,I756))*100,3000)+J756,IF((INDEX(Eingabe!$G$9:$G$18,I756)+1)&lt;=9,1000+(INDEX(Eingabe!$G$9:$G$18,I756)+1)*100,3000)+J756-100),IF(J756=K756+1,2000+INDEX(Eingabe!$G$9:$G$18,I756)*10+1,IF(J756=K756+2,2000+INDEX(Eingabe!$G$9:$G$18,I756)*10+2,2000+INDEX(Eingabe!$G$9:$G$18,I756)*10+9))),""))</f>
        <v/>
      </c>
      <c r="C756" s="0" t="str">
        <f aca="false">IF(I756="","",IF(AND(J756&gt;=1,J756&lt;=K756+3),"10."&amp;INDEX(Eingabe!$D$9:$D$18,I756)&amp;"."&amp;IF(J756&lt;=K756,J756,IF(J756=K756+1,200,IF(J756=K756+2,201,250)))&amp;".0/24",""))</f>
        <v/>
      </c>
      <c r="D756" s="0" t="str">
        <f aca="false">IF(I756="","",IF(AND(J756&gt;=1,J756&lt;=K756+3),"255.255.255.0",""))</f>
        <v/>
      </c>
      <c r="E756" s="0" t="str">
        <f aca="false">IF(I756="","",IF(AND(J756&gt;=1,J756&lt;=K756+3),"10."&amp;INDEX(Eingabe!$D$9:$D$18,I756)&amp;"."&amp;IF(J756&lt;=K756,J756,IF(J756=K756+1,200,IF(J756=K756+2,201,250)))&amp;".1",""))</f>
        <v/>
      </c>
      <c r="F756" s="0" t="str">
        <f aca="false">IF(I756="","",IF(AND(J756&gt;=1,J756&lt;=K756+3),"10."&amp;INDEX(Eingabe!$D$9:$D$18,I756)&amp;"."&amp;IF(J756&lt;=K756,J756,IF(J756=K756+1,200,IF(J756=K756+2,201,250)))&amp;".10 – 10."&amp;INDEX(Eingabe!$D$9:$D$18,I756)&amp;"."&amp;IF(J756&lt;=K756,J756,IF(J756=K756+1,200,IF(J756=K756+2,201,250)))&amp;".250",""))</f>
        <v/>
      </c>
      <c r="G756" s="0" t="str">
        <f aca="false">IF(I756="","",IF(AND(J756&gt;=1,J756&lt;=K756),Eingabe!$B$6&amp;"-"&amp;INDEX(Eingabe!$C$9:$C$18,I756)&amp;"-Pächter  ·  Passwort Parzelle "&amp;J756,IF(J756=K756+1,Eingabe!$B$6&amp;"-"&amp;INDEX(Eingabe!$C$9:$C$18,I756)&amp;"-Vorstand  ·  eigenes WLAN",IF(J756=K756+2,Eingabe!$B$6&amp;"-"&amp;INDEX(Eingabe!$C$9:$C$18,I756)&amp;"-Gäste  ·  Voucher",IF(J756=K756+3,"Kabel  ·  Access Point y = .(50+y), Mast-Switch x = .(10+x)","")))))</f>
        <v/>
      </c>
      <c r="I756" s="0" t="str">
        <f aca="false">IF(751&lt;=(Eingabe!$P$18+Eingabe!$Q$18-1),MATCH(751,Eingabe!$P$9:$P$18,1),"")</f>
        <v/>
      </c>
      <c r="J756" s="0" t="str">
        <f aca="false">IF(I756="","",751-INDEX(Eingabe!$P$9:$P$18,I756))</f>
        <v/>
      </c>
      <c r="K756" s="0" t="str">
        <f aca="false">IF(I756="","",INDEX(Eingabe!$E$9:$E$18,I756))</f>
        <v/>
      </c>
    </row>
    <row r="757" customFormat="false" ht="15" hidden="false" customHeight="false" outlineLevel="0" collapsed="false">
      <c r="A757" s="0" t="str">
        <f aca="false">IF(I757="","",IF(J757=0,"Sparte "&amp;I757&amp;": "&amp;INDEX(Eingabe!$B$9:$B$18,I757)&amp;"  (Sparten-ID "&amp;INDEX(Eingabe!$D$9:$D$18,I757)&amp;", "&amp;K757&amp;" Parzellen)",IF(J757&lt;=K757,"   Parzelle "&amp;J757,IF(J757=K757+1,"   Vorstand",IF(J757=K757+2,"   Gäste",IF(J757=K757+3,"   Technik (Switches, Access Points)",""))))))</f>
        <v/>
      </c>
      <c r="B757" s="0" t="str">
        <f aca="false">IF(I757="","",IF(AND(J757&gt;=1,J757&lt;=K757+3),IF(J757&lt;=K757,IF(J757&lt;=99,IF((INDEX(Eingabe!$G$9:$G$18,I757))&lt;=9,1000+(INDEX(Eingabe!$G$9:$G$18,I757))*100,3000)+J757,IF((INDEX(Eingabe!$G$9:$G$18,I757)+1)&lt;=9,1000+(INDEX(Eingabe!$G$9:$G$18,I757)+1)*100,3000)+J757-100),IF(J757=K757+1,2000+INDEX(Eingabe!$G$9:$G$18,I757)*10+1,IF(J757=K757+2,2000+INDEX(Eingabe!$G$9:$G$18,I757)*10+2,2000+INDEX(Eingabe!$G$9:$G$18,I757)*10+9))),""))</f>
        <v/>
      </c>
      <c r="C757" s="0" t="str">
        <f aca="false">IF(I757="","",IF(AND(J757&gt;=1,J757&lt;=K757+3),"10."&amp;INDEX(Eingabe!$D$9:$D$18,I757)&amp;"."&amp;IF(J757&lt;=K757,J757,IF(J757=K757+1,200,IF(J757=K757+2,201,250)))&amp;".0/24",""))</f>
        <v/>
      </c>
      <c r="D757" s="0" t="str">
        <f aca="false">IF(I757="","",IF(AND(J757&gt;=1,J757&lt;=K757+3),"255.255.255.0",""))</f>
        <v/>
      </c>
      <c r="E757" s="0" t="str">
        <f aca="false">IF(I757="","",IF(AND(J757&gt;=1,J757&lt;=K757+3),"10."&amp;INDEX(Eingabe!$D$9:$D$18,I757)&amp;"."&amp;IF(J757&lt;=K757,J757,IF(J757=K757+1,200,IF(J757=K757+2,201,250)))&amp;".1",""))</f>
        <v/>
      </c>
      <c r="F757" s="0" t="str">
        <f aca="false">IF(I757="","",IF(AND(J757&gt;=1,J757&lt;=K757+3),"10."&amp;INDEX(Eingabe!$D$9:$D$18,I757)&amp;"."&amp;IF(J757&lt;=K757,J757,IF(J757=K757+1,200,IF(J757=K757+2,201,250)))&amp;".10 – 10."&amp;INDEX(Eingabe!$D$9:$D$18,I757)&amp;"."&amp;IF(J757&lt;=K757,J757,IF(J757=K757+1,200,IF(J757=K757+2,201,250)))&amp;".250",""))</f>
        <v/>
      </c>
      <c r="G757" s="0" t="str">
        <f aca="false">IF(I757="","",IF(AND(J757&gt;=1,J757&lt;=K757),Eingabe!$B$6&amp;"-"&amp;INDEX(Eingabe!$C$9:$C$18,I757)&amp;"-Pächter  ·  Passwort Parzelle "&amp;J757,IF(J757=K757+1,Eingabe!$B$6&amp;"-"&amp;INDEX(Eingabe!$C$9:$C$18,I757)&amp;"-Vorstand  ·  eigenes WLAN",IF(J757=K757+2,Eingabe!$B$6&amp;"-"&amp;INDEX(Eingabe!$C$9:$C$18,I757)&amp;"-Gäste  ·  Voucher",IF(J757=K757+3,"Kabel  ·  Access Point y = .(50+y), Mast-Switch x = .(10+x)","")))))</f>
        <v/>
      </c>
      <c r="I757" s="0" t="str">
        <f aca="false">IF(752&lt;=(Eingabe!$P$18+Eingabe!$Q$18-1),MATCH(752,Eingabe!$P$9:$P$18,1),"")</f>
        <v/>
      </c>
      <c r="J757" s="0" t="str">
        <f aca="false">IF(I757="","",752-INDEX(Eingabe!$P$9:$P$18,I757))</f>
        <v/>
      </c>
      <c r="K757" s="0" t="str">
        <f aca="false">IF(I757="","",INDEX(Eingabe!$E$9:$E$18,I757))</f>
        <v/>
      </c>
    </row>
    <row r="758" customFormat="false" ht="15" hidden="false" customHeight="false" outlineLevel="0" collapsed="false">
      <c r="A758" s="0" t="str">
        <f aca="false">IF(I758="","",IF(J758=0,"Sparte "&amp;I758&amp;": "&amp;INDEX(Eingabe!$B$9:$B$18,I758)&amp;"  (Sparten-ID "&amp;INDEX(Eingabe!$D$9:$D$18,I758)&amp;", "&amp;K758&amp;" Parzellen)",IF(J758&lt;=K758,"   Parzelle "&amp;J758,IF(J758=K758+1,"   Vorstand",IF(J758=K758+2,"   Gäste",IF(J758=K758+3,"   Technik (Switches, Access Points)",""))))))</f>
        <v/>
      </c>
      <c r="B758" s="0" t="str">
        <f aca="false">IF(I758="","",IF(AND(J758&gt;=1,J758&lt;=K758+3),IF(J758&lt;=K758,IF(J758&lt;=99,IF((INDEX(Eingabe!$G$9:$G$18,I758))&lt;=9,1000+(INDEX(Eingabe!$G$9:$G$18,I758))*100,3000)+J758,IF((INDEX(Eingabe!$G$9:$G$18,I758)+1)&lt;=9,1000+(INDEX(Eingabe!$G$9:$G$18,I758)+1)*100,3000)+J758-100),IF(J758=K758+1,2000+INDEX(Eingabe!$G$9:$G$18,I758)*10+1,IF(J758=K758+2,2000+INDEX(Eingabe!$G$9:$G$18,I758)*10+2,2000+INDEX(Eingabe!$G$9:$G$18,I758)*10+9))),""))</f>
        <v/>
      </c>
      <c r="C758" s="0" t="str">
        <f aca="false">IF(I758="","",IF(AND(J758&gt;=1,J758&lt;=K758+3),"10."&amp;INDEX(Eingabe!$D$9:$D$18,I758)&amp;"."&amp;IF(J758&lt;=K758,J758,IF(J758=K758+1,200,IF(J758=K758+2,201,250)))&amp;".0/24",""))</f>
        <v/>
      </c>
      <c r="D758" s="0" t="str">
        <f aca="false">IF(I758="","",IF(AND(J758&gt;=1,J758&lt;=K758+3),"255.255.255.0",""))</f>
        <v/>
      </c>
      <c r="E758" s="0" t="str">
        <f aca="false">IF(I758="","",IF(AND(J758&gt;=1,J758&lt;=K758+3),"10."&amp;INDEX(Eingabe!$D$9:$D$18,I758)&amp;"."&amp;IF(J758&lt;=K758,J758,IF(J758=K758+1,200,IF(J758=K758+2,201,250)))&amp;".1",""))</f>
        <v/>
      </c>
      <c r="F758" s="0" t="str">
        <f aca="false">IF(I758="","",IF(AND(J758&gt;=1,J758&lt;=K758+3),"10."&amp;INDEX(Eingabe!$D$9:$D$18,I758)&amp;"."&amp;IF(J758&lt;=K758,J758,IF(J758=K758+1,200,IF(J758=K758+2,201,250)))&amp;".10 – 10."&amp;INDEX(Eingabe!$D$9:$D$18,I758)&amp;"."&amp;IF(J758&lt;=K758,J758,IF(J758=K758+1,200,IF(J758=K758+2,201,250)))&amp;".250",""))</f>
        <v/>
      </c>
      <c r="G758" s="0" t="str">
        <f aca="false">IF(I758="","",IF(AND(J758&gt;=1,J758&lt;=K758),Eingabe!$B$6&amp;"-"&amp;INDEX(Eingabe!$C$9:$C$18,I758)&amp;"-Pächter  ·  Passwort Parzelle "&amp;J758,IF(J758=K758+1,Eingabe!$B$6&amp;"-"&amp;INDEX(Eingabe!$C$9:$C$18,I758)&amp;"-Vorstand  ·  eigenes WLAN",IF(J758=K758+2,Eingabe!$B$6&amp;"-"&amp;INDEX(Eingabe!$C$9:$C$18,I758)&amp;"-Gäste  ·  Voucher",IF(J758=K758+3,"Kabel  ·  Access Point y = .(50+y), Mast-Switch x = .(10+x)","")))))</f>
        <v/>
      </c>
      <c r="I758" s="0" t="str">
        <f aca="false">IF(753&lt;=(Eingabe!$P$18+Eingabe!$Q$18-1),MATCH(753,Eingabe!$P$9:$P$18,1),"")</f>
        <v/>
      </c>
      <c r="J758" s="0" t="str">
        <f aca="false">IF(I758="","",753-INDEX(Eingabe!$P$9:$P$18,I758))</f>
        <v/>
      </c>
      <c r="K758" s="0" t="str">
        <f aca="false">IF(I758="","",INDEX(Eingabe!$E$9:$E$18,I758))</f>
        <v/>
      </c>
    </row>
    <row r="759" customFormat="false" ht="15" hidden="false" customHeight="false" outlineLevel="0" collapsed="false">
      <c r="A759" s="0" t="str">
        <f aca="false">IF(I759="","",IF(J759=0,"Sparte "&amp;I759&amp;": "&amp;INDEX(Eingabe!$B$9:$B$18,I759)&amp;"  (Sparten-ID "&amp;INDEX(Eingabe!$D$9:$D$18,I759)&amp;", "&amp;K759&amp;" Parzellen)",IF(J759&lt;=K759,"   Parzelle "&amp;J759,IF(J759=K759+1,"   Vorstand",IF(J759=K759+2,"   Gäste",IF(J759=K759+3,"   Technik (Switches, Access Points)",""))))))</f>
        <v/>
      </c>
      <c r="B759" s="0" t="str">
        <f aca="false">IF(I759="","",IF(AND(J759&gt;=1,J759&lt;=K759+3),IF(J759&lt;=K759,IF(J759&lt;=99,IF((INDEX(Eingabe!$G$9:$G$18,I759))&lt;=9,1000+(INDEX(Eingabe!$G$9:$G$18,I759))*100,3000)+J759,IF((INDEX(Eingabe!$G$9:$G$18,I759)+1)&lt;=9,1000+(INDEX(Eingabe!$G$9:$G$18,I759)+1)*100,3000)+J759-100),IF(J759=K759+1,2000+INDEX(Eingabe!$G$9:$G$18,I759)*10+1,IF(J759=K759+2,2000+INDEX(Eingabe!$G$9:$G$18,I759)*10+2,2000+INDEX(Eingabe!$G$9:$G$18,I759)*10+9))),""))</f>
        <v/>
      </c>
      <c r="C759" s="0" t="str">
        <f aca="false">IF(I759="","",IF(AND(J759&gt;=1,J759&lt;=K759+3),"10."&amp;INDEX(Eingabe!$D$9:$D$18,I759)&amp;"."&amp;IF(J759&lt;=K759,J759,IF(J759=K759+1,200,IF(J759=K759+2,201,250)))&amp;".0/24",""))</f>
        <v/>
      </c>
      <c r="D759" s="0" t="str">
        <f aca="false">IF(I759="","",IF(AND(J759&gt;=1,J759&lt;=K759+3),"255.255.255.0",""))</f>
        <v/>
      </c>
      <c r="E759" s="0" t="str">
        <f aca="false">IF(I759="","",IF(AND(J759&gt;=1,J759&lt;=K759+3),"10."&amp;INDEX(Eingabe!$D$9:$D$18,I759)&amp;"."&amp;IF(J759&lt;=K759,J759,IF(J759=K759+1,200,IF(J759=K759+2,201,250)))&amp;".1",""))</f>
        <v/>
      </c>
      <c r="F759" s="0" t="str">
        <f aca="false">IF(I759="","",IF(AND(J759&gt;=1,J759&lt;=K759+3),"10."&amp;INDEX(Eingabe!$D$9:$D$18,I759)&amp;"."&amp;IF(J759&lt;=K759,J759,IF(J759=K759+1,200,IF(J759=K759+2,201,250)))&amp;".10 – 10."&amp;INDEX(Eingabe!$D$9:$D$18,I759)&amp;"."&amp;IF(J759&lt;=K759,J759,IF(J759=K759+1,200,IF(J759=K759+2,201,250)))&amp;".250",""))</f>
        <v/>
      </c>
      <c r="G759" s="0" t="str">
        <f aca="false">IF(I759="","",IF(AND(J759&gt;=1,J759&lt;=K759),Eingabe!$B$6&amp;"-"&amp;INDEX(Eingabe!$C$9:$C$18,I759)&amp;"-Pächter  ·  Passwort Parzelle "&amp;J759,IF(J759=K759+1,Eingabe!$B$6&amp;"-"&amp;INDEX(Eingabe!$C$9:$C$18,I759)&amp;"-Vorstand  ·  eigenes WLAN",IF(J759=K759+2,Eingabe!$B$6&amp;"-"&amp;INDEX(Eingabe!$C$9:$C$18,I759)&amp;"-Gäste  ·  Voucher",IF(J759=K759+3,"Kabel  ·  Access Point y = .(50+y), Mast-Switch x = .(10+x)","")))))</f>
        <v/>
      </c>
      <c r="I759" s="0" t="str">
        <f aca="false">IF(754&lt;=(Eingabe!$P$18+Eingabe!$Q$18-1),MATCH(754,Eingabe!$P$9:$P$18,1),"")</f>
        <v/>
      </c>
      <c r="J759" s="0" t="str">
        <f aca="false">IF(I759="","",754-INDEX(Eingabe!$P$9:$P$18,I759))</f>
        <v/>
      </c>
      <c r="K759" s="0" t="str">
        <f aca="false">IF(I759="","",INDEX(Eingabe!$E$9:$E$18,I759))</f>
        <v/>
      </c>
    </row>
    <row r="760" customFormat="false" ht="15" hidden="false" customHeight="false" outlineLevel="0" collapsed="false">
      <c r="A760" s="0" t="str">
        <f aca="false">IF(I760="","",IF(J760=0,"Sparte "&amp;I760&amp;": "&amp;INDEX(Eingabe!$B$9:$B$18,I760)&amp;"  (Sparten-ID "&amp;INDEX(Eingabe!$D$9:$D$18,I760)&amp;", "&amp;K760&amp;" Parzellen)",IF(J760&lt;=K760,"   Parzelle "&amp;J760,IF(J760=K760+1,"   Vorstand",IF(J760=K760+2,"   Gäste",IF(J760=K760+3,"   Technik (Switches, Access Points)",""))))))</f>
        <v/>
      </c>
      <c r="B760" s="0" t="str">
        <f aca="false">IF(I760="","",IF(AND(J760&gt;=1,J760&lt;=K760+3),IF(J760&lt;=K760,IF(J760&lt;=99,IF((INDEX(Eingabe!$G$9:$G$18,I760))&lt;=9,1000+(INDEX(Eingabe!$G$9:$G$18,I760))*100,3000)+J760,IF((INDEX(Eingabe!$G$9:$G$18,I760)+1)&lt;=9,1000+(INDEX(Eingabe!$G$9:$G$18,I760)+1)*100,3000)+J760-100),IF(J760=K760+1,2000+INDEX(Eingabe!$G$9:$G$18,I760)*10+1,IF(J760=K760+2,2000+INDEX(Eingabe!$G$9:$G$18,I760)*10+2,2000+INDEX(Eingabe!$G$9:$G$18,I760)*10+9))),""))</f>
        <v/>
      </c>
      <c r="C760" s="0" t="str">
        <f aca="false">IF(I760="","",IF(AND(J760&gt;=1,J760&lt;=K760+3),"10."&amp;INDEX(Eingabe!$D$9:$D$18,I760)&amp;"."&amp;IF(J760&lt;=K760,J760,IF(J760=K760+1,200,IF(J760=K760+2,201,250)))&amp;".0/24",""))</f>
        <v/>
      </c>
      <c r="D760" s="0" t="str">
        <f aca="false">IF(I760="","",IF(AND(J760&gt;=1,J760&lt;=K760+3),"255.255.255.0",""))</f>
        <v/>
      </c>
      <c r="E760" s="0" t="str">
        <f aca="false">IF(I760="","",IF(AND(J760&gt;=1,J760&lt;=K760+3),"10."&amp;INDEX(Eingabe!$D$9:$D$18,I760)&amp;"."&amp;IF(J760&lt;=K760,J760,IF(J760=K760+1,200,IF(J760=K760+2,201,250)))&amp;".1",""))</f>
        <v/>
      </c>
      <c r="F760" s="0" t="str">
        <f aca="false">IF(I760="","",IF(AND(J760&gt;=1,J760&lt;=K760+3),"10."&amp;INDEX(Eingabe!$D$9:$D$18,I760)&amp;"."&amp;IF(J760&lt;=K760,J760,IF(J760=K760+1,200,IF(J760=K760+2,201,250)))&amp;".10 – 10."&amp;INDEX(Eingabe!$D$9:$D$18,I760)&amp;"."&amp;IF(J760&lt;=K760,J760,IF(J760=K760+1,200,IF(J760=K760+2,201,250)))&amp;".250",""))</f>
        <v/>
      </c>
      <c r="G760" s="0" t="str">
        <f aca="false">IF(I760="","",IF(AND(J760&gt;=1,J760&lt;=K760),Eingabe!$B$6&amp;"-"&amp;INDEX(Eingabe!$C$9:$C$18,I760)&amp;"-Pächter  ·  Passwort Parzelle "&amp;J760,IF(J760=K760+1,Eingabe!$B$6&amp;"-"&amp;INDEX(Eingabe!$C$9:$C$18,I760)&amp;"-Vorstand  ·  eigenes WLAN",IF(J760=K760+2,Eingabe!$B$6&amp;"-"&amp;INDEX(Eingabe!$C$9:$C$18,I760)&amp;"-Gäste  ·  Voucher",IF(J760=K760+3,"Kabel  ·  Access Point y = .(50+y), Mast-Switch x = .(10+x)","")))))</f>
        <v/>
      </c>
      <c r="I760" s="0" t="str">
        <f aca="false">IF(755&lt;=(Eingabe!$P$18+Eingabe!$Q$18-1),MATCH(755,Eingabe!$P$9:$P$18,1),"")</f>
        <v/>
      </c>
      <c r="J760" s="0" t="str">
        <f aca="false">IF(I760="","",755-INDEX(Eingabe!$P$9:$P$18,I760))</f>
        <v/>
      </c>
      <c r="K760" s="0" t="str">
        <f aca="false">IF(I760="","",INDEX(Eingabe!$E$9:$E$18,I760))</f>
        <v/>
      </c>
    </row>
    <row r="761" customFormat="false" ht="15" hidden="false" customHeight="false" outlineLevel="0" collapsed="false">
      <c r="A761" s="0" t="str">
        <f aca="false">IF(I761="","",IF(J761=0,"Sparte "&amp;I761&amp;": "&amp;INDEX(Eingabe!$B$9:$B$18,I761)&amp;"  (Sparten-ID "&amp;INDEX(Eingabe!$D$9:$D$18,I761)&amp;", "&amp;K761&amp;" Parzellen)",IF(J761&lt;=K761,"   Parzelle "&amp;J761,IF(J761=K761+1,"   Vorstand",IF(J761=K761+2,"   Gäste",IF(J761=K761+3,"   Technik (Switches, Access Points)",""))))))</f>
        <v/>
      </c>
      <c r="B761" s="0" t="str">
        <f aca="false">IF(I761="","",IF(AND(J761&gt;=1,J761&lt;=K761+3),IF(J761&lt;=K761,IF(J761&lt;=99,IF((INDEX(Eingabe!$G$9:$G$18,I761))&lt;=9,1000+(INDEX(Eingabe!$G$9:$G$18,I761))*100,3000)+J761,IF((INDEX(Eingabe!$G$9:$G$18,I761)+1)&lt;=9,1000+(INDEX(Eingabe!$G$9:$G$18,I761)+1)*100,3000)+J761-100),IF(J761=K761+1,2000+INDEX(Eingabe!$G$9:$G$18,I761)*10+1,IF(J761=K761+2,2000+INDEX(Eingabe!$G$9:$G$18,I761)*10+2,2000+INDEX(Eingabe!$G$9:$G$18,I761)*10+9))),""))</f>
        <v/>
      </c>
      <c r="C761" s="0" t="str">
        <f aca="false">IF(I761="","",IF(AND(J761&gt;=1,J761&lt;=K761+3),"10."&amp;INDEX(Eingabe!$D$9:$D$18,I761)&amp;"."&amp;IF(J761&lt;=K761,J761,IF(J761=K761+1,200,IF(J761=K761+2,201,250)))&amp;".0/24",""))</f>
        <v/>
      </c>
      <c r="D761" s="0" t="str">
        <f aca="false">IF(I761="","",IF(AND(J761&gt;=1,J761&lt;=K761+3),"255.255.255.0",""))</f>
        <v/>
      </c>
      <c r="E761" s="0" t="str">
        <f aca="false">IF(I761="","",IF(AND(J761&gt;=1,J761&lt;=K761+3),"10."&amp;INDEX(Eingabe!$D$9:$D$18,I761)&amp;"."&amp;IF(J761&lt;=K761,J761,IF(J761=K761+1,200,IF(J761=K761+2,201,250)))&amp;".1",""))</f>
        <v/>
      </c>
      <c r="F761" s="0" t="str">
        <f aca="false">IF(I761="","",IF(AND(J761&gt;=1,J761&lt;=K761+3),"10."&amp;INDEX(Eingabe!$D$9:$D$18,I761)&amp;"."&amp;IF(J761&lt;=K761,J761,IF(J761=K761+1,200,IF(J761=K761+2,201,250)))&amp;".10 – 10."&amp;INDEX(Eingabe!$D$9:$D$18,I761)&amp;"."&amp;IF(J761&lt;=K761,J761,IF(J761=K761+1,200,IF(J761=K761+2,201,250)))&amp;".250",""))</f>
        <v/>
      </c>
      <c r="G761" s="0" t="str">
        <f aca="false">IF(I761="","",IF(AND(J761&gt;=1,J761&lt;=K761),Eingabe!$B$6&amp;"-"&amp;INDEX(Eingabe!$C$9:$C$18,I761)&amp;"-Pächter  ·  Passwort Parzelle "&amp;J761,IF(J761=K761+1,Eingabe!$B$6&amp;"-"&amp;INDEX(Eingabe!$C$9:$C$18,I761)&amp;"-Vorstand  ·  eigenes WLAN",IF(J761=K761+2,Eingabe!$B$6&amp;"-"&amp;INDEX(Eingabe!$C$9:$C$18,I761)&amp;"-Gäste  ·  Voucher",IF(J761=K761+3,"Kabel  ·  Access Point y = .(50+y), Mast-Switch x = .(10+x)","")))))</f>
        <v/>
      </c>
      <c r="I761" s="0" t="str">
        <f aca="false">IF(756&lt;=(Eingabe!$P$18+Eingabe!$Q$18-1),MATCH(756,Eingabe!$P$9:$P$18,1),"")</f>
        <v/>
      </c>
      <c r="J761" s="0" t="str">
        <f aca="false">IF(I761="","",756-INDEX(Eingabe!$P$9:$P$18,I761))</f>
        <v/>
      </c>
      <c r="K761" s="0" t="str">
        <f aca="false">IF(I761="","",INDEX(Eingabe!$E$9:$E$18,I761))</f>
        <v/>
      </c>
    </row>
    <row r="762" customFormat="false" ht="15" hidden="false" customHeight="false" outlineLevel="0" collapsed="false">
      <c r="A762" s="0" t="str">
        <f aca="false">IF(I762="","",IF(J762=0,"Sparte "&amp;I762&amp;": "&amp;INDEX(Eingabe!$B$9:$B$18,I762)&amp;"  (Sparten-ID "&amp;INDEX(Eingabe!$D$9:$D$18,I762)&amp;", "&amp;K762&amp;" Parzellen)",IF(J762&lt;=K762,"   Parzelle "&amp;J762,IF(J762=K762+1,"   Vorstand",IF(J762=K762+2,"   Gäste",IF(J762=K762+3,"   Technik (Switches, Access Points)",""))))))</f>
        <v/>
      </c>
      <c r="B762" s="0" t="str">
        <f aca="false">IF(I762="","",IF(AND(J762&gt;=1,J762&lt;=K762+3),IF(J762&lt;=K762,IF(J762&lt;=99,IF((INDEX(Eingabe!$G$9:$G$18,I762))&lt;=9,1000+(INDEX(Eingabe!$G$9:$G$18,I762))*100,3000)+J762,IF((INDEX(Eingabe!$G$9:$G$18,I762)+1)&lt;=9,1000+(INDEX(Eingabe!$G$9:$G$18,I762)+1)*100,3000)+J762-100),IF(J762=K762+1,2000+INDEX(Eingabe!$G$9:$G$18,I762)*10+1,IF(J762=K762+2,2000+INDEX(Eingabe!$G$9:$G$18,I762)*10+2,2000+INDEX(Eingabe!$G$9:$G$18,I762)*10+9))),""))</f>
        <v/>
      </c>
      <c r="C762" s="0" t="str">
        <f aca="false">IF(I762="","",IF(AND(J762&gt;=1,J762&lt;=K762+3),"10."&amp;INDEX(Eingabe!$D$9:$D$18,I762)&amp;"."&amp;IF(J762&lt;=K762,J762,IF(J762=K762+1,200,IF(J762=K762+2,201,250)))&amp;".0/24",""))</f>
        <v/>
      </c>
      <c r="D762" s="0" t="str">
        <f aca="false">IF(I762="","",IF(AND(J762&gt;=1,J762&lt;=K762+3),"255.255.255.0",""))</f>
        <v/>
      </c>
      <c r="E762" s="0" t="str">
        <f aca="false">IF(I762="","",IF(AND(J762&gt;=1,J762&lt;=K762+3),"10."&amp;INDEX(Eingabe!$D$9:$D$18,I762)&amp;"."&amp;IF(J762&lt;=K762,J762,IF(J762=K762+1,200,IF(J762=K762+2,201,250)))&amp;".1",""))</f>
        <v/>
      </c>
      <c r="F762" s="0" t="str">
        <f aca="false">IF(I762="","",IF(AND(J762&gt;=1,J762&lt;=K762+3),"10."&amp;INDEX(Eingabe!$D$9:$D$18,I762)&amp;"."&amp;IF(J762&lt;=K762,J762,IF(J762=K762+1,200,IF(J762=K762+2,201,250)))&amp;".10 – 10."&amp;INDEX(Eingabe!$D$9:$D$18,I762)&amp;"."&amp;IF(J762&lt;=K762,J762,IF(J762=K762+1,200,IF(J762=K762+2,201,250)))&amp;".250",""))</f>
        <v/>
      </c>
      <c r="G762" s="0" t="str">
        <f aca="false">IF(I762="","",IF(AND(J762&gt;=1,J762&lt;=K762),Eingabe!$B$6&amp;"-"&amp;INDEX(Eingabe!$C$9:$C$18,I762)&amp;"-Pächter  ·  Passwort Parzelle "&amp;J762,IF(J762=K762+1,Eingabe!$B$6&amp;"-"&amp;INDEX(Eingabe!$C$9:$C$18,I762)&amp;"-Vorstand  ·  eigenes WLAN",IF(J762=K762+2,Eingabe!$B$6&amp;"-"&amp;INDEX(Eingabe!$C$9:$C$18,I762)&amp;"-Gäste  ·  Voucher",IF(J762=K762+3,"Kabel  ·  Access Point y = .(50+y), Mast-Switch x = .(10+x)","")))))</f>
        <v/>
      </c>
      <c r="I762" s="0" t="str">
        <f aca="false">IF(757&lt;=(Eingabe!$P$18+Eingabe!$Q$18-1),MATCH(757,Eingabe!$P$9:$P$18,1),"")</f>
        <v/>
      </c>
      <c r="J762" s="0" t="str">
        <f aca="false">IF(I762="","",757-INDEX(Eingabe!$P$9:$P$18,I762))</f>
        <v/>
      </c>
      <c r="K762" s="0" t="str">
        <f aca="false">IF(I762="","",INDEX(Eingabe!$E$9:$E$18,I762))</f>
        <v/>
      </c>
    </row>
    <row r="763" customFormat="false" ht="15" hidden="false" customHeight="false" outlineLevel="0" collapsed="false">
      <c r="A763" s="0" t="str">
        <f aca="false">IF(I763="","",IF(J763=0,"Sparte "&amp;I763&amp;": "&amp;INDEX(Eingabe!$B$9:$B$18,I763)&amp;"  (Sparten-ID "&amp;INDEX(Eingabe!$D$9:$D$18,I763)&amp;", "&amp;K763&amp;" Parzellen)",IF(J763&lt;=K763,"   Parzelle "&amp;J763,IF(J763=K763+1,"   Vorstand",IF(J763=K763+2,"   Gäste",IF(J763=K763+3,"   Technik (Switches, Access Points)",""))))))</f>
        <v/>
      </c>
      <c r="B763" s="0" t="str">
        <f aca="false">IF(I763="","",IF(AND(J763&gt;=1,J763&lt;=K763+3),IF(J763&lt;=K763,IF(J763&lt;=99,IF((INDEX(Eingabe!$G$9:$G$18,I763))&lt;=9,1000+(INDEX(Eingabe!$G$9:$G$18,I763))*100,3000)+J763,IF((INDEX(Eingabe!$G$9:$G$18,I763)+1)&lt;=9,1000+(INDEX(Eingabe!$G$9:$G$18,I763)+1)*100,3000)+J763-100),IF(J763=K763+1,2000+INDEX(Eingabe!$G$9:$G$18,I763)*10+1,IF(J763=K763+2,2000+INDEX(Eingabe!$G$9:$G$18,I763)*10+2,2000+INDEX(Eingabe!$G$9:$G$18,I763)*10+9))),""))</f>
        <v/>
      </c>
      <c r="C763" s="0" t="str">
        <f aca="false">IF(I763="","",IF(AND(J763&gt;=1,J763&lt;=K763+3),"10."&amp;INDEX(Eingabe!$D$9:$D$18,I763)&amp;"."&amp;IF(J763&lt;=K763,J763,IF(J763=K763+1,200,IF(J763=K763+2,201,250)))&amp;".0/24",""))</f>
        <v/>
      </c>
      <c r="D763" s="0" t="str">
        <f aca="false">IF(I763="","",IF(AND(J763&gt;=1,J763&lt;=K763+3),"255.255.255.0",""))</f>
        <v/>
      </c>
      <c r="E763" s="0" t="str">
        <f aca="false">IF(I763="","",IF(AND(J763&gt;=1,J763&lt;=K763+3),"10."&amp;INDEX(Eingabe!$D$9:$D$18,I763)&amp;"."&amp;IF(J763&lt;=K763,J763,IF(J763=K763+1,200,IF(J763=K763+2,201,250)))&amp;".1",""))</f>
        <v/>
      </c>
      <c r="F763" s="0" t="str">
        <f aca="false">IF(I763="","",IF(AND(J763&gt;=1,J763&lt;=K763+3),"10."&amp;INDEX(Eingabe!$D$9:$D$18,I763)&amp;"."&amp;IF(J763&lt;=K763,J763,IF(J763=K763+1,200,IF(J763=K763+2,201,250)))&amp;".10 – 10."&amp;INDEX(Eingabe!$D$9:$D$18,I763)&amp;"."&amp;IF(J763&lt;=K763,J763,IF(J763=K763+1,200,IF(J763=K763+2,201,250)))&amp;".250",""))</f>
        <v/>
      </c>
      <c r="G763" s="0" t="str">
        <f aca="false">IF(I763="","",IF(AND(J763&gt;=1,J763&lt;=K763),Eingabe!$B$6&amp;"-"&amp;INDEX(Eingabe!$C$9:$C$18,I763)&amp;"-Pächter  ·  Passwort Parzelle "&amp;J763,IF(J763=K763+1,Eingabe!$B$6&amp;"-"&amp;INDEX(Eingabe!$C$9:$C$18,I763)&amp;"-Vorstand  ·  eigenes WLAN",IF(J763=K763+2,Eingabe!$B$6&amp;"-"&amp;INDEX(Eingabe!$C$9:$C$18,I763)&amp;"-Gäste  ·  Voucher",IF(J763=K763+3,"Kabel  ·  Access Point y = .(50+y), Mast-Switch x = .(10+x)","")))))</f>
        <v/>
      </c>
      <c r="I763" s="0" t="str">
        <f aca="false">IF(758&lt;=(Eingabe!$P$18+Eingabe!$Q$18-1),MATCH(758,Eingabe!$P$9:$P$18,1),"")</f>
        <v/>
      </c>
      <c r="J763" s="0" t="str">
        <f aca="false">IF(I763="","",758-INDEX(Eingabe!$P$9:$P$18,I763))</f>
        <v/>
      </c>
      <c r="K763" s="0" t="str">
        <f aca="false">IF(I763="","",INDEX(Eingabe!$E$9:$E$18,I763))</f>
        <v/>
      </c>
    </row>
    <row r="764" customFormat="false" ht="15" hidden="false" customHeight="false" outlineLevel="0" collapsed="false">
      <c r="A764" s="0" t="str">
        <f aca="false">IF(I764="","",IF(J764=0,"Sparte "&amp;I764&amp;": "&amp;INDEX(Eingabe!$B$9:$B$18,I764)&amp;"  (Sparten-ID "&amp;INDEX(Eingabe!$D$9:$D$18,I764)&amp;", "&amp;K764&amp;" Parzellen)",IF(J764&lt;=K764,"   Parzelle "&amp;J764,IF(J764=K764+1,"   Vorstand",IF(J764=K764+2,"   Gäste",IF(J764=K764+3,"   Technik (Switches, Access Points)",""))))))</f>
        <v/>
      </c>
      <c r="B764" s="0" t="str">
        <f aca="false">IF(I764="","",IF(AND(J764&gt;=1,J764&lt;=K764+3),IF(J764&lt;=K764,IF(J764&lt;=99,IF((INDEX(Eingabe!$G$9:$G$18,I764))&lt;=9,1000+(INDEX(Eingabe!$G$9:$G$18,I764))*100,3000)+J764,IF((INDEX(Eingabe!$G$9:$G$18,I764)+1)&lt;=9,1000+(INDEX(Eingabe!$G$9:$G$18,I764)+1)*100,3000)+J764-100),IF(J764=K764+1,2000+INDEX(Eingabe!$G$9:$G$18,I764)*10+1,IF(J764=K764+2,2000+INDEX(Eingabe!$G$9:$G$18,I764)*10+2,2000+INDEX(Eingabe!$G$9:$G$18,I764)*10+9))),""))</f>
        <v/>
      </c>
      <c r="C764" s="0" t="str">
        <f aca="false">IF(I764="","",IF(AND(J764&gt;=1,J764&lt;=K764+3),"10."&amp;INDEX(Eingabe!$D$9:$D$18,I764)&amp;"."&amp;IF(J764&lt;=K764,J764,IF(J764=K764+1,200,IF(J764=K764+2,201,250)))&amp;".0/24",""))</f>
        <v/>
      </c>
      <c r="D764" s="0" t="str">
        <f aca="false">IF(I764="","",IF(AND(J764&gt;=1,J764&lt;=K764+3),"255.255.255.0",""))</f>
        <v/>
      </c>
      <c r="E764" s="0" t="str">
        <f aca="false">IF(I764="","",IF(AND(J764&gt;=1,J764&lt;=K764+3),"10."&amp;INDEX(Eingabe!$D$9:$D$18,I764)&amp;"."&amp;IF(J764&lt;=K764,J764,IF(J764=K764+1,200,IF(J764=K764+2,201,250)))&amp;".1",""))</f>
        <v/>
      </c>
      <c r="F764" s="0" t="str">
        <f aca="false">IF(I764="","",IF(AND(J764&gt;=1,J764&lt;=K764+3),"10."&amp;INDEX(Eingabe!$D$9:$D$18,I764)&amp;"."&amp;IF(J764&lt;=K764,J764,IF(J764=K764+1,200,IF(J764=K764+2,201,250)))&amp;".10 – 10."&amp;INDEX(Eingabe!$D$9:$D$18,I764)&amp;"."&amp;IF(J764&lt;=K764,J764,IF(J764=K764+1,200,IF(J764=K764+2,201,250)))&amp;".250",""))</f>
        <v/>
      </c>
      <c r="G764" s="0" t="str">
        <f aca="false">IF(I764="","",IF(AND(J764&gt;=1,J764&lt;=K764),Eingabe!$B$6&amp;"-"&amp;INDEX(Eingabe!$C$9:$C$18,I764)&amp;"-Pächter  ·  Passwort Parzelle "&amp;J764,IF(J764=K764+1,Eingabe!$B$6&amp;"-"&amp;INDEX(Eingabe!$C$9:$C$18,I764)&amp;"-Vorstand  ·  eigenes WLAN",IF(J764=K764+2,Eingabe!$B$6&amp;"-"&amp;INDEX(Eingabe!$C$9:$C$18,I764)&amp;"-Gäste  ·  Voucher",IF(J764=K764+3,"Kabel  ·  Access Point y = .(50+y), Mast-Switch x = .(10+x)","")))))</f>
        <v/>
      </c>
      <c r="I764" s="0" t="str">
        <f aca="false">IF(759&lt;=(Eingabe!$P$18+Eingabe!$Q$18-1),MATCH(759,Eingabe!$P$9:$P$18,1),"")</f>
        <v/>
      </c>
      <c r="J764" s="0" t="str">
        <f aca="false">IF(I764="","",759-INDEX(Eingabe!$P$9:$P$18,I764))</f>
        <v/>
      </c>
      <c r="K764" s="0" t="str">
        <f aca="false">IF(I764="","",INDEX(Eingabe!$E$9:$E$18,I764))</f>
        <v/>
      </c>
    </row>
    <row r="765" customFormat="false" ht="15" hidden="false" customHeight="false" outlineLevel="0" collapsed="false">
      <c r="A765" s="0" t="str">
        <f aca="false">IF(I765="","",IF(J765=0,"Sparte "&amp;I765&amp;": "&amp;INDEX(Eingabe!$B$9:$B$18,I765)&amp;"  (Sparten-ID "&amp;INDEX(Eingabe!$D$9:$D$18,I765)&amp;", "&amp;K765&amp;" Parzellen)",IF(J765&lt;=K765,"   Parzelle "&amp;J765,IF(J765=K765+1,"   Vorstand",IF(J765=K765+2,"   Gäste",IF(J765=K765+3,"   Technik (Switches, Access Points)",""))))))</f>
        <v/>
      </c>
      <c r="B765" s="0" t="str">
        <f aca="false">IF(I765="","",IF(AND(J765&gt;=1,J765&lt;=K765+3),IF(J765&lt;=K765,IF(J765&lt;=99,IF((INDEX(Eingabe!$G$9:$G$18,I765))&lt;=9,1000+(INDEX(Eingabe!$G$9:$G$18,I765))*100,3000)+J765,IF((INDEX(Eingabe!$G$9:$G$18,I765)+1)&lt;=9,1000+(INDEX(Eingabe!$G$9:$G$18,I765)+1)*100,3000)+J765-100),IF(J765=K765+1,2000+INDEX(Eingabe!$G$9:$G$18,I765)*10+1,IF(J765=K765+2,2000+INDEX(Eingabe!$G$9:$G$18,I765)*10+2,2000+INDEX(Eingabe!$G$9:$G$18,I765)*10+9))),""))</f>
        <v/>
      </c>
      <c r="C765" s="0" t="str">
        <f aca="false">IF(I765="","",IF(AND(J765&gt;=1,J765&lt;=K765+3),"10."&amp;INDEX(Eingabe!$D$9:$D$18,I765)&amp;"."&amp;IF(J765&lt;=K765,J765,IF(J765=K765+1,200,IF(J765=K765+2,201,250)))&amp;".0/24",""))</f>
        <v/>
      </c>
      <c r="D765" s="0" t="str">
        <f aca="false">IF(I765="","",IF(AND(J765&gt;=1,J765&lt;=K765+3),"255.255.255.0",""))</f>
        <v/>
      </c>
      <c r="E765" s="0" t="str">
        <f aca="false">IF(I765="","",IF(AND(J765&gt;=1,J765&lt;=K765+3),"10."&amp;INDEX(Eingabe!$D$9:$D$18,I765)&amp;"."&amp;IF(J765&lt;=K765,J765,IF(J765=K765+1,200,IF(J765=K765+2,201,250)))&amp;".1",""))</f>
        <v/>
      </c>
      <c r="F765" s="0" t="str">
        <f aca="false">IF(I765="","",IF(AND(J765&gt;=1,J765&lt;=K765+3),"10."&amp;INDEX(Eingabe!$D$9:$D$18,I765)&amp;"."&amp;IF(J765&lt;=K765,J765,IF(J765=K765+1,200,IF(J765=K765+2,201,250)))&amp;".10 – 10."&amp;INDEX(Eingabe!$D$9:$D$18,I765)&amp;"."&amp;IF(J765&lt;=K765,J765,IF(J765=K765+1,200,IF(J765=K765+2,201,250)))&amp;".250",""))</f>
        <v/>
      </c>
      <c r="G765" s="0" t="str">
        <f aca="false">IF(I765="","",IF(AND(J765&gt;=1,J765&lt;=K765),Eingabe!$B$6&amp;"-"&amp;INDEX(Eingabe!$C$9:$C$18,I765)&amp;"-Pächter  ·  Passwort Parzelle "&amp;J765,IF(J765=K765+1,Eingabe!$B$6&amp;"-"&amp;INDEX(Eingabe!$C$9:$C$18,I765)&amp;"-Vorstand  ·  eigenes WLAN",IF(J765=K765+2,Eingabe!$B$6&amp;"-"&amp;INDEX(Eingabe!$C$9:$C$18,I765)&amp;"-Gäste  ·  Voucher",IF(J765=K765+3,"Kabel  ·  Access Point y = .(50+y), Mast-Switch x = .(10+x)","")))))</f>
        <v/>
      </c>
      <c r="I765" s="0" t="str">
        <f aca="false">IF(760&lt;=(Eingabe!$P$18+Eingabe!$Q$18-1),MATCH(760,Eingabe!$P$9:$P$18,1),"")</f>
        <v/>
      </c>
      <c r="J765" s="0" t="str">
        <f aca="false">IF(I765="","",760-INDEX(Eingabe!$P$9:$P$18,I765))</f>
        <v/>
      </c>
      <c r="K765" s="0" t="str">
        <f aca="false">IF(I765="","",INDEX(Eingabe!$E$9:$E$18,I765))</f>
        <v/>
      </c>
    </row>
    <row r="766" customFormat="false" ht="15" hidden="false" customHeight="false" outlineLevel="0" collapsed="false">
      <c r="A766" s="0" t="str">
        <f aca="false">IF(I766="","",IF(J766=0,"Sparte "&amp;I766&amp;": "&amp;INDEX(Eingabe!$B$9:$B$18,I766)&amp;"  (Sparten-ID "&amp;INDEX(Eingabe!$D$9:$D$18,I766)&amp;", "&amp;K766&amp;" Parzellen)",IF(J766&lt;=K766,"   Parzelle "&amp;J766,IF(J766=K766+1,"   Vorstand",IF(J766=K766+2,"   Gäste",IF(J766=K766+3,"   Technik (Switches, Access Points)",""))))))</f>
        <v/>
      </c>
      <c r="B766" s="0" t="str">
        <f aca="false">IF(I766="","",IF(AND(J766&gt;=1,J766&lt;=K766+3),IF(J766&lt;=K766,IF(J766&lt;=99,IF((INDEX(Eingabe!$G$9:$G$18,I766))&lt;=9,1000+(INDEX(Eingabe!$G$9:$G$18,I766))*100,3000)+J766,IF((INDEX(Eingabe!$G$9:$G$18,I766)+1)&lt;=9,1000+(INDEX(Eingabe!$G$9:$G$18,I766)+1)*100,3000)+J766-100),IF(J766=K766+1,2000+INDEX(Eingabe!$G$9:$G$18,I766)*10+1,IF(J766=K766+2,2000+INDEX(Eingabe!$G$9:$G$18,I766)*10+2,2000+INDEX(Eingabe!$G$9:$G$18,I766)*10+9))),""))</f>
        <v/>
      </c>
      <c r="C766" s="0" t="str">
        <f aca="false">IF(I766="","",IF(AND(J766&gt;=1,J766&lt;=K766+3),"10."&amp;INDEX(Eingabe!$D$9:$D$18,I766)&amp;"."&amp;IF(J766&lt;=K766,J766,IF(J766=K766+1,200,IF(J766=K766+2,201,250)))&amp;".0/24",""))</f>
        <v/>
      </c>
      <c r="D766" s="0" t="str">
        <f aca="false">IF(I766="","",IF(AND(J766&gt;=1,J766&lt;=K766+3),"255.255.255.0",""))</f>
        <v/>
      </c>
      <c r="E766" s="0" t="str">
        <f aca="false">IF(I766="","",IF(AND(J766&gt;=1,J766&lt;=K766+3),"10."&amp;INDEX(Eingabe!$D$9:$D$18,I766)&amp;"."&amp;IF(J766&lt;=K766,J766,IF(J766=K766+1,200,IF(J766=K766+2,201,250)))&amp;".1",""))</f>
        <v/>
      </c>
      <c r="F766" s="0" t="str">
        <f aca="false">IF(I766="","",IF(AND(J766&gt;=1,J766&lt;=K766+3),"10."&amp;INDEX(Eingabe!$D$9:$D$18,I766)&amp;"."&amp;IF(J766&lt;=K766,J766,IF(J766=K766+1,200,IF(J766=K766+2,201,250)))&amp;".10 – 10."&amp;INDEX(Eingabe!$D$9:$D$18,I766)&amp;"."&amp;IF(J766&lt;=K766,J766,IF(J766=K766+1,200,IF(J766=K766+2,201,250)))&amp;".250",""))</f>
        <v/>
      </c>
      <c r="G766" s="0" t="str">
        <f aca="false">IF(I766="","",IF(AND(J766&gt;=1,J766&lt;=K766),Eingabe!$B$6&amp;"-"&amp;INDEX(Eingabe!$C$9:$C$18,I766)&amp;"-Pächter  ·  Passwort Parzelle "&amp;J766,IF(J766=K766+1,Eingabe!$B$6&amp;"-"&amp;INDEX(Eingabe!$C$9:$C$18,I766)&amp;"-Vorstand  ·  eigenes WLAN",IF(J766=K766+2,Eingabe!$B$6&amp;"-"&amp;INDEX(Eingabe!$C$9:$C$18,I766)&amp;"-Gäste  ·  Voucher",IF(J766=K766+3,"Kabel  ·  Access Point y = .(50+y), Mast-Switch x = .(10+x)","")))))</f>
        <v/>
      </c>
      <c r="I766" s="0" t="str">
        <f aca="false">IF(761&lt;=(Eingabe!$P$18+Eingabe!$Q$18-1),MATCH(761,Eingabe!$P$9:$P$18,1),"")</f>
        <v/>
      </c>
      <c r="J766" s="0" t="str">
        <f aca="false">IF(I766="","",761-INDEX(Eingabe!$P$9:$P$18,I766))</f>
        <v/>
      </c>
      <c r="K766" s="0" t="str">
        <f aca="false">IF(I766="","",INDEX(Eingabe!$E$9:$E$18,I766))</f>
        <v/>
      </c>
    </row>
    <row r="767" customFormat="false" ht="15" hidden="false" customHeight="false" outlineLevel="0" collapsed="false">
      <c r="A767" s="0" t="str">
        <f aca="false">IF(I767="","",IF(J767=0,"Sparte "&amp;I767&amp;": "&amp;INDEX(Eingabe!$B$9:$B$18,I767)&amp;"  (Sparten-ID "&amp;INDEX(Eingabe!$D$9:$D$18,I767)&amp;", "&amp;K767&amp;" Parzellen)",IF(J767&lt;=K767,"   Parzelle "&amp;J767,IF(J767=K767+1,"   Vorstand",IF(J767=K767+2,"   Gäste",IF(J767=K767+3,"   Technik (Switches, Access Points)",""))))))</f>
        <v/>
      </c>
      <c r="B767" s="0" t="str">
        <f aca="false">IF(I767="","",IF(AND(J767&gt;=1,J767&lt;=K767+3),IF(J767&lt;=K767,IF(J767&lt;=99,IF((INDEX(Eingabe!$G$9:$G$18,I767))&lt;=9,1000+(INDEX(Eingabe!$G$9:$G$18,I767))*100,3000)+J767,IF((INDEX(Eingabe!$G$9:$G$18,I767)+1)&lt;=9,1000+(INDEX(Eingabe!$G$9:$G$18,I767)+1)*100,3000)+J767-100),IF(J767=K767+1,2000+INDEX(Eingabe!$G$9:$G$18,I767)*10+1,IF(J767=K767+2,2000+INDEX(Eingabe!$G$9:$G$18,I767)*10+2,2000+INDEX(Eingabe!$G$9:$G$18,I767)*10+9))),""))</f>
        <v/>
      </c>
      <c r="C767" s="0" t="str">
        <f aca="false">IF(I767="","",IF(AND(J767&gt;=1,J767&lt;=K767+3),"10."&amp;INDEX(Eingabe!$D$9:$D$18,I767)&amp;"."&amp;IF(J767&lt;=K767,J767,IF(J767=K767+1,200,IF(J767=K767+2,201,250)))&amp;".0/24",""))</f>
        <v/>
      </c>
      <c r="D767" s="0" t="str">
        <f aca="false">IF(I767="","",IF(AND(J767&gt;=1,J767&lt;=K767+3),"255.255.255.0",""))</f>
        <v/>
      </c>
      <c r="E767" s="0" t="str">
        <f aca="false">IF(I767="","",IF(AND(J767&gt;=1,J767&lt;=K767+3),"10."&amp;INDEX(Eingabe!$D$9:$D$18,I767)&amp;"."&amp;IF(J767&lt;=K767,J767,IF(J767=K767+1,200,IF(J767=K767+2,201,250)))&amp;".1",""))</f>
        <v/>
      </c>
      <c r="F767" s="0" t="str">
        <f aca="false">IF(I767="","",IF(AND(J767&gt;=1,J767&lt;=K767+3),"10."&amp;INDEX(Eingabe!$D$9:$D$18,I767)&amp;"."&amp;IF(J767&lt;=K767,J767,IF(J767=K767+1,200,IF(J767=K767+2,201,250)))&amp;".10 – 10."&amp;INDEX(Eingabe!$D$9:$D$18,I767)&amp;"."&amp;IF(J767&lt;=K767,J767,IF(J767=K767+1,200,IF(J767=K767+2,201,250)))&amp;".250",""))</f>
        <v/>
      </c>
      <c r="G767" s="0" t="str">
        <f aca="false">IF(I767="","",IF(AND(J767&gt;=1,J767&lt;=K767),Eingabe!$B$6&amp;"-"&amp;INDEX(Eingabe!$C$9:$C$18,I767)&amp;"-Pächter  ·  Passwort Parzelle "&amp;J767,IF(J767=K767+1,Eingabe!$B$6&amp;"-"&amp;INDEX(Eingabe!$C$9:$C$18,I767)&amp;"-Vorstand  ·  eigenes WLAN",IF(J767=K767+2,Eingabe!$B$6&amp;"-"&amp;INDEX(Eingabe!$C$9:$C$18,I767)&amp;"-Gäste  ·  Voucher",IF(J767=K767+3,"Kabel  ·  Access Point y = .(50+y), Mast-Switch x = .(10+x)","")))))</f>
        <v/>
      </c>
      <c r="I767" s="0" t="str">
        <f aca="false">IF(762&lt;=(Eingabe!$P$18+Eingabe!$Q$18-1),MATCH(762,Eingabe!$P$9:$P$18,1),"")</f>
        <v/>
      </c>
      <c r="J767" s="0" t="str">
        <f aca="false">IF(I767="","",762-INDEX(Eingabe!$P$9:$P$18,I767))</f>
        <v/>
      </c>
      <c r="K767" s="0" t="str">
        <f aca="false">IF(I767="","",INDEX(Eingabe!$E$9:$E$18,I767))</f>
        <v/>
      </c>
    </row>
    <row r="768" customFormat="false" ht="15" hidden="false" customHeight="false" outlineLevel="0" collapsed="false">
      <c r="A768" s="0" t="str">
        <f aca="false">IF(I768="","",IF(J768=0,"Sparte "&amp;I768&amp;": "&amp;INDEX(Eingabe!$B$9:$B$18,I768)&amp;"  (Sparten-ID "&amp;INDEX(Eingabe!$D$9:$D$18,I768)&amp;", "&amp;K768&amp;" Parzellen)",IF(J768&lt;=K768,"   Parzelle "&amp;J768,IF(J768=K768+1,"   Vorstand",IF(J768=K768+2,"   Gäste",IF(J768=K768+3,"   Technik (Switches, Access Points)",""))))))</f>
        <v/>
      </c>
      <c r="B768" s="0" t="str">
        <f aca="false">IF(I768="","",IF(AND(J768&gt;=1,J768&lt;=K768+3),IF(J768&lt;=K768,IF(J768&lt;=99,IF((INDEX(Eingabe!$G$9:$G$18,I768))&lt;=9,1000+(INDEX(Eingabe!$G$9:$G$18,I768))*100,3000)+J768,IF((INDEX(Eingabe!$G$9:$G$18,I768)+1)&lt;=9,1000+(INDEX(Eingabe!$G$9:$G$18,I768)+1)*100,3000)+J768-100),IF(J768=K768+1,2000+INDEX(Eingabe!$G$9:$G$18,I768)*10+1,IF(J768=K768+2,2000+INDEX(Eingabe!$G$9:$G$18,I768)*10+2,2000+INDEX(Eingabe!$G$9:$G$18,I768)*10+9))),""))</f>
        <v/>
      </c>
      <c r="C768" s="0" t="str">
        <f aca="false">IF(I768="","",IF(AND(J768&gt;=1,J768&lt;=K768+3),"10."&amp;INDEX(Eingabe!$D$9:$D$18,I768)&amp;"."&amp;IF(J768&lt;=K768,J768,IF(J768=K768+1,200,IF(J768=K768+2,201,250)))&amp;".0/24",""))</f>
        <v/>
      </c>
      <c r="D768" s="0" t="str">
        <f aca="false">IF(I768="","",IF(AND(J768&gt;=1,J768&lt;=K768+3),"255.255.255.0",""))</f>
        <v/>
      </c>
      <c r="E768" s="0" t="str">
        <f aca="false">IF(I768="","",IF(AND(J768&gt;=1,J768&lt;=K768+3),"10."&amp;INDEX(Eingabe!$D$9:$D$18,I768)&amp;"."&amp;IF(J768&lt;=K768,J768,IF(J768=K768+1,200,IF(J768=K768+2,201,250)))&amp;".1",""))</f>
        <v/>
      </c>
      <c r="F768" s="0" t="str">
        <f aca="false">IF(I768="","",IF(AND(J768&gt;=1,J768&lt;=K768+3),"10."&amp;INDEX(Eingabe!$D$9:$D$18,I768)&amp;"."&amp;IF(J768&lt;=K768,J768,IF(J768=K768+1,200,IF(J768=K768+2,201,250)))&amp;".10 – 10."&amp;INDEX(Eingabe!$D$9:$D$18,I768)&amp;"."&amp;IF(J768&lt;=K768,J768,IF(J768=K768+1,200,IF(J768=K768+2,201,250)))&amp;".250",""))</f>
        <v/>
      </c>
      <c r="G768" s="0" t="str">
        <f aca="false">IF(I768="","",IF(AND(J768&gt;=1,J768&lt;=K768),Eingabe!$B$6&amp;"-"&amp;INDEX(Eingabe!$C$9:$C$18,I768)&amp;"-Pächter  ·  Passwort Parzelle "&amp;J768,IF(J768=K768+1,Eingabe!$B$6&amp;"-"&amp;INDEX(Eingabe!$C$9:$C$18,I768)&amp;"-Vorstand  ·  eigenes WLAN",IF(J768=K768+2,Eingabe!$B$6&amp;"-"&amp;INDEX(Eingabe!$C$9:$C$18,I768)&amp;"-Gäste  ·  Voucher",IF(J768=K768+3,"Kabel  ·  Access Point y = .(50+y), Mast-Switch x = .(10+x)","")))))</f>
        <v/>
      </c>
      <c r="I768" s="0" t="str">
        <f aca="false">IF(763&lt;=(Eingabe!$P$18+Eingabe!$Q$18-1),MATCH(763,Eingabe!$P$9:$P$18,1),"")</f>
        <v/>
      </c>
      <c r="J768" s="0" t="str">
        <f aca="false">IF(I768="","",763-INDEX(Eingabe!$P$9:$P$18,I768))</f>
        <v/>
      </c>
      <c r="K768" s="0" t="str">
        <f aca="false">IF(I768="","",INDEX(Eingabe!$E$9:$E$18,I768))</f>
        <v/>
      </c>
    </row>
    <row r="769" customFormat="false" ht="15" hidden="false" customHeight="false" outlineLevel="0" collapsed="false">
      <c r="A769" s="0" t="str">
        <f aca="false">IF(I769="","",IF(J769=0,"Sparte "&amp;I769&amp;": "&amp;INDEX(Eingabe!$B$9:$B$18,I769)&amp;"  (Sparten-ID "&amp;INDEX(Eingabe!$D$9:$D$18,I769)&amp;", "&amp;K769&amp;" Parzellen)",IF(J769&lt;=K769,"   Parzelle "&amp;J769,IF(J769=K769+1,"   Vorstand",IF(J769=K769+2,"   Gäste",IF(J769=K769+3,"   Technik (Switches, Access Points)",""))))))</f>
        <v/>
      </c>
      <c r="B769" s="0" t="str">
        <f aca="false">IF(I769="","",IF(AND(J769&gt;=1,J769&lt;=K769+3),IF(J769&lt;=K769,IF(J769&lt;=99,IF((INDEX(Eingabe!$G$9:$G$18,I769))&lt;=9,1000+(INDEX(Eingabe!$G$9:$G$18,I769))*100,3000)+J769,IF((INDEX(Eingabe!$G$9:$G$18,I769)+1)&lt;=9,1000+(INDEX(Eingabe!$G$9:$G$18,I769)+1)*100,3000)+J769-100),IF(J769=K769+1,2000+INDEX(Eingabe!$G$9:$G$18,I769)*10+1,IF(J769=K769+2,2000+INDEX(Eingabe!$G$9:$G$18,I769)*10+2,2000+INDEX(Eingabe!$G$9:$G$18,I769)*10+9))),""))</f>
        <v/>
      </c>
      <c r="C769" s="0" t="str">
        <f aca="false">IF(I769="","",IF(AND(J769&gt;=1,J769&lt;=K769+3),"10."&amp;INDEX(Eingabe!$D$9:$D$18,I769)&amp;"."&amp;IF(J769&lt;=K769,J769,IF(J769=K769+1,200,IF(J769=K769+2,201,250)))&amp;".0/24",""))</f>
        <v/>
      </c>
      <c r="D769" s="0" t="str">
        <f aca="false">IF(I769="","",IF(AND(J769&gt;=1,J769&lt;=K769+3),"255.255.255.0",""))</f>
        <v/>
      </c>
      <c r="E769" s="0" t="str">
        <f aca="false">IF(I769="","",IF(AND(J769&gt;=1,J769&lt;=K769+3),"10."&amp;INDEX(Eingabe!$D$9:$D$18,I769)&amp;"."&amp;IF(J769&lt;=K769,J769,IF(J769=K769+1,200,IF(J769=K769+2,201,250)))&amp;".1",""))</f>
        <v/>
      </c>
      <c r="F769" s="0" t="str">
        <f aca="false">IF(I769="","",IF(AND(J769&gt;=1,J769&lt;=K769+3),"10."&amp;INDEX(Eingabe!$D$9:$D$18,I769)&amp;"."&amp;IF(J769&lt;=K769,J769,IF(J769=K769+1,200,IF(J769=K769+2,201,250)))&amp;".10 – 10."&amp;INDEX(Eingabe!$D$9:$D$18,I769)&amp;"."&amp;IF(J769&lt;=K769,J769,IF(J769=K769+1,200,IF(J769=K769+2,201,250)))&amp;".250",""))</f>
        <v/>
      </c>
      <c r="G769" s="0" t="str">
        <f aca="false">IF(I769="","",IF(AND(J769&gt;=1,J769&lt;=K769),Eingabe!$B$6&amp;"-"&amp;INDEX(Eingabe!$C$9:$C$18,I769)&amp;"-Pächter  ·  Passwort Parzelle "&amp;J769,IF(J769=K769+1,Eingabe!$B$6&amp;"-"&amp;INDEX(Eingabe!$C$9:$C$18,I769)&amp;"-Vorstand  ·  eigenes WLAN",IF(J769=K769+2,Eingabe!$B$6&amp;"-"&amp;INDEX(Eingabe!$C$9:$C$18,I769)&amp;"-Gäste  ·  Voucher",IF(J769=K769+3,"Kabel  ·  Access Point y = .(50+y), Mast-Switch x = .(10+x)","")))))</f>
        <v/>
      </c>
      <c r="I769" s="0" t="str">
        <f aca="false">IF(764&lt;=(Eingabe!$P$18+Eingabe!$Q$18-1),MATCH(764,Eingabe!$P$9:$P$18,1),"")</f>
        <v/>
      </c>
      <c r="J769" s="0" t="str">
        <f aca="false">IF(I769="","",764-INDEX(Eingabe!$P$9:$P$18,I769))</f>
        <v/>
      </c>
      <c r="K769" s="0" t="str">
        <f aca="false">IF(I769="","",INDEX(Eingabe!$E$9:$E$18,I769))</f>
        <v/>
      </c>
    </row>
    <row r="770" customFormat="false" ht="15" hidden="false" customHeight="false" outlineLevel="0" collapsed="false">
      <c r="A770" s="0" t="str">
        <f aca="false">IF(I770="","",IF(J770=0,"Sparte "&amp;I770&amp;": "&amp;INDEX(Eingabe!$B$9:$B$18,I770)&amp;"  (Sparten-ID "&amp;INDEX(Eingabe!$D$9:$D$18,I770)&amp;", "&amp;K770&amp;" Parzellen)",IF(J770&lt;=K770,"   Parzelle "&amp;J770,IF(J770=K770+1,"   Vorstand",IF(J770=K770+2,"   Gäste",IF(J770=K770+3,"   Technik (Switches, Access Points)",""))))))</f>
        <v/>
      </c>
      <c r="B770" s="0" t="str">
        <f aca="false">IF(I770="","",IF(AND(J770&gt;=1,J770&lt;=K770+3),IF(J770&lt;=K770,IF(J770&lt;=99,IF((INDEX(Eingabe!$G$9:$G$18,I770))&lt;=9,1000+(INDEX(Eingabe!$G$9:$G$18,I770))*100,3000)+J770,IF((INDEX(Eingabe!$G$9:$G$18,I770)+1)&lt;=9,1000+(INDEX(Eingabe!$G$9:$G$18,I770)+1)*100,3000)+J770-100),IF(J770=K770+1,2000+INDEX(Eingabe!$G$9:$G$18,I770)*10+1,IF(J770=K770+2,2000+INDEX(Eingabe!$G$9:$G$18,I770)*10+2,2000+INDEX(Eingabe!$G$9:$G$18,I770)*10+9))),""))</f>
        <v/>
      </c>
      <c r="C770" s="0" t="str">
        <f aca="false">IF(I770="","",IF(AND(J770&gt;=1,J770&lt;=K770+3),"10."&amp;INDEX(Eingabe!$D$9:$D$18,I770)&amp;"."&amp;IF(J770&lt;=K770,J770,IF(J770=K770+1,200,IF(J770=K770+2,201,250)))&amp;".0/24",""))</f>
        <v/>
      </c>
      <c r="D770" s="0" t="str">
        <f aca="false">IF(I770="","",IF(AND(J770&gt;=1,J770&lt;=K770+3),"255.255.255.0",""))</f>
        <v/>
      </c>
      <c r="E770" s="0" t="str">
        <f aca="false">IF(I770="","",IF(AND(J770&gt;=1,J770&lt;=K770+3),"10."&amp;INDEX(Eingabe!$D$9:$D$18,I770)&amp;"."&amp;IF(J770&lt;=K770,J770,IF(J770=K770+1,200,IF(J770=K770+2,201,250)))&amp;".1",""))</f>
        <v/>
      </c>
      <c r="F770" s="0" t="str">
        <f aca="false">IF(I770="","",IF(AND(J770&gt;=1,J770&lt;=K770+3),"10."&amp;INDEX(Eingabe!$D$9:$D$18,I770)&amp;"."&amp;IF(J770&lt;=K770,J770,IF(J770=K770+1,200,IF(J770=K770+2,201,250)))&amp;".10 – 10."&amp;INDEX(Eingabe!$D$9:$D$18,I770)&amp;"."&amp;IF(J770&lt;=K770,J770,IF(J770=K770+1,200,IF(J770=K770+2,201,250)))&amp;".250",""))</f>
        <v/>
      </c>
      <c r="G770" s="0" t="str">
        <f aca="false">IF(I770="","",IF(AND(J770&gt;=1,J770&lt;=K770),Eingabe!$B$6&amp;"-"&amp;INDEX(Eingabe!$C$9:$C$18,I770)&amp;"-Pächter  ·  Passwort Parzelle "&amp;J770,IF(J770=K770+1,Eingabe!$B$6&amp;"-"&amp;INDEX(Eingabe!$C$9:$C$18,I770)&amp;"-Vorstand  ·  eigenes WLAN",IF(J770=K770+2,Eingabe!$B$6&amp;"-"&amp;INDEX(Eingabe!$C$9:$C$18,I770)&amp;"-Gäste  ·  Voucher",IF(J770=K770+3,"Kabel  ·  Access Point y = .(50+y), Mast-Switch x = .(10+x)","")))))</f>
        <v/>
      </c>
      <c r="I770" s="0" t="str">
        <f aca="false">IF(765&lt;=(Eingabe!$P$18+Eingabe!$Q$18-1),MATCH(765,Eingabe!$P$9:$P$18,1),"")</f>
        <v/>
      </c>
      <c r="J770" s="0" t="str">
        <f aca="false">IF(I770="","",765-INDEX(Eingabe!$P$9:$P$18,I770))</f>
        <v/>
      </c>
      <c r="K770" s="0" t="str">
        <f aca="false">IF(I770="","",INDEX(Eingabe!$E$9:$E$18,I770))</f>
        <v/>
      </c>
    </row>
    <row r="771" customFormat="false" ht="15" hidden="false" customHeight="false" outlineLevel="0" collapsed="false">
      <c r="A771" s="0" t="str">
        <f aca="false">IF(I771="","",IF(J771=0,"Sparte "&amp;I771&amp;": "&amp;INDEX(Eingabe!$B$9:$B$18,I771)&amp;"  (Sparten-ID "&amp;INDEX(Eingabe!$D$9:$D$18,I771)&amp;", "&amp;K771&amp;" Parzellen)",IF(J771&lt;=K771,"   Parzelle "&amp;J771,IF(J771=K771+1,"   Vorstand",IF(J771=K771+2,"   Gäste",IF(J771=K771+3,"   Technik (Switches, Access Points)",""))))))</f>
        <v/>
      </c>
      <c r="B771" s="0" t="str">
        <f aca="false">IF(I771="","",IF(AND(J771&gt;=1,J771&lt;=K771+3),IF(J771&lt;=K771,IF(J771&lt;=99,IF((INDEX(Eingabe!$G$9:$G$18,I771))&lt;=9,1000+(INDEX(Eingabe!$G$9:$G$18,I771))*100,3000)+J771,IF((INDEX(Eingabe!$G$9:$G$18,I771)+1)&lt;=9,1000+(INDEX(Eingabe!$G$9:$G$18,I771)+1)*100,3000)+J771-100),IF(J771=K771+1,2000+INDEX(Eingabe!$G$9:$G$18,I771)*10+1,IF(J771=K771+2,2000+INDEX(Eingabe!$G$9:$G$18,I771)*10+2,2000+INDEX(Eingabe!$G$9:$G$18,I771)*10+9))),""))</f>
        <v/>
      </c>
      <c r="C771" s="0" t="str">
        <f aca="false">IF(I771="","",IF(AND(J771&gt;=1,J771&lt;=K771+3),"10."&amp;INDEX(Eingabe!$D$9:$D$18,I771)&amp;"."&amp;IF(J771&lt;=K771,J771,IF(J771=K771+1,200,IF(J771=K771+2,201,250)))&amp;".0/24",""))</f>
        <v/>
      </c>
      <c r="D771" s="0" t="str">
        <f aca="false">IF(I771="","",IF(AND(J771&gt;=1,J771&lt;=K771+3),"255.255.255.0",""))</f>
        <v/>
      </c>
      <c r="E771" s="0" t="str">
        <f aca="false">IF(I771="","",IF(AND(J771&gt;=1,J771&lt;=K771+3),"10."&amp;INDEX(Eingabe!$D$9:$D$18,I771)&amp;"."&amp;IF(J771&lt;=K771,J771,IF(J771=K771+1,200,IF(J771=K771+2,201,250)))&amp;".1",""))</f>
        <v/>
      </c>
      <c r="F771" s="0" t="str">
        <f aca="false">IF(I771="","",IF(AND(J771&gt;=1,J771&lt;=K771+3),"10."&amp;INDEX(Eingabe!$D$9:$D$18,I771)&amp;"."&amp;IF(J771&lt;=K771,J771,IF(J771=K771+1,200,IF(J771=K771+2,201,250)))&amp;".10 – 10."&amp;INDEX(Eingabe!$D$9:$D$18,I771)&amp;"."&amp;IF(J771&lt;=K771,J771,IF(J771=K771+1,200,IF(J771=K771+2,201,250)))&amp;".250",""))</f>
        <v/>
      </c>
      <c r="G771" s="0" t="str">
        <f aca="false">IF(I771="","",IF(AND(J771&gt;=1,J771&lt;=K771),Eingabe!$B$6&amp;"-"&amp;INDEX(Eingabe!$C$9:$C$18,I771)&amp;"-Pächter  ·  Passwort Parzelle "&amp;J771,IF(J771=K771+1,Eingabe!$B$6&amp;"-"&amp;INDEX(Eingabe!$C$9:$C$18,I771)&amp;"-Vorstand  ·  eigenes WLAN",IF(J771=K771+2,Eingabe!$B$6&amp;"-"&amp;INDEX(Eingabe!$C$9:$C$18,I771)&amp;"-Gäste  ·  Voucher",IF(J771=K771+3,"Kabel  ·  Access Point y = .(50+y), Mast-Switch x = .(10+x)","")))))</f>
        <v/>
      </c>
      <c r="I771" s="0" t="str">
        <f aca="false">IF(766&lt;=(Eingabe!$P$18+Eingabe!$Q$18-1),MATCH(766,Eingabe!$P$9:$P$18,1),"")</f>
        <v/>
      </c>
      <c r="J771" s="0" t="str">
        <f aca="false">IF(I771="","",766-INDEX(Eingabe!$P$9:$P$18,I771))</f>
        <v/>
      </c>
      <c r="K771" s="0" t="str">
        <f aca="false">IF(I771="","",INDEX(Eingabe!$E$9:$E$18,I771))</f>
        <v/>
      </c>
    </row>
    <row r="772" customFormat="false" ht="15" hidden="false" customHeight="false" outlineLevel="0" collapsed="false">
      <c r="A772" s="0" t="str">
        <f aca="false">IF(I772="","",IF(J772=0,"Sparte "&amp;I772&amp;": "&amp;INDEX(Eingabe!$B$9:$B$18,I772)&amp;"  (Sparten-ID "&amp;INDEX(Eingabe!$D$9:$D$18,I772)&amp;", "&amp;K772&amp;" Parzellen)",IF(J772&lt;=K772,"   Parzelle "&amp;J772,IF(J772=K772+1,"   Vorstand",IF(J772=K772+2,"   Gäste",IF(J772=K772+3,"   Technik (Switches, Access Points)",""))))))</f>
        <v/>
      </c>
      <c r="B772" s="0" t="str">
        <f aca="false">IF(I772="","",IF(AND(J772&gt;=1,J772&lt;=K772+3),IF(J772&lt;=K772,IF(J772&lt;=99,IF((INDEX(Eingabe!$G$9:$G$18,I772))&lt;=9,1000+(INDEX(Eingabe!$G$9:$G$18,I772))*100,3000)+J772,IF((INDEX(Eingabe!$G$9:$G$18,I772)+1)&lt;=9,1000+(INDEX(Eingabe!$G$9:$G$18,I772)+1)*100,3000)+J772-100),IF(J772=K772+1,2000+INDEX(Eingabe!$G$9:$G$18,I772)*10+1,IF(J772=K772+2,2000+INDEX(Eingabe!$G$9:$G$18,I772)*10+2,2000+INDEX(Eingabe!$G$9:$G$18,I772)*10+9))),""))</f>
        <v/>
      </c>
      <c r="C772" s="0" t="str">
        <f aca="false">IF(I772="","",IF(AND(J772&gt;=1,J772&lt;=K772+3),"10."&amp;INDEX(Eingabe!$D$9:$D$18,I772)&amp;"."&amp;IF(J772&lt;=K772,J772,IF(J772=K772+1,200,IF(J772=K772+2,201,250)))&amp;".0/24",""))</f>
        <v/>
      </c>
      <c r="D772" s="0" t="str">
        <f aca="false">IF(I772="","",IF(AND(J772&gt;=1,J772&lt;=K772+3),"255.255.255.0",""))</f>
        <v/>
      </c>
      <c r="E772" s="0" t="str">
        <f aca="false">IF(I772="","",IF(AND(J772&gt;=1,J772&lt;=K772+3),"10."&amp;INDEX(Eingabe!$D$9:$D$18,I772)&amp;"."&amp;IF(J772&lt;=K772,J772,IF(J772=K772+1,200,IF(J772=K772+2,201,250)))&amp;".1",""))</f>
        <v/>
      </c>
      <c r="F772" s="0" t="str">
        <f aca="false">IF(I772="","",IF(AND(J772&gt;=1,J772&lt;=K772+3),"10."&amp;INDEX(Eingabe!$D$9:$D$18,I772)&amp;"."&amp;IF(J772&lt;=K772,J772,IF(J772=K772+1,200,IF(J772=K772+2,201,250)))&amp;".10 – 10."&amp;INDEX(Eingabe!$D$9:$D$18,I772)&amp;"."&amp;IF(J772&lt;=K772,J772,IF(J772=K772+1,200,IF(J772=K772+2,201,250)))&amp;".250",""))</f>
        <v/>
      </c>
      <c r="G772" s="0" t="str">
        <f aca="false">IF(I772="","",IF(AND(J772&gt;=1,J772&lt;=K772),Eingabe!$B$6&amp;"-"&amp;INDEX(Eingabe!$C$9:$C$18,I772)&amp;"-Pächter  ·  Passwort Parzelle "&amp;J772,IF(J772=K772+1,Eingabe!$B$6&amp;"-"&amp;INDEX(Eingabe!$C$9:$C$18,I772)&amp;"-Vorstand  ·  eigenes WLAN",IF(J772=K772+2,Eingabe!$B$6&amp;"-"&amp;INDEX(Eingabe!$C$9:$C$18,I772)&amp;"-Gäste  ·  Voucher",IF(J772=K772+3,"Kabel  ·  Access Point y = .(50+y), Mast-Switch x = .(10+x)","")))))</f>
        <v/>
      </c>
      <c r="I772" s="0" t="str">
        <f aca="false">IF(767&lt;=(Eingabe!$P$18+Eingabe!$Q$18-1),MATCH(767,Eingabe!$P$9:$P$18,1),"")</f>
        <v/>
      </c>
      <c r="J772" s="0" t="str">
        <f aca="false">IF(I772="","",767-INDEX(Eingabe!$P$9:$P$18,I772))</f>
        <v/>
      </c>
      <c r="K772" s="0" t="str">
        <f aca="false">IF(I772="","",INDEX(Eingabe!$E$9:$E$18,I772))</f>
        <v/>
      </c>
    </row>
    <row r="773" customFormat="false" ht="15" hidden="false" customHeight="false" outlineLevel="0" collapsed="false">
      <c r="A773" s="0" t="str">
        <f aca="false">IF(I773="","",IF(J773=0,"Sparte "&amp;I773&amp;": "&amp;INDEX(Eingabe!$B$9:$B$18,I773)&amp;"  (Sparten-ID "&amp;INDEX(Eingabe!$D$9:$D$18,I773)&amp;", "&amp;K773&amp;" Parzellen)",IF(J773&lt;=K773,"   Parzelle "&amp;J773,IF(J773=K773+1,"   Vorstand",IF(J773=K773+2,"   Gäste",IF(J773=K773+3,"   Technik (Switches, Access Points)",""))))))</f>
        <v/>
      </c>
      <c r="B773" s="0" t="str">
        <f aca="false">IF(I773="","",IF(AND(J773&gt;=1,J773&lt;=K773+3),IF(J773&lt;=K773,IF(J773&lt;=99,IF((INDEX(Eingabe!$G$9:$G$18,I773))&lt;=9,1000+(INDEX(Eingabe!$G$9:$G$18,I773))*100,3000)+J773,IF((INDEX(Eingabe!$G$9:$G$18,I773)+1)&lt;=9,1000+(INDEX(Eingabe!$G$9:$G$18,I773)+1)*100,3000)+J773-100),IF(J773=K773+1,2000+INDEX(Eingabe!$G$9:$G$18,I773)*10+1,IF(J773=K773+2,2000+INDEX(Eingabe!$G$9:$G$18,I773)*10+2,2000+INDEX(Eingabe!$G$9:$G$18,I773)*10+9))),""))</f>
        <v/>
      </c>
      <c r="C773" s="0" t="str">
        <f aca="false">IF(I773="","",IF(AND(J773&gt;=1,J773&lt;=K773+3),"10."&amp;INDEX(Eingabe!$D$9:$D$18,I773)&amp;"."&amp;IF(J773&lt;=K773,J773,IF(J773=K773+1,200,IF(J773=K773+2,201,250)))&amp;".0/24",""))</f>
        <v/>
      </c>
      <c r="D773" s="0" t="str">
        <f aca="false">IF(I773="","",IF(AND(J773&gt;=1,J773&lt;=K773+3),"255.255.255.0",""))</f>
        <v/>
      </c>
      <c r="E773" s="0" t="str">
        <f aca="false">IF(I773="","",IF(AND(J773&gt;=1,J773&lt;=K773+3),"10."&amp;INDEX(Eingabe!$D$9:$D$18,I773)&amp;"."&amp;IF(J773&lt;=K773,J773,IF(J773=K773+1,200,IF(J773=K773+2,201,250)))&amp;".1",""))</f>
        <v/>
      </c>
      <c r="F773" s="0" t="str">
        <f aca="false">IF(I773="","",IF(AND(J773&gt;=1,J773&lt;=K773+3),"10."&amp;INDEX(Eingabe!$D$9:$D$18,I773)&amp;"."&amp;IF(J773&lt;=K773,J773,IF(J773=K773+1,200,IF(J773=K773+2,201,250)))&amp;".10 – 10."&amp;INDEX(Eingabe!$D$9:$D$18,I773)&amp;"."&amp;IF(J773&lt;=K773,J773,IF(J773=K773+1,200,IF(J773=K773+2,201,250)))&amp;".250",""))</f>
        <v/>
      </c>
      <c r="G773" s="0" t="str">
        <f aca="false">IF(I773="","",IF(AND(J773&gt;=1,J773&lt;=K773),Eingabe!$B$6&amp;"-"&amp;INDEX(Eingabe!$C$9:$C$18,I773)&amp;"-Pächter  ·  Passwort Parzelle "&amp;J773,IF(J773=K773+1,Eingabe!$B$6&amp;"-"&amp;INDEX(Eingabe!$C$9:$C$18,I773)&amp;"-Vorstand  ·  eigenes WLAN",IF(J773=K773+2,Eingabe!$B$6&amp;"-"&amp;INDEX(Eingabe!$C$9:$C$18,I773)&amp;"-Gäste  ·  Voucher",IF(J773=K773+3,"Kabel  ·  Access Point y = .(50+y), Mast-Switch x = .(10+x)","")))))</f>
        <v/>
      </c>
      <c r="I773" s="0" t="str">
        <f aca="false">IF(768&lt;=(Eingabe!$P$18+Eingabe!$Q$18-1),MATCH(768,Eingabe!$P$9:$P$18,1),"")</f>
        <v/>
      </c>
      <c r="J773" s="0" t="str">
        <f aca="false">IF(I773="","",768-INDEX(Eingabe!$P$9:$P$18,I773))</f>
        <v/>
      </c>
      <c r="K773" s="0" t="str">
        <f aca="false">IF(I773="","",INDEX(Eingabe!$E$9:$E$18,I773))</f>
        <v/>
      </c>
    </row>
    <row r="774" customFormat="false" ht="15" hidden="false" customHeight="false" outlineLevel="0" collapsed="false">
      <c r="A774" s="0" t="str">
        <f aca="false">IF(I774="","",IF(J774=0,"Sparte "&amp;I774&amp;": "&amp;INDEX(Eingabe!$B$9:$B$18,I774)&amp;"  (Sparten-ID "&amp;INDEX(Eingabe!$D$9:$D$18,I774)&amp;", "&amp;K774&amp;" Parzellen)",IF(J774&lt;=K774,"   Parzelle "&amp;J774,IF(J774=K774+1,"   Vorstand",IF(J774=K774+2,"   Gäste",IF(J774=K774+3,"   Technik (Switches, Access Points)",""))))))</f>
        <v/>
      </c>
      <c r="B774" s="0" t="str">
        <f aca="false">IF(I774="","",IF(AND(J774&gt;=1,J774&lt;=K774+3),IF(J774&lt;=K774,IF(J774&lt;=99,IF((INDEX(Eingabe!$G$9:$G$18,I774))&lt;=9,1000+(INDEX(Eingabe!$G$9:$G$18,I774))*100,3000)+J774,IF((INDEX(Eingabe!$G$9:$G$18,I774)+1)&lt;=9,1000+(INDEX(Eingabe!$G$9:$G$18,I774)+1)*100,3000)+J774-100),IF(J774=K774+1,2000+INDEX(Eingabe!$G$9:$G$18,I774)*10+1,IF(J774=K774+2,2000+INDEX(Eingabe!$G$9:$G$18,I774)*10+2,2000+INDEX(Eingabe!$G$9:$G$18,I774)*10+9))),""))</f>
        <v/>
      </c>
      <c r="C774" s="0" t="str">
        <f aca="false">IF(I774="","",IF(AND(J774&gt;=1,J774&lt;=K774+3),"10."&amp;INDEX(Eingabe!$D$9:$D$18,I774)&amp;"."&amp;IF(J774&lt;=K774,J774,IF(J774=K774+1,200,IF(J774=K774+2,201,250)))&amp;".0/24",""))</f>
        <v/>
      </c>
      <c r="D774" s="0" t="str">
        <f aca="false">IF(I774="","",IF(AND(J774&gt;=1,J774&lt;=K774+3),"255.255.255.0",""))</f>
        <v/>
      </c>
      <c r="E774" s="0" t="str">
        <f aca="false">IF(I774="","",IF(AND(J774&gt;=1,J774&lt;=K774+3),"10."&amp;INDEX(Eingabe!$D$9:$D$18,I774)&amp;"."&amp;IF(J774&lt;=K774,J774,IF(J774=K774+1,200,IF(J774=K774+2,201,250)))&amp;".1",""))</f>
        <v/>
      </c>
      <c r="F774" s="0" t="str">
        <f aca="false">IF(I774="","",IF(AND(J774&gt;=1,J774&lt;=K774+3),"10."&amp;INDEX(Eingabe!$D$9:$D$18,I774)&amp;"."&amp;IF(J774&lt;=K774,J774,IF(J774=K774+1,200,IF(J774=K774+2,201,250)))&amp;".10 – 10."&amp;INDEX(Eingabe!$D$9:$D$18,I774)&amp;"."&amp;IF(J774&lt;=K774,J774,IF(J774=K774+1,200,IF(J774=K774+2,201,250)))&amp;".250",""))</f>
        <v/>
      </c>
      <c r="G774" s="0" t="str">
        <f aca="false">IF(I774="","",IF(AND(J774&gt;=1,J774&lt;=K774),Eingabe!$B$6&amp;"-"&amp;INDEX(Eingabe!$C$9:$C$18,I774)&amp;"-Pächter  ·  Passwort Parzelle "&amp;J774,IF(J774=K774+1,Eingabe!$B$6&amp;"-"&amp;INDEX(Eingabe!$C$9:$C$18,I774)&amp;"-Vorstand  ·  eigenes WLAN",IF(J774=K774+2,Eingabe!$B$6&amp;"-"&amp;INDEX(Eingabe!$C$9:$C$18,I774)&amp;"-Gäste  ·  Voucher",IF(J774=K774+3,"Kabel  ·  Access Point y = .(50+y), Mast-Switch x = .(10+x)","")))))</f>
        <v/>
      </c>
      <c r="I774" s="0" t="str">
        <f aca="false">IF(769&lt;=(Eingabe!$P$18+Eingabe!$Q$18-1),MATCH(769,Eingabe!$P$9:$P$18,1),"")</f>
        <v/>
      </c>
      <c r="J774" s="0" t="str">
        <f aca="false">IF(I774="","",769-INDEX(Eingabe!$P$9:$P$18,I774))</f>
        <v/>
      </c>
      <c r="K774" s="0" t="str">
        <f aca="false">IF(I774="","",INDEX(Eingabe!$E$9:$E$18,I774))</f>
        <v/>
      </c>
    </row>
    <row r="775" customFormat="false" ht="15" hidden="false" customHeight="false" outlineLevel="0" collapsed="false">
      <c r="A775" s="0" t="str">
        <f aca="false">IF(I775="","",IF(J775=0,"Sparte "&amp;I775&amp;": "&amp;INDEX(Eingabe!$B$9:$B$18,I775)&amp;"  (Sparten-ID "&amp;INDEX(Eingabe!$D$9:$D$18,I775)&amp;", "&amp;K775&amp;" Parzellen)",IF(J775&lt;=K775,"   Parzelle "&amp;J775,IF(J775=K775+1,"   Vorstand",IF(J775=K775+2,"   Gäste",IF(J775=K775+3,"   Technik (Switches, Access Points)",""))))))</f>
        <v/>
      </c>
      <c r="B775" s="0" t="str">
        <f aca="false">IF(I775="","",IF(AND(J775&gt;=1,J775&lt;=K775+3),IF(J775&lt;=K775,IF(J775&lt;=99,IF((INDEX(Eingabe!$G$9:$G$18,I775))&lt;=9,1000+(INDEX(Eingabe!$G$9:$G$18,I775))*100,3000)+J775,IF((INDEX(Eingabe!$G$9:$G$18,I775)+1)&lt;=9,1000+(INDEX(Eingabe!$G$9:$G$18,I775)+1)*100,3000)+J775-100),IF(J775=K775+1,2000+INDEX(Eingabe!$G$9:$G$18,I775)*10+1,IF(J775=K775+2,2000+INDEX(Eingabe!$G$9:$G$18,I775)*10+2,2000+INDEX(Eingabe!$G$9:$G$18,I775)*10+9))),""))</f>
        <v/>
      </c>
      <c r="C775" s="0" t="str">
        <f aca="false">IF(I775="","",IF(AND(J775&gt;=1,J775&lt;=K775+3),"10."&amp;INDEX(Eingabe!$D$9:$D$18,I775)&amp;"."&amp;IF(J775&lt;=K775,J775,IF(J775=K775+1,200,IF(J775=K775+2,201,250)))&amp;".0/24",""))</f>
        <v/>
      </c>
      <c r="D775" s="0" t="str">
        <f aca="false">IF(I775="","",IF(AND(J775&gt;=1,J775&lt;=K775+3),"255.255.255.0",""))</f>
        <v/>
      </c>
      <c r="E775" s="0" t="str">
        <f aca="false">IF(I775="","",IF(AND(J775&gt;=1,J775&lt;=K775+3),"10."&amp;INDEX(Eingabe!$D$9:$D$18,I775)&amp;"."&amp;IF(J775&lt;=K775,J775,IF(J775=K775+1,200,IF(J775=K775+2,201,250)))&amp;".1",""))</f>
        <v/>
      </c>
      <c r="F775" s="0" t="str">
        <f aca="false">IF(I775="","",IF(AND(J775&gt;=1,J775&lt;=K775+3),"10."&amp;INDEX(Eingabe!$D$9:$D$18,I775)&amp;"."&amp;IF(J775&lt;=K775,J775,IF(J775=K775+1,200,IF(J775=K775+2,201,250)))&amp;".10 – 10."&amp;INDEX(Eingabe!$D$9:$D$18,I775)&amp;"."&amp;IF(J775&lt;=K775,J775,IF(J775=K775+1,200,IF(J775=K775+2,201,250)))&amp;".250",""))</f>
        <v/>
      </c>
      <c r="G775" s="0" t="str">
        <f aca="false">IF(I775="","",IF(AND(J775&gt;=1,J775&lt;=K775),Eingabe!$B$6&amp;"-"&amp;INDEX(Eingabe!$C$9:$C$18,I775)&amp;"-Pächter  ·  Passwort Parzelle "&amp;J775,IF(J775=K775+1,Eingabe!$B$6&amp;"-"&amp;INDEX(Eingabe!$C$9:$C$18,I775)&amp;"-Vorstand  ·  eigenes WLAN",IF(J775=K775+2,Eingabe!$B$6&amp;"-"&amp;INDEX(Eingabe!$C$9:$C$18,I775)&amp;"-Gäste  ·  Voucher",IF(J775=K775+3,"Kabel  ·  Access Point y = .(50+y), Mast-Switch x = .(10+x)","")))))</f>
        <v/>
      </c>
      <c r="I775" s="0" t="str">
        <f aca="false">IF(770&lt;=(Eingabe!$P$18+Eingabe!$Q$18-1),MATCH(770,Eingabe!$P$9:$P$18,1),"")</f>
        <v/>
      </c>
      <c r="J775" s="0" t="str">
        <f aca="false">IF(I775="","",770-INDEX(Eingabe!$P$9:$P$18,I775))</f>
        <v/>
      </c>
      <c r="K775" s="0" t="str">
        <f aca="false">IF(I775="","",INDEX(Eingabe!$E$9:$E$18,I775))</f>
        <v/>
      </c>
    </row>
    <row r="776" customFormat="false" ht="15" hidden="false" customHeight="false" outlineLevel="0" collapsed="false">
      <c r="A776" s="0" t="str">
        <f aca="false">IF(I776="","",IF(J776=0,"Sparte "&amp;I776&amp;": "&amp;INDEX(Eingabe!$B$9:$B$18,I776)&amp;"  (Sparten-ID "&amp;INDEX(Eingabe!$D$9:$D$18,I776)&amp;", "&amp;K776&amp;" Parzellen)",IF(J776&lt;=K776,"   Parzelle "&amp;J776,IF(J776=K776+1,"   Vorstand",IF(J776=K776+2,"   Gäste",IF(J776=K776+3,"   Technik (Switches, Access Points)",""))))))</f>
        <v/>
      </c>
      <c r="B776" s="0" t="str">
        <f aca="false">IF(I776="","",IF(AND(J776&gt;=1,J776&lt;=K776+3),IF(J776&lt;=K776,IF(J776&lt;=99,IF((INDEX(Eingabe!$G$9:$G$18,I776))&lt;=9,1000+(INDEX(Eingabe!$G$9:$G$18,I776))*100,3000)+J776,IF((INDEX(Eingabe!$G$9:$G$18,I776)+1)&lt;=9,1000+(INDEX(Eingabe!$G$9:$G$18,I776)+1)*100,3000)+J776-100),IF(J776=K776+1,2000+INDEX(Eingabe!$G$9:$G$18,I776)*10+1,IF(J776=K776+2,2000+INDEX(Eingabe!$G$9:$G$18,I776)*10+2,2000+INDEX(Eingabe!$G$9:$G$18,I776)*10+9))),""))</f>
        <v/>
      </c>
      <c r="C776" s="0" t="str">
        <f aca="false">IF(I776="","",IF(AND(J776&gt;=1,J776&lt;=K776+3),"10."&amp;INDEX(Eingabe!$D$9:$D$18,I776)&amp;"."&amp;IF(J776&lt;=K776,J776,IF(J776=K776+1,200,IF(J776=K776+2,201,250)))&amp;".0/24",""))</f>
        <v/>
      </c>
      <c r="D776" s="0" t="str">
        <f aca="false">IF(I776="","",IF(AND(J776&gt;=1,J776&lt;=K776+3),"255.255.255.0",""))</f>
        <v/>
      </c>
      <c r="E776" s="0" t="str">
        <f aca="false">IF(I776="","",IF(AND(J776&gt;=1,J776&lt;=K776+3),"10."&amp;INDEX(Eingabe!$D$9:$D$18,I776)&amp;"."&amp;IF(J776&lt;=K776,J776,IF(J776=K776+1,200,IF(J776=K776+2,201,250)))&amp;".1",""))</f>
        <v/>
      </c>
      <c r="F776" s="0" t="str">
        <f aca="false">IF(I776="","",IF(AND(J776&gt;=1,J776&lt;=K776+3),"10."&amp;INDEX(Eingabe!$D$9:$D$18,I776)&amp;"."&amp;IF(J776&lt;=K776,J776,IF(J776=K776+1,200,IF(J776=K776+2,201,250)))&amp;".10 – 10."&amp;INDEX(Eingabe!$D$9:$D$18,I776)&amp;"."&amp;IF(J776&lt;=K776,J776,IF(J776=K776+1,200,IF(J776=K776+2,201,250)))&amp;".250",""))</f>
        <v/>
      </c>
      <c r="G776" s="0" t="str">
        <f aca="false">IF(I776="","",IF(AND(J776&gt;=1,J776&lt;=K776),Eingabe!$B$6&amp;"-"&amp;INDEX(Eingabe!$C$9:$C$18,I776)&amp;"-Pächter  ·  Passwort Parzelle "&amp;J776,IF(J776=K776+1,Eingabe!$B$6&amp;"-"&amp;INDEX(Eingabe!$C$9:$C$18,I776)&amp;"-Vorstand  ·  eigenes WLAN",IF(J776=K776+2,Eingabe!$B$6&amp;"-"&amp;INDEX(Eingabe!$C$9:$C$18,I776)&amp;"-Gäste  ·  Voucher",IF(J776=K776+3,"Kabel  ·  Access Point y = .(50+y), Mast-Switch x = .(10+x)","")))))</f>
        <v/>
      </c>
      <c r="I776" s="0" t="str">
        <f aca="false">IF(771&lt;=(Eingabe!$P$18+Eingabe!$Q$18-1),MATCH(771,Eingabe!$P$9:$P$18,1),"")</f>
        <v/>
      </c>
      <c r="J776" s="0" t="str">
        <f aca="false">IF(I776="","",771-INDEX(Eingabe!$P$9:$P$18,I776))</f>
        <v/>
      </c>
      <c r="K776" s="0" t="str">
        <f aca="false">IF(I776="","",INDEX(Eingabe!$E$9:$E$18,I776))</f>
        <v/>
      </c>
    </row>
    <row r="777" customFormat="false" ht="15" hidden="false" customHeight="false" outlineLevel="0" collapsed="false">
      <c r="A777" s="0" t="str">
        <f aca="false">IF(I777="","",IF(J777=0,"Sparte "&amp;I777&amp;": "&amp;INDEX(Eingabe!$B$9:$B$18,I777)&amp;"  (Sparten-ID "&amp;INDEX(Eingabe!$D$9:$D$18,I777)&amp;", "&amp;K777&amp;" Parzellen)",IF(J777&lt;=K777,"   Parzelle "&amp;J777,IF(J777=K777+1,"   Vorstand",IF(J777=K777+2,"   Gäste",IF(J777=K777+3,"   Technik (Switches, Access Points)",""))))))</f>
        <v/>
      </c>
      <c r="B777" s="0" t="str">
        <f aca="false">IF(I777="","",IF(AND(J777&gt;=1,J777&lt;=K777+3),IF(J777&lt;=K777,IF(J777&lt;=99,IF((INDEX(Eingabe!$G$9:$G$18,I777))&lt;=9,1000+(INDEX(Eingabe!$G$9:$G$18,I777))*100,3000)+J777,IF((INDEX(Eingabe!$G$9:$G$18,I777)+1)&lt;=9,1000+(INDEX(Eingabe!$G$9:$G$18,I777)+1)*100,3000)+J777-100),IF(J777=K777+1,2000+INDEX(Eingabe!$G$9:$G$18,I777)*10+1,IF(J777=K777+2,2000+INDEX(Eingabe!$G$9:$G$18,I777)*10+2,2000+INDEX(Eingabe!$G$9:$G$18,I777)*10+9))),""))</f>
        <v/>
      </c>
      <c r="C777" s="0" t="str">
        <f aca="false">IF(I777="","",IF(AND(J777&gt;=1,J777&lt;=K777+3),"10."&amp;INDEX(Eingabe!$D$9:$D$18,I777)&amp;"."&amp;IF(J777&lt;=K777,J777,IF(J777=K777+1,200,IF(J777=K777+2,201,250)))&amp;".0/24",""))</f>
        <v/>
      </c>
      <c r="D777" s="0" t="str">
        <f aca="false">IF(I777="","",IF(AND(J777&gt;=1,J777&lt;=K777+3),"255.255.255.0",""))</f>
        <v/>
      </c>
      <c r="E777" s="0" t="str">
        <f aca="false">IF(I777="","",IF(AND(J777&gt;=1,J777&lt;=K777+3),"10."&amp;INDEX(Eingabe!$D$9:$D$18,I777)&amp;"."&amp;IF(J777&lt;=K777,J777,IF(J777=K777+1,200,IF(J777=K777+2,201,250)))&amp;".1",""))</f>
        <v/>
      </c>
      <c r="F777" s="0" t="str">
        <f aca="false">IF(I777="","",IF(AND(J777&gt;=1,J777&lt;=K777+3),"10."&amp;INDEX(Eingabe!$D$9:$D$18,I777)&amp;"."&amp;IF(J777&lt;=K777,J777,IF(J777=K777+1,200,IF(J777=K777+2,201,250)))&amp;".10 – 10."&amp;INDEX(Eingabe!$D$9:$D$18,I777)&amp;"."&amp;IF(J777&lt;=K777,J777,IF(J777=K777+1,200,IF(J777=K777+2,201,250)))&amp;".250",""))</f>
        <v/>
      </c>
      <c r="G777" s="0" t="str">
        <f aca="false">IF(I777="","",IF(AND(J777&gt;=1,J777&lt;=K777),Eingabe!$B$6&amp;"-"&amp;INDEX(Eingabe!$C$9:$C$18,I777)&amp;"-Pächter  ·  Passwort Parzelle "&amp;J777,IF(J777=K777+1,Eingabe!$B$6&amp;"-"&amp;INDEX(Eingabe!$C$9:$C$18,I777)&amp;"-Vorstand  ·  eigenes WLAN",IF(J777=K777+2,Eingabe!$B$6&amp;"-"&amp;INDEX(Eingabe!$C$9:$C$18,I777)&amp;"-Gäste  ·  Voucher",IF(J777=K777+3,"Kabel  ·  Access Point y = .(50+y), Mast-Switch x = .(10+x)","")))))</f>
        <v/>
      </c>
      <c r="I777" s="0" t="str">
        <f aca="false">IF(772&lt;=(Eingabe!$P$18+Eingabe!$Q$18-1),MATCH(772,Eingabe!$P$9:$P$18,1),"")</f>
        <v/>
      </c>
      <c r="J777" s="0" t="str">
        <f aca="false">IF(I777="","",772-INDEX(Eingabe!$P$9:$P$18,I777))</f>
        <v/>
      </c>
      <c r="K777" s="0" t="str">
        <f aca="false">IF(I777="","",INDEX(Eingabe!$E$9:$E$18,I777))</f>
        <v/>
      </c>
    </row>
    <row r="778" customFormat="false" ht="15" hidden="false" customHeight="false" outlineLevel="0" collapsed="false">
      <c r="A778" s="0" t="str">
        <f aca="false">IF(I778="","",IF(J778=0,"Sparte "&amp;I778&amp;": "&amp;INDEX(Eingabe!$B$9:$B$18,I778)&amp;"  (Sparten-ID "&amp;INDEX(Eingabe!$D$9:$D$18,I778)&amp;", "&amp;K778&amp;" Parzellen)",IF(J778&lt;=K778,"   Parzelle "&amp;J778,IF(J778=K778+1,"   Vorstand",IF(J778=K778+2,"   Gäste",IF(J778=K778+3,"   Technik (Switches, Access Points)",""))))))</f>
        <v/>
      </c>
      <c r="B778" s="0" t="str">
        <f aca="false">IF(I778="","",IF(AND(J778&gt;=1,J778&lt;=K778+3),IF(J778&lt;=K778,IF(J778&lt;=99,IF((INDEX(Eingabe!$G$9:$G$18,I778))&lt;=9,1000+(INDEX(Eingabe!$G$9:$G$18,I778))*100,3000)+J778,IF((INDEX(Eingabe!$G$9:$G$18,I778)+1)&lt;=9,1000+(INDEX(Eingabe!$G$9:$G$18,I778)+1)*100,3000)+J778-100),IF(J778=K778+1,2000+INDEX(Eingabe!$G$9:$G$18,I778)*10+1,IF(J778=K778+2,2000+INDEX(Eingabe!$G$9:$G$18,I778)*10+2,2000+INDEX(Eingabe!$G$9:$G$18,I778)*10+9))),""))</f>
        <v/>
      </c>
      <c r="C778" s="0" t="str">
        <f aca="false">IF(I778="","",IF(AND(J778&gt;=1,J778&lt;=K778+3),"10."&amp;INDEX(Eingabe!$D$9:$D$18,I778)&amp;"."&amp;IF(J778&lt;=K778,J778,IF(J778=K778+1,200,IF(J778=K778+2,201,250)))&amp;".0/24",""))</f>
        <v/>
      </c>
      <c r="D778" s="0" t="str">
        <f aca="false">IF(I778="","",IF(AND(J778&gt;=1,J778&lt;=K778+3),"255.255.255.0",""))</f>
        <v/>
      </c>
      <c r="E778" s="0" t="str">
        <f aca="false">IF(I778="","",IF(AND(J778&gt;=1,J778&lt;=K778+3),"10."&amp;INDEX(Eingabe!$D$9:$D$18,I778)&amp;"."&amp;IF(J778&lt;=K778,J778,IF(J778=K778+1,200,IF(J778=K778+2,201,250)))&amp;".1",""))</f>
        <v/>
      </c>
      <c r="F778" s="0" t="str">
        <f aca="false">IF(I778="","",IF(AND(J778&gt;=1,J778&lt;=K778+3),"10."&amp;INDEX(Eingabe!$D$9:$D$18,I778)&amp;"."&amp;IF(J778&lt;=K778,J778,IF(J778=K778+1,200,IF(J778=K778+2,201,250)))&amp;".10 – 10."&amp;INDEX(Eingabe!$D$9:$D$18,I778)&amp;"."&amp;IF(J778&lt;=K778,J778,IF(J778=K778+1,200,IF(J778=K778+2,201,250)))&amp;".250",""))</f>
        <v/>
      </c>
      <c r="G778" s="0" t="str">
        <f aca="false">IF(I778="","",IF(AND(J778&gt;=1,J778&lt;=K778),Eingabe!$B$6&amp;"-"&amp;INDEX(Eingabe!$C$9:$C$18,I778)&amp;"-Pächter  ·  Passwort Parzelle "&amp;J778,IF(J778=K778+1,Eingabe!$B$6&amp;"-"&amp;INDEX(Eingabe!$C$9:$C$18,I778)&amp;"-Vorstand  ·  eigenes WLAN",IF(J778=K778+2,Eingabe!$B$6&amp;"-"&amp;INDEX(Eingabe!$C$9:$C$18,I778)&amp;"-Gäste  ·  Voucher",IF(J778=K778+3,"Kabel  ·  Access Point y = .(50+y), Mast-Switch x = .(10+x)","")))))</f>
        <v/>
      </c>
      <c r="I778" s="0" t="str">
        <f aca="false">IF(773&lt;=(Eingabe!$P$18+Eingabe!$Q$18-1),MATCH(773,Eingabe!$P$9:$P$18,1),"")</f>
        <v/>
      </c>
      <c r="J778" s="0" t="str">
        <f aca="false">IF(I778="","",773-INDEX(Eingabe!$P$9:$P$18,I778))</f>
        <v/>
      </c>
      <c r="K778" s="0" t="str">
        <f aca="false">IF(I778="","",INDEX(Eingabe!$E$9:$E$18,I778))</f>
        <v/>
      </c>
    </row>
    <row r="779" customFormat="false" ht="15" hidden="false" customHeight="false" outlineLevel="0" collapsed="false">
      <c r="A779" s="0" t="str">
        <f aca="false">IF(I779="","",IF(J779=0,"Sparte "&amp;I779&amp;": "&amp;INDEX(Eingabe!$B$9:$B$18,I779)&amp;"  (Sparten-ID "&amp;INDEX(Eingabe!$D$9:$D$18,I779)&amp;", "&amp;K779&amp;" Parzellen)",IF(J779&lt;=K779,"   Parzelle "&amp;J779,IF(J779=K779+1,"   Vorstand",IF(J779=K779+2,"   Gäste",IF(J779=K779+3,"   Technik (Switches, Access Points)",""))))))</f>
        <v/>
      </c>
      <c r="B779" s="0" t="str">
        <f aca="false">IF(I779="","",IF(AND(J779&gt;=1,J779&lt;=K779+3),IF(J779&lt;=K779,IF(J779&lt;=99,IF((INDEX(Eingabe!$G$9:$G$18,I779))&lt;=9,1000+(INDEX(Eingabe!$G$9:$G$18,I779))*100,3000)+J779,IF((INDEX(Eingabe!$G$9:$G$18,I779)+1)&lt;=9,1000+(INDEX(Eingabe!$G$9:$G$18,I779)+1)*100,3000)+J779-100),IF(J779=K779+1,2000+INDEX(Eingabe!$G$9:$G$18,I779)*10+1,IF(J779=K779+2,2000+INDEX(Eingabe!$G$9:$G$18,I779)*10+2,2000+INDEX(Eingabe!$G$9:$G$18,I779)*10+9))),""))</f>
        <v/>
      </c>
      <c r="C779" s="0" t="str">
        <f aca="false">IF(I779="","",IF(AND(J779&gt;=1,J779&lt;=K779+3),"10."&amp;INDEX(Eingabe!$D$9:$D$18,I779)&amp;"."&amp;IF(J779&lt;=K779,J779,IF(J779=K779+1,200,IF(J779=K779+2,201,250)))&amp;".0/24",""))</f>
        <v/>
      </c>
      <c r="D779" s="0" t="str">
        <f aca="false">IF(I779="","",IF(AND(J779&gt;=1,J779&lt;=K779+3),"255.255.255.0",""))</f>
        <v/>
      </c>
      <c r="E779" s="0" t="str">
        <f aca="false">IF(I779="","",IF(AND(J779&gt;=1,J779&lt;=K779+3),"10."&amp;INDEX(Eingabe!$D$9:$D$18,I779)&amp;"."&amp;IF(J779&lt;=K779,J779,IF(J779=K779+1,200,IF(J779=K779+2,201,250)))&amp;".1",""))</f>
        <v/>
      </c>
      <c r="F779" s="0" t="str">
        <f aca="false">IF(I779="","",IF(AND(J779&gt;=1,J779&lt;=K779+3),"10."&amp;INDEX(Eingabe!$D$9:$D$18,I779)&amp;"."&amp;IF(J779&lt;=K779,J779,IF(J779=K779+1,200,IF(J779=K779+2,201,250)))&amp;".10 – 10."&amp;INDEX(Eingabe!$D$9:$D$18,I779)&amp;"."&amp;IF(J779&lt;=K779,J779,IF(J779=K779+1,200,IF(J779=K779+2,201,250)))&amp;".250",""))</f>
        <v/>
      </c>
      <c r="G779" s="0" t="str">
        <f aca="false">IF(I779="","",IF(AND(J779&gt;=1,J779&lt;=K779),Eingabe!$B$6&amp;"-"&amp;INDEX(Eingabe!$C$9:$C$18,I779)&amp;"-Pächter  ·  Passwort Parzelle "&amp;J779,IF(J779=K779+1,Eingabe!$B$6&amp;"-"&amp;INDEX(Eingabe!$C$9:$C$18,I779)&amp;"-Vorstand  ·  eigenes WLAN",IF(J779=K779+2,Eingabe!$B$6&amp;"-"&amp;INDEX(Eingabe!$C$9:$C$18,I779)&amp;"-Gäste  ·  Voucher",IF(J779=K779+3,"Kabel  ·  Access Point y = .(50+y), Mast-Switch x = .(10+x)","")))))</f>
        <v/>
      </c>
      <c r="I779" s="0" t="str">
        <f aca="false">IF(774&lt;=(Eingabe!$P$18+Eingabe!$Q$18-1),MATCH(774,Eingabe!$P$9:$P$18,1),"")</f>
        <v/>
      </c>
      <c r="J779" s="0" t="str">
        <f aca="false">IF(I779="","",774-INDEX(Eingabe!$P$9:$P$18,I779))</f>
        <v/>
      </c>
      <c r="K779" s="0" t="str">
        <f aca="false">IF(I779="","",INDEX(Eingabe!$E$9:$E$18,I779))</f>
        <v/>
      </c>
    </row>
    <row r="780" customFormat="false" ht="15" hidden="false" customHeight="false" outlineLevel="0" collapsed="false">
      <c r="A780" s="0" t="str">
        <f aca="false">IF(I780="","",IF(J780=0,"Sparte "&amp;I780&amp;": "&amp;INDEX(Eingabe!$B$9:$B$18,I780)&amp;"  (Sparten-ID "&amp;INDEX(Eingabe!$D$9:$D$18,I780)&amp;", "&amp;K780&amp;" Parzellen)",IF(J780&lt;=K780,"   Parzelle "&amp;J780,IF(J780=K780+1,"   Vorstand",IF(J780=K780+2,"   Gäste",IF(J780=K780+3,"   Technik (Switches, Access Points)",""))))))</f>
        <v/>
      </c>
      <c r="B780" s="0" t="str">
        <f aca="false">IF(I780="","",IF(AND(J780&gt;=1,J780&lt;=K780+3),IF(J780&lt;=K780,IF(J780&lt;=99,IF((INDEX(Eingabe!$G$9:$G$18,I780))&lt;=9,1000+(INDEX(Eingabe!$G$9:$G$18,I780))*100,3000)+J780,IF((INDEX(Eingabe!$G$9:$G$18,I780)+1)&lt;=9,1000+(INDEX(Eingabe!$G$9:$G$18,I780)+1)*100,3000)+J780-100),IF(J780=K780+1,2000+INDEX(Eingabe!$G$9:$G$18,I780)*10+1,IF(J780=K780+2,2000+INDEX(Eingabe!$G$9:$G$18,I780)*10+2,2000+INDEX(Eingabe!$G$9:$G$18,I780)*10+9))),""))</f>
        <v/>
      </c>
      <c r="C780" s="0" t="str">
        <f aca="false">IF(I780="","",IF(AND(J780&gt;=1,J780&lt;=K780+3),"10."&amp;INDEX(Eingabe!$D$9:$D$18,I780)&amp;"."&amp;IF(J780&lt;=K780,J780,IF(J780=K780+1,200,IF(J780=K780+2,201,250)))&amp;".0/24",""))</f>
        <v/>
      </c>
      <c r="D780" s="0" t="str">
        <f aca="false">IF(I780="","",IF(AND(J780&gt;=1,J780&lt;=K780+3),"255.255.255.0",""))</f>
        <v/>
      </c>
      <c r="E780" s="0" t="str">
        <f aca="false">IF(I780="","",IF(AND(J780&gt;=1,J780&lt;=K780+3),"10."&amp;INDEX(Eingabe!$D$9:$D$18,I780)&amp;"."&amp;IF(J780&lt;=K780,J780,IF(J780=K780+1,200,IF(J780=K780+2,201,250)))&amp;".1",""))</f>
        <v/>
      </c>
      <c r="F780" s="0" t="str">
        <f aca="false">IF(I780="","",IF(AND(J780&gt;=1,J780&lt;=K780+3),"10."&amp;INDEX(Eingabe!$D$9:$D$18,I780)&amp;"."&amp;IF(J780&lt;=K780,J780,IF(J780=K780+1,200,IF(J780=K780+2,201,250)))&amp;".10 – 10."&amp;INDEX(Eingabe!$D$9:$D$18,I780)&amp;"."&amp;IF(J780&lt;=K780,J780,IF(J780=K780+1,200,IF(J780=K780+2,201,250)))&amp;".250",""))</f>
        <v/>
      </c>
      <c r="G780" s="0" t="str">
        <f aca="false">IF(I780="","",IF(AND(J780&gt;=1,J780&lt;=K780),Eingabe!$B$6&amp;"-"&amp;INDEX(Eingabe!$C$9:$C$18,I780)&amp;"-Pächter  ·  Passwort Parzelle "&amp;J780,IF(J780=K780+1,Eingabe!$B$6&amp;"-"&amp;INDEX(Eingabe!$C$9:$C$18,I780)&amp;"-Vorstand  ·  eigenes WLAN",IF(J780=K780+2,Eingabe!$B$6&amp;"-"&amp;INDEX(Eingabe!$C$9:$C$18,I780)&amp;"-Gäste  ·  Voucher",IF(J780=K780+3,"Kabel  ·  Access Point y = .(50+y), Mast-Switch x = .(10+x)","")))))</f>
        <v/>
      </c>
      <c r="I780" s="0" t="str">
        <f aca="false">IF(775&lt;=(Eingabe!$P$18+Eingabe!$Q$18-1),MATCH(775,Eingabe!$P$9:$P$18,1),"")</f>
        <v/>
      </c>
      <c r="J780" s="0" t="str">
        <f aca="false">IF(I780="","",775-INDEX(Eingabe!$P$9:$P$18,I780))</f>
        <v/>
      </c>
      <c r="K780" s="0" t="str">
        <f aca="false">IF(I780="","",INDEX(Eingabe!$E$9:$E$18,I780))</f>
        <v/>
      </c>
    </row>
    <row r="781" customFormat="false" ht="15" hidden="false" customHeight="false" outlineLevel="0" collapsed="false">
      <c r="A781" s="0" t="str">
        <f aca="false">IF(I781="","",IF(J781=0,"Sparte "&amp;I781&amp;": "&amp;INDEX(Eingabe!$B$9:$B$18,I781)&amp;"  (Sparten-ID "&amp;INDEX(Eingabe!$D$9:$D$18,I781)&amp;", "&amp;K781&amp;" Parzellen)",IF(J781&lt;=K781,"   Parzelle "&amp;J781,IF(J781=K781+1,"   Vorstand",IF(J781=K781+2,"   Gäste",IF(J781=K781+3,"   Technik (Switches, Access Points)",""))))))</f>
        <v/>
      </c>
      <c r="B781" s="0" t="str">
        <f aca="false">IF(I781="","",IF(AND(J781&gt;=1,J781&lt;=K781+3),IF(J781&lt;=K781,IF(J781&lt;=99,IF((INDEX(Eingabe!$G$9:$G$18,I781))&lt;=9,1000+(INDEX(Eingabe!$G$9:$G$18,I781))*100,3000)+J781,IF((INDEX(Eingabe!$G$9:$G$18,I781)+1)&lt;=9,1000+(INDEX(Eingabe!$G$9:$G$18,I781)+1)*100,3000)+J781-100),IF(J781=K781+1,2000+INDEX(Eingabe!$G$9:$G$18,I781)*10+1,IF(J781=K781+2,2000+INDEX(Eingabe!$G$9:$G$18,I781)*10+2,2000+INDEX(Eingabe!$G$9:$G$18,I781)*10+9))),""))</f>
        <v/>
      </c>
      <c r="C781" s="0" t="str">
        <f aca="false">IF(I781="","",IF(AND(J781&gt;=1,J781&lt;=K781+3),"10."&amp;INDEX(Eingabe!$D$9:$D$18,I781)&amp;"."&amp;IF(J781&lt;=K781,J781,IF(J781=K781+1,200,IF(J781=K781+2,201,250)))&amp;".0/24",""))</f>
        <v/>
      </c>
      <c r="D781" s="0" t="str">
        <f aca="false">IF(I781="","",IF(AND(J781&gt;=1,J781&lt;=K781+3),"255.255.255.0",""))</f>
        <v/>
      </c>
      <c r="E781" s="0" t="str">
        <f aca="false">IF(I781="","",IF(AND(J781&gt;=1,J781&lt;=K781+3),"10."&amp;INDEX(Eingabe!$D$9:$D$18,I781)&amp;"."&amp;IF(J781&lt;=K781,J781,IF(J781=K781+1,200,IF(J781=K781+2,201,250)))&amp;".1",""))</f>
        <v/>
      </c>
      <c r="F781" s="0" t="str">
        <f aca="false">IF(I781="","",IF(AND(J781&gt;=1,J781&lt;=K781+3),"10."&amp;INDEX(Eingabe!$D$9:$D$18,I781)&amp;"."&amp;IF(J781&lt;=K781,J781,IF(J781=K781+1,200,IF(J781=K781+2,201,250)))&amp;".10 – 10."&amp;INDEX(Eingabe!$D$9:$D$18,I781)&amp;"."&amp;IF(J781&lt;=K781,J781,IF(J781=K781+1,200,IF(J781=K781+2,201,250)))&amp;".250",""))</f>
        <v/>
      </c>
      <c r="G781" s="0" t="str">
        <f aca="false">IF(I781="","",IF(AND(J781&gt;=1,J781&lt;=K781),Eingabe!$B$6&amp;"-"&amp;INDEX(Eingabe!$C$9:$C$18,I781)&amp;"-Pächter  ·  Passwort Parzelle "&amp;J781,IF(J781=K781+1,Eingabe!$B$6&amp;"-"&amp;INDEX(Eingabe!$C$9:$C$18,I781)&amp;"-Vorstand  ·  eigenes WLAN",IF(J781=K781+2,Eingabe!$B$6&amp;"-"&amp;INDEX(Eingabe!$C$9:$C$18,I781)&amp;"-Gäste  ·  Voucher",IF(J781=K781+3,"Kabel  ·  Access Point y = .(50+y), Mast-Switch x = .(10+x)","")))))</f>
        <v/>
      </c>
      <c r="I781" s="0" t="str">
        <f aca="false">IF(776&lt;=(Eingabe!$P$18+Eingabe!$Q$18-1),MATCH(776,Eingabe!$P$9:$P$18,1),"")</f>
        <v/>
      </c>
      <c r="J781" s="0" t="str">
        <f aca="false">IF(I781="","",776-INDEX(Eingabe!$P$9:$P$18,I781))</f>
        <v/>
      </c>
      <c r="K781" s="0" t="str">
        <f aca="false">IF(I781="","",INDEX(Eingabe!$E$9:$E$18,I781))</f>
        <v/>
      </c>
    </row>
    <row r="782" customFormat="false" ht="15" hidden="false" customHeight="false" outlineLevel="0" collapsed="false">
      <c r="A782" s="0" t="str">
        <f aca="false">IF(I782="","",IF(J782=0,"Sparte "&amp;I782&amp;": "&amp;INDEX(Eingabe!$B$9:$B$18,I782)&amp;"  (Sparten-ID "&amp;INDEX(Eingabe!$D$9:$D$18,I782)&amp;", "&amp;K782&amp;" Parzellen)",IF(J782&lt;=K782,"   Parzelle "&amp;J782,IF(J782=K782+1,"   Vorstand",IF(J782=K782+2,"   Gäste",IF(J782=K782+3,"   Technik (Switches, Access Points)",""))))))</f>
        <v/>
      </c>
      <c r="B782" s="0" t="str">
        <f aca="false">IF(I782="","",IF(AND(J782&gt;=1,J782&lt;=K782+3),IF(J782&lt;=K782,IF(J782&lt;=99,IF((INDEX(Eingabe!$G$9:$G$18,I782))&lt;=9,1000+(INDEX(Eingabe!$G$9:$G$18,I782))*100,3000)+J782,IF((INDEX(Eingabe!$G$9:$G$18,I782)+1)&lt;=9,1000+(INDEX(Eingabe!$G$9:$G$18,I782)+1)*100,3000)+J782-100),IF(J782=K782+1,2000+INDEX(Eingabe!$G$9:$G$18,I782)*10+1,IF(J782=K782+2,2000+INDEX(Eingabe!$G$9:$G$18,I782)*10+2,2000+INDEX(Eingabe!$G$9:$G$18,I782)*10+9))),""))</f>
        <v/>
      </c>
      <c r="C782" s="0" t="str">
        <f aca="false">IF(I782="","",IF(AND(J782&gt;=1,J782&lt;=K782+3),"10."&amp;INDEX(Eingabe!$D$9:$D$18,I782)&amp;"."&amp;IF(J782&lt;=K782,J782,IF(J782=K782+1,200,IF(J782=K782+2,201,250)))&amp;".0/24",""))</f>
        <v/>
      </c>
      <c r="D782" s="0" t="str">
        <f aca="false">IF(I782="","",IF(AND(J782&gt;=1,J782&lt;=K782+3),"255.255.255.0",""))</f>
        <v/>
      </c>
      <c r="E782" s="0" t="str">
        <f aca="false">IF(I782="","",IF(AND(J782&gt;=1,J782&lt;=K782+3),"10."&amp;INDEX(Eingabe!$D$9:$D$18,I782)&amp;"."&amp;IF(J782&lt;=K782,J782,IF(J782=K782+1,200,IF(J782=K782+2,201,250)))&amp;".1",""))</f>
        <v/>
      </c>
      <c r="F782" s="0" t="str">
        <f aca="false">IF(I782="","",IF(AND(J782&gt;=1,J782&lt;=K782+3),"10."&amp;INDEX(Eingabe!$D$9:$D$18,I782)&amp;"."&amp;IF(J782&lt;=K782,J782,IF(J782=K782+1,200,IF(J782=K782+2,201,250)))&amp;".10 – 10."&amp;INDEX(Eingabe!$D$9:$D$18,I782)&amp;"."&amp;IF(J782&lt;=K782,J782,IF(J782=K782+1,200,IF(J782=K782+2,201,250)))&amp;".250",""))</f>
        <v/>
      </c>
      <c r="G782" s="0" t="str">
        <f aca="false">IF(I782="","",IF(AND(J782&gt;=1,J782&lt;=K782),Eingabe!$B$6&amp;"-"&amp;INDEX(Eingabe!$C$9:$C$18,I782)&amp;"-Pächter  ·  Passwort Parzelle "&amp;J782,IF(J782=K782+1,Eingabe!$B$6&amp;"-"&amp;INDEX(Eingabe!$C$9:$C$18,I782)&amp;"-Vorstand  ·  eigenes WLAN",IF(J782=K782+2,Eingabe!$B$6&amp;"-"&amp;INDEX(Eingabe!$C$9:$C$18,I782)&amp;"-Gäste  ·  Voucher",IF(J782=K782+3,"Kabel  ·  Access Point y = .(50+y), Mast-Switch x = .(10+x)","")))))</f>
        <v/>
      </c>
      <c r="I782" s="0" t="str">
        <f aca="false">IF(777&lt;=(Eingabe!$P$18+Eingabe!$Q$18-1),MATCH(777,Eingabe!$P$9:$P$18,1),"")</f>
        <v/>
      </c>
      <c r="J782" s="0" t="str">
        <f aca="false">IF(I782="","",777-INDEX(Eingabe!$P$9:$P$18,I782))</f>
        <v/>
      </c>
      <c r="K782" s="0" t="str">
        <f aca="false">IF(I782="","",INDEX(Eingabe!$E$9:$E$18,I782))</f>
        <v/>
      </c>
    </row>
    <row r="783" customFormat="false" ht="15" hidden="false" customHeight="false" outlineLevel="0" collapsed="false">
      <c r="A783" s="0" t="str">
        <f aca="false">IF(I783="","",IF(J783=0,"Sparte "&amp;I783&amp;": "&amp;INDEX(Eingabe!$B$9:$B$18,I783)&amp;"  (Sparten-ID "&amp;INDEX(Eingabe!$D$9:$D$18,I783)&amp;", "&amp;K783&amp;" Parzellen)",IF(J783&lt;=K783,"   Parzelle "&amp;J783,IF(J783=K783+1,"   Vorstand",IF(J783=K783+2,"   Gäste",IF(J783=K783+3,"   Technik (Switches, Access Points)",""))))))</f>
        <v/>
      </c>
      <c r="B783" s="0" t="str">
        <f aca="false">IF(I783="","",IF(AND(J783&gt;=1,J783&lt;=K783+3),IF(J783&lt;=K783,IF(J783&lt;=99,IF((INDEX(Eingabe!$G$9:$G$18,I783))&lt;=9,1000+(INDEX(Eingabe!$G$9:$G$18,I783))*100,3000)+J783,IF((INDEX(Eingabe!$G$9:$G$18,I783)+1)&lt;=9,1000+(INDEX(Eingabe!$G$9:$G$18,I783)+1)*100,3000)+J783-100),IF(J783=K783+1,2000+INDEX(Eingabe!$G$9:$G$18,I783)*10+1,IF(J783=K783+2,2000+INDEX(Eingabe!$G$9:$G$18,I783)*10+2,2000+INDEX(Eingabe!$G$9:$G$18,I783)*10+9))),""))</f>
        <v/>
      </c>
      <c r="C783" s="0" t="str">
        <f aca="false">IF(I783="","",IF(AND(J783&gt;=1,J783&lt;=K783+3),"10."&amp;INDEX(Eingabe!$D$9:$D$18,I783)&amp;"."&amp;IF(J783&lt;=K783,J783,IF(J783=K783+1,200,IF(J783=K783+2,201,250)))&amp;".0/24",""))</f>
        <v/>
      </c>
      <c r="D783" s="0" t="str">
        <f aca="false">IF(I783="","",IF(AND(J783&gt;=1,J783&lt;=K783+3),"255.255.255.0",""))</f>
        <v/>
      </c>
      <c r="E783" s="0" t="str">
        <f aca="false">IF(I783="","",IF(AND(J783&gt;=1,J783&lt;=K783+3),"10."&amp;INDEX(Eingabe!$D$9:$D$18,I783)&amp;"."&amp;IF(J783&lt;=K783,J783,IF(J783=K783+1,200,IF(J783=K783+2,201,250)))&amp;".1",""))</f>
        <v/>
      </c>
      <c r="F783" s="0" t="str">
        <f aca="false">IF(I783="","",IF(AND(J783&gt;=1,J783&lt;=K783+3),"10."&amp;INDEX(Eingabe!$D$9:$D$18,I783)&amp;"."&amp;IF(J783&lt;=K783,J783,IF(J783=K783+1,200,IF(J783=K783+2,201,250)))&amp;".10 – 10."&amp;INDEX(Eingabe!$D$9:$D$18,I783)&amp;"."&amp;IF(J783&lt;=K783,J783,IF(J783=K783+1,200,IF(J783=K783+2,201,250)))&amp;".250",""))</f>
        <v/>
      </c>
      <c r="G783" s="0" t="str">
        <f aca="false">IF(I783="","",IF(AND(J783&gt;=1,J783&lt;=K783),Eingabe!$B$6&amp;"-"&amp;INDEX(Eingabe!$C$9:$C$18,I783)&amp;"-Pächter  ·  Passwort Parzelle "&amp;J783,IF(J783=K783+1,Eingabe!$B$6&amp;"-"&amp;INDEX(Eingabe!$C$9:$C$18,I783)&amp;"-Vorstand  ·  eigenes WLAN",IF(J783=K783+2,Eingabe!$B$6&amp;"-"&amp;INDEX(Eingabe!$C$9:$C$18,I783)&amp;"-Gäste  ·  Voucher",IF(J783=K783+3,"Kabel  ·  Access Point y = .(50+y), Mast-Switch x = .(10+x)","")))))</f>
        <v/>
      </c>
      <c r="I783" s="0" t="str">
        <f aca="false">IF(778&lt;=(Eingabe!$P$18+Eingabe!$Q$18-1),MATCH(778,Eingabe!$P$9:$P$18,1),"")</f>
        <v/>
      </c>
      <c r="J783" s="0" t="str">
        <f aca="false">IF(I783="","",778-INDEX(Eingabe!$P$9:$P$18,I783))</f>
        <v/>
      </c>
      <c r="K783" s="0" t="str">
        <f aca="false">IF(I783="","",INDEX(Eingabe!$E$9:$E$18,I783))</f>
        <v/>
      </c>
    </row>
    <row r="784" customFormat="false" ht="15" hidden="false" customHeight="false" outlineLevel="0" collapsed="false">
      <c r="A784" s="0" t="str">
        <f aca="false">IF(I784="","",IF(J784=0,"Sparte "&amp;I784&amp;": "&amp;INDEX(Eingabe!$B$9:$B$18,I784)&amp;"  (Sparten-ID "&amp;INDEX(Eingabe!$D$9:$D$18,I784)&amp;", "&amp;K784&amp;" Parzellen)",IF(J784&lt;=K784,"   Parzelle "&amp;J784,IF(J784=K784+1,"   Vorstand",IF(J784=K784+2,"   Gäste",IF(J784=K784+3,"   Technik (Switches, Access Points)",""))))))</f>
        <v/>
      </c>
      <c r="B784" s="0" t="str">
        <f aca="false">IF(I784="","",IF(AND(J784&gt;=1,J784&lt;=K784+3),IF(J784&lt;=K784,IF(J784&lt;=99,IF((INDEX(Eingabe!$G$9:$G$18,I784))&lt;=9,1000+(INDEX(Eingabe!$G$9:$G$18,I784))*100,3000)+J784,IF((INDEX(Eingabe!$G$9:$G$18,I784)+1)&lt;=9,1000+(INDEX(Eingabe!$G$9:$G$18,I784)+1)*100,3000)+J784-100),IF(J784=K784+1,2000+INDEX(Eingabe!$G$9:$G$18,I784)*10+1,IF(J784=K784+2,2000+INDEX(Eingabe!$G$9:$G$18,I784)*10+2,2000+INDEX(Eingabe!$G$9:$G$18,I784)*10+9))),""))</f>
        <v/>
      </c>
      <c r="C784" s="0" t="str">
        <f aca="false">IF(I784="","",IF(AND(J784&gt;=1,J784&lt;=K784+3),"10."&amp;INDEX(Eingabe!$D$9:$D$18,I784)&amp;"."&amp;IF(J784&lt;=K784,J784,IF(J784=K784+1,200,IF(J784=K784+2,201,250)))&amp;".0/24",""))</f>
        <v/>
      </c>
      <c r="D784" s="0" t="str">
        <f aca="false">IF(I784="","",IF(AND(J784&gt;=1,J784&lt;=K784+3),"255.255.255.0",""))</f>
        <v/>
      </c>
      <c r="E784" s="0" t="str">
        <f aca="false">IF(I784="","",IF(AND(J784&gt;=1,J784&lt;=K784+3),"10."&amp;INDEX(Eingabe!$D$9:$D$18,I784)&amp;"."&amp;IF(J784&lt;=K784,J784,IF(J784=K784+1,200,IF(J784=K784+2,201,250)))&amp;".1",""))</f>
        <v/>
      </c>
      <c r="F784" s="0" t="str">
        <f aca="false">IF(I784="","",IF(AND(J784&gt;=1,J784&lt;=K784+3),"10."&amp;INDEX(Eingabe!$D$9:$D$18,I784)&amp;"."&amp;IF(J784&lt;=K784,J784,IF(J784=K784+1,200,IF(J784=K784+2,201,250)))&amp;".10 – 10."&amp;INDEX(Eingabe!$D$9:$D$18,I784)&amp;"."&amp;IF(J784&lt;=K784,J784,IF(J784=K784+1,200,IF(J784=K784+2,201,250)))&amp;".250",""))</f>
        <v/>
      </c>
      <c r="G784" s="0" t="str">
        <f aca="false">IF(I784="","",IF(AND(J784&gt;=1,J784&lt;=K784),Eingabe!$B$6&amp;"-"&amp;INDEX(Eingabe!$C$9:$C$18,I784)&amp;"-Pächter  ·  Passwort Parzelle "&amp;J784,IF(J784=K784+1,Eingabe!$B$6&amp;"-"&amp;INDEX(Eingabe!$C$9:$C$18,I784)&amp;"-Vorstand  ·  eigenes WLAN",IF(J784=K784+2,Eingabe!$B$6&amp;"-"&amp;INDEX(Eingabe!$C$9:$C$18,I784)&amp;"-Gäste  ·  Voucher",IF(J784=K784+3,"Kabel  ·  Access Point y = .(50+y), Mast-Switch x = .(10+x)","")))))</f>
        <v/>
      </c>
      <c r="I784" s="0" t="str">
        <f aca="false">IF(779&lt;=(Eingabe!$P$18+Eingabe!$Q$18-1),MATCH(779,Eingabe!$P$9:$P$18,1),"")</f>
        <v/>
      </c>
      <c r="J784" s="0" t="str">
        <f aca="false">IF(I784="","",779-INDEX(Eingabe!$P$9:$P$18,I784))</f>
        <v/>
      </c>
      <c r="K784" s="0" t="str">
        <f aca="false">IF(I784="","",INDEX(Eingabe!$E$9:$E$18,I784))</f>
        <v/>
      </c>
    </row>
    <row r="785" customFormat="false" ht="15" hidden="false" customHeight="false" outlineLevel="0" collapsed="false">
      <c r="A785" s="0" t="str">
        <f aca="false">IF(I785="","",IF(J785=0,"Sparte "&amp;I785&amp;": "&amp;INDEX(Eingabe!$B$9:$B$18,I785)&amp;"  (Sparten-ID "&amp;INDEX(Eingabe!$D$9:$D$18,I785)&amp;", "&amp;K785&amp;" Parzellen)",IF(J785&lt;=K785,"   Parzelle "&amp;J785,IF(J785=K785+1,"   Vorstand",IF(J785=K785+2,"   Gäste",IF(J785=K785+3,"   Technik (Switches, Access Points)",""))))))</f>
        <v/>
      </c>
      <c r="B785" s="0" t="str">
        <f aca="false">IF(I785="","",IF(AND(J785&gt;=1,J785&lt;=K785+3),IF(J785&lt;=K785,IF(J785&lt;=99,IF((INDEX(Eingabe!$G$9:$G$18,I785))&lt;=9,1000+(INDEX(Eingabe!$G$9:$G$18,I785))*100,3000)+J785,IF((INDEX(Eingabe!$G$9:$G$18,I785)+1)&lt;=9,1000+(INDEX(Eingabe!$G$9:$G$18,I785)+1)*100,3000)+J785-100),IF(J785=K785+1,2000+INDEX(Eingabe!$G$9:$G$18,I785)*10+1,IF(J785=K785+2,2000+INDEX(Eingabe!$G$9:$G$18,I785)*10+2,2000+INDEX(Eingabe!$G$9:$G$18,I785)*10+9))),""))</f>
        <v/>
      </c>
      <c r="C785" s="0" t="str">
        <f aca="false">IF(I785="","",IF(AND(J785&gt;=1,J785&lt;=K785+3),"10."&amp;INDEX(Eingabe!$D$9:$D$18,I785)&amp;"."&amp;IF(J785&lt;=K785,J785,IF(J785=K785+1,200,IF(J785=K785+2,201,250)))&amp;".0/24",""))</f>
        <v/>
      </c>
      <c r="D785" s="0" t="str">
        <f aca="false">IF(I785="","",IF(AND(J785&gt;=1,J785&lt;=K785+3),"255.255.255.0",""))</f>
        <v/>
      </c>
      <c r="E785" s="0" t="str">
        <f aca="false">IF(I785="","",IF(AND(J785&gt;=1,J785&lt;=K785+3),"10."&amp;INDEX(Eingabe!$D$9:$D$18,I785)&amp;"."&amp;IF(J785&lt;=K785,J785,IF(J785=K785+1,200,IF(J785=K785+2,201,250)))&amp;".1",""))</f>
        <v/>
      </c>
      <c r="F785" s="0" t="str">
        <f aca="false">IF(I785="","",IF(AND(J785&gt;=1,J785&lt;=K785+3),"10."&amp;INDEX(Eingabe!$D$9:$D$18,I785)&amp;"."&amp;IF(J785&lt;=K785,J785,IF(J785=K785+1,200,IF(J785=K785+2,201,250)))&amp;".10 – 10."&amp;INDEX(Eingabe!$D$9:$D$18,I785)&amp;"."&amp;IF(J785&lt;=K785,J785,IF(J785=K785+1,200,IF(J785=K785+2,201,250)))&amp;".250",""))</f>
        <v/>
      </c>
      <c r="G785" s="0" t="str">
        <f aca="false">IF(I785="","",IF(AND(J785&gt;=1,J785&lt;=K785),Eingabe!$B$6&amp;"-"&amp;INDEX(Eingabe!$C$9:$C$18,I785)&amp;"-Pächter  ·  Passwort Parzelle "&amp;J785,IF(J785=K785+1,Eingabe!$B$6&amp;"-"&amp;INDEX(Eingabe!$C$9:$C$18,I785)&amp;"-Vorstand  ·  eigenes WLAN",IF(J785=K785+2,Eingabe!$B$6&amp;"-"&amp;INDEX(Eingabe!$C$9:$C$18,I785)&amp;"-Gäste  ·  Voucher",IF(J785=K785+3,"Kabel  ·  Access Point y = .(50+y), Mast-Switch x = .(10+x)","")))))</f>
        <v/>
      </c>
      <c r="I785" s="0" t="str">
        <f aca="false">IF(780&lt;=(Eingabe!$P$18+Eingabe!$Q$18-1),MATCH(780,Eingabe!$P$9:$P$18,1),"")</f>
        <v/>
      </c>
      <c r="J785" s="0" t="str">
        <f aca="false">IF(I785="","",780-INDEX(Eingabe!$P$9:$P$18,I785))</f>
        <v/>
      </c>
      <c r="K785" s="0" t="str">
        <f aca="false">IF(I785="","",INDEX(Eingabe!$E$9:$E$18,I785))</f>
        <v/>
      </c>
    </row>
    <row r="786" customFormat="false" ht="15" hidden="false" customHeight="false" outlineLevel="0" collapsed="false">
      <c r="A786" s="0" t="str">
        <f aca="false">IF(I786="","",IF(J786=0,"Sparte "&amp;I786&amp;": "&amp;INDEX(Eingabe!$B$9:$B$18,I786)&amp;"  (Sparten-ID "&amp;INDEX(Eingabe!$D$9:$D$18,I786)&amp;", "&amp;K786&amp;" Parzellen)",IF(J786&lt;=K786,"   Parzelle "&amp;J786,IF(J786=K786+1,"   Vorstand",IF(J786=K786+2,"   Gäste",IF(J786=K786+3,"   Technik (Switches, Access Points)",""))))))</f>
        <v/>
      </c>
      <c r="B786" s="0" t="str">
        <f aca="false">IF(I786="","",IF(AND(J786&gt;=1,J786&lt;=K786+3),IF(J786&lt;=K786,IF(J786&lt;=99,IF((INDEX(Eingabe!$G$9:$G$18,I786))&lt;=9,1000+(INDEX(Eingabe!$G$9:$G$18,I786))*100,3000)+J786,IF((INDEX(Eingabe!$G$9:$G$18,I786)+1)&lt;=9,1000+(INDEX(Eingabe!$G$9:$G$18,I786)+1)*100,3000)+J786-100),IF(J786=K786+1,2000+INDEX(Eingabe!$G$9:$G$18,I786)*10+1,IF(J786=K786+2,2000+INDEX(Eingabe!$G$9:$G$18,I786)*10+2,2000+INDEX(Eingabe!$G$9:$G$18,I786)*10+9))),""))</f>
        <v/>
      </c>
      <c r="C786" s="0" t="str">
        <f aca="false">IF(I786="","",IF(AND(J786&gt;=1,J786&lt;=K786+3),"10."&amp;INDEX(Eingabe!$D$9:$D$18,I786)&amp;"."&amp;IF(J786&lt;=K786,J786,IF(J786=K786+1,200,IF(J786=K786+2,201,250)))&amp;".0/24",""))</f>
        <v/>
      </c>
      <c r="D786" s="0" t="str">
        <f aca="false">IF(I786="","",IF(AND(J786&gt;=1,J786&lt;=K786+3),"255.255.255.0",""))</f>
        <v/>
      </c>
      <c r="E786" s="0" t="str">
        <f aca="false">IF(I786="","",IF(AND(J786&gt;=1,J786&lt;=K786+3),"10."&amp;INDEX(Eingabe!$D$9:$D$18,I786)&amp;"."&amp;IF(J786&lt;=K786,J786,IF(J786=K786+1,200,IF(J786=K786+2,201,250)))&amp;".1",""))</f>
        <v/>
      </c>
      <c r="F786" s="0" t="str">
        <f aca="false">IF(I786="","",IF(AND(J786&gt;=1,J786&lt;=K786+3),"10."&amp;INDEX(Eingabe!$D$9:$D$18,I786)&amp;"."&amp;IF(J786&lt;=K786,J786,IF(J786=K786+1,200,IF(J786=K786+2,201,250)))&amp;".10 – 10."&amp;INDEX(Eingabe!$D$9:$D$18,I786)&amp;"."&amp;IF(J786&lt;=K786,J786,IF(J786=K786+1,200,IF(J786=K786+2,201,250)))&amp;".250",""))</f>
        <v/>
      </c>
      <c r="G786" s="0" t="str">
        <f aca="false">IF(I786="","",IF(AND(J786&gt;=1,J786&lt;=K786),Eingabe!$B$6&amp;"-"&amp;INDEX(Eingabe!$C$9:$C$18,I786)&amp;"-Pächter  ·  Passwort Parzelle "&amp;J786,IF(J786=K786+1,Eingabe!$B$6&amp;"-"&amp;INDEX(Eingabe!$C$9:$C$18,I786)&amp;"-Vorstand  ·  eigenes WLAN",IF(J786=K786+2,Eingabe!$B$6&amp;"-"&amp;INDEX(Eingabe!$C$9:$C$18,I786)&amp;"-Gäste  ·  Voucher",IF(J786=K786+3,"Kabel  ·  Access Point y = .(50+y), Mast-Switch x = .(10+x)","")))))</f>
        <v/>
      </c>
      <c r="I786" s="0" t="str">
        <f aca="false">IF(781&lt;=(Eingabe!$P$18+Eingabe!$Q$18-1),MATCH(781,Eingabe!$P$9:$P$18,1),"")</f>
        <v/>
      </c>
      <c r="J786" s="0" t="str">
        <f aca="false">IF(I786="","",781-INDEX(Eingabe!$P$9:$P$18,I786))</f>
        <v/>
      </c>
      <c r="K786" s="0" t="str">
        <f aca="false">IF(I786="","",INDEX(Eingabe!$E$9:$E$18,I786))</f>
        <v/>
      </c>
    </row>
    <row r="787" customFormat="false" ht="15" hidden="false" customHeight="false" outlineLevel="0" collapsed="false">
      <c r="A787" s="0" t="str">
        <f aca="false">IF(I787="","",IF(J787=0,"Sparte "&amp;I787&amp;": "&amp;INDEX(Eingabe!$B$9:$B$18,I787)&amp;"  (Sparten-ID "&amp;INDEX(Eingabe!$D$9:$D$18,I787)&amp;", "&amp;K787&amp;" Parzellen)",IF(J787&lt;=K787,"   Parzelle "&amp;J787,IF(J787=K787+1,"   Vorstand",IF(J787=K787+2,"   Gäste",IF(J787=K787+3,"   Technik (Switches, Access Points)",""))))))</f>
        <v/>
      </c>
      <c r="B787" s="0" t="str">
        <f aca="false">IF(I787="","",IF(AND(J787&gt;=1,J787&lt;=K787+3),IF(J787&lt;=K787,IF(J787&lt;=99,IF((INDEX(Eingabe!$G$9:$G$18,I787))&lt;=9,1000+(INDEX(Eingabe!$G$9:$G$18,I787))*100,3000)+J787,IF((INDEX(Eingabe!$G$9:$G$18,I787)+1)&lt;=9,1000+(INDEX(Eingabe!$G$9:$G$18,I787)+1)*100,3000)+J787-100),IF(J787=K787+1,2000+INDEX(Eingabe!$G$9:$G$18,I787)*10+1,IF(J787=K787+2,2000+INDEX(Eingabe!$G$9:$G$18,I787)*10+2,2000+INDEX(Eingabe!$G$9:$G$18,I787)*10+9))),""))</f>
        <v/>
      </c>
      <c r="C787" s="0" t="str">
        <f aca="false">IF(I787="","",IF(AND(J787&gt;=1,J787&lt;=K787+3),"10."&amp;INDEX(Eingabe!$D$9:$D$18,I787)&amp;"."&amp;IF(J787&lt;=K787,J787,IF(J787=K787+1,200,IF(J787=K787+2,201,250)))&amp;".0/24",""))</f>
        <v/>
      </c>
      <c r="D787" s="0" t="str">
        <f aca="false">IF(I787="","",IF(AND(J787&gt;=1,J787&lt;=K787+3),"255.255.255.0",""))</f>
        <v/>
      </c>
      <c r="E787" s="0" t="str">
        <f aca="false">IF(I787="","",IF(AND(J787&gt;=1,J787&lt;=K787+3),"10."&amp;INDEX(Eingabe!$D$9:$D$18,I787)&amp;"."&amp;IF(J787&lt;=K787,J787,IF(J787=K787+1,200,IF(J787=K787+2,201,250)))&amp;".1",""))</f>
        <v/>
      </c>
      <c r="F787" s="0" t="str">
        <f aca="false">IF(I787="","",IF(AND(J787&gt;=1,J787&lt;=K787+3),"10."&amp;INDEX(Eingabe!$D$9:$D$18,I787)&amp;"."&amp;IF(J787&lt;=K787,J787,IF(J787=K787+1,200,IF(J787=K787+2,201,250)))&amp;".10 – 10."&amp;INDEX(Eingabe!$D$9:$D$18,I787)&amp;"."&amp;IF(J787&lt;=K787,J787,IF(J787=K787+1,200,IF(J787=K787+2,201,250)))&amp;".250",""))</f>
        <v/>
      </c>
      <c r="G787" s="0" t="str">
        <f aca="false">IF(I787="","",IF(AND(J787&gt;=1,J787&lt;=K787),Eingabe!$B$6&amp;"-"&amp;INDEX(Eingabe!$C$9:$C$18,I787)&amp;"-Pächter  ·  Passwort Parzelle "&amp;J787,IF(J787=K787+1,Eingabe!$B$6&amp;"-"&amp;INDEX(Eingabe!$C$9:$C$18,I787)&amp;"-Vorstand  ·  eigenes WLAN",IF(J787=K787+2,Eingabe!$B$6&amp;"-"&amp;INDEX(Eingabe!$C$9:$C$18,I787)&amp;"-Gäste  ·  Voucher",IF(J787=K787+3,"Kabel  ·  Access Point y = .(50+y), Mast-Switch x = .(10+x)","")))))</f>
        <v/>
      </c>
      <c r="I787" s="0" t="str">
        <f aca="false">IF(782&lt;=(Eingabe!$P$18+Eingabe!$Q$18-1),MATCH(782,Eingabe!$P$9:$P$18,1),"")</f>
        <v/>
      </c>
      <c r="J787" s="0" t="str">
        <f aca="false">IF(I787="","",782-INDEX(Eingabe!$P$9:$P$18,I787))</f>
        <v/>
      </c>
      <c r="K787" s="0" t="str">
        <f aca="false">IF(I787="","",INDEX(Eingabe!$E$9:$E$18,I787))</f>
        <v/>
      </c>
    </row>
    <row r="788" customFormat="false" ht="15" hidden="false" customHeight="false" outlineLevel="0" collapsed="false">
      <c r="A788" s="0" t="str">
        <f aca="false">IF(I788="","",IF(J788=0,"Sparte "&amp;I788&amp;": "&amp;INDEX(Eingabe!$B$9:$B$18,I788)&amp;"  (Sparten-ID "&amp;INDEX(Eingabe!$D$9:$D$18,I788)&amp;", "&amp;K788&amp;" Parzellen)",IF(J788&lt;=K788,"   Parzelle "&amp;J788,IF(J788=K788+1,"   Vorstand",IF(J788=K788+2,"   Gäste",IF(J788=K788+3,"   Technik (Switches, Access Points)",""))))))</f>
        <v/>
      </c>
      <c r="B788" s="0" t="str">
        <f aca="false">IF(I788="","",IF(AND(J788&gt;=1,J788&lt;=K788+3),IF(J788&lt;=K788,IF(J788&lt;=99,IF((INDEX(Eingabe!$G$9:$G$18,I788))&lt;=9,1000+(INDEX(Eingabe!$G$9:$G$18,I788))*100,3000)+J788,IF((INDEX(Eingabe!$G$9:$G$18,I788)+1)&lt;=9,1000+(INDEX(Eingabe!$G$9:$G$18,I788)+1)*100,3000)+J788-100),IF(J788=K788+1,2000+INDEX(Eingabe!$G$9:$G$18,I788)*10+1,IF(J788=K788+2,2000+INDEX(Eingabe!$G$9:$G$18,I788)*10+2,2000+INDEX(Eingabe!$G$9:$G$18,I788)*10+9))),""))</f>
        <v/>
      </c>
      <c r="C788" s="0" t="str">
        <f aca="false">IF(I788="","",IF(AND(J788&gt;=1,J788&lt;=K788+3),"10."&amp;INDEX(Eingabe!$D$9:$D$18,I788)&amp;"."&amp;IF(J788&lt;=K788,J788,IF(J788=K788+1,200,IF(J788=K788+2,201,250)))&amp;".0/24",""))</f>
        <v/>
      </c>
      <c r="D788" s="0" t="str">
        <f aca="false">IF(I788="","",IF(AND(J788&gt;=1,J788&lt;=K788+3),"255.255.255.0",""))</f>
        <v/>
      </c>
      <c r="E788" s="0" t="str">
        <f aca="false">IF(I788="","",IF(AND(J788&gt;=1,J788&lt;=K788+3),"10."&amp;INDEX(Eingabe!$D$9:$D$18,I788)&amp;"."&amp;IF(J788&lt;=K788,J788,IF(J788=K788+1,200,IF(J788=K788+2,201,250)))&amp;".1",""))</f>
        <v/>
      </c>
      <c r="F788" s="0" t="str">
        <f aca="false">IF(I788="","",IF(AND(J788&gt;=1,J788&lt;=K788+3),"10."&amp;INDEX(Eingabe!$D$9:$D$18,I788)&amp;"."&amp;IF(J788&lt;=K788,J788,IF(J788=K788+1,200,IF(J788=K788+2,201,250)))&amp;".10 – 10."&amp;INDEX(Eingabe!$D$9:$D$18,I788)&amp;"."&amp;IF(J788&lt;=K788,J788,IF(J788=K788+1,200,IF(J788=K788+2,201,250)))&amp;".250",""))</f>
        <v/>
      </c>
      <c r="G788" s="0" t="str">
        <f aca="false">IF(I788="","",IF(AND(J788&gt;=1,J788&lt;=K788),Eingabe!$B$6&amp;"-"&amp;INDEX(Eingabe!$C$9:$C$18,I788)&amp;"-Pächter  ·  Passwort Parzelle "&amp;J788,IF(J788=K788+1,Eingabe!$B$6&amp;"-"&amp;INDEX(Eingabe!$C$9:$C$18,I788)&amp;"-Vorstand  ·  eigenes WLAN",IF(J788=K788+2,Eingabe!$B$6&amp;"-"&amp;INDEX(Eingabe!$C$9:$C$18,I788)&amp;"-Gäste  ·  Voucher",IF(J788=K788+3,"Kabel  ·  Access Point y = .(50+y), Mast-Switch x = .(10+x)","")))))</f>
        <v/>
      </c>
      <c r="I788" s="0" t="str">
        <f aca="false">IF(783&lt;=(Eingabe!$P$18+Eingabe!$Q$18-1),MATCH(783,Eingabe!$P$9:$P$18,1),"")</f>
        <v/>
      </c>
      <c r="J788" s="0" t="str">
        <f aca="false">IF(I788="","",783-INDEX(Eingabe!$P$9:$P$18,I788))</f>
        <v/>
      </c>
      <c r="K788" s="0" t="str">
        <f aca="false">IF(I788="","",INDEX(Eingabe!$E$9:$E$18,I788))</f>
        <v/>
      </c>
    </row>
    <row r="789" customFormat="false" ht="15" hidden="false" customHeight="false" outlineLevel="0" collapsed="false">
      <c r="A789" s="0" t="str">
        <f aca="false">IF(I789="","",IF(J789=0,"Sparte "&amp;I789&amp;": "&amp;INDEX(Eingabe!$B$9:$B$18,I789)&amp;"  (Sparten-ID "&amp;INDEX(Eingabe!$D$9:$D$18,I789)&amp;", "&amp;K789&amp;" Parzellen)",IF(J789&lt;=K789,"   Parzelle "&amp;J789,IF(J789=K789+1,"   Vorstand",IF(J789=K789+2,"   Gäste",IF(J789=K789+3,"   Technik (Switches, Access Points)",""))))))</f>
        <v/>
      </c>
      <c r="B789" s="0" t="str">
        <f aca="false">IF(I789="","",IF(AND(J789&gt;=1,J789&lt;=K789+3),IF(J789&lt;=K789,IF(J789&lt;=99,IF((INDEX(Eingabe!$G$9:$G$18,I789))&lt;=9,1000+(INDEX(Eingabe!$G$9:$G$18,I789))*100,3000)+J789,IF((INDEX(Eingabe!$G$9:$G$18,I789)+1)&lt;=9,1000+(INDEX(Eingabe!$G$9:$G$18,I789)+1)*100,3000)+J789-100),IF(J789=K789+1,2000+INDEX(Eingabe!$G$9:$G$18,I789)*10+1,IF(J789=K789+2,2000+INDEX(Eingabe!$G$9:$G$18,I789)*10+2,2000+INDEX(Eingabe!$G$9:$G$18,I789)*10+9))),""))</f>
        <v/>
      </c>
      <c r="C789" s="0" t="str">
        <f aca="false">IF(I789="","",IF(AND(J789&gt;=1,J789&lt;=K789+3),"10."&amp;INDEX(Eingabe!$D$9:$D$18,I789)&amp;"."&amp;IF(J789&lt;=K789,J789,IF(J789=K789+1,200,IF(J789=K789+2,201,250)))&amp;".0/24",""))</f>
        <v/>
      </c>
      <c r="D789" s="0" t="str">
        <f aca="false">IF(I789="","",IF(AND(J789&gt;=1,J789&lt;=K789+3),"255.255.255.0",""))</f>
        <v/>
      </c>
      <c r="E789" s="0" t="str">
        <f aca="false">IF(I789="","",IF(AND(J789&gt;=1,J789&lt;=K789+3),"10."&amp;INDEX(Eingabe!$D$9:$D$18,I789)&amp;"."&amp;IF(J789&lt;=K789,J789,IF(J789=K789+1,200,IF(J789=K789+2,201,250)))&amp;".1",""))</f>
        <v/>
      </c>
      <c r="F789" s="0" t="str">
        <f aca="false">IF(I789="","",IF(AND(J789&gt;=1,J789&lt;=K789+3),"10."&amp;INDEX(Eingabe!$D$9:$D$18,I789)&amp;"."&amp;IF(J789&lt;=K789,J789,IF(J789=K789+1,200,IF(J789=K789+2,201,250)))&amp;".10 – 10."&amp;INDEX(Eingabe!$D$9:$D$18,I789)&amp;"."&amp;IF(J789&lt;=K789,J789,IF(J789=K789+1,200,IF(J789=K789+2,201,250)))&amp;".250",""))</f>
        <v/>
      </c>
      <c r="G789" s="0" t="str">
        <f aca="false">IF(I789="","",IF(AND(J789&gt;=1,J789&lt;=K789),Eingabe!$B$6&amp;"-"&amp;INDEX(Eingabe!$C$9:$C$18,I789)&amp;"-Pächter  ·  Passwort Parzelle "&amp;J789,IF(J789=K789+1,Eingabe!$B$6&amp;"-"&amp;INDEX(Eingabe!$C$9:$C$18,I789)&amp;"-Vorstand  ·  eigenes WLAN",IF(J789=K789+2,Eingabe!$B$6&amp;"-"&amp;INDEX(Eingabe!$C$9:$C$18,I789)&amp;"-Gäste  ·  Voucher",IF(J789=K789+3,"Kabel  ·  Access Point y = .(50+y), Mast-Switch x = .(10+x)","")))))</f>
        <v/>
      </c>
      <c r="I789" s="0" t="str">
        <f aca="false">IF(784&lt;=(Eingabe!$P$18+Eingabe!$Q$18-1),MATCH(784,Eingabe!$P$9:$P$18,1),"")</f>
        <v/>
      </c>
      <c r="J789" s="0" t="str">
        <f aca="false">IF(I789="","",784-INDEX(Eingabe!$P$9:$P$18,I789))</f>
        <v/>
      </c>
      <c r="K789" s="0" t="str">
        <f aca="false">IF(I789="","",INDEX(Eingabe!$E$9:$E$18,I789))</f>
        <v/>
      </c>
    </row>
    <row r="790" customFormat="false" ht="15" hidden="false" customHeight="false" outlineLevel="0" collapsed="false">
      <c r="A790" s="0" t="str">
        <f aca="false">IF(I790="","",IF(J790=0,"Sparte "&amp;I790&amp;": "&amp;INDEX(Eingabe!$B$9:$B$18,I790)&amp;"  (Sparten-ID "&amp;INDEX(Eingabe!$D$9:$D$18,I790)&amp;", "&amp;K790&amp;" Parzellen)",IF(J790&lt;=K790,"   Parzelle "&amp;J790,IF(J790=K790+1,"   Vorstand",IF(J790=K790+2,"   Gäste",IF(J790=K790+3,"   Technik (Switches, Access Points)",""))))))</f>
        <v/>
      </c>
      <c r="B790" s="0" t="str">
        <f aca="false">IF(I790="","",IF(AND(J790&gt;=1,J790&lt;=K790+3),IF(J790&lt;=K790,IF(J790&lt;=99,IF((INDEX(Eingabe!$G$9:$G$18,I790))&lt;=9,1000+(INDEX(Eingabe!$G$9:$G$18,I790))*100,3000)+J790,IF((INDEX(Eingabe!$G$9:$G$18,I790)+1)&lt;=9,1000+(INDEX(Eingabe!$G$9:$G$18,I790)+1)*100,3000)+J790-100),IF(J790=K790+1,2000+INDEX(Eingabe!$G$9:$G$18,I790)*10+1,IF(J790=K790+2,2000+INDEX(Eingabe!$G$9:$G$18,I790)*10+2,2000+INDEX(Eingabe!$G$9:$G$18,I790)*10+9))),""))</f>
        <v/>
      </c>
      <c r="C790" s="0" t="str">
        <f aca="false">IF(I790="","",IF(AND(J790&gt;=1,J790&lt;=K790+3),"10."&amp;INDEX(Eingabe!$D$9:$D$18,I790)&amp;"."&amp;IF(J790&lt;=K790,J790,IF(J790=K790+1,200,IF(J790=K790+2,201,250)))&amp;".0/24",""))</f>
        <v/>
      </c>
      <c r="D790" s="0" t="str">
        <f aca="false">IF(I790="","",IF(AND(J790&gt;=1,J790&lt;=K790+3),"255.255.255.0",""))</f>
        <v/>
      </c>
      <c r="E790" s="0" t="str">
        <f aca="false">IF(I790="","",IF(AND(J790&gt;=1,J790&lt;=K790+3),"10."&amp;INDEX(Eingabe!$D$9:$D$18,I790)&amp;"."&amp;IF(J790&lt;=K790,J790,IF(J790=K790+1,200,IF(J790=K790+2,201,250)))&amp;".1",""))</f>
        <v/>
      </c>
      <c r="F790" s="0" t="str">
        <f aca="false">IF(I790="","",IF(AND(J790&gt;=1,J790&lt;=K790+3),"10."&amp;INDEX(Eingabe!$D$9:$D$18,I790)&amp;"."&amp;IF(J790&lt;=K790,J790,IF(J790=K790+1,200,IF(J790=K790+2,201,250)))&amp;".10 – 10."&amp;INDEX(Eingabe!$D$9:$D$18,I790)&amp;"."&amp;IF(J790&lt;=K790,J790,IF(J790=K790+1,200,IF(J790=K790+2,201,250)))&amp;".250",""))</f>
        <v/>
      </c>
      <c r="G790" s="0" t="str">
        <f aca="false">IF(I790="","",IF(AND(J790&gt;=1,J790&lt;=K790),Eingabe!$B$6&amp;"-"&amp;INDEX(Eingabe!$C$9:$C$18,I790)&amp;"-Pächter  ·  Passwort Parzelle "&amp;J790,IF(J790=K790+1,Eingabe!$B$6&amp;"-"&amp;INDEX(Eingabe!$C$9:$C$18,I790)&amp;"-Vorstand  ·  eigenes WLAN",IF(J790=K790+2,Eingabe!$B$6&amp;"-"&amp;INDEX(Eingabe!$C$9:$C$18,I790)&amp;"-Gäste  ·  Voucher",IF(J790=K790+3,"Kabel  ·  Access Point y = .(50+y), Mast-Switch x = .(10+x)","")))))</f>
        <v/>
      </c>
      <c r="I790" s="0" t="str">
        <f aca="false">IF(785&lt;=(Eingabe!$P$18+Eingabe!$Q$18-1),MATCH(785,Eingabe!$P$9:$P$18,1),"")</f>
        <v/>
      </c>
      <c r="J790" s="0" t="str">
        <f aca="false">IF(I790="","",785-INDEX(Eingabe!$P$9:$P$18,I790))</f>
        <v/>
      </c>
      <c r="K790" s="0" t="str">
        <f aca="false">IF(I790="","",INDEX(Eingabe!$E$9:$E$18,I790))</f>
        <v/>
      </c>
    </row>
    <row r="791" customFormat="false" ht="15" hidden="false" customHeight="false" outlineLevel="0" collapsed="false">
      <c r="A791" s="0" t="str">
        <f aca="false">IF(I791="","",IF(J791=0,"Sparte "&amp;I791&amp;": "&amp;INDEX(Eingabe!$B$9:$B$18,I791)&amp;"  (Sparten-ID "&amp;INDEX(Eingabe!$D$9:$D$18,I791)&amp;", "&amp;K791&amp;" Parzellen)",IF(J791&lt;=K791,"   Parzelle "&amp;J791,IF(J791=K791+1,"   Vorstand",IF(J791=K791+2,"   Gäste",IF(J791=K791+3,"   Technik (Switches, Access Points)",""))))))</f>
        <v/>
      </c>
      <c r="B791" s="0" t="str">
        <f aca="false">IF(I791="","",IF(AND(J791&gt;=1,J791&lt;=K791+3),IF(J791&lt;=K791,IF(J791&lt;=99,IF((INDEX(Eingabe!$G$9:$G$18,I791))&lt;=9,1000+(INDEX(Eingabe!$G$9:$G$18,I791))*100,3000)+J791,IF((INDEX(Eingabe!$G$9:$G$18,I791)+1)&lt;=9,1000+(INDEX(Eingabe!$G$9:$G$18,I791)+1)*100,3000)+J791-100),IF(J791=K791+1,2000+INDEX(Eingabe!$G$9:$G$18,I791)*10+1,IF(J791=K791+2,2000+INDEX(Eingabe!$G$9:$G$18,I791)*10+2,2000+INDEX(Eingabe!$G$9:$G$18,I791)*10+9))),""))</f>
        <v/>
      </c>
      <c r="C791" s="0" t="str">
        <f aca="false">IF(I791="","",IF(AND(J791&gt;=1,J791&lt;=K791+3),"10."&amp;INDEX(Eingabe!$D$9:$D$18,I791)&amp;"."&amp;IF(J791&lt;=K791,J791,IF(J791=K791+1,200,IF(J791=K791+2,201,250)))&amp;".0/24",""))</f>
        <v/>
      </c>
      <c r="D791" s="0" t="str">
        <f aca="false">IF(I791="","",IF(AND(J791&gt;=1,J791&lt;=K791+3),"255.255.255.0",""))</f>
        <v/>
      </c>
      <c r="E791" s="0" t="str">
        <f aca="false">IF(I791="","",IF(AND(J791&gt;=1,J791&lt;=K791+3),"10."&amp;INDEX(Eingabe!$D$9:$D$18,I791)&amp;"."&amp;IF(J791&lt;=K791,J791,IF(J791=K791+1,200,IF(J791=K791+2,201,250)))&amp;".1",""))</f>
        <v/>
      </c>
      <c r="F791" s="0" t="str">
        <f aca="false">IF(I791="","",IF(AND(J791&gt;=1,J791&lt;=K791+3),"10."&amp;INDEX(Eingabe!$D$9:$D$18,I791)&amp;"."&amp;IF(J791&lt;=K791,J791,IF(J791=K791+1,200,IF(J791=K791+2,201,250)))&amp;".10 – 10."&amp;INDEX(Eingabe!$D$9:$D$18,I791)&amp;"."&amp;IF(J791&lt;=K791,J791,IF(J791=K791+1,200,IF(J791=K791+2,201,250)))&amp;".250",""))</f>
        <v/>
      </c>
      <c r="G791" s="0" t="str">
        <f aca="false">IF(I791="","",IF(AND(J791&gt;=1,J791&lt;=K791),Eingabe!$B$6&amp;"-"&amp;INDEX(Eingabe!$C$9:$C$18,I791)&amp;"-Pächter  ·  Passwort Parzelle "&amp;J791,IF(J791=K791+1,Eingabe!$B$6&amp;"-"&amp;INDEX(Eingabe!$C$9:$C$18,I791)&amp;"-Vorstand  ·  eigenes WLAN",IF(J791=K791+2,Eingabe!$B$6&amp;"-"&amp;INDEX(Eingabe!$C$9:$C$18,I791)&amp;"-Gäste  ·  Voucher",IF(J791=K791+3,"Kabel  ·  Access Point y = .(50+y), Mast-Switch x = .(10+x)","")))))</f>
        <v/>
      </c>
      <c r="I791" s="0" t="str">
        <f aca="false">IF(786&lt;=(Eingabe!$P$18+Eingabe!$Q$18-1),MATCH(786,Eingabe!$P$9:$P$18,1),"")</f>
        <v/>
      </c>
      <c r="J791" s="0" t="str">
        <f aca="false">IF(I791="","",786-INDEX(Eingabe!$P$9:$P$18,I791))</f>
        <v/>
      </c>
      <c r="K791" s="0" t="str">
        <f aca="false">IF(I791="","",INDEX(Eingabe!$E$9:$E$18,I791))</f>
        <v/>
      </c>
    </row>
    <row r="792" customFormat="false" ht="15" hidden="false" customHeight="false" outlineLevel="0" collapsed="false">
      <c r="A792" s="0" t="str">
        <f aca="false">IF(I792="","",IF(J792=0,"Sparte "&amp;I792&amp;": "&amp;INDEX(Eingabe!$B$9:$B$18,I792)&amp;"  (Sparten-ID "&amp;INDEX(Eingabe!$D$9:$D$18,I792)&amp;", "&amp;K792&amp;" Parzellen)",IF(J792&lt;=K792,"   Parzelle "&amp;J792,IF(J792=K792+1,"   Vorstand",IF(J792=K792+2,"   Gäste",IF(J792=K792+3,"   Technik (Switches, Access Points)",""))))))</f>
        <v/>
      </c>
      <c r="B792" s="0" t="str">
        <f aca="false">IF(I792="","",IF(AND(J792&gt;=1,J792&lt;=K792+3),IF(J792&lt;=K792,IF(J792&lt;=99,IF((INDEX(Eingabe!$G$9:$G$18,I792))&lt;=9,1000+(INDEX(Eingabe!$G$9:$G$18,I792))*100,3000)+J792,IF((INDEX(Eingabe!$G$9:$G$18,I792)+1)&lt;=9,1000+(INDEX(Eingabe!$G$9:$G$18,I792)+1)*100,3000)+J792-100),IF(J792=K792+1,2000+INDEX(Eingabe!$G$9:$G$18,I792)*10+1,IF(J792=K792+2,2000+INDEX(Eingabe!$G$9:$G$18,I792)*10+2,2000+INDEX(Eingabe!$G$9:$G$18,I792)*10+9))),""))</f>
        <v/>
      </c>
      <c r="C792" s="0" t="str">
        <f aca="false">IF(I792="","",IF(AND(J792&gt;=1,J792&lt;=K792+3),"10."&amp;INDEX(Eingabe!$D$9:$D$18,I792)&amp;"."&amp;IF(J792&lt;=K792,J792,IF(J792=K792+1,200,IF(J792=K792+2,201,250)))&amp;".0/24",""))</f>
        <v/>
      </c>
      <c r="D792" s="0" t="str">
        <f aca="false">IF(I792="","",IF(AND(J792&gt;=1,J792&lt;=K792+3),"255.255.255.0",""))</f>
        <v/>
      </c>
      <c r="E792" s="0" t="str">
        <f aca="false">IF(I792="","",IF(AND(J792&gt;=1,J792&lt;=K792+3),"10."&amp;INDEX(Eingabe!$D$9:$D$18,I792)&amp;"."&amp;IF(J792&lt;=K792,J792,IF(J792=K792+1,200,IF(J792=K792+2,201,250)))&amp;".1",""))</f>
        <v/>
      </c>
      <c r="F792" s="0" t="str">
        <f aca="false">IF(I792="","",IF(AND(J792&gt;=1,J792&lt;=K792+3),"10."&amp;INDEX(Eingabe!$D$9:$D$18,I792)&amp;"."&amp;IF(J792&lt;=K792,J792,IF(J792=K792+1,200,IF(J792=K792+2,201,250)))&amp;".10 – 10."&amp;INDEX(Eingabe!$D$9:$D$18,I792)&amp;"."&amp;IF(J792&lt;=K792,J792,IF(J792=K792+1,200,IF(J792=K792+2,201,250)))&amp;".250",""))</f>
        <v/>
      </c>
      <c r="G792" s="0" t="str">
        <f aca="false">IF(I792="","",IF(AND(J792&gt;=1,J792&lt;=K792),Eingabe!$B$6&amp;"-"&amp;INDEX(Eingabe!$C$9:$C$18,I792)&amp;"-Pächter  ·  Passwort Parzelle "&amp;J792,IF(J792=K792+1,Eingabe!$B$6&amp;"-"&amp;INDEX(Eingabe!$C$9:$C$18,I792)&amp;"-Vorstand  ·  eigenes WLAN",IF(J792=K792+2,Eingabe!$B$6&amp;"-"&amp;INDEX(Eingabe!$C$9:$C$18,I792)&amp;"-Gäste  ·  Voucher",IF(J792=K792+3,"Kabel  ·  Access Point y = .(50+y), Mast-Switch x = .(10+x)","")))))</f>
        <v/>
      </c>
      <c r="I792" s="0" t="str">
        <f aca="false">IF(787&lt;=(Eingabe!$P$18+Eingabe!$Q$18-1),MATCH(787,Eingabe!$P$9:$P$18,1),"")</f>
        <v/>
      </c>
      <c r="J792" s="0" t="str">
        <f aca="false">IF(I792="","",787-INDEX(Eingabe!$P$9:$P$18,I792))</f>
        <v/>
      </c>
      <c r="K792" s="0" t="str">
        <f aca="false">IF(I792="","",INDEX(Eingabe!$E$9:$E$18,I792))</f>
        <v/>
      </c>
    </row>
    <row r="793" customFormat="false" ht="15" hidden="false" customHeight="false" outlineLevel="0" collapsed="false">
      <c r="A793" s="0" t="str">
        <f aca="false">IF(I793="","",IF(J793=0,"Sparte "&amp;I793&amp;": "&amp;INDEX(Eingabe!$B$9:$B$18,I793)&amp;"  (Sparten-ID "&amp;INDEX(Eingabe!$D$9:$D$18,I793)&amp;", "&amp;K793&amp;" Parzellen)",IF(J793&lt;=K793,"   Parzelle "&amp;J793,IF(J793=K793+1,"   Vorstand",IF(J793=K793+2,"   Gäste",IF(J793=K793+3,"   Technik (Switches, Access Points)",""))))))</f>
        <v/>
      </c>
      <c r="B793" s="0" t="str">
        <f aca="false">IF(I793="","",IF(AND(J793&gt;=1,J793&lt;=K793+3),IF(J793&lt;=K793,IF(J793&lt;=99,IF((INDEX(Eingabe!$G$9:$G$18,I793))&lt;=9,1000+(INDEX(Eingabe!$G$9:$G$18,I793))*100,3000)+J793,IF((INDEX(Eingabe!$G$9:$G$18,I793)+1)&lt;=9,1000+(INDEX(Eingabe!$G$9:$G$18,I793)+1)*100,3000)+J793-100),IF(J793=K793+1,2000+INDEX(Eingabe!$G$9:$G$18,I793)*10+1,IF(J793=K793+2,2000+INDEX(Eingabe!$G$9:$G$18,I793)*10+2,2000+INDEX(Eingabe!$G$9:$G$18,I793)*10+9))),""))</f>
        <v/>
      </c>
      <c r="C793" s="0" t="str">
        <f aca="false">IF(I793="","",IF(AND(J793&gt;=1,J793&lt;=K793+3),"10."&amp;INDEX(Eingabe!$D$9:$D$18,I793)&amp;"."&amp;IF(J793&lt;=K793,J793,IF(J793=K793+1,200,IF(J793=K793+2,201,250)))&amp;".0/24",""))</f>
        <v/>
      </c>
      <c r="D793" s="0" t="str">
        <f aca="false">IF(I793="","",IF(AND(J793&gt;=1,J793&lt;=K793+3),"255.255.255.0",""))</f>
        <v/>
      </c>
      <c r="E793" s="0" t="str">
        <f aca="false">IF(I793="","",IF(AND(J793&gt;=1,J793&lt;=K793+3),"10."&amp;INDEX(Eingabe!$D$9:$D$18,I793)&amp;"."&amp;IF(J793&lt;=K793,J793,IF(J793=K793+1,200,IF(J793=K793+2,201,250)))&amp;".1",""))</f>
        <v/>
      </c>
      <c r="F793" s="0" t="str">
        <f aca="false">IF(I793="","",IF(AND(J793&gt;=1,J793&lt;=K793+3),"10."&amp;INDEX(Eingabe!$D$9:$D$18,I793)&amp;"."&amp;IF(J793&lt;=K793,J793,IF(J793=K793+1,200,IF(J793=K793+2,201,250)))&amp;".10 – 10."&amp;INDEX(Eingabe!$D$9:$D$18,I793)&amp;"."&amp;IF(J793&lt;=K793,J793,IF(J793=K793+1,200,IF(J793=K793+2,201,250)))&amp;".250",""))</f>
        <v/>
      </c>
      <c r="G793" s="0" t="str">
        <f aca="false">IF(I793="","",IF(AND(J793&gt;=1,J793&lt;=K793),Eingabe!$B$6&amp;"-"&amp;INDEX(Eingabe!$C$9:$C$18,I793)&amp;"-Pächter  ·  Passwort Parzelle "&amp;J793,IF(J793=K793+1,Eingabe!$B$6&amp;"-"&amp;INDEX(Eingabe!$C$9:$C$18,I793)&amp;"-Vorstand  ·  eigenes WLAN",IF(J793=K793+2,Eingabe!$B$6&amp;"-"&amp;INDEX(Eingabe!$C$9:$C$18,I793)&amp;"-Gäste  ·  Voucher",IF(J793=K793+3,"Kabel  ·  Access Point y = .(50+y), Mast-Switch x = .(10+x)","")))))</f>
        <v/>
      </c>
      <c r="I793" s="0" t="str">
        <f aca="false">IF(788&lt;=(Eingabe!$P$18+Eingabe!$Q$18-1),MATCH(788,Eingabe!$P$9:$P$18,1),"")</f>
        <v/>
      </c>
      <c r="J793" s="0" t="str">
        <f aca="false">IF(I793="","",788-INDEX(Eingabe!$P$9:$P$18,I793))</f>
        <v/>
      </c>
      <c r="K793" s="0" t="str">
        <f aca="false">IF(I793="","",INDEX(Eingabe!$E$9:$E$18,I793))</f>
        <v/>
      </c>
    </row>
    <row r="794" customFormat="false" ht="15" hidden="false" customHeight="false" outlineLevel="0" collapsed="false">
      <c r="A794" s="0" t="str">
        <f aca="false">IF(I794="","",IF(J794=0,"Sparte "&amp;I794&amp;": "&amp;INDEX(Eingabe!$B$9:$B$18,I794)&amp;"  (Sparten-ID "&amp;INDEX(Eingabe!$D$9:$D$18,I794)&amp;", "&amp;K794&amp;" Parzellen)",IF(J794&lt;=K794,"   Parzelle "&amp;J794,IF(J794=K794+1,"   Vorstand",IF(J794=K794+2,"   Gäste",IF(J794=K794+3,"   Technik (Switches, Access Points)",""))))))</f>
        <v/>
      </c>
      <c r="B794" s="0" t="str">
        <f aca="false">IF(I794="","",IF(AND(J794&gt;=1,J794&lt;=K794+3),IF(J794&lt;=K794,IF(J794&lt;=99,IF((INDEX(Eingabe!$G$9:$G$18,I794))&lt;=9,1000+(INDEX(Eingabe!$G$9:$G$18,I794))*100,3000)+J794,IF((INDEX(Eingabe!$G$9:$G$18,I794)+1)&lt;=9,1000+(INDEX(Eingabe!$G$9:$G$18,I794)+1)*100,3000)+J794-100),IF(J794=K794+1,2000+INDEX(Eingabe!$G$9:$G$18,I794)*10+1,IF(J794=K794+2,2000+INDEX(Eingabe!$G$9:$G$18,I794)*10+2,2000+INDEX(Eingabe!$G$9:$G$18,I794)*10+9))),""))</f>
        <v/>
      </c>
      <c r="C794" s="0" t="str">
        <f aca="false">IF(I794="","",IF(AND(J794&gt;=1,J794&lt;=K794+3),"10."&amp;INDEX(Eingabe!$D$9:$D$18,I794)&amp;"."&amp;IF(J794&lt;=K794,J794,IF(J794=K794+1,200,IF(J794=K794+2,201,250)))&amp;".0/24",""))</f>
        <v/>
      </c>
      <c r="D794" s="0" t="str">
        <f aca="false">IF(I794="","",IF(AND(J794&gt;=1,J794&lt;=K794+3),"255.255.255.0",""))</f>
        <v/>
      </c>
      <c r="E794" s="0" t="str">
        <f aca="false">IF(I794="","",IF(AND(J794&gt;=1,J794&lt;=K794+3),"10."&amp;INDEX(Eingabe!$D$9:$D$18,I794)&amp;"."&amp;IF(J794&lt;=K794,J794,IF(J794=K794+1,200,IF(J794=K794+2,201,250)))&amp;".1",""))</f>
        <v/>
      </c>
      <c r="F794" s="0" t="str">
        <f aca="false">IF(I794="","",IF(AND(J794&gt;=1,J794&lt;=K794+3),"10."&amp;INDEX(Eingabe!$D$9:$D$18,I794)&amp;"."&amp;IF(J794&lt;=K794,J794,IF(J794=K794+1,200,IF(J794=K794+2,201,250)))&amp;".10 – 10."&amp;INDEX(Eingabe!$D$9:$D$18,I794)&amp;"."&amp;IF(J794&lt;=K794,J794,IF(J794=K794+1,200,IF(J794=K794+2,201,250)))&amp;".250",""))</f>
        <v/>
      </c>
      <c r="G794" s="0" t="str">
        <f aca="false">IF(I794="","",IF(AND(J794&gt;=1,J794&lt;=K794),Eingabe!$B$6&amp;"-"&amp;INDEX(Eingabe!$C$9:$C$18,I794)&amp;"-Pächter  ·  Passwort Parzelle "&amp;J794,IF(J794=K794+1,Eingabe!$B$6&amp;"-"&amp;INDEX(Eingabe!$C$9:$C$18,I794)&amp;"-Vorstand  ·  eigenes WLAN",IF(J794=K794+2,Eingabe!$B$6&amp;"-"&amp;INDEX(Eingabe!$C$9:$C$18,I794)&amp;"-Gäste  ·  Voucher",IF(J794=K794+3,"Kabel  ·  Access Point y = .(50+y), Mast-Switch x = .(10+x)","")))))</f>
        <v/>
      </c>
      <c r="I794" s="0" t="str">
        <f aca="false">IF(789&lt;=(Eingabe!$P$18+Eingabe!$Q$18-1),MATCH(789,Eingabe!$P$9:$P$18,1),"")</f>
        <v/>
      </c>
      <c r="J794" s="0" t="str">
        <f aca="false">IF(I794="","",789-INDEX(Eingabe!$P$9:$P$18,I794))</f>
        <v/>
      </c>
      <c r="K794" s="0" t="str">
        <f aca="false">IF(I794="","",INDEX(Eingabe!$E$9:$E$18,I794))</f>
        <v/>
      </c>
    </row>
    <row r="795" customFormat="false" ht="15" hidden="false" customHeight="false" outlineLevel="0" collapsed="false">
      <c r="A795" s="0" t="str">
        <f aca="false">IF(I795="","",IF(J795=0,"Sparte "&amp;I795&amp;": "&amp;INDEX(Eingabe!$B$9:$B$18,I795)&amp;"  (Sparten-ID "&amp;INDEX(Eingabe!$D$9:$D$18,I795)&amp;", "&amp;K795&amp;" Parzellen)",IF(J795&lt;=K795,"   Parzelle "&amp;J795,IF(J795=K795+1,"   Vorstand",IF(J795=K795+2,"   Gäste",IF(J795=K795+3,"   Technik (Switches, Access Points)",""))))))</f>
        <v/>
      </c>
      <c r="B795" s="0" t="str">
        <f aca="false">IF(I795="","",IF(AND(J795&gt;=1,J795&lt;=K795+3),IF(J795&lt;=K795,IF(J795&lt;=99,IF((INDEX(Eingabe!$G$9:$G$18,I795))&lt;=9,1000+(INDEX(Eingabe!$G$9:$G$18,I795))*100,3000)+J795,IF((INDEX(Eingabe!$G$9:$G$18,I795)+1)&lt;=9,1000+(INDEX(Eingabe!$G$9:$G$18,I795)+1)*100,3000)+J795-100),IF(J795=K795+1,2000+INDEX(Eingabe!$G$9:$G$18,I795)*10+1,IF(J795=K795+2,2000+INDEX(Eingabe!$G$9:$G$18,I795)*10+2,2000+INDEX(Eingabe!$G$9:$G$18,I795)*10+9))),""))</f>
        <v/>
      </c>
      <c r="C795" s="0" t="str">
        <f aca="false">IF(I795="","",IF(AND(J795&gt;=1,J795&lt;=K795+3),"10."&amp;INDEX(Eingabe!$D$9:$D$18,I795)&amp;"."&amp;IF(J795&lt;=K795,J795,IF(J795=K795+1,200,IF(J795=K795+2,201,250)))&amp;".0/24",""))</f>
        <v/>
      </c>
      <c r="D795" s="0" t="str">
        <f aca="false">IF(I795="","",IF(AND(J795&gt;=1,J795&lt;=K795+3),"255.255.255.0",""))</f>
        <v/>
      </c>
      <c r="E795" s="0" t="str">
        <f aca="false">IF(I795="","",IF(AND(J795&gt;=1,J795&lt;=K795+3),"10."&amp;INDEX(Eingabe!$D$9:$D$18,I795)&amp;"."&amp;IF(J795&lt;=K795,J795,IF(J795=K795+1,200,IF(J795=K795+2,201,250)))&amp;".1",""))</f>
        <v/>
      </c>
      <c r="F795" s="0" t="str">
        <f aca="false">IF(I795="","",IF(AND(J795&gt;=1,J795&lt;=K795+3),"10."&amp;INDEX(Eingabe!$D$9:$D$18,I795)&amp;"."&amp;IF(J795&lt;=K795,J795,IF(J795=K795+1,200,IF(J795=K795+2,201,250)))&amp;".10 – 10."&amp;INDEX(Eingabe!$D$9:$D$18,I795)&amp;"."&amp;IF(J795&lt;=K795,J795,IF(J795=K795+1,200,IF(J795=K795+2,201,250)))&amp;".250",""))</f>
        <v/>
      </c>
      <c r="G795" s="0" t="str">
        <f aca="false">IF(I795="","",IF(AND(J795&gt;=1,J795&lt;=K795),Eingabe!$B$6&amp;"-"&amp;INDEX(Eingabe!$C$9:$C$18,I795)&amp;"-Pächter  ·  Passwort Parzelle "&amp;J795,IF(J795=K795+1,Eingabe!$B$6&amp;"-"&amp;INDEX(Eingabe!$C$9:$C$18,I795)&amp;"-Vorstand  ·  eigenes WLAN",IF(J795=K795+2,Eingabe!$B$6&amp;"-"&amp;INDEX(Eingabe!$C$9:$C$18,I795)&amp;"-Gäste  ·  Voucher",IF(J795=K795+3,"Kabel  ·  Access Point y = .(50+y), Mast-Switch x = .(10+x)","")))))</f>
        <v/>
      </c>
      <c r="I795" s="0" t="str">
        <f aca="false">IF(790&lt;=(Eingabe!$P$18+Eingabe!$Q$18-1),MATCH(790,Eingabe!$P$9:$P$18,1),"")</f>
        <v/>
      </c>
      <c r="J795" s="0" t="str">
        <f aca="false">IF(I795="","",790-INDEX(Eingabe!$P$9:$P$18,I795))</f>
        <v/>
      </c>
      <c r="K795" s="0" t="str">
        <f aca="false">IF(I795="","",INDEX(Eingabe!$E$9:$E$18,I795))</f>
        <v/>
      </c>
    </row>
    <row r="796" customFormat="false" ht="15" hidden="false" customHeight="false" outlineLevel="0" collapsed="false">
      <c r="A796" s="0" t="str">
        <f aca="false">IF(I796="","",IF(J796=0,"Sparte "&amp;I796&amp;": "&amp;INDEX(Eingabe!$B$9:$B$18,I796)&amp;"  (Sparten-ID "&amp;INDEX(Eingabe!$D$9:$D$18,I796)&amp;", "&amp;K796&amp;" Parzellen)",IF(J796&lt;=K796,"   Parzelle "&amp;J796,IF(J796=K796+1,"   Vorstand",IF(J796=K796+2,"   Gäste",IF(J796=K796+3,"   Technik (Switches, Access Points)",""))))))</f>
        <v/>
      </c>
      <c r="B796" s="0" t="str">
        <f aca="false">IF(I796="","",IF(AND(J796&gt;=1,J796&lt;=K796+3),IF(J796&lt;=K796,IF(J796&lt;=99,IF((INDEX(Eingabe!$G$9:$G$18,I796))&lt;=9,1000+(INDEX(Eingabe!$G$9:$G$18,I796))*100,3000)+J796,IF((INDEX(Eingabe!$G$9:$G$18,I796)+1)&lt;=9,1000+(INDEX(Eingabe!$G$9:$G$18,I796)+1)*100,3000)+J796-100),IF(J796=K796+1,2000+INDEX(Eingabe!$G$9:$G$18,I796)*10+1,IF(J796=K796+2,2000+INDEX(Eingabe!$G$9:$G$18,I796)*10+2,2000+INDEX(Eingabe!$G$9:$G$18,I796)*10+9))),""))</f>
        <v/>
      </c>
      <c r="C796" s="0" t="str">
        <f aca="false">IF(I796="","",IF(AND(J796&gt;=1,J796&lt;=K796+3),"10."&amp;INDEX(Eingabe!$D$9:$D$18,I796)&amp;"."&amp;IF(J796&lt;=K796,J796,IF(J796=K796+1,200,IF(J796=K796+2,201,250)))&amp;".0/24",""))</f>
        <v/>
      </c>
      <c r="D796" s="0" t="str">
        <f aca="false">IF(I796="","",IF(AND(J796&gt;=1,J796&lt;=K796+3),"255.255.255.0",""))</f>
        <v/>
      </c>
      <c r="E796" s="0" t="str">
        <f aca="false">IF(I796="","",IF(AND(J796&gt;=1,J796&lt;=K796+3),"10."&amp;INDEX(Eingabe!$D$9:$D$18,I796)&amp;"."&amp;IF(J796&lt;=K796,J796,IF(J796=K796+1,200,IF(J796=K796+2,201,250)))&amp;".1",""))</f>
        <v/>
      </c>
      <c r="F796" s="0" t="str">
        <f aca="false">IF(I796="","",IF(AND(J796&gt;=1,J796&lt;=K796+3),"10."&amp;INDEX(Eingabe!$D$9:$D$18,I796)&amp;"."&amp;IF(J796&lt;=K796,J796,IF(J796=K796+1,200,IF(J796=K796+2,201,250)))&amp;".10 – 10."&amp;INDEX(Eingabe!$D$9:$D$18,I796)&amp;"."&amp;IF(J796&lt;=K796,J796,IF(J796=K796+1,200,IF(J796=K796+2,201,250)))&amp;".250",""))</f>
        <v/>
      </c>
      <c r="G796" s="0" t="str">
        <f aca="false">IF(I796="","",IF(AND(J796&gt;=1,J796&lt;=K796),Eingabe!$B$6&amp;"-"&amp;INDEX(Eingabe!$C$9:$C$18,I796)&amp;"-Pächter  ·  Passwort Parzelle "&amp;J796,IF(J796=K796+1,Eingabe!$B$6&amp;"-"&amp;INDEX(Eingabe!$C$9:$C$18,I796)&amp;"-Vorstand  ·  eigenes WLAN",IF(J796=K796+2,Eingabe!$B$6&amp;"-"&amp;INDEX(Eingabe!$C$9:$C$18,I796)&amp;"-Gäste  ·  Voucher",IF(J796=K796+3,"Kabel  ·  Access Point y = .(50+y), Mast-Switch x = .(10+x)","")))))</f>
        <v/>
      </c>
      <c r="I796" s="0" t="str">
        <f aca="false">IF(791&lt;=(Eingabe!$P$18+Eingabe!$Q$18-1),MATCH(791,Eingabe!$P$9:$P$18,1),"")</f>
        <v/>
      </c>
      <c r="J796" s="0" t="str">
        <f aca="false">IF(I796="","",791-INDEX(Eingabe!$P$9:$P$18,I796))</f>
        <v/>
      </c>
      <c r="K796" s="0" t="str">
        <f aca="false">IF(I796="","",INDEX(Eingabe!$E$9:$E$18,I796))</f>
        <v/>
      </c>
    </row>
    <row r="797" customFormat="false" ht="15" hidden="false" customHeight="false" outlineLevel="0" collapsed="false">
      <c r="A797" s="0" t="str">
        <f aca="false">IF(I797="","",IF(J797=0,"Sparte "&amp;I797&amp;": "&amp;INDEX(Eingabe!$B$9:$B$18,I797)&amp;"  (Sparten-ID "&amp;INDEX(Eingabe!$D$9:$D$18,I797)&amp;", "&amp;K797&amp;" Parzellen)",IF(J797&lt;=K797,"   Parzelle "&amp;J797,IF(J797=K797+1,"   Vorstand",IF(J797=K797+2,"   Gäste",IF(J797=K797+3,"   Technik (Switches, Access Points)",""))))))</f>
        <v/>
      </c>
      <c r="B797" s="0" t="str">
        <f aca="false">IF(I797="","",IF(AND(J797&gt;=1,J797&lt;=K797+3),IF(J797&lt;=K797,IF(J797&lt;=99,IF((INDEX(Eingabe!$G$9:$G$18,I797))&lt;=9,1000+(INDEX(Eingabe!$G$9:$G$18,I797))*100,3000)+J797,IF((INDEX(Eingabe!$G$9:$G$18,I797)+1)&lt;=9,1000+(INDEX(Eingabe!$G$9:$G$18,I797)+1)*100,3000)+J797-100),IF(J797=K797+1,2000+INDEX(Eingabe!$G$9:$G$18,I797)*10+1,IF(J797=K797+2,2000+INDEX(Eingabe!$G$9:$G$18,I797)*10+2,2000+INDEX(Eingabe!$G$9:$G$18,I797)*10+9))),""))</f>
        <v/>
      </c>
      <c r="C797" s="0" t="str">
        <f aca="false">IF(I797="","",IF(AND(J797&gt;=1,J797&lt;=K797+3),"10."&amp;INDEX(Eingabe!$D$9:$D$18,I797)&amp;"."&amp;IF(J797&lt;=K797,J797,IF(J797=K797+1,200,IF(J797=K797+2,201,250)))&amp;".0/24",""))</f>
        <v/>
      </c>
      <c r="D797" s="0" t="str">
        <f aca="false">IF(I797="","",IF(AND(J797&gt;=1,J797&lt;=K797+3),"255.255.255.0",""))</f>
        <v/>
      </c>
      <c r="E797" s="0" t="str">
        <f aca="false">IF(I797="","",IF(AND(J797&gt;=1,J797&lt;=K797+3),"10."&amp;INDEX(Eingabe!$D$9:$D$18,I797)&amp;"."&amp;IF(J797&lt;=K797,J797,IF(J797=K797+1,200,IF(J797=K797+2,201,250)))&amp;".1",""))</f>
        <v/>
      </c>
      <c r="F797" s="0" t="str">
        <f aca="false">IF(I797="","",IF(AND(J797&gt;=1,J797&lt;=K797+3),"10."&amp;INDEX(Eingabe!$D$9:$D$18,I797)&amp;"."&amp;IF(J797&lt;=K797,J797,IF(J797=K797+1,200,IF(J797=K797+2,201,250)))&amp;".10 – 10."&amp;INDEX(Eingabe!$D$9:$D$18,I797)&amp;"."&amp;IF(J797&lt;=K797,J797,IF(J797=K797+1,200,IF(J797=K797+2,201,250)))&amp;".250",""))</f>
        <v/>
      </c>
      <c r="G797" s="0" t="str">
        <f aca="false">IF(I797="","",IF(AND(J797&gt;=1,J797&lt;=K797),Eingabe!$B$6&amp;"-"&amp;INDEX(Eingabe!$C$9:$C$18,I797)&amp;"-Pächter  ·  Passwort Parzelle "&amp;J797,IF(J797=K797+1,Eingabe!$B$6&amp;"-"&amp;INDEX(Eingabe!$C$9:$C$18,I797)&amp;"-Vorstand  ·  eigenes WLAN",IF(J797=K797+2,Eingabe!$B$6&amp;"-"&amp;INDEX(Eingabe!$C$9:$C$18,I797)&amp;"-Gäste  ·  Voucher",IF(J797=K797+3,"Kabel  ·  Access Point y = .(50+y), Mast-Switch x = .(10+x)","")))))</f>
        <v/>
      </c>
      <c r="I797" s="0" t="str">
        <f aca="false">IF(792&lt;=(Eingabe!$P$18+Eingabe!$Q$18-1),MATCH(792,Eingabe!$P$9:$P$18,1),"")</f>
        <v/>
      </c>
      <c r="J797" s="0" t="str">
        <f aca="false">IF(I797="","",792-INDEX(Eingabe!$P$9:$P$18,I797))</f>
        <v/>
      </c>
      <c r="K797" s="0" t="str">
        <f aca="false">IF(I797="","",INDEX(Eingabe!$E$9:$E$18,I797))</f>
        <v/>
      </c>
    </row>
    <row r="798" customFormat="false" ht="15" hidden="false" customHeight="false" outlineLevel="0" collapsed="false">
      <c r="A798" s="0" t="str">
        <f aca="false">IF(I798="","",IF(J798=0,"Sparte "&amp;I798&amp;": "&amp;INDEX(Eingabe!$B$9:$B$18,I798)&amp;"  (Sparten-ID "&amp;INDEX(Eingabe!$D$9:$D$18,I798)&amp;", "&amp;K798&amp;" Parzellen)",IF(J798&lt;=K798,"   Parzelle "&amp;J798,IF(J798=K798+1,"   Vorstand",IF(J798=K798+2,"   Gäste",IF(J798=K798+3,"   Technik (Switches, Access Points)",""))))))</f>
        <v/>
      </c>
      <c r="B798" s="0" t="str">
        <f aca="false">IF(I798="","",IF(AND(J798&gt;=1,J798&lt;=K798+3),IF(J798&lt;=K798,IF(J798&lt;=99,IF((INDEX(Eingabe!$G$9:$G$18,I798))&lt;=9,1000+(INDEX(Eingabe!$G$9:$G$18,I798))*100,3000)+J798,IF((INDEX(Eingabe!$G$9:$G$18,I798)+1)&lt;=9,1000+(INDEX(Eingabe!$G$9:$G$18,I798)+1)*100,3000)+J798-100),IF(J798=K798+1,2000+INDEX(Eingabe!$G$9:$G$18,I798)*10+1,IF(J798=K798+2,2000+INDEX(Eingabe!$G$9:$G$18,I798)*10+2,2000+INDEX(Eingabe!$G$9:$G$18,I798)*10+9))),""))</f>
        <v/>
      </c>
      <c r="C798" s="0" t="str">
        <f aca="false">IF(I798="","",IF(AND(J798&gt;=1,J798&lt;=K798+3),"10."&amp;INDEX(Eingabe!$D$9:$D$18,I798)&amp;"."&amp;IF(J798&lt;=K798,J798,IF(J798=K798+1,200,IF(J798=K798+2,201,250)))&amp;".0/24",""))</f>
        <v/>
      </c>
      <c r="D798" s="0" t="str">
        <f aca="false">IF(I798="","",IF(AND(J798&gt;=1,J798&lt;=K798+3),"255.255.255.0",""))</f>
        <v/>
      </c>
      <c r="E798" s="0" t="str">
        <f aca="false">IF(I798="","",IF(AND(J798&gt;=1,J798&lt;=K798+3),"10."&amp;INDEX(Eingabe!$D$9:$D$18,I798)&amp;"."&amp;IF(J798&lt;=K798,J798,IF(J798=K798+1,200,IF(J798=K798+2,201,250)))&amp;".1",""))</f>
        <v/>
      </c>
      <c r="F798" s="0" t="str">
        <f aca="false">IF(I798="","",IF(AND(J798&gt;=1,J798&lt;=K798+3),"10."&amp;INDEX(Eingabe!$D$9:$D$18,I798)&amp;"."&amp;IF(J798&lt;=K798,J798,IF(J798=K798+1,200,IF(J798=K798+2,201,250)))&amp;".10 – 10."&amp;INDEX(Eingabe!$D$9:$D$18,I798)&amp;"."&amp;IF(J798&lt;=K798,J798,IF(J798=K798+1,200,IF(J798=K798+2,201,250)))&amp;".250",""))</f>
        <v/>
      </c>
      <c r="G798" s="0" t="str">
        <f aca="false">IF(I798="","",IF(AND(J798&gt;=1,J798&lt;=K798),Eingabe!$B$6&amp;"-"&amp;INDEX(Eingabe!$C$9:$C$18,I798)&amp;"-Pächter  ·  Passwort Parzelle "&amp;J798,IF(J798=K798+1,Eingabe!$B$6&amp;"-"&amp;INDEX(Eingabe!$C$9:$C$18,I798)&amp;"-Vorstand  ·  eigenes WLAN",IF(J798=K798+2,Eingabe!$B$6&amp;"-"&amp;INDEX(Eingabe!$C$9:$C$18,I798)&amp;"-Gäste  ·  Voucher",IF(J798=K798+3,"Kabel  ·  Access Point y = .(50+y), Mast-Switch x = .(10+x)","")))))</f>
        <v/>
      </c>
      <c r="I798" s="0" t="str">
        <f aca="false">IF(793&lt;=(Eingabe!$P$18+Eingabe!$Q$18-1),MATCH(793,Eingabe!$P$9:$P$18,1),"")</f>
        <v/>
      </c>
      <c r="J798" s="0" t="str">
        <f aca="false">IF(I798="","",793-INDEX(Eingabe!$P$9:$P$18,I798))</f>
        <v/>
      </c>
      <c r="K798" s="0" t="str">
        <f aca="false">IF(I798="","",INDEX(Eingabe!$E$9:$E$18,I798))</f>
        <v/>
      </c>
    </row>
    <row r="799" customFormat="false" ht="15" hidden="false" customHeight="false" outlineLevel="0" collapsed="false">
      <c r="A799" s="0" t="str">
        <f aca="false">IF(I799="","",IF(J799=0,"Sparte "&amp;I799&amp;": "&amp;INDEX(Eingabe!$B$9:$B$18,I799)&amp;"  (Sparten-ID "&amp;INDEX(Eingabe!$D$9:$D$18,I799)&amp;", "&amp;K799&amp;" Parzellen)",IF(J799&lt;=K799,"   Parzelle "&amp;J799,IF(J799=K799+1,"   Vorstand",IF(J799=K799+2,"   Gäste",IF(J799=K799+3,"   Technik (Switches, Access Points)",""))))))</f>
        <v/>
      </c>
      <c r="B799" s="0" t="str">
        <f aca="false">IF(I799="","",IF(AND(J799&gt;=1,J799&lt;=K799+3),IF(J799&lt;=K799,IF(J799&lt;=99,IF((INDEX(Eingabe!$G$9:$G$18,I799))&lt;=9,1000+(INDEX(Eingabe!$G$9:$G$18,I799))*100,3000)+J799,IF((INDEX(Eingabe!$G$9:$G$18,I799)+1)&lt;=9,1000+(INDEX(Eingabe!$G$9:$G$18,I799)+1)*100,3000)+J799-100),IF(J799=K799+1,2000+INDEX(Eingabe!$G$9:$G$18,I799)*10+1,IF(J799=K799+2,2000+INDEX(Eingabe!$G$9:$G$18,I799)*10+2,2000+INDEX(Eingabe!$G$9:$G$18,I799)*10+9))),""))</f>
        <v/>
      </c>
      <c r="C799" s="0" t="str">
        <f aca="false">IF(I799="","",IF(AND(J799&gt;=1,J799&lt;=K799+3),"10."&amp;INDEX(Eingabe!$D$9:$D$18,I799)&amp;"."&amp;IF(J799&lt;=K799,J799,IF(J799=K799+1,200,IF(J799=K799+2,201,250)))&amp;".0/24",""))</f>
        <v/>
      </c>
      <c r="D799" s="0" t="str">
        <f aca="false">IF(I799="","",IF(AND(J799&gt;=1,J799&lt;=K799+3),"255.255.255.0",""))</f>
        <v/>
      </c>
      <c r="E799" s="0" t="str">
        <f aca="false">IF(I799="","",IF(AND(J799&gt;=1,J799&lt;=K799+3),"10."&amp;INDEX(Eingabe!$D$9:$D$18,I799)&amp;"."&amp;IF(J799&lt;=K799,J799,IF(J799=K799+1,200,IF(J799=K799+2,201,250)))&amp;".1",""))</f>
        <v/>
      </c>
      <c r="F799" s="0" t="str">
        <f aca="false">IF(I799="","",IF(AND(J799&gt;=1,J799&lt;=K799+3),"10."&amp;INDEX(Eingabe!$D$9:$D$18,I799)&amp;"."&amp;IF(J799&lt;=K799,J799,IF(J799=K799+1,200,IF(J799=K799+2,201,250)))&amp;".10 – 10."&amp;INDEX(Eingabe!$D$9:$D$18,I799)&amp;"."&amp;IF(J799&lt;=K799,J799,IF(J799=K799+1,200,IF(J799=K799+2,201,250)))&amp;".250",""))</f>
        <v/>
      </c>
      <c r="G799" s="0" t="str">
        <f aca="false">IF(I799="","",IF(AND(J799&gt;=1,J799&lt;=K799),Eingabe!$B$6&amp;"-"&amp;INDEX(Eingabe!$C$9:$C$18,I799)&amp;"-Pächter  ·  Passwort Parzelle "&amp;J799,IF(J799=K799+1,Eingabe!$B$6&amp;"-"&amp;INDEX(Eingabe!$C$9:$C$18,I799)&amp;"-Vorstand  ·  eigenes WLAN",IF(J799=K799+2,Eingabe!$B$6&amp;"-"&amp;INDEX(Eingabe!$C$9:$C$18,I799)&amp;"-Gäste  ·  Voucher",IF(J799=K799+3,"Kabel  ·  Access Point y = .(50+y), Mast-Switch x = .(10+x)","")))))</f>
        <v/>
      </c>
      <c r="I799" s="0" t="str">
        <f aca="false">IF(794&lt;=(Eingabe!$P$18+Eingabe!$Q$18-1),MATCH(794,Eingabe!$P$9:$P$18,1),"")</f>
        <v/>
      </c>
      <c r="J799" s="0" t="str">
        <f aca="false">IF(I799="","",794-INDEX(Eingabe!$P$9:$P$18,I799))</f>
        <v/>
      </c>
      <c r="K799" s="0" t="str">
        <f aca="false">IF(I799="","",INDEX(Eingabe!$E$9:$E$18,I799))</f>
        <v/>
      </c>
    </row>
    <row r="800" customFormat="false" ht="15" hidden="false" customHeight="false" outlineLevel="0" collapsed="false">
      <c r="A800" s="0" t="str">
        <f aca="false">IF(I800="","",IF(J800=0,"Sparte "&amp;I800&amp;": "&amp;INDEX(Eingabe!$B$9:$B$18,I800)&amp;"  (Sparten-ID "&amp;INDEX(Eingabe!$D$9:$D$18,I800)&amp;", "&amp;K800&amp;" Parzellen)",IF(J800&lt;=K800,"   Parzelle "&amp;J800,IF(J800=K800+1,"   Vorstand",IF(J800=K800+2,"   Gäste",IF(J800=K800+3,"   Technik (Switches, Access Points)",""))))))</f>
        <v/>
      </c>
      <c r="B800" s="0" t="str">
        <f aca="false">IF(I800="","",IF(AND(J800&gt;=1,J800&lt;=K800+3),IF(J800&lt;=K800,IF(J800&lt;=99,IF((INDEX(Eingabe!$G$9:$G$18,I800))&lt;=9,1000+(INDEX(Eingabe!$G$9:$G$18,I800))*100,3000)+J800,IF((INDEX(Eingabe!$G$9:$G$18,I800)+1)&lt;=9,1000+(INDEX(Eingabe!$G$9:$G$18,I800)+1)*100,3000)+J800-100),IF(J800=K800+1,2000+INDEX(Eingabe!$G$9:$G$18,I800)*10+1,IF(J800=K800+2,2000+INDEX(Eingabe!$G$9:$G$18,I800)*10+2,2000+INDEX(Eingabe!$G$9:$G$18,I800)*10+9))),""))</f>
        <v/>
      </c>
      <c r="C800" s="0" t="str">
        <f aca="false">IF(I800="","",IF(AND(J800&gt;=1,J800&lt;=K800+3),"10."&amp;INDEX(Eingabe!$D$9:$D$18,I800)&amp;"."&amp;IF(J800&lt;=K800,J800,IF(J800=K800+1,200,IF(J800=K800+2,201,250)))&amp;".0/24",""))</f>
        <v/>
      </c>
      <c r="D800" s="0" t="str">
        <f aca="false">IF(I800="","",IF(AND(J800&gt;=1,J800&lt;=K800+3),"255.255.255.0",""))</f>
        <v/>
      </c>
      <c r="E800" s="0" t="str">
        <f aca="false">IF(I800="","",IF(AND(J800&gt;=1,J800&lt;=K800+3),"10."&amp;INDEX(Eingabe!$D$9:$D$18,I800)&amp;"."&amp;IF(J800&lt;=K800,J800,IF(J800=K800+1,200,IF(J800=K800+2,201,250)))&amp;".1",""))</f>
        <v/>
      </c>
      <c r="F800" s="0" t="str">
        <f aca="false">IF(I800="","",IF(AND(J800&gt;=1,J800&lt;=K800+3),"10."&amp;INDEX(Eingabe!$D$9:$D$18,I800)&amp;"."&amp;IF(J800&lt;=K800,J800,IF(J800=K800+1,200,IF(J800=K800+2,201,250)))&amp;".10 – 10."&amp;INDEX(Eingabe!$D$9:$D$18,I800)&amp;"."&amp;IF(J800&lt;=K800,J800,IF(J800=K800+1,200,IF(J800=K800+2,201,250)))&amp;".250",""))</f>
        <v/>
      </c>
      <c r="G800" s="0" t="str">
        <f aca="false">IF(I800="","",IF(AND(J800&gt;=1,J800&lt;=K800),Eingabe!$B$6&amp;"-"&amp;INDEX(Eingabe!$C$9:$C$18,I800)&amp;"-Pächter  ·  Passwort Parzelle "&amp;J800,IF(J800=K800+1,Eingabe!$B$6&amp;"-"&amp;INDEX(Eingabe!$C$9:$C$18,I800)&amp;"-Vorstand  ·  eigenes WLAN",IF(J800=K800+2,Eingabe!$B$6&amp;"-"&amp;INDEX(Eingabe!$C$9:$C$18,I800)&amp;"-Gäste  ·  Voucher",IF(J800=K800+3,"Kabel  ·  Access Point y = .(50+y), Mast-Switch x = .(10+x)","")))))</f>
        <v/>
      </c>
      <c r="I800" s="0" t="str">
        <f aca="false">IF(795&lt;=(Eingabe!$P$18+Eingabe!$Q$18-1),MATCH(795,Eingabe!$P$9:$P$18,1),"")</f>
        <v/>
      </c>
      <c r="J800" s="0" t="str">
        <f aca="false">IF(I800="","",795-INDEX(Eingabe!$P$9:$P$18,I800))</f>
        <v/>
      </c>
      <c r="K800" s="0" t="str">
        <f aca="false">IF(I800="","",INDEX(Eingabe!$E$9:$E$18,I800))</f>
        <v/>
      </c>
    </row>
    <row r="801" customFormat="false" ht="15" hidden="false" customHeight="false" outlineLevel="0" collapsed="false">
      <c r="A801" s="0" t="str">
        <f aca="false">IF(I801="","",IF(J801=0,"Sparte "&amp;I801&amp;": "&amp;INDEX(Eingabe!$B$9:$B$18,I801)&amp;"  (Sparten-ID "&amp;INDEX(Eingabe!$D$9:$D$18,I801)&amp;", "&amp;K801&amp;" Parzellen)",IF(J801&lt;=K801,"   Parzelle "&amp;J801,IF(J801=K801+1,"   Vorstand",IF(J801=K801+2,"   Gäste",IF(J801=K801+3,"   Technik (Switches, Access Points)",""))))))</f>
        <v/>
      </c>
      <c r="B801" s="0" t="str">
        <f aca="false">IF(I801="","",IF(AND(J801&gt;=1,J801&lt;=K801+3),IF(J801&lt;=K801,IF(J801&lt;=99,IF((INDEX(Eingabe!$G$9:$G$18,I801))&lt;=9,1000+(INDEX(Eingabe!$G$9:$G$18,I801))*100,3000)+J801,IF((INDEX(Eingabe!$G$9:$G$18,I801)+1)&lt;=9,1000+(INDEX(Eingabe!$G$9:$G$18,I801)+1)*100,3000)+J801-100),IF(J801=K801+1,2000+INDEX(Eingabe!$G$9:$G$18,I801)*10+1,IF(J801=K801+2,2000+INDEX(Eingabe!$G$9:$G$18,I801)*10+2,2000+INDEX(Eingabe!$G$9:$G$18,I801)*10+9))),""))</f>
        <v/>
      </c>
      <c r="C801" s="0" t="str">
        <f aca="false">IF(I801="","",IF(AND(J801&gt;=1,J801&lt;=K801+3),"10."&amp;INDEX(Eingabe!$D$9:$D$18,I801)&amp;"."&amp;IF(J801&lt;=K801,J801,IF(J801=K801+1,200,IF(J801=K801+2,201,250)))&amp;".0/24",""))</f>
        <v/>
      </c>
      <c r="D801" s="0" t="str">
        <f aca="false">IF(I801="","",IF(AND(J801&gt;=1,J801&lt;=K801+3),"255.255.255.0",""))</f>
        <v/>
      </c>
      <c r="E801" s="0" t="str">
        <f aca="false">IF(I801="","",IF(AND(J801&gt;=1,J801&lt;=K801+3),"10."&amp;INDEX(Eingabe!$D$9:$D$18,I801)&amp;"."&amp;IF(J801&lt;=K801,J801,IF(J801=K801+1,200,IF(J801=K801+2,201,250)))&amp;".1",""))</f>
        <v/>
      </c>
      <c r="F801" s="0" t="str">
        <f aca="false">IF(I801="","",IF(AND(J801&gt;=1,J801&lt;=K801+3),"10."&amp;INDEX(Eingabe!$D$9:$D$18,I801)&amp;"."&amp;IF(J801&lt;=K801,J801,IF(J801=K801+1,200,IF(J801=K801+2,201,250)))&amp;".10 – 10."&amp;INDEX(Eingabe!$D$9:$D$18,I801)&amp;"."&amp;IF(J801&lt;=K801,J801,IF(J801=K801+1,200,IF(J801=K801+2,201,250)))&amp;".250",""))</f>
        <v/>
      </c>
      <c r="G801" s="0" t="str">
        <f aca="false">IF(I801="","",IF(AND(J801&gt;=1,J801&lt;=K801),Eingabe!$B$6&amp;"-"&amp;INDEX(Eingabe!$C$9:$C$18,I801)&amp;"-Pächter  ·  Passwort Parzelle "&amp;J801,IF(J801=K801+1,Eingabe!$B$6&amp;"-"&amp;INDEX(Eingabe!$C$9:$C$18,I801)&amp;"-Vorstand  ·  eigenes WLAN",IF(J801=K801+2,Eingabe!$B$6&amp;"-"&amp;INDEX(Eingabe!$C$9:$C$18,I801)&amp;"-Gäste  ·  Voucher",IF(J801=K801+3,"Kabel  ·  Access Point y = .(50+y), Mast-Switch x = .(10+x)","")))))</f>
        <v/>
      </c>
      <c r="I801" s="0" t="str">
        <f aca="false">IF(796&lt;=(Eingabe!$P$18+Eingabe!$Q$18-1),MATCH(796,Eingabe!$P$9:$P$18,1),"")</f>
        <v/>
      </c>
      <c r="J801" s="0" t="str">
        <f aca="false">IF(I801="","",796-INDEX(Eingabe!$P$9:$P$18,I801))</f>
        <v/>
      </c>
      <c r="K801" s="0" t="str">
        <f aca="false">IF(I801="","",INDEX(Eingabe!$E$9:$E$18,I801))</f>
        <v/>
      </c>
    </row>
    <row r="802" customFormat="false" ht="15" hidden="false" customHeight="false" outlineLevel="0" collapsed="false">
      <c r="A802" s="0" t="str">
        <f aca="false">IF(I802="","",IF(J802=0,"Sparte "&amp;I802&amp;": "&amp;INDEX(Eingabe!$B$9:$B$18,I802)&amp;"  (Sparten-ID "&amp;INDEX(Eingabe!$D$9:$D$18,I802)&amp;", "&amp;K802&amp;" Parzellen)",IF(J802&lt;=K802,"   Parzelle "&amp;J802,IF(J802=K802+1,"   Vorstand",IF(J802=K802+2,"   Gäste",IF(J802=K802+3,"   Technik (Switches, Access Points)",""))))))</f>
        <v/>
      </c>
      <c r="B802" s="0" t="str">
        <f aca="false">IF(I802="","",IF(AND(J802&gt;=1,J802&lt;=K802+3),IF(J802&lt;=K802,IF(J802&lt;=99,IF((INDEX(Eingabe!$G$9:$G$18,I802))&lt;=9,1000+(INDEX(Eingabe!$G$9:$G$18,I802))*100,3000)+J802,IF((INDEX(Eingabe!$G$9:$G$18,I802)+1)&lt;=9,1000+(INDEX(Eingabe!$G$9:$G$18,I802)+1)*100,3000)+J802-100),IF(J802=K802+1,2000+INDEX(Eingabe!$G$9:$G$18,I802)*10+1,IF(J802=K802+2,2000+INDEX(Eingabe!$G$9:$G$18,I802)*10+2,2000+INDEX(Eingabe!$G$9:$G$18,I802)*10+9))),""))</f>
        <v/>
      </c>
      <c r="C802" s="0" t="str">
        <f aca="false">IF(I802="","",IF(AND(J802&gt;=1,J802&lt;=K802+3),"10."&amp;INDEX(Eingabe!$D$9:$D$18,I802)&amp;"."&amp;IF(J802&lt;=K802,J802,IF(J802=K802+1,200,IF(J802=K802+2,201,250)))&amp;".0/24",""))</f>
        <v/>
      </c>
      <c r="D802" s="0" t="str">
        <f aca="false">IF(I802="","",IF(AND(J802&gt;=1,J802&lt;=K802+3),"255.255.255.0",""))</f>
        <v/>
      </c>
      <c r="E802" s="0" t="str">
        <f aca="false">IF(I802="","",IF(AND(J802&gt;=1,J802&lt;=K802+3),"10."&amp;INDEX(Eingabe!$D$9:$D$18,I802)&amp;"."&amp;IF(J802&lt;=K802,J802,IF(J802=K802+1,200,IF(J802=K802+2,201,250)))&amp;".1",""))</f>
        <v/>
      </c>
      <c r="F802" s="0" t="str">
        <f aca="false">IF(I802="","",IF(AND(J802&gt;=1,J802&lt;=K802+3),"10."&amp;INDEX(Eingabe!$D$9:$D$18,I802)&amp;"."&amp;IF(J802&lt;=K802,J802,IF(J802=K802+1,200,IF(J802=K802+2,201,250)))&amp;".10 – 10."&amp;INDEX(Eingabe!$D$9:$D$18,I802)&amp;"."&amp;IF(J802&lt;=K802,J802,IF(J802=K802+1,200,IF(J802=K802+2,201,250)))&amp;".250",""))</f>
        <v/>
      </c>
      <c r="G802" s="0" t="str">
        <f aca="false">IF(I802="","",IF(AND(J802&gt;=1,J802&lt;=K802),Eingabe!$B$6&amp;"-"&amp;INDEX(Eingabe!$C$9:$C$18,I802)&amp;"-Pächter  ·  Passwort Parzelle "&amp;J802,IF(J802=K802+1,Eingabe!$B$6&amp;"-"&amp;INDEX(Eingabe!$C$9:$C$18,I802)&amp;"-Vorstand  ·  eigenes WLAN",IF(J802=K802+2,Eingabe!$B$6&amp;"-"&amp;INDEX(Eingabe!$C$9:$C$18,I802)&amp;"-Gäste  ·  Voucher",IF(J802=K802+3,"Kabel  ·  Access Point y = .(50+y), Mast-Switch x = .(10+x)","")))))</f>
        <v/>
      </c>
      <c r="I802" s="0" t="str">
        <f aca="false">IF(797&lt;=(Eingabe!$P$18+Eingabe!$Q$18-1),MATCH(797,Eingabe!$P$9:$P$18,1),"")</f>
        <v/>
      </c>
      <c r="J802" s="0" t="str">
        <f aca="false">IF(I802="","",797-INDEX(Eingabe!$P$9:$P$18,I802))</f>
        <v/>
      </c>
      <c r="K802" s="0" t="str">
        <f aca="false">IF(I802="","",INDEX(Eingabe!$E$9:$E$18,I802))</f>
        <v/>
      </c>
    </row>
    <row r="803" customFormat="false" ht="15" hidden="false" customHeight="false" outlineLevel="0" collapsed="false">
      <c r="A803" s="0" t="str">
        <f aca="false">IF(I803="","",IF(J803=0,"Sparte "&amp;I803&amp;": "&amp;INDEX(Eingabe!$B$9:$B$18,I803)&amp;"  (Sparten-ID "&amp;INDEX(Eingabe!$D$9:$D$18,I803)&amp;", "&amp;K803&amp;" Parzellen)",IF(J803&lt;=K803,"   Parzelle "&amp;J803,IF(J803=K803+1,"   Vorstand",IF(J803=K803+2,"   Gäste",IF(J803=K803+3,"   Technik (Switches, Access Points)",""))))))</f>
        <v/>
      </c>
      <c r="B803" s="0" t="str">
        <f aca="false">IF(I803="","",IF(AND(J803&gt;=1,J803&lt;=K803+3),IF(J803&lt;=K803,IF(J803&lt;=99,IF((INDEX(Eingabe!$G$9:$G$18,I803))&lt;=9,1000+(INDEX(Eingabe!$G$9:$G$18,I803))*100,3000)+J803,IF((INDEX(Eingabe!$G$9:$G$18,I803)+1)&lt;=9,1000+(INDEX(Eingabe!$G$9:$G$18,I803)+1)*100,3000)+J803-100),IF(J803=K803+1,2000+INDEX(Eingabe!$G$9:$G$18,I803)*10+1,IF(J803=K803+2,2000+INDEX(Eingabe!$G$9:$G$18,I803)*10+2,2000+INDEX(Eingabe!$G$9:$G$18,I803)*10+9))),""))</f>
        <v/>
      </c>
      <c r="C803" s="0" t="str">
        <f aca="false">IF(I803="","",IF(AND(J803&gt;=1,J803&lt;=K803+3),"10."&amp;INDEX(Eingabe!$D$9:$D$18,I803)&amp;"."&amp;IF(J803&lt;=K803,J803,IF(J803=K803+1,200,IF(J803=K803+2,201,250)))&amp;".0/24",""))</f>
        <v/>
      </c>
      <c r="D803" s="0" t="str">
        <f aca="false">IF(I803="","",IF(AND(J803&gt;=1,J803&lt;=K803+3),"255.255.255.0",""))</f>
        <v/>
      </c>
      <c r="E803" s="0" t="str">
        <f aca="false">IF(I803="","",IF(AND(J803&gt;=1,J803&lt;=K803+3),"10."&amp;INDEX(Eingabe!$D$9:$D$18,I803)&amp;"."&amp;IF(J803&lt;=K803,J803,IF(J803=K803+1,200,IF(J803=K803+2,201,250)))&amp;".1",""))</f>
        <v/>
      </c>
      <c r="F803" s="0" t="str">
        <f aca="false">IF(I803="","",IF(AND(J803&gt;=1,J803&lt;=K803+3),"10."&amp;INDEX(Eingabe!$D$9:$D$18,I803)&amp;"."&amp;IF(J803&lt;=K803,J803,IF(J803=K803+1,200,IF(J803=K803+2,201,250)))&amp;".10 – 10."&amp;INDEX(Eingabe!$D$9:$D$18,I803)&amp;"."&amp;IF(J803&lt;=K803,J803,IF(J803=K803+1,200,IF(J803=K803+2,201,250)))&amp;".250",""))</f>
        <v/>
      </c>
      <c r="G803" s="0" t="str">
        <f aca="false">IF(I803="","",IF(AND(J803&gt;=1,J803&lt;=K803),Eingabe!$B$6&amp;"-"&amp;INDEX(Eingabe!$C$9:$C$18,I803)&amp;"-Pächter  ·  Passwort Parzelle "&amp;J803,IF(J803=K803+1,Eingabe!$B$6&amp;"-"&amp;INDEX(Eingabe!$C$9:$C$18,I803)&amp;"-Vorstand  ·  eigenes WLAN",IF(J803=K803+2,Eingabe!$B$6&amp;"-"&amp;INDEX(Eingabe!$C$9:$C$18,I803)&amp;"-Gäste  ·  Voucher",IF(J803=K803+3,"Kabel  ·  Access Point y = .(50+y), Mast-Switch x = .(10+x)","")))))</f>
        <v/>
      </c>
      <c r="I803" s="0" t="str">
        <f aca="false">IF(798&lt;=(Eingabe!$P$18+Eingabe!$Q$18-1),MATCH(798,Eingabe!$P$9:$P$18,1),"")</f>
        <v/>
      </c>
      <c r="J803" s="0" t="str">
        <f aca="false">IF(I803="","",798-INDEX(Eingabe!$P$9:$P$18,I803))</f>
        <v/>
      </c>
      <c r="K803" s="0" t="str">
        <f aca="false">IF(I803="","",INDEX(Eingabe!$E$9:$E$18,I803))</f>
        <v/>
      </c>
    </row>
    <row r="804" customFormat="false" ht="15" hidden="false" customHeight="false" outlineLevel="0" collapsed="false">
      <c r="A804" s="0" t="str">
        <f aca="false">IF(I804="","",IF(J804=0,"Sparte "&amp;I804&amp;": "&amp;INDEX(Eingabe!$B$9:$B$18,I804)&amp;"  (Sparten-ID "&amp;INDEX(Eingabe!$D$9:$D$18,I804)&amp;", "&amp;K804&amp;" Parzellen)",IF(J804&lt;=K804,"   Parzelle "&amp;J804,IF(J804=K804+1,"   Vorstand",IF(J804=K804+2,"   Gäste",IF(J804=K804+3,"   Technik (Switches, Access Points)",""))))))</f>
        <v/>
      </c>
      <c r="B804" s="0" t="str">
        <f aca="false">IF(I804="","",IF(AND(J804&gt;=1,J804&lt;=K804+3),IF(J804&lt;=K804,IF(J804&lt;=99,IF((INDEX(Eingabe!$G$9:$G$18,I804))&lt;=9,1000+(INDEX(Eingabe!$G$9:$G$18,I804))*100,3000)+J804,IF((INDEX(Eingabe!$G$9:$G$18,I804)+1)&lt;=9,1000+(INDEX(Eingabe!$G$9:$G$18,I804)+1)*100,3000)+J804-100),IF(J804=K804+1,2000+INDEX(Eingabe!$G$9:$G$18,I804)*10+1,IF(J804=K804+2,2000+INDEX(Eingabe!$G$9:$G$18,I804)*10+2,2000+INDEX(Eingabe!$G$9:$G$18,I804)*10+9))),""))</f>
        <v/>
      </c>
      <c r="C804" s="0" t="str">
        <f aca="false">IF(I804="","",IF(AND(J804&gt;=1,J804&lt;=K804+3),"10."&amp;INDEX(Eingabe!$D$9:$D$18,I804)&amp;"."&amp;IF(J804&lt;=K804,J804,IF(J804=K804+1,200,IF(J804=K804+2,201,250)))&amp;".0/24",""))</f>
        <v/>
      </c>
      <c r="D804" s="0" t="str">
        <f aca="false">IF(I804="","",IF(AND(J804&gt;=1,J804&lt;=K804+3),"255.255.255.0",""))</f>
        <v/>
      </c>
      <c r="E804" s="0" t="str">
        <f aca="false">IF(I804="","",IF(AND(J804&gt;=1,J804&lt;=K804+3),"10."&amp;INDEX(Eingabe!$D$9:$D$18,I804)&amp;"."&amp;IF(J804&lt;=K804,J804,IF(J804=K804+1,200,IF(J804=K804+2,201,250)))&amp;".1",""))</f>
        <v/>
      </c>
      <c r="F804" s="0" t="str">
        <f aca="false">IF(I804="","",IF(AND(J804&gt;=1,J804&lt;=K804+3),"10."&amp;INDEX(Eingabe!$D$9:$D$18,I804)&amp;"."&amp;IF(J804&lt;=K804,J804,IF(J804=K804+1,200,IF(J804=K804+2,201,250)))&amp;".10 – 10."&amp;INDEX(Eingabe!$D$9:$D$18,I804)&amp;"."&amp;IF(J804&lt;=K804,J804,IF(J804=K804+1,200,IF(J804=K804+2,201,250)))&amp;".250",""))</f>
        <v/>
      </c>
      <c r="G804" s="0" t="str">
        <f aca="false">IF(I804="","",IF(AND(J804&gt;=1,J804&lt;=K804),Eingabe!$B$6&amp;"-"&amp;INDEX(Eingabe!$C$9:$C$18,I804)&amp;"-Pächter  ·  Passwort Parzelle "&amp;J804,IF(J804=K804+1,Eingabe!$B$6&amp;"-"&amp;INDEX(Eingabe!$C$9:$C$18,I804)&amp;"-Vorstand  ·  eigenes WLAN",IF(J804=K804+2,Eingabe!$B$6&amp;"-"&amp;INDEX(Eingabe!$C$9:$C$18,I804)&amp;"-Gäste  ·  Voucher",IF(J804=K804+3,"Kabel  ·  Access Point y = .(50+y), Mast-Switch x = .(10+x)","")))))</f>
        <v/>
      </c>
      <c r="I804" s="0" t="str">
        <f aca="false">IF(799&lt;=(Eingabe!$P$18+Eingabe!$Q$18-1),MATCH(799,Eingabe!$P$9:$P$18,1),"")</f>
        <v/>
      </c>
      <c r="J804" s="0" t="str">
        <f aca="false">IF(I804="","",799-INDEX(Eingabe!$P$9:$P$18,I804))</f>
        <v/>
      </c>
      <c r="K804" s="0" t="str">
        <f aca="false">IF(I804="","",INDEX(Eingabe!$E$9:$E$18,I804))</f>
        <v/>
      </c>
    </row>
    <row r="805" customFormat="false" ht="15" hidden="false" customHeight="false" outlineLevel="0" collapsed="false">
      <c r="A805" s="0" t="str">
        <f aca="false">IF(I805="","",IF(J805=0,"Sparte "&amp;I805&amp;": "&amp;INDEX(Eingabe!$B$9:$B$18,I805)&amp;"  (Sparten-ID "&amp;INDEX(Eingabe!$D$9:$D$18,I805)&amp;", "&amp;K805&amp;" Parzellen)",IF(J805&lt;=K805,"   Parzelle "&amp;J805,IF(J805=K805+1,"   Vorstand",IF(J805=K805+2,"   Gäste",IF(J805=K805+3,"   Technik (Switches, Access Points)",""))))))</f>
        <v/>
      </c>
      <c r="B805" s="0" t="str">
        <f aca="false">IF(I805="","",IF(AND(J805&gt;=1,J805&lt;=K805+3),IF(J805&lt;=K805,IF(J805&lt;=99,IF((INDEX(Eingabe!$G$9:$G$18,I805))&lt;=9,1000+(INDEX(Eingabe!$G$9:$G$18,I805))*100,3000)+J805,IF((INDEX(Eingabe!$G$9:$G$18,I805)+1)&lt;=9,1000+(INDEX(Eingabe!$G$9:$G$18,I805)+1)*100,3000)+J805-100),IF(J805=K805+1,2000+INDEX(Eingabe!$G$9:$G$18,I805)*10+1,IF(J805=K805+2,2000+INDEX(Eingabe!$G$9:$G$18,I805)*10+2,2000+INDEX(Eingabe!$G$9:$G$18,I805)*10+9))),""))</f>
        <v/>
      </c>
      <c r="C805" s="0" t="str">
        <f aca="false">IF(I805="","",IF(AND(J805&gt;=1,J805&lt;=K805+3),"10."&amp;INDEX(Eingabe!$D$9:$D$18,I805)&amp;"."&amp;IF(J805&lt;=K805,J805,IF(J805=K805+1,200,IF(J805=K805+2,201,250)))&amp;".0/24",""))</f>
        <v/>
      </c>
      <c r="D805" s="0" t="str">
        <f aca="false">IF(I805="","",IF(AND(J805&gt;=1,J805&lt;=K805+3),"255.255.255.0",""))</f>
        <v/>
      </c>
      <c r="E805" s="0" t="str">
        <f aca="false">IF(I805="","",IF(AND(J805&gt;=1,J805&lt;=K805+3),"10."&amp;INDEX(Eingabe!$D$9:$D$18,I805)&amp;"."&amp;IF(J805&lt;=K805,J805,IF(J805=K805+1,200,IF(J805=K805+2,201,250)))&amp;".1",""))</f>
        <v/>
      </c>
      <c r="F805" s="0" t="str">
        <f aca="false">IF(I805="","",IF(AND(J805&gt;=1,J805&lt;=K805+3),"10."&amp;INDEX(Eingabe!$D$9:$D$18,I805)&amp;"."&amp;IF(J805&lt;=K805,J805,IF(J805=K805+1,200,IF(J805=K805+2,201,250)))&amp;".10 – 10."&amp;INDEX(Eingabe!$D$9:$D$18,I805)&amp;"."&amp;IF(J805&lt;=K805,J805,IF(J805=K805+1,200,IF(J805=K805+2,201,250)))&amp;".250",""))</f>
        <v/>
      </c>
      <c r="G805" s="0" t="str">
        <f aca="false">IF(I805="","",IF(AND(J805&gt;=1,J805&lt;=K805),Eingabe!$B$6&amp;"-"&amp;INDEX(Eingabe!$C$9:$C$18,I805)&amp;"-Pächter  ·  Passwort Parzelle "&amp;J805,IF(J805=K805+1,Eingabe!$B$6&amp;"-"&amp;INDEX(Eingabe!$C$9:$C$18,I805)&amp;"-Vorstand  ·  eigenes WLAN",IF(J805=K805+2,Eingabe!$B$6&amp;"-"&amp;INDEX(Eingabe!$C$9:$C$18,I805)&amp;"-Gäste  ·  Voucher",IF(J805=K805+3,"Kabel  ·  Access Point y = .(50+y), Mast-Switch x = .(10+x)","")))))</f>
        <v/>
      </c>
      <c r="I805" s="0" t="str">
        <f aca="false">IF(800&lt;=(Eingabe!$P$18+Eingabe!$Q$18-1),MATCH(800,Eingabe!$P$9:$P$18,1),"")</f>
        <v/>
      </c>
      <c r="J805" s="0" t="str">
        <f aca="false">IF(I805="","",800-INDEX(Eingabe!$P$9:$P$18,I805))</f>
        <v/>
      </c>
      <c r="K805" s="0" t="str">
        <f aca="false">IF(I805="","",INDEX(Eingabe!$E$9:$E$18,I805))</f>
        <v/>
      </c>
    </row>
    <row r="806" customFormat="false" ht="15" hidden="false" customHeight="false" outlineLevel="0" collapsed="false">
      <c r="A806" s="0" t="str">
        <f aca="false">IF(I806="","",IF(J806=0,"Sparte "&amp;I806&amp;": "&amp;INDEX(Eingabe!$B$9:$B$18,I806)&amp;"  (Sparten-ID "&amp;INDEX(Eingabe!$D$9:$D$18,I806)&amp;", "&amp;K806&amp;" Parzellen)",IF(J806&lt;=K806,"   Parzelle "&amp;J806,IF(J806=K806+1,"   Vorstand",IF(J806=K806+2,"   Gäste",IF(J806=K806+3,"   Technik (Switches, Access Points)",""))))))</f>
        <v/>
      </c>
      <c r="B806" s="0" t="str">
        <f aca="false">IF(I806="","",IF(AND(J806&gt;=1,J806&lt;=K806+3),IF(J806&lt;=K806,IF(J806&lt;=99,IF((INDEX(Eingabe!$G$9:$G$18,I806))&lt;=9,1000+(INDEX(Eingabe!$G$9:$G$18,I806))*100,3000)+J806,IF((INDEX(Eingabe!$G$9:$G$18,I806)+1)&lt;=9,1000+(INDEX(Eingabe!$G$9:$G$18,I806)+1)*100,3000)+J806-100),IF(J806=K806+1,2000+INDEX(Eingabe!$G$9:$G$18,I806)*10+1,IF(J806=K806+2,2000+INDEX(Eingabe!$G$9:$G$18,I806)*10+2,2000+INDEX(Eingabe!$G$9:$G$18,I806)*10+9))),""))</f>
        <v/>
      </c>
      <c r="C806" s="0" t="str">
        <f aca="false">IF(I806="","",IF(AND(J806&gt;=1,J806&lt;=K806+3),"10."&amp;INDEX(Eingabe!$D$9:$D$18,I806)&amp;"."&amp;IF(J806&lt;=K806,J806,IF(J806=K806+1,200,IF(J806=K806+2,201,250)))&amp;".0/24",""))</f>
        <v/>
      </c>
      <c r="D806" s="0" t="str">
        <f aca="false">IF(I806="","",IF(AND(J806&gt;=1,J806&lt;=K806+3),"255.255.255.0",""))</f>
        <v/>
      </c>
      <c r="E806" s="0" t="str">
        <f aca="false">IF(I806="","",IF(AND(J806&gt;=1,J806&lt;=K806+3),"10."&amp;INDEX(Eingabe!$D$9:$D$18,I806)&amp;"."&amp;IF(J806&lt;=K806,J806,IF(J806=K806+1,200,IF(J806=K806+2,201,250)))&amp;".1",""))</f>
        <v/>
      </c>
      <c r="F806" s="0" t="str">
        <f aca="false">IF(I806="","",IF(AND(J806&gt;=1,J806&lt;=K806+3),"10."&amp;INDEX(Eingabe!$D$9:$D$18,I806)&amp;"."&amp;IF(J806&lt;=K806,J806,IF(J806=K806+1,200,IF(J806=K806+2,201,250)))&amp;".10 – 10."&amp;INDEX(Eingabe!$D$9:$D$18,I806)&amp;"."&amp;IF(J806&lt;=K806,J806,IF(J806=K806+1,200,IF(J806=K806+2,201,250)))&amp;".250",""))</f>
        <v/>
      </c>
      <c r="G806" s="0" t="str">
        <f aca="false">IF(I806="","",IF(AND(J806&gt;=1,J806&lt;=K806),Eingabe!$B$6&amp;"-"&amp;INDEX(Eingabe!$C$9:$C$18,I806)&amp;"-Pächter  ·  Passwort Parzelle "&amp;J806,IF(J806=K806+1,Eingabe!$B$6&amp;"-"&amp;INDEX(Eingabe!$C$9:$C$18,I806)&amp;"-Vorstand  ·  eigenes WLAN",IF(J806=K806+2,Eingabe!$B$6&amp;"-"&amp;INDEX(Eingabe!$C$9:$C$18,I806)&amp;"-Gäste  ·  Voucher",IF(J806=K806+3,"Kabel  ·  Access Point y = .(50+y), Mast-Switch x = .(10+x)","")))))</f>
        <v/>
      </c>
      <c r="I806" s="0" t="str">
        <f aca="false">IF(801&lt;=(Eingabe!$P$18+Eingabe!$Q$18-1),MATCH(801,Eingabe!$P$9:$P$18,1),"")</f>
        <v/>
      </c>
      <c r="J806" s="0" t="str">
        <f aca="false">IF(I806="","",801-INDEX(Eingabe!$P$9:$P$18,I806))</f>
        <v/>
      </c>
      <c r="K806" s="0" t="str">
        <f aca="false">IF(I806="","",INDEX(Eingabe!$E$9:$E$18,I806))</f>
        <v/>
      </c>
    </row>
    <row r="807" customFormat="false" ht="15" hidden="false" customHeight="false" outlineLevel="0" collapsed="false">
      <c r="A807" s="0" t="str">
        <f aca="false">IF(I807="","",IF(J807=0,"Sparte "&amp;I807&amp;": "&amp;INDEX(Eingabe!$B$9:$B$18,I807)&amp;"  (Sparten-ID "&amp;INDEX(Eingabe!$D$9:$D$18,I807)&amp;", "&amp;K807&amp;" Parzellen)",IF(J807&lt;=K807,"   Parzelle "&amp;J807,IF(J807=K807+1,"   Vorstand",IF(J807=K807+2,"   Gäste",IF(J807=K807+3,"   Technik (Switches, Access Points)",""))))))</f>
        <v/>
      </c>
      <c r="B807" s="0" t="str">
        <f aca="false">IF(I807="","",IF(AND(J807&gt;=1,J807&lt;=K807+3),IF(J807&lt;=K807,IF(J807&lt;=99,IF((INDEX(Eingabe!$G$9:$G$18,I807))&lt;=9,1000+(INDEX(Eingabe!$G$9:$G$18,I807))*100,3000)+J807,IF((INDEX(Eingabe!$G$9:$G$18,I807)+1)&lt;=9,1000+(INDEX(Eingabe!$G$9:$G$18,I807)+1)*100,3000)+J807-100),IF(J807=K807+1,2000+INDEX(Eingabe!$G$9:$G$18,I807)*10+1,IF(J807=K807+2,2000+INDEX(Eingabe!$G$9:$G$18,I807)*10+2,2000+INDEX(Eingabe!$G$9:$G$18,I807)*10+9))),""))</f>
        <v/>
      </c>
      <c r="C807" s="0" t="str">
        <f aca="false">IF(I807="","",IF(AND(J807&gt;=1,J807&lt;=K807+3),"10."&amp;INDEX(Eingabe!$D$9:$D$18,I807)&amp;"."&amp;IF(J807&lt;=K807,J807,IF(J807=K807+1,200,IF(J807=K807+2,201,250)))&amp;".0/24",""))</f>
        <v/>
      </c>
      <c r="D807" s="0" t="str">
        <f aca="false">IF(I807="","",IF(AND(J807&gt;=1,J807&lt;=K807+3),"255.255.255.0",""))</f>
        <v/>
      </c>
      <c r="E807" s="0" t="str">
        <f aca="false">IF(I807="","",IF(AND(J807&gt;=1,J807&lt;=K807+3),"10."&amp;INDEX(Eingabe!$D$9:$D$18,I807)&amp;"."&amp;IF(J807&lt;=K807,J807,IF(J807=K807+1,200,IF(J807=K807+2,201,250)))&amp;".1",""))</f>
        <v/>
      </c>
      <c r="F807" s="0" t="str">
        <f aca="false">IF(I807="","",IF(AND(J807&gt;=1,J807&lt;=K807+3),"10."&amp;INDEX(Eingabe!$D$9:$D$18,I807)&amp;"."&amp;IF(J807&lt;=K807,J807,IF(J807=K807+1,200,IF(J807=K807+2,201,250)))&amp;".10 – 10."&amp;INDEX(Eingabe!$D$9:$D$18,I807)&amp;"."&amp;IF(J807&lt;=K807,J807,IF(J807=K807+1,200,IF(J807=K807+2,201,250)))&amp;".250",""))</f>
        <v/>
      </c>
      <c r="G807" s="0" t="str">
        <f aca="false">IF(I807="","",IF(AND(J807&gt;=1,J807&lt;=K807),Eingabe!$B$6&amp;"-"&amp;INDEX(Eingabe!$C$9:$C$18,I807)&amp;"-Pächter  ·  Passwort Parzelle "&amp;J807,IF(J807=K807+1,Eingabe!$B$6&amp;"-"&amp;INDEX(Eingabe!$C$9:$C$18,I807)&amp;"-Vorstand  ·  eigenes WLAN",IF(J807=K807+2,Eingabe!$B$6&amp;"-"&amp;INDEX(Eingabe!$C$9:$C$18,I807)&amp;"-Gäste  ·  Voucher",IF(J807=K807+3,"Kabel  ·  Access Point y = .(50+y), Mast-Switch x = .(10+x)","")))))</f>
        <v/>
      </c>
      <c r="I807" s="0" t="str">
        <f aca="false">IF(802&lt;=(Eingabe!$P$18+Eingabe!$Q$18-1),MATCH(802,Eingabe!$P$9:$P$18,1),"")</f>
        <v/>
      </c>
      <c r="J807" s="0" t="str">
        <f aca="false">IF(I807="","",802-INDEX(Eingabe!$P$9:$P$18,I807))</f>
        <v/>
      </c>
      <c r="K807" s="0" t="str">
        <f aca="false">IF(I807="","",INDEX(Eingabe!$E$9:$E$18,I807))</f>
        <v/>
      </c>
    </row>
    <row r="808" customFormat="false" ht="15" hidden="false" customHeight="false" outlineLevel="0" collapsed="false">
      <c r="A808" s="0" t="str">
        <f aca="false">IF(I808="","",IF(J808=0,"Sparte "&amp;I808&amp;": "&amp;INDEX(Eingabe!$B$9:$B$18,I808)&amp;"  (Sparten-ID "&amp;INDEX(Eingabe!$D$9:$D$18,I808)&amp;", "&amp;K808&amp;" Parzellen)",IF(J808&lt;=K808,"   Parzelle "&amp;J808,IF(J808=K808+1,"   Vorstand",IF(J808=K808+2,"   Gäste",IF(J808=K808+3,"   Technik (Switches, Access Points)",""))))))</f>
        <v/>
      </c>
      <c r="B808" s="0" t="str">
        <f aca="false">IF(I808="","",IF(AND(J808&gt;=1,J808&lt;=K808+3),IF(J808&lt;=K808,IF(J808&lt;=99,IF((INDEX(Eingabe!$G$9:$G$18,I808))&lt;=9,1000+(INDEX(Eingabe!$G$9:$G$18,I808))*100,3000)+J808,IF((INDEX(Eingabe!$G$9:$G$18,I808)+1)&lt;=9,1000+(INDEX(Eingabe!$G$9:$G$18,I808)+1)*100,3000)+J808-100),IF(J808=K808+1,2000+INDEX(Eingabe!$G$9:$G$18,I808)*10+1,IF(J808=K808+2,2000+INDEX(Eingabe!$G$9:$G$18,I808)*10+2,2000+INDEX(Eingabe!$G$9:$G$18,I808)*10+9))),""))</f>
        <v/>
      </c>
      <c r="C808" s="0" t="str">
        <f aca="false">IF(I808="","",IF(AND(J808&gt;=1,J808&lt;=K808+3),"10."&amp;INDEX(Eingabe!$D$9:$D$18,I808)&amp;"."&amp;IF(J808&lt;=K808,J808,IF(J808=K808+1,200,IF(J808=K808+2,201,250)))&amp;".0/24",""))</f>
        <v/>
      </c>
      <c r="D808" s="0" t="str">
        <f aca="false">IF(I808="","",IF(AND(J808&gt;=1,J808&lt;=K808+3),"255.255.255.0",""))</f>
        <v/>
      </c>
      <c r="E808" s="0" t="str">
        <f aca="false">IF(I808="","",IF(AND(J808&gt;=1,J808&lt;=K808+3),"10."&amp;INDEX(Eingabe!$D$9:$D$18,I808)&amp;"."&amp;IF(J808&lt;=K808,J808,IF(J808=K808+1,200,IF(J808=K808+2,201,250)))&amp;".1",""))</f>
        <v/>
      </c>
      <c r="F808" s="0" t="str">
        <f aca="false">IF(I808="","",IF(AND(J808&gt;=1,J808&lt;=K808+3),"10."&amp;INDEX(Eingabe!$D$9:$D$18,I808)&amp;"."&amp;IF(J808&lt;=K808,J808,IF(J808=K808+1,200,IF(J808=K808+2,201,250)))&amp;".10 – 10."&amp;INDEX(Eingabe!$D$9:$D$18,I808)&amp;"."&amp;IF(J808&lt;=K808,J808,IF(J808=K808+1,200,IF(J808=K808+2,201,250)))&amp;".250",""))</f>
        <v/>
      </c>
      <c r="G808" s="0" t="str">
        <f aca="false">IF(I808="","",IF(AND(J808&gt;=1,J808&lt;=K808),Eingabe!$B$6&amp;"-"&amp;INDEX(Eingabe!$C$9:$C$18,I808)&amp;"-Pächter  ·  Passwort Parzelle "&amp;J808,IF(J808=K808+1,Eingabe!$B$6&amp;"-"&amp;INDEX(Eingabe!$C$9:$C$18,I808)&amp;"-Vorstand  ·  eigenes WLAN",IF(J808=K808+2,Eingabe!$B$6&amp;"-"&amp;INDEX(Eingabe!$C$9:$C$18,I808)&amp;"-Gäste  ·  Voucher",IF(J808=K808+3,"Kabel  ·  Access Point y = .(50+y), Mast-Switch x = .(10+x)","")))))</f>
        <v/>
      </c>
      <c r="I808" s="0" t="str">
        <f aca="false">IF(803&lt;=(Eingabe!$P$18+Eingabe!$Q$18-1),MATCH(803,Eingabe!$P$9:$P$18,1),"")</f>
        <v/>
      </c>
      <c r="J808" s="0" t="str">
        <f aca="false">IF(I808="","",803-INDEX(Eingabe!$P$9:$P$18,I808))</f>
        <v/>
      </c>
      <c r="K808" s="0" t="str">
        <f aca="false">IF(I808="","",INDEX(Eingabe!$E$9:$E$18,I808))</f>
        <v/>
      </c>
    </row>
    <row r="809" customFormat="false" ht="15" hidden="false" customHeight="false" outlineLevel="0" collapsed="false">
      <c r="A809" s="0" t="str">
        <f aca="false">IF(I809="","",IF(J809=0,"Sparte "&amp;I809&amp;": "&amp;INDEX(Eingabe!$B$9:$B$18,I809)&amp;"  (Sparten-ID "&amp;INDEX(Eingabe!$D$9:$D$18,I809)&amp;", "&amp;K809&amp;" Parzellen)",IF(J809&lt;=K809,"   Parzelle "&amp;J809,IF(J809=K809+1,"   Vorstand",IF(J809=K809+2,"   Gäste",IF(J809=K809+3,"   Technik (Switches, Access Points)",""))))))</f>
        <v/>
      </c>
      <c r="B809" s="0" t="str">
        <f aca="false">IF(I809="","",IF(AND(J809&gt;=1,J809&lt;=K809+3),IF(J809&lt;=K809,IF(J809&lt;=99,IF((INDEX(Eingabe!$G$9:$G$18,I809))&lt;=9,1000+(INDEX(Eingabe!$G$9:$G$18,I809))*100,3000)+J809,IF((INDEX(Eingabe!$G$9:$G$18,I809)+1)&lt;=9,1000+(INDEX(Eingabe!$G$9:$G$18,I809)+1)*100,3000)+J809-100),IF(J809=K809+1,2000+INDEX(Eingabe!$G$9:$G$18,I809)*10+1,IF(J809=K809+2,2000+INDEX(Eingabe!$G$9:$G$18,I809)*10+2,2000+INDEX(Eingabe!$G$9:$G$18,I809)*10+9))),""))</f>
        <v/>
      </c>
      <c r="C809" s="0" t="str">
        <f aca="false">IF(I809="","",IF(AND(J809&gt;=1,J809&lt;=K809+3),"10."&amp;INDEX(Eingabe!$D$9:$D$18,I809)&amp;"."&amp;IF(J809&lt;=K809,J809,IF(J809=K809+1,200,IF(J809=K809+2,201,250)))&amp;".0/24",""))</f>
        <v/>
      </c>
      <c r="D809" s="0" t="str">
        <f aca="false">IF(I809="","",IF(AND(J809&gt;=1,J809&lt;=K809+3),"255.255.255.0",""))</f>
        <v/>
      </c>
      <c r="E809" s="0" t="str">
        <f aca="false">IF(I809="","",IF(AND(J809&gt;=1,J809&lt;=K809+3),"10."&amp;INDEX(Eingabe!$D$9:$D$18,I809)&amp;"."&amp;IF(J809&lt;=K809,J809,IF(J809=K809+1,200,IF(J809=K809+2,201,250)))&amp;".1",""))</f>
        <v/>
      </c>
      <c r="F809" s="0" t="str">
        <f aca="false">IF(I809="","",IF(AND(J809&gt;=1,J809&lt;=K809+3),"10."&amp;INDEX(Eingabe!$D$9:$D$18,I809)&amp;"."&amp;IF(J809&lt;=K809,J809,IF(J809=K809+1,200,IF(J809=K809+2,201,250)))&amp;".10 – 10."&amp;INDEX(Eingabe!$D$9:$D$18,I809)&amp;"."&amp;IF(J809&lt;=K809,J809,IF(J809=K809+1,200,IF(J809=K809+2,201,250)))&amp;".250",""))</f>
        <v/>
      </c>
      <c r="G809" s="0" t="str">
        <f aca="false">IF(I809="","",IF(AND(J809&gt;=1,J809&lt;=K809),Eingabe!$B$6&amp;"-"&amp;INDEX(Eingabe!$C$9:$C$18,I809)&amp;"-Pächter  ·  Passwort Parzelle "&amp;J809,IF(J809=K809+1,Eingabe!$B$6&amp;"-"&amp;INDEX(Eingabe!$C$9:$C$18,I809)&amp;"-Vorstand  ·  eigenes WLAN",IF(J809=K809+2,Eingabe!$B$6&amp;"-"&amp;INDEX(Eingabe!$C$9:$C$18,I809)&amp;"-Gäste  ·  Voucher",IF(J809=K809+3,"Kabel  ·  Access Point y = .(50+y), Mast-Switch x = .(10+x)","")))))</f>
        <v/>
      </c>
      <c r="I809" s="0" t="str">
        <f aca="false">IF(804&lt;=(Eingabe!$P$18+Eingabe!$Q$18-1),MATCH(804,Eingabe!$P$9:$P$18,1),"")</f>
        <v/>
      </c>
      <c r="J809" s="0" t="str">
        <f aca="false">IF(I809="","",804-INDEX(Eingabe!$P$9:$P$18,I809))</f>
        <v/>
      </c>
      <c r="K809" s="0" t="str">
        <f aca="false">IF(I809="","",INDEX(Eingabe!$E$9:$E$18,I809))</f>
        <v/>
      </c>
    </row>
    <row r="810" customFormat="false" ht="15" hidden="false" customHeight="false" outlineLevel="0" collapsed="false">
      <c r="A810" s="0" t="str">
        <f aca="false">IF(I810="","",IF(J810=0,"Sparte "&amp;I810&amp;": "&amp;INDEX(Eingabe!$B$9:$B$18,I810)&amp;"  (Sparten-ID "&amp;INDEX(Eingabe!$D$9:$D$18,I810)&amp;", "&amp;K810&amp;" Parzellen)",IF(J810&lt;=K810,"   Parzelle "&amp;J810,IF(J810=K810+1,"   Vorstand",IF(J810=K810+2,"   Gäste",IF(J810=K810+3,"   Technik (Switches, Access Points)",""))))))</f>
        <v/>
      </c>
      <c r="B810" s="0" t="str">
        <f aca="false">IF(I810="","",IF(AND(J810&gt;=1,J810&lt;=K810+3),IF(J810&lt;=K810,IF(J810&lt;=99,IF((INDEX(Eingabe!$G$9:$G$18,I810))&lt;=9,1000+(INDEX(Eingabe!$G$9:$G$18,I810))*100,3000)+J810,IF((INDEX(Eingabe!$G$9:$G$18,I810)+1)&lt;=9,1000+(INDEX(Eingabe!$G$9:$G$18,I810)+1)*100,3000)+J810-100),IF(J810=K810+1,2000+INDEX(Eingabe!$G$9:$G$18,I810)*10+1,IF(J810=K810+2,2000+INDEX(Eingabe!$G$9:$G$18,I810)*10+2,2000+INDEX(Eingabe!$G$9:$G$18,I810)*10+9))),""))</f>
        <v/>
      </c>
      <c r="C810" s="0" t="str">
        <f aca="false">IF(I810="","",IF(AND(J810&gt;=1,J810&lt;=K810+3),"10."&amp;INDEX(Eingabe!$D$9:$D$18,I810)&amp;"."&amp;IF(J810&lt;=K810,J810,IF(J810=K810+1,200,IF(J810=K810+2,201,250)))&amp;".0/24",""))</f>
        <v/>
      </c>
      <c r="D810" s="0" t="str">
        <f aca="false">IF(I810="","",IF(AND(J810&gt;=1,J810&lt;=K810+3),"255.255.255.0",""))</f>
        <v/>
      </c>
      <c r="E810" s="0" t="str">
        <f aca="false">IF(I810="","",IF(AND(J810&gt;=1,J810&lt;=K810+3),"10."&amp;INDEX(Eingabe!$D$9:$D$18,I810)&amp;"."&amp;IF(J810&lt;=K810,J810,IF(J810=K810+1,200,IF(J810=K810+2,201,250)))&amp;".1",""))</f>
        <v/>
      </c>
      <c r="F810" s="0" t="str">
        <f aca="false">IF(I810="","",IF(AND(J810&gt;=1,J810&lt;=K810+3),"10."&amp;INDEX(Eingabe!$D$9:$D$18,I810)&amp;"."&amp;IF(J810&lt;=K810,J810,IF(J810=K810+1,200,IF(J810=K810+2,201,250)))&amp;".10 – 10."&amp;INDEX(Eingabe!$D$9:$D$18,I810)&amp;"."&amp;IF(J810&lt;=K810,J810,IF(J810=K810+1,200,IF(J810=K810+2,201,250)))&amp;".250",""))</f>
        <v/>
      </c>
      <c r="G810" s="0" t="str">
        <f aca="false">IF(I810="","",IF(AND(J810&gt;=1,J810&lt;=K810),Eingabe!$B$6&amp;"-"&amp;INDEX(Eingabe!$C$9:$C$18,I810)&amp;"-Pächter  ·  Passwort Parzelle "&amp;J810,IF(J810=K810+1,Eingabe!$B$6&amp;"-"&amp;INDEX(Eingabe!$C$9:$C$18,I810)&amp;"-Vorstand  ·  eigenes WLAN",IF(J810=K810+2,Eingabe!$B$6&amp;"-"&amp;INDEX(Eingabe!$C$9:$C$18,I810)&amp;"-Gäste  ·  Voucher",IF(J810=K810+3,"Kabel  ·  Access Point y = .(50+y), Mast-Switch x = .(10+x)","")))))</f>
        <v/>
      </c>
      <c r="I810" s="0" t="str">
        <f aca="false">IF(805&lt;=(Eingabe!$P$18+Eingabe!$Q$18-1),MATCH(805,Eingabe!$P$9:$P$18,1),"")</f>
        <v/>
      </c>
      <c r="J810" s="0" t="str">
        <f aca="false">IF(I810="","",805-INDEX(Eingabe!$P$9:$P$18,I810))</f>
        <v/>
      </c>
      <c r="K810" s="0" t="str">
        <f aca="false">IF(I810="","",INDEX(Eingabe!$E$9:$E$18,I810))</f>
        <v/>
      </c>
    </row>
    <row r="811" customFormat="false" ht="15" hidden="false" customHeight="false" outlineLevel="0" collapsed="false">
      <c r="A811" s="0" t="str">
        <f aca="false">IF(I811="","",IF(J811=0,"Sparte "&amp;I811&amp;": "&amp;INDEX(Eingabe!$B$9:$B$18,I811)&amp;"  (Sparten-ID "&amp;INDEX(Eingabe!$D$9:$D$18,I811)&amp;", "&amp;K811&amp;" Parzellen)",IF(J811&lt;=K811,"   Parzelle "&amp;J811,IF(J811=K811+1,"   Vorstand",IF(J811=K811+2,"   Gäste",IF(J811=K811+3,"   Technik (Switches, Access Points)",""))))))</f>
        <v/>
      </c>
      <c r="B811" s="0" t="str">
        <f aca="false">IF(I811="","",IF(AND(J811&gt;=1,J811&lt;=K811+3),IF(J811&lt;=K811,IF(J811&lt;=99,IF((INDEX(Eingabe!$G$9:$G$18,I811))&lt;=9,1000+(INDEX(Eingabe!$G$9:$G$18,I811))*100,3000)+J811,IF((INDEX(Eingabe!$G$9:$G$18,I811)+1)&lt;=9,1000+(INDEX(Eingabe!$G$9:$G$18,I811)+1)*100,3000)+J811-100),IF(J811=K811+1,2000+INDEX(Eingabe!$G$9:$G$18,I811)*10+1,IF(J811=K811+2,2000+INDEX(Eingabe!$G$9:$G$18,I811)*10+2,2000+INDEX(Eingabe!$G$9:$G$18,I811)*10+9))),""))</f>
        <v/>
      </c>
      <c r="C811" s="0" t="str">
        <f aca="false">IF(I811="","",IF(AND(J811&gt;=1,J811&lt;=K811+3),"10."&amp;INDEX(Eingabe!$D$9:$D$18,I811)&amp;"."&amp;IF(J811&lt;=K811,J811,IF(J811=K811+1,200,IF(J811=K811+2,201,250)))&amp;".0/24",""))</f>
        <v/>
      </c>
      <c r="D811" s="0" t="str">
        <f aca="false">IF(I811="","",IF(AND(J811&gt;=1,J811&lt;=K811+3),"255.255.255.0",""))</f>
        <v/>
      </c>
      <c r="E811" s="0" t="str">
        <f aca="false">IF(I811="","",IF(AND(J811&gt;=1,J811&lt;=K811+3),"10."&amp;INDEX(Eingabe!$D$9:$D$18,I811)&amp;"."&amp;IF(J811&lt;=K811,J811,IF(J811=K811+1,200,IF(J811=K811+2,201,250)))&amp;".1",""))</f>
        <v/>
      </c>
      <c r="F811" s="0" t="str">
        <f aca="false">IF(I811="","",IF(AND(J811&gt;=1,J811&lt;=K811+3),"10."&amp;INDEX(Eingabe!$D$9:$D$18,I811)&amp;"."&amp;IF(J811&lt;=K811,J811,IF(J811=K811+1,200,IF(J811=K811+2,201,250)))&amp;".10 – 10."&amp;INDEX(Eingabe!$D$9:$D$18,I811)&amp;"."&amp;IF(J811&lt;=K811,J811,IF(J811=K811+1,200,IF(J811=K811+2,201,250)))&amp;".250",""))</f>
        <v/>
      </c>
      <c r="G811" s="0" t="str">
        <f aca="false">IF(I811="","",IF(AND(J811&gt;=1,J811&lt;=K811),Eingabe!$B$6&amp;"-"&amp;INDEX(Eingabe!$C$9:$C$18,I811)&amp;"-Pächter  ·  Passwort Parzelle "&amp;J811,IF(J811=K811+1,Eingabe!$B$6&amp;"-"&amp;INDEX(Eingabe!$C$9:$C$18,I811)&amp;"-Vorstand  ·  eigenes WLAN",IF(J811=K811+2,Eingabe!$B$6&amp;"-"&amp;INDEX(Eingabe!$C$9:$C$18,I811)&amp;"-Gäste  ·  Voucher",IF(J811=K811+3,"Kabel  ·  Access Point y = .(50+y), Mast-Switch x = .(10+x)","")))))</f>
        <v/>
      </c>
      <c r="I811" s="0" t="str">
        <f aca="false">IF(806&lt;=(Eingabe!$P$18+Eingabe!$Q$18-1),MATCH(806,Eingabe!$P$9:$P$18,1),"")</f>
        <v/>
      </c>
      <c r="J811" s="0" t="str">
        <f aca="false">IF(I811="","",806-INDEX(Eingabe!$P$9:$P$18,I811))</f>
        <v/>
      </c>
      <c r="K811" s="0" t="str">
        <f aca="false">IF(I811="","",INDEX(Eingabe!$E$9:$E$18,I811))</f>
        <v/>
      </c>
    </row>
    <row r="812" customFormat="false" ht="15" hidden="false" customHeight="false" outlineLevel="0" collapsed="false">
      <c r="A812" s="0" t="str">
        <f aca="false">IF(I812="","",IF(J812=0,"Sparte "&amp;I812&amp;": "&amp;INDEX(Eingabe!$B$9:$B$18,I812)&amp;"  (Sparten-ID "&amp;INDEX(Eingabe!$D$9:$D$18,I812)&amp;", "&amp;K812&amp;" Parzellen)",IF(J812&lt;=K812,"   Parzelle "&amp;J812,IF(J812=K812+1,"   Vorstand",IF(J812=K812+2,"   Gäste",IF(J812=K812+3,"   Technik (Switches, Access Points)",""))))))</f>
        <v/>
      </c>
      <c r="B812" s="0" t="str">
        <f aca="false">IF(I812="","",IF(AND(J812&gt;=1,J812&lt;=K812+3),IF(J812&lt;=K812,IF(J812&lt;=99,IF((INDEX(Eingabe!$G$9:$G$18,I812))&lt;=9,1000+(INDEX(Eingabe!$G$9:$G$18,I812))*100,3000)+J812,IF((INDEX(Eingabe!$G$9:$G$18,I812)+1)&lt;=9,1000+(INDEX(Eingabe!$G$9:$G$18,I812)+1)*100,3000)+J812-100),IF(J812=K812+1,2000+INDEX(Eingabe!$G$9:$G$18,I812)*10+1,IF(J812=K812+2,2000+INDEX(Eingabe!$G$9:$G$18,I812)*10+2,2000+INDEX(Eingabe!$G$9:$G$18,I812)*10+9))),""))</f>
        <v/>
      </c>
      <c r="C812" s="0" t="str">
        <f aca="false">IF(I812="","",IF(AND(J812&gt;=1,J812&lt;=K812+3),"10."&amp;INDEX(Eingabe!$D$9:$D$18,I812)&amp;"."&amp;IF(J812&lt;=K812,J812,IF(J812=K812+1,200,IF(J812=K812+2,201,250)))&amp;".0/24",""))</f>
        <v/>
      </c>
      <c r="D812" s="0" t="str">
        <f aca="false">IF(I812="","",IF(AND(J812&gt;=1,J812&lt;=K812+3),"255.255.255.0",""))</f>
        <v/>
      </c>
      <c r="E812" s="0" t="str">
        <f aca="false">IF(I812="","",IF(AND(J812&gt;=1,J812&lt;=K812+3),"10."&amp;INDEX(Eingabe!$D$9:$D$18,I812)&amp;"."&amp;IF(J812&lt;=K812,J812,IF(J812=K812+1,200,IF(J812=K812+2,201,250)))&amp;".1",""))</f>
        <v/>
      </c>
      <c r="F812" s="0" t="str">
        <f aca="false">IF(I812="","",IF(AND(J812&gt;=1,J812&lt;=K812+3),"10."&amp;INDEX(Eingabe!$D$9:$D$18,I812)&amp;"."&amp;IF(J812&lt;=K812,J812,IF(J812=K812+1,200,IF(J812=K812+2,201,250)))&amp;".10 – 10."&amp;INDEX(Eingabe!$D$9:$D$18,I812)&amp;"."&amp;IF(J812&lt;=K812,J812,IF(J812=K812+1,200,IF(J812=K812+2,201,250)))&amp;".250",""))</f>
        <v/>
      </c>
      <c r="G812" s="0" t="str">
        <f aca="false">IF(I812="","",IF(AND(J812&gt;=1,J812&lt;=K812),Eingabe!$B$6&amp;"-"&amp;INDEX(Eingabe!$C$9:$C$18,I812)&amp;"-Pächter  ·  Passwort Parzelle "&amp;J812,IF(J812=K812+1,Eingabe!$B$6&amp;"-"&amp;INDEX(Eingabe!$C$9:$C$18,I812)&amp;"-Vorstand  ·  eigenes WLAN",IF(J812=K812+2,Eingabe!$B$6&amp;"-"&amp;INDEX(Eingabe!$C$9:$C$18,I812)&amp;"-Gäste  ·  Voucher",IF(J812=K812+3,"Kabel  ·  Access Point y = .(50+y), Mast-Switch x = .(10+x)","")))))</f>
        <v/>
      </c>
      <c r="I812" s="0" t="str">
        <f aca="false">IF(807&lt;=(Eingabe!$P$18+Eingabe!$Q$18-1),MATCH(807,Eingabe!$P$9:$P$18,1),"")</f>
        <v/>
      </c>
      <c r="J812" s="0" t="str">
        <f aca="false">IF(I812="","",807-INDEX(Eingabe!$P$9:$P$18,I812))</f>
        <v/>
      </c>
      <c r="K812" s="0" t="str">
        <f aca="false">IF(I812="","",INDEX(Eingabe!$E$9:$E$18,I812))</f>
        <v/>
      </c>
    </row>
    <row r="813" customFormat="false" ht="15" hidden="false" customHeight="false" outlineLevel="0" collapsed="false">
      <c r="A813" s="0" t="str">
        <f aca="false">IF(I813="","",IF(J813=0,"Sparte "&amp;I813&amp;": "&amp;INDEX(Eingabe!$B$9:$B$18,I813)&amp;"  (Sparten-ID "&amp;INDEX(Eingabe!$D$9:$D$18,I813)&amp;", "&amp;K813&amp;" Parzellen)",IF(J813&lt;=K813,"   Parzelle "&amp;J813,IF(J813=K813+1,"   Vorstand",IF(J813=K813+2,"   Gäste",IF(J813=K813+3,"   Technik (Switches, Access Points)",""))))))</f>
        <v/>
      </c>
      <c r="B813" s="0" t="str">
        <f aca="false">IF(I813="","",IF(AND(J813&gt;=1,J813&lt;=K813+3),IF(J813&lt;=K813,IF(J813&lt;=99,IF((INDEX(Eingabe!$G$9:$G$18,I813))&lt;=9,1000+(INDEX(Eingabe!$G$9:$G$18,I813))*100,3000)+J813,IF((INDEX(Eingabe!$G$9:$G$18,I813)+1)&lt;=9,1000+(INDEX(Eingabe!$G$9:$G$18,I813)+1)*100,3000)+J813-100),IF(J813=K813+1,2000+INDEX(Eingabe!$G$9:$G$18,I813)*10+1,IF(J813=K813+2,2000+INDEX(Eingabe!$G$9:$G$18,I813)*10+2,2000+INDEX(Eingabe!$G$9:$G$18,I813)*10+9))),""))</f>
        <v/>
      </c>
      <c r="C813" s="0" t="str">
        <f aca="false">IF(I813="","",IF(AND(J813&gt;=1,J813&lt;=K813+3),"10."&amp;INDEX(Eingabe!$D$9:$D$18,I813)&amp;"."&amp;IF(J813&lt;=K813,J813,IF(J813=K813+1,200,IF(J813=K813+2,201,250)))&amp;".0/24",""))</f>
        <v/>
      </c>
      <c r="D813" s="0" t="str">
        <f aca="false">IF(I813="","",IF(AND(J813&gt;=1,J813&lt;=K813+3),"255.255.255.0",""))</f>
        <v/>
      </c>
      <c r="E813" s="0" t="str">
        <f aca="false">IF(I813="","",IF(AND(J813&gt;=1,J813&lt;=K813+3),"10."&amp;INDEX(Eingabe!$D$9:$D$18,I813)&amp;"."&amp;IF(J813&lt;=K813,J813,IF(J813=K813+1,200,IF(J813=K813+2,201,250)))&amp;".1",""))</f>
        <v/>
      </c>
      <c r="F813" s="0" t="str">
        <f aca="false">IF(I813="","",IF(AND(J813&gt;=1,J813&lt;=K813+3),"10."&amp;INDEX(Eingabe!$D$9:$D$18,I813)&amp;"."&amp;IF(J813&lt;=K813,J813,IF(J813=K813+1,200,IF(J813=K813+2,201,250)))&amp;".10 – 10."&amp;INDEX(Eingabe!$D$9:$D$18,I813)&amp;"."&amp;IF(J813&lt;=K813,J813,IF(J813=K813+1,200,IF(J813=K813+2,201,250)))&amp;".250",""))</f>
        <v/>
      </c>
      <c r="G813" s="0" t="str">
        <f aca="false">IF(I813="","",IF(AND(J813&gt;=1,J813&lt;=K813),Eingabe!$B$6&amp;"-"&amp;INDEX(Eingabe!$C$9:$C$18,I813)&amp;"-Pächter  ·  Passwort Parzelle "&amp;J813,IF(J813=K813+1,Eingabe!$B$6&amp;"-"&amp;INDEX(Eingabe!$C$9:$C$18,I813)&amp;"-Vorstand  ·  eigenes WLAN",IF(J813=K813+2,Eingabe!$B$6&amp;"-"&amp;INDEX(Eingabe!$C$9:$C$18,I813)&amp;"-Gäste  ·  Voucher",IF(J813=K813+3,"Kabel  ·  Access Point y = .(50+y), Mast-Switch x = .(10+x)","")))))</f>
        <v/>
      </c>
      <c r="I813" s="0" t="str">
        <f aca="false">IF(808&lt;=(Eingabe!$P$18+Eingabe!$Q$18-1),MATCH(808,Eingabe!$P$9:$P$18,1),"")</f>
        <v/>
      </c>
      <c r="J813" s="0" t="str">
        <f aca="false">IF(I813="","",808-INDEX(Eingabe!$P$9:$P$18,I813))</f>
        <v/>
      </c>
      <c r="K813" s="0" t="str">
        <f aca="false">IF(I813="","",INDEX(Eingabe!$E$9:$E$18,I813))</f>
        <v/>
      </c>
    </row>
    <row r="814" customFormat="false" ht="15" hidden="false" customHeight="false" outlineLevel="0" collapsed="false">
      <c r="A814" s="0" t="str">
        <f aca="false">IF(I814="","",IF(J814=0,"Sparte "&amp;I814&amp;": "&amp;INDEX(Eingabe!$B$9:$B$18,I814)&amp;"  (Sparten-ID "&amp;INDEX(Eingabe!$D$9:$D$18,I814)&amp;", "&amp;K814&amp;" Parzellen)",IF(J814&lt;=K814,"   Parzelle "&amp;J814,IF(J814=K814+1,"   Vorstand",IF(J814=K814+2,"   Gäste",IF(J814=K814+3,"   Technik (Switches, Access Points)",""))))))</f>
        <v/>
      </c>
      <c r="B814" s="0" t="str">
        <f aca="false">IF(I814="","",IF(AND(J814&gt;=1,J814&lt;=K814+3),IF(J814&lt;=K814,IF(J814&lt;=99,IF((INDEX(Eingabe!$G$9:$G$18,I814))&lt;=9,1000+(INDEX(Eingabe!$G$9:$G$18,I814))*100,3000)+J814,IF((INDEX(Eingabe!$G$9:$G$18,I814)+1)&lt;=9,1000+(INDEX(Eingabe!$G$9:$G$18,I814)+1)*100,3000)+J814-100),IF(J814=K814+1,2000+INDEX(Eingabe!$G$9:$G$18,I814)*10+1,IF(J814=K814+2,2000+INDEX(Eingabe!$G$9:$G$18,I814)*10+2,2000+INDEX(Eingabe!$G$9:$G$18,I814)*10+9))),""))</f>
        <v/>
      </c>
      <c r="C814" s="0" t="str">
        <f aca="false">IF(I814="","",IF(AND(J814&gt;=1,J814&lt;=K814+3),"10."&amp;INDEX(Eingabe!$D$9:$D$18,I814)&amp;"."&amp;IF(J814&lt;=K814,J814,IF(J814=K814+1,200,IF(J814=K814+2,201,250)))&amp;".0/24",""))</f>
        <v/>
      </c>
      <c r="D814" s="0" t="str">
        <f aca="false">IF(I814="","",IF(AND(J814&gt;=1,J814&lt;=K814+3),"255.255.255.0",""))</f>
        <v/>
      </c>
      <c r="E814" s="0" t="str">
        <f aca="false">IF(I814="","",IF(AND(J814&gt;=1,J814&lt;=K814+3),"10."&amp;INDEX(Eingabe!$D$9:$D$18,I814)&amp;"."&amp;IF(J814&lt;=K814,J814,IF(J814=K814+1,200,IF(J814=K814+2,201,250)))&amp;".1",""))</f>
        <v/>
      </c>
      <c r="F814" s="0" t="str">
        <f aca="false">IF(I814="","",IF(AND(J814&gt;=1,J814&lt;=K814+3),"10."&amp;INDEX(Eingabe!$D$9:$D$18,I814)&amp;"."&amp;IF(J814&lt;=K814,J814,IF(J814=K814+1,200,IF(J814=K814+2,201,250)))&amp;".10 – 10."&amp;INDEX(Eingabe!$D$9:$D$18,I814)&amp;"."&amp;IF(J814&lt;=K814,J814,IF(J814=K814+1,200,IF(J814=K814+2,201,250)))&amp;".250",""))</f>
        <v/>
      </c>
      <c r="G814" s="0" t="str">
        <f aca="false">IF(I814="","",IF(AND(J814&gt;=1,J814&lt;=K814),Eingabe!$B$6&amp;"-"&amp;INDEX(Eingabe!$C$9:$C$18,I814)&amp;"-Pächter  ·  Passwort Parzelle "&amp;J814,IF(J814=K814+1,Eingabe!$B$6&amp;"-"&amp;INDEX(Eingabe!$C$9:$C$18,I814)&amp;"-Vorstand  ·  eigenes WLAN",IF(J814=K814+2,Eingabe!$B$6&amp;"-"&amp;INDEX(Eingabe!$C$9:$C$18,I814)&amp;"-Gäste  ·  Voucher",IF(J814=K814+3,"Kabel  ·  Access Point y = .(50+y), Mast-Switch x = .(10+x)","")))))</f>
        <v/>
      </c>
      <c r="I814" s="0" t="str">
        <f aca="false">IF(809&lt;=(Eingabe!$P$18+Eingabe!$Q$18-1),MATCH(809,Eingabe!$P$9:$P$18,1),"")</f>
        <v/>
      </c>
      <c r="J814" s="0" t="str">
        <f aca="false">IF(I814="","",809-INDEX(Eingabe!$P$9:$P$18,I814))</f>
        <v/>
      </c>
      <c r="K814" s="0" t="str">
        <f aca="false">IF(I814="","",INDEX(Eingabe!$E$9:$E$18,I814))</f>
        <v/>
      </c>
    </row>
    <row r="815" customFormat="false" ht="15" hidden="false" customHeight="false" outlineLevel="0" collapsed="false">
      <c r="A815" s="0" t="str">
        <f aca="false">IF(I815="","",IF(J815=0,"Sparte "&amp;I815&amp;": "&amp;INDEX(Eingabe!$B$9:$B$18,I815)&amp;"  (Sparten-ID "&amp;INDEX(Eingabe!$D$9:$D$18,I815)&amp;", "&amp;K815&amp;" Parzellen)",IF(J815&lt;=K815,"   Parzelle "&amp;J815,IF(J815=K815+1,"   Vorstand",IF(J815=K815+2,"   Gäste",IF(J815=K815+3,"   Technik (Switches, Access Points)",""))))))</f>
        <v/>
      </c>
      <c r="B815" s="0" t="str">
        <f aca="false">IF(I815="","",IF(AND(J815&gt;=1,J815&lt;=K815+3),IF(J815&lt;=K815,IF(J815&lt;=99,IF((INDEX(Eingabe!$G$9:$G$18,I815))&lt;=9,1000+(INDEX(Eingabe!$G$9:$G$18,I815))*100,3000)+J815,IF((INDEX(Eingabe!$G$9:$G$18,I815)+1)&lt;=9,1000+(INDEX(Eingabe!$G$9:$G$18,I815)+1)*100,3000)+J815-100),IF(J815=K815+1,2000+INDEX(Eingabe!$G$9:$G$18,I815)*10+1,IF(J815=K815+2,2000+INDEX(Eingabe!$G$9:$G$18,I815)*10+2,2000+INDEX(Eingabe!$G$9:$G$18,I815)*10+9))),""))</f>
        <v/>
      </c>
      <c r="C815" s="0" t="str">
        <f aca="false">IF(I815="","",IF(AND(J815&gt;=1,J815&lt;=K815+3),"10."&amp;INDEX(Eingabe!$D$9:$D$18,I815)&amp;"."&amp;IF(J815&lt;=K815,J815,IF(J815=K815+1,200,IF(J815=K815+2,201,250)))&amp;".0/24",""))</f>
        <v/>
      </c>
      <c r="D815" s="0" t="str">
        <f aca="false">IF(I815="","",IF(AND(J815&gt;=1,J815&lt;=K815+3),"255.255.255.0",""))</f>
        <v/>
      </c>
      <c r="E815" s="0" t="str">
        <f aca="false">IF(I815="","",IF(AND(J815&gt;=1,J815&lt;=K815+3),"10."&amp;INDEX(Eingabe!$D$9:$D$18,I815)&amp;"."&amp;IF(J815&lt;=K815,J815,IF(J815=K815+1,200,IF(J815=K815+2,201,250)))&amp;".1",""))</f>
        <v/>
      </c>
      <c r="F815" s="0" t="str">
        <f aca="false">IF(I815="","",IF(AND(J815&gt;=1,J815&lt;=K815+3),"10."&amp;INDEX(Eingabe!$D$9:$D$18,I815)&amp;"."&amp;IF(J815&lt;=K815,J815,IF(J815=K815+1,200,IF(J815=K815+2,201,250)))&amp;".10 – 10."&amp;INDEX(Eingabe!$D$9:$D$18,I815)&amp;"."&amp;IF(J815&lt;=K815,J815,IF(J815=K815+1,200,IF(J815=K815+2,201,250)))&amp;".250",""))</f>
        <v/>
      </c>
      <c r="G815" s="0" t="str">
        <f aca="false">IF(I815="","",IF(AND(J815&gt;=1,J815&lt;=K815),Eingabe!$B$6&amp;"-"&amp;INDEX(Eingabe!$C$9:$C$18,I815)&amp;"-Pächter  ·  Passwort Parzelle "&amp;J815,IF(J815=K815+1,Eingabe!$B$6&amp;"-"&amp;INDEX(Eingabe!$C$9:$C$18,I815)&amp;"-Vorstand  ·  eigenes WLAN",IF(J815=K815+2,Eingabe!$B$6&amp;"-"&amp;INDEX(Eingabe!$C$9:$C$18,I815)&amp;"-Gäste  ·  Voucher",IF(J815=K815+3,"Kabel  ·  Access Point y = .(50+y), Mast-Switch x = .(10+x)","")))))</f>
        <v/>
      </c>
      <c r="I815" s="0" t="str">
        <f aca="false">IF(810&lt;=(Eingabe!$P$18+Eingabe!$Q$18-1),MATCH(810,Eingabe!$P$9:$P$18,1),"")</f>
        <v/>
      </c>
      <c r="J815" s="0" t="str">
        <f aca="false">IF(I815="","",810-INDEX(Eingabe!$P$9:$P$18,I815))</f>
        <v/>
      </c>
      <c r="K815" s="0" t="str">
        <f aca="false">IF(I815="","",INDEX(Eingabe!$E$9:$E$18,I815))</f>
        <v/>
      </c>
    </row>
    <row r="816" customFormat="false" ht="15" hidden="false" customHeight="false" outlineLevel="0" collapsed="false">
      <c r="A816" s="0" t="str">
        <f aca="false">IF(I816="","",IF(J816=0,"Sparte "&amp;I816&amp;": "&amp;INDEX(Eingabe!$B$9:$B$18,I816)&amp;"  (Sparten-ID "&amp;INDEX(Eingabe!$D$9:$D$18,I816)&amp;", "&amp;K816&amp;" Parzellen)",IF(J816&lt;=K816,"   Parzelle "&amp;J816,IF(J816=K816+1,"   Vorstand",IF(J816=K816+2,"   Gäste",IF(J816=K816+3,"   Technik (Switches, Access Points)",""))))))</f>
        <v/>
      </c>
      <c r="B816" s="0" t="str">
        <f aca="false">IF(I816="","",IF(AND(J816&gt;=1,J816&lt;=K816+3),IF(J816&lt;=K816,IF(J816&lt;=99,IF((INDEX(Eingabe!$G$9:$G$18,I816))&lt;=9,1000+(INDEX(Eingabe!$G$9:$G$18,I816))*100,3000)+J816,IF((INDEX(Eingabe!$G$9:$G$18,I816)+1)&lt;=9,1000+(INDEX(Eingabe!$G$9:$G$18,I816)+1)*100,3000)+J816-100),IF(J816=K816+1,2000+INDEX(Eingabe!$G$9:$G$18,I816)*10+1,IF(J816=K816+2,2000+INDEX(Eingabe!$G$9:$G$18,I816)*10+2,2000+INDEX(Eingabe!$G$9:$G$18,I816)*10+9))),""))</f>
        <v/>
      </c>
      <c r="C816" s="0" t="str">
        <f aca="false">IF(I816="","",IF(AND(J816&gt;=1,J816&lt;=K816+3),"10."&amp;INDEX(Eingabe!$D$9:$D$18,I816)&amp;"."&amp;IF(J816&lt;=K816,J816,IF(J816=K816+1,200,IF(J816=K816+2,201,250)))&amp;".0/24",""))</f>
        <v/>
      </c>
      <c r="D816" s="0" t="str">
        <f aca="false">IF(I816="","",IF(AND(J816&gt;=1,J816&lt;=K816+3),"255.255.255.0",""))</f>
        <v/>
      </c>
      <c r="E816" s="0" t="str">
        <f aca="false">IF(I816="","",IF(AND(J816&gt;=1,J816&lt;=K816+3),"10."&amp;INDEX(Eingabe!$D$9:$D$18,I816)&amp;"."&amp;IF(J816&lt;=K816,J816,IF(J816=K816+1,200,IF(J816=K816+2,201,250)))&amp;".1",""))</f>
        <v/>
      </c>
      <c r="F816" s="0" t="str">
        <f aca="false">IF(I816="","",IF(AND(J816&gt;=1,J816&lt;=K816+3),"10."&amp;INDEX(Eingabe!$D$9:$D$18,I816)&amp;"."&amp;IF(J816&lt;=K816,J816,IF(J816=K816+1,200,IF(J816=K816+2,201,250)))&amp;".10 – 10."&amp;INDEX(Eingabe!$D$9:$D$18,I816)&amp;"."&amp;IF(J816&lt;=K816,J816,IF(J816=K816+1,200,IF(J816=K816+2,201,250)))&amp;".250",""))</f>
        <v/>
      </c>
      <c r="G816" s="0" t="str">
        <f aca="false">IF(I816="","",IF(AND(J816&gt;=1,J816&lt;=K816),Eingabe!$B$6&amp;"-"&amp;INDEX(Eingabe!$C$9:$C$18,I816)&amp;"-Pächter  ·  Passwort Parzelle "&amp;J816,IF(J816=K816+1,Eingabe!$B$6&amp;"-"&amp;INDEX(Eingabe!$C$9:$C$18,I816)&amp;"-Vorstand  ·  eigenes WLAN",IF(J816=K816+2,Eingabe!$B$6&amp;"-"&amp;INDEX(Eingabe!$C$9:$C$18,I816)&amp;"-Gäste  ·  Voucher",IF(J816=K816+3,"Kabel  ·  Access Point y = .(50+y), Mast-Switch x = .(10+x)","")))))</f>
        <v/>
      </c>
      <c r="I816" s="0" t="str">
        <f aca="false">IF(811&lt;=(Eingabe!$P$18+Eingabe!$Q$18-1),MATCH(811,Eingabe!$P$9:$P$18,1),"")</f>
        <v/>
      </c>
      <c r="J816" s="0" t="str">
        <f aca="false">IF(I816="","",811-INDEX(Eingabe!$P$9:$P$18,I816))</f>
        <v/>
      </c>
      <c r="K816" s="0" t="str">
        <f aca="false">IF(I816="","",INDEX(Eingabe!$E$9:$E$18,I816))</f>
        <v/>
      </c>
    </row>
    <row r="817" customFormat="false" ht="15" hidden="false" customHeight="false" outlineLevel="0" collapsed="false">
      <c r="A817" s="0" t="str">
        <f aca="false">IF(I817="","",IF(J817=0,"Sparte "&amp;I817&amp;": "&amp;INDEX(Eingabe!$B$9:$B$18,I817)&amp;"  (Sparten-ID "&amp;INDEX(Eingabe!$D$9:$D$18,I817)&amp;", "&amp;K817&amp;" Parzellen)",IF(J817&lt;=K817,"   Parzelle "&amp;J817,IF(J817=K817+1,"   Vorstand",IF(J817=K817+2,"   Gäste",IF(J817=K817+3,"   Technik (Switches, Access Points)",""))))))</f>
        <v/>
      </c>
      <c r="B817" s="0" t="str">
        <f aca="false">IF(I817="","",IF(AND(J817&gt;=1,J817&lt;=K817+3),IF(J817&lt;=K817,IF(J817&lt;=99,IF((INDEX(Eingabe!$G$9:$G$18,I817))&lt;=9,1000+(INDEX(Eingabe!$G$9:$G$18,I817))*100,3000)+J817,IF((INDEX(Eingabe!$G$9:$G$18,I817)+1)&lt;=9,1000+(INDEX(Eingabe!$G$9:$G$18,I817)+1)*100,3000)+J817-100),IF(J817=K817+1,2000+INDEX(Eingabe!$G$9:$G$18,I817)*10+1,IF(J817=K817+2,2000+INDEX(Eingabe!$G$9:$G$18,I817)*10+2,2000+INDEX(Eingabe!$G$9:$G$18,I817)*10+9))),""))</f>
        <v/>
      </c>
      <c r="C817" s="0" t="str">
        <f aca="false">IF(I817="","",IF(AND(J817&gt;=1,J817&lt;=K817+3),"10."&amp;INDEX(Eingabe!$D$9:$D$18,I817)&amp;"."&amp;IF(J817&lt;=K817,J817,IF(J817=K817+1,200,IF(J817=K817+2,201,250)))&amp;".0/24",""))</f>
        <v/>
      </c>
      <c r="D817" s="0" t="str">
        <f aca="false">IF(I817="","",IF(AND(J817&gt;=1,J817&lt;=K817+3),"255.255.255.0",""))</f>
        <v/>
      </c>
      <c r="E817" s="0" t="str">
        <f aca="false">IF(I817="","",IF(AND(J817&gt;=1,J817&lt;=K817+3),"10."&amp;INDEX(Eingabe!$D$9:$D$18,I817)&amp;"."&amp;IF(J817&lt;=K817,J817,IF(J817=K817+1,200,IF(J817=K817+2,201,250)))&amp;".1",""))</f>
        <v/>
      </c>
      <c r="F817" s="0" t="str">
        <f aca="false">IF(I817="","",IF(AND(J817&gt;=1,J817&lt;=K817+3),"10."&amp;INDEX(Eingabe!$D$9:$D$18,I817)&amp;"."&amp;IF(J817&lt;=K817,J817,IF(J817=K817+1,200,IF(J817=K817+2,201,250)))&amp;".10 – 10."&amp;INDEX(Eingabe!$D$9:$D$18,I817)&amp;"."&amp;IF(J817&lt;=K817,J817,IF(J817=K817+1,200,IF(J817=K817+2,201,250)))&amp;".250",""))</f>
        <v/>
      </c>
      <c r="G817" s="0" t="str">
        <f aca="false">IF(I817="","",IF(AND(J817&gt;=1,J817&lt;=K817),Eingabe!$B$6&amp;"-"&amp;INDEX(Eingabe!$C$9:$C$18,I817)&amp;"-Pächter  ·  Passwort Parzelle "&amp;J817,IF(J817=K817+1,Eingabe!$B$6&amp;"-"&amp;INDEX(Eingabe!$C$9:$C$18,I817)&amp;"-Vorstand  ·  eigenes WLAN",IF(J817=K817+2,Eingabe!$B$6&amp;"-"&amp;INDEX(Eingabe!$C$9:$C$18,I817)&amp;"-Gäste  ·  Voucher",IF(J817=K817+3,"Kabel  ·  Access Point y = .(50+y), Mast-Switch x = .(10+x)","")))))</f>
        <v/>
      </c>
      <c r="I817" s="0" t="str">
        <f aca="false">IF(812&lt;=(Eingabe!$P$18+Eingabe!$Q$18-1),MATCH(812,Eingabe!$P$9:$P$18,1),"")</f>
        <v/>
      </c>
      <c r="J817" s="0" t="str">
        <f aca="false">IF(I817="","",812-INDEX(Eingabe!$P$9:$P$18,I817))</f>
        <v/>
      </c>
      <c r="K817" s="0" t="str">
        <f aca="false">IF(I817="","",INDEX(Eingabe!$E$9:$E$18,I817))</f>
        <v/>
      </c>
    </row>
    <row r="818" customFormat="false" ht="15" hidden="false" customHeight="false" outlineLevel="0" collapsed="false">
      <c r="A818" s="0" t="str">
        <f aca="false">IF(I818="","",IF(J818=0,"Sparte "&amp;I818&amp;": "&amp;INDEX(Eingabe!$B$9:$B$18,I818)&amp;"  (Sparten-ID "&amp;INDEX(Eingabe!$D$9:$D$18,I818)&amp;", "&amp;K818&amp;" Parzellen)",IF(J818&lt;=K818,"   Parzelle "&amp;J818,IF(J818=K818+1,"   Vorstand",IF(J818=K818+2,"   Gäste",IF(J818=K818+3,"   Technik (Switches, Access Points)",""))))))</f>
        <v/>
      </c>
      <c r="B818" s="0" t="str">
        <f aca="false">IF(I818="","",IF(AND(J818&gt;=1,J818&lt;=K818+3),IF(J818&lt;=K818,IF(J818&lt;=99,IF((INDEX(Eingabe!$G$9:$G$18,I818))&lt;=9,1000+(INDEX(Eingabe!$G$9:$G$18,I818))*100,3000)+J818,IF((INDEX(Eingabe!$G$9:$G$18,I818)+1)&lt;=9,1000+(INDEX(Eingabe!$G$9:$G$18,I818)+1)*100,3000)+J818-100),IF(J818=K818+1,2000+INDEX(Eingabe!$G$9:$G$18,I818)*10+1,IF(J818=K818+2,2000+INDEX(Eingabe!$G$9:$G$18,I818)*10+2,2000+INDEX(Eingabe!$G$9:$G$18,I818)*10+9))),""))</f>
        <v/>
      </c>
      <c r="C818" s="0" t="str">
        <f aca="false">IF(I818="","",IF(AND(J818&gt;=1,J818&lt;=K818+3),"10."&amp;INDEX(Eingabe!$D$9:$D$18,I818)&amp;"."&amp;IF(J818&lt;=K818,J818,IF(J818=K818+1,200,IF(J818=K818+2,201,250)))&amp;".0/24",""))</f>
        <v/>
      </c>
      <c r="D818" s="0" t="str">
        <f aca="false">IF(I818="","",IF(AND(J818&gt;=1,J818&lt;=K818+3),"255.255.255.0",""))</f>
        <v/>
      </c>
      <c r="E818" s="0" t="str">
        <f aca="false">IF(I818="","",IF(AND(J818&gt;=1,J818&lt;=K818+3),"10."&amp;INDEX(Eingabe!$D$9:$D$18,I818)&amp;"."&amp;IF(J818&lt;=K818,J818,IF(J818=K818+1,200,IF(J818=K818+2,201,250)))&amp;".1",""))</f>
        <v/>
      </c>
      <c r="F818" s="0" t="str">
        <f aca="false">IF(I818="","",IF(AND(J818&gt;=1,J818&lt;=K818+3),"10."&amp;INDEX(Eingabe!$D$9:$D$18,I818)&amp;"."&amp;IF(J818&lt;=K818,J818,IF(J818=K818+1,200,IF(J818=K818+2,201,250)))&amp;".10 – 10."&amp;INDEX(Eingabe!$D$9:$D$18,I818)&amp;"."&amp;IF(J818&lt;=K818,J818,IF(J818=K818+1,200,IF(J818=K818+2,201,250)))&amp;".250",""))</f>
        <v/>
      </c>
      <c r="G818" s="0" t="str">
        <f aca="false">IF(I818="","",IF(AND(J818&gt;=1,J818&lt;=K818),Eingabe!$B$6&amp;"-"&amp;INDEX(Eingabe!$C$9:$C$18,I818)&amp;"-Pächter  ·  Passwort Parzelle "&amp;J818,IF(J818=K818+1,Eingabe!$B$6&amp;"-"&amp;INDEX(Eingabe!$C$9:$C$18,I818)&amp;"-Vorstand  ·  eigenes WLAN",IF(J818=K818+2,Eingabe!$B$6&amp;"-"&amp;INDEX(Eingabe!$C$9:$C$18,I818)&amp;"-Gäste  ·  Voucher",IF(J818=K818+3,"Kabel  ·  Access Point y = .(50+y), Mast-Switch x = .(10+x)","")))))</f>
        <v/>
      </c>
      <c r="I818" s="0" t="str">
        <f aca="false">IF(813&lt;=(Eingabe!$P$18+Eingabe!$Q$18-1),MATCH(813,Eingabe!$P$9:$P$18,1),"")</f>
        <v/>
      </c>
      <c r="J818" s="0" t="str">
        <f aca="false">IF(I818="","",813-INDEX(Eingabe!$P$9:$P$18,I818))</f>
        <v/>
      </c>
      <c r="K818" s="0" t="str">
        <f aca="false">IF(I818="","",INDEX(Eingabe!$E$9:$E$18,I818))</f>
        <v/>
      </c>
    </row>
    <row r="819" customFormat="false" ht="15" hidden="false" customHeight="false" outlineLevel="0" collapsed="false">
      <c r="A819" s="0" t="str">
        <f aca="false">IF(I819="","",IF(J819=0,"Sparte "&amp;I819&amp;": "&amp;INDEX(Eingabe!$B$9:$B$18,I819)&amp;"  (Sparten-ID "&amp;INDEX(Eingabe!$D$9:$D$18,I819)&amp;", "&amp;K819&amp;" Parzellen)",IF(J819&lt;=K819,"   Parzelle "&amp;J819,IF(J819=K819+1,"   Vorstand",IF(J819=K819+2,"   Gäste",IF(J819=K819+3,"   Technik (Switches, Access Points)",""))))))</f>
        <v/>
      </c>
      <c r="B819" s="0" t="str">
        <f aca="false">IF(I819="","",IF(AND(J819&gt;=1,J819&lt;=K819+3),IF(J819&lt;=K819,IF(J819&lt;=99,IF((INDEX(Eingabe!$G$9:$G$18,I819))&lt;=9,1000+(INDEX(Eingabe!$G$9:$G$18,I819))*100,3000)+J819,IF((INDEX(Eingabe!$G$9:$G$18,I819)+1)&lt;=9,1000+(INDEX(Eingabe!$G$9:$G$18,I819)+1)*100,3000)+J819-100),IF(J819=K819+1,2000+INDEX(Eingabe!$G$9:$G$18,I819)*10+1,IF(J819=K819+2,2000+INDEX(Eingabe!$G$9:$G$18,I819)*10+2,2000+INDEX(Eingabe!$G$9:$G$18,I819)*10+9))),""))</f>
        <v/>
      </c>
      <c r="C819" s="0" t="str">
        <f aca="false">IF(I819="","",IF(AND(J819&gt;=1,J819&lt;=K819+3),"10."&amp;INDEX(Eingabe!$D$9:$D$18,I819)&amp;"."&amp;IF(J819&lt;=K819,J819,IF(J819=K819+1,200,IF(J819=K819+2,201,250)))&amp;".0/24",""))</f>
        <v/>
      </c>
      <c r="D819" s="0" t="str">
        <f aca="false">IF(I819="","",IF(AND(J819&gt;=1,J819&lt;=K819+3),"255.255.255.0",""))</f>
        <v/>
      </c>
      <c r="E819" s="0" t="str">
        <f aca="false">IF(I819="","",IF(AND(J819&gt;=1,J819&lt;=K819+3),"10."&amp;INDEX(Eingabe!$D$9:$D$18,I819)&amp;"."&amp;IF(J819&lt;=K819,J819,IF(J819=K819+1,200,IF(J819=K819+2,201,250)))&amp;".1",""))</f>
        <v/>
      </c>
      <c r="F819" s="0" t="str">
        <f aca="false">IF(I819="","",IF(AND(J819&gt;=1,J819&lt;=K819+3),"10."&amp;INDEX(Eingabe!$D$9:$D$18,I819)&amp;"."&amp;IF(J819&lt;=K819,J819,IF(J819=K819+1,200,IF(J819=K819+2,201,250)))&amp;".10 – 10."&amp;INDEX(Eingabe!$D$9:$D$18,I819)&amp;"."&amp;IF(J819&lt;=K819,J819,IF(J819=K819+1,200,IF(J819=K819+2,201,250)))&amp;".250",""))</f>
        <v/>
      </c>
      <c r="G819" s="0" t="str">
        <f aca="false">IF(I819="","",IF(AND(J819&gt;=1,J819&lt;=K819),Eingabe!$B$6&amp;"-"&amp;INDEX(Eingabe!$C$9:$C$18,I819)&amp;"-Pächter  ·  Passwort Parzelle "&amp;J819,IF(J819=K819+1,Eingabe!$B$6&amp;"-"&amp;INDEX(Eingabe!$C$9:$C$18,I819)&amp;"-Vorstand  ·  eigenes WLAN",IF(J819=K819+2,Eingabe!$B$6&amp;"-"&amp;INDEX(Eingabe!$C$9:$C$18,I819)&amp;"-Gäste  ·  Voucher",IF(J819=K819+3,"Kabel  ·  Access Point y = .(50+y), Mast-Switch x = .(10+x)","")))))</f>
        <v/>
      </c>
      <c r="I819" s="0" t="str">
        <f aca="false">IF(814&lt;=(Eingabe!$P$18+Eingabe!$Q$18-1),MATCH(814,Eingabe!$P$9:$P$18,1),"")</f>
        <v/>
      </c>
      <c r="J819" s="0" t="str">
        <f aca="false">IF(I819="","",814-INDEX(Eingabe!$P$9:$P$18,I819))</f>
        <v/>
      </c>
      <c r="K819" s="0" t="str">
        <f aca="false">IF(I819="","",INDEX(Eingabe!$E$9:$E$18,I819))</f>
        <v/>
      </c>
    </row>
    <row r="820" customFormat="false" ht="15" hidden="false" customHeight="false" outlineLevel="0" collapsed="false">
      <c r="A820" s="0" t="str">
        <f aca="false">IF(I820="","",IF(J820=0,"Sparte "&amp;I820&amp;": "&amp;INDEX(Eingabe!$B$9:$B$18,I820)&amp;"  (Sparten-ID "&amp;INDEX(Eingabe!$D$9:$D$18,I820)&amp;", "&amp;K820&amp;" Parzellen)",IF(J820&lt;=K820,"   Parzelle "&amp;J820,IF(J820=K820+1,"   Vorstand",IF(J820=K820+2,"   Gäste",IF(J820=K820+3,"   Technik (Switches, Access Points)",""))))))</f>
        <v/>
      </c>
      <c r="B820" s="0" t="str">
        <f aca="false">IF(I820="","",IF(AND(J820&gt;=1,J820&lt;=K820+3),IF(J820&lt;=K820,IF(J820&lt;=99,IF((INDEX(Eingabe!$G$9:$G$18,I820))&lt;=9,1000+(INDEX(Eingabe!$G$9:$G$18,I820))*100,3000)+J820,IF((INDEX(Eingabe!$G$9:$G$18,I820)+1)&lt;=9,1000+(INDEX(Eingabe!$G$9:$G$18,I820)+1)*100,3000)+J820-100),IF(J820=K820+1,2000+INDEX(Eingabe!$G$9:$G$18,I820)*10+1,IF(J820=K820+2,2000+INDEX(Eingabe!$G$9:$G$18,I820)*10+2,2000+INDEX(Eingabe!$G$9:$G$18,I820)*10+9))),""))</f>
        <v/>
      </c>
      <c r="C820" s="0" t="str">
        <f aca="false">IF(I820="","",IF(AND(J820&gt;=1,J820&lt;=K820+3),"10."&amp;INDEX(Eingabe!$D$9:$D$18,I820)&amp;"."&amp;IF(J820&lt;=K820,J820,IF(J820=K820+1,200,IF(J820=K820+2,201,250)))&amp;".0/24",""))</f>
        <v/>
      </c>
      <c r="D820" s="0" t="str">
        <f aca="false">IF(I820="","",IF(AND(J820&gt;=1,J820&lt;=K820+3),"255.255.255.0",""))</f>
        <v/>
      </c>
      <c r="E820" s="0" t="str">
        <f aca="false">IF(I820="","",IF(AND(J820&gt;=1,J820&lt;=K820+3),"10."&amp;INDEX(Eingabe!$D$9:$D$18,I820)&amp;"."&amp;IF(J820&lt;=K820,J820,IF(J820=K820+1,200,IF(J820=K820+2,201,250)))&amp;".1",""))</f>
        <v/>
      </c>
      <c r="F820" s="0" t="str">
        <f aca="false">IF(I820="","",IF(AND(J820&gt;=1,J820&lt;=K820+3),"10."&amp;INDEX(Eingabe!$D$9:$D$18,I820)&amp;"."&amp;IF(J820&lt;=K820,J820,IF(J820=K820+1,200,IF(J820=K820+2,201,250)))&amp;".10 – 10."&amp;INDEX(Eingabe!$D$9:$D$18,I820)&amp;"."&amp;IF(J820&lt;=K820,J820,IF(J820=K820+1,200,IF(J820=K820+2,201,250)))&amp;".250",""))</f>
        <v/>
      </c>
      <c r="G820" s="0" t="str">
        <f aca="false">IF(I820="","",IF(AND(J820&gt;=1,J820&lt;=K820),Eingabe!$B$6&amp;"-"&amp;INDEX(Eingabe!$C$9:$C$18,I820)&amp;"-Pächter  ·  Passwort Parzelle "&amp;J820,IF(J820=K820+1,Eingabe!$B$6&amp;"-"&amp;INDEX(Eingabe!$C$9:$C$18,I820)&amp;"-Vorstand  ·  eigenes WLAN",IF(J820=K820+2,Eingabe!$B$6&amp;"-"&amp;INDEX(Eingabe!$C$9:$C$18,I820)&amp;"-Gäste  ·  Voucher",IF(J820=K820+3,"Kabel  ·  Access Point y = .(50+y), Mast-Switch x = .(10+x)","")))))</f>
        <v/>
      </c>
      <c r="I820" s="0" t="str">
        <f aca="false">IF(815&lt;=(Eingabe!$P$18+Eingabe!$Q$18-1),MATCH(815,Eingabe!$P$9:$P$18,1),"")</f>
        <v/>
      </c>
      <c r="J820" s="0" t="str">
        <f aca="false">IF(I820="","",815-INDEX(Eingabe!$P$9:$P$18,I820))</f>
        <v/>
      </c>
      <c r="K820" s="0" t="str">
        <f aca="false">IF(I820="","",INDEX(Eingabe!$E$9:$E$18,I820))</f>
        <v/>
      </c>
    </row>
    <row r="821" customFormat="false" ht="15" hidden="false" customHeight="false" outlineLevel="0" collapsed="false">
      <c r="A821" s="0" t="str">
        <f aca="false">IF(I821="","",IF(J821=0,"Sparte "&amp;I821&amp;": "&amp;INDEX(Eingabe!$B$9:$B$18,I821)&amp;"  (Sparten-ID "&amp;INDEX(Eingabe!$D$9:$D$18,I821)&amp;", "&amp;K821&amp;" Parzellen)",IF(J821&lt;=K821,"   Parzelle "&amp;J821,IF(J821=K821+1,"   Vorstand",IF(J821=K821+2,"   Gäste",IF(J821=K821+3,"   Technik (Switches, Access Points)",""))))))</f>
        <v/>
      </c>
      <c r="B821" s="0" t="str">
        <f aca="false">IF(I821="","",IF(AND(J821&gt;=1,J821&lt;=K821+3),IF(J821&lt;=K821,IF(J821&lt;=99,IF((INDEX(Eingabe!$G$9:$G$18,I821))&lt;=9,1000+(INDEX(Eingabe!$G$9:$G$18,I821))*100,3000)+J821,IF((INDEX(Eingabe!$G$9:$G$18,I821)+1)&lt;=9,1000+(INDEX(Eingabe!$G$9:$G$18,I821)+1)*100,3000)+J821-100),IF(J821=K821+1,2000+INDEX(Eingabe!$G$9:$G$18,I821)*10+1,IF(J821=K821+2,2000+INDEX(Eingabe!$G$9:$G$18,I821)*10+2,2000+INDEX(Eingabe!$G$9:$G$18,I821)*10+9))),""))</f>
        <v/>
      </c>
      <c r="C821" s="0" t="str">
        <f aca="false">IF(I821="","",IF(AND(J821&gt;=1,J821&lt;=K821+3),"10."&amp;INDEX(Eingabe!$D$9:$D$18,I821)&amp;"."&amp;IF(J821&lt;=K821,J821,IF(J821=K821+1,200,IF(J821=K821+2,201,250)))&amp;".0/24",""))</f>
        <v/>
      </c>
      <c r="D821" s="0" t="str">
        <f aca="false">IF(I821="","",IF(AND(J821&gt;=1,J821&lt;=K821+3),"255.255.255.0",""))</f>
        <v/>
      </c>
      <c r="E821" s="0" t="str">
        <f aca="false">IF(I821="","",IF(AND(J821&gt;=1,J821&lt;=K821+3),"10."&amp;INDEX(Eingabe!$D$9:$D$18,I821)&amp;"."&amp;IF(J821&lt;=K821,J821,IF(J821=K821+1,200,IF(J821=K821+2,201,250)))&amp;".1",""))</f>
        <v/>
      </c>
      <c r="F821" s="0" t="str">
        <f aca="false">IF(I821="","",IF(AND(J821&gt;=1,J821&lt;=K821+3),"10."&amp;INDEX(Eingabe!$D$9:$D$18,I821)&amp;"."&amp;IF(J821&lt;=K821,J821,IF(J821=K821+1,200,IF(J821=K821+2,201,250)))&amp;".10 – 10."&amp;INDEX(Eingabe!$D$9:$D$18,I821)&amp;"."&amp;IF(J821&lt;=K821,J821,IF(J821=K821+1,200,IF(J821=K821+2,201,250)))&amp;".250",""))</f>
        <v/>
      </c>
      <c r="G821" s="0" t="str">
        <f aca="false">IF(I821="","",IF(AND(J821&gt;=1,J821&lt;=K821),Eingabe!$B$6&amp;"-"&amp;INDEX(Eingabe!$C$9:$C$18,I821)&amp;"-Pächter  ·  Passwort Parzelle "&amp;J821,IF(J821=K821+1,Eingabe!$B$6&amp;"-"&amp;INDEX(Eingabe!$C$9:$C$18,I821)&amp;"-Vorstand  ·  eigenes WLAN",IF(J821=K821+2,Eingabe!$B$6&amp;"-"&amp;INDEX(Eingabe!$C$9:$C$18,I821)&amp;"-Gäste  ·  Voucher",IF(J821=K821+3,"Kabel  ·  Access Point y = .(50+y), Mast-Switch x = .(10+x)","")))))</f>
        <v/>
      </c>
      <c r="I821" s="0" t="str">
        <f aca="false">IF(816&lt;=(Eingabe!$P$18+Eingabe!$Q$18-1),MATCH(816,Eingabe!$P$9:$P$18,1),"")</f>
        <v/>
      </c>
      <c r="J821" s="0" t="str">
        <f aca="false">IF(I821="","",816-INDEX(Eingabe!$P$9:$P$18,I821))</f>
        <v/>
      </c>
      <c r="K821" s="0" t="str">
        <f aca="false">IF(I821="","",INDEX(Eingabe!$E$9:$E$18,I821))</f>
        <v/>
      </c>
    </row>
    <row r="822" customFormat="false" ht="15" hidden="false" customHeight="false" outlineLevel="0" collapsed="false">
      <c r="A822" s="0" t="str">
        <f aca="false">IF(I822="","",IF(J822=0,"Sparte "&amp;I822&amp;": "&amp;INDEX(Eingabe!$B$9:$B$18,I822)&amp;"  (Sparten-ID "&amp;INDEX(Eingabe!$D$9:$D$18,I822)&amp;", "&amp;K822&amp;" Parzellen)",IF(J822&lt;=K822,"   Parzelle "&amp;J822,IF(J822=K822+1,"   Vorstand",IF(J822=K822+2,"   Gäste",IF(J822=K822+3,"   Technik (Switches, Access Points)",""))))))</f>
        <v/>
      </c>
      <c r="B822" s="0" t="str">
        <f aca="false">IF(I822="","",IF(AND(J822&gt;=1,J822&lt;=K822+3),IF(J822&lt;=K822,IF(J822&lt;=99,IF((INDEX(Eingabe!$G$9:$G$18,I822))&lt;=9,1000+(INDEX(Eingabe!$G$9:$G$18,I822))*100,3000)+J822,IF((INDEX(Eingabe!$G$9:$G$18,I822)+1)&lt;=9,1000+(INDEX(Eingabe!$G$9:$G$18,I822)+1)*100,3000)+J822-100),IF(J822=K822+1,2000+INDEX(Eingabe!$G$9:$G$18,I822)*10+1,IF(J822=K822+2,2000+INDEX(Eingabe!$G$9:$G$18,I822)*10+2,2000+INDEX(Eingabe!$G$9:$G$18,I822)*10+9))),""))</f>
        <v/>
      </c>
      <c r="C822" s="0" t="str">
        <f aca="false">IF(I822="","",IF(AND(J822&gt;=1,J822&lt;=K822+3),"10."&amp;INDEX(Eingabe!$D$9:$D$18,I822)&amp;"."&amp;IF(J822&lt;=K822,J822,IF(J822=K822+1,200,IF(J822=K822+2,201,250)))&amp;".0/24",""))</f>
        <v/>
      </c>
      <c r="D822" s="0" t="str">
        <f aca="false">IF(I822="","",IF(AND(J822&gt;=1,J822&lt;=K822+3),"255.255.255.0",""))</f>
        <v/>
      </c>
      <c r="E822" s="0" t="str">
        <f aca="false">IF(I822="","",IF(AND(J822&gt;=1,J822&lt;=K822+3),"10."&amp;INDEX(Eingabe!$D$9:$D$18,I822)&amp;"."&amp;IF(J822&lt;=K822,J822,IF(J822=K822+1,200,IF(J822=K822+2,201,250)))&amp;".1",""))</f>
        <v/>
      </c>
      <c r="F822" s="0" t="str">
        <f aca="false">IF(I822="","",IF(AND(J822&gt;=1,J822&lt;=K822+3),"10."&amp;INDEX(Eingabe!$D$9:$D$18,I822)&amp;"."&amp;IF(J822&lt;=K822,J822,IF(J822=K822+1,200,IF(J822=K822+2,201,250)))&amp;".10 – 10."&amp;INDEX(Eingabe!$D$9:$D$18,I822)&amp;"."&amp;IF(J822&lt;=K822,J822,IF(J822=K822+1,200,IF(J822=K822+2,201,250)))&amp;".250",""))</f>
        <v/>
      </c>
      <c r="G822" s="0" t="str">
        <f aca="false">IF(I822="","",IF(AND(J822&gt;=1,J822&lt;=K822),Eingabe!$B$6&amp;"-"&amp;INDEX(Eingabe!$C$9:$C$18,I822)&amp;"-Pächter  ·  Passwort Parzelle "&amp;J822,IF(J822=K822+1,Eingabe!$B$6&amp;"-"&amp;INDEX(Eingabe!$C$9:$C$18,I822)&amp;"-Vorstand  ·  eigenes WLAN",IF(J822=K822+2,Eingabe!$B$6&amp;"-"&amp;INDEX(Eingabe!$C$9:$C$18,I822)&amp;"-Gäste  ·  Voucher",IF(J822=K822+3,"Kabel  ·  Access Point y = .(50+y), Mast-Switch x = .(10+x)","")))))</f>
        <v/>
      </c>
      <c r="I822" s="0" t="str">
        <f aca="false">IF(817&lt;=(Eingabe!$P$18+Eingabe!$Q$18-1),MATCH(817,Eingabe!$P$9:$P$18,1),"")</f>
        <v/>
      </c>
      <c r="J822" s="0" t="str">
        <f aca="false">IF(I822="","",817-INDEX(Eingabe!$P$9:$P$18,I822))</f>
        <v/>
      </c>
      <c r="K822" s="0" t="str">
        <f aca="false">IF(I822="","",INDEX(Eingabe!$E$9:$E$18,I822))</f>
        <v/>
      </c>
    </row>
    <row r="823" customFormat="false" ht="15" hidden="false" customHeight="false" outlineLevel="0" collapsed="false">
      <c r="A823" s="0" t="str">
        <f aca="false">IF(I823="","",IF(J823=0,"Sparte "&amp;I823&amp;": "&amp;INDEX(Eingabe!$B$9:$B$18,I823)&amp;"  (Sparten-ID "&amp;INDEX(Eingabe!$D$9:$D$18,I823)&amp;", "&amp;K823&amp;" Parzellen)",IF(J823&lt;=K823,"   Parzelle "&amp;J823,IF(J823=K823+1,"   Vorstand",IF(J823=K823+2,"   Gäste",IF(J823=K823+3,"   Technik (Switches, Access Points)",""))))))</f>
        <v/>
      </c>
      <c r="B823" s="0" t="str">
        <f aca="false">IF(I823="","",IF(AND(J823&gt;=1,J823&lt;=K823+3),IF(J823&lt;=K823,IF(J823&lt;=99,IF((INDEX(Eingabe!$G$9:$G$18,I823))&lt;=9,1000+(INDEX(Eingabe!$G$9:$G$18,I823))*100,3000)+J823,IF((INDEX(Eingabe!$G$9:$G$18,I823)+1)&lt;=9,1000+(INDEX(Eingabe!$G$9:$G$18,I823)+1)*100,3000)+J823-100),IF(J823=K823+1,2000+INDEX(Eingabe!$G$9:$G$18,I823)*10+1,IF(J823=K823+2,2000+INDEX(Eingabe!$G$9:$G$18,I823)*10+2,2000+INDEX(Eingabe!$G$9:$G$18,I823)*10+9))),""))</f>
        <v/>
      </c>
      <c r="C823" s="0" t="str">
        <f aca="false">IF(I823="","",IF(AND(J823&gt;=1,J823&lt;=K823+3),"10."&amp;INDEX(Eingabe!$D$9:$D$18,I823)&amp;"."&amp;IF(J823&lt;=K823,J823,IF(J823=K823+1,200,IF(J823=K823+2,201,250)))&amp;".0/24",""))</f>
        <v/>
      </c>
      <c r="D823" s="0" t="str">
        <f aca="false">IF(I823="","",IF(AND(J823&gt;=1,J823&lt;=K823+3),"255.255.255.0",""))</f>
        <v/>
      </c>
      <c r="E823" s="0" t="str">
        <f aca="false">IF(I823="","",IF(AND(J823&gt;=1,J823&lt;=K823+3),"10."&amp;INDEX(Eingabe!$D$9:$D$18,I823)&amp;"."&amp;IF(J823&lt;=K823,J823,IF(J823=K823+1,200,IF(J823=K823+2,201,250)))&amp;".1",""))</f>
        <v/>
      </c>
      <c r="F823" s="0" t="str">
        <f aca="false">IF(I823="","",IF(AND(J823&gt;=1,J823&lt;=K823+3),"10."&amp;INDEX(Eingabe!$D$9:$D$18,I823)&amp;"."&amp;IF(J823&lt;=K823,J823,IF(J823=K823+1,200,IF(J823=K823+2,201,250)))&amp;".10 – 10."&amp;INDEX(Eingabe!$D$9:$D$18,I823)&amp;"."&amp;IF(J823&lt;=K823,J823,IF(J823=K823+1,200,IF(J823=K823+2,201,250)))&amp;".250",""))</f>
        <v/>
      </c>
      <c r="G823" s="0" t="str">
        <f aca="false">IF(I823="","",IF(AND(J823&gt;=1,J823&lt;=K823),Eingabe!$B$6&amp;"-"&amp;INDEX(Eingabe!$C$9:$C$18,I823)&amp;"-Pächter  ·  Passwort Parzelle "&amp;J823,IF(J823=K823+1,Eingabe!$B$6&amp;"-"&amp;INDEX(Eingabe!$C$9:$C$18,I823)&amp;"-Vorstand  ·  eigenes WLAN",IF(J823=K823+2,Eingabe!$B$6&amp;"-"&amp;INDEX(Eingabe!$C$9:$C$18,I823)&amp;"-Gäste  ·  Voucher",IF(J823=K823+3,"Kabel  ·  Access Point y = .(50+y), Mast-Switch x = .(10+x)","")))))</f>
        <v/>
      </c>
      <c r="I823" s="0" t="str">
        <f aca="false">IF(818&lt;=(Eingabe!$P$18+Eingabe!$Q$18-1),MATCH(818,Eingabe!$P$9:$P$18,1),"")</f>
        <v/>
      </c>
      <c r="J823" s="0" t="str">
        <f aca="false">IF(I823="","",818-INDEX(Eingabe!$P$9:$P$18,I823))</f>
        <v/>
      </c>
      <c r="K823" s="0" t="str">
        <f aca="false">IF(I823="","",INDEX(Eingabe!$E$9:$E$18,I823))</f>
        <v/>
      </c>
    </row>
    <row r="824" customFormat="false" ht="15" hidden="false" customHeight="false" outlineLevel="0" collapsed="false">
      <c r="A824" s="0" t="str">
        <f aca="false">IF(I824="","",IF(J824=0,"Sparte "&amp;I824&amp;": "&amp;INDEX(Eingabe!$B$9:$B$18,I824)&amp;"  (Sparten-ID "&amp;INDEX(Eingabe!$D$9:$D$18,I824)&amp;", "&amp;K824&amp;" Parzellen)",IF(J824&lt;=K824,"   Parzelle "&amp;J824,IF(J824=K824+1,"   Vorstand",IF(J824=K824+2,"   Gäste",IF(J824=K824+3,"   Technik (Switches, Access Points)",""))))))</f>
        <v/>
      </c>
      <c r="B824" s="0" t="str">
        <f aca="false">IF(I824="","",IF(AND(J824&gt;=1,J824&lt;=K824+3),IF(J824&lt;=K824,IF(J824&lt;=99,IF((INDEX(Eingabe!$G$9:$G$18,I824))&lt;=9,1000+(INDEX(Eingabe!$G$9:$G$18,I824))*100,3000)+J824,IF((INDEX(Eingabe!$G$9:$G$18,I824)+1)&lt;=9,1000+(INDEX(Eingabe!$G$9:$G$18,I824)+1)*100,3000)+J824-100),IF(J824=K824+1,2000+INDEX(Eingabe!$G$9:$G$18,I824)*10+1,IF(J824=K824+2,2000+INDEX(Eingabe!$G$9:$G$18,I824)*10+2,2000+INDEX(Eingabe!$G$9:$G$18,I824)*10+9))),""))</f>
        <v/>
      </c>
      <c r="C824" s="0" t="str">
        <f aca="false">IF(I824="","",IF(AND(J824&gt;=1,J824&lt;=K824+3),"10."&amp;INDEX(Eingabe!$D$9:$D$18,I824)&amp;"."&amp;IF(J824&lt;=K824,J824,IF(J824=K824+1,200,IF(J824=K824+2,201,250)))&amp;".0/24",""))</f>
        <v/>
      </c>
      <c r="D824" s="0" t="str">
        <f aca="false">IF(I824="","",IF(AND(J824&gt;=1,J824&lt;=K824+3),"255.255.255.0",""))</f>
        <v/>
      </c>
      <c r="E824" s="0" t="str">
        <f aca="false">IF(I824="","",IF(AND(J824&gt;=1,J824&lt;=K824+3),"10."&amp;INDEX(Eingabe!$D$9:$D$18,I824)&amp;"."&amp;IF(J824&lt;=K824,J824,IF(J824=K824+1,200,IF(J824=K824+2,201,250)))&amp;".1",""))</f>
        <v/>
      </c>
      <c r="F824" s="0" t="str">
        <f aca="false">IF(I824="","",IF(AND(J824&gt;=1,J824&lt;=K824+3),"10."&amp;INDEX(Eingabe!$D$9:$D$18,I824)&amp;"."&amp;IF(J824&lt;=K824,J824,IF(J824=K824+1,200,IF(J824=K824+2,201,250)))&amp;".10 – 10."&amp;INDEX(Eingabe!$D$9:$D$18,I824)&amp;"."&amp;IF(J824&lt;=K824,J824,IF(J824=K824+1,200,IF(J824=K824+2,201,250)))&amp;".250",""))</f>
        <v/>
      </c>
      <c r="G824" s="0" t="str">
        <f aca="false">IF(I824="","",IF(AND(J824&gt;=1,J824&lt;=K824),Eingabe!$B$6&amp;"-"&amp;INDEX(Eingabe!$C$9:$C$18,I824)&amp;"-Pächter  ·  Passwort Parzelle "&amp;J824,IF(J824=K824+1,Eingabe!$B$6&amp;"-"&amp;INDEX(Eingabe!$C$9:$C$18,I824)&amp;"-Vorstand  ·  eigenes WLAN",IF(J824=K824+2,Eingabe!$B$6&amp;"-"&amp;INDEX(Eingabe!$C$9:$C$18,I824)&amp;"-Gäste  ·  Voucher",IF(J824=K824+3,"Kabel  ·  Access Point y = .(50+y), Mast-Switch x = .(10+x)","")))))</f>
        <v/>
      </c>
      <c r="I824" s="0" t="str">
        <f aca="false">IF(819&lt;=(Eingabe!$P$18+Eingabe!$Q$18-1),MATCH(819,Eingabe!$P$9:$P$18,1),"")</f>
        <v/>
      </c>
      <c r="J824" s="0" t="str">
        <f aca="false">IF(I824="","",819-INDEX(Eingabe!$P$9:$P$18,I824))</f>
        <v/>
      </c>
      <c r="K824" s="0" t="str">
        <f aca="false">IF(I824="","",INDEX(Eingabe!$E$9:$E$18,I824))</f>
        <v/>
      </c>
    </row>
    <row r="825" customFormat="false" ht="15" hidden="false" customHeight="false" outlineLevel="0" collapsed="false">
      <c r="A825" s="0" t="str">
        <f aca="false">IF(I825="","",IF(J825=0,"Sparte "&amp;I825&amp;": "&amp;INDEX(Eingabe!$B$9:$B$18,I825)&amp;"  (Sparten-ID "&amp;INDEX(Eingabe!$D$9:$D$18,I825)&amp;", "&amp;K825&amp;" Parzellen)",IF(J825&lt;=K825,"   Parzelle "&amp;J825,IF(J825=K825+1,"   Vorstand",IF(J825=K825+2,"   Gäste",IF(J825=K825+3,"   Technik (Switches, Access Points)",""))))))</f>
        <v/>
      </c>
      <c r="B825" s="0" t="str">
        <f aca="false">IF(I825="","",IF(AND(J825&gt;=1,J825&lt;=K825+3),IF(J825&lt;=K825,IF(J825&lt;=99,IF((INDEX(Eingabe!$G$9:$G$18,I825))&lt;=9,1000+(INDEX(Eingabe!$G$9:$G$18,I825))*100,3000)+J825,IF((INDEX(Eingabe!$G$9:$G$18,I825)+1)&lt;=9,1000+(INDEX(Eingabe!$G$9:$G$18,I825)+1)*100,3000)+J825-100),IF(J825=K825+1,2000+INDEX(Eingabe!$G$9:$G$18,I825)*10+1,IF(J825=K825+2,2000+INDEX(Eingabe!$G$9:$G$18,I825)*10+2,2000+INDEX(Eingabe!$G$9:$G$18,I825)*10+9))),""))</f>
        <v/>
      </c>
      <c r="C825" s="0" t="str">
        <f aca="false">IF(I825="","",IF(AND(J825&gt;=1,J825&lt;=K825+3),"10."&amp;INDEX(Eingabe!$D$9:$D$18,I825)&amp;"."&amp;IF(J825&lt;=K825,J825,IF(J825=K825+1,200,IF(J825=K825+2,201,250)))&amp;".0/24",""))</f>
        <v/>
      </c>
      <c r="D825" s="0" t="str">
        <f aca="false">IF(I825="","",IF(AND(J825&gt;=1,J825&lt;=K825+3),"255.255.255.0",""))</f>
        <v/>
      </c>
      <c r="E825" s="0" t="str">
        <f aca="false">IF(I825="","",IF(AND(J825&gt;=1,J825&lt;=K825+3),"10."&amp;INDEX(Eingabe!$D$9:$D$18,I825)&amp;"."&amp;IF(J825&lt;=K825,J825,IF(J825=K825+1,200,IF(J825=K825+2,201,250)))&amp;".1",""))</f>
        <v/>
      </c>
      <c r="F825" s="0" t="str">
        <f aca="false">IF(I825="","",IF(AND(J825&gt;=1,J825&lt;=K825+3),"10."&amp;INDEX(Eingabe!$D$9:$D$18,I825)&amp;"."&amp;IF(J825&lt;=K825,J825,IF(J825=K825+1,200,IF(J825=K825+2,201,250)))&amp;".10 – 10."&amp;INDEX(Eingabe!$D$9:$D$18,I825)&amp;"."&amp;IF(J825&lt;=K825,J825,IF(J825=K825+1,200,IF(J825=K825+2,201,250)))&amp;".250",""))</f>
        <v/>
      </c>
      <c r="G825" s="0" t="str">
        <f aca="false">IF(I825="","",IF(AND(J825&gt;=1,J825&lt;=K825),Eingabe!$B$6&amp;"-"&amp;INDEX(Eingabe!$C$9:$C$18,I825)&amp;"-Pächter  ·  Passwort Parzelle "&amp;J825,IF(J825=K825+1,Eingabe!$B$6&amp;"-"&amp;INDEX(Eingabe!$C$9:$C$18,I825)&amp;"-Vorstand  ·  eigenes WLAN",IF(J825=K825+2,Eingabe!$B$6&amp;"-"&amp;INDEX(Eingabe!$C$9:$C$18,I825)&amp;"-Gäste  ·  Voucher",IF(J825=K825+3,"Kabel  ·  Access Point y = .(50+y), Mast-Switch x = .(10+x)","")))))</f>
        <v/>
      </c>
      <c r="I825" s="0" t="str">
        <f aca="false">IF(820&lt;=(Eingabe!$P$18+Eingabe!$Q$18-1),MATCH(820,Eingabe!$P$9:$P$18,1),"")</f>
        <v/>
      </c>
      <c r="J825" s="0" t="str">
        <f aca="false">IF(I825="","",820-INDEX(Eingabe!$P$9:$P$18,I825))</f>
        <v/>
      </c>
      <c r="K825" s="0" t="str">
        <f aca="false">IF(I825="","",INDEX(Eingabe!$E$9:$E$18,I825))</f>
        <v/>
      </c>
    </row>
    <row r="826" customFormat="false" ht="15" hidden="false" customHeight="false" outlineLevel="0" collapsed="false">
      <c r="A826" s="0" t="str">
        <f aca="false">IF(I826="","",IF(J826=0,"Sparte "&amp;I826&amp;": "&amp;INDEX(Eingabe!$B$9:$B$18,I826)&amp;"  (Sparten-ID "&amp;INDEX(Eingabe!$D$9:$D$18,I826)&amp;", "&amp;K826&amp;" Parzellen)",IF(J826&lt;=K826,"   Parzelle "&amp;J826,IF(J826=K826+1,"   Vorstand",IF(J826=K826+2,"   Gäste",IF(J826=K826+3,"   Technik (Switches, Access Points)",""))))))</f>
        <v/>
      </c>
      <c r="B826" s="0" t="str">
        <f aca="false">IF(I826="","",IF(AND(J826&gt;=1,J826&lt;=K826+3),IF(J826&lt;=K826,IF(J826&lt;=99,IF((INDEX(Eingabe!$G$9:$G$18,I826))&lt;=9,1000+(INDEX(Eingabe!$G$9:$G$18,I826))*100,3000)+J826,IF((INDEX(Eingabe!$G$9:$G$18,I826)+1)&lt;=9,1000+(INDEX(Eingabe!$G$9:$G$18,I826)+1)*100,3000)+J826-100),IF(J826=K826+1,2000+INDEX(Eingabe!$G$9:$G$18,I826)*10+1,IF(J826=K826+2,2000+INDEX(Eingabe!$G$9:$G$18,I826)*10+2,2000+INDEX(Eingabe!$G$9:$G$18,I826)*10+9))),""))</f>
        <v/>
      </c>
      <c r="C826" s="0" t="str">
        <f aca="false">IF(I826="","",IF(AND(J826&gt;=1,J826&lt;=K826+3),"10."&amp;INDEX(Eingabe!$D$9:$D$18,I826)&amp;"."&amp;IF(J826&lt;=K826,J826,IF(J826=K826+1,200,IF(J826=K826+2,201,250)))&amp;".0/24",""))</f>
        <v/>
      </c>
      <c r="D826" s="0" t="str">
        <f aca="false">IF(I826="","",IF(AND(J826&gt;=1,J826&lt;=K826+3),"255.255.255.0",""))</f>
        <v/>
      </c>
      <c r="E826" s="0" t="str">
        <f aca="false">IF(I826="","",IF(AND(J826&gt;=1,J826&lt;=K826+3),"10."&amp;INDEX(Eingabe!$D$9:$D$18,I826)&amp;"."&amp;IF(J826&lt;=K826,J826,IF(J826=K826+1,200,IF(J826=K826+2,201,250)))&amp;".1",""))</f>
        <v/>
      </c>
      <c r="F826" s="0" t="str">
        <f aca="false">IF(I826="","",IF(AND(J826&gt;=1,J826&lt;=K826+3),"10."&amp;INDEX(Eingabe!$D$9:$D$18,I826)&amp;"."&amp;IF(J826&lt;=K826,J826,IF(J826=K826+1,200,IF(J826=K826+2,201,250)))&amp;".10 – 10."&amp;INDEX(Eingabe!$D$9:$D$18,I826)&amp;"."&amp;IF(J826&lt;=K826,J826,IF(J826=K826+1,200,IF(J826=K826+2,201,250)))&amp;".250",""))</f>
        <v/>
      </c>
      <c r="G826" s="0" t="str">
        <f aca="false">IF(I826="","",IF(AND(J826&gt;=1,J826&lt;=K826),Eingabe!$B$6&amp;"-"&amp;INDEX(Eingabe!$C$9:$C$18,I826)&amp;"-Pächter  ·  Passwort Parzelle "&amp;J826,IF(J826=K826+1,Eingabe!$B$6&amp;"-"&amp;INDEX(Eingabe!$C$9:$C$18,I826)&amp;"-Vorstand  ·  eigenes WLAN",IF(J826=K826+2,Eingabe!$B$6&amp;"-"&amp;INDEX(Eingabe!$C$9:$C$18,I826)&amp;"-Gäste  ·  Voucher",IF(J826=K826+3,"Kabel  ·  Access Point y = .(50+y), Mast-Switch x = .(10+x)","")))))</f>
        <v/>
      </c>
      <c r="I826" s="0" t="str">
        <f aca="false">IF(821&lt;=(Eingabe!$P$18+Eingabe!$Q$18-1),MATCH(821,Eingabe!$P$9:$P$18,1),"")</f>
        <v/>
      </c>
      <c r="J826" s="0" t="str">
        <f aca="false">IF(I826="","",821-INDEX(Eingabe!$P$9:$P$18,I826))</f>
        <v/>
      </c>
      <c r="K826" s="0" t="str">
        <f aca="false">IF(I826="","",INDEX(Eingabe!$E$9:$E$18,I826))</f>
        <v/>
      </c>
    </row>
    <row r="827" customFormat="false" ht="15" hidden="false" customHeight="false" outlineLevel="0" collapsed="false">
      <c r="A827" s="0" t="str">
        <f aca="false">IF(I827="","",IF(J827=0,"Sparte "&amp;I827&amp;": "&amp;INDEX(Eingabe!$B$9:$B$18,I827)&amp;"  (Sparten-ID "&amp;INDEX(Eingabe!$D$9:$D$18,I827)&amp;", "&amp;K827&amp;" Parzellen)",IF(J827&lt;=K827,"   Parzelle "&amp;J827,IF(J827=K827+1,"   Vorstand",IF(J827=K827+2,"   Gäste",IF(J827=K827+3,"   Technik (Switches, Access Points)",""))))))</f>
        <v/>
      </c>
      <c r="B827" s="0" t="str">
        <f aca="false">IF(I827="","",IF(AND(J827&gt;=1,J827&lt;=K827+3),IF(J827&lt;=K827,IF(J827&lt;=99,IF((INDEX(Eingabe!$G$9:$G$18,I827))&lt;=9,1000+(INDEX(Eingabe!$G$9:$G$18,I827))*100,3000)+J827,IF((INDEX(Eingabe!$G$9:$G$18,I827)+1)&lt;=9,1000+(INDEX(Eingabe!$G$9:$G$18,I827)+1)*100,3000)+J827-100),IF(J827=K827+1,2000+INDEX(Eingabe!$G$9:$G$18,I827)*10+1,IF(J827=K827+2,2000+INDEX(Eingabe!$G$9:$G$18,I827)*10+2,2000+INDEX(Eingabe!$G$9:$G$18,I827)*10+9))),""))</f>
        <v/>
      </c>
      <c r="C827" s="0" t="str">
        <f aca="false">IF(I827="","",IF(AND(J827&gt;=1,J827&lt;=K827+3),"10."&amp;INDEX(Eingabe!$D$9:$D$18,I827)&amp;"."&amp;IF(J827&lt;=K827,J827,IF(J827=K827+1,200,IF(J827=K827+2,201,250)))&amp;".0/24",""))</f>
        <v/>
      </c>
      <c r="D827" s="0" t="str">
        <f aca="false">IF(I827="","",IF(AND(J827&gt;=1,J827&lt;=K827+3),"255.255.255.0",""))</f>
        <v/>
      </c>
      <c r="E827" s="0" t="str">
        <f aca="false">IF(I827="","",IF(AND(J827&gt;=1,J827&lt;=K827+3),"10."&amp;INDEX(Eingabe!$D$9:$D$18,I827)&amp;"."&amp;IF(J827&lt;=K827,J827,IF(J827=K827+1,200,IF(J827=K827+2,201,250)))&amp;".1",""))</f>
        <v/>
      </c>
      <c r="F827" s="0" t="str">
        <f aca="false">IF(I827="","",IF(AND(J827&gt;=1,J827&lt;=K827+3),"10."&amp;INDEX(Eingabe!$D$9:$D$18,I827)&amp;"."&amp;IF(J827&lt;=K827,J827,IF(J827=K827+1,200,IF(J827=K827+2,201,250)))&amp;".10 – 10."&amp;INDEX(Eingabe!$D$9:$D$18,I827)&amp;"."&amp;IF(J827&lt;=K827,J827,IF(J827=K827+1,200,IF(J827=K827+2,201,250)))&amp;".250",""))</f>
        <v/>
      </c>
      <c r="G827" s="0" t="str">
        <f aca="false">IF(I827="","",IF(AND(J827&gt;=1,J827&lt;=K827),Eingabe!$B$6&amp;"-"&amp;INDEX(Eingabe!$C$9:$C$18,I827)&amp;"-Pächter  ·  Passwort Parzelle "&amp;J827,IF(J827=K827+1,Eingabe!$B$6&amp;"-"&amp;INDEX(Eingabe!$C$9:$C$18,I827)&amp;"-Vorstand  ·  eigenes WLAN",IF(J827=K827+2,Eingabe!$B$6&amp;"-"&amp;INDEX(Eingabe!$C$9:$C$18,I827)&amp;"-Gäste  ·  Voucher",IF(J827=K827+3,"Kabel  ·  Access Point y = .(50+y), Mast-Switch x = .(10+x)","")))))</f>
        <v/>
      </c>
      <c r="I827" s="0" t="str">
        <f aca="false">IF(822&lt;=(Eingabe!$P$18+Eingabe!$Q$18-1),MATCH(822,Eingabe!$P$9:$P$18,1),"")</f>
        <v/>
      </c>
      <c r="J827" s="0" t="str">
        <f aca="false">IF(I827="","",822-INDEX(Eingabe!$P$9:$P$18,I827))</f>
        <v/>
      </c>
      <c r="K827" s="0" t="str">
        <f aca="false">IF(I827="","",INDEX(Eingabe!$E$9:$E$18,I827))</f>
        <v/>
      </c>
    </row>
    <row r="828" customFormat="false" ht="15" hidden="false" customHeight="false" outlineLevel="0" collapsed="false">
      <c r="A828" s="0" t="str">
        <f aca="false">IF(I828="","",IF(J828=0,"Sparte "&amp;I828&amp;": "&amp;INDEX(Eingabe!$B$9:$B$18,I828)&amp;"  (Sparten-ID "&amp;INDEX(Eingabe!$D$9:$D$18,I828)&amp;", "&amp;K828&amp;" Parzellen)",IF(J828&lt;=K828,"   Parzelle "&amp;J828,IF(J828=K828+1,"   Vorstand",IF(J828=K828+2,"   Gäste",IF(J828=K828+3,"   Technik (Switches, Access Points)",""))))))</f>
        <v/>
      </c>
      <c r="B828" s="0" t="str">
        <f aca="false">IF(I828="","",IF(AND(J828&gt;=1,J828&lt;=K828+3),IF(J828&lt;=K828,IF(J828&lt;=99,IF((INDEX(Eingabe!$G$9:$G$18,I828))&lt;=9,1000+(INDEX(Eingabe!$G$9:$G$18,I828))*100,3000)+J828,IF((INDEX(Eingabe!$G$9:$G$18,I828)+1)&lt;=9,1000+(INDEX(Eingabe!$G$9:$G$18,I828)+1)*100,3000)+J828-100),IF(J828=K828+1,2000+INDEX(Eingabe!$G$9:$G$18,I828)*10+1,IF(J828=K828+2,2000+INDEX(Eingabe!$G$9:$G$18,I828)*10+2,2000+INDEX(Eingabe!$G$9:$G$18,I828)*10+9))),""))</f>
        <v/>
      </c>
      <c r="C828" s="0" t="str">
        <f aca="false">IF(I828="","",IF(AND(J828&gt;=1,J828&lt;=K828+3),"10."&amp;INDEX(Eingabe!$D$9:$D$18,I828)&amp;"."&amp;IF(J828&lt;=K828,J828,IF(J828=K828+1,200,IF(J828=K828+2,201,250)))&amp;".0/24",""))</f>
        <v/>
      </c>
      <c r="D828" s="0" t="str">
        <f aca="false">IF(I828="","",IF(AND(J828&gt;=1,J828&lt;=K828+3),"255.255.255.0",""))</f>
        <v/>
      </c>
      <c r="E828" s="0" t="str">
        <f aca="false">IF(I828="","",IF(AND(J828&gt;=1,J828&lt;=K828+3),"10."&amp;INDEX(Eingabe!$D$9:$D$18,I828)&amp;"."&amp;IF(J828&lt;=K828,J828,IF(J828=K828+1,200,IF(J828=K828+2,201,250)))&amp;".1",""))</f>
        <v/>
      </c>
      <c r="F828" s="0" t="str">
        <f aca="false">IF(I828="","",IF(AND(J828&gt;=1,J828&lt;=K828+3),"10."&amp;INDEX(Eingabe!$D$9:$D$18,I828)&amp;"."&amp;IF(J828&lt;=K828,J828,IF(J828=K828+1,200,IF(J828=K828+2,201,250)))&amp;".10 – 10."&amp;INDEX(Eingabe!$D$9:$D$18,I828)&amp;"."&amp;IF(J828&lt;=K828,J828,IF(J828=K828+1,200,IF(J828=K828+2,201,250)))&amp;".250",""))</f>
        <v/>
      </c>
      <c r="G828" s="0" t="str">
        <f aca="false">IF(I828="","",IF(AND(J828&gt;=1,J828&lt;=K828),Eingabe!$B$6&amp;"-"&amp;INDEX(Eingabe!$C$9:$C$18,I828)&amp;"-Pächter  ·  Passwort Parzelle "&amp;J828,IF(J828=K828+1,Eingabe!$B$6&amp;"-"&amp;INDEX(Eingabe!$C$9:$C$18,I828)&amp;"-Vorstand  ·  eigenes WLAN",IF(J828=K828+2,Eingabe!$B$6&amp;"-"&amp;INDEX(Eingabe!$C$9:$C$18,I828)&amp;"-Gäste  ·  Voucher",IF(J828=K828+3,"Kabel  ·  Access Point y = .(50+y), Mast-Switch x = .(10+x)","")))))</f>
        <v/>
      </c>
      <c r="I828" s="0" t="str">
        <f aca="false">IF(823&lt;=(Eingabe!$P$18+Eingabe!$Q$18-1),MATCH(823,Eingabe!$P$9:$P$18,1),"")</f>
        <v/>
      </c>
      <c r="J828" s="0" t="str">
        <f aca="false">IF(I828="","",823-INDEX(Eingabe!$P$9:$P$18,I828))</f>
        <v/>
      </c>
      <c r="K828" s="0" t="str">
        <f aca="false">IF(I828="","",INDEX(Eingabe!$E$9:$E$18,I828))</f>
        <v/>
      </c>
    </row>
    <row r="829" customFormat="false" ht="15" hidden="false" customHeight="false" outlineLevel="0" collapsed="false">
      <c r="A829" s="0" t="str">
        <f aca="false">IF(I829="","",IF(J829=0,"Sparte "&amp;I829&amp;": "&amp;INDEX(Eingabe!$B$9:$B$18,I829)&amp;"  (Sparten-ID "&amp;INDEX(Eingabe!$D$9:$D$18,I829)&amp;", "&amp;K829&amp;" Parzellen)",IF(J829&lt;=K829,"   Parzelle "&amp;J829,IF(J829=K829+1,"   Vorstand",IF(J829=K829+2,"   Gäste",IF(J829=K829+3,"   Technik (Switches, Access Points)",""))))))</f>
        <v/>
      </c>
      <c r="B829" s="0" t="str">
        <f aca="false">IF(I829="","",IF(AND(J829&gt;=1,J829&lt;=K829+3),IF(J829&lt;=K829,IF(J829&lt;=99,IF((INDEX(Eingabe!$G$9:$G$18,I829))&lt;=9,1000+(INDEX(Eingabe!$G$9:$G$18,I829))*100,3000)+J829,IF((INDEX(Eingabe!$G$9:$G$18,I829)+1)&lt;=9,1000+(INDEX(Eingabe!$G$9:$G$18,I829)+1)*100,3000)+J829-100),IF(J829=K829+1,2000+INDEX(Eingabe!$G$9:$G$18,I829)*10+1,IF(J829=K829+2,2000+INDEX(Eingabe!$G$9:$G$18,I829)*10+2,2000+INDEX(Eingabe!$G$9:$G$18,I829)*10+9))),""))</f>
        <v/>
      </c>
      <c r="C829" s="0" t="str">
        <f aca="false">IF(I829="","",IF(AND(J829&gt;=1,J829&lt;=K829+3),"10."&amp;INDEX(Eingabe!$D$9:$D$18,I829)&amp;"."&amp;IF(J829&lt;=K829,J829,IF(J829=K829+1,200,IF(J829=K829+2,201,250)))&amp;".0/24",""))</f>
        <v/>
      </c>
      <c r="D829" s="0" t="str">
        <f aca="false">IF(I829="","",IF(AND(J829&gt;=1,J829&lt;=K829+3),"255.255.255.0",""))</f>
        <v/>
      </c>
      <c r="E829" s="0" t="str">
        <f aca="false">IF(I829="","",IF(AND(J829&gt;=1,J829&lt;=K829+3),"10."&amp;INDEX(Eingabe!$D$9:$D$18,I829)&amp;"."&amp;IF(J829&lt;=K829,J829,IF(J829=K829+1,200,IF(J829=K829+2,201,250)))&amp;".1",""))</f>
        <v/>
      </c>
      <c r="F829" s="0" t="str">
        <f aca="false">IF(I829="","",IF(AND(J829&gt;=1,J829&lt;=K829+3),"10."&amp;INDEX(Eingabe!$D$9:$D$18,I829)&amp;"."&amp;IF(J829&lt;=K829,J829,IF(J829=K829+1,200,IF(J829=K829+2,201,250)))&amp;".10 – 10."&amp;INDEX(Eingabe!$D$9:$D$18,I829)&amp;"."&amp;IF(J829&lt;=K829,J829,IF(J829=K829+1,200,IF(J829=K829+2,201,250)))&amp;".250",""))</f>
        <v/>
      </c>
      <c r="G829" s="0" t="str">
        <f aca="false">IF(I829="","",IF(AND(J829&gt;=1,J829&lt;=K829),Eingabe!$B$6&amp;"-"&amp;INDEX(Eingabe!$C$9:$C$18,I829)&amp;"-Pächter  ·  Passwort Parzelle "&amp;J829,IF(J829=K829+1,Eingabe!$B$6&amp;"-"&amp;INDEX(Eingabe!$C$9:$C$18,I829)&amp;"-Vorstand  ·  eigenes WLAN",IF(J829=K829+2,Eingabe!$B$6&amp;"-"&amp;INDEX(Eingabe!$C$9:$C$18,I829)&amp;"-Gäste  ·  Voucher",IF(J829=K829+3,"Kabel  ·  Access Point y = .(50+y), Mast-Switch x = .(10+x)","")))))</f>
        <v/>
      </c>
      <c r="I829" s="0" t="str">
        <f aca="false">IF(824&lt;=(Eingabe!$P$18+Eingabe!$Q$18-1),MATCH(824,Eingabe!$P$9:$P$18,1),"")</f>
        <v/>
      </c>
      <c r="J829" s="0" t="str">
        <f aca="false">IF(I829="","",824-INDEX(Eingabe!$P$9:$P$18,I829))</f>
        <v/>
      </c>
      <c r="K829" s="0" t="str">
        <f aca="false">IF(I829="","",INDEX(Eingabe!$E$9:$E$18,I829))</f>
        <v/>
      </c>
    </row>
    <row r="830" customFormat="false" ht="15" hidden="false" customHeight="false" outlineLevel="0" collapsed="false">
      <c r="A830" s="0" t="str">
        <f aca="false">IF(I830="","",IF(J830=0,"Sparte "&amp;I830&amp;": "&amp;INDEX(Eingabe!$B$9:$B$18,I830)&amp;"  (Sparten-ID "&amp;INDEX(Eingabe!$D$9:$D$18,I830)&amp;", "&amp;K830&amp;" Parzellen)",IF(J830&lt;=K830,"   Parzelle "&amp;J830,IF(J830=K830+1,"   Vorstand",IF(J830=K830+2,"   Gäste",IF(J830=K830+3,"   Technik (Switches, Access Points)",""))))))</f>
        <v/>
      </c>
      <c r="B830" s="0" t="str">
        <f aca="false">IF(I830="","",IF(AND(J830&gt;=1,J830&lt;=K830+3),IF(J830&lt;=K830,IF(J830&lt;=99,IF((INDEX(Eingabe!$G$9:$G$18,I830))&lt;=9,1000+(INDEX(Eingabe!$G$9:$G$18,I830))*100,3000)+J830,IF((INDEX(Eingabe!$G$9:$G$18,I830)+1)&lt;=9,1000+(INDEX(Eingabe!$G$9:$G$18,I830)+1)*100,3000)+J830-100),IF(J830=K830+1,2000+INDEX(Eingabe!$G$9:$G$18,I830)*10+1,IF(J830=K830+2,2000+INDEX(Eingabe!$G$9:$G$18,I830)*10+2,2000+INDEX(Eingabe!$G$9:$G$18,I830)*10+9))),""))</f>
        <v/>
      </c>
      <c r="C830" s="0" t="str">
        <f aca="false">IF(I830="","",IF(AND(J830&gt;=1,J830&lt;=K830+3),"10."&amp;INDEX(Eingabe!$D$9:$D$18,I830)&amp;"."&amp;IF(J830&lt;=K830,J830,IF(J830=K830+1,200,IF(J830=K830+2,201,250)))&amp;".0/24",""))</f>
        <v/>
      </c>
      <c r="D830" s="0" t="str">
        <f aca="false">IF(I830="","",IF(AND(J830&gt;=1,J830&lt;=K830+3),"255.255.255.0",""))</f>
        <v/>
      </c>
      <c r="E830" s="0" t="str">
        <f aca="false">IF(I830="","",IF(AND(J830&gt;=1,J830&lt;=K830+3),"10."&amp;INDEX(Eingabe!$D$9:$D$18,I830)&amp;"."&amp;IF(J830&lt;=K830,J830,IF(J830=K830+1,200,IF(J830=K830+2,201,250)))&amp;".1",""))</f>
        <v/>
      </c>
      <c r="F830" s="0" t="str">
        <f aca="false">IF(I830="","",IF(AND(J830&gt;=1,J830&lt;=K830+3),"10."&amp;INDEX(Eingabe!$D$9:$D$18,I830)&amp;"."&amp;IF(J830&lt;=K830,J830,IF(J830=K830+1,200,IF(J830=K830+2,201,250)))&amp;".10 – 10."&amp;INDEX(Eingabe!$D$9:$D$18,I830)&amp;"."&amp;IF(J830&lt;=K830,J830,IF(J830=K830+1,200,IF(J830=K830+2,201,250)))&amp;".250",""))</f>
        <v/>
      </c>
      <c r="G830" s="0" t="str">
        <f aca="false">IF(I830="","",IF(AND(J830&gt;=1,J830&lt;=K830),Eingabe!$B$6&amp;"-"&amp;INDEX(Eingabe!$C$9:$C$18,I830)&amp;"-Pächter  ·  Passwort Parzelle "&amp;J830,IF(J830=K830+1,Eingabe!$B$6&amp;"-"&amp;INDEX(Eingabe!$C$9:$C$18,I830)&amp;"-Vorstand  ·  eigenes WLAN",IF(J830=K830+2,Eingabe!$B$6&amp;"-"&amp;INDEX(Eingabe!$C$9:$C$18,I830)&amp;"-Gäste  ·  Voucher",IF(J830=K830+3,"Kabel  ·  Access Point y = .(50+y), Mast-Switch x = .(10+x)","")))))</f>
        <v/>
      </c>
      <c r="I830" s="0" t="str">
        <f aca="false">IF(825&lt;=(Eingabe!$P$18+Eingabe!$Q$18-1),MATCH(825,Eingabe!$P$9:$P$18,1),"")</f>
        <v/>
      </c>
      <c r="J830" s="0" t="str">
        <f aca="false">IF(I830="","",825-INDEX(Eingabe!$P$9:$P$18,I830))</f>
        <v/>
      </c>
      <c r="K830" s="0" t="str">
        <f aca="false">IF(I830="","",INDEX(Eingabe!$E$9:$E$18,I830))</f>
        <v/>
      </c>
    </row>
    <row r="831" customFormat="false" ht="15" hidden="false" customHeight="false" outlineLevel="0" collapsed="false">
      <c r="A831" s="0" t="str">
        <f aca="false">IF(I831="","",IF(J831=0,"Sparte "&amp;I831&amp;": "&amp;INDEX(Eingabe!$B$9:$B$18,I831)&amp;"  (Sparten-ID "&amp;INDEX(Eingabe!$D$9:$D$18,I831)&amp;", "&amp;K831&amp;" Parzellen)",IF(J831&lt;=K831,"   Parzelle "&amp;J831,IF(J831=K831+1,"   Vorstand",IF(J831=K831+2,"   Gäste",IF(J831=K831+3,"   Technik (Switches, Access Points)",""))))))</f>
        <v/>
      </c>
      <c r="B831" s="0" t="str">
        <f aca="false">IF(I831="","",IF(AND(J831&gt;=1,J831&lt;=K831+3),IF(J831&lt;=K831,IF(J831&lt;=99,IF((INDEX(Eingabe!$G$9:$G$18,I831))&lt;=9,1000+(INDEX(Eingabe!$G$9:$G$18,I831))*100,3000)+J831,IF((INDEX(Eingabe!$G$9:$G$18,I831)+1)&lt;=9,1000+(INDEX(Eingabe!$G$9:$G$18,I831)+1)*100,3000)+J831-100),IF(J831=K831+1,2000+INDEX(Eingabe!$G$9:$G$18,I831)*10+1,IF(J831=K831+2,2000+INDEX(Eingabe!$G$9:$G$18,I831)*10+2,2000+INDEX(Eingabe!$G$9:$G$18,I831)*10+9))),""))</f>
        <v/>
      </c>
      <c r="C831" s="0" t="str">
        <f aca="false">IF(I831="","",IF(AND(J831&gt;=1,J831&lt;=K831+3),"10."&amp;INDEX(Eingabe!$D$9:$D$18,I831)&amp;"."&amp;IF(J831&lt;=K831,J831,IF(J831=K831+1,200,IF(J831=K831+2,201,250)))&amp;".0/24",""))</f>
        <v/>
      </c>
      <c r="D831" s="0" t="str">
        <f aca="false">IF(I831="","",IF(AND(J831&gt;=1,J831&lt;=K831+3),"255.255.255.0",""))</f>
        <v/>
      </c>
      <c r="E831" s="0" t="str">
        <f aca="false">IF(I831="","",IF(AND(J831&gt;=1,J831&lt;=K831+3),"10."&amp;INDEX(Eingabe!$D$9:$D$18,I831)&amp;"."&amp;IF(J831&lt;=K831,J831,IF(J831=K831+1,200,IF(J831=K831+2,201,250)))&amp;".1",""))</f>
        <v/>
      </c>
      <c r="F831" s="0" t="str">
        <f aca="false">IF(I831="","",IF(AND(J831&gt;=1,J831&lt;=K831+3),"10."&amp;INDEX(Eingabe!$D$9:$D$18,I831)&amp;"."&amp;IF(J831&lt;=K831,J831,IF(J831=K831+1,200,IF(J831=K831+2,201,250)))&amp;".10 – 10."&amp;INDEX(Eingabe!$D$9:$D$18,I831)&amp;"."&amp;IF(J831&lt;=K831,J831,IF(J831=K831+1,200,IF(J831=K831+2,201,250)))&amp;".250",""))</f>
        <v/>
      </c>
      <c r="G831" s="0" t="str">
        <f aca="false">IF(I831="","",IF(AND(J831&gt;=1,J831&lt;=K831),Eingabe!$B$6&amp;"-"&amp;INDEX(Eingabe!$C$9:$C$18,I831)&amp;"-Pächter  ·  Passwort Parzelle "&amp;J831,IF(J831=K831+1,Eingabe!$B$6&amp;"-"&amp;INDEX(Eingabe!$C$9:$C$18,I831)&amp;"-Vorstand  ·  eigenes WLAN",IF(J831=K831+2,Eingabe!$B$6&amp;"-"&amp;INDEX(Eingabe!$C$9:$C$18,I831)&amp;"-Gäste  ·  Voucher",IF(J831=K831+3,"Kabel  ·  Access Point y = .(50+y), Mast-Switch x = .(10+x)","")))))</f>
        <v/>
      </c>
      <c r="I831" s="0" t="str">
        <f aca="false">IF(826&lt;=(Eingabe!$P$18+Eingabe!$Q$18-1),MATCH(826,Eingabe!$P$9:$P$18,1),"")</f>
        <v/>
      </c>
      <c r="J831" s="0" t="str">
        <f aca="false">IF(I831="","",826-INDEX(Eingabe!$P$9:$P$18,I831))</f>
        <v/>
      </c>
      <c r="K831" s="0" t="str">
        <f aca="false">IF(I831="","",INDEX(Eingabe!$E$9:$E$18,I831))</f>
        <v/>
      </c>
    </row>
    <row r="832" customFormat="false" ht="15" hidden="false" customHeight="false" outlineLevel="0" collapsed="false">
      <c r="A832" s="0" t="str">
        <f aca="false">IF(I832="","",IF(J832=0,"Sparte "&amp;I832&amp;": "&amp;INDEX(Eingabe!$B$9:$B$18,I832)&amp;"  (Sparten-ID "&amp;INDEX(Eingabe!$D$9:$D$18,I832)&amp;", "&amp;K832&amp;" Parzellen)",IF(J832&lt;=K832,"   Parzelle "&amp;J832,IF(J832=K832+1,"   Vorstand",IF(J832=K832+2,"   Gäste",IF(J832=K832+3,"   Technik (Switches, Access Points)",""))))))</f>
        <v/>
      </c>
      <c r="B832" s="0" t="str">
        <f aca="false">IF(I832="","",IF(AND(J832&gt;=1,J832&lt;=K832+3),IF(J832&lt;=K832,IF(J832&lt;=99,IF((INDEX(Eingabe!$G$9:$G$18,I832))&lt;=9,1000+(INDEX(Eingabe!$G$9:$G$18,I832))*100,3000)+J832,IF((INDEX(Eingabe!$G$9:$G$18,I832)+1)&lt;=9,1000+(INDEX(Eingabe!$G$9:$G$18,I832)+1)*100,3000)+J832-100),IF(J832=K832+1,2000+INDEX(Eingabe!$G$9:$G$18,I832)*10+1,IF(J832=K832+2,2000+INDEX(Eingabe!$G$9:$G$18,I832)*10+2,2000+INDEX(Eingabe!$G$9:$G$18,I832)*10+9))),""))</f>
        <v/>
      </c>
      <c r="C832" s="0" t="str">
        <f aca="false">IF(I832="","",IF(AND(J832&gt;=1,J832&lt;=K832+3),"10."&amp;INDEX(Eingabe!$D$9:$D$18,I832)&amp;"."&amp;IF(J832&lt;=K832,J832,IF(J832=K832+1,200,IF(J832=K832+2,201,250)))&amp;".0/24",""))</f>
        <v/>
      </c>
      <c r="D832" s="0" t="str">
        <f aca="false">IF(I832="","",IF(AND(J832&gt;=1,J832&lt;=K832+3),"255.255.255.0",""))</f>
        <v/>
      </c>
      <c r="E832" s="0" t="str">
        <f aca="false">IF(I832="","",IF(AND(J832&gt;=1,J832&lt;=K832+3),"10."&amp;INDEX(Eingabe!$D$9:$D$18,I832)&amp;"."&amp;IF(J832&lt;=K832,J832,IF(J832=K832+1,200,IF(J832=K832+2,201,250)))&amp;".1",""))</f>
        <v/>
      </c>
      <c r="F832" s="0" t="str">
        <f aca="false">IF(I832="","",IF(AND(J832&gt;=1,J832&lt;=K832+3),"10."&amp;INDEX(Eingabe!$D$9:$D$18,I832)&amp;"."&amp;IF(J832&lt;=K832,J832,IF(J832=K832+1,200,IF(J832=K832+2,201,250)))&amp;".10 – 10."&amp;INDEX(Eingabe!$D$9:$D$18,I832)&amp;"."&amp;IF(J832&lt;=K832,J832,IF(J832=K832+1,200,IF(J832=K832+2,201,250)))&amp;".250",""))</f>
        <v/>
      </c>
      <c r="G832" s="0" t="str">
        <f aca="false">IF(I832="","",IF(AND(J832&gt;=1,J832&lt;=K832),Eingabe!$B$6&amp;"-"&amp;INDEX(Eingabe!$C$9:$C$18,I832)&amp;"-Pächter  ·  Passwort Parzelle "&amp;J832,IF(J832=K832+1,Eingabe!$B$6&amp;"-"&amp;INDEX(Eingabe!$C$9:$C$18,I832)&amp;"-Vorstand  ·  eigenes WLAN",IF(J832=K832+2,Eingabe!$B$6&amp;"-"&amp;INDEX(Eingabe!$C$9:$C$18,I832)&amp;"-Gäste  ·  Voucher",IF(J832=K832+3,"Kabel  ·  Access Point y = .(50+y), Mast-Switch x = .(10+x)","")))))</f>
        <v/>
      </c>
      <c r="I832" s="0" t="str">
        <f aca="false">IF(827&lt;=(Eingabe!$P$18+Eingabe!$Q$18-1),MATCH(827,Eingabe!$P$9:$P$18,1),"")</f>
        <v/>
      </c>
      <c r="J832" s="0" t="str">
        <f aca="false">IF(I832="","",827-INDEX(Eingabe!$P$9:$P$18,I832))</f>
        <v/>
      </c>
      <c r="K832" s="0" t="str">
        <f aca="false">IF(I832="","",INDEX(Eingabe!$E$9:$E$18,I832))</f>
        <v/>
      </c>
    </row>
    <row r="833" customFormat="false" ht="15" hidden="false" customHeight="false" outlineLevel="0" collapsed="false">
      <c r="A833" s="0" t="str">
        <f aca="false">IF(I833="","",IF(J833=0,"Sparte "&amp;I833&amp;": "&amp;INDEX(Eingabe!$B$9:$B$18,I833)&amp;"  (Sparten-ID "&amp;INDEX(Eingabe!$D$9:$D$18,I833)&amp;", "&amp;K833&amp;" Parzellen)",IF(J833&lt;=K833,"   Parzelle "&amp;J833,IF(J833=K833+1,"   Vorstand",IF(J833=K833+2,"   Gäste",IF(J833=K833+3,"   Technik (Switches, Access Points)",""))))))</f>
        <v/>
      </c>
      <c r="B833" s="0" t="str">
        <f aca="false">IF(I833="","",IF(AND(J833&gt;=1,J833&lt;=K833+3),IF(J833&lt;=K833,IF(J833&lt;=99,IF((INDEX(Eingabe!$G$9:$G$18,I833))&lt;=9,1000+(INDEX(Eingabe!$G$9:$G$18,I833))*100,3000)+J833,IF((INDEX(Eingabe!$G$9:$G$18,I833)+1)&lt;=9,1000+(INDEX(Eingabe!$G$9:$G$18,I833)+1)*100,3000)+J833-100),IF(J833=K833+1,2000+INDEX(Eingabe!$G$9:$G$18,I833)*10+1,IF(J833=K833+2,2000+INDEX(Eingabe!$G$9:$G$18,I833)*10+2,2000+INDEX(Eingabe!$G$9:$G$18,I833)*10+9))),""))</f>
        <v/>
      </c>
      <c r="C833" s="0" t="str">
        <f aca="false">IF(I833="","",IF(AND(J833&gt;=1,J833&lt;=K833+3),"10."&amp;INDEX(Eingabe!$D$9:$D$18,I833)&amp;"."&amp;IF(J833&lt;=K833,J833,IF(J833=K833+1,200,IF(J833=K833+2,201,250)))&amp;".0/24",""))</f>
        <v/>
      </c>
      <c r="D833" s="0" t="str">
        <f aca="false">IF(I833="","",IF(AND(J833&gt;=1,J833&lt;=K833+3),"255.255.255.0",""))</f>
        <v/>
      </c>
      <c r="E833" s="0" t="str">
        <f aca="false">IF(I833="","",IF(AND(J833&gt;=1,J833&lt;=K833+3),"10."&amp;INDEX(Eingabe!$D$9:$D$18,I833)&amp;"."&amp;IF(J833&lt;=K833,J833,IF(J833=K833+1,200,IF(J833=K833+2,201,250)))&amp;".1",""))</f>
        <v/>
      </c>
      <c r="F833" s="0" t="str">
        <f aca="false">IF(I833="","",IF(AND(J833&gt;=1,J833&lt;=K833+3),"10."&amp;INDEX(Eingabe!$D$9:$D$18,I833)&amp;"."&amp;IF(J833&lt;=K833,J833,IF(J833=K833+1,200,IF(J833=K833+2,201,250)))&amp;".10 – 10."&amp;INDEX(Eingabe!$D$9:$D$18,I833)&amp;"."&amp;IF(J833&lt;=K833,J833,IF(J833=K833+1,200,IF(J833=K833+2,201,250)))&amp;".250",""))</f>
        <v/>
      </c>
      <c r="G833" s="0" t="str">
        <f aca="false">IF(I833="","",IF(AND(J833&gt;=1,J833&lt;=K833),Eingabe!$B$6&amp;"-"&amp;INDEX(Eingabe!$C$9:$C$18,I833)&amp;"-Pächter  ·  Passwort Parzelle "&amp;J833,IF(J833=K833+1,Eingabe!$B$6&amp;"-"&amp;INDEX(Eingabe!$C$9:$C$18,I833)&amp;"-Vorstand  ·  eigenes WLAN",IF(J833=K833+2,Eingabe!$B$6&amp;"-"&amp;INDEX(Eingabe!$C$9:$C$18,I833)&amp;"-Gäste  ·  Voucher",IF(J833=K833+3,"Kabel  ·  Access Point y = .(50+y), Mast-Switch x = .(10+x)","")))))</f>
        <v/>
      </c>
      <c r="I833" s="0" t="str">
        <f aca="false">IF(828&lt;=(Eingabe!$P$18+Eingabe!$Q$18-1),MATCH(828,Eingabe!$P$9:$P$18,1),"")</f>
        <v/>
      </c>
      <c r="J833" s="0" t="str">
        <f aca="false">IF(I833="","",828-INDEX(Eingabe!$P$9:$P$18,I833))</f>
        <v/>
      </c>
      <c r="K833" s="0" t="str">
        <f aca="false">IF(I833="","",INDEX(Eingabe!$E$9:$E$18,I833))</f>
        <v/>
      </c>
    </row>
    <row r="834" customFormat="false" ht="15" hidden="false" customHeight="false" outlineLevel="0" collapsed="false">
      <c r="A834" s="0" t="str">
        <f aca="false">IF(I834="","",IF(J834=0,"Sparte "&amp;I834&amp;": "&amp;INDEX(Eingabe!$B$9:$B$18,I834)&amp;"  (Sparten-ID "&amp;INDEX(Eingabe!$D$9:$D$18,I834)&amp;", "&amp;K834&amp;" Parzellen)",IF(J834&lt;=K834,"   Parzelle "&amp;J834,IF(J834=K834+1,"   Vorstand",IF(J834=K834+2,"   Gäste",IF(J834=K834+3,"   Technik (Switches, Access Points)",""))))))</f>
        <v/>
      </c>
      <c r="B834" s="0" t="str">
        <f aca="false">IF(I834="","",IF(AND(J834&gt;=1,J834&lt;=K834+3),IF(J834&lt;=K834,IF(J834&lt;=99,IF((INDEX(Eingabe!$G$9:$G$18,I834))&lt;=9,1000+(INDEX(Eingabe!$G$9:$G$18,I834))*100,3000)+J834,IF((INDEX(Eingabe!$G$9:$G$18,I834)+1)&lt;=9,1000+(INDEX(Eingabe!$G$9:$G$18,I834)+1)*100,3000)+J834-100),IF(J834=K834+1,2000+INDEX(Eingabe!$G$9:$G$18,I834)*10+1,IF(J834=K834+2,2000+INDEX(Eingabe!$G$9:$G$18,I834)*10+2,2000+INDEX(Eingabe!$G$9:$G$18,I834)*10+9))),""))</f>
        <v/>
      </c>
      <c r="C834" s="0" t="str">
        <f aca="false">IF(I834="","",IF(AND(J834&gt;=1,J834&lt;=K834+3),"10."&amp;INDEX(Eingabe!$D$9:$D$18,I834)&amp;"."&amp;IF(J834&lt;=K834,J834,IF(J834=K834+1,200,IF(J834=K834+2,201,250)))&amp;".0/24",""))</f>
        <v/>
      </c>
      <c r="D834" s="0" t="str">
        <f aca="false">IF(I834="","",IF(AND(J834&gt;=1,J834&lt;=K834+3),"255.255.255.0",""))</f>
        <v/>
      </c>
      <c r="E834" s="0" t="str">
        <f aca="false">IF(I834="","",IF(AND(J834&gt;=1,J834&lt;=K834+3),"10."&amp;INDEX(Eingabe!$D$9:$D$18,I834)&amp;"."&amp;IF(J834&lt;=K834,J834,IF(J834=K834+1,200,IF(J834=K834+2,201,250)))&amp;".1",""))</f>
        <v/>
      </c>
      <c r="F834" s="0" t="str">
        <f aca="false">IF(I834="","",IF(AND(J834&gt;=1,J834&lt;=K834+3),"10."&amp;INDEX(Eingabe!$D$9:$D$18,I834)&amp;"."&amp;IF(J834&lt;=K834,J834,IF(J834=K834+1,200,IF(J834=K834+2,201,250)))&amp;".10 – 10."&amp;INDEX(Eingabe!$D$9:$D$18,I834)&amp;"."&amp;IF(J834&lt;=K834,J834,IF(J834=K834+1,200,IF(J834=K834+2,201,250)))&amp;".250",""))</f>
        <v/>
      </c>
      <c r="G834" s="0" t="str">
        <f aca="false">IF(I834="","",IF(AND(J834&gt;=1,J834&lt;=K834),Eingabe!$B$6&amp;"-"&amp;INDEX(Eingabe!$C$9:$C$18,I834)&amp;"-Pächter  ·  Passwort Parzelle "&amp;J834,IF(J834=K834+1,Eingabe!$B$6&amp;"-"&amp;INDEX(Eingabe!$C$9:$C$18,I834)&amp;"-Vorstand  ·  eigenes WLAN",IF(J834=K834+2,Eingabe!$B$6&amp;"-"&amp;INDEX(Eingabe!$C$9:$C$18,I834)&amp;"-Gäste  ·  Voucher",IF(J834=K834+3,"Kabel  ·  Access Point y = .(50+y), Mast-Switch x = .(10+x)","")))))</f>
        <v/>
      </c>
      <c r="I834" s="0" t="str">
        <f aca="false">IF(829&lt;=(Eingabe!$P$18+Eingabe!$Q$18-1),MATCH(829,Eingabe!$P$9:$P$18,1),"")</f>
        <v/>
      </c>
      <c r="J834" s="0" t="str">
        <f aca="false">IF(I834="","",829-INDEX(Eingabe!$P$9:$P$18,I834))</f>
        <v/>
      </c>
      <c r="K834" s="0" t="str">
        <f aca="false">IF(I834="","",INDEX(Eingabe!$E$9:$E$18,I834))</f>
        <v/>
      </c>
    </row>
    <row r="835" customFormat="false" ht="15" hidden="false" customHeight="false" outlineLevel="0" collapsed="false">
      <c r="A835" s="0" t="str">
        <f aca="false">IF(I835="","",IF(J835=0,"Sparte "&amp;I835&amp;": "&amp;INDEX(Eingabe!$B$9:$B$18,I835)&amp;"  (Sparten-ID "&amp;INDEX(Eingabe!$D$9:$D$18,I835)&amp;", "&amp;K835&amp;" Parzellen)",IF(J835&lt;=K835,"   Parzelle "&amp;J835,IF(J835=K835+1,"   Vorstand",IF(J835=K835+2,"   Gäste",IF(J835=K835+3,"   Technik (Switches, Access Points)",""))))))</f>
        <v/>
      </c>
      <c r="B835" s="0" t="str">
        <f aca="false">IF(I835="","",IF(AND(J835&gt;=1,J835&lt;=K835+3),IF(J835&lt;=K835,IF(J835&lt;=99,IF((INDEX(Eingabe!$G$9:$G$18,I835))&lt;=9,1000+(INDEX(Eingabe!$G$9:$G$18,I835))*100,3000)+J835,IF((INDEX(Eingabe!$G$9:$G$18,I835)+1)&lt;=9,1000+(INDEX(Eingabe!$G$9:$G$18,I835)+1)*100,3000)+J835-100),IF(J835=K835+1,2000+INDEX(Eingabe!$G$9:$G$18,I835)*10+1,IF(J835=K835+2,2000+INDEX(Eingabe!$G$9:$G$18,I835)*10+2,2000+INDEX(Eingabe!$G$9:$G$18,I835)*10+9))),""))</f>
        <v/>
      </c>
      <c r="C835" s="0" t="str">
        <f aca="false">IF(I835="","",IF(AND(J835&gt;=1,J835&lt;=K835+3),"10."&amp;INDEX(Eingabe!$D$9:$D$18,I835)&amp;"."&amp;IF(J835&lt;=K835,J835,IF(J835=K835+1,200,IF(J835=K835+2,201,250)))&amp;".0/24",""))</f>
        <v/>
      </c>
      <c r="D835" s="0" t="str">
        <f aca="false">IF(I835="","",IF(AND(J835&gt;=1,J835&lt;=K835+3),"255.255.255.0",""))</f>
        <v/>
      </c>
      <c r="E835" s="0" t="str">
        <f aca="false">IF(I835="","",IF(AND(J835&gt;=1,J835&lt;=K835+3),"10."&amp;INDEX(Eingabe!$D$9:$D$18,I835)&amp;"."&amp;IF(J835&lt;=K835,J835,IF(J835=K835+1,200,IF(J835=K835+2,201,250)))&amp;".1",""))</f>
        <v/>
      </c>
      <c r="F835" s="0" t="str">
        <f aca="false">IF(I835="","",IF(AND(J835&gt;=1,J835&lt;=K835+3),"10."&amp;INDEX(Eingabe!$D$9:$D$18,I835)&amp;"."&amp;IF(J835&lt;=K835,J835,IF(J835=K835+1,200,IF(J835=K835+2,201,250)))&amp;".10 – 10."&amp;INDEX(Eingabe!$D$9:$D$18,I835)&amp;"."&amp;IF(J835&lt;=K835,J835,IF(J835=K835+1,200,IF(J835=K835+2,201,250)))&amp;".250",""))</f>
        <v/>
      </c>
      <c r="G835" s="0" t="str">
        <f aca="false">IF(I835="","",IF(AND(J835&gt;=1,J835&lt;=K835),Eingabe!$B$6&amp;"-"&amp;INDEX(Eingabe!$C$9:$C$18,I835)&amp;"-Pächter  ·  Passwort Parzelle "&amp;J835,IF(J835=K835+1,Eingabe!$B$6&amp;"-"&amp;INDEX(Eingabe!$C$9:$C$18,I835)&amp;"-Vorstand  ·  eigenes WLAN",IF(J835=K835+2,Eingabe!$B$6&amp;"-"&amp;INDEX(Eingabe!$C$9:$C$18,I835)&amp;"-Gäste  ·  Voucher",IF(J835=K835+3,"Kabel  ·  Access Point y = .(50+y), Mast-Switch x = .(10+x)","")))))</f>
        <v/>
      </c>
      <c r="I835" s="0" t="str">
        <f aca="false">IF(830&lt;=(Eingabe!$P$18+Eingabe!$Q$18-1),MATCH(830,Eingabe!$P$9:$P$18,1),"")</f>
        <v/>
      </c>
      <c r="J835" s="0" t="str">
        <f aca="false">IF(I835="","",830-INDEX(Eingabe!$P$9:$P$18,I835))</f>
        <v/>
      </c>
      <c r="K835" s="0" t="str">
        <f aca="false">IF(I835="","",INDEX(Eingabe!$E$9:$E$18,I835))</f>
        <v/>
      </c>
    </row>
    <row r="836" customFormat="false" ht="15" hidden="false" customHeight="false" outlineLevel="0" collapsed="false">
      <c r="A836" s="0" t="str">
        <f aca="false">IF(I836="","",IF(J836=0,"Sparte "&amp;I836&amp;": "&amp;INDEX(Eingabe!$B$9:$B$18,I836)&amp;"  (Sparten-ID "&amp;INDEX(Eingabe!$D$9:$D$18,I836)&amp;", "&amp;K836&amp;" Parzellen)",IF(J836&lt;=K836,"   Parzelle "&amp;J836,IF(J836=K836+1,"   Vorstand",IF(J836=K836+2,"   Gäste",IF(J836=K836+3,"   Technik (Switches, Access Points)",""))))))</f>
        <v/>
      </c>
      <c r="B836" s="0" t="str">
        <f aca="false">IF(I836="","",IF(AND(J836&gt;=1,J836&lt;=K836+3),IF(J836&lt;=K836,IF(J836&lt;=99,IF((INDEX(Eingabe!$G$9:$G$18,I836))&lt;=9,1000+(INDEX(Eingabe!$G$9:$G$18,I836))*100,3000)+J836,IF((INDEX(Eingabe!$G$9:$G$18,I836)+1)&lt;=9,1000+(INDEX(Eingabe!$G$9:$G$18,I836)+1)*100,3000)+J836-100),IF(J836=K836+1,2000+INDEX(Eingabe!$G$9:$G$18,I836)*10+1,IF(J836=K836+2,2000+INDEX(Eingabe!$G$9:$G$18,I836)*10+2,2000+INDEX(Eingabe!$G$9:$G$18,I836)*10+9))),""))</f>
        <v/>
      </c>
      <c r="C836" s="0" t="str">
        <f aca="false">IF(I836="","",IF(AND(J836&gt;=1,J836&lt;=K836+3),"10."&amp;INDEX(Eingabe!$D$9:$D$18,I836)&amp;"."&amp;IF(J836&lt;=K836,J836,IF(J836=K836+1,200,IF(J836=K836+2,201,250)))&amp;".0/24",""))</f>
        <v/>
      </c>
      <c r="D836" s="0" t="str">
        <f aca="false">IF(I836="","",IF(AND(J836&gt;=1,J836&lt;=K836+3),"255.255.255.0",""))</f>
        <v/>
      </c>
      <c r="E836" s="0" t="str">
        <f aca="false">IF(I836="","",IF(AND(J836&gt;=1,J836&lt;=K836+3),"10."&amp;INDEX(Eingabe!$D$9:$D$18,I836)&amp;"."&amp;IF(J836&lt;=K836,J836,IF(J836=K836+1,200,IF(J836=K836+2,201,250)))&amp;".1",""))</f>
        <v/>
      </c>
      <c r="F836" s="0" t="str">
        <f aca="false">IF(I836="","",IF(AND(J836&gt;=1,J836&lt;=K836+3),"10."&amp;INDEX(Eingabe!$D$9:$D$18,I836)&amp;"."&amp;IF(J836&lt;=K836,J836,IF(J836=K836+1,200,IF(J836=K836+2,201,250)))&amp;".10 – 10."&amp;INDEX(Eingabe!$D$9:$D$18,I836)&amp;"."&amp;IF(J836&lt;=K836,J836,IF(J836=K836+1,200,IF(J836=K836+2,201,250)))&amp;".250",""))</f>
        <v/>
      </c>
      <c r="G836" s="0" t="str">
        <f aca="false">IF(I836="","",IF(AND(J836&gt;=1,J836&lt;=K836),Eingabe!$B$6&amp;"-"&amp;INDEX(Eingabe!$C$9:$C$18,I836)&amp;"-Pächter  ·  Passwort Parzelle "&amp;J836,IF(J836=K836+1,Eingabe!$B$6&amp;"-"&amp;INDEX(Eingabe!$C$9:$C$18,I836)&amp;"-Vorstand  ·  eigenes WLAN",IF(J836=K836+2,Eingabe!$B$6&amp;"-"&amp;INDEX(Eingabe!$C$9:$C$18,I836)&amp;"-Gäste  ·  Voucher",IF(J836=K836+3,"Kabel  ·  Access Point y = .(50+y), Mast-Switch x = .(10+x)","")))))</f>
        <v/>
      </c>
      <c r="I836" s="0" t="str">
        <f aca="false">IF(831&lt;=(Eingabe!$P$18+Eingabe!$Q$18-1),MATCH(831,Eingabe!$P$9:$P$18,1),"")</f>
        <v/>
      </c>
      <c r="J836" s="0" t="str">
        <f aca="false">IF(I836="","",831-INDEX(Eingabe!$P$9:$P$18,I836))</f>
        <v/>
      </c>
      <c r="K836" s="0" t="str">
        <f aca="false">IF(I836="","",INDEX(Eingabe!$E$9:$E$18,I836))</f>
        <v/>
      </c>
    </row>
    <row r="837" customFormat="false" ht="15" hidden="false" customHeight="false" outlineLevel="0" collapsed="false">
      <c r="A837" s="0" t="str">
        <f aca="false">IF(I837="","",IF(J837=0,"Sparte "&amp;I837&amp;": "&amp;INDEX(Eingabe!$B$9:$B$18,I837)&amp;"  (Sparten-ID "&amp;INDEX(Eingabe!$D$9:$D$18,I837)&amp;", "&amp;K837&amp;" Parzellen)",IF(J837&lt;=K837,"   Parzelle "&amp;J837,IF(J837=K837+1,"   Vorstand",IF(J837=K837+2,"   Gäste",IF(J837=K837+3,"   Technik (Switches, Access Points)",""))))))</f>
        <v/>
      </c>
      <c r="B837" s="0" t="str">
        <f aca="false">IF(I837="","",IF(AND(J837&gt;=1,J837&lt;=K837+3),IF(J837&lt;=K837,IF(J837&lt;=99,IF((INDEX(Eingabe!$G$9:$G$18,I837))&lt;=9,1000+(INDEX(Eingabe!$G$9:$G$18,I837))*100,3000)+J837,IF((INDEX(Eingabe!$G$9:$G$18,I837)+1)&lt;=9,1000+(INDEX(Eingabe!$G$9:$G$18,I837)+1)*100,3000)+J837-100),IF(J837=K837+1,2000+INDEX(Eingabe!$G$9:$G$18,I837)*10+1,IF(J837=K837+2,2000+INDEX(Eingabe!$G$9:$G$18,I837)*10+2,2000+INDEX(Eingabe!$G$9:$G$18,I837)*10+9))),""))</f>
        <v/>
      </c>
      <c r="C837" s="0" t="str">
        <f aca="false">IF(I837="","",IF(AND(J837&gt;=1,J837&lt;=K837+3),"10."&amp;INDEX(Eingabe!$D$9:$D$18,I837)&amp;"."&amp;IF(J837&lt;=K837,J837,IF(J837=K837+1,200,IF(J837=K837+2,201,250)))&amp;".0/24",""))</f>
        <v/>
      </c>
      <c r="D837" s="0" t="str">
        <f aca="false">IF(I837="","",IF(AND(J837&gt;=1,J837&lt;=K837+3),"255.255.255.0",""))</f>
        <v/>
      </c>
      <c r="E837" s="0" t="str">
        <f aca="false">IF(I837="","",IF(AND(J837&gt;=1,J837&lt;=K837+3),"10."&amp;INDEX(Eingabe!$D$9:$D$18,I837)&amp;"."&amp;IF(J837&lt;=K837,J837,IF(J837=K837+1,200,IF(J837=K837+2,201,250)))&amp;".1",""))</f>
        <v/>
      </c>
      <c r="F837" s="0" t="str">
        <f aca="false">IF(I837="","",IF(AND(J837&gt;=1,J837&lt;=K837+3),"10."&amp;INDEX(Eingabe!$D$9:$D$18,I837)&amp;"."&amp;IF(J837&lt;=K837,J837,IF(J837=K837+1,200,IF(J837=K837+2,201,250)))&amp;".10 – 10."&amp;INDEX(Eingabe!$D$9:$D$18,I837)&amp;"."&amp;IF(J837&lt;=K837,J837,IF(J837=K837+1,200,IF(J837=K837+2,201,250)))&amp;".250",""))</f>
        <v/>
      </c>
      <c r="G837" s="0" t="str">
        <f aca="false">IF(I837="","",IF(AND(J837&gt;=1,J837&lt;=K837),Eingabe!$B$6&amp;"-"&amp;INDEX(Eingabe!$C$9:$C$18,I837)&amp;"-Pächter  ·  Passwort Parzelle "&amp;J837,IF(J837=K837+1,Eingabe!$B$6&amp;"-"&amp;INDEX(Eingabe!$C$9:$C$18,I837)&amp;"-Vorstand  ·  eigenes WLAN",IF(J837=K837+2,Eingabe!$B$6&amp;"-"&amp;INDEX(Eingabe!$C$9:$C$18,I837)&amp;"-Gäste  ·  Voucher",IF(J837=K837+3,"Kabel  ·  Access Point y = .(50+y), Mast-Switch x = .(10+x)","")))))</f>
        <v/>
      </c>
      <c r="I837" s="0" t="str">
        <f aca="false">IF(832&lt;=(Eingabe!$P$18+Eingabe!$Q$18-1),MATCH(832,Eingabe!$P$9:$P$18,1),"")</f>
        <v/>
      </c>
      <c r="J837" s="0" t="str">
        <f aca="false">IF(I837="","",832-INDEX(Eingabe!$P$9:$P$18,I837))</f>
        <v/>
      </c>
      <c r="K837" s="0" t="str">
        <f aca="false">IF(I837="","",INDEX(Eingabe!$E$9:$E$18,I837))</f>
        <v/>
      </c>
    </row>
    <row r="838" customFormat="false" ht="15" hidden="false" customHeight="false" outlineLevel="0" collapsed="false">
      <c r="A838" s="0" t="str">
        <f aca="false">IF(I838="","",IF(J838=0,"Sparte "&amp;I838&amp;": "&amp;INDEX(Eingabe!$B$9:$B$18,I838)&amp;"  (Sparten-ID "&amp;INDEX(Eingabe!$D$9:$D$18,I838)&amp;", "&amp;K838&amp;" Parzellen)",IF(J838&lt;=K838,"   Parzelle "&amp;J838,IF(J838=K838+1,"   Vorstand",IF(J838=K838+2,"   Gäste",IF(J838=K838+3,"   Technik (Switches, Access Points)",""))))))</f>
        <v/>
      </c>
      <c r="B838" s="0" t="str">
        <f aca="false">IF(I838="","",IF(AND(J838&gt;=1,J838&lt;=K838+3),IF(J838&lt;=K838,IF(J838&lt;=99,IF((INDEX(Eingabe!$G$9:$G$18,I838))&lt;=9,1000+(INDEX(Eingabe!$G$9:$G$18,I838))*100,3000)+J838,IF((INDEX(Eingabe!$G$9:$G$18,I838)+1)&lt;=9,1000+(INDEX(Eingabe!$G$9:$G$18,I838)+1)*100,3000)+J838-100),IF(J838=K838+1,2000+INDEX(Eingabe!$G$9:$G$18,I838)*10+1,IF(J838=K838+2,2000+INDEX(Eingabe!$G$9:$G$18,I838)*10+2,2000+INDEX(Eingabe!$G$9:$G$18,I838)*10+9))),""))</f>
        <v/>
      </c>
      <c r="C838" s="0" t="str">
        <f aca="false">IF(I838="","",IF(AND(J838&gt;=1,J838&lt;=K838+3),"10."&amp;INDEX(Eingabe!$D$9:$D$18,I838)&amp;"."&amp;IF(J838&lt;=K838,J838,IF(J838=K838+1,200,IF(J838=K838+2,201,250)))&amp;".0/24",""))</f>
        <v/>
      </c>
      <c r="D838" s="0" t="str">
        <f aca="false">IF(I838="","",IF(AND(J838&gt;=1,J838&lt;=K838+3),"255.255.255.0",""))</f>
        <v/>
      </c>
      <c r="E838" s="0" t="str">
        <f aca="false">IF(I838="","",IF(AND(J838&gt;=1,J838&lt;=K838+3),"10."&amp;INDEX(Eingabe!$D$9:$D$18,I838)&amp;"."&amp;IF(J838&lt;=K838,J838,IF(J838=K838+1,200,IF(J838=K838+2,201,250)))&amp;".1",""))</f>
        <v/>
      </c>
      <c r="F838" s="0" t="str">
        <f aca="false">IF(I838="","",IF(AND(J838&gt;=1,J838&lt;=K838+3),"10."&amp;INDEX(Eingabe!$D$9:$D$18,I838)&amp;"."&amp;IF(J838&lt;=K838,J838,IF(J838=K838+1,200,IF(J838=K838+2,201,250)))&amp;".10 – 10."&amp;INDEX(Eingabe!$D$9:$D$18,I838)&amp;"."&amp;IF(J838&lt;=K838,J838,IF(J838=K838+1,200,IF(J838=K838+2,201,250)))&amp;".250",""))</f>
        <v/>
      </c>
      <c r="G838" s="0" t="str">
        <f aca="false">IF(I838="","",IF(AND(J838&gt;=1,J838&lt;=K838),Eingabe!$B$6&amp;"-"&amp;INDEX(Eingabe!$C$9:$C$18,I838)&amp;"-Pächter  ·  Passwort Parzelle "&amp;J838,IF(J838=K838+1,Eingabe!$B$6&amp;"-"&amp;INDEX(Eingabe!$C$9:$C$18,I838)&amp;"-Vorstand  ·  eigenes WLAN",IF(J838=K838+2,Eingabe!$B$6&amp;"-"&amp;INDEX(Eingabe!$C$9:$C$18,I838)&amp;"-Gäste  ·  Voucher",IF(J838=K838+3,"Kabel  ·  Access Point y = .(50+y), Mast-Switch x = .(10+x)","")))))</f>
        <v/>
      </c>
      <c r="I838" s="0" t="str">
        <f aca="false">IF(833&lt;=(Eingabe!$P$18+Eingabe!$Q$18-1),MATCH(833,Eingabe!$P$9:$P$18,1),"")</f>
        <v/>
      </c>
      <c r="J838" s="0" t="str">
        <f aca="false">IF(I838="","",833-INDEX(Eingabe!$P$9:$P$18,I838))</f>
        <v/>
      </c>
      <c r="K838" s="0" t="str">
        <f aca="false">IF(I838="","",INDEX(Eingabe!$E$9:$E$18,I838))</f>
        <v/>
      </c>
    </row>
    <row r="839" customFormat="false" ht="15" hidden="false" customHeight="false" outlineLevel="0" collapsed="false">
      <c r="A839" s="0" t="str">
        <f aca="false">IF(I839="","",IF(J839=0,"Sparte "&amp;I839&amp;": "&amp;INDEX(Eingabe!$B$9:$B$18,I839)&amp;"  (Sparten-ID "&amp;INDEX(Eingabe!$D$9:$D$18,I839)&amp;", "&amp;K839&amp;" Parzellen)",IF(J839&lt;=K839,"   Parzelle "&amp;J839,IF(J839=K839+1,"   Vorstand",IF(J839=K839+2,"   Gäste",IF(J839=K839+3,"   Technik (Switches, Access Points)",""))))))</f>
        <v/>
      </c>
      <c r="B839" s="0" t="str">
        <f aca="false">IF(I839="","",IF(AND(J839&gt;=1,J839&lt;=K839+3),IF(J839&lt;=K839,IF(J839&lt;=99,IF((INDEX(Eingabe!$G$9:$G$18,I839))&lt;=9,1000+(INDEX(Eingabe!$G$9:$G$18,I839))*100,3000)+J839,IF((INDEX(Eingabe!$G$9:$G$18,I839)+1)&lt;=9,1000+(INDEX(Eingabe!$G$9:$G$18,I839)+1)*100,3000)+J839-100),IF(J839=K839+1,2000+INDEX(Eingabe!$G$9:$G$18,I839)*10+1,IF(J839=K839+2,2000+INDEX(Eingabe!$G$9:$G$18,I839)*10+2,2000+INDEX(Eingabe!$G$9:$G$18,I839)*10+9))),""))</f>
        <v/>
      </c>
      <c r="C839" s="0" t="str">
        <f aca="false">IF(I839="","",IF(AND(J839&gt;=1,J839&lt;=K839+3),"10."&amp;INDEX(Eingabe!$D$9:$D$18,I839)&amp;"."&amp;IF(J839&lt;=K839,J839,IF(J839=K839+1,200,IF(J839=K839+2,201,250)))&amp;".0/24",""))</f>
        <v/>
      </c>
      <c r="D839" s="0" t="str">
        <f aca="false">IF(I839="","",IF(AND(J839&gt;=1,J839&lt;=K839+3),"255.255.255.0",""))</f>
        <v/>
      </c>
      <c r="E839" s="0" t="str">
        <f aca="false">IF(I839="","",IF(AND(J839&gt;=1,J839&lt;=K839+3),"10."&amp;INDEX(Eingabe!$D$9:$D$18,I839)&amp;"."&amp;IF(J839&lt;=K839,J839,IF(J839=K839+1,200,IF(J839=K839+2,201,250)))&amp;".1",""))</f>
        <v/>
      </c>
      <c r="F839" s="0" t="str">
        <f aca="false">IF(I839="","",IF(AND(J839&gt;=1,J839&lt;=K839+3),"10."&amp;INDEX(Eingabe!$D$9:$D$18,I839)&amp;"."&amp;IF(J839&lt;=K839,J839,IF(J839=K839+1,200,IF(J839=K839+2,201,250)))&amp;".10 – 10."&amp;INDEX(Eingabe!$D$9:$D$18,I839)&amp;"."&amp;IF(J839&lt;=K839,J839,IF(J839=K839+1,200,IF(J839=K839+2,201,250)))&amp;".250",""))</f>
        <v/>
      </c>
      <c r="G839" s="0" t="str">
        <f aca="false">IF(I839="","",IF(AND(J839&gt;=1,J839&lt;=K839),Eingabe!$B$6&amp;"-"&amp;INDEX(Eingabe!$C$9:$C$18,I839)&amp;"-Pächter  ·  Passwort Parzelle "&amp;J839,IF(J839=K839+1,Eingabe!$B$6&amp;"-"&amp;INDEX(Eingabe!$C$9:$C$18,I839)&amp;"-Vorstand  ·  eigenes WLAN",IF(J839=K839+2,Eingabe!$B$6&amp;"-"&amp;INDEX(Eingabe!$C$9:$C$18,I839)&amp;"-Gäste  ·  Voucher",IF(J839=K839+3,"Kabel  ·  Access Point y = .(50+y), Mast-Switch x = .(10+x)","")))))</f>
        <v/>
      </c>
      <c r="I839" s="0" t="str">
        <f aca="false">IF(834&lt;=(Eingabe!$P$18+Eingabe!$Q$18-1),MATCH(834,Eingabe!$P$9:$P$18,1),"")</f>
        <v/>
      </c>
      <c r="J839" s="0" t="str">
        <f aca="false">IF(I839="","",834-INDEX(Eingabe!$P$9:$P$18,I839))</f>
        <v/>
      </c>
      <c r="K839" s="0" t="str">
        <f aca="false">IF(I839="","",INDEX(Eingabe!$E$9:$E$18,I839))</f>
        <v/>
      </c>
    </row>
    <row r="840" customFormat="false" ht="15" hidden="false" customHeight="false" outlineLevel="0" collapsed="false">
      <c r="A840" s="0" t="str">
        <f aca="false">IF(I840="","",IF(J840=0,"Sparte "&amp;I840&amp;": "&amp;INDEX(Eingabe!$B$9:$B$18,I840)&amp;"  (Sparten-ID "&amp;INDEX(Eingabe!$D$9:$D$18,I840)&amp;", "&amp;K840&amp;" Parzellen)",IF(J840&lt;=K840,"   Parzelle "&amp;J840,IF(J840=K840+1,"   Vorstand",IF(J840=K840+2,"   Gäste",IF(J840=K840+3,"   Technik (Switches, Access Points)",""))))))</f>
        <v/>
      </c>
      <c r="B840" s="0" t="str">
        <f aca="false">IF(I840="","",IF(AND(J840&gt;=1,J840&lt;=K840+3),IF(J840&lt;=K840,IF(J840&lt;=99,IF((INDEX(Eingabe!$G$9:$G$18,I840))&lt;=9,1000+(INDEX(Eingabe!$G$9:$G$18,I840))*100,3000)+J840,IF((INDEX(Eingabe!$G$9:$G$18,I840)+1)&lt;=9,1000+(INDEX(Eingabe!$G$9:$G$18,I840)+1)*100,3000)+J840-100),IF(J840=K840+1,2000+INDEX(Eingabe!$G$9:$G$18,I840)*10+1,IF(J840=K840+2,2000+INDEX(Eingabe!$G$9:$G$18,I840)*10+2,2000+INDEX(Eingabe!$G$9:$G$18,I840)*10+9))),""))</f>
        <v/>
      </c>
      <c r="C840" s="0" t="str">
        <f aca="false">IF(I840="","",IF(AND(J840&gt;=1,J840&lt;=K840+3),"10."&amp;INDEX(Eingabe!$D$9:$D$18,I840)&amp;"."&amp;IF(J840&lt;=K840,J840,IF(J840=K840+1,200,IF(J840=K840+2,201,250)))&amp;".0/24",""))</f>
        <v/>
      </c>
      <c r="D840" s="0" t="str">
        <f aca="false">IF(I840="","",IF(AND(J840&gt;=1,J840&lt;=K840+3),"255.255.255.0",""))</f>
        <v/>
      </c>
      <c r="E840" s="0" t="str">
        <f aca="false">IF(I840="","",IF(AND(J840&gt;=1,J840&lt;=K840+3),"10."&amp;INDEX(Eingabe!$D$9:$D$18,I840)&amp;"."&amp;IF(J840&lt;=K840,J840,IF(J840=K840+1,200,IF(J840=K840+2,201,250)))&amp;".1",""))</f>
        <v/>
      </c>
      <c r="F840" s="0" t="str">
        <f aca="false">IF(I840="","",IF(AND(J840&gt;=1,J840&lt;=K840+3),"10."&amp;INDEX(Eingabe!$D$9:$D$18,I840)&amp;"."&amp;IF(J840&lt;=K840,J840,IF(J840=K840+1,200,IF(J840=K840+2,201,250)))&amp;".10 – 10."&amp;INDEX(Eingabe!$D$9:$D$18,I840)&amp;"."&amp;IF(J840&lt;=K840,J840,IF(J840=K840+1,200,IF(J840=K840+2,201,250)))&amp;".250",""))</f>
        <v/>
      </c>
      <c r="G840" s="0" t="str">
        <f aca="false">IF(I840="","",IF(AND(J840&gt;=1,J840&lt;=K840),Eingabe!$B$6&amp;"-"&amp;INDEX(Eingabe!$C$9:$C$18,I840)&amp;"-Pächter  ·  Passwort Parzelle "&amp;J840,IF(J840=K840+1,Eingabe!$B$6&amp;"-"&amp;INDEX(Eingabe!$C$9:$C$18,I840)&amp;"-Vorstand  ·  eigenes WLAN",IF(J840=K840+2,Eingabe!$B$6&amp;"-"&amp;INDEX(Eingabe!$C$9:$C$18,I840)&amp;"-Gäste  ·  Voucher",IF(J840=K840+3,"Kabel  ·  Access Point y = .(50+y), Mast-Switch x = .(10+x)","")))))</f>
        <v/>
      </c>
      <c r="I840" s="0" t="str">
        <f aca="false">IF(835&lt;=(Eingabe!$P$18+Eingabe!$Q$18-1),MATCH(835,Eingabe!$P$9:$P$18,1),"")</f>
        <v/>
      </c>
      <c r="J840" s="0" t="str">
        <f aca="false">IF(I840="","",835-INDEX(Eingabe!$P$9:$P$18,I840))</f>
        <v/>
      </c>
      <c r="K840" s="0" t="str">
        <f aca="false">IF(I840="","",INDEX(Eingabe!$E$9:$E$18,I840))</f>
        <v/>
      </c>
    </row>
    <row r="841" customFormat="false" ht="15" hidden="false" customHeight="false" outlineLevel="0" collapsed="false">
      <c r="A841" s="0" t="str">
        <f aca="false">IF(I841="","",IF(J841=0,"Sparte "&amp;I841&amp;": "&amp;INDEX(Eingabe!$B$9:$B$18,I841)&amp;"  (Sparten-ID "&amp;INDEX(Eingabe!$D$9:$D$18,I841)&amp;", "&amp;K841&amp;" Parzellen)",IF(J841&lt;=K841,"   Parzelle "&amp;J841,IF(J841=K841+1,"   Vorstand",IF(J841=K841+2,"   Gäste",IF(J841=K841+3,"   Technik (Switches, Access Points)",""))))))</f>
        <v/>
      </c>
      <c r="B841" s="0" t="str">
        <f aca="false">IF(I841="","",IF(AND(J841&gt;=1,J841&lt;=K841+3),IF(J841&lt;=K841,IF(J841&lt;=99,IF((INDEX(Eingabe!$G$9:$G$18,I841))&lt;=9,1000+(INDEX(Eingabe!$G$9:$G$18,I841))*100,3000)+J841,IF((INDEX(Eingabe!$G$9:$G$18,I841)+1)&lt;=9,1000+(INDEX(Eingabe!$G$9:$G$18,I841)+1)*100,3000)+J841-100),IF(J841=K841+1,2000+INDEX(Eingabe!$G$9:$G$18,I841)*10+1,IF(J841=K841+2,2000+INDEX(Eingabe!$G$9:$G$18,I841)*10+2,2000+INDEX(Eingabe!$G$9:$G$18,I841)*10+9))),""))</f>
        <v/>
      </c>
      <c r="C841" s="0" t="str">
        <f aca="false">IF(I841="","",IF(AND(J841&gt;=1,J841&lt;=K841+3),"10."&amp;INDEX(Eingabe!$D$9:$D$18,I841)&amp;"."&amp;IF(J841&lt;=K841,J841,IF(J841=K841+1,200,IF(J841=K841+2,201,250)))&amp;".0/24",""))</f>
        <v/>
      </c>
      <c r="D841" s="0" t="str">
        <f aca="false">IF(I841="","",IF(AND(J841&gt;=1,J841&lt;=K841+3),"255.255.255.0",""))</f>
        <v/>
      </c>
      <c r="E841" s="0" t="str">
        <f aca="false">IF(I841="","",IF(AND(J841&gt;=1,J841&lt;=K841+3),"10."&amp;INDEX(Eingabe!$D$9:$D$18,I841)&amp;"."&amp;IF(J841&lt;=K841,J841,IF(J841=K841+1,200,IF(J841=K841+2,201,250)))&amp;".1",""))</f>
        <v/>
      </c>
      <c r="F841" s="0" t="str">
        <f aca="false">IF(I841="","",IF(AND(J841&gt;=1,J841&lt;=K841+3),"10."&amp;INDEX(Eingabe!$D$9:$D$18,I841)&amp;"."&amp;IF(J841&lt;=K841,J841,IF(J841=K841+1,200,IF(J841=K841+2,201,250)))&amp;".10 – 10."&amp;INDEX(Eingabe!$D$9:$D$18,I841)&amp;"."&amp;IF(J841&lt;=K841,J841,IF(J841=K841+1,200,IF(J841=K841+2,201,250)))&amp;".250",""))</f>
        <v/>
      </c>
      <c r="G841" s="0" t="str">
        <f aca="false">IF(I841="","",IF(AND(J841&gt;=1,J841&lt;=K841),Eingabe!$B$6&amp;"-"&amp;INDEX(Eingabe!$C$9:$C$18,I841)&amp;"-Pächter  ·  Passwort Parzelle "&amp;J841,IF(J841=K841+1,Eingabe!$B$6&amp;"-"&amp;INDEX(Eingabe!$C$9:$C$18,I841)&amp;"-Vorstand  ·  eigenes WLAN",IF(J841=K841+2,Eingabe!$B$6&amp;"-"&amp;INDEX(Eingabe!$C$9:$C$18,I841)&amp;"-Gäste  ·  Voucher",IF(J841=K841+3,"Kabel  ·  Access Point y = .(50+y), Mast-Switch x = .(10+x)","")))))</f>
        <v/>
      </c>
      <c r="I841" s="0" t="str">
        <f aca="false">IF(836&lt;=(Eingabe!$P$18+Eingabe!$Q$18-1),MATCH(836,Eingabe!$P$9:$P$18,1),"")</f>
        <v/>
      </c>
      <c r="J841" s="0" t="str">
        <f aca="false">IF(I841="","",836-INDEX(Eingabe!$P$9:$P$18,I841))</f>
        <v/>
      </c>
      <c r="K841" s="0" t="str">
        <f aca="false">IF(I841="","",INDEX(Eingabe!$E$9:$E$18,I841))</f>
        <v/>
      </c>
    </row>
    <row r="842" customFormat="false" ht="15" hidden="false" customHeight="false" outlineLevel="0" collapsed="false">
      <c r="A842" s="0" t="str">
        <f aca="false">IF(I842="","",IF(J842=0,"Sparte "&amp;I842&amp;": "&amp;INDEX(Eingabe!$B$9:$B$18,I842)&amp;"  (Sparten-ID "&amp;INDEX(Eingabe!$D$9:$D$18,I842)&amp;", "&amp;K842&amp;" Parzellen)",IF(J842&lt;=K842,"   Parzelle "&amp;J842,IF(J842=K842+1,"   Vorstand",IF(J842=K842+2,"   Gäste",IF(J842=K842+3,"   Technik (Switches, Access Points)",""))))))</f>
        <v/>
      </c>
      <c r="B842" s="0" t="str">
        <f aca="false">IF(I842="","",IF(AND(J842&gt;=1,J842&lt;=K842+3),IF(J842&lt;=K842,IF(J842&lt;=99,IF((INDEX(Eingabe!$G$9:$G$18,I842))&lt;=9,1000+(INDEX(Eingabe!$G$9:$G$18,I842))*100,3000)+J842,IF((INDEX(Eingabe!$G$9:$G$18,I842)+1)&lt;=9,1000+(INDEX(Eingabe!$G$9:$G$18,I842)+1)*100,3000)+J842-100),IF(J842=K842+1,2000+INDEX(Eingabe!$G$9:$G$18,I842)*10+1,IF(J842=K842+2,2000+INDEX(Eingabe!$G$9:$G$18,I842)*10+2,2000+INDEX(Eingabe!$G$9:$G$18,I842)*10+9))),""))</f>
        <v/>
      </c>
      <c r="C842" s="0" t="str">
        <f aca="false">IF(I842="","",IF(AND(J842&gt;=1,J842&lt;=K842+3),"10."&amp;INDEX(Eingabe!$D$9:$D$18,I842)&amp;"."&amp;IF(J842&lt;=K842,J842,IF(J842=K842+1,200,IF(J842=K842+2,201,250)))&amp;".0/24",""))</f>
        <v/>
      </c>
      <c r="D842" s="0" t="str">
        <f aca="false">IF(I842="","",IF(AND(J842&gt;=1,J842&lt;=K842+3),"255.255.255.0",""))</f>
        <v/>
      </c>
      <c r="E842" s="0" t="str">
        <f aca="false">IF(I842="","",IF(AND(J842&gt;=1,J842&lt;=K842+3),"10."&amp;INDEX(Eingabe!$D$9:$D$18,I842)&amp;"."&amp;IF(J842&lt;=K842,J842,IF(J842=K842+1,200,IF(J842=K842+2,201,250)))&amp;".1",""))</f>
        <v/>
      </c>
      <c r="F842" s="0" t="str">
        <f aca="false">IF(I842="","",IF(AND(J842&gt;=1,J842&lt;=K842+3),"10."&amp;INDEX(Eingabe!$D$9:$D$18,I842)&amp;"."&amp;IF(J842&lt;=K842,J842,IF(J842=K842+1,200,IF(J842=K842+2,201,250)))&amp;".10 – 10."&amp;INDEX(Eingabe!$D$9:$D$18,I842)&amp;"."&amp;IF(J842&lt;=K842,J842,IF(J842=K842+1,200,IF(J842=K842+2,201,250)))&amp;".250",""))</f>
        <v/>
      </c>
      <c r="G842" s="0" t="str">
        <f aca="false">IF(I842="","",IF(AND(J842&gt;=1,J842&lt;=K842),Eingabe!$B$6&amp;"-"&amp;INDEX(Eingabe!$C$9:$C$18,I842)&amp;"-Pächter  ·  Passwort Parzelle "&amp;J842,IF(J842=K842+1,Eingabe!$B$6&amp;"-"&amp;INDEX(Eingabe!$C$9:$C$18,I842)&amp;"-Vorstand  ·  eigenes WLAN",IF(J842=K842+2,Eingabe!$B$6&amp;"-"&amp;INDEX(Eingabe!$C$9:$C$18,I842)&amp;"-Gäste  ·  Voucher",IF(J842=K842+3,"Kabel  ·  Access Point y = .(50+y), Mast-Switch x = .(10+x)","")))))</f>
        <v/>
      </c>
      <c r="I842" s="0" t="str">
        <f aca="false">IF(837&lt;=(Eingabe!$P$18+Eingabe!$Q$18-1),MATCH(837,Eingabe!$P$9:$P$18,1),"")</f>
        <v/>
      </c>
      <c r="J842" s="0" t="str">
        <f aca="false">IF(I842="","",837-INDEX(Eingabe!$P$9:$P$18,I842))</f>
        <v/>
      </c>
      <c r="K842" s="0" t="str">
        <f aca="false">IF(I842="","",INDEX(Eingabe!$E$9:$E$18,I842))</f>
        <v/>
      </c>
    </row>
    <row r="843" customFormat="false" ht="15" hidden="false" customHeight="false" outlineLevel="0" collapsed="false">
      <c r="A843" s="0" t="str">
        <f aca="false">IF(I843="","",IF(J843=0,"Sparte "&amp;I843&amp;": "&amp;INDEX(Eingabe!$B$9:$B$18,I843)&amp;"  (Sparten-ID "&amp;INDEX(Eingabe!$D$9:$D$18,I843)&amp;", "&amp;K843&amp;" Parzellen)",IF(J843&lt;=K843,"   Parzelle "&amp;J843,IF(J843=K843+1,"   Vorstand",IF(J843=K843+2,"   Gäste",IF(J843=K843+3,"   Technik (Switches, Access Points)",""))))))</f>
        <v/>
      </c>
      <c r="B843" s="0" t="str">
        <f aca="false">IF(I843="","",IF(AND(J843&gt;=1,J843&lt;=K843+3),IF(J843&lt;=K843,IF(J843&lt;=99,IF((INDEX(Eingabe!$G$9:$G$18,I843))&lt;=9,1000+(INDEX(Eingabe!$G$9:$G$18,I843))*100,3000)+J843,IF((INDEX(Eingabe!$G$9:$G$18,I843)+1)&lt;=9,1000+(INDEX(Eingabe!$G$9:$G$18,I843)+1)*100,3000)+J843-100),IF(J843=K843+1,2000+INDEX(Eingabe!$G$9:$G$18,I843)*10+1,IF(J843=K843+2,2000+INDEX(Eingabe!$G$9:$G$18,I843)*10+2,2000+INDEX(Eingabe!$G$9:$G$18,I843)*10+9))),""))</f>
        <v/>
      </c>
      <c r="C843" s="0" t="str">
        <f aca="false">IF(I843="","",IF(AND(J843&gt;=1,J843&lt;=K843+3),"10."&amp;INDEX(Eingabe!$D$9:$D$18,I843)&amp;"."&amp;IF(J843&lt;=K843,J843,IF(J843=K843+1,200,IF(J843=K843+2,201,250)))&amp;".0/24",""))</f>
        <v/>
      </c>
      <c r="D843" s="0" t="str">
        <f aca="false">IF(I843="","",IF(AND(J843&gt;=1,J843&lt;=K843+3),"255.255.255.0",""))</f>
        <v/>
      </c>
      <c r="E843" s="0" t="str">
        <f aca="false">IF(I843="","",IF(AND(J843&gt;=1,J843&lt;=K843+3),"10."&amp;INDEX(Eingabe!$D$9:$D$18,I843)&amp;"."&amp;IF(J843&lt;=K843,J843,IF(J843=K843+1,200,IF(J843=K843+2,201,250)))&amp;".1",""))</f>
        <v/>
      </c>
      <c r="F843" s="0" t="str">
        <f aca="false">IF(I843="","",IF(AND(J843&gt;=1,J843&lt;=K843+3),"10."&amp;INDEX(Eingabe!$D$9:$D$18,I843)&amp;"."&amp;IF(J843&lt;=K843,J843,IF(J843=K843+1,200,IF(J843=K843+2,201,250)))&amp;".10 – 10."&amp;INDEX(Eingabe!$D$9:$D$18,I843)&amp;"."&amp;IF(J843&lt;=K843,J843,IF(J843=K843+1,200,IF(J843=K843+2,201,250)))&amp;".250",""))</f>
        <v/>
      </c>
      <c r="G843" s="0" t="str">
        <f aca="false">IF(I843="","",IF(AND(J843&gt;=1,J843&lt;=K843),Eingabe!$B$6&amp;"-"&amp;INDEX(Eingabe!$C$9:$C$18,I843)&amp;"-Pächter  ·  Passwort Parzelle "&amp;J843,IF(J843=K843+1,Eingabe!$B$6&amp;"-"&amp;INDEX(Eingabe!$C$9:$C$18,I843)&amp;"-Vorstand  ·  eigenes WLAN",IF(J843=K843+2,Eingabe!$B$6&amp;"-"&amp;INDEX(Eingabe!$C$9:$C$18,I843)&amp;"-Gäste  ·  Voucher",IF(J843=K843+3,"Kabel  ·  Access Point y = .(50+y), Mast-Switch x = .(10+x)","")))))</f>
        <v/>
      </c>
      <c r="I843" s="0" t="str">
        <f aca="false">IF(838&lt;=(Eingabe!$P$18+Eingabe!$Q$18-1),MATCH(838,Eingabe!$P$9:$P$18,1),"")</f>
        <v/>
      </c>
      <c r="J843" s="0" t="str">
        <f aca="false">IF(I843="","",838-INDEX(Eingabe!$P$9:$P$18,I843))</f>
        <v/>
      </c>
      <c r="K843" s="0" t="str">
        <f aca="false">IF(I843="","",INDEX(Eingabe!$E$9:$E$18,I843))</f>
        <v/>
      </c>
    </row>
    <row r="844" customFormat="false" ht="15" hidden="false" customHeight="false" outlineLevel="0" collapsed="false">
      <c r="A844" s="0" t="str">
        <f aca="false">IF(I844="","",IF(J844=0,"Sparte "&amp;I844&amp;": "&amp;INDEX(Eingabe!$B$9:$B$18,I844)&amp;"  (Sparten-ID "&amp;INDEX(Eingabe!$D$9:$D$18,I844)&amp;", "&amp;K844&amp;" Parzellen)",IF(J844&lt;=K844,"   Parzelle "&amp;J844,IF(J844=K844+1,"   Vorstand",IF(J844=K844+2,"   Gäste",IF(J844=K844+3,"   Technik (Switches, Access Points)",""))))))</f>
        <v/>
      </c>
      <c r="B844" s="0" t="str">
        <f aca="false">IF(I844="","",IF(AND(J844&gt;=1,J844&lt;=K844+3),IF(J844&lt;=K844,IF(J844&lt;=99,IF((INDEX(Eingabe!$G$9:$G$18,I844))&lt;=9,1000+(INDEX(Eingabe!$G$9:$G$18,I844))*100,3000)+J844,IF((INDEX(Eingabe!$G$9:$G$18,I844)+1)&lt;=9,1000+(INDEX(Eingabe!$G$9:$G$18,I844)+1)*100,3000)+J844-100),IF(J844=K844+1,2000+INDEX(Eingabe!$G$9:$G$18,I844)*10+1,IF(J844=K844+2,2000+INDEX(Eingabe!$G$9:$G$18,I844)*10+2,2000+INDEX(Eingabe!$G$9:$G$18,I844)*10+9))),""))</f>
        <v/>
      </c>
      <c r="C844" s="0" t="str">
        <f aca="false">IF(I844="","",IF(AND(J844&gt;=1,J844&lt;=K844+3),"10."&amp;INDEX(Eingabe!$D$9:$D$18,I844)&amp;"."&amp;IF(J844&lt;=K844,J844,IF(J844=K844+1,200,IF(J844=K844+2,201,250)))&amp;".0/24",""))</f>
        <v/>
      </c>
      <c r="D844" s="0" t="str">
        <f aca="false">IF(I844="","",IF(AND(J844&gt;=1,J844&lt;=K844+3),"255.255.255.0",""))</f>
        <v/>
      </c>
      <c r="E844" s="0" t="str">
        <f aca="false">IF(I844="","",IF(AND(J844&gt;=1,J844&lt;=K844+3),"10."&amp;INDEX(Eingabe!$D$9:$D$18,I844)&amp;"."&amp;IF(J844&lt;=K844,J844,IF(J844=K844+1,200,IF(J844=K844+2,201,250)))&amp;".1",""))</f>
        <v/>
      </c>
      <c r="F844" s="0" t="str">
        <f aca="false">IF(I844="","",IF(AND(J844&gt;=1,J844&lt;=K844+3),"10."&amp;INDEX(Eingabe!$D$9:$D$18,I844)&amp;"."&amp;IF(J844&lt;=K844,J844,IF(J844=K844+1,200,IF(J844=K844+2,201,250)))&amp;".10 – 10."&amp;INDEX(Eingabe!$D$9:$D$18,I844)&amp;"."&amp;IF(J844&lt;=K844,J844,IF(J844=K844+1,200,IF(J844=K844+2,201,250)))&amp;".250",""))</f>
        <v/>
      </c>
      <c r="G844" s="0" t="str">
        <f aca="false">IF(I844="","",IF(AND(J844&gt;=1,J844&lt;=K844),Eingabe!$B$6&amp;"-"&amp;INDEX(Eingabe!$C$9:$C$18,I844)&amp;"-Pächter  ·  Passwort Parzelle "&amp;J844,IF(J844=K844+1,Eingabe!$B$6&amp;"-"&amp;INDEX(Eingabe!$C$9:$C$18,I844)&amp;"-Vorstand  ·  eigenes WLAN",IF(J844=K844+2,Eingabe!$B$6&amp;"-"&amp;INDEX(Eingabe!$C$9:$C$18,I844)&amp;"-Gäste  ·  Voucher",IF(J844=K844+3,"Kabel  ·  Access Point y = .(50+y), Mast-Switch x = .(10+x)","")))))</f>
        <v/>
      </c>
      <c r="I844" s="0" t="str">
        <f aca="false">IF(839&lt;=(Eingabe!$P$18+Eingabe!$Q$18-1),MATCH(839,Eingabe!$P$9:$P$18,1),"")</f>
        <v/>
      </c>
      <c r="J844" s="0" t="str">
        <f aca="false">IF(I844="","",839-INDEX(Eingabe!$P$9:$P$18,I844))</f>
        <v/>
      </c>
      <c r="K844" s="0" t="str">
        <f aca="false">IF(I844="","",INDEX(Eingabe!$E$9:$E$18,I844))</f>
        <v/>
      </c>
    </row>
    <row r="845" customFormat="false" ht="15" hidden="false" customHeight="false" outlineLevel="0" collapsed="false">
      <c r="A845" s="0" t="str">
        <f aca="false">IF(I845="","",IF(J845=0,"Sparte "&amp;I845&amp;": "&amp;INDEX(Eingabe!$B$9:$B$18,I845)&amp;"  (Sparten-ID "&amp;INDEX(Eingabe!$D$9:$D$18,I845)&amp;", "&amp;K845&amp;" Parzellen)",IF(J845&lt;=K845,"   Parzelle "&amp;J845,IF(J845=K845+1,"   Vorstand",IF(J845=K845+2,"   Gäste",IF(J845=K845+3,"   Technik (Switches, Access Points)",""))))))</f>
        <v/>
      </c>
      <c r="B845" s="0" t="str">
        <f aca="false">IF(I845="","",IF(AND(J845&gt;=1,J845&lt;=K845+3),IF(J845&lt;=K845,IF(J845&lt;=99,IF((INDEX(Eingabe!$G$9:$G$18,I845))&lt;=9,1000+(INDEX(Eingabe!$G$9:$G$18,I845))*100,3000)+J845,IF((INDEX(Eingabe!$G$9:$G$18,I845)+1)&lt;=9,1000+(INDEX(Eingabe!$G$9:$G$18,I845)+1)*100,3000)+J845-100),IF(J845=K845+1,2000+INDEX(Eingabe!$G$9:$G$18,I845)*10+1,IF(J845=K845+2,2000+INDEX(Eingabe!$G$9:$G$18,I845)*10+2,2000+INDEX(Eingabe!$G$9:$G$18,I845)*10+9))),""))</f>
        <v/>
      </c>
      <c r="C845" s="0" t="str">
        <f aca="false">IF(I845="","",IF(AND(J845&gt;=1,J845&lt;=K845+3),"10."&amp;INDEX(Eingabe!$D$9:$D$18,I845)&amp;"."&amp;IF(J845&lt;=K845,J845,IF(J845=K845+1,200,IF(J845=K845+2,201,250)))&amp;".0/24",""))</f>
        <v/>
      </c>
      <c r="D845" s="0" t="str">
        <f aca="false">IF(I845="","",IF(AND(J845&gt;=1,J845&lt;=K845+3),"255.255.255.0",""))</f>
        <v/>
      </c>
      <c r="E845" s="0" t="str">
        <f aca="false">IF(I845="","",IF(AND(J845&gt;=1,J845&lt;=K845+3),"10."&amp;INDEX(Eingabe!$D$9:$D$18,I845)&amp;"."&amp;IF(J845&lt;=K845,J845,IF(J845=K845+1,200,IF(J845=K845+2,201,250)))&amp;".1",""))</f>
        <v/>
      </c>
      <c r="F845" s="0" t="str">
        <f aca="false">IF(I845="","",IF(AND(J845&gt;=1,J845&lt;=K845+3),"10."&amp;INDEX(Eingabe!$D$9:$D$18,I845)&amp;"."&amp;IF(J845&lt;=K845,J845,IF(J845=K845+1,200,IF(J845=K845+2,201,250)))&amp;".10 – 10."&amp;INDEX(Eingabe!$D$9:$D$18,I845)&amp;"."&amp;IF(J845&lt;=K845,J845,IF(J845=K845+1,200,IF(J845=K845+2,201,250)))&amp;".250",""))</f>
        <v/>
      </c>
      <c r="G845" s="0" t="str">
        <f aca="false">IF(I845="","",IF(AND(J845&gt;=1,J845&lt;=K845),Eingabe!$B$6&amp;"-"&amp;INDEX(Eingabe!$C$9:$C$18,I845)&amp;"-Pächter  ·  Passwort Parzelle "&amp;J845,IF(J845=K845+1,Eingabe!$B$6&amp;"-"&amp;INDEX(Eingabe!$C$9:$C$18,I845)&amp;"-Vorstand  ·  eigenes WLAN",IF(J845=K845+2,Eingabe!$B$6&amp;"-"&amp;INDEX(Eingabe!$C$9:$C$18,I845)&amp;"-Gäste  ·  Voucher",IF(J845=K845+3,"Kabel  ·  Access Point y = .(50+y), Mast-Switch x = .(10+x)","")))))</f>
        <v/>
      </c>
      <c r="I845" s="0" t="str">
        <f aca="false">IF(840&lt;=(Eingabe!$P$18+Eingabe!$Q$18-1),MATCH(840,Eingabe!$P$9:$P$18,1),"")</f>
        <v/>
      </c>
      <c r="J845" s="0" t="str">
        <f aca="false">IF(I845="","",840-INDEX(Eingabe!$P$9:$P$18,I845))</f>
        <v/>
      </c>
      <c r="K845" s="0" t="str">
        <f aca="false">IF(I845="","",INDEX(Eingabe!$E$9:$E$18,I845))</f>
        <v/>
      </c>
    </row>
    <row r="846" customFormat="false" ht="15" hidden="false" customHeight="false" outlineLevel="0" collapsed="false">
      <c r="A846" s="0" t="str">
        <f aca="false">IF(I846="","",IF(J846=0,"Sparte "&amp;I846&amp;": "&amp;INDEX(Eingabe!$B$9:$B$18,I846)&amp;"  (Sparten-ID "&amp;INDEX(Eingabe!$D$9:$D$18,I846)&amp;", "&amp;K846&amp;" Parzellen)",IF(J846&lt;=K846,"   Parzelle "&amp;J846,IF(J846=K846+1,"   Vorstand",IF(J846=K846+2,"   Gäste",IF(J846=K846+3,"   Technik (Switches, Access Points)",""))))))</f>
        <v/>
      </c>
      <c r="B846" s="0" t="str">
        <f aca="false">IF(I846="","",IF(AND(J846&gt;=1,J846&lt;=K846+3),IF(J846&lt;=K846,IF(J846&lt;=99,IF((INDEX(Eingabe!$G$9:$G$18,I846))&lt;=9,1000+(INDEX(Eingabe!$G$9:$G$18,I846))*100,3000)+J846,IF((INDEX(Eingabe!$G$9:$G$18,I846)+1)&lt;=9,1000+(INDEX(Eingabe!$G$9:$G$18,I846)+1)*100,3000)+J846-100),IF(J846=K846+1,2000+INDEX(Eingabe!$G$9:$G$18,I846)*10+1,IF(J846=K846+2,2000+INDEX(Eingabe!$G$9:$G$18,I846)*10+2,2000+INDEX(Eingabe!$G$9:$G$18,I846)*10+9))),""))</f>
        <v/>
      </c>
      <c r="C846" s="0" t="str">
        <f aca="false">IF(I846="","",IF(AND(J846&gt;=1,J846&lt;=K846+3),"10."&amp;INDEX(Eingabe!$D$9:$D$18,I846)&amp;"."&amp;IF(J846&lt;=K846,J846,IF(J846=K846+1,200,IF(J846=K846+2,201,250)))&amp;".0/24",""))</f>
        <v/>
      </c>
      <c r="D846" s="0" t="str">
        <f aca="false">IF(I846="","",IF(AND(J846&gt;=1,J846&lt;=K846+3),"255.255.255.0",""))</f>
        <v/>
      </c>
      <c r="E846" s="0" t="str">
        <f aca="false">IF(I846="","",IF(AND(J846&gt;=1,J846&lt;=K846+3),"10."&amp;INDEX(Eingabe!$D$9:$D$18,I846)&amp;"."&amp;IF(J846&lt;=K846,J846,IF(J846=K846+1,200,IF(J846=K846+2,201,250)))&amp;".1",""))</f>
        <v/>
      </c>
      <c r="F846" s="0" t="str">
        <f aca="false">IF(I846="","",IF(AND(J846&gt;=1,J846&lt;=K846+3),"10."&amp;INDEX(Eingabe!$D$9:$D$18,I846)&amp;"."&amp;IF(J846&lt;=K846,J846,IF(J846=K846+1,200,IF(J846=K846+2,201,250)))&amp;".10 – 10."&amp;INDEX(Eingabe!$D$9:$D$18,I846)&amp;"."&amp;IF(J846&lt;=K846,J846,IF(J846=K846+1,200,IF(J846=K846+2,201,250)))&amp;".250",""))</f>
        <v/>
      </c>
      <c r="G846" s="0" t="str">
        <f aca="false">IF(I846="","",IF(AND(J846&gt;=1,J846&lt;=K846),Eingabe!$B$6&amp;"-"&amp;INDEX(Eingabe!$C$9:$C$18,I846)&amp;"-Pächter  ·  Passwort Parzelle "&amp;J846,IF(J846=K846+1,Eingabe!$B$6&amp;"-"&amp;INDEX(Eingabe!$C$9:$C$18,I846)&amp;"-Vorstand  ·  eigenes WLAN",IF(J846=K846+2,Eingabe!$B$6&amp;"-"&amp;INDEX(Eingabe!$C$9:$C$18,I846)&amp;"-Gäste  ·  Voucher",IF(J846=K846+3,"Kabel  ·  Access Point y = .(50+y), Mast-Switch x = .(10+x)","")))))</f>
        <v/>
      </c>
      <c r="I846" s="0" t="str">
        <f aca="false">IF(841&lt;=(Eingabe!$P$18+Eingabe!$Q$18-1),MATCH(841,Eingabe!$P$9:$P$18,1),"")</f>
        <v/>
      </c>
      <c r="J846" s="0" t="str">
        <f aca="false">IF(I846="","",841-INDEX(Eingabe!$P$9:$P$18,I846))</f>
        <v/>
      </c>
      <c r="K846" s="0" t="str">
        <f aca="false">IF(I846="","",INDEX(Eingabe!$E$9:$E$18,I846))</f>
        <v/>
      </c>
    </row>
    <row r="847" customFormat="false" ht="15" hidden="false" customHeight="false" outlineLevel="0" collapsed="false">
      <c r="A847" s="0" t="str">
        <f aca="false">IF(I847="","",IF(J847=0,"Sparte "&amp;I847&amp;": "&amp;INDEX(Eingabe!$B$9:$B$18,I847)&amp;"  (Sparten-ID "&amp;INDEX(Eingabe!$D$9:$D$18,I847)&amp;", "&amp;K847&amp;" Parzellen)",IF(J847&lt;=K847,"   Parzelle "&amp;J847,IF(J847=K847+1,"   Vorstand",IF(J847=K847+2,"   Gäste",IF(J847=K847+3,"   Technik (Switches, Access Points)",""))))))</f>
        <v/>
      </c>
      <c r="B847" s="0" t="str">
        <f aca="false">IF(I847="","",IF(AND(J847&gt;=1,J847&lt;=K847+3),IF(J847&lt;=K847,IF(J847&lt;=99,IF((INDEX(Eingabe!$G$9:$G$18,I847))&lt;=9,1000+(INDEX(Eingabe!$G$9:$G$18,I847))*100,3000)+J847,IF((INDEX(Eingabe!$G$9:$G$18,I847)+1)&lt;=9,1000+(INDEX(Eingabe!$G$9:$G$18,I847)+1)*100,3000)+J847-100),IF(J847=K847+1,2000+INDEX(Eingabe!$G$9:$G$18,I847)*10+1,IF(J847=K847+2,2000+INDEX(Eingabe!$G$9:$G$18,I847)*10+2,2000+INDEX(Eingabe!$G$9:$G$18,I847)*10+9))),""))</f>
        <v/>
      </c>
      <c r="C847" s="0" t="str">
        <f aca="false">IF(I847="","",IF(AND(J847&gt;=1,J847&lt;=K847+3),"10."&amp;INDEX(Eingabe!$D$9:$D$18,I847)&amp;"."&amp;IF(J847&lt;=K847,J847,IF(J847=K847+1,200,IF(J847=K847+2,201,250)))&amp;".0/24",""))</f>
        <v/>
      </c>
      <c r="D847" s="0" t="str">
        <f aca="false">IF(I847="","",IF(AND(J847&gt;=1,J847&lt;=K847+3),"255.255.255.0",""))</f>
        <v/>
      </c>
      <c r="E847" s="0" t="str">
        <f aca="false">IF(I847="","",IF(AND(J847&gt;=1,J847&lt;=K847+3),"10."&amp;INDEX(Eingabe!$D$9:$D$18,I847)&amp;"."&amp;IF(J847&lt;=K847,J847,IF(J847=K847+1,200,IF(J847=K847+2,201,250)))&amp;".1",""))</f>
        <v/>
      </c>
      <c r="F847" s="0" t="str">
        <f aca="false">IF(I847="","",IF(AND(J847&gt;=1,J847&lt;=K847+3),"10."&amp;INDEX(Eingabe!$D$9:$D$18,I847)&amp;"."&amp;IF(J847&lt;=K847,J847,IF(J847=K847+1,200,IF(J847=K847+2,201,250)))&amp;".10 – 10."&amp;INDEX(Eingabe!$D$9:$D$18,I847)&amp;"."&amp;IF(J847&lt;=K847,J847,IF(J847=K847+1,200,IF(J847=K847+2,201,250)))&amp;".250",""))</f>
        <v/>
      </c>
      <c r="G847" s="0" t="str">
        <f aca="false">IF(I847="","",IF(AND(J847&gt;=1,J847&lt;=K847),Eingabe!$B$6&amp;"-"&amp;INDEX(Eingabe!$C$9:$C$18,I847)&amp;"-Pächter  ·  Passwort Parzelle "&amp;J847,IF(J847=K847+1,Eingabe!$B$6&amp;"-"&amp;INDEX(Eingabe!$C$9:$C$18,I847)&amp;"-Vorstand  ·  eigenes WLAN",IF(J847=K847+2,Eingabe!$B$6&amp;"-"&amp;INDEX(Eingabe!$C$9:$C$18,I847)&amp;"-Gäste  ·  Voucher",IF(J847=K847+3,"Kabel  ·  Access Point y = .(50+y), Mast-Switch x = .(10+x)","")))))</f>
        <v/>
      </c>
      <c r="I847" s="0" t="str">
        <f aca="false">IF(842&lt;=(Eingabe!$P$18+Eingabe!$Q$18-1),MATCH(842,Eingabe!$P$9:$P$18,1),"")</f>
        <v/>
      </c>
      <c r="J847" s="0" t="str">
        <f aca="false">IF(I847="","",842-INDEX(Eingabe!$P$9:$P$18,I847))</f>
        <v/>
      </c>
      <c r="K847" s="0" t="str">
        <f aca="false">IF(I847="","",INDEX(Eingabe!$E$9:$E$18,I847))</f>
        <v/>
      </c>
    </row>
    <row r="848" customFormat="false" ht="15" hidden="false" customHeight="false" outlineLevel="0" collapsed="false">
      <c r="A848" s="0" t="str">
        <f aca="false">IF(I848="","",IF(J848=0,"Sparte "&amp;I848&amp;": "&amp;INDEX(Eingabe!$B$9:$B$18,I848)&amp;"  (Sparten-ID "&amp;INDEX(Eingabe!$D$9:$D$18,I848)&amp;", "&amp;K848&amp;" Parzellen)",IF(J848&lt;=K848,"   Parzelle "&amp;J848,IF(J848=K848+1,"   Vorstand",IF(J848=K848+2,"   Gäste",IF(J848=K848+3,"   Technik (Switches, Access Points)",""))))))</f>
        <v/>
      </c>
      <c r="B848" s="0" t="str">
        <f aca="false">IF(I848="","",IF(AND(J848&gt;=1,J848&lt;=K848+3),IF(J848&lt;=K848,IF(J848&lt;=99,IF((INDEX(Eingabe!$G$9:$G$18,I848))&lt;=9,1000+(INDEX(Eingabe!$G$9:$G$18,I848))*100,3000)+J848,IF((INDEX(Eingabe!$G$9:$G$18,I848)+1)&lt;=9,1000+(INDEX(Eingabe!$G$9:$G$18,I848)+1)*100,3000)+J848-100),IF(J848=K848+1,2000+INDEX(Eingabe!$G$9:$G$18,I848)*10+1,IF(J848=K848+2,2000+INDEX(Eingabe!$G$9:$G$18,I848)*10+2,2000+INDEX(Eingabe!$G$9:$G$18,I848)*10+9))),""))</f>
        <v/>
      </c>
      <c r="C848" s="0" t="str">
        <f aca="false">IF(I848="","",IF(AND(J848&gt;=1,J848&lt;=K848+3),"10."&amp;INDEX(Eingabe!$D$9:$D$18,I848)&amp;"."&amp;IF(J848&lt;=K848,J848,IF(J848=K848+1,200,IF(J848=K848+2,201,250)))&amp;".0/24",""))</f>
        <v/>
      </c>
      <c r="D848" s="0" t="str">
        <f aca="false">IF(I848="","",IF(AND(J848&gt;=1,J848&lt;=K848+3),"255.255.255.0",""))</f>
        <v/>
      </c>
      <c r="E848" s="0" t="str">
        <f aca="false">IF(I848="","",IF(AND(J848&gt;=1,J848&lt;=K848+3),"10."&amp;INDEX(Eingabe!$D$9:$D$18,I848)&amp;"."&amp;IF(J848&lt;=K848,J848,IF(J848=K848+1,200,IF(J848=K848+2,201,250)))&amp;".1",""))</f>
        <v/>
      </c>
      <c r="F848" s="0" t="str">
        <f aca="false">IF(I848="","",IF(AND(J848&gt;=1,J848&lt;=K848+3),"10."&amp;INDEX(Eingabe!$D$9:$D$18,I848)&amp;"."&amp;IF(J848&lt;=K848,J848,IF(J848=K848+1,200,IF(J848=K848+2,201,250)))&amp;".10 – 10."&amp;INDEX(Eingabe!$D$9:$D$18,I848)&amp;"."&amp;IF(J848&lt;=K848,J848,IF(J848=K848+1,200,IF(J848=K848+2,201,250)))&amp;".250",""))</f>
        <v/>
      </c>
      <c r="G848" s="0" t="str">
        <f aca="false">IF(I848="","",IF(AND(J848&gt;=1,J848&lt;=K848),Eingabe!$B$6&amp;"-"&amp;INDEX(Eingabe!$C$9:$C$18,I848)&amp;"-Pächter  ·  Passwort Parzelle "&amp;J848,IF(J848=K848+1,Eingabe!$B$6&amp;"-"&amp;INDEX(Eingabe!$C$9:$C$18,I848)&amp;"-Vorstand  ·  eigenes WLAN",IF(J848=K848+2,Eingabe!$B$6&amp;"-"&amp;INDEX(Eingabe!$C$9:$C$18,I848)&amp;"-Gäste  ·  Voucher",IF(J848=K848+3,"Kabel  ·  Access Point y = .(50+y), Mast-Switch x = .(10+x)","")))))</f>
        <v/>
      </c>
      <c r="I848" s="0" t="str">
        <f aca="false">IF(843&lt;=(Eingabe!$P$18+Eingabe!$Q$18-1),MATCH(843,Eingabe!$P$9:$P$18,1),"")</f>
        <v/>
      </c>
      <c r="J848" s="0" t="str">
        <f aca="false">IF(I848="","",843-INDEX(Eingabe!$P$9:$P$18,I848))</f>
        <v/>
      </c>
      <c r="K848" s="0" t="str">
        <f aca="false">IF(I848="","",INDEX(Eingabe!$E$9:$E$18,I848))</f>
        <v/>
      </c>
    </row>
    <row r="849" customFormat="false" ht="15" hidden="false" customHeight="false" outlineLevel="0" collapsed="false">
      <c r="A849" s="0" t="str">
        <f aca="false">IF(I849="","",IF(J849=0,"Sparte "&amp;I849&amp;": "&amp;INDEX(Eingabe!$B$9:$B$18,I849)&amp;"  (Sparten-ID "&amp;INDEX(Eingabe!$D$9:$D$18,I849)&amp;", "&amp;K849&amp;" Parzellen)",IF(J849&lt;=K849,"   Parzelle "&amp;J849,IF(J849=K849+1,"   Vorstand",IF(J849=K849+2,"   Gäste",IF(J849=K849+3,"   Technik (Switches, Access Points)",""))))))</f>
        <v/>
      </c>
      <c r="B849" s="0" t="str">
        <f aca="false">IF(I849="","",IF(AND(J849&gt;=1,J849&lt;=K849+3),IF(J849&lt;=K849,IF(J849&lt;=99,IF((INDEX(Eingabe!$G$9:$G$18,I849))&lt;=9,1000+(INDEX(Eingabe!$G$9:$G$18,I849))*100,3000)+J849,IF((INDEX(Eingabe!$G$9:$G$18,I849)+1)&lt;=9,1000+(INDEX(Eingabe!$G$9:$G$18,I849)+1)*100,3000)+J849-100),IF(J849=K849+1,2000+INDEX(Eingabe!$G$9:$G$18,I849)*10+1,IF(J849=K849+2,2000+INDEX(Eingabe!$G$9:$G$18,I849)*10+2,2000+INDEX(Eingabe!$G$9:$G$18,I849)*10+9))),""))</f>
        <v/>
      </c>
      <c r="C849" s="0" t="str">
        <f aca="false">IF(I849="","",IF(AND(J849&gt;=1,J849&lt;=K849+3),"10."&amp;INDEX(Eingabe!$D$9:$D$18,I849)&amp;"."&amp;IF(J849&lt;=K849,J849,IF(J849=K849+1,200,IF(J849=K849+2,201,250)))&amp;".0/24",""))</f>
        <v/>
      </c>
      <c r="D849" s="0" t="str">
        <f aca="false">IF(I849="","",IF(AND(J849&gt;=1,J849&lt;=K849+3),"255.255.255.0",""))</f>
        <v/>
      </c>
      <c r="E849" s="0" t="str">
        <f aca="false">IF(I849="","",IF(AND(J849&gt;=1,J849&lt;=K849+3),"10."&amp;INDEX(Eingabe!$D$9:$D$18,I849)&amp;"."&amp;IF(J849&lt;=K849,J849,IF(J849=K849+1,200,IF(J849=K849+2,201,250)))&amp;".1",""))</f>
        <v/>
      </c>
      <c r="F849" s="0" t="str">
        <f aca="false">IF(I849="","",IF(AND(J849&gt;=1,J849&lt;=K849+3),"10."&amp;INDEX(Eingabe!$D$9:$D$18,I849)&amp;"."&amp;IF(J849&lt;=K849,J849,IF(J849=K849+1,200,IF(J849=K849+2,201,250)))&amp;".10 – 10."&amp;INDEX(Eingabe!$D$9:$D$18,I849)&amp;"."&amp;IF(J849&lt;=K849,J849,IF(J849=K849+1,200,IF(J849=K849+2,201,250)))&amp;".250",""))</f>
        <v/>
      </c>
      <c r="G849" s="0" t="str">
        <f aca="false">IF(I849="","",IF(AND(J849&gt;=1,J849&lt;=K849),Eingabe!$B$6&amp;"-"&amp;INDEX(Eingabe!$C$9:$C$18,I849)&amp;"-Pächter  ·  Passwort Parzelle "&amp;J849,IF(J849=K849+1,Eingabe!$B$6&amp;"-"&amp;INDEX(Eingabe!$C$9:$C$18,I849)&amp;"-Vorstand  ·  eigenes WLAN",IF(J849=K849+2,Eingabe!$B$6&amp;"-"&amp;INDEX(Eingabe!$C$9:$C$18,I849)&amp;"-Gäste  ·  Voucher",IF(J849=K849+3,"Kabel  ·  Access Point y = .(50+y), Mast-Switch x = .(10+x)","")))))</f>
        <v/>
      </c>
      <c r="I849" s="0" t="str">
        <f aca="false">IF(844&lt;=(Eingabe!$P$18+Eingabe!$Q$18-1),MATCH(844,Eingabe!$P$9:$P$18,1),"")</f>
        <v/>
      </c>
      <c r="J849" s="0" t="str">
        <f aca="false">IF(I849="","",844-INDEX(Eingabe!$P$9:$P$18,I849))</f>
        <v/>
      </c>
      <c r="K849" s="0" t="str">
        <f aca="false">IF(I849="","",INDEX(Eingabe!$E$9:$E$18,I849))</f>
        <v/>
      </c>
    </row>
    <row r="850" customFormat="false" ht="15" hidden="false" customHeight="false" outlineLevel="0" collapsed="false">
      <c r="A850" s="0" t="str">
        <f aca="false">IF(I850="","",IF(J850=0,"Sparte "&amp;I850&amp;": "&amp;INDEX(Eingabe!$B$9:$B$18,I850)&amp;"  (Sparten-ID "&amp;INDEX(Eingabe!$D$9:$D$18,I850)&amp;", "&amp;K850&amp;" Parzellen)",IF(J850&lt;=K850,"   Parzelle "&amp;J850,IF(J850=K850+1,"   Vorstand",IF(J850=K850+2,"   Gäste",IF(J850=K850+3,"   Technik (Switches, Access Points)",""))))))</f>
        <v/>
      </c>
      <c r="B850" s="0" t="str">
        <f aca="false">IF(I850="","",IF(AND(J850&gt;=1,J850&lt;=K850+3),IF(J850&lt;=K850,IF(J850&lt;=99,IF((INDEX(Eingabe!$G$9:$G$18,I850))&lt;=9,1000+(INDEX(Eingabe!$G$9:$G$18,I850))*100,3000)+J850,IF((INDEX(Eingabe!$G$9:$G$18,I850)+1)&lt;=9,1000+(INDEX(Eingabe!$G$9:$G$18,I850)+1)*100,3000)+J850-100),IF(J850=K850+1,2000+INDEX(Eingabe!$G$9:$G$18,I850)*10+1,IF(J850=K850+2,2000+INDEX(Eingabe!$G$9:$G$18,I850)*10+2,2000+INDEX(Eingabe!$G$9:$G$18,I850)*10+9))),""))</f>
        <v/>
      </c>
      <c r="C850" s="0" t="str">
        <f aca="false">IF(I850="","",IF(AND(J850&gt;=1,J850&lt;=K850+3),"10."&amp;INDEX(Eingabe!$D$9:$D$18,I850)&amp;"."&amp;IF(J850&lt;=K850,J850,IF(J850=K850+1,200,IF(J850=K850+2,201,250)))&amp;".0/24",""))</f>
        <v/>
      </c>
      <c r="D850" s="0" t="str">
        <f aca="false">IF(I850="","",IF(AND(J850&gt;=1,J850&lt;=K850+3),"255.255.255.0",""))</f>
        <v/>
      </c>
      <c r="E850" s="0" t="str">
        <f aca="false">IF(I850="","",IF(AND(J850&gt;=1,J850&lt;=K850+3),"10."&amp;INDEX(Eingabe!$D$9:$D$18,I850)&amp;"."&amp;IF(J850&lt;=K850,J850,IF(J850=K850+1,200,IF(J850=K850+2,201,250)))&amp;".1",""))</f>
        <v/>
      </c>
      <c r="F850" s="0" t="str">
        <f aca="false">IF(I850="","",IF(AND(J850&gt;=1,J850&lt;=K850+3),"10."&amp;INDEX(Eingabe!$D$9:$D$18,I850)&amp;"."&amp;IF(J850&lt;=K850,J850,IF(J850=K850+1,200,IF(J850=K850+2,201,250)))&amp;".10 – 10."&amp;INDEX(Eingabe!$D$9:$D$18,I850)&amp;"."&amp;IF(J850&lt;=K850,J850,IF(J850=K850+1,200,IF(J850=K850+2,201,250)))&amp;".250",""))</f>
        <v/>
      </c>
      <c r="G850" s="0" t="str">
        <f aca="false">IF(I850="","",IF(AND(J850&gt;=1,J850&lt;=K850),Eingabe!$B$6&amp;"-"&amp;INDEX(Eingabe!$C$9:$C$18,I850)&amp;"-Pächter  ·  Passwort Parzelle "&amp;J850,IF(J850=K850+1,Eingabe!$B$6&amp;"-"&amp;INDEX(Eingabe!$C$9:$C$18,I850)&amp;"-Vorstand  ·  eigenes WLAN",IF(J850=K850+2,Eingabe!$B$6&amp;"-"&amp;INDEX(Eingabe!$C$9:$C$18,I850)&amp;"-Gäste  ·  Voucher",IF(J850=K850+3,"Kabel  ·  Access Point y = .(50+y), Mast-Switch x = .(10+x)","")))))</f>
        <v/>
      </c>
      <c r="I850" s="0" t="str">
        <f aca="false">IF(845&lt;=(Eingabe!$P$18+Eingabe!$Q$18-1),MATCH(845,Eingabe!$P$9:$P$18,1),"")</f>
        <v/>
      </c>
      <c r="J850" s="0" t="str">
        <f aca="false">IF(I850="","",845-INDEX(Eingabe!$P$9:$P$18,I850))</f>
        <v/>
      </c>
      <c r="K850" s="0" t="str">
        <f aca="false">IF(I850="","",INDEX(Eingabe!$E$9:$E$18,I850))</f>
        <v/>
      </c>
    </row>
    <row r="851" customFormat="false" ht="15" hidden="false" customHeight="false" outlineLevel="0" collapsed="false">
      <c r="A851" s="0" t="str">
        <f aca="false">IF(I851="","",IF(J851=0,"Sparte "&amp;I851&amp;": "&amp;INDEX(Eingabe!$B$9:$B$18,I851)&amp;"  (Sparten-ID "&amp;INDEX(Eingabe!$D$9:$D$18,I851)&amp;", "&amp;K851&amp;" Parzellen)",IF(J851&lt;=K851,"   Parzelle "&amp;J851,IF(J851=K851+1,"   Vorstand",IF(J851=K851+2,"   Gäste",IF(J851=K851+3,"   Technik (Switches, Access Points)",""))))))</f>
        <v/>
      </c>
      <c r="B851" s="0" t="str">
        <f aca="false">IF(I851="","",IF(AND(J851&gt;=1,J851&lt;=K851+3),IF(J851&lt;=K851,IF(J851&lt;=99,IF((INDEX(Eingabe!$G$9:$G$18,I851))&lt;=9,1000+(INDEX(Eingabe!$G$9:$G$18,I851))*100,3000)+J851,IF((INDEX(Eingabe!$G$9:$G$18,I851)+1)&lt;=9,1000+(INDEX(Eingabe!$G$9:$G$18,I851)+1)*100,3000)+J851-100),IF(J851=K851+1,2000+INDEX(Eingabe!$G$9:$G$18,I851)*10+1,IF(J851=K851+2,2000+INDEX(Eingabe!$G$9:$G$18,I851)*10+2,2000+INDEX(Eingabe!$G$9:$G$18,I851)*10+9))),""))</f>
        <v/>
      </c>
      <c r="C851" s="0" t="str">
        <f aca="false">IF(I851="","",IF(AND(J851&gt;=1,J851&lt;=K851+3),"10."&amp;INDEX(Eingabe!$D$9:$D$18,I851)&amp;"."&amp;IF(J851&lt;=K851,J851,IF(J851=K851+1,200,IF(J851=K851+2,201,250)))&amp;".0/24",""))</f>
        <v/>
      </c>
      <c r="D851" s="0" t="str">
        <f aca="false">IF(I851="","",IF(AND(J851&gt;=1,J851&lt;=K851+3),"255.255.255.0",""))</f>
        <v/>
      </c>
      <c r="E851" s="0" t="str">
        <f aca="false">IF(I851="","",IF(AND(J851&gt;=1,J851&lt;=K851+3),"10."&amp;INDEX(Eingabe!$D$9:$D$18,I851)&amp;"."&amp;IF(J851&lt;=K851,J851,IF(J851=K851+1,200,IF(J851=K851+2,201,250)))&amp;".1",""))</f>
        <v/>
      </c>
      <c r="F851" s="0" t="str">
        <f aca="false">IF(I851="","",IF(AND(J851&gt;=1,J851&lt;=K851+3),"10."&amp;INDEX(Eingabe!$D$9:$D$18,I851)&amp;"."&amp;IF(J851&lt;=K851,J851,IF(J851=K851+1,200,IF(J851=K851+2,201,250)))&amp;".10 – 10."&amp;INDEX(Eingabe!$D$9:$D$18,I851)&amp;"."&amp;IF(J851&lt;=K851,J851,IF(J851=K851+1,200,IF(J851=K851+2,201,250)))&amp;".250",""))</f>
        <v/>
      </c>
      <c r="G851" s="0" t="str">
        <f aca="false">IF(I851="","",IF(AND(J851&gt;=1,J851&lt;=K851),Eingabe!$B$6&amp;"-"&amp;INDEX(Eingabe!$C$9:$C$18,I851)&amp;"-Pächter  ·  Passwort Parzelle "&amp;J851,IF(J851=K851+1,Eingabe!$B$6&amp;"-"&amp;INDEX(Eingabe!$C$9:$C$18,I851)&amp;"-Vorstand  ·  eigenes WLAN",IF(J851=K851+2,Eingabe!$B$6&amp;"-"&amp;INDEX(Eingabe!$C$9:$C$18,I851)&amp;"-Gäste  ·  Voucher",IF(J851=K851+3,"Kabel  ·  Access Point y = .(50+y), Mast-Switch x = .(10+x)","")))))</f>
        <v/>
      </c>
      <c r="I851" s="0" t="str">
        <f aca="false">IF(846&lt;=(Eingabe!$P$18+Eingabe!$Q$18-1),MATCH(846,Eingabe!$P$9:$P$18,1),"")</f>
        <v/>
      </c>
      <c r="J851" s="0" t="str">
        <f aca="false">IF(I851="","",846-INDEX(Eingabe!$P$9:$P$18,I851))</f>
        <v/>
      </c>
      <c r="K851" s="0" t="str">
        <f aca="false">IF(I851="","",INDEX(Eingabe!$E$9:$E$18,I851))</f>
        <v/>
      </c>
    </row>
    <row r="852" customFormat="false" ht="15" hidden="false" customHeight="false" outlineLevel="0" collapsed="false">
      <c r="A852" s="0" t="str">
        <f aca="false">IF(I852="","",IF(J852=0,"Sparte "&amp;I852&amp;": "&amp;INDEX(Eingabe!$B$9:$B$18,I852)&amp;"  (Sparten-ID "&amp;INDEX(Eingabe!$D$9:$D$18,I852)&amp;", "&amp;K852&amp;" Parzellen)",IF(J852&lt;=K852,"   Parzelle "&amp;J852,IF(J852=K852+1,"   Vorstand",IF(J852=K852+2,"   Gäste",IF(J852=K852+3,"   Technik (Switches, Access Points)",""))))))</f>
        <v/>
      </c>
      <c r="B852" s="0" t="str">
        <f aca="false">IF(I852="","",IF(AND(J852&gt;=1,J852&lt;=K852+3),IF(J852&lt;=K852,IF(J852&lt;=99,IF((INDEX(Eingabe!$G$9:$G$18,I852))&lt;=9,1000+(INDEX(Eingabe!$G$9:$G$18,I852))*100,3000)+J852,IF((INDEX(Eingabe!$G$9:$G$18,I852)+1)&lt;=9,1000+(INDEX(Eingabe!$G$9:$G$18,I852)+1)*100,3000)+J852-100),IF(J852=K852+1,2000+INDEX(Eingabe!$G$9:$G$18,I852)*10+1,IF(J852=K852+2,2000+INDEX(Eingabe!$G$9:$G$18,I852)*10+2,2000+INDEX(Eingabe!$G$9:$G$18,I852)*10+9))),""))</f>
        <v/>
      </c>
      <c r="C852" s="0" t="str">
        <f aca="false">IF(I852="","",IF(AND(J852&gt;=1,J852&lt;=K852+3),"10."&amp;INDEX(Eingabe!$D$9:$D$18,I852)&amp;"."&amp;IF(J852&lt;=K852,J852,IF(J852=K852+1,200,IF(J852=K852+2,201,250)))&amp;".0/24",""))</f>
        <v/>
      </c>
      <c r="D852" s="0" t="str">
        <f aca="false">IF(I852="","",IF(AND(J852&gt;=1,J852&lt;=K852+3),"255.255.255.0",""))</f>
        <v/>
      </c>
      <c r="E852" s="0" t="str">
        <f aca="false">IF(I852="","",IF(AND(J852&gt;=1,J852&lt;=K852+3),"10."&amp;INDEX(Eingabe!$D$9:$D$18,I852)&amp;"."&amp;IF(J852&lt;=K852,J852,IF(J852=K852+1,200,IF(J852=K852+2,201,250)))&amp;".1",""))</f>
        <v/>
      </c>
      <c r="F852" s="0" t="str">
        <f aca="false">IF(I852="","",IF(AND(J852&gt;=1,J852&lt;=K852+3),"10."&amp;INDEX(Eingabe!$D$9:$D$18,I852)&amp;"."&amp;IF(J852&lt;=K852,J852,IF(J852=K852+1,200,IF(J852=K852+2,201,250)))&amp;".10 – 10."&amp;INDEX(Eingabe!$D$9:$D$18,I852)&amp;"."&amp;IF(J852&lt;=K852,J852,IF(J852=K852+1,200,IF(J852=K852+2,201,250)))&amp;".250",""))</f>
        <v/>
      </c>
      <c r="G852" s="0" t="str">
        <f aca="false">IF(I852="","",IF(AND(J852&gt;=1,J852&lt;=K852),Eingabe!$B$6&amp;"-"&amp;INDEX(Eingabe!$C$9:$C$18,I852)&amp;"-Pächter  ·  Passwort Parzelle "&amp;J852,IF(J852=K852+1,Eingabe!$B$6&amp;"-"&amp;INDEX(Eingabe!$C$9:$C$18,I852)&amp;"-Vorstand  ·  eigenes WLAN",IF(J852=K852+2,Eingabe!$B$6&amp;"-"&amp;INDEX(Eingabe!$C$9:$C$18,I852)&amp;"-Gäste  ·  Voucher",IF(J852=K852+3,"Kabel  ·  Access Point y = .(50+y), Mast-Switch x = .(10+x)","")))))</f>
        <v/>
      </c>
      <c r="I852" s="0" t="str">
        <f aca="false">IF(847&lt;=(Eingabe!$P$18+Eingabe!$Q$18-1),MATCH(847,Eingabe!$P$9:$P$18,1),"")</f>
        <v/>
      </c>
      <c r="J852" s="0" t="str">
        <f aca="false">IF(I852="","",847-INDEX(Eingabe!$P$9:$P$18,I852))</f>
        <v/>
      </c>
      <c r="K852" s="0" t="str">
        <f aca="false">IF(I852="","",INDEX(Eingabe!$E$9:$E$18,I852))</f>
        <v/>
      </c>
    </row>
    <row r="853" customFormat="false" ht="15" hidden="false" customHeight="false" outlineLevel="0" collapsed="false">
      <c r="A853" s="0" t="str">
        <f aca="false">IF(I853="","",IF(J853=0,"Sparte "&amp;I853&amp;": "&amp;INDEX(Eingabe!$B$9:$B$18,I853)&amp;"  (Sparten-ID "&amp;INDEX(Eingabe!$D$9:$D$18,I853)&amp;", "&amp;K853&amp;" Parzellen)",IF(J853&lt;=K853,"   Parzelle "&amp;J853,IF(J853=K853+1,"   Vorstand",IF(J853=K853+2,"   Gäste",IF(J853=K853+3,"   Technik (Switches, Access Points)",""))))))</f>
        <v/>
      </c>
      <c r="B853" s="0" t="str">
        <f aca="false">IF(I853="","",IF(AND(J853&gt;=1,J853&lt;=K853+3),IF(J853&lt;=K853,IF(J853&lt;=99,IF((INDEX(Eingabe!$G$9:$G$18,I853))&lt;=9,1000+(INDEX(Eingabe!$G$9:$G$18,I853))*100,3000)+J853,IF((INDEX(Eingabe!$G$9:$G$18,I853)+1)&lt;=9,1000+(INDEX(Eingabe!$G$9:$G$18,I853)+1)*100,3000)+J853-100),IF(J853=K853+1,2000+INDEX(Eingabe!$G$9:$G$18,I853)*10+1,IF(J853=K853+2,2000+INDEX(Eingabe!$G$9:$G$18,I853)*10+2,2000+INDEX(Eingabe!$G$9:$G$18,I853)*10+9))),""))</f>
        <v/>
      </c>
      <c r="C853" s="0" t="str">
        <f aca="false">IF(I853="","",IF(AND(J853&gt;=1,J853&lt;=K853+3),"10."&amp;INDEX(Eingabe!$D$9:$D$18,I853)&amp;"."&amp;IF(J853&lt;=K853,J853,IF(J853=K853+1,200,IF(J853=K853+2,201,250)))&amp;".0/24",""))</f>
        <v/>
      </c>
      <c r="D853" s="0" t="str">
        <f aca="false">IF(I853="","",IF(AND(J853&gt;=1,J853&lt;=K853+3),"255.255.255.0",""))</f>
        <v/>
      </c>
      <c r="E853" s="0" t="str">
        <f aca="false">IF(I853="","",IF(AND(J853&gt;=1,J853&lt;=K853+3),"10."&amp;INDEX(Eingabe!$D$9:$D$18,I853)&amp;"."&amp;IF(J853&lt;=K853,J853,IF(J853=K853+1,200,IF(J853=K853+2,201,250)))&amp;".1",""))</f>
        <v/>
      </c>
      <c r="F853" s="0" t="str">
        <f aca="false">IF(I853="","",IF(AND(J853&gt;=1,J853&lt;=K853+3),"10."&amp;INDEX(Eingabe!$D$9:$D$18,I853)&amp;"."&amp;IF(J853&lt;=K853,J853,IF(J853=K853+1,200,IF(J853=K853+2,201,250)))&amp;".10 – 10."&amp;INDEX(Eingabe!$D$9:$D$18,I853)&amp;"."&amp;IF(J853&lt;=K853,J853,IF(J853=K853+1,200,IF(J853=K853+2,201,250)))&amp;".250",""))</f>
        <v/>
      </c>
      <c r="G853" s="0" t="str">
        <f aca="false">IF(I853="","",IF(AND(J853&gt;=1,J853&lt;=K853),Eingabe!$B$6&amp;"-"&amp;INDEX(Eingabe!$C$9:$C$18,I853)&amp;"-Pächter  ·  Passwort Parzelle "&amp;J853,IF(J853=K853+1,Eingabe!$B$6&amp;"-"&amp;INDEX(Eingabe!$C$9:$C$18,I853)&amp;"-Vorstand  ·  eigenes WLAN",IF(J853=K853+2,Eingabe!$B$6&amp;"-"&amp;INDEX(Eingabe!$C$9:$C$18,I853)&amp;"-Gäste  ·  Voucher",IF(J853=K853+3,"Kabel  ·  Access Point y = .(50+y), Mast-Switch x = .(10+x)","")))))</f>
        <v/>
      </c>
      <c r="I853" s="0" t="str">
        <f aca="false">IF(848&lt;=(Eingabe!$P$18+Eingabe!$Q$18-1),MATCH(848,Eingabe!$P$9:$P$18,1),"")</f>
        <v/>
      </c>
      <c r="J853" s="0" t="str">
        <f aca="false">IF(I853="","",848-INDEX(Eingabe!$P$9:$P$18,I853))</f>
        <v/>
      </c>
      <c r="K853" s="0" t="str">
        <f aca="false">IF(I853="","",INDEX(Eingabe!$E$9:$E$18,I853))</f>
        <v/>
      </c>
    </row>
    <row r="854" customFormat="false" ht="15" hidden="false" customHeight="false" outlineLevel="0" collapsed="false">
      <c r="A854" s="0" t="str">
        <f aca="false">IF(I854="","",IF(J854=0,"Sparte "&amp;I854&amp;": "&amp;INDEX(Eingabe!$B$9:$B$18,I854)&amp;"  (Sparten-ID "&amp;INDEX(Eingabe!$D$9:$D$18,I854)&amp;", "&amp;K854&amp;" Parzellen)",IF(J854&lt;=K854,"   Parzelle "&amp;J854,IF(J854=K854+1,"   Vorstand",IF(J854=K854+2,"   Gäste",IF(J854=K854+3,"   Technik (Switches, Access Points)",""))))))</f>
        <v/>
      </c>
      <c r="B854" s="0" t="str">
        <f aca="false">IF(I854="","",IF(AND(J854&gt;=1,J854&lt;=K854+3),IF(J854&lt;=K854,IF(J854&lt;=99,IF((INDEX(Eingabe!$G$9:$G$18,I854))&lt;=9,1000+(INDEX(Eingabe!$G$9:$G$18,I854))*100,3000)+J854,IF((INDEX(Eingabe!$G$9:$G$18,I854)+1)&lt;=9,1000+(INDEX(Eingabe!$G$9:$G$18,I854)+1)*100,3000)+J854-100),IF(J854=K854+1,2000+INDEX(Eingabe!$G$9:$G$18,I854)*10+1,IF(J854=K854+2,2000+INDEX(Eingabe!$G$9:$G$18,I854)*10+2,2000+INDEX(Eingabe!$G$9:$G$18,I854)*10+9))),""))</f>
        <v/>
      </c>
      <c r="C854" s="0" t="str">
        <f aca="false">IF(I854="","",IF(AND(J854&gt;=1,J854&lt;=K854+3),"10."&amp;INDEX(Eingabe!$D$9:$D$18,I854)&amp;"."&amp;IF(J854&lt;=K854,J854,IF(J854=K854+1,200,IF(J854=K854+2,201,250)))&amp;".0/24",""))</f>
        <v/>
      </c>
      <c r="D854" s="0" t="str">
        <f aca="false">IF(I854="","",IF(AND(J854&gt;=1,J854&lt;=K854+3),"255.255.255.0",""))</f>
        <v/>
      </c>
      <c r="E854" s="0" t="str">
        <f aca="false">IF(I854="","",IF(AND(J854&gt;=1,J854&lt;=K854+3),"10."&amp;INDEX(Eingabe!$D$9:$D$18,I854)&amp;"."&amp;IF(J854&lt;=K854,J854,IF(J854=K854+1,200,IF(J854=K854+2,201,250)))&amp;".1",""))</f>
        <v/>
      </c>
      <c r="F854" s="0" t="str">
        <f aca="false">IF(I854="","",IF(AND(J854&gt;=1,J854&lt;=K854+3),"10."&amp;INDEX(Eingabe!$D$9:$D$18,I854)&amp;"."&amp;IF(J854&lt;=K854,J854,IF(J854=K854+1,200,IF(J854=K854+2,201,250)))&amp;".10 – 10."&amp;INDEX(Eingabe!$D$9:$D$18,I854)&amp;"."&amp;IF(J854&lt;=K854,J854,IF(J854=K854+1,200,IF(J854=K854+2,201,250)))&amp;".250",""))</f>
        <v/>
      </c>
      <c r="G854" s="0" t="str">
        <f aca="false">IF(I854="","",IF(AND(J854&gt;=1,J854&lt;=K854),Eingabe!$B$6&amp;"-"&amp;INDEX(Eingabe!$C$9:$C$18,I854)&amp;"-Pächter  ·  Passwort Parzelle "&amp;J854,IF(J854=K854+1,Eingabe!$B$6&amp;"-"&amp;INDEX(Eingabe!$C$9:$C$18,I854)&amp;"-Vorstand  ·  eigenes WLAN",IF(J854=K854+2,Eingabe!$B$6&amp;"-"&amp;INDEX(Eingabe!$C$9:$C$18,I854)&amp;"-Gäste  ·  Voucher",IF(J854=K854+3,"Kabel  ·  Access Point y = .(50+y), Mast-Switch x = .(10+x)","")))))</f>
        <v/>
      </c>
      <c r="I854" s="0" t="str">
        <f aca="false">IF(849&lt;=(Eingabe!$P$18+Eingabe!$Q$18-1),MATCH(849,Eingabe!$P$9:$P$18,1),"")</f>
        <v/>
      </c>
      <c r="J854" s="0" t="str">
        <f aca="false">IF(I854="","",849-INDEX(Eingabe!$P$9:$P$18,I854))</f>
        <v/>
      </c>
      <c r="K854" s="0" t="str">
        <f aca="false">IF(I854="","",INDEX(Eingabe!$E$9:$E$18,I854))</f>
        <v/>
      </c>
    </row>
    <row r="855" customFormat="false" ht="15" hidden="false" customHeight="false" outlineLevel="0" collapsed="false">
      <c r="A855" s="0" t="str">
        <f aca="false">IF(I855="","",IF(J855=0,"Sparte "&amp;I855&amp;": "&amp;INDEX(Eingabe!$B$9:$B$18,I855)&amp;"  (Sparten-ID "&amp;INDEX(Eingabe!$D$9:$D$18,I855)&amp;", "&amp;K855&amp;" Parzellen)",IF(J855&lt;=K855,"   Parzelle "&amp;J855,IF(J855=K855+1,"   Vorstand",IF(J855=K855+2,"   Gäste",IF(J855=K855+3,"   Technik (Switches, Access Points)",""))))))</f>
        <v/>
      </c>
      <c r="B855" s="0" t="str">
        <f aca="false">IF(I855="","",IF(AND(J855&gt;=1,J855&lt;=K855+3),IF(J855&lt;=K855,IF(J855&lt;=99,IF((INDEX(Eingabe!$G$9:$G$18,I855))&lt;=9,1000+(INDEX(Eingabe!$G$9:$G$18,I855))*100,3000)+J855,IF((INDEX(Eingabe!$G$9:$G$18,I855)+1)&lt;=9,1000+(INDEX(Eingabe!$G$9:$G$18,I855)+1)*100,3000)+J855-100),IF(J855=K855+1,2000+INDEX(Eingabe!$G$9:$G$18,I855)*10+1,IF(J855=K855+2,2000+INDEX(Eingabe!$G$9:$G$18,I855)*10+2,2000+INDEX(Eingabe!$G$9:$G$18,I855)*10+9))),""))</f>
        <v/>
      </c>
      <c r="C855" s="0" t="str">
        <f aca="false">IF(I855="","",IF(AND(J855&gt;=1,J855&lt;=K855+3),"10."&amp;INDEX(Eingabe!$D$9:$D$18,I855)&amp;"."&amp;IF(J855&lt;=K855,J855,IF(J855=K855+1,200,IF(J855=K855+2,201,250)))&amp;".0/24",""))</f>
        <v/>
      </c>
      <c r="D855" s="0" t="str">
        <f aca="false">IF(I855="","",IF(AND(J855&gt;=1,J855&lt;=K855+3),"255.255.255.0",""))</f>
        <v/>
      </c>
      <c r="E855" s="0" t="str">
        <f aca="false">IF(I855="","",IF(AND(J855&gt;=1,J855&lt;=K855+3),"10."&amp;INDEX(Eingabe!$D$9:$D$18,I855)&amp;"."&amp;IF(J855&lt;=K855,J855,IF(J855=K855+1,200,IF(J855=K855+2,201,250)))&amp;".1",""))</f>
        <v/>
      </c>
      <c r="F855" s="0" t="str">
        <f aca="false">IF(I855="","",IF(AND(J855&gt;=1,J855&lt;=K855+3),"10."&amp;INDEX(Eingabe!$D$9:$D$18,I855)&amp;"."&amp;IF(J855&lt;=K855,J855,IF(J855=K855+1,200,IF(J855=K855+2,201,250)))&amp;".10 – 10."&amp;INDEX(Eingabe!$D$9:$D$18,I855)&amp;"."&amp;IF(J855&lt;=K855,J855,IF(J855=K855+1,200,IF(J855=K855+2,201,250)))&amp;".250",""))</f>
        <v/>
      </c>
      <c r="G855" s="0" t="str">
        <f aca="false">IF(I855="","",IF(AND(J855&gt;=1,J855&lt;=K855),Eingabe!$B$6&amp;"-"&amp;INDEX(Eingabe!$C$9:$C$18,I855)&amp;"-Pächter  ·  Passwort Parzelle "&amp;J855,IF(J855=K855+1,Eingabe!$B$6&amp;"-"&amp;INDEX(Eingabe!$C$9:$C$18,I855)&amp;"-Vorstand  ·  eigenes WLAN",IF(J855=K855+2,Eingabe!$B$6&amp;"-"&amp;INDEX(Eingabe!$C$9:$C$18,I855)&amp;"-Gäste  ·  Voucher",IF(J855=K855+3,"Kabel  ·  Access Point y = .(50+y), Mast-Switch x = .(10+x)","")))))</f>
        <v/>
      </c>
      <c r="I855" s="0" t="str">
        <f aca="false">IF(850&lt;=(Eingabe!$P$18+Eingabe!$Q$18-1),MATCH(850,Eingabe!$P$9:$P$18,1),"")</f>
        <v/>
      </c>
      <c r="J855" s="0" t="str">
        <f aca="false">IF(I855="","",850-INDEX(Eingabe!$P$9:$P$18,I855))</f>
        <v/>
      </c>
      <c r="K855" s="0" t="str">
        <f aca="false">IF(I855="","",INDEX(Eingabe!$E$9:$E$18,I855))</f>
        <v/>
      </c>
    </row>
    <row r="856" customFormat="false" ht="15" hidden="false" customHeight="false" outlineLevel="0" collapsed="false">
      <c r="A856" s="0" t="str">
        <f aca="false">IF(I856="","",IF(J856=0,"Sparte "&amp;I856&amp;": "&amp;INDEX(Eingabe!$B$9:$B$18,I856)&amp;"  (Sparten-ID "&amp;INDEX(Eingabe!$D$9:$D$18,I856)&amp;", "&amp;K856&amp;" Parzellen)",IF(J856&lt;=K856,"   Parzelle "&amp;J856,IF(J856=K856+1,"   Vorstand",IF(J856=K856+2,"   Gäste",IF(J856=K856+3,"   Technik (Switches, Access Points)",""))))))</f>
        <v/>
      </c>
      <c r="B856" s="0" t="str">
        <f aca="false">IF(I856="","",IF(AND(J856&gt;=1,J856&lt;=K856+3),IF(J856&lt;=K856,IF(J856&lt;=99,IF((INDEX(Eingabe!$G$9:$G$18,I856))&lt;=9,1000+(INDEX(Eingabe!$G$9:$G$18,I856))*100,3000)+J856,IF((INDEX(Eingabe!$G$9:$G$18,I856)+1)&lt;=9,1000+(INDEX(Eingabe!$G$9:$G$18,I856)+1)*100,3000)+J856-100),IF(J856=K856+1,2000+INDEX(Eingabe!$G$9:$G$18,I856)*10+1,IF(J856=K856+2,2000+INDEX(Eingabe!$G$9:$G$18,I856)*10+2,2000+INDEX(Eingabe!$G$9:$G$18,I856)*10+9))),""))</f>
        <v/>
      </c>
      <c r="C856" s="0" t="str">
        <f aca="false">IF(I856="","",IF(AND(J856&gt;=1,J856&lt;=K856+3),"10."&amp;INDEX(Eingabe!$D$9:$D$18,I856)&amp;"."&amp;IF(J856&lt;=K856,J856,IF(J856=K856+1,200,IF(J856=K856+2,201,250)))&amp;".0/24",""))</f>
        <v/>
      </c>
      <c r="D856" s="0" t="str">
        <f aca="false">IF(I856="","",IF(AND(J856&gt;=1,J856&lt;=K856+3),"255.255.255.0",""))</f>
        <v/>
      </c>
      <c r="E856" s="0" t="str">
        <f aca="false">IF(I856="","",IF(AND(J856&gt;=1,J856&lt;=K856+3),"10."&amp;INDEX(Eingabe!$D$9:$D$18,I856)&amp;"."&amp;IF(J856&lt;=K856,J856,IF(J856=K856+1,200,IF(J856=K856+2,201,250)))&amp;".1",""))</f>
        <v/>
      </c>
      <c r="F856" s="0" t="str">
        <f aca="false">IF(I856="","",IF(AND(J856&gt;=1,J856&lt;=K856+3),"10."&amp;INDEX(Eingabe!$D$9:$D$18,I856)&amp;"."&amp;IF(J856&lt;=K856,J856,IF(J856=K856+1,200,IF(J856=K856+2,201,250)))&amp;".10 – 10."&amp;INDEX(Eingabe!$D$9:$D$18,I856)&amp;"."&amp;IF(J856&lt;=K856,J856,IF(J856=K856+1,200,IF(J856=K856+2,201,250)))&amp;".250",""))</f>
        <v/>
      </c>
      <c r="G856" s="0" t="str">
        <f aca="false">IF(I856="","",IF(AND(J856&gt;=1,J856&lt;=K856),Eingabe!$B$6&amp;"-"&amp;INDEX(Eingabe!$C$9:$C$18,I856)&amp;"-Pächter  ·  Passwort Parzelle "&amp;J856,IF(J856=K856+1,Eingabe!$B$6&amp;"-"&amp;INDEX(Eingabe!$C$9:$C$18,I856)&amp;"-Vorstand  ·  eigenes WLAN",IF(J856=K856+2,Eingabe!$B$6&amp;"-"&amp;INDEX(Eingabe!$C$9:$C$18,I856)&amp;"-Gäste  ·  Voucher",IF(J856=K856+3,"Kabel  ·  Access Point y = .(50+y), Mast-Switch x = .(10+x)","")))))</f>
        <v/>
      </c>
      <c r="I856" s="0" t="str">
        <f aca="false">IF(851&lt;=(Eingabe!$P$18+Eingabe!$Q$18-1),MATCH(851,Eingabe!$P$9:$P$18,1),"")</f>
        <v/>
      </c>
      <c r="J856" s="0" t="str">
        <f aca="false">IF(I856="","",851-INDEX(Eingabe!$P$9:$P$18,I856))</f>
        <v/>
      </c>
      <c r="K856" s="0" t="str">
        <f aca="false">IF(I856="","",INDEX(Eingabe!$E$9:$E$18,I856))</f>
        <v/>
      </c>
    </row>
    <row r="857" customFormat="false" ht="15" hidden="false" customHeight="false" outlineLevel="0" collapsed="false">
      <c r="A857" s="0" t="str">
        <f aca="false">IF(I857="","",IF(J857=0,"Sparte "&amp;I857&amp;": "&amp;INDEX(Eingabe!$B$9:$B$18,I857)&amp;"  (Sparten-ID "&amp;INDEX(Eingabe!$D$9:$D$18,I857)&amp;", "&amp;K857&amp;" Parzellen)",IF(J857&lt;=K857,"   Parzelle "&amp;J857,IF(J857=K857+1,"   Vorstand",IF(J857=K857+2,"   Gäste",IF(J857=K857+3,"   Technik (Switches, Access Points)",""))))))</f>
        <v/>
      </c>
      <c r="B857" s="0" t="str">
        <f aca="false">IF(I857="","",IF(AND(J857&gt;=1,J857&lt;=K857+3),IF(J857&lt;=K857,IF(J857&lt;=99,IF((INDEX(Eingabe!$G$9:$G$18,I857))&lt;=9,1000+(INDEX(Eingabe!$G$9:$G$18,I857))*100,3000)+J857,IF((INDEX(Eingabe!$G$9:$G$18,I857)+1)&lt;=9,1000+(INDEX(Eingabe!$G$9:$G$18,I857)+1)*100,3000)+J857-100),IF(J857=K857+1,2000+INDEX(Eingabe!$G$9:$G$18,I857)*10+1,IF(J857=K857+2,2000+INDEX(Eingabe!$G$9:$G$18,I857)*10+2,2000+INDEX(Eingabe!$G$9:$G$18,I857)*10+9))),""))</f>
        <v/>
      </c>
      <c r="C857" s="0" t="str">
        <f aca="false">IF(I857="","",IF(AND(J857&gt;=1,J857&lt;=K857+3),"10."&amp;INDEX(Eingabe!$D$9:$D$18,I857)&amp;"."&amp;IF(J857&lt;=K857,J857,IF(J857=K857+1,200,IF(J857=K857+2,201,250)))&amp;".0/24",""))</f>
        <v/>
      </c>
      <c r="D857" s="0" t="str">
        <f aca="false">IF(I857="","",IF(AND(J857&gt;=1,J857&lt;=K857+3),"255.255.255.0",""))</f>
        <v/>
      </c>
      <c r="E857" s="0" t="str">
        <f aca="false">IF(I857="","",IF(AND(J857&gt;=1,J857&lt;=K857+3),"10."&amp;INDEX(Eingabe!$D$9:$D$18,I857)&amp;"."&amp;IF(J857&lt;=K857,J857,IF(J857=K857+1,200,IF(J857=K857+2,201,250)))&amp;".1",""))</f>
        <v/>
      </c>
      <c r="F857" s="0" t="str">
        <f aca="false">IF(I857="","",IF(AND(J857&gt;=1,J857&lt;=K857+3),"10."&amp;INDEX(Eingabe!$D$9:$D$18,I857)&amp;"."&amp;IF(J857&lt;=K857,J857,IF(J857=K857+1,200,IF(J857=K857+2,201,250)))&amp;".10 – 10."&amp;INDEX(Eingabe!$D$9:$D$18,I857)&amp;"."&amp;IF(J857&lt;=K857,J857,IF(J857=K857+1,200,IF(J857=K857+2,201,250)))&amp;".250",""))</f>
        <v/>
      </c>
      <c r="G857" s="0" t="str">
        <f aca="false">IF(I857="","",IF(AND(J857&gt;=1,J857&lt;=K857),Eingabe!$B$6&amp;"-"&amp;INDEX(Eingabe!$C$9:$C$18,I857)&amp;"-Pächter  ·  Passwort Parzelle "&amp;J857,IF(J857=K857+1,Eingabe!$B$6&amp;"-"&amp;INDEX(Eingabe!$C$9:$C$18,I857)&amp;"-Vorstand  ·  eigenes WLAN",IF(J857=K857+2,Eingabe!$B$6&amp;"-"&amp;INDEX(Eingabe!$C$9:$C$18,I857)&amp;"-Gäste  ·  Voucher",IF(J857=K857+3,"Kabel  ·  Access Point y = .(50+y), Mast-Switch x = .(10+x)","")))))</f>
        <v/>
      </c>
      <c r="I857" s="0" t="str">
        <f aca="false">IF(852&lt;=(Eingabe!$P$18+Eingabe!$Q$18-1),MATCH(852,Eingabe!$P$9:$P$18,1),"")</f>
        <v/>
      </c>
      <c r="J857" s="0" t="str">
        <f aca="false">IF(I857="","",852-INDEX(Eingabe!$P$9:$P$18,I857))</f>
        <v/>
      </c>
      <c r="K857" s="0" t="str">
        <f aca="false">IF(I857="","",INDEX(Eingabe!$E$9:$E$18,I857))</f>
        <v/>
      </c>
    </row>
    <row r="858" customFormat="false" ht="15" hidden="false" customHeight="false" outlineLevel="0" collapsed="false">
      <c r="A858" s="0" t="str">
        <f aca="false">IF(I858="","",IF(J858=0,"Sparte "&amp;I858&amp;": "&amp;INDEX(Eingabe!$B$9:$B$18,I858)&amp;"  (Sparten-ID "&amp;INDEX(Eingabe!$D$9:$D$18,I858)&amp;", "&amp;K858&amp;" Parzellen)",IF(J858&lt;=K858,"   Parzelle "&amp;J858,IF(J858=K858+1,"   Vorstand",IF(J858=K858+2,"   Gäste",IF(J858=K858+3,"   Technik (Switches, Access Points)",""))))))</f>
        <v/>
      </c>
      <c r="B858" s="0" t="str">
        <f aca="false">IF(I858="","",IF(AND(J858&gt;=1,J858&lt;=K858+3),IF(J858&lt;=K858,IF(J858&lt;=99,IF((INDEX(Eingabe!$G$9:$G$18,I858))&lt;=9,1000+(INDEX(Eingabe!$G$9:$G$18,I858))*100,3000)+J858,IF((INDEX(Eingabe!$G$9:$G$18,I858)+1)&lt;=9,1000+(INDEX(Eingabe!$G$9:$G$18,I858)+1)*100,3000)+J858-100),IF(J858=K858+1,2000+INDEX(Eingabe!$G$9:$G$18,I858)*10+1,IF(J858=K858+2,2000+INDEX(Eingabe!$G$9:$G$18,I858)*10+2,2000+INDEX(Eingabe!$G$9:$G$18,I858)*10+9))),""))</f>
        <v/>
      </c>
      <c r="C858" s="0" t="str">
        <f aca="false">IF(I858="","",IF(AND(J858&gt;=1,J858&lt;=K858+3),"10."&amp;INDEX(Eingabe!$D$9:$D$18,I858)&amp;"."&amp;IF(J858&lt;=K858,J858,IF(J858=K858+1,200,IF(J858=K858+2,201,250)))&amp;".0/24",""))</f>
        <v/>
      </c>
      <c r="D858" s="0" t="str">
        <f aca="false">IF(I858="","",IF(AND(J858&gt;=1,J858&lt;=K858+3),"255.255.255.0",""))</f>
        <v/>
      </c>
      <c r="E858" s="0" t="str">
        <f aca="false">IF(I858="","",IF(AND(J858&gt;=1,J858&lt;=K858+3),"10."&amp;INDEX(Eingabe!$D$9:$D$18,I858)&amp;"."&amp;IF(J858&lt;=K858,J858,IF(J858=K858+1,200,IF(J858=K858+2,201,250)))&amp;".1",""))</f>
        <v/>
      </c>
      <c r="F858" s="0" t="str">
        <f aca="false">IF(I858="","",IF(AND(J858&gt;=1,J858&lt;=K858+3),"10."&amp;INDEX(Eingabe!$D$9:$D$18,I858)&amp;"."&amp;IF(J858&lt;=K858,J858,IF(J858=K858+1,200,IF(J858=K858+2,201,250)))&amp;".10 – 10."&amp;INDEX(Eingabe!$D$9:$D$18,I858)&amp;"."&amp;IF(J858&lt;=K858,J858,IF(J858=K858+1,200,IF(J858=K858+2,201,250)))&amp;".250",""))</f>
        <v/>
      </c>
      <c r="G858" s="0" t="str">
        <f aca="false">IF(I858="","",IF(AND(J858&gt;=1,J858&lt;=K858),Eingabe!$B$6&amp;"-"&amp;INDEX(Eingabe!$C$9:$C$18,I858)&amp;"-Pächter  ·  Passwort Parzelle "&amp;J858,IF(J858=K858+1,Eingabe!$B$6&amp;"-"&amp;INDEX(Eingabe!$C$9:$C$18,I858)&amp;"-Vorstand  ·  eigenes WLAN",IF(J858=K858+2,Eingabe!$B$6&amp;"-"&amp;INDEX(Eingabe!$C$9:$C$18,I858)&amp;"-Gäste  ·  Voucher",IF(J858=K858+3,"Kabel  ·  Access Point y = .(50+y), Mast-Switch x = .(10+x)","")))))</f>
        <v/>
      </c>
      <c r="I858" s="0" t="str">
        <f aca="false">IF(853&lt;=(Eingabe!$P$18+Eingabe!$Q$18-1),MATCH(853,Eingabe!$P$9:$P$18,1),"")</f>
        <v/>
      </c>
      <c r="J858" s="0" t="str">
        <f aca="false">IF(I858="","",853-INDEX(Eingabe!$P$9:$P$18,I858))</f>
        <v/>
      </c>
      <c r="K858" s="0" t="str">
        <f aca="false">IF(I858="","",INDEX(Eingabe!$E$9:$E$18,I858))</f>
        <v/>
      </c>
    </row>
    <row r="859" customFormat="false" ht="15" hidden="false" customHeight="false" outlineLevel="0" collapsed="false">
      <c r="A859" s="0" t="str">
        <f aca="false">IF(I859="","",IF(J859=0,"Sparte "&amp;I859&amp;": "&amp;INDEX(Eingabe!$B$9:$B$18,I859)&amp;"  (Sparten-ID "&amp;INDEX(Eingabe!$D$9:$D$18,I859)&amp;", "&amp;K859&amp;" Parzellen)",IF(J859&lt;=K859,"   Parzelle "&amp;J859,IF(J859=K859+1,"   Vorstand",IF(J859=K859+2,"   Gäste",IF(J859=K859+3,"   Technik (Switches, Access Points)",""))))))</f>
        <v/>
      </c>
      <c r="B859" s="0" t="str">
        <f aca="false">IF(I859="","",IF(AND(J859&gt;=1,J859&lt;=K859+3),IF(J859&lt;=K859,IF(J859&lt;=99,IF((INDEX(Eingabe!$G$9:$G$18,I859))&lt;=9,1000+(INDEX(Eingabe!$G$9:$G$18,I859))*100,3000)+J859,IF((INDEX(Eingabe!$G$9:$G$18,I859)+1)&lt;=9,1000+(INDEX(Eingabe!$G$9:$G$18,I859)+1)*100,3000)+J859-100),IF(J859=K859+1,2000+INDEX(Eingabe!$G$9:$G$18,I859)*10+1,IF(J859=K859+2,2000+INDEX(Eingabe!$G$9:$G$18,I859)*10+2,2000+INDEX(Eingabe!$G$9:$G$18,I859)*10+9))),""))</f>
        <v/>
      </c>
      <c r="C859" s="0" t="str">
        <f aca="false">IF(I859="","",IF(AND(J859&gt;=1,J859&lt;=K859+3),"10."&amp;INDEX(Eingabe!$D$9:$D$18,I859)&amp;"."&amp;IF(J859&lt;=K859,J859,IF(J859=K859+1,200,IF(J859=K859+2,201,250)))&amp;".0/24",""))</f>
        <v/>
      </c>
      <c r="D859" s="0" t="str">
        <f aca="false">IF(I859="","",IF(AND(J859&gt;=1,J859&lt;=K859+3),"255.255.255.0",""))</f>
        <v/>
      </c>
      <c r="E859" s="0" t="str">
        <f aca="false">IF(I859="","",IF(AND(J859&gt;=1,J859&lt;=K859+3),"10."&amp;INDEX(Eingabe!$D$9:$D$18,I859)&amp;"."&amp;IF(J859&lt;=K859,J859,IF(J859=K859+1,200,IF(J859=K859+2,201,250)))&amp;".1",""))</f>
        <v/>
      </c>
      <c r="F859" s="0" t="str">
        <f aca="false">IF(I859="","",IF(AND(J859&gt;=1,J859&lt;=K859+3),"10."&amp;INDEX(Eingabe!$D$9:$D$18,I859)&amp;"."&amp;IF(J859&lt;=K859,J859,IF(J859=K859+1,200,IF(J859=K859+2,201,250)))&amp;".10 – 10."&amp;INDEX(Eingabe!$D$9:$D$18,I859)&amp;"."&amp;IF(J859&lt;=K859,J859,IF(J859=K859+1,200,IF(J859=K859+2,201,250)))&amp;".250",""))</f>
        <v/>
      </c>
      <c r="G859" s="0" t="str">
        <f aca="false">IF(I859="","",IF(AND(J859&gt;=1,J859&lt;=K859),Eingabe!$B$6&amp;"-"&amp;INDEX(Eingabe!$C$9:$C$18,I859)&amp;"-Pächter  ·  Passwort Parzelle "&amp;J859,IF(J859=K859+1,Eingabe!$B$6&amp;"-"&amp;INDEX(Eingabe!$C$9:$C$18,I859)&amp;"-Vorstand  ·  eigenes WLAN",IF(J859=K859+2,Eingabe!$B$6&amp;"-"&amp;INDEX(Eingabe!$C$9:$C$18,I859)&amp;"-Gäste  ·  Voucher",IF(J859=K859+3,"Kabel  ·  Access Point y = .(50+y), Mast-Switch x = .(10+x)","")))))</f>
        <v/>
      </c>
      <c r="I859" s="0" t="str">
        <f aca="false">IF(854&lt;=(Eingabe!$P$18+Eingabe!$Q$18-1),MATCH(854,Eingabe!$P$9:$P$18,1),"")</f>
        <v/>
      </c>
      <c r="J859" s="0" t="str">
        <f aca="false">IF(I859="","",854-INDEX(Eingabe!$P$9:$P$18,I859))</f>
        <v/>
      </c>
      <c r="K859" s="0" t="str">
        <f aca="false">IF(I859="","",INDEX(Eingabe!$E$9:$E$18,I859))</f>
        <v/>
      </c>
    </row>
    <row r="860" customFormat="false" ht="15" hidden="false" customHeight="false" outlineLevel="0" collapsed="false">
      <c r="A860" s="0" t="str">
        <f aca="false">IF(I860="","",IF(J860=0,"Sparte "&amp;I860&amp;": "&amp;INDEX(Eingabe!$B$9:$B$18,I860)&amp;"  (Sparten-ID "&amp;INDEX(Eingabe!$D$9:$D$18,I860)&amp;", "&amp;K860&amp;" Parzellen)",IF(J860&lt;=K860,"   Parzelle "&amp;J860,IF(J860=K860+1,"   Vorstand",IF(J860=K860+2,"   Gäste",IF(J860=K860+3,"   Technik (Switches, Access Points)",""))))))</f>
        <v/>
      </c>
      <c r="B860" s="0" t="str">
        <f aca="false">IF(I860="","",IF(AND(J860&gt;=1,J860&lt;=K860+3),IF(J860&lt;=K860,IF(J860&lt;=99,IF((INDEX(Eingabe!$G$9:$G$18,I860))&lt;=9,1000+(INDEX(Eingabe!$G$9:$G$18,I860))*100,3000)+J860,IF((INDEX(Eingabe!$G$9:$G$18,I860)+1)&lt;=9,1000+(INDEX(Eingabe!$G$9:$G$18,I860)+1)*100,3000)+J860-100),IF(J860=K860+1,2000+INDEX(Eingabe!$G$9:$G$18,I860)*10+1,IF(J860=K860+2,2000+INDEX(Eingabe!$G$9:$G$18,I860)*10+2,2000+INDEX(Eingabe!$G$9:$G$18,I860)*10+9))),""))</f>
        <v/>
      </c>
      <c r="C860" s="0" t="str">
        <f aca="false">IF(I860="","",IF(AND(J860&gt;=1,J860&lt;=K860+3),"10."&amp;INDEX(Eingabe!$D$9:$D$18,I860)&amp;"."&amp;IF(J860&lt;=K860,J860,IF(J860=K860+1,200,IF(J860=K860+2,201,250)))&amp;".0/24",""))</f>
        <v/>
      </c>
      <c r="D860" s="0" t="str">
        <f aca="false">IF(I860="","",IF(AND(J860&gt;=1,J860&lt;=K860+3),"255.255.255.0",""))</f>
        <v/>
      </c>
      <c r="E860" s="0" t="str">
        <f aca="false">IF(I860="","",IF(AND(J860&gt;=1,J860&lt;=K860+3),"10."&amp;INDEX(Eingabe!$D$9:$D$18,I860)&amp;"."&amp;IF(J860&lt;=K860,J860,IF(J860=K860+1,200,IF(J860=K860+2,201,250)))&amp;".1",""))</f>
        <v/>
      </c>
      <c r="F860" s="0" t="str">
        <f aca="false">IF(I860="","",IF(AND(J860&gt;=1,J860&lt;=K860+3),"10."&amp;INDEX(Eingabe!$D$9:$D$18,I860)&amp;"."&amp;IF(J860&lt;=K860,J860,IF(J860=K860+1,200,IF(J860=K860+2,201,250)))&amp;".10 – 10."&amp;INDEX(Eingabe!$D$9:$D$18,I860)&amp;"."&amp;IF(J860&lt;=K860,J860,IF(J860=K860+1,200,IF(J860=K860+2,201,250)))&amp;".250",""))</f>
        <v/>
      </c>
      <c r="G860" s="0" t="str">
        <f aca="false">IF(I860="","",IF(AND(J860&gt;=1,J860&lt;=K860),Eingabe!$B$6&amp;"-"&amp;INDEX(Eingabe!$C$9:$C$18,I860)&amp;"-Pächter  ·  Passwort Parzelle "&amp;J860,IF(J860=K860+1,Eingabe!$B$6&amp;"-"&amp;INDEX(Eingabe!$C$9:$C$18,I860)&amp;"-Vorstand  ·  eigenes WLAN",IF(J860=K860+2,Eingabe!$B$6&amp;"-"&amp;INDEX(Eingabe!$C$9:$C$18,I860)&amp;"-Gäste  ·  Voucher",IF(J860=K860+3,"Kabel  ·  Access Point y = .(50+y), Mast-Switch x = .(10+x)","")))))</f>
        <v/>
      </c>
      <c r="I860" s="0" t="str">
        <f aca="false">IF(855&lt;=(Eingabe!$P$18+Eingabe!$Q$18-1),MATCH(855,Eingabe!$P$9:$P$18,1),"")</f>
        <v/>
      </c>
      <c r="J860" s="0" t="str">
        <f aca="false">IF(I860="","",855-INDEX(Eingabe!$P$9:$P$18,I860))</f>
        <v/>
      </c>
      <c r="K860" s="0" t="str">
        <f aca="false">IF(I860="","",INDEX(Eingabe!$E$9:$E$18,I860))</f>
        <v/>
      </c>
    </row>
    <row r="861" customFormat="false" ht="15" hidden="false" customHeight="false" outlineLevel="0" collapsed="false">
      <c r="A861" s="0" t="str">
        <f aca="false">IF(I861="","",IF(J861=0,"Sparte "&amp;I861&amp;": "&amp;INDEX(Eingabe!$B$9:$B$18,I861)&amp;"  (Sparten-ID "&amp;INDEX(Eingabe!$D$9:$D$18,I861)&amp;", "&amp;K861&amp;" Parzellen)",IF(J861&lt;=K861,"   Parzelle "&amp;J861,IF(J861=K861+1,"   Vorstand",IF(J861=K861+2,"   Gäste",IF(J861=K861+3,"   Technik (Switches, Access Points)",""))))))</f>
        <v/>
      </c>
      <c r="B861" s="0" t="str">
        <f aca="false">IF(I861="","",IF(AND(J861&gt;=1,J861&lt;=K861+3),IF(J861&lt;=K861,IF(J861&lt;=99,IF((INDEX(Eingabe!$G$9:$G$18,I861))&lt;=9,1000+(INDEX(Eingabe!$G$9:$G$18,I861))*100,3000)+J861,IF((INDEX(Eingabe!$G$9:$G$18,I861)+1)&lt;=9,1000+(INDEX(Eingabe!$G$9:$G$18,I861)+1)*100,3000)+J861-100),IF(J861=K861+1,2000+INDEX(Eingabe!$G$9:$G$18,I861)*10+1,IF(J861=K861+2,2000+INDEX(Eingabe!$G$9:$G$18,I861)*10+2,2000+INDEX(Eingabe!$G$9:$G$18,I861)*10+9))),""))</f>
        <v/>
      </c>
      <c r="C861" s="0" t="str">
        <f aca="false">IF(I861="","",IF(AND(J861&gt;=1,J861&lt;=K861+3),"10."&amp;INDEX(Eingabe!$D$9:$D$18,I861)&amp;"."&amp;IF(J861&lt;=K861,J861,IF(J861=K861+1,200,IF(J861=K861+2,201,250)))&amp;".0/24",""))</f>
        <v/>
      </c>
      <c r="D861" s="0" t="str">
        <f aca="false">IF(I861="","",IF(AND(J861&gt;=1,J861&lt;=K861+3),"255.255.255.0",""))</f>
        <v/>
      </c>
      <c r="E861" s="0" t="str">
        <f aca="false">IF(I861="","",IF(AND(J861&gt;=1,J861&lt;=K861+3),"10."&amp;INDEX(Eingabe!$D$9:$D$18,I861)&amp;"."&amp;IF(J861&lt;=K861,J861,IF(J861=K861+1,200,IF(J861=K861+2,201,250)))&amp;".1",""))</f>
        <v/>
      </c>
      <c r="F861" s="0" t="str">
        <f aca="false">IF(I861="","",IF(AND(J861&gt;=1,J861&lt;=K861+3),"10."&amp;INDEX(Eingabe!$D$9:$D$18,I861)&amp;"."&amp;IF(J861&lt;=K861,J861,IF(J861=K861+1,200,IF(J861=K861+2,201,250)))&amp;".10 – 10."&amp;INDEX(Eingabe!$D$9:$D$18,I861)&amp;"."&amp;IF(J861&lt;=K861,J861,IF(J861=K861+1,200,IF(J861=K861+2,201,250)))&amp;".250",""))</f>
        <v/>
      </c>
      <c r="G861" s="0" t="str">
        <f aca="false">IF(I861="","",IF(AND(J861&gt;=1,J861&lt;=K861),Eingabe!$B$6&amp;"-"&amp;INDEX(Eingabe!$C$9:$C$18,I861)&amp;"-Pächter  ·  Passwort Parzelle "&amp;J861,IF(J861=K861+1,Eingabe!$B$6&amp;"-"&amp;INDEX(Eingabe!$C$9:$C$18,I861)&amp;"-Vorstand  ·  eigenes WLAN",IF(J861=K861+2,Eingabe!$B$6&amp;"-"&amp;INDEX(Eingabe!$C$9:$C$18,I861)&amp;"-Gäste  ·  Voucher",IF(J861=K861+3,"Kabel  ·  Access Point y = .(50+y), Mast-Switch x = .(10+x)","")))))</f>
        <v/>
      </c>
      <c r="I861" s="0" t="str">
        <f aca="false">IF(856&lt;=(Eingabe!$P$18+Eingabe!$Q$18-1),MATCH(856,Eingabe!$P$9:$P$18,1),"")</f>
        <v/>
      </c>
      <c r="J861" s="0" t="str">
        <f aca="false">IF(I861="","",856-INDEX(Eingabe!$P$9:$P$18,I861))</f>
        <v/>
      </c>
      <c r="K861" s="0" t="str">
        <f aca="false">IF(I861="","",INDEX(Eingabe!$E$9:$E$18,I861))</f>
        <v/>
      </c>
    </row>
    <row r="862" customFormat="false" ht="15" hidden="false" customHeight="false" outlineLevel="0" collapsed="false">
      <c r="A862" s="0" t="str">
        <f aca="false">IF(I862="","",IF(J862=0,"Sparte "&amp;I862&amp;": "&amp;INDEX(Eingabe!$B$9:$B$18,I862)&amp;"  (Sparten-ID "&amp;INDEX(Eingabe!$D$9:$D$18,I862)&amp;", "&amp;K862&amp;" Parzellen)",IF(J862&lt;=K862,"   Parzelle "&amp;J862,IF(J862=K862+1,"   Vorstand",IF(J862=K862+2,"   Gäste",IF(J862=K862+3,"   Technik (Switches, Access Points)",""))))))</f>
        <v/>
      </c>
      <c r="B862" s="0" t="str">
        <f aca="false">IF(I862="","",IF(AND(J862&gt;=1,J862&lt;=K862+3),IF(J862&lt;=K862,IF(J862&lt;=99,IF((INDEX(Eingabe!$G$9:$G$18,I862))&lt;=9,1000+(INDEX(Eingabe!$G$9:$G$18,I862))*100,3000)+J862,IF((INDEX(Eingabe!$G$9:$G$18,I862)+1)&lt;=9,1000+(INDEX(Eingabe!$G$9:$G$18,I862)+1)*100,3000)+J862-100),IF(J862=K862+1,2000+INDEX(Eingabe!$G$9:$G$18,I862)*10+1,IF(J862=K862+2,2000+INDEX(Eingabe!$G$9:$G$18,I862)*10+2,2000+INDEX(Eingabe!$G$9:$G$18,I862)*10+9))),""))</f>
        <v/>
      </c>
      <c r="C862" s="0" t="str">
        <f aca="false">IF(I862="","",IF(AND(J862&gt;=1,J862&lt;=K862+3),"10."&amp;INDEX(Eingabe!$D$9:$D$18,I862)&amp;"."&amp;IF(J862&lt;=K862,J862,IF(J862=K862+1,200,IF(J862=K862+2,201,250)))&amp;".0/24",""))</f>
        <v/>
      </c>
      <c r="D862" s="0" t="str">
        <f aca="false">IF(I862="","",IF(AND(J862&gt;=1,J862&lt;=K862+3),"255.255.255.0",""))</f>
        <v/>
      </c>
      <c r="E862" s="0" t="str">
        <f aca="false">IF(I862="","",IF(AND(J862&gt;=1,J862&lt;=K862+3),"10."&amp;INDEX(Eingabe!$D$9:$D$18,I862)&amp;"."&amp;IF(J862&lt;=K862,J862,IF(J862=K862+1,200,IF(J862=K862+2,201,250)))&amp;".1",""))</f>
        <v/>
      </c>
      <c r="F862" s="0" t="str">
        <f aca="false">IF(I862="","",IF(AND(J862&gt;=1,J862&lt;=K862+3),"10."&amp;INDEX(Eingabe!$D$9:$D$18,I862)&amp;"."&amp;IF(J862&lt;=K862,J862,IF(J862=K862+1,200,IF(J862=K862+2,201,250)))&amp;".10 – 10."&amp;INDEX(Eingabe!$D$9:$D$18,I862)&amp;"."&amp;IF(J862&lt;=K862,J862,IF(J862=K862+1,200,IF(J862=K862+2,201,250)))&amp;".250",""))</f>
        <v/>
      </c>
      <c r="G862" s="0" t="str">
        <f aca="false">IF(I862="","",IF(AND(J862&gt;=1,J862&lt;=K862),Eingabe!$B$6&amp;"-"&amp;INDEX(Eingabe!$C$9:$C$18,I862)&amp;"-Pächter  ·  Passwort Parzelle "&amp;J862,IF(J862=K862+1,Eingabe!$B$6&amp;"-"&amp;INDEX(Eingabe!$C$9:$C$18,I862)&amp;"-Vorstand  ·  eigenes WLAN",IF(J862=K862+2,Eingabe!$B$6&amp;"-"&amp;INDEX(Eingabe!$C$9:$C$18,I862)&amp;"-Gäste  ·  Voucher",IF(J862=K862+3,"Kabel  ·  Access Point y = .(50+y), Mast-Switch x = .(10+x)","")))))</f>
        <v/>
      </c>
      <c r="I862" s="0" t="str">
        <f aca="false">IF(857&lt;=(Eingabe!$P$18+Eingabe!$Q$18-1),MATCH(857,Eingabe!$P$9:$P$18,1),"")</f>
        <v/>
      </c>
      <c r="J862" s="0" t="str">
        <f aca="false">IF(I862="","",857-INDEX(Eingabe!$P$9:$P$18,I862))</f>
        <v/>
      </c>
      <c r="K862" s="0" t="str">
        <f aca="false">IF(I862="","",INDEX(Eingabe!$E$9:$E$18,I862))</f>
        <v/>
      </c>
    </row>
    <row r="863" customFormat="false" ht="15" hidden="false" customHeight="false" outlineLevel="0" collapsed="false">
      <c r="A863" s="0" t="str">
        <f aca="false">IF(I863="","",IF(J863=0,"Sparte "&amp;I863&amp;": "&amp;INDEX(Eingabe!$B$9:$B$18,I863)&amp;"  (Sparten-ID "&amp;INDEX(Eingabe!$D$9:$D$18,I863)&amp;", "&amp;K863&amp;" Parzellen)",IF(J863&lt;=K863,"   Parzelle "&amp;J863,IF(J863=K863+1,"   Vorstand",IF(J863=K863+2,"   Gäste",IF(J863=K863+3,"   Technik (Switches, Access Points)",""))))))</f>
        <v/>
      </c>
      <c r="B863" s="0" t="str">
        <f aca="false">IF(I863="","",IF(AND(J863&gt;=1,J863&lt;=K863+3),IF(J863&lt;=K863,IF(J863&lt;=99,IF((INDEX(Eingabe!$G$9:$G$18,I863))&lt;=9,1000+(INDEX(Eingabe!$G$9:$G$18,I863))*100,3000)+J863,IF((INDEX(Eingabe!$G$9:$G$18,I863)+1)&lt;=9,1000+(INDEX(Eingabe!$G$9:$G$18,I863)+1)*100,3000)+J863-100),IF(J863=K863+1,2000+INDEX(Eingabe!$G$9:$G$18,I863)*10+1,IF(J863=K863+2,2000+INDEX(Eingabe!$G$9:$G$18,I863)*10+2,2000+INDEX(Eingabe!$G$9:$G$18,I863)*10+9))),""))</f>
        <v/>
      </c>
      <c r="C863" s="0" t="str">
        <f aca="false">IF(I863="","",IF(AND(J863&gt;=1,J863&lt;=K863+3),"10."&amp;INDEX(Eingabe!$D$9:$D$18,I863)&amp;"."&amp;IF(J863&lt;=K863,J863,IF(J863=K863+1,200,IF(J863=K863+2,201,250)))&amp;".0/24",""))</f>
        <v/>
      </c>
      <c r="D863" s="0" t="str">
        <f aca="false">IF(I863="","",IF(AND(J863&gt;=1,J863&lt;=K863+3),"255.255.255.0",""))</f>
        <v/>
      </c>
      <c r="E863" s="0" t="str">
        <f aca="false">IF(I863="","",IF(AND(J863&gt;=1,J863&lt;=K863+3),"10."&amp;INDEX(Eingabe!$D$9:$D$18,I863)&amp;"."&amp;IF(J863&lt;=K863,J863,IF(J863=K863+1,200,IF(J863=K863+2,201,250)))&amp;".1",""))</f>
        <v/>
      </c>
      <c r="F863" s="0" t="str">
        <f aca="false">IF(I863="","",IF(AND(J863&gt;=1,J863&lt;=K863+3),"10."&amp;INDEX(Eingabe!$D$9:$D$18,I863)&amp;"."&amp;IF(J863&lt;=K863,J863,IF(J863=K863+1,200,IF(J863=K863+2,201,250)))&amp;".10 – 10."&amp;INDEX(Eingabe!$D$9:$D$18,I863)&amp;"."&amp;IF(J863&lt;=K863,J863,IF(J863=K863+1,200,IF(J863=K863+2,201,250)))&amp;".250",""))</f>
        <v/>
      </c>
      <c r="G863" s="0" t="str">
        <f aca="false">IF(I863="","",IF(AND(J863&gt;=1,J863&lt;=K863),Eingabe!$B$6&amp;"-"&amp;INDEX(Eingabe!$C$9:$C$18,I863)&amp;"-Pächter  ·  Passwort Parzelle "&amp;J863,IF(J863=K863+1,Eingabe!$B$6&amp;"-"&amp;INDEX(Eingabe!$C$9:$C$18,I863)&amp;"-Vorstand  ·  eigenes WLAN",IF(J863=K863+2,Eingabe!$B$6&amp;"-"&amp;INDEX(Eingabe!$C$9:$C$18,I863)&amp;"-Gäste  ·  Voucher",IF(J863=K863+3,"Kabel  ·  Access Point y = .(50+y), Mast-Switch x = .(10+x)","")))))</f>
        <v/>
      </c>
      <c r="I863" s="0" t="str">
        <f aca="false">IF(858&lt;=(Eingabe!$P$18+Eingabe!$Q$18-1),MATCH(858,Eingabe!$P$9:$P$18,1),"")</f>
        <v/>
      </c>
      <c r="J863" s="0" t="str">
        <f aca="false">IF(I863="","",858-INDEX(Eingabe!$P$9:$P$18,I863))</f>
        <v/>
      </c>
      <c r="K863" s="0" t="str">
        <f aca="false">IF(I863="","",INDEX(Eingabe!$E$9:$E$18,I863))</f>
        <v/>
      </c>
    </row>
    <row r="864" customFormat="false" ht="15" hidden="false" customHeight="false" outlineLevel="0" collapsed="false">
      <c r="A864" s="0" t="str">
        <f aca="false">IF(I864="","",IF(J864=0,"Sparte "&amp;I864&amp;": "&amp;INDEX(Eingabe!$B$9:$B$18,I864)&amp;"  (Sparten-ID "&amp;INDEX(Eingabe!$D$9:$D$18,I864)&amp;", "&amp;K864&amp;" Parzellen)",IF(J864&lt;=K864,"   Parzelle "&amp;J864,IF(J864=K864+1,"   Vorstand",IF(J864=K864+2,"   Gäste",IF(J864=K864+3,"   Technik (Switches, Access Points)",""))))))</f>
        <v/>
      </c>
      <c r="B864" s="0" t="str">
        <f aca="false">IF(I864="","",IF(AND(J864&gt;=1,J864&lt;=K864+3),IF(J864&lt;=K864,IF(J864&lt;=99,IF((INDEX(Eingabe!$G$9:$G$18,I864))&lt;=9,1000+(INDEX(Eingabe!$G$9:$G$18,I864))*100,3000)+J864,IF((INDEX(Eingabe!$G$9:$G$18,I864)+1)&lt;=9,1000+(INDEX(Eingabe!$G$9:$G$18,I864)+1)*100,3000)+J864-100),IF(J864=K864+1,2000+INDEX(Eingabe!$G$9:$G$18,I864)*10+1,IF(J864=K864+2,2000+INDEX(Eingabe!$G$9:$G$18,I864)*10+2,2000+INDEX(Eingabe!$G$9:$G$18,I864)*10+9))),""))</f>
        <v/>
      </c>
      <c r="C864" s="0" t="str">
        <f aca="false">IF(I864="","",IF(AND(J864&gt;=1,J864&lt;=K864+3),"10."&amp;INDEX(Eingabe!$D$9:$D$18,I864)&amp;"."&amp;IF(J864&lt;=K864,J864,IF(J864=K864+1,200,IF(J864=K864+2,201,250)))&amp;".0/24",""))</f>
        <v/>
      </c>
      <c r="D864" s="0" t="str">
        <f aca="false">IF(I864="","",IF(AND(J864&gt;=1,J864&lt;=K864+3),"255.255.255.0",""))</f>
        <v/>
      </c>
      <c r="E864" s="0" t="str">
        <f aca="false">IF(I864="","",IF(AND(J864&gt;=1,J864&lt;=K864+3),"10."&amp;INDEX(Eingabe!$D$9:$D$18,I864)&amp;"."&amp;IF(J864&lt;=K864,J864,IF(J864=K864+1,200,IF(J864=K864+2,201,250)))&amp;".1",""))</f>
        <v/>
      </c>
      <c r="F864" s="0" t="str">
        <f aca="false">IF(I864="","",IF(AND(J864&gt;=1,J864&lt;=K864+3),"10."&amp;INDEX(Eingabe!$D$9:$D$18,I864)&amp;"."&amp;IF(J864&lt;=K864,J864,IF(J864=K864+1,200,IF(J864=K864+2,201,250)))&amp;".10 – 10."&amp;INDEX(Eingabe!$D$9:$D$18,I864)&amp;"."&amp;IF(J864&lt;=K864,J864,IF(J864=K864+1,200,IF(J864=K864+2,201,250)))&amp;".250",""))</f>
        <v/>
      </c>
      <c r="G864" s="0" t="str">
        <f aca="false">IF(I864="","",IF(AND(J864&gt;=1,J864&lt;=K864),Eingabe!$B$6&amp;"-"&amp;INDEX(Eingabe!$C$9:$C$18,I864)&amp;"-Pächter  ·  Passwort Parzelle "&amp;J864,IF(J864=K864+1,Eingabe!$B$6&amp;"-"&amp;INDEX(Eingabe!$C$9:$C$18,I864)&amp;"-Vorstand  ·  eigenes WLAN",IF(J864=K864+2,Eingabe!$B$6&amp;"-"&amp;INDEX(Eingabe!$C$9:$C$18,I864)&amp;"-Gäste  ·  Voucher",IF(J864=K864+3,"Kabel  ·  Access Point y = .(50+y), Mast-Switch x = .(10+x)","")))))</f>
        <v/>
      </c>
      <c r="I864" s="0" t="str">
        <f aca="false">IF(859&lt;=(Eingabe!$P$18+Eingabe!$Q$18-1),MATCH(859,Eingabe!$P$9:$P$18,1),"")</f>
        <v/>
      </c>
      <c r="J864" s="0" t="str">
        <f aca="false">IF(I864="","",859-INDEX(Eingabe!$P$9:$P$18,I864))</f>
        <v/>
      </c>
      <c r="K864" s="0" t="str">
        <f aca="false">IF(I864="","",INDEX(Eingabe!$E$9:$E$18,I864))</f>
        <v/>
      </c>
    </row>
    <row r="865" customFormat="false" ht="15" hidden="false" customHeight="false" outlineLevel="0" collapsed="false">
      <c r="A865" s="0" t="str">
        <f aca="false">IF(I865="","",IF(J865=0,"Sparte "&amp;I865&amp;": "&amp;INDEX(Eingabe!$B$9:$B$18,I865)&amp;"  (Sparten-ID "&amp;INDEX(Eingabe!$D$9:$D$18,I865)&amp;", "&amp;K865&amp;" Parzellen)",IF(J865&lt;=K865,"   Parzelle "&amp;J865,IF(J865=K865+1,"   Vorstand",IF(J865=K865+2,"   Gäste",IF(J865=K865+3,"   Technik (Switches, Access Points)",""))))))</f>
        <v/>
      </c>
      <c r="B865" s="0" t="str">
        <f aca="false">IF(I865="","",IF(AND(J865&gt;=1,J865&lt;=K865+3),IF(J865&lt;=K865,IF(J865&lt;=99,IF((INDEX(Eingabe!$G$9:$G$18,I865))&lt;=9,1000+(INDEX(Eingabe!$G$9:$G$18,I865))*100,3000)+J865,IF((INDEX(Eingabe!$G$9:$G$18,I865)+1)&lt;=9,1000+(INDEX(Eingabe!$G$9:$G$18,I865)+1)*100,3000)+J865-100),IF(J865=K865+1,2000+INDEX(Eingabe!$G$9:$G$18,I865)*10+1,IF(J865=K865+2,2000+INDEX(Eingabe!$G$9:$G$18,I865)*10+2,2000+INDEX(Eingabe!$G$9:$G$18,I865)*10+9))),""))</f>
        <v/>
      </c>
      <c r="C865" s="0" t="str">
        <f aca="false">IF(I865="","",IF(AND(J865&gt;=1,J865&lt;=K865+3),"10."&amp;INDEX(Eingabe!$D$9:$D$18,I865)&amp;"."&amp;IF(J865&lt;=K865,J865,IF(J865=K865+1,200,IF(J865=K865+2,201,250)))&amp;".0/24",""))</f>
        <v/>
      </c>
      <c r="D865" s="0" t="str">
        <f aca="false">IF(I865="","",IF(AND(J865&gt;=1,J865&lt;=K865+3),"255.255.255.0",""))</f>
        <v/>
      </c>
      <c r="E865" s="0" t="str">
        <f aca="false">IF(I865="","",IF(AND(J865&gt;=1,J865&lt;=K865+3),"10."&amp;INDEX(Eingabe!$D$9:$D$18,I865)&amp;"."&amp;IF(J865&lt;=K865,J865,IF(J865=K865+1,200,IF(J865=K865+2,201,250)))&amp;".1",""))</f>
        <v/>
      </c>
      <c r="F865" s="0" t="str">
        <f aca="false">IF(I865="","",IF(AND(J865&gt;=1,J865&lt;=K865+3),"10."&amp;INDEX(Eingabe!$D$9:$D$18,I865)&amp;"."&amp;IF(J865&lt;=K865,J865,IF(J865=K865+1,200,IF(J865=K865+2,201,250)))&amp;".10 – 10."&amp;INDEX(Eingabe!$D$9:$D$18,I865)&amp;"."&amp;IF(J865&lt;=K865,J865,IF(J865=K865+1,200,IF(J865=K865+2,201,250)))&amp;".250",""))</f>
        <v/>
      </c>
      <c r="G865" s="0" t="str">
        <f aca="false">IF(I865="","",IF(AND(J865&gt;=1,J865&lt;=K865),Eingabe!$B$6&amp;"-"&amp;INDEX(Eingabe!$C$9:$C$18,I865)&amp;"-Pächter  ·  Passwort Parzelle "&amp;J865,IF(J865=K865+1,Eingabe!$B$6&amp;"-"&amp;INDEX(Eingabe!$C$9:$C$18,I865)&amp;"-Vorstand  ·  eigenes WLAN",IF(J865=K865+2,Eingabe!$B$6&amp;"-"&amp;INDEX(Eingabe!$C$9:$C$18,I865)&amp;"-Gäste  ·  Voucher",IF(J865=K865+3,"Kabel  ·  Access Point y = .(50+y), Mast-Switch x = .(10+x)","")))))</f>
        <v/>
      </c>
      <c r="I865" s="0" t="str">
        <f aca="false">IF(860&lt;=(Eingabe!$P$18+Eingabe!$Q$18-1),MATCH(860,Eingabe!$P$9:$P$18,1),"")</f>
        <v/>
      </c>
      <c r="J865" s="0" t="str">
        <f aca="false">IF(I865="","",860-INDEX(Eingabe!$P$9:$P$18,I865))</f>
        <v/>
      </c>
      <c r="K865" s="0" t="str">
        <f aca="false">IF(I865="","",INDEX(Eingabe!$E$9:$E$18,I865))</f>
        <v/>
      </c>
    </row>
    <row r="866" customFormat="false" ht="15" hidden="false" customHeight="false" outlineLevel="0" collapsed="false">
      <c r="A866" s="0" t="str">
        <f aca="false">IF(I866="","",IF(J866=0,"Sparte "&amp;I866&amp;": "&amp;INDEX(Eingabe!$B$9:$B$18,I866)&amp;"  (Sparten-ID "&amp;INDEX(Eingabe!$D$9:$D$18,I866)&amp;", "&amp;K866&amp;" Parzellen)",IF(J866&lt;=K866,"   Parzelle "&amp;J866,IF(J866=K866+1,"   Vorstand",IF(J866=K866+2,"   Gäste",IF(J866=K866+3,"   Technik (Switches, Access Points)",""))))))</f>
        <v/>
      </c>
      <c r="B866" s="0" t="str">
        <f aca="false">IF(I866="","",IF(AND(J866&gt;=1,J866&lt;=K866+3),IF(J866&lt;=K866,IF(J866&lt;=99,IF((INDEX(Eingabe!$G$9:$G$18,I866))&lt;=9,1000+(INDEX(Eingabe!$G$9:$G$18,I866))*100,3000)+J866,IF((INDEX(Eingabe!$G$9:$G$18,I866)+1)&lt;=9,1000+(INDEX(Eingabe!$G$9:$G$18,I866)+1)*100,3000)+J866-100),IF(J866=K866+1,2000+INDEX(Eingabe!$G$9:$G$18,I866)*10+1,IF(J866=K866+2,2000+INDEX(Eingabe!$G$9:$G$18,I866)*10+2,2000+INDEX(Eingabe!$G$9:$G$18,I866)*10+9))),""))</f>
        <v/>
      </c>
      <c r="C866" s="0" t="str">
        <f aca="false">IF(I866="","",IF(AND(J866&gt;=1,J866&lt;=K866+3),"10."&amp;INDEX(Eingabe!$D$9:$D$18,I866)&amp;"."&amp;IF(J866&lt;=K866,J866,IF(J866=K866+1,200,IF(J866=K866+2,201,250)))&amp;".0/24",""))</f>
        <v/>
      </c>
      <c r="D866" s="0" t="str">
        <f aca="false">IF(I866="","",IF(AND(J866&gt;=1,J866&lt;=K866+3),"255.255.255.0",""))</f>
        <v/>
      </c>
      <c r="E866" s="0" t="str">
        <f aca="false">IF(I866="","",IF(AND(J866&gt;=1,J866&lt;=K866+3),"10."&amp;INDEX(Eingabe!$D$9:$D$18,I866)&amp;"."&amp;IF(J866&lt;=K866,J866,IF(J866=K866+1,200,IF(J866=K866+2,201,250)))&amp;".1",""))</f>
        <v/>
      </c>
      <c r="F866" s="0" t="str">
        <f aca="false">IF(I866="","",IF(AND(J866&gt;=1,J866&lt;=K866+3),"10."&amp;INDEX(Eingabe!$D$9:$D$18,I866)&amp;"."&amp;IF(J866&lt;=K866,J866,IF(J866=K866+1,200,IF(J866=K866+2,201,250)))&amp;".10 – 10."&amp;INDEX(Eingabe!$D$9:$D$18,I866)&amp;"."&amp;IF(J866&lt;=K866,J866,IF(J866=K866+1,200,IF(J866=K866+2,201,250)))&amp;".250",""))</f>
        <v/>
      </c>
      <c r="G866" s="0" t="str">
        <f aca="false">IF(I866="","",IF(AND(J866&gt;=1,J866&lt;=K866),Eingabe!$B$6&amp;"-"&amp;INDEX(Eingabe!$C$9:$C$18,I866)&amp;"-Pächter  ·  Passwort Parzelle "&amp;J866,IF(J866=K866+1,Eingabe!$B$6&amp;"-"&amp;INDEX(Eingabe!$C$9:$C$18,I866)&amp;"-Vorstand  ·  eigenes WLAN",IF(J866=K866+2,Eingabe!$B$6&amp;"-"&amp;INDEX(Eingabe!$C$9:$C$18,I866)&amp;"-Gäste  ·  Voucher",IF(J866=K866+3,"Kabel  ·  Access Point y = .(50+y), Mast-Switch x = .(10+x)","")))))</f>
        <v/>
      </c>
      <c r="I866" s="0" t="str">
        <f aca="false">IF(861&lt;=(Eingabe!$P$18+Eingabe!$Q$18-1),MATCH(861,Eingabe!$P$9:$P$18,1),"")</f>
        <v/>
      </c>
      <c r="J866" s="0" t="str">
        <f aca="false">IF(I866="","",861-INDEX(Eingabe!$P$9:$P$18,I866))</f>
        <v/>
      </c>
      <c r="K866" s="0" t="str">
        <f aca="false">IF(I866="","",INDEX(Eingabe!$E$9:$E$18,I866))</f>
        <v/>
      </c>
    </row>
    <row r="867" customFormat="false" ht="15" hidden="false" customHeight="false" outlineLevel="0" collapsed="false">
      <c r="A867" s="0" t="str">
        <f aca="false">IF(I867="","",IF(J867=0,"Sparte "&amp;I867&amp;": "&amp;INDEX(Eingabe!$B$9:$B$18,I867)&amp;"  (Sparten-ID "&amp;INDEX(Eingabe!$D$9:$D$18,I867)&amp;", "&amp;K867&amp;" Parzellen)",IF(J867&lt;=K867,"   Parzelle "&amp;J867,IF(J867=K867+1,"   Vorstand",IF(J867=K867+2,"   Gäste",IF(J867=K867+3,"   Technik (Switches, Access Points)",""))))))</f>
        <v/>
      </c>
      <c r="B867" s="0" t="str">
        <f aca="false">IF(I867="","",IF(AND(J867&gt;=1,J867&lt;=K867+3),IF(J867&lt;=K867,IF(J867&lt;=99,IF((INDEX(Eingabe!$G$9:$G$18,I867))&lt;=9,1000+(INDEX(Eingabe!$G$9:$G$18,I867))*100,3000)+J867,IF((INDEX(Eingabe!$G$9:$G$18,I867)+1)&lt;=9,1000+(INDEX(Eingabe!$G$9:$G$18,I867)+1)*100,3000)+J867-100),IF(J867=K867+1,2000+INDEX(Eingabe!$G$9:$G$18,I867)*10+1,IF(J867=K867+2,2000+INDEX(Eingabe!$G$9:$G$18,I867)*10+2,2000+INDEX(Eingabe!$G$9:$G$18,I867)*10+9))),""))</f>
        <v/>
      </c>
      <c r="C867" s="0" t="str">
        <f aca="false">IF(I867="","",IF(AND(J867&gt;=1,J867&lt;=K867+3),"10."&amp;INDEX(Eingabe!$D$9:$D$18,I867)&amp;"."&amp;IF(J867&lt;=K867,J867,IF(J867=K867+1,200,IF(J867=K867+2,201,250)))&amp;".0/24",""))</f>
        <v/>
      </c>
      <c r="D867" s="0" t="str">
        <f aca="false">IF(I867="","",IF(AND(J867&gt;=1,J867&lt;=K867+3),"255.255.255.0",""))</f>
        <v/>
      </c>
      <c r="E867" s="0" t="str">
        <f aca="false">IF(I867="","",IF(AND(J867&gt;=1,J867&lt;=K867+3),"10."&amp;INDEX(Eingabe!$D$9:$D$18,I867)&amp;"."&amp;IF(J867&lt;=K867,J867,IF(J867=K867+1,200,IF(J867=K867+2,201,250)))&amp;".1",""))</f>
        <v/>
      </c>
      <c r="F867" s="0" t="str">
        <f aca="false">IF(I867="","",IF(AND(J867&gt;=1,J867&lt;=K867+3),"10."&amp;INDEX(Eingabe!$D$9:$D$18,I867)&amp;"."&amp;IF(J867&lt;=K867,J867,IF(J867=K867+1,200,IF(J867=K867+2,201,250)))&amp;".10 – 10."&amp;INDEX(Eingabe!$D$9:$D$18,I867)&amp;"."&amp;IF(J867&lt;=K867,J867,IF(J867=K867+1,200,IF(J867=K867+2,201,250)))&amp;".250",""))</f>
        <v/>
      </c>
      <c r="G867" s="0" t="str">
        <f aca="false">IF(I867="","",IF(AND(J867&gt;=1,J867&lt;=K867),Eingabe!$B$6&amp;"-"&amp;INDEX(Eingabe!$C$9:$C$18,I867)&amp;"-Pächter  ·  Passwort Parzelle "&amp;J867,IF(J867=K867+1,Eingabe!$B$6&amp;"-"&amp;INDEX(Eingabe!$C$9:$C$18,I867)&amp;"-Vorstand  ·  eigenes WLAN",IF(J867=K867+2,Eingabe!$B$6&amp;"-"&amp;INDEX(Eingabe!$C$9:$C$18,I867)&amp;"-Gäste  ·  Voucher",IF(J867=K867+3,"Kabel  ·  Access Point y = .(50+y), Mast-Switch x = .(10+x)","")))))</f>
        <v/>
      </c>
      <c r="I867" s="0" t="str">
        <f aca="false">IF(862&lt;=(Eingabe!$P$18+Eingabe!$Q$18-1),MATCH(862,Eingabe!$P$9:$P$18,1),"")</f>
        <v/>
      </c>
      <c r="J867" s="0" t="str">
        <f aca="false">IF(I867="","",862-INDEX(Eingabe!$P$9:$P$18,I867))</f>
        <v/>
      </c>
      <c r="K867" s="0" t="str">
        <f aca="false">IF(I867="","",INDEX(Eingabe!$E$9:$E$18,I867))</f>
        <v/>
      </c>
    </row>
    <row r="868" customFormat="false" ht="15" hidden="false" customHeight="false" outlineLevel="0" collapsed="false">
      <c r="A868" s="0" t="str">
        <f aca="false">IF(I868="","",IF(J868=0,"Sparte "&amp;I868&amp;": "&amp;INDEX(Eingabe!$B$9:$B$18,I868)&amp;"  (Sparten-ID "&amp;INDEX(Eingabe!$D$9:$D$18,I868)&amp;", "&amp;K868&amp;" Parzellen)",IF(J868&lt;=K868,"   Parzelle "&amp;J868,IF(J868=K868+1,"   Vorstand",IF(J868=K868+2,"   Gäste",IF(J868=K868+3,"   Technik (Switches, Access Points)",""))))))</f>
        <v/>
      </c>
      <c r="B868" s="0" t="str">
        <f aca="false">IF(I868="","",IF(AND(J868&gt;=1,J868&lt;=K868+3),IF(J868&lt;=K868,IF(J868&lt;=99,IF((INDEX(Eingabe!$G$9:$G$18,I868))&lt;=9,1000+(INDEX(Eingabe!$G$9:$G$18,I868))*100,3000)+J868,IF((INDEX(Eingabe!$G$9:$G$18,I868)+1)&lt;=9,1000+(INDEX(Eingabe!$G$9:$G$18,I868)+1)*100,3000)+J868-100),IF(J868=K868+1,2000+INDEX(Eingabe!$G$9:$G$18,I868)*10+1,IF(J868=K868+2,2000+INDEX(Eingabe!$G$9:$G$18,I868)*10+2,2000+INDEX(Eingabe!$G$9:$G$18,I868)*10+9))),""))</f>
        <v/>
      </c>
      <c r="C868" s="0" t="str">
        <f aca="false">IF(I868="","",IF(AND(J868&gt;=1,J868&lt;=K868+3),"10."&amp;INDEX(Eingabe!$D$9:$D$18,I868)&amp;"."&amp;IF(J868&lt;=K868,J868,IF(J868=K868+1,200,IF(J868=K868+2,201,250)))&amp;".0/24",""))</f>
        <v/>
      </c>
      <c r="D868" s="0" t="str">
        <f aca="false">IF(I868="","",IF(AND(J868&gt;=1,J868&lt;=K868+3),"255.255.255.0",""))</f>
        <v/>
      </c>
      <c r="E868" s="0" t="str">
        <f aca="false">IF(I868="","",IF(AND(J868&gt;=1,J868&lt;=K868+3),"10."&amp;INDEX(Eingabe!$D$9:$D$18,I868)&amp;"."&amp;IF(J868&lt;=K868,J868,IF(J868=K868+1,200,IF(J868=K868+2,201,250)))&amp;".1",""))</f>
        <v/>
      </c>
      <c r="F868" s="0" t="str">
        <f aca="false">IF(I868="","",IF(AND(J868&gt;=1,J868&lt;=K868+3),"10."&amp;INDEX(Eingabe!$D$9:$D$18,I868)&amp;"."&amp;IF(J868&lt;=K868,J868,IF(J868=K868+1,200,IF(J868=K868+2,201,250)))&amp;".10 – 10."&amp;INDEX(Eingabe!$D$9:$D$18,I868)&amp;"."&amp;IF(J868&lt;=K868,J868,IF(J868=K868+1,200,IF(J868=K868+2,201,250)))&amp;".250",""))</f>
        <v/>
      </c>
      <c r="G868" s="0" t="str">
        <f aca="false">IF(I868="","",IF(AND(J868&gt;=1,J868&lt;=K868),Eingabe!$B$6&amp;"-"&amp;INDEX(Eingabe!$C$9:$C$18,I868)&amp;"-Pächter  ·  Passwort Parzelle "&amp;J868,IF(J868=K868+1,Eingabe!$B$6&amp;"-"&amp;INDEX(Eingabe!$C$9:$C$18,I868)&amp;"-Vorstand  ·  eigenes WLAN",IF(J868=K868+2,Eingabe!$B$6&amp;"-"&amp;INDEX(Eingabe!$C$9:$C$18,I868)&amp;"-Gäste  ·  Voucher",IF(J868=K868+3,"Kabel  ·  Access Point y = .(50+y), Mast-Switch x = .(10+x)","")))))</f>
        <v/>
      </c>
      <c r="I868" s="0" t="str">
        <f aca="false">IF(863&lt;=(Eingabe!$P$18+Eingabe!$Q$18-1),MATCH(863,Eingabe!$P$9:$P$18,1),"")</f>
        <v/>
      </c>
      <c r="J868" s="0" t="str">
        <f aca="false">IF(I868="","",863-INDEX(Eingabe!$P$9:$P$18,I868))</f>
        <v/>
      </c>
      <c r="K868" s="0" t="str">
        <f aca="false">IF(I868="","",INDEX(Eingabe!$E$9:$E$18,I868))</f>
        <v/>
      </c>
    </row>
    <row r="869" customFormat="false" ht="15" hidden="false" customHeight="false" outlineLevel="0" collapsed="false">
      <c r="A869" s="0" t="str">
        <f aca="false">IF(I869="","",IF(J869=0,"Sparte "&amp;I869&amp;": "&amp;INDEX(Eingabe!$B$9:$B$18,I869)&amp;"  (Sparten-ID "&amp;INDEX(Eingabe!$D$9:$D$18,I869)&amp;", "&amp;K869&amp;" Parzellen)",IF(J869&lt;=K869,"   Parzelle "&amp;J869,IF(J869=K869+1,"   Vorstand",IF(J869=K869+2,"   Gäste",IF(J869=K869+3,"   Technik (Switches, Access Points)",""))))))</f>
        <v/>
      </c>
      <c r="B869" s="0" t="str">
        <f aca="false">IF(I869="","",IF(AND(J869&gt;=1,J869&lt;=K869+3),IF(J869&lt;=K869,IF(J869&lt;=99,IF((INDEX(Eingabe!$G$9:$G$18,I869))&lt;=9,1000+(INDEX(Eingabe!$G$9:$G$18,I869))*100,3000)+J869,IF((INDEX(Eingabe!$G$9:$G$18,I869)+1)&lt;=9,1000+(INDEX(Eingabe!$G$9:$G$18,I869)+1)*100,3000)+J869-100),IF(J869=K869+1,2000+INDEX(Eingabe!$G$9:$G$18,I869)*10+1,IF(J869=K869+2,2000+INDEX(Eingabe!$G$9:$G$18,I869)*10+2,2000+INDEX(Eingabe!$G$9:$G$18,I869)*10+9))),""))</f>
        <v/>
      </c>
      <c r="C869" s="0" t="str">
        <f aca="false">IF(I869="","",IF(AND(J869&gt;=1,J869&lt;=K869+3),"10."&amp;INDEX(Eingabe!$D$9:$D$18,I869)&amp;"."&amp;IF(J869&lt;=K869,J869,IF(J869=K869+1,200,IF(J869=K869+2,201,250)))&amp;".0/24",""))</f>
        <v/>
      </c>
      <c r="D869" s="0" t="str">
        <f aca="false">IF(I869="","",IF(AND(J869&gt;=1,J869&lt;=K869+3),"255.255.255.0",""))</f>
        <v/>
      </c>
      <c r="E869" s="0" t="str">
        <f aca="false">IF(I869="","",IF(AND(J869&gt;=1,J869&lt;=K869+3),"10."&amp;INDEX(Eingabe!$D$9:$D$18,I869)&amp;"."&amp;IF(J869&lt;=K869,J869,IF(J869=K869+1,200,IF(J869=K869+2,201,250)))&amp;".1",""))</f>
        <v/>
      </c>
      <c r="F869" s="0" t="str">
        <f aca="false">IF(I869="","",IF(AND(J869&gt;=1,J869&lt;=K869+3),"10."&amp;INDEX(Eingabe!$D$9:$D$18,I869)&amp;"."&amp;IF(J869&lt;=K869,J869,IF(J869=K869+1,200,IF(J869=K869+2,201,250)))&amp;".10 – 10."&amp;INDEX(Eingabe!$D$9:$D$18,I869)&amp;"."&amp;IF(J869&lt;=K869,J869,IF(J869=K869+1,200,IF(J869=K869+2,201,250)))&amp;".250",""))</f>
        <v/>
      </c>
      <c r="G869" s="0" t="str">
        <f aca="false">IF(I869="","",IF(AND(J869&gt;=1,J869&lt;=K869),Eingabe!$B$6&amp;"-"&amp;INDEX(Eingabe!$C$9:$C$18,I869)&amp;"-Pächter  ·  Passwort Parzelle "&amp;J869,IF(J869=K869+1,Eingabe!$B$6&amp;"-"&amp;INDEX(Eingabe!$C$9:$C$18,I869)&amp;"-Vorstand  ·  eigenes WLAN",IF(J869=K869+2,Eingabe!$B$6&amp;"-"&amp;INDEX(Eingabe!$C$9:$C$18,I869)&amp;"-Gäste  ·  Voucher",IF(J869=K869+3,"Kabel  ·  Access Point y = .(50+y), Mast-Switch x = .(10+x)","")))))</f>
        <v/>
      </c>
      <c r="I869" s="0" t="str">
        <f aca="false">IF(864&lt;=(Eingabe!$P$18+Eingabe!$Q$18-1),MATCH(864,Eingabe!$P$9:$P$18,1),"")</f>
        <v/>
      </c>
      <c r="J869" s="0" t="str">
        <f aca="false">IF(I869="","",864-INDEX(Eingabe!$P$9:$P$18,I869))</f>
        <v/>
      </c>
      <c r="K869" s="0" t="str">
        <f aca="false">IF(I869="","",INDEX(Eingabe!$E$9:$E$18,I869))</f>
        <v/>
      </c>
    </row>
    <row r="870" customFormat="false" ht="15" hidden="false" customHeight="false" outlineLevel="0" collapsed="false">
      <c r="A870" s="0" t="str">
        <f aca="false">IF(I870="","",IF(J870=0,"Sparte "&amp;I870&amp;": "&amp;INDEX(Eingabe!$B$9:$B$18,I870)&amp;"  (Sparten-ID "&amp;INDEX(Eingabe!$D$9:$D$18,I870)&amp;", "&amp;K870&amp;" Parzellen)",IF(J870&lt;=K870,"   Parzelle "&amp;J870,IF(J870=K870+1,"   Vorstand",IF(J870=K870+2,"   Gäste",IF(J870=K870+3,"   Technik (Switches, Access Points)",""))))))</f>
        <v/>
      </c>
      <c r="B870" s="0" t="str">
        <f aca="false">IF(I870="","",IF(AND(J870&gt;=1,J870&lt;=K870+3),IF(J870&lt;=K870,IF(J870&lt;=99,IF((INDEX(Eingabe!$G$9:$G$18,I870))&lt;=9,1000+(INDEX(Eingabe!$G$9:$G$18,I870))*100,3000)+J870,IF((INDEX(Eingabe!$G$9:$G$18,I870)+1)&lt;=9,1000+(INDEX(Eingabe!$G$9:$G$18,I870)+1)*100,3000)+J870-100),IF(J870=K870+1,2000+INDEX(Eingabe!$G$9:$G$18,I870)*10+1,IF(J870=K870+2,2000+INDEX(Eingabe!$G$9:$G$18,I870)*10+2,2000+INDEX(Eingabe!$G$9:$G$18,I870)*10+9))),""))</f>
        <v/>
      </c>
      <c r="C870" s="0" t="str">
        <f aca="false">IF(I870="","",IF(AND(J870&gt;=1,J870&lt;=K870+3),"10."&amp;INDEX(Eingabe!$D$9:$D$18,I870)&amp;"."&amp;IF(J870&lt;=K870,J870,IF(J870=K870+1,200,IF(J870=K870+2,201,250)))&amp;".0/24",""))</f>
        <v/>
      </c>
      <c r="D870" s="0" t="str">
        <f aca="false">IF(I870="","",IF(AND(J870&gt;=1,J870&lt;=K870+3),"255.255.255.0",""))</f>
        <v/>
      </c>
      <c r="E870" s="0" t="str">
        <f aca="false">IF(I870="","",IF(AND(J870&gt;=1,J870&lt;=K870+3),"10."&amp;INDEX(Eingabe!$D$9:$D$18,I870)&amp;"."&amp;IF(J870&lt;=K870,J870,IF(J870=K870+1,200,IF(J870=K870+2,201,250)))&amp;".1",""))</f>
        <v/>
      </c>
      <c r="F870" s="0" t="str">
        <f aca="false">IF(I870="","",IF(AND(J870&gt;=1,J870&lt;=K870+3),"10."&amp;INDEX(Eingabe!$D$9:$D$18,I870)&amp;"."&amp;IF(J870&lt;=K870,J870,IF(J870=K870+1,200,IF(J870=K870+2,201,250)))&amp;".10 – 10."&amp;INDEX(Eingabe!$D$9:$D$18,I870)&amp;"."&amp;IF(J870&lt;=K870,J870,IF(J870=K870+1,200,IF(J870=K870+2,201,250)))&amp;".250",""))</f>
        <v/>
      </c>
      <c r="G870" s="0" t="str">
        <f aca="false">IF(I870="","",IF(AND(J870&gt;=1,J870&lt;=K870),Eingabe!$B$6&amp;"-"&amp;INDEX(Eingabe!$C$9:$C$18,I870)&amp;"-Pächter  ·  Passwort Parzelle "&amp;J870,IF(J870=K870+1,Eingabe!$B$6&amp;"-"&amp;INDEX(Eingabe!$C$9:$C$18,I870)&amp;"-Vorstand  ·  eigenes WLAN",IF(J870=K870+2,Eingabe!$B$6&amp;"-"&amp;INDEX(Eingabe!$C$9:$C$18,I870)&amp;"-Gäste  ·  Voucher",IF(J870=K870+3,"Kabel  ·  Access Point y = .(50+y), Mast-Switch x = .(10+x)","")))))</f>
        <v/>
      </c>
      <c r="I870" s="0" t="str">
        <f aca="false">IF(865&lt;=(Eingabe!$P$18+Eingabe!$Q$18-1),MATCH(865,Eingabe!$P$9:$P$18,1),"")</f>
        <v/>
      </c>
      <c r="J870" s="0" t="str">
        <f aca="false">IF(I870="","",865-INDEX(Eingabe!$P$9:$P$18,I870))</f>
        <v/>
      </c>
      <c r="K870" s="0" t="str">
        <f aca="false">IF(I870="","",INDEX(Eingabe!$E$9:$E$18,I870))</f>
        <v/>
      </c>
    </row>
    <row r="871" customFormat="false" ht="15" hidden="false" customHeight="false" outlineLevel="0" collapsed="false">
      <c r="A871" s="0" t="str">
        <f aca="false">IF(I871="","",IF(J871=0,"Sparte "&amp;I871&amp;": "&amp;INDEX(Eingabe!$B$9:$B$18,I871)&amp;"  (Sparten-ID "&amp;INDEX(Eingabe!$D$9:$D$18,I871)&amp;", "&amp;K871&amp;" Parzellen)",IF(J871&lt;=K871,"   Parzelle "&amp;J871,IF(J871=K871+1,"   Vorstand",IF(J871=K871+2,"   Gäste",IF(J871=K871+3,"   Technik (Switches, Access Points)",""))))))</f>
        <v/>
      </c>
      <c r="B871" s="0" t="str">
        <f aca="false">IF(I871="","",IF(AND(J871&gt;=1,J871&lt;=K871+3),IF(J871&lt;=K871,IF(J871&lt;=99,IF((INDEX(Eingabe!$G$9:$G$18,I871))&lt;=9,1000+(INDEX(Eingabe!$G$9:$G$18,I871))*100,3000)+J871,IF((INDEX(Eingabe!$G$9:$G$18,I871)+1)&lt;=9,1000+(INDEX(Eingabe!$G$9:$G$18,I871)+1)*100,3000)+J871-100),IF(J871=K871+1,2000+INDEX(Eingabe!$G$9:$G$18,I871)*10+1,IF(J871=K871+2,2000+INDEX(Eingabe!$G$9:$G$18,I871)*10+2,2000+INDEX(Eingabe!$G$9:$G$18,I871)*10+9))),""))</f>
        <v/>
      </c>
      <c r="C871" s="0" t="str">
        <f aca="false">IF(I871="","",IF(AND(J871&gt;=1,J871&lt;=K871+3),"10."&amp;INDEX(Eingabe!$D$9:$D$18,I871)&amp;"."&amp;IF(J871&lt;=K871,J871,IF(J871=K871+1,200,IF(J871=K871+2,201,250)))&amp;".0/24",""))</f>
        <v/>
      </c>
      <c r="D871" s="0" t="str">
        <f aca="false">IF(I871="","",IF(AND(J871&gt;=1,J871&lt;=K871+3),"255.255.255.0",""))</f>
        <v/>
      </c>
      <c r="E871" s="0" t="str">
        <f aca="false">IF(I871="","",IF(AND(J871&gt;=1,J871&lt;=K871+3),"10."&amp;INDEX(Eingabe!$D$9:$D$18,I871)&amp;"."&amp;IF(J871&lt;=K871,J871,IF(J871=K871+1,200,IF(J871=K871+2,201,250)))&amp;".1",""))</f>
        <v/>
      </c>
      <c r="F871" s="0" t="str">
        <f aca="false">IF(I871="","",IF(AND(J871&gt;=1,J871&lt;=K871+3),"10."&amp;INDEX(Eingabe!$D$9:$D$18,I871)&amp;"."&amp;IF(J871&lt;=K871,J871,IF(J871=K871+1,200,IF(J871=K871+2,201,250)))&amp;".10 – 10."&amp;INDEX(Eingabe!$D$9:$D$18,I871)&amp;"."&amp;IF(J871&lt;=K871,J871,IF(J871=K871+1,200,IF(J871=K871+2,201,250)))&amp;".250",""))</f>
        <v/>
      </c>
      <c r="G871" s="0" t="str">
        <f aca="false">IF(I871="","",IF(AND(J871&gt;=1,J871&lt;=K871),Eingabe!$B$6&amp;"-"&amp;INDEX(Eingabe!$C$9:$C$18,I871)&amp;"-Pächter  ·  Passwort Parzelle "&amp;J871,IF(J871=K871+1,Eingabe!$B$6&amp;"-"&amp;INDEX(Eingabe!$C$9:$C$18,I871)&amp;"-Vorstand  ·  eigenes WLAN",IF(J871=K871+2,Eingabe!$B$6&amp;"-"&amp;INDEX(Eingabe!$C$9:$C$18,I871)&amp;"-Gäste  ·  Voucher",IF(J871=K871+3,"Kabel  ·  Access Point y = .(50+y), Mast-Switch x = .(10+x)","")))))</f>
        <v/>
      </c>
      <c r="I871" s="0" t="str">
        <f aca="false">IF(866&lt;=(Eingabe!$P$18+Eingabe!$Q$18-1),MATCH(866,Eingabe!$P$9:$P$18,1),"")</f>
        <v/>
      </c>
      <c r="J871" s="0" t="str">
        <f aca="false">IF(I871="","",866-INDEX(Eingabe!$P$9:$P$18,I871))</f>
        <v/>
      </c>
      <c r="K871" s="0" t="str">
        <f aca="false">IF(I871="","",INDEX(Eingabe!$E$9:$E$18,I871))</f>
        <v/>
      </c>
    </row>
    <row r="872" customFormat="false" ht="15" hidden="false" customHeight="false" outlineLevel="0" collapsed="false">
      <c r="A872" s="0" t="str">
        <f aca="false">IF(I872="","",IF(J872=0,"Sparte "&amp;I872&amp;": "&amp;INDEX(Eingabe!$B$9:$B$18,I872)&amp;"  (Sparten-ID "&amp;INDEX(Eingabe!$D$9:$D$18,I872)&amp;", "&amp;K872&amp;" Parzellen)",IF(J872&lt;=K872,"   Parzelle "&amp;J872,IF(J872=K872+1,"   Vorstand",IF(J872=K872+2,"   Gäste",IF(J872=K872+3,"   Technik (Switches, Access Points)",""))))))</f>
        <v/>
      </c>
      <c r="B872" s="0" t="str">
        <f aca="false">IF(I872="","",IF(AND(J872&gt;=1,J872&lt;=K872+3),IF(J872&lt;=K872,IF(J872&lt;=99,IF((INDEX(Eingabe!$G$9:$G$18,I872))&lt;=9,1000+(INDEX(Eingabe!$G$9:$G$18,I872))*100,3000)+J872,IF((INDEX(Eingabe!$G$9:$G$18,I872)+1)&lt;=9,1000+(INDEX(Eingabe!$G$9:$G$18,I872)+1)*100,3000)+J872-100),IF(J872=K872+1,2000+INDEX(Eingabe!$G$9:$G$18,I872)*10+1,IF(J872=K872+2,2000+INDEX(Eingabe!$G$9:$G$18,I872)*10+2,2000+INDEX(Eingabe!$G$9:$G$18,I872)*10+9))),""))</f>
        <v/>
      </c>
      <c r="C872" s="0" t="str">
        <f aca="false">IF(I872="","",IF(AND(J872&gt;=1,J872&lt;=K872+3),"10."&amp;INDEX(Eingabe!$D$9:$D$18,I872)&amp;"."&amp;IF(J872&lt;=K872,J872,IF(J872=K872+1,200,IF(J872=K872+2,201,250)))&amp;".0/24",""))</f>
        <v/>
      </c>
      <c r="D872" s="0" t="str">
        <f aca="false">IF(I872="","",IF(AND(J872&gt;=1,J872&lt;=K872+3),"255.255.255.0",""))</f>
        <v/>
      </c>
      <c r="E872" s="0" t="str">
        <f aca="false">IF(I872="","",IF(AND(J872&gt;=1,J872&lt;=K872+3),"10."&amp;INDEX(Eingabe!$D$9:$D$18,I872)&amp;"."&amp;IF(J872&lt;=K872,J872,IF(J872=K872+1,200,IF(J872=K872+2,201,250)))&amp;".1",""))</f>
        <v/>
      </c>
      <c r="F872" s="0" t="str">
        <f aca="false">IF(I872="","",IF(AND(J872&gt;=1,J872&lt;=K872+3),"10."&amp;INDEX(Eingabe!$D$9:$D$18,I872)&amp;"."&amp;IF(J872&lt;=K872,J872,IF(J872=K872+1,200,IF(J872=K872+2,201,250)))&amp;".10 – 10."&amp;INDEX(Eingabe!$D$9:$D$18,I872)&amp;"."&amp;IF(J872&lt;=K872,J872,IF(J872=K872+1,200,IF(J872=K872+2,201,250)))&amp;".250",""))</f>
        <v/>
      </c>
      <c r="G872" s="0" t="str">
        <f aca="false">IF(I872="","",IF(AND(J872&gt;=1,J872&lt;=K872),Eingabe!$B$6&amp;"-"&amp;INDEX(Eingabe!$C$9:$C$18,I872)&amp;"-Pächter  ·  Passwort Parzelle "&amp;J872,IF(J872=K872+1,Eingabe!$B$6&amp;"-"&amp;INDEX(Eingabe!$C$9:$C$18,I872)&amp;"-Vorstand  ·  eigenes WLAN",IF(J872=K872+2,Eingabe!$B$6&amp;"-"&amp;INDEX(Eingabe!$C$9:$C$18,I872)&amp;"-Gäste  ·  Voucher",IF(J872=K872+3,"Kabel  ·  Access Point y = .(50+y), Mast-Switch x = .(10+x)","")))))</f>
        <v/>
      </c>
      <c r="I872" s="0" t="str">
        <f aca="false">IF(867&lt;=(Eingabe!$P$18+Eingabe!$Q$18-1),MATCH(867,Eingabe!$P$9:$P$18,1),"")</f>
        <v/>
      </c>
      <c r="J872" s="0" t="str">
        <f aca="false">IF(I872="","",867-INDEX(Eingabe!$P$9:$P$18,I872))</f>
        <v/>
      </c>
      <c r="K872" s="0" t="str">
        <f aca="false">IF(I872="","",INDEX(Eingabe!$E$9:$E$18,I872))</f>
        <v/>
      </c>
    </row>
    <row r="873" customFormat="false" ht="15" hidden="false" customHeight="false" outlineLevel="0" collapsed="false">
      <c r="A873" s="0" t="str">
        <f aca="false">IF(I873="","",IF(J873=0,"Sparte "&amp;I873&amp;": "&amp;INDEX(Eingabe!$B$9:$B$18,I873)&amp;"  (Sparten-ID "&amp;INDEX(Eingabe!$D$9:$D$18,I873)&amp;", "&amp;K873&amp;" Parzellen)",IF(J873&lt;=K873,"   Parzelle "&amp;J873,IF(J873=K873+1,"   Vorstand",IF(J873=K873+2,"   Gäste",IF(J873=K873+3,"   Technik (Switches, Access Points)",""))))))</f>
        <v/>
      </c>
      <c r="B873" s="0" t="str">
        <f aca="false">IF(I873="","",IF(AND(J873&gt;=1,J873&lt;=K873+3),IF(J873&lt;=K873,IF(J873&lt;=99,IF((INDEX(Eingabe!$G$9:$G$18,I873))&lt;=9,1000+(INDEX(Eingabe!$G$9:$G$18,I873))*100,3000)+J873,IF((INDEX(Eingabe!$G$9:$G$18,I873)+1)&lt;=9,1000+(INDEX(Eingabe!$G$9:$G$18,I873)+1)*100,3000)+J873-100),IF(J873=K873+1,2000+INDEX(Eingabe!$G$9:$G$18,I873)*10+1,IF(J873=K873+2,2000+INDEX(Eingabe!$G$9:$G$18,I873)*10+2,2000+INDEX(Eingabe!$G$9:$G$18,I873)*10+9))),""))</f>
        <v/>
      </c>
      <c r="C873" s="0" t="str">
        <f aca="false">IF(I873="","",IF(AND(J873&gt;=1,J873&lt;=K873+3),"10."&amp;INDEX(Eingabe!$D$9:$D$18,I873)&amp;"."&amp;IF(J873&lt;=K873,J873,IF(J873=K873+1,200,IF(J873=K873+2,201,250)))&amp;".0/24",""))</f>
        <v/>
      </c>
      <c r="D873" s="0" t="str">
        <f aca="false">IF(I873="","",IF(AND(J873&gt;=1,J873&lt;=K873+3),"255.255.255.0",""))</f>
        <v/>
      </c>
      <c r="E873" s="0" t="str">
        <f aca="false">IF(I873="","",IF(AND(J873&gt;=1,J873&lt;=K873+3),"10."&amp;INDEX(Eingabe!$D$9:$D$18,I873)&amp;"."&amp;IF(J873&lt;=K873,J873,IF(J873=K873+1,200,IF(J873=K873+2,201,250)))&amp;".1",""))</f>
        <v/>
      </c>
      <c r="F873" s="0" t="str">
        <f aca="false">IF(I873="","",IF(AND(J873&gt;=1,J873&lt;=K873+3),"10."&amp;INDEX(Eingabe!$D$9:$D$18,I873)&amp;"."&amp;IF(J873&lt;=K873,J873,IF(J873=K873+1,200,IF(J873=K873+2,201,250)))&amp;".10 – 10."&amp;INDEX(Eingabe!$D$9:$D$18,I873)&amp;"."&amp;IF(J873&lt;=K873,J873,IF(J873=K873+1,200,IF(J873=K873+2,201,250)))&amp;".250",""))</f>
        <v/>
      </c>
      <c r="G873" s="0" t="str">
        <f aca="false">IF(I873="","",IF(AND(J873&gt;=1,J873&lt;=K873),Eingabe!$B$6&amp;"-"&amp;INDEX(Eingabe!$C$9:$C$18,I873)&amp;"-Pächter  ·  Passwort Parzelle "&amp;J873,IF(J873=K873+1,Eingabe!$B$6&amp;"-"&amp;INDEX(Eingabe!$C$9:$C$18,I873)&amp;"-Vorstand  ·  eigenes WLAN",IF(J873=K873+2,Eingabe!$B$6&amp;"-"&amp;INDEX(Eingabe!$C$9:$C$18,I873)&amp;"-Gäste  ·  Voucher",IF(J873=K873+3,"Kabel  ·  Access Point y = .(50+y), Mast-Switch x = .(10+x)","")))))</f>
        <v/>
      </c>
      <c r="I873" s="0" t="str">
        <f aca="false">IF(868&lt;=(Eingabe!$P$18+Eingabe!$Q$18-1),MATCH(868,Eingabe!$P$9:$P$18,1),"")</f>
        <v/>
      </c>
      <c r="J873" s="0" t="str">
        <f aca="false">IF(I873="","",868-INDEX(Eingabe!$P$9:$P$18,I873))</f>
        <v/>
      </c>
      <c r="K873" s="0" t="str">
        <f aca="false">IF(I873="","",INDEX(Eingabe!$E$9:$E$18,I873))</f>
        <v/>
      </c>
    </row>
    <row r="874" customFormat="false" ht="15" hidden="false" customHeight="false" outlineLevel="0" collapsed="false">
      <c r="A874" s="0" t="str">
        <f aca="false">IF(I874="","",IF(J874=0,"Sparte "&amp;I874&amp;": "&amp;INDEX(Eingabe!$B$9:$B$18,I874)&amp;"  (Sparten-ID "&amp;INDEX(Eingabe!$D$9:$D$18,I874)&amp;", "&amp;K874&amp;" Parzellen)",IF(J874&lt;=K874,"   Parzelle "&amp;J874,IF(J874=K874+1,"   Vorstand",IF(J874=K874+2,"   Gäste",IF(J874=K874+3,"   Technik (Switches, Access Points)",""))))))</f>
        <v/>
      </c>
      <c r="B874" s="0" t="str">
        <f aca="false">IF(I874="","",IF(AND(J874&gt;=1,J874&lt;=K874+3),IF(J874&lt;=K874,IF(J874&lt;=99,IF((INDEX(Eingabe!$G$9:$G$18,I874))&lt;=9,1000+(INDEX(Eingabe!$G$9:$G$18,I874))*100,3000)+J874,IF((INDEX(Eingabe!$G$9:$G$18,I874)+1)&lt;=9,1000+(INDEX(Eingabe!$G$9:$G$18,I874)+1)*100,3000)+J874-100),IF(J874=K874+1,2000+INDEX(Eingabe!$G$9:$G$18,I874)*10+1,IF(J874=K874+2,2000+INDEX(Eingabe!$G$9:$G$18,I874)*10+2,2000+INDEX(Eingabe!$G$9:$G$18,I874)*10+9))),""))</f>
        <v/>
      </c>
      <c r="C874" s="0" t="str">
        <f aca="false">IF(I874="","",IF(AND(J874&gt;=1,J874&lt;=K874+3),"10."&amp;INDEX(Eingabe!$D$9:$D$18,I874)&amp;"."&amp;IF(J874&lt;=K874,J874,IF(J874=K874+1,200,IF(J874=K874+2,201,250)))&amp;".0/24",""))</f>
        <v/>
      </c>
      <c r="D874" s="0" t="str">
        <f aca="false">IF(I874="","",IF(AND(J874&gt;=1,J874&lt;=K874+3),"255.255.255.0",""))</f>
        <v/>
      </c>
      <c r="E874" s="0" t="str">
        <f aca="false">IF(I874="","",IF(AND(J874&gt;=1,J874&lt;=K874+3),"10."&amp;INDEX(Eingabe!$D$9:$D$18,I874)&amp;"."&amp;IF(J874&lt;=K874,J874,IF(J874=K874+1,200,IF(J874=K874+2,201,250)))&amp;".1",""))</f>
        <v/>
      </c>
      <c r="F874" s="0" t="str">
        <f aca="false">IF(I874="","",IF(AND(J874&gt;=1,J874&lt;=K874+3),"10."&amp;INDEX(Eingabe!$D$9:$D$18,I874)&amp;"."&amp;IF(J874&lt;=K874,J874,IF(J874=K874+1,200,IF(J874=K874+2,201,250)))&amp;".10 – 10."&amp;INDEX(Eingabe!$D$9:$D$18,I874)&amp;"."&amp;IF(J874&lt;=K874,J874,IF(J874=K874+1,200,IF(J874=K874+2,201,250)))&amp;".250",""))</f>
        <v/>
      </c>
      <c r="G874" s="0" t="str">
        <f aca="false">IF(I874="","",IF(AND(J874&gt;=1,J874&lt;=K874),Eingabe!$B$6&amp;"-"&amp;INDEX(Eingabe!$C$9:$C$18,I874)&amp;"-Pächter  ·  Passwort Parzelle "&amp;J874,IF(J874=K874+1,Eingabe!$B$6&amp;"-"&amp;INDEX(Eingabe!$C$9:$C$18,I874)&amp;"-Vorstand  ·  eigenes WLAN",IF(J874=K874+2,Eingabe!$B$6&amp;"-"&amp;INDEX(Eingabe!$C$9:$C$18,I874)&amp;"-Gäste  ·  Voucher",IF(J874=K874+3,"Kabel  ·  Access Point y = .(50+y), Mast-Switch x = .(10+x)","")))))</f>
        <v/>
      </c>
      <c r="I874" s="0" t="str">
        <f aca="false">IF(869&lt;=(Eingabe!$P$18+Eingabe!$Q$18-1),MATCH(869,Eingabe!$P$9:$P$18,1),"")</f>
        <v/>
      </c>
      <c r="J874" s="0" t="str">
        <f aca="false">IF(I874="","",869-INDEX(Eingabe!$P$9:$P$18,I874))</f>
        <v/>
      </c>
      <c r="K874" s="0" t="str">
        <f aca="false">IF(I874="","",INDEX(Eingabe!$E$9:$E$18,I874))</f>
        <v/>
      </c>
    </row>
    <row r="875" customFormat="false" ht="15" hidden="false" customHeight="false" outlineLevel="0" collapsed="false">
      <c r="A875" s="0" t="str">
        <f aca="false">IF(I875="","",IF(J875=0,"Sparte "&amp;I875&amp;": "&amp;INDEX(Eingabe!$B$9:$B$18,I875)&amp;"  (Sparten-ID "&amp;INDEX(Eingabe!$D$9:$D$18,I875)&amp;", "&amp;K875&amp;" Parzellen)",IF(J875&lt;=K875,"   Parzelle "&amp;J875,IF(J875=K875+1,"   Vorstand",IF(J875=K875+2,"   Gäste",IF(J875=K875+3,"   Technik (Switches, Access Points)",""))))))</f>
        <v/>
      </c>
      <c r="B875" s="0" t="str">
        <f aca="false">IF(I875="","",IF(AND(J875&gt;=1,J875&lt;=K875+3),IF(J875&lt;=K875,IF(J875&lt;=99,IF((INDEX(Eingabe!$G$9:$G$18,I875))&lt;=9,1000+(INDEX(Eingabe!$G$9:$G$18,I875))*100,3000)+J875,IF((INDEX(Eingabe!$G$9:$G$18,I875)+1)&lt;=9,1000+(INDEX(Eingabe!$G$9:$G$18,I875)+1)*100,3000)+J875-100),IF(J875=K875+1,2000+INDEX(Eingabe!$G$9:$G$18,I875)*10+1,IF(J875=K875+2,2000+INDEX(Eingabe!$G$9:$G$18,I875)*10+2,2000+INDEX(Eingabe!$G$9:$G$18,I875)*10+9))),""))</f>
        <v/>
      </c>
      <c r="C875" s="0" t="str">
        <f aca="false">IF(I875="","",IF(AND(J875&gt;=1,J875&lt;=K875+3),"10."&amp;INDEX(Eingabe!$D$9:$D$18,I875)&amp;"."&amp;IF(J875&lt;=K875,J875,IF(J875=K875+1,200,IF(J875=K875+2,201,250)))&amp;".0/24",""))</f>
        <v/>
      </c>
      <c r="D875" s="0" t="str">
        <f aca="false">IF(I875="","",IF(AND(J875&gt;=1,J875&lt;=K875+3),"255.255.255.0",""))</f>
        <v/>
      </c>
      <c r="E875" s="0" t="str">
        <f aca="false">IF(I875="","",IF(AND(J875&gt;=1,J875&lt;=K875+3),"10."&amp;INDEX(Eingabe!$D$9:$D$18,I875)&amp;"."&amp;IF(J875&lt;=K875,J875,IF(J875=K875+1,200,IF(J875=K875+2,201,250)))&amp;".1",""))</f>
        <v/>
      </c>
      <c r="F875" s="0" t="str">
        <f aca="false">IF(I875="","",IF(AND(J875&gt;=1,J875&lt;=K875+3),"10."&amp;INDEX(Eingabe!$D$9:$D$18,I875)&amp;"."&amp;IF(J875&lt;=K875,J875,IF(J875=K875+1,200,IF(J875=K875+2,201,250)))&amp;".10 – 10."&amp;INDEX(Eingabe!$D$9:$D$18,I875)&amp;"."&amp;IF(J875&lt;=K875,J875,IF(J875=K875+1,200,IF(J875=K875+2,201,250)))&amp;".250",""))</f>
        <v/>
      </c>
      <c r="G875" s="0" t="str">
        <f aca="false">IF(I875="","",IF(AND(J875&gt;=1,J875&lt;=K875),Eingabe!$B$6&amp;"-"&amp;INDEX(Eingabe!$C$9:$C$18,I875)&amp;"-Pächter  ·  Passwort Parzelle "&amp;J875,IF(J875=K875+1,Eingabe!$B$6&amp;"-"&amp;INDEX(Eingabe!$C$9:$C$18,I875)&amp;"-Vorstand  ·  eigenes WLAN",IF(J875=K875+2,Eingabe!$B$6&amp;"-"&amp;INDEX(Eingabe!$C$9:$C$18,I875)&amp;"-Gäste  ·  Voucher",IF(J875=K875+3,"Kabel  ·  Access Point y = .(50+y), Mast-Switch x = .(10+x)","")))))</f>
        <v/>
      </c>
      <c r="I875" s="0" t="str">
        <f aca="false">IF(870&lt;=(Eingabe!$P$18+Eingabe!$Q$18-1),MATCH(870,Eingabe!$P$9:$P$18,1),"")</f>
        <v/>
      </c>
      <c r="J875" s="0" t="str">
        <f aca="false">IF(I875="","",870-INDEX(Eingabe!$P$9:$P$18,I875))</f>
        <v/>
      </c>
      <c r="K875" s="0" t="str">
        <f aca="false">IF(I875="","",INDEX(Eingabe!$E$9:$E$18,I875))</f>
        <v/>
      </c>
    </row>
    <row r="876" customFormat="false" ht="15" hidden="false" customHeight="false" outlineLevel="0" collapsed="false">
      <c r="A876" s="0" t="str">
        <f aca="false">IF(I876="","",IF(J876=0,"Sparte "&amp;I876&amp;": "&amp;INDEX(Eingabe!$B$9:$B$18,I876)&amp;"  (Sparten-ID "&amp;INDEX(Eingabe!$D$9:$D$18,I876)&amp;", "&amp;K876&amp;" Parzellen)",IF(J876&lt;=K876,"   Parzelle "&amp;J876,IF(J876=K876+1,"   Vorstand",IF(J876=K876+2,"   Gäste",IF(J876=K876+3,"   Technik (Switches, Access Points)",""))))))</f>
        <v/>
      </c>
      <c r="B876" s="0" t="str">
        <f aca="false">IF(I876="","",IF(AND(J876&gt;=1,J876&lt;=K876+3),IF(J876&lt;=K876,IF(J876&lt;=99,IF((INDEX(Eingabe!$G$9:$G$18,I876))&lt;=9,1000+(INDEX(Eingabe!$G$9:$G$18,I876))*100,3000)+J876,IF((INDEX(Eingabe!$G$9:$G$18,I876)+1)&lt;=9,1000+(INDEX(Eingabe!$G$9:$G$18,I876)+1)*100,3000)+J876-100),IF(J876=K876+1,2000+INDEX(Eingabe!$G$9:$G$18,I876)*10+1,IF(J876=K876+2,2000+INDEX(Eingabe!$G$9:$G$18,I876)*10+2,2000+INDEX(Eingabe!$G$9:$G$18,I876)*10+9))),""))</f>
        <v/>
      </c>
      <c r="C876" s="0" t="str">
        <f aca="false">IF(I876="","",IF(AND(J876&gt;=1,J876&lt;=K876+3),"10."&amp;INDEX(Eingabe!$D$9:$D$18,I876)&amp;"."&amp;IF(J876&lt;=K876,J876,IF(J876=K876+1,200,IF(J876=K876+2,201,250)))&amp;".0/24",""))</f>
        <v/>
      </c>
      <c r="D876" s="0" t="str">
        <f aca="false">IF(I876="","",IF(AND(J876&gt;=1,J876&lt;=K876+3),"255.255.255.0",""))</f>
        <v/>
      </c>
      <c r="E876" s="0" t="str">
        <f aca="false">IF(I876="","",IF(AND(J876&gt;=1,J876&lt;=K876+3),"10."&amp;INDEX(Eingabe!$D$9:$D$18,I876)&amp;"."&amp;IF(J876&lt;=K876,J876,IF(J876=K876+1,200,IF(J876=K876+2,201,250)))&amp;".1",""))</f>
        <v/>
      </c>
      <c r="F876" s="0" t="str">
        <f aca="false">IF(I876="","",IF(AND(J876&gt;=1,J876&lt;=K876+3),"10."&amp;INDEX(Eingabe!$D$9:$D$18,I876)&amp;"."&amp;IF(J876&lt;=K876,J876,IF(J876=K876+1,200,IF(J876=K876+2,201,250)))&amp;".10 – 10."&amp;INDEX(Eingabe!$D$9:$D$18,I876)&amp;"."&amp;IF(J876&lt;=K876,J876,IF(J876=K876+1,200,IF(J876=K876+2,201,250)))&amp;".250",""))</f>
        <v/>
      </c>
      <c r="G876" s="0" t="str">
        <f aca="false">IF(I876="","",IF(AND(J876&gt;=1,J876&lt;=K876),Eingabe!$B$6&amp;"-"&amp;INDEX(Eingabe!$C$9:$C$18,I876)&amp;"-Pächter  ·  Passwort Parzelle "&amp;J876,IF(J876=K876+1,Eingabe!$B$6&amp;"-"&amp;INDEX(Eingabe!$C$9:$C$18,I876)&amp;"-Vorstand  ·  eigenes WLAN",IF(J876=K876+2,Eingabe!$B$6&amp;"-"&amp;INDEX(Eingabe!$C$9:$C$18,I876)&amp;"-Gäste  ·  Voucher",IF(J876=K876+3,"Kabel  ·  Access Point y = .(50+y), Mast-Switch x = .(10+x)","")))))</f>
        <v/>
      </c>
      <c r="I876" s="0" t="str">
        <f aca="false">IF(871&lt;=(Eingabe!$P$18+Eingabe!$Q$18-1),MATCH(871,Eingabe!$P$9:$P$18,1),"")</f>
        <v/>
      </c>
      <c r="J876" s="0" t="str">
        <f aca="false">IF(I876="","",871-INDEX(Eingabe!$P$9:$P$18,I876))</f>
        <v/>
      </c>
      <c r="K876" s="0" t="str">
        <f aca="false">IF(I876="","",INDEX(Eingabe!$E$9:$E$18,I876))</f>
        <v/>
      </c>
    </row>
    <row r="877" customFormat="false" ht="15" hidden="false" customHeight="false" outlineLevel="0" collapsed="false">
      <c r="A877" s="0" t="str">
        <f aca="false">IF(I877="","",IF(J877=0,"Sparte "&amp;I877&amp;": "&amp;INDEX(Eingabe!$B$9:$B$18,I877)&amp;"  (Sparten-ID "&amp;INDEX(Eingabe!$D$9:$D$18,I877)&amp;", "&amp;K877&amp;" Parzellen)",IF(J877&lt;=K877,"   Parzelle "&amp;J877,IF(J877=K877+1,"   Vorstand",IF(J877=K877+2,"   Gäste",IF(J877=K877+3,"   Technik (Switches, Access Points)",""))))))</f>
        <v/>
      </c>
      <c r="B877" s="0" t="str">
        <f aca="false">IF(I877="","",IF(AND(J877&gt;=1,J877&lt;=K877+3),IF(J877&lt;=K877,IF(J877&lt;=99,IF((INDEX(Eingabe!$G$9:$G$18,I877))&lt;=9,1000+(INDEX(Eingabe!$G$9:$G$18,I877))*100,3000)+J877,IF((INDEX(Eingabe!$G$9:$G$18,I877)+1)&lt;=9,1000+(INDEX(Eingabe!$G$9:$G$18,I877)+1)*100,3000)+J877-100),IF(J877=K877+1,2000+INDEX(Eingabe!$G$9:$G$18,I877)*10+1,IF(J877=K877+2,2000+INDEX(Eingabe!$G$9:$G$18,I877)*10+2,2000+INDEX(Eingabe!$G$9:$G$18,I877)*10+9))),""))</f>
        <v/>
      </c>
      <c r="C877" s="0" t="str">
        <f aca="false">IF(I877="","",IF(AND(J877&gt;=1,J877&lt;=K877+3),"10."&amp;INDEX(Eingabe!$D$9:$D$18,I877)&amp;"."&amp;IF(J877&lt;=K877,J877,IF(J877=K877+1,200,IF(J877=K877+2,201,250)))&amp;".0/24",""))</f>
        <v/>
      </c>
      <c r="D877" s="0" t="str">
        <f aca="false">IF(I877="","",IF(AND(J877&gt;=1,J877&lt;=K877+3),"255.255.255.0",""))</f>
        <v/>
      </c>
      <c r="E877" s="0" t="str">
        <f aca="false">IF(I877="","",IF(AND(J877&gt;=1,J877&lt;=K877+3),"10."&amp;INDEX(Eingabe!$D$9:$D$18,I877)&amp;"."&amp;IF(J877&lt;=K877,J877,IF(J877=K877+1,200,IF(J877=K877+2,201,250)))&amp;".1",""))</f>
        <v/>
      </c>
      <c r="F877" s="0" t="str">
        <f aca="false">IF(I877="","",IF(AND(J877&gt;=1,J877&lt;=K877+3),"10."&amp;INDEX(Eingabe!$D$9:$D$18,I877)&amp;"."&amp;IF(J877&lt;=K877,J877,IF(J877=K877+1,200,IF(J877=K877+2,201,250)))&amp;".10 – 10."&amp;INDEX(Eingabe!$D$9:$D$18,I877)&amp;"."&amp;IF(J877&lt;=K877,J877,IF(J877=K877+1,200,IF(J877=K877+2,201,250)))&amp;".250",""))</f>
        <v/>
      </c>
      <c r="G877" s="0" t="str">
        <f aca="false">IF(I877="","",IF(AND(J877&gt;=1,J877&lt;=K877),Eingabe!$B$6&amp;"-"&amp;INDEX(Eingabe!$C$9:$C$18,I877)&amp;"-Pächter  ·  Passwort Parzelle "&amp;J877,IF(J877=K877+1,Eingabe!$B$6&amp;"-"&amp;INDEX(Eingabe!$C$9:$C$18,I877)&amp;"-Vorstand  ·  eigenes WLAN",IF(J877=K877+2,Eingabe!$B$6&amp;"-"&amp;INDEX(Eingabe!$C$9:$C$18,I877)&amp;"-Gäste  ·  Voucher",IF(J877=K877+3,"Kabel  ·  Access Point y = .(50+y), Mast-Switch x = .(10+x)","")))))</f>
        <v/>
      </c>
      <c r="I877" s="0" t="str">
        <f aca="false">IF(872&lt;=(Eingabe!$P$18+Eingabe!$Q$18-1),MATCH(872,Eingabe!$P$9:$P$18,1),"")</f>
        <v/>
      </c>
      <c r="J877" s="0" t="str">
        <f aca="false">IF(I877="","",872-INDEX(Eingabe!$P$9:$P$18,I877))</f>
        <v/>
      </c>
      <c r="K877" s="0" t="str">
        <f aca="false">IF(I877="","",INDEX(Eingabe!$E$9:$E$18,I877))</f>
        <v/>
      </c>
    </row>
    <row r="878" customFormat="false" ht="15" hidden="false" customHeight="false" outlineLevel="0" collapsed="false">
      <c r="A878" s="0" t="str">
        <f aca="false">IF(I878="","",IF(J878=0,"Sparte "&amp;I878&amp;": "&amp;INDEX(Eingabe!$B$9:$B$18,I878)&amp;"  (Sparten-ID "&amp;INDEX(Eingabe!$D$9:$D$18,I878)&amp;", "&amp;K878&amp;" Parzellen)",IF(J878&lt;=K878,"   Parzelle "&amp;J878,IF(J878=K878+1,"   Vorstand",IF(J878=K878+2,"   Gäste",IF(J878=K878+3,"   Technik (Switches, Access Points)",""))))))</f>
        <v/>
      </c>
      <c r="B878" s="0" t="str">
        <f aca="false">IF(I878="","",IF(AND(J878&gt;=1,J878&lt;=K878+3),IF(J878&lt;=K878,IF(J878&lt;=99,IF((INDEX(Eingabe!$G$9:$G$18,I878))&lt;=9,1000+(INDEX(Eingabe!$G$9:$G$18,I878))*100,3000)+J878,IF((INDEX(Eingabe!$G$9:$G$18,I878)+1)&lt;=9,1000+(INDEX(Eingabe!$G$9:$G$18,I878)+1)*100,3000)+J878-100),IF(J878=K878+1,2000+INDEX(Eingabe!$G$9:$G$18,I878)*10+1,IF(J878=K878+2,2000+INDEX(Eingabe!$G$9:$G$18,I878)*10+2,2000+INDEX(Eingabe!$G$9:$G$18,I878)*10+9))),""))</f>
        <v/>
      </c>
      <c r="C878" s="0" t="str">
        <f aca="false">IF(I878="","",IF(AND(J878&gt;=1,J878&lt;=K878+3),"10."&amp;INDEX(Eingabe!$D$9:$D$18,I878)&amp;"."&amp;IF(J878&lt;=K878,J878,IF(J878=K878+1,200,IF(J878=K878+2,201,250)))&amp;".0/24",""))</f>
        <v/>
      </c>
      <c r="D878" s="0" t="str">
        <f aca="false">IF(I878="","",IF(AND(J878&gt;=1,J878&lt;=K878+3),"255.255.255.0",""))</f>
        <v/>
      </c>
      <c r="E878" s="0" t="str">
        <f aca="false">IF(I878="","",IF(AND(J878&gt;=1,J878&lt;=K878+3),"10."&amp;INDEX(Eingabe!$D$9:$D$18,I878)&amp;"."&amp;IF(J878&lt;=K878,J878,IF(J878=K878+1,200,IF(J878=K878+2,201,250)))&amp;".1",""))</f>
        <v/>
      </c>
      <c r="F878" s="0" t="str">
        <f aca="false">IF(I878="","",IF(AND(J878&gt;=1,J878&lt;=K878+3),"10."&amp;INDEX(Eingabe!$D$9:$D$18,I878)&amp;"."&amp;IF(J878&lt;=K878,J878,IF(J878=K878+1,200,IF(J878=K878+2,201,250)))&amp;".10 – 10."&amp;INDEX(Eingabe!$D$9:$D$18,I878)&amp;"."&amp;IF(J878&lt;=K878,J878,IF(J878=K878+1,200,IF(J878=K878+2,201,250)))&amp;".250",""))</f>
        <v/>
      </c>
      <c r="G878" s="0" t="str">
        <f aca="false">IF(I878="","",IF(AND(J878&gt;=1,J878&lt;=K878),Eingabe!$B$6&amp;"-"&amp;INDEX(Eingabe!$C$9:$C$18,I878)&amp;"-Pächter  ·  Passwort Parzelle "&amp;J878,IF(J878=K878+1,Eingabe!$B$6&amp;"-"&amp;INDEX(Eingabe!$C$9:$C$18,I878)&amp;"-Vorstand  ·  eigenes WLAN",IF(J878=K878+2,Eingabe!$B$6&amp;"-"&amp;INDEX(Eingabe!$C$9:$C$18,I878)&amp;"-Gäste  ·  Voucher",IF(J878=K878+3,"Kabel  ·  Access Point y = .(50+y), Mast-Switch x = .(10+x)","")))))</f>
        <v/>
      </c>
      <c r="I878" s="0" t="str">
        <f aca="false">IF(873&lt;=(Eingabe!$P$18+Eingabe!$Q$18-1),MATCH(873,Eingabe!$P$9:$P$18,1),"")</f>
        <v/>
      </c>
      <c r="J878" s="0" t="str">
        <f aca="false">IF(I878="","",873-INDEX(Eingabe!$P$9:$P$18,I878))</f>
        <v/>
      </c>
      <c r="K878" s="0" t="str">
        <f aca="false">IF(I878="","",INDEX(Eingabe!$E$9:$E$18,I878))</f>
        <v/>
      </c>
    </row>
    <row r="879" customFormat="false" ht="15" hidden="false" customHeight="false" outlineLevel="0" collapsed="false">
      <c r="A879" s="0" t="str">
        <f aca="false">IF(I879="","",IF(J879=0,"Sparte "&amp;I879&amp;": "&amp;INDEX(Eingabe!$B$9:$B$18,I879)&amp;"  (Sparten-ID "&amp;INDEX(Eingabe!$D$9:$D$18,I879)&amp;", "&amp;K879&amp;" Parzellen)",IF(J879&lt;=K879,"   Parzelle "&amp;J879,IF(J879=K879+1,"   Vorstand",IF(J879=K879+2,"   Gäste",IF(J879=K879+3,"   Technik (Switches, Access Points)",""))))))</f>
        <v/>
      </c>
      <c r="B879" s="0" t="str">
        <f aca="false">IF(I879="","",IF(AND(J879&gt;=1,J879&lt;=K879+3),IF(J879&lt;=K879,IF(J879&lt;=99,IF((INDEX(Eingabe!$G$9:$G$18,I879))&lt;=9,1000+(INDEX(Eingabe!$G$9:$G$18,I879))*100,3000)+J879,IF((INDEX(Eingabe!$G$9:$G$18,I879)+1)&lt;=9,1000+(INDEX(Eingabe!$G$9:$G$18,I879)+1)*100,3000)+J879-100),IF(J879=K879+1,2000+INDEX(Eingabe!$G$9:$G$18,I879)*10+1,IF(J879=K879+2,2000+INDEX(Eingabe!$G$9:$G$18,I879)*10+2,2000+INDEX(Eingabe!$G$9:$G$18,I879)*10+9))),""))</f>
        <v/>
      </c>
      <c r="C879" s="0" t="str">
        <f aca="false">IF(I879="","",IF(AND(J879&gt;=1,J879&lt;=K879+3),"10."&amp;INDEX(Eingabe!$D$9:$D$18,I879)&amp;"."&amp;IF(J879&lt;=K879,J879,IF(J879=K879+1,200,IF(J879=K879+2,201,250)))&amp;".0/24",""))</f>
        <v/>
      </c>
      <c r="D879" s="0" t="str">
        <f aca="false">IF(I879="","",IF(AND(J879&gt;=1,J879&lt;=K879+3),"255.255.255.0",""))</f>
        <v/>
      </c>
      <c r="E879" s="0" t="str">
        <f aca="false">IF(I879="","",IF(AND(J879&gt;=1,J879&lt;=K879+3),"10."&amp;INDEX(Eingabe!$D$9:$D$18,I879)&amp;"."&amp;IF(J879&lt;=K879,J879,IF(J879=K879+1,200,IF(J879=K879+2,201,250)))&amp;".1",""))</f>
        <v/>
      </c>
      <c r="F879" s="0" t="str">
        <f aca="false">IF(I879="","",IF(AND(J879&gt;=1,J879&lt;=K879+3),"10."&amp;INDEX(Eingabe!$D$9:$D$18,I879)&amp;"."&amp;IF(J879&lt;=K879,J879,IF(J879=K879+1,200,IF(J879=K879+2,201,250)))&amp;".10 – 10."&amp;INDEX(Eingabe!$D$9:$D$18,I879)&amp;"."&amp;IF(J879&lt;=K879,J879,IF(J879=K879+1,200,IF(J879=K879+2,201,250)))&amp;".250",""))</f>
        <v/>
      </c>
      <c r="G879" s="0" t="str">
        <f aca="false">IF(I879="","",IF(AND(J879&gt;=1,J879&lt;=K879),Eingabe!$B$6&amp;"-"&amp;INDEX(Eingabe!$C$9:$C$18,I879)&amp;"-Pächter  ·  Passwort Parzelle "&amp;J879,IF(J879=K879+1,Eingabe!$B$6&amp;"-"&amp;INDEX(Eingabe!$C$9:$C$18,I879)&amp;"-Vorstand  ·  eigenes WLAN",IF(J879=K879+2,Eingabe!$B$6&amp;"-"&amp;INDEX(Eingabe!$C$9:$C$18,I879)&amp;"-Gäste  ·  Voucher",IF(J879=K879+3,"Kabel  ·  Access Point y = .(50+y), Mast-Switch x = .(10+x)","")))))</f>
        <v/>
      </c>
      <c r="I879" s="0" t="str">
        <f aca="false">IF(874&lt;=(Eingabe!$P$18+Eingabe!$Q$18-1),MATCH(874,Eingabe!$P$9:$P$18,1),"")</f>
        <v/>
      </c>
      <c r="J879" s="0" t="str">
        <f aca="false">IF(I879="","",874-INDEX(Eingabe!$P$9:$P$18,I879))</f>
        <v/>
      </c>
      <c r="K879" s="0" t="str">
        <f aca="false">IF(I879="","",INDEX(Eingabe!$E$9:$E$18,I879))</f>
        <v/>
      </c>
    </row>
    <row r="880" customFormat="false" ht="15" hidden="false" customHeight="false" outlineLevel="0" collapsed="false">
      <c r="A880" s="0" t="str">
        <f aca="false">IF(I880="","",IF(J880=0,"Sparte "&amp;I880&amp;": "&amp;INDEX(Eingabe!$B$9:$B$18,I880)&amp;"  (Sparten-ID "&amp;INDEX(Eingabe!$D$9:$D$18,I880)&amp;", "&amp;K880&amp;" Parzellen)",IF(J880&lt;=K880,"   Parzelle "&amp;J880,IF(J880=K880+1,"   Vorstand",IF(J880=K880+2,"   Gäste",IF(J880=K880+3,"   Technik (Switches, Access Points)",""))))))</f>
        <v/>
      </c>
      <c r="B880" s="0" t="str">
        <f aca="false">IF(I880="","",IF(AND(J880&gt;=1,J880&lt;=K880+3),IF(J880&lt;=K880,IF(J880&lt;=99,IF((INDEX(Eingabe!$G$9:$G$18,I880))&lt;=9,1000+(INDEX(Eingabe!$G$9:$G$18,I880))*100,3000)+J880,IF((INDEX(Eingabe!$G$9:$G$18,I880)+1)&lt;=9,1000+(INDEX(Eingabe!$G$9:$G$18,I880)+1)*100,3000)+J880-100),IF(J880=K880+1,2000+INDEX(Eingabe!$G$9:$G$18,I880)*10+1,IF(J880=K880+2,2000+INDEX(Eingabe!$G$9:$G$18,I880)*10+2,2000+INDEX(Eingabe!$G$9:$G$18,I880)*10+9))),""))</f>
        <v/>
      </c>
      <c r="C880" s="0" t="str">
        <f aca="false">IF(I880="","",IF(AND(J880&gt;=1,J880&lt;=K880+3),"10."&amp;INDEX(Eingabe!$D$9:$D$18,I880)&amp;"."&amp;IF(J880&lt;=K880,J880,IF(J880=K880+1,200,IF(J880=K880+2,201,250)))&amp;".0/24",""))</f>
        <v/>
      </c>
      <c r="D880" s="0" t="str">
        <f aca="false">IF(I880="","",IF(AND(J880&gt;=1,J880&lt;=K880+3),"255.255.255.0",""))</f>
        <v/>
      </c>
      <c r="E880" s="0" t="str">
        <f aca="false">IF(I880="","",IF(AND(J880&gt;=1,J880&lt;=K880+3),"10."&amp;INDEX(Eingabe!$D$9:$D$18,I880)&amp;"."&amp;IF(J880&lt;=K880,J880,IF(J880=K880+1,200,IF(J880=K880+2,201,250)))&amp;".1",""))</f>
        <v/>
      </c>
      <c r="F880" s="0" t="str">
        <f aca="false">IF(I880="","",IF(AND(J880&gt;=1,J880&lt;=K880+3),"10."&amp;INDEX(Eingabe!$D$9:$D$18,I880)&amp;"."&amp;IF(J880&lt;=K880,J880,IF(J880=K880+1,200,IF(J880=K880+2,201,250)))&amp;".10 – 10."&amp;INDEX(Eingabe!$D$9:$D$18,I880)&amp;"."&amp;IF(J880&lt;=K880,J880,IF(J880=K880+1,200,IF(J880=K880+2,201,250)))&amp;".250",""))</f>
        <v/>
      </c>
      <c r="G880" s="0" t="str">
        <f aca="false">IF(I880="","",IF(AND(J880&gt;=1,J880&lt;=K880),Eingabe!$B$6&amp;"-"&amp;INDEX(Eingabe!$C$9:$C$18,I880)&amp;"-Pächter  ·  Passwort Parzelle "&amp;J880,IF(J880=K880+1,Eingabe!$B$6&amp;"-"&amp;INDEX(Eingabe!$C$9:$C$18,I880)&amp;"-Vorstand  ·  eigenes WLAN",IF(J880=K880+2,Eingabe!$B$6&amp;"-"&amp;INDEX(Eingabe!$C$9:$C$18,I880)&amp;"-Gäste  ·  Voucher",IF(J880=K880+3,"Kabel  ·  Access Point y = .(50+y), Mast-Switch x = .(10+x)","")))))</f>
        <v/>
      </c>
      <c r="I880" s="0" t="str">
        <f aca="false">IF(875&lt;=(Eingabe!$P$18+Eingabe!$Q$18-1),MATCH(875,Eingabe!$P$9:$P$18,1),"")</f>
        <v/>
      </c>
      <c r="J880" s="0" t="str">
        <f aca="false">IF(I880="","",875-INDEX(Eingabe!$P$9:$P$18,I880))</f>
        <v/>
      </c>
      <c r="K880" s="0" t="str">
        <f aca="false">IF(I880="","",INDEX(Eingabe!$E$9:$E$18,I880))</f>
        <v/>
      </c>
    </row>
    <row r="881" customFormat="false" ht="15" hidden="false" customHeight="false" outlineLevel="0" collapsed="false">
      <c r="A881" s="0" t="str">
        <f aca="false">IF(I881="","",IF(J881=0,"Sparte "&amp;I881&amp;": "&amp;INDEX(Eingabe!$B$9:$B$18,I881)&amp;"  (Sparten-ID "&amp;INDEX(Eingabe!$D$9:$D$18,I881)&amp;", "&amp;K881&amp;" Parzellen)",IF(J881&lt;=K881,"   Parzelle "&amp;J881,IF(J881=K881+1,"   Vorstand",IF(J881=K881+2,"   Gäste",IF(J881=K881+3,"   Technik (Switches, Access Points)",""))))))</f>
        <v/>
      </c>
      <c r="B881" s="0" t="str">
        <f aca="false">IF(I881="","",IF(AND(J881&gt;=1,J881&lt;=K881+3),IF(J881&lt;=K881,IF(J881&lt;=99,IF((INDEX(Eingabe!$G$9:$G$18,I881))&lt;=9,1000+(INDEX(Eingabe!$G$9:$G$18,I881))*100,3000)+J881,IF((INDEX(Eingabe!$G$9:$G$18,I881)+1)&lt;=9,1000+(INDEX(Eingabe!$G$9:$G$18,I881)+1)*100,3000)+J881-100),IF(J881=K881+1,2000+INDEX(Eingabe!$G$9:$G$18,I881)*10+1,IF(J881=K881+2,2000+INDEX(Eingabe!$G$9:$G$18,I881)*10+2,2000+INDEX(Eingabe!$G$9:$G$18,I881)*10+9))),""))</f>
        <v/>
      </c>
      <c r="C881" s="0" t="str">
        <f aca="false">IF(I881="","",IF(AND(J881&gt;=1,J881&lt;=K881+3),"10."&amp;INDEX(Eingabe!$D$9:$D$18,I881)&amp;"."&amp;IF(J881&lt;=K881,J881,IF(J881=K881+1,200,IF(J881=K881+2,201,250)))&amp;".0/24",""))</f>
        <v/>
      </c>
      <c r="D881" s="0" t="str">
        <f aca="false">IF(I881="","",IF(AND(J881&gt;=1,J881&lt;=K881+3),"255.255.255.0",""))</f>
        <v/>
      </c>
      <c r="E881" s="0" t="str">
        <f aca="false">IF(I881="","",IF(AND(J881&gt;=1,J881&lt;=K881+3),"10."&amp;INDEX(Eingabe!$D$9:$D$18,I881)&amp;"."&amp;IF(J881&lt;=K881,J881,IF(J881=K881+1,200,IF(J881=K881+2,201,250)))&amp;".1",""))</f>
        <v/>
      </c>
      <c r="F881" s="0" t="str">
        <f aca="false">IF(I881="","",IF(AND(J881&gt;=1,J881&lt;=K881+3),"10."&amp;INDEX(Eingabe!$D$9:$D$18,I881)&amp;"."&amp;IF(J881&lt;=K881,J881,IF(J881=K881+1,200,IF(J881=K881+2,201,250)))&amp;".10 – 10."&amp;INDEX(Eingabe!$D$9:$D$18,I881)&amp;"."&amp;IF(J881&lt;=K881,J881,IF(J881=K881+1,200,IF(J881=K881+2,201,250)))&amp;".250",""))</f>
        <v/>
      </c>
      <c r="G881" s="0" t="str">
        <f aca="false">IF(I881="","",IF(AND(J881&gt;=1,J881&lt;=K881),Eingabe!$B$6&amp;"-"&amp;INDEX(Eingabe!$C$9:$C$18,I881)&amp;"-Pächter  ·  Passwort Parzelle "&amp;J881,IF(J881=K881+1,Eingabe!$B$6&amp;"-"&amp;INDEX(Eingabe!$C$9:$C$18,I881)&amp;"-Vorstand  ·  eigenes WLAN",IF(J881=K881+2,Eingabe!$B$6&amp;"-"&amp;INDEX(Eingabe!$C$9:$C$18,I881)&amp;"-Gäste  ·  Voucher",IF(J881=K881+3,"Kabel  ·  Access Point y = .(50+y), Mast-Switch x = .(10+x)","")))))</f>
        <v/>
      </c>
      <c r="I881" s="0" t="str">
        <f aca="false">IF(876&lt;=(Eingabe!$P$18+Eingabe!$Q$18-1),MATCH(876,Eingabe!$P$9:$P$18,1),"")</f>
        <v/>
      </c>
      <c r="J881" s="0" t="str">
        <f aca="false">IF(I881="","",876-INDEX(Eingabe!$P$9:$P$18,I881))</f>
        <v/>
      </c>
      <c r="K881" s="0" t="str">
        <f aca="false">IF(I881="","",INDEX(Eingabe!$E$9:$E$18,I881))</f>
        <v/>
      </c>
    </row>
    <row r="882" customFormat="false" ht="15" hidden="false" customHeight="false" outlineLevel="0" collapsed="false">
      <c r="A882" s="0" t="str">
        <f aca="false">IF(I882="","",IF(J882=0,"Sparte "&amp;I882&amp;": "&amp;INDEX(Eingabe!$B$9:$B$18,I882)&amp;"  (Sparten-ID "&amp;INDEX(Eingabe!$D$9:$D$18,I882)&amp;", "&amp;K882&amp;" Parzellen)",IF(J882&lt;=K882,"   Parzelle "&amp;J882,IF(J882=K882+1,"   Vorstand",IF(J882=K882+2,"   Gäste",IF(J882=K882+3,"   Technik (Switches, Access Points)",""))))))</f>
        <v/>
      </c>
      <c r="B882" s="0" t="str">
        <f aca="false">IF(I882="","",IF(AND(J882&gt;=1,J882&lt;=K882+3),IF(J882&lt;=K882,IF(J882&lt;=99,IF((INDEX(Eingabe!$G$9:$G$18,I882))&lt;=9,1000+(INDEX(Eingabe!$G$9:$G$18,I882))*100,3000)+J882,IF((INDEX(Eingabe!$G$9:$G$18,I882)+1)&lt;=9,1000+(INDEX(Eingabe!$G$9:$G$18,I882)+1)*100,3000)+J882-100),IF(J882=K882+1,2000+INDEX(Eingabe!$G$9:$G$18,I882)*10+1,IF(J882=K882+2,2000+INDEX(Eingabe!$G$9:$G$18,I882)*10+2,2000+INDEX(Eingabe!$G$9:$G$18,I882)*10+9))),""))</f>
        <v/>
      </c>
      <c r="C882" s="0" t="str">
        <f aca="false">IF(I882="","",IF(AND(J882&gt;=1,J882&lt;=K882+3),"10."&amp;INDEX(Eingabe!$D$9:$D$18,I882)&amp;"."&amp;IF(J882&lt;=K882,J882,IF(J882=K882+1,200,IF(J882=K882+2,201,250)))&amp;".0/24",""))</f>
        <v/>
      </c>
      <c r="D882" s="0" t="str">
        <f aca="false">IF(I882="","",IF(AND(J882&gt;=1,J882&lt;=K882+3),"255.255.255.0",""))</f>
        <v/>
      </c>
      <c r="E882" s="0" t="str">
        <f aca="false">IF(I882="","",IF(AND(J882&gt;=1,J882&lt;=K882+3),"10."&amp;INDEX(Eingabe!$D$9:$D$18,I882)&amp;"."&amp;IF(J882&lt;=K882,J882,IF(J882=K882+1,200,IF(J882=K882+2,201,250)))&amp;".1",""))</f>
        <v/>
      </c>
      <c r="F882" s="0" t="str">
        <f aca="false">IF(I882="","",IF(AND(J882&gt;=1,J882&lt;=K882+3),"10."&amp;INDEX(Eingabe!$D$9:$D$18,I882)&amp;"."&amp;IF(J882&lt;=K882,J882,IF(J882=K882+1,200,IF(J882=K882+2,201,250)))&amp;".10 – 10."&amp;INDEX(Eingabe!$D$9:$D$18,I882)&amp;"."&amp;IF(J882&lt;=K882,J882,IF(J882=K882+1,200,IF(J882=K882+2,201,250)))&amp;".250",""))</f>
        <v/>
      </c>
      <c r="G882" s="0" t="str">
        <f aca="false">IF(I882="","",IF(AND(J882&gt;=1,J882&lt;=K882),Eingabe!$B$6&amp;"-"&amp;INDEX(Eingabe!$C$9:$C$18,I882)&amp;"-Pächter  ·  Passwort Parzelle "&amp;J882,IF(J882=K882+1,Eingabe!$B$6&amp;"-"&amp;INDEX(Eingabe!$C$9:$C$18,I882)&amp;"-Vorstand  ·  eigenes WLAN",IF(J882=K882+2,Eingabe!$B$6&amp;"-"&amp;INDEX(Eingabe!$C$9:$C$18,I882)&amp;"-Gäste  ·  Voucher",IF(J882=K882+3,"Kabel  ·  Access Point y = .(50+y), Mast-Switch x = .(10+x)","")))))</f>
        <v/>
      </c>
      <c r="I882" s="0" t="str">
        <f aca="false">IF(877&lt;=(Eingabe!$P$18+Eingabe!$Q$18-1),MATCH(877,Eingabe!$P$9:$P$18,1),"")</f>
        <v/>
      </c>
      <c r="J882" s="0" t="str">
        <f aca="false">IF(I882="","",877-INDEX(Eingabe!$P$9:$P$18,I882))</f>
        <v/>
      </c>
      <c r="K882" s="0" t="str">
        <f aca="false">IF(I882="","",INDEX(Eingabe!$E$9:$E$18,I882))</f>
        <v/>
      </c>
    </row>
    <row r="883" customFormat="false" ht="15" hidden="false" customHeight="false" outlineLevel="0" collapsed="false">
      <c r="A883" s="0" t="str">
        <f aca="false">IF(I883="","",IF(J883=0,"Sparte "&amp;I883&amp;": "&amp;INDEX(Eingabe!$B$9:$B$18,I883)&amp;"  (Sparten-ID "&amp;INDEX(Eingabe!$D$9:$D$18,I883)&amp;", "&amp;K883&amp;" Parzellen)",IF(J883&lt;=K883,"   Parzelle "&amp;J883,IF(J883=K883+1,"   Vorstand",IF(J883=K883+2,"   Gäste",IF(J883=K883+3,"   Technik (Switches, Access Points)",""))))))</f>
        <v/>
      </c>
      <c r="B883" s="0" t="str">
        <f aca="false">IF(I883="","",IF(AND(J883&gt;=1,J883&lt;=K883+3),IF(J883&lt;=K883,IF(J883&lt;=99,IF((INDEX(Eingabe!$G$9:$G$18,I883))&lt;=9,1000+(INDEX(Eingabe!$G$9:$G$18,I883))*100,3000)+J883,IF((INDEX(Eingabe!$G$9:$G$18,I883)+1)&lt;=9,1000+(INDEX(Eingabe!$G$9:$G$18,I883)+1)*100,3000)+J883-100),IF(J883=K883+1,2000+INDEX(Eingabe!$G$9:$G$18,I883)*10+1,IF(J883=K883+2,2000+INDEX(Eingabe!$G$9:$G$18,I883)*10+2,2000+INDEX(Eingabe!$G$9:$G$18,I883)*10+9))),""))</f>
        <v/>
      </c>
      <c r="C883" s="0" t="str">
        <f aca="false">IF(I883="","",IF(AND(J883&gt;=1,J883&lt;=K883+3),"10."&amp;INDEX(Eingabe!$D$9:$D$18,I883)&amp;"."&amp;IF(J883&lt;=K883,J883,IF(J883=K883+1,200,IF(J883=K883+2,201,250)))&amp;".0/24",""))</f>
        <v/>
      </c>
      <c r="D883" s="0" t="str">
        <f aca="false">IF(I883="","",IF(AND(J883&gt;=1,J883&lt;=K883+3),"255.255.255.0",""))</f>
        <v/>
      </c>
      <c r="E883" s="0" t="str">
        <f aca="false">IF(I883="","",IF(AND(J883&gt;=1,J883&lt;=K883+3),"10."&amp;INDEX(Eingabe!$D$9:$D$18,I883)&amp;"."&amp;IF(J883&lt;=K883,J883,IF(J883=K883+1,200,IF(J883=K883+2,201,250)))&amp;".1",""))</f>
        <v/>
      </c>
      <c r="F883" s="0" t="str">
        <f aca="false">IF(I883="","",IF(AND(J883&gt;=1,J883&lt;=K883+3),"10."&amp;INDEX(Eingabe!$D$9:$D$18,I883)&amp;"."&amp;IF(J883&lt;=K883,J883,IF(J883=K883+1,200,IF(J883=K883+2,201,250)))&amp;".10 – 10."&amp;INDEX(Eingabe!$D$9:$D$18,I883)&amp;"."&amp;IF(J883&lt;=K883,J883,IF(J883=K883+1,200,IF(J883=K883+2,201,250)))&amp;".250",""))</f>
        <v/>
      </c>
      <c r="G883" s="0" t="str">
        <f aca="false">IF(I883="","",IF(AND(J883&gt;=1,J883&lt;=K883),Eingabe!$B$6&amp;"-"&amp;INDEX(Eingabe!$C$9:$C$18,I883)&amp;"-Pächter  ·  Passwort Parzelle "&amp;J883,IF(J883=K883+1,Eingabe!$B$6&amp;"-"&amp;INDEX(Eingabe!$C$9:$C$18,I883)&amp;"-Vorstand  ·  eigenes WLAN",IF(J883=K883+2,Eingabe!$B$6&amp;"-"&amp;INDEX(Eingabe!$C$9:$C$18,I883)&amp;"-Gäste  ·  Voucher",IF(J883=K883+3,"Kabel  ·  Access Point y = .(50+y), Mast-Switch x = .(10+x)","")))))</f>
        <v/>
      </c>
      <c r="I883" s="0" t="str">
        <f aca="false">IF(878&lt;=(Eingabe!$P$18+Eingabe!$Q$18-1),MATCH(878,Eingabe!$P$9:$P$18,1),"")</f>
        <v/>
      </c>
      <c r="J883" s="0" t="str">
        <f aca="false">IF(I883="","",878-INDEX(Eingabe!$P$9:$P$18,I883))</f>
        <v/>
      </c>
      <c r="K883" s="0" t="str">
        <f aca="false">IF(I883="","",INDEX(Eingabe!$E$9:$E$18,I883))</f>
        <v/>
      </c>
    </row>
    <row r="884" customFormat="false" ht="15" hidden="false" customHeight="false" outlineLevel="0" collapsed="false">
      <c r="A884" s="0" t="str">
        <f aca="false">IF(I884="","",IF(J884=0,"Sparte "&amp;I884&amp;": "&amp;INDEX(Eingabe!$B$9:$B$18,I884)&amp;"  (Sparten-ID "&amp;INDEX(Eingabe!$D$9:$D$18,I884)&amp;", "&amp;K884&amp;" Parzellen)",IF(J884&lt;=K884,"   Parzelle "&amp;J884,IF(J884=K884+1,"   Vorstand",IF(J884=K884+2,"   Gäste",IF(J884=K884+3,"   Technik (Switches, Access Points)",""))))))</f>
        <v/>
      </c>
      <c r="B884" s="0" t="str">
        <f aca="false">IF(I884="","",IF(AND(J884&gt;=1,J884&lt;=K884+3),IF(J884&lt;=K884,IF(J884&lt;=99,IF((INDEX(Eingabe!$G$9:$G$18,I884))&lt;=9,1000+(INDEX(Eingabe!$G$9:$G$18,I884))*100,3000)+J884,IF((INDEX(Eingabe!$G$9:$G$18,I884)+1)&lt;=9,1000+(INDEX(Eingabe!$G$9:$G$18,I884)+1)*100,3000)+J884-100),IF(J884=K884+1,2000+INDEX(Eingabe!$G$9:$G$18,I884)*10+1,IF(J884=K884+2,2000+INDEX(Eingabe!$G$9:$G$18,I884)*10+2,2000+INDEX(Eingabe!$G$9:$G$18,I884)*10+9))),""))</f>
        <v/>
      </c>
      <c r="C884" s="0" t="str">
        <f aca="false">IF(I884="","",IF(AND(J884&gt;=1,J884&lt;=K884+3),"10."&amp;INDEX(Eingabe!$D$9:$D$18,I884)&amp;"."&amp;IF(J884&lt;=K884,J884,IF(J884=K884+1,200,IF(J884=K884+2,201,250)))&amp;".0/24",""))</f>
        <v/>
      </c>
      <c r="D884" s="0" t="str">
        <f aca="false">IF(I884="","",IF(AND(J884&gt;=1,J884&lt;=K884+3),"255.255.255.0",""))</f>
        <v/>
      </c>
      <c r="E884" s="0" t="str">
        <f aca="false">IF(I884="","",IF(AND(J884&gt;=1,J884&lt;=K884+3),"10."&amp;INDEX(Eingabe!$D$9:$D$18,I884)&amp;"."&amp;IF(J884&lt;=K884,J884,IF(J884=K884+1,200,IF(J884=K884+2,201,250)))&amp;".1",""))</f>
        <v/>
      </c>
      <c r="F884" s="0" t="str">
        <f aca="false">IF(I884="","",IF(AND(J884&gt;=1,J884&lt;=K884+3),"10."&amp;INDEX(Eingabe!$D$9:$D$18,I884)&amp;"."&amp;IF(J884&lt;=K884,J884,IF(J884=K884+1,200,IF(J884=K884+2,201,250)))&amp;".10 – 10."&amp;INDEX(Eingabe!$D$9:$D$18,I884)&amp;"."&amp;IF(J884&lt;=K884,J884,IF(J884=K884+1,200,IF(J884=K884+2,201,250)))&amp;".250",""))</f>
        <v/>
      </c>
      <c r="G884" s="0" t="str">
        <f aca="false">IF(I884="","",IF(AND(J884&gt;=1,J884&lt;=K884),Eingabe!$B$6&amp;"-"&amp;INDEX(Eingabe!$C$9:$C$18,I884)&amp;"-Pächter  ·  Passwort Parzelle "&amp;J884,IF(J884=K884+1,Eingabe!$B$6&amp;"-"&amp;INDEX(Eingabe!$C$9:$C$18,I884)&amp;"-Vorstand  ·  eigenes WLAN",IF(J884=K884+2,Eingabe!$B$6&amp;"-"&amp;INDEX(Eingabe!$C$9:$C$18,I884)&amp;"-Gäste  ·  Voucher",IF(J884=K884+3,"Kabel  ·  Access Point y = .(50+y), Mast-Switch x = .(10+x)","")))))</f>
        <v/>
      </c>
      <c r="I884" s="0" t="str">
        <f aca="false">IF(879&lt;=(Eingabe!$P$18+Eingabe!$Q$18-1),MATCH(879,Eingabe!$P$9:$P$18,1),"")</f>
        <v/>
      </c>
      <c r="J884" s="0" t="str">
        <f aca="false">IF(I884="","",879-INDEX(Eingabe!$P$9:$P$18,I884))</f>
        <v/>
      </c>
      <c r="K884" s="0" t="str">
        <f aca="false">IF(I884="","",INDEX(Eingabe!$E$9:$E$18,I884))</f>
        <v/>
      </c>
    </row>
    <row r="885" customFormat="false" ht="15" hidden="false" customHeight="false" outlineLevel="0" collapsed="false">
      <c r="A885" s="0" t="str">
        <f aca="false">IF(I885="","",IF(J885=0,"Sparte "&amp;I885&amp;": "&amp;INDEX(Eingabe!$B$9:$B$18,I885)&amp;"  (Sparten-ID "&amp;INDEX(Eingabe!$D$9:$D$18,I885)&amp;", "&amp;K885&amp;" Parzellen)",IF(J885&lt;=K885,"   Parzelle "&amp;J885,IF(J885=K885+1,"   Vorstand",IF(J885=K885+2,"   Gäste",IF(J885=K885+3,"   Technik (Switches, Access Points)",""))))))</f>
        <v/>
      </c>
      <c r="B885" s="0" t="str">
        <f aca="false">IF(I885="","",IF(AND(J885&gt;=1,J885&lt;=K885+3),IF(J885&lt;=K885,IF(J885&lt;=99,IF((INDEX(Eingabe!$G$9:$G$18,I885))&lt;=9,1000+(INDEX(Eingabe!$G$9:$G$18,I885))*100,3000)+J885,IF((INDEX(Eingabe!$G$9:$G$18,I885)+1)&lt;=9,1000+(INDEX(Eingabe!$G$9:$G$18,I885)+1)*100,3000)+J885-100),IF(J885=K885+1,2000+INDEX(Eingabe!$G$9:$G$18,I885)*10+1,IF(J885=K885+2,2000+INDEX(Eingabe!$G$9:$G$18,I885)*10+2,2000+INDEX(Eingabe!$G$9:$G$18,I885)*10+9))),""))</f>
        <v/>
      </c>
      <c r="C885" s="0" t="str">
        <f aca="false">IF(I885="","",IF(AND(J885&gt;=1,J885&lt;=K885+3),"10."&amp;INDEX(Eingabe!$D$9:$D$18,I885)&amp;"."&amp;IF(J885&lt;=K885,J885,IF(J885=K885+1,200,IF(J885=K885+2,201,250)))&amp;".0/24",""))</f>
        <v/>
      </c>
      <c r="D885" s="0" t="str">
        <f aca="false">IF(I885="","",IF(AND(J885&gt;=1,J885&lt;=K885+3),"255.255.255.0",""))</f>
        <v/>
      </c>
      <c r="E885" s="0" t="str">
        <f aca="false">IF(I885="","",IF(AND(J885&gt;=1,J885&lt;=K885+3),"10."&amp;INDEX(Eingabe!$D$9:$D$18,I885)&amp;"."&amp;IF(J885&lt;=K885,J885,IF(J885=K885+1,200,IF(J885=K885+2,201,250)))&amp;".1",""))</f>
        <v/>
      </c>
      <c r="F885" s="0" t="str">
        <f aca="false">IF(I885="","",IF(AND(J885&gt;=1,J885&lt;=K885+3),"10."&amp;INDEX(Eingabe!$D$9:$D$18,I885)&amp;"."&amp;IF(J885&lt;=K885,J885,IF(J885=K885+1,200,IF(J885=K885+2,201,250)))&amp;".10 – 10."&amp;INDEX(Eingabe!$D$9:$D$18,I885)&amp;"."&amp;IF(J885&lt;=K885,J885,IF(J885=K885+1,200,IF(J885=K885+2,201,250)))&amp;".250",""))</f>
        <v/>
      </c>
      <c r="G885" s="0" t="str">
        <f aca="false">IF(I885="","",IF(AND(J885&gt;=1,J885&lt;=K885),Eingabe!$B$6&amp;"-"&amp;INDEX(Eingabe!$C$9:$C$18,I885)&amp;"-Pächter  ·  Passwort Parzelle "&amp;J885,IF(J885=K885+1,Eingabe!$B$6&amp;"-"&amp;INDEX(Eingabe!$C$9:$C$18,I885)&amp;"-Vorstand  ·  eigenes WLAN",IF(J885=K885+2,Eingabe!$B$6&amp;"-"&amp;INDEX(Eingabe!$C$9:$C$18,I885)&amp;"-Gäste  ·  Voucher",IF(J885=K885+3,"Kabel  ·  Access Point y = .(50+y), Mast-Switch x = .(10+x)","")))))</f>
        <v/>
      </c>
      <c r="I885" s="0" t="str">
        <f aca="false">IF(880&lt;=(Eingabe!$P$18+Eingabe!$Q$18-1),MATCH(880,Eingabe!$P$9:$P$18,1),"")</f>
        <v/>
      </c>
      <c r="J885" s="0" t="str">
        <f aca="false">IF(I885="","",880-INDEX(Eingabe!$P$9:$P$18,I885))</f>
        <v/>
      </c>
      <c r="K885" s="0" t="str">
        <f aca="false">IF(I885="","",INDEX(Eingabe!$E$9:$E$18,I885))</f>
        <v/>
      </c>
    </row>
    <row r="886" customFormat="false" ht="15" hidden="false" customHeight="false" outlineLevel="0" collapsed="false">
      <c r="A886" s="0" t="str">
        <f aca="false">IF(I886="","",IF(J886=0,"Sparte "&amp;I886&amp;": "&amp;INDEX(Eingabe!$B$9:$B$18,I886)&amp;"  (Sparten-ID "&amp;INDEX(Eingabe!$D$9:$D$18,I886)&amp;", "&amp;K886&amp;" Parzellen)",IF(J886&lt;=K886,"   Parzelle "&amp;J886,IF(J886=K886+1,"   Vorstand",IF(J886=K886+2,"   Gäste",IF(J886=K886+3,"   Technik (Switches, Access Points)",""))))))</f>
        <v/>
      </c>
      <c r="B886" s="0" t="str">
        <f aca="false">IF(I886="","",IF(AND(J886&gt;=1,J886&lt;=K886+3),IF(J886&lt;=K886,IF(J886&lt;=99,IF((INDEX(Eingabe!$G$9:$G$18,I886))&lt;=9,1000+(INDEX(Eingabe!$G$9:$G$18,I886))*100,3000)+J886,IF((INDEX(Eingabe!$G$9:$G$18,I886)+1)&lt;=9,1000+(INDEX(Eingabe!$G$9:$G$18,I886)+1)*100,3000)+J886-100),IF(J886=K886+1,2000+INDEX(Eingabe!$G$9:$G$18,I886)*10+1,IF(J886=K886+2,2000+INDEX(Eingabe!$G$9:$G$18,I886)*10+2,2000+INDEX(Eingabe!$G$9:$G$18,I886)*10+9))),""))</f>
        <v/>
      </c>
      <c r="C886" s="0" t="str">
        <f aca="false">IF(I886="","",IF(AND(J886&gt;=1,J886&lt;=K886+3),"10."&amp;INDEX(Eingabe!$D$9:$D$18,I886)&amp;"."&amp;IF(J886&lt;=K886,J886,IF(J886=K886+1,200,IF(J886=K886+2,201,250)))&amp;".0/24",""))</f>
        <v/>
      </c>
      <c r="D886" s="0" t="str">
        <f aca="false">IF(I886="","",IF(AND(J886&gt;=1,J886&lt;=K886+3),"255.255.255.0",""))</f>
        <v/>
      </c>
      <c r="E886" s="0" t="str">
        <f aca="false">IF(I886="","",IF(AND(J886&gt;=1,J886&lt;=K886+3),"10."&amp;INDEX(Eingabe!$D$9:$D$18,I886)&amp;"."&amp;IF(J886&lt;=K886,J886,IF(J886=K886+1,200,IF(J886=K886+2,201,250)))&amp;".1",""))</f>
        <v/>
      </c>
      <c r="F886" s="0" t="str">
        <f aca="false">IF(I886="","",IF(AND(J886&gt;=1,J886&lt;=K886+3),"10."&amp;INDEX(Eingabe!$D$9:$D$18,I886)&amp;"."&amp;IF(J886&lt;=K886,J886,IF(J886=K886+1,200,IF(J886=K886+2,201,250)))&amp;".10 – 10."&amp;INDEX(Eingabe!$D$9:$D$18,I886)&amp;"."&amp;IF(J886&lt;=K886,J886,IF(J886=K886+1,200,IF(J886=K886+2,201,250)))&amp;".250",""))</f>
        <v/>
      </c>
      <c r="G886" s="0" t="str">
        <f aca="false">IF(I886="","",IF(AND(J886&gt;=1,J886&lt;=K886),Eingabe!$B$6&amp;"-"&amp;INDEX(Eingabe!$C$9:$C$18,I886)&amp;"-Pächter  ·  Passwort Parzelle "&amp;J886,IF(J886=K886+1,Eingabe!$B$6&amp;"-"&amp;INDEX(Eingabe!$C$9:$C$18,I886)&amp;"-Vorstand  ·  eigenes WLAN",IF(J886=K886+2,Eingabe!$B$6&amp;"-"&amp;INDEX(Eingabe!$C$9:$C$18,I886)&amp;"-Gäste  ·  Voucher",IF(J886=K886+3,"Kabel  ·  Access Point y = .(50+y), Mast-Switch x = .(10+x)","")))))</f>
        <v/>
      </c>
      <c r="I886" s="0" t="str">
        <f aca="false">IF(881&lt;=(Eingabe!$P$18+Eingabe!$Q$18-1),MATCH(881,Eingabe!$P$9:$P$18,1),"")</f>
        <v/>
      </c>
      <c r="J886" s="0" t="str">
        <f aca="false">IF(I886="","",881-INDEX(Eingabe!$P$9:$P$18,I886))</f>
        <v/>
      </c>
      <c r="K886" s="0" t="str">
        <f aca="false">IF(I886="","",INDEX(Eingabe!$E$9:$E$18,I886))</f>
        <v/>
      </c>
    </row>
    <row r="887" customFormat="false" ht="15" hidden="false" customHeight="false" outlineLevel="0" collapsed="false">
      <c r="A887" s="0" t="str">
        <f aca="false">IF(I887="","",IF(J887=0,"Sparte "&amp;I887&amp;": "&amp;INDEX(Eingabe!$B$9:$B$18,I887)&amp;"  (Sparten-ID "&amp;INDEX(Eingabe!$D$9:$D$18,I887)&amp;", "&amp;K887&amp;" Parzellen)",IF(J887&lt;=K887,"   Parzelle "&amp;J887,IF(J887=K887+1,"   Vorstand",IF(J887=K887+2,"   Gäste",IF(J887=K887+3,"   Technik (Switches, Access Points)",""))))))</f>
        <v/>
      </c>
      <c r="B887" s="0" t="str">
        <f aca="false">IF(I887="","",IF(AND(J887&gt;=1,J887&lt;=K887+3),IF(J887&lt;=K887,IF(J887&lt;=99,IF((INDEX(Eingabe!$G$9:$G$18,I887))&lt;=9,1000+(INDEX(Eingabe!$G$9:$G$18,I887))*100,3000)+J887,IF((INDEX(Eingabe!$G$9:$G$18,I887)+1)&lt;=9,1000+(INDEX(Eingabe!$G$9:$G$18,I887)+1)*100,3000)+J887-100),IF(J887=K887+1,2000+INDEX(Eingabe!$G$9:$G$18,I887)*10+1,IF(J887=K887+2,2000+INDEX(Eingabe!$G$9:$G$18,I887)*10+2,2000+INDEX(Eingabe!$G$9:$G$18,I887)*10+9))),""))</f>
        <v/>
      </c>
      <c r="C887" s="0" t="str">
        <f aca="false">IF(I887="","",IF(AND(J887&gt;=1,J887&lt;=K887+3),"10."&amp;INDEX(Eingabe!$D$9:$D$18,I887)&amp;"."&amp;IF(J887&lt;=K887,J887,IF(J887=K887+1,200,IF(J887=K887+2,201,250)))&amp;".0/24",""))</f>
        <v/>
      </c>
      <c r="D887" s="0" t="str">
        <f aca="false">IF(I887="","",IF(AND(J887&gt;=1,J887&lt;=K887+3),"255.255.255.0",""))</f>
        <v/>
      </c>
      <c r="E887" s="0" t="str">
        <f aca="false">IF(I887="","",IF(AND(J887&gt;=1,J887&lt;=K887+3),"10."&amp;INDEX(Eingabe!$D$9:$D$18,I887)&amp;"."&amp;IF(J887&lt;=K887,J887,IF(J887=K887+1,200,IF(J887=K887+2,201,250)))&amp;".1",""))</f>
        <v/>
      </c>
      <c r="F887" s="0" t="str">
        <f aca="false">IF(I887="","",IF(AND(J887&gt;=1,J887&lt;=K887+3),"10."&amp;INDEX(Eingabe!$D$9:$D$18,I887)&amp;"."&amp;IF(J887&lt;=K887,J887,IF(J887=K887+1,200,IF(J887=K887+2,201,250)))&amp;".10 – 10."&amp;INDEX(Eingabe!$D$9:$D$18,I887)&amp;"."&amp;IF(J887&lt;=K887,J887,IF(J887=K887+1,200,IF(J887=K887+2,201,250)))&amp;".250",""))</f>
        <v/>
      </c>
      <c r="G887" s="0" t="str">
        <f aca="false">IF(I887="","",IF(AND(J887&gt;=1,J887&lt;=K887),Eingabe!$B$6&amp;"-"&amp;INDEX(Eingabe!$C$9:$C$18,I887)&amp;"-Pächter  ·  Passwort Parzelle "&amp;J887,IF(J887=K887+1,Eingabe!$B$6&amp;"-"&amp;INDEX(Eingabe!$C$9:$C$18,I887)&amp;"-Vorstand  ·  eigenes WLAN",IF(J887=K887+2,Eingabe!$B$6&amp;"-"&amp;INDEX(Eingabe!$C$9:$C$18,I887)&amp;"-Gäste  ·  Voucher",IF(J887=K887+3,"Kabel  ·  Access Point y = .(50+y), Mast-Switch x = .(10+x)","")))))</f>
        <v/>
      </c>
      <c r="I887" s="0" t="str">
        <f aca="false">IF(882&lt;=(Eingabe!$P$18+Eingabe!$Q$18-1),MATCH(882,Eingabe!$P$9:$P$18,1),"")</f>
        <v/>
      </c>
      <c r="J887" s="0" t="str">
        <f aca="false">IF(I887="","",882-INDEX(Eingabe!$P$9:$P$18,I887))</f>
        <v/>
      </c>
      <c r="K887" s="0" t="str">
        <f aca="false">IF(I887="","",INDEX(Eingabe!$E$9:$E$18,I887))</f>
        <v/>
      </c>
    </row>
    <row r="888" customFormat="false" ht="15" hidden="false" customHeight="false" outlineLevel="0" collapsed="false">
      <c r="A888" s="0" t="str">
        <f aca="false">IF(I888="","",IF(J888=0,"Sparte "&amp;I888&amp;": "&amp;INDEX(Eingabe!$B$9:$B$18,I888)&amp;"  (Sparten-ID "&amp;INDEX(Eingabe!$D$9:$D$18,I888)&amp;", "&amp;K888&amp;" Parzellen)",IF(J888&lt;=K888,"   Parzelle "&amp;J888,IF(J888=K888+1,"   Vorstand",IF(J888=K888+2,"   Gäste",IF(J888=K888+3,"   Technik (Switches, Access Points)",""))))))</f>
        <v/>
      </c>
      <c r="B888" s="0" t="str">
        <f aca="false">IF(I888="","",IF(AND(J888&gt;=1,J888&lt;=K888+3),IF(J888&lt;=K888,IF(J888&lt;=99,IF((INDEX(Eingabe!$G$9:$G$18,I888))&lt;=9,1000+(INDEX(Eingabe!$G$9:$G$18,I888))*100,3000)+J888,IF((INDEX(Eingabe!$G$9:$G$18,I888)+1)&lt;=9,1000+(INDEX(Eingabe!$G$9:$G$18,I888)+1)*100,3000)+J888-100),IF(J888=K888+1,2000+INDEX(Eingabe!$G$9:$G$18,I888)*10+1,IF(J888=K888+2,2000+INDEX(Eingabe!$G$9:$G$18,I888)*10+2,2000+INDEX(Eingabe!$G$9:$G$18,I888)*10+9))),""))</f>
        <v/>
      </c>
      <c r="C888" s="0" t="str">
        <f aca="false">IF(I888="","",IF(AND(J888&gt;=1,J888&lt;=K888+3),"10."&amp;INDEX(Eingabe!$D$9:$D$18,I888)&amp;"."&amp;IF(J888&lt;=K888,J888,IF(J888=K888+1,200,IF(J888=K888+2,201,250)))&amp;".0/24",""))</f>
        <v/>
      </c>
      <c r="D888" s="0" t="str">
        <f aca="false">IF(I888="","",IF(AND(J888&gt;=1,J888&lt;=K888+3),"255.255.255.0",""))</f>
        <v/>
      </c>
      <c r="E888" s="0" t="str">
        <f aca="false">IF(I888="","",IF(AND(J888&gt;=1,J888&lt;=K888+3),"10."&amp;INDEX(Eingabe!$D$9:$D$18,I888)&amp;"."&amp;IF(J888&lt;=K888,J888,IF(J888=K888+1,200,IF(J888=K888+2,201,250)))&amp;".1",""))</f>
        <v/>
      </c>
      <c r="F888" s="0" t="str">
        <f aca="false">IF(I888="","",IF(AND(J888&gt;=1,J888&lt;=K888+3),"10."&amp;INDEX(Eingabe!$D$9:$D$18,I888)&amp;"."&amp;IF(J888&lt;=K888,J888,IF(J888=K888+1,200,IF(J888=K888+2,201,250)))&amp;".10 – 10."&amp;INDEX(Eingabe!$D$9:$D$18,I888)&amp;"."&amp;IF(J888&lt;=K888,J888,IF(J888=K888+1,200,IF(J888=K888+2,201,250)))&amp;".250",""))</f>
        <v/>
      </c>
      <c r="G888" s="0" t="str">
        <f aca="false">IF(I888="","",IF(AND(J888&gt;=1,J888&lt;=K888),Eingabe!$B$6&amp;"-"&amp;INDEX(Eingabe!$C$9:$C$18,I888)&amp;"-Pächter  ·  Passwort Parzelle "&amp;J888,IF(J888=K888+1,Eingabe!$B$6&amp;"-"&amp;INDEX(Eingabe!$C$9:$C$18,I888)&amp;"-Vorstand  ·  eigenes WLAN",IF(J888=K888+2,Eingabe!$B$6&amp;"-"&amp;INDEX(Eingabe!$C$9:$C$18,I888)&amp;"-Gäste  ·  Voucher",IF(J888=K888+3,"Kabel  ·  Access Point y = .(50+y), Mast-Switch x = .(10+x)","")))))</f>
        <v/>
      </c>
      <c r="I888" s="0" t="str">
        <f aca="false">IF(883&lt;=(Eingabe!$P$18+Eingabe!$Q$18-1),MATCH(883,Eingabe!$P$9:$P$18,1),"")</f>
        <v/>
      </c>
      <c r="J888" s="0" t="str">
        <f aca="false">IF(I888="","",883-INDEX(Eingabe!$P$9:$P$18,I888))</f>
        <v/>
      </c>
      <c r="K888" s="0" t="str">
        <f aca="false">IF(I888="","",INDEX(Eingabe!$E$9:$E$18,I888))</f>
        <v/>
      </c>
    </row>
    <row r="889" customFormat="false" ht="15" hidden="false" customHeight="false" outlineLevel="0" collapsed="false">
      <c r="A889" s="0" t="str">
        <f aca="false">IF(I889="","",IF(J889=0,"Sparte "&amp;I889&amp;": "&amp;INDEX(Eingabe!$B$9:$B$18,I889)&amp;"  (Sparten-ID "&amp;INDEX(Eingabe!$D$9:$D$18,I889)&amp;", "&amp;K889&amp;" Parzellen)",IF(J889&lt;=K889,"   Parzelle "&amp;J889,IF(J889=K889+1,"   Vorstand",IF(J889=K889+2,"   Gäste",IF(J889=K889+3,"   Technik (Switches, Access Points)",""))))))</f>
        <v/>
      </c>
      <c r="B889" s="0" t="str">
        <f aca="false">IF(I889="","",IF(AND(J889&gt;=1,J889&lt;=K889+3),IF(J889&lt;=K889,IF(J889&lt;=99,IF((INDEX(Eingabe!$G$9:$G$18,I889))&lt;=9,1000+(INDEX(Eingabe!$G$9:$G$18,I889))*100,3000)+J889,IF((INDEX(Eingabe!$G$9:$G$18,I889)+1)&lt;=9,1000+(INDEX(Eingabe!$G$9:$G$18,I889)+1)*100,3000)+J889-100),IF(J889=K889+1,2000+INDEX(Eingabe!$G$9:$G$18,I889)*10+1,IF(J889=K889+2,2000+INDEX(Eingabe!$G$9:$G$18,I889)*10+2,2000+INDEX(Eingabe!$G$9:$G$18,I889)*10+9))),""))</f>
        <v/>
      </c>
      <c r="C889" s="0" t="str">
        <f aca="false">IF(I889="","",IF(AND(J889&gt;=1,J889&lt;=K889+3),"10."&amp;INDEX(Eingabe!$D$9:$D$18,I889)&amp;"."&amp;IF(J889&lt;=K889,J889,IF(J889=K889+1,200,IF(J889=K889+2,201,250)))&amp;".0/24",""))</f>
        <v/>
      </c>
      <c r="D889" s="0" t="str">
        <f aca="false">IF(I889="","",IF(AND(J889&gt;=1,J889&lt;=K889+3),"255.255.255.0",""))</f>
        <v/>
      </c>
      <c r="E889" s="0" t="str">
        <f aca="false">IF(I889="","",IF(AND(J889&gt;=1,J889&lt;=K889+3),"10."&amp;INDEX(Eingabe!$D$9:$D$18,I889)&amp;"."&amp;IF(J889&lt;=K889,J889,IF(J889=K889+1,200,IF(J889=K889+2,201,250)))&amp;".1",""))</f>
        <v/>
      </c>
      <c r="F889" s="0" t="str">
        <f aca="false">IF(I889="","",IF(AND(J889&gt;=1,J889&lt;=K889+3),"10."&amp;INDEX(Eingabe!$D$9:$D$18,I889)&amp;"."&amp;IF(J889&lt;=K889,J889,IF(J889=K889+1,200,IF(J889=K889+2,201,250)))&amp;".10 – 10."&amp;INDEX(Eingabe!$D$9:$D$18,I889)&amp;"."&amp;IF(J889&lt;=K889,J889,IF(J889=K889+1,200,IF(J889=K889+2,201,250)))&amp;".250",""))</f>
        <v/>
      </c>
      <c r="G889" s="0" t="str">
        <f aca="false">IF(I889="","",IF(AND(J889&gt;=1,J889&lt;=K889),Eingabe!$B$6&amp;"-"&amp;INDEX(Eingabe!$C$9:$C$18,I889)&amp;"-Pächter  ·  Passwort Parzelle "&amp;J889,IF(J889=K889+1,Eingabe!$B$6&amp;"-"&amp;INDEX(Eingabe!$C$9:$C$18,I889)&amp;"-Vorstand  ·  eigenes WLAN",IF(J889=K889+2,Eingabe!$B$6&amp;"-"&amp;INDEX(Eingabe!$C$9:$C$18,I889)&amp;"-Gäste  ·  Voucher",IF(J889=K889+3,"Kabel  ·  Access Point y = .(50+y), Mast-Switch x = .(10+x)","")))))</f>
        <v/>
      </c>
      <c r="I889" s="0" t="str">
        <f aca="false">IF(884&lt;=(Eingabe!$P$18+Eingabe!$Q$18-1),MATCH(884,Eingabe!$P$9:$P$18,1),"")</f>
        <v/>
      </c>
      <c r="J889" s="0" t="str">
        <f aca="false">IF(I889="","",884-INDEX(Eingabe!$P$9:$P$18,I889))</f>
        <v/>
      </c>
      <c r="K889" s="0" t="str">
        <f aca="false">IF(I889="","",INDEX(Eingabe!$E$9:$E$18,I889))</f>
        <v/>
      </c>
    </row>
    <row r="890" customFormat="false" ht="15" hidden="false" customHeight="false" outlineLevel="0" collapsed="false">
      <c r="A890" s="0" t="str">
        <f aca="false">IF(I890="","",IF(J890=0,"Sparte "&amp;I890&amp;": "&amp;INDEX(Eingabe!$B$9:$B$18,I890)&amp;"  (Sparten-ID "&amp;INDEX(Eingabe!$D$9:$D$18,I890)&amp;", "&amp;K890&amp;" Parzellen)",IF(J890&lt;=K890,"   Parzelle "&amp;J890,IF(J890=K890+1,"   Vorstand",IF(J890=K890+2,"   Gäste",IF(J890=K890+3,"   Technik (Switches, Access Points)",""))))))</f>
        <v/>
      </c>
      <c r="B890" s="0" t="str">
        <f aca="false">IF(I890="","",IF(AND(J890&gt;=1,J890&lt;=K890+3),IF(J890&lt;=K890,IF(J890&lt;=99,IF((INDEX(Eingabe!$G$9:$G$18,I890))&lt;=9,1000+(INDEX(Eingabe!$G$9:$G$18,I890))*100,3000)+J890,IF((INDEX(Eingabe!$G$9:$G$18,I890)+1)&lt;=9,1000+(INDEX(Eingabe!$G$9:$G$18,I890)+1)*100,3000)+J890-100),IF(J890=K890+1,2000+INDEX(Eingabe!$G$9:$G$18,I890)*10+1,IF(J890=K890+2,2000+INDEX(Eingabe!$G$9:$G$18,I890)*10+2,2000+INDEX(Eingabe!$G$9:$G$18,I890)*10+9))),""))</f>
        <v/>
      </c>
      <c r="C890" s="0" t="str">
        <f aca="false">IF(I890="","",IF(AND(J890&gt;=1,J890&lt;=K890+3),"10."&amp;INDEX(Eingabe!$D$9:$D$18,I890)&amp;"."&amp;IF(J890&lt;=K890,J890,IF(J890=K890+1,200,IF(J890=K890+2,201,250)))&amp;".0/24",""))</f>
        <v/>
      </c>
      <c r="D890" s="0" t="str">
        <f aca="false">IF(I890="","",IF(AND(J890&gt;=1,J890&lt;=K890+3),"255.255.255.0",""))</f>
        <v/>
      </c>
      <c r="E890" s="0" t="str">
        <f aca="false">IF(I890="","",IF(AND(J890&gt;=1,J890&lt;=K890+3),"10."&amp;INDEX(Eingabe!$D$9:$D$18,I890)&amp;"."&amp;IF(J890&lt;=K890,J890,IF(J890=K890+1,200,IF(J890=K890+2,201,250)))&amp;".1",""))</f>
        <v/>
      </c>
      <c r="F890" s="0" t="str">
        <f aca="false">IF(I890="","",IF(AND(J890&gt;=1,J890&lt;=K890+3),"10."&amp;INDEX(Eingabe!$D$9:$D$18,I890)&amp;"."&amp;IF(J890&lt;=K890,J890,IF(J890=K890+1,200,IF(J890=K890+2,201,250)))&amp;".10 – 10."&amp;INDEX(Eingabe!$D$9:$D$18,I890)&amp;"."&amp;IF(J890&lt;=K890,J890,IF(J890=K890+1,200,IF(J890=K890+2,201,250)))&amp;".250",""))</f>
        <v/>
      </c>
      <c r="G890" s="0" t="str">
        <f aca="false">IF(I890="","",IF(AND(J890&gt;=1,J890&lt;=K890),Eingabe!$B$6&amp;"-"&amp;INDEX(Eingabe!$C$9:$C$18,I890)&amp;"-Pächter  ·  Passwort Parzelle "&amp;J890,IF(J890=K890+1,Eingabe!$B$6&amp;"-"&amp;INDEX(Eingabe!$C$9:$C$18,I890)&amp;"-Vorstand  ·  eigenes WLAN",IF(J890=K890+2,Eingabe!$B$6&amp;"-"&amp;INDEX(Eingabe!$C$9:$C$18,I890)&amp;"-Gäste  ·  Voucher",IF(J890=K890+3,"Kabel  ·  Access Point y = .(50+y), Mast-Switch x = .(10+x)","")))))</f>
        <v/>
      </c>
      <c r="I890" s="0" t="str">
        <f aca="false">IF(885&lt;=(Eingabe!$P$18+Eingabe!$Q$18-1),MATCH(885,Eingabe!$P$9:$P$18,1),"")</f>
        <v/>
      </c>
      <c r="J890" s="0" t="str">
        <f aca="false">IF(I890="","",885-INDEX(Eingabe!$P$9:$P$18,I890))</f>
        <v/>
      </c>
      <c r="K890" s="0" t="str">
        <f aca="false">IF(I890="","",INDEX(Eingabe!$E$9:$E$18,I890))</f>
        <v/>
      </c>
    </row>
    <row r="891" customFormat="false" ht="15" hidden="false" customHeight="false" outlineLevel="0" collapsed="false">
      <c r="A891" s="0" t="str">
        <f aca="false">IF(I891="","",IF(J891=0,"Sparte "&amp;I891&amp;": "&amp;INDEX(Eingabe!$B$9:$B$18,I891)&amp;"  (Sparten-ID "&amp;INDEX(Eingabe!$D$9:$D$18,I891)&amp;", "&amp;K891&amp;" Parzellen)",IF(J891&lt;=K891,"   Parzelle "&amp;J891,IF(J891=K891+1,"   Vorstand",IF(J891=K891+2,"   Gäste",IF(J891=K891+3,"   Technik (Switches, Access Points)",""))))))</f>
        <v/>
      </c>
      <c r="B891" s="0" t="str">
        <f aca="false">IF(I891="","",IF(AND(J891&gt;=1,J891&lt;=K891+3),IF(J891&lt;=K891,IF(J891&lt;=99,IF((INDEX(Eingabe!$G$9:$G$18,I891))&lt;=9,1000+(INDEX(Eingabe!$G$9:$G$18,I891))*100,3000)+J891,IF((INDEX(Eingabe!$G$9:$G$18,I891)+1)&lt;=9,1000+(INDEX(Eingabe!$G$9:$G$18,I891)+1)*100,3000)+J891-100),IF(J891=K891+1,2000+INDEX(Eingabe!$G$9:$G$18,I891)*10+1,IF(J891=K891+2,2000+INDEX(Eingabe!$G$9:$G$18,I891)*10+2,2000+INDEX(Eingabe!$G$9:$G$18,I891)*10+9))),""))</f>
        <v/>
      </c>
      <c r="C891" s="0" t="str">
        <f aca="false">IF(I891="","",IF(AND(J891&gt;=1,J891&lt;=K891+3),"10."&amp;INDEX(Eingabe!$D$9:$D$18,I891)&amp;"."&amp;IF(J891&lt;=K891,J891,IF(J891=K891+1,200,IF(J891=K891+2,201,250)))&amp;".0/24",""))</f>
        <v/>
      </c>
      <c r="D891" s="0" t="str">
        <f aca="false">IF(I891="","",IF(AND(J891&gt;=1,J891&lt;=K891+3),"255.255.255.0",""))</f>
        <v/>
      </c>
      <c r="E891" s="0" t="str">
        <f aca="false">IF(I891="","",IF(AND(J891&gt;=1,J891&lt;=K891+3),"10."&amp;INDEX(Eingabe!$D$9:$D$18,I891)&amp;"."&amp;IF(J891&lt;=K891,J891,IF(J891=K891+1,200,IF(J891=K891+2,201,250)))&amp;".1",""))</f>
        <v/>
      </c>
      <c r="F891" s="0" t="str">
        <f aca="false">IF(I891="","",IF(AND(J891&gt;=1,J891&lt;=K891+3),"10."&amp;INDEX(Eingabe!$D$9:$D$18,I891)&amp;"."&amp;IF(J891&lt;=K891,J891,IF(J891=K891+1,200,IF(J891=K891+2,201,250)))&amp;".10 – 10."&amp;INDEX(Eingabe!$D$9:$D$18,I891)&amp;"."&amp;IF(J891&lt;=K891,J891,IF(J891=K891+1,200,IF(J891=K891+2,201,250)))&amp;".250",""))</f>
        <v/>
      </c>
      <c r="G891" s="0" t="str">
        <f aca="false">IF(I891="","",IF(AND(J891&gt;=1,J891&lt;=K891),Eingabe!$B$6&amp;"-"&amp;INDEX(Eingabe!$C$9:$C$18,I891)&amp;"-Pächter  ·  Passwort Parzelle "&amp;J891,IF(J891=K891+1,Eingabe!$B$6&amp;"-"&amp;INDEX(Eingabe!$C$9:$C$18,I891)&amp;"-Vorstand  ·  eigenes WLAN",IF(J891=K891+2,Eingabe!$B$6&amp;"-"&amp;INDEX(Eingabe!$C$9:$C$18,I891)&amp;"-Gäste  ·  Voucher",IF(J891=K891+3,"Kabel  ·  Access Point y = .(50+y), Mast-Switch x = .(10+x)","")))))</f>
        <v/>
      </c>
      <c r="I891" s="0" t="str">
        <f aca="false">IF(886&lt;=(Eingabe!$P$18+Eingabe!$Q$18-1),MATCH(886,Eingabe!$P$9:$P$18,1),"")</f>
        <v/>
      </c>
      <c r="J891" s="0" t="str">
        <f aca="false">IF(I891="","",886-INDEX(Eingabe!$P$9:$P$18,I891))</f>
        <v/>
      </c>
      <c r="K891" s="0" t="str">
        <f aca="false">IF(I891="","",INDEX(Eingabe!$E$9:$E$18,I891))</f>
        <v/>
      </c>
    </row>
    <row r="892" customFormat="false" ht="15" hidden="false" customHeight="false" outlineLevel="0" collapsed="false">
      <c r="A892" s="0" t="str">
        <f aca="false">IF(I892="","",IF(J892=0,"Sparte "&amp;I892&amp;": "&amp;INDEX(Eingabe!$B$9:$B$18,I892)&amp;"  (Sparten-ID "&amp;INDEX(Eingabe!$D$9:$D$18,I892)&amp;", "&amp;K892&amp;" Parzellen)",IF(J892&lt;=K892,"   Parzelle "&amp;J892,IF(J892=K892+1,"   Vorstand",IF(J892=K892+2,"   Gäste",IF(J892=K892+3,"   Technik (Switches, Access Points)",""))))))</f>
        <v/>
      </c>
      <c r="B892" s="0" t="str">
        <f aca="false">IF(I892="","",IF(AND(J892&gt;=1,J892&lt;=K892+3),IF(J892&lt;=K892,IF(J892&lt;=99,IF((INDEX(Eingabe!$G$9:$G$18,I892))&lt;=9,1000+(INDEX(Eingabe!$G$9:$G$18,I892))*100,3000)+J892,IF((INDEX(Eingabe!$G$9:$G$18,I892)+1)&lt;=9,1000+(INDEX(Eingabe!$G$9:$G$18,I892)+1)*100,3000)+J892-100),IF(J892=K892+1,2000+INDEX(Eingabe!$G$9:$G$18,I892)*10+1,IF(J892=K892+2,2000+INDEX(Eingabe!$G$9:$G$18,I892)*10+2,2000+INDEX(Eingabe!$G$9:$G$18,I892)*10+9))),""))</f>
        <v/>
      </c>
      <c r="C892" s="0" t="str">
        <f aca="false">IF(I892="","",IF(AND(J892&gt;=1,J892&lt;=K892+3),"10."&amp;INDEX(Eingabe!$D$9:$D$18,I892)&amp;"."&amp;IF(J892&lt;=K892,J892,IF(J892=K892+1,200,IF(J892=K892+2,201,250)))&amp;".0/24",""))</f>
        <v/>
      </c>
      <c r="D892" s="0" t="str">
        <f aca="false">IF(I892="","",IF(AND(J892&gt;=1,J892&lt;=K892+3),"255.255.255.0",""))</f>
        <v/>
      </c>
      <c r="E892" s="0" t="str">
        <f aca="false">IF(I892="","",IF(AND(J892&gt;=1,J892&lt;=K892+3),"10."&amp;INDEX(Eingabe!$D$9:$D$18,I892)&amp;"."&amp;IF(J892&lt;=K892,J892,IF(J892=K892+1,200,IF(J892=K892+2,201,250)))&amp;".1",""))</f>
        <v/>
      </c>
      <c r="F892" s="0" t="str">
        <f aca="false">IF(I892="","",IF(AND(J892&gt;=1,J892&lt;=K892+3),"10."&amp;INDEX(Eingabe!$D$9:$D$18,I892)&amp;"."&amp;IF(J892&lt;=K892,J892,IF(J892=K892+1,200,IF(J892=K892+2,201,250)))&amp;".10 – 10."&amp;INDEX(Eingabe!$D$9:$D$18,I892)&amp;"."&amp;IF(J892&lt;=K892,J892,IF(J892=K892+1,200,IF(J892=K892+2,201,250)))&amp;".250",""))</f>
        <v/>
      </c>
      <c r="G892" s="0" t="str">
        <f aca="false">IF(I892="","",IF(AND(J892&gt;=1,J892&lt;=K892),Eingabe!$B$6&amp;"-"&amp;INDEX(Eingabe!$C$9:$C$18,I892)&amp;"-Pächter  ·  Passwort Parzelle "&amp;J892,IF(J892=K892+1,Eingabe!$B$6&amp;"-"&amp;INDEX(Eingabe!$C$9:$C$18,I892)&amp;"-Vorstand  ·  eigenes WLAN",IF(J892=K892+2,Eingabe!$B$6&amp;"-"&amp;INDEX(Eingabe!$C$9:$C$18,I892)&amp;"-Gäste  ·  Voucher",IF(J892=K892+3,"Kabel  ·  Access Point y = .(50+y), Mast-Switch x = .(10+x)","")))))</f>
        <v/>
      </c>
      <c r="I892" s="0" t="str">
        <f aca="false">IF(887&lt;=(Eingabe!$P$18+Eingabe!$Q$18-1),MATCH(887,Eingabe!$P$9:$P$18,1),"")</f>
        <v/>
      </c>
      <c r="J892" s="0" t="str">
        <f aca="false">IF(I892="","",887-INDEX(Eingabe!$P$9:$P$18,I892))</f>
        <v/>
      </c>
      <c r="K892" s="0" t="str">
        <f aca="false">IF(I892="","",INDEX(Eingabe!$E$9:$E$18,I892))</f>
        <v/>
      </c>
    </row>
    <row r="893" customFormat="false" ht="15" hidden="false" customHeight="false" outlineLevel="0" collapsed="false">
      <c r="A893" s="0" t="str">
        <f aca="false">IF(I893="","",IF(J893=0,"Sparte "&amp;I893&amp;": "&amp;INDEX(Eingabe!$B$9:$B$18,I893)&amp;"  (Sparten-ID "&amp;INDEX(Eingabe!$D$9:$D$18,I893)&amp;", "&amp;K893&amp;" Parzellen)",IF(J893&lt;=K893,"   Parzelle "&amp;J893,IF(J893=K893+1,"   Vorstand",IF(J893=K893+2,"   Gäste",IF(J893=K893+3,"   Technik (Switches, Access Points)",""))))))</f>
        <v/>
      </c>
      <c r="B893" s="0" t="str">
        <f aca="false">IF(I893="","",IF(AND(J893&gt;=1,J893&lt;=K893+3),IF(J893&lt;=K893,IF(J893&lt;=99,IF((INDEX(Eingabe!$G$9:$G$18,I893))&lt;=9,1000+(INDEX(Eingabe!$G$9:$G$18,I893))*100,3000)+J893,IF((INDEX(Eingabe!$G$9:$G$18,I893)+1)&lt;=9,1000+(INDEX(Eingabe!$G$9:$G$18,I893)+1)*100,3000)+J893-100),IF(J893=K893+1,2000+INDEX(Eingabe!$G$9:$G$18,I893)*10+1,IF(J893=K893+2,2000+INDEX(Eingabe!$G$9:$G$18,I893)*10+2,2000+INDEX(Eingabe!$G$9:$G$18,I893)*10+9))),""))</f>
        <v/>
      </c>
      <c r="C893" s="0" t="str">
        <f aca="false">IF(I893="","",IF(AND(J893&gt;=1,J893&lt;=K893+3),"10."&amp;INDEX(Eingabe!$D$9:$D$18,I893)&amp;"."&amp;IF(J893&lt;=K893,J893,IF(J893=K893+1,200,IF(J893=K893+2,201,250)))&amp;".0/24",""))</f>
        <v/>
      </c>
      <c r="D893" s="0" t="str">
        <f aca="false">IF(I893="","",IF(AND(J893&gt;=1,J893&lt;=K893+3),"255.255.255.0",""))</f>
        <v/>
      </c>
      <c r="E893" s="0" t="str">
        <f aca="false">IF(I893="","",IF(AND(J893&gt;=1,J893&lt;=K893+3),"10."&amp;INDEX(Eingabe!$D$9:$D$18,I893)&amp;"."&amp;IF(J893&lt;=K893,J893,IF(J893=K893+1,200,IF(J893=K893+2,201,250)))&amp;".1",""))</f>
        <v/>
      </c>
      <c r="F893" s="0" t="str">
        <f aca="false">IF(I893="","",IF(AND(J893&gt;=1,J893&lt;=K893+3),"10."&amp;INDEX(Eingabe!$D$9:$D$18,I893)&amp;"."&amp;IF(J893&lt;=K893,J893,IF(J893=K893+1,200,IF(J893=K893+2,201,250)))&amp;".10 – 10."&amp;INDEX(Eingabe!$D$9:$D$18,I893)&amp;"."&amp;IF(J893&lt;=K893,J893,IF(J893=K893+1,200,IF(J893=K893+2,201,250)))&amp;".250",""))</f>
        <v/>
      </c>
      <c r="G893" s="0" t="str">
        <f aca="false">IF(I893="","",IF(AND(J893&gt;=1,J893&lt;=K893),Eingabe!$B$6&amp;"-"&amp;INDEX(Eingabe!$C$9:$C$18,I893)&amp;"-Pächter  ·  Passwort Parzelle "&amp;J893,IF(J893=K893+1,Eingabe!$B$6&amp;"-"&amp;INDEX(Eingabe!$C$9:$C$18,I893)&amp;"-Vorstand  ·  eigenes WLAN",IF(J893=K893+2,Eingabe!$B$6&amp;"-"&amp;INDEX(Eingabe!$C$9:$C$18,I893)&amp;"-Gäste  ·  Voucher",IF(J893=K893+3,"Kabel  ·  Access Point y = .(50+y), Mast-Switch x = .(10+x)","")))))</f>
        <v/>
      </c>
      <c r="I893" s="0" t="str">
        <f aca="false">IF(888&lt;=(Eingabe!$P$18+Eingabe!$Q$18-1),MATCH(888,Eingabe!$P$9:$P$18,1),"")</f>
        <v/>
      </c>
      <c r="J893" s="0" t="str">
        <f aca="false">IF(I893="","",888-INDEX(Eingabe!$P$9:$P$18,I893))</f>
        <v/>
      </c>
      <c r="K893" s="0" t="str">
        <f aca="false">IF(I893="","",INDEX(Eingabe!$E$9:$E$18,I893))</f>
        <v/>
      </c>
    </row>
    <row r="894" customFormat="false" ht="15" hidden="false" customHeight="false" outlineLevel="0" collapsed="false">
      <c r="A894" s="0" t="str">
        <f aca="false">IF(I894="","",IF(J894=0,"Sparte "&amp;I894&amp;": "&amp;INDEX(Eingabe!$B$9:$B$18,I894)&amp;"  (Sparten-ID "&amp;INDEX(Eingabe!$D$9:$D$18,I894)&amp;", "&amp;K894&amp;" Parzellen)",IF(J894&lt;=K894,"   Parzelle "&amp;J894,IF(J894=K894+1,"   Vorstand",IF(J894=K894+2,"   Gäste",IF(J894=K894+3,"   Technik (Switches, Access Points)",""))))))</f>
        <v/>
      </c>
      <c r="B894" s="0" t="str">
        <f aca="false">IF(I894="","",IF(AND(J894&gt;=1,J894&lt;=K894+3),IF(J894&lt;=K894,IF(J894&lt;=99,IF((INDEX(Eingabe!$G$9:$G$18,I894))&lt;=9,1000+(INDEX(Eingabe!$G$9:$G$18,I894))*100,3000)+J894,IF((INDEX(Eingabe!$G$9:$G$18,I894)+1)&lt;=9,1000+(INDEX(Eingabe!$G$9:$G$18,I894)+1)*100,3000)+J894-100),IF(J894=K894+1,2000+INDEX(Eingabe!$G$9:$G$18,I894)*10+1,IF(J894=K894+2,2000+INDEX(Eingabe!$G$9:$G$18,I894)*10+2,2000+INDEX(Eingabe!$G$9:$G$18,I894)*10+9))),""))</f>
        <v/>
      </c>
      <c r="C894" s="0" t="str">
        <f aca="false">IF(I894="","",IF(AND(J894&gt;=1,J894&lt;=K894+3),"10."&amp;INDEX(Eingabe!$D$9:$D$18,I894)&amp;"."&amp;IF(J894&lt;=K894,J894,IF(J894=K894+1,200,IF(J894=K894+2,201,250)))&amp;".0/24",""))</f>
        <v/>
      </c>
      <c r="D894" s="0" t="str">
        <f aca="false">IF(I894="","",IF(AND(J894&gt;=1,J894&lt;=K894+3),"255.255.255.0",""))</f>
        <v/>
      </c>
      <c r="E894" s="0" t="str">
        <f aca="false">IF(I894="","",IF(AND(J894&gt;=1,J894&lt;=K894+3),"10."&amp;INDEX(Eingabe!$D$9:$D$18,I894)&amp;"."&amp;IF(J894&lt;=K894,J894,IF(J894=K894+1,200,IF(J894=K894+2,201,250)))&amp;".1",""))</f>
        <v/>
      </c>
      <c r="F894" s="0" t="str">
        <f aca="false">IF(I894="","",IF(AND(J894&gt;=1,J894&lt;=K894+3),"10."&amp;INDEX(Eingabe!$D$9:$D$18,I894)&amp;"."&amp;IF(J894&lt;=K894,J894,IF(J894=K894+1,200,IF(J894=K894+2,201,250)))&amp;".10 – 10."&amp;INDEX(Eingabe!$D$9:$D$18,I894)&amp;"."&amp;IF(J894&lt;=K894,J894,IF(J894=K894+1,200,IF(J894=K894+2,201,250)))&amp;".250",""))</f>
        <v/>
      </c>
      <c r="G894" s="0" t="str">
        <f aca="false">IF(I894="","",IF(AND(J894&gt;=1,J894&lt;=K894),Eingabe!$B$6&amp;"-"&amp;INDEX(Eingabe!$C$9:$C$18,I894)&amp;"-Pächter  ·  Passwort Parzelle "&amp;J894,IF(J894=K894+1,Eingabe!$B$6&amp;"-"&amp;INDEX(Eingabe!$C$9:$C$18,I894)&amp;"-Vorstand  ·  eigenes WLAN",IF(J894=K894+2,Eingabe!$B$6&amp;"-"&amp;INDEX(Eingabe!$C$9:$C$18,I894)&amp;"-Gäste  ·  Voucher",IF(J894=K894+3,"Kabel  ·  Access Point y = .(50+y), Mast-Switch x = .(10+x)","")))))</f>
        <v/>
      </c>
      <c r="I894" s="0" t="str">
        <f aca="false">IF(889&lt;=(Eingabe!$P$18+Eingabe!$Q$18-1),MATCH(889,Eingabe!$P$9:$P$18,1),"")</f>
        <v/>
      </c>
      <c r="J894" s="0" t="str">
        <f aca="false">IF(I894="","",889-INDEX(Eingabe!$P$9:$P$18,I894))</f>
        <v/>
      </c>
      <c r="K894" s="0" t="str">
        <f aca="false">IF(I894="","",INDEX(Eingabe!$E$9:$E$18,I894))</f>
        <v/>
      </c>
    </row>
    <row r="895" customFormat="false" ht="15" hidden="false" customHeight="false" outlineLevel="0" collapsed="false">
      <c r="A895" s="0" t="str">
        <f aca="false">IF(I895="","",IF(J895=0,"Sparte "&amp;I895&amp;": "&amp;INDEX(Eingabe!$B$9:$B$18,I895)&amp;"  (Sparten-ID "&amp;INDEX(Eingabe!$D$9:$D$18,I895)&amp;", "&amp;K895&amp;" Parzellen)",IF(J895&lt;=K895,"   Parzelle "&amp;J895,IF(J895=K895+1,"   Vorstand",IF(J895=K895+2,"   Gäste",IF(J895=K895+3,"   Technik (Switches, Access Points)",""))))))</f>
        <v/>
      </c>
      <c r="B895" s="0" t="str">
        <f aca="false">IF(I895="","",IF(AND(J895&gt;=1,J895&lt;=K895+3),IF(J895&lt;=K895,IF(J895&lt;=99,IF((INDEX(Eingabe!$G$9:$G$18,I895))&lt;=9,1000+(INDEX(Eingabe!$G$9:$G$18,I895))*100,3000)+J895,IF((INDEX(Eingabe!$G$9:$G$18,I895)+1)&lt;=9,1000+(INDEX(Eingabe!$G$9:$G$18,I895)+1)*100,3000)+J895-100),IF(J895=K895+1,2000+INDEX(Eingabe!$G$9:$G$18,I895)*10+1,IF(J895=K895+2,2000+INDEX(Eingabe!$G$9:$G$18,I895)*10+2,2000+INDEX(Eingabe!$G$9:$G$18,I895)*10+9))),""))</f>
        <v/>
      </c>
      <c r="C895" s="0" t="str">
        <f aca="false">IF(I895="","",IF(AND(J895&gt;=1,J895&lt;=K895+3),"10."&amp;INDEX(Eingabe!$D$9:$D$18,I895)&amp;"."&amp;IF(J895&lt;=K895,J895,IF(J895=K895+1,200,IF(J895=K895+2,201,250)))&amp;".0/24",""))</f>
        <v/>
      </c>
      <c r="D895" s="0" t="str">
        <f aca="false">IF(I895="","",IF(AND(J895&gt;=1,J895&lt;=K895+3),"255.255.255.0",""))</f>
        <v/>
      </c>
      <c r="E895" s="0" t="str">
        <f aca="false">IF(I895="","",IF(AND(J895&gt;=1,J895&lt;=K895+3),"10."&amp;INDEX(Eingabe!$D$9:$D$18,I895)&amp;"."&amp;IF(J895&lt;=K895,J895,IF(J895=K895+1,200,IF(J895=K895+2,201,250)))&amp;".1",""))</f>
        <v/>
      </c>
      <c r="F895" s="0" t="str">
        <f aca="false">IF(I895="","",IF(AND(J895&gt;=1,J895&lt;=K895+3),"10."&amp;INDEX(Eingabe!$D$9:$D$18,I895)&amp;"."&amp;IF(J895&lt;=K895,J895,IF(J895=K895+1,200,IF(J895=K895+2,201,250)))&amp;".10 – 10."&amp;INDEX(Eingabe!$D$9:$D$18,I895)&amp;"."&amp;IF(J895&lt;=K895,J895,IF(J895=K895+1,200,IF(J895=K895+2,201,250)))&amp;".250",""))</f>
        <v/>
      </c>
      <c r="G895" s="0" t="str">
        <f aca="false">IF(I895="","",IF(AND(J895&gt;=1,J895&lt;=K895),Eingabe!$B$6&amp;"-"&amp;INDEX(Eingabe!$C$9:$C$18,I895)&amp;"-Pächter  ·  Passwort Parzelle "&amp;J895,IF(J895=K895+1,Eingabe!$B$6&amp;"-"&amp;INDEX(Eingabe!$C$9:$C$18,I895)&amp;"-Vorstand  ·  eigenes WLAN",IF(J895=K895+2,Eingabe!$B$6&amp;"-"&amp;INDEX(Eingabe!$C$9:$C$18,I895)&amp;"-Gäste  ·  Voucher",IF(J895=K895+3,"Kabel  ·  Access Point y = .(50+y), Mast-Switch x = .(10+x)","")))))</f>
        <v/>
      </c>
      <c r="I895" s="0" t="str">
        <f aca="false">IF(890&lt;=(Eingabe!$P$18+Eingabe!$Q$18-1),MATCH(890,Eingabe!$P$9:$P$18,1),"")</f>
        <v/>
      </c>
      <c r="J895" s="0" t="str">
        <f aca="false">IF(I895="","",890-INDEX(Eingabe!$P$9:$P$18,I895))</f>
        <v/>
      </c>
      <c r="K895" s="0" t="str">
        <f aca="false">IF(I895="","",INDEX(Eingabe!$E$9:$E$18,I895))</f>
        <v/>
      </c>
    </row>
    <row r="896" customFormat="false" ht="15" hidden="false" customHeight="false" outlineLevel="0" collapsed="false">
      <c r="A896" s="0" t="str">
        <f aca="false">IF(I896="","",IF(J896=0,"Sparte "&amp;I896&amp;": "&amp;INDEX(Eingabe!$B$9:$B$18,I896)&amp;"  (Sparten-ID "&amp;INDEX(Eingabe!$D$9:$D$18,I896)&amp;", "&amp;K896&amp;" Parzellen)",IF(J896&lt;=K896,"   Parzelle "&amp;J896,IF(J896=K896+1,"   Vorstand",IF(J896=K896+2,"   Gäste",IF(J896=K896+3,"   Technik (Switches, Access Points)",""))))))</f>
        <v/>
      </c>
      <c r="B896" s="0" t="str">
        <f aca="false">IF(I896="","",IF(AND(J896&gt;=1,J896&lt;=K896+3),IF(J896&lt;=K896,IF(J896&lt;=99,IF((INDEX(Eingabe!$G$9:$G$18,I896))&lt;=9,1000+(INDEX(Eingabe!$G$9:$G$18,I896))*100,3000)+J896,IF((INDEX(Eingabe!$G$9:$G$18,I896)+1)&lt;=9,1000+(INDEX(Eingabe!$G$9:$G$18,I896)+1)*100,3000)+J896-100),IF(J896=K896+1,2000+INDEX(Eingabe!$G$9:$G$18,I896)*10+1,IF(J896=K896+2,2000+INDEX(Eingabe!$G$9:$G$18,I896)*10+2,2000+INDEX(Eingabe!$G$9:$G$18,I896)*10+9))),""))</f>
        <v/>
      </c>
      <c r="C896" s="0" t="str">
        <f aca="false">IF(I896="","",IF(AND(J896&gt;=1,J896&lt;=K896+3),"10."&amp;INDEX(Eingabe!$D$9:$D$18,I896)&amp;"."&amp;IF(J896&lt;=K896,J896,IF(J896=K896+1,200,IF(J896=K896+2,201,250)))&amp;".0/24",""))</f>
        <v/>
      </c>
      <c r="D896" s="0" t="str">
        <f aca="false">IF(I896="","",IF(AND(J896&gt;=1,J896&lt;=K896+3),"255.255.255.0",""))</f>
        <v/>
      </c>
      <c r="E896" s="0" t="str">
        <f aca="false">IF(I896="","",IF(AND(J896&gt;=1,J896&lt;=K896+3),"10."&amp;INDEX(Eingabe!$D$9:$D$18,I896)&amp;"."&amp;IF(J896&lt;=K896,J896,IF(J896=K896+1,200,IF(J896=K896+2,201,250)))&amp;".1",""))</f>
        <v/>
      </c>
      <c r="F896" s="0" t="str">
        <f aca="false">IF(I896="","",IF(AND(J896&gt;=1,J896&lt;=K896+3),"10."&amp;INDEX(Eingabe!$D$9:$D$18,I896)&amp;"."&amp;IF(J896&lt;=K896,J896,IF(J896=K896+1,200,IF(J896=K896+2,201,250)))&amp;".10 – 10."&amp;INDEX(Eingabe!$D$9:$D$18,I896)&amp;"."&amp;IF(J896&lt;=K896,J896,IF(J896=K896+1,200,IF(J896=K896+2,201,250)))&amp;".250",""))</f>
        <v/>
      </c>
      <c r="G896" s="0" t="str">
        <f aca="false">IF(I896="","",IF(AND(J896&gt;=1,J896&lt;=K896),Eingabe!$B$6&amp;"-"&amp;INDEX(Eingabe!$C$9:$C$18,I896)&amp;"-Pächter  ·  Passwort Parzelle "&amp;J896,IF(J896=K896+1,Eingabe!$B$6&amp;"-"&amp;INDEX(Eingabe!$C$9:$C$18,I896)&amp;"-Vorstand  ·  eigenes WLAN",IF(J896=K896+2,Eingabe!$B$6&amp;"-"&amp;INDEX(Eingabe!$C$9:$C$18,I896)&amp;"-Gäste  ·  Voucher",IF(J896=K896+3,"Kabel  ·  Access Point y = .(50+y), Mast-Switch x = .(10+x)","")))))</f>
        <v/>
      </c>
      <c r="I896" s="0" t="str">
        <f aca="false">IF(891&lt;=(Eingabe!$P$18+Eingabe!$Q$18-1),MATCH(891,Eingabe!$P$9:$P$18,1),"")</f>
        <v/>
      </c>
      <c r="J896" s="0" t="str">
        <f aca="false">IF(I896="","",891-INDEX(Eingabe!$P$9:$P$18,I896))</f>
        <v/>
      </c>
      <c r="K896" s="0" t="str">
        <f aca="false">IF(I896="","",INDEX(Eingabe!$E$9:$E$18,I896))</f>
        <v/>
      </c>
    </row>
    <row r="897" customFormat="false" ht="15" hidden="false" customHeight="false" outlineLevel="0" collapsed="false">
      <c r="A897" s="0" t="str">
        <f aca="false">IF(I897="","",IF(J897=0,"Sparte "&amp;I897&amp;": "&amp;INDEX(Eingabe!$B$9:$B$18,I897)&amp;"  (Sparten-ID "&amp;INDEX(Eingabe!$D$9:$D$18,I897)&amp;", "&amp;K897&amp;" Parzellen)",IF(J897&lt;=K897,"   Parzelle "&amp;J897,IF(J897=K897+1,"   Vorstand",IF(J897=K897+2,"   Gäste",IF(J897=K897+3,"   Technik (Switches, Access Points)",""))))))</f>
        <v/>
      </c>
      <c r="B897" s="0" t="str">
        <f aca="false">IF(I897="","",IF(AND(J897&gt;=1,J897&lt;=K897+3),IF(J897&lt;=K897,IF(J897&lt;=99,IF((INDEX(Eingabe!$G$9:$G$18,I897))&lt;=9,1000+(INDEX(Eingabe!$G$9:$G$18,I897))*100,3000)+J897,IF((INDEX(Eingabe!$G$9:$G$18,I897)+1)&lt;=9,1000+(INDEX(Eingabe!$G$9:$G$18,I897)+1)*100,3000)+J897-100),IF(J897=K897+1,2000+INDEX(Eingabe!$G$9:$G$18,I897)*10+1,IF(J897=K897+2,2000+INDEX(Eingabe!$G$9:$G$18,I897)*10+2,2000+INDEX(Eingabe!$G$9:$G$18,I897)*10+9))),""))</f>
        <v/>
      </c>
      <c r="C897" s="0" t="str">
        <f aca="false">IF(I897="","",IF(AND(J897&gt;=1,J897&lt;=K897+3),"10."&amp;INDEX(Eingabe!$D$9:$D$18,I897)&amp;"."&amp;IF(J897&lt;=K897,J897,IF(J897=K897+1,200,IF(J897=K897+2,201,250)))&amp;".0/24",""))</f>
        <v/>
      </c>
      <c r="D897" s="0" t="str">
        <f aca="false">IF(I897="","",IF(AND(J897&gt;=1,J897&lt;=K897+3),"255.255.255.0",""))</f>
        <v/>
      </c>
      <c r="E897" s="0" t="str">
        <f aca="false">IF(I897="","",IF(AND(J897&gt;=1,J897&lt;=K897+3),"10."&amp;INDEX(Eingabe!$D$9:$D$18,I897)&amp;"."&amp;IF(J897&lt;=K897,J897,IF(J897=K897+1,200,IF(J897=K897+2,201,250)))&amp;".1",""))</f>
        <v/>
      </c>
      <c r="F897" s="0" t="str">
        <f aca="false">IF(I897="","",IF(AND(J897&gt;=1,J897&lt;=K897+3),"10."&amp;INDEX(Eingabe!$D$9:$D$18,I897)&amp;"."&amp;IF(J897&lt;=K897,J897,IF(J897=K897+1,200,IF(J897=K897+2,201,250)))&amp;".10 – 10."&amp;INDEX(Eingabe!$D$9:$D$18,I897)&amp;"."&amp;IF(J897&lt;=K897,J897,IF(J897=K897+1,200,IF(J897=K897+2,201,250)))&amp;".250",""))</f>
        <v/>
      </c>
      <c r="G897" s="0" t="str">
        <f aca="false">IF(I897="","",IF(AND(J897&gt;=1,J897&lt;=K897),Eingabe!$B$6&amp;"-"&amp;INDEX(Eingabe!$C$9:$C$18,I897)&amp;"-Pächter  ·  Passwort Parzelle "&amp;J897,IF(J897=K897+1,Eingabe!$B$6&amp;"-"&amp;INDEX(Eingabe!$C$9:$C$18,I897)&amp;"-Vorstand  ·  eigenes WLAN",IF(J897=K897+2,Eingabe!$B$6&amp;"-"&amp;INDEX(Eingabe!$C$9:$C$18,I897)&amp;"-Gäste  ·  Voucher",IF(J897=K897+3,"Kabel  ·  Access Point y = .(50+y), Mast-Switch x = .(10+x)","")))))</f>
        <v/>
      </c>
      <c r="I897" s="0" t="str">
        <f aca="false">IF(892&lt;=(Eingabe!$P$18+Eingabe!$Q$18-1),MATCH(892,Eingabe!$P$9:$P$18,1),"")</f>
        <v/>
      </c>
      <c r="J897" s="0" t="str">
        <f aca="false">IF(I897="","",892-INDEX(Eingabe!$P$9:$P$18,I897))</f>
        <v/>
      </c>
      <c r="K897" s="0" t="str">
        <f aca="false">IF(I897="","",INDEX(Eingabe!$E$9:$E$18,I897))</f>
        <v/>
      </c>
    </row>
    <row r="898" customFormat="false" ht="15" hidden="false" customHeight="false" outlineLevel="0" collapsed="false">
      <c r="A898" s="0" t="str">
        <f aca="false">IF(I898="","",IF(J898=0,"Sparte "&amp;I898&amp;": "&amp;INDEX(Eingabe!$B$9:$B$18,I898)&amp;"  (Sparten-ID "&amp;INDEX(Eingabe!$D$9:$D$18,I898)&amp;", "&amp;K898&amp;" Parzellen)",IF(J898&lt;=K898,"   Parzelle "&amp;J898,IF(J898=K898+1,"   Vorstand",IF(J898=K898+2,"   Gäste",IF(J898=K898+3,"   Technik (Switches, Access Points)",""))))))</f>
        <v/>
      </c>
      <c r="B898" s="0" t="str">
        <f aca="false">IF(I898="","",IF(AND(J898&gt;=1,J898&lt;=K898+3),IF(J898&lt;=K898,IF(J898&lt;=99,IF((INDEX(Eingabe!$G$9:$G$18,I898))&lt;=9,1000+(INDEX(Eingabe!$G$9:$G$18,I898))*100,3000)+J898,IF((INDEX(Eingabe!$G$9:$G$18,I898)+1)&lt;=9,1000+(INDEX(Eingabe!$G$9:$G$18,I898)+1)*100,3000)+J898-100),IF(J898=K898+1,2000+INDEX(Eingabe!$G$9:$G$18,I898)*10+1,IF(J898=K898+2,2000+INDEX(Eingabe!$G$9:$G$18,I898)*10+2,2000+INDEX(Eingabe!$G$9:$G$18,I898)*10+9))),""))</f>
        <v/>
      </c>
      <c r="C898" s="0" t="str">
        <f aca="false">IF(I898="","",IF(AND(J898&gt;=1,J898&lt;=K898+3),"10."&amp;INDEX(Eingabe!$D$9:$D$18,I898)&amp;"."&amp;IF(J898&lt;=K898,J898,IF(J898=K898+1,200,IF(J898=K898+2,201,250)))&amp;".0/24",""))</f>
        <v/>
      </c>
      <c r="D898" s="0" t="str">
        <f aca="false">IF(I898="","",IF(AND(J898&gt;=1,J898&lt;=K898+3),"255.255.255.0",""))</f>
        <v/>
      </c>
      <c r="E898" s="0" t="str">
        <f aca="false">IF(I898="","",IF(AND(J898&gt;=1,J898&lt;=K898+3),"10."&amp;INDEX(Eingabe!$D$9:$D$18,I898)&amp;"."&amp;IF(J898&lt;=K898,J898,IF(J898=K898+1,200,IF(J898=K898+2,201,250)))&amp;".1",""))</f>
        <v/>
      </c>
      <c r="F898" s="0" t="str">
        <f aca="false">IF(I898="","",IF(AND(J898&gt;=1,J898&lt;=K898+3),"10."&amp;INDEX(Eingabe!$D$9:$D$18,I898)&amp;"."&amp;IF(J898&lt;=K898,J898,IF(J898=K898+1,200,IF(J898=K898+2,201,250)))&amp;".10 – 10."&amp;INDEX(Eingabe!$D$9:$D$18,I898)&amp;"."&amp;IF(J898&lt;=K898,J898,IF(J898=K898+1,200,IF(J898=K898+2,201,250)))&amp;".250",""))</f>
        <v/>
      </c>
      <c r="G898" s="0" t="str">
        <f aca="false">IF(I898="","",IF(AND(J898&gt;=1,J898&lt;=K898),Eingabe!$B$6&amp;"-"&amp;INDEX(Eingabe!$C$9:$C$18,I898)&amp;"-Pächter  ·  Passwort Parzelle "&amp;J898,IF(J898=K898+1,Eingabe!$B$6&amp;"-"&amp;INDEX(Eingabe!$C$9:$C$18,I898)&amp;"-Vorstand  ·  eigenes WLAN",IF(J898=K898+2,Eingabe!$B$6&amp;"-"&amp;INDEX(Eingabe!$C$9:$C$18,I898)&amp;"-Gäste  ·  Voucher",IF(J898=K898+3,"Kabel  ·  Access Point y = .(50+y), Mast-Switch x = .(10+x)","")))))</f>
        <v/>
      </c>
      <c r="I898" s="0" t="str">
        <f aca="false">IF(893&lt;=(Eingabe!$P$18+Eingabe!$Q$18-1),MATCH(893,Eingabe!$P$9:$P$18,1),"")</f>
        <v/>
      </c>
      <c r="J898" s="0" t="str">
        <f aca="false">IF(I898="","",893-INDEX(Eingabe!$P$9:$P$18,I898))</f>
        <v/>
      </c>
      <c r="K898" s="0" t="str">
        <f aca="false">IF(I898="","",INDEX(Eingabe!$E$9:$E$18,I898))</f>
        <v/>
      </c>
    </row>
    <row r="899" customFormat="false" ht="15" hidden="false" customHeight="false" outlineLevel="0" collapsed="false">
      <c r="A899" s="0" t="str">
        <f aca="false">IF(I899="","",IF(J899=0,"Sparte "&amp;I899&amp;": "&amp;INDEX(Eingabe!$B$9:$B$18,I899)&amp;"  (Sparten-ID "&amp;INDEX(Eingabe!$D$9:$D$18,I899)&amp;", "&amp;K899&amp;" Parzellen)",IF(J899&lt;=K899,"   Parzelle "&amp;J899,IF(J899=K899+1,"   Vorstand",IF(J899=K899+2,"   Gäste",IF(J899=K899+3,"   Technik (Switches, Access Points)",""))))))</f>
        <v/>
      </c>
      <c r="B899" s="0" t="str">
        <f aca="false">IF(I899="","",IF(AND(J899&gt;=1,J899&lt;=K899+3),IF(J899&lt;=K899,IF(J899&lt;=99,IF((INDEX(Eingabe!$G$9:$G$18,I899))&lt;=9,1000+(INDEX(Eingabe!$G$9:$G$18,I899))*100,3000)+J899,IF((INDEX(Eingabe!$G$9:$G$18,I899)+1)&lt;=9,1000+(INDEX(Eingabe!$G$9:$G$18,I899)+1)*100,3000)+J899-100),IF(J899=K899+1,2000+INDEX(Eingabe!$G$9:$G$18,I899)*10+1,IF(J899=K899+2,2000+INDEX(Eingabe!$G$9:$G$18,I899)*10+2,2000+INDEX(Eingabe!$G$9:$G$18,I899)*10+9))),""))</f>
        <v/>
      </c>
      <c r="C899" s="0" t="str">
        <f aca="false">IF(I899="","",IF(AND(J899&gt;=1,J899&lt;=K899+3),"10."&amp;INDEX(Eingabe!$D$9:$D$18,I899)&amp;"."&amp;IF(J899&lt;=K899,J899,IF(J899=K899+1,200,IF(J899=K899+2,201,250)))&amp;".0/24",""))</f>
        <v/>
      </c>
      <c r="D899" s="0" t="str">
        <f aca="false">IF(I899="","",IF(AND(J899&gt;=1,J899&lt;=K899+3),"255.255.255.0",""))</f>
        <v/>
      </c>
      <c r="E899" s="0" t="str">
        <f aca="false">IF(I899="","",IF(AND(J899&gt;=1,J899&lt;=K899+3),"10."&amp;INDEX(Eingabe!$D$9:$D$18,I899)&amp;"."&amp;IF(J899&lt;=K899,J899,IF(J899=K899+1,200,IF(J899=K899+2,201,250)))&amp;".1",""))</f>
        <v/>
      </c>
      <c r="F899" s="0" t="str">
        <f aca="false">IF(I899="","",IF(AND(J899&gt;=1,J899&lt;=K899+3),"10."&amp;INDEX(Eingabe!$D$9:$D$18,I899)&amp;"."&amp;IF(J899&lt;=K899,J899,IF(J899=K899+1,200,IF(J899=K899+2,201,250)))&amp;".10 – 10."&amp;INDEX(Eingabe!$D$9:$D$18,I899)&amp;"."&amp;IF(J899&lt;=K899,J899,IF(J899=K899+1,200,IF(J899=K899+2,201,250)))&amp;".250",""))</f>
        <v/>
      </c>
      <c r="G899" s="0" t="str">
        <f aca="false">IF(I899="","",IF(AND(J899&gt;=1,J899&lt;=K899),Eingabe!$B$6&amp;"-"&amp;INDEX(Eingabe!$C$9:$C$18,I899)&amp;"-Pächter  ·  Passwort Parzelle "&amp;J899,IF(J899=K899+1,Eingabe!$B$6&amp;"-"&amp;INDEX(Eingabe!$C$9:$C$18,I899)&amp;"-Vorstand  ·  eigenes WLAN",IF(J899=K899+2,Eingabe!$B$6&amp;"-"&amp;INDEX(Eingabe!$C$9:$C$18,I899)&amp;"-Gäste  ·  Voucher",IF(J899=K899+3,"Kabel  ·  Access Point y = .(50+y), Mast-Switch x = .(10+x)","")))))</f>
        <v/>
      </c>
      <c r="I899" s="0" t="str">
        <f aca="false">IF(894&lt;=(Eingabe!$P$18+Eingabe!$Q$18-1),MATCH(894,Eingabe!$P$9:$P$18,1),"")</f>
        <v/>
      </c>
      <c r="J899" s="0" t="str">
        <f aca="false">IF(I899="","",894-INDEX(Eingabe!$P$9:$P$18,I899))</f>
        <v/>
      </c>
      <c r="K899" s="0" t="str">
        <f aca="false">IF(I899="","",INDEX(Eingabe!$E$9:$E$18,I899))</f>
        <v/>
      </c>
    </row>
    <row r="900" customFormat="false" ht="15" hidden="false" customHeight="false" outlineLevel="0" collapsed="false">
      <c r="A900" s="0" t="str">
        <f aca="false">IF(I900="","",IF(J900=0,"Sparte "&amp;I900&amp;": "&amp;INDEX(Eingabe!$B$9:$B$18,I900)&amp;"  (Sparten-ID "&amp;INDEX(Eingabe!$D$9:$D$18,I900)&amp;", "&amp;K900&amp;" Parzellen)",IF(J900&lt;=K900,"   Parzelle "&amp;J900,IF(J900=K900+1,"   Vorstand",IF(J900=K900+2,"   Gäste",IF(J900=K900+3,"   Technik (Switches, Access Points)",""))))))</f>
        <v/>
      </c>
      <c r="B900" s="0" t="str">
        <f aca="false">IF(I900="","",IF(AND(J900&gt;=1,J900&lt;=K900+3),IF(J900&lt;=K900,IF(J900&lt;=99,IF((INDEX(Eingabe!$G$9:$G$18,I900))&lt;=9,1000+(INDEX(Eingabe!$G$9:$G$18,I900))*100,3000)+J900,IF((INDEX(Eingabe!$G$9:$G$18,I900)+1)&lt;=9,1000+(INDEX(Eingabe!$G$9:$G$18,I900)+1)*100,3000)+J900-100),IF(J900=K900+1,2000+INDEX(Eingabe!$G$9:$G$18,I900)*10+1,IF(J900=K900+2,2000+INDEX(Eingabe!$G$9:$G$18,I900)*10+2,2000+INDEX(Eingabe!$G$9:$G$18,I900)*10+9))),""))</f>
        <v/>
      </c>
      <c r="C900" s="0" t="str">
        <f aca="false">IF(I900="","",IF(AND(J900&gt;=1,J900&lt;=K900+3),"10."&amp;INDEX(Eingabe!$D$9:$D$18,I900)&amp;"."&amp;IF(J900&lt;=K900,J900,IF(J900=K900+1,200,IF(J900=K900+2,201,250)))&amp;".0/24",""))</f>
        <v/>
      </c>
      <c r="D900" s="0" t="str">
        <f aca="false">IF(I900="","",IF(AND(J900&gt;=1,J900&lt;=K900+3),"255.255.255.0",""))</f>
        <v/>
      </c>
      <c r="E900" s="0" t="str">
        <f aca="false">IF(I900="","",IF(AND(J900&gt;=1,J900&lt;=K900+3),"10."&amp;INDEX(Eingabe!$D$9:$D$18,I900)&amp;"."&amp;IF(J900&lt;=K900,J900,IF(J900=K900+1,200,IF(J900=K900+2,201,250)))&amp;".1",""))</f>
        <v/>
      </c>
      <c r="F900" s="0" t="str">
        <f aca="false">IF(I900="","",IF(AND(J900&gt;=1,J900&lt;=K900+3),"10."&amp;INDEX(Eingabe!$D$9:$D$18,I900)&amp;"."&amp;IF(J900&lt;=K900,J900,IF(J900=K900+1,200,IF(J900=K900+2,201,250)))&amp;".10 – 10."&amp;INDEX(Eingabe!$D$9:$D$18,I900)&amp;"."&amp;IF(J900&lt;=K900,J900,IF(J900=K900+1,200,IF(J900=K900+2,201,250)))&amp;".250",""))</f>
        <v/>
      </c>
      <c r="G900" s="0" t="str">
        <f aca="false">IF(I900="","",IF(AND(J900&gt;=1,J900&lt;=K900),Eingabe!$B$6&amp;"-"&amp;INDEX(Eingabe!$C$9:$C$18,I900)&amp;"-Pächter  ·  Passwort Parzelle "&amp;J900,IF(J900=K900+1,Eingabe!$B$6&amp;"-"&amp;INDEX(Eingabe!$C$9:$C$18,I900)&amp;"-Vorstand  ·  eigenes WLAN",IF(J900=K900+2,Eingabe!$B$6&amp;"-"&amp;INDEX(Eingabe!$C$9:$C$18,I900)&amp;"-Gäste  ·  Voucher",IF(J900=K900+3,"Kabel  ·  Access Point y = .(50+y), Mast-Switch x = .(10+x)","")))))</f>
        <v/>
      </c>
      <c r="I900" s="0" t="str">
        <f aca="false">IF(895&lt;=(Eingabe!$P$18+Eingabe!$Q$18-1),MATCH(895,Eingabe!$P$9:$P$18,1),"")</f>
        <v/>
      </c>
      <c r="J900" s="0" t="str">
        <f aca="false">IF(I900="","",895-INDEX(Eingabe!$P$9:$P$18,I900))</f>
        <v/>
      </c>
      <c r="K900" s="0" t="str">
        <f aca="false">IF(I900="","",INDEX(Eingabe!$E$9:$E$18,I900))</f>
        <v/>
      </c>
    </row>
    <row r="901" customFormat="false" ht="15" hidden="false" customHeight="false" outlineLevel="0" collapsed="false">
      <c r="A901" s="0" t="str">
        <f aca="false">IF(I901="","",IF(J901=0,"Sparte "&amp;I901&amp;": "&amp;INDEX(Eingabe!$B$9:$B$18,I901)&amp;"  (Sparten-ID "&amp;INDEX(Eingabe!$D$9:$D$18,I901)&amp;", "&amp;K901&amp;" Parzellen)",IF(J901&lt;=K901,"   Parzelle "&amp;J901,IF(J901=K901+1,"   Vorstand",IF(J901=K901+2,"   Gäste",IF(J901=K901+3,"   Technik (Switches, Access Points)",""))))))</f>
        <v/>
      </c>
      <c r="B901" s="0" t="str">
        <f aca="false">IF(I901="","",IF(AND(J901&gt;=1,J901&lt;=K901+3),IF(J901&lt;=K901,IF(J901&lt;=99,IF((INDEX(Eingabe!$G$9:$G$18,I901))&lt;=9,1000+(INDEX(Eingabe!$G$9:$G$18,I901))*100,3000)+J901,IF((INDEX(Eingabe!$G$9:$G$18,I901)+1)&lt;=9,1000+(INDEX(Eingabe!$G$9:$G$18,I901)+1)*100,3000)+J901-100),IF(J901=K901+1,2000+INDEX(Eingabe!$G$9:$G$18,I901)*10+1,IF(J901=K901+2,2000+INDEX(Eingabe!$G$9:$G$18,I901)*10+2,2000+INDEX(Eingabe!$G$9:$G$18,I901)*10+9))),""))</f>
        <v/>
      </c>
      <c r="C901" s="0" t="str">
        <f aca="false">IF(I901="","",IF(AND(J901&gt;=1,J901&lt;=K901+3),"10."&amp;INDEX(Eingabe!$D$9:$D$18,I901)&amp;"."&amp;IF(J901&lt;=K901,J901,IF(J901=K901+1,200,IF(J901=K901+2,201,250)))&amp;".0/24",""))</f>
        <v/>
      </c>
      <c r="D901" s="0" t="str">
        <f aca="false">IF(I901="","",IF(AND(J901&gt;=1,J901&lt;=K901+3),"255.255.255.0",""))</f>
        <v/>
      </c>
      <c r="E901" s="0" t="str">
        <f aca="false">IF(I901="","",IF(AND(J901&gt;=1,J901&lt;=K901+3),"10."&amp;INDEX(Eingabe!$D$9:$D$18,I901)&amp;"."&amp;IF(J901&lt;=K901,J901,IF(J901=K901+1,200,IF(J901=K901+2,201,250)))&amp;".1",""))</f>
        <v/>
      </c>
      <c r="F901" s="0" t="str">
        <f aca="false">IF(I901="","",IF(AND(J901&gt;=1,J901&lt;=K901+3),"10."&amp;INDEX(Eingabe!$D$9:$D$18,I901)&amp;"."&amp;IF(J901&lt;=K901,J901,IF(J901=K901+1,200,IF(J901=K901+2,201,250)))&amp;".10 – 10."&amp;INDEX(Eingabe!$D$9:$D$18,I901)&amp;"."&amp;IF(J901&lt;=K901,J901,IF(J901=K901+1,200,IF(J901=K901+2,201,250)))&amp;".250",""))</f>
        <v/>
      </c>
      <c r="G901" s="0" t="str">
        <f aca="false">IF(I901="","",IF(AND(J901&gt;=1,J901&lt;=K901),Eingabe!$B$6&amp;"-"&amp;INDEX(Eingabe!$C$9:$C$18,I901)&amp;"-Pächter  ·  Passwort Parzelle "&amp;J901,IF(J901=K901+1,Eingabe!$B$6&amp;"-"&amp;INDEX(Eingabe!$C$9:$C$18,I901)&amp;"-Vorstand  ·  eigenes WLAN",IF(J901=K901+2,Eingabe!$B$6&amp;"-"&amp;INDEX(Eingabe!$C$9:$C$18,I901)&amp;"-Gäste  ·  Voucher",IF(J901=K901+3,"Kabel  ·  Access Point y = .(50+y), Mast-Switch x = .(10+x)","")))))</f>
        <v/>
      </c>
      <c r="I901" s="0" t="str">
        <f aca="false">IF(896&lt;=(Eingabe!$P$18+Eingabe!$Q$18-1),MATCH(896,Eingabe!$P$9:$P$18,1),"")</f>
        <v/>
      </c>
      <c r="J901" s="0" t="str">
        <f aca="false">IF(I901="","",896-INDEX(Eingabe!$P$9:$P$18,I901))</f>
        <v/>
      </c>
      <c r="K901" s="0" t="str">
        <f aca="false">IF(I901="","",INDEX(Eingabe!$E$9:$E$18,I901))</f>
        <v/>
      </c>
    </row>
    <row r="902" customFormat="false" ht="15" hidden="false" customHeight="false" outlineLevel="0" collapsed="false">
      <c r="A902" s="0" t="str">
        <f aca="false">IF(I902="","",IF(J902=0,"Sparte "&amp;I902&amp;": "&amp;INDEX(Eingabe!$B$9:$B$18,I902)&amp;"  (Sparten-ID "&amp;INDEX(Eingabe!$D$9:$D$18,I902)&amp;", "&amp;K902&amp;" Parzellen)",IF(J902&lt;=K902,"   Parzelle "&amp;J902,IF(J902=K902+1,"   Vorstand",IF(J902=K902+2,"   Gäste",IF(J902=K902+3,"   Technik (Switches, Access Points)",""))))))</f>
        <v/>
      </c>
      <c r="B902" s="0" t="str">
        <f aca="false">IF(I902="","",IF(AND(J902&gt;=1,J902&lt;=K902+3),IF(J902&lt;=K902,IF(J902&lt;=99,IF((INDEX(Eingabe!$G$9:$G$18,I902))&lt;=9,1000+(INDEX(Eingabe!$G$9:$G$18,I902))*100,3000)+J902,IF((INDEX(Eingabe!$G$9:$G$18,I902)+1)&lt;=9,1000+(INDEX(Eingabe!$G$9:$G$18,I902)+1)*100,3000)+J902-100),IF(J902=K902+1,2000+INDEX(Eingabe!$G$9:$G$18,I902)*10+1,IF(J902=K902+2,2000+INDEX(Eingabe!$G$9:$G$18,I902)*10+2,2000+INDEX(Eingabe!$G$9:$G$18,I902)*10+9))),""))</f>
        <v/>
      </c>
      <c r="C902" s="0" t="str">
        <f aca="false">IF(I902="","",IF(AND(J902&gt;=1,J902&lt;=K902+3),"10."&amp;INDEX(Eingabe!$D$9:$D$18,I902)&amp;"."&amp;IF(J902&lt;=K902,J902,IF(J902=K902+1,200,IF(J902=K902+2,201,250)))&amp;".0/24",""))</f>
        <v/>
      </c>
      <c r="D902" s="0" t="str">
        <f aca="false">IF(I902="","",IF(AND(J902&gt;=1,J902&lt;=K902+3),"255.255.255.0",""))</f>
        <v/>
      </c>
      <c r="E902" s="0" t="str">
        <f aca="false">IF(I902="","",IF(AND(J902&gt;=1,J902&lt;=K902+3),"10."&amp;INDEX(Eingabe!$D$9:$D$18,I902)&amp;"."&amp;IF(J902&lt;=K902,J902,IF(J902=K902+1,200,IF(J902=K902+2,201,250)))&amp;".1",""))</f>
        <v/>
      </c>
      <c r="F902" s="0" t="str">
        <f aca="false">IF(I902="","",IF(AND(J902&gt;=1,J902&lt;=K902+3),"10."&amp;INDEX(Eingabe!$D$9:$D$18,I902)&amp;"."&amp;IF(J902&lt;=K902,J902,IF(J902=K902+1,200,IF(J902=K902+2,201,250)))&amp;".10 – 10."&amp;INDEX(Eingabe!$D$9:$D$18,I902)&amp;"."&amp;IF(J902&lt;=K902,J902,IF(J902=K902+1,200,IF(J902=K902+2,201,250)))&amp;".250",""))</f>
        <v/>
      </c>
      <c r="G902" s="0" t="str">
        <f aca="false">IF(I902="","",IF(AND(J902&gt;=1,J902&lt;=K902),Eingabe!$B$6&amp;"-"&amp;INDEX(Eingabe!$C$9:$C$18,I902)&amp;"-Pächter  ·  Passwort Parzelle "&amp;J902,IF(J902=K902+1,Eingabe!$B$6&amp;"-"&amp;INDEX(Eingabe!$C$9:$C$18,I902)&amp;"-Vorstand  ·  eigenes WLAN",IF(J902=K902+2,Eingabe!$B$6&amp;"-"&amp;INDEX(Eingabe!$C$9:$C$18,I902)&amp;"-Gäste  ·  Voucher",IF(J902=K902+3,"Kabel  ·  Access Point y = .(50+y), Mast-Switch x = .(10+x)","")))))</f>
        <v/>
      </c>
      <c r="I902" s="0" t="str">
        <f aca="false">IF(897&lt;=(Eingabe!$P$18+Eingabe!$Q$18-1),MATCH(897,Eingabe!$P$9:$P$18,1),"")</f>
        <v/>
      </c>
      <c r="J902" s="0" t="str">
        <f aca="false">IF(I902="","",897-INDEX(Eingabe!$P$9:$P$18,I902))</f>
        <v/>
      </c>
      <c r="K902" s="0" t="str">
        <f aca="false">IF(I902="","",INDEX(Eingabe!$E$9:$E$18,I902))</f>
        <v/>
      </c>
    </row>
    <row r="903" customFormat="false" ht="15" hidden="false" customHeight="false" outlineLevel="0" collapsed="false">
      <c r="A903" s="0" t="str">
        <f aca="false">IF(I903="","",IF(J903=0,"Sparte "&amp;I903&amp;": "&amp;INDEX(Eingabe!$B$9:$B$18,I903)&amp;"  (Sparten-ID "&amp;INDEX(Eingabe!$D$9:$D$18,I903)&amp;", "&amp;K903&amp;" Parzellen)",IF(J903&lt;=K903,"   Parzelle "&amp;J903,IF(J903=K903+1,"   Vorstand",IF(J903=K903+2,"   Gäste",IF(J903=K903+3,"   Technik (Switches, Access Points)",""))))))</f>
        <v/>
      </c>
      <c r="B903" s="0" t="str">
        <f aca="false">IF(I903="","",IF(AND(J903&gt;=1,J903&lt;=K903+3),IF(J903&lt;=K903,IF(J903&lt;=99,IF((INDEX(Eingabe!$G$9:$G$18,I903))&lt;=9,1000+(INDEX(Eingabe!$G$9:$G$18,I903))*100,3000)+J903,IF((INDEX(Eingabe!$G$9:$G$18,I903)+1)&lt;=9,1000+(INDEX(Eingabe!$G$9:$G$18,I903)+1)*100,3000)+J903-100),IF(J903=K903+1,2000+INDEX(Eingabe!$G$9:$G$18,I903)*10+1,IF(J903=K903+2,2000+INDEX(Eingabe!$G$9:$G$18,I903)*10+2,2000+INDEX(Eingabe!$G$9:$G$18,I903)*10+9))),""))</f>
        <v/>
      </c>
      <c r="C903" s="0" t="str">
        <f aca="false">IF(I903="","",IF(AND(J903&gt;=1,J903&lt;=K903+3),"10."&amp;INDEX(Eingabe!$D$9:$D$18,I903)&amp;"."&amp;IF(J903&lt;=K903,J903,IF(J903=K903+1,200,IF(J903=K903+2,201,250)))&amp;".0/24",""))</f>
        <v/>
      </c>
      <c r="D903" s="0" t="str">
        <f aca="false">IF(I903="","",IF(AND(J903&gt;=1,J903&lt;=K903+3),"255.255.255.0",""))</f>
        <v/>
      </c>
      <c r="E903" s="0" t="str">
        <f aca="false">IF(I903="","",IF(AND(J903&gt;=1,J903&lt;=K903+3),"10."&amp;INDEX(Eingabe!$D$9:$D$18,I903)&amp;"."&amp;IF(J903&lt;=K903,J903,IF(J903=K903+1,200,IF(J903=K903+2,201,250)))&amp;".1",""))</f>
        <v/>
      </c>
      <c r="F903" s="0" t="str">
        <f aca="false">IF(I903="","",IF(AND(J903&gt;=1,J903&lt;=K903+3),"10."&amp;INDEX(Eingabe!$D$9:$D$18,I903)&amp;"."&amp;IF(J903&lt;=K903,J903,IF(J903=K903+1,200,IF(J903=K903+2,201,250)))&amp;".10 – 10."&amp;INDEX(Eingabe!$D$9:$D$18,I903)&amp;"."&amp;IF(J903&lt;=K903,J903,IF(J903=K903+1,200,IF(J903=K903+2,201,250)))&amp;".250",""))</f>
        <v/>
      </c>
      <c r="G903" s="0" t="str">
        <f aca="false">IF(I903="","",IF(AND(J903&gt;=1,J903&lt;=K903),Eingabe!$B$6&amp;"-"&amp;INDEX(Eingabe!$C$9:$C$18,I903)&amp;"-Pächter  ·  Passwort Parzelle "&amp;J903,IF(J903=K903+1,Eingabe!$B$6&amp;"-"&amp;INDEX(Eingabe!$C$9:$C$18,I903)&amp;"-Vorstand  ·  eigenes WLAN",IF(J903=K903+2,Eingabe!$B$6&amp;"-"&amp;INDEX(Eingabe!$C$9:$C$18,I903)&amp;"-Gäste  ·  Voucher",IF(J903=K903+3,"Kabel  ·  Access Point y = .(50+y), Mast-Switch x = .(10+x)","")))))</f>
        <v/>
      </c>
      <c r="I903" s="0" t="str">
        <f aca="false">IF(898&lt;=(Eingabe!$P$18+Eingabe!$Q$18-1),MATCH(898,Eingabe!$P$9:$P$18,1),"")</f>
        <v/>
      </c>
      <c r="J903" s="0" t="str">
        <f aca="false">IF(I903="","",898-INDEX(Eingabe!$P$9:$P$18,I903))</f>
        <v/>
      </c>
      <c r="K903" s="0" t="str">
        <f aca="false">IF(I903="","",INDEX(Eingabe!$E$9:$E$18,I903))</f>
        <v/>
      </c>
    </row>
    <row r="904" customFormat="false" ht="15" hidden="false" customHeight="false" outlineLevel="0" collapsed="false">
      <c r="A904" s="0" t="str">
        <f aca="false">IF(I904="","",IF(J904=0,"Sparte "&amp;I904&amp;": "&amp;INDEX(Eingabe!$B$9:$B$18,I904)&amp;"  (Sparten-ID "&amp;INDEX(Eingabe!$D$9:$D$18,I904)&amp;", "&amp;K904&amp;" Parzellen)",IF(J904&lt;=K904,"   Parzelle "&amp;J904,IF(J904=K904+1,"   Vorstand",IF(J904=K904+2,"   Gäste",IF(J904=K904+3,"   Technik (Switches, Access Points)",""))))))</f>
        <v/>
      </c>
      <c r="B904" s="0" t="str">
        <f aca="false">IF(I904="","",IF(AND(J904&gt;=1,J904&lt;=K904+3),IF(J904&lt;=K904,IF(J904&lt;=99,IF((INDEX(Eingabe!$G$9:$G$18,I904))&lt;=9,1000+(INDEX(Eingabe!$G$9:$G$18,I904))*100,3000)+J904,IF((INDEX(Eingabe!$G$9:$G$18,I904)+1)&lt;=9,1000+(INDEX(Eingabe!$G$9:$G$18,I904)+1)*100,3000)+J904-100),IF(J904=K904+1,2000+INDEX(Eingabe!$G$9:$G$18,I904)*10+1,IF(J904=K904+2,2000+INDEX(Eingabe!$G$9:$G$18,I904)*10+2,2000+INDEX(Eingabe!$G$9:$G$18,I904)*10+9))),""))</f>
        <v/>
      </c>
      <c r="C904" s="0" t="str">
        <f aca="false">IF(I904="","",IF(AND(J904&gt;=1,J904&lt;=K904+3),"10."&amp;INDEX(Eingabe!$D$9:$D$18,I904)&amp;"."&amp;IF(J904&lt;=K904,J904,IF(J904=K904+1,200,IF(J904=K904+2,201,250)))&amp;".0/24",""))</f>
        <v/>
      </c>
      <c r="D904" s="0" t="str">
        <f aca="false">IF(I904="","",IF(AND(J904&gt;=1,J904&lt;=K904+3),"255.255.255.0",""))</f>
        <v/>
      </c>
      <c r="E904" s="0" t="str">
        <f aca="false">IF(I904="","",IF(AND(J904&gt;=1,J904&lt;=K904+3),"10."&amp;INDEX(Eingabe!$D$9:$D$18,I904)&amp;"."&amp;IF(J904&lt;=K904,J904,IF(J904=K904+1,200,IF(J904=K904+2,201,250)))&amp;".1",""))</f>
        <v/>
      </c>
      <c r="F904" s="0" t="str">
        <f aca="false">IF(I904="","",IF(AND(J904&gt;=1,J904&lt;=K904+3),"10."&amp;INDEX(Eingabe!$D$9:$D$18,I904)&amp;"."&amp;IF(J904&lt;=K904,J904,IF(J904=K904+1,200,IF(J904=K904+2,201,250)))&amp;".10 – 10."&amp;INDEX(Eingabe!$D$9:$D$18,I904)&amp;"."&amp;IF(J904&lt;=K904,J904,IF(J904=K904+1,200,IF(J904=K904+2,201,250)))&amp;".250",""))</f>
        <v/>
      </c>
      <c r="G904" s="0" t="str">
        <f aca="false">IF(I904="","",IF(AND(J904&gt;=1,J904&lt;=K904),Eingabe!$B$6&amp;"-"&amp;INDEX(Eingabe!$C$9:$C$18,I904)&amp;"-Pächter  ·  Passwort Parzelle "&amp;J904,IF(J904=K904+1,Eingabe!$B$6&amp;"-"&amp;INDEX(Eingabe!$C$9:$C$18,I904)&amp;"-Vorstand  ·  eigenes WLAN",IF(J904=K904+2,Eingabe!$B$6&amp;"-"&amp;INDEX(Eingabe!$C$9:$C$18,I904)&amp;"-Gäste  ·  Voucher",IF(J904=K904+3,"Kabel  ·  Access Point y = .(50+y), Mast-Switch x = .(10+x)","")))))</f>
        <v/>
      </c>
      <c r="I904" s="0" t="str">
        <f aca="false">IF(899&lt;=(Eingabe!$P$18+Eingabe!$Q$18-1),MATCH(899,Eingabe!$P$9:$P$18,1),"")</f>
        <v/>
      </c>
      <c r="J904" s="0" t="str">
        <f aca="false">IF(I904="","",899-INDEX(Eingabe!$P$9:$P$18,I904))</f>
        <v/>
      </c>
      <c r="K904" s="0" t="str">
        <f aca="false">IF(I904="","",INDEX(Eingabe!$E$9:$E$18,I904))</f>
        <v/>
      </c>
    </row>
    <row r="905" customFormat="false" ht="15" hidden="false" customHeight="false" outlineLevel="0" collapsed="false">
      <c r="A905" s="0" t="str">
        <f aca="false">IF(I905="","",IF(J905=0,"Sparte "&amp;I905&amp;": "&amp;INDEX(Eingabe!$B$9:$B$18,I905)&amp;"  (Sparten-ID "&amp;INDEX(Eingabe!$D$9:$D$18,I905)&amp;", "&amp;K905&amp;" Parzellen)",IF(J905&lt;=K905,"   Parzelle "&amp;J905,IF(J905=K905+1,"   Vorstand",IF(J905=K905+2,"   Gäste",IF(J905=K905+3,"   Technik (Switches, Access Points)",""))))))</f>
        <v/>
      </c>
      <c r="B905" s="0" t="str">
        <f aca="false">IF(I905="","",IF(AND(J905&gt;=1,J905&lt;=K905+3),IF(J905&lt;=K905,IF(J905&lt;=99,IF((INDEX(Eingabe!$G$9:$G$18,I905))&lt;=9,1000+(INDEX(Eingabe!$G$9:$G$18,I905))*100,3000)+J905,IF((INDEX(Eingabe!$G$9:$G$18,I905)+1)&lt;=9,1000+(INDEX(Eingabe!$G$9:$G$18,I905)+1)*100,3000)+J905-100),IF(J905=K905+1,2000+INDEX(Eingabe!$G$9:$G$18,I905)*10+1,IF(J905=K905+2,2000+INDEX(Eingabe!$G$9:$G$18,I905)*10+2,2000+INDEX(Eingabe!$G$9:$G$18,I905)*10+9))),""))</f>
        <v/>
      </c>
      <c r="C905" s="0" t="str">
        <f aca="false">IF(I905="","",IF(AND(J905&gt;=1,J905&lt;=K905+3),"10."&amp;INDEX(Eingabe!$D$9:$D$18,I905)&amp;"."&amp;IF(J905&lt;=K905,J905,IF(J905=K905+1,200,IF(J905=K905+2,201,250)))&amp;".0/24",""))</f>
        <v/>
      </c>
      <c r="D905" s="0" t="str">
        <f aca="false">IF(I905="","",IF(AND(J905&gt;=1,J905&lt;=K905+3),"255.255.255.0",""))</f>
        <v/>
      </c>
      <c r="E905" s="0" t="str">
        <f aca="false">IF(I905="","",IF(AND(J905&gt;=1,J905&lt;=K905+3),"10."&amp;INDEX(Eingabe!$D$9:$D$18,I905)&amp;"."&amp;IF(J905&lt;=K905,J905,IF(J905=K905+1,200,IF(J905=K905+2,201,250)))&amp;".1",""))</f>
        <v/>
      </c>
      <c r="F905" s="0" t="str">
        <f aca="false">IF(I905="","",IF(AND(J905&gt;=1,J905&lt;=K905+3),"10."&amp;INDEX(Eingabe!$D$9:$D$18,I905)&amp;"."&amp;IF(J905&lt;=K905,J905,IF(J905=K905+1,200,IF(J905=K905+2,201,250)))&amp;".10 – 10."&amp;INDEX(Eingabe!$D$9:$D$18,I905)&amp;"."&amp;IF(J905&lt;=K905,J905,IF(J905=K905+1,200,IF(J905=K905+2,201,250)))&amp;".250",""))</f>
        <v/>
      </c>
      <c r="G905" s="0" t="str">
        <f aca="false">IF(I905="","",IF(AND(J905&gt;=1,J905&lt;=K905),Eingabe!$B$6&amp;"-"&amp;INDEX(Eingabe!$C$9:$C$18,I905)&amp;"-Pächter  ·  Passwort Parzelle "&amp;J905,IF(J905=K905+1,Eingabe!$B$6&amp;"-"&amp;INDEX(Eingabe!$C$9:$C$18,I905)&amp;"-Vorstand  ·  eigenes WLAN",IF(J905=K905+2,Eingabe!$B$6&amp;"-"&amp;INDEX(Eingabe!$C$9:$C$18,I905)&amp;"-Gäste  ·  Voucher",IF(J905=K905+3,"Kabel  ·  Access Point y = .(50+y), Mast-Switch x = .(10+x)","")))))</f>
        <v/>
      </c>
      <c r="I905" s="0" t="str">
        <f aca="false">IF(900&lt;=(Eingabe!$P$18+Eingabe!$Q$18-1),MATCH(900,Eingabe!$P$9:$P$18,1),"")</f>
        <v/>
      </c>
      <c r="J905" s="0" t="str">
        <f aca="false">IF(I905="","",900-INDEX(Eingabe!$P$9:$P$18,I905))</f>
        <v/>
      </c>
      <c r="K905" s="0" t="str">
        <f aca="false">IF(I905="","",INDEX(Eingabe!$E$9:$E$18,I905))</f>
        <v/>
      </c>
    </row>
    <row r="906" customFormat="false" ht="15" hidden="false" customHeight="false" outlineLevel="0" collapsed="false">
      <c r="A906" s="0" t="str">
        <f aca="false">IF(I906="","",IF(J906=0,"Sparte "&amp;I906&amp;": "&amp;INDEX(Eingabe!$B$9:$B$18,I906)&amp;"  (Sparten-ID "&amp;INDEX(Eingabe!$D$9:$D$18,I906)&amp;", "&amp;K906&amp;" Parzellen)",IF(J906&lt;=K906,"   Parzelle "&amp;J906,IF(J906=K906+1,"   Vorstand",IF(J906=K906+2,"   Gäste",IF(J906=K906+3,"   Technik (Switches, Access Points)",""))))))</f>
        <v/>
      </c>
      <c r="B906" s="0" t="str">
        <f aca="false">IF(I906="","",IF(AND(J906&gt;=1,J906&lt;=K906+3),IF(J906&lt;=K906,IF(J906&lt;=99,IF((INDEX(Eingabe!$G$9:$G$18,I906))&lt;=9,1000+(INDEX(Eingabe!$G$9:$G$18,I906))*100,3000)+J906,IF((INDEX(Eingabe!$G$9:$G$18,I906)+1)&lt;=9,1000+(INDEX(Eingabe!$G$9:$G$18,I906)+1)*100,3000)+J906-100),IF(J906=K906+1,2000+INDEX(Eingabe!$G$9:$G$18,I906)*10+1,IF(J906=K906+2,2000+INDEX(Eingabe!$G$9:$G$18,I906)*10+2,2000+INDEX(Eingabe!$G$9:$G$18,I906)*10+9))),""))</f>
        <v/>
      </c>
      <c r="C906" s="0" t="str">
        <f aca="false">IF(I906="","",IF(AND(J906&gt;=1,J906&lt;=K906+3),"10."&amp;INDEX(Eingabe!$D$9:$D$18,I906)&amp;"."&amp;IF(J906&lt;=K906,J906,IF(J906=K906+1,200,IF(J906=K906+2,201,250)))&amp;".0/24",""))</f>
        <v/>
      </c>
      <c r="D906" s="0" t="str">
        <f aca="false">IF(I906="","",IF(AND(J906&gt;=1,J906&lt;=K906+3),"255.255.255.0",""))</f>
        <v/>
      </c>
      <c r="E906" s="0" t="str">
        <f aca="false">IF(I906="","",IF(AND(J906&gt;=1,J906&lt;=K906+3),"10."&amp;INDEX(Eingabe!$D$9:$D$18,I906)&amp;"."&amp;IF(J906&lt;=K906,J906,IF(J906=K906+1,200,IF(J906=K906+2,201,250)))&amp;".1",""))</f>
        <v/>
      </c>
      <c r="F906" s="0" t="str">
        <f aca="false">IF(I906="","",IF(AND(J906&gt;=1,J906&lt;=K906+3),"10."&amp;INDEX(Eingabe!$D$9:$D$18,I906)&amp;"."&amp;IF(J906&lt;=K906,J906,IF(J906=K906+1,200,IF(J906=K906+2,201,250)))&amp;".10 – 10."&amp;INDEX(Eingabe!$D$9:$D$18,I906)&amp;"."&amp;IF(J906&lt;=K906,J906,IF(J906=K906+1,200,IF(J906=K906+2,201,250)))&amp;".250",""))</f>
        <v/>
      </c>
      <c r="G906" s="0" t="str">
        <f aca="false">IF(I906="","",IF(AND(J906&gt;=1,J906&lt;=K906),Eingabe!$B$6&amp;"-"&amp;INDEX(Eingabe!$C$9:$C$18,I906)&amp;"-Pächter  ·  Passwort Parzelle "&amp;J906,IF(J906=K906+1,Eingabe!$B$6&amp;"-"&amp;INDEX(Eingabe!$C$9:$C$18,I906)&amp;"-Vorstand  ·  eigenes WLAN",IF(J906=K906+2,Eingabe!$B$6&amp;"-"&amp;INDEX(Eingabe!$C$9:$C$18,I906)&amp;"-Gäste  ·  Voucher",IF(J906=K906+3,"Kabel  ·  Access Point y = .(50+y), Mast-Switch x = .(10+x)","")))))</f>
        <v/>
      </c>
      <c r="I906" s="0" t="str">
        <f aca="false">IF(901&lt;=(Eingabe!$P$18+Eingabe!$Q$18-1),MATCH(901,Eingabe!$P$9:$P$18,1),"")</f>
        <v/>
      </c>
      <c r="J906" s="0" t="str">
        <f aca="false">IF(I906="","",901-INDEX(Eingabe!$P$9:$P$18,I906))</f>
        <v/>
      </c>
      <c r="K906" s="0" t="str">
        <f aca="false">IF(I906="","",INDEX(Eingabe!$E$9:$E$18,I906))</f>
        <v/>
      </c>
    </row>
    <row r="907" customFormat="false" ht="15" hidden="false" customHeight="false" outlineLevel="0" collapsed="false">
      <c r="A907" s="0" t="str">
        <f aca="false">IF(I907="","",IF(J907=0,"Sparte "&amp;I907&amp;": "&amp;INDEX(Eingabe!$B$9:$B$18,I907)&amp;"  (Sparten-ID "&amp;INDEX(Eingabe!$D$9:$D$18,I907)&amp;", "&amp;K907&amp;" Parzellen)",IF(J907&lt;=K907,"   Parzelle "&amp;J907,IF(J907=K907+1,"   Vorstand",IF(J907=K907+2,"   Gäste",IF(J907=K907+3,"   Technik (Switches, Access Points)",""))))))</f>
        <v/>
      </c>
      <c r="B907" s="0" t="str">
        <f aca="false">IF(I907="","",IF(AND(J907&gt;=1,J907&lt;=K907+3),IF(J907&lt;=K907,IF(J907&lt;=99,IF((INDEX(Eingabe!$G$9:$G$18,I907))&lt;=9,1000+(INDEX(Eingabe!$G$9:$G$18,I907))*100,3000)+J907,IF((INDEX(Eingabe!$G$9:$G$18,I907)+1)&lt;=9,1000+(INDEX(Eingabe!$G$9:$G$18,I907)+1)*100,3000)+J907-100),IF(J907=K907+1,2000+INDEX(Eingabe!$G$9:$G$18,I907)*10+1,IF(J907=K907+2,2000+INDEX(Eingabe!$G$9:$G$18,I907)*10+2,2000+INDEX(Eingabe!$G$9:$G$18,I907)*10+9))),""))</f>
        <v/>
      </c>
      <c r="C907" s="0" t="str">
        <f aca="false">IF(I907="","",IF(AND(J907&gt;=1,J907&lt;=K907+3),"10."&amp;INDEX(Eingabe!$D$9:$D$18,I907)&amp;"."&amp;IF(J907&lt;=K907,J907,IF(J907=K907+1,200,IF(J907=K907+2,201,250)))&amp;".0/24",""))</f>
        <v/>
      </c>
      <c r="D907" s="0" t="str">
        <f aca="false">IF(I907="","",IF(AND(J907&gt;=1,J907&lt;=K907+3),"255.255.255.0",""))</f>
        <v/>
      </c>
      <c r="E907" s="0" t="str">
        <f aca="false">IF(I907="","",IF(AND(J907&gt;=1,J907&lt;=K907+3),"10."&amp;INDEX(Eingabe!$D$9:$D$18,I907)&amp;"."&amp;IF(J907&lt;=K907,J907,IF(J907=K907+1,200,IF(J907=K907+2,201,250)))&amp;".1",""))</f>
        <v/>
      </c>
      <c r="F907" s="0" t="str">
        <f aca="false">IF(I907="","",IF(AND(J907&gt;=1,J907&lt;=K907+3),"10."&amp;INDEX(Eingabe!$D$9:$D$18,I907)&amp;"."&amp;IF(J907&lt;=K907,J907,IF(J907=K907+1,200,IF(J907=K907+2,201,250)))&amp;".10 – 10."&amp;INDEX(Eingabe!$D$9:$D$18,I907)&amp;"."&amp;IF(J907&lt;=K907,J907,IF(J907=K907+1,200,IF(J907=K907+2,201,250)))&amp;".250",""))</f>
        <v/>
      </c>
      <c r="G907" s="0" t="str">
        <f aca="false">IF(I907="","",IF(AND(J907&gt;=1,J907&lt;=K907),Eingabe!$B$6&amp;"-"&amp;INDEX(Eingabe!$C$9:$C$18,I907)&amp;"-Pächter  ·  Passwort Parzelle "&amp;J907,IF(J907=K907+1,Eingabe!$B$6&amp;"-"&amp;INDEX(Eingabe!$C$9:$C$18,I907)&amp;"-Vorstand  ·  eigenes WLAN",IF(J907=K907+2,Eingabe!$B$6&amp;"-"&amp;INDEX(Eingabe!$C$9:$C$18,I907)&amp;"-Gäste  ·  Voucher",IF(J907=K907+3,"Kabel  ·  Access Point y = .(50+y), Mast-Switch x = .(10+x)","")))))</f>
        <v/>
      </c>
      <c r="I907" s="0" t="str">
        <f aca="false">IF(902&lt;=(Eingabe!$P$18+Eingabe!$Q$18-1),MATCH(902,Eingabe!$P$9:$P$18,1),"")</f>
        <v/>
      </c>
      <c r="J907" s="0" t="str">
        <f aca="false">IF(I907="","",902-INDEX(Eingabe!$P$9:$P$18,I907))</f>
        <v/>
      </c>
      <c r="K907" s="0" t="str">
        <f aca="false">IF(I907="","",INDEX(Eingabe!$E$9:$E$18,I907))</f>
        <v/>
      </c>
    </row>
    <row r="908" customFormat="false" ht="15" hidden="false" customHeight="false" outlineLevel="0" collapsed="false">
      <c r="A908" s="0" t="str">
        <f aca="false">IF(I908="","",IF(J908=0,"Sparte "&amp;I908&amp;": "&amp;INDEX(Eingabe!$B$9:$B$18,I908)&amp;"  (Sparten-ID "&amp;INDEX(Eingabe!$D$9:$D$18,I908)&amp;", "&amp;K908&amp;" Parzellen)",IF(J908&lt;=K908,"   Parzelle "&amp;J908,IF(J908=K908+1,"   Vorstand",IF(J908=K908+2,"   Gäste",IF(J908=K908+3,"   Technik (Switches, Access Points)",""))))))</f>
        <v/>
      </c>
      <c r="B908" s="0" t="str">
        <f aca="false">IF(I908="","",IF(AND(J908&gt;=1,J908&lt;=K908+3),IF(J908&lt;=K908,IF(J908&lt;=99,IF((INDEX(Eingabe!$G$9:$G$18,I908))&lt;=9,1000+(INDEX(Eingabe!$G$9:$G$18,I908))*100,3000)+J908,IF((INDEX(Eingabe!$G$9:$G$18,I908)+1)&lt;=9,1000+(INDEX(Eingabe!$G$9:$G$18,I908)+1)*100,3000)+J908-100),IF(J908=K908+1,2000+INDEX(Eingabe!$G$9:$G$18,I908)*10+1,IF(J908=K908+2,2000+INDEX(Eingabe!$G$9:$G$18,I908)*10+2,2000+INDEX(Eingabe!$G$9:$G$18,I908)*10+9))),""))</f>
        <v/>
      </c>
      <c r="C908" s="0" t="str">
        <f aca="false">IF(I908="","",IF(AND(J908&gt;=1,J908&lt;=K908+3),"10."&amp;INDEX(Eingabe!$D$9:$D$18,I908)&amp;"."&amp;IF(J908&lt;=K908,J908,IF(J908=K908+1,200,IF(J908=K908+2,201,250)))&amp;".0/24",""))</f>
        <v/>
      </c>
      <c r="D908" s="0" t="str">
        <f aca="false">IF(I908="","",IF(AND(J908&gt;=1,J908&lt;=K908+3),"255.255.255.0",""))</f>
        <v/>
      </c>
      <c r="E908" s="0" t="str">
        <f aca="false">IF(I908="","",IF(AND(J908&gt;=1,J908&lt;=K908+3),"10."&amp;INDEX(Eingabe!$D$9:$D$18,I908)&amp;"."&amp;IF(J908&lt;=K908,J908,IF(J908=K908+1,200,IF(J908=K908+2,201,250)))&amp;".1",""))</f>
        <v/>
      </c>
      <c r="F908" s="0" t="str">
        <f aca="false">IF(I908="","",IF(AND(J908&gt;=1,J908&lt;=K908+3),"10."&amp;INDEX(Eingabe!$D$9:$D$18,I908)&amp;"."&amp;IF(J908&lt;=K908,J908,IF(J908=K908+1,200,IF(J908=K908+2,201,250)))&amp;".10 – 10."&amp;INDEX(Eingabe!$D$9:$D$18,I908)&amp;"."&amp;IF(J908&lt;=K908,J908,IF(J908=K908+1,200,IF(J908=K908+2,201,250)))&amp;".250",""))</f>
        <v/>
      </c>
      <c r="G908" s="0" t="str">
        <f aca="false">IF(I908="","",IF(AND(J908&gt;=1,J908&lt;=K908),Eingabe!$B$6&amp;"-"&amp;INDEX(Eingabe!$C$9:$C$18,I908)&amp;"-Pächter  ·  Passwort Parzelle "&amp;J908,IF(J908=K908+1,Eingabe!$B$6&amp;"-"&amp;INDEX(Eingabe!$C$9:$C$18,I908)&amp;"-Vorstand  ·  eigenes WLAN",IF(J908=K908+2,Eingabe!$B$6&amp;"-"&amp;INDEX(Eingabe!$C$9:$C$18,I908)&amp;"-Gäste  ·  Voucher",IF(J908=K908+3,"Kabel  ·  Access Point y = .(50+y), Mast-Switch x = .(10+x)","")))))</f>
        <v/>
      </c>
      <c r="I908" s="0" t="str">
        <f aca="false">IF(903&lt;=(Eingabe!$P$18+Eingabe!$Q$18-1),MATCH(903,Eingabe!$P$9:$P$18,1),"")</f>
        <v/>
      </c>
      <c r="J908" s="0" t="str">
        <f aca="false">IF(I908="","",903-INDEX(Eingabe!$P$9:$P$18,I908))</f>
        <v/>
      </c>
      <c r="K908" s="0" t="str">
        <f aca="false">IF(I908="","",INDEX(Eingabe!$E$9:$E$18,I908))</f>
        <v/>
      </c>
    </row>
    <row r="909" customFormat="false" ht="15" hidden="false" customHeight="false" outlineLevel="0" collapsed="false">
      <c r="A909" s="0" t="str">
        <f aca="false">IF(I909="","",IF(J909=0,"Sparte "&amp;I909&amp;": "&amp;INDEX(Eingabe!$B$9:$B$18,I909)&amp;"  (Sparten-ID "&amp;INDEX(Eingabe!$D$9:$D$18,I909)&amp;", "&amp;K909&amp;" Parzellen)",IF(J909&lt;=K909,"   Parzelle "&amp;J909,IF(J909=K909+1,"   Vorstand",IF(J909=K909+2,"   Gäste",IF(J909=K909+3,"   Technik (Switches, Access Points)",""))))))</f>
        <v/>
      </c>
      <c r="B909" s="0" t="str">
        <f aca="false">IF(I909="","",IF(AND(J909&gt;=1,J909&lt;=K909+3),IF(J909&lt;=K909,IF(J909&lt;=99,IF((INDEX(Eingabe!$G$9:$G$18,I909))&lt;=9,1000+(INDEX(Eingabe!$G$9:$G$18,I909))*100,3000)+J909,IF((INDEX(Eingabe!$G$9:$G$18,I909)+1)&lt;=9,1000+(INDEX(Eingabe!$G$9:$G$18,I909)+1)*100,3000)+J909-100),IF(J909=K909+1,2000+INDEX(Eingabe!$G$9:$G$18,I909)*10+1,IF(J909=K909+2,2000+INDEX(Eingabe!$G$9:$G$18,I909)*10+2,2000+INDEX(Eingabe!$G$9:$G$18,I909)*10+9))),""))</f>
        <v/>
      </c>
      <c r="C909" s="0" t="str">
        <f aca="false">IF(I909="","",IF(AND(J909&gt;=1,J909&lt;=K909+3),"10."&amp;INDEX(Eingabe!$D$9:$D$18,I909)&amp;"."&amp;IF(J909&lt;=K909,J909,IF(J909=K909+1,200,IF(J909=K909+2,201,250)))&amp;".0/24",""))</f>
        <v/>
      </c>
      <c r="D909" s="0" t="str">
        <f aca="false">IF(I909="","",IF(AND(J909&gt;=1,J909&lt;=K909+3),"255.255.255.0",""))</f>
        <v/>
      </c>
      <c r="E909" s="0" t="str">
        <f aca="false">IF(I909="","",IF(AND(J909&gt;=1,J909&lt;=K909+3),"10."&amp;INDEX(Eingabe!$D$9:$D$18,I909)&amp;"."&amp;IF(J909&lt;=K909,J909,IF(J909=K909+1,200,IF(J909=K909+2,201,250)))&amp;".1",""))</f>
        <v/>
      </c>
      <c r="F909" s="0" t="str">
        <f aca="false">IF(I909="","",IF(AND(J909&gt;=1,J909&lt;=K909+3),"10."&amp;INDEX(Eingabe!$D$9:$D$18,I909)&amp;"."&amp;IF(J909&lt;=K909,J909,IF(J909=K909+1,200,IF(J909=K909+2,201,250)))&amp;".10 – 10."&amp;INDEX(Eingabe!$D$9:$D$18,I909)&amp;"."&amp;IF(J909&lt;=K909,J909,IF(J909=K909+1,200,IF(J909=K909+2,201,250)))&amp;".250",""))</f>
        <v/>
      </c>
      <c r="G909" s="0" t="str">
        <f aca="false">IF(I909="","",IF(AND(J909&gt;=1,J909&lt;=K909),Eingabe!$B$6&amp;"-"&amp;INDEX(Eingabe!$C$9:$C$18,I909)&amp;"-Pächter  ·  Passwort Parzelle "&amp;J909,IF(J909=K909+1,Eingabe!$B$6&amp;"-"&amp;INDEX(Eingabe!$C$9:$C$18,I909)&amp;"-Vorstand  ·  eigenes WLAN",IF(J909=K909+2,Eingabe!$B$6&amp;"-"&amp;INDEX(Eingabe!$C$9:$C$18,I909)&amp;"-Gäste  ·  Voucher",IF(J909=K909+3,"Kabel  ·  Access Point y = .(50+y), Mast-Switch x = .(10+x)","")))))</f>
        <v/>
      </c>
      <c r="I909" s="0" t="str">
        <f aca="false">IF(904&lt;=(Eingabe!$P$18+Eingabe!$Q$18-1),MATCH(904,Eingabe!$P$9:$P$18,1),"")</f>
        <v/>
      </c>
      <c r="J909" s="0" t="str">
        <f aca="false">IF(I909="","",904-INDEX(Eingabe!$P$9:$P$18,I909))</f>
        <v/>
      </c>
      <c r="K909" s="0" t="str">
        <f aca="false">IF(I909="","",INDEX(Eingabe!$E$9:$E$18,I909))</f>
        <v/>
      </c>
    </row>
    <row r="910" customFormat="false" ht="15" hidden="false" customHeight="false" outlineLevel="0" collapsed="false">
      <c r="A910" s="0" t="str">
        <f aca="false">IF(I910="","",IF(J910=0,"Sparte "&amp;I910&amp;": "&amp;INDEX(Eingabe!$B$9:$B$18,I910)&amp;"  (Sparten-ID "&amp;INDEX(Eingabe!$D$9:$D$18,I910)&amp;", "&amp;K910&amp;" Parzellen)",IF(J910&lt;=K910,"   Parzelle "&amp;J910,IF(J910=K910+1,"   Vorstand",IF(J910=K910+2,"   Gäste",IF(J910=K910+3,"   Technik (Switches, Access Points)",""))))))</f>
        <v/>
      </c>
      <c r="B910" s="0" t="str">
        <f aca="false">IF(I910="","",IF(AND(J910&gt;=1,J910&lt;=K910+3),IF(J910&lt;=K910,IF(J910&lt;=99,IF((INDEX(Eingabe!$G$9:$G$18,I910))&lt;=9,1000+(INDEX(Eingabe!$G$9:$G$18,I910))*100,3000)+J910,IF((INDEX(Eingabe!$G$9:$G$18,I910)+1)&lt;=9,1000+(INDEX(Eingabe!$G$9:$G$18,I910)+1)*100,3000)+J910-100),IF(J910=K910+1,2000+INDEX(Eingabe!$G$9:$G$18,I910)*10+1,IF(J910=K910+2,2000+INDEX(Eingabe!$G$9:$G$18,I910)*10+2,2000+INDEX(Eingabe!$G$9:$G$18,I910)*10+9))),""))</f>
        <v/>
      </c>
      <c r="C910" s="0" t="str">
        <f aca="false">IF(I910="","",IF(AND(J910&gt;=1,J910&lt;=K910+3),"10."&amp;INDEX(Eingabe!$D$9:$D$18,I910)&amp;"."&amp;IF(J910&lt;=K910,J910,IF(J910=K910+1,200,IF(J910=K910+2,201,250)))&amp;".0/24",""))</f>
        <v/>
      </c>
      <c r="D910" s="0" t="str">
        <f aca="false">IF(I910="","",IF(AND(J910&gt;=1,J910&lt;=K910+3),"255.255.255.0",""))</f>
        <v/>
      </c>
      <c r="E910" s="0" t="str">
        <f aca="false">IF(I910="","",IF(AND(J910&gt;=1,J910&lt;=K910+3),"10."&amp;INDEX(Eingabe!$D$9:$D$18,I910)&amp;"."&amp;IF(J910&lt;=K910,J910,IF(J910=K910+1,200,IF(J910=K910+2,201,250)))&amp;".1",""))</f>
        <v/>
      </c>
      <c r="F910" s="0" t="str">
        <f aca="false">IF(I910="","",IF(AND(J910&gt;=1,J910&lt;=K910+3),"10."&amp;INDEX(Eingabe!$D$9:$D$18,I910)&amp;"."&amp;IF(J910&lt;=K910,J910,IF(J910=K910+1,200,IF(J910=K910+2,201,250)))&amp;".10 – 10."&amp;INDEX(Eingabe!$D$9:$D$18,I910)&amp;"."&amp;IF(J910&lt;=K910,J910,IF(J910=K910+1,200,IF(J910=K910+2,201,250)))&amp;".250",""))</f>
        <v/>
      </c>
      <c r="G910" s="0" t="str">
        <f aca="false">IF(I910="","",IF(AND(J910&gt;=1,J910&lt;=K910),Eingabe!$B$6&amp;"-"&amp;INDEX(Eingabe!$C$9:$C$18,I910)&amp;"-Pächter  ·  Passwort Parzelle "&amp;J910,IF(J910=K910+1,Eingabe!$B$6&amp;"-"&amp;INDEX(Eingabe!$C$9:$C$18,I910)&amp;"-Vorstand  ·  eigenes WLAN",IF(J910=K910+2,Eingabe!$B$6&amp;"-"&amp;INDEX(Eingabe!$C$9:$C$18,I910)&amp;"-Gäste  ·  Voucher",IF(J910=K910+3,"Kabel  ·  Access Point y = .(50+y), Mast-Switch x = .(10+x)","")))))</f>
        <v/>
      </c>
      <c r="I910" s="0" t="str">
        <f aca="false">IF(905&lt;=(Eingabe!$P$18+Eingabe!$Q$18-1),MATCH(905,Eingabe!$P$9:$P$18,1),"")</f>
        <v/>
      </c>
      <c r="J910" s="0" t="str">
        <f aca="false">IF(I910="","",905-INDEX(Eingabe!$P$9:$P$18,I910))</f>
        <v/>
      </c>
      <c r="K910" s="0" t="str">
        <f aca="false">IF(I910="","",INDEX(Eingabe!$E$9:$E$18,I910))</f>
        <v/>
      </c>
    </row>
    <row r="911" customFormat="false" ht="15" hidden="false" customHeight="false" outlineLevel="0" collapsed="false">
      <c r="A911" s="0" t="str">
        <f aca="false">IF(I911="","",IF(J911=0,"Sparte "&amp;I911&amp;": "&amp;INDEX(Eingabe!$B$9:$B$18,I911)&amp;"  (Sparten-ID "&amp;INDEX(Eingabe!$D$9:$D$18,I911)&amp;", "&amp;K911&amp;" Parzellen)",IF(J911&lt;=K911,"   Parzelle "&amp;J911,IF(J911=K911+1,"   Vorstand",IF(J911=K911+2,"   Gäste",IF(J911=K911+3,"   Technik (Switches, Access Points)",""))))))</f>
        <v/>
      </c>
      <c r="B911" s="0" t="str">
        <f aca="false">IF(I911="","",IF(AND(J911&gt;=1,J911&lt;=K911+3),IF(J911&lt;=K911,IF(J911&lt;=99,IF((INDEX(Eingabe!$G$9:$G$18,I911))&lt;=9,1000+(INDEX(Eingabe!$G$9:$G$18,I911))*100,3000)+J911,IF((INDEX(Eingabe!$G$9:$G$18,I911)+1)&lt;=9,1000+(INDEX(Eingabe!$G$9:$G$18,I911)+1)*100,3000)+J911-100),IF(J911=K911+1,2000+INDEX(Eingabe!$G$9:$G$18,I911)*10+1,IF(J911=K911+2,2000+INDEX(Eingabe!$G$9:$G$18,I911)*10+2,2000+INDEX(Eingabe!$G$9:$G$18,I911)*10+9))),""))</f>
        <v/>
      </c>
      <c r="C911" s="0" t="str">
        <f aca="false">IF(I911="","",IF(AND(J911&gt;=1,J911&lt;=K911+3),"10."&amp;INDEX(Eingabe!$D$9:$D$18,I911)&amp;"."&amp;IF(J911&lt;=K911,J911,IF(J911=K911+1,200,IF(J911=K911+2,201,250)))&amp;".0/24",""))</f>
        <v/>
      </c>
      <c r="D911" s="0" t="str">
        <f aca="false">IF(I911="","",IF(AND(J911&gt;=1,J911&lt;=K911+3),"255.255.255.0",""))</f>
        <v/>
      </c>
      <c r="E911" s="0" t="str">
        <f aca="false">IF(I911="","",IF(AND(J911&gt;=1,J911&lt;=K911+3),"10."&amp;INDEX(Eingabe!$D$9:$D$18,I911)&amp;"."&amp;IF(J911&lt;=K911,J911,IF(J911=K911+1,200,IF(J911=K911+2,201,250)))&amp;".1",""))</f>
        <v/>
      </c>
      <c r="F911" s="0" t="str">
        <f aca="false">IF(I911="","",IF(AND(J911&gt;=1,J911&lt;=K911+3),"10."&amp;INDEX(Eingabe!$D$9:$D$18,I911)&amp;"."&amp;IF(J911&lt;=K911,J911,IF(J911=K911+1,200,IF(J911=K911+2,201,250)))&amp;".10 – 10."&amp;INDEX(Eingabe!$D$9:$D$18,I911)&amp;"."&amp;IF(J911&lt;=K911,J911,IF(J911=K911+1,200,IF(J911=K911+2,201,250)))&amp;".250",""))</f>
        <v/>
      </c>
      <c r="G911" s="0" t="str">
        <f aca="false">IF(I911="","",IF(AND(J911&gt;=1,J911&lt;=K911),Eingabe!$B$6&amp;"-"&amp;INDEX(Eingabe!$C$9:$C$18,I911)&amp;"-Pächter  ·  Passwort Parzelle "&amp;J911,IF(J911=K911+1,Eingabe!$B$6&amp;"-"&amp;INDEX(Eingabe!$C$9:$C$18,I911)&amp;"-Vorstand  ·  eigenes WLAN",IF(J911=K911+2,Eingabe!$B$6&amp;"-"&amp;INDEX(Eingabe!$C$9:$C$18,I911)&amp;"-Gäste  ·  Voucher",IF(J911=K911+3,"Kabel  ·  Access Point y = .(50+y), Mast-Switch x = .(10+x)","")))))</f>
        <v/>
      </c>
      <c r="I911" s="0" t="str">
        <f aca="false">IF(906&lt;=(Eingabe!$P$18+Eingabe!$Q$18-1),MATCH(906,Eingabe!$P$9:$P$18,1),"")</f>
        <v/>
      </c>
      <c r="J911" s="0" t="str">
        <f aca="false">IF(I911="","",906-INDEX(Eingabe!$P$9:$P$18,I911))</f>
        <v/>
      </c>
      <c r="K911" s="0" t="str">
        <f aca="false">IF(I911="","",INDEX(Eingabe!$E$9:$E$18,I911))</f>
        <v/>
      </c>
    </row>
    <row r="912" customFormat="false" ht="15" hidden="false" customHeight="false" outlineLevel="0" collapsed="false">
      <c r="A912" s="0" t="str">
        <f aca="false">IF(I912="","",IF(J912=0,"Sparte "&amp;I912&amp;": "&amp;INDEX(Eingabe!$B$9:$B$18,I912)&amp;"  (Sparten-ID "&amp;INDEX(Eingabe!$D$9:$D$18,I912)&amp;", "&amp;K912&amp;" Parzellen)",IF(J912&lt;=K912,"   Parzelle "&amp;J912,IF(J912=K912+1,"   Vorstand",IF(J912=K912+2,"   Gäste",IF(J912=K912+3,"   Technik (Switches, Access Points)",""))))))</f>
        <v/>
      </c>
      <c r="B912" s="0" t="str">
        <f aca="false">IF(I912="","",IF(AND(J912&gt;=1,J912&lt;=K912+3),IF(J912&lt;=K912,IF(J912&lt;=99,IF((INDEX(Eingabe!$G$9:$G$18,I912))&lt;=9,1000+(INDEX(Eingabe!$G$9:$G$18,I912))*100,3000)+J912,IF((INDEX(Eingabe!$G$9:$G$18,I912)+1)&lt;=9,1000+(INDEX(Eingabe!$G$9:$G$18,I912)+1)*100,3000)+J912-100),IF(J912=K912+1,2000+INDEX(Eingabe!$G$9:$G$18,I912)*10+1,IF(J912=K912+2,2000+INDEX(Eingabe!$G$9:$G$18,I912)*10+2,2000+INDEX(Eingabe!$G$9:$G$18,I912)*10+9))),""))</f>
        <v/>
      </c>
      <c r="C912" s="0" t="str">
        <f aca="false">IF(I912="","",IF(AND(J912&gt;=1,J912&lt;=K912+3),"10."&amp;INDEX(Eingabe!$D$9:$D$18,I912)&amp;"."&amp;IF(J912&lt;=K912,J912,IF(J912=K912+1,200,IF(J912=K912+2,201,250)))&amp;".0/24",""))</f>
        <v/>
      </c>
      <c r="D912" s="0" t="str">
        <f aca="false">IF(I912="","",IF(AND(J912&gt;=1,J912&lt;=K912+3),"255.255.255.0",""))</f>
        <v/>
      </c>
      <c r="E912" s="0" t="str">
        <f aca="false">IF(I912="","",IF(AND(J912&gt;=1,J912&lt;=K912+3),"10."&amp;INDEX(Eingabe!$D$9:$D$18,I912)&amp;"."&amp;IF(J912&lt;=K912,J912,IF(J912=K912+1,200,IF(J912=K912+2,201,250)))&amp;".1",""))</f>
        <v/>
      </c>
      <c r="F912" s="0" t="str">
        <f aca="false">IF(I912="","",IF(AND(J912&gt;=1,J912&lt;=K912+3),"10."&amp;INDEX(Eingabe!$D$9:$D$18,I912)&amp;"."&amp;IF(J912&lt;=K912,J912,IF(J912=K912+1,200,IF(J912=K912+2,201,250)))&amp;".10 – 10."&amp;INDEX(Eingabe!$D$9:$D$18,I912)&amp;"."&amp;IF(J912&lt;=K912,J912,IF(J912=K912+1,200,IF(J912=K912+2,201,250)))&amp;".250",""))</f>
        <v/>
      </c>
      <c r="G912" s="0" t="str">
        <f aca="false">IF(I912="","",IF(AND(J912&gt;=1,J912&lt;=K912),Eingabe!$B$6&amp;"-"&amp;INDEX(Eingabe!$C$9:$C$18,I912)&amp;"-Pächter  ·  Passwort Parzelle "&amp;J912,IF(J912=K912+1,Eingabe!$B$6&amp;"-"&amp;INDEX(Eingabe!$C$9:$C$18,I912)&amp;"-Vorstand  ·  eigenes WLAN",IF(J912=K912+2,Eingabe!$B$6&amp;"-"&amp;INDEX(Eingabe!$C$9:$C$18,I912)&amp;"-Gäste  ·  Voucher",IF(J912=K912+3,"Kabel  ·  Access Point y = .(50+y), Mast-Switch x = .(10+x)","")))))</f>
        <v/>
      </c>
      <c r="I912" s="0" t="str">
        <f aca="false">IF(907&lt;=(Eingabe!$P$18+Eingabe!$Q$18-1),MATCH(907,Eingabe!$P$9:$P$18,1),"")</f>
        <v/>
      </c>
      <c r="J912" s="0" t="str">
        <f aca="false">IF(I912="","",907-INDEX(Eingabe!$P$9:$P$18,I912))</f>
        <v/>
      </c>
      <c r="K912" s="0" t="str">
        <f aca="false">IF(I912="","",INDEX(Eingabe!$E$9:$E$18,I912))</f>
        <v/>
      </c>
    </row>
    <row r="913" customFormat="false" ht="15" hidden="false" customHeight="false" outlineLevel="0" collapsed="false">
      <c r="A913" s="0" t="str">
        <f aca="false">IF(I913="","",IF(J913=0,"Sparte "&amp;I913&amp;": "&amp;INDEX(Eingabe!$B$9:$B$18,I913)&amp;"  (Sparten-ID "&amp;INDEX(Eingabe!$D$9:$D$18,I913)&amp;", "&amp;K913&amp;" Parzellen)",IF(J913&lt;=K913,"   Parzelle "&amp;J913,IF(J913=K913+1,"   Vorstand",IF(J913=K913+2,"   Gäste",IF(J913=K913+3,"   Technik (Switches, Access Points)",""))))))</f>
        <v/>
      </c>
      <c r="B913" s="0" t="str">
        <f aca="false">IF(I913="","",IF(AND(J913&gt;=1,J913&lt;=K913+3),IF(J913&lt;=K913,IF(J913&lt;=99,IF((INDEX(Eingabe!$G$9:$G$18,I913))&lt;=9,1000+(INDEX(Eingabe!$G$9:$G$18,I913))*100,3000)+J913,IF((INDEX(Eingabe!$G$9:$G$18,I913)+1)&lt;=9,1000+(INDEX(Eingabe!$G$9:$G$18,I913)+1)*100,3000)+J913-100),IF(J913=K913+1,2000+INDEX(Eingabe!$G$9:$G$18,I913)*10+1,IF(J913=K913+2,2000+INDEX(Eingabe!$G$9:$G$18,I913)*10+2,2000+INDEX(Eingabe!$G$9:$G$18,I913)*10+9))),""))</f>
        <v/>
      </c>
      <c r="C913" s="0" t="str">
        <f aca="false">IF(I913="","",IF(AND(J913&gt;=1,J913&lt;=K913+3),"10."&amp;INDEX(Eingabe!$D$9:$D$18,I913)&amp;"."&amp;IF(J913&lt;=K913,J913,IF(J913=K913+1,200,IF(J913=K913+2,201,250)))&amp;".0/24",""))</f>
        <v/>
      </c>
      <c r="D913" s="0" t="str">
        <f aca="false">IF(I913="","",IF(AND(J913&gt;=1,J913&lt;=K913+3),"255.255.255.0",""))</f>
        <v/>
      </c>
      <c r="E913" s="0" t="str">
        <f aca="false">IF(I913="","",IF(AND(J913&gt;=1,J913&lt;=K913+3),"10."&amp;INDEX(Eingabe!$D$9:$D$18,I913)&amp;"."&amp;IF(J913&lt;=K913,J913,IF(J913=K913+1,200,IF(J913=K913+2,201,250)))&amp;".1",""))</f>
        <v/>
      </c>
      <c r="F913" s="0" t="str">
        <f aca="false">IF(I913="","",IF(AND(J913&gt;=1,J913&lt;=K913+3),"10."&amp;INDEX(Eingabe!$D$9:$D$18,I913)&amp;"."&amp;IF(J913&lt;=K913,J913,IF(J913=K913+1,200,IF(J913=K913+2,201,250)))&amp;".10 – 10."&amp;INDEX(Eingabe!$D$9:$D$18,I913)&amp;"."&amp;IF(J913&lt;=K913,J913,IF(J913=K913+1,200,IF(J913=K913+2,201,250)))&amp;".250",""))</f>
        <v/>
      </c>
      <c r="G913" s="0" t="str">
        <f aca="false">IF(I913="","",IF(AND(J913&gt;=1,J913&lt;=K913),Eingabe!$B$6&amp;"-"&amp;INDEX(Eingabe!$C$9:$C$18,I913)&amp;"-Pächter  ·  Passwort Parzelle "&amp;J913,IF(J913=K913+1,Eingabe!$B$6&amp;"-"&amp;INDEX(Eingabe!$C$9:$C$18,I913)&amp;"-Vorstand  ·  eigenes WLAN",IF(J913=K913+2,Eingabe!$B$6&amp;"-"&amp;INDEX(Eingabe!$C$9:$C$18,I913)&amp;"-Gäste  ·  Voucher",IF(J913=K913+3,"Kabel  ·  Access Point y = .(50+y), Mast-Switch x = .(10+x)","")))))</f>
        <v/>
      </c>
      <c r="I913" s="0" t="str">
        <f aca="false">IF(908&lt;=(Eingabe!$P$18+Eingabe!$Q$18-1),MATCH(908,Eingabe!$P$9:$P$18,1),"")</f>
        <v/>
      </c>
      <c r="J913" s="0" t="str">
        <f aca="false">IF(I913="","",908-INDEX(Eingabe!$P$9:$P$18,I913))</f>
        <v/>
      </c>
      <c r="K913" s="0" t="str">
        <f aca="false">IF(I913="","",INDEX(Eingabe!$E$9:$E$18,I913))</f>
        <v/>
      </c>
    </row>
    <row r="914" customFormat="false" ht="15" hidden="false" customHeight="false" outlineLevel="0" collapsed="false">
      <c r="A914" s="0" t="str">
        <f aca="false">IF(I914="","",IF(J914=0,"Sparte "&amp;I914&amp;": "&amp;INDEX(Eingabe!$B$9:$B$18,I914)&amp;"  (Sparten-ID "&amp;INDEX(Eingabe!$D$9:$D$18,I914)&amp;", "&amp;K914&amp;" Parzellen)",IF(J914&lt;=K914,"   Parzelle "&amp;J914,IF(J914=K914+1,"   Vorstand",IF(J914=K914+2,"   Gäste",IF(J914=K914+3,"   Technik (Switches, Access Points)",""))))))</f>
        <v/>
      </c>
      <c r="B914" s="0" t="str">
        <f aca="false">IF(I914="","",IF(AND(J914&gt;=1,J914&lt;=K914+3),IF(J914&lt;=K914,IF(J914&lt;=99,IF((INDEX(Eingabe!$G$9:$G$18,I914))&lt;=9,1000+(INDEX(Eingabe!$G$9:$G$18,I914))*100,3000)+J914,IF((INDEX(Eingabe!$G$9:$G$18,I914)+1)&lt;=9,1000+(INDEX(Eingabe!$G$9:$G$18,I914)+1)*100,3000)+J914-100),IF(J914=K914+1,2000+INDEX(Eingabe!$G$9:$G$18,I914)*10+1,IF(J914=K914+2,2000+INDEX(Eingabe!$G$9:$G$18,I914)*10+2,2000+INDEX(Eingabe!$G$9:$G$18,I914)*10+9))),""))</f>
        <v/>
      </c>
      <c r="C914" s="0" t="str">
        <f aca="false">IF(I914="","",IF(AND(J914&gt;=1,J914&lt;=K914+3),"10."&amp;INDEX(Eingabe!$D$9:$D$18,I914)&amp;"."&amp;IF(J914&lt;=K914,J914,IF(J914=K914+1,200,IF(J914=K914+2,201,250)))&amp;".0/24",""))</f>
        <v/>
      </c>
      <c r="D914" s="0" t="str">
        <f aca="false">IF(I914="","",IF(AND(J914&gt;=1,J914&lt;=K914+3),"255.255.255.0",""))</f>
        <v/>
      </c>
      <c r="E914" s="0" t="str">
        <f aca="false">IF(I914="","",IF(AND(J914&gt;=1,J914&lt;=K914+3),"10."&amp;INDEX(Eingabe!$D$9:$D$18,I914)&amp;"."&amp;IF(J914&lt;=K914,J914,IF(J914=K914+1,200,IF(J914=K914+2,201,250)))&amp;".1",""))</f>
        <v/>
      </c>
      <c r="F914" s="0" t="str">
        <f aca="false">IF(I914="","",IF(AND(J914&gt;=1,J914&lt;=K914+3),"10."&amp;INDEX(Eingabe!$D$9:$D$18,I914)&amp;"."&amp;IF(J914&lt;=K914,J914,IF(J914=K914+1,200,IF(J914=K914+2,201,250)))&amp;".10 – 10."&amp;INDEX(Eingabe!$D$9:$D$18,I914)&amp;"."&amp;IF(J914&lt;=K914,J914,IF(J914=K914+1,200,IF(J914=K914+2,201,250)))&amp;".250",""))</f>
        <v/>
      </c>
      <c r="G914" s="0" t="str">
        <f aca="false">IF(I914="","",IF(AND(J914&gt;=1,J914&lt;=K914),Eingabe!$B$6&amp;"-"&amp;INDEX(Eingabe!$C$9:$C$18,I914)&amp;"-Pächter  ·  Passwort Parzelle "&amp;J914,IF(J914=K914+1,Eingabe!$B$6&amp;"-"&amp;INDEX(Eingabe!$C$9:$C$18,I914)&amp;"-Vorstand  ·  eigenes WLAN",IF(J914=K914+2,Eingabe!$B$6&amp;"-"&amp;INDEX(Eingabe!$C$9:$C$18,I914)&amp;"-Gäste  ·  Voucher",IF(J914=K914+3,"Kabel  ·  Access Point y = .(50+y), Mast-Switch x = .(10+x)","")))))</f>
        <v/>
      </c>
      <c r="I914" s="0" t="str">
        <f aca="false">IF(909&lt;=(Eingabe!$P$18+Eingabe!$Q$18-1),MATCH(909,Eingabe!$P$9:$P$18,1),"")</f>
        <v/>
      </c>
      <c r="J914" s="0" t="str">
        <f aca="false">IF(I914="","",909-INDEX(Eingabe!$P$9:$P$18,I914))</f>
        <v/>
      </c>
      <c r="K914" s="0" t="str">
        <f aca="false">IF(I914="","",INDEX(Eingabe!$E$9:$E$18,I914))</f>
        <v/>
      </c>
    </row>
    <row r="915" customFormat="false" ht="15" hidden="false" customHeight="false" outlineLevel="0" collapsed="false">
      <c r="A915" s="0" t="str">
        <f aca="false">IF(I915="","",IF(J915=0,"Sparte "&amp;I915&amp;": "&amp;INDEX(Eingabe!$B$9:$B$18,I915)&amp;"  (Sparten-ID "&amp;INDEX(Eingabe!$D$9:$D$18,I915)&amp;", "&amp;K915&amp;" Parzellen)",IF(J915&lt;=K915,"   Parzelle "&amp;J915,IF(J915=K915+1,"   Vorstand",IF(J915=K915+2,"   Gäste",IF(J915=K915+3,"   Technik (Switches, Access Points)",""))))))</f>
        <v/>
      </c>
      <c r="B915" s="0" t="str">
        <f aca="false">IF(I915="","",IF(AND(J915&gt;=1,J915&lt;=K915+3),IF(J915&lt;=K915,IF(J915&lt;=99,IF((INDEX(Eingabe!$G$9:$G$18,I915))&lt;=9,1000+(INDEX(Eingabe!$G$9:$G$18,I915))*100,3000)+J915,IF((INDEX(Eingabe!$G$9:$G$18,I915)+1)&lt;=9,1000+(INDEX(Eingabe!$G$9:$G$18,I915)+1)*100,3000)+J915-100),IF(J915=K915+1,2000+INDEX(Eingabe!$G$9:$G$18,I915)*10+1,IF(J915=K915+2,2000+INDEX(Eingabe!$G$9:$G$18,I915)*10+2,2000+INDEX(Eingabe!$G$9:$G$18,I915)*10+9))),""))</f>
        <v/>
      </c>
      <c r="C915" s="0" t="str">
        <f aca="false">IF(I915="","",IF(AND(J915&gt;=1,J915&lt;=K915+3),"10."&amp;INDEX(Eingabe!$D$9:$D$18,I915)&amp;"."&amp;IF(J915&lt;=K915,J915,IF(J915=K915+1,200,IF(J915=K915+2,201,250)))&amp;".0/24",""))</f>
        <v/>
      </c>
      <c r="D915" s="0" t="str">
        <f aca="false">IF(I915="","",IF(AND(J915&gt;=1,J915&lt;=K915+3),"255.255.255.0",""))</f>
        <v/>
      </c>
      <c r="E915" s="0" t="str">
        <f aca="false">IF(I915="","",IF(AND(J915&gt;=1,J915&lt;=K915+3),"10."&amp;INDEX(Eingabe!$D$9:$D$18,I915)&amp;"."&amp;IF(J915&lt;=K915,J915,IF(J915=K915+1,200,IF(J915=K915+2,201,250)))&amp;".1",""))</f>
        <v/>
      </c>
      <c r="F915" s="0" t="str">
        <f aca="false">IF(I915="","",IF(AND(J915&gt;=1,J915&lt;=K915+3),"10."&amp;INDEX(Eingabe!$D$9:$D$18,I915)&amp;"."&amp;IF(J915&lt;=K915,J915,IF(J915=K915+1,200,IF(J915=K915+2,201,250)))&amp;".10 – 10."&amp;INDEX(Eingabe!$D$9:$D$18,I915)&amp;"."&amp;IF(J915&lt;=K915,J915,IF(J915=K915+1,200,IF(J915=K915+2,201,250)))&amp;".250",""))</f>
        <v/>
      </c>
      <c r="G915" s="0" t="str">
        <f aca="false">IF(I915="","",IF(AND(J915&gt;=1,J915&lt;=K915),Eingabe!$B$6&amp;"-"&amp;INDEX(Eingabe!$C$9:$C$18,I915)&amp;"-Pächter  ·  Passwort Parzelle "&amp;J915,IF(J915=K915+1,Eingabe!$B$6&amp;"-"&amp;INDEX(Eingabe!$C$9:$C$18,I915)&amp;"-Vorstand  ·  eigenes WLAN",IF(J915=K915+2,Eingabe!$B$6&amp;"-"&amp;INDEX(Eingabe!$C$9:$C$18,I915)&amp;"-Gäste  ·  Voucher",IF(J915=K915+3,"Kabel  ·  Access Point y = .(50+y), Mast-Switch x = .(10+x)","")))))</f>
        <v/>
      </c>
      <c r="I915" s="0" t="str">
        <f aca="false">IF(910&lt;=(Eingabe!$P$18+Eingabe!$Q$18-1),MATCH(910,Eingabe!$P$9:$P$18,1),"")</f>
        <v/>
      </c>
      <c r="J915" s="0" t="str">
        <f aca="false">IF(I915="","",910-INDEX(Eingabe!$P$9:$P$18,I915))</f>
        <v/>
      </c>
      <c r="K915" s="0" t="str">
        <f aca="false">IF(I915="","",INDEX(Eingabe!$E$9:$E$18,I915))</f>
        <v/>
      </c>
    </row>
    <row r="916" customFormat="false" ht="15" hidden="false" customHeight="false" outlineLevel="0" collapsed="false">
      <c r="A916" s="0" t="str">
        <f aca="false">IF(I916="","",IF(J916=0,"Sparte "&amp;I916&amp;": "&amp;INDEX(Eingabe!$B$9:$B$18,I916)&amp;"  (Sparten-ID "&amp;INDEX(Eingabe!$D$9:$D$18,I916)&amp;", "&amp;K916&amp;" Parzellen)",IF(J916&lt;=K916,"   Parzelle "&amp;J916,IF(J916=K916+1,"   Vorstand",IF(J916=K916+2,"   Gäste",IF(J916=K916+3,"   Technik (Switches, Access Points)",""))))))</f>
        <v/>
      </c>
      <c r="B916" s="0" t="str">
        <f aca="false">IF(I916="","",IF(AND(J916&gt;=1,J916&lt;=K916+3),IF(J916&lt;=K916,IF(J916&lt;=99,IF((INDEX(Eingabe!$G$9:$G$18,I916))&lt;=9,1000+(INDEX(Eingabe!$G$9:$G$18,I916))*100,3000)+J916,IF((INDEX(Eingabe!$G$9:$G$18,I916)+1)&lt;=9,1000+(INDEX(Eingabe!$G$9:$G$18,I916)+1)*100,3000)+J916-100),IF(J916=K916+1,2000+INDEX(Eingabe!$G$9:$G$18,I916)*10+1,IF(J916=K916+2,2000+INDEX(Eingabe!$G$9:$G$18,I916)*10+2,2000+INDEX(Eingabe!$G$9:$G$18,I916)*10+9))),""))</f>
        <v/>
      </c>
      <c r="C916" s="0" t="str">
        <f aca="false">IF(I916="","",IF(AND(J916&gt;=1,J916&lt;=K916+3),"10."&amp;INDEX(Eingabe!$D$9:$D$18,I916)&amp;"."&amp;IF(J916&lt;=K916,J916,IF(J916=K916+1,200,IF(J916=K916+2,201,250)))&amp;".0/24",""))</f>
        <v/>
      </c>
      <c r="D916" s="0" t="str">
        <f aca="false">IF(I916="","",IF(AND(J916&gt;=1,J916&lt;=K916+3),"255.255.255.0",""))</f>
        <v/>
      </c>
      <c r="E916" s="0" t="str">
        <f aca="false">IF(I916="","",IF(AND(J916&gt;=1,J916&lt;=K916+3),"10."&amp;INDEX(Eingabe!$D$9:$D$18,I916)&amp;"."&amp;IF(J916&lt;=K916,J916,IF(J916=K916+1,200,IF(J916=K916+2,201,250)))&amp;".1",""))</f>
        <v/>
      </c>
      <c r="F916" s="0" t="str">
        <f aca="false">IF(I916="","",IF(AND(J916&gt;=1,J916&lt;=K916+3),"10."&amp;INDEX(Eingabe!$D$9:$D$18,I916)&amp;"."&amp;IF(J916&lt;=K916,J916,IF(J916=K916+1,200,IF(J916=K916+2,201,250)))&amp;".10 – 10."&amp;INDEX(Eingabe!$D$9:$D$18,I916)&amp;"."&amp;IF(J916&lt;=K916,J916,IF(J916=K916+1,200,IF(J916=K916+2,201,250)))&amp;".250",""))</f>
        <v/>
      </c>
      <c r="G916" s="0" t="str">
        <f aca="false">IF(I916="","",IF(AND(J916&gt;=1,J916&lt;=K916),Eingabe!$B$6&amp;"-"&amp;INDEX(Eingabe!$C$9:$C$18,I916)&amp;"-Pächter  ·  Passwort Parzelle "&amp;J916,IF(J916=K916+1,Eingabe!$B$6&amp;"-"&amp;INDEX(Eingabe!$C$9:$C$18,I916)&amp;"-Vorstand  ·  eigenes WLAN",IF(J916=K916+2,Eingabe!$B$6&amp;"-"&amp;INDEX(Eingabe!$C$9:$C$18,I916)&amp;"-Gäste  ·  Voucher",IF(J916=K916+3,"Kabel  ·  Access Point y = .(50+y), Mast-Switch x = .(10+x)","")))))</f>
        <v/>
      </c>
      <c r="I916" s="0" t="str">
        <f aca="false">IF(911&lt;=(Eingabe!$P$18+Eingabe!$Q$18-1),MATCH(911,Eingabe!$P$9:$P$18,1),"")</f>
        <v/>
      </c>
      <c r="J916" s="0" t="str">
        <f aca="false">IF(I916="","",911-INDEX(Eingabe!$P$9:$P$18,I916))</f>
        <v/>
      </c>
      <c r="K916" s="0" t="str">
        <f aca="false">IF(I916="","",INDEX(Eingabe!$E$9:$E$18,I916))</f>
        <v/>
      </c>
    </row>
    <row r="917" customFormat="false" ht="15" hidden="false" customHeight="false" outlineLevel="0" collapsed="false">
      <c r="A917" s="0" t="str">
        <f aca="false">IF(I917="","",IF(J917=0,"Sparte "&amp;I917&amp;": "&amp;INDEX(Eingabe!$B$9:$B$18,I917)&amp;"  (Sparten-ID "&amp;INDEX(Eingabe!$D$9:$D$18,I917)&amp;", "&amp;K917&amp;" Parzellen)",IF(J917&lt;=K917,"   Parzelle "&amp;J917,IF(J917=K917+1,"   Vorstand",IF(J917=K917+2,"   Gäste",IF(J917=K917+3,"   Technik (Switches, Access Points)",""))))))</f>
        <v/>
      </c>
      <c r="B917" s="0" t="str">
        <f aca="false">IF(I917="","",IF(AND(J917&gt;=1,J917&lt;=K917+3),IF(J917&lt;=K917,IF(J917&lt;=99,IF((INDEX(Eingabe!$G$9:$G$18,I917))&lt;=9,1000+(INDEX(Eingabe!$G$9:$G$18,I917))*100,3000)+J917,IF((INDEX(Eingabe!$G$9:$G$18,I917)+1)&lt;=9,1000+(INDEX(Eingabe!$G$9:$G$18,I917)+1)*100,3000)+J917-100),IF(J917=K917+1,2000+INDEX(Eingabe!$G$9:$G$18,I917)*10+1,IF(J917=K917+2,2000+INDEX(Eingabe!$G$9:$G$18,I917)*10+2,2000+INDEX(Eingabe!$G$9:$G$18,I917)*10+9))),""))</f>
        <v/>
      </c>
      <c r="C917" s="0" t="str">
        <f aca="false">IF(I917="","",IF(AND(J917&gt;=1,J917&lt;=K917+3),"10."&amp;INDEX(Eingabe!$D$9:$D$18,I917)&amp;"."&amp;IF(J917&lt;=K917,J917,IF(J917=K917+1,200,IF(J917=K917+2,201,250)))&amp;".0/24",""))</f>
        <v/>
      </c>
      <c r="D917" s="0" t="str">
        <f aca="false">IF(I917="","",IF(AND(J917&gt;=1,J917&lt;=K917+3),"255.255.255.0",""))</f>
        <v/>
      </c>
      <c r="E917" s="0" t="str">
        <f aca="false">IF(I917="","",IF(AND(J917&gt;=1,J917&lt;=K917+3),"10."&amp;INDEX(Eingabe!$D$9:$D$18,I917)&amp;"."&amp;IF(J917&lt;=K917,J917,IF(J917=K917+1,200,IF(J917=K917+2,201,250)))&amp;".1",""))</f>
        <v/>
      </c>
      <c r="F917" s="0" t="str">
        <f aca="false">IF(I917="","",IF(AND(J917&gt;=1,J917&lt;=K917+3),"10."&amp;INDEX(Eingabe!$D$9:$D$18,I917)&amp;"."&amp;IF(J917&lt;=K917,J917,IF(J917=K917+1,200,IF(J917=K917+2,201,250)))&amp;".10 – 10."&amp;INDEX(Eingabe!$D$9:$D$18,I917)&amp;"."&amp;IF(J917&lt;=K917,J917,IF(J917=K917+1,200,IF(J917=K917+2,201,250)))&amp;".250",""))</f>
        <v/>
      </c>
      <c r="G917" s="0" t="str">
        <f aca="false">IF(I917="","",IF(AND(J917&gt;=1,J917&lt;=K917),Eingabe!$B$6&amp;"-"&amp;INDEX(Eingabe!$C$9:$C$18,I917)&amp;"-Pächter  ·  Passwort Parzelle "&amp;J917,IF(J917=K917+1,Eingabe!$B$6&amp;"-"&amp;INDEX(Eingabe!$C$9:$C$18,I917)&amp;"-Vorstand  ·  eigenes WLAN",IF(J917=K917+2,Eingabe!$B$6&amp;"-"&amp;INDEX(Eingabe!$C$9:$C$18,I917)&amp;"-Gäste  ·  Voucher",IF(J917=K917+3,"Kabel  ·  Access Point y = .(50+y), Mast-Switch x = .(10+x)","")))))</f>
        <v/>
      </c>
      <c r="I917" s="0" t="str">
        <f aca="false">IF(912&lt;=(Eingabe!$P$18+Eingabe!$Q$18-1),MATCH(912,Eingabe!$P$9:$P$18,1),"")</f>
        <v/>
      </c>
      <c r="J917" s="0" t="str">
        <f aca="false">IF(I917="","",912-INDEX(Eingabe!$P$9:$P$18,I917))</f>
        <v/>
      </c>
      <c r="K917" s="0" t="str">
        <f aca="false">IF(I917="","",INDEX(Eingabe!$E$9:$E$18,I917))</f>
        <v/>
      </c>
    </row>
    <row r="918" customFormat="false" ht="15" hidden="false" customHeight="false" outlineLevel="0" collapsed="false">
      <c r="A918" s="0" t="str">
        <f aca="false">IF(I918="","",IF(J918=0,"Sparte "&amp;I918&amp;": "&amp;INDEX(Eingabe!$B$9:$B$18,I918)&amp;"  (Sparten-ID "&amp;INDEX(Eingabe!$D$9:$D$18,I918)&amp;", "&amp;K918&amp;" Parzellen)",IF(J918&lt;=K918,"   Parzelle "&amp;J918,IF(J918=K918+1,"   Vorstand",IF(J918=K918+2,"   Gäste",IF(J918=K918+3,"   Technik (Switches, Access Points)",""))))))</f>
        <v/>
      </c>
      <c r="B918" s="0" t="str">
        <f aca="false">IF(I918="","",IF(AND(J918&gt;=1,J918&lt;=K918+3),IF(J918&lt;=K918,IF(J918&lt;=99,IF((INDEX(Eingabe!$G$9:$G$18,I918))&lt;=9,1000+(INDEX(Eingabe!$G$9:$G$18,I918))*100,3000)+J918,IF((INDEX(Eingabe!$G$9:$G$18,I918)+1)&lt;=9,1000+(INDEX(Eingabe!$G$9:$G$18,I918)+1)*100,3000)+J918-100),IF(J918=K918+1,2000+INDEX(Eingabe!$G$9:$G$18,I918)*10+1,IF(J918=K918+2,2000+INDEX(Eingabe!$G$9:$G$18,I918)*10+2,2000+INDEX(Eingabe!$G$9:$G$18,I918)*10+9))),""))</f>
        <v/>
      </c>
      <c r="C918" s="0" t="str">
        <f aca="false">IF(I918="","",IF(AND(J918&gt;=1,J918&lt;=K918+3),"10."&amp;INDEX(Eingabe!$D$9:$D$18,I918)&amp;"."&amp;IF(J918&lt;=K918,J918,IF(J918=K918+1,200,IF(J918=K918+2,201,250)))&amp;".0/24",""))</f>
        <v/>
      </c>
      <c r="D918" s="0" t="str">
        <f aca="false">IF(I918="","",IF(AND(J918&gt;=1,J918&lt;=K918+3),"255.255.255.0",""))</f>
        <v/>
      </c>
      <c r="E918" s="0" t="str">
        <f aca="false">IF(I918="","",IF(AND(J918&gt;=1,J918&lt;=K918+3),"10."&amp;INDEX(Eingabe!$D$9:$D$18,I918)&amp;"."&amp;IF(J918&lt;=K918,J918,IF(J918=K918+1,200,IF(J918=K918+2,201,250)))&amp;".1",""))</f>
        <v/>
      </c>
      <c r="F918" s="0" t="str">
        <f aca="false">IF(I918="","",IF(AND(J918&gt;=1,J918&lt;=K918+3),"10."&amp;INDEX(Eingabe!$D$9:$D$18,I918)&amp;"."&amp;IF(J918&lt;=K918,J918,IF(J918=K918+1,200,IF(J918=K918+2,201,250)))&amp;".10 – 10."&amp;INDEX(Eingabe!$D$9:$D$18,I918)&amp;"."&amp;IF(J918&lt;=K918,J918,IF(J918=K918+1,200,IF(J918=K918+2,201,250)))&amp;".250",""))</f>
        <v/>
      </c>
      <c r="G918" s="0" t="str">
        <f aca="false">IF(I918="","",IF(AND(J918&gt;=1,J918&lt;=K918),Eingabe!$B$6&amp;"-"&amp;INDEX(Eingabe!$C$9:$C$18,I918)&amp;"-Pächter  ·  Passwort Parzelle "&amp;J918,IF(J918=K918+1,Eingabe!$B$6&amp;"-"&amp;INDEX(Eingabe!$C$9:$C$18,I918)&amp;"-Vorstand  ·  eigenes WLAN",IF(J918=K918+2,Eingabe!$B$6&amp;"-"&amp;INDEX(Eingabe!$C$9:$C$18,I918)&amp;"-Gäste  ·  Voucher",IF(J918=K918+3,"Kabel  ·  Access Point y = .(50+y), Mast-Switch x = .(10+x)","")))))</f>
        <v/>
      </c>
      <c r="I918" s="0" t="str">
        <f aca="false">IF(913&lt;=(Eingabe!$P$18+Eingabe!$Q$18-1),MATCH(913,Eingabe!$P$9:$P$18,1),"")</f>
        <v/>
      </c>
      <c r="J918" s="0" t="str">
        <f aca="false">IF(I918="","",913-INDEX(Eingabe!$P$9:$P$18,I918))</f>
        <v/>
      </c>
      <c r="K918" s="0" t="str">
        <f aca="false">IF(I918="","",INDEX(Eingabe!$E$9:$E$18,I918))</f>
        <v/>
      </c>
    </row>
    <row r="919" customFormat="false" ht="15" hidden="false" customHeight="false" outlineLevel="0" collapsed="false">
      <c r="A919" s="0" t="str">
        <f aca="false">IF(I919="","",IF(J919=0,"Sparte "&amp;I919&amp;": "&amp;INDEX(Eingabe!$B$9:$B$18,I919)&amp;"  (Sparten-ID "&amp;INDEX(Eingabe!$D$9:$D$18,I919)&amp;", "&amp;K919&amp;" Parzellen)",IF(J919&lt;=K919,"   Parzelle "&amp;J919,IF(J919=K919+1,"   Vorstand",IF(J919=K919+2,"   Gäste",IF(J919=K919+3,"   Technik (Switches, Access Points)",""))))))</f>
        <v/>
      </c>
      <c r="B919" s="0" t="str">
        <f aca="false">IF(I919="","",IF(AND(J919&gt;=1,J919&lt;=K919+3),IF(J919&lt;=K919,IF(J919&lt;=99,IF((INDEX(Eingabe!$G$9:$G$18,I919))&lt;=9,1000+(INDEX(Eingabe!$G$9:$G$18,I919))*100,3000)+J919,IF((INDEX(Eingabe!$G$9:$G$18,I919)+1)&lt;=9,1000+(INDEX(Eingabe!$G$9:$G$18,I919)+1)*100,3000)+J919-100),IF(J919=K919+1,2000+INDEX(Eingabe!$G$9:$G$18,I919)*10+1,IF(J919=K919+2,2000+INDEX(Eingabe!$G$9:$G$18,I919)*10+2,2000+INDEX(Eingabe!$G$9:$G$18,I919)*10+9))),""))</f>
        <v/>
      </c>
      <c r="C919" s="0" t="str">
        <f aca="false">IF(I919="","",IF(AND(J919&gt;=1,J919&lt;=K919+3),"10."&amp;INDEX(Eingabe!$D$9:$D$18,I919)&amp;"."&amp;IF(J919&lt;=K919,J919,IF(J919=K919+1,200,IF(J919=K919+2,201,250)))&amp;".0/24",""))</f>
        <v/>
      </c>
      <c r="D919" s="0" t="str">
        <f aca="false">IF(I919="","",IF(AND(J919&gt;=1,J919&lt;=K919+3),"255.255.255.0",""))</f>
        <v/>
      </c>
      <c r="E919" s="0" t="str">
        <f aca="false">IF(I919="","",IF(AND(J919&gt;=1,J919&lt;=K919+3),"10."&amp;INDEX(Eingabe!$D$9:$D$18,I919)&amp;"."&amp;IF(J919&lt;=K919,J919,IF(J919=K919+1,200,IF(J919=K919+2,201,250)))&amp;".1",""))</f>
        <v/>
      </c>
      <c r="F919" s="0" t="str">
        <f aca="false">IF(I919="","",IF(AND(J919&gt;=1,J919&lt;=K919+3),"10."&amp;INDEX(Eingabe!$D$9:$D$18,I919)&amp;"."&amp;IF(J919&lt;=K919,J919,IF(J919=K919+1,200,IF(J919=K919+2,201,250)))&amp;".10 – 10."&amp;INDEX(Eingabe!$D$9:$D$18,I919)&amp;"."&amp;IF(J919&lt;=K919,J919,IF(J919=K919+1,200,IF(J919=K919+2,201,250)))&amp;".250",""))</f>
        <v/>
      </c>
      <c r="G919" s="0" t="str">
        <f aca="false">IF(I919="","",IF(AND(J919&gt;=1,J919&lt;=K919),Eingabe!$B$6&amp;"-"&amp;INDEX(Eingabe!$C$9:$C$18,I919)&amp;"-Pächter  ·  Passwort Parzelle "&amp;J919,IF(J919=K919+1,Eingabe!$B$6&amp;"-"&amp;INDEX(Eingabe!$C$9:$C$18,I919)&amp;"-Vorstand  ·  eigenes WLAN",IF(J919=K919+2,Eingabe!$B$6&amp;"-"&amp;INDEX(Eingabe!$C$9:$C$18,I919)&amp;"-Gäste  ·  Voucher",IF(J919=K919+3,"Kabel  ·  Access Point y = .(50+y), Mast-Switch x = .(10+x)","")))))</f>
        <v/>
      </c>
      <c r="I919" s="0" t="str">
        <f aca="false">IF(914&lt;=(Eingabe!$P$18+Eingabe!$Q$18-1),MATCH(914,Eingabe!$P$9:$P$18,1),"")</f>
        <v/>
      </c>
      <c r="J919" s="0" t="str">
        <f aca="false">IF(I919="","",914-INDEX(Eingabe!$P$9:$P$18,I919))</f>
        <v/>
      </c>
      <c r="K919" s="0" t="str">
        <f aca="false">IF(I919="","",INDEX(Eingabe!$E$9:$E$18,I919))</f>
        <v/>
      </c>
    </row>
    <row r="920" customFormat="false" ht="15" hidden="false" customHeight="false" outlineLevel="0" collapsed="false">
      <c r="A920" s="0" t="str">
        <f aca="false">IF(I920="","",IF(J920=0,"Sparte "&amp;I920&amp;": "&amp;INDEX(Eingabe!$B$9:$B$18,I920)&amp;"  (Sparten-ID "&amp;INDEX(Eingabe!$D$9:$D$18,I920)&amp;", "&amp;K920&amp;" Parzellen)",IF(J920&lt;=K920,"   Parzelle "&amp;J920,IF(J920=K920+1,"   Vorstand",IF(J920=K920+2,"   Gäste",IF(J920=K920+3,"   Technik (Switches, Access Points)",""))))))</f>
        <v/>
      </c>
      <c r="B920" s="0" t="str">
        <f aca="false">IF(I920="","",IF(AND(J920&gt;=1,J920&lt;=K920+3),IF(J920&lt;=K920,IF(J920&lt;=99,IF((INDEX(Eingabe!$G$9:$G$18,I920))&lt;=9,1000+(INDEX(Eingabe!$G$9:$G$18,I920))*100,3000)+J920,IF((INDEX(Eingabe!$G$9:$G$18,I920)+1)&lt;=9,1000+(INDEX(Eingabe!$G$9:$G$18,I920)+1)*100,3000)+J920-100),IF(J920=K920+1,2000+INDEX(Eingabe!$G$9:$G$18,I920)*10+1,IF(J920=K920+2,2000+INDEX(Eingabe!$G$9:$G$18,I920)*10+2,2000+INDEX(Eingabe!$G$9:$G$18,I920)*10+9))),""))</f>
        <v/>
      </c>
      <c r="C920" s="0" t="str">
        <f aca="false">IF(I920="","",IF(AND(J920&gt;=1,J920&lt;=K920+3),"10."&amp;INDEX(Eingabe!$D$9:$D$18,I920)&amp;"."&amp;IF(J920&lt;=K920,J920,IF(J920=K920+1,200,IF(J920=K920+2,201,250)))&amp;".0/24",""))</f>
        <v/>
      </c>
      <c r="D920" s="0" t="str">
        <f aca="false">IF(I920="","",IF(AND(J920&gt;=1,J920&lt;=K920+3),"255.255.255.0",""))</f>
        <v/>
      </c>
      <c r="E920" s="0" t="str">
        <f aca="false">IF(I920="","",IF(AND(J920&gt;=1,J920&lt;=K920+3),"10."&amp;INDEX(Eingabe!$D$9:$D$18,I920)&amp;"."&amp;IF(J920&lt;=K920,J920,IF(J920=K920+1,200,IF(J920=K920+2,201,250)))&amp;".1",""))</f>
        <v/>
      </c>
      <c r="F920" s="0" t="str">
        <f aca="false">IF(I920="","",IF(AND(J920&gt;=1,J920&lt;=K920+3),"10."&amp;INDEX(Eingabe!$D$9:$D$18,I920)&amp;"."&amp;IF(J920&lt;=K920,J920,IF(J920=K920+1,200,IF(J920=K920+2,201,250)))&amp;".10 – 10."&amp;INDEX(Eingabe!$D$9:$D$18,I920)&amp;"."&amp;IF(J920&lt;=K920,J920,IF(J920=K920+1,200,IF(J920=K920+2,201,250)))&amp;".250",""))</f>
        <v/>
      </c>
      <c r="G920" s="0" t="str">
        <f aca="false">IF(I920="","",IF(AND(J920&gt;=1,J920&lt;=K920),Eingabe!$B$6&amp;"-"&amp;INDEX(Eingabe!$C$9:$C$18,I920)&amp;"-Pächter  ·  Passwort Parzelle "&amp;J920,IF(J920=K920+1,Eingabe!$B$6&amp;"-"&amp;INDEX(Eingabe!$C$9:$C$18,I920)&amp;"-Vorstand  ·  eigenes WLAN",IF(J920=K920+2,Eingabe!$B$6&amp;"-"&amp;INDEX(Eingabe!$C$9:$C$18,I920)&amp;"-Gäste  ·  Voucher",IF(J920=K920+3,"Kabel  ·  Access Point y = .(50+y), Mast-Switch x = .(10+x)","")))))</f>
        <v/>
      </c>
      <c r="I920" s="0" t="str">
        <f aca="false">IF(915&lt;=(Eingabe!$P$18+Eingabe!$Q$18-1),MATCH(915,Eingabe!$P$9:$P$18,1),"")</f>
        <v/>
      </c>
      <c r="J920" s="0" t="str">
        <f aca="false">IF(I920="","",915-INDEX(Eingabe!$P$9:$P$18,I920))</f>
        <v/>
      </c>
      <c r="K920" s="0" t="str">
        <f aca="false">IF(I920="","",INDEX(Eingabe!$E$9:$E$18,I920))</f>
        <v/>
      </c>
    </row>
    <row r="921" customFormat="false" ht="15" hidden="false" customHeight="false" outlineLevel="0" collapsed="false">
      <c r="A921" s="0" t="str">
        <f aca="false">IF(I921="","",IF(J921=0,"Sparte "&amp;I921&amp;": "&amp;INDEX(Eingabe!$B$9:$B$18,I921)&amp;"  (Sparten-ID "&amp;INDEX(Eingabe!$D$9:$D$18,I921)&amp;", "&amp;K921&amp;" Parzellen)",IF(J921&lt;=K921,"   Parzelle "&amp;J921,IF(J921=K921+1,"   Vorstand",IF(J921=K921+2,"   Gäste",IF(J921=K921+3,"   Technik (Switches, Access Points)",""))))))</f>
        <v/>
      </c>
      <c r="B921" s="0" t="str">
        <f aca="false">IF(I921="","",IF(AND(J921&gt;=1,J921&lt;=K921+3),IF(J921&lt;=K921,IF(J921&lt;=99,IF((INDEX(Eingabe!$G$9:$G$18,I921))&lt;=9,1000+(INDEX(Eingabe!$G$9:$G$18,I921))*100,3000)+J921,IF((INDEX(Eingabe!$G$9:$G$18,I921)+1)&lt;=9,1000+(INDEX(Eingabe!$G$9:$G$18,I921)+1)*100,3000)+J921-100),IF(J921=K921+1,2000+INDEX(Eingabe!$G$9:$G$18,I921)*10+1,IF(J921=K921+2,2000+INDEX(Eingabe!$G$9:$G$18,I921)*10+2,2000+INDEX(Eingabe!$G$9:$G$18,I921)*10+9))),""))</f>
        <v/>
      </c>
      <c r="C921" s="0" t="str">
        <f aca="false">IF(I921="","",IF(AND(J921&gt;=1,J921&lt;=K921+3),"10."&amp;INDEX(Eingabe!$D$9:$D$18,I921)&amp;"."&amp;IF(J921&lt;=K921,J921,IF(J921=K921+1,200,IF(J921=K921+2,201,250)))&amp;".0/24",""))</f>
        <v/>
      </c>
      <c r="D921" s="0" t="str">
        <f aca="false">IF(I921="","",IF(AND(J921&gt;=1,J921&lt;=K921+3),"255.255.255.0",""))</f>
        <v/>
      </c>
      <c r="E921" s="0" t="str">
        <f aca="false">IF(I921="","",IF(AND(J921&gt;=1,J921&lt;=K921+3),"10."&amp;INDEX(Eingabe!$D$9:$D$18,I921)&amp;"."&amp;IF(J921&lt;=K921,J921,IF(J921=K921+1,200,IF(J921=K921+2,201,250)))&amp;".1",""))</f>
        <v/>
      </c>
      <c r="F921" s="0" t="str">
        <f aca="false">IF(I921="","",IF(AND(J921&gt;=1,J921&lt;=K921+3),"10."&amp;INDEX(Eingabe!$D$9:$D$18,I921)&amp;"."&amp;IF(J921&lt;=K921,J921,IF(J921=K921+1,200,IF(J921=K921+2,201,250)))&amp;".10 – 10."&amp;INDEX(Eingabe!$D$9:$D$18,I921)&amp;"."&amp;IF(J921&lt;=K921,J921,IF(J921=K921+1,200,IF(J921=K921+2,201,250)))&amp;".250",""))</f>
        <v/>
      </c>
      <c r="G921" s="0" t="str">
        <f aca="false">IF(I921="","",IF(AND(J921&gt;=1,J921&lt;=K921),Eingabe!$B$6&amp;"-"&amp;INDEX(Eingabe!$C$9:$C$18,I921)&amp;"-Pächter  ·  Passwort Parzelle "&amp;J921,IF(J921=K921+1,Eingabe!$B$6&amp;"-"&amp;INDEX(Eingabe!$C$9:$C$18,I921)&amp;"-Vorstand  ·  eigenes WLAN",IF(J921=K921+2,Eingabe!$B$6&amp;"-"&amp;INDEX(Eingabe!$C$9:$C$18,I921)&amp;"-Gäste  ·  Voucher",IF(J921=K921+3,"Kabel  ·  Access Point y = .(50+y), Mast-Switch x = .(10+x)","")))))</f>
        <v/>
      </c>
      <c r="I921" s="0" t="str">
        <f aca="false">IF(916&lt;=(Eingabe!$P$18+Eingabe!$Q$18-1),MATCH(916,Eingabe!$P$9:$P$18,1),"")</f>
        <v/>
      </c>
      <c r="J921" s="0" t="str">
        <f aca="false">IF(I921="","",916-INDEX(Eingabe!$P$9:$P$18,I921))</f>
        <v/>
      </c>
      <c r="K921" s="0" t="str">
        <f aca="false">IF(I921="","",INDEX(Eingabe!$E$9:$E$18,I921))</f>
        <v/>
      </c>
    </row>
    <row r="922" customFormat="false" ht="15" hidden="false" customHeight="false" outlineLevel="0" collapsed="false">
      <c r="A922" s="0" t="str">
        <f aca="false">IF(I922="","",IF(J922=0,"Sparte "&amp;I922&amp;": "&amp;INDEX(Eingabe!$B$9:$B$18,I922)&amp;"  (Sparten-ID "&amp;INDEX(Eingabe!$D$9:$D$18,I922)&amp;", "&amp;K922&amp;" Parzellen)",IF(J922&lt;=K922,"   Parzelle "&amp;J922,IF(J922=K922+1,"   Vorstand",IF(J922=K922+2,"   Gäste",IF(J922=K922+3,"   Technik (Switches, Access Points)",""))))))</f>
        <v/>
      </c>
      <c r="B922" s="0" t="str">
        <f aca="false">IF(I922="","",IF(AND(J922&gt;=1,J922&lt;=K922+3),IF(J922&lt;=K922,IF(J922&lt;=99,IF((INDEX(Eingabe!$G$9:$G$18,I922))&lt;=9,1000+(INDEX(Eingabe!$G$9:$G$18,I922))*100,3000)+J922,IF((INDEX(Eingabe!$G$9:$G$18,I922)+1)&lt;=9,1000+(INDEX(Eingabe!$G$9:$G$18,I922)+1)*100,3000)+J922-100),IF(J922=K922+1,2000+INDEX(Eingabe!$G$9:$G$18,I922)*10+1,IF(J922=K922+2,2000+INDEX(Eingabe!$G$9:$G$18,I922)*10+2,2000+INDEX(Eingabe!$G$9:$G$18,I922)*10+9))),""))</f>
        <v/>
      </c>
      <c r="C922" s="0" t="str">
        <f aca="false">IF(I922="","",IF(AND(J922&gt;=1,J922&lt;=K922+3),"10."&amp;INDEX(Eingabe!$D$9:$D$18,I922)&amp;"."&amp;IF(J922&lt;=K922,J922,IF(J922=K922+1,200,IF(J922=K922+2,201,250)))&amp;".0/24",""))</f>
        <v/>
      </c>
      <c r="D922" s="0" t="str">
        <f aca="false">IF(I922="","",IF(AND(J922&gt;=1,J922&lt;=K922+3),"255.255.255.0",""))</f>
        <v/>
      </c>
      <c r="E922" s="0" t="str">
        <f aca="false">IF(I922="","",IF(AND(J922&gt;=1,J922&lt;=K922+3),"10."&amp;INDEX(Eingabe!$D$9:$D$18,I922)&amp;"."&amp;IF(J922&lt;=K922,J922,IF(J922=K922+1,200,IF(J922=K922+2,201,250)))&amp;".1",""))</f>
        <v/>
      </c>
      <c r="F922" s="0" t="str">
        <f aca="false">IF(I922="","",IF(AND(J922&gt;=1,J922&lt;=K922+3),"10."&amp;INDEX(Eingabe!$D$9:$D$18,I922)&amp;"."&amp;IF(J922&lt;=K922,J922,IF(J922=K922+1,200,IF(J922=K922+2,201,250)))&amp;".10 – 10."&amp;INDEX(Eingabe!$D$9:$D$18,I922)&amp;"."&amp;IF(J922&lt;=K922,J922,IF(J922=K922+1,200,IF(J922=K922+2,201,250)))&amp;".250",""))</f>
        <v/>
      </c>
      <c r="G922" s="0" t="str">
        <f aca="false">IF(I922="","",IF(AND(J922&gt;=1,J922&lt;=K922),Eingabe!$B$6&amp;"-"&amp;INDEX(Eingabe!$C$9:$C$18,I922)&amp;"-Pächter  ·  Passwort Parzelle "&amp;J922,IF(J922=K922+1,Eingabe!$B$6&amp;"-"&amp;INDEX(Eingabe!$C$9:$C$18,I922)&amp;"-Vorstand  ·  eigenes WLAN",IF(J922=K922+2,Eingabe!$B$6&amp;"-"&amp;INDEX(Eingabe!$C$9:$C$18,I922)&amp;"-Gäste  ·  Voucher",IF(J922=K922+3,"Kabel  ·  Access Point y = .(50+y), Mast-Switch x = .(10+x)","")))))</f>
        <v/>
      </c>
      <c r="I922" s="0" t="str">
        <f aca="false">IF(917&lt;=(Eingabe!$P$18+Eingabe!$Q$18-1),MATCH(917,Eingabe!$P$9:$P$18,1),"")</f>
        <v/>
      </c>
      <c r="J922" s="0" t="str">
        <f aca="false">IF(I922="","",917-INDEX(Eingabe!$P$9:$P$18,I922))</f>
        <v/>
      </c>
      <c r="K922" s="0" t="str">
        <f aca="false">IF(I922="","",INDEX(Eingabe!$E$9:$E$18,I922))</f>
        <v/>
      </c>
    </row>
    <row r="923" customFormat="false" ht="15" hidden="false" customHeight="false" outlineLevel="0" collapsed="false">
      <c r="A923" s="0" t="str">
        <f aca="false">IF(I923="","",IF(J923=0,"Sparte "&amp;I923&amp;": "&amp;INDEX(Eingabe!$B$9:$B$18,I923)&amp;"  (Sparten-ID "&amp;INDEX(Eingabe!$D$9:$D$18,I923)&amp;", "&amp;K923&amp;" Parzellen)",IF(J923&lt;=K923,"   Parzelle "&amp;J923,IF(J923=K923+1,"   Vorstand",IF(J923=K923+2,"   Gäste",IF(J923=K923+3,"   Technik (Switches, Access Points)",""))))))</f>
        <v/>
      </c>
      <c r="B923" s="0" t="str">
        <f aca="false">IF(I923="","",IF(AND(J923&gt;=1,J923&lt;=K923+3),IF(J923&lt;=K923,IF(J923&lt;=99,IF((INDEX(Eingabe!$G$9:$G$18,I923))&lt;=9,1000+(INDEX(Eingabe!$G$9:$G$18,I923))*100,3000)+J923,IF((INDEX(Eingabe!$G$9:$G$18,I923)+1)&lt;=9,1000+(INDEX(Eingabe!$G$9:$G$18,I923)+1)*100,3000)+J923-100),IF(J923=K923+1,2000+INDEX(Eingabe!$G$9:$G$18,I923)*10+1,IF(J923=K923+2,2000+INDEX(Eingabe!$G$9:$G$18,I923)*10+2,2000+INDEX(Eingabe!$G$9:$G$18,I923)*10+9))),""))</f>
        <v/>
      </c>
      <c r="C923" s="0" t="str">
        <f aca="false">IF(I923="","",IF(AND(J923&gt;=1,J923&lt;=K923+3),"10."&amp;INDEX(Eingabe!$D$9:$D$18,I923)&amp;"."&amp;IF(J923&lt;=K923,J923,IF(J923=K923+1,200,IF(J923=K923+2,201,250)))&amp;".0/24",""))</f>
        <v/>
      </c>
      <c r="D923" s="0" t="str">
        <f aca="false">IF(I923="","",IF(AND(J923&gt;=1,J923&lt;=K923+3),"255.255.255.0",""))</f>
        <v/>
      </c>
      <c r="E923" s="0" t="str">
        <f aca="false">IF(I923="","",IF(AND(J923&gt;=1,J923&lt;=K923+3),"10."&amp;INDEX(Eingabe!$D$9:$D$18,I923)&amp;"."&amp;IF(J923&lt;=K923,J923,IF(J923=K923+1,200,IF(J923=K923+2,201,250)))&amp;".1",""))</f>
        <v/>
      </c>
      <c r="F923" s="0" t="str">
        <f aca="false">IF(I923="","",IF(AND(J923&gt;=1,J923&lt;=K923+3),"10."&amp;INDEX(Eingabe!$D$9:$D$18,I923)&amp;"."&amp;IF(J923&lt;=K923,J923,IF(J923=K923+1,200,IF(J923=K923+2,201,250)))&amp;".10 – 10."&amp;INDEX(Eingabe!$D$9:$D$18,I923)&amp;"."&amp;IF(J923&lt;=K923,J923,IF(J923=K923+1,200,IF(J923=K923+2,201,250)))&amp;".250",""))</f>
        <v/>
      </c>
      <c r="G923" s="0" t="str">
        <f aca="false">IF(I923="","",IF(AND(J923&gt;=1,J923&lt;=K923),Eingabe!$B$6&amp;"-"&amp;INDEX(Eingabe!$C$9:$C$18,I923)&amp;"-Pächter  ·  Passwort Parzelle "&amp;J923,IF(J923=K923+1,Eingabe!$B$6&amp;"-"&amp;INDEX(Eingabe!$C$9:$C$18,I923)&amp;"-Vorstand  ·  eigenes WLAN",IF(J923=K923+2,Eingabe!$B$6&amp;"-"&amp;INDEX(Eingabe!$C$9:$C$18,I923)&amp;"-Gäste  ·  Voucher",IF(J923=K923+3,"Kabel  ·  Access Point y = .(50+y), Mast-Switch x = .(10+x)","")))))</f>
        <v/>
      </c>
      <c r="I923" s="0" t="str">
        <f aca="false">IF(918&lt;=(Eingabe!$P$18+Eingabe!$Q$18-1),MATCH(918,Eingabe!$P$9:$P$18,1),"")</f>
        <v/>
      </c>
      <c r="J923" s="0" t="str">
        <f aca="false">IF(I923="","",918-INDEX(Eingabe!$P$9:$P$18,I923))</f>
        <v/>
      </c>
      <c r="K923" s="0" t="str">
        <f aca="false">IF(I923="","",INDEX(Eingabe!$E$9:$E$18,I923))</f>
        <v/>
      </c>
    </row>
    <row r="924" customFormat="false" ht="15" hidden="false" customHeight="false" outlineLevel="0" collapsed="false">
      <c r="A924" s="0" t="str">
        <f aca="false">IF(I924="","",IF(J924=0,"Sparte "&amp;I924&amp;": "&amp;INDEX(Eingabe!$B$9:$B$18,I924)&amp;"  (Sparten-ID "&amp;INDEX(Eingabe!$D$9:$D$18,I924)&amp;", "&amp;K924&amp;" Parzellen)",IF(J924&lt;=K924,"   Parzelle "&amp;J924,IF(J924=K924+1,"   Vorstand",IF(J924=K924+2,"   Gäste",IF(J924=K924+3,"   Technik (Switches, Access Points)",""))))))</f>
        <v/>
      </c>
      <c r="B924" s="0" t="str">
        <f aca="false">IF(I924="","",IF(AND(J924&gt;=1,J924&lt;=K924+3),IF(J924&lt;=K924,IF(J924&lt;=99,IF((INDEX(Eingabe!$G$9:$G$18,I924))&lt;=9,1000+(INDEX(Eingabe!$G$9:$G$18,I924))*100,3000)+J924,IF((INDEX(Eingabe!$G$9:$G$18,I924)+1)&lt;=9,1000+(INDEX(Eingabe!$G$9:$G$18,I924)+1)*100,3000)+J924-100),IF(J924=K924+1,2000+INDEX(Eingabe!$G$9:$G$18,I924)*10+1,IF(J924=K924+2,2000+INDEX(Eingabe!$G$9:$G$18,I924)*10+2,2000+INDEX(Eingabe!$G$9:$G$18,I924)*10+9))),""))</f>
        <v/>
      </c>
      <c r="C924" s="0" t="str">
        <f aca="false">IF(I924="","",IF(AND(J924&gt;=1,J924&lt;=K924+3),"10."&amp;INDEX(Eingabe!$D$9:$D$18,I924)&amp;"."&amp;IF(J924&lt;=K924,J924,IF(J924=K924+1,200,IF(J924=K924+2,201,250)))&amp;".0/24",""))</f>
        <v/>
      </c>
      <c r="D924" s="0" t="str">
        <f aca="false">IF(I924="","",IF(AND(J924&gt;=1,J924&lt;=K924+3),"255.255.255.0",""))</f>
        <v/>
      </c>
      <c r="E924" s="0" t="str">
        <f aca="false">IF(I924="","",IF(AND(J924&gt;=1,J924&lt;=K924+3),"10."&amp;INDEX(Eingabe!$D$9:$D$18,I924)&amp;"."&amp;IF(J924&lt;=K924,J924,IF(J924=K924+1,200,IF(J924=K924+2,201,250)))&amp;".1",""))</f>
        <v/>
      </c>
      <c r="F924" s="0" t="str">
        <f aca="false">IF(I924="","",IF(AND(J924&gt;=1,J924&lt;=K924+3),"10."&amp;INDEX(Eingabe!$D$9:$D$18,I924)&amp;"."&amp;IF(J924&lt;=K924,J924,IF(J924=K924+1,200,IF(J924=K924+2,201,250)))&amp;".10 – 10."&amp;INDEX(Eingabe!$D$9:$D$18,I924)&amp;"."&amp;IF(J924&lt;=K924,J924,IF(J924=K924+1,200,IF(J924=K924+2,201,250)))&amp;".250",""))</f>
        <v/>
      </c>
      <c r="G924" s="0" t="str">
        <f aca="false">IF(I924="","",IF(AND(J924&gt;=1,J924&lt;=K924),Eingabe!$B$6&amp;"-"&amp;INDEX(Eingabe!$C$9:$C$18,I924)&amp;"-Pächter  ·  Passwort Parzelle "&amp;J924,IF(J924=K924+1,Eingabe!$B$6&amp;"-"&amp;INDEX(Eingabe!$C$9:$C$18,I924)&amp;"-Vorstand  ·  eigenes WLAN",IF(J924=K924+2,Eingabe!$B$6&amp;"-"&amp;INDEX(Eingabe!$C$9:$C$18,I924)&amp;"-Gäste  ·  Voucher",IF(J924=K924+3,"Kabel  ·  Access Point y = .(50+y), Mast-Switch x = .(10+x)","")))))</f>
        <v/>
      </c>
      <c r="I924" s="0" t="str">
        <f aca="false">IF(919&lt;=(Eingabe!$P$18+Eingabe!$Q$18-1),MATCH(919,Eingabe!$P$9:$P$18,1),"")</f>
        <v/>
      </c>
      <c r="J924" s="0" t="str">
        <f aca="false">IF(I924="","",919-INDEX(Eingabe!$P$9:$P$18,I924))</f>
        <v/>
      </c>
      <c r="K924" s="0" t="str">
        <f aca="false">IF(I924="","",INDEX(Eingabe!$E$9:$E$18,I924))</f>
        <v/>
      </c>
    </row>
    <row r="925" customFormat="false" ht="15" hidden="false" customHeight="false" outlineLevel="0" collapsed="false">
      <c r="A925" s="0" t="str">
        <f aca="false">IF(I925="","",IF(J925=0,"Sparte "&amp;I925&amp;": "&amp;INDEX(Eingabe!$B$9:$B$18,I925)&amp;"  (Sparten-ID "&amp;INDEX(Eingabe!$D$9:$D$18,I925)&amp;", "&amp;K925&amp;" Parzellen)",IF(J925&lt;=K925,"   Parzelle "&amp;J925,IF(J925=K925+1,"   Vorstand",IF(J925=K925+2,"   Gäste",IF(J925=K925+3,"   Technik (Switches, Access Points)",""))))))</f>
        <v/>
      </c>
      <c r="B925" s="0" t="str">
        <f aca="false">IF(I925="","",IF(AND(J925&gt;=1,J925&lt;=K925+3),IF(J925&lt;=K925,IF(J925&lt;=99,IF((INDEX(Eingabe!$G$9:$G$18,I925))&lt;=9,1000+(INDEX(Eingabe!$G$9:$G$18,I925))*100,3000)+J925,IF((INDEX(Eingabe!$G$9:$G$18,I925)+1)&lt;=9,1000+(INDEX(Eingabe!$G$9:$G$18,I925)+1)*100,3000)+J925-100),IF(J925=K925+1,2000+INDEX(Eingabe!$G$9:$G$18,I925)*10+1,IF(J925=K925+2,2000+INDEX(Eingabe!$G$9:$G$18,I925)*10+2,2000+INDEX(Eingabe!$G$9:$G$18,I925)*10+9))),""))</f>
        <v/>
      </c>
      <c r="C925" s="0" t="str">
        <f aca="false">IF(I925="","",IF(AND(J925&gt;=1,J925&lt;=K925+3),"10."&amp;INDEX(Eingabe!$D$9:$D$18,I925)&amp;"."&amp;IF(J925&lt;=K925,J925,IF(J925=K925+1,200,IF(J925=K925+2,201,250)))&amp;".0/24",""))</f>
        <v/>
      </c>
      <c r="D925" s="0" t="str">
        <f aca="false">IF(I925="","",IF(AND(J925&gt;=1,J925&lt;=K925+3),"255.255.255.0",""))</f>
        <v/>
      </c>
      <c r="E925" s="0" t="str">
        <f aca="false">IF(I925="","",IF(AND(J925&gt;=1,J925&lt;=K925+3),"10."&amp;INDEX(Eingabe!$D$9:$D$18,I925)&amp;"."&amp;IF(J925&lt;=K925,J925,IF(J925=K925+1,200,IF(J925=K925+2,201,250)))&amp;".1",""))</f>
        <v/>
      </c>
      <c r="F925" s="0" t="str">
        <f aca="false">IF(I925="","",IF(AND(J925&gt;=1,J925&lt;=K925+3),"10."&amp;INDEX(Eingabe!$D$9:$D$18,I925)&amp;"."&amp;IF(J925&lt;=K925,J925,IF(J925=K925+1,200,IF(J925=K925+2,201,250)))&amp;".10 – 10."&amp;INDEX(Eingabe!$D$9:$D$18,I925)&amp;"."&amp;IF(J925&lt;=K925,J925,IF(J925=K925+1,200,IF(J925=K925+2,201,250)))&amp;".250",""))</f>
        <v/>
      </c>
      <c r="G925" s="0" t="str">
        <f aca="false">IF(I925="","",IF(AND(J925&gt;=1,J925&lt;=K925),Eingabe!$B$6&amp;"-"&amp;INDEX(Eingabe!$C$9:$C$18,I925)&amp;"-Pächter  ·  Passwort Parzelle "&amp;J925,IF(J925=K925+1,Eingabe!$B$6&amp;"-"&amp;INDEX(Eingabe!$C$9:$C$18,I925)&amp;"-Vorstand  ·  eigenes WLAN",IF(J925=K925+2,Eingabe!$B$6&amp;"-"&amp;INDEX(Eingabe!$C$9:$C$18,I925)&amp;"-Gäste  ·  Voucher",IF(J925=K925+3,"Kabel  ·  Access Point y = .(50+y), Mast-Switch x = .(10+x)","")))))</f>
        <v/>
      </c>
      <c r="I925" s="0" t="str">
        <f aca="false">IF(920&lt;=(Eingabe!$P$18+Eingabe!$Q$18-1),MATCH(920,Eingabe!$P$9:$P$18,1),"")</f>
        <v/>
      </c>
      <c r="J925" s="0" t="str">
        <f aca="false">IF(I925="","",920-INDEX(Eingabe!$P$9:$P$18,I925))</f>
        <v/>
      </c>
      <c r="K925" s="0" t="str">
        <f aca="false">IF(I925="","",INDEX(Eingabe!$E$9:$E$18,I925))</f>
        <v/>
      </c>
    </row>
    <row r="926" customFormat="false" ht="15" hidden="false" customHeight="false" outlineLevel="0" collapsed="false">
      <c r="A926" s="0" t="str">
        <f aca="false">IF(I926="","",IF(J926=0,"Sparte "&amp;I926&amp;": "&amp;INDEX(Eingabe!$B$9:$B$18,I926)&amp;"  (Sparten-ID "&amp;INDEX(Eingabe!$D$9:$D$18,I926)&amp;", "&amp;K926&amp;" Parzellen)",IF(J926&lt;=K926,"   Parzelle "&amp;J926,IF(J926=K926+1,"   Vorstand",IF(J926=K926+2,"   Gäste",IF(J926=K926+3,"   Technik (Switches, Access Points)",""))))))</f>
        <v/>
      </c>
      <c r="B926" s="0" t="str">
        <f aca="false">IF(I926="","",IF(AND(J926&gt;=1,J926&lt;=K926+3),IF(J926&lt;=K926,IF(J926&lt;=99,IF((INDEX(Eingabe!$G$9:$G$18,I926))&lt;=9,1000+(INDEX(Eingabe!$G$9:$G$18,I926))*100,3000)+J926,IF((INDEX(Eingabe!$G$9:$G$18,I926)+1)&lt;=9,1000+(INDEX(Eingabe!$G$9:$G$18,I926)+1)*100,3000)+J926-100),IF(J926=K926+1,2000+INDEX(Eingabe!$G$9:$G$18,I926)*10+1,IF(J926=K926+2,2000+INDEX(Eingabe!$G$9:$G$18,I926)*10+2,2000+INDEX(Eingabe!$G$9:$G$18,I926)*10+9))),""))</f>
        <v/>
      </c>
      <c r="C926" s="0" t="str">
        <f aca="false">IF(I926="","",IF(AND(J926&gt;=1,J926&lt;=K926+3),"10."&amp;INDEX(Eingabe!$D$9:$D$18,I926)&amp;"."&amp;IF(J926&lt;=K926,J926,IF(J926=K926+1,200,IF(J926=K926+2,201,250)))&amp;".0/24",""))</f>
        <v/>
      </c>
      <c r="D926" s="0" t="str">
        <f aca="false">IF(I926="","",IF(AND(J926&gt;=1,J926&lt;=K926+3),"255.255.255.0",""))</f>
        <v/>
      </c>
      <c r="E926" s="0" t="str">
        <f aca="false">IF(I926="","",IF(AND(J926&gt;=1,J926&lt;=K926+3),"10."&amp;INDEX(Eingabe!$D$9:$D$18,I926)&amp;"."&amp;IF(J926&lt;=K926,J926,IF(J926=K926+1,200,IF(J926=K926+2,201,250)))&amp;".1",""))</f>
        <v/>
      </c>
      <c r="F926" s="0" t="str">
        <f aca="false">IF(I926="","",IF(AND(J926&gt;=1,J926&lt;=K926+3),"10."&amp;INDEX(Eingabe!$D$9:$D$18,I926)&amp;"."&amp;IF(J926&lt;=K926,J926,IF(J926=K926+1,200,IF(J926=K926+2,201,250)))&amp;".10 – 10."&amp;INDEX(Eingabe!$D$9:$D$18,I926)&amp;"."&amp;IF(J926&lt;=K926,J926,IF(J926=K926+1,200,IF(J926=K926+2,201,250)))&amp;".250",""))</f>
        <v/>
      </c>
      <c r="G926" s="0" t="str">
        <f aca="false">IF(I926="","",IF(AND(J926&gt;=1,J926&lt;=K926),Eingabe!$B$6&amp;"-"&amp;INDEX(Eingabe!$C$9:$C$18,I926)&amp;"-Pächter  ·  Passwort Parzelle "&amp;J926,IF(J926=K926+1,Eingabe!$B$6&amp;"-"&amp;INDEX(Eingabe!$C$9:$C$18,I926)&amp;"-Vorstand  ·  eigenes WLAN",IF(J926=K926+2,Eingabe!$B$6&amp;"-"&amp;INDEX(Eingabe!$C$9:$C$18,I926)&amp;"-Gäste  ·  Voucher",IF(J926=K926+3,"Kabel  ·  Access Point y = .(50+y), Mast-Switch x = .(10+x)","")))))</f>
        <v/>
      </c>
      <c r="I926" s="0" t="str">
        <f aca="false">IF(921&lt;=(Eingabe!$P$18+Eingabe!$Q$18-1),MATCH(921,Eingabe!$P$9:$P$18,1),"")</f>
        <v/>
      </c>
      <c r="J926" s="0" t="str">
        <f aca="false">IF(I926="","",921-INDEX(Eingabe!$P$9:$P$18,I926))</f>
        <v/>
      </c>
      <c r="K926" s="0" t="str">
        <f aca="false">IF(I926="","",INDEX(Eingabe!$E$9:$E$18,I926))</f>
        <v/>
      </c>
    </row>
    <row r="927" customFormat="false" ht="15" hidden="false" customHeight="false" outlineLevel="0" collapsed="false">
      <c r="A927" s="0" t="str">
        <f aca="false">IF(I927="","",IF(J927=0,"Sparte "&amp;I927&amp;": "&amp;INDEX(Eingabe!$B$9:$B$18,I927)&amp;"  (Sparten-ID "&amp;INDEX(Eingabe!$D$9:$D$18,I927)&amp;", "&amp;K927&amp;" Parzellen)",IF(J927&lt;=K927,"   Parzelle "&amp;J927,IF(J927=K927+1,"   Vorstand",IF(J927=K927+2,"   Gäste",IF(J927=K927+3,"   Technik (Switches, Access Points)",""))))))</f>
        <v/>
      </c>
      <c r="B927" s="0" t="str">
        <f aca="false">IF(I927="","",IF(AND(J927&gt;=1,J927&lt;=K927+3),IF(J927&lt;=K927,IF(J927&lt;=99,IF((INDEX(Eingabe!$G$9:$G$18,I927))&lt;=9,1000+(INDEX(Eingabe!$G$9:$G$18,I927))*100,3000)+J927,IF((INDEX(Eingabe!$G$9:$G$18,I927)+1)&lt;=9,1000+(INDEX(Eingabe!$G$9:$G$18,I927)+1)*100,3000)+J927-100),IF(J927=K927+1,2000+INDEX(Eingabe!$G$9:$G$18,I927)*10+1,IF(J927=K927+2,2000+INDEX(Eingabe!$G$9:$G$18,I927)*10+2,2000+INDEX(Eingabe!$G$9:$G$18,I927)*10+9))),""))</f>
        <v/>
      </c>
      <c r="C927" s="0" t="str">
        <f aca="false">IF(I927="","",IF(AND(J927&gt;=1,J927&lt;=K927+3),"10."&amp;INDEX(Eingabe!$D$9:$D$18,I927)&amp;"."&amp;IF(J927&lt;=K927,J927,IF(J927=K927+1,200,IF(J927=K927+2,201,250)))&amp;".0/24",""))</f>
        <v/>
      </c>
      <c r="D927" s="0" t="str">
        <f aca="false">IF(I927="","",IF(AND(J927&gt;=1,J927&lt;=K927+3),"255.255.255.0",""))</f>
        <v/>
      </c>
      <c r="E927" s="0" t="str">
        <f aca="false">IF(I927="","",IF(AND(J927&gt;=1,J927&lt;=K927+3),"10."&amp;INDEX(Eingabe!$D$9:$D$18,I927)&amp;"."&amp;IF(J927&lt;=K927,J927,IF(J927=K927+1,200,IF(J927=K927+2,201,250)))&amp;".1",""))</f>
        <v/>
      </c>
      <c r="F927" s="0" t="str">
        <f aca="false">IF(I927="","",IF(AND(J927&gt;=1,J927&lt;=K927+3),"10."&amp;INDEX(Eingabe!$D$9:$D$18,I927)&amp;"."&amp;IF(J927&lt;=K927,J927,IF(J927=K927+1,200,IF(J927=K927+2,201,250)))&amp;".10 – 10."&amp;INDEX(Eingabe!$D$9:$D$18,I927)&amp;"."&amp;IF(J927&lt;=K927,J927,IF(J927=K927+1,200,IF(J927=K927+2,201,250)))&amp;".250",""))</f>
        <v/>
      </c>
      <c r="G927" s="0" t="str">
        <f aca="false">IF(I927="","",IF(AND(J927&gt;=1,J927&lt;=K927),Eingabe!$B$6&amp;"-"&amp;INDEX(Eingabe!$C$9:$C$18,I927)&amp;"-Pächter  ·  Passwort Parzelle "&amp;J927,IF(J927=K927+1,Eingabe!$B$6&amp;"-"&amp;INDEX(Eingabe!$C$9:$C$18,I927)&amp;"-Vorstand  ·  eigenes WLAN",IF(J927=K927+2,Eingabe!$B$6&amp;"-"&amp;INDEX(Eingabe!$C$9:$C$18,I927)&amp;"-Gäste  ·  Voucher",IF(J927=K927+3,"Kabel  ·  Access Point y = .(50+y), Mast-Switch x = .(10+x)","")))))</f>
        <v/>
      </c>
      <c r="I927" s="0" t="str">
        <f aca="false">IF(922&lt;=(Eingabe!$P$18+Eingabe!$Q$18-1),MATCH(922,Eingabe!$P$9:$P$18,1),"")</f>
        <v/>
      </c>
      <c r="J927" s="0" t="str">
        <f aca="false">IF(I927="","",922-INDEX(Eingabe!$P$9:$P$18,I927))</f>
        <v/>
      </c>
      <c r="K927" s="0" t="str">
        <f aca="false">IF(I927="","",INDEX(Eingabe!$E$9:$E$18,I927))</f>
        <v/>
      </c>
    </row>
    <row r="928" customFormat="false" ht="15" hidden="false" customHeight="false" outlineLevel="0" collapsed="false">
      <c r="A928" s="0" t="str">
        <f aca="false">IF(I928="","",IF(J928=0,"Sparte "&amp;I928&amp;": "&amp;INDEX(Eingabe!$B$9:$B$18,I928)&amp;"  (Sparten-ID "&amp;INDEX(Eingabe!$D$9:$D$18,I928)&amp;", "&amp;K928&amp;" Parzellen)",IF(J928&lt;=K928,"   Parzelle "&amp;J928,IF(J928=K928+1,"   Vorstand",IF(J928=K928+2,"   Gäste",IF(J928=K928+3,"   Technik (Switches, Access Points)",""))))))</f>
        <v/>
      </c>
      <c r="B928" s="0" t="str">
        <f aca="false">IF(I928="","",IF(AND(J928&gt;=1,J928&lt;=K928+3),IF(J928&lt;=K928,IF(J928&lt;=99,IF((INDEX(Eingabe!$G$9:$G$18,I928))&lt;=9,1000+(INDEX(Eingabe!$G$9:$G$18,I928))*100,3000)+J928,IF((INDEX(Eingabe!$G$9:$G$18,I928)+1)&lt;=9,1000+(INDEX(Eingabe!$G$9:$G$18,I928)+1)*100,3000)+J928-100),IF(J928=K928+1,2000+INDEX(Eingabe!$G$9:$G$18,I928)*10+1,IF(J928=K928+2,2000+INDEX(Eingabe!$G$9:$G$18,I928)*10+2,2000+INDEX(Eingabe!$G$9:$G$18,I928)*10+9))),""))</f>
        <v/>
      </c>
      <c r="C928" s="0" t="str">
        <f aca="false">IF(I928="","",IF(AND(J928&gt;=1,J928&lt;=K928+3),"10."&amp;INDEX(Eingabe!$D$9:$D$18,I928)&amp;"."&amp;IF(J928&lt;=K928,J928,IF(J928=K928+1,200,IF(J928=K928+2,201,250)))&amp;".0/24",""))</f>
        <v/>
      </c>
      <c r="D928" s="0" t="str">
        <f aca="false">IF(I928="","",IF(AND(J928&gt;=1,J928&lt;=K928+3),"255.255.255.0",""))</f>
        <v/>
      </c>
      <c r="E928" s="0" t="str">
        <f aca="false">IF(I928="","",IF(AND(J928&gt;=1,J928&lt;=K928+3),"10."&amp;INDEX(Eingabe!$D$9:$D$18,I928)&amp;"."&amp;IF(J928&lt;=K928,J928,IF(J928=K928+1,200,IF(J928=K928+2,201,250)))&amp;".1",""))</f>
        <v/>
      </c>
      <c r="F928" s="0" t="str">
        <f aca="false">IF(I928="","",IF(AND(J928&gt;=1,J928&lt;=K928+3),"10."&amp;INDEX(Eingabe!$D$9:$D$18,I928)&amp;"."&amp;IF(J928&lt;=K928,J928,IF(J928=K928+1,200,IF(J928=K928+2,201,250)))&amp;".10 – 10."&amp;INDEX(Eingabe!$D$9:$D$18,I928)&amp;"."&amp;IF(J928&lt;=K928,J928,IF(J928=K928+1,200,IF(J928=K928+2,201,250)))&amp;".250",""))</f>
        <v/>
      </c>
      <c r="G928" s="0" t="str">
        <f aca="false">IF(I928="","",IF(AND(J928&gt;=1,J928&lt;=K928),Eingabe!$B$6&amp;"-"&amp;INDEX(Eingabe!$C$9:$C$18,I928)&amp;"-Pächter  ·  Passwort Parzelle "&amp;J928,IF(J928=K928+1,Eingabe!$B$6&amp;"-"&amp;INDEX(Eingabe!$C$9:$C$18,I928)&amp;"-Vorstand  ·  eigenes WLAN",IF(J928=K928+2,Eingabe!$B$6&amp;"-"&amp;INDEX(Eingabe!$C$9:$C$18,I928)&amp;"-Gäste  ·  Voucher",IF(J928=K928+3,"Kabel  ·  Access Point y = .(50+y), Mast-Switch x = .(10+x)","")))))</f>
        <v/>
      </c>
      <c r="I928" s="0" t="str">
        <f aca="false">IF(923&lt;=(Eingabe!$P$18+Eingabe!$Q$18-1),MATCH(923,Eingabe!$P$9:$P$18,1),"")</f>
        <v/>
      </c>
      <c r="J928" s="0" t="str">
        <f aca="false">IF(I928="","",923-INDEX(Eingabe!$P$9:$P$18,I928))</f>
        <v/>
      </c>
      <c r="K928" s="0" t="str">
        <f aca="false">IF(I928="","",INDEX(Eingabe!$E$9:$E$18,I928))</f>
        <v/>
      </c>
    </row>
    <row r="929" customFormat="false" ht="15" hidden="false" customHeight="false" outlineLevel="0" collapsed="false">
      <c r="A929" s="0" t="str">
        <f aca="false">IF(I929="","",IF(J929=0,"Sparte "&amp;I929&amp;": "&amp;INDEX(Eingabe!$B$9:$B$18,I929)&amp;"  (Sparten-ID "&amp;INDEX(Eingabe!$D$9:$D$18,I929)&amp;", "&amp;K929&amp;" Parzellen)",IF(J929&lt;=K929,"   Parzelle "&amp;J929,IF(J929=K929+1,"   Vorstand",IF(J929=K929+2,"   Gäste",IF(J929=K929+3,"   Technik (Switches, Access Points)",""))))))</f>
        <v/>
      </c>
      <c r="B929" s="0" t="str">
        <f aca="false">IF(I929="","",IF(AND(J929&gt;=1,J929&lt;=K929+3),IF(J929&lt;=K929,IF(J929&lt;=99,IF((INDEX(Eingabe!$G$9:$G$18,I929))&lt;=9,1000+(INDEX(Eingabe!$G$9:$G$18,I929))*100,3000)+J929,IF((INDEX(Eingabe!$G$9:$G$18,I929)+1)&lt;=9,1000+(INDEX(Eingabe!$G$9:$G$18,I929)+1)*100,3000)+J929-100),IF(J929=K929+1,2000+INDEX(Eingabe!$G$9:$G$18,I929)*10+1,IF(J929=K929+2,2000+INDEX(Eingabe!$G$9:$G$18,I929)*10+2,2000+INDEX(Eingabe!$G$9:$G$18,I929)*10+9))),""))</f>
        <v/>
      </c>
      <c r="C929" s="0" t="str">
        <f aca="false">IF(I929="","",IF(AND(J929&gt;=1,J929&lt;=K929+3),"10."&amp;INDEX(Eingabe!$D$9:$D$18,I929)&amp;"."&amp;IF(J929&lt;=K929,J929,IF(J929=K929+1,200,IF(J929=K929+2,201,250)))&amp;".0/24",""))</f>
        <v/>
      </c>
      <c r="D929" s="0" t="str">
        <f aca="false">IF(I929="","",IF(AND(J929&gt;=1,J929&lt;=K929+3),"255.255.255.0",""))</f>
        <v/>
      </c>
      <c r="E929" s="0" t="str">
        <f aca="false">IF(I929="","",IF(AND(J929&gt;=1,J929&lt;=K929+3),"10."&amp;INDEX(Eingabe!$D$9:$D$18,I929)&amp;"."&amp;IF(J929&lt;=K929,J929,IF(J929=K929+1,200,IF(J929=K929+2,201,250)))&amp;".1",""))</f>
        <v/>
      </c>
      <c r="F929" s="0" t="str">
        <f aca="false">IF(I929="","",IF(AND(J929&gt;=1,J929&lt;=K929+3),"10."&amp;INDEX(Eingabe!$D$9:$D$18,I929)&amp;"."&amp;IF(J929&lt;=K929,J929,IF(J929=K929+1,200,IF(J929=K929+2,201,250)))&amp;".10 – 10."&amp;INDEX(Eingabe!$D$9:$D$18,I929)&amp;"."&amp;IF(J929&lt;=K929,J929,IF(J929=K929+1,200,IF(J929=K929+2,201,250)))&amp;".250",""))</f>
        <v/>
      </c>
      <c r="G929" s="0" t="str">
        <f aca="false">IF(I929="","",IF(AND(J929&gt;=1,J929&lt;=K929),Eingabe!$B$6&amp;"-"&amp;INDEX(Eingabe!$C$9:$C$18,I929)&amp;"-Pächter  ·  Passwort Parzelle "&amp;J929,IF(J929=K929+1,Eingabe!$B$6&amp;"-"&amp;INDEX(Eingabe!$C$9:$C$18,I929)&amp;"-Vorstand  ·  eigenes WLAN",IF(J929=K929+2,Eingabe!$B$6&amp;"-"&amp;INDEX(Eingabe!$C$9:$C$18,I929)&amp;"-Gäste  ·  Voucher",IF(J929=K929+3,"Kabel  ·  Access Point y = .(50+y), Mast-Switch x = .(10+x)","")))))</f>
        <v/>
      </c>
      <c r="I929" s="0" t="str">
        <f aca="false">IF(924&lt;=(Eingabe!$P$18+Eingabe!$Q$18-1),MATCH(924,Eingabe!$P$9:$P$18,1),"")</f>
        <v/>
      </c>
      <c r="J929" s="0" t="str">
        <f aca="false">IF(I929="","",924-INDEX(Eingabe!$P$9:$P$18,I929))</f>
        <v/>
      </c>
      <c r="K929" s="0" t="str">
        <f aca="false">IF(I929="","",INDEX(Eingabe!$E$9:$E$18,I929))</f>
        <v/>
      </c>
    </row>
    <row r="930" customFormat="false" ht="15" hidden="false" customHeight="false" outlineLevel="0" collapsed="false">
      <c r="A930" s="0" t="str">
        <f aca="false">IF(I930="","",IF(J930=0,"Sparte "&amp;I930&amp;": "&amp;INDEX(Eingabe!$B$9:$B$18,I930)&amp;"  (Sparten-ID "&amp;INDEX(Eingabe!$D$9:$D$18,I930)&amp;", "&amp;K930&amp;" Parzellen)",IF(J930&lt;=K930,"   Parzelle "&amp;J930,IF(J930=K930+1,"   Vorstand",IF(J930=K930+2,"   Gäste",IF(J930=K930+3,"   Technik (Switches, Access Points)",""))))))</f>
        <v/>
      </c>
      <c r="B930" s="0" t="str">
        <f aca="false">IF(I930="","",IF(AND(J930&gt;=1,J930&lt;=K930+3),IF(J930&lt;=K930,IF(J930&lt;=99,IF((INDEX(Eingabe!$G$9:$G$18,I930))&lt;=9,1000+(INDEX(Eingabe!$G$9:$G$18,I930))*100,3000)+J930,IF((INDEX(Eingabe!$G$9:$G$18,I930)+1)&lt;=9,1000+(INDEX(Eingabe!$G$9:$G$18,I930)+1)*100,3000)+J930-100),IF(J930=K930+1,2000+INDEX(Eingabe!$G$9:$G$18,I930)*10+1,IF(J930=K930+2,2000+INDEX(Eingabe!$G$9:$G$18,I930)*10+2,2000+INDEX(Eingabe!$G$9:$G$18,I930)*10+9))),""))</f>
        <v/>
      </c>
      <c r="C930" s="0" t="str">
        <f aca="false">IF(I930="","",IF(AND(J930&gt;=1,J930&lt;=K930+3),"10."&amp;INDEX(Eingabe!$D$9:$D$18,I930)&amp;"."&amp;IF(J930&lt;=K930,J930,IF(J930=K930+1,200,IF(J930=K930+2,201,250)))&amp;".0/24",""))</f>
        <v/>
      </c>
      <c r="D930" s="0" t="str">
        <f aca="false">IF(I930="","",IF(AND(J930&gt;=1,J930&lt;=K930+3),"255.255.255.0",""))</f>
        <v/>
      </c>
      <c r="E930" s="0" t="str">
        <f aca="false">IF(I930="","",IF(AND(J930&gt;=1,J930&lt;=K930+3),"10."&amp;INDEX(Eingabe!$D$9:$D$18,I930)&amp;"."&amp;IF(J930&lt;=K930,J930,IF(J930=K930+1,200,IF(J930=K930+2,201,250)))&amp;".1",""))</f>
        <v/>
      </c>
      <c r="F930" s="0" t="str">
        <f aca="false">IF(I930="","",IF(AND(J930&gt;=1,J930&lt;=K930+3),"10."&amp;INDEX(Eingabe!$D$9:$D$18,I930)&amp;"."&amp;IF(J930&lt;=K930,J930,IF(J930=K930+1,200,IF(J930=K930+2,201,250)))&amp;".10 – 10."&amp;INDEX(Eingabe!$D$9:$D$18,I930)&amp;"."&amp;IF(J930&lt;=K930,J930,IF(J930=K930+1,200,IF(J930=K930+2,201,250)))&amp;".250",""))</f>
        <v/>
      </c>
      <c r="G930" s="0" t="str">
        <f aca="false">IF(I930="","",IF(AND(J930&gt;=1,J930&lt;=K930),Eingabe!$B$6&amp;"-"&amp;INDEX(Eingabe!$C$9:$C$18,I930)&amp;"-Pächter  ·  Passwort Parzelle "&amp;J930,IF(J930=K930+1,Eingabe!$B$6&amp;"-"&amp;INDEX(Eingabe!$C$9:$C$18,I930)&amp;"-Vorstand  ·  eigenes WLAN",IF(J930=K930+2,Eingabe!$B$6&amp;"-"&amp;INDEX(Eingabe!$C$9:$C$18,I930)&amp;"-Gäste  ·  Voucher",IF(J930=K930+3,"Kabel  ·  Access Point y = .(50+y), Mast-Switch x = .(10+x)","")))))</f>
        <v/>
      </c>
      <c r="I930" s="0" t="str">
        <f aca="false">IF(925&lt;=(Eingabe!$P$18+Eingabe!$Q$18-1),MATCH(925,Eingabe!$P$9:$P$18,1),"")</f>
        <v/>
      </c>
      <c r="J930" s="0" t="str">
        <f aca="false">IF(I930="","",925-INDEX(Eingabe!$P$9:$P$18,I930))</f>
        <v/>
      </c>
      <c r="K930" s="0" t="str">
        <f aca="false">IF(I930="","",INDEX(Eingabe!$E$9:$E$18,I930))</f>
        <v/>
      </c>
    </row>
    <row r="931" customFormat="false" ht="15" hidden="false" customHeight="false" outlineLevel="0" collapsed="false">
      <c r="A931" s="0" t="str">
        <f aca="false">IF(I931="","",IF(J931=0,"Sparte "&amp;I931&amp;": "&amp;INDEX(Eingabe!$B$9:$B$18,I931)&amp;"  (Sparten-ID "&amp;INDEX(Eingabe!$D$9:$D$18,I931)&amp;", "&amp;K931&amp;" Parzellen)",IF(J931&lt;=K931,"   Parzelle "&amp;J931,IF(J931=K931+1,"   Vorstand",IF(J931=K931+2,"   Gäste",IF(J931=K931+3,"   Technik (Switches, Access Points)",""))))))</f>
        <v/>
      </c>
      <c r="B931" s="0" t="str">
        <f aca="false">IF(I931="","",IF(AND(J931&gt;=1,J931&lt;=K931+3),IF(J931&lt;=K931,IF(J931&lt;=99,IF((INDEX(Eingabe!$G$9:$G$18,I931))&lt;=9,1000+(INDEX(Eingabe!$G$9:$G$18,I931))*100,3000)+J931,IF((INDEX(Eingabe!$G$9:$G$18,I931)+1)&lt;=9,1000+(INDEX(Eingabe!$G$9:$G$18,I931)+1)*100,3000)+J931-100),IF(J931=K931+1,2000+INDEX(Eingabe!$G$9:$G$18,I931)*10+1,IF(J931=K931+2,2000+INDEX(Eingabe!$G$9:$G$18,I931)*10+2,2000+INDEX(Eingabe!$G$9:$G$18,I931)*10+9))),""))</f>
        <v/>
      </c>
      <c r="C931" s="0" t="str">
        <f aca="false">IF(I931="","",IF(AND(J931&gt;=1,J931&lt;=K931+3),"10."&amp;INDEX(Eingabe!$D$9:$D$18,I931)&amp;"."&amp;IF(J931&lt;=K931,J931,IF(J931=K931+1,200,IF(J931=K931+2,201,250)))&amp;".0/24",""))</f>
        <v/>
      </c>
      <c r="D931" s="0" t="str">
        <f aca="false">IF(I931="","",IF(AND(J931&gt;=1,J931&lt;=K931+3),"255.255.255.0",""))</f>
        <v/>
      </c>
      <c r="E931" s="0" t="str">
        <f aca="false">IF(I931="","",IF(AND(J931&gt;=1,J931&lt;=K931+3),"10."&amp;INDEX(Eingabe!$D$9:$D$18,I931)&amp;"."&amp;IF(J931&lt;=K931,J931,IF(J931=K931+1,200,IF(J931=K931+2,201,250)))&amp;".1",""))</f>
        <v/>
      </c>
      <c r="F931" s="0" t="str">
        <f aca="false">IF(I931="","",IF(AND(J931&gt;=1,J931&lt;=K931+3),"10."&amp;INDEX(Eingabe!$D$9:$D$18,I931)&amp;"."&amp;IF(J931&lt;=K931,J931,IF(J931=K931+1,200,IF(J931=K931+2,201,250)))&amp;".10 – 10."&amp;INDEX(Eingabe!$D$9:$D$18,I931)&amp;"."&amp;IF(J931&lt;=K931,J931,IF(J931=K931+1,200,IF(J931=K931+2,201,250)))&amp;".250",""))</f>
        <v/>
      </c>
      <c r="G931" s="0" t="str">
        <f aca="false">IF(I931="","",IF(AND(J931&gt;=1,J931&lt;=K931),Eingabe!$B$6&amp;"-"&amp;INDEX(Eingabe!$C$9:$C$18,I931)&amp;"-Pächter  ·  Passwort Parzelle "&amp;J931,IF(J931=K931+1,Eingabe!$B$6&amp;"-"&amp;INDEX(Eingabe!$C$9:$C$18,I931)&amp;"-Vorstand  ·  eigenes WLAN",IF(J931=K931+2,Eingabe!$B$6&amp;"-"&amp;INDEX(Eingabe!$C$9:$C$18,I931)&amp;"-Gäste  ·  Voucher",IF(J931=K931+3,"Kabel  ·  Access Point y = .(50+y), Mast-Switch x = .(10+x)","")))))</f>
        <v/>
      </c>
      <c r="I931" s="0" t="str">
        <f aca="false">IF(926&lt;=(Eingabe!$P$18+Eingabe!$Q$18-1),MATCH(926,Eingabe!$P$9:$P$18,1),"")</f>
        <v/>
      </c>
      <c r="J931" s="0" t="str">
        <f aca="false">IF(I931="","",926-INDEX(Eingabe!$P$9:$P$18,I931))</f>
        <v/>
      </c>
      <c r="K931" s="0" t="str">
        <f aca="false">IF(I931="","",INDEX(Eingabe!$E$9:$E$18,I931))</f>
        <v/>
      </c>
    </row>
    <row r="932" customFormat="false" ht="15" hidden="false" customHeight="false" outlineLevel="0" collapsed="false">
      <c r="A932" s="0" t="str">
        <f aca="false">IF(I932="","",IF(J932=0,"Sparte "&amp;I932&amp;": "&amp;INDEX(Eingabe!$B$9:$B$18,I932)&amp;"  (Sparten-ID "&amp;INDEX(Eingabe!$D$9:$D$18,I932)&amp;", "&amp;K932&amp;" Parzellen)",IF(J932&lt;=K932,"   Parzelle "&amp;J932,IF(J932=K932+1,"   Vorstand",IF(J932=K932+2,"   Gäste",IF(J932=K932+3,"   Technik (Switches, Access Points)",""))))))</f>
        <v/>
      </c>
      <c r="B932" s="0" t="str">
        <f aca="false">IF(I932="","",IF(AND(J932&gt;=1,J932&lt;=K932+3),IF(J932&lt;=K932,IF(J932&lt;=99,IF((INDEX(Eingabe!$G$9:$G$18,I932))&lt;=9,1000+(INDEX(Eingabe!$G$9:$G$18,I932))*100,3000)+J932,IF((INDEX(Eingabe!$G$9:$G$18,I932)+1)&lt;=9,1000+(INDEX(Eingabe!$G$9:$G$18,I932)+1)*100,3000)+J932-100),IF(J932=K932+1,2000+INDEX(Eingabe!$G$9:$G$18,I932)*10+1,IF(J932=K932+2,2000+INDEX(Eingabe!$G$9:$G$18,I932)*10+2,2000+INDEX(Eingabe!$G$9:$G$18,I932)*10+9))),""))</f>
        <v/>
      </c>
      <c r="C932" s="0" t="str">
        <f aca="false">IF(I932="","",IF(AND(J932&gt;=1,J932&lt;=K932+3),"10."&amp;INDEX(Eingabe!$D$9:$D$18,I932)&amp;"."&amp;IF(J932&lt;=K932,J932,IF(J932=K932+1,200,IF(J932=K932+2,201,250)))&amp;".0/24",""))</f>
        <v/>
      </c>
      <c r="D932" s="0" t="str">
        <f aca="false">IF(I932="","",IF(AND(J932&gt;=1,J932&lt;=K932+3),"255.255.255.0",""))</f>
        <v/>
      </c>
      <c r="E932" s="0" t="str">
        <f aca="false">IF(I932="","",IF(AND(J932&gt;=1,J932&lt;=K932+3),"10."&amp;INDEX(Eingabe!$D$9:$D$18,I932)&amp;"."&amp;IF(J932&lt;=K932,J932,IF(J932=K932+1,200,IF(J932=K932+2,201,250)))&amp;".1",""))</f>
        <v/>
      </c>
      <c r="F932" s="0" t="str">
        <f aca="false">IF(I932="","",IF(AND(J932&gt;=1,J932&lt;=K932+3),"10."&amp;INDEX(Eingabe!$D$9:$D$18,I932)&amp;"."&amp;IF(J932&lt;=K932,J932,IF(J932=K932+1,200,IF(J932=K932+2,201,250)))&amp;".10 – 10."&amp;INDEX(Eingabe!$D$9:$D$18,I932)&amp;"."&amp;IF(J932&lt;=K932,J932,IF(J932=K932+1,200,IF(J932=K932+2,201,250)))&amp;".250",""))</f>
        <v/>
      </c>
      <c r="G932" s="0" t="str">
        <f aca="false">IF(I932="","",IF(AND(J932&gt;=1,J932&lt;=K932),Eingabe!$B$6&amp;"-"&amp;INDEX(Eingabe!$C$9:$C$18,I932)&amp;"-Pächter  ·  Passwort Parzelle "&amp;J932,IF(J932=K932+1,Eingabe!$B$6&amp;"-"&amp;INDEX(Eingabe!$C$9:$C$18,I932)&amp;"-Vorstand  ·  eigenes WLAN",IF(J932=K932+2,Eingabe!$B$6&amp;"-"&amp;INDEX(Eingabe!$C$9:$C$18,I932)&amp;"-Gäste  ·  Voucher",IF(J932=K932+3,"Kabel  ·  Access Point y = .(50+y), Mast-Switch x = .(10+x)","")))))</f>
        <v/>
      </c>
      <c r="I932" s="0" t="str">
        <f aca="false">IF(927&lt;=(Eingabe!$P$18+Eingabe!$Q$18-1),MATCH(927,Eingabe!$P$9:$P$18,1),"")</f>
        <v/>
      </c>
      <c r="J932" s="0" t="str">
        <f aca="false">IF(I932="","",927-INDEX(Eingabe!$P$9:$P$18,I932))</f>
        <v/>
      </c>
      <c r="K932" s="0" t="str">
        <f aca="false">IF(I932="","",INDEX(Eingabe!$E$9:$E$18,I932))</f>
        <v/>
      </c>
    </row>
    <row r="933" customFormat="false" ht="15" hidden="false" customHeight="false" outlineLevel="0" collapsed="false">
      <c r="A933" s="0" t="str">
        <f aca="false">IF(I933="","",IF(J933=0,"Sparte "&amp;I933&amp;": "&amp;INDEX(Eingabe!$B$9:$B$18,I933)&amp;"  (Sparten-ID "&amp;INDEX(Eingabe!$D$9:$D$18,I933)&amp;", "&amp;K933&amp;" Parzellen)",IF(J933&lt;=K933,"   Parzelle "&amp;J933,IF(J933=K933+1,"   Vorstand",IF(J933=K933+2,"   Gäste",IF(J933=K933+3,"   Technik (Switches, Access Points)",""))))))</f>
        <v/>
      </c>
      <c r="B933" s="0" t="str">
        <f aca="false">IF(I933="","",IF(AND(J933&gt;=1,J933&lt;=K933+3),IF(J933&lt;=K933,IF(J933&lt;=99,IF((INDEX(Eingabe!$G$9:$G$18,I933))&lt;=9,1000+(INDEX(Eingabe!$G$9:$G$18,I933))*100,3000)+J933,IF((INDEX(Eingabe!$G$9:$G$18,I933)+1)&lt;=9,1000+(INDEX(Eingabe!$G$9:$G$18,I933)+1)*100,3000)+J933-100),IF(J933=K933+1,2000+INDEX(Eingabe!$G$9:$G$18,I933)*10+1,IF(J933=K933+2,2000+INDEX(Eingabe!$G$9:$G$18,I933)*10+2,2000+INDEX(Eingabe!$G$9:$G$18,I933)*10+9))),""))</f>
        <v/>
      </c>
      <c r="C933" s="0" t="str">
        <f aca="false">IF(I933="","",IF(AND(J933&gt;=1,J933&lt;=K933+3),"10."&amp;INDEX(Eingabe!$D$9:$D$18,I933)&amp;"."&amp;IF(J933&lt;=K933,J933,IF(J933=K933+1,200,IF(J933=K933+2,201,250)))&amp;".0/24",""))</f>
        <v/>
      </c>
      <c r="D933" s="0" t="str">
        <f aca="false">IF(I933="","",IF(AND(J933&gt;=1,J933&lt;=K933+3),"255.255.255.0",""))</f>
        <v/>
      </c>
      <c r="E933" s="0" t="str">
        <f aca="false">IF(I933="","",IF(AND(J933&gt;=1,J933&lt;=K933+3),"10."&amp;INDEX(Eingabe!$D$9:$D$18,I933)&amp;"."&amp;IF(J933&lt;=K933,J933,IF(J933=K933+1,200,IF(J933=K933+2,201,250)))&amp;".1",""))</f>
        <v/>
      </c>
      <c r="F933" s="0" t="str">
        <f aca="false">IF(I933="","",IF(AND(J933&gt;=1,J933&lt;=K933+3),"10."&amp;INDEX(Eingabe!$D$9:$D$18,I933)&amp;"."&amp;IF(J933&lt;=K933,J933,IF(J933=K933+1,200,IF(J933=K933+2,201,250)))&amp;".10 – 10."&amp;INDEX(Eingabe!$D$9:$D$18,I933)&amp;"."&amp;IF(J933&lt;=K933,J933,IF(J933=K933+1,200,IF(J933=K933+2,201,250)))&amp;".250",""))</f>
        <v/>
      </c>
      <c r="G933" s="0" t="str">
        <f aca="false">IF(I933="","",IF(AND(J933&gt;=1,J933&lt;=K933),Eingabe!$B$6&amp;"-"&amp;INDEX(Eingabe!$C$9:$C$18,I933)&amp;"-Pächter  ·  Passwort Parzelle "&amp;J933,IF(J933=K933+1,Eingabe!$B$6&amp;"-"&amp;INDEX(Eingabe!$C$9:$C$18,I933)&amp;"-Vorstand  ·  eigenes WLAN",IF(J933=K933+2,Eingabe!$B$6&amp;"-"&amp;INDEX(Eingabe!$C$9:$C$18,I933)&amp;"-Gäste  ·  Voucher",IF(J933=K933+3,"Kabel  ·  Access Point y = .(50+y), Mast-Switch x = .(10+x)","")))))</f>
        <v/>
      </c>
      <c r="I933" s="0" t="str">
        <f aca="false">IF(928&lt;=(Eingabe!$P$18+Eingabe!$Q$18-1),MATCH(928,Eingabe!$P$9:$P$18,1),"")</f>
        <v/>
      </c>
      <c r="J933" s="0" t="str">
        <f aca="false">IF(I933="","",928-INDEX(Eingabe!$P$9:$P$18,I933))</f>
        <v/>
      </c>
      <c r="K933" s="0" t="str">
        <f aca="false">IF(I933="","",INDEX(Eingabe!$E$9:$E$18,I933))</f>
        <v/>
      </c>
    </row>
    <row r="934" customFormat="false" ht="15" hidden="false" customHeight="false" outlineLevel="0" collapsed="false">
      <c r="A934" s="0" t="str">
        <f aca="false">IF(I934="","",IF(J934=0,"Sparte "&amp;I934&amp;": "&amp;INDEX(Eingabe!$B$9:$B$18,I934)&amp;"  (Sparten-ID "&amp;INDEX(Eingabe!$D$9:$D$18,I934)&amp;", "&amp;K934&amp;" Parzellen)",IF(J934&lt;=K934,"   Parzelle "&amp;J934,IF(J934=K934+1,"   Vorstand",IF(J934=K934+2,"   Gäste",IF(J934=K934+3,"   Technik (Switches, Access Points)",""))))))</f>
        <v/>
      </c>
      <c r="B934" s="0" t="str">
        <f aca="false">IF(I934="","",IF(AND(J934&gt;=1,J934&lt;=K934+3),IF(J934&lt;=K934,IF(J934&lt;=99,IF((INDEX(Eingabe!$G$9:$G$18,I934))&lt;=9,1000+(INDEX(Eingabe!$G$9:$G$18,I934))*100,3000)+J934,IF((INDEX(Eingabe!$G$9:$G$18,I934)+1)&lt;=9,1000+(INDEX(Eingabe!$G$9:$G$18,I934)+1)*100,3000)+J934-100),IF(J934=K934+1,2000+INDEX(Eingabe!$G$9:$G$18,I934)*10+1,IF(J934=K934+2,2000+INDEX(Eingabe!$G$9:$G$18,I934)*10+2,2000+INDEX(Eingabe!$G$9:$G$18,I934)*10+9))),""))</f>
        <v/>
      </c>
      <c r="C934" s="0" t="str">
        <f aca="false">IF(I934="","",IF(AND(J934&gt;=1,J934&lt;=K934+3),"10."&amp;INDEX(Eingabe!$D$9:$D$18,I934)&amp;"."&amp;IF(J934&lt;=K934,J934,IF(J934=K934+1,200,IF(J934=K934+2,201,250)))&amp;".0/24",""))</f>
        <v/>
      </c>
      <c r="D934" s="0" t="str">
        <f aca="false">IF(I934="","",IF(AND(J934&gt;=1,J934&lt;=K934+3),"255.255.255.0",""))</f>
        <v/>
      </c>
      <c r="E934" s="0" t="str">
        <f aca="false">IF(I934="","",IF(AND(J934&gt;=1,J934&lt;=K934+3),"10."&amp;INDEX(Eingabe!$D$9:$D$18,I934)&amp;"."&amp;IF(J934&lt;=K934,J934,IF(J934=K934+1,200,IF(J934=K934+2,201,250)))&amp;".1",""))</f>
        <v/>
      </c>
      <c r="F934" s="0" t="str">
        <f aca="false">IF(I934="","",IF(AND(J934&gt;=1,J934&lt;=K934+3),"10."&amp;INDEX(Eingabe!$D$9:$D$18,I934)&amp;"."&amp;IF(J934&lt;=K934,J934,IF(J934=K934+1,200,IF(J934=K934+2,201,250)))&amp;".10 – 10."&amp;INDEX(Eingabe!$D$9:$D$18,I934)&amp;"."&amp;IF(J934&lt;=K934,J934,IF(J934=K934+1,200,IF(J934=K934+2,201,250)))&amp;".250",""))</f>
        <v/>
      </c>
      <c r="G934" s="0" t="str">
        <f aca="false">IF(I934="","",IF(AND(J934&gt;=1,J934&lt;=K934),Eingabe!$B$6&amp;"-"&amp;INDEX(Eingabe!$C$9:$C$18,I934)&amp;"-Pächter  ·  Passwort Parzelle "&amp;J934,IF(J934=K934+1,Eingabe!$B$6&amp;"-"&amp;INDEX(Eingabe!$C$9:$C$18,I934)&amp;"-Vorstand  ·  eigenes WLAN",IF(J934=K934+2,Eingabe!$B$6&amp;"-"&amp;INDEX(Eingabe!$C$9:$C$18,I934)&amp;"-Gäste  ·  Voucher",IF(J934=K934+3,"Kabel  ·  Access Point y = .(50+y), Mast-Switch x = .(10+x)","")))))</f>
        <v/>
      </c>
      <c r="I934" s="0" t="str">
        <f aca="false">IF(929&lt;=(Eingabe!$P$18+Eingabe!$Q$18-1),MATCH(929,Eingabe!$P$9:$P$18,1),"")</f>
        <v/>
      </c>
      <c r="J934" s="0" t="str">
        <f aca="false">IF(I934="","",929-INDEX(Eingabe!$P$9:$P$18,I934))</f>
        <v/>
      </c>
      <c r="K934" s="0" t="str">
        <f aca="false">IF(I934="","",INDEX(Eingabe!$E$9:$E$18,I934))</f>
        <v/>
      </c>
    </row>
    <row r="935" customFormat="false" ht="15" hidden="false" customHeight="false" outlineLevel="0" collapsed="false">
      <c r="A935" s="0" t="str">
        <f aca="false">IF(I935="","",IF(J935=0,"Sparte "&amp;I935&amp;": "&amp;INDEX(Eingabe!$B$9:$B$18,I935)&amp;"  (Sparten-ID "&amp;INDEX(Eingabe!$D$9:$D$18,I935)&amp;", "&amp;K935&amp;" Parzellen)",IF(J935&lt;=K935,"   Parzelle "&amp;J935,IF(J935=K935+1,"   Vorstand",IF(J935=K935+2,"   Gäste",IF(J935=K935+3,"   Technik (Switches, Access Points)",""))))))</f>
        <v/>
      </c>
      <c r="B935" s="0" t="str">
        <f aca="false">IF(I935="","",IF(AND(J935&gt;=1,J935&lt;=K935+3),IF(J935&lt;=K935,IF(J935&lt;=99,IF((INDEX(Eingabe!$G$9:$G$18,I935))&lt;=9,1000+(INDEX(Eingabe!$G$9:$G$18,I935))*100,3000)+J935,IF((INDEX(Eingabe!$G$9:$G$18,I935)+1)&lt;=9,1000+(INDEX(Eingabe!$G$9:$G$18,I935)+1)*100,3000)+J935-100),IF(J935=K935+1,2000+INDEX(Eingabe!$G$9:$G$18,I935)*10+1,IF(J935=K935+2,2000+INDEX(Eingabe!$G$9:$G$18,I935)*10+2,2000+INDEX(Eingabe!$G$9:$G$18,I935)*10+9))),""))</f>
        <v/>
      </c>
      <c r="C935" s="0" t="str">
        <f aca="false">IF(I935="","",IF(AND(J935&gt;=1,J935&lt;=K935+3),"10."&amp;INDEX(Eingabe!$D$9:$D$18,I935)&amp;"."&amp;IF(J935&lt;=K935,J935,IF(J935=K935+1,200,IF(J935=K935+2,201,250)))&amp;".0/24",""))</f>
        <v/>
      </c>
      <c r="D935" s="0" t="str">
        <f aca="false">IF(I935="","",IF(AND(J935&gt;=1,J935&lt;=K935+3),"255.255.255.0",""))</f>
        <v/>
      </c>
      <c r="E935" s="0" t="str">
        <f aca="false">IF(I935="","",IF(AND(J935&gt;=1,J935&lt;=K935+3),"10."&amp;INDEX(Eingabe!$D$9:$D$18,I935)&amp;"."&amp;IF(J935&lt;=K935,J935,IF(J935=K935+1,200,IF(J935=K935+2,201,250)))&amp;".1",""))</f>
        <v/>
      </c>
      <c r="F935" s="0" t="str">
        <f aca="false">IF(I935="","",IF(AND(J935&gt;=1,J935&lt;=K935+3),"10."&amp;INDEX(Eingabe!$D$9:$D$18,I935)&amp;"."&amp;IF(J935&lt;=K935,J935,IF(J935=K935+1,200,IF(J935=K935+2,201,250)))&amp;".10 – 10."&amp;INDEX(Eingabe!$D$9:$D$18,I935)&amp;"."&amp;IF(J935&lt;=K935,J935,IF(J935=K935+1,200,IF(J935=K935+2,201,250)))&amp;".250",""))</f>
        <v/>
      </c>
      <c r="G935" s="0" t="str">
        <f aca="false">IF(I935="","",IF(AND(J935&gt;=1,J935&lt;=K935),Eingabe!$B$6&amp;"-"&amp;INDEX(Eingabe!$C$9:$C$18,I935)&amp;"-Pächter  ·  Passwort Parzelle "&amp;J935,IF(J935=K935+1,Eingabe!$B$6&amp;"-"&amp;INDEX(Eingabe!$C$9:$C$18,I935)&amp;"-Vorstand  ·  eigenes WLAN",IF(J935=K935+2,Eingabe!$B$6&amp;"-"&amp;INDEX(Eingabe!$C$9:$C$18,I935)&amp;"-Gäste  ·  Voucher",IF(J935=K935+3,"Kabel  ·  Access Point y = .(50+y), Mast-Switch x = .(10+x)","")))))</f>
        <v/>
      </c>
      <c r="I935" s="0" t="str">
        <f aca="false">IF(930&lt;=(Eingabe!$P$18+Eingabe!$Q$18-1),MATCH(930,Eingabe!$P$9:$P$18,1),"")</f>
        <v/>
      </c>
      <c r="J935" s="0" t="str">
        <f aca="false">IF(I935="","",930-INDEX(Eingabe!$P$9:$P$18,I935))</f>
        <v/>
      </c>
      <c r="K935" s="0" t="str">
        <f aca="false">IF(I935="","",INDEX(Eingabe!$E$9:$E$18,I935))</f>
        <v/>
      </c>
    </row>
    <row r="936" customFormat="false" ht="15" hidden="false" customHeight="false" outlineLevel="0" collapsed="false">
      <c r="A936" s="0" t="str">
        <f aca="false">IF(I936="","",IF(J936=0,"Sparte "&amp;I936&amp;": "&amp;INDEX(Eingabe!$B$9:$B$18,I936)&amp;"  (Sparten-ID "&amp;INDEX(Eingabe!$D$9:$D$18,I936)&amp;", "&amp;K936&amp;" Parzellen)",IF(J936&lt;=K936,"   Parzelle "&amp;J936,IF(J936=K936+1,"   Vorstand",IF(J936=K936+2,"   Gäste",IF(J936=K936+3,"   Technik (Switches, Access Points)",""))))))</f>
        <v/>
      </c>
      <c r="B936" s="0" t="str">
        <f aca="false">IF(I936="","",IF(AND(J936&gt;=1,J936&lt;=K936+3),IF(J936&lt;=K936,IF(J936&lt;=99,IF((INDEX(Eingabe!$G$9:$G$18,I936))&lt;=9,1000+(INDEX(Eingabe!$G$9:$G$18,I936))*100,3000)+J936,IF((INDEX(Eingabe!$G$9:$G$18,I936)+1)&lt;=9,1000+(INDEX(Eingabe!$G$9:$G$18,I936)+1)*100,3000)+J936-100),IF(J936=K936+1,2000+INDEX(Eingabe!$G$9:$G$18,I936)*10+1,IF(J936=K936+2,2000+INDEX(Eingabe!$G$9:$G$18,I936)*10+2,2000+INDEX(Eingabe!$G$9:$G$18,I936)*10+9))),""))</f>
        <v/>
      </c>
      <c r="C936" s="0" t="str">
        <f aca="false">IF(I936="","",IF(AND(J936&gt;=1,J936&lt;=K936+3),"10."&amp;INDEX(Eingabe!$D$9:$D$18,I936)&amp;"."&amp;IF(J936&lt;=K936,J936,IF(J936=K936+1,200,IF(J936=K936+2,201,250)))&amp;".0/24",""))</f>
        <v/>
      </c>
      <c r="D936" s="0" t="str">
        <f aca="false">IF(I936="","",IF(AND(J936&gt;=1,J936&lt;=K936+3),"255.255.255.0",""))</f>
        <v/>
      </c>
      <c r="E936" s="0" t="str">
        <f aca="false">IF(I936="","",IF(AND(J936&gt;=1,J936&lt;=K936+3),"10."&amp;INDEX(Eingabe!$D$9:$D$18,I936)&amp;"."&amp;IF(J936&lt;=K936,J936,IF(J936=K936+1,200,IF(J936=K936+2,201,250)))&amp;".1",""))</f>
        <v/>
      </c>
      <c r="F936" s="0" t="str">
        <f aca="false">IF(I936="","",IF(AND(J936&gt;=1,J936&lt;=K936+3),"10."&amp;INDEX(Eingabe!$D$9:$D$18,I936)&amp;"."&amp;IF(J936&lt;=K936,J936,IF(J936=K936+1,200,IF(J936=K936+2,201,250)))&amp;".10 – 10."&amp;INDEX(Eingabe!$D$9:$D$18,I936)&amp;"."&amp;IF(J936&lt;=K936,J936,IF(J936=K936+1,200,IF(J936=K936+2,201,250)))&amp;".250",""))</f>
        <v/>
      </c>
      <c r="G936" s="0" t="str">
        <f aca="false">IF(I936="","",IF(AND(J936&gt;=1,J936&lt;=K936),Eingabe!$B$6&amp;"-"&amp;INDEX(Eingabe!$C$9:$C$18,I936)&amp;"-Pächter  ·  Passwort Parzelle "&amp;J936,IF(J936=K936+1,Eingabe!$B$6&amp;"-"&amp;INDEX(Eingabe!$C$9:$C$18,I936)&amp;"-Vorstand  ·  eigenes WLAN",IF(J936=K936+2,Eingabe!$B$6&amp;"-"&amp;INDEX(Eingabe!$C$9:$C$18,I936)&amp;"-Gäste  ·  Voucher",IF(J936=K936+3,"Kabel  ·  Access Point y = .(50+y), Mast-Switch x = .(10+x)","")))))</f>
        <v/>
      </c>
      <c r="I936" s="0" t="str">
        <f aca="false">IF(931&lt;=(Eingabe!$P$18+Eingabe!$Q$18-1),MATCH(931,Eingabe!$P$9:$P$18,1),"")</f>
        <v/>
      </c>
      <c r="J936" s="0" t="str">
        <f aca="false">IF(I936="","",931-INDEX(Eingabe!$P$9:$P$18,I936))</f>
        <v/>
      </c>
      <c r="K936" s="0" t="str">
        <f aca="false">IF(I936="","",INDEX(Eingabe!$E$9:$E$18,I936))</f>
        <v/>
      </c>
    </row>
    <row r="937" customFormat="false" ht="15" hidden="false" customHeight="false" outlineLevel="0" collapsed="false">
      <c r="A937" s="0" t="str">
        <f aca="false">IF(I937="","",IF(J937=0,"Sparte "&amp;I937&amp;": "&amp;INDEX(Eingabe!$B$9:$B$18,I937)&amp;"  (Sparten-ID "&amp;INDEX(Eingabe!$D$9:$D$18,I937)&amp;", "&amp;K937&amp;" Parzellen)",IF(J937&lt;=K937,"   Parzelle "&amp;J937,IF(J937=K937+1,"   Vorstand",IF(J937=K937+2,"   Gäste",IF(J937=K937+3,"   Technik (Switches, Access Points)",""))))))</f>
        <v/>
      </c>
      <c r="B937" s="0" t="str">
        <f aca="false">IF(I937="","",IF(AND(J937&gt;=1,J937&lt;=K937+3),IF(J937&lt;=K937,IF(J937&lt;=99,IF((INDEX(Eingabe!$G$9:$G$18,I937))&lt;=9,1000+(INDEX(Eingabe!$G$9:$G$18,I937))*100,3000)+J937,IF((INDEX(Eingabe!$G$9:$G$18,I937)+1)&lt;=9,1000+(INDEX(Eingabe!$G$9:$G$18,I937)+1)*100,3000)+J937-100),IF(J937=K937+1,2000+INDEX(Eingabe!$G$9:$G$18,I937)*10+1,IF(J937=K937+2,2000+INDEX(Eingabe!$G$9:$G$18,I937)*10+2,2000+INDEX(Eingabe!$G$9:$G$18,I937)*10+9))),""))</f>
        <v/>
      </c>
      <c r="C937" s="0" t="str">
        <f aca="false">IF(I937="","",IF(AND(J937&gt;=1,J937&lt;=K937+3),"10."&amp;INDEX(Eingabe!$D$9:$D$18,I937)&amp;"."&amp;IF(J937&lt;=K937,J937,IF(J937=K937+1,200,IF(J937=K937+2,201,250)))&amp;".0/24",""))</f>
        <v/>
      </c>
      <c r="D937" s="0" t="str">
        <f aca="false">IF(I937="","",IF(AND(J937&gt;=1,J937&lt;=K937+3),"255.255.255.0",""))</f>
        <v/>
      </c>
      <c r="E937" s="0" t="str">
        <f aca="false">IF(I937="","",IF(AND(J937&gt;=1,J937&lt;=K937+3),"10."&amp;INDEX(Eingabe!$D$9:$D$18,I937)&amp;"."&amp;IF(J937&lt;=K937,J937,IF(J937=K937+1,200,IF(J937=K937+2,201,250)))&amp;".1",""))</f>
        <v/>
      </c>
      <c r="F937" s="0" t="str">
        <f aca="false">IF(I937="","",IF(AND(J937&gt;=1,J937&lt;=K937+3),"10."&amp;INDEX(Eingabe!$D$9:$D$18,I937)&amp;"."&amp;IF(J937&lt;=K937,J937,IF(J937=K937+1,200,IF(J937=K937+2,201,250)))&amp;".10 – 10."&amp;INDEX(Eingabe!$D$9:$D$18,I937)&amp;"."&amp;IF(J937&lt;=K937,J937,IF(J937=K937+1,200,IF(J937=K937+2,201,250)))&amp;".250",""))</f>
        <v/>
      </c>
      <c r="G937" s="0" t="str">
        <f aca="false">IF(I937="","",IF(AND(J937&gt;=1,J937&lt;=K937),Eingabe!$B$6&amp;"-"&amp;INDEX(Eingabe!$C$9:$C$18,I937)&amp;"-Pächter  ·  Passwort Parzelle "&amp;J937,IF(J937=K937+1,Eingabe!$B$6&amp;"-"&amp;INDEX(Eingabe!$C$9:$C$18,I937)&amp;"-Vorstand  ·  eigenes WLAN",IF(J937=K937+2,Eingabe!$B$6&amp;"-"&amp;INDEX(Eingabe!$C$9:$C$18,I937)&amp;"-Gäste  ·  Voucher",IF(J937=K937+3,"Kabel  ·  Access Point y = .(50+y), Mast-Switch x = .(10+x)","")))))</f>
        <v/>
      </c>
      <c r="I937" s="0" t="str">
        <f aca="false">IF(932&lt;=(Eingabe!$P$18+Eingabe!$Q$18-1),MATCH(932,Eingabe!$P$9:$P$18,1),"")</f>
        <v/>
      </c>
      <c r="J937" s="0" t="str">
        <f aca="false">IF(I937="","",932-INDEX(Eingabe!$P$9:$P$18,I937))</f>
        <v/>
      </c>
      <c r="K937" s="0" t="str">
        <f aca="false">IF(I937="","",INDEX(Eingabe!$E$9:$E$18,I937))</f>
        <v/>
      </c>
    </row>
    <row r="938" customFormat="false" ht="15" hidden="false" customHeight="false" outlineLevel="0" collapsed="false">
      <c r="A938" s="0" t="str">
        <f aca="false">IF(I938="","",IF(J938=0,"Sparte "&amp;I938&amp;": "&amp;INDEX(Eingabe!$B$9:$B$18,I938)&amp;"  (Sparten-ID "&amp;INDEX(Eingabe!$D$9:$D$18,I938)&amp;", "&amp;K938&amp;" Parzellen)",IF(J938&lt;=K938,"   Parzelle "&amp;J938,IF(J938=K938+1,"   Vorstand",IF(J938=K938+2,"   Gäste",IF(J938=K938+3,"   Technik (Switches, Access Points)",""))))))</f>
        <v/>
      </c>
      <c r="B938" s="0" t="str">
        <f aca="false">IF(I938="","",IF(AND(J938&gt;=1,J938&lt;=K938+3),IF(J938&lt;=K938,IF(J938&lt;=99,IF((INDEX(Eingabe!$G$9:$G$18,I938))&lt;=9,1000+(INDEX(Eingabe!$G$9:$G$18,I938))*100,3000)+J938,IF((INDEX(Eingabe!$G$9:$G$18,I938)+1)&lt;=9,1000+(INDEX(Eingabe!$G$9:$G$18,I938)+1)*100,3000)+J938-100),IF(J938=K938+1,2000+INDEX(Eingabe!$G$9:$G$18,I938)*10+1,IF(J938=K938+2,2000+INDEX(Eingabe!$G$9:$G$18,I938)*10+2,2000+INDEX(Eingabe!$G$9:$G$18,I938)*10+9))),""))</f>
        <v/>
      </c>
      <c r="C938" s="0" t="str">
        <f aca="false">IF(I938="","",IF(AND(J938&gt;=1,J938&lt;=K938+3),"10."&amp;INDEX(Eingabe!$D$9:$D$18,I938)&amp;"."&amp;IF(J938&lt;=K938,J938,IF(J938=K938+1,200,IF(J938=K938+2,201,250)))&amp;".0/24",""))</f>
        <v/>
      </c>
      <c r="D938" s="0" t="str">
        <f aca="false">IF(I938="","",IF(AND(J938&gt;=1,J938&lt;=K938+3),"255.255.255.0",""))</f>
        <v/>
      </c>
      <c r="E938" s="0" t="str">
        <f aca="false">IF(I938="","",IF(AND(J938&gt;=1,J938&lt;=K938+3),"10."&amp;INDEX(Eingabe!$D$9:$D$18,I938)&amp;"."&amp;IF(J938&lt;=K938,J938,IF(J938=K938+1,200,IF(J938=K938+2,201,250)))&amp;".1",""))</f>
        <v/>
      </c>
      <c r="F938" s="0" t="str">
        <f aca="false">IF(I938="","",IF(AND(J938&gt;=1,J938&lt;=K938+3),"10."&amp;INDEX(Eingabe!$D$9:$D$18,I938)&amp;"."&amp;IF(J938&lt;=K938,J938,IF(J938=K938+1,200,IF(J938=K938+2,201,250)))&amp;".10 – 10."&amp;INDEX(Eingabe!$D$9:$D$18,I938)&amp;"."&amp;IF(J938&lt;=K938,J938,IF(J938=K938+1,200,IF(J938=K938+2,201,250)))&amp;".250",""))</f>
        <v/>
      </c>
      <c r="G938" s="0" t="str">
        <f aca="false">IF(I938="","",IF(AND(J938&gt;=1,J938&lt;=K938),Eingabe!$B$6&amp;"-"&amp;INDEX(Eingabe!$C$9:$C$18,I938)&amp;"-Pächter  ·  Passwort Parzelle "&amp;J938,IF(J938=K938+1,Eingabe!$B$6&amp;"-"&amp;INDEX(Eingabe!$C$9:$C$18,I938)&amp;"-Vorstand  ·  eigenes WLAN",IF(J938=K938+2,Eingabe!$B$6&amp;"-"&amp;INDEX(Eingabe!$C$9:$C$18,I938)&amp;"-Gäste  ·  Voucher",IF(J938=K938+3,"Kabel  ·  Access Point y = .(50+y), Mast-Switch x = .(10+x)","")))))</f>
        <v/>
      </c>
      <c r="I938" s="0" t="str">
        <f aca="false">IF(933&lt;=(Eingabe!$P$18+Eingabe!$Q$18-1),MATCH(933,Eingabe!$P$9:$P$18,1),"")</f>
        <v/>
      </c>
      <c r="J938" s="0" t="str">
        <f aca="false">IF(I938="","",933-INDEX(Eingabe!$P$9:$P$18,I938))</f>
        <v/>
      </c>
      <c r="K938" s="0" t="str">
        <f aca="false">IF(I938="","",INDEX(Eingabe!$E$9:$E$18,I938))</f>
        <v/>
      </c>
    </row>
    <row r="939" customFormat="false" ht="15" hidden="false" customHeight="false" outlineLevel="0" collapsed="false">
      <c r="A939" s="0" t="str">
        <f aca="false">IF(I939="","",IF(J939=0,"Sparte "&amp;I939&amp;": "&amp;INDEX(Eingabe!$B$9:$B$18,I939)&amp;"  (Sparten-ID "&amp;INDEX(Eingabe!$D$9:$D$18,I939)&amp;", "&amp;K939&amp;" Parzellen)",IF(J939&lt;=K939,"   Parzelle "&amp;J939,IF(J939=K939+1,"   Vorstand",IF(J939=K939+2,"   Gäste",IF(J939=K939+3,"   Technik (Switches, Access Points)",""))))))</f>
        <v/>
      </c>
      <c r="B939" s="0" t="str">
        <f aca="false">IF(I939="","",IF(AND(J939&gt;=1,J939&lt;=K939+3),IF(J939&lt;=K939,IF(J939&lt;=99,IF((INDEX(Eingabe!$G$9:$G$18,I939))&lt;=9,1000+(INDEX(Eingabe!$G$9:$G$18,I939))*100,3000)+J939,IF((INDEX(Eingabe!$G$9:$G$18,I939)+1)&lt;=9,1000+(INDEX(Eingabe!$G$9:$G$18,I939)+1)*100,3000)+J939-100),IF(J939=K939+1,2000+INDEX(Eingabe!$G$9:$G$18,I939)*10+1,IF(J939=K939+2,2000+INDEX(Eingabe!$G$9:$G$18,I939)*10+2,2000+INDEX(Eingabe!$G$9:$G$18,I939)*10+9))),""))</f>
        <v/>
      </c>
      <c r="C939" s="0" t="str">
        <f aca="false">IF(I939="","",IF(AND(J939&gt;=1,J939&lt;=K939+3),"10."&amp;INDEX(Eingabe!$D$9:$D$18,I939)&amp;"."&amp;IF(J939&lt;=K939,J939,IF(J939=K939+1,200,IF(J939=K939+2,201,250)))&amp;".0/24",""))</f>
        <v/>
      </c>
      <c r="D939" s="0" t="str">
        <f aca="false">IF(I939="","",IF(AND(J939&gt;=1,J939&lt;=K939+3),"255.255.255.0",""))</f>
        <v/>
      </c>
      <c r="E939" s="0" t="str">
        <f aca="false">IF(I939="","",IF(AND(J939&gt;=1,J939&lt;=K939+3),"10."&amp;INDEX(Eingabe!$D$9:$D$18,I939)&amp;"."&amp;IF(J939&lt;=K939,J939,IF(J939=K939+1,200,IF(J939=K939+2,201,250)))&amp;".1",""))</f>
        <v/>
      </c>
      <c r="F939" s="0" t="str">
        <f aca="false">IF(I939="","",IF(AND(J939&gt;=1,J939&lt;=K939+3),"10."&amp;INDEX(Eingabe!$D$9:$D$18,I939)&amp;"."&amp;IF(J939&lt;=K939,J939,IF(J939=K939+1,200,IF(J939=K939+2,201,250)))&amp;".10 – 10."&amp;INDEX(Eingabe!$D$9:$D$18,I939)&amp;"."&amp;IF(J939&lt;=K939,J939,IF(J939=K939+1,200,IF(J939=K939+2,201,250)))&amp;".250",""))</f>
        <v/>
      </c>
      <c r="G939" s="0" t="str">
        <f aca="false">IF(I939="","",IF(AND(J939&gt;=1,J939&lt;=K939),Eingabe!$B$6&amp;"-"&amp;INDEX(Eingabe!$C$9:$C$18,I939)&amp;"-Pächter  ·  Passwort Parzelle "&amp;J939,IF(J939=K939+1,Eingabe!$B$6&amp;"-"&amp;INDEX(Eingabe!$C$9:$C$18,I939)&amp;"-Vorstand  ·  eigenes WLAN",IF(J939=K939+2,Eingabe!$B$6&amp;"-"&amp;INDEX(Eingabe!$C$9:$C$18,I939)&amp;"-Gäste  ·  Voucher",IF(J939=K939+3,"Kabel  ·  Access Point y = .(50+y), Mast-Switch x = .(10+x)","")))))</f>
        <v/>
      </c>
      <c r="I939" s="0" t="str">
        <f aca="false">IF(934&lt;=(Eingabe!$P$18+Eingabe!$Q$18-1),MATCH(934,Eingabe!$P$9:$P$18,1),"")</f>
        <v/>
      </c>
      <c r="J939" s="0" t="str">
        <f aca="false">IF(I939="","",934-INDEX(Eingabe!$P$9:$P$18,I939))</f>
        <v/>
      </c>
      <c r="K939" s="0" t="str">
        <f aca="false">IF(I939="","",INDEX(Eingabe!$E$9:$E$18,I939))</f>
        <v/>
      </c>
    </row>
    <row r="940" customFormat="false" ht="15" hidden="false" customHeight="false" outlineLevel="0" collapsed="false">
      <c r="A940" s="0" t="str">
        <f aca="false">IF(I940="","",IF(J940=0,"Sparte "&amp;I940&amp;": "&amp;INDEX(Eingabe!$B$9:$B$18,I940)&amp;"  (Sparten-ID "&amp;INDEX(Eingabe!$D$9:$D$18,I940)&amp;", "&amp;K940&amp;" Parzellen)",IF(J940&lt;=K940,"   Parzelle "&amp;J940,IF(J940=K940+1,"   Vorstand",IF(J940=K940+2,"   Gäste",IF(J940=K940+3,"   Technik (Switches, Access Points)",""))))))</f>
        <v/>
      </c>
      <c r="B940" s="0" t="str">
        <f aca="false">IF(I940="","",IF(AND(J940&gt;=1,J940&lt;=K940+3),IF(J940&lt;=K940,IF(J940&lt;=99,IF((INDEX(Eingabe!$G$9:$G$18,I940))&lt;=9,1000+(INDEX(Eingabe!$G$9:$G$18,I940))*100,3000)+J940,IF((INDEX(Eingabe!$G$9:$G$18,I940)+1)&lt;=9,1000+(INDEX(Eingabe!$G$9:$G$18,I940)+1)*100,3000)+J940-100),IF(J940=K940+1,2000+INDEX(Eingabe!$G$9:$G$18,I940)*10+1,IF(J940=K940+2,2000+INDEX(Eingabe!$G$9:$G$18,I940)*10+2,2000+INDEX(Eingabe!$G$9:$G$18,I940)*10+9))),""))</f>
        <v/>
      </c>
      <c r="C940" s="0" t="str">
        <f aca="false">IF(I940="","",IF(AND(J940&gt;=1,J940&lt;=K940+3),"10."&amp;INDEX(Eingabe!$D$9:$D$18,I940)&amp;"."&amp;IF(J940&lt;=K940,J940,IF(J940=K940+1,200,IF(J940=K940+2,201,250)))&amp;".0/24",""))</f>
        <v/>
      </c>
      <c r="D940" s="0" t="str">
        <f aca="false">IF(I940="","",IF(AND(J940&gt;=1,J940&lt;=K940+3),"255.255.255.0",""))</f>
        <v/>
      </c>
      <c r="E940" s="0" t="str">
        <f aca="false">IF(I940="","",IF(AND(J940&gt;=1,J940&lt;=K940+3),"10."&amp;INDEX(Eingabe!$D$9:$D$18,I940)&amp;"."&amp;IF(J940&lt;=K940,J940,IF(J940=K940+1,200,IF(J940=K940+2,201,250)))&amp;".1",""))</f>
        <v/>
      </c>
      <c r="F940" s="0" t="str">
        <f aca="false">IF(I940="","",IF(AND(J940&gt;=1,J940&lt;=K940+3),"10."&amp;INDEX(Eingabe!$D$9:$D$18,I940)&amp;"."&amp;IF(J940&lt;=K940,J940,IF(J940=K940+1,200,IF(J940=K940+2,201,250)))&amp;".10 – 10."&amp;INDEX(Eingabe!$D$9:$D$18,I940)&amp;"."&amp;IF(J940&lt;=K940,J940,IF(J940=K940+1,200,IF(J940=K940+2,201,250)))&amp;".250",""))</f>
        <v/>
      </c>
      <c r="G940" s="0" t="str">
        <f aca="false">IF(I940="","",IF(AND(J940&gt;=1,J940&lt;=K940),Eingabe!$B$6&amp;"-"&amp;INDEX(Eingabe!$C$9:$C$18,I940)&amp;"-Pächter  ·  Passwort Parzelle "&amp;J940,IF(J940=K940+1,Eingabe!$B$6&amp;"-"&amp;INDEX(Eingabe!$C$9:$C$18,I940)&amp;"-Vorstand  ·  eigenes WLAN",IF(J940=K940+2,Eingabe!$B$6&amp;"-"&amp;INDEX(Eingabe!$C$9:$C$18,I940)&amp;"-Gäste  ·  Voucher",IF(J940=K940+3,"Kabel  ·  Access Point y = .(50+y), Mast-Switch x = .(10+x)","")))))</f>
        <v/>
      </c>
      <c r="I940" s="0" t="str">
        <f aca="false">IF(935&lt;=(Eingabe!$P$18+Eingabe!$Q$18-1),MATCH(935,Eingabe!$P$9:$P$18,1),"")</f>
        <v/>
      </c>
      <c r="J940" s="0" t="str">
        <f aca="false">IF(I940="","",935-INDEX(Eingabe!$P$9:$P$18,I940))</f>
        <v/>
      </c>
      <c r="K940" s="0" t="str">
        <f aca="false">IF(I940="","",INDEX(Eingabe!$E$9:$E$18,I940))</f>
        <v/>
      </c>
    </row>
    <row r="941" customFormat="false" ht="15" hidden="false" customHeight="false" outlineLevel="0" collapsed="false">
      <c r="A941" s="0" t="str">
        <f aca="false">IF(I941="","",IF(J941=0,"Sparte "&amp;I941&amp;": "&amp;INDEX(Eingabe!$B$9:$B$18,I941)&amp;"  (Sparten-ID "&amp;INDEX(Eingabe!$D$9:$D$18,I941)&amp;", "&amp;K941&amp;" Parzellen)",IF(J941&lt;=K941,"   Parzelle "&amp;J941,IF(J941=K941+1,"   Vorstand",IF(J941=K941+2,"   Gäste",IF(J941=K941+3,"   Technik (Switches, Access Points)",""))))))</f>
        <v/>
      </c>
      <c r="B941" s="0" t="str">
        <f aca="false">IF(I941="","",IF(AND(J941&gt;=1,J941&lt;=K941+3),IF(J941&lt;=K941,IF(J941&lt;=99,IF((INDEX(Eingabe!$G$9:$G$18,I941))&lt;=9,1000+(INDEX(Eingabe!$G$9:$G$18,I941))*100,3000)+J941,IF((INDEX(Eingabe!$G$9:$G$18,I941)+1)&lt;=9,1000+(INDEX(Eingabe!$G$9:$G$18,I941)+1)*100,3000)+J941-100),IF(J941=K941+1,2000+INDEX(Eingabe!$G$9:$G$18,I941)*10+1,IF(J941=K941+2,2000+INDEX(Eingabe!$G$9:$G$18,I941)*10+2,2000+INDEX(Eingabe!$G$9:$G$18,I941)*10+9))),""))</f>
        <v/>
      </c>
      <c r="C941" s="0" t="str">
        <f aca="false">IF(I941="","",IF(AND(J941&gt;=1,J941&lt;=K941+3),"10."&amp;INDEX(Eingabe!$D$9:$D$18,I941)&amp;"."&amp;IF(J941&lt;=K941,J941,IF(J941=K941+1,200,IF(J941=K941+2,201,250)))&amp;".0/24",""))</f>
        <v/>
      </c>
      <c r="D941" s="0" t="str">
        <f aca="false">IF(I941="","",IF(AND(J941&gt;=1,J941&lt;=K941+3),"255.255.255.0",""))</f>
        <v/>
      </c>
      <c r="E941" s="0" t="str">
        <f aca="false">IF(I941="","",IF(AND(J941&gt;=1,J941&lt;=K941+3),"10."&amp;INDEX(Eingabe!$D$9:$D$18,I941)&amp;"."&amp;IF(J941&lt;=K941,J941,IF(J941=K941+1,200,IF(J941=K941+2,201,250)))&amp;".1",""))</f>
        <v/>
      </c>
      <c r="F941" s="0" t="str">
        <f aca="false">IF(I941="","",IF(AND(J941&gt;=1,J941&lt;=K941+3),"10."&amp;INDEX(Eingabe!$D$9:$D$18,I941)&amp;"."&amp;IF(J941&lt;=K941,J941,IF(J941=K941+1,200,IF(J941=K941+2,201,250)))&amp;".10 – 10."&amp;INDEX(Eingabe!$D$9:$D$18,I941)&amp;"."&amp;IF(J941&lt;=K941,J941,IF(J941=K941+1,200,IF(J941=K941+2,201,250)))&amp;".250",""))</f>
        <v/>
      </c>
      <c r="G941" s="0" t="str">
        <f aca="false">IF(I941="","",IF(AND(J941&gt;=1,J941&lt;=K941),Eingabe!$B$6&amp;"-"&amp;INDEX(Eingabe!$C$9:$C$18,I941)&amp;"-Pächter  ·  Passwort Parzelle "&amp;J941,IF(J941=K941+1,Eingabe!$B$6&amp;"-"&amp;INDEX(Eingabe!$C$9:$C$18,I941)&amp;"-Vorstand  ·  eigenes WLAN",IF(J941=K941+2,Eingabe!$B$6&amp;"-"&amp;INDEX(Eingabe!$C$9:$C$18,I941)&amp;"-Gäste  ·  Voucher",IF(J941=K941+3,"Kabel  ·  Access Point y = .(50+y), Mast-Switch x = .(10+x)","")))))</f>
        <v/>
      </c>
      <c r="I941" s="0" t="str">
        <f aca="false">IF(936&lt;=(Eingabe!$P$18+Eingabe!$Q$18-1),MATCH(936,Eingabe!$P$9:$P$18,1),"")</f>
        <v/>
      </c>
      <c r="J941" s="0" t="str">
        <f aca="false">IF(I941="","",936-INDEX(Eingabe!$P$9:$P$18,I941))</f>
        <v/>
      </c>
      <c r="K941" s="0" t="str">
        <f aca="false">IF(I941="","",INDEX(Eingabe!$E$9:$E$18,I941))</f>
        <v/>
      </c>
    </row>
    <row r="942" customFormat="false" ht="15" hidden="false" customHeight="false" outlineLevel="0" collapsed="false">
      <c r="A942" s="0" t="str">
        <f aca="false">IF(I942="","",IF(J942=0,"Sparte "&amp;I942&amp;": "&amp;INDEX(Eingabe!$B$9:$B$18,I942)&amp;"  (Sparten-ID "&amp;INDEX(Eingabe!$D$9:$D$18,I942)&amp;", "&amp;K942&amp;" Parzellen)",IF(J942&lt;=K942,"   Parzelle "&amp;J942,IF(J942=K942+1,"   Vorstand",IF(J942=K942+2,"   Gäste",IF(J942=K942+3,"   Technik (Switches, Access Points)",""))))))</f>
        <v/>
      </c>
      <c r="B942" s="0" t="str">
        <f aca="false">IF(I942="","",IF(AND(J942&gt;=1,J942&lt;=K942+3),IF(J942&lt;=K942,IF(J942&lt;=99,IF((INDEX(Eingabe!$G$9:$G$18,I942))&lt;=9,1000+(INDEX(Eingabe!$G$9:$G$18,I942))*100,3000)+J942,IF((INDEX(Eingabe!$G$9:$G$18,I942)+1)&lt;=9,1000+(INDEX(Eingabe!$G$9:$G$18,I942)+1)*100,3000)+J942-100),IF(J942=K942+1,2000+INDEX(Eingabe!$G$9:$G$18,I942)*10+1,IF(J942=K942+2,2000+INDEX(Eingabe!$G$9:$G$18,I942)*10+2,2000+INDEX(Eingabe!$G$9:$G$18,I942)*10+9))),""))</f>
        <v/>
      </c>
      <c r="C942" s="0" t="str">
        <f aca="false">IF(I942="","",IF(AND(J942&gt;=1,J942&lt;=K942+3),"10."&amp;INDEX(Eingabe!$D$9:$D$18,I942)&amp;"."&amp;IF(J942&lt;=K942,J942,IF(J942=K942+1,200,IF(J942=K942+2,201,250)))&amp;".0/24",""))</f>
        <v/>
      </c>
      <c r="D942" s="0" t="str">
        <f aca="false">IF(I942="","",IF(AND(J942&gt;=1,J942&lt;=K942+3),"255.255.255.0",""))</f>
        <v/>
      </c>
      <c r="E942" s="0" t="str">
        <f aca="false">IF(I942="","",IF(AND(J942&gt;=1,J942&lt;=K942+3),"10."&amp;INDEX(Eingabe!$D$9:$D$18,I942)&amp;"."&amp;IF(J942&lt;=K942,J942,IF(J942=K942+1,200,IF(J942=K942+2,201,250)))&amp;".1",""))</f>
        <v/>
      </c>
      <c r="F942" s="0" t="str">
        <f aca="false">IF(I942="","",IF(AND(J942&gt;=1,J942&lt;=K942+3),"10."&amp;INDEX(Eingabe!$D$9:$D$18,I942)&amp;"."&amp;IF(J942&lt;=K942,J942,IF(J942=K942+1,200,IF(J942=K942+2,201,250)))&amp;".10 – 10."&amp;INDEX(Eingabe!$D$9:$D$18,I942)&amp;"."&amp;IF(J942&lt;=K942,J942,IF(J942=K942+1,200,IF(J942=K942+2,201,250)))&amp;".250",""))</f>
        <v/>
      </c>
      <c r="G942" s="0" t="str">
        <f aca="false">IF(I942="","",IF(AND(J942&gt;=1,J942&lt;=K942),Eingabe!$B$6&amp;"-"&amp;INDEX(Eingabe!$C$9:$C$18,I942)&amp;"-Pächter  ·  Passwort Parzelle "&amp;J942,IF(J942=K942+1,Eingabe!$B$6&amp;"-"&amp;INDEX(Eingabe!$C$9:$C$18,I942)&amp;"-Vorstand  ·  eigenes WLAN",IF(J942=K942+2,Eingabe!$B$6&amp;"-"&amp;INDEX(Eingabe!$C$9:$C$18,I942)&amp;"-Gäste  ·  Voucher",IF(J942=K942+3,"Kabel  ·  Access Point y = .(50+y), Mast-Switch x = .(10+x)","")))))</f>
        <v/>
      </c>
      <c r="I942" s="0" t="str">
        <f aca="false">IF(937&lt;=(Eingabe!$P$18+Eingabe!$Q$18-1),MATCH(937,Eingabe!$P$9:$P$18,1),"")</f>
        <v/>
      </c>
      <c r="J942" s="0" t="str">
        <f aca="false">IF(I942="","",937-INDEX(Eingabe!$P$9:$P$18,I942))</f>
        <v/>
      </c>
      <c r="K942" s="0" t="str">
        <f aca="false">IF(I942="","",INDEX(Eingabe!$E$9:$E$18,I942))</f>
        <v/>
      </c>
    </row>
    <row r="943" customFormat="false" ht="15" hidden="false" customHeight="false" outlineLevel="0" collapsed="false">
      <c r="A943" s="0" t="str">
        <f aca="false">IF(I943="","",IF(J943=0,"Sparte "&amp;I943&amp;": "&amp;INDEX(Eingabe!$B$9:$B$18,I943)&amp;"  (Sparten-ID "&amp;INDEX(Eingabe!$D$9:$D$18,I943)&amp;", "&amp;K943&amp;" Parzellen)",IF(J943&lt;=K943,"   Parzelle "&amp;J943,IF(J943=K943+1,"   Vorstand",IF(J943=K943+2,"   Gäste",IF(J943=K943+3,"   Technik (Switches, Access Points)",""))))))</f>
        <v/>
      </c>
      <c r="B943" s="0" t="str">
        <f aca="false">IF(I943="","",IF(AND(J943&gt;=1,J943&lt;=K943+3),IF(J943&lt;=K943,IF(J943&lt;=99,IF((INDEX(Eingabe!$G$9:$G$18,I943))&lt;=9,1000+(INDEX(Eingabe!$G$9:$G$18,I943))*100,3000)+J943,IF((INDEX(Eingabe!$G$9:$G$18,I943)+1)&lt;=9,1000+(INDEX(Eingabe!$G$9:$G$18,I943)+1)*100,3000)+J943-100),IF(J943=K943+1,2000+INDEX(Eingabe!$G$9:$G$18,I943)*10+1,IF(J943=K943+2,2000+INDEX(Eingabe!$G$9:$G$18,I943)*10+2,2000+INDEX(Eingabe!$G$9:$G$18,I943)*10+9))),""))</f>
        <v/>
      </c>
      <c r="C943" s="0" t="str">
        <f aca="false">IF(I943="","",IF(AND(J943&gt;=1,J943&lt;=K943+3),"10."&amp;INDEX(Eingabe!$D$9:$D$18,I943)&amp;"."&amp;IF(J943&lt;=K943,J943,IF(J943=K943+1,200,IF(J943=K943+2,201,250)))&amp;".0/24",""))</f>
        <v/>
      </c>
      <c r="D943" s="0" t="str">
        <f aca="false">IF(I943="","",IF(AND(J943&gt;=1,J943&lt;=K943+3),"255.255.255.0",""))</f>
        <v/>
      </c>
      <c r="E943" s="0" t="str">
        <f aca="false">IF(I943="","",IF(AND(J943&gt;=1,J943&lt;=K943+3),"10."&amp;INDEX(Eingabe!$D$9:$D$18,I943)&amp;"."&amp;IF(J943&lt;=K943,J943,IF(J943=K943+1,200,IF(J943=K943+2,201,250)))&amp;".1",""))</f>
        <v/>
      </c>
      <c r="F943" s="0" t="str">
        <f aca="false">IF(I943="","",IF(AND(J943&gt;=1,J943&lt;=K943+3),"10."&amp;INDEX(Eingabe!$D$9:$D$18,I943)&amp;"."&amp;IF(J943&lt;=K943,J943,IF(J943=K943+1,200,IF(J943=K943+2,201,250)))&amp;".10 – 10."&amp;INDEX(Eingabe!$D$9:$D$18,I943)&amp;"."&amp;IF(J943&lt;=K943,J943,IF(J943=K943+1,200,IF(J943=K943+2,201,250)))&amp;".250",""))</f>
        <v/>
      </c>
      <c r="G943" s="0" t="str">
        <f aca="false">IF(I943="","",IF(AND(J943&gt;=1,J943&lt;=K943),Eingabe!$B$6&amp;"-"&amp;INDEX(Eingabe!$C$9:$C$18,I943)&amp;"-Pächter  ·  Passwort Parzelle "&amp;J943,IF(J943=K943+1,Eingabe!$B$6&amp;"-"&amp;INDEX(Eingabe!$C$9:$C$18,I943)&amp;"-Vorstand  ·  eigenes WLAN",IF(J943=K943+2,Eingabe!$B$6&amp;"-"&amp;INDEX(Eingabe!$C$9:$C$18,I943)&amp;"-Gäste  ·  Voucher",IF(J943=K943+3,"Kabel  ·  Access Point y = .(50+y), Mast-Switch x = .(10+x)","")))))</f>
        <v/>
      </c>
      <c r="I943" s="0" t="str">
        <f aca="false">IF(938&lt;=(Eingabe!$P$18+Eingabe!$Q$18-1),MATCH(938,Eingabe!$P$9:$P$18,1),"")</f>
        <v/>
      </c>
      <c r="J943" s="0" t="str">
        <f aca="false">IF(I943="","",938-INDEX(Eingabe!$P$9:$P$18,I943))</f>
        <v/>
      </c>
      <c r="K943" s="0" t="str">
        <f aca="false">IF(I943="","",INDEX(Eingabe!$E$9:$E$18,I943))</f>
        <v/>
      </c>
    </row>
    <row r="944" customFormat="false" ht="15" hidden="false" customHeight="false" outlineLevel="0" collapsed="false">
      <c r="A944" s="0" t="str">
        <f aca="false">IF(I944="","",IF(J944=0,"Sparte "&amp;I944&amp;": "&amp;INDEX(Eingabe!$B$9:$B$18,I944)&amp;"  (Sparten-ID "&amp;INDEX(Eingabe!$D$9:$D$18,I944)&amp;", "&amp;K944&amp;" Parzellen)",IF(J944&lt;=K944,"   Parzelle "&amp;J944,IF(J944=K944+1,"   Vorstand",IF(J944=K944+2,"   Gäste",IF(J944=K944+3,"   Technik (Switches, Access Points)",""))))))</f>
        <v/>
      </c>
      <c r="B944" s="0" t="str">
        <f aca="false">IF(I944="","",IF(AND(J944&gt;=1,J944&lt;=K944+3),IF(J944&lt;=K944,IF(J944&lt;=99,IF((INDEX(Eingabe!$G$9:$G$18,I944))&lt;=9,1000+(INDEX(Eingabe!$G$9:$G$18,I944))*100,3000)+J944,IF((INDEX(Eingabe!$G$9:$G$18,I944)+1)&lt;=9,1000+(INDEX(Eingabe!$G$9:$G$18,I944)+1)*100,3000)+J944-100),IF(J944=K944+1,2000+INDEX(Eingabe!$G$9:$G$18,I944)*10+1,IF(J944=K944+2,2000+INDEX(Eingabe!$G$9:$G$18,I944)*10+2,2000+INDEX(Eingabe!$G$9:$G$18,I944)*10+9))),""))</f>
        <v/>
      </c>
      <c r="C944" s="0" t="str">
        <f aca="false">IF(I944="","",IF(AND(J944&gt;=1,J944&lt;=K944+3),"10."&amp;INDEX(Eingabe!$D$9:$D$18,I944)&amp;"."&amp;IF(J944&lt;=K944,J944,IF(J944=K944+1,200,IF(J944=K944+2,201,250)))&amp;".0/24",""))</f>
        <v/>
      </c>
      <c r="D944" s="0" t="str">
        <f aca="false">IF(I944="","",IF(AND(J944&gt;=1,J944&lt;=K944+3),"255.255.255.0",""))</f>
        <v/>
      </c>
      <c r="E944" s="0" t="str">
        <f aca="false">IF(I944="","",IF(AND(J944&gt;=1,J944&lt;=K944+3),"10."&amp;INDEX(Eingabe!$D$9:$D$18,I944)&amp;"."&amp;IF(J944&lt;=K944,J944,IF(J944=K944+1,200,IF(J944=K944+2,201,250)))&amp;".1",""))</f>
        <v/>
      </c>
      <c r="F944" s="0" t="str">
        <f aca="false">IF(I944="","",IF(AND(J944&gt;=1,J944&lt;=K944+3),"10."&amp;INDEX(Eingabe!$D$9:$D$18,I944)&amp;"."&amp;IF(J944&lt;=K944,J944,IF(J944=K944+1,200,IF(J944=K944+2,201,250)))&amp;".10 – 10."&amp;INDEX(Eingabe!$D$9:$D$18,I944)&amp;"."&amp;IF(J944&lt;=K944,J944,IF(J944=K944+1,200,IF(J944=K944+2,201,250)))&amp;".250",""))</f>
        <v/>
      </c>
      <c r="G944" s="0" t="str">
        <f aca="false">IF(I944="","",IF(AND(J944&gt;=1,J944&lt;=K944),Eingabe!$B$6&amp;"-"&amp;INDEX(Eingabe!$C$9:$C$18,I944)&amp;"-Pächter  ·  Passwort Parzelle "&amp;J944,IF(J944=K944+1,Eingabe!$B$6&amp;"-"&amp;INDEX(Eingabe!$C$9:$C$18,I944)&amp;"-Vorstand  ·  eigenes WLAN",IF(J944=K944+2,Eingabe!$B$6&amp;"-"&amp;INDEX(Eingabe!$C$9:$C$18,I944)&amp;"-Gäste  ·  Voucher",IF(J944=K944+3,"Kabel  ·  Access Point y = .(50+y), Mast-Switch x = .(10+x)","")))))</f>
        <v/>
      </c>
      <c r="I944" s="0" t="str">
        <f aca="false">IF(939&lt;=(Eingabe!$P$18+Eingabe!$Q$18-1),MATCH(939,Eingabe!$P$9:$P$18,1),"")</f>
        <v/>
      </c>
      <c r="J944" s="0" t="str">
        <f aca="false">IF(I944="","",939-INDEX(Eingabe!$P$9:$P$18,I944))</f>
        <v/>
      </c>
      <c r="K944" s="0" t="str">
        <f aca="false">IF(I944="","",INDEX(Eingabe!$E$9:$E$18,I944))</f>
        <v/>
      </c>
    </row>
    <row r="945" customFormat="false" ht="15" hidden="false" customHeight="false" outlineLevel="0" collapsed="false">
      <c r="A945" s="0" t="str">
        <f aca="false">IF(I945="","",IF(J945=0,"Sparte "&amp;I945&amp;": "&amp;INDEX(Eingabe!$B$9:$B$18,I945)&amp;"  (Sparten-ID "&amp;INDEX(Eingabe!$D$9:$D$18,I945)&amp;", "&amp;K945&amp;" Parzellen)",IF(J945&lt;=K945,"   Parzelle "&amp;J945,IF(J945=K945+1,"   Vorstand",IF(J945=K945+2,"   Gäste",IF(J945=K945+3,"   Technik (Switches, Access Points)",""))))))</f>
        <v/>
      </c>
      <c r="B945" s="0" t="str">
        <f aca="false">IF(I945="","",IF(AND(J945&gt;=1,J945&lt;=K945+3),IF(J945&lt;=K945,IF(J945&lt;=99,IF((INDEX(Eingabe!$G$9:$G$18,I945))&lt;=9,1000+(INDEX(Eingabe!$G$9:$G$18,I945))*100,3000)+J945,IF((INDEX(Eingabe!$G$9:$G$18,I945)+1)&lt;=9,1000+(INDEX(Eingabe!$G$9:$G$18,I945)+1)*100,3000)+J945-100),IF(J945=K945+1,2000+INDEX(Eingabe!$G$9:$G$18,I945)*10+1,IF(J945=K945+2,2000+INDEX(Eingabe!$G$9:$G$18,I945)*10+2,2000+INDEX(Eingabe!$G$9:$G$18,I945)*10+9))),""))</f>
        <v/>
      </c>
      <c r="C945" s="0" t="str">
        <f aca="false">IF(I945="","",IF(AND(J945&gt;=1,J945&lt;=K945+3),"10."&amp;INDEX(Eingabe!$D$9:$D$18,I945)&amp;"."&amp;IF(J945&lt;=K945,J945,IF(J945=K945+1,200,IF(J945=K945+2,201,250)))&amp;".0/24",""))</f>
        <v/>
      </c>
      <c r="D945" s="0" t="str">
        <f aca="false">IF(I945="","",IF(AND(J945&gt;=1,J945&lt;=K945+3),"255.255.255.0",""))</f>
        <v/>
      </c>
      <c r="E945" s="0" t="str">
        <f aca="false">IF(I945="","",IF(AND(J945&gt;=1,J945&lt;=K945+3),"10."&amp;INDEX(Eingabe!$D$9:$D$18,I945)&amp;"."&amp;IF(J945&lt;=K945,J945,IF(J945=K945+1,200,IF(J945=K945+2,201,250)))&amp;".1",""))</f>
        <v/>
      </c>
      <c r="F945" s="0" t="str">
        <f aca="false">IF(I945="","",IF(AND(J945&gt;=1,J945&lt;=K945+3),"10."&amp;INDEX(Eingabe!$D$9:$D$18,I945)&amp;"."&amp;IF(J945&lt;=K945,J945,IF(J945=K945+1,200,IF(J945=K945+2,201,250)))&amp;".10 – 10."&amp;INDEX(Eingabe!$D$9:$D$18,I945)&amp;"."&amp;IF(J945&lt;=K945,J945,IF(J945=K945+1,200,IF(J945=K945+2,201,250)))&amp;".250",""))</f>
        <v/>
      </c>
      <c r="G945" s="0" t="str">
        <f aca="false">IF(I945="","",IF(AND(J945&gt;=1,J945&lt;=K945),Eingabe!$B$6&amp;"-"&amp;INDEX(Eingabe!$C$9:$C$18,I945)&amp;"-Pächter  ·  Passwort Parzelle "&amp;J945,IF(J945=K945+1,Eingabe!$B$6&amp;"-"&amp;INDEX(Eingabe!$C$9:$C$18,I945)&amp;"-Vorstand  ·  eigenes WLAN",IF(J945=K945+2,Eingabe!$B$6&amp;"-"&amp;INDEX(Eingabe!$C$9:$C$18,I945)&amp;"-Gäste  ·  Voucher",IF(J945=K945+3,"Kabel  ·  Access Point y = .(50+y), Mast-Switch x = .(10+x)","")))))</f>
        <v/>
      </c>
      <c r="I945" s="0" t="str">
        <f aca="false">IF(940&lt;=(Eingabe!$P$18+Eingabe!$Q$18-1),MATCH(940,Eingabe!$P$9:$P$18,1),"")</f>
        <v/>
      </c>
      <c r="J945" s="0" t="str">
        <f aca="false">IF(I945="","",940-INDEX(Eingabe!$P$9:$P$18,I945))</f>
        <v/>
      </c>
      <c r="K945" s="0" t="str">
        <f aca="false">IF(I945="","",INDEX(Eingabe!$E$9:$E$18,I945))</f>
        <v/>
      </c>
    </row>
    <row r="946" customFormat="false" ht="15" hidden="false" customHeight="false" outlineLevel="0" collapsed="false">
      <c r="A946" s="0" t="str">
        <f aca="false">IF(I946="","",IF(J946=0,"Sparte "&amp;I946&amp;": "&amp;INDEX(Eingabe!$B$9:$B$18,I946)&amp;"  (Sparten-ID "&amp;INDEX(Eingabe!$D$9:$D$18,I946)&amp;", "&amp;K946&amp;" Parzellen)",IF(J946&lt;=K946,"   Parzelle "&amp;J946,IF(J946=K946+1,"   Vorstand",IF(J946=K946+2,"   Gäste",IF(J946=K946+3,"   Technik (Switches, Access Points)",""))))))</f>
        <v/>
      </c>
      <c r="B946" s="0" t="str">
        <f aca="false">IF(I946="","",IF(AND(J946&gt;=1,J946&lt;=K946+3),IF(J946&lt;=K946,IF(J946&lt;=99,IF((INDEX(Eingabe!$G$9:$G$18,I946))&lt;=9,1000+(INDEX(Eingabe!$G$9:$G$18,I946))*100,3000)+J946,IF((INDEX(Eingabe!$G$9:$G$18,I946)+1)&lt;=9,1000+(INDEX(Eingabe!$G$9:$G$18,I946)+1)*100,3000)+J946-100),IF(J946=K946+1,2000+INDEX(Eingabe!$G$9:$G$18,I946)*10+1,IF(J946=K946+2,2000+INDEX(Eingabe!$G$9:$G$18,I946)*10+2,2000+INDEX(Eingabe!$G$9:$G$18,I946)*10+9))),""))</f>
        <v/>
      </c>
      <c r="C946" s="0" t="str">
        <f aca="false">IF(I946="","",IF(AND(J946&gt;=1,J946&lt;=K946+3),"10."&amp;INDEX(Eingabe!$D$9:$D$18,I946)&amp;"."&amp;IF(J946&lt;=K946,J946,IF(J946=K946+1,200,IF(J946=K946+2,201,250)))&amp;".0/24",""))</f>
        <v/>
      </c>
      <c r="D946" s="0" t="str">
        <f aca="false">IF(I946="","",IF(AND(J946&gt;=1,J946&lt;=K946+3),"255.255.255.0",""))</f>
        <v/>
      </c>
      <c r="E946" s="0" t="str">
        <f aca="false">IF(I946="","",IF(AND(J946&gt;=1,J946&lt;=K946+3),"10."&amp;INDEX(Eingabe!$D$9:$D$18,I946)&amp;"."&amp;IF(J946&lt;=K946,J946,IF(J946=K946+1,200,IF(J946=K946+2,201,250)))&amp;".1",""))</f>
        <v/>
      </c>
      <c r="F946" s="0" t="str">
        <f aca="false">IF(I946="","",IF(AND(J946&gt;=1,J946&lt;=K946+3),"10."&amp;INDEX(Eingabe!$D$9:$D$18,I946)&amp;"."&amp;IF(J946&lt;=K946,J946,IF(J946=K946+1,200,IF(J946=K946+2,201,250)))&amp;".10 – 10."&amp;INDEX(Eingabe!$D$9:$D$18,I946)&amp;"."&amp;IF(J946&lt;=K946,J946,IF(J946=K946+1,200,IF(J946=K946+2,201,250)))&amp;".250",""))</f>
        <v/>
      </c>
      <c r="G946" s="0" t="str">
        <f aca="false">IF(I946="","",IF(AND(J946&gt;=1,J946&lt;=K946),Eingabe!$B$6&amp;"-"&amp;INDEX(Eingabe!$C$9:$C$18,I946)&amp;"-Pächter  ·  Passwort Parzelle "&amp;J946,IF(J946=K946+1,Eingabe!$B$6&amp;"-"&amp;INDEX(Eingabe!$C$9:$C$18,I946)&amp;"-Vorstand  ·  eigenes WLAN",IF(J946=K946+2,Eingabe!$B$6&amp;"-"&amp;INDEX(Eingabe!$C$9:$C$18,I946)&amp;"-Gäste  ·  Voucher",IF(J946=K946+3,"Kabel  ·  Access Point y = .(50+y), Mast-Switch x = .(10+x)","")))))</f>
        <v/>
      </c>
      <c r="I946" s="0" t="str">
        <f aca="false">IF(941&lt;=(Eingabe!$P$18+Eingabe!$Q$18-1),MATCH(941,Eingabe!$P$9:$P$18,1),"")</f>
        <v/>
      </c>
      <c r="J946" s="0" t="str">
        <f aca="false">IF(I946="","",941-INDEX(Eingabe!$P$9:$P$18,I946))</f>
        <v/>
      </c>
      <c r="K946" s="0" t="str">
        <f aca="false">IF(I946="","",INDEX(Eingabe!$E$9:$E$18,I946))</f>
        <v/>
      </c>
    </row>
    <row r="947" customFormat="false" ht="15" hidden="false" customHeight="false" outlineLevel="0" collapsed="false">
      <c r="A947" s="0" t="str">
        <f aca="false">IF(I947="","",IF(J947=0,"Sparte "&amp;I947&amp;": "&amp;INDEX(Eingabe!$B$9:$B$18,I947)&amp;"  (Sparten-ID "&amp;INDEX(Eingabe!$D$9:$D$18,I947)&amp;", "&amp;K947&amp;" Parzellen)",IF(J947&lt;=K947,"   Parzelle "&amp;J947,IF(J947=K947+1,"   Vorstand",IF(J947=K947+2,"   Gäste",IF(J947=K947+3,"   Technik (Switches, Access Points)",""))))))</f>
        <v/>
      </c>
      <c r="B947" s="0" t="str">
        <f aca="false">IF(I947="","",IF(AND(J947&gt;=1,J947&lt;=K947+3),IF(J947&lt;=K947,IF(J947&lt;=99,IF((INDEX(Eingabe!$G$9:$G$18,I947))&lt;=9,1000+(INDEX(Eingabe!$G$9:$G$18,I947))*100,3000)+J947,IF((INDEX(Eingabe!$G$9:$G$18,I947)+1)&lt;=9,1000+(INDEX(Eingabe!$G$9:$G$18,I947)+1)*100,3000)+J947-100),IF(J947=K947+1,2000+INDEX(Eingabe!$G$9:$G$18,I947)*10+1,IF(J947=K947+2,2000+INDEX(Eingabe!$G$9:$G$18,I947)*10+2,2000+INDEX(Eingabe!$G$9:$G$18,I947)*10+9))),""))</f>
        <v/>
      </c>
      <c r="C947" s="0" t="str">
        <f aca="false">IF(I947="","",IF(AND(J947&gt;=1,J947&lt;=K947+3),"10."&amp;INDEX(Eingabe!$D$9:$D$18,I947)&amp;"."&amp;IF(J947&lt;=K947,J947,IF(J947=K947+1,200,IF(J947=K947+2,201,250)))&amp;".0/24",""))</f>
        <v/>
      </c>
      <c r="D947" s="0" t="str">
        <f aca="false">IF(I947="","",IF(AND(J947&gt;=1,J947&lt;=K947+3),"255.255.255.0",""))</f>
        <v/>
      </c>
      <c r="E947" s="0" t="str">
        <f aca="false">IF(I947="","",IF(AND(J947&gt;=1,J947&lt;=K947+3),"10."&amp;INDEX(Eingabe!$D$9:$D$18,I947)&amp;"."&amp;IF(J947&lt;=K947,J947,IF(J947=K947+1,200,IF(J947=K947+2,201,250)))&amp;".1",""))</f>
        <v/>
      </c>
      <c r="F947" s="0" t="str">
        <f aca="false">IF(I947="","",IF(AND(J947&gt;=1,J947&lt;=K947+3),"10."&amp;INDEX(Eingabe!$D$9:$D$18,I947)&amp;"."&amp;IF(J947&lt;=K947,J947,IF(J947=K947+1,200,IF(J947=K947+2,201,250)))&amp;".10 – 10."&amp;INDEX(Eingabe!$D$9:$D$18,I947)&amp;"."&amp;IF(J947&lt;=K947,J947,IF(J947=K947+1,200,IF(J947=K947+2,201,250)))&amp;".250",""))</f>
        <v/>
      </c>
      <c r="G947" s="0" t="str">
        <f aca="false">IF(I947="","",IF(AND(J947&gt;=1,J947&lt;=K947),Eingabe!$B$6&amp;"-"&amp;INDEX(Eingabe!$C$9:$C$18,I947)&amp;"-Pächter  ·  Passwort Parzelle "&amp;J947,IF(J947=K947+1,Eingabe!$B$6&amp;"-"&amp;INDEX(Eingabe!$C$9:$C$18,I947)&amp;"-Vorstand  ·  eigenes WLAN",IF(J947=K947+2,Eingabe!$B$6&amp;"-"&amp;INDEX(Eingabe!$C$9:$C$18,I947)&amp;"-Gäste  ·  Voucher",IF(J947=K947+3,"Kabel  ·  Access Point y = .(50+y), Mast-Switch x = .(10+x)","")))))</f>
        <v/>
      </c>
      <c r="I947" s="0" t="str">
        <f aca="false">IF(942&lt;=(Eingabe!$P$18+Eingabe!$Q$18-1),MATCH(942,Eingabe!$P$9:$P$18,1),"")</f>
        <v/>
      </c>
      <c r="J947" s="0" t="str">
        <f aca="false">IF(I947="","",942-INDEX(Eingabe!$P$9:$P$18,I947))</f>
        <v/>
      </c>
      <c r="K947" s="0" t="str">
        <f aca="false">IF(I947="","",INDEX(Eingabe!$E$9:$E$18,I947))</f>
        <v/>
      </c>
    </row>
    <row r="948" customFormat="false" ht="15" hidden="false" customHeight="false" outlineLevel="0" collapsed="false">
      <c r="A948" s="0" t="str">
        <f aca="false">IF(I948="","",IF(J948=0,"Sparte "&amp;I948&amp;": "&amp;INDEX(Eingabe!$B$9:$B$18,I948)&amp;"  (Sparten-ID "&amp;INDEX(Eingabe!$D$9:$D$18,I948)&amp;", "&amp;K948&amp;" Parzellen)",IF(J948&lt;=K948,"   Parzelle "&amp;J948,IF(J948=K948+1,"   Vorstand",IF(J948=K948+2,"   Gäste",IF(J948=K948+3,"   Technik (Switches, Access Points)",""))))))</f>
        <v/>
      </c>
      <c r="B948" s="0" t="str">
        <f aca="false">IF(I948="","",IF(AND(J948&gt;=1,J948&lt;=K948+3),IF(J948&lt;=K948,IF(J948&lt;=99,IF((INDEX(Eingabe!$G$9:$G$18,I948))&lt;=9,1000+(INDEX(Eingabe!$G$9:$G$18,I948))*100,3000)+J948,IF((INDEX(Eingabe!$G$9:$G$18,I948)+1)&lt;=9,1000+(INDEX(Eingabe!$G$9:$G$18,I948)+1)*100,3000)+J948-100),IF(J948=K948+1,2000+INDEX(Eingabe!$G$9:$G$18,I948)*10+1,IF(J948=K948+2,2000+INDEX(Eingabe!$G$9:$G$18,I948)*10+2,2000+INDEX(Eingabe!$G$9:$G$18,I948)*10+9))),""))</f>
        <v/>
      </c>
      <c r="C948" s="0" t="str">
        <f aca="false">IF(I948="","",IF(AND(J948&gt;=1,J948&lt;=K948+3),"10."&amp;INDEX(Eingabe!$D$9:$D$18,I948)&amp;"."&amp;IF(J948&lt;=K948,J948,IF(J948=K948+1,200,IF(J948=K948+2,201,250)))&amp;".0/24",""))</f>
        <v/>
      </c>
      <c r="D948" s="0" t="str">
        <f aca="false">IF(I948="","",IF(AND(J948&gt;=1,J948&lt;=K948+3),"255.255.255.0",""))</f>
        <v/>
      </c>
      <c r="E948" s="0" t="str">
        <f aca="false">IF(I948="","",IF(AND(J948&gt;=1,J948&lt;=K948+3),"10."&amp;INDEX(Eingabe!$D$9:$D$18,I948)&amp;"."&amp;IF(J948&lt;=K948,J948,IF(J948=K948+1,200,IF(J948=K948+2,201,250)))&amp;".1",""))</f>
        <v/>
      </c>
      <c r="F948" s="0" t="str">
        <f aca="false">IF(I948="","",IF(AND(J948&gt;=1,J948&lt;=K948+3),"10."&amp;INDEX(Eingabe!$D$9:$D$18,I948)&amp;"."&amp;IF(J948&lt;=K948,J948,IF(J948=K948+1,200,IF(J948=K948+2,201,250)))&amp;".10 – 10."&amp;INDEX(Eingabe!$D$9:$D$18,I948)&amp;"."&amp;IF(J948&lt;=K948,J948,IF(J948=K948+1,200,IF(J948=K948+2,201,250)))&amp;".250",""))</f>
        <v/>
      </c>
      <c r="G948" s="0" t="str">
        <f aca="false">IF(I948="","",IF(AND(J948&gt;=1,J948&lt;=K948),Eingabe!$B$6&amp;"-"&amp;INDEX(Eingabe!$C$9:$C$18,I948)&amp;"-Pächter  ·  Passwort Parzelle "&amp;J948,IF(J948=K948+1,Eingabe!$B$6&amp;"-"&amp;INDEX(Eingabe!$C$9:$C$18,I948)&amp;"-Vorstand  ·  eigenes WLAN",IF(J948=K948+2,Eingabe!$B$6&amp;"-"&amp;INDEX(Eingabe!$C$9:$C$18,I948)&amp;"-Gäste  ·  Voucher",IF(J948=K948+3,"Kabel  ·  Access Point y = .(50+y), Mast-Switch x = .(10+x)","")))))</f>
        <v/>
      </c>
      <c r="I948" s="0" t="str">
        <f aca="false">IF(943&lt;=(Eingabe!$P$18+Eingabe!$Q$18-1),MATCH(943,Eingabe!$P$9:$P$18,1),"")</f>
        <v/>
      </c>
      <c r="J948" s="0" t="str">
        <f aca="false">IF(I948="","",943-INDEX(Eingabe!$P$9:$P$18,I948))</f>
        <v/>
      </c>
      <c r="K948" s="0" t="str">
        <f aca="false">IF(I948="","",INDEX(Eingabe!$E$9:$E$18,I948))</f>
        <v/>
      </c>
    </row>
    <row r="949" customFormat="false" ht="15" hidden="false" customHeight="false" outlineLevel="0" collapsed="false">
      <c r="A949" s="0" t="str">
        <f aca="false">IF(I949="","",IF(J949=0,"Sparte "&amp;I949&amp;": "&amp;INDEX(Eingabe!$B$9:$B$18,I949)&amp;"  (Sparten-ID "&amp;INDEX(Eingabe!$D$9:$D$18,I949)&amp;", "&amp;K949&amp;" Parzellen)",IF(J949&lt;=K949,"   Parzelle "&amp;J949,IF(J949=K949+1,"   Vorstand",IF(J949=K949+2,"   Gäste",IF(J949=K949+3,"   Technik (Switches, Access Points)",""))))))</f>
        <v/>
      </c>
      <c r="B949" s="0" t="str">
        <f aca="false">IF(I949="","",IF(AND(J949&gt;=1,J949&lt;=K949+3),IF(J949&lt;=K949,IF(J949&lt;=99,IF((INDEX(Eingabe!$G$9:$G$18,I949))&lt;=9,1000+(INDEX(Eingabe!$G$9:$G$18,I949))*100,3000)+J949,IF((INDEX(Eingabe!$G$9:$G$18,I949)+1)&lt;=9,1000+(INDEX(Eingabe!$G$9:$G$18,I949)+1)*100,3000)+J949-100),IF(J949=K949+1,2000+INDEX(Eingabe!$G$9:$G$18,I949)*10+1,IF(J949=K949+2,2000+INDEX(Eingabe!$G$9:$G$18,I949)*10+2,2000+INDEX(Eingabe!$G$9:$G$18,I949)*10+9))),""))</f>
        <v/>
      </c>
      <c r="C949" s="0" t="str">
        <f aca="false">IF(I949="","",IF(AND(J949&gt;=1,J949&lt;=K949+3),"10."&amp;INDEX(Eingabe!$D$9:$D$18,I949)&amp;"."&amp;IF(J949&lt;=K949,J949,IF(J949=K949+1,200,IF(J949=K949+2,201,250)))&amp;".0/24",""))</f>
        <v/>
      </c>
      <c r="D949" s="0" t="str">
        <f aca="false">IF(I949="","",IF(AND(J949&gt;=1,J949&lt;=K949+3),"255.255.255.0",""))</f>
        <v/>
      </c>
      <c r="E949" s="0" t="str">
        <f aca="false">IF(I949="","",IF(AND(J949&gt;=1,J949&lt;=K949+3),"10."&amp;INDEX(Eingabe!$D$9:$D$18,I949)&amp;"."&amp;IF(J949&lt;=K949,J949,IF(J949=K949+1,200,IF(J949=K949+2,201,250)))&amp;".1",""))</f>
        <v/>
      </c>
      <c r="F949" s="0" t="str">
        <f aca="false">IF(I949="","",IF(AND(J949&gt;=1,J949&lt;=K949+3),"10."&amp;INDEX(Eingabe!$D$9:$D$18,I949)&amp;"."&amp;IF(J949&lt;=K949,J949,IF(J949=K949+1,200,IF(J949=K949+2,201,250)))&amp;".10 – 10."&amp;INDEX(Eingabe!$D$9:$D$18,I949)&amp;"."&amp;IF(J949&lt;=K949,J949,IF(J949=K949+1,200,IF(J949=K949+2,201,250)))&amp;".250",""))</f>
        <v/>
      </c>
      <c r="G949" s="0" t="str">
        <f aca="false">IF(I949="","",IF(AND(J949&gt;=1,J949&lt;=K949),Eingabe!$B$6&amp;"-"&amp;INDEX(Eingabe!$C$9:$C$18,I949)&amp;"-Pächter  ·  Passwort Parzelle "&amp;J949,IF(J949=K949+1,Eingabe!$B$6&amp;"-"&amp;INDEX(Eingabe!$C$9:$C$18,I949)&amp;"-Vorstand  ·  eigenes WLAN",IF(J949=K949+2,Eingabe!$B$6&amp;"-"&amp;INDEX(Eingabe!$C$9:$C$18,I949)&amp;"-Gäste  ·  Voucher",IF(J949=K949+3,"Kabel  ·  Access Point y = .(50+y), Mast-Switch x = .(10+x)","")))))</f>
        <v/>
      </c>
      <c r="I949" s="0" t="str">
        <f aca="false">IF(944&lt;=(Eingabe!$P$18+Eingabe!$Q$18-1),MATCH(944,Eingabe!$P$9:$P$18,1),"")</f>
        <v/>
      </c>
      <c r="J949" s="0" t="str">
        <f aca="false">IF(I949="","",944-INDEX(Eingabe!$P$9:$P$18,I949))</f>
        <v/>
      </c>
      <c r="K949" s="0" t="str">
        <f aca="false">IF(I949="","",INDEX(Eingabe!$E$9:$E$18,I949))</f>
        <v/>
      </c>
    </row>
    <row r="950" customFormat="false" ht="15" hidden="false" customHeight="false" outlineLevel="0" collapsed="false">
      <c r="A950" s="0" t="str">
        <f aca="false">IF(I950="","",IF(J950=0,"Sparte "&amp;I950&amp;": "&amp;INDEX(Eingabe!$B$9:$B$18,I950)&amp;"  (Sparten-ID "&amp;INDEX(Eingabe!$D$9:$D$18,I950)&amp;", "&amp;K950&amp;" Parzellen)",IF(J950&lt;=K950,"   Parzelle "&amp;J950,IF(J950=K950+1,"   Vorstand",IF(J950=K950+2,"   Gäste",IF(J950=K950+3,"   Technik (Switches, Access Points)",""))))))</f>
        <v/>
      </c>
      <c r="B950" s="0" t="str">
        <f aca="false">IF(I950="","",IF(AND(J950&gt;=1,J950&lt;=K950+3),IF(J950&lt;=K950,IF(J950&lt;=99,IF((INDEX(Eingabe!$G$9:$G$18,I950))&lt;=9,1000+(INDEX(Eingabe!$G$9:$G$18,I950))*100,3000)+J950,IF((INDEX(Eingabe!$G$9:$G$18,I950)+1)&lt;=9,1000+(INDEX(Eingabe!$G$9:$G$18,I950)+1)*100,3000)+J950-100),IF(J950=K950+1,2000+INDEX(Eingabe!$G$9:$G$18,I950)*10+1,IF(J950=K950+2,2000+INDEX(Eingabe!$G$9:$G$18,I950)*10+2,2000+INDEX(Eingabe!$G$9:$G$18,I950)*10+9))),""))</f>
        <v/>
      </c>
      <c r="C950" s="0" t="str">
        <f aca="false">IF(I950="","",IF(AND(J950&gt;=1,J950&lt;=K950+3),"10."&amp;INDEX(Eingabe!$D$9:$D$18,I950)&amp;"."&amp;IF(J950&lt;=K950,J950,IF(J950=K950+1,200,IF(J950=K950+2,201,250)))&amp;".0/24",""))</f>
        <v/>
      </c>
      <c r="D950" s="0" t="str">
        <f aca="false">IF(I950="","",IF(AND(J950&gt;=1,J950&lt;=K950+3),"255.255.255.0",""))</f>
        <v/>
      </c>
      <c r="E950" s="0" t="str">
        <f aca="false">IF(I950="","",IF(AND(J950&gt;=1,J950&lt;=K950+3),"10."&amp;INDEX(Eingabe!$D$9:$D$18,I950)&amp;"."&amp;IF(J950&lt;=K950,J950,IF(J950=K950+1,200,IF(J950=K950+2,201,250)))&amp;".1",""))</f>
        <v/>
      </c>
      <c r="F950" s="0" t="str">
        <f aca="false">IF(I950="","",IF(AND(J950&gt;=1,J950&lt;=K950+3),"10."&amp;INDEX(Eingabe!$D$9:$D$18,I950)&amp;"."&amp;IF(J950&lt;=K950,J950,IF(J950=K950+1,200,IF(J950=K950+2,201,250)))&amp;".10 – 10."&amp;INDEX(Eingabe!$D$9:$D$18,I950)&amp;"."&amp;IF(J950&lt;=K950,J950,IF(J950=K950+1,200,IF(J950=K950+2,201,250)))&amp;".250",""))</f>
        <v/>
      </c>
      <c r="G950" s="0" t="str">
        <f aca="false">IF(I950="","",IF(AND(J950&gt;=1,J950&lt;=K950),Eingabe!$B$6&amp;"-"&amp;INDEX(Eingabe!$C$9:$C$18,I950)&amp;"-Pächter  ·  Passwort Parzelle "&amp;J950,IF(J950=K950+1,Eingabe!$B$6&amp;"-"&amp;INDEX(Eingabe!$C$9:$C$18,I950)&amp;"-Vorstand  ·  eigenes WLAN",IF(J950=K950+2,Eingabe!$B$6&amp;"-"&amp;INDEX(Eingabe!$C$9:$C$18,I950)&amp;"-Gäste  ·  Voucher",IF(J950=K950+3,"Kabel  ·  Access Point y = .(50+y), Mast-Switch x = .(10+x)","")))))</f>
        <v/>
      </c>
      <c r="I950" s="0" t="str">
        <f aca="false">IF(945&lt;=(Eingabe!$P$18+Eingabe!$Q$18-1),MATCH(945,Eingabe!$P$9:$P$18,1),"")</f>
        <v/>
      </c>
      <c r="J950" s="0" t="str">
        <f aca="false">IF(I950="","",945-INDEX(Eingabe!$P$9:$P$18,I950))</f>
        <v/>
      </c>
      <c r="K950" s="0" t="str">
        <f aca="false">IF(I950="","",INDEX(Eingabe!$E$9:$E$18,I950))</f>
        <v/>
      </c>
    </row>
    <row r="951" customFormat="false" ht="15" hidden="false" customHeight="false" outlineLevel="0" collapsed="false">
      <c r="A951" s="0" t="str">
        <f aca="false">IF(I951="","",IF(J951=0,"Sparte "&amp;I951&amp;": "&amp;INDEX(Eingabe!$B$9:$B$18,I951)&amp;"  (Sparten-ID "&amp;INDEX(Eingabe!$D$9:$D$18,I951)&amp;", "&amp;K951&amp;" Parzellen)",IF(J951&lt;=K951,"   Parzelle "&amp;J951,IF(J951=K951+1,"   Vorstand",IF(J951=K951+2,"   Gäste",IF(J951=K951+3,"   Technik (Switches, Access Points)",""))))))</f>
        <v/>
      </c>
      <c r="B951" s="0" t="str">
        <f aca="false">IF(I951="","",IF(AND(J951&gt;=1,J951&lt;=K951+3),IF(J951&lt;=K951,IF(J951&lt;=99,IF((INDEX(Eingabe!$G$9:$G$18,I951))&lt;=9,1000+(INDEX(Eingabe!$G$9:$G$18,I951))*100,3000)+J951,IF((INDEX(Eingabe!$G$9:$G$18,I951)+1)&lt;=9,1000+(INDEX(Eingabe!$G$9:$G$18,I951)+1)*100,3000)+J951-100),IF(J951=K951+1,2000+INDEX(Eingabe!$G$9:$G$18,I951)*10+1,IF(J951=K951+2,2000+INDEX(Eingabe!$G$9:$G$18,I951)*10+2,2000+INDEX(Eingabe!$G$9:$G$18,I951)*10+9))),""))</f>
        <v/>
      </c>
      <c r="C951" s="0" t="str">
        <f aca="false">IF(I951="","",IF(AND(J951&gt;=1,J951&lt;=K951+3),"10."&amp;INDEX(Eingabe!$D$9:$D$18,I951)&amp;"."&amp;IF(J951&lt;=K951,J951,IF(J951=K951+1,200,IF(J951=K951+2,201,250)))&amp;".0/24",""))</f>
        <v/>
      </c>
      <c r="D951" s="0" t="str">
        <f aca="false">IF(I951="","",IF(AND(J951&gt;=1,J951&lt;=K951+3),"255.255.255.0",""))</f>
        <v/>
      </c>
      <c r="E951" s="0" t="str">
        <f aca="false">IF(I951="","",IF(AND(J951&gt;=1,J951&lt;=K951+3),"10."&amp;INDEX(Eingabe!$D$9:$D$18,I951)&amp;"."&amp;IF(J951&lt;=K951,J951,IF(J951=K951+1,200,IF(J951=K951+2,201,250)))&amp;".1",""))</f>
        <v/>
      </c>
      <c r="F951" s="0" t="str">
        <f aca="false">IF(I951="","",IF(AND(J951&gt;=1,J951&lt;=K951+3),"10."&amp;INDEX(Eingabe!$D$9:$D$18,I951)&amp;"."&amp;IF(J951&lt;=K951,J951,IF(J951=K951+1,200,IF(J951=K951+2,201,250)))&amp;".10 – 10."&amp;INDEX(Eingabe!$D$9:$D$18,I951)&amp;"."&amp;IF(J951&lt;=K951,J951,IF(J951=K951+1,200,IF(J951=K951+2,201,250)))&amp;".250",""))</f>
        <v/>
      </c>
      <c r="G951" s="0" t="str">
        <f aca="false">IF(I951="","",IF(AND(J951&gt;=1,J951&lt;=K951),Eingabe!$B$6&amp;"-"&amp;INDEX(Eingabe!$C$9:$C$18,I951)&amp;"-Pächter  ·  Passwort Parzelle "&amp;J951,IF(J951=K951+1,Eingabe!$B$6&amp;"-"&amp;INDEX(Eingabe!$C$9:$C$18,I951)&amp;"-Vorstand  ·  eigenes WLAN",IF(J951=K951+2,Eingabe!$B$6&amp;"-"&amp;INDEX(Eingabe!$C$9:$C$18,I951)&amp;"-Gäste  ·  Voucher",IF(J951=K951+3,"Kabel  ·  Access Point y = .(50+y), Mast-Switch x = .(10+x)","")))))</f>
        <v/>
      </c>
      <c r="I951" s="0" t="str">
        <f aca="false">IF(946&lt;=(Eingabe!$P$18+Eingabe!$Q$18-1),MATCH(946,Eingabe!$P$9:$P$18,1),"")</f>
        <v/>
      </c>
      <c r="J951" s="0" t="str">
        <f aca="false">IF(I951="","",946-INDEX(Eingabe!$P$9:$P$18,I951))</f>
        <v/>
      </c>
      <c r="K951" s="0" t="str">
        <f aca="false">IF(I951="","",INDEX(Eingabe!$E$9:$E$18,I951))</f>
        <v/>
      </c>
    </row>
    <row r="952" customFormat="false" ht="15" hidden="false" customHeight="false" outlineLevel="0" collapsed="false">
      <c r="A952" s="0" t="str">
        <f aca="false">IF(I952="","",IF(J952=0,"Sparte "&amp;I952&amp;": "&amp;INDEX(Eingabe!$B$9:$B$18,I952)&amp;"  (Sparten-ID "&amp;INDEX(Eingabe!$D$9:$D$18,I952)&amp;", "&amp;K952&amp;" Parzellen)",IF(J952&lt;=K952,"   Parzelle "&amp;J952,IF(J952=K952+1,"   Vorstand",IF(J952=K952+2,"   Gäste",IF(J952=K952+3,"   Technik (Switches, Access Points)",""))))))</f>
        <v/>
      </c>
      <c r="B952" s="0" t="str">
        <f aca="false">IF(I952="","",IF(AND(J952&gt;=1,J952&lt;=K952+3),IF(J952&lt;=K952,IF(J952&lt;=99,IF((INDEX(Eingabe!$G$9:$G$18,I952))&lt;=9,1000+(INDEX(Eingabe!$G$9:$G$18,I952))*100,3000)+J952,IF((INDEX(Eingabe!$G$9:$G$18,I952)+1)&lt;=9,1000+(INDEX(Eingabe!$G$9:$G$18,I952)+1)*100,3000)+J952-100),IF(J952=K952+1,2000+INDEX(Eingabe!$G$9:$G$18,I952)*10+1,IF(J952=K952+2,2000+INDEX(Eingabe!$G$9:$G$18,I952)*10+2,2000+INDEX(Eingabe!$G$9:$G$18,I952)*10+9))),""))</f>
        <v/>
      </c>
      <c r="C952" s="0" t="str">
        <f aca="false">IF(I952="","",IF(AND(J952&gt;=1,J952&lt;=K952+3),"10."&amp;INDEX(Eingabe!$D$9:$D$18,I952)&amp;"."&amp;IF(J952&lt;=K952,J952,IF(J952=K952+1,200,IF(J952=K952+2,201,250)))&amp;".0/24",""))</f>
        <v/>
      </c>
      <c r="D952" s="0" t="str">
        <f aca="false">IF(I952="","",IF(AND(J952&gt;=1,J952&lt;=K952+3),"255.255.255.0",""))</f>
        <v/>
      </c>
      <c r="E952" s="0" t="str">
        <f aca="false">IF(I952="","",IF(AND(J952&gt;=1,J952&lt;=K952+3),"10."&amp;INDEX(Eingabe!$D$9:$D$18,I952)&amp;"."&amp;IF(J952&lt;=K952,J952,IF(J952=K952+1,200,IF(J952=K952+2,201,250)))&amp;".1",""))</f>
        <v/>
      </c>
      <c r="F952" s="0" t="str">
        <f aca="false">IF(I952="","",IF(AND(J952&gt;=1,J952&lt;=K952+3),"10."&amp;INDEX(Eingabe!$D$9:$D$18,I952)&amp;"."&amp;IF(J952&lt;=K952,J952,IF(J952=K952+1,200,IF(J952=K952+2,201,250)))&amp;".10 – 10."&amp;INDEX(Eingabe!$D$9:$D$18,I952)&amp;"."&amp;IF(J952&lt;=K952,J952,IF(J952=K952+1,200,IF(J952=K952+2,201,250)))&amp;".250",""))</f>
        <v/>
      </c>
      <c r="G952" s="0" t="str">
        <f aca="false">IF(I952="","",IF(AND(J952&gt;=1,J952&lt;=K952),Eingabe!$B$6&amp;"-"&amp;INDEX(Eingabe!$C$9:$C$18,I952)&amp;"-Pächter  ·  Passwort Parzelle "&amp;J952,IF(J952=K952+1,Eingabe!$B$6&amp;"-"&amp;INDEX(Eingabe!$C$9:$C$18,I952)&amp;"-Vorstand  ·  eigenes WLAN",IF(J952=K952+2,Eingabe!$B$6&amp;"-"&amp;INDEX(Eingabe!$C$9:$C$18,I952)&amp;"-Gäste  ·  Voucher",IF(J952=K952+3,"Kabel  ·  Access Point y = .(50+y), Mast-Switch x = .(10+x)","")))))</f>
        <v/>
      </c>
      <c r="I952" s="0" t="str">
        <f aca="false">IF(947&lt;=(Eingabe!$P$18+Eingabe!$Q$18-1),MATCH(947,Eingabe!$P$9:$P$18,1),"")</f>
        <v/>
      </c>
      <c r="J952" s="0" t="str">
        <f aca="false">IF(I952="","",947-INDEX(Eingabe!$P$9:$P$18,I952))</f>
        <v/>
      </c>
      <c r="K952" s="0" t="str">
        <f aca="false">IF(I952="","",INDEX(Eingabe!$E$9:$E$18,I952))</f>
        <v/>
      </c>
    </row>
    <row r="953" customFormat="false" ht="15" hidden="false" customHeight="false" outlineLevel="0" collapsed="false">
      <c r="A953" s="0" t="str">
        <f aca="false">IF(I953="","",IF(J953=0,"Sparte "&amp;I953&amp;": "&amp;INDEX(Eingabe!$B$9:$B$18,I953)&amp;"  (Sparten-ID "&amp;INDEX(Eingabe!$D$9:$D$18,I953)&amp;", "&amp;K953&amp;" Parzellen)",IF(J953&lt;=K953,"   Parzelle "&amp;J953,IF(J953=K953+1,"   Vorstand",IF(J953=K953+2,"   Gäste",IF(J953=K953+3,"   Technik (Switches, Access Points)",""))))))</f>
        <v/>
      </c>
      <c r="B953" s="0" t="str">
        <f aca="false">IF(I953="","",IF(AND(J953&gt;=1,J953&lt;=K953+3),IF(J953&lt;=K953,IF(J953&lt;=99,IF((INDEX(Eingabe!$G$9:$G$18,I953))&lt;=9,1000+(INDEX(Eingabe!$G$9:$G$18,I953))*100,3000)+J953,IF((INDEX(Eingabe!$G$9:$G$18,I953)+1)&lt;=9,1000+(INDEX(Eingabe!$G$9:$G$18,I953)+1)*100,3000)+J953-100),IF(J953=K953+1,2000+INDEX(Eingabe!$G$9:$G$18,I953)*10+1,IF(J953=K953+2,2000+INDEX(Eingabe!$G$9:$G$18,I953)*10+2,2000+INDEX(Eingabe!$G$9:$G$18,I953)*10+9))),""))</f>
        <v/>
      </c>
      <c r="C953" s="0" t="str">
        <f aca="false">IF(I953="","",IF(AND(J953&gt;=1,J953&lt;=K953+3),"10."&amp;INDEX(Eingabe!$D$9:$D$18,I953)&amp;"."&amp;IF(J953&lt;=K953,J953,IF(J953=K953+1,200,IF(J953=K953+2,201,250)))&amp;".0/24",""))</f>
        <v/>
      </c>
      <c r="D953" s="0" t="str">
        <f aca="false">IF(I953="","",IF(AND(J953&gt;=1,J953&lt;=K953+3),"255.255.255.0",""))</f>
        <v/>
      </c>
      <c r="E953" s="0" t="str">
        <f aca="false">IF(I953="","",IF(AND(J953&gt;=1,J953&lt;=K953+3),"10."&amp;INDEX(Eingabe!$D$9:$D$18,I953)&amp;"."&amp;IF(J953&lt;=K953,J953,IF(J953=K953+1,200,IF(J953=K953+2,201,250)))&amp;".1",""))</f>
        <v/>
      </c>
      <c r="F953" s="0" t="str">
        <f aca="false">IF(I953="","",IF(AND(J953&gt;=1,J953&lt;=K953+3),"10."&amp;INDEX(Eingabe!$D$9:$D$18,I953)&amp;"."&amp;IF(J953&lt;=K953,J953,IF(J953=K953+1,200,IF(J953=K953+2,201,250)))&amp;".10 – 10."&amp;INDEX(Eingabe!$D$9:$D$18,I953)&amp;"."&amp;IF(J953&lt;=K953,J953,IF(J953=K953+1,200,IF(J953=K953+2,201,250)))&amp;".250",""))</f>
        <v/>
      </c>
      <c r="G953" s="0" t="str">
        <f aca="false">IF(I953="","",IF(AND(J953&gt;=1,J953&lt;=K953),Eingabe!$B$6&amp;"-"&amp;INDEX(Eingabe!$C$9:$C$18,I953)&amp;"-Pächter  ·  Passwort Parzelle "&amp;J953,IF(J953=K953+1,Eingabe!$B$6&amp;"-"&amp;INDEX(Eingabe!$C$9:$C$18,I953)&amp;"-Vorstand  ·  eigenes WLAN",IF(J953=K953+2,Eingabe!$B$6&amp;"-"&amp;INDEX(Eingabe!$C$9:$C$18,I953)&amp;"-Gäste  ·  Voucher",IF(J953=K953+3,"Kabel  ·  Access Point y = .(50+y), Mast-Switch x = .(10+x)","")))))</f>
        <v/>
      </c>
      <c r="I953" s="0" t="str">
        <f aca="false">IF(948&lt;=(Eingabe!$P$18+Eingabe!$Q$18-1),MATCH(948,Eingabe!$P$9:$P$18,1),"")</f>
        <v/>
      </c>
      <c r="J953" s="0" t="str">
        <f aca="false">IF(I953="","",948-INDEX(Eingabe!$P$9:$P$18,I953))</f>
        <v/>
      </c>
      <c r="K953" s="0" t="str">
        <f aca="false">IF(I953="","",INDEX(Eingabe!$E$9:$E$18,I953))</f>
        <v/>
      </c>
    </row>
    <row r="954" customFormat="false" ht="15" hidden="false" customHeight="false" outlineLevel="0" collapsed="false">
      <c r="A954" s="0" t="str">
        <f aca="false">IF(I954="","",IF(J954=0,"Sparte "&amp;I954&amp;": "&amp;INDEX(Eingabe!$B$9:$B$18,I954)&amp;"  (Sparten-ID "&amp;INDEX(Eingabe!$D$9:$D$18,I954)&amp;", "&amp;K954&amp;" Parzellen)",IF(J954&lt;=K954,"   Parzelle "&amp;J954,IF(J954=K954+1,"   Vorstand",IF(J954=K954+2,"   Gäste",IF(J954=K954+3,"   Technik (Switches, Access Points)",""))))))</f>
        <v/>
      </c>
      <c r="B954" s="0" t="str">
        <f aca="false">IF(I954="","",IF(AND(J954&gt;=1,J954&lt;=K954+3),IF(J954&lt;=K954,IF(J954&lt;=99,IF((INDEX(Eingabe!$G$9:$G$18,I954))&lt;=9,1000+(INDEX(Eingabe!$G$9:$G$18,I954))*100,3000)+J954,IF((INDEX(Eingabe!$G$9:$G$18,I954)+1)&lt;=9,1000+(INDEX(Eingabe!$G$9:$G$18,I954)+1)*100,3000)+J954-100),IF(J954=K954+1,2000+INDEX(Eingabe!$G$9:$G$18,I954)*10+1,IF(J954=K954+2,2000+INDEX(Eingabe!$G$9:$G$18,I954)*10+2,2000+INDEX(Eingabe!$G$9:$G$18,I954)*10+9))),""))</f>
        <v/>
      </c>
      <c r="C954" s="0" t="str">
        <f aca="false">IF(I954="","",IF(AND(J954&gt;=1,J954&lt;=K954+3),"10."&amp;INDEX(Eingabe!$D$9:$D$18,I954)&amp;"."&amp;IF(J954&lt;=K954,J954,IF(J954=K954+1,200,IF(J954=K954+2,201,250)))&amp;".0/24",""))</f>
        <v/>
      </c>
      <c r="D954" s="0" t="str">
        <f aca="false">IF(I954="","",IF(AND(J954&gt;=1,J954&lt;=K954+3),"255.255.255.0",""))</f>
        <v/>
      </c>
      <c r="E954" s="0" t="str">
        <f aca="false">IF(I954="","",IF(AND(J954&gt;=1,J954&lt;=K954+3),"10."&amp;INDEX(Eingabe!$D$9:$D$18,I954)&amp;"."&amp;IF(J954&lt;=K954,J954,IF(J954=K954+1,200,IF(J954=K954+2,201,250)))&amp;".1",""))</f>
        <v/>
      </c>
      <c r="F954" s="0" t="str">
        <f aca="false">IF(I954="","",IF(AND(J954&gt;=1,J954&lt;=K954+3),"10."&amp;INDEX(Eingabe!$D$9:$D$18,I954)&amp;"."&amp;IF(J954&lt;=K954,J954,IF(J954=K954+1,200,IF(J954=K954+2,201,250)))&amp;".10 – 10."&amp;INDEX(Eingabe!$D$9:$D$18,I954)&amp;"."&amp;IF(J954&lt;=K954,J954,IF(J954=K954+1,200,IF(J954=K954+2,201,250)))&amp;".250",""))</f>
        <v/>
      </c>
      <c r="G954" s="0" t="str">
        <f aca="false">IF(I954="","",IF(AND(J954&gt;=1,J954&lt;=K954),Eingabe!$B$6&amp;"-"&amp;INDEX(Eingabe!$C$9:$C$18,I954)&amp;"-Pächter  ·  Passwort Parzelle "&amp;J954,IF(J954=K954+1,Eingabe!$B$6&amp;"-"&amp;INDEX(Eingabe!$C$9:$C$18,I954)&amp;"-Vorstand  ·  eigenes WLAN",IF(J954=K954+2,Eingabe!$B$6&amp;"-"&amp;INDEX(Eingabe!$C$9:$C$18,I954)&amp;"-Gäste  ·  Voucher",IF(J954=K954+3,"Kabel  ·  Access Point y = .(50+y), Mast-Switch x = .(10+x)","")))))</f>
        <v/>
      </c>
      <c r="I954" s="0" t="str">
        <f aca="false">IF(949&lt;=(Eingabe!$P$18+Eingabe!$Q$18-1),MATCH(949,Eingabe!$P$9:$P$18,1),"")</f>
        <v/>
      </c>
      <c r="J954" s="0" t="str">
        <f aca="false">IF(I954="","",949-INDEX(Eingabe!$P$9:$P$18,I954))</f>
        <v/>
      </c>
      <c r="K954" s="0" t="str">
        <f aca="false">IF(I954="","",INDEX(Eingabe!$E$9:$E$18,I954))</f>
        <v/>
      </c>
    </row>
    <row r="955" customFormat="false" ht="15" hidden="false" customHeight="false" outlineLevel="0" collapsed="false">
      <c r="A955" s="0" t="str">
        <f aca="false">IF(I955="","",IF(J955=0,"Sparte "&amp;I955&amp;": "&amp;INDEX(Eingabe!$B$9:$B$18,I955)&amp;"  (Sparten-ID "&amp;INDEX(Eingabe!$D$9:$D$18,I955)&amp;", "&amp;K955&amp;" Parzellen)",IF(J955&lt;=K955,"   Parzelle "&amp;J955,IF(J955=K955+1,"   Vorstand",IF(J955=K955+2,"   Gäste",IF(J955=K955+3,"   Technik (Switches, Access Points)",""))))))</f>
        <v/>
      </c>
      <c r="B955" s="0" t="str">
        <f aca="false">IF(I955="","",IF(AND(J955&gt;=1,J955&lt;=K955+3),IF(J955&lt;=K955,IF(J955&lt;=99,IF((INDEX(Eingabe!$G$9:$G$18,I955))&lt;=9,1000+(INDEX(Eingabe!$G$9:$G$18,I955))*100,3000)+J955,IF((INDEX(Eingabe!$G$9:$G$18,I955)+1)&lt;=9,1000+(INDEX(Eingabe!$G$9:$G$18,I955)+1)*100,3000)+J955-100),IF(J955=K955+1,2000+INDEX(Eingabe!$G$9:$G$18,I955)*10+1,IF(J955=K955+2,2000+INDEX(Eingabe!$G$9:$G$18,I955)*10+2,2000+INDEX(Eingabe!$G$9:$G$18,I955)*10+9))),""))</f>
        <v/>
      </c>
      <c r="C955" s="0" t="str">
        <f aca="false">IF(I955="","",IF(AND(J955&gt;=1,J955&lt;=K955+3),"10."&amp;INDEX(Eingabe!$D$9:$D$18,I955)&amp;"."&amp;IF(J955&lt;=K955,J955,IF(J955=K955+1,200,IF(J955=K955+2,201,250)))&amp;".0/24",""))</f>
        <v/>
      </c>
      <c r="D955" s="0" t="str">
        <f aca="false">IF(I955="","",IF(AND(J955&gt;=1,J955&lt;=K955+3),"255.255.255.0",""))</f>
        <v/>
      </c>
      <c r="E955" s="0" t="str">
        <f aca="false">IF(I955="","",IF(AND(J955&gt;=1,J955&lt;=K955+3),"10."&amp;INDEX(Eingabe!$D$9:$D$18,I955)&amp;"."&amp;IF(J955&lt;=K955,J955,IF(J955=K955+1,200,IF(J955=K955+2,201,250)))&amp;".1",""))</f>
        <v/>
      </c>
      <c r="F955" s="0" t="str">
        <f aca="false">IF(I955="","",IF(AND(J955&gt;=1,J955&lt;=K955+3),"10."&amp;INDEX(Eingabe!$D$9:$D$18,I955)&amp;"."&amp;IF(J955&lt;=K955,J955,IF(J955=K955+1,200,IF(J955=K955+2,201,250)))&amp;".10 – 10."&amp;INDEX(Eingabe!$D$9:$D$18,I955)&amp;"."&amp;IF(J955&lt;=K955,J955,IF(J955=K955+1,200,IF(J955=K955+2,201,250)))&amp;".250",""))</f>
        <v/>
      </c>
      <c r="G955" s="0" t="str">
        <f aca="false">IF(I955="","",IF(AND(J955&gt;=1,J955&lt;=K955),Eingabe!$B$6&amp;"-"&amp;INDEX(Eingabe!$C$9:$C$18,I955)&amp;"-Pächter  ·  Passwort Parzelle "&amp;J955,IF(J955=K955+1,Eingabe!$B$6&amp;"-"&amp;INDEX(Eingabe!$C$9:$C$18,I955)&amp;"-Vorstand  ·  eigenes WLAN",IF(J955=K955+2,Eingabe!$B$6&amp;"-"&amp;INDEX(Eingabe!$C$9:$C$18,I955)&amp;"-Gäste  ·  Voucher",IF(J955=K955+3,"Kabel  ·  Access Point y = .(50+y), Mast-Switch x = .(10+x)","")))))</f>
        <v/>
      </c>
      <c r="I955" s="0" t="str">
        <f aca="false">IF(950&lt;=(Eingabe!$P$18+Eingabe!$Q$18-1),MATCH(950,Eingabe!$P$9:$P$18,1),"")</f>
        <v/>
      </c>
      <c r="J955" s="0" t="str">
        <f aca="false">IF(I955="","",950-INDEX(Eingabe!$P$9:$P$18,I955))</f>
        <v/>
      </c>
      <c r="K955" s="0" t="str">
        <f aca="false">IF(I955="","",INDEX(Eingabe!$E$9:$E$18,I955))</f>
        <v/>
      </c>
    </row>
    <row r="956" customFormat="false" ht="15" hidden="false" customHeight="false" outlineLevel="0" collapsed="false">
      <c r="A956" s="0" t="str">
        <f aca="false">IF(I956="","",IF(J956=0,"Sparte "&amp;I956&amp;": "&amp;INDEX(Eingabe!$B$9:$B$18,I956)&amp;"  (Sparten-ID "&amp;INDEX(Eingabe!$D$9:$D$18,I956)&amp;", "&amp;K956&amp;" Parzellen)",IF(J956&lt;=K956,"   Parzelle "&amp;J956,IF(J956=K956+1,"   Vorstand",IF(J956=K956+2,"   Gäste",IF(J956=K956+3,"   Technik (Switches, Access Points)",""))))))</f>
        <v/>
      </c>
      <c r="B956" s="0" t="str">
        <f aca="false">IF(I956="","",IF(AND(J956&gt;=1,J956&lt;=K956+3),IF(J956&lt;=K956,IF(J956&lt;=99,IF((INDEX(Eingabe!$G$9:$G$18,I956))&lt;=9,1000+(INDEX(Eingabe!$G$9:$G$18,I956))*100,3000)+J956,IF((INDEX(Eingabe!$G$9:$G$18,I956)+1)&lt;=9,1000+(INDEX(Eingabe!$G$9:$G$18,I956)+1)*100,3000)+J956-100),IF(J956=K956+1,2000+INDEX(Eingabe!$G$9:$G$18,I956)*10+1,IF(J956=K956+2,2000+INDEX(Eingabe!$G$9:$G$18,I956)*10+2,2000+INDEX(Eingabe!$G$9:$G$18,I956)*10+9))),""))</f>
        <v/>
      </c>
      <c r="C956" s="0" t="str">
        <f aca="false">IF(I956="","",IF(AND(J956&gt;=1,J956&lt;=K956+3),"10."&amp;INDEX(Eingabe!$D$9:$D$18,I956)&amp;"."&amp;IF(J956&lt;=K956,J956,IF(J956=K956+1,200,IF(J956=K956+2,201,250)))&amp;".0/24",""))</f>
        <v/>
      </c>
      <c r="D956" s="0" t="str">
        <f aca="false">IF(I956="","",IF(AND(J956&gt;=1,J956&lt;=K956+3),"255.255.255.0",""))</f>
        <v/>
      </c>
      <c r="E956" s="0" t="str">
        <f aca="false">IF(I956="","",IF(AND(J956&gt;=1,J956&lt;=K956+3),"10."&amp;INDEX(Eingabe!$D$9:$D$18,I956)&amp;"."&amp;IF(J956&lt;=K956,J956,IF(J956=K956+1,200,IF(J956=K956+2,201,250)))&amp;".1",""))</f>
        <v/>
      </c>
      <c r="F956" s="0" t="str">
        <f aca="false">IF(I956="","",IF(AND(J956&gt;=1,J956&lt;=K956+3),"10."&amp;INDEX(Eingabe!$D$9:$D$18,I956)&amp;"."&amp;IF(J956&lt;=K956,J956,IF(J956=K956+1,200,IF(J956=K956+2,201,250)))&amp;".10 – 10."&amp;INDEX(Eingabe!$D$9:$D$18,I956)&amp;"."&amp;IF(J956&lt;=K956,J956,IF(J956=K956+1,200,IF(J956=K956+2,201,250)))&amp;".250",""))</f>
        <v/>
      </c>
      <c r="G956" s="0" t="str">
        <f aca="false">IF(I956="","",IF(AND(J956&gt;=1,J956&lt;=K956),Eingabe!$B$6&amp;"-"&amp;INDEX(Eingabe!$C$9:$C$18,I956)&amp;"-Pächter  ·  Passwort Parzelle "&amp;J956,IF(J956=K956+1,Eingabe!$B$6&amp;"-"&amp;INDEX(Eingabe!$C$9:$C$18,I956)&amp;"-Vorstand  ·  eigenes WLAN",IF(J956=K956+2,Eingabe!$B$6&amp;"-"&amp;INDEX(Eingabe!$C$9:$C$18,I956)&amp;"-Gäste  ·  Voucher",IF(J956=K956+3,"Kabel  ·  Access Point y = .(50+y), Mast-Switch x = .(10+x)","")))))</f>
        <v/>
      </c>
      <c r="I956" s="0" t="str">
        <f aca="false">IF(951&lt;=(Eingabe!$P$18+Eingabe!$Q$18-1),MATCH(951,Eingabe!$P$9:$P$18,1),"")</f>
        <v/>
      </c>
      <c r="J956" s="0" t="str">
        <f aca="false">IF(I956="","",951-INDEX(Eingabe!$P$9:$P$18,I956))</f>
        <v/>
      </c>
      <c r="K956" s="0" t="str">
        <f aca="false">IF(I956="","",INDEX(Eingabe!$E$9:$E$18,I956))</f>
        <v/>
      </c>
    </row>
    <row r="957" customFormat="false" ht="15" hidden="false" customHeight="false" outlineLevel="0" collapsed="false">
      <c r="A957" s="0" t="str">
        <f aca="false">IF(I957="","",IF(J957=0,"Sparte "&amp;I957&amp;": "&amp;INDEX(Eingabe!$B$9:$B$18,I957)&amp;"  (Sparten-ID "&amp;INDEX(Eingabe!$D$9:$D$18,I957)&amp;", "&amp;K957&amp;" Parzellen)",IF(J957&lt;=K957,"   Parzelle "&amp;J957,IF(J957=K957+1,"   Vorstand",IF(J957=K957+2,"   Gäste",IF(J957=K957+3,"   Technik (Switches, Access Points)",""))))))</f>
        <v/>
      </c>
      <c r="B957" s="0" t="str">
        <f aca="false">IF(I957="","",IF(AND(J957&gt;=1,J957&lt;=K957+3),IF(J957&lt;=K957,IF(J957&lt;=99,IF((INDEX(Eingabe!$G$9:$G$18,I957))&lt;=9,1000+(INDEX(Eingabe!$G$9:$G$18,I957))*100,3000)+J957,IF((INDEX(Eingabe!$G$9:$G$18,I957)+1)&lt;=9,1000+(INDEX(Eingabe!$G$9:$G$18,I957)+1)*100,3000)+J957-100),IF(J957=K957+1,2000+INDEX(Eingabe!$G$9:$G$18,I957)*10+1,IF(J957=K957+2,2000+INDEX(Eingabe!$G$9:$G$18,I957)*10+2,2000+INDEX(Eingabe!$G$9:$G$18,I957)*10+9))),""))</f>
        <v/>
      </c>
      <c r="C957" s="0" t="str">
        <f aca="false">IF(I957="","",IF(AND(J957&gt;=1,J957&lt;=K957+3),"10."&amp;INDEX(Eingabe!$D$9:$D$18,I957)&amp;"."&amp;IF(J957&lt;=K957,J957,IF(J957=K957+1,200,IF(J957=K957+2,201,250)))&amp;".0/24",""))</f>
        <v/>
      </c>
      <c r="D957" s="0" t="str">
        <f aca="false">IF(I957="","",IF(AND(J957&gt;=1,J957&lt;=K957+3),"255.255.255.0",""))</f>
        <v/>
      </c>
      <c r="E957" s="0" t="str">
        <f aca="false">IF(I957="","",IF(AND(J957&gt;=1,J957&lt;=K957+3),"10."&amp;INDEX(Eingabe!$D$9:$D$18,I957)&amp;"."&amp;IF(J957&lt;=K957,J957,IF(J957=K957+1,200,IF(J957=K957+2,201,250)))&amp;".1",""))</f>
        <v/>
      </c>
      <c r="F957" s="0" t="str">
        <f aca="false">IF(I957="","",IF(AND(J957&gt;=1,J957&lt;=K957+3),"10."&amp;INDEX(Eingabe!$D$9:$D$18,I957)&amp;"."&amp;IF(J957&lt;=K957,J957,IF(J957=K957+1,200,IF(J957=K957+2,201,250)))&amp;".10 – 10."&amp;INDEX(Eingabe!$D$9:$D$18,I957)&amp;"."&amp;IF(J957&lt;=K957,J957,IF(J957=K957+1,200,IF(J957=K957+2,201,250)))&amp;".250",""))</f>
        <v/>
      </c>
      <c r="G957" s="0" t="str">
        <f aca="false">IF(I957="","",IF(AND(J957&gt;=1,J957&lt;=K957),Eingabe!$B$6&amp;"-"&amp;INDEX(Eingabe!$C$9:$C$18,I957)&amp;"-Pächter  ·  Passwort Parzelle "&amp;J957,IF(J957=K957+1,Eingabe!$B$6&amp;"-"&amp;INDEX(Eingabe!$C$9:$C$18,I957)&amp;"-Vorstand  ·  eigenes WLAN",IF(J957=K957+2,Eingabe!$B$6&amp;"-"&amp;INDEX(Eingabe!$C$9:$C$18,I957)&amp;"-Gäste  ·  Voucher",IF(J957=K957+3,"Kabel  ·  Access Point y = .(50+y), Mast-Switch x = .(10+x)","")))))</f>
        <v/>
      </c>
      <c r="I957" s="0" t="str">
        <f aca="false">IF(952&lt;=(Eingabe!$P$18+Eingabe!$Q$18-1),MATCH(952,Eingabe!$P$9:$P$18,1),"")</f>
        <v/>
      </c>
      <c r="J957" s="0" t="str">
        <f aca="false">IF(I957="","",952-INDEX(Eingabe!$P$9:$P$18,I957))</f>
        <v/>
      </c>
      <c r="K957" s="0" t="str">
        <f aca="false">IF(I957="","",INDEX(Eingabe!$E$9:$E$18,I957))</f>
        <v/>
      </c>
    </row>
    <row r="958" customFormat="false" ht="15" hidden="false" customHeight="false" outlineLevel="0" collapsed="false">
      <c r="A958" s="0" t="str">
        <f aca="false">IF(I958="","",IF(J958=0,"Sparte "&amp;I958&amp;": "&amp;INDEX(Eingabe!$B$9:$B$18,I958)&amp;"  (Sparten-ID "&amp;INDEX(Eingabe!$D$9:$D$18,I958)&amp;", "&amp;K958&amp;" Parzellen)",IF(J958&lt;=K958,"   Parzelle "&amp;J958,IF(J958=K958+1,"   Vorstand",IF(J958=K958+2,"   Gäste",IF(J958=K958+3,"   Technik (Switches, Access Points)",""))))))</f>
        <v/>
      </c>
      <c r="B958" s="0" t="str">
        <f aca="false">IF(I958="","",IF(AND(J958&gt;=1,J958&lt;=K958+3),IF(J958&lt;=K958,IF(J958&lt;=99,IF((INDEX(Eingabe!$G$9:$G$18,I958))&lt;=9,1000+(INDEX(Eingabe!$G$9:$G$18,I958))*100,3000)+J958,IF((INDEX(Eingabe!$G$9:$G$18,I958)+1)&lt;=9,1000+(INDEX(Eingabe!$G$9:$G$18,I958)+1)*100,3000)+J958-100),IF(J958=K958+1,2000+INDEX(Eingabe!$G$9:$G$18,I958)*10+1,IF(J958=K958+2,2000+INDEX(Eingabe!$G$9:$G$18,I958)*10+2,2000+INDEX(Eingabe!$G$9:$G$18,I958)*10+9))),""))</f>
        <v/>
      </c>
      <c r="C958" s="0" t="str">
        <f aca="false">IF(I958="","",IF(AND(J958&gt;=1,J958&lt;=K958+3),"10."&amp;INDEX(Eingabe!$D$9:$D$18,I958)&amp;"."&amp;IF(J958&lt;=K958,J958,IF(J958=K958+1,200,IF(J958=K958+2,201,250)))&amp;".0/24",""))</f>
        <v/>
      </c>
      <c r="D958" s="0" t="str">
        <f aca="false">IF(I958="","",IF(AND(J958&gt;=1,J958&lt;=K958+3),"255.255.255.0",""))</f>
        <v/>
      </c>
      <c r="E958" s="0" t="str">
        <f aca="false">IF(I958="","",IF(AND(J958&gt;=1,J958&lt;=K958+3),"10."&amp;INDEX(Eingabe!$D$9:$D$18,I958)&amp;"."&amp;IF(J958&lt;=K958,J958,IF(J958=K958+1,200,IF(J958=K958+2,201,250)))&amp;".1",""))</f>
        <v/>
      </c>
      <c r="F958" s="0" t="str">
        <f aca="false">IF(I958="","",IF(AND(J958&gt;=1,J958&lt;=K958+3),"10."&amp;INDEX(Eingabe!$D$9:$D$18,I958)&amp;"."&amp;IF(J958&lt;=K958,J958,IF(J958=K958+1,200,IF(J958=K958+2,201,250)))&amp;".10 – 10."&amp;INDEX(Eingabe!$D$9:$D$18,I958)&amp;"."&amp;IF(J958&lt;=K958,J958,IF(J958=K958+1,200,IF(J958=K958+2,201,250)))&amp;".250",""))</f>
        <v/>
      </c>
      <c r="G958" s="0" t="str">
        <f aca="false">IF(I958="","",IF(AND(J958&gt;=1,J958&lt;=K958),Eingabe!$B$6&amp;"-"&amp;INDEX(Eingabe!$C$9:$C$18,I958)&amp;"-Pächter  ·  Passwort Parzelle "&amp;J958,IF(J958=K958+1,Eingabe!$B$6&amp;"-"&amp;INDEX(Eingabe!$C$9:$C$18,I958)&amp;"-Vorstand  ·  eigenes WLAN",IF(J958=K958+2,Eingabe!$B$6&amp;"-"&amp;INDEX(Eingabe!$C$9:$C$18,I958)&amp;"-Gäste  ·  Voucher",IF(J958=K958+3,"Kabel  ·  Access Point y = .(50+y), Mast-Switch x = .(10+x)","")))))</f>
        <v/>
      </c>
      <c r="I958" s="0" t="str">
        <f aca="false">IF(953&lt;=(Eingabe!$P$18+Eingabe!$Q$18-1),MATCH(953,Eingabe!$P$9:$P$18,1),"")</f>
        <v/>
      </c>
      <c r="J958" s="0" t="str">
        <f aca="false">IF(I958="","",953-INDEX(Eingabe!$P$9:$P$18,I958))</f>
        <v/>
      </c>
      <c r="K958" s="0" t="str">
        <f aca="false">IF(I958="","",INDEX(Eingabe!$E$9:$E$18,I958))</f>
        <v/>
      </c>
    </row>
    <row r="959" customFormat="false" ht="15" hidden="false" customHeight="false" outlineLevel="0" collapsed="false">
      <c r="A959" s="0" t="str">
        <f aca="false">IF(I959="","",IF(J959=0,"Sparte "&amp;I959&amp;": "&amp;INDEX(Eingabe!$B$9:$B$18,I959)&amp;"  (Sparten-ID "&amp;INDEX(Eingabe!$D$9:$D$18,I959)&amp;", "&amp;K959&amp;" Parzellen)",IF(J959&lt;=K959,"   Parzelle "&amp;J959,IF(J959=K959+1,"   Vorstand",IF(J959=K959+2,"   Gäste",IF(J959=K959+3,"   Technik (Switches, Access Points)",""))))))</f>
        <v/>
      </c>
      <c r="B959" s="0" t="str">
        <f aca="false">IF(I959="","",IF(AND(J959&gt;=1,J959&lt;=K959+3),IF(J959&lt;=K959,IF(J959&lt;=99,IF((INDEX(Eingabe!$G$9:$G$18,I959))&lt;=9,1000+(INDEX(Eingabe!$G$9:$G$18,I959))*100,3000)+J959,IF((INDEX(Eingabe!$G$9:$G$18,I959)+1)&lt;=9,1000+(INDEX(Eingabe!$G$9:$G$18,I959)+1)*100,3000)+J959-100),IF(J959=K959+1,2000+INDEX(Eingabe!$G$9:$G$18,I959)*10+1,IF(J959=K959+2,2000+INDEX(Eingabe!$G$9:$G$18,I959)*10+2,2000+INDEX(Eingabe!$G$9:$G$18,I959)*10+9))),""))</f>
        <v/>
      </c>
      <c r="C959" s="0" t="str">
        <f aca="false">IF(I959="","",IF(AND(J959&gt;=1,J959&lt;=K959+3),"10."&amp;INDEX(Eingabe!$D$9:$D$18,I959)&amp;"."&amp;IF(J959&lt;=K959,J959,IF(J959=K959+1,200,IF(J959=K959+2,201,250)))&amp;".0/24",""))</f>
        <v/>
      </c>
      <c r="D959" s="0" t="str">
        <f aca="false">IF(I959="","",IF(AND(J959&gt;=1,J959&lt;=K959+3),"255.255.255.0",""))</f>
        <v/>
      </c>
      <c r="E959" s="0" t="str">
        <f aca="false">IF(I959="","",IF(AND(J959&gt;=1,J959&lt;=K959+3),"10."&amp;INDEX(Eingabe!$D$9:$D$18,I959)&amp;"."&amp;IF(J959&lt;=K959,J959,IF(J959=K959+1,200,IF(J959=K959+2,201,250)))&amp;".1",""))</f>
        <v/>
      </c>
      <c r="F959" s="0" t="str">
        <f aca="false">IF(I959="","",IF(AND(J959&gt;=1,J959&lt;=K959+3),"10."&amp;INDEX(Eingabe!$D$9:$D$18,I959)&amp;"."&amp;IF(J959&lt;=K959,J959,IF(J959=K959+1,200,IF(J959=K959+2,201,250)))&amp;".10 – 10."&amp;INDEX(Eingabe!$D$9:$D$18,I959)&amp;"."&amp;IF(J959&lt;=K959,J959,IF(J959=K959+1,200,IF(J959=K959+2,201,250)))&amp;".250",""))</f>
        <v/>
      </c>
      <c r="G959" s="0" t="str">
        <f aca="false">IF(I959="","",IF(AND(J959&gt;=1,J959&lt;=K959),Eingabe!$B$6&amp;"-"&amp;INDEX(Eingabe!$C$9:$C$18,I959)&amp;"-Pächter  ·  Passwort Parzelle "&amp;J959,IF(J959=K959+1,Eingabe!$B$6&amp;"-"&amp;INDEX(Eingabe!$C$9:$C$18,I959)&amp;"-Vorstand  ·  eigenes WLAN",IF(J959=K959+2,Eingabe!$B$6&amp;"-"&amp;INDEX(Eingabe!$C$9:$C$18,I959)&amp;"-Gäste  ·  Voucher",IF(J959=K959+3,"Kabel  ·  Access Point y = .(50+y), Mast-Switch x = .(10+x)","")))))</f>
        <v/>
      </c>
      <c r="I959" s="0" t="str">
        <f aca="false">IF(954&lt;=(Eingabe!$P$18+Eingabe!$Q$18-1),MATCH(954,Eingabe!$P$9:$P$18,1),"")</f>
        <v/>
      </c>
      <c r="J959" s="0" t="str">
        <f aca="false">IF(I959="","",954-INDEX(Eingabe!$P$9:$P$18,I959))</f>
        <v/>
      </c>
      <c r="K959" s="0" t="str">
        <f aca="false">IF(I959="","",INDEX(Eingabe!$E$9:$E$18,I959))</f>
        <v/>
      </c>
    </row>
    <row r="960" customFormat="false" ht="15" hidden="false" customHeight="false" outlineLevel="0" collapsed="false">
      <c r="A960" s="0" t="str">
        <f aca="false">IF(I960="","",IF(J960=0,"Sparte "&amp;I960&amp;": "&amp;INDEX(Eingabe!$B$9:$B$18,I960)&amp;"  (Sparten-ID "&amp;INDEX(Eingabe!$D$9:$D$18,I960)&amp;", "&amp;K960&amp;" Parzellen)",IF(J960&lt;=K960,"   Parzelle "&amp;J960,IF(J960=K960+1,"   Vorstand",IF(J960=K960+2,"   Gäste",IF(J960=K960+3,"   Technik (Switches, Access Points)",""))))))</f>
        <v/>
      </c>
      <c r="B960" s="0" t="str">
        <f aca="false">IF(I960="","",IF(AND(J960&gt;=1,J960&lt;=K960+3),IF(J960&lt;=K960,IF(J960&lt;=99,IF((INDEX(Eingabe!$G$9:$G$18,I960))&lt;=9,1000+(INDEX(Eingabe!$G$9:$G$18,I960))*100,3000)+J960,IF((INDEX(Eingabe!$G$9:$G$18,I960)+1)&lt;=9,1000+(INDEX(Eingabe!$G$9:$G$18,I960)+1)*100,3000)+J960-100),IF(J960=K960+1,2000+INDEX(Eingabe!$G$9:$G$18,I960)*10+1,IF(J960=K960+2,2000+INDEX(Eingabe!$G$9:$G$18,I960)*10+2,2000+INDEX(Eingabe!$G$9:$G$18,I960)*10+9))),""))</f>
        <v/>
      </c>
      <c r="C960" s="0" t="str">
        <f aca="false">IF(I960="","",IF(AND(J960&gt;=1,J960&lt;=K960+3),"10."&amp;INDEX(Eingabe!$D$9:$D$18,I960)&amp;"."&amp;IF(J960&lt;=K960,J960,IF(J960=K960+1,200,IF(J960=K960+2,201,250)))&amp;".0/24",""))</f>
        <v/>
      </c>
      <c r="D960" s="0" t="str">
        <f aca="false">IF(I960="","",IF(AND(J960&gt;=1,J960&lt;=K960+3),"255.255.255.0",""))</f>
        <v/>
      </c>
      <c r="E960" s="0" t="str">
        <f aca="false">IF(I960="","",IF(AND(J960&gt;=1,J960&lt;=K960+3),"10."&amp;INDEX(Eingabe!$D$9:$D$18,I960)&amp;"."&amp;IF(J960&lt;=K960,J960,IF(J960=K960+1,200,IF(J960=K960+2,201,250)))&amp;".1",""))</f>
        <v/>
      </c>
      <c r="F960" s="0" t="str">
        <f aca="false">IF(I960="","",IF(AND(J960&gt;=1,J960&lt;=K960+3),"10."&amp;INDEX(Eingabe!$D$9:$D$18,I960)&amp;"."&amp;IF(J960&lt;=K960,J960,IF(J960=K960+1,200,IF(J960=K960+2,201,250)))&amp;".10 – 10."&amp;INDEX(Eingabe!$D$9:$D$18,I960)&amp;"."&amp;IF(J960&lt;=K960,J960,IF(J960=K960+1,200,IF(J960=K960+2,201,250)))&amp;".250",""))</f>
        <v/>
      </c>
      <c r="G960" s="0" t="str">
        <f aca="false">IF(I960="","",IF(AND(J960&gt;=1,J960&lt;=K960),Eingabe!$B$6&amp;"-"&amp;INDEX(Eingabe!$C$9:$C$18,I960)&amp;"-Pächter  ·  Passwort Parzelle "&amp;J960,IF(J960=K960+1,Eingabe!$B$6&amp;"-"&amp;INDEX(Eingabe!$C$9:$C$18,I960)&amp;"-Vorstand  ·  eigenes WLAN",IF(J960=K960+2,Eingabe!$B$6&amp;"-"&amp;INDEX(Eingabe!$C$9:$C$18,I960)&amp;"-Gäste  ·  Voucher",IF(J960=K960+3,"Kabel  ·  Access Point y = .(50+y), Mast-Switch x = .(10+x)","")))))</f>
        <v/>
      </c>
      <c r="I960" s="0" t="str">
        <f aca="false">IF(955&lt;=(Eingabe!$P$18+Eingabe!$Q$18-1),MATCH(955,Eingabe!$P$9:$P$18,1),"")</f>
        <v/>
      </c>
      <c r="J960" s="0" t="str">
        <f aca="false">IF(I960="","",955-INDEX(Eingabe!$P$9:$P$18,I960))</f>
        <v/>
      </c>
      <c r="K960" s="0" t="str">
        <f aca="false">IF(I960="","",INDEX(Eingabe!$E$9:$E$18,I960))</f>
        <v/>
      </c>
    </row>
    <row r="961" customFormat="false" ht="15" hidden="false" customHeight="false" outlineLevel="0" collapsed="false">
      <c r="A961" s="0" t="str">
        <f aca="false">IF(I961="","",IF(J961=0,"Sparte "&amp;I961&amp;": "&amp;INDEX(Eingabe!$B$9:$B$18,I961)&amp;"  (Sparten-ID "&amp;INDEX(Eingabe!$D$9:$D$18,I961)&amp;", "&amp;K961&amp;" Parzellen)",IF(J961&lt;=K961,"   Parzelle "&amp;J961,IF(J961=K961+1,"   Vorstand",IF(J961=K961+2,"   Gäste",IF(J961=K961+3,"   Technik (Switches, Access Points)",""))))))</f>
        <v/>
      </c>
      <c r="B961" s="0" t="str">
        <f aca="false">IF(I961="","",IF(AND(J961&gt;=1,J961&lt;=K961+3),IF(J961&lt;=K961,IF(J961&lt;=99,IF((INDEX(Eingabe!$G$9:$G$18,I961))&lt;=9,1000+(INDEX(Eingabe!$G$9:$G$18,I961))*100,3000)+J961,IF((INDEX(Eingabe!$G$9:$G$18,I961)+1)&lt;=9,1000+(INDEX(Eingabe!$G$9:$G$18,I961)+1)*100,3000)+J961-100),IF(J961=K961+1,2000+INDEX(Eingabe!$G$9:$G$18,I961)*10+1,IF(J961=K961+2,2000+INDEX(Eingabe!$G$9:$G$18,I961)*10+2,2000+INDEX(Eingabe!$G$9:$G$18,I961)*10+9))),""))</f>
        <v/>
      </c>
      <c r="C961" s="0" t="str">
        <f aca="false">IF(I961="","",IF(AND(J961&gt;=1,J961&lt;=K961+3),"10."&amp;INDEX(Eingabe!$D$9:$D$18,I961)&amp;"."&amp;IF(J961&lt;=K961,J961,IF(J961=K961+1,200,IF(J961=K961+2,201,250)))&amp;".0/24",""))</f>
        <v/>
      </c>
      <c r="D961" s="0" t="str">
        <f aca="false">IF(I961="","",IF(AND(J961&gt;=1,J961&lt;=K961+3),"255.255.255.0",""))</f>
        <v/>
      </c>
      <c r="E961" s="0" t="str">
        <f aca="false">IF(I961="","",IF(AND(J961&gt;=1,J961&lt;=K961+3),"10."&amp;INDEX(Eingabe!$D$9:$D$18,I961)&amp;"."&amp;IF(J961&lt;=K961,J961,IF(J961=K961+1,200,IF(J961=K961+2,201,250)))&amp;".1",""))</f>
        <v/>
      </c>
      <c r="F961" s="0" t="str">
        <f aca="false">IF(I961="","",IF(AND(J961&gt;=1,J961&lt;=K961+3),"10."&amp;INDEX(Eingabe!$D$9:$D$18,I961)&amp;"."&amp;IF(J961&lt;=K961,J961,IF(J961=K961+1,200,IF(J961=K961+2,201,250)))&amp;".10 – 10."&amp;INDEX(Eingabe!$D$9:$D$18,I961)&amp;"."&amp;IF(J961&lt;=K961,J961,IF(J961=K961+1,200,IF(J961=K961+2,201,250)))&amp;".250",""))</f>
        <v/>
      </c>
      <c r="G961" s="0" t="str">
        <f aca="false">IF(I961="","",IF(AND(J961&gt;=1,J961&lt;=K961),Eingabe!$B$6&amp;"-"&amp;INDEX(Eingabe!$C$9:$C$18,I961)&amp;"-Pächter  ·  Passwort Parzelle "&amp;J961,IF(J961=K961+1,Eingabe!$B$6&amp;"-"&amp;INDEX(Eingabe!$C$9:$C$18,I961)&amp;"-Vorstand  ·  eigenes WLAN",IF(J961=K961+2,Eingabe!$B$6&amp;"-"&amp;INDEX(Eingabe!$C$9:$C$18,I961)&amp;"-Gäste  ·  Voucher",IF(J961=K961+3,"Kabel  ·  Access Point y = .(50+y), Mast-Switch x = .(10+x)","")))))</f>
        <v/>
      </c>
      <c r="I961" s="0" t="str">
        <f aca="false">IF(956&lt;=(Eingabe!$P$18+Eingabe!$Q$18-1),MATCH(956,Eingabe!$P$9:$P$18,1),"")</f>
        <v/>
      </c>
      <c r="J961" s="0" t="str">
        <f aca="false">IF(I961="","",956-INDEX(Eingabe!$P$9:$P$18,I961))</f>
        <v/>
      </c>
      <c r="K961" s="0" t="str">
        <f aca="false">IF(I961="","",INDEX(Eingabe!$E$9:$E$18,I961))</f>
        <v/>
      </c>
    </row>
    <row r="962" customFormat="false" ht="15" hidden="false" customHeight="false" outlineLevel="0" collapsed="false">
      <c r="A962" s="0" t="str">
        <f aca="false">IF(I962="","",IF(J962=0,"Sparte "&amp;I962&amp;": "&amp;INDEX(Eingabe!$B$9:$B$18,I962)&amp;"  (Sparten-ID "&amp;INDEX(Eingabe!$D$9:$D$18,I962)&amp;", "&amp;K962&amp;" Parzellen)",IF(J962&lt;=K962,"   Parzelle "&amp;J962,IF(J962=K962+1,"   Vorstand",IF(J962=K962+2,"   Gäste",IF(J962=K962+3,"   Technik (Switches, Access Points)",""))))))</f>
        <v/>
      </c>
      <c r="B962" s="0" t="str">
        <f aca="false">IF(I962="","",IF(AND(J962&gt;=1,J962&lt;=K962+3),IF(J962&lt;=K962,IF(J962&lt;=99,IF((INDEX(Eingabe!$G$9:$G$18,I962))&lt;=9,1000+(INDEX(Eingabe!$G$9:$G$18,I962))*100,3000)+J962,IF((INDEX(Eingabe!$G$9:$G$18,I962)+1)&lt;=9,1000+(INDEX(Eingabe!$G$9:$G$18,I962)+1)*100,3000)+J962-100),IF(J962=K962+1,2000+INDEX(Eingabe!$G$9:$G$18,I962)*10+1,IF(J962=K962+2,2000+INDEX(Eingabe!$G$9:$G$18,I962)*10+2,2000+INDEX(Eingabe!$G$9:$G$18,I962)*10+9))),""))</f>
        <v/>
      </c>
      <c r="C962" s="0" t="str">
        <f aca="false">IF(I962="","",IF(AND(J962&gt;=1,J962&lt;=K962+3),"10."&amp;INDEX(Eingabe!$D$9:$D$18,I962)&amp;"."&amp;IF(J962&lt;=K962,J962,IF(J962=K962+1,200,IF(J962=K962+2,201,250)))&amp;".0/24",""))</f>
        <v/>
      </c>
      <c r="D962" s="0" t="str">
        <f aca="false">IF(I962="","",IF(AND(J962&gt;=1,J962&lt;=K962+3),"255.255.255.0",""))</f>
        <v/>
      </c>
      <c r="E962" s="0" t="str">
        <f aca="false">IF(I962="","",IF(AND(J962&gt;=1,J962&lt;=K962+3),"10."&amp;INDEX(Eingabe!$D$9:$D$18,I962)&amp;"."&amp;IF(J962&lt;=K962,J962,IF(J962=K962+1,200,IF(J962=K962+2,201,250)))&amp;".1",""))</f>
        <v/>
      </c>
      <c r="F962" s="0" t="str">
        <f aca="false">IF(I962="","",IF(AND(J962&gt;=1,J962&lt;=K962+3),"10."&amp;INDEX(Eingabe!$D$9:$D$18,I962)&amp;"."&amp;IF(J962&lt;=K962,J962,IF(J962=K962+1,200,IF(J962=K962+2,201,250)))&amp;".10 – 10."&amp;INDEX(Eingabe!$D$9:$D$18,I962)&amp;"."&amp;IF(J962&lt;=K962,J962,IF(J962=K962+1,200,IF(J962=K962+2,201,250)))&amp;".250",""))</f>
        <v/>
      </c>
      <c r="G962" s="0" t="str">
        <f aca="false">IF(I962="","",IF(AND(J962&gt;=1,J962&lt;=K962),Eingabe!$B$6&amp;"-"&amp;INDEX(Eingabe!$C$9:$C$18,I962)&amp;"-Pächter  ·  Passwort Parzelle "&amp;J962,IF(J962=K962+1,Eingabe!$B$6&amp;"-"&amp;INDEX(Eingabe!$C$9:$C$18,I962)&amp;"-Vorstand  ·  eigenes WLAN",IF(J962=K962+2,Eingabe!$B$6&amp;"-"&amp;INDEX(Eingabe!$C$9:$C$18,I962)&amp;"-Gäste  ·  Voucher",IF(J962=K962+3,"Kabel  ·  Access Point y = .(50+y), Mast-Switch x = .(10+x)","")))))</f>
        <v/>
      </c>
      <c r="I962" s="0" t="str">
        <f aca="false">IF(957&lt;=(Eingabe!$P$18+Eingabe!$Q$18-1),MATCH(957,Eingabe!$P$9:$P$18,1),"")</f>
        <v/>
      </c>
      <c r="J962" s="0" t="str">
        <f aca="false">IF(I962="","",957-INDEX(Eingabe!$P$9:$P$18,I962))</f>
        <v/>
      </c>
      <c r="K962" s="0" t="str">
        <f aca="false">IF(I962="","",INDEX(Eingabe!$E$9:$E$18,I962))</f>
        <v/>
      </c>
    </row>
    <row r="963" customFormat="false" ht="15" hidden="false" customHeight="false" outlineLevel="0" collapsed="false">
      <c r="A963" s="0" t="str">
        <f aca="false">IF(I963="","",IF(J963=0,"Sparte "&amp;I963&amp;": "&amp;INDEX(Eingabe!$B$9:$B$18,I963)&amp;"  (Sparten-ID "&amp;INDEX(Eingabe!$D$9:$D$18,I963)&amp;", "&amp;K963&amp;" Parzellen)",IF(J963&lt;=K963,"   Parzelle "&amp;J963,IF(J963=K963+1,"   Vorstand",IF(J963=K963+2,"   Gäste",IF(J963=K963+3,"   Technik (Switches, Access Points)",""))))))</f>
        <v/>
      </c>
      <c r="B963" s="0" t="str">
        <f aca="false">IF(I963="","",IF(AND(J963&gt;=1,J963&lt;=K963+3),IF(J963&lt;=K963,IF(J963&lt;=99,IF((INDEX(Eingabe!$G$9:$G$18,I963))&lt;=9,1000+(INDEX(Eingabe!$G$9:$G$18,I963))*100,3000)+J963,IF((INDEX(Eingabe!$G$9:$G$18,I963)+1)&lt;=9,1000+(INDEX(Eingabe!$G$9:$G$18,I963)+1)*100,3000)+J963-100),IF(J963=K963+1,2000+INDEX(Eingabe!$G$9:$G$18,I963)*10+1,IF(J963=K963+2,2000+INDEX(Eingabe!$G$9:$G$18,I963)*10+2,2000+INDEX(Eingabe!$G$9:$G$18,I963)*10+9))),""))</f>
        <v/>
      </c>
      <c r="C963" s="0" t="str">
        <f aca="false">IF(I963="","",IF(AND(J963&gt;=1,J963&lt;=K963+3),"10."&amp;INDEX(Eingabe!$D$9:$D$18,I963)&amp;"."&amp;IF(J963&lt;=K963,J963,IF(J963=K963+1,200,IF(J963=K963+2,201,250)))&amp;".0/24",""))</f>
        <v/>
      </c>
      <c r="D963" s="0" t="str">
        <f aca="false">IF(I963="","",IF(AND(J963&gt;=1,J963&lt;=K963+3),"255.255.255.0",""))</f>
        <v/>
      </c>
      <c r="E963" s="0" t="str">
        <f aca="false">IF(I963="","",IF(AND(J963&gt;=1,J963&lt;=K963+3),"10."&amp;INDEX(Eingabe!$D$9:$D$18,I963)&amp;"."&amp;IF(J963&lt;=K963,J963,IF(J963=K963+1,200,IF(J963=K963+2,201,250)))&amp;".1",""))</f>
        <v/>
      </c>
      <c r="F963" s="0" t="str">
        <f aca="false">IF(I963="","",IF(AND(J963&gt;=1,J963&lt;=K963+3),"10."&amp;INDEX(Eingabe!$D$9:$D$18,I963)&amp;"."&amp;IF(J963&lt;=K963,J963,IF(J963=K963+1,200,IF(J963=K963+2,201,250)))&amp;".10 – 10."&amp;INDEX(Eingabe!$D$9:$D$18,I963)&amp;"."&amp;IF(J963&lt;=K963,J963,IF(J963=K963+1,200,IF(J963=K963+2,201,250)))&amp;".250",""))</f>
        <v/>
      </c>
      <c r="G963" s="0" t="str">
        <f aca="false">IF(I963="","",IF(AND(J963&gt;=1,J963&lt;=K963),Eingabe!$B$6&amp;"-"&amp;INDEX(Eingabe!$C$9:$C$18,I963)&amp;"-Pächter  ·  Passwort Parzelle "&amp;J963,IF(J963=K963+1,Eingabe!$B$6&amp;"-"&amp;INDEX(Eingabe!$C$9:$C$18,I963)&amp;"-Vorstand  ·  eigenes WLAN",IF(J963=K963+2,Eingabe!$B$6&amp;"-"&amp;INDEX(Eingabe!$C$9:$C$18,I963)&amp;"-Gäste  ·  Voucher",IF(J963=K963+3,"Kabel  ·  Access Point y = .(50+y), Mast-Switch x = .(10+x)","")))))</f>
        <v/>
      </c>
      <c r="I963" s="0" t="str">
        <f aca="false">IF(958&lt;=(Eingabe!$P$18+Eingabe!$Q$18-1),MATCH(958,Eingabe!$P$9:$P$18,1),"")</f>
        <v/>
      </c>
      <c r="J963" s="0" t="str">
        <f aca="false">IF(I963="","",958-INDEX(Eingabe!$P$9:$P$18,I963))</f>
        <v/>
      </c>
      <c r="K963" s="0" t="str">
        <f aca="false">IF(I963="","",INDEX(Eingabe!$E$9:$E$18,I963))</f>
        <v/>
      </c>
    </row>
    <row r="964" customFormat="false" ht="15" hidden="false" customHeight="false" outlineLevel="0" collapsed="false">
      <c r="A964" s="0" t="str">
        <f aca="false">IF(I964="","",IF(J964=0,"Sparte "&amp;I964&amp;": "&amp;INDEX(Eingabe!$B$9:$B$18,I964)&amp;"  (Sparten-ID "&amp;INDEX(Eingabe!$D$9:$D$18,I964)&amp;", "&amp;K964&amp;" Parzellen)",IF(J964&lt;=K964,"   Parzelle "&amp;J964,IF(J964=K964+1,"   Vorstand",IF(J964=K964+2,"   Gäste",IF(J964=K964+3,"   Technik (Switches, Access Points)",""))))))</f>
        <v/>
      </c>
      <c r="B964" s="0" t="str">
        <f aca="false">IF(I964="","",IF(AND(J964&gt;=1,J964&lt;=K964+3),IF(J964&lt;=K964,IF(J964&lt;=99,IF((INDEX(Eingabe!$G$9:$G$18,I964))&lt;=9,1000+(INDEX(Eingabe!$G$9:$G$18,I964))*100,3000)+J964,IF((INDEX(Eingabe!$G$9:$G$18,I964)+1)&lt;=9,1000+(INDEX(Eingabe!$G$9:$G$18,I964)+1)*100,3000)+J964-100),IF(J964=K964+1,2000+INDEX(Eingabe!$G$9:$G$18,I964)*10+1,IF(J964=K964+2,2000+INDEX(Eingabe!$G$9:$G$18,I964)*10+2,2000+INDEX(Eingabe!$G$9:$G$18,I964)*10+9))),""))</f>
        <v/>
      </c>
      <c r="C964" s="0" t="str">
        <f aca="false">IF(I964="","",IF(AND(J964&gt;=1,J964&lt;=K964+3),"10."&amp;INDEX(Eingabe!$D$9:$D$18,I964)&amp;"."&amp;IF(J964&lt;=K964,J964,IF(J964=K964+1,200,IF(J964=K964+2,201,250)))&amp;".0/24",""))</f>
        <v/>
      </c>
      <c r="D964" s="0" t="str">
        <f aca="false">IF(I964="","",IF(AND(J964&gt;=1,J964&lt;=K964+3),"255.255.255.0",""))</f>
        <v/>
      </c>
      <c r="E964" s="0" t="str">
        <f aca="false">IF(I964="","",IF(AND(J964&gt;=1,J964&lt;=K964+3),"10."&amp;INDEX(Eingabe!$D$9:$D$18,I964)&amp;"."&amp;IF(J964&lt;=K964,J964,IF(J964=K964+1,200,IF(J964=K964+2,201,250)))&amp;".1",""))</f>
        <v/>
      </c>
      <c r="F964" s="0" t="str">
        <f aca="false">IF(I964="","",IF(AND(J964&gt;=1,J964&lt;=K964+3),"10."&amp;INDEX(Eingabe!$D$9:$D$18,I964)&amp;"."&amp;IF(J964&lt;=K964,J964,IF(J964=K964+1,200,IF(J964=K964+2,201,250)))&amp;".10 – 10."&amp;INDEX(Eingabe!$D$9:$D$18,I964)&amp;"."&amp;IF(J964&lt;=K964,J964,IF(J964=K964+1,200,IF(J964=K964+2,201,250)))&amp;".250",""))</f>
        <v/>
      </c>
      <c r="G964" s="0" t="str">
        <f aca="false">IF(I964="","",IF(AND(J964&gt;=1,J964&lt;=K964),Eingabe!$B$6&amp;"-"&amp;INDEX(Eingabe!$C$9:$C$18,I964)&amp;"-Pächter  ·  Passwort Parzelle "&amp;J964,IF(J964=K964+1,Eingabe!$B$6&amp;"-"&amp;INDEX(Eingabe!$C$9:$C$18,I964)&amp;"-Vorstand  ·  eigenes WLAN",IF(J964=K964+2,Eingabe!$B$6&amp;"-"&amp;INDEX(Eingabe!$C$9:$C$18,I964)&amp;"-Gäste  ·  Voucher",IF(J964=K964+3,"Kabel  ·  Access Point y = .(50+y), Mast-Switch x = .(10+x)","")))))</f>
        <v/>
      </c>
      <c r="I964" s="0" t="str">
        <f aca="false">IF(959&lt;=(Eingabe!$P$18+Eingabe!$Q$18-1),MATCH(959,Eingabe!$P$9:$P$18,1),"")</f>
        <v/>
      </c>
      <c r="J964" s="0" t="str">
        <f aca="false">IF(I964="","",959-INDEX(Eingabe!$P$9:$P$18,I964))</f>
        <v/>
      </c>
      <c r="K964" s="0" t="str">
        <f aca="false">IF(I964="","",INDEX(Eingabe!$E$9:$E$18,I964))</f>
        <v/>
      </c>
    </row>
    <row r="965" customFormat="false" ht="15" hidden="false" customHeight="false" outlineLevel="0" collapsed="false">
      <c r="A965" s="0" t="str">
        <f aca="false">IF(I965="","",IF(J965=0,"Sparte "&amp;I965&amp;": "&amp;INDEX(Eingabe!$B$9:$B$18,I965)&amp;"  (Sparten-ID "&amp;INDEX(Eingabe!$D$9:$D$18,I965)&amp;", "&amp;K965&amp;" Parzellen)",IF(J965&lt;=K965,"   Parzelle "&amp;J965,IF(J965=K965+1,"   Vorstand",IF(J965=K965+2,"   Gäste",IF(J965=K965+3,"   Technik (Switches, Access Points)",""))))))</f>
        <v/>
      </c>
      <c r="B965" s="0" t="str">
        <f aca="false">IF(I965="","",IF(AND(J965&gt;=1,J965&lt;=K965+3),IF(J965&lt;=K965,IF(J965&lt;=99,IF((INDEX(Eingabe!$G$9:$G$18,I965))&lt;=9,1000+(INDEX(Eingabe!$G$9:$G$18,I965))*100,3000)+J965,IF((INDEX(Eingabe!$G$9:$G$18,I965)+1)&lt;=9,1000+(INDEX(Eingabe!$G$9:$G$18,I965)+1)*100,3000)+J965-100),IF(J965=K965+1,2000+INDEX(Eingabe!$G$9:$G$18,I965)*10+1,IF(J965=K965+2,2000+INDEX(Eingabe!$G$9:$G$18,I965)*10+2,2000+INDEX(Eingabe!$G$9:$G$18,I965)*10+9))),""))</f>
        <v/>
      </c>
      <c r="C965" s="0" t="str">
        <f aca="false">IF(I965="","",IF(AND(J965&gt;=1,J965&lt;=K965+3),"10."&amp;INDEX(Eingabe!$D$9:$D$18,I965)&amp;"."&amp;IF(J965&lt;=K965,J965,IF(J965=K965+1,200,IF(J965=K965+2,201,250)))&amp;".0/24",""))</f>
        <v/>
      </c>
      <c r="D965" s="0" t="str">
        <f aca="false">IF(I965="","",IF(AND(J965&gt;=1,J965&lt;=K965+3),"255.255.255.0",""))</f>
        <v/>
      </c>
      <c r="E965" s="0" t="str">
        <f aca="false">IF(I965="","",IF(AND(J965&gt;=1,J965&lt;=K965+3),"10."&amp;INDEX(Eingabe!$D$9:$D$18,I965)&amp;"."&amp;IF(J965&lt;=K965,J965,IF(J965=K965+1,200,IF(J965=K965+2,201,250)))&amp;".1",""))</f>
        <v/>
      </c>
      <c r="F965" s="0" t="str">
        <f aca="false">IF(I965="","",IF(AND(J965&gt;=1,J965&lt;=K965+3),"10."&amp;INDEX(Eingabe!$D$9:$D$18,I965)&amp;"."&amp;IF(J965&lt;=K965,J965,IF(J965=K965+1,200,IF(J965=K965+2,201,250)))&amp;".10 – 10."&amp;INDEX(Eingabe!$D$9:$D$18,I965)&amp;"."&amp;IF(J965&lt;=K965,J965,IF(J965=K965+1,200,IF(J965=K965+2,201,250)))&amp;".250",""))</f>
        <v/>
      </c>
      <c r="G965" s="0" t="str">
        <f aca="false">IF(I965="","",IF(AND(J965&gt;=1,J965&lt;=K965),Eingabe!$B$6&amp;"-"&amp;INDEX(Eingabe!$C$9:$C$18,I965)&amp;"-Pächter  ·  Passwort Parzelle "&amp;J965,IF(J965=K965+1,Eingabe!$B$6&amp;"-"&amp;INDEX(Eingabe!$C$9:$C$18,I965)&amp;"-Vorstand  ·  eigenes WLAN",IF(J965=K965+2,Eingabe!$B$6&amp;"-"&amp;INDEX(Eingabe!$C$9:$C$18,I965)&amp;"-Gäste  ·  Voucher",IF(J965=K965+3,"Kabel  ·  Access Point y = .(50+y), Mast-Switch x = .(10+x)","")))))</f>
        <v/>
      </c>
      <c r="I965" s="0" t="str">
        <f aca="false">IF(960&lt;=(Eingabe!$P$18+Eingabe!$Q$18-1),MATCH(960,Eingabe!$P$9:$P$18,1),"")</f>
        <v/>
      </c>
      <c r="J965" s="0" t="str">
        <f aca="false">IF(I965="","",960-INDEX(Eingabe!$P$9:$P$18,I965))</f>
        <v/>
      </c>
      <c r="K965" s="0" t="str">
        <f aca="false">IF(I965="","",INDEX(Eingabe!$E$9:$E$18,I965))</f>
        <v/>
      </c>
    </row>
    <row r="966" customFormat="false" ht="15" hidden="false" customHeight="false" outlineLevel="0" collapsed="false">
      <c r="A966" s="0" t="str">
        <f aca="false">IF(I966="","",IF(J966=0,"Sparte "&amp;I966&amp;": "&amp;INDEX(Eingabe!$B$9:$B$18,I966)&amp;"  (Sparten-ID "&amp;INDEX(Eingabe!$D$9:$D$18,I966)&amp;", "&amp;K966&amp;" Parzellen)",IF(J966&lt;=K966,"   Parzelle "&amp;J966,IF(J966=K966+1,"   Vorstand",IF(J966=K966+2,"   Gäste",IF(J966=K966+3,"   Technik (Switches, Access Points)",""))))))</f>
        <v/>
      </c>
      <c r="B966" s="0" t="str">
        <f aca="false">IF(I966="","",IF(AND(J966&gt;=1,J966&lt;=K966+3),IF(J966&lt;=K966,IF(J966&lt;=99,IF((INDEX(Eingabe!$G$9:$G$18,I966))&lt;=9,1000+(INDEX(Eingabe!$G$9:$G$18,I966))*100,3000)+J966,IF((INDEX(Eingabe!$G$9:$G$18,I966)+1)&lt;=9,1000+(INDEX(Eingabe!$G$9:$G$18,I966)+1)*100,3000)+J966-100),IF(J966=K966+1,2000+INDEX(Eingabe!$G$9:$G$18,I966)*10+1,IF(J966=K966+2,2000+INDEX(Eingabe!$G$9:$G$18,I966)*10+2,2000+INDEX(Eingabe!$G$9:$G$18,I966)*10+9))),""))</f>
        <v/>
      </c>
      <c r="C966" s="0" t="str">
        <f aca="false">IF(I966="","",IF(AND(J966&gt;=1,J966&lt;=K966+3),"10."&amp;INDEX(Eingabe!$D$9:$D$18,I966)&amp;"."&amp;IF(J966&lt;=K966,J966,IF(J966=K966+1,200,IF(J966=K966+2,201,250)))&amp;".0/24",""))</f>
        <v/>
      </c>
      <c r="D966" s="0" t="str">
        <f aca="false">IF(I966="","",IF(AND(J966&gt;=1,J966&lt;=K966+3),"255.255.255.0",""))</f>
        <v/>
      </c>
      <c r="E966" s="0" t="str">
        <f aca="false">IF(I966="","",IF(AND(J966&gt;=1,J966&lt;=K966+3),"10."&amp;INDEX(Eingabe!$D$9:$D$18,I966)&amp;"."&amp;IF(J966&lt;=K966,J966,IF(J966=K966+1,200,IF(J966=K966+2,201,250)))&amp;".1",""))</f>
        <v/>
      </c>
      <c r="F966" s="0" t="str">
        <f aca="false">IF(I966="","",IF(AND(J966&gt;=1,J966&lt;=K966+3),"10."&amp;INDEX(Eingabe!$D$9:$D$18,I966)&amp;"."&amp;IF(J966&lt;=K966,J966,IF(J966=K966+1,200,IF(J966=K966+2,201,250)))&amp;".10 – 10."&amp;INDEX(Eingabe!$D$9:$D$18,I966)&amp;"."&amp;IF(J966&lt;=K966,J966,IF(J966=K966+1,200,IF(J966=K966+2,201,250)))&amp;".250",""))</f>
        <v/>
      </c>
      <c r="G966" s="0" t="str">
        <f aca="false">IF(I966="","",IF(AND(J966&gt;=1,J966&lt;=K966),Eingabe!$B$6&amp;"-"&amp;INDEX(Eingabe!$C$9:$C$18,I966)&amp;"-Pächter  ·  Passwort Parzelle "&amp;J966,IF(J966=K966+1,Eingabe!$B$6&amp;"-"&amp;INDEX(Eingabe!$C$9:$C$18,I966)&amp;"-Vorstand  ·  eigenes WLAN",IF(J966=K966+2,Eingabe!$B$6&amp;"-"&amp;INDEX(Eingabe!$C$9:$C$18,I966)&amp;"-Gäste  ·  Voucher",IF(J966=K966+3,"Kabel  ·  Access Point y = .(50+y), Mast-Switch x = .(10+x)","")))))</f>
        <v/>
      </c>
      <c r="I966" s="0" t="str">
        <f aca="false">IF(961&lt;=(Eingabe!$P$18+Eingabe!$Q$18-1),MATCH(961,Eingabe!$P$9:$P$18,1),"")</f>
        <v/>
      </c>
      <c r="J966" s="0" t="str">
        <f aca="false">IF(I966="","",961-INDEX(Eingabe!$P$9:$P$18,I966))</f>
        <v/>
      </c>
      <c r="K966" s="0" t="str">
        <f aca="false">IF(I966="","",INDEX(Eingabe!$E$9:$E$18,I966))</f>
        <v/>
      </c>
    </row>
    <row r="967" customFormat="false" ht="15" hidden="false" customHeight="false" outlineLevel="0" collapsed="false">
      <c r="A967" s="0" t="str">
        <f aca="false">IF(I967="","",IF(J967=0,"Sparte "&amp;I967&amp;": "&amp;INDEX(Eingabe!$B$9:$B$18,I967)&amp;"  (Sparten-ID "&amp;INDEX(Eingabe!$D$9:$D$18,I967)&amp;", "&amp;K967&amp;" Parzellen)",IF(J967&lt;=K967,"   Parzelle "&amp;J967,IF(J967=K967+1,"   Vorstand",IF(J967=K967+2,"   Gäste",IF(J967=K967+3,"   Technik (Switches, Access Points)",""))))))</f>
        <v/>
      </c>
      <c r="B967" s="0" t="str">
        <f aca="false">IF(I967="","",IF(AND(J967&gt;=1,J967&lt;=K967+3),IF(J967&lt;=K967,IF(J967&lt;=99,IF((INDEX(Eingabe!$G$9:$G$18,I967))&lt;=9,1000+(INDEX(Eingabe!$G$9:$G$18,I967))*100,3000)+J967,IF((INDEX(Eingabe!$G$9:$G$18,I967)+1)&lt;=9,1000+(INDEX(Eingabe!$G$9:$G$18,I967)+1)*100,3000)+J967-100),IF(J967=K967+1,2000+INDEX(Eingabe!$G$9:$G$18,I967)*10+1,IF(J967=K967+2,2000+INDEX(Eingabe!$G$9:$G$18,I967)*10+2,2000+INDEX(Eingabe!$G$9:$G$18,I967)*10+9))),""))</f>
        <v/>
      </c>
      <c r="C967" s="0" t="str">
        <f aca="false">IF(I967="","",IF(AND(J967&gt;=1,J967&lt;=K967+3),"10."&amp;INDEX(Eingabe!$D$9:$D$18,I967)&amp;"."&amp;IF(J967&lt;=K967,J967,IF(J967=K967+1,200,IF(J967=K967+2,201,250)))&amp;".0/24",""))</f>
        <v/>
      </c>
      <c r="D967" s="0" t="str">
        <f aca="false">IF(I967="","",IF(AND(J967&gt;=1,J967&lt;=K967+3),"255.255.255.0",""))</f>
        <v/>
      </c>
      <c r="E967" s="0" t="str">
        <f aca="false">IF(I967="","",IF(AND(J967&gt;=1,J967&lt;=K967+3),"10."&amp;INDEX(Eingabe!$D$9:$D$18,I967)&amp;"."&amp;IF(J967&lt;=K967,J967,IF(J967=K967+1,200,IF(J967=K967+2,201,250)))&amp;".1",""))</f>
        <v/>
      </c>
      <c r="F967" s="0" t="str">
        <f aca="false">IF(I967="","",IF(AND(J967&gt;=1,J967&lt;=K967+3),"10."&amp;INDEX(Eingabe!$D$9:$D$18,I967)&amp;"."&amp;IF(J967&lt;=K967,J967,IF(J967=K967+1,200,IF(J967=K967+2,201,250)))&amp;".10 – 10."&amp;INDEX(Eingabe!$D$9:$D$18,I967)&amp;"."&amp;IF(J967&lt;=K967,J967,IF(J967=K967+1,200,IF(J967=K967+2,201,250)))&amp;".250",""))</f>
        <v/>
      </c>
      <c r="G967" s="0" t="str">
        <f aca="false">IF(I967="","",IF(AND(J967&gt;=1,J967&lt;=K967),Eingabe!$B$6&amp;"-"&amp;INDEX(Eingabe!$C$9:$C$18,I967)&amp;"-Pächter  ·  Passwort Parzelle "&amp;J967,IF(J967=K967+1,Eingabe!$B$6&amp;"-"&amp;INDEX(Eingabe!$C$9:$C$18,I967)&amp;"-Vorstand  ·  eigenes WLAN",IF(J967=K967+2,Eingabe!$B$6&amp;"-"&amp;INDEX(Eingabe!$C$9:$C$18,I967)&amp;"-Gäste  ·  Voucher",IF(J967=K967+3,"Kabel  ·  Access Point y = .(50+y), Mast-Switch x = .(10+x)","")))))</f>
        <v/>
      </c>
      <c r="I967" s="0" t="str">
        <f aca="false">IF(962&lt;=(Eingabe!$P$18+Eingabe!$Q$18-1),MATCH(962,Eingabe!$P$9:$P$18,1),"")</f>
        <v/>
      </c>
      <c r="J967" s="0" t="str">
        <f aca="false">IF(I967="","",962-INDEX(Eingabe!$P$9:$P$18,I967))</f>
        <v/>
      </c>
      <c r="K967" s="0" t="str">
        <f aca="false">IF(I967="","",INDEX(Eingabe!$E$9:$E$18,I967))</f>
        <v/>
      </c>
    </row>
    <row r="968" customFormat="false" ht="15" hidden="false" customHeight="false" outlineLevel="0" collapsed="false">
      <c r="A968" s="0" t="str">
        <f aca="false">IF(I968="","",IF(J968=0,"Sparte "&amp;I968&amp;": "&amp;INDEX(Eingabe!$B$9:$B$18,I968)&amp;"  (Sparten-ID "&amp;INDEX(Eingabe!$D$9:$D$18,I968)&amp;", "&amp;K968&amp;" Parzellen)",IF(J968&lt;=K968,"   Parzelle "&amp;J968,IF(J968=K968+1,"   Vorstand",IF(J968=K968+2,"   Gäste",IF(J968=K968+3,"   Technik (Switches, Access Points)",""))))))</f>
        <v/>
      </c>
      <c r="B968" s="0" t="str">
        <f aca="false">IF(I968="","",IF(AND(J968&gt;=1,J968&lt;=K968+3),IF(J968&lt;=K968,IF(J968&lt;=99,IF((INDEX(Eingabe!$G$9:$G$18,I968))&lt;=9,1000+(INDEX(Eingabe!$G$9:$G$18,I968))*100,3000)+J968,IF((INDEX(Eingabe!$G$9:$G$18,I968)+1)&lt;=9,1000+(INDEX(Eingabe!$G$9:$G$18,I968)+1)*100,3000)+J968-100),IF(J968=K968+1,2000+INDEX(Eingabe!$G$9:$G$18,I968)*10+1,IF(J968=K968+2,2000+INDEX(Eingabe!$G$9:$G$18,I968)*10+2,2000+INDEX(Eingabe!$G$9:$G$18,I968)*10+9))),""))</f>
        <v/>
      </c>
      <c r="C968" s="0" t="str">
        <f aca="false">IF(I968="","",IF(AND(J968&gt;=1,J968&lt;=K968+3),"10."&amp;INDEX(Eingabe!$D$9:$D$18,I968)&amp;"."&amp;IF(J968&lt;=K968,J968,IF(J968=K968+1,200,IF(J968=K968+2,201,250)))&amp;".0/24",""))</f>
        <v/>
      </c>
      <c r="D968" s="0" t="str">
        <f aca="false">IF(I968="","",IF(AND(J968&gt;=1,J968&lt;=K968+3),"255.255.255.0",""))</f>
        <v/>
      </c>
      <c r="E968" s="0" t="str">
        <f aca="false">IF(I968="","",IF(AND(J968&gt;=1,J968&lt;=K968+3),"10."&amp;INDEX(Eingabe!$D$9:$D$18,I968)&amp;"."&amp;IF(J968&lt;=K968,J968,IF(J968=K968+1,200,IF(J968=K968+2,201,250)))&amp;".1",""))</f>
        <v/>
      </c>
      <c r="F968" s="0" t="str">
        <f aca="false">IF(I968="","",IF(AND(J968&gt;=1,J968&lt;=K968+3),"10."&amp;INDEX(Eingabe!$D$9:$D$18,I968)&amp;"."&amp;IF(J968&lt;=K968,J968,IF(J968=K968+1,200,IF(J968=K968+2,201,250)))&amp;".10 – 10."&amp;INDEX(Eingabe!$D$9:$D$18,I968)&amp;"."&amp;IF(J968&lt;=K968,J968,IF(J968=K968+1,200,IF(J968=K968+2,201,250)))&amp;".250",""))</f>
        <v/>
      </c>
      <c r="G968" s="0" t="str">
        <f aca="false">IF(I968="","",IF(AND(J968&gt;=1,J968&lt;=K968),Eingabe!$B$6&amp;"-"&amp;INDEX(Eingabe!$C$9:$C$18,I968)&amp;"-Pächter  ·  Passwort Parzelle "&amp;J968,IF(J968=K968+1,Eingabe!$B$6&amp;"-"&amp;INDEX(Eingabe!$C$9:$C$18,I968)&amp;"-Vorstand  ·  eigenes WLAN",IF(J968=K968+2,Eingabe!$B$6&amp;"-"&amp;INDEX(Eingabe!$C$9:$C$18,I968)&amp;"-Gäste  ·  Voucher",IF(J968=K968+3,"Kabel  ·  Access Point y = .(50+y), Mast-Switch x = .(10+x)","")))))</f>
        <v/>
      </c>
      <c r="I968" s="0" t="str">
        <f aca="false">IF(963&lt;=(Eingabe!$P$18+Eingabe!$Q$18-1),MATCH(963,Eingabe!$P$9:$P$18,1),"")</f>
        <v/>
      </c>
      <c r="J968" s="0" t="str">
        <f aca="false">IF(I968="","",963-INDEX(Eingabe!$P$9:$P$18,I968))</f>
        <v/>
      </c>
      <c r="K968" s="0" t="str">
        <f aca="false">IF(I968="","",INDEX(Eingabe!$E$9:$E$18,I968))</f>
        <v/>
      </c>
    </row>
    <row r="969" customFormat="false" ht="15" hidden="false" customHeight="false" outlineLevel="0" collapsed="false">
      <c r="A969" s="0" t="str">
        <f aca="false">IF(I969="","",IF(J969=0,"Sparte "&amp;I969&amp;": "&amp;INDEX(Eingabe!$B$9:$B$18,I969)&amp;"  (Sparten-ID "&amp;INDEX(Eingabe!$D$9:$D$18,I969)&amp;", "&amp;K969&amp;" Parzellen)",IF(J969&lt;=K969,"   Parzelle "&amp;J969,IF(J969=K969+1,"   Vorstand",IF(J969=K969+2,"   Gäste",IF(J969=K969+3,"   Technik (Switches, Access Points)",""))))))</f>
        <v/>
      </c>
      <c r="B969" s="0" t="str">
        <f aca="false">IF(I969="","",IF(AND(J969&gt;=1,J969&lt;=K969+3),IF(J969&lt;=K969,IF(J969&lt;=99,IF((INDEX(Eingabe!$G$9:$G$18,I969))&lt;=9,1000+(INDEX(Eingabe!$G$9:$G$18,I969))*100,3000)+J969,IF((INDEX(Eingabe!$G$9:$G$18,I969)+1)&lt;=9,1000+(INDEX(Eingabe!$G$9:$G$18,I969)+1)*100,3000)+J969-100),IF(J969=K969+1,2000+INDEX(Eingabe!$G$9:$G$18,I969)*10+1,IF(J969=K969+2,2000+INDEX(Eingabe!$G$9:$G$18,I969)*10+2,2000+INDEX(Eingabe!$G$9:$G$18,I969)*10+9))),""))</f>
        <v/>
      </c>
      <c r="C969" s="0" t="str">
        <f aca="false">IF(I969="","",IF(AND(J969&gt;=1,J969&lt;=K969+3),"10."&amp;INDEX(Eingabe!$D$9:$D$18,I969)&amp;"."&amp;IF(J969&lt;=K969,J969,IF(J969=K969+1,200,IF(J969=K969+2,201,250)))&amp;".0/24",""))</f>
        <v/>
      </c>
      <c r="D969" s="0" t="str">
        <f aca="false">IF(I969="","",IF(AND(J969&gt;=1,J969&lt;=K969+3),"255.255.255.0",""))</f>
        <v/>
      </c>
      <c r="E969" s="0" t="str">
        <f aca="false">IF(I969="","",IF(AND(J969&gt;=1,J969&lt;=K969+3),"10."&amp;INDEX(Eingabe!$D$9:$D$18,I969)&amp;"."&amp;IF(J969&lt;=K969,J969,IF(J969=K969+1,200,IF(J969=K969+2,201,250)))&amp;".1",""))</f>
        <v/>
      </c>
      <c r="F969" s="0" t="str">
        <f aca="false">IF(I969="","",IF(AND(J969&gt;=1,J969&lt;=K969+3),"10."&amp;INDEX(Eingabe!$D$9:$D$18,I969)&amp;"."&amp;IF(J969&lt;=K969,J969,IF(J969=K969+1,200,IF(J969=K969+2,201,250)))&amp;".10 – 10."&amp;INDEX(Eingabe!$D$9:$D$18,I969)&amp;"."&amp;IF(J969&lt;=K969,J969,IF(J969=K969+1,200,IF(J969=K969+2,201,250)))&amp;".250",""))</f>
        <v/>
      </c>
      <c r="G969" s="0" t="str">
        <f aca="false">IF(I969="","",IF(AND(J969&gt;=1,J969&lt;=K969),Eingabe!$B$6&amp;"-"&amp;INDEX(Eingabe!$C$9:$C$18,I969)&amp;"-Pächter  ·  Passwort Parzelle "&amp;J969,IF(J969=K969+1,Eingabe!$B$6&amp;"-"&amp;INDEX(Eingabe!$C$9:$C$18,I969)&amp;"-Vorstand  ·  eigenes WLAN",IF(J969=K969+2,Eingabe!$B$6&amp;"-"&amp;INDEX(Eingabe!$C$9:$C$18,I969)&amp;"-Gäste  ·  Voucher",IF(J969=K969+3,"Kabel  ·  Access Point y = .(50+y), Mast-Switch x = .(10+x)","")))))</f>
        <v/>
      </c>
      <c r="I969" s="0" t="str">
        <f aca="false">IF(964&lt;=(Eingabe!$P$18+Eingabe!$Q$18-1),MATCH(964,Eingabe!$P$9:$P$18,1),"")</f>
        <v/>
      </c>
      <c r="J969" s="0" t="str">
        <f aca="false">IF(I969="","",964-INDEX(Eingabe!$P$9:$P$18,I969))</f>
        <v/>
      </c>
      <c r="K969" s="0" t="str">
        <f aca="false">IF(I969="","",INDEX(Eingabe!$E$9:$E$18,I969))</f>
        <v/>
      </c>
    </row>
    <row r="970" customFormat="false" ht="15" hidden="false" customHeight="false" outlineLevel="0" collapsed="false">
      <c r="A970" s="0" t="str">
        <f aca="false">IF(I970="","",IF(J970=0,"Sparte "&amp;I970&amp;": "&amp;INDEX(Eingabe!$B$9:$B$18,I970)&amp;"  (Sparten-ID "&amp;INDEX(Eingabe!$D$9:$D$18,I970)&amp;", "&amp;K970&amp;" Parzellen)",IF(J970&lt;=K970,"   Parzelle "&amp;J970,IF(J970=K970+1,"   Vorstand",IF(J970=K970+2,"   Gäste",IF(J970=K970+3,"   Technik (Switches, Access Points)",""))))))</f>
        <v/>
      </c>
      <c r="B970" s="0" t="str">
        <f aca="false">IF(I970="","",IF(AND(J970&gt;=1,J970&lt;=K970+3),IF(J970&lt;=K970,IF(J970&lt;=99,IF((INDEX(Eingabe!$G$9:$G$18,I970))&lt;=9,1000+(INDEX(Eingabe!$G$9:$G$18,I970))*100,3000)+J970,IF((INDEX(Eingabe!$G$9:$G$18,I970)+1)&lt;=9,1000+(INDEX(Eingabe!$G$9:$G$18,I970)+1)*100,3000)+J970-100),IF(J970=K970+1,2000+INDEX(Eingabe!$G$9:$G$18,I970)*10+1,IF(J970=K970+2,2000+INDEX(Eingabe!$G$9:$G$18,I970)*10+2,2000+INDEX(Eingabe!$G$9:$G$18,I970)*10+9))),""))</f>
        <v/>
      </c>
      <c r="C970" s="0" t="str">
        <f aca="false">IF(I970="","",IF(AND(J970&gt;=1,J970&lt;=K970+3),"10."&amp;INDEX(Eingabe!$D$9:$D$18,I970)&amp;"."&amp;IF(J970&lt;=K970,J970,IF(J970=K970+1,200,IF(J970=K970+2,201,250)))&amp;".0/24",""))</f>
        <v/>
      </c>
      <c r="D970" s="0" t="str">
        <f aca="false">IF(I970="","",IF(AND(J970&gt;=1,J970&lt;=K970+3),"255.255.255.0",""))</f>
        <v/>
      </c>
      <c r="E970" s="0" t="str">
        <f aca="false">IF(I970="","",IF(AND(J970&gt;=1,J970&lt;=K970+3),"10."&amp;INDEX(Eingabe!$D$9:$D$18,I970)&amp;"."&amp;IF(J970&lt;=K970,J970,IF(J970=K970+1,200,IF(J970=K970+2,201,250)))&amp;".1",""))</f>
        <v/>
      </c>
      <c r="F970" s="0" t="str">
        <f aca="false">IF(I970="","",IF(AND(J970&gt;=1,J970&lt;=K970+3),"10."&amp;INDEX(Eingabe!$D$9:$D$18,I970)&amp;"."&amp;IF(J970&lt;=K970,J970,IF(J970=K970+1,200,IF(J970=K970+2,201,250)))&amp;".10 – 10."&amp;INDEX(Eingabe!$D$9:$D$18,I970)&amp;"."&amp;IF(J970&lt;=K970,J970,IF(J970=K970+1,200,IF(J970=K970+2,201,250)))&amp;".250",""))</f>
        <v/>
      </c>
      <c r="G970" s="0" t="str">
        <f aca="false">IF(I970="","",IF(AND(J970&gt;=1,J970&lt;=K970),Eingabe!$B$6&amp;"-"&amp;INDEX(Eingabe!$C$9:$C$18,I970)&amp;"-Pächter  ·  Passwort Parzelle "&amp;J970,IF(J970=K970+1,Eingabe!$B$6&amp;"-"&amp;INDEX(Eingabe!$C$9:$C$18,I970)&amp;"-Vorstand  ·  eigenes WLAN",IF(J970=K970+2,Eingabe!$B$6&amp;"-"&amp;INDEX(Eingabe!$C$9:$C$18,I970)&amp;"-Gäste  ·  Voucher",IF(J970=K970+3,"Kabel  ·  Access Point y = .(50+y), Mast-Switch x = .(10+x)","")))))</f>
        <v/>
      </c>
      <c r="I970" s="0" t="str">
        <f aca="false">IF(965&lt;=(Eingabe!$P$18+Eingabe!$Q$18-1),MATCH(965,Eingabe!$P$9:$P$18,1),"")</f>
        <v/>
      </c>
      <c r="J970" s="0" t="str">
        <f aca="false">IF(I970="","",965-INDEX(Eingabe!$P$9:$P$18,I970))</f>
        <v/>
      </c>
      <c r="K970" s="0" t="str">
        <f aca="false">IF(I970="","",INDEX(Eingabe!$E$9:$E$18,I970))</f>
        <v/>
      </c>
    </row>
    <row r="971" customFormat="false" ht="15" hidden="false" customHeight="false" outlineLevel="0" collapsed="false">
      <c r="A971" s="0" t="str">
        <f aca="false">IF(I971="","",IF(J971=0,"Sparte "&amp;I971&amp;": "&amp;INDEX(Eingabe!$B$9:$B$18,I971)&amp;"  (Sparten-ID "&amp;INDEX(Eingabe!$D$9:$D$18,I971)&amp;", "&amp;K971&amp;" Parzellen)",IF(J971&lt;=K971,"   Parzelle "&amp;J971,IF(J971=K971+1,"   Vorstand",IF(J971=K971+2,"   Gäste",IF(J971=K971+3,"   Technik (Switches, Access Points)",""))))))</f>
        <v/>
      </c>
      <c r="B971" s="0" t="str">
        <f aca="false">IF(I971="","",IF(AND(J971&gt;=1,J971&lt;=K971+3),IF(J971&lt;=K971,IF(J971&lt;=99,IF((INDEX(Eingabe!$G$9:$G$18,I971))&lt;=9,1000+(INDEX(Eingabe!$G$9:$G$18,I971))*100,3000)+J971,IF((INDEX(Eingabe!$G$9:$G$18,I971)+1)&lt;=9,1000+(INDEX(Eingabe!$G$9:$G$18,I971)+1)*100,3000)+J971-100),IF(J971=K971+1,2000+INDEX(Eingabe!$G$9:$G$18,I971)*10+1,IF(J971=K971+2,2000+INDEX(Eingabe!$G$9:$G$18,I971)*10+2,2000+INDEX(Eingabe!$G$9:$G$18,I971)*10+9))),""))</f>
        <v/>
      </c>
      <c r="C971" s="0" t="str">
        <f aca="false">IF(I971="","",IF(AND(J971&gt;=1,J971&lt;=K971+3),"10."&amp;INDEX(Eingabe!$D$9:$D$18,I971)&amp;"."&amp;IF(J971&lt;=K971,J971,IF(J971=K971+1,200,IF(J971=K971+2,201,250)))&amp;".0/24",""))</f>
        <v/>
      </c>
      <c r="D971" s="0" t="str">
        <f aca="false">IF(I971="","",IF(AND(J971&gt;=1,J971&lt;=K971+3),"255.255.255.0",""))</f>
        <v/>
      </c>
      <c r="E971" s="0" t="str">
        <f aca="false">IF(I971="","",IF(AND(J971&gt;=1,J971&lt;=K971+3),"10."&amp;INDEX(Eingabe!$D$9:$D$18,I971)&amp;"."&amp;IF(J971&lt;=K971,J971,IF(J971=K971+1,200,IF(J971=K971+2,201,250)))&amp;".1",""))</f>
        <v/>
      </c>
      <c r="F971" s="0" t="str">
        <f aca="false">IF(I971="","",IF(AND(J971&gt;=1,J971&lt;=K971+3),"10."&amp;INDEX(Eingabe!$D$9:$D$18,I971)&amp;"."&amp;IF(J971&lt;=K971,J971,IF(J971=K971+1,200,IF(J971=K971+2,201,250)))&amp;".10 – 10."&amp;INDEX(Eingabe!$D$9:$D$18,I971)&amp;"."&amp;IF(J971&lt;=K971,J971,IF(J971=K971+1,200,IF(J971=K971+2,201,250)))&amp;".250",""))</f>
        <v/>
      </c>
      <c r="G971" s="0" t="str">
        <f aca="false">IF(I971="","",IF(AND(J971&gt;=1,J971&lt;=K971),Eingabe!$B$6&amp;"-"&amp;INDEX(Eingabe!$C$9:$C$18,I971)&amp;"-Pächter  ·  Passwort Parzelle "&amp;J971,IF(J971=K971+1,Eingabe!$B$6&amp;"-"&amp;INDEX(Eingabe!$C$9:$C$18,I971)&amp;"-Vorstand  ·  eigenes WLAN",IF(J971=K971+2,Eingabe!$B$6&amp;"-"&amp;INDEX(Eingabe!$C$9:$C$18,I971)&amp;"-Gäste  ·  Voucher",IF(J971=K971+3,"Kabel  ·  Access Point y = .(50+y), Mast-Switch x = .(10+x)","")))))</f>
        <v/>
      </c>
      <c r="I971" s="0" t="str">
        <f aca="false">IF(966&lt;=(Eingabe!$P$18+Eingabe!$Q$18-1),MATCH(966,Eingabe!$P$9:$P$18,1),"")</f>
        <v/>
      </c>
      <c r="J971" s="0" t="str">
        <f aca="false">IF(I971="","",966-INDEX(Eingabe!$P$9:$P$18,I971))</f>
        <v/>
      </c>
      <c r="K971" s="0" t="str">
        <f aca="false">IF(I971="","",INDEX(Eingabe!$E$9:$E$18,I971))</f>
        <v/>
      </c>
    </row>
    <row r="972" customFormat="false" ht="15" hidden="false" customHeight="false" outlineLevel="0" collapsed="false">
      <c r="A972" s="0" t="str">
        <f aca="false">IF(I972="","",IF(J972=0,"Sparte "&amp;I972&amp;": "&amp;INDEX(Eingabe!$B$9:$B$18,I972)&amp;"  (Sparten-ID "&amp;INDEX(Eingabe!$D$9:$D$18,I972)&amp;", "&amp;K972&amp;" Parzellen)",IF(J972&lt;=K972,"   Parzelle "&amp;J972,IF(J972=K972+1,"   Vorstand",IF(J972=K972+2,"   Gäste",IF(J972=K972+3,"   Technik (Switches, Access Points)",""))))))</f>
        <v/>
      </c>
      <c r="B972" s="0" t="str">
        <f aca="false">IF(I972="","",IF(AND(J972&gt;=1,J972&lt;=K972+3),IF(J972&lt;=K972,IF(J972&lt;=99,IF((INDEX(Eingabe!$G$9:$G$18,I972))&lt;=9,1000+(INDEX(Eingabe!$G$9:$G$18,I972))*100,3000)+J972,IF((INDEX(Eingabe!$G$9:$G$18,I972)+1)&lt;=9,1000+(INDEX(Eingabe!$G$9:$G$18,I972)+1)*100,3000)+J972-100),IF(J972=K972+1,2000+INDEX(Eingabe!$G$9:$G$18,I972)*10+1,IF(J972=K972+2,2000+INDEX(Eingabe!$G$9:$G$18,I972)*10+2,2000+INDEX(Eingabe!$G$9:$G$18,I972)*10+9))),""))</f>
        <v/>
      </c>
      <c r="C972" s="0" t="str">
        <f aca="false">IF(I972="","",IF(AND(J972&gt;=1,J972&lt;=K972+3),"10."&amp;INDEX(Eingabe!$D$9:$D$18,I972)&amp;"."&amp;IF(J972&lt;=K972,J972,IF(J972=K972+1,200,IF(J972=K972+2,201,250)))&amp;".0/24",""))</f>
        <v/>
      </c>
      <c r="D972" s="0" t="str">
        <f aca="false">IF(I972="","",IF(AND(J972&gt;=1,J972&lt;=K972+3),"255.255.255.0",""))</f>
        <v/>
      </c>
      <c r="E972" s="0" t="str">
        <f aca="false">IF(I972="","",IF(AND(J972&gt;=1,J972&lt;=K972+3),"10."&amp;INDEX(Eingabe!$D$9:$D$18,I972)&amp;"."&amp;IF(J972&lt;=K972,J972,IF(J972=K972+1,200,IF(J972=K972+2,201,250)))&amp;".1",""))</f>
        <v/>
      </c>
      <c r="F972" s="0" t="str">
        <f aca="false">IF(I972="","",IF(AND(J972&gt;=1,J972&lt;=K972+3),"10."&amp;INDEX(Eingabe!$D$9:$D$18,I972)&amp;"."&amp;IF(J972&lt;=K972,J972,IF(J972=K972+1,200,IF(J972=K972+2,201,250)))&amp;".10 – 10."&amp;INDEX(Eingabe!$D$9:$D$18,I972)&amp;"."&amp;IF(J972&lt;=K972,J972,IF(J972=K972+1,200,IF(J972=K972+2,201,250)))&amp;".250",""))</f>
        <v/>
      </c>
      <c r="G972" s="0" t="str">
        <f aca="false">IF(I972="","",IF(AND(J972&gt;=1,J972&lt;=K972),Eingabe!$B$6&amp;"-"&amp;INDEX(Eingabe!$C$9:$C$18,I972)&amp;"-Pächter  ·  Passwort Parzelle "&amp;J972,IF(J972=K972+1,Eingabe!$B$6&amp;"-"&amp;INDEX(Eingabe!$C$9:$C$18,I972)&amp;"-Vorstand  ·  eigenes WLAN",IF(J972=K972+2,Eingabe!$B$6&amp;"-"&amp;INDEX(Eingabe!$C$9:$C$18,I972)&amp;"-Gäste  ·  Voucher",IF(J972=K972+3,"Kabel  ·  Access Point y = .(50+y), Mast-Switch x = .(10+x)","")))))</f>
        <v/>
      </c>
      <c r="I972" s="0" t="str">
        <f aca="false">IF(967&lt;=(Eingabe!$P$18+Eingabe!$Q$18-1),MATCH(967,Eingabe!$P$9:$P$18,1),"")</f>
        <v/>
      </c>
      <c r="J972" s="0" t="str">
        <f aca="false">IF(I972="","",967-INDEX(Eingabe!$P$9:$P$18,I972))</f>
        <v/>
      </c>
      <c r="K972" s="0" t="str">
        <f aca="false">IF(I972="","",INDEX(Eingabe!$E$9:$E$18,I972))</f>
        <v/>
      </c>
    </row>
    <row r="973" customFormat="false" ht="15" hidden="false" customHeight="false" outlineLevel="0" collapsed="false">
      <c r="A973" s="0" t="str">
        <f aca="false">IF(I973="","",IF(J973=0,"Sparte "&amp;I973&amp;": "&amp;INDEX(Eingabe!$B$9:$B$18,I973)&amp;"  (Sparten-ID "&amp;INDEX(Eingabe!$D$9:$D$18,I973)&amp;", "&amp;K973&amp;" Parzellen)",IF(J973&lt;=K973,"   Parzelle "&amp;J973,IF(J973=K973+1,"   Vorstand",IF(J973=K973+2,"   Gäste",IF(J973=K973+3,"   Technik (Switches, Access Points)",""))))))</f>
        <v/>
      </c>
      <c r="B973" s="0" t="str">
        <f aca="false">IF(I973="","",IF(AND(J973&gt;=1,J973&lt;=K973+3),IF(J973&lt;=K973,IF(J973&lt;=99,IF((INDEX(Eingabe!$G$9:$G$18,I973))&lt;=9,1000+(INDEX(Eingabe!$G$9:$G$18,I973))*100,3000)+J973,IF((INDEX(Eingabe!$G$9:$G$18,I973)+1)&lt;=9,1000+(INDEX(Eingabe!$G$9:$G$18,I973)+1)*100,3000)+J973-100),IF(J973=K973+1,2000+INDEX(Eingabe!$G$9:$G$18,I973)*10+1,IF(J973=K973+2,2000+INDEX(Eingabe!$G$9:$G$18,I973)*10+2,2000+INDEX(Eingabe!$G$9:$G$18,I973)*10+9))),""))</f>
        <v/>
      </c>
      <c r="C973" s="0" t="str">
        <f aca="false">IF(I973="","",IF(AND(J973&gt;=1,J973&lt;=K973+3),"10."&amp;INDEX(Eingabe!$D$9:$D$18,I973)&amp;"."&amp;IF(J973&lt;=K973,J973,IF(J973=K973+1,200,IF(J973=K973+2,201,250)))&amp;".0/24",""))</f>
        <v/>
      </c>
      <c r="D973" s="0" t="str">
        <f aca="false">IF(I973="","",IF(AND(J973&gt;=1,J973&lt;=K973+3),"255.255.255.0",""))</f>
        <v/>
      </c>
      <c r="E973" s="0" t="str">
        <f aca="false">IF(I973="","",IF(AND(J973&gt;=1,J973&lt;=K973+3),"10."&amp;INDEX(Eingabe!$D$9:$D$18,I973)&amp;"."&amp;IF(J973&lt;=K973,J973,IF(J973=K973+1,200,IF(J973=K973+2,201,250)))&amp;".1",""))</f>
        <v/>
      </c>
      <c r="F973" s="0" t="str">
        <f aca="false">IF(I973="","",IF(AND(J973&gt;=1,J973&lt;=K973+3),"10."&amp;INDEX(Eingabe!$D$9:$D$18,I973)&amp;"."&amp;IF(J973&lt;=K973,J973,IF(J973=K973+1,200,IF(J973=K973+2,201,250)))&amp;".10 – 10."&amp;INDEX(Eingabe!$D$9:$D$18,I973)&amp;"."&amp;IF(J973&lt;=K973,J973,IF(J973=K973+1,200,IF(J973=K973+2,201,250)))&amp;".250",""))</f>
        <v/>
      </c>
      <c r="G973" s="0" t="str">
        <f aca="false">IF(I973="","",IF(AND(J973&gt;=1,J973&lt;=K973),Eingabe!$B$6&amp;"-"&amp;INDEX(Eingabe!$C$9:$C$18,I973)&amp;"-Pächter  ·  Passwort Parzelle "&amp;J973,IF(J973=K973+1,Eingabe!$B$6&amp;"-"&amp;INDEX(Eingabe!$C$9:$C$18,I973)&amp;"-Vorstand  ·  eigenes WLAN",IF(J973=K973+2,Eingabe!$B$6&amp;"-"&amp;INDEX(Eingabe!$C$9:$C$18,I973)&amp;"-Gäste  ·  Voucher",IF(J973=K973+3,"Kabel  ·  Access Point y = .(50+y), Mast-Switch x = .(10+x)","")))))</f>
        <v/>
      </c>
      <c r="I973" s="0" t="str">
        <f aca="false">IF(968&lt;=(Eingabe!$P$18+Eingabe!$Q$18-1),MATCH(968,Eingabe!$P$9:$P$18,1),"")</f>
        <v/>
      </c>
      <c r="J973" s="0" t="str">
        <f aca="false">IF(I973="","",968-INDEX(Eingabe!$P$9:$P$18,I973))</f>
        <v/>
      </c>
      <c r="K973" s="0" t="str">
        <f aca="false">IF(I973="","",INDEX(Eingabe!$E$9:$E$18,I973))</f>
        <v/>
      </c>
    </row>
    <row r="974" customFormat="false" ht="15" hidden="false" customHeight="false" outlineLevel="0" collapsed="false">
      <c r="A974" s="0" t="str">
        <f aca="false">IF(I974="","",IF(J974=0,"Sparte "&amp;I974&amp;": "&amp;INDEX(Eingabe!$B$9:$B$18,I974)&amp;"  (Sparten-ID "&amp;INDEX(Eingabe!$D$9:$D$18,I974)&amp;", "&amp;K974&amp;" Parzellen)",IF(J974&lt;=K974,"   Parzelle "&amp;J974,IF(J974=K974+1,"   Vorstand",IF(J974=K974+2,"   Gäste",IF(J974=K974+3,"   Technik (Switches, Access Points)",""))))))</f>
        <v/>
      </c>
      <c r="B974" s="0" t="str">
        <f aca="false">IF(I974="","",IF(AND(J974&gt;=1,J974&lt;=K974+3),IF(J974&lt;=K974,IF(J974&lt;=99,IF((INDEX(Eingabe!$G$9:$G$18,I974))&lt;=9,1000+(INDEX(Eingabe!$G$9:$G$18,I974))*100,3000)+J974,IF((INDEX(Eingabe!$G$9:$G$18,I974)+1)&lt;=9,1000+(INDEX(Eingabe!$G$9:$G$18,I974)+1)*100,3000)+J974-100),IF(J974=K974+1,2000+INDEX(Eingabe!$G$9:$G$18,I974)*10+1,IF(J974=K974+2,2000+INDEX(Eingabe!$G$9:$G$18,I974)*10+2,2000+INDEX(Eingabe!$G$9:$G$18,I974)*10+9))),""))</f>
        <v/>
      </c>
      <c r="C974" s="0" t="str">
        <f aca="false">IF(I974="","",IF(AND(J974&gt;=1,J974&lt;=K974+3),"10."&amp;INDEX(Eingabe!$D$9:$D$18,I974)&amp;"."&amp;IF(J974&lt;=K974,J974,IF(J974=K974+1,200,IF(J974=K974+2,201,250)))&amp;".0/24",""))</f>
        <v/>
      </c>
      <c r="D974" s="0" t="str">
        <f aca="false">IF(I974="","",IF(AND(J974&gt;=1,J974&lt;=K974+3),"255.255.255.0",""))</f>
        <v/>
      </c>
      <c r="E974" s="0" t="str">
        <f aca="false">IF(I974="","",IF(AND(J974&gt;=1,J974&lt;=K974+3),"10."&amp;INDEX(Eingabe!$D$9:$D$18,I974)&amp;"."&amp;IF(J974&lt;=K974,J974,IF(J974=K974+1,200,IF(J974=K974+2,201,250)))&amp;".1",""))</f>
        <v/>
      </c>
      <c r="F974" s="0" t="str">
        <f aca="false">IF(I974="","",IF(AND(J974&gt;=1,J974&lt;=K974+3),"10."&amp;INDEX(Eingabe!$D$9:$D$18,I974)&amp;"."&amp;IF(J974&lt;=K974,J974,IF(J974=K974+1,200,IF(J974=K974+2,201,250)))&amp;".10 – 10."&amp;INDEX(Eingabe!$D$9:$D$18,I974)&amp;"."&amp;IF(J974&lt;=K974,J974,IF(J974=K974+1,200,IF(J974=K974+2,201,250)))&amp;".250",""))</f>
        <v/>
      </c>
      <c r="G974" s="0" t="str">
        <f aca="false">IF(I974="","",IF(AND(J974&gt;=1,J974&lt;=K974),Eingabe!$B$6&amp;"-"&amp;INDEX(Eingabe!$C$9:$C$18,I974)&amp;"-Pächter  ·  Passwort Parzelle "&amp;J974,IF(J974=K974+1,Eingabe!$B$6&amp;"-"&amp;INDEX(Eingabe!$C$9:$C$18,I974)&amp;"-Vorstand  ·  eigenes WLAN",IF(J974=K974+2,Eingabe!$B$6&amp;"-"&amp;INDEX(Eingabe!$C$9:$C$18,I974)&amp;"-Gäste  ·  Voucher",IF(J974=K974+3,"Kabel  ·  Access Point y = .(50+y), Mast-Switch x = .(10+x)","")))))</f>
        <v/>
      </c>
      <c r="I974" s="0" t="str">
        <f aca="false">IF(969&lt;=(Eingabe!$P$18+Eingabe!$Q$18-1),MATCH(969,Eingabe!$P$9:$P$18,1),"")</f>
        <v/>
      </c>
      <c r="J974" s="0" t="str">
        <f aca="false">IF(I974="","",969-INDEX(Eingabe!$P$9:$P$18,I974))</f>
        <v/>
      </c>
      <c r="K974" s="0" t="str">
        <f aca="false">IF(I974="","",INDEX(Eingabe!$E$9:$E$18,I974))</f>
        <v/>
      </c>
    </row>
    <row r="975" customFormat="false" ht="15" hidden="false" customHeight="false" outlineLevel="0" collapsed="false">
      <c r="A975" s="0" t="str">
        <f aca="false">IF(I975="","",IF(J975=0,"Sparte "&amp;I975&amp;": "&amp;INDEX(Eingabe!$B$9:$B$18,I975)&amp;"  (Sparten-ID "&amp;INDEX(Eingabe!$D$9:$D$18,I975)&amp;", "&amp;K975&amp;" Parzellen)",IF(J975&lt;=K975,"   Parzelle "&amp;J975,IF(J975=K975+1,"   Vorstand",IF(J975=K975+2,"   Gäste",IF(J975=K975+3,"   Technik (Switches, Access Points)",""))))))</f>
        <v/>
      </c>
      <c r="B975" s="0" t="str">
        <f aca="false">IF(I975="","",IF(AND(J975&gt;=1,J975&lt;=K975+3),IF(J975&lt;=K975,IF(J975&lt;=99,IF((INDEX(Eingabe!$G$9:$G$18,I975))&lt;=9,1000+(INDEX(Eingabe!$G$9:$G$18,I975))*100,3000)+J975,IF((INDEX(Eingabe!$G$9:$G$18,I975)+1)&lt;=9,1000+(INDEX(Eingabe!$G$9:$G$18,I975)+1)*100,3000)+J975-100),IF(J975=K975+1,2000+INDEX(Eingabe!$G$9:$G$18,I975)*10+1,IF(J975=K975+2,2000+INDEX(Eingabe!$G$9:$G$18,I975)*10+2,2000+INDEX(Eingabe!$G$9:$G$18,I975)*10+9))),""))</f>
        <v/>
      </c>
      <c r="C975" s="0" t="str">
        <f aca="false">IF(I975="","",IF(AND(J975&gt;=1,J975&lt;=K975+3),"10."&amp;INDEX(Eingabe!$D$9:$D$18,I975)&amp;"."&amp;IF(J975&lt;=K975,J975,IF(J975=K975+1,200,IF(J975=K975+2,201,250)))&amp;".0/24",""))</f>
        <v/>
      </c>
      <c r="D975" s="0" t="str">
        <f aca="false">IF(I975="","",IF(AND(J975&gt;=1,J975&lt;=K975+3),"255.255.255.0",""))</f>
        <v/>
      </c>
      <c r="E975" s="0" t="str">
        <f aca="false">IF(I975="","",IF(AND(J975&gt;=1,J975&lt;=K975+3),"10."&amp;INDEX(Eingabe!$D$9:$D$18,I975)&amp;"."&amp;IF(J975&lt;=K975,J975,IF(J975=K975+1,200,IF(J975=K975+2,201,250)))&amp;".1",""))</f>
        <v/>
      </c>
      <c r="F975" s="0" t="str">
        <f aca="false">IF(I975="","",IF(AND(J975&gt;=1,J975&lt;=K975+3),"10."&amp;INDEX(Eingabe!$D$9:$D$18,I975)&amp;"."&amp;IF(J975&lt;=K975,J975,IF(J975=K975+1,200,IF(J975=K975+2,201,250)))&amp;".10 – 10."&amp;INDEX(Eingabe!$D$9:$D$18,I975)&amp;"."&amp;IF(J975&lt;=K975,J975,IF(J975=K975+1,200,IF(J975=K975+2,201,250)))&amp;".250",""))</f>
        <v/>
      </c>
      <c r="G975" s="0" t="str">
        <f aca="false">IF(I975="","",IF(AND(J975&gt;=1,J975&lt;=K975),Eingabe!$B$6&amp;"-"&amp;INDEX(Eingabe!$C$9:$C$18,I975)&amp;"-Pächter  ·  Passwort Parzelle "&amp;J975,IF(J975=K975+1,Eingabe!$B$6&amp;"-"&amp;INDEX(Eingabe!$C$9:$C$18,I975)&amp;"-Vorstand  ·  eigenes WLAN",IF(J975=K975+2,Eingabe!$B$6&amp;"-"&amp;INDEX(Eingabe!$C$9:$C$18,I975)&amp;"-Gäste  ·  Voucher",IF(J975=K975+3,"Kabel  ·  Access Point y = .(50+y), Mast-Switch x = .(10+x)","")))))</f>
        <v/>
      </c>
      <c r="I975" s="0" t="str">
        <f aca="false">IF(970&lt;=(Eingabe!$P$18+Eingabe!$Q$18-1),MATCH(970,Eingabe!$P$9:$P$18,1),"")</f>
        <v/>
      </c>
      <c r="J975" s="0" t="str">
        <f aca="false">IF(I975="","",970-INDEX(Eingabe!$P$9:$P$18,I975))</f>
        <v/>
      </c>
      <c r="K975" s="0" t="str">
        <f aca="false">IF(I975="","",INDEX(Eingabe!$E$9:$E$18,I975))</f>
        <v/>
      </c>
    </row>
    <row r="976" customFormat="false" ht="15" hidden="false" customHeight="false" outlineLevel="0" collapsed="false">
      <c r="A976" s="0" t="str">
        <f aca="false">IF(I976="","",IF(J976=0,"Sparte "&amp;I976&amp;": "&amp;INDEX(Eingabe!$B$9:$B$18,I976)&amp;"  (Sparten-ID "&amp;INDEX(Eingabe!$D$9:$D$18,I976)&amp;", "&amp;K976&amp;" Parzellen)",IF(J976&lt;=K976,"   Parzelle "&amp;J976,IF(J976=K976+1,"   Vorstand",IF(J976=K976+2,"   Gäste",IF(J976=K976+3,"   Technik (Switches, Access Points)",""))))))</f>
        <v/>
      </c>
      <c r="B976" s="0" t="str">
        <f aca="false">IF(I976="","",IF(AND(J976&gt;=1,J976&lt;=K976+3),IF(J976&lt;=K976,IF(J976&lt;=99,IF((INDEX(Eingabe!$G$9:$G$18,I976))&lt;=9,1000+(INDEX(Eingabe!$G$9:$G$18,I976))*100,3000)+J976,IF((INDEX(Eingabe!$G$9:$G$18,I976)+1)&lt;=9,1000+(INDEX(Eingabe!$G$9:$G$18,I976)+1)*100,3000)+J976-100),IF(J976=K976+1,2000+INDEX(Eingabe!$G$9:$G$18,I976)*10+1,IF(J976=K976+2,2000+INDEX(Eingabe!$G$9:$G$18,I976)*10+2,2000+INDEX(Eingabe!$G$9:$G$18,I976)*10+9))),""))</f>
        <v/>
      </c>
      <c r="C976" s="0" t="str">
        <f aca="false">IF(I976="","",IF(AND(J976&gt;=1,J976&lt;=K976+3),"10."&amp;INDEX(Eingabe!$D$9:$D$18,I976)&amp;"."&amp;IF(J976&lt;=K976,J976,IF(J976=K976+1,200,IF(J976=K976+2,201,250)))&amp;".0/24",""))</f>
        <v/>
      </c>
      <c r="D976" s="0" t="str">
        <f aca="false">IF(I976="","",IF(AND(J976&gt;=1,J976&lt;=K976+3),"255.255.255.0",""))</f>
        <v/>
      </c>
      <c r="E976" s="0" t="str">
        <f aca="false">IF(I976="","",IF(AND(J976&gt;=1,J976&lt;=K976+3),"10."&amp;INDEX(Eingabe!$D$9:$D$18,I976)&amp;"."&amp;IF(J976&lt;=K976,J976,IF(J976=K976+1,200,IF(J976=K976+2,201,250)))&amp;".1",""))</f>
        <v/>
      </c>
      <c r="F976" s="0" t="str">
        <f aca="false">IF(I976="","",IF(AND(J976&gt;=1,J976&lt;=K976+3),"10."&amp;INDEX(Eingabe!$D$9:$D$18,I976)&amp;"."&amp;IF(J976&lt;=K976,J976,IF(J976=K976+1,200,IF(J976=K976+2,201,250)))&amp;".10 – 10."&amp;INDEX(Eingabe!$D$9:$D$18,I976)&amp;"."&amp;IF(J976&lt;=K976,J976,IF(J976=K976+1,200,IF(J976=K976+2,201,250)))&amp;".250",""))</f>
        <v/>
      </c>
      <c r="G976" s="0" t="str">
        <f aca="false">IF(I976="","",IF(AND(J976&gt;=1,J976&lt;=K976),Eingabe!$B$6&amp;"-"&amp;INDEX(Eingabe!$C$9:$C$18,I976)&amp;"-Pächter  ·  Passwort Parzelle "&amp;J976,IF(J976=K976+1,Eingabe!$B$6&amp;"-"&amp;INDEX(Eingabe!$C$9:$C$18,I976)&amp;"-Vorstand  ·  eigenes WLAN",IF(J976=K976+2,Eingabe!$B$6&amp;"-"&amp;INDEX(Eingabe!$C$9:$C$18,I976)&amp;"-Gäste  ·  Voucher",IF(J976=K976+3,"Kabel  ·  Access Point y = .(50+y), Mast-Switch x = .(10+x)","")))))</f>
        <v/>
      </c>
      <c r="I976" s="0" t="str">
        <f aca="false">IF(971&lt;=(Eingabe!$P$18+Eingabe!$Q$18-1),MATCH(971,Eingabe!$P$9:$P$18,1),"")</f>
        <v/>
      </c>
      <c r="J976" s="0" t="str">
        <f aca="false">IF(I976="","",971-INDEX(Eingabe!$P$9:$P$18,I976))</f>
        <v/>
      </c>
      <c r="K976" s="0" t="str">
        <f aca="false">IF(I976="","",INDEX(Eingabe!$E$9:$E$18,I976))</f>
        <v/>
      </c>
    </row>
    <row r="977" customFormat="false" ht="15" hidden="false" customHeight="false" outlineLevel="0" collapsed="false">
      <c r="A977" s="0" t="str">
        <f aca="false">IF(I977="","",IF(J977=0,"Sparte "&amp;I977&amp;": "&amp;INDEX(Eingabe!$B$9:$B$18,I977)&amp;"  (Sparten-ID "&amp;INDEX(Eingabe!$D$9:$D$18,I977)&amp;", "&amp;K977&amp;" Parzellen)",IF(J977&lt;=K977,"   Parzelle "&amp;J977,IF(J977=K977+1,"   Vorstand",IF(J977=K977+2,"   Gäste",IF(J977=K977+3,"   Technik (Switches, Access Points)",""))))))</f>
        <v/>
      </c>
      <c r="B977" s="0" t="str">
        <f aca="false">IF(I977="","",IF(AND(J977&gt;=1,J977&lt;=K977+3),IF(J977&lt;=K977,IF(J977&lt;=99,IF((INDEX(Eingabe!$G$9:$G$18,I977))&lt;=9,1000+(INDEX(Eingabe!$G$9:$G$18,I977))*100,3000)+J977,IF((INDEX(Eingabe!$G$9:$G$18,I977)+1)&lt;=9,1000+(INDEX(Eingabe!$G$9:$G$18,I977)+1)*100,3000)+J977-100),IF(J977=K977+1,2000+INDEX(Eingabe!$G$9:$G$18,I977)*10+1,IF(J977=K977+2,2000+INDEX(Eingabe!$G$9:$G$18,I977)*10+2,2000+INDEX(Eingabe!$G$9:$G$18,I977)*10+9))),""))</f>
        <v/>
      </c>
      <c r="C977" s="0" t="str">
        <f aca="false">IF(I977="","",IF(AND(J977&gt;=1,J977&lt;=K977+3),"10."&amp;INDEX(Eingabe!$D$9:$D$18,I977)&amp;"."&amp;IF(J977&lt;=K977,J977,IF(J977=K977+1,200,IF(J977=K977+2,201,250)))&amp;".0/24",""))</f>
        <v/>
      </c>
      <c r="D977" s="0" t="str">
        <f aca="false">IF(I977="","",IF(AND(J977&gt;=1,J977&lt;=K977+3),"255.255.255.0",""))</f>
        <v/>
      </c>
      <c r="E977" s="0" t="str">
        <f aca="false">IF(I977="","",IF(AND(J977&gt;=1,J977&lt;=K977+3),"10."&amp;INDEX(Eingabe!$D$9:$D$18,I977)&amp;"."&amp;IF(J977&lt;=K977,J977,IF(J977=K977+1,200,IF(J977=K977+2,201,250)))&amp;".1",""))</f>
        <v/>
      </c>
      <c r="F977" s="0" t="str">
        <f aca="false">IF(I977="","",IF(AND(J977&gt;=1,J977&lt;=K977+3),"10."&amp;INDEX(Eingabe!$D$9:$D$18,I977)&amp;"."&amp;IF(J977&lt;=K977,J977,IF(J977=K977+1,200,IF(J977=K977+2,201,250)))&amp;".10 – 10."&amp;INDEX(Eingabe!$D$9:$D$18,I977)&amp;"."&amp;IF(J977&lt;=K977,J977,IF(J977=K977+1,200,IF(J977=K977+2,201,250)))&amp;".250",""))</f>
        <v/>
      </c>
      <c r="G977" s="0" t="str">
        <f aca="false">IF(I977="","",IF(AND(J977&gt;=1,J977&lt;=K977),Eingabe!$B$6&amp;"-"&amp;INDEX(Eingabe!$C$9:$C$18,I977)&amp;"-Pächter  ·  Passwort Parzelle "&amp;J977,IF(J977=K977+1,Eingabe!$B$6&amp;"-"&amp;INDEX(Eingabe!$C$9:$C$18,I977)&amp;"-Vorstand  ·  eigenes WLAN",IF(J977=K977+2,Eingabe!$B$6&amp;"-"&amp;INDEX(Eingabe!$C$9:$C$18,I977)&amp;"-Gäste  ·  Voucher",IF(J977=K977+3,"Kabel  ·  Access Point y = .(50+y), Mast-Switch x = .(10+x)","")))))</f>
        <v/>
      </c>
      <c r="I977" s="0" t="str">
        <f aca="false">IF(972&lt;=(Eingabe!$P$18+Eingabe!$Q$18-1),MATCH(972,Eingabe!$P$9:$P$18,1),"")</f>
        <v/>
      </c>
      <c r="J977" s="0" t="str">
        <f aca="false">IF(I977="","",972-INDEX(Eingabe!$P$9:$P$18,I977))</f>
        <v/>
      </c>
      <c r="K977" s="0" t="str">
        <f aca="false">IF(I977="","",INDEX(Eingabe!$E$9:$E$18,I977))</f>
        <v/>
      </c>
    </row>
    <row r="978" customFormat="false" ht="15" hidden="false" customHeight="false" outlineLevel="0" collapsed="false">
      <c r="A978" s="0" t="str">
        <f aca="false">IF(I978="","",IF(J978=0,"Sparte "&amp;I978&amp;": "&amp;INDEX(Eingabe!$B$9:$B$18,I978)&amp;"  (Sparten-ID "&amp;INDEX(Eingabe!$D$9:$D$18,I978)&amp;", "&amp;K978&amp;" Parzellen)",IF(J978&lt;=K978,"   Parzelle "&amp;J978,IF(J978=K978+1,"   Vorstand",IF(J978=K978+2,"   Gäste",IF(J978=K978+3,"   Technik (Switches, Access Points)",""))))))</f>
        <v/>
      </c>
      <c r="B978" s="0" t="str">
        <f aca="false">IF(I978="","",IF(AND(J978&gt;=1,J978&lt;=K978+3),IF(J978&lt;=K978,IF(J978&lt;=99,IF((INDEX(Eingabe!$G$9:$G$18,I978))&lt;=9,1000+(INDEX(Eingabe!$G$9:$G$18,I978))*100,3000)+J978,IF((INDEX(Eingabe!$G$9:$G$18,I978)+1)&lt;=9,1000+(INDEX(Eingabe!$G$9:$G$18,I978)+1)*100,3000)+J978-100),IF(J978=K978+1,2000+INDEX(Eingabe!$G$9:$G$18,I978)*10+1,IF(J978=K978+2,2000+INDEX(Eingabe!$G$9:$G$18,I978)*10+2,2000+INDEX(Eingabe!$G$9:$G$18,I978)*10+9))),""))</f>
        <v/>
      </c>
      <c r="C978" s="0" t="str">
        <f aca="false">IF(I978="","",IF(AND(J978&gt;=1,J978&lt;=K978+3),"10."&amp;INDEX(Eingabe!$D$9:$D$18,I978)&amp;"."&amp;IF(J978&lt;=K978,J978,IF(J978=K978+1,200,IF(J978=K978+2,201,250)))&amp;".0/24",""))</f>
        <v/>
      </c>
      <c r="D978" s="0" t="str">
        <f aca="false">IF(I978="","",IF(AND(J978&gt;=1,J978&lt;=K978+3),"255.255.255.0",""))</f>
        <v/>
      </c>
      <c r="E978" s="0" t="str">
        <f aca="false">IF(I978="","",IF(AND(J978&gt;=1,J978&lt;=K978+3),"10."&amp;INDEX(Eingabe!$D$9:$D$18,I978)&amp;"."&amp;IF(J978&lt;=K978,J978,IF(J978=K978+1,200,IF(J978=K978+2,201,250)))&amp;".1",""))</f>
        <v/>
      </c>
      <c r="F978" s="0" t="str">
        <f aca="false">IF(I978="","",IF(AND(J978&gt;=1,J978&lt;=K978+3),"10."&amp;INDEX(Eingabe!$D$9:$D$18,I978)&amp;"."&amp;IF(J978&lt;=K978,J978,IF(J978=K978+1,200,IF(J978=K978+2,201,250)))&amp;".10 – 10."&amp;INDEX(Eingabe!$D$9:$D$18,I978)&amp;"."&amp;IF(J978&lt;=K978,J978,IF(J978=K978+1,200,IF(J978=K978+2,201,250)))&amp;".250",""))</f>
        <v/>
      </c>
      <c r="G978" s="0" t="str">
        <f aca="false">IF(I978="","",IF(AND(J978&gt;=1,J978&lt;=K978),Eingabe!$B$6&amp;"-"&amp;INDEX(Eingabe!$C$9:$C$18,I978)&amp;"-Pächter  ·  Passwort Parzelle "&amp;J978,IF(J978=K978+1,Eingabe!$B$6&amp;"-"&amp;INDEX(Eingabe!$C$9:$C$18,I978)&amp;"-Vorstand  ·  eigenes WLAN",IF(J978=K978+2,Eingabe!$B$6&amp;"-"&amp;INDEX(Eingabe!$C$9:$C$18,I978)&amp;"-Gäste  ·  Voucher",IF(J978=K978+3,"Kabel  ·  Access Point y = .(50+y), Mast-Switch x = .(10+x)","")))))</f>
        <v/>
      </c>
      <c r="I978" s="0" t="str">
        <f aca="false">IF(973&lt;=(Eingabe!$P$18+Eingabe!$Q$18-1),MATCH(973,Eingabe!$P$9:$P$18,1),"")</f>
        <v/>
      </c>
      <c r="J978" s="0" t="str">
        <f aca="false">IF(I978="","",973-INDEX(Eingabe!$P$9:$P$18,I978))</f>
        <v/>
      </c>
      <c r="K978" s="0" t="str">
        <f aca="false">IF(I978="","",INDEX(Eingabe!$E$9:$E$18,I978))</f>
        <v/>
      </c>
    </row>
    <row r="979" customFormat="false" ht="15" hidden="false" customHeight="false" outlineLevel="0" collapsed="false">
      <c r="A979" s="0" t="str">
        <f aca="false">IF(I979="","",IF(J979=0,"Sparte "&amp;I979&amp;": "&amp;INDEX(Eingabe!$B$9:$B$18,I979)&amp;"  (Sparten-ID "&amp;INDEX(Eingabe!$D$9:$D$18,I979)&amp;", "&amp;K979&amp;" Parzellen)",IF(J979&lt;=K979,"   Parzelle "&amp;J979,IF(J979=K979+1,"   Vorstand",IF(J979=K979+2,"   Gäste",IF(J979=K979+3,"   Technik (Switches, Access Points)",""))))))</f>
        <v/>
      </c>
      <c r="B979" s="0" t="str">
        <f aca="false">IF(I979="","",IF(AND(J979&gt;=1,J979&lt;=K979+3),IF(J979&lt;=K979,IF(J979&lt;=99,IF((INDEX(Eingabe!$G$9:$G$18,I979))&lt;=9,1000+(INDEX(Eingabe!$G$9:$G$18,I979))*100,3000)+J979,IF((INDEX(Eingabe!$G$9:$G$18,I979)+1)&lt;=9,1000+(INDEX(Eingabe!$G$9:$G$18,I979)+1)*100,3000)+J979-100),IF(J979=K979+1,2000+INDEX(Eingabe!$G$9:$G$18,I979)*10+1,IF(J979=K979+2,2000+INDEX(Eingabe!$G$9:$G$18,I979)*10+2,2000+INDEX(Eingabe!$G$9:$G$18,I979)*10+9))),""))</f>
        <v/>
      </c>
      <c r="C979" s="0" t="str">
        <f aca="false">IF(I979="","",IF(AND(J979&gt;=1,J979&lt;=K979+3),"10."&amp;INDEX(Eingabe!$D$9:$D$18,I979)&amp;"."&amp;IF(J979&lt;=K979,J979,IF(J979=K979+1,200,IF(J979=K979+2,201,250)))&amp;".0/24",""))</f>
        <v/>
      </c>
      <c r="D979" s="0" t="str">
        <f aca="false">IF(I979="","",IF(AND(J979&gt;=1,J979&lt;=K979+3),"255.255.255.0",""))</f>
        <v/>
      </c>
      <c r="E979" s="0" t="str">
        <f aca="false">IF(I979="","",IF(AND(J979&gt;=1,J979&lt;=K979+3),"10."&amp;INDEX(Eingabe!$D$9:$D$18,I979)&amp;"."&amp;IF(J979&lt;=K979,J979,IF(J979=K979+1,200,IF(J979=K979+2,201,250)))&amp;".1",""))</f>
        <v/>
      </c>
      <c r="F979" s="0" t="str">
        <f aca="false">IF(I979="","",IF(AND(J979&gt;=1,J979&lt;=K979+3),"10."&amp;INDEX(Eingabe!$D$9:$D$18,I979)&amp;"."&amp;IF(J979&lt;=K979,J979,IF(J979=K979+1,200,IF(J979=K979+2,201,250)))&amp;".10 – 10."&amp;INDEX(Eingabe!$D$9:$D$18,I979)&amp;"."&amp;IF(J979&lt;=K979,J979,IF(J979=K979+1,200,IF(J979=K979+2,201,250)))&amp;".250",""))</f>
        <v/>
      </c>
      <c r="G979" s="0" t="str">
        <f aca="false">IF(I979="","",IF(AND(J979&gt;=1,J979&lt;=K979),Eingabe!$B$6&amp;"-"&amp;INDEX(Eingabe!$C$9:$C$18,I979)&amp;"-Pächter  ·  Passwort Parzelle "&amp;J979,IF(J979=K979+1,Eingabe!$B$6&amp;"-"&amp;INDEX(Eingabe!$C$9:$C$18,I979)&amp;"-Vorstand  ·  eigenes WLAN",IF(J979=K979+2,Eingabe!$B$6&amp;"-"&amp;INDEX(Eingabe!$C$9:$C$18,I979)&amp;"-Gäste  ·  Voucher",IF(J979=K979+3,"Kabel  ·  Access Point y = .(50+y), Mast-Switch x = .(10+x)","")))))</f>
        <v/>
      </c>
      <c r="I979" s="0" t="str">
        <f aca="false">IF(974&lt;=(Eingabe!$P$18+Eingabe!$Q$18-1),MATCH(974,Eingabe!$P$9:$P$18,1),"")</f>
        <v/>
      </c>
      <c r="J979" s="0" t="str">
        <f aca="false">IF(I979="","",974-INDEX(Eingabe!$P$9:$P$18,I979))</f>
        <v/>
      </c>
      <c r="K979" s="0" t="str">
        <f aca="false">IF(I979="","",INDEX(Eingabe!$E$9:$E$18,I979))</f>
        <v/>
      </c>
    </row>
    <row r="980" customFormat="false" ht="15" hidden="false" customHeight="false" outlineLevel="0" collapsed="false">
      <c r="A980" s="0" t="str">
        <f aca="false">IF(I980="","",IF(J980=0,"Sparte "&amp;I980&amp;": "&amp;INDEX(Eingabe!$B$9:$B$18,I980)&amp;"  (Sparten-ID "&amp;INDEX(Eingabe!$D$9:$D$18,I980)&amp;", "&amp;K980&amp;" Parzellen)",IF(J980&lt;=K980,"   Parzelle "&amp;J980,IF(J980=K980+1,"   Vorstand",IF(J980=K980+2,"   Gäste",IF(J980=K980+3,"   Technik (Switches, Access Points)",""))))))</f>
        <v/>
      </c>
      <c r="B980" s="0" t="str">
        <f aca="false">IF(I980="","",IF(AND(J980&gt;=1,J980&lt;=K980+3),IF(J980&lt;=K980,IF(J980&lt;=99,IF((INDEX(Eingabe!$G$9:$G$18,I980))&lt;=9,1000+(INDEX(Eingabe!$G$9:$G$18,I980))*100,3000)+J980,IF((INDEX(Eingabe!$G$9:$G$18,I980)+1)&lt;=9,1000+(INDEX(Eingabe!$G$9:$G$18,I980)+1)*100,3000)+J980-100),IF(J980=K980+1,2000+INDEX(Eingabe!$G$9:$G$18,I980)*10+1,IF(J980=K980+2,2000+INDEX(Eingabe!$G$9:$G$18,I980)*10+2,2000+INDEX(Eingabe!$G$9:$G$18,I980)*10+9))),""))</f>
        <v/>
      </c>
      <c r="C980" s="0" t="str">
        <f aca="false">IF(I980="","",IF(AND(J980&gt;=1,J980&lt;=K980+3),"10."&amp;INDEX(Eingabe!$D$9:$D$18,I980)&amp;"."&amp;IF(J980&lt;=K980,J980,IF(J980=K980+1,200,IF(J980=K980+2,201,250)))&amp;".0/24",""))</f>
        <v/>
      </c>
      <c r="D980" s="0" t="str">
        <f aca="false">IF(I980="","",IF(AND(J980&gt;=1,J980&lt;=K980+3),"255.255.255.0",""))</f>
        <v/>
      </c>
      <c r="E980" s="0" t="str">
        <f aca="false">IF(I980="","",IF(AND(J980&gt;=1,J980&lt;=K980+3),"10."&amp;INDEX(Eingabe!$D$9:$D$18,I980)&amp;"."&amp;IF(J980&lt;=K980,J980,IF(J980=K980+1,200,IF(J980=K980+2,201,250)))&amp;".1",""))</f>
        <v/>
      </c>
      <c r="F980" s="0" t="str">
        <f aca="false">IF(I980="","",IF(AND(J980&gt;=1,J980&lt;=K980+3),"10."&amp;INDEX(Eingabe!$D$9:$D$18,I980)&amp;"."&amp;IF(J980&lt;=K980,J980,IF(J980=K980+1,200,IF(J980=K980+2,201,250)))&amp;".10 – 10."&amp;INDEX(Eingabe!$D$9:$D$18,I980)&amp;"."&amp;IF(J980&lt;=K980,J980,IF(J980=K980+1,200,IF(J980=K980+2,201,250)))&amp;".250",""))</f>
        <v/>
      </c>
      <c r="G980" s="0" t="str">
        <f aca="false">IF(I980="","",IF(AND(J980&gt;=1,J980&lt;=K980),Eingabe!$B$6&amp;"-"&amp;INDEX(Eingabe!$C$9:$C$18,I980)&amp;"-Pächter  ·  Passwort Parzelle "&amp;J980,IF(J980=K980+1,Eingabe!$B$6&amp;"-"&amp;INDEX(Eingabe!$C$9:$C$18,I980)&amp;"-Vorstand  ·  eigenes WLAN",IF(J980=K980+2,Eingabe!$B$6&amp;"-"&amp;INDEX(Eingabe!$C$9:$C$18,I980)&amp;"-Gäste  ·  Voucher",IF(J980=K980+3,"Kabel  ·  Access Point y = .(50+y), Mast-Switch x = .(10+x)","")))))</f>
        <v/>
      </c>
      <c r="I980" s="0" t="str">
        <f aca="false">IF(975&lt;=(Eingabe!$P$18+Eingabe!$Q$18-1),MATCH(975,Eingabe!$P$9:$P$18,1),"")</f>
        <v/>
      </c>
      <c r="J980" s="0" t="str">
        <f aca="false">IF(I980="","",975-INDEX(Eingabe!$P$9:$P$18,I980))</f>
        <v/>
      </c>
      <c r="K980" s="0" t="str">
        <f aca="false">IF(I980="","",INDEX(Eingabe!$E$9:$E$18,I980))</f>
        <v/>
      </c>
    </row>
    <row r="981" customFormat="false" ht="15" hidden="false" customHeight="false" outlineLevel="0" collapsed="false">
      <c r="A981" s="0" t="str">
        <f aca="false">IF(I981="","",IF(J981=0,"Sparte "&amp;I981&amp;": "&amp;INDEX(Eingabe!$B$9:$B$18,I981)&amp;"  (Sparten-ID "&amp;INDEX(Eingabe!$D$9:$D$18,I981)&amp;", "&amp;K981&amp;" Parzellen)",IF(J981&lt;=K981,"   Parzelle "&amp;J981,IF(J981=K981+1,"   Vorstand",IF(J981=K981+2,"   Gäste",IF(J981=K981+3,"   Technik (Switches, Access Points)",""))))))</f>
        <v/>
      </c>
      <c r="B981" s="0" t="str">
        <f aca="false">IF(I981="","",IF(AND(J981&gt;=1,J981&lt;=K981+3),IF(J981&lt;=K981,IF(J981&lt;=99,IF((INDEX(Eingabe!$G$9:$G$18,I981))&lt;=9,1000+(INDEX(Eingabe!$G$9:$G$18,I981))*100,3000)+J981,IF((INDEX(Eingabe!$G$9:$G$18,I981)+1)&lt;=9,1000+(INDEX(Eingabe!$G$9:$G$18,I981)+1)*100,3000)+J981-100),IF(J981=K981+1,2000+INDEX(Eingabe!$G$9:$G$18,I981)*10+1,IF(J981=K981+2,2000+INDEX(Eingabe!$G$9:$G$18,I981)*10+2,2000+INDEX(Eingabe!$G$9:$G$18,I981)*10+9))),""))</f>
        <v/>
      </c>
      <c r="C981" s="0" t="str">
        <f aca="false">IF(I981="","",IF(AND(J981&gt;=1,J981&lt;=K981+3),"10."&amp;INDEX(Eingabe!$D$9:$D$18,I981)&amp;"."&amp;IF(J981&lt;=K981,J981,IF(J981=K981+1,200,IF(J981=K981+2,201,250)))&amp;".0/24",""))</f>
        <v/>
      </c>
      <c r="D981" s="0" t="str">
        <f aca="false">IF(I981="","",IF(AND(J981&gt;=1,J981&lt;=K981+3),"255.255.255.0",""))</f>
        <v/>
      </c>
      <c r="E981" s="0" t="str">
        <f aca="false">IF(I981="","",IF(AND(J981&gt;=1,J981&lt;=K981+3),"10."&amp;INDEX(Eingabe!$D$9:$D$18,I981)&amp;"."&amp;IF(J981&lt;=K981,J981,IF(J981=K981+1,200,IF(J981=K981+2,201,250)))&amp;".1",""))</f>
        <v/>
      </c>
      <c r="F981" s="0" t="str">
        <f aca="false">IF(I981="","",IF(AND(J981&gt;=1,J981&lt;=K981+3),"10."&amp;INDEX(Eingabe!$D$9:$D$18,I981)&amp;"."&amp;IF(J981&lt;=K981,J981,IF(J981=K981+1,200,IF(J981=K981+2,201,250)))&amp;".10 – 10."&amp;INDEX(Eingabe!$D$9:$D$18,I981)&amp;"."&amp;IF(J981&lt;=K981,J981,IF(J981=K981+1,200,IF(J981=K981+2,201,250)))&amp;".250",""))</f>
        <v/>
      </c>
      <c r="G981" s="0" t="str">
        <f aca="false">IF(I981="","",IF(AND(J981&gt;=1,J981&lt;=K981),Eingabe!$B$6&amp;"-"&amp;INDEX(Eingabe!$C$9:$C$18,I981)&amp;"-Pächter  ·  Passwort Parzelle "&amp;J981,IF(J981=K981+1,Eingabe!$B$6&amp;"-"&amp;INDEX(Eingabe!$C$9:$C$18,I981)&amp;"-Vorstand  ·  eigenes WLAN",IF(J981=K981+2,Eingabe!$B$6&amp;"-"&amp;INDEX(Eingabe!$C$9:$C$18,I981)&amp;"-Gäste  ·  Voucher",IF(J981=K981+3,"Kabel  ·  Access Point y = .(50+y), Mast-Switch x = .(10+x)","")))))</f>
        <v/>
      </c>
      <c r="I981" s="0" t="str">
        <f aca="false">IF(976&lt;=(Eingabe!$P$18+Eingabe!$Q$18-1),MATCH(976,Eingabe!$P$9:$P$18,1),"")</f>
        <v/>
      </c>
      <c r="J981" s="0" t="str">
        <f aca="false">IF(I981="","",976-INDEX(Eingabe!$P$9:$P$18,I981))</f>
        <v/>
      </c>
      <c r="K981" s="0" t="str">
        <f aca="false">IF(I981="","",INDEX(Eingabe!$E$9:$E$18,I981))</f>
        <v/>
      </c>
    </row>
    <row r="982" customFormat="false" ht="15" hidden="false" customHeight="false" outlineLevel="0" collapsed="false">
      <c r="A982" s="0" t="str">
        <f aca="false">IF(I982="","",IF(J982=0,"Sparte "&amp;I982&amp;": "&amp;INDEX(Eingabe!$B$9:$B$18,I982)&amp;"  (Sparten-ID "&amp;INDEX(Eingabe!$D$9:$D$18,I982)&amp;", "&amp;K982&amp;" Parzellen)",IF(J982&lt;=K982,"   Parzelle "&amp;J982,IF(J982=K982+1,"   Vorstand",IF(J982=K982+2,"   Gäste",IF(J982=K982+3,"   Technik (Switches, Access Points)",""))))))</f>
        <v/>
      </c>
      <c r="B982" s="0" t="str">
        <f aca="false">IF(I982="","",IF(AND(J982&gt;=1,J982&lt;=K982+3),IF(J982&lt;=K982,IF(J982&lt;=99,IF((INDEX(Eingabe!$G$9:$G$18,I982))&lt;=9,1000+(INDEX(Eingabe!$G$9:$G$18,I982))*100,3000)+J982,IF((INDEX(Eingabe!$G$9:$G$18,I982)+1)&lt;=9,1000+(INDEX(Eingabe!$G$9:$G$18,I982)+1)*100,3000)+J982-100),IF(J982=K982+1,2000+INDEX(Eingabe!$G$9:$G$18,I982)*10+1,IF(J982=K982+2,2000+INDEX(Eingabe!$G$9:$G$18,I982)*10+2,2000+INDEX(Eingabe!$G$9:$G$18,I982)*10+9))),""))</f>
        <v/>
      </c>
      <c r="C982" s="0" t="str">
        <f aca="false">IF(I982="","",IF(AND(J982&gt;=1,J982&lt;=K982+3),"10."&amp;INDEX(Eingabe!$D$9:$D$18,I982)&amp;"."&amp;IF(J982&lt;=K982,J982,IF(J982=K982+1,200,IF(J982=K982+2,201,250)))&amp;".0/24",""))</f>
        <v/>
      </c>
      <c r="D982" s="0" t="str">
        <f aca="false">IF(I982="","",IF(AND(J982&gt;=1,J982&lt;=K982+3),"255.255.255.0",""))</f>
        <v/>
      </c>
      <c r="E982" s="0" t="str">
        <f aca="false">IF(I982="","",IF(AND(J982&gt;=1,J982&lt;=K982+3),"10."&amp;INDEX(Eingabe!$D$9:$D$18,I982)&amp;"."&amp;IF(J982&lt;=K982,J982,IF(J982=K982+1,200,IF(J982=K982+2,201,250)))&amp;".1",""))</f>
        <v/>
      </c>
      <c r="F982" s="0" t="str">
        <f aca="false">IF(I982="","",IF(AND(J982&gt;=1,J982&lt;=K982+3),"10."&amp;INDEX(Eingabe!$D$9:$D$18,I982)&amp;"."&amp;IF(J982&lt;=K982,J982,IF(J982=K982+1,200,IF(J982=K982+2,201,250)))&amp;".10 – 10."&amp;INDEX(Eingabe!$D$9:$D$18,I982)&amp;"."&amp;IF(J982&lt;=K982,J982,IF(J982=K982+1,200,IF(J982=K982+2,201,250)))&amp;".250",""))</f>
        <v/>
      </c>
      <c r="G982" s="0" t="str">
        <f aca="false">IF(I982="","",IF(AND(J982&gt;=1,J982&lt;=K982),Eingabe!$B$6&amp;"-"&amp;INDEX(Eingabe!$C$9:$C$18,I982)&amp;"-Pächter  ·  Passwort Parzelle "&amp;J982,IF(J982=K982+1,Eingabe!$B$6&amp;"-"&amp;INDEX(Eingabe!$C$9:$C$18,I982)&amp;"-Vorstand  ·  eigenes WLAN",IF(J982=K982+2,Eingabe!$B$6&amp;"-"&amp;INDEX(Eingabe!$C$9:$C$18,I982)&amp;"-Gäste  ·  Voucher",IF(J982=K982+3,"Kabel  ·  Access Point y = .(50+y), Mast-Switch x = .(10+x)","")))))</f>
        <v/>
      </c>
      <c r="I982" s="0" t="str">
        <f aca="false">IF(977&lt;=(Eingabe!$P$18+Eingabe!$Q$18-1),MATCH(977,Eingabe!$P$9:$P$18,1),"")</f>
        <v/>
      </c>
      <c r="J982" s="0" t="str">
        <f aca="false">IF(I982="","",977-INDEX(Eingabe!$P$9:$P$18,I982))</f>
        <v/>
      </c>
      <c r="K982" s="0" t="str">
        <f aca="false">IF(I982="","",INDEX(Eingabe!$E$9:$E$18,I982))</f>
        <v/>
      </c>
    </row>
    <row r="983" customFormat="false" ht="15" hidden="false" customHeight="false" outlineLevel="0" collapsed="false">
      <c r="A983" s="0" t="str">
        <f aca="false">IF(I983="","",IF(J983=0,"Sparte "&amp;I983&amp;": "&amp;INDEX(Eingabe!$B$9:$B$18,I983)&amp;"  (Sparten-ID "&amp;INDEX(Eingabe!$D$9:$D$18,I983)&amp;", "&amp;K983&amp;" Parzellen)",IF(J983&lt;=K983,"   Parzelle "&amp;J983,IF(J983=K983+1,"   Vorstand",IF(J983=K983+2,"   Gäste",IF(J983=K983+3,"   Technik (Switches, Access Points)",""))))))</f>
        <v/>
      </c>
      <c r="B983" s="0" t="str">
        <f aca="false">IF(I983="","",IF(AND(J983&gt;=1,J983&lt;=K983+3),IF(J983&lt;=K983,IF(J983&lt;=99,IF((INDEX(Eingabe!$G$9:$G$18,I983))&lt;=9,1000+(INDEX(Eingabe!$G$9:$G$18,I983))*100,3000)+J983,IF((INDEX(Eingabe!$G$9:$G$18,I983)+1)&lt;=9,1000+(INDEX(Eingabe!$G$9:$G$18,I983)+1)*100,3000)+J983-100),IF(J983=K983+1,2000+INDEX(Eingabe!$G$9:$G$18,I983)*10+1,IF(J983=K983+2,2000+INDEX(Eingabe!$G$9:$G$18,I983)*10+2,2000+INDEX(Eingabe!$G$9:$G$18,I983)*10+9))),""))</f>
        <v/>
      </c>
      <c r="C983" s="0" t="str">
        <f aca="false">IF(I983="","",IF(AND(J983&gt;=1,J983&lt;=K983+3),"10."&amp;INDEX(Eingabe!$D$9:$D$18,I983)&amp;"."&amp;IF(J983&lt;=K983,J983,IF(J983=K983+1,200,IF(J983=K983+2,201,250)))&amp;".0/24",""))</f>
        <v/>
      </c>
      <c r="D983" s="0" t="str">
        <f aca="false">IF(I983="","",IF(AND(J983&gt;=1,J983&lt;=K983+3),"255.255.255.0",""))</f>
        <v/>
      </c>
      <c r="E983" s="0" t="str">
        <f aca="false">IF(I983="","",IF(AND(J983&gt;=1,J983&lt;=K983+3),"10."&amp;INDEX(Eingabe!$D$9:$D$18,I983)&amp;"."&amp;IF(J983&lt;=K983,J983,IF(J983=K983+1,200,IF(J983=K983+2,201,250)))&amp;".1",""))</f>
        <v/>
      </c>
      <c r="F983" s="0" t="str">
        <f aca="false">IF(I983="","",IF(AND(J983&gt;=1,J983&lt;=K983+3),"10."&amp;INDEX(Eingabe!$D$9:$D$18,I983)&amp;"."&amp;IF(J983&lt;=K983,J983,IF(J983=K983+1,200,IF(J983=K983+2,201,250)))&amp;".10 – 10."&amp;INDEX(Eingabe!$D$9:$D$18,I983)&amp;"."&amp;IF(J983&lt;=K983,J983,IF(J983=K983+1,200,IF(J983=K983+2,201,250)))&amp;".250",""))</f>
        <v/>
      </c>
      <c r="G983" s="0" t="str">
        <f aca="false">IF(I983="","",IF(AND(J983&gt;=1,J983&lt;=K983),Eingabe!$B$6&amp;"-"&amp;INDEX(Eingabe!$C$9:$C$18,I983)&amp;"-Pächter  ·  Passwort Parzelle "&amp;J983,IF(J983=K983+1,Eingabe!$B$6&amp;"-"&amp;INDEX(Eingabe!$C$9:$C$18,I983)&amp;"-Vorstand  ·  eigenes WLAN",IF(J983=K983+2,Eingabe!$B$6&amp;"-"&amp;INDEX(Eingabe!$C$9:$C$18,I983)&amp;"-Gäste  ·  Voucher",IF(J983=K983+3,"Kabel  ·  Access Point y = .(50+y), Mast-Switch x = .(10+x)","")))))</f>
        <v/>
      </c>
      <c r="I983" s="0" t="str">
        <f aca="false">IF(978&lt;=(Eingabe!$P$18+Eingabe!$Q$18-1),MATCH(978,Eingabe!$P$9:$P$18,1),"")</f>
        <v/>
      </c>
      <c r="J983" s="0" t="str">
        <f aca="false">IF(I983="","",978-INDEX(Eingabe!$P$9:$P$18,I983))</f>
        <v/>
      </c>
      <c r="K983" s="0" t="str">
        <f aca="false">IF(I983="","",INDEX(Eingabe!$E$9:$E$18,I983))</f>
        <v/>
      </c>
    </row>
    <row r="984" customFormat="false" ht="15" hidden="false" customHeight="false" outlineLevel="0" collapsed="false">
      <c r="A984" s="0" t="str">
        <f aca="false">IF(I984="","",IF(J984=0,"Sparte "&amp;I984&amp;": "&amp;INDEX(Eingabe!$B$9:$B$18,I984)&amp;"  (Sparten-ID "&amp;INDEX(Eingabe!$D$9:$D$18,I984)&amp;", "&amp;K984&amp;" Parzellen)",IF(J984&lt;=K984,"   Parzelle "&amp;J984,IF(J984=K984+1,"   Vorstand",IF(J984=K984+2,"   Gäste",IF(J984=K984+3,"   Technik (Switches, Access Points)",""))))))</f>
        <v/>
      </c>
      <c r="B984" s="0" t="str">
        <f aca="false">IF(I984="","",IF(AND(J984&gt;=1,J984&lt;=K984+3),IF(J984&lt;=K984,IF(J984&lt;=99,IF((INDEX(Eingabe!$G$9:$G$18,I984))&lt;=9,1000+(INDEX(Eingabe!$G$9:$G$18,I984))*100,3000)+J984,IF((INDEX(Eingabe!$G$9:$G$18,I984)+1)&lt;=9,1000+(INDEX(Eingabe!$G$9:$G$18,I984)+1)*100,3000)+J984-100),IF(J984=K984+1,2000+INDEX(Eingabe!$G$9:$G$18,I984)*10+1,IF(J984=K984+2,2000+INDEX(Eingabe!$G$9:$G$18,I984)*10+2,2000+INDEX(Eingabe!$G$9:$G$18,I984)*10+9))),""))</f>
        <v/>
      </c>
      <c r="C984" s="0" t="str">
        <f aca="false">IF(I984="","",IF(AND(J984&gt;=1,J984&lt;=K984+3),"10."&amp;INDEX(Eingabe!$D$9:$D$18,I984)&amp;"."&amp;IF(J984&lt;=K984,J984,IF(J984=K984+1,200,IF(J984=K984+2,201,250)))&amp;".0/24",""))</f>
        <v/>
      </c>
      <c r="D984" s="0" t="str">
        <f aca="false">IF(I984="","",IF(AND(J984&gt;=1,J984&lt;=K984+3),"255.255.255.0",""))</f>
        <v/>
      </c>
      <c r="E984" s="0" t="str">
        <f aca="false">IF(I984="","",IF(AND(J984&gt;=1,J984&lt;=K984+3),"10."&amp;INDEX(Eingabe!$D$9:$D$18,I984)&amp;"."&amp;IF(J984&lt;=K984,J984,IF(J984=K984+1,200,IF(J984=K984+2,201,250)))&amp;".1",""))</f>
        <v/>
      </c>
      <c r="F984" s="0" t="str">
        <f aca="false">IF(I984="","",IF(AND(J984&gt;=1,J984&lt;=K984+3),"10."&amp;INDEX(Eingabe!$D$9:$D$18,I984)&amp;"."&amp;IF(J984&lt;=K984,J984,IF(J984=K984+1,200,IF(J984=K984+2,201,250)))&amp;".10 – 10."&amp;INDEX(Eingabe!$D$9:$D$18,I984)&amp;"."&amp;IF(J984&lt;=K984,J984,IF(J984=K984+1,200,IF(J984=K984+2,201,250)))&amp;".250",""))</f>
        <v/>
      </c>
      <c r="G984" s="0" t="str">
        <f aca="false">IF(I984="","",IF(AND(J984&gt;=1,J984&lt;=K984),Eingabe!$B$6&amp;"-"&amp;INDEX(Eingabe!$C$9:$C$18,I984)&amp;"-Pächter  ·  Passwort Parzelle "&amp;J984,IF(J984=K984+1,Eingabe!$B$6&amp;"-"&amp;INDEX(Eingabe!$C$9:$C$18,I984)&amp;"-Vorstand  ·  eigenes WLAN",IF(J984=K984+2,Eingabe!$B$6&amp;"-"&amp;INDEX(Eingabe!$C$9:$C$18,I984)&amp;"-Gäste  ·  Voucher",IF(J984=K984+3,"Kabel  ·  Access Point y = .(50+y), Mast-Switch x = .(10+x)","")))))</f>
        <v/>
      </c>
      <c r="I984" s="0" t="str">
        <f aca="false">IF(979&lt;=(Eingabe!$P$18+Eingabe!$Q$18-1),MATCH(979,Eingabe!$P$9:$P$18,1),"")</f>
        <v/>
      </c>
      <c r="J984" s="0" t="str">
        <f aca="false">IF(I984="","",979-INDEX(Eingabe!$P$9:$P$18,I984))</f>
        <v/>
      </c>
      <c r="K984" s="0" t="str">
        <f aca="false">IF(I984="","",INDEX(Eingabe!$E$9:$E$18,I984))</f>
        <v/>
      </c>
    </row>
    <row r="985" customFormat="false" ht="15" hidden="false" customHeight="false" outlineLevel="0" collapsed="false">
      <c r="A985" s="0" t="str">
        <f aca="false">IF(I985="","",IF(J985=0,"Sparte "&amp;I985&amp;": "&amp;INDEX(Eingabe!$B$9:$B$18,I985)&amp;"  (Sparten-ID "&amp;INDEX(Eingabe!$D$9:$D$18,I985)&amp;", "&amp;K985&amp;" Parzellen)",IF(J985&lt;=K985,"   Parzelle "&amp;J985,IF(J985=K985+1,"   Vorstand",IF(J985=K985+2,"   Gäste",IF(J985=K985+3,"   Technik (Switches, Access Points)",""))))))</f>
        <v/>
      </c>
      <c r="B985" s="0" t="str">
        <f aca="false">IF(I985="","",IF(AND(J985&gt;=1,J985&lt;=K985+3),IF(J985&lt;=K985,IF(J985&lt;=99,IF((INDEX(Eingabe!$G$9:$G$18,I985))&lt;=9,1000+(INDEX(Eingabe!$G$9:$G$18,I985))*100,3000)+J985,IF((INDEX(Eingabe!$G$9:$G$18,I985)+1)&lt;=9,1000+(INDEX(Eingabe!$G$9:$G$18,I985)+1)*100,3000)+J985-100),IF(J985=K985+1,2000+INDEX(Eingabe!$G$9:$G$18,I985)*10+1,IF(J985=K985+2,2000+INDEX(Eingabe!$G$9:$G$18,I985)*10+2,2000+INDEX(Eingabe!$G$9:$G$18,I985)*10+9))),""))</f>
        <v/>
      </c>
      <c r="C985" s="0" t="str">
        <f aca="false">IF(I985="","",IF(AND(J985&gt;=1,J985&lt;=K985+3),"10."&amp;INDEX(Eingabe!$D$9:$D$18,I985)&amp;"."&amp;IF(J985&lt;=K985,J985,IF(J985=K985+1,200,IF(J985=K985+2,201,250)))&amp;".0/24",""))</f>
        <v/>
      </c>
      <c r="D985" s="0" t="str">
        <f aca="false">IF(I985="","",IF(AND(J985&gt;=1,J985&lt;=K985+3),"255.255.255.0",""))</f>
        <v/>
      </c>
      <c r="E985" s="0" t="str">
        <f aca="false">IF(I985="","",IF(AND(J985&gt;=1,J985&lt;=K985+3),"10."&amp;INDEX(Eingabe!$D$9:$D$18,I985)&amp;"."&amp;IF(J985&lt;=K985,J985,IF(J985=K985+1,200,IF(J985=K985+2,201,250)))&amp;".1",""))</f>
        <v/>
      </c>
      <c r="F985" s="0" t="str">
        <f aca="false">IF(I985="","",IF(AND(J985&gt;=1,J985&lt;=K985+3),"10."&amp;INDEX(Eingabe!$D$9:$D$18,I985)&amp;"."&amp;IF(J985&lt;=K985,J985,IF(J985=K985+1,200,IF(J985=K985+2,201,250)))&amp;".10 – 10."&amp;INDEX(Eingabe!$D$9:$D$18,I985)&amp;"."&amp;IF(J985&lt;=K985,J985,IF(J985=K985+1,200,IF(J985=K985+2,201,250)))&amp;".250",""))</f>
        <v/>
      </c>
      <c r="G985" s="0" t="str">
        <f aca="false">IF(I985="","",IF(AND(J985&gt;=1,J985&lt;=K985),Eingabe!$B$6&amp;"-"&amp;INDEX(Eingabe!$C$9:$C$18,I985)&amp;"-Pächter  ·  Passwort Parzelle "&amp;J985,IF(J985=K985+1,Eingabe!$B$6&amp;"-"&amp;INDEX(Eingabe!$C$9:$C$18,I985)&amp;"-Vorstand  ·  eigenes WLAN",IF(J985=K985+2,Eingabe!$B$6&amp;"-"&amp;INDEX(Eingabe!$C$9:$C$18,I985)&amp;"-Gäste  ·  Voucher",IF(J985=K985+3,"Kabel  ·  Access Point y = .(50+y), Mast-Switch x = .(10+x)","")))))</f>
        <v/>
      </c>
      <c r="I985" s="0" t="str">
        <f aca="false">IF(980&lt;=(Eingabe!$P$18+Eingabe!$Q$18-1),MATCH(980,Eingabe!$P$9:$P$18,1),"")</f>
        <v/>
      </c>
      <c r="J985" s="0" t="str">
        <f aca="false">IF(I985="","",980-INDEX(Eingabe!$P$9:$P$18,I985))</f>
        <v/>
      </c>
      <c r="K985" s="0" t="str">
        <f aca="false">IF(I985="","",INDEX(Eingabe!$E$9:$E$18,I985))</f>
        <v/>
      </c>
    </row>
    <row r="986" customFormat="false" ht="15" hidden="false" customHeight="false" outlineLevel="0" collapsed="false">
      <c r="A986" s="0" t="str">
        <f aca="false">IF(I986="","",IF(J986=0,"Sparte "&amp;I986&amp;": "&amp;INDEX(Eingabe!$B$9:$B$18,I986)&amp;"  (Sparten-ID "&amp;INDEX(Eingabe!$D$9:$D$18,I986)&amp;", "&amp;K986&amp;" Parzellen)",IF(J986&lt;=K986,"   Parzelle "&amp;J986,IF(J986=K986+1,"   Vorstand",IF(J986=K986+2,"   Gäste",IF(J986=K986+3,"   Technik (Switches, Access Points)",""))))))</f>
        <v/>
      </c>
      <c r="B986" s="0" t="str">
        <f aca="false">IF(I986="","",IF(AND(J986&gt;=1,J986&lt;=K986+3),IF(J986&lt;=K986,IF(J986&lt;=99,IF((INDEX(Eingabe!$G$9:$G$18,I986))&lt;=9,1000+(INDEX(Eingabe!$G$9:$G$18,I986))*100,3000)+J986,IF((INDEX(Eingabe!$G$9:$G$18,I986)+1)&lt;=9,1000+(INDEX(Eingabe!$G$9:$G$18,I986)+1)*100,3000)+J986-100),IF(J986=K986+1,2000+INDEX(Eingabe!$G$9:$G$18,I986)*10+1,IF(J986=K986+2,2000+INDEX(Eingabe!$G$9:$G$18,I986)*10+2,2000+INDEX(Eingabe!$G$9:$G$18,I986)*10+9))),""))</f>
        <v/>
      </c>
      <c r="C986" s="0" t="str">
        <f aca="false">IF(I986="","",IF(AND(J986&gt;=1,J986&lt;=K986+3),"10."&amp;INDEX(Eingabe!$D$9:$D$18,I986)&amp;"."&amp;IF(J986&lt;=K986,J986,IF(J986=K986+1,200,IF(J986=K986+2,201,250)))&amp;".0/24",""))</f>
        <v/>
      </c>
      <c r="D986" s="0" t="str">
        <f aca="false">IF(I986="","",IF(AND(J986&gt;=1,J986&lt;=K986+3),"255.255.255.0",""))</f>
        <v/>
      </c>
      <c r="E986" s="0" t="str">
        <f aca="false">IF(I986="","",IF(AND(J986&gt;=1,J986&lt;=K986+3),"10."&amp;INDEX(Eingabe!$D$9:$D$18,I986)&amp;"."&amp;IF(J986&lt;=K986,J986,IF(J986=K986+1,200,IF(J986=K986+2,201,250)))&amp;".1",""))</f>
        <v/>
      </c>
      <c r="F986" s="0" t="str">
        <f aca="false">IF(I986="","",IF(AND(J986&gt;=1,J986&lt;=K986+3),"10."&amp;INDEX(Eingabe!$D$9:$D$18,I986)&amp;"."&amp;IF(J986&lt;=K986,J986,IF(J986=K986+1,200,IF(J986=K986+2,201,250)))&amp;".10 – 10."&amp;INDEX(Eingabe!$D$9:$D$18,I986)&amp;"."&amp;IF(J986&lt;=K986,J986,IF(J986=K986+1,200,IF(J986=K986+2,201,250)))&amp;".250",""))</f>
        <v/>
      </c>
      <c r="G986" s="0" t="str">
        <f aca="false">IF(I986="","",IF(AND(J986&gt;=1,J986&lt;=K986),Eingabe!$B$6&amp;"-"&amp;INDEX(Eingabe!$C$9:$C$18,I986)&amp;"-Pächter  ·  Passwort Parzelle "&amp;J986,IF(J986=K986+1,Eingabe!$B$6&amp;"-"&amp;INDEX(Eingabe!$C$9:$C$18,I986)&amp;"-Vorstand  ·  eigenes WLAN",IF(J986=K986+2,Eingabe!$B$6&amp;"-"&amp;INDEX(Eingabe!$C$9:$C$18,I986)&amp;"-Gäste  ·  Voucher",IF(J986=K986+3,"Kabel  ·  Access Point y = .(50+y), Mast-Switch x = .(10+x)","")))))</f>
        <v/>
      </c>
      <c r="I986" s="0" t="str">
        <f aca="false">IF(981&lt;=(Eingabe!$P$18+Eingabe!$Q$18-1),MATCH(981,Eingabe!$P$9:$P$18,1),"")</f>
        <v/>
      </c>
      <c r="J986" s="0" t="str">
        <f aca="false">IF(I986="","",981-INDEX(Eingabe!$P$9:$P$18,I986))</f>
        <v/>
      </c>
      <c r="K986" s="0" t="str">
        <f aca="false">IF(I986="","",INDEX(Eingabe!$E$9:$E$18,I986))</f>
        <v/>
      </c>
    </row>
    <row r="987" customFormat="false" ht="15" hidden="false" customHeight="false" outlineLevel="0" collapsed="false">
      <c r="A987" s="0" t="str">
        <f aca="false">IF(I987="","",IF(J987=0,"Sparte "&amp;I987&amp;": "&amp;INDEX(Eingabe!$B$9:$B$18,I987)&amp;"  (Sparten-ID "&amp;INDEX(Eingabe!$D$9:$D$18,I987)&amp;", "&amp;K987&amp;" Parzellen)",IF(J987&lt;=K987,"   Parzelle "&amp;J987,IF(J987=K987+1,"   Vorstand",IF(J987=K987+2,"   Gäste",IF(J987=K987+3,"   Technik (Switches, Access Points)",""))))))</f>
        <v/>
      </c>
      <c r="B987" s="0" t="str">
        <f aca="false">IF(I987="","",IF(AND(J987&gt;=1,J987&lt;=K987+3),IF(J987&lt;=K987,IF(J987&lt;=99,IF((INDEX(Eingabe!$G$9:$G$18,I987))&lt;=9,1000+(INDEX(Eingabe!$G$9:$G$18,I987))*100,3000)+J987,IF((INDEX(Eingabe!$G$9:$G$18,I987)+1)&lt;=9,1000+(INDEX(Eingabe!$G$9:$G$18,I987)+1)*100,3000)+J987-100),IF(J987=K987+1,2000+INDEX(Eingabe!$G$9:$G$18,I987)*10+1,IF(J987=K987+2,2000+INDEX(Eingabe!$G$9:$G$18,I987)*10+2,2000+INDEX(Eingabe!$G$9:$G$18,I987)*10+9))),""))</f>
        <v/>
      </c>
      <c r="C987" s="0" t="str">
        <f aca="false">IF(I987="","",IF(AND(J987&gt;=1,J987&lt;=K987+3),"10."&amp;INDEX(Eingabe!$D$9:$D$18,I987)&amp;"."&amp;IF(J987&lt;=K987,J987,IF(J987=K987+1,200,IF(J987=K987+2,201,250)))&amp;".0/24",""))</f>
        <v/>
      </c>
      <c r="D987" s="0" t="str">
        <f aca="false">IF(I987="","",IF(AND(J987&gt;=1,J987&lt;=K987+3),"255.255.255.0",""))</f>
        <v/>
      </c>
      <c r="E987" s="0" t="str">
        <f aca="false">IF(I987="","",IF(AND(J987&gt;=1,J987&lt;=K987+3),"10."&amp;INDEX(Eingabe!$D$9:$D$18,I987)&amp;"."&amp;IF(J987&lt;=K987,J987,IF(J987=K987+1,200,IF(J987=K987+2,201,250)))&amp;".1",""))</f>
        <v/>
      </c>
      <c r="F987" s="0" t="str">
        <f aca="false">IF(I987="","",IF(AND(J987&gt;=1,J987&lt;=K987+3),"10."&amp;INDEX(Eingabe!$D$9:$D$18,I987)&amp;"."&amp;IF(J987&lt;=K987,J987,IF(J987=K987+1,200,IF(J987=K987+2,201,250)))&amp;".10 – 10."&amp;INDEX(Eingabe!$D$9:$D$18,I987)&amp;"."&amp;IF(J987&lt;=K987,J987,IF(J987=K987+1,200,IF(J987=K987+2,201,250)))&amp;".250",""))</f>
        <v/>
      </c>
      <c r="G987" s="0" t="str">
        <f aca="false">IF(I987="","",IF(AND(J987&gt;=1,J987&lt;=K987),Eingabe!$B$6&amp;"-"&amp;INDEX(Eingabe!$C$9:$C$18,I987)&amp;"-Pächter  ·  Passwort Parzelle "&amp;J987,IF(J987=K987+1,Eingabe!$B$6&amp;"-"&amp;INDEX(Eingabe!$C$9:$C$18,I987)&amp;"-Vorstand  ·  eigenes WLAN",IF(J987=K987+2,Eingabe!$B$6&amp;"-"&amp;INDEX(Eingabe!$C$9:$C$18,I987)&amp;"-Gäste  ·  Voucher",IF(J987=K987+3,"Kabel  ·  Access Point y = .(50+y), Mast-Switch x = .(10+x)","")))))</f>
        <v/>
      </c>
      <c r="I987" s="0" t="str">
        <f aca="false">IF(982&lt;=(Eingabe!$P$18+Eingabe!$Q$18-1),MATCH(982,Eingabe!$P$9:$P$18,1),"")</f>
        <v/>
      </c>
      <c r="J987" s="0" t="str">
        <f aca="false">IF(I987="","",982-INDEX(Eingabe!$P$9:$P$18,I987))</f>
        <v/>
      </c>
      <c r="K987" s="0" t="str">
        <f aca="false">IF(I987="","",INDEX(Eingabe!$E$9:$E$18,I987))</f>
        <v/>
      </c>
    </row>
    <row r="988" customFormat="false" ht="15" hidden="false" customHeight="false" outlineLevel="0" collapsed="false">
      <c r="A988" s="0" t="str">
        <f aca="false">IF(I988="","",IF(J988=0,"Sparte "&amp;I988&amp;": "&amp;INDEX(Eingabe!$B$9:$B$18,I988)&amp;"  (Sparten-ID "&amp;INDEX(Eingabe!$D$9:$D$18,I988)&amp;", "&amp;K988&amp;" Parzellen)",IF(J988&lt;=K988,"   Parzelle "&amp;J988,IF(J988=K988+1,"   Vorstand",IF(J988=K988+2,"   Gäste",IF(J988=K988+3,"   Technik (Switches, Access Points)",""))))))</f>
        <v/>
      </c>
      <c r="B988" s="0" t="str">
        <f aca="false">IF(I988="","",IF(AND(J988&gt;=1,J988&lt;=K988+3),IF(J988&lt;=K988,IF(J988&lt;=99,IF((INDEX(Eingabe!$G$9:$G$18,I988))&lt;=9,1000+(INDEX(Eingabe!$G$9:$G$18,I988))*100,3000)+J988,IF((INDEX(Eingabe!$G$9:$G$18,I988)+1)&lt;=9,1000+(INDEX(Eingabe!$G$9:$G$18,I988)+1)*100,3000)+J988-100),IF(J988=K988+1,2000+INDEX(Eingabe!$G$9:$G$18,I988)*10+1,IF(J988=K988+2,2000+INDEX(Eingabe!$G$9:$G$18,I988)*10+2,2000+INDEX(Eingabe!$G$9:$G$18,I988)*10+9))),""))</f>
        <v/>
      </c>
      <c r="C988" s="0" t="str">
        <f aca="false">IF(I988="","",IF(AND(J988&gt;=1,J988&lt;=K988+3),"10."&amp;INDEX(Eingabe!$D$9:$D$18,I988)&amp;"."&amp;IF(J988&lt;=K988,J988,IF(J988=K988+1,200,IF(J988=K988+2,201,250)))&amp;".0/24",""))</f>
        <v/>
      </c>
      <c r="D988" s="0" t="str">
        <f aca="false">IF(I988="","",IF(AND(J988&gt;=1,J988&lt;=K988+3),"255.255.255.0",""))</f>
        <v/>
      </c>
      <c r="E988" s="0" t="str">
        <f aca="false">IF(I988="","",IF(AND(J988&gt;=1,J988&lt;=K988+3),"10."&amp;INDEX(Eingabe!$D$9:$D$18,I988)&amp;"."&amp;IF(J988&lt;=K988,J988,IF(J988=K988+1,200,IF(J988=K988+2,201,250)))&amp;".1",""))</f>
        <v/>
      </c>
      <c r="F988" s="0" t="str">
        <f aca="false">IF(I988="","",IF(AND(J988&gt;=1,J988&lt;=K988+3),"10."&amp;INDEX(Eingabe!$D$9:$D$18,I988)&amp;"."&amp;IF(J988&lt;=K988,J988,IF(J988=K988+1,200,IF(J988=K988+2,201,250)))&amp;".10 – 10."&amp;INDEX(Eingabe!$D$9:$D$18,I988)&amp;"."&amp;IF(J988&lt;=K988,J988,IF(J988=K988+1,200,IF(J988=K988+2,201,250)))&amp;".250",""))</f>
        <v/>
      </c>
      <c r="G988" s="0" t="str">
        <f aca="false">IF(I988="","",IF(AND(J988&gt;=1,J988&lt;=K988),Eingabe!$B$6&amp;"-"&amp;INDEX(Eingabe!$C$9:$C$18,I988)&amp;"-Pächter  ·  Passwort Parzelle "&amp;J988,IF(J988=K988+1,Eingabe!$B$6&amp;"-"&amp;INDEX(Eingabe!$C$9:$C$18,I988)&amp;"-Vorstand  ·  eigenes WLAN",IF(J988=K988+2,Eingabe!$B$6&amp;"-"&amp;INDEX(Eingabe!$C$9:$C$18,I988)&amp;"-Gäste  ·  Voucher",IF(J988=K988+3,"Kabel  ·  Access Point y = .(50+y), Mast-Switch x = .(10+x)","")))))</f>
        <v/>
      </c>
      <c r="I988" s="0" t="str">
        <f aca="false">IF(983&lt;=(Eingabe!$P$18+Eingabe!$Q$18-1),MATCH(983,Eingabe!$P$9:$P$18,1),"")</f>
        <v/>
      </c>
      <c r="J988" s="0" t="str">
        <f aca="false">IF(I988="","",983-INDEX(Eingabe!$P$9:$P$18,I988))</f>
        <v/>
      </c>
      <c r="K988" s="0" t="str">
        <f aca="false">IF(I988="","",INDEX(Eingabe!$E$9:$E$18,I988))</f>
        <v/>
      </c>
    </row>
    <row r="989" customFormat="false" ht="15" hidden="false" customHeight="false" outlineLevel="0" collapsed="false">
      <c r="A989" s="0" t="str">
        <f aca="false">IF(I989="","",IF(J989=0,"Sparte "&amp;I989&amp;": "&amp;INDEX(Eingabe!$B$9:$B$18,I989)&amp;"  (Sparten-ID "&amp;INDEX(Eingabe!$D$9:$D$18,I989)&amp;", "&amp;K989&amp;" Parzellen)",IF(J989&lt;=K989,"   Parzelle "&amp;J989,IF(J989=K989+1,"   Vorstand",IF(J989=K989+2,"   Gäste",IF(J989=K989+3,"   Technik (Switches, Access Points)",""))))))</f>
        <v/>
      </c>
      <c r="B989" s="0" t="str">
        <f aca="false">IF(I989="","",IF(AND(J989&gt;=1,J989&lt;=K989+3),IF(J989&lt;=K989,IF(J989&lt;=99,IF((INDEX(Eingabe!$G$9:$G$18,I989))&lt;=9,1000+(INDEX(Eingabe!$G$9:$G$18,I989))*100,3000)+J989,IF((INDEX(Eingabe!$G$9:$G$18,I989)+1)&lt;=9,1000+(INDEX(Eingabe!$G$9:$G$18,I989)+1)*100,3000)+J989-100),IF(J989=K989+1,2000+INDEX(Eingabe!$G$9:$G$18,I989)*10+1,IF(J989=K989+2,2000+INDEX(Eingabe!$G$9:$G$18,I989)*10+2,2000+INDEX(Eingabe!$G$9:$G$18,I989)*10+9))),""))</f>
        <v/>
      </c>
      <c r="C989" s="0" t="str">
        <f aca="false">IF(I989="","",IF(AND(J989&gt;=1,J989&lt;=K989+3),"10."&amp;INDEX(Eingabe!$D$9:$D$18,I989)&amp;"."&amp;IF(J989&lt;=K989,J989,IF(J989=K989+1,200,IF(J989=K989+2,201,250)))&amp;".0/24",""))</f>
        <v/>
      </c>
      <c r="D989" s="0" t="str">
        <f aca="false">IF(I989="","",IF(AND(J989&gt;=1,J989&lt;=K989+3),"255.255.255.0",""))</f>
        <v/>
      </c>
      <c r="E989" s="0" t="str">
        <f aca="false">IF(I989="","",IF(AND(J989&gt;=1,J989&lt;=K989+3),"10."&amp;INDEX(Eingabe!$D$9:$D$18,I989)&amp;"."&amp;IF(J989&lt;=K989,J989,IF(J989=K989+1,200,IF(J989=K989+2,201,250)))&amp;".1",""))</f>
        <v/>
      </c>
      <c r="F989" s="0" t="str">
        <f aca="false">IF(I989="","",IF(AND(J989&gt;=1,J989&lt;=K989+3),"10."&amp;INDEX(Eingabe!$D$9:$D$18,I989)&amp;"."&amp;IF(J989&lt;=K989,J989,IF(J989=K989+1,200,IF(J989=K989+2,201,250)))&amp;".10 – 10."&amp;INDEX(Eingabe!$D$9:$D$18,I989)&amp;"."&amp;IF(J989&lt;=K989,J989,IF(J989=K989+1,200,IF(J989=K989+2,201,250)))&amp;".250",""))</f>
        <v/>
      </c>
      <c r="G989" s="0" t="str">
        <f aca="false">IF(I989="","",IF(AND(J989&gt;=1,J989&lt;=K989),Eingabe!$B$6&amp;"-"&amp;INDEX(Eingabe!$C$9:$C$18,I989)&amp;"-Pächter  ·  Passwort Parzelle "&amp;J989,IF(J989=K989+1,Eingabe!$B$6&amp;"-"&amp;INDEX(Eingabe!$C$9:$C$18,I989)&amp;"-Vorstand  ·  eigenes WLAN",IF(J989=K989+2,Eingabe!$B$6&amp;"-"&amp;INDEX(Eingabe!$C$9:$C$18,I989)&amp;"-Gäste  ·  Voucher",IF(J989=K989+3,"Kabel  ·  Access Point y = .(50+y), Mast-Switch x = .(10+x)","")))))</f>
        <v/>
      </c>
      <c r="I989" s="0" t="str">
        <f aca="false">IF(984&lt;=(Eingabe!$P$18+Eingabe!$Q$18-1),MATCH(984,Eingabe!$P$9:$P$18,1),"")</f>
        <v/>
      </c>
      <c r="J989" s="0" t="str">
        <f aca="false">IF(I989="","",984-INDEX(Eingabe!$P$9:$P$18,I989))</f>
        <v/>
      </c>
      <c r="K989" s="0" t="str">
        <f aca="false">IF(I989="","",INDEX(Eingabe!$E$9:$E$18,I989))</f>
        <v/>
      </c>
    </row>
    <row r="990" customFormat="false" ht="15" hidden="false" customHeight="false" outlineLevel="0" collapsed="false">
      <c r="A990" s="0" t="str">
        <f aca="false">IF(I990="","",IF(J990=0,"Sparte "&amp;I990&amp;": "&amp;INDEX(Eingabe!$B$9:$B$18,I990)&amp;"  (Sparten-ID "&amp;INDEX(Eingabe!$D$9:$D$18,I990)&amp;", "&amp;K990&amp;" Parzellen)",IF(J990&lt;=K990,"   Parzelle "&amp;J990,IF(J990=K990+1,"   Vorstand",IF(J990=K990+2,"   Gäste",IF(J990=K990+3,"   Technik (Switches, Access Points)",""))))))</f>
        <v/>
      </c>
      <c r="B990" s="0" t="str">
        <f aca="false">IF(I990="","",IF(AND(J990&gt;=1,J990&lt;=K990+3),IF(J990&lt;=K990,IF(J990&lt;=99,IF((INDEX(Eingabe!$G$9:$G$18,I990))&lt;=9,1000+(INDEX(Eingabe!$G$9:$G$18,I990))*100,3000)+J990,IF((INDEX(Eingabe!$G$9:$G$18,I990)+1)&lt;=9,1000+(INDEX(Eingabe!$G$9:$G$18,I990)+1)*100,3000)+J990-100),IF(J990=K990+1,2000+INDEX(Eingabe!$G$9:$G$18,I990)*10+1,IF(J990=K990+2,2000+INDEX(Eingabe!$G$9:$G$18,I990)*10+2,2000+INDEX(Eingabe!$G$9:$G$18,I990)*10+9))),""))</f>
        <v/>
      </c>
      <c r="C990" s="0" t="str">
        <f aca="false">IF(I990="","",IF(AND(J990&gt;=1,J990&lt;=K990+3),"10."&amp;INDEX(Eingabe!$D$9:$D$18,I990)&amp;"."&amp;IF(J990&lt;=K990,J990,IF(J990=K990+1,200,IF(J990=K990+2,201,250)))&amp;".0/24",""))</f>
        <v/>
      </c>
      <c r="D990" s="0" t="str">
        <f aca="false">IF(I990="","",IF(AND(J990&gt;=1,J990&lt;=K990+3),"255.255.255.0",""))</f>
        <v/>
      </c>
      <c r="E990" s="0" t="str">
        <f aca="false">IF(I990="","",IF(AND(J990&gt;=1,J990&lt;=K990+3),"10."&amp;INDEX(Eingabe!$D$9:$D$18,I990)&amp;"."&amp;IF(J990&lt;=K990,J990,IF(J990=K990+1,200,IF(J990=K990+2,201,250)))&amp;".1",""))</f>
        <v/>
      </c>
      <c r="F990" s="0" t="str">
        <f aca="false">IF(I990="","",IF(AND(J990&gt;=1,J990&lt;=K990+3),"10."&amp;INDEX(Eingabe!$D$9:$D$18,I990)&amp;"."&amp;IF(J990&lt;=K990,J990,IF(J990=K990+1,200,IF(J990=K990+2,201,250)))&amp;".10 – 10."&amp;INDEX(Eingabe!$D$9:$D$18,I990)&amp;"."&amp;IF(J990&lt;=K990,J990,IF(J990=K990+1,200,IF(J990=K990+2,201,250)))&amp;".250",""))</f>
        <v/>
      </c>
      <c r="G990" s="0" t="str">
        <f aca="false">IF(I990="","",IF(AND(J990&gt;=1,J990&lt;=K990),Eingabe!$B$6&amp;"-"&amp;INDEX(Eingabe!$C$9:$C$18,I990)&amp;"-Pächter  ·  Passwort Parzelle "&amp;J990,IF(J990=K990+1,Eingabe!$B$6&amp;"-"&amp;INDEX(Eingabe!$C$9:$C$18,I990)&amp;"-Vorstand  ·  eigenes WLAN",IF(J990=K990+2,Eingabe!$B$6&amp;"-"&amp;INDEX(Eingabe!$C$9:$C$18,I990)&amp;"-Gäste  ·  Voucher",IF(J990=K990+3,"Kabel  ·  Access Point y = .(50+y), Mast-Switch x = .(10+x)","")))))</f>
        <v/>
      </c>
      <c r="I990" s="0" t="str">
        <f aca="false">IF(985&lt;=(Eingabe!$P$18+Eingabe!$Q$18-1),MATCH(985,Eingabe!$P$9:$P$18,1),"")</f>
        <v/>
      </c>
      <c r="J990" s="0" t="str">
        <f aca="false">IF(I990="","",985-INDEX(Eingabe!$P$9:$P$18,I990))</f>
        <v/>
      </c>
      <c r="K990" s="0" t="str">
        <f aca="false">IF(I990="","",INDEX(Eingabe!$E$9:$E$18,I990))</f>
        <v/>
      </c>
    </row>
    <row r="991" customFormat="false" ht="15" hidden="false" customHeight="false" outlineLevel="0" collapsed="false">
      <c r="A991" s="0" t="str">
        <f aca="false">IF(I991="","",IF(J991=0,"Sparte "&amp;I991&amp;": "&amp;INDEX(Eingabe!$B$9:$B$18,I991)&amp;"  (Sparten-ID "&amp;INDEX(Eingabe!$D$9:$D$18,I991)&amp;", "&amp;K991&amp;" Parzellen)",IF(J991&lt;=K991,"   Parzelle "&amp;J991,IF(J991=K991+1,"   Vorstand",IF(J991=K991+2,"   Gäste",IF(J991=K991+3,"   Technik (Switches, Access Points)",""))))))</f>
        <v/>
      </c>
      <c r="B991" s="0" t="str">
        <f aca="false">IF(I991="","",IF(AND(J991&gt;=1,J991&lt;=K991+3),IF(J991&lt;=K991,IF(J991&lt;=99,IF((INDEX(Eingabe!$G$9:$G$18,I991))&lt;=9,1000+(INDEX(Eingabe!$G$9:$G$18,I991))*100,3000)+J991,IF((INDEX(Eingabe!$G$9:$G$18,I991)+1)&lt;=9,1000+(INDEX(Eingabe!$G$9:$G$18,I991)+1)*100,3000)+J991-100),IF(J991=K991+1,2000+INDEX(Eingabe!$G$9:$G$18,I991)*10+1,IF(J991=K991+2,2000+INDEX(Eingabe!$G$9:$G$18,I991)*10+2,2000+INDEX(Eingabe!$G$9:$G$18,I991)*10+9))),""))</f>
        <v/>
      </c>
      <c r="C991" s="0" t="str">
        <f aca="false">IF(I991="","",IF(AND(J991&gt;=1,J991&lt;=K991+3),"10."&amp;INDEX(Eingabe!$D$9:$D$18,I991)&amp;"."&amp;IF(J991&lt;=K991,J991,IF(J991=K991+1,200,IF(J991=K991+2,201,250)))&amp;".0/24",""))</f>
        <v/>
      </c>
      <c r="D991" s="0" t="str">
        <f aca="false">IF(I991="","",IF(AND(J991&gt;=1,J991&lt;=K991+3),"255.255.255.0",""))</f>
        <v/>
      </c>
      <c r="E991" s="0" t="str">
        <f aca="false">IF(I991="","",IF(AND(J991&gt;=1,J991&lt;=K991+3),"10."&amp;INDEX(Eingabe!$D$9:$D$18,I991)&amp;"."&amp;IF(J991&lt;=K991,J991,IF(J991=K991+1,200,IF(J991=K991+2,201,250)))&amp;".1",""))</f>
        <v/>
      </c>
      <c r="F991" s="0" t="str">
        <f aca="false">IF(I991="","",IF(AND(J991&gt;=1,J991&lt;=K991+3),"10."&amp;INDEX(Eingabe!$D$9:$D$18,I991)&amp;"."&amp;IF(J991&lt;=K991,J991,IF(J991=K991+1,200,IF(J991=K991+2,201,250)))&amp;".10 – 10."&amp;INDEX(Eingabe!$D$9:$D$18,I991)&amp;"."&amp;IF(J991&lt;=K991,J991,IF(J991=K991+1,200,IF(J991=K991+2,201,250)))&amp;".250",""))</f>
        <v/>
      </c>
      <c r="G991" s="0" t="str">
        <f aca="false">IF(I991="","",IF(AND(J991&gt;=1,J991&lt;=K991),Eingabe!$B$6&amp;"-"&amp;INDEX(Eingabe!$C$9:$C$18,I991)&amp;"-Pächter  ·  Passwort Parzelle "&amp;J991,IF(J991=K991+1,Eingabe!$B$6&amp;"-"&amp;INDEX(Eingabe!$C$9:$C$18,I991)&amp;"-Vorstand  ·  eigenes WLAN",IF(J991=K991+2,Eingabe!$B$6&amp;"-"&amp;INDEX(Eingabe!$C$9:$C$18,I991)&amp;"-Gäste  ·  Voucher",IF(J991=K991+3,"Kabel  ·  Access Point y = .(50+y), Mast-Switch x = .(10+x)","")))))</f>
        <v/>
      </c>
      <c r="I991" s="0" t="str">
        <f aca="false">IF(986&lt;=(Eingabe!$P$18+Eingabe!$Q$18-1),MATCH(986,Eingabe!$P$9:$P$18,1),"")</f>
        <v/>
      </c>
      <c r="J991" s="0" t="str">
        <f aca="false">IF(I991="","",986-INDEX(Eingabe!$P$9:$P$18,I991))</f>
        <v/>
      </c>
      <c r="K991" s="0" t="str">
        <f aca="false">IF(I991="","",INDEX(Eingabe!$E$9:$E$18,I991))</f>
        <v/>
      </c>
    </row>
    <row r="992" customFormat="false" ht="15" hidden="false" customHeight="false" outlineLevel="0" collapsed="false">
      <c r="A992" s="0" t="str">
        <f aca="false">IF(I992="","",IF(J992=0,"Sparte "&amp;I992&amp;": "&amp;INDEX(Eingabe!$B$9:$B$18,I992)&amp;"  (Sparten-ID "&amp;INDEX(Eingabe!$D$9:$D$18,I992)&amp;", "&amp;K992&amp;" Parzellen)",IF(J992&lt;=K992,"   Parzelle "&amp;J992,IF(J992=K992+1,"   Vorstand",IF(J992=K992+2,"   Gäste",IF(J992=K992+3,"   Technik (Switches, Access Points)",""))))))</f>
        <v/>
      </c>
      <c r="B992" s="0" t="str">
        <f aca="false">IF(I992="","",IF(AND(J992&gt;=1,J992&lt;=K992+3),IF(J992&lt;=K992,IF(J992&lt;=99,IF((INDEX(Eingabe!$G$9:$G$18,I992))&lt;=9,1000+(INDEX(Eingabe!$G$9:$G$18,I992))*100,3000)+J992,IF((INDEX(Eingabe!$G$9:$G$18,I992)+1)&lt;=9,1000+(INDEX(Eingabe!$G$9:$G$18,I992)+1)*100,3000)+J992-100),IF(J992=K992+1,2000+INDEX(Eingabe!$G$9:$G$18,I992)*10+1,IF(J992=K992+2,2000+INDEX(Eingabe!$G$9:$G$18,I992)*10+2,2000+INDEX(Eingabe!$G$9:$G$18,I992)*10+9))),""))</f>
        <v/>
      </c>
      <c r="C992" s="0" t="str">
        <f aca="false">IF(I992="","",IF(AND(J992&gt;=1,J992&lt;=K992+3),"10."&amp;INDEX(Eingabe!$D$9:$D$18,I992)&amp;"."&amp;IF(J992&lt;=K992,J992,IF(J992=K992+1,200,IF(J992=K992+2,201,250)))&amp;".0/24",""))</f>
        <v/>
      </c>
      <c r="D992" s="0" t="str">
        <f aca="false">IF(I992="","",IF(AND(J992&gt;=1,J992&lt;=K992+3),"255.255.255.0",""))</f>
        <v/>
      </c>
      <c r="E992" s="0" t="str">
        <f aca="false">IF(I992="","",IF(AND(J992&gt;=1,J992&lt;=K992+3),"10."&amp;INDEX(Eingabe!$D$9:$D$18,I992)&amp;"."&amp;IF(J992&lt;=K992,J992,IF(J992=K992+1,200,IF(J992=K992+2,201,250)))&amp;".1",""))</f>
        <v/>
      </c>
      <c r="F992" s="0" t="str">
        <f aca="false">IF(I992="","",IF(AND(J992&gt;=1,J992&lt;=K992+3),"10."&amp;INDEX(Eingabe!$D$9:$D$18,I992)&amp;"."&amp;IF(J992&lt;=K992,J992,IF(J992=K992+1,200,IF(J992=K992+2,201,250)))&amp;".10 – 10."&amp;INDEX(Eingabe!$D$9:$D$18,I992)&amp;"."&amp;IF(J992&lt;=K992,J992,IF(J992=K992+1,200,IF(J992=K992+2,201,250)))&amp;".250",""))</f>
        <v/>
      </c>
      <c r="G992" s="0" t="str">
        <f aca="false">IF(I992="","",IF(AND(J992&gt;=1,J992&lt;=K992),Eingabe!$B$6&amp;"-"&amp;INDEX(Eingabe!$C$9:$C$18,I992)&amp;"-Pächter  ·  Passwort Parzelle "&amp;J992,IF(J992=K992+1,Eingabe!$B$6&amp;"-"&amp;INDEX(Eingabe!$C$9:$C$18,I992)&amp;"-Vorstand  ·  eigenes WLAN",IF(J992=K992+2,Eingabe!$B$6&amp;"-"&amp;INDEX(Eingabe!$C$9:$C$18,I992)&amp;"-Gäste  ·  Voucher",IF(J992=K992+3,"Kabel  ·  Access Point y = .(50+y), Mast-Switch x = .(10+x)","")))))</f>
        <v/>
      </c>
      <c r="I992" s="0" t="str">
        <f aca="false">IF(987&lt;=(Eingabe!$P$18+Eingabe!$Q$18-1),MATCH(987,Eingabe!$P$9:$P$18,1),"")</f>
        <v/>
      </c>
      <c r="J992" s="0" t="str">
        <f aca="false">IF(I992="","",987-INDEX(Eingabe!$P$9:$P$18,I992))</f>
        <v/>
      </c>
      <c r="K992" s="0" t="str">
        <f aca="false">IF(I992="","",INDEX(Eingabe!$E$9:$E$18,I992))</f>
        <v/>
      </c>
    </row>
    <row r="993" customFormat="false" ht="15" hidden="false" customHeight="false" outlineLevel="0" collapsed="false">
      <c r="A993" s="0" t="str">
        <f aca="false">IF(I993="","",IF(J993=0,"Sparte "&amp;I993&amp;": "&amp;INDEX(Eingabe!$B$9:$B$18,I993)&amp;"  (Sparten-ID "&amp;INDEX(Eingabe!$D$9:$D$18,I993)&amp;", "&amp;K993&amp;" Parzellen)",IF(J993&lt;=K993,"   Parzelle "&amp;J993,IF(J993=K993+1,"   Vorstand",IF(J993=K993+2,"   Gäste",IF(J993=K993+3,"   Technik (Switches, Access Points)",""))))))</f>
        <v/>
      </c>
      <c r="B993" s="0" t="str">
        <f aca="false">IF(I993="","",IF(AND(J993&gt;=1,J993&lt;=K993+3),IF(J993&lt;=K993,IF(J993&lt;=99,IF((INDEX(Eingabe!$G$9:$G$18,I993))&lt;=9,1000+(INDEX(Eingabe!$G$9:$G$18,I993))*100,3000)+J993,IF((INDEX(Eingabe!$G$9:$G$18,I993)+1)&lt;=9,1000+(INDEX(Eingabe!$G$9:$G$18,I993)+1)*100,3000)+J993-100),IF(J993=K993+1,2000+INDEX(Eingabe!$G$9:$G$18,I993)*10+1,IF(J993=K993+2,2000+INDEX(Eingabe!$G$9:$G$18,I993)*10+2,2000+INDEX(Eingabe!$G$9:$G$18,I993)*10+9))),""))</f>
        <v/>
      </c>
      <c r="C993" s="0" t="str">
        <f aca="false">IF(I993="","",IF(AND(J993&gt;=1,J993&lt;=K993+3),"10."&amp;INDEX(Eingabe!$D$9:$D$18,I993)&amp;"."&amp;IF(J993&lt;=K993,J993,IF(J993=K993+1,200,IF(J993=K993+2,201,250)))&amp;".0/24",""))</f>
        <v/>
      </c>
      <c r="D993" s="0" t="str">
        <f aca="false">IF(I993="","",IF(AND(J993&gt;=1,J993&lt;=K993+3),"255.255.255.0",""))</f>
        <v/>
      </c>
      <c r="E993" s="0" t="str">
        <f aca="false">IF(I993="","",IF(AND(J993&gt;=1,J993&lt;=K993+3),"10."&amp;INDEX(Eingabe!$D$9:$D$18,I993)&amp;"."&amp;IF(J993&lt;=K993,J993,IF(J993=K993+1,200,IF(J993=K993+2,201,250)))&amp;".1",""))</f>
        <v/>
      </c>
      <c r="F993" s="0" t="str">
        <f aca="false">IF(I993="","",IF(AND(J993&gt;=1,J993&lt;=K993+3),"10."&amp;INDEX(Eingabe!$D$9:$D$18,I993)&amp;"."&amp;IF(J993&lt;=K993,J993,IF(J993=K993+1,200,IF(J993=K993+2,201,250)))&amp;".10 – 10."&amp;INDEX(Eingabe!$D$9:$D$18,I993)&amp;"."&amp;IF(J993&lt;=K993,J993,IF(J993=K993+1,200,IF(J993=K993+2,201,250)))&amp;".250",""))</f>
        <v/>
      </c>
      <c r="G993" s="0" t="str">
        <f aca="false">IF(I993="","",IF(AND(J993&gt;=1,J993&lt;=K993),Eingabe!$B$6&amp;"-"&amp;INDEX(Eingabe!$C$9:$C$18,I993)&amp;"-Pächter  ·  Passwort Parzelle "&amp;J993,IF(J993=K993+1,Eingabe!$B$6&amp;"-"&amp;INDEX(Eingabe!$C$9:$C$18,I993)&amp;"-Vorstand  ·  eigenes WLAN",IF(J993=K993+2,Eingabe!$B$6&amp;"-"&amp;INDEX(Eingabe!$C$9:$C$18,I993)&amp;"-Gäste  ·  Voucher",IF(J993=K993+3,"Kabel  ·  Access Point y = .(50+y), Mast-Switch x = .(10+x)","")))))</f>
        <v/>
      </c>
      <c r="I993" s="0" t="str">
        <f aca="false">IF(988&lt;=(Eingabe!$P$18+Eingabe!$Q$18-1),MATCH(988,Eingabe!$P$9:$P$18,1),"")</f>
        <v/>
      </c>
      <c r="J993" s="0" t="str">
        <f aca="false">IF(I993="","",988-INDEX(Eingabe!$P$9:$P$18,I993))</f>
        <v/>
      </c>
      <c r="K993" s="0" t="str">
        <f aca="false">IF(I993="","",INDEX(Eingabe!$E$9:$E$18,I993))</f>
        <v/>
      </c>
    </row>
    <row r="994" customFormat="false" ht="15" hidden="false" customHeight="false" outlineLevel="0" collapsed="false">
      <c r="A994" s="0" t="str">
        <f aca="false">IF(I994="","",IF(J994=0,"Sparte "&amp;I994&amp;": "&amp;INDEX(Eingabe!$B$9:$B$18,I994)&amp;"  (Sparten-ID "&amp;INDEX(Eingabe!$D$9:$D$18,I994)&amp;", "&amp;K994&amp;" Parzellen)",IF(J994&lt;=K994,"   Parzelle "&amp;J994,IF(J994=K994+1,"   Vorstand",IF(J994=K994+2,"   Gäste",IF(J994=K994+3,"   Technik (Switches, Access Points)",""))))))</f>
        <v/>
      </c>
      <c r="B994" s="0" t="str">
        <f aca="false">IF(I994="","",IF(AND(J994&gt;=1,J994&lt;=K994+3),IF(J994&lt;=K994,IF(J994&lt;=99,IF((INDEX(Eingabe!$G$9:$G$18,I994))&lt;=9,1000+(INDEX(Eingabe!$G$9:$G$18,I994))*100,3000)+J994,IF((INDEX(Eingabe!$G$9:$G$18,I994)+1)&lt;=9,1000+(INDEX(Eingabe!$G$9:$G$18,I994)+1)*100,3000)+J994-100),IF(J994=K994+1,2000+INDEX(Eingabe!$G$9:$G$18,I994)*10+1,IF(J994=K994+2,2000+INDEX(Eingabe!$G$9:$G$18,I994)*10+2,2000+INDEX(Eingabe!$G$9:$G$18,I994)*10+9))),""))</f>
        <v/>
      </c>
      <c r="C994" s="0" t="str">
        <f aca="false">IF(I994="","",IF(AND(J994&gt;=1,J994&lt;=K994+3),"10."&amp;INDEX(Eingabe!$D$9:$D$18,I994)&amp;"."&amp;IF(J994&lt;=K994,J994,IF(J994=K994+1,200,IF(J994=K994+2,201,250)))&amp;".0/24",""))</f>
        <v/>
      </c>
      <c r="D994" s="0" t="str">
        <f aca="false">IF(I994="","",IF(AND(J994&gt;=1,J994&lt;=K994+3),"255.255.255.0",""))</f>
        <v/>
      </c>
      <c r="E994" s="0" t="str">
        <f aca="false">IF(I994="","",IF(AND(J994&gt;=1,J994&lt;=K994+3),"10."&amp;INDEX(Eingabe!$D$9:$D$18,I994)&amp;"."&amp;IF(J994&lt;=K994,J994,IF(J994=K994+1,200,IF(J994=K994+2,201,250)))&amp;".1",""))</f>
        <v/>
      </c>
      <c r="F994" s="0" t="str">
        <f aca="false">IF(I994="","",IF(AND(J994&gt;=1,J994&lt;=K994+3),"10."&amp;INDEX(Eingabe!$D$9:$D$18,I994)&amp;"."&amp;IF(J994&lt;=K994,J994,IF(J994=K994+1,200,IF(J994=K994+2,201,250)))&amp;".10 – 10."&amp;INDEX(Eingabe!$D$9:$D$18,I994)&amp;"."&amp;IF(J994&lt;=K994,J994,IF(J994=K994+1,200,IF(J994=K994+2,201,250)))&amp;".250",""))</f>
        <v/>
      </c>
      <c r="G994" s="0" t="str">
        <f aca="false">IF(I994="","",IF(AND(J994&gt;=1,J994&lt;=K994),Eingabe!$B$6&amp;"-"&amp;INDEX(Eingabe!$C$9:$C$18,I994)&amp;"-Pächter  ·  Passwort Parzelle "&amp;J994,IF(J994=K994+1,Eingabe!$B$6&amp;"-"&amp;INDEX(Eingabe!$C$9:$C$18,I994)&amp;"-Vorstand  ·  eigenes WLAN",IF(J994=K994+2,Eingabe!$B$6&amp;"-"&amp;INDEX(Eingabe!$C$9:$C$18,I994)&amp;"-Gäste  ·  Voucher",IF(J994=K994+3,"Kabel  ·  Access Point y = .(50+y), Mast-Switch x = .(10+x)","")))))</f>
        <v/>
      </c>
      <c r="I994" s="0" t="str">
        <f aca="false">IF(989&lt;=(Eingabe!$P$18+Eingabe!$Q$18-1),MATCH(989,Eingabe!$P$9:$P$18,1),"")</f>
        <v/>
      </c>
      <c r="J994" s="0" t="str">
        <f aca="false">IF(I994="","",989-INDEX(Eingabe!$P$9:$P$18,I994))</f>
        <v/>
      </c>
      <c r="K994" s="0" t="str">
        <f aca="false">IF(I994="","",INDEX(Eingabe!$E$9:$E$18,I994))</f>
        <v/>
      </c>
    </row>
    <row r="995" customFormat="false" ht="15" hidden="false" customHeight="false" outlineLevel="0" collapsed="false">
      <c r="A995" s="0" t="str">
        <f aca="false">IF(I995="","",IF(J995=0,"Sparte "&amp;I995&amp;": "&amp;INDEX(Eingabe!$B$9:$B$18,I995)&amp;"  (Sparten-ID "&amp;INDEX(Eingabe!$D$9:$D$18,I995)&amp;", "&amp;K995&amp;" Parzellen)",IF(J995&lt;=K995,"   Parzelle "&amp;J995,IF(J995=K995+1,"   Vorstand",IF(J995=K995+2,"   Gäste",IF(J995=K995+3,"   Technik (Switches, Access Points)",""))))))</f>
        <v/>
      </c>
      <c r="B995" s="0" t="str">
        <f aca="false">IF(I995="","",IF(AND(J995&gt;=1,J995&lt;=K995+3),IF(J995&lt;=K995,IF(J995&lt;=99,IF((INDEX(Eingabe!$G$9:$G$18,I995))&lt;=9,1000+(INDEX(Eingabe!$G$9:$G$18,I995))*100,3000)+J995,IF((INDEX(Eingabe!$G$9:$G$18,I995)+1)&lt;=9,1000+(INDEX(Eingabe!$G$9:$G$18,I995)+1)*100,3000)+J995-100),IF(J995=K995+1,2000+INDEX(Eingabe!$G$9:$G$18,I995)*10+1,IF(J995=K995+2,2000+INDEX(Eingabe!$G$9:$G$18,I995)*10+2,2000+INDEX(Eingabe!$G$9:$G$18,I995)*10+9))),""))</f>
        <v/>
      </c>
      <c r="C995" s="0" t="str">
        <f aca="false">IF(I995="","",IF(AND(J995&gt;=1,J995&lt;=K995+3),"10."&amp;INDEX(Eingabe!$D$9:$D$18,I995)&amp;"."&amp;IF(J995&lt;=K995,J995,IF(J995=K995+1,200,IF(J995=K995+2,201,250)))&amp;".0/24",""))</f>
        <v/>
      </c>
      <c r="D995" s="0" t="str">
        <f aca="false">IF(I995="","",IF(AND(J995&gt;=1,J995&lt;=K995+3),"255.255.255.0",""))</f>
        <v/>
      </c>
      <c r="E995" s="0" t="str">
        <f aca="false">IF(I995="","",IF(AND(J995&gt;=1,J995&lt;=K995+3),"10."&amp;INDEX(Eingabe!$D$9:$D$18,I995)&amp;"."&amp;IF(J995&lt;=K995,J995,IF(J995=K995+1,200,IF(J995=K995+2,201,250)))&amp;".1",""))</f>
        <v/>
      </c>
      <c r="F995" s="0" t="str">
        <f aca="false">IF(I995="","",IF(AND(J995&gt;=1,J995&lt;=K995+3),"10."&amp;INDEX(Eingabe!$D$9:$D$18,I995)&amp;"."&amp;IF(J995&lt;=K995,J995,IF(J995=K995+1,200,IF(J995=K995+2,201,250)))&amp;".10 – 10."&amp;INDEX(Eingabe!$D$9:$D$18,I995)&amp;"."&amp;IF(J995&lt;=K995,J995,IF(J995=K995+1,200,IF(J995=K995+2,201,250)))&amp;".250",""))</f>
        <v/>
      </c>
      <c r="G995" s="0" t="str">
        <f aca="false">IF(I995="","",IF(AND(J995&gt;=1,J995&lt;=K995),Eingabe!$B$6&amp;"-"&amp;INDEX(Eingabe!$C$9:$C$18,I995)&amp;"-Pächter  ·  Passwort Parzelle "&amp;J995,IF(J995=K995+1,Eingabe!$B$6&amp;"-"&amp;INDEX(Eingabe!$C$9:$C$18,I995)&amp;"-Vorstand  ·  eigenes WLAN",IF(J995=K995+2,Eingabe!$B$6&amp;"-"&amp;INDEX(Eingabe!$C$9:$C$18,I995)&amp;"-Gäste  ·  Voucher",IF(J995=K995+3,"Kabel  ·  Access Point y = .(50+y), Mast-Switch x = .(10+x)","")))))</f>
        <v/>
      </c>
      <c r="I995" s="0" t="str">
        <f aca="false">IF(990&lt;=(Eingabe!$P$18+Eingabe!$Q$18-1),MATCH(990,Eingabe!$P$9:$P$18,1),"")</f>
        <v/>
      </c>
      <c r="J995" s="0" t="str">
        <f aca="false">IF(I995="","",990-INDEX(Eingabe!$P$9:$P$18,I995))</f>
        <v/>
      </c>
      <c r="K995" s="0" t="str">
        <f aca="false">IF(I995="","",INDEX(Eingabe!$E$9:$E$18,I995))</f>
        <v/>
      </c>
    </row>
    <row r="996" customFormat="false" ht="15" hidden="false" customHeight="false" outlineLevel="0" collapsed="false">
      <c r="A996" s="0" t="str">
        <f aca="false">IF(I996="","",IF(J996=0,"Sparte "&amp;I996&amp;": "&amp;INDEX(Eingabe!$B$9:$B$18,I996)&amp;"  (Sparten-ID "&amp;INDEX(Eingabe!$D$9:$D$18,I996)&amp;", "&amp;K996&amp;" Parzellen)",IF(J996&lt;=K996,"   Parzelle "&amp;J996,IF(J996=K996+1,"   Vorstand",IF(J996=K996+2,"   Gäste",IF(J996=K996+3,"   Technik (Switches, Access Points)",""))))))</f>
        <v/>
      </c>
      <c r="B996" s="0" t="str">
        <f aca="false">IF(I996="","",IF(AND(J996&gt;=1,J996&lt;=K996+3),IF(J996&lt;=K996,IF(J996&lt;=99,IF((INDEX(Eingabe!$G$9:$G$18,I996))&lt;=9,1000+(INDEX(Eingabe!$G$9:$G$18,I996))*100,3000)+J996,IF((INDEX(Eingabe!$G$9:$G$18,I996)+1)&lt;=9,1000+(INDEX(Eingabe!$G$9:$G$18,I996)+1)*100,3000)+J996-100),IF(J996=K996+1,2000+INDEX(Eingabe!$G$9:$G$18,I996)*10+1,IF(J996=K996+2,2000+INDEX(Eingabe!$G$9:$G$18,I996)*10+2,2000+INDEX(Eingabe!$G$9:$G$18,I996)*10+9))),""))</f>
        <v/>
      </c>
      <c r="C996" s="0" t="str">
        <f aca="false">IF(I996="","",IF(AND(J996&gt;=1,J996&lt;=K996+3),"10."&amp;INDEX(Eingabe!$D$9:$D$18,I996)&amp;"."&amp;IF(J996&lt;=K996,J996,IF(J996=K996+1,200,IF(J996=K996+2,201,250)))&amp;".0/24",""))</f>
        <v/>
      </c>
      <c r="D996" s="0" t="str">
        <f aca="false">IF(I996="","",IF(AND(J996&gt;=1,J996&lt;=K996+3),"255.255.255.0",""))</f>
        <v/>
      </c>
      <c r="E996" s="0" t="str">
        <f aca="false">IF(I996="","",IF(AND(J996&gt;=1,J996&lt;=K996+3),"10."&amp;INDEX(Eingabe!$D$9:$D$18,I996)&amp;"."&amp;IF(J996&lt;=K996,J996,IF(J996=K996+1,200,IF(J996=K996+2,201,250)))&amp;".1",""))</f>
        <v/>
      </c>
      <c r="F996" s="0" t="str">
        <f aca="false">IF(I996="","",IF(AND(J996&gt;=1,J996&lt;=K996+3),"10."&amp;INDEX(Eingabe!$D$9:$D$18,I996)&amp;"."&amp;IF(J996&lt;=K996,J996,IF(J996=K996+1,200,IF(J996=K996+2,201,250)))&amp;".10 – 10."&amp;INDEX(Eingabe!$D$9:$D$18,I996)&amp;"."&amp;IF(J996&lt;=K996,J996,IF(J996=K996+1,200,IF(J996=K996+2,201,250)))&amp;".250",""))</f>
        <v/>
      </c>
      <c r="G996" s="0" t="str">
        <f aca="false">IF(I996="","",IF(AND(J996&gt;=1,J996&lt;=K996),Eingabe!$B$6&amp;"-"&amp;INDEX(Eingabe!$C$9:$C$18,I996)&amp;"-Pächter  ·  Passwort Parzelle "&amp;J996,IF(J996=K996+1,Eingabe!$B$6&amp;"-"&amp;INDEX(Eingabe!$C$9:$C$18,I996)&amp;"-Vorstand  ·  eigenes WLAN",IF(J996=K996+2,Eingabe!$B$6&amp;"-"&amp;INDEX(Eingabe!$C$9:$C$18,I996)&amp;"-Gäste  ·  Voucher",IF(J996=K996+3,"Kabel  ·  Access Point y = .(50+y), Mast-Switch x = .(10+x)","")))))</f>
        <v/>
      </c>
      <c r="I996" s="0" t="str">
        <f aca="false">IF(991&lt;=(Eingabe!$P$18+Eingabe!$Q$18-1),MATCH(991,Eingabe!$P$9:$P$18,1),"")</f>
        <v/>
      </c>
      <c r="J996" s="0" t="str">
        <f aca="false">IF(I996="","",991-INDEX(Eingabe!$P$9:$P$18,I996))</f>
        <v/>
      </c>
      <c r="K996" s="0" t="str">
        <f aca="false">IF(I996="","",INDEX(Eingabe!$E$9:$E$18,I996))</f>
        <v/>
      </c>
    </row>
    <row r="997" customFormat="false" ht="15" hidden="false" customHeight="false" outlineLevel="0" collapsed="false">
      <c r="A997" s="0" t="str">
        <f aca="false">IF(I997="","",IF(J997=0,"Sparte "&amp;I997&amp;": "&amp;INDEX(Eingabe!$B$9:$B$18,I997)&amp;"  (Sparten-ID "&amp;INDEX(Eingabe!$D$9:$D$18,I997)&amp;", "&amp;K997&amp;" Parzellen)",IF(J997&lt;=K997,"   Parzelle "&amp;J997,IF(J997=K997+1,"   Vorstand",IF(J997=K997+2,"   Gäste",IF(J997=K997+3,"   Technik (Switches, Access Points)",""))))))</f>
        <v/>
      </c>
      <c r="B997" s="0" t="str">
        <f aca="false">IF(I997="","",IF(AND(J997&gt;=1,J997&lt;=K997+3),IF(J997&lt;=K997,IF(J997&lt;=99,IF((INDEX(Eingabe!$G$9:$G$18,I997))&lt;=9,1000+(INDEX(Eingabe!$G$9:$G$18,I997))*100,3000)+J997,IF((INDEX(Eingabe!$G$9:$G$18,I997)+1)&lt;=9,1000+(INDEX(Eingabe!$G$9:$G$18,I997)+1)*100,3000)+J997-100),IF(J997=K997+1,2000+INDEX(Eingabe!$G$9:$G$18,I997)*10+1,IF(J997=K997+2,2000+INDEX(Eingabe!$G$9:$G$18,I997)*10+2,2000+INDEX(Eingabe!$G$9:$G$18,I997)*10+9))),""))</f>
        <v/>
      </c>
      <c r="C997" s="0" t="str">
        <f aca="false">IF(I997="","",IF(AND(J997&gt;=1,J997&lt;=K997+3),"10."&amp;INDEX(Eingabe!$D$9:$D$18,I997)&amp;"."&amp;IF(J997&lt;=K997,J997,IF(J997=K997+1,200,IF(J997=K997+2,201,250)))&amp;".0/24",""))</f>
        <v/>
      </c>
      <c r="D997" s="0" t="str">
        <f aca="false">IF(I997="","",IF(AND(J997&gt;=1,J997&lt;=K997+3),"255.255.255.0",""))</f>
        <v/>
      </c>
      <c r="E997" s="0" t="str">
        <f aca="false">IF(I997="","",IF(AND(J997&gt;=1,J997&lt;=K997+3),"10."&amp;INDEX(Eingabe!$D$9:$D$18,I997)&amp;"."&amp;IF(J997&lt;=K997,J997,IF(J997=K997+1,200,IF(J997=K997+2,201,250)))&amp;".1",""))</f>
        <v/>
      </c>
      <c r="F997" s="0" t="str">
        <f aca="false">IF(I997="","",IF(AND(J997&gt;=1,J997&lt;=K997+3),"10."&amp;INDEX(Eingabe!$D$9:$D$18,I997)&amp;"."&amp;IF(J997&lt;=K997,J997,IF(J997=K997+1,200,IF(J997=K997+2,201,250)))&amp;".10 – 10."&amp;INDEX(Eingabe!$D$9:$D$18,I997)&amp;"."&amp;IF(J997&lt;=K997,J997,IF(J997=K997+1,200,IF(J997=K997+2,201,250)))&amp;".250",""))</f>
        <v/>
      </c>
      <c r="G997" s="0" t="str">
        <f aca="false">IF(I997="","",IF(AND(J997&gt;=1,J997&lt;=K997),Eingabe!$B$6&amp;"-"&amp;INDEX(Eingabe!$C$9:$C$18,I997)&amp;"-Pächter  ·  Passwort Parzelle "&amp;J997,IF(J997=K997+1,Eingabe!$B$6&amp;"-"&amp;INDEX(Eingabe!$C$9:$C$18,I997)&amp;"-Vorstand  ·  eigenes WLAN",IF(J997=K997+2,Eingabe!$B$6&amp;"-"&amp;INDEX(Eingabe!$C$9:$C$18,I997)&amp;"-Gäste  ·  Voucher",IF(J997=K997+3,"Kabel  ·  Access Point y = .(50+y), Mast-Switch x = .(10+x)","")))))</f>
        <v/>
      </c>
      <c r="I997" s="0" t="str">
        <f aca="false">IF(992&lt;=(Eingabe!$P$18+Eingabe!$Q$18-1),MATCH(992,Eingabe!$P$9:$P$18,1),"")</f>
        <v/>
      </c>
      <c r="J997" s="0" t="str">
        <f aca="false">IF(I997="","",992-INDEX(Eingabe!$P$9:$P$18,I997))</f>
        <v/>
      </c>
      <c r="K997" s="0" t="str">
        <f aca="false">IF(I997="","",INDEX(Eingabe!$E$9:$E$18,I997))</f>
        <v/>
      </c>
    </row>
    <row r="998" customFormat="false" ht="15" hidden="false" customHeight="false" outlineLevel="0" collapsed="false">
      <c r="A998" s="0" t="str">
        <f aca="false">IF(I998="","",IF(J998=0,"Sparte "&amp;I998&amp;": "&amp;INDEX(Eingabe!$B$9:$B$18,I998)&amp;"  (Sparten-ID "&amp;INDEX(Eingabe!$D$9:$D$18,I998)&amp;", "&amp;K998&amp;" Parzellen)",IF(J998&lt;=K998,"   Parzelle "&amp;J998,IF(J998=K998+1,"   Vorstand",IF(J998=K998+2,"   Gäste",IF(J998=K998+3,"   Technik (Switches, Access Points)",""))))))</f>
        <v/>
      </c>
      <c r="B998" s="0" t="str">
        <f aca="false">IF(I998="","",IF(AND(J998&gt;=1,J998&lt;=K998+3),IF(J998&lt;=K998,IF(J998&lt;=99,IF((INDEX(Eingabe!$G$9:$G$18,I998))&lt;=9,1000+(INDEX(Eingabe!$G$9:$G$18,I998))*100,3000)+J998,IF((INDEX(Eingabe!$G$9:$G$18,I998)+1)&lt;=9,1000+(INDEX(Eingabe!$G$9:$G$18,I998)+1)*100,3000)+J998-100),IF(J998=K998+1,2000+INDEX(Eingabe!$G$9:$G$18,I998)*10+1,IF(J998=K998+2,2000+INDEX(Eingabe!$G$9:$G$18,I998)*10+2,2000+INDEX(Eingabe!$G$9:$G$18,I998)*10+9))),""))</f>
        <v/>
      </c>
      <c r="C998" s="0" t="str">
        <f aca="false">IF(I998="","",IF(AND(J998&gt;=1,J998&lt;=K998+3),"10."&amp;INDEX(Eingabe!$D$9:$D$18,I998)&amp;"."&amp;IF(J998&lt;=K998,J998,IF(J998=K998+1,200,IF(J998=K998+2,201,250)))&amp;".0/24",""))</f>
        <v/>
      </c>
      <c r="D998" s="0" t="str">
        <f aca="false">IF(I998="","",IF(AND(J998&gt;=1,J998&lt;=K998+3),"255.255.255.0",""))</f>
        <v/>
      </c>
      <c r="E998" s="0" t="str">
        <f aca="false">IF(I998="","",IF(AND(J998&gt;=1,J998&lt;=K998+3),"10."&amp;INDEX(Eingabe!$D$9:$D$18,I998)&amp;"."&amp;IF(J998&lt;=K998,J998,IF(J998=K998+1,200,IF(J998=K998+2,201,250)))&amp;".1",""))</f>
        <v/>
      </c>
      <c r="F998" s="0" t="str">
        <f aca="false">IF(I998="","",IF(AND(J998&gt;=1,J998&lt;=K998+3),"10."&amp;INDEX(Eingabe!$D$9:$D$18,I998)&amp;"."&amp;IF(J998&lt;=K998,J998,IF(J998=K998+1,200,IF(J998=K998+2,201,250)))&amp;".10 – 10."&amp;INDEX(Eingabe!$D$9:$D$18,I998)&amp;"."&amp;IF(J998&lt;=K998,J998,IF(J998=K998+1,200,IF(J998=K998+2,201,250)))&amp;".250",""))</f>
        <v/>
      </c>
      <c r="G998" s="0" t="str">
        <f aca="false">IF(I998="","",IF(AND(J998&gt;=1,J998&lt;=K998),Eingabe!$B$6&amp;"-"&amp;INDEX(Eingabe!$C$9:$C$18,I998)&amp;"-Pächter  ·  Passwort Parzelle "&amp;J998,IF(J998=K998+1,Eingabe!$B$6&amp;"-"&amp;INDEX(Eingabe!$C$9:$C$18,I998)&amp;"-Vorstand  ·  eigenes WLAN",IF(J998=K998+2,Eingabe!$B$6&amp;"-"&amp;INDEX(Eingabe!$C$9:$C$18,I998)&amp;"-Gäste  ·  Voucher",IF(J998=K998+3,"Kabel  ·  Access Point y = .(50+y), Mast-Switch x = .(10+x)","")))))</f>
        <v/>
      </c>
      <c r="I998" s="0" t="str">
        <f aca="false">IF(993&lt;=(Eingabe!$P$18+Eingabe!$Q$18-1),MATCH(993,Eingabe!$P$9:$P$18,1),"")</f>
        <v/>
      </c>
      <c r="J998" s="0" t="str">
        <f aca="false">IF(I998="","",993-INDEX(Eingabe!$P$9:$P$18,I998))</f>
        <v/>
      </c>
      <c r="K998" s="0" t="str">
        <f aca="false">IF(I998="","",INDEX(Eingabe!$E$9:$E$18,I998))</f>
        <v/>
      </c>
    </row>
    <row r="999" customFormat="false" ht="15" hidden="false" customHeight="false" outlineLevel="0" collapsed="false">
      <c r="A999" s="0" t="str">
        <f aca="false">IF(I999="","",IF(J999=0,"Sparte "&amp;I999&amp;": "&amp;INDEX(Eingabe!$B$9:$B$18,I999)&amp;"  (Sparten-ID "&amp;INDEX(Eingabe!$D$9:$D$18,I999)&amp;", "&amp;K999&amp;" Parzellen)",IF(J999&lt;=K999,"   Parzelle "&amp;J999,IF(J999=K999+1,"   Vorstand",IF(J999=K999+2,"   Gäste",IF(J999=K999+3,"   Technik (Switches, Access Points)",""))))))</f>
        <v/>
      </c>
      <c r="B999" s="0" t="str">
        <f aca="false">IF(I999="","",IF(AND(J999&gt;=1,J999&lt;=K999+3),IF(J999&lt;=K999,IF(J999&lt;=99,IF((INDEX(Eingabe!$G$9:$G$18,I999))&lt;=9,1000+(INDEX(Eingabe!$G$9:$G$18,I999))*100,3000)+J999,IF((INDEX(Eingabe!$G$9:$G$18,I999)+1)&lt;=9,1000+(INDEX(Eingabe!$G$9:$G$18,I999)+1)*100,3000)+J999-100),IF(J999=K999+1,2000+INDEX(Eingabe!$G$9:$G$18,I999)*10+1,IF(J999=K999+2,2000+INDEX(Eingabe!$G$9:$G$18,I999)*10+2,2000+INDEX(Eingabe!$G$9:$G$18,I999)*10+9))),""))</f>
        <v/>
      </c>
      <c r="C999" s="0" t="str">
        <f aca="false">IF(I999="","",IF(AND(J999&gt;=1,J999&lt;=K999+3),"10."&amp;INDEX(Eingabe!$D$9:$D$18,I999)&amp;"."&amp;IF(J999&lt;=K999,J999,IF(J999=K999+1,200,IF(J999=K999+2,201,250)))&amp;".0/24",""))</f>
        <v/>
      </c>
      <c r="D999" s="0" t="str">
        <f aca="false">IF(I999="","",IF(AND(J999&gt;=1,J999&lt;=K999+3),"255.255.255.0",""))</f>
        <v/>
      </c>
      <c r="E999" s="0" t="str">
        <f aca="false">IF(I999="","",IF(AND(J999&gt;=1,J999&lt;=K999+3),"10."&amp;INDEX(Eingabe!$D$9:$D$18,I999)&amp;"."&amp;IF(J999&lt;=K999,J999,IF(J999=K999+1,200,IF(J999=K999+2,201,250)))&amp;".1",""))</f>
        <v/>
      </c>
      <c r="F999" s="0" t="str">
        <f aca="false">IF(I999="","",IF(AND(J999&gt;=1,J999&lt;=K999+3),"10."&amp;INDEX(Eingabe!$D$9:$D$18,I999)&amp;"."&amp;IF(J999&lt;=K999,J999,IF(J999=K999+1,200,IF(J999=K999+2,201,250)))&amp;".10 – 10."&amp;INDEX(Eingabe!$D$9:$D$18,I999)&amp;"."&amp;IF(J999&lt;=K999,J999,IF(J999=K999+1,200,IF(J999=K999+2,201,250)))&amp;".250",""))</f>
        <v/>
      </c>
      <c r="G999" s="0" t="str">
        <f aca="false">IF(I999="","",IF(AND(J999&gt;=1,J999&lt;=K999),Eingabe!$B$6&amp;"-"&amp;INDEX(Eingabe!$C$9:$C$18,I999)&amp;"-Pächter  ·  Passwort Parzelle "&amp;J999,IF(J999=K999+1,Eingabe!$B$6&amp;"-"&amp;INDEX(Eingabe!$C$9:$C$18,I999)&amp;"-Vorstand  ·  eigenes WLAN",IF(J999=K999+2,Eingabe!$B$6&amp;"-"&amp;INDEX(Eingabe!$C$9:$C$18,I999)&amp;"-Gäste  ·  Voucher",IF(J999=K999+3,"Kabel  ·  Access Point y = .(50+y), Mast-Switch x = .(10+x)","")))))</f>
        <v/>
      </c>
      <c r="I999" s="0" t="str">
        <f aca="false">IF(994&lt;=(Eingabe!$P$18+Eingabe!$Q$18-1),MATCH(994,Eingabe!$P$9:$P$18,1),"")</f>
        <v/>
      </c>
      <c r="J999" s="0" t="str">
        <f aca="false">IF(I999="","",994-INDEX(Eingabe!$P$9:$P$18,I999))</f>
        <v/>
      </c>
      <c r="K999" s="0" t="str">
        <f aca="false">IF(I999="","",INDEX(Eingabe!$E$9:$E$18,I999))</f>
        <v/>
      </c>
    </row>
    <row r="1000" customFormat="false" ht="15" hidden="false" customHeight="false" outlineLevel="0" collapsed="false">
      <c r="A1000" s="0" t="str">
        <f aca="false">IF(I1000="","",IF(J1000=0,"Sparte "&amp;I1000&amp;": "&amp;INDEX(Eingabe!$B$9:$B$18,I1000)&amp;"  (Sparten-ID "&amp;INDEX(Eingabe!$D$9:$D$18,I1000)&amp;", "&amp;K1000&amp;" Parzellen)",IF(J1000&lt;=K1000,"   Parzelle "&amp;J1000,IF(J1000=K1000+1,"   Vorstand",IF(J1000=K1000+2,"   Gäste",IF(J1000=K1000+3,"   Technik (Switches, Access Points)",""))))))</f>
        <v/>
      </c>
      <c r="B1000" s="0" t="str">
        <f aca="false">IF(I1000="","",IF(AND(J1000&gt;=1,J1000&lt;=K1000+3),IF(J1000&lt;=K1000,IF(J1000&lt;=99,IF((INDEX(Eingabe!$G$9:$G$18,I1000))&lt;=9,1000+(INDEX(Eingabe!$G$9:$G$18,I1000))*100,3000)+J1000,IF((INDEX(Eingabe!$G$9:$G$18,I1000)+1)&lt;=9,1000+(INDEX(Eingabe!$G$9:$G$18,I1000)+1)*100,3000)+J1000-100),IF(J1000=K1000+1,2000+INDEX(Eingabe!$G$9:$G$18,I1000)*10+1,IF(J1000=K1000+2,2000+INDEX(Eingabe!$G$9:$G$18,I1000)*10+2,2000+INDEX(Eingabe!$G$9:$G$18,I1000)*10+9))),""))</f>
        <v/>
      </c>
      <c r="C1000" s="0" t="str">
        <f aca="false">IF(I1000="","",IF(AND(J1000&gt;=1,J1000&lt;=K1000+3),"10."&amp;INDEX(Eingabe!$D$9:$D$18,I1000)&amp;"."&amp;IF(J1000&lt;=K1000,J1000,IF(J1000=K1000+1,200,IF(J1000=K1000+2,201,250)))&amp;".0/24",""))</f>
        <v/>
      </c>
      <c r="D1000" s="0" t="str">
        <f aca="false">IF(I1000="","",IF(AND(J1000&gt;=1,J1000&lt;=K1000+3),"255.255.255.0",""))</f>
        <v/>
      </c>
      <c r="E1000" s="0" t="str">
        <f aca="false">IF(I1000="","",IF(AND(J1000&gt;=1,J1000&lt;=K1000+3),"10."&amp;INDEX(Eingabe!$D$9:$D$18,I1000)&amp;"."&amp;IF(J1000&lt;=K1000,J1000,IF(J1000=K1000+1,200,IF(J1000=K1000+2,201,250)))&amp;".1",""))</f>
        <v/>
      </c>
      <c r="F1000" s="0" t="str">
        <f aca="false">IF(I1000="","",IF(AND(J1000&gt;=1,J1000&lt;=K1000+3),"10."&amp;INDEX(Eingabe!$D$9:$D$18,I1000)&amp;"."&amp;IF(J1000&lt;=K1000,J1000,IF(J1000=K1000+1,200,IF(J1000=K1000+2,201,250)))&amp;".10 – 10."&amp;INDEX(Eingabe!$D$9:$D$18,I1000)&amp;"."&amp;IF(J1000&lt;=K1000,J1000,IF(J1000=K1000+1,200,IF(J1000=K1000+2,201,250)))&amp;".250",""))</f>
        <v/>
      </c>
      <c r="G1000" s="0" t="str">
        <f aca="false">IF(I1000="","",IF(AND(J1000&gt;=1,J1000&lt;=K1000),Eingabe!$B$6&amp;"-"&amp;INDEX(Eingabe!$C$9:$C$18,I1000)&amp;"-Pächter  ·  Passwort Parzelle "&amp;J1000,IF(J1000=K1000+1,Eingabe!$B$6&amp;"-"&amp;INDEX(Eingabe!$C$9:$C$18,I1000)&amp;"-Vorstand  ·  eigenes WLAN",IF(J1000=K1000+2,Eingabe!$B$6&amp;"-"&amp;INDEX(Eingabe!$C$9:$C$18,I1000)&amp;"-Gäste  ·  Voucher",IF(J1000=K1000+3,"Kabel  ·  Access Point y = .(50+y), Mast-Switch x = .(10+x)","")))))</f>
        <v/>
      </c>
      <c r="I1000" s="0" t="str">
        <f aca="false">IF(995&lt;=(Eingabe!$P$18+Eingabe!$Q$18-1),MATCH(995,Eingabe!$P$9:$P$18,1),"")</f>
        <v/>
      </c>
      <c r="J1000" s="0" t="str">
        <f aca="false">IF(I1000="","",995-INDEX(Eingabe!$P$9:$P$18,I1000))</f>
        <v/>
      </c>
      <c r="K1000" s="0" t="str">
        <f aca="false">IF(I1000="","",INDEX(Eingabe!$E$9:$E$18,I1000))</f>
        <v/>
      </c>
    </row>
    <row r="1001" customFormat="false" ht="15" hidden="false" customHeight="false" outlineLevel="0" collapsed="false">
      <c r="A1001" s="0" t="str">
        <f aca="false">IF(I1001="","",IF(J1001=0,"Sparte "&amp;I1001&amp;": "&amp;INDEX(Eingabe!$B$9:$B$18,I1001)&amp;"  (Sparten-ID "&amp;INDEX(Eingabe!$D$9:$D$18,I1001)&amp;", "&amp;K1001&amp;" Parzellen)",IF(J1001&lt;=K1001,"   Parzelle "&amp;J1001,IF(J1001=K1001+1,"   Vorstand",IF(J1001=K1001+2,"   Gäste",IF(J1001=K1001+3,"   Technik (Switches, Access Points)",""))))))</f>
        <v/>
      </c>
      <c r="B1001" s="0" t="str">
        <f aca="false">IF(I1001="","",IF(AND(J1001&gt;=1,J1001&lt;=K1001+3),IF(J1001&lt;=K1001,IF(J1001&lt;=99,IF((INDEX(Eingabe!$G$9:$G$18,I1001))&lt;=9,1000+(INDEX(Eingabe!$G$9:$G$18,I1001))*100,3000)+J1001,IF((INDEX(Eingabe!$G$9:$G$18,I1001)+1)&lt;=9,1000+(INDEX(Eingabe!$G$9:$G$18,I1001)+1)*100,3000)+J1001-100),IF(J1001=K1001+1,2000+INDEX(Eingabe!$G$9:$G$18,I1001)*10+1,IF(J1001=K1001+2,2000+INDEX(Eingabe!$G$9:$G$18,I1001)*10+2,2000+INDEX(Eingabe!$G$9:$G$18,I1001)*10+9))),""))</f>
        <v/>
      </c>
      <c r="C1001" s="0" t="str">
        <f aca="false">IF(I1001="","",IF(AND(J1001&gt;=1,J1001&lt;=K1001+3),"10."&amp;INDEX(Eingabe!$D$9:$D$18,I1001)&amp;"."&amp;IF(J1001&lt;=K1001,J1001,IF(J1001=K1001+1,200,IF(J1001=K1001+2,201,250)))&amp;".0/24",""))</f>
        <v/>
      </c>
      <c r="D1001" s="0" t="str">
        <f aca="false">IF(I1001="","",IF(AND(J1001&gt;=1,J1001&lt;=K1001+3),"255.255.255.0",""))</f>
        <v/>
      </c>
      <c r="E1001" s="0" t="str">
        <f aca="false">IF(I1001="","",IF(AND(J1001&gt;=1,J1001&lt;=K1001+3),"10."&amp;INDEX(Eingabe!$D$9:$D$18,I1001)&amp;"."&amp;IF(J1001&lt;=K1001,J1001,IF(J1001=K1001+1,200,IF(J1001=K1001+2,201,250)))&amp;".1",""))</f>
        <v/>
      </c>
      <c r="F1001" s="0" t="str">
        <f aca="false">IF(I1001="","",IF(AND(J1001&gt;=1,J1001&lt;=K1001+3),"10."&amp;INDEX(Eingabe!$D$9:$D$18,I1001)&amp;"."&amp;IF(J1001&lt;=K1001,J1001,IF(J1001=K1001+1,200,IF(J1001=K1001+2,201,250)))&amp;".10 – 10."&amp;INDEX(Eingabe!$D$9:$D$18,I1001)&amp;"."&amp;IF(J1001&lt;=K1001,J1001,IF(J1001=K1001+1,200,IF(J1001=K1001+2,201,250)))&amp;".250",""))</f>
        <v/>
      </c>
      <c r="G1001" s="0" t="str">
        <f aca="false">IF(I1001="","",IF(AND(J1001&gt;=1,J1001&lt;=K1001),Eingabe!$B$6&amp;"-"&amp;INDEX(Eingabe!$C$9:$C$18,I1001)&amp;"-Pächter  ·  Passwort Parzelle "&amp;J1001,IF(J1001=K1001+1,Eingabe!$B$6&amp;"-"&amp;INDEX(Eingabe!$C$9:$C$18,I1001)&amp;"-Vorstand  ·  eigenes WLAN",IF(J1001=K1001+2,Eingabe!$B$6&amp;"-"&amp;INDEX(Eingabe!$C$9:$C$18,I1001)&amp;"-Gäste  ·  Voucher",IF(J1001=K1001+3,"Kabel  ·  Access Point y = .(50+y), Mast-Switch x = .(10+x)","")))))</f>
        <v/>
      </c>
      <c r="I1001" s="0" t="str">
        <f aca="false">IF(996&lt;=(Eingabe!$P$18+Eingabe!$Q$18-1),MATCH(996,Eingabe!$P$9:$P$18,1),"")</f>
        <v/>
      </c>
      <c r="J1001" s="0" t="str">
        <f aca="false">IF(I1001="","",996-INDEX(Eingabe!$P$9:$P$18,I1001))</f>
        <v/>
      </c>
      <c r="K1001" s="0" t="str">
        <f aca="false">IF(I1001="","",INDEX(Eingabe!$E$9:$E$18,I1001))</f>
        <v/>
      </c>
    </row>
    <row r="1002" customFormat="false" ht="15" hidden="false" customHeight="false" outlineLevel="0" collapsed="false">
      <c r="A1002" s="0" t="str">
        <f aca="false">IF(I1002="","",IF(J1002=0,"Sparte "&amp;I1002&amp;": "&amp;INDEX(Eingabe!$B$9:$B$18,I1002)&amp;"  (Sparten-ID "&amp;INDEX(Eingabe!$D$9:$D$18,I1002)&amp;", "&amp;K1002&amp;" Parzellen)",IF(J1002&lt;=K1002,"   Parzelle "&amp;J1002,IF(J1002=K1002+1,"   Vorstand",IF(J1002=K1002+2,"   Gäste",IF(J1002=K1002+3,"   Technik (Switches, Access Points)",""))))))</f>
        <v/>
      </c>
      <c r="B1002" s="0" t="str">
        <f aca="false">IF(I1002="","",IF(AND(J1002&gt;=1,J1002&lt;=K1002+3),IF(J1002&lt;=K1002,IF(J1002&lt;=99,IF((INDEX(Eingabe!$G$9:$G$18,I1002))&lt;=9,1000+(INDEX(Eingabe!$G$9:$G$18,I1002))*100,3000)+J1002,IF((INDEX(Eingabe!$G$9:$G$18,I1002)+1)&lt;=9,1000+(INDEX(Eingabe!$G$9:$G$18,I1002)+1)*100,3000)+J1002-100),IF(J1002=K1002+1,2000+INDEX(Eingabe!$G$9:$G$18,I1002)*10+1,IF(J1002=K1002+2,2000+INDEX(Eingabe!$G$9:$G$18,I1002)*10+2,2000+INDEX(Eingabe!$G$9:$G$18,I1002)*10+9))),""))</f>
        <v/>
      </c>
      <c r="C1002" s="0" t="str">
        <f aca="false">IF(I1002="","",IF(AND(J1002&gt;=1,J1002&lt;=K1002+3),"10."&amp;INDEX(Eingabe!$D$9:$D$18,I1002)&amp;"."&amp;IF(J1002&lt;=K1002,J1002,IF(J1002=K1002+1,200,IF(J1002=K1002+2,201,250)))&amp;".0/24",""))</f>
        <v/>
      </c>
      <c r="D1002" s="0" t="str">
        <f aca="false">IF(I1002="","",IF(AND(J1002&gt;=1,J1002&lt;=K1002+3),"255.255.255.0",""))</f>
        <v/>
      </c>
      <c r="E1002" s="0" t="str">
        <f aca="false">IF(I1002="","",IF(AND(J1002&gt;=1,J1002&lt;=K1002+3),"10."&amp;INDEX(Eingabe!$D$9:$D$18,I1002)&amp;"."&amp;IF(J1002&lt;=K1002,J1002,IF(J1002=K1002+1,200,IF(J1002=K1002+2,201,250)))&amp;".1",""))</f>
        <v/>
      </c>
      <c r="F1002" s="0" t="str">
        <f aca="false">IF(I1002="","",IF(AND(J1002&gt;=1,J1002&lt;=K1002+3),"10."&amp;INDEX(Eingabe!$D$9:$D$18,I1002)&amp;"."&amp;IF(J1002&lt;=K1002,J1002,IF(J1002=K1002+1,200,IF(J1002=K1002+2,201,250)))&amp;".10 – 10."&amp;INDEX(Eingabe!$D$9:$D$18,I1002)&amp;"."&amp;IF(J1002&lt;=K1002,J1002,IF(J1002=K1002+1,200,IF(J1002=K1002+2,201,250)))&amp;".250",""))</f>
        <v/>
      </c>
      <c r="G1002" s="0" t="str">
        <f aca="false">IF(I1002="","",IF(AND(J1002&gt;=1,J1002&lt;=K1002),Eingabe!$B$6&amp;"-"&amp;INDEX(Eingabe!$C$9:$C$18,I1002)&amp;"-Pächter  ·  Passwort Parzelle "&amp;J1002,IF(J1002=K1002+1,Eingabe!$B$6&amp;"-"&amp;INDEX(Eingabe!$C$9:$C$18,I1002)&amp;"-Vorstand  ·  eigenes WLAN",IF(J1002=K1002+2,Eingabe!$B$6&amp;"-"&amp;INDEX(Eingabe!$C$9:$C$18,I1002)&amp;"-Gäste  ·  Voucher",IF(J1002=K1002+3,"Kabel  ·  Access Point y = .(50+y), Mast-Switch x = .(10+x)","")))))</f>
        <v/>
      </c>
      <c r="I1002" s="0" t="str">
        <f aca="false">IF(997&lt;=(Eingabe!$P$18+Eingabe!$Q$18-1),MATCH(997,Eingabe!$P$9:$P$18,1),"")</f>
        <v/>
      </c>
      <c r="J1002" s="0" t="str">
        <f aca="false">IF(I1002="","",997-INDEX(Eingabe!$P$9:$P$18,I1002))</f>
        <v/>
      </c>
      <c r="K1002" s="0" t="str">
        <f aca="false">IF(I1002="","",INDEX(Eingabe!$E$9:$E$18,I1002))</f>
        <v/>
      </c>
    </row>
    <row r="1003" customFormat="false" ht="15" hidden="false" customHeight="false" outlineLevel="0" collapsed="false">
      <c r="A1003" s="0" t="str">
        <f aca="false">IF(I1003="","",IF(J1003=0,"Sparte "&amp;I1003&amp;": "&amp;INDEX(Eingabe!$B$9:$B$18,I1003)&amp;"  (Sparten-ID "&amp;INDEX(Eingabe!$D$9:$D$18,I1003)&amp;", "&amp;K1003&amp;" Parzellen)",IF(J1003&lt;=K1003,"   Parzelle "&amp;J1003,IF(J1003=K1003+1,"   Vorstand",IF(J1003=K1003+2,"   Gäste",IF(J1003=K1003+3,"   Technik (Switches, Access Points)",""))))))</f>
        <v/>
      </c>
      <c r="B1003" s="0" t="str">
        <f aca="false">IF(I1003="","",IF(AND(J1003&gt;=1,J1003&lt;=K1003+3),IF(J1003&lt;=K1003,IF(J1003&lt;=99,IF((INDEX(Eingabe!$G$9:$G$18,I1003))&lt;=9,1000+(INDEX(Eingabe!$G$9:$G$18,I1003))*100,3000)+J1003,IF((INDEX(Eingabe!$G$9:$G$18,I1003)+1)&lt;=9,1000+(INDEX(Eingabe!$G$9:$G$18,I1003)+1)*100,3000)+J1003-100),IF(J1003=K1003+1,2000+INDEX(Eingabe!$G$9:$G$18,I1003)*10+1,IF(J1003=K1003+2,2000+INDEX(Eingabe!$G$9:$G$18,I1003)*10+2,2000+INDEX(Eingabe!$G$9:$G$18,I1003)*10+9))),""))</f>
        <v/>
      </c>
      <c r="C1003" s="0" t="str">
        <f aca="false">IF(I1003="","",IF(AND(J1003&gt;=1,J1003&lt;=K1003+3),"10."&amp;INDEX(Eingabe!$D$9:$D$18,I1003)&amp;"."&amp;IF(J1003&lt;=K1003,J1003,IF(J1003=K1003+1,200,IF(J1003=K1003+2,201,250)))&amp;".0/24",""))</f>
        <v/>
      </c>
      <c r="D1003" s="0" t="str">
        <f aca="false">IF(I1003="","",IF(AND(J1003&gt;=1,J1003&lt;=K1003+3),"255.255.255.0",""))</f>
        <v/>
      </c>
      <c r="E1003" s="0" t="str">
        <f aca="false">IF(I1003="","",IF(AND(J1003&gt;=1,J1003&lt;=K1003+3),"10."&amp;INDEX(Eingabe!$D$9:$D$18,I1003)&amp;"."&amp;IF(J1003&lt;=K1003,J1003,IF(J1003=K1003+1,200,IF(J1003=K1003+2,201,250)))&amp;".1",""))</f>
        <v/>
      </c>
      <c r="F1003" s="0" t="str">
        <f aca="false">IF(I1003="","",IF(AND(J1003&gt;=1,J1003&lt;=K1003+3),"10."&amp;INDEX(Eingabe!$D$9:$D$18,I1003)&amp;"."&amp;IF(J1003&lt;=K1003,J1003,IF(J1003=K1003+1,200,IF(J1003=K1003+2,201,250)))&amp;".10 – 10."&amp;INDEX(Eingabe!$D$9:$D$18,I1003)&amp;"."&amp;IF(J1003&lt;=K1003,J1003,IF(J1003=K1003+1,200,IF(J1003=K1003+2,201,250)))&amp;".250",""))</f>
        <v/>
      </c>
      <c r="G1003" s="0" t="str">
        <f aca="false">IF(I1003="","",IF(AND(J1003&gt;=1,J1003&lt;=K1003),Eingabe!$B$6&amp;"-"&amp;INDEX(Eingabe!$C$9:$C$18,I1003)&amp;"-Pächter  ·  Passwort Parzelle "&amp;J1003,IF(J1003=K1003+1,Eingabe!$B$6&amp;"-"&amp;INDEX(Eingabe!$C$9:$C$18,I1003)&amp;"-Vorstand  ·  eigenes WLAN",IF(J1003=K1003+2,Eingabe!$B$6&amp;"-"&amp;INDEX(Eingabe!$C$9:$C$18,I1003)&amp;"-Gäste  ·  Voucher",IF(J1003=K1003+3,"Kabel  ·  Access Point y = .(50+y), Mast-Switch x = .(10+x)","")))))</f>
        <v/>
      </c>
      <c r="I1003" s="0" t="str">
        <f aca="false">IF(998&lt;=(Eingabe!$P$18+Eingabe!$Q$18-1),MATCH(998,Eingabe!$P$9:$P$18,1),"")</f>
        <v/>
      </c>
      <c r="J1003" s="0" t="str">
        <f aca="false">IF(I1003="","",998-INDEX(Eingabe!$P$9:$P$18,I1003))</f>
        <v/>
      </c>
      <c r="K1003" s="0" t="str">
        <f aca="false">IF(I1003="","",INDEX(Eingabe!$E$9:$E$18,I1003))</f>
        <v/>
      </c>
    </row>
    <row r="1004" customFormat="false" ht="15" hidden="false" customHeight="false" outlineLevel="0" collapsed="false">
      <c r="A1004" s="0" t="str">
        <f aca="false">IF(I1004="","",IF(J1004=0,"Sparte "&amp;I1004&amp;": "&amp;INDEX(Eingabe!$B$9:$B$18,I1004)&amp;"  (Sparten-ID "&amp;INDEX(Eingabe!$D$9:$D$18,I1004)&amp;", "&amp;K1004&amp;" Parzellen)",IF(J1004&lt;=K1004,"   Parzelle "&amp;J1004,IF(J1004=K1004+1,"   Vorstand",IF(J1004=K1004+2,"   Gäste",IF(J1004=K1004+3,"   Technik (Switches, Access Points)",""))))))</f>
        <v/>
      </c>
      <c r="B1004" s="0" t="str">
        <f aca="false">IF(I1004="","",IF(AND(J1004&gt;=1,J1004&lt;=K1004+3),IF(J1004&lt;=K1004,IF(J1004&lt;=99,IF((INDEX(Eingabe!$G$9:$G$18,I1004))&lt;=9,1000+(INDEX(Eingabe!$G$9:$G$18,I1004))*100,3000)+J1004,IF((INDEX(Eingabe!$G$9:$G$18,I1004)+1)&lt;=9,1000+(INDEX(Eingabe!$G$9:$G$18,I1004)+1)*100,3000)+J1004-100),IF(J1004=K1004+1,2000+INDEX(Eingabe!$G$9:$G$18,I1004)*10+1,IF(J1004=K1004+2,2000+INDEX(Eingabe!$G$9:$G$18,I1004)*10+2,2000+INDEX(Eingabe!$G$9:$G$18,I1004)*10+9))),""))</f>
        <v/>
      </c>
      <c r="C1004" s="0" t="str">
        <f aca="false">IF(I1004="","",IF(AND(J1004&gt;=1,J1004&lt;=K1004+3),"10."&amp;INDEX(Eingabe!$D$9:$D$18,I1004)&amp;"."&amp;IF(J1004&lt;=K1004,J1004,IF(J1004=K1004+1,200,IF(J1004=K1004+2,201,250)))&amp;".0/24",""))</f>
        <v/>
      </c>
      <c r="D1004" s="0" t="str">
        <f aca="false">IF(I1004="","",IF(AND(J1004&gt;=1,J1004&lt;=K1004+3),"255.255.255.0",""))</f>
        <v/>
      </c>
      <c r="E1004" s="0" t="str">
        <f aca="false">IF(I1004="","",IF(AND(J1004&gt;=1,J1004&lt;=K1004+3),"10."&amp;INDEX(Eingabe!$D$9:$D$18,I1004)&amp;"."&amp;IF(J1004&lt;=K1004,J1004,IF(J1004=K1004+1,200,IF(J1004=K1004+2,201,250)))&amp;".1",""))</f>
        <v/>
      </c>
      <c r="F1004" s="0" t="str">
        <f aca="false">IF(I1004="","",IF(AND(J1004&gt;=1,J1004&lt;=K1004+3),"10."&amp;INDEX(Eingabe!$D$9:$D$18,I1004)&amp;"."&amp;IF(J1004&lt;=K1004,J1004,IF(J1004=K1004+1,200,IF(J1004=K1004+2,201,250)))&amp;".10 – 10."&amp;INDEX(Eingabe!$D$9:$D$18,I1004)&amp;"."&amp;IF(J1004&lt;=K1004,J1004,IF(J1004=K1004+1,200,IF(J1004=K1004+2,201,250)))&amp;".250",""))</f>
        <v/>
      </c>
      <c r="G1004" s="0" t="str">
        <f aca="false">IF(I1004="","",IF(AND(J1004&gt;=1,J1004&lt;=K1004),Eingabe!$B$6&amp;"-"&amp;INDEX(Eingabe!$C$9:$C$18,I1004)&amp;"-Pächter  ·  Passwort Parzelle "&amp;J1004,IF(J1004=K1004+1,Eingabe!$B$6&amp;"-"&amp;INDEX(Eingabe!$C$9:$C$18,I1004)&amp;"-Vorstand  ·  eigenes WLAN",IF(J1004=K1004+2,Eingabe!$B$6&amp;"-"&amp;INDEX(Eingabe!$C$9:$C$18,I1004)&amp;"-Gäste  ·  Voucher",IF(J1004=K1004+3,"Kabel  ·  Access Point y = .(50+y), Mast-Switch x = .(10+x)","")))))</f>
        <v/>
      </c>
      <c r="I1004" s="0" t="str">
        <f aca="false">IF(999&lt;=(Eingabe!$P$18+Eingabe!$Q$18-1),MATCH(999,Eingabe!$P$9:$P$18,1),"")</f>
        <v/>
      </c>
      <c r="J1004" s="0" t="str">
        <f aca="false">IF(I1004="","",999-INDEX(Eingabe!$P$9:$P$18,I1004))</f>
        <v/>
      </c>
      <c r="K1004" s="0" t="str">
        <f aca="false">IF(I1004="","",INDEX(Eingabe!$E$9:$E$18,I1004))</f>
        <v/>
      </c>
    </row>
    <row r="1005" customFormat="false" ht="15" hidden="false" customHeight="false" outlineLevel="0" collapsed="false">
      <c r="A1005" s="0" t="str">
        <f aca="false">IF(I1005="","",IF(J1005=0,"Sparte "&amp;I1005&amp;": "&amp;INDEX(Eingabe!$B$9:$B$18,I1005)&amp;"  (Sparten-ID "&amp;INDEX(Eingabe!$D$9:$D$18,I1005)&amp;", "&amp;K1005&amp;" Parzellen)",IF(J1005&lt;=K1005,"   Parzelle "&amp;J1005,IF(J1005=K1005+1,"   Vorstand",IF(J1005=K1005+2,"   Gäste",IF(J1005=K1005+3,"   Technik (Switches, Access Points)",""))))))</f>
        <v/>
      </c>
      <c r="B1005" s="0" t="str">
        <f aca="false">IF(I1005="","",IF(AND(J1005&gt;=1,J1005&lt;=K1005+3),IF(J1005&lt;=K1005,IF(J1005&lt;=99,IF((INDEX(Eingabe!$G$9:$G$18,I1005))&lt;=9,1000+(INDEX(Eingabe!$G$9:$G$18,I1005))*100,3000)+J1005,IF((INDEX(Eingabe!$G$9:$G$18,I1005)+1)&lt;=9,1000+(INDEX(Eingabe!$G$9:$G$18,I1005)+1)*100,3000)+J1005-100),IF(J1005=K1005+1,2000+INDEX(Eingabe!$G$9:$G$18,I1005)*10+1,IF(J1005=K1005+2,2000+INDEX(Eingabe!$G$9:$G$18,I1005)*10+2,2000+INDEX(Eingabe!$G$9:$G$18,I1005)*10+9))),""))</f>
        <v/>
      </c>
      <c r="C1005" s="0" t="str">
        <f aca="false">IF(I1005="","",IF(AND(J1005&gt;=1,J1005&lt;=K1005+3),"10."&amp;INDEX(Eingabe!$D$9:$D$18,I1005)&amp;"."&amp;IF(J1005&lt;=K1005,J1005,IF(J1005=K1005+1,200,IF(J1005=K1005+2,201,250)))&amp;".0/24",""))</f>
        <v/>
      </c>
      <c r="D1005" s="0" t="str">
        <f aca="false">IF(I1005="","",IF(AND(J1005&gt;=1,J1005&lt;=K1005+3),"255.255.255.0",""))</f>
        <v/>
      </c>
      <c r="E1005" s="0" t="str">
        <f aca="false">IF(I1005="","",IF(AND(J1005&gt;=1,J1005&lt;=K1005+3),"10."&amp;INDEX(Eingabe!$D$9:$D$18,I1005)&amp;"."&amp;IF(J1005&lt;=K1005,J1005,IF(J1005=K1005+1,200,IF(J1005=K1005+2,201,250)))&amp;".1",""))</f>
        <v/>
      </c>
      <c r="F1005" s="0" t="str">
        <f aca="false">IF(I1005="","",IF(AND(J1005&gt;=1,J1005&lt;=K1005+3),"10."&amp;INDEX(Eingabe!$D$9:$D$18,I1005)&amp;"."&amp;IF(J1005&lt;=K1005,J1005,IF(J1005=K1005+1,200,IF(J1005=K1005+2,201,250)))&amp;".10 – 10."&amp;INDEX(Eingabe!$D$9:$D$18,I1005)&amp;"."&amp;IF(J1005&lt;=K1005,J1005,IF(J1005=K1005+1,200,IF(J1005=K1005+2,201,250)))&amp;".250",""))</f>
        <v/>
      </c>
      <c r="G1005" s="0" t="str">
        <f aca="false">IF(I1005="","",IF(AND(J1005&gt;=1,J1005&lt;=K1005),Eingabe!$B$6&amp;"-"&amp;INDEX(Eingabe!$C$9:$C$18,I1005)&amp;"-Pächter  ·  Passwort Parzelle "&amp;J1005,IF(J1005=K1005+1,Eingabe!$B$6&amp;"-"&amp;INDEX(Eingabe!$C$9:$C$18,I1005)&amp;"-Vorstand  ·  eigenes WLAN",IF(J1005=K1005+2,Eingabe!$B$6&amp;"-"&amp;INDEX(Eingabe!$C$9:$C$18,I1005)&amp;"-Gäste  ·  Voucher",IF(J1005=K1005+3,"Kabel  ·  Access Point y = .(50+y), Mast-Switch x = .(10+x)","")))))</f>
        <v/>
      </c>
      <c r="I1005" s="0" t="str">
        <f aca="false">IF(1000&lt;=(Eingabe!$P$18+Eingabe!$Q$18-1),MATCH(1000,Eingabe!$P$9:$P$18,1),"")</f>
        <v/>
      </c>
      <c r="J1005" s="0" t="str">
        <f aca="false">IF(I1005="","",1000-INDEX(Eingabe!$P$9:$P$18,I1005))</f>
        <v/>
      </c>
      <c r="K1005" s="0" t="str">
        <f aca="false">IF(I1005="","",INDEX(Eingabe!$E$9:$E$18,I1005))</f>
        <v/>
      </c>
    </row>
    <row r="1006" customFormat="false" ht="15" hidden="false" customHeight="false" outlineLevel="0" collapsed="false">
      <c r="A1006" s="0" t="str">
        <f aca="false">IF(I1006="","",IF(J1006=0,"Sparte "&amp;I1006&amp;": "&amp;INDEX(Eingabe!$B$9:$B$18,I1006)&amp;"  (Sparten-ID "&amp;INDEX(Eingabe!$D$9:$D$18,I1006)&amp;", "&amp;K1006&amp;" Parzellen)",IF(J1006&lt;=K1006,"   Parzelle "&amp;J1006,IF(J1006=K1006+1,"   Vorstand",IF(J1006=K1006+2,"   Gäste",IF(J1006=K1006+3,"   Technik (Switches, Access Points)",""))))))</f>
        <v/>
      </c>
      <c r="B1006" s="0" t="str">
        <f aca="false">IF(I1006="","",IF(AND(J1006&gt;=1,J1006&lt;=K1006+3),IF(J1006&lt;=K1006,IF(J1006&lt;=99,IF((INDEX(Eingabe!$G$9:$G$18,I1006))&lt;=9,1000+(INDEX(Eingabe!$G$9:$G$18,I1006))*100,3000)+J1006,IF((INDEX(Eingabe!$G$9:$G$18,I1006)+1)&lt;=9,1000+(INDEX(Eingabe!$G$9:$G$18,I1006)+1)*100,3000)+J1006-100),IF(J1006=K1006+1,2000+INDEX(Eingabe!$G$9:$G$18,I1006)*10+1,IF(J1006=K1006+2,2000+INDEX(Eingabe!$G$9:$G$18,I1006)*10+2,2000+INDEX(Eingabe!$G$9:$G$18,I1006)*10+9))),""))</f>
        <v/>
      </c>
      <c r="C1006" s="0" t="str">
        <f aca="false">IF(I1006="","",IF(AND(J1006&gt;=1,J1006&lt;=K1006+3),"10."&amp;INDEX(Eingabe!$D$9:$D$18,I1006)&amp;"."&amp;IF(J1006&lt;=K1006,J1006,IF(J1006=K1006+1,200,IF(J1006=K1006+2,201,250)))&amp;".0/24",""))</f>
        <v/>
      </c>
      <c r="D1006" s="0" t="str">
        <f aca="false">IF(I1006="","",IF(AND(J1006&gt;=1,J1006&lt;=K1006+3),"255.255.255.0",""))</f>
        <v/>
      </c>
      <c r="E1006" s="0" t="str">
        <f aca="false">IF(I1006="","",IF(AND(J1006&gt;=1,J1006&lt;=K1006+3),"10."&amp;INDEX(Eingabe!$D$9:$D$18,I1006)&amp;"."&amp;IF(J1006&lt;=K1006,J1006,IF(J1006=K1006+1,200,IF(J1006=K1006+2,201,250)))&amp;".1",""))</f>
        <v/>
      </c>
      <c r="F1006" s="0" t="str">
        <f aca="false">IF(I1006="","",IF(AND(J1006&gt;=1,J1006&lt;=K1006+3),"10."&amp;INDEX(Eingabe!$D$9:$D$18,I1006)&amp;"."&amp;IF(J1006&lt;=K1006,J1006,IF(J1006=K1006+1,200,IF(J1006=K1006+2,201,250)))&amp;".10 – 10."&amp;INDEX(Eingabe!$D$9:$D$18,I1006)&amp;"."&amp;IF(J1006&lt;=K1006,J1006,IF(J1006=K1006+1,200,IF(J1006=K1006+2,201,250)))&amp;".250",""))</f>
        <v/>
      </c>
      <c r="G1006" s="0" t="str">
        <f aca="false">IF(I1006="","",IF(AND(J1006&gt;=1,J1006&lt;=K1006),Eingabe!$B$6&amp;"-"&amp;INDEX(Eingabe!$C$9:$C$18,I1006)&amp;"-Pächter  ·  Passwort Parzelle "&amp;J1006,IF(J1006=K1006+1,Eingabe!$B$6&amp;"-"&amp;INDEX(Eingabe!$C$9:$C$18,I1006)&amp;"-Vorstand  ·  eigenes WLAN",IF(J1006=K1006+2,Eingabe!$B$6&amp;"-"&amp;INDEX(Eingabe!$C$9:$C$18,I1006)&amp;"-Gäste  ·  Voucher",IF(J1006=K1006+3,"Kabel  ·  Access Point y = .(50+y), Mast-Switch x = .(10+x)","")))))</f>
        <v/>
      </c>
      <c r="I1006" s="0" t="str">
        <f aca="false">IF(1001&lt;=(Eingabe!$P$18+Eingabe!$Q$18-1),MATCH(1001,Eingabe!$P$9:$P$18,1),"")</f>
        <v/>
      </c>
      <c r="J1006" s="0" t="str">
        <f aca="false">IF(I1006="","",1001-INDEX(Eingabe!$P$9:$P$18,I1006))</f>
        <v/>
      </c>
      <c r="K1006" s="0" t="str">
        <f aca="false">IF(I1006="","",INDEX(Eingabe!$E$9:$E$18,I1006))</f>
        <v/>
      </c>
    </row>
    <row r="1007" customFormat="false" ht="15" hidden="false" customHeight="false" outlineLevel="0" collapsed="false">
      <c r="A1007" s="0" t="str">
        <f aca="false">IF(I1007="","",IF(J1007=0,"Sparte "&amp;I1007&amp;": "&amp;INDEX(Eingabe!$B$9:$B$18,I1007)&amp;"  (Sparten-ID "&amp;INDEX(Eingabe!$D$9:$D$18,I1007)&amp;", "&amp;K1007&amp;" Parzellen)",IF(J1007&lt;=K1007,"   Parzelle "&amp;J1007,IF(J1007=K1007+1,"   Vorstand",IF(J1007=K1007+2,"   Gäste",IF(J1007=K1007+3,"   Technik (Switches, Access Points)",""))))))</f>
        <v/>
      </c>
      <c r="B1007" s="0" t="str">
        <f aca="false">IF(I1007="","",IF(AND(J1007&gt;=1,J1007&lt;=K1007+3),IF(J1007&lt;=K1007,IF(J1007&lt;=99,IF((INDEX(Eingabe!$G$9:$G$18,I1007))&lt;=9,1000+(INDEX(Eingabe!$G$9:$G$18,I1007))*100,3000)+J1007,IF((INDEX(Eingabe!$G$9:$G$18,I1007)+1)&lt;=9,1000+(INDEX(Eingabe!$G$9:$G$18,I1007)+1)*100,3000)+J1007-100),IF(J1007=K1007+1,2000+INDEX(Eingabe!$G$9:$G$18,I1007)*10+1,IF(J1007=K1007+2,2000+INDEX(Eingabe!$G$9:$G$18,I1007)*10+2,2000+INDEX(Eingabe!$G$9:$G$18,I1007)*10+9))),""))</f>
        <v/>
      </c>
      <c r="C1007" s="0" t="str">
        <f aca="false">IF(I1007="","",IF(AND(J1007&gt;=1,J1007&lt;=K1007+3),"10."&amp;INDEX(Eingabe!$D$9:$D$18,I1007)&amp;"."&amp;IF(J1007&lt;=K1007,J1007,IF(J1007=K1007+1,200,IF(J1007=K1007+2,201,250)))&amp;".0/24",""))</f>
        <v/>
      </c>
      <c r="D1007" s="0" t="str">
        <f aca="false">IF(I1007="","",IF(AND(J1007&gt;=1,J1007&lt;=K1007+3),"255.255.255.0",""))</f>
        <v/>
      </c>
      <c r="E1007" s="0" t="str">
        <f aca="false">IF(I1007="","",IF(AND(J1007&gt;=1,J1007&lt;=K1007+3),"10."&amp;INDEX(Eingabe!$D$9:$D$18,I1007)&amp;"."&amp;IF(J1007&lt;=K1007,J1007,IF(J1007=K1007+1,200,IF(J1007=K1007+2,201,250)))&amp;".1",""))</f>
        <v/>
      </c>
      <c r="F1007" s="0" t="str">
        <f aca="false">IF(I1007="","",IF(AND(J1007&gt;=1,J1007&lt;=K1007+3),"10."&amp;INDEX(Eingabe!$D$9:$D$18,I1007)&amp;"."&amp;IF(J1007&lt;=K1007,J1007,IF(J1007=K1007+1,200,IF(J1007=K1007+2,201,250)))&amp;".10 – 10."&amp;INDEX(Eingabe!$D$9:$D$18,I1007)&amp;"."&amp;IF(J1007&lt;=K1007,J1007,IF(J1007=K1007+1,200,IF(J1007=K1007+2,201,250)))&amp;".250",""))</f>
        <v/>
      </c>
      <c r="G1007" s="0" t="str">
        <f aca="false">IF(I1007="","",IF(AND(J1007&gt;=1,J1007&lt;=K1007),Eingabe!$B$6&amp;"-"&amp;INDEX(Eingabe!$C$9:$C$18,I1007)&amp;"-Pächter  ·  Passwort Parzelle "&amp;J1007,IF(J1007=K1007+1,Eingabe!$B$6&amp;"-"&amp;INDEX(Eingabe!$C$9:$C$18,I1007)&amp;"-Vorstand  ·  eigenes WLAN",IF(J1007=K1007+2,Eingabe!$B$6&amp;"-"&amp;INDEX(Eingabe!$C$9:$C$18,I1007)&amp;"-Gäste  ·  Voucher",IF(J1007=K1007+3,"Kabel  ·  Access Point y = .(50+y), Mast-Switch x = .(10+x)","")))))</f>
        <v/>
      </c>
      <c r="I1007" s="0" t="str">
        <f aca="false">IF(1002&lt;=(Eingabe!$P$18+Eingabe!$Q$18-1),MATCH(1002,Eingabe!$P$9:$P$18,1),"")</f>
        <v/>
      </c>
      <c r="J1007" s="0" t="str">
        <f aca="false">IF(I1007="","",1002-INDEX(Eingabe!$P$9:$P$18,I1007))</f>
        <v/>
      </c>
      <c r="K1007" s="0" t="str">
        <f aca="false">IF(I1007="","",INDEX(Eingabe!$E$9:$E$18,I1007))</f>
        <v/>
      </c>
    </row>
    <row r="1008" customFormat="false" ht="15" hidden="false" customHeight="false" outlineLevel="0" collapsed="false">
      <c r="A1008" s="0" t="str">
        <f aca="false">IF(I1008="","",IF(J1008=0,"Sparte "&amp;I1008&amp;": "&amp;INDEX(Eingabe!$B$9:$B$18,I1008)&amp;"  (Sparten-ID "&amp;INDEX(Eingabe!$D$9:$D$18,I1008)&amp;", "&amp;K1008&amp;" Parzellen)",IF(J1008&lt;=K1008,"   Parzelle "&amp;J1008,IF(J1008=K1008+1,"   Vorstand",IF(J1008=K1008+2,"   Gäste",IF(J1008=K1008+3,"   Technik (Switches, Access Points)",""))))))</f>
        <v/>
      </c>
      <c r="B1008" s="0" t="str">
        <f aca="false">IF(I1008="","",IF(AND(J1008&gt;=1,J1008&lt;=K1008+3),IF(J1008&lt;=K1008,IF(J1008&lt;=99,IF((INDEX(Eingabe!$G$9:$G$18,I1008))&lt;=9,1000+(INDEX(Eingabe!$G$9:$G$18,I1008))*100,3000)+J1008,IF((INDEX(Eingabe!$G$9:$G$18,I1008)+1)&lt;=9,1000+(INDEX(Eingabe!$G$9:$G$18,I1008)+1)*100,3000)+J1008-100),IF(J1008=K1008+1,2000+INDEX(Eingabe!$G$9:$G$18,I1008)*10+1,IF(J1008=K1008+2,2000+INDEX(Eingabe!$G$9:$G$18,I1008)*10+2,2000+INDEX(Eingabe!$G$9:$G$18,I1008)*10+9))),""))</f>
        <v/>
      </c>
      <c r="C1008" s="0" t="str">
        <f aca="false">IF(I1008="","",IF(AND(J1008&gt;=1,J1008&lt;=K1008+3),"10."&amp;INDEX(Eingabe!$D$9:$D$18,I1008)&amp;"."&amp;IF(J1008&lt;=K1008,J1008,IF(J1008=K1008+1,200,IF(J1008=K1008+2,201,250)))&amp;".0/24",""))</f>
        <v/>
      </c>
      <c r="D1008" s="0" t="str">
        <f aca="false">IF(I1008="","",IF(AND(J1008&gt;=1,J1008&lt;=K1008+3),"255.255.255.0",""))</f>
        <v/>
      </c>
      <c r="E1008" s="0" t="str">
        <f aca="false">IF(I1008="","",IF(AND(J1008&gt;=1,J1008&lt;=K1008+3),"10."&amp;INDEX(Eingabe!$D$9:$D$18,I1008)&amp;"."&amp;IF(J1008&lt;=K1008,J1008,IF(J1008=K1008+1,200,IF(J1008=K1008+2,201,250)))&amp;".1",""))</f>
        <v/>
      </c>
      <c r="F1008" s="0" t="str">
        <f aca="false">IF(I1008="","",IF(AND(J1008&gt;=1,J1008&lt;=K1008+3),"10."&amp;INDEX(Eingabe!$D$9:$D$18,I1008)&amp;"."&amp;IF(J1008&lt;=K1008,J1008,IF(J1008=K1008+1,200,IF(J1008=K1008+2,201,250)))&amp;".10 – 10."&amp;INDEX(Eingabe!$D$9:$D$18,I1008)&amp;"."&amp;IF(J1008&lt;=K1008,J1008,IF(J1008=K1008+1,200,IF(J1008=K1008+2,201,250)))&amp;".250",""))</f>
        <v/>
      </c>
      <c r="G1008" s="0" t="str">
        <f aca="false">IF(I1008="","",IF(AND(J1008&gt;=1,J1008&lt;=K1008),Eingabe!$B$6&amp;"-"&amp;INDEX(Eingabe!$C$9:$C$18,I1008)&amp;"-Pächter  ·  Passwort Parzelle "&amp;J1008,IF(J1008=K1008+1,Eingabe!$B$6&amp;"-"&amp;INDEX(Eingabe!$C$9:$C$18,I1008)&amp;"-Vorstand  ·  eigenes WLAN",IF(J1008=K1008+2,Eingabe!$B$6&amp;"-"&amp;INDEX(Eingabe!$C$9:$C$18,I1008)&amp;"-Gäste  ·  Voucher",IF(J1008=K1008+3,"Kabel  ·  Access Point y = .(50+y), Mast-Switch x = .(10+x)","")))))</f>
        <v/>
      </c>
      <c r="I1008" s="0" t="str">
        <f aca="false">IF(1003&lt;=(Eingabe!$P$18+Eingabe!$Q$18-1),MATCH(1003,Eingabe!$P$9:$P$18,1),"")</f>
        <v/>
      </c>
      <c r="J1008" s="0" t="str">
        <f aca="false">IF(I1008="","",1003-INDEX(Eingabe!$P$9:$P$18,I1008))</f>
        <v/>
      </c>
      <c r="K1008" s="0" t="str">
        <f aca="false">IF(I1008="","",INDEX(Eingabe!$E$9:$E$18,I1008))</f>
        <v/>
      </c>
    </row>
    <row r="1009" customFormat="false" ht="15" hidden="false" customHeight="false" outlineLevel="0" collapsed="false">
      <c r="A1009" s="0" t="str">
        <f aca="false">IF(I1009="","",IF(J1009=0,"Sparte "&amp;I1009&amp;": "&amp;INDEX(Eingabe!$B$9:$B$18,I1009)&amp;"  (Sparten-ID "&amp;INDEX(Eingabe!$D$9:$D$18,I1009)&amp;", "&amp;K1009&amp;" Parzellen)",IF(J1009&lt;=K1009,"   Parzelle "&amp;J1009,IF(J1009=K1009+1,"   Vorstand",IF(J1009=K1009+2,"   Gäste",IF(J1009=K1009+3,"   Technik (Switches, Access Points)",""))))))</f>
        <v/>
      </c>
      <c r="B1009" s="0" t="str">
        <f aca="false">IF(I1009="","",IF(AND(J1009&gt;=1,J1009&lt;=K1009+3),IF(J1009&lt;=K1009,IF(J1009&lt;=99,IF((INDEX(Eingabe!$G$9:$G$18,I1009))&lt;=9,1000+(INDEX(Eingabe!$G$9:$G$18,I1009))*100,3000)+J1009,IF((INDEX(Eingabe!$G$9:$G$18,I1009)+1)&lt;=9,1000+(INDEX(Eingabe!$G$9:$G$18,I1009)+1)*100,3000)+J1009-100),IF(J1009=K1009+1,2000+INDEX(Eingabe!$G$9:$G$18,I1009)*10+1,IF(J1009=K1009+2,2000+INDEX(Eingabe!$G$9:$G$18,I1009)*10+2,2000+INDEX(Eingabe!$G$9:$G$18,I1009)*10+9))),""))</f>
        <v/>
      </c>
      <c r="C1009" s="0" t="str">
        <f aca="false">IF(I1009="","",IF(AND(J1009&gt;=1,J1009&lt;=K1009+3),"10."&amp;INDEX(Eingabe!$D$9:$D$18,I1009)&amp;"."&amp;IF(J1009&lt;=K1009,J1009,IF(J1009=K1009+1,200,IF(J1009=K1009+2,201,250)))&amp;".0/24",""))</f>
        <v/>
      </c>
      <c r="D1009" s="0" t="str">
        <f aca="false">IF(I1009="","",IF(AND(J1009&gt;=1,J1009&lt;=K1009+3),"255.255.255.0",""))</f>
        <v/>
      </c>
      <c r="E1009" s="0" t="str">
        <f aca="false">IF(I1009="","",IF(AND(J1009&gt;=1,J1009&lt;=K1009+3),"10."&amp;INDEX(Eingabe!$D$9:$D$18,I1009)&amp;"."&amp;IF(J1009&lt;=K1009,J1009,IF(J1009=K1009+1,200,IF(J1009=K1009+2,201,250)))&amp;".1",""))</f>
        <v/>
      </c>
      <c r="F1009" s="0" t="str">
        <f aca="false">IF(I1009="","",IF(AND(J1009&gt;=1,J1009&lt;=K1009+3),"10."&amp;INDEX(Eingabe!$D$9:$D$18,I1009)&amp;"."&amp;IF(J1009&lt;=K1009,J1009,IF(J1009=K1009+1,200,IF(J1009=K1009+2,201,250)))&amp;".10 – 10."&amp;INDEX(Eingabe!$D$9:$D$18,I1009)&amp;"."&amp;IF(J1009&lt;=K1009,J1009,IF(J1009=K1009+1,200,IF(J1009=K1009+2,201,250)))&amp;".250",""))</f>
        <v/>
      </c>
      <c r="G1009" s="0" t="str">
        <f aca="false">IF(I1009="","",IF(AND(J1009&gt;=1,J1009&lt;=K1009),Eingabe!$B$6&amp;"-"&amp;INDEX(Eingabe!$C$9:$C$18,I1009)&amp;"-Pächter  ·  Passwort Parzelle "&amp;J1009,IF(J1009=K1009+1,Eingabe!$B$6&amp;"-"&amp;INDEX(Eingabe!$C$9:$C$18,I1009)&amp;"-Vorstand  ·  eigenes WLAN",IF(J1009=K1009+2,Eingabe!$B$6&amp;"-"&amp;INDEX(Eingabe!$C$9:$C$18,I1009)&amp;"-Gäste  ·  Voucher",IF(J1009=K1009+3,"Kabel  ·  Access Point y = .(50+y), Mast-Switch x = .(10+x)","")))))</f>
        <v/>
      </c>
      <c r="I1009" s="0" t="str">
        <f aca="false">IF(1004&lt;=(Eingabe!$P$18+Eingabe!$Q$18-1),MATCH(1004,Eingabe!$P$9:$P$18,1),"")</f>
        <v/>
      </c>
      <c r="J1009" s="0" t="str">
        <f aca="false">IF(I1009="","",1004-INDEX(Eingabe!$P$9:$P$18,I1009))</f>
        <v/>
      </c>
      <c r="K1009" s="0" t="str">
        <f aca="false">IF(I1009="","",INDEX(Eingabe!$E$9:$E$18,I1009))</f>
        <v/>
      </c>
    </row>
    <row r="1010" customFormat="false" ht="15" hidden="false" customHeight="false" outlineLevel="0" collapsed="false">
      <c r="A1010" s="0" t="str">
        <f aca="false">IF(I1010="","",IF(J1010=0,"Sparte "&amp;I1010&amp;": "&amp;INDEX(Eingabe!$B$9:$B$18,I1010)&amp;"  (Sparten-ID "&amp;INDEX(Eingabe!$D$9:$D$18,I1010)&amp;", "&amp;K1010&amp;" Parzellen)",IF(J1010&lt;=K1010,"   Parzelle "&amp;J1010,IF(J1010=K1010+1,"   Vorstand",IF(J1010=K1010+2,"   Gäste",IF(J1010=K1010+3,"   Technik (Switches, Access Points)",""))))))</f>
        <v/>
      </c>
      <c r="B1010" s="0" t="str">
        <f aca="false">IF(I1010="","",IF(AND(J1010&gt;=1,J1010&lt;=K1010+3),IF(J1010&lt;=K1010,IF(J1010&lt;=99,IF((INDEX(Eingabe!$G$9:$G$18,I1010))&lt;=9,1000+(INDEX(Eingabe!$G$9:$G$18,I1010))*100,3000)+J1010,IF((INDEX(Eingabe!$G$9:$G$18,I1010)+1)&lt;=9,1000+(INDEX(Eingabe!$G$9:$G$18,I1010)+1)*100,3000)+J1010-100),IF(J1010=K1010+1,2000+INDEX(Eingabe!$G$9:$G$18,I1010)*10+1,IF(J1010=K1010+2,2000+INDEX(Eingabe!$G$9:$G$18,I1010)*10+2,2000+INDEX(Eingabe!$G$9:$G$18,I1010)*10+9))),""))</f>
        <v/>
      </c>
      <c r="C1010" s="0" t="str">
        <f aca="false">IF(I1010="","",IF(AND(J1010&gt;=1,J1010&lt;=K1010+3),"10."&amp;INDEX(Eingabe!$D$9:$D$18,I1010)&amp;"."&amp;IF(J1010&lt;=K1010,J1010,IF(J1010=K1010+1,200,IF(J1010=K1010+2,201,250)))&amp;".0/24",""))</f>
        <v/>
      </c>
      <c r="D1010" s="0" t="str">
        <f aca="false">IF(I1010="","",IF(AND(J1010&gt;=1,J1010&lt;=K1010+3),"255.255.255.0",""))</f>
        <v/>
      </c>
      <c r="E1010" s="0" t="str">
        <f aca="false">IF(I1010="","",IF(AND(J1010&gt;=1,J1010&lt;=K1010+3),"10."&amp;INDEX(Eingabe!$D$9:$D$18,I1010)&amp;"."&amp;IF(J1010&lt;=K1010,J1010,IF(J1010=K1010+1,200,IF(J1010=K1010+2,201,250)))&amp;".1",""))</f>
        <v/>
      </c>
      <c r="F1010" s="0" t="str">
        <f aca="false">IF(I1010="","",IF(AND(J1010&gt;=1,J1010&lt;=K1010+3),"10."&amp;INDEX(Eingabe!$D$9:$D$18,I1010)&amp;"."&amp;IF(J1010&lt;=K1010,J1010,IF(J1010=K1010+1,200,IF(J1010=K1010+2,201,250)))&amp;".10 – 10."&amp;INDEX(Eingabe!$D$9:$D$18,I1010)&amp;"."&amp;IF(J1010&lt;=K1010,J1010,IF(J1010=K1010+1,200,IF(J1010=K1010+2,201,250)))&amp;".250",""))</f>
        <v/>
      </c>
      <c r="G1010" s="0" t="str">
        <f aca="false">IF(I1010="","",IF(AND(J1010&gt;=1,J1010&lt;=K1010),Eingabe!$B$6&amp;"-"&amp;INDEX(Eingabe!$C$9:$C$18,I1010)&amp;"-Pächter  ·  Passwort Parzelle "&amp;J1010,IF(J1010=K1010+1,Eingabe!$B$6&amp;"-"&amp;INDEX(Eingabe!$C$9:$C$18,I1010)&amp;"-Vorstand  ·  eigenes WLAN",IF(J1010=K1010+2,Eingabe!$B$6&amp;"-"&amp;INDEX(Eingabe!$C$9:$C$18,I1010)&amp;"-Gäste  ·  Voucher",IF(J1010=K1010+3,"Kabel  ·  Access Point y = .(50+y), Mast-Switch x = .(10+x)","")))))</f>
        <v/>
      </c>
      <c r="I1010" s="0" t="str">
        <f aca="false">IF(1005&lt;=(Eingabe!$P$18+Eingabe!$Q$18-1),MATCH(1005,Eingabe!$P$9:$P$18,1),"")</f>
        <v/>
      </c>
      <c r="J1010" s="0" t="str">
        <f aca="false">IF(I1010="","",1005-INDEX(Eingabe!$P$9:$P$18,I1010))</f>
        <v/>
      </c>
      <c r="K1010" s="0" t="str">
        <f aca="false">IF(I1010="","",INDEX(Eingabe!$E$9:$E$18,I1010))</f>
        <v/>
      </c>
    </row>
    <row r="1011" customFormat="false" ht="15" hidden="false" customHeight="false" outlineLevel="0" collapsed="false">
      <c r="A1011" s="0" t="str">
        <f aca="false">IF(I1011="","",IF(J1011=0,"Sparte "&amp;I1011&amp;": "&amp;INDEX(Eingabe!$B$9:$B$18,I1011)&amp;"  (Sparten-ID "&amp;INDEX(Eingabe!$D$9:$D$18,I1011)&amp;", "&amp;K1011&amp;" Parzellen)",IF(J1011&lt;=K1011,"   Parzelle "&amp;J1011,IF(J1011=K1011+1,"   Vorstand",IF(J1011=K1011+2,"   Gäste",IF(J1011=K1011+3,"   Technik (Switches, Access Points)",""))))))</f>
        <v/>
      </c>
      <c r="B1011" s="0" t="str">
        <f aca="false">IF(I1011="","",IF(AND(J1011&gt;=1,J1011&lt;=K1011+3),IF(J1011&lt;=K1011,IF(J1011&lt;=99,IF((INDEX(Eingabe!$G$9:$G$18,I1011))&lt;=9,1000+(INDEX(Eingabe!$G$9:$G$18,I1011))*100,3000)+J1011,IF((INDEX(Eingabe!$G$9:$G$18,I1011)+1)&lt;=9,1000+(INDEX(Eingabe!$G$9:$G$18,I1011)+1)*100,3000)+J1011-100),IF(J1011=K1011+1,2000+INDEX(Eingabe!$G$9:$G$18,I1011)*10+1,IF(J1011=K1011+2,2000+INDEX(Eingabe!$G$9:$G$18,I1011)*10+2,2000+INDEX(Eingabe!$G$9:$G$18,I1011)*10+9))),""))</f>
        <v/>
      </c>
      <c r="C1011" s="0" t="str">
        <f aca="false">IF(I1011="","",IF(AND(J1011&gt;=1,J1011&lt;=K1011+3),"10."&amp;INDEX(Eingabe!$D$9:$D$18,I1011)&amp;"."&amp;IF(J1011&lt;=K1011,J1011,IF(J1011=K1011+1,200,IF(J1011=K1011+2,201,250)))&amp;".0/24",""))</f>
        <v/>
      </c>
      <c r="D1011" s="0" t="str">
        <f aca="false">IF(I1011="","",IF(AND(J1011&gt;=1,J1011&lt;=K1011+3),"255.255.255.0",""))</f>
        <v/>
      </c>
      <c r="E1011" s="0" t="str">
        <f aca="false">IF(I1011="","",IF(AND(J1011&gt;=1,J1011&lt;=K1011+3),"10."&amp;INDEX(Eingabe!$D$9:$D$18,I1011)&amp;"."&amp;IF(J1011&lt;=K1011,J1011,IF(J1011=K1011+1,200,IF(J1011=K1011+2,201,250)))&amp;".1",""))</f>
        <v/>
      </c>
      <c r="F1011" s="0" t="str">
        <f aca="false">IF(I1011="","",IF(AND(J1011&gt;=1,J1011&lt;=K1011+3),"10."&amp;INDEX(Eingabe!$D$9:$D$18,I1011)&amp;"."&amp;IF(J1011&lt;=K1011,J1011,IF(J1011=K1011+1,200,IF(J1011=K1011+2,201,250)))&amp;".10 – 10."&amp;INDEX(Eingabe!$D$9:$D$18,I1011)&amp;"."&amp;IF(J1011&lt;=K1011,J1011,IF(J1011=K1011+1,200,IF(J1011=K1011+2,201,250)))&amp;".250",""))</f>
        <v/>
      </c>
      <c r="G1011" s="0" t="str">
        <f aca="false">IF(I1011="","",IF(AND(J1011&gt;=1,J1011&lt;=K1011),Eingabe!$B$6&amp;"-"&amp;INDEX(Eingabe!$C$9:$C$18,I1011)&amp;"-Pächter  ·  Passwort Parzelle "&amp;J1011,IF(J1011=K1011+1,Eingabe!$B$6&amp;"-"&amp;INDEX(Eingabe!$C$9:$C$18,I1011)&amp;"-Vorstand  ·  eigenes WLAN",IF(J1011=K1011+2,Eingabe!$B$6&amp;"-"&amp;INDEX(Eingabe!$C$9:$C$18,I1011)&amp;"-Gäste  ·  Voucher",IF(J1011=K1011+3,"Kabel  ·  Access Point y = .(50+y), Mast-Switch x = .(10+x)","")))))</f>
        <v/>
      </c>
      <c r="I1011" s="0" t="str">
        <f aca="false">IF(1006&lt;=(Eingabe!$P$18+Eingabe!$Q$18-1),MATCH(1006,Eingabe!$P$9:$P$18,1),"")</f>
        <v/>
      </c>
      <c r="J1011" s="0" t="str">
        <f aca="false">IF(I1011="","",1006-INDEX(Eingabe!$P$9:$P$18,I1011))</f>
        <v/>
      </c>
      <c r="K1011" s="0" t="str">
        <f aca="false">IF(I1011="","",INDEX(Eingabe!$E$9:$E$18,I1011))</f>
        <v/>
      </c>
    </row>
    <row r="1012" customFormat="false" ht="15" hidden="false" customHeight="false" outlineLevel="0" collapsed="false">
      <c r="A1012" s="0" t="str">
        <f aca="false">IF(I1012="","",IF(J1012=0,"Sparte "&amp;I1012&amp;": "&amp;INDEX(Eingabe!$B$9:$B$18,I1012)&amp;"  (Sparten-ID "&amp;INDEX(Eingabe!$D$9:$D$18,I1012)&amp;", "&amp;K1012&amp;" Parzellen)",IF(J1012&lt;=K1012,"   Parzelle "&amp;J1012,IF(J1012=K1012+1,"   Vorstand",IF(J1012=K1012+2,"   Gäste",IF(J1012=K1012+3,"   Technik (Switches, Access Points)",""))))))</f>
        <v/>
      </c>
      <c r="B1012" s="0" t="str">
        <f aca="false">IF(I1012="","",IF(AND(J1012&gt;=1,J1012&lt;=K1012+3),IF(J1012&lt;=K1012,IF(J1012&lt;=99,IF((INDEX(Eingabe!$G$9:$G$18,I1012))&lt;=9,1000+(INDEX(Eingabe!$G$9:$G$18,I1012))*100,3000)+J1012,IF((INDEX(Eingabe!$G$9:$G$18,I1012)+1)&lt;=9,1000+(INDEX(Eingabe!$G$9:$G$18,I1012)+1)*100,3000)+J1012-100),IF(J1012=K1012+1,2000+INDEX(Eingabe!$G$9:$G$18,I1012)*10+1,IF(J1012=K1012+2,2000+INDEX(Eingabe!$G$9:$G$18,I1012)*10+2,2000+INDEX(Eingabe!$G$9:$G$18,I1012)*10+9))),""))</f>
        <v/>
      </c>
      <c r="C1012" s="0" t="str">
        <f aca="false">IF(I1012="","",IF(AND(J1012&gt;=1,J1012&lt;=K1012+3),"10."&amp;INDEX(Eingabe!$D$9:$D$18,I1012)&amp;"."&amp;IF(J1012&lt;=K1012,J1012,IF(J1012=K1012+1,200,IF(J1012=K1012+2,201,250)))&amp;".0/24",""))</f>
        <v/>
      </c>
      <c r="D1012" s="0" t="str">
        <f aca="false">IF(I1012="","",IF(AND(J1012&gt;=1,J1012&lt;=K1012+3),"255.255.255.0",""))</f>
        <v/>
      </c>
      <c r="E1012" s="0" t="str">
        <f aca="false">IF(I1012="","",IF(AND(J1012&gt;=1,J1012&lt;=K1012+3),"10."&amp;INDEX(Eingabe!$D$9:$D$18,I1012)&amp;"."&amp;IF(J1012&lt;=K1012,J1012,IF(J1012=K1012+1,200,IF(J1012=K1012+2,201,250)))&amp;".1",""))</f>
        <v/>
      </c>
      <c r="F1012" s="0" t="str">
        <f aca="false">IF(I1012="","",IF(AND(J1012&gt;=1,J1012&lt;=K1012+3),"10."&amp;INDEX(Eingabe!$D$9:$D$18,I1012)&amp;"."&amp;IF(J1012&lt;=K1012,J1012,IF(J1012=K1012+1,200,IF(J1012=K1012+2,201,250)))&amp;".10 – 10."&amp;INDEX(Eingabe!$D$9:$D$18,I1012)&amp;"."&amp;IF(J1012&lt;=K1012,J1012,IF(J1012=K1012+1,200,IF(J1012=K1012+2,201,250)))&amp;".250",""))</f>
        <v/>
      </c>
      <c r="G1012" s="0" t="str">
        <f aca="false">IF(I1012="","",IF(AND(J1012&gt;=1,J1012&lt;=K1012),Eingabe!$B$6&amp;"-"&amp;INDEX(Eingabe!$C$9:$C$18,I1012)&amp;"-Pächter  ·  Passwort Parzelle "&amp;J1012,IF(J1012=K1012+1,Eingabe!$B$6&amp;"-"&amp;INDEX(Eingabe!$C$9:$C$18,I1012)&amp;"-Vorstand  ·  eigenes WLAN",IF(J1012=K1012+2,Eingabe!$B$6&amp;"-"&amp;INDEX(Eingabe!$C$9:$C$18,I1012)&amp;"-Gäste  ·  Voucher",IF(J1012=K1012+3,"Kabel  ·  Access Point y = .(50+y), Mast-Switch x = .(10+x)","")))))</f>
        <v/>
      </c>
      <c r="I1012" s="0" t="str">
        <f aca="false">IF(1007&lt;=(Eingabe!$P$18+Eingabe!$Q$18-1),MATCH(1007,Eingabe!$P$9:$P$18,1),"")</f>
        <v/>
      </c>
      <c r="J1012" s="0" t="str">
        <f aca="false">IF(I1012="","",1007-INDEX(Eingabe!$P$9:$P$18,I1012))</f>
        <v/>
      </c>
      <c r="K1012" s="0" t="str">
        <f aca="false">IF(I1012="","",INDEX(Eingabe!$E$9:$E$18,I1012))</f>
        <v/>
      </c>
    </row>
    <row r="1013" customFormat="false" ht="15" hidden="false" customHeight="false" outlineLevel="0" collapsed="false">
      <c r="A1013" s="0" t="str">
        <f aca="false">IF(I1013="","",IF(J1013=0,"Sparte "&amp;I1013&amp;": "&amp;INDEX(Eingabe!$B$9:$B$18,I1013)&amp;"  (Sparten-ID "&amp;INDEX(Eingabe!$D$9:$D$18,I1013)&amp;", "&amp;K1013&amp;" Parzellen)",IF(J1013&lt;=K1013,"   Parzelle "&amp;J1013,IF(J1013=K1013+1,"   Vorstand",IF(J1013=K1013+2,"   Gäste",IF(J1013=K1013+3,"   Technik (Switches, Access Points)",""))))))</f>
        <v/>
      </c>
      <c r="B1013" s="0" t="str">
        <f aca="false">IF(I1013="","",IF(AND(J1013&gt;=1,J1013&lt;=K1013+3),IF(J1013&lt;=K1013,IF(J1013&lt;=99,IF((INDEX(Eingabe!$G$9:$G$18,I1013))&lt;=9,1000+(INDEX(Eingabe!$G$9:$G$18,I1013))*100,3000)+J1013,IF((INDEX(Eingabe!$G$9:$G$18,I1013)+1)&lt;=9,1000+(INDEX(Eingabe!$G$9:$G$18,I1013)+1)*100,3000)+J1013-100),IF(J1013=K1013+1,2000+INDEX(Eingabe!$G$9:$G$18,I1013)*10+1,IF(J1013=K1013+2,2000+INDEX(Eingabe!$G$9:$G$18,I1013)*10+2,2000+INDEX(Eingabe!$G$9:$G$18,I1013)*10+9))),""))</f>
        <v/>
      </c>
      <c r="C1013" s="0" t="str">
        <f aca="false">IF(I1013="","",IF(AND(J1013&gt;=1,J1013&lt;=K1013+3),"10."&amp;INDEX(Eingabe!$D$9:$D$18,I1013)&amp;"."&amp;IF(J1013&lt;=K1013,J1013,IF(J1013=K1013+1,200,IF(J1013=K1013+2,201,250)))&amp;".0/24",""))</f>
        <v/>
      </c>
      <c r="D1013" s="0" t="str">
        <f aca="false">IF(I1013="","",IF(AND(J1013&gt;=1,J1013&lt;=K1013+3),"255.255.255.0",""))</f>
        <v/>
      </c>
      <c r="E1013" s="0" t="str">
        <f aca="false">IF(I1013="","",IF(AND(J1013&gt;=1,J1013&lt;=K1013+3),"10."&amp;INDEX(Eingabe!$D$9:$D$18,I1013)&amp;"."&amp;IF(J1013&lt;=K1013,J1013,IF(J1013=K1013+1,200,IF(J1013=K1013+2,201,250)))&amp;".1",""))</f>
        <v/>
      </c>
      <c r="F1013" s="0" t="str">
        <f aca="false">IF(I1013="","",IF(AND(J1013&gt;=1,J1013&lt;=K1013+3),"10."&amp;INDEX(Eingabe!$D$9:$D$18,I1013)&amp;"."&amp;IF(J1013&lt;=K1013,J1013,IF(J1013=K1013+1,200,IF(J1013=K1013+2,201,250)))&amp;".10 – 10."&amp;INDEX(Eingabe!$D$9:$D$18,I1013)&amp;"."&amp;IF(J1013&lt;=K1013,J1013,IF(J1013=K1013+1,200,IF(J1013=K1013+2,201,250)))&amp;".250",""))</f>
        <v/>
      </c>
      <c r="G1013" s="0" t="str">
        <f aca="false">IF(I1013="","",IF(AND(J1013&gt;=1,J1013&lt;=K1013),Eingabe!$B$6&amp;"-"&amp;INDEX(Eingabe!$C$9:$C$18,I1013)&amp;"-Pächter  ·  Passwort Parzelle "&amp;J1013,IF(J1013=K1013+1,Eingabe!$B$6&amp;"-"&amp;INDEX(Eingabe!$C$9:$C$18,I1013)&amp;"-Vorstand  ·  eigenes WLAN",IF(J1013=K1013+2,Eingabe!$B$6&amp;"-"&amp;INDEX(Eingabe!$C$9:$C$18,I1013)&amp;"-Gäste  ·  Voucher",IF(J1013=K1013+3,"Kabel  ·  Access Point y = .(50+y), Mast-Switch x = .(10+x)","")))))</f>
        <v/>
      </c>
      <c r="I1013" s="0" t="str">
        <f aca="false">IF(1008&lt;=(Eingabe!$P$18+Eingabe!$Q$18-1),MATCH(1008,Eingabe!$P$9:$P$18,1),"")</f>
        <v/>
      </c>
      <c r="J1013" s="0" t="str">
        <f aca="false">IF(I1013="","",1008-INDEX(Eingabe!$P$9:$P$18,I1013))</f>
        <v/>
      </c>
      <c r="K1013" s="0" t="str">
        <f aca="false">IF(I1013="","",INDEX(Eingabe!$E$9:$E$18,I1013))</f>
        <v/>
      </c>
    </row>
    <row r="1014" customFormat="false" ht="15" hidden="false" customHeight="false" outlineLevel="0" collapsed="false">
      <c r="A1014" s="0" t="str">
        <f aca="false">IF(I1014="","",IF(J1014=0,"Sparte "&amp;I1014&amp;": "&amp;INDEX(Eingabe!$B$9:$B$18,I1014)&amp;"  (Sparten-ID "&amp;INDEX(Eingabe!$D$9:$D$18,I1014)&amp;", "&amp;K1014&amp;" Parzellen)",IF(J1014&lt;=K1014,"   Parzelle "&amp;J1014,IF(J1014=K1014+1,"   Vorstand",IF(J1014=K1014+2,"   Gäste",IF(J1014=K1014+3,"   Technik (Switches, Access Points)",""))))))</f>
        <v/>
      </c>
      <c r="B1014" s="0" t="str">
        <f aca="false">IF(I1014="","",IF(AND(J1014&gt;=1,J1014&lt;=K1014+3),IF(J1014&lt;=K1014,IF(J1014&lt;=99,IF((INDEX(Eingabe!$G$9:$G$18,I1014))&lt;=9,1000+(INDEX(Eingabe!$G$9:$G$18,I1014))*100,3000)+J1014,IF((INDEX(Eingabe!$G$9:$G$18,I1014)+1)&lt;=9,1000+(INDEX(Eingabe!$G$9:$G$18,I1014)+1)*100,3000)+J1014-100),IF(J1014=K1014+1,2000+INDEX(Eingabe!$G$9:$G$18,I1014)*10+1,IF(J1014=K1014+2,2000+INDEX(Eingabe!$G$9:$G$18,I1014)*10+2,2000+INDEX(Eingabe!$G$9:$G$18,I1014)*10+9))),""))</f>
        <v/>
      </c>
      <c r="C1014" s="0" t="str">
        <f aca="false">IF(I1014="","",IF(AND(J1014&gt;=1,J1014&lt;=K1014+3),"10."&amp;INDEX(Eingabe!$D$9:$D$18,I1014)&amp;"."&amp;IF(J1014&lt;=K1014,J1014,IF(J1014=K1014+1,200,IF(J1014=K1014+2,201,250)))&amp;".0/24",""))</f>
        <v/>
      </c>
      <c r="D1014" s="0" t="str">
        <f aca="false">IF(I1014="","",IF(AND(J1014&gt;=1,J1014&lt;=K1014+3),"255.255.255.0",""))</f>
        <v/>
      </c>
      <c r="E1014" s="0" t="str">
        <f aca="false">IF(I1014="","",IF(AND(J1014&gt;=1,J1014&lt;=K1014+3),"10."&amp;INDEX(Eingabe!$D$9:$D$18,I1014)&amp;"."&amp;IF(J1014&lt;=K1014,J1014,IF(J1014=K1014+1,200,IF(J1014=K1014+2,201,250)))&amp;".1",""))</f>
        <v/>
      </c>
      <c r="F1014" s="0" t="str">
        <f aca="false">IF(I1014="","",IF(AND(J1014&gt;=1,J1014&lt;=K1014+3),"10."&amp;INDEX(Eingabe!$D$9:$D$18,I1014)&amp;"."&amp;IF(J1014&lt;=K1014,J1014,IF(J1014=K1014+1,200,IF(J1014=K1014+2,201,250)))&amp;".10 – 10."&amp;INDEX(Eingabe!$D$9:$D$18,I1014)&amp;"."&amp;IF(J1014&lt;=K1014,J1014,IF(J1014=K1014+1,200,IF(J1014=K1014+2,201,250)))&amp;".250",""))</f>
        <v/>
      </c>
      <c r="G1014" s="0" t="str">
        <f aca="false">IF(I1014="","",IF(AND(J1014&gt;=1,J1014&lt;=K1014),Eingabe!$B$6&amp;"-"&amp;INDEX(Eingabe!$C$9:$C$18,I1014)&amp;"-Pächter  ·  Passwort Parzelle "&amp;J1014,IF(J1014=K1014+1,Eingabe!$B$6&amp;"-"&amp;INDEX(Eingabe!$C$9:$C$18,I1014)&amp;"-Vorstand  ·  eigenes WLAN",IF(J1014=K1014+2,Eingabe!$B$6&amp;"-"&amp;INDEX(Eingabe!$C$9:$C$18,I1014)&amp;"-Gäste  ·  Voucher",IF(J1014=K1014+3,"Kabel  ·  Access Point y = .(50+y), Mast-Switch x = .(10+x)","")))))</f>
        <v/>
      </c>
      <c r="I1014" s="0" t="str">
        <f aca="false">IF(1009&lt;=(Eingabe!$P$18+Eingabe!$Q$18-1),MATCH(1009,Eingabe!$P$9:$P$18,1),"")</f>
        <v/>
      </c>
      <c r="J1014" s="0" t="str">
        <f aca="false">IF(I1014="","",1009-INDEX(Eingabe!$P$9:$P$18,I1014))</f>
        <v/>
      </c>
      <c r="K1014" s="0" t="str">
        <f aca="false">IF(I1014="","",INDEX(Eingabe!$E$9:$E$18,I1014))</f>
        <v/>
      </c>
    </row>
    <row r="1015" customFormat="false" ht="15" hidden="false" customHeight="false" outlineLevel="0" collapsed="false">
      <c r="A1015" s="0" t="str">
        <f aca="false">IF(I1015="","",IF(J1015=0,"Sparte "&amp;I1015&amp;": "&amp;INDEX(Eingabe!$B$9:$B$18,I1015)&amp;"  (Sparten-ID "&amp;INDEX(Eingabe!$D$9:$D$18,I1015)&amp;", "&amp;K1015&amp;" Parzellen)",IF(J1015&lt;=K1015,"   Parzelle "&amp;J1015,IF(J1015=K1015+1,"   Vorstand",IF(J1015=K1015+2,"   Gäste",IF(J1015=K1015+3,"   Technik (Switches, Access Points)",""))))))</f>
        <v/>
      </c>
      <c r="B1015" s="0" t="str">
        <f aca="false">IF(I1015="","",IF(AND(J1015&gt;=1,J1015&lt;=K1015+3),IF(J1015&lt;=K1015,IF(J1015&lt;=99,IF((INDEX(Eingabe!$G$9:$G$18,I1015))&lt;=9,1000+(INDEX(Eingabe!$G$9:$G$18,I1015))*100,3000)+J1015,IF((INDEX(Eingabe!$G$9:$G$18,I1015)+1)&lt;=9,1000+(INDEX(Eingabe!$G$9:$G$18,I1015)+1)*100,3000)+J1015-100),IF(J1015=K1015+1,2000+INDEX(Eingabe!$G$9:$G$18,I1015)*10+1,IF(J1015=K1015+2,2000+INDEX(Eingabe!$G$9:$G$18,I1015)*10+2,2000+INDEX(Eingabe!$G$9:$G$18,I1015)*10+9))),""))</f>
        <v/>
      </c>
      <c r="C1015" s="0" t="str">
        <f aca="false">IF(I1015="","",IF(AND(J1015&gt;=1,J1015&lt;=K1015+3),"10."&amp;INDEX(Eingabe!$D$9:$D$18,I1015)&amp;"."&amp;IF(J1015&lt;=K1015,J1015,IF(J1015=K1015+1,200,IF(J1015=K1015+2,201,250)))&amp;".0/24",""))</f>
        <v/>
      </c>
      <c r="D1015" s="0" t="str">
        <f aca="false">IF(I1015="","",IF(AND(J1015&gt;=1,J1015&lt;=K1015+3),"255.255.255.0",""))</f>
        <v/>
      </c>
      <c r="E1015" s="0" t="str">
        <f aca="false">IF(I1015="","",IF(AND(J1015&gt;=1,J1015&lt;=K1015+3),"10."&amp;INDEX(Eingabe!$D$9:$D$18,I1015)&amp;"."&amp;IF(J1015&lt;=K1015,J1015,IF(J1015=K1015+1,200,IF(J1015=K1015+2,201,250)))&amp;".1",""))</f>
        <v/>
      </c>
      <c r="F1015" s="0" t="str">
        <f aca="false">IF(I1015="","",IF(AND(J1015&gt;=1,J1015&lt;=K1015+3),"10."&amp;INDEX(Eingabe!$D$9:$D$18,I1015)&amp;"."&amp;IF(J1015&lt;=K1015,J1015,IF(J1015=K1015+1,200,IF(J1015=K1015+2,201,250)))&amp;".10 – 10."&amp;INDEX(Eingabe!$D$9:$D$18,I1015)&amp;"."&amp;IF(J1015&lt;=K1015,J1015,IF(J1015=K1015+1,200,IF(J1015=K1015+2,201,250)))&amp;".250",""))</f>
        <v/>
      </c>
      <c r="G1015" s="0" t="str">
        <f aca="false">IF(I1015="","",IF(AND(J1015&gt;=1,J1015&lt;=K1015),Eingabe!$B$6&amp;"-"&amp;INDEX(Eingabe!$C$9:$C$18,I1015)&amp;"-Pächter  ·  Passwort Parzelle "&amp;J1015,IF(J1015=K1015+1,Eingabe!$B$6&amp;"-"&amp;INDEX(Eingabe!$C$9:$C$18,I1015)&amp;"-Vorstand  ·  eigenes WLAN",IF(J1015=K1015+2,Eingabe!$B$6&amp;"-"&amp;INDEX(Eingabe!$C$9:$C$18,I1015)&amp;"-Gäste  ·  Voucher",IF(J1015=K1015+3,"Kabel  ·  Access Point y = .(50+y), Mast-Switch x = .(10+x)","")))))</f>
        <v/>
      </c>
      <c r="I1015" s="0" t="str">
        <f aca="false">IF(1010&lt;=(Eingabe!$P$18+Eingabe!$Q$18-1),MATCH(1010,Eingabe!$P$9:$P$18,1),"")</f>
        <v/>
      </c>
      <c r="J1015" s="0" t="str">
        <f aca="false">IF(I1015="","",1010-INDEX(Eingabe!$P$9:$P$18,I1015))</f>
        <v/>
      </c>
      <c r="K1015" s="0" t="str">
        <f aca="false">IF(I1015="","",INDEX(Eingabe!$E$9:$E$18,I1015))</f>
        <v/>
      </c>
    </row>
    <row r="1016" customFormat="false" ht="15" hidden="false" customHeight="false" outlineLevel="0" collapsed="false">
      <c r="A1016" s="0" t="str">
        <f aca="false">IF(I1016="","",IF(J1016=0,"Sparte "&amp;I1016&amp;": "&amp;INDEX(Eingabe!$B$9:$B$18,I1016)&amp;"  (Sparten-ID "&amp;INDEX(Eingabe!$D$9:$D$18,I1016)&amp;", "&amp;K1016&amp;" Parzellen)",IF(J1016&lt;=K1016,"   Parzelle "&amp;J1016,IF(J1016=K1016+1,"   Vorstand",IF(J1016=K1016+2,"   Gäste",IF(J1016=K1016+3,"   Technik (Switches, Access Points)",""))))))</f>
        <v/>
      </c>
      <c r="B1016" s="0" t="str">
        <f aca="false">IF(I1016="","",IF(AND(J1016&gt;=1,J1016&lt;=K1016+3),IF(J1016&lt;=K1016,IF(J1016&lt;=99,IF((INDEX(Eingabe!$G$9:$G$18,I1016))&lt;=9,1000+(INDEX(Eingabe!$G$9:$G$18,I1016))*100,3000)+J1016,IF((INDEX(Eingabe!$G$9:$G$18,I1016)+1)&lt;=9,1000+(INDEX(Eingabe!$G$9:$G$18,I1016)+1)*100,3000)+J1016-100),IF(J1016=K1016+1,2000+INDEX(Eingabe!$G$9:$G$18,I1016)*10+1,IF(J1016=K1016+2,2000+INDEX(Eingabe!$G$9:$G$18,I1016)*10+2,2000+INDEX(Eingabe!$G$9:$G$18,I1016)*10+9))),""))</f>
        <v/>
      </c>
      <c r="C1016" s="0" t="str">
        <f aca="false">IF(I1016="","",IF(AND(J1016&gt;=1,J1016&lt;=K1016+3),"10."&amp;INDEX(Eingabe!$D$9:$D$18,I1016)&amp;"."&amp;IF(J1016&lt;=K1016,J1016,IF(J1016=K1016+1,200,IF(J1016=K1016+2,201,250)))&amp;".0/24",""))</f>
        <v/>
      </c>
      <c r="D1016" s="0" t="str">
        <f aca="false">IF(I1016="","",IF(AND(J1016&gt;=1,J1016&lt;=K1016+3),"255.255.255.0",""))</f>
        <v/>
      </c>
      <c r="E1016" s="0" t="str">
        <f aca="false">IF(I1016="","",IF(AND(J1016&gt;=1,J1016&lt;=K1016+3),"10."&amp;INDEX(Eingabe!$D$9:$D$18,I1016)&amp;"."&amp;IF(J1016&lt;=K1016,J1016,IF(J1016=K1016+1,200,IF(J1016=K1016+2,201,250)))&amp;".1",""))</f>
        <v/>
      </c>
      <c r="F1016" s="0" t="str">
        <f aca="false">IF(I1016="","",IF(AND(J1016&gt;=1,J1016&lt;=K1016+3),"10."&amp;INDEX(Eingabe!$D$9:$D$18,I1016)&amp;"."&amp;IF(J1016&lt;=K1016,J1016,IF(J1016=K1016+1,200,IF(J1016=K1016+2,201,250)))&amp;".10 – 10."&amp;INDEX(Eingabe!$D$9:$D$18,I1016)&amp;"."&amp;IF(J1016&lt;=K1016,J1016,IF(J1016=K1016+1,200,IF(J1016=K1016+2,201,250)))&amp;".250",""))</f>
        <v/>
      </c>
      <c r="G1016" s="0" t="str">
        <f aca="false">IF(I1016="","",IF(AND(J1016&gt;=1,J1016&lt;=K1016),Eingabe!$B$6&amp;"-"&amp;INDEX(Eingabe!$C$9:$C$18,I1016)&amp;"-Pächter  ·  Passwort Parzelle "&amp;J1016,IF(J1016=K1016+1,Eingabe!$B$6&amp;"-"&amp;INDEX(Eingabe!$C$9:$C$18,I1016)&amp;"-Vorstand  ·  eigenes WLAN",IF(J1016=K1016+2,Eingabe!$B$6&amp;"-"&amp;INDEX(Eingabe!$C$9:$C$18,I1016)&amp;"-Gäste  ·  Voucher",IF(J1016=K1016+3,"Kabel  ·  Access Point y = .(50+y), Mast-Switch x = .(10+x)","")))))</f>
        <v/>
      </c>
      <c r="I1016" s="0" t="str">
        <f aca="false">IF(1011&lt;=(Eingabe!$P$18+Eingabe!$Q$18-1),MATCH(1011,Eingabe!$P$9:$P$18,1),"")</f>
        <v/>
      </c>
      <c r="J1016" s="0" t="str">
        <f aca="false">IF(I1016="","",1011-INDEX(Eingabe!$P$9:$P$18,I1016))</f>
        <v/>
      </c>
      <c r="K1016" s="0" t="str">
        <f aca="false">IF(I1016="","",INDEX(Eingabe!$E$9:$E$18,I1016))</f>
        <v/>
      </c>
    </row>
    <row r="1017" customFormat="false" ht="15" hidden="false" customHeight="false" outlineLevel="0" collapsed="false">
      <c r="A1017" s="0" t="str">
        <f aca="false">IF(I1017="","",IF(J1017=0,"Sparte "&amp;I1017&amp;": "&amp;INDEX(Eingabe!$B$9:$B$18,I1017)&amp;"  (Sparten-ID "&amp;INDEX(Eingabe!$D$9:$D$18,I1017)&amp;", "&amp;K1017&amp;" Parzellen)",IF(J1017&lt;=K1017,"   Parzelle "&amp;J1017,IF(J1017=K1017+1,"   Vorstand",IF(J1017=K1017+2,"   Gäste",IF(J1017=K1017+3,"   Technik (Switches, Access Points)",""))))))</f>
        <v/>
      </c>
      <c r="B1017" s="0" t="str">
        <f aca="false">IF(I1017="","",IF(AND(J1017&gt;=1,J1017&lt;=K1017+3),IF(J1017&lt;=K1017,IF(J1017&lt;=99,IF((INDEX(Eingabe!$G$9:$G$18,I1017))&lt;=9,1000+(INDEX(Eingabe!$G$9:$G$18,I1017))*100,3000)+J1017,IF((INDEX(Eingabe!$G$9:$G$18,I1017)+1)&lt;=9,1000+(INDEX(Eingabe!$G$9:$G$18,I1017)+1)*100,3000)+J1017-100),IF(J1017=K1017+1,2000+INDEX(Eingabe!$G$9:$G$18,I1017)*10+1,IF(J1017=K1017+2,2000+INDEX(Eingabe!$G$9:$G$18,I1017)*10+2,2000+INDEX(Eingabe!$G$9:$G$18,I1017)*10+9))),""))</f>
        <v/>
      </c>
      <c r="C1017" s="0" t="str">
        <f aca="false">IF(I1017="","",IF(AND(J1017&gt;=1,J1017&lt;=K1017+3),"10."&amp;INDEX(Eingabe!$D$9:$D$18,I1017)&amp;"."&amp;IF(J1017&lt;=K1017,J1017,IF(J1017=K1017+1,200,IF(J1017=K1017+2,201,250)))&amp;".0/24",""))</f>
        <v/>
      </c>
      <c r="D1017" s="0" t="str">
        <f aca="false">IF(I1017="","",IF(AND(J1017&gt;=1,J1017&lt;=K1017+3),"255.255.255.0",""))</f>
        <v/>
      </c>
      <c r="E1017" s="0" t="str">
        <f aca="false">IF(I1017="","",IF(AND(J1017&gt;=1,J1017&lt;=K1017+3),"10."&amp;INDEX(Eingabe!$D$9:$D$18,I1017)&amp;"."&amp;IF(J1017&lt;=K1017,J1017,IF(J1017=K1017+1,200,IF(J1017=K1017+2,201,250)))&amp;".1",""))</f>
        <v/>
      </c>
      <c r="F1017" s="0" t="str">
        <f aca="false">IF(I1017="","",IF(AND(J1017&gt;=1,J1017&lt;=K1017+3),"10."&amp;INDEX(Eingabe!$D$9:$D$18,I1017)&amp;"."&amp;IF(J1017&lt;=K1017,J1017,IF(J1017=K1017+1,200,IF(J1017=K1017+2,201,250)))&amp;".10 – 10."&amp;INDEX(Eingabe!$D$9:$D$18,I1017)&amp;"."&amp;IF(J1017&lt;=K1017,J1017,IF(J1017=K1017+1,200,IF(J1017=K1017+2,201,250)))&amp;".250",""))</f>
        <v/>
      </c>
      <c r="G1017" s="0" t="str">
        <f aca="false">IF(I1017="","",IF(AND(J1017&gt;=1,J1017&lt;=K1017),Eingabe!$B$6&amp;"-"&amp;INDEX(Eingabe!$C$9:$C$18,I1017)&amp;"-Pächter  ·  Passwort Parzelle "&amp;J1017,IF(J1017=K1017+1,Eingabe!$B$6&amp;"-"&amp;INDEX(Eingabe!$C$9:$C$18,I1017)&amp;"-Vorstand  ·  eigenes WLAN",IF(J1017=K1017+2,Eingabe!$B$6&amp;"-"&amp;INDEX(Eingabe!$C$9:$C$18,I1017)&amp;"-Gäste  ·  Voucher",IF(J1017=K1017+3,"Kabel  ·  Access Point y = .(50+y), Mast-Switch x = .(10+x)","")))))</f>
        <v/>
      </c>
      <c r="I1017" s="0" t="str">
        <f aca="false">IF(1012&lt;=(Eingabe!$P$18+Eingabe!$Q$18-1),MATCH(1012,Eingabe!$P$9:$P$18,1),"")</f>
        <v/>
      </c>
      <c r="J1017" s="0" t="str">
        <f aca="false">IF(I1017="","",1012-INDEX(Eingabe!$P$9:$P$18,I1017))</f>
        <v/>
      </c>
      <c r="K1017" s="0" t="str">
        <f aca="false">IF(I1017="","",INDEX(Eingabe!$E$9:$E$18,I1017))</f>
        <v/>
      </c>
    </row>
    <row r="1018" customFormat="false" ht="15" hidden="false" customHeight="false" outlineLevel="0" collapsed="false">
      <c r="A1018" s="0" t="str">
        <f aca="false">IF(I1018="","",IF(J1018=0,"Sparte "&amp;I1018&amp;": "&amp;INDEX(Eingabe!$B$9:$B$18,I1018)&amp;"  (Sparten-ID "&amp;INDEX(Eingabe!$D$9:$D$18,I1018)&amp;", "&amp;K1018&amp;" Parzellen)",IF(J1018&lt;=K1018,"   Parzelle "&amp;J1018,IF(J1018=K1018+1,"   Vorstand",IF(J1018=K1018+2,"   Gäste",IF(J1018=K1018+3,"   Technik (Switches, Access Points)",""))))))</f>
        <v/>
      </c>
      <c r="B1018" s="0" t="str">
        <f aca="false">IF(I1018="","",IF(AND(J1018&gt;=1,J1018&lt;=K1018+3),IF(J1018&lt;=K1018,IF(J1018&lt;=99,IF((INDEX(Eingabe!$G$9:$G$18,I1018))&lt;=9,1000+(INDEX(Eingabe!$G$9:$G$18,I1018))*100,3000)+J1018,IF((INDEX(Eingabe!$G$9:$G$18,I1018)+1)&lt;=9,1000+(INDEX(Eingabe!$G$9:$G$18,I1018)+1)*100,3000)+J1018-100),IF(J1018=K1018+1,2000+INDEX(Eingabe!$G$9:$G$18,I1018)*10+1,IF(J1018=K1018+2,2000+INDEX(Eingabe!$G$9:$G$18,I1018)*10+2,2000+INDEX(Eingabe!$G$9:$G$18,I1018)*10+9))),""))</f>
        <v/>
      </c>
      <c r="C1018" s="0" t="str">
        <f aca="false">IF(I1018="","",IF(AND(J1018&gt;=1,J1018&lt;=K1018+3),"10."&amp;INDEX(Eingabe!$D$9:$D$18,I1018)&amp;"."&amp;IF(J1018&lt;=K1018,J1018,IF(J1018=K1018+1,200,IF(J1018=K1018+2,201,250)))&amp;".0/24",""))</f>
        <v/>
      </c>
      <c r="D1018" s="0" t="str">
        <f aca="false">IF(I1018="","",IF(AND(J1018&gt;=1,J1018&lt;=K1018+3),"255.255.255.0",""))</f>
        <v/>
      </c>
      <c r="E1018" s="0" t="str">
        <f aca="false">IF(I1018="","",IF(AND(J1018&gt;=1,J1018&lt;=K1018+3),"10."&amp;INDEX(Eingabe!$D$9:$D$18,I1018)&amp;"."&amp;IF(J1018&lt;=K1018,J1018,IF(J1018=K1018+1,200,IF(J1018=K1018+2,201,250)))&amp;".1",""))</f>
        <v/>
      </c>
      <c r="F1018" s="0" t="str">
        <f aca="false">IF(I1018="","",IF(AND(J1018&gt;=1,J1018&lt;=K1018+3),"10."&amp;INDEX(Eingabe!$D$9:$D$18,I1018)&amp;"."&amp;IF(J1018&lt;=K1018,J1018,IF(J1018=K1018+1,200,IF(J1018=K1018+2,201,250)))&amp;".10 – 10."&amp;INDEX(Eingabe!$D$9:$D$18,I1018)&amp;"."&amp;IF(J1018&lt;=K1018,J1018,IF(J1018=K1018+1,200,IF(J1018=K1018+2,201,250)))&amp;".250",""))</f>
        <v/>
      </c>
      <c r="G1018" s="0" t="str">
        <f aca="false">IF(I1018="","",IF(AND(J1018&gt;=1,J1018&lt;=K1018),Eingabe!$B$6&amp;"-"&amp;INDEX(Eingabe!$C$9:$C$18,I1018)&amp;"-Pächter  ·  Passwort Parzelle "&amp;J1018,IF(J1018=K1018+1,Eingabe!$B$6&amp;"-"&amp;INDEX(Eingabe!$C$9:$C$18,I1018)&amp;"-Vorstand  ·  eigenes WLAN",IF(J1018=K1018+2,Eingabe!$B$6&amp;"-"&amp;INDEX(Eingabe!$C$9:$C$18,I1018)&amp;"-Gäste  ·  Voucher",IF(J1018=K1018+3,"Kabel  ·  Access Point y = .(50+y), Mast-Switch x = .(10+x)","")))))</f>
        <v/>
      </c>
      <c r="I1018" s="0" t="str">
        <f aca="false">IF(1013&lt;=(Eingabe!$P$18+Eingabe!$Q$18-1),MATCH(1013,Eingabe!$P$9:$P$18,1),"")</f>
        <v/>
      </c>
      <c r="J1018" s="0" t="str">
        <f aca="false">IF(I1018="","",1013-INDEX(Eingabe!$P$9:$P$18,I1018))</f>
        <v/>
      </c>
      <c r="K1018" s="0" t="str">
        <f aca="false">IF(I1018="","",INDEX(Eingabe!$E$9:$E$18,I1018))</f>
        <v/>
      </c>
    </row>
    <row r="1019" customFormat="false" ht="15" hidden="false" customHeight="false" outlineLevel="0" collapsed="false">
      <c r="A1019" s="0" t="str">
        <f aca="false">IF(I1019="","",IF(J1019=0,"Sparte "&amp;I1019&amp;": "&amp;INDEX(Eingabe!$B$9:$B$18,I1019)&amp;"  (Sparten-ID "&amp;INDEX(Eingabe!$D$9:$D$18,I1019)&amp;", "&amp;K1019&amp;" Parzellen)",IF(J1019&lt;=K1019,"   Parzelle "&amp;J1019,IF(J1019=K1019+1,"   Vorstand",IF(J1019=K1019+2,"   Gäste",IF(J1019=K1019+3,"   Technik (Switches, Access Points)",""))))))</f>
        <v/>
      </c>
      <c r="B1019" s="0" t="str">
        <f aca="false">IF(I1019="","",IF(AND(J1019&gt;=1,J1019&lt;=K1019+3),IF(J1019&lt;=K1019,IF(J1019&lt;=99,IF((INDEX(Eingabe!$G$9:$G$18,I1019))&lt;=9,1000+(INDEX(Eingabe!$G$9:$G$18,I1019))*100,3000)+J1019,IF((INDEX(Eingabe!$G$9:$G$18,I1019)+1)&lt;=9,1000+(INDEX(Eingabe!$G$9:$G$18,I1019)+1)*100,3000)+J1019-100),IF(J1019=K1019+1,2000+INDEX(Eingabe!$G$9:$G$18,I1019)*10+1,IF(J1019=K1019+2,2000+INDEX(Eingabe!$G$9:$G$18,I1019)*10+2,2000+INDEX(Eingabe!$G$9:$G$18,I1019)*10+9))),""))</f>
        <v/>
      </c>
      <c r="C1019" s="0" t="str">
        <f aca="false">IF(I1019="","",IF(AND(J1019&gt;=1,J1019&lt;=K1019+3),"10."&amp;INDEX(Eingabe!$D$9:$D$18,I1019)&amp;"."&amp;IF(J1019&lt;=K1019,J1019,IF(J1019=K1019+1,200,IF(J1019=K1019+2,201,250)))&amp;".0/24",""))</f>
        <v/>
      </c>
      <c r="D1019" s="0" t="str">
        <f aca="false">IF(I1019="","",IF(AND(J1019&gt;=1,J1019&lt;=K1019+3),"255.255.255.0",""))</f>
        <v/>
      </c>
      <c r="E1019" s="0" t="str">
        <f aca="false">IF(I1019="","",IF(AND(J1019&gt;=1,J1019&lt;=K1019+3),"10."&amp;INDEX(Eingabe!$D$9:$D$18,I1019)&amp;"."&amp;IF(J1019&lt;=K1019,J1019,IF(J1019=K1019+1,200,IF(J1019=K1019+2,201,250)))&amp;".1",""))</f>
        <v/>
      </c>
      <c r="F1019" s="0" t="str">
        <f aca="false">IF(I1019="","",IF(AND(J1019&gt;=1,J1019&lt;=K1019+3),"10."&amp;INDEX(Eingabe!$D$9:$D$18,I1019)&amp;"."&amp;IF(J1019&lt;=K1019,J1019,IF(J1019=K1019+1,200,IF(J1019=K1019+2,201,250)))&amp;".10 – 10."&amp;INDEX(Eingabe!$D$9:$D$18,I1019)&amp;"."&amp;IF(J1019&lt;=K1019,J1019,IF(J1019=K1019+1,200,IF(J1019=K1019+2,201,250)))&amp;".250",""))</f>
        <v/>
      </c>
      <c r="G1019" s="0" t="str">
        <f aca="false">IF(I1019="","",IF(AND(J1019&gt;=1,J1019&lt;=K1019),Eingabe!$B$6&amp;"-"&amp;INDEX(Eingabe!$C$9:$C$18,I1019)&amp;"-Pächter  ·  Passwort Parzelle "&amp;J1019,IF(J1019=K1019+1,Eingabe!$B$6&amp;"-"&amp;INDEX(Eingabe!$C$9:$C$18,I1019)&amp;"-Vorstand  ·  eigenes WLAN",IF(J1019=K1019+2,Eingabe!$B$6&amp;"-"&amp;INDEX(Eingabe!$C$9:$C$18,I1019)&amp;"-Gäste  ·  Voucher",IF(J1019=K1019+3,"Kabel  ·  Access Point y = .(50+y), Mast-Switch x = .(10+x)","")))))</f>
        <v/>
      </c>
      <c r="I1019" s="0" t="str">
        <f aca="false">IF(1014&lt;=(Eingabe!$P$18+Eingabe!$Q$18-1),MATCH(1014,Eingabe!$P$9:$P$18,1),"")</f>
        <v/>
      </c>
      <c r="J1019" s="0" t="str">
        <f aca="false">IF(I1019="","",1014-INDEX(Eingabe!$P$9:$P$18,I1019))</f>
        <v/>
      </c>
      <c r="K1019" s="0" t="str">
        <f aca="false">IF(I1019="","",INDEX(Eingabe!$E$9:$E$18,I1019))</f>
        <v/>
      </c>
    </row>
    <row r="1020" customFormat="false" ht="15" hidden="false" customHeight="false" outlineLevel="0" collapsed="false">
      <c r="A1020" s="0" t="str">
        <f aca="false">IF(I1020="","",IF(J1020=0,"Sparte "&amp;I1020&amp;": "&amp;INDEX(Eingabe!$B$9:$B$18,I1020)&amp;"  (Sparten-ID "&amp;INDEX(Eingabe!$D$9:$D$18,I1020)&amp;", "&amp;K1020&amp;" Parzellen)",IF(J1020&lt;=K1020,"   Parzelle "&amp;J1020,IF(J1020=K1020+1,"   Vorstand",IF(J1020=K1020+2,"   Gäste",IF(J1020=K1020+3,"   Technik (Switches, Access Points)",""))))))</f>
        <v/>
      </c>
      <c r="B1020" s="0" t="str">
        <f aca="false">IF(I1020="","",IF(AND(J1020&gt;=1,J1020&lt;=K1020+3),IF(J1020&lt;=K1020,IF(J1020&lt;=99,IF((INDEX(Eingabe!$G$9:$G$18,I1020))&lt;=9,1000+(INDEX(Eingabe!$G$9:$G$18,I1020))*100,3000)+J1020,IF((INDEX(Eingabe!$G$9:$G$18,I1020)+1)&lt;=9,1000+(INDEX(Eingabe!$G$9:$G$18,I1020)+1)*100,3000)+J1020-100),IF(J1020=K1020+1,2000+INDEX(Eingabe!$G$9:$G$18,I1020)*10+1,IF(J1020=K1020+2,2000+INDEX(Eingabe!$G$9:$G$18,I1020)*10+2,2000+INDEX(Eingabe!$G$9:$G$18,I1020)*10+9))),""))</f>
        <v/>
      </c>
      <c r="C1020" s="0" t="str">
        <f aca="false">IF(I1020="","",IF(AND(J1020&gt;=1,J1020&lt;=K1020+3),"10."&amp;INDEX(Eingabe!$D$9:$D$18,I1020)&amp;"."&amp;IF(J1020&lt;=K1020,J1020,IF(J1020=K1020+1,200,IF(J1020=K1020+2,201,250)))&amp;".0/24",""))</f>
        <v/>
      </c>
      <c r="D1020" s="0" t="str">
        <f aca="false">IF(I1020="","",IF(AND(J1020&gt;=1,J1020&lt;=K1020+3),"255.255.255.0",""))</f>
        <v/>
      </c>
      <c r="E1020" s="0" t="str">
        <f aca="false">IF(I1020="","",IF(AND(J1020&gt;=1,J1020&lt;=K1020+3),"10."&amp;INDEX(Eingabe!$D$9:$D$18,I1020)&amp;"."&amp;IF(J1020&lt;=K1020,J1020,IF(J1020=K1020+1,200,IF(J1020=K1020+2,201,250)))&amp;".1",""))</f>
        <v/>
      </c>
      <c r="F1020" s="0" t="str">
        <f aca="false">IF(I1020="","",IF(AND(J1020&gt;=1,J1020&lt;=K1020+3),"10."&amp;INDEX(Eingabe!$D$9:$D$18,I1020)&amp;"."&amp;IF(J1020&lt;=K1020,J1020,IF(J1020=K1020+1,200,IF(J1020=K1020+2,201,250)))&amp;".10 – 10."&amp;INDEX(Eingabe!$D$9:$D$18,I1020)&amp;"."&amp;IF(J1020&lt;=K1020,J1020,IF(J1020=K1020+1,200,IF(J1020=K1020+2,201,250)))&amp;".250",""))</f>
        <v/>
      </c>
      <c r="G1020" s="0" t="str">
        <f aca="false">IF(I1020="","",IF(AND(J1020&gt;=1,J1020&lt;=K1020),Eingabe!$B$6&amp;"-"&amp;INDEX(Eingabe!$C$9:$C$18,I1020)&amp;"-Pächter  ·  Passwort Parzelle "&amp;J1020,IF(J1020=K1020+1,Eingabe!$B$6&amp;"-"&amp;INDEX(Eingabe!$C$9:$C$18,I1020)&amp;"-Vorstand  ·  eigenes WLAN",IF(J1020=K1020+2,Eingabe!$B$6&amp;"-"&amp;INDEX(Eingabe!$C$9:$C$18,I1020)&amp;"-Gäste  ·  Voucher",IF(J1020=K1020+3,"Kabel  ·  Access Point y = .(50+y), Mast-Switch x = .(10+x)","")))))</f>
        <v/>
      </c>
      <c r="I1020" s="0" t="str">
        <f aca="false">IF(1015&lt;=(Eingabe!$P$18+Eingabe!$Q$18-1),MATCH(1015,Eingabe!$P$9:$P$18,1),"")</f>
        <v/>
      </c>
      <c r="J1020" s="0" t="str">
        <f aca="false">IF(I1020="","",1015-INDEX(Eingabe!$P$9:$P$18,I1020))</f>
        <v/>
      </c>
      <c r="K1020" s="0" t="str">
        <f aca="false">IF(I1020="","",INDEX(Eingabe!$E$9:$E$18,I1020))</f>
        <v/>
      </c>
    </row>
    <row r="1021" customFormat="false" ht="15" hidden="false" customHeight="false" outlineLevel="0" collapsed="false">
      <c r="A1021" s="0" t="str">
        <f aca="false">IF(I1021="","",IF(J1021=0,"Sparte "&amp;I1021&amp;": "&amp;INDEX(Eingabe!$B$9:$B$18,I1021)&amp;"  (Sparten-ID "&amp;INDEX(Eingabe!$D$9:$D$18,I1021)&amp;", "&amp;K1021&amp;" Parzellen)",IF(J1021&lt;=K1021,"   Parzelle "&amp;J1021,IF(J1021=K1021+1,"   Vorstand",IF(J1021=K1021+2,"   Gäste",IF(J1021=K1021+3,"   Technik (Switches, Access Points)",""))))))</f>
        <v/>
      </c>
      <c r="B1021" s="0" t="str">
        <f aca="false">IF(I1021="","",IF(AND(J1021&gt;=1,J1021&lt;=K1021+3),IF(J1021&lt;=K1021,IF(J1021&lt;=99,IF((INDEX(Eingabe!$G$9:$G$18,I1021))&lt;=9,1000+(INDEX(Eingabe!$G$9:$G$18,I1021))*100,3000)+J1021,IF((INDEX(Eingabe!$G$9:$G$18,I1021)+1)&lt;=9,1000+(INDEX(Eingabe!$G$9:$G$18,I1021)+1)*100,3000)+J1021-100),IF(J1021=K1021+1,2000+INDEX(Eingabe!$G$9:$G$18,I1021)*10+1,IF(J1021=K1021+2,2000+INDEX(Eingabe!$G$9:$G$18,I1021)*10+2,2000+INDEX(Eingabe!$G$9:$G$18,I1021)*10+9))),""))</f>
        <v/>
      </c>
      <c r="C1021" s="0" t="str">
        <f aca="false">IF(I1021="","",IF(AND(J1021&gt;=1,J1021&lt;=K1021+3),"10."&amp;INDEX(Eingabe!$D$9:$D$18,I1021)&amp;"."&amp;IF(J1021&lt;=K1021,J1021,IF(J1021=K1021+1,200,IF(J1021=K1021+2,201,250)))&amp;".0/24",""))</f>
        <v/>
      </c>
      <c r="D1021" s="0" t="str">
        <f aca="false">IF(I1021="","",IF(AND(J1021&gt;=1,J1021&lt;=K1021+3),"255.255.255.0",""))</f>
        <v/>
      </c>
      <c r="E1021" s="0" t="str">
        <f aca="false">IF(I1021="","",IF(AND(J1021&gt;=1,J1021&lt;=K1021+3),"10."&amp;INDEX(Eingabe!$D$9:$D$18,I1021)&amp;"."&amp;IF(J1021&lt;=K1021,J1021,IF(J1021=K1021+1,200,IF(J1021=K1021+2,201,250)))&amp;".1",""))</f>
        <v/>
      </c>
      <c r="F1021" s="0" t="str">
        <f aca="false">IF(I1021="","",IF(AND(J1021&gt;=1,J1021&lt;=K1021+3),"10."&amp;INDEX(Eingabe!$D$9:$D$18,I1021)&amp;"."&amp;IF(J1021&lt;=K1021,J1021,IF(J1021=K1021+1,200,IF(J1021=K1021+2,201,250)))&amp;".10 – 10."&amp;INDEX(Eingabe!$D$9:$D$18,I1021)&amp;"."&amp;IF(J1021&lt;=K1021,J1021,IF(J1021=K1021+1,200,IF(J1021=K1021+2,201,250)))&amp;".250",""))</f>
        <v/>
      </c>
      <c r="G1021" s="0" t="str">
        <f aca="false">IF(I1021="","",IF(AND(J1021&gt;=1,J1021&lt;=K1021),Eingabe!$B$6&amp;"-"&amp;INDEX(Eingabe!$C$9:$C$18,I1021)&amp;"-Pächter  ·  Passwort Parzelle "&amp;J1021,IF(J1021=K1021+1,Eingabe!$B$6&amp;"-"&amp;INDEX(Eingabe!$C$9:$C$18,I1021)&amp;"-Vorstand  ·  eigenes WLAN",IF(J1021=K1021+2,Eingabe!$B$6&amp;"-"&amp;INDEX(Eingabe!$C$9:$C$18,I1021)&amp;"-Gäste  ·  Voucher",IF(J1021=K1021+3,"Kabel  ·  Access Point y = .(50+y), Mast-Switch x = .(10+x)","")))))</f>
        <v/>
      </c>
      <c r="I1021" s="0" t="str">
        <f aca="false">IF(1016&lt;=(Eingabe!$P$18+Eingabe!$Q$18-1),MATCH(1016,Eingabe!$P$9:$P$18,1),"")</f>
        <v/>
      </c>
      <c r="J1021" s="0" t="str">
        <f aca="false">IF(I1021="","",1016-INDEX(Eingabe!$P$9:$P$18,I1021))</f>
        <v/>
      </c>
      <c r="K1021" s="0" t="str">
        <f aca="false">IF(I1021="","",INDEX(Eingabe!$E$9:$E$18,I1021))</f>
        <v/>
      </c>
    </row>
    <row r="1022" customFormat="false" ht="15" hidden="false" customHeight="false" outlineLevel="0" collapsed="false">
      <c r="A1022" s="0" t="str">
        <f aca="false">IF(I1022="","",IF(J1022=0,"Sparte "&amp;I1022&amp;": "&amp;INDEX(Eingabe!$B$9:$B$18,I1022)&amp;"  (Sparten-ID "&amp;INDEX(Eingabe!$D$9:$D$18,I1022)&amp;", "&amp;K1022&amp;" Parzellen)",IF(J1022&lt;=K1022,"   Parzelle "&amp;J1022,IF(J1022=K1022+1,"   Vorstand",IF(J1022=K1022+2,"   Gäste",IF(J1022=K1022+3,"   Technik (Switches, Access Points)",""))))))</f>
        <v/>
      </c>
      <c r="B1022" s="0" t="str">
        <f aca="false">IF(I1022="","",IF(AND(J1022&gt;=1,J1022&lt;=K1022+3),IF(J1022&lt;=K1022,IF(J1022&lt;=99,IF((INDEX(Eingabe!$G$9:$G$18,I1022))&lt;=9,1000+(INDEX(Eingabe!$G$9:$G$18,I1022))*100,3000)+J1022,IF((INDEX(Eingabe!$G$9:$G$18,I1022)+1)&lt;=9,1000+(INDEX(Eingabe!$G$9:$G$18,I1022)+1)*100,3000)+J1022-100),IF(J1022=K1022+1,2000+INDEX(Eingabe!$G$9:$G$18,I1022)*10+1,IF(J1022=K1022+2,2000+INDEX(Eingabe!$G$9:$G$18,I1022)*10+2,2000+INDEX(Eingabe!$G$9:$G$18,I1022)*10+9))),""))</f>
        <v/>
      </c>
      <c r="C1022" s="0" t="str">
        <f aca="false">IF(I1022="","",IF(AND(J1022&gt;=1,J1022&lt;=K1022+3),"10."&amp;INDEX(Eingabe!$D$9:$D$18,I1022)&amp;"."&amp;IF(J1022&lt;=K1022,J1022,IF(J1022=K1022+1,200,IF(J1022=K1022+2,201,250)))&amp;".0/24",""))</f>
        <v/>
      </c>
      <c r="D1022" s="0" t="str">
        <f aca="false">IF(I1022="","",IF(AND(J1022&gt;=1,J1022&lt;=K1022+3),"255.255.255.0",""))</f>
        <v/>
      </c>
      <c r="E1022" s="0" t="str">
        <f aca="false">IF(I1022="","",IF(AND(J1022&gt;=1,J1022&lt;=K1022+3),"10."&amp;INDEX(Eingabe!$D$9:$D$18,I1022)&amp;"."&amp;IF(J1022&lt;=K1022,J1022,IF(J1022=K1022+1,200,IF(J1022=K1022+2,201,250)))&amp;".1",""))</f>
        <v/>
      </c>
      <c r="F1022" s="0" t="str">
        <f aca="false">IF(I1022="","",IF(AND(J1022&gt;=1,J1022&lt;=K1022+3),"10."&amp;INDEX(Eingabe!$D$9:$D$18,I1022)&amp;"."&amp;IF(J1022&lt;=K1022,J1022,IF(J1022=K1022+1,200,IF(J1022=K1022+2,201,250)))&amp;".10 – 10."&amp;INDEX(Eingabe!$D$9:$D$18,I1022)&amp;"."&amp;IF(J1022&lt;=K1022,J1022,IF(J1022=K1022+1,200,IF(J1022=K1022+2,201,250)))&amp;".250",""))</f>
        <v/>
      </c>
      <c r="G1022" s="0" t="str">
        <f aca="false">IF(I1022="","",IF(AND(J1022&gt;=1,J1022&lt;=K1022),Eingabe!$B$6&amp;"-"&amp;INDEX(Eingabe!$C$9:$C$18,I1022)&amp;"-Pächter  ·  Passwort Parzelle "&amp;J1022,IF(J1022=K1022+1,Eingabe!$B$6&amp;"-"&amp;INDEX(Eingabe!$C$9:$C$18,I1022)&amp;"-Vorstand  ·  eigenes WLAN",IF(J1022=K1022+2,Eingabe!$B$6&amp;"-"&amp;INDEX(Eingabe!$C$9:$C$18,I1022)&amp;"-Gäste  ·  Voucher",IF(J1022=K1022+3,"Kabel  ·  Access Point y = .(50+y), Mast-Switch x = .(10+x)","")))))</f>
        <v/>
      </c>
      <c r="I1022" s="0" t="str">
        <f aca="false">IF(1017&lt;=(Eingabe!$P$18+Eingabe!$Q$18-1),MATCH(1017,Eingabe!$P$9:$P$18,1),"")</f>
        <v/>
      </c>
      <c r="J1022" s="0" t="str">
        <f aca="false">IF(I1022="","",1017-INDEX(Eingabe!$P$9:$P$18,I1022))</f>
        <v/>
      </c>
      <c r="K1022" s="0" t="str">
        <f aca="false">IF(I1022="","",INDEX(Eingabe!$E$9:$E$18,I1022))</f>
        <v/>
      </c>
    </row>
    <row r="1023" customFormat="false" ht="15" hidden="false" customHeight="false" outlineLevel="0" collapsed="false">
      <c r="A1023" s="0" t="str">
        <f aca="false">IF(I1023="","",IF(J1023=0,"Sparte "&amp;I1023&amp;": "&amp;INDEX(Eingabe!$B$9:$B$18,I1023)&amp;"  (Sparten-ID "&amp;INDEX(Eingabe!$D$9:$D$18,I1023)&amp;", "&amp;K1023&amp;" Parzellen)",IF(J1023&lt;=K1023,"   Parzelle "&amp;J1023,IF(J1023=K1023+1,"   Vorstand",IF(J1023=K1023+2,"   Gäste",IF(J1023=K1023+3,"   Technik (Switches, Access Points)",""))))))</f>
        <v/>
      </c>
      <c r="B1023" s="0" t="str">
        <f aca="false">IF(I1023="","",IF(AND(J1023&gt;=1,J1023&lt;=K1023+3),IF(J1023&lt;=K1023,IF(J1023&lt;=99,IF((INDEX(Eingabe!$G$9:$G$18,I1023))&lt;=9,1000+(INDEX(Eingabe!$G$9:$G$18,I1023))*100,3000)+J1023,IF((INDEX(Eingabe!$G$9:$G$18,I1023)+1)&lt;=9,1000+(INDEX(Eingabe!$G$9:$G$18,I1023)+1)*100,3000)+J1023-100),IF(J1023=K1023+1,2000+INDEX(Eingabe!$G$9:$G$18,I1023)*10+1,IF(J1023=K1023+2,2000+INDEX(Eingabe!$G$9:$G$18,I1023)*10+2,2000+INDEX(Eingabe!$G$9:$G$18,I1023)*10+9))),""))</f>
        <v/>
      </c>
      <c r="C1023" s="0" t="str">
        <f aca="false">IF(I1023="","",IF(AND(J1023&gt;=1,J1023&lt;=K1023+3),"10."&amp;INDEX(Eingabe!$D$9:$D$18,I1023)&amp;"."&amp;IF(J1023&lt;=K1023,J1023,IF(J1023=K1023+1,200,IF(J1023=K1023+2,201,250)))&amp;".0/24",""))</f>
        <v/>
      </c>
      <c r="D1023" s="0" t="str">
        <f aca="false">IF(I1023="","",IF(AND(J1023&gt;=1,J1023&lt;=K1023+3),"255.255.255.0",""))</f>
        <v/>
      </c>
      <c r="E1023" s="0" t="str">
        <f aca="false">IF(I1023="","",IF(AND(J1023&gt;=1,J1023&lt;=K1023+3),"10."&amp;INDEX(Eingabe!$D$9:$D$18,I1023)&amp;"."&amp;IF(J1023&lt;=K1023,J1023,IF(J1023=K1023+1,200,IF(J1023=K1023+2,201,250)))&amp;".1",""))</f>
        <v/>
      </c>
      <c r="F1023" s="0" t="str">
        <f aca="false">IF(I1023="","",IF(AND(J1023&gt;=1,J1023&lt;=K1023+3),"10."&amp;INDEX(Eingabe!$D$9:$D$18,I1023)&amp;"."&amp;IF(J1023&lt;=K1023,J1023,IF(J1023=K1023+1,200,IF(J1023=K1023+2,201,250)))&amp;".10 – 10."&amp;INDEX(Eingabe!$D$9:$D$18,I1023)&amp;"."&amp;IF(J1023&lt;=K1023,J1023,IF(J1023=K1023+1,200,IF(J1023=K1023+2,201,250)))&amp;".250",""))</f>
        <v/>
      </c>
      <c r="G1023" s="0" t="str">
        <f aca="false">IF(I1023="","",IF(AND(J1023&gt;=1,J1023&lt;=K1023),Eingabe!$B$6&amp;"-"&amp;INDEX(Eingabe!$C$9:$C$18,I1023)&amp;"-Pächter  ·  Passwort Parzelle "&amp;J1023,IF(J1023=K1023+1,Eingabe!$B$6&amp;"-"&amp;INDEX(Eingabe!$C$9:$C$18,I1023)&amp;"-Vorstand  ·  eigenes WLAN",IF(J1023=K1023+2,Eingabe!$B$6&amp;"-"&amp;INDEX(Eingabe!$C$9:$C$18,I1023)&amp;"-Gäste  ·  Voucher",IF(J1023=K1023+3,"Kabel  ·  Access Point y = .(50+y), Mast-Switch x = .(10+x)","")))))</f>
        <v/>
      </c>
      <c r="I1023" s="0" t="str">
        <f aca="false">IF(1018&lt;=(Eingabe!$P$18+Eingabe!$Q$18-1),MATCH(1018,Eingabe!$P$9:$P$18,1),"")</f>
        <v/>
      </c>
      <c r="J1023" s="0" t="str">
        <f aca="false">IF(I1023="","",1018-INDEX(Eingabe!$P$9:$P$18,I1023))</f>
        <v/>
      </c>
      <c r="K1023" s="0" t="str">
        <f aca="false">IF(I1023="","",INDEX(Eingabe!$E$9:$E$18,I1023))</f>
        <v/>
      </c>
    </row>
    <row r="1024" customFormat="false" ht="15" hidden="false" customHeight="false" outlineLevel="0" collapsed="false">
      <c r="A1024" s="0" t="str">
        <f aca="false">IF(I1024="","",IF(J1024=0,"Sparte "&amp;I1024&amp;": "&amp;INDEX(Eingabe!$B$9:$B$18,I1024)&amp;"  (Sparten-ID "&amp;INDEX(Eingabe!$D$9:$D$18,I1024)&amp;", "&amp;K1024&amp;" Parzellen)",IF(J1024&lt;=K1024,"   Parzelle "&amp;J1024,IF(J1024=K1024+1,"   Vorstand",IF(J1024=K1024+2,"   Gäste",IF(J1024=K1024+3,"   Technik (Switches, Access Points)",""))))))</f>
        <v/>
      </c>
      <c r="B1024" s="0" t="str">
        <f aca="false">IF(I1024="","",IF(AND(J1024&gt;=1,J1024&lt;=K1024+3),IF(J1024&lt;=K1024,IF(J1024&lt;=99,IF((INDEX(Eingabe!$G$9:$G$18,I1024))&lt;=9,1000+(INDEX(Eingabe!$G$9:$G$18,I1024))*100,3000)+J1024,IF((INDEX(Eingabe!$G$9:$G$18,I1024)+1)&lt;=9,1000+(INDEX(Eingabe!$G$9:$G$18,I1024)+1)*100,3000)+J1024-100),IF(J1024=K1024+1,2000+INDEX(Eingabe!$G$9:$G$18,I1024)*10+1,IF(J1024=K1024+2,2000+INDEX(Eingabe!$G$9:$G$18,I1024)*10+2,2000+INDEX(Eingabe!$G$9:$G$18,I1024)*10+9))),""))</f>
        <v/>
      </c>
      <c r="C1024" s="0" t="str">
        <f aca="false">IF(I1024="","",IF(AND(J1024&gt;=1,J1024&lt;=K1024+3),"10."&amp;INDEX(Eingabe!$D$9:$D$18,I1024)&amp;"."&amp;IF(J1024&lt;=K1024,J1024,IF(J1024=K1024+1,200,IF(J1024=K1024+2,201,250)))&amp;".0/24",""))</f>
        <v/>
      </c>
      <c r="D1024" s="0" t="str">
        <f aca="false">IF(I1024="","",IF(AND(J1024&gt;=1,J1024&lt;=K1024+3),"255.255.255.0",""))</f>
        <v/>
      </c>
      <c r="E1024" s="0" t="str">
        <f aca="false">IF(I1024="","",IF(AND(J1024&gt;=1,J1024&lt;=K1024+3),"10."&amp;INDEX(Eingabe!$D$9:$D$18,I1024)&amp;"."&amp;IF(J1024&lt;=K1024,J1024,IF(J1024=K1024+1,200,IF(J1024=K1024+2,201,250)))&amp;".1",""))</f>
        <v/>
      </c>
      <c r="F1024" s="0" t="str">
        <f aca="false">IF(I1024="","",IF(AND(J1024&gt;=1,J1024&lt;=K1024+3),"10."&amp;INDEX(Eingabe!$D$9:$D$18,I1024)&amp;"."&amp;IF(J1024&lt;=K1024,J1024,IF(J1024=K1024+1,200,IF(J1024=K1024+2,201,250)))&amp;".10 – 10."&amp;INDEX(Eingabe!$D$9:$D$18,I1024)&amp;"."&amp;IF(J1024&lt;=K1024,J1024,IF(J1024=K1024+1,200,IF(J1024=K1024+2,201,250)))&amp;".250",""))</f>
        <v/>
      </c>
      <c r="G1024" s="0" t="str">
        <f aca="false">IF(I1024="","",IF(AND(J1024&gt;=1,J1024&lt;=K1024),Eingabe!$B$6&amp;"-"&amp;INDEX(Eingabe!$C$9:$C$18,I1024)&amp;"-Pächter  ·  Passwort Parzelle "&amp;J1024,IF(J1024=K1024+1,Eingabe!$B$6&amp;"-"&amp;INDEX(Eingabe!$C$9:$C$18,I1024)&amp;"-Vorstand  ·  eigenes WLAN",IF(J1024=K1024+2,Eingabe!$B$6&amp;"-"&amp;INDEX(Eingabe!$C$9:$C$18,I1024)&amp;"-Gäste  ·  Voucher",IF(J1024=K1024+3,"Kabel  ·  Access Point y = .(50+y), Mast-Switch x = .(10+x)","")))))</f>
        <v/>
      </c>
      <c r="I1024" s="0" t="str">
        <f aca="false">IF(1019&lt;=(Eingabe!$P$18+Eingabe!$Q$18-1),MATCH(1019,Eingabe!$P$9:$P$18,1),"")</f>
        <v/>
      </c>
      <c r="J1024" s="0" t="str">
        <f aca="false">IF(I1024="","",1019-INDEX(Eingabe!$P$9:$P$18,I1024))</f>
        <v/>
      </c>
      <c r="K1024" s="0" t="str">
        <f aca="false">IF(I1024="","",INDEX(Eingabe!$E$9:$E$18,I1024))</f>
        <v/>
      </c>
    </row>
    <row r="1025" customFormat="false" ht="15" hidden="false" customHeight="false" outlineLevel="0" collapsed="false">
      <c r="A1025" s="0" t="str">
        <f aca="false">IF(I1025="","",IF(J1025=0,"Sparte "&amp;I1025&amp;": "&amp;INDEX(Eingabe!$B$9:$B$18,I1025)&amp;"  (Sparten-ID "&amp;INDEX(Eingabe!$D$9:$D$18,I1025)&amp;", "&amp;K1025&amp;" Parzellen)",IF(J1025&lt;=K1025,"   Parzelle "&amp;J1025,IF(J1025=K1025+1,"   Vorstand",IF(J1025=K1025+2,"   Gäste",IF(J1025=K1025+3,"   Technik (Switches, Access Points)",""))))))</f>
        <v/>
      </c>
      <c r="B1025" s="0" t="str">
        <f aca="false">IF(I1025="","",IF(AND(J1025&gt;=1,J1025&lt;=K1025+3),IF(J1025&lt;=K1025,IF(J1025&lt;=99,IF((INDEX(Eingabe!$G$9:$G$18,I1025))&lt;=9,1000+(INDEX(Eingabe!$G$9:$G$18,I1025))*100,3000)+J1025,IF((INDEX(Eingabe!$G$9:$G$18,I1025)+1)&lt;=9,1000+(INDEX(Eingabe!$G$9:$G$18,I1025)+1)*100,3000)+J1025-100),IF(J1025=K1025+1,2000+INDEX(Eingabe!$G$9:$G$18,I1025)*10+1,IF(J1025=K1025+2,2000+INDEX(Eingabe!$G$9:$G$18,I1025)*10+2,2000+INDEX(Eingabe!$G$9:$G$18,I1025)*10+9))),""))</f>
        <v/>
      </c>
      <c r="C1025" s="0" t="str">
        <f aca="false">IF(I1025="","",IF(AND(J1025&gt;=1,J1025&lt;=K1025+3),"10."&amp;INDEX(Eingabe!$D$9:$D$18,I1025)&amp;"."&amp;IF(J1025&lt;=K1025,J1025,IF(J1025=K1025+1,200,IF(J1025=K1025+2,201,250)))&amp;".0/24",""))</f>
        <v/>
      </c>
      <c r="D1025" s="0" t="str">
        <f aca="false">IF(I1025="","",IF(AND(J1025&gt;=1,J1025&lt;=K1025+3),"255.255.255.0",""))</f>
        <v/>
      </c>
      <c r="E1025" s="0" t="str">
        <f aca="false">IF(I1025="","",IF(AND(J1025&gt;=1,J1025&lt;=K1025+3),"10."&amp;INDEX(Eingabe!$D$9:$D$18,I1025)&amp;"."&amp;IF(J1025&lt;=K1025,J1025,IF(J1025=K1025+1,200,IF(J1025=K1025+2,201,250)))&amp;".1",""))</f>
        <v/>
      </c>
      <c r="F1025" s="0" t="str">
        <f aca="false">IF(I1025="","",IF(AND(J1025&gt;=1,J1025&lt;=K1025+3),"10."&amp;INDEX(Eingabe!$D$9:$D$18,I1025)&amp;"."&amp;IF(J1025&lt;=K1025,J1025,IF(J1025=K1025+1,200,IF(J1025=K1025+2,201,250)))&amp;".10 – 10."&amp;INDEX(Eingabe!$D$9:$D$18,I1025)&amp;"."&amp;IF(J1025&lt;=K1025,J1025,IF(J1025=K1025+1,200,IF(J1025=K1025+2,201,250)))&amp;".250",""))</f>
        <v/>
      </c>
      <c r="G1025" s="0" t="str">
        <f aca="false">IF(I1025="","",IF(AND(J1025&gt;=1,J1025&lt;=K1025),Eingabe!$B$6&amp;"-"&amp;INDEX(Eingabe!$C$9:$C$18,I1025)&amp;"-Pächter  ·  Passwort Parzelle "&amp;J1025,IF(J1025=K1025+1,Eingabe!$B$6&amp;"-"&amp;INDEX(Eingabe!$C$9:$C$18,I1025)&amp;"-Vorstand  ·  eigenes WLAN",IF(J1025=K1025+2,Eingabe!$B$6&amp;"-"&amp;INDEX(Eingabe!$C$9:$C$18,I1025)&amp;"-Gäste  ·  Voucher",IF(J1025=K1025+3,"Kabel  ·  Access Point y = .(50+y), Mast-Switch x = .(10+x)","")))))</f>
        <v/>
      </c>
      <c r="I1025" s="0" t="str">
        <f aca="false">IF(1020&lt;=(Eingabe!$P$18+Eingabe!$Q$18-1),MATCH(1020,Eingabe!$P$9:$P$18,1),"")</f>
        <v/>
      </c>
      <c r="J1025" s="0" t="str">
        <f aca="false">IF(I1025="","",1020-INDEX(Eingabe!$P$9:$P$18,I1025))</f>
        <v/>
      </c>
      <c r="K1025" s="0" t="str">
        <f aca="false">IF(I1025="","",INDEX(Eingabe!$E$9:$E$18,I1025))</f>
        <v/>
      </c>
    </row>
    <row r="1026" customFormat="false" ht="15" hidden="false" customHeight="false" outlineLevel="0" collapsed="false">
      <c r="A1026" s="0" t="str">
        <f aca="false">IF(I1026="","",IF(J1026=0,"Sparte "&amp;I1026&amp;": "&amp;INDEX(Eingabe!$B$9:$B$18,I1026)&amp;"  (Sparten-ID "&amp;INDEX(Eingabe!$D$9:$D$18,I1026)&amp;", "&amp;K1026&amp;" Parzellen)",IF(J1026&lt;=K1026,"   Parzelle "&amp;J1026,IF(J1026=K1026+1,"   Vorstand",IF(J1026=K1026+2,"   Gäste",IF(J1026=K1026+3,"   Technik (Switches, Access Points)",""))))))</f>
        <v/>
      </c>
      <c r="B1026" s="0" t="str">
        <f aca="false">IF(I1026="","",IF(AND(J1026&gt;=1,J1026&lt;=K1026+3),IF(J1026&lt;=K1026,IF(J1026&lt;=99,IF((INDEX(Eingabe!$G$9:$G$18,I1026))&lt;=9,1000+(INDEX(Eingabe!$G$9:$G$18,I1026))*100,3000)+J1026,IF((INDEX(Eingabe!$G$9:$G$18,I1026)+1)&lt;=9,1000+(INDEX(Eingabe!$G$9:$G$18,I1026)+1)*100,3000)+J1026-100),IF(J1026=K1026+1,2000+INDEX(Eingabe!$G$9:$G$18,I1026)*10+1,IF(J1026=K1026+2,2000+INDEX(Eingabe!$G$9:$G$18,I1026)*10+2,2000+INDEX(Eingabe!$G$9:$G$18,I1026)*10+9))),""))</f>
        <v/>
      </c>
      <c r="C1026" s="0" t="str">
        <f aca="false">IF(I1026="","",IF(AND(J1026&gt;=1,J1026&lt;=K1026+3),"10."&amp;INDEX(Eingabe!$D$9:$D$18,I1026)&amp;"."&amp;IF(J1026&lt;=K1026,J1026,IF(J1026=K1026+1,200,IF(J1026=K1026+2,201,250)))&amp;".0/24",""))</f>
        <v/>
      </c>
      <c r="D1026" s="0" t="str">
        <f aca="false">IF(I1026="","",IF(AND(J1026&gt;=1,J1026&lt;=K1026+3),"255.255.255.0",""))</f>
        <v/>
      </c>
      <c r="E1026" s="0" t="str">
        <f aca="false">IF(I1026="","",IF(AND(J1026&gt;=1,J1026&lt;=K1026+3),"10."&amp;INDEX(Eingabe!$D$9:$D$18,I1026)&amp;"."&amp;IF(J1026&lt;=K1026,J1026,IF(J1026=K1026+1,200,IF(J1026=K1026+2,201,250)))&amp;".1",""))</f>
        <v/>
      </c>
      <c r="F1026" s="0" t="str">
        <f aca="false">IF(I1026="","",IF(AND(J1026&gt;=1,J1026&lt;=K1026+3),"10."&amp;INDEX(Eingabe!$D$9:$D$18,I1026)&amp;"."&amp;IF(J1026&lt;=K1026,J1026,IF(J1026=K1026+1,200,IF(J1026=K1026+2,201,250)))&amp;".10 – 10."&amp;INDEX(Eingabe!$D$9:$D$18,I1026)&amp;"."&amp;IF(J1026&lt;=K1026,J1026,IF(J1026=K1026+1,200,IF(J1026=K1026+2,201,250)))&amp;".250",""))</f>
        <v/>
      </c>
      <c r="G1026" s="0" t="str">
        <f aca="false">IF(I1026="","",IF(AND(J1026&gt;=1,J1026&lt;=K1026),Eingabe!$B$6&amp;"-"&amp;INDEX(Eingabe!$C$9:$C$18,I1026)&amp;"-Pächter  ·  Passwort Parzelle "&amp;J1026,IF(J1026=K1026+1,Eingabe!$B$6&amp;"-"&amp;INDEX(Eingabe!$C$9:$C$18,I1026)&amp;"-Vorstand  ·  eigenes WLAN",IF(J1026=K1026+2,Eingabe!$B$6&amp;"-"&amp;INDEX(Eingabe!$C$9:$C$18,I1026)&amp;"-Gäste  ·  Voucher",IF(J1026=K1026+3,"Kabel  ·  Access Point y = .(50+y), Mast-Switch x = .(10+x)","")))))</f>
        <v/>
      </c>
      <c r="I1026" s="0" t="str">
        <f aca="false">IF(1021&lt;=(Eingabe!$P$18+Eingabe!$Q$18-1),MATCH(1021,Eingabe!$P$9:$P$18,1),"")</f>
        <v/>
      </c>
      <c r="J1026" s="0" t="str">
        <f aca="false">IF(I1026="","",1021-INDEX(Eingabe!$P$9:$P$18,I1026))</f>
        <v/>
      </c>
      <c r="K1026" s="0" t="str">
        <f aca="false">IF(I1026="","",INDEX(Eingabe!$E$9:$E$18,I1026))</f>
        <v/>
      </c>
    </row>
    <row r="1027" customFormat="false" ht="15" hidden="false" customHeight="false" outlineLevel="0" collapsed="false">
      <c r="A1027" s="0" t="str">
        <f aca="false">IF(I1027="","",IF(J1027=0,"Sparte "&amp;I1027&amp;": "&amp;INDEX(Eingabe!$B$9:$B$18,I1027)&amp;"  (Sparten-ID "&amp;INDEX(Eingabe!$D$9:$D$18,I1027)&amp;", "&amp;K1027&amp;" Parzellen)",IF(J1027&lt;=K1027,"   Parzelle "&amp;J1027,IF(J1027=K1027+1,"   Vorstand",IF(J1027=K1027+2,"   Gäste",IF(J1027=K1027+3,"   Technik (Switches, Access Points)",""))))))</f>
        <v/>
      </c>
      <c r="B1027" s="0" t="str">
        <f aca="false">IF(I1027="","",IF(AND(J1027&gt;=1,J1027&lt;=K1027+3),IF(J1027&lt;=K1027,IF(J1027&lt;=99,IF((INDEX(Eingabe!$G$9:$G$18,I1027))&lt;=9,1000+(INDEX(Eingabe!$G$9:$G$18,I1027))*100,3000)+J1027,IF((INDEX(Eingabe!$G$9:$G$18,I1027)+1)&lt;=9,1000+(INDEX(Eingabe!$G$9:$G$18,I1027)+1)*100,3000)+J1027-100),IF(J1027=K1027+1,2000+INDEX(Eingabe!$G$9:$G$18,I1027)*10+1,IF(J1027=K1027+2,2000+INDEX(Eingabe!$G$9:$G$18,I1027)*10+2,2000+INDEX(Eingabe!$G$9:$G$18,I1027)*10+9))),""))</f>
        <v/>
      </c>
      <c r="C1027" s="0" t="str">
        <f aca="false">IF(I1027="","",IF(AND(J1027&gt;=1,J1027&lt;=K1027+3),"10."&amp;INDEX(Eingabe!$D$9:$D$18,I1027)&amp;"."&amp;IF(J1027&lt;=K1027,J1027,IF(J1027=K1027+1,200,IF(J1027=K1027+2,201,250)))&amp;".0/24",""))</f>
        <v/>
      </c>
      <c r="D1027" s="0" t="str">
        <f aca="false">IF(I1027="","",IF(AND(J1027&gt;=1,J1027&lt;=K1027+3),"255.255.255.0",""))</f>
        <v/>
      </c>
      <c r="E1027" s="0" t="str">
        <f aca="false">IF(I1027="","",IF(AND(J1027&gt;=1,J1027&lt;=K1027+3),"10."&amp;INDEX(Eingabe!$D$9:$D$18,I1027)&amp;"."&amp;IF(J1027&lt;=K1027,J1027,IF(J1027=K1027+1,200,IF(J1027=K1027+2,201,250)))&amp;".1",""))</f>
        <v/>
      </c>
      <c r="F1027" s="0" t="str">
        <f aca="false">IF(I1027="","",IF(AND(J1027&gt;=1,J1027&lt;=K1027+3),"10."&amp;INDEX(Eingabe!$D$9:$D$18,I1027)&amp;"."&amp;IF(J1027&lt;=K1027,J1027,IF(J1027=K1027+1,200,IF(J1027=K1027+2,201,250)))&amp;".10 – 10."&amp;INDEX(Eingabe!$D$9:$D$18,I1027)&amp;"."&amp;IF(J1027&lt;=K1027,J1027,IF(J1027=K1027+1,200,IF(J1027=K1027+2,201,250)))&amp;".250",""))</f>
        <v/>
      </c>
      <c r="G1027" s="0" t="str">
        <f aca="false">IF(I1027="","",IF(AND(J1027&gt;=1,J1027&lt;=K1027),Eingabe!$B$6&amp;"-"&amp;INDEX(Eingabe!$C$9:$C$18,I1027)&amp;"-Pächter  ·  Passwort Parzelle "&amp;J1027,IF(J1027=K1027+1,Eingabe!$B$6&amp;"-"&amp;INDEX(Eingabe!$C$9:$C$18,I1027)&amp;"-Vorstand  ·  eigenes WLAN",IF(J1027=K1027+2,Eingabe!$B$6&amp;"-"&amp;INDEX(Eingabe!$C$9:$C$18,I1027)&amp;"-Gäste  ·  Voucher",IF(J1027=K1027+3,"Kabel  ·  Access Point y = .(50+y), Mast-Switch x = .(10+x)","")))))</f>
        <v/>
      </c>
      <c r="I1027" s="0" t="str">
        <f aca="false">IF(1022&lt;=(Eingabe!$P$18+Eingabe!$Q$18-1),MATCH(1022,Eingabe!$P$9:$P$18,1),"")</f>
        <v/>
      </c>
      <c r="J1027" s="0" t="str">
        <f aca="false">IF(I1027="","",1022-INDEX(Eingabe!$P$9:$P$18,I1027))</f>
        <v/>
      </c>
      <c r="K1027" s="0" t="str">
        <f aca="false">IF(I1027="","",INDEX(Eingabe!$E$9:$E$18,I1027))</f>
        <v/>
      </c>
    </row>
    <row r="1028" customFormat="false" ht="15" hidden="false" customHeight="false" outlineLevel="0" collapsed="false">
      <c r="A1028" s="0" t="str">
        <f aca="false">IF(I1028="","",IF(J1028=0,"Sparte "&amp;I1028&amp;": "&amp;INDEX(Eingabe!$B$9:$B$18,I1028)&amp;"  (Sparten-ID "&amp;INDEX(Eingabe!$D$9:$D$18,I1028)&amp;", "&amp;K1028&amp;" Parzellen)",IF(J1028&lt;=K1028,"   Parzelle "&amp;J1028,IF(J1028=K1028+1,"   Vorstand",IF(J1028=K1028+2,"   Gäste",IF(J1028=K1028+3,"   Technik (Switches, Access Points)",""))))))</f>
        <v/>
      </c>
      <c r="B1028" s="0" t="str">
        <f aca="false">IF(I1028="","",IF(AND(J1028&gt;=1,J1028&lt;=K1028+3),IF(J1028&lt;=K1028,IF(J1028&lt;=99,IF((INDEX(Eingabe!$G$9:$G$18,I1028))&lt;=9,1000+(INDEX(Eingabe!$G$9:$G$18,I1028))*100,3000)+J1028,IF((INDEX(Eingabe!$G$9:$G$18,I1028)+1)&lt;=9,1000+(INDEX(Eingabe!$G$9:$G$18,I1028)+1)*100,3000)+J1028-100),IF(J1028=K1028+1,2000+INDEX(Eingabe!$G$9:$G$18,I1028)*10+1,IF(J1028=K1028+2,2000+INDEX(Eingabe!$G$9:$G$18,I1028)*10+2,2000+INDEX(Eingabe!$G$9:$G$18,I1028)*10+9))),""))</f>
        <v/>
      </c>
      <c r="C1028" s="0" t="str">
        <f aca="false">IF(I1028="","",IF(AND(J1028&gt;=1,J1028&lt;=K1028+3),"10."&amp;INDEX(Eingabe!$D$9:$D$18,I1028)&amp;"."&amp;IF(J1028&lt;=K1028,J1028,IF(J1028=K1028+1,200,IF(J1028=K1028+2,201,250)))&amp;".0/24",""))</f>
        <v/>
      </c>
      <c r="D1028" s="0" t="str">
        <f aca="false">IF(I1028="","",IF(AND(J1028&gt;=1,J1028&lt;=K1028+3),"255.255.255.0",""))</f>
        <v/>
      </c>
      <c r="E1028" s="0" t="str">
        <f aca="false">IF(I1028="","",IF(AND(J1028&gt;=1,J1028&lt;=K1028+3),"10."&amp;INDEX(Eingabe!$D$9:$D$18,I1028)&amp;"."&amp;IF(J1028&lt;=K1028,J1028,IF(J1028=K1028+1,200,IF(J1028=K1028+2,201,250)))&amp;".1",""))</f>
        <v/>
      </c>
      <c r="F1028" s="0" t="str">
        <f aca="false">IF(I1028="","",IF(AND(J1028&gt;=1,J1028&lt;=K1028+3),"10."&amp;INDEX(Eingabe!$D$9:$D$18,I1028)&amp;"."&amp;IF(J1028&lt;=K1028,J1028,IF(J1028=K1028+1,200,IF(J1028=K1028+2,201,250)))&amp;".10 – 10."&amp;INDEX(Eingabe!$D$9:$D$18,I1028)&amp;"."&amp;IF(J1028&lt;=K1028,J1028,IF(J1028=K1028+1,200,IF(J1028=K1028+2,201,250)))&amp;".250",""))</f>
        <v/>
      </c>
      <c r="G1028" s="0" t="str">
        <f aca="false">IF(I1028="","",IF(AND(J1028&gt;=1,J1028&lt;=K1028),Eingabe!$B$6&amp;"-"&amp;INDEX(Eingabe!$C$9:$C$18,I1028)&amp;"-Pächter  ·  Passwort Parzelle "&amp;J1028,IF(J1028=K1028+1,Eingabe!$B$6&amp;"-"&amp;INDEX(Eingabe!$C$9:$C$18,I1028)&amp;"-Vorstand  ·  eigenes WLAN",IF(J1028=K1028+2,Eingabe!$B$6&amp;"-"&amp;INDEX(Eingabe!$C$9:$C$18,I1028)&amp;"-Gäste  ·  Voucher",IF(J1028=K1028+3,"Kabel  ·  Access Point y = .(50+y), Mast-Switch x = .(10+x)","")))))</f>
        <v/>
      </c>
      <c r="I1028" s="0" t="str">
        <f aca="false">IF(1023&lt;=(Eingabe!$P$18+Eingabe!$Q$18-1),MATCH(1023,Eingabe!$P$9:$P$18,1),"")</f>
        <v/>
      </c>
      <c r="J1028" s="0" t="str">
        <f aca="false">IF(I1028="","",1023-INDEX(Eingabe!$P$9:$P$18,I1028))</f>
        <v/>
      </c>
      <c r="K1028" s="0" t="str">
        <f aca="false">IF(I1028="","",INDEX(Eingabe!$E$9:$E$18,I1028))</f>
        <v/>
      </c>
    </row>
    <row r="1029" customFormat="false" ht="15" hidden="false" customHeight="false" outlineLevel="0" collapsed="false">
      <c r="A1029" s="0" t="str">
        <f aca="false">IF(I1029="","",IF(J1029=0,"Sparte "&amp;I1029&amp;": "&amp;INDEX(Eingabe!$B$9:$B$18,I1029)&amp;"  (Sparten-ID "&amp;INDEX(Eingabe!$D$9:$D$18,I1029)&amp;", "&amp;K1029&amp;" Parzellen)",IF(J1029&lt;=K1029,"   Parzelle "&amp;J1029,IF(J1029=K1029+1,"   Vorstand",IF(J1029=K1029+2,"   Gäste",IF(J1029=K1029+3,"   Technik (Switches, Access Points)",""))))))</f>
        <v/>
      </c>
      <c r="B1029" s="0" t="str">
        <f aca="false">IF(I1029="","",IF(AND(J1029&gt;=1,J1029&lt;=K1029+3),IF(J1029&lt;=K1029,IF(J1029&lt;=99,IF((INDEX(Eingabe!$G$9:$G$18,I1029))&lt;=9,1000+(INDEX(Eingabe!$G$9:$G$18,I1029))*100,3000)+J1029,IF((INDEX(Eingabe!$G$9:$G$18,I1029)+1)&lt;=9,1000+(INDEX(Eingabe!$G$9:$G$18,I1029)+1)*100,3000)+J1029-100),IF(J1029=K1029+1,2000+INDEX(Eingabe!$G$9:$G$18,I1029)*10+1,IF(J1029=K1029+2,2000+INDEX(Eingabe!$G$9:$G$18,I1029)*10+2,2000+INDEX(Eingabe!$G$9:$G$18,I1029)*10+9))),""))</f>
        <v/>
      </c>
      <c r="C1029" s="0" t="str">
        <f aca="false">IF(I1029="","",IF(AND(J1029&gt;=1,J1029&lt;=K1029+3),"10."&amp;INDEX(Eingabe!$D$9:$D$18,I1029)&amp;"."&amp;IF(J1029&lt;=K1029,J1029,IF(J1029=K1029+1,200,IF(J1029=K1029+2,201,250)))&amp;".0/24",""))</f>
        <v/>
      </c>
      <c r="D1029" s="0" t="str">
        <f aca="false">IF(I1029="","",IF(AND(J1029&gt;=1,J1029&lt;=K1029+3),"255.255.255.0",""))</f>
        <v/>
      </c>
      <c r="E1029" s="0" t="str">
        <f aca="false">IF(I1029="","",IF(AND(J1029&gt;=1,J1029&lt;=K1029+3),"10."&amp;INDEX(Eingabe!$D$9:$D$18,I1029)&amp;"."&amp;IF(J1029&lt;=K1029,J1029,IF(J1029=K1029+1,200,IF(J1029=K1029+2,201,250)))&amp;".1",""))</f>
        <v/>
      </c>
      <c r="F1029" s="0" t="str">
        <f aca="false">IF(I1029="","",IF(AND(J1029&gt;=1,J1029&lt;=K1029+3),"10."&amp;INDEX(Eingabe!$D$9:$D$18,I1029)&amp;"."&amp;IF(J1029&lt;=K1029,J1029,IF(J1029=K1029+1,200,IF(J1029=K1029+2,201,250)))&amp;".10 – 10."&amp;INDEX(Eingabe!$D$9:$D$18,I1029)&amp;"."&amp;IF(J1029&lt;=K1029,J1029,IF(J1029=K1029+1,200,IF(J1029=K1029+2,201,250)))&amp;".250",""))</f>
        <v/>
      </c>
      <c r="G1029" s="0" t="str">
        <f aca="false">IF(I1029="","",IF(AND(J1029&gt;=1,J1029&lt;=K1029),Eingabe!$B$6&amp;"-"&amp;INDEX(Eingabe!$C$9:$C$18,I1029)&amp;"-Pächter  ·  Passwort Parzelle "&amp;J1029,IF(J1029=K1029+1,Eingabe!$B$6&amp;"-"&amp;INDEX(Eingabe!$C$9:$C$18,I1029)&amp;"-Vorstand  ·  eigenes WLAN",IF(J1029=K1029+2,Eingabe!$B$6&amp;"-"&amp;INDEX(Eingabe!$C$9:$C$18,I1029)&amp;"-Gäste  ·  Voucher",IF(J1029=K1029+3,"Kabel  ·  Access Point y = .(50+y), Mast-Switch x = .(10+x)","")))))</f>
        <v/>
      </c>
      <c r="I1029" s="0" t="str">
        <f aca="false">IF(1024&lt;=(Eingabe!$P$18+Eingabe!$Q$18-1),MATCH(1024,Eingabe!$P$9:$P$18,1),"")</f>
        <v/>
      </c>
      <c r="J1029" s="0" t="str">
        <f aca="false">IF(I1029="","",1024-INDEX(Eingabe!$P$9:$P$18,I1029))</f>
        <v/>
      </c>
      <c r="K1029" s="0" t="str">
        <f aca="false">IF(I1029="","",INDEX(Eingabe!$E$9:$E$18,I1029))</f>
        <v/>
      </c>
    </row>
    <row r="1030" customFormat="false" ht="15" hidden="false" customHeight="false" outlineLevel="0" collapsed="false">
      <c r="A1030" s="0" t="str">
        <f aca="false">IF(I1030="","",IF(J1030=0,"Sparte "&amp;I1030&amp;": "&amp;INDEX(Eingabe!$B$9:$B$18,I1030)&amp;"  (Sparten-ID "&amp;INDEX(Eingabe!$D$9:$D$18,I1030)&amp;", "&amp;K1030&amp;" Parzellen)",IF(J1030&lt;=K1030,"   Parzelle "&amp;J1030,IF(J1030=K1030+1,"   Vorstand",IF(J1030=K1030+2,"   Gäste",IF(J1030=K1030+3,"   Technik (Switches, Access Points)",""))))))</f>
        <v/>
      </c>
      <c r="B1030" s="0" t="str">
        <f aca="false">IF(I1030="","",IF(AND(J1030&gt;=1,J1030&lt;=K1030+3),IF(J1030&lt;=K1030,IF(J1030&lt;=99,IF((INDEX(Eingabe!$G$9:$G$18,I1030))&lt;=9,1000+(INDEX(Eingabe!$G$9:$G$18,I1030))*100,3000)+J1030,IF((INDEX(Eingabe!$G$9:$G$18,I1030)+1)&lt;=9,1000+(INDEX(Eingabe!$G$9:$G$18,I1030)+1)*100,3000)+J1030-100),IF(J1030=K1030+1,2000+INDEX(Eingabe!$G$9:$G$18,I1030)*10+1,IF(J1030=K1030+2,2000+INDEX(Eingabe!$G$9:$G$18,I1030)*10+2,2000+INDEX(Eingabe!$G$9:$G$18,I1030)*10+9))),""))</f>
        <v/>
      </c>
      <c r="C1030" s="0" t="str">
        <f aca="false">IF(I1030="","",IF(AND(J1030&gt;=1,J1030&lt;=K1030+3),"10."&amp;INDEX(Eingabe!$D$9:$D$18,I1030)&amp;"."&amp;IF(J1030&lt;=K1030,J1030,IF(J1030=K1030+1,200,IF(J1030=K1030+2,201,250)))&amp;".0/24",""))</f>
        <v/>
      </c>
      <c r="D1030" s="0" t="str">
        <f aca="false">IF(I1030="","",IF(AND(J1030&gt;=1,J1030&lt;=K1030+3),"255.255.255.0",""))</f>
        <v/>
      </c>
      <c r="E1030" s="0" t="str">
        <f aca="false">IF(I1030="","",IF(AND(J1030&gt;=1,J1030&lt;=K1030+3),"10."&amp;INDEX(Eingabe!$D$9:$D$18,I1030)&amp;"."&amp;IF(J1030&lt;=K1030,J1030,IF(J1030=K1030+1,200,IF(J1030=K1030+2,201,250)))&amp;".1",""))</f>
        <v/>
      </c>
      <c r="F1030" s="0" t="str">
        <f aca="false">IF(I1030="","",IF(AND(J1030&gt;=1,J1030&lt;=K1030+3),"10."&amp;INDEX(Eingabe!$D$9:$D$18,I1030)&amp;"."&amp;IF(J1030&lt;=K1030,J1030,IF(J1030=K1030+1,200,IF(J1030=K1030+2,201,250)))&amp;".10 – 10."&amp;INDEX(Eingabe!$D$9:$D$18,I1030)&amp;"."&amp;IF(J1030&lt;=K1030,J1030,IF(J1030=K1030+1,200,IF(J1030=K1030+2,201,250)))&amp;".250",""))</f>
        <v/>
      </c>
      <c r="G1030" s="0" t="str">
        <f aca="false">IF(I1030="","",IF(AND(J1030&gt;=1,J1030&lt;=K1030),Eingabe!$B$6&amp;"-"&amp;INDEX(Eingabe!$C$9:$C$18,I1030)&amp;"-Pächter  ·  Passwort Parzelle "&amp;J1030,IF(J1030=K1030+1,Eingabe!$B$6&amp;"-"&amp;INDEX(Eingabe!$C$9:$C$18,I1030)&amp;"-Vorstand  ·  eigenes WLAN",IF(J1030=K1030+2,Eingabe!$B$6&amp;"-"&amp;INDEX(Eingabe!$C$9:$C$18,I1030)&amp;"-Gäste  ·  Voucher",IF(J1030=K1030+3,"Kabel  ·  Access Point y = .(50+y), Mast-Switch x = .(10+x)","")))))</f>
        <v/>
      </c>
      <c r="I1030" s="0" t="str">
        <f aca="false">IF(1025&lt;=(Eingabe!$P$18+Eingabe!$Q$18-1),MATCH(1025,Eingabe!$P$9:$P$18,1),"")</f>
        <v/>
      </c>
      <c r="J1030" s="0" t="str">
        <f aca="false">IF(I1030="","",1025-INDEX(Eingabe!$P$9:$P$18,I1030))</f>
        <v/>
      </c>
      <c r="K1030" s="0" t="str">
        <f aca="false">IF(I1030="","",INDEX(Eingabe!$E$9:$E$18,I1030))</f>
        <v/>
      </c>
    </row>
    <row r="1031" customFormat="false" ht="15" hidden="false" customHeight="false" outlineLevel="0" collapsed="false">
      <c r="A1031" s="0" t="str">
        <f aca="false">IF(I1031="","",IF(J1031=0,"Sparte "&amp;I1031&amp;": "&amp;INDEX(Eingabe!$B$9:$B$18,I1031)&amp;"  (Sparten-ID "&amp;INDEX(Eingabe!$D$9:$D$18,I1031)&amp;", "&amp;K1031&amp;" Parzellen)",IF(J1031&lt;=K1031,"   Parzelle "&amp;J1031,IF(J1031=K1031+1,"   Vorstand",IF(J1031=K1031+2,"   Gäste",IF(J1031=K1031+3,"   Technik (Switches, Access Points)",""))))))</f>
        <v/>
      </c>
      <c r="B1031" s="0" t="str">
        <f aca="false">IF(I1031="","",IF(AND(J1031&gt;=1,J1031&lt;=K1031+3),IF(J1031&lt;=K1031,IF(J1031&lt;=99,IF((INDEX(Eingabe!$G$9:$G$18,I1031))&lt;=9,1000+(INDEX(Eingabe!$G$9:$G$18,I1031))*100,3000)+J1031,IF((INDEX(Eingabe!$G$9:$G$18,I1031)+1)&lt;=9,1000+(INDEX(Eingabe!$G$9:$G$18,I1031)+1)*100,3000)+J1031-100),IF(J1031=K1031+1,2000+INDEX(Eingabe!$G$9:$G$18,I1031)*10+1,IF(J1031=K1031+2,2000+INDEX(Eingabe!$G$9:$G$18,I1031)*10+2,2000+INDEX(Eingabe!$G$9:$G$18,I1031)*10+9))),""))</f>
        <v/>
      </c>
      <c r="C1031" s="0" t="str">
        <f aca="false">IF(I1031="","",IF(AND(J1031&gt;=1,J1031&lt;=K1031+3),"10."&amp;INDEX(Eingabe!$D$9:$D$18,I1031)&amp;"."&amp;IF(J1031&lt;=K1031,J1031,IF(J1031=K1031+1,200,IF(J1031=K1031+2,201,250)))&amp;".0/24",""))</f>
        <v/>
      </c>
      <c r="D1031" s="0" t="str">
        <f aca="false">IF(I1031="","",IF(AND(J1031&gt;=1,J1031&lt;=K1031+3),"255.255.255.0",""))</f>
        <v/>
      </c>
      <c r="E1031" s="0" t="str">
        <f aca="false">IF(I1031="","",IF(AND(J1031&gt;=1,J1031&lt;=K1031+3),"10."&amp;INDEX(Eingabe!$D$9:$D$18,I1031)&amp;"."&amp;IF(J1031&lt;=K1031,J1031,IF(J1031=K1031+1,200,IF(J1031=K1031+2,201,250)))&amp;".1",""))</f>
        <v/>
      </c>
      <c r="F1031" s="0" t="str">
        <f aca="false">IF(I1031="","",IF(AND(J1031&gt;=1,J1031&lt;=K1031+3),"10."&amp;INDEX(Eingabe!$D$9:$D$18,I1031)&amp;"."&amp;IF(J1031&lt;=K1031,J1031,IF(J1031=K1031+1,200,IF(J1031=K1031+2,201,250)))&amp;".10 – 10."&amp;INDEX(Eingabe!$D$9:$D$18,I1031)&amp;"."&amp;IF(J1031&lt;=K1031,J1031,IF(J1031=K1031+1,200,IF(J1031=K1031+2,201,250)))&amp;".250",""))</f>
        <v/>
      </c>
      <c r="G1031" s="0" t="str">
        <f aca="false">IF(I1031="","",IF(AND(J1031&gt;=1,J1031&lt;=K1031),Eingabe!$B$6&amp;"-"&amp;INDEX(Eingabe!$C$9:$C$18,I1031)&amp;"-Pächter  ·  Passwort Parzelle "&amp;J1031,IF(J1031=K1031+1,Eingabe!$B$6&amp;"-"&amp;INDEX(Eingabe!$C$9:$C$18,I1031)&amp;"-Vorstand  ·  eigenes WLAN",IF(J1031=K1031+2,Eingabe!$B$6&amp;"-"&amp;INDEX(Eingabe!$C$9:$C$18,I1031)&amp;"-Gäste  ·  Voucher",IF(J1031=K1031+3,"Kabel  ·  Access Point y = .(50+y), Mast-Switch x = .(10+x)","")))))</f>
        <v/>
      </c>
      <c r="I1031" s="0" t="str">
        <f aca="false">IF(1026&lt;=(Eingabe!$P$18+Eingabe!$Q$18-1),MATCH(1026,Eingabe!$P$9:$P$18,1),"")</f>
        <v/>
      </c>
      <c r="J1031" s="0" t="str">
        <f aca="false">IF(I1031="","",1026-INDEX(Eingabe!$P$9:$P$18,I1031))</f>
        <v/>
      </c>
      <c r="K1031" s="0" t="str">
        <f aca="false">IF(I1031="","",INDEX(Eingabe!$E$9:$E$18,I1031))</f>
        <v/>
      </c>
    </row>
    <row r="1032" customFormat="false" ht="15" hidden="false" customHeight="false" outlineLevel="0" collapsed="false">
      <c r="A1032" s="0" t="str">
        <f aca="false">IF(I1032="","",IF(J1032=0,"Sparte "&amp;I1032&amp;": "&amp;INDEX(Eingabe!$B$9:$B$18,I1032)&amp;"  (Sparten-ID "&amp;INDEX(Eingabe!$D$9:$D$18,I1032)&amp;", "&amp;K1032&amp;" Parzellen)",IF(J1032&lt;=K1032,"   Parzelle "&amp;J1032,IF(J1032=K1032+1,"   Vorstand",IF(J1032=K1032+2,"   Gäste",IF(J1032=K1032+3,"   Technik (Switches, Access Points)",""))))))</f>
        <v/>
      </c>
      <c r="B1032" s="0" t="str">
        <f aca="false">IF(I1032="","",IF(AND(J1032&gt;=1,J1032&lt;=K1032+3),IF(J1032&lt;=K1032,IF(J1032&lt;=99,IF((INDEX(Eingabe!$G$9:$G$18,I1032))&lt;=9,1000+(INDEX(Eingabe!$G$9:$G$18,I1032))*100,3000)+J1032,IF((INDEX(Eingabe!$G$9:$G$18,I1032)+1)&lt;=9,1000+(INDEX(Eingabe!$G$9:$G$18,I1032)+1)*100,3000)+J1032-100),IF(J1032=K1032+1,2000+INDEX(Eingabe!$G$9:$G$18,I1032)*10+1,IF(J1032=K1032+2,2000+INDEX(Eingabe!$G$9:$G$18,I1032)*10+2,2000+INDEX(Eingabe!$G$9:$G$18,I1032)*10+9))),""))</f>
        <v/>
      </c>
      <c r="C1032" s="0" t="str">
        <f aca="false">IF(I1032="","",IF(AND(J1032&gt;=1,J1032&lt;=K1032+3),"10."&amp;INDEX(Eingabe!$D$9:$D$18,I1032)&amp;"."&amp;IF(J1032&lt;=K1032,J1032,IF(J1032=K1032+1,200,IF(J1032=K1032+2,201,250)))&amp;".0/24",""))</f>
        <v/>
      </c>
      <c r="D1032" s="0" t="str">
        <f aca="false">IF(I1032="","",IF(AND(J1032&gt;=1,J1032&lt;=K1032+3),"255.255.255.0",""))</f>
        <v/>
      </c>
      <c r="E1032" s="0" t="str">
        <f aca="false">IF(I1032="","",IF(AND(J1032&gt;=1,J1032&lt;=K1032+3),"10."&amp;INDEX(Eingabe!$D$9:$D$18,I1032)&amp;"."&amp;IF(J1032&lt;=K1032,J1032,IF(J1032=K1032+1,200,IF(J1032=K1032+2,201,250)))&amp;".1",""))</f>
        <v/>
      </c>
      <c r="F1032" s="0" t="str">
        <f aca="false">IF(I1032="","",IF(AND(J1032&gt;=1,J1032&lt;=K1032+3),"10."&amp;INDEX(Eingabe!$D$9:$D$18,I1032)&amp;"."&amp;IF(J1032&lt;=K1032,J1032,IF(J1032=K1032+1,200,IF(J1032=K1032+2,201,250)))&amp;".10 – 10."&amp;INDEX(Eingabe!$D$9:$D$18,I1032)&amp;"."&amp;IF(J1032&lt;=K1032,J1032,IF(J1032=K1032+1,200,IF(J1032=K1032+2,201,250)))&amp;".250",""))</f>
        <v/>
      </c>
      <c r="G1032" s="0" t="str">
        <f aca="false">IF(I1032="","",IF(AND(J1032&gt;=1,J1032&lt;=K1032),Eingabe!$B$6&amp;"-"&amp;INDEX(Eingabe!$C$9:$C$18,I1032)&amp;"-Pächter  ·  Passwort Parzelle "&amp;J1032,IF(J1032=K1032+1,Eingabe!$B$6&amp;"-"&amp;INDEX(Eingabe!$C$9:$C$18,I1032)&amp;"-Vorstand  ·  eigenes WLAN",IF(J1032=K1032+2,Eingabe!$B$6&amp;"-"&amp;INDEX(Eingabe!$C$9:$C$18,I1032)&amp;"-Gäste  ·  Voucher",IF(J1032=K1032+3,"Kabel  ·  Access Point y = .(50+y), Mast-Switch x = .(10+x)","")))))</f>
        <v/>
      </c>
      <c r="I1032" s="0" t="str">
        <f aca="false">IF(1027&lt;=(Eingabe!$P$18+Eingabe!$Q$18-1),MATCH(1027,Eingabe!$P$9:$P$18,1),"")</f>
        <v/>
      </c>
      <c r="J1032" s="0" t="str">
        <f aca="false">IF(I1032="","",1027-INDEX(Eingabe!$P$9:$P$18,I1032))</f>
        <v/>
      </c>
      <c r="K1032" s="0" t="str">
        <f aca="false">IF(I1032="","",INDEX(Eingabe!$E$9:$E$18,I1032))</f>
        <v/>
      </c>
    </row>
    <row r="1033" customFormat="false" ht="15" hidden="false" customHeight="false" outlineLevel="0" collapsed="false">
      <c r="A1033" s="0" t="str">
        <f aca="false">IF(I1033="","",IF(J1033=0,"Sparte "&amp;I1033&amp;": "&amp;INDEX(Eingabe!$B$9:$B$18,I1033)&amp;"  (Sparten-ID "&amp;INDEX(Eingabe!$D$9:$D$18,I1033)&amp;", "&amp;K1033&amp;" Parzellen)",IF(J1033&lt;=K1033,"   Parzelle "&amp;J1033,IF(J1033=K1033+1,"   Vorstand",IF(J1033=K1033+2,"   Gäste",IF(J1033=K1033+3,"   Technik (Switches, Access Points)",""))))))</f>
        <v/>
      </c>
      <c r="B1033" s="0" t="str">
        <f aca="false">IF(I1033="","",IF(AND(J1033&gt;=1,J1033&lt;=K1033+3),IF(J1033&lt;=K1033,IF(J1033&lt;=99,IF((INDEX(Eingabe!$G$9:$G$18,I1033))&lt;=9,1000+(INDEX(Eingabe!$G$9:$G$18,I1033))*100,3000)+J1033,IF((INDEX(Eingabe!$G$9:$G$18,I1033)+1)&lt;=9,1000+(INDEX(Eingabe!$G$9:$G$18,I1033)+1)*100,3000)+J1033-100),IF(J1033=K1033+1,2000+INDEX(Eingabe!$G$9:$G$18,I1033)*10+1,IF(J1033=K1033+2,2000+INDEX(Eingabe!$G$9:$G$18,I1033)*10+2,2000+INDEX(Eingabe!$G$9:$G$18,I1033)*10+9))),""))</f>
        <v/>
      </c>
      <c r="C1033" s="0" t="str">
        <f aca="false">IF(I1033="","",IF(AND(J1033&gt;=1,J1033&lt;=K1033+3),"10."&amp;INDEX(Eingabe!$D$9:$D$18,I1033)&amp;"."&amp;IF(J1033&lt;=K1033,J1033,IF(J1033=K1033+1,200,IF(J1033=K1033+2,201,250)))&amp;".0/24",""))</f>
        <v/>
      </c>
      <c r="D1033" s="0" t="str">
        <f aca="false">IF(I1033="","",IF(AND(J1033&gt;=1,J1033&lt;=K1033+3),"255.255.255.0",""))</f>
        <v/>
      </c>
      <c r="E1033" s="0" t="str">
        <f aca="false">IF(I1033="","",IF(AND(J1033&gt;=1,J1033&lt;=K1033+3),"10."&amp;INDEX(Eingabe!$D$9:$D$18,I1033)&amp;"."&amp;IF(J1033&lt;=K1033,J1033,IF(J1033=K1033+1,200,IF(J1033=K1033+2,201,250)))&amp;".1",""))</f>
        <v/>
      </c>
      <c r="F1033" s="0" t="str">
        <f aca="false">IF(I1033="","",IF(AND(J1033&gt;=1,J1033&lt;=K1033+3),"10."&amp;INDEX(Eingabe!$D$9:$D$18,I1033)&amp;"."&amp;IF(J1033&lt;=K1033,J1033,IF(J1033=K1033+1,200,IF(J1033=K1033+2,201,250)))&amp;".10 – 10."&amp;INDEX(Eingabe!$D$9:$D$18,I1033)&amp;"."&amp;IF(J1033&lt;=K1033,J1033,IF(J1033=K1033+1,200,IF(J1033=K1033+2,201,250)))&amp;".250",""))</f>
        <v/>
      </c>
      <c r="G1033" s="0" t="str">
        <f aca="false">IF(I1033="","",IF(AND(J1033&gt;=1,J1033&lt;=K1033),Eingabe!$B$6&amp;"-"&amp;INDEX(Eingabe!$C$9:$C$18,I1033)&amp;"-Pächter  ·  Passwort Parzelle "&amp;J1033,IF(J1033=K1033+1,Eingabe!$B$6&amp;"-"&amp;INDEX(Eingabe!$C$9:$C$18,I1033)&amp;"-Vorstand  ·  eigenes WLAN",IF(J1033=K1033+2,Eingabe!$B$6&amp;"-"&amp;INDEX(Eingabe!$C$9:$C$18,I1033)&amp;"-Gäste  ·  Voucher",IF(J1033=K1033+3,"Kabel  ·  Access Point y = .(50+y), Mast-Switch x = .(10+x)","")))))</f>
        <v/>
      </c>
      <c r="I1033" s="0" t="str">
        <f aca="false">IF(1028&lt;=(Eingabe!$P$18+Eingabe!$Q$18-1),MATCH(1028,Eingabe!$P$9:$P$18,1),"")</f>
        <v/>
      </c>
      <c r="J1033" s="0" t="str">
        <f aca="false">IF(I1033="","",1028-INDEX(Eingabe!$P$9:$P$18,I1033))</f>
        <v/>
      </c>
      <c r="K1033" s="0" t="str">
        <f aca="false">IF(I1033="","",INDEX(Eingabe!$E$9:$E$18,I1033))</f>
        <v/>
      </c>
    </row>
    <row r="1034" customFormat="false" ht="15" hidden="false" customHeight="false" outlineLevel="0" collapsed="false">
      <c r="A1034" s="0" t="str">
        <f aca="false">IF(I1034="","",IF(J1034=0,"Sparte "&amp;I1034&amp;": "&amp;INDEX(Eingabe!$B$9:$B$18,I1034)&amp;"  (Sparten-ID "&amp;INDEX(Eingabe!$D$9:$D$18,I1034)&amp;", "&amp;K1034&amp;" Parzellen)",IF(J1034&lt;=K1034,"   Parzelle "&amp;J1034,IF(J1034=K1034+1,"   Vorstand",IF(J1034=K1034+2,"   Gäste",IF(J1034=K1034+3,"   Technik (Switches, Access Points)",""))))))</f>
        <v/>
      </c>
      <c r="B1034" s="0" t="str">
        <f aca="false">IF(I1034="","",IF(AND(J1034&gt;=1,J1034&lt;=K1034+3),IF(J1034&lt;=K1034,IF(J1034&lt;=99,IF((INDEX(Eingabe!$G$9:$G$18,I1034))&lt;=9,1000+(INDEX(Eingabe!$G$9:$G$18,I1034))*100,3000)+J1034,IF((INDEX(Eingabe!$G$9:$G$18,I1034)+1)&lt;=9,1000+(INDEX(Eingabe!$G$9:$G$18,I1034)+1)*100,3000)+J1034-100),IF(J1034=K1034+1,2000+INDEX(Eingabe!$G$9:$G$18,I1034)*10+1,IF(J1034=K1034+2,2000+INDEX(Eingabe!$G$9:$G$18,I1034)*10+2,2000+INDEX(Eingabe!$G$9:$G$18,I1034)*10+9))),""))</f>
        <v/>
      </c>
      <c r="C1034" s="0" t="str">
        <f aca="false">IF(I1034="","",IF(AND(J1034&gt;=1,J1034&lt;=K1034+3),"10."&amp;INDEX(Eingabe!$D$9:$D$18,I1034)&amp;"."&amp;IF(J1034&lt;=K1034,J1034,IF(J1034=K1034+1,200,IF(J1034=K1034+2,201,250)))&amp;".0/24",""))</f>
        <v/>
      </c>
      <c r="D1034" s="0" t="str">
        <f aca="false">IF(I1034="","",IF(AND(J1034&gt;=1,J1034&lt;=K1034+3),"255.255.255.0",""))</f>
        <v/>
      </c>
      <c r="E1034" s="0" t="str">
        <f aca="false">IF(I1034="","",IF(AND(J1034&gt;=1,J1034&lt;=K1034+3),"10."&amp;INDEX(Eingabe!$D$9:$D$18,I1034)&amp;"."&amp;IF(J1034&lt;=K1034,J1034,IF(J1034=K1034+1,200,IF(J1034=K1034+2,201,250)))&amp;".1",""))</f>
        <v/>
      </c>
      <c r="F1034" s="0" t="str">
        <f aca="false">IF(I1034="","",IF(AND(J1034&gt;=1,J1034&lt;=K1034+3),"10."&amp;INDEX(Eingabe!$D$9:$D$18,I1034)&amp;"."&amp;IF(J1034&lt;=K1034,J1034,IF(J1034=K1034+1,200,IF(J1034=K1034+2,201,250)))&amp;".10 – 10."&amp;INDEX(Eingabe!$D$9:$D$18,I1034)&amp;"."&amp;IF(J1034&lt;=K1034,J1034,IF(J1034=K1034+1,200,IF(J1034=K1034+2,201,250)))&amp;".250",""))</f>
        <v/>
      </c>
      <c r="G1034" s="0" t="str">
        <f aca="false">IF(I1034="","",IF(AND(J1034&gt;=1,J1034&lt;=K1034),Eingabe!$B$6&amp;"-"&amp;INDEX(Eingabe!$C$9:$C$18,I1034)&amp;"-Pächter  ·  Passwort Parzelle "&amp;J1034,IF(J1034=K1034+1,Eingabe!$B$6&amp;"-"&amp;INDEX(Eingabe!$C$9:$C$18,I1034)&amp;"-Vorstand  ·  eigenes WLAN",IF(J1034=K1034+2,Eingabe!$B$6&amp;"-"&amp;INDEX(Eingabe!$C$9:$C$18,I1034)&amp;"-Gäste  ·  Voucher",IF(J1034=K1034+3,"Kabel  ·  Access Point y = .(50+y), Mast-Switch x = .(10+x)","")))))</f>
        <v/>
      </c>
      <c r="I1034" s="0" t="str">
        <f aca="false">IF(1029&lt;=(Eingabe!$P$18+Eingabe!$Q$18-1),MATCH(1029,Eingabe!$P$9:$P$18,1),"")</f>
        <v/>
      </c>
      <c r="J1034" s="0" t="str">
        <f aca="false">IF(I1034="","",1029-INDEX(Eingabe!$P$9:$P$18,I1034))</f>
        <v/>
      </c>
      <c r="K1034" s="0" t="str">
        <f aca="false">IF(I1034="","",INDEX(Eingabe!$E$9:$E$18,I1034))</f>
        <v/>
      </c>
    </row>
    <row r="1035" customFormat="false" ht="15" hidden="false" customHeight="false" outlineLevel="0" collapsed="false">
      <c r="A1035" s="0" t="str">
        <f aca="false">IF(I1035="","",IF(J1035=0,"Sparte "&amp;I1035&amp;": "&amp;INDEX(Eingabe!$B$9:$B$18,I1035)&amp;"  (Sparten-ID "&amp;INDEX(Eingabe!$D$9:$D$18,I1035)&amp;", "&amp;K1035&amp;" Parzellen)",IF(J1035&lt;=K1035,"   Parzelle "&amp;J1035,IF(J1035=K1035+1,"   Vorstand",IF(J1035=K1035+2,"   Gäste",IF(J1035=K1035+3,"   Technik (Switches, Access Points)",""))))))</f>
        <v/>
      </c>
      <c r="B1035" s="0" t="str">
        <f aca="false">IF(I1035="","",IF(AND(J1035&gt;=1,J1035&lt;=K1035+3),IF(J1035&lt;=K1035,IF(J1035&lt;=99,IF((INDEX(Eingabe!$G$9:$G$18,I1035))&lt;=9,1000+(INDEX(Eingabe!$G$9:$G$18,I1035))*100,3000)+J1035,IF((INDEX(Eingabe!$G$9:$G$18,I1035)+1)&lt;=9,1000+(INDEX(Eingabe!$G$9:$G$18,I1035)+1)*100,3000)+J1035-100),IF(J1035=K1035+1,2000+INDEX(Eingabe!$G$9:$G$18,I1035)*10+1,IF(J1035=K1035+2,2000+INDEX(Eingabe!$G$9:$G$18,I1035)*10+2,2000+INDEX(Eingabe!$G$9:$G$18,I1035)*10+9))),""))</f>
        <v/>
      </c>
      <c r="C1035" s="0" t="str">
        <f aca="false">IF(I1035="","",IF(AND(J1035&gt;=1,J1035&lt;=K1035+3),"10."&amp;INDEX(Eingabe!$D$9:$D$18,I1035)&amp;"."&amp;IF(J1035&lt;=K1035,J1035,IF(J1035=K1035+1,200,IF(J1035=K1035+2,201,250)))&amp;".0/24",""))</f>
        <v/>
      </c>
      <c r="D1035" s="0" t="str">
        <f aca="false">IF(I1035="","",IF(AND(J1035&gt;=1,J1035&lt;=K1035+3),"255.255.255.0",""))</f>
        <v/>
      </c>
      <c r="E1035" s="0" t="str">
        <f aca="false">IF(I1035="","",IF(AND(J1035&gt;=1,J1035&lt;=K1035+3),"10."&amp;INDEX(Eingabe!$D$9:$D$18,I1035)&amp;"."&amp;IF(J1035&lt;=K1035,J1035,IF(J1035=K1035+1,200,IF(J1035=K1035+2,201,250)))&amp;".1",""))</f>
        <v/>
      </c>
      <c r="F1035" s="0" t="str">
        <f aca="false">IF(I1035="","",IF(AND(J1035&gt;=1,J1035&lt;=K1035+3),"10."&amp;INDEX(Eingabe!$D$9:$D$18,I1035)&amp;"."&amp;IF(J1035&lt;=K1035,J1035,IF(J1035=K1035+1,200,IF(J1035=K1035+2,201,250)))&amp;".10 – 10."&amp;INDEX(Eingabe!$D$9:$D$18,I1035)&amp;"."&amp;IF(J1035&lt;=K1035,J1035,IF(J1035=K1035+1,200,IF(J1035=K1035+2,201,250)))&amp;".250",""))</f>
        <v/>
      </c>
      <c r="G1035" s="0" t="str">
        <f aca="false">IF(I1035="","",IF(AND(J1035&gt;=1,J1035&lt;=K1035),Eingabe!$B$6&amp;"-"&amp;INDEX(Eingabe!$C$9:$C$18,I1035)&amp;"-Pächter  ·  Passwort Parzelle "&amp;J1035,IF(J1035=K1035+1,Eingabe!$B$6&amp;"-"&amp;INDEX(Eingabe!$C$9:$C$18,I1035)&amp;"-Vorstand  ·  eigenes WLAN",IF(J1035=K1035+2,Eingabe!$B$6&amp;"-"&amp;INDEX(Eingabe!$C$9:$C$18,I1035)&amp;"-Gäste  ·  Voucher",IF(J1035=K1035+3,"Kabel  ·  Access Point y = .(50+y), Mast-Switch x = .(10+x)","")))))</f>
        <v/>
      </c>
      <c r="I1035" s="0" t="str">
        <f aca="false">IF(1030&lt;=(Eingabe!$P$18+Eingabe!$Q$18-1),MATCH(1030,Eingabe!$P$9:$P$18,1),"")</f>
        <v/>
      </c>
      <c r="J1035" s="0" t="str">
        <f aca="false">IF(I1035="","",1030-INDEX(Eingabe!$P$9:$P$18,I1035))</f>
        <v/>
      </c>
      <c r="K1035" s="0" t="str">
        <f aca="false">IF(I1035="","",INDEX(Eingabe!$E$9:$E$18,I1035))</f>
        <v/>
      </c>
    </row>
    <row r="1036" customFormat="false" ht="15" hidden="false" customHeight="false" outlineLevel="0" collapsed="false">
      <c r="A1036" s="0" t="str">
        <f aca="false">IF(I1036="","",IF(J1036=0,"Sparte "&amp;I1036&amp;": "&amp;INDEX(Eingabe!$B$9:$B$18,I1036)&amp;"  (Sparten-ID "&amp;INDEX(Eingabe!$D$9:$D$18,I1036)&amp;", "&amp;K1036&amp;" Parzellen)",IF(J1036&lt;=K1036,"   Parzelle "&amp;J1036,IF(J1036=K1036+1,"   Vorstand",IF(J1036=K1036+2,"   Gäste",IF(J1036=K1036+3,"   Technik (Switches, Access Points)",""))))))</f>
        <v/>
      </c>
      <c r="B1036" s="0" t="str">
        <f aca="false">IF(I1036="","",IF(AND(J1036&gt;=1,J1036&lt;=K1036+3),IF(J1036&lt;=K1036,IF(J1036&lt;=99,IF((INDEX(Eingabe!$G$9:$G$18,I1036))&lt;=9,1000+(INDEX(Eingabe!$G$9:$G$18,I1036))*100,3000)+J1036,IF((INDEX(Eingabe!$G$9:$G$18,I1036)+1)&lt;=9,1000+(INDEX(Eingabe!$G$9:$G$18,I1036)+1)*100,3000)+J1036-100),IF(J1036=K1036+1,2000+INDEX(Eingabe!$G$9:$G$18,I1036)*10+1,IF(J1036=K1036+2,2000+INDEX(Eingabe!$G$9:$G$18,I1036)*10+2,2000+INDEX(Eingabe!$G$9:$G$18,I1036)*10+9))),""))</f>
        <v/>
      </c>
      <c r="C1036" s="0" t="str">
        <f aca="false">IF(I1036="","",IF(AND(J1036&gt;=1,J1036&lt;=K1036+3),"10."&amp;INDEX(Eingabe!$D$9:$D$18,I1036)&amp;"."&amp;IF(J1036&lt;=K1036,J1036,IF(J1036=K1036+1,200,IF(J1036=K1036+2,201,250)))&amp;".0/24",""))</f>
        <v/>
      </c>
      <c r="D1036" s="0" t="str">
        <f aca="false">IF(I1036="","",IF(AND(J1036&gt;=1,J1036&lt;=K1036+3),"255.255.255.0",""))</f>
        <v/>
      </c>
      <c r="E1036" s="0" t="str">
        <f aca="false">IF(I1036="","",IF(AND(J1036&gt;=1,J1036&lt;=K1036+3),"10."&amp;INDEX(Eingabe!$D$9:$D$18,I1036)&amp;"."&amp;IF(J1036&lt;=K1036,J1036,IF(J1036=K1036+1,200,IF(J1036=K1036+2,201,250)))&amp;".1",""))</f>
        <v/>
      </c>
      <c r="F1036" s="0" t="str">
        <f aca="false">IF(I1036="","",IF(AND(J1036&gt;=1,J1036&lt;=K1036+3),"10."&amp;INDEX(Eingabe!$D$9:$D$18,I1036)&amp;"."&amp;IF(J1036&lt;=K1036,J1036,IF(J1036=K1036+1,200,IF(J1036=K1036+2,201,250)))&amp;".10 – 10."&amp;INDEX(Eingabe!$D$9:$D$18,I1036)&amp;"."&amp;IF(J1036&lt;=K1036,J1036,IF(J1036=K1036+1,200,IF(J1036=K1036+2,201,250)))&amp;".250",""))</f>
        <v/>
      </c>
      <c r="G1036" s="0" t="str">
        <f aca="false">IF(I1036="","",IF(AND(J1036&gt;=1,J1036&lt;=K1036),Eingabe!$B$6&amp;"-"&amp;INDEX(Eingabe!$C$9:$C$18,I1036)&amp;"-Pächter  ·  Passwort Parzelle "&amp;J1036,IF(J1036=K1036+1,Eingabe!$B$6&amp;"-"&amp;INDEX(Eingabe!$C$9:$C$18,I1036)&amp;"-Vorstand  ·  eigenes WLAN",IF(J1036=K1036+2,Eingabe!$B$6&amp;"-"&amp;INDEX(Eingabe!$C$9:$C$18,I1036)&amp;"-Gäste  ·  Voucher",IF(J1036=K1036+3,"Kabel  ·  Access Point y = .(50+y), Mast-Switch x = .(10+x)","")))))</f>
        <v/>
      </c>
      <c r="I1036" s="0" t="str">
        <f aca="false">IF(1031&lt;=(Eingabe!$P$18+Eingabe!$Q$18-1),MATCH(1031,Eingabe!$P$9:$P$18,1),"")</f>
        <v/>
      </c>
      <c r="J1036" s="0" t="str">
        <f aca="false">IF(I1036="","",1031-INDEX(Eingabe!$P$9:$P$18,I1036))</f>
        <v/>
      </c>
      <c r="K1036" s="0" t="str">
        <f aca="false">IF(I1036="","",INDEX(Eingabe!$E$9:$E$18,I1036))</f>
        <v/>
      </c>
    </row>
    <row r="1037" customFormat="false" ht="15" hidden="false" customHeight="false" outlineLevel="0" collapsed="false">
      <c r="A1037" s="0" t="str">
        <f aca="false">IF(I1037="","",IF(J1037=0,"Sparte "&amp;I1037&amp;": "&amp;INDEX(Eingabe!$B$9:$B$18,I1037)&amp;"  (Sparten-ID "&amp;INDEX(Eingabe!$D$9:$D$18,I1037)&amp;", "&amp;K1037&amp;" Parzellen)",IF(J1037&lt;=K1037,"   Parzelle "&amp;J1037,IF(J1037=K1037+1,"   Vorstand",IF(J1037=K1037+2,"   Gäste",IF(J1037=K1037+3,"   Technik (Switches, Access Points)",""))))))</f>
        <v/>
      </c>
      <c r="B1037" s="0" t="str">
        <f aca="false">IF(I1037="","",IF(AND(J1037&gt;=1,J1037&lt;=K1037+3),IF(J1037&lt;=K1037,IF(J1037&lt;=99,IF((INDEX(Eingabe!$G$9:$G$18,I1037))&lt;=9,1000+(INDEX(Eingabe!$G$9:$G$18,I1037))*100,3000)+J1037,IF((INDEX(Eingabe!$G$9:$G$18,I1037)+1)&lt;=9,1000+(INDEX(Eingabe!$G$9:$G$18,I1037)+1)*100,3000)+J1037-100),IF(J1037=K1037+1,2000+INDEX(Eingabe!$G$9:$G$18,I1037)*10+1,IF(J1037=K1037+2,2000+INDEX(Eingabe!$G$9:$G$18,I1037)*10+2,2000+INDEX(Eingabe!$G$9:$G$18,I1037)*10+9))),""))</f>
        <v/>
      </c>
      <c r="C1037" s="0" t="str">
        <f aca="false">IF(I1037="","",IF(AND(J1037&gt;=1,J1037&lt;=K1037+3),"10."&amp;INDEX(Eingabe!$D$9:$D$18,I1037)&amp;"."&amp;IF(J1037&lt;=K1037,J1037,IF(J1037=K1037+1,200,IF(J1037=K1037+2,201,250)))&amp;".0/24",""))</f>
        <v/>
      </c>
      <c r="D1037" s="0" t="str">
        <f aca="false">IF(I1037="","",IF(AND(J1037&gt;=1,J1037&lt;=K1037+3),"255.255.255.0",""))</f>
        <v/>
      </c>
      <c r="E1037" s="0" t="str">
        <f aca="false">IF(I1037="","",IF(AND(J1037&gt;=1,J1037&lt;=K1037+3),"10."&amp;INDEX(Eingabe!$D$9:$D$18,I1037)&amp;"."&amp;IF(J1037&lt;=K1037,J1037,IF(J1037=K1037+1,200,IF(J1037=K1037+2,201,250)))&amp;".1",""))</f>
        <v/>
      </c>
      <c r="F1037" s="0" t="str">
        <f aca="false">IF(I1037="","",IF(AND(J1037&gt;=1,J1037&lt;=K1037+3),"10."&amp;INDEX(Eingabe!$D$9:$D$18,I1037)&amp;"."&amp;IF(J1037&lt;=K1037,J1037,IF(J1037=K1037+1,200,IF(J1037=K1037+2,201,250)))&amp;".10 – 10."&amp;INDEX(Eingabe!$D$9:$D$18,I1037)&amp;"."&amp;IF(J1037&lt;=K1037,J1037,IF(J1037=K1037+1,200,IF(J1037=K1037+2,201,250)))&amp;".250",""))</f>
        <v/>
      </c>
      <c r="G1037" s="0" t="str">
        <f aca="false">IF(I1037="","",IF(AND(J1037&gt;=1,J1037&lt;=K1037),Eingabe!$B$6&amp;"-"&amp;INDEX(Eingabe!$C$9:$C$18,I1037)&amp;"-Pächter  ·  Passwort Parzelle "&amp;J1037,IF(J1037=K1037+1,Eingabe!$B$6&amp;"-"&amp;INDEX(Eingabe!$C$9:$C$18,I1037)&amp;"-Vorstand  ·  eigenes WLAN",IF(J1037=K1037+2,Eingabe!$B$6&amp;"-"&amp;INDEX(Eingabe!$C$9:$C$18,I1037)&amp;"-Gäste  ·  Voucher",IF(J1037=K1037+3,"Kabel  ·  Access Point y = .(50+y), Mast-Switch x = .(10+x)","")))))</f>
        <v/>
      </c>
      <c r="I1037" s="0" t="str">
        <f aca="false">IF(1032&lt;=(Eingabe!$P$18+Eingabe!$Q$18-1),MATCH(1032,Eingabe!$P$9:$P$18,1),"")</f>
        <v/>
      </c>
      <c r="J1037" s="0" t="str">
        <f aca="false">IF(I1037="","",1032-INDEX(Eingabe!$P$9:$P$18,I1037))</f>
        <v/>
      </c>
      <c r="K1037" s="0" t="str">
        <f aca="false">IF(I1037="","",INDEX(Eingabe!$E$9:$E$18,I1037))</f>
        <v/>
      </c>
    </row>
    <row r="1038" customFormat="false" ht="15" hidden="false" customHeight="false" outlineLevel="0" collapsed="false">
      <c r="A1038" s="0" t="str">
        <f aca="false">IF(I1038="","",IF(J1038=0,"Sparte "&amp;I1038&amp;": "&amp;INDEX(Eingabe!$B$9:$B$18,I1038)&amp;"  (Sparten-ID "&amp;INDEX(Eingabe!$D$9:$D$18,I1038)&amp;", "&amp;K1038&amp;" Parzellen)",IF(J1038&lt;=K1038,"   Parzelle "&amp;J1038,IF(J1038=K1038+1,"   Vorstand",IF(J1038=K1038+2,"   Gäste",IF(J1038=K1038+3,"   Technik (Switches, Access Points)",""))))))</f>
        <v/>
      </c>
      <c r="B1038" s="0" t="str">
        <f aca="false">IF(I1038="","",IF(AND(J1038&gt;=1,J1038&lt;=K1038+3),IF(J1038&lt;=K1038,IF(J1038&lt;=99,IF((INDEX(Eingabe!$G$9:$G$18,I1038))&lt;=9,1000+(INDEX(Eingabe!$G$9:$G$18,I1038))*100,3000)+J1038,IF((INDEX(Eingabe!$G$9:$G$18,I1038)+1)&lt;=9,1000+(INDEX(Eingabe!$G$9:$G$18,I1038)+1)*100,3000)+J1038-100),IF(J1038=K1038+1,2000+INDEX(Eingabe!$G$9:$G$18,I1038)*10+1,IF(J1038=K1038+2,2000+INDEX(Eingabe!$G$9:$G$18,I1038)*10+2,2000+INDEX(Eingabe!$G$9:$G$18,I1038)*10+9))),""))</f>
        <v/>
      </c>
      <c r="C1038" s="0" t="str">
        <f aca="false">IF(I1038="","",IF(AND(J1038&gt;=1,J1038&lt;=K1038+3),"10."&amp;INDEX(Eingabe!$D$9:$D$18,I1038)&amp;"."&amp;IF(J1038&lt;=K1038,J1038,IF(J1038=K1038+1,200,IF(J1038=K1038+2,201,250)))&amp;".0/24",""))</f>
        <v/>
      </c>
      <c r="D1038" s="0" t="str">
        <f aca="false">IF(I1038="","",IF(AND(J1038&gt;=1,J1038&lt;=K1038+3),"255.255.255.0",""))</f>
        <v/>
      </c>
      <c r="E1038" s="0" t="str">
        <f aca="false">IF(I1038="","",IF(AND(J1038&gt;=1,J1038&lt;=K1038+3),"10."&amp;INDEX(Eingabe!$D$9:$D$18,I1038)&amp;"."&amp;IF(J1038&lt;=K1038,J1038,IF(J1038=K1038+1,200,IF(J1038=K1038+2,201,250)))&amp;".1",""))</f>
        <v/>
      </c>
      <c r="F1038" s="0" t="str">
        <f aca="false">IF(I1038="","",IF(AND(J1038&gt;=1,J1038&lt;=K1038+3),"10."&amp;INDEX(Eingabe!$D$9:$D$18,I1038)&amp;"."&amp;IF(J1038&lt;=K1038,J1038,IF(J1038=K1038+1,200,IF(J1038=K1038+2,201,250)))&amp;".10 – 10."&amp;INDEX(Eingabe!$D$9:$D$18,I1038)&amp;"."&amp;IF(J1038&lt;=K1038,J1038,IF(J1038=K1038+1,200,IF(J1038=K1038+2,201,250)))&amp;".250",""))</f>
        <v/>
      </c>
      <c r="G1038" s="0" t="str">
        <f aca="false">IF(I1038="","",IF(AND(J1038&gt;=1,J1038&lt;=K1038),Eingabe!$B$6&amp;"-"&amp;INDEX(Eingabe!$C$9:$C$18,I1038)&amp;"-Pächter  ·  Passwort Parzelle "&amp;J1038,IF(J1038=K1038+1,Eingabe!$B$6&amp;"-"&amp;INDEX(Eingabe!$C$9:$C$18,I1038)&amp;"-Vorstand  ·  eigenes WLAN",IF(J1038=K1038+2,Eingabe!$B$6&amp;"-"&amp;INDEX(Eingabe!$C$9:$C$18,I1038)&amp;"-Gäste  ·  Voucher",IF(J1038=K1038+3,"Kabel  ·  Access Point y = .(50+y), Mast-Switch x = .(10+x)","")))))</f>
        <v/>
      </c>
      <c r="I1038" s="0" t="str">
        <f aca="false">IF(1033&lt;=(Eingabe!$P$18+Eingabe!$Q$18-1),MATCH(1033,Eingabe!$P$9:$P$18,1),"")</f>
        <v/>
      </c>
      <c r="J1038" s="0" t="str">
        <f aca="false">IF(I1038="","",1033-INDEX(Eingabe!$P$9:$P$18,I1038))</f>
        <v/>
      </c>
      <c r="K1038" s="0" t="str">
        <f aca="false">IF(I1038="","",INDEX(Eingabe!$E$9:$E$18,I1038))</f>
        <v/>
      </c>
    </row>
    <row r="1039" customFormat="false" ht="15" hidden="false" customHeight="false" outlineLevel="0" collapsed="false">
      <c r="A1039" s="0" t="str">
        <f aca="false">IF(I1039="","",IF(J1039=0,"Sparte "&amp;I1039&amp;": "&amp;INDEX(Eingabe!$B$9:$B$18,I1039)&amp;"  (Sparten-ID "&amp;INDEX(Eingabe!$D$9:$D$18,I1039)&amp;", "&amp;K1039&amp;" Parzellen)",IF(J1039&lt;=K1039,"   Parzelle "&amp;J1039,IF(J1039=K1039+1,"   Vorstand",IF(J1039=K1039+2,"   Gäste",IF(J1039=K1039+3,"   Technik (Switches, Access Points)",""))))))</f>
        <v/>
      </c>
      <c r="B1039" s="0" t="str">
        <f aca="false">IF(I1039="","",IF(AND(J1039&gt;=1,J1039&lt;=K1039+3),IF(J1039&lt;=K1039,IF(J1039&lt;=99,IF((INDEX(Eingabe!$G$9:$G$18,I1039))&lt;=9,1000+(INDEX(Eingabe!$G$9:$G$18,I1039))*100,3000)+J1039,IF((INDEX(Eingabe!$G$9:$G$18,I1039)+1)&lt;=9,1000+(INDEX(Eingabe!$G$9:$G$18,I1039)+1)*100,3000)+J1039-100),IF(J1039=K1039+1,2000+INDEX(Eingabe!$G$9:$G$18,I1039)*10+1,IF(J1039=K1039+2,2000+INDEX(Eingabe!$G$9:$G$18,I1039)*10+2,2000+INDEX(Eingabe!$G$9:$G$18,I1039)*10+9))),""))</f>
        <v/>
      </c>
      <c r="C1039" s="0" t="str">
        <f aca="false">IF(I1039="","",IF(AND(J1039&gt;=1,J1039&lt;=K1039+3),"10."&amp;INDEX(Eingabe!$D$9:$D$18,I1039)&amp;"."&amp;IF(J1039&lt;=K1039,J1039,IF(J1039=K1039+1,200,IF(J1039=K1039+2,201,250)))&amp;".0/24",""))</f>
        <v/>
      </c>
      <c r="D1039" s="0" t="str">
        <f aca="false">IF(I1039="","",IF(AND(J1039&gt;=1,J1039&lt;=K1039+3),"255.255.255.0",""))</f>
        <v/>
      </c>
      <c r="E1039" s="0" t="str">
        <f aca="false">IF(I1039="","",IF(AND(J1039&gt;=1,J1039&lt;=K1039+3),"10."&amp;INDEX(Eingabe!$D$9:$D$18,I1039)&amp;"."&amp;IF(J1039&lt;=K1039,J1039,IF(J1039=K1039+1,200,IF(J1039=K1039+2,201,250)))&amp;".1",""))</f>
        <v/>
      </c>
      <c r="F1039" s="0" t="str">
        <f aca="false">IF(I1039="","",IF(AND(J1039&gt;=1,J1039&lt;=K1039+3),"10."&amp;INDEX(Eingabe!$D$9:$D$18,I1039)&amp;"."&amp;IF(J1039&lt;=K1039,J1039,IF(J1039=K1039+1,200,IF(J1039=K1039+2,201,250)))&amp;".10 – 10."&amp;INDEX(Eingabe!$D$9:$D$18,I1039)&amp;"."&amp;IF(J1039&lt;=K1039,J1039,IF(J1039=K1039+1,200,IF(J1039=K1039+2,201,250)))&amp;".250",""))</f>
        <v/>
      </c>
      <c r="G1039" s="0" t="str">
        <f aca="false">IF(I1039="","",IF(AND(J1039&gt;=1,J1039&lt;=K1039),Eingabe!$B$6&amp;"-"&amp;INDEX(Eingabe!$C$9:$C$18,I1039)&amp;"-Pächter  ·  Passwort Parzelle "&amp;J1039,IF(J1039=K1039+1,Eingabe!$B$6&amp;"-"&amp;INDEX(Eingabe!$C$9:$C$18,I1039)&amp;"-Vorstand  ·  eigenes WLAN",IF(J1039=K1039+2,Eingabe!$B$6&amp;"-"&amp;INDEX(Eingabe!$C$9:$C$18,I1039)&amp;"-Gäste  ·  Voucher",IF(J1039=K1039+3,"Kabel  ·  Access Point y = .(50+y), Mast-Switch x = .(10+x)","")))))</f>
        <v/>
      </c>
      <c r="I1039" s="0" t="str">
        <f aca="false">IF(1034&lt;=(Eingabe!$P$18+Eingabe!$Q$18-1),MATCH(1034,Eingabe!$P$9:$P$18,1),"")</f>
        <v/>
      </c>
      <c r="J1039" s="0" t="str">
        <f aca="false">IF(I1039="","",1034-INDEX(Eingabe!$P$9:$P$18,I1039))</f>
        <v/>
      </c>
      <c r="K1039" s="0" t="str">
        <f aca="false">IF(I1039="","",INDEX(Eingabe!$E$9:$E$18,I1039))</f>
        <v/>
      </c>
    </row>
    <row r="1040" customFormat="false" ht="15" hidden="false" customHeight="false" outlineLevel="0" collapsed="false">
      <c r="A1040" s="0" t="str">
        <f aca="false">IF(I1040="","",IF(J1040=0,"Sparte "&amp;I1040&amp;": "&amp;INDEX(Eingabe!$B$9:$B$18,I1040)&amp;"  (Sparten-ID "&amp;INDEX(Eingabe!$D$9:$D$18,I1040)&amp;", "&amp;K1040&amp;" Parzellen)",IF(J1040&lt;=K1040,"   Parzelle "&amp;J1040,IF(J1040=K1040+1,"   Vorstand",IF(J1040=K1040+2,"   Gäste",IF(J1040=K1040+3,"   Technik (Switches, Access Points)",""))))))</f>
        <v/>
      </c>
      <c r="B1040" s="0" t="str">
        <f aca="false">IF(I1040="","",IF(AND(J1040&gt;=1,J1040&lt;=K1040+3),IF(J1040&lt;=K1040,IF(J1040&lt;=99,IF((INDEX(Eingabe!$G$9:$G$18,I1040))&lt;=9,1000+(INDEX(Eingabe!$G$9:$G$18,I1040))*100,3000)+J1040,IF((INDEX(Eingabe!$G$9:$G$18,I1040)+1)&lt;=9,1000+(INDEX(Eingabe!$G$9:$G$18,I1040)+1)*100,3000)+J1040-100),IF(J1040=K1040+1,2000+INDEX(Eingabe!$G$9:$G$18,I1040)*10+1,IF(J1040=K1040+2,2000+INDEX(Eingabe!$G$9:$G$18,I1040)*10+2,2000+INDEX(Eingabe!$G$9:$G$18,I1040)*10+9))),""))</f>
        <v/>
      </c>
      <c r="C1040" s="0" t="str">
        <f aca="false">IF(I1040="","",IF(AND(J1040&gt;=1,J1040&lt;=K1040+3),"10."&amp;INDEX(Eingabe!$D$9:$D$18,I1040)&amp;"."&amp;IF(J1040&lt;=K1040,J1040,IF(J1040=K1040+1,200,IF(J1040=K1040+2,201,250)))&amp;".0/24",""))</f>
        <v/>
      </c>
      <c r="D1040" s="0" t="str">
        <f aca="false">IF(I1040="","",IF(AND(J1040&gt;=1,J1040&lt;=K1040+3),"255.255.255.0",""))</f>
        <v/>
      </c>
      <c r="E1040" s="0" t="str">
        <f aca="false">IF(I1040="","",IF(AND(J1040&gt;=1,J1040&lt;=K1040+3),"10."&amp;INDEX(Eingabe!$D$9:$D$18,I1040)&amp;"."&amp;IF(J1040&lt;=K1040,J1040,IF(J1040=K1040+1,200,IF(J1040=K1040+2,201,250)))&amp;".1",""))</f>
        <v/>
      </c>
      <c r="F1040" s="0" t="str">
        <f aca="false">IF(I1040="","",IF(AND(J1040&gt;=1,J1040&lt;=K1040+3),"10."&amp;INDEX(Eingabe!$D$9:$D$18,I1040)&amp;"."&amp;IF(J1040&lt;=K1040,J1040,IF(J1040=K1040+1,200,IF(J1040=K1040+2,201,250)))&amp;".10 – 10."&amp;INDEX(Eingabe!$D$9:$D$18,I1040)&amp;"."&amp;IF(J1040&lt;=K1040,J1040,IF(J1040=K1040+1,200,IF(J1040=K1040+2,201,250)))&amp;".250",""))</f>
        <v/>
      </c>
      <c r="G1040" s="0" t="str">
        <f aca="false">IF(I1040="","",IF(AND(J1040&gt;=1,J1040&lt;=K1040),Eingabe!$B$6&amp;"-"&amp;INDEX(Eingabe!$C$9:$C$18,I1040)&amp;"-Pächter  ·  Passwort Parzelle "&amp;J1040,IF(J1040=K1040+1,Eingabe!$B$6&amp;"-"&amp;INDEX(Eingabe!$C$9:$C$18,I1040)&amp;"-Vorstand  ·  eigenes WLAN",IF(J1040=K1040+2,Eingabe!$B$6&amp;"-"&amp;INDEX(Eingabe!$C$9:$C$18,I1040)&amp;"-Gäste  ·  Voucher",IF(J1040=K1040+3,"Kabel  ·  Access Point y = .(50+y), Mast-Switch x = .(10+x)","")))))</f>
        <v/>
      </c>
      <c r="I1040" s="0" t="str">
        <f aca="false">IF(1035&lt;=(Eingabe!$P$18+Eingabe!$Q$18-1),MATCH(1035,Eingabe!$P$9:$P$18,1),"")</f>
        <v/>
      </c>
      <c r="J1040" s="0" t="str">
        <f aca="false">IF(I1040="","",1035-INDEX(Eingabe!$P$9:$P$18,I1040))</f>
        <v/>
      </c>
      <c r="K1040" s="0" t="str">
        <f aca="false">IF(I1040="","",INDEX(Eingabe!$E$9:$E$18,I1040))</f>
        <v/>
      </c>
    </row>
    <row r="1041" customFormat="false" ht="15" hidden="false" customHeight="false" outlineLevel="0" collapsed="false">
      <c r="A1041" s="0" t="str">
        <f aca="false">IF(I1041="","",IF(J1041=0,"Sparte "&amp;I1041&amp;": "&amp;INDEX(Eingabe!$B$9:$B$18,I1041)&amp;"  (Sparten-ID "&amp;INDEX(Eingabe!$D$9:$D$18,I1041)&amp;", "&amp;K1041&amp;" Parzellen)",IF(J1041&lt;=K1041,"   Parzelle "&amp;J1041,IF(J1041=K1041+1,"   Vorstand",IF(J1041=K1041+2,"   Gäste",IF(J1041=K1041+3,"   Technik (Switches, Access Points)",""))))))</f>
        <v/>
      </c>
      <c r="B1041" s="0" t="str">
        <f aca="false">IF(I1041="","",IF(AND(J1041&gt;=1,J1041&lt;=K1041+3),IF(J1041&lt;=K1041,IF(J1041&lt;=99,IF((INDEX(Eingabe!$G$9:$G$18,I1041))&lt;=9,1000+(INDEX(Eingabe!$G$9:$G$18,I1041))*100,3000)+J1041,IF((INDEX(Eingabe!$G$9:$G$18,I1041)+1)&lt;=9,1000+(INDEX(Eingabe!$G$9:$G$18,I1041)+1)*100,3000)+J1041-100),IF(J1041=K1041+1,2000+INDEX(Eingabe!$G$9:$G$18,I1041)*10+1,IF(J1041=K1041+2,2000+INDEX(Eingabe!$G$9:$G$18,I1041)*10+2,2000+INDEX(Eingabe!$G$9:$G$18,I1041)*10+9))),""))</f>
        <v/>
      </c>
      <c r="C1041" s="0" t="str">
        <f aca="false">IF(I1041="","",IF(AND(J1041&gt;=1,J1041&lt;=K1041+3),"10."&amp;INDEX(Eingabe!$D$9:$D$18,I1041)&amp;"."&amp;IF(J1041&lt;=K1041,J1041,IF(J1041=K1041+1,200,IF(J1041=K1041+2,201,250)))&amp;".0/24",""))</f>
        <v/>
      </c>
      <c r="D1041" s="0" t="str">
        <f aca="false">IF(I1041="","",IF(AND(J1041&gt;=1,J1041&lt;=K1041+3),"255.255.255.0",""))</f>
        <v/>
      </c>
      <c r="E1041" s="0" t="str">
        <f aca="false">IF(I1041="","",IF(AND(J1041&gt;=1,J1041&lt;=K1041+3),"10."&amp;INDEX(Eingabe!$D$9:$D$18,I1041)&amp;"."&amp;IF(J1041&lt;=K1041,J1041,IF(J1041=K1041+1,200,IF(J1041=K1041+2,201,250)))&amp;".1",""))</f>
        <v/>
      </c>
      <c r="F1041" s="0" t="str">
        <f aca="false">IF(I1041="","",IF(AND(J1041&gt;=1,J1041&lt;=K1041+3),"10."&amp;INDEX(Eingabe!$D$9:$D$18,I1041)&amp;"."&amp;IF(J1041&lt;=K1041,J1041,IF(J1041=K1041+1,200,IF(J1041=K1041+2,201,250)))&amp;".10 – 10."&amp;INDEX(Eingabe!$D$9:$D$18,I1041)&amp;"."&amp;IF(J1041&lt;=K1041,J1041,IF(J1041=K1041+1,200,IF(J1041=K1041+2,201,250)))&amp;".250",""))</f>
        <v/>
      </c>
      <c r="G1041" s="0" t="str">
        <f aca="false">IF(I1041="","",IF(AND(J1041&gt;=1,J1041&lt;=K1041),Eingabe!$B$6&amp;"-"&amp;INDEX(Eingabe!$C$9:$C$18,I1041)&amp;"-Pächter  ·  Passwort Parzelle "&amp;J1041,IF(J1041=K1041+1,Eingabe!$B$6&amp;"-"&amp;INDEX(Eingabe!$C$9:$C$18,I1041)&amp;"-Vorstand  ·  eigenes WLAN",IF(J1041=K1041+2,Eingabe!$B$6&amp;"-"&amp;INDEX(Eingabe!$C$9:$C$18,I1041)&amp;"-Gäste  ·  Voucher",IF(J1041=K1041+3,"Kabel  ·  Access Point y = .(50+y), Mast-Switch x = .(10+x)","")))))</f>
        <v/>
      </c>
      <c r="I1041" s="0" t="str">
        <f aca="false">IF(1036&lt;=(Eingabe!$P$18+Eingabe!$Q$18-1),MATCH(1036,Eingabe!$P$9:$P$18,1),"")</f>
        <v/>
      </c>
      <c r="J1041" s="0" t="str">
        <f aca="false">IF(I1041="","",1036-INDEX(Eingabe!$P$9:$P$18,I1041))</f>
        <v/>
      </c>
      <c r="K1041" s="0" t="str">
        <f aca="false">IF(I1041="","",INDEX(Eingabe!$E$9:$E$18,I1041))</f>
        <v/>
      </c>
    </row>
    <row r="1042" customFormat="false" ht="15" hidden="false" customHeight="false" outlineLevel="0" collapsed="false">
      <c r="A1042" s="0" t="str">
        <f aca="false">IF(I1042="","",IF(J1042=0,"Sparte "&amp;I1042&amp;": "&amp;INDEX(Eingabe!$B$9:$B$18,I1042)&amp;"  (Sparten-ID "&amp;INDEX(Eingabe!$D$9:$D$18,I1042)&amp;", "&amp;K1042&amp;" Parzellen)",IF(J1042&lt;=K1042,"   Parzelle "&amp;J1042,IF(J1042=K1042+1,"   Vorstand",IF(J1042=K1042+2,"   Gäste",IF(J1042=K1042+3,"   Technik (Switches, Access Points)",""))))))</f>
        <v/>
      </c>
      <c r="B1042" s="0" t="str">
        <f aca="false">IF(I1042="","",IF(AND(J1042&gt;=1,J1042&lt;=K1042+3),IF(J1042&lt;=K1042,IF(J1042&lt;=99,IF((INDEX(Eingabe!$G$9:$G$18,I1042))&lt;=9,1000+(INDEX(Eingabe!$G$9:$G$18,I1042))*100,3000)+J1042,IF((INDEX(Eingabe!$G$9:$G$18,I1042)+1)&lt;=9,1000+(INDEX(Eingabe!$G$9:$G$18,I1042)+1)*100,3000)+J1042-100),IF(J1042=K1042+1,2000+INDEX(Eingabe!$G$9:$G$18,I1042)*10+1,IF(J1042=K1042+2,2000+INDEX(Eingabe!$G$9:$G$18,I1042)*10+2,2000+INDEX(Eingabe!$G$9:$G$18,I1042)*10+9))),""))</f>
        <v/>
      </c>
      <c r="C1042" s="0" t="str">
        <f aca="false">IF(I1042="","",IF(AND(J1042&gt;=1,J1042&lt;=K1042+3),"10."&amp;INDEX(Eingabe!$D$9:$D$18,I1042)&amp;"."&amp;IF(J1042&lt;=K1042,J1042,IF(J1042=K1042+1,200,IF(J1042=K1042+2,201,250)))&amp;".0/24",""))</f>
        <v/>
      </c>
      <c r="D1042" s="0" t="str">
        <f aca="false">IF(I1042="","",IF(AND(J1042&gt;=1,J1042&lt;=K1042+3),"255.255.255.0",""))</f>
        <v/>
      </c>
      <c r="E1042" s="0" t="str">
        <f aca="false">IF(I1042="","",IF(AND(J1042&gt;=1,J1042&lt;=K1042+3),"10."&amp;INDEX(Eingabe!$D$9:$D$18,I1042)&amp;"."&amp;IF(J1042&lt;=K1042,J1042,IF(J1042=K1042+1,200,IF(J1042=K1042+2,201,250)))&amp;".1",""))</f>
        <v/>
      </c>
      <c r="F1042" s="0" t="str">
        <f aca="false">IF(I1042="","",IF(AND(J1042&gt;=1,J1042&lt;=K1042+3),"10."&amp;INDEX(Eingabe!$D$9:$D$18,I1042)&amp;"."&amp;IF(J1042&lt;=K1042,J1042,IF(J1042=K1042+1,200,IF(J1042=K1042+2,201,250)))&amp;".10 – 10."&amp;INDEX(Eingabe!$D$9:$D$18,I1042)&amp;"."&amp;IF(J1042&lt;=K1042,J1042,IF(J1042=K1042+1,200,IF(J1042=K1042+2,201,250)))&amp;".250",""))</f>
        <v/>
      </c>
      <c r="G1042" s="0" t="str">
        <f aca="false">IF(I1042="","",IF(AND(J1042&gt;=1,J1042&lt;=K1042),Eingabe!$B$6&amp;"-"&amp;INDEX(Eingabe!$C$9:$C$18,I1042)&amp;"-Pächter  ·  Passwort Parzelle "&amp;J1042,IF(J1042=K1042+1,Eingabe!$B$6&amp;"-"&amp;INDEX(Eingabe!$C$9:$C$18,I1042)&amp;"-Vorstand  ·  eigenes WLAN",IF(J1042=K1042+2,Eingabe!$B$6&amp;"-"&amp;INDEX(Eingabe!$C$9:$C$18,I1042)&amp;"-Gäste  ·  Voucher",IF(J1042=K1042+3,"Kabel  ·  Access Point y = .(50+y), Mast-Switch x = .(10+x)","")))))</f>
        <v/>
      </c>
      <c r="I1042" s="0" t="str">
        <f aca="false">IF(1037&lt;=(Eingabe!$P$18+Eingabe!$Q$18-1),MATCH(1037,Eingabe!$P$9:$P$18,1),"")</f>
        <v/>
      </c>
      <c r="J1042" s="0" t="str">
        <f aca="false">IF(I1042="","",1037-INDEX(Eingabe!$P$9:$P$18,I1042))</f>
        <v/>
      </c>
      <c r="K1042" s="0" t="str">
        <f aca="false">IF(I1042="","",INDEX(Eingabe!$E$9:$E$18,I1042))</f>
        <v/>
      </c>
    </row>
    <row r="1043" customFormat="false" ht="15" hidden="false" customHeight="false" outlineLevel="0" collapsed="false">
      <c r="A1043" s="0" t="str">
        <f aca="false">IF(I1043="","",IF(J1043=0,"Sparte "&amp;I1043&amp;": "&amp;INDEX(Eingabe!$B$9:$B$18,I1043)&amp;"  (Sparten-ID "&amp;INDEX(Eingabe!$D$9:$D$18,I1043)&amp;", "&amp;K1043&amp;" Parzellen)",IF(J1043&lt;=K1043,"   Parzelle "&amp;J1043,IF(J1043=K1043+1,"   Vorstand",IF(J1043=K1043+2,"   Gäste",IF(J1043=K1043+3,"   Technik (Switches, Access Points)",""))))))</f>
        <v/>
      </c>
      <c r="B1043" s="0" t="str">
        <f aca="false">IF(I1043="","",IF(AND(J1043&gt;=1,J1043&lt;=K1043+3),IF(J1043&lt;=K1043,IF(J1043&lt;=99,IF((INDEX(Eingabe!$G$9:$G$18,I1043))&lt;=9,1000+(INDEX(Eingabe!$G$9:$G$18,I1043))*100,3000)+J1043,IF((INDEX(Eingabe!$G$9:$G$18,I1043)+1)&lt;=9,1000+(INDEX(Eingabe!$G$9:$G$18,I1043)+1)*100,3000)+J1043-100),IF(J1043=K1043+1,2000+INDEX(Eingabe!$G$9:$G$18,I1043)*10+1,IF(J1043=K1043+2,2000+INDEX(Eingabe!$G$9:$G$18,I1043)*10+2,2000+INDEX(Eingabe!$G$9:$G$18,I1043)*10+9))),""))</f>
        <v/>
      </c>
      <c r="C1043" s="0" t="str">
        <f aca="false">IF(I1043="","",IF(AND(J1043&gt;=1,J1043&lt;=K1043+3),"10."&amp;INDEX(Eingabe!$D$9:$D$18,I1043)&amp;"."&amp;IF(J1043&lt;=K1043,J1043,IF(J1043=K1043+1,200,IF(J1043=K1043+2,201,250)))&amp;".0/24",""))</f>
        <v/>
      </c>
      <c r="D1043" s="0" t="str">
        <f aca="false">IF(I1043="","",IF(AND(J1043&gt;=1,J1043&lt;=K1043+3),"255.255.255.0",""))</f>
        <v/>
      </c>
      <c r="E1043" s="0" t="str">
        <f aca="false">IF(I1043="","",IF(AND(J1043&gt;=1,J1043&lt;=K1043+3),"10."&amp;INDEX(Eingabe!$D$9:$D$18,I1043)&amp;"."&amp;IF(J1043&lt;=K1043,J1043,IF(J1043=K1043+1,200,IF(J1043=K1043+2,201,250)))&amp;".1",""))</f>
        <v/>
      </c>
      <c r="F1043" s="0" t="str">
        <f aca="false">IF(I1043="","",IF(AND(J1043&gt;=1,J1043&lt;=K1043+3),"10."&amp;INDEX(Eingabe!$D$9:$D$18,I1043)&amp;"."&amp;IF(J1043&lt;=K1043,J1043,IF(J1043=K1043+1,200,IF(J1043=K1043+2,201,250)))&amp;".10 – 10."&amp;INDEX(Eingabe!$D$9:$D$18,I1043)&amp;"."&amp;IF(J1043&lt;=K1043,J1043,IF(J1043=K1043+1,200,IF(J1043=K1043+2,201,250)))&amp;".250",""))</f>
        <v/>
      </c>
      <c r="G1043" s="0" t="str">
        <f aca="false">IF(I1043="","",IF(AND(J1043&gt;=1,J1043&lt;=K1043),Eingabe!$B$6&amp;"-"&amp;INDEX(Eingabe!$C$9:$C$18,I1043)&amp;"-Pächter  ·  Passwort Parzelle "&amp;J1043,IF(J1043=K1043+1,Eingabe!$B$6&amp;"-"&amp;INDEX(Eingabe!$C$9:$C$18,I1043)&amp;"-Vorstand  ·  eigenes WLAN",IF(J1043=K1043+2,Eingabe!$B$6&amp;"-"&amp;INDEX(Eingabe!$C$9:$C$18,I1043)&amp;"-Gäste  ·  Voucher",IF(J1043=K1043+3,"Kabel  ·  Access Point y = .(50+y), Mast-Switch x = .(10+x)","")))))</f>
        <v/>
      </c>
      <c r="I1043" s="0" t="str">
        <f aca="false">IF(1038&lt;=(Eingabe!$P$18+Eingabe!$Q$18-1),MATCH(1038,Eingabe!$P$9:$P$18,1),"")</f>
        <v/>
      </c>
      <c r="J1043" s="0" t="str">
        <f aca="false">IF(I1043="","",1038-INDEX(Eingabe!$P$9:$P$18,I1043))</f>
        <v/>
      </c>
      <c r="K1043" s="0" t="str">
        <f aca="false">IF(I1043="","",INDEX(Eingabe!$E$9:$E$18,I1043))</f>
        <v/>
      </c>
    </row>
    <row r="1044" customFormat="false" ht="15" hidden="false" customHeight="false" outlineLevel="0" collapsed="false">
      <c r="A1044" s="0" t="str">
        <f aca="false">IF(I1044="","",IF(J1044=0,"Sparte "&amp;I1044&amp;": "&amp;INDEX(Eingabe!$B$9:$B$18,I1044)&amp;"  (Sparten-ID "&amp;INDEX(Eingabe!$D$9:$D$18,I1044)&amp;", "&amp;K1044&amp;" Parzellen)",IF(J1044&lt;=K1044,"   Parzelle "&amp;J1044,IF(J1044=K1044+1,"   Vorstand",IF(J1044=K1044+2,"   Gäste",IF(J1044=K1044+3,"   Technik (Switches, Access Points)",""))))))</f>
        <v/>
      </c>
      <c r="B1044" s="0" t="str">
        <f aca="false">IF(I1044="","",IF(AND(J1044&gt;=1,J1044&lt;=K1044+3),IF(J1044&lt;=K1044,IF(J1044&lt;=99,IF((INDEX(Eingabe!$G$9:$G$18,I1044))&lt;=9,1000+(INDEX(Eingabe!$G$9:$G$18,I1044))*100,3000)+J1044,IF((INDEX(Eingabe!$G$9:$G$18,I1044)+1)&lt;=9,1000+(INDEX(Eingabe!$G$9:$G$18,I1044)+1)*100,3000)+J1044-100),IF(J1044=K1044+1,2000+INDEX(Eingabe!$G$9:$G$18,I1044)*10+1,IF(J1044=K1044+2,2000+INDEX(Eingabe!$G$9:$G$18,I1044)*10+2,2000+INDEX(Eingabe!$G$9:$G$18,I1044)*10+9))),""))</f>
        <v/>
      </c>
      <c r="C1044" s="0" t="str">
        <f aca="false">IF(I1044="","",IF(AND(J1044&gt;=1,J1044&lt;=K1044+3),"10."&amp;INDEX(Eingabe!$D$9:$D$18,I1044)&amp;"."&amp;IF(J1044&lt;=K1044,J1044,IF(J1044=K1044+1,200,IF(J1044=K1044+2,201,250)))&amp;".0/24",""))</f>
        <v/>
      </c>
      <c r="D1044" s="0" t="str">
        <f aca="false">IF(I1044="","",IF(AND(J1044&gt;=1,J1044&lt;=K1044+3),"255.255.255.0",""))</f>
        <v/>
      </c>
      <c r="E1044" s="0" t="str">
        <f aca="false">IF(I1044="","",IF(AND(J1044&gt;=1,J1044&lt;=K1044+3),"10."&amp;INDEX(Eingabe!$D$9:$D$18,I1044)&amp;"."&amp;IF(J1044&lt;=K1044,J1044,IF(J1044=K1044+1,200,IF(J1044=K1044+2,201,250)))&amp;".1",""))</f>
        <v/>
      </c>
      <c r="F1044" s="0" t="str">
        <f aca="false">IF(I1044="","",IF(AND(J1044&gt;=1,J1044&lt;=K1044+3),"10."&amp;INDEX(Eingabe!$D$9:$D$18,I1044)&amp;"."&amp;IF(J1044&lt;=K1044,J1044,IF(J1044=K1044+1,200,IF(J1044=K1044+2,201,250)))&amp;".10 – 10."&amp;INDEX(Eingabe!$D$9:$D$18,I1044)&amp;"."&amp;IF(J1044&lt;=K1044,J1044,IF(J1044=K1044+1,200,IF(J1044=K1044+2,201,250)))&amp;".250",""))</f>
        <v/>
      </c>
      <c r="G1044" s="0" t="str">
        <f aca="false">IF(I1044="","",IF(AND(J1044&gt;=1,J1044&lt;=K1044),Eingabe!$B$6&amp;"-"&amp;INDEX(Eingabe!$C$9:$C$18,I1044)&amp;"-Pächter  ·  Passwort Parzelle "&amp;J1044,IF(J1044=K1044+1,Eingabe!$B$6&amp;"-"&amp;INDEX(Eingabe!$C$9:$C$18,I1044)&amp;"-Vorstand  ·  eigenes WLAN",IF(J1044=K1044+2,Eingabe!$B$6&amp;"-"&amp;INDEX(Eingabe!$C$9:$C$18,I1044)&amp;"-Gäste  ·  Voucher",IF(J1044=K1044+3,"Kabel  ·  Access Point y = .(50+y), Mast-Switch x = .(10+x)","")))))</f>
        <v/>
      </c>
      <c r="I1044" s="0" t="str">
        <f aca="false">IF(1039&lt;=(Eingabe!$P$18+Eingabe!$Q$18-1),MATCH(1039,Eingabe!$P$9:$P$18,1),"")</f>
        <v/>
      </c>
      <c r="J1044" s="0" t="str">
        <f aca="false">IF(I1044="","",1039-INDEX(Eingabe!$P$9:$P$18,I1044))</f>
        <v/>
      </c>
      <c r="K1044" s="0" t="str">
        <f aca="false">IF(I1044="","",INDEX(Eingabe!$E$9:$E$18,I1044))</f>
        <v/>
      </c>
    </row>
    <row r="1045" customFormat="false" ht="15" hidden="false" customHeight="false" outlineLevel="0" collapsed="false">
      <c r="A1045" s="0" t="str">
        <f aca="false">IF(I1045="","",IF(J1045=0,"Sparte "&amp;I1045&amp;": "&amp;INDEX(Eingabe!$B$9:$B$18,I1045)&amp;"  (Sparten-ID "&amp;INDEX(Eingabe!$D$9:$D$18,I1045)&amp;", "&amp;K1045&amp;" Parzellen)",IF(J1045&lt;=K1045,"   Parzelle "&amp;J1045,IF(J1045=K1045+1,"   Vorstand",IF(J1045=K1045+2,"   Gäste",IF(J1045=K1045+3,"   Technik (Switches, Access Points)",""))))))</f>
        <v/>
      </c>
      <c r="B1045" s="0" t="str">
        <f aca="false">IF(I1045="","",IF(AND(J1045&gt;=1,J1045&lt;=K1045+3),IF(J1045&lt;=K1045,IF(J1045&lt;=99,IF((INDEX(Eingabe!$G$9:$G$18,I1045))&lt;=9,1000+(INDEX(Eingabe!$G$9:$G$18,I1045))*100,3000)+J1045,IF((INDEX(Eingabe!$G$9:$G$18,I1045)+1)&lt;=9,1000+(INDEX(Eingabe!$G$9:$G$18,I1045)+1)*100,3000)+J1045-100),IF(J1045=K1045+1,2000+INDEX(Eingabe!$G$9:$G$18,I1045)*10+1,IF(J1045=K1045+2,2000+INDEX(Eingabe!$G$9:$G$18,I1045)*10+2,2000+INDEX(Eingabe!$G$9:$G$18,I1045)*10+9))),""))</f>
        <v/>
      </c>
      <c r="C1045" s="0" t="str">
        <f aca="false">IF(I1045="","",IF(AND(J1045&gt;=1,J1045&lt;=K1045+3),"10."&amp;INDEX(Eingabe!$D$9:$D$18,I1045)&amp;"."&amp;IF(J1045&lt;=K1045,J1045,IF(J1045=K1045+1,200,IF(J1045=K1045+2,201,250)))&amp;".0/24",""))</f>
        <v/>
      </c>
      <c r="D1045" s="0" t="str">
        <f aca="false">IF(I1045="","",IF(AND(J1045&gt;=1,J1045&lt;=K1045+3),"255.255.255.0",""))</f>
        <v/>
      </c>
      <c r="E1045" s="0" t="str">
        <f aca="false">IF(I1045="","",IF(AND(J1045&gt;=1,J1045&lt;=K1045+3),"10."&amp;INDEX(Eingabe!$D$9:$D$18,I1045)&amp;"."&amp;IF(J1045&lt;=K1045,J1045,IF(J1045=K1045+1,200,IF(J1045=K1045+2,201,250)))&amp;".1",""))</f>
        <v/>
      </c>
      <c r="F1045" s="0" t="str">
        <f aca="false">IF(I1045="","",IF(AND(J1045&gt;=1,J1045&lt;=K1045+3),"10."&amp;INDEX(Eingabe!$D$9:$D$18,I1045)&amp;"."&amp;IF(J1045&lt;=K1045,J1045,IF(J1045=K1045+1,200,IF(J1045=K1045+2,201,250)))&amp;".10 – 10."&amp;INDEX(Eingabe!$D$9:$D$18,I1045)&amp;"."&amp;IF(J1045&lt;=K1045,J1045,IF(J1045=K1045+1,200,IF(J1045=K1045+2,201,250)))&amp;".250",""))</f>
        <v/>
      </c>
      <c r="G1045" s="0" t="str">
        <f aca="false">IF(I1045="","",IF(AND(J1045&gt;=1,J1045&lt;=K1045),Eingabe!$B$6&amp;"-"&amp;INDEX(Eingabe!$C$9:$C$18,I1045)&amp;"-Pächter  ·  Passwort Parzelle "&amp;J1045,IF(J1045=K1045+1,Eingabe!$B$6&amp;"-"&amp;INDEX(Eingabe!$C$9:$C$18,I1045)&amp;"-Vorstand  ·  eigenes WLAN",IF(J1045=K1045+2,Eingabe!$B$6&amp;"-"&amp;INDEX(Eingabe!$C$9:$C$18,I1045)&amp;"-Gäste  ·  Voucher",IF(J1045=K1045+3,"Kabel  ·  Access Point y = .(50+y), Mast-Switch x = .(10+x)","")))))</f>
        <v/>
      </c>
      <c r="I1045" s="0" t="str">
        <f aca="false">IF(1040&lt;=(Eingabe!$P$18+Eingabe!$Q$18-1),MATCH(1040,Eingabe!$P$9:$P$18,1),"")</f>
        <v/>
      </c>
      <c r="J1045" s="0" t="str">
        <f aca="false">IF(I1045="","",1040-INDEX(Eingabe!$P$9:$P$18,I1045))</f>
        <v/>
      </c>
      <c r="K1045" s="0" t="str">
        <f aca="false">IF(I1045="","",INDEX(Eingabe!$E$9:$E$18,I1045))</f>
        <v/>
      </c>
    </row>
    <row r="1046" customFormat="false" ht="15" hidden="false" customHeight="false" outlineLevel="0" collapsed="false">
      <c r="A1046" s="0" t="str">
        <f aca="false">IF(I1046="","",IF(J1046=0,"Sparte "&amp;I1046&amp;": "&amp;INDEX(Eingabe!$B$9:$B$18,I1046)&amp;"  (Sparten-ID "&amp;INDEX(Eingabe!$D$9:$D$18,I1046)&amp;", "&amp;K1046&amp;" Parzellen)",IF(J1046&lt;=K1046,"   Parzelle "&amp;J1046,IF(J1046=K1046+1,"   Vorstand",IF(J1046=K1046+2,"   Gäste",IF(J1046=K1046+3,"   Technik (Switches, Access Points)",""))))))</f>
        <v/>
      </c>
      <c r="B1046" s="0" t="str">
        <f aca="false">IF(I1046="","",IF(AND(J1046&gt;=1,J1046&lt;=K1046+3),IF(J1046&lt;=K1046,IF(J1046&lt;=99,IF((INDEX(Eingabe!$G$9:$G$18,I1046))&lt;=9,1000+(INDEX(Eingabe!$G$9:$G$18,I1046))*100,3000)+J1046,IF((INDEX(Eingabe!$G$9:$G$18,I1046)+1)&lt;=9,1000+(INDEX(Eingabe!$G$9:$G$18,I1046)+1)*100,3000)+J1046-100),IF(J1046=K1046+1,2000+INDEX(Eingabe!$G$9:$G$18,I1046)*10+1,IF(J1046=K1046+2,2000+INDEX(Eingabe!$G$9:$G$18,I1046)*10+2,2000+INDEX(Eingabe!$G$9:$G$18,I1046)*10+9))),""))</f>
        <v/>
      </c>
      <c r="C1046" s="0" t="str">
        <f aca="false">IF(I1046="","",IF(AND(J1046&gt;=1,J1046&lt;=K1046+3),"10."&amp;INDEX(Eingabe!$D$9:$D$18,I1046)&amp;"."&amp;IF(J1046&lt;=K1046,J1046,IF(J1046=K1046+1,200,IF(J1046=K1046+2,201,250)))&amp;".0/24",""))</f>
        <v/>
      </c>
      <c r="D1046" s="0" t="str">
        <f aca="false">IF(I1046="","",IF(AND(J1046&gt;=1,J1046&lt;=K1046+3),"255.255.255.0",""))</f>
        <v/>
      </c>
      <c r="E1046" s="0" t="str">
        <f aca="false">IF(I1046="","",IF(AND(J1046&gt;=1,J1046&lt;=K1046+3),"10."&amp;INDEX(Eingabe!$D$9:$D$18,I1046)&amp;"."&amp;IF(J1046&lt;=K1046,J1046,IF(J1046=K1046+1,200,IF(J1046=K1046+2,201,250)))&amp;".1",""))</f>
        <v/>
      </c>
      <c r="F1046" s="0" t="str">
        <f aca="false">IF(I1046="","",IF(AND(J1046&gt;=1,J1046&lt;=K1046+3),"10."&amp;INDEX(Eingabe!$D$9:$D$18,I1046)&amp;"."&amp;IF(J1046&lt;=K1046,J1046,IF(J1046=K1046+1,200,IF(J1046=K1046+2,201,250)))&amp;".10 – 10."&amp;INDEX(Eingabe!$D$9:$D$18,I1046)&amp;"."&amp;IF(J1046&lt;=K1046,J1046,IF(J1046=K1046+1,200,IF(J1046=K1046+2,201,250)))&amp;".250",""))</f>
        <v/>
      </c>
      <c r="G1046" s="0" t="str">
        <f aca="false">IF(I1046="","",IF(AND(J1046&gt;=1,J1046&lt;=K1046),Eingabe!$B$6&amp;"-"&amp;INDEX(Eingabe!$C$9:$C$18,I1046)&amp;"-Pächter  ·  Passwort Parzelle "&amp;J1046,IF(J1046=K1046+1,Eingabe!$B$6&amp;"-"&amp;INDEX(Eingabe!$C$9:$C$18,I1046)&amp;"-Vorstand  ·  eigenes WLAN",IF(J1046=K1046+2,Eingabe!$B$6&amp;"-"&amp;INDEX(Eingabe!$C$9:$C$18,I1046)&amp;"-Gäste  ·  Voucher",IF(J1046=K1046+3,"Kabel  ·  Access Point y = .(50+y), Mast-Switch x = .(10+x)","")))))</f>
        <v/>
      </c>
      <c r="I1046" s="0" t="str">
        <f aca="false">IF(1041&lt;=(Eingabe!$P$18+Eingabe!$Q$18-1),MATCH(1041,Eingabe!$P$9:$P$18,1),"")</f>
        <v/>
      </c>
      <c r="J1046" s="0" t="str">
        <f aca="false">IF(I1046="","",1041-INDEX(Eingabe!$P$9:$P$18,I1046))</f>
        <v/>
      </c>
      <c r="K1046" s="0" t="str">
        <f aca="false">IF(I1046="","",INDEX(Eingabe!$E$9:$E$18,I1046))</f>
        <v/>
      </c>
    </row>
    <row r="1047" customFormat="false" ht="15" hidden="false" customHeight="false" outlineLevel="0" collapsed="false">
      <c r="A1047" s="0" t="str">
        <f aca="false">IF(I1047="","",IF(J1047=0,"Sparte "&amp;I1047&amp;": "&amp;INDEX(Eingabe!$B$9:$B$18,I1047)&amp;"  (Sparten-ID "&amp;INDEX(Eingabe!$D$9:$D$18,I1047)&amp;", "&amp;K1047&amp;" Parzellen)",IF(J1047&lt;=K1047,"   Parzelle "&amp;J1047,IF(J1047=K1047+1,"   Vorstand",IF(J1047=K1047+2,"   Gäste",IF(J1047=K1047+3,"   Technik (Switches, Access Points)",""))))))</f>
        <v/>
      </c>
      <c r="B1047" s="0" t="str">
        <f aca="false">IF(I1047="","",IF(AND(J1047&gt;=1,J1047&lt;=K1047+3),IF(J1047&lt;=K1047,IF(J1047&lt;=99,IF((INDEX(Eingabe!$G$9:$G$18,I1047))&lt;=9,1000+(INDEX(Eingabe!$G$9:$G$18,I1047))*100,3000)+J1047,IF((INDEX(Eingabe!$G$9:$G$18,I1047)+1)&lt;=9,1000+(INDEX(Eingabe!$G$9:$G$18,I1047)+1)*100,3000)+J1047-100),IF(J1047=K1047+1,2000+INDEX(Eingabe!$G$9:$G$18,I1047)*10+1,IF(J1047=K1047+2,2000+INDEX(Eingabe!$G$9:$G$18,I1047)*10+2,2000+INDEX(Eingabe!$G$9:$G$18,I1047)*10+9))),""))</f>
        <v/>
      </c>
      <c r="C1047" s="0" t="str">
        <f aca="false">IF(I1047="","",IF(AND(J1047&gt;=1,J1047&lt;=K1047+3),"10."&amp;INDEX(Eingabe!$D$9:$D$18,I1047)&amp;"."&amp;IF(J1047&lt;=K1047,J1047,IF(J1047=K1047+1,200,IF(J1047=K1047+2,201,250)))&amp;".0/24",""))</f>
        <v/>
      </c>
      <c r="D1047" s="0" t="str">
        <f aca="false">IF(I1047="","",IF(AND(J1047&gt;=1,J1047&lt;=K1047+3),"255.255.255.0",""))</f>
        <v/>
      </c>
      <c r="E1047" s="0" t="str">
        <f aca="false">IF(I1047="","",IF(AND(J1047&gt;=1,J1047&lt;=K1047+3),"10."&amp;INDEX(Eingabe!$D$9:$D$18,I1047)&amp;"."&amp;IF(J1047&lt;=K1047,J1047,IF(J1047=K1047+1,200,IF(J1047=K1047+2,201,250)))&amp;".1",""))</f>
        <v/>
      </c>
      <c r="F1047" s="0" t="str">
        <f aca="false">IF(I1047="","",IF(AND(J1047&gt;=1,J1047&lt;=K1047+3),"10."&amp;INDEX(Eingabe!$D$9:$D$18,I1047)&amp;"."&amp;IF(J1047&lt;=K1047,J1047,IF(J1047=K1047+1,200,IF(J1047=K1047+2,201,250)))&amp;".10 – 10."&amp;INDEX(Eingabe!$D$9:$D$18,I1047)&amp;"."&amp;IF(J1047&lt;=K1047,J1047,IF(J1047=K1047+1,200,IF(J1047=K1047+2,201,250)))&amp;".250",""))</f>
        <v/>
      </c>
      <c r="G1047" s="0" t="str">
        <f aca="false">IF(I1047="","",IF(AND(J1047&gt;=1,J1047&lt;=K1047),Eingabe!$B$6&amp;"-"&amp;INDEX(Eingabe!$C$9:$C$18,I1047)&amp;"-Pächter  ·  Passwort Parzelle "&amp;J1047,IF(J1047=K1047+1,Eingabe!$B$6&amp;"-"&amp;INDEX(Eingabe!$C$9:$C$18,I1047)&amp;"-Vorstand  ·  eigenes WLAN",IF(J1047=K1047+2,Eingabe!$B$6&amp;"-"&amp;INDEX(Eingabe!$C$9:$C$18,I1047)&amp;"-Gäste  ·  Voucher",IF(J1047=K1047+3,"Kabel  ·  Access Point y = .(50+y), Mast-Switch x = .(10+x)","")))))</f>
        <v/>
      </c>
      <c r="I1047" s="0" t="str">
        <f aca="false">IF(1042&lt;=(Eingabe!$P$18+Eingabe!$Q$18-1),MATCH(1042,Eingabe!$P$9:$P$18,1),"")</f>
        <v/>
      </c>
      <c r="J1047" s="0" t="str">
        <f aca="false">IF(I1047="","",1042-INDEX(Eingabe!$P$9:$P$18,I1047))</f>
        <v/>
      </c>
      <c r="K1047" s="0" t="str">
        <f aca="false">IF(I1047="","",INDEX(Eingabe!$E$9:$E$18,I1047))</f>
        <v/>
      </c>
    </row>
    <row r="1048" customFormat="false" ht="15" hidden="false" customHeight="false" outlineLevel="0" collapsed="false">
      <c r="A1048" s="0" t="str">
        <f aca="false">IF(I1048="","",IF(J1048=0,"Sparte "&amp;I1048&amp;": "&amp;INDEX(Eingabe!$B$9:$B$18,I1048)&amp;"  (Sparten-ID "&amp;INDEX(Eingabe!$D$9:$D$18,I1048)&amp;", "&amp;K1048&amp;" Parzellen)",IF(J1048&lt;=K1048,"   Parzelle "&amp;J1048,IF(J1048=K1048+1,"   Vorstand",IF(J1048=K1048+2,"   Gäste",IF(J1048=K1048+3,"   Technik (Switches, Access Points)",""))))))</f>
        <v/>
      </c>
      <c r="B1048" s="0" t="str">
        <f aca="false">IF(I1048="","",IF(AND(J1048&gt;=1,J1048&lt;=K1048+3),IF(J1048&lt;=K1048,IF(J1048&lt;=99,IF((INDEX(Eingabe!$G$9:$G$18,I1048))&lt;=9,1000+(INDEX(Eingabe!$G$9:$G$18,I1048))*100,3000)+J1048,IF((INDEX(Eingabe!$G$9:$G$18,I1048)+1)&lt;=9,1000+(INDEX(Eingabe!$G$9:$G$18,I1048)+1)*100,3000)+J1048-100),IF(J1048=K1048+1,2000+INDEX(Eingabe!$G$9:$G$18,I1048)*10+1,IF(J1048=K1048+2,2000+INDEX(Eingabe!$G$9:$G$18,I1048)*10+2,2000+INDEX(Eingabe!$G$9:$G$18,I1048)*10+9))),""))</f>
        <v/>
      </c>
      <c r="C1048" s="0" t="str">
        <f aca="false">IF(I1048="","",IF(AND(J1048&gt;=1,J1048&lt;=K1048+3),"10."&amp;INDEX(Eingabe!$D$9:$D$18,I1048)&amp;"."&amp;IF(J1048&lt;=K1048,J1048,IF(J1048=K1048+1,200,IF(J1048=K1048+2,201,250)))&amp;".0/24",""))</f>
        <v/>
      </c>
      <c r="D1048" s="0" t="str">
        <f aca="false">IF(I1048="","",IF(AND(J1048&gt;=1,J1048&lt;=K1048+3),"255.255.255.0",""))</f>
        <v/>
      </c>
      <c r="E1048" s="0" t="str">
        <f aca="false">IF(I1048="","",IF(AND(J1048&gt;=1,J1048&lt;=K1048+3),"10."&amp;INDEX(Eingabe!$D$9:$D$18,I1048)&amp;"."&amp;IF(J1048&lt;=K1048,J1048,IF(J1048=K1048+1,200,IF(J1048=K1048+2,201,250)))&amp;".1",""))</f>
        <v/>
      </c>
      <c r="F1048" s="0" t="str">
        <f aca="false">IF(I1048="","",IF(AND(J1048&gt;=1,J1048&lt;=K1048+3),"10."&amp;INDEX(Eingabe!$D$9:$D$18,I1048)&amp;"."&amp;IF(J1048&lt;=K1048,J1048,IF(J1048=K1048+1,200,IF(J1048=K1048+2,201,250)))&amp;".10 – 10."&amp;INDEX(Eingabe!$D$9:$D$18,I1048)&amp;"."&amp;IF(J1048&lt;=K1048,J1048,IF(J1048=K1048+1,200,IF(J1048=K1048+2,201,250)))&amp;".250",""))</f>
        <v/>
      </c>
      <c r="G1048" s="0" t="str">
        <f aca="false">IF(I1048="","",IF(AND(J1048&gt;=1,J1048&lt;=K1048),Eingabe!$B$6&amp;"-"&amp;INDEX(Eingabe!$C$9:$C$18,I1048)&amp;"-Pächter  ·  Passwort Parzelle "&amp;J1048,IF(J1048=K1048+1,Eingabe!$B$6&amp;"-"&amp;INDEX(Eingabe!$C$9:$C$18,I1048)&amp;"-Vorstand  ·  eigenes WLAN",IF(J1048=K1048+2,Eingabe!$B$6&amp;"-"&amp;INDEX(Eingabe!$C$9:$C$18,I1048)&amp;"-Gäste  ·  Voucher",IF(J1048=K1048+3,"Kabel  ·  Access Point y = .(50+y), Mast-Switch x = .(10+x)","")))))</f>
        <v/>
      </c>
      <c r="I1048" s="0" t="str">
        <f aca="false">IF(1043&lt;=(Eingabe!$P$18+Eingabe!$Q$18-1),MATCH(1043,Eingabe!$P$9:$P$18,1),"")</f>
        <v/>
      </c>
      <c r="J1048" s="0" t="str">
        <f aca="false">IF(I1048="","",1043-INDEX(Eingabe!$P$9:$P$18,I1048))</f>
        <v/>
      </c>
      <c r="K1048" s="0" t="str">
        <f aca="false">IF(I1048="","",INDEX(Eingabe!$E$9:$E$18,I1048))</f>
        <v/>
      </c>
    </row>
    <row r="1049" customFormat="false" ht="15" hidden="false" customHeight="false" outlineLevel="0" collapsed="false">
      <c r="A1049" s="0" t="str">
        <f aca="false">IF(I1049="","",IF(J1049=0,"Sparte "&amp;I1049&amp;": "&amp;INDEX(Eingabe!$B$9:$B$18,I1049)&amp;"  (Sparten-ID "&amp;INDEX(Eingabe!$D$9:$D$18,I1049)&amp;", "&amp;K1049&amp;" Parzellen)",IF(J1049&lt;=K1049,"   Parzelle "&amp;J1049,IF(J1049=K1049+1,"   Vorstand",IF(J1049=K1049+2,"   Gäste",IF(J1049=K1049+3,"   Technik (Switches, Access Points)",""))))))</f>
        <v/>
      </c>
      <c r="B1049" s="0" t="str">
        <f aca="false">IF(I1049="","",IF(AND(J1049&gt;=1,J1049&lt;=K1049+3),IF(J1049&lt;=K1049,IF(J1049&lt;=99,IF((INDEX(Eingabe!$G$9:$G$18,I1049))&lt;=9,1000+(INDEX(Eingabe!$G$9:$G$18,I1049))*100,3000)+J1049,IF((INDEX(Eingabe!$G$9:$G$18,I1049)+1)&lt;=9,1000+(INDEX(Eingabe!$G$9:$G$18,I1049)+1)*100,3000)+J1049-100),IF(J1049=K1049+1,2000+INDEX(Eingabe!$G$9:$G$18,I1049)*10+1,IF(J1049=K1049+2,2000+INDEX(Eingabe!$G$9:$G$18,I1049)*10+2,2000+INDEX(Eingabe!$G$9:$G$18,I1049)*10+9))),""))</f>
        <v/>
      </c>
      <c r="C1049" s="0" t="str">
        <f aca="false">IF(I1049="","",IF(AND(J1049&gt;=1,J1049&lt;=K1049+3),"10."&amp;INDEX(Eingabe!$D$9:$D$18,I1049)&amp;"."&amp;IF(J1049&lt;=K1049,J1049,IF(J1049=K1049+1,200,IF(J1049=K1049+2,201,250)))&amp;".0/24",""))</f>
        <v/>
      </c>
      <c r="D1049" s="0" t="str">
        <f aca="false">IF(I1049="","",IF(AND(J1049&gt;=1,J1049&lt;=K1049+3),"255.255.255.0",""))</f>
        <v/>
      </c>
      <c r="E1049" s="0" t="str">
        <f aca="false">IF(I1049="","",IF(AND(J1049&gt;=1,J1049&lt;=K1049+3),"10."&amp;INDEX(Eingabe!$D$9:$D$18,I1049)&amp;"."&amp;IF(J1049&lt;=K1049,J1049,IF(J1049=K1049+1,200,IF(J1049=K1049+2,201,250)))&amp;".1",""))</f>
        <v/>
      </c>
      <c r="F1049" s="0" t="str">
        <f aca="false">IF(I1049="","",IF(AND(J1049&gt;=1,J1049&lt;=K1049+3),"10."&amp;INDEX(Eingabe!$D$9:$D$18,I1049)&amp;"."&amp;IF(J1049&lt;=K1049,J1049,IF(J1049=K1049+1,200,IF(J1049=K1049+2,201,250)))&amp;".10 – 10."&amp;INDEX(Eingabe!$D$9:$D$18,I1049)&amp;"."&amp;IF(J1049&lt;=K1049,J1049,IF(J1049=K1049+1,200,IF(J1049=K1049+2,201,250)))&amp;".250",""))</f>
        <v/>
      </c>
      <c r="G1049" s="0" t="str">
        <f aca="false">IF(I1049="","",IF(AND(J1049&gt;=1,J1049&lt;=K1049),Eingabe!$B$6&amp;"-"&amp;INDEX(Eingabe!$C$9:$C$18,I1049)&amp;"-Pächter  ·  Passwort Parzelle "&amp;J1049,IF(J1049=K1049+1,Eingabe!$B$6&amp;"-"&amp;INDEX(Eingabe!$C$9:$C$18,I1049)&amp;"-Vorstand  ·  eigenes WLAN",IF(J1049=K1049+2,Eingabe!$B$6&amp;"-"&amp;INDEX(Eingabe!$C$9:$C$18,I1049)&amp;"-Gäste  ·  Voucher",IF(J1049=K1049+3,"Kabel  ·  Access Point y = .(50+y), Mast-Switch x = .(10+x)","")))))</f>
        <v/>
      </c>
      <c r="I1049" s="0" t="str">
        <f aca="false">IF(1044&lt;=(Eingabe!$P$18+Eingabe!$Q$18-1),MATCH(1044,Eingabe!$P$9:$P$18,1),"")</f>
        <v/>
      </c>
      <c r="J1049" s="0" t="str">
        <f aca="false">IF(I1049="","",1044-INDEX(Eingabe!$P$9:$P$18,I1049))</f>
        <v/>
      </c>
      <c r="K1049" s="0" t="str">
        <f aca="false">IF(I1049="","",INDEX(Eingabe!$E$9:$E$18,I1049))</f>
        <v/>
      </c>
    </row>
    <row r="1050" customFormat="false" ht="15" hidden="false" customHeight="false" outlineLevel="0" collapsed="false">
      <c r="A1050" s="0" t="str">
        <f aca="false">IF(I1050="","",IF(J1050=0,"Sparte "&amp;I1050&amp;": "&amp;INDEX(Eingabe!$B$9:$B$18,I1050)&amp;"  (Sparten-ID "&amp;INDEX(Eingabe!$D$9:$D$18,I1050)&amp;", "&amp;K1050&amp;" Parzellen)",IF(J1050&lt;=K1050,"   Parzelle "&amp;J1050,IF(J1050=K1050+1,"   Vorstand",IF(J1050=K1050+2,"   Gäste",IF(J1050=K1050+3,"   Technik (Switches, Access Points)",""))))))</f>
        <v/>
      </c>
      <c r="B1050" s="0" t="str">
        <f aca="false">IF(I1050="","",IF(AND(J1050&gt;=1,J1050&lt;=K1050+3),IF(J1050&lt;=K1050,IF(J1050&lt;=99,IF((INDEX(Eingabe!$G$9:$G$18,I1050))&lt;=9,1000+(INDEX(Eingabe!$G$9:$G$18,I1050))*100,3000)+J1050,IF((INDEX(Eingabe!$G$9:$G$18,I1050)+1)&lt;=9,1000+(INDEX(Eingabe!$G$9:$G$18,I1050)+1)*100,3000)+J1050-100),IF(J1050=K1050+1,2000+INDEX(Eingabe!$G$9:$G$18,I1050)*10+1,IF(J1050=K1050+2,2000+INDEX(Eingabe!$G$9:$G$18,I1050)*10+2,2000+INDEX(Eingabe!$G$9:$G$18,I1050)*10+9))),""))</f>
        <v/>
      </c>
      <c r="C1050" s="0" t="str">
        <f aca="false">IF(I1050="","",IF(AND(J1050&gt;=1,J1050&lt;=K1050+3),"10."&amp;INDEX(Eingabe!$D$9:$D$18,I1050)&amp;"."&amp;IF(J1050&lt;=K1050,J1050,IF(J1050=K1050+1,200,IF(J1050=K1050+2,201,250)))&amp;".0/24",""))</f>
        <v/>
      </c>
      <c r="D1050" s="0" t="str">
        <f aca="false">IF(I1050="","",IF(AND(J1050&gt;=1,J1050&lt;=K1050+3),"255.255.255.0",""))</f>
        <v/>
      </c>
      <c r="E1050" s="0" t="str">
        <f aca="false">IF(I1050="","",IF(AND(J1050&gt;=1,J1050&lt;=K1050+3),"10."&amp;INDEX(Eingabe!$D$9:$D$18,I1050)&amp;"."&amp;IF(J1050&lt;=K1050,J1050,IF(J1050=K1050+1,200,IF(J1050=K1050+2,201,250)))&amp;".1",""))</f>
        <v/>
      </c>
      <c r="F1050" s="0" t="str">
        <f aca="false">IF(I1050="","",IF(AND(J1050&gt;=1,J1050&lt;=K1050+3),"10."&amp;INDEX(Eingabe!$D$9:$D$18,I1050)&amp;"."&amp;IF(J1050&lt;=K1050,J1050,IF(J1050=K1050+1,200,IF(J1050=K1050+2,201,250)))&amp;".10 – 10."&amp;INDEX(Eingabe!$D$9:$D$18,I1050)&amp;"."&amp;IF(J1050&lt;=K1050,J1050,IF(J1050=K1050+1,200,IF(J1050=K1050+2,201,250)))&amp;".250",""))</f>
        <v/>
      </c>
      <c r="G1050" s="0" t="str">
        <f aca="false">IF(I1050="","",IF(AND(J1050&gt;=1,J1050&lt;=K1050),Eingabe!$B$6&amp;"-"&amp;INDEX(Eingabe!$C$9:$C$18,I1050)&amp;"-Pächter  ·  Passwort Parzelle "&amp;J1050,IF(J1050=K1050+1,Eingabe!$B$6&amp;"-"&amp;INDEX(Eingabe!$C$9:$C$18,I1050)&amp;"-Vorstand  ·  eigenes WLAN",IF(J1050=K1050+2,Eingabe!$B$6&amp;"-"&amp;INDEX(Eingabe!$C$9:$C$18,I1050)&amp;"-Gäste  ·  Voucher",IF(J1050=K1050+3,"Kabel  ·  Access Point y = .(50+y), Mast-Switch x = .(10+x)","")))))</f>
        <v/>
      </c>
      <c r="I1050" s="0" t="str">
        <f aca="false">IF(1045&lt;=(Eingabe!$P$18+Eingabe!$Q$18-1),MATCH(1045,Eingabe!$P$9:$P$18,1),"")</f>
        <v/>
      </c>
      <c r="J1050" s="0" t="str">
        <f aca="false">IF(I1050="","",1045-INDEX(Eingabe!$P$9:$P$18,I1050))</f>
        <v/>
      </c>
      <c r="K1050" s="0" t="str">
        <f aca="false">IF(I1050="","",INDEX(Eingabe!$E$9:$E$18,I1050))</f>
        <v/>
      </c>
    </row>
    <row r="1051" customFormat="false" ht="15" hidden="false" customHeight="false" outlineLevel="0" collapsed="false">
      <c r="A1051" s="0" t="str">
        <f aca="false">IF(I1051="","",IF(J1051=0,"Sparte "&amp;I1051&amp;": "&amp;INDEX(Eingabe!$B$9:$B$18,I1051)&amp;"  (Sparten-ID "&amp;INDEX(Eingabe!$D$9:$D$18,I1051)&amp;", "&amp;K1051&amp;" Parzellen)",IF(J1051&lt;=K1051,"   Parzelle "&amp;J1051,IF(J1051=K1051+1,"   Vorstand",IF(J1051=K1051+2,"   Gäste",IF(J1051=K1051+3,"   Technik (Switches, Access Points)",""))))))</f>
        <v/>
      </c>
      <c r="B1051" s="0" t="str">
        <f aca="false">IF(I1051="","",IF(AND(J1051&gt;=1,J1051&lt;=K1051+3),IF(J1051&lt;=K1051,IF(J1051&lt;=99,IF((INDEX(Eingabe!$G$9:$G$18,I1051))&lt;=9,1000+(INDEX(Eingabe!$G$9:$G$18,I1051))*100,3000)+J1051,IF((INDEX(Eingabe!$G$9:$G$18,I1051)+1)&lt;=9,1000+(INDEX(Eingabe!$G$9:$G$18,I1051)+1)*100,3000)+J1051-100),IF(J1051=K1051+1,2000+INDEX(Eingabe!$G$9:$G$18,I1051)*10+1,IF(J1051=K1051+2,2000+INDEX(Eingabe!$G$9:$G$18,I1051)*10+2,2000+INDEX(Eingabe!$G$9:$G$18,I1051)*10+9))),""))</f>
        <v/>
      </c>
      <c r="C1051" s="0" t="str">
        <f aca="false">IF(I1051="","",IF(AND(J1051&gt;=1,J1051&lt;=K1051+3),"10."&amp;INDEX(Eingabe!$D$9:$D$18,I1051)&amp;"."&amp;IF(J1051&lt;=K1051,J1051,IF(J1051=K1051+1,200,IF(J1051=K1051+2,201,250)))&amp;".0/24",""))</f>
        <v/>
      </c>
      <c r="D1051" s="0" t="str">
        <f aca="false">IF(I1051="","",IF(AND(J1051&gt;=1,J1051&lt;=K1051+3),"255.255.255.0",""))</f>
        <v/>
      </c>
      <c r="E1051" s="0" t="str">
        <f aca="false">IF(I1051="","",IF(AND(J1051&gt;=1,J1051&lt;=K1051+3),"10."&amp;INDEX(Eingabe!$D$9:$D$18,I1051)&amp;"."&amp;IF(J1051&lt;=K1051,J1051,IF(J1051=K1051+1,200,IF(J1051=K1051+2,201,250)))&amp;".1",""))</f>
        <v/>
      </c>
      <c r="F1051" s="0" t="str">
        <f aca="false">IF(I1051="","",IF(AND(J1051&gt;=1,J1051&lt;=K1051+3),"10."&amp;INDEX(Eingabe!$D$9:$D$18,I1051)&amp;"."&amp;IF(J1051&lt;=K1051,J1051,IF(J1051=K1051+1,200,IF(J1051=K1051+2,201,250)))&amp;".10 – 10."&amp;INDEX(Eingabe!$D$9:$D$18,I1051)&amp;"."&amp;IF(J1051&lt;=K1051,J1051,IF(J1051=K1051+1,200,IF(J1051=K1051+2,201,250)))&amp;".250",""))</f>
        <v/>
      </c>
      <c r="G1051" s="0" t="str">
        <f aca="false">IF(I1051="","",IF(AND(J1051&gt;=1,J1051&lt;=K1051),Eingabe!$B$6&amp;"-"&amp;INDEX(Eingabe!$C$9:$C$18,I1051)&amp;"-Pächter  ·  Passwort Parzelle "&amp;J1051,IF(J1051=K1051+1,Eingabe!$B$6&amp;"-"&amp;INDEX(Eingabe!$C$9:$C$18,I1051)&amp;"-Vorstand  ·  eigenes WLAN",IF(J1051=K1051+2,Eingabe!$B$6&amp;"-"&amp;INDEX(Eingabe!$C$9:$C$18,I1051)&amp;"-Gäste  ·  Voucher",IF(J1051=K1051+3,"Kabel  ·  Access Point y = .(50+y), Mast-Switch x = .(10+x)","")))))</f>
        <v/>
      </c>
      <c r="I1051" s="0" t="str">
        <f aca="false">IF(1046&lt;=(Eingabe!$P$18+Eingabe!$Q$18-1),MATCH(1046,Eingabe!$P$9:$P$18,1),"")</f>
        <v/>
      </c>
      <c r="J1051" s="0" t="str">
        <f aca="false">IF(I1051="","",1046-INDEX(Eingabe!$P$9:$P$18,I1051))</f>
        <v/>
      </c>
      <c r="K1051" s="0" t="str">
        <f aca="false">IF(I1051="","",INDEX(Eingabe!$E$9:$E$18,I1051))</f>
        <v/>
      </c>
    </row>
    <row r="1052" customFormat="false" ht="15" hidden="false" customHeight="false" outlineLevel="0" collapsed="false">
      <c r="A1052" s="0" t="str">
        <f aca="false">IF(I1052="","",IF(J1052=0,"Sparte "&amp;I1052&amp;": "&amp;INDEX(Eingabe!$B$9:$B$18,I1052)&amp;"  (Sparten-ID "&amp;INDEX(Eingabe!$D$9:$D$18,I1052)&amp;", "&amp;K1052&amp;" Parzellen)",IF(J1052&lt;=K1052,"   Parzelle "&amp;J1052,IF(J1052=K1052+1,"   Vorstand",IF(J1052=K1052+2,"   Gäste",IF(J1052=K1052+3,"   Technik (Switches, Access Points)",""))))))</f>
        <v/>
      </c>
      <c r="B1052" s="0" t="str">
        <f aca="false">IF(I1052="","",IF(AND(J1052&gt;=1,J1052&lt;=K1052+3),IF(J1052&lt;=K1052,IF(J1052&lt;=99,IF((INDEX(Eingabe!$G$9:$G$18,I1052))&lt;=9,1000+(INDEX(Eingabe!$G$9:$G$18,I1052))*100,3000)+J1052,IF((INDEX(Eingabe!$G$9:$G$18,I1052)+1)&lt;=9,1000+(INDEX(Eingabe!$G$9:$G$18,I1052)+1)*100,3000)+J1052-100),IF(J1052=K1052+1,2000+INDEX(Eingabe!$G$9:$G$18,I1052)*10+1,IF(J1052=K1052+2,2000+INDEX(Eingabe!$G$9:$G$18,I1052)*10+2,2000+INDEX(Eingabe!$G$9:$G$18,I1052)*10+9))),""))</f>
        <v/>
      </c>
      <c r="C1052" s="0" t="str">
        <f aca="false">IF(I1052="","",IF(AND(J1052&gt;=1,J1052&lt;=K1052+3),"10."&amp;INDEX(Eingabe!$D$9:$D$18,I1052)&amp;"."&amp;IF(J1052&lt;=K1052,J1052,IF(J1052=K1052+1,200,IF(J1052=K1052+2,201,250)))&amp;".0/24",""))</f>
        <v/>
      </c>
      <c r="D1052" s="0" t="str">
        <f aca="false">IF(I1052="","",IF(AND(J1052&gt;=1,J1052&lt;=K1052+3),"255.255.255.0",""))</f>
        <v/>
      </c>
      <c r="E1052" s="0" t="str">
        <f aca="false">IF(I1052="","",IF(AND(J1052&gt;=1,J1052&lt;=K1052+3),"10."&amp;INDEX(Eingabe!$D$9:$D$18,I1052)&amp;"."&amp;IF(J1052&lt;=K1052,J1052,IF(J1052=K1052+1,200,IF(J1052=K1052+2,201,250)))&amp;".1",""))</f>
        <v/>
      </c>
      <c r="F1052" s="0" t="str">
        <f aca="false">IF(I1052="","",IF(AND(J1052&gt;=1,J1052&lt;=K1052+3),"10."&amp;INDEX(Eingabe!$D$9:$D$18,I1052)&amp;"."&amp;IF(J1052&lt;=K1052,J1052,IF(J1052=K1052+1,200,IF(J1052=K1052+2,201,250)))&amp;".10 – 10."&amp;INDEX(Eingabe!$D$9:$D$18,I1052)&amp;"."&amp;IF(J1052&lt;=K1052,J1052,IF(J1052=K1052+1,200,IF(J1052=K1052+2,201,250)))&amp;".250",""))</f>
        <v/>
      </c>
      <c r="G1052" s="0" t="str">
        <f aca="false">IF(I1052="","",IF(AND(J1052&gt;=1,J1052&lt;=K1052),Eingabe!$B$6&amp;"-"&amp;INDEX(Eingabe!$C$9:$C$18,I1052)&amp;"-Pächter  ·  Passwort Parzelle "&amp;J1052,IF(J1052=K1052+1,Eingabe!$B$6&amp;"-"&amp;INDEX(Eingabe!$C$9:$C$18,I1052)&amp;"-Vorstand  ·  eigenes WLAN",IF(J1052=K1052+2,Eingabe!$B$6&amp;"-"&amp;INDEX(Eingabe!$C$9:$C$18,I1052)&amp;"-Gäste  ·  Voucher",IF(J1052=K1052+3,"Kabel  ·  Access Point y = .(50+y), Mast-Switch x = .(10+x)","")))))</f>
        <v/>
      </c>
      <c r="I1052" s="0" t="str">
        <f aca="false">IF(1047&lt;=(Eingabe!$P$18+Eingabe!$Q$18-1),MATCH(1047,Eingabe!$P$9:$P$18,1),"")</f>
        <v/>
      </c>
      <c r="J1052" s="0" t="str">
        <f aca="false">IF(I1052="","",1047-INDEX(Eingabe!$P$9:$P$18,I1052))</f>
        <v/>
      </c>
      <c r="K1052" s="0" t="str">
        <f aca="false">IF(I1052="","",INDEX(Eingabe!$E$9:$E$18,I1052))</f>
        <v/>
      </c>
    </row>
    <row r="1053" customFormat="false" ht="15" hidden="false" customHeight="false" outlineLevel="0" collapsed="false">
      <c r="A1053" s="0" t="str">
        <f aca="false">IF(I1053="","",IF(J1053=0,"Sparte "&amp;I1053&amp;": "&amp;INDEX(Eingabe!$B$9:$B$18,I1053)&amp;"  (Sparten-ID "&amp;INDEX(Eingabe!$D$9:$D$18,I1053)&amp;", "&amp;K1053&amp;" Parzellen)",IF(J1053&lt;=K1053,"   Parzelle "&amp;J1053,IF(J1053=K1053+1,"   Vorstand",IF(J1053=K1053+2,"   Gäste",IF(J1053=K1053+3,"   Technik (Switches, Access Points)",""))))))</f>
        <v/>
      </c>
      <c r="B1053" s="0" t="str">
        <f aca="false">IF(I1053="","",IF(AND(J1053&gt;=1,J1053&lt;=K1053+3),IF(J1053&lt;=K1053,IF(J1053&lt;=99,IF((INDEX(Eingabe!$G$9:$G$18,I1053))&lt;=9,1000+(INDEX(Eingabe!$G$9:$G$18,I1053))*100,3000)+J1053,IF((INDEX(Eingabe!$G$9:$G$18,I1053)+1)&lt;=9,1000+(INDEX(Eingabe!$G$9:$G$18,I1053)+1)*100,3000)+J1053-100),IF(J1053=K1053+1,2000+INDEX(Eingabe!$G$9:$G$18,I1053)*10+1,IF(J1053=K1053+2,2000+INDEX(Eingabe!$G$9:$G$18,I1053)*10+2,2000+INDEX(Eingabe!$G$9:$G$18,I1053)*10+9))),""))</f>
        <v/>
      </c>
      <c r="C1053" s="0" t="str">
        <f aca="false">IF(I1053="","",IF(AND(J1053&gt;=1,J1053&lt;=K1053+3),"10."&amp;INDEX(Eingabe!$D$9:$D$18,I1053)&amp;"."&amp;IF(J1053&lt;=K1053,J1053,IF(J1053=K1053+1,200,IF(J1053=K1053+2,201,250)))&amp;".0/24",""))</f>
        <v/>
      </c>
      <c r="D1053" s="0" t="str">
        <f aca="false">IF(I1053="","",IF(AND(J1053&gt;=1,J1053&lt;=K1053+3),"255.255.255.0",""))</f>
        <v/>
      </c>
      <c r="E1053" s="0" t="str">
        <f aca="false">IF(I1053="","",IF(AND(J1053&gt;=1,J1053&lt;=K1053+3),"10."&amp;INDEX(Eingabe!$D$9:$D$18,I1053)&amp;"."&amp;IF(J1053&lt;=K1053,J1053,IF(J1053=K1053+1,200,IF(J1053=K1053+2,201,250)))&amp;".1",""))</f>
        <v/>
      </c>
      <c r="F1053" s="0" t="str">
        <f aca="false">IF(I1053="","",IF(AND(J1053&gt;=1,J1053&lt;=K1053+3),"10."&amp;INDEX(Eingabe!$D$9:$D$18,I1053)&amp;"."&amp;IF(J1053&lt;=K1053,J1053,IF(J1053=K1053+1,200,IF(J1053=K1053+2,201,250)))&amp;".10 – 10."&amp;INDEX(Eingabe!$D$9:$D$18,I1053)&amp;"."&amp;IF(J1053&lt;=K1053,J1053,IF(J1053=K1053+1,200,IF(J1053=K1053+2,201,250)))&amp;".250",""))</f>
        <v/>
      </c>
      <c r="G1053" s="0" t="str">
        <f aca="false">IF(I1053="","",IF(AND(J1053&gt;=1,J1053&lt;=K1053),Eingabe!$B$6&amp;"-"&amp;INDEX(Eingabe!$C$9:$C$18,I1053)&amp;"-Pächter  ·  Passwort Parzelle "&amp;J1053,IF(J1053=K1053+1,Eingabe!$B$6&amp;"-"&amp;INDEX(Eingabe!$C$9:$C$18,I1053)&amp;"-Vorstand  ·  eigenes WLAN",IF(J1053=K1053+2,Eingabe!$B$6&amp;"-"&amp;INDEX(Eingabe!$C$9:$C$18,I1053)&amp;"-Gäste  ·  Voucher",IF(J1053=K1053+3,"Kabel  ·  Access Point y = .(50+y), Mast-Switch x = .(10+x)","")))))</f>
        <v/>
      </c>
      <c r="I1053" s="0" t="str">
        <f aca="false">IF(1048&lt;=(Eingabe!$P$18+Eingabe!$Q$18-1),MATCH(1048,Eingabe!$P$9:$P$18,1),"")</f>
        <v/>
      </c>
      <c r="J1053" s="0" t="str">
        <f aca="false">IF(I1053="","",1048-INDEX(Eingabe!$P$9:$P$18,I1053))</f>
        <v/>
      </c>
      <c r="K1053" s="0" t="str">
        <f aca="false">IF(I1053="","",INDEX(Eingabe!$E$9:$E$18,I1053))</f>
        <v/>
      </c>
    </row>
    <row r="1054" customFormat="false" ht="15" hidden="false" customHeight="false" outlineLevel="0" collapsed="false">
      <c r="A1054" s="0" t="str">
        <f aca="false">IF(I1054="","",IF(J1054=0,"Sparte "&amp;I1054&amp;": "&amp;INDEX(Eingabe!$B$9:$B$18,I1054)&amp;"  (Sparten-ID "&amp;INDEX(Eingabe!$D$9:$D$18,I1054)&amp;", "&amp;K1054&amp;" Parzellen)",IF(J1054&lt;=K1054,"   Parzelle "&amp;J1054,IF(J1054=K1054+1,"   Vorstand",IF(J1054=K1054+2,"   Gäste",IF(J1054=K1054+3,"   Technik (Switches, Access Points)",""))))))</f>
        <v/>
      </c>
      <c r="B1054" s="0" t="str">
        <f aca="false">IF(I1054="","",IF(AND(J1054&gt;=1,J1054&lt;=K1054+3),IF(J1054&lt;=K1054,IF(J1054&lt;=99,IF((INDEX(Eingabe!$G$9:$G$18,I1054))&lt;=9,1000+(INDEX(Eingabe!$G$9:$G$18,I1054))*100,3000)+J1054,IF((INDEX(Eingabe!$G$9:$G$18,I1054)+1)&lt;=9,1000+(INDEX(Eingabe!$G$9:$G$18,I1054)+1)*100,3000)+J1054-100),IF(J1054=K1054+1,2000+INDEX(Eingabe!$G$9:$G$18,I1054)*10+1,IF(J1054=K1054+2,2000+INDEX(Eingabe!$G$9:$G$18,I1054)*10+2,2000+INDEX(Eingabe!$G$9:$G$18,I1054)*10+9))),""))</f>
        <v/>
      </c>
      <c r="C1054" s="0" t="str">
        <f aca="false">IF(I1054="","",IF(AND(J1054&gt;=1,J1054&lt;=K1054+3),"10."&amp;INDEX(Eingabe!$D$9:$D$18,I1054)&amp;"."&amp;IF(J1054&lt;=K1054,J1054,IF(J1054=K1054+1,200,IF(J1054=K1054+2,201,250)))&amp;".0/24",""))</f>
        <v/>
      </c>
      <c r="D1054" s="0" t="str">
        <f aca="false">IF(I1054="","",IF(AND(J1054&gt;=1,J1054&lt;=K1054+3),"255.255.255.0",""))</f>
        <v/>
      </c>
      <c r="E1054" s="0" t="str">
        <f aca="false">IF(I1054="","",IF(AND(J1054&gt;=1,J1054&lt;=K1054+3),"10."&amp;INDEX(Eingabe!$D$9:$D$18,I1054)&amp;"."&amp;IF(J1054&lt;=K1054,J1054,IF(J1054=K1054+1,200,IF(J1054=K1054+2,201,250)))&amp;".1",""))</f>
        <v/>
      </c>
      <c r="F1054" s="0" t="str">
        <f aca="false">IF(I1054="","",IF(AND(J1054&gt;=1,J1054&lt;=K1054+3),"10."&amp;INDEX(Eingabe!$D$9:$D$18,I1054)&amp;"."&amp;IF(J1054&lt;=K1054,J1054,IF(J1054=K1054+1,200,IF(J1054=K1054+2,201,250)))&amp;".10 – 10."&amp;INDEX(Eingabe!$D$9:$D$18,I1054)&amp;"."&amp;IF(J1054&lt;=K1054,J1054,IF(J1054=K1054+1,200,IF(J1054=K1054+2,201,250)))&amp;".250",""))</f>
        <v/>
      </c>
      <c r="G1054" s="0" t="str">
        <f aca="false">IF(I1054="","",IF(AND(J1054&gt;=1,J1054&lt;=K1054),Eingabe!$B$6&amp;"-"&amp;INDEX(Eingabe!$C$9:$C$18,I1054)&amp;"-Pächter  ·  Passwort Parzelle "&amp;J1054,IF(J1054=K1054+1,Eingabe!$B$6&amp;"-"&amp;INDEX(Eingabe!$C$9:$C$18,I1054)&amp;"-Vorstand  ·  eigenes WLAN",IF(J1054=K1054+2,Eingabe!$B$6&amp;"-"&amp;INDEX(Eingabe!$C$9:$C$18,I1054)&amp;"-Gäste  ·  Voucher",IF(J1054=K1054+3,"Kabel  ·  Access Point y = .(50+y), Mast-Switch x = .(10+x)","")))))</f>
        <v/>
      </c>
      <c r="I1054" s="0" t="str">
        <f aca="false">IF(1049&lt;=(Eingabe!$P$18+Eingabe!$Q$18-1),MATCH(1049,Eingabe!$P$9:$P$18,1),"")</f>
        <v/>
      </c>
      <c r="J1054" s="0" t="str">
        <f aca="false">IF(I1054="","",1049-INDEX(Eingabe!$P$9:$P$18,I1054))</f>
        <v/>
      </c>
      <c r="K1054" s="0" t="str">
        <f aca="false">IF(I1054="","",INDEX(Eingabe!$E$9:$E$18,I1054))</f>
        <v/>
      </c>
    </row>
    <row r="1055" customFormat="false" ht="15" hidden="false" customHeight="false" outlineLevel="0" collapsed="false">
      <c r="A1055" s="0" t="str">
        <f aca="false">IF(I1055="","",IF(J1055=0,"Sparte "&amp;I1055&amp;": "&amp;INDEX(Eingabe!$B$9:$B$18,I1055)&amp;"  (Sparten-ID "&amp;INDEX(Eingabe!$D$9:$D$18,I1055)&amp;", "&amp;K1055&amp;" Parzellen)",IF(J1055&lt;=K1055,"   Parzelle "&amp;J1055,IF(J1055=K1055+1,"   Vorstand",IF(J1055=K1055+2,"   Gäste",IF(J1055=K1055+3,"   Technik (Switches, Access Points)",""))))))</f>
        <v/>
      </c>
      <c r="B1055" s="0" t="str">
        <f aca="false">IF(I1055="","",IF(AND(J1055&gt;=1,J1055&lt;=K1055+3),IF(J1055&lt;=K1055,IF(J1055&lt;=99,IF((INDEX(Eingabe!$G$9:$G$18,I1055))&lt;=9,1000+(INDEX(Eingabe!$G$9:$G$18,I1055))*100,3000)+J1055,IF((INDEX(Eingabe!$G$9:$G$18,I1055)+1)&lt;=9,1000+(INDEX(Eingabe!$G$9:$G$18,I1055)+1)*100,3000)+J1055-100),IF(J1055=K1055+1,2000+INDEX(Eingabe!$G$9:$G$18,I1055)*10+1,IF(J1055=K1055+2,2000+INDEX(Eingabe!$G$9:$G$18,I1055)*10+2,2000+INDEX(Eingabe!$G$9:$G$18,I1055)*10+9))),""))</f>
        <v/>
      </c>
      <c r="C1055" s="0" t="str">
        <f aca="false">IF(I1055="","",IF(AND(J1055&gt;=1,J1055&lt;=K1055+3),"10."&amp;INDEX(Eingabe!$D$9:$D$18,I1055)&amp;"."&amp;IF(J1055&lt;=K1055,J1055,IF(J1055=K1055+1,200,IF(J1055=K1055+2,201,250)))&amp;".0/24",""))</f>
        <v/>
      </c>
      <c r="D1055" s="0" t="str">
        <f aca="false">IF(I1055="","",IF(AND(J1055&gt;=1,J1055&lt;=K1055+3),"255.255.255.0",""))</f>
        <v/>
      </c>
      <c r="E1055" s="0" t="str">
        <f aca="false">IF(I1055="","",IF(AND(J1055&gt;=1,J1055&lt;=K1055+3),"10."&amp;INDEX(Eingabe!$D$9:$D$18,I1055)&amp;"."&amp;IF(J1055&lt;=K1055,J1055,IF(J1055=K1055+1,200,IF(J1055=K1055+2,201,250)))&amp;".1",""))</f>
        <v/>
      </c>
      <c r="F1055" s="0" t="str">
        <f aca="false">IF(I1055="","",IF(AND(J1055&gt;=1,J1055&lt;=K1055+3),"10."&amp;INDEX(Eingabe!$D$9:$D$18,I1055)&amp;"."&amp;IF(J1055&lt;=K1055,J1055,IF(J1055=K1055+1,200,IF(J1055=K1055+2,201,250)))&amp;".10 – 10."&amp;INDEX(Eingabe!$D$9:$D$18,I1055)&amp;"."&amp;IF(J1055&lt;=K1055,J1055,IF(J1055=K1055+1,200,IF(J1055=K1055+2,201,250)))&amp;".250",""))</f>
        <v/>
      </c>
      <c r="G1055" s="0" t="str">
        <f aca="false">IF(I1055="","",IF(AND(J1055&gt;=1,J1055&lt;=K1055),Eingabe!$B$6&amp;"-"&amp;INDEX(Eingabe!$C$9:$C$18,I1055)&amp;"-Pächter  ·  Passwort Parzelle "&amp;J1055,IF(J1055=K1055+1,Eingabe!$B$6&amp;"-"&amp;INDEX(Eingabe!$C$9:$C$18,I1055)&amp;"-Vorstand  ·  eigenes WLAN",IF(J1055=K1055+2,Eingabe!$B$6&amp;"-"&amp;INDEX(Eingabe!$C$9:$C$18,I1055)&amp;"-Gäste  ·  Voucher",IF(J1055=K1055+3,"Kabel  ·  Access Point y = .(50+y), Mast-Switch x = .(10+x)","")))))</f>
        <v/>
      </c>
      <c r="I1055" s="0" t="str">
        <f aca="false">IF(1050&lt;=(Eingabe!$P$18+Eingabe!$Q$18-1),MATCH(1050,Eingabe!$P$9:$P$18,1),"")</f>
        <v/>
      </c>
      <c r="J1055" s="0" t="str">
        <f aca="false">IF(I1055="","",1050-INDEX(Eingabe!$P$9:$P$18,I1055))</f>
        <v/>
      </c>
      <c r="K1055" s="0" t="str">
        <f aca="false">IF(I1055="","",INDEX(Eingabe!$E$9:$E$18,I1055))</f>
        <v/>
      </c>
    </row>
    <row r="1056" customFormat="false" ht="15" hidden="false" customHeight="false" outlineLevel="0" collapsed="false">
      <c r="A1056" s="0" t="str">
        <f aca="false">IF(I1056="","",IF(J1056=0,"Sparte "&amp;I1056&amp;": "&amp;INDEX(Eingabe!$B$9:$B$18,I1056)&amp;"  (Sparten-ID "&amp;INDEX(Eingabe!$D$9:$D$18,I1056)&amp;", "&amp;K1056&amp;" Parzellen)",IF(J1056&lt;=K1056,"   Parzelle "&amp;J1056,IF(J1056=K1056+1,"   Vorstand",IF(J1056=K1056+2,"   Gäste",IF(J1056=K1056+3,"   Technik (Switches, Access Points)",""))))))</f>
        <v/>
      </c>
      <c r="B1056" s="0" t="str">
        <f aca="false">IF(I1056="","",IF(AND(J1056&gt;=1,J1056&lt;=K1056+3),IF(J1056&lt;=K1056,IF(J1056&lt;=99,IF((INDEX(Eingabe!$G$9:$G$18,I1056))&lt;=9,1000+(INDEX(Eingabe!$G$9:$G$18,I1056))*100,3000)+J1056,IF((INDEX(Eingabe!$G$9:$G$18,I1056)+1)&lt;=9,1000+(INDEX(Eingabe!$G$9:$G$18,I1056)+1)*100,3000)+J1056-100),IF(J1056=K1056+1,2000+INDEX(Eingabe!$G$9:$G$18,I1056)*10+1,IF(J1056=K1056+2,2000+INDEX(Eingabe!$G$9:$G$18,I1056)*10+2,2000+INDEX(Eingabe!$G$9:$G$18,I1056)*10+9))),""))</f>
        <v/>
      </c>
      <c r="C1056" s="0" t="str">
        <f aca="false">IF(I1056="","",IF(AND(J1056&gt;=1,J1056&lt;=K1056+3),"10."&amp;INDEX(Eingabe!$D$9:$D$18,I1056)&amp;"."&amp;IF(J1056&lt;=K1056,J1056,IF(J1056=K1056+1,200,IF(J1056=K1056+2,201,250)))&amp;".0/24",""))</f>
        <v/>
      </c>
      <c r="D1056" s="0" t="str">
        <f aca="false">IF(I1056="","",IF(AND(J1056&gt;=1,J1056&lt;=K1056+3),"255.255.255.0",""))</f>
        <v/>
      </c>
      <c r="E1056" s="0" t="str">
        <f aca="false">IF(I1056="","",IF(AND(J1056&gt;=1,J1056&lt;=K1056+3),"10."&amp;INDEX(Eingabe!$D$9:$D$18,I1056)&amp;"."&amp;IF(J1056&lt;=K1056,J1056,IF(J1056=K1056+1,200,IF(J1056=K1056+2,201,250)))&amp;".1",""))</f>
        <v/>
      </c>
      <c r="F1056" s="0" t="str">
        <f aca="false">IF(I1056="","",IF(AND(J1056&gt;=1,J1056&lt;=K1056+3),"10."&amp;INDEX(Eingabe!$D$9:$D$18,I1056)&amp;"."&amp;IF(J1056&lt;=K1056,J1056,IF(J1056=K1056+1,200,IF(J1056=K1056+2,201,250)))&amp;".10 – 10."&amp;INDEX(Eingabe!$D$9:$D$18,I1056)&amp;"."&amp;IF(J1056&lt;=K1056,J1056,IF(J1056=K1056+1,200,IF(J1056=K1056+2,201,250)))&amp;".250",""))</f>
        <v/>
      </c>
      <c r="G1056" s="0" t="str">
        <f aca="false">IF(I1056="","",IF(AND(J1056&gt;=1,J1056&lt;=K1056),Eingabe!$B$6&amp;"-"&amp;INDEX(Eingabe!$C$9:$C$18,I1056)&amp;"-Pächter  ·  Passwort Parzelle "&amp;J1056,IF(J1056=K1056+1,Eingabe!$B$6&amp;"-"&amp;INDEX(Eingabe!$C$9:$C$18,I1056)&amp;"-Vorstand  ·  eigenes WLAN",IF(J1056=K1056+2,Eingabe!$B$6&amp;"-"&amp;INDEX(Eingabe!$C$9:$C$18,I1056)&amp;"-Gäste  ·  Voucher",IF(J1056=K1056+3,"Kabel  ·  Access Point y = .(50+y), Mast-Switch x = .(10+x)","")))))</f>
        <v/>
      </c>
      <c r="I1056" s="0" t="str">
        <f aca="false">IF(1051&lt;=(Eingabe!$P$18+Eingabe!$Q$18-1),MATCH(1051,Eingabe!$P$9:$P$18,1),"")</f>
        <v/>
      </c>
      <c r="J1056" s="0" t="str">
        <f aca="false">IF(I1056="","",1051-INDEX(Eingabe!$P$9:$P$18,I1056))</f>
        <v/>
      </c>
      <c r="K1056" s="0" t="str">
        <f aca="false">IF(I1056="","",INDEX(Eingabe!$E$9:$E$18,I1056))</f>
        <v/>
      </c>
    </row>
    <row r="1057" customFormat="false" ht="15" hidden="false" customHeight="false" outlineLevel="0" collapsed="false">
      <c r="A1057" s="0" t="str">
        <f aca="false">IF(I1057="","",IF(J1057=0,"Sparte "&amp;I1057&amp;": "&amp;INDEX(Eingabe!$B$9:$B$18,I1057)&amp;"  (Sparten-ID "&amp;INDEX(Eingabe!$D$9:$D$18,I1057)&amp;", "&amp;K1057&amp;" Parzellen)",IF(J1057&lt;=K1057,"   Parzelle "&amp;J1057,IF(J1057=K1057+1,"   Vorstand",IF(J1057=K1057+2,"   Gäste",IF(J1057=K1057+3,"   Technik (Switches, Access Points)",""))))))</f>
        <v/>
      </c>
      <c r="B1057" s="0" t="str">
        <f aca="false">IF(I1057="","",IF(AND(J1057&gt;=1,J1057&lt;=K1057+3),IF(J1057&lt;=K1057,IF(J1057&lt;=99,IF((INDEX(Eingabe!$G$9:$G$18,I1057))&lt;=9,1000+(INDEX(Eingabe!$G$9:$G$18,I1057))*100,3000)+J1057,IF((INDEX(Eingabe!$G$9:$G$18,I1057)+1)&lt;=9,1000+(INDEX(Eingabe!$G$9:$G$18,I1057)+1)*100,3000)+J1057-100),IF(J1057=K1057+1,2000+INDEX(Eingabe!$G$9:$G$18,I1057)*10+1,IF(J1057=K1057+2,2000+INDEX(Eingabe!$G$9:$G$18,I1057)*10+2,2000+INDEX(Eingabe!$G$9:$G$18,I1057)*10+9))),""))</f>
        <v/>
      </c>
      <c r="C1057" s="0" t="str">
        <f aca="false">IF(I1057="","",IF(AND(J1057&gt;=1,J1057&lt;=K1057+3),"10."&amp;INDEX(Eingabe!$D$9:$D$18,I1057)&amp;"."&amp;IF(J1057&lt;=K1057,J1057,IF(J1057=K1057+1,200,IF(J1057=K1057+2,201,250)))&amp;".0/24",""))</f>
        <v/>
      </c>
      <c r="D1057" s="0" t="str">
        <f aca="false">IF(I1057="","",IF(AND(J1057&gt;=1,J1057&lt;=K1057+3),"255.255.255.0",""))</f>
        <v/>
      </c>
      <c r="E1057" s="0" t="str">
        <f aca="false">IF(I1057="","",IF(AND(J1057&gt;=1,J1057&lt;=K1057+3),"10."&amp;INDEX(Eingabe!$D$9:$D$18,I1057)&amp;"."&amp;IF(J1057&lt;=K1057,J1057,IF(J1057=K1057+1,200,IF(J1057=K1057+2,201,250)))&amp;".1",""))</f>
        <v/>
      </c>
      <c r="F1057" s="0" t="str">
        <f aca="false">IF(I1057="","",IF(AND(J1057&gt;=1,J1057&lt;=K1057+3),"10."&amp;INDEX(Eingabe!$D$9:$D$18,I1057)&amp;"."&amp;IF(J1057&lt;=K1057,J1057,IF(J1057=K1057+1,200,IF(J1057=K1057+2,201,250)))&amp;".10 – 10."&amp;INDEX(Eingabe!$D$9:$D$18,I1057)&amp;"."&amp;IF(J1057&lt;=K1057,J1057,IF(J1057=K1057+1,200,IF(J1057=K1057+2,201,250)))&amp;".250",""))</f>
        <v/>
      </c>
      <c r="G1057" s="0" t="str">
        <f aca="false">IF(I1057="","",IF(AND(J1057&gt;=1,J1057&lt;=K1057),Eingabe!$B$6&amp;"-"&amp;INDEX(Eingabe!$C$9:$C$18,I1057)&amp;"-Pächter  ·  Passwort Parzelle "&amp;J1057,IF(J1057=K1057+1,Eingabe!$B$6&amp;"-"&amp;INDEX(Eingabe!$C$9:$C$18,I1057)&amp;"-Vorstand  ·  eigenes WLAN",IF(J1057=K1057+2,Eingabe!$B$6&amp;"-"&amp;INDEX(Eingabe!$C$9:$C$18,I1057)&amp;"-Gäste  ·  Voucher",IF(J1057=K1057+3,"Kabel  ·  Access Point y = .(50+y), Mast-Switch x = .(10+x)","")))))</f>
        <v/>
      </c>
      <c r="I1057" s="0" t="str">
        <f aca="false">IF(1052&lt;=(Eingabe!$P$18+Eingabe!$Q$18-1),MATCH(1052,Eingabe!$P$9:$P$18,1),"")</f>
        <v/>
      </c>
      <c r="J1057" s="0" t="str">
        <f aca="false">IF(I1057="","",1052-INDEX(Eingabe!$P$9:$P$18,I1057))</f>
        <v/>
      </c>
      <c r="K1057" s="0" t="str">
        <f aca="false">IF(I1057="","",INDEX(Eingabe!$E$9:$E$18,I1057))</f>
        <v/>
      </c>
    </row>
    <row r="1058" customFormat="false" ht="15" hidden="false" customHeight="false" outlineLevel="0" collapsed="false">
      <c r="A1058" s="0" t="str">
        <f aca="false">IF(I1058="","",IF(J1058=0,"Sparte "&amp;I1058&amp;": "&amp;INDEX(Eingabe!$B$9:$B$18,I1058)&amp;"  (Sparten-ID "&amp;INDEX(Eingabe!$D$9:$D$18,I1058)&amp;", "&amp;K1058&amp;" Parzellen)",IF(J1058&lt;=K1058,"   Parzelle "&amp;J1058,IF(J1058=K1058+1,"   Vorstand",IF(J1058=K1058+2,"   Gäste",IF(J1058=K1058+3,"   Technik (Switches, Access Points)",""))))))</f>
        <v/>
      </c>
      <c r="B1058" s="0" t="str">
        <f aca="false">IF(I1058="","",IF(AND(J1058&gt;=1,J1058&lt;=K1058+3),IF(J1058&lt;=K1058,IF(J1058&lt;=99,IF((INDEX(Eingabe!$G$9:$G$18,I1058))&lt;=9,1000+(INDEX(Eingabe!$G$9:$G$18,I1058))*100,3000)+J1058,IF((INDEX(Eingabe!$G$9:$G$18,I1058)+1)&lt;=9,1000+(INDEX(Eingabe!$G$9:$G$18,I1058)+1)*100,3000)+J1058-100),IF(J1058=K1058+1,2000+INDEX(Eingabe!$G$9:$G$18,I1058)*10+1,IF(J1058=K1058+2,2000+INDEX(Eingabe!$G$9:$G$18,I1058)*10+2,2000+INDEX(Eingabe!$G$9:$G$18,I1058)*10+9))),""))</f>
        <v/>
      </c>
      <c r="C1058" s="0" t="str">
        <f aca="false">IF(I1058="","",IF(AND(J1058&gt;=1,J1058&lt;=K1058+3),"10."&amp;INDEX(Eingabe!$D$9:$D$18,I1058)&amp;"."&amp;IF(J1058&lt;=K1058,J1058,IF(J1058=K1058+1,200,IF(J1058=K1058+2,201,250)))&amp;".0/24",""))</f>
        <v/>
      </c>
      <c r="D1058" s="0" t="str">
        <f aca="false">IF(I1058="","",IF(AND(J1058&gt;=1,J1058&lt;=K1058+3),"255.255.255.0",""))</f>
        <v/>
      </c>
      <c r="E1058" s="0" t="str">
        <f aca="false">IF(I1058="","",IF(AND(J1058&gt;=1,J1058&lt;=K1058+3),"10."&amp;INDEX(Eingabe!$D$9:$D$18,I1058)&amp;"."&amp;IF(J1058&lt;=K1058,J1058,IF(J1058=K1058+1,200,IF(J1058=K1058+2,201,250)))&amp;".1",""))</f>
        <v/>
      </c>
      <c r="F1058" s="0" t="str">
        <f aca="false">IF(I1058="","",IF(AND(J1058&gt;=1,J1058&lt;=K1058+3),"10."&amp;INDEX(Eingabe!$D$9:$D$18,I1058)&amp;"."&amp;IF(J1058&lt;=K1058,J1058,IF(J1058=K1058+1,200,IF(J1058=K1058+2,201,250)))&amp;".10 – 10."&amp;INDEX(Eingabe!$D$9:$D$18,I1058)&amp;"."&amp;IF(J1058&lt;=K1058,J1058,IF(J1058=K1058+1,200,IF(J1058=K1058+2,201,250)))&amp;".250",""))</f>
        <v/>
      </c>
      <c r="G1058" s="0" t="str">
        <f aca="false">IF(I1058="","",IF(AND(J1058&gt;=1,J1058&lt;=K1058),Eingabe!$B$6&amp;"-"&amp;INDEX(Eingabe!$C$9:$C$18,I1058)&amp;"-Pächter  ·  Passwort Parzelle "&amp;J1058,IF(J1058=K1058+1,Eingabe!$B$6&amp;"-"&amp;INDEX(Eingabe!$C$9:$C$18,I1058)&amp;"-Vorstand  ·  eigenes WLAN",IF(J1058=K1058+2,Eingabe!$B$6&amp;"-"&amp;INDEX(Eingabe!$C$9:$C$18,I1058)&amp;"-Gäste  ·  Voucher",IF(J1058=K1058+3,"Kabel  ·  Access Point y = .(50+y), Mast-Switch x = .(10+x)","")))))</f>
        <v/>
      </c>
      <c r="I1058" s="0" t="str">
        <f aca="false">IF(1053&lt;=(Eingabe!$P$18+Eingabe!$Q$18-1),MATCH(1053,Eingabe!$P$9:$P$18,1),"")</f>
        <v/>
      </c>
      <c r="J1058" s="0" t="str">
        <f aca="false">IF(I1058="","",1053-INDEX(Eingabe!$P$9:$P$18,I1058))</f>
        <v/>
      </c>
      <c r="K1058" s="0" t="str">
        <f aca="false">IF(I1058="","",INDEX(Eingabe!$E$9:$E$18,I1058))</f>
        <v/>
      </c>
    </row>
    <row r="1059" customFormat="false" ht="15" hidden="false" customHeight="false" outlineLevel="0" collapsed="false">
      <c r="A1059" s="0" t="str">
        <f aca="false">IF(I1059="","",IF(J1059=0,"Sparte "&amp;I1059&amp;": "&amp;INDEX(Eingabe!$B$9:$B$18,I1059)&amp;"  (Sparten-ID "&amp;INDEX(Eingabe!$D$9:$D$18,I1059)&amp;", "&amp;K1059&amp;" Parzellen)",IF(J1059&lt;=K1059,"   Parzelle "&amp;J1059,IF(J1059=K1059+1,"   Vorstand",IF(J1059=K1059+2,"   Gäste",IF(J1059=K1059+3,"   Technik (Switches, Access Points)",""))))))</f>
        <v/>
      </c>
      <c r="B1059" s="0" t="str">
        <f aca="false">IF(I1059="","",IF(AND(J1059&gt;=1,J1059&lt;=K1059+3),IF(J1059&lt;=K1059,IF(J1059&lt;=99,IF((INDEX(Eingabe!$G$9:$G$18,I1059))&lt;=9,1000+(INDEX(Eingabe!$G$9:$G$18,I1059))*100,3000)+J1059,IF((INDEX(Eingabe!$G$9:$G$18,I1059)+1)&lt;=9,1000+(INDEX(Eingabe!$G$9:$G$18,I1059)+1)*100,3000)+J1059-100),IF(J1059=K1059+1,2000+INDEX(Eingabe!$G$9:$G$18,I1059)*10+1,IF(J1059=K1059+2,2000+INDEX(Eingabe!$G$9:$G$18,I1059)*10+2,2000+INDEX(Eingabe!$G$9:$G$18,I1059)*10+9))),""))</f>
        <v/>
      </c>
      <c r="C1059" s="0" t="str">
        <f aca="false">IF(I1059="","",IF(AND(J1059&gt;=1,J1059&lt;=K1059+3),"10."&amp;INDEX(Eingabe!$D$9:$D$18,I1059)&amp;"."&amp;IF(J1059&lt;=K1059,J1059,IF(J1059=K1059+1,200,IF(J1059=K1059+2,201,250)))&amp;".0/24",""))</f>
        <v/>
      </c>
      <c r="D1059" s="0" t="str">
        <f aca="false">IF(I1059="","",IF(AND(J1059&gt;=1,J1059&lt;=K1059+3),"255.255.255.0",""))</f>
        <v/>
      </c>
      <c r="E1059" s="0" t="str">
        <f aca="false">IF(I1059="","",IF(AND(J1059&gt;=1,J1059&lt;=K1059+3),"10."&amp;INDEX(Eingabe!$D$9:$D$18,I1059)&amp;"."&amp;IF(J1059&lt;=K1059,J1059,IF(J1059=K1059+1,200,IF(J1059=K1059+2,201,250)))&amp;".1",""))</f>
        <v/>
      </c>
      <c r="F1059" s="0" t="str">
        <f aca="false">IF(I1059="","",IF(AND(J1059&gt;=1,J1059&lt;=K1059+3),"10."&amp;INDEX(Eingabe!$D$9:$D$18,I1059)&amp;"."&amp;IF(J1059&lt;=K1059,J1059,IF(J1059=K1059+1,200,IF(J1059=K1059+2,201,250)))&amp;".10 – 10."&amp;INDEX(Eingabe!$D$9:$D$18,I1059)&amp;"."&amp;IF(J1059&lt;=K1059,J1059,IF(J1059=K1059+1,200,IF(J1059=K1059+2,201,250)))&amp;".250",""))</f>
        <v/>
      </c>
      <c r="G1059" s="0" t="str">
        <f aca="false">IF(I1059="","",IF(AND(J1059&gt;=1,J1059&lt;=K1059),Eingabe!$B$6&amp;"-"&amp;INDEX(Eingabe!$C$9:$C$18,I1059)&amp;"-Pächter  ·  Passwort Parzelle "&amp;J1059,IF(J1059=K1059+1,Eingabe!$B$6&amp;"-"&amp;INDEX(Eingabe!$C$9:$C$18,I1059)&amp;"-Vorstand  ·  eigenes WLAN",IF(J1059=K1059+2,Eingabe!$B$6&amp;"-"&amp;INDEX(Eingabe!$C$9:$C$18,I1059)&amp;"-Gäste  ·  Voucher",IF(J1059=K1059+3,"Kabel  ·  Access Point y = .(50+y), Mast-Switch x = .(10+x)","")))))</f>
        <v/>
      </c>
      <c r="I1059" s="0" t="str">
        <f aca="false">IF(1054&lt;=(Eingabe!$P$18+Eingabe!$Q$18-1),MATCH(1054,Eingabe!$P$9:$P$18,1),"")</f>
        <v/>
      </c>
      <c r="J1059" s="0" t="str">
        <f aca="false">IF(I1059="","",1054-INDEX(Eingabe!$P$9:$P$18,I1059))</f>
        <v/>
      </c>
      <c r="K1059" s="0" t="str">
        <f aca="false">IF(I1059="","",INDEX(Eingabe!$E$9:$E$18,I1059))</f>
        <v/>
      </c>
    </row>
    <row r="1060" customFormat="false" ht="15" hidden="false" customHeight="false" outlineLevel="0" collapsed="false">
      <c r="A1060" s="0" t="str">
        <f aca="false">IF(I1060="","",IF(J1060=0,"Sparte "&amp;I1060&amp;": "&amp;INDEX(Eingabe!$B$9:$B$18,I1060)&amp;"  (Sparten-ID "&amp;INDEX(Eingabe!$D$9:$D$18,I1060)&amp;", "&amp;K1060&amp;" Parzellen)",IF(J1060&lt;=K1060,"   Parzelle "&amp;J1060,IF(J1060=K1060+1,"   Vorstand",IF(J1060=K1060+2,"   Gäste",IF(J1060=K1060+3,"   Technik (Switches, Access Points)",""))))))</f>
        <v/>
      </c>
      <c r="B1060" s="0" t="str">
        <f aca="false">IF(I1060="","",IF(AND(J1060&gt;=1,J1060&lt;=K1060+3),IF(J1060&lt;=K1060,IF(J1060&lt;=99,IF((INDEX(Eingabe!$G$9:$G$18,I1060))&lt;=9,1000+(INDEX(Eingabe!$G$9:$G$18,I1060))*100,3000)+J1060,IF((INDEX(Eingabe!$G$9:$G$18,I1060)+1)&lt;=9,1000+(INDEX(Eingabe!$G$9:$G$18,I1060)+1)*100,3000)+J1060-100),IF(J1060=K1060+1,2000+INDEX(Eingabe!$G$9:$G$18,I1060)*10+1,IF(J1060=K1060+2,2000+INDEX(Eingabe!$G$9:$G$18,I1060)*10+2,2000+INDEX(Eingabe!$G$9:$G$18,I1060)*10+9))),""))</f>
        <v/>
      </c>
      <c r="C1060" s="0" t="str">
        <f aca="false">IF(I1060="","",IF(AND(J1060&gt;=1,J1060&lt;=K1060+3),"10."&amp;INDEX(Eingabe!$D$9:$D$18,I1060)&amp;"."&amp;IF(J1060&lt;=K1060,J1060,IF(J1060=K1060+1,200,IF(J1060=K1060+2,201,250)))&amp;".0/24",""))</f>
        <v/>
      </c>
      <c r="D1060" s="0" t="str">
        <f aca="false">IF(I1060="","",IF(AND(J1060&gt;=1,J1060&lt;=K1060+3),"255.255.255.0",""))</f>
        <v/>
      </c>
      <c r="E1060" s="0" t="str">
        <f aca="false">IF(I1060="","",IF(AND(J1060&gt;=1,J1060&lt;=K1060+3),"10."&amp;INDEX(Eingabe!$D$9:$D$18,I1060)&amp;"."&amp;IF(J1060&lt;=K1060,J1060,IF(J1060=K1060+1,200,IF(J1060=K1060+2,201,250)))&amp;".1",""))</f>
        <v/>
      </c>
      <c r="F1060" s="0" t="str">
        <f aca="false">IF(I1060="","",IF(AND(J1060&gt;=1,J1060&lt;=K1060+3),"10."&amp;INDEX(Eingabe!$D$9:$D$18,I1060)&amp;"."&amp;IF(J1060&lt;=K1060,J1060,IF(J1060=K1060+1,200,IF(J1060=K1060+2,201,250)))&amp;".10 – 10."&amp;INDEX(Eingabe!$D$9:$D$18,I1060)&amp;"."&amp;IF(J1060&lt;=K1060,J1060,IF(J1060=K1060+1,200,IF(J1060=K1060+2,201,250)))&amp;".250",""))</f>
        <v/>
      </c>
      <c r="G1060" s="0" t="str">
        <f aca="false">IF(I1060="","",IF(AND(J1060&gt;=1,J1060&lt;=K1060),Eingabe!$B$6&amp;"-"&amp;INDEX(Eingabe!$C$9:$C$18,I1060)&amp;"-Pächter  ·  Passwort Parzelle "&amp;J1060,IF(J1060=K1060+1,Eingabe!$B$6&amp;"-"&amp;INDEX(Eingabe!$C$9:$C$18,I1060)&amp;"-Vorstand  ·  eigenes WLAN",IF(J1060=K1060+2,Eingabe!$B$6&amp;"-"&amp;INDEX(Eingabe!$C$9:$C$18,I1060)&amp;"-Gäste  ·  Voucher",IF(J1060=K1060+3,"Kabel  ·  Access Point y = .(50+y), Mast-Switch x = .(10+x)","")))))</f>
        <v/>
      </c>
      <c r="I1060" s="0" t="str">
        <f aca="false">IF(1055&lt;=(Eingabe!$P$18+Eingabe!$Q$18-1),MATCH(1055,Eingabe!$P$9:$P$18,1),"")</f>
        <v/>
      </c>
      <c r="J1060" s="0" t="str">
        <f aca="false">IF(I1060="","",1055-INDEX(Eingabe!$P$9:$P$18,I1060))</f>
        <v/>
      </c>
      <c r="K1060" s="0" t="str">
        <f aca="false">IF(I1060="","",INDEX(Eingabe!$E$9:$E$18,I1060))</f>
        <v/>
      </c>
    </row>
    <row r="1061" customFormat="false" ht="15" hidden="false" customHeight="false" outlineLevel="0" collapsed="false">
      <c r="A1061" s="0" t="str">
        <f aca="false">IF(I1061="","",IF(J1061=0,"Sparte "&amp;I1061&amp;": "&amp;INDEX(Eingabe!$B$9:$B$18,I1061)&amp;"  (Sparten-ID "&amp;INDEX(Eingabe!$D$9:$D$18,I1061)&amp;", "&amp;K1061&amp;" Parzellen)",IF(J1061&lt;=K1061,"   Parzelle "&amp;J1061,IF(J1061=K1061+1,"   Vorstand",IF(J1061=K1061+2,"   Gäste",IF(J1061=K1061+3,"   Technik (Switches, Access Points)",""))))))</f>
        <v/>
      </c>
      <c r="B1061" s="0" t="str">
        <f aca="false">IF(I1061="","",IF(AND(J1061&gt;=1,J1061&lt;=K1061+3),IF(J1061&lt;=K1061,IF(J1061&lt;=99,IF((INDEX(Eingabe!$G$9:$G$18,I1061))&lt;=9,1000+(INDEX(Eingabe!$G$9:$G$18,I1061))*100,3000)+J1061,IF((INDEX(Eingabe!$G$9:$G$18,I1061)+1)&lt;=9,1000+(INDEX(Eingabe!$G$9:$G$18,I1061)+1)*100,3000)+J1061-100),IF(J1061=K1061+1,2000+INDEX(Eingabe!$G$9:$G$18,I1061)*10+1,IF(J1061=K1061+2,2000+INDEX(Eingabe!$G$9:$G$18,I1061)*10+2,2000+INDEX(Eingabe!$G$9:$G$18,I1061)*10+9))),""))</f>
        <v/>
      </c>
      <c r="C1061" s="0" t="str">
        <f aca="false">IF(I1061="","",IF(AND(J1061&gt;=1,J1061&lt;=K1061+3),"10."&amp;INDEX(Eingabe!$D$9:$D$18,I1061)&amp;"."&amp;IF(J1061&lt;=K1061,J1061,IF(J1061=K1061+1,200,IF(J1061=K1061+2,201,250)))&amp;".0/24",""))</f>
        <v/>
      </c>
      <c r="D1061" s="0" t="str">
        <f aca="false">IF(I1061="","",IF(AND(J1061&gt;=1,J1061&lt;=K1061+3),"255.255.255.0",""))</f>
        <v/>
      </c>
      <c r="E1061" s="0" t="str">
        <f aca="false">IF(I1061="","",IF(AND(J1061&gt;=1,J1061&lt;=K1061+3),"10."&amp;INDEX(Eingabe!$D$9:$D$18,I1061)&amp;"."&amp;IF(J1061&lt;=K1061,J1061,IF(J1061=K1061+1,200,IF(J1061=K1061+2,201,250)))&amp;".1",""))</f>
        <v/>
      </c>
      <c r="F1061" s="0" t="str">
        <f aca="false">IF(I1061="","",IF(AND(J1061&gt;=1,J1061&lt;=K1061+3),"10."&amp;INDEX(Eingabe!$D$9:$D$18,I1061)&amp;"."&amp;IF(J1061&lt;=K1061,J1061,IF(J1061=K1061+1,200,IF(J1061=K1061+2,201,250)))&amp;".10 – 10."&amp;INDEX(Eingabe!$D$9:$D$18,I1061)&amp;"."&amp;IF(J1061&lt;=K1061,J1061,IF(J1061=K1061+1,200,IF(J1061=K1061+2,201,250)))&amp;".250",""))</f>
        <v/>
      </c>
      <c r="G1061" s="0" t="str">
        <f aca="false">IF(I1061="","",IF(AND(J1061&gt;=1,J1061&lt;=K1061),Eingabe!$B$6&amp;"-"&amp;INDEX(Eingabe!$C$9:$C$18,I1061)&amp;"-Pächter  ·  Passwort Parzelle "&amp;J1061,IF(J1061=K1061+1,Eingabe!$B$6&amp;"-"&amp;INDEX(Eingabe!$C$9:$C$18,I1061)&amp;"-Vorstand  ·  eigenes WLAN",IF(J1061=K1061+2,Eingabe!$B$6&amp;"-"&amp;INDEX(Eingabe!$C$9:$C$18,I1061)&amp;"-Gäste  ·  Voucher",IF(J1061=K1061+3,"Kabel  ·  Access Point y = .(50+y), Mast-Switch x = .(10+x)","")))))</f>
        <v/>
      </c>
      <c r="I1061" s="0" t="str">
        <f aca="false">IF(1056&lt;=(Eingabe!$P$18+Eingabe!$Q$18-1),MATCH(1056,Eingabe!$P$9:$P$18,1),"")</f>
        <v/>
      </c>
      <c r="J1061" s="0" t="str">
        <f aca="false">IF(I1061="","",1056-INDEX(Eingabe!$P$9:$P$18,I1061))</f>
        <v/>
      </c>
      <c r="K1061" s="0" t="str">
        <f aca="false">IF(I1061="","",INDEX(Eingabe!$E$9:$E$18,I1061))</f>
        <v/>
      </c>
    </row>
    <row r="1062" customFormat="false" ht="15" hidden="false" customHeight="false" outlineLevel="0" collapsed="false">
      <c r="A1062" s="0" t="str">
        <f aca="false">IF(I1062="","",IF(J1062=0,"Sparte "&amp;I1062&amp;": "&amp;INDEX(Eingabe!$B$9:$B$18,I1062)&amp;"  (Sparten-ID "&amp;INDEX(Eingabe!$D$9:$D$18,I1062)&amp;", "&amp;K1062&amp;" Parzellen)",IF(J1062&lt;=K1062,"   Parzelle "&amp;J1062,IF(J1062=K1062+1,"   Vorstand",IF(J1062=K1062+2,"   Gäste",IF(J1062=K1062+3,"   Technik (Switches, Access Points)",""))))))</f>
        <v/>
      </c>
      <c r="B1062" s="0" t="str">
        <f aca="false">IF(I1062="","",IF(AND(J1062&gt;=1,J1062&lt;=K1062+3),IF(J1062&lt;=K1062,IF(J1062&lt;=99,IF((INDEX(Eingabe!$G$9:$G$18,I1062))&lt;=9,1000+(INDEX(Eingabe!$G$9:$G$18,I1062))*100,3000)+J1062,IF((INDEX(Eingabe!$G$9:$G$18,I1062)+1)&lt;=9,1000+(INDEX(Eingabe!$G$9:$G$18,I1062)+1)*100,3000)+J1062-100),IF(J1062=K1062+1,2000+INDEX(Eingabe!$G$9:$G$18,I1062)*10+1,IF(J1062=K1062+2,2000+INDEX(Eingabe!$G$9:$G$18,I1062)*10+2,2000+INDEX(Eingabe!$G$9:$G$18,I1062)*10+9))),""))</f>
        <v/>
      </c>
      <c r="C1062" s="0" t="str">
        <f aca="false">IF(I1062="","",IF(AND(J1062&gt;=1,J1062&lt;=K1062+3),"10."&amp;INDEX(Eingabe!$D$9:$D$18,I1062)&amp;"."&amp;IF(J1062&lt;=K1062,J1062,IF(J1062=K1062+1,200,IF(J1062=K1062+2,201,250)))&amp;".0/24",""))</f>
        <v/>
      </c>
      <c r="D1062" s="0" t="str">
        <f aca="false">IF(I1062="","",IF(AND(J1062&gt;=1,J1062&lt;=K1062+3),"255.255.255.0",""))</f>
        <v/>
      </c>
      <c r="E1062" s="0" t="str">
        <f aca="false">IF(I1062="","",IF(AND(J1062&gt;=1,J1062&lt;=K1062+3),"10."&amp;INDEX(Eingabe!$D$9:$D$18,I1062)&amp;"."&amp;IF(J1062&lt;=K1062,J1062,IF(J1062=K1062+1,200,IF(J1062=K1062+2,201,250)))&amp;".1",""))</f>
        <v/>
      </c>
      <c r="F1062" s="0" t="str">
        <f aca="false">IF(I1062="","",IF(AND(J1062&gt;=1,J1062&lt;=K1062+3),"10."&amp;INDEX(Eingabe!$D$9:$D$18,I1062)&amp;"."&amp;IF(J1062&lt;=K1062,J1062,IF(J1062=K1062+1,200,IF(J1062=K1062+2,201,250)))&amp;".10 – 10."&amp;INDEX(Eingabe!$D$9:$D$18,I1062)&amp;"."&amp;IF(J1062&lt;=K1062,J1062,IF(J1062=K1062+1,200,IF(J1062=K1062+2,201,250)))&amp;".250",""))</f>
        <v/>
      </c>
      <c r="G1062" s="0" t="str">
        <f aca="false">IF(I1062="","",IF(AND(J1062&gt;=1,J1062&lt;=K1062),Eingabe!$B$6&amp;"-"&amp;INDEX(Eingabe!$C$9:$C$18,I1062)&amp;"-Pächter  ·  Passwort Parzelle "&amp;J1062,IF(J1062=K1062+1,Eingabe!$B$6&amp;"-"&amp;INDEX(Eingabe!$C$9:$C$18,I1062)&amp;"-Vorstand  ·  eigenes WLAN",IF(J1062=K1062+2,Eingabe!$B$6&amp;"-"&amp;INDEX(Eingabe!$C$9:$C$18,I1062)&amp;"-Gäste  ·  Voucher",IF(J1062=K1062+3,"Kabel  ·  Access Point y = .(50+y), Mast-Switch x = .(10+x)","")))))</f>
        <v/>
      </c>
      <c r="I1062" s="0" t="str">
        <f aca="false">IF(1057&lt;=(Eingabe!$P$18+Eingabe!$Q$18-1),MATCH(1057,Eingabe!$P$9:$P$18,1),"")</f>
        <v/>
      </c>
      <c r="J1062" s="0" t="str">
        <f aca="false">IF(I1062="","",1057-INDEX(Eingabe!$P$9:$P$18,I1062))</f>
        <v/>
      </c>
      <c r="K1062" s="0" t="str">
        <f aca="false">IF(I1062="","",INDEX(Eingabe!$E$9:$E$18,I1062))</f>
        <v/>
      </c>
    </row>
    <row r="1063" customFormat="false" ht="15" hidden="false" customHeight="false" outlineLevel="0" collapsed="false">
      <c r="A1063" s="0" t="str">
        <f aca="false">IF(I1063="","",IF(J1063=0,"Sparte "&amp;I1063&amp;": "&amp;INDEX(Eingabe!$B$9:$B$18,I1063)&amp;"  (Sparten-ID "&amp;INDEX(Eingabe!$D$9:$D$18,I1063)&amp;", "&amp;K1063&amp;" Parzellen)",IF(J1063&lt;=K1063,"   Parzelle "&amp;J1063,IF(J1063=K1063+1,"   Vorstand",IF(J1063=K1063+2,"   Gäste",IF(J1063=K1063+3,"   Technik (Switches, Access Points)",""))))))</f>
        <v/>
      </c>
      <c r="B1063" s="0" t="str">
        <f aca="false">IF(I1063="","",IF(AND(J1063&gt;=1,J1063&lt;=K1063+3),IF(J1063&lt;=K1063,IF(J1063&lt;=99,IF((INDEX(Eingabe!$G$9:$G$18,I1063))&lt;=9,1000+(INDEX(Eingabe!$G$9:$G$18,I1063))*100,3000)+J1063,IF((INDEX(Eingabe!$G$9:$G$18,I1063)+1)&lt;=9,1000+(INDEX(Eingabe!$G$9:$G$18,I1063)+1)*100,3000)+J1063-100),IF(J1063=K1063+1,2000+INDEX(Eingabe!$G$9:$G$18,I1063)*10+1,IF(J1063=K1063+2,2000+INDEX(Eingabe!$G$9:$G$18,I1063)*10+2,2000+INDEX(Eingabe!$G$9:$G$18,I1063)*10+9))),""))</f>
        <v/>
      </c>
      <c r="C1063" s="0" t="str">
        <f aca="false">IF(I1063="","",IF(AND(J1063&gt;=1,J1063&lt;=K1063+3),"10."&amp;INDEX(Eingabe!$D$9:$D$18,I1063)&amp;"."&amp;IF(J1063&lt;=K1063,J1063,IF(J1063=K1063+1,200,IF(J1063=K1063+2,201,250)))&amp;".0/24",""))</f>
        <v/>
      </c>
      <c r="D1063" s="0" t="str">
        <f aca="false">IF(I1063="","",IF(AND(J1063&gt;=1,J1063&lt;=K1063+3),"255.255.255.0",""))</f>
        <v/>
      </c>
      <c r="E1063" s="0" t="str">
        <f aca="false">IF(I1063="","",IF(AND(J1063&gt;=1,J1063&lt;=K1063+3),"10."&amp;INDEX(Eingabe!$D$9:$D$18,I1063)&amp;"."&amp;IF(J1063&lt;=K1063,J1063,IF(J1063=K1063+1,200,IF(J1063=K1063+2,201,250)))&amp;".1",""))</f>
        <v/>
      </c>
      <c r="F1063" s="0" t="str">
        <f aca="false">IF(I1063="","",IF(AND(J1063&gt;=1,J1063&lt;=K1063+3),"10."&amp;INDEX(Eingabe!$D$9:$D$18,I1063)&amp;"."&amp;IF(J1063&lt;=K1063,J1063,IF(J1063=K1063+1,200,IF(J1063=K1063+2,201,250)))&amp;".10 – 10."&amp;INDEX(Eingabe!$D$9:$D$18,I1063)&amp;"."&amp;IF(J1063&lt;=K1063,J1063,IF(J1063=K1063+1,200,IF(J1063=K1063+2,201,250)))&amp;".250",""))</f>
        <v/>
      </c>
      <c r="G1063" s="0" t="str">
        <f aca="false">IF(I1063="","",IF(AND(J1063&gt;=1,J1063&lt;=K1063),Eingabe!$B$6&amp;"-"&amp;INDEX(Eingabe!$C$9:$C$18,I1063)&amp;"-Pächter  ·  Passwort Parzelle "&amp;J1063,IF(J1063=K1063+1,Eingabe!$B$6&amp;"-"&amp;INDEX(Eingabe!$C$9:$C$18,I1063)&amp;"-Vorstand  ·  eigenes WLAN",IF(J1063=K1063+2,Eingabe!$B$6&amp;"-"&amp;INDEX(Eingabe!$C$9:$C$18,I1063)&amp;"-Gäste  ·  Voucher",IF(J1063=K1063+3,"Kabel  ·  Access Point y = .(50+y), Mast-Switch x = .(10+x)","")))))</f>
        <v/>
      </c>
      <c r="I1063" s="0" t="str">
        <f aca="false">IF(1058&lt;=(Eingabe!$P$18+Eingabe!$Q$18-1),MATCH(1058,Eingabe!$P$9:$P$18,1),"")</f>
        <v/>
      </c>
      <c r="J1063" s="0" t="str">
        <f aca="false">IF(I1063="","",1058-INDEX(Eingabe!$P$9:$P$18,I1063))</f>
        <v/>
      </c>
      <c r="K1063" s="0" t="str">
        <f aca="false">IF(I1063="","",INDEX(Eingabe!$E$9:$E$18,I1063))</f>
        <v/>
      </c>
    </row>
    <row r="1064" customFormat="false" ht="15" hidden="false" customHeight="false" outlineLevel="0" collapsed="false">
      <c r="A1064" s="0" t="str">
        <f aca="false">IF(I1064="","",IF(J1064=0,"Sparte "&amp;I1064&amp;": "&amp;INDEX(Eingabe!$B$9:$B$18,I1064)&amp;"  (Sparten-ID "&amp;INDEX(Eingabe!$D$9:$D$18,I1064)&amp;", "&amp;K1064&amp;" Parzellen)",IF(J1064&lt;=K1064,"   Parzelle "&amp;J1064,IF(J1064=K1064+1,"   Vorstand",IF(J1064=K1064+2,"   Gäste",IF(J1064=K1064+3,"   Technik (Switches, Access Points)",""))))))</f>
        <v/>
      </c>
      <c r="B1064" s="0" t="str">
        <f aca="false">IF(I1064="","",IF(AND(J1064&gt;=1,J1064&lt;=K1064+3),IF(J1064&lt;=K1064,IF(J1064&lt;=99,IF((INDEX(Eingabe!$G$9:$G$18,I1064))&lt;=9,1000+(INDEX(Eingabe!$G$9:$G$18,I1064))*100,3000)+J1064,IF((INDEX(Eingabe!$G$9:$G$18,I1064)+1)&lt;=9,1000+(INDEX(Eingabe!$G$9:$G$18,I1064)+1)*100,3000)+J1064-100),IF(J1064=K1064+1,2000+INDEX(Eingabe!$G$9:$G$18,I1064)*10+1,IF(J1064=K1064+2,2000+INDEX(Eingabe!$G$9:$G$18,I1064)*10+2,2000+INDEX(Eingabe!$G$9:$G$18,I1064)*10+9))),""))</f>
        <v/>
      </c>
      <c r="C1064" s="0" t="str">
        <f aca="false">IF(I1064="","",IF(AND(J1064&gt;=1,J1064&lt;=K1064+3),"10."&amp;INDEX(Eingabe!$D$9:$D$18,I1064)&amp;"."&amp;IF(J1064&lt;=K1064,J1064,IF(J1064=K1064+1,200,IF(J1064=K1064+2,201,250)))&amp;".0/24",""))</f>
        <v/>
      </c>
      <c r="D1064" s="0" t="str">
        <f aca="false">IF(I1064="","",IF(AND(J1064&gt;=1,J1064&lt;=K1064+3),"255.255.255.0",""))</f>
        <v/>
      </c>
      <c r="E1064" s="0" t="str">
        <f aca="false">IF(I1064="","",IF(AND(J1064&gt;=1,J1064&lt;=K1064+3),"10."&amp;INDEX(Eingabe!$D$9:$D$18,I1064)&amp;"."&amp;IF(J1064&lt;=K1064,J1064,IF(J1064=K1064+1,200,IF(J1064=K1064+2,201,250)))&amp;".1",""))</f>
        <v/>
      </c>
      <c r="F1064" s="0" t="str">
        <f aca="false">IF(I1064="","",IF(AND(J1064&gt;=1,J1064&lt;=K1064+3),"10."&amp;INDEX(Eingabe!$D$9:$D$18,I1064)&amp;"."&amp;IF(J1064&lt;=K1064,J1064,IF(J1064=K1064+1,200,IF(J1064=K1064+2,201,250)))&amp;".10 – 10."&amp;INDEX(Eingabe!$D$9:$D$18,I1064)&amp;"."&amp;IF(J1064&lt;=K1064,J1064,IF(J1064=K1064+1,200,IF(J1064=K1064+2,201,250)))&amp;".250",""))</f>
        <v/>
      </c>
      <c r="G1064" s="0" t="str">
        <f aca="false">IF(I1064="","",IF(AND(J1064&gt;=1,J1064&lt;=K1064),Eingabe!$B$6&amp;"-"&amp;INDEX(Eingabe!$C$9:$C$18,I1064)&amp;"-Pächter  ·  Passwort Parzelle "&amp;J1064,IF(J1064=K1064+1,Eingabe!$B$6&amp;"-"&amp;INDEX(Eingabe!$C$9:$C$18,I1064)&amp;"-Vorstand  ·  eigenes WLAN",IF(J1064=K1064+2,Eingabe!$B$6&amp;"-"&amp;INDEX(Eingabe!$C$9:$C$18,I1064)&amp;"-Gäste  ·  Voucher",IF(J1064=K1064+3,"Kabel  ·  Access Point y = .(50+y), Mast-Switch x = .(10+x)","")))))</f>
        <v/>
      </c>
      <c r="I1064" s="0" t="str">
        <f aca="false">IF(1059&lt;=(Eingabe!$P$18+Eingabe!$Q$18-1),MATCH(1059,Eingabe!$P$9:$P$18,1),"")</f>
        <v/>
      </c>
      <c r="J1064" s="0" t="str">
        <f aca="false">IF(I1064="","",1059-INDEX(Eingabe!$P$9:$P$18,I1064))</f>
        <v/>
      </c>
      <c r="K1064" s="0" t="str">
        <f aca="false">IF(I1064="","",INDEX(Eingabe!$E$9:$E$18,I1064))</f>
        <v/>
      </c>
    </row>
    <row r="1065" customFormat="false" ht="15" hidden="false" customHeight="false" outlineLevel="0" collapsed="false">
      <c r="A1065" s="0" t="str">
        <f aca="false">IF(I1065="","",IF(J1065=0,"Sparte "&amp;I1065&amp;": "&amp;INDEX(Eingabe!$B$9:$B$18,I1065)&amp;"  (Sparten-ID "&amp;INDEX(Eingabe!$D$9:$D$18,I1065)&amp;", "&amp;K1065&amp;" Parzellen)",IF(J1065&lt;=K1065,"   Parzelle "&amp;J1065,IF(J1065=K1065+1,"   Vorstand",IF(J1065=K1065+2,"   Gäste",IF(J1065=K1065+3,"   Technik (Switches, Access Points)",""))))))</f>
        <v/>
      </c>
      <c r="B1065" s="0" t="str">
        <f aca="false">IF(I1065="","",IF(AND(J1065&gt;=1,J1065&lt;=K1065+3),IF(J1065&lt;=K1065,IF(J1065&lt;=99,IF((INDEX(Eingabe!$G$9:$G$18,I1065))&lt;=9,1000+(INDEX(Eingabe!$G$9:$G$18,I1065))*100,3000)+J1065,IF((INDEX(Eingabe!$G$9:$G$18,I1065)+1)&lt;=9,1000+(INDEX(Eingabe!$G$9:$G$18,I1065)+1)*100,3000)+J1065-100),IF(J1065=K1065+1,2000+INDEX(Eingabe!$G$9:$G$18,I1065)*10+1,IF(J1065=K1065+2,2000+INDEX(Eingabe!$G$9:$G$18,I1065)*10+2,2000+INDEX(Eingabe!$G$9:$G$18,I1065)*10+9))),""))</f>
        <v/>
      </c>
      <c r="C1065" s="0" t="str">
        <f aca="false">IF(I1065="","",IF(AND(J1065&gt;=1,J1065&lt;=K1065+3),"10."&amp;INDEX(Eingabe!$D$9:$D$18,I1065)&amp;"."&amp;IF(J1065&lt;=K1065,J1065,IF(J1065=K1065+1,200,IF(J1065=K1065+2,201,250)))&amp;".0/24",""))</f>
        <v/>
      </c>
      <c r="D1065" s="0" t="str">
        <f aca="false">IF(I1065="","",IF(AND(J1065&gt;=1,J1065&lt;=K1065+3),"255.255.255.0",""))</f>
        <v/>
      </c>
      <c r="E1065" s="0" t="str">
        <f aca="false">IF(I1065="","",IF(AND(J1065&gt;=1,J1065&lt;=K1065+3),"10."&amp;INDEX(Eingabe!$D$9:$D$18,I1065)&amp;"."&amp;IF(J1065&lt;=K1065,J1065,IF(J1065=K1065+1,200,IF(J1065=K1065+2,201,250)))&amp;".1",""))</f>
        <v/>
      </c>
      <c r="F1065" s="0" t="str">
        <f aca="false">IF(I1065="","",IF(AND(J1065&gt;=1,J1065&lt;=K1065+3),"10."&amp;INDEX(Eingabe!$D$9:$D$18,I1065)&amp;"."&amp;IF(J1065&lt;=K1065,J1065,IF(J1065=K1065+1,200,IF(J1065=K1065+2,201,250)))&amp;".10 – 10."&amp;INDEX(Eingabe!$D$9:$D$18,I1065)&amp;"."&amp;IF(J1065&lt;=K1065,J1065,IF(J1065=K1065+1,200,IF(J1065=K1065+2,201,250)))&amp;".250",""))</f>
        <v/>
      </c>
      <c r="G1065" s="0" t="str">
        <f aca="false">IF(I1065="","",IF(AND(J1065&gt;=1,J1065&lt;=K1065),Eingabe!$B$6&amp;"-"&amp;INDEX(Eingabe!$C$9:$C$18,I1065)&amp;"-Pächter  ·  Passwort Parzelle "&amp;J1065,IF(J1065=K1065+1,Eingabe!$B$6&amp;"-"&amp;INDEX(Eingabe!$C$9:$C$18,I1065)&amp;"-Vorstand  ·  eigenes WLAN",IF(J1065=K1065+2,Eingabe!$B$6&amp;"-"&amp;INDEX(Eingabe!$C$9:$C$18,I1065)&amp;"-Gäste  ·  Voucher",IF(J1065=K1065+3,"Kabel  ·  Access Point y = .(50+y), Mast-Switch x = .(10+x)","")))))</f>
        <v/>
      </c>
      <c r="I1065" s="0" t="str">
        <f aca="false">IF(1060&lt;=(Eingabe!$P$18+Eingabe!$Q$18-1),MATCH(1060,Eingabe!$P$9:$P$18,1),"")</f>
        <v/>
      </c>
      <c r="J1065" s="0" t="str">
        <f aca="false">IF(I1065="","",1060-INDEX(Eingabe!$P$9:$P$18,I1065))</f>
        <v/>
      </c>
      <c r="K1065" s="0" t="str">
        <f aca="false">IF(I1065="","",INDEX(Eingabe!$E$9:$E$18,I1065))</f>
        <v/>
      </c>
    </row>
    <row r="1066" customFormat="false" ht="15" hidden="false" customHeight="false" outlineLevel="0" collapsed="false">
      <c r="A1066" s="0" t="str">
        <f aca="false">IF(I1066="","",IF(J1066=0,"Sparte "&amp;I1066&amp;": "&amp;INDEX(Eingabe!$B$9:$B$18,I1066)&amp;"  (Sparten-ID "&amp;INDEX(Eingabe!$D$9:$D$18,I1066)&amp;", "&amp;K1066&amp;" Parzellen)",IF(J1066&lt;=K1066,"   Parzelle "&amp;J1066,IF(J1066=K1066+1,"   Vorstand",IF(J1066=K1066+2,"   Gäste",IF(J1066=K1066+3,"   Technik (Switches, Access Points)",""))))))</f>
        <v/>
      </c>
      <c r="B1066" s="0" t="str">
        <f aca="false">IF(I1066="","",IF(AND(J1066&gt;=1,J1066&lt;=K1066+3),IF(J1066&lt;=K1066,IF(J1066&lt;=99,IF((INDEX(Eingabe!$G$9:$G$18,I1066))&lt;=9,1000+(INDEX(Eingabe!$G$9:$G$18,I1066))*100,3000)+J1066,IF((INDEX(Eingabe!$G$9:$G$18,I1066)+1)&lt;=9,1000+(INDEX(Eingabe!$G$9:$G$18,I1066)+1)*100,3000)+J1066-100),IF(J1066=K1066+1,2000+INDEX(Eingabe!$G$9:$G$18,I1066)*10+1,IF(J1066=K1066+2,2000+INDEX(Eingabe!$G$9:$G$18,I1066)*10+2,2000+INDEX(Eingabe!$G$9:$G$18,I1066)*10+9))),""))</f>
        <v/>
      </c>
      <c r="C1066" s="0" t="str">
        <f aca="false">IF(I1066="","",IF(AND(J1066&gt;=1,J1066&lt;=K1066+3),"10."&amp;INDEX(Eingabe!$D$9:$D$18,I1066)&amp;"."&amp;IF(J1066&lt;=K1066,J1066,IF(J1066=K1066+1,200,IF(J1066=K1066+2,201,250)))&amp;".0/24",""))</f>
        <v/>
      </c>
      <c r="D1066" s="0" t="str">
        <f aca="false">IF(I1066="","",IF(AND(J1066&gt;=1,J1066&lt;=K1066+3),"255.255.255.0",""))</f>
        <v/>
      </c>
      <c r="E1066" s="0" t="str">
        <f aca="false">IF(I1066="","",IF(AND(J1066&gt;=1,J1066&lt;=K1066+3),"10."&amp;INDEX(Eingabe!$D$9:$D$18,I1066)&amp;"."&amp;IF(J1066&lt;=K1066,J1066,IF(J1066=K1066+1,200,IF(J1066=K1066+2,201,250)))&amp;".1",""))</f>
        <v/>
      </c>
      <c r="F1066" s="0" t="str">
        <f aca="false">IF(I1066="","",IF(AND(J1066&gt;=1,J1066&lt;=K1066+3),"10."&amp;INDEX(Eingabe!$D$9:$D$18,I1066)&amp;"."&amp;IF(J1066&lt;=K1066,J1066,IF(J1066=K1066+1,200,IF(J1066=K1066+2,201,250)))&amp;".10 – 10."&amp;INDEX(Eingabe!$D$9:$D$18,I1066)&amp;"."&amp;IF(J1066&lt;=K1066,J1066,IF(J1066=K1066+1,200,IF(J1066=K1066+2,201,250)))&amp;".250",""))</f>
        <v/>
      </c>
      <c r="G1066" s="0" t="str">
        <f aca="false">IF(I1066="","",IF(AND(J1066&gt;=1,J1066&lt;=K1066),Eingabe!$B$6&amp;"-"&amp;INDEX(Eingabe!$C$9:$C$18,I1066)&amp;"-Pächter  ·  Passwort Parzelle "&amp;J1066,IF(J1066=K1066+1,Eingabe!$B$6&amp;"-"&amp;INDEX(Eingabe!$C$9:$C$18,I1066)&amp;"-Vorstand  ·  eigenes WLAN",IF(J1066=K1066+2,Eingabe!$B$6&amp;"-"&amp;INDEX(Eingabe!$C$9:$C$18,I1066)&amp;"-Gäste  ·  Voucher",IF(J1066=K1066+3,"Kabel  ·  Access Point y = .(50+y), Mast-Switch x = .(10+x)","")))))</f>
        <v/>
      </c>
      <c r="I1066" s="0" t="str">
        <f aca="false">IF(1061&lt;=(Eingabe!$P$18+Eingabe!$Q$18-1),MATCH(1061,Eingabe!$P$9:$P$18,1),"")</f>
        <v/>
      </c>
      <c r="J1066" s="0" t="str">
        <f aca="false">IF(I1066="","",1061-INDEX(Eingabe!$P$9:$P$18,I1066))</f>
        <v/>
      </c>
      <c r="K1066" s="0" t="str">
        <f aca="false">IF(I1066="","",INDEX(Eingabe!$E$9:$E$18,I1066))</f>
        <v/>
      </c>
    </row>
    <row r="1067" customFormat="false" ht="15" hidden="false" customHeight="false" outlineLevel="0" collapsed="false">
      <c r="A1067" s="0" t="str">
        <f aca="false">IF(I1067="","",IF(J1067=0,"Sparte "&amp;I1067&amp;": "&amp;INDEX(Eingabe!$B$9:$B$18,I1067)&amp;"  (Sparten-ID "&amp;INDEX(Eingabe!$D$9:$D$18,I1067)&amp;", "&amp;K1067&amp;" Parzellen)",IF(J1067&lt;=K1067,"   Parzelle "&amp;J1067,IF(J1067=K1067+1,"   Vorstand",IF(J1067=K1067+2,"   Gäste",IF(J1067=K1067+3,"   Technik (Switches, Access Points)",""))))))</f>
        <v/>
      </c>
      <c r="B1067" s="0" t="str">
        <f aca="false">IF(I1067="","",IF(AND(J1067&gt;=1,J1067&lt;=K1067+3),IF(J1067&lt;=K1067,IF(J1067&lt;=99,IF((INDEX(Eingabe!$G$9:$G$18,I1067))&lt;=9,1000+(INDEX(Eingabe!$G$9:$G$18,I1067))*100,3000)+J1067,IF((INDEX(Eingabe!$G$9:$G$18,I1067)+1)&lt;=9,1000+(INDEX(Eingabe!$G$9:$G$18,I1067)+1)*100,3000)+J1067-100),IF(J1067=K1067+1,2000+INDEX(Eingabe!$G$9:$G$18,I1067)*10+1,IF(J1067=K1067+2,2000+INDEX(Eingabe!$G$9:$G$18,I1067)*10+2,2000+INDEX(Eingabe!$G$9:$G$18,I1067)*10+9))),""))</f>
        <v/>
      </c>
      <c r="C1067" s="0" t="str">
        <f aca="false">IF(I1067="","",IF(AND(J1067&gt;=1,J1067&lt;=K1067+3),"10."&amp;INDEX(Eingabe!$D$9:$D$18,I1067)&amp;"."&amp;IF(J1067&lt;=K1067,J1067,IF(J1067=K1067+1,200,IF(J1067=K1067+2,201,250)))&amp;".0/24",""))</f>
        <v/>
      </c>
      <c r="D1067" s="0" t="str">
        <f aca="false">IF(I1067="","",IF(AND(J1067&gt;=1,J1067&lt;=K1067+3),"255.255.255.0",""))</f>
        <v/>
      </c>
      <c r="E1067" s="0" t="str">
        <f aca="false">IF(I1067="","",IF(AND(J1067&gt;=1,J1067&lt;=K1067+3),"10."&amp;INDEX(Eingabe!$D$9:$D$18,I1067)&amp;"."&amp;IF(J1067&lt;=K1067,J1067,IF(J1067=K1067+1,200,IF(J1067=K1067+2,201,250)))&amp;".1",""))</f>
        <v/>
      </c>
      <c r="F1067" s="0" t="str">
        <f aca="false">IF(I1067="","",IF(AND(J1067&gt;=1,J1067&lt;=K1067+3),"10."&amp;INDEX(Eingabe!$D$9:$D$18,I1067)&amp;"."&amp;IF(J1067&lt;=K1067,J1067,IF(J1067=K1067+1,200,IF(J1067=K1067+2,201,250)))&amp;".10 – 10."&amp;INDEX(Eingabe!$D$9:$D$18,I1067)&amp;"."&amp;IF(J1067&lt;=K1067,J1067,IF(J1067=K1067+1,200,IF(J1067=K1067+2,201,250)))&amp;".250",""))</f>
        <v/>
      </c>
      <c r="G1067" s="0" t="str">
        <f aca="false">IF(I1067="","",IF(AND(J1067&gt;=1,J1067&lt;=K1067),Eingabe!$B$6&amp;"-"&amp;INDEX(Eingabe!$C$9:$C$18,I1067)&amp;"-Pächter  ·  Passwort Parzelle "&amp;J1067,IF(J1067=K1067+1,Eingabe!$B$6&amp;"-"&amp;INDEX(Eingabe!$C$9:$C$18,I1067)&amp;"-Vorstand  ·  eigenes WLAN",IF(J1067=K1067+2,Eingabe!$B$6&amp;"-"&amp;INDEX(Eingabe!$C$9:$C$18,I1067)&amp;"-Gäste  ·  Voucher",IF(J1067=K1067+3,"Kabel  ·  Access Point y = .(50+y), Mast-Switch x = .(10+x)","")))))</f>
        <v/>
      </c>
      <c r="I1067" s="0" t="str">
        <f aca="false">IF(1062&lt;=(Eingabe!$P$18+Eingabe!$Q$18-1),MATCH(1062,Eingabe!$P$9:$P$18,1),"")</f>
        <v/>
      </c>
      <c r="J1067" s="0" t="str">
        <f aca="false">IF(I1067="","",1062-INDEX(Eingabe!$P$9:$P$18,I1067))</f>
        <v/>
      </c>
      <c r="K1067" s="0" t="str">
        <f aca="false">IF(I1067="","",INDEX(Eingabe!$E$9:$E$18,I1067))</f>
        <v/>
      </c>
    </row>
    <row r="1068" customFormat="false" ht="15" hidden="false" customHeight="false" outlineLevel="0" collapsed="false">
      <c r="A1068" s="0" t="str">
        <f aca="false">IF(I1068="","",IF(J1068=0,"Sparte "&amp;I1068&amp;": "&amp;INDEX(Eingabe!$B$9:$B$18,I1068)&amp;"  (Sparten-ID "&amp;INDEX(Eingabe!$D$9:$D$18,I1068)&amp;", "&amp;K1068&amp;" Parzellen)",IF(J1068&lt;=K1068,"   Parzelle "&amp;J1068,IF(J1068=K1068+1,"   Vorstand",IF(J1068=K1068+2,"   Gäste",IF(J1068=K1068+3,"   Technik (Switches, Access Points)",""))))))</f>
        <v/>
      </c>
      <c r="B1068" s="0" t="str">
        <f aca="false">IF(I1068="","",IF(AND(J1068&gt;=1,J1068&lt;=K1068+3),IF(J1068&lt;=K1068,IF(J1068&lt;=99,IF((INDEX(Eingabe!$G$9:$G$18,I1068))&lt;=9,1000+(INDEX(Eingabe!$G$9:$G$18,I1068))*100,3000)+J1068,IF((INDEX(Eingabe!$G$9:$G$18,I1068)+1)&lt;=9,1000+(INDEX(Eingabe!$G$9:$G$18,I1068)+1)*100,3000)+J1068-100),IF(J1068=K1068+1,2000+INDEX(Eingabe!$G$9:$G$18,I1068)*10+1,IF(J1068=K1068+2,2000+INDEX(Eingabe!$G$9:$G$18,I1068)*10+2,2000+INDEX(Eingabe!$G$9:$G$18,I1068)*10+9))),""))</f>
        <v/>
      </c>
      <c r="C1068" s="0" t="str">
        <f aca="false">IF(I1068="","",IF(AND(J1068&gt;=1,J1068&lt;=K1068+3),"10."&amp;INDEX(Eingabe!$D$9:$D$18,I1068)&amp;"."&amp;IF(J1068&lt;=K1068,J1068,IF(J1068=K1068+1,200,IF(J1068=K1068+2,201,250)))&amp;".0/24",""))</f>
        <v/>
      </c>
      <c r="D1068" s="0" t="str">
        <f aca="false">IF(I1068="","",IF(AND(J1068&gt;=1,J1068&lt;=K1068+3),"255.255.255.0",""))</f>
        <v/>
      </c>
      <c r="E1068" s="0" t="str">
        <f aca="false">IF(I1068="","",IF(AND(J1068&gt;=1,J1068&lt;=K1068+3),"10."&amp;INDEX(Eingabe!$D$9:$D$18,I1068)&amp;"."&amp;IF(J1068&lt;=K1068,J1068,IF(J1068=K1068+1,200,IF(J1068=K1068+2,201,250)))&amp;".1",""))</f>
        <v/>
      </c>
      <c r="F1068" s="0" t="str">
        <f aca="false">IF(I1068="","",IF(AND(J1068&gt;=1,J1068&lt;=K1068+3),"10."&amp;INDEX(Eingabe!$D$9:$D$18,I1068)&amp;"."&amp;IF(J1068&lt;=K1068,J1068,IF(J1068=K1068+1,200,IF(J1068=K1068+2,201,250)))&amp;".10 – 10."&amp;INDEX(Eingabe!$D$9:$D$18,I1068)&amp;"."&amp;IF(J1068&lt;=K1068,J1068,IF(J1068=K1068+1,200,IF(J1068=K1068+2,201,250)))&amp;".250",""))</f>
        <v/>
      </c>
      <c r="G1068" s="0" t="str">
        <f aca="false">IF(I1068="","",IF(AND(J1068&gt;=1,J1068&lt;=K1068),Eingabe!$B$6&amp;"-"&amp;INDEX(Eingabe!$C$9:$C$18,I1068)&amp;"-Pächter  ·  Passwort Parzelle "&amp;J1068,IF(J1068=K1068+1,Eingabe!$B$6&amp;"-"&amp;INDEX(Eingabe!$C$9:$C$18,I1068)&amp;"-Vorstand  ·  eigenes WLAN",IF(J1068=K1068+2,Eingabe!$B$6&amp;"-"&amp;INDEX(Eingabe!$C$9:$C$18,I1068)&amp;"-Gäste  ·  Voucher",IF(J1068=K1068+3,"Kabel  ·  Access Point y = .(50+y), Mast-Switch x = .(10+x)","")))))</f>
        <v/>
      </c>
      <c r="I1068" s="0" t="str">
        <f aca="false">IF(1063&lt;=(Eingabe!$P$18+Eingabe!$Q$18-1),MATCH(1063,Eingabe!$P$9:$P$18,1),"")</f>
        <v/>
      </c>
      <c r="J1068" s="0" t="str">
        <f aca="false">IF(I1068="","",1063-INDEX(Eingabe!$P$9:$P$18,I1068))</f>
        <v/>
      </c>
      <c r="K1068" s="0" t="str">
        <f aca="false">IF(I1068="","",INDEX(Eingabe!$E$9:$E$18,I1068))</f>
        <v/>
      </c>
    </row>
    <row r="1069" customFormat="false" ht="15" hidden="false" customHeight="false" outlineLevel="0" collapsed="false">
      <c r="A1069" s="0" t="str">
        <f aca="false">IF(I1069="","",IF(J1069=0,"Sparte "&amp;I1069&amp;": "&amp;INDEX(Eingabe!$B$9:$B$18,I1069)&amp;"  (Sparten-ID "&amp;INDEX(Eingabe!$D$9:$D$18,I1069)&amp;", "&amp;K1069&amp;" Parzellen)",IF(J1069&lt;=K1069,"   Parzelle "&amp;J1069,IF(J1069=K1069+1,"   Vorstand",IF(J1069=K1069+2,"   Gäste",IF(J1069=K1069+3,"   Technik (Switches, Access Points)",""))))))</f>
        <v/>
      </c>
      <c r="B1069" s="0" t="str">
        <f aca="false">IF(I1069="","",IF(AND(J1069&gt;=1,J1069&lt;=K1069+3),IF(J1069&lt;=K1069,IF(J1069&lt;=99,IF((INDEX(Eingabe!$G$9:$G$18,I1069))&lt;=9,1000+(INDEX(Eingabe!$G$9:$G$18,I1069))*100,3000)+J1069,IF((INDEX(Eingabe!$G$9:$G$18,I1069)+1)&lt;=9,1000+(INDEX(Eingabe!$G$9:$G$18,I1069)+1)*100,3000)+J1069-100),IF(J1069=K1069+1,2000+INDEX(Eingabe!$G$9:$G$18,I1069)*10+1,IF(J1069=K1069+2,2000+INDEX(Eingabe!$G$9:$G$18,I1069)*10+2,2000+INDEX(Eingabe!$G$9:$G$18,I1069)*10+9))),""))</f>
        <v/>
      </c>
      <c r="C1069" s="0" t="str">
        <f aca="false">IF(I1069="","",IF(AND(J1069&gt;=1,J1069&lt;=K1069+3),"10."&amp;INDEX(Eingabe!$D$9:$D$18,I1069)&amp;"."&amp;IF(J1069&lt;=K1069,J1069,IF(J1069=K1069+1,200,IF(J1069=K1069+2,201,250)))&amp;".0/24",""))</f>
        <v/>
      </c>
      <c r="D1069" s="0" t="str">
        <f aca="false">IF(I1069="","",IF(AND(J1069&gt;=1,J1069&lt;=K1069+3),"255.255.255.0",""))</f>
        <v/>
      </c>
      <c r="E1069" s="0" t="str">
        <f aca="false">IF(I1069="","",IF(AND(J1069&gt;=1,J1069&lt;=K1069+3),"10."&amp;INDEX(Eingabe!$D$9:$D$18,I1069)&amp;"."&amp;IF(J1069&lt;=K1069,J1069,IF(J1069=K1069+1,200,IF(J1069=K1069+2,201,250)))&amp;".1",""))</f>
        <v/>
      </c>
      <c r="F1069" s="0" t="str">
        <f aca="false">IF(I1069="","",IF(AND(J1069&gt;=1,J1069&lt;=K1069+3),"10."&amp;INDEX(Eingabe!$D$9:$D$18,I1069)&amp;"."&amp;IF(J1069&lt;=K1069,J1069,IF(J1069=K1069+1,200,IF(J1069=K1069+2,201,250)))&amp;".10 – 10."&amp;INDEX(Eingabe!$D$9:$D$18,I1069)&amp;"."&amp;IF(J1069&lt;=K1069,J1069,IF(J1069=K1069+1,200,IF(J1069=K1069+2,201,250)))&amp;".250",""))</f>
        <v/>
      </c>
      <c r="G1069" s="0" t="str">
        <f aca="false">IF(I1069="","",IF(AND(J1069&gt;=1,J1069&lt;=K1069),Eingabe!$B$6&amp;"-"&amp;INDEX(Eingabe!$C$9:$C$18,I1069)&amp;"-Pächter  ·  Passwort Parzelle "&amp;J1069,IF(J1069=K1069+1,Eingabe!$B$6&amp;"-"&amp;INDEX(Eingabe!$C$9:$C$18,I1069)&amp;"-Vorstand  ·  eigenes WLAN",IF(J1069=K1069+2,Eingabe!$B$6&amp;"-"&amp;INDEX(Eingabe!$C$9:$C$18,I1069)&amp;"-Gäste  ·  Voucher",IF(J1069=K1069+3,"Kabel  ·  Access Point y = .(50+y), Mast-Switch x = .(10+x)","")))))</f>
        <v/>
      </c>
      <c r="I1069" s="0" t="str">
        <f aca="false">IF(1064&lt;=(Eingabe!$P$18+Eingabe!$Q$18-1),MATCH(1064,Eingabe!$P$9:$P$18,1),"")</f>
        <v/>
      </c>
      <c r="J1069" s="0" t="str">
        <f aca="false">IF(I1069="","",1064-INDEX(Eingabe!$P$9:$P$18,I1069))</f>
        <v/>
      </c>
      <c r="K1069" s="0" t="str">
        <f aca="false">IF(I1069="","",INDEX(Eingabe!$E$9:$E$18,I1069))</f>
        <v/>
      </c>
    </row>
    <row r="1070" customFormat="false" ht="15" hidden="false" customHeight="false" outlineLevel="0" collapsed="false">
      <c r="A1070" s="0" t="str">
        <f aca="false">IF(I1070="","",IF(J1070=0,"Sparte "&amp;I1070&amp;": "&amp;INDEX(Eingabe!$B$9:$B$18,I1070)&amp;"  (Sparten-ID "&amp;INDEX(Eingabe!$D$9:$D$18,I1070)&amp;", "&amp;K1070&amp;" Parzellen)",IF(J1070&lt;=K1070,"   Parzelle "&amp;J1070,IF(J1070=K1070+1,"   Vorstand",IF(J1070=K1070+2,"   Gäste",IF(J1070=K1070+3,"   Technik (Switches, Access Points)",""))))))</f>
        <v/>
      </c>
      <c r="B1070" s="0" t="str">
        <f aca="false">IF(I1070="","",IF(AND(J1070&gt;=1,J1070&lt;=K1070+3),IF(J1070&lt;=K1070,IF(J1070&lt;=99,IF((INDEX(Eingabe!$G$9:$G$18,I1070))&lt;=9,1000+(INDEX(Eingabe!$G$9:$G$18,I1070))*100,3000)+J1070,IF((INDEX(Eingabe!$G$9:$G$18,I1070)+1)&lt;=9,1000+(INDEX(Eingabe!$G$9:$G$18,I1070)+1)*100,3000)+J1070-100),IF(J1070=K1070+1,2000+INDEX(Eingabe!$G$9:$G$18,I1070)*10+1,IF(J1070=K1070+2,2000+INDEX(Eingabe!$G$9:$G$18,I1070)*10+2,2000+INDEX(Eingabe!$G$9:$G$18,I1070)*10+9))),""))</f>
        <v/>
      </c>
      <c r="C1070" s="0" t="str">
        <f aca="false">IF(I1070="","",IF(AND(J1070&gt;=1,J1070&lt;=K1070+3),"10."&amp;INDEX(Eingabe!$D$9:$D$18,I1070)&amp;"."&amp;IF(J1070&lt;=K1070,J1070,IF(J1070=K1070+1,200,IF(J1070=K1070+2,201,250)))&amp;".0/24",""))</f>
        <v/>
      </c>
      <c r="D1070" s="0" t="str">
        <f aca="false">IF(I1070="","",IF(AND(J1070&gt;=1,J1070&lt;=K1070+3),"255.255.255.0",""))</f>
        <v/>
      </c>
      <c r="E1070" s="0" t="str">
        <f aca="false">IF(I1070="","",IF(AND(J1070&gt;=1,J1070&lt;=K1070+3),"10."&amp;INDEX(Eingabe!$D$9:$D$18,I1070)&amp;"."&amp;IF(J1070&lt;=K1070,J1070,IF(J1070=K1070+1,200,IF(J1070=K1070+2,201,250)))&amp;".1",""))</f>
        <v/>
      </c>
      <c r="F1070" s="0" t="str">
        <f aca="false">IF(I1070="","",IF(AND(J1070&gt;=1,J1070&lt;=K1070+3),"10."&amp;INDEX(Eingabe!$D$9:$D$18,I1070)&amp;"."&amp;IF(J1070&lt;=K1070,J1070,IF(J1070=K1070+1,200,IF(J1070=K1070+2,201,250)))&amp;".10 – 10."&amp;INDEX(Eingabe!$D$9:$D$18,I1070)&amp;"."&amp;IF(J1070&lt;=K1070,J1070,IF(J1070=K1070+1,200,IF(J1070=K1070+2,201,250)))&amp;".250",""))</f>
        <v/>
      </c>
      <c r="G1070" s="0" t="str">
        <f aca="false">IF(I1070="","",IF(AND(J1070&gt;=1,J1070&lt;=K1070),Eingabe!$B$6&amp;"-"&amp;INDEX(Eingabe!$C$9:$C$18,I1070)&amp;"-Pächter  ·  Passwort Parzelle "&amp;J1070,IF(J1070=K1070+1,Eingabe!$B$6&amp;"-"&amp;INDEX(Eingabe!$C$9:$C$18,I1070)&amp;"-Vorstand  ·  eigenes WLAN",IF(J1070=K1070+2,Eingabe!$B$6&amp;"-"&amp;INDEX(Eingabe!$C$9:$C$18,I1070)&amp;"-Gäste  ·  Voucher",IF(J1070=K1070+3,"Kabel  ·  Access Point y = .(50+y), Mast-Switch x = .(10+x)","")))))</f>
        <v/>
      </c>
      <c r="I1070" s="0" t="str">
        <f aca="false">IF(1065&lt;=(Eingabe!$P$18+Eingabe!$Q$18-1),MATCH(1065,Eingabe!$P$9:$P$18,1),"")</f>
        <v/>
      </c>
      <c r="J1070" s="0" t="str">
        <f aca="false">IF(I1070="","",1065-INDEX(Eingabe!$P$9:$P$18,I1070))</f>
        <v/>
      </c>
      <c r="K1070" s="0" t="str">
        <f aca="false">IF(I1070="","",INDEX(Eingabe!$E$9:$E$18,I1070))</f>
        <v/>
      </c>
    </row>
    <row r="1071" customFormat="false" ht="15" hidden="false" customHeight="false" outlineLevel="0" collapsed="false">
      <c r="A1071" s="0" t="str">
        <f aca="false">IF(I1071="","",IF(J1071=0,"Sparte "&amp;I1071&amp;": "&amp;INDEX(Eingabe!$B$9:$B$18,I1071)&amp;"  (Sparten-ID "&amp;INDEX(Eingabe!$D$9:$D$18,I1071)&amp;", "&amp;K1071&amp;" Parzellen)",IF(J1071&lt;=K1071,"   Parzelle "&amp;J1071,IF(J1071=K1071+1,"   Vorstand",IF(J1071=K1071+2,"   Gäste",IF(J1071=K1071+3,"   Technik (Switches, Access Points)",""))))))</f>
        <v/>
      </c>
      <c r="B1071" s="0" t="str">
        <f aca="false">IF(I1071="","",IF(AND(J1071&gt;=1,J1071&lt;=K1071+3),IF(J1071&lt;=K1071,IF(J1071&lt;=99,IF((INDEX(Eingabe!$G$9:$G$18,I1071))&lt;=9,1000+(INDEX(Eingabe!$G$9:$G$18,I1071))*100,3000)+J1071,IF((INDEX(Eingabe!$G$9:$G$18,I1071)+1)&lt;=9,1000+(INDEX(Eingabe!$G$9:$G$18,I1071)+1)*100,3000)+J1071-100),IF(J1071=K1071+1,2000+INDEX(Eingabe!$G$9:$G$18,I1071)*10+1,IF(J1071=K1071+2,2000+INDEX(Eingabe!$G$9:$G$18,I1071)*10+2,2000+INDEX(Eingabe!$G$9:$G$18,I1071)*10+9))),""))</f>
        <v/>
      </c>
      <c r="C1071" s="0" t="str">
        <f aca="false">IF(I1071="","",IF(AND(J1071&gt;=1,J1071&lt;=K1071+3),"10."&amp;INDEX(Eingabe!$D$9:$D$18,I1071)&amp;"."&amp;IF(J1071&lt;=K1071,J1071,IF(J1071=K1071+1,200,IF(J1071=K1071+2,201,250)))&amp;".0/24",""))</f>
        <v/>
      </c>
      <c r="D1071" s="0" t="str">
        <f aca="false">IF(I1071="","",IF(AND(J1071&gt;=1,J1071&lt;=K1071+3),"255.255.255.0",""))</f>
        <v/>
      </c>
      <c r="E1071" s="0" t="str">
        <f aca="false">IF(I1071="","",IF(AND(J1071&gt;=1,J1071&lt;=K1071+3),"10."&amp;INDEX(Eingabe!$D$9:$D$18,I1071)&amp;"."&amp;IF(J1071&lt;=K1071,J1071,IF(J1071=K1071+1,200,IF(J1071=K1071+2,201,250)))&amp;".1",""))</f>
        <v/>
      </c>
      <c r="F1071" s="0" t="str">
        <f aca="false">IF(I1071="","",IF(AND(J1071&gt;=1,J1071&lt;=K1071+3),"10."&amp;INDEX(Eingabe!$D$9:$D$18,I1071)&amp;"."&amp;IF(J1071&lt;=K1071,J1071,IF(J1071=K1071+1,200,IF(J1071=K1071+2,201,250)))&amp;".10 – 10."&amp;INDEX(Eingabe!$D$9:$D$18,I1071)&amp;"."&amp;IF(J1071&lt;=K1071,J1071,IF(J1071=K1071+1,200,IF(J1071=K1071+2,201,250)))&amp;".250",""))</f>
        <v/>
      </c>
      <c r="G1071" s="0" t="str">
        <f aca="false">IF(I1071="","",IF(AND(J1071&gt;=1,J1071&lt;=K1071),Eingabe!$B$6&amp;"-"&amp;INDEX(Eingabe!$C$9:$C$18,I1071)&amp;"-Pächter  ·  Passwort Parzelle "&amp;J1071,IF(J1071=K1071+1,Eingabe!$B$6&amp;"-"&amp;INDEX(Eingabe!$C$9:$C$18,I1071)&amp;"-Vorstand  ·  eigenes WLAN",IF(J1071=K1071+2,Eingabe!$B$6&amp;"-"&amp;INDEX(Eingabe!$C$9:$C$18,I1071)&amp;"-Gäste  ·  Voucher",IF(J1071=K1071+3,"Kabel  ·  Access Point y = .(50+y), Mast-Switch x = .(10+x)","")))))</f>
        <v/>
      </c>
      <c r="I1071" s="0" t="str">
        <f aca="false">IF(1066&lt;=(Eingabe!$P$18+Eingabe!$Q$18-1),MATCH(1066,Eingabe!$P$9:$P$18,1),"")</f>
        <v/>
      </c>
      <c r="J1071" s="0" t="str">
        <f aca="false">IF(I1071="","",1066-INDEX(Eingabe!$P$9:$P$18,I1071))</f>
        <v/>
      </c>
      <c r="K1071" s="0" t="str">
        <f aca="false">IF(I1071="","",INDEX(Eingabe!$E$9:$E$18,I1071))</f>
        <v/>
      </c>
    </row>
    <row r="1072" customFormat="false" ht="15" hidden="false" customHeight="false" outlineLevel="0" collapsed="false">
      <c r="A1072" s="0" t="str">
        <f aca="false">IF(I1072="","",IF(J1072=0,"Sparte "&amp;I1072&amp;": "&amp;INDEX(Eingabe!$B$9:$B$18,I1072)&amp;"  (Sparten-ID "&amp;INDEX(Eingabe!$D$9:$D$18,I1072)&amp;", "&amp;K1072&amp;" Parzellen)",IF(J1072&lt;=K1072,"   Parzelle "&amp;J1072,IF(J1072=K1072+1,"   Vorstand",IF(J1072=K1072+2,"   Gäste",IF(J1072=K1072+3,"   Technik (Switches, Access Points)",""))))))</f>
        <v/>
      </c>
      <c r="B1072" s="0" t="str">
        <f aca="false">IF(I1072="","",IF(AND(J1072&gt;=1,J1072&lt;=K1072+3),IF(J1072&lt;=K1072,IF(J1072&lt;=99,IF((INDEX(Eingabe!$G$9:$G$18,I1072))&lt;=9,1000+(INDEX(Eingabe!$G$9:$G$18,I1072))*100,3000)+J1072,IF((INDEX(Eingabe!$G$9:$G$18,I1072)+1)&lt;=9,1000+(INDEX(Eingabe!$G$9:$G$18,I1072)+1)*100,3000)+J1072-100),IF(J1072=K1072+1,2000+INDEX(Eingabe!$G$9:$G$18,I1072)*10+1,IF(J1072=K1072+2,2000+INDEX(Eingabe!$G$9:$G$18,I1072)*10+2,2000+INDEX(Eingabe!$G$9:$G$18,I1072)*10+9))),""))</f>
        <v/>
      </c>
      <c r="C1072" s="0" t="str">
        <f aca="false">IF(I1072="","",IF(AND(J1072&gt;=1,J1072&lt;=K1072+3),"10."&amp;INDEX(Eingabe!$D$9:$D$18,I1072)&amp;"."&amp;IF(J1072&lt;=K1072,J1072,IF(J1072=K1072+1,200,IF(J1072=K1072+2,201,250)))&amp;".0/24",""))</f>
        <v/>
      </c>
      <c r="D1072" s="0" t="str">
        <f aca="false">IF(I1072="","",IF(AND(J1072&gt;=1,J1072&lt;=K1072+3),"255.255.255.0",""))</f>
        <v/>
      </c>
      <c r="E1072" s="0" t="str">
        <f aca="false">IF(I1072="","",IF(AND(J1072&gt;=1,J1072&lt;=K1072+3),"10."&amp;INDEX(Eingabe!$D$9:$D$18,I1072)&amp;"."&amp;IF(J1072&lt;=K1072,J1072,IF(J1072=K1072+1,200,IF(J1072=K1072+2,201,250)))&amp;".1",""))</f>
        <v/>
      </c>
      <c r="F1072" s="0" t="str">
        <f aca="false">IF(I1072="","",IF(AND(J1072&gt;=1,J1072&lt;=K1072+3),"10."&amp;INDEX(Eingabe!$D$9:$D$18,I1072)&amp;"."&amp;IF(J1072&lt;=K1072,J1072,IF(J1072=K1072+1,200,IF(J1072=K1072+2,201,250)))&amp;".10 – 10."&amp;INDEX(Eingabe!$D$9:$D$18,I1072)&amp;"."&amp;IF(J1072&lt;=K1072,J1072,IF(J1072=K1072+1,200,IF(J1072=K1072+2,201,250)))&amp;".250",""))</f>
        <v/>
      </c>
      <c r="G1072" s="0" t="str">
        <f aca="false">IF(I1072="","",IF(AND(J1072&gt;=1,J1072&lt;=K1072),Eingabe!$B$6&amp;"-"&amp;INDEX(Eingabe!$C$9:$C$18,I1072)&amp;"-Pächter  ·  Passwort Parzelle "&amp;J1072,IF(J1072=K1072+1,Eingabe!$B$6&amp;"-"&amp;INDEX(Eingabe!$C$9:$C$18,I1072)&amp;"-Vorstand  ·  eigenes WLAN",IF(J1072=K1072+2,Eingabe!$B$6&amp;"-"&amp;INDEX(Eingabe!$C$9:$C$18,I1072)&amp;"-Gäste  ·  Voucher",IF(J1072=K1072+3,"Kabel  ·  Access Point y = .(50+y), Mast-Switch x = .(10+x)","")))))</f>
        <v/>
      </c>
      <c r="I1072" s="0" t="str">
        <f aca="false">IF(1067&lt;=(Eingabe!$P$18+Eingabe!$Q$18-1),MATCH(1067,Eingabe!$P$9:$P$18,1),"")</f>
        <v/>
      </c>
      <c r="J1072" s="0" t="str">
        <f aca="false">IF(I1072="","",1067-INDEX(Eingabe!$P$9:$P$18,I1072))</f>
        <v/>
      </c>
      <c r="K1072" s="0" t="str">
        <f aca="false">IF(I1072="","",INDEX(Eingabe!$E$9:$E$18,I1072))</f>
        <v/>
      </c>
    </row>
    <row r="1073" customFormat="false" ht="15" hidden="false" customHeight="false" outlineLevel="0" collapsed="false">
      <c r="A1073" s="0" t="str">
        <f aca="false">IF(I1073="","",IF(J1073=0,"Sparte "&amp;I1073&amp;": "&amp;INDEX(Eingabe!$B$9:$B$18,I1073)&amp;"  (Sparten-ID "&amp;INDEX(Eingabe!$D$9:$D$18,I1073)&amp;", "&amp;K1073&amp;" Parzellen)",IF(J1073&lt;=K1073,"   Parzelle "&amp;J1073,IF(J1073=K1073+1,"   Vorstand",IF(J1073=K1073+2,"   Gäste",IF(J1073=K1073+3,"   Technik (Switches, Access Points)",""))))))</f>
        <v/>
      </c>
      <c r="B1073" s="0" t="str">
        <f aca="false">IF(I1073="","",IF(AND(J1073&gt;=1,J1073&lt;=K1073+3),IF(J1073&lt;=K1073,IF(J1073&lt;=99,IF((INDEX(Eingabe!$G$9:$G$18,I1073))&lt;=9,1000+(INDEX(Eingabe!$G$9:$G$18,I1073))*100,3000)+J1073,IF((INDEX(Eingabe!$G$9:$G$18,I1073)+1)&lt;=9,1000+(INDEX(Eingabe!$G$9:$G$18,I1073)+1)*100,3000)+J1073-100),IF(J1073=K1073+1,2000+INDEX(Eingabe!$G$9:$G$18,I1073)*10+1,IF(J1073=K1073+2,2000+INDEX(Eingabe!$G$9:$G$18,I1073)*10+2,2000+INDEX(Eingabe!$G$9:$G$18,I1073)*10+9))),""))</f>
        <v/>
      </c>
      <c r="C1073" s="0" t="str">
        <f aca="false">IF(I1073="","",IF(AND(J1073&gt;=1,J1073&lt;=K1073+3),"10."&amp;INDEX(Eingabe!$D$9:$D$18,I1073)&amp;"."&amp;IF(J1073&lt;=K1073,J1073,IF(J1073=K1073+1,200,IF(J1073=K1073+2,201,250)))&amp;".0/24",""))</f>
        <v/>
      </c>
      <c r="D1073" s="0" t="str">
        <f aca="false">IF(I1073="","",IF(AND(J1073&gt;=1,J1073&lt;=K1073+3),"255.255.255.0",""))</f>
        <v/>
      </c>
      <c r="E1073" s="0" t="str">
        <f aca="false">IF(I1073="","",IF(AND(J1073&gt;=1,J1073&lt;=K1073+3),"10."&amp;INDEX(Eingabe!$D$9:$D$18,I1073)&amp;"."&amp;IF(J1073&lt;=K1073,J1073,IF(J1073=K1073+1,200,IF(J1073=K1073+2,201,250)))&amp;".1",""))</f>
        <v/>
      </c>
      <c r="F1073" s="0" t="str">
        <f aca="false">IF(I1073="","",IF(AND(J1073&gt;=1,J1073&lt;=K1073+3),"10."&amp;INDEX(Eingabe!$D$9:$D$18,I1073)&amp;"."&amp;IF(J1073&lt;=K1073,J1073,IF(J1073=K1073+1,200,IF(J1073=K1073+2,201,250)))&amp;".10 – 10."&amp;INDEX(Eingabe!$D$9:$D$18,I1073)&amp;"."&amp;IF(J1073&lt;=K1073,J1073,IF(J1073=K1073+1,200,IF(J1073=K1073+2,201,250)))&amp;".250",""))</f>
        <v/>
      </c>
      <c r="G1073" s="0" t="str">
        <f aca="false">IF(I1073="","",IF(AND(J1073&gt;=1,J1073&lt;=K1073),Eingabe!$B$6&amp;"-"&amp;INDEX(Eingabe!$C$9:$C$18,I1073)&amp;"-Pächter  ·  Passwort Parzelle "&amp;J1073,IF(J1073=K1073+1,Eingabe!$B$6&amp;"-"&amp;INDEX(Eingabe!$C$9:$C$18,I1073)&amp;"-Vorstand  ·  eigenes WLAN",IF(J1073=K1073+2,Eingabe!$B$6&amp;"-"&amp;INDEX(Eingabe!$C$9:$C$18,I1073)&amp;"-Gäste  ·  Voucher",IF(J1073=K1073+3,"Kabel  ·  Access Point y = .(50+y), Mast-Switch x = .(10+x)","")))))</f>
        <v/>
      </c>
      <c r="I1073" s="0" t="str">
        <f aca="false">IF(1068&lt;=(Eingabe!$P$18+Eingabe!$Q$18-1),MATCH(1068,Eingabe!$P$9:$P$18,1),"")</f>
        <v/>
      </c>
      <c r="J1073" s="0" t="str">
        <f aca="false">IF(I1073="","",1068-INDEX(Eingabe!$P$9:$P$18,I1073))</f>
        <v/>
      </c>
      <c r="K1073" s="0" t="str">
        <f aca="false">IF(I1073="","",INDEX(Eingabe!$E$9:$E$18,I1073))</f>
        <v/>
      </c>
    </row>
    <row r="1074" customFormat="false" ht="15" hidden="false" customHeight="false" outlineLevel="0" collapsed="false">
      <c r="A1074" s="0" t="str">
        <f aca="false">IF(I1074="","",IF(J1074=0,"Sparte "&amp;I1074&amp;": "&amp;INDEX(Eingabe!$B$9:$B$18,I1074)&amp;"  (Sparten-ID "&amp;INDEX(Eingabe!$D$9:$D$18,I1074)&amp;", "&amp;K1074&amp;" Parzellen)",IF(J1074&lt;=K1074,"   Parzelle "&amp;J1074,IF(J1074=K1074+1,"   Vorstand",IF(J1074=K1074+2,"   Gäste",IF(J1074=K1074+3,"   Technik (Switches, Access Points)",""))))))</f>
        <v/>
      </c>
      <c r="B1074" s="0" t="str">
        <f aca="false">IF(I1074="","",IF(AND(J1074&gt;=1,J1074&lt;=K1074+3),IF(J1074&lt;=K1074,IF(J1074&lt;=99,IF((INDEX(Eingabe!$G$9:$G$18,I1074))&lt;=9,1000+(INDEX(Eingabe!$G$9:$G$18,I1074))*100,3000)+J1074,IF((INDEX(Eingabe!$G$9:$G$18,I1074)+1)&lt;=9,1000+(INDEX(Eingabe!$G$9:$G$18,I1074)+1)*100,3000)+J1074-100),IF(J1074=K1074+1,2000+INDEX(Eingabe!$G$9:$G$18,I1074)*10+1,IF(J1074=K1074+2,2000+INDEX(Eingabe!$G$9:$G$18,I1074)*10+2,2000+INDEX(Eingabe!$G$9:$G$18,I1074)*10+9))),""))</f>
        <v/>
      </c>
      <c r="C1074" s="0" t="str">
        <f aca="false">IF(I1074="","",IF(AND(J1074&gt;=1,J1074&lt;=K1074+3),"10."&amp;INDEX(Eingabe!$D$9:$D$18,I1074)&amp;"."&amp;IF(J1074&lt;=K1074,J1074,IF(J1074=K1074+1,200,IF(J1074=K1074+2,201,250)))&amp;".0/24",""))</f>
        <v/>
      </c>
      <c r="D1074" s="0" t="str">
        <f aca="false">IF(I1074="","",IF(AND(J1074&gt;=1,J1074&lt;=K1074+3),"255.255.255.0",""))</f>
        <v/>
      </c>
      <c r="E1074" s="0" t="str">
        <f aca="false">IF(I1074="","",IF(AND(J1074&gt;=1,J1074&lt;=K1074+3),"10."&amp;INDEX(Eingabe!$D$9:$D$18,I1074)&amp;"."&amp;IF(J1074&lt;=K1074,J1074,IF(J1074=K1074+1,200,IF(J1074=K1074+2,201,250)))&amp;".1",""))</f>
        <v/>
      </c>
      <c r="F1074" s="0" t="str">
        <f aca="false">IF(I1074="","",IF(AND(J1074&gt;=1,J1074&lt;=K1074+3),"10."&amp;INDEX(Eingabe!$D$9:$D$18,I1074)&amp;"."&amp;IF(J1074&lt;=K1074,J1074,IF(J1074=K1074+1,200,IF(J1074=K1074+2,201,250)))&amp;".10 – 10."&amp;INDEX(Eingabe!$D$9:$D$18,I1074)&amp;"."&amp;IF(J1074&lt;=K1074,J1074,IF(J1074=K1074+1,200,IF(J1074=K1074+2,201,250)))&amp;".250",""))</f>
        <v/>
      </c>
      <c r="G1074" s="0" t="str">
        <f aca="false">IF(I1074="","",IF(AND(J1074&gt;=1,J1074&lt;=K1074),Eingabe!$B$6&amp;"-"&amp;INDEX(Eingabe!$C$9:$C$18,I1074)&amp;"-Pächter  ·  Passwort Parzelle "&amp;J1074,IF(J1074=K1074+1,Eingabe!$B$6&amp;"-"&amp;INDEX(Eingabe!$C$9:$C$18,I1074)&amp;"-Vorstand  ·  eigenes WLAN",IF(J1074=K1074+2,Eingabe!$B$6&amp;"-"&amp;INDEX(Eingabe!$C$9:$C$18,I1074)&amp;"-Gäste  ·  Voucher",IF(J1074=K1074+3,"Kabel  ·  Access Point y = .(50+y), Mast-Switch x = .(10+x)","")))))</f>
        <v/>
      </c>
      <c r="I1074" s="0" t="str">
        <f aca="false">IF(1069&lt;=(Eingabe!$P$18+Eingabe!$Q$18-1),MATCH(1069,Eingabe!$P$9:$P$18,1),"")</f>
        <v/>
      </c>
      <c r="J1074" s="0" t="str">
        <f aca="false">IF(I1074="","",1069-INDEX(Eingabe!$P$9:$P$18,I1074))</f>
        <v/>
      </c>
      <c r="K1074" s="0" t="str">
        <f aca="false">IF(I1074="","",INDEX(Eingabe!$E$9:$E$18,I1074))</f>
        <v/>
      </c>
    </row>
    <row r="1075" customFormat="false" ht="15" hidden="false" customHeight="false" outlineLevel="0" collapsed="false">
      <c r="A1075" s="0" t="str">
        <f aca="false">IF(I1075="","",IF(J1075=0,"Sparte "&amp;I1075&amp;": "&amp;INDEX(Eingabe!$B$9:$B$18,I1075)&amp;"  (Sparten-ID "&amp;INDEX(Eingabe!$D$9:$D$18,I1075)&amp;", "&amp;K1075&amp;" Parzellen)",IF(J1075&lt;=K1075,"   Parzelle "&amp;J1075,IF(J1075=K1075+1,"   Vorstand",IF(J1075=K1075+2,"   Gäste",IF(J1075=K1075+3,"   Technik (Switches, Access Points)",""))))))</f>
        <v/>
      </c>
      <c r="B1075" s="0" t="str">
        <f aca="false">IF(I1075="","",IF(AND(J1075&gt;=1,J1075&lt;=K1075+3),IF(J1075&lt;=K1075,IF(J1075&lt;=99,IF((INDEX(Eingabe!$G$9:$G$18,I1075))&lt;=9,1000+(INDEX(Eingabe!$G$9:$G$18,I1075))*100,3000)+J1075,IF((INDEX(Eingabe!$G$9:$G$18,I1075)+1)&lt;=9,1000+(INDEX(Eingabe!$G$9:$G$18,I1075)+1)*100,3000)+J1075-100),IF(J1075=K1075+1,2000+INDEX(Eingabe!$G$9:$G$18,I1075)*10+1,IF(J1075=K1075+2,2000+INDEX(Eingabe!$G$9:$G$18,I1075)*10+2,2000+INDEX(Eingabe!$G$9:$G$18,I1075)*10+9))),""))</f>
        <v/>
      </c>
      <c r="C1075" s="0" t="str">
        <f aca="false">IF(I1075="","",IF(AND(J1075&gt;=1,J1075&lt;=K1075+3),"10."&amp;INDEX(Eingabe!$D$9:$D$18,I1075)&amp;"."&amp;IF(J1075&lt;=K1075,J1075,IF(J1075=K1075+1,200,IF(J1075=K1075+2,201,250)))&amp;".0/24",""))</f>
        <v/>
      </c>
      <c r="D1075" s="0" t="str">
        <f aca="false">IF(I1075="","",IF(AND(J1075&gt;=1,J1075&lt;=K1075+3),"255.255.255.0",""))</f>
        <v/>
      </c>
      <c r="E1075" s="0" t="str">
        <f aca="false">IF(I1075="","",IF(AND(J1075&gt;=1,J1075&lt;=K1075+3),"10."&amp;INDEX(Eingabe!$D$9:$D$18,I1075)&amp;"."&amp;IF(J1075&lt;=K1075,J1075,IF(J1075=K1075+1,200,IF(J1075=K1075+2,201,250)))&amp;".1",""))</f>
        <v/>
      </c>
      <c r="F1075" s="0" t="str">
        <f aca="false">IF(I1075="","",IF(AND(J1075&gt;=1,J1075&lt;=K1075+3),"10."&amp;INDEX(Eingabe!$D$9:$D$18,I1075)&amp;"."&amp;IF(J1075&lt;=K1075,J1075,IF(J1075=K1075+1,200,IF(J1075=K1075+2,201,250)))&amp;".10 – 10."&amp;INDEX(Eingabe!$D$9:$D$18,I1075)&amp;"."&amp;IF(J1075&lt;=K1075,J1075,IF(J1075=K1075+1,200,IF(J1075=K1075+2,201,250)))&amp;".250",""))</f>
        <v/>
      </c>
      <c r="G1075" s="0" t="str">
        <f aca="false">IF(I1075="","",IF(AND(J1075&gt;=1,J1075&lt;=K1075),Eingabe!$B$6&amp;"-"&amp;INDEX(Eingabe!$C$9:$C$18,I1075)&amp;"-Pächter  ·  Passwort Parzelle "&amp;J1075,IF(J1075=K1075+1,Eingabe!$B$6&amp;"-"&amp;INDEX(Eingabe!$C$9:$C$18,I1075)&amp;"-Vorstand  ·  eigenes WLAN",IF(J1075=K1075+2,Eingabe!$B$6&amp;"-"&amp;INDEX(Eingabe!$C$9:$C$18,I1075)&amp;"-Gäste  ·  Voucher",IF(J1075=K1075+3,"Kabel  ·  Access Point y = .(50+y), Mast-Switch x = .(10+x)","")))))</f>
        <v/>
      </c>
      <c r="I1075" s="0" t="str">
        <f aca="false">IF(1070&lt;=(Eingabe!$P$18+Eingabe!$Q$18-1),MATCH(1070,Eingabe!$P$9:$P$18,1),"")</f>
        <v/>
      </c>
      <c r="J1075" s="0" t="str">
        <f aca="false">IF(I1075="","",1070-INDEX(Eingabe!$P$9:$P$18,I1075))</f>
        <v/>
      </c>
      <c r="K1075" s="0" t="str">
        <f aca="false">IF(I1075="","",INDEX(Eingabe!$E$9:$E$18,I1075))</f>
        <v/>
      </c>
    </row>
    <row r="1076" customFormat="false" ht="15" hidden="false" customHeight="false" outlineLevel="0" collapsed="false">
      <c r="A1076" s="0" t="str">
        <f aca="false">IF(I1076="","",IF(J1076=0,"Sparte "&amp;I1076&amp;": "&amp;INDEX(Eingabe!$B$9:$B$18,I1076)&amp;"  (Sparten-ID "&amp;INDEX(Eingabe!$D$9:$D$18,I1076)&amp;", "&amp;K1076&amp;" Parzellen)",IF(J1076&lt;=K1076,"   Parzelle "&amp;J1076,IF(J1076=K1076+1,"   Vorstand",IF(J1076=K1076+2,"   Gäste",IF(J1076=K1076+3,"   Technik (Switches, Access Points)",""))))))</f>
        <v/>
      </c>
      <c r="B1076" s="0" t="str">
        <f aca="false">IF(I1076="","",IF(AND(J1076&gt;=1,J1076&lt;=K1076+3),IF(J1076&lt;=K1076,IF(J1076&lt;=99,IF((INDEX(Eingabe!$G$9:$G$18,I1076))&lt;=9,1000+(INDEX(Eingabe!$G$9:$G$18,I1076))*100,3000)+J1076,IF((INDEX(Eingabe!$G$9:$G$18,I1076)+1)&lt;=9,1000+(INDEX(Eingabe!$G$9:$G$18,I1076)+1)*100,3000)+J1076-100),IF(J1076=K1076+1,2000+INDEX(Eingabe!$G$9:$G$18,I1076)*10+1,IF(J1076=K1076+2,2000+INDEX(Eingabe!$G$9:$G$18,I1076)*10+2,2000+INDEX(Eingabe!$G$9:$G$18,I1076)*10+9))),""))</f>
        <v/>
      </c>
      <c r="C1076" s="0" t="str">
        <f aca="false">IF(I1076="","",IF(AND(J1076&gt;=1,J1076&lt;=K1076+3),"10."&amp;INDEX(Eingabe!$D$9:$D$18,I1076)&amp;"."&amp;IF(J1076&lt;=K1076,J1076,IF(J1076=K1076+1,200,IF(J1076=K1076+2,201,250)))&amp;".0/24",""))</f>
        <v/>
      </c>
      <c r="D1076" s="0" t="str">
        <f aca="false">IF(I1076="","",IF(AND(J1076&gt;=1,J1076&lt;=K1076+3),"255.255.255.0",""))</f>
        <v/>
      </c>
      <c r="E1076" s="0" t="str">
        <f aca="false">IF(I1076="","",IF(AND(J1076&gt;=1,J1076&lt;=K1076+3),"10."&amp;INDEX(Eingabe!$D$9:$D$18,I1076)&amp;"."&amp;IF(J1076&lt;=K1076,J1076,IF(J1076=K1076+1,200,IF(J1076=K1076+2,201,250)))&amp;".1",""))</f>
        <v/>
      </c>
      <c r="F1076" s="0" t="str">
        <f aca="false">IF(I1076="","",IF(AND(J1076&gt;=1,J1076&lt;=K1076+3),"10."&amp;INDEX(Eingabe!$D$9:$D$18,I1076)&amp;"."&amp;IF(J1076&lt;=K1076,J1076,IF(J1076=K1076+1,200,IF(J1076=K1076+2,201,250)))&amp;".10 – 10."&amp;INDEX(Eingabe!$D$9:$D$18,I1076)&amp;"."&amp;IF(J1076&lt;=K1076,J1076,IF(J1076=K1076+1,200,IF(J1076=K1076+2,201,250)))&amp;".250",""))</f>
        <v/>
      </c>
      <c r="G1076" s="0" t="str">
        <f aca="false">IF(I1076="","",IF(AND(J1076&gt;=1,J1076&lt;=K1076),Eingabe!$B$6&amp;"-"&amp;INDEX(Eingabe!$C$9:$C$18,I1076)&amp;"-Pächter  ·  Passwort Parzelle "&amp;J1076,IF(J1076=K1076+1,Eingabe!$B$6&amp;"-"&amp;INDEX(Eingabe!$C$9:$C$18,I1076)&amp;"-Vorstand  ·  eigenes WLAN",IF(J1076=K1076+2,Eingabe!$B$6&amp;"-"&amp;INDEX(Eingabe!$C$9:$C$18,I1076)&amp;"-Gäste  ·  Voucher",IF(J1076=K1076+3,"Kabel  ·  Access Point y = .(50+y), Mast-Switch x = .(10+x)","")))))</f>
        <v/>
      </c>
      <c r="I1076" s="0" t="str">
        <f aca="false">IF(1071&lt;=(Eingabe!$P$18+Eingabe!$Q$18-1),MATCH(1071,Eingabe!$P$9:$P$18,1),"")</f>
        <v/>
      </c>
      <c r="J1076" s="0" t="str">
        <f aca="false">IF(I1076="","",1071-INDEX(Eingabe!$P$9:$P$18,I1076))</f>
        <v/>
      </c>
      <c r="K1076" s="0" t="str">
        <f aca="false">IF(I1076="","",INDEX(Eingabe!$E$9:$E$18,I1076))</f>
        <v/>
      </c>
    </row>
    <row r="1077" customFormat="false" ht="15" hidden="false" customHeight="false" outlineLevel="0" collapsed="false">
      <c r="A1077" s="0" t="str">
        <f aca="false">IF(I1077="","",IF(J1077=0,"Sparte "&amp;I1077&amp;": "&amp;INDEX(Eingabe!$B$9:$B$18,I1077)&amp;"  (Sparten-ID "&amp;INDEX(Eingabe!$D$9:$D$18,I1077)&amp;", "&amp;K1077&amp;" Parzellen)",IF(J1077&lt;=K1077,"   Parzelle "&amp;J1077,IF(J1077=K1077+1,"   Vorstand",IF(J1077=K1077+2,"   Gäste",IF(J1077=K1077+3,"   Technik (Switches, Access Points)",""))))))</f>
        <v/>
      </c>
      <c r="B1077" s="0" t="str">
        <f aca="false">IF(I1077="","",IF(AND(J1077&gt;=1,J1077&lt;=K1077+3),IF(J1077&lt;=K1077,IF(J1077&lt;=99,IF((INDEX(Eingabe!$G$9:$G$18,I1077))&lt;=9,1000+(INDEX(Eingabe!$G$9:$G$18,I1077))*100,3000)+J1077,IF((INDEX(Eingabe!$G$9:$G$18,I1077)+1)&lt;=9,1000+(INDEX(Eingabe!$G$9:$G$18,I1077)+1)*100,3000)+J1077-100),IF(J1077=K1077+1,2000+INDEX(Eingabe!$G$9:$G$18,I1077)*10+1,IF(J1077=K1077+2,2000+INDEX(Eingabe!$G$9:$G$18,I1077)*10+2,2000+INDEX(Eingabe!$G$9:$G$18,I1077)*10+9))),""))</f>
        <v/>
      </c>
      <c r="C1077" s="0" t="str">
        <f aca="false">IF(I1077="","",IF(AND(J1077&gt;=1,J1077&lt;=K1077+3),"10."&amp;INDEX(Eingabe!$D$9:$D$18,I1077)&amp;"."&amp;IF(J1077&lt;=K1077,J1077,IF(J1077=K1077+1,200,IF(J1077=K1077+2,201,250)))&amp;".0/24",""))</f>
        <v/>
      </c>
      <c r="D1077" s="0" t="str">
        <f aca="false">IF(I1077="","",IF(AND(J1077&gt;=1,J1077&lt;=K1077+3),"255.255.255.0",""))</f>
        <v/>
      </c>
      <c r="E1077" s="0" t="str">
        <f aca="false">IF(I1077="","",IF(AND(J1077&gt;=1,J1077&lt;=K1077+3),"10."&amp;INDEX(Eingabe!$D$9:$D$18,I1077)&amp;"."&amp;IF(J1077&lt;=K1077,J1077,IF(J1077=K1077+1,200,IF(J1077=K1077+2,201,250)))&amp;".1",""))</f>
        <v/>
      </c>
      <c r="F1077" s="0" t="str">
        <f aca="false">IF(I1077="","",IF(AND(J1077&gt;=1,J1077&lt;=K1077+3),"10."&amp;INDEX(Eingabe!$D$9:$D$18,I1077)&amp;"."&amp;IF(J1077&lt;=K1077,J1077,IF(J1077=K1077+1,200,IF(J1077=K1077+2,201,250)))&amp;".10 – 10."&amp;INDEX(Eingabe!$D$9:$D$18,I1077)&amp;"."&amp;IF(J1077&lt;=K1077,J1077,IF(J1077=K1077+1,200,IF(J1077=K1077+2,201,250)))&amp;".250",""))</f>
        <v/>
      </c>
      <c r="G1077" s="0" t="str">
        <f aca="false">IF(I1077="","",IF(AND(J1077&gt;=1,J1077&lt;=K1077),Eingabe!$B$6&amp;"-"&amp;INDEX(Eingabe!$C$9:$C$18,I1077)&amp;"-Pächter  ·  Passwort Parzelle "&amp;J1077,IF(J1077=K1077+1,Eingabe!$B$6&amp;"-"&amp;INDEX(Eingabe!$C$9:$C$18,I1077)&amp;"-Vorstand  ·  eigenes WLAN",IF(J1077=K1077+2,Eingabe!$B$6&amp;"-"&amp;INDEX(Eingabe!$C$9:$C$18,I1077)&amp;"-Gäste  ·  Voucher",IF(J1077=K1077+3,"Kabel  ·  Access Point y = .(50+y), Mast-Switch x = .(10+x)","")))))</f>
        <v/>
      </c>
      <c r="I1077" s="0" t="str">
        <f aca="false">IF(1072&lt;=(Eingabe!$P$18+Eingabe!$Q$18-1),MATCH(1072,Eingabe!$P$9:$P$18,1),"")</f>
        <v/>
      </c>
      <c r="J1077" s="0" t="str">
        <f aca="false">IF(I1077="","",1072-INDEX(Eingabe!$P$9:$P$18,I1077))</f>
        <v/>
      </c>
      <c r="K1077" s="0" t="str">
        <f aca="false">IF(I1077="","",INDEX(Eingabe!$E$9:$E$18,I1077))</f>
        <v/>
      </c>
    </row>
    <row r="1078" customFormat="false" ht="15" hidden="false" customHeight="false" outlineLevel="0" collapsed="false">
      <c r="A1078" s="0" t="str">
        <f aca="false">IF(I1078="","",IF(J1078=0,"Sparte "&amp;I1078&amp;": "&amp;INDEX(Eingabe!$B$9:$B$18,I1078)&amp;"  (Sparten-ID "&amp;INDEX(Eingabe!$D$9:$D$18,I1078)&amp;", "&amp;K1078&amp;" Parzellen)",IF(J1078&lt;=K1078,"   Parzelle "&amp;J1078,IF(J1078=K1078+1,"   Vorstand",IF(J1078=K1078+2,"   Gäste",IF(J1078=K1078+3,"   Technik (Switches, Access Points)",""))))))</f>
        <v/>
      </c>
      <c r="B1078" s="0" t="str">
        <f aca="false">IF(I1078="","",IF(AND(J1078&gt;=1,J1078&lt;=K1078+3),IF(J1078&lt;=K1078,IF(J1078&lt;=99,IF((INDEX(Eingabe!$G$9:$G$18,I1078))&lt;=9,1000+(INDEX(Eingabe!$G$9:$G$18,I1078))*100,3000)+J1078,IF((INDEX(Eingabe!$G$9:$G$18,I1078)+1)&lt;=9,1000+(INDEX(Eingabe!$G$9:$G$18,I1078)+1)*100,3000)+J1078-100),IF(J1078=K1078+1,2000+INDEX(Eingabe!$G$9:$G$18,I1078)*10+1,IF(J1078=K1078+2,2000+INDEX(Eingabe!$G$9:$G$18,I1078)*10+2,2000+INDEX(Eingabe!$G$9:$G$18,I1078)*10+9))),""))</f>
        <v/>
      </c>
      <c r="C1078" s="0" t="str">
        <f aca="false">IF(I1078="","",IF(AND(J1078&gt;=1,J1078&lt;=K1078+3),"10."&amp;INDEX(Eingabe!$D$9:$D$18,I1078)&amp;"."&amp;IF(J1078&lt;=K1078,J1078,IF(J1078=K1078+1,200,IF(J1078=K1078+2,201,250)))&amp;".0/24",""))</f>
        <v/>
      </c>
      <c r="D1078" s="0" t="str">
        <f aca="false">IF(I1078="","",IF(AND(J1078&gt;=1,J1078&lt;=K1078+3),"255.255.255.0",""))</f>
        <v/>
      </c>
      <c r="E1078" s="0" t="str">
        <f aca="false">IF(I1078="","",IF(AND(J1078&gt;=1,J1078&lt;=K1078+3),"10."&amp;INDEX(Eingabe!$D$9:$D$18,I1078)&amp;"."&amp;IF(J1078&lt;=K1078,J1078,IF(J1078=K1078+1,200,IF(J1078=K1078+2,201,250)))&amp;".1",""))</f>
        <v/>
      </c>
      <c r="F1078" s="0" t="str">
        <f aca="false">IF(I1078="","",IF(AND(J1078&gt;=1,J1078&lt;=K1078+3),"10."&amp;INDEX(Eingabe!$D$9:$D$18,I1078)&amp;"."&amp;IF(J1078&lt;=K1078,J1078,IF(J1078=K1078+1,200,IF(J1078=K1078+2,201,250)))&amp;".10 – 10."&amp;INDEX(Eingabe!$D$9:$D$18,I1078)&amp;"."&amp;IF(J1078&lt;=K1078,J1078,IF(J1078=K1078+1,200,IF(J1078=K1078+2,201,250)))&amp;".250",""))</f>
        <v/>
      </c>
      <c r="G1078" s="0" t="str">
        <f aca="false">IF(I1078="","",IF(AND(J1078&gt;=1,J1078&lt;=K1078),Eingabe!$B$6&amp;"-"&amp;INDEX(Eingabe!$C$9:$C$18,I1078)&amp;"-Pächter  ·  Passwort Parzelle "&amp;J1078,IF(J1078=K1078+1,Eingabe!$B$6&amp;"-"&amp;INDEX(Eingabe!$C$9:$C$18,I1078)&amp;"-Vorstand  ·  eigenes WLAN",IF(J1078=K1078+2,Eingabe!$B$6&amp;"-"&amp;INDEX(Eingabe!$C$9:$C$18,I1078)&amp;"-Gäste  ·  Voucher",IF(J1078=K1078+3,"Kabel  ·  Access Point y = .(50+y), Mast-Switch x = .(10+x)","")))))</f>
        <v/>
      </c>
      <c r="I1078" s="0" t="str">
        <f aca="false">IF(1073&lt;=(Eingabe!$P$18+Eingabe!$Q$18-1),MATCH(1073,Eingabe!$P$9:$P$18,1),"")</f>
        <v/>
      </c>
      <c r="J1078" s="0" t="str">
        <f aca="false">IF(I1078="","",1073-INDEX(Eingabe!$P$9:$P$18,I1078))</f>
        <v/>
      </c>
      <c r="K1078" s="0" t="str">
        <f aca="false">IF(I1078="","",INDEX(Eingabe!$E$9:$E$18,I1078))</f>
        <v/>
      </c>
    </row>
    <row r="1079" customFormat="false" ht="15" hidden="false" customHeight="false" outlineLevel="0" collapsed="false">
      <c r="A1079" s="0" t="str">
        <f aca="false">IF(I1079="","",IF(J1079=0,"Sparte "&amp;I1079&amp;": "&amp;INDEX(Eingabe!$B$9:$B$18,I1079)&amp;"  (Sparten-ID "&amp;INDEX(Eingabe!$D$9:$D$18,I1079)&amp;", "&amp;K1079&amp;" Parzellen)",IF(J1079&lt;=K1079,"   Parzelle "&amp;J1079,IF(J1079=K1079+1,"   Vorstand",IF(J1079=K1079+2,"   Gäste",IF(J1079=K1079+3,"   Technik (Switches, Access Points)",""))))))</f>
        <v/>
      </c>
      <c r="B1079" s="0" t="str">
        <f aca="false">IF(I1079="","",IF(AND(J1079&gt;=1,J1079&lt;=K1079+3),IF(J1079&lt;=K1079,IF(J1079&lt;=99,IF((INDEX(Eingabe!$G$9:$G$18,I1079))&lt;=9,1000+(INDEX(Eingabe!$G$9:$G$18,I1079))*100,3000)+J1079,IF((INDEX(Eingabe!$G$9:$G$18,I1079)+1)&lt;=9,1000+(INDEX(Eingabe!$G$9:$G$18,I1079)+1)*100,3000)+J1079-100),IF(J1079=K1079+1,2000+INDEX(Eingabe!$G$9:$G$18,I1079)*10+1,IF(J1079=K1079+2,2000+INDEX(Eingabe!$G$9:$G$18,I1079)*10+2,2000+INDEX(Eingabe!$G$9:$G$18,I1079)*10+9))),""))</f>
        <v/>
      </c>
      <c r="C1079" s="0" t="str">
        <f aca="false">IF(I1079="","",IF(AND(J1079&gt;=1,J1079&lt;=K1079+3),"10."&amp;INDEX(Eingabe!$D$9:$D$18,I1079)&amp;"."&amp;IF(J1079&lt;=K1079,J1079,IF(J1079=K1079+1,200,IF(J1079=K1079+2,201,250)))&amp;".0/24",""))</f>
        <v/>
      </c>
      <c r="D1079" s="0" t="str">
        <f aca="false">IF(I1079="","",IF(AND(J1079&gt;=1,J1079&lt;=K1079+3),"255.255.255.0",""))</f>
        <v/>
      </c>
      <c r="E1079" s="0" t="str">
        <f aca="false">IF(I1079="","",IF(AND(J1079&gt;=1,J1079&lt;=K1079+3),"10."&amp;INDEX(Eingabe!$D$9:$D$18,I1079)&amp;"."&amp;IF(J1079&lt;=K1079,J1079,IF(J1079=K1079+1,200,IF(J1079=K1079+2,201,250)))&amp;".1",""))</f>
        <v/>
      </c>
      <c r="F1079" s="0" t="str">
        <f aca="false">IF(I1079="","",IF(AND(J1079&gt;=1,J1079&lt;=K1079+3),"10."&amp;INDEX(Eingabe!$D$9:$D$18,I1079)&amp;"."&amp;IF(J1079&lt;=K1079,J1079,IF(J1079=K1079+1,200,IF(J1079=K1079+2,201,250)))&amp;".10 – 10."&amp;INDEX(Eingabe!$D$9:$D$18,I1079)&amp;"."&amp;IF(J1079&lt;=K1079,J1079,IF(J1079=K1079+1,200,IF(J1079=K1079+2,201,250)))&amp;".250",""))</f>
        <v/>
      </c>
      <c r="G1079" s="0" t="str">
        <f aca="false">IF(I1079="","",IF(AND(J1079&gt;=1,J1079&lt;=K1079),Eingabe!$B$6&amp;"-"&amp;INDEX(Eingabe!$C$9:$C$18,I1079)&amp;"-Pächter  ·  Passwort Parzelle "&amp;J1079,IF(J1079=K1079+1,Eingabe!$B$6&amp;"-"&amp;INDEX(Eingabe!$C$9:$C$18,I1079)&amp;"-Vorstand  ·  eigenes WLAN",IF(J1079=K1079+2,Eingabe!$B$6&amp;"-"&amp;INDEX(Eingabe!$C$9:$C$18,I1079)&amp;"-Gäste  ·  Voucher",IF(J1079=K1079+3,"Kabel  ·  Access Point y = .(50+y), Mast-Switch x = .(10+x)","")))))</f>
        <v/>
      </c>
      <c r="I1079" s="0" t="str">
        <f aca="false">IF(1074&lt;=(Eingabe!$P$18+Eingabe!$Q$18-1),MATCH(1074,Eingabe!$P$9:$P$18,1),"")</f>
        <v/>
      </c>
      <c r="J1079" s="0" t="str">
        <f aca="false">IF(I1079="","",1074-INDEX(Eingabe!$P$9:$P$18,I1079))</f>
        <v/>
      </c>
      <c r="K1079" s="0" t="str">
        <f aca="false">IF(I1079="","",INDEX(Eingabe!$E$9:$E$18,I1079))</f>
        <v/>
      </c>
    </row>
    <row r="1080" customFormat="false" ht="15" hidden="false" customHeight="false" outlineLevel="0" collapsed="false">
      <c r="A1080" s="0" t="str">
        <f aca="false">IF(I1080="","",IF(J1080=0,"Sparte "&amp;I1080&amp;": "&amp;INDEX(Eingabe!$B$9:$B$18,I1080)&amp;"  (Sparten-ID "&amp;INDEX(Eingabe!$D$9:$D$18,I1080)&amp;", "&amp;K1080&amp;" Parzellen)",IF(J1080&lt;=K1080,"   Parzelle "&amp;J1080,IF(J1080=K1080+1,"   Vorstand",IF(J1080=K1080+2,"   Gäste",IF(J1080=K1080+3,"   Technik (Switches, Access Points)",""))))))</f>
        <v/>
      </c>
      <c r="B1080" s="0" t="str">
        <f aca="false">IF(I1080="","",IF(AND(J1080&gt;=1,J1080&lt;=K1080+3),IF(J1080&lt;=K1080,IF(J1080&lt;=99,IF((INDEX(Eingabe!$G$9:$G$18,I1080))&lt;=9,1000+(INDEX(Eingabe!$G$9:$G$18,I1080))*100,3000)+J1080,IF((INDEX(Eingabe!$G$9:$G$18,I1080)+1)&lt;=9,1000+(INDEX(Eingabe!$G$9:$G$18,I1080)+1)*100,3000)+J1080-100),IF(J1080=K1080+1,2000+INDEX(Eingabe!$G$9:$G$18,I1080)*10+1,IF(J1080=K1080+2,2000+INDEX(Eingabe!$G$9:$G$18,I1080)*10+2,2000+INDEX(Eingabe!$G$9:$G$18,I1080)*10+9))),""))</f>
        <v/>
      </c>
      <c r="C1080" s="0" t="str">
        <f aca="false">IF(I1080="","",IF(AND(J1080&gt;=1,J1080&lt;=K1080+3),"10."&amp;INDEX(Eingabe!$D$9:$D$18,I1080)&amp;"."&amp;IF(J1080&lt;=K1080,J1080,IF(J1080=K1080+1,200,IF(J1080=K1080+2,201,250)))&amp;".0/24",""))</f>
        <v/>
      </c>
      <c r="D1080" s="0" t="str">
        <f aca="false">IF(I1080="","",IF(AND(J1080&gt;=1,J1080&lt;=K1080+3),"255.255.255.0",""))</f>
        <v/>
      </c>
      <c r="E1080" s="0" t="str">
        <f aca="false">IF(I1080="","",IF(AND(J1080&gt;=1,J1080&lt;=K1080+3),"10."&amp;INDEX(Eingabe!$D$9:$D$18,I1080)&amp;"."&amp;IF(J1080&lt;=K1080,J1080,IF(J1080=K1080+1,200,IF(J1080=K1080+2,201,250)))&amp;".1",""))</f>
        <v/>
      </c>
      <c r="F1080" s="0" t="str">
        <f aca="false">IF(I1080="","",IF(AND(J1080&gt;=1,J1080&lt;=K1080+3),"10."&amp;INDEX(Eingabe!$D$9:$D$18,I1080)&amp;"."&amp;IF(J1080&lt;=K1080,J1080,IF(J1080=K1080+1,200,IF(J1080=K1080+2,201,250)))&amp;".10 – 10."&amp;INDEX(Eingabe!$D$9:$D$18,I1080)&amp;"."&amp;IF(J1080&lt;=K1080,J1080,IF(J1080=K1080+1,200,IF(J1080=K1080+2,201,250)))&amp;".250",""))</f>
        <v/>
      </c>
      <c r="G1080" s="0" t="str">
        <f aca="false">IF(I1080="","",IF(AND(J1080&gt;=1,J1080&lt;=K1080),Eingabe!$B$6&amp;"-"&amp;INDEX(Eingabe!$C$9:$C$18,I1080)&amp;"-Pächter  ·  Passwort Parzelle "&amp;J1080,IF(J1080=K1080+1,Eingabe!$B$6&amp;"-"&amp;INDEX(Eingabe!$C$9:$C$18,I1080)&amp;"-Vorstand  ·  eigenes WLAN",IF(J1080=K1080+2,Eingabe!$B$6&amp;"-"&amp;INDEX(Eingabe!$C$9:$C$18,I1080)&amp;"-Gäste  ·  Voucher",IF(J1080=K1080+3,"Kabel  ·  Access Point y = .(50+y), Mast-Switch x = .(10+x)","")))))</f>
        <v/>
      </c>
      <c r="I1080" s="0" t="str">
        <f aca="false">IF(1075&lt;=(Eingabe!$P$18+Eingabe!$Q$18-1),MATCH(1075,Eingabe!$P$9:$P$18,1),"")</f>
        <v/>
      </c>
      <c r="J1080" s="0" t="str">
        <f aca="false">IF(I1080="","",1075-INDEX(Eingabe!$P$9:$P$18,I1080))</f>
        <v/>
      </c>
      <c r="K1080" s="0" t="str">
        <f aca="false">IF(I1080="","",INDEX(Eingabe!$E$9:$E$18,I1080))</f>
        <v/>
      </c>
    </row>
    <row r="1081" customFormat="false" ht="15" hidden="false" customHeight="false" outlineLevel="0" collapsed="false">
      <c r="A1081" s="0" t="str">
        <f aca="false">IF(I1081="","",IF(J1081=0,"Sparte "&amp;I1081&amp;": "&amp;INDEX(Eingabe!$B$9:$B$18,I1081)&amp;"  (Sparten-ID "&amp;INDEX(Eingabe!$D$9:$D$18,I1081)&amp;", "&amp;K1081&amp;" Parzellen)",IF(J1081&lt;=K1081,"   Parzelle "&amp;J1081,IF(J1081=K1081+1,"   Vorstand",IF(J1081=K1081+2,"   Gäste",IF(J1081=K1081+3,"   Technik (Switches, Access Points)",""))))))</f>
        <v/>
      </c>
      <c r="B1081" s="0" t="str">
        <f aca="false">IF(I1081="","",IF(AND(J1081&gt;=1,J1081&lt;=K1081+3),IF(J1081&lt;=K1081,IF(J1081&lt;=99,IF((INDEX(Eingabe!$G$9:$G$18,I1081))&lt;=9,1000+(INDEX(Eingabe!$G$9:$G$18,I1081))*100,3000)+J1081,IF((INDEX(Eingabe!$G$9:$G$18,I1081)+1)&lt;=9,1000+(INDEX(Eingabe!$G$9:$G$18,I1081)+1)*100,3000)+J1081-100),IF(J1081=K1081+1,2000+INDEX(Eingabe!$G$9:$G$18,I1081)*10+1,IF(J1081=K1081+2,2000+INDEX(Eingabe!$G$9:$G$18,I1081)*10+2,2000+INDEX(Eingabe!$G$9:$G$18,I1081)*10+9))),""))</f>
        <v/>
      </c>
      <c r="C1081" s="0" t="str">
        <f aca="false">IF(I1081="","",IF(AND(J1081&gt;=1,J1081&lt;=K1081+3),"10."&amp;INDEX(Eingabe!$D$9:$D$18,I1081)&amp;"."&amp;IF(J1081&lt;=K1081,J1081,IF(J1081=K1081+1,200,IF(J1081=K1081+2,201,250)))&amp;".0/24",""))</f>
        <v/>
      </c>
      <c r="D1081" s="0" t="str">
        <f aca="false">IF(I1081="","",IF(AND(J1081&gt;=1,J1081&lt;=K1081+3),"255.255.255.0",""))</f>
        <v/>
      </c>
      <c r="E1081" s="0" t="str">
        <f aca="false">IF(I1081="","",IF(AND(J1081&gt;=1,J1081&lt;=K1081+3),"10."&amp;INDEX(Eingabe!$D$9:$D$18,I1081)&amp;"."&amp;IF(J1081&lt;=K1081,J1081,IF(J1081=K1081+1,200,IF(J1081=K1081+2,201,250)))&amp;".1",""))</f>
        <v/>
      </c>
      <c r="F1081" s="0" t="str">
        <f aca="false">IF(I1081="","",IF(AND(J1081&gt;=1,J1081&lt;=K1081+3),"10."&amp;INDEX(Eingabe!$D$9:$D$18,I1081)&amp;"."&amp;IF(J1081&lt;=K1081,J1081,IF(J1081=K1081+1,200,IF(J1081=K1081+2,201,250)))&amp;".10 – 10."&amp;INDEX(Eingabe!$D$9:$D$18,I1081)&amp;"."&amp;IF(J1081&lt;=K1081,J1081,IF(J1081=K1081+1,200,IF(J1081=K1081+2,201,250)))&amp;".250",""))</f>
        <v/>
      </c>
      <c r="G1081" s="0" t="str">
        <f aca="false">IF(I1081="","",IF(AND(J1081&gt;=1,J1081&lt;=K1081),Eingabe!$B$6&amp;"-"&amp;INDEX(Eingabe!$C$9:$C$18,I1081)&amp;"-Pächter  ·  Passwort Parzelle "&amp;J1081,IF(J1081=K1081+1,Eingabe!$B$6&amp;"-"&amp;INDEX(Eingabe!$C$9:$C$18,I1081)&amp;"-Vorstand  ·  eigenes WLAN",IF(J1081=K1081+2,Eingabe!$B$6&amp;"-"&amp;INDEX(Eingabe!$C$9:$C$18,I1081)&amp;"-Gäste  ·  Voucher",IF(J1081=K1081+3,"Kabel  ·  Access Point y = .(50+y), Mast-Switch x = .(10+x)","")))))</f>
        <v/>
      </c>
      <c r="I1081" s="0" t="str">
        <f aca="false">IF(1076&lt;=(Eingabe!$P$18+Eingabe!$Q$18-1),MATCH(1076,Eingabe!$P$9:$P$18,1),"")</f>
        <v/>
      </c>
      <c r="J1081" s="0" t="str">
        <f aca="false">IF(I1081="","",1076-INDEX(Eingabe!$P$9:$P$18,I1081))</f>
        <v/>
      </c>
      <c r="K1081" s="0" t="str">
        <f aca="false">IF(I1081="","",INDEX(Eingabe!$E$9:$E$18,I1081))</f>
        <v/>
      </c>
    </row>
    <row r="1082" customFormat="false" ht="15" hidden="false" customHeight="false" outlineLevel="0" collapsed="false">
      <c r="A1082" s="0" t="str">
        <f aca="false">IF(I1082="","",IF(J1082=0,"Sparte "&amp;I1082&amp;": "&amp;INDEX(Eingabe!$B$9:$B$18,I1082)&amp;"  (Sparten-ID "&amp;INDEX(Eingabe!$D$9:$D$18,I1082)&amp;", "&amp;K1082&amp;" Parzellen)",IF(J1082&lt;=K1082,"   Parzelle "&amp;J1082,IF(J1082=K1082+1,"   Vorstand",IF(J1082=K1082+2,"   Gäste",IF(J1082=K1082+3,"   Technik (Switches, Access Points)",""))))))</f>
        <v/>
      </c>
      <c r="B1082" s="0" t="str">
        <f aca="false">IF(I1082="","",IF(AND(J1082&gt;=1,J1082&lt;=K1082+3),IF(J1082&lt;=K1082,IF(J1082&lt;=99,IF((INDEX(Eingabe!$G$9:$G$18,I1082))&lt;=9,1000+(INDEX(Eingabe!$G$9:$G$18,I1082))*100,3000)+J1082,IF((INDEX(Eingabe!$G$9:$G$18,I1082)+1)&lt;=9,1000+(INDEX(Eingabe!$G$9:$G$18,I1082)+1)*100,3000)+J1082-100),IF(J1082=K1082+1,2000+INDEX(Eingabe!$G$9:$G$18,I1082)*10+1,IF(J1082=K1082+2,2000+INDEX(Eingabe!$G$9:$G$18,I1082)*10+2,2000+INDEX(Eingabe!$G$9:$G$18,I1082)*10+9))),""))</f>
        <v/>
      </c>
      <c r="C1082" s="0" t="str">
        <f aca="false">IF(I1082="","",IF(AND(J1082&gt;=1,J1082&lt;=K1082+3),"10."&amp;INDEX(Eingabe!$D$9:$D$18,I1082)&amp;"."&amp;IF(J1082&lt;=K1082,J1082,IF(J1082=K1082+1,200,IF(J1082=K1082+2,201,250)))&amp;".0/24",""))</f>
        <v/>
      </c>
      <c r="D1082" s="0" t="str">
        <f aca="false">IF(I1082="","",IF(AND(J1082&gt;=1,J1082&lt;=K1082+3),"255.255.255.0",""))</f>
        <v/>
      </c>
      <c r="E1082" s="0" t="str">
        <f aca="false">IF(I1082="","",IF(AND(J1082&gt;=1,J1082&lt;=K1082+3),"10."&amp;INDEX(Eingabe!$D$9:$D$18,I1082)&amp;"."&amp;IF(J1082&lt;=K1082,J1082,IF(J1082=K1082+1,200,IF(J1082=K1082+2,201,250)))&amp;".1",""))</f>
        <v/>
      </c>
      <c r="F1082" s="0" t="str">
        <f aca="false">IF(I1082="","",IF(AND(J1082&gt;=1,J1082&lt;=K1082+3),"10."&amp;INDEX(Eingabe!$D$9:$D$18,I1082)&amp;"."&amp;IF(J1082&lt;=K1082,J1082,IF(J1082=K1082+1,200,IF(J1082=K1082+2,201,250)))&amp;".10 – 10."&amp;INDEX(Eingabe!$D$9:$D$18,I1082)&amp;"."&amp;IF(J1082&lt;=K1082,J1082,IF(J1082=K1082+1,200,IF(J1082=K1082+2,201,250)))&amp;".250",""))</f>
        <v/>
      </c>
      <c r="G1082" s="0" t="str">
        <f aca="false">IF(I1082="","",IF(AND(J1082&gt;=1,J1082&lt;=K1082),Eingabe!$B$6&amp;"-"&amp;INDEX(Eingabe!$C$9:$C$18,I1082)&amp;"-Pächter  ·  Passwort Parzelle "&amp;J1082,IF(J1082=K1082+1,Eingabe!$B$6&amp;"-"&amp;INDEX(Eingabe!$C$9:$C$18,I1082)&amp;"-Vorstand  ·  eigenes WLAN",IF(J1082=K1082+2,Eingabe!$B$6&amp;"-"&amp;INDEX(Eingabe!$C$9:$C$18,I1082)&amp;"-Gäste  ·  Voucher",IF(J1082=K1082+3,"Kabel  ·  Access Point y = .(50+y), Mast-Switch x = .(10+x)","")))))</f>
        <v/>
      </c>
      <c r="I1082" s="0" t="str">
        <f aca="false">IF(1077&lt;=(Eingabe!$P$18+Eingabe!$Q$18-1),MATCH(1077,Eingabe!$P$9:$P$18,1),"")</f>
        <v/>
      </c>
      <c r="J1082" s="0" t="str">
        <f aca="false">IF(I1082="","",1077-INDEX(Eingabe!$P$9:$P$18,I1082))</f>
        <v/>
      </c>
      <c r="K1082" s="0" t="str">
        <f aca="false">IF(I1082="","",INDEX(Eingabe!$E$9:$E$18,I1082))</f>
        <v/>
      </c>
    </row>
    <row r="1083" customFormat="false" ht="15" hidden="false" customHeight="false" outlineLevel="0" collapsed="false">
      <c r="A1083" s="0" t="str">
        <f aca="false">IF(I1083="","",IF(J1083=0,"Sparte "&amp;I1083&amp;": "&amp;INDEX(Eingabe!$B$9:$B$18,I1083)&amp;"  (Sparten-ID "&amp;INDEX(Eingabe!$D$9:$D$18,I1083)&amp;", "&amp;K1083&amp;" Parzellen)",IF(J1083&lt;=K1083,"   Parzelle "&amp;J1083,IF(J1083=K1083+1,"   Vorstand",IF(J1083=K1083+2,"   Gäste",IF(J1083=K1083+3,"   Technik (Switches, Access Points)",""))))))</f>
        <v/>
      </c>
      <c r="B1083" s="0" t="str">
        <f aca="false">IF(I1083="","",IF(AND(J1083&gt;=1,J1083&lt;=K1083+3),IF(J1083&lt;=K1083,IF(J1083&lt;=99,IF((INDEX(Eingabe!$G$9:$G$18,I1083))&lt;=9,1000+(INDEX(Eingabe!$G$9:$G$18,I1083))*100,3000)+J1083,IF((INDEX(Eingabe!$G$9:$G$18,I1083)+1)&lt;=9,1000+(INDEX(Eingabe!$G$9:$G$18,I1083)+1)*100,3000)+J1083-100),IF(J1083=K1083+1,2000+INDEX(Eingabe!$G$9:$G$18,I1083)*10+1,IF(J1083=K1083+2,2000+INDEX(Eingabe!$G$9:$G$18,I1083)*10+2,2000+INDEX(Eingabe!$G$9:$G$18,I1083)*10+9))),""))</f>
        <v/>
      </c>
      <c r="C1083" s="0" t="str">
        <f aca="false">IF(I1083="","",IF(AND(J1083&gt;=1,J1083&lt;=K1083+3),"10."&amp;INDEX(Eingabe!$D$9:$D$18,I1083)&amp;"."&amp;IF(J1083&lt;=K1083,J1083,IF(J1083=K1083+1,200,IF(J1083=K1083+2,201,250)))&amp;".0/24",""))</f>
        <v/>
      </c>
      <c r="D1083" s="0" t="str">
        <f aca="false">IF(I1083="","",IF(AND(J1083&gt;=1,J1083&lt;=K1083+3),"255.255.255.0",""))</f>
        <v/>
      </c>
      <c r="E1083" s="0" t="str">
        <f aca="false">IF(I1083="","",IF(AND(J1083&gt;=1,J1083&lt;=K1083+3),"10."&amp;INDEX(Eingabe!$D$9:$D$18,I1083)&amp;"."&amp;IF(J1083&lt;=K1083,J1083,IF(J1083=K1083+1,200,IF(J1083=K1083+2,201,250)))&amp;".1",""))</f>
        <v/>
      </c>
      <c r="F1083" s="0" t="str">
        <f aca="false">IF(I1083="","",IF(AND(J1083&gt;=1,J1083&lt;=K1083+3),"10."&amp;INDEX(Eingabe!$D$9:$D$18,I1083)&amp;"."&amp;IF(J1083&lt;=K1083,J1083,IF(J1083=K1083+1,200,IF(J1083=K1083+2,201,250)))&amp;".10 – 10."&amp;INDEX(Eingabe!$D$9:$D$18,I1083)&amp;"."&amp;IF(J1083&lt;=K1083,J1083,IF(J1083=K1083+1,200,IF(J1083=K1083+2,201,250)))&amp;".250",""))</f>
        <v/>
      </c>
      <c r="G1083" s="0" t="str">
        <f aca="false">IF(I1083="","",IF(AND(J1083&gt;=1,J1083&lt;=K1083),Eingabe!$B$6&amp;"-"&amp;INDEX(Eingabe!$C$9:$C$18,I1083)&amp;"-Pächter  ·  Passwort Parzelle "&amp;J1083,IF(J1083=K1083+1,Eingabe!$B$6&amp;"-"&amp;INDEX(Eingabe!$C$9:$C$18,I1083)&amp;"-Vorstand  ·  eigenes WLAN",IF(J1083=K1083+2,Eingabe!$B$6&amp;"-"&amp;INDEX(Eingabe!$C$9:$C$18,I1083)&amp;"-Gäste  ·  Voucher",IF(J1083=K1083+3,"Kabel  ·  Access Point y = .(50+y), Mast-Switch x = .(10+x)","")))))</f>
        <v/>
      </c>
      <c r="I1083" s="0" t="str">
        <f aca="false">IF(1078&lt;=(Eingabe!$P$18+Eingabe!$Q$18-1),MATCH(1078,Eingabe!$P$9:$P$18,1),"")</f>
        <v/>
      </c>
      <c r="J1083" s="0" t="str">
        <f aca="false">IF(I1083="","",1078-INDEX(Eingabe!$P$9:$P$18,I1083))</f>
        <v/>
      </c>
      <c r="K1083" s="0" t="str">
        <f aca="false">IF(I1083="","",INDEX(Eingabe!$E$9:$E$18,I1083))</f>
        <v/>
      </c>
    </row>
    <row r="1084" customFormat="false" ht="15" hidden="false" customHeight="false" outlineLevel="0" collapsed="false">
      <c r="A1084" s="0" t="str">
        <f aca="false">IF(I1084="","",IF(J1084=0,"Sparte "&amp;I1084&amp;": "&amp;INDEX(Eingabe!$B$9:$B$18,I1084)&amp;"  (Sparten-ID "&amp;INDEX(Eingabe!$D$9:$D$18,I1084)&amp;", "&amp;K1084&amp;" Parzellen)",IF(J1084&lt;=K1084,"   Parzelle "&amp;J1084,IF(J1084=K1084+1,"   Vorstand",IF(J1084=K1084+2,"   Gäste",IF(J1084=K1084+3,"   Technik (Switches, Access Points)",""))))))</f>
        <v/>
      </c>
      <c r="B1084" s="0" t="str">
        <f aca="false">IF(I1084="","",IF(AND(J1084&gt;=1,J1084&lt;=K1084+3),IF(J1084&lt;=K1084,IF(J1084&lt;=99,IF((INDEX(Eingabe!$G$9:$G$18,I1084))&lt;=9,1000+(INDEX(Eingabe!$G$9:$G$18,I1084))*100,3000)+J1084,IF((INDEX(Eingabe!$G$9:$G$18,I1084)+1)&lt;=9,1000+(INDEX(Eingabe!$G$9:$G$18,I1084)+1)*100,3000)+J1084-100),IF(J1084=K1084+1,2000+INDEX(Eingabe!$G$9:$G$18,I1084)*10+1,IF(J1084=K1084+2,2000+INDEX(Eingabe!$G$9:$G$18,I1084)*10+2,2000+INDEX(Eingabe!$G$9:$G$18,I1084)*10+9))),""))</f>
        <v/>
      </c>
      <c r="C1084" s="0" t="str">
        <f aca="false">IF(I1084="","",IF(AND(J1084&gt;=1,J1084&lt;=K1084+3),"10."&amp;INDEX(Eingabe!$D$9:$D$18,I1084)&amp;"."&amp;IF(J1084&lt;=K1084,J1084,IF(J1084=K1084+1,200,IF(J1084=K1084+2,201,250)))&amp;".0/24",""))</f>
        <v/>
      </c>
      <c r="D1084" s="0" t="str">
        <f aca="false">IF(I1084="","",IF(AND(J1084&gt;=1,J1084&lt;=K1084+3),"255.255.255.0",""))</f>
        <v/>
      </c>
      <c r="E1084" s="0" t="str">
        <f aca="false">IF(I1084="","",IF(AND(J1084&gt;=1,J1084&lt;=K1084+3),"10."&amp;INDEX(Eingabe!$D$9:$D$18,I1084)&amp;"."&amp;IF(J1084&lt;=K1084,J1084,IF(J1084=K1084+1,200,IF(J1084=K1084+2,201,250)))&amp;".1",""))</f>
        <v/>
      </c>
      <c r="F1084" s="0" t="str">
        <f aca="false">IF(I1084="","",IF(AND(J1084&gt;=1,J1084&lt;=K1084+3),"10."&amp;INDEX(Eingabe!$D$9:$D$18,I1084)&amp;"."&amp;IF(J1084&lt;=K1084,J1084,IF(J1084=K1084+1,200,IF(J1084=K1084+2,201,250)))&amp;".10 – 10."&amp;INDEX(Eingabe!$D$9:$D$18,I1084)&amp;"."&amp;IF(J1084&lt;=K1084,J1084,IF(J1084=K1084+1,200,IF(J1084=K1084+2,201,250)))&amp;".250",""))</f>
        <v/>
      </c>
      <c r="G1084" s="0" t="str">
        <f aca="false">IF(I1084="","",IF(AND(J1084&gt;=1,J1084&lt;=K1084),Eingabe!$B$6&amp;"-"&amp;INDEX(Eingabe!$C$9:$C$18,I1084)&amp;"-Pächter  ·  Passwort Parzelle "&amp;J1084,IF(J1084=K1084+1,Eingabe!$B$6&amp;"-"&amp;INDEX(Eingabe!$C$9:$C$18,I1084)&amp;"-Vorstand  ·  eigenes WLAN",IF(J1084=K1084+2,Eingabe!$B$6&amp;"-"&amp;INDEX(Eingabe!$C$9:$C$18,I1084)&amp;"-Gäste  ·  Voucher",IF(J1084=K1084+3,"Kabel  ·  Access Point y = .(50+y), Mast-Switch x = .(10+x)","")))))</f>
        <v/>
      </c>
      <c r="I1084" s="0" t="str">
        <f aca="false">IF(1079&lt;=(Eingabe!$P$18+Eingabe!$Q$18-1),MATCH(1079,Eingabe!$P$9:$P$18,1),"")</f>
        <v/>
      </c>
      <c r="J1084" s="0" t="str">
        <f aca="false">IF(I1084="","",1079-INDEX(Eingabe!$P$9:$P$18,I1084))</f>
        <v/>
      </c>
      <c r="K1084" s="0" t="str">
        <f aca="false">IF(I1084="","",INDEX(Eingabe!$E$9:$E$18,I1084))</f>
        <v/>
      </c>
    </row>
    <row r="1085" customFormat="false" ht="15" hidden="false" customHeight="false" outlineLevel="0" collapsed="false">
      <c r="A1085" s="0" t="str">
        <f aca="false">IF(I1085="","",IF(J1085=0,"Sparte "&amp;I1085&amp;": "&amp;INDEX(Eingabe!$B$9:$B$18,I1085)&amp;"  (Sparten-ID "&amp;INDEX(Eingabe!$D$9:$D$18,I1085)&amp;", "&amp;K1085&amp;" Parzellen)",IF(J1085&lt;=K1085,"   Parzelle "&amp;J1085,IF(J1085=K1085+1,"   Vorstand",IF(J1085=K1085+2,"   Gäste",IF(J1085=K1085+3,"   Technik (Switches, Access Points)",""))))))</f>
        <v/>
      </c>
      <c r="B1085" s="0" t="str">
        <f aca="false">IF(I1085="","",IF(AND(J1085&gt;=1,J1085&lt;=K1085+3),IF(J1085&lt;=K1085,IF(J1085&lt;=99,IF((INDEX(Eingabe!$G$9:$G$18,I1085))&lt;=9,1000+(INDEX(Eingabe!$G$9:$G$18,I1085))*100,3000)+J1085,IF((INDEX(Eingabe!$G$9:$G$18,I1085)+1)&lt;=9,1000+(INDEX(Eingabe!$G$9:$G$18,I1085)+1)*100,3000)+J1085-100),IF(J1085=K1085+1,2000+INDEX(Eingabe!$G$9:$G$18,I1085)*10+1,IF(J1085=K1085+2,2000+INDEX(Eingabe!$G$9:$G$18,I1085)*10+2,2000+INDEX(Eingabe!$G$9:$G$18,I1085)*10+9))),""))</f>
        <v/>
      </c>
      <c r="C1085" s="0" t="str">
        <f aca="false">IF(I1085="","",IF(AND(J1085&gt;=1,J1085&lt;=K1085+3),"10."&amp;INDEX(Eingabe!$D$9:$D$18,I1085)&amp;"."&amp;IF(J1085&lt;=K1085,J1085,IF(J1085=K1085+1,200,IF(J1085=K1085+2,201,250)))&amp;".0/24",""))</f>
        <v/>
      </c>
      <c r="D1085" s="0" t="str">
        <f aca="false">IF(I1085="","",IF(AND(J1085&gt;=1,J1085&lt;=K1085+3),"255.255.255.0",""))</f>
        <v/>
      </c>
      <c r="E1085" s="0" t="str">
        <f aca="false">IF(I1085="","",IF(AND(J1085&gt;=1,J1085&lt;=K1085+3),"10."&amp;INDEX(Eingabe!$D$9:$D$18,I1085)&amp;"."&amp;IF(J1085&lt;=K1085,J1085,IF(J1085=K1085+1,200,IF(J1085=K1085+2,201,250)))&amp;".1",""))</f>
        <v/>
      </c>
      <c r="F1085" s="0" t="str">
        <f aca="false">IF(I1085="","",IF(AND(J1085&gt;=1,J1085&lt;=K1085+3),"10."&amp;INDEX(Eingabe!$D$9:$D$18,I1085)&amp;"."&amp;IF(J1085&lt;=K1085,J1085,IF(J1085=K1085+1,200,IF(J1085=K1085+2,201,250)))&amp;".10 – 10."&amp;INDEX(Eingabe!$D$9:$D$18,I1085)&amp;"."&amp;IF(J1085&lt;=K1085,J1085,IF(J1085=K1085+1,200,IF(J1085=K1085+2,201,250)))&amp;".250",""))</f>
        <v/>
      </c>
      <c r="G1085" s="0" t="str">
        <f aca="false">IF(I1085="","",IF(AND(J1085&gt;=1,J1085&lt;=K1085),Eingabe!$B$6&amp;"-"&amp;INDEX(Eingabe!$C$9:$C$18,I1085)&amp;"-Pächter  ·  Passwort Parzelle "&amp;J1085,IF(J1085=K1085+1,Eingabe!$B$6&amp;"-"&amp;INDEX(Eingabe!$C$9:$C$18,I1085)&amp;"-Vorstand  ·  eigenes WLAN",IF(J1085=K1085+2,Eingabe!$B$6&amp;"-"&amp;INDEX(Eingabe!$C$9:$C$18,I1085)&amp;"-Gäste  ·  Voucher",IF(J1085=K1085+3,"Kabel  ·  Access Point y = .(50+y), Mast-Switch x = .(10+x)","")))))</f>
        <v/>
      </c>
      <c r="I1085" s="0" t="str">
        <f aca="false">IF(1080&lt;=(Eingabe!$P$18+Eingabe!$Q$18-1),MATCH(1080,Eingabe!$P$9:$P$18,1),"")</f>
        <v/>
      </c>
      <c r="J1085" s="0" t="str">
        <f aca="false">IF(I1085="","",1080-INDEX(Eingabe!$P$9:$P$18,I1085))</f>
        <v/>
      </c>
      <c r="K1085" s="0" t="str">
        <f aca="false">IF(I1085="","",INDEX(Eingabe!$E$9:$E$18,I1085))</f>
        <v/>
      </c>
    </row>
    <row r="1086" customFormat="false" ht="15" hidden="false" customHeight="false" outlineLevel="0" collapsed="false">
      <c r="A1086" s="0" t="str">
        <f aca="false">IF(I1086="","",IF(J1086=0,"Sparte "&amp;I1086&amp;": "&amp;INDEX(Eingabe!$B$9:$B$18,I1086)&amp;"  (Sparten-ID "&amp;INDEX(Eingabe!$D$9:$D$18,I1086)&amp;", "&amp;K1086&amp;" Parzellen)",IF(J1086&lt;=K1086,"   Parzelle "&amp;J1086,IF(J1086=K1086+1,"   Vorstand",IF(J1086=K1086+2,"   Gäste",IF(J1086=K1086+3,"   Technik (Switches, Access Points)",""))))))</f>
        <v/>
      </c>
      <c r="B1086" s="0" t="str">
        <f aca="false">IF(I1086="","",IF(AND(J1086&gt;=1,J1086&lt;=K1086+3),IF(J1086&lt;=K1086,IF(J1086&lt;=99,IF((INDEX(Eingabe!$G$9:$G$18,I1086))&lt;=9,1000+(INDEX(Eingabe!$G$9:$G$18,I1086))*100,3000)+J1086,IF((INDEX(Eingabe!$G$9:$G$18,I1086)+1)&lt;=9,1000+(INDEX(Eingabe!$G$9:$G$18,I1086)+1)*100,3000)+J1086-100),IF(J1086=K1086+1,2000+INDEX(Eingabe!$G$9:$G$18,I1086)*10+1,IF(J1086=K1086+2,2000+INDEX(Eingabe!$G$9:$G$18,I1086)*10+2,2000+INDEX(Eingabe!$G$9:$G$18,I1086)*10+9))),""))</f>
        <v/>
      </c>
      <c r="C1086" s="0" t="str">
        <f aca="false">IF(I1086="","",IF(AND(J1086&gt;=1,J1086&lt;=K1086+3),"10."&amp;INDEX(Eingabe!$D$9:$D$18,I1086)&amp;"."&amp;IF(J1086&lt;=K1086,J1086,IF(J1086=K1086+1,200,IF(J1086=K1086+2,201,250)))&amp;".0/24",""))</f>
        <v/>
      </c>
      <c r="D1086" s="0" t="str">
        <f aca="false">IF(I1086="","",IF(AND(J1086&gt;=1,J1086&lt;=K1086+3),"255.255.255.0",""))</f>
        <v/>
      </c>
      <c r="E1086" s="0" t="str">
        <f aca="false">IF(I1086="","",IF(AND(J1086&gt;=1,J1086&lt;=K1086+3),"10."&amp;INDEX(Eingabe!$D$9:$D$18,I1086)&amp;"."&amp;IF(J1086&lt;=K1086,J1086,IF(J1086=K1086+1,200,IF(J1086=K1086+2,201,250)))&amp;".1",""))</f>
        <v/>
      </c>
      <c r="F1086" s="0" t="str">
        <f aca="false">IF(I1086="","",IF(AND(J1086&gt;=1,J1086&lt;=K1086+3),"10."&amp;INDEX(Eingabe!$D$9:$D$18,I1086)&amp;"."&amp;IF(J1086&lt;=K1086,J1086,IF(J1086=K1086+1,200,IF(J1086=K1086+2,201,250)))&amp;".10 – 10."&amp;INDEX(Eingabe!$D$9:$D$18,I1086)&amp;"."&amp;IF(J1086&lt;=K1086,J1086,IF(J1086=K1086+1,200,IF(J1086=K1086+2,201,250)))&amp;".250",""))</f>
        <v/>
      </c>
      <c r="G1086" s="0" t="str">
        <f aca="false">IF(I1086="","",IF(AND(J1086&gt;=1,J1086&lt;=K1086),Eingabe!$B$6&amp;"-"&amp;INDEX(Eingabe!$C$9:$C$18,I1086)&amp;"-Pächter  ·  Passwort Parzelle "&amp;J1086,IF(J1086=K1086+1,Eingabe!$B$6&amp;"-"&amp;INDEX(Eingabe!$C$9:$C$18,I1086)&amp;"-Vorstand  ·  eigenes WLAN",IF(J1086=K1086+2,Eingabe!$B$6&amp;"-"&amp;INDEX(Eingabe!$C$9:$C$18,I1086)&amp;"-Gäste  ·  Voucher",IF(J1086=K1086+3,"Kabel  ·  Access Point y = .(50+y), Mast-Switch x = .(10+x)","")))))</f>
        <v/>
      </c>
      <c r="I1086" s="0" t="str">
        <f aca="false">IF(1081&lt;=(Eingabe!$P$18+Eingabe!$Q$18-1),MATCH(1081,Eingabe!$P$9:$P$18,1),"")</f>
        <v/>
      </c>
      <c r="J1086" s="0" t="str">
        <f aca="false">IF(I1086="","",1081-INDEX(Eingabe!$P$9:$P$18,I1086))</f>
        <v/>
      </c>
      <c r="K1086" s="0" t="str">
        <f aca="false">IF(I1086="","",INDEX(Eingabe!$E$9:$E$18,I1086))</f>
        <v/>
      </c>
    </row>
    <row r="1087" customFormat="false" ht="15" hidden="false" customHeight="false" outlineLevel="0" collapsed="false">
      <c r="A1087" s="0" t="str">
        <f aca="false">IF(I1087="","",IF(J1087=0,"Sparte "&amp;I1087&amp;": "&amp;INDEX(Eingabe!$B$9:$B$18,I1087)&amp;"  (Sparten-ID "&amp;INDEX(Eingabe!$D$9:$D$18,I1087)&amp;", "&amp;K1087&amp;" Parzellen)",IF(J1087&lt;=K1087,"   Parzelle "&amp;J1087,IF(J1087=K1087+1,"   Vorstand",IF(J1087=K1087+2,"   Gäste",IF(J1087=K1087+3,"   Technik (Switches, Access Points)",""))))))</f>
        <v/>
      </c>
      <c r="B1087" s="0" t="str">
        <f aca="false">IF(I1087="","",IF(AND(J1087&gt;=1,J1087&lt;=K1087+3),IF(J1087&lt;=K1087,IF(J1087&lt;=99,IF((INDEX(Eingabe!$G$9:$G$18,I1087))&lt;=9,1000+(INDEX(Eingabe!$G$9:$G$18,I1087))*100,3000)+J1087,IF((INDEX(Eingabe!$G$9:$G$18,I1087)+1)&lt;=9,1000+(INDEX(Eingabe!$G$9:$G$18,I1087)+1)*100,3000)+J1087-100),IF(J1087=K1087+1,2000+INDEX(Eingabe!$G$9:$G$18,I1087)*10+1,IF(J1087=K1087+2,2000+INDEX(Eingabe!$G$9:$G$18,I1087)*10+2,2000+INDEX(Eingabe!$G$9:$G$18,I1087)*10+9))),""))</f>
        <v/>
      </c>
      <c r="C1087" s="0" t="str">
        <f aca="false">IF(I1087="","",IF(AND(J1087&gt;=1,J1087&lt;=K1087+3),"10."&amp;INDEX(Eingabe!$D$9:$D$18,I1087)&amp;"."&amp;IF(J1087&lt;=K1087,J1087,IF(J1087=K1087+1,200,IF(J1087=K1087+2,201,250)))&amp;".0/24",""))</f>
        <v/>
      </c>
      <c r="D1087" s="0" t="str">
        <f aca="false">IF(I1087="","",IF(AND(J1087&gt;=1,J1087&lt;=K1087+3),"255.255.255.0",""))</f>
        <v/>
      </c>
      <c r="E1087" s="0" t="str">
        <f aca="false">IF(I1087="","",IF(AND(J1087&gt;=1,J1087&lt;=K1087+3),"10."&amp;INDEX(Eingabe!$D$9:$D$18,I1087)&amp;"."&amp;IF(J1087&lt;=K1087,J1087,IF(J1087=K1087+1,200,IF(J1087=K1087+2,201,250)))&amp;".1",""))</f>
        <v/>
      </c>
      <c r="F1087" s="0" t="str">
        <f aca="false">IF(I1087="","",IF(AND(J1087&gt;=1,J1087&lt;=K1087+3),"10."&amp;INDEX(Eingabe!$D$9:$D$18,I1087)&amp;"."&amp;IF(J1087&lt;=K1087,J1087,IF(J1087=K1087+1,200,IF(J1087=K1087+2,201,250)))&amp;".10 – 10."&amp;INDEX(Eingabe!$D$9:$D$18,I1087)&amp;"."&amp;IF(J1087&lt;=K1087,J1087,IF(J1087=K1087+1,200,IF(J1087=K1087+2,201,250)))&amp;".250",""))</f>
        <v/>
      </c>
      <c r="G1087" s="0" t="str">
        <f aca="false">IF(I1087="","",IF(AND(J1087&gt;=1,J1087&lt;=K1087),Eingabe!$B$6&amp;"-"&amp;INDEX(Eingabe!$C$9:$C$18,I1087)&amp;"-Pächter  ·  Passwort Parzelle "&amp;J1087,IF(J1087=K1087+1,Eingabe!$B$6&amp;"-"&amp;INDEX(Eingabe!$C$9:$C$18,I1087)&amp;"-Vorstand  ·  eigenes WLAN",IF(J1087=K1087+2,Eingabe!$B$6&amp;"-"&amp;INDEX(Eingabe!$C$9:$C$18,I1087)&amp;"-Gäste  ·  Voucher",IF(J1087=K1087+3,"Kabel  ·  Access Point y = .(50+y), Mast-Switch x = .(10+x)","")))))</f>
        <v/>
      </c>
      <c r="I1087" s="0" t="str">
        <f aca="false">IF(1082&lt;=(Eingabe!$P$18+Eingabe!$Q$18-1),MATCH(1082,Eingabe!$P$9:$P$18,1),"")</f>
        <v/>
      </c>
      <c r="J1087" s="0" t="str">
        <f aca="false">IF(I1087="","",1082-INDEX(Eingabe!$P$9:$P$18,I1087))</f>
        <v/>
      </c>
      <c r="K1087" s="0" t="str">
        <f aca="false">IF(I1087="","",INDEX(Eingabe!$E$9:$E$18,I1087))</f>
        <v/>
      </c>
    </row>
    <row r="1088" customFormat="false" ht="15" hidden="false" customHeight="false" outlineLevel="0" collapsed="false">
      <c r="A1088" s="0" t="str">
        <f aca="false">IF(I1088="","",IF(J1088=0,"Sparte "&amp;I1088&amp;": "&amp;INDEX(Eingabe!$B$9:$B$18,I1088)&amp;"  (Sparten-ID "&amp;INDEX(Eingabe!$D$9:$D$18,I1088)&amp;", "&amp;K1088&amp;" Parzellen)",IF(J1088&lt;=K1088,"   Parzelle "&amp;J1088,IF(J1088=K1088+1,"   Vorstand",IF(J1088=K1088+2,"   Gäste",IF(J1088=K1088+3,"   Technik (Switches, Access Points)",""))))))</f>
        <v/>
      </c>
      <c r="B1088" s="0" t="str">
        <f aca="false">IF(I1088="","",IF(AND(J1088&gt;=1,J1088&lt;=K1088+3),IF(J1088&lt;=K1088,IF(J1088&lt;=99,IF((INDEX(Eingabe!$G$9:$G$18,I1088))&lt;=9,1000+(INDEX(Eingabe!$G$9:$G$18,I1088))*100,3000)+J1088,IF((INDEX(Eingabe!$G$9:$G$18,I1088)+1)&lt;=9,1000+(INDEX(Eingabe!$G$9:$G$18,I1088)+1)*100,3000)+J1088-100),IF(J1088=K1088+1,2000+INDEX(Eingabe!$G$9:$G$18,I1088)*10+1,IF(J1088=K1088+2,2000+INDEX(Eingabe!$G$9:$G$18,I1088)*10+2,2000+INDEX(Eingabe!$G$9:$G$18,I1088)*10+9))),""))</f>
        <v/>
      </c>
      <c r="C1088" s="0" t="str">
        <f aca="false">IF(I1088="","",IF(AND(J1088&gt;=1,J1088&lt;=K1088+3),"10."&amp;INDEX(Eingabe!$D$9:$D$18,I1088)&amp;"."&amp;IF(J1088&lt;=K1088,J1088,IF(J1088=K1088+1,200,IF(J1088=K1088+2,201,250)))&amp;".0/24",""))</f>
        <v/>
      </c>
      <c r="D1088" s="0" t="str">
        <f aca="false">IF(I1088="","",IF(AND(J1088&gt;=1,J1088&lt;=K1088+3),"255.255.255.0",""))</f>
        <v/>
      </c>
      <c r="E1088" s="0" t="str">
        <f aca="false">IF(I1088="","",IF(AND(J1088&gt;=1,J1088&lt;=K1088+3),"10."&amp;INDEX(Eingabe!$D$9:$D$18,I1088)&amp;"."&amp;IF(J1088&lt;=K1088,J1088,IF(J1088=K1088+1,200,IF(J1088=K1088+2,201,250)))&amp;".1",""))</f>
        <v/>
      </c>
      <c r="F1088" s="0" t="str">
        <f aca="false">IF(I1088="","",IF(AND(J1088&gt;=1,J1088&lt;=K1088+3),"10."&amp;INDEX(Eingabe!$D$9:$D$18,I1088)&amp;"."&amp;IF(J1088&lt;=K1088,J1088,IF(J1088=K1088+1,200,IF(J1088=K1088+2,201,250)))&amp;".10 – 10."&amp;INDEX(Eingabe!$D$9:$D$18,I1088)&amp;"."&amp;IF(J1088&lt;=K1088,J1088,IF(J1088=K1088+1,200,IF(J1088=K1088+2,201,250)))&amp;".250",""))</f>
        <v/>
      </c>
      <c r="G1088" s="0" t="str">
        <f aca="false">IF(I1088="","",IF(AND(J1088&gt;=1,J1088&lt;=K1088),Eingabe!$B$6&amp;"-"&amp;INDEX(Eingabe!$C$9:$C$18,I1088)&amp;"-Pächter  ·  Passwort Parzelle "&amp;J1088,IF(J1088=K1088+1,Eingabe!$B$6&amp;"-"&amp;INDEX(Eingabe!$C$9:$C$18,I1088)&amp;"-Vorstand  ·  eigenes WLAN",IF(J1088=K1088+2,Eingabe!$B$6&amp;"-"&amp;INDEX(Eingabe!$C$9:$C$18,I1088)&amp;"-Gäste  ·  Voucher",IF(J1088=K1088+3,"Kabel  ·  Access Point y = .(50+y), Mast-Switch x = .(10+x)","")))))</f>
        <v/>
      </c>
      <c r="I1088" s="0" t="str">
        <f aca="false">IF(1083&lt;=(Eingabe!$P$18+Eingabe!$Q$18-1),MATCH(1083,Eingabe!$P$9:$P$18,1),"")</f>
        <v/>
      </c>
      <c r="J1088" s="0" t="str">
        <f aca="false">IF(I1088="","",1083-INDEX(Eingabe!$P$9:$P$18,I1088))</f>
        <v/>
      </c>
      <c r="K1088" s="0" t="str">
        <f aca="false">IF(I1088="","",INDEX(Eingabe!$E$9:$E$18,I1088))</f>
        <v/>
      </c>
    </row>
    <row r="1089" customFormat="false" ht="15" hidden="false" customHeight="false" outlineLevel="0" collapsed="false">
      <c r="A1089" s="0" t="str">
        <f aca="false">IF(I1089="","",IF(J1089=0,"Sparte "&amp;I1089&amp;": "&amp;INDEX(Eingabe!$B$9:$B$18,I1089)&amp;"  (Sparten-ID "&amp;INDEX(Eingabe!$D$9:$D$18,I1089)&amp;", "&amp;K1089&amp;" Parzellen)",IF(J1089&lt;=K1089,"   Parzelle "&amp;J1089,IF(J1089=K1089+1,"   Vorstand",IF(J1089=K1089+2,"   Gäste",IF(J1089=K1089+3,"   Technik (Switches, Access Points)",""))))))</f>
        <v/>
      </c>
      <c r="B1089" s="0" t="str">
        <f aca="false">IF(I1089="","",IF(AND(J1089&gt;=1,J1089&lt;=K1089+3),IF(J1089&lt;=K1089,IF(J1089&lt;=99,IF((INDEX(Eingabe!$G$9:$G$18,I1089))&lt;=9,1000+(INDEX(Eingabe!$G$9:$G$18,I1089))*100,3000)+J1089,IF((INDEX(Eingabe!$G$9:$G$18,I1089)+1)&lt;=9,1000+(INDEX(Eingabe!$G$9:$G$18,I1089)+1)*100,3000)+J1089-100),IF(J1089=K1089+1,2000+INDEX(Eingabe!$G$9:$G$18,I1089)*10+1,IF(J1089=K1089+2,2000+INDEX(Eingabe!$G$9:$G$18,I1089)*10+2,2000+INDEX(Eingabe!$G$9:$G$18,I1089)*10+9))),""))</f>
        <v/>
      </c>
      <c r="C1089" s="0" t="str">
        <f aca="false">IF(I1089="","",IF(AND(J1089&gt;=1,J1089&lt;=K1089+3),"10."&amp;INDEX(Eingabe!$D$9:$D$18,I1089)&amp;"."&amp;IF(J1089&lt;=K1089,J1089,IF(J1089=K1089+1,200,IF(J1089=K1089+2,201,250)))&amp;".0/24",""))</f>
        <v/>
      </c>
      <c r="D1089" s="0" t="str">
        <f aca="false">IF(I1089="","",IF(AND(J1089&gt;=1,J1089&lt;=K1089+3),"255.255.255.0",""))</f>
        <v/>
      </c>
      <c r="E1089" s="0" t="str">
        <f aca="false">IF(I1089="","",IF(AND(J1089&gt;=1,J1089&lt;=K1089+3),"10."&amp;INDEX(Eingabe!$D$9:$D$18,I1089)&amp;"."&amp;IF(J1089&lt;=K1089,J1089,IF(J1089=K1089+1,200,IF(J1089=K1089+2,201,250)))&amp;".1",""))</f>
        <v/>
      </c>
      <c r="F1089" s="0" t="str">
        <f aca="false">IF(I1089="","",IF(AND(J1089&gt;=1,J1089&lt;=K1089+3),"10."&amp;INDEX(Eingabe!$D$9:$D$18,I1089)&amp;"."&amp;IF(J1089&lt;=K1089,J1089,IF(J1089=K1089+1,200,IF(J1089=K1089+2,201,250)))&amp;".10 – 10."&amp;INDEX(Eingabe!$D$9:$D$18,I1089)&amp;"."&amp;IF(J1089&lt;=K1089,J1089,IF(J1089=K1089+1,200,IF(J1089=K1089+2,201,250)))&amp;".250",""))</f>
        <v/>
      </c>
      <c r="G1089" s="0" t="str">
        <f aca="false">IF(I1089="","",IF(AND(J1089&gt;=1,J1089&lt;=K1089),Eingabe!$B$6&amp;"-"&amp;INDEX(Eingabe!$C$9:$C$18,I1089)&amp;"-Pächter  ·  Passwort Parzelle "&amp;J1089,IF(J1089=K1089+1,Eingabe!$B$6&amp;"-"&amp;INDEX(Eingabe!$C$9:$C$18,I1089)&amp;"-Vorstand  ·  eigenes WLAN",IF(J1089=K1089+2,Eingabe!$B$6&amp;"-"&amp;INDEX(Eingabe!$C$9:$C$18,I1089)&amp;"-Gäste  ·  Voucher",IF(J1089=K1089+3,"Kabel  ·  Access Point y = .(50+y), Mast-Switch x = .(10+x)","")))))</f>
        <v/>
      </c>
      <c r="I1089" s="0" t="str">
        <f aca="false">IF(1084&lt;=(Eingabe!$P$18+Eingabe!$Q$18-1),MATCH(1084,Eingabe!$P$9:$P$18,1),"")</f>
        <v/>
      </c>
      <c r="J1089" s="0" t="str">
        <f aca="false">IF(I1089="","",1084-INDEX(Eingabe!$P$9:$P$18,I1089))</f>
        <v/>
      </c>
      <c r="K1089" s="0" t="str">
        <f aca="false">IF(I1089="","",INDEX(Eingabe!$E$9:$E$18,I1089))</f>
        <v/>
      </c>
    </row>
    <row r="1090" customFormat="false" ht="15" hidden="false" customHeight="false" outlineLevel="0" collapsed="false">
      <c r="A1090" s="0" t="str">
        <f aca="false">IF(I1090="","",IF(J1090=0,"Sparte "&amp;I1090&amp;": "&amp;INDEX(Eingabe!$B$9:$B$18,I1090)&amp;"  (Sparten-ID "&amp;INDEX(Eingabe!$D$9:$D$18,I1090)&amp;", "&amp;K1090&amp;" Parzellen)",IF(J1090&lt;=K1090,"   Parzelle "&amp;J1090,IF(J1090=K1090+1,"   Vorstand",IF(J1090=K1090+2,"   Gäste",IF(J1090=K1090+3,"   Technik (Switches, Access Points)",""))))))</f>
        <v/>
      </c>
      <c r="B1090" s="0" t="str">
        <f aca="false">IF(I1090="","",IF(AND(J1090&gt;=1,J1090&lt;=K1090+3),IF(J1090&lt;=K1090,IF(J1090&lt;=99,IF((INDEX(Eingabe!$G$9:$G$18,I1090))&lt;=9,1000+(INDEX(Eingabe!$G$9:$G$18,I1090))*100,3000)+J1090,IF((INDEX(Eingabe!$G$9:$G$18,I1090)+1)&lt;=9,1000+(INDEX(Eingabe!$G$9:$G$18,I1090)+1)*100,3000)+J1090-100),IF(J1090=K1090+1,2000+INDEX(Eingabe!$G$9:$G$18,I1090)*10+1,IF(J1090=K1090+2,2000+INDEX(Eingabe!$G$9:$G$18,I1090)*10+2,2000+INDEX(Eingabe!$G$9:$G$18,I1090)*10+9))),""))</f>
        <v/>
      </c>
      <c r="C1090" s="0" t="str">
        <f aca="false">IF(I1090="","",IF(AND(J1090&gt;=1,J1090&lt;=K1090+3),"10."&amp;INDEX(Eingabe!$D$9:$D$18,I1090)&amp;"."&amp;IF(J1090&lt;=K1090,J1090,IF(J1090=K1090+1,200,IF(J1090=K1090+2,201,250)))&amp;".0/24",""))</f>
        <v/>
      </c>
      <c r="D1090" s="0" t="str">
        <f aca="false">IF(I1090="","",IF(AND(J1090&gt;=1,J1090&lt;=K1090+3),"255.255.255.0",""))</f>
        <v/>
      </c>
      <c r="E1090" s="0" t="str">
        <f aca="false">IF(I1090="","",IF(AND(J1090&gt;=1,J1090&lt;=K1090+3),"10."&amp;INDEX(Eingabe!$D$9:$D$18,I1090)&amp;"."&amp;IF(J1090&lt;=K1090,J1090,IF(J1090=K1090+1,200,IF(J1090=K1090+2,201,250)))&amp;".1",""))</f>
        <v/>
      </c>
      <c r="F1090" s="0" t="str">
        <f aca="false">IF(I1090="","",IF(AND(J1090&gt;=1,J1090&lt;=K1090+3),"10."&amp;INDEX(Eingabe!$D$9:$D$18,I1090)&amp;"."&amp;IF(J1090&lt;=K1090,J1090,IF(J1090=K1090+1,200,IF(J1090=K1090+2,201,250)))&amp;".10 – 10."&amp;INDEX(Eingabe!$D$9:$D$18,I1090)&amp;"."&amp;IF(J1090&lt;=K1090,J1090,IF(J1090=K1090+1,200,IF(J1090=K1090+2,201,250)))&amp;".250",""))</f>
        <v/>
      </c>
      <c r="G1090" s="0" t="str">
        <f aca="false">IF(I1090="","",IF(AND(J1090&gt;=1,J1090&lt;=K1090),Eingabe!$B$6&amp;"-"&amp;INDEX(Eingabe!$C$9:$C$18,I1090)&amp;"-Pächter  ·  Passwort Parzelle "&amp;J1090,IF(J1090=K1090+1,Eingabe!$B$6&amp;"-"&amp;INDEX(Eingabe!$C$9:$C$18,I1090)&amp;"-Vorstand  ·  eigenes WLAN",IF(J1090=K1090+2,Eingabe!$B$6&amp;"-"&amp;INDEX(Eingabe!$C$9:$C$18,I1090)&amp;"-Gäste  ·  Voucher",IF(J1090=K1090+3,"Kabel  ·  Access Point y = .(50+y), Mast-Switch x = .(10+x)","")))))</f>
        <v/>
      </c>
      <c r="I1090" s="0" t="str">
        <f aca="false">IF(1085&lt;=(Eingabe!$P$18+Eingabe!$Q$18-1),MATCH(1085,Eingabe!$P$9:$P$18,1),"")</f>
        <v/>
      </c>
      <c r="J1090" s="0" t="str">
        <f aca="false">IF(I1090="","",1085-INDEX(Eingabe!$P$9:$P$18,I1090))</f>
        <v/>
      </c>
      <c r="K1090" s="0" t="str">
        <f aca="false">IF(I1090="","",INDEX(Eingabe!$E$9:$E$18,I1090))</f>
        <v/>
      </c>
    </row>
    <row r="1091" customFormat="false" ht="15" hidden="false" customHeight="false" outlineLevel="0" collapsed="false">
      <c r="A1091" s="0" t="str">
        <f aca="false">IF(I1091="","",IF(J1091=0,"Sparte "&amp;I1091&amp;": "&amp;INDEX(Eingabe!$B$9:$B$18,I1091)&amp;"  (Sparten-ID "&amp;INDEX(Eingabe!$D$9:$D$18,I1091)&amp;", "&amp;K1091&amp;" Parzellen)",IF(J1091&lt;=K1091,"   Parzelle "&amp;J1091,IF(J1091=K1091+1,"   Vorstand",IF(J1091=K1091+2,"   Gäste",IF(J1091=K1091+3,"   Technik (Switches, Access Points)",""))))))</f>
        <v/>
      </c>
      <c r="B1091" s="0" t="str">
        <f aca="false">IF(I1091="","",IF(AND(J1091&gt;=1,J1091&lt;=K1091+3),IF(J1091&lt;=K1091,IF(J1091&lt;=99,IF((INDEX(Eingabe!$G$9:$G$18,I1091))&lt;=9,1000+(INDEX(Eingabe!$G$9:$G$18,I1091))*100,3000)+J1091,IF((INDEX(Eingabe!$G$9:$G$18,I1091)+1)&lt;=9,1000+(INDEX(Eingabe!$G$9:$G$18,I1091)+1)*100,3000)+J1091-100),IF(J1091=K1091+1,2000+INDEX(Eingabe!$G$9:$G$18,I1091)*10+1,IF(J1091=K1091+2,2000+INDEX(Eingabe!$G$9:$G$18,I1091)*10+2,2000+INDEX(Eingabe!$G$9:$G$18,I1091)*10+9))),""))</f>
        <v/>
      </c>
      <c r="C1091" s="0" t="str">
        <f aca="false">IF(I1091="","",IF(AND(J1091&gt;=1,J1091&lt;=K1091+3),"10."&amp;INDEX(Eingabe!$D$9:$D$18,I1091)&amp;"."&amp;IF(J1091&lt;=K1091,J1091,IF(J1091=K1091+1,200,IF(J1091=K1091+2,201,250)))&amp;".0/24",""))</f>
        <v/>
      </c>
      <c r="D1091" s="0" t="str">
        <f aca="false">IF(I1091="","",IF(AND(J1091&gt;=1,J1091&lt;=K1091+3),"255.255.255.0",""))</f>
        <v/>
      </c>
      <c r="E1091" s="0" t="str">
        <f aca="false">IF(I1091="","",IF(AND(J1091&gt;=1,J1091&lt;=K1091+3),"10."&amp;INDEX(Eingabe!$D$9:$D$18,I1091)&amp;"."&amp;IF(J1091&lt;=K1091,J1091,IF(J1091=K1091+1,200,IF(J1091=K1091+2,201,250)))&amp;".1",""))</f>
        <v/>
      </c>
      <c r="F1091" s="0" t="str">
        <f aca="false">IF(I1091="","",IF(AND(J1091&gt;=1,J1091&lt;=K1091+3),"10."&amp;INDEX(Eingabe!$D$9:$D$18,I1091)&amp;"."&amp;IF(J1091&lt;=K1091,J1091,IF(J1091=K1091+1,200,IF(J1091=K1091+2,201,250)))&amp;".10 – 10."&amp;INDEX(Eingabe!$D$9:$D$18,I1091)&amp;"."&amp;IF(J1091&lt;=K1091,J1091,IF(J1091=K1091+1,200,IF(J1091=K1091+2,201,250)))&amp;".250",""))</f>
        <v/>
      </c>
      <c r="G1091" s="0" t="str">
        <f aca="false">IF(I1091="","",IF(AND(J1091&gt;=1,J1091&lt;=K1091),Eingabe!$B$6&amp;"-"&amp;INDEX(Eingabe!$C$9:$C$18,I1091)&amp;"-Pächter  ·  Passwort Parzelle "&amp;J1091,IF(J1091=K1091+1,Eingabe!$B$6&amp;"-"&amp;INDEX(Eingabe!$C$9:$C$18,I1091)&amp;"-Vorstand  ·  eigenes WLAN",IF(J1091=K1091+2,Eingabe!$B$6&amp;"-"&amp;INDEX(Eingabe!$C$9:$C$18,I1091)&amp;"-Gäste  ·  Voucher",IF(J1091=K1091+3,"Kabel  ·  Access Point y = .(50+y), Mast-Switch x = .(10+x)","")))))</f>
        <v/>
      </c>
      <c r="I1091" s="0" t="str">
        <f aca="false">IF(1086&lt;=(Eingabe!$P$18+Eingabe!$Q$18-1),MATCH(1086,Eingabe!$P$9:$P$18,1),"")</f>
        <v/>
      </c>
      <c r="J1091" s="0" t="str">
        <f aca="false">IF(I1091="","",1086-INDEX(Eingabe!$P$9:$P$18,I1091))</f>
        <v/>
      </c>
      <c r="K1091" s="0" t="str">
        <f aca="false">IF(I1091="","",INDEX(Eingabe!$E$9:$E$18,I1091))</f>
        <v/>
      </c>
    </row>
    <row r="1092" customFormat="false" ht="15" hidden="false" customHeight="false" outlineLevel="0" collapsed="false">
      <c r="A1092" s="0" t="str">
        <f aca="false">IF(I1092="","",IF(J1092=0,"Sparte "&amp;I1092&amp;": "&amp;INDEX(Eingabe!$B$9:$B$18,I1092)&amp;"  (Sparten-ID "&amp;INDEX(Eingabe!$D$9:$D$18,I1092)&amp;", "&amp;K1092&amp;" Parzellen)",IF(J1092&lt;=K1092,"   Parzelle "&amp;J1092,IF(J1092=K1092+1,"   Vorstand",IF(J1092=K1092+2,"   Gäste",IF(J1092=K1092+3,"   Technik (Switches, Access Points)",""))))))</f>
        <v/>
      </c>
      <c r="B1092" s="0" t="str">
        <f aca="false">IF(I1092="","",IF(AND(J1092&gt;=1,J1092&lt;=K1092+3),IF(J1092&lt;=K1092,IF(J1092&lt;=99,IF((INDEX(Eingabe!$G$9:$G$18,I1092))&lt;=9,1000+(INDEX(Eingabe!$G$9:$G$18,I1092))*100,3000)+J1092,IF((INDEX(Eingabe!$G$9:$G$18,I1092)+1)&lt;=9,1000+(INDEX(Eingabe!$G$9:$G$18,I1092)+1)*100,3000)+J1092-100),IF(J1092=K1092+1,2000+INDEX(Eingabe!$G$9:$G$18,I1092)*10+1,IF(J1092=K1092+2,2000+INDEX(Eingabe!$G$9:$G$18,I1092)*10+2,2000+INDEX(Eingabe!$G$9:$G$18,I1092)*10+9))),""))</f>
        <v/>
      </c>
      <c r="C1092" s="0" t="str">
        <f aca="false">IF(I1092="","",IF(AND(J1092&gt;=1,J1092&lt;=K1092+3),"10."&amp;INDEX(Eingabe!$D$9:$D$18,I1092)&amp;"."&amp;IF(J1092&lt;=K1092,J1092,IF(J1092=K1092+1,200,IF(J1092=K1092+2,201,250)))&amp;".0/24",""))</f>
        <v/>
      </c>
      <c r="D1092" s="0" t="str">
        <f aca="false">IF(I1092="","",IF(AND(J1092&gt;=1,J1092&lt;=K1092+3),"255.255.255.0",""))</f>
        <v/>
      </c>
      <c r="E1092" s="0" t="str">
        <f aca="false">IF(I1092="","",IF(AND(J1092&gt;=1,J1092&lt;=K1092+3),"10."&amp;INDEX(Eingabe!$D$9:$D$18,I1092)&amp;"."&amp;IF(J1092&lt;=K1092,J1092,IF(J1092=K1092+1,200,IF(J1092=K1092+2,201,250)))&amp;".1",""))</f>
        <v/>
      </c>
      <c r="F1092" s="0" t="str">
        <f aca="false">IF(I1092="","",IF(AND(J1092&gt;=1,J1092&lt;=K1092+3),"10."&amp;INDEX(Eingabe!$D$9:$D$18,I1092)&amp;"."&amp;IF(J1092&lt;=K1092,J1092,IF(J1092=K1092+1,200,IF(J1092=K1092+2,201,250)))&amp;".10 – 10."&amp;INDEX(Eingabe!$D$9:$D$18,I1092)&amp;"."&amp;IF(J1092&lt;=K1092,J1092,IF(J1092=K1092+1,200,IF(J1092=K1092+2,201,250)))&amp;".250",""))</f>
        <v/>
      </c>
      <c r="G1092" s="0" t="str">
        <f aca="false">IF(I1092="","",IF(AND(J1092&gt;=1,J1092&lt;=K1092),Eingabe!$B$6&amp;"-"&amp;INDEX(Eingabe!$C$9:$C$18,I1092)&amp;"-Pächter  ·  Passwort Parzelle "&amp;J1092,IF(J1092=K1092+1,Eingabe!$B$6&amp;"-"&amp;INDEX(Eingabe!$C$9:$C$18,I1092)&amp;"-Vorstand  ·  eigenes WLAN",IF(J1092=K1092+2,Eingabe!$B$6&amp;"-"&amp;INDEX(Eingabe!$C$9:$C$18,I1092)&amp;"-Gäste  ·  Voucher",IF(J1092=K1092+3,"Kabel  ·  Access Point y = .(50+y), Mast-Switch x = .(10+x)","")))))</f>
        <v/>
      </c>
      <c r="I1092" s="0" t="str">
        <f aca="false">IF(1087&lt;=(Eingabe!$P$18+Eingabe!$Q$18-1),MATCH(1087,Eingabe!$P$9:$P$18,1),"")</f>
        <v/>
      </c>
      <c r="J1092" s="0" t="str">
        <f aca="false">IF(I1092="","",1087-INDEX(Eingabe!$P$9:$P$18,I1092))</f>
        <v/>
      </c>
      <c r="K1092" s="0" t="str">
        <f aca="false">IF(I1092="","",INDEX(Eingabe!$E$9:$E$18,I1092))</f>
        <v/>
      </c>
    </row>
    <row r="1093" customFormat="false" ht="15" hidden="false" customHeight="false" outlineLevel="0" collapsed="false">
      <c r="A1093" s="0" t="str">
        <f aca="false">IF(I1093="","",IF(J1093=0,"Sparte "&amp;I1093&amp;": "&amp;INDEX(Eingabe!$B$9:$B$18,I1093)&amp;"  (Sparten-ID "&amp;INDEX(Eingabe!$D$9:$D$18,I1093)&amp;", "&amp;K1093&amp;" Parzellen)",IF(J1093&lt;=K1093,"   Parzelle "&amp;J1093,IF(J1093=K1093+1,"   Vorstand",IF(J1093=K1093+2,"   Gäste",IF(J1093=K1093+3,"   Technik (Switches, Access Points)",""))))))</f>
        <v/>
      </c>
      <c r="B1093" s="0" t="str">
        <f aca="false">IF(I1093="","",IF(AND(J1093&gt;=1,J1093&lt;=K1093+3),IF(J1093&lt;=K1093,IF(J1093&lt;=99,IF((INDEX(Eingabe!$G$9:$G$18,I1093))&lt;=9,1000+(INDEX(Eingabe!$G$9:$G$18,I1093))*100,3000)+J1093,IF((INDEX(Eingabe!$G$9:$G$18,I1093)+1)&lt;=9,1000+(INDEX(Eingabe!$G$9:$G$18,I1093)+1)*100,3000)+J1093-100),IF(J1093=K1093+1,2000+INDEX(Eingabe!$G$9:$G$18,I1093)*10+1,IF(J1093=K1093+2,2000+INDEX(Eingabe!$G$9:$G$18,I1093)*10+2,2000+INDEX(Eingabe!$G$9:$G$18,I1093)*10+9))),""))</f>
        <v/>
      </c>
      <c r="C1093" s="0" t="str">
        <f aca="false">IF(I1093="","",IF(AND(J1093&gt;=1,J1093&lt;=K1093+3),"10."&amp;INDEX(Eingabe!$D$9:$D$18,I1093)&amp;"."&amp;IF(J1093&lt;=K1093,J1093,IF(J1093=K1093+1,200,IF(J1093=K1093+2,201,250)))&amp;".0/24",""))</f>
        <v/>
      </c>
      <c r="D1093" s="0" t="str">
        <f aca="false">IF(I1093="","",IF(AND(J1093&gt;=1,J1093&lt;=K1093+3),"255.255.255.0",""))</f>
        <v/>
      </c>
      <c r="E1093" s="0" t="str">
        <f aca="false">IF(I1093="","",IF(AND(J1093&gt;=1,J1093&lt;=K1093+3),"10."&amp;INDEX(Eingabe!$D$9:$D$18,I1093)&amp;"."&amp;IF(J1093&lt;=K1093,J1093,IF(J1093=K1093+1,200,IF(J1093=K1093+2,201,250)))&amp;".1",""))</f>
        <v/>
      </c>
      <c r="F1093" s="0" t="str">
        <f aca="false">IF(I1093="","",IF(AND(J1093&gt;=1,J1093&lt;=K1093+3),"10."&amp;INDEX(Eingabe!$D$9:$D$18,I1093)&amp;"."&amp;IF(J1093&lt;=K1093,J1093,IF(J1093=K1093+1,200,IF(J1093=K1093+2,201,250)))&amp;".10 – 10."&amp;INDEX(Eingabe!$D$9:$D$18,I1093)&amp;"."&amp;IF(J1093&lt;=K1093,J1093,IF(J1093=K1093+1,200,IF(J1093=K1093+2,201,250)))&amp;".250",""))</f>
        <v/>
      </c>
      <c r="G1093" s="0" t="str">
        <f aca="false">IF(I1093="","",IF(AND(J1093&gt;=1,J1093&lt;=K1093),Eingabe!$B$6&amp;"-"&amp;INDEX(Eingabe!$C$9:$C$18,I1093)&amp;"-Pächter  ·  Passwort Parzelle "&amp;J1093,IF(J1093=K1093+1,Eingabe!$B$6&amp;"-"&amp;INDEX(Eingabe!$C$9:$C$18,I1093)&amp;"-Vorstand  ·  eigenes WLAN",IF(J1093=K1093+2,Eingabe!$B$6&amp;"-"&amp;INDEX(Eingabe!$C$9:$C$18,I1093)&amp;"-Gäste  ·  Voucher",IF(J1093=K1093+3,"Kabel  ·  Access Point y = .(50+y), Mast-Switch x = .(10+x)","")))))</f>
        <v/>
      </c>
      <c r="I1093" s="0" t="str">
        <f aca="false">IF(1088&lt;=(Eingabe!$P$18+Eingabe!$Q$18-1),MATCH(1088,Eingabe!$P$9:$P$18,1),"")</f>
        <v/>
      </c>
      <c r="J1093" s="0" t="str">
        <f aca="false">IF(I1093="","",1088-INDEX(Eingabe!$P$9:$P$18,I1093))</f>
        <v/>
      </c>
      <c r="K1093" s="0" t="str">
        <f aca="false">IF(I1093="","",INDEX(Eingabe!$E$9:$E$18,I1093))</f>
        <v/>
      </c>
    </row>
    <row r="1094" customFormat="false" ht="15" hidden="false" customHeight="false" outlineLevel="0" collapsed="false">
      <c r="A1094" s="0" t="str">
        <f aca="false">IF(I1094="","",IF(J1094=0,"Sparte "&amp;I1094&amp;": "&amp;INDEX(Eingabe!$B$9:$B$18,I1094)&amp;"  (Sparten-ID "&amp;INDEX(Eingabe!$D$9:$D$18,I1094)&amp;", "&amp;K1094&amp;" Parzellen)",IF(J1094&lt;=K1094,"   Parzelle "&amp;J1094,IF(J1094=K1094+1,"   Vorstand",IF(J1094=K1094+2,"   Gäste",IF(J1094=K1094+3,"   Technik (Switches, Access Points)",""))))))</f>
        <v/>
      </c>
      <c r="B1094" s="0" t="str">
        <f aca="false">IF(I1094="","",IF(AND(J1094&gt;=1,J1094&lt;=K1094+3),IF(J1094&lt;=K1094,IF(J1094&lt;=99,IF((INDEX(Eingabe!$G$9:$G$18,I1094))&lt;=9,1000+(INDEX(Eingabe!$G$9:$G$18,I1094))*100,3000)+J1094,IF((INDEX(Eingabe!$G$9:$G$18,I1094)+1)&lt;=9,1000+(INDEX(Eingabe!$G$9:$G$18,I1094)+1)*100,3000)+J1094-100),IF(J1094=K1094+1,2000+INDEX(Eingabe!$G$9:$G$18,I1094)*10+1,IF(J1094=K1094+2,2000+INDEX(Eingabe!$G$9:$G$18,I1094)*10+2,2000+INDEX(Eingabe!$G$9:$G$18,I1094)*10+9))),""))</f>
        <v/>
      </c>
      <c r="C1094" s="0" t="str">
        <f aca="false">IF(I1094="","",IF(AND(J1094&gt;=1,J1094&lt;=K1094+3),"10."&amp;INDEX(Eingabe!$D$9:$D$18,I1094)&amp;"."&amp;IF(J1094&lt;=K1094,J1094,IF(J1094=K1094+1,200,IF(J1094=K1094+2,201,250)))&amp;".0/24",""))</f>
        <v/>
      </c>
      <c r="D1094" s="0" t="str">
        <f aca="false">IF(I1094="","",IF(AND(J1094&gt;=1,J1094&lt;=K1094+3),"255.255.255.0",""))</f>
        <v/>
      </c>
      <c r="E1094" s="0" t="str">
        <f aca="false">IF(I1094="","",IF(AND(J1094&gt;=1,J1094&lt;=K1094+3),"10."&amp;INDEX(Eingabe!$D$9:$D$18,I1094)&amp;"."&amp;IF(J1094&lt;=K1094,J1094,IF(J1094=K1094+1,200,IF(J1094=K1094+2,201,250)))&amp;".1",""))</f>
        <v/>
      </c>
      <c r="F1094" s="0" t="str">
        <f aca="false">IF(I1094="","",IF(AND(J1094&gt;=1,J1094&lt;=K1094+3),"10."&amp;INDEX(Eingabe!$D$9:$D$18,I1094)&amp;"."&amp;IF(J1094&lt;=K1094,J1094,IF(J1094=K1094+1,200,IF(J1094=K1094+2,201,250)))&amp;".10 – 10."&amp;INDEX(Eingabe!$D$9:$D$18,I1094)&amp;"."&amp;IF(J1094&lt;=K1094,J1094,IF(J1094=K1094+1,200,IF(J1094=K1094+2,201,250)))&amp;".250",""))</f>
        <v/>
      </c>
      <c r="G1094" s="0" t="str">
        <f aca="false">IF(I1094="","",IF(AND(J1094&gt;=1,J1094&lt;=K1094),Eingabe!$B$6&amp;"-"&amp;INDEX(Eingabe!$C$9:$C$18,I1094)&amp;"-Pächter  ·  Passwort Parzelle "&amp;J1094,IF(J1094=K1094+1,Eingabe!$B$6&amp;"-"&amp;INDEX(Eingabe!$C$9:$C$18,I1094)&amp;"-Vorstand  ·  eigenes WLAN",IF(J1094=K1094+2,Eingabe!$B$6&amp;"-"&amp;INDEX(Eingabe!$C$9:$C$18,I1094)&amp;"-Gäste  ·  Voucher",IF(J1094=K1094+3,"Kabel  ·  Access Point y = .(50+y), Mast-Switch x = .(10+x)","")))))</f>
        <v/>
      </c>
      <c r="I1094" s="0" t="str">
        <f aca="false">IF(1089&lt;=(Eingabe!$P$18+Eingabe!$Q$18-1),MATCH(1089,Eingabe!$P$9:$P$18,1),"")</f>
        <v/>
      </c>
      <c r="J1094" s="0" t="str">
        <f aca="false">IF(I1094="","",1089-INDEX(Eingabe!$P$9:$P$18,I1094))</f>
        <v/>
      </c>
      <c r="K1094" s="0" t="str">
        <f aca="false">IF(I1094="","",INDEX(Eingabe!$E$9:$E$18,I1094))</f>
        <v/>
      </c>
    </row>
    <row r="1095" customFormat="false" ht="15" hidden="false" customHeight="false" outlineLevel="0" collapsed="false">
      <c r="A1095" s="0" t="str">
        <f aca="false">IF(I1095="","",IF(J1095=0,"Sparte "&amp;I1095&amp;": "&amp;INDEX(Eingabe!$B$9:$B$18,I1095)&amp;"  (Sparten-ID "&amp;INDEX(Eingabe!$D$9:$D$18,I1095)&amp;", "&amp;K1095&amp;" Parzellen)",IF(J1095&lt;=K1095,"   Parzelle "&amp;J1095,IF(J1095=K1095+1,"   Vorstand",IF(J1095=K1095+2,"   Gäste",IF(J1095=K1095+3,"   Technik (Switches, Access Points)",""))))))</f>
        <v/>
      </c>
      <c r="B1095" s="0" t="str">
        <f aca="false">IF(I1095="","",IF(AND(J1095&gt;=1,J1095&lt;=K1095+3),IF(J1095&lt;=K1095,IF(J1095&lt;=99,IF((INDEX(Eingabe!$G$9:$G$18,I1095))&lt;=9,1000+(INDEX(Eingabe!$G$9:$G$18,I1095))*100,3000)+J1095,IF((INDEX(Eingabe!$G$9:$G$18,I1095)+1)&lt;=9,1000+(INDEX(Eingabe!$G$9:$G$18,I1095)+1)*100,3000)+J1095-100),IF(J1095=K1095+1,2000+INDEX(Eingabe!$G$9:$G$18,I1095)*10+1,IF(J1095=K1095+2,2000+INDEX(Eingabe!$G$9:$G$18,I1095)*10+2,2000+INDEX(Eingabe!$G$9:$G$18,I1095)*10+9))),""))</f>
        <v/>
      </c>
      <c r="C1095" s="0" t="str">
        <f aca="false">IF(I1095="","",IF(AND(J1095&gt;=1,J1095&lt;=K1095+3),"10."&amp;INDEX(Eingabe!$D$9:$D$18,I1095)&amp;"."&amp;IF(J1095&lt;=K1095,J1095,IF(J1095=K1095+1,200,IF(J1095=K1095+2,201,250)))&amp;".0/24",""))</f>
        <v/>
      </c>
      <c r="D1095" s="0" t="str">
        <f aca="false">IF(I1095="","",IF(AND(J1095&gt;=1,J1095&lt;=K1095+3),"255.255.255.0",""))</f>
        <v/>
      </c>
      <c r="E1095" s="0" t="str">
        <f aca="false">IF(I1095="","",IF(AND(J1095&gt;=1,J1095&lt;=K1095+3),"10."&amp;INDEX(Eingabe!$D$9:$D$18,I1095)&amp;"."&amp;IF(J1095&lt;=K1095,J1095,IF(J1095=K1095+1,200,IF(J1095=K1095+2,201,250)))&amp;".1",""))</f>
        <v/>
      </c>
      <c r="F1095" s="0" t="str">
        <f aca="false">IF(I1095="","",IF(AND(J1095&gt;=1,J1095&lt;=K1095+3),"10."&amp;INDEX(Eingabe!$D$9:$D$18,I1095)&amp;"."&amp;IF(J1095&lt;=K1095,J1095,IF(J1095=K1095+1,200,IF(J1095=K1095+2,201,250)))&amp;".10 – 10."&amp;INDEX(Eingabe!$D$9:$D$18,I1095)&amp;"."&amp;IF(J1095&lt;=K1095,J1095,IF(J1095=K1095+1,200,IF(J1095=K1095+2,201,250)))&amp;".250",""))</f>
        <v/>
      </c>
      <c r="G1095" s="0" t="str">
        <f aca="false">IF(I1095="","",IF(AND(J1095&gt;=1,J1095&lt;=K1095),Eingabe!$B$6&amp;"-"&amp;INDEX(Eingabe!$C$9:$C$18,I1095)&amp;"-Pächter  ·  Passwort Parzelle "&amp;J1095,IF(J1095=K1095+1,Eingabe!$B$6&amp;"-"&amp;INDEX(Eingabe!$C$9:$C$18,I1095)&amp;"-Vorstand  ·  eigenes WLAN",IF(J1095=K1095+2,Eingabe!$B$6&amp;"-"&amp;INDEX(Eingabe!$C$9:$C$18,I1095)&amp;"-Gäste  ·  Voucher",IF(J1095=K1095+3,"Kabel  ·  Access Point y = .(50+y), Mast-Switch x = .(10+x)","")))))</f>
        <v/>
      </c>
      <c r="I1095" s="0" t="str">
        <f aca="false">IF(1090&lt;=(Eingabe!$P$18+Eingabe!$Q$18-1),MATCH(1090,Eingabe!$P$9:$P$18,1),"")</f>
        <v/>
      </c>
      <c r="J1095" s="0" t="str">
        <f aca="false">IF(I1095="","",1090-INDEX(Eingabe!$P$9:$P$18,I1095))</f>
        <v/>
      </c>
      <c r="K1095" s="0" t="str">
        <f aca="false">IF(I1095="","",INDEX(Eingabe!$E$9:$E$18,I1095))</f>
        <v/>
      </c>
    </row>
    <row r="1096" customFormat="false" ht="15" hidden="false" customHeight="false" outlineLevel="0" collapsed="false">
      <c r="A1096" s="0" t="str">
        <f aca="false">IF(I1096="","",IF(J1096=0,"Sparte "&amp;I1096&amp;": "&amp;INDEX(Eingabe!$B$9:$B$18,I1096)&amp;"  (Sparten-ID "&amp;INDEX(Eingabe!$D$9:$D$18,I1096)&amp;", "&amp;K1096&amp;" Parzellen)",IF(J1096&lt;=K1096,"   Parzelle "&amp;J1096,IF(J1096=K1096+1,"   Vorstand",IF(J1096=K1096+2,"   Gäste",IF(J1096=K1096+3,"   Technik (Switches, Access Points)",""))))))</f>
        <v/>
      </c>
      <c r="B1096" s="0" t="str">
        <f aca="false">IF(I1096="","",IF(AND(J1096&gt;=1,J1096&lt;=K1096+3),IF(J1096&lt;=K1096,IF(J1096&lt;=99,IF((INDEX(Eingabe!$G$9:$G$18,I1096))&lt;=9,1000+(INDEX(Eingabe!$G$9:$G$18,I1096))*100,3000)+J1096,IF((INDEX(Eingabe!$G$9:$G$18,I1096)+1)&lt;=9,1000+(INDEX(Eingabe!$G$9:$G$18,I1096)+1)*100,3000)+J1096-100),IF(J1096=K1096+1,2000+INDEX(Eingabe!$G$9:$G$18,I1096)*10+1,IF(J1096=K1096+2,2000+INDEX(Eingabe!$G$9:$G$18,I1096)*10+2,2000+INDEX(Eingabe!$G$9:$G$18,I1096)*10+9))),""))</f>
        <v/>
      </c>
      <c r="C1096" s="0" t="str">
        <f aca="false">IF(I1096="","",IF(AND(J1096&gt;=1,J1096&lt;=K1096+3),"10."&amp;INDEX(Eingabe!$D$9:$D$18,I1096)&amp;"."&amp;IF(J1096&lt;=K1096,J1096,IF(J1096=K1096+1,200,IF(J1096=K1096+2,201,250)))&amp;".0/24",""))</f>
        <v/>
      </c>
      <c r="D1096" s="0" t="str">
        <f aca="false">IF(I1096="","",IF(AND(J1096&gt;=1,J1096&lt;=K1096+3),"255.255.255.0",""))</f>
        <v/>
      </c>
      <c r="E1096" s="0" t="str">
        <f aca="false">IF(I1096="","",IF(AND(J1096&gt;=1,J1096&lt;=K1096+3),"10."&amp;INDEX(Eingabe!$D$9:$D$18,I1096)&amp;"."&amp;IF(J1096&lt;=K1096,J1096,IF(J1096=K1096+1,200,IF(J1096=K1096+2,201,250)))&amp;".1",""))</f>
        <v/>
      </c>
      <c r="F1096" s="0" t="str">
        <f aca="false">IF(I1096="","",IF(AND(J1096&gt;=1,J1096&lt;=K1096+3),"10."&amp;INDEX(Eingabe!$D$9:$D$18,I1096)&amp;"."&amp;IF(J1096&lt;=K1096,J1096,IF(J1096=K1096+1,200,IF(J1096=K1096+2,201,250)))&amp;".10 – 10."&amp;INDEX(Eingabe!$D$9:$D$18,I1096)&amp;"."&amp;IF(J1096&lt;=K1096,J1096,IF(J1096=K1096+1,200,IF(J1096=K1096+2,201,250)))&amp;".250",""))</f>
        <v/>
      </c>
      <c r="G1096" s="0" t="str">
        <f aca="false">IF(I1096="","",IF(AND(J1096&gt;=1,J1096&lt;=K1096),Eingabe!$B$6&amp;"-"&amp;INDEX(Eingabe!$C$9:$C$18,I1096)&amp;"-Pächter  ·  Passwort Parzelle "&amp;J1096,IF(J1096=K1096+1,Eingabe!$B$6&amp;"-"&amp;INDEX(Eingabe!$C$9:$C$18,I1096)&amp;"-Vorstand  ·  eigenes WLAN",IF(J1096=K1096+2,Eingabe!$B$6&amp;"-"&amp;INDEX(Eingabe!$C$9:$C$18,I1096)&amp;"-Gäste  ·  Voucher",IF(J1096=K1096+3,"Kabel  ·  Access Point y = .(50+y), Mast-Switch x = .(10+x)","")))))</f>
        <v/>
      </c>
      <c r="I1096" s="0" t="str">
        <f aca="false">IF(1091&lt;=(Eingabe!$P$18+Eingabe!$Q$18-1),MATCH(1091,Eingabe!$P$9:$P$18,1),"")</f>
        <v/>
      </c>
      <c r="J1096" s="0" t="str">
        <f aca="false">IF(I1096="","",1091-INDEX(Eingabe!$P$9:$P$18,I1096))</f>
        <v/>
      </c>
      <c r="K1096" s="0" t="str">
        <f aca="false">IF(I1096="","",INDEX(Eingabe!$E$9:$E$18,I1096))</f>
        <v/>
      </c>
    </row>
    <row r="1097" customFormat="false" ht="15" hidden="false" customHeight="false" outlineLevel="0" collapsed="false">
      <c r="A1097" s="0" t="str">
        <f aca="false">IF(I1097="","",IF(J1097=0,"Sparte "&amp;I1097&amp;": "&amp;INDEX(Eingabe!$B$9:$B$18,I1097)&amp;"  (Sparten-ID "&amp;INDEX(Eingabe!$D$9:$D$18,I1097)&amp;", "&amp;K1097&amp;" Parzellen)",IF(J1097&lt;=K1097,"   Parzelle "&amp;J1097,IF(J1097=K1097+1,"   Vorstand",IF(J1097=K1097+2,"   Gäste",IF(J1097=K1097+3,"   Technik (Switches, Access Points)",""))))))</f>
        <v/>
      </c>
      <c r="B1097" s="0" t="str">
        <f aca="false">IF(I1097="","",IF(AND(J1097&gt;=1,J1097&lt;=K1097+3),IF(J1097&lt;=K1097,IF(J1097&lt;=99,IF((INDEX(Eingabe!$G$9:$G$18,I1097))&lt;=9,1000+(INDEX(Eingabe!$G$9:$G$18,I1097))*100,3000)+J1097,IF((INDEX(Eingabe!$G$9:$G$18,I1097)+1)&lt;=9,1000+(INDEX(Eingabe!$G$9:$G$18,I1097)+1)*100,3000)+J1097-100),IF(J1097=K1097+1,2000+INDEX(Eingabe!$G$9:$G$18,I1097)*10+1,IF(J1097=K1097+2,2000+INDEX(Eingabe!$G$9:$G$18,I1097)*10+2,2000+INDEX(Eingabe!$G$9:$G$18,I1097)*10+9))),""))</f>
        <v/>
      </c>
      <c r="C1097" s="0" t="str">
        <f aca="false">IF(I1097="","",IF(AND(J1097&gt;=1,J1097&lt;=K1097+3),"10."&amp;INDEX(Eingabe!$D$9:$D$18,I1097)&amp;"."&amp;IF(J1097&lt;=K1097,J1097,IF(J1097=K1097+1,200,IF(J1097=K1097+2,201,250)))&amp;".0/24",""))</f>
        <v/>
      </c>
      <c r="D1097" s="0" t="str">
        <f aca="false">IF(I1097="","",IF(AND(J1097&gt;=1,J1097&lt;=K1097+3),"255.255.255.0",""))</f>
        <v/>
      </c>
      <c r="E1097" s="0" t="str">
        <f aca="false">IF(I1097="","",IF(AND(J1097&gt;=1,J1097&lt;=K1097+3),"10."&amp;INDEX(Eingabe!$D$9:$D$18,I1097)&amp;"."&amp;IF(J1097&lt;=K1097,J1097,IF(J1097=K1097+1,200,IF(J1097=K1097+2,201,250)))&amp;".1",""))</f>
        <v/>
      </c>
      <c r="F1097" s="0" t="str">
        <f aca="false">IF(I1097="","",IF(AND(J1097&gt;=1,J1097&lt;=K1097+3),"10."&amp;INDEX(Eingabe!$D$9:$D$18,I1097)&amp;"."&amp;IF(J1097&lt;=K1097,J1097,IF(J1097=K1097+1,200,IF(J1097=K1097+2,201,250)))&amp;".10 – 10."&amp;INDEX(Eingabe!$D$9:$D$18,I1097)&amp;"."&amp;IF(J1097&lt;=K1097,J1097,IF(J1097=K1097+1,200,IF(J1097=K1097+2,201,250)))&amp;".250",""))</f>
        <v/>
      </c>
      <c r="G1097" s="0" t="str">
        <f aca="false">IF(I1097="","",IF(AND(J1097&gt;=1,J1097&lt;=K1097),Eingabe!$B$6&amp;"-"&amp;INDEX(Eingabe!$C$9:$C$18,I1097)&amp;"-Pächter  ·  Passwort Parzelle "&amp;J1097,IF(J1097=K1097+1,Eingabe!$B$6&amp;"-"&amp;INDEX(Eingabe!$C$9:$C$18,I1097)&amp;"-Vorstand  ·  eigenes WLAN",IF(J1097=K1097+2,Eingabe!$B$6&amp;"-"&amp;INDEX(Eingabe!$C$9:$C$18,I1097)&amp;"-Gäste  ·  Voucher",IF(J1097=K1097+3,"Kabel  ·  Access Point y = .(50+y), Mast-Switch x = .(10+x)","")))))</f>
        <v/>
      </c>
      <c r="I1097" s="0" t="str">
        <f aca="false">IF(1092&lt;=(Eingabe!$P$18+Eingabe!$Q$18-1),MATCH(1092,Eingabe!$P$9:$P$18,1),"")</f>
        <v/>
      </c>
      <c r="J1097" s="0" t="str">
        <f aca="false">IF(I1097="","",1092-INDEX(Eingabe!$P$9:$P$18,I1097))</f>
        <v/>
      </c>
      <c r="K1097" s="0" t="str">
        <f aca="false">IF(I1097="","",INDEX(Eingabe!$E$9:$E$18,I1097))</f>
        <v/>
      </c>
    </row>
    <row r="1098" customFormat="false" ht="15" hidden="false" customHeight="false" outlineLevel="0" collapsed="false">
      <c r="A1098" s="0" t="str">
        <f aca="false">IF(I1098="","",IF(J1098=0,"Sparte "&amp;I1098&amp;": "&amp;INDEX(Eingabe!$B$9:$B$18,I1098)&amp;"  (Sparten-ID "&amp;INDEX(Eingabe!$D$9:$D$18,I1098)&amp;", "&amp;K1098&amp;" Parzellen)",IF(J1098&lt;=K1098,"   Parzelle "&amp;J1098,IF(J1098=K1098+1,"   Vorstand",IF(J1098=K1098+2,"   Gäste",IF(J1098=K1098+3,"   Technik (Switches, Access Points)",""))))))</f>
        <v/>
      </c>
      <c r="B1098" s="0" t="str">
        <f aca="false">IF(I1098="","",IF(AND(J1098&gt;=1,J1098&lt;=K1098+3),IF(J1098&lt;=K1098,IF(J1098&lt;=99,IF((INDEX(Eingabe!$G$9:$G$18,I1098))&lt;=9,1000+(INDEX(Eingabe!$G$9:$G$18,I1098))*100,3000)+J1098,IF((INDEX(Eingabe!$G$9:$G$18,I1098)+1)&lt;=9,1000+(INDEX(Eingabe!$G$9:$G$18,I1098)+1)*100,3000)+J1098-100),IF(J1098=K1098+1,2000+INDEX(Eingabe!$G$9:$G$18,I1098)*10+1,IF(J1098=K1098+2,2000+INDEX(Eingabe!$G$9:$G$18,I1098)*10+2,2000+INDEX(Eingabe!$G$9:$G$18,I1098)*10+9))),""))</f>
        <v/>
      </c>
      <c r="C1098" s="0" t="str">
        <f aca="false">IF(I1098="","",IF(AND(J1098&gt;=1,J1098&lt;=K1098+3),"10."&amp;INDEX(Eingabe!$D$9:$D$18,I1098)&amp;"."&amp;IF(J1098&lt;=K1098,J1098,IF(J1098=K1098+1,200,IF(J1098=K1098+2,201,250)))&amp;".0/24",""))</f>
        <v/>
      </c>
      <c r="D1098" s="0" t="str">
        <f aca="false">IF(I1098="","",IF(AND(J1098&gt;=1,J1098&lt;=K1098+3),"255.255.255.0",""))</f>
        <v/>
      </c>
      <c r="E1098" s="0" t="str">
        <f aca="false">IF(I1098="","",IF(AND(J1098&gt;=1,J1098&lt;=K1098+3),"10."&amp;INDEX(Eingabe!$D$9:$D$18,I1098)&amp;"."&amp;IF(J1098&lt;=K1098,J1098,IF(J1098=K1098+1,200,IF(J1098=K1098+2,201,250)))&amp;".1",""))</f>
        <v/>
      </c>
      <c r="F1098" s="0" t="str">
        <f aca="false">IF(I1098="","",IF(AND(J1098&gt;=1,J1098&lt;=K1098+3),"10."&amp;INDEX(Eingabe!$D$9:$D$18,I1098)&amp;"."&amp;IF(J1098&lt;=K1098,J1098,IF(J1098=K1098+1,200,IF(J1098=K1098+2,201,250)))&amp;".10 – 10."&amp;INDEX(Eingabe!$D$9:$D$18,I1098)&amp;"."&amp;IF(J1098&lt;=K1098,J1098,IF(J1098=K1098+1,200,IF(J1098=K1098+2,201,250)))&amp;".250",""))</f>
        <v/>
      </c>
      <c r="G1098" s="0" t="str">
        <f aca="false">IF(I1098="","",IF(AND(J1098&gt;=1,J1098&lt;=K1098),Eingabe!$B$6&amp;"-"&amp;INDEX(Eingabe!$C$9:$C$18,I1098)&amp;"-Pächter  ·  Passwort Parzelle "&amp;J1098,IF(J1098=K1098+1,Eingabe!$B$6&amp;"-"&amp;INDEX(Eingabe!$C$9:$C$18,I1098)&amp;"-Vorstand  ·  eigenes WLAN",IF(J1098=K1098+2,Eingabe!$B$6&amp;"-"&amp;INDEX(Eingabe!$C$9:$C$18,I1098)&amp;"-Gäste  ·  Voucher",IF(J1098=K1098+3,"Kabel  ·  Access Point y = .(50+y), Mast-Switch x = .(10+x)","")))))</f>
        <v/>
      </c>
      <c r="I1098" s="0" t="str">
        <f aca="false">IF(1093&lt;=(Eingabe!$P$18+Eingabe!$Q$18-1),MATCH(1093,Eingabe!$P$9:$P$18,1),"")</f>
        <v/>
      </c>
      <c r="J1098" s="0" t="str">
        <f aca="false">IF(I1098="","",1093-INDEX(Eingabe!$P$9:$P$18,I1098))</f>
        <v/>
      </c>
      <c r="K1098" s="0" t="str">
        <f aca="false">IF(I1098="","",INDEX(Eingabe!$E$9:$E$18,I1098))</f>
        <v/>
      </c>
    </row>
    <row r="1099" customFormat="false" ht="15" hidden="false" customHeight="false" outlineLevel="0" collapsed="false">
      <c r="A1099" s="0" t="str">
        <f aca="false">IF(I1099="","",IF(J1099=0,"Sparte "&amp;I1099&amp;": "&amp;INDEX(Eingabe!$B$9:$B$18,I1099)&amp;"  (Sparten-ID "&amp;INDEX(Eingabe!$D$9:$D$18,I1099)&amp;", "&amp;K1099&amp;" Parzellen)",IF(J1099&lt;=K1099,"   Parzelle "&amp;J1099,IF(J1099=K1099+1,"   Vorstand",IF(J1099=K1099+2,"   Gäste",IF(J1099=K1099+3,"   Technik (Switches, Access Points)",""))))))</f>
        <v/>
      </c>
      <c r="B1099" s="0" t="str">
        <f aca="false">IF(I1099="","",IF(AND(J1099&gt;=1,J1099&lt;=K1099+3),IF(J1099&lt;=K1099,IF(J1099&lt;=99,IF((INDEX(Eingabe!$G$9:$G$18,I1099))&lt;=9,1000+(INDEX(Eingabe!$G$9:$G$18,I1099))*100,3000)+J1099,IF((INDEX(Eingabe!$G$9:$G$18,I1099)+1)&lt;=9,1000+(INDEX(Eingabe!$G$9:$G$18,I1099)+1)*100,3000)+J1099-100),IF(J1099=K1099+1,2000+INDEX(Eingabe!$G$9:$G$18,I1099)*10+1,IF(J1099=K1099+2,2000+INDEX(Eingabe!$G$9:$G$18,I1099)*10+2,2000+INDEX(Eingabe!$G$9:$G$18,I1099)*10+9))),""))</f>
        <v/>
      </c>
      <c r="C1099" s="0" t="str">
        <f aca="false">IF(I1099="","",IF(AND(J1099&gt;=1,J1099&lt;=K1099+3),"10."&amp;INDEX(Eingabe!$D$9:$D$18,I1099)&amp;"."&amp;IF(J1099&lt;=K1099,J1099,IF(J1099=K1099+1,200,IF(J1099=K1099+2,201,250)))&amp;".0/24",""))</f>
        <v/>
      </c>
      <c r="D1099" s="0" t="str">
        <f aca="false">IF(I1099="","",IF(AND(J1099&gt;=1,J1099&lt;=K1099+3),"255.255.255.0",""))</f>
        <v/>
      </c>
      <c r="E1099" s="0" t="str">
        <f aca="false">IF(I1099="","",IF(AND(J1099&gt;=1,J1099&lt;=K1099+3),"10."&amp;INDEX(Eingabe!$D$9:$D$18,I1099)&amp;"."&amp;IF(J1099&lt;=K1099,J1099,IF(J1099=K1099+1,200,IF(J1099=K1099+2,201,250)))&amp;".1",""))</f>
        <v/>
      </c>
      <c r="F1099" s="0" t="str">
        <f aca="false">IF(I1099="","",IF(AND(J1099&gt;=1,J1099&lt;=K1099+3),"10."&amp;INDEX(Eingabe!$D$9:$D$18,I1099)&amp;"."&amp;IF(J1099&lt;=K1099,J1099,IF(J1099=K1099+1,200,IF(J1099=K1099+2,201,250)))&amp;".10 – 10."&amp;INDEX(Eingabe!$D$9:$D$18,I1099)&amp;"."&amp;IF(J1099&lt;=K1099,J1099,IF(J1099=K1099+1,200,IF(J1099=K1099+2,201,250)))&amp;".250",""))</f>
        <v/>
      </c>
      <c r="G1099" s="0" t="str">
        <f aca="false">IF(I1099="","",IF(AND(J1099&gt;=1,J1099&lt;=K1099),Eingabe!$B$6&amp;"-"&amp;INDEX(Eingabe!$C$9:$C$18,I1099)&amp;"-Pächter  ·  Passwort Parzelle "&amp;J1099,IF(J1099=K1099+1,Eingabe!$B$6&amp;"-"&amp;INDEX(Eingabe!$C$9:$C$18,I1099)&amp;"-Vorstand  ·  eigenes WLAN",IF(J1099=K1099+2,Eingabe!$B$6&amp;"-"&amp;INDEX(Eingabe!$C$9:$C$18,I1099)&amp;"-Gäste  ·  Voucher",IF(J1099=K1099+3,"Kabel  ·  Access Point y = .(50+y), Mast-Switch x = .(10+x)","")))))</f>
        <v/>
      </c>
      <c r="I1099" s="0" t="str">
        <f aca="false">IF(1094&lt;=(Eingabe!$P$18+Eingabe!$Q$18-1),MATCH(1094,Eingabe!$P$9:$P$18,1),"")</f>
        <v/>
      </c>
      <c r="J1099" s="0" t="str">
        <f aca="false">IF(I1099="","",1094-INDEX(Eingabe!$P$9:$P$18,I1099))</f>
        <v/>
      </c>
      <c r="K1099" s="0" t="str">
        <f aca="false">IF(I1099="","",INDEX(Eingabe!$E$9:$E$18,I1099))</f>
        <v/>
      </c>
    </row>
    <row r="1100" customFormat="false" ht="15" hidden="false" customHeight="false" outlineLevel="0" collapsed="false">
      <c r="A1100" s="0" t="str">
        <f aca="false">IF(I1100="","",IF(J1100=0,"Sparte "&amp;I1100&amp;": "&amp;INDEX(Eingabe!$B$9:$B$18,I1100)&amp;"  (Sparten-ID "&amp;INDEX(Eingabe!$D$9:$D$18,I1100)&amp;", "&amp;K1100&amp;" Parzellen)",IF(J1100&lt;=K1100,"   Parzelle "&amp;J1100,IF(J1100=K1100+1,"   Vorstand",IF(J1100=K1100+2,"   Gäste",IF(J1100=K1100+3,"   Technik (Switches, Access Points)",""))))))</f>
        <v/>
      </c>
      <c r="B1100" s="0" t="str">
        <f aca="false">IF(I1100="","",IF(AND(J1100&gt;=1,J1100&lt;=K1100+3),IF(J1100&lt;=K1100,IF(J1100&lt;=99,IF((INDEX(Eingabe!$G$9:$G$18,I1100))&lt;=9,1000+(INDEX(Eingabe!$G$9:$G$18,I1100))*100,3000)+J1100,IF((INDEX(Eingabe!$G$9:$G$18,I1100)+1)&lt;=9,1000+(INDEX(Eingabe!$G$9:$G$18,I1100)+1)*100,3000)+J1100-100),IF(J1100=K1100+1,2000+INDEX(Eingabe!$G$9:$G$18,I1100)*10+1,IF(J1100=K1100+2,2000+INDEX(Eingabe!$G$9:$G$18,I1100)*10+2,2000+INDEX(Eingabe!$G$9:$G$18,I1100)*10+9))),""))</f>
        <v/>
      </c>
      <c r="C1100" s="0" t="str">
        <f aca="false">IF(I1100="","",IF(AND(J1100&gt;=1,J1100&lt;=K1100+3),"10."&amp;INDEX(Eingabe!$D$9:$D$18,I1100)&amp;"."&amp;IF(J1100&lt;=K1100,J1100,IF(J1100=K1100+1,200,IF(J1100=K1100+2,201,250)))&amp;".0/24",""))</f>
        <v/>
      </c>
      <c r="D1100" s="0" t="str">
        <f aca="false">IF(I1100="","",IF(AND(J1100&gt;=1,J1100&lt;=K1100+3),"255.255.255.0",""))</f>
        <v/>
      </c>
      <c r="E1100" s="0" t="str">
        <f aca="false">IF(I1100="","",IF(AND(J1100&gt;=1,J1100&lt;=K1100+3),"10."&amp;INDEX(Eingabe!$D$9:$D$18,I1100)&amp;"."&amp;IF(J1100&lt;=K1100,J1100,IF(J1100=K1100+1,200,IF(J1100=K1100+2,201,250)))&amp;".1",""))</f>
        <v/>
      </c>
      <c r="F1100" s="0" t="str">
        <f aca="false">IF(I1100="","",IF(AND(J1100&gt;=1,J1100&lt;=K1100+3),"10."&amp;INDEX(Eingabe!$D$9:$D$18,I1100)&amp;"."&amp;IF(J1100&lt;=K1100,J1100,IF(J1100=K1100+1,200,IF(J1100=K1100+2,201,250)))&amp;".10 – 10."&amp;INDEX(Eingabe!$D$9:$D$18,I1100)&amp;"."&amp;IF(J1100&lt;=K1100,J1100,IF(J1100=K1100+1,200,IF(J1100=K1100+2,201,250)))&amp;".250",""))</f>
        <v/>
      </c>
      <c r="G1100" s="0" t="str">
        <f aca="false">IF(I1100="","",IF(AND(J1100&gt;=1,J1100&lt;=K1100),Eingabe!$B$6&amp;"-"&amp;INDEX(Eingabe!$C$9:$C$18,I1100)&amp;"-Pächter  ·  Passwort Parzelle "&amp;J1100,IF(J1100=K1100+1,Eingabe!$B$6&amp;"-"&amp;INDEX(Eingabe!$C$9:$C$18,I1100)&amp;"-Vorstand  ·  eigenes WLAN",IF(J1100=K1100+2,Eingabe!$B$6&amp;"-"&amp;INDEX(Eingabe!$C$9:$C$18,I1100)&amp;"-Gäste  ·  Voucher",IF(J1100=K1100+3,"Kabel  ·  Access Point y = .(50+y), Mast-Switch x = .(10+x)","")))))</f>
        <v/>
      </c>
      <c r="I1100" s="0" t="str">
        <f aca="false">IF(1095&lt;=(Eingabe!$P$18+Eingabe!$Q$18-1),MATCH(1095,Eingabe!$P$9:$P$18,1),"")</f>
        <v/>
      </c>
      <c r="J1100" s="0" t="str">
        <f aca="false">IF(I1100="","",1095-INDEX(Eingabe!$P$9:$P$18,I1100))</f>
        <v/>
      </c>
      <c r="K1100" s="0" t="str">
        <f aca="false">IF(I1100="","",INDEX(Eingabe!$E$9:$E$18,I1100))</f>
        <v/>
      </c>
    </row>
    <row r="1101" customFormat="false" ht="15" hidden="false" customHeight="false" outlineLevel="0" collapsed="false">
      <c r="A1101" s="0" t="str">
        <f aca="false">IF(I1101="","",IF(J1101=0,"Sparte "&amp;I1101&amp;": "&amp;INDEX(Eingabe!$B$9:$B$18,I1101)&amp;"  (Sparten-ID "&amp;INDEX(Eingabe!$D$9:$D$18,I1101)&amp;", "&amp;K1101&amp;" Parzellen)",IF(J1101&lt;=K1101,"   Parzelle "&amp;J1101,IF(J1101=K1101+1,"   Vorstand",IF(J1101=K1101+2,"   Gäste",IF(J1101=K1101+3,"   Technik (Switches, Access Points)",""))))))</f>
        <v/>
      </c>
      <c r="B1101" s="0" t="str">
        <f aca="false">IF(I1101="","",IF(AND(J1101&gt;=1,J1101&lt;=K1101+3),IF(J1101&lt;=K1101,IF(J1101&lt;=99,IF((INDEX(Eingabe!$G$9:$G$18,I1101))&lt;=9,1000+(INDEX(Eingabe!$G$9:$G$18,I1101))*100,3000)+J1101,IF((INDEX(Eingabe!$G$9:$G$18,I1101)+1)&lt;=9,1000+(INDEX(Eingabe!$G$9:$G$18,I1101)+1)*100,3000)+J1101-100),IF(J1101=K1101+1,2000+INDEX(Eingabe!$G$9:$G$18,I1101)*10+1,IF(J1101=K1101+2,2000+INDEX(Eingabe!$G$9:$G$18,I1101)*10+2,2000+INDEX(Eingabe!$G$9:$G$18,I1101)*10+9))),""))</f>
        <v/>
      </c>
      <c r="C1101" s="0" t="str">
        <f aca="false">IF(I1101="","",IF(AND(J1101&gt;=1,J1101&lt;=K1101+3),"10."&amp;INDEX(Eingabe!$D$9:$D$18,I1101)&amp;"."&amp;IF(J1101&lt;=K1101,J1101,IF(J1101=K1101+1,200,IF(J1101=K1101+2,201,250)))&amp;".0/24",""))</f>
        <v/>
      </c>
      <c r="D1101" s="0" t="str">
        <f aca="false">IF(I1101="","",IF(AND(J1101&gt;=1,J1101&lt;=K1101+3),"255.255.255.0",""))</f>
        <v/>
      </c>
      <c r="E1101" s="0" t="str">
        <f aca="false">IF(I1101="","",IF(AND(J1101&gt;=1,J1101&lt;=K1101+3),"10."&amp;INDEX(Eingabe!$D$9:$D$18,I1101)&amp;"."&amp;IF(J1101&lt;=K1101,J1101,IF(J1101=K1101+1,200,IF(J1101=K1101+2,201,250)))&amp;".1",""))</f>
        <v/>
      </c>
      <c r="F1101" s="0" t="str">
        <f aca="false">IF(I1101="","",IF(AND(J1101&gt;=1,J1101&lt;=K1101+3),"10."&amp;INDEX(Eingabe!$D$9:$D$18,I1101)&amp;"."&amp;IF(J1101&lt;=K1101,J1101,IF(J1101=K1101+1,200,IF(J1101=K1101+2,201,250)))&amp;".10 – 10."&amp;INDEX(Eingabe!$D$9:$D$18,I1101)&amp;"."&amp;IF(J1101&lt;=K1101,J1101,IF(J1101=K1101+1,200,IF(J1101=K1101+2,201,250)))&amp;".250",""))</f>
        <v/>
      </c>
      <c r="G1101" s="0" t="str">
        <f aca="false">IF(I1101="","",IF(AND(J1101&gt;=1,J1101&lt;=K1101),Eingabe!$B$6&amp;"-"&amp;INDEX(Eingabe!$C$9:$C$18,I1101)&amp;"-Pächter  ·  Passwort Parzelle "&amp;J1101,IF(J1101=K1101+1,Eingabe!$B$6&amp;"-"&amp;INDEX(Eingabe!$C$9:$C$18,I1101)&amp;"-Vorstand  ·  eigenes WLAN",IF(J1101=K1101+2,Eingabe!$B$6&amp;"-"&amp;INDEX(Eingabe!$C$9:$C$18,I1101)&amp;"-Gäste  ·  Voucher",IF(J1101=K1101+3,"Kabel  ·  Access Point y = .(50+y), Mast-Switch x = .(10+x)","")))))</f>
        <v/>
      </c>
      <c r="I1101" s="0" t="str">
        <f aca="false">IF(1096&lt;=(Eingabe!$P$18+Eingabe!$Q$18-1),MATCH(1096,Eingabe!$P$9:$P$18,1),"")</f>
        <v/>
      </c>
      <c r="J1101" s="0" t="str">
        <f aca="false">IF(I1101="","",1096-INDEX(Eingabe!$P$9:$P$18,I1101))</f>
        <v/>
      </c>
      <c r="K1101" s="0" t="str">
        <f aca="false">IF(I1101="","",INDEX(Eingabe!$E$9:$E$18,I1101))</f>
        <v/>
      </c>
    </row>
    <row r="1102" customFormat="false" ht="15" hidden="false" customHeight="false" outlineLevel="0" collapsed="false">
      <c r="A1102" s="0" t="str">
        <f aca="false">IF(I1102="","",IF(J1102=0,"Sparte "&amp;I1102&amp;": "&amp;INDEX(Eingabe!$B$9:$B$18,I1102)&amp;"  (Sparten-ID "&amp;INDEX(Eingabe!$D$9:$D$18,I1102)&amp;", "&amp;K1102&amp;" Parzellen)",IF(J1102&lt;=K1102,"   Parzelle "&amp;J1102,IF(J1102=K1102+1,"   Vorstand",IF(J1102=K1102+2,"   Gäste",IF(J1102=K1102+3,"   Technik (Switches, Access Points)",""))))))</f>
        <v/>
      </c>
      <c r="B1102" s="0" t="str">
        <f aca="false">IF(I1102="","",IF(AND(J1102&gt;=1,J1102&lt;=K1102+3),IF(J1102&lt;=K1102,IF(J1102&lt;=99,IF((INDEX(Eingabe!$G$9:$G$18,I1102))&lt;=9,1000+(INDEX(Eingabe!$G$9:$G$18,I1102))*100,3000)+J1102,IF((INDEX(Eingabe!$G$9:$G$18,I1102)+1)&lt;=9,1000+(INDEX(Eingabe!$G$9:$G$18,I1102)+1)*100,3000)+J1102-100),IF(J1102=K1102+1,2000+INDEX(Eingabe!$G$9:$G$18,I1102)*10+1,IF(J1102=K1102+2,2000+INDEX(Eingabe!$G$9:$G$18,I1102)*10+2,2000+INDEX(Eingabe!$G$9:$G$18,I1102)*10+9))),""))</f>
        <v/>
      </c>
      <c r="C1102" s="0" t="str">
        <f aca="false">IF(I1102="","",IF(AND(J1102&gt;=1,J1102&lt;=K1102+3),"10."&amp;INDEX(Eingabe!$D$9:$D$18,I1102)&amp;"."&amp;IF(J1102&lt;=K1102,J1102,IF(J1102=K1102+1,200,IF(J1102=K1102+2,201,250)))&amp;".0/24",""))</f>
        <v/>
      </c>
      <c r="D1102" s="0" t="str">
        <f aca="false">IF(I1102="","",IF(AND(J1102&gt;=1,J1102&lt;=K1102+3),"255.255.255.0",""))</f>
        <v/>
      </c>
      <c r="E1102" s="0" t="str">
        <f aca="false">IF(I1102="","",IF(AND(J1102&gt;=1,J1102&lt;=K1102+3),"10."&amp;INDEX(Eingabe!$D$9:$D$18,I1102)&amp;"."&amp;IF(J1102&lt;=K1102,J1102,IF(J1102=K1102+1,200,IF(J1102=K1102+2,201,250)))&amp;".1",""))</f>
        <v/>
      </c>
      <c r="F1102" s="0" t="str">
        <f aca="false">IF(I1102="","",IF(AND(J1102&gt;=1,J1102&lt;=K1102+3),"10."&amp;INDEX(Eingabe!$D$9:$D$18,I1102)&amp;"."&amp;IF(J1102&lt;=K1102,J1102,IF(J1102=K1102+1,200,IF(J1102=K1102+2,201,250)))&amp;".10 – 10."&amp;INDEX(Eingabe!$D$9:$D$18,I1102)&amp;"."&amp;IF(J1102&lt;=K1102,J1102,IF(J1102=K1102+1,200,IF(J1102=K1102+2,201,250)))&amp;".250",""))</f>
        <v/>
      </c>
      <c r="G1102" s="0" t="str">
        <f aca="false">IF(I1102="","",IF(AND(J1102&gt;=1,J1102&lt;=K1102),Eingabe!$B$6&amp;"-"&amp;INDEX(Eingabe!$C$9:$C$18,I1102)&amp;"-Pächter  ·  Passwort Parzelle "&amp;J1102,IF(J1102=K1102+1,Eingabe!$B$6&amp;"-"&amp;INDEX(Eingabe!$C$9:$C$18,I1102)&amp;"-Vorstand  ·  eigenes WLAN",IF(J1102=K1102+2,Eingabe!$B$6&amp;"-"&amp;INDEX(Eingabe!$C$9:$C$18,I1102)&amp;"-Gäste  ·  Voucher",IF(J1102=K1102+3,"Kabel  ·  Access Point y = .(50+y), Mast-Switch x = .(10+x)","")))))</f>
        <v/>
      </c>
      <c r="I1102" s="0" t="str">
        <f aca="false">IF(1097&lt;=(Eingabe!$P$18+Eingabe!$Q$18-1),MATCH(1097,Eingabe!$P$9:$P$18,1),"")</f>
        <v/>
      </c>
      <c r="J1102" s="0" t="str">
        <f aca="false">IF(I1102="","",1097-INDEX(Eingabe!$P$9:$P$18,I1102))</f>
        <v/>
      </c>
      <c r="K1102" s="0" t="str">
        <f aca="false">IF(I1102="","",INDEX(Eingabe!$E$9:$E$18,I1102))</f>
        <v/>
      </c>
    </row>
    <row r="1103" customFormat="false" ht="15" hidden="false" customHeight="false" outlineLevel="0" collapsed="false">
      <c r="A1103" s="0" t="str">
        <f aca="false">IF(I1103="","",IF(J1103=0,"Sparte "&amp;I1103&amp;": "&amp;INDEX(Eingabe!$B$9:$B$18,I1103)&amp;"  (Sparten-ID "&amp;INDEX(Eingabe!$D$9:$D$18,I1103)&amp;", "&amp;K1103&amp;" Parzellen)",IF(J1103&lt;=K1103,"   Parzelle "&amp;J1103,IF(J1103=K1103+1,"   Vorstand",IF(J1103=K1103+2,"   Gäste",IF(J1103=K1103+3,"   Technik (Switches, Access Points)",""))))))</f>
        <v/>
      </c>
      <c r="B1103" s="0" t="str">
        <f aca="false">IF(I1103="","",IF(AND(J1103&gt;=1,J1103&lt;=K1103+3),IF(J1103&lt;=K1103,IF(J1103&lt;=99,IF((INDEX(Eingabe!$G$9:$G$18,I1103))&lt;=9,1000+(INDEX(Eingabe!$G$9:$G$18,I1103))*100,3000)+J1103,IF((INDEX(Eingabe!$G$9:$G$18,I1103)+1)&lt;=9,1000+(INDEX(Eingabe!$G$9:$G$18,I1103)+1)*100,3000)+J1103-100),IF(J1103=K1103+1,2000+INDEX(Eingabe!$G$9:$G$18,I1103)*10+1,IF(J1103=K1103+2,2000+INDEX(Eingabe!$G$9:$G$18,I1103)*10+2,2000+INDEX(Eingabe!$G$9:$G$18,I1103)*10+9))),""))</f>
        <v/>
      </c>
      <c r="C1103" s="0" t="str">
        <f aca="false">IF(I1103="","",IF(AND(J1103&gt;=1,J1103&lt;=K1103+3),"10."&amp;INDEX(Eingabe!$D$9:$D$18,I1103)&amp;"."&amp;IF(J1103&lt;=K1103,J1103,IF(J1103=K1103+1,200,IF(J1103=K1103+2,201,250)))&amp;".0/24",""))</f>
        <v/>
      </c>
      <c r="D1103" s="0" t="str">
        <f aca="false">IF(I1103="","",IF(AND(J1103&gt;=1,J1103&lt;=K1103+3),"255.255.255.0",""))</f>
        <v/>
      </c>
      <c r="E1103" s="0" t="str">
        <f aca="false">IF(I1103="","",IF(AND(J1103&gt;=1,J1103&lt;=K1103+3),"10."&amp;INDEX(Eingabe!$D$9:$D$18,I1103)&amp;"."&amp;IF(J1103&lt;=K1103,J1103,IF(J1103=K1103+1,200,IF(J1103=K1103+2,201,250)))&amp;".1",""))</f>
        <v/>
      </c>
      <c r="F1103" s="0" t="str">
        <f aca="false">IF(I1103="","",IF(AND(J1103&gt;=1,J1103&lt;=K1103+3),"10."&amp;INDEX(Eingabe!$D$9:$D$18,I1103)&amp;"."&amp;IF(J1103&lt;=K1103,J1103,IF(J1103=K1103+1,200,IF(J1103=K1103+2,201,250)))&amp;".10 – 10."&amp;INDEX(Eingabe!$D$9:$D$18,I1103)&amp;"."&amp;IF(J1103&lt;=K1103,J1103,IF(J1103=K1103+1,200,IF(J1103=K1103+2,201,250)))&amp;".250",""))</f>
        <v/>
      </c>
      <c r="G1103" s="0" t="str">
        <f aca="false">IF(I1103="","",IF(AND(J1103&gt;=1,J1103&lt;=K1103),Eingabe!$B$6&amp;"-"&amp;INDEX(Eingabe!$C$9:$C$18,I1103)&amp;"-Pächter  ·  Passwort Parzelle "&amp;J1103,IF(J1103=K1103+1,Eingabe!$B$6&amp;"-"&amp;INDEX(Eingabe!$C$9:$C$18,I1103)&amp;"-Vorstand  ·  eigenes WLAN",IF(J1103=K1103+2,Eingabe!$B$6&amp;"-"&amp;INDEX(Eingabe!$C$9:$C$18,I1103)&amp;"-Gäste  ·  Voucher",IF(J1103=K1103+3,"Kabel  ·  Access Point y = .(50+y), Mast-Switch x = .(10+x)","")))))</f>
        <v/>
      </c>
      <c r="I1103" s="0" t="str">
        <f aca="false">IF(1098&lt;=(Eingabe!$P$18+Eingabe!$Q$18-1),MATCH(1098,Eingabe!$P$9:$P$18,1),"")</f>
        <v/>
      </c>
      <c r="J1103" s="0" t="str">
        <f aca="false">IF(I1103="","",1098-INDEX(Eingabe!$P$9:$P$18,I1103))</f>
        <v/>
      </c>
      <c r="K1103" s="0" t="str">
        <f aca="false">IF(I1103="","",INDEX(Eingabe!$E$9:$E$18,I1103))</f>
        <v/>
      </c>
    </row>
    <row r="1104" customFormat="false" ht="15" hidden="false" customHeight="false" outlineLevel="0" collapsed="false">
      <c r="A1104" s="0" t="str">
        <f aca="false">IF(I1104="","",IF(J1104=0,"Sparte "&amp;I1104&amp;": "&amp;INDEX(Eingabe!$B$9:$B$18,I1104)&amp;"  (Sparten-ID "&amp;INDEX(Eingabe!$D$9:$D$18,I1104)&amp;", "&amp;K1104&amp;" Parzellen)",IF(J1104&lt;=K1104,"   Parzelle "&amp;J1104,IF(J1104=K1104+1,"   Vorstand",IF(J1104=K1104+2,"   Gäste",IF(J1104=K1104+3,"   Technik (Switches, Access Points)",""))))))</f>
        <v/>
      </c>
      <c r="B1104" s="0" t="str">
        <f aca="false">IF(I1104="","",IF(AND(J1104&gt;=1,J1104&lt;=K1104+3),IF(J1104&lt;=K1104,IF(J1104&lt;=99,IF((INDEX(Eingabe!$G$9:$G$18,I1104))&lt;=9,1000+(INDEX(Eingabe!$G$9:$G$18,I1104))*100,3000)+J1104,IF((INDEX(Eingabe!$G$9:$G$18,I1104)+1)&lt;=9,1000+(INDEX(Eingabe!$G$9:$G$18,I1104)+1)*100,3000)+J1104-100),IF(J1104=K1104+1,2000+INDEX(Eingabe!$G$9:$G$18,I1104)*10+1,IF(J1104=K1104+2,2000+INDEX(Eingabe!$G$9:$G$18,I1104)*10+2,2000+INDEX(Eingabe!$G$9:$G$18,I1104)*10+9))),""))</f>
        <v/>
      </c>
      <c r="C1104" s="0" t="str">
        <f aca="false">IF(I1104="","",IF(AND(J1104&gt;=1,J1104&lt;=K1104+3),"10."&amp;INDEX(Eingabe!$D$9:$D$18,I1104)&amp;"."&amp;IF(J1104&lt;=K1104,J1104,IF(J1104=K1104+1,200,IF(J1104=K1104+2,201,250)))&amp;".0/24",""))</f>
        <v/>
      </c>
      <c r="D1104" s="0" t="str">
        <f aca="false">IF(I1104="","",IF(AND(J1104&gt;=1,J1104&lt;=K1104+3),"255.255.255.0",""))</f>
        <v/>
      </c>
      <c r="E1104" s="0" t="str">
        <f aca="false">IF(I1104="","",IF(AND(J1104&gt;=1,J1104&lt;=K1104+3),"10."&amp;INDEX(Eingabe!$D$9:$D$18,I1104)&amp;"."&amp;IF(J1104&lt;=K1104,J1104,IF(J1104=K1104+1,200,IF(J1104=K1104+2,201,250)))&amp;".1",""))</f>
        <v/>
      </c>
      <c r="F1104" s="0" t="str">
        <f aca="false">IF(I1104="","",IF(AND(J1104&gt;=1,J1104&lt;=K1104+3),"10."&amp;INDEX(Eingabe!$D$9:$D$18,I1104)&amp;"."&amp;IF(J1104&lt;=K1104,J1104,IF(J1104=K1104+1,200,IF(J1104=K1104+2,201,250)))&amp;".10 – 10."&amp;INDEX(Eingabe!$D$9:$D$18,I1104)&amp;"."&amp;IF(J1104&lt;=K1104,J1104,IF(J1104=K1104+1,200,IF(J1104=K1104+2,201,250)))&amp;".250",""))</f>
        <v/>
      </c>
      <c r="G1104" s="0" t="str">
        <f aca="false">IF(I1104="","",IF(AND(J1104&gt;=1,J1104&lt;=K1104),Eingabe!$B$6&amp;"-"&amp;INDEX(Eingabe!$C$9:$C$18,I1104)&amp;"-Pächter  ·  Passwort Parzelle "&amp;J1104,IF(J1104=K1104+1,Eingabe!$B$6&amp;"-"&amp;INDEX(Eingabe!$C$9:$C$18,I1104)&amp;"-Vorstand  ·  eigenes WLAN",IF(J1104=K1104+2,Eingabe!$B$6&amp;"-"&amp;INDEX(Eingabe!$C$9:$C$18,I1104)&amp;"-Gäste  ·  Voucher",IF(J1104=K1104+3,"Kabel  ·  Access Point y = .(50+y), Mast-Switch x = .(10+x)","")))))</f>
        <v/>
      </c>
      <c r="I1104" s="0" t="str">
        <f aca="false">IF(1099&lt;=(Eingabe!$P$18+Eingabe!$Q$18-1),MATCH(1099,Eingabe!$P$9:$P$18,1),"")</f>
        <v/>
      </c>
      <c r="J1104" s="0" t="str">
        <f aca="false">IF(I1104="","",1099-INDEX(Eingabe!$P$9:$P$18,I1104))</f>
        <v/>
      </c>
      <c r="K1104" s="0" t="str">
        <f aca="false">IF(I1104="","",INDEX(Eingabe!$E$9:$E$18,I1104))</f>
        <v/>
      </c>
    </row>
    <row r="1105" customFormat="false" ht="15" hidden="false" customHeight="false" outlineLevel="0" collapsed="false">
      <c r="A1105" s="0" t="str">
        <f aca="false">IF(I1105="","",IF(J1105=0,"Sparte "&amp;I1105&amp;": "&amp;INDEX(Eingabe!$B$9:$B$18,I1105)&amp;"  (Sparten-ID "&amp;INDEX(Eingabe!$D$9:$D$18,I1105)&amp;", "&amp;K1105&amp;" Parzellen)",IF(J1105&lt;=K1105,"   Parzelle "&amp;J1105,IF(J1105=K1105+1,"   Vorstand",IF(J1105=K1105+2,"   Gäste",IF(J1105=K1105+3,"   Technik (Switches, Access Points)",""))))))</f>
        <v/>
      </c>
      <c r="B1105" s="0" t="str">
        <f aca="false">IF(I1105="","",IF(AND(J1105&gt;=1,J1105&lt;=K1105+3),IF(J1105&lt;=K1105,IF(J1105&lt;=99,IF((INDEX(Eingabe!$G$9:$G$18,I1105))&lt;=9,1000+(INDEX(Eingabe!$G$9:$G$18,I1105))*100,3000)+J1105,IF((INDEX(Eingabe!$G$9:$G$18,I1105)+1)&lt;=9,1000+(INDEX(Eingabe!$G$9:$G$18,I1105)+1)*100,3000)+J1105-100),IF(J1105=K1105+1,2000+INDEX(Eingabe!$G$9:$G$18,I1105)*10+1,IF(J1105=K1105+2,2000+INDEX(Eingabe!$G$9:$G$18,I1105)*10+2,2000+INDEX(Eingabe!$G$9:$G$18,I1105)*10+9))),""))</f>
        <v/>
      </c>
      <c r="C1105" s="0" t="str">
        <f aca="false">IF(I1105="","",IF(AND(J1105&gt;=1,J1105&lt;=K1105+3),"10."&amp;INDEX(Eingabe!$D$9:$D$18,I1105)&amp;"."&amp;IF(J1105&lt;=K1105,J1105,IF(J1105=K1105+1,200,IF(J1105=K1105+2,201,250)))&amp;".0/24",""))</f>
        <v/>
      </c>
      <c r="D1105" s="0" t="str">
        <f aca="false">IF(I1105="","",IF(AND(J1105&gt;=1,J1105&lt;=K1105+3),"255.255.255.0",""))</f>
        <v/>
      </c>
      <c r="E1105" s="0" t="str">
        <f aca="false">IF(I1105="","",IF(AND(J1105&gt;=1,J1105&lt;=K1105+3),"10."&amp;INDEX(Eingabe!$D$9:$D$18,I1105)&amp;"."&amp;IF(J1105&lt;=K1105,J1105,IF(J1105=K1105+1,200,IF(J1105=K1105+2,201,250)))&amp;".1",""))</f>
        <v/>
      </c>
      <c r="F1105" s="0" t="str">
        <f aca="false">IF(I1105="","",IF(AND(J1105&gt;=1,J1105&lt;=K1105+3),"10."&amp;INDEX(Eingabe!$D$9:$D$18,I1105)&amp;"."&amp;IF(J1105&lt;=K1105,J1105,IF(J1105=K1105+1,200,IF(J1105=K1105+2,201,250)))&amp;".10 – 10."&amp;INDEX(Eingabe!$D$9:$D$18,I1105)&amp;"."&amp;IF(J1105&lt;=K1105,J1105,IF(J1105=K1105+1,200,IF(J1105=K1105+2,201,250)))&amp;".250",""))</f>
        <v/>
      </c>
      <c r="G1105" s="0" t="str">
        <f aca="false">IF(I1105="","",IF(AND(J1105&gt;=1,J1105&lt;=K1105),Eingabe!$B$6&amp;"-"&amp;INDEX(Eingabe!$C$9:$C$18,I1105)&amp;"-Pächter  ·  Passwort Parzelle "&amp;J1105,IF(J1105=K1105+1,Eingabe!$B$6&amp;"-"&amp;INDEX(Eingabe!$C$9:$C$18,I1105)&amp;"-Vorstand  ·  eigenes WLAN",IF(J1105=K1105+2,Eingabe!$B$6&amp;"-"&amp;INDEX(Eingabe!$C$9:$C$18,I1105)&amp;"-Gäste  ·  Voucher",IF(J1105=K1105+3,"Kabel  ·  Access Point y = .(50+y), Mast-Switch x = .(10+x)","")))))</f>
        <v/>
      </c>
      <c r="I1105" s="0" t="str">
        <f aca="false">IF(1100&lt;=(Eingabe!$P$18+Eingabe!$Q$18-1),MATCH(1100,Eingabe!$P$9:$P$18,1),"")</f>
        <v/>
      </c>
      <c r="J1105" s="0" t="str">
        <f aca="false">IF(I1105="","",1100-INDEX(Eingabe!$P$9:$P$18,I1105))</f>
        <v/>
      </c>
      <c r="K1105" s="0" t="str">
        <f aca="false">IF(I1105="","",INDEX(Eingabe!$E$9:$E$18,I1105))</f>
        <v/>
      </c>
    </row>
    <row r="1106" customFormat="false" ht="15" hidden="false" customHeight="false" outlineLevel="0" collapsed="false">
      <c r="A1106" s="0" t="str">
        <f aca="false">IF(I1106="","",IF(J1106=0,"Sparte "&amp;I1106&amp;": "&amp;INDEX(Eingabe!$B$9:$B$18,I1106)&amp;"  (Sparten-ID "&amp;INDEX(Eingabe!$D$9:$D$18,I1106)&amp;", "&amp;K1106&amp;" Parzellen)",IF(J1106&lt;=K1106,"   Parzelle "&amp;J1106,IF(J1106=K1106+1,"   Vorstand",IF(J1106=K1106+2,"   Gäste",IF(J1106=K1106+3,"   Technik (Switches, Access Points)",""))))))</f>
        <v/>
      </c>
      <c r="B1106" s="0" t="str">
        <f aca="false">IF(I1106="","",IF(AND(J1106&gt;=1,J1106&lt;=K1106+3),IF(J1106&lt;=K1106,IF(J1106&lt;=99,IF((INDEX(Eingabe!$G$9:$G$18,I1106))&lt;=9,1000+(INDEX(Eingabe!$G$9:$G$18,I1106))*100,3000)+J1106,IF((INDEX(Eingabe!$G$9:$G$18,I1106)+1)&lt;=9,1000+(INDEX(Eingabe!$G$9:$G$18,I1106)+1)*100,3000)+J1106-100),IF(J1106=K1106+1,2000+INDEX(Eingabe!$G$9:$G$18,I1106)*10+1,IF(J1106=K1106+2,2000+INDEX(Eingabe!$G$9:$G$18,I1106)*10+2,2000+INDEX(Eingabe!$G$9:$G$18,I1106)*10+9))),""))</f>
        <v/>
      </c>
      <c r="C1106" s="0" t="str">
        <f aca="false">IF(I1106="","",IF(AND(J1106&gt;=1,J1106&lt;=K1106+3),"10."&amp;INDEX(Eingabe!$D$9:$D$18,I1106)&amp;"."&amp;IF(J1106&lt;=K1106,J1106,IF(J1106=K1106+1,200,IF(J1106=K1106+2,201,250)))&amp;".0/24",""))</f>
        <v/>
      </c>
      <c r="D1106" s="0" t="str">
        <f aca="false">IF(I1106="","",IF(AND(J1106&gt;=1,J1106&lt;=K1106+3),"255.255.255.0",""))</f>
        <v/>
      </c>
      <c r="E1106" s="0" t="str">
        <f aca="false">IF(I1106="","",IF(AND(J1106&gt;=1,J1106&lt;=K1106+3),"10."&amp;INDEX(Eingabe!$D$9:$D$18,I1106)&amp;"."&amp;IF(J1106&lt;=K1106,J1106,IF(J1106=K1106+1,200,IF(J1106=K1106+2,201,250)))&amp;".1",""))</f>
        <v/>
      </c>
      <c r="F1106" s="0" t="str">
        <f aca="false">IF(I1106="","",IF(AND(J1106&gt;=1,J1106&lt;=K1106+3),"10."&amp;INDEX(Eingabe!$D$9:$D$18,I1106)&amp;"."&amp;IF(J1106&lt;=K1106,J1106,IF(J1106=K1106+1,200,IF(J1106=K1106+2,201,250)))&amp;".10 – 10."&amp;INDEX(Eingabe!$D$9:$D$18,I1106)&amp;"."&amp;IF(J1106&lt;=K1106,J1106,IF(J1106=K1106+1,200,IF(J1106=K1106+2,201,250)))&amp;".250",""))</f>
        <v/>
      </c>
      <c r="G1106" s="0" t="str">
        <f aca="false">IF(I1106="","",IF(AND(J1106&gt;=1,J1106&lt;=K1106),Eingabe!$B$6&amp;"-"&amp;INDEX(Eingabe!$C$9:$C$18,I1106)&amp;"-Pächter  ·  Passwort Parzelle "&amp;J1106,IF(J1106=K1106+1,Eingabe!$B$6&amp;"-"&amp;INDEX(Eingabe!$C$9:$C$18,I1106)&amp;"-Vorstand  ·  eigenes WLAN",IF(J1106=K1106+2,Eingabe!$B$6&amp;"-"&amp;INDEX(Eingabe!$C$9:$C$18,I1106)&amp;"-Gäste  ·  Voucher",IF(J1106=K1106+3,"Kabel  ·  Access Point y = .(50+y), Mast-Switch x = .(10+x)","")))))</f>
        <v/>
      </c>
      <c r="I1106" s="0" t="str">
        <f aca="false">IF(1101&lt;=(Eingabe!$P$18+Eingabe!$Q$18-1),MATCH(1101,Eingabe!$P$9:$P$18,1),"")</f>
        <v/>
      </c>
      <c r="J1106" s="0" t="str">
        <f aca="false">IF(I1106="","",1101-INDEX(Eingabe!$P$9:$P$18,I1106))</f>
        <v/>
      </c>
      <c r="K1106" s="0" t="str">
        <f aca="false">IF(I1106="","",INDEX(Eingabe!$E$9:$E$18,I1106))</f>
        <v/>
      </c>
    </row>
    <row r="1107" customFormat="false" ht="15" hidden="false" customHeight="false" outlineLevel="0" collapsed="false">
      <c r="A1107" s="0" t="str">
        <f aca="false">IF(I1107="","",IF(J1107=0,"Sparte "&amp;I1107&amp;": "&amp;INDEX(Eingabe!$B$9:$B$18,I1107)&amp;"  (Sparten-ID "&amp;INDEX(Eingabe!$D$9:$D$18,I1107)&amp;", "&amp;K1107&amp;" Parzellen)",IF(J1107&lt;=K1107,"   Parzelle "&amp;J1107,IF(J1107=K1107+1,"   Vorstand",IF(J1107=K1107+2,"   Gäste",IF(J1107=K1107+3,"   Technik (Switches, Access Points)",""))))))</f>
        <v/>
      </c>
      <c r="B1107" s="0" t="str">
        <f aca="false">IF(I1107="","",IF(AND(J1107&gt;=1,J1107&lt;=K1107+3),IF(J1107&lt;=K1107,IF(J1107&lt;=99,IF((INDEX(Eingabe!$G$9:$G$18,I1107))&lt;=9,1000+(INDEX(Eingabe!$G$9:$G$18,I1107))*100,3000)+J1107,IF((INDEX(Eingabe!$G$9:$G$18,I1107)+1)&lt;=9,1000+(INDEX(Eingabe!$G$9:$G$18,I1107)+1)*100,3000)+J1107-100),IF(J1107=K1107+1,2000+INDEX(Eingabe!$G$9:$G$18,I1107)*10+1,IF(J1107=K1107+2,2000+INDEX(Eingabe!$G$9:$G$18,I1107)*10+2,2000+INDEX(Eingabe!$G$9:$G$18,I1107)*10+9))),""))</f>
        <v/>
      </c>
      <c r="C1107" s="0" t="str">
        <f aca="false">IF(I1107="","",IF(AND(J1107&gt;=1,J1107&lt;=K1107+3),"10."&amp;INDEX(Eingabe!$D$9:$D$18,I1107)&amp;"."&amp;IF(J1107&lt;=K1107,J1107,IF(J1107=K1107+1,200,IF(J1107=K1107+2,201,250)))&amp;".0/24",""))</f>
        <v/>
      </c>
      <c r="D1107" s="0" t="str">
        <f aca="false">IF(I1107="","",IF(AND(J1107&gt;=1,J1107&lt;=K1107+3),"255.255.255.0",""))</f>
        <v/>
      </c>
      <c r="E1107" s="0" t="str">
        <f aca="false">IF(I1107="","",IF(AND(J1107&gt;=1,J1107&lt;=K1107+3),"10."&amp;INDEX(Eingabe!$D$9:$D$18,I1107)&amp;"."&amp;IF(J1107&lt;=K1107,J1107,IF(J1107=K1107+1,200,IF(J1107=K1107+2,201,250)))&amp;".1",""))</f>
        <v/>
      </c>
      <c r="F1107" s="0" t="str">
        <f aca="false">IF(I1107="","",IF(AND(J1107&gt;=1,J1107&lt;=K1107+3),"10."&amp;INDEX(Eingabe!$D$9:$D$18,I1107)&amp;"."&amp;IF(J1107&lt;=K1107,J1107,IF(J1107=K1107+1,200,IF(J1107=K1107+2,201,250)))&amp;".10 – 10."&amp;INDEX(Eingabe!$D$9:$D$18,I1107)&amp;"."&amp;IF(J1107&lt;=K1107,J1107,IF(J1107=K1107+1,200,IF(J1107=K1107+2,201,250)))&amp;".250",""))</f>
        <v/>
      </c>
      <c r="G1107" s="0" t="str">
        <f aca="false">IF(I1107="","",IF(AND(J1107&gt;=1,J1107&lt;=K1107),Eingabe!$B$6&amp;"-"&amp;INDEX(Eingabe!$C$9:$C$18,I1107)&amp;"-Pächter  ·  Passwort Parzelle "&amp;J1107,IF(J1107=K1107+1,Eingabe!$B$6&amp;"-"&amp;INDEX(Eingabe!$C$9:$C$18,I1107)&amp;"-Vorstand  ·  eigenes WLAN",IF(J1107=K1107+2,Eingabe!$B$6&amp;"-"&amp;INDEX(Eingabe!$C$9:$C$18,I1107)&amp;"-Gäste  ·  Voucher",IF(J1107=K1107+3,"Kabel  ·  Access Point y = .(50+y), Mast-Switch x = .(10+x)","")))))</f>
        <v/>
      </c>
      <c r="I1107" s="0" t="str">
        <f aca="false">IF(1102&lt;=(Eingabe!$P$18+Eingabe!$Q$18-1),MATCH(1102,Eingabe!$P$9:$P$18,1),"")</f>
        <v/>
      </c>
      <c r="J1107" s="0" t="str">
        <f aca="false">IF(I1107="","",1102-INDEX(Eingabe!$P$9:$P$18,I1107))</f>
        <v/>
      </c>
      <c r="K1107" s="0" t="str">
        <f aca="false">IF(I1107="","",INDEX(Eingabe!$E$9:$E$18,I1107))</f>
        <v/>
      </c>
    </row>
    <row r="1108" customFormat="false" ht="15" hidden="false" customHeight="false" outlineLevel="0" collapsed="false">
      <c r="A1108" s="0" t="str">
        <f aca="false">IF(I1108="","",IF(J1108=0,"Sparte "&amp;I1108&amp;": "&amp;INDEX(Eingabe!$B$9:$B$18,I1108)&amp;"  (Sparten-ID "&amp;INDEX(Eingabe!$D$9:$D$18,I1108)&amp;", "&amp;K1108&amp;" Parzellen)",IF(J1108&lt;=K1108,"   Parzelle "&amp;J1108,IF(J1108=K1108+1,"   Vorstand",IF(J1108=K1108+2,"   Gäste",IF(J1108=K1108+3,"   Technik (Switches, Access Points)",""))))))</f>
        <v/>
      </c>
      <c r="B1108" s="0" t="str">
        <f aca="false">IF(I1108="","",IF(AND(J1108&gt;=1,J1108&lt;=K1108+3),IF(J1108&lt;=K1108,IF(J1108&lt;=99,IF((INDEX(Eingabe!$G$9:$G$18,I1108))&lt;=9,1000+(INDEX(Eingabe!$G$9:$G$18,I1108))*100,3000)+J1108,IF((INDEX(Eingabe!$G$9:$G$18,I1108)+1)&lt;=9,1000+(INDEX(Eingabe!$G$9:$G$18,I1108)+1)*100,3000)+J1108-100),IF(J1108=K1108+1,2000+INDEX(Eingabe!$G$9:$G$18,I1108)*10+1,IF(J1108=K1108+2,2000+INDEX(Eingabe!$G$9:$G$18,I1108)*10+2,2000+INDEX(Eingabe!$G$9:$G$18,I1108)*10+9))),""))</f>
        <v/>
      </c>
      <c r="C1108" s="0" t="str">
        <f aca="false">IF(I1108="","",IF(AND(J1108&gt;=1,J1108&lt;=K1108+3),"10."&amp;INDEX(Eingabe!$D$9:$D$18,I1108)&amp;"."&amp;IF(J1108&lt;=K1108,J1108,IF(J1108=K1108+1,200,IF(J1108=K1108+2,201,250)))&amp;".0/24",""))</f>
        <v/>
      </c>
      <c r="D1108" s="0" t="str">
        <f aca="false">IF(I1108="","",IF(AND(J1108&gt;=1,J1108&lt;=K1108+3),"255.255.255.0",""))</f>
        <v/>
      </c>
      <c r="E1108" s="0" t="str">
        <f aca="false">IF(I1108="","",IF(AND(J1108&gt;=1,J1108&lt;=K1108+3),"10."&amp;INDEX(Eingabe!$D$9:$D$18,I1108)&amp;"."&amp;IF(J1108&lt;=K1108,J1108,IF(J1108=K1108+1,200,IF(J1108=K1108+2,201,250)))&amp;".1",""))</f>
        <v/>
      </c>
      <c r="F1108" s="0" t="str">
        <f aca="false">IF(I1108="","",IF(AND(J1108&gt;=1,J1108&lt;=K1108+3),"10."&amp;INDEX(Eingabe!$D$9:$D$18,I1108)&amp;"."&amp;IF(J1108&lt;=K1108,J1108,IF(J1108=K1108+1,200,IF(J1108=K1108+2,201,250)))&amp;".10 – 10."&amp;INDEX(Eingabe!$D$9:$D$18,I1108)&amp;"."&amp;IF(J1108&lt;=K1108,J1108,IF(J1108=K1108+1,200,IF(J1108=K1108+2,201,250)))&amp;".250",""))</f>
        <v/>
      </c>
      <c r="G1108" s="0" t="str">
        <f aca="false">IF(I1108="","",IF(AND(J1108&gt;=1,J1108&lt;=K1108),Eingabe!$B$6&amp;"-"&amp;INDEX(Eingabe!$C$9:$C$18,I1108)&amp;"-Pächter  ·  Passwort Parzelle "&amp;J1108,IF(J1108=K1108+1,Eingabe!$B$6&amp;"-"&amp;INDEX(Eingabe!$C$9:$C$18,I1108)&amp;"-Vorstand  ·  eigenes WLAN",IF(J1108=K1108+2,Eingabe!$B$6&amp;"-"&amp;INDEX(Eingabe!$C$9:$C$18,I1108)&amp;"-Gäste  ·  Voucher",IF(J1108=K1108+3,"Kabel  ·  Access Point y = .(50+y), Mast-Switch x = .(10+x)","")))))</f>
        <v/>
      </c>
      <c r="I1108" s="0" t="str">
        <f aca="false">IF(1103&lt;=(Eingabe!$P$18+Eingabe!$Q$18-1),MATCH(1103,Eingabe!$P$9:$P$18,1),"")</f>
        <v/>
      </c>
      <c r="J1108" s="0" t="str">
        <f aca="false">IF(I1108="","",1103-INDEX(Eingabe!$P$9:$P$18,I1108))</f>
        <v/>
      </c>
      <c r="K1108" s="0" t="str">
        <f aca="false">IF(I1108="","",INDEX(Eingabe!$E$9:$E$18,I1108))</f>
        <v/>
      </c>
    </row>
    <row r="1109" customFormat="false" ht="15" hidden="false" customHeight="false" outlineLevel="0" collapsed="false">
      <c r="A1109" s="0" t="str">
        <f aca="false">IF(I1109="","",IF(J1109=0,"Sparte "&amp;I1109&amp;": "&amp;INDEX(Eingabe!$B$9:$B$18,I1109)&amp;"  (Sparten-ID "&amp;INDEX(Eingabe!$D$9:$D$18,I1109)&amp;", "&amp;K1109&amp;" Parzellen)",IF(J1109&lt;=K1109,"   Parzelle "&amp;J1109,IF(J1109=K1109+1,"   Vorstand",IF(J1109=K1109+2,"   Gäste",IF(J1109=K1109+3,"   Technik (Switches, Access Points)",""))))))</f>
        <v/>
      </c>
      <c r="B1109" s="0" t="str">
        <f aca="false">IF(I1109="","",IF(AND(J1109&gt;=1,J1109&lt;=K1109+3),IF(J1109&lt;=K1109,IF(J1109&lt;=99,IF((INDEX(Eingabe!$G$9:$G$18,I1109))&lt;=9,1000+(INDEX(Eingabe!$G$9:$G$18,I1109))*100,3000)+J1109,IF((INDEX(Eingabe!$G$9:$G$18,I1109)+1)&lt;=9,1000+(INDEX(Eingabe!$G$9:$G$18,I1109)+1)*100,3000)+J1109-100),IF(J1109=K1109+1,2000+INDEX(Eingabe!$G$9:$G$18,I1109)*10+1,IF(J1109=K1109+2,2000+INDEX(Eingabe!$G$9:$G$18,I1109)*10+2,2000+INDEX(Eingabe!$G$9:$G$18,I1109)*10+9))),""))</f>
        <v/>
      </c>
      <c r="C1109" s="0" t="str">
        <f aca="false">IF(I1109="","",IF(AND(J1109&gt;=1,J1109&lt;=K1109+3),"10."&amp;INDEX(Eingabe!$D$9:$D$18,I1109)&amp;"."&amp;IF(J1109&lt;=K1109,J1109,IF(J1109=K1109+1,200,IF(J1109=K1109+2,201,250)))&amp;".0/24",""))</f>
        <v/>
      </c>
      <c r="D1109" s="0" t="str">
        <f aca="false">IF(I1109="","",IF(AND(J1109&gt;=1,J1109&lt;=K1109+3),"255.255.255.0",""))</f>
        <v/>
      </c>
      <c r="E1109" s="0" t="str">
        <f aca="false">IF(I1109="","",IF(AND(J1109&gt;=1,J1109&lt;=K1109+3),"10."&amp;INDEX(Eingabe!$D$9:$D$18,I1109)&amp;"."&amp;IF(J1109&lt;=K1109,J1109,IF(J1109=K1109+1,200,IF(J1109=K1109+2,201,250)))&amp;".1",""))</f>
        <v/>
      </c>
      <c r="F1109" s="0" t="str">
        <f aca="false">IF(I1109="","",IF(AND(J1109&gt;=1,J1109&lt;=K1109+3),"10."&amp;INDEX(Eingabe!$D$9:$D$18,I1109)&amp;"."&amp;IF(J1109&lt;=K1109,J1109,IF(J1109=K1109+1,200,IF(J1109=K1109+2,201,250)))&amp;".10 – 10."&amp;INDEX(Eingabe!$D$9:$D$18,I1109)&amp;"."&amp;IF(J1109&lt;=K1109,J1109,IF(J1109=K1109+1,200,IF(J1109=K1109+2,201,250)))&amp;".250",""))</f>
        <v/>
      </c>
      <c r="G1109" s="0" t="str">
        <f aca="false">IF(I1109="","",IF(AND(J1109&gt;=1,J1109&lt;=K1109),Eingabe!$B$6&amp;"-"&amp;INDEX(Eingabe!$C$9:$C$18,I1109)&amp;"-Pächter  ·  Passwort Parzelle "&amp;J1109,IF(J1109=K1109+1,Eingabe!$B$6&amp;"-"&amp;INDEX(Eingabe!$C$9:$C$18,I1109)&amp;"-Vorstand  ·  eigenes WLAN",IF(J1109=K1109+2,Eingabe!$B$6&amp;"-"&amp;INDEX(Eingabe!$C$9:$C$18,I1109)&amp;"-Gäste  ·  Voucher",IF(J1109=K1109+3,"Kabel  ·  Access Point y = .(50+y), Mast-Switch x = .(10+x)","")))))</f>
        <v/>
      </c>
      <c r="I1109" s="0" t="str">
        <f aca="false">IF(1104&lt;=(Eingabe!$P$18+Eingabe!$Q$18-1),MATCH(1104,Eingabe!$P$9:$P$18,1),"")</f>
        <v/>
      </c>
      <c r="J1109" s="0" t="str">
        <f aca="false">IF(I1109="","",1104-INDEX(Eingabe!$P$9:$P$18,I1109))</f>
        <v/>
      </c>
      <c r="K1109" s="0" t="str">
        <f aca="false">IF(I1109="","",INDEX(Eingabe!$E$9:$E$18,I1109))</f>
        <v/>
      </c>
    </row>
    <row r="1110" customFormat="false" ht="15" hidden="false" customHeight="false" outlineLevel="0" collapsed="false">
      <c r="A1110" s="0" t="str">
        <f aca="false">IF(I1110="","",IF(J1110=0,"Sparte "&amp;I1110&amp;": "&amp;INDEX(Eingabe!$B$9:$B$18,I1110)&amp;"  (Sparten-ID "&amp;INDEX(Eingabe!$D$9:$D$18,I1110)&amp;", "&amp;K1110&amp;" Parzellen)",IF(J1110&lt;=K1110,"   Parzelle "&amp;J1110,IF(J1110=K1110+1,"   Vorstand",IF(J1110=K1110+2,"   Gäste",IF(J1110=K1110+3,"   Technik (Switches, Access Points)",""))))))</f>
        <v/>
      </c>
      <c r="B1110" s="0" t="str">
        <f aca="false">IF(I1110="","",IF(AND(J1110&gt;=1,J1110&lt;=K1110+3),IF(J1110&lt;=K1110,IF(J1110&lt;=99,IF((INDEX(Eingabe!$G$9:$G$18,I1110))&lt;=9,1000+(INDEX(Eingabe!$G$9:$G$18,I1110))*100,3000)+J1110,IF((INDEX(Eingabe!$G$9:$G$18,I1110)+1)&lt;=9,1000+(INDEX(Eingabe!$G$9:$G$18,I1110)+1)*100,3000)+J1110-100),IF(J1110=K1110+1,2000+INDEX(Eingabe!$G$9:$G$18,I1110)*10+1,IF(J1110=K1110+2,2000+INDEX(Eingabe!$G$9:$G$18,I1110)*10+2,2000+INDEX(Eingabe!$G$9:$G$18,I1110)*10+9))),""))</f>
        <v/>
      </c>
      <c r="C1110" s="0" t="str">
        <f aca="false">IF(I1110="","",IF(AND(J1110&gt;=1,J1110&lt;=K1110+3),"10."&amp;INDEX(Eingabe!$D$9:$D$18,I1110)&amp;"."&amp;IF(J1110&lt;=K1110,J1110,IF(J1110=K1110+1,200,IF(J1110=K1110+2,201,250)))&amp;".0/24",""))</f>
        <v/>
      </c>
      <c r="D1110" s="0" t="str">
        <f aca="false">IF(I1110="","",IF(AND(J1110&gt;=1,J1110&lt;=K1110+3),"255.255.255.0",""))</f>
        <v/>
      </c>
      <c r="E1110" s="0" t="str">
        <f aca="false">IF(I1110="","",IF(AND(J1110&gt;=1,J1110&lt;=K1110+3),"10."&amp;INDEX(Eingabe!$D$9:$D$18,I1110)&amp;"."&amp;IF(J1110&lt;=K1110,J1110,IF(J1110=K1110+1,200,IF(J1110=K1110+2,201,250)))&amp;".1",""))</f>
        <v/>
      </c>
      <c r="F1110" s="0" t="str">
        <f aca="false">IF(I1110="","",IF(AND(J1110&gt;=1,J1110&lt;=K1110+3),"10."&amp;INDEX(Eingabe!$D$9:$D$18,I1110)&amp;"."&amp;IF(J1110&lt;=K1110,J1110,IF(J1110=K1110+1,200,IF(J1110=K1110+2,201,250)))&amp;".10 – 10."&amp;INDEX(Eingabe!$D$9:$D$18,I1110)&amp;"."&amp;IF(J1110&lt;=K1110,J1110,IF(J1110=K1110+1,200,IF(J1110=K1110+2,201,250)))&amp;".250",""))</f>
        <v/>
      </c>
      <c r="G1110" s="0" t="str">
        <f aca="false">IF(I1110="","",IF(AND(J1110&gt;=1,J1110&lt;=K1110),Eingabe!$B$6&amp;"-"&amp;INDEX(Eingabe!$C$9:$C$18,I1110)&amp;"-Pächter  ·  Passwort Parzelle "&amp;J1110,IF(J1110=K1110+1,Eingabe!$B$6&amp;"-"&amp;INDEX(Eingabe!$C$9:$C$18,I1110)&amp;"-Vorstand  ·  eigenes WLAN",IF(J1110=K1110+2,Eingabe!$B$6&amp;"-"&amp;INDEX(Eingabe!$C$9:$C$18,I1110)&amp;"-Gäste  ·  Voucher",IF(J1110=K1110+3,"Kabel  ·  Access Point y = .(50+y), Mast-Switch x = .(10+x)","")))))</f>
        <v/>
      </c>
      <c r="I1110" s="0" t="str">
        <f aca="false">IF(1105&lt;=(Eingabe!$P$18+Eingabe!$Q$18-1),MATCH(1105,Eingabe!$P$9:$P$18,1),"")</f>
        <v/>
      </c>
      <c r="J1110" s="0" t="str">
        <f aca="false">IF(I1110="","",1105-INDEX(Eingabe!$P$9:$P$18,I1110))</f>
        <v/>
      </c>
      <c r="K1110" s="0" t="str">
        <f aca="false">IF(I1110="","",INDEX(Eingabe!$E$9:$E$18,I1110))</f>
        <v/>
      </c>
    </row>
    <row r="1111" customFormat="false" ht="15" hidden="false" customHeight="false" outlineLevel="0" collapsed="false">
      <c r="A1111" s="0" t="str">
        <f aca="false">IF(I1111="","",IF(J1111=0,"Sparte "&amp;I1111&amp;": "&amp;INDEX(Eingabe!$B$9:$B$18,I1111)&amp;"  (Sparten-ID "&amp;INDEX(Eingabe!$D$9:$D$18,I1111)&amp;", "&amp;K1111&amp;" Parzellen)",IF(J1111&lt;=K1111,"   Parzelle "&amp;J1111,IF(J1111=K1111+1,"   Vorstand",IF(J1111=K1111+2,"   Gäste",IF(J1111=K1111+3,"   Technik (Switches, Access Points)",""))))))</f>
        <v/>
      </c>
      <c r="B1111" s="0" t="str">
        <f aca="false">IF(I1111="","",IF(AND(J1111&gt;=1,J1111&lt;=K1111+3),IF(J1111&lt;=K1111,IF(J1111&lt;=99,IF((INDEX(Eingabe!$G$9:$G$18,I1111))&lt;=9,1000+(INDEX(Eingabe!$G$9:$G$18,I1111))*100,3000)+J1111,IF((INDEX(Eingabe!$G$9:$G$18,I1111)+1)&lt;=9,1000+(INDEX(Eingabe!$G$9:$G$18,I1111)+1)*100,3000)+J1111-100),IF(J1111=K1111+1,2000+INDEX(Eingabe!$G$9:$G$18,I1111)*10+1,IF(J1111=K1111+2,2000+INDEX(Eingabe!$G$9:$G$18,I1111)*10+2,2000+INDEX(Eingabe!$G$9:$G$18,I1111)*10+9))),""))</f>
        <v/>
      </c>
      <c r="C1111" s="0" t="str">
        <f aca="false">IF(I1111="","",IF(AND(J1111&gt;=1,J1111&lt;=K1111+3),"10."&amp;INDEX(Eingabe!$D$9:$D$18,I1111)&amp;"."&amp;IF(J1111&lt;=K1111,J1111,IF(J1111=K1111+1,200,IF(J1111=K1111+2,201,250)))&amp;".0/24",""))</f>
        <v/>
      </c>
      <c r="D1111" s="0" t="str">
        <f aca="false">IF(I1111="","",IF(AND(J1111&gt;=1,J1111&lt;=K1111+3),"255.255.255.0",""))</f>
        <v/>
      </c>
      <c r="E1111" s="0" t="str">
        <f aca="false">IF(I1111="","",IF(AND(J1111&gt;=1,J1111&lt;=K1111+3),"10."&amp;INDEX(Eingabe!$D$9:$D$18,I1111)&amp;"."&amp;IF(J1111&lt;=K1111,J1111,IF(J1111=K1111+1,200,IF(J1111=K1111+2,201,250)))&amp;".1",""))</f>
        <v/>
      </c>
      <c r="F1111" s="0" t="str">
        <f aca="false">IF(I1111="","",IF(AND(J1111&gt;=1,J1111&lt;=K1111+3),"10."&amp;INDEX(Eingabe!$D$9:$D$18,I1111)&amp;"."&amp;IF(J1111&lt;=K1111,J1111,IF(J1111=K1111+1,200,IF(J1111=K1111+2,201,250)))&amp;".10 – 10."&amp;INDEX(Eingabe!$D$9:$D$18,I1111)&amp;"."&amp;IF(J1111&lt;=K1111,J1111,IF(J1111=K1111+1,200,IF(J1111=K1111+2,201,250)))&amp;".250",""))</f>
        <v/>
      </c>
      <c r="G1111" s="0" t="str">
        <f aca="false">IF(I1111="","",IF(AND(J1111&gt;=1,J1111&lt;=K1111),Eingabe!$B$6&amp;"-"&amp;INDEX(Eingabe!$C$9:$C$18,I1111)&amp;"-Pächter  ·  Passwort Parzelle "&amp;J1111,IF(J1111=K1111+1,Eingabe!$B$6&amp;"-"&amp;INDEX(Eingabe!$C$9:$C$18,I1111)&amp;"-Vorstand  ·  eigenes WLAN",IF(J1111=K1111+2,Eingabe!$B$6&amp;"-"&amp;INDEX(Eingabe!$C$9:$C$18,I1111)&amp;"-Gäste  ·  Voucher",IF(J1111=K1111+3,"Kabel  ·  Access Point y = .(50+y), Mast-Switch x = .(10+x)","")))))</f>
        <v/>
      </c>
      <c r="I1111" s="0" t="str">
        <f aca="false">IF(1106&lt;=(Eingabe!$P$18+Eingabe!$Q$18-1),MATCH(1106,Eingabe!$P$9:$P$18,1),"")</f>
        <v/>
      </c>
      <c r="J1111" s="0" t="str">
        <f aca="false">IF(I1111="","",1106-INDEX(Eingabe!$P$9:$P$18,I1111))</f>
        <v/>
      </c>
      <c r="K1111" s="0" t="str">
        <f aca="false">IF(I1111="","",INDEX(Eingabe!$E$9:$E$18,I1111))</f>
        <v/>
      </c>
    </row>
    <row r="1112" customFormat="false" ht="15" hidden="false" customHeight="false" outlineLevel="0" collapsed="false">
      <c r="A1112" s="0" t="str">
        <f aca="false">IF(I1112="","",IF(J1112=0,"Sparte "&amp;I1112&amp;": "&amp;INDEX(Eingabe!$B$9:$B$18,I1112)&amp;"  (Sparten-ID "&amp;INDEX(Eingabe!$D$9:$D$18,I1112)&amp;", "&amp;K1112&amp;" Parzellen)",IF(J1112&lt;=K1112,"   Parzelle "&amp;J1112,IF(J1112=K1112+1,"   Vorstand",IF(J1112=K1112+2,"   Gäste",IF(J1112=K1112+3,"   Technik (Switches, Access Points)",""))))))</f>
        <v/>
      </c>
      <c r="B1112" s="0" t="str">
        <f aca="false">IF(I1112="","",IF(AND(J1112&gt;=1,J1112&lt;=K1112+3),IF(J1112&lt;=K1112,IF(J1112&lt;=99,IF((INDEX(Eingabe!$G$9:$G$18,I1112))&lt;=9,1000+(INDEX(Eingabe!$G$9:$G$18,I1112))*100,3000)+J1112,IF((INDEX(Eingabe!$G$9:$G$18,I1112)+1)&lt;=9,1000+(INDEX(Eingabe!$G$9:$G$18,I1112)+1)*100,3000)+J1112-100),IF(J1112=K1112+1,2000+INDEX(Eingabe!$G$9:$G$18,I1112)*10+1,IF(J1112=K1112+2,2000+INDEX(Eingabe!$G$9:$G$18,I1112)*10+2,2000+INDEX(Eingabe!$G$9:$G$18,I1112)*10+9))),""))</f>
        <v/>
      </c>
      <c r="C1112" s="0" t="str">
        <f aca="false">IF(I1112="","",IF(AND(J1112&gt;=1,J1112&lt;=K1112+3),"10."&amp;INDEX(Eingabe!$D$9:$D$18,I1112)&amp;"."&amp;IF(J1112&lt;=K1112,J1112,IF(J1112=K1112+1,200,IF(J1112=K1112+2,201,250)))&amp;".0/24",""))</f>
        <v/>
      </c>
      <c r="D1112" s="0" t="str">
        <f aca="false">IF(I1112="","",IF(AND(J1112&gt;=1,J1112&lt;=K1112+3),"255.255.255.0",""))</f>
        <v/>
      </c>
      <c r="E1112" s="0" t="str">
        <f aca="false">IF(I1112="","",IF(AND(J1112&gt;=1,J1112&lt;=K1112+3),"10."&amp;INDEX(Eingabe!$D$9:$D$18,I1112)&amp;"."&amp;IF(J1112&lt;=K1112,J1112,IF(J1112=K1112+1,200,IF(J1112=K1112+2,201,250)))&amp;".1",""))</f>
        <v/>
      </c>
      <c r="F1112" s="0" t="str">
        <f aca="false">IF(I1112="","",IF(AND(J1112&gt;=1,J1112&lt;=K1112+3),"10."&amp;INDEX(Eingabe!$D$9:$D$18,I1112)&amp;"."&amp;IF(J1112&lt;=K1112,J1112,IF(J1112=K1112+1,200,IF(J1112=K1112+2,201,250)))&amp;".10 – 10."&amp;INDEX(Eingabe!$D$9:$D$18,I1112)&amp;"."&amp;IF(J1112&lt;=K1112,J1112,IF(J1112=K1112+1,200,IF(J1112=K1112+2,201,250)))&amp;".250",""))</f>
        <v/>
      </c>
      <c r="G1112" s="0" t="str">
        <f aca="false">IF(I1112="","",IF(AND(J1112&gt;=1,J1112&lt;=K1112),Eingabe!$B$6&amp;"-"&amp;INDEX(Eingabe!$C$9:$C$18,I1112)&amp;"-Pächter  ·  Passwort Parzelle "&amp;J1112,IF(J1112=K1112+1,Eingabe!$B$6&amp;"-"&amp;INDEX(Eingabe!$C$9:$C$18,I1112)&amp;"-Vorstand  ·  eigenes WLAN",IF(J1112=K1112+2,Eingabe!$B$6&amp;"-"&amp;INDEX(Eingabe!$C$9:$C$18,I1112)&amp;"-Gäste  ·  Voucher",IF(J1112=K1112+3,"Kabel  ·  Access Point y = .(50+y), Mast-Switch x = .(10+x)","")))))</f>
        <v/>
      </c>
      <c r="I1112" s="0" t="str">
        <f aca="false">IF(1107&lt;=(Eingabe!$P$18+Eingabe!$Q$18-1),MATCH(1107,Eingabe!$P$9:$P$18,1),"")</f>
        <v/>
      </c>
      <c r="J1112" s="0" t="str">
        <f aca="false">IF(I1112="","",1107-INDEX(Eingabe!$P$9:$P$18,I1112))</f>
        <v/>
      </c>
      <c r="K1112" s="0" t="str">
        <f aca="false">IF(I1112="","",INDEX(Eingabe!$E$9:$E$18,I1112))</f>
        <v/>
      </c>
    </row>
    <row r="1113" customFormat="false" ht="15" hidden="false" customHeight="false" outlineLevel="0" collapsed="false">
      <c r="A1113" s="0" t="str">
        <f aca="false">IF(I1113="","",IF(J1113=0,"Sparte "&amp;I1113&amp;": "&amp;INDEX(Eingabe!$B$9:$B$18,I1113)&amp;"  (Sparten-ID "&amp;INDEX(Eingabe!$D$9:$D$18,I1113)&amp;", "&amp;K1113&amp;" Parzellen)",IF(J1113&lt;=K1113,"   Parzelle "&amp;J1113,IF(J1113=K1113+1,"   Vorstand",IF(J1113=K1113+2,"   Gäste",IF(J1113=K1113+3,"   Technik (Switches, Access Points)",""))))))</f>
        <v/>
      </c>
      <c r="B1113" s="0" t="str">
        <f aca="false">IF(I1113="","",IF(AND(J1113&gt;=1,J1113&lt;=K1113+3),IF(J1113&lt;=K1113,IF(J1113&lt;=99,IF((INDEX(Eingabe!$G$9:$G$18,I1113))&lt;=9,1000+(INDEX(Eingabe!$G$9:$G$18,I1113))*100,3000)+J1113,IF((INDEX(Eingabe!$G$9:$G$18,I1113)+1)&lt;=9,1000+(INDEX(Eingabe!$G$9:$G$18,I1113)+1)*100,3000)+J1113-100),IF(J1113=K1113+1,2000+INDEX(Eingabe!$G$9:$G$18,I1113)*10+1,IF(J1113=K1113+2,2000+INDEX(Eingabe!$G$9:$G$18,I1113)*10+2,2000+INDEX(Eingabe!$G$9:$G$18,I1113)*10+9))),""))</f>
        <v/>
      </c>
      <c r="C1113" s="0" t="str">
        <f aca="false">IF(I1113="","",IF(AND(J1113&gt;=1,J1113&lt;=K1113+3),"10."&amp;INDEX(Eingabe!$D$9:$D$18,I1113)&amp;"."&amp;IF(J1113&lt;=K1113,J1113,IF(J1113=K1113+1,200,IF(J1113=K1113+2,201,250)))&amp;".0/24",""))</f>
        <v/>
      </c>
      <c r="D1113" s="0" t="str">
        <f aca="false">IF(I1113="","",IF(AND(J1113&gt;=1,J1113&lt;=K1113+3),"255.255.255.0",""))</f>
        <v/>
      </c>
      <c r="E1113" s="0" t="str">
        <f aca="false">IF(I1113="","",IF(AND(J1113&gt;=1,J1113&lt;=K1113+3),"10."&amp;INDEX(Eingabe!$D$9:$D$18,I1113)&amp;"."&amp;IF(J1113&lt;=K1113,J1113,IF(J1113=K1113+1,200,IF(J1113=K1113+2,201,250)))&amp;".1",""))</f>
        <v/>
      </c>
      <c r="F1113" s="0" t="str">
        <f aca="false">IF(I1113="","",IF(AND(J1113&gt;=1,J1113&lt;=K1113+3),"10."&amp;INDEX(Eingabe!$D$9:$D$18,I1113)&amp;"."&amp;IF(J1113&lt;=K1113,J1113,IF(J1113=K1113+1,200,IF(J1113=K1113+2,201,250)))&amp;".10 – 10."&amp;INDEX(Eingabe!$D$9:$D$18,I1113)&amp;"."&amp;IF(J1113&lt;=K1113,J1113,IF(J1113=K1113+1,200,IF(J1113=K1113+2,201,250)))&amp;".250",""))</f>
        <v/>
      </c>
      <c r="G1113" s="0" t="str">
        <f aca="false">IF(I1113="","",IF(AND(J1113&gt;=1,J1113&lt;=K1113),Eingabe!$B$6&amp;"-"&amp;INDEX(Eingabe!$C$9:$C$18,I1113)&amp;"-Pächter  ·  Passwort Parzelle "&amp;J1113,IF(J1113=K1113+1,Eingabe!$B$6&amp;"-"&amp;INDEX(Eingabe!$C$9:$C$18,I1113)&amp;"-Vorstand  ·  eigenes WLAN",IF(J1113=K1113+2,Eingabe!$B$6&amp;"-"&amp;INDEX(Eingabe!$C$9:$C$18,I1113)&amp;"-Gäste  ·  Voucher",IF(J1113=K1113+3,"Kabel  ·  Access Point y = .(50+y), Mast-Switch x = .(10+x)","")))))</f>
        <v/>
      </c>
      <c r="I1113" s="0" t="str">
        <f aca="false">IF(1108&lt;=(Eingabe!$P$18+Eingabe!$Q$18-1),MATCH(1108,Eingabe!$P$9:$P$18,1),"")</f>
        <v/>
      </c>
      <c r="J1113" s="0" t="str">
        <f aca="false">IF(I1113="","",1108-INDEX(Eingabe!$P$9:$P$18,I1113))</f>
        <v/>
      </c>
      <c r="K1113" s="0" t="str">
        <f aca="false">IF(I1113="","",INDEX(Eingabe!$E$9:$E$18,I1113))</f>
        <v/>
      </c>
    </row>
    <row r="1114" customFormat="false" ht="15" hidden="false" customHeight="false" outlineLevel="0" collapsed="false">
      <c r="A1114" s="0" t="str">
        <f aca="false">IF(I1114="","",IF(J1114=0,"Sparte "&amp;I1114&amp;": "&amp;INDEX(Eingabe!$B$9:$B$18,I1114)&amp;"  (Sparten-ID "&amp;INDEX(Eingabe!$D$9:$D$18,I1114)&amp;", "&amp;K1114&amp;" Parzellen)",IF(J1114&lt;=K1114,"   Parzelle "&amp;J1114,IF(J1114=K1114+1,"   Vorstand",IF(J1114=K1114+2,"   Gäste",IF(J1114=K1114+3,"   Technik (Switches, Access Points)",""))))))</f>
        <v/>
      </c>
      <c r="B1114" s="0" t="str">
        <f aca="false">IF(I1114="","",IF(AND(J1114&gt;=1,J1114&lt;=K1114+3),IF(J1114&lt;=K1114,IF(J1114&lt;=99,IF((INDEX(Eingabe!$G$9:$G$18,I1114))&lt;=9,1000+(INDEX(Eingabe!$G$9:$G$18,I1114))*100,3000)+J1114,IF((INDEX(Eingabe!$G$9:$G$18,I1114)+1)&lt;=9,1000+(INDEX(Eingabe!$G$9:$G$18,I1114)+1)*100,3000)+J1114-100),IF(J1114=K1114+1,2000+INDEX(Eingabe!$G$9:$G$18,I1114)*10+1,IF(J1114=K1114+2,2000+INDEX(Eingabe!$G$9:$G$18,I1114)*10+2,2000+INDEX(Eingabe!$G$9:$G$18,I1114)*10+9))),""))</f>
        <v/>
      </c>
      <c r="C1114" s="0" t="str">
        <f aca="false">IF(I1114="","",IF(AND(J1114&gt;=1,J1114&lt;=K1114+3),"10."&amp;INDEX(Eingabe!$D$9:$D$18,I1114)&amp;"."&amp;IF(J1114&lt;=K1114,J1114,IF(J1114=K1114+1,200,IF(J1114=K1114+2,201,250)))&amp;".0/24",""))</f>
        <v/>
      </c>
      <c r="D1114" s="0" t="str">
        <f aca="false">IF(I1114="","",IF(AND(J1114&gt;=1,J1114&lt;=K1114+3),"255.255.255.0",""))</f>
        <v/>
      </c>
      <c r="E1114" s="0" t="str">
        <f aca="false">IF(I1114="","",IF(AND(J1114&gt;=1,J1114&lt;=K1114+3),"10."&amp;INDEX(Eingabe!$D$9:$D$18,I1114)&amp;"."&amp;IF(J1114&lt;=K1114,J1114,IF(J1114=K1114+1,200,IF(J1114=K1114+2,201,250)))&amp;".1",""))</f>
        <v/>
      </c>
      <c r="F1114" s="0" t="str">
        <f aca="false">IF(I1114="","",IF(AND(J1114&gt;=1,J1114&lt;=K1114+3),"10."&amp;INDEX(Eingabe!$D$9:$D$18,I1114)&amp;"."&amp;IF(J1114&lt;=K1114,J1114,IF(J1114=K1114+1,200,IF(J1114=K1114+2,201,250)))&amp;".10 – 10."&amp;INDEX(Eingabe!$D$9:$D$18,I1114)&amp;"."&amp;IF(J1114&lt;=K1114,J1114,IF(J1114=K1114+1,200,IF(J1114=K1114+2,201,250)))&amp;".250",""))</f>
        <v/>
      </c>
      <c r="G1114" s="0" t="str">
        <f aca="false">IF(I1114="","",IF(AND(J1114&gt;=1,J1114&lt;=K1114),Eingabe!$B$6&amp;"-"&amp;INDEX(Eingabe!$C$9:$C$18,I1114)&amp;"-Pächter  ·  Passwort Parzelle "&amp;J1114,IF(J1114=K1114+1,Eingabe!$B$6&amp;"-"&amp;INDEX(Eingabe!$C$9:$C$18,I1114)&amp;"-Vorstand  ·  eigenes WLAN",IF(J1114=K1114+2,Eingabe!$B$6&amp;"-"&amp;INDEX(Eingabe!$C$9:$C$18,I1114)&amp;"-Gäste  ·  Voucher",IF(J1114=K1114+3,"Kabel  ·  Access Point y = .(50+y), Mast-Switch x = .(10+x)","")))))</f>
        <v/>
      </c>
      <c r="I1114" s="0" t="str">
        <f aca="false">IF(1109&lt;=(Eingabe!$P$18+Eingabe!$Q$18-1),MATCH(1109,Eingabe!$P$9:$P$18,1),"")</f>
        <v/>
      </c>
      <c r="J1114" s="0" t="str">
        <f aca="false">IF(I1114="","",1109-INDEX(Eingabe!$P$9:$P$18,I1114))</f>
        <v/>
      </c>
      <c r="K1114" s="0" t="str">
        <f aca="false">IF(I1114="","",INDEX(Eingabe!$E$9:$E$18,I1114))</f>
        <v/>
      </c>
    </row>
    <row r="1115" customFormat="false" ht="15" hidden="false" customHeight="false" outlineLevel="0" collapsed="false">
      <c r="A1115" s="0" t="str">
        <f aca="false">IF(I1115="","",IF(J1115=0,"Sparte "&amp;I1115&amp;": "&amp;INDEX(Eingabe!$B$9:$B$18,I1115)&amp;"  (Sparten-ID "&amp;INDEX(Eingabe!$D$9:$D$18,I1115)&amp;", "&amp;K1115&amp;" Parzellen)",IF(J1115&lt;=K1115,"   Parzelle "&amp;J1115,IF(J1115=K1115+1,"   Vorstand",IF(J1115=K1115+2,"   Gäste",IF(J1115=K1115+3,"   Technik (Switches, Access Points)",""))))))</f>
        <v/>
      </c>
      <c r="B1115" s="0" t="str">
        <f aca="false">IF(I1115="","",IF(AND(J1115&gt;=1,J1115&lt;=K1115+3),IF(J1115&lt;=K1115,IF(J1115&lt;=99,IF((INDEX(Eingabe!$G$9:$G$18,I1115))&lt;=9,1000+(INDEX(Eingabe!$G$9:$G$18,I1115))*100,3000)+J1115,IF((INDEX(Eingabe!$G$9:$G$18,I1115)+1)&lt;=9,1000+(INDEX(Eingabe!$G$9:$G$18,I1115)+1)*100,3000)+J1115-100),IF(J1115=K1115+1,2000+INDEX(Eingabe!$G$9:$G$18,I1115)*10+1,IF(J1115=K1115+2,2000+INDEX(Eingabe!$G$9:$G$18,I1115)*10+2,2000+INDEX(Eingabe!$G$9:$G$18,I1115)*10+9))),""))</f>
        <v/>
      </c>
      <c r="C1115" s="0" t="str">
        <f aca="false">IF(I1115="","",IF(AND(J1115&gt;=1,J1115&lt;=K1115+3),"10."&amp;INDEX(Eingabe!$D$9:$D$18,I1115)&amp;"."&amp;IF(J1115&lt;=K1115,J1115,IF(J1115=K1115+1,200,IF(J1115=K1115+2,201,250)))&amp;".0/24",""))</f>
        <v/>
      </c>
      <c r="D1115" s="0" t="str">
        <f aca="false">IF(I1115="","",IF(AND(J1115&gt;=1,J1115&lt;=K1115+3),"255.255.255.0",""))</f>
        <v/>
      </c>
      <c r="E1115" s="0" t="str">
        <f aca="false">IF(I1115="","",IF(AND(J1115&gt;=1,J1115&lt;=K1115+3),"10."&amp;INDEX(Eingabe!$D$9:$D$18,I1115)&amp;"."&amp;IF(J1115&lt;=K1115,J1115,IF(J1115=K1115+1,200,IF(J1115=K1115+2,201,250)))&amp;".1",""))</f>
        <v/>
      </c>
      <c r="F1115" s="0" t="str">
        <f aca="false">IF(I1115="","",IF(AND(J1115&gt;=1,J1115&lt;=K1115+3),"10."&amp;INDEX(Eingabe!$D$9:$D$18,I1115)&amp;"."&amp;IF(J1115&lt;=K1115,J1115,IF(J1115=K1115+1,200,IF(J1115=K1115+2,201,250)))&amp;".10 – 10."&amp;INDEX(Eingabe!$D$9:$D$18,I1115)&amp;"."&amp;IF(J1115&lt;=K1115,J1115,IF(J1115=K1115+1,200,IF(J1115=K1115+2,201,250)))&amp;".250",""))</f>
        <v/>
      </c>
      <c r="G1115" s="0" t="str">
        <f aca="false">IF(I1115="","",IF(AND(J1115&gt;=1,J1115&lt;=K1115),Eingabe!$B$6&amp;"-"&amp;INDEX(Eingabe!$C$9:$C$18,I1115)&amp;"-Pächter  ·  Passwort Parzelle "&amp;J1115,IF(J1115=K1115+1,Eingabe!$B$6&amp;"-"&amp;INDEX(Eingabe!$C$9:$C$18,I1115)&amp;"-Vorstand  ·  eigenes WLAN",IF(J1115=K1115+2,Eingabe!$B$6&amp;"-"&amp;INDEX(Eingabe!$C$9:$C$18,I1115)&amp;"-Gäste  ·  Voucher",IF(J1115=K1115+3,"Kabel  ·  Access Point y = .(50+y), Mast-Switch x = .(10+x)","")))))</f>
        <v/>
      </c>
      <c r="I1115" s="0" t="str">
        <f aca="false">IF(1110&lt;=(Eingabe!$P$18+Eingabe!$Q$18-1),MATCH(1110,Eingabe!$P$9:$P$18,1),"")</f>
        <v/>
      </c>
      <c r="J1115" s="0" t="str">
        <f aca="false">IF(I1115="","",1110-INDEX(Eingabe!$P$9:$P$18,I1115))</f>
        <v/>
      </c>
      <c r="K1115" s="0" t="str">
        <f aca="false">IF(I1115="","",INDEX(Eingabe!$E$9:$E$18,I1115))</f>
        <v/>
      </c>
    </row>
    <row r="1116" customFormat="false" ht="15" hidden="false" customHeight="false" outlineLevel="0" collapsed="false">
      <c r="A1116" s="0" t="str">
        <f aca="false">IF(I1116="","",IF(J1116=0,"Sparte "&amp;I1116&amp;": "&amp;INDEX(Eingabe!$B$9:$B$18,I1116)&amp;"  (Sparten-ID "&amp;INDEX(Eingabe!$D$9:$D$18,I1116)&amp;", "&amp;K1116&amp;" Parzellen)",IF(J1116&lt;=K1116,"   Parzelle "&amp;J1116,IF(J1116=K1116+1,"   Vorstand",IF(J1116=K1116+2,"   Gäste",IF(J1116=K1116+3,"   Technik (Switches, Access Points)",""))))))</f>
        <v/>
      </c>
      <c r="B1116" s="0" t="str">
        <f aca="false">IF(I1116="","",IF(AND(J1116&gt;=1,J1116&lt;=K1116+3),IF(J1116&lt;=K1116,IF(J1116&lt;=99,IF((INDEX(Eingabe!$G$9:$G$18,I1116))&lt;=9,1000+(INDEX(Eingabe!$G$9:$G$18,I1116))*100,3000)+J1116,IF((INDEX(Eingabe!$G$9:$G$18,I1116)+1)&lt;=9,1000+(INDEX(Eingabe!$G$9:$G$18,I1116)+1)*100,3000)+J1116-100),IF(J1116=K1116+1,2000+INDEX(Eingabe!$G$9:$G$18,I1116)*10+1,IF(J1116=K1116+2,2000+INDEX(Eingabe!$G$9:$G$18,I1116)*10+2,2000+INDEX(Eingabe!$G$9:$G$18,I1116)*10+9))),""))</f>
        <v/>
      </c>
      <c r="C1116" s="0" t="str">
        <f aca="false">IF(I1116="","",IF(AND(J1116&gt;=1,J1116&lt;=K1116+3),"10."&amp;INDEX(Eingabe!$D$9:$D$18,I1116)&amp;"."&amp;IF(J1116&lt;=K1116,J1116,IF(J1116=K1116+1,200,IF(J1116=K1116+2,201,250)))&amp;".0/24",""))</f>
        <v/>
      </c>
      <c r="D1116" s="0" t="str">
        <f aca="false">IF(I1116="","",IF(AND(J1116&gt;=1,J1116&lt;=K1116+3),"255.255.255.0",""))</f>
        <v/>
      </c>
      <c r="E1116" s="0" t="str">
        <f aca="false">IF(I1116="","",IF(AND(J1116&gt;=1,J1116&lt;=K1116+3),"10."&amp;INDEX(Eingabe!$D$9:$D$18,I1116)&amp;"."&amp;IF(J1116&lt;=K1116,J1116,IF(J1116=K1116+1,200,IF(J1116=K1116+2,201,250)))&amp;".1",""))</f>
        <v/>
      </c>
      <c r="F1116" s="0" t="str">
        <f aca="false">IF(I1116="","",IF(AND(J1116&gt;=1,J1116&lt;=K1116+3),"10."&amp;INDEX(Eingabe!$D$9:$D$18,I1116)&amp;"."&amp;IF(J1116&lt;=K1116,J1116,IF(J1116=K1116+1,200,IF(J1116=K1116+2,201,250)))&amp;".10 – 10."&amp;INDEX(Eingabe!$D$9:$D$18,I1116)&amp;"."&amp;IF(J1116&lt;=K1116,J1116,IF(J1116=K1116+1,200,IF(J1116=K1116+2,201,250)))&amp;".250",""))</f>
        <v/>
      </c>
      <c r="G1116" s="0" t="str">
        <f aca="false">IF(I1116="","",IF(AND(J1116&gt;=1,J1116&lt;=K1116),Eingabe!$B$6&amp;"-"&amp;INDEX(Eingabe!$C$9:$C$18,I1116)&amp;"-Pächter  ·  Passwort Parzelle "&amp;J1116,IF(J1116=K1116+1,Eingabe!$B$6&amp;"-"&amp;INDEX(Eingabe!$C$9:$C$18,I1116)&amp;"-Vorstand  ·  eigenes WLAN",IF(J1116=K1116+2,Eingabe!$B$6&amp;"-"&amp;INDEX(Eingabe!$C$9:$C$18,I1116)&amp;"-Gäste  ·  Voucher",IF(J1116=K1116+3,"Kabel  ·  Access Point y = .(50+y), Mast-Switch x = .(10+x)","")))))</f>
        <v/>
      </c>
      <c r="I1116" s="0" t="str">
        <f aca="false">IF(1111&lt;=(Eingabe!$P$18+Eingabe!$Q$18-1),MATCH(1111,Eingabe!$P$9:$P$18,1),"")</f>
        <v/>
      </c>
      <c r="J1116" s="0" t="str">
        <f aca="false">IF(I1116="","",1111-INDEX(Eingabe!$P$9:$P$18,I1116))</f>
        <v/>
      </c>
      <c r="K1116" s="0" t="str">
        <f aca="false">IF(I1116="","",INDEX(Eingabe!$E$9:$E$18,I1116))</f>
        <v/>
      </c>
    </row>
    <row r="1117" customFormat="false" ht="15" hidden="false" customHeight="false" outlineLevel="0" collapsed="false">
      <c r="A1117" s="0" t="str">
        <f aca="false">IF(I1117="","",IF(J1117=0,"Sparte "&amp;I1117&amp;": "&amp;INDEX(Eingabe!$B$9:$B$18,I1117)&amp;"  (Sparten-ID "&amp;INDEX(Eingabe!$D$9:$D$18,I1117)&amp;", "&amp;K1117&amp;" Parzellen)",IF(J1117&lt;=K1117,"   Parzelle "&amp;J1117,IF(J1117=K1117+1,"   Vorstand",IF(J1117=K1117+2,"   Gäste",IF(J1117=K1117+3,"   Technik (Switches, Access Points)",""))))))</f>
        <v/>
      </c>
      <c r="B1117" s="0" t="str">
        <f aca="false">IF(I1117="","",IF(AND(J1117&gt;=1,J1117&lt;=K1117+3),IF(J1117&lt;=K1117,IF(J1117&lt;=99,IF((INDEX(Eingabe!$G$9:$G$18,I1117))&lt;=9,1000+(INDEX(Eingabe!$G$9:$G$18,I1117))*100,3000)+J1117,IF((INDEX(Eingabe!$G$9:$G$18,I1117)+1)&lt;=9,1000+(INDEX(Eingabe!$G$9:$G$18,I1117)+1)*100,3000)+J1117-100),IF(J1117=K1117+1,2000+INDEX(Eingabe!$G$9:$G$18,I1117)*10+1,IF(J1117=K1117+2,2000+INDEX(Eingabe!$G$9:$G$18,I1117)*10+2,2000+INDEX(Eingabe!$G$9:$G$18,I1117)*10+9))),""))</f>
        <v/>
      </c>
      <c r="C1117" s="0" t="str">
        <f aca="false">IF(I1117="","",IF(AND(J1117&gt;=1,J1117&lt;=K1117+3),"10."&amp;INDEX(Eingabe!$D$9:$D$18,I1117)&amp;"."&amp;IF(J1117&lt;=K1117,J1117,IF(J1117=K1117+1,200,IF(J1117=K1117+2,201,250)))&amp;".0/24",""))</f>
        <v/>
      </c>
      <c r="D1117" s="0" t="str">
        <f aca="false">IF(I1117="","",IF(AND(J1117&gt;=1,J1117&lt;=K1117+3),"255.255.255.0",""))</f>
        <v/>
      </c>
      <c r="E1117" s="0" t="str">
        <f aca="false">IF(I1117="","",IF(AND(J1117&gt;=1,J1117&lt;=K1117+3),"10."&amp;INDEX(Eingabe!$D$9:$D$18,I1117)&amp;"."&amp;IF(J1117&lt;=K1117,J1117,IF(J1117=K1117+1,200,IF(J1117=K1117+2,201,250)))&amp;".1",""))</f>
        <v/>
      </c>
      <c r="F1117" s="0" t="str">
        <f aca="false">IF(I1117="","",IF(AND(J1117&gt;=1,J1117&lt;=K1117+3),"10."&amp;INDEX(Eingabe!$D$9:$D$18,I1117)&amp;"."&amp;IF(J1117&lt;=K1117,J1117,IF(J1117=K1117+1,200,IF(J1117=K1117+2,201,250)))&amp;".10 – 10."&amp;INDEX(Eingabe!$D$9:$D$18,I1117)&amp;"."&amp;IF(J1117&lt;=K1117,J1117,IF(J1117=K1117+1,200,IF(J1117=K1117+2,201,250)))&amp;".250",""))</f>
        <v/>
      </c>
      <c r="G1117" s="0" t="str">
        <f aca="false">IF(I1117="","",IF(AND(J1117&gt;=1,J1117&lt;=K1117),Eingabe!$B$6&amp;"-"&amp;INDEX(Eingabe!$C$9:$C$18,I1117)&amp;"-Pächter  ·  Passwort Parzelle "&amp;J1117,IF(J1117=K1117+1,Eingabe!$B$6&amp;"-"&amp;INDEX(Eingabe!$C$9:$C$18,I1117)&amp;"-Vorstand  ·  eigenes WLAN",IF(J1117=K1117+2,Eingabe!$B$6&amp;"-"&amp;INDEX(Eingabe!$C$9:$C$18,I1117)&amp;"-Gäste  ·  Voucher",IF(J1117=K1117+3,"Kabel  ·  Access Point y = .(50+y), Mast-Switch x = .(10+x)","")))))</f>
        <v/>
      </c>
      <c r="I1117" s="0" t="str">
        <f aca="false">IF(1112&lt;=(Eingabe!$P$18+Eingabe!$Q$18-1),MATCH(1112,Eingabe!$P$9:$P$18,1),"")</f>
        <v/>
      </c>
      <c r="J1117" s="0" t="str">
        <f aca="false">IF(I1117="","",1112-INDEX(Eingabe!$P$9:$P$18,I1117))</f>
        <v/>
      </c>
      <c r="K1117" s="0" t="str">
        <f aca="false">IF(I1117="","",INDEX(Eingabe!$E$9:$E$18,I1117))</f>
        <v/>
      </c>
    </row>
    <row r="1118" customFormat="false" ht="15" hidden="false" customHeight="false" outlineLevel="0" collapsed="false">
      <c r="A1118" s="0" t="str">
        <f aca="false">IF(I1118="","",IF(J1118=0,"Sparte "&amp;I1118&amp;": "&amp;INDEX(Eingabe!$B$9:$B$18,I1118)&amp;"  (Sparten-ID "&amp;INDEX(Eingabe!$D$9:$D$18,I1118)&amp;", "&amp;K1118&amp;" Parzellen)",IF(J1118&lt;=K1118,"   Parzelle "&amp;J1118,IF(J1118=K1118+1,"   Vorstand",IF(J1118=K1118+2,"   Gäste",IF(J1118=K1118+3,"   Technik (Switches, Access Points)",""))))))</f>
        <v/>
      </c>
      <c r="B1118" s="0" t="str">
        <f aca="false">IF(I1118="","",IF(AND(J1118&gt;=1,J1118&lt;=K1118+3),IF(J1118&lt;=K1118,IF(J1118&lt;=99,IF((INDEX(Eingabe!$G$9:$G$18,I1118))&lt;=9,1000+(INDEX(Eingabe!$G$9:$G$18,I1118))*100,3000)+J1118,IF((INDEX(Eingabe!$G$9:$G$18,I1118)+1)&lt;=9,1000+(INDEX(Eingabe!$G$9:$G$18,I1118)+1)*100,3000)+J1118-100),IF(J1118=K1118+1,2000+INDEX(Eingabe!$G$9:$G$18,I1118)*10+1,IF(J1118=K1118+2,2000+INDEX(Eingabe!$G$9:$G$18,I1118)*10+2,2000+INDEX(Eingabe!$G$9:$G$18,I1118)*10+9))),""))</f>
        <v/>
      </c>
      <c r="C1118" s="0" t="str">
        <f aca="false">IF(I1118="","",IF(AND(J1118&gt;=1,J1118&lt;=K1118+3),"10."&amp;INDEX(Eingabe!$D$9:$D$18,I1118)&amp;"."&amp;IF(J1118&lt;=K1118,J1118,IF(J1118=K1118+1,200,IF(J1118=K1118+2,201,250)))&amp;".0/24",""))</f>
        <v/>
      </c>
      <c r="D1118" s="0" t="str">
        <f aca="false">IF(I1118="","",IF(AND(J1118&gt;=1,J1118&lt;=K1118+3),"255.255.255.0",""))</f>
        <v/>
      </c>
      <c r="E1118" s="0" t="str">
        <f aca="false">IF(I1118="","",IF(AND(J1118&gt;=1,J1118&lt;=K1118+3),"10."&amp;INDEX(Eingabe!$D$9:$D$18,I1118)&amp;"."&amp;IF(J1118&lt;=K1118,J1118,IF(J1118=K1118+1,200,IF(J1118=K1118+2,201,250)))&amp;".1",""))</f>
        <v/>
      </c>
      <c r="F1118" s="0" t="str">
        <f aca="false">IF(I1118="","",IF(AND(J1118&gt;=1,J1118&lt;=K1118+3),"10."&amp;INDEX(Eingabe!$D$9:$D$18,I1118)&amp;"."&amp;IF(J1118&lt;=K1118,J1118,IF(J1118=K1118+1,200,IF(J1118=K1118+2,201,250)))&amp;".10 – 10."&amp;INDEX(Eingabe!$D$9:$D$18,I1118)&amp;"."&amp;IF(J1118&lt;=K1118,J1118,IF(J1118=K1118+1,200,IF(J1118=K1118+2,201,250)))&amp;".250",""))</f>
        <v/>
      </c>
      <c r="G1118" s="0" t="str">
        <f aca="false">IF(I1118="","",IF(AND(J1118&gt;=1,J1118&lt;=K1118),Eingabe!$B$6&amp;"-"&amp;INDEX(Eingabe!$C$9:$C$18,I1118)&amp;"-Pächter  ·  Passwort Parzelle "&amp;J1118,IF(J1118=K1118+1,Eingabe!$B$6&amp;"-"&amp;INDEX(Eingabe!$C$9:$C$18,I1118)&amp;"-Vorstand  ·  eigenes WLAN",IF(J1118=K1118+2,Eingabe!$B$6&amp;"-"&amp;INDEX(Eingabe!$C$9:$C$18,I1118)&amp;"-Gäste  ·  Voucher",IF(J1118=K1118+3,"Kabel  ·  Access Point y = .(50+y), Mast-Switch x = .(10+x)","")))))</f>
        <v/>
      </c>
      <c r="I1118" s="0" t="str">
        <f aca="false">IF(1113&lt;=(Eingabe!$P$18+Eingabe!$Q$18-1),MATCH(1113,Eingabe!$P$9:$P$18,1),"")</f>
        <v/>
      </c>
      <c r="J1118" s="0" t="str">
        <f aca="false">IF(I1118="","",1113-INDEX(Eingabe!$P$9:$P$18,I1118))</f>
        <v/>
      </c>
      <c r="K1118" s="0" t="str">
        <f aca="false">IF(I1118="","",INDEX(Eingabe!$E$9:$E$18,I1118))</f>
        <v/>
      </c>
    </row>
    <row r="1119" customFormat="false" ht="15" hidden="false" customHeight="false" outlineLevel="0" collapsed="false">
      <c r="A1119" s="0" t="str">
        <f aca="false">IF(I1119="","",IF(J1119=0,"Sparte "&amp;I1119&amp;": "&amp;INDEX(Eingabe!$B$9:$B$18,I1119)&amp;"  (Sparten-ID "&amp;INDEX(Eingabe!$D$9:$D$18,I1119)&amp;", "&amp;K1119&amp;" Parzellen)",IF(J1119&lt;=K1119,"   Parzelle "&amp;J1119,IF(J1119=K1119+1,"   Vorstand",IF(J1119=K1119+2,"   Gäste",IF(J1119=K1119+3,"   Technik (Switches, Access Points)",""))))))</f>
        <v/>
      </c>
      <c r="B1119" s="0" t="str">
        <f aca="false">IF(I1119="","",IF(AND(J1119&gt;=1,J1119&lt;=K1119+3),IF(J1119&lt;=K1119,IF(J1119&lt;=99,IF((INDEX(Eingabe!$G$9:$G$18,I1119))&lt;=9,1000+(INDEX(Eingabe!$G$9:$G$18,I1119))*100,3000)+J1119,IF((INDEX(Eingabe!$G$9:$G$18,I1119)+1)&lt;=9,1000+(INDEX(Eingabe!$G$9:$G$18,I1119)+1)*100,3000)+J1119-100),IF(J1119=K1119+1,2000+INDEX(Eingabe!$G$9:$G$18,I1119)*10+1,IF(J1119=K1119+2,2000+INDEX(Eingabe!$G$9:$G$18,I1119)*10+2,2000+INDEX(Eingabe!$G$9:$G$18,I1119)*10+9))),""))</f>
        <v/>
      </c>
      <c r="C1119" s="0" t="str">
        <f aca="false">IF(I1119="","",IF(AND(J1119&gt;=1,J1119&lt;=K1119+3),"10."&amp;INDEX(Eingabe!$D$9:$D$18,I1119)&amp;"."&amp;IF(J1119&lt;=K1119,J1119,IF(J1119=K1119+1,200,IF(J1119=K1119+2,201,250)))&amp;".0/24",""))</f>
        <v/>
      </c>
      <c r="D1119" s="0" t="str">
        <f aca="false">IF(I1119="","",IF(AND(J1119&gt;=1,J1119&lt;=K1119+3),"255.255.255.0",""))</f>
        <v/>
      </c>
      <c r="E1119" s="0" t="str">
        <f aca="false">IF(I1119="","",IF(AND(J1119&gt;=1,J1119&lt;=K1119+3),"10."&amp;INDEX(Eingabe!$D$9:$D$18,I1119)&amp;"."&amp;IF(J1119&lt;=K1119,J1119,IF(J1119=K1119+1,200,IF(J1119=K1119+2,201,250)))&amp;".1",""))</f>
        <v/>
      </c>
      <c r="F1119" s="0" t="str">
        <f aca="false">IF(I1119="","",IF(AND(J1119&gt;=1,J1119&lt;=K1119+3),"10."&amp;INDEX(Eingabe!$D$9:$D$18,I1119)&amp;"."&amp;IF(J1119&lt;=K1119,J1119,IF(J1119=K1119+1,200,IF(J1119=K1119+2,201,250)))&amp;".10 – 10."&amp;INDEX(Eingabe!$D$9:$D$18,I1119)&amp;"."&amp;IF(J1119&lt;=K1119,J1119,IF(J1119=K1119+1,200,IF(J1119=K1119+2,201,250)))&amp;".250",""))</f>
        <v/>
      </c>
      <c r="G1119" s="0" t="str">
        <f aca="false">IF(I1119="","",IF(AND(J1119&gt;=1,J1119&lt;=K1119),Eingabe!$B$6&amp;"-"&amp;INDEX(Eingabe!$C$9:$C$18,I1119)&amp;"-Pächter  ·  Passwort Parzelle "&amp;J1119,IF(J1119=K1119+1,Eingabe!$B$6&amp;"-"&amp;INDEX(Eingabe!$C$9:$C$18,I1119)&amp;"-Vorstand  ·  eigenes WLAN",IF(J1119=K1119+2,Eingabe!$B$6&amp;"-"&amp;INDEX(Eingabe!$C$9:$C$18,I1119)&amp;"-Gäste  ·  Voucher",IF(J1119=K1119+3,"Kabel  ·  Access Point y = .(50+y), Mast-Switch x = .(10+x)","")))))</f>
        <v/>
      </c>
      <c r="I1119" s="0" t="str">
        <f aca="false">IF(1114&lt;=(Eingabe!$P$18+Eingabe!$Q$18-1),MATCH(1114,Eingabe!$P$9:$P$18,1),"")</f>
        <v/>
      </c>
      <c r="J1119" s="0" t="str">
        <f aca="false">IF(I1119="","",1114-INDEX(Eingabe!$P$9:$P$18,I1119))</f>
        <v/>
      </c>
      <c r="K1119" s="0" t="str">
        <f aca="false">IF(I1119="","",INDEX(Eingabe!$E$9:$E$18,I1119))</f>
        <v/>
      </c>
    </row>
    <row r="1120" customFormat="false" ht="15" hidden="false" customHeight="false" outlineLevel="0" collapsed="false">
      <c r="A1120" s="0" t="str">
        <f aca="false">IF(I1120="","",IF(J1120=0,"Sparte "&amp;I1120&amp;": "&amp;INDEX(Eingabe!$B$9:$B$18,I1120)&amp;"  (Sparten-ID "&amp;INDEX(Eingabe!$D$9:$D$18,I1120)&amp;", "&amp;K1120&amp;" Parzellen)",IF(J1120&lt;=K1120,"   Parzelle "&amp;J1120,IF(J1120=K1120+1,"   Vorstand",IF(J1120=K1120+2,"   Gäste",IF(J1120=K1120+3,"   Technik (Switches, Access Points)",""))))))</f>
        <v/>
      </c>
      <c r="B1120" s="0" t="str">
        <f aca="false">IF(I1120="","",IF(AND(J1120&gt;=1,J1120&lt;=K1120+3),IF(J1120&lt;=K1120,IF(J1120&lt;=99,IF((INDEX(Eingabe!$G$9:$G$18,I1120))&lt;=9,1000+(INDEX(Eingabe!$G$9:$G$18,I1120))*100,3000)+J1120,IF((INDEX(Eingabe!$G$9:$G$18,I1120)+1)&lt;=9,1000+(INDEX(Eingabe!$G$9:$G$18,I1120)+1)*100,3000)+J1120-100),IF(J1120=K1120+1,2000+INDEX(Eingabe!$G$9:$G$18,I1120)*10+1,IF(J1120=K1120+2,2000+INDEX(Eingabe!$G$9:$G$18,I1120)*10+2,2000+INDEX(Eingabe!$G$9:$G$18,I1120)*10+9))),""))</f>
        <v/>
      </c>
      <c r="C1120" s="0" t="str">
        <f aca="false">IF(I1120="","",IF(AND(J1120&gt;=1,J1120&lt;=K1120+3),"10."&amp;INDEX(Eingabe!$D$9:$D$18,I1120)&amp;"."&amp;IF(J1120&lt;=K1120,J1120,IF(J1120=K1120+1,200,IF(J1120=K1120+2,201,250)))&amp;".0/24",""))</f>
        <v/>
      </c>
      <c r="D1120" s="0" t="str">
        <f aca="false">IF(I1120="","",IF(AND(J1120&gt;=1,J1120&lt;=K1120+3),"255.255.255.0",""))</f>
        <v/>
      </c>
      <c r="E1120" s="0" t="str">
        <f aca="false">IF(I1120="","",IF(AND(J1120&gt;=1,J1120&lt;=K1120+3),"10."&amp;INDEX(Eingabe!$D$9:$D$18,I1120)&amp;"."&amp;IF(J1120&lt;=K1120,J1120,IF(J1120=K1120+1,200,IF(J1120=K1120+2,201,250)))&amp;".1",""))</f>
        <v/>
      </c>
      <c r="F1120" s="0" t="str">
        <f aca="false">IF(I1120="","",IF(AND(J1120&gt;=1,J1120&lt;=K1120+3),"10."&amp;INDEX(Eingabe!$D$9:$D$18,I1120)&amp;"."&amp;IF(J1120&lt;=K1120,J1120,IF(J1120=K1120+1,200,IF(J1120=K1120+2,201,250)))&amp;".10 – 10."&amp;INDEX(Eingabe!$D$9:$D$18,I1120)&amp;"."&amp;IF(J1120&lt;=K1120,J1120,IF(J1120=K1120+1,200,IF(J1120=K1120+2,201,250)))&amp;".250",""))</f>
        <v/>
      </c>
      <c r="G1120" s="0" t="str">
        <f aca="false">IF(I1120="","",IF(AND(J1120&gt;=1,J1120&lt;=K1120),Eingabe!$B$6&amp;"-"&amp;INDEX(Eingabe!$C$9:$C$18,I1120)&amp;"-Pächter  ·  Passwort Parzelle "&amp;J1120,IF(J1120=K1120+1,Eingabe!$B$6&amp;"-"&amp;INDEX(Eingabe!$C$9:$C$18,I1120)&amp;"-Vorstand  ·  eigenes WLAN",IF(J1120=K1120+2,Eingabe!$B$6&amp;"-"&amp;INDEX(Eingabe!$C$9:$C$18,I1120)&amp;"-Gäste  ·  Voucher",IF(J1120=K1120+3,"Kabel  ·  Access Point y = .(50+y), Mast-Switch x = .(10+x)","")))))</f>
        <v/>
      </c>
      <c r="I1120" s="0" t="str">
        <f aca="false">IF(1115&lt;=(Eingabe!$P$18+Eingabe!$Q$18-1),MATCH(1115,Eingabe!$P$9:$P$18,1),"")</f>
        <v/>
      </c>
      <c r="J1120" s="0" t="str">
        <f aca="false">IF(I1120="","",1115-INDEX(Eingabe!$P$9:$P$18,I1120))</f>
        <v/>
      </c>
      <c r="K1120" s="0" t="str">
        <f aca="false">IF(I1120="","",INDEX(Eingabe!$E$9:$E$18,I1120))</f>
        <v/>
      </c>
    </row>
    <row r="1121" customFormat="false" ht="15" hidden="false" customHeight="false" outlineLevel="0" collapsed="false">
      <c r="A1121" s="0" t="str">
        <f aca="false">IF(I1121="","",IF(J1121=0,"Sparte "&amp;I1121&amp;": "&amp;INDEX(Eingabe!$B$9:$B$18,I1121)&amp;"  (Sparten-ID "&amp;INDEX(Eingabe!$D$9:$D$18,I1121)&amp;", "&amp;K1121&amp;" Parzellen)",IF(J1121&lt;=K1121,"   Parzelle "&amp;J1121,IF(J1121=K1121+1,"   Vorstand",IF(J1121=K1121+2,"   Gäste",IF(J1121=K1121+3,"   Technik (Switches, Access Points)",""))))))</f>
        <v/>
      </c>
      <c r="B1121" s="0" t="str">
        <f aca="false">IF(I1121="","",IF(AND(J1121&gt;=1,J1121&lt;=K1121+3),IF(J1121&lt;=K1121,IF(J1121&lt;=99,IF((INDEX(Eingabe!$G$9:$G$18,I1121))&lt;=9,1000+(INDEX(Eingabe!$G$9:$G$18,I1121))*100,3000)+J1121,IF((INDEX(Eingabe!$G$9:$G$18,I1121)+1)&lt;=9,1000+(INDEX(Eingabe!$G$9:$G$18,I1121)+1)*100,3000)+J1121-100),IF(J1121=K1121+1,2000+INDEX(Eingabe!$G$9:$G$18,I1121)*10+1,IF(J1121=K1121+2,2000+INDEX(Eingabe!$G$9:$G$18,I1121)*10+2,2000+INDEX(Eingabe!$G$9:$G$18,I1121)*10+9))),""))</f>
        <v/>
      </c>
      <c r="C1121" s="0" t="str">
        <f aca="false">IF(I1121="","",IF(AND(J1121&gt;=1,J1121&lt;=K1121+3),"10."&amp;INDEX(Eingabe!$D$9:$D$18,I1121)&amp;"."&amp;IF(J1121&lt;=K1121,J1121,IF(J1121=K1121+1,200,IF(J1121=K1121+2,201,250)))&amp;".0/24",""))</f>
        <v/>
      </c>
      <c r="D1121" s="0" t="str">
        <f aca="false">IF(I1121="","",IF(AND(J1121&gt;=1,J1121&lt;=K1121+3),"255.255.255.0",""))</f>
        <v/>
      </c>
      <c r="E1121" s="0" t="str">
        <f aca="false">IF(I1121="","",IF(AND(J1121&gt;=1,J1121&lt;=K1121+3),"10."&amp;INDEX(Eingabe!$D$9:$D$18,I1121)&amp;"."&amp;IF(J1121&lt;=K1121,J1121,IF(J1121=K1121+1,200,IF(J1121=K1121+2,201,250)))&amp;".1",""))</f>
        <v/>
      </c>
      <c r="F1121" s="0" t="str">
        <f aca="false">IF(I1121="","",IF(AND(J1121&gt;=1,J1121&lt;=K1121+3),"10."&amp;INDEX(Eingabe!$D$9:$D$18,I1121)&amp;"."&amp;IF(J1121&lt;=K1121,J1121,IF(J1121=K1121+1,200,IF(J1121=K1121+2,201,250)))&amp;".10 – 10."&amp;INDEX(Eingabe!$D$9:$D$18,I1121)&amp;"."&amp;IF(J1121&lt;=K1121,J1121,IF(J1121=K1121+1,200,IF(J1121=K1121+2,201,250)))&amp;".250",""))</f>
        <v/>
      </c>
      <c r="G1121" s="0" t="str">
        <f aca="false">IF(I1121="","",IF(AND(J1121&gt;=1,J1121&lt;=K1121),Eingabe!$B$6&amp;"-"&amp;INDEX(Eingabe!$C$9:$C$18,I1121)&amp;"-Pächter  ·  Passwort Parzelle "&amp;J1121,IF(J1121=K1121+1,Eingabe!$B$6&amp;"-"&amp;INDEX(Eingabe!$C$9:$C$18,I1121)&amp;"-Vorstand  ·  eigenes WLAN",IF(J1121=K1121+2,Eingabe!$B$6&amp;"-"&amp;INDEX(Eingabe!$C$9:$C$18,I1121)&amp;"-Gäste  ·  Voucher",IF(J1121=K1121+3,"Kabel  ·  Access Point y = .(50+y), Mast-Switch x = .(10+x)","")))))</f>
        <v/>
      </c>
      <c r="I1121" s="0" t="str">
        <f aca="false">IF(1116&lt;=(Eingabe!$P$18+Eingabe!$Q$18-1),MATCH(1116,Eingabe!$P$9:$P$18,1),"")</f>
        <v/>
      </c>
      <c r="J1121" s="0" t="str">
        <f aca="false">IF(I1121="","",1116-INDEX(Eingabe!$P$9:$P$18,I1121))</f>
        <v/>
      </c>
      <c r="K1121" s="0" t="str">
        <f aca="false">IF(I1121="","",INDEX(Eingabe!$E$9:$E$18,I1121))</f>
        <v/>
      </c>
    </row>
    <row r="1122" customFormat="false" ht="15" hidden="false" customHeight="false" outlineLevel="0" collapsed="false">
      <c r="A1122" s="0" t="str">
        <f aca="false">IF(I1122="","",IF(J1122=0,"Sparte "&amp;I1122&amp;": "&amp;INDEX(Eingabe!$B$9:$B$18,I1122)&amp;"  (Sparten-ID "&amp;INDEX(Eingabe!$D$9:$D$18,I1122)&amp;", "&amp;K1122&amp;" Parzellen)",IF(J1122&lt;=K1122,"   Parzelle "&amp;J1122,IF(J1122=K1122+1,"   Vorstand",IF(J1122=K1122+2,"   Gäste",IF(J1122=K1122+3,"   Technik (Switches, Access Points)",""))))))</f>
        <v/>
      </c>
      <c r="B1122" s="0" t="str">
        <f aca="false">IF(I1122="","",IF(AND(J1122&gt;=1,J1122&lt;=K1122+3),IF(J1122&lt;=K1122,IF(J1122&lt;=99,IF((INDEX(Eingabe!$G$9:$G$18,I1122))&lt;=9,1000+(INDEX(Eingabe!$G$9:$G$18,I1122))*100,3000)+J1122,IF((INDEX(Eingabe!$G$9:$G$18,I1122)+1)&lt;=9,1000+(INDEX(Eingabe!$G$9:$G$18,I1122)+1)*100,3000)+J1122-100),IF(J1122=K1122+1,2000+INDEX(Eingabe!$G$9:$G$18,I1122)*10+1,IF(J1122=K1122+2,2000+INDEX(Eingabe!$G$9:$G$18,I1122)*10+2,2000+INDEX(Eingabe!$G$9:$G$18,I1122)*10+9))),""))</f>
        <v/>
      </c>
      <c r="C1122" s="0" t="str">
        <f aca="false">IF(I1122="","",IF(AND(J1122&gt;=1,J1122&lt;=K1122+3),"10."&amp;INDEX(Eingabe!$D$9:$D$18,I1122)&amp;"."&amp;IF(J1122&lt;=K1122,J1122,IF(J1122=K1122+1,200,IF(J1122=K1122+2,201,250)))&amp;".0/24",""))</f>
        <v/>
      </c>
      <c r="D1122" s="0" t="str">
        <f aca="false">IF(I1122="","",IF(AND(J1122&gt;=1,J1122&lt;=K1122+3),"255.255.255.0",""))</f>
        <v/>
      </c>
      <c r="E1122" s="0" t="str">
        <f aca="false">IF(I1122="","",IF(AND(J1122&gt;=1,J1122&lt;=K1122+3),"10."&amp;INDEX(Eingabe!$D$9:$D$18,I1122)&amp;"."&amp;IF(J1122&lt;=K1122,J1122,IF(J1122=K1122+1,200,IF(J1122=K1122+2,201,250)))&amp;".1",""))</f>
        <v/>
      </c>
      <c r="F1122" s="0" t="str">
        <f aca="false">IF(I1122="","",IF(AND(J1122&gt;=1,J1122&lt;=K1122+3),"10."&amp;INDEX(Eingabe!$D$9:$D$18,I1122)&amp;"."&amp;IF(J1122&lt;=K1122,J1122,IF(J1122=K1122+1,200,IF(J1122=K1122+2,201,250)))&amp;".10 – 10."&amp;INDEX(Eingabe!$D$9:$D$18,I1122)&amp;"."&amp;IF(J1122&lt;=K1122,J1122,IF(J1122=K1122+1,200,IF(J1122=K1122+2,201,250)))&amp;".250",""))</f>
        <v/>
      </c>
      <c r="G1122" s="0" t="str">
        <f aca="false">IF(I1122="","",IF(AND(J1122&gt;=1,J1122&lt;=K1122),Eingabe!$B$6&amp;"-"&amp;INDEX(Eingabe!$C$9:$C$18,I1122)&amp;"-Pächter  ·  Passwort Parzelle "&amp;J1122,IF(J1122=K1122+1,Eingabe!$B$6&amp;"-"&amp;INDEX(Eingabe!$C$9:$C$18,I1122)&amp;"-Vorstand  ·  eigenes WLAN",IF(J1122=K1122+2,Eingabe!$B$6&amp;"-"&amp;INDEX(Eingabe!$C$9:$C$18,I1122)&amp;"-Gäste  ·  Voucher",IF(J1122=K1122+3,"Kabel  ·  Access Point y = .(50+y), Mast-Switch x = .(10+x)","")))))</f>
        <v/>
      </c>
      <c r="I1122" s="0" t="str">
        <f aca="false">IF(1117&lt;=(Eingabe!$P$18+Eingabe!$Q$18-1),MATCH(1117,Eingabe!$P$9:$P$18,1),"")</f>
        <v/>
      </c>
      <c r="J1122" s="0" t="str">
        <f aca="false">IF(I1122="","",1117-INDEX(Eingabe!$P$9:$P$18,I1122))</f>
        <v/>
      </c>
      <c r="K1122" s="0" t="str">
        <f aca="false">IF(I1122="","",INDEX(Eingabe!$E$9:$E$18,I1122))</f>
        <v/>
      </c>
    </row>
    <row r="1123" customFormat="false" ht="15" hidden="false" customHeight="false" outlineLevel="0" collapsed="false">
      <c r="A1123" s="0" t="str">
        <f aca="false">IF(I1123="","",IF(J1123=0,"Sparte "&amp;I1123&amp;": "&amp;INDEX(Eingabe!$B$9:$B$18,I1123)&amp;"  (Sparten-ID "&amp;INDEX(Eingabe!$D$9:$D$18,I1123)&amp;", "&amp;K1123&amp;" Parzellen)",IF(J1123&lt;=K1123,"   Parzelle "&amp;J1123,IF(J1123=K1123+1,"   Vorstand",IF(J1123=K1123+2,"   Gäste",IF(J1123=K1123+3,"   Technik (Switches, Access Points)",""))))))</f>
        <v/>
      </c>
      <c r="B1123" s="0" t="str">
        <f aca="false">IF(I1123="","",IF(AND(J1123&gt;=1,J1123&lt;=K1123+3),IF(J1123&lt;=K1123,IF(J1123&lt;=99,IF((INDEX(Eingabe!$G$9:$G$18,I1123))&lt;=9,1000+(INDEX(Eingabe!$G$9:$G$18,I1123))*100,3000)+J1123,IF((INDEX(Eingabe!$G$9:$G$18,I1123)+1)&lt;=9,1000+(INDEX(Eingabe!$G$9:$G$18,I1123)+1)*100,3000)+J1123-100),IF(J1123=K1123+1,2000+INDEX(Eingabe!$G$9:$G$18,I1123)*10+1,IF(J1123=K1123+2,2000+INDEX(Eingabe!$G$9:$G$18,I1123)*10+2,2000+INDEX(Eingabe!$G$9:$G$18,I1123)*10+9))),""))</f>
        <v/>
      </c>
      <c r="C1123" s="0" t="str">
        <f aca="false">IF(I1123="","",IF(AND(J1123&gt;=1,J1123&lt;=K1123+3),"10."&amp;INDEX(Eingabe!$D$9:$D$18,I1123)&amp;"."&amp;IF(J1123&lt;=K1123,J1123,IF(J1123=K1123+1,200,IF(J1123=K1123+2,201,250)))&amp;".0/24",""))</f>
        <v/>
      </c>
      <c r="D1123" s="0" t="str">
        <f aca="false">IF(I1123="","",IF(AND(J1123&gt;=1,J1123&lt;=K1123+3),"255.255.255.0",""))</f>
        <v/>
      </c>
      <c r="E1123" s="0" t="str">
        <f aca="false">IF(I1123="","",IF(AND(J1123&gt;=1,J1123&lt;=K1123+3),"10."&amp;INDEX(Eingabe!$D$9:$D$18,I1123)&amp;"."&amp;IF(J1123&lt;=K1123,J1123,IF(J1123=K1123+1,200,IF(J1123=K1123+2,201,250)))&amp;".1",""))</f>
        <v/>
      </c>
      <c r="F1123" s="0" t="str">
        <f aca="false">IF(I1123="","",IF(AND(J1123&gt;=1,J1123&lt;=K1123+3),"10."&amp;INDEX(Eingabe!$D$9:$D$18,I1123)&amp;"."&amp;IF(J1123&lt;=K1123,J1123,IF(J1123=K1123+1,200,IF(J1123=K1123+2,201,250)))&amp;".10 – 10."&amp;INDEX(Eingabe!$D$9:$D$18,I1123)&amp;"."&amp;IF(J1123&lt;=K1123,J1123,IF(J1123=K1123+1,200,IF(J1123=K1123+2,201,250)))&amp;".250",""))</f>
        <v/>
      </c>
      <c r="G1123" s="0" t="str">
        <f aca="false">IF(I1123="","",IF(AND(J1123&gt;=1,J1123&lt;=K1123),Eingabe!$B$6&amp;"-"&amp;INDEX(Eingabe!$C$9:$C$18,I1123)&amp;"-Pächter  ·  Passwort Parzelle "&amp;J1123,IF(J1123=K1123+1,Eingabe!$B$6&amp;"-"&amp;INDEX(Eingabe!$C$9:$C$18,I1123)&amp;"-Vorstand  ·  eigenes WLAN",IF(J1123=K1123+2,Eingabe!$B$6&amp;"-"&amp;INDEX(Eingabe!$C$9:$C$18,I1123)&amp;"-Gäste  ·  Voucher",IF(J1123=K1123+3,"Kabel  ·  Access Point y = .(50+y), Mast-Switch x = .(10+x)","")))))</f>
        <v/>
      </c>
      <c r="I1123" s="0" t="str">
        <f aca="false">IF(1118&lt;=(Eingabe!$P$18+Eingabe!$Q$18-1),MATCH(1118,Eingabe!$P$9:$P$18,1),"")</f>
        <v/>
      </c>
      <c r="J1123" s="0" t="str">
        <f aca="false">IF(I1123="","",1118-INDEX(Eingabe!$P$9:$P$18,I1123))</f>
        <v/>
      </c>
      <c r="K1123" s="0" t="str">
        <f aca="false">IF(I1123="","",INDEX(Eingabe!$E$9:$E$18,I1123))</f>
        <v/>
      </c>
    </row>
    <row r="1124" customFormat="false" ht="15" hidden="false" customHeight="false" outlineLevel="0" collapsed="false">
      <c r="A1124" s="0" t="str">
        <f aca="false">IF(I1124="","",IF(J1124=0,"Sparte "&amp;I1124&amp;": "&amp;INDEX(Eingabe!$B$9:$B$18,I1124)&amp;"  (Sparten-ID "&amp;INDEX(Eingabe!$D$9:$D$18,I1124)&amp;", "&amp;K1124&amp;" Parzellen)",IF(J1124&lt;=K1124,"   Parzelle "&amp;J1124,IF(J1124=K1124+1,"   Vorstand",IF(J1124=K1124+2,"   Gäste",IF(J1124=K1124+3,"   Technik (Switches, Access Points)",""))))))</f>
        <v/>
      </c>
      <c r="B1124" s="0" t="str">
        <f aca="false">IF(I1124="","",IF(AND(J1124&gt;=1,J1124&lt;=K1124+3),IF(J1124&lt;=K1124,IF(J1124&lt;=99,IF((INDEX(Eingabe!$G$9:$G$18,I1124))&lt;=9,1000+(INDEX(Eingabe!$G$9:$G$18,I1124))*100,3000)+J1124,IF((INDEX(Eingabe!$G$9:$G$18,I1124)+1)&lt;=9,1000+(INDEX(Eingabe!$G$9:$G$18,I1124)+1)*100,3000)+J1124-100),IF(J1124=K1124+1,2000+INDEX(Eingabe!$G$9:$G$18,I1124)*10+1,IF(J1124=K1124+2,2000+INDEX(Eingabe!$G$9:$G$18,I1124)*10+2,2000+INDEX(Eingabe!$G$9:$G$18,I1124)*10+9))),""))</f>
        <v/>
      </c>
      <c r="C1124" s="0" t="str">
        <f aca="false">IF(I1124="","",IF(AND(J1124&gt;=1,J1124&lt;=K1124+3),"10."&amp;INDEX(Eingabe!$D$9:$D$18,I1124)&amp;"."&amp;IF(J1124&lt;=K1124,J1124,IF(J1124=K1124+1,200,IF(J1124=K1124+2,201,250)))&amp;".0/24",""))</f>
        <v/>
      </c>
      <c r="D1124" s="0" t="str">
        <f aca="false">IF(I1124="","",IF(AND(J1124&gt;=1,J1124&lt;=K1124+3),"255.255.255.0",""))</f>
        <v/>
      </c>
      <c r="E1124" s="0" t="str">
        <f aca="false">IF(I1124="","",IF(AND(J1124&gt;=1,J1124&lt;=K1124+3),"10."&amp;INDEX(Eingabe!$D$9:$D$18,I1124)&amp;"."&amp;IF(J1124&lt;=K1124,J1124,IF(J1124=K1124+1,200,IF(J1124=K1124+2,201,250)))&amp;".1",""))</f>
        <v/>
      </c>
      <c r="F1124" s="0" t="str">
        <f aca="false">IF(I1124="","",IF(AND(J1124&gt;=1,J1124&lt;=K1124+3),"10."&amp;INDEX(Eingabe!$D$9:$D$18,I1124)&amp;"."&amp;IF(J1124&lt;=K1124,J1124,IF(J1124=K1124+1,200,IF(J1124=K1124+2,201,250)))&amp;".10 – 10."&amp;INDEX(Eingabe!$D$9:$D$18,I1124)&amp;"."&amp;IF(J1124&lt;=K1124,J1124,IF(J1124=K1124+1,200,IF(J1124=K1124+2,201,250)))&amp;".250",""))</f>
        <v/>
      </c>
      <c r="G1124" s="0" t="str">
        <f aca="false">IF(I1124="","",IF(AND(J1124&gt;=1,J1124&lt;=K1124),Eingabe!$B$6&amp;"-"&amp;INDEX(Eingabe!$C$9:$C$18,I1124)&amp;"-Pächter  ·  Passwort Parzelle "&amp;J1124,IF(J1124=K1124+1,Eingabe!$B$6&amp;"-"&amp;INDEX(Eingabe!$C$9:$C$18,I1124)&amp;"-Vorstand  ·  eigenes WLAN",IF(J1124=K1124+2,Eingabe!$B$6&amp;"-"&amp;INDEX(Eingabe!$C$9:$C$18,I1124)&amp;"-Gäste  ·  Voucher",IF(J1124=K1124+3,"Kabel  ·  Access Point y = .(50+y), Mast-Switch x = .(10+x)","")))))</f>
        <v/>
      </c>
      <c r="I1124" s="0" t="str">
        <f aca="false">IF(1119&lt;=(Eingabe!$P$18+Eingabe!$Q$18-1),MATCH(1119,Eingabe!$P$9:$P$18,1),"")</f>
        <v/>
      </c>
      <c r="J1124" s="0" t="str">
        <f aca="false">IF(I1124="","",1119-INDEX(Eingabe!$P$9:$P$18,I1124))</f>
        <v/>
      </c>
      <c r="K1124" s="0" t="str">
        <f aca="false">IF(I1124="","",INDEX(Eingabe!$E$9:$E$18,I1124))</f>
        <v/>
      </c>
    </row>
    <row r="1125" customFormat="false" ht="15" hidden="false" customHeight="false" outlineLevel="0" collapsed="false">
      <c r="A1125" s="0" t="str">
        <f aca="false">IF(I1125="","",IF(J1125=0,"Sparte "&amp;I1125&amp;": "&amp;INDEX(Eingabe!$B$9:$B$18,I1125)&amp;"  (Sparten-ID "&amp;INDEX(Eingabe!$D$9:$D$18,I1125)&amp;", "&amp;K1125&amp;" Parzellen)",IF(J1125&lt;=K1125,"   Parzelle "&amp;J1125,IF(J1125=K1125+1,"   Vorstand",IF(J1125=K1125+2,"   Gäste",IF(J1125=K1125+3,"   Technik (Switches, Access Points)",""))))))</f>
        <v/>
      </c>
      <c r="B1125" s="0" t="str">
        <f aca="false">IF(I1125="","",IF(AND(J1125&gt;=1,J1125&lt;=K1125+3),IF(J1125&lt;=K1125,IF(J1125&lt;=99,IF((INDEX(Eingabe!$G$9:$G$18,I1125))&lt;=9,1000+(INDEX(Eingabe!$G$9:$G$18,I1125))*100,3000)+J1125,IF((INDEX(Eingabe!$G$9:$G$18,I1125)+1)&lt;=9,1000+(INDEX(Eingabe!$G$9:$G$18,I1125)+1)*100,3000)+J1125-100),IF(J1125=K1125+1,2000+INDEX(Eingabe!$G$9:$G$18,I1125)*10+1,IF(J1125=K1125+2,2000+INDEX(Eingabe!$G$9:$G$18,I1125)*10+2,2000+INDEX(Eingabe!$G$9:$G$18,I1125)*10+9))),""))</f>
        <v/>
      </c>
      <c r="C1125" s="0" t="str">
        <f aca="false">IF(I1125="","",IF(AND(J1125&gt;=1,J1125&lt;=K1125+3),"10."&amp;INDEX(Eingabe!$D$9:$D$18,I1125)&amp;"."&amp;IF(J1125&lt;=K1125,J1125,IF(J1125=K1125+1,200,IF(J1125=K1125+2,201,250)))&amp;".0/24",""))</f>
        <v/>
      </c>
      <c r="D1125" s="0" t="str">
        <f aca="false">IF(I1125="","",IF(AND(J1125&gt;=1,J1125&lt;=K1125+3),"255.255.255.0",""))</f>
        <v/>
      </c>
      <c r="E1125" s="0" t="str">
        <f aca="false">IF(I1125="","",IF(AND(J1125&gt;=1,J1125&lt;=K1125+3),"10."&amp;INDEX(Eingabe!$D$9:$D$18,I1125)&amp;"."&amp;IF(J1125&lt;=K1125,J1125,IF(J1125=K1125+1,200,IF(J1125=K1125+2,201,250)))&amp;".1",""))</f>
        <v/>
      </c>
      <c r="F1125" s="0" t="str">
        <f aca="false">IF(I1125="","",IF(AND(J1125&gt;=1,J1125&lt;=K1125+3),"10."&amp;INDEX(Eingabe!$D$9:$D$18,I1125)&amp;"."&amp;IF(J1125&lt;=K1125,J1125,IF(J1125=K1125+1,200,IF(J1125=K1125+2,201,250)))&amp;".10 – 10."&amp;INDEX(Eingabe!$D$9:$D$18,I1125)&amp;"."&amp;IF(J1125&lt;=K1125,J1125,IF(J1125=K1125+1,200,IF(J1125=K1125+2,201,250)))&amp;".250",""))</f>
        <v/>
      </c>
      <c r="G1125" s="0" t="str">
        <f aca="false">IF(I1125="","",IF(AND(J1125&gt;=1,J1125&lt;=K1125),Eingabe!$B$6&amp;"-"&amp;INDEX(Eingabe!$C$9:$C$18,I1125)&amp;"-Pächter  ·  Passwort Parzelle "&amp;J1125,IF(J1125=K1125+1,Eingabe!$B$6&amp;"-"&amp;INDEX(Eingabe!$C$9:$C$18,I1125)&amp;"-Vorstand  ·  eigenes WLAN",IF(J1125=K1125+2,Eingabe!$B$6&amp;"-"&amp;INDEX(Eingabe!$C$9:$C$18,I1125)&amp;"-Gäste  ·  Voucher",IF(J1125=K1125+3,"Kabel  ·  Access Point y = .(50+y), Mast-Switch x = .(10+x)","")))))</f>
        <v/>
      </c>
      <c r="I1125" s="0" t="str">
        <f aca="false">IF(1120&lt;=(Eingabe!$P$18+Eingabe!$Q$18-1),MATCH(1120,Eingabe!$P$9:$P$18,1),"")</f>
        <v/>
      </c>
      <c r="J1125" s="0" t="str">
        <f aca="false">IF(I1125="","",1120-INDEX(Eingabe!$P$9:$P$18,I1125))</f>
        <v/>
      </c>
      <c r="K1125" s="0" t="str">
        <f aca="false">IF(I1125="","",INDEX(Eingabe!$E$9:$E$18,I1125))</f>
        <v/>
      </c>
    </row>
    <row r="1126" customFormat="false" ht="15" hidden="false" customHeight="false" outlineLevel="0" collapsed="false">
      <c r="A1126" s="0" t="str">
        <f aca="false">IF(I1126="","",IF(J1126=0,"Sparte "&amp;I1126&amp;": "&amp;INDEX(Eingabe!$B$9:$B$18,I1126)&amp;"  (Sparten-ID "&amp;INDEX(Eingabe!$D$9:$D$18,I1126)&amp;", "&amp;K1126&amp;" Parzellen)",IF(J1126&lt;=K1126,"   Parzelle "&amp;J1126,IF(J1126=K1126+1,"   Vorstand",IF(J1126=K1126+2,"   Gäste",IF(J1126=K1126+3,"   Technik (Switches, Access Points)",""))))))</f>
        <v/>
      </c>
      <c r="B1126" s="0" t="str">
        <f aca="false">IF(I1126="","",IF(AND(J1126&gt;=1,J1126&lt;=K1126+3),IF(J1126&lt;=K1126,IF(J1126&lt;=99,IF((INDEX(Eingabe!$G$9:$G$18,I1126))&lt;=9,1000+(INDEX(Eingabe!$G$9:$G$18,I1126))*100,3000)+J1126,IF((INDEX(Eingabe!$G$9:$G$18,I1126)+1)&lt;=9,1000+(INDEX(Eingabe!$G$9:$G$18,I1126)+1)*100,3000)+J1126-100),IF(J1126=K1126+1,2000+INDEX(Eingabe!$G$9:$G$18,I1126)*10+1,IF(J1126=K1126+2,2000+INDEX(Eingabe!$G$9:$G$18,I1126)*10+2,2000+INDEX(Eingabe!$G$9:$G$18,I1126)*10+9))),""))</f>
        <v/>
      </c>
      <c r="C1126" s="0" t="str">
        <f aca="false">IF(I1126="","",IF(AND(J1126&gt;=1,J1126&lt;=K1126+3),"10."&amp;INDEX(Eingabe!$D$9:$D$18,I1126)&amp;"."&amp;IF(J1126&lt;=K1126,J1126,IF(J1126=K1126+1,200,IF(J1126=K1126+2,201,250)))&amp;".0/24",""))</f>
        <v/>
      </c>
      <c r="D1126" s="0" t="str">
        <f aca="false">IF(I1126="","",IF(AND(J1126&gt;=1,J1126&lt;=K1126+3),"255.255.255.0",""))</f>
        <v/>
      </c>
      <c r="E1126" s="0" t="str">
        <f aca="false">IF(I1126="","",IF(AND(J1126&gt;=1,J1126&lt;=K1126+3),"10."&amp;INDEX(Eingabe!$D$9:$D$18,I1126)&amp;"."&amp;IF(J1126&lt;=K1126,J1126,IF(J1126=K1126+1,200,IF(J1126=K1126+2,201,250)))&amp;".1",""))</f>
        <v/>
      </c>
      <c r="F1126" s="0" t="str">
        <f aca="false">IF(I1126="","",IF(AND(J1126&gt;=1,J1126&lt;=K1126+3),"10."&amp;INDEX(Eingabe!$D$9:$D$18,I1126)&amp;"."&amp;IF(J1126&lt;=K1126,J1126,IF(J1126=K1126+1,200,IF(J1126=K1126+2,201,250)))&amp;".10 – 10."&amp;INDEX(Eingabe!$D$9:$D$18,I1126)&amp;"."&amp;IF(J1126&lt;=K1126,J1126,IF(J1126=K1126+1,200,IF(J1126=K1126+2,201,250)))&amp;".250",""))</f>
        <v/>
      </c>
      <c r="G1126" s="0" t="str">
        <f aca="false">IF(I1126="","",IF(AND(J1126&gt;=1,J1126&lt;=K1126),Eingabe!$B$6&amp;"-"&amp;INDEX(Eingabe!$C$9:$C$18,I1126)&amp;"-Pächter  ·  Passwort Parzelle "&amp;J1126,IF(J1126=K1126+1,Eingabe!$B$6&amp;"-"&amp;INDEX(Eingabe!$C$9:$C$18,I1126)&amp;"-Vorstand  ·  eigenes WLAN",IF(J1126=K1126+2,Eingabe!$B$6&amp;"-"&amp;INDEX(Eingabe!$C$9:$C$18,I1126)&amp;"-Gäste  ·  Voucher",IF(J1126=K1126+3,"Kabel  ·  Access Point y = .(50+y), Mast-Switch x = .(10+x)","")))))</f>
        <v/>
      </c>
      <c r="I1126" s="0" t="str">
        <f aca="false">IF(1121&lt;=(Eingabe!$P$18+Eingabe!$Q$18-1),MATCH(1121,Eingabe!$P$9:$P$18,1),"")</f>
        <v/>
      </c>
      <c r="J1126" s="0" t="str">
        <f aca="false">IF(I1126="","",1121-INDEX(Eingabe!$P$9:$P$18,I1126))</f>
        <v/>
      </c>
      <c r="K1126" s="0" t="str">
        <f aca="false">IF(I1126="","",INDEX(Eingabe!$E$9:$E$18,I1126))</f>
        <v/>
      </c>
    </row>
    <row r="1127" customFormat="false" ht="15" hidden="false" customHeight="false" outlineLevel="0" collapsed="false">
      <c r="A1127" s="0" t="str">
        <f aca="false">IF(I1127="","",IF(J1127=0,"Sparte "&amp;I1127&amp;": "&amp;INDEX(Eingabe!$B$9:$B$18,I1127)&amp;"  (Sparten-ID "&amp;INDEX(Eingabe!$D$9:$D$18,I1127)&amp;", "&amp;K1127&amp;" Parzellen)",IF(J1127&lt;=K1127,"   Parzelle "&amp;J1127,IF(J1127=K1127+1,"   Vorstand",IF(J1127=K1127+2,"   Gäste",IF(J1127=K1127+3,"   Technik (Switches, Access Points)",""))))))</f>
        <v/>
      </c>
      <c r="B1127" s="0" t="str">
        <f aca="false">IF(I1127="","",IF(AND(J1127&gt;=1,J1127&lt;=K1127+3),IF(J1127&lt;=K1127,IF(J1127&lt;=99,IF((INDEX(Eingabe!$G$9:$G$18,I1127))&lt;=9,1000+(INDEX(Eingabe!$G$9:$G$18,I1127))*100,3000)+J1127,IF((INDEX(Eingabe!$G$9:$G$18,I1127)+1)&lt;=9,1000+(INDEX(Eingabe!$G$9:$G$18,I1127)+1)*100,3000)+J1127-100),IF(J1127=K1127+1,2000+INDEX(Eingabe!$G$9:$G$18,I1127)*10+1,IF(J1127=K1127+2,2000+INDEX(Eingabe!$G$9:$G$18,I1127)*10+2,2000+INDEX(Eingabe!$G$9:$G$18,I1127)*10+9))),""))</f>
        <v/>
      </c>
      <c r="C1127" s="0" t="str">
        <f aca="false">IF(I1127="","",IF(AND(J1127&gt;=1,J1127&lt;=K1127+3),"10."&amp;INDEX(Eingabe!$D$9:$D$18,I1127)&amp;"."&amp;IF(J1127&lt;=K1127,J1127,IF(J1127=K1127+1,200,IF(J1127=K1127+2,201,250)))&amp;".0/24",""))</f>
        <v/>
      </c>
      <c r="D1127" s="0" t="str">
        <f aca="false">IF(I1127="","",IF(AND(J1127&gt;=1,J1127&lt;=K1127+3),"255.255.255.0",""))</f>
        <v/>
      </c>
      <c r="E1127" s="0" t="str">
        <f aca="false">IF(I1127="","",IF(AND(J1127&gt;=1,J1127&lt;=K1127+3),"10."&amp;INDEX(Eingabe!$D$9:$D$18,I1127)&amp;"."&amp;IF(J1127&lt;=K1127,J1127,IF(J1127=K1127+1,200,IF(J1127=K1127+2,201,250)))&amp;".1",""))</f>
        <v/>
      </c>
      <c r="F1127" s="0" t="str">
        <f aca="false">IF(I1127="","",IF(AND(J1127&gt;=1,J1127&lt;=K1127+3),"10."&amp;INDEX(Eingabe!$D$9:$D$18,I1127)&amp;"."&amp;IF(J1127&lt;=K1127,J1127,IF(J1127=K1127+1,200,IF(J1127=K1127+2,201,250)))&amp;".10 – 10."&amp;INDEX(Eingabe!$D$9:$D$18,I1127)&amp;"."&amp;IF(J1127&lt;=K1127,J1127,IF(J1127=K1127+1,200,IF(J1127=K1127+2,201,250)))&amp;".250",""))</f>
        <v/>
      </c>
      <c r="G1127" s="0" t="str">
        <f aca="false">IF(I1127="","",IF(AND(J1127&gt;=1,J1127&lt;=K1127),Eingabe!$B$6&amp;"-"&amp;INDEX(Eingabe!$C$9:$C$18,I1127)&amp;"-Pächter  ·  Passwort Parzelle "&amp;J1127,IF(J1127=K1127+1,Eingabe!$B$6&amp;"-"&amp;INDEX(Eingabe!$C$9:$C$18,I1127)&amp;"-Vorstand  ·  eigenes WLAN",IF(J1127=K1127+2,Eingabe!$B$6&amp;"-"&amp;INDEX(Eingabe!$C$9:$C$18,I1127)&amp;"-Gäste  ·  Voucher",IF(J1127=K1127+3,"Kabel  ·  Access Point y = .(50+y), Mast-Switch x = .(10+x)","")))))</f>
        <v/>
      </c>
      <c r="I1127" s="0" t="str">
        <f aca="false">IF(1122&lt;=(Eingabe!$P$18+Eingabe!$Q$18-1),MATCH(1122,Eingabe!$P$9:$P$18,1),"")</f>
        <v/>
      </c>
      <c r="J1127" s="0" t="str">
        <f aca="false">IF(I1127="","",1122-INDEX(Eingabe!$P$9:$P$18,I1127))</f>
        <v/>
      </c>
      <c r="K1127" s="0" t="str">
        <f aca="false">IF(I1127="","",INDEX(Eingabe!$E$9:$E$18,I1127))</f>
        <v/>
      </c>
    </row>
    <row r="1128" customFormat="false" ht="15" hidden="false" customHeight="false" outlineLevel="0" collapsed="false">
      <c r="A1128" s="0" t="str">
        <f aca="false">IF(I1128="","",IF(J1128=0,"Sparte "&amp;I1128&amp;": "&amp;INDEX(Eingabe!$B$9:$B$18,I1128)&amp;"  (Sparten-ID "&amp;INDEX(Eingabe!$D$9:$D$18,I1128)&amp;", "&amp;K1128&amp;" Parzellen)",IF(J1128&lt;=K1128,"   Parzelle "&amp;J1128,IF(J1128=K1128+1,"   Vorstand",IF(J1128=K1128+2,"   Gäste",IF(J1128=K1128+3,"   Technik (Switches, Access Points)",""))))))</f>
        <v/>
      </c>
      <c r="B1128" s="0" t="str">
        <f aca="false">IF(I1128="","",IF(AND(J1128&gt;=1,J1128&lt;=K1128+3),IF(J1128&lt;=K1128,IF(J1128&lt;=99,IF((INDEX(Eingabe!$G$9:$G$18,I1128))&lt;=9,1000+(INDEX(Eingabe!$G$9:$G$18,I1128))*100,3000)+J1128,IF((INDEX(Eingabe!$G$9:$G$18,I1128)+1)&lt;=9,1000+(INDEX(Eingabe!$G$9:$G$18,I1128)+1)*100,3000)+J1128-100),IF(J1128=K1128+1,2000+INDEX(Eingabe!$G$9:$G$18,I1128)*10+1,IF(J1128=K1128+2,2000+INDEX(Eingabe!$G$9:$G$18,I1128)*10+2,2000+INDEX(Eingabe!$G$9:$G$18,I1128)*10+9))),""))</f>
        <v/>
      </c>
      <c r="C1128" s="0" t="str">
        <f aca="false">IF(I1128="","",IF(AND(J1128&gt;=1,J1128&lt;=K1128+3),"10."&amp;INDEX(Eingabe!$D$9:$D$18,I1128)&amp;"."&amp;IF(J1128&lt;=K1128,J1128,IF(J1128=K1128+1,200,IF(J1128=K1128+2,201,250)))&amp;".0/24",""))</f>
        <v/>
      </c>
      <c r="D1128" s="0" t="str">
        <f aca="false">IF(I1128="","",IF(AND(J1128&gt;=1,J1128&lt;=K1128+3),"255.255.255.0",""))</f>
        <v/>
      </c>
      <c r="E1128" s="0" t="str">
        <f aca="false">IF(I1128="","",IF(AND(J1128&gt;=1,J1128&lt;=K1128+3),"10."&amp;INDEX(Eingabe!$D$9:$D$18,I1128)&amp;"."&amp;IF(J1128&lt;=K1128,J1128,IF(J1128=K1128+1,200,IF(J1128=K1128+2,201,250)))&amp;".1",""))</f>
        <v/>
      </c>
      <c r="F1128" s="0" t="str">
        <f aca="false">IF(I1128="","",IF(AND(J1128&gt;=1,J1128&lt;=K1128+3),"10."&amp;INDEX(Eingabe!$D$9:$D$18,I1128)&amp;"."&amp;IF(J1128&lt;=K1128,J1128,IF(J1128=K1128+1,200,IF(J1128=K1128+2,201,250)))&amp;".10 – 10."&amp;INDEX(Eingabe!$D$9:$D$18,I1128)&amp;"."&amp;IF(J1128&lt;=K1128,J1128,IF(J1128=K1128+1,200,IF(J1128=K1128+2,201,250)))&amp;".250",""))</f>
        <v/>
      </c>
      <c r="G1128" s="0" t="str">
        <f aca="false">IF(I1128="","",IF(AND(J1128&gt;=1,J1128&lt;=K1128),Eingabe!$B$6&amp;"-"&amp;INDEX(Eingabe!$C$9:$C$18,I1128)&amp;"-Pächter  ·  Passwort Parzelle "&amp;J1128,IF(J1128=K1128+1,Eingabe!$B$6&amp;"-"&amp;INDEX(Eingabe!$C$9:$C$18,I1128)&amp;"-Vorstand  ·  eigenes WLAN",IF(J1128=K1128+2,Eingabe!$B$6&amp;"-"&amp;INDEX(Eingabe!$C$9:$C$18,I1128)&amp;"-Gäste  ·  Voucher",IF(J1128=K1128+3,"Kabel  ·  Access Point y = .(50+y), Mast-Switch x = .(10+x)","")))))</f>
        <v/>
      </c>
      <c r="I1128" s="0" t="str">
        <f aca="false">IF(1123&lt;=(Eingabe!$P$18+Eingabe!$Q$18-1),MATCH(1123,Eingabe!$P$9:$P$18,1),"")</f>
        <v/>
      </c>
      <c r="J1128" s="0" t="str">
        <f aca="false">IF(I1128="","",1123-INDEX(Eingabe!$P$9:$P$18,I1128))</f>
        <v/>
      </c>
      <c r="K1128" s="0" t="str">
        <f aca="false">IF(I1128="","",INDEX(Eingabe!$E$9:$E$18,I1128))</f>
        <v/>
      </c>
    </row>
    <row r="1129" customFormat="false" ht="15" hidden="false" customHeight="false" outlineLevel="0" collapsed="false">
      <c r="A1129" s="0" t="str">
        <f aca="false">IF(I1129="","",IF(J1129=0,"Sparte "&amp;I1129&amp;": "&amp;INDEX(Eingabe!$B$9:$B$18,I1129)&amp;"  (Sparten-ID "&amp;INDEX(Eingabe!$D$9:$D$18,I1129)&amp;", "&amp;K1129&amp;" Parzellen)",IF(J1129&lt;=K1129,"   Parzelle "&amp;J1129,IF(J1129=K1129+1,"   Vorstand",IF(J1129=K1129+2,"   Gäste",IF(J1129=K1129+3,"   Technik (Switches, Access Points)",""))))))</f>
        <v/>
      </c>
      <c r="B1129" s="0" t="str">
        <f aca="false">IF(I1129="","",IF(AND(J1129&gt;=1,J1129&lt;=K1129+3),IF(J1129&lt;=K1129,IF(J1129&lt;=99,IF((INDEX(Eingabe!$G$9:$G$18,I1129))&lt;=9,1000+(INDEX(Eingabe!$G$9:$G$18,I1129))*100,3000)+J1129,IF((INDEX(Eingabe!$G$9:$G$18,I1129)+1)&lt;=9,1000+(INDEX(Eingabe!$G$9:$G$18,I1129)+1)*100,3000)+J1129-100),IF(J1129=K1129+1,2000+INDEX(Eingabe!$G$9:$G$18,I1129)*10+1,IF(J1129=K1129+2,2000+INDEX(Eingabe!$G$9:$G$18,I1129)*10+2,2000+INDEX(Eingabe!$G$9:$G$18,I1129)*10+9))),""))</f>
        <v/>
      </c>
      <c r="C1129" s="0" t="str">
        <f aca="false">IF(I1129="","",IF(AND(J1129&gt;=1,J1129&lt;=K1129+3),"10."&amp;INDEX(Eingabe!$D$9:$D$18,I1129)&amp;"."&amp;IF(J1129&lt;=K1129,J1129,IF(J1129=K1129+1,200,IF(J1129=K1129+2,201,250)))&amp;".0/24",""))</f>
        <v/>
      </c>
      <c r="D1129" s="0" t="str">
        <f aca="false">IF(I1129="","",IF(AND(J1129&gt;=1,J1129&lt;=K1129+3),"255.255.255.0",""))</f>
        <v/>
      </c>
      <c r="E1129" s="0" t="str">
        <f aca="false">IF(I1129="","",IF(AND(J1129&gt;=1,J1129&lt;=K1129+3),"10."&amp;INDEX(Eingabe!$D$9:$D$18,I1129)&amp;"."&amp;IF(J1129&lt;=K1129,J1129,IF(J1129=K1129+1,200,IF(J1129=K1129+2,201,250)))&amp;".1",""))</f>
        <v/>
      </c>
      <c r="F1129" s="0" t="str">
        <f aca="false">IF(I1129="","",IF(AND(J1129&gt;=1,J1129&lt;=K1129+3),"10."&amp;INDEX(Eingabe!$D$9:$D$18,I1129)&amp;"."&amp;IF(J1129&lt;=K1129,J1129,IF(J1129=K1129+1,200,IF(J1129=K1129+2,201,250)))&amp;".10 – 10."&amp;INDEX(Eingabe!$D$9:$D$18,I1129)&amp;"."&amp;IF(J1129&lt;=K1129,J1129,IF(J1129=K1129+1,200,IF(J1129=K1129+2,201,250)))&amp;".250",""))</f>
        <v/>
      </c>
      <c r="G1129" s="0" t="str">
        <f aca="false">IF(I1129="","",IF(AND(J1129&gt;=1,J1129&lt;=K1129),Eingabe!$B$6&amp;"-"&amp;INDEX(Eingabe!$C$9:$C$18,I1129)&amp;"-Pächter  ·  Passwort Parzelle "&amp;J1129,IF(J1129=K1129+1,Eingabe!$B$6&amp;"-"&amp;INDEX(Eingabe!$C$9:$C$18,I1129)&amp;"-Vorstand  ·  eigenes WLAN",IF(J1129=K1129+2,Eingabe!$B$6&amp;"-"&amp;INDEX(Eingabe!$C$9:$C$18,I1129)&amp;"-Gäste  ·  Voucher",IF(J1129=K1129+3,"Kabel  ·  Access Point y = .(50+y), Mast-Switch x = .(10+x)","")))))</f>
        <v/>
      </c>
      <c r="I1129" s="0" t="str">
        <f aca="false">IF(1124&lt;=(Eingabe!$P$18+Eingabe!$Q$18-1),MATCH(1124,Eingabe!$P$9:$P$18,1),"")</f>
        <v/>
      </c>
      <c r="J1129" s="0" t="str">
        <f aca="false">IF(I1129="","",1124-INDEX(Eingabe!$P$9:$P$18,I1129))</f>
        <v/>
      </c>
      <c r="K1129" s="0" t="str">
        <f aca="false">IF(I1129="","",INDEX(Eingabe!$E$9:$E$18,I1129))</f>
        <v/>
      </c>
    </row>
    <row r="1130" customFormat="false" ht="15" hidden="false" customHeight="false" outlineLevel="0" collapsed="false">
      <c r="A1130" s="0" t="str">
        <f aca="false">IF(I1130="","",IF(J1130=0,"Sparte "&amp;I1130&amp;": "&amp;INDEX(Eingabe!$B$9:$B$18,I1130)&amp;"  (Sparten-ID "&amp;INDEX(Eingabe!$D$9:$D$18,I1130)&amp;", "&amp;K1130&amp;" Parzellen)",IF(J1130&lt;=K1130,"   Parzelle "&amp;J1130,IF(J1130=K1130+1,"   Vorstand",IF(J1130=K1130+2,"   Gäste",IF(J1130=K1130+3,"   Technik (Switches, Access Points)",""))))))</f>
        <v/>
      </c>
      <c r="B1130" s="0" t="str">
        <f aca="false">IF(I1130="","",IF(AND(J1130&gt;=1,J1130&lt;=K1130+3),IF(J1130&lt;=K1130,IF(J1130&lt;=99,IF((INDEX(Eingabe!$G$9:$G$18,I1130))&lt;=9,1000+(INDEX(Eingabe!$G$9:$G$18,I1130))*100,3000)+J1130,IF((INDEX(Eingabe!$G$9:$G$18,I1130)+1)&lt;=9,1000+(INDEX(Eingabe!$G$9:$G$18,I1130)+1)*100,3000)+J1130-100),IF(J1130=K1130+1,2000+INDEX(Eingabe!$G$9:$G$18,I1130)*10+1,IF(J1130=K1130+2,2000+INDEX(Eingabe!$G$9:$G$18,I1130)*10+2,2000+INDEX(Eingabe!$G$9:$G$18,I1130)*10+9))),""))</f>
        <v/>
      </c>
      <c r="C1130" s="0" t="str">
        <f aca="false">IF(I1130="","",IF(AND(J1130&gt;=1,J1130&lt;=K1130+3),"10."&amp;INDEX(Eingabe!$D$9:$D$18,I1130)&amp;"."&amp;IF(J1130&lt;=K1130,J1130,IF(J1130=K1130+1,200,IF(J1130=K1130+2,201,250)))&amp;".0/24",""))</f>
        <v/>
      </c>
      <c r="D1130" s="0" t="str">
        <f aca="false">IF(I1130="","",IF(AND(J1130&gt;=1,J1130&lt;=K1130+3),"255.255.255.0",""))</f>
        <v/>
      </c>
      <c r="E1130" s="0" t="str">
        <f aca="false">IF(I1130="","",IF(AND(J1130&gt;=1,J1130&lt;=K1130+3),"10."&amp;INDEX(Eingabe!$D$9:$D$18,I1130)&amp;"."&amp;IF(J1130&lt;=K1130,J1130,IF(J1130=K1130+1,200,IF(J1130=K1130+2,201,250)))&amp;".1",""))</f>
        <v/>
      </c>
      <c r="F1130" s="0" t="str">
        <f aca="false">IF(I1130="","",IF(AND(J1130&gt;=1,J1130&lt;=K1130+3),"10."&amp;INDEX(Eingabe!$D$9:$D$18,I1130)&amp;"."&amp;IF(J1130&lt;=K1130,J1130,IF(J1130=K1130+1,200,IF(J1130=K1130+2,201,250)))&amp;".10 – 10."&amp;INDEX(Eingabe!$D$9:$D$18,I1130)&amp;"."&amp;IF(J1130&lt;=K1130,J1130,IF(J1130=K1130+1,200,IF(J1130=K1130+2,201,250)))&amp;".250",""))</f>
        <v/>
      </c>
      <c r="G1130" s="0" t="str">
        <f aca="false">IF(I1130="","",IF(AND(J1130&gt;=1,J1130&lt;=K1130),Eingabe!$B$6&amp;"-"&amp;INDEX(Eingabe!$C$9:$C$18,I1130)&amp;"-Pächter  ·  Passwort Parzelle "&amp;J1130,IF(J1130=K1130+1,Eingabe!$B$6&amp;"-"&amp;INDEX(Eingabe!$C$9:$C$18,I1130)&amp;"-Vorstand  ·  eigenes WLAN",IF(J1130=K1130+2,Eingabe!$B$6&amp;"-"&amp;INDEX(Eingabe!$C$9:$C$18,I1130)&amp;"-Gäste  ·  Voucher",IF(J1130=K1130+3,"Kabel  ·  Access Point y = .(50+y), Mast-Switch x = .(10+x)","")))))</f>
        <v/>
      </c>
      <c r="I1130" s="0" t="str">
        <f aca="false">IF(1125&lt;=(Eingabe!$P$18+Eingabe!$Q$18-1),MATCH(1125,Eingabe!$P$9:$P$18,1),"")</f>
        <v/>
      </c>
      <c r="J1130" s="0" t="str">
        <f aca="false">IF(I1130="","",1125-INDEX(Eingabe!$P$9:$P$18,I1130))</f>
        <v/>
      </c>
      <c r="K1130" s="0" t="str">
        <f aca="false">IF(I1130="","",INDEX(Eingabe!$E$9:$E$18,I1130))</f>
        <v/>
      </c>
    </row>
    <row r="1131" customFormat="false" ht="15" hidden="false" customHeight="false" outlineLevel="0" collapsed="false">
      <c r="A1131" s="0" t="str">
        <f aca="false">IF(I1131="","",IF(J1131=0,"Sparte "&amp;I1131&amp;": "&amp;INDEX(Eingabe!$B$9:$B$18,I1131)&amp;"  (Sparten-ID "&amp;INDEX(Eingabe!$D$9:$D$18,I1131)&amp;", "&amp;K1131&amp;" Parzellen)",IF(J1131&lt;=K1131,"   Parzelle "&amp;J1131,IF(J1131=K1131+1,"   Vorstand",IF(J1131=K1131+2,"   Gäste",IF(J1131=K1131+3,"   Technik (Switches, Access Points)",""))))))</f>
        <v/>
      </c>
      <c r="B1131" s="0" t="str">
        <f aca="false">IF(I1131="","",IF(AND(J1131&gt;=1,J1131&lt;=K1131+3),IF(J1131&lt;=K1131,IF(J1131&lt;=99,IF((INDEX(Eingabe!$G$9:$G$18,I1131))&lt;=9,1000+(INDEX(Eingabe!$G$9:$G$18,I1131))*100,3000)+J1131,IF((INDEX(Eingabe!$G$9:$G$18,I1131)+1)&lt;=9,1000+(INDEX(Eingabe!$G$9:$G$18,I1131)+1)*100,3000)+J1131-100),IF(J1131=K1131+1,2000+INDEX(Eingabe!$G$9:$G$18,I1131)*10+1,IF(J1131=K1131+2,2000+INDEX(Eingabe!$G$9:$G$18,I1131)*10+2,2000+INDEX(Eingabe!$G$9:$G$18,I1131)*10+9))),""))</f>
        <v/>
      </c>
      <c r="C1131" s="0" t="str">
        <f aca="false">IF(I1131="","",IF(AND(J1131&gt;=1,J1131&lt;=K1131+3),"10."&amp;INDEX(Eingabe!$D$9:$D$18,I1131)&amp;"."&amp;IF(J1131&lt;=K1131,J1131,IF(J1131=K1131+1,200,IF(J1131=K1131+2,201,250)))&amp;".0/24",""))</f>
        <v/>
      </c>
      <c r="D1131" s="0" t="str">
        <f aca="false">IF(I1131="","",IF(AND(J1131&gt;=1,J1131&lt;=K1131+3),"255.255.255.0",""))</f>
        <v/>
      </c>
      <c r="E1131" s="0" t="str">
        <f aca="false">IF(I1131="","",IF(AND(J1131&gt;=1,J1131&lt;=K1131+3),"10."&amp;INDEX(Eingabe!$D$9:$D$18,I1131)&amp;"."&amp;IF(J1131&lt;=K1131,J1131,IF(J1131=K1131+1,200,IF(J1131=K1131+2,201,250)))&amp;".1",""))</f>
        <v/>
      </c>
      <c r="F1131" s="0" t="str">
        <f aca="false">IF(I1131="","",IF(AND(J1131&gt;=1,J1131&lt;=K1131+3),"10."&amp;INDEX(Eingabe!$D$9:$D$18,I1131)&amp;"."&amp;IF(J1131&lt;=K1131,J1131,IF(J1131=K1131+1,200,IF(J1131=K1131+2,201,250)))&amp;".10 – 10."&amp;INDEX(Eingabe!$D$9:$D$18,I1131)&amp;"."&amp;IF(J1131&lt;=K1131,J1131,IF(J1131=K1131+1,200,IF(J1131=K1131+2,201,250)))&amp;".250",""))</f>
        <v/>
      </c>
      <c r="G1131" s="0" t="str">
        <f aca="false">IF(I1131="","",IF(AND(J1131&gt;=1,J1131&lt;=K1131),Eingabe!$B$6&amp;"-"&amp;INDEX(Eingabe!$C$9:$C$18,I1131)&amp;"-Pächter  ·  Passwort Parzelle "&amp;J1131,IF(J1131=K1131+1,Eingabe!$B$6&amp;"-"&amp;INDEX(Eingabe!$C$9:$C$18,I1131)&amp;"-Vorstand  ·  eigenes WLAN",IF(J1131=K1131+2,Eingabe!$B$6&amp;"-"&amp;INDEX(Eingabe!$C$9:$C$18,I1131)&amp;"-Gäste  ·  Voucher",IF(J1131=K1131+3,"Kabel  ·  Access Point y = .(50+y), Mast-Switch x = .(10+x)","")))))</f>
        <v/>
      </c>
      <c r="I1131" s="0" t="str">
        <f aca="false">IF(1126&lt;=(Eingabe!$P$18+Eingabe!$Q$18-1),MATCH(1126,Eingabe!$P$9:$P$18,1),"")</f>
        <v/>
      </c>
      <c r="J1131" s="0" t="str">
        <f aca="false">IF(I1131="","",1126-INDEX(Eingabe!$P$9:$P$18,I1131))</f>
        <v/>
      </c>
      <c r="K1131" s="0" t="str">
        <f aca="false">IF(I1131="","",INDEX(Eingabe!$E$9:$E$18,I1131))</f>
        <v/>
      </c>
    </row>
    <row r="1132" customFormat="false" ht="15" hidden="false" customHeight="false" outlineLevel="0" collapsed="false">
      <c r="A1132" s="0" t="str">
        <f aca="false">IF(I1132="","",IF(J1132=0,"Sparte "&amp;I1132&amp;": "&amp;INDEX(Eingabe!$B$9:$B$18,I1132)&amp;"  (Sparten-ID "&amp;INDEX(Eingabe!$D$9:$D$18,I1132)&amp;", "&amp;K1132&amp;" Parzellen)",IF(J1132&lt;=K1132,"   Parzelle "&amp;J1132,IF(J1132=K1132+1,"   Vorstand",IF(J1132=K1132+2,"   Gäste",IF(J1132=K1132+3,"   Technik (Switches, Access Points)",""))))))</f>
        <v/>
      </c>
      <c r="B1132" s="0" t="str">
        <f aca="false">IF(I1132="","",IF(AND(J1132&gt;=1,J1132&lt;=K1132+3),IF(J1132&lt;=K1132,IF(J1132&lt;=99,IF((INDEX(Eingabe!$G$9:$G$18,I1132))&lt;=9,1000+(INDEX(Eingabe!$G$9:$G$18,I1132))*100,3000)+J1132,IF((INDEX(Eingabe!$G$9:$G$18,I1132)+1)&lt;=9,1000+(INDEX(Eingabe!$G$9:$G$18,I1132)+1)*100,3000)+J1132-100),IF(J1132=K1132+1,2000+INDEX(Eingabe!$G$9:$G$18,I1132)*10+1,IF(J1132=K1132+2,2000+INDEX(Eingabe!$G$9:$G$18,I1132)*10+2,2000+INDEX(Eingabe!$G$9:$G$18,I1132)*10+9))),""))</f>
        <v/>
      </c>
      <c r="C1132" s="0" t="str">
        <f aca="false">IF(I1132="","",IF(AND(J1132&gt;=1,J1132&lt;=K1132+3),"10."&amp;INDEX(Eingabe!$D$9:$D$18,I1132)&amp;"."&amp;IF(J1132&lt;=K1132,J1132,IF(J1132=K1132+1,200,IF(J1132=K1132+2,201,250)))&amp;".0/24",""))</f>
        <v/>
      </c>
      <c r="D1132" s="0" t="str">
        <f aca="false">IF(I1132="","",IF(AND(J1132&gt;=1,J1132&lt;=K1132+3),"255.255.255.0",""))</f>
        <v/>
      </c>
      <c r="E1132" s="0" t="str">
        <f aca="false">IF(I1132="","",IF(AND(J1132&gt;=1,J1132&lt;=K1132+3),"10."&amp;INDEX(Eingabe!$D$9:$D$18,I1132)&amp;"."&amp;IF(J1132&lt;=K1132,J1132,IF(J1132=K1132+1,200,IF(J1132=K1132+2,201,250)))&amp;".1",""))</f>
        <v/>
      </c>
      <c r="F1132" s="0" t="str">
        <f aca="false">IF(I1132="","",IF(AND(J1132&gt;=1,J1132&lt;=K1132+3),"10."&amp;INDEX(Eingabe!$D$9:$D$18,I1132)&amp;"."&amp;IF(J1132&lt;=K1132,J1132,IF(J1132=K1132+1,200,IF(J1132=K1132+2,201,250)))&amp;".10 – 10."&amp;INDEX(Eingabe!$D$9:$D$18,I1132)&amp;"."&amp;IF(J1132&lt;=K1132,J1132,IF(J1132=K1132+1,200,IF(J1132=K1132+2,201,250)))&amp;".250",""))</f>
        <v/>
      </c>
      <c r="G1132" s="0" t="str">
        <f aca="false">IF(I1132="","",IF(AND(J1132&gt;=1,J1132&lt;=K1132),Eingabe!$B$6&amp;"-"&amp;INDEX(Eingabe!$C$9:$C$18,I1132)&amp;"-Pächter  ·  Passwort Parzelle "&amp;J1132,IF(J1132=K1132+1,Eingabe!$B$6&amp;"-"&amp;INDEX(Eingabe!$C$9:$C$18,I1132)&amp;"-Vorstand  ·  eigenes WLAN",IF(J1132=K1132+2,Eingabe!$B$6&amp;"-"&amp;INDEX(Eingabe!$C$9:$C$18,I1132)&amp;"-Gäste  ·  Voucher",IF(J1132=K1132+3,"Kabel  ·  Access Point y = .(50+y), Mast-Switch x = .(10+x)","")))))</f>
        <v/>
      </c>
      <c r="I1132" s="0" t="str">
        <f aca="false">IF(1127&lt;=(Eingabe!$P$18+Eingabe!$Q$18-1),MATCH(1127,Eingabe!$P$9:$P$18,1),"")</f>
        <v/>
      </c>
      <c r="J1132" s="0" t="str">
        <f aca="false">IF(I1132="","",1127-INDEX(Eingabe!$P$9:$P$18,I1132))</f>
        <v/>
      </c>
      <c r="K1132" s="0" t="str">
        <f aca="false">IF(I1132="","",INDEX(Eingabe!$E$9:$E$18,I1132))</f>
        <v/>
      </c>
    </row>
    <row r="1133" customFormat="false" ht="15" hidden="false" customHeight="false" outlineLevel="0" collapsed="false">
      <c r="A1133" s="0" t="str">
        <f aca="false">IF(I1133="","",IF(J1133=0,"Sparte "&amp;I1133&amp;": "&amp;INDEX(Eingabe!$B$9:$B$18,I1133)&amp;"  (Sparten-ID "&amp;INDEX(Eingabe!$D$9:$D$18,I1133)&amp;", "&amp;K1133&amp;" Parzellen)",IF(J1133&lt;=K1133,"   Parzelle "&amp;J1133,IF(J1133=K1133+1,"   Vorstand",IF(J1133=K1133+2,"   Gäste",IF(J1133=K1133+3,"   Technik (Switches, Access Points)",""))))))</f>
        <v/>
      </c>
      <c r="B1133" s="0" t="str">
        <f aca="false">IF(I1133="","",IF(AND(J1133&gt;=1,J1133&lt;=K1133+3),IF(J1133&lt;=K1133,IF(J1133&lt;=99,IF((INDEX(Eingabe!$G$9:$G$18,I1133))&lt;=9,1000+(INDEX(Eingabe!$G$9:$G$18,I1133))*100,3000)+J1133,IF((INDEX(Eingabe!$G$9:$G$18,I1133)+1)&lt;=9,1000+(INDEX(Eingabe!$G$9:$G$18,I1133)+1)*100,3000)+J1133-100),IF(J1133=K1133+1,2000+INDEX(Eingabe!$G$9:$G$18,I1133)*10+1,IF(J1133=K1133+2,2000+INDEX(Eingabe!$G$9:$G$18,I1133)*10+2,2000+INDEX(Eingabe!$G$9:$G$18,I1133)*10+9))),""))</f>
        <v/>
      </c>
      <c r="C1133" s="0" t="str">
        <f aca="false">IF(I1133="","",IF(AND(J1133&gt;=1,J1133&lt;=K1133+3),"10."&amp;INDEX(Eingabe!$D$9:$D$18,I1133)&amp;"."&amp;IF(J1133&lt;=K1133,J1133,IF(J1133=K1133+1,200,IF(J1133=K1133+2,201,250)))&amp;".0/24",""))</f>
        <v/>
      </c>
      <c r="D1133" s="0" t="str">
        <f aca="false">IF(I1133="","",IF(AND(J1133&gt;=1,J1133&lt;=K1133+3),"255.255.255.0",""))</f>
        <v/>
      </c>
      <c r="E1133" s="0" t="str">
        <f aca="false">IF(I1133="","",IF(AND(J1133&gt;=1,J1133&lt;=K1133+3),"10."&amp;INDEX(Eingabe!$D$9:$D$18,I1133)&amp;"."&amp;IF(J1133&lt;=K1133,J1133,IF(J1133=K1133+1,200,IF(J1133=K1133+2,201,250)))&amp;".1",""))</f>
        <v/>
      </c>
      <c r="F1133" s="0" t="str">
        <f aca="false">IF(I1133="","",IF(AND(J1133&gt;=1,J1133&lt;=K1133+3),"10."&amp;INDEX(Eingabe!$D$9:$D$18,I1133)&amp;"."&amp;IF(J1133&lt;=K1133,J1133,IF(J1133=K1133+1,200,IF(J1133=K1133+2,201,250)))&amp;".10 – 10."&amp;INDEX(Eingabe!$D$9:$D$18,I1133)&amp;"."&amp;IF(J1133&lt;=K1133,J1133,IF(J1133=K1133+1,200,IF(J1133=K1133+2,201,250)))&amp;".250",""))</f>
        <v/>
      </c>
      <c r="G1133" s="0" t="str">
        <f aca="false">IF(I1133="","",IF(AND(J1133&gt;=1,J1133&lt;=K1133),Eingabe!$B$6&amp;"-"&amp;INDEX(Eingabe!$C$9:$C$18,I1133)&amp;"-Pächter  ·  Passwort Parzelle "&amp;J1133,IF(J1133=K1133+1,Eingabe!$B$6&amp;"-"&amp;INDEX(Eingabe!$C$9:$C$18,I1133)&amp;"-Vorstand  ·  eigenes WLAN",IF(J1133=K1133+2,Eingabe!$B$6&amp;"-"&amp;INDEX(Eingabe!$C$9:$C$18,I1133)&amp;"-Gäste  ·  Voucher",IF(J1133=K1133+3,"Kabel  ·  Access Point y = .(50+y), Mast-Switch x = .(10+x)","")))))</f>
        <v/>
      </c>
      <c r="I1133" s="0" t="str">
        <f aca="false">IF(1128&lt;=(Eingabe!$P$18+Eingabe!$Q$18-1),MATCH(1128,Eingabe!$P$9:$P$18,1),"")</f>
        <v/>
      </c>
      <c r="J1133" s="0" t="str">
        <f aca="false">IF(I1133="","",1128-INDEX(Eingabe!$P$9:$P$18,I1133))</f>
        <v/>
      </c>
      <c r="K1133" s="0" t="str">
        <f aca="false">IF(I1133="","",INDEX(Eingabe!$E$9:$E$18,I1133))</f>
        <v/>
      </c>
    </row>
    <row r="1134" customFormat="false" ht="15" hidden="false" customHeight="false" outlineLevel="0" collapsed="false">
      <c r="A1134" s="0" t="str">
        <f aca="false">IF(I1134="","",IF(J1134=0,"Sparte "&amp;I1134&amp;": "&amp;INDEX(Eingabe!$B$9:$B$18,I1134)&amp;"  (Sparten-ID "&amp;INDEX(Eingabe!$D$9:$D$18,I1134)&amp;", "&amp;K1134&amp;" Parzellen)",IF(J1134&lt;=K1134,"   Parzelle "&amp;J1134,IF(J1134=K1134+1,"   Vorstand",IF(J1134=K1134+2,"   Gäste",IF(J1134=K1134+3,"   Technik (Switches, Access Points)",""))))))</f>
        <v/>
      </c>
      <c r="B1134" s="0" t="str">
        <f aca="false">IF(I1134="","",IF(AND(J1134&gt;=1,J1134&lt;=K1134+3),IF(J1134&lt;=K1134,IF(J1134&lt;=99,IF((INDEX(Eingabe!$G$9:$G$18,I1134))&lt;=9,1000+(INDEX(Eingabe!$G$9:$G$18,I1134))*100,3000)+J1134,IF((INDEX(Eingabe!$G$9:$G$18,I1134)+1)&lt;=9,1000+(INDEX(Eingabe!$G$9:$G$18,I1134)+1)*100,3000)+J1134-100),IF(J1134=K1134+1,2000+INDEX(Eingabe!$G$9:$G$18,I1134)*10+1,IF(J1134=K1134+2,2000+INDEX(Eingabe!$G$9:$G$18,I1134)*10+2,2000+INDEX(Eingabe!$G$9:$G$18,I1134)*10+9))),""))</f>
        <v/>
      </c>
      <c r="C1134" s="0" t="str">
        <f aca="false">IF(I1134="","",IF(AND(J1134&gt;=1,J1134&lt;=K1134+3),"10."&amp;INDEX(Eingabe!$D$9:$D$18,I1134)&amp;"."&amp;IF(J1134&lt;=K1134,J1134,IF(J1134=K1134+1,200,IF(J1134=K1134+2,201,250)))&amp;".0/24",""))</f>
        <v/>
      </c>
      <c r="D1134" s="0" t="str">
        <f aca="false">IF(I1134="","",IF(AND(J1134&gt;=1,J1134&lt;=K1134+3),"255.255.255.0",""))</f>
        <v/>
      </c>
      <c r="E1134" s="0" t="str">
        <f aca="false">IF(I1134="","",IF(AND(J1134&gt;=1,J1134&lt;=K1134+3),"10."&amp;INDEX(Eingabe!$D$9:$D$18,I1134)&amp;"."&amp;IF(J1134&lt;=K1134,J1134,IF(J1134=K1134+1,200,IF(J1134=K1134+2,201,250)))&amp;".1",""))</f>
        <v/>
      </c>
      <c r="F1134" s="0" t="str">
        <f aca="false">IF(I1134="","",IF(AND(J1134&gt;=1,J1134&lt;=K1134+3),"10."&amp;INDEX(Eingabe!$D$9:$D$18,I1134)&amp;"."&amp;IF(J1134&lt;=K1134,J1134,IF(J1134=K1134+1,200,IF(J1134=K1134+2,201,250)))&amp;".10 – 10."&amp;INDEX(Eingabe!$D$9:$D$18,I1134)&amp;"."&amp;IF(J1134&lt;=K1134,J1134,IF(J1134=K1134+1,200,IF(J1134=K1134+2,201,250)))&amp;".250",""))</f>
        <v/>
      </c>
      <c r="G1134" s="0" t="str">
        <f aca="false">IF(I1134="","",IF(AND(J1134&gt;=1,J1134&lt;=K1134),Eingabe!$B$6&amp;"-"&amp;INDEX(Eingabe!$C$9:$C$18,I1134)&amp;"-Pächter  ·  Passwort Parzelle "&amp;J1134,IF(J1134=K1134+1,Eingabe!$B$6&amp;"-"&amp;INDEX(Eingabe!$C$9:$C$18,I1134)&amp;"-Vorstand  ·  eigenes WLAN",IF(J1134=K1134+2,Eingabe!$B$6&amp;"-"&amp;INDEX(Eingabe!$C$9:$C$18,I1134)&amp;"-Gäste  ·  Voucher",IF(J1134=K1134+3,"Kabel  ·  Access Point y = .(50+y), Mast-Switch x = .(10+x)","")))))</f>
        <v/>
      </c>
      <c r="I1134" s="0" t="str">
        <f aca="false">IF(1129&lt;=(Eingabe!$P$18+Eingabe!$Q$18-1),MATCH(1129,Eingabe!$P$9:$P$18,1),"")</f>
        <v/>
      </c>
      <c r="J1134" s="0" t="str">
        <f aca="false">IF(I1134="","",1129-INDEX(Eingabe!$P$9:$P$18,I1134))</f>
        <v/>
      </c>
      <c r="K1134" s="0" t="str">
        <f aca="false">IF(I1134="","",INDEX(Eingabe!$E$9:$E$18,I1134))</f>
        <v/>
      </c>
    </row>
    <row r="1135" customFormat="false" ht="15" hidden="false" customHeight="false" outlineLevel="0" collapsed="false">
      <c r="A1135" s="0" t="str">
        <f aca="false">IF(I1135="","",IF(J1135=0,"Sparte "&amp;I1135&amp;": "&amp;INDEX(Eingabe!$B$9:$B$18,I1135)&amp;"  (Sparten-ID "&amp;INDEX(Eingabe!$D$9:$D$18,I1135)&amp;", "&amp;K1135&amp;" Parzellen)",IF(J1135&lt;=K1135,"   Parzelle "&amp;J1135,IF(J1135=K1135+1,"   Vorstand",IF(J1135=K1135+2,"   Gäste",IF(J1135=K1135+3,"   Technik (Switches, Access Points)",""))))))</f>
        <v/>
      </c>
      <c r="B1135" s="0" t="str">
        <f aca="false">IF(I1135="","",IF(AND(J1135&gt;=1,J1135&lt;=K1135+3),IF(J1135&lt;=K1135,IF(J1135&lt;=99,IF((INDEX(Eingabe!$G$9:$G$18,I1135))&lt;=9,1000+(INDEX(Eingabe!$G$9:$G$18,I1135))*100,3000)+J1135,IF((INDEX(Eingabe!$G$9:$G$18,I1135)+1)&lt;=9,1000+(INDEX(Eingabe!$G$9:$G$18,I1135)+1)*100,3000)+J1135-100),IF(J1135=K1135+1,2000+INDEX(Eingabe!$G$9:$G$18,I1135)*10+1,IF(J1135=K1135+2,2000+INDEX(Eingabe!$G$9:$G$18,I1135)*10+2,2000+INDEX(Eingabe!$G$9:$G$18,I1135)*10+9))),""))</f>
        <v/>
      </c>
      <c r="C1135" s="0" t="str">
        <f aca="false">IF(I1135="","",IF(AND(J1135&gt;=1,J1135&lt;=K1135+3),"10."&amp;INDEX(Eingabe!$D$9:$D$18,I1135)&amp;"."&amp;IF(J1135&lt;=K1135,J1135,IF(J1135=K1135+1,200,IF(J1135=K1135+2,201,250)))&amp;".0/24",""))</f>
        <v/>
      </c>
      <c r="D1135" s="0" t="str">
        <f aca="false">IF(I1135="","",IF(AND(J1135&gt;=1,J1135&lt;=K1135+3),"255.255.255.0",""))</f>
        <v/>
      </c>
      <c r="E1135" s="0" t="str">
        <f aca="false">IF(I1135="","",IF(AND(J1135&gt;=1,J1135&lt;=K1135+3),"10."&amp;INDEX(Eingabe!$D$9:$D$18,I1135)&amp;"."&amp;IF(J1135&lt;=K1135,J1135,IF(J1135=K1135+1,200,IF(J1135=K1135+2,201,250)))&amp;".1",""))</f>
        <v/>
      </c>
      <c r="F1135" s="0" t="str">
        <f aca="false">IF(I1135="","",IF(AND(J1135&gt;=1,J1135&lt;=K1135+3),"10."&amp;INDEX(Eingabe!$D$9:$D$18,I1135)&amp;"."&amp;IF(J1135&lt;=K1135,J1135,IF(J1135=K1135+1,200,IF(J1135=K1135+2,201,250)))&amp;".10 – 10."&amp;INDEX(Eingabe!$D$9:$D$18,I1135)&amp;"."&amp;IF(J1135&lt;=K1135,J1135,IF(J1135=K1135+1,200,IF(J1135=K1135+2,201,250)))&amp;".250",""))</f>
        <v/>
      </c>
      <c r="G1135" s="0" t="str">
        <f aca="false">IF(I1135="","",IF(AND(J1135&gt;=1,J1135&lt;=K1135),Eingabe!$B$6&amp;"-"&amp;INDEX(Eingabe!$C$9:$C$18,I1135)&amp;"-Pächter  ·  Passwort Parzelle "&amp;J1135,IF(J1135=K1135+1,Eingabe!$B$6&amp;"-"&amp;INDEX(Eingabe!$C$9:$C$18,I1135)&amp;"-Vorstand  ·  eigenes WLAN",IF(J1135=K1135+2,Eingabe!$B$6&amp;"-"&amp;INDEX(Eingabe!$C$9:$C$18,I1135)&amp;"-Gäste  ·  Voucher",IF(J1135=K1135+3,"Kabel  ·  Access Point y = .(50+y), Mast-Switch x = .(10+x)","")))))</f>
        <v/>
      </c>
      <c r="I1135" s="0" t="str">
        <f aca="false">IF(1130&lt;=(Eingabe!$P$18+Eingabe!$Q$18-1),MATCH(1130,Eingabe!$P$9:$P$18,1),"")</f>
        <v/>
      </c>
      <c r="J1135" s="0" t="str">
        <f aca="false">IF(I1135="","",1130-INDEX(Eingabe!$P$9:$P$18,I1135))</f>
        <v/>
      </c>
      <c r="K1135" s="0" t="str">
        <f aca="false">IF(I1135="","",INDEX(Eingabe!$E$9:$E$18,I1135))</f>
        <v/>
      </c>
    </row>
    <row r="1136" customFormat="false" ht="15" hidden="false" customHeight="false" outlineLevel="0" collapsed="false">
      <c r="A1136" s="0" t="str">
        <f aca="false">IF(I1136="","",IF(J1136=0,"Sparte "&amp;I1136&amp;": "&amp;INDEX(Eingabe!$B$9:$B$18,I1136)&amp;"  (Sparten-ID "&amp;INDEX(Eingabe!$D$9:$D$18,I1136)&amp;", "&amp;K1136&amp;" Parzellen)",IF(J1136&lt;=K1136,"   Parzelle "&amp;J1136,IF(J1136=K1136+1,"   Vorstand",IF(J1136=K1136+2,"   Gäste",IF(J1136=K1136+3,"   Technik (Switches, Access Points)",""))))))</f>
        <v/>
      </c>
      <c r="B1136" s="0" t="str">
        <f aca="false">IF(I1136="","",IF(AND(J1136&gt;=1,J1136&lt;=K1136+3),IF(J1136&lt;=K1136,IF(J1136&lt;=99,IF((INDEX(Eingabe!$G$9:$G$18,I1136))&lt;=9,1000+(INDEX(Eingabe!$G$9:$G$18,I1136))*100,3000)+J1136,IF((INDEX(Eingabe!$G$9:$G$18,I1136)+1)&lt;=9,1000+(INDEX(Eingabe!$G$9:$G$18,I1136)+1)*100,3000)+J1136-100),IF(J1136=K1136+1,2000+INDEX(Eingabe!$G$9:$G$18,I1136)*10+1,IF(J1136=K1136+2,2000+INDEX(Eingabe!$G$9:$G$18,I1136)*10+2,2000+INDEX(Eingabe!$G$9:$G$18,I1136)*10+9))),""))</f>
        <v/>
      </c>
      <c r="C1136" s="0" t="str">
        <f aca="false">IF(I1136="","",IF(AND(J1136&gt;=1,J1136&lt;=K1136+3),"10."&amp;INDEX(Eingabe!$D$9:$D$18,I1136)&amp;"."&amp;IF(J1136&lt;=K1136,J1136,IF(J1136=K1136+1,200,IF(J1136=K1136+2,201,250)))&amp;".0/24",""))</f>
        <v/>
      </c>
      <c r="D1136" s="0" t="str">
        <f aca="false">IF(I1136="","",IF(AND(J1136&gt;=1,J1136&lt;=K1136+3),"255.255.255.0",""))</f>
        <v/>
      </c>
      <c r="E1136" s="0" t="str">
        <f aca="false">IF(I1136="","",IF(AND(J1136&gt;=1,J1136&lt;=K1136+3),"10."&amp;INDEX(Eingabe!$D$9:$D$18,I1136)&amp;"."&amp;IF(J1136&lt;=K1136,J1136,IF(J1136=K1136+1,200,IF(J1136=K1136+2,201,250)))&amp;".1",""))</f>
        <v/>
      </c>
      <c r="F1136" s="0" t="str">
        <f aca="false">IF(I1136="","",IF(AND(J1136&gt;=1,J1136&lt;=K1136+3),"10."&amp;INDEX(Eingabe!$D$9:$D$18,I1136)&amp;"."&amp;IF(J1136&lt;=K1136,J1136,IF(J1136=K1136+1,200,IF(J1136=K1136+2,201,250)))&amp;".10 – 10."&amp;INDEX(Eingabe!$D$9:$D$18,I1136)&amp;"."&amp;IF(J1136&lt;=K1136,J1136,IF(J1136=K1136+1,200,IF(J1136=K1136+2,201,250)))&amp;".250",""))</f>
        <v/>
      </c>
      <c r="G1136" s="0" t="str">
        <f aca="false">IF(I1136="","",IF(AND(J1136&gt;=1,J1136&lt;=K1136),Eingabe!$B$6&amp;"-"&amp;INDEX(Eingabe!$C$9:$C$18,I1136)&amp;"-Pächter  ·  Passwort Parzelle "&amp;J1136,IF(J1136=K1136+1,Eingabe!$B$6&amp;"-"&amp;INDEX(Eingabe!$C$9:$C$18,I1136)&amp;"-Vorstand  ·  eigenes WLAN",IF(J1136=K1136+2,Eingabe!$B$6&amp;"-"&amp;INDEX(Eingabe!$C$9:$C$18,I1136)&amp;"-Gäste  ·  Voucher",IF(J1136=K1136+3,"Kabel  ·  Access Point y = .(50+y), Mast-Switch x = .(10+x)","")))))</f>
        <v/>
      </c>
      <c r="I1136" s="0" t="str">
        <f aca="false">IF(1131&lt;=(Eingabe!$P$18+Eingabe!$Q$18-1),MATCH(1131,Eingabe!$P$9:$P$18,1),"")</f>
        <v/>
      </c>
      <c r="J1136" s="0" t="str">
        <f aca="false">IF(I1136="","",1131-INDEX(Eingabe!$P$9:$P$18,I1136))</f>
        <v/>
      </c>
      <c r="K1136" s="0" t="str">
        <f aca="false">IF(I1136="","",INDEX(Eingabe!$E$9:$E$18,I1136))</f>
        <v/>
      </c>
    </row>
    <row r="1137" customFormat="false" ht="15" hidden="false" customHeight="false" outlineLevel="0" collapsed="false">
      <c r="A1137" s="0" t="str">
        <f aca="false">IF(I1137="","",IF(J1137=0,"Sparte "&amp;I1137&amp;": "&amp;INDEX(Eingabe!$B$9:$B$18,I1137)&amp;"  (Sparten-ID "&amp;INDEX(Eingabe!$D$9:$D$18,I1137)&amp;", "&amp;K1137&amp;" Parzellen)",IF(J1137&lt;=K1137,"   Parzelle "&amp;J1137,IF(J1137=K1137+1,"   Vorstand",IF(J1137=K1137+2,"   Gäste",IF(J1137=K1137+3,"   Technik (Switches, Access Points)",""))))))</f>
        <v/>
      </c>
      <c r="B1137" s="0" t="str">
        <f aca="false">IF(I1137="","",IF(AND(J1137&gt;=1,J1137&lt;=K1137+3),IF(J1137&lt;=K1137,IF(J1137&lt;=99,IF((INDEX(Eingabe!$G$9:$G$18,I1137))&lt;=9,1000+(INDEX(Eingabe!$G$9:$G$18,I1137))*100,3000)+J1137,IF((INDEX(Eingabe!$G$9:$G$18,I1137)+1)&lt;=9,1000+(INDEX(Eingabe!$G$9:$G$18,I1137)+1)*100,3000)+J1137-100),IF(J1137=K1137+1,2000+INDEX(Eingabe!$G$9:$G$18,I1137)*10+1,IF(J1137=K1137+2,2000+INDEX(Eingabe!$G$9:$G$18,I1137)*10+2,2000+INDEX(Eingabe!$G$9:$G$18,I1137)*10+9))),""))</f>
        <v/>
      </c>
      <c r="C1137" s="0" t="str">
        <f aca="false">IF(I1137="","",IF(AND(J1137&gt;=1,J1137&lt;=K1137+3),"10."&amp;INDEX(Eingabe!$D$9:$D$18,I1137)&amp;"."&amp;IF(J1137&lt;=K1137,J1137,IF(J1137=K1137+1,200,IF(J1137=K1137+2,201,250)))&amp;".0/24",""))</f>
        <v/>
      </c>
      <c r="D1137" s="0" t="str">
        <f aca="false">IF(I1137="","",IF(AND(J1137&gt;=1,J1137&lt;=K1137+3),"255.255.255.0",""))</f>
        <v/>
      </c>
      <c r="E1137" s="0" t="str">
        <f aca="false">IF(I1137="","",IF(AND(J1137&gt;=1,J1137&lt;=K1137+3),"10."&amp;INDEX(Eingabe!$D$9:$D$18,I1137)&amp;"."&amp;IF(J1137&lt;=K1137,J1137,IF(J1137=K1137+1,200,IF(J1137=K1137+2,201,250)))&amp;".1",""))</f>
        <v/>
      </c>
      <c r="F1137" s="0" t="str">
        <f aca="false">IF(I1137="","",IF(AND(J1137&gt;=1,J1137&lt;=K1137+3),"10."&amp;INDEX(Eingabe!$D$9:$D$18,I1137)&amp;"."&amp;IF(J1137&lt;=K1137,J1137,IF(J1137=K1137+1,200,IF(J1137=K1137+2,201,250)))&amp;".10 – 10."&amp;INDEX(Eingabe!$D$9:$D$18,I1137)&amp;"."&amp;IF(J1137&lt;=K1137,J1137,IF(J1137=K1137+1,200,IF(J1137=K1137+2,201,250)))&amp;".250",""))</f>
        <v/>
      </c>
      <c r="G1137" s="0" t="str">
        <f aca="false">IF(I1137="","",IF(AND(J1137&gt;=1,J1137&lt;=K1137),Eingabe!$B$6&amp;"-"&amp;INDEX(Eingabe!$C$9:$C$18,I1137)&amp;"-Pächter  ·  Passwort Parzelle "&amp;J1137,IF(J1137=K1137+1,Eingabe!$B$6&amp;"-"&amp;INDEX(Eingabe!$C$9:$C$18,I1137)&amp;"-Vorstand  ·  eigenes WLAN",IF(J1137=K1137+2,Eingabe!$B$6&amp;"-"&amp;INDEX(Eingabe!$C$9:$C$18,I1137)&amp;"-Gäste  ·  Voucher",IF(J1137=K1137+3,"Kabel  ·  Access Point y = .(50+y), Mast-Switch x = .(10+x)","")))))</f>
        <v/>
      </c>
      <c r="I1137" s="0" t="str">
        <f aca="false">IF(1132&lt;=(Eingabe!$P$18+Eingabe!$Q$18-1),MATCH(1132,Eingabe!$P$9:$P$18,1),"")</f>
        <v/>
      </c>
      <c r="J1137" s="0" t="str">
        <f aca="false">IF(I1137="","",1132-INDEX(Eingabe!$P$9:$P$18,I1137))</f>
        <v/>
      </c>
      <c r="K1137" s="0" t="str">
        <f aca="false">IF(I1137="","",INDEX(Eingabe!$E$9:$E$18,I1137))</f>
        <v/>
      </c>
    </row>
    <row r="1138" customFormat="false" ht="15" hidden="false" customHeight="false" outlineLevel="0" collapsed="false">
      <c r="A1138" s="0" t="str">
        <f aca="false">IF(I1138="","",IF(J1138=0,"Sparte "&amp;I1138&amp;": "&amp;INDEX(Eingabe!$B$9:$B$18,I1138)&amp;"  (Sparten-ID "&amp;INDEX(Eingabe!$D$9:$D$18,I1138)&amp;", "&amp;K1138&amp;" Parzellen)",IF(J1138&lt;=K1138,"   Parzelle "&amp;J1138,IF(J1138=K1138+1,"   Vorstand",IF(J1138=K1138+2,"   Gäste",IF(J1138=K1138+3,"   Technik (Switches, Access Points)",""))))))</f>
        <v/>
      </c>
      <c r="B1138" s="0" t="str">
        <f aca="false">IF(I1138="","",IF(AND(J1138&gt;=1,J1138&lt;=K1138+3),IF(J1138&lt;=K1138,IF(J1138&lt;=99,IF((INDEX(Eingabe!$G$9:$G$18,I1138))&lt;=9,1000+(INDEX(Eingabe!$G$9:$G$18,I1138))*100,3000)+J1138,IF((INDEX(Eingabe!$G$9:$G$18,I1138)+1)&lt;=9,1000+(INDEX(Eingabe!$G$9:$G$18,I1138)+1)*100,3000)+J1138-100),IF(J1138=K1138+1,2000+INDEX(Eingabe!$G$9:$G$18,I1138)*10+1,IF(J1138=K1138+2,2000+INDEX(Eingabe!$G$9:$G$18,I1138)*10+2,2000+INDEX(Eingabe!$G$9:$G$18,I1138)*10+9))),""))</f>
        <v/>
      </c>
      <c r="C1138" s="0" t="str">
        <f aca="false">IF(I1138="","",IF(AND(J1138&gt;=1,J1138&lt;=K1138+3),"10."&amp;INDEX(Eingabe!$D$9:$D$18,I1138)&amp;"."&amp;IF(J1138&lt;=K1138,J1138,IF(J1138=K1138+1,200,IF(J1138=K1138+2,201,250)))&amp;".0/24",""))</f>
        <v/>
      </c>
      <c r="D1138" s="0" t="str">
        <f aca="false">IF(I1138="","",IF(AND(J1138&gt;=1,J1138&lt;=K1138+3),"255.255.255.0",""))</f>
        <v/>
      </c>
      <c r="E1138" s="0" t="str">
        <f aca="false">IF(I1138="","",IF(AND(J1138&gt;=1,J1138&lt;=K1138+3),"10."&amp;INDEX(Eingabe!$D$9:$D$18,I1138)&amp;"."&amp;IF(J1138&lt;=K1138,J1138,IF(J1138=K1138+1,200,IF(J1138=K1138+2,201,250)))&amp;".1",""))</f>
        <v/>
      </c>
      <c r="F1138" s="0" t="str">
        <f aca="false">IF(I1138="","",IF(AND(J1138&gt;=1,J1138&lt;=K1138+3),"10."&amp;INDEX(Eingabe!$D$9:$D$18,I1138)&amp;"."&amp;IF(J1138&lt;=K1138,J1138,IF(J1138=K1138+1,200,IF(J1138=K1138+2,201,250)))&amp;".10 – 10."&amp;INDEX(Eingabe!$D$9:$D$18,I1138)&amp;"."&amp;IF(J1138&lt;=K1138,J1138,IF(J1138=K1138+1,200,IF(J1138=K1138+2,201,250)))&amp;".250",""))</f>
        <v/>
      </c>
      <c r="G1138" s="0" t="str">
        <f aca="false">IF(I1138="","",IF(AND(J1138&gt;=1,J1138&lt;=K1138),Eingabe!$B$6&amp;"-"&amp;INDEX(Eingabe!$C$9:$C$18,I1138)&amp;"-Pächter  ·  Passwort Parzelle "&amp;J1138,IF(J1138=K1138+1,Eingabe!$B$6&amp;"-"&amp;INDEX(Eingabe!$C$9:$C$18,I1138)&amp;"-Vorstand  ·  eigenes WLAN",IF(J1138=K1138+2,Eingabe!$B$6&amp;"-"&amp;INDEX(Eingabe!$C$9:$C$18,I1138)&amp;"-Gäste  ·  Voucher",IF(J1138=K1138+3,"Kabel  ·  Access Point y = .(50+y), Mast-Switch x = .(10+x)","")))))</f>
        <v/>
      </c>
      <c r="I1138" s="0" t="str">
        <f aca="false">IF(1133&lt;=(Eingabe!$P$18+Eingabe!$Q$18-1),MATCH(1133,Eingabe!$P$9:$P$18,1),"")</f>
        <v/>
      </c>
      <c r="J1138" s="0" t="str">
        <f aca="false">IF(I1138="","",1133-INDEX(Eingabe!$P$9:$P$18,I1138))</f>
        <v/>
      </c>
      <c r="K1138" s="0" t="str">
        <f aca="false">IF(I1138="","",INDEX(Eingabe!$E$9:$E$18,I1138))</f>
        <v/>
      </c>
    </row>
    <row r="1139" customFormat="false" ht="15" hidden="false" customHeight="false" outlineLevel="0" collapsed="false">
      <c r="A1139" s="0" t="str">
        <f aca="false">IF(I1139="","",IF(J1139=0,"Sparte "&amp;I1139&amp;": "&amp;INDEX(Eingabe!$B$9:$B$18,I1139)&amp;"  (Sparten-ID "&amp;INDEX(Eingabe!$D$9:$D$18,I1139)&amp;", "&amp;K1139&amp;" Parzellen)",IF(J1139&lt;=K1139,"   Parzelle "&amp;J1139,IF(J1139=K1139+1,"   Vorstand",IF(J1139=K1139+2,"   Gäste",IF(J1139=K1139+3,"   Technik (Switches, Access Points)",""))))))</f>
        <v/>
      </c>
      <c r="B1139" s="0" t="str">
        <f aca="false">IF(I1139="","",IF(AND(J1139&gt;=1,J1139&lt;=K1139+3),IF(J1139&lt;=K1139,IF(J1139&lt;=99,IF((INDEX(Eingabe!$G$9:$G$18,I1139))&lt;=9,1000+(INDEX(Eingabe!$G$9:$G$18,I1139))*100,3000)+J1139,IF((INDEX(Eingabe!$G$9:$G$18,I1139)+1)&lt;=9,1000+(INDEX(Eingabe!$G$9:$G$18,I1139)+1)*100,3000)+J1139-100),IF(J1139=K1139+1,2000+INDEX(Eingabe!$G$9:$G$18,I1139)*10+1,IF(J1139=K1139+2,2000+INDEX(Eingabe!$G$9:$G$18,I1139)*10+2,2000+INDEX(Eingabe!$G$9:$G$18,I1139)*10+9))),""))</f>
        <v/>
      </c>
      <c r="C1139" s="0" t="str">
        <f aca="false">IF(I1139="","",IF(AND(J1139&gt;=1,J1139&lt;=K1139+3),"10."&amp;INDEX(Eingabe!$D$9:$D$18,I1139)&amp;"."&amp;IF(J1139&lt;=K1139,J1139,IF(J1139=K1139+1,200,IF(J1139=K1139+2,201,250)))&amp;".0/24",""))</f>
        <v/>
      </c>
      <c r="D1139" s="0" t="str">
        <f aca="false">IF(I1139="","",IF(AND(J1139&gt;=1,J1139&lt;=K1139+3),"255.255.255.0",""))</f>
        <v/>
      </c>
      <c r="E1139" s="0" t="str">
        <f aca="false">IF(I1139="","",IF(AND(J1139&gt;=1,J1139&lt;=K1139+3),"10."&amp;INDEX(Eingabe!$D$9:$D$18,I1139)&amp;"."&amp;IF(J1139&lt;=K1139,J1139,IF(J1139=K1139+1,200,IF(J1139=K1139+2,201,250)))&amp;".1",""))</f>
        <v/>
      </c>
      <c r="F1139" s="0" t="str">
        <f aca="false">IF(I1139="","",IF(AND(J1139&gt;=1,J1139&lt;=K1139+3),"10."&amp;INDEX(Eingabe!$D$9:$D$18,I1139)&amp;"."&amp;IF(J1139&lt;=K1139,J1139,IF(J1139=K1139+1,200,IF(J1139=K1139+2,201,250)))&amp;".10 – 10."&amp;INDEX(Eingabe!$D$9:$D$18,I1139)&amp;"."&amp;IF(J1139&lt;=K1139,J1139,IF(J1139=K1139+1,200,IF(J1139=K1139+2,201,250)))&amp;".250",""))</f>
        <v/>
      </c>
      <c r="G1139" s="0" t="str">
        <f aca="false">IF(I1139="","",IF(AND(J1139&gt;=1,J1139&lt;=K1139),Eingabe!$B$6&amp;"-"&amp;INDEX(Eingabe!$C$9:$C$18,I1139)&amp;"-Pächter  ·  Passwort Parzelle "&amp;J1139,IF(J1139=K1139+1,Eingabe!$B$6&amp;"-"&amp;INDEX(Eingabe!$C$9:$C$18,I1139)&amp;"-Vorstand  ·  eigenes WLAN",IF(J1139=K1139+2,Eingabe!$B$6&amp;"-"&amp;INDEX(Eingabe!$C$9:$C$18,I1139)&amp;"-Gäste  ·  Voucher",IF(J1139=K1139+3,"Kabel  ·  Access Point y = .(50+y), Mast-Switch x = .(10+x)","")))))</f>
        <v/>
      </c>
      <c r="I1139" s="0" t="str">
        <f aca="false">IF(1134&lt;=(Eingabe!$P$18+Eingabe!$Q$18-1),MATCH(1134,Eingabe!$P$9:$P$18,1),"")</f>
        <v/>
      </c>
      <c r="J1139" s="0" t="str">
        <f aca="false">IF(I1139="","",1134-INDEX(Eingabe!$P$9:$P$18,I1139))</f>
        <v/>
      </c>
      <c r="K1139" s="0" t="str">
        <f aca="false">IF(I1139="","",INDEX(Eingabe!$E$9:$E$18,I1139))</f>
        <v/>
      </c>
    </row>
    <row r="1140" customFormat="false" ht="15" hidden="false" customHeight="false" outlineLevel="0" collapsed="false">
      <c r="A1140" s="0" t="str">
        <f aca="false">IF(I1140="","",IF(J1140=0,"Sparte "&amp;I1140&amp;": "&amp;INDEX(Eingabe!$B$9:$B$18,I1140)&amp;"  (Sparten-ID "&amp;INDEX(Eingabe!$D$9:$D$18,I1140)&amp;", "&amp;K1140&amp;" Parzellen)",IF(J1140&lt;=K1140,"   Parzelle "&amp;J1140,IF(J1140=K1140+1,"   Vorstand",IF(J1140=K1140+2,"   Gäste",IF(J1140=K1140+3,"   Technik (Switches, Access Points)",""))))))</f>
        <v/>
      </c>
      <c r="B1140" s="0" t="str">
        <f aca="false">IF(I1140="","",IF(AND(J1140&gt;=1,J1140&lt;=K1140+3),IF(J1140&lt;=K1140,IF(J1140&lt;=99,IF((INDEX(Eingabe!$G$9:$G$18,I1140))&lt;=9,1000+(INDEX(Eingabe!$G$9:$G$18,I1140))*100,3000)+J1140,IF((INDEX(Eingabe!$G$9:$G$18,I1140)+1)&lt;=9,1000+(INDEX(Eingabe!$G$9:$G$18,I1140)+1)*100,3000)+J1140-100),IF(J1140=K1140+1,2000+INDEX(Eingabe!$G$9:$G$18,I1140)*10+1,IF(J1140=K1140+2,2000+INDEX(Eingabe!$G$9:$G$18,I1140)*10+2,2000+INDEX(Eingabe!$G$9:$G$18,I1140)*10+9))),""))</f>
        <v/>
      </c>
      <c r="C1140" s="0" t="str">
        <f aca="false">IF(I1140="","",IF(AND(J1140&gt;=1,J1140&lt;=K1140+3),"10."&amp;INDEX(Eingabe!$D$9:$D$18,I1140)&amp;"."&amp;IF(J1140&lt;=K1140,J1140,IF(J1140=K1140+1,200,IF(J1140=K1140+2,201,250)))&amp;".0/24",""))</f>
        <v/>
      </c>
      <c r="D1140" s="0" t="str">
        <f aca="false">IF(I1140="","",IF(AND(J1140&gt;=1,J1140&lt;=K1140+3),"255.255.255.0",""))</f>
        <v/>
      </c>
      <c r="E1140" s="0" t="str">
        <f aca="false">IF(I1140="","",IF(AND(J1140&gt;=1,J1140&lt;=K1140+3),"10."&amp;INDEX(Eingabe!$D$9:$D$18,I1140)&amp;"."&amp;IF(J1140&lt;=K1140,J1140,IF(J1140=K1140+1,200,IF(J1140=K1140+2,201,250)))&amp;".1",""))</f>
        <v/>
      </c>
      <c r="F1140" s="0" t="str">
        <f aca="false">IF(I1140="","",IF(AND(J1140&gt;=1,J1140&lt;=K1140+3),"10."&amp;INDEX(Eingabe!$D$9:$D$18,I1140)&amp;"."&amp;IF(J1140&lt;=K1140,J1140,IF(J1140=K1140+1,200,IF(J1140=K1140+2,201,250)))&amp;".10 – 10."&amp;INDEX(Eingabe!$D$9:$D$18,I1140)&amp;"."&amp;IF(J1140&lt;=K1140,J1140,IF(J1140=K1140+1,200,IF(J1140=K1140+2,201,250)))&amp;".250",""))</f>
        <v/>
      </c>
      <c r="G1140" s="0" t="str">
        <f aca="false">IF(I1140="","",IF(AND(J1140&gt;=1,J1140&lt;=K1140),Eingabe!$B$6&amp;"-"&amp;INDEX(Eingabe!$C$9:$C$18,I1140)&amp;"-Pächter  ·  Passwort Parzelle "&amp;J1140,IF(J1140=K1140+1,Eingabe!$B$6&amp;"-"&amp;INDEX(Eingabe!$C$9:$C$18,I1140)&amp;"-Vorstand  ·  eigenes WLAN",IF(J1140=K1140+2,Eingabe!$B$6&amp;"-"&amp;INDEX(Eingabe!$C$9:$C$18,I1140)&amp;"-Gäste  ·  Voucher",IF(J1140=K1140+3,"Kabel  ·  Access Point y = .(50+y), Mast-Switch x = .(10+x)","")))))</f>
        <v/>
      </c>
      <c r="I1140" s="0" t="str">
        <f aca="false">IF(1135&lt;=(Eingabe!$P$18+Eingabe!$Q$18-1),MATCH(1135,Eingabe!$P$9:$P$18,1),"")</f>
        <v/>
      </c>
      <c r="J1140" s="0" t="str">
        <f aca="false">IF(I1140="","",1135-INDEX(Eingabe!$P$9:$P$18,I1140))</f>
        <v/>
      </c>
      <c r="K1140" s="0" t="str">
        <f aca="false">IF(I1140="","",INDEX(Eingabe!$E$9:$E$18,I1140))</f>
        <v/>
      </c>
    </row>
    <row r="1141" customFormat="false" ht="15" hidden="false" customHeight="false" outlineLevel="0" collapsed="false">
      <c r="A1141" s="0" t="str">
        <f aca="false">IF(I1141="","",IF(J1141=0,"Sparte "&amp;I1141&amp;": "&amp;INDEX(Eingabe!$B$9:$B$18,I1141)&amp;"  (Sparten-ID "&amp;INDEX(Eingabe!$D$9:$D$18,I1141)&amp;", "&amp;K1141&amp;" Parzellen)",IF(J1141&lt;=K1141,"   Parzelle "&amp;J1141,IF(J1141=K1141+1,"   Vorstand",IF(J1141=K1141+2,"   Gäste",IF(J1141=K1141+3,"   Technik (Switches, Access Points)",""))))))</f>
        <v/>
      </c>
      <c r="B1141" s="0" t="str">
        <f aca="false">IF(I1141="","",IF(AND(J1141&gt;=1,J1141&lt;=K1141+3),IF(J1141&lt;=K1141,IF(J1141&lt;=99,IF((INDEX(Eingabe!$G$9:$G$18,I1141))&lt;=9,1000+(INDEX(Eingabe!$G$9:$G$18,I1141))*100,3000)+J1141,IF((INDEX(Eingabe!$G$9:$G$18,I1141)+1)&lt;=9,1000+(INDEX(Eingabe!$G$9:$G$18,I1141)+1)*100,3000)+J1141-100),IF(J1141=K1141+1,2000+INDEX(Eingabe!$G$9:$G$18,I1141)*10+1,IF(J1141=K1141+2,2000+INDEX(Eingabe!$G$9:$G$18,I1141)*10+2,2000+INDEX(Eingabe!$G$9:$G$18,I1141)*10+9))),""))</f>
        <v/>
      </c>
      <c r="C1141" s="0" t="str">
        <f aca="false">IF(I1141="","",IF(AND(J1141&gt;=1,J1141&lt;=K1141+3),"10."&amp;INDEX(Eingabe!$D$9:$D$18,I1141)&amp;"."&amp;IF(J1141&lt;=K1141,J1141,IF(J1141=K1141+1,200,IF(J1141=K1141+2,201,250)))&amp;".0/24",""))</f>
        <v/>
      </c>
      <c r="D1141" s="0" t="str">
        <f aca="false">IF(I1141="","",IF(AND(J1141&gt;=1,J1141&lt;=K1141+3),"255.255.255.0",""))</f>
        <v/>
      </c>
      <c r="E1141" s="0" t="str">
        <f aca="false">IF(I1141="","",IF(AND(J1141&gt;=1,J1141&lt;=K1141+3),"10."&amp;INDEX(Eingabe!$D$9:$D$18,I1141)&amp;"."&amp;IF(J1141&lt;=K1141,J1141,IF(J1141=K1141+1,200,IF(J1141=K1141+2,201,250)))&amp;".1",""))</f>
        <v/>
      </c>
      <c r="F1141" s="0" t="str">
        <f aca="false">IF(I1141="","",IF(AND(J1141&gt;=1,J1141&lt;=K1141+3),"10."&amp;INDEX(Eingabe!$D$9:$D$18,I1141)&amp;"."&amp;IF(J1141&lt;=K1141,J1141,IF(J1141=K1141+1,200,IF(J1141=K1141+2,201,250)))&amp;".10 – 10."&amp;INDEX(Eingabe!$D$9:$D$18,I1141)&amp;"."&amp;IF(J1141&lt;=K1141,J1141,IF(J1141=K1141+1,200,IF(J1141=K1141+2,201,250)))&amp;".250",""))</f>
        <v/>
      </c>
      <c r="G1141" s="0" t="str">
        <f aca="false">IF(I1141="","",IF(AND(J1141&gt;=1,J1141&lt;=K1141),Eingabe!$B$6&amp;"-"&amp;INDEX(Eingabe!$C$9:$C$18,I1141)&amp;"-Pächter  ·  Passwort Parzelle "&amp;J1141,IF(J1141=K1141+1,Eingabe!$B$6&amp;"-"&amp;INDEX(Eingabe!$C$9:$C$18,I1141)&amp;"-Vorstand  ·  eigenes WLAN",IF(J1141=K1141+2,Eingabe!$B$6&amp;"-"&amp;INDEX(Eingabe!$C$9:$C$18,I1141)&amp;"-Gäste  ·  Voucher",IF(J1141=K1141+3,"Kabel  ·  Access Point y = .(50+y), Mast-Switch x = .(10+x)","")))))</f>
        <v/>
      </c>
      <c r="I1141" s="0" t="str">
        <f aca="false">IF(1136&lt;=(Eingabe!$P$18+Eingabe!$Q$18-1),MATCH(1136,Eingabe!$P$9:$P$18,1),"")</f>
        <v/>
      </c>
      <c r="J1141" s="0" t="str">
        <f aca="false">IF(I1141="","",1136-INDEX(Eingabe!$P$9:$P$18,I1141))</f>
        <v/>
      </c>
      <c r="K1141" s="0" t="str">
        <f aca="false">IF(I1141="","",INDEX(Eingabe!$E$9:$E$18,I1141))</f>
        <v/>
      </c>
    </row>
    <row r="1142" customFormat="false" ht="15" hidden="false" customHeight="false" outlineLevel="0" collapsed="false">
      <c r="A1142" s="0" t="str">
        <f aca="false">IF(I1142="","",IF(J1142=0,"Sparte "&amp;I1142&amp;": "&amp;INDEX(Eingabe!$B$9:$B$18,I1142)&amp;"  (Sparten-ID "&amp;INDEX(Eingabe!$D$9:$D$18,I1142)&amp;", "&amp;K1142&amp;" Parzellen)",IF(J1142&lt;=K1142,"   Parzelle "&amp;J1142,IF(J1142=K1142+1,"   Vorstand",IF(J1142=K1142+2,"   Gäste",IF(J1142=K1142+3,"   Technik (Switches, Access Points)",""))))))</f>
        <v/>
      </c>
      <c r="B1142" s="0" t="str">
        <f aca="false">IF(I1142="","",IF(AND(J1142&gt;=1,J1142&lt;=K1142+3),IF(J1142&lt;=K1142,IF(J1142&lt;=99,IF((INDEX(Eingabe!$G$9:$G$18,I1142))&lt;=9,1000+(INDEX(Eingabe!$G$9:$G$18,I1142))*100,3000)+J1142,IF((INDEX(Eingabe!$G$9:$G$18,I1142)+1)&lt;=9,1000+(INDEX(Eingabe!$G$9:$G$18,I1142)+1)*100,3000)+J1142-100),IF(J1142=K1142+1,2000+INDEX(Eingabe!$G$9:$G$18,I1142)*10+1,IF(J1142=K1142+2,2000+INDEX(Eingabe!$G$9:$G$18,I1142)*10+2,2000+INDEX(Eingabe!$G$9:$G$18,I1142)*10+9))),""))</f>
        <v/>
      </c>
      <c r="C1142" s="0" t="str">
        <f aca="false">IF(I1142="","",IF(AND(J1142&gt;=1,J1142&lt;=K1142+3),"10."&amp;INDEX(Eingabe!$D$9:$D$18,I1142)&amp;"."&amp;IF(J1142&lt;=K1142,J1142,IF(J1142=K1142+1,200,IF(J1142=K1142+2,201,250)))&amp;".0/24",""))</f>
        <v/>
      </c>
      <c r="D1142" s="0" t="str">
        <f aca="false">IF(I1142="","",IF(AND(J1142&gt;=1,J1142&lt;=K1142+3),"255.255.255.0",""))</f>
        <v/>
      </c>
      <c r="E1142" s="0" t="str">
        <f aca="false">IF(I1142="","",IF(AND(J1142&gt;=1,J1142&lt;=K1142+3),"10."&amp;INDEX(Eingabe!$D$9:$D$18,I1142)&amp;"."&amp;IF(J1142&lt;=K1142,J1142,IF(J1142=K1142+1,200,IF(J1142=K1142+2,201,250)))&amp;".1",""))</f>
        <v/>
      </c>
      <c r="F1142" s="0" t="str">
        <f aca="false">IF(I1142="","",IF(AND(J1142&gt;=1,J1142&lt;=K1142+3),"10."&amp;INDEX(Eingabe!$D$9:$D$18,I1142)&amp;"."&amp;IF(J1142&lt;=K1142,J1142,IF(J1142=K1142+1,200,IF(J1142=K1142+2,201,250)))&amp;".10 – 10."&amp;INDEX(Eingabe!$D$9:$D$18,I1142)&amp;"."&amp;IF(J1142&lt;=K1142,J1142,IF(J1142=K1142+1,200,IF(J1142=K1142+2,201,250)))&amp;".250",""))</f>
        <v/>
      </c>
      <c r="G1142" s="0" t="str">
        <f aca="false">IF(I1142="","",IF(AND(J1142&gt;=1,J1142&lt;=K1142),Eingabe!$B$6&amp;"-"&amp;INDEX(Eingabe!$C$9:$C$18,I1142)&amp;"-Pächter  ·  Passwort Parzelle "&amp;J1142,IF(J1142=K1142+1,Eingabe!$B$6&amp;"-"&amp;INDEX(Eingabe!$C$9:$C$18,I1142)&amp;"-Vorstand  ·  eigenes WLAN",IF(J1142=K1142+2,Eingabe!$B$6&amp;"-"&amp;INDEX(Eingabe!$C$9:$C$18,I1142)&amp;"-Gäste  ·  Voucher",IF(J1142=K1142+3,"Kabel  ·  Access Point y = .(50+y), Mast-Switch x = .(10+x)","")))))</f>
        <v/>
      </c>
      <c r="I1142" s="0" t="str">
        <f aca="false">IF(1137&lt;=(Eingabe!$P$18+Eingabe!$Q$18-1),MATCH(1137,Eingabe!$P$9:$P$18,1),"")</f>
        <v/>
      </c>
      <c r="J1142" s="0" t="str">
        <f aca="false">IF(I1142="","",1137-INDEX(Eingabe!$P$9:$P$18,I1142))</f>
        <v/>
      </c>
      <c r="K1142" s="0" t="str">
        <f aca="false">IF(I1142="","",INDEX(Eingabe!$E$9:$E$18,I1142))</f>
        <v/>
      </c>
    </row>
    <row r="1143" customFormat="false" ht="15" hidden="false" customHeight="false" outlineLevel="0" collapsed="false">
      <c r="A1143" s="0" t="str">
        <f aca="false">IF(I1143="","",IF(J1143=0,"Sparte "&amp;I1143&amp;": "&amp;INDEX(Eingabe!$B$9:$B$18,I1143)&amp;"  (Sparten-ID "&amp;INDEX(Eingabe!$D$9:$D$18,I1143)&amp;", "&amp;K1143&amp;" Parzellen)",IF(J1143&lt;=K1143,"   Parzelle "&amp;J1143,IF(J1143=K1143+1,"   Vorstand",IF(J1143=K1143+2,"   Gäste",IF(J1143=K1143+3,"   Technik (Switches, Access Points)",""))))))</f>
        <v/>
      </c>
      <c r="B1143" s="0" t="str">
        <f aca="false">IF(I1143="","",IF(AND(J1143&gt;=1,J1143&lt;=K1143+3),IF(J1143&lt;=K1143,IF(J1143&lt;=99,IF((INDEX(Eingabe!$G$9:$G$18,I1143))&lt;=9,1000+(INDEX(Eingabe!$G$9:$G$18,I1143))*100,3000)+J1143,IF((INDEX(Eingabe!$G$9:$G$18,I1143)+1)&lt;=9,1000+(INDEX(Eingabe!$G$9:$G$18,I1143)+1)*100,3000)+J1143-100),IF(J1143=K1143+1,2000+INDEX(Eingabe!$G$9:$G$18,I1143)*10+1,IF(J1143=K1143+2,2000+INDEX(Eingabe!$G$9:$G$18,I1143)*10+2,2000+INDEX(Eingabe!$G$9:$G$18,I1143)*10+9))),""))</f>
        <v/>
      </c>
      <c r="C1143" s="0" t="str">
        <f aca="false">IF(I1143="","",IF(AND(J1143&gt;=1,J1143&lt;=K1143+3),"10."&amp;INDEX(Eingabe!$D$9:$D$18,I1143)&amp;"."&amp;IF(J1143&lt;=K1143,J1143,IF(J1143=K1143+1,200,IF(J1143=K1143+2,201,250)))&amp;".0/24",""))</f>
        <v/>
      </c>
      <c r="D1143" s="0" t="str">
        <f aca="false">IF(I1143="","",IF(AND(J1143&gt;=1,J1143&lt;=K1143+3),"255.255.255.0",""))</f>
        <v/>
      </c>
      <c r="E1143" s="0" t="str">
        <f aca="false">IF(I1143="","",IF(AND(J1143&gt;=1,J1143&lt;=K1143+3),"10."&amp;INDEX(Eingabe!$D$9:$D$18,I1143)&amp;"."&amp;IF(J1143&lt;=K1143,J1143,IF(J1143=K1143+1,200,IF(J1143=K1143+2,201,250)))&amp;".1",""))</f>
        <v/>
      </c>
      <c r="F1143" s="0" t="str">
        <f aca="false">IF(I1143="","",IF(AND(J1143&gt;=1,J1143&lt;=K1143+3),"10."&amp;INDEX(Eingabe!$D$9:$D$18,I1143)&amp;"."&amp;IF(J1143&lt;=K1143,J1143,IF(J1143=K1143+1,200,IF(J1143=K1143+2,201,250)))&amp;".10 – 10."&amp;INDEX(Eingabe!$D$9:$D$18,I1143)&amp;"."&amp;IF(J1143&lt;=K1143,J1143,IF(J1143=K1143+1,200,IF(J1143=K1143+2,201,250)))&amp;".250",""))</f>
        <v/>
      </c>
      <c r="G1143" s="0" t="str">
        <f aca="false">IF(I1143="","",IF(AND(J1143&gt;=1,J1143&lt;=K1143),Eingabe!$B$6&amp;"-"&amp;INDEX(Eingabe!$C$9:$C$18,I1143)&amp;"-Pächter  ·  Passwort Parzelle "&amp;J1143,IF(J1143=K1143+1,Eingabe!$B$6&amp;"-"&amp;INDEX(Eingabe!$C$9:$C$18,I1143)&amp;"-Vorstand  ·  eigenes WLAN",IF(J1143=K1143+2,Eingabe!$B$6&amp;"-"&amp;INDEX(Eingabe!$C$9:$C$18,I1143)&amp;"-Gäste  ·  Voucher",IF(J1143=K1143+3,"Kabel  ·  Access Point y = .(50+y), Mast-Switch x = .(10+x)","")))))</f>
        <v/>
      </c>
      <c r="I1143" s="0" t="str">
        <f aca="false">IF(1138&lt;=(Eingabe!$P$18+Eingabe!$Q$18-1),MATCH(1138,Eingabe!$P$9:$P$18,1),"")</f>
        <v/>
      </c>
      <c r="J1143" s="0" t="str">
        <f aca="false">IF(I1143="","",1138-INDEX(Eingabe!$P$9:$P$18,I1143))</f>
        <v/>
      </c>
      <c r="K1143" s="0" t="str">
        <f aca="false">IF(I1143="","",INDEX(Eingabe!$E$9:$E$18,I1143))</f>
        <v/>
      </c>
    </row>
    <row r="1144" customFormat="false" ht="15" hidden="false" customHeight="false" outlineLevel="0" collapsed="false">
      <c r="A1144" s="0" t="str">
        <f aca="false">IF(I1144="","",IF(J1144=0,"Sparte "&amp;I1144&amp;": "&amp;INDEX(Eingabe!$B$9:$B$18,I1144)&amp;"  (Sparten-ID "&amp;INDEX(Eingabe!$D$9:$D$18,I1144)&amp;", "&amp;K1144&amp;" Parzellen)",IF(J1144&lt;=K1144,"   Parzelle "&amp;J1144,IF(J1144=K1144+1,"   Vorstand",IF(J1144=K1144+2,"   Gäste",IF(J1144=K1144+3,"   Technik (Switches, Access Points)",""))))))</f>
        <v/>
      </c>
      <c r="B1144" s="0" t="str">
        <f aca="false">IF(I1144="","",IF(AND(J1144&gt;=1,J1144&lt;=K1144+3),IF(J1144&lt;=K1144,IF(J1144&lt;=99,IF((INDEX(Eingabe!$G$9:$G$18,I1144))&lt;=9,1000+(INDEX(Eingabe!$G$9:$G$18,I1144))*100,3000)+J1144,IF((INDEX(Eingabe!$G$9:$G$18,I1144)+1)&lt;=9,1000+(INDEX(Eingabe!$G$9:$G$18,I1144)+1)*100,3000)+J1144-100),IF(J1144=K1144+1,2000+INDEX(Eingabe!$G$9:$G$18,I1144)*10+1,IF(J1144=K1144+2,2000+INDEX(Eingabe!$G$9:$G$18,I1144)*10+2,2000+INDEX(Eingabe!$G$9:$G$18,I1144)*10+9))),""))</f>
        <v/>
      </c>
      <c r="C1144" s="0" t="str">
        <f aca="false">IF(I1144="","",IF(AND(J1144&gt;=1,J1144&lt;=K1144+3),"10."&amp;INDEX(Eingabe!$D$9:$D$18,I1144)&amp;"."&amp;IF(J1144&lt;=K1144,J1144,IF(J1144=K1144+1,200,IF(J1144=K1144+2,201,250)))&amp;".0/24",""))</f>
        <v/>
      </c>
      <c r="D1144" s="0" t="str">
        <f aca="false">IF(I1144="","",IF(AND(J1144&gt;=1,J1144&lt;=K1144+3),"255.255.255.0",""))</f>
        <v/>
      </c>
      <c r="E1144" s="0" t="str">
        <f aca="false">IF(I1144="","",IF(AND(J1144&gt;=1,J1144&lt;=K1144+3),"10."&amp;INDEX(Eingabe!$D$9:$D$18,I1144)&amp;"."&amp;IF(J1144&lt;=K1144,J1144,IF(J1144=K1144+1,200,IF(J1144=K1144+2,201,250)))&amp;".1",""))</f>
        <v/>
      </c>
      <c r="F1144" s="0" t="str">
        <f aca="false">IF(I1144="","",IF(AND(J1144&gt;=1,J1144&lt;=K1144+3),"10."&amp;INDEX(Eingabe!$D$9:$D$18,I1144)&amp;"."&amp;IF(J1144&lt;=K1144,J1144,IF(J1144=K1144+1,200,IF(J1144=K1144+2,201,250)))&amp;".10 – 10."&amp;INDEX(Eingabe!$D$9:$D$18,I1144)&amp;"."&amp;IF(J1144&lt;=K1144,J1144,IF(J1144=K1144+1,200,IF(J1144=K1144+2,201,250)))&amp;".250",""))</f>
        <v/>
      </c>
      <c r="G1144" s="0" t="str">
        <f aca="false">IF(I1144="","",IF(AND(J1144&gt;=1,J1144&lt;=K1144),Eingabe!$B$6&amp;"-"&amp;INDEX(Eingabe!$C$9:$C$18,I1144)&amp;"-Pächter  ·  Passwort Parzelle "&amp;J1144,IF(J1144=K1144+1,Eingabe!$B$6&amp;"-"&amp;INDEX(Eingabe!$C$9:$C$18,I1144)&amp;"-Vorstand  ·  eigenes WLAN",IF(J1144=K1144+2,Eingabe!$B$6&amp;"-"&amp;INDEX(Eingabe!$C$9:$C$18,I1144)&amp;"-Gäste  ·  Voucher",IF(J1144=K1144+3,"Kabel  ·  Access Point y = .(50+y), Mast-Switch x = .(10+x)","")))))</f>
        <v/>
      </c>
      <c r="I1144" s="0" t="str">
        <f aca="false">IF(1139&lt;=(Eingabe!$P$18+Eingabe!$Q$18-1),MATCH(1139,Eingabe!$P$9:$P$18,1),"")</f>
        <v/>
      </c>
      <c r="J1144" s="0" t="str">
        <f aca="false">IF(I1144="","",1139-INDEX(Eingabe!$P$9:$P$18,I1144))</f>
        <v/>
      </c>
      <c r="K1144" s="0" t="str">
        <f aca="false">IF(I1144="","",INDEX(Eingabe!$E$9:$E$18,I1144))</f>
        <v/>
      </c>
    </row>
    <row r="1145" customFormat="false" ht="15" hidden="false" customHeight="false" outlineLevel="0" collapsed="false">
      <c r="A1145" s="0" t="str">
        <f aca="false">IF(I1145="","",IF(J1145=0,"Sparte "&amp;I1145&amp;": "&amp;INDEX(Eingabe!$B$9:$B$18,I1145)&amp;"  (Sparten-ID "&amp;INDEX(Eingabe!$D$9:$D$18,I1145)&amp;", "&amp;K1145&amp;" Parzellen)",IF(J1145&lt;=K1145,"   Parzelle "&amp;J1145,IF(J1145=K1145+1,"   Vorstand",IF(J1145=K1145+2,"   Gäste",IF(J1145=K1145+3,"   Technik (Switches, Access Points)",""))))))</f>
        <v/>
      </c>
      <c r="B1145" s="0" t="str">
        <f aca="false">IF(I1145="","",IF(AND(J1145&gt;=1,J1145&lt;=K1145+3),IF(J1145&lt;=K1145,IF(J1145&lt;=99,IF((INDEX(Eingabe!$G$9:$G$18,I1145))&lt;=9,1000+(INDEX(Eingabe!$G$9:$G$18,I1145))*100,3000)+J1145,IF((INDEX(Eingabe!$G$9:$G$18,I1145)+1)&lt;=9,1000+(INDEX(Eingabe!$G$9:$G$18,I1145)+1)*100,3000)+J1145-100),IF(J1145=K1145+1,2000+INDEX(Eingabe!$G$9:$G$18,I1145)*10+1,IF(J1145=K1145+2,2000+INDEX(Eingabe!$G$9:$G$18,I1145)*10+2,2000+INDEX(Eingabe!$G$9:$G$18,I1145)*10+9))),""))</f>
        <v/>
      </c>
      <c r="C1145" s="0" t="str">
        <f aca="false">IF(I1145="","",IF(AND(J1145&gt;=1,J1145&lt;=K1145+3),"10."&amp;INDEX(Eingabe!$D$9:$D$18,I1145)&amp;"."&amp;IF(J1145&lt;=K1145,J1145,IF(J1145=K1145+1,200,IF(J1145=K1145+2,201,250)))&amp;".0/24",""))</f>
        <v/>
      </c>
      <c r="D1145" s="0" t="str">
        <f aca="false">IF(I1145="","",IF(AND(J1145&gt;=1,J1145&lt;=K1145+3),"255.255.255.0",""))</f>
        <v/>
      </c>
      <c r="E1145" s="0" t="str">
        <f aca="false">IF(I1145="","",IF(AND(J1145&gt;=1,J1145&lt;=K1145+3),"10."&amp;INDEX(Eingabe!$D$9:$D$18,I1145)&amp;"."&amp;IF(J1145&lt;=K1145,J1145,IF(J1145=K1145+1,200,IF(J1145=K1145+2,201,250)))&amp;".1",""))</f>
        <v/>
      </c>
      <c r="F1145" s="0" t="str">
        <f aca="false">IF(I1145="","",IF(AND(J1145&gt;=1,J1145&lt;=K1145+3),"10."&amp;INDEX(Eingabe!$D$9:$D$18,I1145)&amp;"."&amp;IF(J1145&lt;=K1145,J1145,IF(J1145=K1145+1,200,IF(J1145=K1145+2,201,250)))&amp;".10 – 10."&amp;INDEX(Eingabe!$D$9:$D$18,I1145)&amp;"."&amp;IF(J1145&lt;=K1145,J1145,IF(J1145=K1145+1,200,IF(J1145=K1145+2,201,250)))&amp;".250",""))</f>
        <v/>
      </c>
      <c r="G1145" s="0" t="str">
        <f aca="false">IF(I1145="","",IF(AND(J1145&gt;=1,J1145&lt;=K1145),Eingabe!$B$6&amp;"-"&amp;INDEX(Eingabe!$C$9:$C$18,I1145)&amp;"-Pächter  ·  Passwort Parzelle "&amp;J1145,IF(J1145=K1145+1,Eingabe!$B$6&amp;"-"&amp;INDEX(Eingabe!$C$9:$C$18,I1145)&amp;"-Vorstand  ·  eigenes WLAN",IF(J1145=K1145+2,Eingabe!$B$6&amp;"-"&amp;INDEX(Eingabe!$C$9:$C$18,I1145)&amp;"-Gäste  ·  Voucher",IF(J1145=K1145+3,"Kabel  ·  Access Point y = .(50+y), Mast-Switch x = .(10+x)","")))))</f>
        <v/>
      </c>
      <c r="I1145" s="0" t="str">
        <f aca="false">IF(1140&lt;=(Eingabe!$P$18+Eingabe!$Q$18-1),MATCH(1140,Eingabe!$P$9:$P$18,1),"")</f>
        <v/>
      </c>
      <c r="J1145" s="0" t="str">
        <f aca="false">IF(I1145="","",1140-INDEX(Eingabe!$P$9:$P$18,I1145))</f>
        <v/>
      </c>
      <c r="K1145" s="0" t="str">
        <f aca="false">IF(I1145="","",INDEX(Eingabe!$E$9:$E$18,I1145))</f>
        <v/>
      </c>
    </row>
    <row r="1146" customFormat="false" ht="15" hidden="false" customHeight="false" outlineLevel="0" collapsed="false">
      <c r="A1146" s="0" t="str">
        <f aca="false">IF(I1146="","",IF(J1146=0,"Sparte "&amp;I1146&amp;": "&amp;INDEX(Eingabe!$B$9:$B$18,I1146)&amp;"  (Sparten-ID "&amp;INDEX(Eingabe!$D$9:$D$18,I1146)&amp;", "&amp;K1146&amp;" Parzellen)",IF(J1146&lt;=K1146,"   Parzelle "&amp;J1146,IF(J1146=K1146+1,"   Vorstand",IF(J1146=K1146+2,"   Gäste",IF(J1146=K1146+3,"   Technik (Switches, Access Points)",""))))))</f>
        <v/>
      </c>
      <c r="B1146" s="0" t="str">
        <f aca="false">IF(I1146="","",IF(AND(J1146&gt;=1,J1146&lt;=K1146+3),IF(J1146&lt;=K1146,IF(J1146&lt;=99,IF((INDEX(Eingabe!$G$9:$G$18,I1146))&lt;=9,1000+(INDEX(Eingabe!$G$9:$G$18,I1146))*100,3000)+J1146,IF((INDEX(Eingabe!$G$9:$G$18,I1146)+1)&lt;=9,1000+(INDEX(Eingabe!$G$9:$G$18,I1146)+1)*100,3000)+J1146-100),IF(J1146=K1146+1,2000+INDEX(Eingabe!$G$9:$G$18,I1146)*10+1,IF(J1146=K1146+2,2000+INDEX(Eingabe!$G$9:$G$18,I1146)*10+2,2000+INDEX(Eingabe!$G$9:$G$18,I1146)*10+9))),""))</f>
        <v/>
      </c>
      <c r="C1146" s="0" t="str">
        <f aca="false">IF(I1146="","",IF(AND(J1146&gt;=1,J1146&lt;=K1146+3),"10."&amp;INDEX(Eingabe!$D$9:$D$18,I1146)&amp;"."&amp;IF(J1146&lt;=K1146,J1146,IF(J1146=K1146+1,200,IF(J1146=K1146+2,201,250)))&amp;".0/24",""))</f>
        <v/>
      </c>
      <c r="D1146" s="0" t="str">
        <f aca="false">IF(I1146="","",IF(AND(J1146&gt;=1,J1146&lt;=K1146+3),"255.255.255.0",""))</f>
        <v/>
      </c>
      <c r="E1146" s="0" t="str">
        <f aca="false">IF(I1146="","",IF(AND(J1146&gt;=1,J1146&lt;=K1146+3),"10."&amp;INDEX(Eingabe!$D$9:$D$18,I1146)&amp;"."&amp;IF(J1146&lt;=K1146,J1146,IF(J1146=K1146+1,200,IF(J1146=K1146+2,201,250)))&amp;".1",""))</f>
        <v/>
      </c>
      <c r="F1146" s="0" t="str">
        <f aca="false">IF(I1146="","",IF(AND(J1146&gt;=1,J1146&lt;=K1146+3),"10."&amp;INDEX(Eingabe!$D$9:$D$18,I1146)&amp;"."&amp;IF(J1146&lt;=K1146,J1146,IF(J1146=K1146+1,200,IF(J1146=K1146+2,201,250)))&amp;".10 – 10."&amp;INDEX(Eingabe!$D$9:$D$18,I1146)&amp;"."&amp;IF(J1146&lt;=K1146,J1146,IF(J1146=K1146+1,200,IF(J1146=K1146+2,201,250)))&amp;".250",""))</f>
        <v/>
      </c>
      <c r="G1146" s="0" t="str">
        <f aca="false">IF(I1146="","",IF(AND(J1146&gt;=1,J1146&lt;=K1146),Eingabe!$B$6&amp;"-"&amp;INDEX(Eingabe!$C$9:$C$18,I1146)&amp;"-Pächter  ·  Passwort Parzelle "&amp;J1146,IF(J1146=K1146+1,Eingabe!$B$6&amp;"-"&amp;INDEX(Eingabe!$C$9:$C$18,I1146)&amp;"-Vorstand  ·  eigenes WLAN",IF(J1146=K1146+2,Eingabe!$B$6&amp;"-"&amp;INDEX(Eingabe!$C$9:$C$18,I1146)&amp;"-Gäste  ·  Voucher",IF(J1146=K1146+3,"Kabel  ·  Access Point y = .(50+y), Mast-Switch x = .(10+x)","")))))</f>
        <v/>
      </c>
      <c r="I1146" s="0" t="str">
        <f aca="false">IF(1141&lt;=(Eingabe!$P$18+Eingabe!$Q$18-1),MATCH(1141,Eingabe!$P$9:$P$18,1),"")</f>
        <v/>
      </c>
      <c r="J1146" s="0" t="str">
        <f aca="false">IF(I1146="","",1141-INDEX(Eingabe!$P$9:$P$18,I1146))</f>
        <v/>
      </c>
      <c r="K1146" s="0" t="str">
        <f aca="false">IF(I1146="","",INDEX(Eingabe!$E$9:$E$18,I1146))</f>
        <v/>
      </c>
    </row>
    <row r="1147" customFormat="false" ht="15" hidden="false" customHeight="false" outlineLevel="0" collapsed="false">
      <c r="A1147" s="0" t="str">
        <f aca="false">IF(I1147="","",IF(J1147=0,"Sparte "&amp;I1147&amp;": "&amp;INDEX(Eingabe!$B$9:$B$18,I1147)&amp;"  (Sparten-ID "&amp;INDEX(Eingabe!$D$9:$D$18,I1147)&amp;", "&amp;K1147&amp;" Parzellen)",IF(J1147&lt;=K1147,"   Parzelle "&amp;J1147,IF(J1147=K1147+1,"   Vorstand",IF(J1147=K1147+2,"   Gäste",IF(J1147=K1147+3,"   Technik (Switches, Access Points)",""))))))</f>
        <v/>
      </c>
      <c r="B1147" s="0" t="str">
        <f aca="false">IF(I1147="","",IF(AND(J1147&gt;=1,J1147&lt;=K1147+3),IF(J1147&lt;=K1147,IF(J1147&lt;=99,IF((INDEX(Eingabe!$G$9:$G$18,I1147))&lt;=9,1000+(INDEX(Eingabe!$G$9:$G$18,I1147))*100,3000)+J1147,IF((INDEX(Eingabe!$G$9:$G$18,I1147)+1)&lt;=9,1000+(INDEX(Eingabe!$G$9:$G$18,I1147)+1)*100,3000)+J1147-100),IF(J1147=K1147+1,2000+INDEX(Eingabe!$G$9:$G$18,I1147)*10+1,IF(J1147=K1147+2,2000+INDEX(Eingabe!$G$9:$G$18,I1147)*10+2,2000+INDEX(Eingabe!$G$9:$G$18,I1147)*10+9))),""))</f>
        <v/>
      </c>
      <c r="C1147" s="0" t="str">
        <f aca="false">IF(I1147="","",IF(AND(J1147&gt;=1,J1147&lt;=K1147+3),"10."&amp;INDEX(Eingabe!$D$9:$D$18,I1147)&amp;"."&amp;IF(J1147&lt;=K1147,J1147,IF(J1147=K1147+1,200,IF(J1147=K1147+2,201,250)))&amp;".0/24",""))</f>
        <v/>
      </c>
      <c r="D1147" s="0" t="str">
        <f aca="false">IF(I1147="","",IF(AND(J1147&gt;=1,J1147&lt;=K1147+3),"255.255.255.0",""))</f>
        <v/>
      </c>
      <c r="E1147" s="0" t="str">
        <f aca="false">IF(I1147="","",IF(AND(J1147&gt;=1,J1147&lt;=K1147+3),"10."&amp;INDEX(Eingabe!$D$9:$D$18,I1147)&amp;"."&amp;IF(J1147&lt;=K1147,J1147,IF(J1147=K1147+1,200,IF(J1147=K1147+2,201,250)))&amp;".1",""))</f>
        <v/>
      </c>
      <c r="F1147" s="0" t="str">
        <f aca="false">IF(I1147="","",IF(AND(J1147&gt;=1,J1147&lt;=K1147+3),"10."&amp;INDEX(Eingabe!$D$9:$D$18,I1147)&amp;"."&amp;IF(J1147&lt;=K1147,J1147,IF(J1147=K1147+1,200,IF(J1147=K1147+2,201,250)))&amp;".10 – 10."&amp;INDEX(Eingabe!$D$9:$D$18,I1147)&amp;"."&amp;IF(J1147&lt;=K1147,J1147,IF(J1147=K1147+1,200,IF(J1147=K1147+2,201,250)))&amp;".250",""))</f>
        <v/>
      </c>
      <c r="G1147" s="0" t="str">
        <f aca="false">IF(I1147="","",IF(AND(J1147&gt;=1,J1147&lt;=K1147),Eingabe!$B$6&amp;"-"&amp;INDEX(Eingabe!$C$9:$C$18,I1147)&amp;"-Pächter  ·  Passwort Parzelle "&amp;J1147,IF(J1147=K1147+1,Eingabe!$B$6&amp;"-"&amp;INDEX(Eingabe!$C$9:$C$18,I1147)&amp;"-Vorstand  ·  eigenes WLAN",IF(J1147=K1147+2,Eingabe!$B$6&amp;"-"&amp;INDEX(Eingabe!$C$9:$C$18,I1147)&amp;"-Gäste  ·  Voucher",IF(J1147=K1147+3,"Kabel  ·  Access Point y = .(50+y), Mast-Switch x = .(10+x)","")))))</f>
        <v/>
      </c>
      <c r="I1147" s="0" t="str">
        <f aca="false">IF(1142&lt;=(Eingabe!$P$18+Eingabe!$Q$18-1),MATCH(1142,Eingabe!$P$9:$P$18,1),"")</f>
        <v/>
      </c>
      <c r="J1147" s="0" t="str">
        <f aca="false">IF(I1147="","",1142-INDEX(Eingabe!$P$9:$P$18,I1147))</f>
        <v/>
      </c>
      <c r="K1147" s="0" t="str">
        <f aca="false">IF(I1147="","",INDEX(Eingabe!$E$9:$E$18,I1147))</f>
        <v/>
      </c>
    </row>
    <row r="1148" customFormat="false" ht="15" hidden="false" customHeight="false" outlineLevel="0" collapsed="false">
      <c r="A1148" s="0" t="str">
        <f aca="false">IF(I1148="","",IF(J1148=0,"Sparte "&amp;I1148&amp;": "&amp;INDEX(Eingabe!$B$9:$B$18,I1148)&amp;"  (Sparten-ID "&amp;INDEX(Eingabe!$D$9:$D$18,I1148)&amp;", "&amp;K1148&amp;" Parzellen)",IF(J1148&lt;=K1148,"   Parzelle "&amp;J1148,IF(J1148=K1148+1,"   Vorstand",IF(J1148=K1148+2,"   Gäste",IF(J1148=K1148+3,"   Technik (Switches, Access Points)",""))))))</f>
        <v/>
      </c>
      <c r="B1148" s="0" t="str">
        <f aca="false">IF(I1148="","",IF(AND(J1148&gt;=1,J1148&lt;=K1148+3),IF(J1148&lt;=K1148,IF(J1148&lt;=99,IF((INDEX(Eingabe!$G$9:$G$18,I1148))&lt;=9,1000+(INDEX(Eingabe!$G$9:$G$18,I1148))*100,3000)+J1148,IF((INDEX(Eingabe!$G$9:$G$18,I1148)+1)&lt;=9,1000+(INDEX(Eingabe!$G$9:$G$18,I1148)+1)*100,3000)+J1148-100),IF(J1148=K1148+1,2000+INDEX(Eingabe!$G$9:$G$18,I1148)*10+1,IF(J1148=K1148+2,2000+INDEX(Eingabe!$G$9:$G$18,I1148)*10+2,2000+INDEX(Eingabe!$G$9:$G$18,I1148)*10+9))),""))</f>
        <v/>
      </c>
      <c r="C1148" s="0" t="str">
        <f aca="false">IF(I1148="","",IF(AND(J1148&gt;=1,J1148&lt;=K1148+3),"10."&amp;INDEX(Eingabe!$D$9:$D$18,I1148)&amp;"."&amp;IF(J1148&lt;=K1148,J1148,IF(J1148=K1148+1,200,IF(J1148=K1148+2,201,250)))&amp;".0/24",""))</f>
        <v/>
      </c>
      <c r="D1148" s="0" t="str">
        <f aca="false">IF(I1148="","",IF(AND(J1148&gt;=1,J1148&lt;=K1148+3),"255.255.255.0",""))</f>
        <v/>
      </c>
      <c r="E1148" s="0" t="str">
        <f aca="false">IF(I1148="","",IF(AND(J1148&gt;=1,J1148&lt;=K1148+3),"10."&amp;INDEX(Eingabe!$D$9:$D$18,I1148)&amp;"."&amp;IF(J1148&lt;=K1148,J1148,IF(J1148=K1148+1,200,IF(J1148=K1148+2,201,250)))&amp;".1",""))</f>
        <v/>
      </c>
      <c r="F1148" s="0" t="str">
        <f aca="false">IF(I1148="","",IF(AND(J1148&gt;=1,J1148&lt;=K1148+3),"10."&amp;INDEX(Eingabe!$D$9:$D$18,I1148)&amp;"."&amp;IF(J1148&lt;=K1148,J1148,IF(J1148=K1148+1,200,IF(J1148=K1148+2,201,250)))&amp;".10 – 10."&amp;INDEX(Eingabe!$D$9:$D$18,I1148)&amp;"."&amp;IF(J1148&lt;=K1148,J1148,IF(J1148=K1148+1,200,IF(J1148=K1148+2,201,250)))&amp;".250",""))</f>
        <v/>
      </c>
      <c r="G1148" s="0" t="str">
        <f aca="false">IF(I1148="","",IF(AND(J1148&gt;=1,J1148&lt;=K1148),Eingabe!$B$6&amp;"-"&amp;INDEX(Eingabe!$C$9:$C$18,I1148)&amp;"-Pächter  ·  Passwort Parzelle "&amp;J1148,IF(J1148=K1148+1,Eingabe!$B$6&amp;"-"&amp;INDEX(Eingabe!$C$9:$C$18,I1148)&amp;"-Vorstand  ·  eigenes WLAN",IF(J1148=K1148+2,Eingabe!$B$6&amp;"-"&amp;INDEX(Eingabe!$C$9:$C$18,I1148)&amp;"-Gäste  ·  Voucher",IF(J1148=K1148+3,"Kabel  ·  Access Point y = .(50+y), Mast-Switch x = .(10+x)","")))))</f>
        <v/>
      </c>
      <c r="I1148" s="0" t="str">
        <f aca="false">IF(1143&lt;=(Eingabe!$P$18+Eingabe!$Q$18-1),MATCH(1143,Eingabe!$P$9:$P$18,1),"")</f>
        <v/>
      </c>
      <c r="J1148" s="0" t="str">
        <f aca="false">IF(I1148="","",1143-INDEX(Eingabe!$P$9:$P$18,I1148))</f>
        <v/>
      </c>
      <c r="K1148" s="0" t="str">
        <f aca="false">IF(I1148="","",INDEX(Eingabe!$E$9:$E$18,I1148))</f>
        <v/>
      </c>
    </row>
    <row r="1149" customFormat="false" ht="15" hidden="false" customHeight="false" outlineLevel="0" collapsed="false">
      <c r="A1149" s="0" t="str">
        <f aca="false">IF(I1149="","",IF(J1149=0,"Sparte "&amp;I1149&amp;": "&amp;INDEX(Eingabe!$B$9:$B$18,I1149)&amp;"  (Sparten-ID "&amp;INDEX(Eingabe!$D$9:$D$18,I1149)&amp;", "&amp;K1149&amp;" Parzellen)",IF(J1149&lt;=K1149,"   Parzelle "&amp;J1149,IF(J1149=K1149+1,"   Vorstand",IF(J1149=K1149+2,"   Gäste",IF(J1149=K1149+3,"   Technik (Switches, Access Points)",""))))))</f>
        <v/>
      </c>
      <c r="B1149" s="0" t="str">
        <f aca="false">IF(I1149="","",IF(AND(J1149&gt;=1,J1149&lt;=K1149+3),IF(J1149&lt;=K1149,IF(J1149&lt;=99,IF((INDEX(Eingabe!$G$9:$G$18,I1149))&lt;=9,1000+(INDEX(Eingabe!$G$9:$G$18,I1149))*100,3000)+J1149,IF((INDEX(Eingabe!$G$9:$G$18,I1149)+1)&lt;=9,1000+(INDEX(Eingabe!$G$9:$G$18,I1149)+1)*100,3000)+J1149-100),IF(J1149=K1149+1,2000+INDEX(Eingabe!$G$9:$G$18,I1149)*10+1,IF(J1149=K1149+2,2000+INDEX(Eingabe!$G$9:$G$18,I1149)*10+2,2000+INDEX(Eingabe!$G$9:$G$18,I1149)*10+9))),""))</f>
        <v/>
      </c>
      <c r="C1149" s="0" t="str">
        <f aca="false">IF(I1149="","",IF(AND(J1149&gt;=1,J1149&lt;=K1149+3),"10."&amp;INDEX(Eingabe!$D$9:$D$18,I1149)&amp;"."&amp;IF(J1149&lt;=K1149,J1149,IF(J1149=K1149+1,200,IF(J1149=K1149+2,201,250)))&amp;".0/24",""))</f>
        <v/>
      </c>
      <c r="D1149" s="0" t="str">
        <f aca="false">IF(I1149="","",IF(AND(J1149&gt;=1,J1149&lt;=K1149+3),"255.255.255.0",""))</f>
        <v/>
      </c>
      <c r="E1149" s="0" t="str">
        <f aca="false">IF(I1149="","",IF(AND(J1149&gt;=1,J1149&lt;=K1149+3),"10."&amp;INDEX(Eingabe!$D$9:$D$18,I1149)&amp;"."&amp;IF(J1149&lt;=K1149,J1149,IF(J1149=K1149+1,200,IF(J1149=K1149+2,201,250)))&amp;".1",""))</f>
        <v/>
      </c>
      <c r="F1149" s="0" t="str">
        <f aca="false">IF(I1149="","",IF(AND(J1149&gt;=1,J1149&lt;=K1149+3),"10."&amp;INDEX(Eingabe!$D$9:$D$18,I1149)&amp;"."&amp;IF(J1149&lt;=K1149,J1149,IF(J1149=K1149+1,200,IF(J1149=K1149+2,201,250)))&amp;".10 – 10."&amp;INDEX(Eingabe!$D$9:$D$18,I1149)&amp;"."&amp;IF(J1149&lt;=K1149,J1149,IF(J1149=K1149+1,200,IF(J1149=K1149+2,201,250)))&amp;".250",""))</f>
        <v/>
      </c>
      <c r="G1149" s="0" t="str">
        <f aca="false">IF(I1149="","",IF(AND(J1149&gt;=1,J1149&lt;=K1149),Eingabe!$B$6&amp;"-"&amp;INDEX(Eingabe!$C$9:$C$18,I1149)&amp;"-Pächter  ·  Passwort Parzelle "&amp;J1149,IF(J1149=K1149+1,Eingabe!$B$6&amp;"-"&amp;INDEX(Eingabe!$C$9:$C$18,I1149)&amp;"-Vorstand  ·  eigenes WLAN",IF(J1149=K1149+2,Eingabe!$B$6&amp;"-"&amp;INDEX(Eingabe!$C$9:$C$18,I1149)&amp;"-Gäste  ·  Voucher",IF(J1149=K1149+3,"Kabel  ·  Access Point y = .(50+y), Mast-Switch x = .(10+x)","")))))</f>
        <v/>
      </c>
      <c r="I1149" s="0" t="str">
        <f aca="false">IF(1144&lt;=(Eingabe!$P$18+Eingabe!$Q$18-1),MATCH(1144,Eingabe!$P$9:$P$18,1),"")</f>
        <v/>
      </c>
      <c r="J1149" s="0" t="str">
        <f aca="false">IF(I1149="","",1144-INDEX(Eingabe!$P$9:$P$18,I1149))</f>
        <v/>
      </c>
      <c r="K1149" s="0" t="str">
        <f aca="false">IF(I1149="","",INDEX(Eingabe!$E$9:$E$18,I1149))</f>
        <v/>
      </c>
    </row>
    <row r="1150" customFormat="false" ht="15" hidden="false" customHeight="false" outlineLevel="0" collapsed="false">
      <c r="A1150" s="0" t="str">
        <f aca="false">IF(I1150="","",IF(J1150=0,"Sparte "&amp;I1150&amp;": "&amp;INDEX(Eingabe!$B$9:$B$18,I1150)&amp;"  (Sparten-ID "&amp;INDEX(Eingabe!$D$9:$D$18,I1150)&amp;", "&amp;K1150&amp;" Parzellen)",IF(J1150&lt;=K1150,"   Parzelle "&amp;J1150,IF(J1150=K1150+1,"   Vorstand",IF(J1150=K1150+2,"   Gäste",IF(J1150=K1150+3,"   Technik (Switches, Access Points)",""))))))</f>
        <v/>
      </c>
      <c r="B1150" s="0" t="str">
        <f aca="false">IF(I1150="","",IF(AND(J1150&gt;=1,J1150&lt;=K1150+3),IF(J1150&lt;=K1150,IF(J1150&lt;=99,IF((INDEX(Eingabe!$G$9:$G$18,I1150))&lt;=9,1000+(INDEX(Eingabe!$G$9:$G$18,I1150))*100,3000)+J1150,IF((INDEX(Eingabe!$G$9:$G$18,I1150)+1)&lt;=9,1000+(INDEX(Eingabe!$G$9:$G$18,I1150)+1)*100,3000)+J1150-100),IF(J1150=K1150+1,2000+INDEX(Eingabe!$G$9:$G$18,I1150)*10+1,IF(J1150=K1150+2,2000+INDEX(Eingabe!$G$9:$G$18,I1150)*10+2,2000+INDEX(Eingabe!$G$9:$G$18,I1150)*10+9))),""))</f>
        <v/>
      </c>
      <c r="C1150" s="0" t="str">
        <f aca="false">IF(I1150="","",IF(AND(J1150&gt;=1,J1150&lt;=K1150+3),"10."&amp;INDEX(Eingabe!$D$9:$D$18,I1150)&amp;"."&amp;IF(J1150&lt;=K1150,J1150,IF(J1150=K1150+1,200,IF(J1150=K1150+2,201,250)))&amp;".0/24",""))</f>
        <v/>
      </c>
      <c r="D1150" s="0" t="str">
        <f aca="false">IF(I1150="","",IF(AND(J1150&gt;=1,J1150&lt;=K1150+3),"255.255.255.0",""))</f>
        <v/>
      </c>
      <c r="E1150" s="0" t="str">
        <f aca="false">IF(I1150="","",IF(AND(J1150&gt;=1,J1150&lt;=K1150+3),"10."&amp;INDEX(Eingabe!$D$9:$D$18,I1150)&amp;"."&amp;IF(J1150&lt;=K1150,J1150,IF(J1150=K1150+1,200,IF(J1150=K1150+2,201,250)))&amp;".1",""))</f>
        <v/>
      </c>
      <c r="F1150" s="0" t="str">
        <f aca="false">IF(I1150="","",IF(AND(J1150&gt;=1,J1150&lt;=K1150+3),"10."&amp;INDEX(Eingabe!$D$9:$D$18,I1150)&amp;"."&amp;IF(J1150&lt;=K1150,J1150,IF(J1150=K1150+1,200,IF(J1150=K1150+2,201,250)))&amp;".10 – 10."&amp;INDEX(Eingabe!$D$9:$D$18,I1150)&amp;"."&amp;IF(J1150&lt;=K1150,J1150,IF(J1150=K1150+1,200,IF(J1150=K1150+2,201,250)))&amp;".250",""))</f>
        <v/>
      </c>
      <c r="G1150" s="0" t="str">
        <f aca="false">IF(I1150="","",IF(AND(J1150&gt;=1,J1150&lt;=K1150),Eingabe!$B$6&amp;"-"&amp;INDEX(Eingabe!$C$9:$C$18,I1150)&amp;"-Pächter  ·  Passwort Parzelle "&amp;J1150,IF(J1150=K1150+1,Eingabe!$B$6&amp;"-"&amp;INDEX(Eingabe!$C$9:$C$18,I1150)&amp;"-Vorstand  ·  eigenes WLAN",IF(J1150=K1150+2,Eingabe!$B$6&amp;"-"&amp;INDEX(Eingabe!$C$9:$C$18,I1150)&amp;"-Gäste  ·  Voucher",IF(J1150=K1150+3,"Kabel  ·  Access Point y = .(50+y), Mast-Switch x = .(10+x)","")))))</f>
        <v/>
      </c>
      <c r="I1150" s="0" t="str">
        <f aca="false">IF(1145&lt;=(Eingabe!$P$18+Eingabe!$Q$18-1),MATCH(1145,Eingabe!$P$9:$P$18,1),"")</f>
        <v/>
      </c>
      <c r="J1150" s="0" t="str">
        <f aca="false">IF(I1150="","",1145-INDEX(Eingabe!$P$9:$P$18,I1150))</f>
        <v/>
      </c>
      <c r="K1150" s="0" t="str">
        <f aca="false">IF(I1150="","",INDEX(Eingabe!$E$9:$E$18,I1150))</f>
        <v/>
      </c>
    </row>
    <row r="1151" customFormat="false" ht="15" hidden="false" customHeight="false" outlineLevel="0" collapsed="false">
      <c r="A1151" s="0" t="str">
        <f aca="false">IF(I1151="","",IF(J1151=0,"Sparte "&amp;I1151&amp;": "&amp;INDEX(Eingabe!$B$9:$B$18,I1151)&amp;"  (Sparten-ID "&amp;INDEX(Eingabe!$D$9:$D$18,I1151)&amp;", "&amp;K1151&amp;" Parzellen)",IF(J1151&lt;=K1151,"   Parzelle "&amp;J1151,IF(J1151=K1151+1,"   Vorstand",IF(J1151=K1151+2,"   Gäste",IF(J1151=K1151+3,"   Technik (Switches, Access Points)",""))))))</f>
        <v/>
      </c>
      <c r="B1151" s="0" t="str">
        <f aca="false">IF(I1151="","",IF(AND(J1151&gt;=1,J1151&lt;=K1151+3),IF(J1151&lt;=K1151,IF(J1151&lt;=99,IF((INDEX(Eingabe!$G$9:$G$18,I1151))&lt;=9,1000+(INDEX(Eingabe!$G$9:$G$18,I1151))*100,3000)+J1151,IF((INDEX(Eingabe!$G$9:$G$18,I1151)+1)&lt;=9,1000+(INDEX(Eingabe!$G$9:$G$18,I1151)+1)*100,3000)+J1151-100),IF(J1151=K1151+1,2000+INDEX(Eingabe!$G$9:$G$18,I1151)*10+1,IF(J1151=K1151+2,2000+INDEX(Eingabe!$G$9:$G$18,I1151)*10+2,2000+INDEX(Eingabe!$G$9:$G$18,I1151)*10+9))),""))</f>
        <v/>
      </c>
      <c r="C1151" s="0" t="str">
        <f aca="false">IF(I1151="","",IF(AND(J1151&gt;=1,J1151&lt;=K1151+3),"10."&amp;INDEX(Eingabe!$D$9:$D$18,I1151)&amp;"."&amp;IF(J1151&lt;=K1151,J1151,IF(J1151=K1151+1,200,IF(J1151=K1151+2,201,250)))&amp;".0/24",""))</f>
        <v/>
      </c>
      <c r="D1151" s="0" t="str">
        <f aca="false">IF(I1151="","",IF(AND(J1151&gt;=1,J1151&lt;=K1151+3),"255.255.255.0",""))</f>
        <v/>
      </c>
      <c r="E1151" s="0" t="str">
        <f aca="false">IF(I1151="","",IF(AND(J1151&gt;=1,J1151&lt;=K1151+3),"10."&amp;INDEX(Eingabe!$D$9:$D$18,I1151)&amp;"."&amp;IF(J1151&lt;=K1151,J1151,IF(J1151=K1151+1,200,IF(J1151=K1151+2,201,250)))&amp;".1",""))</f>
        <v/>
      </c>
      <c r="F1151" s="0" t="str">
        <f aca="false">IF(I1151="","",IF(AND(J1151&gt;=1,J1151&lt;=K1151+3),"10."&amp;INDEX(Eingabe!$D$9:$D$18,I1151)&amp;"."&amp;IF(J1151&lt;=K1151,J1151,IF(J1151=K1151+1,200,IF(J1151=K1151+2,201,250)))&amp;".10 – 10."&amp;INDEX(Eingabe!$D$9:$D$18,I1151)&amp;"."&amp;IF(J1151&lt;=K1151,J1151,IF(J1151=K1151+1,200,IF(J1151=K1151+2,201,250)))&amp;".250",""))</f>
        <v/>
      </c>
      <c r="G1151" s="0" t="str">
        <f aca="false">IF(I1151="","",IF(AND(J1151&gt;=1,J1151&lt;=K1151),Eingabe!$B$6&amp;"-"&amp;INDEX(Eingabe!$C$9:$C$18,I1151)&amp;"-Pächter  ·  Passwort Parzelle "&amp;J1151,IF(J1151=K1151+1,Eingabe!$B$6&amp;"-"&amp;INDEX(Eingabe!$C$9:$C$18,I1151)&amp;"-Vorstand  ·  eigenes WLAN",IF(J1151=K1151+2,Eingabe!$B$6&amp;"-"&amp;INDEX(Eingabe!$C$9:$C$18,I1151)&amp;"-Gäste  ·  Voucher",IF(J1151=K1151+3,"Kabel  ·  Access Point y = .(50+y), Mast-Switch x = .(10+x)","")))))</f>
        <v/>
      </c>
      <c r="I1151" s="0" t="str">
        <f aca="false">IF(1146&lt;=(Eingabe!$P$18+Eingabe!$Q$18-1),MATCH(1146,Eingabe!$P$9:$P$18,1),"")</f>
        <v/>
      </c>
      <c r="J1151" s="0" t="str">
        <f aca="false">IF(I1151="","",1146-INDEX(Eingabe!$P$9:$P$18,I1151))</f>
        <v/>
      </c>
      <c r="K1151" s="0" t="str">
        <f aca="false">IF(I1151="","",INDEX(Eingabe!$E$9:$E$18,I1151))</f>
        <v/>
      </c>
    </row>
    <row r="1152" customFormat="false" ht="15" hidden="false" customHeight="false" outlineLevel="0" collapsed="false">
      <c r="A1152" s="0" t="str">
        <f aca="false">IF(I1152="","",IF(J1152=0,"Sparte "&amp;I1152&amp;": "&amp;INDEX(Eingabe!$B$9:$B$18,I1152)&amp;"  (Sparten-ID "&amp;INDEX(Eingabe!$D$9:$D$18,I1152)&amp;", "&amp;K1152&amp;" Parzellen)",IF(J1152&lt;=K1152,"   Parzelle "&amp;J1152,IF(J1152=K1152+1,"   Vorstand",IF(J1152=K1152+2,"   Gäste",IF(J1152=K1152+3,"   Technik (Switches, Access Points)",""))))))</f>
        <v/>
      </c>
      <c r="B1152" s="0" t="str">
        <f aca="false">IF(I1152="","",IF(AND(J1152&gt;=1,J1152&lt;=K1152+3),IF(J1152&lt;=K1152,IF(J1152&lt;=99,IF((INDEX(Eingabe!$G$9:$G$18,I1152))&lt;=9,1000+(INDEX(Eingabe!$G$9:$G$18,I1152))*100,3000)+J1152,IF((INDEX(Eingabe!$G$9:$G$18,I1152)+1)&lt;=9,1000+(INDEX(Eingabe!$G$9:$G$18,I1152)+1)*100,3000)+J1152-100),IF(J1152=K1152+1,2000+INDEX(Eingabe!$G$9:$G$18,I1152)*10+1,IF(J1152=K1152+2,2000+INDEX(Eingabe!$G$9:$G$18,I1152)*10+2,2000+INDEX(Eingabe!$G$9:$G$18,I1152)*10+9))),""))</f>
        <v/>
      </c>
      <c r="C1152" s="0" t="str">
        <f aca="false">IF(I1152="","",IF(AND(J1152&gt;=1,J1152&lt;=K1152+3),"10."&amp;INDEX(Eingabe!$D$9:$D$18,I1152)&amp;"."&amp;IF(J1152&lt;=K1152,J1152,IF(J1152=K1152+1,200,IF(J1152=K1152+2,201,250)))&amp;".0/24",""))</f>
        <v/>
      </c>
      <c r="D1152" s="0" t="str">
        <f aca="false">IF(I1152="","",IF(AND(J1152&gt;=1,J1152&lt;=K1152+3),"255.255.255.0",""))</f>
        <v/>
      </c>
      <c r="E1152" s="0" t="str">
        <f aca="false">IF(I1152="","",IF(AND(J1152&gt;=1,J1152&lt;=K1152+3),"10."&amp;INDEX(Eingabe!$D$9:$D$18,I1152)&amp;"."&amp;IF(J1152&lt;=K1152,J1152,IF(J1152=K1152+1,200,IF(J1152=K1152+2,201,250)))&amp;".1",""))</f>
        <v/>
      </c>
      <c r="F1152" s="0" t="str">
        <f aca="false">IF(I1152="","",IF(AND(J1152&gt;=1,J1152&lt;=K1152+3),"10."&amp;INDEX(Eingabe!$D$9:$D$18,I1152)&amp;"."&amp;IF(J1152&lt;=K1152,J1152,IF(J1152=K1152+1,200,IF(J1152=K1152+2,201,250)))&amp;".10 – 10."&amp;INDEX(Eingabe!$D$9:$D$18,I1152)&amp;"."&amp;IF(J1152&lt;=K1152,J1152,IF(J1152=K1152+1,200,IF(J1152=K1152+2,201,250)))&amp;".250",""))</f>
        <v/>
      </c>
      <c r="G1152" s="0" t="str">
        <f aca="false">IF(I1152="","",IF(AND(J1152&gt;=1,J1152&lt;=K1152),Eingabe!$B$6&amp;"-"&amp;INDEX(Eingabe!$C$9:$C$18,I1152)&amp;"-Pächter  ·  Passwort Parzelle "&amp;J1152,IF(J1152=K1152+1,Eingabe!$B$6&amp;"-"&amp;INDEX(Eingabe!$C$9:$C$18,I1152)&amp;"-Vorstand  ·  eigenes WLAN",IF(J1152=K1152+2,Eingabe!$B$6&amp;"-"&amp;INDEX(Eingabe!$C$9:$C$18,I1152)&amp;"-Gäste  ·  Voucher",IF(J1152=K1152+3,"Kabel  ·  Access Point y = .(50+y), Mast-Switch x = .(10+x)","")))))</f>
        <v/>
      </c>
      <c r="I1152" s="0" t="str">
        <f aca="false">IF(1147&lt;=(Eingabe!$P$18+Eingabe!$Q$18-1),MATCH(1147,Eingabe!$P$9:$P$18,1),"")</f>
        <v/>
      </c>
      <c r="J1152" s="0" t="str">
        <f aca="false">IF(I1152="","",1147-INDEX(Eingabe!$P$9:$P$18,I1152))</f>
        <v/>
      </c>
      <c r="K1152" s="0" t="str">
        <f aca="false">IF(I1152="","",INDEX(Eingabe!$E$9:$E$18,I1152))</f>
        <v/>
      </c>
    </row>
    <row r="1153" customFormat="false" ht="15" hidden="false" customHeight="false" outlineLevel="0" collapsed="false">
      <c r="A1153" s="0" t="str">
        <f aca="false">IF(I1153="","",IF(J1153=0,"Sparte "&amp;I1153&amp;": "&amp;INDEX(Eingabe!$B$9:$B$18,I1153)&amp;"  (Sparten-ID "&amp;INDEX(Eingabe!$D$9:$D$18,I1153)&amp;", "&amp;K1153&amp;" Parzellen)",IF(J1153&lt;=K1153,"   Parzelle "&amp;J1153,IF(J1153=K1153+1,"   Vorstand",IF(J1153=K1153+2,"   Gäste",IF(J1153=K1153+3,"   Technik (Switches, Access Points)",""))))))</f>
        <v/>
      </c>
      <c r="B1153" s="0" t="str">
        <f aca="false">IF(I1153="","",IF(AND(J1153&gt;=1,J1153&lt;=K1153+3),IF(J1153&lt;=K1153,IF(J1153&lt;=99,IF((INDEX(Eingabe!$G$9:$G$18,I1153))&lt;=9,1000+(INDEX(Eingabe!$G$9:$G$18,I1153))*100,3000)+J1153,IF((INDEX(Eingabe!$G$9:$G$18,I1153)+1)&lt;=9,1000+(INDEX(Eingabe!$G$9:$G$18,I1153)+1)*100,3000)+J1153-100),IF(J1153=K1153+1,2000+INDEX(Eingabe!$G$9:$G$18,I1153)*10+1,IF(J1153=K1153+2,2000+INDEX(Eingabe!$G$9:$G$18,I1153)*10+2,2000+INDEX(Eingabe!$G$9:$G$18,I1153)*10+9))),""))</f>
        <v/>
      </c>
      <c r="C1153" s="0" t="str">
        <f aca="false">IF(I1153="","",IF(AND(J1153&gt;=1,J1153&lt;=K1153+3),"10."&amp;INDEX(Eingabe!$D$9:$D$18,I1153)&amp;"."&amp;IF(J1153&lt;=K1153,J1153,IF(J1153=K1153+1,200,IF(J1153=K1153+2,201,250)))&amp;".0/24",""))</f>
        <v/>
      </c>
      <c r="D1153" s="0" t="str">
        <f aca="false">IF(I1153="","",IF(AND(J1153&gt;=1,J1153&lt;=K1153+3),"255.255.255.0",""))</f>
        <v/>
      </c>
      <c r="E1153" s="0" t="str">
        <f aca="false">IF(I1153="","",IF(AND(J1153&gt;=1,J1153&lt;=K1153+3),"10."&amp;INDEX(Eingabe!$D$9:$D$18,I1153)&amp;"."&amp;IF(J1153&lt;=K1153,J1153,IF(J1153=K1153+1,200,IF(J1153=K1153+2,201,250)))&amp;".1",""))</f>
        <v/>
      </c>
      <c r="F1153" s="0" t="str">
        <f aca="false">IF(I1153="","",IF(AND(J1153&gt;=1,J1153&lt;=K1153+3),"10."&amp;INDEX(Eingabe!$D$9:$D$18,I1153)&amp;"."&amp;IF(J1153&lt;=K1153,J1153,IF(J1153=K1153+1,200,IF(J1153=K1153+2,201,250)))&amp;".10 – 10."&amp;INDEX(Eingabe!$D$9:$D$18,I1153)&amp;"."&amp;IF(J1153&lt;=K1153,J1153,IF(J1153=K1153+1,200,IF(J1153=K1153+2,201,250)))&amp;".250",""))</f>
        <v/>
      </c>
      <c r="G1153" s="0" t="str">
        <f aca="false">IF(I1153="","",IF(AND(J1153&gt;=1,J1153&lt;=K1153),Eingabe!$B$6&amp;"-"&amp;INDEX(Eingabe!$C$9:$C$18,I1153)&amp;"-Pächter  ·  Passwort Parzelle "&amp;J1153,IF(J1153=K1153+1,Eingabe!$B$6&amp;"-"&amp;INDEX(Eingabe!$C$9:$C$18,I1153)&amp;"-Vorstand  ·  eigenes WLAN",IF(J1153=K1153+2,Eingabe!$B$6&amp;"-"&amp;INDEX(Eingabe!$C$9:$C$18,I1153)&amp;"-Gäste  ·  Voucher",IF(J1153=K1153+3,"Kabel  ·  Access Point y = .(50+y), Mast-Switch x = .(10+x)","")))))</f>
        <v/>
      </c>
      <c r="I1153" s="0" t="str">
        <f aca="false">IF(1148&lt;=(Eingabe!$P$18+Eingabe!$Q$18-1),MATCH(1148,Eingabe!$P$9:$P$18,1),"")</f>
        <v/>
      </c>
      <c r="J1153" s="0" t="str">
        <f aca="false">IF(I1153="","",1148-INDEX(Eingabe!$P$9:$P$18,I1153))</f>
        <v/>
      </c>
      <c r="K1153" s="0" t="str">
        <f aca="false">IF(I1153="","",INDEX(Eingabe!$E$9:$E$18,I1153))</f>
        <v/>
      </c>
    </row>
    <row r="1154" customFormat="false" ht="15" hidden="false" customHeight="false" outlineLevel="0" collapsed="false">
      <c r="A1154" s="0" t="str">
        <f aca="false">IF(I1154="","",IF(J1154=0,"Sparte "&amp;I1154&amp;": "&amp;INDEX(Eingabe!$B$9:$B$18,I1154)&amp;"  (Sparten-ID "&amp;INDEX(Eingabe!$D$9:$D$18,I1154)&amp;", "&amp;K1154&amp;" Parzellen)",IF(J1154&lt;=K1154,"   Parzelle "&amp;J1154,IF(J1154=K1154+1,"   Vorstand",IF(J1154=K1154+2,"   Gäste",IF(J1154=K1154+3,"   Technik (Switches, Access Points)",""))))))</f>
        <v/>
      </c>
      <c r="B1154" s="0" t="str">
        <f aca="false">IF(I1154="","",IF(AND(J1154&gt;=1,J1154&lt;=K1154+3),IF(J1154&lt;=K1154,IF(J1154&lt;=99,IF((INDEX(Eingabe!$G$9:$G$18,I1154))&lt;=9,1000+(INDEX(Eingabe!$G$9:$G$18,I1154))*100,3000)+J1154,IF((INDEX(Eingabe!$G$9:$G$18,I1154)+1)&lt;=9,1000+(INDEX(Eingabe!$G$9:$G$18,I1154)+1)*100,3000)+J1154-100),IF(J1154=K1154+1,2000+INDEX(Eingabe!$G$9:$G$18,I1154)*10+1,IF(J1154=K1154+2,2000+INDEX(Eingabe!$G$9:$G$18,I1154)*10+2,2000+INDEX(Eingabe!$G$9:$G$18,I1154)*10+9))),""))</f>
        <v/>
      </c>
      <c r="C1154" s="0" t="str">
        <f aca="false">IF(I1154="","",IF(AND(J1154&gt;=1,J1154&lt;=K1154+3),"10."&amp;INDEX(Eingabe!$D$9:$D$18,I1154)&amp;"."&amp;IF(J1154&lt;=K1154,J1154,IF(J1154=K1154+1,200,IF(J1154=K1154+2,201,250)))&amp;".0/24",""))</f>
        <v/>
      </c>
      <c r="D1154" s="0" t="str">
        <f aca="false">IF(I1154="","",IF(AND(J1154&gt;=1,J1154&lt;=K1154+3),"255.255.255.0",""))</f>
        <v/>
      </c>
      <c r="E1154" s="0" t="str">
        <f aca="false">IF(I1154="","",IF(AND(J1154&gt;=1,J1154&lt;=K1154+3),"10."&amp;INDEX(Eingabe!$D$9:$D$18,I1154)&amp;"."&amp;IF(J1154&lt;=K1154,J1154,IF(J1154=K1154+1,200,IF(J1154=K1154+2,201,250)))&amp;".1",""))</f>
        <v/>
      </c>
      <c r="F1154" s="0" t="str">
        <f aca="false">IF(I1154="","",IF(AND(J1154&gt;=1,J1154&lt;=K1154+3),"10."&amp;INDEX(Eingabe!$D$9:$D$18,I1154)&amp;"."&amp;IF(J1154&lt;=K1154,J1154,IF(J1154=K1154+1,200,IF(J1154=K1154+2,201,250)))&amp;".10 – 10."&amp;INDEX(Eingabe!$D$9:$D$18,I1154)&amp;"."&amp;IF(J1154&lt;=K1154,J1154,IF(J1154=K1154+1,200,IF(J1154=K1154+2,201,250)))&amp;".250",""))</f>
        <v/>
      </c>
      <c r="G1154" s="0" t="str">
        <f aca="false">IF(I1154="","",IF(AND(J1154&gt;=1,J1154&lt;=K1154),Eingabe!$B$6&amp;"-"&amp;INDEX(Eingabe!$C$9:$C$18,I1154)&amp;"-Pächter  ·  Passwort Parzelle "&amp;J1154,IF(J1154=K1154+1,Eingabe!$B$6&amp;"-"&amp;INDEX(Eingabe!$C$9:$C$18,I1154)&amp;"-Vorstand  ·  eigenes WLAN",IF(J1154=K1154+2,Eingabe!$B$6&amp;"-"&amp;INDEX(Eingabe!$C$9:$C$18,I1154)&amp;"-Gäste  ·  Voucher",IF(J1154=K1154+3,"Kabel  ·  Access Point y = .(50+y), Mast-Switch x = .(10+x)","")))))</f>
        <v/>
      </c>
      <c r="I1154" s="0" t="str">
        <f aca="false">IF(1149&lt;=(Eingabe!$P$18+Eingabe!$Q$18-1),MATCH(1149,Eingabe!$P$9:$P$18,1),"")</f>
        <v/>
      </c>
      <c r="J1154" s="0" t="str">
        <f aca="false">IF(I1154="","",1149-INDEX(Eingabe!$P$9:$P$18,I1154))</f>
        <v/>
      </c>
      <c r="K1154" s="0" t="str">
        <f aca="false">IF(I1154="","",INDEX(Eingabe!$E$9:$E$18,I1154))</f>
        <v/>
      </c>
    </row>
    <row r="1155" customFormat="false" ht="15" hidden="false" customHeight="false" outlineLevel="0" collapsed="false">
      <c r="A1155" s="0" t="str">
        <f aca="false">IF(I1155="","",IF(J1155=0,"Sparte "&amp;I1155&amp;": "&amp;INDEX(Eingabe!$B$9:$B$18,I1155)&amp;"  (Sparten-ID "&amp;INDEX(Eingabe!$D$9:$D$18,I1155)&amp;", "&amp;K1155&amp;" Parzellen)",IF(J1155&lt;=K1155,"   Parzelle "&amp;J1155,IF(J1155=K1155+1,"   Vorstand",IF(J1155=K1155+2,"   Gäste",IF(J1155=K1155+3,"   Technik (Switches, Access Points)",""))))))</f>
        <v/>
      </c>
      <c r="B1155" s="0" t="str">
        <f aca="false">IF(I1155="","",IF(AND(J1155&gt;=1,J1155&lt;=K1155+3),IF(J1155&lt;=K1155,IF(J1155&lt;=99,IF((INDEX(Eingabe!$G$9:$G$18,I1155))&lt;=9,1000+(INDEX(Eingabe!$G$9:$G$18,I1155))*100,3000)+J1155,IF((INDEX(Eingabe!$G$9:$G$18,I1155)+1)&lt;=9,1000+(INDEX(Eingabe!$G$9:$G$18,I1155)+1)*100,3000)+J1155-100),IF(J1155=K1155+1,2000+INDEX(Eingabe!$G$9:$G$18,I1155)*10+1,IF(J1155=K1155+2,2000+INDEX(Eingabe!$G$9:$G$18,I1155)*10+2,2000+INDEX(Eingabe!$G$9:$G$18,I1155)*10+9))),""))</f>
        <v/>
      </c>
      <c r="C1155" s="0" t="str">
        <f aca="false">IF(I1155="","",IF(AND(J1155&gt;=1,J1155&lt;=K1155+3),"10."&amp;INDEX(Eingabe!$D$9:$D$18,I1155)&amp;"."&amp;IF(J1155&lt;=K1155,J1155,IF(J1155=K1155+1,200,IF(J1155=K1155+2,201,250)))&amp;".0/24",""))</f>
        <v/>
      </c>
      <c r="D1155" s="0" t="str">
        <f aca="false">IF(I1155="","",IF(AND(J1155&gt;=1,J1155&lt;=K1155+3),"255.255.255.0",""))</f>
        <v/>
      </c>
      <c r="E1155" s="0" t="str">
        <f aca="false">IF(I1155="","",IF(AND(J1155&gt;=1,J1155&lt;=K1155+3),"10."&amp;INDEX(Eingabe!$D$9:$D$18,I1155)&amp;"."&amp;IF(J1155&lt;=K1155,J1155,IF(J1155=K1155+1,200,IF(J1155=K1155+2,201,250)))&amp;".1",""))</f>
        <v/>
      </c>
      <c r="F1155" s="0" t="str">
        <f aca="false">IF(I1155="","",IF(AND(J1155&gt;=1,J1155&lt;=K1155+3),"10."&amp;INDEX(Eingabe!$D$9:$D$18,I1155)&amp;"."&amp;IF(J1155&lt;=K1155,J1155,IF(J1155=K1155+1,200,IF(J1155=K1155+2,201,250)))&amp;".10 – 10."&amp;INDEX(Eingabe!$D$9:$D$18,I1155)&amp;"."&amp;IF(J1155&lt;=K1155,J1155,IF(J1155=K1155+1,200,IF(J1155=K1155+2,201,250)))&amp;".250",""))</f>
        <v/>
      </c>
      <c r="G1155" s="0" t="str">
        <f aca="false">IF(I1155="","",IF(AND(J1155&gt;=1,J1155&lt;=K1155),Eingabe!$B$6&amp;"-"&amp;INDEX(Eingabe!$C$9:$C$18,I1155)&amp;"-Pächter  ·  Passwort Parzelle "&amp;J1155,IF(J1155=K1155+1,Eingabe!$B$6&amp;"-"&amp;INDEX(Eingabe!$C$9:$C$18,I1155)&amp;"-Vorstand  ·  eigenes WLAN",IF(J1155=K1155+2,Eingabe!$B$6&amp;"-"&amp;INDEX(Eingabe!$C$9:$C$18,I1155)&amp;"-Gäste  ·  Voucher",IF(J1155=K1155+3,"Kabel  ·  Access Point y = .(50+y), Mast-Switch x = .(10+x)","")))))</f>
        <v/>
      </c>
      <c r="I1155" s="0" t="str">
        <f aca="false">IF(1150&lt;=(Eingabe!$P$18+Eingabe!$Q$18-1),MATCH(1150,Eingabe!$P$9:$P$18,1),"")</f>
        <v/>
      </c>
      <c r="J1155" s="0" t="str">
        <f aca="false">IF(I1155="","",1150-INDEX(Eingabe!$P$9:$P$18,I1155))</f>
        <v/>
      </c>
      <c r="K1155" s="0" t="str">
        <f aca="false">IF(I1155="","",INDEX(Eingabe!$E$9:$E$18,I1155))</f>
        <v/>
      </c>
    </row>
    <row r="1156" customFormat="false" ht="15" hidden="false" customHeight="false" outlineLevel="0" collapsed="false">
      <c r="A1156" s="0" t="str">
        <f aca="false">IF(I1156="","",IF(J1156=0,"Sparte "&amp;I1156&amp;": "&amp;INDEX(Eingabe!$B$9:$B$18,I1156)&amp;"  (Sparten-ID "&amp;INDEX(Eingabe!$D$9:$D$18,I1156)&amp;", "&amp;K1156&amp;" Parzellen)",IF(J1156&lt;=K1156,"   Parzelle "&amp;J1156,IF(J1156=K1156+1,"   Vorstand",IF(J1156=K1156+2,"   Gäste",IF(J1156=K1156+3,"   Technik (Switches, Access Points)",""))))))</f>
        <v/>
      </c>
      <c r="B1156" s="0" t="str">
        <f aca="false">IF(I1156="","",IF(AND(J1156&gt;=1,J1156&lt;=K1156+3),IF(J1156&lt;=K1156,IF(J1156&lt;=99,IF((INDEX(Eingabe!$G$9:$G$18,I1156))&lt;=9,1000+(INDEX(Eingabe!$G$9:$G$18,I1156))*100,3000)+J1156,IF((INDEX(Eingabe!$G$9:$G$18,I1156)+1)&lt;=9,1000+(INDEX(Eingabe!$G$9:$G$18,I1156)+1)*100,3000)+J1156-100),IF(J1156=K1156+1,2000+INDEX(Eingabe!$G$9:$G$18,I1156)*10+1,IF(J1156=K1156+2,2000+INDEX(Eingabe!$G$9:$G$18,I1156)*10+2,2000+INDEX(Eingabe!$G$9:$G$18,I1156)*10+9))),""))</f>
        <v/>
      </c>
      <c r="C1156" s="0" t="str">
        <f aca="false">IF(I1156="","",IF(AND(J1156&gt;=1,J1156&lt;=K1156+3),"10."&amp;INDEX(Eingabe!$D$9:$D$18,I1156)&amp;"."&amp;IF(J1156&lt;=K1156,J1156,IF(J1156=K1156+1,200,IF(J1156=K1156+2,201,250)))&amp;".0/24",""))</f>
        <v/>
      </c>
      <c r="D1156" s="0" t="str">
        <f aca="false">IF(I1156="","",IF(AND(J1156&gt;=1,J1156&lt;=K1156+3),"255.255.255.0",""))</f>
        <v/>
      </c>
      <c r="E1156" s="0" t="str">
        <f aca="false">IF(I1156="","",IF(AND(J1156&gt;=1,J1156&lt;=K1156+3),"10."&amp;INDEX(Eingabe!$D$9:$D$18,I1156)&amp;"."&amp;IF(J1156&lt;=K1156,J1156,IF(J1156=K1156+1,200,IF(J1156=K1156+2,201,250)))&amp;".1",""))</f>
        <v/>
      </c>
      <c r="F1156" s="0" t="str">
        <f aca="false">IF(I1156="","",IF(AND(J1156&gt;=1,J1156&lt;=K1156+3),"10."&amp;INDEX(Eingabe!$D$9:$D$18,I1156)&amp;"."&amp;IF(J1156&lt;=K1156,J1156,IF(J1156=K1156+1,200,IF(J1156=K1156+2,201,250)))&amp;".10 – 10."&amp;INDEX(Eingabe!$D$9:$D$18,I1156)&amp;"."&amp;IF(J1156&lt;=K1156,J1156,IF(J1156=K1156+1,200,IF(J1156=K1156+2,201,250)))&amp;".250",""))</f>
        <v/>
      </c>
      <c r="G1156" s="0" t="str">
        <f aca="false">IF(I1156="","",IF(AND(J1156&gt;=1,J1156&lt;=K1156),Eingabe!$B$6&amp;"-"&amp;INDEX(Eingabe!$C$9:$C$18,I1156)&amp;"-Pächter  ·  Passwort Parzelle "&amp;J1156,IF(J1156=K1156+1,Eingabe!$B$6&amp;"-"&amp;INDEX(Eingabe!$C$9:$C$18,I1156)&amp;"-Vorstand  ·  eigenes WLAN",IF(J1156=K1156+2,Eingabe!$B$6&amp;"-"&amp;INDEX(Eingabe!$C$9:$C$18,I1156)&amp;"-Gäste  ·  Voucher",IF(J1156=K1156+3,"Kabel  ·  Access Point y = .(50+y), Mast-Switch x = .(10+x)","")))))</f>
        <v/>
      </c>
      <c r="I1156" s="0" t="str">
        <f aca="false">IF(1151&lt;=(Eingabe!$P$18+Eingabe!$Q$18-1),MATCH(1151,Eingabe!$P$9:$P$18,1),"")</f>
        <v/>
      </c>
      <c r="J1156" s="0" t="str">
        <f aca="false">IF(I1156="","",1151-INDEX(Eingabe!$P$9:$P$18,I1156))</f>
        <v/>
      </c>
      <c r="K1156" s="0" t="str">
        <f aca="false">IF(I1156="","",INDEX(Eingabe!$E$9:$E$18,I1156))</f>
        <v/>
      </c>
    </row>
    <row r="1157" customFormat="false" ht="15" hidden="false" customHeight="false" outlineLevel="0" collapsed="false">
      <c r="A1157" s="0" t="str">
        <f aca="false">IF(I1157="","",IF(J1157=0,"Sparte "&amp;I1157&amp;": "&amp;INDEX(Eingabe!$B$9:$B$18,I1157)&amp;"  (Sparten-ID "&amp;INDEX(Eingabe!$D$9:$D$18,I1157)&amp;", "&amp;K1157&amp;" Parzellen)",IF(J1157&lt;=K1157,"   Parzelle "&amp;J1157,IF(J1157=K1157+1,"   Vorstand",IF(J1157=K1157+2,"   Gäste",IF(J1157=K1157+3,"   Technik (Switches, Access Points)",""))))))</f>
        <v/>
      </c>
      <c r="B1157" s="0" t="str">
        <f aca="false">IF(I1157="","",IF(AND(J1157&gt;=1,J1157&lt;=K1157+3),IF(J1157&lt;=K1157,IF(J1157&lt;=99,IF((INDEX(Eingabe!$G$9:$G$18,I1157))&lt;=9,1000+(INDEX(Eingabe!$G$9:$G$18,I1157))*100,3000)+J1157,IF((INDEX(Eingabe!$G$9:$G$18,I1157)+1)&lt;=9,1000+(INDEX(Eingabe!$G$9:$G$18,I1157)+1)*100,3000)+J1157-100),IF(J1157=K1157+1,2000+INDEX(Eingabe!$G$9:$G$18,I1157)*10+1,IF(J1157=K1157+2,2000+INDEX(Eingabe!$G$9:$G$18,I1157)*10+2,2000+INDEX(Eingabe!$G$9:$G$18,I1157)*10+9))),""))</f>
        <v/>
      </c>
      <c r="C1157" s="0" t="str">
        <f aca="false">IF(I1157="","",IF(AND(J1157&gt;=1,J1157&lt;=K1157+3),"10."&amp;INDEX(Eingabe!$D$9:$D$18,I1157)&amp;"."&amp;IF(J1157&lt;=K1157,J1157,IF(J1157=K1157+1,200,IF(J1157=K1157+2,201,250)))&amp;".0/24",""))</f>
        <v/>
      </c>
      <c r="D1157" s="0" t="str">
        <f aca="false">IF(I1157="","",IF(AND(J1157&gt;=1,J1157&lt;=K1157+3),"255.255.255.0",""))</f>
        <v/>
      </c>
      <c r="E1157" s="0" t="str">
        <f aca="false">IF(I1157="","",IF(AND(J1157&gt;=1,J1157&lt;=K1157+3),"10."&amp;INDEX(Eingabe!$D$9:$D$18,I1157)&amp;"."&amp;IF(J1157&lt;=K1157,J1157,IF(J1157=K1157+1,200,IF(J1157=K1157+2,201,250)))&amp;".1",""))</f>
        <v/>
      </c>
      <c r="F1157" s="0" t="str">
        <f aca="false">IF(I1157="","",IF(AND(J1157&gt;=1,J1157&lt;=K1157+3),"10."&amp;INDEX(Eingabe!$D$9:$D$18,I1157)&amp;"."&amp;IF(J1157&lt;=K1157,J1157,IF(J1157=K1157+1,200,IF(J1157=K1157+2,201,250)))&amp;".10 – 10."&amp;INDEX(Eingabe!$D$9:$D$18,I1157)&amp;"."&amp;IF(J1157&lt;=K1157,J1157,IF(J1157=K1157+1,200,IF(J1157=K1157+2,201,250)))&amp;".250",""))</f>
        <v/>
      </c>
      <c r="G1157" s="0" t="str">
        <f aca="false">IF(I1157="","",IF(AND(J1157&gt;=1,J1157&lt;=K1157),Eingabe!$B$6&amp;"-"&amp;INDEX(Eingabe!$C$9:$C$18,I1157)&amp;"-Pächter  ·  Passwort Parzelle "&amp;J1157,IF(J1157=K1157+1,Eingabe!$B$6&amp;"-"&amp;INDEX(Eingabe!$C$9:$C$18,I1157)&amp;"-Vorstand  ·  eigenes WLAN",IF(J1157=K1157+2,Eingabe!$B$6&amp;"-"&amp;INDEX(Eingabe!$C$9:$C$18,I1157)&amp;"-Gäste  ·  Voucher",IF(J1157=K1157+3,"Kabel  ·  Access Point y = .(50+y), Mast-Switch x = .(10+x)","")))))</f>
        <v/>
      </c>
      <c r="I1157" s="0" t="str">
        <f aca="false">IF(1152&lt;=(Eingabe!$P$18+Eingabe!$Q$18-1),MATCH(1152,Eingabe!$P$9:$P$18,1),"")</f>
        <v/>
      </c>
      <c r="J1157" s="0" t="str">
        <f aca="false">IF(I1157="","",1152-INDEX(Eingabe!$P$9:$P$18,I1157))</f>
        <v/>
      </c>
      <c r="K1157" s="0" t="str">
        <f aca="false">IF(I1157="","",INDEX(Eingabe!$E$9:$E$18,I1157))</f>
        <v/>
      </c>
    </row>
    <row r="1158" customFormat="false" ht="15" hidden="false" customHeight="false" outlineLevel="0" collapsed="false">
      <c r="A1158" s="0" t="str">
        <f aca="false">IF(I1158="","",IF(J1158=0,"Sparte "&amp;I1158&amp;": "&amp;INDEX(Eingabe!$B$9:$B$18,I1158)&amp;"  (Sparten-ID "&amp;INDEX(Eingabe!$D$9:$D$18,I1158)&amp;", "&amp;K1158&amp;" Parzellen)",IF(J1158&lt;=K1158,"   Parzelle "&amp;J1158,IF(J1158=K1158+1,"   Vorstand",IF(J1158=K1158+2,"   Gäste",IF(J1158=K1158+3,"   Technik (Switches, Access Points)",""))))))</f>
        <v/>
      </c>
      <c r="B1158" s="0" t="str">
        <f aca="false">IF(I1158="","",IF(AND(J1158&gt;=1,J1158&lt;=K1158+3),IF(J1158&lt;=K1158,IF(J1158&lt;=99,IF((INDEX(Eingabe!$G$9:$G$18,I1158))&lt;=9,1000+(INDEX(Eingabe!$G$9:$G$18,I1158))*100,3000)+J1158,IF((INDEX(Eingabe!$G$9:$G$18,I1158)+1)&lt;=9,1000+(INDEX(Eingabe!$G$9:$G$18,I1158)+1)*100,3000)+J1158-100),IF(J1158=K1158+1,2000+INDEX(Eingabe!$G$9:$G$18,I1158)*10+1,IF(J1158=K1158+2,2000+INDEX(Eingabe!$G$9:$G$18,I1158)*10+2,2000+INDEX(Eingabe!$G$9:$G$18,I1158)*10+9))),""))</f>
        <v/>
      </c>
      <c r="C1158" s="0" t="str">
        <f aca="false">IF(I1158="","",IF(AND(J1158&gt;=1,J1158&lt;=K1158+3),"10."&amp;INDEX(Eingabe!$D$9:$D$18,I1158)&amp;"."&amp;IF(J1158&lt;=K1158,J1158,IF(J1158=K1158+1,200,IF(J1158=K1158+2,201,250)))&amp;".0/24",""))</f>
        <v/>
      </c>
      <c r="D1158" s="0" t="str">
        <f aca="false">IF(I1158="","",IF(AND(J1158&gt;=1,J1158&lt;=K1158+3),"255.255.255.0",""))</f>
        <v/>
      </c>
      <c r="E1158" s="0" t="str">
        <f aca="false">IF(I1158="","",IF(AND(J1158&gt;=1,J1158&lt;=K1158+3),"10."&amp;INDEX(Eingabe!$D$9:$D$18,I1158)&amp;"."&amp;IF(J1158&lt;=K1158,J1158,IF(J1158=K1158+1,200,IF(J1158=K1158+2,201,250)))&amp;".1",""))</f>
        <v/>
      </c>
      <c r="F1158" s="0" t="str">
        <f aca="false">IF(I1158="","",IF(AND(J1158&gt;=1,J1158&lt;=K1158+3),"10."&amp;INDEX(Eingabe!$D$9:$D$18,I1158)&amp;"."&amp;IF(J1158&lt;=K1158,J1158,IF(J1158=K1158+1,200,IF(J1158=K1158+2,201,250)))&amp;".10 – 10."&amp;INDEX(Eingabe!$D$9:$D$18,I1158)&amp;"."&amp;IF(J1158&lt;=K1158,J1158,IF(J1158=K1158+1,200,IF(J1158=K1158+2,201,250)))&amp;".250",""))</f>
        <v/>
      </c>
      <c r="G1158" s="0" t="str">
        <f aca="false">IF(I1158="","",IF(AND(J1158&gt;=1,J1158&lt;=K1158),Eingabe!$B$6&amp;"-"&amp;INDEX(Eingabe!$C$9:$C$18,I1158)&amp;"-Pächter  ·  Passwort Parzelle "&amp;J1158,IF(J1158=K1158+1,Eingabe!$B$6&amp;"-"&amp;INDEX(Eingabe!$C$9:$C$18,I1158)&amp;"-Vorstand  ·  eigenes WLAN",IF(J1158=K1158+2,Eingabe!$B$6&amp;"-"&amp;INDEX(Eingabe!$C$9:$C$18,I1158)&amp;"-Gäste  ·  Voucher",IF(J1158=K1158+3,"Kabel  ·  Access Point y = .(50+y), Mast-Switch x = .(10+x)","")))))</f>
        <v/>
      </c>
      <c r="I1158" s="0" t="str">
        <f aca="false">IF(1153&lt;=(Eingabe!$P$18+Eingabe!$Q$18-1),MATCH(1153,Eingabe!$P$9:$P$18,1),"")</f>
        <v/>
      </c>
      <c r="J1158" s="0" t="str">
        <f aca="false">IF(I1158="","",1153-INDEX(Eingabe!$P$9:$P$18,I1158))</f>
        <v/>
      </c>
      <c r="K1158" s="0" t="str">
        <f aca="false">IF(I1158="","",INDEX(Eingabe!$E$9:$E$18,I1158))</f>
        <v/>
      </c>
    </row>
    <row r="1159" customFormat="false" ht="15" hidden="false" customHeight="false" outlineLevel="0" collapsed="false">
      <c r="A1159" s="0" t="str">
        <f aca="false">IF(I1159="","",IF(J1159=0,"Sparte "&amp;I1159&amp;": "&amp;INDEX(Eingabe!$B$9:$B$18,I1159)&amp;"  (Sparten-ID "&amp;INDEX(Eingabe!$D$9:$D$18,I1159)&amp;", "&amp;K1159&amp;" Parzellen)",IF(J1159&lt;=K1159,"   Parzelle "&amp;J1159,IF(J1159=K1159+1,"   Vorstand",IF(J1159=K1159+2,"   Gäste",IF(J1159=K1159+3,"   Technik (Switches, Access Points)",""))))))</f>
        <v/>
      </c>
      <c r="B1159" s="0" t="str">
        <f aca="false">IF(I1159="","",IF(AND(J1159&gt;=1,J1159&lt;=K1159+3),IF(J1159&lt;=K1159,IF(J1159&lt;=99,IF((INDEX(Eingabe!$G$9:$G$18,I1159))&lt;=9,1000+(INDEX(Eingabe!$G$9:$G$18,I1159))*100,3000)+J1159,IF((INDEX(Eingabe!$G$9:$G$18,I1159)+1)&lt;=9,1000+(INDEX(Eingabe!$G$9:$G$18,I1159)+1)*100,3000)+J1159-100),IF(J1159=K1159+1,2000+INDEX(Eingabe!$G$9:$G$18,I1159)*10+1,IF(J1159=K1159+2,2000+INDEX(Eingabe!$G$9:$G$18,I1159)*10+2,2000+INDEX(Eingabe!$G$9:$G$18,I1159)*10+9))),""))</f>
        <v/>
      </c>
      <c r="C1159" s="0" t="str">
        <f aca="false">IF(I1159="","",IF(AND(J1159&gt;=1,J1159&lt;=K1159+3),"10."&amp;INDEX(Eingabe!$D$9:$D$18,I1159)&amp;"."&amp;IF(J1159&lt;=K1159,J1159,IF(J1159=K1159+1,200,IF(J1159=K1159+2,201,250)))&amp;".0/24",""))</f>
        <v/>
      </c>
      <c r="D1159" s="0" t="str">
        <f aca="false">IF(I1159="","",IF(AND(J1159&gt;=1,J1159&lt;=K1159+3),"255.255.255.0",""))</f>
        <v/>
      </c>
      <c r="E1159" s="0" t="str">
        <f aca="false">IF(I1159="","",IF(AND(J1159&gt;=1,J1159&lt;=K1159+3),"10."&amp;INDEX(Eingabe!$D$9:$D$18,I1159)&amp;"."&amp;IF(J1159&lt;=K1159,J1159,IF(J1159=K1159+1,200,IF(J1159=K1159+2,201,250)))&amp;".1",""))</f>
        <v/>
      </c>
      <c r="F1159" s="0" t="str">
        <f aca="false">IF(I1159="","",IF(AND(J1159&gt;=1,J1159&lt;=K1159+3),"10."&amp;INDEX(Eingabe!$D$9:$D$18,I1159)&amp;"."&amp;IF(J1159&lt;=K1159,J1159,IF(J1159=K1159+1,200,IF(J1159=K1159+2,201,250)))&amp;".10 – 10."&amp;INDEX(Eingabe!$D$9:$D$18,I1159)&amp;"."&amp;IF(J1159&lt;=K1159,J1159,IF(J1159=K1159+1,200,IF(J1159=K1159+2,201,250)))&amp;".250",""))</f>
        <v/>
      </c>
      <c r="G1159" s="0" t="str">
        <f aca="false">IF(I1159="","",IF(AND(J1159&gt;=1,J1159&lt;=K1159),Eingabe!$B$6&amp;"-"&amp;INDEX(Eingabe!$C$9:$C$18,I1159)&amp;"-Pächter  ·  Passwort Parzelle "&amp;J1159,IF(J1159=K1159+1,Eingabe!$B$6&amp;"-"&amp;INDEX(Eingabe!$C$9:$C$18,I1159)&amp;"-Vorstand  ·  eigenes WLAN",IF(J1159=K1159+2,Eingabe!$B$6&amp;"-"&amp;INDEX(Eingabe!$C$9:$C$18,I1159)&amp;"-Gäste  ·  Voucher",IF(J1159=K1159+3,"Kabel  ·  Access Point y = .(50+y), Mast-Switch x = .(10+x)","")))))</f>
        <v/>
      </c>
      <c r="I1159" s="0" t="str">
        <f aca="false">IF(1154&lt;=(Eingabe!$P$18+Eingabe!$Q$18-1),MATCH(1154,Eingabe!$P$9:$P$18,1),"")</f>
        <v/>
      </c>
      <c r="J1159" s="0" t="str">
        <f aca="false">IF(I1159="","",1154-INDEX(Eingabe!$P$9:$P$18,I1159))</f>
        <v/>
      </c>
      <c r="K1159" s="0" t="str">
        <f aca="false">IF(I1159="","",INDEX(Eingabe!$E$9:$E$18,I1159))</f>
        <v/>
      </c>
    </row>
    <row r="1160" customFormat="false" ht="15" hidden="false" customHeight="false" outlineLevel="0" collapsed="false">
      <c r="A1160" s="0" t="str">
        <f aca="false">IF(I1160="","",IF(J1160=0,"Sparte "&amp;I1160&amp;": "&amp;INDEX(Eingabe!$B$9:$B$18,I1160)&amp;"  (Sparten-ID "&amp;INDEX(Eingabe!$D$9:$D$18,I1160)&amp;", "&amp;K1160&amp;" Parzellen)",IF(J1160&lt;=K1160,"   Parzelle "&amp;J1160,IF(J1160=K1160+1,"   Vorstand",IF(J1160=K1160+2,"   Gäste",IF(J1160=K1160+3,"   Technik (Switches, Access Points)",""))))))</f>
        <v/>
      </c>
      <c r="B1160" s="0" t="str">
        <f aca="false">IF(I1160="","",IF(AND(J1160&gt;=1,J1160&lt;=K1160+3),IF(J1160&lt;=K1160,IF(J1160&lt;=99,IF((INDEX(Eingabe!$G$9:$G$18,I1160))&lt;=9,1000+(INDEX(Eingabe!$G$9:$G$18,I1160))*100,3000)+J1160,IF((INDEX(Eingabe!$G$9:$G$18,I1160)+1)&lt;=9,1000+(INDEX(Eingabe!$G$9:$G$18,I1160)+1)*100,3000)+J1160-100),IF(J1160=K1160+1,2000+INDEX(Eingabe!$G$9:$G$18,I1160)*10+1,IF(J1160=K1160+2,2000+INDEX(Eingabe!$G$9:$G$18,I1160)*10+2,2000+INDEX(Eingabe!$G$9:$G$18,I1160)*10+9))),""))</f>
        <v/>
      </c>
      <c r="C1160" s="0" t="str">
        <f aca="false">IF(I1160="","",IF(AND(J1160&gt;=1,J1160&lt;=K1160+3),"10."&amp;INDEX(Eingabe!$D$9:$D$18,I1160)&amp;"."&amp;IF(J1160&lt;=K1160,J1160,IF(J1160=K1160+1,200,IF(J1160=K1160+2,201,250)))&amp;".0/24",""))</f>
        <v/>
      </c>
      <c r="D1160" s="0" t="str">
        <f aca="false">IF(I1160="","",IF(AND(J1160&gt;=1,J1160&lt;=K1160+3),"255.255.255.0",""))</f>
        <v/>
      </c>
      <c r="E1160" s="0" t="str">
        <f aca="false">IF(I1160="","",IF(AND(J1160&gt;=1,J1160&lt;=K1160+3),"10."&amp;INDEX(Eingabe!$D$9:$D$18,I1160)&amp;"."&amp;IF(J1160&lt;=K1160,J1160,IF(J1160=K1160+1,200,IF(J1160=K1160+2,201,250)))&amp;".1",""))</f>
        <v/>
      </c>
      <c r="F1160" s="0" t="str">
        <f aca="false">IF(I1160="","",IF(AND(J1160&gt;=1,J1160&lt;=K1160+3),"10."&amp;INDEX(Eingabe!$D$9:$D$18,I1160)&amp;"."&amp;IF(J1160&lt;=K1160,J1160,IF(J1160=K1160+1,200,IF(J1160=K1160+2,201,250)))&amp;".10 – 10."&amp;INDEX(Eingabe!$D$9:$D$18,I1160)&amp;"."&amp;IF(J1160&lt;=K1160,J1160,IF(J1160=K1160+1,200,IF(J1160=K1160+2,201,250)))&amp;".250",""))</f>
        <v/>
      </c>
      <c r="G1160" s="0" t="str">
        <f aca="false">IF(I1160="","",IF(AND(J1160&gt;=1,J1160&lt;=K1160),Eingabe!$B$6&amp;"-"&amp;INDEX(Eingabe!$C$9:$C$18,I1160)&amp;"-Pächter  ·  Passwort Parzelle "&amp;J1160,IF(J1160=K1160+1,Eingabe!$B$6&amp;"-"&amp;INDEX(Eingabe!$C$9:$C$18,I1160)&amp;"-Vorstand  ·  eigenes WLAN",IF(J1160=K1160+2,Eingabe!$B$6&amp;"-"&amp;INDEX(Eingabe!$C$9:$C$18,I1160)&amp;"-Gäste  ·  Voucher",IF(J1160=K1160+3,"Kabel  ·  Access Point y = .(50+y), Mast-Switch x = .(10+x)","")))))</f>
        <v/>
      </c>
      <c r="I1160" s="0" t="str">
        <f aca="false">IF(1155&lt;=(Eingabe!$P$18+Eingabe!$Q$18-1),MATCH(1155,Eingabe!$P$9:$P$18,1),"")</f>
        <v/>
      </c>
      <c r="J1160" s="0" t="str">
        <f aca="false">IF(I1160="","",1155-INDEX(Eingabe!$P$9:$P$18,I1160))</f>
        <v/>
      </c>
      <c r="K1160" s="0" t="str">
        <f aca="false">IF(I1160="","",INDEX(Eingabe!$E$9:$E$18,I1160))</f>
        <v/>
      </c>
    </row>
    <row r="1161" customFormat="false" ht="15" hidden="false" customHeight="false" outlineLevel="0" collapsed="false">
      <c r="A1161" s="0" t="str">
        <f aca="false">IF(I1161="","",IF(J1161=0,"Sparte "&amp;I1161&amp;": "&amp;INDEX(Eingabe!$B$9:$B$18,I1161)&amp;"  (Sparten-ID "&amp;INDEX(Eingabe!$D$9:$D$18,I1161)&amp;", "&amp;K1161&amp;" Parzellen)",IF(J1161&lt;=K1161,"   Parzelle "&amp;J1161,IF(J1161=K1161+1,"   Vorstand",IF(J1161=K1161+2,"   Gäste",IF(J1161=K1161+3,"   Technik (Switches, Access Points)",""))))))</f>
        <v/>
      </c>
      <c r="B1161" s="0" t="str">
        <f aca="false">IF(I1161="","",IF(AND(J1161&gt;=1,J1161&lt;=K1161+3),IF(J1161&lt;=K1161,IF(J1161&lt;=99,IF((INDEX(Eingabe!$G$9:$G$18,I1161))&lt;=9,1000+(INDEX(Eingabe!$G$9:$G$18,I1161))*100,3000)+J1161,IF((INDEX(Eingabe!$G$9:$G$18,I1161)+1)&lt;=9,1000+(INDEX(Eingabe!$G$9:$G$18,I1161)+1)*100,3000)+J1161-100),IF(J1161=K1161+1,2000+INDEX(Eingabe!$G$9:$G$18,I1161)*10+1,IF(J1161=K1161+2,2000+INDEX(Eingabe!$G$9:$G$18,I1161)*10+2,2000+INDEX(Eingabe!$G$9:$G$18,I1161)*10+9))),""))</f>
        <v/>
      </c>
      <c r="C1161" s="0" t="str">
        <f aca="false">IF(I1161="","",IF(AND(J1161&gt;=1,J1161&lt;=K1161+3),"10."&amp;INDEX(Eingabe!$D$9:$D$18,I1161)&amp;"."&amp;IF(J1161&lt;=K1161,J1161,IF(J1161=K1161+1,200,IF(J1161=K1161+2,201,250)))&amp;".0/24",""))</f>
        <v/>
      </c>
      <c r="D1161" s="0" t="str">
        <f aca="false">IF(I1161="","",IF(AND(J1161&gt;=1,J1161&lt;=K1161+3),"255.255.255.0",""))</f>
        <v/>
      </c>
      <c r="E1161" s="0" t="str">
        <f aca="false">IF(I1161="","",IF(AND(J1161&gt;=1,J1161&lt;=K1161+3),"10."&amp;INDEX(Eingabe!$D$9:$D$18,I1161)&amp;"."&amp;IF(J1161&lt;=K1161,J1161,IF(J1161=K1161+1,200,IF(J1161=K1161+2,201,250)))&amp;".1",""))</f>
        <v/>
      </c>
      <c r="F1161" s="0" t="str">
        <f aca="false">IF(I1161="","",IF(AND(J1161&gt;=1,J1161&lt;=K1161+3),"10."&amp;INDEX(Eingabe!$D$9:$D$18,I1161)&amp;"."&amp;IF(J1161&lt;=K1161,J1161,IF(J1161=K1161+1,200,IF(J1161=K1161+2,201,250)))&amp;".10 – 10."&amp;INDEX(Eingabe!$D$9:$D$18,I1161)&amp;"."&amp;IF(J1161&lt;=K1161,J1161,IF(J1161=K1161+1,200,IF(J1161=K1161+2,201,250)))&amp;".250",""))</f>
        <v/>
      </c>
      <c r="G1161" s="0" t="str">
        <f aca="false">IF(I1161="","",IF(AND(J1161&gt;=1,J1161&lt;=K1161),Eingabe!$B$6&amp;"-"&amp;INDEX(Eingabe!$C$9:$C$18,I1161)&amp;"-Pächter  ·  Passwort Parzelle "&amp;J1161,IF(J1161=K1161+1,Eingabe!$B$6&amp;"-"&amp;INDEX(Eingabe!$C$9:$C$18,I1161)&amp;"-Vorstand  ·  eigenes WLAN",IF(J1161=K1161+2,Eingabe!$B$6&amp;"-"&amp;INDEX(Eingabe!$C$9:$C$18,I1161)&amp;"-Gäste  ·  Voucher",IF(J1161=K1161+3,"Kabel  ·  Access Point y = .(50+y), Mast-Switch x = .(10+x)","")))))</f>
        <v/>
      </c>
      <c r="I1161" s="0" t="str">
        <f aca="false">IF(1156&lt;=(Eingabe!$P$18+Eingabe!$Q$18-1),MATCH(1156,Eingabe!$P$9:$P$18,1),"")</f>
        <v/>
      </c>
      <c r="J1161" s="0" t="str">
        <f aca="false">IF(I1161="","",1156-INDEX(Eingabe!$P$9:$P$18,I1161))</f>
        <v/>
      </c>
      <c r="K1161" s="0" t="str">
        <f aca="false">IF(I1161="","",INDEX(Eingabe!$E$9:$E$18,I1161))</f>
        <v/>
      </c>
    </row>
    <row r="1162" customFormat="false" ht="15" hidden="false" customHeight="false" outlineLevel="0" collapsed="false">
      <c r="A1162" s="0" t="str">
        <f aca="false">IF(I1162="","",IF(J1162=0,"Sparte "&amp;I1162&amp;": "&amp;INDEX(Eingabe!$B$9:$B$18,I1162)&amp;"  (Sparten-ID "&amp;INDEX(Eingabe!$D$9:$D$18,I1162)&amp;", "&amp;K1162&amp;" Parzellen)",IF(J1162&lt;=K1162,"   Parzelle "&amp;J1162,IF(J1162=K1162+1,"   Vorstand",IF(J1162=K1162+2,"   Gäste",IF(J1162=K1162+3,"   Technik (Switches, Access Points)",""))))))</f>
        <v/>
      </c>
      <c r="B1162" s="0" t="str">
        <f aca="false">IF(I1162="","",IF(AND(J1162&gt;=1,J1162&lt;=K1162+3),IF(J1162&lt;=K1162,IF(J1162&lt;=99,IF((INDEX(Eingabe!$G$9:$G$18,I1162))&lt;=9,1000+(INDEX(Eingabe!$G$9:$G$18,I1162))*100,3000)+J1162,IF((INDEX(Eingabe!$G$9:$G$18,I1162)+1)&lt;=9,1000+(INDEX(Eingabe!$G$9:$G$18,I1162)+1)*100,3000)+J1162-100),IF(J1162=K1162+1,2000+INDEX(Eingabe!$G$9:$G$18,I1162)*10+1,IF(J1162=K1162+2,2000+INDEX(Eingabe!$G$9:$G$18,I1162)*10+2,2000+INDEX(Eingabe!$G$9:$G$18,I1162)*10+9))),""))</f>
        <v/>
      </c>
      <c r="C1162" s="0" t="str">
        <f aca="false">IF(I1162="","",IF(AND(J1162&gt;=1,J1162&lt;=K1162+3),"10."&amp;INDEX(Eingabe!$D$9:$D$18,I1162)&amp;"."&amp;IF(J1162&lt;=K1162,J1162,IF(J1162=K1162+1,200,IF(J1162=K1162+2,201,250)))&amp;".0/24",""))</f>
        <v/>
      </c>
      <c r="D1162" s="0" t="str">
        <f aca="false">IF(I1162="","",IF(AND(J1162&gt;=1,J1162&lt;=K1162+3),"255.255.255.0",""))</f>
        <v/>
      </c>
      <c r="E1162" s="0" t="str">
        <f aca="false">IF(I1162="","",IF(AND(J1162&gt;=1,J1162&lt;=K1162+3),"10."&amp;INDEX(Eingabe!$D$9:$D$18,I1162)&amp;"."&amp;IF(J1162&lt;=K1162,J1162,IF(J1162=K1162+1,200,IF(J1162=K1162+2,201,250)))&amp;".1",""))</f>
        <v/>
      </c>
      <c r="F1162" s="0" t="str">
        <f aca="false">IF(I1162="","",IF(AND(J1162&gt;=1,J1162&lt;=K1162+3),"10."&amp;INDEX(Eingabe!$D$9:$D$18,I1162)&amp;"."&amp;IF(J1162&lt;=K1162,J1162,IF(J1162=K1162+1,200,IF(J1162=K1162+2,201,250)))&amp;".10 – 10."&amp;INDEX(Eingabe!$D$9:$D$18,I1162)&amp;"."&amp;IF(J1162&lt;=K1162,J1162,IF(J1162=K1162+1,200,IF(J1162=K1162+2,201,250)))&amp;".250",""))</f>
        <v/>
      </c>
      <c r="G1162" s="0" t="str">
        <f aca="false">IF(I1162="","",IF(AND(J1162&gt;=1,J1162&lt;=K1162),Eingabe!$B$6&amp;"-"&amp;INDEX(Eingabe!$C$9:$C$18,I1162)&amp;"-Pächter  ·  Passwort Parzelle "&amp;J1162,IF(J1162=K1162+1,Eingabe!$B$6&amp;"-"&amp;INDEX(Eingabe!$C$9:$C$18,I1162)&amp;"-Vorstand  ·  eigenes WLAN",IF(J1162=K1162+2,Eingabe!$B$6&amp;"-"&amp;INDEX(Eingabe!$C$9:$C$18,I1162)&amp;"-Gäste  ·  Voucher",IF(J1162=K1162+3,"Kabel  ·  Access Point y = .(50+y), Mast-Switch x = .(10+x)","")))))</f>
        <v/>
      </c>
      <c r="I1162" s="0" t="str">
        <f aca="false">IF(1157&lt;=(Eingabe!$P$18+Eingabe!$Q$18-1),MATCH(1157,Eingabe!$P$9:$P$18,1),"")</f>
        <v/>
      </c>
      <c r="J1162" s="0" t="str">
        <f aca="false">IF(I1162="","",1157-INDEX(Eingabe!$P$9:$P$18,I1162))</f>
        <v/>
      </c>
      <c r="K1162" s="0" t="str">
        <f aca="false">IF(I1162="","",INDEX(Eingabe!$E$9:$E$18,I1162))</f>
        <v/>
      </c>
    </row>
    <row r="1163" customFormat="false" ht="15" hidden="false" customHeight="false" outlineLevel="0" collapsed="false">
      <c r="A1163" s="0" t="str">
        <f aca="false">IF(I1163="","",IF(J1163=0,"Sparte "&amp;I1163&amp;": "&amp;INDEX(Eingabe!$B$9:$B$18,I1163)&amp;"  (Sparten-ID "&amp;INDEX(Eingabe!$D$9:$D$18,I1163)&amp;", "&amp;K1163&amp;" Parzellen)",IF(J1163&lt;=K1163,"   Parzelle "&amp;J1163,IF(J1163=K1163+1,"   Vorstand",IF(J1163=K1163+2,"   Gäste",IF(J1163=K1163+3,"   Technik (Switches, Access Points)",""))))))</f>
        <v/>
      </c>
      <c r="B1163" s="0" t="str">
        <f aca="false">IF(I1163="","",IF(AND(J1163&gt;=1,J1163&lt;=K1163+3),IF(J1163&lt;=K1163,IF(J1163&lt;=99,IF((INDEX(Eingabe!$G$9:$G$18,I1163))&lt;=9,1000+(INDEX(Eingabe!$G$9:$G$18,I1163))*100,3000)+J1163,IF((INDEX(Eingabe!$G$9:$G$18,I1163)+1)&lt;=9,1000+(INDEX(Eingabe!$G$9:$G$18,I1163)+1)*100,3000)+J1163-100),IF(J1163=K1163+1,2000+INDEX(Eingabe!$G$9:$G$18,I1163)*10+1,IF(J1163=K1163+2,2000+INDEX(Eingabe!$G$9:$G$18,I1163)*10+2,2000+INDEX(Eingabe!$G$9:$G$18,I1163)*10+9))),""))</f>
        <v/>
      </c>
      <c r="C1163" s="0" t="str">
        <f aca="false">IF(I1163="","",IF(AND(J1163&gt;=1,J1163&lt;=K1163+3),"10."&amp;INDEX(Eingabe!$D$9:$D$18,I1163)&amp;"."&amp;IF(J1163&lt;=K1163,J1163,IF(J1163=K1163+1,200,IF(J1163=K1163+2,201,250)))&amp;".0/24",""))</f>
        <v/>
      </c>
      <c r="D1163" s="0" t="str">
        <f aca="false">IF(I1163="","",IF(AND(J1163&gt;=1,J1163&lt;=K1163+3),"255.255.255.0",""))</f>
        <v/>
      </c>
      <c r="E1163" s="0" t="str">
        <f aca="false">IF(I1163="","",IF(AND(J1163&gt;=1,J1163&lt;=K1163+3),"10."&amp;INDEX(Eingabe!$D$9:$D$18,I1163)&amp;"."&amp;IF(J1163&lt;=K1163,J1163,IF(J1163=K1163+1,200,IF(J1163=K1163+2,201,250)))&amp;".1",""))</f>
        <v/>
      </c>
      <c r="F1163" s="0" t="str">
        <f aca="false">IF(I1163="","",IF(AND(J1163&gt;=1,J1163&lt;=K1163+3),"10."&amp;INDEX(Eingabe!$D$9:$D$18,I1163)&amp;"."&amp;IF(J1163&lt;=K1163,J1163,IF(J1163=K1163+1,200,IF(J1163=K1163+2,201,250)))&amp;".10 – 10."&amp;INDEX(Eingabe!$D$9:$D$18,I1163)&amp;"."&amp;IF(J1163&lt;=K1163,J1163,IF(J1163=K1163+1,200,IF(J1163=K1163+2,201,250)))&amp;".250",""))</f>
        <v/>
      </c>
      <c r="G1163" s="0" t="str">
        <f aca="false">IF(I1163="","",IF(AND(J1163&gt;=1,J1163&lt;=K1163),Eingabe!$B$6&amp;"-"&amp;INDEX(Eingabe!$C$9:$C$18,I1163)&amp;"-Pächter  ·  Passwort Parzelle "&amp;J1163,IF(J1163=K1163+1,Eingabe!$B$6&amp;"-"&amp;INDEX(Eingabe!$C$9:$C$18,I1163)&amp;"-Vorstand  ·  eigenes WLAN",IF(J1163=K1163+2,Eingabe!$B$6&amp;"-"&amp;INDEX(Eingabe!$C$9:$C$18,I1163)&amp;"-Gäste  ·  Voucher",IF(J1163=K1163+3,"Kabel  ·  Access Point y = .(50+y), Mast-Switch x = .(10+x)","")))))</f>
        <v/>
      </c>
      <c r="I1163" s="0" t="str">
        <f aca="false">IF(1158&lt;=(Eingabe!$P$18+Eingabe!$Q$18-1),MATCH(1158,Eingabe!$P$9:$P$18,1),"")</f>
        <v/>
      </c>
      <c r="J1163" s="0" t="str">
        <f aca="false">IF(I1163="","",1158-INDEX(Eingabe!$P$9:$P$18,I1163))</f>
        <v/>
      </c>
      <c r="K1163" s="0" t="str">
        <f aca="false">IF(I1163="","",INDEX(Eingabe!$E$9:$E$18,I1163))</f>
        <v/>
      </c>
    </row>
    <row r="1164" customFormat="false" ht="15" hidden="false" customHeight="false" outlineLevel="0" collapsed="false">
      <c r="A1164" s="0" t="str">
        <f aca="false">IF(I1164="","",IF(J1164=0,"Sparte "&amp;I1164&amp;": "&amp;INDEX(Eingabe!$B$9:$B$18,I1164)&amp;"  (Sparten-ID "&amp;INDEX(Eingabe!$D$9:$D$18,I1164)&amp;", "&amp;K1164&amp;" Parzellen)",IF(J1164&lt;=K1164,"   Parzelle "&amp;J1164,IF(J1164=K1164+1,"   Vorstand",IF(J1164=K1164+2,"   Gäste",IF(J1164=K1164+3,"   Technik (Switches, Access Points)",""))))))</f>
        <v/>
      </c>
      <c r="B1164" s="0" t="str">
        <f aca="false">IF(I1164="","",IF(AND(J1164&gt;=1,J1164&lt;=K1164+3),IF(J1164&lt;=K1164,IF(J1164&lt;=99,IF((INDEX(Eingabe!$G$9:$G$18,I1164))&lt;=9,1000+(INDEX(Eingabe!$G$9:$G$18,I1164))*100,3000)+J1164,IF((INDEX(Eingabe!$G$9:$G$18,I1164)+1)&lt;=9,1000+(INDEX(Eingabe!$G$9:$G$18,I1164)+1)*100,3000)+J1164-100),IF(J1164=K1164+1,2000+INDEX(Eingabe!$G$9:$G$18,I1164)*10+1,IF(J1164=K1164+2,2000+INDEX(Eingabe!$G$9:$G$18,I1164)*10+2,2000+INDEX(Eingabe!$G$9:$G$18,I1164)*10+9))),""))</f>
        <v/>
      </c>
      <c r="C1164" s="0" t="str">
        <f aca="false">IF(I1164="","",IF(AND(J1164&gt;=1,J1164&lt;=K1164+3),"10."&amp;INDEX(Eingabe!$D$9:$D$18,I1164)&amp;"."&amp;IF(J1164&lt;=K1164,J1164,IF(J1164=K1164+1,200,IF(J1164=K1164+2,201,250)))&amp;".0/24",""))</f>
        <v/>
      </c>
      <c r="D1164" s="0" t="str">
        <f aca="false">IF(I1164="","",IF(AND(J1164&gt;=1,J1164&lt;=K1164+3),"255.255.255.0",""))</f>
        <v/>
      </c>
      <c r="E1164" s="0" t="str">
        <f aca="false">IF(I1164="","",IF(AND(J1164&gt;=1,J1164&lt;=K1164+3),"10."&amp;INDEX(Eingabe!$D$9:$D$18,I1164)&amp;"."&amp;IF(J1164&lt;=K1164,J1164,IF(J1164=K1164+1,200,IF(J1164=K1164+2,201,250)))&amp;".1",""))</f>
        <v/>
      </c>
      <c r="F1164" s="0" t="str">
        <f aca="false">IF(I1164="","",IF(AND(J1164&gt;=1,J1164&lt;=K1164+3),"10."&amp;INDEX(Eingabe!$D$9:$D$18,I1164)&amp;"."&amp;IF(J1164&lt;=K1164,J1164,IF(J1164=K1164+1,200,IF(J1164=K1164+2,201,250)))&amp;".10 – 10."&amp;INDEX(Eingabe!$D$9:$D$18,I1164)&amp;"."&amp;IF(J1164&lt;=K1164,J1164,IF(J1164=K1164+1,200,IF(J1164=K1164+2,201,250)))&amp;".250",""))</f>
        <v/>
      </c>
      <c r="G1164" s="0" t="str">
        <f aca="false">IF(I1164="","",IF(AND(J1164&gt;=1,J1164&lt;=K1164),Eingabe!$B$6&amp;"-"&amp;INDEX(Eingabe!$C$9:$C$18,I1164)&amp;"-Pächter  ·  Passwort Parzelle "&amp;J1164,IF(J1164=K1164+1,Eingabe!$B$6&amp;"-"&amp;INDEX(Eingabe!$C$9:$C$18,I1164)&amp;"-Vorstand  ·  eigenes WLAN",IF(J1164=K1164+2,Eingabe!$B$6&amp;"-"&amp;INDEX(Eingabe!$C$9:$C$18,I1164)&amp;"-Gäste  ·  Voucher",IF(J1164=K1164+3,"Kabel  ·  Access Point y = .(50+y), Mast-Switch x = .(10+x)","")))))</f>
        <v/>
      </c>
      <c r="I1164" s="0" t="str">
        <f aca="false">IF(1159&lt;=(Eingabe!$P$18+Eingabe!$Q$18-1),MATCH(1159,Eingabe!$P$9:$P$18,1),"")</f>
        <v/>
      </c>
      <c r="J1164" s="0" t="str">
        <f aca="false">IF(I1164="","",1159-INDEX(Eingabe!$P$9:$P$18,I1164))</f>
        <v/>
      </c>
      <c r="K1164" s="0" t="str">
        <f aca="false">IF(I1164="","",INDEX(Eingabe!$E$9:$E$18,I1164))</f>
        <v/>
      </c>
    </row>
    <row r="1165" customFormat="false" ht="15" hidden="false" customHeight="false" outlineLevel="0" collapsed="false">
      <c r="A1165" s="0" t="str">
        <f aca="false">IF(I1165="","",IF(J1165=0,"Sparte "&amp;I1165&amp;": "&amp;INDEX(Eingabe!$B$9:$B$18,I1165)&amp;"  (Sparten-ID "&amp;INDEX(Eingabe!$D$9:$D$18,I1165)&amp;", "&amp;K1165&amp;" Parzellen)",IF(J1165&lt;=K1165,"   Parzelle "&amp;J1165,IF(J1165=K1165+1,"   Vorstand",IF(J1165=K1165+2,"   Gäste",IF(J1165=K1165+3,"   Technik (Switches, Access Points)",""))))))</f>
        <v/>
      </c>
      <c r="B1165" s="0" t="str">
        <f aca="false">IF(I1165="","",IF(AND(J1165&gt;=1,J1165&lt;=K1165+3),IF(J1165&lt;=K1165,IF(J1165&lt;=99,IF((INDEX(Eingabe!$G$9:$G$18,I1165))&lt;=9,1000+(INDEX(Eingabe!$G$9:$G$18,I1165))*100,3000)+J1165,IF((INDEX(Eingabe!$G$9:$G$18,I1165)+1)&lt;=9,1000+(INDEX(Eingabe!$G$9:$G$18,I1165)+1)*100,3000)+J1165-100),IF(J1165=K1165+1,2000+INDEX(Eingabe!$G$9:$G$18,I1165)*10+1,IF(J1165=K1165+2,2000+INDEX(Eingabe!$G$9:$G$18,I1165)*10+2,2000+INDEX(Eingabe!$G$9:$G$18,I1165)*10+9))),""))</f>
        <v/>
      </c>
      <c r="C1165" s="0" t="str">
        <f aca="false">IF(I1165="","",IF(AND(J1165&gt;=1,J1165&lt;=K1165+3),"10."&amp;INDEX(Eingabe!$D$9:$D$18,I1165)&amp;"."&amp;IF(J1165&lt;=K1165,J1165,IF(J1165=K1165+1,200,IF(J1165=K1165+2,201,250)))&amp;".0/24",""))</f>
        <v/>
      </c>
      <c r="D1165" s="0" t="str">
        <f aca="false">IF(I1165="","",IF(AND(J1165&gt;=1,J1165&lt;=K1165+3),"255.255.255.0",""))</f>
        <v/>
      </c>
      <c r="E1165" s="0" t="str">
        <f aca="false">IF(I1165="","",IF(AND(J1165&gt;=1,J1165&lt;=K1165+3),"10."&amp;INDEX(Eingabe!$D$9:$D$18,I1165)&amp;"."&amp;IF(J1165&lt;=K1165,J1165,IF(J1165=K1165+1,200,IF(J1165=K1165+2,201,250)))&amp;".1",""))</f>
        <v/>
      </c>
      <c r="F1165" s="0" t="str">
        <f aca="false">IF(I1165="","",IF(AND(J1165&gt;=1,J1165&lt;=K1165+3),"10."&amp;INDEX(Eingabe!$D$9:$D$18,I1165)&amp;"."&amp;IF(J1165&lt;=K1165,J1165,IF(J1165=K1165+1,200,IF(J1165=K1165+2,201,250)))&amp;".10 – 10."&amp;INDEX(Eingabe!$D$9:$D$18,I1165)&amp;"."&amp;IF(J1165&lt;=K1165,J1165,IF(J1165=K1165+1,200,IF(J1165=K1165+2,201,250)))&amp;".250",""))</f>
        <v/>
      </c>
      <c r="G1165" s="0" t="str">
        <f aca="false">IF(I1165="","",IF(AND(J1165&gt;=1,J1165&lt;=K1165),Eingabe!$B$6&amp;"-"&amp;INDEX(Eingabe!$C$9:$C$18,I1165)&amp;"-Pächter  ·  Passwort Parzelle "&amp;J1165,IF(J1165=K1165+1,Eingabe!$B$6&amp;"-"&amp;INDEX(Eingabe!$C$9:$C$18,I1165)&amp;"-Vorstand  ·  eigenes WLAN",IF(J1165=K1165+2,Eingabe!$B$6&amp;"-"&amp;INDEX(Eingabe!$C$9:$C$18,I1165)&amp;"-Gäste  ·  Voucher",IF(J1165=K1165+3,"Kabel  ·  Access Point y = .(50+y), Mast-Switch x = .(10+x)","")))))</f>
        <v/>
      </c>
      <c r="I1165" s="0" t="str">
        <f aca="false">IF(1160&lt;=(Eingabe!$P$18+Eingabe!$Q$18-1),MATCH(1160,Eingabe!$P$9:$P$18,1),"")</f>
        <v/>
      </c>
      <c r="J1165" s="0" t="str">
        <f aca="false">IF(I1165="","",1160-INDEX(Eingabe!$P$9:$P$18,I1165))</f>
        <v/>
      </c>
      <c r="K1165" s="0" t="str">
        <f aca="false">IF(I1165="","",INDEX(Eingabe!$E$9:$E$18,I1165))</f>
        <v/>
      </c>
    </row>
    <row r="1166" customFormat="false" ht="15" hidden="false" customHeight="false" outlineLevel="0" collapsed="false">
      <c r="A1166" s="0" t="str">
        <f aca="false">IF(I1166="","",IF(J1166=0,"Sparte "&amp;I1166&amp;": "&amp;INDEX(Eingabe!$B$9:$B$18,I1166)&amp;"  (Sparten-ID "&amp;INDEX(Eingabe!$D$9:$D$18,I1166)&amp;", "&amp;K1166&amp;" Parzellen)",IF(J1166&lt;=K1166,"   Parzelle "&amp;J1166,IF(J1166=K1166+1,"   Vorstand",IF(J1166=K1166+2,"   Gäste",IF(J1166=K1166+3,"   Technik (Switches, Access Points)",""))))))</f>
        <v/>
      </c>
      <c r="B1166" s="0" t="str">
        <f aca="false">IF(I1166="","",IF(AND(J1166&gt;=1,J1166&lt;=K1166+3),IF(J1166&lt;=K1166,IF(J1166&lt;=99,IF((INDEX(Eingabe!$G$9:$G$18,I1166))&lt;=9,1000+(INDEX(Eingabe!$G$9:$G$18,I1166))*100,3000)+J1166,IF((INDEX(Eingabe!$G$9:$G$18,I1166)+1)&lt;=9,1000+(INDEX(Eingabe!$G$9:$G$18,I1166)+1)*100,3000)+J1166-100),IF(J1166=K1166+1,2000+INDEX(Eingabe!$G$9:$G$18,I1166)*10+1,IF(J1166=K1166+2,2000+INDEX(Eingabe!$G$9:$G$18,I1166)*10+2,2000+INDEX(Eingabe!$G$9:$G$18,I1166)*10+9))),""))</f>
        <v/>
      </c>
      <c r="C1166" s="0" t="str">
        <f aca="false">IF(I1166="","",IF(AND(J1166&gt;=1,J1166&lt;=K1166+3),"10."&amp;INDEX(Eingabe!$D$9:$D$18,I1166)&amp;"."&amp;IF(J1166&lt;=K1166,J1166,IF(J1166=K1166+1,200,IF(J1166=K1166+2,201,250)))&amp;".0/24",""))</f>
        <v/>
      </c>
      <c r="D1166" s="0" t="str">
        <f aca="false">IF(I1166="","",IF(AND(J1166&gt;=1,J1166&lt;=K1166+3),"255.255.255.0",""))</f>
        <v/>
      </c>
      <c r="E1166" s="0" t="str">
        <f aca="false">IF(I1166="","",IF(AND(J1166&gt;=1,J1166&lt;=K1166+3),"10."&amp;INDEX(Eingabe!$D$9:$D$18,I1166)&amp;"."&amp;IF(J1166&lt;=K1166,J1166,IF(J1166=K1166+1,200,IF(J1166=K1166+2,201,250)))&amp;".1",""))</f>
        <v/>
      </c>
      <c r="F1166" s="0" t="str">
        <f aca="false">IF(I1166="","",IF(AND(J1166&gt;=1,J1166&lt;=K1166+3),"10."&amp;INDEX(Eingabe!$D$9:$D$18,I1166)&amp;"."&amp;IF(J1166&lt;=K1166,J1166,IF(J1166=K1166+1,200,IF(J1166=K1166+2,201,250)))&amp;".10 – 10."&amp;INDEX(Eingabe!$D$9:$D$18,I1166)&amp;"."&amp;IF(J1166&lt;=K1166,J1166,IF(J1166=K1166+1,200,IF(J1166=K1166+2,201,250)))&amp;".250",""))</f>
        <v/>
      </c>
      <c r="G1166" s="0" t="str">
        <f aca="false">IF(I1166="","",IF(AND(J1166&gt;=1,J1166&lt;=K1166),Eingabe!$B$6&amp;"-"&amp;INDEX(Eingabe!$C$9:$C$18,I1166)&amp;"-Pächter  ·  Passwort Parzelle "&amp;J1166,IF(J1166=K1166+1,Eingabe!$B$6&amp;"-"&amp;INDEX(Eingabe!$C$9:$C$18,I1166)&amp;"-Vorstand  ·  eigenes WLAN",IF(J1166=K1166+2,Eingabe!$B$6&amp;"-"&amp;INDEX(Eingabe!$C$9:$C$18,I1166)&amp;"-Gäste  ·  Voucher",IF(J1166=K1166+3,"Kabel  ·  Access Point y = .(50+y), Mast-Switch x = .(10+x)","")))))</f>
        <v/>
      </c>
      <c r="I1166" s="0" t="str">
        <f aca="false">IF(1161&lt;=(Eingabe!$P$18+Eingabe!$Q$18-1),MATCH(1161,Eingabe!$P$9:$P$18,1),"")</f>
        <v/>
      </c>
      <c r="J1166" s="0" t="str">
        <f aca="false">IF(I1166="","",1161-INDEX(Eingabe!$P$9:$P$18,I1166))</f>
        <v/>
      </c>
      <c r="K1166" s="0" t="str">
        <f aca="false">IF(I1166="","",INDEX(Eingabe!$E$9:$E$18,I1166))</f>
        <v/>
      </c>
    </row>
    <row r="1167" customFormat="false" ht="15" hidden="false" customHeight="false" outlineLevel="0" collapsed="false">
      <c r="A1167" s="0" t="str">
        <f aca="false">IF(I1167="","",IF(J1167=0,"Sparte "&amp;I1167&amp;": "&amp;INDEX(Eingabe!$B$9:$B$18,I1167)&amp;"  (Sparten-ID "&amp;INDEX(Eingabe!$D$9:$D$18,I1167)&amp;", "&amp;K1167&amp;" Parzellen)",IF(J1167&lt;=K1167,"   Parzelle "&amp;J1167,IF(J1167=K1167+1,"   Vorstand",IF(J1167=K1167+2,"   Gäste",IF(J1167=K1167+3,"   Technik (Switches, Access Points)",""))))))</f>
        <v/>
      </c>
      <c r="B1167" s="0" t="str">
        <f aca="false">IF(I1167="","",IF(AND(J1167&gt;=1,J1167&lt;=K1167+3),IF(J1167&lt;=K1167,IF(J1167&lt;=99,IF((INDEX(Eingabe!$G$9:$G$18,I1167))&lt;=9,1000+(INDEX(Eingabe!$G$9:$G$18,I1167))*100,3000)+J1167,IF((INDEX(Eingabe!$G$9:$G$18,I1167)+1)&lt;=9,1000+(INDEX(Eingabe!$G$9:$G$18,I1167)+1)*100,3000)+J1167-100),IF(J1167=K1167+1,2000+INDEX(Eingabe!$G$9:$G$18,I1167)*10+1,IF(J1167=K1167+2,2000+INDEX(Eingabe!$G$9:$G$18,I1167)*10+2,2000+INDEX(Eingabe!$G$9:$G$18,I1167)*10+9))),""))</f>
        <v/>
      </c>
      <c r="C1167" s="0" t="str">
        <f aca="false">IF(I1167="","",IF(AND(J1167&gt;=1,J1167&lt;=K1167+3),"10."&amp;INDEX(Eingabe!$D$9:$D$18,I1167)&amp;"."&amp;IF(J1167&lt;=K1167,J1167,IF(J1167=K1167+1,200,IF(J1167=K1167+2,201,250)))&amp;".0/24",""))</f>
        <v/>
      </c>
      <c r="D1167" s="0" t="str">
        <f aca="false">IF(I1167="","",IF(AND(J1167&gt;=1,J1167&lt;=K1167+3),"255.255.255.0",""))</f>
        <v/>
      </c>
      <c r="E1167" s="0" t="str">
        <f aca="false">IF(I1167="","",IF(AND(J1167&gt;=1,J1167&lt;=K1167+3),"10."&amp;INDEX(Eingabe!$D$9:$D$18,I1167)&amp;"."&amp;IF(J1167&lt;=K1167,J1167,IF(J1167=K1167+1,200,IF(J1167=K1167+2,201,250)))&amp;".1",""))</f>
        <v/>
      </c>
      <c r="F1167" s="0" t="str">
        <f aca="false">IF(I1167="","",IF(AND(J1167&gt;=1,J1167&lt;=K1167+3),"10."&amp;INDEX(Eingabe!$D$9:$D$18,I1167)&amp;"."&amp;IF(J1167&lt;=K1167,J1167,IF(J1167=K1167+1,200,IF(J1167=K1167+2,201,250)))&amp;".10 – 10."&amp;INDEX(Eingabe!$D$9:$D$18,I1167)&amp;"."&amp;IF(J1167&lt;=K1167,J1167,IF(J1167=K1167+1,200,IF(J1167=K1167+2,201,250)))&amp;".250",""))</f>
        <v/>
      </c>
      <c r="G1167" s="0" t="str">
        <f aca="false">IF(I1167="","",IF(AND(J1167&gt;=1,J1167&lt;=K1167),Eingabe!$B$6&amp;"-"&amp;INDEX(Eingabe!$C$9:$C$18,I1167)&amp;"-Pächter  ·  Passwort Parzelle "&amp;J1167,IF(J1167=K1167+1,Eingabe!$B$6&amp;"-"&amp;INDEX(Eingabe!$C$9:$C$18,I1167)&amp;"-Vorstand  ·  eigenes WLAN",IF(J1167=K1167+2,Eingabe!$B$6&amp;"-"&amp;INDEX(Eingabe!$C$9:$C$18,I1167)&amp;"-Gäste  ·  Voucher",IF(J1167=K1167+3,"Kabel  ·  Access Point y = .(50+y), Mast-Switch x = .(10+x)","")))))</f>
        <v/>
      </c>
      <c r="I1167" s="0" t="str">
        <f aca="false">IF(1162&lt;=(Eingabe!$P$18+Eingabe!$Q$18-1),MATCH(1162,Eingabe!$P$9:$P$18,1),"")</f>
        <v/>
      </c>
      <c r="J1167" s="0" t="str">
        <f aca="false">IF(I1167="","",1162-INDEX(Eingabe!$P$9:$P$18,I1167))</f>
        <v/>
      </c>
      <c r="K1167" s="0" t="str">
        <f aca="false">IF(I1167="","",INDEX(Eingabe!$E$9:$E$18,I1167))</f>
        <v/>
      </c>
    </row>
    <row r="1168" customFormat="false" ht="15" hidden="false" customHeight="false" outlineLevel="0" collapsed="false">
      <c r="A1168" s="0" t="str">
        <f aca="false">IF(I1168="","",IF(J1168=0,"Sparte "&amp;I1168&amp;": "&amp;INDEX(Eingabe!$B$9:$B$18,I1168)&amp;"  (Sparten-ID "&amp;INDEX(Eingabe!$D$9:$D$18,I1168)&amp;", "&amp;K1168&amp;" Parzellen)",IF(J1168&lt;=K1168,"   Parzelle "&amp;J1168,IF(J1168=K1168+1,"   Vorstand",IF(J1168=K1168+2,"   Gäste",IF(J1168=K1168+3,"   Technik (Switches, Access Points)",""))))))</f>
        <v/>
      </c>
      <c r="B1168" s="0" t="str">
        <f aca="false">IF(I1168="","",IF(AND(J1168&gt;=1,J1168&lt;=K1168+3),IF(J1168&lt;=K1168,IF(J1168&lt;=99,IF((INDEX(Eingabe!$G$9:$G$18,I1168))&lt;=9,1000+(INDEX(Eingabe!$G$9:$G$18,I1168))*100,3000)+J1168,IF((INDEX(Eingabe!$G$9:$G$18,I1168)+1)&lt;=9,1000+(INDEX(Eingabe!$G$9:$G$18,I1168)+1)*100,3000)+J1168-100),IF(J1168=K1168+1,2000+INDEX(Eingabe!$G$9:$G$18,I1168)*10+1,IF(J1168=K1168+2,2000+INDEX(Eingabe!$G$9:$G$18,I1168)*10+2,2000+INDEX(Eingabe!$G$9:$G$18,I1168)*10+9))),""))</f>
        <v/>
      </c>
      <c r="C1168" s="0" t="str">
        <f aca="false">IF(I1168="","",IF(AND(J1168&gt;=1,J1168&lt;=K1168+3),"10."&amp;INDEX(Eingabe!$D$9:$D$18,I1168)&amp;"."&amp;IF(J1168&lt;=K1168,J1168,IF(J1168=K1168+1,200,IF(J1168=K1168+2,201,250)))&amp;".0/24",""))</f>
        <v/>
      </c>
      <c r="D1168" s="0" t="str">
        <f aca="false">IF(I1168="","",IF(AND(J1168&gt;=1,J1168&lt;=K1168+3),"255.255.255.0",""))</f>
        <v/>
      </c>
      <c r="E1168" s="0" t="str">
        <f aca="false">IF(I1168="","",IF(AND(J1168&gt;=1,J1168&lt;=K1168+3),"10."&amp;INDEX(Eingabe!$D$9:$D$18,I1168)&amp;"."&amp;IF(J1168&lt;=K1168,J1168,IF(J1168=K1168+1,200,IF(J1168=K1168+2,201,250)))&amp;".1",""))</f>
        <v/>
      </c>
      <c r="F1168" s="0" t="str">
        <f aca="false">IF(I1168="","",IF(AND(J1168&gt;=1,J1168&lt;=K1168+3),"10."&amp;INDEX(Eingabe!$D$9:$D$18,I1168)&amp;"."&amp;IF(J1168&lt;=K1168,J1168,IF(J1168=K1168+1,200,IF(J1168=K1168+2,201,250)))&amp;".10 – 10."&amp;INDEX(Eingabe!$D$9:$D$18,I1168)&amp;"."&amp;IF(J1168&lt;=K1168,J1168,IF(J1168=K1168+1,200,IF(J1168=K1168+2,201,250)))&amp;".250",""))</f>
        <v/>
      </c>
      <c r="G1168" s="0" t="str">
        <f aca="false">IF(I1168="","",IF(AND(J1168&gt;=1,J1168&lt;=K1168),Eingabe!$B$6&amp;"-"&amp;INDEX(Eingabe!$C$9:$C$18,I1168)&amp;"-Pächter  ·  Passwort Parzelle "&amp;J1168,IF(J1168=K1168+1,Eingabe!$B$6&amp;"-"&amp;INDEX(Eingabe!$C$9:$C$18,I1168)&amp;"-Vorstand  ·  eigenes WLAN",IF(J1168=K1168+2,Eingabe!$B$6&amp;"-"&amp;INDEX(Eingabe!$C$9:$C$18,I1168)&amp;"-Gäste  ·  Voucher",IF(J1168=K1168+3,"Kabel  ·  Access Point y = .(50+y), Mast-Switch x = .(10+x)","")))))</f>
        <v/>
      </c>
      <c r="I1168" s="0" t="str">
        <f aca="false">IF(1163&lt;=(Eingabe!$P$18+Eingabe!$Q$18-1),MATCH(1163,Eingabe!$P$9:$P$18,1),"")</f>
        <v/>
      </c>
      <c r="J1168" s="0" t="str">
        <f aca="false">IF(I1168="","",1163-INDEX(Eingabe!$P$9:$P$18,I1168))</f>
        <v/>
      </c>
      <c r="K1168" s="0" t="str">
        <f aca="false">IF(I1168="","",INDEX(Eingabe!$E$9:$E$18,I1168))</f>
        <v/>
      </c>
    </row>
    <row r="1169" customFormat="false" ht="15" hidden="false" customHeight="false" outlineLevel="0" collapsed="false">
      <c r="A1169" s="0" t="str">
        <f aca="false">IF(I1169="","",IF(J1169=0,"Sparte "&amp;I1169&amp;": "&amp;INDEX(Eingabe!$B$9:$B$18,I1169)&amp;"  (Sparten-ID "&amp;INDEX(Eingabe!$D$9:$D$18,I1169)&amp;", "&amp;K1169&amp;" Parzellen)",IF(J1169&lt;=K1169,"   Parzelle "&amp;J1169,IF(J1169=K1169+1,"   Vorstand",IF(J1169=K1169+2,"   Gäste",IF(J1169=K1169+3,"   Technik (Switches, Access Points)",""))))))</f>
        <v/>
      </c>
      <c r="B1169" s="0" t="str">
        <f aca="false">IF(I1169="","",IF(AND(J1169&gt;=1,J1169&lt;=K1169+3),IF(J1169&lt;=K1169,IF(J1169&lt;=99,IF((INDEX(Eingabe!$G$9:$G$18,I1169))&lt;=9,1000+(INDEX(Eingabe!$G$9:$G$18,I1169))*100,3000)+J1169,IF((INDEX(Eingabe!$G$9:$G$18,I1169)+1)&lt;=9,1000+(INDEX(Eingabe!$G$9:$G$18,I1169)+1)*100,3000)+J1169-100),IF(J1169=K1169+1,2000+INDEX(Eingabe!$G$9:$G$18,I1169)*10+1,IF(J1169=K1169+2,2000+INDEX(Eingabe!$G$9:$G$18,I1169)*10+2,2000+INDEX(Eingabe!$G$9:$G$18,I1169)*10+9))),""))</f>
        <v/>
      </c>
      <c r="C1169" s="0" t="str">
        <f aca="false">IF(I1169="","",IF(AND(J1169&gt;=1,J1169&lt;=K1169+3),"10."&amp;INDEX(Eingabe!$D$9:$D$18,I1169)&amp;"."&amp;IF(J1169&lt;=K1169,J1169,IF(J1169=K1169+1,200,IF(J1169=K1169+2,201,250)))&amp;".0/24",""))</f>
        <v/>
      </c>
      <c r="D1169" s="0" t="str">
        <f aca="false">IF(I1169="","",IF(AND(J1169&gt;=1,J1169&lt;=K1169+3),"255.255.255.0",""))</f>
        <v/>
      </c>
      <c r="E1169" s="0" t="str">
        <f aca="false">IF(I1169="","",IF(AND(J1169&gt;=1,J1169&lt;=K1169+3),"10."&amp;INDEX(Eingabe!$D$9:$D$18,I1169)&amp;"."&amp;IF(J1169&lt;=K1169,J1169,IF(J1169=K1169+1,200,IF(J1169=K1169+2,201,250)))&amp;".1",""))</f>
        <v/>
      </c>
      <c r="F1169" s="0" t="str">
        <f aca="false">IF(I1169="","",IF(AND(J1169&gt;=1,J1169&lt;=K1169+3),"10."&amp;INDEX(Eingabe!$D$9:$D$18,I1169)&amp;"."&amp;IF(J1169&lt;=K1169,J1169,IF(J1169=K1169+1,200,IF(J1169=K1169+2,201,250)))&amp;".10 – 10."&amp;INDEX(Eingabe!$D$9:$D$18,I1169)&amp;"."&amp;IF(J1169&lt;=K1169,J1169,IF(J1169=K1169+1,200,IF(J1169=K1169+2,201,250)))&amp;".250",""))</f>
        <v/>
      </c>
      <c r="G1169" s="0" t="str">
        <f aca="false">IF(I1169="","",IF(AND(J1169&gt;=1,J1169&lt;=K1169),Eingabe!$B$6&amp;"-"&amp;INDEX(Eingabe!$C$9:$C$18,I1169)&amp;"-Pächter  ·  Passwort Parzelle "&amp;J1169,IF(J1169=K1169+1,Eingabe!$B$6&amp;"-"&amp;INDEX(Eingabe!$C$9:$C$18,I1169)&amp;"-Vorstand  ·  eigenes WLAN",IF(J1169=K1169+2,Eingabe!$B$6&amp;"-"&amp;INDEX(Eingabe!$C$9:$C$18,I1169)&amp;"-Gäste  ·  Voucher",IF(J1169=K1169+3,"Kabel  ·  Access Point y = .(50+y), Mast-Switch x = .(10+x)","")))))</f>
        <v/>
      </c>
      <c r="I1169" s="0" t="str">
        <f aca="false">IF(1164&lt;=(Eingabe!$P$18+Eingabe!$Q$18-1),MATCH(1164,Eingabe!$P$9:$P$18,1),"")</f>
        <v/>
      </c>
      <c r="J1169" s="0" t="str">
        <f aca="false">IF(I1169="","",1164-INDEX(Eingabe!$P$9:$P$18,I1169))</f>
        <v/>
      </c>
      <c r="K1169" s="0" t="str">
        <f aca="false">IF(I1169="","",INDEX(Eingabe!$E$9:$E$18,I1169))</f>
        <v/>
      </c>
    </row>
    <row r="1170" customFormat="false" ht="15" hidden="false" customHeight="false" outlineLevel="0" collapsed="false">
      <c r="A1170" s="0" t="str">
        <f aca="false">IF(I1170="","",IF(J1170=0,"Sparte "&amp;I1170&amp;": "&amp;INDEX(Eingabe!$B$9:$B$18,I1170)&amp;"  (Sparten-ID "&amp;INDEX(Eingabe!$D$9:$D$18,I1170)&amp;", "&amp;K1170&amp;" Parzellen)",IF(J1170&lt;=K1170,"   Parzelle "&amp;J1170,IF(J1170=K1170+1,"   Vorstand",IF(J1170=K1170+2,"   Gäste",IF(J1170=K1170+3,"   Technik (Switches, Access Points)",""))))))</f>
        <v/>
      </c>
      <c r="B1170" s="0" t="str">
        <f aca="false">IF(I1170="","",IF(AND(J1170&gt;=1,J1170&lt;=K1170+3),IF(J1170&lt;=K1170,IF(J1170&lt;=99,IF((INDEX(Eingabe!$G$9:$G$18,I1170))&lt;=9,1000+(INDEX(Eingabe!$G$9:$G$18,I1170))*100,3000)+J1170,IF((INDEX(Eingabe!$G$9:$G$18,I1170)+1)&lt;=9,1000+(INDEX(Eingabe!$G$9:$G$18,I1170)+1)*100,3000)+J1170-100),IF(J1170=K1170+1,2000+INDEX(Eingabe!$G$9:$G$18,I1170)*10+1,IF(J1170=K1170+2,2000+INDEX(Eingabe!$G$9:$G$18,I1170)*10+2,2000+INDEX(Eingabe!$G$9:$G$18,I1170)*10+9))),""))</f>
        <v/>
      </c>
      <c r="C1170" s="0" t="str">
        <f aca="false">IF(I1170="","",IF(AND(J1170&gt;=1,J1170&lt;=K1170+3),"10."&amp;INDEX(Eingabe!$D$9:$D$18,I1170)&amp;"."&amp;IF(J1170&lt;=K1170,J1170,IF(J1170=K1170+1,200,IF(J1170=K1170+2,201,250)))&amp;".0/24",""))</f>
        <v/>
      </c>
      <c r="D1170" s="0" t="str">
        <f aca="false">IF(I1170="","",IF(AND(J1170&gt;=1,J1170&lt;=K1170+3),"255.255.255.0",""))</f>
        <v/>
      </c>
      <c r="E1170" s="0" t="str">
        <f aca="false">IF(I1170="","",IF(AND(J1170&gt;=1,J1170&lt;=K1170+3),"10."&amp;INDEX(Eingabe!$D$9:$D$18,I1170)&amp;"."&amp;IF(J1170&lt;=K1170,J1170,IF(J1170=K1170+1,200,IF(J1170=K1170+2,201,250)))&amp;".1",""))</f>
        <v/>
      </c>
      <c r="F1170" s="0" t="str">
        <f aca="false">IF(I1170="","",IF(AND(J1170&gt;=1,J1170&lt;=K1170+3),"10."&amp;INDEX(Eingabe!$D$9:$D$18,I1170)&amp;"."&amp;IF(J1170&lt;=K1170,J1170,IF(J1170=K1170+1,200,IF(J1170=K1170+2,201,250)))&amp;".10 – 10."&amp;INDEX(Eingabe!$D$9:$D$18,I1170)&amp;"."&amp;IF(J1170&lt;=K1170,J1170,IF(J1170=K1170+1,200,IF(J1170=K1170+2,201,250)))&amp;".250",""))</f>
        <v/>
      </c>
      <c r="G1170" s="0" t="str">
        <f aca="false">IF(I1170="","",IF(AND(J1170&gt;=1,J1170&lt;=K1170),Eingabe!$B$6&amp;"-"&amp;INDEX(Eingabe!$C$9:$C$18,I1170)&amp;"-Pächter  ·  Passwort Parzelle "&amp;J1170,IF(J1170=K1170+1,Eingabe!$B$6&amp;"-"&amp;INDEX(Eingabe!$C$9:$C$18,I1170)&amp;"-Vorstand  ·  eigenes WLAN",IF(J1170=K1170+2,Eingabe!$B$6&amp;"-"&amp;INDEX(Eingabe!$C$9:$C$18,I1170)&amp;"-Gäste  ·  Voucher",IF(J1170=K1170+3,"Kabel  ·  Access Point y = .(50+y), Mast-Switch x = .(10+x)","")))))</f>
        <v/>
      </c>
      <c r="I1170" s="0" t="str">
        <f aca="false">IF(1165&lt;=(Eingabe!$P$18+Eingabe!$Q$18-1),MATCH(1165,Eingabe!$P$9:$P$18,1),"")</f>
        <v/>
      </c>
      <c r="J1170" s="0" t="str">
        <f aca="false">IF(I1170="","",1165-INDEX(Eingabe!$P$9:$P$18,I1170))</f>
        <v/>
      </c>
      <c r="K1170" s="0" t="str">
        <f aca="false">IF(I1170="","",INDEX(Eingabe!$E$9:$E$18,I1170))</f>
        <v/>
      </c>
    </row>
    <row r="1171" customFormat="false" ht="15" hidden="false" customHeight="false" outlineLevel="0" collapsed="false">
      <c r="A1171" s="0" t="str">
        <f aca="false">IF(I1171="","",IF(J1171=0,"Sparte "&amp;I1171&amp;": "&amp;INDEX(Eingabe!$B$9:$B$18,I1171)&amp;"  (Sparten-ID "&amp;INDEX(Eingabe!$D$9:$D$18,I1171)&amp;", "&amp;K1171&amp;" Parzellen)",IF(J1171&lt;=K1171,"   Parzelle "&amp;J1171,IF(J1171=K1171+1,"   Vorstand",IF(J1171=K1171+2,"   Gäste",IF(J1171=K1171+3,"   Technik (Switches, Access Points)",""))))))</f>
        <v/>
      </c>
      <c r="B1171" s="0" t="str">
        <f aca="false">IF(I1171="","",IF(AND(J1171&gt;=1,J1171&lt;=K1171+3),IF(J1171&lt;=K1171,IF(J1171&lt;=99,IF((INDEX(Eingabe!$G$9:$G$18,I1171))&lt;=9,1000+(INDEX(Eingabe!$G$9:$G$18,I1171))*100,3000)+J1171,IF((INDEX(Eingabe!$G$9:$G$18,I1171)+1)&lt;=9,1000+(INDEX(Eingabe!$G$9:$G$18,I1171)+1)*100,3000)+J1171-100),IF(J1171=K1171+1,2000+INDEX(Eingabe!$G$9:$G$18,I1171)*10+1,IF(J1171=K1171+2,2000+INDEX(Eingabe!$G$9:$G$18,I1171)*10+2,2000+INDEX(Eingabe!$G$9:$G$18,I1171)*10+9))),""))</f>
        <v/>
      </c>
      <c r="C1171" s="0" t="str">
        <f aca="false">IF(I1171="","",IF(AND(J1171&gt;=1,J1171&lt;=K1171+3),"10."&amp;INDEX(Eingabe!$D$9:$D$18,I1171)&amp;"."&amp;IF(J1171&lt;=K1171,J1171,IF(J1171=K1171+1,200,IF(J1171=K1171+2,201,250)))&amp;".0/24",""))</f>
        <v/>
      </c>
      <c r="D1171" s="0" t="str">
        <f aca="false">IF(I1171="","",IF(AND(J1171&gt;=1,J1171&lt;=K1171+3),"255.255.255.0",""))</f>
        <v/>
      </c>
      <c r="E1171" s="0" t="str">
        <f aca="false">IF(I1171="","",IF(AND(J1171&gt;=1,J1171&lt;=K1171+3),"10."&amp;INDEX(Eingabe!$D$9:$D$18,I1171)&amp;"."&amp;IF(J1171&lt;=K1171,J1171,IF(J1171=K1171+1,200,IF(J1171=K1171+2,201,250)))&amp;".1",""))</f>
        <v/>
      </c>
      <c r="F1171" s="0" t="str">
        <f aca="false">IF(I1171="","",IF(AND(J1171&gt;=1,J1171&lt;=K1171+3),"10."&amp;INDEX(Eingabe!$D$9:$D$18,I1171)&amp;"."&amp;IF(J1171&lt;=K1171,J1171,IF(J1171=K1171+1,200,IF(J1171=K1171+2,201,250)))&amp;".10 – 10."&amp;INDEX(Eingabe!$D$9:$D$18,I1171)&amp;"."&amp;IF(J1171&lt;=K1171,J1171,IF(J1171=K1171+1,200,IF(J1171=K1171+2,201,250)))&amp;".250",""))</f>
        <v/>
      </c>
      <c r="G1171" s="0" t="str">
        <f aca="false">IF(I1171="","",IF(AND(J1171&gt;=1,J1171&lt;=K1171),Eingabe!$B$6&amp;"-"&amp;INDEX(Eingabe!$C$9:$C$18,I1171)&amp;"-Pächter  ·  Passwort Parzelle "&amp;J1171,IF(J1171=K1171+1,Eingabe!$B$6&amp;"-"&amp;INDEX(Eingabe!$C$9:$C$18,I1171)&amp;"-Vorstand  ·  eigenes WLAN",IF(J1171=K1171+2,Eingabe!$B$6&amp;"-"&amp;INDEX(Eingabe!$C$9:$C$18,I1171)&amp;"-Gäste  ·  Voucher",IF(J1171=K1171+3,"Kabel  ·  Access Point y = .(50+y), Mast-Switch x = .(10+x)","")))))</f>
        <v/>
      </c>
      <c r="I1171" s="0" t="str">
        <f aca="false">IF(1166&lt;=(Eingabe!$P$18+Eingabe!$Q$18-1),MATCH(1166,Eingabe!$P$9:$P$18,1),"")</f>
        <v/>
      </c>
      <c r="J1171" s="0" t="str">
        <f aca="false">IF(I1171="","",1166-INDEX(Eingabe!$P$9:$P$18,I1171))</f>
        <v/>
      </c>
      <c r="K1171" s="0" t="str">
        <f aca="false">IF(I1171="","",INDEX(Eingabe!$E$9:$E$18,I1171))</f>
        <v/>
      </c>
    </row>
    <row r="1172" customFormat="false" ht="15" hidden="false" customHeight="false" outlineLevel="0" collapsed="false">
      <c r="A1172" s="0" t="str">
        <f aca="false">IF(I1172="","",IF(J1172=0,"Sparte "&amp;I1172&amp;": "&amp;INDEX(Eingabe!$B$9:$B$18,I1172)&amp;"  (Sparten-ID "&amp;INDEX(Eingabe!$D$9:$D$18,I1172)&amp;", "&amp;K1172&amp;" Parzellen)",IF(J1172&lt;=K1172,"   Parzelle "&amp;J1172,IF(J1172=K1172+1,"   Vorstand",IF(J1172=K1172+2,"   Gäste",IF(J1172=K1172+3,"   Technik (Switches, Access Points)",""))))))</f>
        <v/>
      </c>
      <c r="B1172" s="0" t="str">
        <f aca="false">IF(I1172="","",IF(AND(J1172&gt;=1,J1172&lt;=K1172+3),IF(J1172&lt;=K1172,IF(J1172&lt;=99,IF((INDEX(Eingabe!$G$9:$G$18,I1172))&lt;=9,1000+(INDEX(Eingabe!$G$9:$G$18,I1172))*100,3000)+J1172,IF((INDEX(Eingabe!$G$9:$G$18,I1172)+1)&lt;=9,1000+(INDEX(Eingabe!$G$9:$G$18,I1172)+1)*100,3000)+J1172-100),IF(J1172=K1172+1,2000+INDEX(Eingabe!$G$9:$G$18,I1172)*10+1,IF(J1172=K1172+2,2000+INDEX(Eingabe!$G$9:$G$18,I1172)*10+2,2000+INDEX(Eingabe!$G$9:$G$18,I1172)*10+9))),""))</f>
        <v/>
      </c>
      <c r="C1172" s="0" t="str">
        <f aca="false">IF(I1172="","",IF(AND(J1172&gt;=1,J1172&lt;=K1172+3),"10."&amp;INDEX(Eingabe!$D$9:$D$18,I1172)&amp;"."&amp;IF(J1172&lt;=K1172,J1172,IF(J1172=K1172+1,200,IF(J1172=K1172+2,201,250)))&amp;".0/24",""))</f>
        <v/>
      </c>
      <c r="D1172" s="0" t="str">
        <f aca="false">IF(I1172="","",IF(AND(J1172&gt;=1,J1172&lt;=K1172+3),"255.255.255.0",""))</f>
        <v/>
      </c>
      <c r="E1172" s="0" t="str">
        <f aca="false">IF(I1172="","",IF(AND(J1172&gt;=1,J1172&lt;=K1172+3),"10."&amp;INDEX(Eingabe!$D$9:$D$18,I1172)&amp;"."&amp;IF(J1172&lt;=K1172,J1172,IF(J1172=K1172+1,200,IF(J1172=K1172+2,201,250)))&amp;".1",""))</f>
        <v/>
      </c>
      <c r="F1172" s="0" t="str">
        <f aca="false">IF(I1172="","",IF(AND(J1172&gt;=1,J1172&lt;=K1172+3),"10."&amp;INDEX(Eingabe!$D$9:$D$18,I1172)&amp;"."&amp;IF(J1172&lt;=K1172,J1172,IF(J1172=K1172+1,200,IF(J1172=K1172+2,201,250)))&amp;".10 – 10."&amp;INDEX(Eingabe!$D$9:$D$18,I1172)&amp;"."&amp;IF(J1172&lt;=K1172,J1172,IF(J1172=K1172+1,200,IF(J1172=K1172+2,201,250)))&amp;".250",""))</f>
        <v/>
      </c>
      <c r="G1172" s="0" t="str">
        <f aca="false">IF(I1172="","",IF(AND(J1172&gt;=1,J1172&lt;=K1172),Eingabe!$B$6&amp;"-"&amp;INDEX(Eingabe!$C$9:$C$18,I1172)&amp;"-Pächter  ·  Passwort Parzelle "&amp;J1172,IF(J1172=K1172+1,Eingabe!$B$6&amp;"-"&amp;INDEX(Eingabe!$C$9:$C$18,I1172)&amp;"-Vorstand  ·  eigenes WLAN",IF(J1172=K1172+2,Eingabe!$B$6&amp;"-"&amp;INDEX(Eingabe!$C$9:$C$18,I1172)&amp;"-Gäste  ·  Voucher",IF(J1172=K1172+3,"Kabel  ·  Access Point y = .(50+y), Mast-Switch x = .(10+x)","")))))</f>
        <v/>
      </c>
      <c r="I1172" s="0" t="str">
        <f aca="false">IF(1167&lt;=(Eingabe!$P$18+Eingabe!$Q$18-1),MATCH(1167,Eingabe!$P$9:$P$18,1),"")</f>
        <v/>
      </c>
      <c r="J1172" s="0" t="str">
        <f aca="false">IF(I1172="","",1167-INDEX(Eingabe!$P$9:$P$18,I1172))</f>
        <v/>
      </c>
      <c r="K1172" s="0" t="str">
        <f aca="false">IF(I1172="","",INDEX(Eingabe!$E$9:$E$18,I1172))</f>
        <v/>
      </c>
    </row>
    <row r="1173" customFormat="false" ht="15" hidden="false" customHeight="false" outlineLevel="0" collapsed="false">
      <c r="A1173" s="0" t="str">
        <f aca="false">IF(I1173="","",IF(J1173=0,"Sparte "&amp;I1173&amp;": "&amp;INDEX(Eingabe!$B$9:$B$18,I1173)&amp;"  (Sparten-ID "&amp;INDEX(Eingabe!$D$9:$D$18,I1173)&amp;", "&amp;K1173&amp;" Parzellen)",IF(J1173&lt;=K1173,"   Parzelle "&amp;J1173,IF(J1173=K1173+1,"   Vorstand",IF(J1173=K1173+2,"   Gäste",IF(J1173=K1173+3,"   Technik (Switches, Access Points)",""))))))</f>
        <v/>
      </c>
      <c r="B1173" s="0" t="str">
        <f aca="false">IF(I1173="","",IF(AND(J1173&gt;=1,J1173&lt;=K1173+3),IF(J1173&lt;=K1173,IF(J1173&lt;=99,IF((INDEX(Eingabe!$G$9:$G$18,I1173))&lt;=9,1000+(INDEX(Eingabe!$G$9:$G$18,I1173))*100,3000)+J1173,IF((INDEX(Eingabe!$G$9:$G$18,I1173)+1)&lt;=9,1000+(INDEX(Eingabe!$G$9:$G$18,I1173)+1)*100,3000)+J1173-100),IF(J1173=K1173+1,2000+INDEX(Eingabe!$G$9:$G$18,I1173)*10+1,IF(J1173=K1173+2,2000+INDEX(Eingabe!$G$9:$G$18,I1173)*10+2,2000+INDEX(Eingabe!$G$9:$G$18,I1173)*10+9))),""))</f>
        <v/>
      </c>
      <c r="C1173" s="0" t="str">
        <f aca="false">IF(I1173="","",IF(AND(J1173&gt;=1,J1173&lt;=K1173+3),"10."&amp;INDEX(Eingabe!$D$9:$D$18,I1173)&amp;"."&amp;IF(J1173&lt;=K1173,J1173,IF(J1173=K1173+1,200,IF(J1173=K1173+2,201,250)))&amp;".0/24",""))</f>
        <v/>
      </c>
      <c r="D1173" s="0" t="str">
        <f aca="false">IF(I1173="","",IF(AND(J1173&gt;=1,J1173&lt;=K1173+3),"255.255.255.0",""))</f>
        <v/>
      </c>
      <c r="E1173" s="0" t="str">
        <f aca="false">IF(I1173="","",IF(AND(J1173&gt;=1,J1173&lt;=K1173+3),"10."&amp;INDEX(Eingabe!$D$9:$D$18,I1173)&amp;"."&amp;IF(J1173&lt;=K1173,J1173,IF(J1173=K1173+1,200,IF(J1173=K1173+2,201,250)))&amp;".1",""))</f>
        <v/>
      </c>
      <c r="F1173" s="0" t="str">
        <f aca="false">IF(I1173="","",IF(AND(J1173&gt;=1,J1173&lt;=K1173+3),"10."&amp;INDEX(Eingabe!$D$9:$D$18,I1173)&amp;"."&amp;IF(J1173&lt;=K1173,J1173,IF(J1173=K1173+1,200,IF(J1173=K1173+2,201,250)))&amp;".10 – 10."&amp;INDEX(Eingabe!$D$9:$D$18,I1173)&amp;"."&amp;IF(J1173&lt;=K1173,J1173,IF(J1173=K1173+1,200,IF(J1173=K1173+2,201,250)))&amp;".250",""))</f>
        <v/>
      </c>
      <c r="G1173" s="0" t="str">
        <f aca="false">IF(I1173="","",IF(AND(J1173&gt;=1,J1173&lt;=K1173),Eingabe!$B$6&amp;"-"&amp;INDEX(Eingabe!$C$9:$C$18,I1173)&amp;"-Pächter  ·  Passwort Parzelle "&amp;J1173,IF(J1173=K1173+1,Eingabe!$B$6&amp;"-"&amp;INDEX(Eingabe!$C$9:$C$18,I1173)&amp;"-Vorstand  ·  eigenes WLAN",IF(J1173=K1173+2,Eingabe!$B$6&amp;"-"&amp;INDEX(Eingabe!$C$9:$C$18,I1173)&amp;"-Gäste  ·  Voucher",IF(J1173=K1173+3,"Kabel  ·  Access Point y = .(50+y), Mast-Switch x = .(10+x)","")))))</f>
        <v/>
      </c>
      <c r="I1173" s="0" t="str">
        <f aca="false">IF(1168&lt;=(Eingabe!$P$18+Eingabe!$Q$18-1),MATCH(1168,Eingabe!$P$9:$P$18,1),"")</f>
        <v/>
      </c>
      <c r="J1173" s="0" t="str">
        <f aca="false">IF(I1173="","",1168-INDEX(Eingabe!$P$9:$P$18,I1173))</f>
        <v/>
      </c>
      <c r="K1173" s="0" t="str">
        <f aca="false">IF(I1173="","",INDEX(Eingabe!$E$9:$E$18,I1173))</f>
        <v/>
      </c>
    </row>
    <row r="1174" customFormat="false" ht="15" hidden="false" customHeight="false" outlineLevel="0" collapsed="false">
      <c r="A1174" s="0" t="str">
        <f aca="false">IF(I1174="","",IF(J1174=0,"Sparte "&amp;I1174&amp;": "&amp;INDEX(Eingabe!$B$9:$B$18,I1174)&amp;"  (Sparten-ID "&amp;INDEX(Eingabe!$D$9:$D$18,I1174)&amp;", "&amp;K1174&amp;" Parzellen)",IF(J1174&lt;=K1174,"   Parzelle "&amp;J1174,IF(J1174=K1174+1,"   Vorstand",IF(J1174=K1174+2,"   Gäste",IF(J1174=K1174+3,"   Technik (Switches, Access Points)",""))))))</f>
        <v/>
      </c>
      <c r="B1174" s="0" t="str">
        <f aca="false">IF(I1174="","",IF(AND(J1174&gt;=1,J1174&lt;=K1174+3),IF(J1174&lt;=K1174,IF(J1174&lt;=99,IF((INDEX(Eingabe!$G$9:$G$18,I1174))&lt;=9,1000+(INDEX(Eingabe!$G$9:$G$18,I1174))*100,3000)+J1174,IF((INDEX(Eingabe!$G$9:$G$18,I1174)+1)&lt;=9,1000+(INDEX(Eingabe!$G$9:$G$18,I1174)+1)*100,3000)+J1174-100),IF(J1174=K1174+1,2000+INDEX(Eingabe!$G$9:$G$18,I1174)*10+1,IF(J1174=K1174+2,2000+INDEX(Eingabe!$G$9:$G$18,I1174)*10+2,2000+INDEX(Eingabe!$G$9:$G$18,I1174)*10+9))),""))</f>
        <v/>
      </c>
      <c r="C1174" s="0" t="str">
        <f aca="false">IF(I1174="","",IF(AND(J1174&gt;=1,J1174&lt;=K1174+3),"10."&amp;INDEX(Eingabe!$D$9:$D$18,I1174)&amp;"."&amp;IF(J1174&lt;=K1174,J1174,IF(J1174=K1174+1,200,IF(J1174=K1174+2,201,250)))&amp;".0/24",""))</f>
        <v/>
      </c>
      <c r="D1174" s="0" t="str">
        <f aca="false">IF(I1174="","",IF(AND(J1174&gt;=1,J1174&lt;=K1174+3),"255.255.255.0",""))</f>
        <v/>
      </c>
      <c r="E1174" s="0" t="str">
        <f aca="false">IF(I1174="","",IF(AND(J1174&gt;=1,J1174&lt;=K1174+3),"10."&amp;INDEX(Eingabe!$D$9:$D$18,I1174)&amp;"."&amp;IF(J1174&lt;=K1174,J1174,IF(J1174=K1174+1,200,IF(J1174=K1174+2,201,250)))&amp;".1",""))</f>
        <v/>
      </c>
      <c r="F1174" s="0" t="str">
        <f aca="false">IF(I1174="","",IF(AND(J1174&gt;=1,J1174&lt;=K1174+3),"10."&amp;INDEX(Eingabe!$D$9:$D$18,I1174)&amp;"."&amp;IF(J1174&lt;=K1174,J1174,IF(J1174=K1174+1,200,IF(J1174=K1174+2,201,250)))&amp;".10 – 10."&amp;INDEX(Eingabe!$D$9:$D$18,I1174)&amp;"."&amp;IF(J1174&lt;=K1174,J1174,IF(J1174=K1174+1,200,IF(J1174=K1174+2,201,250)))&amp;".250",""))</f>
        <v/>
      </c>
      <c r="G1174" s="0" t="str">
        <f aca="false">IF(I1174="","",IF(AND(J1174&gt;=1,J1174&lt;=K1174),Eingabe!$B$6&amp;"-"&amp;INDEX(Eingabe!$C$9:$C$18,I1174)&amp;"-Pächter  ·  Passwort Parzelle "&amp;J1174,IF(J1174=K1174+1,Eingabe!$B$6&amp;"-"&amp;INDEX(Eingabe!$C$9:$C$18,I1174)&amp;"-Vorstand  ·  eigenes WLAN",IF(J1174=K1174+2,Eingabe!$B$6&amp;"-"&amp;INDEX(Eingabe!$C$9:$C$18,I1174)&amp;"-Gäste  ·  Voucher",IF(J1174=K1174+3,"Kabel  ·  Access Point y = .(50+y), Mast-Switch x = .(10+x)","")))))</f>
        <v/>
      </c>
      <c r="I1174" s="0" t="str">
        <f aca="false">IF(1169&lt;=(Eingabe!$P$18+Eingabe!$Q$18-1),MATCH(1169,Eingabe!$P$9:$P$18,1),"")</f>
        <v/>
      </c>
      <c r="J1174" s="0" t="str">
        <f aca="false">IF(I1174="","",1169-INDEX(Eingabe!$P$9:$P$18,I1174))</f>
        <v/>
      </c>
      <c r="K1174" s="0" t="str">
        <f aca="false">IF(I1174="","",INDEX(Eingabe!$E$9:$E$18,I1174))</f>
        <v/>
      </c>
    </row>
    <row r="1175" customFormat="false" ht="15" hidden="false" customHeight="false" outlineLevel="0" collapsed="false">
      <c r="A1175" s="0" t="str">
        <f aca="false">IF(I1175="","",IF(J1175=0,"Sparte "&amp;I1175&amp;": "&amp;INDEX(Eingabe!$B$9:$B$18,I1175)&amp;"  (Sparten-ID "&amp;INDEX(Eingabe!$D$9:$D$18,I1175)&amp;", "&amp;K1175&amp;" Parzellen)",IF(J1175&lt;=K1175,"   Parzelle "&amp;J1175,IF(J1175=K1175+1,"   Vorstand",IF(J1175=K1175+2,"   Gäste",IF(J1175=K1175+3,"   Technik (Switches, Access Points)",""))))))</f>
        <v/>
      </c>
      <c r="B1175" s="0" t="str">
        <f aca="false">IF(I1175="","",IF(AND(J1175&gt;=1,J1175&lt;=K1175+3),IF(J1175&lt;=K1175,IF(J1175&lt;=99,IF((INDEX(Eingabe!$G$9:$G$18,I1175))&lt;=9,1000+(INDEX(Eingabe!$G$9:$G$18,I1175))*100,3000)+J1175,IF((INDEX(Eingabe!$G$9:$G$18,I1175)+1)&lt;=9,1000+(INDEX(Eingabe!$G$9:$G$18,I1175)+1)*100,3000)+J1175-100),IF(J1175=K1175+1,2000+INDEX(Eingabe!$G$9:$G$18,I1175)*10+1,IF(J1175=K1175+2,2000+INDEX(Eingabe!$G$9:$G$18,I1175)*10+2,2000+INDEX(Eingabe!$G$9:$G$18,I1175)*10+9))),""))</f>
        <v/>
      </c>
      <c r="C1175" s="0" t="str">
        <f aca="false">IF(I1175="","",IF(AND(J1175&gt;=1,J1175&lt;=K1175+3),"10."&amp;INDEX(Eingabe!$D$9:$D$18,I1175)&amp;"."&amp;IF(J1175&lt;=K1175,J1175,IF(J1175=K1175+1,200,IF(J1175=K1175+2,201,250)))&amp;".0/24",""))</f>
        <v/>
      </c>
      <c r="D1175" s="0" t="str">
        <f aca="false">IF(I1175="","",IF(AND(J1175&gt;=1,J1175&lt;=K1175+3),"255.255.255.0",""))</f>
        <v/>
      </c>
      <c r="E1175" s="0" t="str">
        <f aca="false">IF(I1175="","",IF(AND(J1175&gt;=1,J1175&lt;=K1175+3),"10."&amp;INDEX(Eingabe!$D$9:$D$18,I1175)&amp;"."&amp;IF(J1175&lt;=K1175,J1175,IF(J1175=K1175+1,200,IF(J1175=K1175+2,201,250)))&amp;".1",""))</f>
        <v/>
      </c>
      <c r="F1175" s="0" t="str">
        <f aca="false">IF(I1175="","",IF(AND(J1175&gt;=1,J1175&lt;=K1175+3),"10."&amp;INDEX(Eingabe!$D$9:$D$18,I1175)&amp;"."&amp;IF(J1175&lt;=K1175,J1175,IF(J1175=K1175+1,200,IF(J1175=K1175+2,201,250)))&amp;".10 – 10."&amp;INDEX(Eingabe!$D$9:$D$18,I1175)&amp;"."&amp;IF(J1175&lt;=K1175,J1175,IF(J1175=K1175+1,200,IF(J1175=K1175+2,201,250)))&amp;".250",""))</f>
        <v/>
      </c>
      <c r="G1175" s="0" t="str">
        <f aca="false">IF(I1175="","",IF(AND(J1175&gt;=1,J1175&lt;=K1175),Eingabe!$B$6&amp;"-"&amp;INDEX(Eingabe!$C$9:$C$18,I1175)&amp;"-Pächter  ·  Passwort Parzelle "&amp;J1175,IF(J1175=K1175+1,Eingabe!$B$6&amp;"-"&amp;INDEX(Eingabe!$C$9:$C$18,I1175)&amp;"-Vorstand  ·  eigenes WLAN",IF(J1175=K1175+2,Eingabe!$B$6&amp;"-"&amp;INDEX(Eingabe!$C$9:$C$18,I1175)&amp;"-Gäste  ·  Voucher",IF(J1175=K1175+3,"Kabel  ·  Access Point y = .(50+y), Mast-Switch x = .(10+x)","")))))</f>
        <v/>
      </c>
      <c r="I1175" s="0" t="str">
        <f aca="false">IF(1170&lt;=(Eingabe!$P$18+Eingabe!$Q$18-1),MATCH(1170,Eingabe!$P$9:$P$18,1),"")</f>
        <v/>
      </c>
      <c r="J1175" s="0" t="str">
        <f aca="false">IF(I1175="","",1170-INDEX(Eingabe!$P$9:$P$18,I1175))</f>
        <v/>
      </c>
      <c r="K1175" s="0" t="str">
        <f aca="false">IF(I1175="","",INDEX(Eingabe!$E$9:$E$18,I1175))</f>
        <v/>
      </c>
    </row>
    <row r="1176" customFormat="false" ht="15" hidden="false" customHeight="false" outlineLevel="0" collapsed="false">
      <c r="A1176" s="0" t="str">
        <f aca="false">IF(I1176="","",IF(J1176=0,"Sparte "&amp;I1176&amp;": "&amp;INDEX(Eingabe!$B$9:$B$18,I1176)&amp;"  (Sparten-ID "&amp;INDEX(Eingabe!$D$9:$D$18,I1176)&amp;", "&amp;K1176&amp;" Parzellen)",IF(J1176&lt;=K1176,"   Parzelle "&amp;J1176,IF(J1176=K1176+1,"   Vorstand",IF(J1176=K1176+2,"   Gäste",IF(J1176=K1176+3,"   Technik (Switches, Access Points)",""))))))</f>
        <v/>
      </c>
      <c r="B1176" s="0" t="str">
        <f aca="false">IF(I1176="","",IF(AND(J1176&gt;=1,J1176&lt;=K1176+3),IF(J1176&lt;=K1176,IF(J1176&lt;=99,IF((INDEX(Eingabe!$G$9:$G$18,I1176))&lt;=9,1000+(INDEX(Eingabe!$G$9:$G$18,I1176))*100,3000)+J1176,IF((INDEX(Eingabe!$G$9:$G$18,I1176)+1)&lt;=9,1000+(INDEX(Eingabe!$G$9:$G$18,I1176)+1)*100,3000)+J1176-100),IF(J1176=K1176+1,2000+INDEX(Eingabe!$G$9:$G$18,I1176)*10+1,IF(J1176=K1176+2,2000+INDEX(Eingabe!$G$9:$G$18,I1176)*10+2,2000+INDEX(Eingabe!$G$9:$G$18,I1176)*10+9))),""))</f>
        <v/>
      </c>
      <c r="C1176" s="0" t="str">
        <f aca="false">IF(I1176="","",IF(AND(J1176&gt;=1,J1176&lt;=K1176+3),"10."&amp;INDEX(Eingabe!$D$9:$D$18,I1176)&amp;"."&amp;IF(J1176&lt;=K1176,J1176,IF(J1176=K1176+1,200,IF(J1176=K1176+2,201,250)))&amp;".0/24",""))</f>
        <v/>
      </c>
      <c r="D1176" s="0" t="str">
        <f aca="false">IF(I1176="","",IF(AND(J1176&gt;=1,J1176&lt;=K1176+3),"255.255.255.0",""))</f>
        <v/>
      </c>
      <c r="E1176" s="0" t="str">
        <f aca="false">IF(I1176="","",IF(AND(J1176&gt;=1,J1176&lt;=K1176+3),"10."&amp;INDEX(Eingabe!$D$9:$D$18,I1176)&amp;"."&amp;IF(J1176&lt;=K1176,J1176,IF(J1176=K1176+1,200,IF(J1176=K1176+2,201,250)))&amp;".1",""))</f>
        <v/>
      </c>
      <c r="F1176" s="0" t="str">
        <f aca="false">IF(I1176="","",IF(AND(J1176&gt;=1,J1176&lt;=K1176+3),"10."&amp;INDEX(Eingabe!$D$9:$D$18,I1176)&amp;"."&amp;IF(J1176&lt;=K1176,J1176,IF(J1176=K1176+1,200,IF(J1176=K1176+2,201,250)))&amp;".10 – 10."&amp;INDEX(Eingabe!$D$9:$D$18,I1176)&amp;"."&amp;IF(J1176&lt;=K1176,J1176,IF(J1176=K1176+1,200,IF(J1176=K1176+2,201,250)))&amp;".250",""))</f>
        <v/>
      </c>
      <c r="G1176" s="0" t="str">
        <f aca="false">IF(I1176="","",IF(AND(J1176&gt;=1,J1176&lt;=K1176),Eingabe!$B$6&amp;"-"&amp;INDEX(Eingabe!$C$9:$C$18,I1176)&amp;"-Pächter  ·  Passwort Parzelle "&amp;J1176,IF(J1176=K1176+1,Eingabe!$B$6&amp;"-"&amp;INDEX(Eingabe!$C$9:$C$18,I1176)&amp;"-Vorstand  ·  eigenes WLAN",IF(J1176=K1176+2,Eingabe!$B$6&amp;"-"&amp;INDEX(Eingabe!$C$9:$C$18,I1176)&amp;"-Gäste  ·  Voucher",IF(J1176=K1176+3,"Kabel  ·  Access Point y = .(50+y), Mast-Switch x = .(10+x)","")))))</f>
        <v/>
      </c>
      <c r="I1176" s="0" t="str">
        <f aca="false">IF(1171&lt;=(Eingabe!$P$18+Eingabe!$Q$18-1),MATCH(1171,Eingabe!$P$9:$P$18,1),"")</f>
        <v/>
      </c>
      <c r="J1176" s="0" t="str">
        <f aca="false">IF(I1176="","",1171-INDEX(Eingabe!$P$9:$P$18,I1176))</f>
        <v/>
      </c>
      <c r="K1176" s="0" t="str">
        <f aca="false">IF(I1176="","",INDEX(Eingabe!$E$9:$E$18,I1176))</f>
        <v/>
      </c>
    </row>
    <row r="1177" customFormat="false" ht="15" hidden="false" customHeight="false" outlineLevel="0" collapsed="false">
      <c r="A1177" s="0" t="str">
        <f aca="false">IF(I1177="","",IF(J1177=0,"Sparte "&amp;I1177&amp;": "&amp;INDEX(Eingabe!$B$9:$B$18,I1177)&amp;"  (Sparten-ID "&amp;INDEX(Eingabe!$D$9:$D$18,I1177)&amp;", "&amp;K1177&amp;" Parzellen)",IF(J1177&lt;=K1177,"   Parzelle "&amp;J1177,IF(J1177=K1177+1,"   Vorstand",IF(J1177=K1177+2,"   Gäste",IF(J1177=K1177+3,"   Technik (Switches, Access Points)",""))))))</f>
        <v/>
      </c>
      <c r="B1177" s="0" t="str">
        <f aca="false">IF(I1177="","",IF(AND(J1177&gt;=1,J1177&lt;=K1177+3),IF(J1177&lt;=K1177,IF(J1177&lt;=99,IF((INDEX(Eingabe!$G$9:$G$18,I1177))&lt;=9,1000+(INDEX(Eingabe!$G$9:$G$18,I1177))*100,3000)+J1177,IF((INDEX(Eingabe!$G$9:$G$18,I1177)+1)&lt;=9,1000+(INDEX(Eingabe!$G$9:$G$18,I1177)+1)*100,3000)+J1177-100),IF(J1177=K1177+1,2000+INDEX(Eingabe!$G$9:$G$18,I1177)*10+1,IF(J1177=K1177+2,2000+INDEX(Eingabe!$G$9:$G$18,I1177)*10+2,2000+INDEX(Eingabe!$G$9:$G$18,I1177)*10+9))),""))</f>
        <v/>
      </c>
      <c r="C1177" s="0" t="str">
        <f aca="false">IF(I1177="","",IF(AND(J1177&gt;=1,J1177&lt;=K1177+3),"10."&amp;INDEX(Eingabe!$D$9:$D$18,I1177)&amp;"."&amp;IF(J1177&lt;=K1177,J1177,IF(J1177=K1177+1,200,IF(J1177=K1177+2,201,250)))&amp;".0/24",""))</f>
        <v/>
      </c>
      <c r="D1177" s="0" t="str">
        <f aca="false">IF(I1177="","",IF(AND(J1177&gt;=1,J1177&lt;=K1177+3),"255.255.255.0",""))</f>
        <v/>
      </c>
      <c r="E1177" s="0" t="str">
        <f aca="false">IF(I1177="","",IF(AND(J1177&gt;=1,J1177&lt;=K1177+3),"10."&amp;INDEX(Eingabe!$D$9:$D$18,I1177)&amp;"."&amp;IF(J1177&lt;=K1177,J1177,IF(J1177=K1177+1,200,IF(J1177=K1177+2,201,250)))&amp;".1",""))</f>
        <v/>
      </c>
      <c r="F1177" s="0" t="str">
        <f aca="false">IF(I1177="","",IF(AND(J1177&gt;=1,J1177&lt;=K1177+3),"10."&amp;INDEX(Eingabe!$D$9:$D$18,I1177)&amp;"."&amp;IF(J1177&lt;=K1177,J1177,IF(J1177=K1177+1,200,IF(J1177=K1177+2,201,250)))&amp;".10 – 10."&amp;INDEX(Eingabe!$D$9:$D$18,I1177)&amp;"."&amp;IF(J1177&lt;=K1177,J1177,IF(J1177=K1177+1,200,IF(J1177=K1177+2,201,250)))&amp;".250",""))</f>
        <v/>
      </c>
      <c r="G1177" s="0" t="str">
        <f aca="false">IF(I1177="","",IF(AND(J1177&gt;=1,J1177&lt;=K1177),Eingabe!$B$6&amp;"-"&amp;INDEX(Eingabe!$C$9:$C$18,I1177)&amp;"-Pächter  ·  Passwort Parzelle "&amp;J1177,IF(J1177=K1177+1,Eingabe!$B$6&amp;"-"&amp;INDEX(Eingabe!$C$9:$C$18,I1177)&amp;"-Vorstand  ·  eigenes WLAN",IF(J1177=K1177+2,Eingabe!$B$6&amp;"-"&amp;INDEX(Eingabe!$C$9:$C$18,I1177)&amp;"-Gäste  ·  Voucher",IF(J1177=K1177+3,"Kabel  ·  Access Point y = .(50+y), Mast-Switch x = .(10+x)","")))))</f>
        <v/>
      </c>
      <c r="I1177" s="0" t="str">
        <f aca="false">IF(1172&lt;=(Eingabe!$P$18+Eingabe!$Q$18-1),MATCH(1172,Eingabe!$P$9:$P$18,1),"")</f>
        <v/>
      </c>
      <c r="J1177" s="0" t="str">
        <f aca="false">IF(I1177="","",1172-INDEX(Eingabe!$P$9:$P$18,I1177))</f>
        <v/>
      </c>
      <c r="K1177" s="0" t="str">
        <f aca="false">IF(I1177="","",INDEX(Eingabe!$E$9:$E$18,I1177))</f>
        <v/>
      </c>
    </row>
    <row r="1178" customFormat="false" ht="15" hidden="false" customHeight="false" outlineLevel="0" collapsed="false">
      <c r="A1178" s="0" t="str">
        <f aca="false">IF(I1178="","",IF(J1178=0,"Sparte "&amp;I1178&amp;": "&amp;INDEX(Eingabe!$B$9:$B$18,I1178)&amp;"  (Sparten-ID "&amp;INDEX(Eingabe!$D$9:$D$18,I1178)&amp;", "&amp;K1178&amp;" Parzellen)",IF(J1178&lt;=K1178,"   Parzelle "&amp;J1178,IF(J1178=K1178+1,"   Vorstand",IF(J1178=K1178+2,"   Gäste",IF(J1178=K1178+3,"   Technik (Switches, Access Points)",""))))))</f>
        <v/>
      </c>
      <c r="B1178" s="0" t="str">
        <f aca="false">IF(I1178="","",IF(AND(J1178&gt;=1,J1178&lt;=K1178+3),IF(J1178&lt;=K1178,IF(J1178&lt;=99,IF((INDEX(Eingabe!$G$9:$G$18,I1178))&lt;=9,1000+(INDEX(Eingabe!$G$9:$G$18,I1178))*100,3000)+J1178,IF((INDEX(Eingabe!$G$9:$G$18,I1178)+1)&lt;=9,1000+(INDEX(Eingabe!$G$9:$G$18,I1178)+1)*100,3000)+J1178-100),IF(J1178=K1178+1,2000+INDEX(Eingabe!$G$9:$G$18,I1178)*10+1,IF(J1178=K1178+2,2000+INDEX(Eingabe!$G$9:$G$18,I1178)*10+2,2000+INDEX(Eingabe!$G$9:$G$18,I1178)*10+9))),""))</f>
        <v/>
      </c>
      <c r="C1178" s="0" t="str">
        <f aca="false">IF(I1178="","",IF(AND(J1178&gt;=1,J1178&lt;=K1178+3),"10."&amp;INDEX(Eingabe!$D$9:$D$18,I1178)&amp;"."&amp;IF(J1178&lt;=K1178,J1178,IF(J1178=K1178+1,200,IF(J1178=K1178+2,201,250)))&amp;".0/24",""))</f>
        <v/>
      </c>
      <c r="D1178" s="0" t="str">
        <f aca="false">IF(I1178="","",IF(AND(J1178&gt;=1,J1178&lt;=K1178+3),"255.255.255.0",""))</f>
        <v/>
      </c>
      <c r="E1178" s="0" t="str">
        <f aca="false">IF(I1178="","",IF(AND(J1178&gt;=1,J1178&lt;=K1178+3),"10."&amp;INDEX(Eingabe!$D$9:$D$18,I1178)&amp;"."&amp;IF(J1178&lt;=K1178,J1178,IF(J1178=K1178+1,200,IF(J1178=K1178+2,201,250)))&amp;".1",""))</f>
        <v/>
      </c>
      <c r="F1178" s="0" t="str">
        <f aca="false">IF(I1178="","",IF(AND(J1178&gt;=1,J1178&lt;=K1178+3),"10."&amp;INDEX(Eingabe!$D$9:$D$18,I1178)&amp;"."&amp;IF(J1178&lt;=K1178,J1178,IF(J1178=K1178+1,200,IF(J1178=K1178+2,201,250)))&amp;".10 – 10."&amp;INDEX(Eingabe!$D$9:$D$18,I1178)&amp;"."&amp;IF(J1178&lt;=K1178,J1178,IF(J1178=K1178+1,200,IF(J1178=K1178+2,201,250)))&amp;".250",""))</f>
        <v/>
      </c>
      <c r="G1178" s="0" t="str">
        <f aca="false">IF(I1178="","",IF(AND(J1178&gt;=1,J1178&lt;=K1178),Eingabe!$B$6&amp;"-"&amp;INDEX(Eingabe!$C$9:$C$18,I1178)&amp;"-Pächter  ·  Passwort Parzelle "&amp;J1178,IF(J1178=K1178+1,Eingabe!$B$6&amp;"-"&amp;INDEX(Eingabe!$C$9:$C$18,I1178)&amp;"-Vorstand  ·  eigenes WLAN",IF(J1178=K1178+2,Eingabe!$B$6&amp;"-"&amp;INDEX(Eingabe!$C$9:$C$18,I1178)&amp;"-Gäste  ·  Voucher",IF(J1178=K1178+3,"Kabel  ·  Access Point y = .(50+y), Mast-Switch x = .(10+x)","")))))</f>
        <v/>
      </c>
      <c r="I1178" s="0" t="str">
        <f aca="false">IF(1173&lt;=(Eingabe!$P$18+Eingabe!$Q$18-1),MATCH(1173,Eingabe!$P$9:$P$18,1),"")</f>
        <v/>
      </c>
      <c r="J1178" s="0" t="str">
        <f aca="false">IF(I1178="","",1173-INDEX(Eingabe!$P$9:$P$18,I1178))</f>
        <v/>
      </c>
      <c r="K1178" s="0" t="str">
        <f aca="false">IF(I1178="","",INDEX(Eingabe!$E$9:$E$18,I1178))</f>
        <v/>
      </c>
    </row>
    <row r="1179" customFormat="false" ht="15" hidden="false" customHeight="false" outlineLevel="0" collapsed="false">
      <c r="A1179" s="0" t="str">
        <f aca="false">IF(I1179="","",IF(J1179=0,"Sparte "&amp;I1179&amp;": "&amp;INDEX(Eingabe!$B$9:$B$18,I1179)&amp;"  (Sparten-ID "&amp;INDEX(Eingabe!$D$9:$D$18,I1179)&amp;", "&amp;K1179&amp;" Parzellen)",IF(J1179&lt;=K1179,"   Parzelle "&amp;J1179,IF(J1179=K1179+1,"   Vorstand",IF(J1179=K1179+2,"   Gäste",IF(J1179=K1179+3,"   Technik (Switches, Access Points)",""))))))</f>
        <v/>
      </c>
      <c r="B1179" s="0" t="str">
        <f aca="false">IF(I1179="","",IF(AND(J1179&gt;=1,J1179&lt;=K1179+3),IF(J1179&lt;=K1179,IF(J1179&lt;=99,IF((INDEX(Eingabe!$G$9:$G$18,I1179))&lt;=9,1000+(INDEX(Eingabe!$G$9:$G$18,I1179))*100,3000)+J1179,IF((INDEX(Eingabe!$G$9:$G$18,I1179)+1)&lt;=9,1000+(INDEX(Eingabe!$G$9:$G$18,I1179)+1)*100,3000)+J1179-100),IF(J1179=K1179+1,2000+INDEX(Eingabe!$G$9:$G$18,I1179)*10+1,IF(J1179=K1179+2,2000+INDEX(Eingabe!$G$9:$G$18,I1179)*10+2,2000+INDEX(Eingabe!$G$9:$G$18,I1179)*10+9))),""))</f>
        <v/>
      </c>
      <c r="C1179" s="0" t="str">
        <f aca="false">IF(I1179="","",IF(AND(J1179&gt;=1,J1179&lt;=K1179+3),"10."&amp;INDEX(Eingabe!$D$9:$D$18,I1179)&amp;"."&amp;IF(J1179&lt;=K1179,J1179,IF(J1179=K1179+1,200,IF(J1179=K1179+2,201,250)))&amp;".0/24",""))</f>
        <v/>
      </c>
      <c r="D1179" s="0" t="str">
        <f aca="false">IF(I1179="","",IF(AND(J1179&gt;=1,J1179&lt;=K1179+3),"255.255.255.0",""))</f>
        <v/>
      </c>
      <c r="E1179" s="0" t="str">
        <f aca="false">IF(I1179="","",IF(AND(J1179&gt;=1,J1179&lt;=K1179+3),"10."&amp;INDEX(Eingabe!$D$9:$D$18,I1179)&amp;"."&amp;IF(J1179&lt;=K1179,J1179,IF(J1179=K1179+1,200,IF(J1179=K1179+2,201,250)))&amp;".1",""))</f>
        <v/>
      </c>
      <c r="F1179" s="0" t="str">
        <f aca="false">IF(I1179="","",IF(AND(J1179&gt;=1,J1179&lt;=K1179+3),"10."&amp;INDEX(Eingabe!$D$9:$D$18,I1179)&amp;"."&amp;IF(J1179&lt;=K1179,J1179,IF(J1179=K1179+1,200,IF(J1179=K1179+2,201,250)))&amp;".10 – 10."&amp;INDEX(Eingabe!$D$9:$D$18,I1179)&amp;"."&amp;IF(J1179&lt;=K1179,J1179,IF(J1179=K1179+1,200,IF(J1179=K1179+2,201,250)))&amp;".250",""))</f>
        <v/>
      </c>
      <c r="G1179" s="0" t="str">
        <f aca="false">IF(I1179="","",IF(AND(J1179&gt;=1,J1179&lt;=K1179),Eingabe!$B$6&amp;"-"&amp;INDEX(Eingabe!$C$9:$C$18,I1179)&amp;"-Pächter  ·  Passwort Parzelle "&amp;J1179,IF(J1179=K1179+1,Eingabe!$B$6&amp;"-"&amp;INDEX(Eingabe!$C$9:$C$18,I1179)&amp;"-Vorstand  ·  eigenes WLAN",IF(J1179=K1179+2,Eingabe!$B$6&amp;"-"&amp;INDEX(Eingabe!$C$9:$C$18,I1179)&amp;"-Gäste  ·  Voucher",IF(J1179=K1179+3,"Kabel  ·  Access Point y = .(50+y), Mast-Switch x = .(10+x)","")))))</f>
        <v/>
      </c>
      <c r="I1179" s="0" t="str">
        <f aca="false">IF(1174&lt;=(Eingabe!$P$18+Eingabe!$Q$18-1),MATCH(1174,Eingabe!$P$9:$P$18,1),"")</f>
        <v/>
      </c>
      <c r="J1179" s="0" t="str">
        <f aca="false">IF(I1179="","",1174-INDEX(Eingabe!$P$9:$P$18,I1179))</f>
        <v/>
      </c>
      <c r="K1179" s="0" t="str">
        <f aca="false">IF(I1179="","",INDEX(Eingabe!$E$9:$E$18,I1179))</f>
        <v/>
      </c>
    </row>
    <row r="1180" customFormat="false" ht="15" hidden="false" customHeight="false" outlineLevel="0" collapsed="false">
      <c r="A1180" s="0" t="str">
        <f aca="false">IF(I1180="","",IF(J1180=0,"Sparte "&amp;I1180&amp;": "&amp;INDEX(Eingabe!$B$9:$B$18,I1180)&amp;"  (Sparten-ID "&amp;INDEX(Eingabe!$D$9:$D$18,I1180)&amp;", "&amp;K1180&amp;" Parzellen)",IF(J1180&lt;=K1180,"   Parzelle "&amp;J1180,IF(J1180=K1180+1,"   Vorstand",IF(J1180=K1180+2,"   Gäste",IF(J1180=K1180+3,"   Technik (Switches, Access Points)",""))))))</f>
        <v/>
      </c>
      <c r="B1180" s="0" t="str">
        <f aca="false">IF(I1180="","",IF(AND(J1180&gt;=1,J1180&lt;=K1180+3),IF(J1180&lt;=K1180,IF(J1180&lt;=99,IF((INDEX(Eingabe!$G$9:$G$18,I1180))&lt;=9,1000+(INDEX(Eingabe!$G$9:$G$18,I1180))*100,3000)+J1180,IF((INDEX(Eingabe!$G$9:$G$18,I1180)+1)&lt;=9,1000+(INDEX(Eingabe!$G$9:$G$18,I1180)+1)*100,3000)+J1180-100),IF(J1180=K1180+1,2000+INDEX(Eingabe!$G$9:$G$18,I1180)*10+1,IF(J1180=K1180+2,2000+INDEX(Eingabe!$G$9:$G$18,I1180)*10+2,2000+INDEX(Eingabe!$G$9:$G$18,I1180)*10+9))),""))</f>
        <v/>
      </c>
      <c r="C1180" s="0" t="str">
        <f aca="false">IF(I1180="","",IF(AND(J1180&gt;=1,J1180&lt;=K1180+3),"10."&amp;INDEX(Eingabe!$D$9:$D$18,I1180)&amp;"."&amp;IF(J1180&lt;=K1180,J1180,IF(J1180=K1180+1,200,IF(J1180=K1180+2,201,250)))&amp;".0/24",""))</f>
        <v/>
      </c>
      <c r="D1180" s="0" t="str">
        <f aca="false">IF(I1180="","",IF(AND(J1180&gt;=1,J1180&lt;=K1180+3),"255.255.255.0",""))</f>
        <v/>
      </c>
      <c r="E1180" s="0" t="str">
        <f aca="false">IF(I1180="","",IF(AND(J1180&gt;=1,J1180&lt;=K1180+3),"10."&amp;INDEX(Eingabe!$D$9:$D$18,I1180)&amp;"."&amp;IF(J1180&lt;=K1180,J1180,IF(J1180=K1180+1,200,IF(J1180=K1180+2,201,250)))&amp;".1",""))</f>
        <v/>
      </c>
      <c r="F1180" s="0" t="str">
        <f aca="false">IF(I1180="","",IF(AND(J1180&gt;=1,J1180&lt;=K1180+3),"10."&amp;INDEX(Eingabe!$D$9:$D$18,I1180)&amp;"."&amp;IF(J1180&lt;=K1180,J1180,IF(J1180=K1180+1,200,IF(J1180=K1180+2,201,250)))&amp;".10 – 10."&amp;INDEX(Eingabe!$D$9:$D$18,I1180)&amp;"."&amp;IF(J1180&lt;=K1180,J1180,IF(J1180=K1180+1,200,IF(J1180=K1180+2,201,250)))&amp;".250",""))</f>
        <v/>
      </c>
      <c r="G1180" s="0" t="str">
        <f aca="false">IF(I1180="","",IF(AND(J1180&gt;=1,J1180&lt;=K1180),Eingabe!$B$6&amp;"-"&amp;INDEX(Eingabe!$C$9:$C$18,I1180)&amp;"-Pächter  ·  Passwort Parzelle "&amp;J1180,IF(J1180=K1180+1,Eingabe!$B$6&amp;"-"&amp;INDEX(Eingabe!$C$9:$C$18,I1180)&amp;"-Vorstand  ·  eigenes WLAN",IF(J1180=K1180+2,Eingabe!$B$6&amp;"-"&amp;INDEX(Eingabe!$C$9:$C$18,I1180)&amp;"-Gäste  ·  Voucher",IF(J1180=K1180+3,"Kabel  ·  Access Point y = .(50+y), Mast-Switch x = .(10+x)","")))))</f>
        <v/>
      </c>
      <c r="I1180" s="0" t="str">
        <f aca="false">IF(1175&lt;=(Eingabe!$P$18+Eingabe!$Q$18-1),MATCH(1175,Eingabe!$P$9:$P$18,1),"")</f>
        <v/>
      </c>
      <c r="J1180" s="0" t="str">
        <f aca="false">IF(I1180="","",1175-INDEX(Eingabe!$P$9:$P$18,I1180))</f>
        <v/>
      </c>
      <c r="K1180" s="0" t="str">
        <f aca="false">IF(I1180="","",INDEX(Eingabe!$E$9:$E$18,I1180))</f>
        <v/>
      </c>
    </row>
    <row r="1181" customFormat="false" ht="15" hidden="false" customHeight="false" outlineLevel="0" collapsed="false">
      <c r="A1181" s="0" t="str">
        <f aca="false">IF(I1181="","",IF(J1181=0,"Sparte "&amp;I1181&amp;": "&amp;INDEX(Eingabe!$B$9:$B$18,I1181)&amp;"  (Sparten-ID "&amp;INDEX(Eingabe!$D$9:$D$18,I1181)&amp;", "&amp;K1181&amp;" Parzellen)",IF(J1181&lt;=K1181,"   Parzelle "&amp;J1181,IF(J1181=K1181+1,"   Vorstand",IF(J1181=K1181+2,"   Gäste",IF(J1181=K1181+3,"   Technik (Switches, Access Points)",""))))))</f>
        <v/>
      </c>
      <c r="B1181" s="0" t="str">
        <f aca="false">IF(I1181="","",IF(AND(J1181&gt;=1,J1181&lt;=K1181+3),IF(J1181&lt;=K1181,IF(J1181&lt;=99,IF((INDEX(Eingabe!$G$9:$G$18,I1181))&lt;=9,1000+(INDEX(Eingabe!$G$9:$G$18,I1181))*100,3000)+J1181,IF((INDEX(Eingabe!$G$9:$G$18,I1181)+1)&lt;=9,1000+(INDEX(Eingabe!$G$9:$G$18,I1181)+1)*100,3000)+J1181-100),IF(J1181=K1181+1,2000+INDEX(Eingabe!$G$9:$G$18,I1181)*10+1,IF(J1181=K1181+2,2000+INDEX(Eingabe!$G$9:$G$18,I1181)*10+2,2000+INDEX(Eingabe!$G$9:$G$18,I1181)*10+9))),""))</f>
        <v/>
      </c>
      <c r="C1181" s="0" t="str">
        <f aca="false">IF(I1181="","",IF(AND(J1181&gt;=1,J1181&lt;=K1181+3),"10."&amp;INDEX(Eingabe!$D$9:$D$18,I1181)&amp;"."&amp;IF(J1181&lt;=K1181,J1181,IF(J1181=K1181+1,200,IF(J1181=K1181+2,201,250)))&amp;".0/24",""))</f>
        <v/>
      </c>
      <c r="D1181" s="0" t="str">
        <f aca="false">IF(I1181="","",IF(AND(J1181&gt;=1,J1181&lt;=K1181+3),"255.255.255.0",""))</f>
        <v/>
      </c>
      <c r="E1181" s="0" t="str">
        <f aca="false">IF(I1181="","",IF(AND(J1181&gt;=1,J1181&lt;=K1181+3),"10."&amp;INDEX(Eingabe!$D$9:$D$18,I1181)&amp;"."&amp;IF(J1181&lt;=K1181,J1181,IF(J1181=K1181+1,200,IF(J1181=K1181+2,201,250)))&amp;".1",""))</f>
        <v/>
      </c>
      <c r="F1181" s="0" t="str">
        <f aca="false">IF(I1181="","",IF(AND(J1181&gt;=1,J1181&lt;=K1181+3),"10."&amp;INDEX(Eingabe!$D$9:$D$18,I1181)&amp;"."&amp;IF(J1181&lt;=K1181,J1181,IF(J1181=K1181+1,200,IF(J1181=K1181+2,201,250)))&amp;".10 – 10."&amp;INDEX(Eingabe!$D$9:$D$18,I1181)&amp;"."&amp;IF(J1181&lt;=K1181,J1181,IF(J1181=K1181+1,200,IF(J1181=K1181+2,201,250)))&amp;".250",""))</f>
        <v/>
      </c>
      <c r="G1181" s="0" t="str">
        <f aca="false">IF(I1181="","",IF(AND(J1181&gt;=1,J1181&lt;=K1181),Eingabe!$B$6&amp;"-"&amp;INDEX(Eingabe!$C$9:$C$18,I1181)&amp;"-Pächter  ·  Passwort Parzelle "&amp;J1181,IF(J1181=K1181+1,Eingabe!$B$6&amp;"-"&amp;INDEX(Eingabe!$C$9:$C$18,I1181)&amp;"-Vorstand  ·  eigenes WLAN",IF(J1181=K1181+2,Eingabe!$B$6&amp;"-"&amp;INDEX(Eingabe!$C$9:$C$18,I1181)&amp;"-Gäste  ·  Voucher",IF(J1181=K1181+3,"Kabel  ·  Access Point y = .(50+y), Mast-Switch x = .(10+x)","")))))</f>
        <v/>
      </c>
      <c r="I1181" s="0" t="str">
        <f aca="false">IF(1176&lt;=(Eingabe!$P$18+Eingabe!$Q$18-1),MATCH(1176,Eingabe!$P$9:$P$18,1),"")</f>
        <v/>
      </c>
      <c r="J1181" s="0" t="str">
        <f aca="false">IF(I1181="","",1176-INDEX(Eingabe!$P$9:$P$18,I1181))</f>
        <v/>
      </c>
      <c r="K1181" s="0" t="str">
        <f aca="false">IF(I1181="","",INDEX(Eingabe!$E$9:$E$18,I1181))</f>
        <v/>
      </c>
    </row>
    <row r="1182" customFormat="false" ht="15" hidden="false" customHeight="false" outlineLevel="0" collapsed="false">
      <c r="A1182" s="0" t="str">
        <f aca="false">IF(I1182="","",IF(J1182=0,"Sparte "&amp;I1182&amp;": "&amp;INDEX(Eingabe!$B$9:$B$18,I1182)&amp;"  (Sparten-ID "&amp;INDEX(Eingabe!$D$9:$D$18,I1182)&amp;", "&amp;K1182&amp;" Parzellen)",IF(J1182&lt;=K1182,"   Parzelle "&amp;J1182,IF(J1182=K1182+1,"   Vorstand",IF(J1182=K1182+2,"   Gäste",IF(J1182=K1182+3,"   Technik (Switches, Access Points)",""))))))</f>
        <v/>
      </c>
      <c r="B1182" s="0" t="str">
        <f aca="false">IF(I1182="","",IF(AND(J1182&gt;=1,J1182&lt;=K1182+3),IF(J1182&lt;=K1182,IF(J1182&lt;=99,IF((INDEX(Eingabe!$G$9:$G$18,I1182))&lt;=9,1000+(INDEX(Eingabe!$G$9:$G$18,I1182))*100,3000)+J1182,IF((INDEX(Eingabe!$G$9:$G$18,I1182)+1)&lt;=9,1000+(INDEX(Eingabe!$G$9:$G$18,I1182)+1)*100,3000)+J1182-100),IF(J1182=K1182+1,2000+INDEX(Eingabe!$G$9:$G$18,I1182)*10+1,IF(J1182=K1182+2,2000+INDEX(Eingabe!$G$9:$G$18,I1182)*10+2,2000+INDEX(Eingabe!$G$9:$G$18,I1182)*10+9))),""))</f>
        <v/>
      </c>
      <c r="C1182" s="0" t="str">
        <f aca="false">IF(I1182="","",IF(AND(J1182&gt;=1,J1182&lt;=K1182+3),"10."&amp;INDEX(Eingabe!$D$9:$D$18,I1182)&amp;"."&amp;IF(J1182&lt;=K1182,J1182,IF(J1182=K1182+1,200,IF(J1182=K1182+2,201,250)))&amp;".0/24",""))</f>
        <v/>
      </c>
      <c r="D1182" s="0" t="str">
        <f aca="false">IF(I1182="","",IF(AND(J1182&gt;=1,J1182&lt;=K1182+3),"255.255.255.0",""))</f>
        <v/>
      </c>
      <c r="E1182" s="0" t="str">
        <f aca="false">IF(I1182="","",IF(AND(J1182&gt;=1,J1182&lt;=K1182+3),"10."&amp;INDEX(Eingabe!$D$9:$D$18,I1182)&amp;"."&amp;IF(J1182&lt;=K1182,J1182,IF(J1182=K1182+1,200,IF(J1182=K1182+2,201,250)))&amp;".1",""))</f>
        <v/>
      </c>
      <c r="F1182" s="0" t="str">
        <f aca="false">IF(I1182="","",IF(AND(J1182&gt;=1,J1182&lt;=K1182+3),"10."&amp;INDEX(Eingabe!$D$9:$D$18,I1182)&amp;"."&amp;IF(J1182&lt;=K1182,J1182,IF(J1182=K1182+1,200,IF(J1182=K1182+2,201,250)))&amp;".10 – 10."&amp;INDEX(Eingabe!$D$9:$D$18,I1182)&amp;"."&amp;IF(J1182&lt;=K1182,J1182,IF(J1182=K1182+1,200,IF(J1182=K1182+2,201,250)))&amp;".250",""))</f>
        <v/>
      </c>
      <c r="G1182" s="0" t="str">
        <f aca="false">IF(I1182="","",IF(AND(J1182&gt;=1,J1182&lt;=K1182),Eingabe!$B$6&amp;"-"&amp;INDEX(Eingabe!$C$9:$C$18,I1182)&amp;"-Pächter  ·  Passwort Parzelle "&amp;J1182,IF(J1182=K1182+1,Eingabe!$B$6&amp;"-"&amp;INDEX(Eingabe!$C$9:$C$18,I1182)&amp;"-Vorstand  ·  eigenes WLAN",IF(J1182=K1182+2,Eingabe!$B$6&amp;"-"&amp;INDEX(Eingabe!$C$9:$C$18,I1182)&amp;"-Gäste  ·  Voucher",IF(J1182=K1182+3,"Kabel  ·  Access Point y = .(50+y), Mast-Switch x = .(10+x)","")))))</f>
        <v/>
      </c>
      <c r="I1182" s="0" t="str">
        <f aca="false">IF(1177&lt;=(Eingabe!$P$18+Eingabe!$Q$18-1),MATCH(1177,Eingabe!$P$9:$P$18,1),"")</f>
        <v/>
      </c>
      <c r="J1182" s="0" t="str">
        <f aca="false">IF(I1182="","",1177-INDEX(Eingabe!$P$9:$P$18,I1182))</f>
        <v/>
      </c>
      <c r="K1182" s="0" t="str">
        <f aca="false">IF(I1182="","",INDEX(Eingabe!$E$9:$E$18,I1182))</f>
        <v/>
      </c>
    </row>
    <row r="1183" customFormat="false" ht="15" hidden="false" customHeight="false" outlineLevel="0" collapsed="false">
      <c r="A1183" s="0" t="str">
        <f aca="false">IF(I1183="","",IF(J1183=0,"Sparte "&amp;I1183&amp;": "&amp;INDEX(Eingabe!$B$9:$B$18,I1183)&amp;"  (Sparten-ID "&amp;INDEX(Eingabe!$D$9:$D$18,I1183)&amp;", "&amp;K1183&amp;" Parzellen)",IF(J1183&lt;=K1183,"   Parzelle "&amp;J1183,IF(J1183=K1183+1,"   Vorstand",IF(J1183=K1183+2,"   Gäste",IF(J1183=K1183+3,"   Technik (Switches, Access Points)",""))))))</f>
        <v/>
      </c>
      <c r="B1183" s="0" t="str">
        <f aca="false">IF(I1183="","",IF(AND(J1183&gt;=1,J1183&lt;=K1183+3),IF(J1183&lt;=K1183,IF(J1183&lt;=99,IF((INDEX(Eingabe!$G$9:$G$18,I1183))&lt;=9,1000+(INDEX(Eingabe!$G$9:$G$18,I1183))*100,3000)+J1183,IF((INDEX(Eingabe!$G$9:$G$18,I1183)+1)&lt;=9,1000+(INDEX(Eingabe!$G$9:$G$18,I1183)+1)*100,3000)+J1183-100),IF(J1183=K1183+1,2000+INDEX(Eingabe!$G$9:$G$18,I1183)*10+1,IF(J1183=K1183+2,2000+INDEX(Eingabe!$G$9:$G$18,I1183)*10+2,2000+INDEX(Eingabe!$G$9:$G$18,I1183)*10+9))),""))</f>
        <v/>
      </c>
      <c r="C1183" s="0" t="str">
        <f aca="false">IF(I1183="","",IF(AND(J1183&gt;=1,J1183&lt;=K1183+3),"10."&amp;INDEX(Eingabe!$D$9:$D$18,I1183)&amp;"."&amp;IF(J1183&lt;=K1183,J1183,IF(J1183=K1183+1,200,IF(J1183=K1183+2,201,250)))&amp;".0/24",""))</f>
        <v/>
      </c>
      <c r="D1183" s="0" t="str">
        <f aca="false">IF(I1183="","",IF(AND(J1183&gt;=1,J1183&lt;=K1183+3),"255.255.255.0",""))</f>
        <v/>
      </c>
      <c r="E1183" s="0" t="str">
        <f aca="false">IF(I1183="","",IF(AND(J1183&gt;=1,J1183&lt;=K1183+3),"10."&amp;INDEX(Eingabe!$D$9:$D$18,I1183)&amp;"."&amp;IF(J1183&lt;=K1183,J1183,IF(J1183=K1183+1,200,IF(J1183=K1183+2,201,250)))&amp;".1",""))</f>
        <v/>
      </c>
      <c r="F1183" s="0" t="str">
        <f aca="false">IF(I1183="","",IF(AND(J1183&gt;=1,J1183&lt;=K1183+3),"10."&amp;INDEX(Eingabe!$D$9:$D$18,I1183)&amp;"."&amp;IF(J1183&lt;=K1183,J1183,IF(J1183=K1183+1,200,IF(J1183=K1183+2,201,250)))&amp;".10 – 10."&amp;INDEX(Eingabe!$D$9:$D$18,I1183)&amp;"."&amp;IF(J1183&lt;=K1183,J1183,IF(J1183=K1183+1,200,IF(J1183=K1183+2,201,250)))&amp;".250",""))</f>
        <v/>
      </c>
      <c r="G1183" s="0" t="str">
        <f aca="false">IF(I1183="","",IF(AND(J1183&gt;=1,J1183&lt;=K1183),Eingabe!$B$6&amp;"-"&amp;INDEX(Eingabe!$C$9:$C$18,I1183)&amp;"-Pächter  ·  Passwort Parzelle "&amp;J1183,IF(J1183=K1183+1,Eingabe!$B$6&amp;"-"&amp;INDEX(Eingabe!$C$9:$C$18,I1183)&amp;"-Vorstand  ·  eigenes WLAN",IF(J1183=K1183+2,Eingabe!$B$6&amp;"-"&amp;INDEX(Eingabe!$C$9:$C$18,I1183)&amp;"-Gäste  ·  Voucher",IF(J1183=K1183+3,"Kabel  ·  Access Point y = .(50+y), Mast-Switch x = .(10+x)","")))))</f>
        <v/>
      </c>
      <c r="I1183" s="0" t="str">
        <f aca="false">IF(1178&lt;=(Eingabe!$P$18+Eingabe!$Q$18-1),MATCH(1178,Eingabe!$P$9:$P$18,1),"")</f>
        <v/>
      </c>
      <c r="J1183" s="0" t="str">
        <f aca="false">IF(I1183="","",1178-INDEX(Eingabe!$P$9:$P$18,I1183))</f>
        <v/>
      </c>
      <c r="K1183" s="0" t="str">
        <f aca="false">IF(I1183="","",INDEX(Eingabe!$E$9:$E$18,I1183))</f>
        <v/>
      </c>
    </row>
    <row r="1184" customFormat="false" ht="15" hidden="false" customHeight="false" outlineLevel="0" collapsed="false">
      <c r="A1184" s="0" t="str">
        <f aca="false">IF(I1184="","",IF(J1184=0,"Sparte "&amp;I1184&amp;": "&amp;INDEX(Eingabe!$B$9:$B$18,I1184)&amp;"  (Sparten-ID "&amp;INDEX(Eingabe!$D$9:$D$18,I1184)&amp;", "&amp;K1184&amp;" Parzellen)",IF(J1184&lt;=K1184,"   Parzelle "&amp;J1184,IF(J1184=K1184+1,"   Vorstand",IF(J1184=K1184+2,"   Gäste",IF(J1184=K1184+3,"   Technik (Switches, Access Points)",""))))))</f>
        <v/>
      </c>
      <c r="B1184" s="0" t="str">
        <f aca="false">IF(I1184="","",IF(AND(J1184&gt;=1,J1184&lt;=K1184+3),IF(J1184&lt;=K1184,IF(J1184&lt;=99,IF((INDEX(Eingabe!$G$9:$G$18,I1184))&lt;=9,1000+(INDEX(Eingabe!$G$9:$G$18,I1184))*100,3000)+J1184,IF((INDEX(Eingabe!$G$9:$G$18,I1184)+1)&lt;=9,1000+(INDEX(Eingabe!$G$9:$G$18,I1184)+1)*100,3000)+J1184-100),IF(J1184=K1184+1,2000+INDEX(Eingabe!$G$9:$G$18,I1184)*10+1,IF(J1184=K1184+2,2000+INDEX(Eingabe!$G$9:$G$18,I1184)*10+2,2000+INDEX(Eingabe!$G$9:$G$18,I1184)*10+9))),""))</f>
        <v/>
      </c>
      <c r="C1184" s="0" t="str">
        <f aca="false">IF(I1184="","",IF(AND(J1184&gt;=1,J1184&lt;=K1184+3),"10."&amp;INDEX(Eingabe!$D$9:$D$18,I1184)&amp;"."&amp;IF(J1184&lt;=K1184,J1184,IF(J1184=K1184+1,200,IF(J1184=K1184+2,201,250)))&amp;".0/24",""))</f>
        <v/>
      </c>
      <c r="D1184" s="0" t="str">
        <f aca="false">IF(I1184="","",IF(AND(J1184&gt;=1,J1184&lt;=K1184+3),"255.255.255.0",""))</f>
        <v/>
      </c>
      <c r="E1184" s="0" t="str">
        <f aca="false">IF(I1184="","",IF(AND(J1184&gt;=1,J1184&lt;=K1184+3),"10."&amp;INDEX(Eingabe!$D$9:$D$18,I1184)&amp;"."&amp;IF(J1184&lt;=K1184,J1184,IF(J1184=K1184+1,200,IF(J1184=K1184+2,201,250)))&amp;".1",""))</f>
        <v/>
      </c>
      <c r="F1184" s="0" t="str">
        <f aca="false">IF(I1184="","",IF(AND(J1184&gt;=1,J1184&lt;=K1184+3),"10."&amp;INDEX(Eingabe!$D$9:$D$18,I1184)&amp;"."&amp;IF(J1184&lt;=K1184,J1184,IF(J1184=K1184+1,200,IF(J1184=K1184+2,201,250)))&amp;".10 – 10."&amp;INDEX(Eingabe!$D$9:$D$18,I1184)&amp;"."&amp;IF(J1184&lt;=K1184,J1184,IF(J1184=K1184+1,200,IF(J1184=K1184+2,201,250)))&amp;".250",""))</f>
        <v/>
      </c>
      <c r="G1184" s="0" t="str">
        <f aca="false">IF(I1184="","",IF(AND(J1184&gt;=1,J1184&lt;=K1184),Eingabe!$B$6&amp;"-"&amp;INDEX(Eingabe!$C$9:$C$18,I1184)&amp;"-Pächter  ·  Passwort Parzelle "&amp;J1184,IF(J1184=K1184+1,Eingabe!$B$6&amp;"-"&amp;INDEX(Eingabe!$C$9:$C$18,I1184)&amp;"-Vorstand  ·  eigenes WLAN",IF(J1184=K1184+2,Eingabe!$B$6&amp;"-"&amp;INDEX(Eingabe!$C$9:$C$18,I1184)&amp;"-Gäste  ·  Voucher",IF(J1184=K1184+3,"Kabel  ·  Access Point y = .(50+y), Mast-Switch x = .(10+x)","")))))</f>
        <v/>
      </c>
      <c r="I1184" s="0" t="str">
        <f aca="false">IF(1179&lt;=(Eingabe!$P$18+Eingabe!$Q$18-1),MATCH(1179,Eingabe!$P$9:$P$18,1),"")</f>
        <v/>
      </c>
      <c r="J1184" s="0" t="str">
        <f aca="false">IF(I1184="","",1179-INDEX(Eingabe!$P$9:$P$18,I1184))</f>
        <v/>
      </c>
      <c r="K1184" s="0" t="str">
        <f aca="false">IF(I1184="","",INDEX(Eingabe!$E$9:$E$18,I1184))</f>
        <v/>
      </c>
    </row>
    <row r="1185" customFormat="false" ht="15" hidden="false" customHeight="false" outlineLevel="0" collapsed="false">
      <c r="A1185" s="0" t="str">
        <f aca="false">IF(I1185="","",IF(J1185=0,"Sparte "&amp;I1185&amp;": "&amp;INDEX(Eingabe!$B$9:$B$18,I1185)&amp;"  (Sparten-ID "&amp;INDEX(Eingabe!$D$9:$D$18,I1185)&amp;", "&amp;K1185&amp;" Parzellen)",IF(J1185&lt;=K1185,"   Parzelle "&amp;J1185,IF(J1185=K1185+1,"   Vorstand",IF(J1185=K1185+2,"   Gäste",IF(J1185=K1185+3,"   Technik (Switches, Access Points)",""))))))</f>
        <v/>
      </c>
      <c r="B1185" s="0" t="str">
        <f aca="false">IF(I1185="","",IF(AND(J1185&gt;=1,J1185&lt;=K1185+3),IF(J1185&lt;=K1185,IF(J1185&lt;=99,IF((INDEX(Eingabe!$G$9:$G$18,I1185))&lt;=9,1000+(INDEX(Eingabe!$G$9:$G$18,I1185))*100,3000)+J1185,IF((INDEX(Eingabe!$G$9:$G$18,I1185)+1)&lt;=9,1000+(INDEX(Eingabe!$G$9:$G$18,I1185)+1)*100,3000)+J1185-100),IF(J1185=K1185+1,2000+INDEX(Eingabe!$G$9:$G$18,I1185)*10+1,IF(J1185=K1185+2,2000+INDEX(Eingabe!$G$9:$G$18,I1185)*10+2,2000+INDEX(Eingabe!$G$9:$G$18,I1185)*10+9))),""))</f>
        <v/>
      </c>
      <c r="C1185" s="0" t="str">
        <f aca="false">IF(I1185="","",IF(AND(J1185&gt;=1,J1185&lt;=K1185+3),"10."&amp;INDEX(Eingabe!$D$9:$D$18,I1185)&amp;"."&amp;IF(J1185&lt;=K1185,J1185,IF(J1185=K1185+1,200,IF(J1185=K1185+2,201,250)))&amp;".0/24",""))</f>
        <v/>
      </c>
      <c r="D1185" s="0" t="str">
        <f aca="false">IF(I1185="","",IF(AND(J1185&gt;=1,J1185&lt;=K1185+3),"255.255.255.0",""))</f>
        <v/>
      </c>
      <c r="E1185" s="0" t="str">
        <f aca="false">IF(I1185="","",IF(AND(J1185&gt;=1,J1185&lt;=K1185+3),"10."&amp;INDEX(Eingabe!$D$9:$D$18,I1185)&amp;"."&amp;IF(J1185&lt;=K1185,J1185,IF(J1185=K1185+1,200,IF(J1185=K1185+2,201,250)))&amp;".1",""))</f>
        <v/>
      </c>
      <c r="F1185" s="0" t="str">
        <f aca="false">IF(I1185="","",IF(AND(J1185&gt;=1,J1185&lt;=K1185+3),"10."&amp;INDEX(Eingabe!$D$9:$D$18,I1185)&amp;"."&amp;IF(J1185&lt;=K1185,J1185,IF(J1185=K1185+1,200,IF(J1185=K1185+2,201,250)))&amp;".10 – 10."&amp;INDEX(Eingabe!$D$9:$D$18,I1185)&amp;"."&amp;IF(J1185&lt;=K1185,J1185,IF(J1185=K1185+1,200,IF(J1185=K1185+2,201,250)))&amp;".250",""))</f>
        <v/>
      </c>
      <c r="G1185" s="0" t="str">
        <f aca="false">IF(I1185="","",IF(AND(J1185&gt;=1,J1185&lt;=K1185),Eingabe!$B$6&amp;"-"&amp;INDEX(Eingabe!$C$9:$C$18,I1185)&amp;"-Pächter  ·  Passwort Parzelle "&amp;J1185,IF(J1185=K1185+1,Eingabe!$B$6&amp;"-"&amp;INDEX(Eingabe!$C$9:$C$18,I1185)&amp;"-Vorstand  ·  eigenes WLAN",IF(J1185=K1185+2,Eingabe!$B$6&amp;"-"&amp;INDEX(Eingabe!$C$9:$C$18,I1185)&amp;"-Gäste  ·  Voucher",IF(J1185=K1185+3,"Kabel  ·  Access Point y = .(50+y), Mast-Switch x = .(10+x)","")))))</f>
        <v/>
      </c>
      <c r="I1185" s="0" t="str">
        <f aca="false">IF(1180&lt;=(Eingabe!$P$18+Eingabe!$Q$18-1),MATCH(1180,Eingabe!$P$9:$P$18,1),"")</f>
        <v/>
      </c>
      <c r="J1185" s="0" t="str">
        <f aca="false">IF(I1185="","",1180-INDEX(Eingabe!$P$9:$P$18,I1185))</f>
        <v/>
      </c>
      <c r="K1185" s="0" t="str">
        <f aca="false">IF(I1185="","",INDEX(Eingabe!$E$9:$E$18,I1185))</f>
        <v/>
      </c>
    </row>
    <row r="1186" customFormat="false" ht="15" hidden="false" customHeight="false" outlineLevel="0" collapsed="false">
      <c r="A1186" s="0" t="str">
        <f aca="false">IF(I1186="","",IF(J1186=0,"Sparte "&amp;I1186&amp;": "&amp;INDEX(Eingabe!$B$9:$B$18,I1186)&amp;"  (Sparten-ID "&amp;INDEX(Eingabe!$D$9:$D$18,I1186)&amp;", "&amp;K1186&amp;" Parzellen)",IF(J1186&lt;=K1186,"   Parzelle "&amp;J1186,IF(J1186=K1186+1,"   Vorstand",IF(J1186=K1186+2,"   Gäste",IF(J1186=K1186+3,"   Technik (Switches, Access Points)",""))))))</f>
        <v/>
      </c>
      <c r="B1186" s="0" t="str">
        <f aca="false">IF(I1186="","",IF(AND(J1186&gt;=1,J1186&lt;=K1186+3),IF(J1186&lt;=K1186,IF(J1186&lt;=99,IF((INDEX(Eingabe!$G$9:$G$18,I1186))&lt;=9,1000+(INDEX(Eingabe!$G$9:$G$18,I1186))*100,3000)+J1186,IF((INDEX(Eingabe!$G$9:$G$18,I1186)+1)&lt;=9,1000+(INDEX(Eingabe!$G$9:$G$18,I1186)+1)*100,3000)+J1186-100),IF(J1186=K1186+1,2000+INDEX(Eingabe!$G$9:$G$18,I1186)*10+1,IF(J1186=K1186+2,2000+INDEX(Eingabe!$G$9:$G$18,I1186)*10+2,2000+INDEX(Eingabe!$G$9:$G$18,I1186)*10+9))),""))</f>
        <v/>
      </c>
      <c r="C1186" s="0" t="str">
        <f aca="false">IF(I1186="","",IF(AND(J1186&gt;=1,J1186&lt;=K1186+3),"10."&amp;INDEX(Eingabe!$D$9:$D$18,I1186)&amp;"."&amp;IF(J1186&lt;=K1186,J1186,IF(J1186=K1186+1,200,IF(J1186=K1186+2,201,250)))&amp;".0/24",""))</f>
        <v/>
      </c>
      <c r="D1186" s="0" t="str">
        <f aca="false">IF(I1186="","",IF(AND(J1186&gt;=1,J1186&lt;=K1186+3),"255.255.255.0",""))</f>
        <v/>
      </c>
      <c r="E1186" s="0" t="str">
        <f aca="false">IF(I1186="","",IF(AND(J1186&gt;=1,J1186&lt;=K1186+3),"10."&amp;INDEX(Eingabe!$D$9:$D$18,I1186)&amp;"."&amp;IF(J1186&lt;=K1186,J1186,IF(J1186=K1186+1,200,IF(J1186=K1186+2,201,250)))&amp;".1",""))</f>
        <v/>
      </c>
      <c r="F1186" s="0" t="str">
        <f aca="false">IF(I1186="","",IF(AND(J1186&gt;=1,J1186&lt;=K1186+3),"10."&amp;INDEX(Eingabe!$D$9:$D$18,I1186)&amp;"."&amp;IF(J1186&lt;=K1186,J1186,IF(J1186=K1186+1,200,IF(J1186=K1186+2,201,250)))&amp;".10 – 10."&amp;INDEX(Eingabe!$D$9:$D$18,I1186)&amp;"."&amp;IF(J1186&lt;=K1186,J1186,IF(J1186=K1186+1,200,IF(J1186=K1186+2,201,250)))&amp;".250",""))</f>
        <v/>
      </c>
      <c r="G1186" s="0" t="str">
        <f aca="false">IF(I1186="","",IF(AND(J1186&gt;=1,J1186&lt;=K1186),Eingabe!$B$6&amp;"-"&amp;INDEX(Eingabe!$C$9:$C$18,I1186)&amp;"-Pächter  ·  Passwort Parzelle "&amp;J1186,IF(J1186=K1186+1,Eingabe!$B$6&amp;"-"&amp;INDEX(Eingabe!$C$9:$C$18,I1186)&amp;"-Vorstand  ·  eigenes WLAN",IF(J1186=K1186+2,Eingabe!$B$6&amp;"-"&amp;INDEX(Eingabe!$C$9:$C$18,I1186)&amp;"-Gäste  ·  Voucher",IF(J1186=K1186+3,"Kabel  ·  Access Point y = .(50+y), Mast-Switch x = .(10+x)","")))))</f>
        <v/>
      </c>
      <c r="I1186" s="0" t="str">
        <f aca="false">IF(1181&lt;=(Eingabe!$P$18+Eingabe!$Q$18-1),MATCH(1181,Eingabe!$P$9:$P$18,1),"")</f>
        <v/>
      </c>
      <c r="J1186" s="0" t="str">
        <f aca="false">IF(I1186="","",1181-INDEX(Eingabe!$P$9:$P$18,I1186))</f>
        <v/>
      </c>
      <c r="K1186" s="0" t="str">
        <f aca="false">IF(I1186="","",INDEX(Eingabe!$E$9:$E$18,I1186))</f>
        <v/>
      </c>
    </row>
    <row r="1187" customFormat="false" ht="15" hidden="false" customHeight="false" outlineLevel="0" collapsed="false">
      <c r="A1187" s="0" t="str">
        <f aca="false">IF(I1187="","",IF(J1187=0,"Sparte "&amp;I1187&amp;": "&amp;INDEX(Eingabe!$B$9:$B$18,I1187)&amp;"  (Sparten-ID "&amp;INDEX(Eingabe!$D$9:$D$18,I1187)&amp;", "&amp;K1187&amp;" Parzellen)",IF(J1187&lt;=K1187,"   Parzelle "&amp;J1187,IF(J1187=K1187+1,"   Vorstand",IF(J1187=K1187+2,"   Gäste",IF(J1187=K1187+3,"   Technik (Switches, Access Points)",""))))))</f>
        <v/>
      </c>
      <c r="B1187" s="0" t="str">
        <f aca="false">IF(I1187="","",IF(AND(J1187&gt;=1,J1187&lt;=K1187+3),IF(J1187&lt;=K1187,IF(J1187&lt;=99,IF((INDEX(Eingabe!$G$9:$G$18,I1187))&lt;=9,1000+(INDEX(Eingabe!$G$9:$G$18,I1187))*100,3000)+J1187,IF((INDEX(Eingabe!$G$9:$G$18,I1187)+1)&lt;=9,1000+(INDEX(Eingabe!$G$9:$G$18,I1187)+1)*100,3000)+J1187-100),IF(J1187=K1187+1,2000+INDEX(Eingabe!$G$9:$G$18,I1187)*10+1,IF(J1187=K1187+2,2000+INDEX(Eingabe!$G$9:$G$18,I1187)*10+2,2000+INDEX(Eingabe!$G$9:$G$18,I1187)*10+9))),""))</f>
        <v/>
      </c>
      <c r="C1187" s="0" t="str">
        <f aca="false">IF(I1187="","",IF(AND(J1187&gt;=1,J1187&lt;=K1187+3),"10."&amp;INDEX(Eingabe!$D$9:$D$18,I1187)&amp;"."&amp;IF(J1187&lt;=K1187,J1187,IF(J1187=K1187+1,200,IF(J1187=K1187+2,201,250)))&amp;".0/24",""))</f>
        <v/>
      </c>
      <c r="D1187" s="0" t="str">
        <f aca="false">IF(I1187="","",IF(AND(J1187&gt;=1,J1187&lt;=K1187+3),"255.255.255.0",""))</f>
        <v/>
      </c>
      <c r="E1187" s="0" t="str">
        <f aca="false">IF(I1187="","",IF(AND(J1187&gt;=1,J1187&lt;=K1187+3),"10."&amp;INDEX(Eingabe!$D$9:$D$18,I1187)&amp;"."&amp;IF(J1187&lt;=K1187,J1187,IF(J1187=K1187+1,200,IF(J1187=K1187+2,201,250)))&amp;".1",""))</f>
        <v/>
      </c>
      <c r="F1187" s="0" t="str">
        <f aca="false">IF(I1187="","",IF(AND(J1187&gt;=1,J1187&lt;=K1187+3),"10."&amp;INDEX(Eingabe!$D$9:$D$18,I1187)&amp;"."&amp;IF(J1187&lt;=K1187,J1187,IF(J1187=K1187+1,200,IF(J1187=K1187+2,201,250)))&amp;".10 – 10."&amp;INDEX(Eingabe!$D$9:$D$18,I1187)&amp;"."&amp;IF(J1187&lt;=K1187,J1187,IF(J1187=K1187+1,200,IF(J1187=K1187+2,201,250)))&amp;".250",""))</f>
        <v/>
      </c>
      <c r="G1187" s="0" t="str">
        <f aca="false">IF(I1187="","",IF(AND(J1187&gt;=1,J1187&lt;=K1187),Eingabe!$B$6&amp;"-"&amp;INDEX(Eingabe!$C$9:$C$18,I1187)&amp;"-Pächter  ·  Passwort Parzelle "&amp;J1187,IF(J1187=K1187+1,Eingabe!$B$6&amp;"-"&amp;INDEX(Eingabe!$C$9:$C$18,I1187)&amp;"-Vorstand  ·  eigenes WLAN",IF(J1187=K1187+2,Eingabe!$B$6&amp;"-"&amp;INDEX(Eingabe!$C$9:$C$18,I1187)&amp;"-Gäste  ·  Voucher",IF(J1187=K1187+3,"Kabel  ·  Access Point y = .(50+y), Mast-Switch x = .(10+x)","")))))</f>
        <v/>
      </c>
      <c r="I1187" s="0" t="str">
        <f aca="false">IF(1182&lt;=(Eingabe!$P$18+Eingabe!$Q$18-1),MATCH(1182,Eingabe!$P$9:$P$18,1),"")</f>
        <v/>
      </c>
      <c r="J1187" s="0" t="str">
        <f aca="false">IF(I1187="","",1182-INDEX(Eingabe!$P$9:$P$18,I1187))</f>
        <v/>
      </c>
      <c r="K1187" s="0" t="str">
        <f aca="false">IF(I1187="","",INDEX(Eingabe!$E$9:$E$18,I1187))</f>
        <v/>
      </c>
    </row>
    <row r="1188" customFormat="false" ht="15" hidden="false" customHeight="false" outlineLevel="0" collapsed="false">
      <c r="A1188" s="0" t="str">
        <f aca="false">IF(I1188="","",IF(J1188=0,"Sparte "&amp;I1188&amp;": "&amp;INDEX(Eingabe!$B$9:$B$18,I1188)&amp;"  (Sparten-ID "&amp;INDEX(Eingabe!$D$9:$D$18,I1188)&amp;", "&amp;K1188&amp;" Parzellen)",IF(J1188&lt;=K1188,"   Parzelle "&amp;J1188,IF(J1188=K1188+1,"   Vorstand",IF(J1188=K1188+2,"   Gäste",IF(J1188=K1188+3,"   Technik (Switches, Access Points)",""))))))</f>
        <v/>
      </c>
      <c r="B1188" s="0" t="str">
        <f aca="false">IF(I1188="","",IF(AND(J1188&gt;=1,J1188&lt;=K1188+3),IF(J1188&lt;=K1188,IF(J1188&lt;=99,IF((INDEX(Eingabe!$G$9:$G$18,I1188))&lt;=9,1000+(INDEX(Eingabe!$G$9:$G$18,I1188))*100,3000)+J1188,IF((INDEX(Eingabe!$G$9:$G$18,I1188)+1)&lt;=9,1000+(INDEX(Eingabe!$G$9:$G$18,I1188)+1)*100,3000)+J1188-100),IF(J1188=K1188+1,2000+INDEX(Eingabe!$G$9:$G$18,I1188)*10+1,IF(J1188=K1188+2,2000+INDEX(Eingabe!$G$9:$G$18,I1188)*10+2,2000+INDEX(Eingabe!$G$9:$G$18,I1188)*10+9))),""))</f>
        <v/>
      </c>
      <c r="C1188" s="0" t="str">
        <f aca="false">IF(I1188="","",IF(AND(J1188&gt;=1,J1188&lt;=K1188+3),"10."&amp;INDEX(Eingabe!$D$9:$D$18,I1188)&amp;"."&amp;IF(J1188&lt;=K1188,J1188,IF(J1188=K1188+1,200,IF(J1188=K1188+2,201,250)))&amp;".0/24",""))</f>
        <v/>
      </c>
      <c r="D1188" s="0" t="str">
        <f aca="false">IF(I1188="","",IF(AND(J1188&gt;=1,J1188&lt;=K1188+3),"255.255.255.0",""))</f>
        <v/>
      </c>
      <c r="E1188" s="0" t="str">
        <f aca="false">IF(I1188="","",IF(AND(J1188&gt;=1,J1188&lt;=K1188+3),"10."&amp;INDEX(Eingabe!$D$9:$D$18,I1188)&amp;"."&amp;IF(J1188&lt;=K1188,J1188,IF(J1188=K1188+1,200,IF(J1188=K1188+2,201,250)))&amp;".1",""))</f>
        <v/>
      </c>
      <c r="F1188" s="0" t="str">
        <f aca="false">IF(I1188="","",IF(AND(J1188&gt;=1,J1188&lt;=K1188+3),"10."&amp;INDEX(Eingabe!$D$9:$D$18,I1188)&amp;"."&amp;IF(J1188&lt;=K1188,J1188,IF(J1188=K1188+1,200,IF(J1188=K1188+2,201,250)))&amp;".10 – 10."&amp;INDEX(Eingabe!$D$9:$D$18,I1188)&amp;"."&amp;IF(J1188&lt;=K1188,J1188,IF(J1188=K1188+1,200,IF(J1188=K1188+2,201,250)))&amp;".250",""))</f>
        <v/>
      </c>
      <c r="G1188" s="0" t="str">
        <f aca="false">IF(I1188="","",IF(AND(J1188&gt;=1,J1188&lt;=K1188),Eingabe!$B$6&amp;"-"&amp;INDEX(Eingabe!$C$9:$C$18,I1188)&amp;"-Pächter  ·  Passwort Parzelle "&amp;J1188,IF(J1188=K1188+1,Eingabe!$B$6&amp;"-"&amp;INDEX(Eingabe!$C$9:$C$18,I1188)&amp;"-Vorstand  ·  eigenes WLAN",IF(J1188=K1188+2,Eingabe!$B$6&amp;"-"&amp;INDEX(Eingabe!$C$9:$C$18,I1188)&amp;"-Gäste  ·  Voucher",IF(J1188=K1188+3,"Kabel  ·  Access Point y = .(50+y), Mast-Switch x = .(10+x)","")))))</f>
        <v/>
      </c>
      <c r="I1188" s="0" t="str">
        <f aca="false">IF(1183&lt;=(Eingabe!$P$18+Eingabe!$Q$18-1),MATCH(1183,Eingabe!$P$9:$P$18,1),"")</f>
        <v/>
      </c>
      <c r="J1188" s="0" t="str">
        <f aca="false">IF(I1188="","",1183-INDEX(Eingabe!$P$9:$P$18,I1188))</f>
        <v/>
      </c>
      <c r="K1188" s="0" t="str">
        <f aca="false">IF(I1188="","",INDEX(Eingabe!$E$9:$E$18,I1188))</f>
        <v/>
      </c>
    </row>
    <row r="1189" customFormat="false" ht="15" hidden="false" customHeight="false" outlineLevel="0" collapsed="false">
      <c r="A1189" s="0" t="str">
        <f aca="false">IF(I1189="","",IF(J1189=0,"Sparte "&amp;I1189&amp;": "&amp;INDEX(Eingabe!$B$9:$B$18,I1189)&amp;"  (Sparten-ID "&amp;INDEX(Eingabe!$D$9:$D$18,I1189)&amp;", "&amp;K1189&amp;" Parzellen)",IF(J1189&lt;=K1189,"   Parzelle "&amp;J1189,IF(J1189=K1189+1,"   Vorstand",IF(J1189=K1189+2,"   Gäste",IF(J1189=K1189+3,"   Technik (Switches, Access Points)",""))))))</f>
        <v/>
      </c>
      <c r="B1189" s="0" t="str">
        <f aca="false">IF(I1189="","",IF(AND(J1189&gt;=1,J1189&lt;=K1189+3),IF(J1189&lt;=K1189,IF(J1189&lt;=99,IF((INDEX(Eingabe!$G$9:$G$18,I1189))&lt;=9,1000+(INDEX(Eingabe!$G$9:$G$18,I1189))*100,3000)+J1189,IF((INDEX(Eingabe!$G$9:$G$18,I1189)+1)&lt;=9,1000+(INDEX(Eingabe!$G$9:$G$18,I1189)+1)*100,3000)+J1189-100),IF(J1189=K1189+1,2000+INDEX(Eingabe!$G$9:$G$18,I1189)*10+1,IF(J1189=K1189+2,2000+INDEX(Eingabe!$G$9:$G$18,I1189)*10+2,2000+INDEX(Eingabe!$G$9:$G$18,I1189)*10+9))),""))</f>
        <v/>
      </c>
      <c r="C1189" s="0" t="str">
        <f aca="false">IF(I1189="","",IF(AND(J1189&gt;=1,J1189&lt;=K1189+3),"10."&amp;INDEX(Eingabe!$D$9:$D$18,I1189)&amp;"."&amp;IF(J1189&lt;=K1189,J1189,IF(J1189=K1189+1,200,IF(J1189=K1189+2,201,250)))&amp;".0/24",""))</f>
        <v/>
      </c>
      <c r="D1189" s="0" t="str">
        <f aca="false">IF(I1189="","",IF(AND(J1189&gt;=1,J1189&lt;=K1189+3),"255.255.255.0",""))</f>
        <v/>
      </c>
      <c r="E1189" s="0" t="str">
        <f aca="false">IF(I1189="","",IF(AND(J1189&gt;=1,J1189&lt;=K1189+3),"10."&amp;INDEX(Eingabe!$D$9:$D$18,I1189)&amp;"."&amp;IF(J1189&lt;=K1189,J1189,IF(J1189=K1189+1,200,IF(J1189=K1189+2,201,250)))&amp;".1",""))</f>
        <v/>
      </c>
      <c r="F1189" s="0" t="str">
        <f aca="false">IF(I1189="","",IF(AND(J1189&gt;=1,J1189&lt;=K1189+3),"10."&amp;INDEX(Eingabe!$D$9:$D$18,I1189)&amp;"."&amp;IF(J1189&lt;=K1189,J1189,IF(J1189=K1189+1,200,IF(J1189=K1189+2,201,250)))&amp;".10 – 10."&amp;INDEX(Eingabe!$D$9:$D$18,I1189)&amp;"."&amp;IF(J1189&lt;=K1189,J1189,IF(J1189=K1189+1,200,IF(J1189=K1189+2,201,250)))&amp;".250",""))</f>
        <v/>
      </c>
      <c r="G1189" s="0" t="str">
        <f aca="false">IF(I1189="","",IF(AND(J1189&gt;=1,J1189&lt;=K1189),Eingabe!$B$6&amp;"-"&amp;INDEX(Eingabe!$C$9:$C$18,I1189)&amp;"-Pächter  ·  Passwort Parzelle "&amp;J1189,IF(J1189=K1189+1,Eingabe!$B$6&amp;"-"&amp;INDEX(Eingabe!$C$9:$C$18,I1189)&amp;"-Vorstand  ·  eigenes WLAN",IF(J1189=K1189+2,Eingabe!$B$6&amp;"-"&amp;INDEX(Eingabe!$C$9:$C$18,I1189)&amp;"-Gäste  ·  Voucher",IF(J1189=K1189+3,"Kabel  ·  Access Point y = .(50+y), Mast-Switch x = .(10+x)","")))))</f>
        <v/>
      </c>
      <c r="I1189" s="0" t="str">
        <f aca="false">IF(1184&lt;=(Eingabe!$P$18+Eingabe!$Q$18-1),MATCH(1184,Eingabe!$P$9:$P$18,1),"")</f>
        <v/>
      </c>
      <c r="J1189" s="0" t="str">
        <f aca="false">IF(I1189="","",1184-INDEX(Eingabe!$P$9:$P$18,I1189))</f>
        <v/>
      </c>
      <c r="K1189" s="0" t="str">
        <f aca="false">IF(I1189="","",INDEX(Eingabe!$E$9:$E$18,I1189))</f>
        <v/>
      </c>
    </row>
    <row r="1190" customFormat="false" ht="15" hidden="false" customHeight="false" outlineLevel="0" collapsed="false">
      <c r="A1190" s="0" t="str">
        <f aca="false">IF(I1190="","",IF(J1190=0,"Sparte "&amp;I1190&amp;": "&amp;INDEX(Eingabe!$B$9:$B$18,I1190)&amp;"  (Sparten-ID "&amp;INDEX(Eingabe!$D$9:$D$18,I1190)&amp;", "&amp;K1190&amp;" Parzellen)",IF(J1190&lt;=K1190,"   Parzelle "&amp;J1190,IF(J1190=K1190+1,"   Vorstand",IF(J1190=K1190+2,"   Gäste",IF(J1190=K1190+3,"   Technik (Switches, Access Points)",""))))))</f>
        <v/>
      </c>
      <c r="B1190" s="0" t="str">
        <f aca="false">IF(I1190="","",IF(AND(J1190&gt;=1,J1190&lt;=K1190+3),IF(J1190&lt;=K1190,IF(J1190&lt;=99,IF((INDEX(Eingabe!$G$9:$G$18,I1190))&lt;=9,1000+(INDEX(Eingabe!$G$9:$G$18,I1190))*100,3000)+J1190,IF((INDEX(Eingabe!$G$9:$G$18,I1190)+1)&lt;=9,1000+(INDEX(Eingabe!$G$9:$G$18,I1190)+1)*100,3000)+J1190-100),IF(J1190=K1190+1,2000+INDEX(Eingabe!$G$9:$G$18,I1190)*10+1,IF(J1190=K1190+2,2000+INDEX(Eingabe!$G$9:$G$18,I1190)*10+2,2000+INDEX(Eingabe!$G$9:$G$18,I1190)*10+9))),""))</f>
        <v/>
      </c>
      <c r="C1190" s="0" t="str">
        <f aca="false">IF(I1190="","",IF(AND(J1190&gt;=1,J1190&lt;=K1190+3),"10."&amp;INDEX(Eingabe!$D$9:$D$18,I1190)&amp;"."&amp;IF(J1190&lt;=K1190,J1190,IF(J1190=K1190+1,200,IF(J1190=K1190+2,201,250)))&amp;".0/24",""))</f>
        <v/>
      </c>
      <c r="D1190" s="0" t="str">
        <f aca="false">IF(I1190="","",IF(AND(J1190&gt;=1,J1190&lt;=K1190+3),"255.255.255.0",""))</f>
        <v/>
      </c>
      <c r="E1190" s="0" t="str">
        <f aca="false">IF(I1190="","",IF(AND(J1190&gt;=1,J1190&lt;=K1190+3),"10."&amp;INDEX(Eingabe!$D$9:$D$18,I1190)&amp;"."&amp;IF(J1190&lt;=K1190,J1190,IF(J1190=K1190+1,200,IF(J1190=K1190+2,201,250)))&amp;".1",""))</f>
        <v/>
      </c>
      <c r="F1190" s="0" t="str">
        <f aca="false">IF(I1190="","",IF(AND(J1190&gt;=1,J1190&lt;=K1190+3),"10."&amp;INDEX(Eingabe!$D$9:$D$18,I1190)&amp;"."&amp;IF(J1190&lt;=K1190,J1190,IF(J1190=K1190+1,200,IF(J1190=K1190+2,201,250)))&amp;".10 – 10."&amp;INDEX(Eingabe!$D$9:$D$18,I1190)&amp;"."&amp;IF(J1190&lt;=K1190,J1190,IF(J1190=K1190+1,200,IF(J1190=K1190+2,201,250)))&amp;".250",""))</f>
        <v/>
      </c>
      <c r="G1190" s="0" t="str">
        <f aca="false">IF(I1190="","",IF(AND(J1190&gt;=1,J1190&lt;=K1190),Eingabe!$B$6&amp;"-"&amp;INDEX(Eingabe!$C$9:$C$18,I1190)&amp;"-Pächter  ·  Passwort Parzelle "&amp;J1190,IF(J1190=K1190+1,Eingabe!$B$6&amp;"-"&amp;INDEX(Eingabe!$C$9:$C$18,I1190)&amp;"-Vorstand  ·  eigenes WLAN",IF(J1190=K1190+2,Eingabe!$B$6&amp;"-"&amp;INDEX(Eingabe!$C$9:$C$18,I1190)&amp;"-Gäste  ·  Voucher",IF(J1190=K1190+3,"Kabel  ·  Access Point y = .(50+y), Mast-Switch x = .(10+x)","")))))</f>
        <v/>
      </c>
      <c r="I1190" s="0" t="str">
        <f aca="false">IF(1185&lt;=(Eingabe!$P$18+Eingabe!$Q$18-1),MATCH(1185,Eingabe!$P$9:$P$18,1),"")</f>
        <v/>
      </c>
      <c r="J1190" s="0" t="str">
        <f aca="false">IF(I1190="","",1185-INDEX(Eingabe!$P$9:$P$18,I1190))</f>
        <v/>
      </c>
      <c r="K1190" s="0" t="str">
        <f aca="false">IF(I1190="","",INDEX(Eingabe!$E$9:$E$18,I1190))</f>
        <v/>
      </c>
    </row>
    <row r="1191" customFormat="false" ht="15" hidden="false" customHeight="false" outlineLevel="0" collapsed="false">
      <c r="A1191" s="0" t="str">
        <f aca="false">IF(I1191="","",IF(J1191=0,"Sparte "&amp;I1191&amp;": "&amp;INDEX(Eingabe!$B$9:$B$18,I1191)&amp;"  (Sparten-ID "&amp;INDEX(Eingabe!$D$9:$D$18,I1191)&amp;", "&amp;K1191&amp;" Parzellen)",IF(J1191&lt;=K1191,"   Parzelle "&amp;J1191,IF(J1191=K1191+1,"   Vorstand",IF(J1191=K1191+2,"   Gäste",IF(J1191=K1191+3,"   Technik (Switches, Access Points)",""))))))</f>
        <v/>
      </c>
      <c r="B1191" s="0" t="str">
        <f aca="false">IF(I1191="","",IF(AND(J1191&gt;=1,J1191&lt;=K1191+3),IF(J1191&lt;=K1191,IF(J1191&lt;=99,IF((INDEX(Eingabe!$G$9:$G$18,I1191))&lt;=9,1000+(INDEX(Eingabe!$G$9:$G$18,I1191))*100,3000)+J1191,IF((INDEX(Eingabe!$G$9:$G$18,I1191)+1)&lt;=9,1000+(INDEX(Eingabe!$G$9:$G$18,I1191)+1)*100,3000)+J1191-100),IF(J1191=K1191+1,2000+INDEX(Eingabe!$G$9:$G$18,I1191)*10+1,IF(J1191=K1191+2,2000+INDEX(Eingabe!$G$9:$G$18,I1191)*10+2,2000+INDEX(Eingabe!$G$9:$G$18,I1191)*10+9))),""))</f>
        <v/>
      </c>
      <c r="C1191" s="0" t="str">
        <f aca="false">IF(I1191="","",IF(AND(J1191&gt;=1,J1191&lt;=K1191+3),"10."&amp;INDEX(Eingabe!$D$9:$D$18,I1191)&amp;"."&amp;IF(J1191&lt;=K1191,J1191,IF(J1191=K1191+1,200,IF(J1191=K1191+2,201,250)))&amp;".0/24",""))</f>
        <v/>
      </c>
      <c r="D1191" s="0" t="str">
        <f aca="false">IF(I1191="","",IF(AND(J1191&gt;=1,J1191&lt;=K1191+3),"255.255.255.0",""))</f>
        <v/>
      </c>
      <c r="E1191" s="0" t="str">
        <f aca="false">IF(I1191="","",IF(AND(J1191&gt;=1,J1191&lt;=K1191+3),"10."&amp;INDEX(Eingabe!$D$9:$D$18,I1191)&amp;"."&amp;IF(J1191&lt;=K1191,J1191,IF(J1191=K1191+1,200,IF(J1191=K1191+2,201,250)))&amp;".1",""))</f>
        <v/>
      </c>
      <c r="F1191" s="0" t="str">
        <f aca="false">IF(I1191="","",IF(AND(J1191&gt;=1,J1191&lt;=K1191+3),"10."&amp;INDEX(Eingabe!$D$9:$D$18,I1191)&amp;"."&amp;IF(J1191&lt;=K1191,J1191,IF(J1191=K1191+1,200,IF(J1191=K1191+2,201,250)))&amp;".10 – 10."&amp;INDEX(Eingabe!$D$9:$D$18,I1191)&amp;"."&amp;IF(J1191&lt;=K1191,J1191,IF(J1191=K1191+1,200,IF(J1191=K1191+2,201,250)))&amp;".250",""))</f>
        <v/>
      </c>
      <c r="G1191" s="0" t="str">
        <f aca="false">IF(I1191="","",IF(AND(J1191&gt;=1,J1191&lt;=K1191),Eingabe!$B$6&amp;"-"&amp;INDEX(Eingabe!$C$9:$C$18,I1191)&amp;"-Pächter  ·  Passwort Parzelle "&amp;J1191,IF(J1191=K1191+1,Eingabe!$B$6&amp;"-"&amp;INDEX(Eingabe!$C$9:$C$18,I1191)&amp;"-Vorstand  ·  eigenes WLAN",IF(J1191=K1191+2,Eingabe!$B$6&amp;"-"&amp;INDEX(Eingabe!$C$9:$C$18,I1191)&amp;"-Gäste  ·  Voucher",IF(J1191=K1191+3,"Kabel  ·  Access Point y = .(50+y), Mast-Switch x = .(10+x)","")))))</f>
        <v/>
      </c>
      <c r="I1191" s="0" t="str">
        <f aca="false">IF(1186&lt;=(Eingabe!$P$18+Eingabe!$Q$18-1),MATCH(1186,Eingabe!$P$9:$P$18,1),"")</f>
        <v/>
      </c>
      <c r="J1191" s="0" t="str">
        <f aca="false">IF(I1191="","",1186-INDEX(Eingabe!$P$9:$P$18,I1191))</f>
        <v/>
      </c>
      <c r="K1191" s="0" t="str">
        <f aca="false">IF(I1191="","",INDEX(Eingabe!$E$9:$E$18,I1191))</f>
        <v/>
      </c>
    </row>
    <row r="1192" customFormat="false" ht="15" hidden="false" customHeight="false" outlineLevel="0" collapsed="false">
      <c r="A1192" s="0" t="str">
        <f aca="false">IF(I1192="","",IF(J1192=0,"Sparte "&amp;I1192&amp;": "&amp;INDEX(Eingabe!$B$9:$B$18,I1192)&amp;"  (Sparten-ID "&amp;INDEX(Eingabe!$D$9:$D$18,I1192)&amp;", "&amp;K1192&amp;" Parzellen)",IF(J1192&lt;=K1192,"   Parzelle "&amp;J1192,IF(J1192=K1192+1,"   Vorstand",IF(J1192=K1192+2,"   Gäste",IF(J1192=K1192+3,"   Technik (Switches, Access Points)",""))))))</f>
        <v/>
      </c>
      <c r="B1192" s="0" t="str">
        <f aca="false">IF(I1192="","",IF(AND(J1192&gt;=1,J1192&lt;=K1192+3),IF(J1192&lt;=K1192,IF(J1192&lt;=99,IF((INDEX(Eingabe!$G$9:$G$18,I1192))&lt;=9,1000+(INDEX(Eingabe!$G$9:$G$18,I1192))*100,3000)+J1192,IF((INDEX(Eingabe!$G$9:$G$18,I1192)+1)&lt;=9,1000+(INDEX(Eingabe!$G$9:$G$18,I1192)+1)*100,3000)+J1192-100),IF(J1192=K1192+1,2000+INDEX(Eingabe!$G$9:$G$18,I1192)*10+1,IF(J1192=K1192+2,2000+INDEX(Eingabe!$G$9:$G$18,I1192)*10+2,2000+INDEX(Eingabe!$G$9:$G$18,I1192)*10+9))),""))</f>
        <v/>
      </c>
      <c r="C1192" s="0" t="str">
        <f aca="false">IF(I1192="","",IF(AND(J1192&gt;=1,J1192&lt;=K1192+3),"10."&amp;INDEX(Eingabe!$D$9:$D$18,I1192)&amp;"."&amp;IF(J1192&lt;=K1192,J1192,IF(J1192=K1192+1,200,IF(J1192=K1192+2,201,250)))&amp;".0/24",""))</f>
        <v/>
      </c>
      <c r="D1192" s="0" t="str">
        <f aca="false">IF(I1192="","",IF(AND(J1192&gt;=1,J1192&lt;=K1192+3),"255.255.255.0",""))</f>
        <v/>
      </c>
      <c r="E1192" s="0" t="str">
        <f aca="false">IF(I1192="","",IF(AND(J1192&gt;=1,J1192&lt;=K1192+3),"10."&amp;INDEX(Eingabe!$D$9:$D$18,I1192)&amp;"."&amp;IF(J1192&lt;=K1192,J1192,IF(J1192=K1192+1,200,IF(J1192=K1192+2,201,250)))&amp;".1",""))</f>
        <v/>
      </c>
      <c r="F1192" s="0" t="str">
        <f aca="false">IF(I1192="","",IF(AND(J1192&gt;=1,J1192&lt;=K1192+3),"10."&amp;INDEX(Eingabe!$D$9:$D$18,I1192)&amp;"."&amp;IF(J1192&lt;=K1192,J1192,IF(J1192=K1192+1,200,IF(J1192=K1192+2,201,250)))&amp;".10 – 10."&amp;INDEX(Eingabe!$D$9:$D$18,I1192)&amp;"."&amp;IF(J1192&lt;=K1192,J1192,IF(J1192=K1192+1,200,IF(J1192=K1192+2,201,250)))&amp;".250",""))</f>
        <v/>
      </c>
      <c r="G1192" s="0" t="str">
        <f aca="false">IF(I1192="","",IF(AND(J1192&gt;=1,J1192&lt;=K1192),Eingabe!$B$6&amp;"-"&amp;INDEX(Eingabe!$C$9:$C$18,I1192)&amp;"-Pächter  ·  Passwort Parzelle "&amp;J1192,IF(J1192=K1192+1,Eingabe!$B$6&amp;"-"&amp;INDEX(Eingabe!$C$9:$C$18,I1192)&amp;"-Vorstand  ·  eigenes WLAN",IF(J1192=K1192+2,Eingabe!$B$6&amp;"-"&amp;INDEX(Eingabe!$C$9:$C$18,I1192)&amp;"-Gäste  ·  Voucher",IF(J1192=K1192+3,"Kabel  ·  Access Point y = .(50+y), Mast-Switch x = .(10+x)","")))))</f>
        <v/>
      </c>
      <c r="I1192" s="0" t="str">
        <f aca="false">IF(1187&lt;=(Eingabe!$P$18+Eingabe!$Q$18-1),MATCH(1187,Eingabe!$P$9:$P$18,1),"")</f>
        <v/>
      </c>
      <c r="J1192" s="0" t="str">
        <f aca="false">IF(I1192="","",1187-INDEX(Eingabe!$P$9:$P$18,I1192))</f>
        <v/>
      </c>
      <c r="K1192" s="0" t="str">
        <f aca="false">IF(I1192="","",INDEX(Eingabe!$E$9:$E$18,I1192))</f>
        <v/>
      </c>
    </row>
    <row r="1193" customFormat="false" ht="15" hidden="false" customHeight="false" outlineLevel="0" collapsed="false">
      <c r="A1193" s="0" t="str">
        <f aca="false">IF(I1193="","",IF(J1193=0,"Sparte "&amp;I1193&amp;": "&amp;INDEX(Eingabe!$B$9:$B$18,I1193)&amp;"  (Sparten-ID "&amp;INDEX(Eingabe!$D$9:$D$18,I1193)&amp;", "&amp;K1193&amp;" Parzellen)",IF(J1193&lt;=K1193,"   Parzelle "&amp;J1193,IF(J1193=K1193+1,"   Vorstand",IF(J1193=K1193+2,"   Gäste",IF(J1193=K1193+3,"   Technik (Switches, Access Points)",""))))))</f>
        <v/>
      </c>
      <c r="B1193" s="0" t="str">
        <f aca="false">IF(I1193="","",IF(AND(J1193&gt;=1,J1193&lt;=K1193+3),IF(J1193&lt;=K1193,IF(J1193&lt;=99,IF((INDEX(Eingabe!$G$9:$G$18,I1193))&lt;=9,1000+(INDEX(Eingabe!$G$9:$G$18,I1193))*100,3000)+J1193,IF((INDEX(Eingabe!$G$9:$G$18,I1193)+1)&lt;=9,1000+(INDEX(Eingabe!$G$9:$G$18,I1193)+1)*100,3000)+J1193-100),IF(J1193=K1193+1,2000+INDEX(Eingabe!$G$9:$G$18,I1193)*10+1,IF(J1193=K1193+2,2000+INDEX(Eingabe!$G$9:$G$18,I1193)*10+2,2000+INDEX(Eingabe!$G$9:$G$18,I1193)*10+9))),""))</f>
        <v/>
      </c>
      <c r="C1193" s="0" t="str">
        <f aca="false">IF(I1193="","",IF(AND(J1193&gt;=1,J1193&lt;=K1193+3),"10."&amp;INDEX(Eingabe!$D$9:$D$18,I1193)&amp;"."&amp;IF(J1193&lt;=K1193,J1193,IF(J1193=K1193+1,200,IF(J1193=K1193+2,201,250)))&amp;".0/24",""))</f>
        <v/>
      </c>
      <c r="D1193" s="0" t="str">
        <f aca="false">IF(I1193="","",IF(AND(J1193&gt;=1,J1193&lt;=K1193+3),"255.255.255.0",""))</f>
        <v/>
      </c>
      <c r="E1193" s="0" t="str">
        <f aca="false">IF(I1193="","",IF(AND(J1193&gt;=1,J1193&lt;=K1193+3),"10."&amp;INDEX(Eingabe!$D$9:$D$18,I1193)&amp;"."&amp;IF(J1193&lt;=K1193,J1193,IF(J1193=K1193+1,200,IF(J1193=K1193+2,201,250)))&amp;".1",""))</f>
        <v/>
      </c>
      <c r="F1193" s="0" t="str">
        <f aca="false">IF(I1193="","",IF(AND(J1193&gt;=1,J1193&lt;=K1193+3),"10."&amp;INDEX(Eingabe!$D$9:$D$18,I1193)&amp;"."&amp;IF(J1193&lt;=K1193,J1193,IF(J1193=K1193+1,200,IF(J1193=K1193+2,201,250)))&amp;".10 – 10."&amp;INDEX(Eingabe!$D$9:$D$18,I1193)&amp;"."&amp;IF(J1193&lt;=K1193,J1193,IF(J1193=K1193+1,200,IF(J1193=K1193+2,201,250)))&amp;".250",""))</f>
        <v/>
      </c>
      <c r="G1193" s="0" t="str">
        <f aca="false">IF(I1193="","",IF(AND(J1193&gt;=1,J1193&lt;=K1193),Eingabe!$B$6&amp;"-"&amp;INDEX(Eingabe!$C$9:$C$18,I1193)&amp;"-Pächter  ·  Passwort Parzelle "&amp;J1193,IF(J1193=K1193+1,Eingabe!$B$6&amp;"-"&amp;INDEX(Eingabe!$C$9:$C$18,I1193)&amp;"-Vorstand  ·  eigenes WLAN",IF(J1193=K1193+2,Eingabe!$B$6&amp;"-"&amp;INDEX(Eingabe!$C$9:$C$18,I1193)&amp;"-Gäste  ·  Voucher",IF(J1193=K1193+3,"Kabel  ·  Access Point y = .(50+y), Mast-Switch x = .(10+x)","")))))</f>
        <v/>
      </c>
      <c r="I1193" s="0" t="str">
        <f aca="false">IF(1188&lt;=(Eingabe!$P$18+Eingabe!$Q$18-1),MATCH(1188,Eingabe!$P$9:$P$18,1),"")</f>
        <v/>
      </c>
      <c r="J1193" s="0" t="str">
        <f aca="false">IF(I1193="","",1188-INDEX(Eingabe!$P$9:$P$18,I1193))</f>
        <v/>
      </c>
      <c r="K1193" s="0" t="str">
        <f aca="false">IF(I1193="","",INDEX(Eingabe!$E$9:$E$18,I1193))</f>
        <v/>
      </c>
    </row>
    <row r="1194" customFormat="false" ht="15" hidden="false" customHeight="false" outlineLevel="0" collapsed="false">
      <c r="A1194" s="0" t="str">
        <f aca="false">IF(I1194="","",IF(J1194=0,"Sparte "&amp;I1194&amp;": "&amp;INDEX(Eingabe!$B$9:$B$18,I1194)&amp;"  (Sparten-ID "&amp;INDEX(Eingabe!$D$9:$D$18,I1194)&amp;", "&amp;K1194&amp;" Parzellen)",IF(J1194&lt;=K1194,"   Parzelle "&amp;J1194,IF(J1194=K1194+1,"   Vorstand",IF(J1194=K1194+2,"   Gäste",IF(J1194=K1194+3,"   Technik (Switches, Access Points)",""))))))</f>
        <v/>
      </c>
      <c r="B1194" s="0" t="str">
        <f aca="false">IF(I1194="","",IF(AND(J1194&gt;=1,J1194&lt;=K1194+3),IF(J1194&lt;=K1194,IF(J1194&lt;=99,IF((INDEX(Eingabe!$G$9:$G$18,I1194))&lt;=9,1000+(INDEX(Eingabe!$G$9:$G$18,I1194))*100,3000)+J1194,IF((INDEX(Eingabe!$G$9:$G$18,I1194)+1)&lt;=9,1000+(INDEX(Eingabe!$G$9:$G$18,I1194)+1)*100,3000)+J1194-100),IF(J1194=K1194+1,2000+INDEX(Eingabe!$G$9:$G$18,I1194)*10+1,IF(J1194=K1194+2,2000+INDEX(Eingabe!$G$9:$G$18,I1194)*10+2,2000+INDEX(Eingabe!$G$9:$G$18,I1194)*10+9))),""))</f>
        <v/>
      </c>
      <c r="C1194" s="0" t="str">
        <f aca="false">IF(I1194="","",IF(AND(J1194&gt;=1,J1194&lt;=K1194+3),"10."&amp;INDEX(Eingabe!$D$9:$D$18,I1194)&amp;"."&amp;IF(J1194&lt;=K1194,J1194,IF(J1194=K1194+1,200,IF(J1194=K1194+2,201,250)))&amp;".0/24",""))</f>
        <v/>
      </c>
      <c r="D1194" s="0" t="str">
        <f aca="false">IF(I1194="","",IF(AND(J1194&gt;=1,J1194&lt;=K1194+3),"255.255.255.0",""))</f>
        <v/>
      </c>
      <c r="E1194" s="0" t="str">
        <f aca="false">IF(I1194="","",IF(AND(J1194&gt;=1,J1194&lt;=K1194+3),"10."&amp;INDEX(Eingabe!$D$9:$D$18,I1194)&amp;"."&amp;IF(J1194&lt;=K1194,J1194,IF(J1194=K1194+1,200,IF(J1194=K1194+2,201,250)))&amp;".1",""))</f>
        <v/>
      </c>
      <c r="F1194" s="0" t="str">
        <f aca="false">IF(I1194="","",IF(AND(J1194&gt;=1,J1194&lt;=K1194+3),"10."&amp;INDEX(Eingabe!$D$9:$D$18,I1194)&amp;"."&amp;IF(J1194&lt;=K1194,J1194,IF(J1194=K1194+1,200,IF(J1194=K1194+2,201,250)))&amp;".10 – 10."&amp;INDEX(Eingabe!$D$9:$D$18,I1194)&amp;"."&amp;IF(J1194&lt;=K1194,J1194,IF(J1194=K1194+1,200,IF(J1194=K1194+2,201,250)))&amp;".250",""))</f>
        <v/>
      </c>
      <c r="G1194" s="0" t="str">
        <f aca="false">IF(I1194="","",IF(AND(J1194&gt;=1,J1194&lt;=K1194),Eingabe!$B$6&amp;"-"&amp;INDEX(Eingabe!$C$9:$C$18,I1194)&amp;"-Pächter  ·  Passwort Parzelle "&amp;J1194,IF(J1194=K1194+1,Eingabe!$B$6&amp;"-"&amp;INDEX(Eingabe!$C$9:$C$18,I1194)&amp;"-Vorstand  ·  eigenes WLAN",IF(J1194=K1194+2,Eingabe!$B$6&amp;"-"&amp;INDEX(Eingabe!$C$9:$C$18,I1194)&amp;"-Gäste  ·  Voucher",IF(J1194=K1194+3,"Kabel  ·  Access Point y = .(50+y), Mast-Switch x = .(10+x)","")))))</f>
        <v/>
      </c>
      <c r="I1194" s="0" t="str">
        <f aca="false">IF(1189&lt;=(Eingabe!$P$18+Eingabe!$Q$18-1),MATCH(1189,Eingabe!$P$9:$P$18,1),"")</f>
        <v/>
      </c>
      <c r="J1194" s="0" t="str">
        <f aca="false">IF(I1194="","",1189-INDEX(Eingabe!$P$9:$P$18,I1194))</f>
        <v/>
      </c>
      <c r="K1194" s="0" t="str">
        <f aca="false">IF(I1194="","",INDEX(Eingabe!$E$9:$E$18,I1194))</f>
        <v/>
      </c>
    </row>
    <row r="1195" customFormat="false" ht="15" hidden="false" customHeight="false" outlineLevel="0" collapsed="false">
      <c r="A1195" s="0" t="str">
        <f aca="false">IF(I1195="","",IF(J1195=0,"Sparte "&amp;I1195&amp;": "&amp;INDEX(Eingabe!$B$9:$B$18,I1195)&amp;"  (Sparten-ID "&amp;INDEX(Eingabe!$D$9:$D$18,I1195)&amp;", "&amp;K1195&amp;" Parzellen)",IF(J1195&lt;=K1195,"   Parzelle "&amp;J1195,IF(J1195=K1195+1,"   Vorstand",IF(J1195=K1195+2,"   Gäste",IF(J1195=K1195+3,"   Technik (Switches, Access Points)",""))))))</f>
        <v/>
      </c>
      <c r="B1195" s="0" t="str">
        <f aca="false">IF(I1195="","",IF(AND(J1195&gt;=1,J1195&lt;=K1195+3),IF(J1195&lt;=K1195,IF(J1195&lt;=99,IF((INDEX(Eingabe!$G$9:$G$18,I1195))&lt;=9,1000+(INDEX(Eingabe!$G$9:$G$18,I1195))*100,3000)+J1195,IF((INDEX(Eingabe!$G$9:$G$18,I1195)+1)&lt;=9,1000+(INDEX(Eingabe!$G$9:$G$18,I1195)+1)*100,3000)+J1195-100),IF(J1195=K1195+1,2000+INDEX(Eingabe!$G$9:$G$18,I1195)*10+1,IF(J1195=K1195+2,2000+INDEX(Eingabe!$G$9:$G$18,I1195)*10+2,2000+INDEX(Eingabe!$G$9:$G$18,I1195)*10+9))),""))</f>
        <v/>
      </c>
      <c r="C1195" s="0" t="str">
        <f aca="false">IF(I1195="","",IF(AND(J1195&gt;=1,J1195&lt;=K1195+3),"10."&amp;INDEX(Eingabe!$D$9:$D$18,I1195)&amp;"."&amp;IF(J1195&lt;=K1195,J1195,IF(J1195=K1195+1,200,IF(J1195=K1195+2,201,250)))&amp;".0/24",""))</f>
        <v/>
      </c>
      <c r="D1195" s="0" t="str">
        <f aca="false">IF(I1195="","",IF(AND(J1195&gt;=1,J1195&lt;=K1195+3),"255.255.255.0",""))</f>
        <v/>
      </c>
      <c r="E1195" s="0" t="str">
        <f aca="false">IF(I1195="","",IF(AND(J1195&gt;=1,J1195&lt;=K1195+3),"10."&amp;INDEX(Eingabe!$D$9:$D$18,I1195)&amp;"."&amp;IF(J1195&lt;=K1195,J1195,IF(J1195=K1195+1,200,IF(J1195=K1195+2,201,250)))&amp;".1",""))</f>
        <v/>
      </c>
      <c r="F1195" s="0" t="str">
        <f aca="false">IF(I1195="","",IF(AND(J1195&gt;=1,J1195&lt;=K1195+3),"10."&amp;INDEX(Eingabe!$D$9:$D$18,I1195)&amp;"."&amp;IF(J1195&lt;=K1195,J1195,IF(J1195=K1195+1,200,IF(J1195=K1195+2,201,250)))&amp;".10 – 10."&amp;INDEX(Eingabe!$D$9:$D$18,I1195)&amp;"."&amp;IF(J1195&lt;=K1195,J1195,IF(J1195=K1195+1,200,IF(J1195=K1195+2,201,250)))&amp;".250",""))</f>
        <v/>
      </c>
      <c r="G1195" s="0" t="str">
        <f aca="false">IF(I1195="","",IF(AND(J1195&gt;=1,J1195&lt;=K1195),Eingabe!$B$6&amp;"-"&amp;INDEX(Eingabe!$C$9:$C$18,I1195)&amp;"-Pächter  ·  Passwort Parzelle "&amp;J1195,IF(J1195=K1195+1,Eingabe!$B$6&amp;"-"&amp;INDEX(Eingabe!$C$9:$C$18,I1195)&amp;"-Vorstand  ·  eigenes WLAN",IF(J1195=K1195+2,Eingabe!$B$6&amp;"-"&amp;INDEX(Eingabe!$C$9:$C$18,I1195)&amp;"-Gäste  ·  Voucher",IF(J1195=K1195+3,"Kabel  ·  Access Point y = .(50+y), Mast-Switch x = .(10+x)","")))))</f>
        <v/>
      </c>
      <c r="I1195" s="0" t="str">
        <f aca="false">IF(1190&lt;=(Eingabe!$P$18+Eingabe!$Q$18-1),MATCH(1190,Eingabe!$P$9:$P$18,1),"")</f>
        <v/>
      </c>
      <c r="J1195" s="0" t="str">
        <f aca="false">IF(I1195="","",1190-INDEX(Eingabe!$P$9:$P$18,I1195))</f>
        <v/>
      </c>
      <c r="K1195" s="0" t="str">
        <f aca="false">IF(I1195="","",INDEX(Eingabe!$E$9:$E$18,I1195))</f>
        <v/>
      </c>
    </row>
    <row r="1196" customFormat="false" ht="15" hidden="false" customHeight="false" outlineLevel="0" collapsed="false">
      <c r="A1196" s="0" t="str">
        <f aca="false">IF(I1196="","",IF(J1196=0,"Sparte "&amp;I1196&amp;": "&amp;INDEX(Eingabe!$B$9:$B$18,I1196)&amp;"  (Sparten-ID "&amp;INDEX(Eingabe!$D$9:$D$18,I1196)&amp;", "&amp;K1196&amp;" Parzellen)",IF(J1196&lt;=K1196,"   Parzelle "&amp;J1196,IF(J1196=K1196+1,"   Vorstand",IF(J1196=K1196+2,"   Gäste",IF(J1196=K1196+3,"   Technik (Switches, Access Points)",""))))))</f>
        <v/>
      </c>
      <c r="B1196" s="0" t="str">
        <f aca="false">IF(I1196="","",IF(AND(J1196&gt;=1,J1196&lt;=K1196+3),IF(J1196&lt;=K1196,IF(J1196&lt;=99,IF((INDEX(Eingabe!$G$9:$G$18,I1196))&lt;=9,1000+(INDEX(Eingabe!$G$9:$G$18,I1196))*100,3000)+J1196,IF((INDEX(Eingabe!$G$9:$G$18,I1196)+1)&lt;=9,1000+(INDEX(Eingabe!$G$9:$G$18,I1196)+1)*100,3000)+J1196-100),IF(J1196=K1196+1,2000+INDEX(Eingabe!$G$9:$G$18,I1196)*10+1,IF(J1196=K1196+2,2000+INDEX(Eingabe!$G$9:$G$18,I1196)*10+2,2000+INDEX(Eingabe!$G$9:$G$18,I1196)*10+9))),""))</f>
        <v/>
      </c>
      <c r="C1196" s="0" t="str">
        <f aca="false">IF(I1196="","",IF(AND(J1196&gt;=1,J1196&lt;=K1196+3),"10."&amp;INDEX(Eingabe!$D$9:$D$18,I1196)&amp;"."&amp;IF(J1196&lt;=K1196,J1196,IF(J1196=K1196+1,200,IF(J1196=K1196+2,201,250)))&amp;".0/24",""))</f>
        <v/>
      </c>
      <c r="D1196" s="0" t="str">
        <f aca="false">IF(I1196="","",IF(AND(J1196&gt;=1,J1196&lt;=K1196+3),"255.255.255.0",""))</f>
        <v/>
      </c>
      <c r="E1196" s="0" t="str">
        <f aca="false">IF(I1196="","",IF(AND(J1196&gt;=1,J1196&lt;=K1196+3),"10."&amp;INDEX(Eingabe!$D$9:$D$18,I1196)&amp;"."&amp;IF(J1196&lt;=K1196,J1196,IF(J1196=K1196+1,200,IF(J1196=K1196+2,201,250)))&amp;".1",""))</f>
        <v/>
      </c>
      <c r="F1196" s="0" t="str">
        <f aca="false">IF(I1196="","",IF(AND(J1196&gt;=1,J1196&lt;=K1196+3),"10."&amp;INDEX(Eingabe!$D$9:$D$18,I1196)&amp;"."&amp;IF(J1196&lt;=K1196,J1196,IF(J1196=K1196+1,200,IF(J1196=K1196+2,201,250)))&amp;".10 – 10."&amp;INDEX(Eingabe!$D$9:$D$18,I1196)&amp;"."&amp;IF(J1196&lt;=K1196,J1196,IF(J1196=K1196+1,200,IF(J1196=K1196+2,201,250)))&amp;".250",""))</f>
        <v/>
      </c>
      <c r="G1196" s="0" t="str">
        <f aca="false">IF(I1196="","",IF(AND(J1196&gt;=1,J1196&lt;=K1196),Eingabe!$B$6&amp;"-"&amp;INDEX(Eingabe!$C$9:$C$18,I1196)&amp;"-Pächter  ·  Passwort Parzelle "&amp;J1196,IF(J1196=K1196+1,Eingabe!$B$6&amp;"-"&amp;INDEX(Eingabe!$C$9:$C$18,I1196)&amp;"-Vorstand  ·  eigenes WLAN",IF(J1196=K1196+2,Eingabe!$B$6&amp;"-"&amp;INDEX(Eingabe!$C$9:$C$18,I1196)&amp;"-Gäste  ·  Voucher",IF(J1196=K1196+3,"Kabel  ·  Access Point y = .(50+y), Mast-Switch x = .(10+x)","")))))</f>
        <v/>
      </c>
      <c r="I1196" s="0" t="str">
        <f aca="false">IF(1191&lt;=(Eingabe!$P$18+Eingabe!$Q$18-1),MATCH(1191,Eingabe!$P$9:$P$18,1),"")</f>
        <v/>
      </c>
      <c r="J1196" s="0" t="str">
        <f aca="false">IF(I1196="","",1191-INDEX(Eingabe!$P$9:$P$18,I1196))</f>
        <v/>
      </c>
      <c r="K1196" s="0" t="str">
        <f aca="false">IF(I1196="","",INDEX(Eingabe!$E$9:$E$18,I1196))</f>
        <v/>
      </c>
    </row>
    <row r="1197" customFormat="false" ht="15" hidden="false" customHeight="false" outlineLevel="0" collapsed="false">
      <c r="A1197" s="0" t="str">
        <f aca="false">IF(I1197="","",IF(J1197=0,"Sparte "&amp;I1197&amp;": "&amp;INDEX(Eingabe!$B$9:$B$18,I1197)&amp;"  (Sparten-ID "&amp;INDEX(Eingabe!$D$9:$D$18,I1197)&amp;", "&amp;K1197&amp;" Parzellen)",IF(J1197&lt;=K1197,"   Parzelle "&amp;J1197,IF(J1197=K1197+1,"   Vorstand",IF(J1197=K1197+2,"   Gäste",IF(J1197=K1197+3,"   Technik (Switches, Access Points)",""))))))</f>
        <v/>
      </c>
      <c r="B1197" s="0" t="str">
        <f aca="false">IF(I1197="","",IF(AND(J1197&gt;=1,J1197&lt;=K1197+3),IF(J1197&lt;=K1197,IF(J1197&lt;=99,IF((INDEX(Eingabe!$G$9:$G$18,I1197))&lt;=9,1000+(INDEX(Eingabe!$G$9:$G$18,I1197))*100,3000)+J1197,IF((INDEX(Eingabe!$G$9:$G$18,I1197)+1)&lt;=9,1000+(INDEX(Eingabe!$G$9:$G$18,I1197)+1)*100,3000)+J1197-100),IF(J1197=K1197+1,2000+INDEX(Eingabe!$G$9:$G$18,I1197)*10+1,IF(J1197=K1197+2,2000+INDEX(Eingabe!$G$9:$G$18,I1197)*10+2,2000+INDEX(Eingabe!$G$9:$G$18,I1197)*10+9))),""))</f>
        <v/>
      </c>
      <c r="C1197" s="0" t="str">
        <f aca="false">IF(I1197="","",IF(AND(J1197&gt;=1,J1197&lt;=K1197+3),"10."&amp;INDEX(Eingabe!$D$9:$D$18,I1197)&amp;"."&amp;IF(J1197&lt;=K1197,J1197,IF(J1197=K1197+1,200,IF(J1197=K1197+2,201,250)))&amp;".0/24",""))</f>
        <v/>
      </c>
      <c r="D1197" s="0" t="str">
        <f aca="false">IF(I1197="","",IF(AND(J1197&gt;=1,J1197&lt;=K1197+3),"255.255.255.0",""))</f>
        <v/>
      </c>
      <c r="E1197" s="0" t="str">
        <f aca="false">IF(I1197="","",IF(AND(J1197&gt;=1,J1197&lt;=K1197+3),"10."&amp;INDEX(Eingabe!$D$9:$D$18,I1197)&amp;"."&amp;IF(J1197&lt;=K1197,J1197,IF(J1197=K1197+1,200,IF(J1197=K1197+2,201,250)))&amp;".1",""))</f>
        <v/>
      </c>
      <c r="F1197" s="0" t="str">
        <f aca="false">IF(I1197="","",IF(AND(J1197&gt;=1,J1197&lt;=K1197+3),"10."&amp;INDEX(Eingabe!$D$9:$D$18,I1197)&amp;"."&amp;IF(J1197&lt;=K1197,J1197,IF(J1197=K1197+1,200,IF(J1197=K1197+2,201,250)))&amp;".10 – 10."&amp;INDEX(Eingabe!$D$9:$D$18,I1197)&amp;"."&amp;IF(J1197&lt;=K1197,J1197,IF(J1197=K1197+1,200,IF(J1197=K1197+2,201,250)))&amp;".250",""))</f>
        <v/>
      </c>
      <c r="G1197" s="0" t="str">
        <f aca="false">IF(I1197="","",IF(AND(J1197&gt;=1,J1197&lt;=K1197),Eingabe!$B$6&amp;"-"&amp;INDEX(Eingabe!$C$9:$C$18,I1197)&amp;"-Pächter  ·  Passwort Parzelle "&amp;J1197,IF(J1197=K1197+1,Eingabe!$B$6&amp;"-"&amp;INDEX(Eingabe!$C$9:$C$18,I1197)&amp;"-Vorstand  ·  eigenes WLAN",IF(J1197=K1197+2,Eingabe!$B$6&amp;"-"&amp;INDEX(Eingabe!$C$9:$C$18,I1197)&amp;"-Gäste  ·  Voucher",IF(J1197=K1197+3,"Kabel  ·  Access Point y = .(50+y), Mast-Switch x = .(10+x)","")))))</f>
        <v/>
      </c>
      <c r="I1197" s="0" t="str">
        <f aca="false">IF(1192&lt;=(Eingabe!$P$18+Eingabe!$Q$18-1),MATCH(1192,Eingabe!$P$9:$P$18,1),"")</f>
        <v/>
      </c>
      <c r="J1197" s="0" t="str">
        <f aca="false">IF(I1197="","",1192-INDEX(Eingabe!$P$9:$P$18,I1197))</f>
        <v/>
      </c>
      <c r="K1197" s="0" t="str">
        <f aca="false">IF(I1197="","",INDEX(Eingabe!$E$9:$E$18,I1197))</f>
        <v/>
      </c>
    </row>
    <row r="1198" customFormat="false" ht="15" hidden="false" customHeight="false" outlineLevel="0" collapsed="false">
      <c r="A1198" s="0" t="str">
        <f aca="false">IF(I1198="","",IF(J1198=0,"Sparte "&amp;I1198&amp;": "&amp;INDEX(Eingabe!$B$9:$B$18,I1198)&amp;"  (Sparten-ID "&amp;INDEX(Eingabe!$D$9:$D$18,I1198)&amp;", "&amp;K1198&amp;" Parzellen)",IF(J1198&lt;=K1198,"   Parzelle "&amp;J1198,IF(J1198=K1198+1,"   Vorstand",IF(J1198=K1198+2,"   Gäste",IF(J1198=K1198+3,"   Technik (Switches, Access Points)",""))))))</f>
        <v/>
      </c>
      <c r="B1198" s="0" t="str">
        <f aca="false">IF(I1198="","",IF(AND(J1198&gt;=1,J1198&lt;=K1198+3),IF(J1198&lt;=K1198,IF(J1198&lt;=99,IF((INDEX(Eingabe!$G$9:$G$18,I1198))&lt;=9,1000+(INDEX(Eingabe!$G$9:$G$18,I1198))*100,3000)+J1198,IF((INDEX(Eingabe!$G$9:$G$18,I1198)+1)&lt;=9,1000+(INDEX(Eingabe!$G$9:$G$18,I1198)+1)*100,3000)+J1198-100),IF(J1198=K1198+1,2000+INDEX(Eingabe!$G$9:$G$18,I1198)*10+1,IF(J1198=K1198+2,2000+INDEX(Eingabe!$G$9:$G$18,I1198)*10+2,2000+INDEX(Eingabe!$G$9:$G$18,I1198)*10+9))),""))</f>
        <v/>
      </c>
      <c r="C1198" s="0" t="str">
        <f aca="false">IF(I1198="","",IF(AND(J1198&gt;=1,J1198&lt;=K1198+3),"10."&amp;INDEX(Eingabe!$D$9:$D$18,I1198)&amp;"."&amp;IF(J1198&lt;=K1198,J1198,IF(J1198=K1198+1,200,IF(J1198=K1198+2,201,250)))&amp;".0/24",""))</f>
        <v/>
      </c>
      <c r="D1198" s="0" t="str">
        <f aca="false">IF(I1198="","",IF(AND(J1198&gt;=1,J1198&lt;=K1198+3),"255.255.255.0",""))</f>
        <v/>
      </c>
      <c r="E1198" s="0" t="str">
        <f aca="false">IF(I1198="","",IF(AND(J1198&gt;=1,J1198&lt;=K1198+3),"10."&amp;INDEX(Eingabe!$D$9:$D$18,I1198)&amp;"."&amp;IF(J1198&lt;=K1198,J1198,IF(J1198=K1198+1,200,IF(J1198=K1198+2,201,250)))&amp;".1",""))</f>
        <v/>
      </c>
      <c r="F1198" s="0" t="str">
        <f aca="false">IF(I1198="","",IF(AND(J1198&gt;=1,J1198&lt;=K1198+3),"10."&amp;INDEX(Eingabe!$D$9:$D$18,I1198)&amp;"."&amp;IF(J1198&lt;=K1198,J1198,IF(J1198=K1198+1,200,IF(J1198=K1198+2,201,250)))&amp;".10 – 10."&amp;INDEX(Eingabe!$D$9:$D$18,I1198)&amp;"."&amp;IF(J1198&lt;=K1198,J1198,IF(J1198=K1198+1,200,IF(J1198=K1198+2,201,250)))&amp;".250",""))</f>
        <v/>
      </c>
      <c r="G1198" s="0" t="str">
        <f aca="false">IF(I1198="","",IF(AND(J1198&gt;=1,J1198&lt;=K1198),Eingabe!$B$6&amp;"-"&amp;INDEX(Eingabe!$C$9:$C$18,I1198)&amp;"-Pächter  ·  Passwort Parzelle "&amp;J1198,IF(J1198=K1198+1,Eingabe!$B$6&amp;"-"&amp;INDEX(Eingabe!$C$9:$C$18,I1198)&amp;"-Vorstand  ·  eigenes WLAN",IF(J1198=K1198+2,Eingabe!$B$6&amp;"-"&amp;INDEX(Eingabe!$C$9:$C$18,I1198)&amp;"-Gäste  ·  Voucher",IF(J1198=K1198+3,"Kabel  ·  Access Point y = .(50+y), Mast-Switch x = .(10+x)","")))))</f>
        <v/>
      </c>
      <c r="I1198" s="0" t="str">
        <f aca="false">IF(1193&lt;=(Eingabe!$P$18+Eingabe!$Q$18-1),MATCH(1193,Eingabe!$P$9:$P$18,1),"")</f>
        <v/>
      </c>
      <c r="J1198" s="0" t="str">
        <f aca="false">IF(I1198="","",1193-INDEX(Eingabe!$P$9:$P$18,I1198))</f>
        <v/>
      </c>
      <c r="K1198" s="0" t="str">
        <f aca="false">IF(I1198="","",INDEX(Eingabe!$E$9:$E$18,I1198))</f>
        <v/>
      </c>
    </row>
    <row r="1199" customFormat="false" ht="15" hidden="false" customHeight="false" outlineLevel="0" collapsed="false">
      <c r="A1199" s="0" t="str">
        <f aca="false">IF(I1199="","",IF(J1199=0,"Sparte "&amp;I1199&amp;": "&amp;INDEX(Eingabe!$B$9:$B$18,I1199)&amp;"  (Sparten-ID "&amp;INDEX(Eingabe!$D$9:$D$18,I1199)&amp;", "&amp;K1199&amp;" Parzellen)",IF(J1199&lt;=K1199,"   Parzelle "&amp;J1199,IF(J1199=K1199+1,"   Vorstand",IF(J1199=K1199+2,"   Gäste",IF(J1199=K1199+3,"   Technik (Switches, Access Points)",""))))))</f>
        <v/>
      </c>
      <c r="B1199" s="0" t="str">
        <f aca="false">IF(I1199="","",IF(AND(J1199&gt;=1,J1199&lt;=K1199+3),IF(J1199&lt;=K1199,IF(J1199&lt;=99,IF((INDEX(Eingabe!$G$9:$G$18,I1199))&lt;=9,1000+(INDEX(Eingabe!$G$9:$G$18,I1199))*100,3000)+J1199,IF((INDEX(Eingabe!$G$9:$G$18,I1199)+1)&lt;=9,1000+(INDEX(Eingabe!$G$9:$G$18,I1199)+1)*100,3000)+J1199-100),IF(J1199=K1199+1,2000+INDEX(Eingabe!$G$9:$G$18,I1199)*10+1,IF(J1199=K1199+2,2000+INDEX(Eingabe!$G$9:$G$18,I1199)*10+2,2000+INDEX(Eingabe!$G$9:$G$18,I1199)*10+9))),""))</f>
        <v/>
      </c>
      <c r="C1199" s="0" t="str">
        <f aca="false">IF(I1199="","",IF(AND(J1199&gt;=1,J1199&lt;=K1199+3),"10."&amp;INDEX(Eingabe!$D$9:$D$18,I1199)&amp;"."&amp;IF(J1199&lt;=K1199,J1199,IF(J1199=K1199+1,200,IF(J1199=K1199+2,201,250)))&amp;".0/24",""))</f>
        <v/>
      </c>
      <c r="D1199" s="0" t="str">
        <f aca="false">IF(I1199="","",IF(AND(J1199&gt;=1,J1199&lt;=K1199+3),"255.255.255.0",""))</f>
        <v/>
      </c>
      <c r="E1199" s="0" t="str">
        <f aca="false">IF(I1199="","",IF(AND(J1199&gt;=1,J1199&lt;=K1199+3),"10."&amp;INDEX(Eingabe!$D$9:$D$18,I1199)&amp;"."&amp;IF(J1199&lt;=K1199,J1199,IF(J1199=K1199+1,200,IF(J1199=K1199+2,201,250)))&amp;".1",""))</f>
        <v/>
      </c>
      <c r="F1199" s="0" t="str">
        <f aca="false">IF(I1199="","",IF(AND(J1199&gt;=1,J1199&lt;=K1199+3),"10."&amp;INDEX(Eingabe!$D$9:$D$18,I1199)&amp;"."&amp;IF(J1199&lt;=K1199,J1199,IF(J1199=K1199+1,200,IF(J1199=K1199+2,201,250)))&amp;".10 – 10."&amp;INDEX(Eingabe!$D$9:$D$18,I1199)&amp;"."&amp;IF(J1199&lt;=K1199,J1199,IF(J1199=K1199+1,200,IF(J1199=K1199+2,201,250)))&amp;".250",""))</f>
        <v/>
      </c>
      <c r="G1199" s="0" t="str">
        <f aca="false">IF(I1199="","",IF(AND(J1199&gt;=1,J1199&lt;=K1199),Eingabe!$B$6&amp;"-"&amp;INDEX(Eingabe!$C$9:$C$18,I1199)&amp;"-Pächter  ·  Passwort Parzelle "&amp;J1199,IF(J1199=K1199+1,Eingabe!$B$6&amp;"-"&amp;INDEX(Eingabe!$C$9:$C$18,I1199)&amp;"-Vorstand  ·  eigenes WLAN",IF(J1199=K1199+2,Eingabe!$B$6&amp;"-"&amp;INDEX(Eingabe!$C$9:$C$18,I1199)&amp;"-Gäste  ·  Voucher",IF(J1199=K1199+3,"Kabel  ·  Access Point y = .(50+y), Mast-Switch x = .(10+x)","")))))</f>
        <v/>
      </c>
      <c r="I1199" s="0" t="str">
        <f aca="false">IF(1194&lt;=(Eingabe!$P$18+Eingabe!$Q$18-1),MATCH(1194,Eingabe!$P$9:$P$18,1),"")</f>
        <v/>
      </c>
      <c r="J1199" s="0" t="str">
        <f aca="false">IF(I1199="","",1194-INDEX(Eingabe!$P$9:$P$18,I1199))</f>
        <v/>
      </c>
      <c r="K1199" s="0" t="str">
        <f aca="false">IF(I1199="","",INDEX(Eingabe!$E$9:$E$18,I1199))</f>
        <v/>
      </c>
    </row>
    <row r="1200" customFormat="false" ht="15" hidden="false" customHeight="false" outlineLevel="0" collapsed="false">
      <c r="A1200" s="0" t="str">
        <f aca="false">IF(I1200="","",IF(J1200=0,"Sparte "&amp;I1200&amp;": "&amp;INDEX(Eingabe!$B$9:$B$18,I1200)&amp;"  (Sparten-ID "&amp;INDEX(Eingabe!$D$9:$D$18,I1200)&amp;", "&amp;K1200&amp;" Parzellen)",IF(J1200&lt;=K1200,"   Parzelle "&amp;J1200,IF(J1200=K1200+1,"   Vorstand",IF(J1200=K1200+2,"   Gäste",IF(J1200=K1200+3,"   Technik (Switches, Access Points)",""))))))</f>
        <v/>
      </c>
      <c r="B1200" s="0" t="str">
        <f aca="false">IF(I1200="","",IF(AND(J1200&gt;=1,J1200&lt;=K1200+3),IF(J1200&lt;=K1200,IF(J1200&lt;=99,IF((INDEX(Eingabe!$G$9:$G$18,I1200))&lt;=9,1000+(INDEX(Eingabe!$G$9:$G$18,I1200))*100,3000)+J1200,IF((INDEX(Eingabe!$G$9:$G$18,I1200)+1)&lt;=9,1000+(INDEX(Eingabe!$G$9:$G$18,I1200)+1)*100,3000)+J1200-100),IF(J1200=K1200+1,2000+INDEX(Eingabe!$G$9:$G$18,I1200)*10+1,IF(J1200=K1200+2,2000+INDEX(Eingabe!$G$9:$G$18,I1200)*10+2,2000+INDEX(Eingabe!$G$9:$G$18,I1200)*10+9))),""))</f>
        <v/>
      </c>
      <c r="C1200" s="0" t="str">
        <f aca="false">IF(I1200="","",IF(AND(J1200&gt;=1,J1200&lt;=K1200+3),"10."&amp;INDEX(Eingabe!$D$9:$D$18,I1200)&amp;"."&amp;IF(J1200&lt;=K1200,J1200,IF(J1200=K1200+1,200,IF(J1200=K1200+2,201,250)))&amp;".0/24",""))</f>
        <v/>
      </c>
      <c r="D1200" s="0" t="str">
        <f aca="false">IF(I1200="","",IF(AND(J1200&gt;=1,J1200&lt;=K1200+3),"255.255.255.0",""))</f>
        <v/>
      </c>
      <c r="E1200" s="0" t="str">
        <f aca="false">IF(I1200="","",IF(AND(J1200&gt;=1,J1200&lt;=K1200+3),"10."&amp;INDEX(Eingabe!$D$9:$D$18,I1200)&amp;"."&amp;IF(J1200&lt;=K1200,J1200,IF(J1200=K1200+1,200,IF(J1200=K1200+2,201,250)))&amp;".1",""))</f>
        <v/>
      </c>
      <c r="F1200" s="0" t="str">
        <f aca="false">IF(I1200="","",IF(AND(J1200&gt;=1,J1200&lt;=K1200+3),"10."&amp;INDEX(Eingabe!$D$9:$D$18,I1200)&amp;"."&amp;IF(J1200&lt;=K1200,J1200,IF(J1200=K1200+1,200,IF(J1200=K1200+2,201,250)))&amp;".10 – 10."&amp;INDEX(Eingabe!$D$9:$D$18,I1200)&amp;"."&amp;IF(J1200&lt;=K1200,J1200,IF(J1200=K1200+1,200,IF(J1200=K1200+2,201,250)))&amp;".250",""))</f>
        <v/>
      </c>
      <c r="G1200" s="0" t="str">
        <f aca="false">IF(I1200="","",IF(AND(J1200&gt;=1,J1200&lt;=K1200),Eingabe!$B$6&amp;"-"&amp;INDEX(Eingabe!$C$9:$C$18,I1200)&amp;"-Pächter  ·  Passwort Parzelle "&amp;J1200,IF(J1200=K1200+1,Eingabe!$B$6&amp;"-"&amp;INDEX(Eingabe!$C$9:$C$18,I1200)&amp;"-Vorstand  ·  eigenes WLAN",IF(J1200=K1200+2,Eingabe!$B$6&amp;"-"&amp;INDEX(Eingabe!$C$9:$C$18,I1200)&amp;"-Gäste  ·  Voucher",IF(J1200=K1200+3,"Kabel  ·  Access Point y = .(50+y), Mast-Switch x = .(10+x)","")))))</f>
        <v/>
      </c>
      <c r="I1200" s="0" t="str">
        <f aca="false">IF(1195&lt;=(Eingabe!$P$18+Eingabe!$Q$18-1),MATCH(1195,Eingabe!$P$9:$P$18,1),"")</f>
        <v/>
      </c>
      <c r="J1200" s="0" t="str">
        <f aca="false">IF(I1200="","",1195-INDEX(Eingabe!$P$9:$P$18,I1200))</f>
        <v/>
      </c>
      <c r="K1200" s="0" t="str">
        <f aca="false">IF(I1200="","",INDEX(Eingabe!$E$9:$E$18,I1200))</f>
        <v/>
      </c>
    </row>
    <row r="1201" customFormat="false" ht="15" hidden="false" customHeight="false" outlineLevel="0" collapsed="false">
      <c r="A1201" s="0" t="str">
        <f aca="false">IF(I1201="","",IF(J1201=0,"Sparte "&amp;I1201&amp;": "&amp;INDEX(Eingabe!$B$9:$B$18,I1201)&amp;"  (Sparten-ID "&amp;INDEX(Eingabe!$D$9:$D$18,I1201)&amp;", "&amp;K1201&amp;" Parzellen)",IF(J1201&lt;=K1201,"   Parzelle "&amp;J1201,IF(J1201=K1201+1,"   Vorstand",IF(J1201=K1201+2,"   Gäste",IF(J1201=K1201+3,"   Technik (Switches, Access Points)",""))))))</f>
        <v/>
      </c>
      <c r="B1201" s="0" t="str">
        <f aca="false">IF(I1201="","",IF(AND(J1201&gt;=1,J1201&lt;=K1201+3),IF(J1201&lt;=K1201,IF(J1201&lt;=99,IF((INDEX(Eingabe!$G$9:$G$18,I1201))&lt;=9,1000+(INDEX(Eingabe!$G$9:$G$18,I1201))*100,3000)+J1201,IF((INDEX(Eingabe!$G$9:$G$18,I1201)+1)&lt;=9,1000+(INDEX(Eingabe!$G$9:$G$18,I1201)+1)*100,3000)+J1201-100),IF(J1201=K1201+1,2000+INDEX(Eingabe!$G$9:$G$18,I1201)*10+1,IF(J1201=K1201+2,2000+INDEX(Eingabe!$G$9:$G$18,I1201)*10+2,2000+INDEX(Eingabe!$G$9:$G$18,I1201)*10+9))),""))</f>
        <v/>
      </c>
      <c r="C1201" s="0" t="str">
        <f aca="false">IF(I1201="","",IF(AND(J1201&gt;=1,J1201&lt;=K1201+3),"10."&amp;INDEX(Eingabe!$D$9:$D$18,I1201)&amp;"."&amp;IF(J1201&lt;=K1201,J1201,IF(J1201=K1201+1,200,IF(J1201=K1201+2,201,250)))&amp;".0/24",""))</f>
        <v/>
      </c>
      <c r="D1201" s="0" t="str">
        <f aca="false">IF(I1201="","",IF(AND(J1201&gt;=1,J1201&lt;=K1201+3),"255.255.255.0",""))</f>
        <v/>
      </c>
      <c r="E1201" s="0" t="str">
        <f aca="false">IF(I1201="","",IF(AND(J1201&gt;=1,J1201&lt;=K1201+3),"10."&amp;INDEX(Eingabe!$D$9:$D$18,I1201)&amp;"."&amp;IF(J1201&lt;=K1201,J1201,IF(J1201=K1201+1,200,IF(J1201=K1201+2,201,250)))&amp;".1",""))</f>
        <v/>
      </c>
      <c r="F1201" s="0" t="str">
        <f aca="false">IF(I1201="","",IF(AND(J1201&gt;=1,J1201&lt;=K1201+3),"10."&amp;INDEX(Eingabe!$D$9:$D$18,I1201)&amp;"."&amp;IF(J1201&lt;=K1201,J1201,IF(J1201=K1201+1,200,IF(J1201=K1201+2,201,250)))&amp;".10 – 10."&amp;INDEX(Eingabe!$D$9:$D$18,I1201)&amp;"."&amp;IF(J1201&lt;=K1201,J1201,IF(J1201=K1201+1,200,IF(J1201=K1201+2,201,250)))&amp;".250",""))</f>
        <v/>
      </c>
      <c r="G1201" s="0" t="str">
        <f aca="false">IF(I1201="","",IF(AND(J1201&gt;=1,J1201&lt;=K1201),Eingabe!$B$6&amp;"-"&amp;INDEX(Eingabe!$C$9:$C$18,I1201)&amp;"-Pächter  ·  Passwort Parzelle "&amp;J1201,IF(J1201=K1201+1,Eingabe!$B$6&amp;"-"&amp;INDEX(Eingabe!$C$9:$C$18,I1201)&amp;"-Vorstand  ·  eigenes WLAN",IF(J1201=K1201+2,Eingabe!$B$6&amp;"-"&amp;INDEX(Eingabe!$C$9:$C$18,I1201)&amp;"-Gäste  ·  Voucher",IF(J1201=K1201+3,"Kabel  ·  Access Point y = .(50+y), Mast-Switch x = .(10+x)","")))))</f>
        <v/>
      </c>
      <c r="I1201" s="0" t="str">
        <f aca="false">IF(1196&lt;=(Eingabe!$P$18+Eingabe!$Q$18-1),MATCH(1196,Eingabe!$P$9:$P$18,1),"")</f>
        <v/>
      </c>
      <c r="J1201" s="0" t="str">
        <f aca="false">IF(I1201="","",1196-INDEX(Eingabe!$P$9:$P$18,I1201))</f>
        <v/>
      </c>
      <c r="K1201" s="0" t="str">
        <f aca="false">IF(I1201="","",INDEX(Eingabe!$E$9:$E$18,I1201))</f>
        <v/>
      </c>
    </row>
    <row r="1202" customFormat="false" ht="15" hidden="false" customHeight="false" outlineLevel="0" collapsed="false">
      <c r="A1202" s="0" t="str">
        <f aca="false">IF(I1202="","",IF(J1202=0,"Sparte "&amp;I1202&amp;": "&amp;INDEX(Eingabe!$B$9:$B$18,I1202)&amp;"  (Sparten-ID "&amp;INDEX(Eingabe!$D$9:$D$18,I1202)&amp;", "&amp;K1202&amp;" Parzellen)",IF(J1202&lt;=K1202,"   Parzelle "&amp;J1202,IF(J1202=K1202+1,"   Vorstand",IF(J1202=K1202+2,"   Gäste",IF(J1202=K1202+3,"   Technik (Switches, Access Points)",""))))))</f>
        <v/>
      </c>
      <c r="B1202" s="0" t="str">
        <f aca="false">IF(I1202="","",IF(AND(J1202&gt;=1,J1202&lt;=K1202+3),IF(J1202&lt;=K1202,IF(J1202&lt;=99,IF((INDEX(Eingabe!$G$9:$G$18,I1202))&lt;=9,1000+(INDEX(Eingabe!$G$9:$G$18,I1202))*100,3000)+J1202,IF((INDEX(Eingabe!$G$9:$G$18,I1202)+1)&lt;=9,1000+(INDEX(Eingabe!$G$9:$G$18,I1202)+1)*100,3000)+J1202-100),IF(J1202=K1202+1,2000+INDEX(Eingabe!$G$9:$G$18,I1202)*10+1,IF(J1202=K1202+2,2000+INDEX(Eingabe!$G$9:$G$18,I1202)*10+2,2000+INDEX(Eingabe!$G$9:$G$18,I1202)*10+9))),""))</f>
        <v/>
      </c>
      <c r="C1202" s="0" t="str">
        <f aca="false">IF(I1202="","",IF(AND(J1202&gt;=1,J1202&lt;=K1202+3),"10."&amp;INDEX(Eingabe!$D$9:$D$18,I1202)&amp;"."&amp;IF(J1202&lt;=K1202,J1202,IF(J1202=K1202+1,200,IF(J1202=K1202+2,201,250)))&amp;".0/24",""))</f>
        <v/>
      </c>
      <c r="D1202" s="0" t="str">
        <f aca="false">IF(I1202="","",IF(AND(J1202&gt;=1,J1202&lt;=K1202+3),"255.255.255.0",""))</f>
        <v/>
      </c>
      <c r="E1202" s="0" t="str">
        <f aca="false">IF(I1202="","",IF(AND(J1202&gt;=1,J1202&lt;=K1202+3),"10."&amp;INDEX(Eingabe!$D$9:$D$18,I1202)&amp;"."&amp;IF(J1202&lt;=K1202,J1202,IF(J1202=K1202+1,200,IF(J1202=K1202+2,201,250)))&amp;".1",""))</f>
        <v/>
      </c>
      <c r="F1202" s="0" t="str">
        <f aca="false">IF(I1202="","",IF(AND(J1202&gt;=1,J1202&lt;=K1202+3),"10."&amp;INDEX(Eingabe!$D$9:$D$18,I1202)&amp;"."&amp;IF(J1202&lt;=K1202,J1202,IF(J1202=K1202+1,200,IF(J1202=K1202+2,201,250)))&amp;".10 – 10."&amp;INDEX(Eingabe!$D$9:$D$18,I1202)&amp;"."&amp;IF(J1202&lt;=K1202,J1202,IF(J1202=K1202+1,200,IF(J1202=K1202+2,201,250)))&amp;".250",""))</f>
        <v/>
      </c>
      <c r="G1202" s="0" t="str">
        <f aca="false">IF(I1202="","",IF(AND(J1202&gt;=1,J1202&lt;=K1202),Eingabe!$B$6&amp;"-"&amp;INDEX(Eingabe!$C$9:$C$18,I1202)&amp;"-Pächter  ·  Passwort Parzelle "&amp;J1202,IF(J1202=K1202+1,Eingabe!$B$6&amp;"-"&amp;INDEX(Eingabe!$C$9:$C$18,I1202)&amp;"-Vorstand  ·  eigenes WLAN",IF(J1202=K1202+2,Eingabe!$B$6&amp;"-"&amp;INDEX(Eingabe!$C$9:$C$18,I1202)&amp;"-Gäste  ·  Voucher",IF(J1202=K1202+3,"Kabel  ·  Access Point y = .(50+y), Mast-Switch x = .(10+x)","")))))</f>
        <v/>
      </c>
      <c r="I1202" s="0" t="str">
        <f aca="false">IF(1197&lt;=(Eingabe!$P$18+Eingabe!$Q$18-1),MATCH(1197,Eingabe!$P$9:$P$18,1),"")</f>
        <v/>
      </c>
      <c r="J1202" s="0" t="str">
        <f aca="false">IF(I1202="","",1197-INDEX(Eingabe!$P$9:$P$18,I1202))</f>
        <v/>
      </c>
      <c r="K1202" s="0" t="str">
        <f aca="false">IF(I1202="","",INDEX(Eingabe!$E$9:$E$18,I1202))</f>
        <v/>
      </c>
    </row>
    <row r="1203" customFormat="false" ht="15" hidden="false" customHeight="false" outlineLevel="0" collapsed="false">
      <c r="A1203" s="0" t="str">
        <f aca="false">IF(I1203="","",IF(J1203=0,"Sparte "&amp;I1203&amp;": "&amp;INDEX(Eingabe!$B$9:$B$18,I1203)&amp;"  (Sparten-ID "&amp;INDEX(Eingabe!$D$9:$D$18,I1203)&amp;", "&amp;K1203&amp;" Parzellen)",IF(J1203&lt;=K1203,"   Parzelle "&amp;J1203,IF(J1203=K1203+1,"   Vorstand",IF(J1203=K1203+2,"   Gäste",IF(J1203=K1203+3,"   Technik (Switches, Access Points)",""))))))</f>
        <v/>
      </c>
      <c r="B1203" s="0" t="str">
        <f aca="false">IF(I1203="","",IF(AND(J1203&gt;=1,J1203&lt;=K1203+3),IF(J1203&lt;=K1203,IF(J1203&lt;=99,IF((INDEX(Eingabe!$G$9:$G$18,I1203))&lt;=9,1000+(INDEX(Eingabe!$G$9:$G$18,I1203))*100,3000)+J1203,IF((INDEX(Eingabe!$G$9:$G$18,I1203)+1)&lt;=9,1000+(INDEX(Eingabe!$G$9:$G$18,I1203)+1)*100,3000)+J1203-100),IF(J1203=K1203+1,2000+INDEX(Eingabe!$G$9:$G$18,I1203)*10+1,IF(J1203=K1203+2,2000+INDEX(Eingabe!$G$9:$G$18,I1203)*10+2,2000+INDEX(Eingabe!$G$9:$G$18,I1203)*10+9))),""))</f>
        <v/>
      </c>
      <c r="C1203" s="0" t="str">
        <f aca="false">IF(I1203="","",IF(AND(J1203&gt;=1,J1203&lt;=K1203+3),"10."&amp;INDEX(Eingabe!$D$9:$D$18,I1203)&amp;"."&amp;IF(J1203&lt;=K1203,J1203,IF(J1203=K1203+1,200,IF(J1203=K1203+2,201,250)))&amp;".0/24",""))</f>
        <v/>
      </c>
      <c r="D1203" s="0" t="str">
        <f aca="false">IF(I1203="","",IF(AND(J1203&gt;=1,J1203&lt;=K1203+3),"255.255.255.0",""))</f>
        <v/>
      </c>
      <c r="E1203" s="0" t="str">
        <f aca="false">IF(I1203="","",IF(AND(J1203&gt;=1,J1203&lt;=K1203+3),"10."&amp;INDEX(Eingabe!$D$9:$D$18,I1203)&amp;"."&amp;IF(J1203&lt;=K1203,J1203,IF(J1203=K1203+1,200,IF(J1203=K1203+2,201,250)))&amp;".1",""))</f>
        <v/>
      </c>
      <c r="F1203" s="0" t="str">
        <f aca="false">IF(I1203="","",IF(AND(J1203&gt;=1,J1203&lt;=K1203+3),"10."&amp;INDEX(Eingabe!$D$9:$D$18,I1203)&amp;"."&amp;IF(J1203&lt;=K1203,J1203,IF(J1203=K1203+1,200,IF(J1203=K1203+2,201,250)))&amp;".10 – 10."&amp;INDEX(Eingabe!$D$9:$D$18,I1203)&amp;"."&amp;IF(J1203&lt;=K1203,J1203,IF(J1203=K1203+1,200,IF(J1203=K1203+2,201,250)))&amp;".250",""))</f>
        <v/>
      </c>
      <c r="G1203" s="0" t="str">
        <f aca="false">IF(I1203="","",IF(AND(J1203&gt;=1,J1203&lt;=K1203),Eingabe!$B$6&amp;"-"&amp;INDEX(Eingabe!$C$9:$C$18,I1203)&amp;"-Pächter  ·  Passwort Parzelle "&amp;J1203,IF(J1203=K1203+1,Eingabe!$B$6&amp;"-"&amp;INDEX(Eingabe!$C$9:$C$18,I1203)&amp;"-Vorstand  ·  eigenes WLAN",IF(J1203=K1203+2,Eingabe!$B$6&amp;"-"&amp;INDEX(Eingabe!$C$9:$C$18,I1203)&amp;"-Gäste  ·  Voucher",IF(J1203=K1203+3,"Kabel  ·  Access Point y = .(50+y), Mast-Switch x = .(10+x)","")))))</f>
        <v/>
      </c>
      <c r="I1203" s="0" t="str">
        <f aca="false">IF(1198&lt;=(Eingabe!$P$18+Eingabe!$Q$18-1),MATCH(1198,Eingabe!$P$9:$P$18,1),"")</f>
        <v/>
      </c>
      <c r="J1203" s="0" t="str">
        <f aca="false">IF(I1203="","",1198-INDEX(Eingabe!$P$9:$P$18,I1203))</f>
        <v/>
      </c>
      <c r="K1203" s="0" t="str">
        <f aca="false">IF(I1203="","",INDEX(Eingabe!$E$9:$E$18,I1203))</f>
        <v/>
      </c>
    </row>
    <row r="1204" customFormat="false" ht="15" hidden="false" customHeight="false" outlineLevel="0" collapsed="false">
      <c r="A1204" s="0" t="str">
        <f aca="false">IF(I1204="","",IF(J1204=0,"Sparte "&amp;I1204&amp;": "&amp;INDEX(Eingabe!$B$9:$B$18,I1204)&amp;"  (Sparten-ID "&amp;INDEX(Eingabe!$D$9:$D$18,I1204)&amp;", "&amp;K1204&amp;" Parzellen)",IF(J1204&lt;=K1204,"   Parzelle "&amp;J1204,IF(J1204=K1204+1,"   Vorstand",IF(J1204=K1204+2,"   Gäste",IF(J1204=K1204+3,"   Technik (Switches, Access Points)",""))))))</f>
        <v/>
      </c>
      <c r="B1204" s="0" t="str">
        <f aca="false">IF(I1204="","",IF(AND(J1204&gt;=1,J1204&lt;=K1204+3),IF(J1204&lt;=K1204,IF(J1204&lt;=99,IF((INDEX(Eingabe!$G$9:$G$18,I1204))&lt;=9,1000+(INDEX(Eingabe!$G$9:$G$18,I1204))*100,3000)+J1204,IF((INDEX(Eingabe!$G$9:$G$18,I1204)+1)&lt;=9,1000+(INDEX(Eingabe!$G$9:$G$18,I1204)+1)*100,3000)+J1204-100),IF(J1204=K1204+1,2000+INDEX(Eingabe!$G$9:$G$18,I1204)*10+1,IF(J1204=K1204+2,2000+INDEX(Eingabe!$G$9:$G$18,I1204)*10+2,2000+INDEX(Eingabe!$G$9:$G$18,I1204)*10+9))),""))</f>
        <v/>
      </c>
      <c r="C1204" s="0" t="str">
        <f aca="false">IF(I1204="","",IF(AND(J1204&gt;=1,J1204&lt;=K1204+3),"10."&amp;INDEX(Eingabe!$D$9:$D$18,I1204)&amp;"."&amp;IF(J1204&lt;=K1204,J1204,IF(J1204=K1204+1,200,IF(J1204=K1204+2,201,250)))&amp;".0/24",""))</f>
        <v/>
      </c>
      <c r="D1204" s="0" t="str">
        <f aca="false">IF(I1204="","",IF(AND(J1204&gt;=1,J1204&lt;=K1204+3),"255.255.255.0",""))</f>
        <v/>
      </c>
      <c r="E1204" s="0" t="str">
        <f aca="false">IF(I1204="","",IF(AND(J1204&gt;=1,J1204&lt;=K1204+3),"10."&amp;INDEX(Eingabe!$D$9:$D$18,I1204)&amp;"."&amp;IF(J1204&lt;=K1204,J1204,IF(J1204=K1204+1,200,IF(J1204=K1204+2,201,250)))&amp;".1",""))</f>
        <v/>
      </c>
      <c r="F1204" s="0" t="str">
        <f aca="false">IF(I1204="","",IF(AND(J1204&gt;=1,J1204&lt;=K1204+3),"10."&amp;INDEX(Eingabe!$D$9:$D$18,I1204)&amp;"."&amp;IF(J1204&lt;=K1204,J1204,IF(J1204=K1204+1,200,IF(J1204=K1204+2,201,250)))&amp;".10 – 10."&amp;INDEX(Eingabe!$D$9:$D$18,I1204)&amp;"."&amp;IF(J1204&lt;=K1204,J1204,IF(J1204=K1204+1,200,IF(J1204=K1204+2,201,250)))&amp;".250",""))</f>
        <v/>
      </c>
      <c r="G1204" s="0" t="str">
        <f aca="false">IF(I1204="","",IF(AND(J1204&gt;=1,J1204&lt;=K1204),Eingabe!$B$6&amp;"-"&amp;INDEX(Eingabe!$C$9:$C$18,I1204)&amp;"-Pächter  ·  Passwort Parzelle "&amp;J1204,IF(J1204=K1204+1,Eingabe!$B$6&amp;"-"&amp;INDEX(Eingabe!$C$9:$C$18,I1204)&amp;"-Vorstand  ·  eigenes WLAN",IF(J1204=K1204+2,Eingabe!$B$6&amp;"-"&amp;INDEX(Eingabe!$C$9:$C$18,I1204)&amp;"-Gäste  ·  Voucher",IF(J1204=K1204+3,"Kabel  ·  Access Point y = .(50+y), Mast-Switch x = .(10+x)","")))))</f>
        <v/>
      </c>
      <c r="I1204" s="0" t="str">
        <f aca="false">IF(1199&lt;=(Eingabe!$P$18+Eingabe!$Q$18-1),MATCH(1199,Eingabe!$P$9:$P$18,1),"")</f>
        <v/>
      </c>
      <c r="J1204" s="0" t="str">
        <f aca="false">IF(I1204="","",1199-INDEX(Eingabe!$P$9:$P$18,I1204))</f>
        <v/>
      </c>
      <c r="K1204" s="0" t="str">
        <f aca="false">IF(I1204="","",INDEX(Eingabe!$E$9:$E$18,I1204))</f>
        <v/>
      </c>
    </row>
    <row r="1205" customFormat="false" ht="15" hidden="false" customHeight="false" outlineLevel="0" collapsed="false">
      <c r="A1205" s="0" t="str">
        <f aca="false">IF(I1205="","",IF(J1205=0,"Sparte "&amp;I1205&amp;": "&amp;INDEX(Eingabe!$B$9:$B$18,I1205)&amp;"  (Sparten-ID "&amp;INDEX(Eingabe!$D$9:$D$18,I1205)&amp;", "&amp;K1205&amp;" Parzellen)",IF(J1205&lt;=K1205,"   Parzelle "&amp;J1205,IF(J1205=K1205+1,"   Vorstand",IF(J1205=K1205+2,"   Gäste",IF(J1205=K1205+3,"   Technik (Switches, Access Points)",""))))))</f>
        <v/>
      </c>
      <c r="B1205" s="0" t="str">
        <f aca="false">IF(I1205="","",IF(AND(J1205&gt;=1,J1205&lt;=K1205+3),IF(J1205&lt;=K1205,IF(J1205&lt;=99,IF((INDEX(Eingabe!$G$9:$G$18,I1205))&lt;=9,1000+(INDEX(Eingabe!$G$9:$G$18,I1205))*100,3000)+J1205,IF((INDEX(Eingabe!$G$9:$G$18,I1205)+1)&lt;=9,1000+(INDEX(Eingabe!$G$9:$G$18,I1205)+1)*100,3000)+J1205-100),IF(J1205=K1205+1,2000+INDEX(Eingabe!$G$9:$G$18,I1205)*10+1,IF(J1205=K1205+2,2000+INDEX(Eingabe!$G$9:$G$18,I1205)*10+2,2000+INDEX(Eingabe!$G$9:$G$18,I1205)*10+9))),""))</f>
        <v/>
      </c>
      <c r="C1205" s="0" t="str">
        <f aca="false">IF(I1205="","",IF(AND(J1205&gt;=1,J1205&lt;=K1205+3),"10."&amp;INDEX(Eingabe!$D$9:$D$18,I1205)&amp;"."&amp;IF(J1205&lt;=K1205,J1205,IF(J1205=K1205+1,200,IF(J1205=K1205+2,201,250)))&amp;".0/24",""))</f>
        <v/>
      </c>
      <c r="D1205" s="0" t="str">
        <f aca="false">IF(I1205="","",IF(AND(J1205&gt;=1,J1205&lt;=K1205+3),"255.255.255.0",""))</f>
        <v/>
      </c>
      <c r="E1205" s="0" t="str">
        <f aca="false">IF(I1205="","",IF(AND(J1205&gt;=1,J1205&lt;=K1205+3),"10."&amp;INDEX(Eingabe!$D$9:$D$18,I1205)&amp;"."&amp;IF(J1205&lt;=K1205,J1205,IF(J1205=K1205+1,200,IF(J1205=K1205+2,201,250)))&amp;".1",""))</f>
        <v/>
      </c>
      <c r="F1205" s="0" t="str">
        <f aca="false">IF(I1205="","",IF(AND(J1205&gt;=1,J1205&lt;=K1205+3),"10."&amp;INDEX(Eingabe!$D$9:$D$18,I1205)&amp;"."&amp;IF(J1205&lt;=K1205,J1205,IF(J1205=K1205+1,200,IF(J1205=K1205+2,201,250)))&amp;".10 – 10."&amp;INDEX(Eingabe!$D$9:$D$18,I1205)&amp;"."&amp;IF(J1205&lt;=K1205,J1205,IF(J1205=K1205+1,200,IF(J1205=K1205+2,201,250)))&amp;".250",""))</f>
        <v/>
      </c>
      <c r="G1205" s="0" t="str">
        <f aca="false">IF(I1205="","",IF(AND(J1205&gt;=1,J1205&lt;=K1205),Eingabe!$B$6&amp;"-"&amp;INDEX(Eingabe!$C$9:$C$18,I1205)&amp;"-Pächter  ·  Passwort Parzelle "&amp;J1205,IF(J1205=K1205+1,Eingabe!$B$6&amp;"-"&amp;INDEX(Eingabe!$C$9:$C$18,I1205)&amp;"-Vorstand  ·  eigenes WLAN",IF(J1205=K1205+2,Eingabe!$B$6&amp;"-"&amp;INDEX(Eingabe!$C$9:$C$18,I1205)&amp;"-Gäste  ·  Voucher",IF(J1205=K1205+3,"Kabel  ·  Access Point y = .(50+y), Mast-Switch x = .(10+x)","")))))</f>
        <v/>
      </c>
      <c r="I1205" s="0" t="str">
        <f aca="false">IF(1200&lt;=(Eingabe!$P$18+Eingabe!$Q$18-1),MATCH(1200,Eingabe!$P$9:$P$18,1),"")</f>
        <v/>
      </c>
      <c r="J1205" s="0" t="str">
        <f aca="false">IF(I1205="","",1200-INDEX(Eingabe!$P$9:$P$18,I1205))</f>
        <v/>
      </c>
      <c r="K1205" s="0" t="str">
        <f aca="false">IF(I1205="","",INDEX(Eingabe!$E$9:$E$18,I1205))</f>
        <v/>
      </c>
    </row>
    <row r="1206" customFormat="false" ht="15" hidden="false" customHeight="false" outlineLevel="0" collapsed="false">
      <c r="A1206" s="0" t="str">
        <f aca="false">IF(I1206="","",IF(J1206=0,"Sparte "&amp;I1206&amp;": "&amp;INDEX(Eingabe!$B$9:$B$18,I1206)&amp;"  (Sparten-ID "&amp;INDEX(Eingabe!$D$9:$D$18,I1206)&amp;", "&amp;K1206&amp;" Parzellen)",IF(J1206&lt;=K1206,"   Parzelle "&amp;J1206,IF(J1206=K1206+1,"   Vorstand",IF(J1206=K1206+2,"   Gäste",IF(J1206=K1206+3,"   Technik (Switches, Access Points)",""))))))</f>
        <v/>
      </c>
      <c r="B1206" s="0" t="str">
        <f aca="false">IF(I1206="","",IF(AND(J1206&gt;=1,J1206&lt;=K1206+3),IF(J1206&lt;=K1206,IF(J1206&lt;=99,IF((INDEX(Eingabe!$G$9:$G$18,I1206))&lt;=9,1000+(INDEX(Eingabe!$G$9:$G$18,I1206))*100,3000)+J1206,IF((INDEX(Eingabe!$G$9:$G$18,I1206)+1)&lt;=9,1000+(INDEX(Eingabe!$G$9:$G$18,I1206)+1)*100,3000)+J1206-100),IF(J1206=K1206+1,2000+INDEX(Eingabe!$G$9:$G$18,I1206)*10+1,IF(J1206=K1206+2,2000+INDEX(Eingabe!$G$9:$G$18,I1206)*10+2,2000+INDEX(Eingabe!$G$9:$G$18,I1206)*10+9))),""))</f>
        <v/>
      </c>
      <c r="C1206" s="0" t="str">
        <f aca="false">IF(I1206="","",IF(AND(J1206&gt;=1,J1206&lt;=K1206+3),"10."&amp;INDEX(Eingabe!$D$9:$D$18,I1206)&amp;"."&amp;IF(J1206&lt;=K1206,J1206,IF(J1206=K1206+1,200,IF(J1206=K1206+2,201,250)))&amp;".0/24",""))</f>
        <v/>
      </c>
      <c r="D1206" s="0" t="str">
        <f aca="false">IF(I1206="","",IF(AND(J1206&gt;=1,J1206&lt;=K1206+3),"255.255.255.0",""))</f>
        <v/>
      </c>
      <c r="E1206" s="0" t="str">
        <f aca="false">IF(I1206="","",IF(AND(J1206&gt;=1,J1206&lt;=K1206+3),"10."&amp;INDEX(Eingabe!$D$9:$D$18,I1206)&amp;"."&amp;IF(J1206&lt;=K1206,J1206,IF(J1206=K1206+1,200,IF(J1206=K1206+2,201,250)))&amp;".1",""))</f>
        <v/>
      </c>
      <c r="F1206" s="0" t="str">
        <f aca="false">IF(I1206="","",IF(AND(J1206&gt;=1,J1206&lt;=K1206+3),"10."&amp;INDEX(Eingabe!$D$9:$D$18,I1206)&amp;"."&amp;IF(J1206&lt;=K1206,J1206,IF(J1206=K1206+1,200,IF(J1206=K1206+2,201,250)))&amp;".10 – 10."&amp;INDEX(Eingabe!$D$9:$D$18,I1206)&amp;"."&amp;IF(J1206&lt;=K1206,J1206,IF(J1206=K1206+1,200,IF(J1206=K1206+2,201,250)))&amp;".250",""))</f>
        <v/>
      </c>
      <c r="G1206" s="0" t="str">
        <f aca="false">IF(I1206="","",IF(AND(J1206&gt;=1,J1206&lt;=K1206),Eingabe!$B$6&amp;"-"&amp;INDEX(Eingabe!$C$9:$C$18,I1206)&amp;"-Pächter  ·  Passwort Parzelle "&amp;J1206,IF(J1206=K1206+1,Eingabe!$B$6&amp;"-"&amp;INDEX(Eingabe!$C$9:$C$18,I1206)&amp;"-Vorstand  ·  eigenes WLAN",IF(J1206=K1206+2,Eingabe!$B$6&amp;"-"&amp;INDEX(Eingabe!$C$9:$C$18,I1206)&amp;"-Gäste  ·  Voucher",IF(J1206=K1206+3,"Kabel  ·  Access Point y = .(50+y), Mast-Switch x = .(10+x)","")))))</f>
        <v/>
      </c>
      <c r="I1206" s="0" t="str">
        <f aca="false">IF(1201&lt;=(Eingabe!$P$18+Eingabe!$Q$18-1),MATCH(1201,Eingabe!$P$9:$P$18,1),"")</f>
        <v/>
      </c>
      <c r="J1206" s="0" t="str">
        <f aca="false">IF(I1206="","",1201-INDEX(Eingabe!$P$9:$P$18,I1206))</f>
        <v/>
      </c>
      <c r="K1206" s="0" t="str">
        <f aca="false">IF(I1206="","",INDEX(Eingabe!$E$9:$E$18,I1206))</f>
        <v/>
      </c>
    </row>
    <row r="1207" customFormat="false" ht="15" hidden="false" customHeight="false" outlineLevel="0" collapsed="false">
      <c r="A1207" s="0" t="str">
        <f aca="false">IF(I1207="","",IF(J1207=0,"Sparte "&amp;I1207&amp;": "&amp;INDEX(Eingabe!$B$9:$B$18,I1207)&amp;"  (Sparten-ID "&amp;INDEX(Eingabe!$D$9:$D$18,I1207)&amp;", "&amp;K1207&amp;" Parzellen)",IF(J1207&lt;=K1207,"   Parzelle "&amp;J1207,IF(J1207=K1207+1,"   Vorstand",IF(J1207=K1207+2,"   Gäste",IF(J1207=K1207+3,"   Technik (Switches, Access Points)",""))))))</f>
        <v/>
      </c>
      <c r="B1207" s="0" t="str">
        <f aca="false">IF(I1207="","",IF(AND(J1207&gt;=1,J1207&lt;=K1207+3),IF(J1207&lt;=K1207,IF(J1207&lt;=99,IF((INDEX(Eingabe!$G$9:$G$18,I1207))&lt;=9,1000+(INDEX(Eingabe!$G$9:$G$18,I1207))*100,3000)+J1207,IF((INDEX(Eingabe!$G$9:$G$18,I1207)+1)&lt;=9,1000+(INDEX(Eingabe!$G$9:$G$18,I1207)+1)*100,3000)+J1207-100),IF(J1207=K1207+1,2000+INDEX(Eingabe!$G$9:$G$18,I1207)*10+1,IF(J1207=K1207+2,2000+INDEX(Eingabe!$G$9:$G$18,I1207)*10+2,2000+INDEX(Eingabe!$G$9:$G$18,I1207)*10+9))),""))</f>
        <v/>
      </c>
      <c r="C1207" s="0" t="str">
        <f aca="false">IF(I1207="","",IF(AND(J1207&gt;=1,J1207&lt;=K1207+3),"10."&amp;INDEX(Eingabe!$D$9:$D$18,I1207)&amp;"."&amp;IF(J1207&lt;=K1207,J1207,IF(J1207=K1207+1,200,IF(J1207=K1207+2,201,250)))&amp;".0/24",""))</f>
        <v/>
      </c>
      <c r="D1207" s="0" t="str">
        <f aca="false">IF(I1207="","",IF(AND(J1207&gt;=1,J1207&lt;=K1207+3),"255.255.255.0",""))</f>
        <v/>
      </c>
      <c r="E1207" s="0" t="str">
        <f aca="false">IF(I1207="","",IF(AND(J1207&gt;=1,J1207&lt;=K1207+3),"10."&amp;INDEX(Eingabe!$D$9:$D$18,I1207)&amp;"."&amp;IF(J1207&lt;=K1207,J1207,IF(J1207=K1207+1,200,IF(J1207=K1207+2,201,250)))&amp;".1",""))</f>
        <v/>
      </c>
      <c r="F1207" s="0" t="str">
        <f aca="false">IF(I1207="","",IF(AND(J1207&gt;=1,J1207&lt;=K1207+3),"10."&amp;INDEX(Eingabe!$D$9:$D$18,I1207)&amp;"."&amp;IF(J1207&lt;=K1207,J1207,IF(J1207=K1207+1,200,IF(J1207=K1207+2,201,250)))&amp;".10 – 10."&amp;INDEX(Eingabe!$D$9:$D$18,I1207)&amp;"."&amp;IF(J1207&lt;=K1207,J1207,IF(J1207=K1207+1,200,IF(J1207=K1207+2,201,250)))&amp;".250",""))</f>
        <v/>
      </c>
      <c r="G1207" s="0" t="str">
        <f aca="false">IF(I1207="","",IF(AND(J1207&gt;=1,J1207&lt;=K1207),Eingabe!$B$6&amp;"-"&amp;INDEX(Eingabe!$C$9:$C$18,I1207)&amp;"-Pächter  ·  Passwort Parzelle "&amp;J1207,IF(J1207=K1207+1,Eingabe!$B$6&amp;"-"&amp;INDEX(Eingabe!$C$9:$C$18,I1207)&amp;"-Vorstand  ·  eigenes WLAN",IF(J1207=K1207+2,Eingabe!$B$6&amp;"-"&amp;INDEX(Eingabe!$C$9:$C$18,I1207)&amp;"-Gäste  ·  Voucher",IF(J1207=K1207+3,"Kabel  ·  Access Point y = .(50+y), Mast-Switch x = .(10+x)","")))))</f>
        <v/>
      </c>
      <c r="I1207" s="0" t="str">
        <f aca="false">IF(1202&lt;=(Eingabe!$P$18+Eingabe!$Q$18-1),MATCH(1202,Eingabe!$P$9:$P$18,1),"")</f>
        <v/>
      </c>
      <c r="J1207" s="0" t="str">
        <f aca="false">IF(I1207="","",1202-INDEX(Eingabe!$P$9:$P$18,I1207))</f>
        <v/>
      </c>
      <c r="K1207" s="0" t="str">
        <f aca="false">IF(I1207="","",INDEX(Eingabe!$E$9:$E$18,I1207))</f>
        <v/>
      </c>
    </row>
    <row r="1208" customFormat="false" ht="15" hidden="false" customHeight="false" outlineLevel="0" collapsed="false">
      <c r="A1208" s="0" t="str">
        <f aca="false">IF(I1208="","",IF(J1208=0,"Sparte "&amp;I1208&amp;": "&amp;INDEX(Eingabe!$B$9:$B$18,I1208)&amp;"  (Sparten-ID "&amp;INDEX(Eingabe!$D$9:$D$18,I1208)&amp;", "&amp;K1208&amp;" Parzellen)",IF(J1208&lt;=K1208,"   Parzelle "&amp;J1208,IF(J1208=K1208+1,"   Vorstand",IF(J1208=K1208+2,"   Gäste",IF(J1208=K1208+3,"   Technik (Switches, Access Points)",""))))))</f>
        <v/>
      </c>
      <c r="B1208" s="0" t="str">
        <f aca="false">IF(I1208="","",IF(AND(J1208&gt;=1,J1208&lt;=K1208+3),IF(J1208&lt;=K1208,IF(J1208&lt;=99,IF((INDEX(Eingabe!$G$9:$G$18,I1208))&lt;=9,1000+(INDEX(Eingabe!$G$9:$G$18,I1208))*100,3000)+J1208,IF((INDEX(Eingabe!$G$9:$G$18,I1208)+1)&lt;=9,1000+(INDEX(Eingabe!$G$9:$G$18,I1208)+1)*100,3000)+J1208-100),IF(J1208=K1208+1,2000+INDEX(Eingabe!$G$9:$G$18,I1208)*10+1,IF(J1208=K1208+2,2000+INDEX(Eingabe!$G$9:$G$18,I1208)*10+2,2000+INDEX(Eingabe!$G$9:$G$18,I1208)*10+9))),""))</f>
        <v/>
      </c>
      <c r="C1208" s="0" t="str">
        <f aca="false">IF(I1208="","",IF(AND(J1208&gt;=1,J1208&lt;=K1208+3),"10."&amp;INDEX(Eingabe!$D$9:$D$18,I1208)&amp;"."&amp;IF(J1208&lt;=K1208,J1208,IF(J1208=K1208+1,200,IF(J1208=K1208+2,201,250)))&amp;".0/24",""))</f>
        <v/>
      </c>
      <c r="D1208" s="0" t="str">
        <f aca="false">IF(I1208="","",IF(AND(J1208&gt;=1,J1208&lt;=K1208+3),"255.255.255.0",""))</f>
        <v/>
      </c>
      <c r="E1208" s="0" t="str">
        <f aca="false">IF(I1208="","",IF(AND(J1208&gt;=1,J1208&lt;=K1208+3),"10."&amp;INDEX(Eingabe!$D$9:$D$18,I1208)&amp;"."&amp;IF(J1208&lt;=K1208,J1208,IF(J1208=K1208+1,200,IF(J1208=K1208+2,201,250)))&amp;".1",""))</f>
        <v/>
      </c>
      <c r="F1208" s="0" t="str">
        <f aca="false">IF(I1208="","",IF(AND(J1208&gt;=1,J1208&lt;=K1208+3),"10."&amp;INDEX(Eingabe!$D$9:$D$18,I1208)&amp;"."&amp;IF(J1208&lt;=K1208,J1208,IF(J1208=K1208+1,200,IF(J1208=K1208+2,201,250)))&amp;".10 – 10."&amp;INDEX(Eingabe!$D$9:$D$18,I1208)&amp;"."&amp;IF(J1208&lt;=K1208,J1208,IF(J1208=K1208+1,200,IF(J1208=K1208+2,201,250)))&amp;".250",""))</f>
        <v/>
      </c>
      <c r="G1208" s="0" t="str">
        <f aca="false">IF(I1208="","",IF(AND(J1208&gt;=1,J1208&lt;=K1208),Eingabe!$B$6&amp;"-"&amp;INDEX(Eingabe!$C$9:$C$18,I1208)&amp;"-Pächter  ·  Passwort Parzelle "&amp;J1208,IF(J1208=K1208+1,Eingabe!$B$6&amp;"-"&amp;INDEX(Eingabe!$C$9:$C$18,I1208)&amp;"-Vorstand  ·  eigenes WLAN",IF(J1208=K1208+2,Eingabe!$B$6&amp;"-"&amp;INDEX(Eingabe!$C$9:$C$18,I1208)&amp;"-Gäste  ·  Voucher",IF(J1208=K1208+3,"Kabel  ·  Access Point y = .(50+y), Mast-Switch x = .(10+x)","")))))</f>
        <v/>
      </c>
      <c r="I1208" s="0" t="str">
        <f aca="false">IF(1203&lt;=(Eingabe!$P$18+Eingabe!$Q$18-1),MATCH(1203,Eingabe!$P$9:$P$18,1),"")</f>
        <v/>
      </c>
      <c r="J1208" s="0" t="str">
        <f aca="false">IF(I1208="","",1203-INDEX(Eingabe!$P$9:$P$18,I1208))</f>
        <v/>
      </c>
      <c r="K1208" s="0" t="str">
        <f aca="false">IF(I1208="","",INDEX(Eingabe!$E$9:$E$18,I1208))</f>
        <v/>
      </c>
    </row>
    <row r="1209" customFormat="false" ht="15" hidden="false" customHeight="false" outlineLevel="0" collapsed="false">
      <c r="A1209" s="0" t="str">
        <f aca="false">IF(I1209="","",IF(J1209=0,"Sparte "&amp;I1209&amp;": "&amp;INDEX(Eingabe!$B$9:$B$18,I1209)&amp;"  (Sparten-ID "&amp;INDEX(Eingabe!$D$9:$D$18,I1209)&amp;", "&amp;K1209&amp;" Parzellen)",IF(J1209&lt;=K1209,"   Parzelle "&amp;J1209,IF(J1209=K1209+1,"   Vorstand",IF(J1209=K1209+2,"   Gäste",IF(J1209=K1209+3,"   Technik (Switches, Access Points)",""))))))</f>
        <v/>
      </c>
      <c r="B1209" s="0" t="str">
        <f aca="false">IF(I1209="","",IF(AND(J1209&gt;=1,J1209&lt;=K1209+3),IF(J1209&lt;=K1209,IF(J1209&lt;=99,IF((INDEX(Eingabe!$G$9:$G$18,I1209))&lt;=9,1000+(INDEX(Eingabe!$G$9:$G$18,I1209))*100,3000)+J1209,IF((INDEX(Eingabe!$G$9:$G$18,I1209)+1)&lt;=9,1000+(INDEX(Eingabe!$G$9:$G$18,I1209)+1)*100,3000)+J1209-100),IF(J1209=K1209+1,2000+INDEX(Eingabe!$G$9:$G$18,I1209)*10+1,IF(J1209=K1209+2,2000+INDEX(Eingabe!$G$9:$G$18,I1209)*10+2,2000+INDEX(Eingabe!$G$9:$G$18,I1209)*10+9))),""))</f>
        <v/>
      </c>
      <c r="C1209" s="0" t="str">
        <f aca="false">IF(I1209="","",IF(AND(J1209&gt;=1,J1209&lt;=K1209+3),"10."&amp;INDEX(Eingabe!$D$9:$D$18,I1209)&amp;"."&amp;IF(J1209&lt;=K1209,J1209,IF(J1209=K1209+1,200,IF(J1209=K1209+2,201,250)))&amp;".0/24",""))</f>
        <v/>
      </c>
      <c r="D1209" s="0" t="str">
        <f aca="false">IF(I1209="","",IF(AND(J1209&gt;=1,J1209&lt;=K1209+3),"255.255.255.0",""))</f>
        <v/>
      </c>
      <c r="E1209" s="0" t="str">
        <f aca="false">IF(I1209="","",IF(AND(J1209&gt;=1,J1209&lt;=K1209+3),"10."&amp;INDEX(Eingabe!$D$9:$D$18,I1209)&amp;"."&amp;IF(J1209&lt;=K1209,J1209,IF(J1209=K1209+1,200,IF(J1209=K1209+2,201,250)))&amp;".1",""))</f>
        <v/>
      </c>
      <c r="F1209" s="0" t="str">
        <f aca="false">IF(I1209="","",IF(AND(J1209&gt;=1,J1209&lt;=K1209+3),"10."&amp;INDEX(Eingabe!$D$9:$D$18,I1209)&amp;"."&amp;IF(J1209&lt;=K1209,J1209,IF(J1209=K1209+1,200,IF(J1209=K1209+2,201,250)))&amp;".10 – 10."&amp;INDEX(Eingabe!$D$9:$D$18,I1209)&amp;"."&amp;IF(J1209&lt;=K1209,J1209,IF(J1209=K1209+1,200,IF(J1209=K1209+2,201,250)))&amp;".250",""))</f>
        <v/>
      </c>
      <c r="G1209" s="0" t="str">
        <f aca="false">IF(I1209="","",IF(AND(J1209&gt;=1,J1209&lt;=K1209),Eingabe!$B$6&amp;"-"&amp;INDEX(Eingabe!$C$9:$C$18,I1209)&amp;"-Pächter  ·  Passwort Parzelle "&amp;J1209,IF(J1209=K1209+1,Eingabe!$B$6&amp;"-"&amp;INDEX(Eingabe!$C$9:$C$18,I1209)&amp;"-Vorstand  ·  eigenes WLAN",IF(J1209=K1209+2,Eingabe!$B$6&amp;"-"&amp;INDEX(Eingabe!$C$9:$C$18,I1209)&amp;"-Gäste  ·  Voucher",IF(J1209=K1209+3,"Kabel  ·  Access Point y = .(50+y), Mast-Switch x = .(10+x)","")))))</f>
        <v/>
      </c>
      <c r="I1209" s="0" t="str">
        <f aca="false">IF(1204&lt;=(Eingabe!$P$18+Eingabe!$Q$18-1),MATCH(1204,Eingabe!$P$9:$P$18,1),"")</f>
        <v/>
      </c>
      <c r="J1209" s="0" t="str">
        <f aca="false">IF(I1209="","",1204-INDEX(Eingabe!$P$9:$P$18,I1209))</f>
        <v/>
      </c>
      <c r="K1209" s="0" t="str">
        <f aca="false">IF(I1209="","",INDEX(Eingabe!$E$9:$E$18,I1209))</f>
        <v/>
      </c>
    </row>
    <row r="1210" customFormat="false" ht="15" hidden="false" customHeight="false" outlineLevel="0" collapsed="false">
      <c r="A1210" s="0" t="str">
        <f aca="false">IF(I1210="","",IF(J1210=0,"Sparte "&amp;I1210&amp;": "&amp;INDEX(Eingabe!$B$9:$B$18,I1210)&amp;"  (Sparten-ID "&amp;INDEX(Eingabe!$D$9:$D$18,I1210)&amp;", "&amp;K1210&amp;" Parzellen)",IF(J1210&lt;=K1210,"   Parzelle "&amp;J1210,IF(J1210=K1210+1,"   Vorstand",IF(J1210=K1210+2,"   Gäste",IF(J1210=K1210+3,"   Technik (Switches, Access Points)",""))))))</f>
        <v/>
      </c>
      <c r="B1210" s="0" t="str">
        <f aca="false">IF(I1210="","",IF(AND(J1210&gt;=1,J1210&lt;=K1210+3),IF(J1210&lt;=K1210,IF(J1210&lt;=99,IF((INDEX(Eingabe!$G$9:$G$18,I1210))&lt;=9,1000+(INDEX(Eingabe!$G$9:$G$18,I1210))*100,3000)+J1210,IF((INDEX(Eingabe!$G$9:$G$18,I1210)+1)&lt;=9,1000+(INDEX(Eingabe!$G$9:$G$18,I1210)+1)*100,3000)+J1210-100),IF(J1210=K1210+1,2000+INDEX(Eingabe!$G$9:$G$18,I1210)*10+1,IF(J1210=K1210+2,2000+INDEX(Eingabe!$G$9:$G$18,I1210)*10+2,2000+INDEX(Eingabe!$G$9:$G$18,I1210)*10+9))),""))</f>
        <v/>
      </c>
      <c r="C1210" s="0" t="str">
        <f aca="false">IF(I1210="","",IF(AND(J1210&gt;=1,J1210&lt;=K1210+3),"10."&amp;INDEX(Eingabe!$D$9:$D$18,I1210)&amp;"."&amp;IF(J1210&lt;=K1210,J1210,IF(J1210=K1210+1,200,IF(J1210=K1210+2,201,250)))&amp;".0/24",""))</f>
        <v/>
      </c>
      <c r="D1210" s="0" t="str">
        <f aca="false">IF(I1210="","",IF(AND(J1210&gt;=1,J1210&lt;=K1210+3),"255.255.255.0",""))</f>
        <v/>
      </c>
      <c r="E1210" s="0" t="str">
        <f aca="false">IF(I1210="","",IF(AND(J1210&gt;=1,J1210&lt;=K1210+3),"10."&amp;INDEX(Eingabe!$D$9:$D$18,I1210)&amp;"."&amp;IF(J1210&lt;=K1210,J1210,IF(J1210=K1210+1,200,IF(J1210=K1210+2,201,250)))&amp;".1",""))</f>
        <v/>
      </c>
      <c r="F1210" s="0" t="str">
        <f aca="false">IF(I1210="","",IF(AND(J1210&gt;=1,J1210&lt;=K1210+3),"10."&amp;INDEX(Eingabe!$D$9:$D$18,I1210)&amp;"."&amp;IF(J1210&lt;=K1210,J1210,IF(J1210=K1210+1,200,IF(J1210=K1210+2,201,250)))&amp;".10 – 10."&amp;INDEX(Eingabe!$D$9:$D$18,I1210)&amp;"."&amp;IF(J1210&lt;=K1210,J1210,IF(J1210=K1210+1,200,IF(J1210=K1210+2,201,250)))&amp;".250",""))</f>
        <v/>
      </c>
      <c r="G1210" s="0" t="str">
        <f aca="false">IF(I1210="","",IF(AND(J1210&gt;=1,J1210&lt;=K1210),Eingabe!$B$6&amp;"-"&amp;INDEX(Eingabe!$C$9:$C$18,I1210)&amp;"-Pächter  ·  Passwort Parzelle "&amp;J1210,IF(J1210=K1210+1,Eingabe!$B$6&amp;"-"&amp;INDEX(Eingabe!$C$9:$C$18,I1210)&amp;"-Vorstand  ·  eigenes WLAN",IF(J1210=K1210+2,Eingabe!$B$6&amp;"-"&amp;INDEX(Eingabe!$C$9:$C$18,I1210)&amp;"-Gäste  ·  Voucher",IF(J1210=K1210+3,"Kabel  ·  Access Point y = .(50+y), Mast-Switch x = .(10+x)","")))))</f>
        <v/>
      </c>
      <c r="I1210" s="0" t="str">
        <f aca="false">IF(1205&lt;=(Eingabe!$P$18+Eingabe!$Q$18-1),MATCH(1205,Eingabe!$P$9:$P$18,1),"")</f>
        <v/>
      </c>
      <c r="J1210" s="0" t="str">
        <f aca="false">IF(I1210="","",1205-INDEX(Eingabe!$P$9:$P$18,I1210))</f>
        <v/>
      </c>
      <c r="K1210" s="0" t="str">
        <f aca="false">IF(I1210="","",INDEX(Eingabe!$E$9:$E$18,I1210))</f>
        <v/>
      </c>
    </row>
    <row r="1211" customFormat="false" ht="15" hidden="false" customHeight="false" outlineLevel="0" collapsed="false">
      <c r="A1211" s="0" t="str">
        <f aca="false">IF(I1211="","",IF(J1211=0,"Sparte "&amp;I1211&amp;": "&amp;INDEX(Eingabe!$B$9:$B$18,I1211)&amp;"  (Sparten-ID "&amp;INDEX(Eingabe!$D$9:$D$18,I1211)&amp;", "&amp;K1211&amp;" Parzellen)",IF(J1211&lt;=K1211,"   Parzelle "&amp;J1211,IF(J1211=K1211+1,"   Vorstand",IF(J1211=K1211+2,"   Gäste",IF(J1211=K1211+3,"   Technik (Switches, Access Points)",""))))))</f>
        <v/>
      </c>
      <c r="B1211" s="0" t="str">
        <f aca="false">IF(I1211="","",IF(AND(J1211&gt;=1,J1211&lt;=K1211+3),IF(J1211&lt;=K1211,IF(J1211&lt;=99,IF((INDEX(Eingabe!$G$9:$G$18,I1211))&lt;=9,1000+(INDEX(Eingabe!$G$9:$G$18,I1211))*100,3000)+J1211,IF((INDEX(Eingabe!$G$9:$G$18,I1211)+1)&lt;=9,1000+(INDEX(Eingabe!$G$9:$G$18,I1211)+1)*100,3000)+J1211-100),IF(J1211=K1211+1,2000+INDEX(Eingabe!$G$9:$G$18,I1211)*10+1,IF(J1211=K1211+2,2000+INDEX(Eingabe!$G$9:$G$18,I1211)*10+2,2000+INDEX(Eingabe!$G$9:$G$18,I1211)*10+9))),""))</f>
        <v/>
      </c>
      <c r="C1211" s="0" t="str">
        <f aca="false">IF(I1211="","",IF(AND(J1211&gt;=1,J1211&lt;=K1211+3),"10."&amp;INDEX(Eingabe!$D$9:$D$18,I1211)&amp;"."&amp;IF(J1211&lt;=K1211,J1211,IF(J1211=K1211+1,200,IF(J1211=K1211+2,201,250)))&amp;".0/24",""))</f>
        <v/>
      </c>
      <c r="D1211" s="0" t="str">
        <f aca="false">IF(I1211="","",IF(AND(J1211&gt;=1,J1211&lt;=K1211+3),"255.255.255.0",""))</f>
        <v/>
      </c>
      <c r="E1211" s="0" t="str">
        <f aca="false">IF(I1211="","",IF(AND(J1211&gt;=1,J1211&lt;=K1211+3),"10."&amp;INDEX(Eingabe!$D$9:$D$18,I1211)&amp;"."&amp;IF(J1211&lt;=K1211,J1211,IF(J1211=K1211+1,200,IF(J1211=K1211+2,201,250)))&amp;".1",""))</f>
        <v/>
      </c>
      <c r="F1211" s="0" t="str">
        <f aca="false">IF(I1211="","",IF(AND(J1211&gt;=1,J1211&lt;=K1211+3),"10."&amp;INDEX(Eingabe!$D$9:$D$18,I1211)&amp;"."&amp;IF(J1211&lt;=K1211,J1211,IF(J1211=K1211+1,200,IF(J1211=K1211+2,201,250)))&amp;".10 – 10."&amp;INDEX(Eingabe!$D$9:$D$18,I1211)&amp;"."&amp;IF(J1211&lt;=K1211,J1211,IF(J1211=K1211+1,200,IF(J1211=K1211+2,201,250)))&amp;".250",""))</f>
        <v/>
      </c>
      <c r="G1211" s="0" t="str">
        <f aca="false">IF(I1211="","",IF(AND(J1211&gt;=1,J1211&lt;=K1211),Eingabe!$B$6&amp;"-"&amp;INDEX(Eingabe!$C$9:$C$18,I1211)&amp;"-Pächter  ·  Passwort Parzelle "&amp;J1211,IF(J1211=K1211+1,Eingabe!$B$6&amp;"-"&amp;INDEX(Eingabe!$C$9:$C$18,I1211)&amp;"-Vorstand  ·  eigenes WLAN",IF(J1211=K1211+2,Eingabe!$B$6&amp;"-"&amp;INDEX(Eingabe!$C$9:$C$18,I1211)&amp;"-Gäste  ·  Voucher",IF(J1211=K1211+3,"Kabel  ·  Access Point y = .(50+y), Mast-Switch x = .(10+x)","")))))</f>
        <v/>
      </c>
      <c r="I1211" s="0" t="str">
        <f aca="false">IF(1206&lt;=(Eingabe!$P$18+Eingabe!$Q$18-1),MATCH(1206,Eingabe!$P$9:$P$18,1),"")</f>
        <v/>
      </c>
      <c r="J1211" s="0" t="str">
        <f aca="false">IF(I1211="","",1206-INDEX(Eingabe!$P$9:$P$18,I1211))</f>
        <v/>
      </c>
      <c r="K1211" s="0" t="str">
        <f aca="false">IF(I1211="","",INDEX(Eingabe!$E$9:$E$18,I1211))</f>
        <v/>
      </c>
    </row>
    <row r="1212" customFormat="false" ht="15" hidden="false" customHeight="false" outlineLevel="0" collapsed="false">
      <c r="A1212" s="0" t="str">
        <f aca="false">IF(I1212="","",IF(J1212=0,"Sparte "&amp;I1212&amp;": "&amp;INDEX(Eingabe!$B$9:$B$18,I1212)&amp;"  (Sparten-ID "&amp;INDEX(Eingabe!$D$9:$D$18,I1212)&amp;", "&amp;K1212&amp;" Parzellen)",IF(J1212&lt;=K1212,"   Parzelle "&amp;J1212,IF(J1212=K1212+1,"   Vorstand",IF(J1212=K1212+2,"   Gäste",IF(J1212=K1212+3,"   Technik (Switches, Access Points)",""))))))</f>
        <v/>
      </c>
      <c r="B1212" s="0" t="str">
        <f aca="false">IF(I1212="","",IF(AND(J1212&gt;=1,J1212&lt;=K1212+3),IF(J1212&lt;=K1212,IF(J1212&lt;=99,IF((INDEX(Eingabe!$G$9:$G$18,I1212))&lt;=9,1000+(INDEX(Eingabe!$G$9:$G$18,I1212))*100,3000)+J1212,IF((INDEX(Eingabe!$G$9:$G$18,I1212)+1)&lt;=9,1000+(INDEX(Eingabe!$G$9:$G$18,I1212)+1)*100,3000)+J1212-100),IF(J1212=K1212+1,2000+INDEX(Eingabe!$G$9:$G$18,I1212)*10+1,IF(J1212=K1212+2,2000+INDEX(Eingabe!$G$9:$G$18,I1212)*10+2,2000+INDEX(Eingabe!$G$9:$G$18,I1212)*10+9))),""))</f>
        <v/>
      </c>
      <c r="C1212" s="0" t="str">
        <f aca="false">IF(I1212="","",IF(AND(J1212&gt;=1,J1212&lt;=K1212+3),"10."&amp;INDEX(Eingabe!$D$9:$D$18,I1212)&amp;"."&amp;IF(J1212&lt;=K1212,J1212,IF(J1212=K1212+1,200,IF(J1212=K1212+2,201,250)))&amp;".0/24",""))</f>
        <v/>
      </c>
      <c r="D1212" s="0" t="str">
        <f aca="false">IF(I1212="","",IF(AND(J1212&gt;=1,J1212&lt;=K1212+3),"255.255.255.0",""))</f>
        <v/>
      </c>
      <c r="E1212" s="0" t="str">
        <f aca="false">IF(I1212="","",IF(AND(J1212&gt;=1,J1212&lt;=K1212+3),"10."&amp;INDEX(Eingabe!$D$9:$D$18,I1212)&amp;"."&amp;IF(J1212&lt;=K1212,J1212,IF(J1212=K1212+1,200,IF(J1212=K1212+2,201,250)))&amp;".1",""))</f>
        <v/>
      </c>
      <c r="F1212" s="0" t="str">
        <f aca="false">IF(I1212="","",IF(AND(J1212&gt;=1,J1212&lt;=K1212+3),"10."&amp;INDEX(Eingabe!$D$9:$D$18,I1212)&amp;"."&amp;IF(J1212&lt;=K1212,J1212,IF(J1212=K1212+1,200,IF(J1212=K1212+2,201,250)))&amp;".10 – 10."&amp;INDEX(Eingabe!$D$9:$D$18,I1212)&amp;"."&amp;IF(J1212&lt;=K1212,J1212,IF(J1212=K1212+1,200,IF(J1212=K1212+2,201,250)))&amp;".250",""))</f>
        <v/>
      </c>
      <c r="G1212" s="0" t="str">
        <f aca="false">IF(I1212="","",IF(AND(J1212&gt;=1,J1212&lt;=K1212),Eingabe!$B$6&amp;"-"&amp;INDEX(Eingabe!$C$9:$C$18,I1212)&amp;"-Pächter  ·  Passwort Parzelle "&amp;J1212,IF(J1212=K1212+1,Eingabe!$B$6&amp;"-"&amp;INDEX(Eingabe!$C$9:$C$18,I1212)&amp;"-Vorstand  ·  eigenes WLAN",IF(J1212=K1212+2,Eingabe!$B$6&amp;"-"&amp;INDEX(Eingabe!$C$9:$C$18,I1212)&amp;"-Gäste  ·  Voucher",IF(J1212=K1212+3,"Kabel  ·  Access Point y = .(50+y), Mast-Switch x = .(10+x)","")))))</f>
        <v/>
      </c>
      <c r="I1212" s="0" t="str">
        <f aca="false">IF(1207&lt;=(Eingabe!$P$18+Eingabe!$Q$18-1),MATCH(1207,Eingabe!$P$9:$P$18,1),"")</f>
        <v/>
      </c>
      <c r="J1212" s="0" t="str">
        <f aca="false">IF(I1212="","",1207-INDEX(Eingabe!$P$9:$P$18,I1212))</f>
        <v/>
      </c>
      <c r="K1212" s="0" t="str">
        <f aca="false">IF(I1212="","",INDEX(Eingabe!$E$9:$E$18,I1212))</f>
        <v/>
      </c>
    </row>
    <row r="1213" customFormat="false" ht="15" hidden="false" customHeight="false" outlineLevel="0" collapsed="false">
      <c r="A1213" s="0" t="str">
        <f aca="false">IF(I1213="","",IF(J1213=0,"Sparte "&amp;I1213&amp;": "&amp;INDEX(Eingabe!$B$9:$B$18,I1213)&amp;"  (Sparten-ID "&amp;INDEX(Eingabe!$D$9:$D$18,I1213)&amp;", "&amp;K1213&amp;" Parzellen)",IF(J1213&lt;=K1213,"   Parzelle "&amp;J1213,IF(J1213=K1213+1,"   Vorstand",IF(J1213=K1213+2,"   Gäste",IF(J1213=K1213+3,"   Technik (Switches, Access Points)",""))))))</f>
        <v/>
      </c>
      <c r="B1213" s="0" t="str">
        <f aca="false">IF(I1213="","",IF(AND(J1213&gt;=1,J1213&lt;=K1213+3),IF(J1213&lt;=K1213,IF(J1213&lt;=99,IF((INDEX(Eingabe!$G$9:$G$18,I1213))&lt;=9,1000+(INDEX(Eingabe!$G$9:$G$18,I1213))*100,3000)+J1213,IF((INDEX(Eingabe!$G$9:$G$18,I1213)+1)&lt;=9,1000+(INDEX(Eingabe!$G$9:$G$18,I1213)+1)*100,3000)+J1213-100),IF(J1213=K1213+1,2000+INDEX(Eingabe!$G$9:$G$18,I1213)*10+1,IF(J1213=K1213+2,2000+INDEX(Eingabe!$G$9:$G$18,I1213)*10+2,2000+INDEX(Eingabe!$G$9:$G$18,I1213)*10+9))),""))</f>
        <v/>
      </c>
      <c r="C1213" s="0" t="str">
        <f aca="false">IF(I1213="","",IF(AND(J1213&gt;=1,J1213&lt;=K1213+3),"10."&amp;INDEX(Eingabe!$D$9:$D$18,I1213)&amp;"."&amp;IF(J1213&lt;=K1213,J1213,IF(J1213=K1213+1,200,IF(J1213=K1213+2,201,250)))&amp;".0/24",""))</f>
        <v/>
      </c>
      <c r="D1213" s="0" t="str">
        <f aca="false">IF(I1213="","",IF(AND(J1213&gt;=1,J1213&lt;=K1213+3),"255.255.255.0",""))</f>
        <v/>
      </c>
      <c r="E1213" s="0" t="str">
        <f aca="false">IF(I1213="","",IF(AND(J1213&gt;=1,J1213&lt;=K1213+3),"10."&amp;INDEX(Eingabe!$D$9:$D$18,I1213)&amp;"."&amp;IF(J1213&lt;=K1213,J1213,IF(J1213=K1213+1,200,IF(J1213=K1213+2,201,250)))&amp;".1",""))</f>
        <v/>
      </c>
      <c r="F1213" s="0" t="str">
        <f aca="false">IF(I1213="","",IF(AND(J1213&gt;=1,J1213&lt;=K1213+3),"10."&amp;INDEX(Eingabe!$D$9:$D$18,I1213)&amp;"."&amp;IF(J1213&lt;=K1213,J1213,IF(J1213=K1213+1,200,IF(J1213=K1213+2,201,250)))&amp;".10 – 10."&amp;INDEX(Eingabe!$D$9:$D$18,I1213)&amp;"."&amp;IF(J1213&lt;=K1213,J1213,IF(J1213=K1213+1,200,IF(J1213=K1213+2,201,250)))&amp;".250",""))</f>
        <v/>
      </c>
      <c r="G1213" s="0" t="str">
        <f aca="false">IF(I1213="","",IF(AND(J1213&gt;=1,J1213&lt;=K1213),Eingabe!$B$6&amp;"-"&amp;INDEX(Eingabe!$C$9:$C$18,I1213)&amp;"-Pächter  ·  Passwort Parzelle "&amp;J1213,IF(J1213=K1213+1,Eingabe!$B$6&amp;"-"&amp;INDEX(Eingabe!$C$9:$C$18,I1213)&amp;"-Vorstand  ·  eigenes WLAN",IF(J1213=K1213+2,Eingabe!$B$6&amp;"-"&amp;INDEX(Eingabe!$C$9:$C$18,I1213)&amp;"-Gäste  ·  Voucher",IF(J1213=K1213+3,"Kabel  ·  Access Point y = .(50+y), Mast-Switch x = .(10+x)","")))))</f>
        <v/>
      </c>
      <c r="I1213" s="0" t="str">
        <f aca="false">IF(1208&lt;=(Eingabe!$P$18+Eingabe!$Q$18-1),MATCH(1208,Eingabe!$P$9:$P$18,1),"")</f>
        <v/>
      </c>
      <c r="J1213" s="0" t="str">
        <f aca="false">IF(I1213="","",1208-INDEX(Eingabe!$P$9:$P$18,I1213))</f>
        <v/>
      </c>
      <c r="K1213" s="0" t="str">
        <f aca="false">IF(I1213="","",INDEX(Eingabe!$E$9:$E$18,I1213))</f>
        <v/>
      </c>
    </row>
    <row r="1214" customFormat="false" ht="15" hidden="false" customHeight="false" outlineLevel="0" collapsed="false">
      <c r="A1214" s="0" t="str">
        <f aca="false">IF(I1214="","",IF(J1214=0,"Sparte "&amp;I1214&amp;": "&amp;INDEX(Eingabe!$B$9:$B$18,I1214)&amp;"  (Sparten-ID "&amp;INDEX(Eingabe!$D$9:$D$18,I1214)&amp;", "&amp;K1214&amp;" Parzellen)",IF(J1214&lt;=K1214,"   Parzelle "&amp;J1214,IF(J1214=K1214+1,"   Vorstand",IF(J1214=K1214+2,"   Gäste",IF(J1214=K1214+3,"   Technik (Switches, Access Points)",""))))))</f>
        <v/>
      </c>
      <c r="B1214" s="0" t="str">
        <f aca="false">IF(I1214="","",IF(AND(J1214&gt;=1,J1214&lt;=K1214+3),IF(J1214&lt;=K1214,IF(J1214&lt;=99,IF((INDEX(Eingabe!$G$9:$G$18,I1214))&lt;=9,1000+(INDEX(Eingabe!$G$9:$G$18,I1214))*100,3000)+J1214,IF((INDEX(Eingabe!$G$9:$G$18,I1214)+1)&lt;=9,1000+(INDEX(Eingabe!$G$9:$G$18,I1214)+1)*100,3000)+J1214-100),IF(J1214=K1214+1,2000+INDEX(Eingabe!$G$9:$G$18,I1214)*10+1,IF(J1214=K1214+2,2000+INDEX(Eingabe!$G$9:$G$18,I1214)*10+2,2000+INDEX(Eingabe!$G$9:$G$18,I1214)*10+9))),""))</f>
        <v/>
      </c>
      <c r="C1214" s="0" t="str">
        <f aca="false">IF(I1214="","",IF(AND(J1214&gt;=1,J1214&lt;=K1214+3),"10."&amp;INDEX(Eingabe!$D$9:$D$18,I1214)&amp;"."&amp;IF(J1214&lt;=K1214,J1214,IF(J1214=K1214+1,200,IF(J1214=K1214+2,201,250)))&amp;".0/24",""))</f>
        <v/>
      </c>
      <c r="D1214" s="0" t="str">
        <f aca="false">IF(I1214="","",IF(AND(J1214&gt;=1,J1214&lt;=K1214+3),"255.255.255.0",""))</f>
        <v/>
      </c>
      <c r="E1214" s="0" t="str">
        <f aca="false">IF(I1214="","",IF(AND(J1214&gt;=1,J1214&lt;=K1214+3),"10."&amp;INDEX(Eingabe!$D$9:$D$18,I1214)&amp;"."&amp;IF(J1214&lt;=K1214,J1214,IF(J1214=K1214+1,200,IF(J1214=K1214+2,201,250)))&amp;".1",""))</f>
        <v/>
      </c>
      <c r="F1214" s="0" t="str">
        <f aca="false">IF(I1214="","",IF(AND(J1214&gt;=1,J1214&lt;=K1214+3),"10."&amp;INDEX(Eingabe!$D$9:$D$18,I1214)&amp;"."&amp;IF(J1214&lt;=K1214,J1214,IF(J1214=K1214+1,200,IF(J1214=K1214+2,201,250)))&amp;".10 – 10."&amp;INDEX(Eingabe!$D$9:$D$18,I1214)&amp;"."&amp;IF(J1214&lt;=K1214,J1214,IF(J1214=K1214+1,200,IF(J1214=K1214+2,201,250)))&amp;".250",""))</f>
        <v/>
      </c>
      <c r="G1214" s="0" t="str">
        <f aca="false">IF(I1214="","",IF(AND(J1214&gt;=1,J1214&lt;=K1214),Eingabe!$B$6&amp;"-"&amp;INDEX(Eingabe!$C$9:$C$18,I1214)&amp;"-Pächter  ·  Passwort Parzelle "&amp;J1214,IF(J1214=K1214+1,Eingabe!$B$6&amp;"-"&amp;INDEX(Eingabe!$C$9:$C$18,I1214)&amp;"-Vorstand  ·  eigenes WLAN",IF(J1214=K1214+2,Eingabe!$B$6&amp;"-"&amp;INDEX(Eingabe!$C$9:$C$18,I1214)&amp;"-Gäste  ·  Voucher",IF(J1214=K1214+3,"Kabel  ·  Access Point y = .(50+y), Mast-Switch x = .(10+x)","")))))</f>
        <v/>
      </c>
      <c r="I1214" s="0" t="str">
        <f aca="false">IF(1209&lt;=(Eingabe!$P$18+Eingabe!$Q$18-1),MATCH(1209,Eingabe!$P$9:$P$18,1),"")</f>
        <v/>
      </c>
      <c r="J1214" s="0" t="str">
        <f aca="false">IF(I1214="","",1209-INDEX(Eingabe!$P$9:$P$18,I1214))</f>
        <v/>
      </c>
      <c r="K1214" s="0" t="str">
        <f aca="false">IF(I1214="","",INDEX(Eingabe!$E$9:$E$18,I1214))</f>
        <v/>
      </c>
    </row>
    <row r="1215" customFormat="false" ht="15" hidden="false" customHeight="false" outlineLevel="0" collapsed="false">
      <c r="A1215" s="0" t="str">
        <f aca="false">IF(I1215="","",IF(J1215=0,"Sparte "&amp;I1215&amp;": "&amp;INDEX(Eingabe!$B$9:$B$18,I1215)&amp;"  (Sparten-ID "&amp;INDEX(Eingabe!$D$9:$D$18,I1215)&amp;", "&amp;K1215&amp;" Parzellen)",IF(J1215&lt;=K1215,"   Parzelle "&amp;J1215,IF(J1215=K1215+1,"   Vorstand",IF(J1215=K1215+2,"   Gäste",IF(J1215=K1215+3,"   Technik (Switches, Access Points)",""))))))</f>
        <v/>
      </c>
      <c r="B1215" s="0" t="str">
        <f aca="false">IF(I1215="","",IF(AND(J1215&gt;=1,J1215&lt;=K1215+3),IF(J1215&lt;=K1215,IF(J1215&lt;=99,IF((INDEX(Eingabe!$G$9:$G$18,I1215))&lt;=9,1000+(INDEX(Eingabe!$G$9:$G$18,I1215))*100,3000)+J1215,IF((INDEX(Eingabe!$G$9:$G$18,I1215)+1)&lt;=9,1000+(INDEX(Eingabe!$G$9:$G$18,I1215)+1)*100,3000)+J1215-100),IF(J1215=K1215+1,2000+INDEX(Eingabe!$G$9:$G$18,I1215)*10+1,IF(J1215=K1215+2,2000+INDEX(Eingabe!$G$9:$G$18,I1215)*10+2,2000+INDEX(Eingabe!$G$9:$G$18,I1215)*10+9))),""))</f>
        <v/>
      </c>
      <c r="C1215" s="0" t="str">
        <f aca="false">IF(I1215="","",IF(AND(J1215&gt;=1,J1215&lt;=K1215+3),"10."&amp;INDEX(Eingabe!$D$9:$D$18,I1215)&amp;"."&amp;IF(J1215&lt;=K1215,J1215,IF(J1215=K1215+1,200,IF(J1215=K1215+2,201,250)))&amp;".0/24",""))</f>
        <v/>
      </c>
      <c r="D1215" s="0" t="str">
        <f aca="false">IF(I1215="","",IF(AND(J1215&gt;=1,J1215&lt;=K1215+3),"255.255.255.0",""))</f>
        <v/>
      </c>
      <c r="E1215" s="0" t="str">
        <f aca="false">IF(I1215="","",IF(AND(J1215&gt;=1,J1215&lt;=K1215+3),"10."&amp;INDEX(Eingabe!$D$9:$D$18,I1215)&amp;"."&amp;IF(J1215&lt;=K1215,J1215,IF(J1215=K1215+1,200,IF(J1215=K1215+2,201,250)))&amp;".1",""))</f>
        <v/>
      </c>
      <c r="F1215" s="0" t="str">
        <f aca="false">IF(I1215="","",IF(AND(J1215&gt;=1,J1215&lt;=K1215+3),"10."&amp;INDEX(Eingabe!$D$9:$D$18,I1215)&amp;"."&amp;IF(J1215&lt;=K1215,J1215,IF(J1215=K1215+1,200,IF(J1215=K1215+2,201,250)))&amp;".10 – 10."&amp;INDEX(Eingabe!$D$9:$D$18,I1215)&amp;"."&amp;IF(J1215&lt;=K1215,J1215,IF(J1215=K1215+1,200,IF(J1215=K1215+2,201,250)))&amp;".250",""))</f>
        <v/>
      </c>
      <c r="G1215" s="0" t="str">
        <f aca="false">IF(I1215="","",IF(AND(J1215&gt;=1,J1215&lt;=K1215),Eingabe!$B$6&amp;"-"&amp;INDEX(Eingabe!$C$9:$C$18,I1215)&amp;"-Pächter  ·  Passwort Parzelle "&amp;J1215,IF(J1215=K1215+1,Eingabe!$B$6&amp;"-"&amp;INDEX(Eingabe!$C$9:$C$18,I1215)&amp;"-Vorstand  ·  eigenes WLAN",IF(J1215=K1215+2,Eingabe!$B$6&amp;"-"&amp;INDEX(Eingabe!$C$9:$C$18,I1215)&amp;"-Gäste  ·  Voucher",IF(J1215=K1215+3,"Kabel  ·  Access Point y = .(50+y), Mast-Switch x = .(10+x)","")))))</f>
        <v/>
      </c>
      <c r="I1215" s="0" t="str">
        <f aca="false">IF(1210&lt;=(Eingabe!$P$18+Eingabe!$Q$18-1),MATCH(1210,Eingabe!$P$9:$P$18,1),"")</f>
        <v/>
      </c>
      <c r="J1215" s="0" t="str">
        <f aca="false">IF(I1215="","",1210-INDEX(Eingabe!$P$9:$P$18,I1215))</f>
        <v/>
      </c>
      <c r="K1215" s="0" t="str">
        <f aca="false">IF(I1215="","",INDEX(Eingabe!$E$9:$E$18,I1215))</f>
        <v/>
      </c>
    </row>
    <row r="1216" customFormat="false" ht="15" hidden="false" customHeight="false" outlineLevel="0" collapsed="false">
      <c r="A1216" s="0" t="str">
        <f aca="false">IF(I1216="","",IF(J1216=0,"Sparte "&amp;I1216&amp;": "&amp;INDEX(Eingabe!$B$9:$B$18,I1216)&amp;"  (Sparten-ID "&amp;INDEX(Eingabe!$D$9:$D$18,I1216)&amp;", "&amp;K1216&amp;" Parzellen)",IF(J1216&lt;=K1216,"   Parzelle "&amp;J1216,IF(J1216=K1216+1,"   Vorstand",IF(J1216=K1216+2,"   Gäste",IF(J1216=K1216+3,"   Technik (Switches, Access Points)",""))))))</f>
        <v/>
      </c>
      <c r="B1216" s="0" t="str">
        <f aca="false">IF(I1216="","",IF(AND(J1216&gt;=1,J1216&lt;=K1216+3),IF(J1216&lt;=K1216,IF(J1216&lt;=99,IF((INDEX(Eingabe!$G$9:$G$18,I1216))&lt;=9,1000+(INDEX(Eingabe!$G$9:$G$18,I1216))*100,3000)+J1216,IF((INDEX(Eingabe!$G$9:$G$18,I1216)+1)&lt;=9,1000+(INDEX(Eingabe!$G$9:$G$18,I1216)+1)*100,3000)+J1216-100),IF(J1216=K1216+1,2000+INDEX(Eingabe!$G$9:$G$18,I1216)*10+1,IF(J1216=K1216+2,2000+INDEX(Eingabe!$G$9:$G$18,I1216)*10+2,2000+INDEX(Eingabe!$G$9:$G$18,I1216)*10+9))),""))</f>
        <v/>
      </c>
      <c r="C1216" s="0" t="str">
        <f aca="false">IF(I1216="","",IF(AND(J1216&gt;=1,J1216&lt;=K1216+3),"10."&amp;INDEX(Eingabe!$D$9:$D$18,I1216)&amp;"."&amp;IF(J1216&lt;=K1216,J1216,IF(J1216=K1216+1,200,IF(J1216=K1216+2,201,250)))&amp;".0/24",""))</f>
        <v/>
      </c>
      <c r="D1216" s="0" t="str">
        <f aca="false">IF(I1216="","",IF(AND(J1216&gt;=1,J1216&lt;=K1216+3),"255.255.255.0",""))</f>
        <v/>
      </c>
      <c r="E1216" s="0" t="str">
        <f aca="false">IF(I1216="","",IF(AND(J1216&gt;=1,J1216&lt;=K1216+3),"10."&amp;INDEX(Eingabe!$D$9:$D$18,I1216)&amp;"."&amp;IF(J1216&lt;=K1216,J1216,IF(J1216=K1216+1,200,IF(J1216=K1216+2,201,250)))&amp;".1",""))</f>
        <v/>
      </c>
      <c r="F1216" s="0" t="str">
        <f aca="false">IF(I1216="","",IF(AND(J1216&gt;=1,J1216&lt;=K1216+3),"10."&amp;INDEX(Eingabe!$D$9:$D$18,I1216)&amp;"."&amp;IF(J1216&lt;=K1216,J1216,IF(J1216=K1216+1,200,IF(J1216=K1216+2,201,250)))&amp;".10 – 10."&amp;INDEX(Eingabe!$D$9:$D$18,I1216)&amp;"."&amp;IF(J1216&lt;=K1216,J1216,IF(J1216=K1216+1,200,IF(J1216=K1216+2,201,250)))&amp;".250",""))</f>
        <v/>
      </c>
      <c r="G1216" s="0" t="str">
        <f aca="false">IF(I1216="","",IF(AND(J1216&gt;=1,J1216&lt;=K1216),Eingabe!$B$6&amp;"-"&amp;INDEX(Eingabe!$C$9:$C$18,I1216)&amp;"-Pächter  ·  Passwort Parzelle "&amp;J1216,IF(J1216=K1216+1,Eingabe!$B$6&amp;"-"&amp;INDEX(Eingabe!$C$9:$C$18,I1216)&amp;"-Vorstand  ·  eigenes WLAN",IF(J1216=K1216+2,Eingabe!$B$6&amp;"-"&amp;INDEX(Eingabe!$C$9:$C$18,I1216)&amp;"-Gäste  ·  Voucher",IF(J1216=K1216+3,"Kabel  ·  Access Point y = .(50+y), Mast-Switch x = .(10+x)","")))))</f>
        <v/>
      </c>
      <c r="I1216" s="0" t="str">
        <f aca="false">IF(1211&lt;=(Eingabe!$P$18+Eingabe!$Q$18-1),MATCH(1211,Eingabe!$P$9:$P$18,1),"")</f>
        <v/>
      </c>
      <c r="J1216" s="0" t="str">
        <f aca="false">IF(I1216="","",1211-INDEX(Eingabe!$P$9:$P$18,I1216))</f>
        <v/>
      </c>
      <c r="K1216" s="0" t="str">
        <f aca="false">IF(I1216="","",INDEX(Eingabe!$E$9:$E$18,I1216))</f>
        <v/>
      </c>
    </row>
    <row r="1217" customFormat="false" ht="15" hidden="false" customHeight="false" outlineLevel="0" collapsed="false">
      <c r="A1217" s="0" t="str">
        <f aca="false">IF(I1217="","",IF(J1217=0,"Sparte "&amp;I1217&amp;": "&amp;INDEX(Eingabe!$B$9:$B$18,I1217)&amp;"  (Sparten-ID "&amp;INDEX(Eingabe!$D$9:$D$18,I1217)&amp;", "&amp;K1217&amp;" Parzellen)",IF(J1217&lt;=K1217,"   Parzelle "&amp;J1217,IF(J1217=K1217+1,"   Vorstand",IF(J1217=K1217+2,"   Gäste",IF(J1217=K1217+3,"   Technik (Switches, Access Points)",""))))))</f>
        <v/>
      </c>
      <c r="B1217" s="0" t="str">
        <f aca="false">IF(I1217="","",IF(AND(J1217&gt;=1,J1217&lt;=K1217+3),IF(J1217&lt;=K1217,IF(J1217&lt;=99,IF((INDEX(Eingabe!$G$9:$G$18,I1217))&lt;=9,1000+(INDEX(Eingabe!$G$9:$G$18,I1217))*100,3000)+J1217,IF((INDEX(Eingabe!$G$9:$G$18,I1217)+1)&lt;=9,1000+(INDEX(Eingabe!$G$9:$G$18,I1217)+1)*100,3000)+J1217-100),IF(J1217=K1217+1,2000+INDEX(Eingabe!$G$9:$G$18,I1217)*10+1,IF(J1217=K1217+2,2000+INDEX(Eingabe!$G$9:$G$18,I1217)*10+2,2000+INDEX(Eingabe!$G$9:$G$18,I1217)*10+9))),""))</f>
        <v/>
      </c>
      <c r="C1217" s="0" t="str">
        <f aca="false">IF(I1217="","",IF(AND(J1217&gt;=1,J1217&lt;=K1217+3),"10."&amp;INDEX(Eingabe!$D$9:$D$18,I1217)&amp;"."&amp;IF(J1217&lt;=K1217,J1217,IF(J1217=K1217+1,200,IF(J1217=K1217+2,201,250)))&amp;".0/24",""))</f>
        <v/>
      </c>
      <c r="D1217" s="0" t="str">
        <f aca="false">IF(I1217="","",IF(AND(J1217&gt;=1,J1217&lt;=K1217+3),"255.255.255.0",""))</f>
        <v/>
      </c>
      <c r="E1217" s="0" t="str">
        <f aca="false">IF(I1217="","",IF(AND(J1217&gt;=1,J1217&lt;=K1217+3),"10."&amp;INDEX(Eingabe!$D$9:$D$18,I1217)&amp;"."&amp;IF(J1217&lt;=K1217,J1217,IF(J1217=K1217+1,200,IF(J1217=K1217+2,201,250)))&amp;".1",""))</f>
        <v/>
      </c>
      <c r="F1217" s="0" t="str">
        <f aca="false">IF(I1217="","",IF(AND(J1217&gt;=1,J1217&lt;=K1217+3),"10."&amp;INDEX(Eingabe!$D$9:$D$18,I1217)&amp;"."&amp;IF(J1217&lt;=K1217,J1217,IF(J1217=K1217+1,200,IF(J1217=K1217+2,201,250)))&amp;".10 – 10."&amp;INDEX(Eingabe!$D$9:$D$18,I1217)&amp;"."&amp;IF(J1217&lt;=K1217,J1217,IF(J1217=K1217+1,200,IF(J1217=K1217+2,201,250)))&amp;".250",""))</f>
        <v/>
      </c>
      <c r="G1217" s="0" t="str">
        <f aca="false">IF(I1217="","",IF(AND(J1217&gt;=1,J1217&lt;=K1217),Eingabe!$B$6&amp;"-"&amp;INDEX(Eingabe!$C$9:$C$18,I1217)&amp;"-Pächter  ·  Passwort Parzelle "&amp;J1217,IF(J1217=K1217+1,Eingabe!$B$6&amp;"-"&amp;INDEX(Eingabe!$C$9:$C$18,I1217)&amp;"-Vorstand  ·  eigenes WLAN",IF(J1217=K1217+2,Eingabe!$B$6&amp;"-"&amp;INDEX(Eingabe!$C$9:$C$18,I1217)&amp;"-Gäste  ·  Voucher",IF(J1217=K1217+3,"Kabel  ·  Access Point y = .(50+y), Mast-Switch x = .(10+x)","")))))</f>
        <v/>
      </c>
      <c r="I1217" s="0" t="str">
        <f aca="false">IF(1212&lt;=(Eingabe!$P$18+Eingabe!$Q$18-1),MATCH(1212,Eingabe!$P$9:$P$18,1),"")</f>
        <v/>
      </c>
      <c r="J1217" s="0" t="str">
        <f aca="false">IF(I1217="","",1212-INDEX(Eingabe!$P$9:$P$18,I1217))</f>
        <v/>
      </c>
      <c r="K1217" s="0" t="str">
        <f aca="false">IF(I1217="","",INDEX(Eingabe!$E$9:$E$18,I1217))</f>
        <v/>
      </c>
    </row>
    <row r="1218" customFormat="false" ht="15" hidden="false" customHeight="false" outlineLevel="0" collapsed="false">
      <c r="A1218" s="0" t="str">
        <f aca="false">IF(I1218="","",IF(J1218=0,"Sparte "&amp;I1218&amp;": "&amp;INDEX(Eingabe!$B$9:$B$18,I1218)&amp;"  (Sparten-ID "&amp;INDEX(Eingabe!$D$9:$D$18,I1218)&amp;", "&amp;K1218&amp;" Parzellen)",IF(J1218&lt;=K1218,"   Parzelle "&amp;J1218,IF(J1218=K1218+1,"   Vorstand",IF(J1218=K1218+2,"   Gäste",IF(J1218=K1218+3,"   Technik (Switches, Access Points)",""))))))</f>
        <v/>
      </c>
      <c r="B1218" s="0" t="str">
        <f aca="false">IF(I1218="","",IF(AND(J1218&gt;=1,J1218&lt;=K1218+3),IF(J1218&lt;=K1218,IF(J1218&lt;=99,IF((INDEX(Eingabe!$G$9:$G$18,I1218))&lt;=9,1000+(INDEX(Eingabe!$G$9:$G$18,I1218))*100,3000)+J1218,IF((INDEX(Eingabe!$G$9:$G$18,I1218)+1)&lt;=9,1000+(INDEX(Eingabe!$G$9:$G$18,I1218)+1)*100,3000)+J1218-100),IF(J1218=K1218+1,2000+INDEX(Eingabe!$G$9:$G$18,I1218)*10+1,IF(J1218=K1218+2,2000+INDEX(Eingabe!$G$9:$G$18,I1218)*10+2,2000+INDEX(Eingabe!$G$9:$G$18,I1218)*10+9))),""))</f>
        <v/>
      </c>
      <c r="C1218" s="0" t="str">
        <f aca="false">IF(I1218="","",IF(AND(J1218&gt;=1,J1218&lt;=K1218+3),"10."&amp;INDEX(Eingabe!$D$9:$D$18,I1218)&amp;"."&amp;IF(J1218&lt;=K1218,J1218,IF(J1218=K1218+1,200,IF(J1218=K1218+2,201,250)))&amp;".0/24",""))</f>
        <v/>
      </c>
      <c r="D1218" s="0" t="str">
        <f aca="false">IF(I1218="","",IF(AND(J1218&gt;=1,J1218&lt;=K1218+3),"255.255.255.0",""))</f>
        <v/>
      </c>
      <c r="E1218" s="0" t="str">
        <f aca="false">IF(I1218="","",IF(AND(J1218&gt;=1,J1218&lt;=K1218+3),"10."&amp;INDEX(Eingabe!$D$9:$D$18,I1218)&amp;"."&amp;IF(J1218&lt;=K1218,J1218,IF(J1218=K1218+1,200,IF(J1218=K1218+2,201,250)))&amp;".1",""))</f>
        <v/>
      </c>
      <c r="F1218" s="0" t="str">
        <f aca="false">IF(I1218="","",IF(AND(J1218&gt;=1,J1218&lt;=K1218+3),"10."&amp;INDEX(Eingabe!$D$9:$D$18,I1218)&amp;"."&amp;IF(J1218&lt;=K1218,J1218,IF(J1218=K1218+1,200,IF(J1218=K1218+2,201,250)))&amp;".10 – 10."&amp;INDEX(Eingabe!$D$9:$D$18,I1218)&amp;"."&amp;IF(J1218&lt;=K1218,J1218,IF(J1218=K1218+1,200,IF(J1218=K1218+2,201,250)))&amp;".250",""))</f>
        <v/>
      </c>
      <c r="G1218" s="0" t="str">
        <f aca="false">IF(I1218="","",IF(AND(J1218&gt;=1,J1218&lt;=K1218),Eingabe!$B$6&amp;"-"&amp;INDEX(Eingabe!$C$9:$C$18,I1218)&amp;"-Pächter  ·  Passwort Parzelle "&amp;J1218,IF(J1218=K1218+1,Eingabe!$B$6&amp;"-"&amp;INDEX(Eingabe!$C$9:$C$18,I1218)&amp;"-Vorstand  ·  eigenes WLAN",IF(J1218=K1218+2,Eingabe!$B$6&amp;"-"&amp;INDEX(Eingabe!$C$9:$C$18,I1218)&amp;"-Gäste  ·  Voucher",IF(J1218=K1218+3,"Kabel  ·  Access Point y = .(50+y), Mast-Switch x = .(10+x)","")))))</f>
        <v/>
      </c>
      <c r="I1218" s="0" t="str">
        <f aca="false">IF(1213&lt;=(Eingabe!$P$18+Eingabe!$Q$18-1),MATCH(1213,Eingabe!$P$9:$P$18,1),"")</f>
        <v/>
      </c>
      <c r="J1218" s="0" t="str">
        <f aca="false">IF(I1218="","",1213-INDEX(Eingabe!$P$9:$P$18,I1218))</f>
        <v/>
      </c>
      <c r="K1218" s="0" t="str">
        <f aca="false">IF(I1218="","",INDEX(Eingabe!$E$9:$E$18,I1218))</f>
        <v/>
      </c>
    </row>
    <row r="1219" customFormat="false" ht="15" hidden="false" customHeight="false" outlineLevel="0" collapsed="false">
      <c r="A1219" s="0" t="str">
        <f aca="false">IF(I1219="","",IF(J1219=0,"Sparte "&amp;I1219&amp;": "&amp;INDEX(Eingabe!$B$9:$B$18,I1219)&amp;"  (Sparten-ID "&amp;INDEX(Eingabe!$D$9:$D$18,I1219)&amp;", "&amp;K1219&amp;" Parzellen)",IF(J1219&lt;=K1219,"   Parzelle "&amp;J1219,IF(J1219=K1219+1,"   Vorstand",IF(J1219=K1219+2,"   Gäste",IF(J1219=K1219+3,"   Technik (Switches, Access Points)",""))))))</f>
        <v/>
      </c>
      <c r="B1219" s="0" t="str">
        <f aca="false">IF(I1219="","",IF(AND(J1219&gt;=1,J1219&lt;=K1219+3),IF(J1219&lt;=K1219,IF(J1219&lt;=99,IF((INDEX(Eingabe!$G$9:$G$18,I1219))&lt;=9,1000+(INDEX(Eingabe!$G$9:$G$18,I1219))*100,3000)+J1219,IF((INDEX(Eingabe!$G$9:$G$18,I1219)+1)&lt;=9,1000+(INDEX(Eingabe!$G$9:$G$18,I1219)+1)*100,3000)+J1219-100),IF(J1219=K1219+1,2000+INDEX(Eingabe!$G$9:$G$18,I1219)*10+1,IF(J1219=K1219+2,2000+INDEX(Eingabe!$G$9:$G$18,I1219)*10+2,2000+INDEX(Eingabe!$G$9:$G$18,I1219)*10+9))),""))</f>
        <v/>
      </c>
      <c r="C1219" s="0" t="str">
        <f aca="false">IF(I1219="","",IF(AND(J1219&gt;=1,J1219&lt;=K1219+3),"10."&amp;INDEX(Eingabe!$D$9:$D$18,I1219)&amp;"."&amp;IF(J1219&lt;=K1219,J1219,IF(J1219=K1219+1,200,IF(J1219=K1219+2,201,250)))&amp;".0/24",""))</f>
        <v/>
      </c>
      <c r="D1219" s="0" t="str">
        <f aca="false">IF(I1219="","",IF(AND(J1219&gt;=1,J1219&lt;=K1219+3),"255.255.255.0",""))</f>
        <v/>
      </c>
      <c r="E1219" s="0" t="str">
        <f aca="false">IF(I1219="","",IF(AND(J1219&gt;=1,J1219&lt;=K1219+3),"10."&amp;INDEX(Eingabe!$D$9:$D$18,I1219)&amp;"."&amp;IF(J1219&lt;=K1219,J1219,IF(J1219=K1219+1,200,IF(J1219=K1219+2,201,250)))&amp;".1",""))</f>
        <v/>
      </c>
      <c r="F1219" s="0" t="str">
        <f aca="false">IF(I1219="","",IF(AND(J1219&gt;=1,J1219&lt;=K1219+3),"10."&amp;INDEX(Eingabe!$D$9:$D$18,I1219)&amp;"."&amp;IF(J1219&lt;=K1219,J1219,IF(J1219=K1219+1,200,IF(J1219=K1219+2,201,250)))&amp;".10 – 10."&amp;INDEX(Eingabe!$D$9:$D$18,I1219)&amp;"."&amp;IF(J1219&lt;=K1219,J1219,IF(J1219=K1219+1,200,IF(J1219=K1219+2,201,250)))&amp;".250",""))</f>
        <v/>
      </c>
      <c r="G1219" s="0" t="str">
        <f aca="false">IF(I1219="","",IF(AND(J1219&gt;=1,J1219&lt;=K1219),Eingabe!$B$6&amp;"-"&amp;INDEX(Eingabe!$C$9:$C$18,I1219)&amp;"-Pächter  ·  Passwort Parzelle "&amp;J1219,IF(J1219=K1219+1,Eingabe!$B$6&amp;"-"&amp;INDEX(Eingabe!$C$9:$C$18,I1219)&amp;"-Vorstand  ·  eigenes WLAN",IF(J1219=K1219+2,Eingabe!$B$6&amp;"-"&amp;INDEX(Eingabe!$C$9:$C$18,I1219)&amp;"-Gäste  ·  Voucher",IF(J1219=K1219+3,"Kabel  ·  Access Point y = .(50+y), Mast-Switch x = .(10+x)","")))))</f>
        <v/>
      </c>
      <c r="I1219" s="0" t="str">
        <f aca="false">IF(1214&lt;=(Eingabe!$P$18+Eingabe!$Q$18-1),MATCH(1214,Eingabe!$P$9:$P$18,1),"")</f>
        <v/>
      </c>
      <c r="J1219" s="0" t="str">
        <f aca="false">IF(I1219="","",1214-INDEX(Eingabe!$P$9:$P$18,I1219))</f>
        <v/>
      </c>
      <c r="K1219" s="0" t="str">
        <f aca="false">IF(I1219="","",INDEX(Eingabe!$E$9:$E$18,I1219))</f>
        <v/>
      </c>
    </row>
    <row r="1220" customFormat="false" ht="15" hidden="false" customHeight="false" outlineLevel="0" collapsed="false">
      <c r="A1220" s="0" t="str">
        <f aca="false">IF(I1220="","",IF(J1220=0,"Sparte "&amp;I1220&amp;": "&amp;INDEX(Eingabe!$B$9:$B$18,I1220)&amp;"  (Sparten-ID "&amp;INDEX(Eingabe!$D$9:$D$18,I1220)&amp;", "&amp;K1220&amp;" Parzellen)",IF(J1220&lt;=K1220,"   Parzelle "&amp;J1220,IF(J1220=K1220+1,"   Vorstand",IF(J1220=K1220+2,"   Gäste",IF(J1220=K1220+3,"   Technik (Switches, Access Points)",""))))))</f>
        <v/>
      </c>
      <c r="B1220" s="0" t="str">
        <f aca="false">IF(I1220="","",IF(AND(J1220&gt;=1,J1220&lt;=K1220+3),IF(J1220&lt;=K1220,IF(J1220&lt;=99,IF((INDEX(Eingabe!$G$9:$G$18,I1220))&lt;=9,1000+(INDEX(Eingabe!$G$9:$G$18,I1220))*100,3000)+J1220,IF((INDEX(Eingabe!$G$9:$G$18,I1220)+1)&lt;=9,1000+(INDEX(Eingabe!$G$9:$G$18,I1220)+1)*100,3000)+J1220-100),IF(J1220=K1220+1,2000+INDEX(Eingabe!$G$9:$G$18,I1220)*10+1,IF(J1220=K1220+2,2000+INDEX(Eingabe!$G$9:$G$18,I1220)*10+2,2000+INDEX(Eingabe!$G$9:$G$18,I1220)*10+9))),""))</f>
        <v/>
      </c>
      <c r="C1220" s="0" t="str">
        <f aca="false">IF(I1220="","",IF(AND(J1220&gt;=1,J1220&lt;=K1220+3),"10."&amp;INDEX(Eingabe!$D$9:$D$18,I1220)&amp;"."&amp;IF(J1220&lt;=K1220,J1220,IF(J1220=K1220+1,200,IF(J1220=K1220+2,201,250)))&amp;".0/24",""))</f>
        <v/>
      </c>
      <c r="D1220" s="0" t="str">
        <f aca="false">IF(I1220="","",IF(AND(J1220&gt;=1,J1220&lt;=K1220+3),"255.255.255.0",""))</f>
        <v/>
      </c>
      <c r="E1220" s="0" t="str">
        <f aca="false">IF(I1220="","",IF(AND(J1220&gt;=1,J1220&lt;=K1220+3),"10."&amp;INDEX(Eingabe!$D$9:$D$18,I1220)&amp;"."&amp;IF(J1220&lt;=K1220,J1220,IF(J1220=K1220+1,200,IF(J1220=K1220+2,201,250)))&amp;".1",""))</f>
        <v/>
      </c>
      <c r="F1220" s="0" t="str">
        <f aca="false">IF(I1220="","",IF(AND(J1220&gt;=1,J1220&lt;=K1220+3),"10."&amp;INDEX(Eingabe!$D$9:$D$18,I1220)&amp;"."&amp;IF(J1220&lt;=K1220,J1220,IF(J1220=K1220+1,200,IF(J1220=K1220+2,201,250)))&amp;".10 – 10."&amp;INDEX(Eingabe!$D$9:$D$18,I1220)&amp;"."&amp;IF(J1220&lt;=K1220,J1220,IF(J1220=K1220+1,200,IF(J1220=K1220+2,201,250)))&amp;".250",""))</f>
        <v/>
      </c>
      <c r="G1220" s="0" t="str">
        <f aca="false">IF(I1220="","",IF(AND(J1220&gt;=1,J1220&lt;=K1220),Eingabe!$B$6&amp;"-"&amp;INDEX(Eingabe!$C$9:$C$18,I1220)&amp;"-Pächter  ·  Passwort Parzelle "&amp;J1220,IF(J1220=K1220+1,Eingabe!$B$6&amp;"-"&amp;INDEX(Eingabe!$C$9:$C$18,I1220)&amp;"-Vorstand  ·  eigenes WLAN",IF(J1220=K1220+2,Eingabe!$B$6&amp;"-"&amp;INDEX(Eingabe!$C$9:$C$18,I1220)&amp;"-Gäste  ·  Voucher",IF(J1220=K1220+3,"Kabel  ·  Access Point y = .(50+y), Mast-Switch x = .(10+x)","")))))</f>
        <v/>
      </c>
      <c r="I1220" s="0" t="str">
        <f aca="false">IF(1215&lt;=(Eingabe!$P$18+Eingabe!$Q$18-1),MATCH(1215,Eingabe!$P$9:$P$18,1),"")</f>
        <v/>
      </c>
      <c r="J1220" s="0" t="str">
        <f aca="false">IF(I1220="","",1215-INDEX(Eingabe!$P$9:$P$18,I1220))</f>
        <v/>
      </c>
      <c r="K1220" s="0" t="str">
        <f aca="false">IF(I1220="","",INDEX(Eingabe!$E$9:$E$18,I1220))</f>
        <v/>
      </c>
    </row>
    <row r="1221" customFormat="false" ht="15" hidden="false" customHeight="false" outlineLevel="0" collapsed="false">
      <c r="A1221" s="0" t="str">
        <f aca="false">IF(I1221="","",IF(J1221=0,"Sparte "&amp;I1221&amp;": "&amp;INDEX(Eingabe!$B$9:$B$18,I1221)&amp;"  (Sparten-ID "&amp;INDEX(Eingabe!$D$9:$D$18,I1221)&amp;", "&amp;K1221&amp;" Parzellen)",IF(J1221&lt;=K1221,"   Parzelle "&amp;J1221,IF(J1221=K1221+1,"   Vorstand",IF(J1221=K1221+2,"   Gäste",IF(J1221=K1221+3,"   Technik (Switches, Access Points)",""))))))</f>
        <v/>
      </c>
      <c r="B1221" s="0" t="str">
        <f aca="false">IF(I1221="","",IF(AND(J1221&gt;=1,J1221&lt;=K1221+3),IF(J1221&lt;=K1221,IF(J1221&lt;=99,IF((INDEX(Eingabe!$G$9:$G$18,I1221))&lt;=9,1000+(INDEX(Eingabe!$G$9:$G$18,I1221))*100,3000)+J1221,IF((INDEX(Eingabe!$G$9:$G$18,I1221)+1)&lt;=9,1000+(INDEX(Eingabe!$G$9:$G$18,I1221)+1)*100,3000)+J1221-100),IF(J1221=K1221+1,2000+INDEX(Eingabe!$G$9:$G$18,I1221)*10+1,IF(J1221=K1221+2,2000+INDEX(Eingabe!$G$9:$G$18,I1221)*10+2,2000+INDEX(Eingabe!$G$9:$G$18,I1221)*10+9))),""))</f>
        <v/>
      </c>
      <c r="C1221" s="0" t="str">
        <f aca="false">IF(I1221="","",IF(AND(J1221&gt;=1,J1221&lt;=K1221+3),"10."&amp;INDEX(Eingabe!$D$9:$D$18,I1221)&amp;"."&amp;IF(J1221&lt;=K1221,J1221,IF(J1221=K1221+1,200,IF(J1221=K1221+2,201,250)))&amp;".0/24",""))</f>
        <v/>
      </c>
      <c r="D1221" s="0" t="str">
        <f aca="false">IF(I1221="","",IF(AND(J1221&gt;=1,J1221&lt;=K1221+3),"255.255.255.0",""))</f>
        <v/>
      </c>
      <c r="E1221" s="0" t="str">
        <f aca="false">IF(I1221="","",IF(AND(J1221&gt;=1,J1221&lt;=K1221+3),"10."&amp;INDEX(Eingabe!$D$9:$D$18,I1221)&amp;"."&amp;IF(J1221&lt;=K1221,J1221,IF(J1221=K1221+1,200,IF(J1221=K1221+2,201,250)))&amp;".1",""))</f>
        <v/>
      </c>
      <c r="F1221" s="0" t="str">
        <f aca="false">IF(I1221="","",IF(AND(J1221&gt;=1,J1221&lt;=K1221+3),"10."&amp;INDEX(Eingabe!$D$9:$D$18,I1221)&amp;"."&amp;IF(J1221&lt;=K1221,J1221,IF(J1221=K1221+1,200,IF(J1221=K1221+2,201,250)))&amp;".10 – 10."&amp;INDEX(Eingabe!$D$9:$D$18,I1221)&amp;"."&amp;IF(J1221&lt;=K1221,J1221,IF(J1221=K1221+1,200,IF(J1221=K1221+2,201,250)))&amp;".250",""))</f>
        <v/>
      </c>
      <c r="G1221" s="0" t="str">
        <f aca="false">IF(I1221="","",IF(AND(J1221&gt;=1,J1221&lt;=K1221),Eingabe!$B$6&amp;"-"&amp;INDEX(Eingabe!$C$9:$C$18,I1221)&amp;"-Pächter  ·  Passwort Parzelle "&amp;J1221,IF(J1221=K1221+1,Eingabe!$B$6&amp;"-"&amp;INDEX(Eingabe!$C$9:$C$18,I1221)&amp;"-Vorstand  ·  eigenes WLAN",IF(J1221=K1221+2,Eingabe!$B$6&amp;"-"&amp;INDEX(Eingabe!$C$9:$C$18,I1221)&amp;"-Gäste  ·  Voucher",IF(J1221=K1221+3,"Kabel  ·  Access Point y = .(50+y), Mast-Switch x = .(10+x)","")))))</f>
        <v/>
      </c>
      <c r="I1221" s="0" t="str">
        <f aca="false">IF(1216&lt;=(Eingabe!$P$18+Eingabe!$Q$18-1),MATCH(1216,Eingabe!$P$9:$P$18,1),"")</f>
        <v/>
      </c>
      <c r="J1221" s="0" t="str">
        <f aca="false">IF(I1221="","",1216-INDEX(Eingabe!$P$9:$P$18,I1221))</f>
        <v/>
      </c>
      <c r="K1221" s="0" t="str">
        <f aca="false">IF(I1221="","",INDEX(Eingabe!$E$9:$E$18,I1221))</f>
        <v/>
      </c>
    </row>
    <row r="1222" customFormat="false" ht="15" hidden="false" customHeight="false" outlineLevel="0" collapsed="false">
      <c r="A1222" s="0" t="str">
        <f aca="false">IF(I1222="","",IF(J1222=0,"Sparte "&amp;I1222&amp;": "&amp;INDEX(Eingabe!$B$9:$B$18,I1222)&amp;"  (Sparten-ID "&amp;INDEX(Eingabe!$D$9:$D$18,I1222)&amp;", "&amp;K1222&amp;" Parzellen)",IF(J1222&lt;=K1222,"   Parzelle "&amp;J1222,IF(J1222=K1222+1,"   Vorstand",IF(J1222=K1222+2,"   Gäste",IF(J1222=K1222+3,"   Technik (Switches, Access Points)",""))))))</f>
        <v/>
      </c>
      <c r="B1222" s="0" t="str">
        <f aca="false">IF(I1222="","",IF(AND(J1222&gt;=1,J1222&lt;=K1222+3),IF(J1222&lt;=K1222,IF(J1222&lt;=99,IF((INDEX(Eingabe!$G$9:$G$18,I1222))&lt;=9,1000+(INDEX(Eingabe!$G$9:$G$18,I1222))*100,3000)+J1222,IF((INDEX(Eingabe!$G$9:$G$18,I1222)+1)&lt;=9,1000+(INDEX(Eingabe!$G$9:$G$18,I1222)+1)*100,3000)+J1222-100),IF(J1222=K1222+1,2000+INDEX(Eingabe!$G$9:$G$18,I1222)*10+1,IF(J1222=K1222+2,2000+INDEX(Eingabe!$G$9:$G$18,I1222)*10+2,2000+INDEX(Eingabe!$G$9:$G$18,I1222)*10+9))),""))</f>
        <v/>
      </c>
      <c r="C1222" s="0" t="str">
        <f aca="false">IF(I1222="","",IF(AND(J1222&gt;=1,J1222&lt;=K1222+3),"10."&amp;INDEX(Eingabe!$D$9:$D$18,I1222)&amp;"."&amp;IF(J1222&lt;=K1222,J1222,IF(J1222=K1222+1,200,IF(J1222=K1222+2,201,250)))&amp;".0/24",""))</f>
        <v/>
      </c>
      <c r="D1222" s="0" t="str">
        <f aca="false">IF(I1222="","",IF(AND(J1222&gt;=1,J1222&lt;=K1222+3),"255.255.255.0",""))</f>
        <v/>
      </c>
      <c r="E1222" s="0" t="str">
        <f aca="false">IF(I1222="","",IF(AND(J1222&gt;=1,J1222&lt;=K1222+3),"10."&amp;INDEX(Eingabe!$D$9:$D$18,I1222)&amp;"."&amp;IF(J1222&lt;=K1222,J1222,IF(J1222=K1222+1,200,IF(J1222=K1222+2,201,250)))&amp;".1",""))</f>
        <v/>
      </c>
      <c r="F1222" s="0" t="str">
        <f aca="false">IF(I1222="","",IF(AND(J1222&gt;=1,J1222&lt;=K1222+3),"10."&amp;INDEX(Eingabe!$D$9:$D$18,I1222)&amp;"."&amp;IF(J1222&lt;=K1222,J1222,IF(J1222=K1222+1,200,IF(J1222=K1222+2,201,250)))&amp;".10 – 10."&amp;INDEX(Eingabe!$D$9:$D$18,I1222)&amp;"."&amp;IF(J1222&lt;=K1222,J1222,IF(J1222=K1222+1,200,IF(J1222=K1222+2,201,250)))&amp;".250",""))</f>
        <v/>
      </c>
      <c r="G1222" s="0" t="str">
        <f aca="false">IF(I1222="","",IF(AND(J1222&gt;=1,J1222&lt;=K1222),Eingabe!$B$6&amp;"-"&amp;INDEX(Eingabe!$C$9:$C$18,I1222)&amp;"-Pächter  ·  Passwort Parzelle "&amp;J1222,IF(J1222=K1222+1,Eingabe!$B$6&amp;"-"&amp;INDEX(Eingabe!$C$9:$C$18,I1222)&amp;"-Vorstand  ·  eigenes WLAN",IF(J1222=K1222+2,Eingabe!$B$6&amp;"-"&amp;INDEX(Eingabe!$C$9:$C$18,I1222)&amp;"-Gäste  ·  Voucher",IF(J1222=K1222+3,"Kabel  ·  Access Point y = .(50+y), Mast-Switch x = .(10+x)","")))))</f>
        <v/>
      </c>
      <c r="I1222" s="0" t="str">
        <f aca="false">IF(1217&lt;=(Eingabe!$P$18+Eingabe!$Q$18-1),MATCH(1217,Eingabe!$P$9:$P$18,1),"")</f>
        <v/>
      </c>
      <c r="J1222" s="0" t="str">
        <f aca="false">IF(I1222="","",1217-INDEX(Eingabe!$P$9:$P$18,I1222))</f>
        <v/>
      </c>
      <c r="K1222" s="0" t="str">
        <f aca="false">IF(I1222="","",INDEX(Eingabe!$E$9:$E$18,I1222))</f>
        <v/>
      </c>
    </row>
    <row r="1223" customFormat="false" ht="15" hidden="false" customHeight="false" outlineLevel="0" collapsed="false">
      <c r="A1223" s="0" t="str">
        <f aca="false">IF(I1223="","",IF(J1223=0,"Sparte "&amp;I1223&amp;": "&amp;INDEX(Eingabe!$B$9:$B$18,I1223)&amp;"  (Sparten-ID "&amp;INDEX(Eingabe!$D$9:$D$18,I1223)&amp;", "&amp;K1223&amp;" Parzellen)",IF(J1223&lt;=K1223,"   Parzelle "&amp;J1223,IF(J1223=K1223+1,"   Vorstand",IF(J1223=K1223+2,"   Gäste",IF(J1223=K1223+3,"   Technik (Switches, Access Points)",""))))))</f>
        <v/>
      </c>
      <c r="B1223" s="0" t="str">
        <f aca="false">IF(I1223="","",IF(AND(J1223&gt;=1,J1223&lt;=K1223+3),IF(J1223&lt;=K1223,IF(J1223&lt;=99,IF((INDEX(Eingabe!$G$9:$G$18,I1223))&lt;=9,1000+(INDEX(Eingabe!$G$9:$G$18,I1223))*100,3000)+J1223,IF((INDEX(Eingabe!$G$9:$G$18,I1223)+1)&lt;=9,1000+(INDEX(Eingabe!$G$9:$G$18,I1223)+1)*100,3000)+J1223-100),IF(J1223=K1223+1,2000+INDEX(Eingabe!$G$9:$G$18,I1223)*10+1,IF(J1223=K1223+2,2000+INDEX(Eingabe!$G$9:$G$18,I1223)*10+2,2000+INDEX(Eingabe!$G$9:$G$18,I1223)*10+9))),""))</f>
        <v/>
      </c>
      <c r="C1223" s="0" t="str">
        <f aca="false">IF(I1223="","",IF(AND(J1223&gt;=1,J1223&lt;=K1223+3),"10."&amp;INDEX(Eingabe!$D$9:$D$18,I1223)&amp;"."&amp;IF(J1223&lt;=K1223,J1223,IF(J1223=K1223+1,200,IF(J1223=K1223+2,201,250)))&amp;".0/24",""))</f>
        <v/>
      </c>
      <c r="D1223" s="0" t="str">
        <f aca="false">IF(I1223="","",IF(AND(J1223&gt;=1,J1223&lt;=K1223+3),"255.255.255.0",""))</f>
        <v/>
      </c>
      <c r="E1223" s="0" t="str">
        <f aca="false">IF(I1223="","",IF(AND(J1223&gt;=1,J1223&lt;=K1223+3),"10."&amp;INDEX(Eingabe!$D$9:$D$18,I1223)&amp;"."&amp;IF(J1223&lt;=K1223,J1223,IF(J1223=K1223+1,200,IF(J1223=K1223+2,201,250)))&amp;".1",""))</f>
        <v/>
      </c>
      <c r="F1223" s="0" t="str">
        <f aca="false">IF(I1223="","",IF(AND(J1223&gt;=1,J1223&lt;=K1223+3),"10."&amp;INDEX(Eingabe!$D$9:$D$18,I1223)&amp;"."&amp;IF(J1223&lt;=K1223,J1223,IF(J1223=K1223+1,200,IF(J1223=K1223+2,201,250)))&amp;".10 – 10."&amp;INDEX(Eingabe!$D$9:$D$18,I1223)&amp;"."&amp;IF(J1223&lt;=K1223,J1223,IF(J1223=K1223+1,200,IF(J1223=K1223+2,201,250)))&amp;".250",""))</f>
        <v/>
      </c>
      <c r="G1223" s="0" t="str">
        <f aca="false">IF(I1223="","",IF(AND(J1223&gt;=1,J1223&lt;=K1223),Eingabe!$B$6&amp;"-"&amp;INDEX(Eingabe!$C$9:$C$18,I1223)&amp;"-Pächter  ·  Passwort Parzelle "&amp;J1223,IF(J1223=K1223+1,Eingabe!$B$6&amp;"-"&amp;INDEX(Eingabe!$C$9:$C$18,I1223)&amp;"-Vorstand  ·  eigenes WLAN",IF(J1223=K1223+2,Eingabe!$B$6&amp;"-"&amp;INDEX(Eingabe!$C$9:$C$18,I1223)&amp;"-Gäste  ·  Voucher",IF(J1223=K1223+3,"Kabel  ·  Access Point y = .(50+y), Mast-Switch x = .(10+x)","")))))</f>
        <v/>
      </c>
      <c r="I1223" s="0" t="str">
        <f aca="false">IF(1218&lt;=(Eingabe!$P$18+Eingabe!$Q$18-1),MATCH(1218,Eingabe!$P$9:$P$18,1),"")</f>
        <v/>
      </c>
      <c r="J1223" s="0" t="str">
        <f aca="false">IF(I1223="","",1218-INDEX(Eingabe!$P$9:$P$18,I1223))</f>
        <v/>
      </c>
      <c r="K1223" s="0" t="str">
        <f aca="false">IF(I1223="","",INDEX(Eingabe!$E$9:$E$18,I1223))</f>
        <v/>
      </c>
    </row>
    <row r="1224" customFormat="false" ht="15" hidden="false" customHeight="false" outlineLevel="0" collapsed="false">
      <c r="A1224" s="0" t="str">
        <f aca="false">IF(I1224="","",IF(J1224=0,"Sparte "&amp;I1224&amp;": "&amp;INDEX(Eingabe!$B$9:$B$18,I1224)&amp;"  (Sparten-ID "&amp;INDEX(Eingabe!$D$9:$D$18,I1224)&amp;", "&amp;K1224&amp;" Parzellen)",IF(J1224&lt;=K1224,"   Parzelle "&amp;J1224,IF(J1224=K1224+1,"   Vorstand",IF(J1224=K1224+2,"   Gäste",IF(J1224=K1224+3,"   Technik (Switches, Access Points)",""))))))</f>
        <v/>
      </c>
      <c r="B1224" s="0" t="str">
        <f aca="false">IF(I1224="","",IF(AND(J1224&gt;=1,J1224&lt;=K1224+3),IF(J1224&lt;=K1224,IF(J1224&lt;=99,IF((INDEX(Eingabe!$G$9:$G$18,I1224))&lt;=9,1000+(INDEX(Eingabe!$G$9:$G$18,I1224))*100,3000)+J1224,IF((INDEX(Eingabe!$G$9:$G$18,I1224)+1)&lt;=9,1000+(INDEX(Eingabe!$G$9:$G$18,I1224)+1)*100,3000)+J1224-100),IF(J1224=K1224+1,2000+INDEX(Eingabe!$G$9:$G$18,I1224)*10+1,IF(J1224=K1224+2,2000+INDEX(Eingabe!$G$9:$G$18,I1224)*10+2,2000+INDEX(Eingabe!$G$9:$G$18,I1224)*10+9))),""))</f>
        <v/>
      </c>
      <c r="C1224" s="0" t="str">
        <f aca="false">IF(I1224="","",IF(AND(J1224&gt;=1,J1224&lt;=K1224+3),"10."&amp;INDEX(Eingabe!$D$9:$D$18,I1224)&amp;"."&amp;IF(J1224&lt;=K1224,J1224,IF(J1224=K1224+1,200,IF(J1224=K1224+2,201,250)))&amp;".0/24",""))</f>
        <v/>
      </c>
      <c r="D1224" s="0" t="str">
        <f aca="false">IF(I1224="","",IF(AND(J1224&gt;=1,J1224&lt;=K1224+3),"255.255.255.0",""))</f>
        <v/>
      </c>
      <c r="E1224" s="0" t="str">
        <f aca="false">IF(I1224="","",IF(AND(J1224&gt;=1,J1224&lt;=K1224+3),"10."&amp;INDEX(Eingabe!$D$9:$D$18,I1224)&amp;"."&amp;IF(J1224&lt;=K1224,J1224,IF(J1224=K1224+1,200,IF(J1224=K1224+2,201,250)))&amp;".1",""))</f>
        <v/>
      </c>
      <c r="F1224" s="0" t="str">
        <f aca="false">IF(I1224="","",IF(AND(J1224&gt;=1,J1224&lt;=K1224+3),"10."&amp;INDEX(Eingabe!$D$9:$D$18,I1224)&amp;"."&amp;IF(J1224&lt;=K1224,J1224,IF(J1224=K1224+1,200,IF(J1224=K1224+2,201,250)))&amp;".10 – 10."&amp;INDEX(Eingabe!$D$9:$D$18,I1224)&amp;"."&amp;IF(J1224&lt;=K1224,J1224,IF(J1224=K1224+1,200,IF(J1224=K1224+2,201,250)))&amp;".250",""))</f>
        <v/>
      </c>
      <c r="G1224" s="0" t="str">
        <f aca="false">IF(I1224="","",IF(AND(J1224&gt;=1,J1224&lt;=K1224),Eingabe!$B$6&amp;"-"&amp;INDEX(Eingabe!$C$9:$C$18,I1224)&amp;"-Pächter  ·  Passwort Parzelle "&amp;J1224,IF(J1224=K1224+1,Eingabe!$B$6&amp;"-"&amp;INDEX(Eingabe!$C$9:$C$18,I1224)&amp;"-Vorstand  ·  eigenes WLAN",IF(J1224=K1224+2,Eingabe!$B$6&amp;"-"&amp;INDEX(Eingabe!$C$9:$C$18,I1224)&amp;"-Gäste  ·  Voucher",IF(J1224=K1224+3,"Kabel  ·  Access Point y = .(50+y), Mast-Switch x = .(10+x)","")))))</f>
        <v/>
      </c>
      <c r="I1224" s="0" t="str">
        <f aca="false">IF(1219&lt;=(Eingabe!$P$18+Eingabe!$Q$18-1),MATCH(1219,Eingabe!$P$9:$P$18,1),"")</f>
        <v/>
      </c>
      <c r="J1224" s="0" t="str">
        <f aca="false">IF(I1224="","",1219-INDEX(Eingabe!$P$9:$P$18,I1224))</f>
        <v/>
      </c>
      <c r="K1224" s="0" t="str">
        <f aca="false">IF(I1224="","",INDEX(Eingabe!$E$9:$E$18,I1224))</f>
        <v/>
      </c>
    </row>
    <row r="1225" customFormat="false" ht="15" hidden="false" customHeight="false" outlineLevel="0" collapsed="false">
      <c r="A1225" s="0" t="str">
        <f aca="false">IF(I1225="","",IF(J1225=0,"Sparte "&amp;I1225&amp;": "&amp;INDEX(Eingabe!$B$9:$B$18,I1225)&amp;"  (Sparten-ID "&amp;INDEX(Eingabe!$D$9:$D$18,I1225)&amp;", "&amp;K1225&amp;" Parzellen)",IF(J1225&lt;=K1225,"   Parzelle "&amp;J1225,IF(J1225=K1225+1,"   Vorstand",IF(J1225=K1225+2,"   Gäste",IF(J1225=K1225+3,"   Technik (Switches, Access Points)",""))))))</f>
        <v/>
      </c>
      <c r="B1225" s="0" t="str">
        <f aca="false">IF(I1225="","",IF(AND(J1225&gt;=1,J1225&lt;=K1225+3),IF(J1225&lt;=K1225,IF(J1225&lt;=99,IF((INDEX(Eingabe!$G$9:$G$18,I1225))&lt;=9,1000+(INDEX(Eingabe!$G$9:$G$18,I1225))*100,3000)+J1225,IF((INDEX(Eingabe!$G$9:$G$18,I1225)+1)&lt;=9,1000+(INDEX(Eingabe!$G$9:$G$18,I1225)+1)*100,3000)+J1225-100),IF(J1225=K1225+1,2000+INDEX(Eingabe!$G$9:$G$18,I1225)*10+1,IF(J1225=K1225+2,2000+INDEX(Eingabe!$G$9:$G$18,I1225)*10+2,2000+INDEX(Eingabe!$G$9:$G$18,I1225)*10+9))),""))</f>
        <v/>
      </c>
      <c r="C1225" s="0" t="str">
        <f aca="false">IF(I1225="","",IF(AND(J1225&gt;=1,J1225&lt;=K1225+3),"10."&amp;INDEX(Eingabe!$D$9:$D$18,I1225)&amp;"."&amp;IF(J1225&lt;=K1225,J1225,IF(J1225=K1225+1,200,IF(J1225=K1225+2,201,250)))&amp;".0/24",""))</f>
        <v/>
      </c>
      <c r="D1225" s="0" t="str">
        <f aca="false">IF(I1225="","",IF(AND(J1225&gt;=1,J1225&lt;=K1225+3),"255.255.255.0",""))</f>
        <v/>
      </c>
      <c r="E1225" s="0" t="str">
        <f aca="false">IF(I1225="","",IF(AND(J1225&gt;=1,J1225&lt;=K1225+3),"10."&amp;INDEX(Eingabe!$D$9:$D$18,I1225)&amp;"."&amp;IF(J1225&lt;=K1225,J1225,IF(J1225=K1225+1,200,IF(J1225=K1225+2,201,250)))&amp;".1",""))</f>
        <v/>
      </c>
      <c r="F1225" s="0" t="str">
        <f aca="false">IF(I1225="","",IF(AND(J1225&gt;=1,J1225&lt;=K1225+3),"10."&amp;INDEX(Eingabe!$D$9:$D$18,I1225)&amp;"."&amp;IF(J1225&lt;=K1225,J1225,IF(J1225=K1225+1,200,IF(J1225=K1225+2,201,250)))&amp;".10 – 10."&amp;INDEX(Eingabe!$D$9:$D$18,I1225)&amp;"."&amp;IF(J1225&lt;=K1225,J1225,IF(J1225=K1225+1,200,IF(J1225=K1225+2,201,250)))&amp;".250",""))</f>
        <v/>
      </c>
      <c r="G1225" s="0" t="str">
        <f aca="false">IF(I1225="","",IF(AND(J1225&gt;=1,J1225&lt;=K1225),Eingabe!$B$6&amp;"-"&amp;INDEX(Eingabe!$C$9:$C$18,I1225)&amp;"-Pächter  ·  Passwort Parzelle "&amp;J1225,IF(J1225=K1225+1,Eingabe!$B$6&amp;"-"&amp;INDEX(Eingabe!$C$9:$C$18,I1225)&amp;"-Vorstand  ·  eigenes WLAN",IF(J1225=K1225+2,Eingabe!$B$6&amp;"-"&amp;INDEX(Eingabe!$C$9:$C$18,I1225)&amp;"-Gäste  ·  Voucher",IF(J1225=K1225+3,"Kabel  ·  Access Point y = .(50+y), Mast-Switch x = .(10+x)","")))))</f>
        <v/>
      </c>
      <c r="I1225" s="0" t="str">
        <f aca="false">IF(1220&lt;=(Eingabe!$P$18+Eingabe!$Q$18-1),MATCH(1220,Eingabe!$P$9:$P$18,1),"")</f>
        <v/>
      </c>
      <c r="J1225" s="0" t="str">
        <f aca="false">IF(I1225="","",1220-INDEX(Eingabe!$P$9:$P$18,I1225))</f>
        <v/>
      </c>
      <c r="K1225" s="0" t="str">
        <f aca="false">IF(I1225="","",INDEX(Eingabe!$E$9:$E$18,I1225))</f>
        <v/>
      </c>
    </row>
    <row r="1226" customFormat="false" ht="15" hidden="false" customHeight="false" outlineLevel="0" collapsed="false">
      <c r="A1226" s="0" t="str">
        <f aca="false">IF(I1226="","",IF(J1226=0,"Sparte "&amp;I1226&amp;": "&amp;INDEX(Eingabe!$B$9:$B$18,I1226)&amp;"  (Sparten-ID "&amp;INDEX(Eingabe!$D$9:$D$18,I1226)&amp;", "&amp;K1226&amp;" Parzellen)",IF(J1226&lt;=K1226,"   Parzelle "&amp;J1226,IF(J1226=K1226+1,"   Vorstand",IF(J1226=K1226+2,"   Gäste",IF(J1226=K1226+3,"   Technik (Switches, Access Points)",""))))))</f>
        <v/>
      </c>
      <c r="B1226" s="0" t="str">
        <f aca="false">IF(I1226="","",IF(AND(J1226&gt;=1,J1226&lt;=K1226+3),IF(J1226&lt;=K1226,IF(J1226&lt;=99,IF((INDEX(Eingabe!$G$9:$G$18,I1226))&lt;=9,1000+(INDEX(Eingabe!$G$9:$G$18,I1226))*100,3000)+J1226,IF((INDEX(Eingabe!$G$9:$G$18,I1226)+1)&lt;=9,1000+(INDEX(Eingabe!$G$9:$G$18,I1226)+1)*100,3000)+J1226-100),IF(J1226=K1226+1,2000+INDEX(Eingabe!$G$9:$G$18,I1226)*10+1,IF(J1226=K1226+2,2000+INDEX(Eingabe!$G$9:$G$18,I1226)*10+2,2000+INDEX(Eingabe!$G$9:$G$18,I1226)*10+9))),""))</f>
        <v/>
      </c>
      <c r="C1226" s="0" t="str">
        <f aca="false">IF(I1226="","",IF(AND(J1226&gt;=1,J1226&lt;=K1226+3),"10."&amp;INDEX(Eingabe!$D$9:$D$18,I1226)&amp;"."&amp;IF(J1226&lt;=K1226,J1226,IF(J1226=K1226+1,200,IF(J1226=K1226+2,201,250)))&amp;".0/24",""))</f>
        <v/>
      </c>
      <c r="D1226" s="0" t="str">
        <f aca="false">IF(I1226="","",IF(AND(J1226&gt;=1,J1226&lt;=K1226+3),"255.255.255.0",""))</f>
        <v/>
      </c>
      <c r="E1226" s="0" t="str">
        <f aca="false">IF(I1226="","",IF(AND(J1226&gt;=1,J1226&lt;=K1226+3),"10."&amp;INDEX(Eingabe!$D$9:$D$18,I1226)&amp;"."&amp;IF(J1226&lt;=K1226,J1226,IF(J1226=K1226+1,200,IF(J1226=K1226+2,201,250)))&amp;".1",""))</f>
        <v/>
      </c>
      <c r="F1226" s="0" t="str">
        <f aca="false">IF(I1226="","",IF(AND(J1226&gt;=1,J1226&lt;=K1226+3),"10."&amp;INDEX(Eingabe!$D$9:$D$18,I1226)&amp;"."&amp;IF(J1226&lt;=K1226,J1226,IF(J1226=K1226+1,200,IF(J1226=K1226+2,201,250)))&amp;".10 – 10."&amp;INDEX(Eingabe!$D$9:$D$18,I1226)&amp;"."&amp;IF(J1226&lt;=K1226,J1226,IF(J1226=K1226+1,200,IF(J1226=K1226+2,201,250)))&amp;".250",""))</f>
        <v/>
      </c>
      <c r="G1226" s="0" t="str">
        <f aca="false">IF(I1226="","",IF(AND(J1226&gt;=1,J1226&lt;=K1226),Eingabe!$B$6&amp;"-"&amp;INDEX(Eingabe!$C$9:$C$18,I1226)&amp;"-Pächter  ·  Passwort Parzelle "&amp;J1226,IF(J1226=K1226+1,Eingabe!$B$6&amp;"-"&amp;INDEX(Eingabe!$C$9:$C$18,I1226)&amp;"-Vorstand  ·  eigenes WLAN",IF(J1226=K1226+2,Eingabe!$B$6&amp;"-"&amp;INDEX(Eingabe!$C$9:$C$18,I1226)&amp;"-Gäste  ·  Voucher",IF(J1226=K1226+3,"Kabel  ·  Access Point y = .(50+y), Mast-Switch x = .(10+x)","")))))</f>
        <v/>
      </c>
      <c r="I1226" s="0" t="str">
        <f aca="false">IF(1221&lt;=(Eingabe!$P$18+Eingabe!$Q$18-1),MATCH(1221,Eingabe!$P$9:$P$18,1),"")</f>
        <v/>
      </c>
      <c r="J1226" s="0" t="str">
        <f aca="false">IF(I1226="","",1221-INDEX(Eingabe!$P$9:$P$18,I1226))</f>
        <v/>
      </c>
      <c r="K1226" s="0" t="str">
        <f aca="false">IF(I1226="","",INDEX(Eingabe!$E$9:$E$18,I1226))</f>
        <v/>
      </c>
    </row>
    <row r="1227" customFormat="false" ht="15" hidden="false" customHeight="false" outlineLevel="0" collapsed="false">
      <c r="A1227" s="0" t="str">
        <f aca="false">IF(I1227="","",IF(J1227=0,"Sparte "&amp;I1227&amp;": "&amp;INDEX(Eingabe!$B$9:$B$18,I1227)&amp;"  (Sparten-ID "&amp;INDEX(Eingabe!$D$9:$D$18,I1227)&amp;", "&amp;K1227&amp;" Parzellen)",IF(J1227&lt;=K1227,"   Parzelle "&amp;J1227,IF(J1227=K1227+1,"   Vorstand",IF(J1227=K1227+2,"   Gäste",IF(J1227=K1227+3,"   Technik (Switches, Access Points)",""))))))</f>
        <v/>
      </c>
      <c r="B1227" s="0" t="str">
        <f aca="false">IF(I1227="","",IF(AND(J1227&gt;=1,J1227&lt;=K1227+3),IF(J1227&lt;=K1227,IF(J1227&lt;=99,IF((INDEX(Eingabe!$G$9:$G$18,I1227))&lt;=9,1000+(INDEX(Eingabe!$G$9:$G$18,I1227))*100,3000)+J1227,IF((INDEX(Eingabe!$G$9:$G$18,I1227)+1)&lt;=9,1000+(INDEX(Eingabe!$G$9:$G$18,I1227)+1)*100,3000)+J1227-100),IF(J1227=K1227+1,2000+INDEX(Eingabe!$G$9:$G$18,I1227)*10+1,IF(J1227=K1227+2,2000+INDEX(Eingabe!$G$9:$G$18,I1227)*10+2,2000+INDEX(Eingabe!$G$9:$G$18,I1227)*10+9))),""))</f>
        <v/>
      </c>
      <c r="C1227" s="0" t="str">
        <f aca="false">IF(I1227="","",IF(AND(J1227&gt;=1,J1227&lt;=K1227+3),"10."&amp;INDEX(Eingabe!$D$9:$D$18,I1227)&amp;"."&amp;IF(J1227&lt;=K1227,J1227,IF(J1227=K1227+1,200,IF(J1227=K1227+2,201,250)))&amp;".0/24",""))</f>
        <v/>
      </c>
      <c r="D1227" s="0" t="str">
        <f aca="false">IF(I1227="","",IF(AND(J1227&gt;=1,J1227&lt;=K1227+3),"255.255.255.0",""))</f>
        <v/>
      </c>
      <c r="E1227" s="0" t="str">
        <f aca="false">IF(I1227="","",IF(AND(J1227&gt;=1,J1227&lt;=K1227+3),"10."&amp;INDEX(Eingabe!$D$9:$D$18,I1227)&amp;"."&amp;IF(J1227&lt;=K1227,J1227,IF(J1227=K1227+1,200,IF(J1227=K1227+2,201,250)))&amp;".1",""))</f>
        <v/>
      </c>
      <c r="F1227" s="0" t="str">
        <f aca="false">IF(I1227="","",IF(AND(J1227&gt;=1,J1227&lt;=K1227+3),"10."&amp;INDEX(Eingabe!$D$9:$D$18,I1227)&amp;"."&amp;IF(J1227&lt;=K1227,J1227,IF(J1227=K1227+1,200,IF(J1227=K1227+2,201,250)))&amp;".10 – 10."&amp;INDEX(Eingabe!$D$9:$D$18,I1227)&amp;"."&amp;IF(J1227&lt;=K1227,J1227,IF(J1227=K1227+1,200,IF(J1227=K1227+2,201,250)))&amp;".250",""))</f>
        <v/>
      </c>
      <c r="G1227" s="0" t="str">
        <f aca="false">IF(I1227="","",IF(AND(J1227&gt;=1,J1227&lt;=K1227),Eingabe!$B$6&amp;"-"&amp;INDEX(Eingabe!$C$9:$C$18,I1227)&amp;"-Pächter  ·  Passwort Parzelle "&amp;J1227,IF(J1227=K1227+1,Eingabe!$B$6&amp;"-"&amp;INDEX(Eingabe!$C$9:$C$18,I1227)&amp;"-Vorstand  ·  eigenes WLAN",IF(J1227=K1227+2,Eingabe!$B$6&amp;"-"&amp;INDEX(Eingabe!$C$9:$C$18,I1227)&amp;"-Gäste  ·  Voucher",IF(J1227=K1227+3,"Kabel  ·  Access Point y = .(50+y), Mast-Switch x = .(10+x)","")))))</f>
        <v/>
      </c>
      <c r="I1227" s="0" t="str">
        <f aca="false">IF(1222&lt;=(Eingabe!$P$18+Eingabe!$Q$18-1),MATCH(1222,Eingabe!$P$9:$P$18,1),"")</f>
        <v/>
      </c>
      <c r="J1227" s="0" t="str">
        <f aca="false">IF(I1227="","",1222-INDEX(Eingabe!$P$9:$P$18,I1227))</f>
        <v/>
      </c>
      <c r="K1227" s="0" t="str">
        <f aca="false">IF(I1227="","",INDEX(Eingabe!$E$9:$E$18,I1227))</f>
        <v/>
      </c>
    </row>
    <row r="1228" customFormat="false" ht="15" hidden="false" customHeight="false" outlineLevel="0" collapsed="false">
      <c r="A1228" s="0" t="str">
        <f aca="false">IF(I1228="","",IF(J1228=0,"Sparte "&amp;I1228&amp;": "&amp;INDEX(Eingabe!$B$9:$B$18,I1228)&amp;"  (Sparten-ID "&amp;INDEX(Eingabe!$D$9:$D$18,I1228)&amp;", "&amp;K1228&amp;" Parzellen)",IF(J1228&lt;=K1228,"   Parzelle "&amp;J1228,IF(J1228=K1228+1,"   Vorstand",IF(J1228=K1228+2,"   Gäste",IF(J1228=K1228+3,"   Technik (Switches, Access Points)",""))))))</f>
        <v/>
      </c>
      <c r="B1228" s="0" t="str">
        <f aca="false">IF(I1228="","",IF(AND(J1228&gt;=1,J1228&lt;=K1228+3),IF(J1228&lt;=K1228,IF(J1228&lt;=99,IF((INDEX(Eingabe!$G$9:$G$18,I1228))&lt;=9,1000+(INDEX(Eingabe!$G$9:$G$18,I1228))*100,3000)+J1228,IF((INDEX(Eingabe!$G$9:$G$18,I1228)+1)&lt;=9,1000+(INDEX(Eingabe!$G$9:$G$18,I1228)+1)*100,3000)+J1228-100),IF(J1228=K1228+1,2000+INDEX(Eingabe!$G$9:$G$18,I1228)*10+1,IF(J1228=K1228+2,2000+INDEX(Eingabe!$G$9:$G$18,I1228)*10+2,2000+INDEX(Eingabe!$G$9:$G$18,I1228)*10+9))),""))</f>
        <v/>
      </c>
      <c r="C1228" s="0" t="str">
        <f aca="false">IF(I1228="","",IF(AND(J1228&gt;=1,J1228&lt;=K1228+3),"10."&amp;INDEX(Eingabe!$D$9:$D$18,I1228)&amp;"."&amp;IF(J1228&lt;=K1228,J1228,IF(J1228=K1228+1,200,IF(J1228=K1228+2,201,250)))&amp;".0/24",""))</f>
        <v/>
      </c>
      <c r="D1228" s="0" t="str">
        <f aca="false">IF(I1228="","",IF(AND(J1228&gt;=1,J1228&lt;=K1228+3),"255.255.255.0",""))</f>
        <v/>
      </c>
      <c r="E1228" s="0" t="str">
        <f aca="false">IF(I1228="","",IF(AND(J1228&gt;=1,J1228&lt;=K1228+3),"10."&amp;INDEX(Eingabe!$D$9:$D$18,I1228)&amp;"."&amp;IF(J1228&lt;=K1228,J1228,IF(J1228=K1228+1,200,IF(J1228=K1228+2,201,250)))&amp;".1",""))</f>
        <v/>
      </c>
      <c r="F1228" s="0" t="str">
        <f aca="false">IF(I1228="","",IF(AND(J1228&gt;=1,J1228&lt;=K1228+3),"10."&amp;INDEX(Eingabe!$D$9:$D$18,I1228)&amp;"."&amp;IF(J1228&lt;=K1228,J1228,IF(J1228=K1228+1,200,IF(J1228=K1228+2,201,250)))&amp;".10 – 10."&amp;INDEX(Eingabe!$D$9:$D$18,I1228)&amp;"."&amp;IF(J1228&lt;=K1228,J1228,IF(J1228=K1228+1,200,IF(J1228=K1228+2,201,250)))&amp;".250",""))</f>
        <v/>
      </c>
      <c r="G1228" s="0" t="str">
        <f aca="false">IF(I1228="","",IF(AND(J1228&gt;=1,J1228&lt;=K1228),Eingabe!$B$6&amp;"-"&amp;INDEX(Eingabe!$C$9:$C$18,I1228)&amp;"-Pächter  ·  Passwort Parzelle "&amp;J1228,IF(J1228=K1228+1,Eingabe!$B$6&amp;"-"&amp;INDEX(Eingabe!$C$9:$C$18,I1228)&amp;"-Vorstand  ·  eigenes WLAN",IF(J1228=K1228+2,Eingabe!$B$6&amp;"-"&amp;INDEX(Eingabe!$C$9:$C$18,I1228)&amp;"-Gäste  ·  Voucher",IF(J1228=K1228+3,"Kabel  ·  Access Point y = .(50+y), Mast-Switch x = .(10+x)","")))))</f>
        <v/>
      </c>
      <c r="I1228" s="0" t="str">
        <f aca="false">IF(1223&lt;=(Eingabe!$P$18+Eingabe!$Q$18-1),MATCH(1223,Eingabe!$P$9:$P$18,1),"")</f>
        <v/>
      </c>
      <c r="J1228" s="0" t="str">
        <f aca="false">IF(I1228="","",1223-INDEX(Eingabe!$P$9:$P$18,I1228))</f>
        <v/>
      </c>
      <c r="K1228" s="0" t="str">
        <f aca="false">IF(I1228="","",INDEX(Eingabe!$E$9:$E$18,I1228))</f>
        <v/>
      </c>
    </row>
    <row r="1229" customFormat="false" ht="15" hidden="false" customHeight="false" outlineLevel="0" collapsed="false">
      <c r="A1229" s="0" t="str">
        <f aca="false">IF(I1229="","",IF(J1229=0,"Sparte "&amp;I1229&amp;": "&amp;INDEX(Eingabe!$B$9:$B$18,I1229)&amp;"  (Sparten-ID "&amp;INDEX(Eingabe!$D$9:$D$18,I1229)&amp;", "&amp;K1229&amp;" Parzellen)",IF(J1229&lt;=K1229,"   Parzelle "&amp;J1229,IF(J1229=K1229+1,"   Vorstand",IF(J1229=K1229+2,"   Gäste",IF(J1229=K1229+3,"   Technik (Switches, Access Points)",""))))))</f>
        <v/>
      </c>
      <c r="B1229" s="0" t="str">
        <f aca="false">IF(I1229="","",IF(AND(J1229&gt;=1,J1229&lt;=K1229+3),IF(J1229&lt;=K1229,IF(J1229&lt;=99,IF((INDEX(Eingabe!$G$9:$G$18,I1229))&lt;=9,1000+(INDEX(Eingabe!$G$9:$G$18,I1229))*100,3000)+J1229,IF((INDEX(Eingabe!$G$9:$G$18,I1229)+1)&lt;=9,1000+(INDEX(Eingabe!$G$9:$G$18,I1229)+1)*100,3000)+J1229-100),IF(J1229=K1229+1,2000+INDEX(Eingabe!$G$9:$G$18,I1229)*10+1,IF(J1229=K1229+2,2000+INDEX(Eingabe!$G$9:$G$18,I1229)*10+2,2000+INDEX(Eingabe!$G$9:$G$18,I1229)*10+9))),""))</f>
        <v/>
      </c>
      <c r="C1229" s="0" t="str">
        <f aca="false">IF(I1229="","",IF(AND(J1229&gt;=1,J1229&lt;=K1229+3),"10."&amp;INDEX(Eingabe!$D$9:$D$18,I1229)&amp;"."&amp;IF(J1229&lt;=K1229,J1229,IF(J1229=K1229+1,200,IF(J1229=K1229+2,201,250)))&amp;".0/24",""))</f>
        <v/>
      </c>
      <c r="D1229" s="0" t="str">
        <f aca="false">IF(I1229="","",IF(AND(J1229&gt;=1,J1229&lt;=K1229+3),"255.255.255.0",""))</f>
        <v/>
      </c>
      <c r="E1229" s="0" t="str">
        <f aca="false">IF(I1229="","",IF(AND(J1229&gt;=1,J1229&lt;=K1229+3),"10."&amp;INDEX(Eingabe!$D$9:$D$18,I1229)&amp;"."&amp;IF(J1229&lt;=K1229,J1229,IF(J1229=K1229+1,200,IF(J1229=K1229+2,201,250)))&amp;".1",""))</f>
        <v/>
      </c>
      <c r="F1229" s="0" t="str">
        <f aca="false">IF(I1229="","",IF(AND(J1229&gt;=1,J1229&lt;=K1229+3),"10."&amp;INDEX(Eingabe!$D$9:$D$18,I1229)&amp;"."&amp;IF(J1229&lt;=K1229,J1229,IF(J1229=K1229+1,200,IF(J1229=K1229+2,201,250)))&amp;".10 – 10."&amp;INDEX(Eingabe!$D$9:$D$18,I1229)&amp;"."&amp;IF(J1229&lt;=K1229,J1229,IF(J1229=K1229+1,200,IF(J1229=K1229+2,201,250)))&amp;".250",""))</f>
        <v/>
      </c>
      <c r="G1229" s="0" t="str">
        <f aca="false">IF(I1229="","",IF(AND(J1229&gt;=1,J1229&lt;=K1229),Eingabe!$B$6&amp;"-"&amp;INDEX(Eingabe!$C$9:$C$18,I1229)&amp;"-Pächter  ·  Passwort Parzelle "&amp;J1229,IF(J1229=K1229+1,Eingabe!$B$6&amp;"-"&amp;INDEX(Eingabe!$C$9:$C$18,I1229)&amp;"-Vorstand  ·  eigenes WLAN",IF(J1229=K1229+2,Eingabe!$B$6&amp;"-"&amp;INDEX(Eingabe!$C$9:$C$18,I1229)&amp;"-Gäste  ·  Voucher",IF(J1229=K1229+3,"Kabel  ·  Access Point y = .(50+y), Mast-Switch x = .(10+x)","")))))</f>
        <v/>
      </c>
      <c r="I1229" s="0" t="str">
        <f aca="false">IF(1224&lt;=(Eingabe!$P$18+Eingabe!$Q$18-1),MATCH(1224,Eingabe!$P$9:$P$18,1),"")</f>
        <v/>
      </c>
      <c r="J1229" s="0" t="str">
        <f aca="false">IF(I1229="","",1224-INDEX(Eingabe!$P$9:$P$18,I1229))</f>
        <v/>
      </c>
      <c r="K1229" s="0" t="str">
        <f aca="false">IF(I1229="","",INDEX(Eingabe!$E$9:$E$18,I1229))</f>
        <v/>
      </c>
    </row>
    <row r="1230" customFormat="false" ht="15" hidden="false" customHeight="false" outlineLevel="0" collapsed="false">
      <c r="A1230" s="0" t="str">
        <f aca="false">IF(I1230="","",IF(J1230=0,"Sparte "&amp;I1230&amp;": "&amp;INDEX(Eingabe!$B$9:$B$18,I1230)&amp;"  (Sparten-ID "&amp;INDEX(Eingabe!$D$9:$D$18,I1230)&amp;", "&amp;K1230&amp;" Parzellen)",IF(J1230&lt;=K1230,"   Parzelle "&amp;J1230,IF(J1230=K1230+1,"   Vorstand",IF(J1230=K1230+2,"   Gäste",IF(J1230=K1230+3,"   Technik (Switches, Access Points)",""))))))</f>
        <v/>
      </c>
      <c r="B1230" s="0" t="str">
        <f aca="false">IF(I1230="","",IF(AND(J1230&gt;=1,J1230&lt;=K1230+3),IF(J1230&lt;=K1230,IF(J1230&lt;=99,IF((INDEX(Eingabe!$G$9:$G$18,I1230))&lt;=9,1000+(INDEX(Eingabe!$G$9:$G$18,I1230))*100,3000)+J1230,IF((INDEX(Eingabe!$G$9:$G$18,I1230)+1)&lt;=9,1000+(INDEX(Eingabe!$G$9:$G$18,I1230)+1)*100,3000)+J1230-100),IF(J1230=K1230+1,2000+INDEX(Eingabe!$G$9:$G$18,I1230)*10+1,IF(J1230=K1230+2,2000+INDEX(Eingabe!$G$9:$G$18,I1230)*10+2,2000+INDEX(Eingabe!$G$9:$G$18,I1230)*10+9))),""))</f>
        <v/>
      </c>
      <c r="C1230" s="0" t="str">
        <f aca="false">IF(I1230="","",IF(AND(J1230&gt;=1,J1230&lt;=K1230+3),"10."&amp;INDEX(Eingabe!$D$9:$D$18,I1230)&amp;"."&amp;IF(J1230&lt;=K1230,J1230,IF(J1230=K1230+1,200,IF(J1230=K1230+2,201,250)))&amp;".0/24",""))</f>
        <v/>
      </c>
      <c r="D1230" s="0" t="str">
        <f aca="false">IF(I1230="","",IF(AND(J1230&gt;=1,J1230&lt;=K1230+3),"255.255.255.0",""))</f>
        <v/>
      </c>
      <c r="E1230" s="0" t="str">
        <f aca="false">IF(I1230="","",IF(AND(J1230&gt;=1,J1230&lt;=K1230+3),"10."&amp;INDEX(Eingabe!$D$9:$D$18,I1230)&amp;"."&amp;IF(J1230&lt;=K1230,J1230,IF(J1230=K1230+1,200,IF(J1230=K1230+2,201,250)))&amp;".1",""))</f>
        <v/>
      </c>
      <c r="F1230" s="0" t="str">
        <f aca="false">IF(I1230="","",IF(AND(J1230&gt;=1,J1230&lt;=K1230+3),"10."&amp;INDEX(Eingabe!$D$9:$D$18,I1230)&amp;"."&amp;IF(J1230&lt;=K1230,J1230,IF(J1230=K1230+1,200,IF(J1230=K1230+2,201,250)))&amp;".10 – 10."&amp;INDEX(Eingabe!$D$9:$D$18,I1230)&amp;"."&amp;IF(J1230&lt;=K1230,J1230,IF(J1230=K1230+1,200,IF(J1230=K1230+2,201,250)))&amp;".250",""))</f>
        <v/>
      </c>
      <c r="G1230" s="0" t="str">
        <f aca="false">IF(I1230="","",IF(AND(J1230&gt;=1,J1230&lt;=K1230),Eingabe!$B$6&amp;"-"&amp;INDEX(Eingabe!$C$9:$C$18,I1230)&amp;"-Pächter  ·  Passwort Parzelle "&amp;J1230,IF(J1230=K1230+1,Eingabe!$B$6&amp;"-"&amp;INDEX(Eingabe!$C$9:$C$18,I1230)&amp;"-Vorstand  ·  eigenes WLAN",IF(J1230=K1230+2,Eingabe!$B$6&amp;"-"&amp;INDEX(Eingabe!$C$9:$C$18,I1230)&amp;"-Gäste  ·  Voucher",IF(J1230=K1230+3,"Kabel  ·  Access Point y = .(50+y), Mast-Switch x = .(10+x)","")))))</f>
        <v/>
      </c>
      <c r="I1230" s="0" t="str">
        <f aca="false">IF(1225&lt;=(Eingabe!$P$18+Eingabe!$Q$18-1),MATCH(1225,Eingabe!$P$9:$P$18,1),"")</f>
        <v/>
      </c>
      <c r="J1230" s="0" t="str">
        <f aca="false">IF(I1230="","",1225-INDEX(Eingabe!$P$9:$P$18,I1230))</f>
        <v/>
      </c>
      <c r="K1230" s="0" t="str">
        <f aca="false">IF(I1230="","",INDEX(Eingabe!$E$9:$E$18,I1230))</f>
        <v/>
      </c>
    </row>
    <row r="1231" customFormat="false" ht="15" hidden="false" customHeight="false" outlineLevel="0" collapsed="false">
      <c r="A1231" s="0" t="str">
        <f aca="false">IF(I1231="","",IF(J1231=0,"Sparte "&amp;I1231&amp;": "&amp;INDEX(Eingabe!$B$9:$B$18,I1231)&amp;"  (Sparten-ID "&amp;INDEX(Eingabe!$D$9:$D$18,I1231)&amp;", "&amp;K1231&amp;" Parzellen)",IF(J1231&lt;=K1231,"   Parzelle "&amp;J1231,IF(J1231=K1231+1,"   Vorstand",IF(J1231=K1231+2,"   Gäste",IF(J1231=K1231+3,"   Technik (Switches, Access Points)",""))))))</f>
        <v/>
      </c>
      <c r="B1231" s="0" t="str">
        <f aca="false">IF(I1231="","",IF(AND(J1231&gt;=1,J1231&lt;=K1231+3),IF(J1231&lt;=K1231,IF(J1231&lt;=99,IF((INDEX(Eingabe!$G$9:$G$18,I1231))&lt;=9,1000+(INDEX(Eingabe!$G$9:$G$18,I1231))*100,3000)+J1231,IF((INDEX(Eingabe!$G$9:$G$18,I1231)+1)&lt;=9,1000+(INDEX(Eingabe!$G$9:$G$18,I1231)+1)*100,3000)+J1231-100),IF(J1231=K1231+1,2000+INDEX(Eingabe!$G$9:$G$18,I1231)*10+1,IF(J1231=K1231+2,2000+INDEX(Eingabe!$G$9:$G$18,I1231)*10+2,2000+INDEX(Eingabe!$G$9:$G$18,I1231)*10+9))),""))</f>
        <v/>
      </c>
      <c r="C1231" s="0" t="str">
        <f aca="false">IF(I1231="","",IF(AND(J1231&gt;=1,J1231&lt;=K1231+3),"10."&amp;INDEX(Eingabe!$D$9:$D$18,I1231)&amp;"."&amp;IF(J1231&lt;=K1231,J1231,IF(J1231=K1231+1,200,IF(J1231=K1231+2,201,250)))&amp;".0/24",""))</f>
        <v/>
      </c>
      <c r="D1231" s="0" t="str">
        <f aca="false">IF(I1231="","",IF(AND(J1231&gt;=1,J1231&lt;=K1231+3),"255.255.255.0",""))</f>
        <v/>
      </c>
      <c r="E1231" s="0" t="str">
        <f aca="false">IF(I1231="","",IF(AND(J1231&gt;=1,J1231&lt;=K1231+3),"10."&amp;INDEX(Eingabe!$D$9:$D$18,I1231)&amp;"."&amp;IF(J1231&lt;=K1231,J1231,IF(J1231=K1231+1,200,IF(J1231=K1231+2,201,250)))&amp;".1",""))</f>
        <v/>
      </c>
      <c r="F1231" s="0" t="str">
        <f aca="false">IF(I1231="","",IF(AND(J1231&gt;=1,J1231&lt;=K1231+3),"10."&amp;INDEX(Eingabe!$D$9:$D$18,I1231)&amp;"."&amp;IF(J1231&lt;=K1231,J1231,IF(J1231=K1231+1,200,IF(J1231=K1231+2,201,250)))&amp;".10 – 10."&amp;INDEX(Eingabe!$D$9:$D$18,I1231)&amp;"."&amp;IF(J1231&lt;=K1231,J1231,IF(J1231=K1231+1,200,IF(J1231=K1231+2,201,250)))&amp;".250",""))</f>
        <v/>
      </c>
      <c r="G1231" s="0" t="str">
        <f aca="false">IF(I1231="","",IF(AND(J1231&gt;=1,J1231&lt;=K1231),Eingabe!$B$6&amp;"-"&amp;INDEX(Eingabe!$C$9:$C$18,I1231)&amp;"-Pächter  ·  Passwort Parzelle "&amp;J1231,IF(J1231=K1231+1,Eingabe!$B$6&amp;"-"&amp;INDEX(Eingabe!$C$9:$C$18,I1231)&amp;"-Vorstand  ·  eigenes WLAN",IF(J1231=K1231+2,Eingabe!$B$6&amp;"-"&amp;INDEX(Eingabe!$C$9:$C$18,I1231)&amp;"-Gäste  ·  Voucher",IF(J1231=K1231+3,"Kabel  ·  Access Point y = .(50+y), Mast-Switch x = .(10+x)","")))))</f>
        <v/>
      </c>
      <c r="I1231" s="0" t="str">
        <f aca="false">IF(1226&lt;=(Eingabe!$P$18+Eingabe!$Q$18-1),MATCH(1226,Eingabe!$P$9:$P$18,1),"")</f>
        <v/>
      </c>
      <c r="J1231" s="0" t="str">
        <f aca="false">IF(I1231="","",1226-INDEX(Eingabe!$P$9:$P$18,I1231))</f>
        <v/>
      </c>
      <c r="K1231" s="0" t="str">
        <f aca="false">IF(I1231="","",INDEX(Eingabe!$E$9:$E$18,I1231))</f>
        <v/>
      </c>
    </row>
    <row r="1232" customFormat="false" ht="15" hidden="false" customHeight="false" outlineLevel="0" collapsed="false">
      <c r="A1232" s="0" t="str">
        <f aca="false">IF(I1232="","",IF(J1232=0,"Sparte "&amp;I1232&amp;": "&amp;INDEX(Eingabe!$B$9:$B$18,I1232)&amp;"  (Sparten-ID "&amp;INDEX(Eingabe!$D$9:$D$18,I1232)&amp;", "&amp;K1232&amp;" Parzellen)",IF(J1232&lt;=K1232,"   Parzelle "&amp;J1232,IF(J1232=K1232+1,"   Vorstand",IF(J1232=K1232+2,"   Gäste",IF(J1232=K1232+3,"   Technik (Switches, Access Points)",""))))))</f>
        <v/>
      </c>
      <c r="B1232" s="0" t="str">
        <f aca="false">IF(I1232="","",IF(AND(J1232&gt;=1,J1232&lt;=K1232+3),IF(J1232&lt;=K1232,IF(J1232&lt;=99,IF((INDEX(Eingabe!$G$9:$G$18,I1232))&lt;=9,1000+(INDEX(Eingabe!$G$9:$G$18,I1232))*100,3000)+J1232,IF((INDEX(Eingabe!$G$9:$G$18,I1232)+1)&lt;=9,1000+(INDEX(Eingabe!$G$9:$G$18,I1232)+1)*100,3000)+J1232-100),IF(J1232=K1232+1,2000+INDEX(Eingabe!$G$9:$G$18,I1232)*10+1,IF(J1232=K1232+2,2000+INDEX(Eingabe!$G$9:$G$18,I1232)*10+2,2000+INDEX(Eingabe!$G$9:$G$18,I1232)*10+9))),""))</f>
        <v/>
      </c>
      <c r="C1232" s="0" t="str">
        <f aca="false">IF(I1232="","",IF(AND(J1232&gt;=1,J1232&lt;=K1232+3),"10."&amp;INDEX(Eingabe!$D$9:$D$18,I1232)&amp;"."&amp;IF(J1232&lt;=K1232,J1232,IF(J1232=K1232+1,200,IF(J1232=K1232+2,201,250)))&amp;".0/24",""))</f>
        <v/>
      </c>
      <c r="D1232" s="0" t="str">
        <f aca="false">IF(I1232="","",IF(AND(J1232&gt;=1,J1232&lt;=K1232+3),"255.255.255.0",""))</f>
        <v/>
      </c>
      <c r="E1232" s="0" t="str">
        <f aca="false">IF(I1232="","",IF(AND(J1232&gt;=1,J1232&lt;=K1232+3),"10."&amp;INDEX(Eingabe!$D$9:$D$18,I1232)&amp;"."&amp;IF(J1232&lt;=K1232,J1232,IF(J1232=K1232+1,200,IF(J1232=K1232+2,201,250)))&amp;".1",""))</f>
        <v/>
      </c>
      <c r="F1232" s="0" t="str">
        <f aca="false">IF(I1232="","",IF(AND(J1232&gt;=1,J1232&lt;=K1232+3),"10."&amp;INDEX(Eingabe!$D$9:$D$18,I1232)&amp;"."&amp;IF(J1232&lt;=K1232,J1232,IF(J1232=K1232+1,200,IF(J1232=K1232+2,201,250)))&amp;".10 – 10."&amp;INDEX(Eingabe!$D$9:$D$18,I1232)&amp;"."&amp;IF(J1232&lt;=K1232,J1232,IF(J1232=K1232+1,200,IF(J1232=K1232+2,201,250)))&amp;".250",""))</f>
        <v/>
      </c>
      <c r="G1232" s="0" t="str">
        <f aca="false">IF(I1232="","",IF(AND(J1232&gt;=1,J1232&lt;=K1232),Eingabe!$B$6&amp;"-"&amp;INDEX(Eingabe!$C$9:$C$18,I1232)&amp;"-Pächter  ·  Passwort Parzelle "&amp;J1232,IF(J1232=K1232+1,Eingabe!$B$6&amp;"-"&amp;INDEX(Eingabe!$C$9:$C$18,I1232)&amp;"-Vorstand  ·  eigenes WLAN",IF(J1232=K1232+2,Eingabe!$B$6&amp;"-"&amp;INDEX(Eingabe!$C$9:$C$18,I1232)&amp;"-Gäste  ·  Voucher",IF(J1232=K1232+3,"Kabel  ·  Access Point y = .(50+y), Mast-Switch x = .(10+x)","")))))</f>
        <v/>
      </c>
      <c r="I1232" s="0" t="str">
        <f aca="false">IF(1227&lt;=(Eingabe!$P$18+Eingabe!$Q$18-1),MATCH(1227,Eingabe!$P$9:$P$18,1),"")</f>
        <v/>
      </c>
      <c r="J1232" s="0" t="str">
        <f aca="false">IF(I1232="","",1227-INDEX(Eingabe!$P$9:$P$18,I1232))</f>
        <v/>
      </c>
      <c r="K1232" s="0" t="str">
        <f aca="false">IF(I1232="","",INDEX(Eingabe!$E$9:$E$18,I1232))</f>
        <v/>
      </c>
    </row>
    <row r="1233" customFormat="false" ht="15" hidden="false" customHeight="false" outlineLevel="0" collapsed="false">
      <c r="A1233" s="0" t="str">
        <f aca="false">IF(I1233="","",IF(J1233=0,"Sparte "&amp;I1233&amp;": "&amp;INDEX(Eingabe!$B$9:$B$18,I1233)&amp;"  (Sparten-ID "&amp;INDEX(Eingabe!$D$9:$D$18,I1233)&amp;", "&amp;K1233&amp;" Parzellen)",IF(J1233&lt;=K1233,"   Parzelle "&amp;J1233,IF(J1233=K1233+1,"   Vorstand",IF(J1233=K1233+2,"   Gäste",IF(J1233=K1233+3,"   Technik (Switches, Access Points)",""))))))</f>
        <v/>
      </c>
      <c r="B1233" s="0" t="str">
        <f aca="false">IF(I1233="","",IF(AND(J1233&gt;=1,J1233&lt;=K1233+3),IF(J1233&lt;=K1233,IF(J1233&lt;=99,IF((INDEX(Eingabe!$G$9:$G$18,I1233))&lt;=9,1000+(INDEX(Eingabe!$G$9:$G$18,I1233))*100,3000)+J1233,IF((INDEX(Eingabe!$G$9:$G$18,I1233)+1)&lt;=9,1000+(INDEX(Eingabe!$G$9:$G$18,I1233)+1)*100,3000)+J1233-100),IF(J1233=K1233+1,2000+INDEX(Eingabe!$G$9:$G$18,I1233)*10+1,IF(J1233=K1233+2,2000+INDEX(Eingabe!$G$9:$G$18,I1233)*10+2,2000+INDEX(Eingabe!$G$9:$G$18,I1233)*10+9))),""))</f>
        <v/>
      </c>
      <c r="C1233" s="0" t="str">
        <f aca="false">IF(I1233="","",IF(AND(J1233&gt;=1,J1233&lt;=K1233+3),"10."&amp;INDEX(Eingabe!$D$9:$D$18,I1233)&amp;"."&amp;IF(J1233&lt;=K1233,J1233,IF(J1233=K1233+1,200,IF(J1233=K1233+2,201,250)))&amp;".0/24",""))</f>
        <v/>
      </c>
      <c r="D1233" s="0" t="str">
        <f aca="false">IF(I1233="","",IF(AND(J1233&gt;=1,J1233&lt;=K1233+3),"255.255.255.0",""))</f>
        <v/>
      </c>
      <c r="E1233" s="0" t="str">
        <f aca="false">IF(I1233="","",IF(AND(J1233&gt;=1,J1233&lt;=K1233+3),"10."&amp;INDEX(Eingabe!$D$9:$D$18,I1233)&amp;"."&amp;IF(J1233&lt;=K1233,J1233,IF(J1233=K1233+1,200,IF(J1233=K1233+2,201,250)))&amp;".1",""))</f>
        <v/>
      </c>
      <c r="F1233" s="0" t="str">
        <f aca="false">IF(I1233="","",IF(AND(J1233&gt;=1,J1233&lt;=K1233+3),"10."&amp;INDEX(Eingabe!$D$9:$D$18,I1233)&amp;"."&amp;IF(J1233&lt;=K1233,J1233,IF(J1233=K1233+1,200,IF(J1233=K1233+2,201,250)))&amp;".10 – 10."&amp;INDEX(Eingabe!$D$9:$D$18,I1233)&amp;"."&amp;IF(J1233&lt;=K1233,J1233,IF(J1233=K1233+1,200,IF(J1233=K1233+2,201,250)))&amp;".250",""))</f>
        <v/>
      </c>
      <c r="G1233" s="0" t="str">
        <f aca="false">IF(I1233="","",IF(AND(J1233&gt;=1,J1233&lt;=K1233),Eingabe!$B$6&amp;"-"&amp;INDEX(Eingabe!$C$9:$C$18,I1233)&amp;"-Pächter  ·  Passwort Parzelle "&amp;J1233,IF(J1233=K1233+1,Eingabe!$B$6&amp;"-"&amp;INDEX(Eingabe!$C$9:$C$18,I1233)&amp;"-Vorstand  ·  eigenes WLAN",IF(J1233=K1233+2,Eingabe!$B$6&amp;"-"&amp;INDEX(Eingabe!$C$9:$C$18,I1233)&amp;"-Gäste  ·  Voucher",IF(J1233=K1233+3,"Kabel  ·  Access Point y = .(50+y), Mast-Switch x = .(10+x)","")))))</f>
        <v/>
      </c>
      <c r="I1233" s="0" t="str">
        <f aca="false">IF(1228&lt;=(Eingabe!$P$18+Eingabe!$Q$18-1),MATCH(1228,Eingabe!$P$9:$P$18,1),"")</f>
        <v/>
      </c>
      <c r="J1233" s="0" t="str">
        <f aca="false">IF(I1233="","",1228-INDEX(Eingabe!$P$9:$P$18,I1233))</f>
        <v/>
      </c>
      <c r="K1233" s="0" t="str">
        <f aca="false">IF(I1233="","",INDEX(Eingabe!$E$9:$E$18,I1233))</f>
        <v/>
      </c>
    </row>
    <row r="1234" customFormat="false" ht="15" hidden="false" customHeight="false" outlineLevel="0" collapsed="false">
      <c r="A1234" s="0" t="str">
        <f aca="false">IF(I1234="","",IF(J1234=0,"Sparte "&amp;I1234&amp;": "&amp;INDEX(Eingabe!$B$9:$B$18,I1234)&amp;"  (Sparten-ID "&amp;INDEX(Eingabe!$D$9:$D$18,I1234)&amp;", "&amp;K1234&amp;" Parzellen)",IF(J1234&lt;=K1234,"   Parzelle "&amp;J1234,IF(J1234=K1234+1,"   Vorstand",IF(J1234=K1234+2,"   Gäste",IF(J1234=K1234+3,"   Technik (Switches, Access Points)",""))))))</f>
        <v/>
      </c>
      <c r="B1234" s="0" t="str">
        <f aca="false">IF(I1234="","",IF(AND(J1234&gt;=1,J1234&lt;=K1234+3),IF(J1234&lt;=K1234,IF(J1234&lt;=99,IF((INDEX(Eingabe!$G$9:$G$18,I1234))&lt;=9,1000+(INDEX(Eingabe!$G$9:$G$18,I1234))*100,3000)+J1234,IF((INDEX(Eingabe!$G$9:$G$18,I1234)+1)&lt;=9,1000+(INDEX(Eingabe!$G$9:$G$18,I1234)+1)*100,3000)+J1234-100),IF(J1234=K1234+1,2000+INDEX(Eingabe!$G$9:$G$18,I1234)*10+1,IF(J1234=K1234+2,2000+INDEX(Eingabe!$G$9:$G$18,I1234)*10+2,2000+INDEX(Eingabe!$G$9:$G$18,I1234)*10+9))),""))</f>
        <v/>
      </c>
      <c r="C1234" s="0" t="str">
        <f aca="false">IF(I1234="","",IF(AND(J1234&gt;=1,J1234&lt;=K1234+3),"10."&amp;INDEX(Eingabe!$D$9:$D$18,I1234)&amp;"."&amp;IF(J1234&lt;=K1234,J1234,IF(J1234=K1234+1,200,IF(J1234=K1234+2,201,250)))&amp;".0/24",""))</f>
        <v/>
      </c>
      <c r="D1234" s="0" t="str">
        <f aca="false">IF(I1234="","",IF(AND(J1234&gt;=1,J1234&lt;=K1234+3),"255.255.255.0",""))</f>
        <v/>
      </c>
      <c r="E1234" s="0" t="str">
        <f aca="false">IF(I1234="","",IF(AND(J1234&gt;=1,J1234&lt;=K1234+3),"10."&amp;INDEX(Eingabe!$D$9:$D$18,I1234)&amp;"."&amp;IF(J1234&lt;=K1234,J1234,IF(J1234=K1234+1,200,IF(J1234=K1234+2,201,250)))&amp;".1",""))</f>
        <v/>
      </c>
      <c r="F1234" s="0" t="str">
        <f aca="false">IF(I1234="","",IF(AND(J1234&gt;=1,J1234&lt;=K1234+3),"10."&amp;INDEX(Eingabe!$D$9:$D$18,I1234)&amp;"."&amp;IF(J1234&lt;=K1234,J1234,IF(J1234=K1234+1,200,IF(J1234=K1234+2,201,250)))&amp;".10 – 10."&amp;INDEX(Eingabe!$D$9:$D$18,I1234)&amp;"."&amp;IF(J1234&lt;=K1234,J1234,IF(J1234=K1234+1,200,IF(J1234=K1234+2,201,250)))&amp;".250",""))</f>
        <v/>
      </c>
      <c r="G1234" s="0" t="str">
        <f aca="false">IF(I1234="","",IF(AND(J1234&gt;=1,J1234&lt;=K1234),Eingabe!$B$6&amp;"-"&amp;INDEX(Eingabe!$C$9:$C$18,I1234)&amp;"-Pächter  ·  Passwort Parzelle "&amp;J1234,IF(J1234=K1234+1,Eingabe!$B$6&amp;"-"&amp;INDEX(Eingabe!$C$9:$C$18,I1234)&amp;"-Vorstand  ·  eigenes WLAN",IF(J1234=K1234+2,Eingabe!$B$6&amp;"-"&amp;INDEX(Eingabe!$C$9:$C$18,I1234)&amp;"-Gäste  ·  Voucher",IF(J1234=K1234+3,"Kabel  ·  Access Point y = .(50+y), Mast-Switch x = .(10+x)","")))))</f>
        <v/>
      </c>
      <c r="I1234" s="0" t="str">
        <f aca="false">IF(1229&lt;=(Eingabe!$P$18+Eingabe!$Q$18-1),MATCH(1229,Eingabe!$P$9:$P$18,1),"")</f>
        <v/>
      </c>
      <c r="J1234" s="0" t="str">
        <f aca="false">IF(I1234="","",1229-INDEX(Eingabe!$P$9:$P$18,I1234))</f>
        <v/>
      </c>
      <c r="K1234" s="0" t="str">
        <f aca="false">IF(I1234="","",INDEX(Eingabe!$E$9:$E$18,I1234))</f>
        <v/>
      </c>
    </row>
    <row r="1235" customFormat="false" ht="15" hidden="false" customHeight="false" outlineLevel="0" collapsed="false">
      <c r="A1235" s="0" t="str">
        <f aca="false">IF(I1235="","",IF(J1235=0,"Sparte "&amp;I1235&amp;": "&amp;INDEX(Eingabe!$B$9:$B$18,I1235)&amp;"  (Sparten-ID "&amp;INDEX(Eingabe!$D$9:$D$18,I1235)&amp;", "&amp;K1235&amp;" Parzellen)",IF(J1235&lt;=K1235,"   Parzelle "&amp;J1235,IF(J1235=K1235+1,"   Vorstand",IF(J1235=K1235+2,"   Gäste",IF(J1235=K1235+3,"   Technik (Switches, Access Points)",""))))))</f>
        <v/>
      </c>
      <c r="B1235" s="0" t="str">
        <f aca="false">IF(I1235="","",IF(AND(J1235&gt;=1,J1235&lt;=K1235+3),IF(J1235&lt;=K1235,IF(J1235&lt;=99,IF((INDEX(Eingabe!$G$9:$G$18,I1235))&lt;=9,1000+(INDEX(Eingabe!$G$9:$G$18,I1235))*100,3000)+J1235,IF((INDEX(Eingabe!$G$9:$G$18,I1235)+1)&lt;=9,1000+(INDEX(Eingabe!$G$9:$G$18,I1235)+1)*100,3000)+J1235-100),IF(J1235=K1235+1,2000+INDEX(Eingabe!$G$9:$G$18,I1235)*10+1,IF(J1235=K1235+2,2000+INDEX(Eingabe!$G$9:$G$18,I1235)*10+2,2000+INDEX(Eingabe!$G$9:$G$18,I1235)*10+9))),""))</f>
        <v/>
      </c>
      <c r="C1235" s="0" t="str">
        <f aca="false">IF(I1235="","",IF(AND(J1235&gt;=1,J1235&lt;=K1235+3),"10."&amp;INDEX(Eingabe!$D$9:$D$18,I1235)&amp;"."&amp;IF(J1235&lt;=K1235,J1235,IF(J1235=K1235+1,200,IF(J1235=K1235+2,201,250)))&amp;".0/24",""))</f>
        <v/>
      </c>
      <c r="D1235" s="0" t="str">
        <f aca="false">IF(I1235="","",IF(AND(J1235&gt;=1,J1235&lt;=K1235+3),"255.255.255.0",""))</f>
        <v/>
      </c>
      <c r="E1235" s="0" t="str">
        <f aca="false">IF(I1235="","",IF(AND(J1235&gt;=1,J1235&lt;=K1235+3),"10."&amp;INDEX(Eingabe!$D$9:$D$18,I1235)&amp;"."&amp;IF(J1235&lt;=K1235,J1235,IF(J1235=K1235+1,200,IF(J1235=K1235+2,201,250)))&amp;".1",""))</f>
        <v/>
      </c>
      <c r="F1235" s="0" t="str">
        <f aca="false">IF(I1235="","",IF(AND(J1235&gt;=1,J1235&lt;=K1235+3),"10."&amp;INDEX(Eingabe!$D$9:$D$18,I1235)&amp;"."&amp;IF(J1235&lt;=K1235,J1235,IF(J1235=K1235+1,200,IF(J1235=K1235+2,201,250)))&amp;".10 – 10."&amp;INDEX(Eingabe!$D$9:$D$18,I1235)&amp;"."&amp;IF(J1235&lt;=K1235,J1235,IF(J1235=K1235+1,200,IF(J1235=K1235+2,201,250)))&amp;".250",""))</f>
        <v/>
      </c>
      <c r="G1235" s="0" t="str">
        <f aca="false">IF(I1235="","",IF(AND(J1235&gt;=1,J1235&lt;=K1235),Eingabe!$B$6&amp;"-"&amp;INDEX(Eingabe!$C$9:$C$18,I1235)&amp;"-Pächter  ·  Passwort Parzelle "&amp;J1235,IF(J1235=K1235+1,Eingabe!$B$6&amp;"-"&amp;INDEX(Eingabe!$C$9:$C$18,I1235)&amp;"-Vorstand  ·  eigenes WLAN",IF(J1235=K1235+2,Eingabe!$B$6&amp;"-"&amp;INDEX(Eingabe!$C$9:$C$18,I1235)&amp;"-Gäste  ·  Voucher",IF(J1235=K1235+3,"Kabel  ·  Access Point y = .(50+y), Mast-Switch x = .(10+x)","")))))</f>
        <v/>
      </c>
      <c r="I1235" s="0" t="str">
        <f aca="false">IF(1230&lt;=(Eingabe!$P$18+Eingabe!$Q$18-1),MATCH(1230,Eingabe!$P$9:$P$18,1),"")</f>
        <v/>
      </c>
      <c r="J1235" s="0" t="str">
        <f aca="false">IF(I1235="","",1230-INDEX(Eingabe!$P$9:$P$18,I1235))</f>
        <v/>
      </c>
      <c r="K1235" s="0" t="str">
        <f aca="false">IF(I1235="","",INDEX(Eingabe!$E$9:$E$18,I1235))</f>
        <v/>
      </c>
    </row>
    <row r="1236" customFormat="false" ht="15" hidden="false" customHeight="false" outlineLevel="0" collapsed="false">
      <c r="A1236" s="0" t="str">
        <f aca="false">IF(I1236="","",IF(J1236=0,"Sparte "&amp;I1236&amp;": "&amp;INDEX(Eingabe!$B$9:$B$18,I1236)&amp;"  (Sparten-ID "&amp;INDEX(Eingabe!$D$9:$D$18,I1236)&amp;", "&amp;K1236&amp;" Parzellen)",IF(J1236&lt;=K1236,"   Parzelle "&amp;J1236,IF(J1236=K1236+1,"   Vorstand",IF(J1236=K1236+2,"   Gäste",IF(J1236=K1236+3,"   Technik (Switches, Access Points)",""))))))</f>
        <v/>
      </c>
      <c r="B1236" s="0" t="str">
        <f aca="false">IF(I1236="","",IF(AND(J1236&gt;=1,J1236&lt;=K1236+3),IF(J1236&lt;=K1236,IF(J1236&lt;=99,IF((INDEX(Eingabe!$G$9:$G$18,I1236))&lt;=9,1000+(INDEX(Eingabe!$G$9:$G$18,I1236))*100,3000)+J1236,IF((INDEX(Eingabe!$G$9:$G$18,I1236)+1)&lt;=9,1000+(INDEX(Eingabe!$G$9:$G$18,I1236)+1)*100,3000)+J1236-100),IF(J1236=K1236+1,2000+INDEX(Eingabe!$G$9:$G$18,I1236)*10+1,IF(J1236=K1236+2,2000+INDEX(Eingabe!$G$9:$G$18,I1236)*10+2,2000+INDEX(Eingabe!$G$9:$G$18,I1236)*10+9))),""))</f>
        <v/>
      </c>
      <c r="C1236" s="0" t="str">
        <f aca="false">IF(I1236="","",IF(AND(J1236&gt;=1,J1236&lt;=K1236+3),"10."&amp;INDEX(Eingabe!$D$9:$D$18,I1236)&amp;"."&amp;IF(J1236&lt;=K1236,J1236,IF(J1236=K1236+1,200,IF(J1236=K1236+2,201,250)))&amp;".0/24",""))</f>
        <v/>
      </c>
      <c r="D1236" s="0" t="str">
        <f aca="false">IF(I1236="","",IF(AND(J1236&gt;=1,J1236&lt;=K1236+3),"255.255.255.0",""))</f>
        <v/>
      </c>
      <c r="E1236" s="0" t="str">
        <f aca="false">IF(I1236="","",IF(AND(J1236&gt;=1,J1236&lt;=K1236+3),"10."&amp;INDEX(Eingabe!$D$9:$D$18,I1236)&amp;"."&amp;IF(J1236&lt;=K1236,J1236,IF(J1236=K1236+1,200,IF(J1236=K1236+2,201,250)))&amp;".1",""))</f>
        <v/>
      </c>
      <c r="F1236" s="0" t="str">
        <f aca="false">IF(I1236="","",IF(AND(J1236&gt;=1,J1236&lt;=K1236+3),"10."&amp;INDEX(Eingabe!$D$9:$D$18,I1236)&amp;"."&amp;IF(J1236&lt;=K1236,J1236,IF(J1236=K1236+1,200,IF(J1236=K1236+2,201,250)))&amp;".10 – 10."&amp;INDEX(Eingabe!$D$9:$D$18,I1236)&amp;"."&amp;IF(J1236&lt;=K1236,J1236,IF(J1236=K1236+1,200,IF(J1236=K1236+2,201,250)))&amp;".250",""))</f>
        <v/>
      </c>
      <c r="G1236" s="0" t="str">
        <f aca="false">IF(I1236="","",IF(AND(J1236&gt;=1,J1236&lt;=K1236),Eingabe!$B$6&amp;"-"&amp;INDEX(Eingabe!$C$9:$C$18,I1236)&amp;"-Pächter  ·  Passwort Parzelle "&amp;J1236,IF(J1236=K1236+1,Eingabe!$B$6&amp;"-"&amp;INDEX(Eingabe!$C$9:$C$18,I1236)&amp;"-Vorstand  ·  eigenes WLAN",IF(J1236=K1236+2,Eingabe!$B$6&amp;"-"&amp;INDEX(Eingabe!$C$9:$C$18,I1236)&amp;"-Gäste  ·  Voucher",IF(J1236=K1236+3,"Kabel  ·  Access Point y = .(50+y), Mast-Switch x = .(10+x)","")))))</f>
        <v/>
      </c>
      <c r="I1236" s="0" t="str">
        <f aca="false">IF(1231&lt;=(Eingabe!$P$18+Eingabe!$Q$18-1),MATCH(1231,Eingabe!$P$9:$P$18,1),"")</f>
        <v/>
      </c>
      <c r="J1236" s="0" t="str">
        <f aca="false">IF(I1236="","",1231-INDEX(Eingabe!$P$9:$P$18,I1236))</f>
        <v/>
      </c>
      <c r="K1236" s="0" t="str">
        <f aca="false">IF(I1236="","",INDEX(Eingabe!$E$9:$E$18,I1236))</f>
        <v/>
      </c>
    </row>
    <row r="1237" customFormat="false" ht="15" hidden="false" customHeight="false" outlineLevel="0" collapsed="false">
      <c r="A1237" s="0" t="str">
        <f aca="false">IF(I1237="","",IF(J1237=0,"Sparte "&amp;I1237&amp;": "&amp;INDEX(Eingabe!$B$9:$B$18,I1237)&amp;"  (Sparten-ID "&amp;INDEX(Eingabe!$D$9:$D$18,I1237)&amp;", "&amp;K1237&amp;" Parzellen)",IF(J1237&lt;=K1237,"   Parzelle "&amp;J1237,IF(J1237=K1237+1,"   Vorstand",IF(J1237=K1237+2,"   Gäste",IF(J1237=K1237+3,"   Technik (Switches, Access Points)",""))))))</f>
        <v/>
      </c>
      <c r="B1237" s="0" t="str">
        <f aca="false">IF(I1237="","",IF(AND(J1237&gt;=1,J1237&lt;=K1237+3),IF(J1237&lt;=K1237,IF(J1237&lt;=99,IF((INDEX(Eingabe!$G$9:$G$18,I1237))&lt;=9,1000+(INDEX(Eingabe!$G$9:$G$18,I1237))*100,3000)+J1237,IF((INDEX(Eingabe!$G$9:$G$18,I1237)+1)&lt;=9,1000+(INDEX(Eingabe!$G$9:$G$18,I1237)+1)*100,3000)+J1237-100),IF(J1237=K1237+1,2000+INDEX(Eingabe!$G$9:$G$18,I1237)*10+1,IF(J1237=K1237+2,2000+INDEX(Eingabe!$G$9:$G$18,I1237)*10+2,2000+INDEX(Eingabe!$G$9:$G$18,I1237)*10+9))),""))</f>
        <v/>
      </c>
      <c r="C1237" s="0" t="str">
        <f aca="false">IF(I1237="","",IF(AND(J1237&gt;=1,J1237&lt;=K1237+3),"10."&amp;INDEX(Eingabe!$D$9:$D$18,I1237)&amp;"."&amp;IF(J1237&lt;=K1237,J1237,IF(J1237=K1237+1,200,IF(J1237=K1237+2,201,250)))&amp;".0/24",""))</f>
        <v/>
      </c>
      <c r="D1237" s="0" t="str">
        <f aca="false">IF(I1237="","",IF(AND(J1237&gt;=1,J1237&lt;=K1237+3),"255.255.255.0",""))</f>
        <v/>
      </c>
      <c r="E1237" s="0" t="str">
        <f aca="false">IF(I1237="","",IF(AND(J1237&gt;=1,J1237&lt;=K1237+3),"10."&amp;INDEX(Eingabe!$D$9:$D$18,I1237)&amp;"."&amp;IF(J1237&lt;=K1237,J1237,IF(J1237=K1237+1,200,IF(J1237=K1237+2,201,250)))&amp;".1",""))</f>
        <v/>
      </c>
      <c r="F1237" s="0" t="str">
        <f aca="false">IF(I1237="","",IF(AND(J1237&gt;=1,J1237&lt;=K1237+3),"10."&amp;INDEX(Eingabe!$D$9:$D$18,I1237)&amp;"."&amp;IF(J1237&lt;=K1237,J1237,IF(J1237=K1237+1,200,IF(J1237=K1237+2,201,250)))&amp;".10 – 10."&amp;INDEX(Eingabe!$D$9:$D$18,I1237)&amp;"."&amp;IF(J1237&lt;=K1237,J1237,IF(J1237=K1237+1,200,IF(J1237=K1237+2,201,250)))&amp;".250",""))</f>
        <v/>
      </c>
      <c r="G1237" s="0" t="str">
        <f aca="false">IF(I1237="","",IF(AND(J1237&gt;=1,J1237&lt;=K1237),Eingabe!$B$6&amp;"-"&amp;INDEX(Eingabe!$C$9:$C$18,I1237)&amp;"-Pächter  ·  Passwort Parzelle "&amp;J1237,IF(J1237=K1237+1,Eingabe!$B$6&amp;"-"&amp;INDEX(Eingabe!$C$9:$C$18,I1237)&amp;"-Vorstand  ·  eigenes WLAN",IF(J1237=K1237+2,Eingabe!$B$6&amp;"-"&amp;INDEX(Eingabe!$C$9:$C$18,I1237)&amp;"-Gäste  ·  Voucher",IF(J1237=K1237+3,"Kabel  ·  Access Point y = .(50+y), Mast-Switch x = .(10+x)","")))))</f>
        <v/>
      </c>
      <c r="I1237" s="0" t="str">
        <f aca="false">IF(1232&lt;=(Eingabe!$P$18+Eingabe!$Q$18-1),MATCH(1232,Eingabe!$P$9:$P$18,1),"")</f>
        <v/>
      </c>
      <c r="J1237" s="0" t="str">
        <f aca="false">IF(I1237="","",1232-INDEX(Eingabe!$P$9:$P$18,I1237))</f>
        <v/>
      </c>
      <c r="K1237" s="0" t="str">
        <f aca="false">IF(I1237="","",INDEX(Eingabe!$E$9:$E$18,I1237))</f>
        <v/>
      </c>
    </row>
    <row r="1238" customFormat="false" ht="15" hidden="false" customHeight="false" outlineLevel="0" collapsed="false">
      <c r="A1238" s="0" t="str">
        <f aca="false">IF(I1238="","",IF(J1238=0,"Sparte "&amp;I1238&amp;": "&amp;INDEX(Eingabe!$B$9:$B$18,I1238)&amp;"  (Sparten-ID "&amp;INDEX(Eingabe!$D$9:$D$18,I1238)&amp;", "&amp;K1238&amp;" Parzellen)",IF(J1238&lt;=K1238,"   Parzelle "&amp;J1238,IF(J1238=K1238+1,"   Vorstand",IF(J1238=K1238+2,"   Gäste",IF(J1238=K1238+3,"   Technik (Switches, Access Points)",""))))))</f>
        <v/>
      </c>
      <c r="B1238" s="0" t="str">
        <f aca="false">IF(I1238="","",IF(AND(J1238&gt;=1,J1238&lt;=K1238+3),IF(J1238&lt;=K1238,IF(J1238&lt;=99,IF((INDEX(Eingabe!$G$9:$G$18,I1238))&lt;=9,1000+(INDEX(Eingabe!$G$9:$G$18,I1238))*100,3000)+J1238,IF((INDEX(Eingabe!$G$9:$G$18,I1238)+1)&lt;=9,1000+(INDEX(Eingabe!$G$9:$G$18,I1238)+1)*100,3000)+J1238-100),IF(J1238=K1238+1,2000+INDEX(Eingabe!$G$9:$G$18,I1238)*10+1,IF(J1238=K1238+2,2000+INDEX(Eingabe!$G$9:$G$18,I1238)*10+2,2000+INDEX(Eingabe!$G$9:$G$18,I1238)*10+9))),""))</f>
        <v/>
      </c>
      <c r="C1238" s="0" t="str">
        <f aca="false">IF(I1238="","",IF(AND(J1238&gt;=1,J1238&lt;=K1238+3),"10."&amp;INDEX(Eingabe!$D$9:$D$18,I1238)&amp;"."&amp;IF(J1238&lt;=K1238,J1238,IF(J1238=K1238+1,200,IF(J1238=K1238+2,201,250)))&amp;".0/24",""))</f>
        <v/>
      </c>
      <c r="D1238" s="0" t="str">
        <f aca="false">IF(I1238="","",IF(AND(J1238&gt;=1,J1238&lt;=K1238+3),"255.255.255.0",""))</f>
        <v/>
      </c>
      <c r="E1238" s="0" t="str">
        <f aca="false">IF(I1238="","",IF(AND(J1238&gt;=1,J1238&lt;=K1238+3),"10."&amp;INDEX(Eingabe!$D$9:$D$18,I1238)&amp;"."&amp;IF(J1238&lt;=K1238,J1238,IF(J1238=K1238+1,200,IF(J1238=K1238+2,201,250)))&amp;".1",""))</f>
        <v/>
      </c>
      <c r="F1238" s="0" t="str">
        <f aca="false">IF(I1238="","",IF(AND(J1238&gt;=1,J1238&lt;=K1238+3),"10."&amp;INDEX(Eingabe!$D$9:$D$18,I1238)&amp;"."&amp;IF(J1238&lt;=K1238,J1238,IF(J1238=K1238+1,200,IF(J1238=K1238+2,201,250)))&amp;".10 – 10."&amp;INDEX(Eingabe!$D$9:$D$18,I1238)&amp;"."&amp;IF(J1238&lt;=K1238,J1238,IF(J1238=K1238+1,200,IF(J1238=K1238+2,201,250)))&amp;".250",""))</f>
        <v/>
      </c>
      <c r="G1238" s="0" t="str">
        <f aca="false">IF(I1238="","",IF(AND(J1238&gt;=1,J1238&lt;=K1238),Eingabe!$B$6&amp;"-"&amp;INDEX(Eingabe!$C$9:$C$18,I1238)&amp;"-Pächter  ·  Passwort Parzelle "&amp;J1238,IF(J1238=K1238+1,Eingabe!$B$6&amp;"-"&amp;INDEX(Eingabe!$C$9:$C$18,I1238)&amp;"-Vorstand  ·  eigenes WLAN",IF(J1238=K1238+2,Eingabe!$B$6&amp;"-"&amp;INDEX(Eingabe!$C$9:$C$18,I1238)&amp;"-Gäste  ·  Voucher",IF(J1238=K1238+3,"Kabel  ·  Access Point y = .(50+y), Mast-Switch x = .(10+x)","")))))</f>
        <v/>
      </c>
      <c r="I1238" s="0" t="str">
        <f aca="false">IF(1233&lt;=(Eingabe!$P$18+Eingabe!$Q$18-1),MATCH(1233,Eingabe!$P$9:$P$18,1),"")</f>
        <v/>
      </c>
      <c r="J1238" s="0" t="str">
        <f aca="false">IF(I1238="","",1233-INDEX(Eingabe!$P$9:$P$18,I1238))</f>
        <v/>
      </c>
      <c r="K1238" s="0" t="str">
        <f aca="false">IF(I1238="","",INDEX(Eingabe!$E$9:$E$18,I1238))</f>
        <v/>
      </c>
    </row>
    <row r="1239" customFormat="false" ht="15" hidden="false" customHeight="false" outlineLevel="0" collapsed="false">
      <c r="A1239" s="0" t="str">
        <f aca="false">IF(I1239="","",IF(J1239=0,"Sparte "&amp;I1239&amp;": "&amp;INDEX(Eingabe!$B$9:$B$18,I1239)&amp;"  (Sparten-ID "&amp;INDEX(Eingabe!$D$9:$D$18,I1239)&amp;", "&amp;K1239&amp;" Parzellen)",IF(J1239&lt;=K1239,"   Parzelle "&amp;J1239,IF(J1239=K1239+1,"   Vorstand",IF(J1239=K1239+2,"   Gäste",IF(J1239=K1239+3,"   Technik (Switches, Access Points)",""))))))</f>
        <v/>
      </c>
      <c r="B1239" s="0" t="str">
        <f aca="false">IF(I1239="","",IF(AND(J1239&gt;=1,J1239&lt;=K1239+3),IF(J1239&lt;=K1239,IF(J1239&lt;=99,IF((INDEX(Eingabe!$G$9:$G$18,I1239))&lt;=9,1000+(INDEX(Eingabe!$G$9:$G$18,I1239))*100,3000)+J1239,IF((INDEX(Eingabe!$G$9:$G$18,I1239)+1)&lt;=9,1000+(INDEX(Eingabe!$G$9:$G$18,I1239)+1)*100,3000)+J1239-100),IF(J1239=K1239+1,2000+INDEX(Eingabe!$G$9:$G$18,I1239)*10+1,IF(J1239=K1239+2,2000+INDEX(Eingabe!$G$9:$G$18,I1239)*10+2,2000+INDEX(Eingabe!$G$9:$G$18,I1239)*10+9))),""))</f>
        <v/>
      </c>
      <c r="C1239" s="0" t="str">
        <f aca="false">IF(I1239="","",IF(AND(J1239&gt;=1,J1239&lt;=K1239+3),"10."&amp;INDEX(Eingabe!$D$9:$D$18,I1239)&amp;"."&amp;IF(J1239&lt;=K1239,J1239,IF(J1239=K1239+1,200,IF(J1239=K1239+2,201,250)))&amp;".0/24",""))</f>
        <v/>
      </c>
      <c r="D1239" s="0" t="str">
        <f aca="false">IF(I1239="","",IF(AND(J1239&gt;=1,J1239&lt;=K1239+3),"255.255.255.0",""))</f>
        <v/>
      </c>
      <c r="E1239" s="0" t="str">
        <f aca="false">IF(I1239="","",IF(AND(J1239&gt;=1,J1239&lt;=K1239+3),"10."&amp;INDEX(Eingabe!$D$9:$D$18,I1239)&amp;"."&amp;IF(J1239&lt;=K1239,J1239,IF(J1239=K1239+1,200,IF(J1239=K1239+2,201,250)))&amp;".1",""))</f>
        <v/>
      </c>
      <c r="F1239" s="0" t="str">
        <f aca="false">IF(I1239="","",IF(AND(J1239&gt;=1,J1239&lt;=K1239+3),"10."&amp;INDEX(Eingabe!$D$9:$D$18,I1239)&amp;"."&amp;IF(J1239&lt;=K1239,J1239,IF(J1239=K1239+1,200,IF(J1239=K1239+2,201,250)))&amp;".10 – 10."&amp;INDEX(Eingabe!$D$9:$D$18,I1239)&amp;"."&amp;IF(J1239&lt;=K1239,J1239,IF(J1239=K1239+1,200,IF(J1239=K1239+2,201,250)))&amp;".250",""))</f>
        <v/>
      </c>
      <c r="G1239" s="0" t="str">
        <f aca="false">IF(I1239="","",IF(AND(J1239&gt;=1,J1239&lt;=K1239),Eingabe!$B$6&amp;"-"&amp;INDEX(Eingabe!$C$9:$C$18,I1239)&amp;"-Pächter  ·  Passwort Parzelle "&amp;J1239,IF(J1239=K1239+1,Eingabe!$B$6&amp;"-"&amp;INDEX(Eingabe!$C$9:$C$18,I1239)&amp;"-Vorstand  ·  eigenes WLAN",IF(J1239=K1239+2,Eingabe!$B$6&amp;"-"&amp;INDEX(Eingabe!$C$9:$C$18,I1239)&amp;"-Gäste  ·  Voucher",IF(J1239=K1239+3,"Kabel  ·  Access Point y = .(50+y), Mast-Switch x = .(10+x)","")))))</f>
        <v/>
      </c>
      <c r="I1239" s="0" t="str">
        <f aca="false">IF(1234&lt;=(Eingabe!$P$18+Eingabe!$Q$18-1),MATCH(1234,Eingabe!$P$9:$P$18,1),"")</f>
        <v/>
      </c>
      <c r="J1239" s="0" t="str">
        <f aca="false">IF(I1239="","",1234-INDEX(Eingabe!$P$9:$P$18,I1239))</f>
        <v/>
      </c>
      <c r="K1239" s="0" t="str">
        <f aca="false">IF(I1239="","",INDEX(Eingabe!$E$9:$E$18,I1239))</f>
        <v/>
      </c>
    </row>
    <row r="1240" customFormat="false" ht="15" hidden="false" customHeight="false" outlineLevel="0" collapsed="false">
      <c r="A1240" s="0" t="str">
        <f aca="false">IF(I1240="","",IF(J1240=0,"Sparte "&amp;I1240&amp;": "&amp;INDEX(Eingabe!$B$9:$B$18,I1240)&amp;"  (Sparten-ID "&amp;INDEX(Eingabe!$D$9:$D$18,I1240)&amp;", "&amp;K1240&amp;" Parzellen)",IF(J1240&lt;=K1240,"   Parzelle "&amp;J1240,IF(J1240=K1240+1,"   Vorstand",IF(J1240=K1240+2,"   Gäste",IF(J1240=K1240+3,"   Technik (Switches, Access Points)",""))))))</f>
        <v/>
      </c>
      <c r="B1240" s="0" t="str">
        <f aca="false">IF(I1240="","",IF(AND(J1240&gt;=1,J1240&lt;=K1240+3),IF(J1240&lt;=K1240,IF(J1240&lt;=99,IF((INDEX(Eingabe!$G$9:$G$18,I1240))&lt;=9,1000+(INDEX(Eingabe!$G$9:$G$18,I1240))*100,3000)+J1240,IF((INDEX(Eingabe!$G$9:$G$18,I1240)+1)&lt;=9,1000+(INDEX(Eingabe!$G$9:$G$18,I1240)+1)*100,3000)+J1240-100),IF(J1240=K1240+1,2000+INDEX(Eingabe!$G$9:$G$18,I1240)*10+1,IF(J1240=K1240+2,2000+INDEX(Eingabe!$G$9:$G$18,I1240)*10+2,2000+INDEX(Eingabe!$G$9:$G$18,I1240)*10+9))),""))</f>
        <v/>
      </c>
      <c r="C1240" s="0" t="str">
        <f aca="false">IF(I1240="","",IF(AND(J1240&gt;=1,J1240&lt;=K1240+3),"10."&amp;INDEX(Eingabe!$D$9:$D$18,I1240)&amp;"."&amp;IF(J1240&lt;=K1240,J1240,IF(J1240=K1240+1,200,IF(J1240=K1240+2,201,250)))&amp;".0/24",""))</f>
        <v/>
      </c>
      <c r="D1240" s="0" t="str">
        <f aca="false">IF(I1240="","",IF(AND(J1240&gt;=1,J1240&lt;=K1240+3),"255.255.255.0",""))</f>
        <v/>
      </c>
      <c r="E1240" s="0" t="str">
        <f aca="false">IF(I1240="","",IF(AND(J1240&gt;=1,J1240&lt;=K1240+3),"10."&amp;INDEX(Eingabe!$D$9:$D$18,I1240)&amp;"."&amp;IF(J1240&lt;=K1240,J1240,IF(J1240=K1240+1,200,IF(J1240=K1240+2,201,250)))&amp;".1",""))</f>
        <v/>
      </c>
      <c r="F1240" s="0" t="str">
        <f aca="false">IF(I1240="","",IF(AND(J1240&gt;=1,J1240&lt;=K1240+3),"10."&amp;INDEX(Eingabe!$D$9:$D$18,I1240)&amp;"."&amp;IF(J1240&lt;=K1240,J1240,IF(J1240=K1240+1,200,IF(J1240=K1240+2,201,250)))&amp;".10 – 10."&amp;INDEX(Eingabe!$D$9:$D$18,I1240)&amp;"."&amp;IF(J1240&lt;=K1240,J1240,IF(J1240=K1240+1,200,IF(J1240=K1240+2,201,250)))&amp;".250",""))</f>
        <v/>
      </c>
      <c r="G1240" s="0" t="str">
        <f aca="false">IF(I1240="","",IF(AND(J1240&gt;=1,J1240&lt;=K1240),Eingabe!$B$6&amp;"-"&amp;INDEX(Eingabe!$C$9:$C$18,I1240)&amp;"-Pächter  ·  Passwort Parzelle "&amp;J1240,IF(J1240=K1240+1,Eingabe!$B$6&amp;"-"&amp;INDEX(Eingabe!$C$9:$C$18,I1240)&amp;"-Vorstand  ·  eigenes WLAN",IF(J1240=K1240+2,Eingabe!$B$6&amp;"-"&amp;INDEX(Eingabe!$C$9:$C$18,I1240)&amp;"-Gäste  ·  Voucher",IF(J1240=K1240+3,"Kabel  ·  Access Point y = .(50+y), Mast-Switch x = .(10+x)","")))))</f>
        <v/>
      </c>
      <c r="I1240" s="0" t="str">
        <f aca="false">IF(1235&lt;=(Eingabe!$P$18+Eingabe!$Q$18-1),MATCH(1235,Eingabe!$P$9:$P$18,1),"")</f>
        <v/>
      </c>
      <c r="J1240" s="0" t="str">
        <f aca="false">IF(I1240="","",1235-INDEX(Eingabe!$P$9:$P$18,I1240))</f>
        <v/>
      </c>
      <c r="K1240" s="0" t="str">
        <f aca="false">IF(I1240="","",INDEX(Eingabe!$E$9:$E$18,I1240))</f>
        <v/>
      </c>
    </row>
    <row r="1241" customFormat="false" ht="15" hidden="false" customHeight="false" outlineLevel="0" collapsed="false">
      <c r="A1241" s="0" t="str">
        <f aca="false">IF(I1241="","",IF(J1241=0,"Sparte "&amp;I1241&amp;": "&amp;INDEX(Eingabe!$B$9:$B$18,I1241)&amp;"  (Sparten-ID "&amp;INDEX(Eingabe!$D$9:$D$18,I1241)&amp;", "&amp;K1241&amp;" Parzellen)",IF(J1241&lt;=K1241,"   Parzelle "&amp;J1241,IF(J1241=K1241+1,"   Vorstand",IF(J1241=K1241+2,"   Gäste",IF(J1241=K1241+3,"   Technik (Switches, Access Points)",""))))))</f>
        <v/>
      </c>
      <c r="B1241" s="0" t="str">
        <f aca="false">IF(I1241="","",IF(AND(J1241&gt;=1,J1241&lt;=K1241+3),IF(J1241&lt;=K1241,IF(J1241&lt;=99,IF((INDEX(Eingabe!$G$9:$G$18,I1241))&lt;=9,1000+(INDEX(Eingabe!$G$9:$G$18,I1241))*100,3000)+J1241,IF((INDEX(Eingabe!$G$9:$G$18,I1241)+1)&lt;=9,1000+(INDEX(Eingabe!$G$9:$G$18,I1241)+1)*100,3000)+J1241-100),IF(J1241=K1241+1,2000+INDEX(Eingabe!$G$9:$G$18,I1241)*10+1,IF(J1241=K1241+2,2000+INDEX(Eingabe!$G$9:$G$18,I1241)*10+2,2000+INDEX(Eingabe!$G$9:$G$18,I1241)*10+9))),""))</f>
        <v/>
      </c>
      <c r="C1241" s="0" t="str">
        <f aca="false">IF(I1241="","",IF(AND(J1241&gt;=1,J1241&lt;=K1241+3),"10."&amp;INDEX(Eingabe!$D$9:$D$18,I1241)&amp;"."&amp;IF(J1241&lt;=K1241,J1241,IF(J1241=K1241+1,200,IF(J1241=K1241+2,201,250)))&amp;".0/24",""))</f>
        <v/>
      </c>
      <c r="D1241" s="0" t="str">
        <f aca="false">IF(I1241="","",IF(AND(J1241&gt;=1,J1241&lt;=K1241+3),"255.255.255.0",""))</f>
        <v/>
      </c>
      <c r="E1241" s="0" t="str">
        <f aca="false">IF(I1241="","",IF(AND(J1241&gt;=1,J1241&lt;=K1241+3),"10."&amp;INDEX(Eingabe!$D$9:$D$18,I1241)&amp;"."&amp;IF(J1241&lt;=K1241,J1241,IF(J1241=K1241+1,200,IF(J1241=K1241+2,201,250)))&amp;".1",""))</f>
        <v/>
      </c>
      <c r="F1241" s="0" t="str">
        <f aca="false">IF(I1241="","",IF(AND(J1241&gt;=1,J1241&lt;=K1241+3),"10."&amp;INDEX(Eingabe!$D$9:$D$18,I1241)&amp;"."&amp;IF(J1241&lt;=K1241,J1241,IF(J1241=K1241+1,200,IF(J1241=K1241+2,201,250)))&amp;".10 – 10."&amp;INDEX(Eingabe!$D$9:$D$18,I1241)&amp;"."&amp;IF(J1241&lt;=K1241,J1241,IF(J1241=K1241+1,200,IF(J1241=K1241+2,201,250)))&amp;".250",""))</f>
        <v/>
      </c>
      <c r="G1241" s="0" t="str">
        <f aca="false">IF(I1241="","",IF(AND(J1241&gt;=1,J1241&lt;=K1241),Eingabe!$B$6&amp;"-"&amp;INDEX(Eingabe!$C$9:$C$18,I1241)&amp;"-Pächter  ·  Passwort Parzelle "&amp;J1241,IF(J1241=K1241+1,Eingabe!$B$6&amp;"-"&amp;INDEX(Eingabe!$C$9:$C$18,I1241)&amp;"-Vorstand  ·  eigenes WLAN",IF(J1241=K1241+2,Eingabe!$B$6&amp;"-"&amp;INDEX(Eingabe!$C$9:$C$18,I1241)&amp;"-Gäste  ·  Voucher",IF(J1241=K1241+3,"Kabel  ·  Access Point y = .(50+y), Mast-Switch x = .(10+x)","")))))</f>
        <v/>
      </c>
      <c r="I1241" s="0" t="str">
        <f aca="false">IF(1236&lt;=(Eingabe!$P$18+Eingabe!$Q$18-1),MATCH(1236,Eingabe!$P$9:$P$18,1),"")</f>
        <v/>
      </c>
      <c r="J1241" s="0" t="str">
        <f aca="false">IF(I1241="","",1236-INDEX(Eingabe!$P$9:$P$18,I1241))</f>
        <v/>
      </c>
      <c r="K1241" s="0" t="str">
        <f aca="false">IF(I1241="","",INDEX(Eingabe!$E$9:$E$18,I1241))</f>
        <v/>
      </c>
    </row>
    <row r="1242" customFormat="false" ht="15" hidden="false" customHeight="false" outlineLevel="0" collapsed="false">
      <c r="A1242" s="0" t="str">
        <f aca="false">IF(I1242="","",IF(J1242=0,"Sparte "&amp;I1242&amp;": "&amp;INDEX(Eingabe!$B$9:$B$18,I1242)&amp;"  (Sparten-ID "&amp;INDEX(Eingabe!$D$9:$D$18,I1242)&amp;", "&amp;K1242&amp;" Parzellen)",IF(J1242&lt;=K1242,"   Parzelle "&amp;J1242,IF(J1242=K1242+1,"   Vorstand",IF(J1242=K1242+2,"   Gäste",IF(J1242=K1242+3,"   Technik (Switches, Access Points)",""))))))</f>
        <v/>
      </c>
      <c r="B1242" s="0" t="str">
        <f aca="false">IF(I1242="","",IF(AND(J1242&gt;=1,J1242&lt;=K1242+3),IF(J1242&lt;=K1242,IF(J1242&lt;=99,IF((INDEX(Eingabe!$G$9:$G$18,I1242))&lt;=9,1000+(INDEX(Eingabe!$G$9:$G$18,I1242))*100,3000)+J1242,IF((INDEX(Eingabe!$G$9:$G$18,I1242)+1)&lt;=9,1000+(INDEX(Eingabe!$G$9:$G$18,I1242)+1)*100,3000)+J1242-100),IF(J1242=K1242+1,2000+INDEX(Eingabe!$G$9:$G$18,I1242)*10+1,IF(J1242=K1242+2,2000+INDEX(Eingabe!$G$9:$G$18,I1242)*10+2,2000+INDEX(Eingabe!$G$9:$G$18,I1242)*10+9))),""))</f>
        <v/>
      </c>
      <c r="C1242" s="0" t="str">
        <f aca="false">IF(I1242="","",IF(AND(J1242&gt;=1,J1242&lt;=K1242+3),"10."&amp;INDEX(Eingabe!$D$9:$D$18,I1242)&amp;"."&amp;IF(J1242&lt;=K1242,J1242,IF(J1242=K1242+1,200,IF(J1242=K1242+2,201,250)))&amp;".0/24",""))</f>
        <v/>
      </c>
      <c r="D1242" s="0" t="str">
        <f aca="false">IF(I1242="","",IF(AND(J1242&gt;=1,J1242&lt;=K1242+3),"255.255.255.0",""))</f>
        <v/>
      </c>
      <c r="E1242" s="0" t="str">
        <f aca="false">IF(I1242="","",IF(AND(J1242&gt;=1,J1242&lt;=K1242+3),"10."&amp;INDEX(Eingabe!$D$9:$D$18,I1242)&amp;"."&amp;IF(J1242&lt;=K1242,J1242,IF(J1242=K1242+1,200,IF(J1242=K1242+2,201,250)))&amp;".1",""))</f>
        <v/>
      </c>
      <c r="F1242" s="0" t="str">
        <f aca="false">IF(I1242="","",IF(AND(J1242&gt;=1,J1242&lt;=K1242+3),"10."&amp;INDEX(Eingabe!$D$9:$D$18,I1242)&amp;"."&amp;IF(J1242&lt;=K1242,J1242,IF(J1242=K1242+1,200,IF(J1242=K1242+2,201,250)))&amp;".10 – 10."&amp;INDEX(Eingabe!$D$9:$D$18,I1242)&amp;"."&amp;IF(J1242&lt;=K1242,J1242,IF(J1242=K1242+1,200,IF(J1242=K1242+2,201,250)))&amp;".250",""))</f>
        <v/>
      </c>
      <c r="G1242" s="0" t="str">
        <f aca="false">IF(I1242="","",IF(AND(J1242&gt;=1,J1242&lt;=K1242),Eingabe!$B$6&amp;"-"&amp;INDEX(Eingabe!$C$9:$C$18,I1242)&amp;"-Pächter  ·  Passwort Parzelle "&amp;J1242,IF(J1242=K1242+1,Eingabe!$B$6&amp;"-"&amp;INDEX(Eingabe!$C$9:$C$18,I1242)&amp;"-Vorstand  ·  eigenes WLAN",IF(J1242=K1242+2,Eingabe!$B$6&amp;"-"&amp;INDEX(Eingabe!$C$9:$C$18,I1242)&amp;"-Gäste  ·  Voucher",IF(J1242=K1242+3,"Kabel  ·  Access Point y = .(50+y), Mast-Switch x = .(10+x)","")))))</f>
        <v/>
      </c>
      <c r="I1242" s="0" t="str">
        <f aca="false">IF(1237&lt;=(Eingabe!$P$18+Eingabe!$Q$18-1),MATCH(1237,Eingabe!$P$9:$P$18,1),"")</f>
        <v/>
      </c>
      <c r="J1242" s="0" t="str">
        <f aca="false">IF(I1242="","",1237-INDEX(Eingabe!$P$9:$P$18,I1242))</f>
        <v/>
      </c>
      <c r="K1242" s="0" t="str">
        <f aca="false">IF(I1242="","",INDEX(Eingabe!$E$9:$E$18,I1242))</f>
        <v/>
      </c>
    </row>
    <row r="1243" customFormat="false" ht="15" hidden="false" customHeight="false" outlineLevel="0" collapsed="false">
      <c r="A1243" s="0" t="str">
        <f aca="false">IF(I1243="","",IF(J1243=0,"Sparte "&amp;I1243&amp;": "&amp;INDEX(Eingabe!$B$9:$B$18,I1243)&amp;"  (Sparten-ID "&amp;INDEX(Eingabe!$D$9:$D$18,I1243)&amp;", "&amp;K1243&amp;" Parzellen)",IF(J1243&lt;=K1243,"   Parzelle "&amp;J1243,IF(J1243=K1243+1,"   Vorstand",IF(J1243=K1243+2,"   Gäste",IF(J1243=K1243+3,"   Technik (Switches, Access Points)",""))))))</f>
        <v/>
      </c>
      <c r="B1243" s="0" t="str">
        <f aca="false">IF(I1243="","",IF(AND(J1243&gt;=1,J1243&lt;=K1243+3),IF(J1243&lt;=K1243,IF(J1243&lt;=99,IF((INDEX(Eingabe!$G$9:$G$18,I1243))&lt;=9,1000+(INDEX(Eingabe!$G$9:$G$18,I1243))*100,3000)+J1243,IF((INDEX(Eingabe!$G$9:$G$18,I1243)+1)&lt;=9,1000+(INDEX(Eingabe!$G$9:$G$18,I1243)+1)*100,3000)+J1243-100),IF(J1243=K1243+1,2000+INDEX(Eingabe!$G$9:$G$18,I1243)*10+1,IF(J1243=K1243+2,2000+INDEX(Eingabe!$G$9:$G$18,I1243)*10+2,2000+INDEX(Eingabe!$G$9:$G$18,I1243)*10+9))),""))</f>
        <v/>
      </c>
      <c r="C1243" s="0" t="str">
        <f aca="false">IF(I1243="","",IF(AND(J1243&gt;=1,J1243&lt;=K1243+3),"10."&amp;INDEX(Eingabe!$D$9:$D$18,I1243)&amp;"."&amp;IF(J1243&lt;=K1243,J1243,IF(J1243=K1243+1,200,IF(J1243=K1243+2,201,250)))&amp;".0/24",""))</f>
        <v/>
      </c>
      <c r="D1243" s="0" t="str">
        <f aca="false">IF(I1243="","",IF(AND(J1243&gt;=1,J1243&lt;=K1243+3),"255.255.255.0",""))</f>
        <v/>
      </c>
      <c r="E1243" s="0" t="str">
        <f aca="false">IF(I1243="","",IF(AND(J1243&gt;=1,J1243&lt;=K1243+3),"10."&amp;INDEX(Eingabe!$D$9:$D$18,I1243)&amp;"."&amp;IF(J1243&lt;=K1243,J1243,IF(J1243=K1243+1,200,IF(J1243=K1243+2,201,250)))&amp;".1",""))</f>
        <v/>
      </c>
      <c r="F1243" s="0" t="str">
        <f aca="false">IF(I1243="","",IF(AND(J1243&gt;=1,J1243&lt;=K1243+3),"10."&amp;INDEX(Eingabe!$D$9:$D$18,I1243)&amp;"."&amp;IF(J1243&lt;=K1243,J1243,IF(J1243=K1243+1,200,IF(J1243=K1243+2,201,250)))&amp;".10 – 10."&amp;INDEX(Eingabe!$D$9:$D$18,I1243)&amp;"."&amp;IF(J1243&lt;=K1243,J1243,IF(J1243=K1243+1,200,IF(J1243=K1243+2,201,250)))&amp;".250",""))</f>
        <v/>
      </c>
      <c r="G1243" s="0" t="str">
        <f aca="false">IF(I1243="","",IF(AND(J1243&gt;=1,J1243&lt;=K1243),Eingabe!$B$6&amp;"-"&amp;INDEX(Eingabe!$C$9:$C$18,I1243)&amp;"-Pächter  ·  Passwort Parzelle "&amp;J1243,IF(J1243=K1243+1,Eingabe!$B$6&amp;"-"&amp;INDEX(Eingabe!$C$9:$C$18,I1243)&amp;"-Vorstand  ·  eigenes WLAN",IF(J1243=K1243+2,Eingabe!$B$6&amp;"-"&amp;INDEX(Eingabe!$C$9:$C$18,I1243)&amp;"-Gäste  ·  Voucher",IF(J1243=K1243+3,"Kabel  ·  Access Point y = .(50+y), Mast-Switch x = .(10+x)","")))))</f>
        <v/>
      </c>
      <c r="I1243" s="0" t="str">
        <f aca="false">IF(1238&lt;=(Eingabe!$P$18+Eingabe!$Q$18-1),MATCH(1238,Eingabe!$P$9:$P$18,1),"")</f>
        <v/>
      </c>
      <c r="J1243" s="0" t="str">
        <f aca="false">IF(I1243="","",1238-INDEX(Eingabe!$P$9:$P$18,I1243))</f>
        <v/>
      </c>
      <c r="K1243" s="0" t="str">
        <f aca="false">IF(I1243="","",INDEX(Eingabe!$E$9:$E$18,I1243))</f>
        <v/>
      </c>
    </row>
    <row r="1244" customFormat="false" ht="15" hidden="false" customHeight="false" outlineLevel="0" collapsed="false">
      <c r="A1244" s="0" t="str">
        <f aca="false">IF(I1244="","",IF(J1244=0,"Sparte "&amp;I1244&amp;": "&amp;INDEX(Eingabe!$B$9:$B$18,I1244)&amp;"  (Sparten-ID "&amp;INDEX(Eingabe!$D$9:$D$18,I1244)&amp;", "&amp;K1244&amp;" Parzellen)",IF(J1244&lt;=K1244,"   Parzelle "&amp;J1244,IF(J1244=K1244+1,"   Vorstand",IF(J1244=K1244+2,"   Gäste",IF(J1244=K1244+3,"   Technik (Switches, Access Points)",""))))))</f>
        <v/>
      </c>
      <c r="B1244" s="0" t="str">
        <f aca="false">IF(I1244="","",IF(AND(J1244&gt;=1,J1244&lt;=K1244+3),IF(J1244&lt;=K1244,IF(J1244&lt;=99,IF((INDEX(Eingabe!$G$9:$G$18,I1244))&lt;=9,1000+(INDEX(Eingabe!$G$9:$G$18,I1244))*100,3000)+J1244,IF((INDEX(Eingabe!$G$9:$G$18,I1244)+1)&lt;=9,1000+(INDEX(Eingabe!$G$9:$G$18,I1244)+1)*100,3000)+J1244-100),IF(J1244=K1244+1,2000+INDEX(Eingabe!$G$9:$G$18,I1244)*10+1,IF(J1244=K1244+2,2000+INDEX(Eingabe!$G$9:$G$18,I1244)*10+2,2000+INDEX(Eingabe!$G$9:$G$18,I1244)*10+9))),""))</f>
        <v/>
      </c>
      <c r="C1244" s="0" t="str">
        <f aca="false">IF(I1244="","",IF(AND(J1244&gt;=1,J1244&lt;=K1244+3),"10."&amp;INDEX(Eingabe!$D$9:$D$18,I1244)&amp;"."&amp;IF(J1244&lt;=K1244,J1244,IF(J1244=K1244+1,200,IF(J1244=K1244+2,201,250)))&amp;".0/24",""))</f>
        <v/>
      </c>
      <c r="D1244" s="0" t="str">
        <f aca="false">IF(I1244="","",IF(AND(J1244&gt;=1,J1244&lt;=K1244+3),"255.255.255.0",""))</f>
        <v/>
      </c>
      <c r="E1244" s="0" t="str">
        <f aca="false">IF(I1244="","",IF(AND(J1244&gt;=1,J1244&lt;=K1244+3),"10."&amp;INDEX(Eingabe!$D$9:$D$18,I1244)&amp;"."&amp;IF(J1244&lt;=K1244,J1244,IF(J1244=K1244+1,200,IF(J1244=K1244+2,201,250)))&amp;".1",""))</f>
        <v/>
      </c>
      <c r="F1244" s="0" t="str">
        <f aca="false">IF(I1244="","",IF(AND(J1244&gt;=1,J1244&lt;=K1244+3),"10."&amp;INDEX(Eingabe!$D$9:$D$18,I1244)&amp;"."&amp;IF(J1244&lt;=K1244,J1244,IF(J1244=K1244+1,200,IF(J1244=K1244+2,201,250)))&amp;".10 – 10."&amp;INDEX(Eingabe!$D$9:$D$18,I1244)&amp;"."&amp;IF(J1244&lt;=K1244,J1244,IF(J1244=K1244+1,200,IF(J1244=K1244+2,201,250)))&amp;".250",""))</f>
        <v/>
      </c>
      <c r="G1244" s="0" t="str">
        <f aca="false">IF(I1244="","",IF(AND(J1244&gt;=1,J1244&lt;=K1244),Eingabe!$B$6&amp;"-"&amp;INDEX(Eingabe!$C$9:$C$18,I1244)&amp;"-Pächter  ·  Passwort Parzelle "&amp;J1244,IF(J1244=K1244+1,Eingabe!$B$6&amp;"-"&amp;INDEX(Eingabe!$C$9:$C$18,I1244)&amp;"-Vorstand  ·  eigenes WLAN",IF(J1244=K1244+2,Eingabe!$B$6&amp;"-"&amp;INDEX(Eingabe!$C$9:$C$18,I1244)&amp;"-Gäste  ·  Voucher",IF(J1244=K1244+3,"Kabel  ·  Access Point y = .(50+y), Mast-Switch x = .(10+x)","")))))</f>
        <v/>
      </c>
      <c r="I1244" s="0" t="str">
        <f aca="false">IF(1239&lt;=(Eingabe!$P$18+Eingabe!$Q$18-1),MATCH(1239,Eingabe!$P$9:$P$18,1),"")</f>
        <v/>
      </c>
      <c r="J1244" s="0" t="str">
        <f aca="false">IF(I1244="","",1239-INDEX(Eingabe!$P$9:$P$18,I1244))</f>
        <v/>
      </c>
      <c r="K1244" s="0" t="str">
        <f aca="false">IF(I1244="","",INDEX(Eingabe!$E$9:$E$18,I1244))</f>
        <v/>
      </c>
    </row>
    <row r="1245" customFormat="false" ht="15" hidden="false" customHeight="false" outlineLevel="0" collapsed="false">
      <c r="A1245" s="0" t="str">
        <f aca="false">IF(I1245="","",IF(J1245=0,"Sparte "&amp;I1245&amp;": "&amp;INDEX(Eingabe!$B$9:$B$18,I1245)&amp;"  (Sparten-ID "&amp;INDEX(Eingabe!$D$9:$D$18,I1245)&amp;", "&amp;K1245&amp;" Parzellen)",IF(J1245&lt;=K1245,"   Parzelle "&amp;J1245,IF(J1245=K1245+1,"   Vorstand",IF(J1245=K1245+2,"   Gäste",IF(J1245=K1245+3,"   Technik (Switches, Access Points)",""))))))</f>
        <v/>
      </c>
      <c r="B1245" s="0" t="str">
        <f aca="false">IF(I1245="","",IF(AND(J1245&gt;=1,J1245&lt;=K1245+3),IF(J1245&lt;=K1245,IF(J1245&lt;=99,IF((INDEX(Eingabe!$G$9:$G$18,I1245))&lt;=9,1000+(INDEX(Eingabe!$G$9:$G$18,I1245))*100,3000)+J1245,IF((INDEX(Eingabe!$G$9:$G$18,I1245)+1)&lt;=9,1000+(INDEX(Eingabe!$G$9:$G$18,I1245)+1)*100,3000)+J1245-100),IF(J1245=K1245+1,2000+INDEX(Eingabe!$G$9:$G$18,I1245)*10+1,IF(J1245=K1245+2,2000+INDEX(Eingabe!$G$9:$G$18,I1245)*10+2,2000+INDEX(Eingabe!$G$9:$G$18,I1245)*10+9))),""))</f>
        <v/>
      </c>
      <c r="C1245" s="0" t="str">
        <f aca="false">IF(I1245="","",IF(AND(J1245&gt;=1,J1245&lt;=K1245+3),"10."&amp;INDEX(Eingabe!$D$9:$D$18,I1245)&amp;"."&amp;IF(J1245&lt;=K1245,J1245,IF(J1245=K1245+1,200,IF(J1245=K1245+2,201,250)))&amp;".0/24",""))</f>
        <v/>
      </c>
      <c r="D1245" s="0" t="str">
        <f aca="false">IF(I1245="","",IF(AND(J1245&gt;=1,J1245&lt;=K1245+3),"255.255.255.0",""))</f>
        <v/>
      </c>
      <c r="E1245" s="0" t="str">
        <f aca="false">IF(I1245="","",IF(AND(J1245&gt;=1,J1245&lt;=K1245+3),"10."&amp;INDEX(Eingabe!$D$9:$D$18,I1245)&amp;"."&amp;IF(J1245&lt;=K1245,J1245,IF(J1245=K1245+1,200,IF(J1245=K1245+2,201,250)))&amp;".1",""))</f>
        <v/>
      </c>
      <c r="F1245" s="0" t="str">
        <f aca="false">IF(I1245="","",IF(AND(J1245&gt;=1,J1245&lt;=K1245+3),"10."&amp;INDEX(Eingabe!$D$9:$D$18,I1245)&amp;"."&amp;IF(J1245&lt;=K1245,J1245,IF(J1245=K1245+1,200,IF(J1245=K1245+2,201,250)))&amp;".10 – 10."&amp;INDEX(Eingabe!$D$9:$D$18,I1245)&amp;"."&amp;IF(J1245&lt;=K1245,J1245,IF(J1245=K1245+1,200,IF(J1245=K1245+2,201,250)))&amp;".250",""))</f>
        <v/>
      </c>
      <c r="G1245" s="0" t="str">
        <f aca="false">IF(I1245="","",IF(AND(J1245&gt;=1,J1245&lt;=K1245),Eingabe!$B$6&amp;"-"&amp;INDEX(Eingabe!$C$9:$C$18,I1245)&amp;"-Pächter  ·  Passwort Parzelle "&amp;J1245,IF(J1245=K1245+1,Eingabe!$B$6&amp;"-"&amp;INDEX(Eingabe!$C$9:$C$18,I1245)&amp;"-Vorstand  ·  eigenes WLAN",IF(J1245=K1245+2,Eingabe!$B$6&amp;"-"&amp;INDEX(Eingabe!$C$9:$C$18,I1245)&amp;"-Gäste  ·  Voucher",IF(J1245=K1245+3,"Kabel  ·  Access Point y = .(50+y), Mast-Switch x = .(10+x)","")))))</f>
        <v/>
      </c>
      <c r="I1245" s="0" t="str">
        <f aca="false">IF(1240&lt;=(Eingabe!$P$18+Eingabe!$Q$18-1),MATCH(1240,Eingabe!$P$9:$P$18,1),"")</f>
        <v/>
      </c>
      <c r="J1245" s="0" t="str">
        <f aca="false">IF(I1245="","",1240-INDEX(Eingabe!$P$9:$P$18,I1245))</f>
        <v/>
      </c>
      <c r="K1245" s="0" t="str">
        <f aca="false">IF(I1245="","",INDEX(Eingabe!$E$9:$E$18,I1245))</f>
        <v/>
      </c>
    </row>
    <row r="1246" customFormat="false" ht="15" hidden="false" customHeight="false" outlineLevel="0" collapsed="false">
      <c r="A1246" s="0" t="str">
        <f aca="false">IF(I1246="","",IF(J1246=0,"Sparte "&amp;I1246&amp;": "&amp;INDEX(Eingabe!$B$9:$B$18,I1246)&amp;"  (Sparten-ID "&amp;INDEX(Eingabe!$D$9:$D$18,I1246)&amp;", "&amp;K1246&amp;" Parzellen)",IF(J1246&lt;=K1246,"   Parzelle "&amp;J1246,IF(J1246=K1246+1,"   Vorstand",IF(J1246=K1246+2,"   Gäste",IF(J1246=K1246+3,"   Technik (Switches, Access Points)",""))))))</f>
        <v/>
      </c>
      <c r="B1246" s="0" t="str">
        <f aca="false">IF(I1246="","",IF(AND(J1246&gt;=1,J1246&lt;=K1246+3),IF(J1246&lt;=K1246,IF(J1246&lt;=99,IF((INDEX(Eingabe!$G$9:$G$18,I1246))&lt;=9,1000+(INDEX(Eingabe!$G$9:$G$18,I1246))*100,3000)+J1246,IF((INDEX(Eingabe!$G$9:$G$18,I1246)+1)&lt;=9,1000+(INDEX(Eingabe!$G$9:$G$18,I1246)+1)*100,3000)+J1246-100),IF(J1246=K1246+1,2000+INDEX(Eingabe!$G$9:$G$18,I1246)*10+1,IF(J1246=K1246+2,2000+INDEX(Eingabe!$G$9:$G$18,I1246)*10+2,2000+INDEX(Eingabe!$G$9:$G$18,I1246)*10+9))),""))</f>
        <v/>
      </c>
      <c r="C1246" s="0" t="str">
        <f aca="false">IF(I1246="","",IF(AND(J1246&gt;=1,J1246&lt;=K1246+3),"10."&amp;INDEX(Eingabe!$D$9:$D$18,I1246)&amp;"."&amp;IF(J1246&lt;=K1246,J1246,IF(J1246=K1246+1,200,IF(J1246=K1246+2,201,250)))&amp;".0/24",""))</f>
        <v/>
      </c>
      <c r="D1246" s="0" t="str">
        <f aca="false">IF(I1246="","",IF(AND(J1246&gt;=1,J1246&lt;=K1246+3),"255.255.255.0",""))</f>
        <v/>
      </c>
      <c r="E1246" s="0" t="str">
        <f aca="false">IF(I1246="","",IF(AND(J1246&gt;=1,J1246&lt;=K1246+3),"10."&amp;INDEX(Eingabe!$D$9:$D$18,I1246)&amp;"."&amp;IF(J1246&lt;=K1246,J1246,IF(J1246=K1246+1,200,IF(J1246=K1246+2,201,250)))&amp;".1",""))</f>
        <v/>
      </c>
      <c r="F1246" s="0" t="str">
        <f aca="false">IF(I1246="","",IF(AND(J1246&gt;=1,J1246&lt;=K1246+3),"10."&amp;INDEX(Eingabe!$D$9:$D$18,I1246)&amp;"."&amp;IF(J1246&lt;=K1246,J1246,IF(J1246=K1246+1,200,IF(J1246=K1246+2,201,250)))&amp;".10 – 10."&amp;INDEX(Eingabe!$D$9:$D$18,I1246)&amp;"."&amp;IF(J1246&lt;=K1246,J1246,IF(J1246=K1246+1,200,IF(J1246=K1246+2,201,250)))&amp;".250",""))</f>
        <v/>
      </c>
      <c r="G1246" s="0" t="str">
        <f aca="false">IF(I1246="","",IF(AND(J1246&gt;=1,J1246&lt;=K1246),Eingabe!$B$6&amp;"-"&amp;INDEX(Eingabe!$C$9:$C$18,I1246)&amp;"-Pächter  ·  Passwort Parzelle "&amp;J1246,IF(J1246=K1246+1,Eingabe!$B$6&amp;"-"&amp;INDEX(Eingabe!$C$9:$C$18,I1246)&amp;"-Vorstand  ·  eigenes WLAN",IF(J1246=K1246+2,Eingabe!$B$6&amp;"-"&amp;INDEX(Eingabe!$C$9:$C$18,I1246)&amp;"-Gäste  ·  Voucher",IF(J1246=K1246+3,"Kabel  ·  Access Point y = .(50+y), Mast-Switch x = .(10+x)","")))))</f>
        <v/>
      </c>
      <c r="I1246" s="0" t="str">
        <f aca="false">IF(1241&lt;=(Eingabe!$P$18+Eingabe!$Q$18-1),MATCH(1241,Eingabe!$P$9:$P$18,1),"")</f>
        <v/>
      </c>
      <c r="J1246" s="0" t="str">
        <f aca="false">IF(I1246="","",1241-INDEX(Eingabe!$P$9:$P$18,I1246))</f>
        <v/>
      </c>
      <c r="K1246" s="0" t="str">
        <f aca="false">IF(I1246="","",INDEX(Eingabe!$E$9:$E$18,I1246))</f>
        <v/>
      </c>
    </row>
    <row r="1247" customFormat="false" ht="15" hidden="false" customHeight="false" outlineLevel="0" collapsed="false">
      <c r="A1247" s="0" t="str">
        <f aca="false">IF(I1247="","",IF(J1247=0,"Sparte "&amp;I1247&amp;": "&amp;INDEX(Eingabe!$B$9:$B$18,I1247)&amp;"  (Sparten-ID "&amp;INDEX(Eingabe!$D$9:$D$18,I1247)&amp;", "&amp;K1247&amp;" Parzellen)",IF(J1247&lt;=K1247,"   Parzelle "&amp;J1247,IF(J1247=K1247+1,"   Vorstand",IF(J1247=K1247+2,"   Gäste",IF(J1247=K1247+3,"   Technik (Switches, Access Points)",""))))))</f>
        <v/>
      </c>
      <c r="B1247" s="0" t="str">
        <f aca="false">IF(I1247="","",IF(AND(J1247&gt;=1,J1247&lt;=K1247+3),IF(J1247&lt;=K1247,IF(J1247&lt;=99,IF((INDEX(Eingabe!$G$9:$G$18,I1247))&lt;=9,1000+(INDEX(Eingabe!$G$9:$G$18,I1247))*100,3000)+J1247,IF((INDEX(Eingabe!$G$9:$G$18,I1247)+1)&lt;=9,1000+(INDEX(Eingabe!$G$9:$G$18,I1247)+1)*100,3000)+J1247-100),IF(J1247=K1247+1,2000+INDEX(Eingabe!$G$9:$G$18,I1247)*10+1,IF(J1247=K1247+2,2000+INDEX(Eingabe!$G$9:$G$18,I1247)*10+2,2000+INDEX(Eingabe!$G$9:$G$18,I1247)*10+9))),""))</f>
        <v/>
      </c>
      <c r="C1247" s="0" t="str">
        <f aca="false">IF(I1247="","",IF(AND(J1247&gt;=1,J1247&lt;=K1247+3),"10."&amp;INDEX(Eingabe!$D$9:$D$18,I1247)&amp;"."&amp;IF(J1247&lt;=K1247,J1247,IF(J1247=K1247+1,200,IF(J1247=K1247+2,201,250)))&amp;".0/24",""))</f>
        <v/>
      </c>
      <c r="D1247" s="0" t="str">
        <f aca="false">IF(I1247="","",IF(AND(J1247&gt;=1,J1247&lt;=K1247+3),"255.255.255.0",""))</f>
        <v/>
      </c>
      <c r="E1247" s="0" t="str">
        <f aca="false">IF(I1247="","",IF(AND(J1247&gt;=1,J1247&lt;=K1247+3),"10."&amp;INDEX(Eingabe!$D$9:$D$18,I1247)&amp;"."&amp;IF(J1247&lt;=K1247,J1247,IF(J1247=K1247+1,200,IF(J1247=K1247+2,201,250)))&amp;".1",""))</f>
        <v/>
      </c>
      <c r="F1247" s="0" t="str">
        <f aca="false">IF(I1247="","",IF(AND(J1247&gt;=1,J1247&lt;=K1247+3),"10."&amp;INDEX(Eingabe!$D$9:$D$18,I1247)&amp;"."&amp;IF(J1247&lt;=K1247,J1247,IF(J1247=K1247+1,200,IF(J1247=K1247+2,201,250)))&amp;".10 – 10."&amp;INDEX(Eingabe!$D$9:$D$18,I1247)&amp;"."&amp;IF(J1247&lt;=K1247,J1247,IF(J1247=K1247+1,200,IF(J1247=K1247+2,201,250)))&amp;".250",""))</f>
        <v/>
      </c>
      <c r="G1247" s="0" t="str">
        <f aca="false">IF(I1247="","",IF(AND(J1247&gt;=1,J1247&lt;=K1247),Eingabe!$B$6&amp;"-"&amp;INDEX(Eingabe!$C$9:$C$18,I1247)&amp;"-Pächter  ·  Passwort Parzelle "&amp;J1247,IF(J1247=K1247+1,Eingabe!$B$6&amp;"-"&amp;INDEX(Eingabe!$C$9:$C$18,I1247)&amp;"-Vorstand  ·  eigenes WLAN",IF(J1247=K1247+2,Eingabe!$B$6&amp;"-"&amp;INDEX(Eingabe!$C$9:$C$18,I1247)&amp;"-Gäste  ·  Voucher",IF(J1247=K1247+3,"Kabel  ·  Access Point y = .(50+y), Mast-Switch x = .(10+x)","")))))</f>
        <v/>
      </c>
      <c r="I1247" s="0" t="str">
        <f aca="false">IF(1242&lt;=(Eingabe!$P$18+Eingabe!$Q$18-1),MATCH(1242,Eingabe!$P$9:$P$18,1),"")</f>
        <v/>
      </c>
      <c r="J1247" s="0" t="str">
        <f aca="false">IF(I1247="","",1242-INDEX(Eingabe!$P$9:$P$18,I1247))</f>
        <v/>
      </c>
      <c r="K1247" s="0" t="str">
        <f aca="false">IF(I1247="","",INDEX(Eingabe!$E$9:$E$18,I1247))</f>
        <v/>
      </c>
    </row>
    <row r="1248" customFormat="false" ht="15" hidden="false" customHeight="false" outlineLevel="0" collapsed="false">
      <c r="A1248" s="0" t="str">
        <f aca="false">IF(I1248="","",IF(J1248=0,"Sparte "&amp;I1248&amp;": "&amp;INDEX(Eingabe!$B$9:$B$18,I1248)&amp;"  (Sparten-ID "&amp;INDEX(Eingabe!$D$9:$D$18,I1248)&amp;", "&amp;K1248&amp;" Parzellen)",IF(J1248&lt;=K1248,"   Parzelle "&amp;J1248,IF(J1248=K1248+1,"   Vorstand",IF(J1248=K1248+2,"   Gäste",IF(J1248=K1248+3,"   Technik (Switches, Access Points)",""))))))</f>
        <v/>
      </c>
      <c r="B1248" s="0" t="str">
        <f aca="false">IF(I1248="","",IF(AND(J1248&gt;=1,J1248&lt;=K1248+3),IF(J1248&lt;=K1248,IF(J1248&lt;=99,IF((INDEX(Eingabe!$G$9:$G$18,I1248))&lt;=9,1000+(INDEX(Eingabe!$G$9:$G$18,I1248))*100,3000)+J1248,IF((INDEX(Eingabe!$G$9:$G$18,I1248)+1)&lt;=9,1000+(INDEX(Eingabe!$G$9:$G$18,I1248)+1)*100,3000)+J1248-100),IF(J1248=K1248+1,2000+INDEX(Eingabe!$G$9:$G$18,I1248)*10+1,IF(J1248=K1248+2,2000+INDEX(Eingabe!$G$9:$G$18,I1248)*10+2,2000+INDEX(Eingabe!$G$9:$G$18,I1248)*10+9))),""))</f>
        <v/>
      </c>
      <c r="C1248" s="0" t="str">
        <f aca="false">IF(I1248="","",IF(AND(J1248&gt;=1,J1248&lt;=K1248+3),"10."&amp;INDEX(Eingabe!$D$9:$D$18,I1248)&amp;"."&amp;IF(J1248&lt;=K1248,J1248,IF(J1248=K1248+1,200,IF(J1248=K1248+2,201,250)))&amp;".0/24",""))</f>
        <v/>
      </c>
      <c r="D1248" s="0" t="str">
        <f aca="false">IF(I1248="","",IF(AND(J1248&gt;=1,J1248&lt;=K1248+3),"255.255.255.0",""))</f>
        <v/>
      </c>
      <c r="E1248" s="0" t="str">
        <f aca="false">IF(I1248="","",IF(AND(J1248&gt;=1,J1248&lt;=K1248+3),"10."&amp;INDEX(Eingabe!$D$9:$D$18,I1248)&amp;"."&amp;IF(J1248&lt;=K1248,J1248,IF(J1248=K1248+1,200,IF(J1248=K1248+2,201,250)))&amp;".1",""))</f>
        <v/>
      </c>
      <c r="F1248" s="0" t="str">
        <f aca="false">IF(I1248="","",IF(AND(J1248&gt;=1,J1248&lt;=K1248+3),"10."&amp;INDEX(Eingabe!$D$9:$D$18,I1248)&amp;"."&amp;IF(J1248&lt;=K1248,J1248,IF(J1248=K1248+1,200,IF(J1248=K1248+2,201,250)))&amp;".10 – 10."&amp;INDEX(Eingabe!$D$9:$D$18,I1248)&amp;"."&amp;IF(J1248&lt;=K1248,J1248,IF(J1248=K1248+1,200,IF(J1248=K1248+2,201,250)))&amp;".250",""))</f>
        <v/>
      </c>
      <c r="G1248" s="0" t="str">
        <f aca="false">IF(I1248="","",IF(AND(J1248&gt;=1,J1248&lt;=K1248),Eingabe!$B$6&amp;"-"&amp;INDEX(Eingabe!$C$9:$C$18,I1248)&amp;"-Pächter  ·  Passwort Parzelle "&amp;J1248,IF(J1248=K1248+1,Eingabe!$B$6&amp;"-"&amp;INDEX(Eingabe!$C$9:$C$18,I1248)&amp;"-Vorstand  ·  eigenes WLAN",IF(J1248=K1248+2,Eingabe!$B$6&amp;"-"&amp;INDEX(Eingabe!$C$9:$C$18,I1248)&amp;"-Gäste  ·  Voucher",IF(J1248=K1248+3,"Kabel  ·  Access Point y = .(50+y), Mast-Switch x = .(10+x)","")))))</f>
        <v/>
      </c>
      <c r="I1248" s="0" t="str">
        <f aca="false">IF(1243&lt;=(Eingabe!$P$18+Eingabe!$Q$18-1),MATCH(1243,Eingabe!$P$9:$P$18,1),"")</f>
        <v/>
      </c>
      <c r="J1248" s="0" t="str">
        <f aca="false">IF(I1248="","",1243-INDEX(Eingabe!$P$9:$P$18,I1248))</f>
        <v/>
      </c>
      <c r="K1248" s="0" t="str">
        <f aca="false">IF(I1248="","",INDEX(Eingabe!$E$9:$E$18,I1248))</f>
        <v/>
      </c>
    </row>
    <row r="1249" customFormat="false" ht="15" hidden="false" customHeight="false" outlineLevel="0" collapsed="false">
      <c r="A1249" s="0" t="str">
        <f aca="false">IF(I1249="","",IF(J1249=0,"Sparte "&amp;I1249&amp;": "&amp;INDEX(Eingabe!$B$9:$B$18,I1249)&amp;"  (Sparten-ID "&amp;INDEX(Eingabe!$D$9:$D$18,I1249)&amp;", "&amp;K1249&amp;" Parzellen)",IF(J1249&lt;=K1249,"   Parzelle "&amp;J1249,IF(J1249=K1249+1,"   Vorstand",IF(J1249=K1249+2,"   Gäste",IF(J1249=K1249+3,"   Technik (Switches, Access Points)",""))))))</f>
        <v/>
      </c>
      <c r="B1249" s="0" t="str">
        <f aca="false">IF(I1249="","",IF(AND(J1249&gt;=1,J1249&lt;=K1249+3),IF(J1249&lt;=K1249,IF(J1249&lt;=99,IF((INDEX(Eingabe!$G$9:$G$18,I1249))&lt;=9,1000+(INDEX(Eingabe!$G$9:$G$18,I1249))*100,3000)+J1249,IF((INDEX(Eingabe!$G$9:$G$18,I1249)+1)&lt;=9,1000+(INDEX(Eingabe!$G$9:$G$18,I1249)+1)*100,3000)+J1249-100),IF(J1249=K1249+1,2000+INDEX(Eingabe!$G$9:$G$18,I1249)*10+1,IF(J1249=K1249+2,2000+INDEX(Eingabe!$G$9:$G$18,I1249)*10+2,2000+INDEX(Eingabe!$G$9:$G$18,I1249)*10+9))),""))</f>
        <v/>
      </c>
      <c r="C1249" s="0" t="str">
        <f aca="false">IF(I1249="","",IF(AND(J1249&gt;=1,J1249&lt;=K1249+3),"10."&amp;INDEX(Eingabe!$D$9:$D$18,I1249)&amp;"."&amp;IF(J1249&lt;=K1249,J1249,IF(J1249=K1249+1,200,IF(J1249=K1249+2,201,250)))&amp;".0/24",""))</f>
        <v/>
      </c>
      <c r="D1249" s="0" t="str">
        <f aca="false">IF(I1249="","",IF(AND(J1249&gt;=1,J1249&lt;=K1249+3),"255.255.255.0",""))</f>
        <v/>
      </c>
      <c r="E1249" s="0" t="str">
        <f aca="false">IF(I1249="","",IF(AND(J1249&gt;=1,J1249&lt;=K1249+3),"10."&amp;INDEX(Eingabe!$D$9:$D$18,I1249)&amp;"."&amp;IF(J1249&lt;=K1249,J1249,IF(J1249=K1249+1,200,IF(J1249=K1249+2,201,250)))&amp;".1",""))</f>
        <v/>
      </c>
      <c r="F1249" s="0" t="str">
        <f aca="false">IF(I1249="","",IF(AND(J1249&gt;=1,J1249&lt;=K1249+3),"10."&amp;INDEX(Eingabe!$D$9:$D$18,I1249)&amp;"."&amp;IF(J1249&lt;=K1249,J1249,IF(J1249=K1249+1,200,IF(J1249=K1249+2,201,250)))&amp;".10 – 10."&amp;INDEX(Eingabe!$D$9:$D$18,I1249)&amp;"."&amp;IF(J1249&lt;=K1249,J1249,IF(J1249=K1249+1,200,IF(J1249=K1249+2,201,250)))&amp;".250",""))</f>
        <v/>
      </c>
      <c r="G1249" s="0" t="str">
        <f aca="false">IF(I1249="","",IF(AND(J1249&gt;=1,J1249&lt;=K1249),Eingabe!$B$6&amp;"-"&amp;INDEX(Eingabe!$C$9:$C$18,I1249)&amp;"-Pächter  ·  Passwort Parzelle "&amp;J1249,IF(J1249=K1249+1,Eingabe!$B$6&amp;"-"&amp;INDEX(Eingabe!$C$9:$C$18,I1249)&amp;"-Vorstand  ·  eigenes WLAN",IF(J1249=K1249+2,Eingabe!$B$6&amp;"-"&amp;INDEX(Eingabe!$C$9:$C$18,I1249)&amp;"-Gäste  ·  Voucher",IF(J1249=K1249+3,"Kabel  ·  Access Point y = .(50+y), Mast-Switch x = .(10+x)","")))))</f>
        <v/>
      </c>
      <c r="I1249" s="0" t="str">
        <f aca="false">IF(1244&lt;=(Eingabe!$P$18+Eingabe!$Q$18-1),MATCH(1244,Eingabe!$P$9:$P$18,1),"")</f>
        <v/>
      </c>
      <c r="J1249" s="0" t="str">
        <f aca="false">IF(I1249="","",1244-INDEX(Eingabe!$P$9:$P$18,I1249))</f>
        <v/>
      </c>
      <c r="K1249" s="0" t="str">
        <f aca="false">IF(I1249="","",INDEX(Eingabe!$E$9:$E$18,I1249))</f>
        <v/>
      </c>
    </row>
    <row r="1250" customFormat="false" ht="15" hidden="false" customHeight="false" outlineLevel="0" collapsed="false">
      <c r="A1250" s="0" t="str">
        <f aca="false">IF(I1250="","",IF(J1250=0,"Sparte "&amp;I1250&amp;": "&amp;INDEX(Eingabe!$B$9:$B$18,I1250)&amp;"  (Sparten-ID "&amp;INDEX(Eingabe!$D$9:$D$18,I1250)&amp;", "&amp;K1250&amp;" Parzellen)",IF(J1250&lt;=K1250,"   Parzelle "&amp;J1250,IF(J1250=K1250+1,"   Vorstand",IF(J1250=K1250+2,"   Gäste",IF(J1250=K1250+3,"   Technik (Switches, Access Points)",""))))))</f>
        <v/>
      </c>
      <c r="B1250" s="0" t="str">
        <f aca="false">IF(I1250="","",IF(AND(J1250&gt;=1,J1250&lt;=K1250+3),IF(J1250&lt;=K1250,IF(J1250&lt;=99,IF((INDEX(Eingabe!$G$9:$G$18,I1250))&lt;=9,1000+(INDEX(Eingabe!$G$9:$G$18,I1250))*100,3000)+J1250,IF((INDEX(Eingabe!$G$9:$G$18,I1250)+1)&lt;=9,1000+(INDEX(Eingabe!$G$9:$G$18,I1250)+1)*100,3000)+J1250-100),IF(J1250=K1250+1,2000+INDEX(Eingabe!$G$9:$G$18,I1250)*10+1,IF(J1250=K1250+2,2000+INDEX(Eingabe!$G$9:$G$18,I1250)*10+2,2000+INDEX(Eingabe!$G$9:$G$18,I1250)*10+9))),""))</f>
        <v/>
      </c>
      <c r="C1250" s="0" t="str">
        <f aca="false">IF(I1250="","",IF(AND(J1250&gt;=1,J1250&lt;=K1250+3),"10."&amp;INDEX(Eingabe!$D$9:$D$18,I1250)&amp;"."&amp;IF(J1250&lt;=K1250,J1250,IF(J1250=K1250+1,200,IF(J1250=K1250+2,201,250)))&amp;".0/24",""))</f>
        <v/>
      </c>
      <c r="D1250" s="0" t="str">
        <f aca="false">IF(I1250="","",IF(AND(J1250&gt;=1,J1250&lt;=K1250+3),"255.255.255.0",""))</f>
        <v/>
      </c>
      <c r="E1250" s="0" t="str">
        <f aca="false">IF(I1250="","",IF(AND(J1250&gt;=1,J1250&lt;=K1250+3),"10."&amp;INDEX(Eingabe!$D$9:$D$18,I1250)&amp;"."&amp;IF(J1250&lt;=K1250,J1250,IF(J1250=K1250+1,200,IF(J1250=K1250+2,201,250)))&amp;".1",""))</f>
        <v/>
      </c>
      <c r="F1250" s="0" t="str">
        <f aca="false">IF(I1250="","",IF(AND(J1250&gt;=1,J1250&lt;=K1250+3),"10."&amp;INDEX(Eingabe!$D$9:$D$18,I1250)&amp;"."&amp;IF(J1250&lt;=K1250,J1250,IF(J1250=K1250+1,200,IF(J1250=K1250+2,201,250)))&amp;".10 – 10."&amp;INDEX(Eingabe!$D$9:$D$18,I1250)&amp;"."&amp;IF(J1250&lt;=K1250,J1250,IF(J1250=K1250+1,200,IF(J1250=K1250+2,201,250)))&amp;".250",""))</f>
        <v/>
      </c>
      <c r="G1250" s="0" t="str">
        <f aca="false">IF(I1250="","",IF(AND(J1250&gt;=1,J1250&lt;=K1250),Eingabe!$B$6&amp;"-"&amp;INDEX(Eingabe!$C$9:$C$18,I1250)&amp;"-Pächter  ·  Passwort Parzelle "&amp;J1250,IF(J1250=K1250+1,Eingabe!$B$6&amp;"-"&amp;INDEX(Eingabe!$C$9:$C$18,I1250)&amp;"-Vorstand  ·  eigenes WLAN",IF(J1250=K1250+2,Eingabe!$B$6&amp;"-"&amp;INDEX(Eingabe!$C$9:$C$18,I1250)&amp;"-Gäste  ·  Voucher",IF(J1250=K1250+3,"Kabel  ·  Access Point y = .(50+y), Mast-Switch x = .(10+x)","")))))</f>
        <v/>
      </c>
      <c r="I1250" s="0" t="str">
        <f aca="false">IF(1245&lt;=(Eingabe!$P$18+Eingabe!$Q$18-1),MATCH(1245,Eingabe!$P$9:$P$18,1),"")</f>
        <v/>
      </c>
      <c r="J1250" s="0" t="str">
        <f aca="false">IF(I1250="","",1245-INDEX(Eingabe!$P$9:$P$18,I1250))</f>
        <v/>
      </c>
      <c r="K1250" s="0" t="str">
        <f aca="false">IF(I1250="","",INDEX(Eingabe!$E$9:$E$18,I1250))</f>
        <v/>
      </c>
    </row>
    <row r="1251" customFormat="false" ht="15" hidden="false" customHeight="false" outlineLevel="0" collapsed="false">
      <c r="A1251" s="0" t="str">
        <f aca="false">IF(I1251="","",IF(J1251=0,"Sparte "&amp;I1251&amp;": "&amp;INDEX(Eingabe!$B$9:$B$18,I1251)&amp;"  (Sparten-ID "&amp;INDEX(Eingabe!$D$9:$D$18,I1251)&amp;", "&amp;K1251&amp;" Parzellen)",IF(J1251&lt;=K1251,"   Parzelle "&amp;J1251,IF(J1251=K1251+1,"   Vorstand",IF(J1251=K1251+2,"   Gäste",IF(J1251=K1251+3,"   Technik (Switches, Access Points)",""))))))</f>
        <v/>
      </c>
      <c r="B1251" s="0" t="str">
        <f aca="false">IF(I1251="","",IF(AND(J1251&gt;=1,J1251&lt;=K1251+3),IF(J1251&lt;=K1251,IF(J1251&lt;=99,IF((INDEX(Eingabe!$G$9:$G$18,I1251))&lt;=9,1000+(INDEX(Eingabe!$G$9:$G$18,I1251))*100,3000)+J1251,IF((INDEX(Eingabe!$G$9:$G$18,I1251)+1)&lt;=9,1000+(INDEX(Eingabe!$G$9:$G$18,I1251)+1)*100,3000)+J1251-100),IF(J1251=K1251+1,2000+INDEX(Eingabe!$G$9:$G$18,I1251)*10+1,IF(J1251=K1251+2,2000+INDEX(Eingabe!$G$9:$G$18,I1251)*10+2,2000+INDEX(Eingabe!$G$9:$G$18,I1251)*10+9))),""))</f>
        <v/>
      </c>
      <c r="C1251" s="0" t="str">
        <f aca="false">IF(I1251="","",IF(AND(J1251&gt;=1,J1251&lt;=K1251+3),"10."&amp;INDEX(Eingabe!$D$9:$D$18,I1251)&amp;"."&amp;IF(J1251&lt;=K1251,J1251,IF(J1251=K1251+1,200,IF(J1251=K1251+2,201,250)))&amp;".0/24",""))</f>
        <v/>
      </c>
      <c r="D1251" s="0" t="str">
        <f aca="false">IF(I1251="","",IF(AND(J1251&gt;=1,J1251&lt;=K1251+3),"255.255.255.0",""))</f>
        <v/>
      </c>
      <c r="E1251" s="0" t="str">
        <f aca="false">IF(I1251="","",IF(AND(J1251&gt;=1,J1251&lt;=K1251+3),"10."&amp;INDEX(Eingabe!$D$9:$D$18,I1251)&amp;"."&amp;IF(J1251&lt;=K1251,J1251,IF(J1251=K1251+1,200,IF(J1251=K1251+2,201,250)))&amp;".1",""))</f>
        <v/>
      </c>
      <c r="F1251" s="0" t="str">
        <f aca="false">IF(I1251="","",IF(AND(J1251&gt;=1,J1251&lt;=K1251+3),"10."&amp;INDEX(Eingabe!$D$9:$D$18,I1251)&amp;"."&amp;IF(J1251&lt;=K1251,J1251,IF(J1251=K1251+1,200,IF(J1251=K1251+2,201,250)))&amp;".10 – 10."&amp;INDEX(Eingabe!$D$9:$D$18,I1251)&amp;"."&amp;IF(J1251&lt;=K1251,J1251,IF(J1251=K1251+1,200,IF(J1251=K1251+2,201,250)))&amp;".250",""))</f>
        <v/>
      </c>
      <c r="G1251" s="0" t="str">
        <f aca="false">IF(I1251="","",IF(AND(J1251&gt;=1,J1251&lt;=K1251),Eingabe!$B$6&amp;"-"&amp;INDEX(Eingabe!$C$9:$C$18,I1251)&amp;"-Pächter  ·  Passwort Parzelle "&amp;J1251,IF(J1251=K1251+1,Eingabe!$B$6&amp;"-"&amp;INDEX(Eingabe!$C$9:$C$18,I1251)&amp;"-Vorstand  ·  eigenes WLAN",IF(J1251=K1251+2,Eingabe!$B$6&amp;"-"&amp;INDEX(Eingabe!$C$9:$C$18,I1251)&amp;"-Gäste  ·  Voucher",IF(J1251=K1251+3,"Kabel  ·  Access Point y = .(50+y), Mast-Switch x = .(10+x)","")))))</f>
        <v/>
      </c>
      <c r="I1251" s="0" t="str">
        <f aca="false">IF(1246&lt;=(Eingabe!$P$18+Eingabe!$Q$18-1),MATCH(1246,Eingabe!$P$9:$P$18,1),"")</f>
        <v/>
      </c>
      <c r="J1251" s="0" t="str">
        <f aca="false">IF(I1251="","",1246-INDEX(Eingabe!$P$9:$P$18,I1251))</f>
        <v/>
      </c>
      <c r="K1251" s="0" t="str">
        <f aca="false">IF(I1251="","",INDEX(Eingabe!$E$9:$E$18,I1251))</f>
        <v/>
      </c>
    </row>
    <row r="1252" customFormat="false" ht="15" hidden="false" customHeight="false" outlineLevel="0" collapsed="false">
      <c r="A1252" s="0" t="str">
        <f aca="false">IF(I1252="","",IF(J1252=0,"Sparte "&amp;I1252&amp;": "&amp;INDEX(Eingabe!$B$9:$B$18,I1252)&amp;"  (Sparten-ID "&amp;INDEX(Eingabe!$D$9:$D$18,I1252)&amp;", "&amp;K1252&amp;" Parzellen)",IF(J1252&lt;=K1252,"   Parzelle "&amp;J1252,IF(J1252=K1252+1,"   Vorstand",IF(J1252=K1252+2,"   Gäste",IF(J1252=K1252+3,"   Technik (Switches, Access Points)",""))))))</f>
        <v/>
      </c>
      <c r="B1252" s="0" t="str">
        <f aca="false">IF(I1252="","",IF(AND(J1252&gt;=1,J1252&lt;=K1252+3),IF(J1252&lt;=K1252,IF(J1252&lt;=99,IF((INDEX(Eingabe!$G$9:$G$18,I1252))&lt;=9,1000+(INDEX(Eingabe!$G$9:$G$18,I1252))*100,3000)+J1252,IF((INDEX(Eingabe!$G$9:$G$18,I1252)+1)&lt;=9,1000+(INDEX(Eingabe!$G$9:$G$18,I1252)+1)*100,3000)+J1252-100),IF(J1252=K1252+1,2000+INDEX(Eingabe!$G$9:$G$18,I1252)*10+1,IF(J1252=K1252+2,2000+INDEX(Eingabe!$G$9:$G$18,I1252)*10+2,2000+INDEX(Eingabe!$G$9:$G$18,I1252)*10+9))),""))</f>
        <v/>
      </c>
      <c r="C1252" s="0" t="str">
        <f aca="false">IF(I1252="","",IF(AND(J1252&gt;=1,J1252&lt;=K1252+3),"10."&amp;INDEX(Eingabe!$D$9:$D$18,I1252)&amp;"."&amp;IF(J1252&lt;=K1252,J1252,IF(J1252=K1252+1,200,IF(J1252=K1252+2,201,250)))&amp;".0/24",""))</f>
        <v/>
      </c>
      <c r="D1252" s="0" t="str">
        <f aca="false">IF(I1252="","",IF(AND(J1252&gt;=1,J1252&lt;=K1252+3),"255.255.255.0",""))</f>
        <v/>
      </c>
      <c r="E1252" s="0" t="str">
        <f aca="false">IF(I1252="","",IF(AND(J1252&gt;=1,J1252&lt;=K1252+3),"10."&amp;INDEX(Eingabe!$D$9:$D$18,I1252)&amp;"."&amp;IF(J1252&lt;=K1252,J1252,IF(J1252=K1252+1,200,IF(J1252=K1252+2,201,250)))&amp;".1",""))</f>
        <v/>
      </c>
      <c r="F1252" s="0" t="str">
        <f aca="false">IF(I1252="","",IF(AND(J1252&gt;=1,J1252&lt;=K1252+3),"10."&amp;INDEX(Eingabe!$D$9:$D$18,I1252)&amp;"."&amp;IF(J1252&lt;=K1252,J1252,IF(J1252=K1252+1,200,IF(J1252=K1252+2,201,250)))&amp;".10 – 10."&amp;INDEX(Eingabe!$D$9:$D$18,I1252)&amp;"."&amp;IF(J1252&lt;=K1252,J1252,IF(J1252=K1252+1,200,IF(J1252=K1252+2,201,250)))&amp;".250",""))</f>
        <v/>
      </c>
      <c r="G1252" s="0" t="str">
        <f aca="false">IF(I1252="","",IF(AND(J1252&gt;=1,J1252&lt;=K1252),Eingabe!$B$6&amp;"-"&amp;INDEX(Eingabe!$C$9:$C$18,I1252)&amp;"-Pächter  ·  Passwort Parzelle "&amp;J1252,IF(J1252=K1252+1,Eingabe!$B$6&amp;"-"&amp;INDEX(Eingabe!$C$9:$C$18,I1252)&amp;"-Vorstand  ·  eigenes WLAN",IF(J1252=K1252+2,Eingabe!$B$6&amp;"-"&amp;INDEX(Eingabe!$C$9:$C$18,I1252)&amp;"-Gäste  ·  Voucher",IF(J1252=K1252+3,"Kabel  ·  Access Point y = .(50+y), Mast-Switch x = .(10+x)","")))))</f>
        <v/>
      </c>
      <c r="I1252" s="0" t="str">
        <f aca="false">IF(1247&lt;=(Eingabe!$P$18+Eingabe!$Q$18-1),MATCH(1247,Eingabe!$P$9:$P$18,1),"")</f>
        <v/>
      </c>
      <c r="J1252" s="0" t="str">
        <f aca="false">IF(I1252="","",1247-INDEX(Eingabe!$P$9:$P$18,I1252))</f>
        <v/>
      </c>
      <c r="K1252" s="0" t="str">
        <f aca="false">IF(I1252="","",INDEX(Eingabe!$E$9:$E$18,I1252))</f>
        <v/>
      </c>
    </row>
    <row r="1253" customFormat="false" ht="15" hidden="false" customHeight="false" outlineLevel="0" collapsed="false">
      <c r="A1253" s="0" t="str">
        <f aca="false">IF(I1253="","",IF(J1253=0,"Sparte "&amp;I1253&amp;": "&amp;INDEX(Eingabe!$B$9:$B$18,I1253)&amp;"  (Sparten-ID "&amp;INDEX(Eingabe!$D$9:$D$18,I1253)&amp;", "&amp;K1253&amp;" Parzellen)",IF(J1253&lt;=K1253,"   Parzelle "&amp;J1253,IF(J1253=K1253+1,"   Vorstand",IF(J1253=K1253+2,"   Gäste",IF(J1253=K1253+3,"   Technik (Switches, Access Points)",""))))))</f>
        <v/>
      </c>
      <c r="B1253" s="0" t="str">
        <f aca="false">IF(I1253="","",IF(AND(J1253&gt;=1,J1253&lt;=K1253+3),IF(J1253&lt;=K1253,IF(J1253&lt;=99,IF((INDEX(Eingabe!$G$9:$G$18,I1253))&lt;=9,1000+(INDEX(Eingabe!$G$9:$G$18,I1253))*100,3000)+J1253,IF((INDEX(Eingabe!$G$9:$G$18,I1253)+1)&lt;=9,1000+(INDEX(Eingabe!$G$9:$G$18,I1253)+1)*100,3000)+J1253-100),IF(J1253=K1253+1,2000+INDEX(Eingabe!$G$9:$G$18,I1253)*10+1,IF(J1253=K1253+2,2000+INDEX(Eingabe!$G$9:$G$18,I1253)*10+2,2000+INDEX(Eingabe!$G$9:$G$18,I1253)*10+9))),""))</f>
        <v/>
      </c>
      <c r="C1253" s="0" t="str">
        <f aca="false">IF(I1253="","",IF(AND(J1253&gt;=1,J1253&lt;=K1253+3),"10."&amp;INDEX(Eingabe!$D$9:$D$18,I1253)&amp;"."&amp;IF(J1253&lt;=K1253,J1253,IF(J1253=K1253+1,200,IF(J1253=K1253+2,201,250)))&amp;".0/24",""))</f>
        <v/>
      </c>
      <c r="D1253" s="0" t="str">
        <f aca="false">IF(I1253="","",IF(AND(J1253&gt;=1,J1253&lt;=K1253+3),"255.255.255.0",""))</f>
        <v/>
      </c>
      <c r="E1253" s="0" t="str">
        <f aca="false">IF(I1253="","",IF(AND(J1253&gt;=1,J1253&lt;=K1253+3),"10."&amp;INDEX(Eingabe!$D$9:$D$18,I1253)&amp;"."&amp;IF(J1253&lt;=K1253,J1253,IF(J1253=K1253+1,200,IF(J1253=K1253+2,201,250)))&amp;".1",""))</f>
        <v/>
      </c>
      <c r="F1253" s="0" t="str">
        <f aca="false">IF(I1253="","",IF(AND(J1253&gt;=1,J1253&lt;=K1253+3),"10."&amp;INDEX(Eingabe!$D$9:$D$18,I1253)&amp;"."&amp;IF(J1253&lt;=K1253,J1253,IF(J1253=K1253+1,200,IF(J1253=K1253+2,201,250)))&amp;".10 – 10."&amp;INDEX(Eingabe!$D$9:$D$18,I1253)&amp;"."&amp;IF(J1253&lt;=K1253,J1253,IF(J1253=K1253+1,200,IF(J1253=K1253+2,201,250)))&amp;".250",""))</f>
        <v/>
      </c>
      <c r="G1253" s="0" t="str">
        <f aca="false">IF(I1253="","",IF(AND(J1253&gt;=1,J1253&lt;=K1253),Eingabe!$B$6&amp;"-"&amp;INDEX(Eingabe!$C$9:$C$18,I1253)&amp;"-Pächter  ·  Passwort Parzelle "&amp;J1253,IF(J1253=K1253+1,Eingabe!$B$6&amp;"-"&amp;INDEX(Eingabe!$C$9:$C$18,I1253)&amp;"-Vorstand  ·  eigenes WLAN",IF(J1253=K1253+2,Eingabe!$B$6&amp;"-"&amp;INDEX(Eingabe!$C$9:$C$18,I1253)&amp;"-Gäste  ·  Voucher",IF(J1253=K1253+3,"Kabel  ·  Access Point y = .(50+y), Mast-Switch x = .(10+x)","")))))</f>
        <v/>
      </c>
      <c r="I1253" s="0" t="str">
        <f aca="false">IF(1248&lt;=(Eingabe!$P$18+Eingabe!$Q$18-1),MATCH(1248,Eingabe!$P$9:$P$18,1),"")</f>
        <v/>
      </c>
      <c r="J1253" s="0" t="str">
        <f aca="false">IF(I1253="","",1248-INDEX(Eingabe!$P$9:$P$18,I1253))</f>
        <v/>
      </c>
      <c r="K1253" s="0" t="str">
        <f aca="false">IF(I1253="","",INDEX(Eingabe!$E$9:$E$18,I1253))</f>
        <v/>
      </c>
    </row>
    <row r="1254" customFormat="false" ht="15" hidden="false" customHeight="false" outlineLevel="0" collapsed="false">
      <c r="A1254" s="0" t="str">
        <f aca="false">IF(I1254="","",IF(J1254=0,"Sparte "&amp;I1254&amp;": "&amp;INDEX(Eingabe!$B$9:$B$18,I1254)&amp;"  (Sparten-ID "&amp;INDEX(Eingabe!$D$9:$D$18,I1254)&amp;", "&amp;K1254&amp;" Parzellen)",IF(J1254&lt;=K1254,"   Parzelle "&amp;J1254,IF(J1254=K1254+1,"   Vorstand",IF(J1254=K1254+2,"   Gäste",IF(J1254=K1254+3,"   Technik (Switches, Access Points)",""))))))</f>
        <v/>
      </c>
      <c r="B1254" s="0" t="str">
        <f aca="false">IF(I1254="","",IF(AND(J1254&gt;=1,J1254&lt;=K1254+3),IF(J1254&lt;=K1254,IF(J1254&lt;=99,IF((INDEX(Eingabe!$G$9:$G$18,I1254))&lt;=9,1000+(INDEX(Eingabe!$G$9:$G$18,I1254))*100,3000)+J1254,IF((INDEX(Eingabe!$G$9:$G$18,I1254)+1)&lt;=9,1000+(INDEX(Eingabe!$G$9:$G$18,I1254)+1)*100,3000)+J1254-100),IF(J1254=K1254+1,2000+INDEX(Eingabe!$G$9:$G$18,I1254)*10+1,IF(J1254=K1254+2,2000+INDEX(Eingabe!$G$9:$G$18,I1254)*10+2,2000+INDEX(Eingabe!$G$9:$G$18,I1254)*10+9))),""))</f>
        <v/>
      </c>
      <c r="C1254" s="0" t="str">
        <f aca="false">IF(I1254="","",IF(AND(J1254&gt;=1,J1254&lt;=K1254+3),"10."&amp;INDEX(Eingabe!$D$9:$D$18,I1254)&amp;"."&amp;IF(J1254&lt;=K1254,J1254,IF(J1254=K1254+1,200,IF(J1254=K1254+2,201,250)))&amp;".0/24",""))</f>
        <v/>
      </c>
      <c r="D1254" s="0" t="str">
        <f aca="false">IF(I1254="","",IF(AND(J1254&gt;=1,J1254&lt;=K1254+3),"255.255.255.0",""))</f>
        <v/>
      </c>
      <c r="E1254" s="0" t="str">
        <f aca="false">IF(I1254="","",IF(AND(J1254&gt;=1,J1254&lt;=K1254+3),"10."&amp;INDEX(Eingabe!$D$9:$D$18,I1254)&amp;"."&amp;IF(J1254&lt;=K1254,J1254,IF(J1254=K1254+1,200,IF(J1254=K1254+2,201,250)))&amp;".1",""))</f>
        <v/>
      </c>
      <c r="F1254" s="0" t="str">
        <f aca="false">IF(I1254="","",IF(AND(J1254&gt;=1,J1254&lt;=K1254+3),"10."&amp;INDEX(Eingabe!$D$9:$D$18,I1254)&amp;"."&amp;IF(J1254&lt;=K1254,J1254,IF(J1254=K1254+1,200,IF(J1254=K1254+2,201,250)))&amp;".10 – 10."&amp;INDEX(Eingabe!$D$9:$D$18,I1254)&amp;"."&amp;IF(J1254&lt;=K1254,J1254,IF(J1254=K1254+1,200,IF(J1254=K1254+2,201,250)))&amp;".250",""))</f>
        <v/>
      </c>
      <c r="G1254" s="0" t="str">
        <f aca="false">IF(I1254="","",IF(AND(J1254&gt;=1,J1254&lt;=K1254),Eingabe!$B$6&amp;"-"&amp;INDEX(Eingabe!$C$9:$C$18,I1254)&amp;"-Pächter  ·  Passwort Parzelle "&amp;J1254,IF(J1254=K1254+1,Eingabe!$B$6&amp;"-"&amp;INDEX(Eingabe!$C$9:$C$18,I1254)&amp;"-Vorstand  ·  eigenes WLAN",IF(J1254=K1254+2,Eingabe!$B$6&amp;"-"&amp;INDEX(Eingabe!$C$9:$C$18,I1254)&amp;"-Gäste  ·  Voucher",IF(J1254=K1254+3,"Kabel  ·  Access Point y = .(50+y), Mast-Switch x = .(10+x)","")))))</f>
        <v/>
      </c>
      <c r="I1254" s="0" t="str">
        <f aca="false">IF(1249&lt;=(Eingabe!$P$18+Eingabe!$Q$18-1),MATCH(1249,Eingabe!$P$9:$P$18,1),"")</f>
        <v/>
      </c>
      <c r="J1254" s="0" t="str">
        <f aca="false">IF(I1254="","",1249-INDEX(Eingabe!$P$9:$P$18,I1254))</f>
        <v/>
      </c>
      <c r="K1254" s="0" t="str">
        <f aca="false">IF(I1254="","",INDEX(Eingabe!$E$9:$E$18,I1254))</f>
        <v/>
      </c>
    </row>
    <row r="1255" customFormat="false" ht="15" hidden="false" customHeight="false" outlineLevel="0" collapsed="false">
      <c r="A1255" s="0" t="str">
        <f aca="false">IF(I1255="","",IF(J1255=0,"Sparte "&amp;I1255&amp;": "&amp;INDEX(Eingabe!$B$9:$B$18,I1255)&amp;"  (Sparten-ID "&amp;INDEX(Eingabe!$D$9:$D$18,I1255)&amp;", "&amp;K1255&amp;" Parzellen)",IF(J1255&lt;=K1255,"   Parzelle "&amp;J1255,IF(J1255=K1255+1,"   Vorstand",IF(J1255=K1255+2,"   Gäste",IF(J1255=K1255+3,"   Technik (Switches, Access Points)",""))))))</f>
        <v/>
      </c>
      <c r="B1255" s="0" t="str">
        <f aca="false">IF(I1255="","",IF(AND(J1255&gt;=1,J1255&lt;=K1255+3),IF(J1255&lt;=K1255,IF(J1255&lt;=99,IF((INDEX(Eingabe!$G$9:$G$18,I1255))&lt;=9,1000+(INDEX(Eingabe!$G$9:$G$18,I1255))*100,3000)+J1255,IF((INDEX(Eingabe!$G$9:$G$18,I1255)+1)&lt;=9,1000+(INDEX(Eingabe!$G$9:$G$18,I1255)+1)*100,3000)+J1255-100),IF(J1255=K1255+1,2000+INDEX(Eingabe!$G$9:$G$18,I1255)*10+1,IF(J1255=K1255+2,2000+INDEX(Eingabe!$G$9:$G$18,I1255)*10+2,2000+INDEX(Eingabe!$G$9:$G$18,I1255)*10+9))),""))</f>
        <v/>
      </c>
      <c r="C1255" s="0" t="str">
        <f aca="false">IF(I1255="","",IF(AND(J1255&gt;=1,J1255&lt;=K1255+3),"10."&amp;INDEX(Eingabe!$D$9:$D$18,I1255)&amp;"."&amp;IF(J1255&lt;=K1255,J1255,IF(J1255=K1255+1,200,IF(J1255=K1255+2,201,250)))&amp;".0/24",""))</f>
        <v/>
      </c>
      <c r="D1255" s="0" t="str">
        <f aca="false">IF(I1255="","",IF(AND(J1255&gt;=1,J1255&lt;=K1255+3),"255.255.255.0",""))</f>
        <v/>
      </c>
      <c r="E1255" s="0" t="str">
        <f aca="false">IF(I1255="","",IF(AND(J1255&gt;=1,J1255&lt;=K1255+3),"10."&amp;INDEX(Eingabe!$D$9:$D$18,I1255)&amp;"."&amp;IF(J1255&lt;=K1255,J1255,IF(J1255=K1255+1,200,IF(J1255=K1255+2,201,250)))&amp;".1",""))</f>
        <v/>
      </c>
      <c r="F1255" s="0" t="str">
        <f aca="false">IF(I1255="","",IF(AND(J1255&gt;=1,J1255&lt;=K1255+3),"10."&amp;INDEX(Eingabe!$D$9:$D$18,I1255)&amp;"."&amp;IF(J1255&lt;=K1255,J1255,IF(J1255=K1255+1,200,IF(J1255=K1255+2,201,250)))&amp;".10 – 10."&amp;INDEX(Eingabe!$D$9:$D$18,I1255)&amp;"."&amp;IF(J1255&lt;=K1255,J1255,IF(J1255=K1255+1,200,IF(J1255=K1255+2,201,250)))&amp;".250",""))</f>
        <v/>
      </c>
      <c r="G1255" s="0" t="str">
        <f aca="false">IF(I1255="","",IF(AND(J1255&gt;=1,J1255&lt;=K1255),Eingabe!$B$6&amp;"-"&amp;INDEX(Eingabe!$C$9:$C$18,I1255)&amp;"-Pächter  ·  Passwort Parzelle "&amp;J1255,IF(J1255=K1255+1,Eingabe!$B$6&amp;"-"&amp;INDEX(Eingabe!$C$9:$C$18,I1255)&amp;"-Vorstand  ·  eigenes WLAN",IF(J1255=K1255+2,Eingabe!$B$6&amp;"-"&amp;INDEX(Eingabe!$C$9:$C$18,I1255)&amp;"-Gäste  ·  Voucher",IF(J1255=K1255+3,"Kabel  ·  Access Point y = .(50+y), Mast-Switch x = .(10+x)","")))))</f>
        <v/>
      </c>
      <c r="I1255" s="0" t="str">
        <f aca="false">IF(1250&lt;=(Eingabe!$P$18+Eingabe!$Q$18-1),MATCH(1250,Eingabe!$P$9:$P$18,1),"")</f>
        <v/>
      </c>
      <c r="J1255" s="0" t="str">
        <f aca="false">IF(I1255="","",1250-INDEX(Eingabe!$P$9:$P$18,I1255))</f>
        <v/>
      </c>
      <c r="K1255" s="0" t="str">
        <f aca="false">IF(I1255="","",INDEX(Eingabe!$E$9:$E$18,I1255))</f>
        <v/>
      </c>
    </row>
    <row r="1256" customFormat="false" ht="15" hidden="false" customHeight="false" outlineLevel="0" collapsed="false">
      <c r="A1256" s="0" t="str">
        <f aca="false">IF(I1256="","",IF(J1256=0,"Sparte "&amp;I1256&amp;": "&amp;INDEX(Eingabe!$B$9:$B$18,I1256)&amp;"  (Sparten-ID "&amp;INDEX(Eingabe!$D$9:$D$18,I1256)&amp;", "&amp;K1256&amp;" Parzellen)",IF(J1256&lt;=K1256,"   Parzelle "&amp;J1256,IF(J1256=K1256+1,"   Vorstand",IF(J1256=K1256+2,"   Gäste",IF(J1256=K1256+3,"   Technik (Switches, Access Points)",""))))))</f>
        <v/>
      </c>
      <c r="B1256" s="0" t="str">
        <f aca="false">IF(I1256="","",IF(AND(J1256&gt;=1,J1256&lt;=K1256+3),IF(J1256&lt;=K1256,IF(J1256&lt;=99,IF((INDEX(Eingabe!$G$9:$G$18,I1256))&lt;=9,1000+(INDEX(Eingabe!$G$9:$G$18,I1256))*100,3000)+J1256,IF((INDEX(Eingabe!$G$9:$G$18,I1256)+1)&lt;=9,1000+(INDEX(Eingabe!$G$9:$G$18,I1256)+1)*100,3000)+J1256-100),IF(J1256=K1256+1,2000+INDEX(Eingabe!$G$9:$G$18,I1256)*10+1,IF(J1256=K1256+2,2000+INDEX(Eingabe!$G$9:$G$18,I1256)*10+2,2000+INDEX(Eingabe!$G$9:$G$18,I1256)*10+9))),""))</f>
        <v/>
      </c>
      <c r="C1256" s="0" t="str">
        <f aca="false">IF(I1256="","",IF(AND(J1256&gt;=1,J1256&lt;=K1256+3),"10."&amp;INDEX(Eingabe!$D$9:$D$18,I1256)&amp;"."&amp;IF(J1256&lt;=K1256,J1256,IF(J1256=K1256+1,200,IF(J1256=K1256+2,201,250)))&amp;".0/24",""))</f>
        <v/>
      </c>
      <c r="D1256" s="0" t="str">
        <f aca="false">IF(I1256="","",IF(AND(J1256&gt;=1,J1256&lt;=K1256+3),"255.255.255.0",""))</f>
        <v/>
      </c>
      <c r="E1256" s="0" t="str">
        <f aca="false">IF(I1256="","",IF(AND(J1256&gt;=1,J1256&lt;=K1256+3),"10."&amp;INDEX(Eingabe!$D$9:$D$18,I1256)&amp;"."&amp;IF(J1256&lt;=K1256,J1256,IF(J1256=K1256+1,200,IF(J1256=K1256+2,201,250)))&amp;".1",""))</f>
        <v/>
      </c>
      <c r="F1256" s="0" t="str">
        <f aca="false">IF(I1256="","",IF(AND(J1256&gt;=1,J1256&lt;=K1256+3),"10."&amp;INDEX(Eingabe!$D$9:$D$18,I1256)&amp;"."&amp;IF(J1256&lt;=K1256,J1256,IF(J1256=K1256+1,200,IF(J1256=K1256+2,201,250)))&amp;".10 – 10."&amp;INDEX(Eingabe!$D$9:$D$18,I1256)&amp;"."&amp;IF(J1256&lt;=K1256,J1256,IF(J1256=K1256+1,200,IF(J1256=K1256+2,201,250)))&amp;".250",""))</f>
        <v/>
      </c>
      <c r="G1256" s="0" t="str">
        <f aca="false">IF(I1256="","",IF(AND(J1256&gt;=1,J1256&lt;=K1256),Eingabe!$B$6&amp;"-"&amp;INDEX(Eingabe!$C$9:$C$18,I1256)&amp;"-Pächter  ·  Passwort Parzelle "&amp;J1256,IF(J1256=K1256+1,Eingabe!$B$6&amp;"-"&amp;INDEX(Eingabe!$C$9:$C$18,I1256)&amp;"-Vorstand  ·  eigenes WLAN",IF(J1256=K1256+2,Eingabe!$B$6&amp;"-"&amp;INDEX(Eingabe!$C$9:$C$18,I1256)&amp;"-Gäste  ·  Voucher",IF(J1256=K1256+3,"Kabel  ·  Access Point y = .(50+y), Mast-Switch x = .(10+x)","")))))</f>
        <v/>
      </c>
      <c r="I1256" s="0" t="str">
        <f aca="false">IF(1251&lt;=(Eingabe!$P$18+Eingabe!$Q$18-1),MATCH(1251,Eingabe!$P$9:$P$18,1),"")</f>
        <v/>
      </c>
      <c r="J1256" s="0" t="str">
        <f aca="false">IF(I1256="","",1251-INDEX(Eingabe!$P$9:$P$18,I1256))</f>
        <v/>
      </c>
      <c r="K1256" s="0" t="str">
        <f aca="false">IF(I1256="","",INDEX(Eingabe!$E$9:$E$18,I1256))</f>
        <v/>
      </c>
    </row>
    <row r="1257" customFormat="false" ht="15" hidden="false" customHeight="false" outlineLevel="0" collapsed="false">
      <c r="A1257" s="0" t="str">
        <f aca="false">IF(I1257="","",IF(J1257=0,"Sparte "&amp;I1257&amp;": "&amp;INDEX(Eingabe!$B$9:$B$18,I1257)&amp;"  (Sparten-ID "&amp;INDEX(Eingabe!$D$9:$D$18,I1257)&amp;", "&amp;K1257&amp;" Parzellen)",IF(J1257&lt;=K1257,"   Parzelle "&amp;J1257,IF(J1257=K1257+1,"   Vorstand",IF(J1257=K1257+2,"   Gäste",IF(J1257=K1257+3,"   Technik (Switches, Access Points)",""))))))</f>
        <v/>
      </c>
      <c r="B1257" s="0" t="str">
        <f aca="false">IF(I1257="","",IF(AND(J1257&gt;=1,J1257&lt;=K1257+3),IF(J1257&lt;=K1257,IF(J1257&lt;=99,IF((INDEX(Eingabe!$G$9:$G$18,I1257))&lt;=9,1000+(INDEX(Eingabe!$G$9:$G$18,I1257))*100,3000)+J1257,IF((INDEX(Eingabe!$G$9:$G$18,I1257)+1)&lt;=9,1000+(INDEX(Eingabe!$G$9:$G$18,I1257)+1)*100,3000)+J1257-100),IF(J1257=K1257+1,2000+INDEX(Eingabe!$G$9:$G$18,I1257)*10+1,IF(J1257=K1257+2,2000+INDEX(Eingabe!$G$9:$G$18,I1257)*10+2,2000+INDEX(Eingabe!$G$9:$G$18,I1257)*10+9))),""))</f>
        <v/>
      </c>
      <c r="C1257" s="0" t="str">
        <f aca="false">IF(I1257="","",IF(AND(J1257&gt;=1,J1257&lt;=K1257+3),"10."&amp;INDEX(Eingabe!$D$9:$D$18,I1257)&amp;"."&amp;IF(J1257&lt;=K1257,J1257,IF(J1257=K1257+1,200,IF(J1257=K1257+2,201,250)))&amp;".0/24",""))</f>
        <v/>
      </c>
      <c r="D1257" s="0" t="str">
        <f aca="false">IF(I1257="","",IF(AND(J1257&gt;=1,J1257&lt;=K1257+3),"255.255.255.0",""))</f>
        <v/>
      </c>
      <c r="E1257" s="0" t="str">
        <f aca="false">IF(I1257="","",IF(AND(J1257&gt;=1,J1257&lt;=K1257+3),"10."&amp;INDEX(Eingabe!$D$9:$D$18,I1257)&amp;"."&amp;IF(J1257&lt;=K1257,J1257,IF(J1257=K1257+1,200,IF(J1257=K1257+2,201,250)))&amp;".1",""))</f>
        <v/>
      </c>
      <c r="F1257" s="0" t="str">
        <f aca="false">IF(I1257="","",IF(AND(J1257&gt;=1,J1257&lt;=K1257+3),"10."&amp;INDEX(Eingabe!$D$9:$D$18,I1257)&amp;"."&amp;IF(J1257&lt;=K1257,J1257,IF(J1257=K1257+1,200,IF(J1257=K1257+2,201,250)))&amp;".10 – 10."&amp;INDEX(Eingabe!$D$9:$D$18,I1257)&amp;"."&amp;IF(J1257&lt;=K1257,J1257,IF(J1257=K1257+1,200,IF(J1257=K1257+2,201,250)))&amp;".250",""))</f>
        <v/>
      </c>
      <c r="G1257" s="0" t="str">
        <f aca="false">IF(I1257="","",IF(AND(J1257&gt;=1,J1257&lt;=K1257),Eingabe!$B$6&amp;"-"&amp;INDEX(Eingabe!$C$9:$C$18,I1257)&amp;"-Pächter  ·  Passwort Parzelle "&amp;J1257,IF(J1257=K1257+1,Eingabe!$B$6&amp;"-"&amp;INDEX(Eingabe!$C$9:$C$18,I1257)&amp;"-Vorstand  ·  eigenes WLAN",IF(J1257=K1257+2,Eingabe!$B$6&amp;"-"&amp;INDEX(Eingabe!$C$9:$C$18,I1257)&amp;"-Gäste  ·  Voucher",IF(J1257=K1257+3,"Kabel  ·  Access Point y = .(50+y), Mast-Switch x = .(10+x)","")))))</f>
        <v/>
      </c>
      <c r="I1257" s="0" t="str">
        <f aca="false">IF(1252&lt;=(Eingabe!$P$18+Eingabe!$Q$18-1),MATCH(1252,Eingabe!$P$9:$P$18,1),"")</f>
        <v/>
      </c>
      <c r="J1257" s="0" t="str">
        <f aca="false">IF(I1257="","",1252-INDEX(Eingabe!$P$9:$P$18,I1257))</f>
        <v/>
      </c>
      <c r="K1257" s="0" t="str">
        <f aca="false">IF(I1257="","",INDEX(Eingabe!$E$9:$E$18,I1257))</f>
        <v/>
      </c>
    </row>
    <row r="1258" customFormat="false" ht="15" hidden="false" customHeight="false" outlineLevel="0" collapsed="false">
      <c r="A1258" s="0" t="str">
        <f aca="false">IF(I1258="","",IF(J1258=0,"Sparte "&amp;I1258&amp;": "&amp;INDEX(Eingabe!$B$9:$B$18,I1258)&amp;"  (Sparten-ID "&amp;INDEX(Eingabe!$D$9:$D$18,I1258)&amp;", "&amp;K1258&amp;" Parzellen)",IF(J1258&lt;=K1258,"   Parzelle "&amp;J1258,IF(J1258=K1258+1,"   Vorstand",IF(J1258=K1258+2,"   Gäste",IF(J1258=K1258+3,"   Technik (Switches, Access Points)",""))))))</f>
        <v/>
      </c>
      <c r="B1258" s="0" t="str">
        <f aca="false">IF(I1258="","",IF(AND(J1258&gt;=1,J1258&lt;=K1258+3),IF(J1258&lt;=K1258,IF(J1258&lt;=99,IF((INDEX(Eingabe!$G$9:$G$18,I1258))&lt;=9,1000+(INDEX(Eingabe!$G$9:$G$18,I1258))*100,3000)+J1258,IF((INDEX(Eingabe!$G$9:$G$18,I1258)+1)&lt;=9,1000+(INDEX(Eingabe!$G$9:$G$18,I1258)+1)*100,3000)+J1258-100),IF(J1258=K1258+1,2000+INDEX(Eingabe!$G$9:$G$18,I1258)*10+1,IF(J1258=K1258+2,2000+INDEX(Eingabe!$G$9:$G$18,I1258)*10+2,2000+INDEX(Eingabe!$G$9:$G$18,I1258)*10+9))),""))</f>
        <v/>
      </c>
      <c r="C1258" s="0" t="str">
        <f aca="false">IF(I1258="","",IF(AND(J1258&gt;=1,J1258&lt;=K1258+3),"10."&amp;INDEX(Eingabe!$D$9:$D$18,I1258)&amp;"."&amp;IF(J1258&lt;=K1258,J1258,IF(J1258=K1258+1,200,IF(J1258=K1258+2,201,250)))&amp;".0/24",""))</f>
        <v/>
      </c>
      <c r="D1258" s="0" t="str">
        <f aca="false">IF(I1258="","",IF(AND(J1258&gt;=1,J1258&lt;=K1258+3),"255.255.255.0",""))</f>
        <v/>
      </c>
      <c r="E1258" s="0" t="str">
        <f aca="false">IF(I1258="","",IF(AND(J1258&gt;=1,J1258&lt;=K1258+3),"10."&amp;INDEX(Eingabe!$D$9:$D$18,I1258)&amp;"."&amp;IF(J1258&lt;=K1258,J1258,IF(J1258=K1258+1,200,IF(J1258=K1258+2,201,250)))&amp;".1",""))</f>
        <v/>
      </c>
      <c r="F1258" s="0" t="str">
        <f aca="false">IF(I1258="","",IF(AND(J1258&gt;=1,J1258&lt;=K1258+3),"10."&amp;INDEX(Eingabe!$D$9:$D$18,I1258)&amp;"."&amp;IF(J1258&lt;=K1258,J1258,IF(J1258=K1258+1,200,IF(J1258=K1258+2,201,250)))&amp;".10 – 10."&amp;INDEX(Eingabe!$D$9:$D$18,I1258)&amp;"."&amp;IF(J1258&lt;=K1258,J1258,IF(J1258=K1258+1,200,IF(J1258=K1258+2,201,250)))&amp;".250",""))</f>
        <v/>
      </c>
      <c r="G1258" s="0" t="str">
        <f aca="false">IF(I1258="","",IF(AND(J1258&gt;=1,J1258&lt;=K1258),Eingabe!$B$6&amp;"-"&amp;INDEX(Eingabe!$C$9:$C$18,I1258)&amp;"-Pächter  ·  Passwort Parzelle "&amp;J1258,IF(J1258=K1258+1,Eingabe!$B$6&amp;"-"&amp;INDEX(Eingabe!$C$9:$C$18,I1258)&amp;"-Vorstand  ·  eigenes WLAN",IF(J1258=K1258+2,Eingabe!$B$6&amp;"-"&amp;INDEX(Eingabe!$C$9:$C$18,I1258)&amp;"-Gäste  ·  Voucher",IF(J1258=K1258+3,"Kabel  ·  Access Point y = .(50+y), Mast-Switch x = .(10+x)","")))))</f>
        <v/>
      </c>
      <c r="I1258" s="0" t="str">
        <f aca="false">IF(1253&lt;=(Eingabe!$P$18+Eingabe!$Q$18-1),MATCH(1253,Eingabe!$P$9:$P$18,1),"")</f>
        <v/>
      </c>
      <c r="J1258" s="0" t="str">
        <f aca="false">IF(I1258="","",1253-INDEX(Eingabe!$P$9:$P$18,I1258))</f>
        <v/>
      </c>
      <c r="K1258" s="0" t="str">
        <f aca="false">IF(I1258="","",INDEX(Eingabe!$E$9:$E$18,I1258))</f>
        <v/>
      </c>
    </row>
    <row r="1259" customFormat="false" ht="15" hidden="false" customHeight="false" outlineLevel="0" collapsed="false">
      <c r="A1259" s="0" t="str">
        <f aca="false">IF(I1259="","",IF(J1259=0,"Sparte "&amp;I1259&amp;": "&amp;INDEX(Eingabe!$B$9:$B$18,I1259)&amp;"  (Sparten-ID "&amp;INDEX(Eingabe!$D$9:$D$18,I1259)&amp;", "&amp;K1259&amp;" Parzellen)",IF(J1259&lt;=K1259,"   Parzelle "&amp;J1259,IF(J1259=K1259+1,"   Vorstand",IF(J1259=K1259+2,"   Gäste",IF(J1259=K1259+3,"   Technik (Switches, Access Points)",""))))))</f>
        <v/>
      </c>
      <c r="B1259" s="0" t="str">
        <f aca="false">IF(I1259="","",IF(AND(J1259&gt;=1,J1259&lt;=K1259+3),IF(J1259&lt;=K1259,IF(J1259&lt;=99,IF((INDEX(Eingabe!$G$9:$G$18,I1259))&lt;=9,1000+(INDEX(Eingabe!$G$9:$G$18,I1259))*100,3000)+J1259,IF((INDEX(Eingabe!$G$9:$G$18,I1259)+1)&lt;=9,1000+(INDEX(Eingabe!$G$9:$G$18,I1259)+1)*100,3000)+J1259-100),IF(J1259=K1259+1,2000+INDEX(Eingabe!$G$9:$G$18,I1259)*10+1,IF(J1259=K1259+2,2000+INDEX(Eingabe!$G$9:$G$18,I1259)*10+2,2000+INDEX(Eingabe!$G$9:$G$18,I1259)*10+9))),""))</f>
        <v/>
      </c>
      <c r="C1259" s="0" t="str">
        <f aca="false">IF(I1259="","",IF(AND(J1259&gt;=1,J1259&lt;=K1259+3),"10."&amp;INDEX(Eingabe!$D$9:$D$18,I1259)&amp;"."&amp;IF(J1259&lt;=K1259,J1259,IF(J1259=K1259+1,200,IF(J1259=K1259+2,201,250)))&amp;".0/24",""))</f>
        <v/>
      </c>
      <c r="D1259" s="0" t="str">
        <f aca="false">IF(I1259="","",IF(AND(J1259&gt;=1,J1259&lt;=K1259+3),"255.255.255.0",""))</f>
        <v/>
      </c>
      <c r="E1259" s="0" t="str">
        <f aca="false">IF(I1259="","",IF(AND(J1259&gt;=1,J1259&lt;=K1259+3),"10."&amp;INDEX(Eingabe!$D$9:$D$18,I1259)&amp;"."&amp;IF(J1259&lt;=K1259,J1259,IF(J1259=K1259+1,200,IF(J1259=K1259+2,201,250)))&amp;".1",""))</f>
        <v/>
      </c>
      <c r="F1259" s="0" t="str">
        <f aca="false">IF(I1259="","",IF(AND(J1259&gt;=1,J1259&lt;=K1259+3),"10."&amp;INDEX(Eingabe!$D$9:$D$18,I1259)&amp;"."&amp;IF(J1259&lt;=K1259,J1259,IF(J1259=K1259+1,200,IF(J1259=K1259+2,201,250)))&amp;".10 – 10."&amp;INDEX(Eingabe!$D$9:$D$18,I1259)&amp;"."&amp;IF(J1259&lt;=K1259,J1259,IF(J1259=K1259+1,200,IF(J1259=K1259+2,201,250)))&amp;".250",""))</f>
        <v/>
      </c>
      <c r="G1259" s="0" t="str">
        <f aca="false">IF(I1259="","",IF(AND(J1259&gt;=1,J1259&lt;=K1259),Eingabe!$B$6&amp;"-"&amp;INDEX(Eingabe!$C$9:$C$18,I1259)&amp;"-Pächter  ·  Passwort Parzelle "&amp;J1259,IF(J1259=K1259+1,Eingabe!$B$6&amp;"-"&amp;INDEX(Eingabe!$C$9:$C$18,I1259)&amp;"-Vorstand  ·  eigenes WLAN",IF(J1259=K1259+2,Eingabe!$B$6&amp;"-"&amp;INDEX(Eingabe!$C$9:$C$18,I1259)&amp;"-Gäste  ·  Voucher",IF(J1259=K1259+3,"Kabel  ·  Access Point y = .(50+y), Mast-Switch x = .(10+x)","")))))</f>
        <v/>
      </c>
      <c r="I1259" s="0" t="str">
        <f aca="false">IF(1254&lt;=(Eingabe!$P$18+Eingabe!$Q$18-1),MATCH(1254,Eingabe!$P$9:$P$18,1),"")</f>
        <v/>
      </c>
      <c r="J1259" s="0" t="str">
        <f aca="false">IF(I1259="","",1254-INDEX(Eingabe!$P$9:$P$18,I1259))</f>
        <v/>
      </c>
      <c r="K1259" s="0" t="str">
        <f aca="false">IF(I1259="","",INDEX(Eingabe!$E$9:$E$18,I1259))</f>
        <v/>
      </c>
    </row>
    <row r="1260" customFormat="false" ht="15" hidden="false" customHeight="false" outlineLevel="0" collapsed="false">
      <c r="A1260" s="0" t="str">
        <f aca="false">IF(I1260="","",IF(J1260=0,"Sparte "&amp;I1260&amp;": "&amp;INDEX(Eingabe!$B$9:$B$18,I1260)&amp;"  (Sparten-ID "&amp;INDEX(Eingabe!$D$9:$D$18,I1260)&amp;", "&amp;K1260&amp;" Parzellen)",IF(J1260&lt;=K1260,"   Parzelle "&amp;J1260,IF(J1260=K1260+1,"   Vorstand",IF(J1260=K1260+2,"   Gäste",IF(J1260=K1260+3,"   Technik (Switches, Access Points)",""))))))</f>
        <v/>
      </c>
      <c r="B1260" s="0" t="str">
        <f aca="false">IF(I1260="","",IF(AND(J1260&gt;=1,J1260&lt;=K1260+3),IF(J1260&lt;=K1260,IF(J1260&lt;=99,IF((INDEX(Eingabe!$G$9:$G$18,I1260))&lt;=9,1000+(INDEX(Eingabe!$G$9:$G$18,I1260))*100,3000)+J1260,IF((INDEX(Eingabe!$G$9:$G$18,I1260)+1)&lt;=9,1000+(INDEX(Eingabe!$G$9:$G$18,I1260)+1)*100,3000)+J1260-100),IF(J1260=K1260+1,2000+INDEX(Eingabe!$G$9:$G$18,I1260)*10+1,IF(J1260=K1260+2,2000+INDEX(Eingabe!$G$9:$G$18,I1260)*10+2,2000+INDEX(Eingabe!$G$9:$G$18,I1260)*10+9))),""))</f>
        <v/>
      </c>
      <c r="C1260" s="0" t="str">
        <f aca="false">IF(I1260="","",IF(AND(J1260&gt;=1,J1260&lt;=K1260+3),"10."&amp;INDEX(Eingabe!$D$9:$D$18,I1260)&amp;"."&amp;IF(J1260&lt;=K1260,J1260,IF(J1260=K1260+1,200,IF(J1260=K1260+2,201,250)))&amp;".0/24",""))</f>
        <v/>
      </c>
      <c r="D1260" s="0" t="str">
        <f aca="false">IF(I1260="","",IF(AND(J1260&gt;=1,J1260&lt;=K1260+3),"255.255.255.0",""))</f>
        <v/>
      </c>
      <c r="E1260" s="0" t="str">
        <f aca="false">IF(I1260="","",IF(AND(J1260&gt;=1,J1260&lt;=K1260+3),"10."&amp;INDEX(Eingabe!$D$9:$D$18,I1260)&amp;"."&amp;IF(J1260&lt;=K1260,J1260,IF(J1260=K1260+1,200,IF(J1260=K1260+2,201,250)))&amp;".1",""))</f>
        <v/>
      </c>
      <c r="F1260" s="0" t="str">
        <f aca="false">IF(I1260="","",IF(AND(J1260&gt;=1,J1260&lt;=K1260+3),"10."&amp;INDEX(Eingabe!$D$9:$D$18,I1260)&amp;"."&amp;IF(J1260&lt;=K1260,J1260,IF(J1260=K1260+1,200,IF(J1260=K1260+2,201,250)))&amp;".10 – 10."&amp;INDEX(Eingabe!$D$9:$D$18,I1260)&amp;"."&amp;IF(J1260&lt;=K1260,J1260,IF(J1260=K1260+1,200,IF(J1260=K1260+2,201,250)))&amp;".250",""))</f>
        <v/>
      </c>
      <c r="G1260" s="0" t="str">
        <f aca="false">IF(I1260="","",IF(AND(J1260&gt;=1,J1260&lt;=K1260),Eingabe!$B$6&amp;"-"&amp;INDEX(Eingabe!$C$9:$C$18,I1260)&amp;"-Pächter  ·  Passwort Parzelle "&amp;J1260,IF(J1260=K1260+1,Eingabe!$B$6&amp;"-"&amp;INDEX(Eingabe!$C$9:$C$18,I1260)&amp;"-Vorstand  ·  eigenes WLAN",IF(J1260=K1260+2,Eingabe!$B$6&amp;"-"&amp;INDEX(Eingabe!$C$9:$C$18,I1260)&amp;"-Gäste  ·  Voucher",IF(J1260=K1260+3,"Kabel  ·  Access Point y = .(50+y), Mast-Switch x = .(10+x)","")))))</f>
        <v/>
      </c>
      <c r="I1260" s="0" t="str">
        <f aca="false">IF(1255&lt;=(Eingabe!$P$18+Eingabe!$Q$18-1),MATCH(1255,Eingabe!$P$9:$P$18,1),"")</f>
        <v/>
      </c>
      <c r="J1260" s="0" t="str">
        <f aca="false">IF(I1260="","",1255-INDEX(Eingabe!$P$9:$P$18,I1260))</f>
        <v/>
      </c>
      <c r="K1260" s="0" t="str">
        <f aca="false">IF(I1260="","",INDEX(Eingabe!$E$9:$E$18,I1260))</f>
        <v/>
      </c>
    </row>
    <row r="1261" customFormat="false" ht="15" hidden="false" customHeight="false" outlineLevel="0" collapsed="false">
      <c r="A1261" s="0" t="str">
        <f aca="false">IF(I1261="","",IF(J1261=0,"Sparte "&amp;I1261&amp;": "&amp;INDEX(Eingabe!$B$9:$B$18,I1261)&amp;"  (Sparten-ID "&amp;INDEX(Eingabe!$D$9:$D$18,I1261)&amp;", "&amp;K1261&amp;" Parzellen)",IF(J1261&lt;=K1261,"   Parzelle "&amp;J1261,IF(J1261=K1261+1,"   Vorstand",IF(J1261=K1261+2,"   Gäste",IF(J1261=K1261+3,"   Technik (Switches, Access Points)",""))))))</f>
        <v/>
      </c>
      <c r="B1261" s="0" t="str">
        <f aca="false">IF(I1261="","",IF(AND(J1261&gt;=1,J1261&lt;=K1261+3),IF(J1261&lt;=K1261,IF(J1261&lt;=99,IF((INDEX(Eingabe!$G$9:$G$18,I1261))&lt;=9,1000+(INDEX(Eingabe!$G$9:$G$18,I1261))*100,3000)+J1261,IF((INDEX(Eingabe!$G$9:$G$18,I1261)+1)&lt;=9,1000+(INDEX(Eingabe!$G$9:$G$18,I1261)+1)*100,3000)+J1261-100),IF(J1261=K1261+1,2000+INDEX(Eingabe!$G$9:$G$18,I1261)*10+1,IF(J1261=K1261+2,2000+INDEX(Eingabe!$G$9:$G$18,I1261)*10+2,2000+INDEX(Eingabe!$G$9:$G$18,I1261)*10+9))),""))</f>
        <v/>
      </c>
      <c r="C1261" s="0" t="str">
        <f aca="false">IF(I1261="","",IF(AND(J1261&gt;=1,J1261&lt;=K1261+3),"10."&amp;INDEX(Eingabe!$D$9:$D$18,I1261)&amp;"."&amp;IF(J1261&lt;=K1261,J1261,IF(J1261=K1261+1,200,IF(J1261=K1261+2,201,250)))&amp;".0/24",""))</f>
        <v/>
      </c>
      <c r="D1261" s="0" t="str">
        <f aca="false">IF(I1261="","",IF(AND(J1261&gt;=1,J1261&lt;=K1261+3),"255.255.255.0",""))</f>
        <v/>
      </c>
      <c r="E1261" s="0" t="str">
        <f aca="false">IF(I1261="","",IF(AND(J1261&gt;=1,J1261&lt;=K1261+3),"10."&amp;INDEX(Eingabe!$D$9:$D$18,I1261)&amp;"."&amp;IF(J1261&lt;=K1261,J1261,IF(J1261=K1261+1,200,IF(J1261=K1261+2,201,250)))&amp;".1",""))</f>
        <v/>
      </c>
      <c r="F1261" s="0" t="str">
        <f aca="false">IF(I1261="","",IF(AND(J1261&gt;=1,J1261&lt;=K1261+3),"10."&amp;INDEX(Eingabe!$D$9:$D$18,I1261)&amp;"."&amp;IF(J1261&lt;=K1261,J1261,IF(J1261=K1261+1,200,IF(J1261=K1261+2,201,250)))&amp;".10 – 10."&amp;INDEX(Eingabe!$D$9:$D$18,I1261)&amp;"."&amp;IF(J1261&lt;=K1261,J1261,IF(J1261=K1261+1,200,IF(J1261=K1261+2,201,250)))&amp;".250",""))</f>
        <v/>
      </c>
      <c r="G1261" s="0" t="str">
        <f aca="false">IF(I1261="","",IF(AND(J1261&gt;=1,J1261&lt;=K1261),Eingabe!$B$6&amp;"-"&amp;INDEX(Eingabe!$C$9:$C$18,I1261)&amp;"-Pächter  ·  Passwort Parzelle "&amp;J1261,IF(J1261=K1261+1,Eingabe!$B$6&amp;"-"&amp;INDEX(Eingabe!$C$9:$C$18,I1261)&amp;"-Vorstand  ·  eigenes WLAN",IF(J1261=K1261+2,Eingabe!$B$6&amp;"-"&amp;INDEX(Eingabe!$C$9:$C$18,I1261)&amp;"-Gäste  ·  Voucher",IF(J1261=K1261+3,"Kabel  ·  Access Point y = .(50+y), Mast-Switch x = .(10+x)","")))))</f>
        <v/>
      </c>
      <c r="I1261" s="0" t="str">
        <f aca="false">IF(1256&lt;=(Eingabe!$P$18+Eingabe!$Q$18-1),MATCH(1256,Eingabe!$P$9:$P$18,1),"")</f>
        <v/>
      </c>
      <c r="J1261" s="0" t="str">
        <f aca="false">IF(I1261="","",1256-INDEX(Eingabe!$P$9:$P$18,I1261))</f>
        <v/>
      </c>
      <c r="K1261" s="0" t="str">
        <f aca="false">IF(I1261="","",INDEX(Eingabe!$E$9:$E$18,I1261))</f>
        <v/>
      </c>
    </row>
    <row r="1262" customFormat="false" ht="15" hidden="false" customHeight="false" outlineLevel="0" collapsed="false">
      <c r="A1262" s="0" t="str">
        <f aca="false">IF(I1262="","",IF(J1262=0,"Sparte "&amp;I1262&amp;": "&amp;INDEX(Eingabe!$B$9:$B$18,I1262)&amp;"  (Sparten-ID "&amp;INDEX(Eingabe!$D$9:$D$18,I1262)&amp;", "&amp;K1262&amp;" Parzellen)",IF(J1262&lt;=K1262,"   Parzelle "&amp;J1262,IF(J1262=K1262+1,"   Vorstand",IF(J1262=K1262+2,"   Gäste",IF(J1262=K1262+3,"   Technik (Switches, Access Points)",""))))))</f>
        <v/>
      </c>
      <c r="B1262" s="0" t="str">
        <f aca="false">IF(I1262="","",IF(AND(J1262&gt;=1,J1262&lt;=K1262+3),IF(J1262&lt;=K1262,IF(J1262&lt;=99,IF((INDEX(Eingabe!$G$9:$G$18,I1262))&lt;=9,1000+(INDEX(Eingabe!$G$9:$G$18,I1262))*100,3000)+J1262,IF((INDEX(Eingabe!$G$9:$G$18,I1262)+1)&lt;=9,1000+(INDEX(Eingabe!$G$9:$G$18,I1262)+1)*100,3000)+J1262-100),IF(J1262=K1262+1,2000+INDEX(Eingabe!$G$9:$G$18,I1262)*10+1,IF(J1262=K1262+2,2000+INDEX(Eingabe!$G$9:$G$18,I1262)*10+2,2000+INDEX(Eingabe!$G$9:$G$18,I1262)*10+9))),""))</f>
        <v/>
      </c>
      <c r="C1262" s="0" t="str">
        <f aca="false">IF(I1262="","",IF(AND(J1262&gt;=1,J1262&lt;=K1262+3),"10."&amp;INDEX(Eingabe!$D$9:$D$18,I1262)&amp;"."&amp;IF(J1262&lt;=K1262,J1262,IF(J1262=K1262+1,200,IF(J1262=K1262+2,201,250)))&amp;".0/24",""))</f>
        <v/>
      </c>
      <c r="D1262" s="0" t="str">
        <f aca="false">IF(I1262="","",IF(AND(J1262&gt;=1,J1262&lt;=K1262+3),"255.255.255.0",""))</f>
        <v/>
      </c>
      <c r="E1262" s="0" t="str">
        <f aca="false">IF(I1262="","",IF(AND(J1262&gt;=1,J1262&lt;=K1262+3),"10."&amp;INDEX(Eingabe!$D$9:$D$18,I1262)&amp;"."&amp;IF(J1262&lt;=K1262,J1262,IF(J1262=K1262+1,200,IF(J1262=K1262+2,201,250)))&amp;".1",""))</f>
        <v/>
      </c>
      <c r="F1262" s="0" t="str">
        <f aca="false">IF(I1262="","",IF(AND(J1262&gt;=1,J1262&lt;=K1262+3),"10."&amp;INDEX(Eingabe!$D$9:$D$18,I1262)&amp;"."&amp;IF(J1262&lt;=K1262,J1262,IF(J1262=K1262+1,200,IF(J1262=K1262+2,201,250)))&amp;".10 – 10."&amp;INDEX(Eingabe!$D$9:$D$18,I1262)&amp;"."&amp;IF(J1262&lt;=K1262,J1262,IF(J1262=K1262+1,200,IF(J1262=K1262+2,201,250)))&amp;".250",""))</f>
        <v/>
      </c>
      <c r="G1262" s="0" t="str">
        <f aca="false">IF(I1262="","",IF(AND(J1262&gt;=1,J1262&lt;=K1262),Eingabe!$B$6&amp;"-"&amp;INDEX(Eingabe!$C$9:$C$18,I1262)&amp;"-Pächter  ·  Passwort Parzelle "&amp;J1262,IF(J1262=K1262+1,Eingabe!$B$6&amp;"-"&amp;INDEX(Eingabe!$C$9:$C$18,I1262)&amp;"-Vorstand  ·  eigenes WLAN",IF(J1262=K1262+2,Eingabe!$B$6&amp;"-"&amp;INDEX(Eingabe!$C$9:$C$18,I1262)&amp;"-Gäste  ·  Voucher",IF(J1262=K1262+3,"Kabel  ·  Access Point y = .(50+y), Mast-Switch x = .(10+x)","")))))</f>
        <v/>
      </c>
      <c r="I1262" s="0" t="str">
        <f aca="false">IF(1257&lt;=(Eingabe!$P$18+Eingabe!$Q$18-1),MATCH(1257,Eingabe!$P$9:$P$18,1),"")</f>
        <v/>
      </c>
      <c r="J1262" s="0" t="str">
        <f aca="false">IF(I1262="","",1257-INDEX(Eingabe!$P$9:$P$18,I1262))</f>
        <v/>
      </c>
      <c r="K1262" s="0" t="str">
        <f aca="false">IF(I1262="","",INDEX(Eingabe!$E$9:$E$18,I1262))</f>
        <v/>
      </c>
    </row>
    <row r="1263" customFormat="false" ht="15" hidden="false" customHeight="false" outlineLevel="0" collapsed="false">
      <c r="A1263" s="0" t="str">
        <f aca="false">IF(I1263="","",IF(J1263=0,"Sparte "&amp;I1263&amp;": "&amp;INDEX(Eingabe!$B$9:$B$18,I1263)&amp;"  (Sparten-ID "&amp;INDEX(Eingabe!$D$9:$D$18,I1263)&amp;", "&amp;K1263&amp;" Parzellen)",IF(J1263&lt;=K1263,"   Parzelle "&amp;J1263,IF(J1263=K1263+1,"   Vorstand",IF(J1263=K1263+2,"   Gäste",IF(J1263=K1263+3,"   Technik (Switches, Access Points)",""))))))</f>
        <v/>
      </c>
      <c r="B1263" s="0" t="str">
        <f aca="false">IF(I1263="","",IF(AND(J1263&gt;=1,J1263&lt;=K1263+3),IF(J1263&lt;=K1263,IF(J1263&lt;=99,IF((INDEX(Eingabe!$G$9:$G$18,I1263))&lt;=9,1000+(INDEX(Eingabe!$G$9:$G$18,I1263))*100,3000)+J1263,IF((INDEX(Eingabe!$G$9:$G$18,I1263)+1)&lt;=9,1000+(INDEX(Eingabe!$G$9:$G$18,I1263)+1)*100,3000)+J1263-100),IF(J1263=K1263+1,2000+INDEX(Eingabe!$G$9:$G$18,I1263)*10+1,IF(J1263=K1263+2,2000+INDEX(Eingabe!$G$9:$G$18,I1263)*10+2,2000+INDEX(Eingabe!$G$9:$G$18,I1263)*10+9))),""))</f>
        <v/>
      </c>
      <c r="C1263" s="0" t="str">
        <f aca="false">IF(I1263="","",IF(AND(J1263&gt;=1,J1263&lt;=K1263+3),"10."&amp;INDEX(Eingabe!$D$9:$D$18,I1263)&amp;"."&amp;IF(J1263&lt;=K1263,J1263,IF(J1263=K1263+1,200,IF(J1263=K1263+2,201,250)))&amp;".0/24",""))</f>
        <v/>
      </c>
      <c r="D1263" s="0" t="str">
        <f aca="false">IF(I1263="","",IF(AND(J1263&gt;=1,J1263&lt;=K1263+3),"255.255.255.0",""))</f>
        <v/>
      </c>
      <c r="E1263" s="0" t="str">
        <f aca="false">IF(I1263="","",IF(AND(J1263&gt;=1,J1263&lt;=K1263+3),"10."&amp;INDEX(Eingabe!$D$9:$D$18,I1263)&amp;"."&amp;IF(J1263&lt;=K1263,J1263,IF(J1263=K1263+1,200,IF(J1263=K1263+2,201,250)))&amp;".1",""))</f>
        <v/>
      </c>
      <c r="F1263" s="0" t="str">
        <f aca="false">IF(I1263="","",IF(AND(J1263&gt;=1,J1263&lt;=K1263+3),"10."&amp;INDEX(Eingabe!$D$9:$D$18,I1263)&amp;"."&amp;IF(J1263&lt;=K1263,J1263,IF(J1263=K1263+1,200,IF(J1263=K1263+2,201,250)))&amp;".10 – 10."&amp;INDEX(Eingabe!$D$9:$D$18,I1263)&amp;"."&amp;IF(J1263&lt;=K1263,J1263,IF(J1263=K1263+1,200,IF(J1263=K1263+2,201,250)))&amp;".250",""))</f>
        <v/>
      </c>
      <c r="G1263" s="0" t="str">
        <f aca="false">IF(I1263="","",IF(AND(J1263&gt;=1,J1263&lt;=K1263),Eingabe!$B$6&amp;"-"&amp;INDEX(Eingabe!$C$9:$C$18,I1263)&amp;"-Pächter  ·  Passwort Parzelle "&amp;J1263,IF(J1263=K1263+1,Eingabe!$B$6&amp;"-"&amp;INDEX(Eingabe!$C$9:$C$18,I1263)&amp;"-Vorstand  ·  eigenes WLAN",IF(J1263=K1263+2,Eingabe!$B$6&amp;"-"&amp;INDEX(Eingabe!$C$9:$C$18,I1263)&amp;"-Gäste  ·  Voucher",IF(J1263=K1263+3,"Kabel  ·  Access Point y = .(50+y), Mast-Switch x = .(10+x)","")))))</f>
        <v/>
      </c>
      <c r="I1263" s="0" t="str">
        <f aca="false">IF(1258&lt;=(Eingabe!$P$18+Eingabe!$Q$18-1),MATCH(1258,Eingabe!$P$9:$P$18,1),"")</f>
        <v/>
      </c>
      <c r="J1263" s="0" t="str">
        <f aca="false">IF(I1263="","",1258-INDEX(Eingabe!$P$9:$P$18,I1263))</f>
        <v/>
      </c>
      <c r="K1263" s="0" t="str">
        <f aca="false">IF(I1263="","",INDEX(Eingabe!$E$9:$E$18,I1263))</f>
        <v/>
      </c>
    </row>
    <row r="1264" customFormat="false" ht="15" hidden="false" customHeight="false" outlineLevel="0" collapsed="false">
      <c r="A1264" s="0" t="str">
        <f aca="false">IF(I1264="","",IF(J1264=0,"Sparte "&amp;I1264&amp;": "&amp;INDEX(Eingabe!$B$9:$B$18,I1264)&amp;"  (Sparten-ID "&amp;INDEX(Eingabe!$D$9:$D$18,I1264)&amp;", "&amp;K1264&amp;" Parzellen)",IF(J1264&lt;=K1264,"   Parzelle "&amp;J1264,IF(J1264=K1264+1,"   Vorstand",IF(J1264=K1264+2,"   Gäste",IF(J1264=K1264+3,"   Technik (Switches, Access Points)",""))))))</f>
        <v/>
      </c>
      <c r="B1264" s="0" t="str">
        <f aca="false">IF(I1264="","",IF(AND(J1264&gt;=1,J1264&lt;=K1264+3),IF(J1264&lt;=K1264,IF(J1264&lt;=99,IF((INDEX(Eingabe!$G$9:$G$18,I1264))&lt;=9,1000+(INDEX(Eingabe!$G$9:$G$18,I1264))*100,3000)+J1264,IF((INDEX(Eingabe!$G$9:$G$18,I1264)+1)&lt;=9,1000+(INDEX(Eingabe!$G$9:$G$18,I1264)+1)*100,3000)+J1264-100),IF(J1264=K1264+1,2000+INDEX(Eingabe!$G$9:$G$18,I1264)*10+1,IF(J1264=K1264+2,2000+INDEX(Eingabe!$G$9:$G$18,I1264)*10+2,2000+INDEX(Eingabe!$G$9:$G$18,I1264)*10+9))),""))</f>
        <v/>
      </c>
      <c r="C1264" s="0" t="str">
        <f aca="false">IF(I1264="","",IF(AND(J1264&gt;=1,J1264&lt;=K1264+3),"10."&amp;INDEX(Eingabe!$D$9:$D$18,I1264)&amp;"."&amp;IF(J1264&lt;=K1264,J1264,IF(J1264=K1264+1,200,IF(J1264=K1264+2,201,250)))&amp;".0/24",""))</f>
        <v/>
      </c>
      <c r="D1264" s="0" t="str">
        <f aca="false">IF(I1264="","",IF(AND(J1264&gt;=1,J1264&lt;=K1264+3),"255.255.255.0",""))</f>
        <v/>
      </c>
      <c r="E1264" s="0" t="str">
        <f aca="false">IF(I1264="","",IF(AND(J1264&gt;=1,J1264&lt;=K1264+3),"10."&amp;INDEX(Eingabe!$D$9:$D$18,I1264)&amp;"."&amp;IF(J1264&lt;=K1264,J1264,IF(J1264=K1264+1,200,IF(J1264=K1264+2,201,250)))&amp;".1",""))</f>
        <v/>
      </c>
      <c r="F1264" s="0" t="str">
        <f aca="false">IF(I1264="","",IF(AND(J1264&gt;=1,J1264&lt;=K1264+3),"10."&amp;INDEX(Eingabe!$D$9:$D$18,I1264)&amp;"."&amp;IF(J1264&lt;=K1264,J1264,IF(J1264=K1264+1,200,IF(J1264=K1264+2,201,250)))&amp;".10 – 10."&amp;INDEX(Eingabe!$D$9:$D$18,I1264)&amp;"."&amp;IF(J1264&lt;=K1264,J1264,IF(J1264=K1264+1,200,IF(J1264=K1264+2,201,250)))&amp;".250",""))</f>
        <v/>
      </c>
      <c r="G1264" s="0" t="str">
        <f aca="false">IF(I1264="","",IF(AND(J1264&gt;=1,J1264&lt;=K1264),Eingabe!$B$6&amp;"-"&amp;INDEX(Eingabe!$C$9:$C$18,I1264)&amp;"-Pächter  ·  Passwort Parzelle "&amp;J1264,IF(J1264=K1264+1,Eingabe!$B$6&amp;"-"&amp;INDEX(Eingabe!$C$9:$C$18,I1264)&amp;"-Vorstand  ·  eigenes WLAN",IF(J1264=K1264+2,Eingabe!$B$6&amp;"-"&amp;INDEX(Eingabe!$C$9:$C$18,I1264)&amp;"-Gäste  ·  Voucher",IF(J1264=K1264+3,"Kabel  ·  Access Point y = .(50+y), Mast-Switch x = .(10+x)","")))))</f>
        <v/>
      </c>
      <c r="I1264" s="0" t="str">
        <f aca="false">IF(1259&lt;=(Eingabe!$P$18+Eingabe!$Q$18-1),MATCH(1259,Eingabe!$P$9:$P$18,1),"")</f>
        <v/>
      </c>
      <c r="J1264" s="0" t="str">
        <f aca="false">IF(I1264="","",1259-INDEX(Eingabe!$P$9:$P$18,I1264))</f>
        <v/>
      </c>
      <c r="K1264" s="0" t="str">
        <f aca="false">IF(I1264="","",INDEX(Eingabe!$E$9:$E$18,I1264))</f>
        <v/>
      </c>
    </row>
    <row r="1265" customFormat="false" ht="15" hidden="false" customHeight="false" outlineLevel="0" collapsed="false">
      <c r="A1265" s="0" t="str">
        <f aca="false">IF(I1265="","",IF(J1265=0,"Sparte "&amp;I1265&amp;": "&amp;INDEX(Eingabe!$B$9:$B$18,I1265)&amp;"  (Sparten-ID "&amp;INDEX(Eingabe!$D$9:$D$18,I1265)&amp;", "&amp;K1265&amp;" Parzellen)",IF(J1265&lt;=K1265,"   Parzelle "&amp;J1265,IF(J1265=K1265+1,"   Vorstand",IF(J1265=K1265+2,"   Gäste",IF(J1265=K1265+3,"   Technik (Switches, Access Points)",""))))))</f>
        <v/>
      </c>
      <c r="B1265" s="0" t="str">
        <f aca="false">IF(I1265="","",IF(AND(J1265&gt;=1,J1265&lt;=K1265+3),IF(J1265&lt;=K1265,IF(J1265&lt;=99,IF((INDEX(Eingabe!$G$9:$G$18,I1265))&lt;=9,1000+(INDEX(Eingabe!$G$9:$G$18,I1265))*100,3000)+J1265,IF((INDEX(Eingabe!$G$9:$G$18,I1265)+1)&lt;=9,1000+(INDEX(Eingabe!$G$9:$G$18,I1265)+1)*100,3000)+J1265-100),IF(J1265=K1265+1,2000+INDEX(Eingabe!$G$9:$G$18,I1265)*10+1,IF(J1265=K1265+2,2000+INDEX(Eingabe!$G$9:$G$18,I1265)*10+2,2000+INDEX(Eingabe!$G$9:$G$18,I1265)*10+9))),""))</f>
        <v/>
      </c>
      <c r="C1265" s="0" t="str">
        <f aca="false">IF(I1265="","",IF(AND(J1265&gt;=1,J1265&lt;=K1265+3),"10."&amp;INDEX(Eingabe!$D$9:$D$18,I1265)&amp;"."&amp;IF(J1265&lt;=K1265,J1265,IF(J1265=K1265+1,200,IF(J1265=K1265+2,201,250)))&amp;".0/24",""))</f>
        <v/>
      </c>
      <c r="D1265" s="0" t="str">
        <f aca="false">IF(I1265="","",IF(AND(J1265&gt;=1,J1265&lt;=K1265+3),"255.255.255.0",""))</f>
        <v/>
      </c>
      <c r="E1265" s="0" t="str">
        <f aca="false">IF(I1265="","",IF(AND(J1265&gt;=1,J1265&lt;=K1265+3),"10."&amp;INDEX(Eingabe!$D$9:$D$18,I1265)&amp;"."&amp;IF(J1265&lt;=K1265,J1265,IF(J1265=K1265+1,200,IF(J1265=K1265+2,201,250)))&amp;".1",""))</f>
        <v/>
      </c>
      <c r="F1265" s="0" t="str">
        <f aca="false">IF(I1265="","",IF(AND(J1265&gt;=1,J1265&lt;=K1265+3),"10."&amp;INDEX(Eingabe!$D$9:$D$18,I1265)&amp;"."&amp;IF(J1265&lt;=K1265,J1265,IF(J1265=K1265+1,200,IF(J1265=K1265+2,201,250)))&amp;".10 – 10."&amp;INDEX(Eingabe!$D$9:$D$18,I1265)&amp;"."&amp;IF(J1265&lt;=K1265,J1265,IF(J1265=K1265+1,200,IF(J1265=K1265+2,201,250)))&amp;".250",""))</f>
        <v/>
      </c>
      <c r="G1265" s="0" t="str">
        <f aca="false">IF(I1265="","",IF(AND(J1265&gt;=1,J1265&lt;=K1265),Eingabe!$B$6&amp;"-"&amp;INDEX(Eingabe!$C$9:$C$18,I1265)&amp;"-Pächter  ·  Passwort Parzelle "&amp;J1265,IF(J1265=K1265+1,Eingabe!$B$6&amp;"-"&amp;INDEX(Eingabe!$C$9:$C$18,I1265)&amp;"-Vorstand  ·  eigenes WLAN",IF(J1265=K1265+2,Eingabe!$B$6&amp;"-"&amp;INDEX(Eingabe!$C$9:$C$18,I1265)&amp;"-Gäste  ·  Voucher",IF(J1265=K1265+3,"Kabel  ·  Access Point y = .(50+y), Mast-Switch x = .(10+x)","")))))</f>
        <v/>
      </c>
      <c r="I1265" s="0" t="str">
        <f aca="false">IF(1260&lt;=(Eingabe!$P$18+Eingabe!$Q$18-1),MATCH(1260,Eingabe!$P$9:$P$18,1),"")</f>
        <v/>
      </c>
      <c r="J1265" s="0" t="str">
        <f aca="false">IF(I1265="","",1260-INDEX(Eingabe!$P$9:$P$18,I1265))</f>
        <v/>
      </c>
      <c r="K1265" s="0" t="str">
        <f aca="false">IF(I1265="","",INDEX(Eingabe!$E$9:$E$18,I1265))</f>
        <v/>
      </c>
    </row>
    <row r="1266" customFormat="false" ht="15" hidden="false" customHeight="false" outlineLevel="0" collapsed="false">
      <c r="A1266" s="0" t="str">
        <f aca="false">IF(I1266="","",IF(J1266=0,"Sparte "&amp;I1266&amp;": "&amp;INDEX(Eingabe!$B$9:$B$18,I1266)&amp;"  (Sparten-ID "&amp;INDEX(Eingabe!$D$9:$D$18,I1266)&amp;", "&amp;K1266&amp;" Parzellen)",IF(J1266&lt;=K1266,"   Parzelle "&amp;J1266,IF(J1266=K1266+1,"   Vorstand",IF(J1266=K1266+2,"   Gäste",IF(J1266=K1266+3,"   Technik (Switches, Access Points)",""))))))</f>
        <v/>
      </c>
      <c r="B1266" s="0" t="str">
        <f aca="false">IF(I1266="","",IF(AND(J1266&gt;=1,J1266&lt;=K1266+3),IF(J1266&lt;=K1266,IF(J1266&lt;=99,IF((INDEX(Eingabe!$G$9:$G$18,I1266))&lt;=9,1000+(INDEX(Eingabe!$G$9:$G$18,I1266))*100,3000)+J1266,IF((INDEX(Eingabe!$G$9:$G$18,I1266)+1)&lt;=9,1000+(INDEX(Eingabe!$G$9:$G$18,I1266)+1)*100,3000)+J1266-100),IF(J1266=K1266+1,2000+INDEX(Eingabe!$G$9:$G$18,I1266)*10+1,IF(J1266=K1266+2,2000+INDEX(Eingabe!$G$9:$G$18,I1266)*10+2,2000+INDEX(Eingabe!$G$9:$G$18,I1266)*10+9))),""))</f>
        <v/>
      </c>
      <c r="C1266" s="0" t="str">
        <f aca="false">IF(I1266="","",IF(AND(J1266&gt;=1,J1266&lt;=K1266+3),"10."&amp;INDEX(Eingabe!$D$9:$D$18,I1266)&amp;"."&amp;IF(J1266&lt;=K1266,J1266,IF(J1266=K1266+1,200,IF(J1266=K1266+2,201,250)))&amp;".0/24",""))</f>
        <v/>
      </c>
      <c r="D1266" s="0" t="str">
        <f aca="false">IF(I1266="","",IF(AND(J1266&gt;=1,J1266&lt;=K1266+3),"255.255.255.0",""))</f>
        <v/>
      </c>
      <c r="E1266" s="0" t="str">
        <f aca="false">IF(I1266="","",IF(AND(J1266&gt;=1,J1266&lt;=K1266+3),"10."&amp;INDEX(Eingabe!$D$9:$D$18,I1266)&amp;"."&amp;IF(J1266&lt;=K1266,J1266,IF(J1266=K1266+1,200,IF(J1266=K1266+2,201,250)))&amp;".1",""))</f>
        <v/>
      </c>
      <c r="F1266" s="0" t="str">
        <f aca="false">IF(I1266="","",IF(AND(J1266&gt;=1,J1266&lt;=K1266+3),"10."&amp;INDEX(Eingabe!$D$9:$D$18,I1266)&amp;"."&amp;IF(J1266&lt;=K1266,J1266,IF(J1266=K1266+1,200,IF(J1266=K1266+2,201,250)))&amp;".10 – 10."&amp;INDEX(Eingabe!$D$9:$D$18,I1266)&amp;"."&amp;IF(J1266&lt;=K1266,J1266,IF(J1266=K1266+1,200,IF(J1266=K1266+2,201,250)))&amp;".250",""))</f>
        <v/>
      </c>
      <c r="G1266" s="0" t="str">
        <f aca="false">IF(I1266="","",IF(AND(J1266&gt;=1,J1266&lt;=K1266),Eingabe!$B$6&amp;"-"&amp;INDEX(Eingabe!$C$9:$C$18,I1266)&amp;"-Pächter  ·  Passwort Parzelle "&amp;J1266,IF(J1266=K1266+1,Eingabe!$B$6&amp;"-"&amp;INDEX(Eingabe!$C$9:$C$18,I1266)&amp;"-Vorstand  ·  eigenes WLAN",IF(J1266=K1266+2,Eingabe!$B$6&amp;"-"&amp;INDEX(Eingabe!$C$9:$C$18,I1266)&amp;"-Gäste  ·  Voucher",IF(J1266=K1266+3,"Kabel  ·  Access Point y = .(50+y), Mast-Switch x = .(10+x)","")))))</f>
        <v/>
      </c>
      <c r="I1266" s="0" t="str">
        <f aca="false">IF(1261&lt;=(Eingabe!$P$18+Eingabe!$Q$18-1),MATCH(1261,Eingabe!$P$9:$P$18,1),"")</f>
        <v/>
      </c>
      <c r="J1266" s="0" t="str">
        <f aca="false">IF(I1266="","",1261-INDEX(Eingabe!$P$9:$P$18,I1266))</f>
        <v/>
      </c>
      <c r="K1266" s="0" t="str">
        <f aca="false">IF(I1266="","",INDEX(Eingabe!$E$9:$E$18,I1266))</f>
        <v/>
      </c>
    </row>
    <row r="1267" customFormat="false" ht="15" hidden="false" customHeight="false" outlineLevel="0" collapsed="false">
      <c r="A1267" s="0" t="str">
        <f aca="false">IF(I1267="","",IF(J1267=0,"Sparte "&amp;I1267&amp;": "&amp;INDEX(Eingabe!$B$9:$B$18,I1267)&amp;"  (Sparten-ID "&amp;INDEX(Eingabe!$D$9:$D$18,I1267)&amp;", "&amp;K1267&amp;" Parzellen)",IF(J1267&lt;=K1267,"   Parzelle "&amp;J1267,IF(J1267=K1267+1,"   Vorstand",IF(J1267=K1267+2,"   Gäste",IF(J1267=K1267+3,"   Technik (Switches, Access Points)",""))))))</f>
        <v/>
      </c>
      <c r="B1267" s="0" t="str">
        <f aca="false">IF(I1267="","",IF(AND(J1267&gt;=1,J1267&lt;=K1267+3),IF(J1267&lt;=K1267,IF(J1267&lt;=99,IF((INDEX(Eingabe!$G$9:$G$18,I1267))&lt;=9,1000+(INDEX(Eingabe!$G$9:$G$18,I1267))*100,3000)+J1267,IF((INDEX(Eingabe!$G$9:$G$18,I1267)+1)&lt;=9,1000+(INDEX(Eingabe!$G$9:$G$18,I1267)+1)*100,3000)+J1267-100),IF(J1267=K1267+1,2000+INDEX(Eingabe!$G$9:$G$18,I1267)*10+1,IF(J1267=K1267+2,2000+INDEX(Eingabe!$G$9:$G$18,I1267)*10+2,2000+INDEX(Eingabe!$G$9:$G$18,I1267)*10+9))),""))</f>
        <v/>
      </c>
      <c r="C1267" s="0" t="str">
        <f aca="false">IF(I1267="","",IF(AND(J1267&gt;=1,J1267&lt;=K1267+3),"10."&amp;INDEX(Eingabe!$D$9:$D$18,I1267)&amp;"."&amp;IF(J1267&lt;=K1267,J1267,IF(J1267=K1267+1,200,IF(J1267=K1267+2,201,250)))&amp;".0/24",""))</f>
        <v/>
      </c>
      <c r="D1267" s="0" t="str">
        <f aca="false">IF(I1267="","",IF(AND(J1267&gt;=1,J1267&lt;=K1267+3),"255.255.255.0",""))</f>
        <v/>
      </c>
      <c r="E1267" s="0" t="str">
        <f aca="false">IF(I1267="","",IF(AND(J1267&gt;=1,J1267&lt;=K1267+3),"10."&amp;INDEX(Eingabe!$D$9:$D$18,I1267)&amp;"."&amp;IF(J1267&lt;=K1267,J1267,IF(J1267=K1267+1,200,IF(J1267=K1267+2,201,250)))&amp;".1",""))</f>
        <v/>
      </c>
      <c r="F1267" s="0" t="str">
        <f aca="false">IF(I1267="","",IF(AND(J1267&gt;=1,J1267&lt;=K1267+3),"10."&amp;INDEX(Eingabe!$D$9:$D$18,I1267)&amp;"."&amp;IF(J1267&lt;=K1267,J1267,IF(J1267=K1267+1,200,IF(J1267=K1267+2,201,250)))&amp;".10 – 10."&amp;INDEX(Eingabe!$D$9:$D$18,I1267)&amp;"."&amp;IF(J1267&lt;=K1267,J1267,IF(J1267=K1267+1,200,IF(J1267=K1267+2,201,250)))&amp;".250",""))</f>
        <v/>
      </c>
      <c r="G1267" s="0" t="str">
        <f aca="false">IF(I1267="","",IF(AND(J1267&gt;=1,J1267&lt;=K1267),Eingabe!$B$6&amp;"-"&amp;INDEX(Eingabe!$C$9:$C$18,I1267)&amp;"-Pächter  ·  Passwort Parzelle "&amp;J1267,IF(J1267=K1267+1,Eingabe!$B$6&amp;"-"&amp;INDEX(Eingabe!$C$9:$C$18,I1267)&amp;"-Vorstand  ·  eigenes WLAN",IF(J1267=K1267+2,Eingabe!$B$6&amp;"-"&amp;INDEX(Eingabe!$C$9:$C$18,I1267)&amp;"-Gäste  ·  Voucher",IF(J1267=K1267+3,"Kabel  ·  Access Point y = .(50+y), Mast-Switch x = .(10+x)","")))))</f>
        <v/>
      </c>
      <c r="I1267" s="0" t="str">
        <f aca="false">IF(1262&lt;=(Eingabe!$P$18+Eingabe!$Q$18-1),MATCH(1262,Eingabe!$P$9:$P$18,1),"")</f>
        <v/>
      </c>
      <c r="J1267" s="0" t="str">
        <f aca="false">IF(I1267="","",1262-INDEX(Eingabe!$P$9:$P$18,I1267))</f>
        <v/>
      </c>
      <c r="K1267" s="0" t="str">
        <f aca="false">IF(I1267="","",INDEX(Eingabe!$E$9:$E$18,I1267))</f>
        <v/>
      </c>
    </row>
    <row r="1268" customFormat="false" ht="15" hidden="false" customHeight="false" outlineLevel="0" collapsed="false">
      <c r="A1268" s="0" t="str">
        <f aca="false">IF(I1268="","",IF(J1268=0,"Sparte "&amp;I1268&amp;": "&amp;INDEX(Eingabe!$B$9:$B$18,I1268)&amp;"  (Sparten-ID "&amp;INDEX(Eingabe!$D$9:$D$18,I1268)&amp;", "&amp;K1268&amp;" Parzellen)",IF(J1268&lt;=K1268,"   Parzelle "&amp;J1268,IF(J1268=K1268+1,"   Vorstand",IF(J1268=K1268+2,"   Gäste",IF(J1268=K1268+3,"   Technik (Switches, Access Points)",""))))))</f>
        <v/>
      </c>
      <c r="B1268" s="0" t="str">
        <f aca="false">IF(I1268="","",IF(AND(J1268&gt;=1,J1268&lt;=K1268+3),IF(J1268&lt;=K1268,IF(J1268&lt;=99,IF((INDEX(Eingabe!$G$9:$G$18,I1268))&lt;=9,1000+(INDEX(Eingabe!$G$9:$G$18,I1268))*100,3000)+J1268,IF((INDEX(Eingabe!$G$9:$G$18,I1268)+1)&lt;=9,1000+(INDEX(Eingabe!$G$9:$G$18,I1268)+1)*100,3000)+J1268-100),IF(J1268=K1268+1,2000+INDEX(Eingabe!$G$9:$G$18,I1268)*10+1,IF(J1268=K1268+2,2000+INDEX(Eingabe!$G$9:$G$18,I1268)*10+2,2000+INDEX(Eingabe!$G$9:$G$18,I1268)*10+9))),""))</f>
        <v/>
      </c>
      <c r="C1268" s="0" t="str">
        <f aca="false">IF(I1268="","",IF(AND(J1268&gt;=1,J1268&lt;=K1268+3),"10."&amp;INDEX(Eingabe!$D$9:$D$18,I1268)&amp;"."&amp;IF(J1268&lt;=K1268,J1268,IF(J1268=K1268+1,200,IF(J1268=K1268+2,201,250)))&amp;".0/24",""))</f>
        <v/>
      </c>
      <c r="D1268" s="0" t="str">
        <f aca="false">IF(I1268="","",IF(AND(J1268&gt;=1,J1268&lt;=K1268+3),"255.255.255.0",""))</f>
        <v/>
      </c>
      <c r="E1268" s="0" t="str">
        <f aca="false">IF(I1268="","",IF(AND(J1268&gt;=1,J1268&lt;=K1268+3),"10."&amp;INDEX(Eingabe!$D$9:$D$18,I1268)&amp;"."&amp;IF(J1268&lt;=K1268,J1268,IF(J1268=K1268+1,200,IF(J1268=K1268+2,201,250)))&amp;".1",""))</f>
        <v/>
      </c>
      <c r="F1268" s="0" t="str">
        <f aca="false">IF(I1268="","",IF(AND(J1268&gt;=1,J1268&lt;=K1268+3),"10."&amp;INDEX(Eingabe!$D$9:$D$18,I1268)&amp;"."&amp;IF(J1268&lt;=K1268,J1268,IF(J1268=K1268+1,200,IF(J1268=K1268+2,201,250)))&amp;".10 – 10."&amp;INDEX(Eingabe!$D$9:$D$18,I1268)&amp;"."&amp;IF(J1268&lt;=K1268,J1268,IF(J1268=K1268+1,200,IF(J1268=K1268+2,201,250)))&amp;".250",""))</f>
        <v/>
      </c>
      <c r="G1268" s="0" t="str">
        <f aca="false">IF(I1268="","",IF(AND(J1268&gt;=1,J1268&lt;=K1268),Eingabe!$B$6&amp;"-"&amp;INDEX(Eingabe!$C$9:$C$18,I1268)&amp;"-Pächter  ·  Passwort Parzelle "&amp;J1268,IF(J1268=K1268+1,Eingabe!$B$6&amp;"-"&amp;INDEX(Eingabe!$C$9:$C$18,I1268)&amp;"-Vorstand  ·  eigenes WLAN",IF(J1268=K1268+2,Eingabe!$B$6&amp;"-"&amp;INDEX(Eingabe!$C$9:$C$18,I1268)&amp;"-Gäste  ·  Voucher",IF(J1268=K1268+3,"Kabel  ·  Access Point y = .(50+y), Mast-Switch x = .(10+x)","")))))</f>
        <v/>
      </c>
      <c r="I1268" s="0" t="str">
        <f aca="false">IF(1263&lt;=(Eingabe!$P$18+Eingabe!$Q$18-1),MATCH(1263,Eingabe!$P$9:$P$18,1),"")</f>
        <v/>
      </c>
      <c r="J1268" s="0" t="str">
        <f aca="false">IF(I1268="","",1263-INDEX(Eingabe!$P$9:$P$18,I1268))</f>
        <v/>
      </c>
      <c r="K1268" s="0" t="str">
        <f aca="false">IF(I1268="","",INDEX(Eingabe!$E$9:$E$18,I1268))</f>
        <v/>
      </c>
    </row>
    <row r="1269" customFormat="false" ht="15" hidden="false" customHeight="false" outlineLevel="0" collapsed="false">
      <c r="A1269" s="0" t="str">
        <f aca="false">IF(I1269="","",IF(J1269=0,"Sparte "&amp;I1269&amp;": "&amp;INDEX(Eingabe!$B$9:$B$18,I1269)&amp;"  (Sparten-ID "&amp;INDEX(Eingabe!$D$9:$D$18,I1269)&amp;", "&amp;K1269&amp;" Parzellen)",IF(J1269&lt;=K1269,"   Parzelle "&amp;J1269,IF(J1269=K1269+1,"   Vorstand",IF(J1269=K1269+2,"   Gäste",IF(J1269=K1269+3,"   Technik (Switches, Access Points)",""))))))</f>
        <v/>
      </c>
      <c r="B1269" s="0" t="str">
        <f aca="false">IF(I1269="","",IF(AND(J1269&gt;=1,J1269&lt;=K1269+3),IF(J1269&lt;=K1269,IF(J1269&lt;=99,IF((INDEX(Eingabe!$G$9:$G$18,I1269))&lt;=9,1000+(INDEX(Eingabe!$G$9:$G$18,I1269))*100,3000)+J1269,IF((INDEX(Eingabe!$G$9:$G$18,I1269)+1)&lt;=9,1000+(INDEX(Eingabe!$G$9:$G$18,I1269)+1)*100,3000)+J1269-100),IF(J1269=K1269+1,2000+INDEX(Eingabe!$G$9:$G$18,I1269)*10+1,IF(J1269=K1269+2,2000+INDEX(Eingabe!$G$9:$G$18,I1269)*10+2,2000+INDEX(Eingabe!$G$9:$G$18,I1269)*10+9))),""))</f>
        <v/>
      </c>
      <c r="C1269" s="0" t="str">
        <f aca="false">IF(I1269="","",IF(AND(J1269&gt;=1,J1269&lt;=K1269+3),"10."&amp;INDEX(Eingabe!$D$9:$D$18,I1269)&amp;"."&amp;IF(J1269&lt;=K1269,J1269,IF(J1269=K1269+1,200,IF(J1269=K1269+2,201,250)))&amp;".0/24",""))</f>
        <v/>
      </c>
      <c r="D1269" s="0" t="str">
        <f aca="false">IF(I1269="","",IF(AND(J1269&gt;=1,J1269&lt;=K1269+3),"255.255.255.0",""))</f>
        <v/>
      </c>
      <c r="E1269" s="0" t="str">
        <f aca="false">IF(I1269="","",IF(AND(J1269&gt;=1,J1269&lt;=K1269+3),"10."&amp;INDEX(Eingabe!$D$9:$D$18,I1269)&amp;"."&amp;IF(J1269&lt;=K1269,J1269,IF(J1269=K1269+1,200,IF(J1269=K1269+2,201,250)))&amp;".1",""))</f>
        <v/>
      </c>
      <c r="F1269" s="0" t="str">
        <f aca="false">IF(I1269="","",IF(AND(J1269&gt;=1,J1269&lt;=K1269+3),"10."&amp;INDEX(Eingabe!$D$9:$D$18,I1269)&amp;"."&amp;IF(J1269&lt;=K1269,J1269,IF(J1269=K1269+1,200,IF(J1269=K1269+2,201,250)))&amp;".10 – 10."&amp;INDEX(Eingabe!$D$9:$D$18,I1269)&amp;"."&amp;IF(J1269&lt;=K1269,J1269,IF(J1269=K1269+1,200,IF(J1269=K1269+2,201,250)))&amp;".250",""))</f>
        <v/>
      </c>
      <c r="G1269" s="0" t="str">
        <f aca="false">IF(I1269="","",IF(AND(J1269&gt;=1,J1269&lt;=K1269),Eingabe!$B$6&amp;"-"&amp;INDEX(Eingabe!$C$9:$C$18,I1269)&amp;"-Pächter  ·  Passwort Parzelle "&amp;J1269,IF(J1269=K1269+1,Eingabe!$B$6&amp;"-"&amp;INDEX(Eingabe!$C$9:$C$18,I1269)&amp;"-Vorstand  ·  eigenes WLAN",IF(J1269=K1269+2,Eingabe!$B$6&amp;"-"&amp;INDEX(Eingabe!$C$9:$C$18,I1269)&amp;"-Gäste  ·  Voucher",IF(J1269=K1269+3,"Kabel  ·  Access Point y = .(50+y), Mast-Switch x = .(10+x)","")))))</f>
        <v/>
      </c>
      <c r="I1269" s="0" t="str">
        <f aca="false">IF(1264&lt;=(Eingabe!$P$18+Eingabe!$Q$18-1),MATCH(1264,Eingabe!$P$9:$P$18,1),"")</f>
        <v/>
      </c>
      <c r="J1269" s="0" t="str">
        <f aca="false">IF(I1269="","",1264-INDEX(Eingabe!$P$9:$P$18,I1269))</f>
        <v/>
      </c>
      <c r="K1269" s="0" t="str">
        <f aca="false">IF(I1269="","",INDEX(Eingabe!$E$9:$E$18,I1269))</f>
        <v/>
      </c>
    </row>
    <row r="1270" customFormat="false" ht="15" hidden="false" customHeight="false" outlineLevel="0" collapsed="false">
      <c r="A1270" s="0" t="str">
        <f aca="false">IF(I1270="","",IF(J1270=0,"Sparte "&amp;I1270&amp;": "&amp;INDEX(Eingabe!$B$9:$B$18,I1270)&amp;"  (Sparten-ID "&amp;INDEX(Eingabe!$D$9:$D$18,I1270)&amp;", "&amp;K1270&amp;" Parzellen)",IF(J1270&lt;=K1270,"   Parzelle "&amp;J1270,IF(J1270=K1270+1,"   Vorstand",IF(J1270=K1270+2,"   Gäste",IF(J1270=K1270+3,"   Technik (Switches, Access Points)",""))))))</f>
        <v/>
      </c>
      <c r="B1270" s="0" t="str">
        <f aca="false">IF(I1270="","",IF(AND(J1270&gt;=1,J1270&lt;=K1270+3),IF(J1270&lt;=K1270,IF(J1270&lt;=99,IF((INDEX(Eingabe!$G$9:$G$18,I1270))&lt;=9,1000+(INDEX(Eingabe!$G$9:$G$18,I1270))*100,3000)+J1270,IF((INDEX(Eingabe!$G$9:$G$18,I1270)+1)&lt;=9,1000+(INDEX(Eingabe!$G$9:$G$18,I1270)+1)*100,3000)+J1270-100),IF(J1270=K1270+1,2000+INDEX(Eingabe!$G$9:$G$18,I1270)*10+1,IF(J1270=K1270+2,2000+INDEX(Eingabe!$G$9:$G$18,I1270)*10+2,2000+INDEX(Eingabe!$G$9:$G$18,I1270)*10+9))),""))</f>
        <v/>
      </c>
      <c r="C1270" s="0" t="str">
        <f aca="false">IF(I1270="","",IF(AND(J1270&gt;=1,J1270&lt;=K1270+3),"10."&amp;INDEX(Eingabe!$D$9:$D$18,I1270)&amp;"."&amp;IF(J1270&lt;=K1270,J1270,IF(J1270=K1270+1,200,IF(J1270=K1270+2,201,250)))&amp;".0/24",""))</f>
        <v/>
      </c>
      <c r="D1270" s="0" t="str">
        <f aca="false">IF(I1270="","",IF(AND(J1270&gt;=1,J1270&lt;=K1270+3),"255.255.255.0",""))</f>
        <v/>
      </c>
      <c r="E1270" s="0" t="str">
        <f aca="false">IF(I1270="","",IF(AND(J1270&gt;=1,J1270&lt;=K1270+3),"10."&amp;INDEX(Eingabe!$D$9:$D$18,I1270)&amp;"."&amp;IF(J1270&lt;=K1270,J1270,IF(J1270=K1270+1,200,IF(J1270=K1270+2,201,250)))&amp;".1",""))</f>
        <v/>
      </c>
      <c r="F1270" s="0" t="str">
        <f aca="false">IF(I1270="","",IF(AND(J1270&gt;=1,J1270&lt;=K1270+3),"10."&amp;INDEX(Eingabe!$D$9:$D$18,I1270)&amp;"."&amp;IF(J1270&lt;=K1270,J1270,IF(J1270=K1270+1,200,IF(J1270=K1270+2,201,250)))&amp;".10 – 10."&amp;INDEX(Eingabe!$D$9:$D$18,I1270)&amp;"."&amp;IF(J1270&lt;=K1270,J1270,IF(J1270=K1270+1,200,IF(J1270=K1270+2,201,250)))&amp;".250",""))</f>
        <v/>
      </c>
      <c r="G1270" s="0" t="str">
        <f aca="false">IF(I1270="","",IF(AND(J1270&gt;=1,J1270&lt;=K1270),Eingabe!$B$6&amp;"-"&amp;INDEX(Eingabe!$C$9:$C$18,I1270)&amp;"-Pächter  ·  Passwort Parzelle "&amp;J1270,IF(J1270=K1270+1,Eingabe!$B$6&amp;"-"&amp;INDEX(Eingabe!$C$9:$C$18,I1270)&amp;"-Vorstand  ·  eigenes WLAN",IF(J1270=K1270+2,Eingabe!$B$6&amp;"-"&amp;INDEX(Eingabe!$C$9:$C$18,I1270)&amp;"-Gäste  ·  Voucher",IF(J1270=K1270+3,"Kabel  ·  Access Point y = .(50+y), Mast-Switch x = .(10+x)","")))))</f>
        <v/>
      </c>
      <c r="I1270" s="0" t="str">
        <f aca="false">IF(1265&lt;=(Eingabe!$P$18+Eingabe!$Q$18-1),MATCH(1265,Eingabe!$P$9:$P$18,1),"")</f>
        <v/>
      </c>
      <c r="J1270" s="0" t="str">
        <f aca="false">IF(I1270="","",1265-INDEX(Eingabe!$P$9:$P$18,I1270))</f>
        <v/>
      </c>
      <c r="K1270" s="0" t="str">
        <f aca="false">IF(I1270="","",INDEX(Eingabe!$E$9:$E$18,I1270))</f>
        <v/>
      </c>
    </row>
    <row r="1271" customFormat="false" ht="15" hidden="false" customHeight="false" outlineLevel="0" collapsed="false">
      <c r="A1271" s="0" t="str">
        <f aca="false">IF(I1271="","",IF(J1271=0,"Sparte "&amp;I1271&amp;": "&amp;INDEX(Eingabe!$B$9:$B$18,I1271)&amp;"  (Sparten-ID "&amp;INDEX(Eingabe!$D$9:$D$18,I1271)&amp;", "&amp;K1271&amp;" Parzellen)",IF(J1271&lt;=K1271,"   Parzelle "&amp;J1271,IF(J1271=K1271+1,"   Vorstand",IF(J1271=K1271+2,"   Gäste",IF(J1271=K1271+3,"   Technik (Switches, Access Points)",""))))))</f>
        <v/>
      </c>
      <c r="B1271" s="0" t="str">
        <f aca="false">IF(I1271="","",IF(AND(J1271&gt;=1,J1271&lt;=K1271+3),IF(J1271&lt;=K1271,IF(J1271&lt;=99,IF((INDEX(Eingabe!$G$9:$G$18,I1271))&lt;=9,1000+(INDEX(Eingabe!$G$9:$G$18,I1271))*100,3000)+J1271,IF((INDEX(Eingabe!$G$9:$G$18,I1271)+1)&lt;=9,1000+(INDEX(Eingabe!$G$9:$G$18,I1271)+1)*100,3000)+J1271-100),IF(J1271=K1271+1,2000+INDEX(Eingabe!$G$9:$G$18,I1271)*10+1,IF(J1271=K1271+2,2000+INDEX(Eingabe!$G$9:$G$18,I1271)*10+2,2000+INDEX(Eingabe!$G$9:$G$18,I1271)*10+9))),""))</f>
        <v/>
      </c>
      <c r="C1271" s="0" t="str">
        <f aca="false">IF(I1271="","",IF(AND(J1271&gt;=1,J1271&lt;=K1271+3),"10."&amp;INDEX(Eingabe!$D$9:$D$18,I1271)&amp;"."&amp;IF(J1271&lt;=K1271,J1271,IF(J1271=K1271+1,200,IF(J1271=K1271+2,201,250)))&amp;".0/24",""))</f>
        <v/>
      </c>
      <c r="D1271" s="0" t="str">
        <f aca="false">IF(I1271="","",IF(AND(J1271&gt;=1,J1271&lt;=K1271+3),"255.255.255.0",""))</f>
        <v/>
      </c>
      <c r="E1271" s="0" t="str">
        <f aca="false">IF(I1271="","",IF(AND(J1271&gt;=1,J1271&lt;=K1271+3),"10."&amp;INDEX(Eingabe!$D$9:$D$18,I1271)&amp;"."&amp;IF(J1271&lt;=K1271,J1271,IF(J1271=K1271+1,200,IF(J1271=K1271+2,201,250)))&amp;".1",""))</f>
        <v/>
      </c>
      <c r="F1271" s="0" t="str">
        <f aca="false">IF(I1271="","",IF(AND(J1271&gt;=1,J1271&lt;=K1271+3),"10."&amp;INDEX(Eingabe!$D$9:$D$18,I1271)&amp;"."&amp;IF(J1271&lt;=K1271,J1271,IF(J1271=K1271+1,200,IF(J1271=K1271+2,201,250)))&amp;".10 – 10."&amp;INDEX(Eingabe!$D$9:$D$18,I1271)&amp;"."&amp;IF(J1271&lt;=K1271,J1271,IF(J1271=K1271+1,200,IF(J1271=K1271+2,201,250)))&amp;".250",""))</f>
        <v/>
      </c>
      <c r="G1271" s="0" t="str">
        <f aca="false">IF(I1271="","",IF(AND(J1271&gt;=1,J1271&lt;=K1271),Eingabe!$B$6&amp;"-"&amp;INDEX(Eingabe!$C$9:$C$18,I1271)&amp;"-Pächter  ·  Passwort Parzelle "&amp;J1271,IF(J1271=K1271+1,Eingabe!$B$6&amp;"-"&amp;INDEX(Eingabe!$C$9:$C$18,I1271)&amp;"-Vorstand  ·  eigenes WLAN",IF(J1271=K1271+2,Eingabe!$B$6&amp;"-"&amp;INDEX(Eingabe!$C$9:$C$18,I1271)&amp;"-Gäste  ·  Voucher",IF(J1271=K1271+3,"Kabel  ·  Access Point y = .(50+y), Mast-Switch x = .(10+x)","")))))</f>
        <v/>
      </c>
      <c r="I1271" s="0" t="str">
        <f aca="false">IF(1266&lt;=(Eingabe!$P$18+Eingabe!$Q$18-1),MATCH(1266,Eingabe!$P$9:$P$18,1),"")</f>
        <v/>
      </c>
      <c r="J1271" s="0" t="str">
        <f aca="false">IF(I1271="","",1266-INDEX(Eingabe!$P$9:$P$18,I1271))</f>
        <v/>
      </c>
      <c r="K1271" s="0" t="str">
        <f aca="false">IF(I1271="","",INDEX(Eingabe!$E$9:$E$18,I1271))</f>
        <v/>
      </c>
    </row>
    <row r="1272" customFormat="false" ht="15" hidden="false" customHeight="false" outlineLevel="0" collapsed="false">
      <c r="A1272" s="0" t="str">
        <f aca="false">IF(I1272="","",IF(J1272=0,"Sparte "&amp;I1272&amp;": "&amp;INDEX(Eingabe!$B$9:$B$18,I1272)&amp;"  (Sparten-ID "&amp;INDEX(Eingabe!$D$9:$D$18,I1272)&amp;", "&amp;K1272&amp;" Parzellen)",IF(J1272&lt;=K1272,"   Parzelle "&amp;J1272,IF(J1272=K1272+1,"   Vorstand",IF(J1272=K1272+2,"   Gäste",IF(J1272=K1272+3,"   Technik (Switches, Access Points)",""))))))</f>
        <v/>
      </c>
      <c r="B1272" s="0" t="str">
        <f aca="false">IF(I1272="","",IF(AND(J1272&gt;=1,J1272&lt;=K1272+3),IF(J1272&lt;=K1272,IF(J1272&lt;=99,IF((INDEX(Eingabe!$G$9:$G$18,I1272))&lt;=9,1000+(INDEX(Eingabe!$G$9:$G$18,I1272))*100,3000)+J1272,IF((INDEX(Eingabe!$G$9:$G$18,I1272)+1)&lt;=9,1000+(INDEX(Eingabe!$G$9:$G$18,I1272)+1)*100,3000)+J1272-100),IF(J1272=K1272+1,2000+INDEX(Eingabe!$G$9:$G$18,I1272)*10+1,IF(J1272=K1272+2,2000+INDEX(Eingabe!$G$9:$G$18,I1272)*10+2,2000+INDEX(Eingabe!$G$9:$G$18,I1272)*10+9))),""))</f>
        <v/>
      </c>
      <c r="C1272" s="0" t="str">
        <f aca="false">IF(I1272="","",IF(AND(J1272&gt;=1,J1272&lt;=K1272+3),"10."&amp;INDEX(Eingabe!$D$9:$D$18,I1272)&amp;"."&amp;IF(J1272&lt;=K1272,J1272,IF(J1272=K1272+1,200,IF(J1272=K1272+2,201,250)))&amp;".0/24",""))</f>
        <v/>
      </c>
      <c r="D1272" s="0" t="str">
        <f aca="false">IF(I1272="","",IF(AND(J1272&gt;=1,J1272&lt;=K1272+3),"255.255.255.0",""))</f>
        <v/>
      </c>
      <c r="E1272" s="0" t="str">
        <f aca="false">IF(I1272="","",IF(AND(J1272&gt;=1,J1272&lt;=K1272+3),"10."&amp;INDEX(Eingabe!$D$9:$D$18,I1272)&amp;"."&amp;IF(J1272&lt;=K1272,J1272,IF(J1272=K1272+1,200,IF(J1272=K1272+2,201,250)))&amp;".1",""))</f>
        <v/>
      </c>
      <c r="F1272" s="0" t="str">
        <f aca="false">IF(I1272="","",IF(AND(J1272&gt;=1,J1272&lt;=K1272+3),"10."&amp;INDEX(Eingabe!$D$9:$D$18,I1272)&amp;"."&amp;IF(J1272&lt;=K1272,J1272,IF(J1272=K1272+1,200,IF(J1272=K1272+2,201,250)))&amp;".10 – 10."&amp;INDEX(Eingabe!$D$9:$D$18,I1272)&amp;"."&amp;IF(J1272&lt;=K1272,J1272,IF(J1272=K1272+1,200,IF(J1272=K1272+2,201,250)))&amp;".250",""))</f>
        <v/>
      </c>
      <c r="G1272" s="0" t="str">
        <f aca="false">IF(I1272="","",IF(AND(J1272&gt;=1,J1272&lt;=K1272),Eingabe!$B$6&amp;"-"&amp;INDEX(Eingabe!$C$9:$C$18,I1272)&amp;"-Pächter  ·  Passwort Parzelle "&amp;J1272,IF(J1272=K1272+1,Eingabe!$B$6&amp;"-"&amp;INDEX(Eingabe!$C$9:$C$18,I1272)&amp;"-Vorstand  ·  eigenes WLAN",IF(J1272=K1272+2,Eingabe!$B$6&amp;"-"&amp;INDEX(Eingabe!$C$9:$C$18,I1272)&amp;"-Gäste  ·  Voucher",IF(J1272=K1272+3,"Kabel  ·  Access Point y = .(50+y), Mast-Switch x = .(10+x)","")))))</f>
        <v/>
      </c>
      <c r="I1272" s="0" t="str">
        <f aca="false">IF(1267&lt;=(Eingabe!$P$18+Eingabe!$Q$18-1),MATCH(1267,Eingabe!$P$9:$P$18,1),"")</f>
        <v/>
      </c>
      <c r="J1272" s="0" t="str">
        <f aca="false">IF(I1272="","",1267-INDEX(Eingabe!$P$9:$P$18,I1272))</f>
        <v/>
      </c>
      <c r="K1272" s="0" t="str">
        <f aca="false">IF(I1272="","",INDEX(Eingabe!$E$9:$E$18,I1272))</f>
        <v/>
      </c>
    </row>
    <row r="1273" customFormat="false" ht="15" hidden="false" customHeight="false" outlineLevel="0" collapsed="false">
      <c r="A1273" s="0" t="str">
        <f aca="false">IF(I1273="","",IF(J1273=0,"Sparte "&amp;I1273&amp;": "&amp;INDEX(Eingabe!$B$9:$B$18,I1273)&amp;"  (Sparten-ID "&amp;INDEX(Eingabe!$D$9:$D$18,I1273)&amp;", "&amp;K1273&amp;" Parzellen)",IF(J1273&lt;=K1273,"   Parzelle "&amp;J1273,IF(J1273=K1273+1,"   Vorstand",IF(J1273=K1273+2,"   Gäste",IF(J1273=K1273+3,"   Technik (Switches, Access Points)",""))))))</f>
        <v/>
      </c>
      <c r="B1273" s="0" t="str">
        <f aca="false">IF(I1273="","",IF(AND(J1273&gt;=1,J1273&lt;=K1273+3),IF(J1273&lt;=K1273,IF(J1273&lt;=99,IF((INDEX(Eingabe!$G$9:$G$18,I1273))&lt;=9,1000+(INDEX(Eingabe!$G$9:$G$18,I1273))*100,3000)+J1273,IF((INDEX(Eingabe!$G$9:$G$18,I1273)+1)&lt;=9,1000+(INDEX(Eingabe!$G$9:$G$18,I1273)+1)*100,3000)+J1273-100),IF(J1273=K1273+1,2000+INDEX(Eingabe!$G$9:$G$18,I1273)*10+1,IF(J1273=K1273+2,2000+INDEX(Eingabe!$G$9:$G$18,I1273)*10+2,2000+INDEX(Eingabe!$G$9:$G$18,I1273)*10+9))),""))</f>
        <v/>
      </c>
      <c r="C1273" s="0" t="str">
        <f aca="false">IF(I1273="","",IF(AND(J1273&gt;=1,J1273&lt;=K1273+3),"10."&amp;INDEX(Eingabe!$D$9:$D$18,I1273)&amp;"."&amp;IF(J1273&lt;=K1273,J1273,IF(J1273=K1273+1,200,IF(J1273=K1273+2,201,250)))&amp;".0/24",""))</f>
        <v/>
      </c>
      <c r="D1273" s="0" t="str">
        <f aca="false">IF(I1273="","",IF(AND(J1273&gt;=1,J1273&lt;=K1273+3),"255.255.255.0",""))</f>
        <v/>
      </c>
      <c r="E1273" s="0" t="str">
        <f aca="false">IF(I1273="","",IF(AND(J1273&gt;=1,J1273&lt;=K1273+3),"10."&amp;INDEX(Eingabe!$D$9:$D$18,I1273)&amp;"."&amp;IF(J1273&lt;=K1273,J1273,IF(J1273=K1273+1,200,IF(J1273=K1273+2,201,250)))&amp;".1",""))</f>
        <v/>
      </c>
      <c r="F1273" s="0" t="str">
        <f aca="false">IF(I1273="","",IF(AND(J1273&gt;=1,J1273&lt;=K1273+3),"10."&amp;INDEX(Eingabe!$D$9:$D$18,I1273)&amp;"."&amp;IF(J1273&lt;=K1273,J1273,IF(J1273=K1273+1,200,IF(J1273=K1273+2,201,250)))&amp;".10 – 10."&amp;INDEX(Eingabe!$D$9:$D$18,I1273)&amp;"."&amp;IF(J1273&lt;=K1273,J1273,IF(J1273=K1273+1,200,IF(J1273=K1273+2,201,250)))&amp;".250",""))</f>
        <v/>
      </c>
      <c r="G1273" s="0" t="str">
        <f aca="false">IF(I1273="","",IF(AND(J1273&gt;=1,J1273&lt;=K1273),Eingabe!$B$6&amp;"-"&amp;INDEX(Eingabe!$C$9:$C$18,I1273)&amp;"-Pächter  ·  Passwort Parzelle "&amp;J1273,IF(J1273=K1273+1,Eingabe!$B$6&amp;"-"&amp;INDEX(Eingabe!$C$9:$C$18,I1273)&amp;"-Vorstand  ·  eigenes WLAN",IF(J1273=K1273+2,Eingabe!$B$6&amp;"-"&amp;INDEX(Eingabe!$C$9:$C$18,I1273)&amp;"-Gäste  ·  Voucher",IF(J1273=K1273+3,"Kabel  ·  Access Point y = .(50+y), Mast-Switch x = .(10+x)","")))))</f>
        <v/>
      </c>
      <c r="I1273" s="0" t="str">
        <f aca="false">IF(1268&lt;=(Eingabe!$P$18+Eingabe!$Q$18-1),MATCH(1268,Eingabe!$P$9:$P$18,1),"")</f>
        <v/>
      </c>
      <c r="J1273" s="0" t="str">
        <f aca="false">IF(I1273="","",1268-INDEX(Eingabe!$P$9:$P$18,I1273))</f>
        <v/>
      </c>
      <c r="K1273" s="0" t="str">
        <f aca="false">IF(I1273="","",INDEX(Eingabe!$E$9:$E$18,I1273))</f>
        <v/>
      </c>
    </row>
    <row r="1274" customFormat="false" ht="15" hidden="false" customHeight="false" outlineLevel="0" collapsed="false">
      <c r="A1274" s="0" t="str">
        <f aca="false">IF(I1274="","",IF(J1274=0,"Sparte "&amp;I1274&amp;": "&amp;INDEX(Eingabe!$B$9:$B$18,I1274)&amp;"  (Sparten-ID "&amp;INDEX(Eingabe!$D$9:$D$18,I1274)&amp;", "&amp;K1274&amp;" Parzellen)",IF(J1274&lt;=K1274,"   Parzelle "&amp;J1274,IF(J1274=K1274+1,"   Vorstand",IF(J1274=K1274+2,"   Gäste",IF(J1274=K1274+3,"   Technik (Switches, Access Points)",""))))))</f>
        <v/>
      </c>
      <c r="B1274" s="0" t="str">
        <f aca="false">IF(I1274="","",IF(AND(J1274&gt;=1,J1274&lt;=K1274+3),IF(J1274&lt;=K1274,IF(J1274&lt;=99,IF((INDEX(Eingabe!$G$9:$G$18,I1274))&lt;=9,1000+(INDEX(Eingabe!$G$9:$G$18,I1274))*100,3000)+J1274,IF((INDEX(Eingabe!$G$9:$G$18,I1274)+1)&lt;=9,1000+(INDEX(Eingabe!$G$9:$G$18,I1274)+1)*100,3000)+J1274-100),IF(J1274=K1274+1,2000+INDEX(Eingabe!$G$9:$G$18,I1274)*10+1,IF(J1274=K1274+2,2000+INDEX(Eingabe!$G$9:$G$18,I1274)*10+2,2000+INDEX(Eingabe!$G$9:$G$18,I1274)*10+9))),""))</f>
        <v/>
      </c>
      <c r="C1274" s="0" t="str">
        <f aca="false">IF(I1274="","",IF(AND(J1274&gt;=1,J1274&lt;=K1274+3),"10."&amp;INDEX(Eingabe!$D$9:$D$18,I1274)&amp;"."&amp;IF(J1274&lt;=K1274,J1274,IF(J1274=K1274+1,200,IF(J1274=K1274+2,201,250)))&amp;".0/24",""))</f>
        <v/>
      </c>
      <c r="D1274" s="0" t="str">
        <f aca="false">IF(I1274="","",IF(AND(J1274&gt;=1,J1274&lt;=K1274+3),"255.255.255.0",""))</f>
        <v/>
      </c>
      <c r="E1274" s="0" t="str">
        <f aca="false">IF(I1274="","",IF(AND(J1274&gt;=1,J1274&lt;=K1274+3),"10."&amp;INDEX(Eingabe!$D$9:$D$18,I1274)&amp;"."&amp;IF(J1274&lt;=K1274,J1274,IF(J1274=K1274+1,200,IF(J1274=K1274+2,201,250)))&amp;".1",""))</f>
        <v/>
      </c>
      <c r="F1274" s="0" t="str">
        <f aca="false">IF(I1274="","",IF(AND(J1274&gt;=1,J1274&lt;=K1274+3),"10."&amp;INDEX(Eingabe!$D$9:$D$18,I1274)&amp;"."&amp;IF(J1274&lt;=K1274,J1274,IF(J1274=K1274+1,200,IF(J1274=K1274+2,201,250)))&amp;".10 – 10."&amp;INDEX(Eingabe!$D$9:$D$18,I1274)&amp;"."&amp;IF(J1274&lt;=K1274,J1274,IF(J1274=K1274+1,200,IF(J1274=K1274+2,201,250)))&amp;".250",""))</f>
        <v/>
      </c>
      <c r="G1274" s="0" t="str">
        <f aca="false">IF(I1274="","",IF(AND(J1274&gt;=1,J1274&lt;=K1274),Eingabe!$B$6&amp;"-"&amp;INDEX(Eingabe!$C$9:$C$18,I1274)&amp;"-Pächter  ·  Passwort Parzelle "&amp;J1274,IF(J1274=K1274+1,Eingabe!$B$6&amp;"-"&amp;INDEX(Eingabe!$C$9:$C$18,I1274)&amp;"-Vorstand  ·  eigenes WLAN",IF(J1274=K1274+2,Eingabe!$B$6&amp;"-"&amp;INDEX(Eingabe!$C$9:$C$18,I1274)&amp;"-Gäste  ·  Voucher",IF(J1274=K1274+3,"Kabel  ·  Access Point y = .(50+y), Mast-Switch x = .(10+x)","")))))</f>
        <v/>
      </c>
      <c r="I1274" s="0" t="str">
        <f aca="false">IF(1269&lt;=(Eingabe!$P$18+Eingabe!$Q$18-1),MATCH(1269,Eingabe!$P$9:$P$18,1),"")</f>
        <v/>
      </c>
      <c r="J1274" s="0" t="str">
        <f aca="false">IF(I1274="","",1269-INDEX(Eingabe!$P$9:$P$18,I1274))</f>
        <v/>
      </c>
      <c r="K1274" s="0" t="str">
        <f aca="false">IF(I1274="","",INDEX(Eingabe!$E$9:$E$18,I1274))</f>
        <v/>
      </c>
    </row>
    <row r="1275" customFormat="false" ht="15" hidden="false" customHeight="false" outlineLevel="0" collapsed="false">
      <c r="A1275" s="0" t="str">
        <f aca="false">IF(I1275="","",IF(J1275=0,"Sparte "&amp;I1275&amp;": "&amp;INDEX(Eingabe!$B$9:$B$18,I1275)&amp;"  (Sparten-ID "&amp;INDEX(Eingabe!$D$9:$D$18,I1275)&amp;", "&amp;K1275&amp;" Parzellen)",IF(J1275&lt;=K1275,"   Parzelle "&amp;J1275,IF(J1275=K1275+1,"   Vorstand",IF(J1275=K1275+2,"   Gäste",IF(J1275=K1275+3,"   Technik (Switches, Access Points)",""))))))</f>
        <v/>
      </c>
      <c r="B1275" s="0" t="str">
        <f aca="false">IF(I1275="","",IF(AND(J1275&gt;=1,J1275&lt;=K1275+3),IF(J1275&lt;=K1275,IF(J1275&lt;=99,IF((INDEX(Eingabe!$G$9:$G$18,I1275))&lt;=9,1000+(INDEX(Eingabe!$G$9:$G$18,I1275))*100,3000)+J1275,IF((INDEX(Eingabe!$G$9:$G$18,I1275)+1)&lt;=9,1000+(INDEX(Eingabe!$G$9:$G$18,I1275)+1)*100,3000)+J1275-100),IF(J1275=K1275+1,2000+INDEX(Eingabe!$G$9:$G$18,I1275)*10+1,IF(J1275=K1275+2,2000+INDEX(Eingabe!$G$9:$G$18,I1275)*10+2,2000+INDEX(Eingabe!$G$9:$G$18,I1275)*10+9))),""))</f>
        <v/>
      </c>
      <c r="C1275" s="0" t="str">
        <f aca="false">IF(I1275="","",IF(AND(J1275&gt;=1,J1275&lt;=K1275+3),"10."&amp;INDEX(Eingabe!$D$9:$D$18,I1275)&amp;"."&amp;IF(J1275&lt;=K1275,J1275,IF(J1275=K1275+1,200,IF(J1275=K1275+2,201,250)))&amp;".0/24",""))</f>
        <v/>
      </c>
      <c r="D1275" s="0" t="str">
        <f aca="false">IF(I1275="","",IF(AND(J1275&gt;=1,J1275&lt;=K1275+3),"255.255.255.0",""))</f>
        <v/>
      </c>
      <c r="E1275" s="0" t="str">
        <f aca="false">IF(I1275="","",IF(AND(J1275&gt;=1,J1275&lt;=K1275+3),"10."&amp;INDEX(Eingabe!$D$9:$D$18,I1275)&amp;"."&amp;IF(J1275&lt;=K1275,J1275,IF(J1275=K1275+1,200,IF(J1275=K1275+2,201,250)))&amp;".1",""))</f>
        <v/>
      </c>
      <c r="F1275" s="0" t="str">
        <f aca="false">IF(I1275="","",IF(AND(J1275&gt;=1,J1275&lt;=K1275+3),"10."&amp;INDEX(Eingabe!$D$9:$D$18,I1275)&amp;"."&amp;IF(J1275&lt;=K1275,J1275,IF(J1275=K1275+1,200,IF(J1275=K1275+2,201,250)))&amp;".10 – 10."&amp;INDEX(Eingabe!$D$9:$D$18,I1275)&amp;"."&amp;IF(J1275&lt;=K1275,J1275,IF(J1275=K1275+1,200,IF(J1275=K1275+2,201,250)))&amp;".250",""))</f>
        <v/>
      </c>
      <c r="G1275" s="0" t="str">
        <f aca="false">IF(I1275="","",IF(AND(J1275&gt;=1,J1275&lt;=K1275),Eingabe!$B$6&amp;"-"&amp;INDEX(Eingabe!$C$9:$C$18,I1275)&amp;"-Pächter  ·  Passwort Parzelle "&amp;J1275,IF(J1275=K1275+1,Eingabe!$B$6&amp;"-"&amp;INDEX(Eingabe!$C$9:$C$18,I1275)&amp;"-Vorstand  ·  eigenes WLAN",IF(J1275=K1275+2,Eingabe!$B$6&amp;"-"&amp;INDEX(Eingabe!$C$9:$C$18,I1275)&amp;"-Gäste  ·  Voucher",IF(J1275=K1275+3,"Kabel  ·  Access Point y = .(50+y), Mast-Switch x = .(10+x)","")))))</f>
        <v/>
      </c>
      <c r="I1275" s="0" t="str">
        <f aca="false">IF(1270&lt;=(Eingabe!$P$18+Eingabe!$Q$18-1),MATCH(1270,Eingabe!$P$9:$P$18,1),"")</f>
        <v/>
      </c>
      <c r="J1275" s="0" t="str">
        <f aca="false">IF(I1275="","",1270-INDEX(Eingabe!$P$9:$P$18,I1275))</f>
        <v/>
      </c>
      <c r="K1275" s="0" t="str">
        <f aca="false">IF(I1275="","",INDEX(Eingabe!$E$9:$E$18,I1275))</f>
        <v/>
      </c>
    </row>
    <row r="1276" customFormat="false" ht="15" hidden="false" customHeight="false" outlineLevel="0" collapsed="false">
      <c r="A1276" s="0" t="str">
        <f aca="false">IF(I1276="","",IF(J1276=0,"Sparte "&amp;I1276&amp;": "&amp;INDEX(Eingabe!$B$9:$B$18,I1276)&amp;"  (Sparten-ID "&amp;INDEX(Eingabe!$D$9:$D$18,I1276)&amp;", "&amp;K1276&amp;" Parzellen)",IF(J1276&lt;=K1276,"   Parzelle "&amp;J1276,IF(J1276=K1276+1,"   Vorstand",IF(J1276=K1276+2,"   Gäste",IF(J1276=K1276+3,"   Technik (Switches, Access Points)",""))))))</f>
        <v/>
      </c>
      <c r="B1276" s="0" t="str">
        <f aca="false">IF(I1276="","",IF(AND(J1276&gt;=1,J1276&lt;=K1276+3),IF(J1276&lt;=K1276,IF(J1276&lt;=99,IF((INDEX(Eingabe!$G$9:$G$18,I1276))&lt;=9,1000+(INDEX(Eingabe!$G$9:$G$18,I1276))*100,3000)+J1276,IF((INDEX(Eingabe!$G$9:$G$18,I1276)+1)&lt;=9,1000+(INDEX(Eingabe!$G$9:$G$18,I1276)+1)*100,3000)+J1276-100),IF(J1276=K1276+1,2000+INDEX(Eingabe!$G$9:$G$18,I1276)*10+1,IF(J1276=K1276+2,2000+INDEX(Eingabe!$G$9:$G$18,I1276)*10+2,2000+INDEX(Eingabe!$G$9:$G$18,I1276)*10+9))),""))</f>
        <v/>
      </c>
      <c r="C1276" s="0" t="str">
        <f aca="false">IF(I1276="","",IF(AND(J1276&gt;=1,J1276&lt;=K1276+3),"10."&amp;INDEX(Eingabe!$D$9:$D$18,I1276)&amp;"."&amp;IF(J1276&lt;=K1276,J1276,IF(J1276=K1276+1,200,IF(J1276=K1276+2,201,250)))&amp;".0/24",""))</f>
        <v/>
      </c>
      <c r="D1276" s="0" t="str">
        <f aca="false">IF(I1276="","",IF(AND(J1276&gt;=1,J1276&lt;=K1276+3),"255.255.255.0",""))</f>
        <v/>
      </c>
      <c r="E1276" s="0" t="str">
        <f aca="false">IF(I1276="","",IF(AND(J1276&gt;=1,J1276&lt;=K1276+3),"10."&amp;INDEX(Eingabe!$D$9:$D$18,I1276)&amp;"."&amp;IF(J1276&lt;=K1276,J1276,IF(J1276=K1276+1,200,IF(J1276=K1276+2,201,250)))&amp;".1",""))</f>
        <v/>
      </c>
      <c r="F1276" s="0" t="str">
        <f aca="false">IF(I1276="","",IF(AND(J1276&gt;=1,J1276&lt;=K1276+3),"10."&amp;INDEX(Eingabe!$D$9:$D$18,I1276)&amp;"."&amp;IF(J1276&lt;=K1276,J1276,IF(J1276=K1276+1,200,IF(J1276=K1276+2,201,250)))&amp;".10 – 10."&amp;INDEX(Eingabe!$D$9:$D$18,I1276)&amp;"."&amp;IF(J1276&lt;=K1276,J1276,IF(J1276=K1276+1,200,IF(J1276=K1276+2,201,250)))&amp;".250",""))</f>
        <v/>
      </c>
      <c r="G1276" s="0" t="str">
        <f aca="false">IF(I1276="","",IF(AND(J1276&gt;=1,J1276&lt;=K1276),Eingabe!$B$6&amp;"-"&amp;INDEX(Eingabe!$C$9:$C$18,I1276)&amp;"-Pächter  ·  Passwort Parzelle "&amp;J1276,IF(J1276=K1276+1,Eingabe!$B$6&amp;"-"&amp;INDEX(Eingabe!$C$9:$C$18,I1276)&amp;"-Vorstand  ·  eigenes WLAN",IF(J1276=K1276+2,Eingabe!$B$6&amp;"-"&amp;INDEX(Eingabe!$C$9:$C$18,I1276)&amp;"-Gäste  ·  Voucher",IF(J1276=K1276+3,"Kabel  ·  Access Point y = .(50+y), Mast-Switch x = .(10+x)","")))))</f>
        <v/>
      </c>
      <c r="I1276" s="0" t="str">
        <f aca="false">IF(1271&lt;=(Eingabe!$P$18+Eingabe!$Q$18-1),MATCH(1271,Eingabe!$P$9:$P$18,1),"")</f>
        <v/>
      </c>
      <c r="J1276" s="0" t="str">
        <f aca="false">IF(I1276="","",1271-INDEX(Eingabe!$P$9:$P$18,I1276))</f>
        <v/>
      </c>
      <c r="K1276" s="0" t="str">
        <f aca="false">IF(I1276="","",INDEX(Eingabe!$E$9:$E$18,I1276))</f>
        <v/>
      </c>
    </row>
    <row r="1277" customFormat="false" ht="15" hidden="false" customHeight="false" outlineLevel="0" collapsed="false">
      <c r="A1277" s="0" t="str">
        <f aca="false">IF(I1277="","",IF(J1277=0,"Sparte "&amp;I1277&amp;": "&amp;INDEX(Eingabe!$B$9:$B$18,I1277)&amp;"  (Sparten-ID "&amp;INDEX(Eingabe!$D$9:$D$18,I1277)&amp;", "&amp;K1277&amp;" Parzellen)",IF(J1277&lt;=K1277,"   Parzelle "&amp;J1277,IF(J1277=K1277+1,"   Vorstand",IF(J1277=K1277+2,"   Gäste",IF(J1277=K1277+3,"   Technik (Switches, Access Points)",""))))))</f>
        <v/>
      </c>
      <c r="B1277" s="0" t="str">
        <f aca="false">IF(I1277="","",IF(AND(J1277&gt;=1,J1277&lt;=K1277+3),IF(J1277&lt;=K1277,IF(J1277&lt;=99,IF((INDEX(Eingabe!$G$9:$G$18,I1277))&lt;=9,1000+(INDEX(Eingabe!$G$9:$G$18,I1277))*100,3000)+J1277,IF((INDEX(Eingabe!$G$9:$G$18,I1277)+1)&lt;=9,1000+(INDEX(Eingabe!$G$9:$G$18,I1277)+1)*100,3000)+J1277-100),IF(J1277=K1277+1,2000+INDEX(Eingabe!$G$9:$G$18,I1277)*10+1,IF(J1277=K1277+2,2000+INDEX(Eingabe!$G$9:$G$18,I1277)*10+2,2000+INDEX(Eingabe!$G$9:$G$18,I1277)*10+9))),""))</f>
        <v/>
      </c>
      <c r="C1277" s="0" t="str">
        <f aca="false">IF(I1277="","",IF(AND(J1277&gt;=1,J1277&lt;=K1277+3),"10."&amp;INDEX(Eingabe!$D$9:$D$18,I1277)&amp;"."&amp;IF(J1277&lt;=K1277,J1277,IF(J1277=K1277+1,200,IF(J1277=K1277+2,201,250)))&amp;".0/24",""))</f>
        <v/>
      </c>
      <c r="D1277" s="0" t="str">
        <f aca="false">IF(I1277="","",IF(AND(J1277&gt;=1,J1277&lt;=K1277+3),"255.255.255.0",""))</f>
        <v/>
      </c>
      <c r="E1277" s="0" t="str">
        <f aca="false">IF(I1277="","",IF(AND(J1277&gt;=1,J1277&lt;=K1277+3),"10."&amp;INDEX(Eingabe!$D$9:$D$18,I1277)&amp;"."&amp;IF(J1277&lt;=K1277,J1277,IF(J1277=K1277+1,200,IF(J1277=K1277+2,201,250)))&amp;".1",""))</f>
        <v/>
      </c>
      <c r="F1277" s="0" t="str">
        <f aca="false">IF(I1277="","",IF(AND(J1277&gt;=1,J1277&lt;=K1277+3),"10."&amp;INDEX(Eingabe!$D$9:$D$18,I1277)&amp;"."&amp;IF(J1277&lt;=K1277,J1277,IF(J1277=K1277+1,200,IF(J1277=K1277+2,201,250)))&amp;".10 – 10."&amp;INDEX(Eingabe!$D$9:$D$18,I1277)&amp;"."&amp;IF(J1277&lt;=K1277,J1277,IF(J1277=K1277+1,200,IF(J1277=K1277+2,201,250)))&amp;".250",""))</f>
        <v/>
      </c>
      <c r="G1277" s="0" t="str">
        <f aca="false">IF(I1277="","",IF(AND(J1277&gt;=1,J1277&lt;=K1277),Eingabe!$B$6&amp;"-"&amp;INDEX(Eingabe!$C$9:$C$18,I1277)&amp;"-Pächter  ·  Passwort Parzelle "&amp;J1277,IF(J1277=K1277+1,Eingabe!$B$6&amp;"-"&amp;INDEX(Eingabe!$C$9:$C$18,I1277)&amp;"-Vorstand  ·  eigenes WLAN",IF(J1277=K1277+2,Eingabe!$B$6&amp;"-"&amp;INDEX(Eingabe!$C$9:$C$18,I1277)&amp;"-Gäste  ·  Voucher",IF(J1277=K1277+3,"Kabel  ·  Access Point y = .(50+y), Mast-Switch x = .(10+x)","")))))</f>
        <v/>
      </c>
      <c r="I1277" s="0" t="str">
        <f aca="false">IF(1272&lt;=(Eingabe!$P$18+Eingabe!$Q$18-1),MATCH(1272,Eingabe!$P$9:$P$18,1),"")</f>
        <v/>
      </c>
      <c r="J1277" s="0" t="str">
        <f aca="false">IF(I1277="","",1272-INDEX(Eingabe!$P$9:$P$18,I1277))</f>
        <v/>
      </c>
      <c r="K1277" s="0" t="str">
        <f aca="false">IF(I1277="","",INDEX(Eingabe!$E$9:$E$18,I1277))</f>
        <v/>
      </c>
    </row>
    <row r="1278" customFormat="false" ht="15" hidden="false" customHeight="false" outlineLevel="0" collapsed="false">
      <c r="A1278" s="0" t="str">
        <f aca="false">IF(I1278="","",IF(J1278=0,"Sparte "&amp;I1278&amp;": "&amp;INDEX(Eingabe!$B$9:$B$18,I1278)&amp;"  (Sparten-ID "&amp;INDEX(Eingabe!$D$9:$D$18,I1278)&amp;", "&amp;K1278&amp;" Parzellen)",IF(J1278&lt;=K1278,"   Parzelle "&amp;J1278,IF(J1278=K1278+1,"   Vorstand",IF(J1278=K1278+2,"   Gäste",IF(J1278=K1278+3,"   Technik (Switches, Access Points)",""))))))</f>
        <v/>
      </c>
      <c r="B1278" s="0" t="str">
        <f aca="false">IF(I1278="","",IF(AND(J1278&gt;=1,J1278&lt;=K1278+3),IF(J1278&lt;=K1278,IF(J1278&lt;=99,IF((INDEX(Eingabe!$G$9:$G$18,I1278))&lt;=9,1000+(INDEX(Eingabe!$G$9:$G$18,I1278))*100,3000)+J1278,IF((INDEX(Eingabe!$G$9:$G$18,I1278)+1)&lt;=9,1000+(INDEX(Eingabe!$G$9:$G$18,I1278)+1)*100,3000)+J1278-100),IF(J1278=K1278+1,2000+INDEX(Eingabe!$G$9:$G$18,I1278)*10+1,IF(J1278=K1278+2,2000+INDEX(Eingabe!$G$9:$G$18,I1278)*10+2,2000+INDEX(Eingabe!$G$9:$G$18,I1278)*10+9))),""))</f>
        <v/>
      </c>
      <c r="C1278" s="0" t="str">
        <f aca="false">IF(I1278="","",IF(AND(J1278&gt;=1,J1278&lt;=K1278+3),"10."&amp;INDEX(Eingabe!$D$9:$D$18,I1278)&amp;"."&amp;IF(J1278&lt;=K1278,J1278,IF(J1278=K1278+1,200,IF(J1278=K1278+2,201,250)))&amp;".0/24",""))</f>
        <v/>
      </c>
      <c r="D1278" s="0" t="str">
        <f aca="false">IF(I1278="","",IF(AND(J1278&gt;=1,J1278&lt;=K1278+3),"255.255.255.0",""))</f>
        <v/>
      </c>
      <c r="E1278" s="0" t="str">
        <f aca="false">IF(I1278="","",IF(AND(J1278&gt;=1,J1278&lt;=K1278+3),"10."&amp;INDEX(Eingabe!$D$9:$D$18,I1278)&amp;"."&amp;IF(J1278&lt;=K1278,J1278,IF(J1278=K1278+1,200,IF(J1278=K1278+2,201,250)))&amp;".1",""))</f>
        <v/>
      </c>
      <c r="F1278" s="0" t="str">
        <f aca="false">IF(I1278="","",IF(AND(J1278&gt;=1,J1278&lt;=K1278+3),"10."&amp;INDEX(Eingabe!$D$9:$D$18,I1278)&amp;"."&amp;IF(J1278&lt;=K1278,J1278,IF(J1278=K1278+1,200,IF(J1278=K1278+2,201,250)))&amp;".10 – 10."&amp;INDEX(Eingabe!$D$9:$D$18,I1278)&amp;"."&amp;IF(J1278&lt;=K1278,J1278,IF(J1278=K1278+1,200,IF(J1278=K1278+2,201,250)))&amp;".250",""))</f>
        <v/>
      </c>
      <c r="G1278" s="0" t="str">
        <f aca="false">IF(I1278="","",IF(AND(J1278&gt;=1,J1278&lt;=K1278),Eingabe!$B$6&amp;"-"&amp;INDEX(Eingabe!$C$9:$C$18,I1278)&amp;"-Pächter  ·  Passwort Parzelle "&amp;J1278,IF(J1278=K1278+1,Eingabe!$B$6&amp;"-"&amp;INDEX(Eingabe!$C$9:$C$18,I1278)&amp;"-Vorstand  ·  eigenes WLAN",IF(J1278=K1278+2,Eingabe!$B$6&amp;"-"&amp;INDEX(Eingabe!$C$9:$C$18,I1278)&amp;"-Gäste  ·  Voucher",IF(J1278=K1278+3,"Kabel  ·  Access Point y = .(50+y), Mast-Switch x = .(10+x)","")))))</f>
        <v/>
      </c>
      <c r="I1278" s="0" t="str">
        <f aca="false">IF(1273&lt;=(Eingabe!$P$18+Eingabe!$Q$18-1),MATCH(1273,Eingabe!$P$9:$P$18,1),"")</f>
        <v/>
      </c>
      <c r="J1278" s="0" t="str">
        <f aca="false">IF(I1278="","",1273-INDEX(Eingabe!$P$9:$P$18,I1278))</f>
        <v/>
      </c>
      <c r="K1278" s="0" t="str">
        <f aca="false">IF(I1278="","",INDEX(Eingabe!$E$9:$E$18,I1278))</f>
        <v/>
      </c>
    </row>
    <row r="1279" customFormat="false" ht="15" hidden="false" customHeight="false" outlineLevel="0" collapsed="false">
      <c r="A1279" s="0" t="str">
        <f aca="false">IF(I1279="","",IF(J1279=0,"Sparte "&amp;I1279&amp;": "&amp;INDEX(Eingabe!$B$9:$B$18,I1279)&amp;"  (Sparten-ID "&amp;INDEX(Eingabe!$D$9:$D$18,I1279)&amp;", "&amp;K1279&amp;" Parzellen)",IF(J1279&lt;=K1279,"   Parzelle "&amp;J1279,IF(J1279=K1279+1,"   Vorstand",IF(J1279=K1279+2,"   Gäste",IF(J1279=K1279+3,"   Technik (Switches, Access Points)",""))))))</f>
        <v/>
      </c>
      <c r="B1279" s="0" t="str">
        <f aca="false">IF(I1279="","",IF(AND(J1279&gt;=1,J1279&lt;=K1279+3),IF(J1279&lt;=K1279,IF(J1279&lt;=99,IF((INDEX(Eingabe!$G$9:$G$18,I1279))&lt;=9,1000+(INDEX(Eingabe!$G$9:$G$18,I1279))*100,3000)+J1279,IF((INDEX(Eingabe!$G$9:$G$18,I1279)+1)&lt;=9,1000+(INDEX(Eingabe!$G$9:$G$18,I1279)+1)*100,3000)+J1279-100),IF(J1279=K1279+1,2000+INDEX(Eingabe!$G$9:$G$18,I1279)*10+1,IF(J1279=K1279+2,2000+INDEX(Eingabe!$G$9:$G$18,I1279)*10+2,2000+INDEX(Eingabe!$G$9:$G$18,I1279)*10+9))),""))</f>
        <v/>
      </c>
      <c r="C1279" s="0" t="str">
        <f aca="false">IF(I1279="","",IF(AND(J1279&gt;=1,J1279&lt;=K1279+3),"10."&amp;INDEX(Eingabe!$D$9:$D$18,I1279)&amp;"."&amp;IF(J1279&lt;=K1279,J1279,IF(J1279=K1279+1,200,IF(J1279=K1279+2,201,250)))&amp;".0/24",""))</f>
        <v/>
      </c>
      <c r="D1279" s="0" t="str">
        <f aca="false">IF(I1279="","",IF(AND(J1279&gt;=1,J1279&lt;=K1279+3),"255.255.255.0",""))</f>
        <v/>
      </c>
      <c r="E1279" s="0" t="str">
        <f aca="false">IF(I1279="","",IF(AND(J1279&gt;=1,J1279&lt;=K1279+3),"10."&amp;INDEX(Eingabe!$D$9:$D$18,I1279)&amp;"."&amp;IF(J1279&lt;=K1279,J1279,IF(J1279=K1279+1,200,IF(J1279=K1279+2,201,250)))&amp;".1",""))</f>
        <v/>
      </c>
      <c r="F1279" s="0" t="str">
        <f aca="false">IF(I1279="","",IF(AND(J1279&gt;=1,J1279&lt;=K1279+3),"10."&amp;INDEX(Eingabe!$D$9:$D$18,I1279)&amp;"."&amp;IF(J1279&lt;=K1279,J1279,IF(J1279=K1279+1,200,IF(J1279=K1279+2,201,250)))&amp;".10 – 10."&amp;INDEX(Eingabe!$D$9:$D$18,I1279)&amp;"."&amp;IF(J1279&lt;=K1279,J1279,IF(J1279=K1279+1,200,IF(J1279=K1279+2,201,250)))&amp;".250",""))</f>
        <v/>
      </c>
      <c r="G1279" s="0" t="str">
        <f aca="false">IF(I1279="","",IF(AND(J1279&gt;=1,J1279&lt;=K1279),Eingabe!$B$6&amp;"-"&amp;INDEX(Eingabe!$C$9:$C$18,I1279)&amp;"-Pächter  ·  Passwort Parzelle "&amp;J1279,IF(J1279=K1279+1,Eingabe!$B$6&amp;"-"&amp;INDEX(Eingabe!$C$9:$C$18,I1279)&amp;"-Vorstand  ·  eigenes WLAN",IF(J1279=K1279+2,Eingabe!$B$6&amp;"-"&amp;INDEX(Eingabe!$C$9:$C$18,I1279)&amp;"-Gäste  ·  Voucher",IF(J1279=K1279+3,"Kabel  ·  Access Point y = .(50+y), Mast-Switch x = .(10+x)","")))))</f>
        <v/>
      </c>
      <c r="I1279" s="0" t="str">
        <f aca="false">IF(1274&lt;=(Eingabe!$P$18+Eingabe!$Q$18-1),MATCH(1274,Eingabe!$P$9:$P$18,1),"")</f>
        <v/>
      </c>
      <c r="J1279" s="0" t="str">
        <f aca="false">IF(I1279="","",1274-INDEX(Eingabe!$P$9:$P$18,I1279))</f>
        <v/>
      </c>
      <c r="K1279" s="0" t="str">
        <f aca="false">IF(I1279="","",INDEX(Eingabe!$E$9:$E$18,I1279))</f>
        <v/>
      </c>
    </row>
    <row r="1280" customFormat="false" ht="15" hidden="false" customHeight="false" outlineLevel="0" collapsed="false">
      <c r="A1280" s="0" t="str">
        <f aca="false">IF(I1280="","",IF(J1280=0,"Sparte "&amp;I1280&amp;": "&amp;INDEX(Eingabe!$B$9:$B$18,I1280)&amp;"  (Sparten-ID "&amp;INDEX(Eingabe!$D$9:$D$18,I1280)&amp;", "&amp;K1280&amp;" Parzellen)",IF(J1280&lt;=K1280,"   Parzelle "&amp;J1280,IF(J1280=K1280+1,"   Vorstand",IF(J1280=K1280+2,"   Gäste",IF(J1280=K1280+3,"   Technik (Switches, Access Points)",""))))))</f>
        <v/>
      </c>
      <c r="B1280" s="0" t="str">
        <f aca="false">IF(I1280="","",IF(AND(J1280&gt;=1,J1280&lt;=K1280+3),IF(J1280&lt;=K1280,IF(J1280&lt;=99,IF((INDEX(Eingabe!$G$9:$G$18,I1280))&lt;=9,1000+(INDEX(Eingabe!$G$9:$G$18,I1280))*100,3000)+J1280,IF((INDEX(Eingabe!$G$9:$G$18,I1280)+1)&lt;=9,1000+(INDEX(Eingabe!$G$9:$G$18,I1280)+1)*100,3000)+J1280-100),IF(J1280=K1280+1,2000+INDEX(Eingabe!$G$9:$G$18,I1280)*10+1,IF(J1280=K1280+2,2000+INDEX(Eingabe!$G$9:$G$18,I1280)*10+2,2000+INDEX(Eingabe!$G$9:$G$18,I1280)*10+9))),""))</f>
        <v/>
      </c>
      <c r="C1280" s="0" t="str">
        <f aca="false">IF(I1280="","",IF(AND(J1280&gt;=1,J1280&lt;=K1280+3),"10."&amp;INDEX(Eingabe!$D$9:$D$18,I1280)&amp;"."&amp;IF(J1280&lt;=K1280,J1280,IF(J1280=K1280+1,200,IF(J1280=K1280+2,201,250)))&amp;".0/24",""))</f>
        <v/>
      </c>
      <c r="D1280" s="0" t="str">
        <f aca="false">IF(I1280="","",IF(AND(J1280&gt;=1,J1280&lt;=K1280+3),"255.255.255.0",""))</f>
        <v/>
      </c>
      <c r="E1280" s="0" t="str">
        <f aca="false">IF(I1280="","",IF(AND(J1280&gt;=1,J1280&lt;=K1280+3),"10."&amp;INDEX(Eingabe!$D$9:$D$18,I1280)&amp;"."&amp;IF(J1280&lt;=K1280,J1280,IF(J1280=K1280+1,200,IF(J1280=K1280+2,201,250)))&amp;".1",""))</f>
        <v/>
      </c>
      <c r="F1280" s="0" t="str">
        <f aca="false">IF(I1280="","",IF(AND(J1280&gt;=1,J1280&lt;=K1280+3),"10."&amp;INDEX(Eingabe!$D$9:$D$18,I1280)&amp;"."&amp;IF(J1280&lt;=K1280,J1280,IF(J1280=K1280+1,200,IF(J1280=K1280+2,201,250)))&amp;".10 – 10."&amp;INDEX(Eingabe!$D$9:$D$18,I1280)&amp;"."&amp;IF(J1280&lt;=K1280,J1280,IF(J1280=K1280+1,200,IF(J1280=K1280+2,201,250)))&amp;".250",""))</f>
        <v/>
      </c>
      <c r="G1280" s="0" t="str">
        <f aca="false">IF(I1280="","",IF(AND(J1280&gt;=1,J1280&lt;=K1280),Eingabe!$B$6&amp;"-"&amp;INDEX(Eingabe!$C$9:$C$18,I1280)&amp;"-Pächter  ·  Passwort Parzelle "&amp;J1280,IF(J1280=K1280+1,Eingabe!$B$6&amp;"-"&amp;INDEX(Eingabe!$C$9:$C$18,I1280)&amp;"-Vorstand  ·  eigenes WLAN",IF(J1280=K1280+2,Eingabe!$B$6&amp;"-"&amp;INDEX(Eingabe!$C$9:$C$18,I1280)&amp;"-Gäste  ·  Voucher",IF(J1280=K1280+3,"Kabel  ·  Access Point y = .(50+y), Mast-Switch x = .(10+x)","")))))</f>
        <v/>
      </c>
      <c r="I1280" s="0" t="str">
        <f aca="false">IF(1275&lt;=(Eingabe!$P$18+Eingabe!$Q$18-1),MATCH(1275,Eingabe!$P$9:$P$18,1),"")</f>
        <v/>
      </c>
      <c r="J1280" s="0" t="str">
        <f aca="false">IF(I1280="","",1275-INDEX(Eingabe!$P$9:$P$18,I1280))</f>
        <v/>
      </c>
      <c r="K1280" s="0" t="str">
        <f aca="false">IF(I1280="","",INDEX(Eingabe!$E$9:$E$18,I1280))</f>
        <v/>
      </c>
    </row>
    <row r="1281" customFormat="false" ht="15" hidden="false" customHeight="false" outlineLevel="0" collapsed="false">
      <c r="A1281" s="0" t="str">
        <f aca="false">IF(I1281="","",IF(J1281=0,"Sparte "&amp;I1281&amp;": "&amp;INDEX(Eingabe!$B$9:$B$18,I1281)&amp;"  (Sparten-ID "&amp;INDEX(Eingabe!$D$9:$D$18,I1281)&amp;", "&amp;K1281&amp;" Parzellen)",IF(J1281&lt;=K1281,"   Parzelle "&amp;J1281,IF(J1281=K1281+1,"   Vorstand",IF(J1281=K1281+2,"   Gäste",IF(J1281=K1281+3,"   Technik (Switches, Access Points)",""))))))</f>
        <v/>
      </c>
      <c r="B1281" s="0" t="str">
        <f aca="false">IF(I1281="","",IF(AND(J1281&gt;=1,J1281&lt;=K1281+3),IF(J1281&lt;=K1281,IF(J1281&lt;=99,IF((INDEX(Eingabe!$G$9:$G$18,I1281))&lt;=9,1000+(INDEX(Eingabe!$G$9:$G$18,I1281))*100,3000)+J1281,IF((INDEX(Eingabe!$G$9:$G$18,I1281)+1)&lt;=9,1000+(INDEX(Eingabe!$G$9:$G$18,I1281)+1)*100,3000)+J1281-100),IF(J1281=K1281+1,2000+INDEX(Eingabe!$G$9:$G$18,I1281)*10+1,IF(J1281=K1281+2,2000+INDEX(Eingabe!$G$9:$G$18,I1281)*10+2,2000+INDEX(Eingabe!$G$9:$G$18,I1281)*10+9))),""))</f>
        <v/>
      </c>
      <c r="C1281" s="0" t="str">
        <f aca="false">IF(I1281="","",IF(AND(J1281&gt;=1,J1281&lt;=K1281+3),"10."&amp;INDEX(Eingabe!$D$9:$D$18,I1281)&amp;"."&amp;IF(J1281&lt;=K1281,J1281,IF(J1281=K1281+1,200,IF(J1281=K1281+2,201,250)))&amp;".0/24",""))</f>
        <v/>
      </c>
      <c r="D1281" s="0" t="str">
        <f aca="false">IF(I1281="","",IF(AND(J1281&gt;=1,J1281&lt;=K1281+3),"255.255.255.0",""))</f>
        <v/>
      </c>
      <c r="E1281" s="0" t="str">
        <f aca="false">IF(I1281="","",IF(AND(J1281&gt;=1,J1281&lt;=K1281+3),"10."&amp;INDEX(Eingabe!$D$9:$D$18,I1281)&amp;"."&amp;IF(J1281&lt;=K1281,J1281,IF(J1281=K1281+1,200,IF(J1281=K1281+2,201,250)))&amp;".1",""))</f>
        <v/>
      </c>
      <c r="F1281" s="0" t="str">
        <f aca="false">IF(I1281="","",IF(AND(J1281&gt;=1,J1281&lt;=K1281+3),"10."&amp;INDEX(Eingabe!$D$9:$D$18,I1281)&amp;"."&amp;IF(J1281&lt;=K1281,J1281,IF(J1281=K1281+1,200,IF(J1281=K1281+2,201,250)))&amp;".10 – 10."&amp;INDEX(Eingabe!$D$9:$D$18,I1281)&amp;"."&amp;IF(J1281&lt;=K1281,J1281,IF(J1281=K1281+1,200,IF(J1281=K1281+2,201,250)))&amp;".250",""))</f>
        <v/>
      </c>
      <c r="G1281" s="0" t="str">
        <f aca="false">IF(I1281="","",IF(AND(J1281&gt;=1,J1281&lt;=K1281),Eingabe!$B$6&amp;"-"&amp;INDEX(Eingabe!$C$9:$C$18,I1281)&amp;"-Pächter  ·  Passwort Parzelle "&amp;J1281,IF(J1281=K1281+1,Eingabe!$B$6&amp;"-"&amp;INDEX(Eingabe!$C$9:$C$18,I1281)&amp;"-Vorstand  ·  eigenes WLAN",IF(J1281=K1281+2,Eingabe!$B$6&amp;"-"&amp;INDEX(Eingabe!$C$9:$C$18,I1281)&amp;"-Gäste  ·  Voucher",IF(J1281=K1281+3,"Kabel  ·  Access Point y = .(50+y), Mast-Switch x = .(10+x)","")))))</f>
        <v/>
      </c>
      <c r="I1281" s="0" t="str">
        <f aca="false">IF(1276&lt;=(Eingabe!$P$18+Eingabe!$Q$18-1),MATCH(1276,Eingabe!$P$9:$P$18,1),"")</f>
        <v/>
      </c>
      <c r="J1281" s="0" t="str">
        <f aca="false">IF(I1281="","",1276-INDEX(Eingabe!$P$9:$P$18,I1281))</f>
        <v/>
      </c>
      <c r="K1281" s="0" t="str">
        <f aca="false">IF(I1281="","",INDEX(Eingabe!$E$9:$E$18,I1281))</f>
        <v/>
      </c>
    </row>
    <row r="1282" customFormat="false" ht="15" hidden="false" customHeight="false" outlineLevel="0" collapsed="false">
      <c r="A1282" s="0" t="str">
        <f aca="false">IF(I1282="","",IF(J1282=0,"Sparte "&amp;I1282&amp;": "&amp;INDEX(Eingabe!$B$9:$B$18,I1282)&amp;"  (Sparten-ID "&amp;INDEX(Eingabe!$D$9:$D$18,I1282)&amp;", "&amp;K1282&amp;" Parzellen)",IF(J1282&lt;=K1282,"   Parzelle "&amp;J1282,IF(J1282=K1282+1,"   Vorstand",IF(J1282=K1282+2,"   Gäste",IF(J1282=K1282+3,"   Technik (Switches, Access Points)",""))))))</f>
        <v/>
      </c>
      <c r="B1282" s="0" t="str">
        <f aca="false">IF(I1282="","",IF(AND(J1282&gt;=1,J1282&lt;=K1282+3),IF(J1282&lt;=K1282,IF(J1282&lt;=99,IF((INDEX(Eingabe!$G$9:$G$18,I1282))&lt;=9,1000+(INDEX(Eingabe!$G$9:$G$18,I1282))*100,3000)+J1282,IF((INDEX(Eingabe!$G$9:$G$18,I1282)+1)&lt;=9,1000+(INDEX(Eingabe!$G$9:$G$18,I1282)+1)*100,3000)+J1282-100),IF(J1282=K1282+1,2000+INDEX(Eingabe!$G$9:$G$18,I1282)*10+1,IF(J1282=K1282+2,2000+INDEX(Eingabe!$G$9:$G$18,I1282)*10+2,2000+INDEX(Eingabe!$G$9:$G$18,I1282)*10+9))),""))</f>
        <v/>
      </c>
      <c r="C1282" s="0" t="str">
        <f aca="false">IF(I1282="","",IF(AND(J1282&gt;=1,J1282&lt;=K1282+3),"10."&amp;INDEX(Eingabe!$D$9:$D$18,I1282)&amp;"."&amp;IF(J1282&lt;=K1282,J1282,IF(J1282=K1282+1,200,IF(J1282=K1282+2,201,250)))&amp;".0/24",""))</f>
        <v/>
      </c>
      <c r="D1282" s="0" t="str">
        <f aca="false">IF(I1282="","",IF(AND(J1282&gt;=1,J1282&lt;=K1282+3),"255.255.255.0",""))</f>
        <v/>
      </c>
      <c r="E1282" s="0" t="str">
        <f aca="false">IF(I1282="","",IF(AND(J1282&gt;=1,J1282&lt;=K1282+3),"10."&amp;INDEX(Eingabe!$D$9:$D$18,I1282)&amp;"."&amp;IF(J1282&lt;=K1282,J1282,IF(J1282=K1282+1,200,IF(J1282=K1282+2,201,250)))&amp;".1",""))</f>
        <v/>
      </c>
      <c r="F1282" s="0" t="str">
        <f aca="false">IF(I1282="","",IF(AND(J1282&gt;=1,J1282&lt;=K1282+3),"10."&amp;INDEX(Eingabe!$D$9:$D$18,I1282)&amp;"."&amp;IF(J1282&lt;=K1282,J1282,IF(J1282=K1282+1,200,IF(J1282=K1282+2,201,250)))&amp;".10 – 10."&amp;INDEX(Eingabe!$D$9:$D$18,I1282)&amp;"."&amp;IF(J1282&lt;=K1282,J1282,IF(J1282=K1282+1,200,IF(J1282=K1282+2,201,250)))&amp;".250",""))</f>
        <v/>
      </c>
      <c r="G1282" s="0" t="str">
        <f aca="false">IF(I1282="","",IF(AND(J1282&gt;=1,J1282&lt;=K1282),Eingabe!$B$6&amp;"-"&amp;INDEX(Eingabe!$C$9:$C$18,I1282)&amp;"-Pächter  ·  Passwort Parzelle "&amp;J1282,IF(J1282=K1282+1,Eingabe!$B$6&amp;"-"&amp;INDEX(Eingabe!$C$9:$C$18,I1282)&amp;"-Vorstand  ·  eigenes WLAN",IF(J1282=K1282+2,Eingabe!$B$6&amp;"-"&amp;INDEX(Eingabe!$C$9:$C$18,I1282)&amp;"-Gäste  ·  Voucher",IF(J1282=K1282+3,"Kabel  ·  Access Point y = .(50+y), Mast-Switch x = .(10+x)","")))))</f>
        <v/>
      </c>
      <c r="I1282" s="0" t="str">
        <f aca="false">IF(1277&lt;=(Eingabe!$P$18+Eingabe!$Q$18-1),MATCH(1277,Eingabe!$P$9:$P$18,1),"")</f>
        <v/>
      </c>
      <c r="J1282" s="0" t="str">
        <f aca="false">IF(I1282="","",1277-INDEX(Eingabe!$P$9:$P$18,I1282))</f>
        <v/>
      </c>
      <c r="K1282" s="0" t="str">
        <f aca="false">IF(I1282="","",INDEX(Eingabe!$E$9:$E$18,I1282))</f>
        <v/>
      </c>
    </row>
    <row r="1283" customFormat="false" ht="15" hidden="false" customHeight="false" outlineLevel="0" collapsed="false">
      <c r="A1283" s="0" t="str">
        <f aca="false">IF(I1283="","",IF(J1283=0,"Sparte "&amp;I1283&amp;": "&amp;INDEX(Eingabe!$B$9:$B$18,I1283)&amp;"  (Sparten-ID "&amp;INDEX(Eingabe!$D$9:$D$18,I1283)&amp;", "&amp;K1283&amp;" Parzellen)",IF(J1283&lt;=K1283,"   Parzelle "&amp;J1283,IF(J1283=K1283+1,"   Vorstand",IF(J1283=K1283+2,"   Gäste",IF(J1283=K1283+3,"   Technik (Switches, Access Points)",""))))))</f>
        <v/>
      </c>
      <c r="B1283" s="0" t="str">
        <f aca="false">IF(I1283="","",IF(AND(J1283&gt;=1,J1283&lt;=K1283+3),IF(J1283&lt;=K1283,IF(J1283&lt;=99,IF((INDEX(Eingabe!$G$9:$G$18,I1283))&lt;=9,1000+(INDEX(Eingabe!$G$9:$G$18,I1283))*100,3000)+J1283,IF((INDEX(Eingabe!$G$9:$G$18,I1283)+1)&lt;=9,1000+(INDEX(Eingabe!$G$9:$G$18,I1283)+1)*100,3000)+J1283-100),IF(J1283=K1283+1,2000+INDEX(Eingabe!$G$9:$G$18,I1283)*10+1,IF(J1283=K1283+2,2000+INDEX(Eingabe!$G$9:$G$18,I1283)*10+2,2000+INDEX(Eingabe!$G$9:$G$18,I1283)*10+9))),""))</f>
        <v/>
      </c>
      <c r="C1283" s="0" t="str">
        <f aca="false">IF(I1283="","",IF(AND(J1283&gt;=1,J1283&lt;=K1283+3),"10."&amp;INDEX(Eingabe!$D$9:$D$18,I1283)&amp;"."&amp;IF(J1283&lt;=K1283,J1283,IF(J1283=K1283+1,200,IF(J1283=K1283+2,201,250)))&amp;".0/24",""))</f>
        <v/>
      </c>
      <c r="D1283" s="0" t="str">
        <f aca="false">IF(I1283="","",IF(AND(J1283&gt;=1,J1283&lt;=K1283+3),"255.255.255.0",""))</f>
        <v/>
      </c>
      <c r="E1283" s="0" t="str">
        <f aca="false">IF(I1283="","",IF(AND(J1283&gt;=1,J1283&lt;=K1283+3),"10."&amp;INDEX(Eingabe!$D$9:$D$18,I1283)&amp;"."&amp;IF(J1283&lt;=K1283,J1283,IF(J1283=K1283+1,200,IF(J1283=K1283+2,201,250)))&amp;".1",""))</f>
        <v/>
      </c>
      <c r="F1283" s="0" t="str">
        <f aca="false">IF(I1283="","",IF(AND(J1283&gt;=1,J1283&lt;=K1283+3),"10."&amp;INDEX(Eingabe!$D$9:$D$18,I1283)&amp;"."&amp;IF(J1283&lt;=K1283,J1283,IF(J1283=K1283+1,200,IF(J1283=K1283+2,201,250)))&amp;".10 – 10."&amp;INDEX(Eingabe!$D$9:$D$18,I1283)&amp;"."&amp;IF(J1283&lt;=K1283,J1283,IF(J1283=K1283+1,200,IF(J1283=K1283+2,201,250)))&amp;".250",""))</f>
        <v/>
      </c>
      <c r="G1283" s="0" t="str">
        <f aca="false">IF(I1283="","",IF(AND(J1283&gt;=1,J1283&lt;=K1283),Eingabe!$B$6&amp;"-"&amp;INDEX(Eingabe!$C$9:$C$18,I1283)&amp;"-Pächter  ·  Passwort Parzelle "&amp;J1283,IF(J1283=K1283+1,Eingabe!$B$6&amp;"-"&amp;INDEX(Eingabe!$C$9:$C$18,I1283)&amp;"-Vorstand  ·  eigenes WLAN",IF(J1283=K1283+2,Eingabe!$B$6&amp;"-"&amp;INDEX(Eingabe!$C$9:$C$18,I1283)&amp;"-Gäste  ·  Voucher",IF(J1283=K1283+3,"Kabel  ·  Access Point y = .(50+y), Mast-Switch x = .(10+x)","")))))</f>
        <v/>
      </c>
      <c r="I1283" s="0" t="str">
        <f aca="false">IF(1278&lt;=(Eingabe!$P$18+Eingabe!$Q$18-1),MATCH(1278,Eingabe!$P$9:$P$18,1),"")</f>
        <v/>
      </c>
      <c r="J1283" s="0" t="str">
        <f aca="false">IF(I1283="","",1278-INDEX(Eingabe!$P$9:$P$18,I1283))</f>
        <v/>
      </c>
      <c r="K1283" s="0" t="str">
        <f aca="false">IF(I1283="","",INDEX(Eingabe!$E$9:$E$18,I1283))</f>
        <v/>
      </c>
    </row>
    <row r="1284" customFormat="false" ht="15" hidden="false" customHeight="false" outlineLevel="0" collapsed="false">
      <c r="A1284" s="0" t="str">
        <f aca="false">IF(I1284="","",IF(J1284=0,"Sparte "&amp;I1284&amp;": "&amp;INDEX(Eingabe!$B$9:$B$18,I1284)&amp;"  (Sparten-ID "&amp;INDEX(Eingabe!$D$9:$D$18,I1284)&amp;", "&amp;K1284&amp;" Parzellen)",IF(J1284&lt;=K1284,"   Parzelle "&amp;J1284,IF(J1284=K1284+1,"   Vorstand",IF(J1284=K1284+2,"   Gäste",IF(J1284=K1284+3,"   Technik (Switches, Access Points)",""))))))</f>
        <v/>
      </c>
      <c r="B1284" s="0" t="str">
        <f aca="false">IF(I1284="","",IF(AND(J1284&gt;=1,J1284&lt;=K1284+3),IF(J1284&lt;=K1284,IF(J1284&lt;=99,IF((INDEX(Eingabe!$G$9:$G$18,I1284))&lt;=9,1000+(INDEX(Eingabe!$G$9:$G$18,I1284))*100,3000)+J1284,IF((INDEX(Eingabe!$G$9:$G$18,I1284)+1)&lt;=9,1000+(INDEX(Eingabe!$G$9:$G$18,I1284)+1)*100,3000)+J1284-100),IF(J1284=K1284+1,2000+INDEX(Eingabe!$G$9:$G$18,I1284)*10+1,IF(J1284=K1284+2,2000+INDEX(Eingabe!$G$9:$G$18,I1284)*10+2,2000+INDEX(Eingabe!$G$9:$G$18,I1284)*10+9))),""))</f>
        <v/>
      </c>
      <c r="C1284" s="0" t="str">
        <f aca="false">IF(I1284="","",IF(AND(J1284&gt;=1,J1284&lt;=K1284+3),"10."&amp;INDEX(Eingabe!$D$9:$D$18,I1284)&amp;"."&amp;IF(J1284&lt;=K1284,J1284,IF(J1284=K1284+1,200,IF(J1284=K1284+2,201,250)))&amp;".0/24",""))</f>
        <v/>
      </c>
      <c r="D1284" s="0" t="str">
        <f aca="false">IF(I1284="","",IF(AND(J1284&gt;=1,J1284&lt;=K1284+3),"255.255.255.0",""))</f>
        <v/>
      </c>
      <c r="E1284" s="0" t="str">
        <f aca="false">IF(I1284="","",IF(AND(J1284&gt;=1,J1284&lt;=K1284+3),"10."&amp;INDEX(Eingabe!$D$9:$D$18,I1284)&amp;"."&amp;IF(J1284&lt;=K1284,J1284,IF(J1284=K1284+1,200,IF(J1284=K1284+2,201,250)))&amp;".1",""))</f>
        <v/>
      </c>
      <c r="F1284" s="0" t="str">
        <f aca="false">IF(I1284="","",IF(AND(J1284&gt;=1,J1284&lt;=K1284+3),"10."&amp;INDEX(Eingabe!$D$9:$D$18,I1284)&amp;"."&amp;IF(J1284&lt;=K1284,J1284,IF(J1284=K1284+1,200,IF(J1284=K1284+2,201,250)))&amp;".10 – 10."&amp;INDEX(Eingabe!$D$9:$D$18,I1284)&amp;"."&amp;IF(J1284&lt;=K1284,J1284,IF(J1284=K1284+1,200,IF(J1284=K1284+2,201,250)))&amp;".250",""))</f>
        <v/>
      </c>
      <c r="G1284" s="0" t="str">
        <f aca="false">IF(I1284="","",IF(AND(J1284&gt;=1,J1284&lt;=K1284),Eingabe!$B$6&amp;"-"&amp;INDEX(Eingabe!$C$9:$C$18,I1284)&amp;"-Pächter  ·  Passwort Parzelle "&amp;J1284,IF(J1284=K1284+1,Eingabe!$B$6&amp;"-"&amp;INDEX(Eingabe!$C$9:$C$18,I1284)&amp;"-Vorstand  ·  eigenes WLAN",IF(J1284=K1284+2,Eingabe!$B$6&amp;"-"&amp;INDEX(Eingabe!$C$9:$C$18,I1284)&amp;"-Gäste  ·  Voucher",IF(J1284=K1284+3,"Kabel  ·  Access Point y = .(50+y), Mast-Switch x = .(10+x)","")))))</f>
        <v/>
      </c>
      <c r="I1284" s="0" t="str">
        <f aca="false">IF(1279&lt;=(Eingabe!$P$18+Eingabe!$Q$18-1),MATCH(1279,Eingabe!$P$9:$P$18,1),"")</f>
        <v/>
      </c>
      <c r="J1284" s="0" t="str">
        <f aca="false">IF(I1284="","",1279-INDEX(Eingabe!$P$9:$P$18,I1284))</f>
        <v/>
      </c>
      <c r="K1284" s="0" t="str">
        <f aca="false">IF(I1284="","",INDEX(Eingabe!$E$9:$E$18,I1284))</f>
        <v/>
      </c>
    </row>
    <row r="1285" customFormat="false" ht="15" hidden="false" customHeight="false" outlineLevel="0" collapsed="false">
      <c r="A1285" s="0" t="str">
        <f aca="false">IF(I1285="","",IF(J1285=0,"Sparte "&amp;I1285&amp;": "&amp;INDEX(Eingabe!$B$9:$B$18,I1285)&amp;"  (Sparten-ID "&amp;INDEX(Eingabe!$D$9:$D$18,I1285)&amp;", "&amp;K1285&amp;" Parzellen)",IF(J1285&lt;=K1285,"   Parzelle "&amp;J1285,IF(J1285=K1285+1,"   Vorstand",IF(J1285=K1285+2,"   Gäste",IF(J1285=K1285+3,"   Technik (Switches, Access Points)",""))))))</f>
        <v/>
      </c>
      <c r="B1285" s="0" t="str">
        <f aca="false">IF(I1285="","",IF(AND(J1285&gt;=1,J1285&lt;=K1285+3),IF(J1285&lt;=K1285,IF(J1285&lt;=99,IF((INDEX(Eingabe!$G$9:$G$18,I1285))&lt;=9,1000+(INDEX(Eingabe!$G$9:$G$18,I1285))*100,3000)+J1285,IF((INDEX(Eingabe!$G$9:$G$18,I1285)+1)&lt;=9,1000+(INDEX(Eingabe!$G$9:$G$18,I1285)+1)*100,3000)+J1285-100),IF(J1285=K1285+1,2000+INDEX(Eingabe!$G$9:$G$18,I1285)*10+1,IF(J1285=K1285+2,2000+INDEX(Eingabe!$G$9:$G$18,I1285)*10+2,2000+INDEX(Eingabe!$G$9:$G$18,I1285)*10+9))),""))</f>
        <v/>
      </c>
      <c r="C1285" s="0" t="str">
        <f aca="false">IF(I1285="","",IF(AND(J1285&gt;=1,J1285&lt;=K1285+3),"10."&amp;INDEX(Eingabe!$D$9:$D$18,I1285)&amp;"."&amp;IF(J1285&lt;=K1285,J1285,IF(J1285=K1285+1,200,IF(J1285=K1285+2,201,250)))&amp;".0/24",""))</f>
        <v/>
      </c>
      <c r="D1285" s="0" t="str">
        <f aca="false">IF(I1285="","",IF(AND(J1285&gt;=1,J1285&lt;=K1285+3),"255.255.255.0",""))</f>
        <v/>
      </c>
      <c r="E1285" s="0" t="str">
        <f aca="false">IF(I1285="","",IF(AND(J1285&gt;=1,J1285&lt;=K1285+3),"10."&amp;INDEX(Eingabe!$D$9:$D$18,I1285)&amp;"."&amp;IF(J1285&lt;=K1285,J1285,IF(J1285=K1285+1,200,IF(J1285=K1285+2,201,250)))&amp;".1",""))</f>
        <v/>
      </c>
      <c r="F1285" s="0" t="str">
        <f aca="false">IF(I1285="","",IF(AND(J1285&gt;=1,J1285&lt;=K1285+3),"10."&amp;INDEX(Eingabe!$D$9:$D$18,I1285)&amp;"."&amp;IF(J1285&lt;=K1285,J1285,IF(J1285=K1285+1,200,IF(J1285=K1285+2,201,250)))&amp;".10 – 10."&amp;INDEX(Eingabe!$D$9:$D$18,I1285)&amp;"."&amp;IF(J1285&lt;=K1285,J1285,IF(J1285=K1285+1,200,IF(J1285=K1285+2,201,250)))&amp;".250",""))</f>
        <v/>
      </c>
      <c r="G1285" s="0" t="str">
        <f aca="false">IF(I1285="","",IF(AND(J1285&gt;=1,J1285&lt;=K1285),Eingabe!$B$6&amp;"-"&amp;INDEX(Eingabe!$C$9:$C$18,I1285)&amp;"-Pächter  ·  Passwort Parzelle "&amp;J1285,IF(J1285=K1285+1,Eingabe!$B$6&amp;"-"&amp;INDEX(Eingabe!$C$9:$C$18,I1285)&amp;"-Vorstand  ·  eigenes WLAN",IF(J1285=K1285+2,Eingabe!$B$6&amp;"-"&amp;INDEX(Eingabe!$C$9:$C$18,I1285)&amp;"-Gäste  ·  Voucher",IF(J1285=K1285+3,"Kabel  ·  Access Point y = .(50+y), Mast-Switch x = .(10+x)","")))))</f>
        <v/>
      </c>
      <c r="I1285" s="0" t="str">
        <f aca="false">IF(1280&lt;=(Eingabe!$P$18+Eingabe!$Q$18-1),MATCH(1280,Eingabe!$P$9:$P$18,1),"")</f>
        <v/>
      </c>
      <c r="J1285" s="0" t="str">
        <f aca="false">IF(I1285="","",1280-INDEX(Eingabe!$P$9:$P$18,I1285))</f>
        <v/>
      </c>
      <c r="K1285" s="0" t="str">
        <f aca="false">IF(I1285="","",INDEX(Eingabe!$E$9:$E$18,I1285))</f>
        <v/>
      </c>
    </row>
    <row r="1286" customFormat="false" ht="15" hidden="false" customHeight="false" outlineLevel="0" collapsed="false">
      <c r="A1286" s="0" t="str">
        <f aca="false">IF(I1286="","",IF(J1286=0,"Sparte "&amp;I1286&amp;": "&amp;INDEX(Eingabe!$B$9:$B$18,I1286)&amp;"  (Sparten-ID "&amp;INDEX(Eingabe!$D$9:$D$18,I1286)&amp;", "&amp;K1286&amp;" Parzellen)",IF(J1286&lt;=K1286,"   Parzelle "&amp;J1286,IF(J1286=K1286+1,"   Vorstand",IF(J1286=K1286+2,"   Gäste",IF(J1286=K1286+3,"   Technik (Switches, Access Points)",""))))))</f>
        <v/>
      </c>
      <c r="B1286" s="0" t="str">
        <f aca="false">IF(I1286="","",IF(AND(J1286&gt;=1,J1286&lt;=K1286+3),IF(J1286&lt;=K1286,IF(J1286&lt;=99,IF((INDEX(Eingabe!$G$9:$G$18,I1286))&lt;=9,1000+(INDEX(Eingabe!$G$9:$G$18,I1286))*100,3000)+J1286,IF((INDEX(Eingabe!$G$9:$G$18,I1286)+1)&lt;=9,1000+(INDEX(Eingabe!$G$9:$G$18,I1286)+1)*100,3000)+J1286-100),IF(J1286=K1286+1,2000+INDEX(Eingabe!$G$9:$G$18,I1286)*10+1,IF(J1286=K1286+2,2000+INDEX(Eingabe!$G$9:$G$18,I1286)*10+2,2000+INDEX(Eingabe!$G$9:$G$18,I1286)*10+9))),""))</f>
        <v/>
      </c>
      <c r="C1286" s="0" t="str">
        <f aca="false">IF(I1286="","",IF(AND(J1286&gt;=1,J1286&lt;=K1286+3),"10."&amp;INDEX(Eingabe!$D$9:$D$18,I1286)&amp;"."&amp;IF(J1286&lt;=K1286,J1286,IF(J1286=K1286+1,200,IF(J1286=K1286+2,201,250)))&amp;".0/24",""))</f>
        <v/>
      </c>
      <c r="D1286" s="0" t="str">
        <f aca="false">IF(I1286="","",IF(AND(J1286&gt;=1,J1286&lt;=K1286+3),"255.255.255.0",""))</f>
        <v/>
      </c>
      <c r="E1286" s="0" t="str">
        <f aca="false">IF(I1286="","",IF(AND(J1286&gt;=1,J1286&lt;=K1286+3),"10."&amp;INDEX(Eingabe!$D$9:$D$18,I1286)&amp;"."&amp;IF(J1286&lt;=K1286,J1286,IF(J1286=K1286+1,200,IF(J1286=K1286+2,201,250)))&amp;".1",""))</f>
        <v/>
      </c>
      <c r="F1286" s="0" t="str">
        <f aca="false">IF(I1286="","",IF(AND(J1286&gt;=1,J1286&lt;=K1286+3),"10."&amp;INDEX(Eingabe!$D$9:$D$18,I1286)&amp;"."&amp;IF(J1286&lt;=K1286,J1286,IF(J1286=K1286+1,200,IF(J1286=K1286+2,201,250)))&amp;".10 – 10."&amp;INDEX(Eingabe!$D$9:$D$18,I1286)&amp;"."&amp;IF(J1286&lt;=K1286,J1286,IF(J1286=K1286+1,200,IF(J1286=K1286+2,201,250)))&amp;".250",""))</f>
        <v/>
      </c>
      <c r="G1286" s="0" t="str">
        <f aca="false">IF(I1286="","",IF(AND(J1286&gt;=1,J1286&lt;=K1286),Eingabe!$B$6&amp;"-"&amp;INDEX(Eingabe!$C$9:$C$18,I1286)&amp;"-Pächter  ·  Passwort Parzelle "&amp;J1286,IF(J1286=K1286+1,Eingabe!$B$6&amp;"-"&amp;INDEX(Eingabe!$C$9:$C$18,I1286)&amp;"-Vorstand  ·  eigenes WLAN",IF(J1286=K1286+2,Eingabe!$B$6&amp;"-"&amp;INDEX(Eingabe!$C$9:$C$18,I1286)&amp;"-Gäste  ·  Voucher",IF(J1286=K1286+3,"Kabel  ·  Access Point y = .(50+y), Mast-Switch x = .(10+x)","")))))</f>
        <v/>
      </c>
      <c r="I1286" s="0" t="str">
        <f aca="false">IF(1281&lt;=(Eingabe!$P$18+Eingabe!$Q$18-1),MATCH(1281,Eingabe!$P$9:$P$18,1),"")</f>
        <v/>
      </c>
      <c r="J1286" s="0" t="str">
        <f aca="false">IF(I1286="","",1281-INDEX(Eingabe!$P$9:$P$18,I1286))</f>
        <v/>
      </c>
      <c r="K1286" s="0" t="str">
        <f aca="false">IF(I1286="","",INDEX(Eingabe!$E$9:$E$18,I1286))</f>
        <v/>
      </c>
    </row>
    <row r="1287" customFormat="false" ht="15" hidden="false" customHeight="false" outlineLevel="0" collapsed="false">
      <c r="A1287" s="0" t="str">
        <f aca="false">IF(I1287="","",IF(J1287=0,"Sparte "&amp;I1287&amp;": "&amp;INDEX(Eingabe!$B$9:$B$18,I1287)&amp;"  (Sparten-ID "&amp;INDEX(Eingabe!$D$9:$D$18,I1287)&amp;", "&amp;K1287&amp;" Parzellen)",IF(J1287&lt;=K1287,"   Parzelle "&amp;J1287,IF(J1287=K1287+1,"   Vorstand",IF(J1287=K1287+2,"   Gäste",IF(J1287=K1287+3,"   Technik (Switches, Access Points)",""))))))</f>
        <v/>
      </c>
      <c r="B1287" s="0" t="str">
        <f aca="false">IF(I1287="","",IF(AND(J1287&gt;=1,J1287&lt;=K1287+3),IF(J1287&lt;=K1287,IF(J1287&lt;=99,IF((INDEX(Eingabe!$G$9:$G$18,I1287))&lt;=9,1000+(INDEX(Eingabe!$G$9:$G$18,I1287))*100,3000)+J1287,IF((INDEX(Eingabe!$G$9:$G$18,I1287)+1)&lt;=9,1000+(INDEX(Eingabe!$G$9:$G$18,I1287)+1)*100,3000)+J1287-100),IF(J1287=K1287+1,2000+INDEX(Eingabe!$G$9:$G$18,I1287)*10+1,IF(J1287=K1287+2,2000+INDEX(Eingabe!$G$9:$G$18,I1287)*10+2,2000+INDEX(Eingabe!$G$9:$G$18,I1287)*10+9))),""))</f>
        <v/>
      </c>
      <c r="C1287" s="0" t="str">
        <f aca="false">IF(I1287="","",IF(AND(J1287&gt;=1,J1287&lt;=K1287+3),"10."&amp;INDEX(Eingabe!$D$9:$D$18,I1287)&amp;"."&amp;IF(J1287&lt;=K1287,J1287,IF(J1287=K1287+1,200,IF(J1287=K1287+2,201,250)))&amp;".0/24",""))</f>
        <v/>
      </c>
      <c r="D1287" s="0" t="str">
        <f aca="false">IF(I1287="","",IF(AND(J1287&gt;=1,J1287&lt;=K1287+3),"255.255.255.0",""))</f>
        <v/>
      </c>
      <c r="E1287" s="0" t="str">
        <f aca="false">IF(I1287="","",IF(AND(J1287&gt;=1,J1287&lt;=K1287+3),"10."&amp;INDEX(Eingabe!$D$9:$D$18,I1287)&amp;"."&amp;IF(J1287&lt;=K1287,J1287,IF(J1287=K1287+1,200,IF(J1287=K1287+2,201,250)))&amp;".1",""))</f>
        <v/>
      </c>
      <c r="F1287" s="0" t="str">
        <f aca="false">IF(I1287="","",IF(AND(J1287&gt;=1,J1287&lt;=K1287+3),"10."&amp;INDEX(Eingabe!$D$9:$D$18,I1287)&amp;"."&amp;IF(J1287&lt;=K1287,J1287,IF(J1287=K1287+1,200,IF(J1287=K1287+2,201,250)))&amp;".10 – 10."&amp;INDEX(Eingabe!$D$9:$D$18,I1287)&amp;"."&amp;IF(J1287&lt;=K1287,J1287,IF(J1287=K1287+1,200,IF(J1287=K1287+2,201,250)))&amp;".250",""))</f>
        <v/>
      </c>
      <c r="G1287" s="0" t="str">
        <f aca="false">IF(I1287="","",IF(AND(J1287&gt;=1,J1287&lt;=K1287),Eingabe!$B$6&amp;"-"&amp;INDEX(Eingabe!$C$9:$C$18,I1287)&amp;"-Pächter  ·  Passwort Parzelle "&amp;J1287,IF(J1287=K1287+1,Eingabe!$B$6&amp;"-"&amp;INDEX(Eingabe!$C$9:$C$18,I1287)&amp;"-Vorstand  ·  eigenes WLAN",IF(J1287=K1287+2,Eingabe!$B$6&amp;"-"&amp;INDEX(Eingabe!$C$9:$C$18,I1287)&amp;"-Gäste  ·  Voucher",IF(J1287=K1287+3,"Kabel  ·  Access Point y = .(50+y), Mast-Switch x = .(10+x)","")))))</f>
        <v/>
      </c>
      <c r="I1287" s="0" t="str">
        <f aca="false">IF(1282&lt;=(Eingabe!$P$18+Eingabe!$Q$18-1),MATCH(1282,Eingabe!$P$9:$P$18,1),"")</f>
        <v/>
      </c>
      <c r="J1287" s="0" t="str">
        <f aca="false">IF(I1287="","",1282-INDEX(Eingabe!$P$9:$P$18,I1287))</f>
        <v/>
      </c>
      <c r="K1287" s="0" t="str">
        <f aca="false">IF(I1287="","",INDEX(Eingabe!$E$9:$E$18,I1287))</f>
        <v/>
      </c>
    </row>
    <row r="1288" customFormat="false" ht="15" hidden="false" customHeight="false" outlineLevel="0" collapsed="false">
      <c r="A1288" s="0" t="str">
        <f aca="false">IF(I1288="","",IF(J1288=0,"Sparte "&amp;I1288&amp;": "&amp;INDEX(Eingabe!$B$9:$B$18,I1288)&amp;"  (Sparten-ID "&amp;INDEX(Eingabe!$D$9:$D$18,I1288)&amp;", "&amp;K1288&amp;" Parzellen)",IF(J1288&lt;=K1288,"   Parzelle "&amp;J1288,IF(J1288=K1288+1,"   Vorstand",IF(J1288=K1288+2,"   Gäste",IF(J1288=K1288+3,"   Technik (Switches, Access Points)",""))))))</f>
        <v/>
      </c>
      <c r="B1288" s="0" t="str">
        <f aca="false">IF(I1288="","",IF(AND(J1288&gt;=1,J1288&lt;=K1288+3),IF(J1288&lt;=K1288,IF(J1288&lt;=99,IF((INDEX(Eingabe!$G$9:$G$18,I1288))&lt;=9,1000+(INDEX(Eingabe!$G$9:$G$18,I1288))*100,3000)+J1288,IF((INDEX(Eingabe!$G$9:$G$18,I1288)+1)&lt;=9,1000+(INDEX(Eingabe!$G$9:$G$18,I1288)+1)*100,3000)+J1288-100),IF(J1288=K1288+1,2000+INDEX(Eingabe!$G$9:$G$18,I1288)*10+1,IF(J1288=K1288+2,2000+INDEX(Eingabe!$G$9:$G$18,I1288)*10+2,2000+INDEX(Eingabe!$G$9:$G$18,I1288)*10+9))),""))</f>
        <v/>
      </c>
      <c r="C1288" s="0" t="str">
        <f aca="false">IF(I1288="","",IF(AND(J1288&gt;=1,J1288&lt;=K1288+3),"10."&amp;INDEX(Eingabe!$D$9:$D$18,I1288)&amp;"."&amp;IF(J1288&lt;=K1288,J1288,IF(J1288=K1288+1,200,IF(J1288=K1288+2,201,250)))&amp;".0/24",""))</f>
        <v/>
      </c>
      <c r="D1288" s="0" t="str">
        <f aca="false">IF(I1288="","",IF(AND(J1288&gt;=1,J1288&lt;=K1288+3),"255.255.255.0",""))</f>
        <v/>
      </c>
      <c r="E1288" s="0" t="str">
        <f aca="false">IF(I1288="","",IF(AND(J1288&gt;=1,J1288&lt;=K1288+3),"10."&amp;INDEX(Eingabe!$D$9:$D$18,I1288)&amp;"."&amp;IF(J1288&lt;=K1288,J1288,IF(J1288=K1288+1,200,IF(J1288=K1288+2,201,250)))&amp;".1",""))</f>
        <v/>
      </c>
      <c r="F1288" s="0" t="str">
        <f aca="false">IF(I1288="","",IF(AND(J1288&gt;=1,J1288&lt;=K1288+3),"10."&amp;INDEX(Eingabe!$D$9:$D$18,I1288)&amp;"."&amp;IF(J1288&lt;=K1288,J1288,IF(J1288=K1288+1,200,IF(J1288=K1288+2,201,250)))&amp;".10 – 10."&amp;INDEX(Eingabe!$D$9:$D$18,I1288)&amp;"."&amp;IF(J1288&lt;=K1288,J1288,IF(J1288=K1288+1,200,IF(J1288=K1288+2,201,250)))&amp;".250",""))</f>
        <v/>
      </c>
      <c r="G1288" s="0" t="str">
        <f aca="false">IF(I1288="","",IF(AND(J1288&gt;=1,J1288&lt;=K1288),Eingabe!$B$6&amp;"-"&amp;INDEX(Eingabe!$C$9:$C$18,I1288)&amp;"-Pächter  ·  Passwort Parzelle "&amp;J1288,IF(J1288=K1288+1,Eingabe!$B$6&amp;"-"&amp;INDEX(Eingabe!$C$9:$C$18,I1288)&amp;"-Vorstand  ·  eigenes WLAN",IF(J1288=K1288+2,Eingabe!$B$6&amp;"-"&amp;INDEX(Eingabe!$C$9:$C$18,I1288)&amp;"-Gäste  ·  Voucher",IF(J1288=K1288+3,"Kabel  ·  Access Point y = .(50+y), Mast-Switch x = .(10+x)","")))))</f>
        <v/>
      </c>
      <c r="I1288" s="0" t="str">
        <f aca="false">IF(1283&lt;=(Eingabe!$P$18+Eingabe!$Q$18-1),MATCH(1283,Eingabe!$P$9:$P$18,1),"")</f>
        <v/>
      </c>
      <c r="J1288" s="0" t="str">
        <f aca="false">IF(I1288="","",1283-INDEX(Eingabe!$P$9:$P$18,I1288))</f>
        <v/>
      </c>
      <c r="K1288" s="0" t="str">
        <f aca="false">IF(I1288="","",INDEX(Eingabe!$E$9:$E$18,I1288))</f>
        <v/>
      </c>
    </row>
    <row r="1289" customFormat="false" ht="15" hidden="false" customHeight="false" outlineLevel="0" collapsed="false">
      <c r="A1289" s="0" t="str">
        <f aca="false">IF(I1289="","",IF(J1289=0,"Sparte "&amp;I1289&amp;": "&amp;INDEX(Eingabe!$B$9:$B$18,I1289)&amp;"  (Sparten-ID "&amp;INDEX(Eingabe!$D$9:$D$18,I1289)&amp;", "&amp;K1289&amp;" Parzellen)",IF(J1289&lt;=K1289,"   Parzelle "&amp;J1289,IF(J1289=K1289+1,"   Vorstand",IF(J1289=K1289+2,"   Gäste",IF(J1289=K1289+3,"   Technik (Switches, Access Points)",""))))))</f>
        <v/>
      </c>
      <c r="B1289" s="0" t="str">
        <f aca="false">IF(I1289="","",IF(AND(J1289&gt;=1,J1289&lt;=K1289+3),IF(J1289&lt;=K1289,IF(J1289&lt;=99,IF((INDEX(Eingabe!$G$9:$G$18,I1289))&lt;=9,1000+(INDEX(Eingabe!$G$9:$G$18,I1289))*100,3000)+J1289,IF((INDEX(Eingabe!$G$9:$G$18,I1289)+1)&lt;=9,1000+(INDEX(Eingabe!$G$9:$G$18,I1289)+1)*100,3000)+J1289-100),IF(J1289=K1289+1,2000+INDEX(Eingabe!$G$9:$G$18,I1289)*10+1,IF(J1289=K1289+2,2000+INDEX(Eingabe!$G$9:$G$18,I1289)*10+2,2000+INDEX(Eingabe!$G$9:$G$18,I1289)*10+9))),""))</f>
        <v/>
      </c>
      <c r="C1289" s="0" t="str">
        <f aca="false">IF(I1289="","",IF(AND(J1289&gt;=1,J1289&lt;=K1289+3),"10."&amp;INDEX(Eingabe!$D$9:$D$18,I1289)&amp;"."&amp;IF(J1289&lt;=K1289,J1289,IF(J1289=K1289+1,200,IF(J1289=K1289+2,201,250)))&amp;".0/24",""))</f>
        <v/>
      </c>
      <c r="D1289" s="0" t="str">
        <f aca="false">IF(I1289="","",IF(AND(J1289&gt;=1,J1289&lt;=K1289+3),"255.255.255.0",""))</f>
        <v/>
      </c>
      <c r="E1289" s="0" t="str">
        <f aca="false">IF(I1289="","",IF(AND(J1289&gt;=1,J1289&lt;=K1289+3),"10."&amp;INDEX(Eingabe!$D$9:$D$18,I1289)&amp;"."&amp;IF(J1289&lt;=K1289,J1289,IF(J1289=K1289+1,200,IF(J1289=K1289+2,201,250)))&amp;".1",""))</f>
        <v/>
      </c>
      <c r="F1289" s="0" t="str">
        <f aca="false">IF(I1289="","",IF(AND(J1289&gt;=1,J1289&lt;=K1289+3),"10."&amp;INDEX(Eingabe!$D$9:$D$18,I1289)&amp;"."&amp;IF(J1289&lt;=K1289,J1289,IF(J1289=K1289+1,200,IF(J1289=K1289+2,201,250)))&amp;".10 – 10."&amp;INDEX(Eingabe!$D$9:$D$18,I1289)&amp;"."&amp;IF(J1289&lt;=K1289,J1289,IF(J1289=K1289+1,200,IF(J1289=K1289+2,201,250)))&amp;".250",""))</f>
        <v/>
      </c>
      <c r="G1289" s="0" t="str">
        <f aca="false">IF(I1289="","",IF(AND(J1289&gt;=1,J1289&lt;=K1289),Eingabe!$B$6&amp;"-"&amp;INDEX(Eingabe!$C$9:$C$18,I1289)&amp;"-Pächter  ·  Passwort Parzelle "&amp;J1289,IF(J1289=K1289+1,Eingabe!$B$6&amp;"-"&amp;INDEX(Eingabe!$C$9:$C$18,I1289)&amp;"-Vorstand  ·  eigenes WLAN",IF(J1289=K1289+2,Eingabe!$B$6&amp;"-"&amp;INDEX(Eingabe!$C$9:$C$18,I1289)&amp;"-Gäste  ·  Voucher",IF(J1289=K1289+3,"Kabel  ·  Access Point y = .(50+y), Mast-Switch x = .(10+x)","")))))</f>
        <v/>
      </c>
      <c r="I1289" s="0" t="str">
        <f aca="false">IF(1284&lt;=(Eingabe!$P$18+Eingabe!$Q$18-1),MATCH(1284,Eingabe!$P$9:$P$18,1),"")</f>
        <v/>
      </c>
      <c r="J1289" s="0" t="str">
        <f aca="false">IF(I1289="","",1284-INDEX(Eingabe!$P$9:$P$18,I1289))</f>
        <v/>
      </c>
      <c r="K1289" s="0" t="str">
        <f aca="false">IF(I1289="","",INDEX(Eingabe!$E$9:$E$18,I1289))</f>
        <v/>
      </c>
    </row>
    <row r="1290" customFormat="false" ht="15" hidden="false" customHeight="false" outlineLevel="0" collapsed="false">
      <c r="A1290" s="0" t="str">
        <f aca="false">IF(I1290="","",IF(J1290=0,"Sparte "&amp;I1290&amp;": "&amp;INDEX(Eingabe!$B$9:$B$18,I1290)&amp;"  (Sparten-ID "&amp;INDEX(Eingabe!$D$9:$D$18,I1290)&amp;", "&amp;K1290&amp;" Parzellen)",IF(J1290&lt;=K1290,"   Parzelle "&amp;J1290,IF(J1290=K1290+1,"   Vorstand",IF(J1290=K1290+2,"   Gäste",IF(J1290=K1290+3,"   Technik (Switches, Access Points)",""))))))</f>
        <v/>
      </c>
      <c r="B1290" s="0" t="str">
        <f aca="false">IF(I1290="","",IF(AND(J1290&gt;=1,J1290&lt;=K1290+3),IF(J1290&lt;=K1290,IF(J1290&lt;=99,IF((INDEX(Eingabe!$G$9:$G$18,I1290))&lt;=9,1000+(INDEX(Eingabe!$G$9:$G$18,I1290))*100,3000)+J1290,IF((INDEX(Eingabe!$G$9:$G$18,I1290)+1)&lt;=9,1000+(INDEX(Eingabe!$G$9:$G$18,I1290)+1)*100,3000)+J1290-100),IF(J1290=K1290+1,2000+INDEX(Eingabe!$G$9:$G$18,I1290)*10+1,IF(J1290=K1290+2,2000+INDEX(Eingabe!$G$9:$G$18,I1290)*10+2,2000+INDEX(Eingabe!$G$9:$G$18,I1290)*10+9))),""))</f>
        <v/>
      </c>
      <c r="C1290" s="0" t="str">
        <f aca="false">IF(I1290="","",IF(AND(J1290&gt;=1,J1290&lt;=K1290+3),"10."&amp;INDEX(Eingabe!$D$9:$D$18,I1290)&amp;"."&amp;IF(J1290&lt;=K1290,J1290,IF(J1290=K1290+1,200,IF(J1290=K1290+2,201,250)))&amp;".0/24",""))</f>
        <v/>
      </c>
      <c r="D1290" s="0" t="str">
        <f aca="false">IF(I1290="","",IF(AND(J1290&gt;=1,J1290&lt;=K1290+3),"255.255.255.0",""))</f>
        <v/>
      </c>
      <c r="E1290" s="0" t="str">
        <f aca="false">IF(I1290="","",IF(AND(J1290&gt;=1,J1290&lt;=K1290+3),"10."&amp;INDEX(Eingabe!$D$9:$D$18,I1290)&amp;"."&amp;IF(J1290&lt;=K1290,J1290,IF(J1290=K1290+1,200,IF(J1290=K1290+2,201,250)))&amp;".1",""))</f>
        <v/>
      </c>
      <c r="F1290" s="0" t="str">
        <f aca="false">IF(I1290="","",IF(AND(J1290&gt;=1,J1290&lt;=K1290+3),"10."&amp;INDEX(Eingabe!$D$9:$D$18,I1290)&amp;"."&amp;IF(J1290&lt;=K1290,J1290,IF(J1290=K1290+1,200,IF(J1290=K1290+2,201,250)))&amp;".10 – 10."&amp;INDEX(Eingabe!$D$9:$D$18,I1290)&amp;"."&amp;IF(J1290&lt;=K1290,J1290,IF(J1290=K1290+1,200,IF(J1290=K1290+2,201,250)))&amp;".250",""))</f>
        <v/>
      </c>
      <c r="G1290" s="0" t="str">
        <f aca="false">IF(I1290="","",IF(AND(J1290&gt;=1,J1290&lt;=K1290),Eingabe!$B$6&amp;"-"&amp;INDEX(Eingabe!$C$9:$C$18,I1290)&amp;"-Pächter  ·  Passwort Parzelle "&amp;J1290,IF(J1290=K1290+1,Eingabe!$B$6&amp;"-"&amp;INDEX(Eingabe!$C$9:$C$18,I1290)&amp;"-Vorstand  ·  eigenes WLAN",IF(J1290=K1290+2,Eingabe!$B$6&amp;"-"&amp;INDEX(Eingabe!$C$9:$C$18,I1290)&amp;"-Gäste  ·  Voucher",IF(J1290=K1290+3,"Kabel  ·  Access Point y = .(50+y), Mast-Switch x = .(10+x)","")))))</f>
        <v/>
      </c>
      <c r="I1290" s="0" t="str">
        <f aca="false">IF(1285&lt;=(Eingabe!$P$18+Eingabe!$Q$18-1),MATCH(1285,Eingabe!$P$9:$P$18,1),"")</f>
        <v/>
      </c>
      <c r="J1290" s="0" t="str">
        <f aca="false">IF(I1290="","",1285-INDEX(Eingabe!$P$9:$P$18,I1290))</f>
        <v/>
      </c>
      <c r="K1290" s="0" t="str">
        <f aca="false">IF(I1290="","",INDEX(Eingabe!$E$9:$E$18,I1290))</f>
        <v/>
      </c>
    </row>
    <row r="1291" customFormat="false" ht="15" hidden="false" customHeight="false" outlineLevel="0" collapsed="false">
      <c r="A1291" s="0" t="str">
        <f aca="false">IF(I1291="","",IF(J1291=0,"Sparte "&amp;I1291&amp;": "&amp;INDEX(Eingabe!$B$9:$B$18,I1291)&amp;"  (Sparten-ID "&amp;INDEX(Eingabe!$D$9:$D$18,I1291)&amp;", "&amp;K1291&amp;" Parzellen)",IF(J1291&lt;=K1291,"   Parzelle "&amp;J1291,IF(J1291=K1291+1,"   Vorstand",IF(J1291=K1291+2,"   Gäste",IF(J1291=K1291+3,"   Technik (Switches, Access Points)",""))))))</f>
        <v/>
      </c>
      <c r="B1291" s="0" t="str">
        <f aca="false">IF(I1291="","",IF(AND(J1291&gt;=1,J1291&lt;=K1291+3),IF(J1291&lt;=K1291,IF(J1291&lt;=99,IF((INDEX(Eingabe!$G$9:$G$18,I1291))&lt;=9,1000+(INDEX(Eingabe!$G$9:$G$18,I1291))*100,3000)+J1291,IF((INDEX(Eingabe!$G$9:$G$18,I1291)+1)&lt;=9,1000+(INDEX(Eingabe!$G$9:$G$18,I1291)+1)*100,3000)+J1291-100),IF(J1291=K1291+1,2000+INDEX(Eingabe!$G$9:$G$18,I1291)*10+1,IF(J1291=K1291+2,2000+INDEX(Eingabe!$G$9:$G$18,I1291)*10+2,2000+INDEX(Eingabe!$G$9:$G$18,I1291)*10+9))),""))</f>
        <v/>
      </c>
      <c r="C1291" s="0" t="str">
        <f aca="false">IF(I1291="","",IF(AND(J1291&gt;=1,J1291&lt;=K1291+3),"10."&amp;INDEX(Eingabe!$D$9:$D$18,I1291)&amp;"."&amp;IF(J1291&lt;=K1291,J1291,IF(J1291=K1291+1,200,IF(J1291=K1291+2,201,250)))&amp;".0/24",""))</f>
        <v/>
      </c>
      <c r="D1291" s="0" t="str">
        <f aca="false">IF(I1291="","",IF(AND(J1291&gt;=1,J1291&lt;=K1291+3),"255.255.255.0",""))</f>
        <v/>
      </c>
      <c r="E1291" s="0" t="str">
        <f aca="false">IF(I1291="","",IF(AND(J1291&gt;=1,J1291&lt;=K1291+3),"10."&amp;INDEX(Eingabe!$D$9:$D$18,I1291)&amp;"."&amp;IF(J1291&lt;=K1291,J1291,IF(J1291=K1291+1,200,IF(J1291=K1291+2,201,250)))&amp;".1",""))</f>
        <v/>
      </c>
      <c r="F1291" s="0" t="str">
        <f aca="false">IF(I1291="","",IF(AND(J1291&gt;=1,J1291&lt;=K1291+3),"10."&amp;INDEX(Eingabe!$D$9:$D$18,I1291)&amp;"."&amp;IF(J1291&lt;=K1291,J1291,IF(J1291=K1291+1,200,IF(J1291=K1291+2,201,250)))&amp;".10 – 10."&amp;INDEX(Eingabe!$D$9:$D$18,I1291)&amp;"."&amp;IF(J1291&lt;=K1291,J1291,IF(J1291=K1291+1,200,IF(J1291=K1291+2,201,250)))&amp;".250",""))</f>
        <v/>
      </c>
      <c r="G1291" s="0" t="str">
        <f aca="false">IF(I1291="","",IF(AND(J1291&gt;=1,J1291&lt;=K1291),Eingabe!$B$6&amp;"-"&amp;INDEX(Eingabe!$C$9:$C$18,I1291)&amp;"-Pächter  ·  Passwort Parzelle "&amp;J1291,IF(J1291=K1291+1,Eingabe!$B$6&amp;"-"&amp;INDEX(Eingabe!$C$9:$C$18,I1291)&amp;"-Vorstand  ·  eigenes WLAN",IF(J1291=K1291+2,Eingabe!$B$6&amp;"-"&amp;INDEX(Eingabe!$C$9:$C$18,I1291)&amp;"-Gäste  ·  Voucher",IF(J1291=K1291+3,"Kabel  ·  Access Point y = .(50+y), Mast-Switch x = .(10+x)","")))))</f>
        <v/>
      </c>
      <c r="I1291" s="0" t="str">
        <f aca="false">IF(1286&lt;=(Eingabe!$P$18+Eingabe!$Q$18-1),MATCH(1286,Eingabe!$P$9:$P$18,1),"")</f>
        <v/>
      </c>
      <c r="J1291" s="0" t="str">
        <f aca="false">IF(I1291="","",1286-INDEX(Eingabe!$P$9:$P$18,I1291))</f>
        <v/>
      </c>
      <c r="K1291" s="0" t="str">
        <f aca="false">IF(I1291="","",INDEX(Eingabe!$E$9:$E$18,I1291))</f>
        <v/>
      </c>
    </row>
    <row r="1292" customFormat="false" ht="15" hidden="false" customHeight="false" outlineLevel="0" collapsed="false">
      <c r="A1292" s="0" t="str">
        <f aca="false">IF(I1292="","",IF(J1292=0,"Sparte "&amp;I1292&amp;": "&amp;INDEX(Eingabe!$B$9:$B$18,I1292)&amp;"  (Sparten-ID "&amp;INDEX(Eingabe!$D$9:$D$18,I1292)&amp;", "&amp;K1292&amp;" Parzellen)",IF(J1292&lt;=K1292,"   Parzelle "&amp;J1292,IF(J1292=K1292+1,"   Vorstand",IF(J1292=K1292+2,"   Gäste",IF(J1292=K1292+3,"   Technik (Switches, Access Points)",""))))))</f>
        <v/>
      </c>
      <c r="B1292" s="0" t="str">
        <f aca="false">IF(I1292="","",IF(AND(J1292&gt;=1,J1292&lt;=K1292+3),IF(J1292&lt;=K1292,IF(J1292&lt;=99,IF((INDEX(Eingabe!$G$9:$G$18,I1292))&lt;=9,1000+(INDEX(Eingabe!$G$9:$G$18,I1292))*100,3000)+J1292,IF((INDEX(Eingabe!$G$9:$G$18,I1292)+1)&lt;=9,1000+(INDEX(Eingabe!$G$9:$G$18,I1292)+1)*100,3000)+J1292-100),IF(J1292=K1292+1,2000+INDEX(Eingabe!$G$9:$G$18,I1292)*10+1,IF(J1292=K1292+2,2000+INDEX(Eingabe!$G$9:$G$18,I1292)*10+2,2000+INDEX(Eingabe!$G$9:$G$18,I1292)*10+9))),""))</f>
        <v/>
      </c>
      <c r="C1292" s="0" t="str">
        <f aca="false">IF(I1292="","",IF(AND(J1292&gt;=1,J1292&lt;=K1292+3),"10."&amp;INDEX(Eingabe!$D$9:$D$18,I1292)&amp;"."&amp;IF(J1292&lt;=K1292,J1292,IF(J1292=K1292+1,200,IF(J1292=K1292+2,201,250)))&amp;".0/24",""))</f>
        <v/>
      </c>
      <c r="D1292" s="0" t="str">
        <f aca="false">IF(I1292="","",IF(AND(J1292&gt;=1,J1292&lt;=K1292+3),"255.255.255.0",""))</f>
        <v/>
      </c>
      <c r="E1292" s="0" t="str">
        <f aca="false">IF(I1292="","",IF(AND(J1292&gt;=1,J1292&lt;=K1292+3),"10."&amp;INDEX(Eingabe!$D$9:$D$18,I1292)&amp;"."&amp;IF(J1292&lt;=K1292,J1292,IF(J1292=K1292+1,200,IF(J1292=K1292+2,201,250)))&amp;".1",""))</f>
        <v/>
      </c>
      <c r="F1292" s="0" t="str">
        <f aca="false">IF(I1292="","",IF(AND(J1292&gt;=1,J1292&lt;=K1292+3),"10."&amp;INDEX(Eingabe!$D$9:$D$18,I1292)&amp;"."&amp;IF(J1292&lt;=K1292,J1292,IF(J1292=K1292+1,200,IF(J1292=K1292+2,201,250)))&amp;".10 – 10."&amp;INDEX(Eingabe!$D$9:$D$18,I1292)&amp;"."&amp;IF(J1292&lt;=K1292,J1292,IF(J1292=K1292+1,200,IF(J1292=K1292+2,201,250)))&amp;".250",""))</f>
        <v/>
      </c>
      <c r="G1292" s="0" t="str">
        <f aca="false">IF(I1292="","",IF(AND(J1292&gt;=1,J1292&lt;=K1292),Eingabe!$B$6&amp;"-"&amp;INDEX(Eingabe!$C$9:$C$18,I1292)&amp;"-Pächter  ·  Passwort Parzelle "&amp;J1292,IF(J1292=K1292+1,Eingabe!$B$6&amp;"-"&amp;INDEX(Eingabe!$C$9:$C$18,I1292)&amp;"-Vorstand  ·  eigenes WLAN",IF(J1292=K1292+2,Eingabe!$B$6&amp;"-"&amp;INDEX(Eingabe!$C$9:$C$18,I1292)&amp;"-Gäste  ·  Voucher",IF(J1292=K1292+3,"Kabel  ·  Access Point y = .(50+y), Mast-Switch x = .(10+x)","")))))</f>
        <v/>
      </c>
      <c r="I1292" s="0" t="str">
        <f aca="false">IF(1287&lt;=(Eingabe!$P$18+Eingabe!$Q$18-1),MATCH(1287,Eingabe!$P$9:$P$18,1),"")</f>
        <v/>
      </c>
      <c r="J1292" s="0" t="str">
        <f aca="false">IF(I1292="","",1287-INDEX(Eingabe!$P$9:$P$18,I1292))</f>
        <v/>
      </c>
      <c r="K1292" s="0" t="str">
        <f aca="false">IF(I1292="","",INDEX(Eingabe!$E$9:$E$18,I1292))</f>
        <v/>
      </c>
    </row>
    <row r="1293" customFormat="false" ht="15" hidden="false" customHeight="false" outlineLevel="0" collapsed="false">
      <c r="A1293" s="0" t="str">
        <f aca="false">IF(I1293="","",IF(J1293=0,"Sparte "&amp;I1293&amp;": "&amp;INDEX(Eingabe!$B$9:$B$18,I1293)&amp;"  (Sparten-ID "&amp;INDEX(Eingabe!$D$9:$D$18,I1293)&amp;", "&amp;K1293&amp;" Parzellen)",IF(J1293&lt;=K1293,"   Parzelle "&amp;J1293,IF(J1293=K1293+1,"   Vorstand",IF(J1293=K1293+2,"   Gäste",IF(J1293=K1293+3,"   Technik (Switches, Access Points)",""))))))</f>
        <v/>
      </c>
      <c r="B1293" s="0" t="str">
        <f aca="false">IF(I1293="","",IF(AND(J1293&gt;=1,J1293&lt;=K1293+3),IF(J1293&lt;=K1293,IF(J1293&lt;=99,IF((INDEX(Eingabe!$G$9:$G$18,I1293))&lt;=9,1000+(INDEX(Eingabe!$G$9:$G$18,I1293))*100,3000)+J1293,IF((INDEX(Eingabe!$G$9:$G$18,I1293)+1)&lt;=9,1000+(INDEX(Eingabe!$G$9:$G$18,I1293)+1)*100,3000)+J1293-100),IF(J1293=K1293+1,2000+INDEX(Eingabe!$G$9:$G$18,I1293)*10+1,IF(J1293=K1293+2,2000+INDEX(Eingabe!$G$9:$G$18,I1293)*10+2,2000+INDEX(Eingabe!$G$9:$G$18,I1293)*10+9))),""))</f>
        <v/>
      </c>
      <c r="C1293" s="0" t="str">
        <f aca="false">IF(I1293="","",IF(AND(J1293&gt;=1,J1293&lt;=K1293+3),"10."&amp;INDEX(Eingabe!$D$9:$D$18,I1293)&amp;"."&amp;IF(J1293&lt;=K1293,J1293,IF(J1293=K1293+1,200,IF(J1293=K1293+2,201,250)))&amp;".0/24",""))</f>
        <v/>
      </c>
      <c r="D1293" s="0" t="str">
        <f aca="false">IF(I1293="","",IF(AND(J1293&gt;=1,J1293&lt;=K1293+3),"255.255.255.0",""))</f>
        <v/>
      </c>
      <c r="E1293" s="0" t="str">
        <f aca="false">IF(I1293="","",IF(AND(J1293&gt;=1,J1293&lt;=K1293+3),"10."&amp;INDEX(Eingabe!$D$9:$D$18,I1293)&amp;"."&amp;IF(J1293&lt;=K1293,J1293,IF(J1293=K1293+1,200,IF(J1293=K1293+2,201,250)))&amp;".1",""))</f>
        <v/>
      </c>
      <c r="F1293" s="0" t="str">
        <f aca="false">IF(I1293="","",IF(AND(J1293&gt;=1,J1293&lt;=K1293+3),"10."&amp;INDEX(Eingabe!$D$9:$D$18,I1293)&amp;"."&amp;IF(J1293&lt;=K1293,J1293,IF(J1293=K1293+1,200,IF(J1293=K1293+2,201,250)))&amp;".10 – 10."&amp;INDEX(Eingabe!$D$9:$D$18,I1293)&amp;"."&amp;IF(J1293&lt;=K1293,J1293,IF(J1293=K1293+1,200,IF(J1293=K1293+2,201,250)))&amp;".250",""))</f>
        <v/>
      </c>
      <c r="G1293" s="0" t="str">
        <f aca="false">IF(I1293="","",IF(AND(J1293&gt;=1,J1293&lt;=K1293),Eingabe!$B$6&amp;"-"&amp;INDEX(Eingabe!$C$9:$C$18,I1293)&amp;"-Pächter  ·  Passwort Parzelle "&amp;J1293,IF(J1293=K1293+1,Eingabe!$B$6&amp;"-"&amp;INDEX(Eingabe!$C$9:$C$18,I1293)&amp;"-Vorstand  ·  eigenes WLAN",IF(J1293=K1293+2,Eingabe!$B$6&amp;"-"&amp;INDEX(Eingabe!$C$9:$C$18,I1293)&amp;"-Gäste  ·  Voucher",IF(J1293=K1293+3,"Kabel  ·  Access Point y = .(50+y), Mast-Switch x = .(10+x)","")))))</f>
        <v/>
      </c>
      <c r="I1293" s="0" t="str">
        <f aca="false">IF(1288&lt;=(Eingabe!$P$18+Eingabe!$Q$18-1),MATCH(1288,Eingabe!$P$9:$P$18,1),"")</f>
        <v/>
      </c>
      <c r="J1293" s="0" t="str">
        <f aca="false">IF(I1293="","",1288-INDEX(Eingabe!$P$9:$P$18,I1293))</f>
        <v/>
      </c>
      <c r="K1293" s="0" t="str">
        <f aca="false">IF(I1293="","",INDEX(Eingabe!$E$9:$E$18,I1293))</f>
        <v/>
      </c>
    </row>
    <row r="1294" customFormat="false" ht="15" hidden="false" customHeight="false" outlineLevel="0" collapsed="false">
      <c r="A1294" s="0" t="str">
        <f aca="false">IF(I1294="","",IF(J1294=0,"Sparte "&amp;I1294&amp;": "&amp;INDEX(Eingabe!$B$9:$B$18,I1294)&amp;"  (Sparten-ID "&amp;INDEX(Eingabe!$D$9:$D$18,I1294)&amp;", "&amp;K1294&amp;" Parzellen)",IF(J1294&lt;=K1294,"   Parzelle "&amp;J1294,IF(J1294=K1294+1,"   Vorstand",IF(J1294=K1294+2,"   Gäste",IF(J1294=K1294+3,"   Technik (Switches, Access Points)",""))))))</f>
        <v/>
      </c>
      <c r="B1294" s="0" t="str">
        <f aca="false">IF(I1294="","",IF(AND(J1294&gt;=1,J1294&lt;=K1294+3),IF(J1294&lt;=K1294,IF(J1294&lt;=99,IF((INDEX(Eingabe!$G$9:$G$18,I1294))&lt;=9,1000+(INDEX(Eingabe!$G$9:$G$18,I1294))*100,3000)+J1294,IF((INDEX(Eingabe!$G$9:$G$18,I1294)+1)&lt;=9,1000+(INDEX(Eingabe!$G$9:$G$18,I1294)+1)*100,3000)+J1294-100),IF(J1294=K1294+1,2000+INDEX(Eingabe!$G$9:$G$18,I1294)*10+1,IF(J1294=K1294+2,2000+INDEX(Eingabe!$G$9:$G$18,I1294)*10+2,2000+INDEX(Eingabe!$G$9:$G$18,I1294)*10+9))),""))</f>
        <v/>
      </c>
      <c r="C1294" s="0" t="str">
        <f aca="false">IF(I1294="","",IF(AND(J1294&gt;=1,J1294&lt;=K1294+3),"10."&amp;INDEX(Eingabe!$D$9:$D$18,I1294)&amp;"."&amp;IF(J1294&lt;=K1294,J1294,IF(J1294=K1294+1,200,IF(J1294=K1294+2,201,250)))&amp;".0/24",""))</f>
        <v/>
      </c>
      <c r="D1294" s="0" t="str">
        <f aca="false">IF(I1294="","",IF(AND(J1294&gt;=1,J1294&lt;=K1294+3),"255.255.255.0",""))</f>
        <v/>
      </c>
      <c r="E1294" s="0" t="str">
        <f aca="false">IF(I1294="","",IF(AND(J1294&gt;=1,J1294&lt;=K1294+3),"10."&amp;INDEX(Eingabe!$D$9:$D$18,I1294)&amp;"."&amp;IF(J1294&lt;=K1294,J1294,IF(J1294=K1294+1,200,IF(J1294=K1294+2,201,250)))&amp;".1",""))</f>
        <v/>
      </c>
      <c r="F1294" s="0" t="str">
        <f aca="false">IF(I1294="","",IF(AND(J1294&gt;=1,J1294&lt;=K1294+3),"10."&amp;INDEX(Eingabe!$D$9:$D$18,I1294)&amp;"."&amp;IF(J1294&lt;=K1294,J1294,IF(J1294=K1294+1,200,IF(J1294=K1294+2,201,250)))&amp;".10 – 10."&amp;INDEX(Eingabe!$D$9:$D$18,I1294)&amp;"."&amp;IF(J1294&lt;=K1294,J1294,IF(J1294=K1294+1,200,IF(J1294=K1294+2,201,250)))&amp;".250",""))</f>
        <v/>
      </c>
      <c r="G1294" s="0" t="str">
        <f aca="false">IF(I1294="","",IF(AND(J1294&gt;=1,J1294&lt;=K1294),Eingabe!$B$6&amp;"-"&amp;INDEX(Eingabe!$C$9:$C$18,I1294)&amp;"-Pächter  ·  Passwort Parzelle "&amp;J1294,IF(J1294=K1294+1,Eingabe!$B$6&amp;"-"&amp;INDEX(Eingabe!$C$9:$C$18,I1294)&amp;"-Vorstand  ·  eigenes WLAN",IF(J1294=K1294+2,Eingabe!$B$6&amp;"-"&amp;INDEX(Eingabe!$C$9:$C$18,I1294)&amp;"-Gäste  ·  Voucher",IF(J1294=K1294+3,"Kabel  ·  Access Point y = .(50+y), Mast-Switch x = .(10+x)","")))))</f>
        <v/>
      </c>
      <c r="I1294" s="0" t="str">
        <f aca="false">IF(1289&lt;=(Eingabe!$P$18+Eingabe!$Q$18-1),MATCH(1289,Eingabe!$P$9:$P$18,1),"")</f>
        <v/>
      </c>
      <c r="J1294" s="0" t="str">
        <f aca="false">IF(I1294="","",1289-INDEX(Eingabe!$P$9:$P$18,I1294))</f>
        <v/>
      </c>
      <c r="K1294" s="0" t="str">
        <f aca="false">IF(I1294="","",INDEX(Eingabe!$E$9:$E$18,I1294))</f>
        <v/>
      </c>
    </row>
    <row r="1295" customFormat="false" ht="15" hidden="false" customHeight="false" outlineLevel="0" collapsed="false">
      <c r="A1295" s="0" t="str">
        <f aca="false">IF(I1295="","",IF(J1295=0,"Sparte "&amp;I1295&amp;": "&amp;INDEX(Eingabe!$B$9:$B$18,I1295)&amp;"  (Sparten-ID "&amp;INDEX(Eingabe!$D$9:$D$18,I1295)&amp;", "&amp;K1295&amp;" Parzellen)",IF(J1295&lt;=K1295,"   Parzelle "&amp;J1295,IF(J1295=K1295+1,"   Vorstand",IF(J1295=K1295+2,"   Gäste",IF(J1295=K1295+3,"   Technik (Switches, Access Points)",""))))))</f>
        <v/>
      </c>
      <c r="B1295" s="0" t="str">
        <f aca="false">IF(I1295="","",IF(AND(J1295&gt;=1,J1295&lt;=K1295+3),IF(J1295&lt;=K1295,IF(J1295&lt;=99,IF((INDEX(Eingabe!$G$9:$G$18,I1295))&lt;=9,1000+(INDEX(Eingabe!$G$9:$G$18,I1295))*100,3000)+J1295,IF((INDEX(Eingabe!$G$9:$G$18,I1295)+1)&lt;=9,1000+(INDEX(Eingabe!$G$9:$G$18,I1295)+1)*100,3000)+J1295-100),IF(J1295=K1295+1,2000+INDEX(Eingabe!$G$9:$G$18,I1295)*10+1,IF(J1295=K1295+2,2000+INDEX(Eingabe!$G$9:$G$18,I1295)*10+2,2000+INDEX(Eingabe!$G$9:$G$18,I1295)*10+9))),""))</f>
        <v/>
      </c>
      <c r="C1295" s="0" t="str">
        <f aca="false">IF(I1295="","",IF(AND(J1295&gt;=1,J1295&lt;=K1295+3),"10."&amp;INDEX(Eingabe!$D$9:$D$18,I1295)&amp;"."&amp;IF(J1295&lt;=K1295,J1295,IF(J1295=K1295+1,200,IF(J1295=K1295+2,201,250)))&amp;".0/24",""))</f>
        <v/>
      </c>
      <c r="D1295" s="0" t="str">
        <f aca="false">IF(I1295="","",IF(AND(J1295&gt;=1,J1295&lt;=K1295+3),"255.255.255.0",""))</f>
        <v/>
      </c>
      <c r="E1295" s="0" t="str">
        <f aca="false">IF(I1295="","",IF(AND(J1295&gt;=1,J1295&lt;=K1295+3),"10."&amp;INDEX(Eingabe!$D$9:$D$18,I1295)&amp;"."&amp;IF(J1295&lt;=K1295,J1295,IF(J1295=K1295+1,200,IF(J1295=K1295+2,201,250)))&amp;".1",""))</f>
        <v/>
      </c>
      <c r="F1295" s="0" t="str">
        <f aca="false">IF(I1295="","",IF(AND(J1295&gt;=1,J1295&lt;=K1295+3),"10."&amp;INDEX(Eingabe!$D$9:$D$18,I1295)&amp;"."&amp;IF(J1295&lt;=K1295,J1295,IF(J1295=K1295+1,200,IF(J1295=K1295+2,201,250)))&amp;".10 – 10."&amp;INDEX(Eingabe!$D$9:$D$18,I1295)&amp;"."&amp;IF(J1295&lt;=K1295,J1295,IF(J1295=K1295+1,200,IF(J1295=K1295+2,201,250)))&amp;".250",""))</f>
        <v/>
      </c>
      <c r="G1295" s="0" t="str">
        <f aca="false">IF(I1295="","",IF(AND(J1295&gt;=1,J1295&lt;=K1295),Eingabe!$B$6&amp;"-"&amp;INDEX(Eingabe!$C$9:$C$18,I1295)&amp;"-Pächter  ·  Passwort Parzelle "&amp;J1295,IF(J1295=K1295+1,Eingabe!$B$6&amp;"-"&amp;INDEX(Eingabe!$C$9:$C$18,I1295)&amp;"-Vorstand  ·  eigenes WLAN",IF(J1295=K1295+2,Eingabe!$B$6&amp;"-"&amp;INDEX(Eingabe!$C$9:$C$18,I1295)&amp;"-Gäste  ·  Voucher",IF(J1295=K1295+3,"Kabel  ·  Access Point y = .(50+y), Mast-Switch x = .(10+x)","")))))</f>
        <v/>
      </c>
      <c r="I1295" s="0" t="str">
        <f aca="false">IF(1290&lt;=(Eingabe!$P$18+Eingabe!$Q$18-1),MATCH(1290,Eingabe!$P$9:$P$18,1),"")</f>
        <v/>
      </c>
      <c r="J1295" s="0" t="str">
        <f aca="false">IF(I1295="","",1290-INDEX(Eingabe!$P$9:$P$18,I1295))</f>
        <v/>
      </c>
      <c r="K1295" s="0" t="str">
        <f aca="false">IF(I1295="","",INDEX(Eingabe!$E$9:$E$18,I1295))</f>
        <v/>
      </c>
    </row>
    <row r="1296" customFormat="false" ht="15" hidden="false" customHeight="false" outlineLevel="0" collapsed="false">
      <c r="A1296" s="0" t="str">
        <f aca="false">IF(I1296="","",IF(J1296=0,"Sparte "&amp;I1296&amp;": "&amp;INDEX(Eingabe!$B$9:$B$18,I1296)&amp;"  (Sparten-ID "&amp;INDEX(Eingabe!$D$9:$D$18,I1296)&amp;", "&amp;K1296&amp;" Parzellen)",IF(J1296&lt;=K1296,"   Parzelle "&amp;J1296,IF(J1296=K1296+1,"   Vorstand",IF(J1296=K1296+2,"   Gäste",IF(J1296=K1296+3,"   Technik (Switches, Access Points)",""))))))</f>
        <v/>
      </c>
      <c r="B1296" s="0" t="str">
        <f aca="false">IF(I1296="","",IF(AND(J1296&gt;=1,J1296&lt;=K1296+3),IF(J1296&lt;=K1296,IF(J1296&lt;=99,IF((INDEX(Eingabe!$G$9:$G$18,I1296))&lt;=9,1000+(INDEX(Eingabe!$G$9:$G$18,I1296))*100,3000)+J1296,IF((INDEX(Eingabe!$G$9:$G$18,I1296)+1)&lt;=9,1000+(INDEX(Eingabe!$G$9:$G$18,I1296)+1)*100,3000)+J1296-100),IF(J1296=K1296+1,2000+INDEX(Eingabe!$G$9:$G$18,I1296)*10+1,IF(J1296=K1296+2,2000+INDEX(Eingabe!$G$9:$G$18,I1296)*10+2,2000+INDEX(Eingabe!$G$9:$G$18,I1296)*10+9))),""))</f>
        <v/>
      </c>
      <c r="C1296" s="0" t="str">
        <f aca="false">IF(I1296="","",IF(AND(J1296&gt;=1,J1296&lt;=K1296+3),"10."&amp;INDEX(Eingabe!$D$9:$D$18,I1296)&amp;"."&amp;IF(J1296&lt;=K1296,J1296,IF(J1296=K1296+1,200,IF(J1296=K1296+2,201,250)))&amp;".0/24",""))</f>
        <v/>
      </c>
      <c r="D1296" s="0" t="str">
        <f aca="false">IF(I1296="","",IF(AND(J1296&gt;=1,J1296&lt;=K1296+3),"255.255.255.0",""))</f>
        <v/>
      </c>
      <c r="E1296" s="0" t="str">
        <f aca="false">IF(I1296="","",IF(AND(J1296&gt;=1,J1296&lt;=K1296+3),"10."&amp;INDEX(Eingabe!$D$9:$D$18,I1296)&amp;"."&amp;IF(J1296&lt;=K1296,J1296,IF(J1296=K1296+1,200,IF(J1296=K1296+2,201,250)))&amp;".1",""))</f>
        <v/>
      </c>
      <c r="F1296" s="0" t="str">
        <f aca="false">IF(I1296="","",IF(AND(J1296&gt;=1,J1296&lt;=K1296+3),"10."&amp;INDEX(Eingabe!$D$9:$D$18,I1296)&amp;"."&amp;IF(J1296&lt;=K1296,J1296,IF(J1296=K1296+1,200,IF(J1296=K1296+2,201,250)))&amp;".10 – 10."&amp;INDEX(Eingabe!$D$9:$D$18,I1296)&amp;"."&amp;IF(J1296&lt;=K1296,J1296,IF(J1296=K1296+1,200,IF(J1296=K1296+2,201,250)))&amp;".250",""))</f>
        <v/>
      </c>
      <c r="G1296" s="0" t="str">
        <f aca="false">IF(I1296="","",IF(AND(J1296&gt;=1,J1296&lt;=K1296),Eingabe!$B$6&amp;"-"&amp;INDEX(Eingabe!$C$9:$C$18,I1296)&amp;"-Pächter  ·  Passwort Parzelle "&amp;J1296,IF(J1296=K1296+1,Eingabe!$B$6&amp;"-"&amp;INDEX(Eingabe!$C$9:$C$18,I1296)&amp;"-Vorstand  ·  eigenes WLAN",IF(J1296=K1296+2,Eingabe!$B$6&amp;"-"&amp;INDEX(Eingabe!$C$9:$C$18,I1296)&amp;"-Gäste  ·  Voucher",IF(J1296=K1296+3,"Kabel  ·  Access Point y = .(50+y), Mast-Switch x = .(10+x)","")))))</f>
        <v/>
      </c>
      <c r="I1296" s="0" t="str">
        <f aca="false">IF(1291&lt;=(Eingabe!$P$18+Eingabe!$Q$18-1),MATCH(1291,Eingabe!$P$9:$P$18,1),"")</f>
        <v/>
      </c>
      <c r="J1296" s="0" t="str">
        <f aca="false">IF(I1296="","",1291-INDEX(Eingabe!$P$9:$P$18,I1296))</f>
        <v/>
      </c>
      <c r="K1296" s="0" t="str">
        <f aca="false">IF(I1296="","",INDEX(Eingabe!$E$9:$E$18,I1296))</f>
        <v/>
      </c>
    </row>
    <row r="1297" customFormat="false" ht="15" hidden="false" customHeight="false" outlineLevel="0" collapsed="false">
      <c r="A1297" s="0" t="str">
        <f aca="false">IF(I1297="","",IF(J1297=0,"Sparte "&amp;I1297&amp;": "&amp;INDEX(Eingabe!$B$9:$B$18,I1297)&amp;"  (Sparten-ID "&amp;INDEX(Eingabe!$D$9:$D$18,I1297)&amp;", "&amp;K1297&amp;" Parzellen)",IF(J1297&lt;=K1297,"   Parzelle "&amp;J1297,IF(J1297=K1297+1,"   Vorstand",IF(J1297=K1297+2,"   Gäste",IF(J1297=K1297+3,"   Technik (Switches, Access Points)",""))))))</f>
        <v/>
      </c>
      <c r="B1297" s="0" t="str">
        <f aca="false">IF(I1297="","",IF(AND(J1297&gt;=1,J1297&lt;=K1297+3),IF(J1297&lt;=K1297,IF(J1297&lt;=99,IF((INDEX(Eingabe!$G$9:$G$18,I1297))&lt;=9,1000+(INDEX(Eingabe!$G$9:$G$18,I1297))*100,3000)+J1297,IF((INDEX(Eingabe!$G$9:$G$18,I1297)+1)&lt;=9,1000+(INDEX(Eingabe!$G$9:$G$18,I1297)+1)*100,3000)+J1297-100),IF(J1297=K1297+1,2000+INDEX(Eingabe!$G$9:$G$18,I1297)*10+1,IF(J1297=K1297+2,2000+INDEX(Eingabe!$G$9:$G$18,I1297)*10+2,2000+INDEX(Eingabe!$G$9:$G$18,I1297)*10+9))),""))</f>
        <v/>
      </c>
      <c r="C1297" s="0" t="str">
        <f aca="false">IF(I1297="","",IF(AND(J1297&gt;=1,J1297&lt;=K1297+3),"10."&amp;INDEX(Eingabe!$D$9:$D$18,I1297)&amp;"."&amp;IF(J1297&lt;=K1297,J1297,IF(J1297=K1297+1,200,IF(J1297=K1297+2,201,250)))&amp;".0/24",""))</f>
        <v/>
      </c>
      <c r="D1297" s="0" t="str">
        <f aca="false">IF(I1297="","",IF(AND(J1297&gt;=1,J1297&lt;=K1297+3),"255.255.255.0",""))</f>
        <v/>
      </c>
      <c r="E1297" s="0" t="str">
        <f aca="false">IF(I1297="","",IF(AND(J1297&gt;=1,J1297&lt;=K1297+3),"10."&amp;INDEX(Eingabe!$D$9:$D$18,I1297)&amp;"."&amp;IF(J1297&lt;=K1297,J1297,IF(J1297=K1297+1,200,IF(J1297=K1297+2,201,250)))&amp;".1",""))</f>
        <v/>
      </c>
      <c r="F1297" s="0" t="str">
        <f aca="false">IF(I1297="","",IF(AND(J1297&gt;=1,J1297&lt;=K1297+3),"10."&amp;INDEX(Eingabe!$D$9:$D$18,I1297)&amp;"."&amp;IF(J1297&lt;=K1297,J1297,IF(J1297=K1297+1,200,IF(J1297=K1297+2,201,250)))&amp;".10 – 10."&amp;INDEX(Eingabe!$D$9:$D$18,I1297)&amp;"."&amp;IF(J1297&lt;=K1297,J1297,IF(J1297=K1297+1,200,IF(J1297=K1297+2,201,250)))&amp;".250",""))</f>
        <v/>
      </c>
      <c r="G1297" s="0" t="str">
        <f aca="false">IF(I1297="","",IF(AND(J1297&gt;=1,J1297&lt;=K1297),Eingabe!$B$6&amp;"-"&amp;INDEX(Eingabe!$C$9:$C$18,I1297)&amp;"-Pächter  ·  Passwort Parzelle "&amp;J1297,IF(J1297=K1297+1,Eingabe!$B$6&amp;"-"&amp;INDEX(Eingabe!$C$9:$C$18,I1297)&amp;"-Vorstand  ·  eigenes WLAN",IF(J1297=K1297+2,Eingabe!$B$6&amp;"-"&amp;INDEX(Eingabe!$C$9:$C$18,I1297)&amp;"-Gäste  ·  Voucher",IF(J1297=K1297+3,"Kabel  ·  Access Point y = .(50+y), Mast-Switch x = .(10+x)","")))))</f>
        <v/>
      </c>
      <c r="I1297" s="0" t="str">
        <f aca="false">IF(1292&lt;=(Eingabe!$P$18+Eingabe!$Q$18-1),MATCH(1292,Eingabe!$P$9:$P$18,1),"")</f>
        <v/>
      </c>
      <c r="J1297" s="0" t="str">
        <f aca="false">IF(I1297="","",1292-INDEX(Eingabe!$P$9:$P$18,I1297))</f>
        <v/>
      </c>
      <c r="K1297" s="0" t="str">
        <f aca="false">IF(I1297="","",INDEX(Eingabe!$E$9:$E$18,I1297))</f>
        <v/>
      </c>
    </row>
    <row r="1298" customFormat="false" ht="15" hidden="false" customHeight="false" outlineLevel="0" collapsed="false">
      <c r="A1298" s="0" t="str">
        <f aca="false">IF(I1298="","",IF(J1298=0,"Sparte "&amp;I1298&amp;": "&amp;INDEX(Eingabe!$B$9:$B$18,I1298)&amp;"  (Sparten-ID "&amp;INDEX(Eingabe!$D$9:$D$18,I1298)&amp;", "&amp;K1298&amp;" Parzellen)",IF(J1298&lt;=K1298,"   Parzelle "&amp;J1298,IF(J1298=K1298+1,"   Vorstand",IF(J1298=K1298+2,"   Gäste",IF(J1298=K1298+3,"   Technik (Switches, Access Points)",""))))))</f>
        <v/>
      </c>
      <c r="B1298" s="0" t="str">
        <f aca="false">IF(I1298="","",IF(AND(J1298&gt;=1,J1298&lt;=K1298+3),IF(J1298&lt;=K1298,IF(J1298&lt;=99,IF((INDEX(Eingabe!$G$9:$G$18,I1298))&lt;=9,1000+(INDEX(Eingabe!$G$9:$G$18,I1298))*100,3000)+J1298,IF((INDEX(Eingabe!$G$9:$G$18,I1298)+1)&lt;=9,1000+(INDEX(Eingabe!$G$9:$G$18,I1298)+1)*100,3000)+J1298-100),IF(J1298=K1298+1,2000+INDEX(Eingabe!$G$9:$G$18,I1298)*10+1,IF(J1298=K1298+2,2000+INDEX(Eingabe!$G$9:$G$18,I1298)*10+2,2000+INDEX(Eingabe!$G$9:$G$18,I1298)*10+9))),""))</f>
        <v/>
      </c>
      <c r="C1298" s="0" t="str">
        <f aca="false">IF(I1298="","",IF(AND(J1298&gt;=1,J1298&lt;=K1298+3),"10."&amp;INDEX(Eingabe!$D$9:$D$18,I1298)&amp;"."&amp;IF(J1298&lt;=K1298,J1298,IF(J1298=K1298+1,200,IF(J1298=K1298+2,201,250)))&amp;".0/24",""))</f>
        <v/>
      </c>
      <c r="D1298" s="0" t="str">
        <f aca="false">IF(I1298="","",IF(AND(J1298&gt;=1,J1298&lt;=K1298+3),"255.255.255.0",""))</f>
        <v/>
      </c>
      <c r="E1298" s="0" t="str">
        <f aca="false">IF(I1298="","",IF(AND(J1298&gt;=1,J1298&lt;=K1298+3),"10."&amp;INDEX(Eingabe!$D$9:$D$18,I1298)&amp;"."&amp;IF(J1298&lt;=K1298,J1298,IF(J1298=K1298+1,200,IF(J1298=K1298+2,201,250)))&amp;".1",""))</f>
        <v/>
      </c>
      <c r="F1298" s="0" t="str">
        <f aca="false">IF(I1298="","",IF(AND(J1298&gt;=1,J1298&lt;=K1298+3),"10."&amp;INDEX(Eingabe!$D$9:$D$18,I1298)&amp;"."&amp;IF(J1298&lt;=K1298,J1298,IF(J1298=K1298+1,200,IF(J1298=K1298+2,201,250)))&amp;".10 – 10."&amp;INDEX(Eingabe!$D$9:$D$18,I1298)&amp;"."&amp;IF(J1298&lt;=K1298,J1298,IF(J1298=K1298+1,200,IF(J1298=K1298+2,201,250)))&amp;".250",""))</f>
        <v/>
      </c>
      <c r="G1298" s="0" t="str">
        <f aca="false">IF(I1298="","",IF(AND(J1298&gt;=1,J1298&lt;=K1298),Eingabe!$B$6&amp;"-"&amp;INDEX(Eingabe!$C$9:$C$18,I1298)&amp;"-Pächter  ·  Passwort Parzelle "&amp;J1298,IF(J1298=K1298+1,Eingabe!$B$6&amp;"-"&amp;INDEX(Eingabe!$C$9:$C$18,I1298)&amp;"-Vorstand  ·  eigenes WLAN",IF(J1298=K1298+2,Eingabe!$B$6&amp;"-"&amp;INDEX(Eingabe!$C$9:$C$18,I1298)&amp;"-Gäste  ·  Voucher",IF(J1298=K1298+3,"Kabel  ·  Access Point y = .(50+y), Mast-Switch x = .(10+x)","")))))</f>
        <v/>
      </c>
      <c r="I1298" s="0" t="str">
        <f aca="false">IF(1293&lt;=(Eingabe!$P$18+Eingabe!$Q$18-1),MATCH(1293,Eingabe!$P$9:$P$18,1),"")</f>
        <v/>
      </c>
      <c r="J1298" s="0" t="str">
        <f aca="false">IF(I1298="","",1293-INDEX(Eingabe!$P$9:$P$18,I1298))</f>
        <v/>
      </c>
      <c r="K1298" s="0" t="str">
        <f aca="false">IF(I1298="","",INDEX(Eingabe!$E$9:$E$18,I1298))</f>
        <v/>
      </c>
    </row>
    <row r="1299" customFormat="false" ht="15" hidden="false" customHeight="false" outlineLevel="0" collapsed="false">
      <c r="A1299" s="0" t="str">
        <f aca="false">IF(I1299="","",IF(J1299=0,"Sparte "&amp;I1299&amp;": "&amp;INDEX(Eingabe!$B$9:$B$18,I1299)&amp;"  (Sparten-ID "&amp;INDEX(Eingabe!$D$9:$D$18,I1299)&amp;", "&amp;K1299&amp;" Parzellen)",IF(J1299&lt;=K1299,"   Parzelle "&amp;J1299,IF(J1299=K1299+1,"   Vorstand",IF(J1299=K1299+2,"   Gäste",IF(J1299=K1299+3,"   Technik (Switches, Access Points)",""))))))</f>
        <v/>
      </c>
      <c r="B1299" s="0" t="str">
        <f aca="false">IF(I1299="","",IF(AND(J1299&gt;=1,J1299&lt;=K1299+3),IF(J1299&lt;=K1299,IF(J1299&lt;=99,IF((INDEX(Eingabe!$G$9:$G$18,I1299))&lt;=9,1000+(INDEX(Eingabe!$G$9:$G$18,I1299))*100,3000)+J1299,IF((INDEX(Eingabe!$G$9:$G$18,I1299)+1)&lt;=9,1000+(INDEX(Eingabe!$G$9:$G$18,I1299)+1)*100,3000)+J1299-100),IF(J1299=K1299+1,2000+INDEX(Eingabe!$G$9:$G$18,I1299)*10+1,IF(J1299=K1299+2,2000+INDEX(Eingabe!$G$9:$G$18,I1299)*10+2,2000+INDEX(Eingabe!$G$9:$G$18,I1299)*10+9))),""))</f>
        <v/>
      </c>
      <c r="C1299" s="0" t="str">
        <f aca="false">IF(I1299="","",IF(AND(J1299&gt;=1,J1299&lt;=K1299+3),"10."&amp;INDEX(Eingabe!$D$9:$D$18,I1299)&amp;"."&amp;IF(J1299&lt;=K1299,J1299,IF(J1299=K1299+1,200,IF(J1299=K1299+2,201,250)))&amp;".0/24",""))</f>
        <v/>
      </c>
      <c r="D1299" s="0" t="str">
        <f aca="false">IF(I1299="","",IF(AND(J1299&gt;=1,J1299&lt;=K1299+3),"255.255.255.0",""))</f>
        <v/>
      </c>
      <c r="E1299" s="0" t="str">
        <f aca="false">IF(I1299="","",IF(AND(J1299&gt;=1,J1299&lt;=K1299+3),"10."&amp;INDEX(Eingabe!$D$9:$D$18,I1299)&amp;"."&amp;IF(J1299&lt;=K1299,J1299,IF(J1299=K1299+1,200,IF(J1299=K1299+2,201,250)))&amp;".1",""))</f>
        <v/>
      </c>
      <c r="F1299" s="0" t="str">
        <f aca="false">IF(I1299="","",IF(AND(J1299&gt;=1,J1299&lt;=K1299+3),"10."&amp;INDEX(Eingabe!$D$9:$D$18,I1299)&amp;"."&amp;IF(J1299&lt;=K1299,J1299,IF(J1299=K1299+1,200,IF(J1299=K1299+2,201,250)))&amp;".10 – 10."&amp;INDEX(Eingabe!$D$9:$D$18,I1299)&amp;"."&amp;IF(J1299&lt;=K1299,J1299,IF(J1299=K1299+1,200,IF(J1299=K1299+2,201,250)))&amp;".250",""))</f>
        <v/>
      </c>
      <c r="G1299" s="0" t="str">
        <f aca="false">IF(I1299="","",IF(AND(J1299&gt;=1,J1299&lt;=K1299),Eingabe!$B$6&amp;"-"&amp;INDEX(Eingabe!$C$9:$C$18,I1299)&amp;"-Pächter  ·  Passwort Parzelle "&amp;J1299,IF(J1299=K1299+1,Eingabe!$B$6&amp;"-"&amp;INDEX(Eingabe!$C$9:$C$18,I1299)&amp;"-Vorstand  ·  eigenes WLAN",IF(J1299=K1299+2,Eingabe!$B$6&amp;"-"&amp;INDEX(Eingabe!$C$9:$C$18,I1299)&amp;"-Gäste  ·  Voucher",IF(J1299=K1299+3,"Kabel  ·  Access Point y = .(50+y), Mast-Switch x = .(10+x)","")))))</f>
        <v/>
      </c>
      <c r="I1299" s="0" t="str">
        <f aca="false">IF(1294&lt;=(Eingabe!$P$18+Eingabe!$Q$18-1),MATCH(1294,Eingabe!$P$9:$P$18,1),"")</f>
        <v/>
      </c>
      <c r="J1299" s="0" t="str">
        <f aca="false">IF(I1299="","",1294-INDEX(Eingabe!$P$9:$P$18,I1299))</f>
        <v/>
      </c>
      <c r="K1299" s="0" t="str">
        <f aca="false">IF(I1299="","",INDEX(Eingabe!$E$9:$E$18,I1299))</f>
        <v/>
      </c>
    </row>
    <row r="1300" customFormat="false" ht="15" hidden="false" customHeight="false" outlineLevel="0" collapsed="false">
      <c r="A1300" s="0" t="str">
        <f aca="false">IF(I1300="","",IF(J1300=0,"Sparte "&amp;I1300&amp;": "&amp;INDEX(Eingabe!$B$9:$B$18,I1300)&amp;"  (Sparten-ID "&amp;INDEX(Eingabe!$D$9:$D$18,I1300)&amp;", "&amp;K1300&amp;" Parzellen)",IF(J1300&lt;=K1300,"   Parzelle "&amp;J1300,IF(J1300=K1300+1,"   Vorstand",IF(J1300=K1300+2,"   Gäste",IF(J1300=K1300+3,"   Technik (Switches, Access Points)",""))))))</f>
        <v/>
      </c>
      <c r="B1300" s="0" t="str">
        <f aca="false">IF(I1300="","",IF(AND(J1300&gt;=1,J1300&lt;=K1300+3),IF(J1300&lt;=K1300,IF(J1300&lt;=99,IF((INDEX(Eingabe!$G$9:$G$18,I1300))&lt;=9,1000+(INDEX(Eingabe!$G$9:$G$18,I1300))*100,3000)+J1300,IF((INDEX(Eingabe!$G$9:$G$18,I1300)+1)&lt;=9,1000+(INDEX(Eingabe!$G$9:$G$18,I1300)+1)*100,3000)+J1300-100),IF(J1300=K1300+1,2000+INDEX(Eingabe!$G$9:$G$18,I1300)*10+1,IF(J1300=K1300+2,2000+INDEX(Eingabe!$G$9:$G$18,I1300)*10+2,2000+INDEX(Eingabe!$G$9:$G$18,I1300)*10+9))),""))</f>
        <v/>
      </c>
      <c r="C1300" s="0" t="str">
        <f aca="false">IF(I1300="","",IF(AND(J1300&gt;=1,J1300&lt;=K1300+3),"10."&amp;INDEX(Eingabe!$D$9:$D$18,I1300)&amp;"."&amp;IF(J1300&lt;=K1300,J1300,IF(J1300=K1300+1,200,IF(J1300=K1300+2,201,250)))&amp;".0/24",""))</f>
        <v/>
      </c>
      <c r="D1300" s="0" t="str">
        <f aca="false">IF(I1300="","",IF(AND(J1300&gt;=1,J1300&lt;=K1300+3),"255.255.255.0",""))</f>
        <v/>
      </c>
      <c r="E1300" s="0" t="str">
        <f aca="false">IF(I1300="","",IF(AND(J1300&gt;=1,J1300&lt;=K1300+3),"10."&amp;INDEX(Eingabe!$D$9:$D$18,I1300)&amp;"."&amp;IF(J1300&lt;=K1300,J1300,IF(J1300=K1300+1,200,IF(J1300=K1300+2,201,250)))&amp;".1",""))</f>
        <v/>
      </c>
      <c r="F1300" s="0" t="str">
        <f aca="false">IF(I1300="","",IF(AND(J1300&gt;=1,J1300&lt;=K1300+3),"10."&amp;INDEX(Eingabe!$D$9:$D$18,I1300)&amp;"."&amp;IF(J1300&lt;=K1300,J1300,IF(J1300=K1300+1,200,IF(J1300=K1300+2,201,250)))&amp;".10 – 10."&amp;INDEX(Eingabe!$D$9:$D$18,I1300)&amp;"."&amp;IF(J1300&lt;=K1300,J1300,IF(J1300=K1300+1,200,IF(J1300=K1300+2,201,250)))&amp;".250",""))</f>
        <v/>
      </c>
      <c r="G1300" s="0" t="str">
        <f aca="false">IF(I1300="","",IF(AND(J1300&gt;=1,J1300&lt;=K1300),Eingabe!$B$6&amp;"-"&amp;INDEX(Eingabe!$C$9:$C$18,I1300)&amp;"-Pächter  ·  Passwort Parzelle "&amp;J1300,IF(J1300=K1300+1,Eingabe!$B$6&amp;"-"&amp;INDEX(Eingabe!$C$9:$C$18,I1300)&amp;"-Vorstand  ·  eigenes WLAN",IF(J1300=K1300+2,Eingabe!$B$6&amp;"-"&amp;INDEX(Eingabe!$C$9:$C$18,I1300)&amp;"-Gäste  ·  Voucher",IF(J1300=K1300+3,"Kabel  ·  Access Point y = .(50+y), Mast-Switch x = .(10+x)","")))))</f>
        <v/>
      </c>
      <c r="I1300" s="0" t="str">
        <f aca="false">IF(1295&lt;=(Eingabe!$P$18+Eingabe!$Q$18-1),MATCH(1295,Eingabe!$P$9:$P$18,1),"")</f>
        <v/>
      </c>
      <c r="J1300" s="0" t="str">
        <f aca="false">IF(I1300="","",1295-INDEX(Eingabe!$P$9:$P$18,I1300))</f>
        <v/>
      </c>
      <c r="K1300" s="0" t="str">
        <f aca="false">IF(I1300="","",INDEX(Eingabe!$E$9:$E$18,I1300))</f>
        <v/>
      </c>
    </row>
    <row r="1301" customFormat="false" ht="15" hidden="false" customHeight="false" outlineLevel="0" collapsed="false">
      <c r="A1301" s="0" t="str">
        <f aca="false">IF(I1301="","",IF(J1301=0,"Sparte "&amp;I1301&amp;": "&amp;INDEX(Eingabe!$B$9:$B$18,I1301)&amp;"  (Sparten-ID "&amp;INDEX(Eingabe!$D$9:$D$18,I1301)&amp;", "&amp;K1301&amp;" Parzellen)",IF(J1301&lt;=K1301,"   Parzelle "&amp;J1301,IF(J1301=K1301+1,"   Vorstand",IF(J1301=K1301+2,"   Gäste",IF(J1301=K1301+3,"   Technik (Switches, Access Points)",""))))))</f>
        <v/>
      </c>
      <c r="B1301" s="0" t="str">
        <f aca="false">IF(I1301="","",IF(AND(J1301&gt;=1,J1301&lt;=K1301+3),IF(J1301&lt;=K1301,IF(J1301&lt;=99,IF((INDEX(Eingabe!$G$9:$G$18,I1301))&lt;=9,1000+(INDEX(Eingabe!$G$9:$G$18,I1301))*100,3000)+J1301,IF((INDEX(Eingabe!$G$9:$G$18,I1301)+1)&lt;=9,1000+(INDEX(Eingabe!$G$9:$G$18,I1301)+1)*100,3000)+J1301-100),IF(J1301=K1301+1,2000+INDEX(Eingabe!$G$9:$G$18,I1301)*10+1,IF(J1301=K1301+2,2000+INDEX(Eingabe!$G$9:$G$18,I1301)*10+2,2000+INDEX(Eingabe!$G$9:$G$18,I1301)*10+9))),""))</f>
        <v/>
      </c>
      <c r="C1301" s="0" t="str">
        <f aca="false">IF(I1301="","",IF(AND(J1301&gt;=1,J1301&lt;=K1301+3),"10."&amp;INDEX(Eingabe!$D$9:$D$18,I1301)&amp;"."&amp;IF(J1301&lt;=K1301,J1301,IF(J1301=K1301+1,200,IF(J1301=K1301+2,201,250)))&amp;".0/24",""))</f>
        <v/>
      </c>
      <c r="D1301" s="0" t="str">
        <f aca="false">IF(I1301="","",IF(AND(J1301&gt;=1,J1301&lt;=K1301+3),"255.255.255.0",""))</f>
        <v/>
      </c>
      <c r="E1301" s="0" t="str">
        <f aca="false">IF(I1301="","",IF(AND(J1301&gt;=1,J1301&lt;=K1301+3),"10."&amp;INDEX(Eingabe!$D$9:$D$18,I1301)&amp;"."&amp;IF(J1301&lt;=K1301,J1301,IF(J1301=K1301+1,200,IF(J1301=K1301+2,201,250)))&amp;".1",""))</f>
        <v/>
      </c>
      <c r="F1301" s="0" t="str">
        <f aca="false">IF(I1301="","",IF(AND(J1301&gt;=1,J1301&lt;=K1301+3),"10."&amp;INDEX(Eingabe!$D$9:$D$18,I1301)&amp;"."&amp;IF(J1301&lt;=K1301,J1301,IF(J1301=K1301+1,200,IF(J1301=K1301+2,201,250)))&amp;".10 – 10."&amp;INDEX(Eingabe!$D$9:$D$18,I1301)&amp;"."&amp;IF(J1301&lt;=K1301,J1301,IF(J1301=K1301+1,200,IF(J1301=K1301+2,201,250)))&amp;".250",""))</f>
        <v/>
      </c>
      <c r="G1301" s="0" t="str">
        <f aca="false">IF(I1301="","",IF(AND(J1301&gt;=1,J1301&lt;=K1301),Eingabe!$B$6&amp;"-"&amp;INDEX(Eingabe!$C$9:$C$18,I1301)&amp;"-Pächter  ·  Passwort Parzelle "&amp;J1301,IF(J1301=K1301+1,Eingabe!$B$6&amp;"-"&amp;INDEX(Eingabe!$C$9:$C$18,I1301)&amp;"-Vorstand  ·  eigenes WLAN",IF(J1301=K1301+2,Eingabe!$B$6&amp;"-"&amp;INDEX(Eingabe!$C$9:$C$18,I1301)&amp;"-Gäste  ·  Voucher",IF(J1301=K1301+3,"Kabel  ·  Access Point y = .(50+y), Mast-Switch x = .(10+x)","")))))</f>
        <v/>
      </c>
      <c r="I1301" s="0" t="str">
        <f aca="false">IF(1296&lt;=(Eingabe!$P$18+Eingabe!$Q$18-1),MATCH(1296,Eingabe!$P$9:$P$18,1),"")</f>
        <v/>
      </c>
      <c r="J1301" s="0" t="str">
        <f aca="false">IF(I1301="","",1296-INDEX(Eingabe!$P$9:$P$18,I1301))</f>
        <v/>
      </c>
      <c r="K1301" s="0" t="str">
        <f aca="false">IF(I1301="","",INDEX(Eingabe!$E$9:$E$18,I1301))</f>
        <v/>
      </c>
    </row>
    <row r="1302" customFormat="false" ht="15" hidden="false" customHeight="false" outlineLevel="0" collapsed="false">
      <c r="A1302" s="0" t="str">
        <f aca="false">IF(I1302="","",IF(J1302=0,"Sparte "&amp;I1302&amp;": "&amp;INDEX(Eingabe!$B$9:$B$18,I1302)&amp;"  (Sparten-ID "&amp;INDEX(Eingabe!$D$9:$D$18,I1302)&amp;", "&amp;K1302&amp;" Parzellen)",IF(J1302&lt;=K1302,"   Parzelle "&amp;J1302,IF(J1302=K1302+1,"   Vorstand",IF(J1302=K1302+2,"   Gäste",IF(J1302=K1302+3,"   Technik (Switches, Access Points)",""))))))</f>
        <v/>
      </c>
      <c r="B1302" s="0" t="str">
        <f aca="false">IF(I1302="","",IF(AND(J1302&gt;=1,J1302&lt;=K1302+3),IF(J1302&lt;=K1302,IF(J1302&lt;=99,IF((INDEX(Eingabe!$G$9:$G$18,I1302))&lt;=9,1000+(INDEX(Eingabe!$G$9:$G$18,I1302))*100,3000)+J1302,IF((INDEX(Eingabe!$G$9:$G$18,I1302)+1)&lt;=9,1000+(INDEX(Eingabe!$G$9:$G$18,I1302)+1)*100,3000)+J1302-100),IF(J1302=K1302+1,2000+INDEX(Eingabe!$G$9:$G$18,I1302)*10+1,IF(J1302=K1302+2,2000+INDEX(Eingabe!$G$9:$G$18,I1302)*10+2,2000+INDEX(Eingabe!$G$9:$G$18,I1302)*10+9))),""))</f>
        <v/>
      </c>
      <c r="C1302" s="0" t="str">
        <f aca="false">IF(I1302="","",IF(AND(J1302&gt;=1,J1302&lt;=K1302+3),"10."&amp;INDEX(Eingabe!$D$9:$D$18,I1302)&amp;"."&amp;IF(J1302&lt;=K1302,J1302,IF(J1302=K1302+1,200,IF(J1302=K1302+2,201,250)))&amp;".0/24",""))</f>
        <v/>
      </c>
      <c r="D1302" s="0" t="str">
        <f aca="false">IF(I1302="","",IF(AND(J1302&gt;=1,J1302&lt;=K1302+3),"255.255.255.0",""))</f>
        <v/>
      </c>
      <c r="E1302" s="0" t="str">
        <f aca="false">IF(I1302="","",IF(AND(J1302&gt;=1,J1302&lt;=K1302+3),"10."&amp;INDEX(Eingabe!$D$9:$D$18,I1302)&amp;"."&amp;IF(J1302&lt;=K1302,J1302,IF(J1302=K1302+1,200,IF(J1302=K1302+2,201,250)))&amp;".1",""))</f>
        <v/>
      </c>
      <c r="F1302" s="0" t="str">
        <f aca="false">IF(I1302="","",IF(AND(J1302&gt;=1,J1302&lt;=K1302+3),"10."&amp;INDEX(Eingabe!$D$9:$D$18,I1302)&amp;"."&amp;IF(J1302&lt;=K1302,J1302,IF(J1302=K1302+1,200,IF(J1302=K1302+2,201,250)))&amp;".10 – 10."&amp;INDEX(Eingabe!$D$9:$D$18,I1302)&amp;"."&amp;IF(J1302&lt;=K1302,J1302,IF(J1302=K1302+1,200,IF(J1302=K1302+2,201,250)))&amp;".250",""))</f>
        <v/>
      </c>
      <c r="G1302" s="0" t="str">
        <f aca="false">IF(I1302="","",IF(AND(J1302&gt;=1,J1302&lt;=K1302),Eingabe!$B$6&amp;"-"&amp;INDEX(Eingabe!$C$9:$C$18,I1302)&amp;"-Pächter  ·  Passwort Parzelle "&amp;J1302,IF(J1302=K1302+1,Eingabe!$B$6&amp;"-"&amp;INDEX(Eingabe!$C$9:$C$18,I1302)&amp;"-Vorstand  ·  eigenes WLAN",IF(J1302=K1302+2,Eingabe!$B$6&amp;"-"&amp;INDEX(Eingabe!$C$9:$C$18,I1302)&amp;"-Gäste  ·  Voucher",IF(J1302=K1302+3,"Kabel  ·  Access Point y = .(50+y), Mast-Switch x = .(10+x)","")))))</f>
        <v/>
      </c>
      <c r="I1302" s="0" t="str">
        <f aca="false">IF(1297&lt;=(Eingabe!$P$18+Eingabe!$Q$18-1),MATCH(1297,Eingabe!$P$9:$P$18,1),"")</f>
        <v/>
      </c>
      <c r="J1302" s="0" t="str">
        <f aca="false">IF(I1302="","",1297-INDEX(Eingabe!$P$9:$P$18,I1302))</f>
        <v/>
      </c>
      <c r="K1302" s="0" t="str">
        <f aca="false">IF(I1302="","",INDEX(Eingabe!$E$9:$E$18,I1302))</f>
        <v/>
      </c>
    </row>
    <row r="1303" customFormat="false" ht="15" hidden="false" customHeight="false" outlineLevel="0" collapsed="false">
      <c r="A1303" s="0" t="str">
        <f aca="false">IF(I1303="","",IF(J1303=0,"Sparte "&amp;I1303&amp;": "&amp;INDEX(Eingabe!$B$9:$B$18,I1303)&amp;"  (Sparten-ID "&amp;INDEX(Eingabe!$D$9:$D$18,I1303)&amp;", "&amp;K1303&amp;" Parzellen)",IF(J1303&lt;=K1303,"   Parzelle "&amp;J1303,IF(J1303=K1303+1,"   Vorstand",IF(J1303=K1303+2,"   Gäste",IF(J1303=K1303+3,"   Technik (Switches, Access Points)",""))))))</f>
        <v/>
      </c>
      <c r="B1303" s="0" t="str">
        <f aca="false">IF(I1303="","",IF(AND(J1303&gt;=1,J1303&lt;=K1303+3),IF(J1303&lt;=K1303,IF(J1303&lt;=99,IF((INDEX(Eingabe!$G$9:$G$18,I1303))&lt;=9,1000+(INDEX(Eingabe!$G$9:$G$18,I1303))*100,3000)+J1303,IF((INDEX(Eingabe!$G$9:$G$18,I1303)+1)&lt;=9,1000+(INDEX(Eingabe!$G$9:$G$18,I1303)+1)*100,3000)+J1303-100),IF(J1303=K1303+1,2000+INDEX(Eingabe!$G$9:$G$18,I1303)*10+1,IF(J1303=K1303+2,2000+INDEX(Eingabe!$G$9:$G$18,I1303)*10+2,2000+INDEX(Eingabe!$G$9:$G$18,I1303)*10+9))),""))</f>
        <v/>
      </c>
      <c r="C1303" s="0" t="str">
        <f aca="false">IF(I1303="","",IF(AND(J1303&gt;=1,J1303&lt;=K1303+3),"10."&amp;INDEX(Eingabe!$D$9:$D$18,I1303)&amp;"."&amp;IF(J1303&lt;=K1303,J1303,IF(J1303=K1303+1,200,IF(J1303=K1303+2,201,250)))&amp;".0/24",""))</f>
        <v/>
      </c>
      <c r="D1303" s="0" t="str">
        <f aca="false">IF(I1303="","",IF(AND(J1303&gt;=1,J1303&lt;=K1303+3),"255.255.255.0",""))</f>
        <v/>
      </c>
      <c r="E1303" s="0" t="str">
        <f aca="false">IF(I1303="","",IF(AND(J1303&gt;=1,J1303&lt;=K1303+3),"10."&amp;INDEX(Eingabe!$D$9:$D$18,I1303)&amp;"."&amp;IF(J1303&lt;=K1303,J1303,IF(J1303=K1303+1,200,IF(J1303=K1303+2,201,250)))&amp;".1",""))</f>
        <v/>
      </c>
      <c r="F1303" s="0" t="str">
        <f aca="false">IF(I1303="","",IF(AND(J1303&gt;=1,J1303&lt;=K1303+3),"10."&amp;INDEX(Eingabe!$D$9:$D$18,I1303)&amp;"."&amp;IF(J1303&lt;=K1303,J1303,IF(J1303=K1303+1,200,IF(J1303=K1303+2,201,250)))&amp;".10 – 10."&amp;INDEX(Eingabe!$D$9:$D$18,I1303)&amp;"."&amp;IF(J1303&lt;=K1303,J1303,IF(J1303=K1303+1,200,IF(J1303=K1303+2,201,250)))&amp;".250",""))</f>
        <v/>
      </c>
      <c r="G1303" s="0" t="str">
        <f aca="false">IF(I1303="","",IF(AND(J1303&gt;=1,J1303&lt;=K1303),Eingabe!$B$6&amp;"-"&amp;INDEX(Eingabe!$C$9:$C$18,I1303)&amp;"-Pächter  ·  Passwort Parzelle "&amp;J1303,IF(J1303=K1303+1,Eingabe!$B$6&amp;"-"&amp;INDEX(Eingabe!$C$9:$C$18,I1303)&amp;"-Vorstand  ·  eigenes WLAN",IF(J1303=K1303+2,Eingabe!$B$6&amp;"-"&amp;INDEX(Eingabe!$C$9:$C$18,I1303)&amp;"-Gäste  ·  Voucher",IF(J1303=K1303+3,"Kabel  ·  Access Point y = .(50+y), Mast-Switch x = .(10+x)","")))))</f>
        <v/>
      </c>
      <c r="I1303" s="0" t="str">
        <f aca="false">IF(1298&lt;=(Eingabe!$P$18+Eingabe!$Q$18-1),MATCH(1298,Eingabe!$P$9:$P$18,1),"")</f>
        <v/>
      </c>
      <c r="J1303" s="0" t="str">
        <f aca="false">IF(I1303="","",1298-INDEX(Eingabe!$P$9:$P$18,I1303))</f>
        <v/>
      </c>
      <c r="K1303" s="0" t="str">
        <f aca="false">IF(I1303="","",INDEX(Eingabe!$E$9:$E$18,I1303))</f>
        <v/>
      </c>
    </row>
    <row r="1304" customFormat="false" ht="15" hidden="false" customHeight="false" outlineLevel="0" collapsed="false">
      <c r="A1304" s="0" t="str">
        <f aca="false">IF(I1304="","",IF(J1304=0,"Sparte "&amp;I1304&amp;": "&amp;INDEX(Eingabe!$B$9:$B$18,I1304)&amp;"  (Sparten-ID "&amp;INDEX(Eingabe!$D$9:$D$18,I1304)&amp;", "&amp;K1304&amp;" Parzellen)",IF(J1304&lt;=K1304,"   Parzelle "&amp;J1304,IF(J1304=K1304+1,"   Vorstand",IF(J1304=K1304+2,"   Gäste",IF(J1304=K1304+3,"   Technik (Switches, Access Points)",""))))))</f>
        <v/>
      </c>
      <c r="B1304" s="0" t="str">
        <f aca="false">IF(I1304="","",IF(AND(J1304&gt;=1,J1304&lt;=K1304+3),IF(J1304&lt;=K1304,IF(J1304&lt;=99,IF((INDEX(Eingabe!$G$9:$G$18,I1304))&lt;=9,1000+(INDEX(Eingabe!$G$9:$G$18,I1304))*100,3000)+J1304,IF((INDEX(Eingabe!$G$9:$G$18,I1304)+1)&lt;=9,1000+(INDEX(Eingabe!$G$9:$G$18,I1304)+1)*100,3000)+J1304-100),IF(J1304=K1304+1,2000+INDEX(Eingabe!$G$9:$G$18,I1304)*10+1,IF(J1304=K1304+2,2000+INDEX(Eingabe!$G$9:$G$18,I1304)*10+2,2000+INDEX(Eingabe!$G$9:$G$18,I1304)*10+9))),""))</f>
        <v/>
      </c>
      <c r="C1304" s="0" t="str">
        <f aca="false">IF(I1304="","",IF(AND(J1304&gt;=1,J1304&lt;=K1304+3),"10."&amp;INDEX(Eingabe!$D$9:$D$18,I1304)&amp;"."&amp;IF(J1304&lt;=K1304,J1304,IF(J1304=K1304+1,200,IF(J1304=K1304+2,201,250)))&amp;".0/24",""))</f>
        <v/>
      </c>
      <c r="D1304" s="0" t="str">
        <f aca="false">IF(I1304="","",IF(AND(J1304&gt;=1,J1304&lt;=K1304+3),"255.255.255.0",""))</f>
        <v/>
      </c>
      <c r="E1304" s="0" t="str">
        <f aca="false">IF(I1304="","",IF(AND(J1304&gt;=1,J1304&lt;=K1304+3),"10."&amp;INDEX(Eingabe!$D$9:$D$18,I1304)&amp;"."&amp;IF(J1304&lt;=K1304,J1304,IF(J1304=K1304+1,200,IF(J1304=K1304+2,201,250)))&amp;".1",""))</f>
        <v/>
      </c>
      <c r="F1304" s="0" t="str">
        <f aca="false">IF(I1304="","",IF(AND(J1304&gt;=1,J1304&lt;=K1304+3),"10."&amp;INDEX(Eingabe!$D$9:$D$18,I1304)&amp;"."&amp;IF(J1304&lt;=K1304,J1304,IF(J1304=K1304+1,200,IF(J1304=K1304+2,201,250)))&amp;".10 – 10."&amp;INDEX(Eingabe!$D$9:$D$18,I1304)&amp;"."&amp;IF(J1304&lt;=K1304,J1304,IF(J1304=K1304+1,200,IF(J1304=K1304+2,201,250)))&amp;".250",""))</f>
        <v/>
      </c>
      <c r="G1304" s="0" t="str">
        <f aca="false">IF(I1304="","",IF(AND(J1304&gt;=1,J1304&lt;=K1304),Eingabe!$B$6&amp;"-"&amp;INDEX(Eingabe!$C$9:$C$18,I1304)&amp;"-Pächter  ·  Passwort Parzelle "&amp;J1304,IF(J1304=K1304+1,Eingabe!$B$6&amp;"-"&amp;INDEX(Eingabe!$C$9:$C$18,I1304)&amp;"-Vorstand  ·  eigenes WLAN",IF(J1304=K1304+2,Eingabe!$B$6&amp;"-"&amp;INDEX(Eingabe!$C$9:$C$18,I1304)&amp;"-Gäste  ·  Voucher",IF(J1304=K1304+3,"Kabel  ·  Access Point y = .(50+y), Mast-Switch x = .(10+x)","")))))</f>
        <v/>
      </c>
      <c r="I1304" s="0" t="str">
        <f aca="false">IF(1299&lt;=(Eingabe!$P$18+Eingabe!$Q$18-1),MATCH(1299,Eingabe!$P$9:$P$18,1),"")</f>
        <v/>
      </c>
      <c r="J1304" s="0" t="str">
        <f aca="false">IF(I1304="","",1299-INDEX(Eingabe!$P$9:$P$18,I1304))</f>
        <v/>
      </c>
      <c r="K1304" s="0" t="str">
        <f aca="false">IF(I1304="","",INDEX(Eingabe!$E$9:$E$18,I1304))</f>
        <v/>
      </c>
    </row>
    <row r="1305" customFormat="false" ht="15" hidden="false" customHeight="false" outlineLevel="0" collapsed="false">
      <c r="A1305" s="0" t="str">
        <f aca="false">IF(I1305="","",IF(J1305=0,"Sparte "&amp;I1305&amp;": "&amp;INDEX(Eingabe!$B$9:$B$18,I1305)&amp;"  (Sparten-ID "&amp;INDEX(Eingabe!$D$9:$D$18,I1305)&amp;", "&amp;K1305&amp;" Parzellen)",IF(J1305&lt;=K1305,"   Parzelle "&amp;J1305,IF(J1305=K1305+1,"   Vorstand",IF(J1305=K1305+2,"   Gäste",IF(J1305=K1305+3,"   Technik (Switches, Access Points)",""))))))</f>
        <v/>
      </c>
      <c r="B1305" s="0" t="str">
        <f aca="false">IF(I1305="","",IF(AND(J1305&gt;=1,J1305&lt;=K1305+3),IF(J1305&lt;=K1305,IF(J1305&lt;=99,IF((INDEX(Eingabe!$G$9:$G$18,I1305))&lt;=9,1000+(INDEX(Eingabe!$G$9:$G$18,I1305))*100,3000)+J1305,IF((INDEX(Eingabe!$G$9:$G$18,I1305)+1)&lt;=9,1000+(INDEX(Eingabe!$G$9:$G$18,I1305)+1)*100,3000)+J1305-100),IF(J1305=K1305+1,2000+INDEX(Eingabe!$G$9:$G$18,I1305)*10+1,IF(J1305=K1305+2,2000+INDEX(Eingabe!$G$9:$G$18,I1305)*10+2,2000+INDEX(Eingabe!$G$9:$G$18,I1305)*10+9))),""))</f>
        <v/>
      </c>
      <c r="C1305" s="0" t="str">
        <f aca="false">IF(I1305="","",IF(AND(J1305&gt;=1,J1305&lt;=K1305+3),"10."&amp;INDEX(Eingabe!$D$9:$D$18,I1305)&amp;"."&amp;IF(J1305&lt;=K1305,J1305,IF(J1305=K1305+1,200,IF(J1305=K1305+2,201,250)))&amp;".0/24",""))</f>
        <v/>
      </c>
      <c r="D1305" s="0" t="str">
        <f aca="false">IF(I1305="","",IF(AND(J1305&gt;=1,J1305&lt;=K1305+3),"255.255.255.0",""))</f>
        <v/>
      </c>
      <c r="E1305" s="0" t="str">
        <f aca="false">IF(I1305="","",IF(AND(J1305&gt;=1,J1305&lt;=K1305+3),"10."&amp;INDEX(Eingabe!$D$9:$D$18,I1305)&amp;"."&amp;IF(J1305&lt;=K1305,J1305,IF(J1305=K1305+1,200,IF(J1305=K1305+2,201,250)))&amp;".1",""))</f>
        <v/>
      </c>
      <c r="F1305" s="0" t="str">
        <f aca="false">IF(I1305="","",IF(AND(J1305&gt;=1,J1305&lt;=K1305+3),"10."&amp;INDEX(Eingabe!$D$9:$D$18,I1305)&amp;"."&amp;IF(J1305&lt;=K1305,J1305,IF(J1305=K1305+1,200,IF(J1305=K1305+2,201,250)))&amp;".10 – 10."&amp;INDEX(Eingabe!$D$9:$D$18,I1305)&amp;"."&amp;IF(J1305&lt;=K1305,J1305,IF(J1305=K1305+1,200,IF(J1305=K1305+2,201,250)))&amp;".250",""))</f>
        <v/>
      </c>
      <c r="G1305" s="0" t="str">
        <f aca="false">IF(I1305="","",IF(AND(J1305&gt;=1,J1305&lt;=K1305),Eingabe!$B$6&amp;"-"&amp;INDEX(Eingabe!$C$9:$C$18,I1305)&amp;"-Pächter  ·  Passwort Parzelle "&amp;J1305,IF(J1305=K1305+1,Eingabe!$B$6&amp;"-"&amp;INDEX(Eingabe!$C$9:$C$18,I1305)&amp;"-Vorstand  ·  eigenes WLAN",IF(J1305=K1305+2,Eingabe!$B$6&amp;"-"&amp;INDEX(Eingabe!$C$9:$C$18,I1305)&amp;"-Gäste  ·  Voucher",IF(J1305=K1305+3,"Kabel  ·  Access Point y = .(50+y), Mast-Switch x = .(10+x)","")))))</f>
        <v/>
      </c>
      <c r="I1305" s="0" t="str">
        <f aca="false">IF(1300&lt;=(Eingabe!$P$18+Eingabe!$Q$18-1),MATCH(1300,Eingabe!$P$9:$P$18,1),"")</f>
        <v/>
      </c>
      <c r="J1305" s="0" t="str">
        <f aca="false">IF(I1305="","",1300-INDEX(Eingabe!$P$9:$P$18,I1305))</f>
        <v/>
      </c>
      <c r="K1305" s="0" t="str">
        <f aca="false">IF(I1305="","",INDEX(Eingabe!$E$9:$E$18,I1305))</f>
        <v/>
      </c>
    </row>
    <row r="1306" customFormat="false" ht="15" hidden="false" customHeight="false" outlineLevel="0" collapsed="false">
      <c r="A1306" s="0" t="str">
        <f aca="false">IF(I1306="","",IF(J1306=0,"Sparte "&amp;I1306&amp;": "&amp;INDEX(Eingabe!$B$9:$B$18,I1306)&amp;"  (Sparten-ID "&amp;INDEX(Eingabe!$D$9:$D$18,I1306)&amp;", "&amp;K1306&amp;" Parzellen)",IF(J1306&lt;=K1306,"   Parzelle "&amp;J1306,IF(J1306=K1306+1,"   Vorstand",IF(J1306=K1306+2,"   Gäste",IF(J1306=K1306+3,"   Technik (Switches, Access Points)",""))))))</f>
        <v/>
      </c>
      <c r="B1306" s="0" t="str">
        <f aca="false">IF(I1306="","",IF(AND(J1306&gt;=1,J1306&lt;=K1306+3),IF(J1306&lt;=K1306,IF(J1306&lt;=99,IF((INDEX(Eingabe!$G$9:$G$18,I1306))&lt;=9,1000+(INDEX(Eingabe!$G$9:$G$18,I1306))*100,3000)+J1306,IF((INDEX(Eingabe!$G$9:$G$18,I1306)+1)&lt;=9,1000+(INDEX(Eingabe!$G$9:$G$18,I1306)+1)*100,3000)+J1306-100),IF(J1306=K1306+1,2000+INDEX(Eingabe!$G$9:$G$18,I1306)*10+1,IF(J1306=K1306+2,2000+INDEX(Eingabe!$G$9:$G$18,I1306)*10+2,2000+INDEX(Eingabe!$G$9:$G$18,I1306)*10+9))),""))</f>
        <v/>
      </c>
      <c r="C1306" s="0" t="str">
        <f aca="false">IF(I1306="","",IF(AND(J1306&gt;=1,J1306&lt;=K1306+3),"10."&amp;INDEX(Eingabe!$D$9:$D$18,I1306)&amp;"."&amp;IF(J1306&lt;=K1306,J1306,IF(J1306=K1306+1,200,IF(J1306=K1306+2,201,250)))&amp;".0/24",""))</f>
        <v/>
      </c>
      <c r="D1306" s="0" t="str">
        <f aca="false">IF(I1306="","",IF(AND(J1306&gt;=1,J1306&lt;=K1306+3),"255.255.255.0",""))</f>
        <v/>
      </c>
      <c r="E1306" s="0" t="str">
        <f aca="false">IF(I1306="","",IF(AND(J1306&gt;=1,J1306&lt;=K1306+3),"10."&amp;INDEX(Eingabe!$D$9:$D$18,I1306)&amp;"."&amp;IF(J1306&lt;=K1306,J1306,IF(J1306=K1306+1,200,IF(J1306=K1306+2,201,250)))&amp;".1",""))</f>
        <v/>
      </c>
      <c r="F1306" s="0" t="str">
        <f aca="false">IF(I1306="","",IF(AND(J1306&gt;=1,J1306&lt;=K1306+3),"10."&amp;INDEX(Eingabe!$D$9:$D$18,I1306)&amp;"."&amp;IF(J1306&lt;=K1306,J1306,IF(J1306=K1306+1,200,IF(J1306=K1306+2,201,250)))&amp;".10 – 10."&amp;INDEX(Eingabe!$D$9:$D$18,I1306)&amp;"."&amp;IF(J1306&lt;=K1306,J1306,IF(J1306=K1306+1,200,IF(J1306=K1306+2,201,250)))&amp;".250",""))</f>
        <v/>
      </c>
      <c r="G1306" s="0" t="str">
        <f aca="false">IF(I1306="","",IF(AND(J1306&gt;=1,J1306&lt;=K1306),Eingabe!$B$6&amp;"-"&amp;INDEX(Eingabe!$C$9:$C$18,I1306)&amp;"-Pächter  ·  Passwort Parzelle "&amp;J1306,IF(J1306=K1306+1,Eingabe!$B$6&amp;"-"&amp;INDEX(Eingabe!$C$9:$C$18,I1306)&amp;"-Vorstand  ·  eigenes WLAN",IF(J1306=K1306+2,Eingabe!$B$6&amp;"-"&amp;INDEX(Eingabe!$C$9:$C$18,I1306)&amp;"-Gäste  ·  Voucher",IF(J1306=K1306+3,"Kabel  ·  Access Point y = .(50+y), Mast-Switch x = .(10+x)","")))))</f>
        <v/>
      </c>
      <c r="I1306" s="0" t="str">
        <f aca="false">IF(1301&lt;=(Eingabe!$P$18+Eingabe!$Q$18-1),MATCH(1301,Eingabe!$P$9:$P$18,1),"")</f>
        <v/>
      </c>
      <c r="J1306" s="0" t="str">
        <f aca="false">IF(I1306="","",1301-INDEX(Eingabe!$P$9:$P$18,I1306))</f>
        <v/>
      </c>
      <c r="K1306" s="0" t="str">
        <f aca="false">IF(I1306="","",INDEX(Eingabe!$E$9:$E$18,I1306))</f>
        <v/>
      </c>
    </row>
    <row r="1307" customFormat="false" ht="15" hidden="false" customHeight="false" outlineLevel="0" collapsed="false">
      <c r="A1307" s="0" t="str">
        <f aca="false">IF(I1307="","",IF(J1307=0,"Sparte "&amp;I1307&amp;": "&amp;INDEX(Eingabe!$B$9:$B$18,I1307)&amp;"  (Sparten-ID "&amp;INDEX(Eingabe!$D$9:$D$18,I1307)&amp;", "&amp;K1307&amp;" Parzellen)",IF(J1307&lt;=K1307,"   Parzelle "&amp;J1307,IF(J1307=K1307+1,"   Vorstand",IF(J1307=K1307+2,"   Gäste",IF(J1307=K1307+3,"   Technik (Switches, Access Points)",""))))))</f>
        <v/>
      </c>
      <c r="B1307" s="0" t="str">
        <f aca="false">IF(I1307="","",IF(AND(J1307&gt;=1,J1307&lt;=K1307+3),IF(J1307&lt;=K1307,IF(J1307&lt;=99,IF((INDEX(Eingabe!$G$9:$G$18,I1307))&lt;=9,1000+(INDEX(Eingabe!$G$9:$G$18,I1307))*100,3000)+J1307,IF((INDEX(Eingabe!$G$9:$G$18,I1307)+1)&lt;=9,1000+(INDEX(Eingabe!$G$9:$G$18,I1307)+1)*100,3000)+J1307-100),IF(J1307=K1307+1,2000+INDEX(Eingabe!$G$9:$G$18,I1307)*10+1,IF(J1307=K1307+2,2000+INDEX(Eingabe!$G$9:$G$18,I1307)*10+2,2000+INDEX(Eingabe!$G$9:$G$18,I1307)*10+9))),""))</f>
        <v/>
      </c>
      <c r="C1307" s="0" t="str">
        <f aca="false">IF(I1307="","",IF(AND(J1307&gt;=1,J1307&lt;=K1307+3),"10."&amp;INDEX(Eingabe!$D$9:$D$18,I1307)&amp;"."&amp;IF(J1307&lt;=K1307,J1307,IF(J1307=K1307+1,200,IF(J1307=K1307+2,201,250)))&amp;".0/24",""))</f>
        <v/>
      </c>
      <c r="D1307" s="0" t="str">
        <f aca="false">IF(I1307="","",IF(AND(J1307&gt;=1,J1307&lt;=K1307+3),"255.255.255.0",""))</f>
        <v/>
      </c>
      <c r="E1307" s="0" t="str">
        <f aca="false">IF(I1307="","",IF(AND(J1307&gt;=1,J1307&lt;=K1307+3),"10."&amp;INDEX(Eingabe!$D$9:$D$18,I1307)&amp;"."&amp;IF(J1307&lt;=K1307,J1307,IF(J1307=K1307+1,200,IF(J1307=K1307+2,201,250)))&amp;".1",""))</f>
        <v/>
      </c>
      <c r="F1307" s="0" t="str">
        <f aca="false">IF(I1307="","",IF(AND(J1307&gt;=1,J1307&lt;=K1307+3),"10."&amp;INDEX(Eingabe!$D$9:$D$18,I1307)&amp;"."&amp;IF(J1307&lt;=K1307,J1307,IF(J1307=K1307+1,200,IF(J1307=K1307+2,201,250)))&amp;".10 – 10."&amp;INDEX(Eingabe!$D$9:$D$18,I1307)&amp;"."&amp;IF(J1307&lt;=K1307,J1307,IF(J1307=K1307+1,200,IF(J1307=K1307+2,201,250)))&amp;".250",""))</f>
        <v/>
      </c>
      <c r="G1307" s="0" t="str">
        <f aca="false">IF(I1307="","",IF(AND(J1307&gt;=1,J1307&lt;=K1307),Eingabe!$B$6&amp;"-"&amp;INDEX(Eingabe!$C$9:$C$18,I1307)&amp;"-Pächter  ·  Passwort Parzelle "&amp;J1307,IF(J1307=K1307+1,Eingabe!$B$6&amp;"-"&amp;INDEX(Eingabe!$C$9:$C$18,I1307)&amp;"-Vorstand  ·  eigenes WLAN",IF(J1307=K1307+2,Eingabe!$B$6&amp;"-"&amp;INDEX(Eingabe!$C$9:$C$18,I1307)&amp;"-Gäste  ·  Voucher",IF(J1307=K1307+3,"Kabel  ·  Access Point y = .(50+y), Mast-Switch x = .(10+x)","")))))</f>
        <v/>
      </c>
      <c r="I1307" s="0" t="str">
        <f aca="false">IF(1302&lt;=(Eingabe!$P$18+Eingabe!$Q$18-1),MATCH(1302,Eingabe!$P$9:$P$18,1),"")</f>
        <v/>
      </c>
      <c r="J1307" s="0" t="str">
        <f aca="false">IF(I1307="","",1302-INDEX(Eingabe!$P$9:$P$18,I1307))</f>
        <v/>
      </c>
      <c r="K1307" s="0" t="str">
        <f aca="false">IF(I1307="","",INDEX(Eingabe!$E$9:$E$18,I1307))</f>
        <v/>
      </c>
    </row>
    <row r="1308" customFormat="false" ht="15" hidden="false" customHeight="false" outlineLevel="0" collapsed="false">
      <c r="A1308" s="0" t="str">
        <f aca="false">IF(I1308="","",IF(J1308=0,"Sparte "&amp;I1308&amp;": "&amp;INDEX(Eingabe!$B$9:$B$18,I1308)&amp;"  (Sparten-ID "&amp;INDEX(Eingabe!$D$9:$D$18,I1308)&amp;", "&amp;K1308&amp;" Parzellen)",IF(J1308&lt;=K1308,"   Parzelle "&amp;J1308,IF(J1308=K1308+1,"   Vorstand",IF(J1308=K1308+2,"   Gäste",IF(J1308=K1308+3,"   Technik (Switches, Access Points)",""))))))</f>
        <v/>
      </c>
      <c r="B1308" s="0" t="str">
        <f aca="false">IF(I1308="","",IF(AND(J1308&gt;=1,J1308&lt;=K1308+3),IF(J1308&lt;=K1308,IF(J1308&lt;=99,IF((INDEX(Eingabe!$G$9:$G$18,I1308))&lt;=9,1000+(INDEX(Eingabe!$G$9:$G$18,I1308))*100,3000)+J1308,IF((INDEX(Eingabe!$G$9:$G$18,I1308)+1)&lt;=9,1000+(INDEX(Eingabe!$G$9:$G$18,I1308)+1)*100,3000)+J1308-100),IF(J1308=K1308+1,2000+INDEX(Eingabe!$G$9:$G$18,I1308)*10+1,IF(J1308=K1308+2,2000+INDEX(Eingabe!$G$9:$G$18,I1308)*10+2,2000+INDEX(Eingabe!$G$9:$G$18,I1308)*10+9))),""))</f>
        <v/>
      </c>
      <c r="C1308" s="0" t="str">
        <f aca="false">IF(I1308="","",IF(AND(J1308&gt;=1,J1308&lt;=K1308+3),"10."&amp;INDEX(Eingabe!$D$9:$D$18,I1308)&amp;"."&amp;IF(J1308&lt;=K1308,J1308,IF(J1308=K1308+1,200,IF(J1308=K1308+2,201,250)))&amp;".0/24",""))</f>
        <v/>
      </c>
      <c r="D1308" s="0" t="str">
        <f aca="false">IF(I1308="","",IF(AND(J1308&gt;=1,J1308&lt;=K1308+3),"255.255.255.0",""))</f>
        <v/>
      </c>
      <c r="E1308" s="0" t="str">
        <f aca="false">IF(I1308="","",IF(AND(J1308&gt;=1,J1308&lt;=K1308+3),"10."&amp;INDEX(Eingabe!$D$9:$D$18,I1308)&amp;"."&amp;IF(J1308&lt;=K1308,J1308,IF(J1308=K1308+1,200,IF(J1308=K1308+2,201,250)))&amp;".1",""))</f>
        <v/>
      </c>
      <c r="F1308" s="0" t="str">
        <f aca="false">IF(I1308="","",IF(AND(J1308&gt;=1,J1308&lt;=K1308+3),"10."&amp;INDEX(Eingabe!$D$9:$D$18,I1308)&amp;"."&amp;IF(J1308&lt;=K1308,J1308,IF(J1308=K1308+1,200,IF(J1308=K1308+2,201,250)))&amp;".10 – 10."&amp;INDEX(Eingabe!$D$9:$D$18,I1308)&amp;"."&amp;IF(J1308&lt;=K1308,J1308,IF(J1308=K1308+1,200,IF(J1308=K1308+2,201,250)))&amp;".250",""))</f>
        <v/>
      </c>
      <c r="G1308" s="0" t="str">
        <f aca="false">IF(I1308="","",IF(AND(J1308&gt;=1,J1308&lt;=K1308),Eingabe!$B$6&amp;"-"&amp;INDEX(Eingabe!$C$9:$C$18,I1308)&amp;"-Pächter  ·  Passwort Parzelle "&amp;J1308,IF(J1308=K1308+1,Eingabe!$B$6&amp;"-"&amp;INDEX(Eingabe!$C$9:$C$18,I1308)&amp;"-Vorstand  ·  eigenes WLAN",IF(J1308=K1308+2,Eingabe!$B$6&amp;"-"&amp;INDEX(Eingabe!$C$9:$C$18,I1308)&amp;"-Gäste  ·  Voucher",IF(J1308=K1308+3,"Kabel  ·  Access Point y = .(50+y), Mast-Switch x = .(10+x)","")))))</f>
        <v/>
      </c>
      <c r="I1308" s="0" t="str">
        <f aca="false">IF(1303&lt;=(Eingabe!$P$18+Eingabe!$Q$18-1),MATCH(1303,Eingabe!$P$9:$P$18,1),"")</f>
        <v/>
      </c>
      <c r="J1308" s="0" t="str">
        <f aca="false">IF(I1308="","",1303-INDEX(Eingabe!$P$9:$P$18,I1308))</f>
        <v/>
      </c>
      <c r="K1308" s="0" t="str">
        <f aca="false">IF(I1308="","",INDEX(Eingabe!$E$9:$E$18,I1308))</f>
        <v/>
      </c>
    </row>
    <row r="1309" customFormat="false" ht="15" hidden="false" customHeight="false" outlineLevel="0" collapsed="false">
      <c r="A1309" s="0" t="str">
        <f aca="false">IF(I1309="","",IF(J1309=0,"Sparte "&amp;I1309&amp;": "&amp;INDEX(Eingabe!$B$9:$B$18,I1309)&amp;"  (Sparten-ID "&amp;INDEX(Eingabe!$D$9:$D$18,I1309)&amp;", "&amp;K1309&amp;" Parzellen)",IF(J1309&lt;=K1309,"   Parzelle "&amp;J1309,IF(J1309=K1309+1,"   Vorstand",IF(J1309=K1309+2,"   Gäste",IF(J1309=K1309+3,"   Technik (Switches, Access Points)",""))))))</f>
        <v/>
      </c>
      <c r="B1309" s="0" t="str">
        <f aca="false">IF(I1309="","",IF(AND(J1309&gt;=1,J1309&lt;=K1309+3),IF(J1309&lt;=K1309,IF(J1309&lt;=99,IF((INDEX(Eingabe!$G$9:$G$18,I1309))&lt;=9,1000+(INDEX(Eingabe!$G$9:$G$18,I1309))*100,3000)+J1309,IF((INDEX(Eingabe!$G$9:$G$18,I1309)+1)&lt;=9,1000+(INDEX(Eingabe!$G$9:$G$18,I1309)+1)*100,3000)+J1309-100),IF(J1309=K1309+1,2000+INDEX(Eingabe!$G$9:$G$18,I1309)*10+1,IF(J1309=K1309+2,2000+INDEX(Eingabe!$G$9:$G$18,I1309)*10+2,2000+INDEX(Eingabe!$G$9:$G$18,I1309)*10+9))),""))</f>
        <v/>
      </c>
      <c r="C1309" s="0" t="str">
        <f aca="false">IF(I1309="","",IF(AND(J1309&gt;=1,J1309&lt;=K1309+3),"10."&amp;INDEX(Eingabe!$D$9:$D$18,I1309)&amp;"."&amp;IF(J1309&lt;=K1309,J1309,IF(J1309=K1309+1,200,IF(J1309=K1309+2,201,250)))&amp;".0/24",""))</f>
        <v/>
      </c>
      <c r="D1309" s="0" t="str">
        <f aca="false">IF(I1309="","",IF(AND(J1309&gt;=1,J1309&lt;=K1309+3),"255.255.255.0",""))</f>
        <v/>
      </c>
      <c r="E1309" s="0" t="str">
        <f aca="false">IF(I1309="","",IF(AND(J1309&gt;=1,J1309&lt;=K1309+3),"10."&amp;INDEX(Eingabe!$D$9:$D$18,I1309)&amp;"."&amp;IF(J1309&lt;=K1309,J1309,IF(J1309=K1309+1,200,IF(J1309=K1309+2,201,250)))&amp;".1",""))</f>
        <v/>
      </c>
      <c r="F1309" s="0" t="str">
        <f aca="false">IF(I1309="","",IF(AND(J1309&gt;=1,J1309&lt;=K1309+3),"10."&amp;INDEX(Eingabe!$D$9:$D$18,I1309)&amp;"."&amp;IF(J1309&lt;=K1309,J1309,IF(J1309=K1309+1,200,IF(J1309=K1309+2,201,250)))&amp;".10 – 10."&amp;INDEX(Eingabe!$D$9:$D$18,I1309)&amp;"."&amp;IF(J1309&lt;=K1309,J1309,IF(J1309=K1309+1,200,IF(J1309=K1309+2,201,250)))&amp;".250",""))</f>
        <v/>
      </c>
      <c r="G1309" s="0" t="str">
        <f aca="false">IF(I1309="","",IF(AND(J1309&gt;=1,J1309&lt;=K1309),Eingabe!$B$6&amp;"-"&amp;INDEX(Eingabe!$C$9:$C$18,I1309)&amp;"-Pächter  ·  Passwort Parzelle "&amp;J1309,IF(J1309=K1309+1,Eingabe!$B$6&amp;"-"&amp;INDEX(Eingabe!$C$9:$C$18,I1309)&amp;"-Vorstand  ·  eigenes WLAN",IF(J1309=K1309+2,Eingabe!$B$6&amp;"-"&amp;INDEX(Eingabe!$C$9:$C$18,I1309)&amp;"-Gäste  ·  Voucher",IF(J1309=K1309+3,"Kabel  ·  Access Point y = .(50+y), Mast-Switch x = .(10+x)","")))))</f>
        <v/>
      </c>
      <c r="I1309" s="0" t="str">
        <f aca="false">IF(1304&lt;=(Eingabe!$P$18+Eingabe!$Q$18-1),MATCH(1304,Eingabe!$P$9:$P$18,1),"")</f>
        <v/>
      </c>
      <c r="J1309" s="0" t="str">
        <f aca="false">IF(I1309="","",1304-INDEX(Eingabe!$P$9:$P$18,I1309))</f>
        <v/>
      </c>
      <c r="K1309" s="0" t="str">
        <f aca="false">IF(I1309="","",INDEX(Eingabe!$E$9:$E$18,I1309))</f>
        <v/>
      </c>
    </row>
    <row r="1310" customFormat="false" ht="15" hidden="false" customHeight="false" outlineLevel="0" collapsed="false">
      <c r="A1310" s="0" t="str">
        <f aca="false">IF(I1310="","",IF(J1310=0,"Sparte "&amp;I1310&amp;": "&amp;INDEX(Eingabe!$B$9:$B$18,I1310)&amp;"  (Sparten-ID "&amp;INDEX(Eingabe!$D$9:$D$18,I1310)&amp;", "&amp;K1310&amp;" Parzellen)",IF(J1310&lt;=K1310,"   Parzelle "&amp;J1310,IF(J1310=K1310+1,"   Vorstand",IF(J1310=K1310+2,"   Gäste",IF(J1310=K1310+3,"   Technik (Switches, Access Points)",""))))))</f>
        <v/>
      </c>
      <c r="B1310" s="0" t="str">
        <f aca="false">IF(I1310="","",IF(AND(J1310&gt;=1,J1310&lt;=K1310+3),IF(J1310&lt;=K1310,IF(J1310&lt;=99,IF((INDEX(Eingabe!$G$9:$G$18,I1310))&lt;=9,1000+(INDEX(Eingabe!$G$9:$G$18,I1310))*100,3000)+J1310,IF((INDEX(Eingabe!$G$9:$G$18,I1310)+1)&lt;=9,1000+(INDEX(Eingabe!$G$9:$G$18,I1310)+1)*100,3000)+J1310-100),IF(J1310=K1310+1,2000+INDEX(Eingabe!$G$9:$G$18,I1310)*10+1,IF(J1310=K1310+2,2000+INDEX(Eingabe!$G$9:$G$18,I1310)*10+2,2000+INDEX(Eingabe!$G$9:$G$18,I1310)*10+9))),""))</f>
        <v/>
      </c>
      <c r="C1310" s="0" t="str">
        <f aca="false">IF(I1310="","",IF(AND(J1310&gt;=1,J1310&lt;=K1310+3),"10."&amp;INDEX(Eingabe!$D$9:$D$18,I1310)&amp;"."&amp;IF(J1310&lt;=K1310,J1310,IF(J1310=K1310+1,200,IF(J1310=K1310+2,201,250)))&amp;".0/24",""))</f>
        <v/>
      </c>
      <c r="D1310" s="0" t="str">
        <f aca="false">IF(I1310="","",IF(AND(J1310&gt;=1,J1310&lt;=K1310+3),"255.255.255.0",""))</f>
        <v/>
      </c>
      <c r="E1310" s="0" t="str">
        <f aca="false">IF(I1310="","",IF(AND(J1310&gt;=1,J1310&lt;=K1310+3),"10."&amp;INDEX(Eingabe!$D$9:$D$18,I1310)&amp;"."&amp;IF(J1310&lt;=K1310,J1310,IF(J1310=K1310+1,200,IF(J1310=K1310+2,201,250)))&amp;".1",""))</f>
        <v/>
      </c>
      <c r="F1310" s="0" t="str">
        <f aca="false">IF(I1310="","",IF(AND(J1310&gt;=1,J1310&lt;=K1310+3),"10."&amp;INDEX(Eingabe!$D$9:$D$18,I1310)&amp;"."&amp;IF(J1310&lt;=K1310,J1310,IF(J1310=K1310+1,200,IF(J1310=K1310+2,201,250)))&amp;".10 – 10."&amp;INDEX(Eingabe!$D$9:$D$18,I1310)&amp;"."&amp;IF(J1310&lt;=K1310,J1310,IF(J1310=K1310+1,200,IF(J1310=K1310+2,201,250)))&amp;".250",""))</f>
        <v/>
      </c>
      <c r="G1310" s="0" t="str">
        <f aca="false">IF(I1310="","",IF(AND(J1310&gt;=1,J1310&lt;=K1310),Eingabe!$B$6&amp;"-"&amp;INDEX(Eingabe!$C$9:$C$18,I1310)&amp;"-Pächter  ·  Passwort Parzelle "&amp;J1310,IF(J1310=K1310+1,Eingabe!$B$6&amp;"-"&amp;INDEX(Eingabe!$C$9:$C$18,I1310)&amp;"-Vorstand  ·  eigenes WLAN",IF(J1310=K1310+2,Eingabe!$B$6&amp;"-"&amp;INDEX(Eingabe!$C$9:$C$18,I1310)&amp;"-Gäste  ·  Voucher",IF(J1310=K1310+3,"Kabel  ·  Access Point y = .(50+y), Mast-Switch x = .(10+x)","")))))</f>
        <v/>
      </c>
      <c r="I1310" s="0" t="str">
        <f aca="false">IF(1305&lt;=(Eingabe!$P$18+Eingabe!$Q$18-1),MATCH(1305,Eingabe!$P$9:$P$18,1),"")</f>
        <v/>
      </c>
      <c r="J1310" s="0" t="str">
        <f aca="false">IF(I1310="","",1305-INDEX(Eingabe!$P$9:$P$18,I1310))</f>
        <v/>
      </c>
      <c r="K1310" s="0" t="str">
        <f aca="false">IF(I1310="","",INDEX(Eingabe!$E$9:$E$18,I1310))</f>
        <v/>
      </c>
    </row>
    <row r="1311" customFormat="false" ht="15" hidden="false" customHeight="false" outlineLevel="0" collapsed="false">
      <c r="A1311" s="0" t="str">
        <f aca="false">IF(I1311="","",IF(J1311=0,"Sparte "&amp;I1311&amp;": "&amp;INDEX(Eingabe!$B$9:$B$18,I1311)&amp;"  (Sparten-ID "&amp;INDEX(Eingabe!$D$9:$D$18,I1311)&amp;", "&amp;K1311&amp;" Parzellen)",IF(J1311&lt;=K1311,"   Parzelle "&amp;J1311,IF(J1311=K1311+1,"   Vorstand",IF(J1311=K1311+2,"   Gäste",IF(J1311=K1311+3,"   Technik (Switches, Access Points)",""))))))</f>
        <v/>
      </c>
      <c r="B1311" s="0" t="str">
        <f aca="false">IF(I1311="","",IF(AND(J1311&gt;=1,J1311&lt;=K1311+3),IF(J1311&lt;=K1311,IF(J1311&lt;=99,IF((INDEX(Eingabe!$G$9:$G$18,I1311))&lt;=9,1000+(INDEX(Eingabe!$G$9:$G$18,I1311))*100,3000)+J1311,IF((INDEX(Eingabe!$G$9:$G$18,I1311)+1)&lt;=9,1000+(INDEX(Eingabe!$G$9:$G$18,I1311)+1)*100,3000)+J1311-100),IF(J1311=K1311+1,2000+INDEX(Eingabe!$G$9:$G$18,I1311)*10+1,IF(J1311=K1311+2,2000+INDEX(Eingabe!$G$9:$G$18,I1311)*10+2,2000+INDEX(Eingabe!$G$9:$G$18,I1311)*10+9))),""))</f>
        <v/>
      </c>
      <c r="C1311" s="0" t="str">
        <f aca="false">IF(I1311="","",IF(AND(J1311&gt;=1,J1311&lt;=K1311+3),"10."&amp;INDEX(Eingabe!$D$9:$D$18,I1311)&amp;"."&amp;IF(J1311&lt;=K1311,J1311,IF(J1311=K1311+1,200,IF(J1311=K1311+2,201,250)))&amp;".0/24",""))</f>
        <v/>
      </c>
      <c r="D1311" s="0" t="str">
        <f aca="false">IF(I1311="","",IF(AND(J1311&gt;=1,J1311&lt;=K1311+3),"255.255.255.0",""))</f>
        <v/>
      </c>
      <c r="E1311" s="0" t="str">
        <f aca="false">IF(I1311="","",IF(AND(J1311&gt;=1,J1311&lt;=K1311+3),"10."&amp;INDEX(Eingabe!$D$9:$D$18,I1311)&amp;"."&amp;IF(J1311&lt;=K1311,J1311,IF(J1311=K1311+1,200,IF(J1311=K1311+2,201,250)))&amp;".1",""))</f>
        <v/>
      </c>
      <c r="F1311" s="0" t="str">
        <f aca="false">IF(I1311="","",IF(AND(J1311&gt;=1,J1311&lt;=K1311+3),"10."&amp;INDEX(Eingabe!$D$9:$D$18,I1311)&amp;"."&amp;IF(J1311&lt;=K1311,J1311,IF(J1311=K1311+1,200,IF(J1311=K1311+2,201,250)))&amp;".10 – 10."&amp;INDEX(Eingabe!$D$9:$D$18,I1311)&amp;"."&amp;IF(J1311&lt;=K1311,J1311,IF(J1311=K1311+1,200,IF(J1311=K1311+2,201,250)))&amp;".250",""))</f>
        <v/>
      </c>
      <c r="G1311" s="0" t="str">
        <f aca="false">IF(I1311="","",IF(AND(J1311&gt;=1,J1311&lt;=K1311),Eingabe!$B$6&amp;"-"&amp;INDEX(Eingabe!$C$9:$C$18,I1311)&amp;"-Pächter  ·  Passwort Parzelle "&amp;J1311,IF(J1311=K1311+1,Eingabe!$B$6&amp;"-"&amp;INDEX(Eingabe!$C$9:$C$18,I1311)&amp;"-Vorstand  ·  eigenes WLAN",IF(J1311=K1311+2,Eingabe!$B$6&amp;"-"&amp;INDEX(Eingabe!$C$9:$C$18,I1311)&amp;"-Gäste  ·  Voucher",IF(J1311=K1311+3,"Kabel  ·  Access Point y = .(50+y), Mast-Switch x = .(10+x)","")))))</f>
        <v/>
      </c>
      <c r="I1311" s="0" t="str">
        <f aca="false">IF(1306&lt;=(Eingabe!$P$18+Eingabe!$Q$18-1),MATCH(1306,Eingabe!$P$9:$P$18,1),"")</f>
        <v/>
      </c>
      <c r="J1311" s="0" t="str">
        <f aca="false">IF(I1311="","",1306-INDEX(Eingabe!$P$9:$P$18,I1311))</f>
        <v/>
      </c>
      <c r="K1311" s="0" t="str">
        <f aca="false">IF(I1311="","",INDEX(Eingabe!$E$9:$E$18,I1311))</f>
        <v/>
      </c>
    </row>
    <row r="1312" customFormat="false" ht="15" hidden="false" customHeight="false" outlineLevel="0" collapsed="false">
      <c r="A1312" s="0" t="str">
        <f aca="false">IF(I1312="","",IF(J1312=0,"Sparte "&amp;I1312&amp;": "&amp;INDEX(Eingabe!$B$9:$B$18,I1312)&amp;"  (Sparten-ID "&amp;INDEX(Eingabe!$D$9:$D$18,I1312)&amp;", "&amp;K1312&amp;" Parzellen)",IF(J1312&lt;=K1312,"   Parzelle "&amp;J1312,IF(J1312=K1312+1,"   Vorstand",IF(J1312=K1312+2,"   Gäste",IF(J1312=K1312+3,"   Technik (Switches, Access Points)",""))))))</f>
        <v/>
      </c>
      <c r="B1312" s="0" t="str">
        <f aca="false">IF(I1312="","",IF(AND(J1312&gt;=1,J1312&lt;=K1312+3),IF(J1312&lt;=K1312,IF(J1312&lt;=99,IF((INDEX(Eingabe!$G$9:$G$18,I1312))&lt;=9,1000+(INDEX(Eingabe!$G$9:$G$18,I1312))*100,3000)+J1312,IF((INDEX(Eingabe!$G$9:$G$18,I1312)+1)&lt;=9,1000+(INDEX(Eingabe!$G$9:$G$18,I1312)+1)*100,3000)+J1312-100),IF(J1312=K1312+1,2000+INDEX(Eingabe!$G$9:$G$18,I1312)*10+1,IF(J1312=K1312+2,2000+INDEX(Eingabe!$G$9:$G$18,I1312)*10+2,2000+INDEX(Eingabe!$G$9:$G$18,I1312)*10+9))),""))</f>
        <v/>
      </c>
      <c r="C1312" s="0" t="str">
        <f aca="false">IF(I1312="","",IF(AND(J1312&gt;=1,J1312&lt;=K1312+3),"10."&amp;INDEX(Eingabe!$D$9:$D$18,I1312)&amp;"."&amp;IF(J1312&lt;=K1312,J1312,IF(J1312=K1312+1,200,IF(J1312=K1312+2,201,250)))&amp;".0/24",""))</f>
        <v/>
      </c>
      <c r="D1312" s="0" t="str">
        <f aca="false">IF(I1312="","",IF(AND(J1312&gt;=1,J1312&lt;=K1312+3),"255.255.255.0",""))</f>
        <v/>
      </c>
      <c r="E1312" s="0" t="str">
        <f aca="false">IF(I1312="","",IF(AND(J1312&gt;=1,J1312&lt;=K1312+3),"10."&amp;INDEX(Eingabe!$D$9:$D$18,I1312)&amp;"."&amp;IF(J1312&lt;=K1312,J1312,IF(J1312=K1312+1,200,IF(J1312=K1312+2,201,250)))&amp;".1",""))</f>
        <v/>
      </c>
      <c r="F1312" s="0" t="str">
        <f aca="false">IF(I1312="","",IF(AND(J1312&gt;=1,J1312&lt;=K1312+3),"10."&amp;INDEX(Eingabe!$D$9:$D$18,I1312)&amp;"."&amp;IF(J1312&lt;=K1312,J1312,IF(J1312=K1312+1,200,IF(J1312=K1312+2,201,250)))&amp;".10 – 10."&amp;INDEX(Eingabe!$D$9:$D$18,I1312)&amp;"."&amp;IF(J1312&lt;=K1312,J1312,IF(J1312=K1312+1,200,IF(J1312=K1312+2,201,250)))&amp;".250",""))</f>
        <v/>
      </c>
      <c r="G1312" s="0" t="str">
        <f aca="false">IF(I1312="","",IF(AND(J1312&gt;=1,J1312&lt;=K1312),Eingabe!$B$6&amp;"-"&amp;INDEX(Eingabe!$C$9:$C$18,I1312)&amp;"-Pächter  ·  Passwort Parzelle "&amp;J1312,IF(J1312=K1312+1,Eingabe!$B$6&amp;"-"&amp;INDEX(Eingabe!$C$9:$C$18,I1312)&amp;"-Vorstand  ·  eigenes WLAN",IF(J1312=K1312+2,Eingabe!$B$6&amp;"-"&amp;INDEX(Eingabe!$C$9:$C$18,I1312)&amp;"-Gäste  ·  Voucher",IF(J1312=K1312+3,"Kabel  ·  Access Point y = .(50+y), Mast-Switch x = .(10+x)","")))))</f>
        <v/>
      </c>
      <c r="I1312" s="0" t="str">
        <f aca="false">IF(1307&lt;=(Eingabe!$P$18+Eingabe!$Q$18-1),MATCH(1307,Eingabe!$P$9:$P$18,1),"")</f>
        <v/>
      </c>
      <c r="J1312" s="0" t="str">
        <f aca="false">IF(I1312="","",1307-INDEX(Eingabe!$P$9:$P$18,I1312))</f>
        <v/>
      </c>
      <c r="K1312" s="0" t="str">
        <f aca="false">IF(I1312="","",INDEX(Eingabe!$E$9:$E$18,I1312))</f>
        <v/>
      </c>
    </row>
    <row r="1313" customFormat="false" ht="15" hidden="false" customHeight="false" outlineLevel="0" collapsed="false">
      <c r="A1313" s="0" t="str">
        <f aca="false">IF(I1313="","",IF(J1313=0,"Sparte "&amp;I1313&amp;": "&amp;INDEX(Eingabe!$B$9:$B$18,I1313)&amp;"  (Sparten-ID "&amp;INDEX(Eingabe!$D$9:$D$18,I1313)&amp;", "&amp;K1313&amp;" Parzellen)",IF(J1313&lt;=K1313,"   Parzelle "&amp;J1313,IF(J1313=K1313+1,"   Vorstand",IF(J1313=K1313+2,"   Gäste",IF(J1313=K1313+3,"   Technik (Switches, Access Points)",""))))))</f>
        <v/>
      </c>
      <c r="B1313" s="0" t="str">
        <f aca="false">IF(I1313="","",IF(AND(J1313&gt;=1,J1313&lt;=K1313+3),IF(J1313&lt;=K1313,IF(J1313&lt;=99,IF((INDEX(Eingabe!$G$9:$G$18,I1313))&lt;=9,1000+(INDEX(Eingabe!$G$9:$G$18,I1313))*100,3000)+J1313,IF((INDEX(Eingabe!$G$9:$G$18,I1313)+1)&lt;=9,1000+(INDEX(Eingabe!$G$9:$G$18,I1313)+1)*100,3000)+J1313-100),IF(J1313=K1313+1,2000+INDEX(Eingabe!$G$9:$G$18,I1313)*10+1,IF(J1313=K1313+2,2000+INDEX(Eingabe!$G$9:$G$18,I1313)*10+2,2000+INDEX(Eingabe!$G$9:$G$18,I1313)*10+9))),""))</f>
        <v/>
      </c>
      <c r="C1313" s="0" t="str">
        <f aca="false">IF(I1313="","",IF(AND(J1313&gt;=1,J1313&lt;=K1313+3),"10."&amp;INDEX(Eingabe!$D$9:$D$18,I1313)&amp;"."&amp;IF(J1313&lt;=K1313,J1313,IF(J1313=K1313+1,200,IF(J1313=K1313+2,201,250)))&amp;".0/24",""))</f>
        <v/>
      </c>
      <c r="D1313" s="0" t="str">
        <f aca="false">IF(I1313="","",IF(AND(J1313&gt;=1,J1313&lt;=K1313+3),"255.255.255.0",""))</f>
        <v/>
      </c>
      <c r="E1313" s="0" t="str">
        <f aca="false">IF(I1313="","",IF(AND(J1313&gt;=1,J1313&lt;=K1313+3),"10."&amp;INDEX(Eingabe!$D$9:$D$18,I1313)&amp;"."&amp;IF(J1313&lt;=K1313,J1313,IF(J1313=K1313+1,200,IF(J1313=K1313+2,201,250)))&amp;".1",""))</f>
        <v/>
      </c>
      <c r="F1313" s="0" t="str">
        <f aca="false">IF(I1313="","",IF(AND(J1313&gt;=1,J1313&lt;=K1313+3),"10."&amp;INDEX(Eingabe!$D$9:$D$18,I1313)&amp;"."&amp;IF(J1313&lt;=K1313,J1313,IF(J1313=K1313+1,200,IF(J1313=K1313+2,201,250)))&amp;".10 – 10."&amp;INDEX(Eingabe!$D$9:$D$18,I1313)&amp;"."&amp;IF(J1313&lt;=K1313,J1313,IF(J1313=K1313+1,200,IF(J1313=K1313+2,201,250)))&amp;".250",""))</f>
        <v/>
      </c>
      <c r="G1313" s="0" t="str">
        <f aca="false">IF(I1313="","",IF(AND(J1313&gt;=1,J1313&lt;=K1313),Eingabe!$B$6&amp;"-"&amp;INDEX(Eingabe!$C$9:$C$18,I1313)&amp;"-Pächter  ·  Passwort Parzelle "&amp;J1313,IF(J1313=K1313+1,Eingabe!$B$6&amp;"-"&amp;INDEX(Eingabe!$C$9:$C$18,I1313)&amp;"-Vorstand  ·  eigenes WLAN",IF(J1313=K1313+2,Eingabe!$B$6&amp;"-"&amp;INDEX(Eingabe!$C$9:$C$18,I1313)&amp;"-Gäste  ·  Voucher",IF(J1313=K1313+3,"Kabel  ·  Access Point y = .(50+y), Mast-Switch x = .(10+x)","")))))</f>
        <v/>
      </c>
      <c r="I1313" s="0" t="str">
        <f aca="false">IF(1308&lt;=(Eingabe!$P$18+Eingabe!$Q$18-1),MATCH(1308,Eingabe!$P$9:$P$18,1),"")</f>
        <v/>
      </c>
      <c r="J1313" s="0" t="str">
        <f aca="false">IF(I1313="","",1308-INDEX(Eingabe!$P$9:$P$18,I1313))</f>
        <v/>
      </c>
      <c r="K1313" s="0" t="str">
        <f aca="false">IF(I1313="","",INDEX(Eingabe!$E$9:$E$18,I1313))</f>
        <v/>
      </c>
    </row>
    <row r="1314" customFormat="false" ht="15" hidden="false" customHeight="false" outlineLevel="0" collapsed="false">
      <c r="A1314" s="0" t="str">
        <f aca="false">IF(I1314="","",IF(J1314=0,"Sparte "&amp;I1314&amp;": "&amp;INDEX(Eingabe!$B$9:$B$18,I1314)&amp;"  (Sparten-ID "&amp;INDEX(Eingabe!$D$9:$D$18,I1314)&amp;", "&amp;K1314&amp;" Parzellen)",IF(J1314&lt;=K1314,"   Parzelle "&amp;J1314,IF(J1314=K1314+1,"   Vorstand",IF(J1314=K1314+2,"   Gäste",IF(J1314=K1314+3,"   Technik (Switches, Access Points)",""))))))</f>
        <v/>
      </c>
      <c r="B1314" s="0" t="str">
        <f aca="false">IF(I1314="","",IF(AND(J1314&gt;=1,J1314&lt;=K1314+3),IF(J1314&lt;=K1314,IF(J1314&lt;=99,IF((INDEX(Eingabe!$G$9:$G$18,I1314))&lt;=9,1000+(INDEX(Eingabe!$G$9:$G$18,I1314))*100,3000)+J1314,IF((INDEX(Eingabe!$G$9:$G$18,I1314)+1)&lt;=9,1000+(INDEX(Eingabe!$G$9:$G$18,I1314)+1)*100,3000)+J1314-100),IF(J1314=K1314+1,2000+INDEX(Eingabe!$G$9:$G$18,I1314)*10+1,IF(J1314=K1314+2,2000+INDEX(Eingabe!$G$9:$G$18,I1314)*10+2,2000+INDEX(Eingabe!$G$9:$G$18,I1314)*10+9))),""))</f>
        <v/>
      </c>
      <c r="C1314" s="0" t="str">
        <f aca="false">IF(I1314="","",IF(AND(J1314&gt;=1,J1314&lt;=K1314+3),"10."&amp;INDEX(Eingabe!$D$9:$D$18,I1314)&amp;"."&amp;IF(J1314&lt;=K1314,J1314,IF(J1314=K1314+1,200,IF(J1314=K1314+2,201,250)))&amp;".0/24",""))</f>
        <v/>
      </c>
      <c r="D1314" s="0" t="str">
        <f aca="false">IF(I1314="","",IF(AND(J1314&gt;=1,J1314&lt;=K1314+3),"255.255.255.0",""))</f>
        <v/>
      </c>
      <c r="E1314" s="0" t="str">
        <f aca="false">IF(I1314="","",IF(AND(J1314&gt;=1,J1314&lt;=K1314+3),"10."&amp;INDEX(Eingabe!$D$9:$D$18,I1314)&amp;"."&amp;IF(J1314&lt;=K1314,J1314,IF(J1314=K1314+1,200,IF(J1314=K1314+2,201,250)))&amp;".1",""))</f>
        <v/>
      </c>
      <c r="F1314" s="0" t="str">
        <f aca="false">IF(I1314="","",IF(AND(J1314&gt;=1,J1314&lt;=K1314+3),"10."&amp;INDEX(Eingabe!$D$9:$D$18,I1314)&amp;"."&amp;IF(J1314&lt;=K1314,J1314,IF(J1314=K1314+1,200,IF(J1314=K1314+2,201,250)))&amp;".10 – 10."&amp;INDEX(Eingabe!$D$9:$D$18,I1314)&amp;"."&amp;IF(J1314&lt;=K1314,J1314,IF(J1314=K1314+1,200,IF(J1314=K1314+2,201,250)))&amp;".250",""))</f>
        <v/>
      </c>
      <c r="G1314" s="0" t="str">
        <f aca="false">IF(I1314="","",IF(AND(J1314&gt;=1,J1314&lt;=K1314),Eingabe!$B$6&amp;"-"&amp;INDEX(Eingabe!$C$9:$C$18,I1314)&amp;"-Pächter  ·  Passwort Parzelle "&amp;J1314,IF(J1314=K1314+1,Eingabe!$B$6&amp;"-"&amp;INDEX(Eingabe!$C$9:$C$18,I1314)&amp;"-Vorstand  ·  eigenes WLAN",IF(J1314=K1314+2,Eingabe!$B$6&amp;"-"&amp;INDEX(Eingabe!$C$9:$C$18,I1314)&amp;"-Gäste  ·  Voucher",IF(J1314=K1314+3,"Kabel  ·  Access Point y = .(50+y), Mast-Switch x = .(10+x)","")))))</f>
        <v/>
      </c>
      <c r="I1314" s="0" t="str">
        <f aca="false">IF(1309&lt;=(Eingabe!$P$18+Eingabe!$Q$18-1),MATCH(1309,Eingabe!$P$9:$P$18,1),"")</f>
        <v/>
      </c>
      <c r="J1314" s="0" t="str">
        <f aca="false">IF(I1314="","",1309-INDEX(Eingabe!$P$9:$P$18,I1314))</f>
        <v/>
      </c>
      <c r="K1314" s="0" t="str">
        <f aca="false">IF(I1314="","",INDEX(Eingabe!$E$9:$E$18,I1314))</f>
        <v/>
      </c>
    </row>
    <row r="1315" customFormat="false" ht="15" hidden="false" customHeight="false" outlineLevel="0" collapsed="false">
      <c r="A1315" s="0" t="str">
        <f aca="false">IF(I1315="","",IF(J1315=0,"Sparte "&amp;I1315&amp;": "&amp;INDEX(Eingabe!$B$9:$B$18,I1315)&amp;"  (Sparten-ID "&amp;INDEX(Eingabe!$D$9:$D$18,I1315)&amp;", "&amp;K1315&amp;" Parzellen)",IF(J1315&lt;=K1315,"   Parzelle "&amp;J1315,IF(J1315=K1315+1,"   Vorstand",IF(J1315=K1315+2,"   Gäste",IF(J1315=K1315+3,"   Technik (Switches, Access Points)",""))))))</f>
        <v/>
      </c>
      <c r="B1315" s="0" t="str">
        <f aca="false">IF(I1315="","",IF(AND(J1315&gt;=1,J1315&lt;=K1315+3),IF(J1315&lt;=K1315,IF(J1315&lt;=99,IF((INDEX(Eingabe!$G$9:$G$18,I1315))&lt;=9,1000+(INDEX(Eingabe!$G$9:$G$18,I1315))*100,3000)+J1315,IF((INDEX(Eingabe!$G$9:$G$18,I1315)+1)&lt;=9,1000+(INDEX(Eingabe!$G$9:$G$18,I1315)+1)*100,3000)+J1315-100),IF(J1315=K1315+1,2000+INDEX(Eingabe!$G$9:$G$18,I1315)*10+1,IF(J1315=K1315+2,2000+INDEX(Eingabe!$G$9:$G$18,I1315)*10+2,2000+INDEX(Eingabe!$G$9:$G$18,I1315)*10+9))),""))</f>
        <v/>
      </c>
      <c r="C1315" s="0" t="str">
        <f aca="false">IF(I1315="","",IF(AND(J1315&gt;=1,J1315&lt;=K1315+3),"10."&amp;INDEX(Eingabe!$D$9:$D$18,I1315)&amp;"."&amp;IF(J1315&lt;=K1315,J1315,IF(J1315=K1315+1,200,IF(J1315=K1315+2,201,250)))&amp;".0/24",""))</f>
        <v/>
      </c>
      <c r="D1315" s="0" t="str">
        <f aca="false">IF(I1315="","",IF(AND(J1315&gt;=1,J1315&lt;=K1315+3),"255.255.255.0",""))</f>
        <v/>
      </c>
      <c r="E1315" s="0" t="str">
        <f aca="false">IF(I1315="","",IF(AND(J1315&gt;=1,J1315&lt;=K1315+3),"10."&amp;INDEX(Eingabe!$D$9:$D$18,I1315)&amp;"."&amp;IF(J1315&lt;=K1315,J1315,IF(J1315=K1315+1,200,IF(J1315=K1315+2,201,250)))&amp;".1",""))</f>
        <v/>
      </c>
      <c r="F1315" s="0" t="str">
        <f aca="false">IF(I1315="","",IF(AND(J1315&gt;=1,J1315&lt;=K1315+3),"10."&amp;INDEX(Eingabe!$D$9:$D$18,I1315)&amp;"."&amp;IF(J1315&lt;=K1315,J1315,IF(J1315=K1315+1,200,IF(J1315=K1315+2,201,250)))&amp;".10 – 10."&amp;INDEX(Eingabe!$D$9:$D$18,I1315)&amp;"."&amp;IF(J1315&lt;=K1315,J1315,IF(J1315=K1315+1,200,IF(J1315=K1315+2,201,250)))&amp;".250",""))</f>
        <v/>
      </c>
      <c r="G1315" s="0" t="str">
        <f aca="false">IF(I1315="","",IF(AND(J1315&gt;=1,J1315&lt;=K1315),Eingabe!$B$6&amp;"-"&amp;INDEX(Eingabe!$C$9:$C$18,I1315)&amp;"-Pächter  ·  Passwort Parzelle "&amp;J1315,IF(J1315=K1315+1,Eingabe!$B$6&amp;"-"&amp;INDEX(Eingabe!$C$9:$C$18,I1315)&amp;"-Vorstand  ·  eigenes WLAN",IF(J1315=K1315+2,Eingabe!$B$6&amp;"-"&amp;INDEX(Eingabe!$C$9:$C$18,I1315)&amp;"-Gäste  ·  Voucher",IF(J1315=K1315+3,"Kabel  ·  Access Point y = .(50+y), Mast-Switch x = .(10+x)","")))))</f>
        <v/>
      </c>
      <c r="I1315" s="0" t="str">
        <f aca="false">IF(1310&lt;=(Eingabe!$P$18+Eingabe!$Q$18-1),MATCH(1310,Eingabe!$P$9:$P$18,1),"")</f>
        <v/>
      </c>
      <c r="J1315" s="0" t="str">
        <f aca="false">IF(I1315="","",1310-INDEX(Eingabe!$P$9:$P$18,I1315))</f>
        <v/>
      </c>
      <c r="K1315" s="0" t="str">
        <f aca="false">IF(I1315="","",INDEX(Eingabe!$E$9:$E$18,I1315))</f>
        <v/>
      </c>
    </row>
    <row r="1316" customFormat="false" ht="15" hidden="false" customHeight="false" outlineLevel="0" collapsed="false">
      <c r="A1316" s="0" t="str">
        <f aca="false">IF(I1316="","",IF(J1316=0,"Sparte "&amp;I1316&amp;": "&amp;INDEX(Eingabe!$B$9:$B$18,I1316)&amp;"  (Sparten-ID "&amp;INDEX(Eingabe!$D$9:$D$18,I1316)&amp;", "&amp;K1316&amp;" Parzellen)",IF(J1316&lt;=K1316,"   Parzelle "&amp;J1316,IF(J1316=K1316+1,"   Vorstand",IF(J1316=K1316+2,"   Gäste",IF(J1316=K1316+3,"   Technik (Switches, Access Points)",""))))))</f>
        <v/>
      </c>
      <c r="B1316" s="0" t="str">
        <f aca="false">IF(I1316="","",IF(AND(J1316&gt;=1,J1316&lt;=K1316+3),IF(J1316&lt;=K1316,IF(J1316&lt;=99,IF((INDEX(Eingabe!$G$9:$G$18,I1316))&lt;=9,1000+(INDEX(Eingabe!$G$9:$G$18,I1316))*100,3000)+J1316,IF((INDEX(Eingabe!$G$9:$G$18,I1316)+1)&lt;=9,1000+(INDEX(Eingabe!$G$9:$G$18,I1316)+1)*100,3000)+J1316-100),IF(J1316=K1316+1,2000+INDEX(Eingabe!$G$9:$G$18,I1316)*10+1,IF(J1316=K1316+2,2000+INDEX(Eingabe!$G$9:$G$18,I1316)*10+2,2000+INDEX(Eingabe!$G$9:$G$18,I1316)*10+9))),""))</f>
        <v/>
      </c>
      <c r="C1316" s="0" t="str">
        <f aca="false">IF(I1316="","",IF(AND(J1316&gt;=1,J1316&lt;=K1316+3),"10."&amp;INDEX(Eingabe!$D$9:$D$18,I1316)&amp;"."&amp;IF(J1316&lt;=K1316,J1316,IF(J1316=K1316+1,200,IF(J1316=K1316+2,201,250)))&amp;".0/24",""))</f>
        <v/>
      </c>
      <c r="D1316" s="0" t="str">
        <f aca="false">IF(I1316="","",IF(AND(J1316&gt;=1,J1316&lt;=K1316+3),"255.255.255.0",""))</f>
        <v/>
      </c>
      <c r="E1316" s="0" t="str">
        <f aca="false">IF(I1316="","",IF(AND(J1316&gt;=1,J1316&lt;=K1316+3),"10."&amp;INDEX(Eingabe!$D$9:$D$18,I1316)&amp;"."&amp;IF(J1316&lt;=K1316,J1316,IF(J1316=K1316+1,200,IF(J1316=K1316+2,201,250)))&amp;".1",""))</f>
        <v/>
      </c>
      <c r="F1316" s="0" t="str">
        <f aca="false">IF(I1316="","",IF(AND(J1316&gt;=1,J1316&lt;=K1316+3),"10."&amp;INDEX(Eingabe!$D$9:$D$18,I1316)&amp;"."&amp;IF(J1316&lt;=K1316,J1316,IF(J1316=K1316+1,200,IF(J1316=K1316+2,201,250)))&amp;".10 – 10."&amp;INDEX(Eingabe!$D$9:$D$18,I1316)&amp;"."&amp;IF(J1316&lt;=K1316,J1316,IF(J1316=K1316+1,200,IF(J1316=K1316+2,201,250)))&amp;".250",""))</f>
        <v/>
      </c>
      <c r="G1316" s="0" t="str">
        <f aca="false">IF(I1316="","",IF(AND(J1316&gt;=1,J1316&lt;=K1316),Eingabe!$B$6&amp;"-"&amp;INDEX(Eingabe!$C$9:$C$18,I1316)&amp;"-Pächter  ·  Passwort Parzelle "&amp;J1316,IF(J1316=K1316+1,Eingabe!$B$6&amp;"-"&amp;INDEX(Eingabe!$C$9:$C$18,I1316)&amp;"-Vorstand  ·  eigenes WLAN",IF(J1316=K1316+2,Eingabe!$B$6&amp;"-"&amp;INDEX(Eingabe!$C$9:$C$18,I1316)&amp;"-Gäste  ·  Voucher",IF(J1316=K1316+3,"Kabel  ·  Access Point y = .(50+y), Mast-Switch x = .(10+x)","")))))</f>
        <v/>
      </c>
      <c r="I1316" s="0" t="str">
        <f aca="false">IF(1311&lt;=(Eingabe!$P$18+Eingabe!$Q$18-1),MATCH(1311,Eingabe!$P$9:$P$18,1),"")</f>
        <v/>
      </c>
      <c r="J1316" s="0" t="str">
        <f aca="false">IF(I1316="","",1311-INDEX(Eingabe!$P$9:$P$18,I1316))</f>
        <v/>
      </c>
      <c r="K1316" s="0" t="str">
        <f aca="false">IF(I1316="","",INDEX(Eingabe!$E$9:$E$18,I1316))</f>
        <v/>
      </c>
    </row>
    <row r="1317" customFormat="false" ht="15" hidden="false" customHeight="false" outlineLevel="0" collapsed="false">
      <c r="A1317" s="0" t="str">
        <f aca="false">IF(I1317="","",IF(J1317=0,"Sparte "&amp;I1317&amp;": "&amp;INDEX(Eingabe!$B$9:$B$18,I1317)&amp;"  (Sparten-ID "&amp;INDEX(Eingabe!$D$9:$D$18,I1317)&amp;", "&amp;K1317&amp;" Parzellen)",IF(J1317&lt;=K1317,"   Parzelle "&amp;J1317,IF(J1317=K1317+1,"   Vorstand",IF(J1317=K1317+2,"   Gäste",IF(J1317=K1317+3,"   Technik (Switches, Access Points)",""))))))</f>
        <v/>
      </c>
      <c r="B1317" s="0" t="str">
        <f aca="false">IF(I1317="","",IF(AND(J1317&gt;=1,J1317&lt;=K1317+3),IF(J1317&lt;=K1317,IF(J1317&lt;=99,IF((INDEX(Eingabe!$G$9:$G$18,I1317))&lt;=9,1000+(INDEX(Eingabe!$G$9:$G$18,I1317))*100,3000)+J1317,IF((INDEX(Eingabe!$G$9:$G$18,I1317)+1)&lt;=9,1000+(INDEX(Eingabe!$G$9:$G$18,I1317)+1)*100,3000)+J1317-100),IF(J1317=K1317+1,2000+INDEX(Eingabe!$G$9:$G$18,I1317)*10+1,IF(J1317=K1317+2,2000+INDEX(Eingabe!$G$9:$G$18,I1317)*10+2,2000+INDEX(Eingabe!$G$9:$G$18,I1317)*10+9))),""))</f>
        <v/>
      </c>
      <c r="C1317" s="0" t="str">
        <f aca="false">IF(I1317="","",IF(AND(J1317&gt;=1,J1317&lt;=K1317+3),"10."&amp;INDEX(Eingabe!$D$9:$D$18,I1317)&amp;"."&amp;IF(J1317&lt;=K1317,J1317,IF(J1317=K1317+1,200,IF(J1317=K1317+2,201,250)))&amp;".0/24",""))</f>
        <v/>
      </c>
      <c r="D1317" s="0" t="str">
        <f aca="false">IF(I1317="","",IF(AND(J1317&gt;=1,J1317&lt;=K1317+3),"255.255.255.0",""))</f>
        <v/>
      </c>
      <c r="E1317" s="0" t="str">
        <f aca="false">IF(I1317="","",IF(AND(J1317&gt;=1,J1317&lt;=K1317+3),"10."&amp;INDEX(Eingabe!$D$9:$D$18,I1317)&amp;"."&amp;IF(J1317&lt;=K1317,J1317,IF(J1317=K1317+1,200,IF(J1317=K1317+2,201,250)))&amp;".1",""))</f>
        <v/>
      </c>
      <c r="F1317" s="0" t="str">
        <f aca="false">IF(I1317="","",IF(AND(J1317&gt;=1,J1317&lt;=K1317+3),"10."&amp;INDEX(Eingabe!$D$9:$D$18,I1317)&amp;"."&amp;IF(J1317&lt;=K1317,J1317,IF(J1317=K1317+1,200,IF(J1317=K1317+2,201,250)))&amp;".10 – 10."&amp;INDEX(Eingabe!$D$9:$D$18,I1317)&amp;"."&amp;IF(J1317&lt;=K1317,J1317,IF(J1317=K1317+1,200,IF(J1317=K1317+2,201,250)))&amp;".250",""))</f>
        <v/>
      </c>
      <c r="G1317" s="0" t="str">
        <f aca="false">IF(I1317="","",IF(AND(J1317&gt;=1,J1317&lt;=K1317),Eingabe!$B$6&amp;"-"&amp;INDEX(Eingabe!$C$9:$C$18,I1317)&amp;"-Pächter  ·  Passwort Parzelle "&amp;J1317,IF(J1317=K1317+1,Eingabe!$B$6&amp;"-"&amp;INDEX(Eingabe!$C$9:$C$18,I1317)&amp;"-Vorstand  ·  eigenes WLAN",IF(J1317=K1317+2,Eingabe!$B$6&amp;"-"&amp;INDEX(Eingabe!$C$9:$C$18,I1317)&amp;"-Gäste  ·  Voucher",IF(J1317=K1317+3,"Kabel  ·  Access Point y = .(50+y), Mast-Switch x = .(10+x)","")))))</f>
        <v/>
      </c>
      <c r="I1317" s="0" t="str">
        <f aca="false">IF(1312&lt;=(Eingabe!$P$18+Eingabe!$Q$18-1),MATCH(1312,Eingabe!$P$9:$P$18,1),"")</f>
        <v/>
      </c>
      <c r="J1317" s="0" t="str">
        <f aca="false">IF(I1317="","",1312-INDEX(Eingabe!$P$9:$P$18,I1317))</f>
        <v/>
      </c>
      <c r="K1317" s="0" t="str">
        <f aca="false">IF(I1317="","",INDEX(Eingabe!$E$9:$E$18,I1317))</f>
        <v/>
      </c>
    </row>
    <row r="1318" customFormat="false" ht="15" hidden="false" customHeight="false" outlineLevel="0" collapsed="false">
      <c r="A1318" s="0" t="str">
        <f aca="false">IF(I1318="","",IF(J1318=0,"Sparte "&amp;I1318&amp;": "&amp;INDEX(Eingabe!$B$9:$B$18,I1318)&amp;"  (Sparten-ID "&amp;INDEX(Eingabe!$D$9:$D$18,I1318)&amp;", "&amp;K1318&amp;" Parzellen)",IF(J1318&lt;=K1318,"   Parzelle "&amp;J1318,IF(J1318=K1318+1,"   Vorstand",IF(J1318=K1318+2,"   Gäste",IF(J1318=K1318+3,"   Technik (Switches, Access Points)",""))))))</f>
        <v/>
      </c>
      <c r="B1318" s="0" t="str">
        <f aca="false">IF(I1318="","",IF(AND(J1318&gt;=1,J1318&lt;=K1318+3),IF(J1318&lt;=K1318,IF(J1318&lt;=99,IF((INDEX(Eingabe!$G$9:$G$18,I1318))&lt;=9,1000+(INDEX(Eingabe!$G$9:$G$18,I1318))*100,3000)+J1318,IF((INDEX(Eingabe!$G$9:$G$18,I1318)+1)&lt;=9,1000+(INDEX(Eingabe!$G$9:$G$18,I1318)+1)*100,3000)+J1318-100),IF(J1318=K1318+1,2000+INDEX(Eingabe!$G$9:$G$18,I1318)*10+1,IF(J1318=K1318+2,2000+INDEX(Eingabe!$G$9:$G$18,I1318)*10+2,2000+INDEX(Eingabe!$G$9:$G$18,I1318)*10+9))),""))</f>
        <v/>
      </c>
      <c r="C1318" s="0" t="str">
        <f aca="false">IF(I1318="","",IF(AND(J1318&gt;=1,J1318&lt;=K1318+3),"10."&amp;INDEX(Eingabe!$D$9:$D$18,I1318)&amp;"."&amp;IF(J1318&lt;=K1318,J1318,IF(J1318=K1318+1,200,IF(J1318=K1318+2,201,250)))&amp;".0/24",""))</f>
        <v/>
      </c>
      <c r="D1318" s="0" t="str">
        <f aca="false">IF(I1318="","",IF(AND(J1318&gt;=1,J1318&lt;=K1318+3),"255.255.255.0",""))</f>
        <v/>
      </c>
      <c r="E1318" s="0" t="str">
        <f aca="false">IF(I1318="","",IF(AND(J1318&gt;=1,J1318&lt;=K1318+3),"10."&amp;INDEX(Eingabe!$D$9:$D$18,I1318)&amp;"."&amp;IF(J1318&lt;=K1318,J1318,IF(J1318=K1318+1,200,IF(J1318=K1318+2,201,250)))&amp;".1",""))</f>
        <v/>
      </c>
      <c r="F1318" s="0" t="str">
        <f aca="false">IF(I1318="","",IF(AND(J1318&gt;=1,J1318&lt;=K1318+3),"10."&amp;INDEX(Eingabe!$D$9:$D$18,I1318)&amp;"."&amp;IF(J1318&lt;=K1318,J1318,IF(J1318=K1318+1,200,IF(J1318=K1318+2,201,250)))&amp;".10 – 10."&amp;INDEX(Eingabe!$D$9:$D$18,I1318)&amp;"."&amp;IF(J1318&lt;=K1318,J1318,IF(J1318=K1318+1,200,IF(J1318=K1318+2,201,250)))&amp;".250",""))</f>
        <v/>
      </c>
      <c r="G1318" s="0" t="str">
        <f aca="false">IF(I1318="","",IF(AND(J1318&gt;=1,J1318&lt;=K1318),Eingabe!$B$6&amp;"-"&amp;INDEX(Eingabe!$C$9:$C$18,I1318)&amp;"-Pächter  ·  Passwort Parzelle "&amp;J1318,IF(J1318=K1318+1,Eingabe!$B$6&amp;"-"&amp;INDEX(Eingabe!$C$9:$C$18,I1318)&amp;"-Vorstand  ·  eigenes WLAN",IF(J1318=K1318+2,Eingabe!$B$6&amp;"-"&amp;INDEX(Eingabe!$C$9:$C$18,I1318)&amp;"-Gäste  ·  Voucher",IF(J1318=K1318+3,"Kabel  ·  Access Point y = .(50+y), Mast-Switch x = .(10+x)","")))))</f>
        <v/>
      </c>
      <c r="I1318" s="0" t="str">
        <f aca="false">IF(1313&lt;=(Eingabe!$P$18+Eingabe!$Q$18-1),MATCH(1313,Eingabe!$P$9:$P$18,1),"")</f>
        <v/>
      </c>
      <c r="J1318" s="0" t="str">
        <f aca="false">IF(I1318="","",1313-INDEX(Eingabe!$P$9:$P$18,I1318))</f>
        <v/>
      </c>
      <c r="K1318" s="0" t="str">
        <f aca="false">IF(I1318="","",INDEX(Eingabe!$E$9:$E$18,I1318))</f>
        <v/>
      </c>
    </row>
    <row r="1319" customFormat="false" ht="15" hidden="false" customHeight="false" outlineLevel="0" collapsed="false">
      <c r="A1319" s="0" t="str">
        <f aca="false">IF(I1319="","",IF(J1319=0,"Sparte "&amp;I1319&amp;": "&amp;INDEX(Eingabe!$B$9:$B$18,I1319)&amp;"  (Sparten-ID "&amp;INDEX(Eingabe!$D$9:$D$18,I1319)&amp;", "&amp;K1319&amp;" Parzellen)",IF(J1319&lt;=K1319,"   Parzelle "&amp;J1319,IF(J1319=K1319+1,"   Vorstand",IF(J1319=K1319+2,"   Gäste",IF(J1319=K1319+3,"   Technik (Switches, Access Points)",""))))))</f>
        <v/>
      </c>
      <c r="B1319" s="0" t="str">
        <f aca="false">IF(I1319="","",IF(AND(J1319&gt;=1,J1319&lt;=K1319+3),IF(J1319&lt;=K1319,IF(J1319&lt;=99,IF((INDEX(Eingabe!$G$9:$G$18,I1319))&lt;=9,1000+(INDEX(Eingabe!$G$9:$G$18,I1319))*100,3000)+J1319,IF((INDEX(Eingabe!$G$9:$G$18,I1319)+1)&lt;=9,1000+(INDEX(Eingabe!$G$9:$G$18,I1319)+1)*100,3000)+J1319-100),IF(J1319=K1319+1,2000+INDEX(Eingabe!$G$9:$G$18,I1319)*10+1,IF(J1319=K1319+2,2000+INDEX(Eingabe!$G$9:$G$18,I1319)*10+2,2000+INDEX(Eingabe!$G$9:$G$18,I1319)*10+9))),""))</f>
        <v/>
      </c>
      <c r="C1319" s="0" t="str">
        <f aca="false">IF(I1319="","",IF(AND(J1319&gt;=1,J1319&lt;=K1319+3),"10."&amp;INDEX(Eingabe!$D$9:$D$18,I1319)&amp;"."&amp;IF(J1319&lt;=K1319,J1319,IF(J1319=K1319+1,200,IF(J1319=K1319+2,201,250)))&amp;".0/24",""))</f>
        <v/>
      </c>
      <c r="D1319" s="0" t="str">
        <f aca="false">IF(I1319="","",IF(AND(J1319&gt;=1,J1319&lt;=K1319+3),"255.255.255.0",""))</f>
        <v/>
      </c>
      <c r="E1319" s="0" t="str">
        <f aca="false">IF(I1319="","",IF(AND(J1319&gt;=1,J1319&lt;=K1319+3),"10."&amp;INDEX(Eingabe!$D$9:$D$18,I1319)&amp;"."&amp;IF(J1319&lt;=K1319,J1319,IF(J1319=K1319+1,200,IF(J1319=K1319+2,201,250)))&amp;".1",""))</f>
        <v/>
      </c>
      <c r="F1319" s="0" t="str">
        <f aca="false">IF(I1319="","",IF(AND(J1319&gt;=1,J1319&lt;=K1319+3),"10."&amp;INDEX(Eingabe!$D$9:$D$18,I1319)&amp;"."&amp;IF(J1319&lt;=K1319,J1319,IF(J1319=K1319+1,200,IF(J1319=K1319+2,201,250)))&amp;".10 – 10."&amp;INDEX(Eingabe!$D$9:$D$18,I1319)&amp;"."&amp;IF(J1319&lt;=K1319,J1319,IF(J1319=K1319+1,200,IF(J1319=K1319+2,201,250)))&amp;".250",""))</f>
        <v/>
      </c>
      <c r="G1319" s="0" t="str">
        <f aca="false">IF(I1319="","",IF(AND(J1319&gt;=1,J1319&lt;=K1319),Eingabe!$B$6&amp;"-"&amp;INDEX(Eingabe!$C$9:$C$18,I1319)&amp;"-Pächter  ·  Passwort Parzelle "&amp;J1319,IF(J1319=K1319+1,Eingabe!$B$6&amp;"-"&amp;INDEX(Eingabe!$C$9:$C$18,I1319)&amp;"-Vorstand  ·  eigenes WLAN",IF(J1319=K1319+2,Eingabe!$B$6&amp;"-"&amp;INDEX(Eingabe!$C$9:$C$18,I1319)&amp;"-Gäste  ·  Voucher",IF(J1319=K1319+3,"Kabel  ·  Access Point y = .(50+y), Mast-Switch x = .(10+x)","")))))</f>
        <v/>
      </c>
      <c r="I1319" s="0" t="str">
        <f aca="false">IF(1314&lt;=(Eingabe!$P$18+Eingabe!$Q$18-1),MATCH(1314,Eingabe!$P$9:$P$18,1),"")</f>
        <v/>
      </c>
      <c r="J1319" s="0" t="str">
        <f aca="false">IF(I1319="","",1314-INDEX(Eingabe!$P$9:$P$18,I1319))</f>
        <v/>
      </c>
      <c r="K1319" s="0" t="str">
        <f aca="false">IF(I1319="","",INDEX(Eingabe!$E$9:$E$18,I1319))</f>
        <v/>
      </c>
    </row>
    <row r="1320" customFormat="false" ht="15" hidden="false" customHeight="false" outlineLevel="0" collapsed="false">
      <c r="A1320" s="0" t="str">
        <f aca="false">IF(I1320="","",IF(J1320=0,"Sparte "&amp;I1320&amp;": "&amp;INDEX(Eingabe!$B$9:$B$18,I1320)&amp;"  (Sparten-ID "&amp;INDEX(Eingabe!$D$9:$D$18,I1320)&amp;", "&amp;K1320&amp;" Parzellen)",IF(J1320&lt;=K1320,"   Parzelle "&amp;J1320,IF(J1320=K1320+1,"   Vorstand",IF(J1320=K1320+2,"   Gäste",IF(J1320=K1320+3,"   Technik (Switches, Access Points)",""))))))</f>
        <v/>
      </c>
      <c r="B1320" s="0" t="str">
        <f aca="false">IF(I1320="","",IF(AND(J1320&gt;=1,J1320&lt;=K1320+3),IF(J1320&lt;=K1320,IF(J1320&lt;=99,IF((INDEX(Eingabe!$G$9:$G$18,I1320))&lt;=9,1000+(INDEX(Eingabe!$G$9:$G$18,I1320))*100,3000)+J1320,IF((INDEX(Eingabe!$G$9:$G$18,I1320)+1)&lt;=9,1000+(INDEX(Eingabe!$G$9:$G$18,I1320)+1)*100,3000)+J1320-100),IF(J1320=K1320+1,2000+INDEX(Eingabe!$G$9:$G$18,I1320)*10+1,IF(J1320=K1320+2,2000+INDEX(Eingabe!$G$9:$G$18,I1320)*10+2,2000+INDEX(Eingabe!$G$9:$G$18,I1320)*10+9))),""))</f>
        <v/>
      </c>
      <c r="C1320" s="0" t="str">
        <f aca="false">IF(I1320="","",IF(AND(J1320&gt;=1,J1320&lt;=K1320+3),"10."&amp;INDEX(Eingabe!$D$9:$D$18,I1320)&amp;"."&amp;IF(J1320&lt;=K1320,J1320,IF(J1320=K1320+1,200,IF(J1320=K1320+2,201,250)))&amp;".0/24",""))</f>
        <v/>
      </c>
      <c r="D1320" s="0" t="str">
        <f aca="false">IF(I1320="","",IF(AND(J1320&gt;=1,J1320&lt;=K1320+3),"255.255.255.0",""))</f>
        <v/>
      </c>
      <c r="E1320" s="0" t="str">
        <f aca="false">IF(I1320="","",IF(AND(J1320&gt;=1,J1320&lt;=K1320+3),"10."&amp;INDEX(Eingabe!$D$9:$D$18,I1320)&amp;"."&amp;IF(J1320&lt;=K1320,J1320,IF(J1320=K1320+1,200,IF(J1320=K1320+2,201,250)))&amp;".1",""))</f>
        <v/>
      </c>
      <c r="F1320" s="0" t="str">
        <f aca="false">IF(I1320="","",IF(AND(J1320&gt;=1,J1320&lt;=K1320+3),"10."&amp;INDEX(Eingabe!$D$9:$D$18,I1320)&amp;"."&amp;IF(J1320&lt;=K1320,J1320,IF(J1320=K1320+1,200,IF(J1320=K1320+2,201,250)))&amp;".10 – 10."&amp;INDEX(Eingabe!$D$9:$D$18,I1320)&amp;"."&amp;IF(J1320&lt;=K1320,J1320,IF(J1320=K1320+1,200,IF(J1320=K1320+2,201,250)))&amp;".250",""))</f>
        <v/>
      </c>
      <c r="G1320" s="0" t="str">
        <f aca="false">IF(I1320="","",IF(AND(J1320&gt;=1,J1320&lt;=K1320),Eingabe!$B$6&amp;"-"&amp;INDEX(Eingabe!$C$9:$C$18,I1320)&amp;"-Pächter  ·  Passwort Parzelle "&amp;J1320,IF(J1320=K1320+1,Eingabe!$B$6&amp;"-"&amp;INDEX(Eingabe!$C$9:$C$18,I1320)&amp;"-Vorstand  ·  eigenes WLAN",IF(J1320=K1320+2,Eingabe!$B$6&amp;"-"&amp;INDEX(Eingabe!$C$9:$C$18,I1320)&amp;"-Gäste  ·  Voucher",IF(J1320=K1320+3,"Kabel  ·  Access Point y = .(50+y), Mast-Switch x = .(10+x)","")))))</f>
        <v/>
      </c>
      <c r="I1320" s="0" t="str">
        <f aca="false">IF(1315&lt;=(Eingabe!$P$18+Eingabe!$Q$18-1),MATCH(1315,Eingabe!$P$9:$P$18,1),"")</f>
        <v/>
      </c>
      <c r="J1320" s="0" t="str">
        <f aca="false">IF(I1320="","",1315-INDEX(Eingabe!$P$9:$P$18,I1320))</f>
        <v/>
      </c>
      <c r="K1320" s="0" t="str">
        <f aca="false">IF(I1320="","",INDEX(Eingabe!$E$9:$E$18,I1320))</f>
        <v/>
      </c>
    </row>
    <row r="1321" customFormat="false" ht="15" hidden="false" customHeight="false" outlineLevel="0" collapsed="false">
      <c r="A1321" s="0" t="str">
        <f aca="false">IF(I1321="","",IF(J1321=0,"Sparte "&amp;I1321&amp;": "&amp;INDEX(Eingabe!$B$9:$B$18,I1321)&amp;"  (Sparten-ID "&amp;INDEX(Eingabe!$D$9:$D$18,I1321)&amp;", "&amp;K1321&amp;" Parzellen)",IF(J1321&lt;=K1321,"   Parzelle "&amp;J1321,IF(J1321=K1321+1,"   Vorstand",IF(J1321=K1321+2,"   Gäste",IF(J1321=K1321+3,"   Technik (Switches, Access Points)",""))))))</f>
        <v/>
      </c>
      <c r="B1321" s="0" t="str">
        <f aca="false">IF(I1321="","",IF(AND(J1321&gt;=1,J1321&lt;=K1321+3),IF(J1321&lt;=K1321,IF(J1321&lt;=99,IF((INDEX(Eingabe!$G$9:$G$18,I1321))&lt;=9,1000+(INDEX(Eingabe!$G$9:$G$18,I1321))*100,3000)+J1321,IF((INDEX(Eingabe!$G$9:$G$18,I1321)+1)&lt;=9,1000+(INDEX(Eingabe!$G$9:$G$18,I1321)+1)*100,3000)+J1321-100),IF(J1321=K1321+1,2000+INDEX(Eingabe!$G$9:$G$18,I1321)*10+1,IF(J1321=K1321+2,2000+INDEX(Eingabe!$G$9:$G$18,I1321)*10+2,2000+INDEX(Eingabe!$G$9:$G$18,I1321)*10+9))),""))</f>
        <v/>
      </c>
      <c r="C1321" s="0" t="str">
        <f aca="false">IF(I1321="","",IF(AND(J1321&gt;=1,J1321&lt;=K1321+3),"10."&amp;INDEX(Eingabe!$D$9:$D$18,I1321)&amp;"."&amp;IF(J1321&lt;=K1321,J1321,IF(J1321=K1321+1,200,IF(J1321=K1321+2,201,250)))&amp;".0/24",""))</f>
        <v/>
      </c>
      <c r="D1321" s="0" t="str">
        <f aca="false">IF(I1321="","",IF(AND(J1321&gt;=1,J1321&lt;=K1321+3),"255.255.255.0",""))</f>
        <v/>
      </c>
      <c r="E1321" s="0" t="str">
        <f aca="false">IF(I1321="","",IF(AND(J1321&gt;=1,J1321&lt;=K1321+3),"10."&amp;INDEX(Eingabe!$D$9:$D$18,I1321)&amp;"."&amp;IF(J1321&lt;=K1321,J1321,IF(J1321=K1321+1,200,IF(J1321=K1321+2,201,250)))&amp;".1",""))</f>
        <v/>
      </c>
      <c r="F1321" s="0" t="str">
        <f aca="false">IF(I1321="","",IF(AND(J1321&gt;=1,J1321&lt;=K1321+3),"10."&amp;INDEX(Eingabe!$D$9:$D$18,I1321)&amp;"."&amp;IF(J1321&lt;=K1321,J1321,IF(J1321=K1321+1,200,IF(J1321=K1321+2,201,250)))&amp;".10 – 10."&amp;INDEX(Eingabe!$D$9:$D$18,I1321)&amp;"."&amp;IF(J1321&lt;=K1321,J1321,IF(J1321=K1321+1,200,IF(J1321=K1321+2,201,250)))&amp;".250",""))</f>
        <v/>
      </c>
      <c r="G1321" s="0" t="str">
        <f aca="false">IF(I1321="","",IF(AND(J1321&gt;=1,J1321&lt;=K1321),Eingabe!$B$6&amp;"-"&amp;INDEX(Eingabe!$C$9:$C$18,I1321)&amp;"-Pächter  ·  Passwort Parzelle "&amp;J1321,IF(J1321=K1321+1,Eingabe!$B$6&amp;"-"&amp;INDEX(Eingabe!$C$9:$C$18,I1321)&amp;"-Vorstand  ·  eigenes WLAN",IF(J1321=K1321+2,Eingabe!$B$6&amp;"-"&amp;INDEX(Eingabe!$C$9:$C$18,I1321)&amp;"-Gäste  ·  Voucher",IF(J1321=K1321+3,"Kabel  ·  Access Point y = .(50+y), Mast-Switch x = .(10+x)","")))))</f>
        <v/>
      </c>
      <c r="I1321" s="0" t="str">
        <f aca="false">IF(1316&lt;=(Eingabe!$P$18+Eingabe!$Q$18-1),MATCH(1316,Eingabe!$P$9:$P$18,1),"")</f>
        <v/>
      </c>
      <c r="J1321" s="0" t="str">
        <f aca="false">IF(I1321="","",1316-INDEX(Eingabe!$P$9:$P$18,I1321))</f>
        <v/>
      </c>
      <c r="K1321" s="0" t="str">
        <f aca="false">IF(I1321="","",INDEX(Eingabe!$E$9:$E$18,I1321))</f>
        <v/>
      </c>
    </row>
    <row r="1322" customFormat="false" ht="15" hidden="false" customHeight="false" outlineLevel="0" collapsed="false">
      <c r="A1322" s="0" t="str">
        <f aca="false">IF(I1322="","",IF(J1322=0,"Sparte "&amp;I1322&amp;": "&amp;INDEX(Eingabe!$B$9:$B$18,I1322)&amp;"  (Sparten-ID "&amp;INDEX(Eingabe!$D$9:$D$18,I1322)&amp;", "&amp;K1322&amp;" Parzellen)",IF(J1322&lt;=K1322,"   Parzelle "&amp;J1322,IF(J1322=K1322+1,"   Vorstand",IF(J1322=K1322+2,"   Gäste",IF(J1322=K1322+3,"   Technik (Switches, Access Points)",""))))))</f>
        <v/>
      </c>
      <c r="B1322" s="0" t="str">
        <f aca="false">IF(I1322="","",IF(AND(J1322&gt;=1,J1322&lt;=K1322+3),IF(J1322&lt;=K1322,IF(J1322&lt;=99,IF((INDEX(Eingabe!$G$9:$G$18,I1322))&lt;=9,1000+(INDEX(Eingabe!$G$9:$G$18,I1322))*100,3000)+J1322,IF((INDEX(Eingabe!$G$9:$G$18,I1322)+1)&lt;=9,1000+(INDEX(Eingabe!$G$9:$G$18,I1322)+1)*100,3000)+J1322-100),IF(J1322=K1322+1,2000+INDEX(Eingabe!$G$9:$G$18,I1322)*10+1,IF(J1322=K1322+2,2000+INDEX(Eingabe!$G$9:$G$18,I1322)*10+2,2000+INDEX(Eingabe!$G$9:$G$18,I1322)*10+9))),""))</f>
        <v/>
      </c>
      <c r="C1322" s="0" t="str">
        <f aca="false">IF(I1322="","",IF(AND(J1322&gt;=1,J1322&lt;=K1322+3),"10."&amp;INDEX(Eingabe!$D$9:$D$18,I1322)&amp;"."&amp;IF(J1322&lt;=K1322,J1322,IF(J1322=K1322+1,200,IF(J1322=K1322+2,201,250)))&amp;".0/24",""))</f>
        <v/>
      </c>
      <c r="D1322" s="0" t="str">
        <f aca="false">IF(I1322="","",IF(AND(J1322&gt;=1,J1322&lt;=K1322+3),"255.255.255.0",""))</f>
        <v/>
      </c>
      <c r="E1322" s="0" t="str">
        <f aca="false">IF(I1322="","",IF(AND(J1322&gt;=1,J1322&lt;=K1322+3),"10."&amp;INDEX(Eingabe!$D$9:$D$18,I1322)&amp;"."&amp;IF(J1322&lt;=K1322,J1322,IF(J1322=K1322+1,200,IF(J1322=K1322+2,201,250)))&amp;".1",""))</f>
        <v/>
      </c>
      <c r="F1322" s="0" t="str">
        <f aca="false">IF(I1322="","",IF(AND(J1322&gt;=1,J1322&lt;=K1322+3),"10."&amp;INDEX(Eingabe!$D$9:$D$18,I1322)&amp;"."&amp;IF(J1322&lt;=K1322,J1322,IF(J1322=K1322+1,200,IF(J1322=K1322+2,201,250)))&amp;".10 – 10."&amp;INDEX(Eingabe!$D$9:$D$18,I1322)&amp;"."&amp;IF(J1322&lt;=K1322,J1322,IF(J1322=K1322+1,200,IF(J1322=K1322+2,201,250)))&amp;".250",""))</f>
        <v/>
      </c>
      <c r="G1322" s="0" t="str">
        <f aca="false">IF(I1322="","",IF(AND(J1322&gt;=1,J1322&lt;=K1322),Eingabe!$B$6&amp;"-"&amp;INDEX(Eingabe!$C$9:$C$18,I1322)&amp;"-Pächter  ·  Passwort Parzelle "&amp;J1322,IF(J1322=K1322+1,Eingabe!$B$6&amp;"-"&amp;INDEX(Eingabe!$C$9:$C$18,I1322)&amp;"-Vorstand  ·  eigenes WLAN",IF(J1322=K1322+2,Eingabe!$B$6&amp;"-"&amp;INDEX(Eingabe!$C$9:$C$18,I1322)&amp;"-Gäste  ·  Voucher",IF(J1322=K1322+3,"Kabel  ·  Access Point y = .(50+y), Mast-Switch x = .(10+x)","")))))</f>
        <v/>
      </c>
      <c r="I1322" s="0" t="str">
        <f aca="false">IF(1317&lt;=(Eingabe!$P$18+Eingabe!$Q$18-1),MATCH(1317,Eingabe!$P$9:$P$18,1),"")</f>
        <v/>
      </c>
      <c r="J1322" s="0" t="str">
        <f aca="false">IF(I1322="","",1317-INDEX(Eingabe!$P$9:$P$18,I1322))</f>
        <v/>
      </c>
      <c r="K1322" s="0" t="str">
        <f aca="false">IF(I1322="","",INDEX(Eingabe!$E$9:$E$18,I1322))</f>
        <v/>
      </c>
    </row>
    <row r="1323" customFormat="false" ht="15" hidden="false" customHeight="false" outlineLevel="0" collapsed="false">
      <c r="A1323" s="0" t="str">
        <f aca="false">IF(I1323="","",IF(J1323=0,"Sparte "&amp;I1323&amp;": "&amp;INDEX(Eingabe!$B$9:$B$18,I1323)&amp;"  (Sparten-ID "&amp;INDEX(Eingabe!$D$9:$D$18,I1323)&amp;", "&amp;K1323&amp;" Parzellen)",IF(J1323&lt;=K1323,"   Parzelle "&amp;J1323,IF(J1323=K1323+1,"   Vorstand",IF(J1323=K1323+2,"   Gäste",IF(J1323=K1323+3,"   Technik (Switches, Access Points)",""))))))</f>
        <v/>
      </c>
      <c r="B1323" s="0" t="str">
        <f aca="false">IF(I1323="","",IF(AND(J1323&gt;=1,J1323&lt;=K1323+3),IF(J1323&lt;=K1323,IF(J1323&lt;=99,IF((INDEX(Eingabe!$G$9:$G$18,I1323))&lt;=9,1000+(INDEX(Eingabe!$G$9:$G$18,I1323))*100,3000)+J1323,IF((INDEX(Eingabe!$G$9:$G$18,I1323)+1)&lt;=9,1000+(INDEX(Eingabe!$G$9:$G$18,I1323)+1)*100,3000)+J1323-100),IF(J1323=K1323+1,2000+INDEX(Eingabe!$G$9:$G$18,I1323)*10+1,IF(J1323=K1323+2,2000+INDEX(Eingabe!$G$9:$G$18,I1323)*10+2,2000+INDEX(Eingabe!$G$9:$G$18,I1323)*10+9))),""))</f>
        <v/>
      </c>
      <c r="C1323" s="0" t="str">
        <f aca="false">IF(I1323="","",IF(AND(J1323&gt;=1,J1323&lt;=K1323+3),"10."&amp;INDEX(Eingabe!$D$9:$D$18,I1323)&amp;"."&amp;IF(J1323&lt;=K1323,J1323,IF(J1323=K1323+1,200,IF(J1323=K1323+2,201,250)))&amp;".0/24",""))</f>
        <v/>
      </c>
      <c r="D1323" s="0" t="str">
        <f aca="false">IF(I1323="","",IF(AND(J1323&gt;=1,J1323&lt;=K1323+3),"255.255.255.0",""))</f>
        <v/>
      </c>
      <c r="E1323" s="0" t="str">
        <f aca="false">IF(I1323="","",IF(AND(J1323&gt;=1,J1323&lt;=K1323+3),"10."&amp;INDEX(Eingabe!$D$9:$D$18,I1323)&amp;"."&amp;IF(J1323&lt;=K1323,J1323,IF(J1323=K1323+1,200,IF(J1323=K1323+2,201,250)))&amp;".1",""))</f>
        <v/>
      </c>
      <c r="F1323" s="0" t="str">
        <f aca="false">IF(I1323="","",IF(AND(J1323&gt;=1,J1323&lt;=K1323+3),"10."&amp;INDEX(Eingabe!$D$9:$D$18,I1323)&amp;"."&amp;IF(J1323&lt;=K1323,J1323,IF(J1323=K1323+1,200,IF(J1323=K1323+2,201,250)))&amp;".10 – 10."&amp;INDEX(Eingabe!$D$9:$D$18,I1323)&amp;"."&amp;IF(J1323&lt;=K1323,J1323,IF(J1323=K1323+1,200,IF(J1323=K1323+2,201,250)))&amp;".250",""))</f>
        <v/>
      </c>
      <c r="G1323" s="0" t="str">
        <f aca="false">IF(I1323="","",IF(AND(J1323&gt;=1,J1323&lt;=K1323),Eingabe!$B$6&amp;"-"&amp;INDEX(Eingabe!$C$9:$C$18,I1323)&amp;"-Pächter  ·  Passwort Parzelle "&amp;J1323,IF(J1323=K1323+1,Eingabe!$B$6&amp;"-"&amp;INDEX(Eingabe!$C$9:$C$18,I1323)&amp;"-Vorstand  ·  eigenes WLAN",IF(J1323=K1323+2,Eingabe!$B$6&amp;"-"&amp;INDEX(Eingabe!$C$9:$C$18,I1323)&amp;"-Gäste  ·  Voucher",IF(J1323=K1323+3,"Kabel  ·  Access Point y = .(50+y), Mast-Switch x = .(10+x)","")))))</f>
        <v/>
      </c>
      <c r="I1323" s="0" t="str">
        <f aca="false">IF(1318&lt;=(Eingabe!$P$18+Eingabe!$Q$18-1),MATCH(1318,Eingabe!$P$9:$P$18,1),"")</f>
        <v/>
      </c>
      <c r="J1323" s="0" t="str">
        <f aca="false">IF(I1323="","",1318-INDEX(Eingabe!$P$9:$P$18,I1323))</f>
        <v/>
      </c>
      <c r="K1323" s="0" t="str">
        <f aca="false">IF(I1323="","",INDEX(Eingabe!$E$9:$E$18,I1323))</f>
        <v/>
      </c>
    </row>
    <row r="1324" customFormat="false" ht="15" hidden="false" customHeight="false" outlineLevel="0" collapsed="false">
      <c r="A1324" s="0" t="str">
        <f aca="false">IF(I1324="","",IF(J1324=0,"Sparte "&amp;I1324&amp;": "&amp;INDEX(Eingabe!$B$9:$B$18,I1324)&amp;"  (Sparten-ID "&amp;INDEX(Eingabe!$D$9:$D$18,I1324)&amp;", "&amp;K1324&amp;" Parzellen)",IF(J1324&lt;=K1324,"   Parzelle "&amp;J1324,IF(J1324=K1324+1,"   Vorstand",IF(J1324=K1324+2,"   Gäste",IF(J1324=K1324+3,"   Technik (Switches, Access Points)",""))))))</f>
        <v/>
      </c>
      <c r="B1324" s="0" t="str">
        <f aca="false">IF(I1324="","",IF(AND(J1324&gt;=1,J1324&lt;=K1324+3),IF(J1324&lt;=K1324,IF(J1324&lt;=99,IF((INDEX(Eingabe!$G$9:$G$18,I1324))&lt;=9,1000+(INDEX(Eingabe!$G$9:$G$18,I1324))*100,3000)+J1324,IF((INDEX(Eingabe!$G$9:$G$18,I1324)+1)&lt;=9,1000+(INDEX(Eingabe!$G$9:$G$18,I1324)+1)*100,3000)+J1324-100),IF(J1324=K1324+1,2000+INDEX(Eingabe!$G$9:$G$18,I1324)*10+1,IF(J1324=K1324+2,2000+INDEX(Eingabe!$G$9:$G$18,I1324)*10+2,2000+INDEX(Eingabe!$G$9:$G$18,I1324)*10+9))),""))</f>
        <v/>
      </c>
      <c r="C1324" s="0" t="str">
        <f aca="false">IF(I1324="","",IF(AND(J1324&gt;=1,J1324&lt;=K1324+3),"10."&amp;INDEX(Eingabe!$D$9:$D$18,I1324)&amp;"."&amp;IF(J1324&lt;=K1324,J1324,IF(J1324=K1324+1,200,IF(J1324=K1324+2,201,250)))&amp;".0/24",""))</f>
        <v/>
      </c>
      <c r="D1324" s="0" t="str">
        <f aca="false">IF(I1324="","",IF(AND(J1324&gt;=1,J1324&lt;=K1324+3),"255.255.255.0",""))</f>
        <v/>
      </c>
      <c r="E1324" s="0" t="str">
        <f aca="false">IF(I1324="","",IF(AND(J1324&gt;=1,J1324&lt;=K1324+3),"10."&amp;INDEX(Eingabe!$D$9:$D$18,I1324)&amp;"."&amp;IF(J1324&lt;=K1324,J1324,IF(J1324=K1324+1,200,IF(J1324=K1324+2,201,250)))&amp;".1",""))</f>
        <v/>
      </c>
      <c r="F1324" s="0" t="str">
        <f aca="false">IF(I1324="","",IF(AND(J1324&gt;=1,J1324&lt;=K1324+3),"10."&amp;INDEX(Eingabe!$D$9:$D$18,I1324)&amp;"."&amp;IF(J1324&lt;=K1324,J1324,IF(J1324=K1324+1,200,IF(J1324=K1324+2,201,250)))&amp;".10 – 10."&amp;INDEX(Eingabe!$D$9:$D$18,I1324)&amp;"."&amp;IF(J1324&lt;=K1324,J1324,IF(J1324=K1324+1,200,IF(J1324=K1324+2,201,250)))&amp;".250",""))</f>
        <v/>
      </c>
      <c r="G1324" s="0" t="str">
        <f aca="false">IF(I1324="","",IF(AND(J1324&gt;=1,J1324&lt;=K1324),Eingabe!$B$6&amp;"-"&amp;INDEX(Eingabe!$C$9:$C$18,I1324)&amp;"-Pächter  ·  Passwort Parzelle "&amp;J1324,IF(J1324=K1324+1,Eingabe!$B$6&amp;"-"&amp;INDEX(Eingabe!$C$9:$C$18,I1324)&amp;"-Vorstand  ·  eigenes WLAN",IF(J1324=K1324+2,Eingabe!$B$6&amp;"-"&amp;INDEX(Eingabe!$C$9:$C$18,I1324)&amp;"-Gäste  ·  Voucher",IF(J1324=K1324+3,"Kabel  ·  Access Point y = .(50+y), Mast-Switch x = .(10+x)","")))))</f>
        <v/>
      </c>
      <c r="I1324" s="0" t="str">
        <f aca="false">IF(1319&lt;=(Eingabe!$P$18+Eingabe!$Q$18-1),MATCH(1319,Eingabe!$P$9:$P$18,1),"")</f>
        <v/>
      </c>
      <c r="J1324" s="0" t="str">
        <f aca="false">IF(I1324="","",1319-INDEX(Eingabe!$P$9:$P$18,I1324))</f>
        <v/>
      </c>
      <c r="K1324" s="0" t="str">
        <f aca="false">IF(I1324="","",INDEX(Eingabe!$E$9:$E$18,I1324))</f>
        <v/>
      </c>
    </row>
    <row r="1325" customFormat="false" ht="15" hidden="false" customHeight="false" outlineLevel="0" collapsed="false">
      <c r="A1325" s="0" t="str">
        <f aca="false">IF(I1325="","",IF(J1325=0,"Sparte "&amp;I1325&amp;": "&amp;INDEX(Eingabe!$B$9:$B$18,I1325)&amp;"  (Sparten-ID "&amp;INDEX(Eingabe!$D$9:$D$18,I1325)&amp;", "&amp;K1325&amp;" Parzellen)",IF(J1325&lt;=K1325,"   Parzelle "&amp;J1325,IF(J1325=K1325+1,"   Vorstand",IF(J1325=K1325+2,"   Gäste",IF(J1325=K1325+3,"   Technik (Switches, Access Points)",""))))))</f>
        <v/>
      </c>
      <c r="B1325" s="0" t="str">
        <f aca="false">IF(I1325="","",IF(AND(J1325&gt;=1,J1325&lt;=K1325+3),IF(J1325&lt;=K1325,IF(J1325&lt;=99,IF((INDEX(Eingabe!$G$9:$G$18,I1325))&lt;=9,1000+(INDEX(Eingabe!$G$9:$G$18,I1325))*100,3000)+J1325,IF((INDEX(Eingabe!$G$9:$G$18,I1325)+1)&lt;=9,1000+(INDEX(Eingabe!$G$9:$G$18,I1325)+1)*100,3000)+J1325-100),IF(J1325=K1325+1,2000+INDEX(Eingabe!$G$9:$G$18,I1325)*10+1,IF(J1325=K1325+2,2000+INDEX(Eingabe!$G$9:$G$18,I1325)*10+2,2000+INDEX(Eingabe!$G$9:$G$18,I1325)*10+9))),""))</f>
        <v/>
      </c>
      <c r="C1325" s="0" t="str">
        <f aca="false">IF(I1325="","",IF(AND(J1325&gt;=1,J1325&lt;=K1325+3),"10."&amp;INDEX(Eingabe!$D$9:$D$18,I1325)&amp;"."&amp;IF(J1325&lt;=K1325,J1325,IF(J1325=K1325+1,200,IF(J1325=K1325+2,201,250)))&amp;".0/24",""))</f>
        <v/>
      </c>
      <c r="D1325" s="0" t="str">
        <f aca="false">IF(I1325="","",IF(AND(J1325&gt;=1,J1325&lt;=K1325+3),"255.255.255.0",""))</f>
        <v/>
      </c>
      <c r="E1325" s="0" t="str">
        <f aca="false">IF(I1325="","",IF(AND(J1325&gt;=1,J1325&lt;=K1325+3),"10."&amp;INDEX(Eingabe!$D$9:$D$18,I1325)&amp;"."&amp;IF(J1325&lt;=K1325,J1325,IF(J1325=K1325+1,200,IF(J1325=K1325+2,201,250)))&amp;".1",""))</f>
        <v/>
      </c>
      <c r="F1325" s="0" t="str">
        <f aca="false">IF(I1325="","",IF(AND(J1325&gt;=1,J1325&lt;=K1325+3),"10."&amp;INDEX(Eingabe!$D$9:$D$18,I1325)&amp;"."&amp;IF(J1325&lt;=K1325,J1325,IF(J1325=K1325+1,200,IF(J1325=K1325+2,201,250)))&amp;".10 – 10."&amp;INDEX(Eingabe!$D$9:$D$18,I1325)&amp;"."&amp;IF(J1325&lt;=K1325,J1325,IF(J1325=K1325+1,200,IF(J1325=K1325+2,201,250)))&amp;".250",""))</f>
        <v/>
      </c>
      <c r="G1325" s="0" t="str">
        <f aca="false">IF(I1325="","",IF(AND(J1325&gt;=1,J1325&lt;=K1325),Eingabe!$B$6&amp;"-"&amp;INDEX(Eingabe!$C$9:$C$18,I1325)&amp;"-Pächter  ·  Passwort Parzelle "&amp;J1325,IF(J1325=K1325+1,Eingabe!$B$6&amp;"-"&amp;INDEX(Eingabe!$C$9:$C$18,I1325)&amp;"-Vorstand  ·  eigenes WLAN",IF(J1325=K1325+2,Eingabe!$B$6&amp;"-"&amp;INDEX(Eingabe!$C$9:$C$18,I1325)&amp;"-Gäste  ·  Voucher",IF(J1325=K1325+3,"Kabel  ·  Access Point y = .(50+y), Mast-Switch x = .(10+x)","")))))</f>
        <v/>
      </c>
      <c r="I1325" s="0" t="str">
        <f aca="false">IF(1320&lt;=(Eingabe!$P$18+Eingabe!$Q$18-1),MATCH(1320,Eingabe!$P$9:$P$18,1),"")</f>
        <v/>
      </c>
      <c r="J1325" s="0" t="str">
        <f aca="false">IF(I1325="","",1320-INDEX(Eingabe!$P$9:$P$18,I1325))</f>
        <v/>
      </c>
      <c r="K1325" s="0" t="str">
        <f aca="false">IF(I1325="","",INDEX(Eingabe!$E$9:$E$18,I1325))</f>
        <v/>
      </c>
    </row>
    <row r="1326" customFormat="false" ht="15" hidden="false" customHeight="false" outlineLevel="0" collapsed="false">
      <c r="A1326" s="0" t="str">
        <f aca="false">IF(I1326="","",IF(J1326=0,"Sparte "&amp;I1326&amp;": "&amp;INDEX(Eingabe!$B$9:$B$18,I1326)&amp;"  (Sparten-ID "&amp;INDEX(Eingabe!$D$9:$D$18,I1326)&amp;", "&amp;K1326&amp;" Parzellen)",IF(J1326&lt;=K1326,"   Parzelle "&amp;J1326,IF(J1326=K1326+1,"   Vorstand",IF(J1326=K1326+2,"   Gäste",IF(J1326=K1326+3,"   Technik (Switches, Access Points)",""))))))</f>
        <v/>
      </c>
      <c r="B1326" s="0" t="str">
        <f aca="false">IF(I1326="","",IF(AND(J1326&gt;=1,J1326&lt;=K1326+3),IF(J1326&lt;=K1326,IF(J1326&lt;=99,IF((INDEX(Eingabe!$G$9:$G$18,I1326))&lt;=9,1000+(INDEX(Eingabe!$G$9:$G$18,I1326))*100,3000)+J1326,IF((INDEX(Eingabe!$G$9:$G$18,I1326)+1)&lt;=9,1000+(INDEX(Eingabe!$G$9:$G$18,I1326)+1)*100,3000)+J1326-100),IF(J1326=K1326+1,2000+INDEX(Eingabe!$G$9:$G$18,I1326)*10+1,IF(J1326=K1326+2,2000+INDEX(Eingabe!$G$9:$G$18,I1326)*10+2,2000+INDEX(Eingabe!$G$9:$G$18,I1326)*10+9))),""))</f>
        <v/>
      </c>
      <c r="C1326" s="0" t="str">
        <f aca="false">IF(I1326="","",IF(AND(J1326&gt;=1,J1326&lt;=K1326+3),"10."&amp;INDEX(Eingabe!$D$9:$D$18,I1326)&amp;"."&amp;IF(J1326&lt;=K1326,J1326,IF(J1326=K1326+1,200,IF(J1326=K1326+2,201,250)))&amp;".0/24",""))</f>
        <v/>
      </c>
      <c r="D1326" s="0" t="str">
        <f aca="false">IF(I1326="","",IF(AND(J1326&gt;=1,J1326&lt;=K1326+3),"255.255.255.0",""))</f>
        <v/>
      </c>
      <c r="E1326" s="0" t="str">
        <f aca="false">IF(I1326="","",IF(AND(J1326&gt;=1,J1326&lt;=K1326+3),"10."&amp;INDEX(Eingabe!$D$9:$D$18,I1326)&amp;"."&amp;IF(J1326&lt;=K1326,J1326,IF(J1326=K1326+1,200,IF(J1326=K1326+2,201,250)))&amp;".1",""))</f>
        <v/>
      </c>
      <c r="F1326" s="0" t="str">
        <f aca="false">IF(I1326="","",IF(AND(J1326&gt;=1,J1326&lt;=K1326+3),"10."&amp;INDEX(Eingabe!$D$9:$D$18,I1326)&amp;"."&amp;IF(J1326&lt;=K1326,J1326,IF(J1326=K1326+1,200,IF(J1326=K1326+2,201,250)))&amp;".10 – 10."&amp;INDEX(Eingabe!$D$9:$D$18,I1326)&amp;"."&amp;IF(J1326&lt;=K1326,J1326,IF(J1326=K1326+1,200,IF(J1326=K1326+2,201,250)))&amp;".250",""))</f>
        <v/>
      </c>
      <c r="G1326" s="0" t="str">
        <f aca="false">IF(I1326="","",IF(AND(J1326&gt;=1,J1326&lt;=K1326),Eingabe!$B$6&amp;"-"&amp;INDEX(Eingabe!$C$9:$C$18,I1326)&amp;"-Pächter  ·  Passwort Parzelle "&amp;J1326,IF(J1326=K1326+1,Eingabe!$B$6&amp;"-"&amp;INDEX(Eingabe!$C$9:$C$18,I1326)&amp;"-Vorstand  ·  eigenes WLAN",IF(J1326=K1326+2,Eingabe!$B$6&amp;"-"&amp;INDEX(Eingabe!$C$9:$C$18,I1326)&amp;"-Gäste  ·  Voucher",IF(J1326=K1326+3,"Kabel  ·  Access Point y = .(50+y), Mast-Switch x = .(10+x)","")))))</f>
        <v/>
      </c>
      <c r="I1326" s="0" t="str">
        <f aca="false">IF(1321&lt;=(Eingabe!$P$18+Eingabe!$Q$18-1),MATCH(1321,Eingabe!$P$9:$P$18,1),"")</f>
        <v/>
      </c>
      <c r="J1326" s="0" t="str">
        <f aca="false">IF(I1326="","",1321-INDEX(Eingabe!$P$9:$P$18,I1326))</f>
        <v/>
      </c>
      <c r="K1326" s="0" t="str">
        <f aca="false">IF(I1326="","",INDEX(Eingabe!$E$9:$E$18,I1326))</f>
        <v/>
      </c>
    </row>
    <row r="1327" customFormat="false" ht="15" hidden="false" customHeight="false" outlineLevel="0" collapsed="false">
      <c r="A1327" s="0" t="str">
        <f aca="false">IF(I1327="","",IF(J1327=0,"Sparte "&amp;I1327&amp;": "&amp;INDEX(Eingabe!$B$9:$B$18,I1327)&amp;"  (Sparten-ID "&amp;INDEX(Eingabe!$D$9:$D$18,I1327)&amp;", "&amp;K1327&amp;" Parzellen)",IF(J1327&lt;=K1327,"   Parzelle "&amp;J1327,IF(J1327=K1327+1,"   Vorstand",IF(J1327=K1327+2,"   Gäste",IF(J1327=K1327+3,"   Technik (Switches, Access Points)",""))))))</f>
        <v/>
      </c>
      <c r="B1327" s="0" t="str">
        <f aca="false">IF(I1327="","",IF(AND(J1327&gt;=1,J1327&lt;=K1327+3),IF(J1327&lt;=K1327,IF(J1327&lt;=99,IF((INDEX(Eingabe!$G$9:$G$18,I1327))&lt;=9,1000+(INDEX(Eingabe!$G$9:$G$18,I1327))*100,3000)+J1327,IF((INDEX(Eingabe!$G$9:$G$18,I1327)+1)&lt;=9,1000+(INDEX(Eingabe!$G$9:$G$18,I1327)+1)*100,3000)+J1327-100),IF(J1327=K1327+1,2000+INDEX(Eingabe!$G$9:$G$18,I1327)*10+1,IF(J1327=K1327+2,2000+INDEX(Eingabe!$G$9:$G$18,I1327)*10+2,2000+INDEX(Eingabe!$G$9:$G$18,I1327)*10+9))),""))</f>
        <v/>
      </c>
      <c r="C1327" s="0" t="str">
        <f aca="false">IF(I1327="","",IF(AND(J1327&gt;=1,J1327&lt;=K1327+3),"10."&amp;INDEX(Eingabe!$D$9:$D$18,I1327)&amp;"."&amp;IF(J1327&lt;=K1327,J1327,IF(J1327=K1327+1,200,IF(J1327=K1327+2,201,250)))&amp;".0/24",""))</f>
        <v/>
      </c>
      <c r="D1327" s="0" t="str">
        <f aca="false">IF(I1327="","",IF(AND(J1327&gt;=1,J1327&lt;=K1327+3),"255.255.255.0",""))</f>
        <v/>
      </c>
      <c r="E1327" s="0" t="str">
        <f aca="false">IF(I1327="","",IF(AND(J1327&gt;=1,J1327&lt;=K1327+3),"10."&amp;INDEX(Eingabe!$D$9:$D$18,I1327)&amp;"."&amp;IF(J1327&lt;=K1327,J1327,IF(J1327=K1327+1,200,IF(J1327=K1327+2,201,250)))&amp;".1",""))</f>
        <v/>
      </c>
      <c r="F1327" s="0" t="str">
        <f aca="false">IF(I1327="","",IF(AND(J1327&gt;=1,J1327&lt;=K1327+3),"10."&amp;INDEX(Eingabe!$D$9:$D$18,I1327)&amp;"."&amp;IF(J1327&lt;=K1327,J1327,IF(J1327=K1327+1,200,IF(J1327=K1327+2,201,250)))&amp;".10 – 10."&amp;INDEX(Eingabe!$D$9:$D$18,I1327)&amp;"."&amp;IF(J1327&lt;=K1327,J1327,IF(J1327=K1327+1,200,IF(J1327=K1327+2,201,250)))&amp;".250",""))</f>
        <v/>
      </c>
      <c r="G1327" s="0" t="str">
        <f aca="false">IF(I1327="","",IF(AND(J1327&gt;=1,J1327&lt;=K1327),Eingabe!$B$6&amp;"-"&amp;INDEX(Eingabe!$C$9:$C$18,I1327)&amp;"-Pächter  ·  Passwort Parzelle "&amp;J1327,IF(J1327=K1327+1,Eingabe!$B$6&amp;"-"&amp;INDEX(Eingabe!$C$9:$C$18,I1327)&amp;"-Vorstand  ·  eigenes WLAN",IF(J1327=K1327+2,Eingabe!$B$6&amp;"-"&amp;INDEX(Eingabe!$C$9:$C$18,I1327)&amp;"-Gäste  ·  Voucher",IF(J1327=K1327+3,"Kabel  ·  Access Point y = .(50+y), Mast-Switch x = .(10+x)","")))))</f>
        <v/>
      </c>
      <c r="I1327" s="0" t="str">
        <f aca="false">IF(1322&lt;=(Eingabe!$P$18+Eingabe!$Q$18-1),MATCH(1322,Eingabe!$P$9:$P$18,1),"")</f>
        <v/>
      </c>
      <c r="J1327" s="0" t="str">
        <f aca="false">IF(I1327="","",1322-INDEX(Eingabe!$P$9:$P$18,I1327))</f>
        <v/>
      </c>
      <c r="K1327" s="0" t="str">
        <f aca="false">IF(I1327="","",INDEX(Eingabe!$E$9:$E$18,I1327))</f>
        <v/>
      </c>
    </row>
    <row r="1328" customFormat="false" ht="15" hidden="false" customHeight="false" outlineLevel="0" collapsed="false">
      <c r="A1328" s="0" t="str">
        <f aca="false">IF(I1328="","",IF(J1328=0,"Sparte "&amp;I1328&amp;": "&amp;INDEX(Eingabe!$B$9:$B$18,I1328)&amp;"  (Sparten-ID "&amp;INDEX(Eingabe!$D$9:$D$18,I1328)&amp;", "&amp;K1328&amp;" Parzellen)",IF(J1328&lt;=K1328,"   Parzelle "&amp;J1328,IF(J1328=K1328+1,"   Vorstand",IF(J1328=K1328+2,"   Gäste",IF(J1328=K1328+3,"   Technik (Switches, Access Points)",""))))))</f>
        <v/>
      </c>
      <c r="B1328" s="0" t="str">
        <f aca="false">IF(I1328="","",IF(AND(J1328&gt;=1,J1328&lt;=K1328+3),IF(J1328&lt;=K1328,IF(J1328&lt;=99,IF((INDEX(Eingabe!$G$9:$G$18,I1328))&lt;=9,1000+(INDEX(Eingabe!$G$9:$G$18,I1328))*100,3000)+J1328,IF((INDEX(Eingabe!$G$9:$G$18,I1328)+1)&lt;=9,1000+(INDEX(Eingabe!$G$9:$G$18,I1328)+1)*100,3000)+J1328-100),IF(J1328=K1328+1,2000+INDEX(Eingabe!$G$9:$G$18,I1328)*10+1,IF(J1328=K1328+2,2000+INDEX(Eingabe!$G$9:$G$18,I1328)*10+2,2000+INDEX(Eingabe!$G$9:$G$18,I1328)*10+9))),""))</f>
        <v/>
      </c>
      <c r="C1328" s="0" t="str">
        <f aca="false">IF(I1328="","",IF(AND(J1328&gt;=1,J1328&lt;=K1328+3),"10."&amp;INDEX(Eingabe!$D$9:$D$18,I1328)&amp;"."&amp;IF(J1328&lt;=K1328,J1328,IF(J1328=K1328+1,200,IF(J1328=K1328+2,201,250)))&amp;".0/24",""))</f>
        <v/>
      </c>
      <c r="D1328" s="0" t="str">
        <f aca="false">IF(I1328="","",IF(AND(J1328&gt;=1,J1328&lt;=K1328+3),"255.255.255.0",""))</f>
        <v/>
      </c>
      <c r="E1328" s="0" t="str">
        <f aca="false">IF(I1328="","",IF(AND(J1328&gt;=1,J1328&lt;=K1328+3),"10."&amp;INDEX(Eingabe!$D$9:$D$18,I1328)&amp;"."&amp;IF(J1328&lt;=K1328,J1328,IF(J1328=K1328+1,200,IF(J1328=K1328+2,201,250)))&amp;".1",""))</f>
        <v/>
      </c>
      <c r="F1328" s="0" t="str">
        <f aca="false">IF(I1328="","",IF(AND(J1328&gt;=1,J1328&lt;=K1328+3),"10."&amp;INDEX(Eingabe!$D$9:$D$18,I1328)&amp;"."&amp;IF(J1328&lt;=K1328,J1328,IF(J1328=K1328+1,200,IF(J1328=K1328+2,201,250)))&amp;".10 – 10."&amp;INDEX(Eingabe!$D$9:$D$18,I1328)&amp;"."&amp;IF(J1328&lt;=K1328,J1328,IF(J1328=K1328+1,200,IF(J1328=K1328+2,201,250)))&amp;".250",""))</f>
        <v/>
      </c>
      <c r="G1328" s="0" t="str">
        <f aca="false">IF(I1328="","",IF(AND(J1328&gt;=1,J1328&lt;=K1328),Eingabe!$B$6&amp;"-"&amp;INDEX(Eingabe!$C$9:$C$18,I1328)&amp;"-Pächter  ·  Passwort Parzelle "&amp;J1328,IF(J1328=K1328+1,Eingabe!$B$6&amp;"-"&amp;INDEX(Eingabe!$C$9:$C$18,I1328)&amp;"-Vorstand  ·  eigenes WLAN",IF(J1328=K1328+2,Eingabe!$B$6&amp;"-"&amp;INDEX(Eingabe!$C$9:$C$18,I1328)&amp;"-Gäste  ·  Voucher",IF(J1328=K1328+3,"Kabel  ·  Access Point y = .(50+y), Mast-Switch x = .(10+x)","")))))</f>
        <v/>
      </c>
      <c r="I1328" s="0" t="str">
        <f aca="false">IF(1323&lt;=(Eingabe!$P$18+Eingabe!$Q$18-1),MATCH(1323,Eingabe!$P$9:$P$18,1),"")</f>
        <v/>
      </c>
      <c r="J1328" s="0" t="str">
        <f aca="false">IF(I1328="","",1323-INDEX(Eingabe!$P$9:$P$18,I1328))</f>
        <v/>
      </c>
      <c r="K1328" s="0" t="str">
        <f aca="false">IF(I1328="","",INDEX(Eingabe!$E$9:$E$18,I1328))</f>
        <v/>
      </c>
    </row>
    <row r="1329" customFormat="false" ht="15" hidden="false" customHeight="false" outlineLevel="0" collapsed="false">
      <c r="A1329" s="0" t="str">
        <f aca="false">IF(I1329="","",IF(J1329=0,"Sparte "&amp;I1329&amp;": "&amp;INDEX(Eingabe!$B$9:$B$18,I1329)&amp;"  (Sparten-ID "&amp;INDEX(Eingabe!$D$9:$D$18,I1329)&amp;", "&amp;K1329&amp;" Parzellen)",IF(J1329&lt;=K1329,"   Parzelle "&amp;J1329,IF(J1329=K1329+1,"   Vorstand",IF(J1329=K1329+2,"   Gäste",IF(J1329=K1329+3,"   Technik (Switches, Access Points)",""))))))</f>
        <v/>
      </c>
      <c r="B1329" s="0" t="str">
        <f aca="false">IF(I1329="","",IF(AND(J1329&gt;=1,J1329&lt;=K1329+3),IF(J1329&lt;=K1329,IF(J1329&lt;=99,IF((INDEX(Eingabe!$G$9:$G$18,I1329))&lt;=9,1000+(INDEX(Eingabe!$G$9:$G$18,I1329))*100,3000)+J1329,IF((INDEX(Eingabe!$G$9:$G$18,I1329)+1)&lt;=9,1000+(INDEX(Eingabe!$G$9:$G$18,I1329)+1)*100,3000)+J1329-100),IF(J1329=K1329+1,2000+INDEX(Eingabe!$G$9:$G$18,I1329)*10+1,IF(J1329=K1329+2,2000+INDEX(Eingabe!$G$9:$G$18,I1329)*10+2,2000+INDEX(Eingabe!$G$9:$G$18,I1329)*10+9))),""))</f>
        <v/>
      </c>
      <c r="C1329" s="0" t="str">
        <f aca="false">IF(I1329="","",IF(AND(J1329&gt;=1,J1329&lt;=K1329+3),"10."&amp;INDEX(Eingabe!$D$9:$D$18,I1329)&amp;"."&amp;IF(J1329&lt;=K1329,J1329,IF(J1329=K1329+1,200,IF(J1329=K1329+2,201,250)))&amp;".0/24",""))</f>
        <v/>
      </c>
      <c r="D1329" s="0" t="str">
        <f aca="false">IF(I1329="","",IF(AND(J1329&gt;=1,J1329&lt;=K1329+3),"255.255.255.0",""))</f>
        <v/>
      </c>
      <c r="E1329" s="0" t="str">
        <f aca="false">IF(I1329="","",IF(AND(J1329&gt;=1,J1329&lt;=K1329+3),"10."&amp;INDEX(Eingabe!$D$9:$D$18,I1329)&amp;"."&amp;IF(J1329&lt;=K1329,J1329,IF(J1329=K1329+1,200,IF(J1329=K1329+2,201,250)))&amp;".1",""))</f>
        <v/>
      </c>
      <c r="F1329" s="0" t="str">
        <f aca="false">IF(I1329="","",IF(AND(J1329&gt;=1,J1329&lt;=K1329+3),"10."&amp;INDEX(Eingabe!$D$9:$D$18,I1329)&amp;"."&amp;IF(J1329&lt;=K1329,J1329,IF(J1329=K1329+1,200,IF(J1329=K1329+2,201,250)))&amp;".10 – 10."&amp;INDEX(Eingabe!$D$9:$D$18,I1329)&amp;"."&amp;IF(J1329&lt;=K1329,J1329,IF(J1329=K1329+1,200,IF(J1329=K1329+2,201,250)))&amp;".250",""))</f>
        <v/>
      </c>
      <c r="G1329" s="0" t="str">
        <f aca="false">IF(I1329="","",IF(AND(J1329&gt;=1,J1329&lt;=K1329),Eingabe!$B$6&amp;"-"&amp;INDEX(Eingabe!$C$9:$C$18,I1329)&amp;"-Pächter  ·  Passwort Parzelle "&amp;J1329,IF(J1329=K1329+1,Eingabe!$B$6&amp;"-"&amp;INDEX(Eingabe!$C$9:$C$18,I1329)&amp;"-Vorstand  ·  eigenes WLAN",IF(J1329=K1329+2,Eingabe!$B$6&amp;"-"&amp;INDEX(Eingabe!$C$9:$C$18,I1329)&amp;"-Gäste  ·  Voucher",IF(J1329=K1329+3,"Kabel  ·  Access Point y = .(50+y), Mast-Switch x = .(10+x)","")))))</f>
        <v/>
      </c>
      <c r="I1329" s="0" t="str">
        <f aca="false">IF(1324&lt;=(Eingabe!$P$18+Eingabe!$Q$18-1),MATCH(1324,Eingabe!$P$9:$P$18,1),"")</f>
        <v/>
      </c>
      <c r="J1329" s="0" t="str">
        <f aca="false">IF(I1329="","",1324-INDEX(Eingabe!$P$9:$P$18,I1329))</f>
        <v/>
      </c>
      <c r="K1329" s="0" t="str">
        <f aca="false">IF(I1329="","",INDEX(Eingabe!$E$9:$E$18,I1329))</f>
        <v/>
      </c>
    </row>
    <row r="1330" customFormat="false" ht="15" hidden="false" customHeight="false" outlineLevel="0" collapsed="false">
      <c r="A1330" s="0" t="str">
        <f aca="false">IF(I1330="","",IF(J1330=0,"Sparte "&amp;I1330&amp;": "&amp;INDEX(Eingabe!$B$9:$B$18,I1330)&amp;"  (Sparten-ID "&amp;INDEX(Eingabe!$D$9:$D$18,I1330)&amp;", "&amp;K1330&amp;" Parzellen)",IF(J1330&lt;=K1330,"   Parzelle "&amp;J1330,IF(J1330=K1330+1,"   Vorstand",IF(J1330=K1330+2,"   Gäste",IF(J1330=K1330+3,"   Technik (Switches, Access Points)",""))))))</f>
        <v/>
      </c>
      <c r="B1330" s="0" t="str">
        <f aca="false">IF(I1330="","",IF(AND(J1330&gt;=1,J1330&lt;=K1330+3),IF(J1330&lt;=K1330,IF(J1330&lt;=99,IF((INDEX(Eingabe!$G$9:$G$18,I1330))&lt;=9,1000+(INDEX(Eingabe!$G$9:$G$18,I1330))*100,3000)+J1330,IF((INDEX(Eingabe!$G$9:$G$18,I1330)+1)&lt;=9,1000+(INDEX(Eingabe!$G$9:$G$18,I1330)+1)*100,3000)+J1330-100),IF(J1330=K1330+1,2000+INDEX(Eingabe!$G$9:$G$18,I1330)*10+1,IF(J1330=K1330+2,2000+INDEX(Eingabe!$G$9:$G$18,I1330)*10+2,2000+INDEX(Eingabe!$G$9:$G$18,I1330)*10+9))),""))</f>
        <v/>
      </c>
      <c r="C1330" s="0" t="str">
        <f aca="false">IF(I1330="","",IF(AND(J1330&gt;=1,J1330&lt;=K1330+3),"10."&amp;INDEX(Eingabe!$D$9:$D$18,I1330)&amp;"."&amp;IF(J1330&lt;=K1330,J1330,IF(J1330=K1330+1,200,IF(J1330=K1330+2,201,250)))&amp;".0/24",""))</f>
        <v/>
      </c>
      <c r="D1330" s="0" t="str">
        <f aca="false">IF(I1330="","",IF(AND(J1330&gt;=1,J1330&lt;=K1330+3),"255.255.255.0",""))</f>
        <v/>
      </c>
      <c r="E1330" s="0" t="str">
        <f aca="false">IF(I1330="","",IF(AND(J1330&gt;=1,J1330&lt;=K1330+3),"10."&amp;INDEX(Eingabe!$D$9:$D$18,I1330)&amp;"."&amp;IF(J1330&lt;=K1330,J1330,IF(J1330=K1330+1,200,IF(J1330=K1330+2,201,250)))&amp;".1",""))</f>
        <v/>
      </c>
      <c r="F1330" s="0" t="str">
        <f aca="false">IF(I1330="","",IF(AND(J1330&gt;=1,J1330&lt;=K1330+3),"10."&amp;INDEX(Eingabe!$D$9:$D$18,I1330)&amp;"."&amp;IF(J1330&lt;=K1330,J1330,IF(J1330=K1330+1,200,IF(J1330=K1330+2,201,250)))&amp;".10 – 10."&amp;INDEX(Eingabe!$D$9:$D$18,I1330)&amp;"."&amp;IF(J1330&lt;=K1330,J1330,IF(J1330=K1330+1,200,IF(J1330=K1330+2,201,250)))&amp;".250",""))</f>
        <v/>
      </c>
      <c r="G1330" s="0" t="str">
        <f aca="false">IF(I1330="","",IF(AND(J1330&gt;=1,J1330&lt;=K1330),Eingabe!$B$6&amp;"-"&amp;INDEX(Eingabe!$C$9:$C$18,I1330)&amp;"-Pächter  ·  Passwort Parzelle "&amp;J1330,IF(J1330=K1330+1,Eingabe!$B$6&amp;"-"&amp;INDEX(Eingabe!$C$9:$C$18,I1330)&amp;"-Vorstand  ·  eigenes WLAN",IF(J1330=K1330+2,Eingabe!$B$6&amp;"-"&amp;INDEX(Eingabe!$C$9:$C$18,I1330)&amp;"-Gäste  ·  Voucher",IF(J1330=K1330+3,"Kabel  ·  Access Point y = .(50+y), Mast-Switch x = .(10+x)","")))))</f>
        <v/>
      </c>
      <c r="I1330" s="0" t="str">
        <f aca="false">IF(1325&lt;=(Eingabe!$P$18+Eingabe!$Q$18-1),MATCH(1325,Eingabe!$P$9:$P$18,1),"")</f>
        <v/>
      </c>
      <c r="J1330" s="0" t="str">
        <f aca="false">IF(I1330="","",1325-INDEX(Eingabe!$P$9:$P$18,I1330))</f>
        <v/>
      </c>
      <c r="K1330" s="0" t="str">
        <f aca="false">IF(I1330="","",INDEX(Eingabe!$E$9:$E$18,I1330))</f>
        <v/>
      </c>
    </row>
    <row r="1331" customFormat="false" ht="15" hidden="false" customHeight="false" outlineLevel="0" collapsed="false">
      <c r="A1331" s="0" t="str">
        <f aca="false">IF(I1331="","",IF(J1331=0,"Sparte "&amp;I1331&amp;": "&amp;INDEX(Eingabe!$B$9:$B$18,I1331)&amp;"  (Sparten-ID "&amp;INDEX(Eingabe!$D$9:$D$18,I1331)&amp;", "&amp;K1331&amp;" Parzellen)",IF(J1331&lt;=K1331,"   Parzelle "&amp;J1331,IF(J1331=K1331+1,"   Vorstand",IF(J1331=K1331+2,"   Gäste",IF(J1331=K1331+3,"   Technik (Switches, Access Points)",""))))))</f>
        <v/>
      </c>
      <c r="B1331" s="0" t="str">
        <f aca="false">IF(I1331="","",IF(AND(J1331&gt;=1,J1331&lt;=K1331+3),IF(J1331&lt;=K1331,IF(J1331&lt;=99,IF((INDEX(Eingabe!$G$9:$G$18,I1331))&lt;=9,1000+(INDEX(Eingabe!$G$9:$G$18,I1331))*100,3000)+J1331,IF((INDEX(Eingabe!$G$9:$G$18,I1331)+1)&lt;=9,1000+(INDEX(Eingabe!$G$9:$G$18,I1331)+1)*100,3000)+J1331-100),IF(J1331=K1331+1,2000+INDEX(Eingabe!$G$9:$G$18,I1331)*10+1,IF(J1331=K1331+2,2000+INDEX(Eingabe!$G$9:$G$18,I1331)*10+2,2000+INDEX(Eingabe!$G$9:$G$18,I1331)*10+9))),""))</f>
        <v/>
      </c>
      <c r="C1331" s="0" t="str">
        <f aca="false">IF(I1331="","",IF(AND(J1331&gt;=1,J1331&lt;=K1331+3),"10."&amp;INDEX(Eingabe!$D$9:$D$18,I1331)&amp;"."&amp;IF(J1331&lt;=K1331,J1331,IF(J1331=K1331+1,200,IF(J1331=K1331+2,201,250)))&amp;".0/24",""))</f>
        <v/>
      </c>
      <c r="D1331" s="0" t="str">
        <f aca="false">IF(I1331="","",IF(AND(J1331&gt;=1,J1331&lt;=K1331+3),"255.255.255.0",""))</f>
        <v/>
      </c>
      <c r="E1331" s="0" t="str">
        <f aca="false">IF(I1331="","",IF(AND(J1331&gt;=1,J1331&lt;=K1331+3),"10."&amp;INDEX(Eingabe!$D$9:$D$18,I1331)&amp;"."&amp;IF(J1331&lt;=K1331,J1331,IF(J1331=K1331+1,200,IF(J1331=K1331+2,201,250)))&amp;".1",""))</f>
        <v/>
      </c>
      <c r="F1331" s="0" t="str">
        <f aca="false">IF(I1331="","",IF(AND(J1331&gt;=1,J1331&lt;=K1331+3),"10."&amp;INDEX(Eingabe!$D$9:$D$18,I1331)&amp;"."&amp;IF(J1331&lt;=K1331,J1331,IF(J1331=K1331+1,200,IF(J1331=K1331+2,201,250)))&amp;".10 – 10."&amp;INDEX(Eingabe!$D$9:$D$18,I1331)&amp;"."&amp;IF(J1331&lt;=K1331,J1331,IF(J1331=K1331+1,200,IF(J1331=K1331+2,201,250)))&amp;".250",""))</f>
        <v/>
      </c>
      <c r="G1331" s="0" t="str">
        <f aca="false">IF(I1331="","",IF(AND(J1331&gt;=1,J1331&lt;=K1331),Eingabe!$B$6&amp;"-"&amp;INDEX(Eingabe!$C$9:$C$18,I1331)&amp;"-Pächter  ·  Passwort Parzelle "&amp;J1331,IF(J1331=K1331+1,Eingabe!$B$6&amp;"-"&amp;INDEX(Eingabe!$C$9:$C$18,I1331)&amp;"-Vorstand  ·  eigenes WLAN",IF(J1331=K1331+2,Eingabe!$B$6&amp;"-"&amp;INDEX(Eingabe!$C$9:$C$18,I1331)&amp;"-Gäste  ·  Voucher",IF(J1331=K1331+3,"Kabel  ·  Access Point y = .(50+y), Mast-Switch x = .(10+x)","")))))</f>
        <v/>
      </c>
      <c r="I1331" s="0" t="str">
        <f aca="false">IF(1326&lt;=(Eingabe!$P$18+Eingabe!$Q$18-1),MATCH(1326,Eingabe!$P$9:$P$18,1),"")</f>
        <v/>
      </c>
      <c r="J1331" s="0" t="str">
        <f aca="false">IF(I1331="","",1326-INDEX(Eingabe!$P$9:$P$18,I1331))</f>
        <v/>
      </c>
      <c r="K1331" s="0" t="str">
        <f aca="false">IF(I1331="","",INDEX(Eingabe!$E$9:$E$18,I1331))</f>
        <v/>
      </c>
    </row>
    <row r="1332" customFormat="false" ht="15" hidden="false" customHeight="false" outlineLevel="0" collapsed="false">
      <c r="A1332" s="0" t="str">
        <f aca="false">IF(I1332="","",IF(J1332=0,"Sparte "&amp;I1332&amp;": "&amp;INDEX(Eingabe!$B$9:$B$18,I1332)&amp;"  (Sparten-ID "&amp;INDEX(Eingabe!$D$9:$D$18,I1332)&amp;", "&amp;K1332&amp;" Parzellen)",IF(J1332&lt;=K1332,"   Parzelle "&amp;J1332,IF(J1332=K1332+1,"   Vorstand",IF(J1332=K1332+2,"   Gäste",IF(J1332=K1332+3,"   Technik (Switches, Access Points)",""))))))</f>
        <v/>
      </c>
      <c r="B1332" s="0" t="str">
        <f aca="false">IF(I1332="","",IF(AND(J1332&gt;=1,J1332&lt;=K1332+3),IF(J1332&lt;=K1332,IF(J1332&lt;=99,IF((INDEX(Eingabe!$G$9:$G$18,I1332))&lt;=9,1000+(INDEX(Eingabe!$G$9:$G$18,I1332))*100,3000)+J1332,IF((INDEX(Eingabe!$G$9:$G$18,I1332)+1)&lt;=9,1000+(INDEX(Eingabe!$G$9:$G$18,I1332)+1)*100,3000)+J1332-100),IF(J1332=K1332+1,2000+INDEX(Eingabe!$G$9:$G$18,I1332)*10+1,IF(J1332=K1332+2,2000+INDEX(Eingabe!$G$9:$G$18,I1332)*10+2,2000+INDEX(Eingabe!$G$9:$G$18,I1332)*10+9))),""))</f>
        <v/>
      </c>
      <c r="C1332" s="0" t="str">
        <f aca="false">IF(I1332="","",IF(AND(J1332&gt;=1,J1332&lt;=K1332+3),"10."&amp;INDEX(Eingabe!$D$9:$D$18,I1332)&amp;"."&amp;IF(J1332&lt;=K1332,J1332,IF(J1332=K1332+1,200,IF(J1332=K1332+2,201,250)))&amp;".0/24",""))</f>
        <v/>
      </c>
      <c r="D1332" s="0" t="str">
        <f aca="false">IF(I1332="","",IF(AND(J1332&gt;=1,J1332&lt;=K1332+3),"255.255.255.0",""))</f>
        <v/>
      </c>
      <c r="E1332" s="0" t="str">
        <f aca="false">IF(I1332="","",IF(AND(J1332&gt;=1,J1332&lt;=K1332+3),"10."&amp;INDEX(Eingabe!$D$9:$D$18,I1332)&amp;"."&amp;IF(J1332&lt;=K1332,J1332,IF(J1332=K1332+1,200,IF(J1332=K1332+2,201,250)))&amp;".1",""))</f>
        <v/>
      </c>
      <c r="F1332" s="0" t="str">
        <f aca="false">IF(I1332="","",IF(AND(J1332&gt;=1,J1332&lt;=K1332+3),"10."&amp;INDEX(Eingabe!$D$9:$D$18,I1332)&amp;"."&amp;IF(J1332&lt;=K1332,J1332,IF(J1332=K1332+1,200,IF(J1332=K1332+2,201,250)))&amp;".10 – 10."&amp;INDEX(Eingabe!$D$9:$D$18,I1332)&amp;"."&amp;IF(J1332&lt;=K1332,J1332,IF(J1332=K1332+1,200,IF(J1332=K1332+2,201,250)))&amp;".250",""))</f>
        <v/>
      </c>
      <c r="G1332" s="0" t="str">
        <f aca="false">IF(I1332="","",IF(AND(J1332&gt;=1,J1332&lt;=K1332),Eingabe!$B$6&amp;"-"&amp;INDEX(Eingabe!$C$9:$C$18,I1332)&amp;"-Pächter  ·  Passwort Parzelle "&amp;J1332,IF(J1332=K1332+1,Eingabe!$B$6&amp;"-"&amp;INDEX(Eingabe!$C$9:$C$18,I1332)&amp;"-Vorstand  ·  eigenes WLAN",IF(J1332=K1332+2,Eingabe!$B$6&amp;"-"&amp;INDEX(Eingabe!$C$9:$C$18,I1332)&amp;"-Gäste  ·  Voucher",IF(J1332=K1332+3,"Kabel  ·  Access Point y = .(50+y), Mast-Switch x = .(10+x)","")))))</f>
        <v/>
      </c>
      <c r="I1332" s="0" t="str">
        <f aca="false">IF(1327&lt;=(Eingabe!$P$18+Eingabe!$Q$18-1),MATCH(1327,Eingabe!$P$9:$P$18,1),"")</f>
        <v/>
      </c>
      <c r="J1332" s="0" t="str">
        <f aca="false">IF(I1332="","",1327-INDEX(Eingabe!$P$9:$P$18,I1332))</f>
        <v/>
      </c>
      <c r="K1332" s="0" t="str">
        <f aca="false">IF(I1332="","",INDEX(Eingabe!$E$9:$E$18,I1332))</f>
        <v/>
      </c>
    </row>
    <row r="1333" customFormat="false" ht="15" hidden="false" customHeight="false" outlineLevel="0" collapsed="false">
      <c r="A1333" s="0" t="str">
        <f aca="false">IF(I1333="","",IF(J1333=0,"Sparte "&amp;I1333&amp;": "&amp;INDEX(Eingabe!$B$9:$B$18,I1333)&amp;"  (Sparten-ID "&amp;INDEX(Eingabe!$D$9:$D$18,I1333)&amp;", "&amp;K1333&amp;" Parzellen)",IF(J1333&lt;=K1333,"   Parzelle "&amp;J1333,IF(J1333=K1333+1,"   Vorstand",IF(J1333=K1333+2,"   Gäste",IF(J1333=K1333+3,"   Technik (Switches, Access Points)",""))))))</f>
        <v/>
      </c>
      <c r="B1333" s="0" t="str">
        <f aca="false">IF(I1333="","",IF(AND(J1333&gt;=1,J1333&lt;=K1333+3),IF(J1333&lt;=K1333,IF(J1333&lt;=99,IF((INDEX(Eingabe!$G$9:$G$18,I1333))&lt;=9,1000+(INDEX(Eingabe!$G$9:$G$18,I1333))*100,3000)+J1333,IF((INDEX(Eingabe!$G$9:$G$18,I1333)+1)&lt;=9,1000+(INDEX(Eingabe!$G$9:$G$18,I1333)+1)*100,3000)+J1333-100),IF(J1333=K1333+1,2000+INDEX(Eingabe!$G$9:$G$18,I1333)*10+1,IF(J1333=K1333+2,2000+INDEX(Eingabe!$G$9:$G$18,I1333)*10+2,2000+INDEX(Eingabe!$G$9:$G$18,I1333)*10+9))),""))</f>
        <v/>
      </c>
      <c r="C1333" s="0" t="str">
        <f aca="false">IF(I1333="","",IF(AND(J1333&gt;=1,J1333&lt;=K1333+3),"10."&amp;INDEX(Eingabe!$D$9:$D$18,I1333)&amp;"."&amp;IF(J1333&lt;=K1333,J1333,IF(J1333=K1333+1,200,IF(J1333=K1333+2,201,250)))&amp;".0/24",""))</f>
        <v/>
      </c>
      <c r="D1333" s="0" t="str">
        <f aca="false">IF(I1333="","",IF(AND(J1333&gt;=1,J1333&lt;=K1333+3),"255.255.255.0",""))</f>
        <v/>
      </c>
      <c r="E1333" s="0" t="str">
        <f aca="false">IF(I1333="","",IF(AND(J1333&gt;=1,J1333&lt;=K1333+3),"10."&amp;INDEX(Eingabe!$D$9:$D$18,I1333)&amp;"."&amp;IF(J1333&lt;=K1333,J1333,IF(J1333=K1333+1,200,IF(J1333=K1333+2,201,250)))&amp;".1",""))</f>
        <v/>
      </c>
      <c r="F1333" s="0" t="str">
        <f aca="false">IF(I1333="","",IF(AND(J1333&gt;=1,J1333&lt;=K1333+3),"10."&amp;INDEX(Eingabe!$D$9:$D$18,I1333)&amp;"."&amp;IF(J1333&lt;=K1333,J1333,IF(J1333=K1333+1,200,IF(J1333=K1333+2,201,250)))&amp;".10 – 10."&amp;INDEX(Eingabe!$D$9:$D$18,I1333)&amp;"."&amp;IF(J1333&lt;=K1333,J1333,IF(J1333=K1333+1,200,IF(J1333=K1333+2,201,250)))&amp;".250",""))</f>
        <v/>
      </c>
      <c r="G1333" s="0" t="str">
        <f aca="false">IF(I1333="","",IF(AND(J1333&gt;=1,J1333&lt;=K1333),Eingabe!$B$6&amp;"-"&amp;INDEX(Eingabe!$C$9:$C$18,I1333)&amp;"-Pächter  ·  Passwort Parzelle "&amp;J1333,IF(J1333=K1333+1,Eingabe!$B$6&amp;"-"&amp;INDEX(Eingabe!$C$9:$C$18,I1333)&amp;"-Vorstand  ·  eigenes WLAN",IF(J1333=K1333+2,Eingabe!$B$6&amp;"-"&amp;INDEX(Eingabe!$C$9:$C$18,I1333)&amp;"-Gäste  ·  Voucher",IF(J1333=K1333+3,"Kabel  ·  Access Point y = .(50+y), Mast-Switch x = .(10+x)","")))))</f>
        <v/>
      </c>
      <c r="I1333" s="0" t="str">
        <f aca="false">IF(1328&lt;=(Eingabe!$P$18+Eingabe!$Q$18-1),MATCH(1328,Eingabe!$P$9:$P$18,1),"")</f>
        <v/>
      </c>
      <c r="J1333" s="0" t="str">
        <f aca="false">IF(I1333="","",1328-INDEX(Eingabe!$P$9:$P$18,I1333))</f>
        <v/>
      </c>
      <c r="K1333" s="0" t="str">
        <f aca="false">IF(I1333="","",INDEX(Eingabe!$E$9:$E$18,I1333))</f>
        <v/>
      </c>
    </row>
    <row r="1334" customFormat="false" ht="15" hidden="false" customHeight="false" outlineLevel="0" collapsed="false">
      <c r="A1334" s="0" t="str">
        <f aca="false">IF(I1334="","",IF(J1334=0,"Sparte "&amp;I1334&amp;": "&amp;INDEX(Eingabe!$B$9:$B$18,I1334)&amp;"  (Sparten-ID "&amp;INDEX(Eingabe!$D$9:$D$18,I1334)&amp;", "&amp;K1334&amp;" Parzellen)",IF(J1334&lt;=K1334,"   Parzelle "&amp;J1334,IF(J1334=K1334+1,"   Vorstand",IF(J1334=K1334+2,"   Gäste",IF(J1334=K1334+3,"   Technik (Switches, Access Points)",""))))))</f>
        <v/>
      </c>
      <c r="B1334" s="0" t="str">
        <f aca="false">IF(I1334="","",IF(AND(J1334&gt;=1,J1334&lt;=K1334+3),IF(J1334&lt;=K1334,IF(J1334&lt;=99,IF((INDEX(Eingabe!$G$9:$G$18,I1334))&lt;=9,1000+(INDEX(Eingabe!$G$9:$G$18,I1334))*100,3000)+J1334,IF((INDEX(Eingabe!$G$9:$G$18,I1334)+1)&lt;=9,1000+(INDEX(Eingabe!$G$9:$G$18,I1334)+1)*100,3000)+J1334-100),IF(J1334=K1334+1,2000+INDEX(Eingabe!$G$9:$G$18,I1334)*10+1,IF(J1334=K1334+2,2000+INDEX(Eingabe!$G$9:$G$18,I1334)*10+2,2000+INDEX(Eingabe!$G$9:$G$18,I1334)*10+9))),""))</f>
        <v/>
      </c>
      <c r="C1334" s="0" t="str">
        <f aca="false">IF(I1334="","",IF(AND(J1334&gt;=1,J1334&lt;=K1334+3),"10."&amp;INDEX(Eingabe!$D$9:$D$18,I1334)&amp;"."&amp;IF(J1334&lt;=K1334,J1334,IF(J1334=K1334+1,200,IF(J1334=K1334+2,201,250)))&amp;".0/24",""))</f>
        <v/>
      </c>
      <c r="D1334" s="0" t="str">
        <f aca="false">IF(I1334="","",IF(AND(J1334&gt;=1,J1334&lt;=K1334+3),"255.255.255.0",""))</f>
        <v/>
      </c>
      <c r="E1334" s="0" t="str">
        <f aca="false">IF(I1334="","",IF(AND(J1334&gt;=1,J1334&lt;=K1334+3),"10."&amp;INDEX(Eingabe!$D$9:$D$18,I1334)&amp;"."&amp;IF(J1334&lt;=K1334,J1334,IF(J1334=K1334+1,200,IF(J1334=K1334+2,201,250)))&amp;".1",""))</f>
        <v/>
      </c>
      <c r="F1334" s="0" t="str">
        <f aca="false">IF(I1334="","",IF(AND(J1334&gt;=1,J1334&lt;=K1334+3),"10."&amp;INDEX(Eingabe!$D$9:$D$18,I1334)&amp;"."&amp;IF(J1334&lt;=K1334,J1334,IF(J1334=K1334+1,200,IF(J1334=K1334+2,201,250)))&amp;".10 – 10."&amp;INDEX(Eingabe!$D$9:$D$18,I1334)&amp;"."&amp;IF(J1334&lt;=K1334,J1334,IF(J1334=K1334+1,200,IF(J1334=K1334+2,201,250)))&amp;".250",""))</f>
        <v/>
      </c>
      <c r="G1334" s="0" t="str">
        <f aca="false">IF(I1334="","",IF(AND(J1334&gt;=1,J1334&lt;=K1334),Eingabe!$B$6&amp;"-"&amp;INDEX(Eingabe!$C$9:$C$18,I1334)&amp;"-Pächter  ·  Passwort Parzelle "&amp;J1334,IF(J1334=K1334+1,Eingabe!$B$6&amp;"-"&amp;INDEX(Eingabe!$C$9:$C$18,I1334)&amp;"-Vorstand  ·  eigenes WLAN",IF(J1334=K1334+2,Eingabe!$B$6&amp;"-"&amp;INDEX(Eingabe!$C$9:$C$18,I1334)&amp;"-Gäste  ·  Voucher",IF(J1334=K1334+3,"Kabel  ·  Access Point y = .(50+y), Mast-Switch x = .(10+x)","")))))</f>
        <v/>
      </c>
      <c r="I1334" s="0" t="str">
        <f aca="false">IF(1329&lt;=(Eingabe!$P$18+Eingabe!$Q$18-1),MATCH(1329,Eingabe!$P$9:$P$18,1),"")</f>
        <v/>
      </c>
      <c r="J1334" s="0" t="str">
        <f aca="false">IF(I1334="","",1329-INDEX(Eingabe!$P$9:$P$18,I1334))</f>
        <v/>
      </c>
      <c r="K1334" s="0" t="str">
        <f aca="false">IF(I1334="","",INDEX(Eingabe!$E$9:$E$18,I1334))</f>
        <v/>
      </c>
    </row>
    <row r="1335" customFormat="false" ht="15" hidden="false" customHeight="false" outlineLevel="0" collapsed="false">
      <c r="A1335" s="0" t="str">
        <f aca="false">IF(I1335="","",IF(J1335=0,"Sparte "&amp;I1335&amp;": "&amp;INDEX(Eingabe!$B$9:$B$18,I1335)&amp;"  (Sparten-ID "&amp;INDEX(Eingabe!$D$9:$D$18,I1335)&amp;", "&amp;K1335&amp;" Parzellen)",IF(J1335&lt;=K1335,"   Parzelle "&amp;J1335,IF(J1335=K1335+1,"   Vorstand",IF(J1335=K1335+2,"   Gäste",IF(J1335=K1335+3,"   Technik (Switches, Access Points)",""))))))</f>
        <v/>
      </c>
      <c r="B1335" s="0" t="str">
        <f aca="false">IF(I1335="","",IF(AND(J1335&gt;=1,J1335&lt;=K1335+3),IF(J1335&lt;=K1335,IF(J1335&lt;=99,IF((INDEX(Eingabe!$G$9:$G$18,I1335))&lt;=9,1000+(INDEX(Eingabe!$G$9:$G$18,I1335))*100,3000)+J1335,IF((INDEX(Eingabe!$G$9:$G$18,I1335)+1)&lt;=9,1000+(INDEX(Eingabe!$G$9:$G$18,I1335)+1)*100,3000)+J1335-100),IF(J1335=K1335+1,2000+INDEX(Eingabe!$G$9:$G$18,I1335)*10+1,IF(J1335=K1335+2,2000+INDEX(Eingabe!$G$9:$G$18,I1335)*10+2,2000+INDEX(Eingabe!$G$9:$G$18,I1335)*10+9))),""))</f>
        <v/>
      </c>
      <c r="C1335" s="0" t="str">
        <f aca="false">IF(I1335="","",IF(AND(J1335&gt;=1,J1335&lt;=K1335+3),"10."&amp;INDEX(Eingabe!$D$9:$D$18,I1335)&amp;"."&amp;IF(J1335&lt;=K1335,J1335,IF(J1335=K1335+1,200,IF(J1335=K1335+2,201,250)))&amp;".0/24",""))</f>
        <v/>
      </c>
      <c r="D1335" s="0" t="str">
        <f aca="false">IF(I1335="","",IF(AND(J1335&gt;=1,J1335&lt;=K1335+3),"255.255.255.0",""))</f>
        <v/>
      </c>
      <c r="E1335" s="0" t="str">
        <f aca="false">IF(I1335="","",IF(AND(J1335&gt;=1,J1335&lt;=K1335+3),"10."&amp;INDEX(Eingabe!$D$9:$D$18,I1335)&amp;"."&amp;IF(J1335&lt;=K1335,J1335,IF(J1335=K1335+1,200,IF(J1335=K1335+2,201,250)))&amp;".1",""))</f>
        <v/>
      </c>
      <c r="F1335" s="0" t="str">
        <f aca="false">IF(I1335="","",IF(AND(J1335&gt;=1,J1335&lt;=K1335+3),"10."&amp;INDEX(Eingabe!$D$9:$D$18,I1335)&amp;"."&amp;IF(J1335&lt;=K1335,J1335,IF(J1335=K1335+1,200,IF(J1335=K1335+2,201,250)))&amp;".10 – 10."&amp;INDEX(Eingabe!$D$9:$D$18,I1335)&amp;"."&amp;IF(J1335&lt;=K1335,J1335,IF(J1335=K1335+1,200,IF(J1335=K1335+2,201,250)))&amp;".250",""))</f>
        <v/>
      </c>
      <c r="G1335" s="0" t="str">
        <f aca="false">IF(I1335="","",IF(AND(J1335&gt;=1,J1335&lt;=K1335),Eingabe!$B$6&amp;"-"&amp;INDEX(Eingabe!$C$9:$C$18,I1335)&amp;"-Pächter  ·  Passwort Parzelle "&amp;J1335,IF(J1335=K1335+1,Eingabe!$B$6&amp;"-"&amp;INDEX(Eingabe!$C$9:$C$18,I1335)&amp;"-Vorstand  ·  eigenes WLAN",IF(J1335=K1335+2,Eingabe!$B$6&amp;"-"&amp;INDEX(Eingabe!$C$9:$C$18,I1335)&amp;"-Gäste  ·  Voucher",IF(J1335=K1335+3,"Kabel  ·  Access Point y = .(50+y), Mast-Switch x = .(10+x)","")))))</f>
        <v/>
      </c>
      <c r="I1335" s="0" t="str">
        <f aca="false">IF(1330&lt;=(Eingabe!$P$18+Eingabe!$Q$18-1),MATCH(1330,Eingabe!$P$9:$P$18,1),"")</f>
        <v/>
      </c>
      <c r="J1335" s="0" t="str">
        <f aca="false">IF(I1335="","",1330-INDEX(Eingabe!$P$9:$P$18,I1335))</f>
        <v/>
      </c>
      <c r="K1335" s="0" t="str">
        <f aca="false">IF(I1335="","",INDEX(Eingabe!$E$9:$E$18,I1335))</f>
        <v/>
      </c>
    </row>
    <row r="1336" customFormat="false" ht="15" hidden="false" customHeight="false" outlineLevel="0" collapsed="false">
      <c r="A1336" s="0" t="str">
        <f aca="false">IF(I1336="","",IF(J1336=0,"Sparte "&amp;I1336&amp;": "&amp;INDEX(Eingabe!$B$9:$B$18,I1336)&amp;"  (Sparten-ID "&amp;INDEX(Eingabe!$D$9:$D$18,I1336)&amp;", "&amp;K1336&amp;" Parzellen)",IF(J1336&lt;=K1336,"   Parzelle "&amp;J1336,IF(J1336=K1336+1,"   Vorstand",IF(J1336=K1336+2,"   Gäste",IF(J1336=K1336+3,"   Technik (Switches, Access Points)",""))))))</f>
        <v/>
      </c>
      <c r="B1336" s="0" t="str">
        <f aca="false">IF(I1336="","",IF(AND(J1336&gt;=1,J1336&lt;=K1336+3),IF(J1336&lt;=K1336,IF(J1336&lt;=99,IF((INDEX(Eingabe!$G$9:$G$18,I1336))&lt;=9,1000+(INDEX(Eingabe!$G$9:$G$18,I1336))*100,3000)+J1336,IF((INDEX(Eingabe!$G$9:$G$18,I1336)+1)&lt;=9,1000+(INDEX(Eingabe!$G$9:$G$18,I1336)+1)*100,3000)+J1336-100),IF(J1336=K1336+1,2000+INDEX(Eingabe!$G$9:$G$18,I1336)*10+1,IF(J1336=K1336+2,2000+INDEX(Eingabe!$G$9:$G$18,I1336)*10+2,2000+INDEX(Eingabe!$G$9:$G$18,I1336)*10+9))),""))</f>
        <v/>
      </c>
      <c r="C1336" s="0" t="str">
        <f aca="false">IF(I1336="","",IF(AND(J1336&gt;=1,J1336&lt;=K1336+3),"10."&amp;INDEX(Eingabe!$D$9:$D$18,I1336)&amp;"."&amp;IF(J1336&lt;=K1336,J1336,IF(J1336=K1336+1,200,IF(J1336=K1336+2,201,250)))&amp;".0/24",""))</f>
        <v/>
      </c>
      <c r="D1336" s="0" t="str">
        <f aca="false">IF(I1336="","",IF(AND(J1336&gt;=1,J1336&lt;=K1336+3),"255.255.255.0",""))</f>
        <v/>
      </c>
      <c r="E1336" s="0" t="str">
        <f aca="false">IF(I1336="","",IF(AND(J1336&gt;=1,J1336&lt;=K1336+3),"10."&amp;INDEX(Eingabe!$D$9:$D$18,I1336)&amp;"."&amp;IF(J1336&lt;=K1336,J1336,IF(J1336=K1336+1,200,IF(J1336=K1336+2,201,250)))&amp;".1",""))</f>
        <v/>
      </c>
      <c r="F1336" s="0" t="str">
        <f aca="false">IF(I1336="","",IF(AND(J1336&gt;=1,J1336&lt;=K1336+3),"10."&amp;INDEX(Eingabe!$D$9:$D$18,I1336)&amp;"."&amp;IF(J1336&lt;=K1336,J1336,IF(J1336=K1336+1,200,IF(J1336=K1336+2,201,250)))&amp;".10 – 10."&amp;INDEX(Eingabe!$D$9:$D$18,I1336)&amp;"."&amp;IF(J1336&lt;=K1336,J1336,IF(J1336=K1336+1,200,IF(J1336=K1336+2,201,250)))&amp;".250",""))</f>
        <v/>
      </c>
      <c r="G1336" s="0" t="str">
        <f aca="false">IF(I1336="","",IF(AND(J1336&gt;=1,J1336&lt;=K1336),Eingabe!$B$6&amp;"-"&amp;INDEX(Eingabe!$C$9:$C$18,I1336)&amp;"-Pächter  ·  Passwort Parzelle "&amp;J1336,IF(J1336=K1336+1,Eingabe!$B$6&amp;"-"&amp;INDEX(Eingabe!$C$9:$C$18,I1336)&amp;"-Vorstand  ·  eigenes WLAN",IF(J1336=K1336+2,Eingabe!$B$6&amp;"-"&amp;INDEX(Eingabe!$C$9:$C$18,I1336)&amp;"-Gäste  ·  Voucher",IF(J1336=K1336+3,"Kabel  ·  Access Point y = .(50+y), Mast-Switch x = .(10+x)","")))))</f>
        <v/>
      </c>
      <c r="I1336" s="0" t="str">
        <f aca="false">IF(1331&lt;=(Eingabe!$P$18+Eingabe!$Q$18-1),MATCH(1331,Eingabe!$P$9:$P$18,1),"")</f>
        <v/>
      </c>
      <c r="J1336" s="0" t="str">
        <f aca="false">IF(I1336="","",1331-INDEX(Eingabe!$P$9:$P$18,I1336))</f>
        <v/>
      </c>
      <c r="K1336" s="0" t="str">
        <f aca="false">IF(I1336="","",INDEX(Eingabe!$E$9:$E$18,I1336))</f>
        <v/>
      </c>
    </row>
    <row r="1337" customFormat="false" ht="15" hidden="false" customHeight="false" outlineLevel="0" collapsed="false">
      <c r="A1337" s="0" t="str">
        <f aca="false">IF(I1337="","",IF(J1337=0,"Sparte "&amp;I1337&amp;": "&amp;INDEX(Eingabe!$B$9:$B$18,I1337)&amp;"  (Sparten-ID "&amp;INDEX(Eingabe!$D$9:$D$18,I1337)&amp;", "&amp;K1337&amp;" Parzellen)",IF(J1337&lt;=K1337,"   Parzelle "&amp;J1337,IF(J1337=K1337+1,"   Vorstand",IF(J1337=K1337+2,"   Gäste",IF(J1337=K1337+3,"   Technik (Switches, Access Points)",""))))))</f>
        <v/>
      </c>
      <c r="B1337" s="0" t="str">
        <f aca="false">IF(I1337="","",IF(AND(J1337&gt;=1,J1337&lt;=K1337+3),IF(J1337&lt;=K1337,IF(J1337&lt;=99,IF((INDEX(Eingabe!$G$9:$G$18,I1337))&lt;=9,1000+(INDEX(Eingabe!$G$9:$G$18,I1337))*100,3000)+J1337,IF((INDEX(Eingabe!$G$9:$G$18,I1337)+1)&lt;=9,1000+(INDEX(Eingabe!$G$9:$G$18,I1337)+1)*100,3000)+J1337-100),IF(J1337=K1337+1,2000+INDEX(Eingabe!$G$9:$G$18,I1337)*10+1,IF(J1337=K1337+2,2000+INDEX(Eingabe!$G$9:$G$18,I1337)*10+2,2000+INDEX(Eingabe!$G$9:$G$18,I1337)*10+9))),""))</f>
        <v/>
      </c>
      <c r="C1337" s="0" t="str">
        <f aca="false">IF(I1337="","",IF(AND(J1337&gt;=1,J1337&lt;=K1337+3),"10."&amp;INDEX(Eingabe!$D$9:$D$18,I1337)&amp;"."&amp;IF(J1337&lt;=K1337,J1337,IF(J1337=K1337+1,200,IF(J1337=K1337+2,201,250)))&amp;".0/24",""))</f>
        <v/>
      </c>
      <c r="D1337" s="0" t="str">
        <f aca="false">IF(I1337="","",IF(AND(J1337&gt;=1,J1337&lt;=K1337+3),"255.255.255.0",""))</f>
        <v/>
      </c>
      <c r="E1337" s="0" t="str">
        <f aca="false">IF(I1337="","",IF(AND(J1337&gt;=1,J1337&lt;=K1337+3),"10."&amp;INDEX(Eingabe!$D$9:$D$18,I1337)&amp;"."&amp;IF(J1337&lt;=K1337,J1337,IF(J1337=K1337+1,200,IF(J1337=K1337+2,201,250)))&amp;".1",""))</f>
        <v/>
      </c>
      <c r="F1337" s="0" t="str">
        <f aca="false">IF(I1337="","",IF(AND(J1337&gt;=1,J1337&lt;=K1337+3),"10."&amp;INDEX(Eingabe!$D$9:$D$18,I1337)&amp;"."&amp;IF(J1337&lt;=K1337,J1337,IF(J1337=K1337+1,200,IF(J1337=K1337+2,201,250)))&amp;".10 – 10."&amp;INDEX(Eingabe!$D$9:$D$18,I1337)&amp;"."&amp;IF(J1337&lt;=K1337,J1337,IF(J1337=K1337+1,200,IF(J1337=K1337+2,201,250)))&amp;".250",""))</f>
        <v/>
      </c>
      <c r="G1337" s="0" t="str">
        <f aca="false">IF(I1337="","",IF(AND(J1337&gt;=1,J1337&lt;=K1337),Eingabe!$B$6&amp;"-"&amp;INDEX(Eingabe!$C$9:$C$18,I1337)&amp;"-Pächter  ·  Passwort Parzelle "&amp;J1337,IF(J1337=K1337+1,Eingabe!$B$6&amp;"-"&amp;INDEX(Eingabe!$C$9:$C$18,I1337)&amp;"-Vorstand  ·  eigenes WLAN",IF(J1337=K1337+2,Eingabe!$B$6&amp;"-"&amp;INDEX(Eingabe!$C$9:$C$18,I1337)&amp;"-Gäste  ·  Voucher",IF(J1337=K1337+3,"Kabel  ·  Access Point y = .(50+y), Mast-Switch x = .(10+x)","")))))</f>
        <v/>
      </c>
      <c r="I1337" s="0" t="str">
        <f aca="false">IF(1332&lt;=(Eingabe!$P$18+Eingabe!$Q$18-1),MATCH(1332,Eingabe!$P$9:$P$18,1),"")</f>
        <v/>
      </c>
      <c r="J1337" s="0" t="str">
        <f aca="false">IF(I1337="","",1332-INDEX(Eingabe!$P$9:$P$18,I1337))</f>
        <v/>
      </c>
      <c r="K1337" s="0" t="str">
        <f aca="false">IF(I1337="","",INDEX(Eingabe!$E$9:$E$18,I1337))</f>
        <v/>
      </c>
    </row>
    <row r="1338" customFormat="false" ht="15" hidden="false" customHeight="false" outlineLevel="0" collapsed="false">
      <c r="A1338" s="0" t="str">
        <f aca="false">IF(I1338="","",IF(J1338=0,"Sparte "&amp;I1338&amp;": "&amp;INDEX(Eingabe!$B$9:$B$18,I1338)&amp;"  (Sparten-ID "&amp;INDEX(Eingabe!$D$9:$D$18,I1338)&amp;", "&amp;K1338&amp;" Parzellen)",IF(J1338&lt;=K1338,"   Parzelle "&amp;J1338,IF(J1338=K1338+1,"   Vorstand",IF(J1338=K1338+2,"   Gäste",IF(J1338=K1338+3,"   Technik (Switches, Access Points)",""))))))</f>
        <v/>
      </c>
      <c r="B1338" s="0" t="str">
        <f aca="false">IF(I1338="","",IF(AND(J1338&gt;=1,J1338&lt;=K1338+3),IF(J1338&lt;=K1338,IF(J1338&lt;=99,IF((INDEX(Eingabe!$G$9:$G$18,I1338))&lt;=9,1000+(INDEX(Eingabe!$G$9:$G$18,I1338))*100,3000)+J1338,IF((INDEX(Eingabe!$G$9:$G$18,I1338)+1)&lt;=9,1000+(INDEX(Eingabe!$G$9:$G$18,I1338)+1)*100,3000)+J1338-100),IF(J1338=K1338+1,2000+INDEX(Eingabe!$G$9:$G$18,I1338)*10+1,IF(J1338=K1338+2,2000+INDEX(Eingabe!$G$9:$G$18,I1338)*10+2,2000+INDEX(Eingabe!$G$9:$G$18,I1338)*10+9))),""))</f>
        <v/>
      </c>
      <c r="C1338" s="0" t="str">
        <f aca="false">IF(I1338="","",IF(AND(J1338&gt;=1,J1338&lt;=K1338+3),"10."&amp;INDEX(Eingabe!$D$9:$D$18,I1338)&amp;"."&amp;IF(J1338&lt;=K1338,J1338,IF(J1338=K1338+1,200,IF(J1338=K1338+2,201,250)))&amp;".0/24",""))</f>
        <v/>
      </c>
      <c r="D1338" s="0" t="str">
        <f aca="false">IF(I1338="","",IF(AND(J1338&gt;=1,J1338&lt;=K1338+3),"255.255.255.0",""))</f>
        <v/>
      </c>
      <c r="E1338" s="0" t="str">
        <f aca="false">IF(I1338="","",IF(AND(J1338&gt;=1,J1338&lt;=K1338+3),"10."&amp;INDEX(Eingabe!$D$9:$D$18,I1338)&amp;"."&amp;IF(J1338&lt;=K1338,J1338,IF(J1338=K1338+1,200,IF(J1338=K1338+2,201,250)))&amp;".1",""))</f>
        <v/>
      </c>
      <c r="F1338" s="0" t="str">
        <f aca="false">IF(I1338="","",IF(AND(J1338&gt;=1,J1338&lt;=K1338+3),"10."&amp;INDEX(Eingabe!$D$9:$D$18,I1338)&amp;"."&amp;IF(J1338&lt;=K1338,J1338,IF(J1338=K1338+1,200,IF(J1338=K1338+2,201,250)))&amp;".10 – 10."&amp;INDEX(Eingabe!$D$9:$D$18,I1338)&amp;"."&amp;IF(J1338&lt;=K1338,J1338,IF(J1338=K1338+1,200,IF(J1338=K1338+2,201,250)))&amp;".250",""))</f>
        <v/>
      </c>
      <c r="G1338" s="0" t="str">
        <f aca="false">IF(I1338="","",IF(AND(J1338&gt;=1,J1338&lt;=K1338),Eingabe!$B$6&amp;"-"&amp;INDEX(Eingabe!$C$9:$C$18,I1338)&amp;"-Pächter  ·  Passwort Parzelle "&amp;J1338,IF(J1338=K1338+1,Eingabe!$B$6&amp;"-"&amp;INDEX(Eingabe!$C$9:$C$18,I1338)&amp;"-Vorstand  ·  eigenes WLAN",IF(J1338=K1338+2,Eingabe!$B$6&amp;"-"&amp;INDEX(Eingabe!$C$9:$C$18,I1338)&amp;"-Gäste  ·  Voucher",IF(J1338=K1338+3,"Kabel  ·  Access Point y = .(50+y), Mast-Switch x = .(10+x)","")))))</f>
        <v/>
      </c>
      <c r="I1338" s="0" t="str">
        <f aca="false">IF(1333&lt;=(Eingabe!$P$18+Eingabe!$Q$18-1),MATCH(1333,Eingabe!$P$9:$P$18,1),"")</f>
        <v/>
      </c>
      <c r="J1338" s="0" t="str">
        <f aca="false">IF(I1338="","",1333-INDEX(Eingabe!$P$9:$P$18,I1338))</f>
        <v/>
      </c>
      <c r="K1338" s="0" t="str">
        <f aca="false">IF(I1338="","",INDEX(Eingabe!$E$9:$E$18,I1338))</f>
        <v/>
      </c>
    </row>
    <row r="1339" customFormat="false" ht="15" hidden="false" customHeight="false" outlineLevel="0" collapsed="false">
      <c r="A1339" s="0" t="str">
        <f aca="false">IF(I1339="","",IF(J1339=0,"Sparte "&amp;I1339&amp;": "&amp;INDEX(Eingabe!$B$9:$B$18,I1339)&amp;"  (Sparten-ID "&amp;INDEX(Eingabe!$D$9:$D$18,I1339)&amp;", "&amp;K1339&amp;" Parzellen)",IF(J1339&lt;=K1339,"   Parzelle "&amp;J1339,IF(J1339=K1339+1,"   Vorstand",IF(J1339=K1339+2,"   Gäste",IF(J1339=K1339+3,"   Technik (Switches, Access Points)",""))))))</f>
        <v/>
      </c>
      <c r="B1339" s="0" t="str">
        <f aca="false">IF(I1339="","",IF(AND(J1339&gt;=1,J1339&lt;=K1339+3),IF(J1339&lt;=K1339,IF(J1339&lt;=99,IF((INDEX(Eingabe!$G$9:$G$18,I1339))&lt;=9,1000+(INDEX(Eingabe!$G$9:$G$18,I1339))*100,3000)+J1339,IF((INDEX(Eingabe!$G$9:$G$18,I1339)+1)&lt;=9,1000+(INDEX(Eingabe!$G$9:$G$18,I1339)+1)*100,3000)+J1339-100),IF(J1339=K1339+1,2000+INDEX(Eingabe!$G$9:$G$18,I1339)*10+1,IF(J1339=K1339+2,2000+INDEX(Eingabe!$G$9:$G$18,I1339)*10+2,2000+INDEX(Eingabe!$G$9:$G$18,I1339)*10+9))),""))</f>
        <v/>
      </c>
      <c r="C1339" s="0" t="str">
        <f aca="false">IF(I1339="","",IF(AND(J1339&gt;=1,J1339&lt;=K1339+3),"10."&amp;INDEX(Eingabe!$D$9:$D$18,I1339)&amp;"."&amp;IF(J1339&lt;=K1339,J1339,IF(J1339=K1339+1,200,IF(J1339=K1339+2,201,250)))&amp;".0/24",""))</f>
        <v/>
      </c>
      <c r="D1339" s="0" t="str">
        <f aca="false">IF(I1339="","",IF(AND(J1339&gt;=1,J1339&lt;=K1339+3),"255.255.255.0",""))</f>
        <v/>
      </c>
      <c r="E1339" s="0" t="str">
        <f aca="false">IF(I1339="","",IF(AND(J1339&gt;=1,J1339&lt;=K1339+3),"10."&amp;INDEX(Eingabe!$D$9:$D$18,I1339)&amp;"."&amp;IF(J1339&lt;=K1339,J1339,IF(J1339=K1339+1,200,IF(J1339=K1339+2,201,250)))&amp;".1",""))</f>
        <v/>
      </c>
      <c r="F1339" s="0" t="str">
        <f aca="false">IF(I1339="","",IF(AND(J1339&gt;=1,J1339&lt;=K1339+3),"10."&amp;INDEX(Eingabe!$D$9:$D$18,I1339)&amp;"."&amp;IF(J1339&lt;=K1339,J1339,IF(J1339=K1339+1,200,IF(J1339=K1339+2,201,250)))&amp;".10 – 10."&amp;INDEX(Eingabe!$D$9:$D$18,I1339)&amp;"."&amp;IF(J1339&lt;=K1339,J1339,IF(J1339=K1339+1,200,IF(J1339=K1339+2,201,250)))&amp;".250",""))</f>
        <v/>
      </c>
      <c r="G1339" s="0" t="str">
        <f aca="false">IF(I1339="","",IF(AND(J1339&gt;=1,J1339&lt;=K1339),Eingabe!$B$6&amp;"-"&amp;INDEX(Eingabe!$C$9:$C$18,I1339)&amp;"-Pächter  ·  Passwort Parzelle "&amp;J1339,IF(J1339=K1339+1,Eingabe!$B$6&amp;"-"&amp;INDEX(Eingabe!$C$9:$C$18,I1339)&amp;"-Vorstand  ·  eigenes WLAN",IF(J1339=K1339+2,Eingabe!$B$6&amp;"-"&amp;INDEX(Eingabe!$C$9:$C$18,I1339)&amp;"-Gäste  ·  Voucher",IF(J1339=K1339+3,"Kabel  ·  Access Point y = .(50+y), Mast-Switch x = .(10+x)","")))))</f>
        <v/>
      </c>
      <c r="I1339" s="0" t="str">
        <f aca="false">IF(1334&lt;=(Eingabe!$P$18+Eingabe!$Q$18-1),MATCH(1334,Eingabe!$P$9:$P$18,1),"")</f>
        <v/>
      </c>
      <c r="J1339" s="0" t="str">
        <f aca="false">IF(I1339="","",1334-INDEX(Eingabe!$P$9:$P$18,I1339))</f>
        <v/>
      </c>
      <c r="K1339" s="0" t="str">
        <f aca="false">IF(I1339="","",INDEX(Eingabe!$E$9:$E$18,I1339))</f>
        <v/>
      </c>
    </row>
    <row r="1340" customFormat="false" ht="15" hidden="false" customHeight="false" outlineLevel="0" collapsed="false">
      <c r="A1340" s="0" t="str">
        <f aca="false">IF(I1340="","",IF(J1340=0,"Sparte "&amp;I1340&amp;": "&amp;INDEX(Eingabe!$B$9:$B$18,I1340)&amp;"  (Sparten-ID "&amp;INDEX(Eingabe!$D$9:$D$18,I1340)&amp;", "&amp;K1340&amp;" Parzellen)",IF(J1340&lt;=K1340,"   Parzelle "&amp;J1340,IF(J1340=K1340+1,"   Vorstand",IF(J1340=K1340+2,"   Gäste",IF(J1340=K1340+3,"   Technik (Switches, Access Points)",""))))))</f>
        <v/>
      </c>
      <c r="B1340" s="0" t="str">
        <f aca="false">IF(I1340="","",IF(AND(J1340&gt;=1,J1340&lt;=K1340+3),IF(J1340&lt;=K1340,IF(J1340&lt;=99,IF((INDEX(Eingabe!$G$9:$G$18,I1340))&lt;=9,1000+(INDEX(Eingabe!$G$9:$G$18,I1340))*100,3000)+J1340,IF((INDEX(Eingabe!$G$9:$G$18,I1340)+1)&lt;=9,1000+(INDEX(Eingabe!$G$9:$G$18,I1340)+1)*100,3000)+J1340-100),IF(J1340=K1340+1,2000+INDEX(Eingabe!$G$9:$G$18,I1340)*10+1,IF(J1340=K1340+2,2000+INDEX(Eingabe!$G$9:$G$18,I1340)*10+2,2000+INDEX(Eingabe!$G$9:$G$18,I1340)*10+9))),""))</f>
        <v/>
      </c>
      <c r="C1340" s="0" t="str">
        <f aca="false">IF(I1340="","",IF(AND(J1340&gt;=1,J1340&lt;=K1340+3),"10."&amp;INDEX(Eingabe!$D$9:$D$18,I1340)&amp;"."&amp;IF(J1340&lt;=K1340,J1340,IF(J1340=K1340+1,200,IF(J1340=K1340+2,201,250)))&amp;".0/24",""))</f>
        <v/>
      </c>
      <c r="D1340" s="0" t="str">
        <f aca="false">IF(I1340="","",IF(AND(J1340&gt;=1,J1340&lt;=K1340+3),"255.255.255.0",""))</f>
        <v/>
      </c>
      <c r="E1340" s="0" t="str">
        <f aca="false">IF(I1340="","",IF(AND(J1340&gt;=1,J1340&lt;=K1340+3),"10."&amp;INDEX(Eingabe!$D$9:$D$18,I1340)&amp;"."&amp;IF(J1340&lt;=K1340,J1340,IF(J1340=K1340+1,200,IF(J1340=K1340+2,201,250)))&amp;".1",""))</f>
        <v/>
      </c>
      <c r="F1340" s="0" t="str">
        <f aca="false">IF(I1340="","",IF(AND(J1340&gt;=1,J1340&lt;=K1340+3),"10."&amp;INDEX(Eingabe!$D$9:$D$18,I1340)&amp;"."&amp;IF(J1340&lt;=K1340,J1340,IF(J1340=K1340+1,200,IF(J1340=K1340+2,201,250)))&amp;".10 – 10."&amp;INDEX(Eingabe!$D$9:$D$18,I1340)&amp;"."&amp;IF(J1340&lt;=K1340,J1340,IF(J1340=K1340+1,200,IF(J1340=K1340+2,201,250)))&amp;".250",""))</f>
        <v/>
      </c>
      <c r="G1340" s="0" t="str">
        <f aca="false">IF(I1340="","",IF(AND(J1340&gt;=1,J1340&lt;=K1340),Eingabe!$B$6&amp;"-"&amp;INDEX(Eingabe!$C$9:$C$18,I1340)&amp;"-Pächter  ·  Passwort Parzelle "&amp;J1340,IF(J1340=K1340+1,Eingabe!$B$6&amp;"-"&amp;INDEX(Eingabe!$C$9:$C$18,I1340)&amp;"-Vorstand  ·  eigenes WLAN",IF(J1340=K1340+2,Eingabe!$B$6&amp;"-"&amp;INDEX(Eingabe!$C$9:$C$18,I1340)&amp;"-Gäste  ·  Voucher",IF(J1340=K1340+3,"Kabel  ·  Access Point y = .(50+y), Mast-Switch x = .(10+x)","")))))</f>
        <v/>
      </c>
      <c r="I1340" s="0" t="str">
        <f aca="false">IF(1335&lt;=(Eingabe!$P$18+Eingabe!$Q$18-1),MATCH(1335,Eingabe!$P$9:$P$18,1),"")</f>
        <v/>
      </c>
      <c r="J1340" s="0" t="str">
        <f aca="false">IF(I1340="","",1335-INDEX(Eingabe!$P$9:$P$18,I1340))</f>
        <v/>
      </c>
      <c r="K1340" s="0" t="str">
        <f aca="false">IF(I1340="","",INDEX(Eingabe!$E$9:$E$18,I1340))</f>
        <v/>
      </c>
    </row>
    <row r="1341" customFormat="false" ht="15" hidden="false" customHeight="false" outlineLevel="0" collapsed="false">
      <c r="A1341" s="0" t="str">
        <f aca="false">IF(I1341="","",IF(J1341=0,"Sparte "&amp;I1341&amp;": "&amp;INDEX(Eingabe!$B$9:$B$18,I1341)&amp;"  (Sparten-ID "&amp;INDEX(Eingabe!$D$9:$D$18,I1341)&amp;", "&amp;K1341&amp;" Parzellen)",IF(J1341&lt;=K1341,"   Parzelle "&amp;J1341,IF(J1341=K1341+1,"   Vorstand",IF(J1341=K1341+2,"   Gäste",IF(J1341=K1341+3,"   Technik (Switches, Access Points)",""))))))</f>
        <v/>
      </c>
      <c r="B1341" s="0" t="str">
        <f aca="false">IF(I1341="","",IF(AND(J1341&gt;=1,J1341&lt;=K1341+3),IF(J1341&lt;=K1341,IF(J1341&lt;=99,IF((INDEX(Eingabe!$G$9:$G$18,I1341))&lt;=9,1000+(INDEX(Eingabe!$G$9:$G$18,I1341))*100,3000)+J1341,IF((INDEX(Eingabe!$G$9:$G$18,I1341)+1)&lt;=9,1000+(INDEX(Eingabe!$G$9:$G$18,I1341)+1)*100,3000)+J1341-100),IF(J1341=K1341+1,2000+INDEX(Eingabe!$G$9:$G$18,I1341)*10+1,IF(J1341=K1341+2,2000+INDEX(Eingabe!$G$9:$G$18,I1341)*10+2,2000+INDEX(Eingabe!$G$9:$G$18,I1341)*10+9))),""))</f>
        <v/>
      </c>
      <c r="C1341" s="0" t="str">
        <f aca="false">IF(I1341="","",IF(AND(J1341&gt;=1,J1341&lt;=K1341+3),"10."&amp;INDEX(Eingabe!$D$9:$D$18,I1341)&amp;"."&amp;IF(J1341&lt;=K1341,J1341,IF(J1341=K1341+1,200,IF(J1341=K1341+2,201,250)))&amp;".0/24",""))</f>
        <v/>
      </c>
      <c r="D1341" s="0" t="str">
        <f aca="false">IF(I1341="","",IF(AND(J1341&gt;=1,J1341&lt;=K1341+3),"255.255.255.0",""))</f>
        <v/>
      </c>
      <c r="E1341" s="0" t="str">
        <f aca="false">IF(I1341="","",IF(AND(J1341&gt;=1,J1341&lt;=K1341+3),"10."&amp;INDEX(Eingabe!$D$9:$D$18,I1341)&amp;"."&amp;IF(J1341&lt;=K1341,J1341,IF(J1341=K1341+1,200,IF(J1341=K1341+2,201,250)))&amp;".1",""))</f>
        <v/>
      </c>
      <c r="F1341" s="0" t="str">
        <f aca="false">IF(I1341="","",IF(AND(J1341&gt;=1,J1341&lt;=K1341+3),"10."&amp;INDEX(Eingabe!$D$9:$D$18,I1341)&amp;"."&amp;IF(J1341&lt;=K1341,J1341,IF(J1341=K1341+1,200,IF(J1341=K1341+2,201,250)))&amp;".10 – 10."&amp;INDEX(Eingabe!$D$9:$D$18,I1341)&amp;"."&amp;IF(J1341&lt;=K1341,J1341,IF(J1341=K1341+1,200,IF(J1341=K1341+2,201,250)))&amp;".250",""))</f>
        <v/>
      </c>
      <c r="G1341" s="0" t="str">
        <f aca="false">IF(I1341="","",IF(AND(J1341&gt;=1,J1341&lt;=K1341),Eingabe!$B$6&amp;"-"&amp;INDEX(Eingabe!$C$9:$C$18,I1341)&amp;"-Pächter  ·  Passwort Parzelle "&amp;J1341,IF(J1341=K1341+1,Eingabe!$B$6&amp;"-"&amp;INDEX(Eingabe!$C$9:$C$18,I1341)&amp;"-Vorstand  ·  eigenes WLAN",IF(J1341=K1341+2,Eingabe!$B$6&amp;"-"&amp;INDEX(Eingabe!$C$9:$C$18,I1341)&amp;"-Gäste  ·  Voucher",IF(J1341=K1341+3,"Kabel  ·  Access Point y = .(50+y), Mast-Switch x = .(10+x)","")))))</f>
        <v/>
      </c>
      <c r="I1341" s="0" t="str">
        <f aca="false">IF(1336&lt;=(Eingabe!$P$18+Eingabe!$Q$18-1),MATCH(1336,Eingabe!$P$9:$P$18,1),"")</f>
        <v/>
      </c>
      <c r="J1341" s="0" t="str">
        <f aca="false">IF(I1341="","",1336-INDEX(Eingabe!$P$9:$P$18,I1341))</f>
        <v/>
      </c>
      <c r="K1341" s="0" t="str">
        <f aca="false">IF(I1341="","",INDEX(Eingabe!$E$9:$E$18,I1341))</f>
        <v/>
      </c>
    </row>
    <row r="1342" customFormat="false" ht="15" hidden="false" customHeight="false" outlineLevel="0" collapsed="false">
      <c r="A1342" s="0" t="str">
        <f aca="false">IF(I1342="","",IF(J1342=0,"Sparte "&amp;I1342&amp;": "&amp;INDEX(Eingabe!$B$9:$B$18,I1342)&amp;"  (Sparten-ID "&amp;INDEX(Eingabe!$D$9:$D$18,I1342)&amp;", "&amp;K1342&amp;" Parzellen)",IF(J1342&lt;=K1342,"   Parzelle "&amp;J1342,IF(J1342=K1342+1,"   Vorstand",IF(J1342=K1342+2,"   Gäste",IF(J1342=K1342+3,"   Technik (Switches, Access Points)",""))))))</f>
        <v/>
      </c>
      <c r="B1342" s="0" t="str">
        <f aca="false">IF(I1342="","",IF(AND(J1342&gt;=1,J1342&lt;=K1342+3),IF(J1342&lt;=K1342,IF(J1342&lt;=99,IF((INDEX(Eingabe!$G$9:$G$18,I1342))&lt;=9,1000+(INDEX(Eingabe!$G$9:$G$18,I1342))*100,3000)+J1342,IF((INDEX(Eingabe!$G$9:$G$18,I1342)+1)&lt;=9,1000+(INDEX(Eingabe!$G$9:$G$18,I1342)+1)*100,3000)+J1342-100),IF(J1342=K1342+1,2000+INDEX(Eingabe!$G$9:$G$18,I1342)*10+1,IF(J1342=K1342+2,2000+INDEX(Eingabe!$G$9:$G$18,I1342)*10+2,2000+INDEX(Eingabe!$G$9:$G$18,I1342)*10+9))),""))</f>
        <v/>
      </c>
      <c r="C1342" s="0" t="str">
        <f aca="false">IF(I1342="","",IF(AND(J1342&gt;=1,J1342&lt;=K1342+3),"10."&amp;INDEX(Eingabe!$D$9:$D$18,I1342)&amp;"."&amp;IF(J1342&lt;=K1342,J1342,IF(J1342=K1342+1,200,IF(J1342=K1342+2,201,250)))&amp;".0/24",""))</f>
        <v/>
      </c>
      <c r="D1342" s="0" t="str">
        <f aca="false">IF(I1342="","",IF(AND(J1342&gt;=1,J1342&lt;=K1342+3),"255.255.255.0",""))</f>
        <v/>
      </c>
      <c r="E1342" s="0" t="str">
        <f aca="false">IF(I1342="","",IF(AND(J1342&gt;=1,J1342&lt;=K1342+3),"10."&amp;INDEX(Eingabe!$D$9:$D$18,I1342)&amp;"."&amp;IF(J1342&lt;=K1342,J1342,IF(J1342=K1342+1,200,IF(J1342=K1342+2,201,250)))&amp;".1",""))</f>
        <v/>
      </c>
      <c r="F1342" s="0" t="str">
        <f aca="false">IF(I1342="","",IF(AND(J1342&gt;=1,J1342&lt;=K1342+3),"10."&amp;INDEX(Eingabe!$D$9:$D$18,I1342)&amp;"."&amp;IF(J1342&lt;=K1342,J1342,IF(J1342=K1342+1,200,IF(J1342=K1342+2,201,250)))&amp;".10 – 10."&amp;INDEX(Eingabe!$D$9:$D$18,I1342)&amp;"."&amp;IF(J1342&lt;=K1342,J1342,IF(J1342=K1342+1,200,IF(J1342=K1342+2,201,250)))&amp;".250",""))</f>
        <v/>
      </c>
      <c r="G1342" s="0" t="str">
        <f aca="false">IF(I1342="","",IF(AND(J1342&gt;=1,J1342&lt;=K1342),Eingabe!$B$6&amp;"-"&amp;INDEX(Eingabe!$C$9:$C$18,I1342)&amp;"-Pächter  ·  Passwort Parzelle "&amp;J1342,IF(J1342=K1342+1,Eingabe!$B$6&amp;"-"&amp;INDEX(Eingabe!$C$9:$C$18,I1342)&amp;"-Vorstand  ·  eigenes WLAN",IF(J1342=K1342+2,Eingabe!$B$6&amp;"-"&amp;INDEX(Eingabe!$C$9:$C$18,I1342)&amp;"-Gäste  ·  Voucher",IF(J1342=K1342+3,"Kabel  ·  Access Point y = .(50+y), Mast-Switch x = .(10+x)","")))))</f>
        <v/>
      </c>
      <c r="I1342" s="0" t="str">
        <f aca="false">IF(1337&lt;=(Eingabe!$P$18+Eingabe!$Q$18-1),MATCH(1337,Eingabe!$P$9:$P$18,1),"")</f>
        <v/>
      </c>
      <c r="J1342" s="0" t="str">
        <f aca="false">IF(I1342="","",1337-INDEX(Eingabe!$P$9:$P$18,I1342))</f>
        <v/>
      </c>
      <c r="K1342" s="0" t="str">
        <f aca="false">IF(I1342="","",INDEX(Eingabe!$E$9:$E$18,I1342))</f>
        <v/>
      </c>
    </row>
    <row r="1343" customFormat="false" ht="15" hidden="false" customHeight="false" outlineLevel="0" collapsed="false">
      <c r="A1343" s="0" t="str">
        <f aca="false">IF(I1343="","",IF(J1343=0,"Sparte "&amp;I1343&amp;": "&amp;INDEX(Eingabe!$B$9:$B$18,I1343)&amp;"  (Sparten-ID "&amp;INDEX(Eingabe!$D$9:$D$18,I1343)&amp;", "&amp;K1343&amp;" Parzellen)",IF(J1343&lt;=K1343,"   Parzelle "&amp;J1343,IF(J1343=K1343+1,"   Vorstand",IF(J1343=K1343+2,"   Gäste",IF(J1343=K1343+3,"   Technik (Switches, Access Points)",""))))))</f>
        <v/>
      </c>
      <c r="B1343" s="0" t="str">
        <f aca="false">IF(I1343="","",IF(AND(J1343&gt;=1,J1343&lt;=K1343+3),IF(J1343&lt;=K1343,IF(J1343&lt;=99,IF((INDEX(Eingabe!$G$9:$G$18,I1343))&lt;=9,1000+(INDEX(Eingabe!$G$9:$G$18,I1343))*100,3000)+J1343,IF((INDEX(Eingabe!$G$9:$G$18,I1343)+1)&lt;=9,1000+(INDEX(Eingabe!$G$9:$G$18,I1343)+1)*100,3000)+J1343-100),IF(J1343=K1343+1,2000+INDEX(Eingabe!$G$9:$G$18,I1343)*10+1,IF(J1343=K1343+2,2000+INDEX(Eingabe!$G$9:$G$18,I1343)*10+2,2000+INDEX(Eingabe!$G$9:$G$18,I1343)*10+9))),""))</f>
        <v/>
      </c>
      <c r="C1343" s="0" t="str">
        <f aca="false">IF(I1343="","",IF(AND(J1343&gt;=1,J1343&lt;=K1343+3),"10."&amp;INDEX(Eingabe!$D$9:$D$18,I1343)&amp;"."&amp;IF(J1343&lt;=K1343,J1343,IF(J1343=K1343+1,200,IF(J1343=K1343+2,201,250)))&amp;".0/24",""))</f>
        <v/>
      </c>
      <c r="D1343" s="0" t="str">
        <f aca="false">IF(I1343="","",IF(AND(J1343&gt;=1,J1343&lt;=K1343+3),"255.255.255.0",""))</f>
        <v/>
      </c>
      <c r="E1343" s="0" t="str">
        <f aca="false">IF(I1343="","",IF(AND(J1343&gt;=1,J1343&lt;=K1343+3),"10."&amp;INDEX(Eingabe!$D$9:$D$18,I1343)&amp;"."&amp;IF(J1343&lt;=K1343,J1343,IF(J1343=K1343+1,200,IF(J1343=K1343+2,201,250)))&amp;".1",""))</f>
        <v/>
      </c>
      <c r="F1343" s="0" t="str">
        <f aca="false">IF(I1343="","",IF(AND(J1343&gt;=1,J1343&lt;=K1343+3),"10."&amp;INDEX(Eingabe!$D$9:$D$18,I1343)&amp;"."&amp;IF(J1343&lt;=K1343,J1343,IF(J1343=K1343+1,200,IF(J1343=K1343+2,201,250)))&amp;".10 – 10."&amp;INDEX(Eingabe!$D$9:$D$18,I1343)&amp;"."&amp;IF(J1343&lt;=K1343,J1343,IF(J1343=K1343+1,200,IF(J1343=K1343+2,201,250)))&amp;".250",""))</f>
        <v/>
      </c>
      <c r="G1343" s="0" t="str">
        <f aca="false">IF(I1343="","",IF(AND(J1343&gt;=1,J1343&lt;=K1343),Eingabe!$B$6&amp;"-"&amp;INDEX(Eingabe!$C$9:$C$18,I1343)&amp;"-Pächter  ·  Passwort Parzelle "&amp;J1343,IF(J1343=K1343+1,Eingabe!$B$6&amp;"-"&amp;INDEX(Eingabe!$C$9:$C$18,I1343)&amp;"-Vorstand  ·  eigenes WLAN",IF(J1343=K1343+2,Eingabe!$B$6&amp;"-"&amp;INDEX(Eingabe!$C$9:$C$18,I1343)&amp;"-Gäste  ·  Voucher",IF(J1343=K1343+3,"Kabel  ·  Access Point y = .(50+y), Mast-Switch x = .(10+x)","")))))</f>
        <v/>
      </c>
      <c r="I1343" s="0" t="str">
        <f aca="false">IF(1338&lt;=(Eingabe!$P$18+Eingabe!$Q$18-1),MATCH(1338,Eingabe!$P$9:$P$18,1),"")</f>
        <v/>
      </c>
      <c r="J1343" s="0" t="str">
        <f aca="false">IF(I1343="","",1338-INDEX(Eingabe!$P$9:$P$18,I1343))</f>
        <v/>
      </c>
      <c r="K1343" s="0" t="str">
        <f aca="false">IF(I1343="","",INDEX(Eingabe!$E$9:$E$18,I1343))</f>
        <v/>
      </c>
    </row>
    <row r="1344" customFormat="false" ht="15" hidden="false" customHeight="false" outlineLevel="0" collapsed="false">
      <c r="A1344" s="0" t="str">
        <f aca="false">IF(I1344="","",IF(J1344=0,"Sparte "&amp;I1344&amp;": "&amp;INDEX(Eingabe!$B$9:$B$18,I1344)&amp;"  (Sparten-ID "&amp;INDEX(Eingabe!$D$9:$D$18,I1344)&amp;", "&amp;K1344&amp;" Parzellen)",IF(J1344&lt;=K1344,"   Parzelle "&amp;J1344,IF(J1344=K1344+1,"   Vorstand",IF(J1344=K1344+2,"   Gäste",IF(J1344=K1344+3,"   Technik (Switches, Access Points)",""))))))</f>
        <v/>
      </c>
      <c r="B1344" s="0" t="str">
        <f aca="false">IF(I1344="","",IF(AND(J1344&gt;=1,J1344&lt;=K1344+3),IF(J1344&lt;=K1344,IF(J1344&lt;=99,IF((INDEX(Eingabe!$G$9:$G$18,I1344))&lt;=9,1000+(INDEX(Eingabe!$G$9:$G$18,I1344))*100,3000)+J1344,IF((INDEX(Eingabe!$G$9:$G$18,I1344)+1)&lt;=9,1000+(INDEX(Eingabe!$G$9:$G$18,I1344)+1)*100,3000)+J1344-100),IF(J1344=K1344+1,2000+INDEX(Eingabe!$G$9:$G$18,I1344)*10+1,IF(J1344=K1344+2,2000+INDEX(Eingabe!$G$9:$G$18,I1344)*10+2,2000+INDEX(Eingabe!$G$9:$G$18,I1344)*10+9))),""))</f>
        <v/>
      </c>
      <c r="C1344" s="0" t="str">
        <f aca="false">IF(I1344="","",IF(AND(J1344&gt;=1,J1344&lt;=K1344+3),"10."&amp;INDEX(Eingabe!$D$9:$D$18,I1344)&amp;"."&amp;IF(J1344&lt;=K1344,J1344,IF(J1344=K1344+1,200,IF(J1344=K1344+2,201,250)))&amp;".0/24",""))</f>
        <v/>
      </c>
      <c r="D1344" s="0" t="str">
        <f aca="false">IF(I1344="","",IF(AND(J1344&gt;=1,J1344&lt;=K1344+3),"255.255.255.0",""))</f>
        <v/>
      </c>
      <c r="E1344" s="0" t="str">
        <f aca="false">IF(I1344="","",IF(AND(J1344&gt;=1,J1344&lt;=K1344+3),"10."&amp;INDEX(Eingabe!$D$9:$D$18,I1344)&amp;"."&amp;IF(J1344&lt;=K1344,J1344,IF(J1344=K1344+1,200,IF(J1344=K1344+2,201,250)))&amp;".1",""))</f>
        <v/>
      </c>
      <c r="F1344" s="0" t="str">
        <f aca="false">IF(I1344="","",IF(AND(J1344&gt;=1,J1344&lt;=K1344+3),"10."&amp;INDEX(Eingabe!$D$9:$D$18,I1344)&amp;"."&amp;IF(J1344&lt;=K1344,J1344,IF(J1344=K1344+1,200,IF(J1344=K1344+2,201,250)))&amp;".10 – 10."&amp;INDEX(Eingabe!$D$9:$D$18,I1344)&amp;"."&amp;IF(J1344&lt;=K1344,J1344,IF(J1344=K1344+1,200,IF(J1344=K1344+2,201,250)))&amp;".250",""))</f>
        <v/>
      </c>
      <c r="G1344" s="0" t="str">
        <f aca="false">IF(I1344="","",IF(AND(J1344&gt;=1,J1344&lt;=K1344),Eingabe!$B$6&amp;"-"&amp;INDEX(Eingabe!$C$9:$C$18,I1344)&amp;"-Pächter  ·  Passwort Parzelle "&amp;J1344,IF(J1344=K1344+1,Eingabe!$B$6&amp;"-"&amp;INDEX(Eingabe!$C$9:$C$18,I1344)&amp;"-Vorstand  ·  eigenes WLAN",IF(J1344=K1344+2,Eingabe!$B$6&amp;"-"&amp;INDEX(Eingabe!$C$9:$C$18,I1344)&amp;"-Gäste  ·  Voucher",IF(J1344=K1344+3,"Kabel  ·  Access Point y = .(50+y), Mast-Switch x = .(10+x)","")))))</f>
        <v/>
      </c>
      <c r="I1344" s="0" t="str">
        <f aca="false">IF(1339&lt;=(Eingabe!$P$18+Eingabe!$Q$18-1),MATCH(1339,Eingabe!$P$9:$P$18,1),"")</f>
        <v/>
      </c>
      <c r="J1344" s="0" t="str">
        <f aca="false">IF(I1344="","",1339-INDEX(Eingabe!$P$9:$P$18,I1344))</f>
        <v/>
      </c>
      <c r="K1344" s="0" t="str">
        <f aca="false">IF(I1344="","",INDEX(Eingabe!$E$9:$E$18,I1344))</f>
        <v/>
      </c>
    </row>
    <row r="1345" customFormat="false" ht="15" hidden="false" customHeight="false" outlineLevel="0" collapsed="false">
      <c r="A1345" s="0" t="str">
        <f aca="false">IF(I1345="","",IF(J1345=0,"Sparte "&amp;I1345&amp;": "&amp;INDEX(Eingabe!$B$9:$B$18,I1345)&amp;"  (Sparten-ID "&amp;INDEX(Eingabe!$D$9:$D$18,I1345)&amp;", "&amp;K1345&amp;" Parzellen)",IF(J1345&lt;=K1345,"   Parzelle "&amp;J1345,IF(J1345=K1345+1,"   Vorstand",IF(J1345=K1345+2,"   Gäste",IF(J1345=K1345+3,"   Technik (Switches, Access Points)",""))))))</f>
        <v/>
      </c>
      <c r="B1345" s="0" t="str">
        <f aca="false">IF(I1345="","",IF(AND(J1345&gt;=1,J1345&lt;=K1345+3),IF(J1345&lt;=K1345,IF(J1345&lt;=99,IF((INDEX(Eingabe!$G$9:$G$18,I1345))&lt;=9,1000+(INDEX(Eingabe!$G$9:$G$18,I1345))*100,3000)+J1345,IF((INDEX(Eingabe!$G$9:$G$18,I1345)+1)&lt;=9,1000+(INDEX(Eingabe!$G$9:$G$18,I1345)+1)*100,3000)+J1345-100),IF(J1345=K1345+1,2000+INDEX(Eingabe!$G$9:$G$18,I1345)*10+1,IF(J1345=K1345+2,2000+INDEX(Eingabe!$G$9:$G$18,I1345)*10+2,2000+INDEX(Eingabe!$G$9:$G$18,I1345)*10+9))),""))</f>
        <v/>
      </c>
      <c r="C1345" s="0" t="str">
        <f aca="false">IF(I1345="","",IF(AND(J1345&gt;=1,J1345&lt;=K1345+3),"10."&amp;INDEX(Eingabe!$D$9:$D$18,I1345)&amp;"."&amp;IF(J1345&lt;=K1345,J1345,IF(J1345=K1345+1,200,IF(J1345=K1345+2,201,250)))&amp;".0/24",""))</f>
        <v/>
      </c>
      <c r="D1345" s="0" t="str">
        <f aca="false">IF(I1345="","",IF(AND(J1345&gt;=1,J1345&lt;=K1345+3),"255.255.255.0",""))</f>
        <v/>
      </c>
      <c r="E1345" s="0" t="str">
        <f aca="false">IF(I1345="","",IF(AND(J1345&gt;=1,J1345&lt;=K1345+3),"10."&amp;INDEX(Eingabe!$D$9:$D$18,I1345)&amp;"."&amp;IF(J1345&lt;=K1345,J1345,IF(J1345=K1345+1,200,IF(J1345=K1345+2,201,250)))&amp;".1",""))</f>
        <v/>
      </c>
      <c r="F1345" s="0" t="str">
        <f aca="false">IF(I1345="","",IF(AND(J1345&gt;=1,J1345&lt;=K1345+3),"10."&amp;INDEX(Eingabe!$D$9:$D$18,I1345)&amp;"."&amp;IF(J1345&lt;=K1345,J1345,IF(J1345=K1345+1,200,IF(J1345=K1345+2,201,250)))&amp;".10 – 10."&amp;INDEX(Eingabe!$D$9:$D$18,I1345)&amp;"."&amp;IF(J1345&lt;=K1345,J1345,IF(J1345=K1345+1,200,IF(J1345=K1345+2,201,250)))&amp;".250",""))</f>
        <v/>
      </c>
      <c r="G1345" s="0" t="str">
        <f aca="false">IF(I1345="","",IF(AND(J1345&gt;=1,J1345&lt;=K1345),Eingabe!$B$6&amp;"-"&amp;INDEX(Eingabe!$C$9:$C$18,I1345)&amp;"-Pächter  ·  Passwort Parzelle "&amp;J1345,IF(J1345=K1345+1,Eingabe!$B$6&amp;"-"&amp;INDEX(Eingabe!$C$9:$C$18,I1345)&amp;"-Vorstand  ·  eigenes WLAN",IF(J1345=K1345+2,Eingabe!$B$6&amp;"-"&amp;INDEX(Eingabe!$C$9:$C$18,I1345)&amp;"-Gäste  ·  Voucher",IF(J1345=K1345+3,"Kabel  ·  Access Point y = .(50+y), Mast-Switch x = .(10+x)","")))))</f>
        <v/>
      </c>
      <c r="I1345" s="0" t="str">
        <f aca="false">IF(1340&lt;=(Eingabe!$P$18+Eingabe!$Q$18-1),MATCH(1340,Eingabe!$P$9:$P$18,1),"")</f>
        <v/>
      </c>
      <c r="J1345" s="0" t="str">
        <f aca="false">IF(I1345="","",1340-INDEX(Eingabe!$P$9:$P$18,I1345))</f>
        <v/>
      </c>
      <c r="K1345" s="0" t="str">
        <f aca="false">IF(I1345="","",INDEX(Eingabe!$E$9:$E$18,I1345))</f>
        <v/>
      </c>
    </row>
    <row r="1346" customFormat="false" ht="15" hidden="false" customHeight="false" outlineLevel="0" collapsed="false">
      <c r="A1346" s="0" t="str">
        <f aca="false">IF(I1346="","",IF(J1346=0,"Sparte "&amp;I1346&amp;": "&amp;INDEX(Eingabe!$B$9:$B$18,I1346)&amp;"  (Sparten-ID "&amp;INDEX(Eingabe!$D$9:$D$18,I1346)&amp;", "&amp;K1346&amp;" Parzellen)",IF(J1346&lt;=K1346,"   Parzelle "&amp;J1346,IF(J1346=K1346+1,"   Vorstand",IF(J1346=K1346+2,"   Gäste",IF(J1346=K1346+3,"   Technik (Switches, Access Points)",""))))))</f>
        <v/>
      </c>
      <c r="B1346" s="0" t="str">
        <f aca="false">IF(I1346="","",IF(AND(J1346&gt;=1,J1346&lt;=K1346+3),IF(J1346&lt;=K1346,IF(J1346&lt;=99,IF((INDEX(Eingabe!$G$9:$G$18,I1346))&lt;=9,1000+(INDEX(Eingabe!$G$9:$G$18,I1346))*100,3000)+J1346,IF((INDEX(Eingabe!$G$9:$G$18,I1346)+1)&lt;=9,1000+(INDEX(Eingabe!$G$9:$G$18,I1346)+1)*100,3000)+J1346-100),IF(J1346=K1346+1,2000+INDEX(Eingabe!$G$9:$G$18,I1346)*10+1,IF(J1346=K1346+2,2000+INDEX(Eingabe!$G$9:$G$18,I1346)*10+2,2000+INDEX(Eingabe!$G$9:$G$18,I1346)*10+9))),""))</f>
        <v/>
      </c>
      <c r="C1346" s="0" t="str">
        <f aca="false">IF(I1346="","",IF(AND(J1346&gt;=1,J1346&lt;=K1346+3),"10."&amp;INDEX(Eingabe!$D$9:$D$18,I1346)&amp;"."&amp;IF(J1346&lt;=K1346,J1346,IF(J1346=K1346+1,200,IF(J1346=K1346+2,201,250)))&amp;".0/24",""))</f>
        <v/>
      </c>
      <c r="D1346" s="0" t="str">
        <f aca="false">IF(I1346="","",IF(AND(J1346&gt;=1,J1346&lt;=K1346+3),"255.255.255.0",""))</f>
        <v/>
      </c>
      <c r="E1346" s="0" t="str">
        <f aca="false">IF(I1346="","",IF(AND(J1346&gt;=1,J1346&lt;=K1346+3),"10."&amp;INDEX(Eingabe!$D$9:$D$18,I1346)&amp;"."&amp;IF(J1346&lt;=K1346,J1346,IF(J1346=K1346+1,200,IF(J1346=K1346+2,201,250)))&amp;".1",""))</f>
        <v/>
      </c>
      <c r="F1346" s="0" t="str">
        <f aca="false">IF(I1346="","",IF(AND(J1346&gt;=1,J1346&lt;=K1346+3),"10."&amp;INDEX(Eingabe!$D$9:$D$18,I1346)&amp;"."&amp;IF(J1346&lt;=K1346,J1346,IF(J1346=K1346+1,200,IF(J1346=K1346+2,201,250)))&amp;".10 – 10."&amp;INDEX(Eingabe!$D$9:$D$18,I1346)&amp;"."&amp;IF(J1346&lt;=K1346,J1346,IF(J1346=K1346+1,200,IF(J1346=K1346+2,201,250)))&amp;".250",""))</f>
        <v/>
      </c>
      <c r="G1346" s="0" t="str">
        <f aca="false">IF(I1346="","",IF(AND(J1346&gt;=1,J1346&lt;=K1346),Eingabe!$B$6&amp;"-"&amp;INDEX(Eingabe!$C$9:$C$18,I1346)&amp;"-Pächter  ·  Passwort Parzelle "&amp;J1346,IF(J1346=K1346+1,Eingabe!$B$6&amp;"-"&amp;INDEX(Eingabe!$C$9:$C$18,I1346)&amp;"-Vorstand  ·  eigenes WLAN",IF(J1346=K1346+2,Eingabe!$B$6&amp;"-"&amp;INDEX(Eingabe!$C$9:$C$18,I1346)&amp;"-Gäste  ·  Voucher",IF(J1346=K1346+3,"Kabel  ·  Access Point y = .(50+y), Mast-Switch x = .(10+x)","")))))</f>
        <v/>
      </c>
      <c r="I1346" s="0" t="str">
        <f aca="false">IF(1341&lt;=(Eingabe!$P$18+Eingabe!$Q$18-1),MATCH(1341,Eingabe!$P$9:$P$18,1),"")</f>
        <v/>
      </c>
      <c r="J1346" s="0" t="str">
        <f aca="false">IF(I1346="","",1341-INDEX(Eingabe!$P$9:$P$18,I1346))</f>
        <v/>
      </c>
      <c r="K1346" s="0" t="str">
        <f aca="false">IF(I1346="","",INDEX(Eingabe!$E$9:$E$18,I1346))</f>
        <v/>
      </c>
    </row>
    <row r="1347" customFormat="false" ht="15" hidden="false" customHeight="false" outlineLevel="0" collapsed="false">
      <c r="A1347" s="0" t="str">
        <f aca="false">IF(I1347="","",IF(J1347=0,"Sparte "&amp;I1347&amp;": "&amp;INDEX(Eingabe!$B$9:$B$18,I1347)&amp;"  (Sparten-ID "&amp;INDEX(Eingabe!$D$9:$D$18,I1347)&amp;", "&amp;K1347&amp;" Parzellen)",IF(J1347&lt;=K1347,"   Parzelle "&amp;J1347,IF(J1347=K1347+1,"   Vorstand",IF(J1347=K1347+2,"   Gäste",IF(J1347=K1347+3,"   Technik (Switches, Access Points)",""))))))</f>
        <v/>
      </c>
      <c r="B1347" s="0" t="str">
        <f aca="false">IF(I1347="","",IF(AND(J1347&gt;=1,J1347&lt;=K1347+3),IF(J1347&lt;=K1347,IF(J1347&lt;=99,IF((INDEX(Eingabe!$G$9:$G$18,I1347))&lt;=9,1000+(INDEX(Eingabe!$G$9:$G$18,I1347))*100,3000)+J1347,IF((INDEX(Eingabe!$G$9:$G$18,I1347)+1)&lt;=9,1000+(INDEX(Eingabe!$G$9:$G$18,I1347)+1)*100,3000)+J1347-100),IF(J1347=K1347+1,2000+INDEX(Eingabe!$G$9:$G$18,I1347)*10+1,IF(J1347=K1347+2,2000+INDEX(Eingabe!$G$9:$G$18,I1347)*10+2,2000+INDEX(Eingabe!$G$9:$G$18,I1347)*10+9))),""))</f>
        <v/>
      </c>
      <c r="C1347" s="0" t="str">
        <f aca="false">IF(I1347="","",IF(AND(J1347&gt;=1,J1347&lt;=K1347+3),"10."&amp;INDEX(Eingabe!$D$9:$D$18,I1347)&amp;"."&amp;IF(J1347&lt;=K1347,J1347,IF(J1347=K1347+1,200,IF(J1347=K1347+2,201,250)))&amp;".0/24",""))</f>
        <v/>
      </c>
      <c r="D1347" s="0" t="str">
        <f aca="false">IF(I1347="","",IF(AND(J1347&gt;=1,J1347&lt;=K1347+3),"255.255.255.0",""))</f>
        <v/>
      </c>
      <c r="E1347" s="0" t="str">
        <f aca="false">IF(I1347="","",IF(AND(J1347&gt;=1,J1347&lt;=K1347+3),"10."&amp;INDEX(Eingabe!$D$9:$D$18,I1347)&amp;"."&amp;IF(J1347&lt;=K1347,J1347,IF(J1347=K1347+1,200,IF(J1347=K1347+2,201,250)))&amp;".1",""))</f>
        <v/>
      </c>
      <c r="F1347" s="0" t="str">
        <f aca="false">IF(I1347="","",IF(AND(J1347&gt;=1,J1347&lt;=K1347+3),"10."&amp;INDEX(Eingabe!$D$9:$D$18,I1347)&amp;"."&amp;IF(J1347&lt;=K1347,J1347,IF(J1347=K1347+1,200,IF(J1347=K1347+2,201,250)))&amp;".10 – 10."&amp;INDEX(Eingabe!$D$9:$D$18,I1347)&amp;"."&amp;IF(J1347&lt;=K1347,J1347,IF(J1347=K1347+1,200,IF(J1347=K1347+2,201,250)))&amp;".250",""))</f>
        <v/>
      </c>
      <c r="G1347" s="0" t="str">
        <f aca="false">IF(I1347="","",IF(AND(J1347&gt;=1,J1347&lt;=K1347),Eingabe!$B$6&amp;"-"&amp;INDEX(Eingabe!$C$9:$C$18,I1347)&amp;"-Pächter  ·  Passwort Parzelle "&amp;J1347,IF(J1347=K1347+1,Eingabe!$B$6&amp;"-"&amp;INDEX(Eingabe!$C$9:$C$18,I1347)&amp;"-Vorstand  ·  eigenes WLAN",IF(J1347=K1347+2,Eingabe!$B$6&amp;"-"&amp;INDEX(Eingabe!$C$9:$C$18,I1347)&amp;"-Gäste  ·  Voucher",IF(J1347=K1347+3,"Kabel  ·  Access Point y = .(50+y), Mast-Switch x = .(10+x)","")))))</f>
        <v/>
      </c>
      <c r="I1347" s="0" t="str">
        <f aca="false">IF(1342&lt;=(Eingabe!$P$18+Eingabe!$Q$18-1),MATCH(1342,Eingabe!$P$9:$P$18,1),"")</f>
        <v/>
      </c>
      <c r="J1347" s="0" t="str">
        <f aca="false">IF(I1347="","",1342-INDEX(Eingabe!$P$9:$P$18,I1347))</f>
        <v/>
      </c>
      <c r="K1347" s="0" t="str">
        <f aca="false">IF(I1347="","",INDEX(Eingabe!$E$9:$E$18,I1347))</f>
        <v/>
      </c>
    </row>
    <row r="1348" customFormat="false" ht="15" hidden="false" customHeight="false" outlineLevel="0" collapsed="false">
      <c r="A1348" s="0" t="str">
        <f aca="false">IF(I1348="","",IF(J1348=0,"Sparte "&amp;I1348&amp;": "&amp;INDEX(Eingabe!$B$9:$B$18,I1348)&amp;"  (Sparten-ID "&amp;INDEX(Eingabe!$D$9:$D$18,I1348)&amp;", "&amp;K1348&amp;" Parzellen)",IF(J1348&lt;=K1348,"   Parzelle "&amp;J1348,IF(J1348=K1348+1,"   Vorstand",IF(J1348=K1348+2,"   Gäste",IF(J1348=K1348+3,"   Technik (Switches, Access Points)",""))))))</f>
        <v/>
      </c>
      <c r="B1348" s="0" t="str">
        <f aca="false">IF(I1348="","",IF(AND(J1348&gt;=1,J1348&lt;=K1348+3),IF(J1348&lt;=K1348,IF(J1348&lt;=99,IF((INDEX(Eingabe!$G$9:$G$18,I1348))&lt;=9,1000+(INDEX(Eingabe!$G$9:$G$18,I1348))*100,3000)+J1348,IF((INDEX(Eingabe!$G$9:$G$18,I1348)+1)&lt;=9,1000+(INDEX(Eingabe!$G$9:$G$18,I1348)+1)*100,3000)+J1348-100),IF(J1348=K1348+1,2000+INDEX(Eingabe!$G$9:$G$18,I1348)*10+1,IF(J1348=K1348+2,2000+INDEX(Eingabe!$G$9:$G$18,I1348)*10+2,2000+INDEX(Eingabe!$G$9:$G$18,I1348)*10+9))),""))</f>
        <v/>
      </c>
      <c r="C1348" s="0" t="str">
        <f aca="false">IF(I1348="","",IF(AND(J1348&gt;=1,J1348&lt;=K1348+3),"10."&amp;INDEX(Eingabe!$D$9:$D$18,I1348)&amp;"."&amp;IF(J1348&lt;=K1348,J1348,IF(J1348=K1348+1,200,IF(J1348=K1348+2,201,250)))&amp;".0/24",""))</f>
        <v/>
      </c>
      <c r="D1348" s="0" t="str">
        <f aca="false">IF(I1348="","",IF(AND(J1348&gt;=1,J1348&lt;=K1348+3),"255.255.255.0",""))</f>
        <v/>
      </c>
      <c r="E1348" s="0" t="str">
        <f aca="false">IF(I1348="","",IF(AND(J1348&gt;=1,J1348&lt;=K1348+3),"10."&amp;INDEX(Eingabe!$D$9:$D$18,I1348)&amp;"."&amp;IF(J1348&lt;=K1348,J1348,IF(J1348=K1348+1,200,IF(J1348=K1348+2,201,250)))&amp;".1",""))</f>
        <v/>
      </c>
      <c r="F1348" s="0" t="str">
        <f aca="false">IF(I1348="","",IF(AND(J1348&gt;=1,J1348&lt;=K1348+3),"10."&amp;INDEX(Eingabe!$D$9:$D$18,I1348)&amp;"."&amp;IF(J1348&lt;=K1348,J1348,IF(J1348=K1348+1,200,IF(J1348=K1348+2,201,250)))&amp;".10 – 10."&amp;INDEX(Eingabe!$D$9:$D$18,I1348)&amp;"."&amp;IF(J1348&lt;=K1348,J1348,IF(J1348=K1348+1,200,IF(J1348=K1348+2,201,250)))&amp;".250",""))</f>
        <v/>
      </c>
      <c r="G1348" s="0" t="str">
        <f aca="false">IF(I1348="","",IF(AND(J1348&gt;=1,J1348&lt;=K1348),Eingabe!$B$6&amp;"-"&amp;INDEX(Eingabe!$C$9:$C$18,I1348)&amp;"-Pächter  ·  Passwort Parzelle "&amp;J1348,IF(J1348=K1348+1,Eingabe!$B$6&amp;"-"&amp;INDEX(Eingabe!$C$9:$C$18,I1348)&amp;"-Vorstand  ·  eigenes WLAN",IF(J1348=K1348+2,Eingabe!$B$6&amp;"-"&amp;INDEX(Eingabe!$C$9:$C$18,I1348)&amp;"-Gäste  ·  Voucher",IF(J1348=K1348+3,"Kabel  ·  Access Point y = .(50+y), Mast-Switch x = .(10+x)","")))))</f>
        <v/>
      </c>
      <c r="I1348" s="0" t="str">
        <f aca="false">IF(1343&lt;=(Eingabe!$P$18+Eingabe!$Q$18-1),MATCH(1343,Eingabe!$P$9:$P$18,1),"")</f>
        <v/>
      </c>
      <c r="J1348" s="0" t="str">
        <f aca="false">IF(I1348="","",1343-INDEX(Eingabe!$P$9:$P$18,I1348))</f>
        <v/>
      </c>
      <c r="K1348" s="0" t="str">
        <f aca="false">IF(I1348="","",INDEX(Eingabe!$E$9:$E$18,I1348))</f>
        <v/>
      </c>
    </row>
    <row r="1349" customFormat="false" ht="15" hidden="false" customHeight="false" outlineLevel="0" collapsed="false">
      <c r="A1349" s="0" t="str">
        <f aca="false">IF(I1349="","",IF(J1349=0,"Sparte "&amp;I1349&amp;": "&amp;INDEX(Eingabe!$B$9:$B$18,I1349)&amp;"  (Sparten-ID "&amp;INDEX(Eingabe!$D$9:$D$18,I1349)&amp;", "&amp;K1349&amp;" Parzellen)",IF(J1349&lt;=K1349,"   Parzelle "&amp;J1349,IF(J1349=K1349+1,"   Vorstand",IF(J1349=K1349+2,"   Gäste",IF(J1349=K1349+3,"   Technik (Switches, Access Points)",""))))))</f>
        <v/>
      </c>
      <c r="B1349" s="0" t="str">
        <f aca="false">IF(I1349="","",IF(AND(J1349&gt;=1,J1349&lt;=K1349+3),IF(J1349&lt;=K1349,IF(J1349&lt;=99,IF((INDEX(Eingabe!$G$9:$G$18,I1349))&lt;=9,1000+(INDEX(Eingabe!$G$9:$G$18,I1349))*100,3000)+J1349,IF((INDEX(Eingabe!$G$9:$G$18,I1349)+1)&lt;=9,1000+(INDEX(Eingabe!$G$9:$G$18,I1349)+1)*100,3000)+J1349-100),IF(J1349=K1349+1,2000+INDEX(Eingabe!$G$9:$G$18,I1349)*10+1,IF(J1349=K1349+2,2000+INDEX(Eingabe!$G$9:$G$18,I1349)*10+2,2000+INDEX(Eingabe!$G$9:$G$18,I1349)*10+9))),""))</f>
        <v/>
      </c>
      <c r="C1349" s="0" t="str">
        <f aca="false">IF(I1349="","",IF(AND(J1349&gt;=1,J1349&lt;=K1349+3),"10."&amp;INDEX(Eingabe!$D$9:$D$18,I1349)&amp;"."&amp;IF(J1349&lt;=K1349,J1349,IF(J1349=K1349+1,200,IF(J1349=K1349+2,201,250)))&amp;".0/24",""))</f>
        <v/>
      </c>
      <c r="D1349" s="0" t="str">
        <f aca="false">IF(I1349="","",IF(AND(J1349&gt;=1,J1349&lt;=K1349+3),"255.255.255.0",""))</f>
        <v/>
      </c>
      <c r="E1349" s="0" t="str">
        <f aca="false">IF(I1349="","",IF(AND(J1349&gt;=1,J1349&lt;=K1349+3),"10."&amp;INDEX(Eingabe!$D$9:$D$18,I1349)&amp;"."&amp;IF(J1349&lt;=K1349,J1349,IF(J1349=K1349+1,200,IF(J1349=K1349+2,201,250)))&amp;".1",""))</f>
        <v/>
      </c>
      <c r="F1349" s="0" t="str">
        <f aca="false">IF(I1349="","",IF(AND(J1349&gt;=1,J1349&lt;=K1349+3),"10."&amp;INDEX(Eingabe!$D$9:$D$18,I1349)&amp;"."&amp;IF(J1349&lt;=K1349,J1349,IF(J1349=K1349+1,200,IF(J1349=K1349+2,201,250)))&amp;".10 – 10."&amp;INDEX(Eingabe!$D$9:$D$18,I1349)&amp;"."&amp;IF(J1349&lt;=K1349,J1349,IF(J1349=K1349+1,200,IF(J1349=K1349+2,201,250)))&amp;".250",""))</f>
        <v/>
      </c>
      <c r="G1349" s="0" t="str">
        <f aca="false">IF(I1349="","",IF(AND(J1349&gt;=1,J1349&lt;=K1349),Eingabe!$B$6&amp;"-"&amp;INDEX(Eingabe!$C$9:$C$18,I1349)&amp;"-Pächter  ·  Passwort Parzelle "&amp;J1349,IF(J1349=K1349+1,Eingabe!$B$6&amp;"-"&amp;INDEX(Eingabe!$C$9:$C$18,I1349)&amp;"-Vorstand  ·  eigenes WLAN",IF(J1349=K1349+2,Eingabe!$B$6&amp;"-"&amp;INDEX(Eingabe!$C$9:$C$18,I1349)&amp;"-Gäste  ·  Voucher",IF(J1349=K1349+3,"Kabel  ·  Access Point y = .(50+y), Mast-Switch x = .(10+x)","")))))</f>
        <v/>
      </c>
      <c r="I1349" s="0" t="str">
        <f aca="false">IF(1344&lt;=(Eingabe!$P$18+Eingabe!$Q$18-1),MATCH(1344,Eingabe!$P$9:$P$18,1),"")</f>
        <v/>
      </c>
      <c r="J1349" s="0" t="str">
        <f aca="false">IF(I1349="","",1344-INDEX(Eingabe!$P$9:$P$18,I1349))</f>
        <v/>
      </c>
      <c r="K1349" s="0" t="str">
        <f aca="false">IF(I1349="","",INDEX(Eingabe!$E$9:$E$18,I1349))</f>
        <v/>
      </c>
    </row>
    <row r="1350" customFormat="false" ht="15" hidden="false" customHeight="false" outlineLevel="0" collapsed="false">
      <c r="A1350" s="0" t="str">
        <f aca="false">IF(I1350="","",IF(J1350=0,"Sparte "&amp;I1350&amp;": "&amp;INDEX(Eingabe!$B$9:$B$18,I1350)&amp;"  (Sparten-ID "&amp;INDEX(Eingabe!$D$9:$D$18,I1350)&amp;", "&amp;K1350&amp;" Parzellen)",IF(J1350&lt;=K1350,"   Parzelle "&amp;J1350,IF(J1350=K1350+1,"   Vorstand",IF(J1350=K1350+2,"   Gäste",IF(J1350=K1350+3,"   Technik (Switches, Access Points)",""))))))</f>
        <v/>
      </c>
      <c r="B1350" s="0" t="str">
        <f aca="false">IF(I1350="","",IF(AND(J1350&gt;=1,J1350&lt;=K1350+3),IF(J1350&lt;=K1350,IF(J1350&lt;=99,IF((INDEX(Eingabe!$G$9:$G$18,I1350))&lt;=9,1000+(INDEX(Eingabe!$G$9:$G$18,I1350))*100,3000)+J1350,IF((INDEX(Eingabe!$G$9:$G$18,I1350)+1)&lt;=9,1000+(INDEX(Eingabe!$G$9:$G$18,I1350)+1)*100,3000)+J1350-100),IF(J1350=K1350+1,2000+INDEX(Eingabe!$G$9:$G$18,I1350)*10+1,IF(J1350=K1350+2,2000+INDEX(Eingabe!$G$9:$G$18,I1350)*10+2,2000+INDEX(Eingabe!$G$9:$G$18,I1350)*10+9))),""))</f>
        <v/>
      </c>
      <c r="C1350" s="0" t="str">
        <f aca="false">IF(I1350="","",IF(AND(J1350&gt;=1,J1350&lt;=K1350+3),"10."&amp;INDEX(Eingabe!$D$9:$D$18,I1350)&amp;"."&amp;IF(J1350&lt;=K1350,J1350,IF(J1350=K1350+1,200,IF(J1350=K1350+2,201,250)))&amp;".0/24",""))</f>
        <v/>
      </c>
      <c r="D1350" s="0" t="str">
        <f aca="false">IF(I1350="","",IF(AND(J1350&gt;=1,J1350&lt;=K1350+3),"255.255.255.0",""))</f>
        <v/>
      </c>
      <c r="E1350" s="0" t="str">
        <f aca="false">IF(I1350="","",IF(AND(J1350&gt;=1,J1350&lt;=K1350+3),"10."&amp;INDEX(Eingabe!$D$9:$D$18,I1350)&amp;"."&amp;IF(J1350&lt;=K1350,J1350,IF(J1350=K1350+1,200,IF(J1350=K1350+2,201,250)))&amp;".1",""))</f>
        <v/>
      </c>
      <c r="F1350" s="0" t="str">
        <f aca="false">IF(I1350="","",IF(AND(J1350&gt;=1,J1350&lt;=K1350+3),"10."&amp;INDEX(Eingabe!$D$9:$D$18,I1350)&amp;"."&amp;IF(J1350&lt;=K1350,J1350,IF(J1350=K1350+1,200,IF(J1350=K1350+2,201,250)))&amp;".10 – 10."&amp;INDEX(Eingabe!$D$9:$D$18,I1350)&amp;"."&amp;IF(J1350&lt;=K1350,J1350,IF(J1350=K1350+1,200,IF(J1350=K1350+2,201,250)))&amp;".250",""))</f>
        <v/>
      </c>
      <c r="G1350" s="0" t="str">
        <f aca="false">IF(I1350="","",IF(AND(J1350&gt;=1,J1350&lt;=K1350),Eingabe!$B$6&amp;"-"&amp;INDEX(Eingabe!$C$9:$C$18,I1350)&amp;"-Pächter  ·  Passwort Parzelle "&amp;J1350,IF(J1350=K1350+1,Eingabe!$B$6&amp;"-"&amp;INDEX(Eingabe!$C$9:$C$18,I1350)&amp;"-Vorstand  ·  eigenes WLAN",IF(J1350=K1350+2,Eingabe!$B$6&amp;"-"&amp;INDEX(Eingabe!$C$9:$C$18,I1350)&amp;"-Gäste  ·  Voucher",IF(J1350=K1350+3,"Kabel  ·  Access Point y = .(50+y), Mast-Switch x = .(10+x)","")))))</f>
        <v/>
      </c>
      <c r="I1350" s="0" t="str">
        <f aca="false">IF(1345&lt;=(Eingabe!$P$18+Eingabe!$Q$18-1),MATCH(1345,Eingabe!$P$9:$P$18,1),"")</f>
        <v/>
      </c>
      <c r="J1350" s="0" t="str">
        <f aca="false">IF(I1350="","",1345-INDEX(Eingabe!$P$9:$P$18,I1350))</f>
        <v/>
      </c>
      <c r="K1350" s="0" t="str">
        <f aca="false">IF(I1350="","",INDEX(Eingabe!$E$9:$E$18,I1350))</f>
        <v/>
      </c>
    </row>
    <row r="1351" customFormat="false" ht="15" hidden="false" customHeight="false" outlineLevel="0" collapsed="false">
      <c r="A1351" s="0" t="str">
        <f aca="false">IF(I1351="","",IF(J1351=0,"Sparte "&amp;I1351&amp;": "&amp;INDEX(Eingabe!$B$9:$B$18,I1351)&amp;"  (Sparten-ID "&amp;INDEX(Eingabe!$D$9:$D$18,I1351)&amp;", "&amp;K1351&amp;" Parzellen)",IF(J1351&lt;=K1351,"   Parzelle "&amp;J1351,IF(J1351=K1351+1,"   Vorstand",IF(J1351=K1351+2,"   Gäste",IF(J1351=K1351+3,"   Technik (Switches, Access Points)",""))))))</f>
        <v/>
      </c>
      <c r="B1351" s="0" t="str">
        <f aca="false">IF(I1351="","",IF(AND(J1351&gt;=1,J1351&lt;=K1351+3),IF(J1351&lt;=K1351,IF(J1351&lt;=99,IF((INDEX(Eingabe!$G$9:$G$18,I1351))&lt;=9,1000+(INDEX(Eingabe!$G$9:$G$18,I1351))*100,3000)+J1351,IF((INDEX(Eingabe!$G$9:$G$18,I1351)+1)&lt;=9,1000+(INDEX(Eingabe!$G$9:$G$18,I1351)+1)*100,3000)+J1351-100),IF(J1351=K1351+1,2000+INDEX(Eingabe!$G$9:$G$18,I1351)*10+1,IF(J1351=K1351+2,2000+INDEX(Eingabe!$G$9:$G$18,I1351)*10+2,2000+INDEX(Eingabe!$G$9:$G$18,I1351)*10+9))),""))</f>
        <v/>
      </c>
      <c r="C1351" s="0" t="str">
        <f aca="false">IF(I1351="","",IF(AND(J1351&gt;=1,J1351&lt;=K1351+3),"10."&amp;INDEX(Eingabe!$D$9:$D$18,I1351)&amp;"."&amp;IF(J1351&lt;=K1351,J1351,IF(J1351=K1351+1,200,IF(J1351=K1351+2,201,250)))&amp;".0/24",""))</f>
        <v/>
      </c>
      <c r="D1351" s="0" t="str">
        <f aca="false">IF(I1351="","",IF(AND(J1351&gt;=1,J1351&lt;=K1351+3),"255.255.255.0",""))</f>
        <v/>
      </c>
      <c r="E1351" s="0" t="str">
        <f aca="false">IF(I1351="","",IF(AND(J1351&gt;=1,J1351&lt;=K1351+3),"10."&amp;INDEX(Eingabe!$D$9:$D$18,I1351)&amp;"."&amp;IF(J1351&lt;=K1351,J1351,IF(J1351=K1351+1,200,IF(J1351=K1351+2,201,250)))&amp;".1",""))</f>
        <v/>
      </c>
      <c r="F1351" s="0" t="str">
        <f aca="false">IF(I1351="","",IF(AND(J1351&gt;=1,J1351&lt;=K1351+3),"10."&amp;INDEX(Eingabe!$D$9:$D$18,I1351)&amp;"."&amp;IF(J1351&lt;=K1351,J1351,IF(J1351=K1351+1,200,IF(J1351=K1351+2,201,250)))&amp;".10 – 10."&amp;INDEX(Eingabe!$D$9:$D$18,I1351)&amp;"."&amp;IF(J1351&lt;=K1351,J1351,IF(J1351=K1351+1,200,IF(J1351=K1351+2,201,250)))&amp;".250",""))</f>
        <v/>
      </c>
      <c r="G1351" s="0" t="str">
        <f aca="false">IF(I1351="","",IF(AND(J1351&gt;=1,J1351&lt;=K1351),Eingabe!$B$6&amp;"-"&amp;INDEX(Eingabe!$C$9:$C$18,I1351)&amp;"-Pächter  ·  Passwort Parzelle "&amp;J1351,IF(J1351=K1351+1,Eingabe!$B$6&amp;"-"&amp;INDEX(Eingabe!$C$9:$C$18,I1351)&amp;"-Vorstand  ·  eigenes WLAN",IF(J1351=K1351+2,Eingabe!$B$6&amp;"-"&amp;INDEX(Eingabe!$C$9:$C$18,I1351)&amp;"-Gäste  ·  Voucher",IF(J1351=K1351+3,"Kabel  ·  Access Point y = .(50+y), Mast-Switch x = .(10+x)","")))))</f>
        <v/>
      </c>
      <c r="I1351" s="0" t="str">
        <f aca="false">IF(1346&lt;=(Eingabe!$P$18+Eingabe!$Q$18-1),MATCH(1346,Eingabe!$P$9:$P$18,1),"")</f>
        <v/>
      </c>
      <c r="J1351" s="0" t="str">
        <f aca="false">IF(I1351="","",1346-INDEX(Eingabe!$P$9:$P$18,I1351))</f>
        <v/>
      </c>
      <c r="K1351" s="0" t="str">
        <f aca="false">IF(I1351="","",INDEX(Eingabe!$E$9:$E$18,I1351))</f>
        <v/>
      </c>
    </row>
    <row r="1352" customFormat="false" ht="15" hidden="false" customHeight="false" outlineLevel="0" collapsed="false">
      <c r="A1352" s="0" t="str">
        <f aca="false">IF(I1352="","",IF(J1352=0,"Sparte "&amp;I1352&amp;": "&amp;INDEX(Eingabe!$B$9:$B$18,I1352)&amp;"  (Sparten-ID "&amp;INDEX(Eingabe!$D$9:$D$18,I1352)&amp;", "&amp;K1352&amp;" Parzellen)",IF(J1352&lt;=K1352,"   Parzelle "&amp;J1352,IF(J1352=K1352+1,"   Vorstand",IF(J1352=K1352+2,"   Gäste",IF(J1352=K1352+3,"   Technik (Switches, Access Points)",""))))))</f>
        <v/>
      </c>
      <c r="B1352" s="0" t="str">
        <f aca="false">IF(I1352="","",IF(AND(J1352&gt;=1,J1352&lt;=K1352+3),IF(J1352&lt;=K1352,IF(J1352&lt;=99,IF((INDEX(Eingabe!$G$9:$G$18,I1352))&lt;=9,1000+(INDEX(Eingabe!$G$9:$G$18,I1352))*100,3000)+J1352,IF((INDEX(Eingabe!$G$9:$G$18,I1352)+1)&lt;=9,1000+(INDEX(Eingabe!$G$9:$G$18,I1352)+1)*100,3000)+J1352-100),IF(J1352=K1352+1,2000+INDEX(Eingabe!$G$9:$G$18,I1352)*10+1,IF(J1352=K1352+2,2000+INDEX(Eingabe!$G$9:$G$18,I1352)*10+2,2000+INDEX(Eingabe!$G$9:$G$18,I1352)*10+9))),""))</f>
        <v/>
      </c>
      <c r="C1352" s="0" t="str">
        <f aca="false">IF(I1352="","",IF(AND(J1352&gt;=1,J1352&lt;=K1352+3),"10."&amp;INDEX(Eingabe!$D$9:$D$18,I1352)&amp;"."&amp;IF(J1352&lt;=K1352,J1352,IF(J1352=K1352+1,200,IF(J1352=K1352+2,201,250)))&amp;".0/24",""))</f>
        <v/>
      </c>
      <c r="D1352" s="0" t="str">
        <f aca="false">IF(I1352="","",IF(AND(J1352&gt;=1,J1352&lt;=K1352+3),"255.255.255.0",""))</f>
        <v/>
      </c>
      <c r="E1352" s="0" t="str">
        <f aca="false">IF(I1352="","",IF(AND(J1352&gt;=1,J1352&lt;=K1352+3),"10."&amp;INDEX(Eingabe!$D$9:$D$18,I1352)&amp;"."&amp;IF(J1352&lt;=K1352,J1352,IF(J1352=K1352+1,200,IF(J1352=K1352+2,201,250)))&amp;".1",""))</f>
        <v/>
      </c>
      <c r="F1352" s="0" t="str">
        <f aca="false">IF(I1352="","",IF(AND(J1352&gt;=1,J1352&lt;=K1352+3),"10."&amp;INDEX(Eingabe!$D$9:$D$18,I1352)&amp;"."&amp;IF(J1352&lt;=K1352,J1352,IF(J1352=K1352+1,200,IF(J1352=K1352+2,201,250)))&amp;".10 – 10."&amp;INDEX(Eingabe!$D$9:$D$18,I1352)&amp;"."&amp;IF(J1352&lt;=K1352,J1352,IF(J1352=K1352+1,200,IF(J1352=K1352+2,201,250)))&amp;".250",""))</f>
        <v/>
      </c>
      <c r="G1352" s="0" t="str">
        <f aca="false">IF(I1352="","",IF(AND(J1352&gt;=1,J1352&lt;=K1352),Eingabe!$B$6&amp;"-"&amp;INDEX(Eingabe!$C$9:$C$18,I1352)&amp;"-Pächter  ·  Passwort Parzelle "&amp;J1352,IF(J1352=K1352+1,Eingabe!$B$6&amp;"-"&amp;INDEX(Eingabe!$C$9:$C$18,I1352)&amp;"-Vorstand  ·  eigenes WLAN",IF(J1352=K1352+2,Eingabe!$B$6&amp;"-"&amp;INDEX(Eingabe!$C$9:$C$18,I1352)&amp;"-Gäste  ·  Voucher",IF(J1352=K1352+3,"Kabel  ·  Access Point y = .(50+y), Mast-Switch x = .(10+x)","")))))</f>
        <v/>
      </c>
      <c r="I1352" s="0" t="str">
        <f aca="false">IF(1347&lt;=(Eingabe!$P$18+Eingabe!$Q$18-1),MATCH(1347,Eingabe!$P$9:$P$18,1),"")</f>
        <v/>
      </c>
      <c r="J1352" s="0" t="str">
        <f aca="false">IF(I1352="","",1347-INDEX(Eingabe!$P$9:$P$18,I1352))</f>
        <v/>
      </c>
      <c r="K1352" s="0" t="str">
        <f aca="false">IF(I1352="","",INDEX(Eingabe!$E$9:$E$18,I1352))</f>
        <v/>
      </c>
    </row>
    <row r="1353" customFormat="false" ht="15" hidden="false" customHeight="false" outlineLevel="0" collapsed="false">
      <c r="A1353" s="0" t="str">
        <f aca="false">IF(I1353="","",IF(J1353=0,"Sparte "&amp;I1353&amp;": "&amp;INDEX(Eingabe!$B$9:$B$18,I1353)&amp;"  (Sparten-ID "&amp;INDEX(Eingabe!$D$9:$D$18,I1353)&amp;", "&amp;K1353&amp;" Parzellen)",IF(J1353&lt;=K1353,"   Parzelle "&amp;J1353,IF(J1353=K1353+1,"   Vorstand",IF(J1353=K1353+2,"   Gäste",IF(J1353=K1353+3,"   Technik (Switches, Access Points)",""))))))</f>
        <v/>
      </c>
      <c r="B1353" s="0" t="str">
        <f aca="false">IF(I1353="","",IF(AND(J1353&gt;=1,J1353&lt;=K1353+3),IF(J1353&lt;=K1353,IF(J1353&lt;=99,IF((INDEX(Eingabe!$G$9:$G$18,I1353))&lt;=9,1000+(INDEX(Eingabe!$G$9:$G$18,I1353))*100,3000)+J1353,IF((INDEX(Eingabe!$G$9:$G$18,I1353)+1)&lt;=9,1000+(INDEX(Eingabe!$G$9:$G$18,I1353)+1)*100,3000)+J1353-100),IF(J1353=K1353+1,2000+INDEX(Eingabe!$G$9:$G$18,I1353)*10+1,IF(J1353=K1353+2,2000+INDEX(Eingabe!$G$9:$G$18,I1353)*10+2,2000+INDEX(Eingabe!$G$9:$G$18,I1353)*10+9))),""))</f>
        <v/>
      </c>
      <c r="C1353" s="0" t="str">
        <f aca="false">IF(I1353="","",IF(AND(J1353&gt;=1,J1353&lt;=K1353+3),"10."&amp;INDEX(Eingabe!$D$9:$D$18,I1353)&amp;"."&amp;IF(J1353&lt;=K1353,J1353,IF(J1353=K1353+1,200,IF(J1353=K1353+2,201,250)))&amp;".0/24",""))</f>
        <v/>
      </c>
      <c r="D1353" s="0" t="str">
        <f aca="false">IF(I1353="","",IF(AND(J1353&gt;=1,J1353&lt;=K1353+3),"255.255.255.0",""))</f>
        <v/>
      </c>
      <c r="E1353" s="0" t="str">
        <f aca="false">IF(I1353="","",IF(AND(J1353&gt;=1,J1353&lt;=K1353+3),"10."&amp;INDEX(Eingabe!$D$9:$D$18,I1353)&amp;"."&amp;IF(J1353&lt;=K1353,J1353,IF(J1353=K1353+1,200,IF(J1353=K1353+2,201,250)))&amp;".1",""))</f>
        <v/>
      </c>
      <c r="F1353" s="0" t="str">
        <f aca="false">IF(I1353="","",IF(AND(J1353&gt;=1,J1353&lt;=K1353+3),"10."&amp;INDEX(Eingabe!$D$9:$D$18,I1353)&amp;"."&amp;IF(J1353&lt;=K1353,J1353,IF(J1353=K1353+1,200,IF(J1353=K1353+2,201,250)))&amp;".10 – 10."&amp;INDEX(Eingabe!$D$9:$D$18,I1353)&amp;"."&amp;IF(J1353&lt;=K1353,J1353,IF(J1353=K1353+1,200,IF(J1353=K1353+2,201,250)))&amp;".250",""))</f>
        <v/>
      </c>
      <c r="G1353" s="0" t="str">
        <f aca="false">IF(I1353="","",IF(AND(J1353&gt;=1,J1353&lt;=K1353),Eingabe!$B$6&amp;"-"&amp;INDEX(Eingabe!$C$9:$C$18,I1353)&amp;"-Pächter  ·  Passwort Parzelle "&amp;J1353,IF(J1353=K1353+1,Eingabe!$B$6&amp;"-"&amp;INDEX(Eingabe!$C$9:$C$18,I1353)&amp;"-Vorstand  ·  eigenes WLAN",IF(J1353=K1353+2,Eingabe!$B$6&amp;"-"&amp;INDEX(Eingabe!$C$9:$C$18,I1353)&amp;"-Gäste  ·  Voucher",IF(J1353=K1353+3,"Kabel  ·  Access Point y = .(50+y), Mast-Switch x = .(10+x)","")))))</f>
        <v/>
      </c>
      <c r="I1353" s="0" t="str">
        <f aca="false">IF(1348&lt;=(Eingabe!$P$18+Eingabe!$Q$18-1),MATCH(1348,Eingabe!$P$9:$P$18,1),"")</f>
        <v/>
      </c>
      <c r="J1353" s="0" t="str">
        <f aca="false">IF(I1353="","",1348-INDEX(Eingabe!$P$9:$P$18,I1353))</f>
        <v/>
      </c>
      <c r="K1353" s="0" t="str">
        <f aca="false">IF(I1353="","",INDEX(Eingabe!$E$9:$E$18,I1353))</f>
        <v/>
      </c>
    </row>
    <row r="1354" customFormat="false" ht="15" hidden="false" customHeight="false" outlineLevel="0" collapsed="false">
      <c r="A1354" s="0" t="str">
        <f aca="false">IF(I1354="","",IF(J1354=0,"Sparte "&amp;I1354&amp;": "&amp;INDEX(Eingabe!$B$9:$B$18,I1354)&amp;"  (Sparten-ID "&amp;INDEX(Eingabe!$D$9:$D$18,I1354)&amp;", "&amp;K1354&amp;" Parzellen)",IF(J1354&lt;=K1354,"   Parzelle "&amp;J1354,IF(J1354=K1354+1,"   Vorstand",IF(J1354=K1354+2,"   Gäste",IF(J1354=K1354+3,"   Technik (Switches, Access Points)",""))))))</f>
        <v/>
      </c>
      <c r="B1354" s="0" t="str">
        <f aca="false">IF(I1354="","",IF(AND(J1354&gt;=1,J1354&lt;=K1354+3),IF(J1354&lt;=K1354,IF(J1354&lt;=99,IF((INDEX(Eingabe!$G$9:$G$18,I1354))&lt;=9,1000+(INDEX(Eingabe!$G$9:$G$18,I1354))*100,3000)+J1354,IF((INDEX(Eingabe!$G$9:$G$18,I1354)+1)&lt;=9,1000+(INDEX(Eingabe!$G$9:$G$18,I1354)+1)*100,3000)+J1354-100),IF(J1354=K1354+1,2000+INDEX(Eingabe!$G$9:$G$18,I1354)*10+1,IF(J1354=K1354+2,2000+INDEX(Eingabe!$G$9:$G$18,I1354)*10+2,2000+INDEX(Eingabe!$G$9:$G$18,I1354)*10+9))),""))</f>
        <v/>
      </c>
      <c r="C1354" s="0" t="str">
        <f aca="false">IF(I1354="","",IF(AND(J1354&gt;=1,J1354&lt;=K1354+3),"10."&amp;INDEX(Eingabe!$D$9:$D$18,I1354)&amp;"."&amp;IF(J1354&lt;=K1354,J1354,IF(J1354=K1354+1,200,IF(J1354=K1354+2,201,250)))&amp;".0/24",""))</f>
        <v/>
      </c>
      <c r="D1354" s="0" t="str">
        <f aca="false">IF(I1354="","",IF(AND(J1354&gt;=1,J1354&lt;=K1354+3),"255.255.255.0",""))</f>
        <v/>
      </c>
      <c r="E1354" s="0" t="str">
        <f aca="false">IF(I1354="","",IF(AND(J1354&gt;=1,J1354&lt;=K1354+3),"10."&amp;INDEX(Eingabe!$D$9:$D$18,I1354)&amp;"."&amp;IF(J1354&lt;=K1354,J1354,IF(J1354=K1354+1,200,IF(J1354=K1354+2,201,250)))&amp;".1",""))</f>
        <v/>
      </c>
      <c r="F1354" s="0" t="str">
        <f aca="false">IF(I1354="","",IF(AND(J1354&gt;=1,J1354&lt;=K1354+3),"10."&amp;INDEX(Eingabe!$D$9:$D$18,I1354)&amp;"."&amp;IF(J1354&lt;=K1354,J1354,IF(J1354=K1354+1,200,IF(J1354=K1354+2,201,250)))&amp;".10 – 10."&amp;INDEX(Eingabe!$D$9:$D$18,I1354)&amp;"."&amp;IF(J1354&lt;=K1354,J1354,IF(J1354=K1354+1,200,IF(J1354=K1354+2,201,250)))&amp;".250",""))</f>
        <v/>
      </c>
      <c r="G1354" s="0" t="str">
        <f aca="false">IF(I1354="","",IF(AND(J1354&gt;=1,J1354&lt;=K1354),Eingabe!$B$6&amp;"-"&amp;INDEX(Eingabe!$C$9:$C$18,I1354)&amp;"-Pächter  ·  Passwort Parzelle "&amp;J1354,IF(J1354=K1354+1,Eingabe!$B$6&amp;"-"&amp;INDEX(Eingabe!$C$9:$C$18,I1354)&amp;"-Vorstand  ·  eigenes WLAN",IF(J1354=K1354+2,Eingabe!$B$6&amp;"-"&amp;INDEX(Eingabe!$C$9:$C$18,I1354)&amp;"-Gäste  ·  Voucher",IF(J1354=K1354+3,"Kabel  ·  Access Point y = .(50+y), Mast-Switch x = .(10+x)","")))))</f>
        <v/>
      </c>
      <c r="I1354" s="0" t="str">
        <f aca="false">IF(1349&lt;=(Eingabe!$P$18+Eingabe!$Q$18-1),MATCH(1349,Eingabe!$P$9:$P$18,1),"")</f>
        <v/>
      </c>
      <c r="J1354" s="0" t="str">
        <f aca="false">IF(I1354="","",1349-INDEX(Eingabe!$P$9:$P$18,I1354))</f>
        <v/>
      </c>
      <c r="K1354" s="0" t="str">
        <f aca="false">IF(I1354="","",INDEX(Eingabe!$E$9:$E$18,I1354))</f>
        <v/>
      </c>
    </row>
    <row r="1355" customFormat="false" ht="15" hidden="false" customHeight="false" outlineLevel="0" collapsed="false">
      <c r="A1355" s="0" t="str">
        <f aca="false">IF(I1355="","",IF(J1355=0,"Sparte "&amp;I1355&amp;": "&amp;INDEX(Eingabe!$B$9:$B$18,I1355)&amp;"  (Sparten-ID "&amp;INDEX(Eingabe!$D$9:$D$18,I1355)&amp;", "&amp;K1355&amp;" Parzellen)",IF(J1355&lt;=K1355,"   Parzelle "&amp;J1355,IF(J1355=K1355+1,"   Vorstand",IF(J1355=K1355+2,"   Gäste",IF(J1355=K1355+3,"   Technik (Switches, Access Points)",""))))))</f>
        <v/>
      </c>
      <c r="B1355" s="0" t="str">
        <f aca="false">IF(I1355="","",IF(AND(J1355&gt;=1,J1355&lt;=K1355+3),IF(J1355&lt;=K1355,IF(J1355&lt;=99,IF((INDEX(Eingabe!$G$9:$G$18,I1355))&lt;=9,1000+(INDEX(Eingabe!$G$9:$G$18,I1355))*100,3000)+J1355,IF((INDEX(Eingabe!$G$9:$G$18,I1355)+1)&lt;=9,1000+(INDEX(Eingabe!$G$9:$G$18,I1355)+1)*100,3000)+J1355-100),IF(J1355=K1355+1,2000+INDEX(Eingabe!$G$9:$G$18,I1355)*10+1,IF(J1355=K1355+2,2000+INDEX(Eingabe!$G$9:$G$18,I1355)*10+2,2000+INDEX(Eingabe!$G$9:$G$18,I1355)*10+9))),""))</f>
        <v/>
      </c>
      <c r="C1355" s="0" t="str">
        <f aca="false">IF(I1355="","",IF(AND(J1355&gt;=1,J1355&lt;=K1355+3),"10."&amp;INDEX(Eingabe!$D$9:$D$18,I1355)&amp;"."&amp;IF(J1355&lt;=K1355,J1355,IF(J1355=K1355+1,200,IF(J1355=K1355+2,201,250)))&amp;".0/24",""))</f>
        <v/>
      </c>
      <c r="D1355" s="0" t="str">
        <f aca="false">IF(I1355="","",IF(AND(J1355&gt;=1,J1355&lt;=K1355+3),"255.255.255.0",""))</f>
        <v/>
      </c>
      <c r="E1355" s="0" t="str">
        <f aca="false">IF(I1355="","",IF(AND(J1355&gt;=1,J1355&lt;=K1355+3),"10."&amp;INDEX(Eingabe!$D$9:$D$18,I1355)&amp;"."&amp;IF(J1355&lt;=K1355,J1355,IF(J1355=K1355+1,200,IF(J1355=K1355+2,201,250)))&amp;".1",""))</f>
        <v/>
      </c>
      <c r="F1355" s="0" t="str">
        <f aca="false">IF(I1355="","",IF(AND(J1355&gt;=1,J1355&lt;=K1355+3),"10."&amp;INDEX(Eingabe!$D$9:$D$18,I1355)&amp;"."&amp;IF(J1355&lt;=K1355,J1355,IF(J1355=K1355+1,200,IF(J1355=K1355+2,201,250)))&amp;".10 – 10."&amp;INDEX(Eingabe!$D$9:$D$18,I1355)&amp;"."&amp;IF(J1355&lt;=K1355,J1355,IF(J1355=K1355+1,200,IF(J1355=K1355+2,201,250)))&amp;".250",""))</f>
        <v/>
      </c>
      <c r="G1355" s="0" t="str">
        <f aca="false">IF(I1355="","",IF(AND(J1355&gt;=1,J1355&lt;=K1355),Eingabe!$B$6&amp;"-"&amp;INDEX(Eingabe!$C$9:$C$18,I1355)&amp;"-Pächter  ·  Passwort Parzelle "&amp;J1355,IF(J1355=K1355+1,Eingabe!$B$6&amp;"-"&amp;INDEX(Eingabe!$C$9:$C$18,I1355)&amp;"-Vorstand  ·  eigenes WLAN",IF(J1355=K1355+2,Eingabe!$B$6&amp;"-"&amp;INDEX(Eingabe!$C$9:$C$18,I1355)&amp;"-Gäste  ·  Voucher",IF(J1355=K1355+3,"Kabel  ·  Access Point y = .(50+y), Mast-Switch x = .(10+x)","")))))</f>
        <v/>
      </c>
      <c r="I1355" s="0" t="str">
        <f aca="false">IF(1350&lt;=(Eingabe!$P$18+Eingabe!$Q$18-1),MATCH(1350,Eingabe!$P$9:$P$18,1),"")</f>
        <v/>
      </c>
      <c r="J1355" s="0" t="str">
        <f aca="false">IF(I1355="","",1350-INDEX(Eingabe!$P$9:$P$18,I1355))</f>
        <v/>
      </c>
      <c r="K1355" s="0" t="str">
        <f aca="false">IF(I1355="","",INDEX(Eingabe!$E$9:$E$18,I1355))</f>
        <v/>
      </c>
    </row>
    <row r="1356" customFormat="false" ht="15" hidden="false" customHeight="false" outlineLevel="0" collapsed="false">
      <c r="A1356" s="0" t="str">
        <f aca="false">IF(I1356="","",IF(J1356=0,"Sparte "&amp;I1356&amp;": "&amp;INDEX(Eingabe!$B$9:$B$18,I1356)&amp;"  (Sparten-ID "&amp;INDEX(Eingabe!$D$9:$D$18,I1356)&amp;", "&amp;K1356&amp;" Parzellen)",IF(J1356&lt;=K1356,"   Parzelle "&amp;J1356,IF(J1356=K1356+1,"   Vorstand",IF(J1356=K1356+2,"   Gäste",IF(J1356=K1356+3,"   Technik (Switches, Access Points)",""))))))</f>
        <v/>
      </c>
      <c r="B1356" s="0" t="str">
        <f aca="false">IF(I1356="","",IF(AND(J1356&gt;=1,J1356&lt;=K1356+3),IF(J1356&lt;=K1356,IF(J1356&lt;=99,IF((INDEX(Eingabe!$G$9:$G$18,I1356))&lt;=9,1000+(INDEX(Eingabe!$G$9:$G$18,I1356))*100,3000)+J1356,IF((INDEX(Eingabe!$G$9:$G$18,I1356)+1)&lt;=9,1000+(INDEX(Eingabe!$G$9:$G$18,I1356)+1)*100,3000)+J1356-100),IF(J1356=K1356+1,2000+INDEX(Eingabe!$G$9:$G$18,I1356)*10+1,IF(J1356=K1356+2,2000+INDEX(Eingabe!$G$9:$G$18,I1356)*10+2,2000+INDEX(Eingabe!$G$9:$G$18,I1356)*10+9))),""))</f>
        <v/>
      </c>
      <c r="C1356" s="0" t="str">
        <f aca="false">IF(I1356="","",IF(AND(J1356&gt;=1,J1356&lt;=K1356+3),"10."&amp;INDEX(Eingabe!$D$9:$D$18,I1356)&amp;"."&amp;IF(J1356&lt;=K1356,J1356,IF(J1356=K1356+1,200,IF(J1356=K1356+2,201,250)))&amp;".0/24",""))</f>
        <v/>
      </c>
      <c r="D1356" s="0" t="str">
        <f aca="false">IF(I1356="","",IF(AND(J1356&gt;=1,J1356&lt;=K1356+3),"255.255.255.0",""))</f>
        <v/>
      </c>
      <c r="E1356" s="0" t="str">
        <f aca="false">IF(I1356="","",IF(AND(J1356&gt;=1,J1356&lt;=K1356+3),"10."&amp;INDEX(Eingabe!$D$9:$D$18,I1356)&amp;"."&amp;IF(J1356&lt;=K1356,J1356,IF(J1356=K1356+1,200,IF(J1356=K1356+2,201,250)))&amp;".1",""))</f>
        <v/>
      </c>
      <c r="F1356" s="0" t="str">
        <f aca="false">IF(I1356="","",IF(AND(J1356&gt;=1,J1356&lt;=K1356+3),"10."&amp;INDEX(Eingabe!$D$9:$D$18,I1356)&amp;"."&amp;IF(J1356&lt;=K1356,J1356,IF(J1356=K1356+1,200,IF(J1356=K1356+2,201,250)))&amp;".10 – 10."&amp;INDEX(Eingabe!$D$9:$D$18,I1356)&amp;"."&amp;IF(J1356&lt;=K1356,J1356,IF(J1356=K1356+1,200,IF(J1356=K1356+2,201,250)))&amp;".250",""))</f>
        <v/>
      </c>
      <c r="G1356" s="0" t="str">
        <f aca="false">IF(I1356="","",IF(AND(J1356&gt;=1,J1356&lt;=K1356),Eingabe!$B$6&amp;"-"&amp;INDEX(Eingabe!$C$9:$C$18,I1356)&amp;"-Pächter  ·  Passwort Parzelle "&amp;J1356,IF(J1356=K1356+1,Eingabe!$B$6&amp;"-"&amp;INDEX(Eingabe!$C$9:$C$18,I1356)&amp;"-Vorstand  ·  eigenes WLAN",IF(J1356=K1356+2,Eingabe!$B$6&amp;"-"&amp;INDEX(Eingabe!$C$9:$C$18,I1356)&amp;"-Gäste  ·  Voucher",IF(J1356=K1356+3,"Kabel  ·  Access Point y = .(50+y), Mast-Switch x = .(10+x)","")))))</f>
        <v/>
      </c>
      <c r="I1356" s="0" t="str">
        <f aca="false">IF(1351&lt;=(Eingabe!$P$18+Eingabe!$Q$18-1),MATCH(1351,Eingabe!$P$9:$P$18,1),"")</f>
        <v/>
      </c>
      <c r="J1356" s="0" t="str">
        <f aca="false">IF(I1356="","",1351-INDEX(Eingabe!$P$9:$P$18,I1356))</f>
        <v/>
      </c>
      <c r="K1356" s="0" t="str">
        <f aca="false">IF(I1356="","",INDEX(Eingabe!$E$9:$E$18,I1356))</f>
        <v/>
      </c>
    </row>
    <row r="1357" customFormat="false" ht="15" hidden="false" customHeight="false" outlineLevel="0" collapsed="false">
      <c r="A1357" s="0" t="str">
        <f aca="false">IF(I1357="","",IF(J1357=0,"Sparte "&amp;I1357&amp;": "&amp;INDEX(Eingabe!$B$9:$B$18,I1357)&amp;"  (Sparten-ID "&amp;INDEX(Eingabe!$D$9:$D$18,I1357)&amp;", "&amp;K1357&amp;" Parzellen)",IF(J1357&lt;=K1357,"   Parzelle "&amp;J1357,IF(J1357=K1357+1,"   Vorstand",IF(J1357=K1357+2,"   Gäste",IF(J1357=K1357+3,"   Technik (Switches, Access Points)",""))))))</f>
        <v/>
      </c>
      <c r="B1357" s="0" t="str">
        <f aca="false">IF(I1357="","",IF(AND(J1357&gt;=1,J1357&lt;=K1357+3),IF(J1357&lt;=K1357,IF(J1357&lt;=99,IF((INDEX(Eingabe!$G$9:$G$18,I1357))&lt;=9,1000+(INDEX(Eingabe!$G$9:$G$18,I1357))*100,3000)+J1357,IF((INDEX(Eingabe!$G$9:$G$18,I1357)+1)&lt;=9,1000+(INDEX(Eingabe!$G$9:$G$18,I1357)+1)*100,3000)+J1357-100),IF(J1357=K1357+1,2000+INDEX(Eingabe!$G$9:$G$18,I1357)*10+1,IF(J1357=K1357+2,2000+INDEX(Eingabe!$G$9:$G$18,I1357)*10+2,2000+INDEX(Eingabe!$G$9:$G$18,I1357)*10+9))),""))</f>
        <v/>
      </c>
      <c r="C1357" s="0" t="str">
        <f aca="false">IF(I1357="","",IF(AND(J1357&gt;=1,J1357&lt;=K1357+3),"10."&amp;INDEX(Eingabe!$D$9:$D$18,I1357)&amp;"."&amp;IF(J1357&lt;=K1357,J1357,IF(J1357=K1357+1,200,IF(J1357=K1357+2,201,250)))&amp;".0/24",""))</f>
        <v/>
      </c>
      <c r="D1357" s="0" t="str">
        <f aca="false">IF(I1357="","",IF(AND(J1357&gt;=1,J1357&lt;=K1357+3),"255.255.255.0",""))</f>
        <v/>
      </c>
      <c r="E1357" s="0" t="str">
        <f aca="false">IF(I1357="","",IF(AND(J1357&gt;=1,J1357&lt;=K1357+3),"10."&amp;INDEX(Eingabe!$D$9:$D$18,I1357)&amp;"."&amp;IF(J1357&lt;=K1357,J1357,IF(J1357=K1357+1,200,IF(J1357=K1357+2,201,250)))&amp;".1",""))</f>
        <v/>
      </c>
      <c r="F1357" s="0" t="str">
        <f aca="false">IF(I1357="","",IF(AND(J1357&gt;=1,J1357&lt;=K1357+3),"10."&amp;INDEX(Eingabe!$D$9:$D$18,I1357)&amp;"."&amp;IF(J1357&lt;=K1357,J1357,IF(J1357=K1357+1,200,IF(J1357=K1357+2,201,250)))&amp;".10 – 10."&amp;INDEX(Eingabe!$D$9:$D$18,I1357)&amp;"."&amp;IF(J1357&lt;=K1357,J1357,IF(J1357=K1357+1,200,IF(J1357=K1357+2,201,250)))&amp;".250",""))</f>
        <v/>
      </c>
      <c r="G1357" s="0" t="str">
        <f aca="false">IF(I1357="","",IF(AND(J1357&gt;=1,J1357&lt;=K1357),Eingabe!$B$6&amp;"-"&amp;INDEX(Eingabe!$C$9:$C$18,I1357)&amp;"-Pächter  ·  Passwort Parzelle "&amp;J1357,IF(J1357=K1357+1,Eingabe!$B$6&amp;"-"&amp;INDEX(Eingabe!$C$9:$C$18,I1357)&amp;"-Vorstand  ·  eigenes WLAN",IF(J1357=K1357+2,Eingabe!$B$6&amp;"-"&amp;INDEX(Eingabe!$C$9:$C$18,I1357)&amp;"-Gäste  ·  Voucher",IF(J1357=K1357+3,"Kabel  ·  Access Point y = .(50+y), Mast-Switch x = .(10+x)","")))))</f>
        <v/>
      </c>
      <c r="I1357" s="0" t="str">
        <f aca="false">IF(1352&lt;=(Eingabe!$P$18+Eingabe!$Q$18-1),MATCH(1352,Eingabe!$P$9:$P$18,1),"")</f>
        <v/>
      </c>
      <c r="J1357" s="0" t="str">
        <f aca="false">IF(I1357="","",1352-INDEX(Eingabe!$P$9:$P$18,I1357))</f>
        <v/>
      </c>
      <c r="K1357" s="0" t="str">
        <f aca="false">IF(I1357="","",INDEX(Eingabe!$E$9:$E$18,I1357))</f>
        <v/>
      </c>
    </row>
    <row r="1358" customFormat="false" ht="15" hidden="false" customHeight="false" outlineLevel="0" collapsed="false">
      <c r="A1358" s="0" t="str">
        <f aca="false">IF(I1358="","",IF(J1358=0,"Sparte "&amp;I1358&amp;": "&amp;INDEX(Eingabe!$B$9:$B$18,I1358)&amp;"  (Sparten-ID "&amp;INDEX(Eingabe!$D$9:$D$18,I1358)&amp;", "&amp;K1358&amp;" Parzellen)",IF(J1358&lt;=K1358,"   Parzelle "&amp;J1358,IF(J1358=K1358+1,"   Vorstand",IF(J1358=K1358+2,"   Gäste",IF(J1358=K1358+3,"   Technik (Switches, Access Points)",""))))))</f>
        <v/>
      </c>
      <c r="B1358" s="0" t="str">
        <f aca="false">IF(I1358="","",IF(AND(J1358&gt;=1,J1358&lt;=K1358+3),IF(J1358&lt;=K1358,IF(J1358&lt;=99,IF((INDEX(Eingabe!$G$9:$G$18,I1358))&lt;=9,1000+(INDEX(Eingabe!$G$9:$G$18,I1358))*100,3000)+J1358,IF((INDEX(Eingabe!$G$9:$G$18,I1358)+1)&lt;=9,1000+(INDEX(Eingabe!$G$9:$G$18,I1358)+1)*100,3000)+J1358-100),IF(J1358=K1358+1,2000+INDEX(Eingabe!$G$9:$G$18,I1358)*10+1,IF(J1358=K1358+2,2000+INDEX(Eingabe!$G$9:$G$18,I1358)*10+2,2000+INDEX(Eingabe!$G$9:$G$18,I1358)*10+9))),""))</f>
        <v/>
      </c>
      <c r="C1358" s="0" t="str">
        <f aca="false">IF(I1358="","",IF(AND(J1358&gt;=1,J1358&lt;=K1358+3),"10."&amp;INDEX(Eingabe!$D$9:$D$18,I1358)&amp;"."&amp;IF(J1358&lt;=K1358,J1358,IF(J1358=K1358+1,200,IF(J1358=K1358+2,201,250)))&amp;".0/24",""))</f>
        <v/>
      </c>
      <c r="D1358" s="0" t="str">
        <f aca="false">IF(I1358="","",IF(AND(J1358&gt;=1,J1358&lt;=K1358+3),"255.255.255.0",""))</f>
        <v/>
      </c>
      <c r="E1358" s="0" t="str">
        <f aca="false">IF(I1358="","",IF(AND(J1358&gt;=1,J1358&lt;=K1358+3),"10."&amp;INDEX(Eingabe!$D$9:$D$18,I1358)&amp;"."&amp;IF(J1358&lt;=K1358,J1358,IF(J1358=K1358+1,200,IF(J1358=K1358+2,201,250)))&amp;".1",""))</f>
        <v/>
      </c>
      <c r="F1358" s="0" t="str">
        <f aca="false">IF(I1358="","",IF(AND(J1358&gt;=1,J1358&lt;=K1358+3),"10."&amp;INDEX(Eingabe!$D$9:$D$18,I1358)&amp;"."&amp;IF(J1358&lt;=K1358,J1358,IF(J1358=K1358+1,200,IF(J1358=K1358+2,201,250)))&amp;".10 – 10."&amp;INDEX(Eingabe!$D$9:$D$18,I1358)&amp;"."&amp;IF(J1358&lt;=K1358,J1358,IF(J1358=K1358+1,200,IF(J1358=K1358+2,201,250)))&amp;".250",""))</f>
        <v/>
      </c>
      <c r="G1358" s="0" t="str">
        <f aca="false">IF(I1358="","",IF(AND(J1358&gt;=1,J1358&lt;=K1358),Eingabe!$B$6&amp;"-"&amp;INDEX(Eingabe!$C$9:$C$18,I1358)&amp;"-Pächter  ·  Passwort Parzelle "&amp;J1358,IF(J1358=K1358+1,Eingabe!$B$6&amp;"-"&amp;INDEX(Eingabe!$C$9:$C$18,I1358)&amp;"-Vorstand  ·  eigenes WLAN",IF(J1358=K1358+2,Eingabe!$B$6&amp;"-"&amp;INDEX(Eingabe!$C$9:$C$18,I1358)&amp;"-Gäste  ·  Voucher",IF(J1358=K1358+3,"Kabel  ·  Access Point y = .(50+y), Mast-Switch x = .(10+x)","")))))</f>
        <v/>
      </c>
      <c r="I1358" s="0" t="str">
        <f aca="false">IF(1353&lt;=(Eingabe!$P$18+Eingabe!$Q$18-1),MATCH(1353,Eingabe!$P$9:$P$18,1),"")</f>
        <v/>
      </c>
      <c r="J1358" s="0" t="str">
        <f aca="false">IF(I1358="","",1353-INDEX(Eingabe!$P$9:$P$18,I1358))</f>
        <v/>
      </c>
      <c r="K1358" s="0" t="str">
        <f aca="false">IF(I1358="","",INDEX(Eingabe!$E$9:$E$18,I1358))</f>
        <v/>
      </c>
    </row>
    <row r="1359" customFormat="false" ht="15" hidden="false" customHeight="false" outlineLevel="0" collapsed="false">
      <c r="A1359" s="0" t="str">
        <f aca="false">IF(I1359="","",IF(J1359=0,"Sparte "&amp;I1359&amp;": "&amp;INDEX(Eingabe!$B$9:$B$18,I1359)&amp;"  (Sparten-ID "&amp;INDEX(Eingabe!$D$9:$D$18,I1359)&amp;", "&amp;K1359&amp;" Parzellen)",IF(J1359&lt;=K1359,"   Parzelle "&amp;J1359,IF(J1359=K1359+1,"   Vorstand",IF(J1359=K1359+2,"   Gäste",IF(J1359=K1359+3,"   Technik (Switches, Access Points)",""))))))</f>
        <v/>
      </c>
      <c r="B1359" s="0" t="str">
        <f aca="false">IF(I1359="","",IF(AND(J1359&gt;=1,J1359&lt;=K1359+3),IF(J1359&lt;=K1359,IF(J1359&lt;=99,IF((INDEX(Eingabe!$G$9:$G$18,I1359))&lt;=9,1000+(INDEX(Eingabe!$G$9:$G$18,I1359))*100,3000)+J1359,IF((INDEX(Eingabe!$G$9:$G$18,I1359)+1)&lt;=9,1000+(INDEX(Eingabe!$G$9:$G$18,I1359)+1)*100,3000)+J1359-100),IF(J1359=K1359+1,2000+INDEX(Eingabe!$G$9:$G$18,I1359)*10+1,IF(J1359=K1359+2,2000+INDEX(Eingabe!$G$9:$G$18,I1359)*10+2,2000+INDEX(Eingabe!$G$9:$G$18,I1359)*10+9))),""))</f>
        <v/>
      </c>
      <c r="C1359" s="0" t="str">
        <f aca="false">IF(I1359="","",IF(AND(J1359&gt;=1,J1359&lt;=K1359+3),"10."&amp;INDEX(Eingabe!$D$9:$D$18,I1359)&amp;"."&amp;IF(J1359&lt;=K1359,J1359,IF(J1359=K1359+1,200,IF(J1359=K1359+2,201,250)))&amp;".0/24",""))</f>
        <v/>
      </c>
      <c r="D1359" s="0" t="str">
        <f aca="false">IF(I1359="","",IF(AND(J1359&gt;=1,J1359&lt;=K1359+3),"255.255.255.0",""))</f>
        <v/>
      </c>
      <c r="E1359" s="0" t="str">
        <f aca="false">IF(I1359="","",IF(AND(J1359&gt;=1,J1359&lt;=K1359+3),"10."&amp;INDEX(Eingabe!$D$9:$D$18,I1359)&amp;"."&amp;IF(J1359&lt;=K1359,J1359,IF(J1359=K1359+1,200,IF(J1359=K1359+2,201,250)))&amp;".1",""))</f>
        <v/>
      </c>
      <c r="F1359" s="0" t="str">
        <f aca="false">IF(I1359="","",IF(AND(J1359&gt;=1,J1359&lt;=K1359+3),"10."&amp;INDEX(Eingabe!$D$9:$D$18,I1359)&amp;"."&amp;IF(J1359&lt;=K1359,J1359,IF(J1359=K1359+1,200,IF(J1359=K1359+2,201,250)))&amp;".10 – 10."&amp;INDEX(Eingabe!$D$9:$D$18,I1359)&amp;"."&amp;IF(J1359&lt;=K1359,J1359,IF(J1359=K1359+1,200,IF(J1359=K1359+2,201,250)))&amp;".250",""))</f>
        <v/>
      </c>
      <c r="G1359" s="0" t="str">
        <f aca="false">IF(I1359="","",IF(AND(J1359&gt;=1,J1359&lt;=K1359),Eingabe!$B$6&amp;"-"&amp;INDEX(Eingabe!$C$9:$C$18,I1359)&amp;"-Pächter  ·  Passwort Parzelle "&amp;J1359,IF(J1359=K1359+1,Eingabe!$B$6&amp;"-"&amp;INDEX(Eingabe!$C$9:$C$18,I1359)&amp;"-Vorstand  ·  eigenes WLAN",IF(J1359=K1359+2,Eingabe!$B$6&amp;"-"&amp;INDEX(Eingabe!$C$9:$C$18,I1359)&amp;"-Gäste  ·  Voucher",IF(J1359=K1359+3,"Kabel  ·  Access Point y = .(50+y), Mast-Switch x = .(10+x)","")))))</f>
        <v/>
      </c>
      <c r="I1359" s="0" t="str">
        <f aca="false">IF(1354&lt;=(Eingabe!$P$18+Eingabe!$Q$18-1),MATCH(1354,Eingabe!$P$9:$P$18,1),"")</f>
        <v/>
      </c>
      <c r="J1359" s="0" t="str">
        <f aca="false">IF(I1359="","",1354-INDEX(Eingabe!$P$9:$P$18,I1359))</f>
        <v/>
      </c>
      <c r="K1359" s="0" t="str">
        <f aca="false">IF(I1359="","",INDEX(Eingabe!$E$9:$E$18,I1359))</f>
        <v/>
      </c>
    </row>
    <row r="1360" customFormat="false" ht="15" hidden="false" customHeight="false" outlineLevel="0" collapsed="false">
      <c r="A1360" s="0" t="str">
        <f aca="false">IF(I1360="","",IF(J1360=0,"Sparte "&amp;I1360&amp;": "&amp;INDEX(Eingabe!$B$9:$B$18,I1360)&amp;"  (Sparten-ID "&amp;INDEX(Eingabe!$D$9:$D$18,I1360)&amp;", "&amp;K1360&amp;" Parzellen)",IF(J1360&lt;=K1360,"   Parzelle "&amp;J1360,IF(J1360=K1360+1,"   Vorstand",IF(J1360=K1360+2,"   Gäste",IF(J1360=K1360+3,"   Technik (Switches, Access Points)",""))))))</f>
        <v/>
      </c>
      <c r="B1360" s="0" t="str">
        <f aca="false">IF(I1360="","",IF(AND(J1360&gt;=1,J1360&lt;=K1360+3),IF(J1360&lt;=K1360,IF(J1360&lt;=99,IF((INDEX(Eingabe!$G$9:$G$18,I1360))&lt;=9,1000+(INDEX(Eingabe!$G$9:$G$18,I1360))*100,3000)+J1360,IF((INDEX(Eingabe!$G$9:$G$18,I1360)+1)&lt;=9,1000+(INDEX(Eingabe!$G$9:$G$18,I1360)+1)*100,3000)+J1360-100),IF(J1360=K1360+1,2000+INDEX(Eingabe!$G$9:$G$18,I1360)*10+1,IF(J1360=K1360+2,2000+INDEX(Eingabe!$G$9:$G$18,I1360)*10+2,2000+INDEX(Eingabe!$G$9:$G$18,I1360)*10+9))),""))</f>
        <v/>
      </c>
      <c r="C1360" s="0" t="str">
        <f aca="false">IF(I1360="","",IF(AND(J1360&gt;=1,J1360&lt;=K1360+3),"10."&amp;INDEX(Eingabe!$D$9:$D$18,I1360)&amp;"."&amp;IF(J1360&lt;=K1360,J1360,IF(J1360=K1360+1,200,IF(J1360=K1360+2,201,250)))&amp;".0/24",""))</f>
        <v/>
      </c>
      <c r="D1360" s="0" t="str">
        <f aca="false">IF(I1360="","",IF(AND(J1360&gt;=1,J1360&lt;=K1360+3),"255.255.255.0",""))</f>
        <v/>
      </c>
      <c r="E1360" s="0" t="str">
        <f aca="false">IF(I1360="","",IF(AND(J1360&gt;=1,J1360&lt;=K1360+3),"10."&amp;INDEX(Eingabe!$D$9:$D$18,I1360)&amp;"."&amp;IF(J1360&lt;=K1360,J1360,IF(J1360=K1360+1,200,IF(J1360=K1360+2,201,250)))&amp;".1",""))</f>
        <v/>
      </c>
      <c r="F1360" s="0" t="str">
        <f aca="false">IF(I1360="","",IF(AND(J1360&gt;=1,J1360&lt;=K1360+3),"10."&amp;INDEX(Eingabe!$D$9:$D$18,I1360)&amp;"."&amp;IF(J1360&lt;=K1360,J1360,IF(J1360=K1360+1,200,IF(J1360=K1360+2,201,250)))&amp;".10 – 10."&amp;INDEX(Eingabe!$D$9:$D$18,I1360)&amp;"."&amp;IF(J1360&lt;=K1360,J1360,IF(J1360=K1360+1,200,IF(J1360=K1360+2,201,250)))&amp;".250",""))</f>
        <v/>
      </c>
      <c r="G1360" s="0" t="str">
        <f aca="false">IF(I1360="","",IF(AND(J1360&gt;=1,J1360&lt;=K1360),Eingabe!$B$6&amp;"-"&amp;INDEX(Eingabe!$C$9:$C$18,I1360)&amp;"-Pächter  ·  Passwort Parzelle "&amp;J1360,IF(J1360=K1360+1,Eingabe!$B$6&amp;"-"&amp;INDEX(Eingabe!$C$9:$C$18,I1360)&amp;"-Vorstand  ·  eigenes WLAN",IF(J1360=K1360+2,Eingabe!$B$6&amp;"-"&amp;INDEX(Eingabe!$C$9:$C$18,I1360)&amp;"-Gäste  ·  Voucher",IF(J1360=K1360+3,"Kabel  ·  Access Point y = .(50+y), Mast-Switch x = .(10+x)","")))))</f>
        <v/>
      </c>
      <c r="I1360" s="0" t="str">
        <f aca="false">IF(1355&lt;=(Eingabe!$P$18+Eingabe!$Q$18-1),MATCH(1355,Eingabe!$P$9:$P$18,1),"")</f>
        <v/>
      </c>
      <c r="J1360" s="0" t="str">
        <f aca="false">IF(I1360="","",1355-INDEX(Eingabe!$P$9:$P$18,I1360))</f>
        <v/>
      </c>
      <c r="K1360" s="0" t="str">
        <f aca="false">IF(I1360="","",INDEX(Eingabe!$E$9:$E$18,I1360))</f>
        <v/>
      </c>
    </row>
    <row r="1361" customFormat="false" ht="15" hidden="false" customHeight="false" outlineLevel="0" collapsed="false">
      <c r="A1361" s="0" t="str">
        <f aca="false">IF(I1361="","",IF(J1361=0,"Sparte "&amp;I1361&amp;": "&amp;INDEX(Eingabe!$B$9:$B$18,I1361)&amp;"  (Sparten-ID "&amp;INDEX(Eingabe!$D$9:$D$18,I1361)&amp;", "&amp;K1361&amp;" Parzellen)",IF(J1361&lt;=K1361,"   Parzelle "&amp;J1361,IF(J1361=K1361+1,"   Vorstand",IF(J1361=K1361+2,"   Gäste",IF(J1361=K1361+3,"   Technik (Switches, Access Points)",""))))))</f>
        <v/>
      </c>
      <c r="B1361" s="0" t="str">
        <f aca="false">IF(I1361="","",IF(AND(J1361&gt;=1,J1361&lt;=K1361+3),IF(J1361&lt;=K1361,IF(J1361&lt;=99,IF((INDEX(Eingabe!$G$9:$G$18,I1361))&lt;=9,1000+(INDEX(Eingabe!$G$9:$G$18,I1361))*100,3000)+J1361,IF((INDEX(Eingabe!$G$9:$G$18,I1361)+1)&lt;=9,1000+(INDEX(Eingabe!$G$9:$G$18,I1361)+1)*100,3000)+J1361-100),IF(J1361=K1361+1,2000+INDEX(Eingabe!$G$9:$G$18,I1361)*10+1,IF(J1361=K1361+2,2000+INDEX(Eingabe!$G$9:$G$18,I1361)*10+2,2000+INDEX(Eingabe!$G$9:$G$18,I1361)*10+9))),""))</f>
        <v/>
      </c>
      <c r="C1361" s="0" t="str">
        <f aca="false">IF(I1361="","",IF(AND(J1361&gt;=1,J1361&lt;=K1361+3),"10."&amp;INDEX(Eingabe!$D$9:$D$18,I1361)&amp;"."&amp;IF(J1361&lt;=K1361,J1361,IF(J1361=K1361+1,200,IF(J1361=K1361+2,201,250)))&amp;".0/24",""))</f>
        <v/>
      </c>
      <c r="D1361" s="0" t="str">
        <f aca="false">IF(I1361="","",IF(AND(J1361&gt;=1,J1361&lt;=K1361+3),"255.255.255.0",""))</f>
        <v/>
      </c>
      <c r="E1361" s="0" t="str">
        <f aca="false">IF(I1361="","",IF(AND(J1361&gt;=1,J1361&lt;=K1361+3),"10."&amp;INDEX(Eingabe!$D$9:$D$18,I1361)&amp;"."&amp;IF(J1361&lt;=K1361,J1361,IF(J1361=K1361+1,200,IF(J1361=K1361+2,201,250)))&amp;".1",""))</f>
        <v/>
      </c>
      <c r="F1361" s="0" t="str">
        <f aca="false">IF(I1361="","",IF(AND(J1361&gt;=1,J1361&lt;=K1361+3),"10."&amp;INDEX(Eingabe!$D$9:$D$18,I1361)&amp;"."&amp;IF(J1361&lt;=K1361,J1361,IF(J1361=K1361+1,200,IF(J1361=K1361+2,201,250)))&amp;".10 – 10."&amp;INDEX(Eingabe!$D$9:$D$18,I1361)&amp;"."&amp;IF(J1361&lt;=K1361,J1361,IF(J1361=K1361+1,200,IF(J1361=K1361+2,201,250)))&amp;".250",""))</f>
        <v/>
      </c>
      <c r="G1361" s="0" t="str">
        <f aca="false">IF(I1361="","",IF(AND(J1361&gt;=1,J1361&lt;=K1361),Eingabe!$B$6&amp;"-"&amp;INDEX(Eingabe!$C$9:$C$18,I1361)&amp;"-Pächter  ·  Passwort Parzelle "&amp;J1361,IF(J1361=K1361+1,Eingabe!$B$6&amp;"-"&amp;INDEX(Eingabe!$C$9:$C$18,I1361)&amp;"-Vorstand  ·  eigenes WLAN",IF(J1361=K1361+2,Eingabe!$B$6&amp;"-"&amp;INDEX(Eingabe!$C$9:$C$18,I1361)&amp;"-Gäste  ·  Voucher",IF(J1361=K1361+3,"Kabel  ·  Access Point y = .(50+y), Mast-Switch x = .(10+x)","")))))</f>
        <v/>
      </c>
      <c r="I1361" s="0" t="str">
        <f aca="false">IF(1356&lt;=(Eingabe!$P$18+Eingabe!$Q$18-1),MATCH(1356,Eingabe!$P$9:$P$18,1),"")</f>
        <v/>
      </c>
      <c r="J1361" s="0" t="str">
        <f aca="false">IF(I1361="","",1356-INDEX(Eingabe!$P$9:$P$18,I1361))</f>
        <v/>
      </c>
      <c r="K1361" s="0" t="str">
        <f aca="false">IF(I1361="","",INDEX(Eingabe!$E$9:$E$18,I1361))</f>
        <v/>
      </c>
    </row>
    <row r="1362" customFormat="false" ht="15" hidden="false" customHeight="false" outlineLevel="0" collapsed="false">
      <c r="A1362" s="0" t="str">
        <f aca="false">IF(I1362="","",IF(J1362=0,"Sparte "&amp;I1362&amp;": "&amp;INDEX(Eingabe!$B$9:$B$18,I1362)&amp;"  (Sparten-ID "&amp;INDEX(Eingabe!$D$9:$D$18,I1362)&amp;", "&amp;K1362&amp;" Parzellen)",IF(J1362&lt;=K1362,"   Parzelle "&amp;J1362,IF(J1362=K1362+1,"   Vorstand",IF(J1362=K1362+2,"   Gäste",IF(J1362=K1362+3,"   Technik (Switches, Access Points)",""))))))</f>
        <v/>
      </c>
      <c r="B1362" s="0" t="str">
        <f aca="false">IF(I1362="","",IF(AND(J1362&gt;=1,J1362&lt;=K1362+3),IF(J1362&lt;=K1362,IF(J1362&lt;=99,IF((INDEX(Eingabe!$G$9:$G$18,I1362))&lt;=9,1000+(INDEX(Eingabe!$G$9:$G$18,I1362))*100,3000)+J1362,IF((INDEX(Eingabe!$G$9:$G$18,I1362)+1)&lt;=9,1000+(INDEX(Eingabe!$G$9:$G$18,I1362)+1)*100,3000)+J1362-100),IF(J1362=K1362+1,2000+INDEX(Eingabe!$G$9:$G$18,I1362)*10+1,IF(J1362=K1362+2,2000+INDEX(Eingabe!$G$9:$G$18,I1362)*10+2,2000+INDEX(Eingabe!$G$9:$G$18,I1362)*10+9))),""))</f>
        <v/>
      </c>
      <c r="C1362" s="0" t="str">
        <f aca="false">IF(I1362="","",IF(AND(J1362&gt;=1,J1362&lt;=K1362+3),"10."&amp;INDEX(Eingabe!$D$9:$D$18,I1362)&amp;"."&amp;IF(J1362&lt;=K1362,J1362,IF(J1362=K1362+1,200,IF(J1362=K1362+2,201,250)))&amp;".0/24",""))</f>
        <v/>
      </c>
      <c r="D1362" s="0" t="str">
        <f aca="false">IF(I1362="","",IF(AND(J1362&gt;=1,J1362&lt;=K1362+3),"255.255.255.0",""))</f>
        <v/>
      </c>
      <c r="E1362" s="0" t="str">
        <f aca="false">IF(I1362="","",IF(AND(J1362&gt;=1,J1362&lt;=K1362+3),"10."&amp;INDEX(Eingabe!$D$9:$D$18,I1362)&amp;"."&amp;IF(J1362&lt;=K1362,J1362,IF(J1362=K1362+1,200,IF(J1362=K1362+2,201,250)))&amp;".1",""))</f>
        <v/>
      </c>
      <c r="F1362" s="0" t="str">
        <f aca="false">IF(I1362="","",IF(AND(J1362&gt;=1,J1362&lt;=K1362+3),"10."&amp;INDEX(Eingabe!$D$9:$D$18,I1362)&amp;"."&amp;IF(J1362&lt;=K1362,J1362,IF(J1362=K1362+1,200,IF(J1362=K1362+2,201,250)))&amp;".10 – 10."&amp;INDEX(Eingabe!$D$9:$D$18,I1362)&amp;"."&amp;IF(J1362&lt;=K1362,J1362,IF(J1362=K1362+1,200,IF(J1362=K1362+2,201,250)))&amp;".250",""))</f>
        <v/>
      </c>
      <c r="G1362" s="0" t="str">
        <f aca="false">IF(I1362="","",IF(AND(J1362&gt;=1,J1362&lt;=K1362),Eingabe!$B$6&amp;"-"&amp;INDEX(Eingabe!$C$9:$C$18,I1362)&amp;"-Pächter  ·  Passwort Parzelle "&amp;J1362,IF(J1362=K1362+1,Eingabe!$B$6&amp;"-"&amp;INDEX(Eingabe!$C$9:$C$18,I1362)&amp;"-Vorstand  ·  eigenes WLAN",IF(J1362=K1362+2,Eingabe!$B$6&amp;"-"&amp;INDEX(Eingabe!$C$9:$C$18,I1362)&amp;"-Gäste  ·  Voucher",IF(J1362=K1362+3,"Kabel  ·  Access Point y = .(50+y), Mast-Switch x = .(10+x)","")))))</f>
        <v/>
      </c>
      <c r="I1362" s="0" t="str">
        <f aca="false">IF(1357&lt;=(Eingabe!$P$18+Eingabe!$Q$18-1),MATCH(1357,Eingabe!$P$9:$P$18,1),"")</f>
        <v/>
      </c>
      <c r="J1362" s="0" t="str">
        <f aca="false">IF(I1362="","",1357-INDEX(Eingabe!$P$9:$P$18,I1362))</f>
        <v/>
      </c>
      <c r="K1362" s="0" t="str">
        <f aca="false">IF(I1362="","",INDEX(Eingabe!$E$9:$E$18,I1362))</f>
        <v/>
      </c>
    </row>
    <row r="1363" customFormat="false" ht="15" hidden="false" customHeight="false" outlineLevel="0" collapsed="false">
      <c r="A1363" s="0" t="str">
        <f aca="false">IF(I1363="","",IF(J1363=0,"Sparte "&amp;I1363&amp;": "&amp;INDEX(Eingabe!$B$9:$B$18,I1363)&amp;"  (Sparten-ID "&amp;INDEX(Eingabe!$D$9:$D$18,I1363)&amp;", "&amp;K1363&amp;" Parzellen)",IF(J1363&lt;=K1363,"   Parzelle "&amp;J1363,IF(J1363=K1363+1,"   Vorstand",IF(J1363=K1363+2,"   Gäste",IF(J1363=K1363+3,"   Technik (Switches, Access Points)",""))))))</f>
        <v/>
      </c>
      <c r="B1363" s="0" t="str">
        <f aca="false">IF(I1363="","",IF(AND(J1363&gt;=1,J1363&lt;=K1363+3),IF(J1363&lt;=K1363,IF(J1363&lt;=99,IF((INDEX(Eingabe!$G$9:$G$18,I1363))&lt;=9,1000+(INDEX(Eingabe!$G$9:$G$18,I1363))*100,3000)+J1363,IF((INDEX(Eingabe!$G$9:$G$18,I1363)+1)&lt;=9,1000+(INDEX(Eingabe!$G$9:$G$18,I1363)+1)*100,3000)+J1363-100),IF(J1363=K1363+1,2000+INDEX(Eingabe!$G$9:$G$18,I1363)*10+1,IF(J1363=K1363+2,2000+INDEX(Eingabe!$G$9:$G$18,I1363)*10+2,2000+INDEX(Eingabe!$G$9:$G$18,I1363)*10+9))),""))</f>
        <v/>
      </c>
      <c r="C1363" s="0" t="str">
        <f aca="false">IF(I1363="","",IF(AND(J1363&gt;=1,J1363&lt;=K1363+3),"10."&amp;INDEX(Eingabe!$D$9:$D$18,I1363)&amp;"."&amp;IF(J1363&lt;=K1363,J1363,IF(J1363=K1363+1,200,IF(J1363=K1363+2,201,250)))&amp;".0/24",""))</f>
        <v/>
      </c>
      <c r="D1363" s="0" t="str">
        <f aca="false">IF(I1363="","",IF(AND(J1363&gt;=1,J1363&lt;=K1363+3),"255.255.255.0",""))</f>
        <v/>
      </c>
      <c r="E1363" s="0" t="str">
        <f aca="false">IF(I1363="","",IF(AND(J1363&gt;=1,J1363&lt;=K1363+3),"10."&amp;INDEX(Eingabe!$D$9:$D$18,I1363)&amp;"."&amp;IF(J1363&lt;=K1363,J1363,IF(J1363=K1363+1,200,IF(J1363=K1363+2,201,250)))&amp;".1",""))</f>
        <v/>
      </c>
      <c r="F1363" s="0" t="str">
        <f aca="false">IF(I1363="","",IF(AND(J1363&gt;=1,J1363&lt;=K1363+3),"10."&amp;INDEX(Eingabe!$D$9:$D$18,I1363)&amp;"."&amp;IF(J1363&lt;=K1363,J1363,IF(J1363=K1363+1,200,IF(J1363=K1363+2,201,250)))&amp;".10 – 10."&amp;INDEX(Eingabe!$D$9:$D$18,I1363)&amp;"."&amp;IF(J1363&lt;=K1363,J1363,IF(J1363=K1363+1,200,IF(J1363=K1363+2,201,250)))&amp;".250",""))</f>
        <v/>
      </c>
      <c r="G1363" s="0" t="str">
        <f aca="false">IF(I1363="","",IF(AND(J1363&gt;=1,J1363&lt;=K1363),Eingabe!$B$6&amp;"-"&amp;INDEX(Eingabe!$C$9:$C$18,I1363)&amp;"-Pächter  ·  Passwort Parzelle "&amp;J1363,IF(J1363=K1363+1,Eingabe!$B$6&amp;"-"&amp;INDEX(Eingabe!$C$9:$C$18,I1363)&amp;"-Vorstand  ·  eigenes WLAN",IF(J1363=K1363+2,Eingabe!$B$6&amp;"-"&amp;INDEX(Eingabe!$C$9:$C$18,I1363)&amp;"-Gäste  ·  Voucher",IF(J1363=K1363+3,"Kabel  ·  Access Point y = .(50+y), Mast-Switch x = .(10+x)","")))))</f>
        <v/>
      </c>
      <c r="I1363" s="0" t="str">
        <f aca="false">IF(1358&lt;=(Eingabe!$P$18+Eingabe!$Q$18-1),MATCH(1358,Eingabe!$P$9:$P$18,1),"")</f>
        <v/>
      </c>
      <c r="J1363" s="0" t="str">
        <f aca="false">IF(I1363="","",1358-INDEX(Eingabe!$P$9:$P$18,I1363))</f>
        <v/>
      </c>
      <c r="K1363" s="0" t="str">
        <f aca="false">IF(I1363="","",INDEX(Eingabe!$E$9:$E$18,I1363))</f>
        <v/>
      </c>
    </row>
    <row r="1364" customFormat="false" ht="15" hidden="false" customHeight="false" outlineLevel="0" collapsed="false">
      <c r="A1364" s="0" t="str">
        <f aca="false">IF(I1364="","",IF(J1364=0,"Sparte "&amp;I1364&amp;": "&amp;INDEX(Eingabe!$B$9:$B$18,I1364)&amp;"  (Sparten-ID "&amp;INDEX(Eingabe!$D$9:$D$18,I1364)&amp;", "&amp;K1364&amp;" Parzellen)",IF(J1364&lt;=K1364,"   Parzelle "&amp;J1364,IF(J1364=K1364+1,"   Vorstand",IF(J1364=K1364+2,"   Gäste",IF(J1364=K1364+3,"   Technik (Switches, Access Points)",""))))))</f>
        <v/>
      </c>
      <c r="B1364" s="0" t="str">
        <f aca="false">IF(I1364="","",IF(AND(J1364&gt;=1,J1364&lt;=K1364+3),IF(J1364&lt;=K1364,IF(J1364&lt;=99,IF((INDEX(Eingabe!$G$9:$G$18,I1364))&lt;=9,1000+(INDEX(Eingabe!$G$9:$G$18,I1364))*100,3000)+J1364,IF((INDEX(Eingabe!$G$9:$G$18,I1364)+1)&lt;=9,1000+(INDEX(Eingabe!$G$9:$G$18,I1364)+1)*100,3000)+J1364-100),IF(J1364=K1364+1,2000+INDEX(Eingabe!$G$9:$G$18,I1364)*10+1,IF(J1364=K1364+2,2000+INDEX(Eingabe!$G$9:$G$18,I1364)*10+2,2000+INDEX(Eingabe!$G$9:$G$18,I1364)*10+9))),""))</f>
        <v/>
      </c>
      <c r="C1364" s="0" t="str">
        <f aca="false">IF(I1364="","",IF(AND(J1364&gt;=1,J1364&lt;=K1364+3),"10."&amp;INDEX(Eingabe!$D$9:$D$18,I1364)&amp;"."&amp;IF(J1364&lt;=K1364,J1364,IF(J1364=K1364+1,200,IF(J1364=K1364+2,201,250)))&amp;".0/24",""))</f>
        <v/>
      </c>
      <c r="D1364" s="0" t="str">
        <f aca="false">IF(I1364="","",IF(AND(J1364&gt;=1,J1364&lt;=K1364+3),"255.255.255.0",""))</f>
        <v/>
      </c>
      <c r="E1364" s="0" t="str">
        <f aca="false">IF(I1364="","",IF(AND(J1364&gt;=1,J1364&lt;=K1364+3),"10."&amp;INDEX(Eingabe!$D$9:$D$18,I1364)&amp;"."&amp;IF(J1364&lt;=K1364,J1364,IF(J1364=K1364+1,200,IF(J1364=K1364+2,201,250)))&amp;".1",""))</f>
        <v/>
      </c>
      <c r="F1364" s="0" t="str">
        <f aca="false">IF(I1364="","",IF(AND(J1364&gt;=1,J1364&lt;=K1364+3),"10."&amp;INDEX(Eingabe!$D$9:$D$18,I1364)&amp;"."&amp;IF(J1364&lt;=K1364,J1364,IF(J1364=K1364+1,200,IF(J1364=K1364+2,201,250)))&amp;".10 – 10."&amp;INDEX(Eingabe!$D$9:$D$18,I1364)&amp;"."&amp;IF(J1364&lt;=K1364,J1364,IF(J1364=K1364+1,200,IF(J1364=K1364+2,201,250)))&amp;".250",""))</f>
        <v/>
      </c>
      <c r="G1364" s="0" t="str">
        <f aca="false">IF(I1364="","",IF(AND(J1364&gt;=1,J1364&lt;=K1364),Eingabe!$B$6&amp;"-"&amp;INDEX(Eingabe!$C$9:$C$18,I1364)&amp;"-Pächter  ·  Passwort Parzelle "&amp;J1364,IF(J1364=K1364+1,Eingabe!$B$6&amp;"-"&amp;INDEX(Eingabe!$C$9:$C$18,I1364)&amp;"-Vorstand  ·  eigenes WLAN",IF(J1364=K1364+2,Eingabe!$B$6&amp;"-"&amp;INDEX(Eingabe!$C$9:$C$18,I1364)&amp;"-Gäste  ·  Voucher",IF(J1364=K1364+3,"Kabel  ·  Access Point y = .(50+y), Mast-Switch x = .(10+x)","")))))</f>
        <v/>
      </c>
      <c r="I1364" s="0" t="str">
        <f aca="false">IF(1359&lt;=(Eingabe!$P$18+Eingabe!$Q$18-1),MATCH(1359,Eingabe!$P$9:$P$18,1),"")</f>
        <v/>
      </c>
      <c r="J1364" s="0" t="str">
        <f aca="false">IF(I1364="","",1359-INDEX(Eingabe!$P$9:$P$18,I1364))</f>
        <v/>
      </c>
      <c r="K1364" s="0" t="str">
        <f aca="false">IF(I1364="","",INDEX(Eingabe!$E$9:$E$18,I1364))</f>
        <v/>
      </c>
    </row>
    <row r="1365" customFormat="false" ht="15" hidden="false" customHeight="false" outlineLevel="0" collapsed="false">
      <c r="A1365" s="0" t="str">
        <f aca="false">IF(I1365="","",IF(J1365=0,"Sparte "&amp;I1365&amp;": "&amp;INDEX(Eingabe!$B$9:$B$18,I1365)&amp;"  (Sparten-ID "&amp;INDEX(Eingabe!$D$9:$D$18,I1365)&amp;", "&amp;K1365&amp;" Parzellen)",IF(J1365&lt;=K1365,"   Parzelle "&amp;J1365,IF(J1365=K1365+1,"   Vorstand",IF(J1365=K1365+2,"   Gäste",IF(J1365=K1365+3,"   Technik (Switches, Access Points)",""))))))</f>
        <v/>
      </c>
      <c r="B1365" s="0" t="str">
        <f aca="false">IF(I1365="","",IF(AND(J1365&gt;=1,J1365&lt;=K1365+3),IF(J1365&lt;=K1365,IF(J1365&lt;=99,IF((INDEX(Eingabe!$G$9:$G$18,I1365))&lt;=9,1000+(INDEX(Eingabe!$G$9:$G$18,I1365))*100,3000)+J1365,IF((INDEX(Eingabe!$G$9:$G$18,I1365)+1)&lt;=9,1000+(INDEX(Eingabe!$G$9:$G$18,I1365)+1)*100,3000)+J1365-100),IF(J1365=K1365+1,2000+INDEX(Eingabe!$G$9:$G$18,I1365)*10+1,IF(J1365=K1365+2,2000+INDEX(Eingabe!$G$9:$G$18,I1365)*10+2,2000+INDEX(Eingabe!$G$9:$G$18,I1365)*10+9))),""))</f>
        <v/>
      </c>
      <c r="C1365" s="0" t="str">
        <f aca="false">IF(I1365="","",IF(AND(J1365&gt;=1,J1365&lt;=K1365+3),"10."&amp;INDEX(Eingabe!$D$9:$D$18,I1365)&amp;"."&amp;IF(J1365&lt;=K1365,J1365,IF(J1365=K1365+1,200,IF(J1365=K1365+2,201,250)))&amp;".0/24",""))</f>
        <v/>
      </c>
      <c r="D1365" s="0" t="str">
        <f aca="false">IF(I1365="","",IF(AND(J1365&gt;=1,J1365&lt;=K1365+3),"255.255.255.0",""))</f>
        <v/>
      </c>
      <c r="E1365" s="0" t="str">
        <f aca="false">IF(I1365="","",IF(AND(J1365&gt;=1,J1365&lt;=K1365+3),"10."&amp;INDEX(Eingabe!$D$9:$D$18,I1365)&amp;"."&amp;IF(J1365&lt;=K1365,J1365,IF(J1365=K1365+1,200,IF(J1365=K1365+2,201,250)))&amp;".1",""))</f>
        <v/>
      </c>
      <c r="F1365" s="0" t="str">
        <f aca="false">IF(I1365="","",IF(AND(J1365&gt;=1,J1365&lt;=K1365+3),"10."&amp;INDEX(Eingabe!$D$9:$D$18,I1365)&amp;"."&amp;IF(J1365&lt;=K1365,J1365,IF(J1365=K1365+1,200,IF(J1365=K1365+2,201,250)))&amp;".10 – 10."&amp;INDEX(Eingabe!$D$9:$D$18,I1365)&amp;"."&amp;IF(J1365&lt;=K1365,J1365,IF(J1365=K1365+1,200,IF(J1365=K1365+2,201,250)))&amp;".250",""))</f>
        <v/>
      </c>
      <c r="G1365" s="0" t="str">
        <f aca="false">IF(I1365="","",IF(AND(J1365&gt;=1,J1365&lt;=K1365),Eingabe!$B$6&amp;"-"&amp;INDEX(Eingabe!$C$9:$C$18,I1365)&amp;"-Pächter  ·  Passwort Parzelle "&amp;J1365,IF(J1365=K1365+1,Eingabe!$B$6&amp;"-"&amp;INDEX(Eingabe!$C$9:$C$18,I1365)&amp;"-Vorstand  ·  eigenes WLAN",IF(J1365=K1365+2,Eingabe!$B$6&amp;"-"&amp;INDEX(Eingabe!$C$9:$C$18,I1365)&amp;"-Gäste  ·  Voucher",IF(J1365=K1365+3,"Kabel  ·  Access Point y = .(50+y), Mast-Switch x = .(10+x)","")))))</f>
        <v/>
      </c>
      <c r="I1365" s="0" t="str">
        <f aca="false">IF(1360&lt;=(Eingabe!$P$18+Eingabe!$Q$18-1),MATCH(1360,Eingabe!$P$9:$P$18,1),"")</f>
        <v/>
      </c>
      <c r="J1365" s="0" t="str">
        <f aca="false">IF(I1365="","",1360-INDEX(Eingabe!$P$9:$P$18,I1365))</f>
        <v/>
      </c>
      <c r="K1365" s="0" t="str">
        <f aca="false">IF(I1365="","",INDEX(Eingabe!$E$9:$E$18,I1365))</f>
        <v/>
      </c>
    </row>
    <row r="1366" customFormat="false" ht="15" hidden="false" customHeight="false" outlineLevel="0" collapsed="false">
      <c r="A1366" s="0" t="str">
        <f aca="false">IF(I1366="","",IF(J1366=0,"Sparte "&amp;I1366&amp;": "&amp;INDEX(Eingabe!$B$9:$B$18,I1366)&amp;"  (Sparten-ID "&amp;INDEX(Eingabe!$D$9:$D$18,I1366)&amp;", "&amp;K1366&amp;" Parzellen)",IF(J1366&lt;=K1366,"   Parzelle "&amp;J1366,IF(J1366=K1366+1,"   Vorstand",IF(J1366=K1366+2,"   Gäste",IF(J1366=K1366+3,"   Technik (Switches, Access Points)",""))))))</f>
        <v/>
      </c>
      <c r="B1366" s="0" t="str">
        <f aca="false">IF(I1366="","",IF(AND(J1366&gt;=1,J1366&lt;=K1366+3),IF(J1366&lt;=K1366,IF(J1366&lt;=99,IF((INDEX(Eingabe!$G$9:$G$18,I1366))&lt;=9,1000+(INDEX(Eingabe!$G$9:$G$18,I1366))*100,3000)+J1366,IF((INDEX(Eingabe!$G$9:$G$18,I1366)+1)&lt;=9,1000+(INDEX(Eingabe!$G$9:$G$18,I1366)+1)*100,3000)+J1366-100),IF(J1366=K1366+1,2000+INDEX(Eingabe!$G$9:$G$18,I1366)*10+1,IF(J1366=K1366+2,2000+INDEX(Eingabe!$G$9:$G$18,I1366)*10+2,2000+INDEX(Eingabe!$G$9:$G$18,I1366)*10+9))),""))</f>
        <v/>
      </c>
      <c r="C1366" s="0" t="str">
        <f aca="false">IF(I1366="","",IF(AND(J1366&gt;=1,J1366&lt;=K1366+3),"10."&amp;INDEX(Eingabe!$D$9:$D$18,I1366)&amp;"."&amp;IF(J1366&lt;=K1366,J1366,IF(J1366=K1366+1,200,IF(J1366=K1366+2,201,250)))&amp;".0/24",""))</f>
        <v/>
      </c>
      <c r="D1366" s="0" t="str">
        <f aca="false">IF(I1366="","",IF(AND(J1366&gt;=1,J1366&lt;=K1366+3),"255.255.255.0",""))</f>
        <v/>
      </c>
      <c r="E1366" s="0" t="str">
        <f aca="false">IF(I1366="","",IF(AND(J1366&gt;=1,J1366&lt;=K1366+3),"10."&amp;INDEX(Eingabe!$D$9:$D$18,I1366)&amp;"."&amp;IF(J1366&lt;=K1366,J1366,IF(J1366=K1366+1,200,IF(J1366=K1366+2,201,250)))&amp;".1",""))</f>
        <v/>
      </c>
      <c r="F1366" s="0" t="str">
        <f aca="false">IF(I1366="","",IF(AND(J1366&gt;=1,J1366&lt;=K1366+3),"10."&amp;INDEX(Eingabe!$D$9:$D$18,I1366)&amp;"."&amp;IF(J1366&lt;=K1366,J1366,IF(J1366=K1366+1,200,IF(J1366=K1366+2,201,250)))&amp;".10 – 10."&amp;INDEX(Eingabe!$D$9:$D$18,I1366)&amp;"."&amp;IF(J1366&lt;=K1366,J1366,IF(J1366=K1366+1,200,IF(J1366=K1366+2,201,250)))&amp;".250",""))</f>
        <v/>
      </c>
      <c r="G1366" s="0" t="str">
        <f aca="false">IF(I1366="","",IF(AND(J1366&gt;=1,J1366&lt;=K1366),Eingabe!$B$6&amp;"-"&amp;INDEX(Eingabe!$C$9:$C$18,I1366)&amp;"-Pächter  ·  Passwort Parzelle "&amp;J1366,IF(J1366=K1366+1,Eingabe!$B$6&amp;"-"&amp;INDEX(Eingabe!$C$9:$C$18,I1366)&amp;"-Vorstand  ·  eigenes WLAN",IF(J1366=K1366+2,Eingabe!$B$6&amp;"-"&amp;INDEX(Eingabe!$C$9:$C$18,I1366)&amp;"-Gäste  ·  Voucher",IF(J1366=K1366+3,"Kabel  ·  Access Point y = .(50+y), Mast-Switch x = .(10+x)","")))))</f>
        <v/>
      </c>
      <c r="I1366" s="0" t="str">
        <f aca="false">IF(1361&lt;=(Eingabe!$P$18+Eingabe!$Q$18-1),MATCH(1361,Eingabe!$P$9:$P$18,1),"")</f>
        <v/>
      </c>
      <c r="J1366" s="0" t="str">
        <f aca="false">IF(I1366="","",1361-INDEX(Eingabe!$P$9:$P$18,I1366))</f>
        <v/>
      </c>
      <c r="K1366" s="0" t="str">
        <f aca="false">IF(I1366="","",INDEX(Eingabe!$E$9:$E$18,I1366))</f>
        <v/>
      </c>
    </row>
    <row r="1367" customFormat="false" ht="15" hidden="false" customHeight="false" outlineLevel="0" collapsed="false">
      <c r="A1367" s="0" t="str">
        <f aca="false">IF(I1367="","",IF(J1367=0,"Sparte "&amp;I1367&amp;": "&amp;INDEX(Eingabe!$B$9:$B$18,I1367)&amp;"  (Sparten-ID "&amp;INDEX(Eingabe!$D$9:$D$18,I1367)&amp;", "&amp;K1367&amp;" Parzellen)",IF(J1367&lt;=K1367,"   Parzelle "&amp;J1367,IF(J1367=K1367+1,"   Vorstand",IF(J1367=K1367+2,"   Gäste",IF(J1367=K1367+3,"   Technik (Switches, Access Points)",""))))))</f>
        <v/>
      </c>
      <c r="B1367" s="0" t="str">
        <f aca="false">IF(I1367="","",IF(AND(J1367&gt;=1,J1367&lt;=K1367+3),IF(J1367&lt;=K1367,IF(J1367&lt;=99,IF((INDEX(Eingabe!$G$9:$G$18,I1367))&lt;=9,1000+(INDEX(Eingabe!$G$9:$G$18,I1367))*100,3000)+J1367,IF((INDEX(Eingabe!$G$9:$G$18,I1367)+1)&lt;=9,1000+(INDEX(Eingabe!$G$9:$G$18,I1367)+1)*100,3000)+J1367-100),IF(J1367=K1367+1,2000+INDEX(Eingabe!$G$9:$G$18,I1367)*10+1,IF(J1367=K1367+2,2000+INDEX(Eingabe!$G$9:$G$18,I1367)*10+2,2000+INDEX(Eingabe!$G$9:$G$18,I1367)*10+9))),""))</f>
        <v/>
      </c>
      <c r="C1367" s="0" t="str">
        <f aca="false">IF(I1367="","",IF(AND(J1367&gt;=1,J1367&lt;=K1367+3),"10."&amp;INDEX(Eingabe!$D$9:$D$18,I1367)&amp;"."&amp;IF(J1367&lt;=K1367,J1367,IF(J1367=K1367+1,200,IF(J1367=K1367+2,201,250)))&amp;".0/24",""))</f>
        <v/>
      </c>
      <c r="D1367" s="0" t="str">
        <f aca="false">IF(I1367="","",IF(AND(J1367&gt;=1,J1367&lt;=K1367+3),"255.255.255.0",""))</f>
        <v/>
      </c>
      <c r="E1367" s="0" t="str">
        <f aca="false">IF(I1367="","",IF(AND(J1367&gt;=1,J1367&lt;=K1367+3),"10."&amp;INDEX(Eingabe!$D$9:$D$18,I1367)&amp;"."&amp;IF(J1367&lt;=K1367,J1367,IF(J1367=K1367+1,200,IF(J1367=K1367+2,201,250)))&amp;".1",""))</f>
        <v/>
      </c>
      <c r="F1367" s="0" t="str">
        <f aca="false">IF(I1367="","",IF(AND(J1367&gt;=1,J1367&lt;=K1367+3),"10."&amp;INDEX(Eingabe!$D$9:$D$18,I1367)&amp;"."&amp;IF(J1367&lt;=K1367,J1367,IF(J1367=K1367+1,200,IF(J1367=K1367+2,201,250)))&amp;".10 – 10."&amp;INDEX(Eingabe!$D$9:$D$18,I1367)&amp;"."&amp;IF(J1367&lt;=K1367,J1367,IF(J1367=K1367+1,200,IF(J1367=K1367+2,201,250)))&amp;".250",""))</f>
        <v/>
      </c>
      <c r="G1367" s="0" t="str">
        <f aca="false">IF(I1367="","",IF(AND(J1367&gt;=1,J1367&lt;=K1367),Eingabe!$B$6&amp;"-"&amp;INDEX(Eingabe!$C$9:$C$18,I1367)&amp;"-Pächter  ·  Passwort Parzelle "&amp;J1367,IF(J1367=K1367+1,Eingabe!$B$6&amp;"-"&amp;INDEX(Eingabe!$C$9:$C$18,I1367)&amp;"-Vorstand  ·  eigenes WLAN",IF(J1367=K1367+2,Eingabe!$B$6&amp;"-"&amp;INDEX(Eingabe!$C$9:$C$18,I1367)&amp;"-Gäste  ·  Voucher",IF(J1367=K1367+3,"Kabel  ·  Access Point y = .(50+y), Mast-Switch x = .(10+x)","")))))</f>
        <v/>
      </c>
      <c r="I1367" s="0" t="str">
        <f aca="false">IF(1362&lt;=(Eingabe!$P$18+Eingabe!$Q$18-1),MATCH(1362,Eingabe!$P$9:$P$18,1),"")</f>
        <v/>
      </c>
      <c r="J1367" s="0" t="str">
        <f aca="false">IF(I1367="","",1362-INDEX(Eingabe!$P$9:$P$18,I1367))</f>
        <v/>
      </c>
      <c r="K1367" s="0" t="str">
        <f aca="false">IF(I1367="","",INDEX(Eingabe!$E$9:$E$18,I1367))</f>
        <v/>
      </c>
    </row>
    <row r="1368" customFormat="false" ht="15" hidden="false" customHeight="false" outlineLevel="0" collapsed="false">
      <c r="A1368" s="0" t="str">
        <f aca="false">IF(I1368="","",IF(J1368=0,"Sparte "&amp;I1368&amp;": "&amp;INDEX(Eingabe!$B$9:$B$18,I1368)&amp;"  (Sparten-ID "&amp;INDEX(Eingabe!$D$9:$D$18,I1368)&amp;", "&amp;K1368&amp;" Parzellen)",IF(J1368&lt;=K1368,"   Parzelle "&amp;J1368,IF(J1368=K1368+1,"   Vorstand",IF(J1368=K1368+2,"   Gäste",IF(J1368=K1368+3,"   Technik (Switches, Access Points)",""))))))</f>
        <v/>
      </c>
      <c r="B1368" s="0" t="str">
        <f aca="false">IF(I1368="","",IF(AND(J1368&gt;=1,J1368&lt;=K1368+3),IF(J1368&lt;=K1368,IF(J1368&lt;=99,IF((INDEX(Eingabe!$G$9:$G$18,I1368))&lt;=9,1000+(INDEX(Eingabe!$G$9:$G$18,I1368))*100,3000)+J1368,IF((INDEX(Eingabe!$G$9:$G$18,I1368)+1)&lt;=9,1000+(INDEX(Eingabe!$G$9:$G$18,I1368)+1)*100,3000)+J1368-100),IF(J1368=K1368+1,2000+INDEX(Eingabe!$G$9:$G$18,I1368)*10+1,IF(J1368=K1368+2,2000+INDEX(Eingabe!$G$9:$G$18,I1368)*10+2,2000+INDEX(Eingabe!$G$9:$G$18,I1368)*10+9))),""))</f>
        <v/>
      </c>
      <c r="C1368" s="0" t="str">
        <f aca="false">IF(I1368="","",IF(AND(J1368&gt;=1,J1368&lt;=K1368+3),"10."&amp;INDEX(Eingabe!$D$9:$D$18,I1368)&amp;"."&amp;IF(J1368&lt;=K1368,J1368,IF(J1368=K1368+1,200,IF(J1368=K1368+2,201,250)))&amp;".0/24",""))</f>
        <v/>
      </c>
      <c r="D1368" s="0" t="str">
        <f aca="false">IF(I1368="","",IF(AND(J1368&gt;=1,J1368&lt;=K1368+3),"255.255.255.0",""))</f>
        <v/>
      </c>
      <c r="E1368" s="0" t="str">
        <f aca="false">IF(I1368="","",IF(AND(J1368&gt;=1,J1368&lt;=K1368+3),"10."&amp;INDEX(Eingabe!$D$9:$D$18,I1368)&amp;"."&amp;IF(J1368&lt;=K1368,J1368,IF(J1368=K1368+1,200,IF(J1368=K1368+2,201,250)))&amp;".1",""))</f>
        <v/>
      </c>
      <c r="F1368" s="0" t="str">
        <f aca="false">IF(I1368="","",IF(AND(J1368&gt;=1,J1368&lt;=K1368+3),"10."&amp;INDEX(Eingabe!$D$9:$D$18,I1368)&amp;"."&amp;IF(J1368&lt;=K1368,J1368,IF(J1368=K1368+1,200,IF(J1368=K1368+2,201,250)))&amp;".10 – 10."&amp;INDEX(Eingabe!$D$9:$D$18,I1368)&amp;"."&amp;IF(J1368&lt;=K1368,J1368,IF(J1368=K1368+1,200,IF(J1368=K1368+2,201,250)))&amp;".250",""))</f>
        <v/>
      </c>
      <c r="G1368" s="0" t="str">
        <f aca="false">IF(I1368="","",IF(AND(J1368&gt;=1,J1368&lt;=K1368),Eingabe!$B$6&amp;"-"&amp;INDEX(Eingabe!$C$9:$C$18,I1368)&amp;"-Pächter  ·  Passwort Parzelle "&amp;J1368,IF(J1368=K1368+1,Eingabe!$B$6&amp;"-"&amp;INDEX(Eingabe!$C$9:$C$18,I1368)&amp;"-Vorstand  ·  eigenes WLAN",IF(J1368=K1368+2,Eingabe!$B$6&amp;"-"&amp;INDEX(Eingabe!$C$9:$C$18,I1368)&amp;"-Gäste  ·  Voucher",IF(J1368=K1368+3,"Kabel  ·  Access Point y = .(50+y), Mast-Switch x = .(10+x)","")))))</f>
        <v/>
      </c>
      <c r="I1368" s="0" t="str">
        <f aca="false">IF(1363&lt;=(Eingabe!$P$18+Eingabe!$Q$18-1),MATCH(1363,Eingabe!$P$9:$P$18,1),"")</f>
        <v/>
      </c>
      <c r="J1368" s="0" t="str">
        <f aca="false">IF(I1368="","",1363-INDEX(Eingabe!$P$9:$P$18,I1368))</f>
        <v/>
      </c>
      <c r="K1368" s="0" t="str">
        <f aca="false">IF(I1368="","",INDEX(Eingabe!$E$9:$E$18,I1368))</f>
        <v/>
      </c>
    </row>
    <row r="1369" customFormat="false" ht="15" hidden="false" customHeight="false" outlineLevel="0" collapsed="false">
      <c r="A1369" s="0" t="str">
        <f aca="false">IF(I1369="","",IF(J1369=0,"Sparte "&amp;I1369&amp;": "&amp;INDEX(Eingabe!$B$9:$B$18,I1369)&amp;"  (Sparten-ID "&amp;INDEX(Eingabe!$D$9:$D$18,I1369)&amp;", "&amp;K1369&amp;" Parzellen)",IF(J1369&lt;=K1369,"   Parzelle "&amp;J1369,IF(J1369=K1369+1,"   Vorstand",IF(J1369=K1369+2,"   Gäste",IF(J1369=K1369+3,"   Technik (Switches, Access Points)",""))))))</f>
        <v/>
      </c>
      <c r="B1369" s="0" t="str">
        <f aca="false">IF(I1369="","",IF(AND(J1369&gt;=1,J1369&lt;=K1369+3),IF(J1369&lt;=K1369,IF(J1369&lt;=99,IF((INDEX(Eingabe!$G$9:$G$18,I1369))&lt;=9,1000+(INDEX(Eingabe!$G$9:$G$18,I1369))*100,3000)+J1369,IF((INDEX(Eingabe!$G$9:$G$18,I1369)+1)&lt;=9,1000+(INDEX(Eingabe!$G$9:$G$18,I1369)+1)*100,3000)+J1369-100),IF(J1369=K1369+1,2000+INDEX(Eingabe!$G$9:$G$18,I1369)*10+1,IF(J1369=K1369+2,2000+INDEX(Eingabe!$G$9:$G$18,I1369)*10+2,2000+INDEX(Eingabe!$G$9:$G$18,I1369)*10+9))),""))</f>
        <v/>
      </c>
      <c r="C1369" s="0" t="str">
        <f aca="false">IF(I1369="","",IF(AND(J1369&gt;=1,J1369&lt;=K1369+3),"10."&amp;INDEX(Eingabe!$D$9:$D$18,I1369)&amp;"."&amp;IF(J1369&lt;=K1369,J1369,IF(J1369=K1369+1,200,IF(J1369=K1369+2,201,250)))&amp;".0/24",""))</f>
        <v/>
      </c>
      <c r="D1369" s="0" t="str">
        <f aca="false">IF(I1369="","",IF(AND(J1369&gt;=1,J1369&lt;=K1369+3),"255.255.255.0",""))</f>
        <v/>
      </c>
      <c r="E1369" s="0" t="str">
        <f aca="false">IF(I1369="","",IF(AND(J1369&gt;=1,J1369&lt;=K1369+3),"10."&amp;INDEX(Eingabe!$D$9:$D$18,I1369)&amp;"."&amp;IF(J1369&lt;=K1369,J1369,IF(J1369=K1369+1,200,IF(J1369=K1369+2,201,250)))&amp;".1",""))</f>
        <v/>
      </c>
      <c r="F1369" s="0" t="str">
        <f aca="false">IF(I1369="","",IF(AND(J1369&gt;=1,J1369&lt;=K1369+3),"10."&amp;INDEX(Eingabe!$D$9:$D$18,I1369)&amp;"."&amp;IF(J1369&lt;=K1369,J1369,IF(J1369=K1369+1,200,IF(J1369=K1369+2,201,250)))&amp;".10 – 10."&amp;INDEX(Eingabe!$D$9:$D$18,I1369)&amp;"."&amp;IF(J1369&lt;=K1369,J1369,IF(J1369=K1369+1,200,IF(J1369=K1369+2,201,250)))&amp;".250",""))</f>
        <v/>
      </c>
      <c r="G1369" s="0" t="str">
        <f aca="false">IF(I1369="","",IF(AND(J1369&gt;=1,J1369&lt;=K1369),Eingabe!$B$6&amp;"-"&amp;INDEX(Eingabe!$C$9:$C$18,I1369)&amp;"-Pächter  ·  Passwort Parzelle "&amp;J1369,IF(J1369=K1369+1,Eingabe!$B$6&amp;"-"&amp;INDEX(Eingabe!$C$9:$C$18,I1369)&amp;"-Vorstand  ·  eigenes WLAN",IF(J1369=K1369+2,Eingabe!$B$6&amp;"-"&amp;INDEX(Eingabe!$C$9:$C$18,I1369)&amp;"-Gäste  ·  Voucher",IF(J1369=K1369+3,"Kabel  ·  Access Point y = .(50+y), Mast-Switch x = .(10+x)","")))))</f>
        <v/>
      </c>
      <c r="I1369" s="0" t="str">
        <f aca="false">IF(1364&lt;=(Eingabe!$P$18+Eingabe!$Q$18-1),MATCH(1364,Eingabe!$P$9:$P$18,1),"")</f>
        <v/>
      </c>
      <c r="J1369" s="0" t="str">
        <f aca="false">IF(I1369="","",1364-INDEX(Eingabe!$P$9:$P$18,I1369))</f>
        <v/>
      </c>
      <c r="K1369" s="0" t="str">
        <f aca="false">IF(I1369="","",INDEX(Eingabe!$E$9:$E$18,I1369))</f>
        <v/>
      </c>
    </row>
    <row r="1370" customFormat="false" ht="15" hidden="false" customHeight="false" outlineLevel="0" collapsed="false">
      <c r="A1370" s="0" t="str">
        <f aca="false">IF(I1370="","",IF(J1370=0,"Sparte "&amp;I1370&amp;": "&amp;INDEX(Eingabe!$B$9:$B$18,I1370)&amp;"  (Sparten-ID "&amp;INDEX(Eingabe!$D$9:$D$18,I1370)&amp;", "&amp;K1370&amp;" Parzellen)",IF(J1370&lt;=K1370,"   Parzelle "&amp;J1370,IF(J1370=K1370+1,"   Vorstand",IF(J1370=K1370+2,"   Gäste",IF(J1370=K1370+3,"   Technik (Switches, Access Points)",""))))))</f>
        <v/>
      </c>
      <c r="B1370" s="0" t="str">
        <f aca="false">IF(I1370="","",IF(AND(J1370&gt;=1,J1370&lt;=K1370+3),IF(J1370&lt;=K1370,IF(J1370&lt;=99,IF((INDEX(Eingabe!$G$9:$G$18,I1370))&lt;=9,1000+(INDEX(Eingabe!$G$9:$G$18,I1370))*100,3000)+J1370,IF((INDEX(Eingabe!$G$9:$G$18,I1370)+1)&lt;=9,1000+(INDEX(Eingabe!$G$9:$G$18,I1370)+1)*100,3000)+J1370-100),IF(J1370=K1370+1,2000+INDEX(Eingabe!$G$9:$G$18,I1370)*10+1,IF(J1370=K1370+2,2000+INDEX(Eingabe!$G$9:$G$18,I1370)*10+2,2000+INDEX(Eingabe!$G$9:$G$18,I1370)*10+9))),""))</f>
        <v/>
      </c>
      <c r="C1370" s="0" t="str">
        <f aca="false">IF(I1370="","",IF(AND(J1370&gt;=1,J1370&lt;=K1370+3),"10."&amp;INDEX(Eingabe!$D$9:$D$18,I1370)&amp;"."&amp;IF(J1370&lt;=K1370,J1370,IF(J1370=K1370+1,200,IF(J1370=K1370+2,201,250)))&amp;".0/24",""))</f>
        <v/>
      </c>
      <c r="D1370" s="0" t="str">
        <f aca="false">IF(I1370="","",IF(AND(J1370&gt;=1,J1370&lt;=K1370+3),"255.255.255.0",""))</f>
        <v/>
      </c>
      <c r="E1370" s="0" t="str">
        <f aca="false">IF(I1370="","",IF(AND(J1370&gt;=1,J1370&lt;=K1370+3),"10."&amp;INDEX(Eingabe!$D$9:$D$18,I1370)&amp;"."&amp;IF(J1370&lt;=K1370,J1370,IF(J1370=K1370+1,200,IF(J1370=K1370+2,201,250)))&amp;".1",""))</f>
        <v/>
      </c>
      <c r="F1370" s="0" t="str">
        <f aca="false">IF(I1370="","",IF(AND(J1370&gt;=1,J1370&lt;=K1370+3),"10."&amp;INDEX(Eingabe!$D$9:$D$18,I1370)&amp;"."&amp;IF(J1370&lt;=K1370,J1370,IF(J1370=K1370+1,200,IF(J1370=K1370+2,201,250)))&amp;".10 – 10."&amp;INDEX(Eingabe!$D$9:$D$18,I1370)&amp;"."&amp;IF(J1370&lt;=K1370,J1370,IF(J1370=K1370+1,200,IF(J1370=K1370+2,201,250)))&amp;".250",""))</f>
        <v/>
      </c>
      <c r="G1370" s="0" t="str">
        <f aca="false">IF(I1370="","",IF(AND(J1370&gt;=1,J1370&lt;=K1370),Eingabe!$B$6&amp;"-"&amp;INDEX(Eingabe!$C$9:$C$18,I1370)&amp;"-Pächter  ·  Passwort Parzelle "&amp;J1370,IF(J1370=K1370+1,Eingabe!$B$6&amp;"-"&amp;INDEX(Eingabe!$C$9:$C$18,I1370)&amp;"-Vorstand  ·  eigenes WLAN",IF(J1370=K1370+2,Eingabe!$B$6&amp;"-"&amp;INDEX(Eingabe!$C$9:$C$18,I1370)&amp;"-Gäste  ·  Voucher",IF(J1370=K1370+3,"Kabel  ·  Access Point y = .(50+y), Mast-Switch x = .(10+x)","")))))</f>
        <v/>
      </c>
      <c r="I1370" s="0" t="str">
        <f aca="false">IF(1365&lt;=(Eingabe!$P$18+Eingabe!$Q$18-1),MATCH(1365,Eingabe!$P$9:$P$18,1),"")</f>
        <v/>
      </c>
      <c r="J1370" s="0" t="str">
        <f aca="false">IF(I1370="","",1365-INDEX(Eingabe!$P$9:$P$18,I1370))</f>
        <v/>
      </c>
      <c r="K1370" s="0" t="str">
        <f aca="false">IF(I1370="","",INDEX(Eingabe!$E$9:$E$18,I1370))</f>
        <v/>
      </c>
    </row>
    <row r="1371" customFormat="false" ht="15" hidden="false" customHeight="false" outlineLevel="0" collapsed="false">
      <c r="A1371" s="0" t="str">
        <f aca="false">IF(I1371="","",IF(J1371=0,"Sparte "&amp;I1371&amp;": "&amp;INDEX(Eingabe!$B$9:$B$18,I1371)&amp;"  (Sparten-ID "&amp;INDEX(Eingabe!$D$9:$D$18,I1371)&amp;", "&amp;K1371&amp;" Parzellen)",IF(J1371&lt;=K1371,"   Parzelle "&amp;J1371,IF(J1371=K1371+1,"   Vorstand",IF(J1371=K1371+2,"   Gäste",IF(J1371=K1371+3,"   Technik (Switches, Access Points)",""))))))</f>
        <v/>
      </c>
      <c r="B1371" s="0" t="str">
        <f aca="false">IF(I1371="","",IF(AND(J1371&gt;=1,J1371&lt;=K1371+3),IF(J1371&lt;=K1371,IF(J1371&lt;=99,IF((INDEX(Eingabe!$G$9:$G$18,I1371))&lt;=9,1000+(INDEX(Eingabe!$G$9:$G$18,I1371))*100,3000)+J1371,IF((INDEX(Eingabe!$G$9:$G$18,I1371)+1)&lt;=9,1000+(INDEX(Eingabe!$G$9:$G$18,I1371)+1)*100,3000)+J1371-100),IF(J1371=K1371+1,2000+INDEX(Eingabe!$G$9:$G$18,I1371)*10+1,IF(J1371=K1371+2,2000+INDEX(Eingabe!$G$9:$G$18,I1371)*10+2,2000+INDEX(Eingabe!$G$9:$G$18,I1371)*10+9))),""))</f>
        <v/>
      </c>
      <c r="C1371" s="0" t="str">
        <f aca="false">IF(I1371="","",IF(AND(J1371&gt;=1,J1371&lt;=K1371+3),"10."&amp;INDEX(Eingabe!$D$9:$D$18,I1371)&amp;"."&amp;IF(J1371&lt;=K1371,J1371,IF(J1371=K1371+1,200,IF(J1371=K1371+2,201,250)))&amp;".0/24",""))</f>
        <v/>
      </c>
      <c r="D1371" s="0" t="str">
        <f aca="false">IF(I1371="","",IF(AND(J1371&gt;=1,J1371&lt;=K1371+3),"255.255.255.0",""))</f>
        <v/>
      </c>
      <c r="E1371" s="0" t="str">
        <f aca="false">IF(I1371="","",IF(AND(J1371&gt;=1,J1371&lt;=K1371+3),"10."&amp;INDEX(Eingabe!$D$9:$D$18,I1371)&amp;"."&amp;IF(J1371&lt;=K1371,J1371,IF(J1371=K1371+1,200,IF(J1371=K1371+2,201,250)))&amp;".1",""))</f>
        <v/>
      </c>
      <c r="F1371" s="0" t="str">
        <f aca="false">IF(I1371="","",IF(AND(J1371&gt;=1,J1371&lt;=K1371+3),"10."&amp;INDEX(Eingabe!$D$9:$D$18,I1371)&amp;"."&amp;IF(J1371&lt;=K1371,J1371,IF(J1371=K1371+1,200,IF(J1371=K1371+2,201,250)))&amp;".10 – 10."&amp;INDEX(Eingabe!$D$9:$D$18,I1371)&amp;"."&amp;IF(J1371&lt;=K1371,J1371,IF(J1371=K1371+1,200,IF(J1371=K1371+2,201,250)))&amp;".250",""))</f>
        <v/>
      </c>
      <c r="G1371" s="0" t="str">
        <f aca="false">IF(I1371="","",IF(AND(J1371&gt;=1,J1371&lt;=K1371),Eingabe!$B$6&amp;"-"&amp;INDEX(Eingabe!$C$9:$C$18,I1371)&amp;"-Pächter  ·  Passwort Parzelle "&amp;J1371,IF(J1371=K1371+1,Eingabe!$B$6&amp;"-"&amp;INDEX(Eingabe!$C$9:$C$18,I1371)&amp;"-Vorstand  ·  eigenes WLAN",IF(J1371=K1371+2,Eingabe!$B$6&amp;"-"&amp;INDEX(Eingabe!$C$9:$C$18,I1371)&amp;"-Gäste  ·  Voucher",IF(J1371=K1371+3,"Kabel  ·  Access Point y = .(50+y), Mast-Switch x = .(10+x)","")))))</f>
        <v/>
      </c>
      <c r="I1371" s="0" t="str">
        <f aca="false">IF(1366&lt;=(Eingabe!$P$18+Eingabe!$Q$18-1),MATCH(1366,Eingabe!$P$9:$P$18,1),"")</f>
        <v/>
      </c>
      <c r="J1371" s="0" t="str">
        <f aca="false">IF(I1371="","",1366-INDEX(Eingabe!$P$9:$P$18,I1371))</f>
        <v/>
      </c>
      <c r="K1371" s="0" t="str">
        <f aca="false">IF(I1371="","",INDEX(Eingabe!$E$9:$E$18,I1371))</f>
        <v/>
      </c>
    </row>
    <row r="1372" customFormat="false" ht="15" hidden="false" customHeight="false" outlineLevel="0" collapsed="false">
      <c r="A1372" s="0" t="str">
        <f aca="false">IF(I1372="","",IF(J1372=0,"Sparte "&amp;I1372&amp;": "&amp;INDEX(Eingabe!$B$9:$B$18,I1372)&amp;"  (Sparten-ID "&amp;INDEX(Eingabe!$D$9:$D$18,I1372)&amp;", "&amp;K1372&amp;" Parzellen)",IF(J1372&lt;=K1372,"   Parzelle "&amp;J1372,IF(J1372=K1372+1,"   Vorstand",IF(J1372=K1372+2,"   Gäste",IF(J1372=K1372+3,"   Technik (Switches, Access Points)",""))))))</f>
        <v/>
      </c>
      <c r="B1372" s="0" t="str">
        <f aca="false">IF(I1372="","",IF(AND(J1372&gt;=1,J1372&lt;=K1372+3),IF(J1372&lt;=K1372,IF(J1372&lt;=99,IF((INDEX(Eingabe!$G$9:$G$18,I1372))&lt;=9,1000+(INDEX(Eingabe!$G$9:$G$18,I1372))*100,3000)+J1372,IF((INDEX(Eingabe!$G$9:$G$18,I1372)+1)&lt;=9,1000+(INDEX(Eingabe!$G$9:$G$18,I1372)+1)*100,3000)+J1372-100),IF(J1372=K1372+1,2000+INDEX(Eingabe!$G$9:$G$18,I1372)*10+1,IF(J1372=K1372+2,2000+INDEX(Eingabe!$G$9:$G$18,I1372)*10+2,2000+INDEX(Eingabe!$G$9:$G$18,I1372)*10+9))),""))</f>
        <v/>
      </c>
      <c r="C1372" s="0" t="str">
        <f aca="false">IF(I1372="","",IF(AND(J1372&gt;=1,J1372&lt;=K1372+3),"10."&amp;INDEX(Eingabe!$D$9:$D$18,I1372)&amp;"."&amp;IF(J1372&lt;=K1372,J1372,IF(J1372=K1372+1,200,IF(J1372=K1372+2,201,250)))&amp;".0/24",""))</f>
        <v/>
      </c>
      <c r="D1372" s="0" t="str">
        <f aca="false">IF(I1372="","",IF(AND(J1372&gt;=1,J1372&lt;=K1372+3),"255.255.255.0",""))</f>
        <v/>
      </c>
      <c r="E1372" s="0" t="str">
        <f aca="false">IF(I1372="","",IF(AND(J1372&gt;=1,J1372&lt;=K1372+3),"10."&amp;INDEX(Eingabe!$D$9:$D$18,I1372)&amp;"."&amp;IF(J1372&lt;=K1372,J1372,IF(J1372=K1372+1,200,IF(J1372=K1372+2,201,250)))&amp;".1",""))</f>
        <v/>
      </c>
      <c r="F1372" s="0" t="str">
        <f aca="false">IF(I1372="","",IF(AND(J1372&gt;=1,J1372&lt;=K1372+3),"10."&amp;INDEX(Eingabe!$D$9:$D$18,I1372)&amp;"."&amp;IF(J1372&lt;=K1372,J1372,IF(J1372=K1372+1,200,IF(J1372=K1372+2,201,250)))&amp;".10 – 10."&amp;INDEX(Eingabe!$D$9:$D$18,I1372)&amp;"."&amp;IF(J1372&lt;=K1372,J1372,IF(J1372=K1372+1,200,IF(J1372=K1372+2,201,250)))&amp;".250",""))</f>
        <v/>
      </c>
      <c r="G1372" s="0" t="str">
        <f aca="false">IF(I1372="","",IF(AND(J1372&gt;=1,J1372&lt;=K1372),Eingabe!$B$6&amp;"-"&amp;INDEX(Eingabe!$C$9:$C$18,I1372)&amp;"-Pächter  ·  Passwort Parzelle "&amp;J1372,IF(J1372=K1372+1,Eingabe!$B$6&amp;"-"&amp;INDEX(Eingabe!$C$9:$C$18,I1372)&amp;"-Vorstand  ·  eigenes WLAN",IF(J1372=K1372+2,Eingabe!$B$6&amp;"-"&amp;INDEX(Eingabe!$C$9:$C$18,I1372)&amp;"-Gäste  ·  Voucher",IF(J1372=K1372+3,"Kabel  ·  Access Point y = .(50+y), Mast-Switch x = .(10+x)","")))))</f>
        <v/>
      </c>
      <c r="I1372" s="0" t="str">
        <f aca="false">IF(1367&lt;=(Eingabe!$P$18+Eingabe!$Q$18-1),MATCH(1367,Eingabe!$P$9:$P$18,1),"")</f>
        <v/>
      </c>
      <c r="J1372" s="0" t="str">
        <f aca="false">IF(I1372="","",1367-INDEX(Eingabe!$P$9:$P$18,I1372))</f>
        <v/>
      </c>
      <c r="K1372" s="0" t="str">
        <f aca="false">IF(I1372="","",INDEX(Eingabe!$E$9:$E$18,I1372))</f>
        <v/>
      </c>
    </row>
    <row r="1373" customFormat="false" ht="15" hidden="false" customHeight="false" outlineLevel="0" collapsed="false">
      <c r="A1373" s="0" t="str">
        <f aca="false">IF(I1373="","",IF(J1373=0,"Sparte "&amp;I1373&amp;": "&amp;INDEX(Eingabe!$B$9:$B$18,I1373)&amp;"  (Sparten-ID "&amp;INDEX(Eingabe!$D$9:$D$18,I1373)&amp;", "&amp;K1373&amp;" Parzellen)",IF(J1373&lt;=K1373,"   Parzelle "&amp;J1373,IF(J1373=K1373+1,"   Vorstand",IF(J1373=K1373+2,"   Gäste",IF(J1373=K1373+3,"   Technik (Switches, Access Points)",""))))))</f>
        <v/>
      </c>
      <c r="B1373" s="0" t="str">
        <f aca="false">IF(I1373="","",IF(AND(J1373&gt;=1,J1373&lt;=K1373+3),IF(J1373&lt;=K1373,IF(J1373&lt;=99,IF((INDEX(Eingabe!$G$9:$G$18,I1373))&lt;=9,1000+(INDEX(Eingabe!$G$9:$G$18,I1373))*100,3000)+J1373,IF((INDEX(Eingabe!$G$9:$G$18,I1373)+1)&lt;=9,1000+(INDEX(Eingabe!$G$9:$G$18,I1373)+1)*100,3000)+J1373-100),IF(J1373=K1373+1,2000+INDEX(Eingabe!$G$9:$G$18,I1373)*10+1,IF(J1373=K1373+2,2000+INDEX(Eingabe!$G$9:$G$18,I1373)*10+2,2000+INDEX(Eingabe!$G$9:$G$18,I1373)*10+9))),""))</f>
        <v/>
      </c>
      <c r="C1373" s="0" t="str">
        <f aca="false">IF(I1373="","",IF(AND(J1373&gt;=1,J1373&lt;=K1373+3),"10."&amp;INDEX(Eingabe!$D$9:$D$18,I1373)&amp;"."&amp;IF(J1373&lt;=K1373,J1373,IF(J1373=K1373+1,200,IF(J1373=K1373+2,201,250)))&amp;".0/24",""))</f>
        <v/>
      </c>
      <c r="D1373" s="0" t="str">
        <f aca="false">IF(I1373="","",IF(AND(J1373&gt;=1,J1373&lt;=K1373+3),"255.255.255.0",""))</f>
        <v/>
      </c>
      <c r="E1373" s="0" t="str">
        <f aca="false">IF(I1373="","",IF(AND(J1373&gt;=1,J1373&lt;=K1373+3),"10."&amp;INDEX(Eingabe!$D$9:$D$18,I1373)&amp;"."&amp;IF(J1373&lt;=K1373,J1373,IF(J1373=K1373+1,200,IF(J1373=K1373+2,201,250)))&amp;".1",""))</f>
        <v/>
      </c>
      <c r="F1373" s="0" t="str">
        <f aca="false">IF(I1373="","",IF(AND(J1373&gt;=1,J1373&lt;=K1373+3),"10."&amp;INDEX(Eingabe!$D$9:$D$18,I1373)&amp;"."&amp;IF(J1373&lt;=K1373,J1373,IF(J1373=K1373+1,200,IF(J1373=K1373+2,201,250)))&amp;".10 – 10."&amp;INDEX(Eingabe!$D$9:$D$18,I1373)&amp;"."&amp;IF(J1373&lt;=K1373,J1373,IF(J1373=K1373+1,200,IF(J1373=K1373+2,201,250)))&amp;".250",""))</f>
        <v/>
      </c>
      <c r="G1373" s="0" t="str">
        <f aca="false">IF(I1373="","",IF(AND(J1373&gt;=1,J1373&lt;=K1373),Eingabe!$B$6&amp;"-"&amp;INDEX(Eingabe!$C$9:$C$18,I1373)&amp;"-Pächter  ·  Passwort Parzelle "&amp;J1373,IF(J1373=K1373+1,Eingabe!$B$6&amp;"-"&amp;INDEX(Eingabe!$C$9:$C$18,I1373)&amp;"-Vorstand  ·  eigenes WLAN",IF(J1373=K1373+2,Eingabe!$B$6&amp;"-"&amp;INDEX(Eingabe!$C$9:$C$18,I1373)&amp;"-Gäste  ·  Voucher",IF(J1373=K1373+3,"Kabel  ·  Access Point y = .(50+y), Mast-Switch x = .(10+x)","")))))</f>
        <v/>
      </c>
      <c r="I1373" s="0" t="str">
        <f aca="false">IF(1368&lt;=(Eingabe!$P$18+Eingabe!$Q$18-1),MATCH(1368,Eingabe!$P$9:$P$18,1),"")</f>
        <v/>
      </c>
      <c r="J1373" s="0" t="str">
        <f aca="false">IF(I1373="","",1368-INDEX(Eingabe!$P$9:$P$18,I1373))</f>
        <v/>
      </c>
      <c r="K1373" s="0" t="str">
        <f aca="false">IF(I1373="","",INDEX(Eingabe!$E$9:$E$18,I1373))</f>
        <v/>
      </c>
    </row>
    <row r="1374" customFormat="false" ht="15" hidden="false" customHeight="false" outlineLevel="0" collapsed="false">
      <c r="A1374" s="0" t="str">
        <f aca="false">IF(I1374="","",IF(J1374=0,"Sparte "&amp;I1374&amp;": "&amp;INDEX(Eingabe!$B$9:$B$18,I1374)&amp;"  (Sparten-ID "&amp;INDEX(Eingabe!$D$9:$D$18,I1374)&amp;", "&amp;K1374&amp;" Parzellen)",IF(J1374&lt;=K1374,"   Parzelle "&amp;J1374,IF(J1374=K1374+1,"   Vorstand",IF(J1374=K1374+2,"   Gäste",IF(J1374=K1374+3,"   Technik (Switches, Access Points)",""))))))</f>
        <v/>
      </c>
      <c r="B1374" s="0" t="str">
        <f aca="false">IF(I1374="","",IF(AND(J1374&gt;=1,J1374&lt;=K1374+3),IF(J1374&lt;=K1374,IF(J1374&lt;=99,IF((INDEX(Eingabe!$G$9:$G$18,I1374))&lt;=9,1000+(INDEX(Eingabe!$G$9:$G$18,I1374))*100,3000)+J1374,IF((INDEX(Eingabe!$G$9:$G$18,I1374)+1)&lt;=9,1000+(INDEX(Eingabe!$G$9:$G$18,I1374)+1)*100,3000)+J1374-100),IF(J1374=K1374+1,2000+INDEX(Eingabe!$G$9:$G$18,I1374)*10+1,IF(J1374=K1374+2,2000+INDEX(Eingabe!$G$9:$G$18,I1374)*10+2,2000+INDEX(Eingabe!$G$9:$G$18,I1374)*10+9))),""))</f>
        <v/>
      </c>
      <c r="C1374" s="0" t="str">
        <f aca="false">IF(I1374="","",IF(AND(J1374&gt;=1,J1374&lt;=K1374+3),"10."&amp;INDEX(Eingabe!$D$9:$D$18,I1374)&amp;"."&amp;IF(J1374&lt;=K1374,J1374,IF(J1374=K1374+1,200,IF(J1374=K1374+2,201,250)))&amp;".0/24",""))</f>
        <v/>
      </c>
      <c r="D1374" s="0" t="str">
        <f aca="false">IF(I1374="","",IF(AND(J1374&gt;=1,J1374&lt;=K1374+3),"255.255.255.0",""))</f>
        <v/>
      </c>
      <c r="E1374" s="0" t="str">
        <f aca="false">IF(I1374="","",IF(AND(J1374&gt;=1,J1374&lt;=K1374+3),"10."&amp;INDEX(Eingabe!$D$9:$D$18,I1374)&amp;"."&amp;IF(J1374&lt;=K1374,J1374,IF(J1374=K1374+1,200,IF(J1374=K1374+2,201,250)))&amp;".1",""))</f>
        <v/>
      </c>
      <c r="F1374" s="0" t="str">
        <f aca="false">IF(I1374="","",IF(AND(J1374&gt;=1,J1374&lt;=K1374+3),"10."&amp;INDEX(Eingabe!$D$9:$D$18,I1374)&amp;"."&amp;IF(J1374&lt;=K1374,J1374,IF(J1374=K1374+1,200,IF(J1374=K1374+2,201,250)))&amp;".10 – 10."&amp;INDEX(Eingabe!$D$9:$D$18,I1374)&amp;"."&amp;IF(J1374&lt;=K1374,J1374,IF(J1374=K1374+1,200,IF(J1374=K1374+2,201,250)))&amp;".250",""))</f>
        <v/>
      </c>
      <c r="G1374" s="0" t="str">
        <f aca="false">IF(I1374="","",IF(AND(J1374&gt;=1,J1374&lt;=K1374),Eingabe!$B$6&amp;"-"&amp;INDEX(Eingabe!$C$9:$C$18,I1374)&amp;"-Pächter  ·  Passwort Parzelle "&amp;J1374,IF(J1374=K1374+1,Eingabe!$B$6&amp;"-"&amp;INDEX(Eingabe!$C$9:$C$18,I1374)&amp;"-Vorstand  ·  eigenes WLAN",IF(J1374=K1374+2,Eingabe!$B$6&amp;"-"&amp;INDEX(Eingabe!$C$9:$C$18,I1374)&amp;"-Gäste  ·  Voucher",IF(J1374=K1374+3,"Kabel  ·  Access Point y = .(50+y), Mast-Switch x = .(10+x)","")))))</f>
        <v/>
      </c>
      <c r="I1374" s="0" t="str">
        <f aca="false">IF(1369&lt;=(Eingabe!$P$18+Eingabe!$Q$18-1),MATCH(1369,Eingabe!$P$9:$P$18,1),"")</f>
        <v/>
      </c>
      <c r="J1374" s="0" t="str">
        <f aca="false">IF(I1374="","",1369-INDEX(Eingabe!$P$9:$P$18,I1374))</f>
        <v/>
      </c>
      <c r="K1374" s="0" t="str">
        <f aca="false">IF(I1374="","",INDEX(Eingabe!$E$9:$E$18,I1374))</f>
        <v/>
      </c>
    </row>
    <row r="1375" customFormat="false" ht="15" hidden="false" customHeight="false" outlineLevel="0" collapsed="false">
      <c r="A1375" s="0" t="str">
        <f aca="false">IF(I1375="","",IF(J1375=0,"Sparte "&amp;I1375&amp;": "&amp;INDEX(Eingabe!$B$9:$B$18,I1375)&amp;"  (Sparten-ID "&amp;INDEX(Eingabe!$D$9:$D$18,I1375)&amp;", "&amp;K1375&amp;" Parzellen)",IF(J1375&lt;=K1375,"   Parzelle "&amp;J1375,IF(J1375=K1375+1,"   Vorstand",IF(J1375=K1375+2,"   Gäste",IF(J1375=K1375+3,"   Technik (Switches, Access Points)",""))))))</f>
        <v/>
      </c>
      <c r="B1375" s="0" t="str">
        <f aca="false">IF(I1375="","",IF(AND(J1375&gt;=1,J1375&lt;=K1375+3),IF(J1375&lt;=K1375,IF(J1375&lt;=99,IF((INDEX(Eingabe!$G$9:$G$18,I1375))&lt;=9,1000+(INDEX(Eingabe!$G$9:$G$18,I1375))*100,3000)+J1375,IF((INDEX(Eingabe!$G$9:$G$18,I1375)+1)&lt;=9,1000+(INDEX(Eingabe!$G$9:$G$18,I1375)+1)*100,3000)+J1375-100),IF(J1375=K1375+1,2000+INDEX(Eingabe!$G$9:$G$18,I1375)*10+1,IF(J1375=K1375+2,2000+INDEX(Eingabe!$G$9:$G$18,I1375)*10+2,2000+INDEX(Eingabe!$G$9:$G$18,I1375)*10+9))),""))</f>
        <v/>
      </c>
      <c r="C1375" s="0" t="str">
        <f aca="false">IF(I1375="","",IF(AND(J1375&gt;=1,J1375&lt;=K1375+3),"10."&amp;INDEX(Eingabe!$D$9:$D$18,I1375)&amp;"."&amp;IF(J1375&lt;=K1375,J1375,IF(J1375=K1375+1,200,IF(J1375=K1375+2,201,250)))&amp;".0/24",""))</f>
        <v/>
      </c>
      <c r="D1375" s="0" t="str">
        <f aca="false">IF(I1375="","",IF(AND(J1375&gt;=1,J1375&lt;=K1375+3),"255.255.255.0",""))</f>
        <v/>
      </c>
      <c r="E1375" s="0" t="str">
        <f aca="false">IF(I1375="","",IF(AND(J1375&gt;=1,J1375&lt;=K1375+3),"10."&amp;INDEX(Eingabe!$D$9:$D$18,I1375)&amp;"."&amp;IF(J1375&lt;=K1375,J1375,IF(J1375=K1375+1,200,IF(J1375=K1375+2,201,250)))&amp;".1",""))</f>
        <v/>
      </c>
      <c r="F1375" s="0" t="str">
        <f aca="false">IF(I1375="","",IF(AND(J1375&gt;=1,J1375&lt;=K1375+3),"10."&amp;INDEX(Eingabe!$D$9:$D$18,I1375)&amp;"."&amp;IF(J1375&lt;=K1375,J1375,IF(J1375=K1375+1,200,IF(J1375=K1375+2,201,250)))&amp;".10 – 10."&amp;INDEX(Eingabe!$D$9:$D$18,I1375)&amp;"."&amp;IF(J1375&lt;=K1375,J1375,IF(J1375=K1375+1,200,IF(J1375=K1375+2,201,250)))&amp;".250",""))</f>
        <v/>
      </c>
      <c r="G1375" s="0" t="str">
        <f aca="false">IF(I1375="","",IF(AND(J1375&gt;=1,J1375&lt;=K1375),Eingabe!$B$6&amp;"-"&amp;INDEX(Eingabe!$C$9:$C$18,I1375)&amp;"-Pächter  ·  Passwort Parzelle "&amp;J1375,IF(J1375=K1375+1,Eingabe!$B$6&amp;"-"&amp;INDEX(Eingabe!$C$9:$C$18,I1375)&amp;"-Vorstand  ·  eigenes WLAN",IF(J1375=K1375+2,Eingabe!$B$6&amp;"-"&amp;INDEX(Eingabe!$C$9:$C$18,I1375)&amp;"-Gäste  ·  Voucher",IF(J1375=K1375+3,"Kabel  ·  Access Point y = .(50+y), Mast-Switch x = .(10+x)","")))))</f>
        <v/>
      </c>
      <c r="I1375" s="0" t="str">
        <f aca="false">IF(1370&lt;=(Eingabe!$P$18+Eingabe!$Q$18-1),MATCH(1370,Eingabe!$P$9:$P$18,1),"")</f>
        <v/>
      </c>
      <c r="J1375" s="0" t="str">
        <f aca="false">IF(I1375="","",1370-INDEX(Eingabe!$P$9:$P$18,I1375))</f>
        <v/>
      </c>
      <c r="K1375" s="0" t="str">
        <f aca="false">IF(I1375="","",INDEX(Eingabe!$E$9:$E$18,I1375))</f>
        <v/>
      </c>
    </row>
    <row r="1376" customFormat="false" ht="15" hidden="false" customHeight="false" outlineLevel="0" collapsed="false">
      <c r="A1376" s="0" t="str">
        <f aca="false">IF(I1376="","",IF(J1376=0,"Sparte "&amp;I1376&amp;": "&amp;INDEX(Eingabe!$B$9:$B$18,I1376)&amp;"  (Sparten-ID "&amp;INDEX(Eingabe!$D$9:$D$18,I1376)&amp;", "&amp;K1376&amp;" Parzellen)",IF(J1376&lt;=K1376,"   Parzelle "&amp;J1376,IF(J1376=K1376+1,"   Vorstand",IF(J1376=K1376+2,"   Gäste",IF(J1376=K1376+3,"   Technik (Switches, Access Points)",""))))))</f>
        <v/>
      </c>
      <c r="B1376" s="0" t="str">
        <f aca="false">IF(I1376="","",IF(AND(J1376&gt;=1,J1376&lt;=K1376+3),IF(J1376&lt;=K1376,IF(J1376&lt;=99,IF((INDEX(Eingabe!$G$9:$G$18,I1376))&lt;=9,1000+(INDEX(Eingabe!$G$9:$G$18,I1376))*100,3000)+J1376,IF((INDEX(Eingabe!$G$9:$G$18,I1376)+1)&lt;=9,1000+(INDEX(Eingabe!$G$9:$G$18,I1376)+1)*100,3000)+J1376-100),IF(J1376=K1376+1,2000+INDEX(Eingabe!$G$9:$G$18,I1376)*10+1,IF(J1376=K1376+2,2000+INDEX(Eingabe!$G$9:$G$18,I1376)*10+2,2000+INDEX(Eingabe!$G$9:$G$18,I1376)*10+9))),""))</f>
        <v/>
      </c>
      <c r="C1376" s="0" t="str">
        <f aca="false">IF(I1376="","",IF(AND(J1376&gt;=1,J1376&lt;=K1376+3),"10."&amp;INDEX(Eingabe!$D$9:$D$18,I1376)&amp;"."&amp;IF(J1376&lt;=K1376,J1376,IF(J1376=K1376+1,200,IF(J1376=K1376+2,201,250)))&amp;".0/24",""))</f>
        <v/>
      </c>
      <c r="D1376" s="0" t="str">
        <f aca="false">IF(I1376="","",IF(AND(J1376&gt;=1,J1376&lt;=K1376+3),"255.255.255.0",""))</f>
        <v/>
      </c>
      <c r="E1376" s="0" t="str">
        <f aca="false">IF(I1376="","",IF(AND(J1376&gt;=1,J1376&lt;=K1376+3),"10."&amp;INDEX(Eingabe!$D$9:$D$18,I1376)&amp;"."&amp;IF(J1376&lt;=K1376,J1376,IF(J1376=K1376+1,200,IF(J1376=K1376+2,201,250)))&amp;".1",""))</f>
        <v/>
      </c>
      <c r="F1376" s="0" t="str">
        <f aca="false">IF(I1376="","",IF(AND(J1376&gt;=1,J1376&lt;=K1376+3),"10."&amp;INDEX(Eingabe!$D$9:$D$18,I1376)&amp;"."&amp;IF(J1376&lt;=K1376,J1376,IF(J1376=K1376+1,200,IF(J1376=K1376+2,201,250)))&amp;".10 – 10."&amp;INDEX(Eingabe!$D$9:$D$18,I1376)&amp;"."&amp;IF(J1376&lt;=K1376,J1376,IF(J1376=K1376+1,200,IF(J1376=K1376+2,201,250)))&amp;".250",""))</f>
        <v/>
      </c>
      <c r="G1376" s="0" t="str">
        <f aca="false">IF(I1376="","",IF(AND(J1376&gt;=1,J1376&lt;=K1376),Eingabe!$B$6&amp;"-"&amp;INDEX(Eingabe!$C$9:$C$18,I1376)&amp;"-Pächter  ·  Passwort Parzelle "&amp;J1376,IF(J1376=K1376+1,Eingabe!$B$6&amp;"-"&amp;INDEX(Eingabe!$C$9:$C$18,I1376)&amp;"-Vorstand  ·  eigenes WLAN",IF(J1376=K1376+2,Eingabe!$B$6&amp;"-"&amp;INDEX(Eingabe!$C$9:$C$18,I1376)&amp;"-Gäste  ·  Voucher",IF(J1376=K1376+3,"Kabel  ·  Access Point y = .(50+y), Mast-Switch x = .(10+x)","")))))</f>
        <v/>
      </c>
      <c r="I1376" s="0" t="str">
        <f aca="false">IF(1371&lt;=(Eingabe!$P$18+Eingabe!$Q$18-1),MATCH(1371,Eingabe!$P$9:$P$18,1),"")</f>
        <v/>
      </c>
      <c r="J1376" s="0" t="str">
        <f aca="false">IF(I1376="","",1371-INDEX(Eingabe!$P$9:$P$18,I1376))</f>
        <v/>
      </c>
      <c r="K1376" s="0" t="str">
        <f aca="false">IF(I1376="","",INDEX(Eingabe!$E$9:$E$18,I1376))</f>
        <v/>
      </c>
    </row>
    <row r="1377" customFormat="false" ht="15" hidden="false" customHeight="false" outlineLevel="0" collapsed="false">
      <c r="A1377" s="0" t="str">
        <f aca="false">IF(I1377="","",IF(J1377=0,"Sparte "&amp;I1377&amp;": "&amp;INDEX(Eingabe!$B$9:$B$18,I1377)&amp;"  (Sparten-ID "&amp;INDEX(Eingabe!$D$9:$D$18,I1377)&amp;", "&amp;K1377&amp;" Parzellen)",IF(J1377&lt;=K1377,"   Parzelle "&amp;J1377,IF(J1377=K1377+1,"   Vorstand",IF(J1377=K1377+2,"   Gäste",IF(J1377=K1377+3,"   Technik (Switches, Access Points)",""))))))</f>
        <v/>
      </c>
      <c r="B1377" s="0" t="str">
        <f aca="false">IF(I1377="","",IF(AND(J1377&gt;=1,J1377&lt;=K1377+3),IF(J1377&lt;=K1377,IF(J1377&lt;=99,IF((INDEX(Eingabe!$G$9:$G$18,I1377))&lt;=9,1000+(INDEX(Eingabe!$G$9:$G$18,I1377))*100,3000)+J1377,IF((INDEX(Eingabe!$G$9:$G$18,I1377)+1)&lt;=9,1000+(INDEX(Eingabe!$G$9:$G$18,I1377)+1)*100,3000)+J1377-100),IF(J1377=K1377+1,2000+INDEX(Eingabe!$G$9:$G$18,I1377)*10+1,IF(J1377=K1377+2,2000+INDEX(Eingabe!$G$9:$G$18,I1377)*10+2,2000+INDEX(Eingabe!$G$9:$G$18,I1377)*10+9))),""))</f>
        <v/>
      </c>
      <c r="C1377" s="0" t="str">
        <f aca="false">IF(I1377="","",IF(AND(J1377&gt;=1,J1377&lt;=K1377+3),"10."&amp;INDEX(Eingabe!$D$9:$D$18,I1377)&amp;"."&amp;IF(J1377&lt;=K1377,J1377,IF(J1377=K1377+1,200,IF(J1377=K1377+2,201,250)))&amp;".0/24",""))</f>
        <v/>
      </c>
      <c r="D1377" s="0" t="str">
        <f aca="false">IF(I1377="","",IF(AND(J1377&gt;=1,J1377&lt;=K1377+3),"255.255.255.0",""))</f>
        <v/>
      </c>
      <c r="E1377" s="0" t="str">
        <f aca="false">IF(I1377="","",IF(AND(J1377&gt;=1,J1377&lt;=K1377+3),"10."&amp;INDEX(Eingabe!$D$9:$D$18,I1377)&amp;"."&amp;IF(J1377&lt;=K1377,J1377,IF(J1377=K1377+1,200,IF(J1377=K1377+2,201,250)))&amp;".1",""))</f>
        <v/>
      </c>
      <c r="F1377" s="0" t="str">
        <f aca="false">IF(I1377="","",IF(AND(J1377&gt;=1,J1377&lt;=K1377+3),"10."&amp;INDEX(Eingabe!$D$9:$D$18,I1377)&amp;"."&amp;IF(J1377&lt;=K1377,J1377,IF(J1377=K1377+1,200,IF(J1377=K1377+2,201,250)))&amp;".10 – 10."&amp;INDEX(Eingabe!$D$9:$D$18,I1377)&amp;"."&amp;IF(J1377&lt;=K1377,J1377,IF(J1377=K1377+1,200,IF(J1377=K1377+2,201,250)))&amp;".250",""))</f>
        <v/>
      </c>
      <c r="G1377" s="0" t="str">
        <f aca="false">IF(I1377="","",IF(AND(J1377&gt;=1,J1377&lt;=K1377),Eingabe!$B$6&amp;"-"&amp;INDEX(Eingabe!$C$9:$C$18,I1377)&amp;"-Pächter  ·  Passwort Parzelle "&amp;J1377,IF(J1377=K1377+1,Eingabe!$B$6&amp;"-"&amp;INDEX(Eingabe!$C$9:$C$18,I1377)&amp;"-Vorstand  ·  eigenes WLAN",IF(J1377=K1377+2,Eingabe!$B$6&amp;"-"&amp;INDEX(Eingabe!$C$9:$C$18,I1377)&amp;"-Gäste  ·  Voucher",IF(J1377=K1377+3,"Kabel  ·  Access Point y = .(50+y), Mast-Switch x = .(10+x)","")))))</f>
        <v/>
      </c>
      <c r="I1377" s="0" t="str">
        <f aca="false">IF(1372&lt;=(Eingabe!$P$18+Eingabe!$Q$18-1),MATCH(1372,Eingabe!$P$9:$P$18,1),"")</f>
        <v/>
      </c>
      <c r="J1377" s="0" t="str">
        <f aca="false">IF(I1377="","",1372-INDEX(Eingabe!$P$9:$P$18,I1377))</f>
        <v/>
      </c>
      <c r="K1377" s="0" t="str">
        <f aca="false">IF(I1377="","",INDEX(Eingabe!$E$9:$E$18,I1377))</f>
        <v/>
      </c>
    </row>
    <row r="1378" customFormat="false" ht="15" hidden="false" customHeight="false" outlineLevel="0" collapsed="false">
      <c r="A1378" s="0" t="str">
        <f aca="false">IF(I1378="","",IF(J1378=0,"Sparte "&amp;I1378&amp;": "&amp;INDEX(Eingabe!$B$9:$B$18,I1378)&amp;"  (Sparten-ID "&amp;INDEX(Eingabe!$D$9:$D$18,I1378)&amp;", "&amp;K1378&amp;" Parzellen)",IF(J1378&lt;=K1378,"   Parzelle "&amp;J1378,IF(J1378=K1378+1,"   Vorstand",IF(J1378=K1378+2,"   Gäste",IF(J1378=K1378+3,"   Technik (Switches, Access Points)",""))))))</f>
        <v/>
      </c>
      <c r="B1378" s="0" t="str">
        <f aca="false">IF(I1378="","",IF(AND(J1378&gt;=1,J1378&lt;=K1378+3),IF(J1378&lt;=K1378,IF(J1378&lt;=99,IF((INDEX(Eingabe!$G$9:$G$18,I1378))&lt;=9,1000+(INDEX(Eingabe!$G$9:$G$18,I1378))*100,3000)+J1378,IF((INDEX(Eingabe!$G$9:$G$18,I1378)+1)&lt;=9,1000+(INDEX(Eingabe!$G$9:$G$18,I1378)+1)*100,3000)+J1378-100),IF(J1378=K1378+1,2000+INDEX(Eingabe!$G$9:$G$18,I1378)*10+1,IF(J1378=K1378+2,2000+INDEX(Eingabe!$G$9:$G$18,I1378)*10+2,2000+INDEX(Eingabe!$G$9:$G$18,I1378)*10+9))),""))</f>
        <v/>
      </c>
      <c r="C1378" s="0" t="str">
        <f aca="false">IF(I1378="","",IF(AND(J1378&gt;=1,J1378&lt;=K1378+3),"10."&amp;INDEX(Eingabe!$D$9:$D$18,I1378)&amp;"."&amp;IF(J1378&lt;=K1378,J1378,IF(J1378=K1378+1,200,IF(J1378=K1378+2,201,250)))&amp;".0/24",""))</f>
        <v/>
      </c>
      <c r="D1378" s="0" t="str">
        <f aca="false">IF(I1378="","",IF(AND(J1378&gt;=1,J1378&lt;=K1378+3),"255.255.255.0",""))</f>
        <v/>
      </c>
      <c r="E1378" s="0" t="str">
        <f aca="false">IF(I1378="","",IF(AND(J1378&gt;=1,J1378&lt;=K1378+3),"10."&amp;INDEX(Eingabe!$D$9:$D$18,I1378)&amp;"."&amp;IF(J1378&lt;=K1378,J1378,IF(J1378=K1378+1,200,IF(J1378=K1378+2,201,250)))&amp;".1",""))</f>
        <v/>
      </c>
      <c r="F1378" s="0" t="str">
        <f aca="false">IF(I1378="","",IF(AND(J1378&gt;=1,J1378&lt;=K1378+3),"10."&amp;INDEX(Eingabe!$D$9:$D$18,I1378)&amp;"."&amp;IF(J1378&lt;=K1378,J1378,IF(J1378=K1378+1,200,IF(J1378=K1378+2,201,250)))&amp;".10 – 10."&amp;INDEX(Eingabe!$D$9:$D$18,I1378)&amp;"."&amp;IF(J1378&lt;=K1378,J1378,IF(J1378=K1378+1,200,IF(J1378=K1378+2,201,250)))&amp;".250",""))</f>
        <v/>
      </c>
      <c r="G1378" s="0" t="str">
        <f aca="false">IF(I1378="","",IF(AND(J1378&gt;=1,J1378&lt;=K1378),Eingabe!$B$6&amp;"-"&amp;INDEX(Eingabe!$C$9:$C$18,I1378)&amp;"-Pächter  ·  Passwort Parzelle "&amp;J1378,IF(J1378=K1378+1,Eingabe!$B$6&amp;"-"&amp;INDEX(Eingabe!$C$9:$C$18,I1378)&amp;"-Vorstand  ·  eigenes WLAN",IF(J1378=K1378+2,Eingabe!$B$6&amp;"-"&amp;INDEX(Eingabe!$C$9:$C$18,I1378)&amp;"-Gäste  ·  Voucher",IF(J1378=K1378+3,"Kabel  ·  Access Point y = .(50+y), Mast-Switch x = .(10+x)","")))))</f>
        <v/>
      </c>
      <c r="I1378" s="0" t="str">
        <f aca="false">IF(1373&lt;=(Eingabe!$P$18+Eingabe!$Q$18-1),MATCH(1373,Eingabe!$P$9:$P$18,1),"")</f>
        <v/>
      </c>
      <c r="J1378" s="0" t="str">
        <f aca="false">IF(I1378="","",1373-INDEX(Eingabe!$P$9:$P$18,I1378))</f>
        <v/>
      </c>
      <c r="K1378" s="0" t="str">
        <f aca="false">IF(I1378="","",INDEX(Eingabe!$E$9:$E$18,I1378))</f>
        <v/>
      </c>
    </row>
    <row r="1379" customFormat="false" ht="15" hidden="false" customHeight="false" outlineLevel="0" collapsed="false">
      <c r="A1379" s="0" t="str">
        <f aca="false">IF(I1379="","",IF(J1379=0,"Sparte "&amp;I1379&amp;": "&amp;INDEX(Eingabe!$B$9:$B$18,I1379)&amp;"  (Sparten-ID "&amp;INDEX(Eingabe!$D$9:$D$18,I1379)&amp;", "&amp;K1379&amp;" Parzellen)",IF(J1379&lt;=K1379,"   Parzelle "&amp;J1379,IF(J1379=K1379+1,"   Vorstand",IF(J1379=K1379+2,"   Gäste",IF(J1379=K1379+3,"   Technik (Switches, Access Points)",""))))))</f>
        <v/>
      </c>
      <c r="B1379" s="0" t="str">
        <f aca="false">IF(I1379="","",IF(AND(J1379&gt;=1,J1379&lt;=K1379+3),IF(J1379&lt;=K1379,IF(J1379&lt;=99,IF((INDEX(Eingabe!$G$9:$G$18,I1379))&lt;=9,1000+(INDEX(Eingabe!$G$9:$G$18,I1379))*100,3000)+J1379,IF((INDEX(Eingabe!$G$9:$G$18,I1379)+1)&lt;=9,1000+(INDEX(Eingabe!$G$9:$G$18,I1379)+1)*100,3000)+J1379-100),IF(J1379=K1379+1,2000+INDEX(Eingabe!$G$9:$G$18,I1379)*10+1,IF(J1379=K1379+2,2000+INDEX(Eingabe!$G$9:$G$18,I1379)*10+2,2000+INDEX(Eingabe!$G$9:$G$18,I1379)*10+9))),""))</f>
        <v/>
      </c>
      <c r="C1379" s="0" t="str">
        <f aca="false">IF(I1379="","",IF(AND(J1379&gt;=1,J1379&lt;=K1379+3),"10."&amp;INDEX(Eingabe!$D$9:$D$18,I1379)&amp;"."&amp;IF(J1379&lt;=K1379,J1379,IF(J1379=K1379+1,200,IF(J1379=K1379+2,201,250)))&amp;".0/24",""))</f>
        <v/>
      </c>
      <c r="D1379" s="0" t="str">
        <f aca="false">IF(I1379="","",IF(AND(J1379&gt;=1,J1379&lt;=K1379+3),"255.255.255.0",""))</f>
        <v/>
      </c>
      <c r="E1379" s="0" t="str">
        <f aca="false">IF(I1379="","",IF(AND(J1379&gt;=1,J1379&lt;=K1379+3),"10."&amp;INDEX(Eingabe!$D$9:$D$18,I1379)&amp;"."&amp;IF(J1379&lt;=K1379,J1379,IF(J1379=K1379+1,200,IF(J1379=K1379+2,201,250)))&amp;".1",""))</f>
        <v/>
      </c>
      <c r="F1379" s="0" t="str">
        <f aca="false">IF(I1379="","",IF(AND(J1379&gt;=1,J1379&lt;=K1379+3),"10."&amp;INDEX(Eingabe!$D$9:$D$18,I1379)&amp;"."&amp;IF(J1379&lt;=K1379,J1379,IF(J1379=K1379+1,200,IF(J1379=K1379+2,201,250)))&amp;".10 – 10."&amp;INDEX(Eingabe!$D$9:$D$18,I1379)&amp;"."&amp;IF(J1379&lt;=K1379,J1379,IF(J1379=K1379+1,200,IF(J1379=K1379+2,201,250)))&amp;".250",""))</f>
        <v/>
      </c>
      <c r="G1379" s="0" t="str">
        <f aca="false">IF(I1379="","",IF(AND(J1379&gt;=1,J1379&lt;=K1379),Eingabe!$B$6&amp;"-"&amp;INDEX(Eingabe!$C$9:$C$18,I1379)&amp;"-Pächter  ·  Passwort Parzelle "&amp;J1379,IF(J1379=K1379+1,Eingabe!$B$6&amp;"-"&amp;INDEX(Eingabe!$C$9:$C$18,I1379)&amp;"-Vorstand  ·  eigenes WLAN",IF(J1379=K1379+2,Eingabe!$B$6&amp;"-"&amp;INDEX(Eingabe!$C$9:$C$18,I1379)&amp;"-Gäste  ·  Voucher",IF(J1379=K1379+3,"Kabel  ·  Access Point y = .(50+y), Mast-Switch x = .(10+x)","")))))</f>
        <v/>
      </c>
      <c r="I1379" s="0" t="str">
        <f aca="false">IF(1374&lt;=(Eingabe!$P$18+Eingabe!$Q$18-1),MATCH(1374,Eingabe!$P$9:$P$18,1),"")</f>
        <v/>
      </c>
      <c r="J1379" s="0" t="str">
        <f aca="false">IF(I1379="","",1374-INDEX(Eingabe!$P$9:$P$18,I1379))</f>
        <v/>
      </c>
      <c r="K1379" s="0" t="str">
        <f aca="false">IF(I1379="","",INDEX(Eingabe!$E$9:$E$18,I1379))</f>
        <v/>
      </c>
    </row>
    <row r="1380" customFormat="false" ht="15" hidden="false" customHeight="false" outlineLevel="0" collapsed="false">
      <c r="A1380" s="0" t="str">
        <f aca="false">IF(I1380="","",IF(J1380=0,"Sparte "&amp;I1380&amp;": "&amp;INDEX(Eingabe!$B$9:$B$18,I1380)&amp;"  (Sparten-ID "&amp;INDEX(Eingabe!$D$9:$D$18,I1380)&amp;", "&amp;K1380&amp;" Parzellen)",IF(J1380&lt;=K1380,"   Parzelle "&amp;J1380,IF(J1380=K1380+1,"   Vorstand",IF(J1380=K1380+2,"   Gäste",IF(J1380=K1380+3,"   Technik (Switches, Access Points)",""))))))</f>
        <v/>
      </c>
      <c r="B1380" s="0" t="str">
        <f aca="false">IF(I1380="","",IF(AND(J1380&gt;=1,J1380&lt;=K1380+3),IF(J1380&lt;=K1380,IF(J1380&lt;=99,IF((INDEX(Eingabe!$G$9:$G$18,I1380))&lt;=9,1000+(INDEX(Eingabe!$G$9:$G$18,I1380))*100,3000)+J1380,IF((INDEX(Eingabe!$G$9:$G$18,I1380)+1)&lt;=9,1000+(INDEX(Eingabe!$G$9:$G$18,I1380)+1)*100,3000)+J1380-100),IF(J1380=K1380+1,2000+INDEX(Eingabe!$G$9:$G$18,I1380)*10+1,IF(J1380=K1380+2,2000+INDEX(Eingabe!$G$9:$G$18,I1380)*10+2,2000+INDEX(Eingabe!$G$9:$G$18,I1380)*10+9))),""))</f>
        <v/>
      </c>
      <c r="C1380" s="0" t="str">
        <f aca="false">IF(I1380="","",IF(AND(J1380&gt;=1,J1380&lt;=K1380+3),"10."&amp;INDEX(Eingabe!$D$9:$D$18,I1380)&amp;"."&amp;IF(J1380&lt;=K1380,J1380,IF(J1380=K1380+1,200,IF(J1380=K1380+2,201,250)))&amp;".0/24",""))</f>
        <v/>
      </c>
      <c r="D1380" s="0" t="str">
        <f aca="false">IF(I1380="","",IF(AND(J1380&gt;=1,J1380&lt;=K1380+3),"255.255.255.0",""))</f>
        <v/>
      </c>
      <c r="E1380" s="0" t="str">
        <f aca="false">IF(I1380="","",IF(AND(J1380&gt;=1,J1380&lt;=K1380+3),"10."&amp;INDEX(Eingabe!$D$9:$D$18,I1380)&amp;"."&amp;IF(J1380&lt;=K1380,J1380,IF(J1380=K1380+1,200,IF(J1380=K1380+2,201,250)))&amp;".1",""))</f>
        <v/>
      </c>
      <c r="F1380" s="0" t="str">
        <f aca="false">IF(I1380="","",IF(AND(J1380&gt;=1,J1380&lt;=K1380+3),"10."&amp;INDEX(Eingabe!$D$9:$D$18,I1380)&amp;"."&amp;IF(J1380&lt;=K1380,J1380,IF(J1380=K1380+1,200,IF(J1380=K1380+2,201,250)))&amp;".10 – 10."&amp;INDEX(Eingabe!$D$9:$D$18,I1380)&amp;"."&amp;IF(J1380&lt;=K1380,J1380,IF(J1380=K1380+1,200,IF(J1380=K1380+2,201,250)))&amp;".250",""))</f>
        <v/>
      </c>
      <c r="G1380" s="0" t="str">
        <f aca="false">IF(I1380="","",IF(AND(J1380&gt;=1,J1380&lt;=K1380),Eingabe!$B$6&amp;"-"&amp;INDEX(Eingabe!$C$9:$C$18,I1380)&amp;"-Pächter  ·  Passwort Parzelle "&amp;J1380,IF(J1380=K1380+1,Eingabe!$B$6&amp;"-"&amp;INDEX(Eingabe!$C$9:$C$18,I1380)&amp;"-Vorstand  ·  eigenes WLAN",IF(J1380=K1380+2,Eingabe!$B$6&amp;"-"&amp;INDEX(Eingabe!$C$9:$C$18,I1380)&amp;"-Gäste  ·  Voucher",IF(J1380=K1380+3,"Kabel  ·  Access Point y = .(50+y), Mast-Switch x = .(10+x)","")))))</f>
        <v/>
      </c>
      <c r="I1380" s="0" t="str">
        <f aca="false">IF(1375&lt;=(Eingabe!$P$18+Eingabe!$Q$18-1),MATCH(1375,Eingabe!$P$9:$P$18,1),"")</f>
        <v/>
      </c>
      <c r="J1380" s="0" t="str">
        <f aca="false">IF(I1380="","",1375-INDEX(Eingabe!$P$9:$P$18,I1380))</f>
        <v/>
      </c>
      <c r="K1380" s="0" t="str">
        <f aca="false">IF(I1380="","",INDEX(Eingabe!$E$9:$E$18,I1380))</f>
        <v/>
      </c>
    </row>
    <row r="1381" customFormat="false" ht="15" hidden="false" customHeight="false" outlineLevel="0" collapsed="false">
      <c r="A1381" s="0" t="str">
        <f aca="false">IF(I1381="","",IF(J1381=0,"Sparte "&amp;I1381&amp;": "&amp;INDEX(Eingabe!$B$9:$B$18,I1381)&amp;"  (Sparten-ID "&amp;INDEX(Eingabe!$D$9:$D$18,I1381)&amp;", "&amp;K1381&amp;" Parzellen)",IF(J1381&lt;=K1381,"   Parzelle "&amp;J1381,IF(J1381=K1381+1,"   Vorstand",IF(J1381=K1381+2,"   Gäste",IF(J1381=K1381+3,"   Technik (Switches, Access Points)",""))))))</f>
        <v/>
      </c>
      <c r="B1381" s="0" t="str">
        <f aca="false">IF(I1381="","",IF(AND(J1381&gt;=1,J1381&lt;=K1381+3),IF(J1381&lt;=K1381,IF(J1381&lt;=99,IF((INDEX(Eingabe!$G$9:$G$18,I1381))&lt;=9,1000+(INDEX(Eingabe!$G$9:$G$18,I1381))*100,3000)+J1381,IF((INDEX(Eingabe!$G$9:$G$18,I1381)+1)&lt;=9,1000+(INDEX(Eingabe!$G$9:$G$18,I1381)+1)*100,3000)+J1381-100),IF(J1381=K1381+1,2000+INDEX(Eingabe!$G$9:$G$18,I1381)*10+1,IF(J1381=K1381+2,2000+INDEX(Eingabe!$G$9:$G$18,I1381)*10+2,2000+INDEX(Eingabe!$G$9:$G$18,I1381)*10+9))),""))</f>
        <v/>
      </c>
      <c r="C1381" s="0" t="str">
        <f aca="false">IF(I1381="","",IF(AND(J1381&gt;=1,J1381&lt;=K1381+3),"10."&amp;INDEX(Eingabe!$D$9:$D$18,I1381)&amp;"."&amp;IF(J1381&lt;=K1381,J1381,IF(J1381=K1381+1,200,IF(J1381=K1381+2,201,250)))&amp;".0/24",""))</f>
        <v/>
      </c>
      <c r="D1381" s="0" t="str">
        <f aca="false">IF(I1381="","",IF(AND(J1381&gt;=1,J1381&lt;=K1381+3),"255.255.255.0",""))</f>
        <v/>
      </c>
      <c r="E1381" s="0" t="str">
        <f aca="false">IF(I1381="","",IF(AND(J1381&gt;=1,J1381&lt;=K1381+3),"10."&amp;INDEX(Eingabe!$D$9:$D$18,I1381)&amp;"."&amp;IF(J1381&lt;=K1381,J1381,IF(J1381=K1381+1,200,IF(J1381=K1381+2,201,250)))&amp;".1",""))</f>
        <v/>
      </c>
      <c r="F1381" s="0" t="str">
        <f aca="false">IF(I1381="","",IF(AND(J1381&gt;=1,J1381&lt;=K1381+3),"10."&amp;INDEX(Eingabe!$D$9:$D$18,I1381)&amp;"."&amp;IF(J1381&lt;=K1381,J1381,IF(J1381=K1381+1,200,IF(J1381=K1381+2,201,250)))&amp;".10 – 10."&amp;INDEX(Eingabe!$D$9:$D$18,I1381)&amp;"."&amp;IF(J1381&lt;=K1381,J1381,IF(J1381=K1381+1,200,IF(J1381=K1381+2,201,250)))&amp;".250",""))</f>
        <v/>
      </c>
      <c r="G1381" s="0" t="str">
        <f aca="false">IF(I1381="","",IF(AND(J1381&gt;=1,J1381&lt;=K1381),Eingabe!$B$6&amp;"-"&amp;INDEX(Eingabe!$C$9:$C$18,I1381)&amp;"-Pächter  ·  Passwort Parzelle "&amp;J1381,IF(J1381=K1381+1,Eingabe!$B$6&amp;"-"&amp;INDEX(Eingabe!$C$9:$C$18,I1381)&amp;"-Vorstand  ·  eigenes WLAN",IF(J1381=K1381+2,Eingabe!$B$6&amp;"-"&amp;INDEX(Eingabe!$C$9:$C$18,I1381)&amp;"-Gäste  ·  Voucher",IF(J1381=K1381+3,"Kabel  ·  Access Point y = .(50+y), Mast-Switch x = .(10+x)","")))))</f>
        <v/>
      </c>
      <c r="I1381" s="0" t="str">
        <f aca="false">IF(1376&lt;=(Eingabe!$P$18+Eingabe!$Q$18-1),MATCH(1376,Eingabe!$P$9:$P$18,1),"")</f>
        <v/>
      </c>
      <c r="J1381" s="0" t="str">
        <f aca="false">IF(I1381="","",1376-INDEX(Eingabe!$P$9:$P$18,I1381))</f>
        <v/>
      </c>
      <c r="K1381" s="0" t="str">
        <f aca="false">IF(I1381="","",INDEX(Eingabe!$E$9:$E$18,I1381))</f>
        <v/>
      </c>
    </row>
    <row r="1382" customFormat="false" ht="15" hidden="false" customHeight="false" outlineLevel="0" collapsed="false">
      <c r="A1382" s="0" t="str">
        <f aca="false">IF(I1382="","",IF(J1382=0,"Sparte "&amp;I1382&amp;": "&amp;INDEX(Eingabe!$B$9:$B$18,I1382)&amp;"  (Sparten-ID "&amp;INDEX(Eingabe!$D$9:$D$18,I1382)&amp;", "&amp;K1382&amp;" Parzellen)",IF(J1382&lt;=K1382,"   Parzelle "&amp;J1382,IF(J1382=K1382+1,"   Vorstand",IF(J1382=K1382+2,"   Gäste",IF(J1382=K1382+3,"   Technik (Switches, Access Points)",""))))))</f>
        <v/>
      </c>
      <c r="B1382" s="0" t="str">
        <f aca="false">IF(I1382="","",IF(AND(J1382&gt;=1,J1382&lt;=K1382+3),IF(J1382&lt;=K1382,IF(J1382&lt;=99,IF((INDEX(Eingabe!$G$9:$G$18,I1382))&lt;=9,1000+(INDEX(Eingabe!$G$9:$G$18,I1382))*100,3000)+J1382,IF((INDEX(Eingabe!$G$9:$G$18,I1382)+1)&lt;=9,1000+(INDEX(Eingabe!$G$9:$G$18,I1382)+1)*100,3000)+J1382-100),IF(J1382=K1382+1,2000+INDEX(Eingabe!$G$9:$G$18,I1382)*10+1,IF(J1382=K1382+2,2000+INDEX(Eingabe!$G$9:$G$18,I1382)*10+2,2000+INDEX(Eingabe!$G$9:$G$18,I1382)*10+9))),""))</f>
        <v/>
      </c>
      <c r="C1382" s="0" t="str">
        <f aca="false">IF(I1382="","",IF(AND(J1382&gt;=1,J1382&lt;=K1382+3),"10."&amp;INDEX(Eingabe!$D$9:$D$18,I1382)&amp;"."&amp;IF(J1382&lt;=K1382,J1382,IF(J1382=K1382+1,200,IF(J1382=K1382+2,201,250)))&amp;".0/24",""))</f>
        <v/>
      </c>
      <c r="D1382" s="0" t="str">
        <f aca="false">IF(I1382="","",IF(AND(J1382&gt;=1,J1382&lt;=K1382+3),"255.255.255.0",""))</f>
        <v/>
      </c>
      <c r="E1382" s="0" t="str">
        <f aca="false">IF(I1382="","",IF(AND(J1382&gt;=1,J1382&lt;=K1382+3),"10."&amp;INDEX(Eingabe!$D$9:$D$18,I1382)&amp;"."&amp;IF(J1382&lt;=K1382,J1382,IF(J1382=K1382+1,200,IF(J1382=K1382+2,201,250)))&amp;".1",""))</f>
        <v/>
      </c>
      <c r="F1382" s="0" t="str">
        <f aca="false">IF(I1382="","",IF(AND(J1382&gt;=1,J1382&lt;=K1382+3),"10."&amp;INDEX(Eingabe!$D$9:$D$18,I1382)&amp;"."&amp;IF(J1382&lt;=K1382,J1382,IF(J1382=K1382+1,200,IF(J1382=K1382+2,201,250)))&amp;".10 – 10."&amp;INDEX(Eingabe!$D$9:$D$18,I1382)&amp;"."&amp;IF(J1382&lt;=K1382,J1382,IF(J1382=K1382+1,200,IF(J1382=K1382+2,201,250)))&amp;".250",""))</f>
        <v/>
      </c>
      <c r="G1382" s="0" t="str">
        <f aca="false">IF(I1382="","",IF(AND(J1382&gt;=1,J1382&lt;=K1382),Eingabe!$B$6&amp;"-"&amp;INDEX(Eingabe!$C$9:$C$18,I1382)&amp;"-Pächter  ·  Passwort Parzelle "&amp;J1382,IF(J1382=K1382+1,Eingabe!$B$6&amp;"-"&amp;INDEX(Eingabe!$C$9:$C$18,I1382)&amp;"-Vorstand  ·  eigenes WLAN",IF(J1382=K1382+2,Eingabe!$B$6&amp;"-"&amp;INDEX(Eingabe!$C$9:$C$18,I1382)&amp;"-Gäste  ·  Voucher",IF(J1382=K1382+3,"Kabel  ·  Access Point y = .(50+y), Mast-Switch x = .(10+x)","")))))</f>
        <v/>
      </c>
      <c r="I1382" s="0" t="str">
        <f aca="false">IF(1377&lt;=(Eingabe!$P$18+Eingabe!$Q$18-1),MATCH(1377,Eingabe!$P$9:$P$18,1),"")</f>
        <v/>
      </c>
      <c r="J1382" s="0" t="str">
        <f aca="false">IF(I1382="","",1377-INDEX(Eingabe!$P$9:$P$18,I1382))</f>
        <v/>
      </c>
      <c r="K1382" s="0" t="str">
        <f aca="false">IF(I1382="","",INDEX(Eingabe!$E$9:$E$18,I1382))</f>
        <v/>
      </c>
    </row>
    <row r="1383" customFormat="false" ht="15" hidden="false" customHeight="false" outlineLevel="0" collapsed="false">
      <c r="A1383" s="0" t="str">
        <f aca="false">IF(I1383="","",IF(J1383=0,"Sparte "&amp;I1383&amp;": "&amp;INDEX(Eingabe!$B$9:$B$18,I1383)&amp;"  (Sparten-ID "&amp;INDEX(Eingabe!$D$9:$D$18,I1383)&amp;", "&amp;K1383&amp;" Parzellen)",IF(J1383&lt;=K1383,"   Parzelle "&amp;J1383,IF(J1383=K1383+1,"   Vorstand",IF(J1383=K1383+2,"   Gäste",IF(J1383=K1383+3,"   Technik (Switches, Access Points)",""))))))</f>
        <v/>
      </c>
      <c r="B1383" s="0" t="str">
        <f aca="false">IF(I1383="","",IF(AND(J1383&gt;=1,J1383&lt;=K1383+3),IF(J1383&lt;=K1383,IF(J1383&lt;=99,IF((INDEX(Eingabe!$G$9:$G$18,I1383))&lt;=9,1000+(INDEX(Eingabe!$G$9:$G$18,I1383))*100,3000)+J1383,IF((INDEX(Eingabe!$G$9:$G$18,I1383)+1)&lt;=9,1000+(INDEX(Eingabe!$G$9:$G$18,I1383)+1)*100,3000)+J1383-100),IF(J1383=K1383+1,2000+INDEX(Eingabe!$G$9:$G$18,I1383)*10+1,IF(J1383=K1383+2,2000+INDEX(Eingabe!$G$9:$G$18,I1383)*10+2,2000+INDEX(Eingabe!$G$9:$G$18,I1383)*10+9))),""))</f>
        <v/>
      </c>
      <c r="C1383" s="0" t="str">
        <f aca="false">IF(I1383="","",IF(AND(J1383&gt;=1,J1383&lt;=K1383+3),"10."&amp;INDEX(Eingabe!$D$9:$D$18,I1383)&amp;"."&amp;IF(J1383&lt;=K1383,J1383,IF(J1383=K1383+1,200,IF(J1383=K1383+2,201,250)))&amp;".0/24",""))</f>
        <v/>
      </c>
      <c r="D1383" s="0" t="str">
        <f aca="false">IF(I1383="","",IF(AND(J1383&gt;=1,J1383&lt;=K1383+3),"255.255.255.0",""))</f>
        <v/>
      </c>
      <c r="E1383" s="0" t="str">
        <f aca="false">IF(I1383="","",IF(AND(J1383&gt;=1,J1383&lt;=K1383+3),"10."&amp;INDEX(Eingabe!$D$9:$D$18,I1383)&amp;"."&amp;IF(J1383&lt;=K1383,J1383,IF(J1383=K1383+1,200,IF(J1383=K1383+2,201,250)))&amp;".1",""))</f>
        <v/>
      </c>
      <c r="F1383" s="0" t="str">
        <f aca="false">IF(I1383="","",IF(AND(J1383&gt;=1,J1383&lt;=K1383+3),"10."&amp;INDEX(Eingabe!$D$9:$D$18,I1383)&amp;"."&amp;IF(J1383&lt;=K1383,J1383,IF(J1383=K1383+1,200,IF(J1383=K1383+2,201,250)))&amp;".10 – 10."&amp;INDEX(Eingabe!$D$9:$D$18,I1383)&amp;"."&amp;IF(J1383&lt;=K1383,J1383,IF(J1383=K1383+1,200,IF(J1383=K1383+2,201,250)))&amp;".250",""))</f>
        <v/>
      </c>
      <c r="G1383" s="0" t="str">
        <f aca="false">IF(I1383="","",IF(AND(J1383&gt;=1,J1383&lt;=K1383),Eingabe!$B$6&amp;"-"&amp;INDEX(Eingabe!$C$9:$C$18,I1383)&amp;"-Pächter  ·  Passwort Parzelle "&amp;J1383,IF(J1383=K1383+1,Eingabe!$B$6&amp;"-"&amp;INDEX(Eingabe!$C$9:$C$18,I1383)&amp;"-Vorstand  ·  eigenes WLAN",IF(J1383=K1383+2,Eingabe!$B$6&amp;"-"&amp;INDEX(Eingabe!$C$9:$C$18,I1383)&amp;"-Gäste  ·  Voucher",IF(J1383=K1383+3,"Kabel  ·  Access Point y = .(50+y), Mast-Switch x = .(10+x)","")))))</f>
        <v/>
      </c>
      <c r="I1383" s="0" t="str">
        <f aca="false">IF(1378&lt;=(Eingabe!$P$18+Eingabe!$Q$18-1),MATCH(1378,Eingabe!$P$9:$P$18,1),"")</f>
        <v/>
      </c>
      <c r="J1383" s="0" t="str">
        <f aca="false">IF(I1383="","",1378-INDEX(Eingabe!$P$9:$P$18,I1383))</f>
        <v/>
      </c>
      <c r="K1383" s="0" t="str">
        <f aca="false">IF(I1383="","",INDEX(Eingabe!$E$9:$E$18,I1383))</f>
        <v/>
      </c>
    </row>
    <row r="1384" customFormat="false" ht="15" hidden="false" customHeight="false" outlineLevel="0" collapsed="false">
      <c r="A1384" s="0" t="str">
        <f aca="false">IF(I1384="","",IF(J1384=0,"Sparte "&amp;I1384&amp;": "&amp;INDEX(Eingabe!$B$9:$B$18,I1384)&amp;"  (Sparten-ID "&amp;INDEX(Eingabe!$D$9:$D$18,I1384)&amp;", "&amp;K1384&amp;" Parzellen)",IF(J1384&lt;=K1384,"   Parzelle "&amp;J1384,IF(J1384=K1384+1,"   Vorstand",IF(J1384=K1384+2,"   Gäste",IF(J1384=K1384+3,"   Technik (Switches, Access Points)",""))))))</f>
        <v/>
      </c>
      <c r="B1384" s="0" t="str">
        <f aca="false">IF(I1384="","",IF(AND(J1384&gt;=1,J1384&lt;=K1384+3),IF(J1384&lt;=K1384,IF(J1384&lt;=99,IF((INDEX(Eingabe!$G$9:$G$18,I1384))&lt;=9,1000+(INDEX(Eingabe!$G$9:$G$18,I1384))*100,3000)+J1384,IF((INDEX(Eingabe!$G$9:$G$18,I1384)+1)&lt;=9,1000+(INDEX(Eingabe!$G$9:$G$18,I1384)+1)*100,3000)+J1384-100),IF(J1384=K1384+1,2000+INDEX(Eingabe!$G$9:$G$18,I1384)*10+1,IF(J1384=K1384+2,2000+INDEX(Eingabe!$G$9:$G$18,I1384)*10+2,2000+INDEX(Eingabe!$G$9:$G$18,I1384)*10+9))),""))</f>
        <v/>
      </c>
      <c r="C1384" s="0" t="str">
        <f aca="false">IF(I1384="","",IF(AND(J1384&gt;=1,J1384&lt;=K1384+3),"10."&amp;INDEX(Eingabe!$D$9:$D$18,I1384)&amp;"."&amp;IF(J1384&lt;=K1384,J1384,IF(J1384=K1384+1,200,IF(J1384=K1384+2,201,250)))&amp;".0/24",""))</f>
        <v/>
      </c>
      <c r="D1384" s="0" t="str">
        <f aca="false">IF(I1384="","",IF(AND(J1384&gt;=1,J1384&lt;=K1384+3),"255.255.255.0",""))</f>
        <v/>
      </c>
      <c r="E1384" s="0" t="str">
        <f aca="false">IF(I1384="","",IF(AND(J1384&gt;=1,J1384&lt;=K1384+3),"10."&amp;INDEX(Eingabe!$D$9:$D$18,I1384)&amp;"."&amp;IF(J1384&lt;=K1384,J1384,IF(J1384=K1384+1,200,IF(J1384=K1384+2,201,250)))&amp;".1",""))</f>
        <v/>
      </c>
      <c r="F1384" s="0" t="str">
        <f aca="false">IF(I1384="","",IF(AND(J1384&gt;=1,J1384&lt;=K1384+3),"10."&amp;INDEX(Eingabe!$D$9:$D$18,I1384)&amp;"."&amp;IF(J1384&lt;=K1384,J1384,IF(J1384=K1384+1,200,IF(J1384=K1384+2,201,250)))&amp;".10 – 10."&amp;INDEX(Eingabe!$D$9:$D$18,I1384)&amp;"."&amp;IF(J1384&lt;=K1384,J1384,IF(J1384=K1384+1,200,IF(J1384=K1384+2,201,250)))&amp;".250",""))</f>
        <v/>
      </c>
      <c r="G1384" s="0" t="str">
        <f aca="false">IF(I1384="","",IF(AND(J1384&gt;=1,J1384&lt;=K1384),Eingabe!$B$6&amp;"-"&amp;INDEX(Eingabe!$C$9:$C$18,I1384)&amp;"-Pächter  ·  Passwort Parzelle "&amp;J1384,IF(J1384=K1384+1,Eingabe!$B$6&amp;"-"&amp;INDEX(Eingabe!$C$9:$C$18,I1384)&amp;"-Vorstand  ·  eigenes WLAN",IF(J1384=K1384+2,Eingabe!$B$6&amp;"-"&amp;INDEX(Eingabe!$C$9:$C$18,I1384)&amp;"-Gäste  ·  Voucher",IF(J1384=K1384+3,"Kabel  ·  Access Point y = .(50+y), Mast-Switch x = .(10+x)","")))))</f>
        <v/>
      </c>
      <c r="I1384" s="0" t="str">
        <f aca="false">IF(1379&lt;=(Eingabe!$P$18+Eingabe!$Q$18-1),MATCH(1379,Eingabe!$P$9:$P$18,1),"")</f>
        <v/>
      </c>
      <c r="J1384" s="0" t="str">
        <f aca="false">IF(I1384="","",1379-INDEX(Eingabe!$P$9:$P$18,I1384))</f>
        <v/>
      </c>
      <c r="K1384" s="0" t="str">
        <f aca="false">IF(I1384="","",INDEX(Eingabe!$E$9:$E$18,I1384))</f>
        <v/>
      </c>
    </row>
    <row r="1385" customFormat="false" ht="15" hidden="false" customHeight="false" outlineLevel="0" collapsed="false">
      <c r="A1385" s="0" t="str">
        <f aca="false">IF(I1385="","",IF(J1385=0,"Sparte "&amp;I1385&amp;": "&amp;INDEX(Eingabe!$B$9:$B$18,I1385)&amp;"  (Sparten-ID "&amp;INDEX(Eingabe!$D$9:$D$18,I1385)&amp;", "&amp;K1385&amp;" Parzellen)",IF(J1385&lt;=K1385,"   Parzelle "&amp;J1385,IF(J1385=K1385+1,"   Vorstand",IF(J1385=K1385+2,"   Gäste",IF(J1385=K1385+3,"   Technik (Switches, Access Points)",""))))))</f>
        <v/>
      </c>
      <c r="B1385" s="0" t="str">
        <f aca="false">IF(I1385="","",IF(AND(J1385&gt;=1,J1385&lt;=K1385+3),IF(J1385&lt;=K1385,IF(J1385&lt;=99,IF((INDEX(Eingabe!$G$9:$G$18,I1385))&lt;=9,1000+(INDEX(Eingabe!$G$9:$G$18,I1385))*100,3000)+J1385,IF((INDEX(Eingabe!$G$9:$G$18,I1385)+1)&lt;=9,1000+(INDEX(Eingabe!$G$9:$G$18,I1385)+1)*100,3000)+J1385-100),IF(J1385=K1385+1,2000+INDEX(Eingabe!$G$9:$G$18,I1385)*10+1,IF(J1385=K1385+2,2000+INDEX(Eingabe!$G$9:$G$18,I1385)*10+2,2000+INDEX(Eingabe!$G$9:$G$18,I1385)*10+9))),""))</f>
        <v/>
      </c>
      <c r="C1385" s="0" t="str">
        <f aca="false">IF(I1385="","",IF(AND(J1385&gt;=1,J1385&lt;=K1385+3),"10."&amp;INDEX(Eingabe!$D$9:$D$18,I1385)&amp;"."&amp;IF(J1385&lt;=K1385,J1385,IF(J1385=K1385+1,200,IF(J1385=K1385+2,201,250)))&amp;".0/24",""))</f>
        <v/>
      </c>
      <c r="D1385" s="0" t="str">
        <f aca="false">IF(I1385="","",IF(AND(J1385&gt;=1,J1385&lt;=K1385+3),"255.255.255.0",""))</f>
        <v/>
      </c>
      <c r="E1385" s="0" t="str">
        <f aca="false">IF(I1385="","",IF(AND(J1385&gt;=1,J1385&lt;=K1385+3),"10."&amp;INDEX(Eingabe!$D$9:$D$18,I1385)&amp;"."&amp;IF(J1385&lt;=K1385,J1385,IF(J1385=K1385+1,200,IF(J1385=K1385+2,201,250)))&amp;".1",""))</f>
        <v/>
      </c>
      <c r="F1385" s="0" t="str">
        <f aca="false">IF(I1385="","",IF(AND(J1385&gt;=1,J1385&lt;=K1385+3),"10."&amp;INDEX(Eingabe!$D$9:$D$18,I1385)&amp;"."&amp;IF(J1385&lt;=K1385,J1385,IF(J1385=K1385+1,200,IF(J1385=K1385+2,201,250)))&amp;".10 – 10."&amp;INDEX(Eingabe!$D$9:$D$18,I1385)&amp;"."&amp;IF(J1385&lt;=K1385,J1385,IF(J1385=K1385+1,200,IF(J1385=K1385+2,201,250)))&amp;".250",""))</f>
        <v/>
      </c>
      <c r="G1385" s="0" t="str">
        <f aca="false">IF(I1385="","",IF(AND(J1385&gt;=1,J1385&lt;=K1385),Eingabe!$B$6&amp;"-"&amp;INDEX(Eingabe!$C$9:$C$18,I1385)&amp;"-Pächter  ·  Passwort Parzelle "&amp;J1385,IF(J1385=K1385+1,Eingabe!$B$6&amp;"-"&amp;INDEX(Eingabe!$C$9:$C$18,I1385)&amp;"-Vorstand  ·  eigenes WLAN",IF(J1385=K1385+2,Eingabe!$B$6&amp;"-"&amp;INDEX(Eingabe!$C$9:$C$18,I1385)&amp;"-Gäste  ·  Voucher",IF(J1385=K1385+3,"Kabel  ·  Access Point y = .(50+y), Mast-Switch x = .(10+x)","")))))</f>
        <v/>
      </c>
      <c r="I1385" s="0" t="str">
        <f aca="false">IF(1380&lt;=(Eingabe!$P$18+Eingabe!$Q$18-1),MATCH(1380,Eingabe!$P$9:$P$18,1),"")</f>
        <v/>
      </c>
      <c r="J1385" s="0" t="str">
        <f aca="false">IF(I1385="","",1380-INDEX(Eingabe!$P$9:$P$18,I1385))</f>
        <v/>
      </c>
      <c r="K1385" s="0" t="str">
        <f aca="false">IF(I1385="","",INDEX(Eingabe!$E$9:$E$18,I1385))</f>
        <v/>
      </c>
    </row>
    <row r="1386" customFormat="false" ht="15" hidden="false" customHeight="false" outlineLevel="0" collapsed="false">
      <c r="A1386" s="0" t="str">
        <f aca="false">IF(I1386="","",IF(J1386=0,"Sparte "&amp;I1386&amp;": "&amp;INDEX(Eingabe!$B$9:$B$18,I1386)&amp;"  (Sparten-ID "&amp;INDEX(Eingabe!$D$9:$D$18,I1386)&amp;", "&amp;K1386&amp;" Parzellen)",IF(J1386&lt;=K1386,"   Parzelle "&amp;J1386,IF(J1386=K1386+1,"   Vorstand",IF(J1386=K1386+2,"   Gäste",IF(J1386=K1386+3,"   Technik (Switches, Access Points)",""))))))</f>
        <v/>
      </c>
      <c r="B1386" s="0" t="str">
        <f aca="false">IF(I1386="","",IF(AND(J1386&gt;=1,J1386&lt;=K1386+3),IF(J1386&lt;=K1386,IF(J1386&lt;=99,IF((INDEX(Eingabe!$G$9:$G$18,I1386))&lt;=9,1000+(INDEX(Eingabe!$G$9:$G$18,I1386))*100,3000)+J1386,IF((INDEX(Eingabe!$G$9:$G$18,I1386)+1)&lt;=9,1000+(INDEX(Eingabe!$G$9:$G$18,I1386)+1)*100,3000)+J1386-100),IF(J1386=K1386+1,2000+INDEX(Eingabe!$G$9:$G$18,I1386)*10+1,IF(J1386=K1386+2,2000+INDEX(Eingabe!$G$9:$G$18,I1386)*10+2,2000+INDEX(Eingabe!$G$9:$G$18,I1386)*10+9))),""))</f>
        <v/>
      </c>
      <c r="C1386" s="0" t="str">
        <f aca="false">IF(I1386="","",IF(AND(J1386&gt;=1,J1386&lt;=K1386+3),"10."&amp;INDEX(Eingabe!$D$9:$D$18,I1386)&amp;"."&amp;IF(J1386&lt;=K1386,J1386,IF(J1386=K1386+1,200,IF(J1386=K1386+2,201,250)))&amp;".0/24",""))</f>
        <v/>
      </c>
      <c r="D1386" s="0" t="str">
        <f aca="false">IF(I1386="","",IF(AND(J1386&gt;=1,J1386&lt;=K1386+3),"255.255.255.0",""))</f>
        <v/>
      </c>
      <c r="E1386" s="0" t="str">
        <f aca="false">IF(I1386="","",IF(AND(J1386&gt;=1,J1386&lt;=K1386+3),"10."&amp;INDEX(Eingabe!$D$9:$D$18,I1386)&amp;"."&amp;IF(J1386&lt;=K1386,J1386,IF(J1386=K1386+1,200,IF(J1386=K1386+2,201,250)))&amp;".1",""))</f>
        <v/>
      </c>
      <c r="F1386" s="0" t="str">
        <f aca="false">IF(I1386="","",IF(AND(J1386&gt;=1,J1386&lt;=K1386+3),"10."&amp;INDEX(Eingabe!$D$9:$D$18,I1386)&amp;"."&amp;IF(J1386&lt;=K1386,J1386,IF(J1386=K1386+1,200,IF(J1386=K1386+2,201,250)))&amp;".10 – 10."&amp;INDEX(Eingabe!$D$9:$D$18,I1386)&amp;"."&amp;IF(J1386&lt;=K1386,J1386,IF(J1386=K1386+1,200,IF(J1386=K1386+2,201,250)))&amp;".250",""))</f>
        <v/>
      </c>
      <c r="G1386" s="0" t="str">
        <f aca="false">IF(I1386="","",IF(AND(J1386&gt;=1,J1386&lt;=K1386),Eingabe!$B$6&amp;"-"&amp;INDEX(Eingabe!$C$9:$C$18,I1386)&amp;"-Pächter  ·  Passwort Parzelle "&amp;J1386,IF(J1386=K1386+1,Eingabe!$B$6&amp;"-"&amp;INDEX(Eingabe!$C$9:$C$18,I1386)&amp;"-Vorstand  ·  eigenes WLAN",IF(J1386=K1386+2,Eingabe!$B$6&amp;"-"&amp;INDEX(Eingabe!$C$9:$C$18,I1386)&amp;"-Gäste  ·  Voucher",IF(J1386=K1386+3,"Kabel  ·  Access Point y = .(50+y), Mast-Switch x = .(10+x)","")))))</f>
        <v/>
      </c>
      <c r="I1386" s="0" t="str">
        <f aca="false">IF(1381&lt;=(Eingabe!$P$18+Eingabe!$Q$18-1),MATCH(1381,Eingabe!$P$9:$P$18,1),"")</f>
        <v/>
      </c>
      <c r="J1386" s="0" t="str">
        <f aca="false">IF(I1386="","",1381-INDEX(Eingabe!$P$9:$P$18,I1386))</f>
        <v/>
      </c>
      <c r="K1386" s="0" t="str">
        <f aca="false">IF(I1386="","",INDEX(Eingabe!$E$9:$E$18,I1386))</f>
        <v/>
      </c>
    </row>
    <row r="1387" customFormat="false" ht="15" hidden="false" customHeight="false" outlineLevel="0" collapsed="false">
      <c r="A1387" s="0" t="str">
        <f aca="false">IF(I1387="","",IF(J1387=0,"Sparte "&amp;I1387&amp;": "&amp;INDEX(Eingabe!$B$9:$B$18,I1387)&amp;"  (Sparten-ID "&amp;INDEX(Eingabe!$D$9:$D$18,I1387)&amp;", "&amp;K1387&amp;" Parzellen)",IF(J1387&lt;=K1387,"   Parzelle "&amp;J1387,IF(J1387=K1387+1,"   Vorstand",IF(J1387=K1387+2,"   Gäste",IF(J1387=K1387+3,"   Technik (Switches, Access Points)",""))))))</f>
        <v/>
      </c>
      <c r="B1387" s="0" t="str">
        <f aca="false">IF(I1387="","",IF(AND(J1387&gt;=1,J1387&lt;=K1387+3),IF(J1387&lt;=K1387,IF(J1387&lt;=99,IF((INDEX(Eingabe!$G$9:$G$18,I1387))&lt;=9,1000+(INDEX(Eingabe!$G$9:$G$18,I1387))*100,3000)+J1387,IF((INDEX(Eingabe!$G$9:$G$18,I1387)+1)&lt;=9,1000+(INDEX(Eingabe!$G$9:$G$18,I1387)+1)*100,3000)+J1387-100),IF(J1387=K1387+1,2000+INDEX(Eingabe!$G$9:$G$18,I1387)*10+1,IF(J1387=K1387+2,2000+INDEX(Eingabe!$G$9:$G$18,I1387)*10+2,2000+INDEX(Eingabe!$G$9:$G$18,I1387)*10+9))),""))</f>
        <v/>
      </c>
      <c r="C1387" s="0" t="str">
        <f aca="false">IF(I1387="","",IF(AND(J1387&gt;=1,J1387&lt;=K1387+3),"10."&amp;INDEX(Eingabe!$D$9:$D$18,I1387)&amp;"."&amp;IF(J1387&lt;=K1387,J1387,IF(J1387=K1387+1,200,IF(J1387=K1387+2,201,250)))&amp;".0/24",""))</f>
        <v/>
      </c>
      <c r="D1387" s="0" t="str">
        <f aca="false">IF(I1387="","",IF(AND(J1387&gt;=1,J1387&lt;=K1387+3),"255.255.255.0",""))</f>
        <v/>
      </c>
      <c r="E1387" s="0" t="str">
        <f aca="false">IF(I1387="","",IF(AND(J1387&gt;=1,J1387&lt;=K1387+3),"10."&amp;INDEX(Eingabe!$D$9:$D$18,I1387)&amp;"."&amp;IF(J1387&lt;=K1387,J1387,IF(J1387=K1387+1,200,IF(J1387=K1387+2,201,250)))&amp;".1",""))</f>
        <v/>
      </c>
      <c r="F1387" s="0" t="str">
        <f aca="false">IF(I1387="","",IF(AND(J1387&gt;=1,J1387&lt;=K1387+3),"10."&amp;INDEX(Eingabe!$D$9:$D$18,I1387)&amp;"."&amp;IF(J1387&lt;=K1387,J1387,IF(J1387=K1387+1,200,IF(J1387=K1387+2,201,250)))&amp;".10 – 10."&amp;INDEX(Eingabe!$D$9:$D$18,I1387)&amp;"."&amp;IF(J1387&lt;=K1387,J1387,IF(J1387=K1387+1,200,IF(J1387=K1387+2,201,250)))&amp;".250",""))</f>
        <v/>
      </c>
      <c r="G1387" s="0" t="str">
        <f aca="false">IF(I1387="","",IF(AND(J1387&gt;=1,J1387&lt;=K1387),Eingabe!$B$6&amp;"-"&amp;INDEX(Eingabe!$C$9:$C$18,I1387)&amp;"-Pächter  ·  Passwort Parzelle "&amp;J1387,IF(J1387=K1387+1,Eingabe!$B$6&amp;"-"&amp;INDEX(Eingabe!$C$9:$C$18,I1387)&amp;"-Vorstand  ·  eigenes WLAN",IF(J1387=K1387+2,Eingabe!$B$6&amp;"-"&amp;INDEX(Eingabe!$C$9:$C$18,I1387)&amp;"-Gäste  ·  Voucher",IF(J1387=K1387+3,"Kabel  ·  Access Point y = .(50+y), Mast-Switch x = .(10+x)","")))))</f>
        <v/>
      </c>
      <c r="I1387" s="0" t="str">
        <f aca="false">IF(1382&lt;=(Eingabe!$P$18+Eingabe!$Q$18-1),MATCH(1382,Eingabe!$P$9:$P$18,1),"")</f>
        <v/>
      </c>
      <c r="J1387" s="0" t="str">
        <f aca="false">IF(I1387="","",1382-INDEX(Eingabe!$P$9:$P$18,I1387))</f>
        <v/>
      </c>
      <c r="K1387" s="0" t="str">
        <f aca="false">IF(I1387="","",INDEX(Eingabe!$E$9:$E$18,I1387))</f>
        <v/>
      </c>
    </row>
    <row r="1388" customFormat="false" ht="15" hidden="false" customHeight="false" outlineLevel="0" collapsed="false">
      <c r="A1388" s="0" t="str">
        <f aca="false">IF(I1388="","",IF(J1388=0,"Sparte "&amp;I1388&amp;": "&amp;INDEX(Eingabe!$B$9:$B$18,I1388)&amp;"  (Sparten-ID "&amp;INDEX(Eingabe!$D$9:$D$18,I1388)&amp;", "&amp;K1388&amp;" Parzellen)",IF(J1388&lt;=K1388,"   Parzelle "&amp;J1388,IF(J1388=K1388+1,"   Vorstand",IF(J1388=K1388+2,"   Gäste",IF(J1388=K1388+3,"   Technik (Switches, Access Points)",""))))))</f>
        <v/>
      </c>
      <c r="B1388" s="0" t="str">
        <f aca="false">IF(I1388="","",IF(AND(J1388&gt;=1,J1388&lt;=K1388+3),IF(J1388&lt;=K1388,IF(J1388&lt;=99,IF((INDEX(Eingabe!$G$9:$G$18,I1388))&lt;=9,1000+(INDEX(Eingabe!$G$9:$G$18,I1388))*100,3000)+J1388,IF((INDEX(Eingabe!$G$9:$G$18,I1388)+1)&lt;=9,1000+(INDEX(Eingabe!$G$9:$G$18,I1388)+1)*100,3000)+J1388-100),IF(J1388=K1388+1,2000+INDEX(Eingabe!$G$9:$G$18,I1388)*10+1,IF(J1388=K1388+2,2000+INDEX(Eingabe!$G$9:$G$18,I1388)*10+2,2000+INDEX(Eingabe!$G$9:$G$18,I1388)*10+9))),""))</f>
        <v/>
      </c>
      <c r="C1388" s="0" t="str">
        <f aca="false">IF(I1388="","",IF(AND(J1388&gt;=1,J1388&lt;=K1388+3),"10."&amp;INDEX(Eingabe!$D$9:$D$18,I1388)&amp;"."&amp;IF(J1388&lt;=K1388,J1388,IF(J1388=K1388+1,200,IF(J1388=K1388+2,201,250)))&amp;".0/24",""))</f>
        <v/>
      </c>
      <c r="D1388" s="0" t="str">
        <f aca="false">IF(I1388="","",IF(AND(J1388&gt;=1,J1388&lt;=K1388+3),"255.255.255.0",""))</f>
        <v/>
      </c>
      <c r="E1388" s="0" t="str">
        <f aca="false">IF(I1388="","",IF(AND(J1388&gt;=1,J1388&lt;=K1388+3),"10."&amp;INDEX(Eingabe!$D$9:$D$18,I1388)&amp;"."&amp;IF(J1388&lt;=K1388,J1388,IF(J1388=K1388+1,200,IF(J1388=K1388+2,201,250)))&amp;".1",""))</f>
        <v/>
      </c>
      <c r="F1388" s="0" t="str">
        <f aca="false">IF(I1388="","",IF(AND(J1388&gt;=1,J1388&lt;=K1388+3),"10."&amp;INDEX(Eingabe!$D$9:$D$18,I1388)&amp;"."&amp;IF(J1388&lt;=K1388,J1388,IF(J1388=K1388+1,200,IF(J1388=K1388+2,201,250)))&amp;".10 – 10."&amp;INDEX(Eingabe!$D$9:$D$18,I1388)&amp;"."&amp;IF(J1388&lt;=K1388,J1388,IF(J1388=K1388+1,200,IF(J1388=K1388+2,201,250)))&amp;".250",""))</f>
        <v/>
      </c>
      <c r="G1388" s="0" t="str">
        <f aca="false">IF(I1388="","",IF(AND(J1388&gt;=1,J1388&lt;=K1388),Eingabe!$B$6&amp;"-"&amp;INDEX(Eingabe!$C$9:$C$18,I1388)&amp;"-Pächter  ·  Passwort Parzelle "&amp;J1388,IF(J1388=K1388+1,Eingabe!$B$6&amp;"-"&amp;INDEX(Eingabe!$C$9:$C$18,I1388)&amp;"-Vorstand  ·  eigenes WLAN",IF(J1388=K1388+2,Eingabe!$B$6&amp;"-"&amp;INDEX(Eingabe!$C$9:$C$18,I1388)&amp;"-Gäste  ·  Voucher",IF(J1388=K1388+3,"Kabel  ·  Access Point y = .(50+y), Mast-Switch x = .(10+x)","")))))</f>
        <v/>
      </c>
      <c r="I1388" s="0" t="str">
        <f aca="false">IF(1383&lt;=(Eingabe!$P$18+Eingabe!$Q$18-1),MATCH(1383,Eingabe!$P$9:$P$18,1),"")</f>
        <v/>
      </c>
      <c r="J1388" s="0" t="str">
        <f aca="false">IF(I1388="","",1383-INDEX(Eingabe!$P$9:$P$18,I1388))</f>
        <v/>
      </c>
      <c r="K1388" s="0" t="str">
        <f aca="false">IF(I1388="","",INDEX(Eingabe!$E$9:$E$18,I1388))</f>
        <v/>
      </c>
    </row>
    <row r="1389" customFormat="false" ht="15" hidden="false" customHeight="false" outlineLevel="0" collapsed="false">
      <c r="A1389" s="0" t="str">
        <f aca="false">IF(I1389="","",IF(J1389=0,"Sparte "&amp;I1389&amp;": "&amp;INDEX(Eingabe!$B$9:$B$18,I1389)&amp;"  (Sparten-ID "&amp;INDEX(Eingabe!$D$9:$D$18,I1389)&amp;", "&amp;K1389&amp;" Parzellen)",IF(J1389&lt;=K1389,"   Parzelle "&amp;J1389,IF(J1389=K1389+1,"   Vorstand",IF(J1389=K1389+2,"   Gäste",IF(J1389=K1389+3,"   Technik (Switches, Access Points)",""))))))</f>
        <v/>
      </c>
      <c r="B1389" s="0" t="str">
        <f aca="false">IF(I1389="","",IF(AND(J1389&gt;=1,J1389&lt;=K1389+3),IF(J1389&lt;=K1389,IF(J1389&lt;=99,IF((INDEX(Eingabe!$G$9:$G$18,I1389))&lt;=9,1000+(INDEX(Eingabe!$G$9:$G$18,I1389))*100,3000)+J1389,IF((INDEX(Eingabe!$G$9:$G$18,I1389)+1)&lt;=9,1000+(INDEX(Eingabe!$G$9:$G$18,I1389)+1)*100,3000)+J1389-100),IF(J1389=K1389+1,2000+INDEX(Eingabe!$G$9:$G$18,I1389)*10+1,IF(J1389=K1389+2,2000+INDEX(Eingabe!$G$9:$G$18,I1389)*10+2,2000+INDEX(Eingabe!$G$9:$G$18,I1389)*10+9))),""))</f>
        <v/>
      </c>
      <c r="C1389" s="0" t="str">
        <f aca="false">IF(I1389="","",IF(AND(J1389&gt;=1,J1389&lt;=K1389+3),"10."&amp;INDEX(Eingabe!$D$9:$D$18,I1389)&amp;"."&amp;IF(J1389&lt;=K1389,J1389,IF(J1389=K1389+1,200,IF(J1389=K1389+2,201,250)))&amp;".0/24",""))</f>
        <v/>
      </c>
      <c r="D1389" s="0" t="str">
        <f aca="false">IF(I1389="","",IF(AND(J1389&gt;=1,J1389&lt;=K1389+3),"255.255.255.0",""))</f>
        <v/>
      </c>
      <c r="E1389" s="0" t="str">
        <f aca="false">IF(I1389="","",IF(AND(J1389&gt;=1,J1389&lt;=K1389+3),"10."&amp;INDEX(Eingabe!$D$9:$D$18,I1389)&amp;"."&amp;IF(J1389&lt;=K1389,J1389,IF(J1389=K1389+1,200,IF(J1389=K1389+2,201,250)))&amp;".1",""))</f>
        <v/>
      </c>
      <c r="F1389" s="0" t="str">
        <f aca="false">IF(I1389="","",IF(AND(J1389&gt;=1,J1389&lt;=K1389+3),"10."&amp;INDEX(Eingabe!$D$9:$D$18,I1389)&amp;"."&amp;IF(J1389&lt;=K1389,J1389,IF(J1389=K1389+1,200,IF(J1389=K1389+2,201,250)))&amp;".10 – 10."&amp;INDEX(Eingabe!$D$9:$D$18,I1389)&amp;"."&amp;IF(J1389&lt;=K1389,J1389,IF(J1389=K1389+1,200,IF(J1389=K1389+2,201,250)))&amp;".250",""))</f>
        <v/>
      </c>
      <c r="G1389" s="0" t="str">
        <f aca="false">IF(I1389="","",IF(AND(J1389&gt;=1,J1389&lt;=K1389),Eingabe!$B$6&amp;"-"&amp;INDEX(Eingabe!$C$9:$C$18,I1389)&amp;"-Pächter  ·  Passwort Parzelle "&amp;J1389,IF(J1389=K1389+1,Eingabe!$B$6&amp;"-"&amp;INDEX(Eingabe!$C$9:$C$18,I1389)&amp;"-Vorstand  ·  eigenes WLAN",IF(J1389=K1389+2,Eingabe!$B$6&amp;"-"&amp;INDEX(Eingabe!$C$9:$C$18,I1389)&amp;"-Gäste  ·  Voucher",IF(J1389=K1389+3,"Kabel  ·  Access Point y = .(50+y), Mast-Switch x = .(10+x)","")))))</f>
        <v/>
      </c>
      <c r="I1389" s="0" t="str">
        <f aca="false">IF(1384&lt;=(Eingabe!$P$18+Eingabe!$Q$18-1),MATCH(1384,Eingabe!$P$9:$P$18,1),"")</f>
        <v/>
      </c>
      <c r="J1389" s="0" t="str">
        <f aca="false">IF(I1389="","",1384-INDEX(Eingabe!$P$9:$P$18,I1389))</f>
        <v/>
      </c>
      <c r="K1389" s="0" t="str">
        <f aca="false">IF(I1389="","",INDEX(Eingabe!$E$9:$E$18,I1389))</f>
        <v/>
      </c>
    </row>
    <row r="1390" customFormat="false" ht="15" hidden="false" customHeight="false" outlineLevel="0" collapsed="false">
      <c r="A1390" s="0" t="str">
        <f aca="false">IF(I1390="","",IF(J1390=0,"Sparte "&amp;I1390&amp;": "&amp;INDEX(Eingabe!$B$9:$B$18,I1390)&amp;"  (Sparten-ID "&amp;INDEX(Eingabe!$D$9:$D$18,I1390)&amp;", "&amp;K1390&amp;" Parzellen)",IF(J1390&lt;=K1390,"   Parzelle "&amp;J1390,IF(J1390=K1390+1,"   Vorstand",IF(J1390=K1390+2,"   Gäste",IF(J1390=K1390+3,"   Technik (Switches, Access Points)",""))))))</f>
        <v/>
      </c>
      <c r="B1390" s="0" t="str">
        <f aca="false">IF(I1390="","",IF(AND(J1390&gt;=1,J1390&lt;=K1390+3),IF(J1390&lt;=K1390,IF(J1390&lt;=99,IF((INDEX(Eingabe!$G$9:$G$18,I1390))&lt;=9,1000+(INDEX(Eingabe!$G$9:$G$18,I1390))*100,3000)+J1390,IF((INDEX(Eingabe!$G$9:$G$18,I1390)+1)&lt;=9,1000+(INDEX(Eingabe!$G$9:$G$18,I1390)+1)*100,3000)+J1390-100),IF(J1390=K1390+1,2000+INDEX(Eingabe!$G$9:$G$18,I1390)*10+1,IF(J1390=K1390+2,2000+INDEX(Eingabe!$G$9:$G$18,I1390)*10+2,2000+INDEX(Eingabe!$G$9:$G$18,I1390)*10+9))),""))</f>
        <v/>
      </c>
      <c r="C1390" s="0" t="str">
        <f aca="false">IF(I1390="","",IF(AND(J1390&gt;=1,J1390&lt;=K1390+3),"10."&amp;INDEX(Eingabe!$D$9:$D$18,I1390)&amp;"."&amp;IF(J1390&lt;=K1390,J1390,IF(J1390=K1390+1,200,IF(J1390=K1390+2,201,250)))&amp;".0/24",""))</f>
        <v/>
      </c>
      <c r="D1390" s="0" t="str">
        <f aca="false">IF(I1390="","",IF(AND(J1390&gt;=1,J1390&lt;=K1390+3),"255.255.255.0",""))</f>
        <v/>
      </c>
      <c r="E1390" s="0" t="str">
        <f aca="false">IF(I1390="","",IF(AND(J1390&gt;=1,J1390&lt;=K1390+3),"10."&amp;INDEX(Eingabe!$D$9:$D$18,I1390)&amp;"."&amp;IF(J1390&lt;=K1390,J1390,IF(J1390=K1390+1,200,IF(J1390=K1390+2,201,250)))&amp;".1",""))</f>
        <v/>
      </c>
      <c r="F1390" s="0" t="str">
        <f aca="false">IF(I1390="","",IF(AND(J1390&gt;=1,J1390&lt;=K1390+3),"10."&amp;INDEX(Eingabe!$D$9:$D$18,I1390)&amp;"."&amp;IF(J1390&lt;=K1390,J1390,IF(J1390=K1390+1,200,IF(J1390=K1390+2,201,250)))&amp;".10 – 10."&amp;INDEX(Eingabe!$D$9:$D$18,I1390)&amp;"."&amp;IF(J1390&lt;=K1390,J1390,IF(J1390=K1390+1,200,IF(J1390=K1390+2,201,250)))&amp;".250",""))</f>
        <v/>
      </c>
      <c r="G1390" s="0" t="str">
        <f aca="false">IF(I1390="","",IF(AND(J1390&gt;=1,J1390&lt;=K1390),Eingabe!$B$6&amp;"-"&amp;INDEX(Eingabe!$C$9:$C$18,I1390)&amp;"-Pächter  ·  Passwort Parzelle "&amp;J1390,IF(J1390=K1390+1,Eingabe!$B$6&amp;"-"&amp;INDEX(Eingabe!$C$9:$C$18,I1390)&amp;"-Vorstand  ·  eigenes WLAN",IF(J1390=K1390+2,Eingabe!$B$6&amp;"-"&amp;INDEX(Eingabe!$C$9:$C$18,I1390)&amp;"-Gäste  ·  Voucher",IF(J1390=K1390+3,"Kabel  ·  Access Point y = .(50+y), Mast-Switch x = .(10+x)","")))))</f>
        <v/>
      </c>
      <c r="I1390" s="0" t="str">
        <f aca="false">IF(1385&lt;=(Eingabe!$P$18+Eingabe!$Q$18-1),MATCH(1385,Eingabe!$P$9:$P$18,1),"")</f>
        <v/>
      </c>
      <c r="J1390" s="0" t="str">
        <f aca="false">IF(I1390="","",1385-INDEX(Eingabe!$P$9:$P$18,I1390))</f>
        <v/>
      </c>
      <c r="K1390" s="0" t="str">
        <f aca="false">IF(I1390="","",INDEX(Eingabe!$E$9:$E$18,I1390))</f>
        <v/>
      </c>
    </row>
    <row r="1391" customFormat="false" ht="15" hidden="false" customHeight="false" outlineLevel="0" collapsed="false">
      <c r="A1391" s="0" t="str">
        <f aca="false">IF(I1391="","",IF(J1391=0,"Sparte "&amp;I1391&amp;": "&amp;INDEX(Eingabe!$B$9:$B$18,I1391)&amp;"  (Sparten-ID "&amp;INDEX(Eingabe!$D$9:$D$18,I1391)&amp;", "&amp;K1391&amp;" Parzellen)",IF(J1391&lt;=K1391,"   Parzelle "&amp;J1391,IF(J1391=K1391+1,"   Vorstand",IF(J1391=K1391+2,"   Gäste",IF(J1391=K1391+3,"   Technik (Switches, Access Points)",""))))))</f>
        <v/>
      </c>
      <c r="B1391" s="0" t="str">
        <f aca="false">IF(I1391="","",IF(AND(J1391&gt;=1,J1391&lt;=K1391+3),IF(J1391&lt;=K1391,IF(J1391&lt;=99,IF((INDEX(Eingabe!$G$9:$G$18,I1391))&lt;=9,1000+(INDEX(Eingabe!$G$9:$G$18,I1391))*100,3000)+J1391,IF((INDEX(Eingabe!$G$9:$G$18,I1391)+1)&lt;=9,1000+(INDEX(Eingabe!$G$9:$G$18,I1391)+1)*100,3000)+J1391-100),IF(J1391=K1391+1,2000+INDEX(Eingabe!$G$9:$G$18,I1391)*10+1,IF(J1391=K1391+2,2000+INDEX(Eingabe!$G$9:$G$18,I1391)*10+2,2000+INDEX(Eingabe!$G$9:$G$18,I1391)*10+9))),""))</f>
        <v/>
      </c>
      <c r="C1391" s="0" t="str">
        <f aca="false">IF(I1391="","",IF(AND(J1391&gt;=1,J1391&lt;=K1391+3),"10."&amp;INDEX(Eingabe!$D$9:$D$18,I1391)&amp;"."&amp;IF(J1391&lt;=K1391,J1391,IF(J1391=K1391+1,200,IF(J1391=K1391+2,201,250)))&amp;".0/24",""))</f>
        <v/>
      </c>
      <c r="D1391" s="0" t="str">
        <f aca="false">IF(I1391="","",IF(AND(J1391&gt;=1,J1391&lt;=K1391+3),"255.255.255.0",""))</f>
        <v/>
      </c>
      <c r="E1391" s="0" t="str">
        <f aca="false">IF(I1391="","",IF(AND(J1391&gt;=1,J1391&lt;=K1391+3),"10."&amp;INDEX(Eingabe!$D$9:$D$18,I1391)&amp;"."&amp;IF(J1391&lt;=K1391,J1391,IF(J1391=K1391+1,200,IF(J1391=K1391+2,201,250)))&amp;".1",""))</f>
        <v/>
      </c>
      <c r="F1391" s="0" t="str">
        <f aca="false">IF(I1391="","",IF(AND(J1391&gt;=1,J1391&lt;=K1391+3),"10."&amp;INDEX(Eingabe!$D$9:$D$18,I1391)&amp;"."&amp;IF(J1391&lt;=K1391,J1391,IF(J1391=K1391+1,200,IF(J1391=K1391+2,201,250)))&amp;".10 – 10."&amp;INDEX(Eingabe!$D$9:$D$18,I1391)&amp;"."&amp;IF(J1391&lt;=K1391,J1391,IF(J1391=K1391+1,200,IF(J1391=K1391+2,201,250)))&amp;".250",""))</f>
        <v/>
      </c>
      <c r="G1391" s="0" t="str">
        <f aca="false">IF(I1391="","",IF(AND(J1391&gt;=1,J1391&lt;=K1391),Eingabe!$B$6&amp;"-"&amp;INDEX(Eingabe!$C$9:$C$18,I1391)&amp;"-Pächter  ·  Passwort Parzelle "&amp;J1391,IF(J1391=K1391+1,Eingabe!$B$6&amp;"-"&amp;INDEX(Eingabe!$C$9:$C$18,I1391)&amp;"-Vorstand  ·  eigenes WLAN",IF(J1391=K1391+2,Eingabe!$B$6&amp;"-"&amp;INDEX(Eingabe!$C$9:$C$18,I1391)&amp;"-Gäste  ·  Voucher",IF(J1391=K1391+3,"Kabel  ·  Access Point y = .(50+y), Mast-Switch x = .(10+x)","")))))</f>
        <v/>
      </c>
      <c r="I1391" s="0" t="str">
        <f aca="false">IF(1386&lt;=(Eingabe!$P$18+Eingabe!$Q$18-1),MATCH(1386,Eingabe!$P$9:$P$18,1),"")</f>
        <v/>
      </c>
      <c r="J1391" s="0" t="str">
        <f aca="false">IF(I1391="","",1386-INDEX(Eingabe!$P$9:$P$18,I1391))</f>
        <v/>
      </c>
      <c r="K1391" s="0" t="str">
        <f aca="false">IF(I1391="","",INDEX(Eingabe!$E$9:$E$18,I1391))</f>
        <v/>
      </c>
    </row>
    <row r="1392" customFormat="false" ht="15" hidden="false" customHeight="false" outlineLevel="0" collapsed="false">
      <c r="A1392" s="0" t="str">
        <f aca="false">IF(I1392="","",IF(J1392=0,"Sparte "&amp;I1392&amp;": "&amp;INDEX(Eingabe!$B$9:$B$18,I1392)&amp;"  (Sparten-ID "&amp;INDEX(Eingabe!$D$9:$D$18,I1392)&amp;", "&amp;K1392&amp;" Parzellen)",IF(J1392&lt;=K1392,"   Parzelle "&amp;J1392,IF(J1392=K1392+1,"   Vorstand",IF(J1392=K1392+2,"   Gäste",IF(J1392=K1392+3,"   Technik (Switches, Access Points)",""))))))</f>
        <v/>
      </c>
      <c r="B1392" s="0" t="str">
        <f aca="false">IF(I1392="","",IF(AND(J1392&gt;=1,J1392&lt;=K1392+3),IF(J1392&lt;=K1392,IF(J1392&lt;=99,IF((INDEX(Eingabe!$G$9:$G$18,I1392))&lt;=9,1000+(INDEX(Eingabe!$G$9:$G$18,I1392))*100,3000)+J1392,IF((INDEX(Eingabe!$G$9:$G$18,I1392)+1)&lt;=9,1000+(INDEX(Eingabe!$G$9:$G$18,I1392)+1)*100,3000)+J1392-100),IF(J1392=K1392+1,2000+INDEX(Eingabe!$G$9:$G$18,I1392)*10+1,IF(J1392=K1392+2,2000+INDEX(Eingabe!$G$9:$G$18,I1392)*10+2,2000+INDEX(Eingabe!$G$9:$G$18,I1392)*10+9))),""))</f>
        <v/>
      </c>
      <c r="C1392" s="0" t="str">
        <f aca="false">IF(I1392="","",IF(AND(J1392&gt;=1,J1392&lt;=K1392+3),"10."&amp;INDEX(Eingabe!$D$9:$D$18,I1392)&amp;"."&amp;IF(J1392&lt;=K1392,J1392,IF(J1392=K1392+1,200,IF(J1392=K1392+2,201,250)))&amp;".0/24",""))</f>
        <v/>
      </c>
      <c r="D1392" s="0" t="str">
        <f aca="false">IF(I1392="","",IF(AND(J1392&gt;=1,J1392&lt;=K1392+3),"255.255.255.0",""))</f>
        <v/>
      </c>
      <c r="E1392" s="0" t="str">
        <f aca="false">IF(I1392="","",IF(AND(J1392&gt;=1,J1392&lt;=K1392+3),"10."&amp;INDEX(Eingabe!$D$9:$D$18,I1392)&amp;"."&amp;IF(J1392&lt;=K1392,J1392,IF(J1392=K1392+1,200,IF(J1392=K1392+2,201,250)))&amp;".1",""))</f>
        <v/>
      </c>
      <c r="F1392" s="0" t="str">
        <f aca="false">IF(I1392="","",IF(AND(J1392&gt;=1,J1392&lt;=K1392+3),"10."&amp;INDEX(Eingabe!$D$9:$D$18,I1392)&amp;"."&amp;IF(J1392&lt;=K1392,J1392,IF(J1392=K1392+1,200,IF(J1392=K1392+2,201,250)))&amp;".10 – 10."&amp;INDEX(Eingabe!$D$9:$D$18,I1392)&amp;"."&amp;IF(J1392&lt;=K1392,J1392,IF(J1392=K1392+1,200,IF(J1392=K1392+2,201,250)))&amp;".250",""))</f>
        <v/>
      </c>
      <c r="G1392" s="0" t="str">
        <f aca="false">IF(I1392="","",IF(AND(J1392&gt;=1,J1392&lt;=K1392),Eingabe!$B$6&amp;"-"&amp;INDEX(Eingabe!$C$9:$C$18,I1392)&amp;"-Pächter  ·  Passwort Parzelle "&amp;J1392,IF(J1392=K1392+1,Eingabe!$B$6&amp;"-"&amp;INDEX(Eingabe!$C$9:$C$18,I1392)&amp;"-Vorstand  ·  eigenes WLAN",IF(J1392=K1392+2,Eingabe!$B$6&amp;"-"&amp;INDEX(Eingabe!$C$9:$C$18,I1392)&amp;"-Gäste  ·  Voucher",IF(J1392=K1392+3,"Kabel  ·  Access Point y = .(50+y), Mast-Switch x = .(10+x)","")))))</f>
        <v/>
      </c>
      <c r="I1392" s="0" t="str">
        <f aca="false">IF(1387&lt;=(Eingabe!$P$18+Eingabe!$Q$18-1),MATCH(1387,Eingabe!$P$9:$P$18,1),"")</f>
        <v/>
      </c>
      <c r="J1392" s="0" t="str">
        <f aca="false">IF(I1392="","",1387-INDEX(Eingabe!$P$9:$P$18,I1392))</f>
        <v/>
      </c>
      <c r="K1392" s="0" t="str">
        <f aca="false">IF(I1392="","",INDEX(Eingabe!$E$9:$E$18,I1392))</f>
        <v/>
      </c>
    </row>
    <row r="1393" customFormat="false" ht="15" hidden="false" customHeight="false" outlineLevel="0" collapsed="false">
      <c r="A1393" s="0" t="str">
        <f aca="false">IF(I1393="","",IF(J1393=0,"Sparte "&amp;I1393&amp;": "&amp;INDEX(Eingabe!$B$9:$B$18,I1393)&amp;"  (Sparten-ID "&amp;INDEX(Eingabe!$D$9:$D$18,I1393)&amp;", "&amp;K1393&amp;" Parzellen)",IF(J1393&lt;=K1393,"   Parzelle "&amp;J1393,IF(J1393=K1393+1,"   Vorstand",IF(J1393=K1393+2,"   Gäste",IF(J1393=K1393+3,"   Technik (Switches, Access Points)",""))))))</f>
        <v/>
      </c>
      <c r="B1393" s="0" t="str">
        <f aca="false">IF(I1393="","",IF(AND(J1393&gt;=1,J1393&lt;=K1393+3),IF(J1393&lt;=K1393,IF(J1393&lt;=99,IF((INDEX(Eingabe!$G$9:$G$18,I1393))&lt;=9,1000+(INDEX(Eingabe!$G$9:$G$18,I1393))*100,3000)+J1393,IF((INDEX(Eingabe!$G$9:$G$18,I1393)+1)&lt;=9,1000+(INDEX(Eingabe!$G$9:$G$18,I1393)+1)*100,3000)+J1393-100),IF(J1393=K1393+1,2000+INDEX(Eingabe!$G$9:$G$18,I1393)*10+1,IF(J1393=K1393+2,2000+INDEX(Eingabe!$G$9:$G$18,I1393)*10+2,2000+INDEX(Eingabe!$G$9:$G$18,I1393)*10+9))),""))</f>
        <v/>
      </c>
      <c r="C1393" s="0" t="str">
        <f aca="false">IF(I1393="","",IF(AND(J1393&gt;=1,J1393&lt;=K1393+3),"10."&amp;INDEX(Eingabe!$D$9:$D$18,I1393)&amp;"."&amp;IF(J1393&lt;=K1393,J1393,IF(J1393=K1393+1,200,IF(J1393=K1393+2,201,250)))&amp;".0/24",""))</f>
        <v/>
      </c>
      <c r="D1393" s="0" t="str">
        <f aca="false">IF(I1393="","",IF(AND(J1393&gt;=1,J1393&lt;=K1393+3),"255.255.255.0",""))</f>
        <v/>
      </c>
      <c r="E1393" s="0" t="str">
        <f aca="false">IF(I1393="","",IF(AND(J1393&gt;=1,J1393&lt;=K1393+3),"10."&amp;INDEX(Eingabe!$D$9:$D$18,I1393)&amp;"."&amp;IF(J1393&lt;=K1393,J1393,IF(J1393=K1393+1,200,IF(J1393=K1393+2,201,250)))&amp;".1",""))</f>
        <v/>
      </c>
      <c r="F1393" s="0" t="str">
        <f aca="false">IF(I1393="","",IF(AND(J1393&gt;=1,J1393&lt;=K1393+3),"10."&amp;INDEX(Eingabe!$D$9:$D$18,I1393)&amp;"."&amp;IF(J1393&lt;=K1393,J1393,IF(J1393=K1393+1,200,IF(J1393=K1393+2,201,250)))&amp;".10 – 10."&amp;INDEX(Eingabe!$D$9:$D$18,I1393)&amp;"."&amp;IF(J1393&lt;=K1393,J1393,IF(J1393=K1393+1,200,IF(J1393=K1393+2,201,250)))&amp;".250",""))</f>
        <v/>
      </c>
      <c r="G1393" s="0" t="str">
        <f aca="false">IF(I1393="","",IF(AND(J1393&gt;=1,J1393&lt;=K1393),Eingabe!$B$6&amp;"-"&amp;INDEX(Eingabe!$C$9:$C$18,I1393)&amp;"-Pächter  ·  Passwort Parzelle "&amp;J1393,IF(J1393=K1393+1,Eingabe!$B$6&amp;"-"&amp;INDEX(Eingabe!$C$9:$C$18,I1393)&amp;"-Vorstand  ·  eigenes WLAN",IF(J1393=K1393+2,Eingabe!$B$6&amp;"-"&amp;INDEX(Eingabe!$C$9:$C$18,I1393)&amp;"-Gäste  ·  Voucher",IF(J1393=K1393+3,"Kabel  ·  Access Point y = .(50+y), Mast-Switch x = .(10+x)","")))))</f>
        <v/>
      </c>
      <c r="I1393" s="0" t="str">
        <f aca="false">IF(1388&lt;=(Eingabe!$P$18+Eingabe!$Q$18-1),MATCH(1388,Eingabe!$P$9:$P$18,1),"")</f>
        <v/>
      </c>
      <c r="J1393" s="0" t="str">
        <f aca="false">IF(I1393="","",1388-INDEX(Eingabe!$P$9:$P$18,I1393))</f>
        <v/>
      </c>
      <c r="K1393" s="0" t="str">
        <f aca="false">IF(I1393="","",INDEX(Eingabe!$E$9:$E$18,I1393))</f>
        <v/>
      </c>
    </row>
    <row r="1394" customFormat="false" ht="15" hidden="false" customHeight="false" outlineLevel="0" collapsed="false">
      <c r="A1394" s="0" t="str">
        <f aca="false">IF(I1394="","",IF(J1394=0,"Sparte "&amp;I1394&amp;": "&amp;INDEX(Eingabe!$B$9:$B$18,I1394)&amp;"  (Sparten-ID "&amp;INDEX(Eingabe!$D$9:$D$18,I1394)&amp;", "&amp;K1394&amp;" Parzellen)",IF(J1394&lt;=K1394,"   Parzelle "&amp;J1394,IF(J1394=K1394+1,"   Vorstand",IF(J1394=K1394+2,"   Gäste",IF(J1394=K1394+3,"   Technik (Switches, Access Points)",""))))))</f>
        <v/>
      </c>
      <c r="B1394" s="0" t="str">
        <f aca="false">IF(I1394="","",IF(AND(J1394&gt;=1,J1394&lt;=K1394+3),IF(J1394&lt;=K1394,IF(J1394&lt;=99,IF((INDEX(Eingabe!$G$9:$G$18,I1394))&lt;=9,1000+(INDEX(Eingabe!$G$9:$G$18,I1394))*100,3000)+J1394,IF((INDEX(Eingabe!$G$9:$G$18,I1394)+1)&lt;=9,1000+(INDEX(Eingabe!$G$9:$G$18,I1394)+1)*100,3000)+J1394-100),IF(J1394=K1394+1,2000+INDEX(Eingabe!$G$9:$G$18,I1394)*10+1,IF(J1394=K1394+2,2000+INDEX(Eingabe!$G$9:$G$18,I1394)*10+2,2000+INDEX(Eingabe!$G$9:$G$18,I1394)*10+9))),""))</f>
        <v/>
      </c>
      <c r="C1394" s="0" t="str">
        <f aca="false">IF(I1394="","",IF(AND(J1394&gt;=1,J1394&lt;=K1394+3),"10."&amp;INDEX(Eingabe!$D$9:$D$18,I1394)&amp;"."&amp;IF(J1394&lt;=K1394,J1394,IF(J1394=K1394+1,200,IF(J1394=K1394+2,201,250)))&amp;".0/24",""))</f>
        <v/>
      </c>
      <c r="D1394" s="0" t="str">
        <f aca="false">IF(I1394="","",IF(AND(J1394&gt;=1,J1394&lt;=K1394+3),"255.255.255.0",""))</f>
        <v/>
      </c>
      <c r="E1394" s="0" t="str">
        <f aca="false">IF(I1394="","",IF(AND(J1394&gt;=1,J1394&lt;=K1394+3),"10."&amp;INDEX(Eingabe!$D$9:$D$18,I1394)&amp;"."&amp;IF(J1394&lt;=K1394,J1394,IF(J1394=K1394+1,200,IF(J1394=K1394+2,201,250)))&amp;".1",""))</f>
        <v/>
      </c>
      <c r="F1394" s="0" t="str">
        <f aca="false">IF(I1394="","",IF(AND(J1394&gt;=1,J1394&lt;=K1394+3),"10."&amp;INDEX(Eingabe!$D$9:$D$18,I1394)&amp;"."&amp;IF(J1394&lt;=K1394,J1394,IF(J1394=K1394+1,200,IF(J1394=K1394+2,201,250)))&amp;".10 – 10."&amp;INDEX(Eingabe!$D$9:$D$18,I1394)&amp;"."&amp;IF(J1394&lt;=K1394,J1394,IF(J1394=K1394+1,200,IF(J1394=K1394+2,201,250)))&amp;".250",""))</f>
        <v/>
      </c>
      <c r="G1394" s="0" t="str">
        <f aca="false">IF(I1394="","",IF(AND(J1394&gt;=1,J1394&lt;=K1394),Eingabe!$B$6&amp;"-"&amp;INDEX(Eingabe!$C$9:$C$18,I1394)&amp;"-Pächter  ·  Passwort Parzelle "&amp;J1394,IF(J1394=K1394+1,Eingabe!$B$6&amp;"-"&amp;INDEX(Eingabe!$C$9:$C$18,I1394)&amp;"-Vorstand  ·  eigenes WLAN",IF(J1394=K1394+2,Eingabe!$B$6&amp;"-"&amp;INDEX(Eingabe!$C$9:$C$18,I1394)&amp;"-Gäste  ·  Voucher",IF(J1394=K1394+3,"Kabel  ·  Access Point y = .(50+y), Mast-Switch x = .(10+x)","")))))</f>
        <v/>
      </c>
      <c r="I1394" s="0" t="str">
        <f aca="false">IF(1389&lt;=(Eingabe!$P$18+Eingabe!$Q$18-1),MATCH(1389,Eingabe!$P$9:$P$18,1),"")</f>
        <v/>
      </c>
      <c r="J1394" s="0" t="str">
        <f aca="false">IF(I1394="","",1389-INDEX(Eingabe!$P$9:$P$18,I1394))</f>
        <v/>
      </c>
      <c r="K1394" s="0" t="str">
        <f aca="false">IF(I1394="","",INDEX(Eingabe!$E$9:$E$18,I1394))</f>
        <v/>
      </c>
    </row>
    <row r="1395" customFormat="false" ht="15" hidden="false" customHeight="false" outlineLevel="0" collapsed="false">
      <c r="A1395" s="0" t="str">
        <f aca="false">IF(I1395="","",IF(J1395=0,"Sparte "&amp;I1395&amp;": "&amp;INDEX(Eingabe!$B$9:$B$18,I1395)&amp;"  (Sparten-ID "&amp;INDEX(Eingabe!$D$9:$D$18,I1395)&amp;", "&amp;K1395&amp;" Parzellen)",IF(J1395&lt;=K1395,"   Parzelle "&amp;J1395,IF(J1395=K1395+1,"   Vorstand",IF(J1395=K1395+2,"   Gäste",IF(J1395=K1395+3,"   Technik (Switches, Access Points)",""))))))</f>
        <v/>
      </c>
      <c r="B1395" s="0" t="str">
        <f aca="false">IF(I1395="","",IF(AND(J1395&gt;=1,J1395&lt;=K1395+3),IF(J1395&lt;=K1395,IF(J1395&lt;=99,IF((INDEX(Eingabe!$G$9:$G$18,I1395))&lt;=9,1000+(INDEX(Eingabe!$G$9:$G$18,I1395))*100,3000)+J1395,IF((INDEX(Eingabe!$G$9:$G$18,I1395)+1)&lt;=9,1000+(INDEX(Eingabe!$G$9:$G$18,I1395)+1)*100,3000)+J1395-100),IF(J1395=K1395+1,2000+INDEX(Eingabe!$G$9:$G$18,I1395)*10+1,IF(J1395=K1395+2,2000+INDEX(Eingabe!$G$9:$G$18,I1395)*10+2,2000+INDEX(Eingabe!$G$9:$G$18,I1395)*10+9))),""))</f>
        <v/>
      </c>
      <c r="C1395" s="0" t="str">
        <f aca="false">IF(I1395="","",IF(AND(J1395&gt;=1,J1395&lt;=K1395+3),"10."&amp;INDEX(Eingabe!$D$9:$D$18,I1395)&amp;"."&amp;IF(J1395&lt;=K1395,J1395,IF(J1395=K1395+1,200,IF(J1395=K1395+2,201,250)))&amp;".0/24",""))</f>
        <v/>
      </c>
      <c r="D1395" s="0" t="str">
        <f aca="false">IF(I1395="","",IF(AND(J1395&gt;=1,J1395&lt;=K1395+3),"255.255.255.0",""))</f>
        <v/>
      </c>
      <c r="E1395" s="0" t="str">
        <f aca="false">IF(I1395="","",IF(AND(J1395&gt;=1,J1395&lt;=K1395+3),"10."&amp;INDEX(Eingabe!$D$9:$D$18,I1395)&amp;"."&amp;IF(J1395&lt;=K1395,J1395,IF(J1395=K1395+1,200,IF(J1395=K1395+2,201,250)))&amp;".1",""))</f>
        <v/>
      </c>
      <c r="F1395" s="0" t="str">
        <f aca="false">IF(I1395="","",IF(AND(J1395&gt;=1,J1395&lt;=K1395+3),"10."&amp;INDEX(Eingabe!$D$9:$D$18,I1395)&amp;"."&amp;IF(J1395&lt;=K1395,J1395,IF(J1395=K1395+1,200,IF(J1395=K1395+2,201,250)))&amp;".10 – 10."&amp;INDEX(Eingabe!$D$9:$D$18,I1395)&amp;"."&amp;IF(J1395&lt;=K1395,J1395,IF(J1395=K1395+1,200,IF(J1395=K1395+2,201,250)))&amp;".250",""))</f>
        <v/>
      </c>
      <c r="G1395" s="0" t="str">
        <f aca="false">IF(I1395="","",IF(AND(J1395&gt;=1,J1395&lt;=K1395),Eingabe!$B$6&amp;"-"&amp;INDEX(Eingabe!$C$9:$C$18,I1395)&amp;"-Pächter  ·  Passwort Parzelle "&amp;J1395,IF(J1395=K1395+1,Eingabe!$B$6&amp;"-"&amp;INDEX(Eingabe!$C$9:$C$18,I1395)&amp;"-Vorstand  ·  eigenes WLAN",IF(J1395=K1395+2,Eingabe!$B$6&amp;"-"&amp;INDEX(Eingabe!$C$9:$C$18,I1395)&amp;"-Gäste  ·  Voucher",IF(J1395=K1395+3,"Kabel  ·  Access Point y = .(50+y), Mast-Switch x = .(10+x)","")))))</f>
        <v/>
      </c>
      <c r="I1395" s="0" t="str">
        <f aca="false">IF(1390&lt;=(Eingabe!$P$18+Eingabe!$Q$18-1),MATCH(1390,Eingabe!$P$9:$P$18,1),"")</f>
        <v/>
      </c>
      <c r="J1395" s="0" t="str">
        <f aca="false">IF(I1395="","",1390-INDEX(Eingabe!$P$9:$P$18,I1395))</f>
        <v/>
      </c>
      <c r="K1395" s="0" t="str">
        <f aca="false">IF(I1395="","",INDEX(Eingabe!$E$9:$E$18,I1395))</f>
        <v/>
      </c>
    </row>
    <row r="1396" customFormat="false" ht="15" hidden="false" customHeight="false" outlineLevel="0" collapsed="false">
      <c r="A1396" s="0" t="str">
        <f aca="false">IF(I1396="","",IF(J1396=0,"Sparte "&amp;I1396&amp;": "&amp;INDEX(Eingabe!$B$9:$B$18,I1396)&amp;"  (Sparten-ID "&amp;INDEX(Eingabe!$D$9:$D$18,I1396)&amp;", "&amp;K1396&amp;" Parzellen)",IF(J1396&lt;=K1396,"   Parzelle "&amp;J1396,IF(J1396=K1396+1,"   Vorstand",IF(J1396=K1396+2,"   Gäste",IF(J1396=K1396+3,"   Technik (Switches, Access Points)",""))))))</f>
        <v/>
      </c>
      <c r="B1396" s="0" t="str">
        <f aca="false">IF(I1396="","",IF(AND(J1396&gt;=1,J1396&lt;=K1396+3),IF(J1396&lt;=K1396,IF(J1396&lt;=99,IF((INDEX(Eingabe!$G$9:$G$18,I1396))&lt;=9,1000+(INDEX(Eingabe!$G$9:$G$18,I1396))*100,3000)+J1396,IF((INDEX(Eingabe!$G$9:$G$18,I1396)+1)&lt;=9,1000+(INDEX(Eingabe!$G$9:$G$18,I1396)+1)*100,3000)+J1396-100),IF(J1396=K1396+1,2000+INDEX(Eingabe!$G$9:$G$18,I1396)*10+1,IF(J1396=K1396+2,2000+INDEX(Eingabe!$G$9:$G$18,I1396)*10+2,2000+INDEX(Eingabe!$G$9:$G$18,I1396)*10+9))),""))</f>
        <v/>
      </c>
      <c r="C1396" s="0" t="str">
        <f aca="false">IF(I1396="","",IF(AND(J1396&gt;=1,J1396&lt;=K1396+3),"10."&amp;INDEX(Eingabe!$D$9:$D$18,I1396)&amp;"."&amp;IF(J1396&lt;=K1396,J1396,IF(J1396=K1396+1,200,IF(J1396=K1396+2,201,250)))&amp;".0/24",""))</f>
        <v/>
      </c>
      <c r="D1396" s="0" t="str">
        <f aca="false">IF(I1396="","",IF(AND(J1396&gt;=1,J1396&lt;=K1396+3),"255.255.255.0",""))</f>
        <v/>
      </c>
      <c r="E1396" s="0" t="str">
        <f aca="false">IF(I1396="","",IF(AND(J1396&gt;=1,J1396&lt;=K1396+3),"10."&amp;INDEX(Eingabe!$D$9:$D$18,I1396)&amp;"."&amp;IF(J1396&lt;=K1396,J1396,IF(J1396=K1396+1,200,IF(J1396=K1396+2,201,250)))&amp;".1",""))</f>
        <v/>
      </c>
      <c r="F1396" s="0" t="str">
        <f aca="false">IF(I1396="","",IF(AND(J1396&gt;=1,J1396&lt;=K1396+3),"10."&amp;INDEX(Eingabe!$D$9:$D$18,I1396)&amp;"."&amp;IF(J1396&lt;=K1396,J1396,IF(J1396=K1396+1,200,IF(J1396=K1396+2,201,250)))&amp;".10 – 10."&amp;INDEX(Eingabe!$D$9:$D$18,I1396)&amp;"."&amp;IF(J1396&lt;=K1396,J1396,IF(J1396=K1396+1,200,IF(J1396=K1396+2,201,250)))&amp;".250",""))</f>
        <v/>
      </c>
      <c r="G1396" s="0" t="str">
        <f aca="false">IF(I1396="","",IF(AND(J1396&gt;=1,J1396&lt;=K1396),Eingabe!$B$6&amp;"-"&amp;INDEX(Eingabe!$C$9:$C$18,I1396)&amp;"-Pächter  ·  Passwort Parzelle "&amp;J1396,IF(J1396=K1396+1,Eingabe!$B$6&amp;"-"&amp;INDEX(Eingabe!$C$9:$C$18,I1396)&amp;"-Vorstand  ·  eigenes WLAN",IF(J1396=K1396+2,Eingabe!$B$6&amp;"-"&amp;INDEX(Eingabe!$C$9:$C$18,I1396)&amp;"-Gäste  ·  Voucher",IF(J1396=K1396+3,"Kabel  ·  Access Point y = .(50+y), Mast-Switch x = .(10+x)","")))))</f>
        <v/>
      </c>
      <c r="I1396" s="0" t="str">
        <f aca="false">IF(1391&lt;=(Eingabe!$P$18+Eingabe!$Q$18-1),MATCH(1391,Eingabe!$P$9:$P$18,1),"")</f>
        <v/>
      </c>
      <c r="J1396" s="0" t="str">
        <f aca="false">IF(I1396="","",1391-INDEX(Eingabe!$P$9:$P$18,I1396))</f>
        <v/>
      </c>
      <c r="K1396" s="0" t="str">
        <f aca="false">IF(I1396="","",INDEX(Eingabe!$E$9:$E$18,I1396))</f>
        <v/>
      </c>
    </row>
    <row r="1397" customFormat="false" ht="15" hidden="false" customHeight="false" outlineLevel="0" collapsed="false">
      <c r="A1397" s="0" t="str">
        <f aca="false">IF(I1397="","",IF(J1397=0,"Sparte "&amp;I1397&amp;": "&amp;INDEX(Eingabe!$B$9:$B$18,I1397)&amp;"  (Sparten-ID "&amp;INDEX(Eingabe!$D$9:$D$18,I1397)&amp;", "&amp;K1397&amp;" Parzellen)",IF(J1397&lt;=K1397,"   Parzelle "&amp;J1397,IF(J1397=K1397+1,"   Vorstand",IF(J1397=K1397+2,"   Gäste",IF(J1397=K1397+3,"   Technik (Switches, Access Points)",""))))))</f>
        <v/>
      </c>
      <c r="B1397" s="0" t="str">
        <f aca="false">IF(I1397="","",IF(AND(J1397&gt;=1,J1397&lt;=K1397+3),IF(J1397&lt;=K1397,IF(J1397&lt;=99,IF((INDEX(Eingabe!$G$9:$G$18,I1397))&lt;=9,1000+(INDEX(Eingabe!$G$9:$G$18,I1397))*100,3000)+J1397,IF((INDEX(Eingabe!$G$9:$G$18,I1397)+1)&lt;=9,1000+(INDEX(Eingabe!$G$9:$G$18,I1397)+1)*100,3000)+J1397-100),IF(J1397=K1397+1,2000+INDEX(Eingabe!$G$9:$G$18,I1397)*10+1,IF(J1397=K1397+2,2000+INDEX(Eingabe!$G$9:$G$18,I1397)*10+2,2000+INDEX(Eingabe!$G$9:$G$18,I1397)*10+9))),""))</f>
        <v/>
      </c>
      <c r="C1397" s="0" t="str">
        <f aca="false">IF(I1397="","",IF(AND(J1397&gt;=1,J1397&lt;=K1397+3),"10."&amp;INDEX(Eingabe!$D$9:$D$18,I1397)&amp;"."&amp;IF(J1397&lt;=K1397,J1397,IF(J1397=K1397+1,200,IF(J1397=K1397+2,201,250)))&amp;".0/24",""))</f>
        <v/>
      </c>
      <c r="D1397" s="0" t="str">
        <f aca="false">IF(I1397="","",IF(AND(J1397&gt;=1,J1397&lt;=K1397+3),"255.255.255.0",""))</f>
        <v/>
      </c>
      <c r="E1397" s="0" t="str">
        <f aca="false">IF(I1397="","",IF(AND(J1397&gt;=1,J1397&lt;=K1397+3),"10."&amp;INDEX(Eingabe!$D$9:$D$18,I1397)&amp;"."&amp;IF(J1397&lt;=K1397,J1397,IF(J1397=K1397+1,200,IF(J1397=K1397+2,201,250)))&amp;".1",""))</f>
        <v/>
      </c>
      <c r="F1397" s="0" t="str">
        <f aca="false">IF(I1397="","",IF(AND(J1397&gt;=1,J1397&lt;=K1397+3),"10."&amp;INDEX(Eingabe!$D$9:$D$18,I1397)&amp;"."&amp;IF(J1397&lt;=K1397,J1397,IF(J1397=K1397+1,200,IF(J1397=K1397+2,201,250)))&amp;".10 – 10."&amp;INDEX(Eingabe!$D$9:$D$18,I1397)&amp;"."&amp;IF(J1397&lt;=K1397,J1397,IF(J1397=K1397+1,200,IF(J1397=K1397+2,201,250)))&amp;".250",""))</f>
        <v/>
      </c>
      <c r="G1397" s="0" t="str">
        <f aca="false">IF(I1397="","",IF(AND(J1397&gt;=1,J1397&lt;=K1397),Eingabe!$B$6&amp;"-"&amp;INDEX(Eingabe!$C$9:$C$18,I1397)&amp;"-Pächter  ·  Passwort Parzelle "&amp;J1397,IF(J1397=K1397+1,Eingabe!$B$6&amp;"-"&amp;INDEX(Eingabe!$C$9:$C$18,I1397)&amp;"-Vorstand  ·  eigenes WLAN",IF(J1397=K1397+2,Eingabe!$B$6&amp;"-"&amp;INDEX(Eingabe!$C$9:$C$18,I1397)&amp;"-Gäste  ·  Voucher",IF(J1397=K1397+3,"Kabel  ·  Access Point y = .(50+y), Mast-Switch x = .(10+x)","")))))</f>
        <v/>
      </c>
      <c r="I1397" s="0" t="str">
        <f aca="false">IF(1392&lt;=(Eingabe!$P$18+Eingabe!$Q$18-1),MATCH(1392,Eingabe!$P$9:$P$18,1),"")</f>
        <v/>
      </c>
      <c r="J1397" s="0" t="str">
        <f aca="false">IF(I1397="","",1392-INDEX(Eingabe!$P$9:$P$18,I1397))</f>
        <v/>
      </c>
      <c r="K1397" s="0" t="str">
        <f aca="false">IF(I1397="","",INDEX(Eingabe!$E$9:$E$18,I1397))</f>
        <v/>
      </c>
    </row>
    <row r="1398" customFormat="false" ht="15" hidden="false" customHeight="false" outlineLevel="0" collapsed="false">
      <c r="A1398" s="0" t="str">
        <f aca="false">IF(I1398="","",IF(J1398=0,"Sparte "&amp;I1398&amp;": "&amp;INDEX(Eingabe!$B$9:$B$18,I1398)&amp;"  (Sparten-ID "&amp;INDEX(Eingabe!$D$9:$D$18,I1398)&amp;", "&amp;K1398&amp;" Parzellen)",IF(J1398&lt;=K1398,"   Parzelle "&amp;J1398,IF(J1398=K1398+1,"   Vorstand",IF(J1398=K1398+2,"   Gäste",IF(J1398=K1398+3,"   Technik (Switches, Access Points)",""))))))</f>
        <v/>
      </c>
      <c r="B1398" s="0" t="str">
        <f aca="false">IF(I1398="","",IF(AND(J1398&gt;=1,J1398&lt;=K1398+3),IF(J1398&lt;=K1398,IF(J1398&lt;=99,IF((INDEX(Eingabe!$G$9:$G$18,I1398))&lt;=9,1000+(INDEX(Eingabe!$G$9:$G$18,I1398))*100,3000)+J1398,IF((INDEX(Eingabe!$G$9:$G$18,I1398)+1)&lt;=9,1000+(INDEX(Eingabe!$G$9:$G$18,I1398)+1)*100,3000)+J1398-100),IF(J1398=K1398+1,2000+INDEX(Eingabe!$G$9:$G$18,I1398)*10+1,IF(J1398=K1398+2,2000+INDEX(Eingabe!$G$9:$G$18,I1398)*10+2,2000+INDEX(Eingabe!$G$9:$G$18,I1398)*10+9))),""))</f>
        <v/>
      </c>
      <c r="C1398" s="0" t="str">
        <f aca="false">IF(I1398="","",IF(AND(J1398&gt;=1,J1398&lt;=K1398+3),"10."&amp;INDEX(Eingabe!$D$9:$D$18,I1398)&amp;"."&amp;IF(J1398&lt;=K1398,J1398,IF(J1398=K1398+1,200,IF(J1398=K1398+2,201,250)))&amp;".0/24",""))</f>
        <v/>
      </c>
      <c r="D1398" s="0" t="str">
        <f aca="false">IF(I1398="","",IF(AND(J1398&gt;=1,J1398&lt;=K1398+3),"255.255.255.0",""))</f>
        <v/>
      </c>
      <c r="E1398" s="0" t="str">
        <f aca="false">IF(I1398="","",IF(AND(J1398&gt;=1,J1398&lt;=K1398+3),"10."&amp;INDEX(Eingabe!$D$9:$D$18,I1398)&amp;"."&amp;IF(J1398&lt;=K1398,J1398,IF(J1398=K1398+1,200,IF(J1398=K1398+2,201,250)))&amp;".1",""))</f>
        <v/>
      </c>
      <c r="F1398" s="0" t="str">
        <f aca="false">IF(I1398="","",IF(AND(J1398&gt;=1,J1398&lt;=K1398+3),"10."&amp;INDEX(Eingabe!$D$9:$D$18,I1398)&amp;"."&amp;IF(J1398&lt;=K1398,J1398,IF(J1398=K1398+1,200,IF(J1398=K1398+2,201,250)))&amp;".10 – 10."&amp;INDEX(Eingabe!$D$9:$D$18,I1398)&amp;"."&amp;IF(J1398&lt;=K1398,J1398,IF(J1398=K1398+1,200,IF(J1398=K1398+2,201,250)))&amp;".250",""))</f>
        <v/>
      </c>
      <c r="G1398" s="0" t="str">
        <f aca="false">IF(I1398="","",IF(AND(J1398&gt;=1,J1398&lt;=K1398),Eingabe!$B$6&amp;"-"&amp;INDEX(Eingabe!$C$9:$C$18,I1398)&amp;"-Pächter  ·  Passwort Parzelle "&amp;J1398,IF(J1398=K1398+1,Eingabe!$B$6&amp;"-"&amp;INDEX(Eingabe!$C$9:$C$18,I1398)&amp;"-Vorstand  ·  eigenes WLAN",IF(J1398=K1398+2,Eingabe!$B$6&amp;"-"&amp;INDEX(Eingabe!$C$9:$C$18,I1398)&amp;"-Gäste  ·  Voucher",IF(J1398=K1398+3,"Kabel  ·  Access Point y = .(50+y), Mast-Switch x = .(10+x)","")))))</f>
        <v/>
      </c>
      <c r="I1398" s="0" t="str">
        <f aca="false">IF(1393&lt;=(Eingabe!$P$18+Eingabe!$Q$18-1),MATCH(1393,Eingabe!$P$9:$P$18,1),"")</f>
        <v/>
      </c>
      <c r="J1398" s="0" t="str">
        <f aca="false">IF(I1398="","",1393-INDEX(Eingabe!$P$9:$P$18,I1398))</f>
        <v/>
      </c>
      <c r="K1398" s="0" t="str">
        <f aca="false">IF(I1398="","",INDEX(Eingabe!$E$9:$E$18,I1398))</f>
        <v/>
      </c>
    </row>
    <row r="1399" customFormat="false" ht="15" hidden="false" customHeight="false" outlineLevel="0" collapsed="false">
      <c r="A1399" s="0" t="str">
        <f aca="false">IF(I1399="","",IF(J1399=0,"Sparte "&amp;I1399&amp;": "&amp;INDEX(Eingabe!$B$9:$B$18,I1399)&amp;"  (Sparten-ID "&amp;INDEX(Eingabe!$D$9:$D$18,I1399)&amp;", "&amp;K1399&amp;" Parzellen)",IF(J1399&lt;=K1399,"   Parzelle "&amp;J1399,IF(J1399=K1399+1,"   Vorstand",IF(J1399=K1399+2,"   Gäste",IF(J1399=K1399+3,"   Technik (Switches, Access Points)",""))))))</f>
        <v/>
      </c>
      <c r="B1399" s="0" t="str">
        <f aca="false">IF(I1399="","",IF(AND(J1399&gt;=1,J1399&lt;=K1399+3),IF(J1399&lt;=K1399,IF(J1399&lt;=99,IF((INDEX(Eingabe!$G$9:$G$18,I1399))&lt;=9,1000+(INDEX(Eingabe!$G$9:$G$18,I1399))*100,3000)+J1399,IF((INDEX(Eingabe!$G$9:$G$18,I1399)+1)&lt;=9,1000+(INDEX(Eingabe!$G$9:$G$18,I1399)+1)*100,3000)+J1399-100),IF(J1399=K1399+1,2000+INDEX(Eingabe!$G$9:$G$18,I1399)*10+1,IF(J1399=K1399+2,2000+INDEX(Eingabe!$G$9:$G$18,I1399)*10+2,2000+INDEX(Eingabe!$G$9:$G$18,I1399)*10+9))),""))</f>
        <v/>
      </c>
      <c r="C1399" s="0" t="str">
        <f aca="false">IF(I1399="","",IF(AND(J1399&gt;=1,J1399&lt;=K1399+3),"10."&amp;INDEX(Eingabe!$D$9:$D$18,I1399)&amp;"."&amp;IF(J1399&lt;=K1399,J1399,IF(J1399=K1399+1,200,IF(J1399=K1399+2,201,250)))&amp;".0/24",""))</f>
        <v/>
      </c>
      <c r="D1399" s="0" t="str">
        <f aca="false">IF(I1399="","",IF(AND(J1399&gt;=1,J1399&lt;=K1399+3),"255.255.255.0",""))</f>
        <v/>
      </c>
      <c r="E1399" s="0" t="str">
        <f aca="false">IF(I1399="","",IF(AND(J1399&gt;=1,J1399&lt;=K1399+3),"10."&amp;INDEX(Eingabe!$D$9:$D$18,I1399)&amp;"."&amp;IF(J1399&lt;=K1399,J1399,IF(J1399=K1399+1,200,IF(J1399=K1399+2,201,250)))&amp;".1",""))</f>
        <v/>
      </c>
      <c r="F1399" s="0" t="str">
        <f aca="false">IF(I1399="","",IF(AND(J1399&gt;=1,J1399&lt;=K1399+3),"10."&amp;INDEX(Eingabe!$D$9:$D$18,I1399)&amp;"."&amp;IF(J1399&lt;=K1399,J1399,IF(J1399=K1399+1,200,IF(J1399=K1399+2,201,250)))&amp;".10 – 10."&amp;INDEX(Eingabe!$D$9:$D$18,I1399)&amp;"."&amp;IF(J1399&lt;=K1399,J1399,IF(J1399=K1399+1,200,IF(J1399=K1399+2,201,250)))&amp;".250",""))</f>
        <v/>
      </c>
      <c r="G1399" s="0" t="str">
        <f aca="false">IF(I1399="","",IF(AND(J1399&gt;=1,J1399&lt;=K1399),Eingabe!$B$6&amp;"-"&amp;INDEX(Eingabe!$C$9:$C$18,I1399)&amp;"-Pächter  ·  Passwort Parzelle "&amp;J1399,IF(J1399=K1399+1,Eingabe!$B$6&amp;"-"&amp;INDEX(Eingabe!$C$9:$C$18,I1399)&amp;"-Vorstand  ·  eigenes WLAN",IF(J1399=K1399+2,Eingabe!$B$6&amp;"-"&amp;INDEX(Eingabe!$C$9:$C$18,I1399)&amp;"-Gäste  ·  Voucher",IF(J1399=K1399+3,"Kabel  ·  Access Point y = .(50+y), Mast-Switch x = .(10+x)","")))))</f>
        <v/>
      </c>
      <c r="I1399" s="0" t="str">
        <f aca="false">IF(1394&lt;=(Eingabe!$P$18+Eingabe!$Q$18-1),MATCH(1394,Eingabe!$P$9:$P$18,1),"")</f>
        <v/>
      </c>
      <c r="J1399" s="0" t="str">
        <f aca="false">IF(I1399="","",1394-INDEX(Eingabe!$P$9:$P$18,I1399))</f>
        <v/>
      </c>
      <c r="K1399" s="0" t="str">
        <f aca="false">IF(I1399="","",INDEX(Eingabe!$E$9:$E$18,I1399))</f>
        <v/>
      </c>
    </row>
    <row r="1400" customFormat="false" ht="15" hidden="false" customHeight="false" outlineLevel="0" collapsed="false">
      <c r="A1400" s="0" t="str">
        <f aca="false">IF(I1400="","",IF(J1400=0,"Sparte "&amp;I1400&amp;": "&amp;INDEX(Eingabe!$B$9:$B$18,I1400)&amp;"  (Sparten-ID "&amp;INDEX(Eingabe!$D$9:$D$18,I1400)&amp;", "&amp;K1400&amp;" Parzellen)",IF(J1400&lt;=K1400,"   Parzelle "&amp;J1400,IF(J1400=K1400+1,"   Vorstand",IF(J1400=K1400+2,"   Gäste",IF(J1400=K1400+3,"   Technik (Switches, Access Points)",""))))))</f>
        <v/>
      </c>
      <c r="B1400" s="0" t="str">
        <f aca="false">IF(I1400="","",IF(AND(J1400&gt;=1,J1400&lt;=K1400+3),IF(J1400&lt;=K1400,IF(J1400&lt;=99,IF((INDEX(Eingabe!$G$9:$G$18,I1400))&lt;=9,1000+(INDEX(Eingabe!$G$9:$G$18,I1400))*100,3000)+J1400,IF((INDEX(Eingabe!$G$9:$G$18,I1400)+1)&lt;=9,1000+(INDEX(Eingabe!$G$9:$G$18,I1400)+1)*100,3000)+J1400-100),IF(J1400=K1400+1,2000+INDEX(Eingabe!$G$9:$G$18,I1400)*10+1,IF(J1400=K1400+2,2000+INDEX(Eingabe!$G$9:$G$18,I1400)*10+2,2000+INDEX(Eingabe!$G$9:$G$18,I1400)*10+9))),""))</f>
        <v/>
      </c>
      <c r="C1400" s="0" t="str">
        <f aca="false">IF(I1400="","",IF(AND(J1400&gt;=1,J1400&lt;=K1400+3),"10."&amp;INDEX(Eingabe!$D$9:$D$18,I1400)&amp;"."&amp;IF(J1400&lt;=K1400,J1400,IF(J1400=K1400+1,200,IF(J1400=K1400+2,201,250)))&amp;".0/24",""))</f>
        <v/>
      </c>
      <c r="D1400" s="0" t="str">
        <f aca="false">IF(I1400="","",IF(AND(J1400&gt;=1,J1400&lt;=K1400+3),"255.255.255.0",""))</f>
        <v/>
      </c>
      <c r="E1400" s="0" t="str">
        <f aca="false">IF(I1400="","",IF(AND(J1400&gt;=1,J1400&lt;=K1400+3),"10."&amp;INDEX(Eingabe!$D$9:$D$18,I1400)&amp;"."&amp;IF(J1400&lt;=K1400,J1400,IF(J1400=K1400+1,200,IF(J1400=K1400+2,201,250)))&amp;".1",""))</f>
        <v/>
      </c>
      <c r="F1400" s="0" t="str">
        <f aca="false">IF(I1400="","",IF(AND(J1400&gt;=1,J1400&lt;=K1400+3),"10."&amp;INDEX(Eingabe!$D$9:$D$18,I1400)&amp;"."&amp;IF(J1400&lt;=K1400,J1400,IF(J1400=K1400+1,200,IF(J1400=K1400+2,201,250)))&amp;".10 – 10."&amp;INDEX(Eingabe!$D$9:$D$18,I1400)&amp;"."&amp;IF(J1400&lt;=K1400,J1400,IF(J1400=K1400+1,200,IF(J1400=K1400+2,201,250)))&amp;".250",""))</f>
        <v/>
      </c>
      <c r="G1400" s="0" t="str">
        <f aca="false">IF(I1400="","",IF(AND(J1400&gt;=1,J1400&lt;=K1400),Eingabe!$B$6&amp;"-"&amp;INDEX(Eingabe!$C$9:$C$18,I1400)&amp;"-Pächter  ·  Passwort Parzelle "&amp;J1400,IF(J1400=K1400+1,Eingabe!$B$6&amp;"-"&amp;INDEX(Eingabe!$C$9:$C$18,I1400)&amp;"-Vorstand  ·  eigenes WLAN",IF(J1400=K1400+2,Eingabe!$B$6&amp;"-"&amp;INDEX(Eingabe!$C$9:$C$18,I1400)&amp;"-Gäste  ·  Voucher",IF(J1400=K1400+3,"Kabel  ·  Access Point y = .(50+y), Mast-Switch x = .(10+x)","")))))</f>
        <v/>
      </c>
      <c r="I1400" s="0" t="str">
        <f aca="false">IF(1395&lt;=(Eingabe!$P$18+Eingabe!$Q$18-1),MATCH(1395,Eingabe!$P$9:$P$18,1),"")</f>
        <v/>
      </c>
      <c r="J1400" s="0" t="str">
        <f aca="false">IF(I1400="","",1395-INDEX(Eingabe!$P$9:$P$18,I1400))</f>
        <v/>
      </c>
      <c r="K1400" s="0" t="str">
        <f aca="false">IF(I1400="","",INDEX(Eingabe!$E$9:$E$18,I1400))</f>
        <v/>
      </c>
    </row>
    <row r="1401" customFormat="false" ht="15" hidden="false" customHeight="false" outlineLevel="0" collapsed="false">
      <c r="A1401" s="0" t="str">
        <f aca="false">IF(I1401="","",IF(J1401=0,"Sparte "&amp;I1401&amp;": "&amp;INDEX(Eingabe!$B$9:$B$18,I1401)&amp;"  (Sparten-ID "&amp;INDEX(Eingabe!$D$9:$D$18,I1401)&amp;", "&amp;K1401&amp;" Parzellen)",IF(J1401&lt;=K1401,"   Parzelle "&amp;J1401,IF(J1401=K1401+1,"   Vorstand",IF(J1401=K1401+2,"   Gäste",IF(J1401=K1401+3,"   Technik (Switches, Access Points)",""))))))</f>
        <v/>
      </c>
      <c r="B1401" s="0" t="str">
        <f aca="false">IF(I1401="","",IF(AND(J1401&gt;=1,J1401&lt;=K1401+3),IF(J1401&lt;=K1401,IF(J1401&lt;=99,IF((INDEX(Eingabe!$G$9:$G$18,I1401))&lt;=9,1000+(INDEX(Eingabe!$G$9:$G$18,I1401))*100,3000)+J1401,IF((INDEX(Eingabe!$G$9:$G$18,I1401)+1)&lt;=9,1000+(INDEX(Eingabe!$G$9:$G$18,I1401)+1)*100,3000)+J1401-100),IF(J1401=K1401+1,2000+INDEX(Eingabe!$G$9:$G$18,I1401)*10+1,IF(J1401=K1401+2,2000+INDEX(Eingabe!$G$9:$G$18,I1401)*10+2,2000+INDEX(Eingabe!$G$9:$G$18,I1401)*10+9))),""))</f>
        <v/>
      </c>
      <c r="C1401" s="0" t="str">
        <f aca="false">IF(I1401="","",IF(AND(J1401&gt;=1,J1401&lt;=K1401+3),"10."&amp;INDEX(Eingabe!$D$9:$D$18,I1401)&amp;"."&amp;IF(J1401&lt;=K1401,J1401,IF(J1401=K1401+1,200,IF(J1401=K1401+2,201,250)))&amp;".0/24",""))</f>
        <v/>
      </c>
      <c r="D1401" s="0" t="str">
        <f aca="false">IF(I1401="","",IF(AND(J1401&gt;=1,J1401&lt;=K1401+3),"255.255.255.0",""))</f>
        <v/>
      </c>
      <c r="E1401" s="0" t="str">
        <f aca="false">IF(I1401="","",IF(AND(J1401&gt;=1,J1401&lt;=K1401+3),"10."&amp;INDEX(Eingabe!$D$9:$D$18,I1401)&amp;"."&amp;IF(J1401&lt;=K1401,J1401,IF(J1401=K1401+1,200,IF(J1401=K1401+2,201,250)))&amp;".1",""))</f>
        <v/>
      </c>
      <c r="F1401" s="0" t="str">
        <f aca="false">IF(I1401="","",IF(AND(J1401&gt;=1,J1401&lt;=K1401+3),"10."&amp;INDEX(Eingabe!$D$9:$D$18,I1401)&amp;"."&amp;IF(J1401&lt;=K1401,J1401,IF(J1401=K1401+1,200,IF(J1401=K1401+2,201,250)))&amp;".10 – 10."&amp;INDEX(Eingabe!$D$9:$D$18,I1401)&amp;"."&amp;IF(J1401&lt;=K1401,J1401,IF(J1401=K1401+1,200,IF(J1401=K1401+2,201,250)))&amp;".250",""))</f>
        <v/>
      </c>
      <c r="G1401" s="0" t="str">
        <f aca="false">IF(I1401="","",IF(AND(J1401&gt;=1,J1401&lt;=K1401),Eingabe!$B$6&amp;"-"&amp;INDEX(Eingabe!$C$9:$C$18,I1401)&amp;"-Pächter  ·  Passwort Parzelle "&amp;J1401,IF(J1401=K1401+1,Eingabe!$B$6&amp;"-"&amp;INDEX(Eingabe!$C$9:$C$18,I1401)&amp;"-Vorstand  ·  eigenes WLAN",IF(J1401=K1401+2,Eingabe!$B$6&amp;"-"&amp;INDEX(Eingabe!$C$9:$C$18,I1401)&amp;"-Gäste  ·  Voucher",IF(J1401=K1401+3,"Kabel  ·  Access Point y = .(50+y), Mast-Switch x = .(10+x)","")))))</f>
        <v/>
      </c>
      <c r="I1401" s="0" t="str">
        <f aca="false">IF(1396&lt;=(Eingabe!$P$18+Eingabe!$Q$18-1),MATCH(1396,Eingabe!$P$9:$P$18,1),"")</f>
        <v/>
      </c>
      <c r="J1401" s="0" t="str">
        <f aca="false">IF(I1401="","",1396-INDEX(Eingabe!$P$9:$P$18,I1401))</f>
        <v/>
      </c>
      <c r="K1401" s="0" t="str">
        <f aca="false">IF(I1401="","",INDEX(Eingabe!$E$9:$E$18,I1401))</f>
        <v/>
      </c>
    </row>
    <row r="1402" customFormat="false" ht="15" hidden="false" customHeight="false" outlineLevel="0" collapsed="false">
      <c r="A1402" s="0" t="str">
        <f aca="false">IF(I1402="","",IF(J1402=0,"Sparte "&amp;I1402&amp;": "&amp;INDEX(Eingabe!$B$9:$B$18,I1402)&amp;"  (Sparten-ID "&amp;INDEX(Eingabe!$D$9:$D$18,I1402)&amp;", "&amp;K1402&amp;" Parzellen)",IF(J1402&lt;=K1402,"   Parzelle "&amp;J1402,IF(J1402=K1402+1,"   Vorstand",IF(J1402=K1402+2,"   Gäste",IF(J1402=K1402+3,"   Technik (Switches, Access Points)",""))))))</f>
        <v/>
      </c>
      <c r="B1402" s="0" t="str">
        <f aca="false">IF(I1402="","",IF(AND(J1402&gt;=1,J1402&lt;=K1402+3),IF(J1402&lt;=K1402,IF(J1402&lt;=99,IF((INDEX(Eingabe!$G$9:$G$18,I1402))&lt;=9,1000+(INDEX(Eingabe!$G$9:$G$18,I1402))*100,3000)+J1402,IF((INDEX(Eingabe!$G$9:$G$18,I1402)+1)&lt;=9,1000+(INDEX(Eingabe!$G$9:$G$18,I1402)+1)*100,3000)+J1402-100),IF(J1402=K1402+1,2000+INDEX(Eingabe!$G$9:$G$18,I1402)*10+1,IF(J1402=K1402+2,2000+INDEX(Eingabe!$G$9:$G$18,I1402)*10+2,2000+INDEX(Eingabe!$G$9:$G$18,I1402)*10+9))),""))</f>
        <v/>
      </c>
      <c r="C1402" s="0" t="str">
        <f aca="false">IF(I1402="","",IF(AND(J1402&gt;=1,J1402&lt;=K1402+3),"10."&amp;INDEX(Eingabe!$D$9:$D$18,I1402)&amp;"."&amp;IF(J1402&lt;=K1402,J1402,IF(J1402=K1402+1,200,IF(J1402=K1402+2,201,250)))&amp;".0/24",""))</f>
        <v/>
      </c>
      <c r="D1402" s="0" t="str">
        <f aca="false">IF(I1402="","",IF(AND(J1402&gt;=1,J1402&lt;=K1402+3),"255.255.255.0",""))</f>
        <v/>
      </c>
      <c r="E1402" s="0" t="str">
        <f aca="false">IF(I1402="","",IF(AND(J1402&gt;=1,J1402&lt;=K1402+3),"10."&amp;INDEX(Eingabe!$D$9:$D$18,I1402)&amp;"."&amp;IF(J1402&lt;=K1402,J1402,IF(J1402=K1402+1,200,IF(J1402=K1402+2,201,250)))&amp;".1",""))</f>
        <v/>
      </c>
      <c r="F1402" s="0" t="str">
        <f aca="false">IF(I1402="","",IF(AND(J1402&gt;=1,J1402&lt;=K1402+3),"10."&amp;INDEX(Eingabe!$D$9:$D$18,I1402)&amp;"."&amp;IF(J1402&lt;=K1402,J1402,IF(J1402=K1402+1,200,IF(J1402=K1402+2,201,250)))&amp;".10 – 10."&amp;INDEX(Eingabe!$D$9:$D$18,I1402)&amp;"."&amp;IF(J1402&lt;=K1402,J1402,IF(J1402=K1402+1,200,IF(J1402=K1402+2,201,250)))&amp;".250",""))</f>
        <v/>
      </c>
      <c r="G1402" s="0" t="str">
        <f aca="false">IF(I1402="","",IF(AND(J1402&gt;=1,J1402&lt;=K1402),Eingabe!$B$6&amp;"-"&amp;INDEX(Eingabe!$C$9:$C$18,I1402)&amp;"-Pächter  ·  Passwort Parzelle "&amp;J1402,IF(J1402=K1402+1,Eingabe!$B$6&amp;"-"&amp;INDEX(Eingabe!$C$9:$C$18,I1402)&amp;"-Vorstand  ·  eigenes WLAN",IF(J1402=K1402+2,Eingabe!$B$6&amp;"-"&amp;INDEX(Eingabe!$C$9:$C$18,I1402)&amp;"-Gäste  ·  Voucher",IF(J1402=K1402+3,"Kabel  ·  Access Point y = .(50+y), Mast-Switch x = .(10+x)","")))))</f>
        <v/>
      </c>
      <c r="I1402" s="0" t="str">
        <f aca="false">IF(1397&lt;=(Eingabe!$P$18+Eingabe!$Q$18-1),MATCH(1397,Eingabe!$P$9:$P$18,1),"")</f>
        <v/>
      </c>
      <c r="J1402" s="0" t="str">
        <f aca="false">IF(I1402="","",1397-INDEX(Eingabe!$P$9:$P$18,I1402))</f>
        <v/>
      </c>
      <c r="K1402" s="0" t="str">
        <f aca="false">IF(I1402="","",INDEX(Eingabe!$E$9:$E$18,I1402))</f>
        <v/>
      </c>
    </row>
    <row r="1403" customFormat="false" ht="15" hidden="false" customHeight="false" outlineLevel="0" collapsed="false">
      <c r="A1403" s="0" t="str">
        <f aca="false">IF(I1403="","",IF(J1403=0,"Sparte "&amp;I1403&amp;": "&amp;INDEX(Eingabe!$B$9:$B$18,I1403)&amp;"  (Sparten-ID "&amp;INDEX(Eingabe!$D$9:$D$18,I1403)&amp;", "&amp;K1403&amp;" Parzellen)",IF(J1403&lt;=K1403,"   Parzelle "&amp;J1403,IF(J1403=K1403+1,"   Vorstand",IF(J1403=K1403+2,"   Gäste",IF(J1403=K1403+3,"   Technik (Switches, Access Points)",""))))))</f>
        <v/>
      </c>
      <c r="B1403" s="0" t="str">
        <f aca="false">IF(I1403="","",IF(AND(J1403&gt;=1,J1403&lt;=K1403+3),IF(J1403&lt;=K1403,IF(J1403&lt;=99,IF((INDEX(Eingabe!$G$9:$G$18,I1403))&lt;=9,1000+(INDEX(Eingabe!$G$9:$G$18,I1403))*100,3000)+J1403,IF((INDEX(Eingabe!$G$9:$G$18,I1403)+1)&lt;=9,1000+(INDEX(Eingabe!$G$9:$G$18,I1403)+1)*100,3000)+J1403-100),IF(J1403=K1403+1,2000+INDEX(Eingabe!$G$9:$G$18,I1403)*10+1,IF(J1403=K1403+2,2000+INDEX(Eingabe!$G$9:$G$18,I1403)*10+2,2000+INDEX(Eingabe!$G$9:$G$18,I1403)*10+9))),""))</f>
        <v/>
      </c>
      <c r="C1403" s="0" t="str">
        <f aca="false">IF(I1403="","",IF(AND(J1403&gt;=1,J1403&lt;=K1403+3),"10."&amp;INDEX(Eingabe!$D$9:$D$18,I1403)&amp;"."&amp;IF(J1403&lt;=K1403,J1403,IF(J1403=K1403+1,200,IF(J1403=K1403+2,201,250)))&amp;".0/24",""))</f>
        <v/>
      </c>
      <c r="D1403" s="0" t="str">
        <f aca="false">IF(I1403="","",IF(AND(J1403&gt;=1,J1403&lt;=K1403+3),"255.255.255.0",""))</f>
        <v/>
      </c>
      <c r="E1403" s="0" t="str">
        <f aca="false">IF(I1403="","",IF(AND(J1403&gt;=1,J1403&lt;=K1403+3),"10."&amp;INDEX(Eingabe!$D$9:$D$18,I1403)&amp;"."&amp;IF(J1403&lt;=K1403,J1403,IF(J1403=K1403+1,200,IF(J1403=K1403+2,201,250)))&amp;".1",""))</f>
        <v/>
      </c>
      <c r="F1403" s="0" t="str">
        <f aca="false">IF(I1403="","",IF(AND(J1403&gt;=1,J1403&lt;=K1403+3),"10."&amp;INDEX(Eingabe!$D$9:$D$18,I1403)&amp;"."&amp;IF(J1403&lt;=K1403,J1403,IF(J1403=K1403+1,200,IF(J1403=K1403+2,201,250)))&amp;".10 – 10."&amp;INDEX(Eingabe!$D$9:$D$18,I1403)&amp;"."&amp;IF(J1403&lt;=K1403,J1403,IF(J1403=K1403+1,200,IF(J1403=K1403+2,201,250)))&amp;".250",""))</f>
        <v/>
      </c>
      <c r="G1403" s="0" t="str">
        <f aca="false">IF(I1403="","",IF(AND(J1403&gt;=1,J1403&lt;=K1403),Eingabe!$B$6&amp;"-"&amp;INDEX(Eingabe!$C$9:$C$18,I1403)&amp;"-Pächter  ·  Passwort Parzelle "&amp;J1403,IF(J1403=K1403+1,Eingabe!$B$6&amp;"-"&amp;INDEX(Eingabe!$C$9:$C$18,I1403)&amp;"-Vorstand  ·  eigenes WLAN",IF(J1403=K1403+2,Eingabe!$B$6&amp;"-"&amp;INDEX(Eingabe!$C$9:$C$18,I1403)&amp;"-Gäste  ·  Voucher",IF(J1403=K1403+3,"Kabel  ·  Access Point y = .(50+y), Mast-Switch x = .(10+x)","")))))</f>
        <v/>
      </c>
      <c r="I1403" s="0" t="str">
        <f aca="false">IF(1398&lt;=(Eingabe!$P$18+Eingabe!$Q$18-1),MATCH(1398,Eingabe!$P$9:$P$18,1),"")</f>
        <v/>
      </c>
      <c r="J1403" s="0" t="str">
        <f aca="false">IF(I1403="","",1398-INDEX(Eingabe!$P$9:$P$18,I1403))</f>
        <v/>
      </c>
      <c r="K1403" s="0" t="str">
        <f aca="false">IF(I1403="","",INDEX(Eingabe!$E$9:$E$18,I1403))</f>
        <v/>
      </c>
    </row>
    <row r="1404" customFormat="false" ht="15" hidden="false" customHeight="false" outlineLevel="0" collapsed="false">
      <c r="A1404" s="0" t="str">
        <f aca="false">IF(I1404="","",IF(J1404=0,"Sparte "&amp;I1404&amp;": "&amp;INDEX(Eingabe!$B$9:$B$18,I1404)&amp;"  (Sparten-ID "&amp;INDEX(Eingabe!$D$9:$D$18,I1404)&amp;", "&amp;K1404&amp;" Parzellen)",IF(J1404&lt;=K1404,"   Parzelle "&amp;J1404,IF(J1404=K1404+1,"   Vorstand",IF(J1404=K1404+2,"   Gäste",IF(J1404=K1404+3,"   Technik (Switches, Access Points)",""))))))</f>
        <v/>
      </c>
      <c r="B1404" s="0" t="str">
        <f aca="false">IF(I1404="","",IF(AND(J1404&gt;=1,J1404&lt;=K1404+3),IF(J1404&lt;=K1404,IF(J1404&lt;=99,IF((INDEX(Eingabe!$G$9:$G$18,I1404))&lt;=9,1000+(INDEX(Eingabe!$G$9:$G$18,I1404))*100,3000)+J1404,IF((INDEX(Eingabe!$G$9:$G$18,I1404)+1)&lt;=9,1000+(INDEX(Eingabe!$G$9:$G$18,I1404)+1)*100,3000)+J1404-100),IF(J1404=K1404+1,2000+INDEX(Eingabe!$G$9:$G$18,I1404)*10+1,IF(J1404=K1404+2,2000+INDEX(Eingabe!$G$9:$G$18,I1404)*10+2,2000+INDEX(Eingabe!$G$9:$G$18,I1404)*10+9))),""))</f>
        <v/>
      </c>
      <c r="C1404" s="0" t="str">
        <f aca="false">IF(I1404="","",IF(AND(J1404&gt;=1,J1404&lt;=K1404+3),"10."&amp;INDEX(Eingabe!$D$9:$D$18,I1404)&amp;"."&amp;IF(J1404&lt;=K1404,J1404,IF(J1404=K1404+1,200,IF(J1404=K1404+2,201,250)))&amp;".0/24",""))</f>
        <v/>
      </c>
      <c r="D1404" s="0" t="str">
        <f aca="false">IF(I1404="","",IF(AND(J1404&gt;=1,J1404&lt;=K1404+3),"255.255.255.0",""))</f>
        <v/>
      </c>
      <c r="E1404" s="0" t="str">
        <f aca="false">IF(I1404="","",IF(AND(J1404&gt;=1,J1404&lt;=K1404+3),"10."&amp;INDEX(Eingabe!$D$9:$D$18,I1404)&amp;"."&amp;IF(J1404&lt;=K1404,J1404,IF(J1404=K1404+1,200,IF(J1404=K1404+2,201,250)))&amp;".1",""))</f>
        <v/>
      </c>
      <c r="F1404" s="0" t="str">
        <f aca="false">IF(I1404="","",IF(AND(J1404&gt;=1,J1404&lt;=K1404+3),"10."&amp;INDEX(Eingabe!$D$9:$D$18,I1404)&amp;"."&amp;IF(J1404&lt;=K1404,J1404,IF(J1404=K1404+1,200,IF(J1404=K1404+2,201,250)))&amp;".10 – 10."&amp;INDEX(Eingabe!$D$9:$D$18,I1404)&amp;"."&amp;IF(J1404&lt;=K1404,J1404,IF(J1404=K1404+1,200,IF(J1404=K1404+2,201,250)))&amp;".250",""))</f>
        <v/>
      </c>
      <c r="G1404" s="0" t="str">
        <f aca="false">IF(I1404="","",IF(AND(J1404&gt;=1,J1404&lt;=K1404),Eingabe!$B$6&amp;"-"&amp;INDEX(Eingabe!$C$9:$C$18,I1404)&amp;"-Pächter  ·  Passwort Parzelle "&amp;J1404,IF(J1404=K1404+1,Eingabe!$B$6&amp;"-"&amp;INDEX(Eingabe!$C$9:$C$18,I1404)&amp;"-Vorstand  ·  eigenes WLAN",IF(J1404=K1404+2,Eingabe!$B$6&amp;"-"&amp;INDEX(Eingabe!$C$9:$C$18,I1404)&amp;"-Gäste  ·  Voucher",IF(J1404=K1404+3,"Kabel  ·  Access Point y = .(50+y), Mast-Switch x = .(10+x)","")))))</f>
        <v/>
      </c>
      <c r="I1404" s="0" t="str">
        <f aca="false">IF(1399&lt;=(Eingabe!$P$18+Eingabe!$Q$18-1),MATCH(1399,Eingabe!$P$9:$P$18,1),"")</f>
        <v/>
      </c>
      <c r="J1404" s="0" t="str">
        <f aca="false">IF(I1404="","",1399-INDEX(Eingabe!$P$9:$P$18,I1404))</f>
        <v/>
      </c>
      <c r="K1404" s="0" t="str">
        <f aca="false">IF(I1404="","",INDEX(Eingabe!$E$9:$E$18,I1404))</f>
        <v/>
      </c>
    </row>
    <row r="1405" customFormat="false" ht="15" hidden="false" customHeight="false" outlineLevel="0" collapsed="false">
      <c r="A1405" s="0" t="str">
        <f aca="false">IF(I1405="","",IF(J1405=0,"Sparte "&amp;I1405&amp;": "&amp;INDEX(Eingabe!$B$9:$B$18,I1405)&amp;"  (Sparten-ID "&amp;INDEX(Eingabe!$D$9:$D$18,I1405)&amp;", "&amp;K1405&amp;" Parzellen)",IF(J1405&lt;=K1405,"   Parzelle "&amp;J1405,IF(J1405=K1405+1,"   Vorstand",IF(J1405=K1405+2,"   Gäste",IF(J1405=K1405+3,"   Technik (Switches, Access Points)",""))))))</f>
        <v/>
      </c>
      <c r="B1405" s="0" t="str">
        <f aca="false">IF(I1405="","",IF(AND(J1405&gt;=1,J1405&lt;=K1405+3),IF(J1405&lt;=K1405,IF(J1405&lt;=99,IF((INDEX(Eingabe!$G$9:$G$18,I1405))&lt;=9,1000+(INDEX(Eingabe!$G$9:$G$18,I1405))*100,3000)+J1405,IF((INDEX(Eingabe!$G$9:$G$18,I1405)+1)&lt;=9,1000+(INDEX(Eingabe!$G$9:$G$18,I1405)+1)*100,3000)+J1405-100),IF(J1405=K1405+1,2000+INDEX(Eingabe!$G$9:$G$18,I1405)*10+1,IF(J1405=K1405+2,2000+INDEX(Eingabe!$G$9:$G$18,I1405)*10+2,2000+INDEX(Eingabe!$G$9:$G$18,I1405)*10+9))),""))</f>
        <v/>
      </c>
      <c r="C1405" s="0" t="str">
        <f aca="false">IF(I1405="","",IF(AND(J1405&gt;=1,J1405&lt;=K1405+3),"10."&amp;INDEX(Eingabe!$D$9:$D$18,I1405)&amp;"."&amp;IF(J1405&lt;=K1405,J1405,IF(J1405=K1405+1,200,IF(J1405=K1405+2,201,250)))&amp;".0/24",""))</f>
        <v/>
      </c>
      <c r="D1405" s="0" t="str">
        <f aca="false">IF(I1405="","",IF(AND(J1405&gt;=1,J1405&lt;=K1405+3),"255.255.255.0",""))</f>
        <v/>
      </c>
      <c r="E1405" s="0" t="str">
        <f aca="false">IF(I1405="","",IF(AND(J1405&gt;=1,J1405&lt;=K1405+3),"10."&amp;INDEX(Eingabe!$D$9:$D$18,I1405)&amp;"."&amp;IF(J1405&lt;=K1405,J1405,IF(J1405=K1405+1,200,IF(J1405=K1405+2,201,250)))&amp;".1",""))</f>
        <v/>
      </c>
      <c r="F1405" s="0" t="str">
        <f aca="false">IF(I1405="","",IF(AND(J1405&gt;=1,J1405&lt;=K1405+3),"10."&amp;INDEX(Eingabe!$D$9:$D$18,I1405)&amp;"."&amp;IF(J1405&lt;=K1405,J1405,IF(J1405=K1405+1,200,IF(J1405=K1405+2,201,250)))&amp;".10 – 10."&amp;INDEX(Eingabe!$D$9:$D$18,I1405)&amp;"."&amp;IF(J1405&lt;=K1405,J1405,IF(J1405=K1405+1,200,IF(J1405=K1405+2,201,250)))&amp;".250",""))</f>
        <v/>
      </c>
      <c r="G1405" s="0" t="str">
        <f aca="false">IF(I1405="","",IF(AND(J1405&gt;=1,J1405&lt;=K1405),Eingabe!$B$6&amp;"-"&amp;INDEX(Eingabe!$C$9:$C$18,I1405)&amp;"-Pächter  ·  Passwort Parzelle "&amp;J1405,IF(J1405=K1405+1,Eingabe!$B$6&amp;"-"&amp;INDEX(Eingabe!$C$9:$C$18,I1405)&amp;"-Vorstand  ·  eigenes WLAN",IF(J1405=K1405+2,Eingabe!$B$6&amp;"-"&amp;INDEX(Eingabe!$C$9:$C$18,I1405)&amp;"-Gäste  ·  Voucher",IF(J1405=K1405+3,"Kabel  ·  Access Point y = .(50+y), Mast-Switch x = .(10+x)","")))))</f>
        <v/>
      </c>
      <c r="I1405" s="0" t="str">
        <f aca="false">IF(1400&lt;=(Eingabe!$P$18+Eingabe!$Q$18-1),MATCH(1400,Eingabe!$P$9:$P$18,1),"")</f>
        <v/>
      </c>
      <c r="J1405" s="0" t="str">
        <f aca="false">IF(I1405="","",1400-INDEX(Eingabe!$P$9:$P$18,I1405))</f>
        <v/>
      </c>
      <c r="K1405" s="0" t="str">
        <f aca="false">IF(I1405="","",INDEX(Eingabe!$E$9:$E$18,I1405))</f>
        <v/>
      </c>
    </row>
    <row r="1406" customFormat="false" ht="15" hidden="false" customHeight="false" outlineLevel="0" collapsed="false">
      <c r="A1406" s="0" t="str">
        <f aca="false">IF(I1406="","",IF(J1406=0,"Sparte "&amp;I1406&amp;": "&amp;INDEX(Eingabe!$B$9:$B$18,I1406)&amp;"  (Sparten-ID "&amp;INDEX(Eingabe!$D$9:$D$18,I1406)&amp;", "&amp;K1406&amp;" Parzellen)",IF(J1406&lt;=K1406,"   Parzelle "&amp;J1406,IF(J1406=K1406+1,"   Vorstand",IF(J1406=K1406+2,"   Gäste",IF(J1406=K1406+3,"   Technik (Switches, Access Points)",""))))))</f>
        <v/>
      </c>
      <c r="B1406" s="0" t="str">
        <f aca="false">IF(I1406="","",IF(AND(J1406&gt;=1,J1406&lt;=K1406+3),IF(J1406&lt;=K1406,IF(J1406&lt;=99,IF((INDEX(Eingabe!$G$9:$G$18,I1406))&lt;=9,1000+(INDEX(Eingabe!$G$9:$G$18,I1406))*100,3000)+J1406,IF((INDEX(Eingabe!$G$9:$G$18,I1406)+1)&lt;=9,1000+(INDEX(Eingabe!$G$9:$G$18,I1406)+1)*100,3000)+J1406-100),IF(J1406=K1406+1,2000+INDEX(Eingabe!$G$9:$G$18,I1406)*10+1,IF(J1406=K1406+2,2000+INDEX(Eingabe!$G$9:$G$18,I1406)*10+2,2000+INDEX(Eingabe!$G$9:$G$18,I1406)*10+9))),""))</f>
        <v/>
      </c>
      <c r="C1406" s="0" t="str">
        <f aca="false">IF(I1406="","",IF(AND(J1406&gt;=1,J1406&lt;=K1406+3),"10."&amp;INDEX(Eingabe!$D$9:$D$18,I1406)&amp;"."&amp;IF(J1406&lt;=K1406,J1406,IF(J1406=K1406+1,200,IF(J1406=K1406+2,201,250)))&amp;".0/24",""))</f>
        <v/>
      </c>
      <c r="D1406" s="0" t="str">
        <f aca="false">IF(I1406="","",IF(AND(J1406&gt;=1,J1406&lt;=K1406+3),"255.255.255.0",""))</f>
        <v/>
      </c>
      <c r="E1406" s="0" t="str">
        <f aca="false">IF(I1406="","",IF(AND(J1406&gt;=1,J1406&lt;=K1406+3),"10."&amp;INDEX(Eingabe!$D$9:$D$18,I1406)&amp;"."&amp;IF(J1406&lt;=K1406,J1406,IF(J1406=K1406+1,200,IF(J1406=K1406+2,201,250)))&amp;".1",""))</f>
        <v/>
      </c>
      <c r="F1406" s="0" t="str">
        <f aca="false">IF(I1406="","",IF(AND(J1406&gt;=1,J1406&lt;=K1406+3),"10."&amp;INDEX(Eingabe!$D$9:$D$18,I1406)&amp;"."&amp;IF(J1406&lt;=K1406,J1406,IF(J1406=K1406+1,200,IF(J1406=K1406+2,201,250)))&amp;".10 – 10."&amp;INDEX(Eingabe!$D$9:$D$18,I1406)&amp;"."&amp;IF(J1406&lt;=K1406,J1406,IF(J1406=K1406+1,200,IF(J1406=K1406+2,201,250)))&amp;".250",""))</f>
        <v/>
      </c>
      <c r="G1406" s="0" t="str">
        <f aca="false">IF(I1406="","",IF(AND(J1406&gt;=1,J1406&lt;=K1406),Eingabe!$B$6&amp;"-"&amp;INDEX(Eingabe!$C$9:$C$18,I1406)&amp;"-Pächter  ·  Passwort Parzelle "&amp;J1406,IF(J1406=K1406+1,Eingabe!$B$6&amp;"-"&amp;INDEX(Eingabe!$C$9:$C$18,I1406)&amp;"-Vorstand  ·  eigenes WLAN",IF(J1406=K1406+2,Eingabe!$B$6&amp;"-"&amp;INDEX(Eingabe!$C$9:$C$18,I1406)&amp;"-Gäste  ·  Voucher",IF(J1406=K1406+3,"Kabel  ·  Access Point y = .(50+y), Mast-Switch x = .(10+x)","")))))</f>
        <v/>
      </c>
      <c r="I1406" s="0" t="str">
        <f aca="false">IF(1401&lt;=(Eingabe!$P$18+Eingabe!$Q$18-1),MATCH(1401,Eingabe!$P$9:$P$18,1),"")</f>
        <v/>
      </c>
      <c r="J1406" s="0" t="str">
        <f aca="false">IF(I1406="","",1401-INDEX(Eingabe!$P$9:$P$18,I1406))</f>
        <v/>
      </c>
      <c r="K1406" s="0" t="str">
        <f aca="false">IF(I1406="","",INDEX(Eingabe!$E$9:$E$18,I1406))</f>
        <v/>
      </c>
    </row>
    <row r="1407" customFormat="false" ht="15" hidden="false" customHeight="false" outlineLevel="0" collapsed="false">
      <c r="A1407" s="0" t="str">
        <f aca="false">IF(I1407="","",IF(J1407=0,"Sparte "&amp;I1407&amp;": "&amp;INDEX(Eingabe!$B$9:$B$18,I1407)&amp;"  (Sparten-ID "&amp;INDEX(Eingabe!$D$9:$D$18,I1407)&amp;", "&amp;K1407&amp;" Parzellen)",IF(J1407&lt;=K1407,"   Parzelle "&amp;J1407,IF(J1407=K1407+1,"   Vorstand",IF(J1407=K1407+2,"   Gäste",IF(J1407=K1407+3,"   Technik (Switches, Access Points)",""))))))</f>
        <v/>
      </c>
      <c r="B1407" s="0" t="str">
        <f aca="false">IF(I1407="","",IF(AND(J1407&gt;=1,J1407&lt;=K1407+3),IF(J1407&lt;=K1407,IF(J1407&lt;=99,IF((INDEX(Eingabe!$G$9:$G$18,I1407))&lt;=9,1000+(INDEX(Eingabe!$G$9:$G$18,I1407))*100,3000)+J1407,IF((INDEX(Eingabe!$G$9:$G$18,I1407)+1)&lt;=9,1000+(INDEX(Eingabe!$G$9:$G$18,I1407)+1)*100,3000)+J1407-100),IF(J1407=K1407+1,2000+INDEX(Eingabe!$G$9:$G$18,I1407)*10+1,IF(J1407=K1407+2,2000+INDEX(Eingabe!$G$9:$G$18,I1407)*10+2,2000+INDEX(Eingabe!$G$9:$G$18,I1407)*10+9))),""))</f>
        <v/>
      </c>
      <c r="C1407" s="0" t="str">
        <f aca="false">IF(I1407="","",IF(AND(J1407&gt;=1,J1407&lt;=K1407+3),"10."&amp;INDEX(Eingabe!$D$9:$D$18,I1407)&amp;"."&amp;IF(J1407&lt;=K1407,J1407,IF(J1407=K1407+1,200,IF(J1407=K1407+2,201,250)))&amp;".0/24",""))</f>
        <v/>
      </c>
      <c r="D1407" s="0" t="str">
        <f aca="false">IF(I1407="","",IF(AND(J1407&gt;=1,J1407&lt;=K1407+3),"255.255.255.0",""))</f>
        <v/>
      </c>
      <c r="E1407" s="0" t="str">
        <f aca="false">IF(I1407="","",IF(AND(J1407&gt;=1,J1407&lt;=K1407+3),"10."&amp;INDEX(Eingabe!$D$9:$D$18,I1407)&amp;"."&amp;IF(J1407&lt;=K1407,J1407,IF(J1407=K1407+1,200,IF(J1407=K1407+2,201,250)))&amp;".1",""))</f>
        <v/>
      </c>
      <c r="F1407" s="0" t="str">
        <f aca="false">IF(I1407="","",IF(AND(J1407&gt;=1,J1407&lt;=K1407+3),"10."&amp;INDEX(Eingabe!$D$9:$D$18,I1407)&amp;"."&amp;IF(J1407&lt;=K1407,J1407,IF(J1407=K1407+1,200,IF(J1407=K1407+2,201,250)))&amp;".10 – 10."&amp;INDEX(Eingabe!$D$9:$D$18,I1407)&amp;"."&amp;IF(J1407&lt;=K1407,J1407,IF(J1407=K1407+1,200,IF(J1407=K1407+2,201,250)))&amp;".250",""))</f>
        <v/>
      </c>
      <c r="G1407" s="0" t="str">
        <f aca="false">IF(I1407="","",IF(AND(J1407&gt;=1,J1407&lt;=K1407),Eingabe!$B$6&amp;"-"&amp;INDEX(Eingabe!$C$9:$C$18,I1407)&amp;"-Pächter  ·  Passwort Parzelle "&amp;J1407,IF(J1407=K1407+1,Eingabe!$B$6&amp;"-"&amp;INDEX(Eingabe!$C$9:$C$18,I1407)&amp;"-Vorstand  ·  eigenes WLAN",IF(J1407=K1407+2,Eingabe!$B$6&amp;"-"&amp;INDEX(Eingabe!$C$9:$C$18,I1407)&amp;"-Gäste  ·  Voucher",IF(J1407=K1407+3,"Kabel  ·  Access Point y = .(50+y), Mast-Switch x = .(10+x)","")))))</f>
        <v/>
      </c>
      <c r="I1407" s="0" t="str">
        <f aca="false">IF(1402&lt;=(Eingabe!$P$18+Eingabe!$Q$18-1),MATCH(1402,Eingabe!$P$9:$P$18,1),"")</f>
        <v/>
      </c>
      <c r="J1407" s="0" t="str">
        <f aca="false">IF(I1407="","",1402-INDEX(Eingabe!$P$9:$P$18,I1407))</f>
        <v/>
      </c>
      <c r="K1407" s="0" t="str">
        <f aca="false">IF(I1407="","",INDEX(Eingabe!$E$9:$E$18,I1407))</f>
        <v/>
      </c>
    </row>
    <row r="1408" customFormat="false" ht="15" hidden="false" customHeight="false" outlineLevel="0" collapsed="false">
      <c r="A1408" s="0" t="str">
        <f aca="false">IF(I1408="","",IF(J1408=0,"Sparte "&amp;I1408&amp;": "&amp;INDEX(Eingabe!$B$9:$B$18,I1408)&amp;"  (Sparten-ID "&amp;INDEX(Eingabe!$D$9:$D$18,I1408)&amp;", "&amp;K1408&amp;" Parzellen)",IF(J1408&lt;=K1408,"   Parzelle "&amp;J1408,IF(J1408=K1408+1,"   Vorstand",IF(J1408=K1408+2,"   Gäste",IF(J1408=K1408+3,"   Technik (Switches, Access Points)",""))))))</f>
        <v/>
      </c>
      <c r="B1408" s="0" t="str">
        <f aca="false">IF(I1408="","",IF(AND(J1408&gt;=1,J1408&lt;=K1408+3),IF(J1408&lt;=K1408,IF(J1408&lt;=99,IF((INDEX(Eingabe!$G$9:$G$18,I1408))&lt;=9,1000+(INDEX(Eingabe!$G$9:$G$18,I1408))*100,3000)+J1408,IF((INDEX(Eingabe!$G$9:$G$18,I1408)+1)&lt;=9,1000+(INDEX(Eingabe!$G$9:$G$18,I1408)+1)*100,3000)+J1408-100),IF(J1408=K1408+1,2000+INDEX(Eingabe!$G$9:$G$18,I1408)*10+1,IF(J1408=K1408+2,2000+INDEX(Eingabe!$G$9:$G$18,I1408)*10+2,2000+INDEX(Eingabe!$G$9:$G$18,I1408)*10+9))),""))</f>
        <v/>
      </c>
      <c r="C1408" s="0" t="str">
        <f aca="false">IF(I1408="","",IF(AND(J1408&gt;=1,J1408&lt;=K1408+3),"10."&amp;INDEX(Eingabe!$D$9:$D$18,I1408)&amp;"."&amp;IF(J1408&lt;=K1408,J1408,IF(J1408=K1408+1,200,IF(J1408=K1408+2,201,250)))&amp;".0/24",""))</f>
        <v/>
      </c>
      <c r="D1408" s="0" t="str">
        <f aca="false">IF(I1408="","",IF(AND(J1408&gt;=1,J1408&lt;=K1408+3),"255.255.255.0",""))</f>
        <v/>
      </c>
      <c r="E1408" s="0" t="str">
        <f aca="false">IF(I1408="","",IF(AND(J1408&gt;=1,J1408&lt;=K1408+3),"10."&amp;INDEX(Eingabe!$D$9:$D$18,I1408)&amp;"."&amp;IF(J1408&lt;=K1408,J1408,IF(J1408=K1408+1,200,IF(J1408=K1408+2,201,250)))&amp;".1",""))</f>
        <v/>
      </c>
      <c r="F1408" s="0" t="str">
        <f aca="false">IF(I1408="","",IF(AND(J1408&gt;=1,J1408&lt;=K1408+3),"10."&amp;INDEX(Eingabe!$D$9:$D$18,I1408)&amp;"."&amp;IF(J1408&lt;=K1408,J1408,IF(J1408=K1408+1,200,IF(J1408=K1408+2,201,250)))&amp;".10 – 10."&amp;INDEX(Eingabe!$D$9:$D$18,I1408)&amp;"."&amp;IF(J1408&lt;=K1408,J1408,IF(J1408=K1408+1,200,IF(J1408=K1408+2,201,250)))&amp;".250",""))</f>
        <v/>
      </c>
      <c r="G1408" s="0" t="str">
        <f aca="false">IF(I1408="","",IF(AND(J1408&gt;=1,J1408&lt;=K1408),Eingabe!$B$6&amp;"-"&amp;INDEX(Eingabe!$C$9:$C$18,I1408)&amp;"-Pächter  ·  Passwort Parzelle "&amp;J1408,IF(J1408=K1408+1,Eingabe!$B$6&amp;"-"&amp;INDEX(Eingabe!$C$9:$C$18,I1408)&amp;"-Vorstand  ·  eigenes WLAN",IF(J1408=K1408+2,Eingabe!$B$6&amp;"-"&amp;INDEX(Eingabe!$C$9:$C$18,I1408)&amp;"-Gäste  ·  Voucher",IF(J1408=K1408+3,"Kabel  ·  Access Point y = .(50+y), Mast-Switch x = .(10+x)","")))))</f>
        <v/>
      </c>
      <c r="I1408" s="0" t="str">
        <f aca="false">IF(1403&lt;=(Eingabe!$P$18+Eingabe!$Q$18-1),MATCH(1403,Eingabe!$P$9:$P$18,1),"")</f>
        <v/>
      </c>
      <c r="J1408" s="0" t="str">
        <f aca="false">IF(I1408="","",1403-INDEX(Eingabe!$P$9:$P$18,I1408))</f>
        <v/>
      </c>
      <c r="K1408" s="0" t="str">
        <f aca="false">IF(I1408="","",INDEX(Eingabe!$E$9:$E$18,I1408))</f>
        <v/>
      </c>
    </row>
    <row r="1409" customFormat="false" ht="15" hidden="false" customHeight="false" outlineLevel="0" collapsed="false">
      <c r="A1409" s="0" t="str">
        <f aca="false">IF(I1409="","",IF(J1409=0,"Sparte "&amp;I1409&amp;": "&amp;INDEX(Eingabe!$B$9:$B$18,I1409)&amp;"  (Sparten-ID "&amp;INDEX(Eingabe!$D$9:$D$18,I1409)&amp;", "&amp;K1409&amp;" Parzellen)",IF(J1409&lt;=K1409,"   Parzelle "&amp;J1409,IF(J1409=K1409+1,"   Vorstand",IF(J1409=K1409+2,"   Gäste",IF(J1409=K1409+3,"   Technik (Switches, Access Points)",""))))))</f>
        <v/>
      </c>
      <c r="B1409" s="0" t="str">
        <f aca="false">IF(I1409="","",IF(AND(J1409&gt;=1,J1409&lt;=K1409+3),IF(J1409&lt;=K1409,IF(J1409&lt;=99,IF((INDEX(Eingabe!$G$9:$G$18,I1409))&lt;=9,1000+(INDEX(Eingabe!$G$9:$G$18,I1409))*100,3000)+J1409,IF((INDEX(Eingabe!$G$9:$G$18,I1409)+1)&lt;=9,1000+(INDEX(Eingabe!$G$9:$G$18,I1409)+1)*100,3000)+J1409-100),IF(J1409=K1409+1,2000+INDEX(Eingabe!$G$9:$G$18,I1409)*10+1,IF(J1409=K1409+2,2000+INDEX(Eingabe!$G$9:$G$18,I1409)*10+2,2000+INDEX(Eingabe!$G$9:$G$18,I1409)*10+9))),""))</f>
        <v/>
      </c>
      <c r="C1409" s="0" t="str">
        <f aca="false">IF(I1409="","",IF(AND(J1409&gt;=1,J1409&lt;=K1409+3),"10."&amp;INDEX(Eingabe!$D$9:$D$18,I1409)&amp;"."&amp;IF(J1409&lt;=K1409,J1409,IF(J1409=K1409+1,200,IF(J1409=K1409+2,201,250)))&amp;".0/24",""))</f>
        <v/>
      </c>
      <c r="D1409" s="0" t="str">
        <f aca="false">IF(I1409="","",IF(AND(J1409&gt;=1,J1409&lt;=K1409+3),"255.255.255.0",""))</f>
        <v/>
      </c>
      <c r="E1409" s="0" t="str">
        <f aca="false">IF(I1409="","",IF(AND(J1409&gt;=1,J1409&lt;=K1409+3),"10."&amp;INDEX(Eingabe!$D$9:$D$18,I1409)&amp;"."&amp;IF(J1409&lt;=K1409,J1409,IF(J1409=K1409+1,200,IF(J1409=K1409+2,201,250)))&amp;".1",""))</f>
        <v/>
      </c>
      <c r="F1409" s="0" t="str">
        <f aca="false">IF(I1409="","",IF(AND(J1409&gt;=1,J1409&lt;=K1409+3),"10."&amp;INDEX(Eingabe!$D$9:$D$18,I1409)&amp;"."&amp;IF(J1409&lt;=K1409,J1409,IF(J1409=K1409+1,200,IF(J1409=K1409+2,201,250)))&amp;".10 – 10."&amp;INDEX(Eingabe!$D$9:$D$18,I1409)&amp;"."&amp;IF(J1409&lt;=K1409,J1409,IF(J1409=K1409+1,200,IF(J1409=K1409+2,201,250)))&amp;".250",""))</f>
        <v/>
      </c>
      <c r="G1409" s="0" t="str">
        <f aca="false">IF(I1409="","",IF(AND(J1409&gt;=1,J1409&lt;=K1409),Eingabe!$B$6&amp;"-"&amp;INDEX(Eingabe!$C$9:$C$18,I1409)&amp;"-Pächter  ·  Passwort Parzelle "&amp;J1409,IF(J1409=K1409+1,Eingabe!$B$6&amp;"-"&amp;INDEX(Eingabe!$C$9:$C$18,I1409)&amp;"-Vorstand  ·  eigenes WLAN",IF(J1409=K1409+2,Eingabe!$B$6&amp;"-"&amp;INDEX(Eingabe!$C$9:$C$18,I1409)&amp;"-Gäste  ·  Voucher",IF(J1409=K1409+3,"Kabel  ·  Access Point y = .(50+y), Mast-Switch x = .(10+x)","")))))</f>
        <v/>
      </c>
      <c r="I1409" s="0" t="str">
        <f aca="false">IF(1404&lt;=(Eingabe!$P$18+Eingabe!$Q$18-1),MATCH(1404,Eingabe!$P$9:$P$18,1),"")</f>
        <v/>
      </c>
      <c r="J1409" s="0" t="str">
        <f aca="false">IF(I1409="","",1404-INDEX(Eingabe!$P$9:$P$18,I1409))</f>
        <v/>
      </c>
      <c r="K1409" s="0" t="str">
        <f aca="false">IF(I1409="","",INDEX(Eingabe!$E$9:$E$18,I1409))</f>
        <v/>
      </c>
    </row>
    <row r="1410" customFormat="false" ht="15" hidden="false" customHeight="false" outlineLevel="0" collapsed="false">
      <c r="A1410" s="0" t="str">
        <f aca="false">IF(I1410="","",IF(J1410=0,"Sparte "&amp;I1410&amp;": "&amp;INDEX(Eingabe!$B$9:$B$18,I1410)&amp;"  (Sparten-ID "&amp;INDEX(Eingabe!$D$9:$D$18,I1410)&amp;", "&amp;K1410&amp;" Parzellen)",IF(J1410&lt;=K1410,"   Parzelle "&amp;J1410,IF(J1410=K1410+1,"   Vorstand",IF(J1410=K1410+2,"   Gäste",IF(J1410=K1410+3,"   Technik (Switches, Access Points)",""))))))</f>
        <v/>
      </c>
      <c r="B1410" s="0" t="str">
        <f aca="false">IF(I1410="","",IF(AND(J1410&gt;=1,J1410&lt;=K1410+3),IF(J1410&lt;=K1410,IF(J1410&lt;=99,IF((INDEX(Eingabe!$G$9:$G$18,I1410))&lt;=9,1000+(INDEX(Eingabe!$G$9:$G$18,I1410))*100,3000)+J1410,IF((INDEX(Eingabe!$G$9:$G$18,I1410)+1)&lt;=9,1000+(INDEX(Eingabe!$G$9:$G$18,I1410)+1)*100,3000)+J1410-100),IF(J1410=K1410+1,2000+INDEX(Eingabe!$G$9:$G$18,I1410)*10+1,IF(J1410=K1410+2,2000+INDEX(Eingabe!$G$9:$G$18,I1410)*10+2,2000+INDEX(Eingabe!$G$9:$G$18,I1410)*10+9))),""))</f>
        <v/>
      </c>
      <c r="C1410" s="0" t="str">
        <f aca="false">IF(I1410="","",IF(AND(J1410&gt;=1,J1410&lt;=K1410+3),"10."&amp;INDEX(Eingabe!$D$9:$D$18,I1410)&amp;"."&amp;IF(J1410&lt;=K1410,J1410,IF(J1410=K1410+1,200,IF(J1410=K1410+2,201,250)))&amp;".0/24",""))</f>
        <v/>
      </c>
      <c r="D1410" s="0" t="str">
        <f aca="false">IF(I1410="","",IF(AND(J1410&gt;=1,J1410&lt;=K1410+3),"255.255.255.0",""))</f>
        <v/>
      </c>
      <c r="E1410" s="0" t="str">
        <f aca="false">IF(I1410="","",IF(AND(J1410&gt;=1,J1410&lt;=K1410+3),"10."&amp;INDEX(Eingabe!$D$9:$D$18,I1410)&amp;"."&amp;IF(J1410&lt;=K1410,J1410,IF(J1410=K1410+1,200,IF(J1410=K1410+2,201,250)))&amp;".1",""))</f>
        <v/>
      </c>
      <c r="F1410" s="0" t="str">
        <f aca="false">IF(I1410="","",IF(AND(J1410&gt;=1,J1410&lt;=K1410+3),"10."&amp;INDEX(Eingabe!$D$9:$D$18,I1410)&amp;"."&amp;IF(J1410&lt;=K1410,J1410,IF(J1410=K1410+1,200,IF(J1410=K1410+2,201,250)))&amp;".10 – 10."&amp;INDEX(Eingabe!$D$9:$D$18,I1410)&amp;"."&amp;IF(J1410&lt;=K1410,J1410,IF(J1410=K1410+1,200,IF(J1410=K1410+2,201,250)))&amp;".250",""))</f>
        <v/>
      </c>
      <c r="G1410" s="0" t="str">
        <f aca="false">IF(I1410="","",IF(AND(J1410&gt;=1,J1410&lt;=K1410),Eingabe!$B$6&amp;"-"&amp;INDEX(Eingabe!$C$9:$C$18,I1410)&amp;"-Pächter  ·  Passwort Parzelle "&amp;J1410,IF(J1410=K1410+1,Eingabe!$B$6&amp;"-"&amp;INDEX(Eingabe!$C$9:$C$18,I1410)&amp;"-Vorstand  ·  eigenes WLAN",IF(J1410=K1410+2,Eingabe!$B$6&amp;"-"&amp;INDEX(Eingabe!$C$9:$C$18,I1410)&amp;"-Gäste  ·  Voucher",IF(J1410=K1410+3,"Kabel  ·  Access Point y = .(50+y), Mast-Switch x = .(10+x)","")))))</f>
        <v/>
      </c>
      <c r="I1410" s="0" t="str">
        <f aca="false">IF(1405&lt;=(Eingabe!$P$18+Eingabe!$Q$18-1),MATCH(1405,Eingabe!$P$9:$P$18,1),"")</f>
        <v/>
      </c>
      <c r="J1410" s="0" t="str">
        <f aca="false">IF(I1410="","",1405-INDEX(Eingabe!$P$9:$P$18,I1410))</f>
        <v/>
      </c>
      <c r="K1410" s="0" t="str">
        <f aca="false">IF(I1410="","",INDEX(Eingabe!$E$9:$E$18,I1410))</f>
        <v/>
      </c>
    </row>
    <row r="1411" customFormat="false" ht="15" hidden="false" customHeight="false" outlineLevel="0" collapsed="false">
      <c r="A1411" s="0" t="str">
        <f aca="false">IF(I1411="","",IF(J1411=0,"Sparte "&amp;I1411&amp;": "&amp;INDEX(Eingabe!$B$9:$B$18,I1411)&amp;"  (Sparten-ID "&amp;INDEX(Eingabe!$D$9:$D$18,I1411)&amp;", "&amp;K1411&amp;" Parzellen)",IF(J1411&lt;=K1411,"   Parzelle "&amp;J1411,IF(J1411=K1411+1,"   Vorstand",IF(J1411=K1411+2,"   Gäste",IF(J1411=K1411+3,"   Technik (Switches, Access Points)",""))))))</f>
        <v/>
      </c>
      <c r="B1411" s="0" t="str">
        <f aca="false">IF(I1411="","",IF(AND(J1411&gt;=1,J1411&lt;=K1411+3),IF(J1411&lt;=K1411,IF(J1411&lt;=99,IF((INDEX(Eingabe!$G$9:$G$18,I1411))&lt;=9,1000+(INDEX(Eingabe!$G$9:$G$18,I1411))*100,3000)+J1411,IF((INDEX(Eingabe!$G$9:$G$18,I1411)+1)&lt;=9,1000+(INDEX(Eingabe!$G$9:$G$18,I1411)+1)*100,3000)+J1411-100),IF(J1411=K1411+1,2000+INDEX(Eingabe!$G$9:$G$18,I1411)*10+1,IF(J1411=K1411+2,2000+INDEX(Eingabe!$G$9:$G$18,I1411)*10+2,2000+INDEX(Eingabe!$G$9:$G$18,I1411)*10+9))),""))</f>
        <v/>
      </c>
      <c r="C1411" s="0" t="str">
        <f aca="false">IF(I1411="","",IF(AND(J1411&gt;=1,J1411&lt;=K1411+3),"10."&amp;INDEX(Eingabe!$D$9:$D$18,I1411)&amp;"."&amp;IF(J1411&lt;=K1411,J1411,IF(J1411=K1411+1,200,IF(J1411=K1411+2,201,250)))&amp;".0/24",""))</f>
        <v/>
      </c>
      <c r="D1411" s="0" t="str">
        <f aca="false">IF(I1411="","",IF(AND(J1411&gt;=1,J1411&lt;=K1411+3),"255.255.255.0",""))</f>
        <v/>
      </c>
      <c r="E1411" s="0" t="str">
        <f aca="false">IF(I1411="","",IF(AND(J1411&gt;=1,J1411&lt;=K1411+3),"10."&amp;INDEX(Eingabe!$D$9:$D$18,I1411)&amp;"."&amp;IF(J1411&lt;=K1411,J1411,IF(J1411=K1411+1,200,IF(J1411=K1411+2,201,250)))&amp;".1",""))</f>
        <v/>
      </c>
      <c r="F1411" s="0" t="str">
        <f aca="false">IF(I1411="","",IF(AND(J1411&gt;=1,J1411&lt;=K1411+3),"10."&amp;INDEX(Eingabe!$D$9:$D$18,I1411)&amp;"."&amp;IF(J1411&lt;=K1411,J1411,IF(J1411=K1411+1,200,IF(J1411=K1411+2,201,250)))&amp;".10 – 10."&amp;INDEX(Eingabe!$D$9:$D$18,I1411)&amp;"."&amp;IF(J1411&lt;=K1411,J1411,IF(J1411=K1411+1,200,IF(J1411=K1411+2,201,250)))&amp;".250",""))</f>
        <v/>
      </c>
      <c r="G1411" s="0" t="str">
        <f aca="false">IF(I1411="","",IF(AND(J1411&gt;=1,J1411&lt;=K1411),Eingabe!$B$6&amp;"-"&amp;INDEX(Eingabe!$C$9:$C$18,I1411)&amp;"-Pächter  ·  Passwort Parzelle "&amp;J1411,IF(J1411=K1411+1,Eingabe!$B$6&amp;"-"&amp;INDEX(Eingabe!$C$9:$C$18,I1411)&amp;"-Vorstand  ·  eigenes WLAN",IF(J1411=K1411+2,Eingabe!$B$6&amp;"-"&amp;INDEX(Eingabe!$C$9:$C$18,I1411)&amp;"-Gäste  ·  Voucher",IF(J1411=K1411+3,"Kabel  ·  Access Point y = .(50+y), Mast-Switch x = .(10+x)","")))))</f>
        <v/>
      </c>
      <c r="I1411" s="0" t="str">
        <f aca="false">IF(1406&lt;=(Eingabe!$P$18+Eingabe!$Q$18-1),MATCH(1406,Eingabe!$P$9:$P$18,1),"")</f>
        <v/>
      </c>
      <c r="J1411" s="0" t="str">
        <f aca="false">IF(I1411="","",1406-INDEX(Eingabe!$P$9:$P$18,I1411))</f>
        <v/>
      </c>
      <c r="K1411" s="0" t="str">
        <f aca="false">IF(I1411="","",INDEX(Eingabe!$E$9:$E$18,I1411))</f>
        <v/>
      </c>
    </row>
    <row r="1412" customFormat="false" ht="15" hidden="false" customHeight="false" outlineLevel="0" collapsed="false">
      <c r="A1412" s="0" t="str">
        <f aca="false">IF(I1412="","",IF(J1412=0,"Sparte "&amp;I1412&amp;": "&amp;INDEX(Eingabe!$B$9:$B$18,I1412)&amp;"  (Sparten-ID "&amp;INDEX(Eingabe!$D$9:$D$18,I1412)&amp;", "&amp;K1412&amp;" Parzellen)",IF(J1412&lt;=K1412,"   Parzelle "&amp;J1412,IF(J1412=K1412+1,"   Vorstand",IF(J1412=K1412+2,"   Gäste",IF(J1412=K1412+3,"   Technik (Switches, Access Points)",""))))))</f>
        <v/>
      </c>
      <c r="B1412" s="0" t="str">
        <f aca="false">IF(I1412="","",IF(AND(J1412&gt;=1,J1412&lt;=K1412+3),IF(J1412&lt;=K1412,IF(J1412&lt;=99,IF((INDEX(Eingabe!$G$9:$G$18,I1412))&lt;=9,1000+(INDEX(Eingabe!$G$9:$G$18,I1412))*100,3000)+J1412,IF((INDEX(Eingabe!$G$9:$G$18,I1412)+1)&lt;=9,1000+(INDEX(Eingabe!$G$9:$G$18,I1412)+1)*100,3000)+J1412-100),IF(J1412=K1412+1,2000+INDEX(Eingabe!$G$9:$G$18,I1412)*10+1,IF(J1412=K1412+2,2000+INDEX(Eingabe!$G$9:$G$18,I1412)*10+2,2000+INDEX(Eingabe!$G$9:$G$18,I1412)*10+9))),""))</f>
        <v/>
      </c>
      <c r="C1412" s="0" t="str">
        <f aca="false">IF(I1412="","",IF(AND(J1412&gt;=1,J1412&lt;=K1412+3),"10."&amp;INDEX(Eingabe!$D$9:$D$18,I1412)&amp;"."&amp;IF(J1412&lt;=K1412,J1412,IF(J1412=K1412+1,200,IF(J1412=K1412+2,201,250)))&amp;".0/24",""))</f>
        <v/>
      </c>
      <c r="D1412" s="0" t="str">
        <f aca="false">IF(I1412="","",IF(AND(J1412&gt;=1,J1412&lt;=K1412+3),"255.255.255.0",""))</f>
        <v/>
      </c>
      <c r="E1412" s="0" t="str">
        <f aca="false">IF(I1412="","",IF(AND(J1412&gt;=1,J1412&lt;=K1412+3),"10."&amp;INDEX(Eingabe!$D$9:$D$18,I1412)&amp;"."&amp;IF(J1412&lt;=K1412,J1412,IF(J1412=K1412+1,200,IF(J1412=K1412+2,201,250)))&amp;".1",""))</f>
        <v/>
      </c>
      <c r="F1412" s="0" t="str">
        <f aca="false">IF(I1412="","",IF(AND(J1412&gt;=1,J1412&lt;=K1412+3),"10."&amp;INDEX(Eingabe!$D$9:$D$18,I1412)&amp;"."&amp;IF(J1412&lt;=K1412,J1412,IF(J1412=K1412+1,200,IF(J1412=K1412+2,201,250)))&amp;".10 – 10."&amp;INDEX(Eingabe!$D$9:$D$18,I1412)&amp;"."&amp;IF(J1412&lt;=K1412,J1412,IF(J1412=K1412+1,200,IF(J1412=K1412+2,201,250)))&amp;".250",""))</f>
        <v/>
      </c>
      <c r="G1412" s="0" t="str">
        <f aca="false">IF(I1412="","",IF(AND(J1412&gt;=1,J1412&lt;=K1412),Eingabe!$B$6&amp;"-"&amp;INDEX(Eingabe!$C$9:$C$18,I1412)&amp;"-Pächter  ·  Passwort Parzelle "&amp;J1412,IF(J1412=K1412+1,Eingabe!$B$6&amp;"-"&amp;INDEX(Eingabe!$C$9:$C$18,I1412)&amp;"-Vorstand  ·  eigenes WLAN",IF(J1412=K1412+2,Eingabe!$B$6&amp;"-"&amp;INDEX(Eingabe!$C$9:$C$18,I1412)&amp;"-Gäste  ·  Voucher",IF(J1412=K1412+3,"Kabel  ·  Access Point y = .(50+y), Mast-Switch x = .(10+x)","")))))</f>
        <v/>
      </c>
      <c r="I1412" s="0" t="str">
        <f aca="false">IF(1407&lt;=(Eingabe!$P$18+Eingabe!$Q$18-1),MATCH(1407,Eingabe!$P$9:$P$18,1),"")</f>
        <v/>
      </c>
      <c r="J1412" s="0" t="str">
        <f aca="false">IF(I1412="","",1407-INDEX(Eingabe!$P$9:$P$18,I1412))</f>
        <v/>
      </c>
      <c r="K1412" s="0" t="str">
        <f aca="false">IF(I1412="","",INDEX(Eingabe!$E$9:$E$18,I1412))</f>
        <v/>
      </c>
    </row>
    <row r="1413" customFormat="false" ht="15" hidden="false" customHeight="false" outlineLevel="0" collapsed="false">
      <c r="A1413" s="0" t="str">
        <f aca="false">IF(I1413="","",IF(J1413=0,"Sparte "&amp;I1413&amp;": "&amp;INDEX(Eingabe!$B$9:$B$18,I1413)&amp;"  (Sparten-ID "&amp;INDEX(Eingabe!$D$9:$D$18,I1413)&amp;", "&amp;K1413&amp;" Parzellen)",IF(J1413&lt;=K1413,"   Parzelle "&amp;J1413,IF(J1413=K1413+1,"   Vorstand",IF(J1413=K1413+2,"   Gäste",IF(J1413=K1413+3,"   Technik (Switches, Access Points)",""))))))</f>
        <v/>
      </c>
      <c r="B1413" s="0" t="str">
        <f aca="false">IF(I1413="","",IF(AND(J1413&gt;=1,J1413&lt;=K1413+3),IF(J1413&lt;=K1413,IF(J1413&lt;=99,IF((INDEX(Eingabe!$G$9:$G$18,I1413))&lt;=9,1000+(INDEX(Eingabe!$G$9:$G$18,I1413))*100,3000)+J1413,IF((INDEX(Eingabe!$G$9:$G$18,I1413)+1)&lt;=9,1000+(INDEX(Eingabe!$G$9:$G$18,I1413)+1)*100,3000)+J1413-100),IF(J1413=K1413+1,2000+INDEX(Eingabe!$G$9:$G$18,I1413)*10+1,IF(J1413=K1413+2,2000+INDEX(Eingabe!$G$9:$G$18,I1413)*10+2,2000+INDEX(Eingabe!$G$9:$G$18,I1413)*10+9))),""))</f>
        <v/>
      </c>
      <c r="C1413" s="0" t="str">
        <f aca="false">IF(I1413="","",IF(AND(J1413&gt;=1,J1413&lt;=K1413+3),"10."&amp;INDEX(Eingabe!$D$9:$D$18,I1413)&amp;"."&amp;IF(J1413&lt;=K1413,J1413,IF(J1413=K1413+1,200,IF(J1413=K1413+2,201,250)))&amp;".0/24",""))</f>
        <v/>
      </c>
      <c r="D1413" s="0" t="str">
        <f aca="false">IF(I1413="","",IF(AND(J1413&gt;=1,J1413&lt;=K1413+3),"255.255.255.0",""))</f>
        <v/>
      </c>
      <c r="E1413" s="0" t="str">
        <f aca="false">IF(I1413="","",IF(AND(J1413&gt;=1,J1413&lt;=K1413+3),"10."&amp;INDEX(Eingabe!$D$9:$D$18,I1413)&amp;"."&amp;IF(J1413&lt;=K1413,J1413,IF(J1413=K1413+1,200,IF(J1413=K1413+2,201,250)))&amp;".1",""))</f>
        <v/>
      </c>
      <c r="F1413" s="0" t="str">
        <f aca="false">IF(I1413="","",IF(AND(J1413&gt;=1,J1413&lt;=K1413+3),"10."&amp;INDEX(Eingabe!$D$9:$D$18,I1413)&amp;"."&amp;IF(J1413&lt;=K1413,J1413,IF(J1413=K1413+1,200,IF(J1413=K1413+2,201,250)))&amp;".10 – 10."&amp;INDEX(Eingabe!$D$9:$D$18,I1413)&amp;"."&amp;IF(J1413&lt;=K1413,J1413,IF(J1413=K1413+1,200,IF(J1413=K1413+2,201,250)))&amp;".250",""))</f>
        <v/>
      </c>
      <c r="G1413" s="0" t="str">
        <f aca="false">IF(I1413="","",IF(AND(J1413&gt;=1,J1413&lt;=K1413),Eingabe!$B$6&amp;"-"&amp;INDEX(Eingabe!$C$9:$C$18,I1413)&amp;"-Pächter  ·  Passwort Parzelle "&amp;J1413,IF(J1413=K1413+1,Eingabe!$B$6&amp;"-"&amp;INDEX(Eingabe!$C$9:$C$18,I1413)&amp;"-Vorstand  ·  eigenes WLAN",IF(J1413=K1413+2,Eingabe!$B$6&amp;"-"&amp;INDEX(Eingabe!$C$9:$C$18,I1413)&amp;"-Gäste  ·  Voucher",IF(J1413=K1413+3,"Kabel  ·  Access Point y = .(50+y), Mast-Switch x = .(10+x)","")))))</f>
        <v/>
      </c>
      <c r="I1413" s="0" t="str">
        <f aca="false">IF(1408&lt;=(Eingabe!$P$18+Eingabe!$Q$18-1),MATCH(1408,Eingabe!$P$9:$P$18,1),"")</f>
        <v/>
      </c>
      <c r="J1413" s="0" t="str">
        <f aca="false">IF(I1413="","",1408-INDEX(Eingabe!$P$9:$P$18,I1413))</f>
        <v/>
      </c>
      <c r="K1413" s="0" t="str">
        <f aca="false">IF(I1413="","",INDEX(Eingabe!$E$9:$E$18,I1413))</f>
        <v/>
      </c>
    </row>
    <row r="1414" customFormat="false" ht="15" hidden="false" customHeight="false" outlineLevel="0" collapsed="false">
      <c r="A1414" s="0" t="str">
        <f aca="false">IF(I1414="","",IF(J1414=0,"Sparte "&amp;I1414&amp;": "&amp;INDEX(Eingabe!$B$9:$B$18,I1414)&amp;"  (Sparten-ID "&amp;INDEX(Eingabe!$D$9:$D$18,I1414)&amp;", "&amp;K1414&amp;" Parzellen)",IF(J1414&lt;=K1414,"   Parzelle "&amp;J1414,IF(J1414=K1414+1,"   Vorstand",IF(J1414=K1414+2,"   Gäste",IF(J1414=K1414+3,"   Technik (Switches, Access Points)",""))))))</f>
        <v/>
      </c>
      <c r="B1414" s="0" t="str">
        <f aca="false">IF(I1414="","",IF(AND(J1414&gt;=1,J1414&lt;=K1414+3),IF(J1414&lt;=K1414,IF(J1414&lt;=99,IF((INDEX(Eingabe!$G$9:$G$18,I1414))&lt;=9,1000+(INDEX(Eingabe!$G$9:$G$18,I1414))*100,3000)+J1414,IF((INDEX(Eingabe!$G$9:$G$18,I1414)+1)&lt;=9,1000+(INDEX(Eingabe!$G$9:$G$18,I1414)+1)*100,3000)+J1414-100),IF(J1414=K1414+1,2000+INDEX(Eingabe!$G$9:$G$18,I1414)*10+1,IF(J1414=K1414+2,2000+INDEX(Eingabe!$G$9:$G$18,I1414)*10+2,2000+INDEX(Eingabe!$G$9:$G$18,I1414)*10+9))),""))</f>
        <v/>
      </c>
      <c r="C1414" s="0" t="str">
        <f aca="false">IF(I1414="","",IF(AND(J1414&gt;=1,J1414&lt;=K1414+3),"10."&amp;INDEX(Eingabe!$D$9:$D$18,I1414)&amp;"."&amp;IF(J1414&lt;=K1414,J1414,IF(J1414=K1414+1,200,IF(J1414=K1414+2,201,250)))&amp;".0/24",""))</f>
        <v/>
      </c>
      <c r="D1414" s="0" t="str">
        <f aca="false">IF(I1414="","",IF(AND(J1414&gt;=1,J1414&lt;=K1414+3),"255.255.255.0",""))</f>
        <v/>
      </c>
      <c r="E1414" s="0" t="str">
        <f aca="false">IF(I1414="","",IF(AND(J1414&gt;=1,J1414&lt;=K1414+3),"10."&amp;INDEX(Eingabe!$D$9:$D$18,I1414)&amp;"."&amp;IF(J1414&lt;=K1414,J1414,IF(J1414=K1414+1,200,IF(J1414=K1414+2,201,250)))&amp;".1",""))</f>
        <v/>
      </c>
      <c r="F1414" s="0" t="str">
        <f aca="false">IF(I1414="","",IF(AND(J1414&gt;=1,J1414&lt;=K1414+3),"10."&amp;INDEX(Eingabe!$D$9:$D$18,I1414)&amp;"."&amp;IF(J1414&lt;=K1414,J1414,IF(J1414=K1414+1,200,IF(J1414=K1414+2,201,250)))&amp;".10 – 10."&amp;INDEX(Eingabe!$D$9:$D$18,I1414)&amp;"."&amp;IF(J1414&lt;=K1414,J1414,IF(J1414=K1414+1,200,IF(J1414=K1414+2,201,250)))&amp;".250",""))</f>
        <v/>
      </c>
      <c r="G1414" s="0" t="str">
        <f aca="false">IF(I1414="","",IF(AND(J1414&gt;=1,J1414&lt;=K1414),Eingabe!$B$6&amp;"-"&amp;INDEX(Eingabe!$C$9:$C$18,I1414)&amp;"-Pächter  ·  Passwort Parzelle "&amp;J1414,IF(J1414=K1414+1,Eingabe!$B$6&amp;"-"&amp;INDEX(Eingabe!$C$9:$C$18,I1414)&amp;"-Vorstand  ·  eigenes WLAN",IF(J1414=K1414+2,Eingabe!$B$6&amp;"-"&amp;INDEX(Eingabe!$C$9:$C$18,I1414)&amp;"-Gäste  ·  Voucher",IF(J1414=K1414+3,"Kabel  ·  Access Point y = .(50+y), Mast-Switch x = .(10+x)","")))))</f>
        <v/>
      </c>
      <c r="I1414" s="0" t="str">
        <f aca="false">IF(1409&lt;=(Eingabe!$P$18+Eingabe!$Q$18-1),MATCH(1409,Eingabe!$P$9:$P$18,1),"")</f>
        <v/>
      </c>
      <c r="J1414" s="0" t="str">
        <f aca="false">IF(I1414="","",1409-INDEX(Eingabe!$P$9:$P$18,I1414))</f>
        <v/>
      </c>
      <c r="K1414" s="0" t="str">
        <f aca="false">IF(I1414="","",INDEX(Eingabe!$E$9:$E$18,I1414))</f>
        <v/>
      </c>
    </row>
    <row r="1415" customFormat="false" ht="15" hidden="false" customHeight="false" outlineLevel="0" collapsed="false">
      <c r="A1415" s="0" t="str">
        <f aca="false">IF(I1415="","",IF(J1415=0,"Sparte "&amp;I1415&amp;": "&amp;INDEX(Eingabe!$B$9:$B$18,I1415)&amp;"  (Sparten-ID "&amp;INDEX(Eingabe!$D$9:$D$18,I1415)&amp;", "&amp;K1415&amp;" Parzellen)",IF(J1415&lt;=K1415,"   Parzelle "&amp;J1415,IF(J1415=K1415+1,"   Vorstand",IF(J1415=K1415+2,"   Gäste",IF(J1415=K1415+3,"   Technik (Switches, Access Points)",""))))))</f>
        <v/>
      </c>
      <c r="B1415" s="0" t="str">
        <f aca="false">IF(I1415="","",IF(AND(J1415&gt;=1,J1415&lt;=K1415+3),IF(J1415&lt;=K1415,IF(J1415&lt;=99,IF((INDEX(Eingabe!$G$9:$G$18,I1415))&lt;=9,1000+(INDEX(Eingabe!$G$9:$G$18,I1415))*100,3000)+J1415,IF((INDEX(Eingabe!$G$9:$G$18,I1415)+1)&lt;=9,1000+(INDEX(Eingabe!$G$9:$G$18,I1415)+1)*100,3000)+J1415-100),IF(J1415=K1415+1,2000+INDEX(Eingabe!$G$9:$G$18,I1415)*10+1,IF(J1415=K1415+2,2000+INDEX(Eingabe!$G$9:$G$18,I1415)*10+2,2000+INDEX(Eingabe!$G$9:$G$18,I1415)*10+9))),""))</f>
        <v/>
      </c>
      <c r="C1415" s="0" t="str">
        <f aca="false">IF(I1415="","",IF(AND(J1415&gt;=1,J1415&lt;=K1415+3),"10."&amp;INDEX(Eingabe!$D$9:$D$18,I1415)&amp;"."&amp;IF(J1415&lt;=K1415,J1415,IF(J1415=K1415+1,200,IF(J1415=K1415+2,201,250)))&amp;".0/24",""))</f>
        <v/>
      </c>
      <c r="D1415" s="0" t="str">
        <f aca="false">IF(I1415="","",IF(AND(J1415&gt;=1,J1415&lt;=K1415+3),"255.255.255.0",""))</f>
        <v/>
      </c>
      <c r="E1415" s="0" t="str">
        <f aca="false">IF(I1415="","",IF(AND(J1415&gt;=1,J1415&lt;=K1415+3),"10."&amp;INDEX(Eingabe!$D$9:$D$18,I1415)&amp;"."&amp;IF(J1415&lt;=K1415,J1415,IF(J1415=K1415+1,200,IF(J1415=K1415+2,201,250)))&amp;".1",""))</f>
        <v/>
      </c>
      <c r="F1415" s="0" t="str">
        <f aca="false">IF(I1415="","",IF(AND(J1415&gt;=1,J1415&lt;=K1415+3),"10."&amp;INDEX(Eingabe!$D$9:$D$18,I1415)&amp;"."&amp;IF(J1415&lt;=K1415,J1415,IF(J1415=K1415+1,200,IF(J1415=K1415+2,201,250)))&amp;".10 – 10."&amp;INDEX(Eingabe!$D$9:$D$18,I1415)&amp;"."&amp;IF(J1415&lt;=K1415,J1415,IF(J1415=K1415+1,200,IF(J1415=K1415+2,201,250)))&amp;".250",""))</f>
        <v/>
      </c>
      <c r="G1415" s="0" t="str">
        <f aca="false">IF(I1415="","",IF(AND(J1415&gt;=1,J1415&lt;=K1415),Eingabe!$B$6&amp;"-"&amp;INDEX(Eingabe!$C$9:$C$18,I1415)&amp;"-Pächter  ·  Passwort Parzelle "&amp;J1415,IF(J1415=K1415+1,Eingabe!$B$6&amp;"-"&amp;INDEX(Eingabe!$C$9:$C$18,I1415)&amp;"-Vorstand  ·  eigenes WLAN",IF(J1415=K1415+2,Eingabe!$B$6&amp;"-"&amp;INDEX(Eingabe!$C$9:$C$18,I1415)&amp;"-Gäste  ·  Voucher",IF(J1415=K1415+3,"Kabel  ·  Access Point y = .(50+y), Mast-Switch x = .(10+x)","")))))</f>
        <v/>
      </c>
      <c r="I1415" s="0" t="str">
        <f aca="false">IF(1410&lt;=(Eingabe!$P$18+Eingabe!$Q$18-1),MATCH(1410,Eingabe!$P$9:$P$18,1),"")</f>
        <v/>
      </c>
      <c r="J1415" s="0" t="str">
        <f aca="false">IF(I1415="","",1410-INDEX(Eingabe!$P$9:$P$18,I1415))</f>
        <v/>
      </c>
      <c r="K1415" s="0" t="str">
        <f aca="false">IF(I1415="","",INDEX(Eingabe!$E$9:$E$18,I1415))</f>
        <v/>
      </c>
    </row>
    <row r="1416" customFormat="false" ht="15" hidden="false" customHeight="false" outlineLevel="0" collapsed="false">
      <c r="A1416" s="0" t="str">
        <f aca="false">IF(I1416="","",IF(J1416=0,"Sparte "&amp;I1416&amp;": "&amp;INDEX(Eingabe!$B$9:$B$18,I1416)&amp;"  (Sparten-ID "&amp;INDEX(Eingabe!$D$9:$D$18,I1416)&amp;", "&amp;K1416&amp;" Parzellen)",IF(J1416&lt;=K1416,"   Parzelle "&amp;J1416,IF(J1416=K1416+1,"   Vorstand",IF(J1416=K1416+2,"   Gäste",IF(J1416=K1416+3,"   Technik (Switches, Access Points)",""))))))</f>
        <v/>
      </c>
      <c r="B1416" s="0" t="str">
        <f aca="false">IF(I1416="","",IF(AND(J1416&gt;=1,J1416&lt;=K1416+3),IF(J1416&lt;=K1416,IF(J1416&lt;=99,IF((INDEX(Eingabe!$G$9:$G$18,I1416))&lt;=9,1000+(INDEX(Eingabe!$G$9:$G$18,I1416))*100,3000)+J1416,IF((INDEX(Eingabe!$G$9:$G$18,I1416)+1)&lt;=9,1000+(INDEX(Eingabe!$G$9:$G$18,I1416)+1)*100,3000)+J1416-100),IF(J1416=K1416+1,2000+INDEX(Eingabe!$G$9:$G$18,I1416)*10+1,IF(J1416=K1416+2,2000+INDEX(Eingabe!$G$9:$G$18,I1416)*10+2,2000+INDEX(Eingabe!$G$9:$G$18,I1416)*10+9))),""))</f>
        <v/>
      </c>
      <c r="C1416" s="0" t="str">
        <f aca="false">IF(I1416="","",IF(AND(J1416&gt;=1,J1416&lt;=K1416+3),"10."&amp;INDEX(Eingabe!$D$9:$D$18,I1416)&amp;"."&amp;IF(J1416&lt;=K1416,J1416,IF(J1416=K1416+1,200,IF(J1416=K1416+2,201,250)))&amp;".0/24",""))</f>
        <v/>
      </c>
      <c r="D1416" s="0" t="str">
        <f aca="false">IF(I1416="","",IF(AND(J1416&gt;=1,J1416&lt;=K1416+3),"255.255.255.0",""))</f>
        <v/>
      </c>
      <c r="E1416" s="0" t="str">
        <f aca="false">IF(I1416="","",IF(AND(J1416&gt;=1,J1416&lt;=K1416+3),"10."&amp;INDEX(Eingabe!$D$9:$D$18,I1416)&amp;"."&amp;IF(J1416&lt;=K1416,J1416,IF(J1416=K1416+1,200,IF(J1416=K1416+2,201,250)))&amp;".1",""))</f>
        <v/>
      </c>
      <c r="F1416" s="0" t="str">
        <f aca="false">IF(I1416="","",IF(AND(J1416&gt;=1,J1416&lt;=K1416+3),"10."&amp;INDEX(Eingabe!$D$9:$D$18,I1416)&amp;"."&amp;IF(J1416&lt;=K1416,J1416,IF(J1416=K1416+1,200,IF(J1416=K1416+2,201,250)))&amp;".10 – 10."&amp;INDEX(Eingabe!$D$9:$D$18,I1416)&amp;"."&amp;IF(J1416&lt;=K1416,J1416,IF(J1416=K1416+1,200,IF(J1416=K1416+2,201,250)))&amp;".250",""))</f>
        <v/>
      </c>
      <c r="G1416" s="0" t="str">
        <f aca="false">IF(I1416="","",IF(AND(J1416&gt;=1,J1416&lt;=K1416),Eingabe!$B$6&amp;"-"&amp;INDEX(Eingabe!$C$9:$C$18,I1416)&amp;"-Pächter  ·  Passwort Parzelle "&amp;J1416,IF(J1416=K1416+1,Eingabe!$B$6&amp;"-"&amp;INDEX(Eingabe!$C$9:$C$18,I1416)&amp;"-Vorstand  ·  eigenes WLAN",IF(J1416=K1416+2,Eingabe!$B$6&amp;"-"&amp;INDEX(Eingabe!$C$9:$C$18,I1416)&amp;"-Gäste  ·  Voucher",IF(J1416=K1416+3,"Kabel  ·  Access Point y = .(50+y), Mast-Switch x = .(10+x)","")))))</f>
        <v/>
      </c>
      <c r="I1416" s="0" t="str">
        <f aca="false">IF(1411&lt;=(Eingabe!$P$18+Eingabe!$Q$18-1),MATCH(1411,Eingabe!$P$9:$P$18,1),"")</f>
        <v/>
      </c>
      <c r="J1416" s="0" t="str">
        <f aca="false">IF(I1416="","",1411-INDEX(Eingabe!$P$9:$P$18,I1416))</f>
        <v/>
      </c>
      <c r="K1416" s="0" t="str">
        <f aca="false">IF(I1416="","",INDEX(Eingabe!$E$9:$E$18,I1416))</f>
        <v/>
      </c>
    </row>
    <row r="1417" customFormat="false" ht="15" hidden="false" customHeight="false" outlineLevel="0" collapsed="false">
      <c r="A1417" s="0" t="str">
        <f aca="false">IF(I1417="","",IF(J1417=0,"Sparte "&amp;I1417&amp;": "&amp;INDEX(Eingabe!$B$9:$B$18,I1417)&amp;"  (Sparten-ID "&amp;INDEX(Eingabe!$D$9:$D$18,I1417)&amp;", "&amp;K1417&amp;" Parzellen)",IF(J1417&lt;=K1417,"   Parzelle "&amp;J1417,IF(J1417=K1417+1,"   Vorstand",IF(J1417=K1417+2,"   Gäste",IF(J1417=K1417+3,"   Technik (Switches, Access Points)",""))))))</f>
        <v/>
      </c>
      <c r="B1417" s="0" t="str">
        <f aca="false">IF(I1417="","",IF(AND(J1417&gt;=1,J1417&lt;=K1417+3),IF(J1417&lt;=K1417,IF(J1417&lt;=99,IF((INDEX(Eingabe!$G$9:$G$18,I1417))&lt;=9,1000+(INDEX(Eingabe!$G$9:$G$18,I1417))*100,3000)+J1417,IF((INDEX(Eingabe!$G$9:$G$18,I1417)+1)&lt;=9,1000+(INDEX(Eingabe!$G$9:$G$18,I1417)+1)*100,3000)+J1417-100),IF(J1417=K1417+1,2000+INDEX(Eingabe!$G$9:$G$18,I1417)*10+1,IF(J1417=K1417+2,2000+INDEX(Eingabe!$G$9:$G$18,I1417)*10+2,2000+INDEX(Eingabe!$G$9:$G$18,I1417)*10+9))),""))</f>
        <v/>
      </c>
      <c r="C1417" s="0" t="str">
        <f aca="false">IF(I1417="","",IF(AND(J1417&gt;=1,J1417&lt;=K1417+3),"10."&amp;INDEX(Eingabe!$D$9:$D$18,I1417)&amp;"."&amp;IF(J1417&lt;=K1417,J1417,IF(J1417=K1417+1,200,IF(J1417=K1417+2,201,250)))&amp;".0/24",""))</f>
        <v/>
      </c>
      <c r="D1417" s="0" t="str">
        <f aca="false">IF(I1417="","",IF(AND(J1417&gt;=1,J1417&lt;=K1417+3),"255.255.255.0",""))</f>
        <v/>
      </c>
      <c r="E1417" s="0" t="str">
        <f aca="false">IF(I1417="","",IF(AND(J1417&gt;=1,J1417&lt;=K1417+3),"10."&amp;INDEX(Eingabe!$D$9:$D$18,I1417)&amp;"."&amp;IF(J1417&lt;=K1417,J1417,IF(J1417=K1417+1,200,IF(J1417=K1417+2,201,250)))&amp;".1",""))</f>
        <v/>
      </c>
      <c r="F1417" s="0" t="str">
        <f aca="false">IF(I1417="","",IF(AND(J1417&gt;=1,J1417&lt;=K1417+3),"10."&amp;INDEX(Eingabe!$D$9:$D$18,I1417)&amp;"."&amp;IF(J1417&lt;=K1417,J1417,IF(J1417=K1417+1,200,IF(J1417=K1417+2,201,250)))&amp;".10 – 10."&amp;INDEX(Eingabe!$D$9:$D$18,I1417)&amp;"."&amp;IF(J1417&lt;=K1417,J1417,IF(J1417=K1417+1,200,IF(J1417=K1417+2,201,250)))&amp;".250",""))</f>
        <v/>
      </c>
      <c r="G1417" s="0" t="str">
        <f aca="false">IF(I1417="","",IF(AND(J1417&gt;=1,J1417&lt;=K1417),Eingabe!$B$6&amp;"-"&amp;INDEX(Eingabe!$C$9:$C$18,I1417)&amp;"-Pächter  ·  Passwort Parzelle "&amp;J1417,IF(J1417=K1417+1,Eingabe!$B$6&amp;"-"&amp;INDEX(Eingabe!$C$9:$C$18,I1417)&amp;"-Vorstand  ·  eigenes WLAN",IF(J1417=K1417+2,Eingabe!$B$6&amp;"-"&amp;INDEX(Eingabe!$C$9:$C$18,I1417)&amp;"-Gäste  ·  Voucher",IF(J1417=K1417+3,"Kabel  ·  Access Point y = .(50+y), Mast-Switch x = .(10+x)","")))))</f>
        <v/>
      </c>
      <c r="I1417" s="0" t="str">
        <f aca="false">IF(1412&lt;=(Eingabe!$P$18+Eingabe!$Q$18-1),MATCH(1412,Eingabe!$P$9:$P$18,1),"")</f>
        <v/>
      </c>
      <c r="J1417" s="0" t="str">
        <f aca="false">IF(I1417="","",1412-INDEX(Eingabe!$P$9:$P$18,I1417))</f>
        <v/>
      </c>
      <c r="K1417" s="0" t="str">
        <f aca="false">IF(I1417="","",INDEX(Eingabe!$E$9:$E$18,I1417))</f>
        <v/>
      </c>
    </row>
    <row r="1418" customFormat="false" ht="15" hidden="false" customHeight="false" outlineLevel="0" collapsed="false">
      <c r="A1418" s="0" t="str">
        <f aca="false">IF(I1418="","",IF(J1418=0,"Sparte "&amp;I1418&amp;": "&amp;INDEX(Eingabe!$B$9:$B$18,I1418)&amp;"  (Sparten-ID "&amp;INDEX(Eingabe!$D$9:$D$18,I1418)&amp;", "&amp;K1418&amp;" Parzellen)",IF(J1418&lt;=K1418,"   Parzelle "&amp;J1418,IF(J1418=K1418+1,"   Vorstand",IF(J1418=K1418+2,"   Gäste",IF(J1418=K1418+3,"   Technik (Switches, Access Points)",""))))))</f>
        <v/>
      </c>
      <c r="B1418" s="0" t="str">
        <f aca="false">IF(I1418="","",IF(AND(J1418&gt;=1,J1418&lt;=K1418+3),IF(J1418&lt;=K1418,IF(J1418&lt;=99,IF((INDEX(Eingabe!$G$9:$G$18,I1418))&lt;=9,1000+(INDEX(Eingabe!$G$9:$G$18,I1418))*100,3000)+J1418,IF((INDEX(Eingabe!$G$9:$G$18,I1418)+1)&lt;=9,1000+(INDEX(Eingabe!$G$9:$G$18,I1418)+1)*100,3000)+J1418-100),IF(J1418=K1418+1,2000+INDEX(Eingabe!$G$9:$G$18,I1418)*10+1,IF(J1418=K1418+2,2000+INDEX(Eingabe!$G$9:$G$18,I1418)*10+2,2000+INDEX(Eingabe!$G$9:$G$18,I1418)*10+9))),""))</f>
        <v/>
      </c>
      <c r="C1418" s="0" t="str">
        <f aca="false">IF(I1418="","",IF(AND(J1418&gt;=1,J1418&lt;=K1418+3),"10."&amp;INDEX(Eingabe!$D$9:$D$18,I1418)&amp;"."&amp;IF(J1418&lt;=K1418,J1418,IF(J1418=K1418+1,200,IF(J1418=K1418+2,201,250)))&amp;".0/24",""))</f>
        <v/>
      </c>
      <c r="D1418" s="0" t="str">
        <f aca="false">IF(I1418="","",IF(AND(J1418&gt;=1,J1418&lt;=K1418+3),"255.255.255.0",""))</f>
        <v/>
      </c>
      <c r="E1418" s="0" t="str">
        <f aca="false">IF(I1418="","",IF(AND(J1418&gt;=1,J1418&lt;=K1418+3),"10."&amp;INDEX(Eingabe!$D$9:$D$18,I1418)&amp;"."&amp;IF(J1418&lt;=K1418,J1418,IF(J1418=K1418+1,200,IF(J1418=K1418+2,201,250)))&amp;".1",""))</f>
        <v/>
      </c>
      <c r="F1418" s="0" t="str">
        <f aca="false">IF(I1418="","",IF(AND(J1418&gt;=1,J1418&lt;=K1418+3),"10."&amp;INDEX(Eingabe!$D$9:$D$18,I1418)&amp;"."&amp;IF(J1418&lt;=K1418,J1418,IF(J1418=K1418+1,200,IF(J1418=K1418+2,201,250)))&amp;".10 – 10."&amp;INDEX(Eingabe!$D$9:$D$18,I1418)&amp;"."&amp;IF(J1418&lt;=K1418,J1418,IF(J1418=K1418+1,200,IF(J1418=K1418+2,201,250)))&amp;".250",""))</f>
        <v/>
      </c>
      <c r="G1418" s="0" t="str">
        <f aca="false">IF(I1418="","",IF(AND(J1418&gt;=1,J1418&lt;=K1418),Eingabe!$B$6&amp;"-"&amp;INDEX(Eingabe!$C$9:$C$18,I1418)&amp;"-Pächter  ·  Passwort Parzelle "&amp;J1418,IF(J1418=K1418+1,Eingabe!$B$6&amp;"-"&amp;INDEX(Eingabe!$C$9:$C$18,I1418)&amp;"-Vorstand  ·  eigenes WLAN",IF(J1418=K1418+2,Eingabe!$B$6&amp;"-"&amp;INDEX(Eingabe!$C$9:$C$18,I1418)&amp;"-Gäste  ·  Voucher",IF(J1418=K1418+3,"Kabel  ·  Access Point y = .(50+y), Mast-Switch x = .(10+x)","")))))</f>
        <v/>
      </c>
      <c r="I1418" s="0" t="str">
        <f aca="false">IF(1413&lt;=(Eingabe!$P$18+Eingabe!$Q$18-1),MATCH(1413,Eingabe!$P$9:$P$18,1),"")</f>
        <v/>
      </c>
      <c r="J1418" s="0" t="str">
        <f aca="false">IF(I1418="","",1413-INDEX(Eingabe!$P$9:$P$18,I1418))</f>
        <v/>
      </c>
      <c r="K1418" s="0" t="str">
        <f aca="false">IF(I1418="","",INDEX(Eingabe!$E$9:$E$18,I1418))</f>
        <v/>
      </c>
    </row>
    <row r="1419" customFormat="false" ht="15" hidden="false" customHeight="false" outlineLevel="0" collapsed="false">
      <c r="A1419" s="0" t="str">
        <f aca="false">IF(I1419="","",IF(J1419=0,"Sparte "&amp;I1419&amp;": "&amp;INDEX(Eingabe!$B$9:$B$18,I1419)&amp;"  (Sparten-ID "&amp;INDEX(Eingabe!$D$9:$D$18,I1419)&amp;", "&amp;K1419&amp;" Parzellen)",IF(J1419&lt;=K1419,"   Parzelle "&amp;J1419,IF(J1419=K1419+1,"   Vorstand",IF(J1419=K1419+2,"   Gäste",IF(J1419=K1419+3,"   Technik (Switches, Access Points)",""))))))</f>
        <v/>
      </c>
      <c r="B1419" s="0" t="str">
        <f aca="false">IF(I1419="","",IF(AND(J1419&gt;=1,J1419&lt;=K1419+3),IF(J1419&lt;=K1419,IF(J1419&lt;=99,IF((INDEX(Eingabe!$G$9:$G$18,I1419))&lt;=9,1000+(INDEX(Eingabe!$G$9:$G$18,I1419))*100,3000)+J1419,IF((INDEX(Eingabe!$G$9:$G$18,I1419)+1)&lt;=9,1000+(INDEX(Eingabe!$G$9:$G$18,I1419)+1)*100,3000)+J1419-100),IF(J1419=K1419+1,2000+INDEX(Eingabe!$G$9:$G$18,I1419)*10+1,IF(J1419=K1419+2,2000+INDEX(Eingabe!$G$9:$G$18,I1419)*10+2,2000+INDEX(Eingabe!$G$9:$G$18,I1419)*10+9))),""))</f>
        <v/>
      </c>
      <c r="C1419" s="0" t="str">
        <f aca="false">IF(I1419="","",IF(AND(J1419&gt;=1,J1419&lt;=K1419+3),"10."&amp;INDEX(Eingabe!$D$9:$D$18,I1419)&amp;"."&amp;IF(J1419&lt;=K1419,J1419,IF(J1419=K1419+1,200,IF(J1419=K1419+2,201,250)))&amp;".0/24",""))</f>
        <v/>
      </c>
      <c r="D1419" s="0" t="str">
        <f aca="false">IF(I1419="","",IF(AND(J1419&gt;=1,J1419&lt;=K1419+3),"255.255.255.0",""))</f>
        <v/>
      </c>
      <c r="E1419" s="0" t="str">
        <f aca="false">IF(I1419="","",IF(AND(J1419&gt;=1,J1419&lt;=K1419+3),"10."&amp;INDEX(Eingabe!$D$9:$D$18,I1419)&amp;"."&amp;IF(J1419&lt;=K1419,J1419,IF(J1419=K1419+1,200,IF(J1419=K1419+2,201,250)))&amp;".1",""))</f>
        <v/>
      </c>
      <c r="F1419" s="0" t="str">
        <f aca="false">IF(I1419="","",IF(AND(J1419&gt;=1,J1419&lt;=K1419+3),"10."&amp;INDEX(Eingabe!$D$9:$D$18,I1419)&amp;"."&amp;IF(J1419&lt;=K1419,J1419,IF(J1419=K1419+1,200,IF(J1419=K1419+2,201,250)))&amp;".10 – 10."&amp;INDEX(Eingabe!$D$9:$D$18,I1419)&amp;"."&amp;IF(J1419&lt;=K1419,J1419,IF(J1419=K1419+1,200,IF(J1419=K1419+2,201,250)))&amp;".250",""))</f>
        <v/>
      </c>
      <c r="G1419" s="0" t="str">
        <f aca="false">IF(I1419="","",IF(AND(J1419&gt;=1,J1419&lt;=K1419),Eingabe!$B$6&amp;"-"&amp;INDEX(Eingabe!$C$9:$C$18,I1419)&amp;"-Pächter  ·  Passwort Parzelle "&amp;J1419,IF(J1419=K1419+1,Eingabe!$B$6&amp;"-"&amp;INDEX(Eingabe!$C$9:$C$18,I1419)&amp;"-Vorstand  ·  eigenes WLAN",IF(J1419=K1419+2,Eingabe!$B$6&amp;"-"&amp;INDEX(Eingabe!$C$9:$C$18,I1419)&amp;"-Gäste  ·  Voucher",IF(J1419=K1419+3,"Kabel  ·  Access Point y = .(50+y), Mast-Switch x = .(10+x)","")))))</f>
        <v/>
      </c>
      <c r="I1419" s="0" t="str">
        <f aca="false">IF(1414&lt;=(Eingabe!$P$18+Eingabe!$Q$18-1),MATCH(1414,Eingabe!$P$9:$P$18,1),"")</f>
        <v/>
      </c>
      <c r="J1419" s="0" t="str">
        <f aca="false">IF(I1419="","",1414-INDEX(Eingabe!$P$9:$P$18,I1419))</f>
        <v/>
      </c>
      <c r="K1419" s="0" t="str">
        <f aca="false">IF(I1419="","",INDEX(Eingabe!$E$9:$E$18,I1419))</f>
        <v/>
      </c>
    </row>
    <row r="1420" customFormat="false" ht="15" hidden="false" customHeight="false" outlineLevel="0" collapsed="false">
      <c r="A1420" s="0" t="str">
        <f aca="false">IF(I1420="","",IF(J1420=0,"Sparte "&amp;I1420&amp;": "&amp;INDEX(Eingabe!$B$9:$B$18,I1420)&amp;"  (Sparten-ID "&amp;INDEX(Eingabe!$D$9:$D$18,I1420)&amp;", "&amp;K1420&amp;" Parzellen)",IF(J1420&lt;=K1420,"   Parzelle "&amp;J1420,IF(J1420=K1420+1,"   Vorstand",IF(J1420=K1420+2,"   Gäste",IF(J1420=K1420+3,"   Technik (Switches, Access Points)",""))))))</f>
        <v/>
      </c>
      <c r="B1420" s="0" t="str">
        <f aca="false">IF(I1420="","",IF(AND(J1420&gt;=1,J1420&lt;=K1420+3),IF(J1420&lt;=K1420,IF(J1420&lt;=99,IF((INDEX(Eingabe!$G$9:$G$18,I1420))&lt;=9,1000+(INDEX(Eingabe!$G$9:$G$18,I1420))*100,3000)+J1420,IF((INDEX(Eingabe!$G$9:$G$18,I1420)+1)&lt;=9,1000+(INDEX(Eingabe!$G$9:$G$18,I1420)+1)*100,3000)+J1420-100),IF(J1420=K1420+1,2000+INDEX(Eingabe!$G$9:$G$18,I1420)*10+1,IF(J1420=K1420+2,2000+INDEX(Eingabe!$G$9:$G$18,I1420)*10+2,2000+INDEX(Eingabe!$G$9:$G$18,I1420)*10+9))),""))</f>
        <v/>
      </c>
      <c r="C1420" s="0" t="str">
        <f aca="false">IF(I1420="","",IF(AND(J1420&gt;=1,J1420&lt;=K1420+3),"10."&amp;INDEX(Eingabe!$D$9:$D$18,I1420)&amp;"."&amp;IF(J1420&lt;=K1420,J1420,IF(J1420=K1420+1,200,IF(J1420=K1420+2,201,250)))&amp;".0/24",""))</f>
        <v/>
      </c>
      <c r="D1420" s="0" t="str">
        <f aca="false">IF(I1420="","",IF(AND(J1420&gt;=1,J1420&lt;=K1420+3),"255.255.255.0",""))</f>
        <v/>
      </c>
      <c r="E1420" s="0" t="str">
        <f aca="false">IF(I1420="","",IF(AND(J1420&gt;=1,J1420&lt;=K1420+3),"10."&amp;INDEX(Eingabe!$D$9:$D$18,I1420)&amp;"."&amp;IF(J1420&lt;=K1420,J1420,IF(J1420=K1420+1,200,IF(J1420=K1420+2,201,250)))&amp;".1",""))</f>
        <v/>
      </c>
      <c r="F1420" s="0" t="str">
        <f aca="false">IF(I1420="","",IF(AND(J1420&gt;=1,J1420&lt;=K1420+3),"10."&amp;INDEX(Eingabe!$D$9:$D$18,I1420)&amp;"."&amp;IF(J1420&lt;=K1420,J1420,IF(J1420=K1420+1,200,IF(J1420=K1420+2,201,250)))&amp;".10 – 10."&amp;INDEX(Eingabe!$D$9:$D$18,I1420)&amp;"."&amp;IF(J1420&lt;=K1420,J1420,IF(J1420=K1420+1,200,IF(J1420=K1420+2,201,250)))&amp;".250",""))</f>
        <v/>
      </c>
      <c r="G1420" s="0" t="str">
        <f aca="false">IF(I1420="","",IF(AND(J1420&gt;=1,J1420&lt;=K1420),Eingabe!$B$6&amp;"-"&amp;INDEX(Eingabe!$C$9:$C$18,I1420)&amp;"-Pächter  ·  Passwort Parzelle "&amp;J1420,IF(J1420=K1420+1,Eingabe!$B$6&amp;"-"&amp;INDEX(Eingabe!$C$9:$C$18,I1420)&amp;"-Vorstand  ·  eigenes WLAN",IF(J1420=K1420+2,Eingabe!$B$6&amp;"-"&amp;INDEX(Eingabe!$C$9:$C$18,I1420)&amp;"-Gäste  ·  Voucher",IF(J1420=K1420+3,"Kabel  ·  Access Point y = .(50+y), Mast-Switch x = .(10+x)","")))))</f>
        <v/>
      </c>
      <c r="I1420" s="0" t="str">
        <f aca="false">IF(1415&lt;=(Eingabe!$P$18+Eingabe!$Q$18-1),MATCH(1415,Eingabe!$P$9:$P$18,1),"")</f>
        <v/>
      </c>
      <c r="J1420" s="0" t="str">
        <f aca="false">IF(I1420="","",1415-INDEX(Eingabe!$P$9:$P$18,I1420))</f>
        <v/>
      </c>
      <c r="K1420" s="0" t="str">
        <f aca="false">IF(I1420="","",INDEX(Eingabe!$E$9:$E$18,I1420))</f>
        <v/>
      </c>
    </row>
    <row r="1421" customFormat="false" ht="15" hidden="false" customHeight="false" outlineLevel="0" collapsed="false">
      <c r="A1421" s="0" t="str">
        <f aca="false">IF(I1421="","",IF(J1421=0,"Sparte "&amp;I1421&amp;": "&amp;INDEX(Eingabe!$B$9:$B$18,I1421)&amp;"  (Sparten-ID "&amp;INDEX(Eingabe!$D$9:$D$18,I1421)&amp;", "&amp;K1421&amp;" Parzellen)",IF(J1421&lt;=K1421,"   Parzelle "&amp;J1421,IF(J1421=K1421+1,"   Vorstand",IF(J1421=K1421+2,"   Gäste",IF(J1421=K1421+3,"   Technik (Switches, Access Points)",""))))))</f>
        <v/>
      </c>
      <c r="B1421" s="0" t="str">
        <f aca="false">IF(I1421="","",IF(AND(J1421&gt;=1,J1421&lt;=K1421+3),IF(J1421&lt;=K1421,IF(J1421&lt;=99,IF((INDEX(Eingabe!$G$9:$G$18,I1421))&lt;=9,1000+(INDEX(Eingabe!$G$9:$G$18,I1421))*100,3000)+J1421,IF((INDEX(Eingabe!$G$9:$G$18,I1421)+1)&lt;=9,1000+(INDEX(Eingabe!$G$9:$G$18,I1421)+1)*100,3000)+J1421-100),IF(J1421=K1421+1,2000+INDEX(Eingabe!$G$9:$G$18,I1421)*10+1,IF(J1421=K1421+2,2000+INDEX(Eingabe!$G$9:$G$18,I1421)*10+2,2000+INDEX(Eingabe!$G$9:$G$18,I1421)*10+9))),""))</f>
        <v/>
      </c>
      <c r="C1421" s="0" t="str">
        <f aca="false">IF(I1421="","",IF(AND(J1421&gt;=1,J1421&lt;=K1421+3),"10."&amp;INDEX(Eingabe!$D$9:$D$18,I1421)&amp;"."&amp;IF(J1421&lt;=K1421,J1421,IF(J1421=K1421+1,200,IF(J1421=K1421+2,201,250)))&amp;".0/24",""))</f>
        <v/>
      </c>
      <c r="D1421" s="0" t="str">
        <f aca="false">IF(I1421="","",IF(AND(J1421&gt;=1,J1421&lt;=K1421+3),"255.255.255.0",""))</f>
        <v/>
      </c>
      <c r="E1421" s="0" t="str">
        <f aca="false">IF(I1421="","",IF(AND(J1421&gt;=1,J1421&lt;=K1421+3),"10."&amp;INDEX(Eingabe!$D$9:$D$18,I1421)&amp;"."&amp;IF(J1421&lt;=K1421,J1421,IF(J1421=K1421+1,200,IF(J1421=K1421+2,201,250)))&amp;".1",""))</f>
        <v/>
      </c>
      <c r="F1421" s="0" t="str">
        <f aca="false">IF(I1421="","",IF(AND(J1421&gt;=1,J1421&lt;=K1421+3),"10."&amp;INDEX(Eingabe!$D$9:$D$18,I1421)&amp;"."&amp;IF(J1421&lt;=K1421,J1421,IF(J1421=K1421+1,200,IF(J1421=K1421+2,201,250)))&amp;".10 – 10."&amp;INDEX(Eingabe!$D$9:$D$18,I1421)&amp;"."&amp;IF(J1421&lt;=K1421,J1421,IF(J1421=K1421+1,200,IF(J1421=K1421+2,201,250)))&amp;".250",""))</f>
        <v/>
      </c>
      <c r="G1421" s="0" t="str">
        <f aca="false">IF(I1421="","",IF(AND(J1421&gt;=1,J1421&lt;=K1421),Eingabe!$B$6&amp;"-"&amp;INDEX(Eingabe!$C$9:$C$18,I1421)&amp;"-Pächter  ·  Passwort Parzelle "&amp;J1421,IF(J1421=K1421+1,Eingabe!$B$6&amp;"-"&amp;INDEX(Eingabe!$C$9:$C$18,I1421)&amp;"-Vorstand  ·  eigenes WLAN",IF(J1421=K1421+2,Eingabe!$B$6&amp;"-"&amp;INDEX(Eingabe!$C$9:$C$18,I1421)&amp;"-Gäste  ·  Voucher",IF(J1421=K1421+3,"Kabel  ·  Access Point y = .(50+y), Mast-Switch x = .(10+x)","")))))</f>
        <v/>
      </c>
      <c r="I1421" s="0" t="str">
        <f aca="false">IF(1416&lt;=(Eingabe!$P$18+Eingabe!$Q$18-1),MATCH(1416,Eingabe!$P$9:$P$18,1),"")</f>
        <v/>
      </c>
      <c r="J1421" s="0" t="str">
        <f aca="false">IF(I1421="","",1416-INDEX(Eingabe!$P$9:$P$18,I1421))</f>
        <v/>
      </c>
      <c r="K1421" s="0" t="str">
        <f aca="false">IF(I1421="","",INDEX(Eingabe!$E$9:$E$18,I1421))</f>
        <v/>
      </c>
    </row>
    <row r="1422" customFormat="false" ht="15" hidden="false" customHeight="false" outlineLevel="0" collapsed="false">
      <c r="A1422" s="0" t="str">
        <f aca="false">IF(I1422="","",IF(J1422=0,"Sparte "&amp;I1422&amp;": "&amp;INDEX(Eingabe!$B$9:$B$18,I1422)&amp;"  (Sparten-ID "&amp;INDEX(Eingabe!$D$9:$D$18,I1422)&amp;", "&amp;K1422&amp;" Parzellen)",IF(J1422&lt;=K1422,"   Parzelle "&amp;J1422,IF(J1422=K1422+1,"   Vorstand",IF(J1422=K1422+2,"   Gäste",IF(J1422=K1422+3,"   Technik (Switches, Access Points)",""))))))</f>
        <v/>
      </c>
      <c r="B1422" s="0" t="str">
        <f aca="false">IF(I1422="","",IF(AND(J1422&gt;=1,J1422&lt;=K1422+3),IF(J1422&lt;=K1422,IF(J1422&lt;=99,IF((INDEX(Eingabe!$G$9:$G$18,I1422))&lt;=9,1000+(INDEX(Eingabe!$G$9:$G$18,I1422))*100,3000)+J1422,IF((INDEX(Eingabe!$G$9:$G$18,I1422)+1)&lt;=9,1000+(INDEX(Eingabe!$G$9:$G$18,I1422)+1)*100,3000)+J1422-100),IF(J1422=K1422+1,2000+INDEX(Eingabe!$G$9:$G$18,I1422)*10+1,IF(J1422=K1422+2,2000+INDEX(Eingabe!$G$9:$G$18,I1422)*10+2,2000+INDEX(Eingabe!$G$9:$G$18,I1422)*10+9))),""))</f>
        <v/>
      </c>
      <c r="C1422" s="0" t="str">
        <f aca="false">IF(I1422="","",IF(AND(J1422&gt;=1,J1422&lt;=K1422+3),"10."&amp;INDEX(Eingabe!$D$9:$D$18,I1422)&amp;"."&amp;IF(J1422&lt;=K1422,J1422,IF(J1422=K1422+1,200,IF(J1422=K1422+2,201,250)))&amp;".0/24",""))</f>
        <v/>
      </c>
      <c r="D1422" s="0" t="str">
        <f aca="false">IF(I1422="","",IF(AND(J1422&gt;=1,J1422&lt;=K1422+3),"255.255.255.0",""))</f>
        <v/>
      </c>
      <c r="E1422" s="0" t="str">
        <f aca="false">IF(I1422="","",IF(AND(J1422&gt;=1,J1422&lt;=K1422+3),"10."&amp;INDEX(Eingabe!$D$9:$D$18,I1422)&amp;"."&amp;IF(J1422&lt;=K1422,J1422,IF(J1422=K1422+1,200,IF(J1422=K1422+2,201,250)))&amp;".1",""))</f>
        <v/>
      </c>
      <c r="F1422" s="0" t="str">
        <f aca="false">IF(I1422="","",IF(AND(J1422&gt;=1,J1422&lt;=K1422+3),"10."&amp;INDEX(Eingabe!$D$9:$D$18,I1422)&amp;"."&amp;IF(J1422&lt;=K1422,J1422,IF(J1422=K1422+1,200,IF(J1422=K1422+2,201,250)))&amp;".10 – 10."&amp;INDEX(Eingabe!$D$9:$D$18,I1422)&amp;"."&amp;IF(J1422&lt;=K1422,J1422,IF(J1422=K1422+1,200,IF(J1422=K1422+2,201,250)))&amp;".250",""))</f>
        <v/>
      </c>
      <c r="G1422" s="0" t="str">
        <f aca="false">IF(I1422="","",IF(AND(J1422&gt;=1,J1422&lt;=K1422),Eingabe!$B$6&amp;"-"&amp;INDEX(Eingabe!$C$9:$C$18,I1422)&amp;"-Pächter  ·  Passwort Parzelle "&amp;J1422,IF(J1422=K1422+1,Eingabe!$B$6&amp;"-"&amp;INDEX(Eingabe!$C$9:$C$18,I1422)&amp;"-Vorstand  ·  eigenes WLAN",IF(J1422=K1422+2,Eingabe!$B$6&amp;"-"&amp;INDEX(Eingabe!$C$9:$C$18,I1422)&amp;"-Gäste  ·  Voucher",IF(J1422=K1422+3,"Kabel  ·  Access Point y = .(50+y), Mast-Switch x = .(10+x)","")))))</f>
        <v/>
      </c>
      <c r="I1422" s="0" t="str">
        <f aca="false">IF(1417&lt;=(Eingabe!$P$18+Eingabe!$Q$18-1),MATCH(1417,Eingabe!$P$9:$P$18,1),"")</f>
        <v/>
      </c>
      <c r="J1422" s="0" t="str">
        <f aca="false">IF(I1422="","",1417-INDEX(Eingabe!$P$9:$P$18,I1422))</f>
        <v/>
      </c>
      <c r="K1422" s="0" t="str">
        <f aca="false">IF(I1422="","",INDEX(Eingabe!$E$9:$E$18,I1422))</f>
        <v/>
      </c>
    </row>
    <row r="1423" customFormat="false" ht="15" hidden="false" customHeight="false" outlineLevel="0" collapsed="false">
      <c r="A1423" s="0" t="str">
        <f aca="false">IF(I1423="","",IF(J1423=0,"Sparte "&amp;I1423&amp;": "&amp;INDEX(Eingabe!$B$9:$B$18,I1423)&amp;"  (Sparten-ID "&amp;INDEX(Eingabe!$D$9:$D$18,I1423)&amp;", "&amp;K1423&amp;" Parzellen)",IF(J1423&lt;=K1423,"   Parzelle "&amp;J1423,IF(J1423=K1423+1,"   Vorstand",IF(J1423=K1423+2,"   Gäste",IF(J1423=K1423+3,"   Technik (Switches, Access Points)",""))))))</f>
        <v/>
      </c>
      <c r="B1423" s="0" t="str">
        <f aca="false">IF(I1423="","",IF(AND(J1423&gt;=1,J1423&lt;=K1423+3),IF(J1423&lt;=K1423,IF(J1423&lt;=99,IF((INDEX(Eingabe!$G$9:$G$18,I1423))&lt;=9,1000+(INDEX(Eingabe!$G$9:$G$18,I1423))*100,3000)+J1423,IF((INDEX(Eingabe!$G$9:$G$18,I1423)+1)&lt;=9,1000+(INDEX(Eingabe!$G$9:$G$18,I1423)+1)*100,3000)+J1423-100),IF(J1423=K1423+1,2000+INDEX(Eingabe!$G$9:$G$18,I1423)*10+1,IF(J1423=K1423+2,2000+INDEX(Eingabe!$G$9:$G$18,I1423)*10+2,2000+INDEX(Eingabe!$G$9:$G$18,I1423)*10+9))),""))</f>
        <v/>
      </c>
      <c r="C1423" s="0" t="str">
        <f aca="false">IF(I1423="","",IF(AND(J1423&gt;=1,J1423&lt;=K1423+3),"10."&amp;INDEX(Eingabe!$D$9:$D$18,I1423)&amp;"."&amp;IF(J1423&lt;=K1423,J1423,IF(J1423=K1423+1,200,IF(J1423=K1423+2,201,250)))&amp;".0/24",""))</f>
        <v/>
      </c>
      <c r="D1423" s="0" t="str">
        <f aca="false">IF(I1423="","",IF(AND(J1423&gt;=1,J1423&lt;=K1423+3),"255.255.255.0",""))</f>
        <v/>
      </c>
      <c r="E1423" s="0" t="str">
        <f aca="false">IF(I1423="","",IF(AND(J1423&gt;=1,J1423&lt;=K1423+3),"10."&amp;INDEX(Eingabe!$D$9:$D$18,I1423)&amp;"."&amp;IF(J1423&lt;=K1423,J1423,IF(J1423=K1423+1,200,IF(J1423=K1423+2,201,250)))&amp;".1",""))</f>
        <v/>
      </c>
      <c r="F1423" s="0" t="str">
        <f aca="false">IF(I1423="","",IF(AND(J1423&gt;=1,J1423&lt;=K1423+3),"10."&amp;INDEX(Eingabe!$D$9:$D$18,I1423)&amp;"."&amp;IF(J1423&lt;=K1423,J1423,IF(J1423=K1423+1,200,IF(J1423=K1423+2,201,250)))&amp;".10 – 10."&amp;INDEX(Eingabe!$D$9:$D$18,I1423)&amp;"."&amp;IF(J1423&lt;=K1423,J1423,IF(J1423=K1423+1,200,IF(J1423=K1423+2,201,250)))&amp;".250",""))</f>
        <v/>
      </c>
      <c r="G1423" s="0" t="str">
        <f aca="false">IF(I1423="","",IF(AND(J1423&gt;=1,J1423&lt;=K1423),Eingabe!$B$6&amp;"-"&amp;INDEX(Eingabe!$C$9:$C$18,I1423)&amp;"-Pächter  ·  Passwort Parzelle "&amp;J1423,IF(J1423=K1423+1,Eingabe!$B$6&amp;"-"&amp;INDEX(Eingabe!$C$9:$C$18,I1423)&amp;"-Vorstand  ·  eigenes WLAN",IF(J1423=K1423+2,Eingabe!$B$6&amp;"-"&amp;INDEX(Eingabe!$C$9:$C$18,I1423)&amp;"-Gäste  ·  Voucher",IF(J1423=K1423+3,"Kabel  ·  Access Point y = .(50+y), Mast-Switch x = .(10+x)","")))))</f>
        <v/>
      </c>
      <c r="I1423" s="0" t="str">
        <f aca="false">IF(1418&lt;=(Eingabe!$P$18+Eingabe!$Q$18-1),MATCH(1418,Eingabe!$P$9:$P$18,1),"")</f>
        <v/>
      </c>
      <c r="J1423" s="0" t="str">
        <f aca="false">IF(I1423="","",1418-INDEX(Eingabe!$P$9:$P$18,I1423))</f>
        <v/>
      </c>
      <c r="K1423" s="0" t="str">
        <f aca="false">IF(I1423="","",INDEX(Eingabe!$E$9:$E$18,I1423))</f>
        <v/>
      </c>
    </row>
    <row r="1424" customFormat="false" ht="15" hidden="false" customHeight="false" outlineLevel="0" collapsed="false">
      <c r="A1424" s="0" t="str">
        <f aca="false">IF(I1424="","",IF(J1424=0,"Sparte "&amp;I1424&amp;": "&amp;INDEX(Eingabe!$B$9:$B$18,I1424)&amp;"  (Sparten-ID "&amp;INDEX(Eingabe!$D$9:$D$18,I1424)&amp;", "&amp;K1424&amp;" Parzellen)",IF(J1424&lt;=K1424,"   Parzelle "&amp;J1424,IF(J1424=K1424+1,"   Vorstand",IF(J1424=K1424+2,"   Gäste",IF(J1424=K1424+3,"   Technik (Switches, Access Points)",""))))))</f>
        <v/>
      </c>
      <c r="B1424" s="0" t="str">
        <f aca="false">IF(I1424="","",IF(AND(J1424&gt;=1,J1424&lt;=K1424+3),IF(J1424&lt;=K1424,IF(J1424&lt;=99,IF((INDEX(Eingabe!$G$9:$G$18,I1424))&lt;=9,1000+(INDEX(Eingabe!$G$9:$G$18,I1424))*100,3000)+J1424,IF((INDEX(Eingabe!$G$9:$G$18,I1424)+1)&lt;=9,1000+(INDEX(Eingabe!$G$9:$G$18,I1424)+1)*100,3000)+J1424-100),IF(J1424=K1424+1,2000+INDEX(Eingabe!$G$9:$G$18,I1424)*10+1,IF(J1424=K1424+2,2000+INDEX(Eingabe!$G$9:$G$18,I1424)*10+2,2000+INDEX(Eingabe!$G$9:$G$18,I1424)*10+9))),""))</f>
        <v/>
      </c>
      <c r="C1424" s="0" t="str">
        <f aca="false">IF(I1424="","",IF(AND(J1424&gt;=1,J1424&lt;=K1424+3),"10."&amp;INDEX(Eingabe!$D$9:$D$18,I1424)&amp;"."&amp;IF(J1424&lt;=K1424,J1424,IF(J1424=K1424+1,200,IF(J1424=K1424+2,201,250)))&amp;".0/24",""))</f>
        <v/>
      </c>
      <c r="D1424" s="0" t="str">
        <f aca="false">IF(I1424="","",IF(AND(J1424&gt;=1,J1424&lt;=K1424+3),"255.255.255.0",""))</f>
        <v/>
      </c>
      <c r="E1424" s="0" t="str">
        <f aca="false">IF(I1424="","",IF(AND(J1424&gt;=1,J1424&lt;=K1424+3),"10."&amp;INDEX(Eingabe!$D$9:$D$18,I1424)&amp;"."&amp;IF(J1424&lt;=K1424,J1424,IF(J1424=K1424+1,200,IF(J1424=K1424+2,201,250)))&amp;".1",""))</f>
        <v/>
      </c>
      <c r="F1424" s="0" t="str">
        <f aca="false">IF(I1424="","",IF(AND(J1424&gt;=1,J1424&lt;=K1424+3),"10."&amp;INDEX(Eingabe!$D$9:$D$18,I1424)&amp;"."&amp;IF(J1424&lt;=K1424,J1424,IF(J1424=K1424+1,200,IF(J1424=K1424+2,201,250)))&amp;".10 – 10."&amp;INDEX(Eingabe!$D$9:$D$18,I1424)&amp;"."&amp;IF(J1424&lt;=K1424,J1424,IF(J1424=K1424+1,200,IF(J1424=K1424+2,201,250)))&amp;".250",""))</f>
        <v/>
      </c>
      <c r="G1424" s="0" t="str">
        <f aca="false">IF(I1424="","",IF(AND(J1424&gt;=1,J1424&lt;=K1424),Eingabe!$B$6&amp;"-"&amp;INDEX(Eingabe!$C$9:$C$18,I1424)&amp;"-Pächter  ·  Passwort Parzelle "&amp;J1424,IF(J1424=K1424+1,Eingabe!$B$6&amp;"-"&amp;INDEX(Eingabe!$C$9:$C$18,I1424)&amp;"-Vorstand  ·  eigenes WLAN",IF(J1424=K1424+2,Eingabe!$B$6&amp;"-"&amp;INDEX(Eingabe!$C$9:$C$18,I1424)&amp;"-Gäste  ·  Voucher",IF(J1424=K1424+3,"Kabel  ·  Access Point y = .(50+y), Mast-Switch x = .(10+x)","")))))</f>
        <v/>
      </c>
      <c r="I1424" s="0" t="str">
        <f aca="false">IF(1419&lt;=(Eingabe!$P$18+Eingabe!$Q$18-1),MATCH(1419,Eingabe!$P$9:$P$18,1),"")</f>
        <v/>
      </c>
      <c r="J1424" s="0" t="str">
        <f aca="false">IF(I1424="","",1419-INDEX(Eingabe!$P$9:$P$18,I1424))</f>
        <v/>
      </c>
      <c r="K1424" s="0" t="str">
        <f aca="false">IF(I1424="","",INDEX(Eingabe!$E$9:$E$18,I1424))</f>
        <v/>
      </c>
    </row>
    <row r="1425" customFormat="false" ht="15" hidden="false" customHeight="false" outlineLevel="0" collapsed="false">
      <c r="A1425" s="0" t="str">
        <f aca="false">IF(I1425="","",IF(J1425=0,"Sparte "&amp;I1425&amp;": "&amp;INDEX(Eingabe!$B$9:$B$18,I1425)&amp;"  (Sparten-ID "&amp;INDEX(Eingabe!$D$9:$D$18,I1425)&amp;", "&amp;K1425&amp;" Parzellen)",IF(J1425&lt;=K1425,"   Parzelle "&amp;J1425,IF(J1425=K1425+1,"   Vorstand",IF(J1425=K1425+2,"   Gäste",IF(J1425=K1425+3,"   Technik (Switches, Access Points)",""))))))</f>
        <v/>
      </c>
      <c r="B1425" s="0" t="str">
        <f aca="false">IF(I1425="","",IF(AND(J1425&gt;=1,J1425&lt;=K1425+3),IF(J1425&lt;=K1425,IF(J1425&lt;=99,IF((INDEX(Eingabe!$G$9:$G$18,I1425))&lt;=9,1000+(INDEX(Eingabe!$G$9:$G$18,I1425))*100,3000)+J1425,IF((INDEX(Eingabe!$G$9:$G$18,I1425)+1)&lt;=9,1000+(INDEX(Eingabe!$G$9:$G$18,I1425)+1)*100,3000)+J1425-100),IF(J1425=K1425+1,2000+INDEX(Eingabe!$G$9:$G$18,I1425)*10+1,IF(J1425=K1425+2,2000+INDEX(Eingabe!$G$9:$G$18,I1425)*10+2,2000+INDEX(Eingabe!$G$9:$G$18,I1425)*10+9))),""))</f>
        <v/>
      </c>
      <c r="C1425" s="0" t="str">
        <f aca="false">IF(I1425="","",IF(AND(J1425&gt;=1,J1425&lt;=K1425+3),"10."&amp;INDEX(Eingabe!$D$9:$D$18,I1425)&amp;"."&amp;IF(J1425&lt;=K1425,J1425,IF(J1425=K1425+1,200,IF(J1425=K1425+2,201,250)))&amp;".0/24",""))</f>
        <v/>
      </c>
      <c r="D1425" s="0" t="str">
        <f aca="false">IF(I1425="","",IF(AND(J1425&gt;=1,J1425&lt;=K1425+3),"255.255.255.0",""))</f>
        <v/>
      </c>
      <c r="E1425" s="0" t="str">
        <f aca="false">IF(I1425="","",IF(AND(J1425&gt;=1,J1425&lt;=K1425+3),"10."&amp;INDEX(Eingabe!$D$9:$D$18,I1425)&amp;"."&amp;IF(J1425&lt;=K1425,J1425,IF(J1425=K1425+1,200,IF(J1425=K1425+2,201,250)))&amp;".1",""))</f>
        <v/>
      </c>
      <c r="F1425" s="0" t="str">
        <f aca="false">IF(I1425="","",IF(AND(J1425&gt;=1,J1425&lt;=K1425+3),"10."&amp;INDEX(Eingabe!$D$9:$D$18,I1425)&amp;"."&amp;IF(J1425&lt;=K1425,J1425,IF(J1425=K1425+1,200,IF(J1425=K1425+2,201,250)))&amp;".10 – 10."&amp;INDEX(Eingabe!$D$9:$D$18,I1425)&amp;"."&amp;IF(J1425&lt;=K1425,J1425,IF(J1425=K1425+1,200,IF(J1425=K1425+2,201,250)))&amp;".250",""))</f>
        <v/>
      </c>
      <c r="G1425" s="0" t="str">
        <f aca="false">IF(I1425="","",IF(AND(J1425&gt;=1,J1425&lt;=K1425),Eingabe!$B$6&amp;"-"&amp;INDEX(Eingabe!$C$9:$C$18,I1425)&amp;"-Pächter  ·  Passwort Parzelle "&amp;J1425,IF(J1425=K1425+1,Eingabe!$B$6&amp;"-"&amp;INDEX(Eingabe!$C$9:$C$18,I1425)&amp;"-Vorstand  ·  eigenes WLAN",IF(J1425=K1425+2,Eingabe!$B$6&amp;"-"&amp;INDEX(Eingabe!$C$9:$C$18,I1425)&amp;"-Gäste  ·  Voucher",IF(J1425=K1425+3,"Kabel  ·  Access Point y = .(50+y), Mast-Switch x = .(10+x)","")))))</f>
        <v/>
      </c>
      <c r="I1425" s="0" t="str">
        <f aca="false">IF(1420&lt;=(Eingabe!$P$18+Eingabe!$Q$18-1),MATCH(1420,Eingabe!$P$9:$P$18,1),"")</f>
        <v/>
      </c>
      <c r="J1425" s="0" t="str">
        <f aca="false">IF(I1425="","",1420-INDEX(Eingabe!$P$9:$P$18,I1425))</f>
        <v/>
      </c>
      <c r="K1425" s="0" t="str">
        <f aca="false">IF(I1425="","",INDEX(Eingabe!$E$9:$E$18,I1425))</f>
        <v/>
      </c>
    </row>
    <row r="1426" customFormat="false" ht="15" hidden="false" customHeight="false" outlineLevel="0" collapsed="false">
      <c r="A1426" s="0" t="str">
        <f aca="false">IF(I1426="","",IF(J1426=0,"Sparte "&amp;I1426&amp;": "&amp;INDEX(Eingabe!$B$9:$B$18,I1426)&amp;"  (Sparten-ID "&amp;INDEX(Eingabe!$D$9:$D$18,I1426)&amp;", "&amp;K1426&amp;" Parzellen)",IF(J1426&lt;=K1426,"   Parzelle "&amp;J1426,IF(J1426=K1426+1,"   Vorstand",IF(J1426=K1426+2,"   Gäste",IF(J1426=K1426+3,"   Technik (Switches, Access Points)",""))))))</f>
        <v/>
      </c>
      <c r="B1426" s="0" t="str">
        <f aca="false">IF(I1426="","",IF(AND(J1426&gt;=1,J1426&lt;=K1426+3),IF(J1426&lt;=K1426,IF(J1426&lt;=99,IF((INDEX(Eingabe!$G$9:$G$18,I1426))&lt;=9,1000+(INDEX(Eingabe!$G$9:$G$18,I1426))*100,3000)+J1426,IF((INDEX(Eingabe!$G$9:$G$18,I1426)+1)&lt;=9,1000+(INDEX(Eingabe!$G$9:$G$18,I1426)+1)*100,3000)+J1426-100),IF(J1426=K1426+1,2000+INDEX(Eingabe!$G$9:$G$18,I1426)*10+1,IF(J1426=K1426+2,2000+INDEX(Eingabe!$G$9:$G$18,I1426)*10+2,2000+INDEX(Eingabe!$G$9:$G$18,I1426)*10+9))),""))</f>
        <v/>
      </c>
      <c r="C1426" s="0" t="str">
        <f aca="false">IF(I1426="","",IF(AND(J1426&gt;=1,J1426&lt;=K1426+3),"10."&amp;INDEX(Eingabe!$D$9:$D$18,I1426)&amp;"."&amp;IF(J1426&lt;=K1426,J1426,IF(J1426=K1426+1,200,IF(J1426=K1426+2,201,250)))&amp;".0/24",""))</f>
        <v/>
      </c>
      <c r="D1426" s="0" t="str">
        <f aca="false">IF(I1426="","",IF(AND(J1426&gt;=1,J1426&lt;=K1426+3),"255.255.255.0",""))</f>
        <v/>
      </c>
      <c r="E1426" s="0" t="str">
        <f aca="false">IF(I1426="","",IF(AND(J1426&gt;=1,J1426&lt;=K1426+3),"10."&amp;INDEX(Eingabe!$D$9:$D$18,I1426)&amp;"."&amp;IF(J1426&lt;=K1426,J1426,IF(J1426=K1426+1,200,IF(J1426=K1426+2,201,250)))&amp;".1",""))</f>
        <v/>
      </c>
      <c r="F1426" s="0" t="str">
        <f aca="false">IF(I1426="","",IF(AND(J1426&gt;=1,J1426&lt;=K1426+3),"10."&amp;INDEX(Eingabe!$D$9:$D$18,I1426)&amp;"."&amp;IF(J1426&lt;=K1426,J1426,IF(J1426=K1426+1,200,IF(J1426=K1426+2,201,250)))&amp;".10 – 10."&amp;INDEX(Eingabe!$D$9:$D$18,I1426)&amp;"."&amp;IF(J1426&lt;=K1426,J1426,IF(J1426=K1426+1,200,IF(J1426=K1426+2,201,250)))&amp;".250",""))</f>
        <v/>
      </c>
      <c r="G1426" s="0" t="str">
        <f aca="false">IF(I1426="","",IF(AND(J1426&gt;=1,J1426&lt;=K1426),Eingabe!$B$6&amp;"-"&amp;INDEX(Eingabe!$C$9:$C$18,I1426)&amp;"-Pächter  ·  Passwort Parzelle "&amp;J1426,IF(J1426=K1426+1,Eingabe!$B$6&amp;"-"&amp;INDEX(Eingabe!$C$9:$C$18,I1426)&amp;"-Vorstand  ·  eigenes WLAN",IF(J1426=K1426+2,Eingabe!$B$6&amp;"-"&amp;INDEX(Eingabe!$C$9:$C$18,I1426)&amp;"-Gäste  ·  Voucher",IF(J1426=K1426+3,"Kabel  ·  Access Point y = .(50+y), Mast-Switch x = .(10+x)","")))))</f>
        <v/>
      </c>
      <c r="I1426" s="0" t="str">
        <f aca="false">IF(1421&lt;=(Eingabe!$P$18+Eingabe!$Q$18-1),MATCH(1421,Eingabe!$P$9:$P$18,1),"")</f>
        <v/>
      </c>
      <c r="J1426" s="0" t="str">
        <f aca="false">IF(I1426="","",1421-INDEX(Eingabe!$P$9:$P$18,I1426))</f>
        <v/>
      </c>
      <c r="K1426" s="0" t="str">
        <f aca="false">IF(I1426="","",INDEX(Eingabe!$E$9:$E$18,I1426))</f>
        <v/>
      </c>
    </row>
    <row r="1427" customFormat="false" ht="15" hidden="false" customHeight="false" outlineLevel="0" collapsed="false">
      <c r="A1427" s="0" t="str">
        <f aca="false">IF(I1427="","",IF(J1427=0,"Sparte "&amp;I1427&amp;": "&amp;INDEX(Eingabe!$B$9:$B$18,I1427)&amp;"  (Sparten-ID "&amp;INDEX(Eingabe!$D$9:$D$18,I1427)&amp;", "&amp;K1427&amp;" Parzellen)",IF(J1427&lt;=K1427,"   Parzelle "&amp;J1427,IF(J1427=K1427+1,"   Vorstand",IF(J1427=K1427+2,"   Gäste",IF(J1427=K1427+3,"   Technik (Switches, Access Points)",""))))))</f>
        <v/>
      </c>
      <c r="B1427" s="0" t="str">
        <f aca="false">IF(I1427="","",IF(AND(J1427&gt;=1,J1427&lt;=K1427+3),IF(J1427&lt;=K1427,IF(J1427&lt;=99,IF((INDEX(Eingabe!$G$9:$G$18,I1427))&lt;=9,1000+(INDEX(Eingabe!$G$9:$G$18,I1427))*100,3000)+J1427,IF((INDEX(Eingabe!$G$9:$G$18,I1427)+1)&lt;=9,1000+(INDEX(Eingabe!$G$9:$G$18,I1427)+1)*100,3000)+J1427-100),IF(J1427=K1427+1,2000+INDEX(Eingabe!$G$9:$G$18,I1427)*10+1,IF(J1427=K1427+2,2000+INDEX(Eingabe!$G$9:$G$18,I1427)*10+2,2000+INDEX(Eingabe!$G$9:$G$18,I1427)*10+9))),""))</f>
        <v/>
      </c>
      <c r="C1427" s="0" t="str">
        <f aca="false">IF(I1427="","",IF(AND(J1427&gt;=1,J1427&lt;=K1427+3),"10."&amp;INDEX(Eingabe!$D$9:$D$18,I1427)&amp;"."&amp;IF(J1427&lt;=K1427,J1427,IF(J1427=K1427+1,200,IF(J1427=K1427+2,201,250)))&amp;".0/24",""))</f>
        <v/>
      </c>
      <c r="D1427" s="0" t="str">
        <f aca="false">IF(I1427="","",IF(AND(J1427&gt;=1,J1427&lt;=K1427+3),"255.255.255.0",""))</f>
        <v/>
      </c>
      <c r="E1427" s="0" t="str">
        <f aca="false">IF(I1427="","",IF(AND(J1427&gt;=1,J1427&lt;=K1427+3),"10."&amp;INDEX(Eingabe!$D$9:$D$18,I1427)&amp;"."&amp;IF(J1427&lt;=K1427,J1427,IF(J1427=K1427+1,200,IF(J1427=K1427+2,201,250)))&amp;".1",""))</f>
        <v/>
      </c>
      <c r="F1427" s="0" t="str">
        <f aca="false">IF(I1427="","",IF(AND(J1427&gt;=1,J1427&lt;=K1427+3),"10."&amp;INDEX(Eingabe!$D$9:$D$18,I1427)&amp;"."&amp;IF(J1427&lt;=K1427,J1427,IF(J1427=K1427+1,200,IF(J1427=K1427+2,201,250)))&amp;".10 – 10."&amp;INDEX(Eingabe!$D$9:$D$18,I1427)&amp;"."&amp;IF(J1427&lt;=K1427,J1427,IF(J1427=K1427+1,200,IF(J1427=K1427+2,201,250)))&amp;".250",""))</f>
        <v/>
      </c>
      <c r="G1427" s="0" t="str">
        <f aca="false">IF(I1427="","",IF(AND(J1427&gt;=1,J1427&lt;=K1427),Eingabe!$B$6&amp;"-"&amp;INDEX(Eingabe!$C$9:$C$18,I1427)&amp;"-Pächter  ·  Passwort Parzelle "&amp;J1427,IF(J1427=K1427+1,Eingabe!$B$6&amp;"-"&amp;INDEX(Eingabe!$C$9:$C$18,I1427)&amp;"-Vorstand  ·  eigenes WLAN",IF(J1427=K1427+2,Eingabe!$B$6&amp;"-"&amp;INDEX(Eingabe!$C$9:$C$18,I1427)&amp;"-Gäste  ·  Voucher",IF(J1427=K1427+3,"Kabel  ·  Access Point y = .(50+y), Mast-Switch x = .(10+x)","")))))</f>
        <v/>
      </c>
      <c r="I1427" s="0" t="str">
        <f aca="false">IF(1422&lt;=(Eingabe!$P$18+Eingabe!$Q$18-1),MATCH(1422,Eingabe!$P$9:$P$18,1),"")</f>
        <v/>
      </c>
      <c r="J1427" s="0" t="str">
        <f aca="false">IF(I1427="","",1422-INDEX(Eingabe!$P$9:$P$18,I1427))</f>
        <v/>
      </c>
      <c r="K1427" s="0" t="str">
        <f aca="false">IF(I1427="","",INDEX(Eingabe!$E$9:$E$18,I1427))</f>
        <v/>
      </c>
    </row>
    <row r="1428" customFormat="false" ht="15" hidden="false" customHeight="false" outlineLevel="0" collapsed="false">
      <c r="A1428" s="0" t="str">
        <f aca="false">IF(I1428="","",IF(J1428=0,"Sparte "&amp;I1428&amp;": "&amp;INDEX(Eingabe!$B$9:$B$18,I1428)&amp;"  (Sparten-ID "&amp;INDEX(Eingabe!$D$9:$D$18,I1428)&amp;", "&amp;K1428&amp;" Parzellen)",IF(J1428&lt;=K1428,"   Parzelle "&amp;J1428,IF(J1428=K1428+1,"   Vorstand",IF(J1428=K1428+2,"   Gäste",IF(J1428=K1428+3,"   Technik (Switches, Access Points)",""))))))</f>
        <v/>
      </c>
      <c r="B1428" s="0" t="str">
        <f aca="false">IF(I1428="","",IF(AND(J1428&gt;=1,J1428&lt;=K1428+3),IF(J1428&lt;=K1428,IF(J1428&lt;=99,IF((INDEX(Eingabe!$G$9:$G$18,I1428))&lt;=9,1000+(INDEX(Eingabe!$G$9:$G$18,I1428))*100,3000)+J1428,IF((INDEX(Eingabe!$G$9:$G$18,I1428)+1)&lt;=9,1000+(INDEX(Eingabe!$G$9:$G$18,I1428)+1)*100,3000)+J1428-100),IF(J1428=K1428+1,2000+INDEX(Eingabe!$G$9:$G$18,I1428)*10+1,IF(J1428=K1428+2,2000+INDEX(Eingabe!$G$9:$G$18,I1428)*10+2,2000+INDEX(Eingabe!$G$9:$G$18,I1428)*10+9))),""))</f>
        <v/>
      </c>
      <c r="C1428" s="0" t="str">
        <f aca="false">IF(I1428="","",IF(AND(J1428&gt;=1,J1428&lt;=K1428+3),"10."&amp;INDEX(Eingabe!$D$9:$D$18,I1428)&amp;"."&amp;IF(J1428&lt;=K1428,J1428,IF(J1428=K1428+1,200,IF(J1428=K1428+2,201,250)))&amp;".0/24",""))</f>
        <v/>
      </c>
      <c r="D1428" s="0" t="str">
        <f aca="false">IF(I1428="","",IF(AND(J1428&gt;=1,J1428&lt;=K1428+3),"255.255.255.0",""))</f>
        <v/>
      </c>
      <c r="E1428" s="0" t="str">
        <f aca="false">IF(I1428="","",IF(AND(J1428&gt;=1,J1428&lt;=K1428+3),"10."&amp;INDEX(Eingabe!$D$9:$D$18,I1428)&amp;"."&amp;IF(J1428&lt;=K1428,J1428,IF(J1428=K1428+1,200,IF(J1428=K1428+2,201,250)))&amp;".1",""))</f>
        <v/>
      </c>
      <c r="F1428" s="0" t="str">
        <f aca="false">IF(I1428="","",IF(AND(J1428&gt;=1,J1428&lt;=K1428+3),"10."&amp;INDEX(Eingabe!$D$9:$D$18,I1428)&amp;"."&amp;IF(J1428&lt;=K1428,J1428,IF(J1428=K1428+1,200,IF(J1428=K1428+2,201,250)))&amp;".10 – 10."&amp;INDEX(Eingabe!$D$9:$D$18,I1428)&amp;"."&amp;IF(J1428&lt;=K1428,J1428,IF(J1428=K1428+1,200,IF(J1428=K1428+2,201,250)))&amp;".250",""))</f>
        <v/>
      </c>
      <c r="G1428" s="0" t="str">
        <f aca="false">IF(I1428="","",IF(AND(J1428&gt;=1,J1428&lt;=K1428),Eingabe!$B$6&amp;"-"&amp;INDEX(Eingabe!$C$9:$C$18,I1428)&amp;"-Pächter  ·  Passwort Parzelle "&amp;J1428,IF(J1428=K1428+1,Eingabe!$B$6&amp;"-"&amp;INDEX(Eingabe!$C$9:$C$18,I1428)&amp;"-Vorstand  ·  eigenes WLAN",IF(J1428=K1428+2,Eingabe!$B$6&amp;"-"&amp;INDEX(Eingabe!$C$9:$C$18,I1428)&amp;"-Gäste  ·  Voucher",IF(J1428=K1428+3,"Kabel  ·  Access Point y = .(50+y), Mast-Switch x = .(10+x)","")))))</f>
        <v/>
      </c>
      <c r="I1428" s="0" t="str">
        <f aca="false">IF(1423&lt;=(Eingabe!$P$18+Eingabe!$Q$18-1),MATCH(1423,Eingabe!$P$9:$P$18,1),"")</f>
        <v/>
      </c>
      <c r="J1428" s="0" t="str">
        <f aca="false">IF(I1428="","",1423-INDEX(Eingabe!$P$9:$P$18,I1428))</f>
        <v/>
      </c>
      <c r="K1428" s="0" t="str">
        <f aca="false">IF(I1428="","",INDEX(Eingabe!$E$9:$E$18,I1428))</f>
        <v/>
      </c>
    </row>
    <row r="1429" customFormat="false" ht="15" hidden="false" customHeight="false" outlineLevel="0" collapsed="false">
      <c r="A1429" s="0" t="str">
        <f aca="false">IF(I1429="","",IF(J1429=0,"Sparte "&amp;I1429&amp;": "&amp;INDEX(Eingabe!$B$9:$B$18,I1429)&amp;"  (Sparten-ID "&amp;INDEX(Eingabe!$D$9:$D$18,I1429)&amp;", "&amp;K1429&amp;" Parzellen)",IF(J1429&lt;=K1429,"   Parzelle "&amp;J1429,IF(J1429=K1429+1,"   Vorstand",IF(J1429=K1429+2,"   Gäste",IF(J1429=K1429+3,"   Technik (Switches, Access Points)",""))))))</f>
        <v/>
      </c>
      <c r="B1429" s="0" t="str">
        <f aca="false">IF(I1429="","",IF(AND(J1429&gt;=1,J1429&lt;=K1429+3),IF(J1429&lt;=K1429,IF(J1429&lt;=99,IF((INDEX(Eingabe!$G$9:$G$18,I1429))&lt;=9,1000+(INDEX(Eingabe!$G$9:$G$18,I1429))*100,3000)+J1429,IF((INDEX(Eingabe!$G$9:$G$18,I1429)+1)&lt;=9,1000+(INDEX(Eingabe!$G$9:$G$18,I1429)+1)*100,3000)+J1429-100),IF(J1429=K1429+1,2000+INDEX(Eingabe!$G$9:$G$18,I1429)*10+1,IF(J1429=K1429+2,2000+INDEX(Eingabe!$G$9:$G$18,I1429)*10+2,2000+INDEX(Eingabe!$G$9:$G$18,I1429)*10+9))),""))</f>
        <v/>
      </c>
      <c r="C1429" s="0" t="str">
        <f aca="false">IF(I1429="","",IF(AND(J1429&gt;=1,J1429&lt;=K1429+3),"10."&amp;INDEX(Eingabe!$D$9:$D$18,I1429)&amp;"."&amp;IF(J1429&lt;=K1429,J1429,IF(J1429=K1429+1,200,IF(J1429=K1429+2,201,250)))&amp;".0/24",""))</f>
        <v/>
      </c>
      <c r="D1429" s="0" t="str">
        <f aca="false">IF(I1429="","",IF(AND(J1429&gt;=1,J1429&lt;=K1429+3),"255.255.255.0",""))</f>
        <v/>
      </c>
      <c r="E1429" s="0" t="str">
        <f aca="false">IF(I1429="","",IF(AND(J1429&gt;=1,J1429&lt;=K1429+3),"10."&amp;INDEX(Eingabe!$D$9:$D$18,I1429)&amp;"."&amp;IF(J1429&lt;=K1429,J1429,IF(J1429=K1429+1,200,IF(J1429=K1429+2,201,250)))&amp;".1",""))</f>
        <v/>
      </c>
      <c r="F1429" s="0" t="str">
        <f aca="false">IF(I1429="","",IF(AND(J1429&gt;=1,J1429&lt;=K1429+3),"10."&amp;INDEX(Eingabe!$D$9:$D$18,I1429)&amp;"."&amp;IF(J1429&lt;=K1429,J1429,IF(J1429=K1429+1,200,IF(J1429=K1429+2,201,250)))&amp;".10 – 10."&amp;INDEX(Eingabe!$D$9:$D$18,I1429)&amp;"."&amp;IF(J1429&lt;=K1429,J1429,IF(J1429=K1429+1,200,IF(J1429=K1429+2,201,250)))&amp;".250",""))</f>
        <v/>
      </c>
      <c r="G1429" s="0" t="str">
        <f aca="false">IF(I1429="","",IF(AND(J1429&gt;=1,J1429&lt;=K1429),Eingabe!$B$6&amp;"-"&amp;INDEX(Eingabe!$C$9:$C$18,I1429)&amp;"-Pächter  ·  Passwort Parzelle "&amp;J1429,IF(J1429=K1429+1,Eingabe!$B$6&amp;"-"&amp;INDEX(Eingabe!$C$9:$C$18,I1429)&amp;"-Vorstand  ·  eigenes WLAN",IF(J1429=K1429+2,Eingabe!$B$6&amp;"-"&amp;INDEX(Eingabe!$C$9:$C$18,I1429)&amp;"-Gäste  ·  Voucher",IF(J1429=K1429+3,"Kabel  ·  Access Point y = .(50+y), Mast-Switch x = .(10+x)","")))))</f>
        <v/>
      </c>
      <c r="I1429" s="0" t="str">
        <f aca="false">IF(1424&lt;=(Eingabe!$P$18+Eingabe!$Q$18-1),MATCH(1424,Eingabe!$P$9:$P$18,1),"")</f>
        <v/>
      </c>
      <c r="J1429" s="0" t="str">
        <f aca="false">IF(I1429="","",1424-INDEX(Eingabe!$P$9:$P$18,I1429))</f>
        <v/>
      </c>
      <c r="K1429" s="0" t="str">
        <f aca="false">IF(I1429="","",INDEX(Eingabe!$E$9:$E$18,I1429))</f>
        <v/>
      </c>
    </row>
    <row r="1430" customFormat="false" ht="15" hidden="false" customHeight="false" outlineLevel="0" collapsed="false">
      <c r="A1430" s="0" t="str">
        <f aca="false">IF(I1430="","",IF(J1430=0,"Sparte "&amp;I1430&amp;": "&amp;INDEX(Eingabe!$B$9:$B$18,I1430)&amp;"  (Sparten-ID "&amp;INDEX(Eingabe!$D$9:$D$18,I1430)&amp;", "&amp;K1430&amp;" Parzellen)",IF(J1430&lt;=K1430,"   Parzelle "&amp;J1430,IF(J1430=K1430+1,"   Vorstand",IF(J1430=K1430+2,"   Gäste",IF(J1430=K1430+3,"   Technik (Switches, Access Points)",""))))))</f>
        <v/>
      </c>
      <c r="B1430" s="0" t="str">
        <f aca="false">IF(I1430="","",IF(AND(J1430&gt;=1,J1430&lt;=K1430+3),IF(J1430&lt;=K1430,IF(J1430&lt;=99,IF((INDEX(Eingabe!$G$9:$G$18,I1430))&lt;=9,1000+(INDEX(Eingabe!$G$9:$G$18,I1430))*100,3000)+J1430,IF((INDEX(Eingabe!$G$9:$G$18,I1430)+1)&lt;=9,1000+(INDEX(Eingabe!$G$9:$G$18,I1430)+1)*100,3000)+J1430-100),IF(J1430=K1430+1,2000+INDEX(Eingabe!$G$9:$G$18,I1430)*10+1,IF(J1430=K1430+2,2000+INDEX(Eingabe!$G$9:$G$18,I1430)*10+2,2000+INDEX(Eingabe!$G$9:$G$18,I1430)*10+9))),""))</f>
        <v/>
      </c>
      <c r="C1430" s="0" t="str">
        <f aca="false">IF(I1430="","",IF(AND(J1430&gt;=1,J1430&lt;=K1430+3),"10."&amp;INDEX(Eingabe!$D$9:$D$18,I1430)&amp;"."&amp;IF(J1430&lt;=K1430,J1430,IF(J1430=K1430+1,200,IF(J1430=K1430+2,201,250)))&amp;".0/24",""))</f>
        <v/>
      </c>
      <c r="D1430" s="0" t="str">
        <f aca="false">IF(I1430="","",IF(AND(J1430&gt;=1,J1430&lt;=K1430+3),"255.255.255.0",""))</f>
        <v/>
      </c>
      <c r="E1430" s="0" t="str">
        <f aca="false">IF(I1430="","",IF(AND(J1430&gt;=1,J1430&lt;=K1430+3),"10."&amp;INDEX(Eingabe!$D$9:$D$18,I1430)&amp;"."&amp;IF(J1430&lt;=K1430,J1430,IF(J1430=K1430+1,200,IF(J1430=K1430+2,201,250)))&amp;".1",""))</f>
        <v/>
      </c>
      <c r="F1430" s="0" t="str">
        <f aca="false">IF(I1430="","",IF(AND(J1430&gt;=1,J1430&lt;=K1430+3),"10."&amp;INDEX(Eingabe!$D$9:$D$18,I1430)&amp;"."&amp;IF(J1430&lt;=K1430,J1430,IF(J1430=K1430+1,200,IF(J1430=K1430+2,201,250)))&amp;".10 – 10."&amp;INDEX(Eingabe!$D$9:$D$18,I1430)&amp;"."&amp;IF(J1430&lt;=K1430,J1430,IF(J1430=K1430+1,200,IF(J1430=K1430+2,201,250)))&amp;".250",""))</f>
        <v/>
      </c>
      <c r="G1430" s="0" t="str">
        <f aca="false">IF(I1430="","",IF(AND(J1430&gt;=1,J1430&lt;=K1430),Eingabe!$B$6&amp;"-"&amp;INDEX(Eingabe!$C$9:$C$18,I1430)&amp;"-Pächter  ·  Passwort Parzelle "&amp;J1430,IF(J1430=K1430+1,Eingabe!$B$6&amp;"-"&amp;INDEX(Eingabe!$C$9:$C$18,I1430)&amp;"-Vorstand  ·  eigenes WLAN",IF(J1430=K1430+2,Eingabe!$B$6&amp;"-"&amp;INDEX(Eingabe!$C$9:$C$18,I1430)&amp;"-Gäste  ·  Voucher",IF(J1430=K1430+3,"Kabel  ·  Access Point y = .(50+y), Mast-Switch x = .(10+x)","")))))</f>
        <v/>
      </c>
      <c r="I1430" s="0" t="str">
        <f aca="false">IF(1425&lt;=(Eingabe!$P$18+Eingabe!$Q$18-1),MATCH(1425,Eingabe!$P$9:$P$18,1),"")</f>
        <v/>
      </c>
      <c r="J1430" s="0" t="str">
        <f aca="false">IF(I1430="","",1425-INDEX(Eingabe!$P$9:$P$18,I1430))</f>
        <v/>
      </c>
      <c r="K1430" s="0" t="str">
        <f aca="false">IF(I1430="","",INDEX(Eingabe!$E$9:$E$18,I1430))</f>
        <v/>
      </c>
    </row>
    <row r="1431" customFormat="false" ht="15" hidden="false" customHeight="false" outlineLevel="0" collapsed="false">
      <c r="A1431" s="0" t="str">
        <f aca="false">IF(I1431="","",IF(J1431=0,"Sparte "&amp;I1431&amp;": "&amp;INDEX(Eingabe!$B$9:$B$18,I1431)&amp;"  (Sparten-ID "&amp;INDEX(Eingabe!$D$9:$D$18,I1431)&amp;", "&amp;K1431&amp;" Parzellen)",IF(J1431&lt;=K1431,"   Parzelle "&amp;J1431,IF(J1431=K1431+1,"   Vorstand",IF(J1431=K1431+2,"   Gäste",IF(J1431=K1431+3,"   Technik (Switches, Access Points)",""))))))</f>
        <v/>
      </c>
      <c r="B1431" s="0" t="str">
        <f aca="false">IF(I1431="","",IF(AND(J1431&gt;=1,J1431&lt;=K1431+3),IF(J1431&lt;=K1431,IF(J1431&lt;=99,IF((INDEX(Eingabe!$G$9:$G$18,I1431))&lt;=9,1000+(INDEX(Eingabe!$G$9:$G$18,I1431))*100,3000)+J1431,IF((INDEX(Eingabe!$G$9:$G$18,I1431)+1)&lt;=9,1000+(INDEX(Eingabe!$G$9:$G$18,I1431)+1)*100,3000)+J1431-100),IF(J1431=K1431+1,2000+INDEX(Eingabe!$G$9:$G$18,I1431)*10+1,IF(J1431=K1431+2,2000+INDEX(Eingabe!$G$9:$G$18,I1431)*10+2,2000+INDEX(Eingabe!$G$9:$G$18,I1431)*10+9))),""))</f>
        <v/>
      </c>
      <c r="C1431" s="0" t="str">
        <f aca="false">IF(I1431="","",IF(AND(J1431&gt;=1,J1431&lt;=K1431+3),"10."&amp;INDEX(Eingabe!$D$9:$D$18,I1431)&amp;"."&amp;IF(J1431&lt;=K1431,J1431,IF(J1431=K1431+1,200,IF(J1431=K1431+2,201,250)))&amp;".0/24",""))</f>
        <v/>
      </c>
      <c r="D1431" s="0" t="str">
        <f aca="false">IF(I1431="","",IF(AND(J1431&gt;=1,J1431&lt;=K1431+3),"255.255.255.0",""))</f>
        <v/>
      </c>
      <c r="E1431" s="0" t="str">
        <f aca="false">IF(I1431="","",IF(AND(J1431&gt;=1,J1431&lt;=K1431+3),"10."&amp;INDEX(Eingabe!$D$9:$D$18,I1431)&amp;"."&amp;IF(J1431&lt;=K1431,J1431,IF(J1431=K1431+1,200,IF(J1431=K1431+2,201,250)))&amp;".1",""))</f>
        <v/>
      </c>
      <c r="F1431" s="0" t="str">
        <f aca="false">IF(I1431="","",IF(AND(J1431&gt;=1,J1431&lt;=K1431+3),"10."&amp;INDEX(Eingabe!$D$9:$D$18,I1431)&amp;"."&amp;IF(J1431&lt;=K1431,J1431,IF(J1431=K1431+1,200,IF(J1431=K1431+2,201,250)))&amp;".10 – 10."&amp;INDEX(Eingabe!$D$9:$D$18,I1431)&amp;"."&amp;IF(J1431&lt;=K1431,J1431,IF(J1431=K1431+1,200,IF(J1431=K1431+2,201,250)))&amp;".250",""))</f>
        <v/>
      </c>
      <c r="G1431" s="0" t="str">
        <f aca="false">IF(I1431="","",IF(AND(J1431&gt;=1,J1431&lt;=K1431),Eingabe!$B$6&amp;"-"&amp;INDEX(Eingabe!$C$9:$C$18,I1431)&amp;"-Pächter  ·  Passwort Parzelle "&amp;J1431,IF(J1431=K1431+1,Eingabe!$B$6&amp;"-"&amp;INDEX(Eingabe!$C$9:$C$18,I1431)&amp;"-Vorstand  ·  eigenes WLAN",IF(J1431=K1431+2,Eingabe!$B$6&amp;"-"&amp;INDEX(Eingabe!$C$9:$C$18,I1431)&amp;"-Gäste  ·  Voucher",IF(J1431=K1431+3,"Kabel  ·  Access Point y = .(50+y), Mast-Switch x = .(10+x)","")))))</f>
        <v/>
      </c>
      <c r="I1431" s="0" t="str">
        <f aca="false">IF(1426&lt;=(Eingabe!$P$18+Eingabe!$Q$18-1),MATCH(1426,Eingabe!$P$9:$P$18,1),"")</f>
        <v/>
      </c>
      <c r="J1431" s="0" t="str">
        <f aca="false">IF(I1431="","",1426-INDEX(Eingabe!$P$9:$P$18,I1431))</f>
        <v/>
      </c>
      <c r="K1431" s="0" t="str">
        <f aca="false">IF(I1431="","",INDEX(Eingabe!$E$9:$E$18,I1431))</f>
        <v/>
      </c>
    </row>
    <row r="1432" customFormat="false" ht="15" hidden="false" customHeight="false" outlineLevel="0" collapsed="false">
      <c r="A1432" s="0" t="str">
        <f aca="false">IF(I1432="","",IF(J1432=0,"Sparte "&amp;I1432&amp;": "&amp;INDEX(Eingabe!$B$9:$B$18,I1432)&amp;"  (Sparten-ID "&amp;INDEX(Eingabe!$D$9:$D$18,I1432)&amp;", "&amp;K1432&amp;" Parzellen)",IF(J1432&lt;=K1432,"   Parzelle "&amp;J1432,IF(J1432=K1432+1,"   Vorstand",IF(J1432=K1432+2,"   Gäste",IF(J1432=K1432+3,"   Technik (Switches, Access Points)",""))))))</f>
        <v/>
      </c>
      <c r="B1432" s="0" t="str">
        <f aca="false">IF(I1432="","",IF(AND(J1432&gt;=1,J1432&lt;=K1432+3),IF(J1432&lt;=K1432,IF(J1432&lt;=99,IF((INDEX(Eingabe!$G$9:$G$18,I1432))&lt;=9,1000+(INDEX(Eingabe!$G$9:$G$18,I1432))*100,3000)+J1432,IF((INDEX(Eingabe!$G$9:$G$18,I1432)+1)&lt;=9,1000+(INDEX(Eingabe!$G$9:$G$18,I1432)+1)*100,3000)+J1432-100),IF(J1432=K1432+1,2000+INDEX(Eingabe!$G$9:$G$18,I1432)*10+1,IF(J1432=K1432+2,2000+INDEX(Eingabe!$G$9:$G$18,I1432)*10+2,2000+INDEX(Eingabe!$G$9:$G$18,I1432)*10+9))),""))</f>
        <v/>
      </c>
      <c r="C1432" s="0" t="str">
        <f aca="false">IF(I1432="","",IF(AND(J1432&gt;=1,J1432&lt;=K1432+3),"10."&amp;INDEX(Eingabe!$D$9:$D$18,I1432)&amp;"."&amp;IF(J1432&lt;=K1432,J1432,IF(J1432=K1432+1,200,IF(J1432=K1432+2,201,250)))&amp;".0/24",""))</f>
        <v/>
      </c>
      <c r="D1432" s="0" t="str">
        <f aca="false">IF(I1432="","",IF(AND(J1432&gt;=1,J1432&lt;=K1432+3),"255.255.255.0",""))</f>
        <v/>
      </c>
      <c r="E1432" s="0" t="str">
        <f aca="false">IF(I1432="","",IF(AND(J1432&gt;=1,J1432&lt;=K1432+3),"10."&amp;INDEX(Eingabe!$D$9:$D$18,I1432)&amp;"."&amp;IF(J1432&lt;=K1432,J1432,IF(J1432=K1432+1,200,IF(J1432=K1432+2,201,250)))&amp;".1",""))</f>
        <v/>
      </c>
      <c r="F1432" s="0" t="str">
        <f aca="false">IF(I1432="","",IF(AND(J1432&gt;=1,J1432&lt;=K1432+3),"10."&amp;INDEX(Eingabe!$D$9:$D$18,I1432)&amp;"."&amp;IF(J1432&lt;=K1432,J1432,IF(J1432=K1432+1,200,IF(J1432=K1432+2,201,250)))&amp;".10 – 10."&amp;INDEX(Eingabe!$D$9:$D$18,I1432)&amp;"."&amp;IF(J1432&lt;=K1432,J1432,IF(J1432=K1432+1,200,IF(J1432=K1432+2,201,250)))&amp;".250",""))</f>
        <v/>
      </c>
      <c r="G1432" s="0" t="str">
        <f aca="false">IF(I1432="","",IF(AND(J1432&gt;=1,J1432&lt;=K1432),Eingabe!$B$6&amp;"-"&amp;INDEX(Eingabe!$C$9:$C$18,I1432)&amp;"-Pächter  ·  Passwort Parzelle "&amp;J1432,IF(J1432=K1432+1,Eingabe!$B$6&amp;"-"&amp;INDEX(Eingabe!$C$9:$C$18,I1432)&amp;"-Vorstand  ·  eigenes WLAN",IF(J1432=K1432+2,Eingabe!$B$6&amp;"-"&amp;INDEX(Eingabe!$C$9:$C$18,I1432)&amp;"-Gäste  ·  Voucher",IF(J1432=K1432+3,"Kabel  ·  Access Point y = .(50+y), Mast-Switch x = .(10+x)","")))))</f>
        <v/>
      </c>
      <c r="I1432" s="0" t="str">
        <f aca="false">IF(1427&lt;=(Eingabe!$P$18+Eingabe!$Q$18-1),MATCH(1427,Eingabe!$P$9:$P$18,1),"")</f>
        <v/>
      </c>
      <c r="J1432" s="0" t="str">
        <f aca="false">IF(I1432="","",1427-INDEX(Eingabe!$P$9:$P$18,I1432))</f>
        <v/>
      </c>
      <c r="K1432" s="0" t="str">
        <f aca="false">IF(I1432="","",INDEX(Eingabe!$E$9:$E$18,I1432))</f>
        <v/>
      </c>
    </row>
    <row r="1433" customFormat="false" ht="15" hidden="false" customHeight="false" outlineLevel="0" collapsed="false">
      <c r="A1433" s="0" t="str">
        <f aca="false">IF(I1433="","",IF(J1433=0,"Sparte "&amp;I1433&amp;": "&amp;INDEX(Eingabe!$B$9:$B$18,I1433)&amp;"  (Sparten-ID "&amp;INDEX(Eingabe!$D$9:$D$18,I1433)&amp;", "&amp;K1433&amp;" Parzellen)",IF(J1433&lt;=K1433,"   Parzelle "&amp;J1433,IF(J1433=K1433+1,"   Vorstand",IF(J1433=K1433+2,"   Gäste",IF(J1433=K1433+3,"   Technik (Switches, Access Points)",""))))))</f>
        <v/>
      </c>
      <c r="B1433" s="0" t="str">
        <f aca="false">IF(I1433="","",IF(AND(J1433&gt;=1,J1433&lt;=K1433+3),IF(J1433&lt;=K1433,IF(J1433&lt;=99,IF((INDEX(Eingabe!$G$9:$G$18,I1433))&lt;=9,1000+(INDEX(Eingabe!$G$9:$G$18,I1433))*100,3000)+J1433,IF((INDEX(Eingabe!$G$9:$G$18,I1433)+1)&lt;=9,1000+(INDEX(Eingabe!$G$9:$G$18,I1433)+1)*100,3000)+J1433-100),IF(J1433=K1433+1,2000+INDEX(Eingabe!$G$9:$G$18,I1433)*10+1,IF(J1433=K1433+2,2000+INDEX(Eingabe!$G$9:$G$18,I1433)*10+2,2000+INDEX(Eingabe!$G$9:$G$18,I1433)*10+9))),""))</f>
        <v/>
      </c>
      <c r="C1433" s="0" t="str">
        <f aca="false">IF(I1433="","",IF(AND(J1433&gt;=1,J1433&lt;=K1433+3),"10."&amp;INDEX(Eingabe!$D$9:$D$18,I1433)&amp;"."&amp;IF(J1433&lt;=K1433,J1433,IF(J1433=K1433+1,200,IF(J1433=K1433+2,201,250)))&amp;".0/24",""))</f>
        <v/>
      </c>
      <c r="D1433" s="0" t="str">
        <f aca="false">IF(I1433="","",IF(AND(J1433&gt;=1,J1433&lt;=K1433+3),"255.255.255.0",""))</f>
        <v/>
      </c>
      <c r="E1433" s="0" t="str">
        <f aca="false">IF(I1433="","",IF(AND(J1433&gt;=1,J1433&lt;=K1433+3),"10."&amp;INDEX(Eingabe!$D$9:$D$18,I1433)&amp;"."&amp;IF(J1433&lt;=K1433,J1433,IF(J1433=K1433+1,200,IF(J1433=K1433+2,201,250)))&amp;".1",""))</f>
        <v/>
      </c>
      <c r="F1433" s="0" t="str">
        <f aca="false">IF(I1433="","",IF(AND(J1433&gt;=1,J1433&lt;=K1433+3),"10."&amp;INDEX(Eingabe!$D$9:$D$18,I1433)&amp;"."&amp;IF(J1433&lt;=K1433,J1433,IF(J1433=K1433+1,200,IF(J1433=K1433+2,201,250)))&amp;".10 – 10."&amp;INDEX(Eingabe!$D$9:$D$18,I1433)&amp;"."&amp;IF(J1433&lt;=K1433,J1433,IF(J1433=K1433+1,200,IF(J1433=K1433+2,201,250)))&amp;".250",""))</f>
        <v/>
      </c>
      <c r="G1433" s="0" t="str">
        <f aca="false">IF(I1433="","",IF(AND(J1433&gt;=1,J1433&lt;=K1433),Eingabe!$B$6&amp;"-"&amp;INDEX(Eingabe!$C$9:$C$18,I1433)&amp;"-Pächter  ·  Passwort Parzelle "&amp;J1433,IF(J1433=K1433+1,Eingabe!$B$6&amp;"-"&amp;INDEX(Eingabe!$C$9:$C$18,I1433)&amp;"-Vorstand  ·  eigenes WLAN",IF(J1433=K1433+2,Eingabe!$B$6&amp;"-"&amp;INDEX(Eingabe!$C$9:$C$18,I1433)&amp;"-Gäste  ·  Voucher",IF(J1433=K1433+3,"Kabel  ·  Access Point y = .(50+y), Mast-Switch x = .(10+x)","")))))</f>
        <v/>
      </c>
      <c r="I1433" s="0" t="str">
        <f aca="false">IF(1428&lt;=(Eingabe!$P$18+Eingabe!$Q$18-1),MATCH(1428,Eingabe!$P$9:$P$18,1),"")</f>
        <v/>
      </c>
      <c r="J1433" s="0" t="str">
        <f aca="false">IF(I1433="","",1428-INDEX(Eingabe!$P$9:$P$18,I1433))</f>
        <v/>
      </c>
      <c r="K1433" s="0" t="str">
        <f aca="false">IF(I1433="","",INDEX(Eingabe!$E$9:$E$18,I1433))</f>
        <v/>
      </c>
    </row>
    <row r="1434" customFormat="false" ht="15" hidden="false" customHeight="false" outlineLevel="0" collapsed="false">
      <c r="A1434" s="0" t="str">
        <f aca="false">IF(I1434="","",IF(J1434=0,"Sparte "&amp;I1434&amp;": "&amp;INDEX(Eingabe!$B$9:$B$18,I1434)&amp;"  (Sparten-ID "&amp;INDEX(Eingabe!$D$9:$D$18,I1434)&amp;", "&amp;K1434&amp;" Parzellen)",IF(J1434&lt;=K1434,"   Parzelle "&amp;J1434,IF(J1434=K1434+1,"   Vorstand",IF(J1434=K1434+2,"   Gäste",IF(J1434=K1434+3,"   Technik (Switches, Access Points)",""))))))</f>
        <v/>
      </c>
      <c r="B1434" s="0" t="str">
        <f aca="false">IF(I1434="","",IF(AND(J1434&gt;=1,J1434&lt;=K1434+3),IF(J1434&lt;=K1434,IF(J1434&lt;=99,IF((INDEX(Eingabe!$G$9:$G$18,I1434))&lt;=9,1000+(INDEX(Eingabe!$G$9:$G$18,I1434))*100,3000)+J1434,IF((INDEX(Eingabe!$G$9:$G$18,I1434)+1)&lt;=9,1000+(INDEX(Eingabe!$G$9:$G$18,I1434)+1)*100,3000)+J1434-100),IF(J1434=K1434+1,2000+INDEX(Eingabe!$G$9:$G$18,I1434)*10+1,IF(J1434=K1434+2,2000+INDEX(Eingabe!$G$9:$G$18,I1434)*10+2,2000+INDEX(Eingabe!$G$9:$G$18,I1434)*10+9))),""))</f>
        <v/>
      </c>
      <c r="C1434" s="0" t="str">
        <f aca="false">IF(I1434="","",IF(AND(J1434&gt;=1,J1434&lt;=K1434+3),"10."&amp;INDEX(Eingabe!$D$9:$D$18,I1434)&amp;"."&amp;IF(J1434&lt;=K1434,J1434,IF(J1434=K1434+1,200,IF(J1434=K1434+2,201,250)))&amp;".0/24",""))</f>
        <v/>
      </c>
      <c r="D1434" s="0" t="str">
        <f aca="false">IF(I1434="","",IF(AND(J1434&gt;=1,J1434&lt;=K1434+3),"255.255.255.0",""))</f>
        <v/>
      </c>
      <c r="E1434" s="0" t="str">
        <f aca="false">IF(I1434="","",IF(AND(J1434&gt;=1,J1434&lt;=K1434+3),"10."&amp;INDEX(Eingabe!$D$9:$D$18,I1434)&amp;"."&amp;IF(J1434&lt;=K1434,J1434,IF(J1434=K1434+1,200,IF(J1434=K1434+2,201,250)))&amp;".1",""))</f>
        <v/>
      </c>
      <c r="F1434" s="0" t="str">
        <f aca="false">IF(I1434="","",IF(AND(J1434&gt;=1,J1434&lt;=K1434+3),"10."&amp;INDEX(Eingabe!$D$9:$D$18,I1434)&amp;"."&amp;IF(J1434&lt;=K1434,J1434,IF(J1434=K1434+1,200,IF(J1434=K1434+2,201,250)))&amp;".10 – 10."&amp;INDEX(Eingabe!$D$9:$D$18,I1434)&amp;"."&amp;IF(J1434&lt;=K1434,J1434,IF(J1434=K1434+1,200,IF(J1434=K1434+2,201,250)))&amp;".250",""))</f>
        <v/>
      </c>
      <c r="G1434" s="0" t="str">
        <f aca="false">IF(I1434="","",IF(AND(J1434&gt;=1,J1434&lt;=K1434),Eingabe!$B$6&amp;"-"&amp;INDEX(Eingabe!$C$9:$C$18,I1434)&amp;"-Pächter  ·  Passwort Parzelle "&amp;J1434,IF(J1434=K1434+1,Eingabe!$B$6&amp;"-"&amp;INDEX(Eingabe!$C$9:$C$18,I1434)&amp;"-Vorstand  ·  eigenes WLAN",IF(J1434=K1434+2,Eingabe!$B$6&amp;"-"&amp;INDEX(Eingabe!$C$9:$C$18,I1434)&amp;"-Gäste  ·  Voucher",IF(J1434=K1434+3,"Kabel  ·  Access Point y = .(50+y), Mast-Switch x = .(10+x)","")))))</f>
        <v/>
      </c>
      <c r="I1434" s="0" t="str">
        <f aca="false">IF(1429&lt;=(Eingabe!$P$18+Eingabe!$Q$18-1),MATCH(1429,Eingabe!$P$9:$P$18,1),"")</f>
        <v/>
      </c>
      <c r="J1434" s="0" t="str">
        <f aca="false">IF(I1434="","",1429-INDEX(Eingabe!$P$9:$P$18,I1434))</f>
        <v/>
      </c>
      <c r="K1434" s="0" t="str">
        <f aca="false">IF(I1434="","",INDEX(Eingabe!$E$9:$E$18,I1434))</f>
        <v/>
      </c>
    </row>
    <row r="1435" customFormat="false" ht="15" hidden="false" customHeight="false" outlineLevel="0" collapsed="false">
      <c r="A1435" s="0" t="str">
        <f aca="false">IF(I1435="","",IF(J1435=0,"Sparte "&amp;I1435&amp;": "&amp;INDEX(Eingabe!$B$9:$B$18,I1435)&amp;"  (Sparten-ID "&amp;INDEX(Eingabe!$D$9:$D$18,I1435)&amp;", "&amp;K1435&amp;" Parzellen)",IF(J1435&lt;=K1435,"   Parzelle "&amp;J1435,IF(J1435=K1435+1,"   Vorstand",IF(J1435=K1435+2,"   Gäste",IF(J1435=K1435+3,"   Technik (Switches, Access Points)",""))))))</f>
        <v/>
      </c>
      <c r="B1435" s="0" t="str">
        <f aca="false">IF(I1435="","",IF(AND(J1435&gt;=1,J1435&lt;=K1435+3),IF(J1435&lt;=K1435,IF(J1435&lt;=99,IF((INDEX(Eingabe!$G$9:$G$18,I1435))&lt;=9,1000+(INDEX(Eingabe!$G$9:$G$18,I1435))*100,3000)+J1435,IF((INDEX(Eingabe!$G$9:$G$18,I1435)+1)&lt;=9,1000+(INDEX(Eingabe!$G$9:$G$18,I1435)+1)*100,3000)+J1435-100),IF(J1435=K1435+1,2000+INDEX(Eingabe!$G$9:$G$18,I1435)*10+1,IF(J1435=K1435+2,2000+INDEX(Eingabe!$G$9:$G$18,I1435)*10+2,2000+INDEX(Eingabe!$G$9:$G$18,I1435)*10+9))),""))</f>
        <v/>
      </c>
      <c r="C1435" s="0" t="str">
        <f aca="false">IF(I1435="","",IF(AND(J1435&gt;=1,J1435&lt;=K1435+3),"10."&amp;INDEX(Eingabe!$D$9:$D$18,I1435)&amp;"."&amp;IF(J1435&lt;=K1435,J1435,IF(J1435=K1435+1,200,IF(J1435=K1435+2,201,250)))&amp;".0/24",""))</f>
        <v/>
      </c>
      <c r="D1435" s="0" t="str">
        <f aca="false">IF(I1435="","",IF(AND(J1435&gt;=1,J1435&lt;=K1435+3),"255.255.255.0",""))</f>
        <v/>
      </c>
      <c r="E1435" s="0" t="str">
        <f aca="false">IF(I1435="","",IF(AND(J1435&gt;=1,J1435&lt;=K1435+3),"10."&amp;INDEX(Eingabe!$D$9:$D$18,I1435)&amp;"."&amp;IF(J1435&lt;=K1435,J1435,IF(J1435=K1435+1,200,IF(J1435=K1435+2,201,250)))&amp;".1",""))</f>
        <v/>
      </c>
      <c r="F1435" s="0" t="str">
        <f aca="false">IF(I1435="","",IF(AND(J1435&gt;=1,J1435&lt;=K1435+3),"10."&amp;INDEX(Eingabe!$D$9:$D$18,I1435)&amp;"."&amp;IF(J1435&lt;=K1435,J1435,IF(J1435=K1435+1,200,IF(J1435=K1435+2,201,250)))&amp;".10 – 10."&amp;INDEX(Eingabe!$D$9:$D$18,I1435)&amp;"."&amp;IF(J1435&lt;=K1435,J1435,IF(J1435=K1435+1,200,IF(J1435=K1435+2,201,250)))&amp;".250",""))</f>
        <v/>
      </c>
      <c r="G1435" s="0" t="str">
        <f aca="false">IF(I1435="","",IF(AND(J1435&gt;=1,J1435&lt;=K1435),Eingabe!$B$6&amp;"-"&amp;INDEX(Eingabe!$C$9:$C$18,I1435)&amp;"-Pächter  ·  Passwort Parzelle "&amp;J1435,IF(J1435=K1435+1,Eingabe!$B$6&amp;"-"&amp;INDEX(Eingabe!$C$9:$C$18,I1435)&amp;"-Vorstand  ·  eigenes WLAN",IF(J1435=K1435+2,Eingabe!$B$6&amp;"-"&amp;INDEX(Eingabe!$C$9:$C$18,I1435)&amp;"-Gäste  ·  Voucher",IF(J1435=K1435+3,"Kabel  ·  Access Point y = .(50+y), Mast-Switch x = .(10+x)","")))))</f>
        <v/>
      </c>
      <c r="I1435" s="0" t="str">
        <f aca="false">IF(1430&lt;=(Eingabe!$P$18+Eingabe!$Q$18-1),MATCH(1430,Eingabe!$P$9:$P$18,1),"")</f>
        <v/>
      </c>
      <c r="J1435" s="0" t="str">
        <f aca="false">IF(I1435="","",1430-INDEX(Eingabe!$P$9:$P$18,I1435))</f>
        <v/>
      </c>
      <c r="K1435" s="0" t="str">
        <f aca="false">IF(I1435="","",INDEX(Eingabe!$E$9:$E$18,I1435))</f>
        <v/>
      </c>
    </row>
    <row r="1436" customFormat="false" ht="15" hidden="false" customHeight="false" outlineLevel="0" collapsed="false">
      <c r="A1436" s="0" t="str">
        <f aca="false">IF(I1436="","",IF(J1436=0,"Sparte "&amp;I1436&amp;": "&amp;INDEX(Eingabe!$B$9:$B$18,I1436)&amp;"  (Sparten-ID "&amp;INDEX(Eingabe!$D$9:$D$18,I1436)&amp;", "&amp;K1436&amp;" Parzellen)",IF(J1436&lt;=K1436,"   Parzelle "&amp;J1436,IF(J1436=K1436+1,"   Vorstand",IF(J1436=K1436+2,"   Gäste",IF(J1436=K1436+3,"   Technik (Switches, Access Points)",""))))))</f>
        <v/>
      </c>
      <c r="B1436" s="0" t="str">
        <f aca="false">IF(I1436="","",IF(AND(J1436&gt;=1,J1436&lt;=K1436+3),IF(J1436&lt;=K1436,IF(J1436&lt;=99,IF((INDEX(Eingabe!$G$9:$G$18,I1436))&lt;=9,1000+(INDEX(Eingabe!$G$9:$G$18,I1436))*100,3000)+J1436,IF((INDEX(Eingabe!$G$9:$G$18,I1436)+1)&lt;=9,1000+(INDEX(Eingabe!$G$9:$G$18,I1436)+1)*100,3000)+J1436-100),IF(J1436=K1436+1,2000+INDEX(Eingabe!$G$9:$G$18,I1436)*10+1,IF(J1436=K1436+2,2000+INDEX(Eingabe!$G$9:$G$18,I1436)*10+2,2000+INDEX(Eingabe!$G$9:$G$18,I1436)*10+9))),""))</f>
        <v/>
      </c>
      <c r="C1436" s="0" t="str">
        <f aca="false">IF(I1436="","",IF(AND(J1436&gt;=1,J1436&lt;=K1436+3),"10."&amp;INDEX(Eingabe!$D$9:$D$18,I1436)&amp;"."&amp;IF(J1436&lt;=K1436,J1436,IF(J1436=K1436+1,200,IF(J1436=K1436+2,201,250)))&amp;".0/24",""))</f>
        <v/>
      </c>
      <c r="D1436" s="0" t="str">
        <f aca="false">IF(I1436="","",IF(AND(J1436&gt;=1,J1436&lt;=K1436+3),"255.255.255.0",""))</f>
        <v/>
      </c>
      <c r="E1436" s="0" t="str">
        <f aca="false">IF(I1436="","",IF(AND(J1436&gt;=1,J1436&lt;=K1436+3),"10."&amp;INDEX(Eingabe!$D$9:$D$18,I1436)&amp;"."&amp;IF(J1436&lt;=K1436,J1436,IF(J1436=K1436+1,200,IF(J1436=K1436+2,201,250)))&amp;".1",""))</f>
        <v/>
      </c>
      <c r="F1436" s="0" t="str">
        <f aca="false">IF(I1436="","",IF(AND(J1436&gt;=1,J1436&lt;=K1436+3),"10."&amp;INDEX(Eingabe!$D$9:$D$18,I1436)&amp;"."&amp;IF(J1436&lt;=K1436,J1436,IF(J1436=K1436+1,200,IF(J1436=K1436+2,201,250)))&amp;".10 – 10."&amp;INDEX(Eingabe!$D$9:$D$18,I1436)&amp;"."&amp;IF(J1436&lt;=K1436,J1436,IF(J1436=K1436+1,200,IF(J1436=K1436+2,201,250)))&amp;".250",""))</f>
        <v/>
      </c>
      <c r="G1436" s="0" t="str">
        <f aca="false">IF(I1436="","",IF(AND(J1436&gt;=1,J1436&lt;=K1436),Eingabe!$B$6&amp;"-"&amp;INDEX(Eingabe!$C$9:$C$18,I1436)&amp;"-Pächter  ·  Passwort Parzelle "&amp;J1436,IF(J1436=K1436+1,Eingabe!$B$6&amp;"-"&amp;INDEX(Eingabe!$C$9:$C$18,I1436)&amp;"-Vorstand  ·  eigenes WLAN",IF(J1436=K1436+2,Eingabe!$B$6&amp;"-"&amp;INDEX(Eingabe!$C$9:$C$18,I1436)&amp;"-Gäste  ·  Voucher",IF(J1436=K1436+3,"Kabel  ·  Access Point y = .(50+y), Mast-Switch x = .(10+x)","")))))</f>
        <v/>
      </c>
      <c r="I1436" s="0" t="str">
        <f aca="false">IF(1431&lt;=(Eingabe!$P$18+Eingabe!$Q$18-1),MATCH(1431,Eingabe!$P$9:$P$18,1),"")</f>
        <v/>
      </c>
      <c r="J1436" s="0" t="str">
        <f aca="false">IF(I1436="","",1431-INDEX(Eingabe!$P$9:$P$18,I1436))</f>
        <v/>
      </c>
      <c r="K1436" s="0" t="str">
        <f aca="false">IF(I1436="","",INDEX(Eingabe!$E$9:$E$18,I1436))</f>
        <v/>
      </c>
    </row>
    <row r="1437" customFormat="false" ht="15" hidden="false" customHeight="false" outlineLevel="0" collapsed="false">
      <c r="A1437" s="0" t="str">
        <f aca="false">IF(I1437="","",IF(J1437=0,"Sparte "&amp;I1437&amp;": "&amp;INDEX(Eingabe!$B$9:$B$18,I1437)&amp;"  (Sparten-ID "&amp;INDEX(Eingabe!$D$9:$D$18,I1437)&amp;", "&amp;K1437&amp;" Parzellen)",IF(J1437&lt;=K1437,"   Parzelle "&amp;J1437,IF(J1437=K1437+1,"   Vorstand",IF(J1437=K1437+2,"   Gäste",IF(J1437=K1437+3,"   Technik (Switches, Access Points)",""))))))</f>
        <v/>
      </c>
      <c r="B1437" s="0" t="str">
        <f aca="false">IF(I1437="","",IF(AND(J1437&gt;=1,J1437&lt;=K1437+3),IF(J1437&lt;=K1437,IF(J1437&lt;=99,IF((INDEX(Eingabe!$G$9:$G$18,I1437))&lt;=9,1000+(INDEX(Eingabe!$G$9:$G$18,I1437))*100,3000)+J1437,IF((INDEX(Eingabe!$G$9:$G$18,I1437)+1)&lt;=9,1000+(INDEX(Eingabe!$G$9:$G$18,I1437)+1)*100,3000)+J1437-100),IF(J1437=K1437+1,2000+INDEX(Eingabe!$G$9:$G$18,I1437)*10+1,IF(J1437=K1437+2,2000+INDEX(Eingabe!$G$9:$G$18,I1437)*10+2,2000+INDEX(Eingabe!$G$9:$G$18,I1437)*10+9))),""))</f>
        <v/>
      </c>
      <c r="C1437" s="0" t="str">
        <f aca="false">IF(I1437="","",IF(AND(J1437&gt;=1,J1437&lt;=K1437+3),"10."&amp;INDEX(Eingabe!$D$9:$D$18,I1437)&amp;"."&amp;IF(J1437&lt;=K1437,J1437,IF(J1437=K1437+1,200,IF(J1437=K1437+2,201,250)))&amp;".0/24",""))</f>
        <v/>
      </c>
      <c r="D1437" s="0" t="str">
        <f aca="false">IF(I1437="","",IF(AND(J1437&gt;=1,J1437&lt;=K1437+3),"255.255.255.0",""))</f>
        <v/>
      </c>
      <c r="E1437" s="0" t="str">
        <f aca="false">IF(I1437="","",IF(AND(J1437&gt;=1,J1437&lt;=K1437+3),"10."&amp;INDEX(Eingabe!$D$9:$D$18,I1437)&amp;"."&amp;IF(J1437&lt;=K1437,J1437,IF(J1437=K1437+1,200,IF(J1437=K1437+2,201,250)))&amp;".1",""))</f>
        <v/>
      </c>
      <c r="F1437" s="0" t="str">
        <f aca="false">IF(I1437="","",IF(AND(J1437&gt;=1,J1437&lt;=K1437+3),"10."&amp;INDEX(Eingabe!$D$9:$D$18,I1437)&amp;"."&amp;IF(J1437&lt;=K1437,J1437,IF(J1437=K1437+1,200,IF(J1437=K1437+2,201,250)))&amp;".10 – 10."&amp;INDEX(Eingabe!$D$9:$D$18,I1437)&amp;"."&amp;IF(J1437&lt;=K1437,J1437,IF(J1437=K1437+1,200,IF(J1437=K1437+2,201,250)))&amp;".250",""))</f>
        <v/>
      </c>
      <c r="G1437" s="0" t="str">
        <f aca="false">IF(I1437="","",IF(AND(J1437&gt;=1,J1437&lt;=K1437),Eingabe!$B$6&amp;"-"&amp;INDEX(Eingabe!$C$9:$C$18,I1437)&amp;"-Pächter  ·  Passwort Parzelle "&amp;J1437,IF(J1437=K1437+1,Eingabe!$B$6&amp;"-"&amp;INDEX(Eingabe!$C$9:$C$18,I1437)&amp;"-Vorstand  ·  eigenes WLAN",IF(J1437=K1437+2,Eingabe!$B$6&amp;"-"&amp;INDEX(Eingabe!$C$9:$C$18,I1437)&amp;"-Gäste  ·  Voucher",IF(J1437=K1437+3,"Kabel  ·  Access Point y = .(50+y), Mast-Switch x = .(10+x)","")))))</f>
        <v/>
      </c>
      <c r="I1437" s="0" t="str">
        <f aca="false">IF(1432&lt;=(Eingabe!$P$18+Eingabe!$Q$18-1),MATCH(1432,Eingabe!$P$9:$P$18,1),"")</f>
        <v/>
      </c>
      <c r="J1437" s="0" t="str">
        <f aca="false">IF(I1437="","",1432-INDEX(Eingabe!$P$9:$P$18,I1437))</f>
        <v/>
      </c>
      <c r="K1437" s="0" t="str">
        <f aca="false">IF(I1437="","",INDEX(Eingabe!$E$9:$E$18,I1437))</f>
        <v/>
      </c>
    </row>
    <row r="1438" customFormat="false" ht="15" hidden="false" customHeight="false" outlineLevel="0" collapsed="false">
      <c r="A1438" s="0" t="str">
        <f aca="false">IF(I1438="","",IF(J1438=0,"Sparte "&amp;I1438&amp;": "&amp;INDEX(Eingabe!$B$9:$B$18,I1438)&amp;"  (Sparten-ID "&amp;INDEX(Eingabe!$D$9:$D$18,I1438)&amp;", "&amp;K1438&amp;" Parzellen)",IF(J1438&lt;=K1438,"   Parzelle "&amp;J1438,IF(J1438=K1438+1,"   Vorstand",IF(J1438=K1438+2,"   Gäste",IF(J1438=K1438+3,"   Technik (Switches, Access Points)",""))))))</f>
        <v/>
      </c>
      <c r="B1438" s="0" t="str">
        <f aca="false">IF(I1438="","",IF(AND(J1438&gt;=1,J1438&lt;=K1438+3),IF(J1438&lt;=K1438,IF(J1438&lt;=99,IF((INDEX(Eingabe!$G$9:$G$18,I1438))&lt;=9,1000+(INDEX(Eingabe!$G$9:$G$18,I1438))*100,3000)+J1438,IF((INDEX(Eingabe!$G$9:$G$18,I1438)+1)&lt;=9,1000+(INDEX(Eingabe!$G$9:$G$18,I1438)+1)*100,3000)+J1438-100),IF(J1438=K1438+1,2000+INDEX(Eingabe!$G$9:$G$18,I1438)*10+1,IF(J1438=K1438+2,2000+INDEX(Eingabe!$G$9:$G$18,I1438)*10+2,2000+INDEX(Eingabe!$G$9:$G$18,I1438)*10+9))),""))</f>
        <v/>
      </c>
      <c r="C1438" s="0" t="str">
        <f aca="false">IF(I1438="","",IF(AND(J1438&gt;=1,J1438&lt;=K1438+3),"10."&amp;INDEX(Eingabe!$D$9:$D$18,I1438)&amp;"."&amp;IF(J1438&lt;=K1438,J1438,IF(J1438=K1438+1,200,IF(J1438=K1438+2,201,250)))&amp;".0/24",""))</f>
        <v/>
      </c>
      <c r="D1438" s="0" t="str">
        <f aca="false">IF(I1438="","",IF(AND(J1438&gt;=1,J1438&lt;=K1438+3),"255.255.255.0",""))</f>
        <v/>
      </c>
      <c r="E1438" s="0" t="str">
        <f aca="false">IF(I1438="","",IF(AND(J1438&gt;=1,J1438&lt;=K1438+3),"10."&amp;INDEX(Eingabe!$D$9:$D$18,I1438)&amp;"."&amp;IF(J1438&lt;=K1438,J1438,IF(J1438=K1438+1,200,IF(J1438=K1438+2,201,250)))&amp;".1",""))</f>
        <v/>
      </c>
      <c r="F1438" s="0" t="str">
        <f aca="false">IF(I1438="","",IF(AND(J1438&gt;=1,J1438&lt;=K1438+3),"10."&amp;INDEX(Eingabe!$D$9:$D$18,I1438)&amp;"."&amp;IF(J1438&lt;=K1438,J1438,IF(J1438=K1438+1,200,IF(J1438=K1438+2,201,250)))&amp;".10 – 10."&amp;INDEX(Eingabe!$D$9:$D$18,I1438)&amp;"."&amp;IF(J1438&lt;=K1438,J1438,IF(J1438=K1438+1,200,IF(J1438=K1438+2,201,250)))&amp;".250",""))</f>
        <v/>
      </c>
      <c r="G1438" s="0" t="str">
        <f aca="false">IF(I1438="","",IF(AND(J1438&gt;=1,J1438&lt;=K1438),Eingabe!$B$6&amp;"-"&amp;INDEX(Eingabe!$C$9:$C$18,I1438)&amp;"-Pächter  ·  Passwort Parzelle "&amp;J1438,IF(J1438=K1438+1,Eingabe!$B$6&amp;"-"&amp;INDEX(Eingabe!$C$9:$C$18,I1438)&amp;"-Vorstand  ·  eigenes WLAN",IF(J1438=K1438+2,Eingabe!$B$6&amp;"-"&amp;INDEX(Eingabe!$C$9:$C$18,I1438)&amp;"-Gäste  ·  Voucher",IF(J1438=K1438+3,"Kabel  ·  Access Point y = .(50+y), Mast-Switch x = .(10+x)","")))))</f>
        <v/>
      </c>
      <c r="I1438" s="0" t="str">
        <f aca="false">IF(1433&lt;=(Eingabe!$P$18+Eingabe!$Q$18-1),MATCH(1433,Eingabe!$P$9:$P$18,1),"")</f>
        <v/>
      </c>
      <c r="J1438" s="0" t="str">
        <f aca="false">IF(I1438="","",1433-INDEX(Eingabe!$P$9:$P$18,I1438))</f>
        <v/>
      </c>
      <c r="K1438" s="0" t="str">
        <f aca="false">IF(I1438="","",INDEX(Eingabe!$E$9:$E$18,I1438))</f>
        <v/>
      </c>
    </row>
    <row r="1439" customFormat="false" ht="15" hidden="false" customHeight="false" outlineLevel="0" collapsed="false">
      <c r="A1439" s="0" t="str">
        <f aca="false">IF(I1439="","",IF(J1439=0,"Sparte "&amp;I1439&amp;": "&amp;INDEX(Eingabe!$B$9:$B$18,I1439)&amp;"  (Sparten-ID "&amp;INDEX(Eingabe!$D$9:$D$18,I1439)&amp;", "&amp;K1439&amp;" Parzellen)",IF(J1439&lt;=K1439,"   Parzelle "&amp;J1439,IF(J1439=K1439+1,"   Vorstand",IF(J1439=K1439+2,"   Gäste",IF(J1439=K1439+3,"   Technik (Switches, Access Points)",""))))))</f>
        <v/>
      </c>
      <c r="B1439" s="0" t="str">
        <f aca="false">IF(I1439="","",IF(AND(J1439&gt;=1,J1439&lt;=K1439+3),IF(J1439&lt;=K1439,IF(J1439&lt;=99,IF((INDEX(Eingabe!$G$9:$G$18,I1439))&lt;=9,1000+(INDEX(Eingabe!$G$9:$G$18,I1439))*100,3000)+J1439,IF((INDEX(Eingabe!$G$9:$G$18,I1439)+1)&lt;=9,1000+(INDEX(Eingabe!$G$9:$G$18,I1439)+1)*100,3000)+J1439-100),IF(J1439=K1439+1,2000+INDEX(Eingabe!$G$9:$G$18,I1439)*10+1,IF(J1439=K1439+2,2000+INDEX(Eingabe!$G$9:$G$18,I1439)*10+2,2000+INDEX(Eingabe!$G$9:$G$18,I1439)*10+9))),""))</f>
        <v/>
      </c>
      <c r="C1439" s="0" t="str">
        <f aca="false">IF(I1439="","",IF(AND(J1439&gt;=1,J1439&lt;=K1439+3),"10."&amp;INDEX(Eingabe!$D$9:$D$18,I1439)&amp;"."&amp;IF(J1439&lt;=K1439,J1439,IF(J1439=K1439+1,200,IF(J1439=K1439+2,201,250)))&amp;".0/24",""))</f>
        <v/>
      </c>
      <c r="D1439" s="0" t="str">
        <f aca="false">IF(I1439="","",IF(AND(J1439&gt;=1,J1439&lt;=K1439+3),"255.255.255.0",""))</f>
        <v/>
      </c>
      <c r="E1439" s="0" t="str">
        <f aca="false">IF(I1439="","",IF(AND(J1439&gt;=1,J1439&lt;=K1439+3),"10."&amp;INDEX(Eingabe!$D$9:$D$18,I1439)&amp;"."&amp;IF(J1439&lt;=K1439,J1439,IF(J1439=K1439+1,200,IF(J1439=K1439+2,201,250)))&amp;".1",""))</f>
        <v/>
      </c>
      <c r="F1439" s="0" t="str">
        <f aca="false">IF(I1439="","",IF(AND(J1439&gt;=1,J1439&lt;=K1439+3),"10."&amp;INDEX(Eingabe!$D$9:$D$18,I1439)&amp;"."&amp;IF(J1439&lt;=K1439,J1439,IF(J1439=K1439+1,200,IF(J1439=K1439+2,201,250)))&amp;".10 – 10."&amp;INDEX(Eingabe!$D$9:$D$18,I1439)&amp;"."&amp;IF(J1439&lt;=K1439,J1439,IF(J1439=K1439+1,200,IF(J1439=K1439+2,201,250)))&amp;".250",""))</f>
        <v/>
      </c>
      <c r="G1439" s="0" t="str">
        <f aca="false">IF(I1439="","",IF(AND(J1439&gt;=1,J1439&lt;=K1439),Eingabe!$B$6&amp;"-"&amp;INDEX(Eingabe!$C$9:$C$18,I1439)&amp;"-Pächter  ·  Passwort Parzelle "&amp;J1439,IF(J1439=K1439+1,Eingabe!$B$6&amp;"-"&amp;INDEX(Eingabe!$C$9:$C$18,I1439)&amp;"-Vorstand  ·  eigenes WLAN",IF(J1439=K1439+2,Eingabe!$B$6&amp;"-"&amp;INDEX(Eingabe!$C$9:$C$18,I1439)&amp;"-Gäste  ·  Voucher",IF(J1439=K1439+3,"Kabel  ·  Access Point y = .(50+y), Mast-Switch x = .(10+x)","")))))</f>
        <v/>
      </c>
      <c r="I1439" s="0" t="str">
        <f aca="false">IF(1434&lt;=(Eingabe!$P$18+Eingabe!$Q$18-1),MATCH(1434,Eingabe!$P$9:$P$18,1),"")</f>
        <v/>
      </c>
      <c r="J1439" s="0" t="str">
        <f aca="false">IF(I1439="","",1434-INDEX(Eingabe!$P$9:$P$18,I1439))</f>
        <v/>
      </c>
      <c r="K1439" s="0" t="str">
        <f aca="false">IF(I1439="","",INDEX(Eingabe!$E$9:$E$18,I1439))</f>
        <v/>
      </c>
    </row>
    <row r="1440" customFormat="false" ht="15" hidden="false" customHeight="false" outlineLevel="0" collapsed="false">
      <c r="A1440" s="0" t="str">
        <f aca="false">IF(I1440="","",IF(J1440=0,"Sparte "&amp;I1440&amp;": "&amp;INDEX(Eingabe!$B$9:$B$18,I1440)&amp;"  (Sparten-ID "&amp;INDEX(Eingabe!$D$9:$D$18,I1440)&amp;", "&amp;K1440&amp;" Parzellen)",IF(J1440&lt;=K1440,"   Parzelle "&amp;J1440,IF(J1440=K1440+1,"   Vorstand",IF(J1440=K1440+2,"   Gäste",IF(J1440=K1440+3,"   Technik (Switches, Access Points)",""))))))</f>
        <v/>
      </c>
      <c r="B1440" s="0" t="str">
        <f aca="false">IF(I1440="","",IF(AND(J1440&gt;=1,J1440&lt;=K1440+3),IF(J1440&lt;=K1440,IF(J1440&lt;=99,IF((INDEX(Eingabe!$G$9:$G$18,I1440))&lt;=9,1000+(INDEX(Eingabe!$G$9:$G$18,I1440))*100,3000)+J1440,IF((INDEX(Eingabe!$G$9:$G$18,I1440)+1)&lt;=9,1000+(INDEX(Eingabe!$G$9:$G$18,I1440)+1)*100,3000)+J1440-100),IF(J1440=K1440+1,2000+INDEX(Eingabe!$G$9:$G$18,I1440)*10+1,IF(J1440=K1440+2,2000+INDEX(Eingabe!$G$9:$G$18,I1440)*10+2,2000+INDEX(Eingabe!$G$9:$G$18,I1440)*10+9))),""))</f>
        <v/>
      </c>
      <c r="C1440" s="0" t="str">
        <f aca="false">IF(I1440="","",IF(AND(J1440&gt;=1,J1440&lt;=K1440+3),"10."&amp;INDEX(Eingabe!$D$9:$D$18,I1440)&amp;"."&amp;IF(J1440&lt;=K1440,J1440,IF(J1440=K1440+1,200,IF(J1440=K1440+2,201,250)))&amp;".0/24",""))</f>
        <v/>
      </c>
      <c r="D1440" s="0" t="str">
        <f aca="false">IF(I1440="","",IF(AND(J1440&gt;=1,J1440&lt;=K1440+3),"255.255.255.0",""))</f>
        <v/>
      </c>
      <c r="E1440" s="0" t="str">
        <f aca="false">IF(I1440="","",IF(AND(J1440&gt;=1,J1440&lt;=K1440+3),"10."&amp;INDEX(Eingabe!$D$9:$D$18,I1440)&amp;"."&amp;IF(J1440&lt;=K1440,J1440,IF(J1440=K1440+1,200,IF(J1440=K1440+2,201,250)))&amp;".1",""))</f>
        <v/>
      </c>
      <c r="F1440" s="0" t="str">
        <f aca="false">IF(I1440="","",IF(AND(J1440&gt;=1,J1440&lt;=K1440+3),"10."&amp;INDEX(Eingabe!$D$9:$D$18,I1440)&amp;"."&amp;IF(J1440&lt;=K1440,J1440,IF(J1440=K1440+1,200,IF(J1440=K1440+2,201,250)))&amp;".10 – 10."&amp;INDEX(Eingabe!$D$9:$D$18,I1440)&amp;"."&amp;IF(J1440&lt;=K1440,J1440,IF(J1440=K1440+1,200,IF(J1440=K1440+2,201,250)))&amp;".250",""))</f>
        <v/>
      </c>
      <c r="G1440" s="0" t="str">
        <f aca="false">IF(I1440="","",IF(AND(J1440&gt;=1,J1440&lt;=K1440),Eingabe!$B$6&amp;"-"&amp;INDEX(Eingabe!$C$9:$C$18,I1440)&amp;"-Pächter  ·  Passwort Parzelle "&amp;J1440,IF(J1440=K1440+1,Eingabe!$B$6&amp;"-"&amp;INDEX(Eingabe!$C$9:$C$18,I1440)&amp;"-Vorstand  ·  eigenes WLAN",IF(J1440=K1440+2,Eingabe!$B$6&amp;"-"&amp;INDEX(Eingabe!$C$9:$C$18,I1440)&amp;"-Gäste  ·  Voucher",IF(J1440=K1440+3,"Kabel  ·  Access Point y = .(50+y), Mast-Switch x = .(10+x)","")))))</f>
        <v/>
      </c>
      <c r="I1440" s="0" t="str">
        <f aca="false">IF(1435&lt;=(Eingabe!$P$18+Eingabe!$Q$18-1),MATCH(1435,Eingabe!$P$9:$P$18,1),"")</f>
        <v/>
      </c>
      <c r="J1440" s="0" t="str">
        <f aca="false">IF(I1440="","",1435-INDEX(Eingabe!$P$9:$P$18,I1440))</f>
        <v/>
      </c>
      <c r="K1440" s="0" t="str">
        <f aca="false">IF(I1440="","",INDEX(Eingabe!$E$9:$E$18,I1440))</f>
        <v/>
      </c>
    </row>
    <row r="1441" customFormat="false" ht="15" hidden="false" customHeight="false" outlineLevel="0" collapsed="false">
      <c r="A1441" s="0" t="str">
        <f aca="false">IF(I1441="","",IF(J1441=0,"Sparte "&amp;I1441&amp;": "&amp;INDEX(Eingabe!$B$9:$B$18,I1441)&amp;"  (Sparten-ID "&amp;INDEX(Eingabe!$D$9:$D$18,I1441)&amp;", "&amp;K1441&amp;" Parzellen)",IF(J1441&lt;=K1441,"   Parzelle "&amp;J1441,IF(J1441=K1441+1,"   Vorstand",IF(J1441=K1441+2,"   Gäste",IF(J1441=K1441+3,"   Technik (Switches, Access Points)",""))))))</f>
        <v/>
      </c>
      <c r="B1441" s="0" t="str">
        <f aca="false">IF(I1441="","",IF(AND(J1441&gt;=1,J1441&lt;=K1441+3),IF(J1441&lt;=K1441,IF(J1441&lt;=99,IF((INDEX(Eingabe!$G$9:$G$18,I1441))&lt;=9,1000+(INDEX(Eingabe!$G$9:$G$18,I1441))*100,3000)+J1441,IF((INDEX(Eingabe!$G$9:$G$18,I1441)+1)&lt;=9,1000+(INDEX(Eingabe!$G$9:$G$18,I1441)+1)*100,3000)+J1441-100),IF(J1441=K1441+1,2000+INDEX(Eingabe!$G$9:$G$18,I1441)*10+1,IF(J1441=K1441+2,2000+INDEX(Eingabe!$G$9:$G$18,I1441)*10+2,2000+INDEX(Eingabe!$G$9:$G$18,I1441)*10+9))),""))</f>
        <v/>
      </c>
      <c r="C1441" s="0" t="str">
        <f aca="false">IF(I1441="","",IF(AND(J1441&gt;=1,J1441&lt;=K1441+3),"10."&amp;INDEX(Eingabe!$D$9:$D$18,I1441)&amp;"."&amp;IF(J1441&lt;=K1441,J1441,IF(J1441=K1441+1,200,IF(J1441=K1441+2,201,250)))&amp;".0/24",""))</f>
        <v/>
      </c>
      <c r="D1441" s="0" t="str">
        <f aca="false">IF(I1441="","",IF(AND(J1441&gt;=1,J1441&lt;=K1441+3),"255.255.255.0",""))</f>
        <v/>
      </c>
      <c r="E1441" s="0" t="str">
        <f aca="false">IF(I1441="","",IF(AND(J1441&gt;=1,J1441&lt;=K1441+3),"10."&amp;INDEX(Eingabe!$D$9:$D$18,I1441)&amp;"."&amp;IF(J1441&lt;=K1441,J1441,IF(J1441=K1441+1,200,IF(J1441=K1441+2,201,250)))&amp;".1",""))</f>
        <v/>
      </c>
      <c r="F1441" s="0" t="str">
        <f aca="false">IF(I1441="","",IF(AND(J1441&gt;=1,J1441&lt;=K1441+3),"10."&amp;INDEX(Eingabe!$D$9:$D$18,I1441)&amp;"."&amp;IF(J1441&lt;=K1441,J1441,IF(J1441=K1441+1,200,IF(J1441=K1441+2,201,250)))&amp;".10 – 10."&amp;INDEX(Eingabe!$D$9:$D$18,I1441)&amp;"."&amp;IF(J1441&lt;=K1441,J1441,IF(J1441=K1441+1,200,IF(J1441=K1441+2,201,250)))&amp;".250",""))</f>
        <v/>
      </c>
      <c r="G1441" s="0" t="str">
        <f aca="false">IF(I1441="","",IF(AND(J1441&gt;=1,J1441&lt;=K1441),Eingabe!$B$6&amp;"-"&amp;INDEX(Eingabe!$C$9:$C$18,I1441)&amp;"-Pächter  ·  Passwort Parzelle "&amp;J1441,IF(J1441=K1441+1,Eingabe!$B$6&amp;"-"&amp;INDEX(Eingabe!$C$9:$C$18,I1441)&amp;"-Vorstand  ·  eigenes WLAN",IF(J1441=K1441+2,Eingabe!$B$6&amp;"-"&amp;INDEX(Eingabe!$C$9:$C$18,I1441)&amp;"-Gäste  ·  Voucher",IF(J1441=K1441+3,"Kabel  ·  Access Point y = .(50+y), Mast-Switch x = .(10+x)","")))))</f>
        <v/>
      </c>
      <c r="I1441" s="0" t="str">
        <f aca="false">IF(1436&lt;=(Eingabe!$P$18+Eingabe!$Q$18-1),MATCH(1436,Eingabe!$P$9:$P$18,1),"")</f>
        <v/>
      </c>
      <c r="J1441" s="0" t="str">
        <f aca="false">IF(I1441="","",1436-INDEX(Eingabe!$P$9:$P$18,I1441))</f>
        <v/>
      </c>
      <c r="K1441" s="0" t="str">
        <f aca="false">IF(I1441="","",INDEX(Eingabe!$E$9:$E$18,I1441))</f>
        <v/>
      </c>
    </row>
    <row r="1442" customFormat="false" ht="15" hidden="false" customHeight="false" outlineLevel="0" collapsed="false">
      <c r="A1442" s="0" t="str">
        <f aca="false">IF(I1442="","",IF(J1442=0,"Sparte "&amp;I1442&amp;": "&amp;INDEX(Eingabe!$B$9:$B$18,I1442)&amp;"  (Sparten-ID "&amp;INDEX(Eingabe!$D$9:$D$18,I1442)&amp;", "&amp;K1442&amp;" Parzellen)",IF(J1442&lt;=K1442,"   Parzelle "&amp;J1442,IF(J1442=K1442+1,"   Vorstand",IF(J1442=K1442+2,"   Gäste",IF(J1442=K1442+3,"   Technik (Switches, Access Points)",""))))))</f>
        <v/>
      </c>
      <c r="B1442" s="0" t="str">
        <f aca="false">IF(I1442="","",IF(AND(J1442&gt;=1,J1442&lt;=K1442+3),IF(J1442&lt;=K1442,IF(J1442&lt;=99,IF((INDEX(Eingabe!$G$9:$G$18,I1442))&lt;=9,1000+(INDEX(Eingabe!$G$9:$G$18,I1442))*100,3000)+J1442,IF((INDEX(Eingabe!$G$9:$G$18,I1442)+1)&lt;=9,1000+(INDEX(Eingabe!$G$9:$G$18,I1442)+1)*100,3000)+J1442-100),IF(J1442=K1442+1,2000+INDEX(Eingabe!$G$9:$G$18,I1442)*10+1,IF(J1442=K1442+2,2000+INDEX(Eingabe!$G$9:$G$18,I1442)*10+2,2000+INDEX(Eingabe!$G$9:$G$18,I1442)*10+9))),""))</f>
        <v/>
      </c>
      <c r="C1442" s="0" t="str">
        <f aca="false">IF(I1442="","",IF(AND(J1442&gt;=1,J1442&lt;=K1442+3),"10."&amp;INDEX(Eingabe!$D$9:$D$18,I1442)&amp;"."&amp;IF(J1442&lt;=K1442,J1442,IF(J1442=K1442+1,200,IF(J1442=K1442+2,201,250)))&amp;".0/24",""))</f>
        <v/>
      </c>
      <c r="D1442" s="0" t="str">
        <f aca="false">IF(I1442="","",IF(AND(J1442&gt;=1,J1442&lt;=K1442+3),"255.255.255.0",""))</f>
        <v/>
      </c>
      <c r="E1442" s="0" t="str">
        <f aca="false">IF(I1442="","",IF(AND(J1442&gt;=1,J1442&lt;=K1442+3),"10."&amp;INDEX(Eingabe!$D$9:$D$18,I1442)&amp;"."&amp;IF(J1442&lt;=K1442,J1442,IF(J1442=K1442+1,200,IF(J1442=K1442+2,201,250)))&amp;".1",""))</f>
        <v/>
      </c>
      <c r="F1442" s="0" t="str">
        <f aca="false">IF(I1442="","",IF(AND(J1442&gt;=1,J1442&lt;=K1442+3),"10."&amp;INDEX(Eingabe!$D$9:$D$18,I1442)&amp;"."&amp;IF(J1442&lt;=K1442,J1442,IF(J1442=K1442+1,200,IF(J1442=K1442+2,201,250)))&amp;".10 – 10."&amp;INDEX(Eingabe!$D$9:$D$18,I1442)&amp;"."&amp;IF(J1442&lt;=K1442,J1442,IF(J1442=K1442+1,200,IF(J1442=K1442+2,201,250)))&amp;".250",""))</f>
        <v/>
      </c>
      <c r="G1442" s="0" t="str">
        <f aca="false">IF(I1442="","",IF(AND(J1442&gt;=1,J1442&lt;=K1442),Eingabe!$B$6&amp;"-"&amp;INDEX(Eingabe!$C$9:$C$18,I1442)&amp;"-Pächter  ·  Passwort Parzelle "&amp;J1442,IF(J1442=K1442+1,Eingabe!$B$6&amp;"-"&amp;INDEX(Eingabe!$C$9:$C$18,I1442)&amp;"-Vorstand  ·  eigenes WLAN",IF(J1442=K1442+2,Eingabe!$B$6&amp;"-"&amp;INDEX(Eingabe!$C$9:$C$18,I1442)&amp;"-Gäste  ·  Voucher",IF(J1442=K1442+3,"Kabel  ·  Access Point y = .(50+y), Mast-Switch x = .(10+x)","")))))</f>
        <v/>
      </c>
      <c r="I1442" s="0" t="str">
        <f aca="false">IF(1437&lt;=(Eingabe!$P$18+Eingabe!$Q$18-1),MATCH(1437,Eingabe!$P$9:$P$18,1),"")</f>
        <v/>
      </c>
      <c r="J1442" s="0" t="str">
        <f aca="false">IF(I1442="","",1437-INDEX(Eingabe!$P$9:$P$18,I1442))</f>
        <v/>
      </c>
      <c r="K1442" s="0" t="str">
        <f aca="false">IF(I1442="","",INDEX(Eingabe!$E$9:$E$18,I1442))</f>
        <v/>
      </c>
    </row>
    <row r="1443" customFormat="false" ht="15" hidden="false" customHeight="false" outlineLevel="0" collapsed="false">
      <c r="A1443" s="0" t="str">
        <f aca="false">IF(I1443="","",IF(J1443=0,"Sparte "&amp;I1443&amp;": "&amp;INDEX(Eingabe!$B$9:$B$18,I1443)&amp;"  (Sparten-ID "&amp;INDEX(Eingabe!$D$9:$D$18,I1443)&amp;", "&amp;K1443&amp;" Parzellen)",IF(J1443&lt;=K1443,"   Parzelle "&amp;J1443,IF(J1443=K1443+1,"   Vorstand",IF(J1443=K1443+2,"   Gäste",IF(J1443=K1443+3,"   Technik (Switches, Access Points)",""))))))</f>
        <v/>
      </c>
      <c r="B1443" s="0" t="str">
        <f aca="false">IF(I1443="","",IF(AND(J1443&gt;=1,J1443&lt;=K1443+3),IF(J1443&lt;=K1443,IF(J1443&lt;=99,IF((INDEX(Eingabe!$G$9:$G$18,I1443))&lt;=9,1000+(INDEX(Eingabe!$G$9:$G$18,I1443))*100,3000)+J1443,IF((INDEX(Eingabe!$G$9:$G$18,I1443)+1)&lt;=9,1000+(INDEX(Eingabe!$G$9:$G$18,I1443)+1)*100,3000)+J1443-100),IF(J1443=K1443+1,2000+INDEX(Eingabe!$G$9:$G$18,I1443)*10+1,IF(J1443=K1443+2,2000+INDEX(Eingabe!$G$9:$G$18,I1443)*10+2,2000+INDEX(Eingabe!$G$9:$G$18,I1443)*10+9))),""))</f>
        <v/>
      </c>
      <c r="C1443" s="0" t="str">
        <f aca="false">IF(I1443="","",IF(AND(J1443&gt;=1,J1443&lt;=K1443+3),"10."&amp;INDEX(Eingabe!$D$9:$D$18,I1443)&amp;"."&amp;IF(J1443&lt;=K1443,J1443,IF(J1443=K1443+1,200,IF(J1443=K1443+2,201,250)))&amp;".0/24",""))</f>
        <v/>
      </c>
      <c r="D1443" s="0" t="str">
        <f aca="false">IF(I1443="","",IF(AND(J1443&gt;=1,J1443&lt;=K1443+3),"255.255.255.0",""))</f>
        <v/>
      </c>
      <c r="E1443" s="0" t="str">
        <f aca="false">IF(I1443="","",IF(AND(J1443&gt;=1,J1443&lt;=K1443+3),"10."&amp;INDEX(Eingabe!$D$9:$D$18,I1443)&amp;"."&amp;IF(J1443&lt;=K1443,J1443,IF(J1443=K1443+1,200,IF(J1443=K1443+2,201,250)))&amp;".1",""))</f>
        <v/>
      </c>
      <c r="F1443" s="0" t="str">
        <f aca="false">IF(I1443="","",IF(AND(J1443&gt;=1,J1443&lt;=K1443+3),"10."&amp;INDEX(Eingabe!$D$9:$D$18,I1443)&amp;"."&amp;IF(J1443&lt;=K1443,J1443,IF(J1443=K1443+1,200,IF(J1443=K1443+2,201,250)))&amp;".10 – 10."&amp;INDEX(Eingabe!$D$9:$D$18,I1443)&amp;"."&amp;IF(J1443&lt;=K1443,J1443,IF(J1443=K1443+1,200,IF(J1443=K1443+2,201,250)))&amp;".250",""))</f>
        <v/>
      </c>
      <c r="G1443" s="0" t="str">
        <f aca="false">IF(I1443="","",IF(AND(J1443&gt;=1,J1443&lt;=K1443),Eingabe!$B$6&amp;"-"&amp;INDEX(Eingabe!$C$9:$C$18,I1443)&amp;"-Pächter  ·  Passwort Parzelle "&amp;J1443,IF(J1443=K1443+1,Eingabe!$B$6&amp;"-"&amp;INDEX(Eingabe!$C$9:$C$18,I1443)&amp;"-Vorstand  ·  eigenes WLAN",IF(J1443=K1443+2,Eingabe!$B$6&amp;"-"&amp;INDEX(Eingabe!$C$9:$C$18,I1443)&amp;"-Gäste  ·  Voucher",IF(J1443=K1443+3,"Kabel  ·  Access Point y = .(50+y), Mast-Switch x = .(10+x)","")))))</f>
        <v/>
      </c>
      <c r="I1443" s="0" t="str">
        <f aca="false">IF(1438&lt;=(Eingabe!$P$18+Eingabe!$Q$18-1),MATCH(1438,Eingabe!$P$9:$P$18,1),"")</f>
        <v/>
      </c>
      <c r="J1443" s="0" t="str">
        <f aca="false">IF(I1443="","",1438-INDEX(Eingabe!$P$9:$P$18,I1443))</f>
        <v/>
      </c>
      <c r="K1443" s="0" t="str">
        <f aca="false">IF(I1443="","",INDEX(Eingabe!$E$9:$E$18,I1443))</f>
        <v/>
      </c>
    </row>
    <row r="1444" customFormat="false" ht="15" hidden="false" customHeight="false" outlineLevel="0" collapsed="false">
      <c r="A1444" s="0" t="str">
        <f aca="false">IF(I1444="","",IF(J1444=0,"Sparte "&amp;I1444&amp;": "&amp;INDEX(Eingabe!$B$9:$B$18,I1444)&amp;"  (Sparten-ID "&amp;INDEX(Eingabe!$D$9:$D$18,I1444)&amp;", "&amp;K1444&amp;" Parzellen)",IF(J1444&lt;=K1444,"   Parzelle "&amp;J1444,IF(J1444=K1444+1,"   Vorstand",IF(J1444=K1444+2,"   Gäste",IF(J1444=K1444+3,"   Technik (Switches, Access Points)",""))))))</f>
        <v/>
      </c>
      <c r="B1444" s="0" t="str">
        <f aca="false">IF(I1444="","",IF(AND(J1444&gt;=1,J1444&lt;=K1444+3),IF(J1444&lt;=K1444,IF(J1444&lt;=99,IF((INDEX(Eingabe!$G$9:$G$18,I1444))&lt;=9,1000+(INDEX(Eingabe!$G$9:$G$18,I1444))*100,3000)+J1444,IF((INDEX(Eingabe!$G$9:$G$18,I1444)+1)&lt;=9,1000+(INDEX(Eingabe!$G$9:$G$18,I1444)+1)*100,3000)+J1444-100),IF(J1444=K1444+1,2000+INDEX(Eingabe!$G$9:$G$18,I1444)*10+1,IF(J1444=K1444+2,2000+INDEX(Eingabe!$G$9:$G$18,I1444)*10+2,2000+INDEX(Eingabe!$G$9:$G$18,I1444)*10+9))),""))</f>
        <v/>
      </c>
      <c r="C1444" s="0" t="str">
        <f aca="false">IF(I1444="","",IF(AND(J1444&gt;=1,J1444&lt;=K1444+3),"10."&amp;INDEX(Eingabe!$D$9:$D$18,I1444)&amp;"."&amp;IF(J1444&lt;=K1444,J1444,IF(J1444=K1444+1,200,IF(J1444=K1444+2,201,250)))&amp;".0/24",""))</f>
        <v/>
      </c>
      <c r="D1444" s="0" t="str">
        <f aca="false">IF(I1444="","",IF(AND(J1444&gt;=1,J1444&lt;=K1444+3),"255.255.255.0",""))</f>
        <v/>
      </c>
      <c r="E1444" s="0" t="str">
        <f aca="false">IF(I1444="","",IF(AND(J1444&gt;=1,J1444&lt;=K1444+3),"10."&amp;INDEX(Eingabe!$D$9:$D$18,I1444)&amp;"."&amp;IF(J1444&lt;=K1444,J1444,IF(J1444=K1444+1,200,IF(J1444=K1444+2,201,250)))&amp;".1",""))</f>
        <v/>
      </c>
      <c r="F1444" s="0" t="str">
        <f aca="false">IF(I1444="","",IF(AND(J1444&gt;=1,J1444&lt;=K1444+3),"10."&amp;INDEX(Eingabe!$D$9:$D$18,I1444)&amp;"."&amp;IF(J1444&lt;=K1444,J1444,IF(J1444=K1444+1,200,IF(J1444=K1444+2,201,250)))&amp;".10 – 10."&amp;INDEX(Eingabe!$D$9:$D$18,I1444)&amp;"."&amp;IF(J1444&lt;=K1444,J1444,IF(J1444=K1444+1,200,IF(J1444=K1444+2,201,250)))&amp;".250",""))</f>
        <v/>
      </c>
      <c r="G1444" s="0" t="str">
        <f aca="false">IF(I1444="","",IF(AND(J1444&gt;=1,J1444&lt;=K1444),Eingabe!$B$6&amp;"-"&amp;INDEX(Eingabe!$C$9:$C$18,I1444)&amp;"-Pächter  ·  Passwort Parzelle "&amp;J1444,IF(J1444=K1444+1,Eingabe!$B$6&amp;"-"&amp;INDEX(Eingabe!$C$9:$C$18,I1444)&amp;"-Vorstand  ·  eigenes WLAN",IF(J1444=K1444+2,Eingabe!$B$6&amp;"-"&amp;INDEX(Eingabe!$C$9:$C$18,I1444)&amp;"-Gäste  ·  Voucher",IF(J1444=K1444+3,"Kabel  ·  Access Point y = .(50+y), Mast-Switch x = .(10+x)","")))))</f>
        <v/>
      </c>
      <c r="I1444" s="0" t="str">
        <f aca="false">IF(1439&lt;=(Eingabe!$P$18+Eingabe!$Q$18-1),MATCH(1439,Eingabe!$P$9:$P$18,1),"")</f>
        <v/>
      </c>
      <c r="J1444" s="0" t="str">
        <f aca="false">IF(I1444="","",1439-INDEX(Eingabe!$P$9:$P$18,I1444))</f>
        <v/>
      </c>
      <c r="K1444" s="0" t="str">
        <f aca="false">IF(I1444="","",INDEX(Eingabe!$E$9:$E$18,I1444))</f>
        <v/>
      </c>
    </row>
    <row r="1445" customFormat="false" ht="15" hidden="false" customHeight="false" outlineLevel="0" collapsed="false">
      <c r="A1445" s="0" t="str">
        <f aca="false">IF(I1445="","",IF(J1445=0,"Sparte "&amp;I1445&amp;": "&amp;INDEX(Eingabe!$B$9:$B$18,I1445)&amp;"  (Sparten-ID "&amp;INDEX(Eingabe!$D$9:$D$18,I1445)&amp;", "&amp;K1445&amp;" Parzellen)",IF(J1445&lt;=K1445,"   Parzelle "&amp;J1445,IF(J1445=K1445+1,"   Vorstand",IF(J1445=K1445+2,"   Gäste",IF(J1445=K1445+3,"   Technik (Switches, Access Points)",""))))))</f>
        <v/>
      </c>
      <c r="B1445" s="0" t="str">
        <f aca="false">IF(I1445="","",IF(AND(J1445&gt;=1,J1445&lt;=K1445+3),IF(J1445&lt;=K1445,IF(J1445&lt;=99,IF((INDEX(Eingabe!$G$9:$G$18,I1445))&lt;=9,1000+(INDEX(Eingabe!$G$9:$G$18,I1445))*100,3000)+J1445,IF((INDEX(Eingabe!$G$9:$G$18,I1445)+1)&lt;=9,1000+(INDEX(Eingabe!$G$9:$G$18,I1445)+1)*100,3000)+J1445-100),IF(J1445=K1445+1,2000+INDEX(Eingabe!$G$9:$G$18,I1445)*10+1,IF(J1445=K1445+2,2000+INDEX(Eingabe!$G$9:$G$18,I1445)*10+2,2000+INDEX(Eingabe!$G$9:$G$18,I1445)*10+9))),""))</f>
        <v/>
      </c>
      <c r="C1445" s="0" t="str">
        <f aca="false">IF(I1445="","",IF(AND(J1445&gt;=1,J1445&lt;=K1445+3),"10."&amp;INDEX(Eingabe!$D$9:$D$18,I1445)&amp;"."&amp;IF(J1445&lt;=K1445,J1445,IF(J1445=K1445+1,200,IF(J1445=K1445+2,201,250)))&amp;".0/24",""))</f>
        <v/>
      </c>
      <c r="D1445" s="0" t="str">
        <f aca="false">IF(I1445="","",IF(AND(J1445&gt;=1,J1445&lt;=K1445+3),"255.255.255.0",""))</f>
        <v/>
      </c>
      <c r="E1445" s="0" t="str">
        <f aca="false">IF(I1445="","",IF(AND(J1445&gt;=1,J1445&lt;=K1445+3),"10."&amp;INDEX(Eingabe!$D$9:$D$18,I1445)&amp;"."&amp;IF(J1445&lt;=K1445,J1445,IF(J1445=K1445+1,200,IF(J1445=K1445+2,201,250)))&amp;".1",""))</f>
        <v/>
      </c>
      <c r="F1445" s="0" t="str">
        <f aca="false">IF(I1445="","",IF(AND(J1445&gt;=1,J1445&lt;=K1445+3),"10."&amp;INDEX(Eingabe!$D$9:$D$18,I1445)&amp;"."&amp;IF(J1445&lt;=K1445,J1445,IF(J1445=K1445+1,200,IF(J1445=K1445+2,201,250)))&amp;".10 – 10."&amp;INDEX(Eingabe!$D$9:$D$18,I1445)&amp;"."&amp;IF(J1445&lt;=K1445,J1445,IF(J1445=K1445+1,200,IF(J1445=K1445+2,201,250)))&amp;".250",""))</f>
        <v/>
      </c>
      <c r="G1445" s="0" t="str">
        <f aca="false">IF(I1445="","",IF(AND(J1445&gt;=1,J1445&lt;=K1445),Eingabe!$B$6&amp;"-"&amp;INDEX(Eingabe!$C$9:$C$18,I1445)&amp;"-Pächter  ·  Passwort Parzelle "&amp;J1445,IF(J1445=K1445+1,Eingabe!$B$6&amp;"-"&amp;INDEX(Eingabe!$C$9:$C$18,I1445)&amp;"-Vorstand  ·  eigenes WLAN",IF(J1445=K1445+2,Eingabe!$B$6&amp;"-"&amp;INDEX(Eingabe!$C$9:$C$18,I1445)&amp;"-Gäste  ·  Voucher",IF(J1445=K1445+3,"Kabel  ·  Access Point y = .(50+y), Mast-Switch x = .(10+x)","")))))</f>
        <v/>
      </c>
      <c r="I1445" s="0" t="str">
        <f aca="false">IF(1440&lt;=(Eingabe!$P$18+Eingabe!$Q$18-1),MATCH(1440,Eingabe!$P$9:$P$18,1),"")</f>
        <v/>
      </c>
      <c r="J1445" s="0" t="str">
        <f aca="false">IF(I1445="","",1440-INDEX(Eingabe!$P$9:$P$18,I1445))</f>
        <v/>
      </c>
      <c r="K1445" s="0" t="str">
        <f aca="false">IF(I1445="","",INDEX(Eingabe!$E$9:$E$18,I1445))</f>
        <v/>
      </c>
    </row>
    <row r="1446" customFormat="false" ht="15" hidden="false" customHeight="false" outlineLevel="0" collapsed="false">
      <c r="A1446" s="0" t="str">
        <f aca="false">IF(I1446="","",IF(J1446=0,"Sparte "&amp;I1446&amp;": "&amp;INDEX(Eingabe!$B$9:$B$18,I1446)&amp;"  (Sparten-ID "&amp;INDEX(Eingabe!$D$9:$D$18,I1446)&amp;", "&amp;K1446&amp;" Parzellen)",IF(J1446&lt;=K1446,"   Parzelle "&amp;J1446,IF(J1446=K1446+1,"   Vorstand",IF(J1446=K1446+2,"   Gäste",IF(J1446=K1446+3,"   Technik (Switches, Access Points)",""))))))</f>
        <v/>
      </c>
      <c r="B1446" s="0" t="str">
        <f aca="false">IF(I1446="","",IF(AND(J1446&gt;=1,J1446&lt;=K1446+3),IF(J1446&lt;=K1446,IF(J1446&lt;=99,IF((INDEX(Eingabe!$G$9:$G$18,I1446))&lt;=9,1000+(INDEX(Eingabe!$G$9:$G$18,I1446))*100,3000)+J1446,IF((INDEX(Eingabe!$G$9:$G$18,I1446)+1)&lt;=9,1000+(INDEX(Eingabe!$G$9:$G$18,I1446)+1)*100,3000)+J1446-100),IF(J1446=K1446+1,2000+INDEX(Eingabe!$G$9:$G$18,I1446)*10+1,IF(J1446=K1446+2,2000+INDEX(Eingabe!$G$9:$G$18,I1446)*10+2,2000+INDEX(Eingabe!$G$9:$G$18,I1446)*10+9))),""))</f>
        <v/>
      </c>
      <c r="C1446" s="0" t="str">
        <f aca="false">IF(I1446="","",IF(AND(J1446&gt;=1,J1446&lt;=K1446+3),"10."&amp;INDEX(Eingabe!$D$9:$D$18,I1446)&amp;"."&amp;IF(J1446&lt;=K1446,J1446,IF(J1446=K1446+1,200,IF(J1446=K1446+2,201,250)))&amp;".0/24",""))</f>
        <v/>
      </c>
      <c r="D1446" s="0" t="str">
        <f aca="false">IF(I1446="","",IF(AND(J1446&gt;=1,J1446&lt;=K1446+3),"255.255.255.0",""))</f>
        <v/>
      </c>
      <c r="E1446" s="0" t="str">
        <f aca="false">IF(I1446="","",IF(AND(J1446&gt;=1,J1446&lt;=K1446+3),"10."&amp;INDEX(Eingabe!$D$9:$D$18,I1446)&amp;"."&amp;IF(J1446&lt;=K1446,J1446,IF(J1446=K1446+1,200,IF(J1446=K1446+2,201,250)))&amp;".1",""))</f>
        <v/>
      </c>
      <c r="F1446" s="0" t="str">
        <f aca="false">IF(I1446="","",IF(AND(J1446&gt;=1,J1446&lt;=K1446+3),"10."&amp;INDEX(Eingabe!$D$9:$D$18,I1446)&amp;"."&amp;IF(J1446&lt;=K1446,J1446,IF(J1446=K1446+1,200,IF(J1446=K1446+2,201,250)))&amp;".10 – 10."&amp;INDEX(Eingabe!$D$9:$D$18,I1446)&amp;"."&amp;IF(J1446&lt;=K1446,J1446,IF(J1446=K1446+1,200,IF(J1446=K1446+2,201,250)))&amp;".250",""))</f>
        <v/>
      </c>
      <c r="G1446" s="0" t="str">
        <f aca="false">IF(I1446="","",IF(AND(J1446&gt;=1,J1446&lt;=K1446),Eingabe!$B$6&amp;"-"&amp;INDEX(Eingabe!$C$9:$C$18,I1446)&amp;"-Pächter  ·  Passwort Parzelle "&amp;J1446,IF(J1446=K1446+1,Eingabe!$B$6&amp;"-"&amp;INDEX(Eingabe!$C$9:$C$18,I1446)&amp;"-Vorstand  ·  eigenes WLAN",IF(J1446=K1446+2,Eingabe!$B$6&amp;"-"&amp;INDEX(Eingabe!$C$9:$C$18,I1446)&amp;"-Gäste  ·  Voucher",IF(J1446=K1446+3,"Kabel  ·  Access Point y = .(50+y), Mast-Switch x = .(10+x)","")))))</f>
        <v/>
      </c>
      <c r="I1446" s="0" t="str">
        <f aca="false">IF(1441&lt;=(Eingabe!$P$18+Eingabe!$Q$18-1),MATCH(1441,Eingabe!$P$9:$P$18,1),"")</f>
        <v/>
      </c>
      <c r="J1446" s="0" t="str">
        <f aca="false">IF(I1446="","",1441-INDEX(Eingabe!$P$9:$P$18,I1446))</f>
        <v/>
      </c>
      <c r="K1446" s="0" t="str">
        <f aca="false">IF(I1446="","",INDEX(Eingabe!$E$9:$E$18,I1446))</f>
        <v/>
      </c>
    </row>
    <row r="1447" customFormat="false" ht="15" hidden="false" customHeight="false" outlineLevel="0" collapsed="false">
      <c r="A1447" s="0" t="str">
        <f aca="false">IF(I1447="","",IF(J1447=0,"Sparte "&amp;I1447&amp;": "&amp;INDEX(Eingabe!$B$9:$B$18,I1447)&amp;"  (Sparten-ID "&amp;INDEX(Eingabe!$D$9:$D$18,I1447)&amp;", "&amp;K1447&amp;" Parzellen)",IF(J1447&lt;=K1447,"   Parzelle "&amp;J1447,IF(J1447=K1447+1,"   Vorstand",IF(J1447=K1447+2,"   Gäste",IF(J1447=K1447+3,"   Technik (Switches, Access Points)",""))))))</f>
        <v/>
      </c>
      <c r="B1447" s="0" t="str">
        <f aca="false">IF(I1447="","",IF(AND(J1447&gt;=1,J1447&lt;=K1447+3),IF(J1447&lt;=K1447,IF(J1447&lt;=99,IF((INDEX(Eingabe!$G$9:$G$18,I1447))&lt;=9,1000+(INDEX(Eingabe!$G$9:$G$18,I1447))*100,3000)+J1447,IF((INDEX(Eingabe!$G$9:$G$18,I1447)+1)&lt;=9,1000+(INDEX(Eingabe!$G$9:$G$18,I1447)+1)*100,3000)+J1447-100),IF(J1447=K1447+1,2000+INDEX(Eingabe!$G$9:$G$18,I1447)*10+1,IF(J1447=K1447+2,2000+INDEX(Eingabe!$G$9:$G$18,I1447)*10+2,2000+INDEX(Eingabe!$G$9:$G$18,I1447)*10+9))),""))</f>
        <v/>
      </c>
      <c r="C1447" s="0" t="str">
        <f aca="false">IF(I1447="","",IF(AND(J1447&gt;=1,J1447&lt;=K1447+3),"10."&amp;INDEX(Eingabe!$D$9:$D$18,I1447)&amp;"."&amp;IF(J1447&lt;=K1447,J1447,IF(J1447=K1447+1,200,IF(J1447=K1447+2,201,250)))&amp;".0/24",""))</f>
        <v/>
      </c>
      <c r="D1447" s="0" t="str">
        <f aca="false">IF(I1447="","",IF(AND(J1447&gt;=1,J1447&lt;=K1447+3),"255.255.255.0",""))</f>
        <v/>
      </c>
      <c r="E1447" s="0" t="str">
        <f aca="false">IF(I1447="","",IF(AND(J1447&gt;=1,J1447&lt;=K1447+3),"10."&amp;INDEX(Eingabe!$D$9:$D$18,I1447)&amp;"."&amp;IF(J1447&lt;=K1447,J1447,IF(J1447=K1447+1,200,IF(J1447=K1447+2,201,250)))&amp;".1",""))</f>
        <v/>
      </c>
      <c r="F1447" s="0" t="str">
        <f aca="false">IF(I1447="","",IF(AND(J1447&gt;=1,J1447&lt;=K1447+3),"10."&amp;INDEX(Eingabe!$D$9:$D$18,I1447)&amp;"."&amp;IF(J1447&lt;=K1447,J1447,IF(J1447=K1447+1,200,IF(J1447=K1447+2,201,250)))&amp;".10 – 10."&amp;INDEX(Eingabe!$D$9:$D$18,I1447)&amp;"."&amp;IF(J1447&lt;=K1447,J1447,IF(J1447=K1447+1,200,IF(J1447=K1447+2,201,250)))&amp;".250",""))</f>
        <v/>
      </c>
      <c r="G1447" s="0" t="str">
        <f aca="false">IF(I1447="","",IF(AND(J1447&gt;=1,J1447&lt;=K1447),Eingabe!$B$6&amp;"-"&amp;INDEX(Eingabe!$C$9:$C$18,I1447)&amp;"-Pächter  ·  Passwort Parzelle "&amp;J1447,IF(J1447=K1447+1,Eingabe!$B$6&amp;"-"&amp;INDEX(Eingabe!$C$9:$C$18,I1447)&amp;"-Vorstand  ·  eigenes WLAN",IF(J1447=K1447+2,Eingabe!$B$6&amp;"-"&amp;INDEX(Eingabe!$C$9:$C$18,I1447)&amp;"-Gäste  ·  Voucher",IF(J1447=K1447+3,"Kabel  ·  Access Point y = .(50+y), Mast-Switch x = .(10+x)","")))))</f>
        <v/>
      </c>
      <c r="I1447" s="0" t="str">
        <f aca="false">IF(1442&lt;=(Eingabe!$P$18+Eingabe!$Q$18-1),MATCH(1442,Eingabe!$P$9:$P$18,1),"")</f>
        <v/>
      </c>
      <c r="J1447" s="0" t="str">
        <f aca="false">IF(I1447="","",1442-INDEX(Eingabe!$P$9:$P$18,I1447))</f>
        <v/>
      </c>
      <c r="K1447" s="0" t="str">
        <f aca="false">IF(I1447="","",INDEX(Eingabe!$E$9:$E$18,I1447))</f>
        <v/>
      </c>
    </row>
    <row r="1448" customFormat="false" ht="15" hidden="false" customHeight="false" outlineLevel="0" collapsed="false">
      <c r="A1448" s="0" t="str">
        <f aca="false">IF(I1448="","",IF(J1448=0,"Sparte "&amp;I1448&amp;": "&amp;INDEX(Eingabe!$B$9:$B$18,I1448)&amp;"  (Sparten-ID "&amp;INDEX(Eingabe!$D$9:$D$18,I1448)&amp;", "&amp;K1448&amp;" Parzellen)",IF(J1448&lt;=K1448,"   Parzelle "&amp;J1448,IF(J1448=K1448+1,"   Vorstand",IF(J1448=K1448+2,"   Gäste",IF(J1448=K1448+3,"   Technik (Switches, Access Points)",""))))))</f>
        <v/>
      </c>
      <c r="B1448" s="0" t="str">
        <f aca="false">IF(I1448="","",IF(AND(J1448&gt;=1,J1448&lt;=K1448+3),IF(J1448&lt;=K1448,IF(J1448&lt;=99,IF((INDEX(Eingabe!$G$9:$G$18,I1448))&lt;=9,1000+(INDEX(Eingabe!$G$9:$G$18,I1448))*100,3000)+J1448,IF((INDEX(Eingabe!$G$9:$G$18,I1448)+1)&lt;=9,1000+(INDEX(Eingabe!$G$9:$G$18,I1448)+1)*100,3000)+J1448-100),IF(J1448=K1448+1,2000+INDEX(Eingabe!$G$9:$G$18,I1448)*10+1,IF(J1448=K1448+2,2000+INDEX(Eingabe!$G$9:$G$18,I1448)*10+2,2000+INDEX(Eingabe!$G$9:$G$18,I1448)*10+9))),""))</f>
        <v/>
      </c>
      <c r="C1448" s="0" t="str">
        <f aca="false">IF(I1448="","",IF(AND(J1448&gt;=1,J1448&lt;=K1448+3),"10."&amp;INDEX(Eingabe!$D$9:$D$18,I1448)&amp;"."&amp;IF(J1448&lt;=K1448,J1448,IF(J1448=K1448+1,200,IF(J1448=K1448+2,201,250)))&amp;".0/24",""))</f>
        <v/>
      </c>
      <c r="D1448" s="0" t="str">
        <f aca="false">IF(I1448="","",IF(AND(J1448&gt;=1,J1448&lt;=K1448+3),"255.255.255.0",""))</f>
        <v/>
      </c>
      <c r="E1448" s="0" t="str">
        <f aca="false">IF(I1448="","",IF(AND(J1448&gt;=1,J1448&lt;=K1448+3),"10."&amp;INDEX(Eingabe!$D$9:$D$18,I1448)&amp;"."&amp;IF(J1448&lt;=K1448,J1448,IF(J1448=K1448+1,200,IF(J1448=K1448+2,201,250)))&amp;".1",""))</f>
        <v/>
      </c>
      <c r="F1448" s="0" t="str">
        <f aca="false">IF(I1448="","",IF(AND(J1448&gt;=1,J1448&lt;=K1448+3),"10."&amp;INDEX(Eingabe!$D$9:$D$18,I1448)&amp;"."&amp;IF(J1448&lt;=K1448,J1448,IF(J1448=K1448+1,200,IF(J1448=K1448+2,201,250)))&amp;".10 – 10."&amp;INDEX(Eingabe!$D$9:$D$18,I1448)&amp;"."&amp;IF(J1448&lt;=K1448,J1448,IF(J1448=K1448+1,200,IF(J1448=K1448+2,201,250)))&amp;".250",""))</f>
        <v/>
      </c>
      <c r="G1448" s="0" t="str">
        <f aca="false">IF(I1448="","",IF(AND(J1448&gt;=1,J1448&lt;=K1448),Eingabe!$B$6&amp;"-"&amp;INDEX(Eingabe!$C$9:$C$18,I1448)&amp;"-Pächter  ·  Passwort Parzelle "&amp;J1448,IF(J1448=K1448+1,Eingabe!$B$6&amp;"-"&amp;INDEX(Eingabe!$C$9:$C$18,I1448)&amp;"-Vorstand  ·  eigenes WLAN",IF(J1448=K1448+2,Eingabe!$B$6&amp;"-"&amp;INDEX(Eingabe!$C$9:$C$18,I1448)&amp;"-Gäste  ·  Voucher",IF(J1448=K1448+3,"Kabel  ·  Access Point y = .(50+y), Mast-Switch x = .(10+x)","")))))</f>
        <v/>
      </c>
      <c r="I1448" s="0" t="str">
        <f aca="false">IF(1443&lt;=(Eingabe!$P$18+Eingabe!$Q$18-1),MATCH(1443,Eingabe!$P$9:$P$18,1),"")</f>
        <v/>
      </c>
      <c r="J1448" s="0" t="str">
        <f aca="false">IF(I1448="","",1443-INDEX(Eingabe!$P$9:$P$18,I1448))</f>
        <v/>
      </c>
      <c r="K1448" s="0" t="str">
        <f aca="false">IF(I1448="","",INDEX(Eingabe!$E$9:$E$18,I1448))</f>
        <v/>
      </c>
    </row>
    <row r="1449" customFormat="false" ht="15" hidden="false" customHeight="false" outlineLevel="0" collapsed="false">
      <c r="A1449" s="0" t="str">
        <f aca="false">IF(I1449="","",IF(J1449=0,"Sparte "&amp;I1449&amp;": "&amp;INDEX(Eingabe!$B$9:$B$18,I1449)&amp;"  (Sparten-ID "&amp;INDEX(Eingabe!$D$9:$D$18,I1449)&amp;", "&amp;K1449&amp;" Parzellen)",IF(J1449&lt;=K1449,"   Parzelle "&amp;J1449,IF(J1449=K1449+1,"   Vorstand",IF(J1449=K1449+2,"   Gäste",IF(J1449=K1449+3,"   Technik (Switches, Access Points)",""))))))</f>
        <v/>
      </c>
      <c r="B1449" s="0" t="str">
        <f aca="false">IF(I1449="","",IF(AND(J1449&gt;=1,J1449&lt;=K1449+3),IF(J1449&lt;=K1449,IF(J1449&lt;=99,IF((INDEX(Eingabe!$G$9:$G$18,I1449))&lt;=9,1000+(INDEX(Eingabe!$G$9:$G$18,I1449))*100,3000)+J1449,IF((INDEX(Eingabe!$G$9:$G$18,I1449)+1)&lt;=9,1000+(INDEX(Eingabe!$G$9:$G$18,I1449)+1)*100,3000)+J1449-100),IF(J1449=K1449+1,2000+INDEX(Eingabe!$G$9:$G$18,I1449)*10+1,IF(J1449=K1449+2,2000+INDEX(Eingabe!$G$9:$G$18,I1449)*10+2,2000+INDEX(Eingabe!$G$9:$G$18,I1449)*10+9))),""))</f>
        <v/>
      </c>
      <c r="C1449" s="0" t="str">
        <f aca="false">IF(I1449="","",IF(AND(J1449&gt;=1,J1449&lt;=K1449+3),"10."&amp;INDEX(Eingabe!$D$9:$D$18,I1449)&amp;"."&amp;IF(J1449&lt;=K1449,J1449,IF(J1449=K1449+1,200,IF(J1449=K1449+2,201,250)))&amp;".0/24",""))</f>
        <v/>
      </c>
      <c r="D1449" s="0" t="str">
        <f aca="false">IF(I1449="","",IF(AND(J1449&gt;=1,J1449&lt;=K1449+3),"255.255.255.0",""))</f>
        <v/>
      </c>
      <c r="E1449" s="0" t="str">
        <f aca="false">IF(I1449="","",IF(AND(J1449&gt;=1,J1449&lt;=K1449+3),"10."&amp;INDEX(Eingabe!$D$9:$D$18,I1449)&amp;"."&amp;IF(J1449&lt;=K1449,J1449,IF(J1449=K1449+1,200,IF(J1449=K1449+2,201,250)))&amp;".1",""))</f>
        <v/>
      </c>
      <c r="F1449" s="0" t="str">
        <f aca="false">IF(I1449="","",IF(AND(J1449&gt;=1,J1449&lt;=K1449+3),"10."&amp;INDEX(Eingabe!$D$9:$D$18,I1449)&amp;"."&amp;IF(J1449&lt;=K1449,J1449,IF(J1449=K1449+1,200,IF(J1449=K1449+2,201,250)))&amp;".10 – 10."&amp;INDEX(Eingabe!$D$9:$D$18,I1449)&amp;"."&amp;IF(J1449&lt;=K1449,J1449,IF(J1449=K1449+1,200,IF(J1449=K1449+2,201,250)))&amp;".250",""))</f>
        <v/>
      </c>
      <c r="G1449" s="0" t="str">
        <f aca="false">IF(I1449="","",IF(AND(J1449&gt;=1,J1449&lt;=K1449),Eingabe!$B$6&amp;"-"&amp;INDEX(Eingabe!$C$9:$C$18,I1449)&amp;"-Pächter  ·  Passwort Parzelle "&amp;J1449,IF(J1449=K1449+1,Eingabe!$B$6&amp;"-"&amp;INDEX(Eingabe!$C$9:$C$18,I1449)&amp;"-Vorstand  ·  eigenes WLAN",IF(J1449=K1449+2,Eingabe!$B$6&amp;"-"&amp;INDEX(Eingabe!$C$9:$C$18,I1449)&amp;"-Gäste  ·  Voucher",IF(J1449=K1449+3,"Kabel  ·  Access Point y = .(50+y), Mast-Switch x = .(10+x)","")))))</f>
        <v/>
      </c>
      <c r="I1449" s="0" t="str">
        <f aca="false">IF(1444&lt;=(Eingabe!$P$18+Eingabe!$Q$18-1),MATCH(1444,Eingabe!$P$9:$P$18,1),"")</f>
        <v/>
      </c>
      <c r="J1449" s="0" t="str">
        <f aca="false">IF(I1449="","",1444-INDEX(Eingabe!$P$9:$P$18,I1449))</f>
        <v/>
      </c>
      <c r="K1449" s="0" t="str">
        <f aca="false">IF(I1449="","",INDEX(Eingabe!$E$9:$E$18,I1449))</f>
        <v/>
      </c>
    </row>
    <row r="1450" customFormat="false" ht="15" hidden="false" customHeight="false" outlineLevel="0" collapsed="false">
      <c r="A1450" s="0" t="str">
        <f aca="false">IF(I1450="","",IF(J1450=0,"Sparte "&amp;I1450&amp;": "&amp;INDEX(Eingabe!$B$9:$B$18,I1450)&amp;"  (Sparten-ID "&amp;INDEX(Eingabe!$D$9:$D$18,I1450)&amp;", "&amp;K1450&amp;" Parzellen)",IF(J1450&lt;=K1450,"   Parzelle "&amp;J1450,IF(J1450=K1450+1,"   Vorstand",IF(J1450=K1450+2,"   Gäste",IF(J1450=K1450+3,"   Technik (Switches, Access Points)",""))))))</f>
        <v/>
      </c>
      <c r="B1450" s="0" t="str">
        <f aca="false">IF(I1450="","",IF(AND(J1450&gt;=1,J1450&lt;=K1450+3),IF(J1450&lt;=K1450,IF(J1450&lt;=99,IF((INDEX(Eingabe!$G$9:$G$18,I1450))&lt;=9,1000+(INDEX(Eingabe!$G$9:$G$18,I1450))*100,3000)+J1450,IF((INDEX(Eingabe!$G$9:$G$18,I1450)+1)&lt;=9,1000+(INDEX(Eingabe!$G$9:$G$18,I1450)+1)*100,3000)+J1450-100),IF(J1450=K1450+1,2000+INDEX(Eingabe!$G$9:$G$18,I1450)*10+1,IF(J1450=K1450+2,2000+INDEX(Eingabe!$G$9:$G$18,I1450)*10+2,2000+INDEX(Eingabe!$G$9:$G$18,I1450)*10+9))),""))</f>
        <v/>
      </c>
      <c r="C1450" s="0" t="str">
        <f aca="false">IF(I1450="","",IF(AND(J1450&gt;=1,J1450&lt;=K1450+3),"10."&amp;INDEX(Eingabe!$D$9:$D$18,I1450)&amp;"."&amp;IF(J1450&lt;=K1450,J1450,IF(J1450=K1450+1,200,IF(J1450=K1450+2,201,250)))&amp;".0/24",""))</f>
        <v/>
      </c>
      <c r="D1450" s="0" t="str">
        <f aca="false">IF(I1450="","",IF(AND(J1450&gt;=1,J1450&lt;=K1450+3),"255.255.255.0",""))</f>
        <v/>
      </c>
      <c r="E1450" s="0" t="str">
        <f aca="false">IF(I1450="","",IF(AND(J1450&gt;=1,J1450&lt;=K1450+3),"10."&amp;INDEX(Eingabe!$D$9:$D$18,I1450)&amp;"."&amp;IF(J1450&lt;=K1450,J1450,IF(J1450=K1450+1,200,IF(J1450=K1450+2,201,250)))&amp;".1",""))</f>
        <v/>
      </c>
      <c r="F1450" s="0" t="str">
        <f aca="false">IF(I1450="","",IF(AND(J1450&gt;=1,J1450&lt;=K1450+3),"10."&amp;INDEX(Eingabe!$D$9:$D$18,I1450)&amp;"."&amp;IF(J1450&lt;=K1450,J1450,IF(J1450=K1450+1,200,IF(J1450=K1450+2,201,250)))&amp;".10 – 10."&amp;INDEX(Eingabe!$D$9:$D$18,I1450)&amp;"."&amp;IF(J1450&lt;=K1450,J1450,IF(J1450=K1450+1,200,IF(J1450=K1450+2,201,250)))&amp;".250",""))</f>
        <v/>
      </c>
      <c r="G1450" s="0" t="str">
        <f aca="false">IF(I1450="","",IF(AND(J1450&gt;=1,J1450&lt;=K1450),Eingabe!$B$6&amp;"-"&amp;INDEX(Eingabe!$C$9:$C$18,I1450)&amp;"-Pächter  ·  Passwort Parzelle "&amp;J1450,IF(J1450=K1450+1,Eingabe!$B$6&amp;"-"&amp;INDEX(Eingabe!$C$9:$C$18,I1450)&amp;"-Vorstand  ·  eigenes WLAN",IF(J1450=K1450+2,Eingabe!$B$6&amp;"-"&amp;INDEX(Eingabe!$C$9:$C$18,I1450)&amp;"-Gäste  ·  Voucher",IF(J1450=K1450+3,"Kabel  ·  Access Point y = .(50+y), Mast-Switch x = .(10+x)","")))))</f>
        <v/>
      </c>
      <c r="I1450" s="0" t="str">
        <f aca="false">IF(1445&lt;=(Eingabe!$P$18+Eingabe!$Q$18-1),MATCH(1445,Eingabe!$P$9:$P$18,1),"")</f>
        <v/>
      </c>
      <c r="J1450" s="0" t="str">
        <f aca="false">IF(I1450="","",1445-INDEX(Eingabe!$P$9:$P$18,I1450))</f>
        <v/>
      </c>
      <c r="K1450" s="0" t="str">
        <f aca="false">IF(I1450="","",INDEX(Eingabe!$E$9:$E$18,I1450))</f>
        <v/>
      </c>
    </row>
    <row r="1451" customFormat="false" ht="15" hidden="false" customHeight="false" outlineLevel="0" collapsed="false">
      <c r="A1451" s="0" t="str">
        <f aca="false">IF(I1451="","",IF(J1451=0,"Sparte "&amp;I1451&amp;": "&amp;INDEX(Eingabe!$B$9:$B$18,I1451)&amp;"  (Sparten-ID "&amp;INDEX(Eingabe!$D$9:$D$18,I1451)&amp;", "&amp;K1451&amp;" Parzellen)",IF(J1451&lt;=K1451,"   Parzelle "&amp;J1451,IF(J1451=K1451+1,"   Vorstand",IF(J1451=K1451+2,"   Gäste",IF(J1451=K1451+3,"   Technik (Switches, Access Points)",""))))))</f>
        <v/>
      </c>
      <c r="B1451" s="0" t="str">
        <f aca="false">IF(I1451="","",IF(AND(J1451&gt;=1,J1451&lt;=K1451+3),IF(J1451&lt;=K1451,IF(J1451&lt;=99,IF((INDEX(Eingabe!$G$9:$G$18,I1451))&lt;=9,1000+(INDEX(Eingabe!$G$9:$G$18,I1451))*100,3000)+J1451,IF((INDEX(Eingabe!$G$9:$G$18,I1451)+1)&lt;=9,1000+(INDEX(Eingabe!$G$9:$G$18,I1451)+1)*100,3000)+J1451-100),IF(J1451=K1451+1,2000+INDEX(Eingabe!$G$9:$G$18,I1451)*10+1,IF(J1451=K1451+2,2000+INDEX(Eingabe!$G$9:$G$18,I1451)*10+2,2000+INDEX(Eingabe!$G$9:$G$18,I1451)*10+9))),""))</f>
        <v/>
      </c>
      <c r="C1451" s="0" t="str">
        <f aca="false">IF(I1451="","",IF(AND(J1451&gt;=1,J1451&lt;=K1451+3),"10."&amp;INDEX(Eingabe!$D$9:$D$18,I1451)&amp;"."&amp;IF(J1451&lt;=K1451,J1451,IF(J1451=K1451+1,200,IF(J1451=K1451+2,201,250)))&amp;".0/24",""))</f>
        <v/>
      </c>
      <c r="D1451" s="0" t="str">
        <f aca="false">IF(I1451="","",IF(AND(J1451&gt;=1,J1451&lt;=K1451+3),"255.255.255.0",""))</f>
        <v/>
      </c>
      <c r="E1451" s="0" t="str">
        <f aca="false">IF(I1451="","",IF(AND(J1451&gt;=1,J1451&lt;=K1451+3),"10."&amp;INDEX(Eingabe!$D$9:$D$18,I1451)&amp;"."&amp;IF(J1451&lt;=K1451,J1451,IF(J1451=K1451+1,200,IF(J1451=K1451+2,201,250)))&amp;".1",""))</f>
        <v/>
      </c>
      <c r="F1451" s="0" t="str">
        <f aca="false">IF(I1451="","",IF(AND(J1451&gt;=1,J1451&lt;=K1451+3),"10."&amp;INDEX(Eingabe!$D$9:$D$18,I1451)&amp;"."&amp;IF(J1451&lt;=K1451,J1451,IF(J1451=K1451+1,200,IF(J1451=K1451+2,201,250)))&amp;".10 – 10."&amp;INDEX(Eingabe!$D$9:$D$18,I1451)&amp;"."&amp;IF(J1451&lt;=K1451,J1451,IF(J1451=K1451+1,200,IF(J1451=K1451+2,201,250)))&amp;".250",""))</f>
        <v/>
      </c>
      <c r="G1451" s="0" t="str">
        <f aca="false">IF(I1451="","",IF(AND(J1451&gt;=1,J1451&lt;=K1451),Eingabe!$B$6&amp;"-"&amp;INDEX(Eingabe!$C$9:$C$18,I1451)&amp;"-Pächter  ·  Passwort Parzelle "&amp;J1451,IF(J1451=K1451+1,Eingabe!$B$6&amp;"-"&amp;INDEX(Eingabe!$C$9:$C$18,I1451)&amp;"-Vorstand  ·  eigenes WLAN",IF(J1451=K1451+2,Eingabe!$B$6&amp;"-"&amp;INDEX(Eingabe!$C$9:$C$18,I1451)&amp;"-Gäste  ·  Voucher",IF(J1451=K1451+3,"Kabel  ·  Access Point y = .(50+y), Mast-Switch x = .(10+x)","")))))</f>
        <v/>
      </c>
      <c r="I1451" s="0" t="str">
        <f aca="false">IF(1446&lt;=(Eingabe!$P$18+Eingabe!$Q$18-1),MATCH(1446,Eingabe!$P$9:$P$18,1),"")</f>
        <v/>
      </c>
      <c r="J1451" s="0" t="str">
        <f aca="false">IF(I1451="","",1446-INDEX(Eingabe!$P$9:$P$18,I1451))</f>
        <v/>
      </c>
      <c r="K1451" s="0" t="str">
        <f aca="false">IF(I1451="","",INDEX(Eingabe!$E$9:$E$18,I1451))</f>
        <v/>
      </c>
    </row>
    <row r="1452" customFormat="false" ht="15" hidden="false" customHeight="false" outlineLevel="0" collapsed="false">
      <c r="A1452" s="0" t="str">
        <f aca="false">IF(I1452="","",IF(J1452=0,"Sparte "&amp;I1452&amp;": "&amp;INDEX(Eingabe!$B$9:$B$18,I1452)&amp;"  (Sparten-ID "&amp;INDEX(Eingabe!$D$9:$D$18,I1452)&amp;", "&amp;K1452&amp;" Parzellen)",IF(J1452&lt;=K1452,"   Parzelle "&amp;J1452,IF(J1452=K1452+1,"   Vorstand",IF(J1452=K1452+2,"   Gäste",IF(J1452=K1452+3,"   Technik (Switches, Access Points)",""))))))</f>
        <v/>
      </c>
      <c r="B1452" s="0" t="str">
        <f aca="false">IF(I1452="","",IF(AND(J1452&gt;=1,J1452&lt;=K1452+3),IF(J1452&lt;=K1452,IF(J1452&lt;=99,IF((INDEX(Eingabe!$G$9:$G$18,I1452))&lt;=9,1000+(INDEX(Eingabe!$G$9:$G$18,I1452))*100,3000)+J1452,IF((INDEX(Eingabe!$G$9:$G$18,I1452)+1)&lt;=9,1000+(INDEX(Eingabe!$G$9:$G$18,I1452)+1)*100,3000)+J1452-100),IF(J1452=K1452+1,2000+INDEX(Eingabe!$G$9:$G$18,I1452)*10+1,IF(J1452=K1452+2,2000+INDEX(Eingabe!$G$9:$G$18,I1452)*10+2,2000+INDEX(Eingabe!$G$9:$G$18,I1452)*10+9))),""))</f>
        <v/>
      </c>
      <c r="C1452" s="0" t="str">
        <f aca="false">IF(I1452="","",IF(AND(J1452&gt;=1,J1452&lt;=K1452+3),"10."&amp;INDEX(Eingabe!$D$9:$D$18,I1452)&amp;"."&amp;IF(J1452&lt;=K1452,J1452,IF(J1452=K1452+1,200,IF(J1452=K1452+2,201,250)))&amp;".0/24",""))</f>
        <v/>
      </c>
      <c r="D1452" s="0" t="str">
        <f aca="false">IF(I1452="","",IF(AND(J1452&gt;=1,J1452&lt;=K1452+3),"255.255.255.0",""))</f>
        <v/>
      </c>
      <c r="E1452" s="0" t="str">
        <f aca="false">IF(I1452="","",IF(AND(J1452&gt;=1,J1452&lt;=K1452+3),"10."&amp;INDEX(Eingabe!$D$9:$D$18,I1452)&amp;"."&amp;IF(J1452&lt;=K1452,J1452,IF(J1452=K1452+1,200,IF(J1452=K1452+2,201,250)))&amp;".1",""))</f>
        <v/>
      </c>
      <c r="F1452" s="0" t="str">
        <f aca="false">IF(I1452="","",IF(AND(J1452&gt;=1,J1452&lt;=K1452+3),"10."&amp;INDEX(Eingabe!$D$9:$D$18,I1452)&amp;"."&amp;IF(J1452&lt;=K1452,J1452,IF(J1452=K1452+1,200,IF(J1452=K1452+2,201,250)))&amp;".10 – 10."&amp;INDEX(Eingabe!$D$9:$D$18,I1452)&amp;"."&amp;IF(J1452&lt;=K1452,J1452,IF(J1452=K1452+1,200,IF(J1452=K1452+2,201,250)))&amp;".250",""))</f>
        <v/>
      </c>
      <c r="G1452" s="0" t="str">
        <f aca="false">IF(I1452="","",IF(AND(J1452&gt;=1,J1452&lt;=K1452),Eingabe!$B$6&amp;"-"&amp;INDEX(Eingabe!$C$9:$C$18,I1452)&amp;"-Pächter  ·  Passwort Parzelle "&amp;J1452,IF(J1452=K1452+1,Eingabe!$B$6&amp;"-"&amp;INDEX(Eingabe!$C$9:$C$18,I1452)&amp;"-Vorstand  ·  eigenes WLAN",IF(J1452=K1452+2,Eingabe!$B$6&amp;"-"&amp;INDEX(Eingabe!$C$9:$C$18,I1452)&amp;"-Gäste  ·  Voucher",IF(J1452=K1452+3,"Kabel  ·  Access Point y = .(50+y), Mast-Switch x = .(10+x)","")))))</f>
        <v/>
      </c>
      <c r="I1452" s="0" t="str">
        <f aca="false">IF(1447&lt;=(Eingabe!$P$18+Eingabe!$Q$18-1),MATCH(1447,Eingabe!$P$9:$P$18,1),"")</f>
        <v/>
      </c>
      <c r="J1452" s="0" t="str">
        <f aca="false">IF(I1452="","",1447-INDEX(Eingabe!$P$9:$P$18,I1452))</f>
        <v/>
      </c>
      <c r="K1452" s="0" t="str">
        <f aca="false">IF(I1452="","",INDEX(Eingabe!$E$9:$E$18,I1452))</f>
        <v/>
      </c>
    </row>
    <row r="1453" customFormat="false" ht="15" hidden="false" customHeight="false" outlineLevel="0" collapsed="false">
      <c r="A1453" s="0" t="str">
        <f aca="false">IF(I1453="","",IF(J1453=0,"Sparte "&amp;I1453&amp;": "&amp;INDEX(Eingabe!$B$9:$B$18,I1453)&amp;"  (Sparten-ID "&amp;INDEX(Eingabe!$D$9:$D$18,I1453)&amp;", "&amp;K1453&amp;" Parzellen)",IF(J1453&lt;=K1453,"   Parzelle "&amp;J1453,IF(J1453=K1453+1,"   Vorstand",IF(J1453=K1453+2,"   Gäste",IF(J1453=K1453+3,"   Technik (Switches, Access Points)",""))))))</f>
        <v/>
      </c>
      <c r="B1453" s="0" t="str">
        <f aca="false">IF(I1453="","",IF(AND(J1453&gt;=1,J1453&lt;=K1453+3),IF(J1453&lt;=K1453,IF(J1453&lt;=99,IF((INDEX(Eingabe!$G$9:$G$18,I1453))&lt;=9,1000+(INDEX(Eingabe!$G$9:$G$18,I1453))*100,3000)+J1453,IF((INDEX(Eingabe!$G$9:$G$18,I1453)+1)&lt;=9,1000+(INDEX(Eingabe!$G$9:$G$18,I1453)+1)*100,3000)+J1453-100),IF(J1453=K1453+1,2000+INDEX(Eingabe!$G$9:$G$18,I1453)*10+1,IF(J1453=K1453+2,2000+INDEX(Eingabe!$G$9:$G$18,I1453)*10+2,2000+INDEX(Eingabe!$G$9:$G$18,I1453)*10+9))),""))</f>
        <v/>
      </c>
      <c r="C1453" s="0" t="str">
        <f aca="false">IF(I1453="","",IF(AND(J1453&gt;=1,J1453&lt;=K1453+3),"10."&amp;INDEX(Eingabe!$D$9:$D$18,I1453)&amp;"."&amp;IF(J1453&lt;=K1453,J1453,IF(J1453=K1453+1,200,IF(J1453=K1453+2,201,250)))&amp;".0/24",""))</f>
        <v/>
      </c>
      <c r="D1453" s="0" t="str">
        <f aca="false">IF(I1453="","",IF(AND(J1453&gt;=1,J1453&lt;=K1453+3),"255.255.255.0",""))</f>
        <v/>
      </c>
      <c r="E1453" s="0" t="str">
        <f aca="false">IF(I1453="","",IF(AND(J1453&gt;=1,J1453&lt;=K1453+3),"10."&amp;INDEX(Eingabe!$D$9:$D$18,I1453)&amp;"."&amp;IF(J1453&lt;=K1453,J1453,IF(J1453=K1453+1,200,IF(J1453=K1453+2,201,250)))&amp;".1",""))</f>
        <v/>
      </c>
      <c r="F1453" s="0" t="str">
        <f aca="false">IF(I1453="","",IF(AND(J1453&gt;=1,J1453&lt;=K1453+3),"10."&amp;INDEX(Eingabe!$D$9:$D$18,I1453)&amp;"."&amp;IF(J1453&lt;=K1453,J1453,IF(J1453=K1453+1,200,IF(J1453=K1453+2,201,250)))&amp;".10 – 10."&amp;INDEX(Eingabe!$D$9:$D$18,I1453)&amp;"."&amp;IF(J1453&lt;=K1453,J1453,IF(J1453=K1453+1,200,IF(J1453=K1453+2,201,250)))&amp;".250",""))</f>
        <v/>
      </c>
      <c r="G1453" s="0" t="str">
        <f aca="false">IF(I1453="","",IF(AND(J1453&gt;=1,J1453&lt;=K1453),Eingabe!$B$6&amp;"-"&amp;INDEX(Eingabe!$C$9:$C$18,I1453)&amp;"-Pächter  ·  Passwort Parzelle "&amp;J1453,IF(J1453=K1453+1,Eingabe!$B$6&amp;"-"&amp;INDEX(Eingabe!$C$9:$C$18,I1453)&amp;"-Vorstand  ·  eigenes WLAN",IF(J1453=K1453+2,Eingabe!$B$6&amp;"-"&amp;INDEX(Eingabe!$C$9:$C$18,I1453)&amp;"-Gäste  ·  Voucher",IF(J1453=K1453+3,"Kabel  ·  Access Point y = .(50+y), Mast-Switch x = .(10+x)","")))))</f>
        <v/>
      </c>
      <c r="I1453" s="0" t="str">
        <f aca="false">IF(1448&lt;=(Eingabe!$P$18+Eingabe!$Q$18-1),MATCH(1448,Eingabe!$P$9:$P$18,1),"")</f>
        <v/>
      </c>
      <c r="J1453" s="0" t="str">
        <f aca="false">IF(I1453="","",1448-INDEX(Eingabe!$P$9:$P$18,I1453))</f>
        <v/>
      </c>
      <c r="K1453" s="0" t="str">
        <f aca="false">IF(I1453="","",INDEX(Eingabe!$E$9:$E$18,I1453))</f>
        <v/>
      </c>
    </row>
    <row r="1454" customFormat="false" ht="15" hidden="false" customHeight="false" outlineLevel="0" collapsed="false">
      <c r="A1454" s="0" t="str">
        <f aca="false">IF(I1454="","",IF(J1454=0,"Sparte "&amp;I1454&amp;": "&amp;INDEX(Eingabe!$B$9:$B$18,I1454)&amp;"  (Sparten-ID "&amp;INDEX(Eingabe!$D$9:$D$18,I1454)&amp;", "&amp;K1454&amp;" Parzellen)",IF(J1454&lt;=K1454,"   Parzelle "&amp;J1454,IF(J1454=K1454+1,"   Vorstand",IF(J1454=K1454+2,"   Gäste",IF(J1454=K1454+3,"   Technik (Switches, Access Points)",""))))))</f>
        <v/>
      </c>
      <c r="B1454" s="0" t="str">
        <f aca="false">IF(I1454="","",IF(AND(J1454&gt;=1,J1454&lt;=K1454+3),IF(J1454&lt;=K1454,IF(J1454&lt;=99,IF((INDEX(Eingabe!$G$9:$G$18,I1454))&lt;=9,1000+(INDEX(Eingabe!$G$9:$G$18,I1454))*100,3000)+J1454,IF((INDEX(Eingabe!$G$9:$G$18,I1454)+1)&lt;=9,1000+(INDEX(Eingabe!$G$9:$G$18,I1454)+1)*100,3000)+J1454-100),IF(J1454=K1454+1,2000+INDEX(Eingabe!$G$9:$G$18,I1454)*10+1,IF(J1454=K1454+2,2000+INDEX(Eingabe!$G$9:$G$18,I1454)*10+2,2000+INDEX(Eingabe!$G$9:$G$18,I1454)*10+9))),""))</f>
        <v/>
      </c>
      <c r="C1454" s="0" t="str">
        <f aca="false">IF(I1454="","",IF(AND(J1454&gt;=1,J1454&lt;=K1454+3),"10."&amp;INDEX(Eingabe!$D$9:$D$18,I1454)&amp;"."&amp;IF(J1454&lt;=K1454,J1454,IF(J1454=K1454+1,200,IF(J1454=K1454+2,201,250)))&amp;".0/24",""))</f>
        <v/>
      </c>
      <c r="D1454" s="0" t="str">
        <f aca="false">IF(I1454="","",IF(AND(J1454&gt;=1,J1454&lt;=K1454+3),"255.255.255.0",""))</f>
        <v/>
      </c>
      <c r="E1454" s="0" t="str">
        <f aca="false">IF(I1454="","",IF(AND(J1454&gt;=1,J1454&lt;=K1454+3),"10."&amp;INDEX(Eingabe!$D$9:$D$18,I1454)&amp;"."&amp;IF(J1454&lt;=K1454,J1454,IF(J1454=K1454+1,200,IF(J1454=K1454+2,201,250)))&amp;".1",""))</f>
        <v/>
      </c>
      <c r="F1454" s="0" t="str">
        <f aca="false">IF(I1454="","",IF(AND(J1454&gt;=1,J1454&lt;=K1454+3),"10."&amp;INDEX(Eingabe!$D$9:$D$18,I1454)&amp;"."&amp;IF(J1454&lt;=K1454,J1454,IF(J1454=K1454+1,200,IF(J1454=K1454+2,201,250)))&amp;".10 – 10."&amp;INDEX(Eingabe!$D$9:$D$18,I1454)&amp;"."&amp;IF(J1454&lt;=K1454,J1454,IF(J1454=K1454+1,200,IF(J1454=K1454+2,201,250)))&amp;".250",""))</f>
        <v/>
      </c>
      <c r="G1454" s="0" t="str">
        <f aca="false">IF(I1454="","",IF(AND(J1454&gt;=1,J1454&lt;=K1454),Eingabe!$B$6&amp;"-"&amp;INDEX(Eingabe!$C$9:$C$18,I1454)&amp;"-Pächter  ·  Passwort Parzelle "&amp;J1454,IF(J1454=K1454+1,Eingabe!$B$6&amp;"-"&amp;INDEX(Eingabe!$C$9:$C$18,I1454)&amp;"-Vorstand  ·  eigenes WLAN",IF(J1454=K1454+2,Eingabe!$B$6&amp;"-"&amp;INDEX(Eingabe!$C$9:$C$18,I1454)&amp;"-Gäste  ·  Voucher",IF(J1454=K1454+3,"Kabel  ·  Access Point y = .(50+y), Mast-Switch x = .(10+x)","")))))</f>
        <v/>
      </c>
      <c r="I1454" s="0" t="str">
        <f aca="false">IF(1449&lt;=(Eingabe!$P$18+Eingabe!$Q$18-1),MATCH(1449,Eingabe!$P$9:$P$18,1),"")</f>
        <v/>
      </c>
      <c r="J1454" s="0" t="str">
        <f aca="false">IF(I1454="","",1449-INDEX(Eingabe!$P$9:$P$18,I1454))</f>
        <v/>
      </c>
      <c r="K1454" s="0" t="str">
        <f aca="false">IF(I1454="","",INDEX(Eingabe!$E$9:$E$18,I1454))</f>
        <v/>
      </c>
    </row>
    <row r="1455" customFormat="false" ht="15" hidden="false" customHeight="false" outlineLevel="0" collapsed="false">
      <c r="A1455" s="0" t="str">
        <f aca="false">IF(I1455="","",IF(J1455=0,"Sparte "&amp;I1455&amp;": "&amp;INDEX(Eingabe!$B$9:$B$18,I1455)&amp;"  (Sparten-ID "&amp;INDEX(Eingabe!$D$9:$D$18,I1455)&amp;", "&amp;K1455&amp;" Parzellen)",IF(J1455&lt;=K1455,"   Parzelle "&amp;J1455,IF(J1455=K1455+1,"   Vorstand",IF(J1455=K1455+2,"   Gäste",IF(J1455=K1455+3,"   Technik (Switches, Access Points)",""))))))</f>
        <v/>
      </c>
      <c r="B1455" s="0" t="str">
        <f aca="false">IF(I1455="","",IF(AND(J1455&gt;=1,J1455&lt;=K1455+3),IF(J1455&lt;=K1455,IF(J1455&lt;=99,IF((INDEX(Eingabe!$G$9:$G$18,I1455))&lt;=9,1000+(INDEX(Eingabe!$G$9:$G$18,I1455))*100,3000)+J1455,IF((INDEX(Eingabe!$G$9:$G$18,I1455)+1)&lt;=9,1000+(INDEX(Eingabe!$G$9:$G$18,I1455)+1)*100,3000)+J1455-100),IF(J1455=K1455+1,2000+INDEX(Eingabe!$G$9:$G$18,I1455)*10+1,IF(J1455=K1455+2,2000+INDEX(Eingabe!$G$9:$G$18,I1455)*10+2,2000+INDEX(Eingabe!$G$9:$G$18,I1455)*10+9))),""))</f>
        <v/>
      </c>
      <c r="C1455" s="0" t="str">
        <f aca="false">IF(I1455="","",IF(AND(J1455&gt;=1,J1455&lt;=K1455+3),"10."&amp;INDEX(Eingabe!$D$9:$D$18,I1455)&amp;"."&amp;IF(J1455&lt;=K1455,J1455,IF(J1455=K1455+1,200,IF(J1455=K1455+2,201,250)))&amp;".0/24",""))</f>
        <v/>
      </c>
      <c r="D1455" s="0" t="str">
        <f aca="false">IF(I1455="","",IF(AND(J1455&gt;=1,J1455&lt;=K1455+3),"255.255.255.0",""))</f>
        <v/>
      </c>
      <c r="E1455" s="0" t="str">
        <f aca="false">IF(I1455="","",IF(AND(J1455&gt;=1,J1455&lt;=K1455+3),"10."&amp;INDEX(Eingabe!$D$9:$D$18,I1455)&amp;"."&amp;IF(J1455&lt;=K1455,J1455,IF(J1455=K1455+1,200,IF(J1455=K1455+2,201,250)))&amp;".1",""))</f>
        <v/>
      </c>
      <c r="F1455" s="0" t="str">
        <f aca="false">IF(I1455="","",IF(AND(J1455&gt;=1,J1455&lt;=K1455+3),"10."&amp;INDEX(Eingabe!$D$9:$D$18,I1455)&amp;"."&amp;IF(J1455&lt;=K1455,J1455,IF(J1455=K1455+1,200,IF(J1455=K1455+2,201,250)))&amp;".10 – 10."&amp;INDEX(Eingabe!$D$9:$D$18,I1455)&amp;"."&amp;IF(J1455&lt;=K1455,J1455,IF(J1455=K1455+1,200,IF(J1455=K1455+2,201,250)))&amp;".250",""))</f>
        <v/>
      </c>
      <c r="G1455" s="0" t="str">
        <f aca="false">IF(I1455="","",IF(AND(J1455&gt;=1,J1455&lt;=K1455),Eingabe!$B$6&amp;"-"&amp;INDEX(Eingabe!$C$9:$C$18,I1455)&amp;"-Pächter  ·  Passwort Parzelle "&amp;J1455,IF(J1455=K1455+1,Eingabe!$B$6&amp;"-"&amp;INDEX(Eingabe!$C$9:$C$18,I1455)&amp;"-Vorstand  ·  eigenes WLAN",IF(J1455=K1455+2,Eingabe!$B$6&amp;"-"&amp;INDEX(Eingabe!$C$9:$C$18,I1455)&amp;"-Gäste  ·  Voucher",IF(J1455=K1455+3,"Kabel  ·  Access Point y = .(50+y), Mast-Switch x = .(10+x)","")))))</f>
        <v/>
      </c>
      <c r="I1455" s="0" t="str">
        <f aca="false">IF(1450&lt;=(Eingabe!$P$18+Eingabe!$Q$18-1),MATCH(1450,Eingabe!$P$9:$P$18,1),"")</f>
        <v/>
      </c>
      <c r="J1455" s="0" t="str">
        <f aca="false">IF(I1455="","",1450-INDEX(Eingabe!$P$9:$P$18,I1455))</f>
        <v/>
      </c>
      <c r="K1455" s="0" t="str">
        <f aca="false">IF(I1455="","",INDEX(Eingabe!$E$9:$E$18,I1455))</f>
        <v/>
      </c>
    </row>
    <row r="1456" customFormat="false" ht="15" hidden="false" customHeight="false" outlineLevel="0" collapsed="false">
      <c r="A1456" s="0" t="str">
        <f aca="false">IF(I1456="","",IF(J1456=0,"Sparte "&amp;I1456&amp;": "&amp;INDEX(Eingabe!$B$9:$B$18,I1456)&amp;"  (Sparten-ID "&amp;INDEX(Eingabe!$D$9:$D$18,I1456)&amp;", "&amp;K1456&amp;" Parzellen)",IF(J1456&lt;=K1456,"   Parzelle "&amp;J1456,IF(J1456=K1456+1,"   Vorstand",IF(J1456=K1456+2,"   Gäste",IF(J1456=K1456+3,"   Technik (Switches, Access Points)",""))))))</f>
        <v/>
      </c>
      <c r="B1456" s="0" t="str">
        <f aca="false">IF(I1456="","",IF(AND(J1456&gt;=1,J1456&lt;=K1456+3),IF(J1456&lt;=K1456,IF(J1456&lt;=99,IF((INDEX(Eingabe!$G$9:$G$18,I1456))&lt;=9,1000+(INDEX(Eingabe!$G$9:$G$18,I1456))*100,3000)+J1456,IF((INDEX(Eingabe!$G$9:$G$18,I1456)+1)&lt;=9,1000+(INDEX(Eingabe!$G$9:$G$18,I1456)+1)*100,3000)+J1456-100),IF(J1456=K1456+1,2000+INDEX(Eingabe!$G$9:$G$18,I1456)*10+1,IF(J1456=K1456+2,2000+INDEX(Eingabe!$G$9:$G$18,I1456)*10+2,2000+INDEX(Eingabe!$G$9:$G$18,I1456)*10+9))),""))</f>
        <v/>
      </c>
      <c r="C1456" s="0" t="str">
        <f aca="false">IF(I1456="","",IF(AND(J1456&gt;=1,J1456&lt;=K1456+3),"10."&amp;INDEX(Eingabe!$D$9:$D$18,I1456)&amp;"."&amp;IF(J1456&lt;=K1456,J1456,IF(J1456=K1456+1,200,IF(J1456=K1456+2,201,250)))&amp;".0/24",""))</f>
        <v/>
      </c>
      <c r="D1456" s="0" t="str">
        <f aca="false">IF(I1456="","",IF(AND(J1456&gt;=1,J1456&lt;=K1456+3),"255.255.255.0",""))</f>
        <v/>
      </c>
      <c r="E1456" s="0" t="str">
        <f aca="false">IF(I1456="","",IF(AND(J1456&gt;=1,J1456&lt;=K1456+3),"10."&amp;INDEX(Eingabe!$D$9:$D$18,I1456)&amp;"."&amp;IF(J1456&lt;=K1456,J1456,IF(J1456=K1456+1,200,IF(J1456=K1456+2,201,250)))&amp;".1",""))</f>
        <v/>
      </c>
      <c r="F1456" s="0" t="str">
        <f aca="false">IF(I1456="","",IF(AND(J1456&gt;=1,J1456&lt;=K1456+3),"10."&amp;INDEX(Eingabe!$D$9:$D$18,I1456)&amp;"."&amp;IF(J1456&lt;=K1456,J1456,IF(J1456=K1456+1,200,IF(J1456=K1456+2,201,250)))&amp;".10 – 10."&amp;INDEX(Eingabe!$D$9:$D$18,I1456)&amp;"."&amp;IF(J1456&lt;=K1456,J1456,IF(J1456=K1456+1,200,IF(J1456=K1456+2,201,250)))&amp;".250",""))</f>
        <v/>
      </c>
      <c r="G1456" s="0" t="str">
        <f aca="false">IF(I1456="","",IF(AND(J1456&gt;=1,J1456&lt;=K1456),Eingabe!$B$6&amp;"-"&amp;INDEX(Eingabe!$C$9:$C$18,I1456)&amp;"-Pächter  ·  Passwort Parzelle "&amp;J1456,IF(J1456=K1456+1,Eingabe!$B$6&amp;"-"&amp;INDEX(Eingabe!$C$9:$C$18,I1456)&amp;"-Vorstand  ·  eigenes WLAN",IF(J1456=K1456+2,Eingabe!$B$6&amp;"-"&amp;INDEX(Eingabe!$C$9:$C$18,I1456)&amp;"-Gäste  ·  Voucher",IF(J1456=K1456+3,"Kabel  ·  Access Point y = .(50+y), Mast-Switch x = .(10+x)","")))))</f>
        <v/>
      </c>
      <c r="I1456" s="0" t="str">
        <f aca="false">IF(1451&lt;=(Eingabe!$P$18+Eingabe!$Q$18-1),MATCH(1451,Eingabe!$P$9:$P$18,1),"")</f>
        <v/>
      </c>
      <c r="J1456" s="0" t="str">
        <f aca="false">IF(I1456="","",1451-INDEX(Eingabe!$P$9:$P$18,I1456))</f>
        <v/>
      </c>
      <c r="K1456" s="0" t="str">
        <f aca="false">IF(I1456="","",INDEX(Eingabe!$E$9:$E$18,I1456))</f>
        <v/>
      </c>
    </row>
    <row r="1457" customFormat="false" ht="15" hidden="false" customHeight="false" outlineLevel="0" collapsed="false">
      <c r="A1457" s="0" t="str">
        <f aca="false">IF(I1457="","",IF(J1457=0,"Sparte "&amp;I1457&amp;": "&amp;INDEX(Eingabe!$B$9:$B$18,I1457)&amp;"  (Sparten-ID "&amp;INDEX(Eingabe!$D$9:$D$18,I1457)&amp;", "&amp;K1457&amp;" Parzellen)",IF(J1457&lt;=K1457,"   Parzelle "&amp;J1457,IF(J1457=K1457+1,"   Vorstand",IF(J1457=K1457+2,"   Gäste",IF(J1457=K1457+3,"   Technik (Switches, Access Points)",""))))))</f>
        <v/>
      </c>
      <c r="B1457" s="0" t="str">
        <f aca="false">IF(I1457="","",IF(AND(J1457&gt;=1,J1457&lt;=K1457+3),IF(J1457&lt;=K1457,IF(J1457&lt;=99,IF((INDEX(Eingabe!$G$9:$G$18,I1457))&lt;=9,1000+(INDEX(Eingabe!$G$9:$G$18,I1457))*100,3000)+J1457,IF((INDEX(Eingabe!$G$9:$G$18,I1457)+1)&lt;=9,1000+(INDEX(Eingabe!$G$9:$G$18,I1457)+1)*100,3000)+J1457-100),IF(J1457=K1457+1,2000+INDEX(Eingabe!$G$9:$G$18,I1457)*10+1,IF(J1457=K1457+2,2000+INDEX(Eingabe!$G$9:$G$18,I1457)*10+2,2000+INDEX(Eingabe!$G$9:$G$18,I1457)*10+9))),""))</f>
        <v/>
      </c>
      <c r="C1457" s="0" t="str">
        <f aca="false">IF(I1457="","",IF(AND(J1457&gt;=1,J1457&lt;=K1457+3),"10."&amp;INDEX(Eingabe!$D$9:$D$18,I1457)&amp;"."&amp;IF(J1457&lt;=K1457,J1457,IF(J1457=K1457+1,200,IF(J1457=K1457+2,201,250)))&amp;".0/24",""))</f>
        <v/>
      </c>
      <c r="D1457" s="0" t="str">
        <f aca="false">IF(I1457="","",IF(AND(J1457&gt;=1,J1457&lt;=K1457+3),"255.255.255.0",""))</f>
        <v/>
      </c>
      <c r="E1457" s="0" t="str">
        <f aca="false">IF(I1457="","",IF(AND(J1457&gt;=1,J1457&lt;=K1457+3),"10."&amp;INDEX(Eingabe!$D$9:$D$18,I1457)&amp;"."&amp;IF(J1457&lt;=K1457,J1457,IF(J1457=K1457+1,200,IF(J1457=K1457+2,201,250)))&amp;".1",""))</f>
        <v/>
      </c>
      <c r="F1457" s="0" t="str">
        <f aca="false">IF(I1457="","",IF(AND(J1457&gt;=1,J1457&lt;=K1457+3),"10."&amp;INDEX(Eingabe!$D$9:$D$18,I1457)&amp;"."&amp;IF(J1457&lt;=K1457,J1457,IF(J1457=K1457+1,200,IF(J1457=K1457+2,201,250)))&amp;".10 – 10."&amp;INDEX(Eingabe!$D$9:$D$18,I1457)&amp;"."&amp;IF(J1457&lt;=K1457,J1457,IF(J1457=K1457+1,200,IF(J1457=K1457+2,201,250)))&amp;".250",""))</f>
        <v/>
      </c>
      <c r="G1457" s="0" t="str">
        <f aca="false">IF(I1457="","",IF(AND(J1457&gt;=1,J1457&lt;=K1457),Eingabe!$B$6&amp;"-"&amp;INDEX(Eingabe!$C$9:$C$18,I1457)&amp;"-Pächter  ·  Passwort Parzelle "&amp;J1457,IF(J1457=K1457+1,Eingabe!$B$6&amp;"-"&amp;INDEX(Eingabe!$C$9:$C$18,I1457)&amp;"-Vorstand  ·  eigenes WLAN",IF(J1457=K1457+2,Eingabe!$B$6&amp;"-"&amp;INDEX(Eingabe!$C$9:$C$18,I1457)&amp;"-Gäste  ·  Voucher",IF(J1457=K1457+3,"Kabel  ·  Access Point y = .(50+y), Mast-Switch x = .(10+x)","")))))</f>
        <v/>
      </c>
      <c r="I1457" s="0" t="str">
        <f aca="false">IF(1452&lt;=(Eingabe!$P$18+Eingabe!$Q$18-1),MATCH(1452,Eingabe!$P$9:$P$18,1),"")</f>
        <v/>
      </c>
      <c r="J1457" s="0" t="str">
        <f aca="false">IF(I1457="","",1452-INDEX(Eingabe!$P$9:$P$18,I1457))</f>
        <v/>
      </c>
      <c r="K1457" s="0" t="str">
        <f aca="false">IF(I1457="","",INDEX(Eingabe!$E$9:$E$18,I1457))</f>
        <v/>
      </c>
    </row>
    <row r="1458" customFormat="false" ht="15" hidden="false" customHeight="false" outlineLevel="0" collapsed="false">
      <c r="A1458" s="0" t="str">
        <f aca="false">IF(I1458="","",IF(J1458=0,"Sparte "&amp;I1458&amp;": "&amp;INDEX(Eingabe!$B$9:$B$18,I1458)&amp;"  (Sparten-ID "&amp;INDEX(Eingabe!$D$9:$D$18,I1458)&amp;", "&amp;K1458&amp;" Parzellen)",IF(J1458&lt;=K1458,"   Parzelle "&amp;J1458,IF(J1458=K1458+1,"   Vorstand",IF(J1458=K1458+2,"   Gäste",IF(J1458=K1458+3,"   Technik (Switches, Access Points)",""))))))</f>
        <v/>
      </c>
      <c r="B1458" s="0" t="str">
        <f aca="false">IF(I1458="","",IF(AND(J1458&gt;=1,J1458&lt;=K1458+3),IF(J1458&lt;=K1458,IF(J1458&lt;=99,IF((INDEX(Eingabe!$G$9:$G$18,I1458))&lt;=9,1000+(INDEX(Eingabe!$G$9:$G$18,I1458))*100,3000)+J1458,IF((INDEX(Eingabe!$G$9:$G$18,I1458)+1)&lt;=9,1000+(INDEX(Eingabe!$G$9:$G$18,I1458)+1)*100,3000)+J1458-100),IF(J1458=K1458+1,2000+INDEX(Eingabe!$G$9:$G$18,I1458)*10+1,IF(J1458=K1458+2,2000+INDEX(Eingabe!$G$9:$G$18,I1458)*10+2,2000+INDEX(Eingabe!$G$9:$G$18,I1458)*10+9))),""))</f>
        <v/>
      </c>
      <c r="C1458" s="0" t="str">
        <f aca="false">IF(I1458="","",IF(AND(J1458&gt;=1,J1458&lt;=K1458+3),"10."&amp;INDEX(Eingabe!$D$9:$D$18,I1458)&amp;"."&amp;IF(J1458&lt;=K1458,J1458,IF(J1458=K1458+1,200,IF(J1458=K1458+2,201,250)))&amp;".0/24",""))</f>
        <v/>
      </c>
      <c r="D1458" s="0" t="str">
        <f aca="false">IF(I1458="","",IF(AND(J1458&gt;=1,J1458&lt;=K1458+3),"255.255.255.0",""))</f>
        <v/>
      </c>
      <c r="E1458" s="0" t="str">
        <f aca="false">IF(I1458="","",IF(AND(J1458&gt;=1,J1458&lt;=K1458+3),"10."&amp;INDEX(Eingabe!$D$9:$D$18,I1458)&amp;"."&amp;IF(J1458&lt;=K1458,J1458,IF(J1458=K1458+1,200,IF(J1458=K1458+2,201,250)))&amp;".1",""))</f>
        <v/>
      </c>
      <c r="F1458" s="0" t="str">
        <f aca="false">IF(I1458="","",IF(AND(J1458&gt;=1,J1458&lt;=K1458+3),"10."&amp;INDEX(Eingabe!$D$9:$D$18,I1458)&amp;"."&amp;IF(J1458&lt;=K1458,J1458,IF(J1458=K1458+1,200,IF(J1458=K1458+2,201,250)))&amp;".10 – 10."&amp;INDEX(Eingabe!$D$9:$D$18,I1458)&amp;"."&amp;IF(J1458&lt;=K1458,J1458,IF(J1458=K1458+1,200,IF(J1458=K1458+2,201,250)))&amp;".250",""))</f>
        <v/>
      </c>
      <c r="G1458" s="0" t="str">
        <f aca="false">IF(I1458="","",IF(AND(J1458&gt;=1,J1458&lt;=K1458),Eingabe!$B$6&amp;"-"&amp;INDEX(Eingabe!$C$9:$C$18,I1458)&amp;"-Pächter  ·  Passwort Parzelle "&amp;J1458,IF(J1458=K1458+1,Eingabe!$B$6&amp;"-"&amp;INDEX(Eingabe!$C$9:$C$18,I1458)&amp;"-Vorstand  ·  eigenes WLAN",IF(J1458=K1458+2,Eingabe!$B$6&amp;"-"&amp;INDEX(Eingabe!$C$9:$C$18,I1458)&amp;"-Gäste  ·  Voucher",IF(J1458=K1458+3,"Kabel  ·  Access Point y = .(50+y), Mast-Switch x = .(10+x)","")))))</f>
        <v/>
      </c>
      <c r="I1458" s="0" t="str">
        <f aca="false">IF(1453&lt;=(Eingabe!$P$18+Eingabe!$Q$18-1),MATCH(1453,Eingabe!$P$9:$P$18,1),"")</f>
        <v/>
      </c>
      <c r="J1458" s="0" t="str">
        <f aca="false">IF(I1458="","",1453-INDEX(Eingabe!$P$9:$P$18,I1458))</f>
        <v/>
      </c>
      <c r="K1458" s="0" t="str">
        <f aca="false">IF(I1458="","",INDEX(Eingabe!$E$9:$E$18,I1458))</f>
        <v/>
      </c>
    </row>
    <row r="1459" customFormat="false" ht="15" hidden="false" customHeight="false" outlineLevel="0" collapsed="false">
      <c r="A1459" s="0" t="str">
        <f aca="false">IF(I1459="","",IF(J1459=0,"Sparte "&amp;I1459&amp;": "&amp;INDEX(Eingabe!$B$9:$B$18,I1459)&amp;"  (Sparten-ID "&amp;INDEX(Eingabe!$D$9:$D$18,I1459)&amp;", "&amp;K1459&amp;" Parzellen)",IF(J1459&lt;=K1459,"   Parzelle "&amp;J1459,IF(J1459=K1459+1,"   Vorstand",IF(J1459=K1459+2,"   Gäste",IF(J1459=K1459+3,"   Technik (Switches, Access Points)",""))))))</f>
        <v/>
      </c>
      <c r="B1459" s="0" t="str">
        <f aca="false">IF(I1459="","",IF(AND(J1459&gt;=1,J1459&lt;=K1459+3),IF(J1459&lt;=K1459,IF(J1459&lt;=99,IF((INDEX(Eingabe!$G$9:$G$18,I1459))&lt;=9,1000+(INDEX(Eingabe!$G$9:$G$18,I1459))*100,3000)+J1459,IF((INDEX(Eingabe!$G$9:$G$18,I1459)+1)&lt;=9,1000+(INDEX(Eingabe!$G$9:$G$18,I1459)+1)*100,3000)+J1459-100),IF(J1459=K1459+1,2000+INDEX(Eingabe!$G$9:$G$18,I1459)*10+1,IF(J1459=K1459+2,2000+INDEX(Eingabe!$G$9:$G$18,I1459)*10+2,2000+INDEX(Eingabe!$G$9:$G$18,I1459)*10+9))),""))</f>
        <v/>
      </c>
      <c r="C1459" s="0" t="str">
        <f aca="false">IF(I1459="","",IF(AND(J1459&gt;=1,J1459&lt;=K1459+3),"10."&amp;INDEX(Eingabe!$D$9:$D$18,I1459)&amp;"."&amp;IF(J1459&lt;=K1459,J1459,IF(J1459=K1459+1,200,IF(J1459=K1459+2,201,250)))&amp;".0/24",""))</f>
        <v/>
      </c>
      <c r="D1459" s="0" t="str">
        <f aca="false">IF(I1459="","",IF(AND(J1459&gt;=1,J1459&lt;=K1459+3),"255.255.255.0",""))</f>
        <v/>
      </c>
      <c r="E1459" s="0" t="str">
        <f aca="false">IF(I1459="","",IF(AND(J1459&gt;=1,J1459&lt;=K1459+3),"10."&amp;INDEX(Eingabe!$D$9:$D$18,I1459)&amp;"."&amp;IF(J1459&lt;=K1459,J1459,IF(J1459=K1459+1,200,IF(J1459=K1459+2,201,250)))&amp;".1",""))</f>
        <v/>
      </c>
      <c r="F1459" s="0" t="str">
        <f aca="false">IF(I1459="","",IF(AND(J1459&gt;=1,J1459&lt;=K1459+3),"10."&amp;INDEX(Eingabe!$D$9:$D$18,I1459)&amp;"."&amp;IF(J1459&lt;=K1459,J1459,IF(J1459=K1459+1,200,IF(J1459=K1459+2,201,250)))&amp;".10 – 10."&amp;INDEX(Eingabe!$D$9:$D$18,I1459)&amp;"."&amp;IF(J1459&lt;=K1459,J1459,IF(J1459=K1459+1,200,IF(J1459=K1459+2,201,250)))&amp;".250",""))</f>
        <v/>
      </c>
      <c r="G1459" s="0" t="str">
        <f aca="false">IF(I1459="","",IF(AND(J1459&gt;=1,J1459&lt;=K1459),Eingabe!$B$6&amp;"-"&amp;INDEX(Eingabe!$C$9:$C$18,I1459)&amp;"-Pächter  ·  Passwort Parzelle "&amp;J1459,IF(J1459=K1459+1,Eingabe!$B$6&amp;"-"&amp;INDEX(Eingabe!$C$9:$C$18,I1459)&amp;"-Vorstand  ·  eigenes WLAN",IF(J1459=K1459+2,Eingabe!$B$6&amp;"-"&amp;INDEX(Eingabe!$C$9:$C$18,I1459)&amp;"-Gäste  ·  Voucher",IF(J1459=K1459+3,"Kabel  ·  Access Point y = .(50+y), Mast-Switch x = .(10+x)","")))))</f>
        <v/>
      </c>
      <c r="I1459" s="0" t="str">
        <f aca="false">IF(1454&lt;=(Eingabe!$P$18+Eingabe!$Q$18-1),MATCH(1454,Eingabe!$P$9:$P$18,1),"")</f>
        <v/>
      </c>
      <c r="J1459" s="0" t="str">
        <f aca="false">IF(I1459="","",1454-INDEX(Eingabe!$P$9:$P$18,I1459))</f>
        <v/>
      </c>
      <c r="K1459" s="0" t="str">
        <f aca="false">IF(I1459="","",INDEX(Eingabe!$E$9:$E$18,I1459))</f>
        <v/>
      </c>
    </row>
    <row r="1460" customFormat="false" ht="15" hidden="false" customHeight="false" outlineLevel="0" collapsed="false">
      <c r="A1460" s="0" t="str">
        <f aca="false">IF(I1460="","",IF(J1460=0,"Sparte "&amp;I1460&amp;": "&amp;INDEX(Eingabe!$B$9:$B$18,I1460)&amp;"  (Sparten-ID "&amp;INDEX(Eingabe!$D$9:$D$18,I1460)&amp;", "&amp;K1460&amp;" Parzellen)",IF(J1460&lt;=K1460,"   Parzelle "&amp;J1460,IF(J1460=K1460+1,"   Vorstand",IF(J1460=K1460+2,"   Gäste",IF(J1460=K1460+3,"   Technik (Switches, Access Points)",""))))))</f>
        <v/>
      </c>
      <c r="B1460" s="0" t="str">
        <f aca="false">IF(I1460="","",IF(AND(J1460&gt;=1,J1460&lt;=K1460+3),IF(J1460&lt;=K1460,IF(J1460&lt;=99,IF((INDEX(Eingabe!$G$9:$G$18,I1460))&lt;=9,1000+(INDEX(Eingabe!$G$9:$G$18,I1460))*100,3000)+J1460,IF((INDEX(Eingabe!$G$9:$G$18,I1460)+1)&lt;=9,1000+(INDEX(Eingabe!$G$9:$G$18,I1460)+1)*100,3000)+J1460-100),IF(J1460=K1460+1,2000+INDEX(Eingabe!$G$9:$G$18,I1460)*10+1,IF(J1460=K1460+2,2000+INDEX(Eingabe!$G$9:$G$18,I1460)*10+2,2000+INDEX(Eingabe!$G$9:$G$18,I1460)*10+9))),""))</f>
        <v/>
      </c>
      <c r="C1460" s="0" t="str">
        <f aca="false">IF(I1460="","",IF(AND(J1460&gt;=1,J1460&lt;=K1460+3),"10."&amp;INDEX(Eingabe!$D$9:$D$18,I1460)&amp;"."&amp;IF(J1460&lt;=K1460,J1460,IF(J1460=K1460+1,200,IF(J1460=K1460+2,201,250)))&amp;".0/24",""))</f>
        <v/>
      </c>
      <c r="D1460" s="0" t="str">
        <f aca="false">IF(I1460="","",IF(AND(J1460&gt;=1,J1460&lt;=K1460+3),"255.255.255.0",""))</f>
        <v/>
      </c>
      <c r="E1460" s="0" t="str">
        <f aca="false">IF(I1460="","",IF(AND(J1460&gt;=1,J1460&lt;=K1460+3),"10."&amp;INDEX(Eingabe!$D$9:$D$18,I1460)&amp;"."&amp;IF(J1460&lt;=K1460,J1460,IF(J1460=K1460+1,200,IF(J1460=K1460+2,201,250)))&amp;".1",""))</f>
        <v/>
      </c>
      <c r="F1460" s="0" t="str">
        <f aca="false">IF(I1460="","",IF(AND(J1460&gt;=1,J1460&lt;=K1460+3),"10."&amp;INDEX(Eingabe!$D$9:$D$18,I1460)&amp;"."&amp;IF(J1460&lt;=K1460,J1460,IF(J1460=K1460+1,200,IF(J1460=K1460+2,201,250)))&amp;".10 – 10."&amp;INDEX(Eingabe!$D$9:$D$18,I1460)&amp;"."&amp;IF(J1460&lt;=K1460,J1460,IF(J1460=K1460+1,200,IF(J1460=K1460+2,201,250)))&amp;".250",""))</f>
        <v/>
      </c>
      <c r="G1460" s="0" t="str">
        <f aca="false">IF(I1460="","",IF(AND(J1460&gt;=1,J1460&lt;=K1460),Eingabe!$B$6&amp;"-"&amp;INDEX(Eingabe!$C$9:$C$18,I1460)&amp;"-Pächter  ·  Passwort Parzelle "&amp;J1460,IF(J1460=K1460+1,Eingabe!$B$6&amp;"-"&amp;INDEX(Eingabe!$C$9:$C$18,I1460)&amp;"-Vorstand  ·  eigenes WLAN",IF(J1460=K1460+2,Eingabe!$B$6&amp;"-"&amp;INDEX(Eingabe!$C$9:$C$18,I1460)&amp;"-Gäste  ·  Voucher",IF(J1460=K1460+3,"Kabel  ·  Access Point y = .(50+y), Mast-Switch x = .(10+x)","")))))</f>
        <v/>
      </c>
      <c r="I1460" s="0" t="str">
        <f aca="false">IF(1455&lt;=(Eingabe!$P$18+Eingabe!$Q$18-1),MATCH(1455,Eingabe!$P$9:$P$18,1),"")</f>
        <v/>
      </c>
      <c r="J1460" s="0" t="str">
        <f aca="false">IF(I1460="","",1455-INDEX(Eingabe!$P$9:$P$18,I1460))</f>
        <v/>
      </c>
      <c r="K1460" s="0" t="str">
        <f aca="false">IF(I1460="","",INDEX(Eingabe!$E$9:$E$18,I1460))</f>
        <v/>
      </c>
    </row>
    <row r="1461" customFormat="false" ht="15" hidden="false" customHeight="false" outlineLevel="0" collapsed="false">
      <c r="A1461" s="0" t="str">
        <f aca="false">IF(I1461="","",IF(J1461=0,"Sparte "&amp;I1461&amp;": "&amp;INDEX(Eingabe!$B$9:$B$18,I1461)&amp;"  (Sparten-ID "&amp;INDEX(Eingabe!$D$9:$D$18,I1461)&amp;", "&amp;K1461&amp;" Parzellen)",IF(J1461&lt;=K1461,"   Parzelle "&amp;J1461,IF(J1461=K1461+1,"   Vorstand",IF(J1461=K1461+2,"   Gäste",IF(J1461=K1461+3,"   Technik (Switches, Access Points)",""))))))</f>
        <v/>
      </c>
      <c r="B1461" s="0" t="str">
        <f aca="false">IF(I1461="","",IF(AND(J1461&gt;=1,J1461&lt;=K1461+3),IF(J1461&lt;=K1461,IF(J1461&lt;=99,IF((INDEX(Eingabe!$G$9:$G$18,I1461))&lt;=9,1000+(INDEX(Eingabe!$G$9:$G$18,I1461))*100,3000)+J1461,IF((INDEX(Eingabe!$G$9:$G$18,I1461)+1)&lt;=9,1000+(INDEX(Eingabe!$G$9:$G$18,I1461)+1)*100,3000)+J1461-100),IF(J1461=K1461+1,2000+INDEX(Eingabe!$G$9:$G$18,I1461)*10+1,IF(J1461=K1461+2,2000+INDEX(Eingabe!$G$9:$G$18,I1461)*10+2,2000+INDEX(Eingabe!$G$9:$G$18,I1461)*10+9))),""))</f>
        <v/>
      </c>
      <c r="C1461" s="0" t="str">
        <f aca="false">IF(I1461="","",IF(AND(J1461&gt;=1,J1461&lt;=K1461+3),"10."&amp;INDEX(Eingabe!$D$9:$D$18,I1461)&amp;"."&amp;IF(J1461&lt;=K1461,J1461,IF(J1461=K1461+1,200,IF(J1461=K1461+2,201,250)))&amp;".0/24",""))</f>
        <v/>
      </c>
      <c r="D1461" s="0" t="str">
        <f aca="false">IF(I1461="","",IF(AND(J1461&gt;=1,J1461&lt;=K1461+3),"255.255.255.0",""))</f>
        <v/>
      </c>
      <c r="E1461" s="0" t="str">
        <f aca="false">IF(I1461="","",IF(AND(J1461&gt;=1,J1461&lt;=K1461+3),"10."&amp;INDEX(Eingabe!$D$9:$D$18,I1461)&amp;"."&amp;IF(J1461&lt;=K1461,J1461,IF(J1461=K1461+1,200,IF(J1461=K1461+2,201,250)))&amp;".1",""))</f>
        <v/>
      </c>
      <c r="F1461" s="0" t="str">
        <f aca="false">IF(I1461="","",IF(AND(J1461&gt;=1,J1461&lt;=K1461+3),"10."&amp;INDEX(Eingabe!$D$9:$D$18,I1461)&amp;"."&amp;IF(J1461&lt;=K1461,J1461,IF(J1461=K1461+1,200,IF(J1461=K1461+2,201,250)))&amp;".10 – 10."&amp;INDEX(Eingabe!$D$9:$D$18,I1461)&amp;"."&amp;IF(J1461&lt;=K1461,J1461,IF(J1461=K1461+1,200,IF(J1461=K1461+2,201,250)))&amp;".250",""))</f>
        <v/>
      </c>
      <c r="G1461" s="0" t="str">
        <f aca="false">IF(I1461="","",IF(AND(J1461&gt;=1,J1461&lt;=K1461),Eingabe!$B$6&amp;"-"&amp;INDEX(Eingabe!$C$9:$C$18,I1461)&amp;"-Pächter  ·  Passwort Parzelle "&amp;J1461,IF(J1461=K1461+1,Eingabe!$B$6&amp;"-"&amp;INDEX(Eingabe!$C$9:$C$18,I1461)&amp;"-Vorstand  ·  eigenes WLAN",IF(J1461=K1461+2,Eingabe!$B$6&amp;"-"&amp;INDEX(Eingabe!$C$9:$C$18,I1461)&amp;"-Gäste  ·  Voucher",IF(J1461=K1461+3,"Kabel  ·  Access Point y = .(50+y), Mast-Switch x = .(10+x)","")))))</f>
        <v/>
      </c>
      <c r="I1461" s="0" t="str">
        <f aca="false">IF(1456&lt;=(Eingabe!$P$18+Eingabe!$Q$18-1),MATCH(1456,Eingabe!$P$9:$P$18,1),"")</f>
        <v/>
      </c>
      <c r="J1461" s="0" t="str">
        <f aca="false">IF(I1461="","",1456-INDEX(Eingabe!$P$9:$P$18,I1461))</f>
        <v/>
      </c>
      <c r="K1461" s="0" t="str">
        <f aca="false">IF(I1461="","",INDEX(Eingabe!$E$9:$E$18,I1461))</f>
        <v/>
      </c>
    </row>
    <row r="1462" customFormat="false" ht="15" hidden="false" customHeight="false" outlineLevel="0" collapsed="false">
      <c r="A1462" s="0" t="str">
        <f aca="false">IF(I1462="","",IF(J1462=0,"Sparte "&amp;I1462&amp;": "&amp;INDEX(Eingabe!$B$9:$B$18,I1462)&amp;"  (Sparten-ID "&amp;INDEX(Eingabe!$D$9:$D$18,I1462)&amp;", "&amp;K1462&amp;" Parzellen)",IF(J1462&lt;=K1462,"   Parzelle "&amp;J1462,IF(J1462=K1462+1,"   Vorstand",IF(J1462=K1462+2,"   Gäste",IF(J1462=K1462+3,"   Technik (Switches, Access Points)",""))))))</f>
        <v/>
      </c>
      <c r="B1462" s="0" t="str">
        <f aca="false">IF(I1462="","",IF(AND(J1462&gt;=1,J1462&lt;=K1462+3),IF(J1462&lt;=K1462,IF(J1462&lt;=99,IF((INDEX(Eingabe!$G$9:$G$18,I1462))&lt;=9,1000+(INDEX(Eingabe!$G$9:$G$18,I1462))*100,3000)+J1462,IF((INDEX(Eingabe!$G$9:$G$18,I1462)+1)&lt;=9,1000+(INDEX(Eingabe!$G$9:$G$18,I1462)+1)*100,3000)+J1462-100),IF(J1462=K1462+1,2000+INDEX(Eingabe!$G$9:$G$18,I1462)*10+1,IF(J1462=K1462+2,2000+INDEX(Eingabe!$G$9:$G$18,I1462)*10+2,2000+INDEX(Eingabe!$G$9:$G$18,I1462)*10+9))),""))</f>
        <v/>
      </c>
      <c r="C1462" s="0" t="str">
        <f aca="false">IF(I1462="","",IF(AND(J1462&gt;=1,J1462&lt;=K1462+3),"10."&amp;INDEX(Eingabe!$D$9:$D$18,I1462)&amp;"."&amp;IF(J1462&lt;=K1462,J1462,IF(J1462=K1462+1,200,IF(J1462=K1462+2,201,250)))&amp;".0/24",""))</f>
        <v/>
      </c>
      <c r="D1462" s="0" t="str">
        <f aca="false">IF(I1462="","",IF(AND(J1462&gt;=1,J1462&lt;=K1462+3),"255.255.255.0",""))</f>
        <v/>
      </c>
      <c r="E1462" s="0" t="str">
        <f aca="false">IF(I1462="","",IF(AND(J1462&gt;=1,J1462&lt;=K1462+3),"10."&amp;INDEX(Eingabe!$D$9:$D$18,I1462)&amp;"."&amp;IF(J1462&lt;=K1462,J1462,IF(J1462=K1462+1,200,IF(J1462=K1462+2,201,250)))&amp;".1",""))</f>
        <v/>
      </c>
      <c r="F1462" s="0" t="str">
        <f aca="false">IF(I1462="","",IF(AND(J1462&gt;=1,J1462&lt;=K1462+3),"10."&amp;INDEX(Eingabe!$D$9:$D$18,I1462)&amp;"."&amp;IF(J1462&lt;=K1462,J1462,IF(J1462=K1462+1,200,IF(J1462=K1462+2,201,250)))&amp;".10 – 10."&amp;INDEX(Eingabe!$D$9:$D$18,I1462)&amp;"."&amp;IF(J1462&lt;=K1462,J1462,IF(J1462=K1462+1,200,IF(J1462=K1462+2,201,250)))&amp;".250",""))</f>
        <v/>
      </c>
      <c r="G1462" s="0" t="str">
        <f aca="false">IF(I1462="","",IF(AND(J1462&gt;=1,J1462&lt;=K1462),Eingabe!$B$6&amp;"-"&amp;INDEX(Eingabe!$C$9:$C$18,I1462)&amp;"-Pächter  ·  Passwort Parzelle "&amp;J1462,IF(J1462=K1462+1,Eingabe!$B$6&amp;"-"&amp;INDEX(Eingabe!$C$9:$C$18,I1462)&amp;"-Vorstand  ·  eigenes WLAN",IF(J1462=K1462+2,Eingabe!$B$6&amp;"-"&amp;INDEX(Eingabe!$C$9:$C$18,I1462)&amp;"-Gäste  ·  Voucher",IF(J1462=K1462+3,"Kabel  ·  Access Point y = .(50+y), Mast-Switch x = .(10+x)","")))))</f>
        <v/>
      </c>
      <c r="I1462" s="0" t="str">
        <f aca="false">IF(1457&lt;=(Eingabe!$P$18+Eingabe!$Q$18-1),MATCH(1457,Eingabe!$P$9:$P$18,1),"")</f>
        <v/>
      </c>
      <c r="J1462" s="0" t="str">
        <f aca="false">IF(I1462="","",1457-INDEX(Eingabe!$P$9:$P$18,I1462))</f>
        <v/>
      </c>
      <c r="K1462" s="0" t="str">
        <f aca="false">IF(I1462="","",INDEX(Eingabe!$E$9:$E$18,I1462))</f>
        <v/>
      </c>
    </row>
    <row r="1463" customFormat="false" ht="15" hidden="false" customHeight="false" outlineLevel="0" collapsed="false">
      <c r="A1463" s="0" t="str">
        <f aca="false">IF(I1463="","",IF(J1463=0,"Sparte "&amp;I1463&amp;": "&amp;INDEX(Eingabe!$B$9:$B$18,I1463)&amp;"  (Sparten-ID "&amp;INDEX(Eingabe!$D$9:$D$18,I1463)&amp;", "&amp;K1463&amp;" Parzellen)",IF(J1463&lt;=K1463,"   Parzelle "&amp;J1463,IF(J1463=K1463+1,"   Vorstand",IF(J1463=K1463+2,"   Gäste",IF(J1463=K1463+3,"   Technik (Switches, Access Points)",""))))))</f>
        <v/>
      </c>
      <c r="B1463" s="0" t="str">
        <f aca="false">IF(I1463="","",IF(AND(J1463&gt;=1,J1463&lt;=K1463+3),IF(J1463&lt;=K1463,IF(J1463&lt;=99,IF((INDEX(Eingabe!$G$9:$G$18,I1463))&lt;=9,1000+(INDEX(Eingabe!$G$9:$G$18,I1463))*100,3000)+J1463,IF((INDEX(Eingabe!$G$9:$G$18,I1463)+1)&lt;=9,1000+(INDEX(Eingabe!$G$9:$G$18,I1463)+1)*100,3000)+J1463-100),IF(J1463=K1463+1,2000+INDEX(Eingabe!$G$9:$G$18,I1463)*10+1,IF(J1463=K1463+2,2000+INDEX(Eingabe!$G$9:$G$18,I1463)*10+2,2000+INDEX(Eingabe!$G$9:$G$18,I1463)*10+9))),""))</f>
        <v/>
      </c>
      <c r="C1463" s="0" t="str">
        <f aca="false">IF(I1463="","",IF(AND(J1463&gt;=1,J1463&lt;=K1463+3),"10."&amp;INDEX(Eingabe!$D$9:$D$18,I1463)&amp;"."&amp;IF(J1463&lt;=K1463,J1463,IF(J1463=K1463+1,200,IF(J1463=K1463+2,201,250)))&amp;".0/24",""))</f>
        <v/>
      </c>
      <c r="D1463" s="0" t="str">
        <f aca="false">IF(I1463="","",IF(AND(J1463&gt;=1,J1463&lt;=K1463+3),"255.255.255.0",""))</f>
        <v/>
      </c>
      <c r="E1463" s="0" t="str">
        <f aca="false">IF(I1463="","",IF(AND(J1463&gt;=1,J1463&lt;=K1463+3),"10."&amp;INDEX(Eingabe!$D$9:$D$18,I1463)&amp;"."&amp;IF(J1463&lt;=K1463,J1463,IF(J1463=K1463+1,200,IF(J1463=K1463+2,201,250)))&amp;".1",""))</f>
        <v/>
      </c>
      <c r="F1463" s="0" t="str">
        <f aca="false">IF(I1463="","",IF(AND(J1463&gt;=1,J1463&lt;=K1463+3),"10."&amp;INDEX(Eingabe!$D$9:$D$18,I1463)&amp;"."&amp;IF(J1463&lt;=K1463,J1463,IF(J1463=K1463+1,200,IF(J1463=K1463+2,201,250)))&amp;".10 – 10."&amp;INDEX(Eingabe!$D$9:$D$18,I1463)&amp;"."&amp;IF(J1463&lt;=K1463,J1463,IF(J1463=K1463+1,200,IF(J1463=K1463+2,201,250)))&amp;".250",""))</f>
        <v/>
      </c>
      <c r="G1463" s="0" t="str">
        <f aca="false">IF(I1463="","",IF(AND(J1463&gt;=1,J1463&lt;=K1463),Eingabe!$B$6&amp;"-"&amp;INDEX(Eingabe!$C$9:$C$18,I1463)&amp;"-Pächter  ·  Passwort Parzelle "&amp;J1463,IF(J1463=K1463+1,Eingabe!$B$6&amp;"-"&amp;INDEX(Eingabe!$C$9:$C$18,I1463)&amp;"-Vorstand  ·  eigenes WLAN",IF(J1463=K1463+2,Eingabe!$B$6&amp;"-"&amp;INDEX(Eingabe!$C$9:$C$18,I1463)&amp;"-Gäste  ·  Voucher",IF(J1463=K1463+3,"Kabel  ·  Access Point y = .(50+y), Mast-Switch x = .(10+x)","")))))</f>
        <v/>
      </c>
      <c r="I1463" s="0" t="str">
        <f aca="false">IF(1458&lt;=(Eingabe!$P$18+Eingabe!$Q$18-1),MATCH(1458,Eingabe!$P$9:$P$18,1),"")</f>
        <v/>
      </c>
      <c r="J1463" s="0" t="str">
        <f aca="false">IF(I1463="","",1458-INDEX(Eingabe!$P$9:$P$18,I1463))</f>
        <v/>
      </c>
      <c r="K1463" s="0" t="str">
        <f aca="false">IF(I1463="","",INDEX(Eingabe!$E$9:$E$18,I1463))</f>
        <v/>
      </c>
    </row>
    <row r="1464" customFormat="false" ht="15" hidden="false" customHeight="false" outlineLevel="0" collapsed="false">
      <c r="A1464" s="0" t="str">
        <f aca="false">IF(I1464="","",IF(J1464=0,"Sparte "&amp;I1464&amp;": "&amp;INDEX(Eingabe!$B$9:$B$18,I1464)&amp;"  (Sparten-ID "&amp;INDEX(Eingabe!$D$9:$D$18,I1464)&amp;", "&amp;K1464&amp;" Parzellen)",IF(J1464&lt;=K1464,"   Parzelle "&amp;J1464,IF(J1464=K1464+1,"   Vorstand",IF(J1464=K1464+2,"   Gäste",IF(J1464=K1464+3,"   Technik (Switches, Access Points)",""))))))</f>
        <v/>
      </c>
      <c r="B1464" s="0" t="str">
        <f aca="false">IF(I1464="","",IF(AND(J1464&gt;=1,J1464&lt;=K1464+3),IF(J1464&lt;=K1464,IF(J1464&lt;=99,IF((INDEX(Eingabe!$G$9:$G$18,I1464))&lt;=9,1000+(INDEX(Eingabe!$G$9:$G$18,I1464))*100,3000)+J1464,IF((INDEX(Eingabe!$G$9:$G$18,I1464)+1)&lt;=9,1000+(INDEX(Eingabe!$G$9:$G$18,I1464)+1)*100,3000)+J1464-100),IF(J1464=K1464+1,2000+INDEX(Eingabe!$G$9:$G$18,I1464)*10+1,IF(J1464=K1464+2,2000+INDEX(Eingabe!$G$9:$G$18,I1464)*10+2,2000+INDEX(Eingabe!$G$9:$G$18,I1464)*10+9))),""))</f>
        <v/>
      </c>
      <c r="C1464" s="0" t="str">
        <f aca="false">IF(I1464="","",IF(AND(J1464&gt;=1,J1464&lt;=K1464+3),"10."&amp;INDEX(Eingabe!$D$9:$D$18,I1464)&amp;"."&amp;IF(J1464&lt;=K1464,J1464,IF(J1464=K1464+1,200,IF(J1464=K1464+2,201,250)))&amp;".0/24",""))</f>
        <v/>
      </c>
      <c r="D1464" s="0" t="str">
        <f aca="false">IF(I1464="","",IF(AND(J1464&gt;=1,J1464&lt;=K1464+3),"255.255.255.0",""))</f>
        <v/>
      </c>
      <c r="E1464" s="0" t="str">
        <f aca="false">IF(I1464="","",IF(AND(J1464&gt;=1,J1464&lt;=K1464+3),"10."&amp;INDEX(Eingabe!$D$9:$D$18,I1464)&amp;"."&amp;IF(J1464&lt;=K1464,J1464,IF(J1464=K1464+1,200,IF(J1464=K1464+2,201,250)))&amp;".1",""))</f>
        <v/>
      </c>
      <c r="F1464" s="0" t="str">
        <f aca="false">IF(I1464="","",IF(AND(J1464&gt;=1,J1464&lt;=K1464+3),"10."&amp;INDEX(Eingabe!$D$9:$D$18,I1464)&amp;"."&amp;IF(J1464&lt;=K1464,J1464,IF(J1464=K1464+1,200,IF(J1464=K1464+2,201,250)))&amp;".10 – 10."&amp;INDEX(Eingabe!$D$9:$D$18,I1464)&amp;"."&amp;IF(J1464&lt;=K1464,J1464,IF(J1464=K1464+1,200,IF(J1464=K1464+2,201,250)))&amp;".250",""))</f>
        <v/>
      </c>
      <c r="G1464" s="0" t="str">
        <f aca="false">IF(I1464="","",IF(AND(J1464&gt;=1,J1464&lt;=K1464),Eingabe!$B$6&amp;"-"&amp;INDEX(Eingabe!$C$9:$C$18,I1464)&amp;"-Pächter  ·  Passwort Parzelle "&amp;J1464,IF(J1464=K1464+1,Eingabe!$B$6&amp;"-"&amp;INDEX(Eingabe!$C$9:$C$18,I1464)&amp;"-Vorstand  ·  eigenes WLAN",IF(J1464=K1464+2,Eingabe!$B$6&amp;"-"&amp;INDEX(Eingabe!$C$9:$C$18,I1464)&amp;"-Gäste  ·  Voucher",IF(J1464=K1464+3,"Kabel  ·  Access Point y = .(50+y), Mast-Switch x = .(10+x)","")))))</f>
        <v/>
      </c>
      <c r="I1464" s="0" t="str">
        <f aca="false">IF(1459&lt;=(Eingabe!$P$18+Eingabe!$Q$18-1),MATCH(1459,Eingabe!$P$9:$P$18,1),"")</f>
        <v/>
      </c>
      <c r="J1464" s="0" t="str">
        <f aca="false">IF(I1464="","",1459-INDEX(Eingabe!$P$9:$P$18,I1464))</f>
        <v/>
      </c>
      <c r="K1464" s="0" t="str">
        <f aca="false">IF(I1464="","",INDEX(Eingabe!$E$9:$E$18,I1464))</f>
        <v/>
      </c>
    </row>
    <row r="1465" customFormat="false" ht="15" hidden="false" customHeight="false" outlineLevel="0" collapsed="false">
      <c r="A1465" s="0" t="str">
        <f aca="false">IF(I1465="","",IF(J1465=0,"Sparte "&amp;I1465&amp;": "&amp;INDEX(Eingabe!$B$9:$B$18,I1465)&amp;"  (Sparten-ID "&amp;INDEX(Eingabe!$D$9:$D$18,I1465)&amp;", "&amp;K1465&amp;" Parzellen)",IF(J1465&lt;=K1465,"   Parzelle "&amp;J1465,IF(J1465=K1465+1,"   Vorstand",IF(J1465=K1465+2,"   Gäste",IF(J1465=K1465+3,"   Technik (Switches, Access Points)",""))))))</f>
        <v/>
      </c>
      <c r="B1465" s="0" t="str">
        <f aca="false">IF(I1465="","",IF(AND(J1465&gt;=1,J1465&lt;=K1465+3),IF(J1465&lt;=K1465,IF(J1465&lt;=99,IF((INDEX(Eingabe!$G$9:$G$18,I1465))&lt;=9,1000+(INDEX(Eingabe!$G$9:$G$18,I1465))*100,3000)+J1465,IF((INDEX(Eingabe!$G$9:$G$18,I1465)+1)&lt;=9,1000+(INDEX(Eingabe!$G$9:$G$18,I1465)+1)*100,3000)+J1465-100),IF(J1465=K1465+1,2000+INDEX(Eingabe!$G$9:$G$18,I1465)*10+1,IF(J1465=K1465+2,2000+INDEX(Eingabe!$G$9:$G$18,I1465)*10+2,2000+INDEX(Eingabe!$G$9:$G$18,I1465)*10+9))),""))</f>
        <v/>
      </c>
      <c r="C1465" s="0" t="str">
        <f aca="false">IF(I1465="","",IF(AND(J1465&gt;=1,J1465&lt;=K1465+3),"10."&amp;INDEX(Eingabe!$D$9:$D$18,I1465)&amp;"."&amp;IF(J1465&lt;=K1465,J1465,IF(J1465=K1465+1,200,IF(J1465=K1465+2,201,250)))&amp;".0/24",""))</f>
        <v/>
      </c>
      <c r="D1465" s="0" t="str">
        <f aca="false">IF(I1465="","",IF(AND(J1465&gt;=1,J1465&lt;=K1465+3),"255.255.255.0",""))</f>
        <v/>
      </c>
      <c r="E1465" s="0" t="str">
        <f aca="false">IF(I1465="","",IF(AND(J1465&gt;=1,J1465&lt;=K1465+3),"10."&amp;INDEX(Eingabe!$D$9:$D$18,I1465)&amp;"."&amp;IF(J1465&lt;=K1465,J1465,IF(J1465=K1465+1,200,IF(J1465=K1465+2,201,250)))&amp;".1",""))</f>
        <v/>
      </c>
      <c r="F1465" s="0" t="str">
        <f aca="false">IF(I1465="","",IF(AND(J1465&gt;=1,J1465&lt;=K1465+3),"10."&amp;INDEX(Eingabe!$D$9:$D$18,I1465)&amp;"."&amp;IF(J1465&lt;=K1465,J1465,IF(J1465=K1465+1,200,IF(J1465=K1465+2,201,250)))&amp;".10 – 10."&amp;INDEX(Eingabe!$D$9:$D$18,I1465)&amp;"."&amp;IF(J1465&lt;=K1465,J1465,IF(J1465=K1465+1,200,IF(J1465=K1465+2,201,250)))&amp;".250",""))</f>
        <v/>
      </c>
      <c r="G1465" s="0" t="str">
        <f aca="false">IF(I1465="","",IF(AND(J1465&gt;=1,J1465&lt;=K1465),Eingabe!$B$6&amp;"-"&amp;INDEX(Eingabe!$C$9:$C$18,I1465)&amp;"-Pächter  ·  Passwort Parzelle "&amp;J1465,IF(J1465=K1465+1,Eingabe!$B$6&amp;"-"&amp;INDEX(Eingabe!$C$9:$C$18,I1465)&amp;"-Vorstand  ·  eigenes WLAN",IF(J1465=K1465+2,Eingabe!$B$6&amp;"-"&amp;INDEX(Eingabe!$C$9:$C$18,I1465)&amp;"-Gäste  ·  Voucher",IF(J1465=K1465+3,"Kabel  ·  Access Point y = .(50+y), Mast-Switch x = .(10+x)","")))))</f>
        <v/>
      </c>
      <c r="I1465" s="0" t="str">
        <f aca="false">IF(1460&lt;=(Eingabe!$P$18+Eingabe!$Q$18-1),MATCH(1460,Eingabe!$P$9:$P$18,1),"")</f>
        <v/>
      </c>
      <c r="J1465" s="0" t="str">
        <f aca="false">IF(I1465="","",1460-INDEX(Eingabe!$P$9:$P$18,I1465))</f>
        <v/>
      </c>
      <c r="K1465" s="0" t="str">
        <f aca="false">IF(I1465="","",INDEX(Eingabe!$E$9:$E$18,I1465))</f>
        <v/>
      </c>
    </row>
    <row r="1466" customFormat="false" ht="15" hidden="false" customHeight="false" outlineLevel="0" collapsed="false">
      <c r="A1466" s="0" t="str">
        <f aca="false">IF(I1466="","",IF(J1466=0,"Sparte "&amp;I1466&amp;": "&amp;INDEX(Eingabe!$B$9:$B$18,I1466)&amp;"  (Sparten-ID "&amp;INDEX(Eingabe!$D$9:$D$18,I1466)&amp;", "&amp;K1466&amp;" Parzellen)",IF(J1466&lt;=K1466,"   Parzelle "&amp;J1466,IF(J1466=K1466+1,"   Vorstand",IF(J1466=K1466+2,"   Gäste",IF(J1466=K1466+3,"   Technik (Switches, Access Points)",""))))))</f>
        <v/>
      </c>
      <c r="B1466" s="0" t="str">
        <f aca="false">IF(I1466="","",IF(AND(J1466&gt;=1,J1466&lt;=K1466+3),IF(J1466&lt;=K1466,IF(J1466&lt;=99,IF((INDEX(Eingabe!$G$9:$G$18,I1466))&lt;=9,1000+(INDEX(Eingabe!$G$9:$G$18,I1466))*100,3000)+J1466,IF((INDEX(Eingabe!$G$9:$G$18,I1466)+1)&lt;=9,1000+(INDEX(Eingabe!$G$9:$G$18,I1466)+1)*100,3000)+J1466-100),IF(J1466=K1466+1,2000+INDEX(Eingabe!$G$9:$G$18,I1466)*10+1,IF(J1466=K1466+2,2000+INDEX(Eingabe!$G$9:$G$18,I1466)*10+2,2000+INDEX(Eingabe!$G$9:$G$18,I1466)*10+9))),""))</f>
        <v/>
      </c>
      <c r="C1466" s="0" t="str">
        <f aca="false">IF(I1466="","",IF(AND(J1466&gt;=1,J1466&lt;=K1466+3),"10."&amp;INDEX(Eingabe!$D$9:$D$18,I1466)&amp;"."&amp;IF(J1466&lt;=K1466,J1466,IF(J1466=K1466+1,200,IF(J1466=K1466+2,201,250)))&amp;".0/24",""))</f>
        <v/>
      </c>
      <c r="D1466" s="0" t="str">
        <f aca="false">IF(I1466="","",IF(AND(J1466&gt;=1,J1466&lt;=K1466+3),"255.255.255.0",""))</f>
        <v/>
      </c>
      <c r="E1466" s="0" t="str">
        <f aca="false">IF(I1466="","",IF(AND(J1466&gt;=1,J1466&lt;=K1466+3),"10."&amp;INDEX(Eingabe!$D$9:$D$18,I1466)&amp;"."&amp;IF(J1466&lt;=K1466,J1466,IF(J1466=K1466+1,200,IF(J1466=K1466+2,201,250)))&amp;".1",""))</f>
        <v/>
      </c>
      <c r="F1466" s="0" t="str">
        <f aca="false">IF(I1466="","",IF(AND(J1466&gt;=1,J1466&lt;=K1466+3),"10."&amp;INDEX(Eingabe!$D$9:$D$18,I1466)&amp;"."&amp;IF(J1466&lt;=K1466,J1466,IF(J1466=K1466+1,200,IF(J1466=K1466+2,201,250)))&amp;".10 – 10."&amp;INDEX(Eingabe!$D$9:$D$18,I1466)&amp;"."&amp;IF(J1466&lt;=K1466,J1466,IF(J1466=K1466+1,200,IF(J1466=K1466+2,201,250)))&amp;".250",""))</f>
        <v/>
      </c>
      <c r="G1466" s="0" t="str">
        <f aca="false">IF(I1466="","",IF(AND(J1466&gt;=1,J1466&lt;=K1466),Eingabe!$B$6&amp;"-"&amp;INDEX(Eingabe!$C$9:$C$18,I1466)&amp;"-Pächter  ·  Passwort Parzelle "&amp;J1466,IF(J1466=K1466+1,Eingabe!$B$6&amp;"-"&amp;INDEX(Eingabe!$C$9:$C$18,I1466)&amp;"-Vorstand  ·  eigenes WLAN",IF(J1466=K1466+2,Eingabe!$B$6&amp;"-"&amp;INDEX(Eingabe!$C$9:$C$18,I1466)&amp;"-Gäste  ·  Voucher",IF(J1466=K1466+3,"Kabel  ·  Access Point y = .(50+y), Mast-Switch x = .(10+x)","")))))</f>
        <v/>
      </c>
      <c r="I1466" s="0" t="str">
        <f aca="false">IF(1461&lt;=(Eingabe!$P$18+Eingabe!$Q$18-1),MATCH(1461,Eingabe!$P$9:$P$18,1),"")</f>
        <v/>
      </c>
      <c r="J1466" s="0" t="str">
        <f aca="false">IF(I1466="","",1461-INDEX(Eingabe!$P$9:$P$18,I1466))</f>
        <v/>
      </c>
      <c r="K1466" s="0" t="str">
        <f aca="false">IF(I1466="","",INDEX(Eingabe!$E$9:$E$18,I1466))</f>
        <v/>
      </c>
    </row>
    <row r="1467" customFormat="false" ht="15" hidden="false" customHeight="false" outlineLevel="0" collapsed="false">
      <c r="A1467" s="0" t="str">
        <f aca="false">IF(I1467="","",IF(J1467=0,"Sparte "&amp;I1467&amp;": "&amp;INDEX(Eingabe!$B$9:$B$18,I1467)&amp;"  (Sparten-ID "&amp;INDEX(Eingabe!$D$9:$D$18,I1467)&amp;", "&amp;K1467&amp;" Parzellen)",IF(J1467&lt;=K1467,"   Parzelle "&amp;J1467,IF(J1467=K1467+1,"   Vorstand",IF(J1467=K1467+2,"   Gäste",IF(J1467=K1467+3,"   Technik (Switches, Access Points)",""))))))</f>
        <v/>
      </c>
      <c r="B1467" s="0" t="str">
        <f aca="false">IF(I1467="","",IF(AND(J1467&gt;=1,J1467&lt;=K1467+3),IF(J1467&lt;=K1467,IF(J1467&lt;=99,IF((INDEX(Eingabe!$G$9:$G$18,I1467))&lt;=9,1000+(INDEX(Eingabe!$G$9:$G$18,I1467))*100,3000)+J1467,IF((INDEX(Eingabe!$G$9:$G$18,I1467)+1)&lt;=9,1000+(INDEX(Eingabe!$G$9:$G$18,I1467)+1)*100,3000)+J1467-100),IF(J1467=K1467+1,2000+INDEX(Eingabe!$G$9:$G$18,I1467)*10+1,IF(J1467=K1467+2,2000+INDEX(Eingabe!$G$9:$G$18,I1467)*10+2,2000+INDEX(Eingabe!$G$9:$G$18,I1467)*10+9))),""))</f>
        <v/>
      </c>
      <c r="C1467" s="0" t="str">
        <f aca="false">IF(I1467="","",IF(AND(J1467&gt;=1,J1467&lt;=K1467+3),"10."&amp;INDEX(Eingabe!$D$9:$D$18,I1467)&amp;"."&amp;IF(J1467&lt;=K1467,J1467,IF(J1467=K1467+1,200,IF(J1467=K1467+2,201,250)))&amp;".0/24",""))</f>
        <v/>
      </c>
      <c r="D1467" s="0" t="str">
        <f aca="false">IF(I1467="","",IF(AND(J1467&gt;=1,J1467&lt;=K1467+3),"255.255.255.0",""))</f>
        <v/>
      </c>
      <c r="E1467" s="0" t="str">
        <f aca="false">IF(I1467="","",IF(AND(J1467&gt;=1,J1467&lt;=K1467+3),"10."&amp;INDEX(Eingabe!$D$9:$D$18,I1467)&amp;"."&amp;IF(J1467&lt;=K1467,J1467,IF(J1467=K1467+1,200,IF(J1467=K1467+2,201,250)))&amp;".1",""))</f>
        <v/>
      </c>
      <c r="F1467" s="0" t="str">
        <f aca="false">IF(I1467="","",IF(AND(J1467&gt;=1,J1467&lt;=K1467+3),"10."&amp;INDEX(Eingabe!$D$9:$D$18,I1467)&amp;"."&amp;IF(J1467&lt;=K1467,J1467,IF(J1467=K1467+1,200,IF(J1467=K1467+2,201,250)))&amp;".10 – 10."&amp;INDEX(Eingabe!$D$9:$D$18,I1467)&amp;"."&amp;IF(J1467&lt;=K1467,J1467,IF(J1467=K1467+1,200,IF(J1467=K1467+2,201,250)))&amp;".250",""))</f>
        <v/>
      </c>
      <c r="G1467" s="0" t="str">
        <f aca="false">IF(I1467="","",IF(AND(J1467&gt;=1,J1467&lt;=K1467),Eingabe!$B$6&amp;"-"&amp;INDEX(Eingabe!$C$9:$C$18,I1467)&amp;"-Pächter  ·  Passwort Parzelle "&amp;J1467,IF(J1467=K1467+1,Eingabe!$B$6&amp;"-"&amp;INDEX(Eingabe!$C$9:$C$18,I1467)&amp;"-Vorstand  ·  eigenes WLAN",IF(J1467=K1467+2,Eingabe!$B$6&amp;"-"&amp;INDEX(Eingabe!$C$9:$C$18,I1467)&amp;"-Gäste  ·  Voucher",IF(J1467=K1467+3,"Kabel  ·  Access Point y = .(50+y), Mast-Switch x = .(10+x)","")))))</f>
        <v/>
      </c>
      <c r="I1467" s="0" t="str">
        <f aca="false">IF(1462&lt;=(Eingabe!$P$18+Eingabe!$Q$18-1),MATCH(1462,Eingabe!$P$9:$P$18,1),"")</f>
        <v/>
      </c>
      <c r="J1467" s="0" t="str">
        <f aca="false">IF(I1467="","",1462-INDEX(Eingabe!$P$9:$P$18,I1467))</f>
        <v/>
      </c>
      <c r="K1467" s="0" t="str">
        <f aca="false">IF(I1467="","",INDEX(Eingabe!$E$9:$E$18,I1467))</f>
        <v/>
      </c>
    </row>
    <row r="1468" customFormat="false" ht="15" hidden="false" customHeight="false" outlineLevel="0" collapsed="false">
      <c r="A1468" s="0" t="str">
        <f aca="false">IF(I1468="","",IF(J1468=0,"Sparte "&amp;I1468&amp;": "&amp;INDEX(Eingabe!$B$9:$B$18,I1468)&amp;"  (Sparten-ID "&amp;INDEX(Eingabe!$D$9:$D$18,I1468)&amp;", "&amp;K1468&amp;" Parzellen)",IF(J1468&lt;=K1468,"   Parzelle "&amp;J1468,IF(J1468=K1468+1,"   Vorstand",IF(J1468=K1468+2,"   Gäste",IF(J1468=K1468+3,"   Technik (Switches, Access Points)",""))))))</f>
        <v/>
      </c>
      <c r="B1468" s="0" t="str">
        <f aca="false">IF(I1468="","",IF(AND(J1468&gt;=1,J1468&lt;=K1468+3),IF(J1468&lt;=K1468,IF(J1468&lt;=99,IF((INDEX(Eingabe!$G$9:$G$18,I1468))&lt;=9,1000+(INDEX(Eingabe!$G$9:$G$18,I1468))*100,3000)+J1468,IF((INDEX(Eingabe!$G$9:$G$18,I1468)+1)&lt;=9,1000+(INDEX(Eingabe!$G$9:$G$18,I1468)+1)*100,3000)+J1468-100),IF(J1468=K1468+1,2000+INDEX(Eingabe!$G$9:$G$18,I1468)*10+1,IF(J1468=K1468+2,2000+INDEX(Eingabe!$G$9:$G$18,I1468)*10+2,2000+INDEX(Eingabe!$G$9:$G$18,I1468)*10+9))),""))</f>
        <v/>
      </c>
      <c r="C1468" s="0" t="str">
        <f aca="false">IF(I1468="","",IF(AND(J1468&gt;=1,J1468&lt;=K1468+3),"10."&amp;INDEX(Eingabe!$D$9:$D$18,I1468)&amp;"."&amp;IF(J1468&lt;=K1468,J1468,IF(J1468=K1468+1,200,IF(J1468=K1468+2,201,250)))&amp;".0/24",""))</f>
        <v/>
      </c>
      <c r="D1468" s="0" t="str">
        <f aca="false">IF(I1468="","",IF(AND(J1468&gt;=1,J1468&lt;=K1468+3),"255.255.255.0",""))</f>
        <v/>
      </c>
      <c r="E1468" s="0" t="str">
        <f aca="false">IF(I1468="","",IF(AND(J1468&gt;=1,J1468&lt;=K1468+3),"10."&amp;INDEX(Eingabe!$D$9:$D$18,I1468)&amp;"."&amp;IF(J1468&lt;=K1468,J1468,IF(J1468=K1468+1,200,IF(J1468=K1468+2,201,250)))&amp;".1",""))</f>
        <v/>
      </c>
      <c r="F1468" s="0" t="str">
        <f aca="false">IF(I1468="","",IF(AND(J1468&gt;=1,J1468&lt;=K1468+3),"10."&amp;INDEX(Eingabe!$D$9:$D$18,I1468)&amp;"."&amp;IF(J1468&lt;=K1468,J1468,IF(J1468=K1468+1,200,IF(J1468=K1468+2,201,250)))&amp;".10 – 10."&amp;INDEX(Eingabe!$D$9:$D$18,I1468)&amp;"."&amp;IF(J1468&lt;=K1468,J1468,IF(J1468=K1468+1,200,IF(J1468=K1468+2,201,250)))&amp;".250",""))</f>
        <v/>
      </c>
      <c r="G1468" s="0" t="str">
        <f aca="false">IF(I1468="","",IF(AND(J1468&gt;=1,J1468&lt;=K1468),Eingabe!$B$6&amp;"-"&amp;INDEX(Eingabe!$C$9:$C$18,I1468)&amp;"-Pächter  ·  Passwort Parzelle "&amp;J1468,IF(J1468=K1468+1,Eingabe!$B$6&amp;"-"&amp;INDEX(Eingabe!$C$9:$C$18,I1468)&amp;"-Vorstand  ·  eigenes WLAN",IF(J1468=K1468+2,Eingabe!$B$6&amp;"-"&amp;INDEX(Eingabe!$C$9:$C$18,I1468)&amp;"-Gäste  ·  Voucher",IF(J1468=K1468+3,"Kabel  ·  Access Point y = .(50+y), Mast-Switch x = .(10+x)","")))))</f>
        <v/>
      </c>
      <c r="I1468" s="0" t="str">
        <f aca="false">IF(1463&lt;=(Eingabe!$P$18+Eingabe!$Q$18-1),MATCH(1463,Eingabe!$P$9:$P$18,1),"")</f>
        <v/>
      </c>
      <c r="J1468" s="0" t="str">
        <f aca="false">IF(I1468="","",1463-INDEX(Eingabe!$P$9:$P$18,I1468))</f>
        <v/>
      </c>
      <c r="K1468" s="0" t="str">
        <f aca="false">IF(I1468="","",INDEX(Eingabe!$E$9:$E$18,I1468))</f>
        <v/>
      </c>
    </row>
    <row r="1469" customFormat="false" ht="15" hidden="false" customHeight="false" outlineLevel="0" collapsed="false">
      <c r="A1469" s="0" t="str">
        <f aca="false">IF(I1469="","",IF(J1469=0,"Sparte "&amp;I1469&amp;": "&amp;INDEX(Eingabe!$B$9:$B$18,I1469)&amp;"  (Sparten-ID "&amp;INDEX(Eingabe!$D$9:$D$18,I1469)&amp;", "&amp;K1469&amp;" Parzellen)",IF(J1469&lt;=K1469,"   Parzelle "&amp;J1469,IF(J1469=K1469+1,"   Vorstand",IF(J1469=K1469+2,"   Gäste",IF(J1469=K1469+3,"   Technik (Switches, Access Points)",""))))))</f>
        <v/>
      </c>
      <c r="B1469" s="0" t="str">
        <f aca="false">IF(I1469="","",IF(AND(J1469&gt;=1,J1469&lt;=K1469+3),IF(J1469&lt;=K1469,IF(J1469&lt;=99,IF((INDEX(Eingabe!$G$9:$G$18,I1469))&lt;=9,1000+(INDEX(Eingabe!$G$9:$G$18,I1469))*100,3000)+J1469,IF((INDEX(Eingabe!$G$9:$G$18,I1469)+1)&lt;=9,1000+(INDEX(Eingabe!$G$9:$G$18,I1469)+1)*100,3000)+J1469-100),IF(J1469=K1469+1,2000+INDEX(Eingabe!$G$9:$G$18,I1469)*10+1,IF(J1469=K1469+2,2000+INDEX(Eingabe!$G$9:$G$18,I1469)*10+2,2000+INDEX(Eingabe!$G$9:$G$18,I1469)*10+9))),""))</f>
        <v/>
      </c>
      <c r="C1469" s="0" t="str">
        <f aca="false">IF(I1469="","",IF(AND(J1469&gt;=1,J1469&lt;=K1469+3),"10."&amp;INDEX(Eingabe!$D$9:$D$18,I1469)&amp;"."&amp;IF(J1469&lt;=K1469,J1469,IF(J1469=K1469+1,200,IF(J1469=K1469+2,201,250)))&amp;".0/24",""))</f>
        <v/>
      </c>
      <c r="D1469" s="0" t="str">
        <f aca="false">IF(I1469="","",IF(AND(J1469&gt;=1,J1469&lt;=K1469+3),"255.255.255.0",""))</f>
        <v/>
      </c>
      <c r="E1469" s="0" t="str">
        <f aca="false">IF(I1469="","",IF(AND(J1469&gt;=1,J1469&lt;=K1469+3),"10."&amp;INDEX(Eingabe!$D$9:$D$18,I1469)&amp;"."&amp;IF(J1469&lt;=K1469,J1469,IF(J1469=K1469+1,200,IF(J1469=K1469+2,201,250)))&amp;".1",""))</f>
        <v/>
      </c>
      <c r="F1469" s="0" t="str">
        <f aca="false">IF(I1469="","",IF(AND(J1469&gt;=1,J1469&lt;=K1469+3),"10."&amp;INDEX(Eingabe!$D$9:$D$18,I1469)&amp;"."&amp;IF(J1469&lt;=K1469,J1469,IF(J1469=K1469+1,200,IF(J1469=K1469+2,201,250)))&amp;".10 – 10."&amp;INDEX(Eingabe!$D$9:$D$18,I1469)&amp;"."&amp;IF(J1469&lt;=K1469,J1469,IF(J1469=K1469+1,200,IF(J1469=K1469+2,201,250)))&amp;".250",""))</f>
        <v/>
      </c>
      <c r="G1469" s="0" t="str">
        <f aca="false">IF(I1469="","",IF(AND(J1469&gt;=1,J1469&lt;=K1469),Eingabe!$B$6&amp;"-"&amp;INDEX(Eingabe!$C$9:$C$18,I1469)&amp;"-Pächter  ·  Passwort Parzelle "&amp;J1469,IF(J1469=K1469+1,Eingabe!$B$6&amp;"-"&amp;INDEX(Eingabe!$C$9:$C$18,I1469)&amp;"-Vorstand  ·  eigenes WLAN",IF(J1469=K1469+2,Eingabe!$B$6&amp;"-"&amp;INDEX(Eingabe!$C$9:$C$18,I1469)&amp;"-Gäste  ·  Voucher",IF(J1469=K1469+3,"Kabel  ·  Access Point y = .(50+y), Mast-Switch x = .(10+x)","")))))</f>
        <v/>
      </c>
      <c r="I1469" s="0" t="str">
        <f aca="false">IF(1464&lt;=(Eingabe!$P$18+Eingabe!$Q$18-1),MATCH(1464,Eingabe!$P$9:$P$18,1),"")</f>
        <v/>
      </c>
      <c r="J1469" s="0" t="str">
        <f aca="false">IF(I1469="","",1464-INDEX(Eingabe!$P$9:$P$18,I1469))</f>
        <v/>
      </c>
      <c r="K1469" s="0" t="str">
        <f aca="false">IF(I1469="","",INDEX(Eingabe!$E$9:$E$18,I1469))</f>
        <v/>
      </c>
    </row>
    <row r="1470" customFormat="false" ht="15" hidden="false" customHeight="false" outlineLevel="0" collapsed="false">
      <c r="A1470" s="0" t="str">
        <f aca="false">IF(I1470="","",IF(J1470=0,"Sparte "&amp;I1470&amp;": "&amp;INDEX(Eingabe!$B$9:$B$18,I1470)&amp;"  (Sparten-ID "&amp;INDEX(Eingabe!$D$9:$D$18,I1470)&amp;", "&amp;K1470&amp;" Parzellen)",IF(J1470&lt;=K1470,"   Parzelle "&amp;J1470,IF(J1470=K1470+1,"   Vorstand",IF(J1470=K1470+2,"   Gäste",IF(J1470=K1470+3,"   Technik (Switches, Access Points)",""))))))</f>
        <v/>
      </c>
      <c r="B1470" s="0" t="str">
        <f aca="false">IF(I1470="","",IF(AND(J1470&gt;=1,J1470&lt;=K1470+3),IF(J1470&lt;=K1470,IF(J1470&lt;=99,IF((INDEX(Eingabe!$G$9:$G$18,I1470))&lt;=9,1000+(INDEX(Eingabe!$G$9:$G$18,I1470))*100,3000)+J1470,IF((INDEX(Eingabe!$G$9:$G$18,I1470)+1)&lt;=9,1000+(INDEX(Eingabe!$G$9:$G$18,I1470)+1)*100,3000)+J1470-100),IF(J1470=K1470+1,2000+INDEX(Eingabe!$G$9:$G$18,I1470)*10+1,IF(J1470=K1470+2,2000+INDEX(Eingabe!$G$9:$G$18,I1470)*10+2,2000+INDEX(Eingabe!$G$9:$G$18,I1470)*10+9))),""))</f>
        <v/>
      </c>
      <c r="C1470" s="0" t="str">
        <f aca="false">IF(I1470="","",IF(AND(J1470&gt;=1,J1470&lt;=K1470+3),"10."&amp;INDEX(Eingabe!$D$9:$D$18,I1470)&amp;"."&amp;IF(J1470&lt;=K1470,J1470,IF(J1470=K1470+1,200,IF(J1470=K1470+2,201,250)))&amp;".0/24",""))</f>
        <v/>
      </c>
      <c r="D1470" s="0" t="str">
        <f aca="false">IF(I1470="","",IF(AND(J1470&gt;=1,J1470&lt;=K1470+3),"255.255.255.0",""))</f>
        <v/>
      </c>
      <c r="E1470" s="0" t="str">
        <f aca="false">IF(I1470="","",IF(AND(J1470&gt;=1,J1470&lt;=K1470+3),"10."&amp;INDEX(Eingabe!$D$9:$D$18,I1470)&amp;"."&amp;IF(J1470&lt;=K1470,J1470,IF(J1470=K1470+1,200,IF(J1470=K1470+2,201,250)))&amp;".1",""))</f>
        <v/>
      </c>
      <c r="F1470" s="0" t="str">
        <f aca="false">IF(I1470="","",IF(AND(J1470&gt;=1,J1470&lt;=K1470+3),"10."&amp;INDEX(Eingabe!$D$9:$D$18,I1470)&amp;"."&amp;IF(J1470&lt;=K1470,J1470,IF(J1470=K1470+1,200,IF(J1470=K1470+2,201,250)))&amp;".10 – 10."&amp;INDEX(Eingabe!$D$9:$D$18,I1470)&amp;"."&amp;IF(J1470&lt;=K1470,J1470,IF(J1470=K1470+1,200,IF(J1470=K1470+2,201,250)))&amp;".250",""))</f>
        <v/>
      </c>
      <c r="G1470" s="0" t="str">
        <f aca="false">IF(I1470="","",IF(AND(J1470&gt;=1,J1470&lt;=K1470),Eingabe!$B$6&amp;"-"&amp;INDEX(Eingabe!$C$9:$C$18,I1470)&amp;"-Pächter  ·  Passwort Parzelle "&amp;J1470,IF(J1470=K1470+1,Eingabe!$B$6&amp;"-"&amp;INDEX(Eingabe!$C$9:$C$18,I1470)&amp;"-Vorstand  ·  eigenes WLAN",IF(J1470=K1470+2,Eingabe!$B$6&amp;"-"&amp;INDEX(Eingabe!$C$9:$C$18,I1470)&amp;"-Gäste  ·  Voucher",IF(J1470=K1470+3,"Kabel  ·  Access Point y = .(50+y), Mast-Switch x = .(10+x)","")))))</f>
        <v/>
      </c>
      <c r="I1470" s="0" t="str">
        <f aca="false">IF(1465&lt;=(Eingabe!$P$18+Eingabe!$Q$18-1),MATCH(1465,Eingabe!$P$9:$P$18,1),"")</f>
        <v/>
      </c>
      <c r="J1470" s="0" t="str">
        <f aca="false">IF(I1470="","",1465-INDEX(Eingabe!$P$9:$P$18,I1470))</f>
        <v/>
      </c>
      <c r="K1470" s="0" t="str">
        <f aca="false">IF(I1470="","",INDEX(Eingabe!$E$9:$E$18,I1470))</f>
        <v/>
      </c>
    </row>
    <row r="1471" customFormat="false" ht="15" hidden="false" customHeight="false" outlineLevel="0" collapsed="false">
      <c r="A1471" s="0" t="str">
        <f aca="false">IF(I1471="","",IF(J1471=0,"Sparte "&amp;I1471&amp;": "&amp;INDEX(Eingabe!$B$9:$B$18,I1471)&amp;"  (Sparten-ID "&amp;INDEX(Eingabe!$D$9:$D$18,I1471)&amp;", "&amp;K1471&amp;" Parzellen)",IF(J1471&lt;=K1471,"   Parzelle "&amp;J1471,IF(J1471=K1471+1,"   Vorstand",IF(J1471=K1471+2,"   Gäste",IF(J1471=K1471+3,"   Technik (Switches, Access Points)",""))))))</f>
        <v/>
      </c>
      <c r="B1471" s="0" t="str">
        <f aca="false">IF(I1471="","",IF(AND(J1471&gt;=1,J1471&lt;=K1471+3),IF(J1471&lt;=K1471,IF(J1471&lt;=99,IF((INDEX(Eingabe!$G$9:$G$18,I1471))&lt;=9,1000+(INDEX(Eingabe!$G$9:$G$18,I1471))*100,3000)+J1471,IF((INDEX(Eingabe!$G$9:$G$18,I1471)+1)&lt;=9,1000+(INDEX(Eingabe!$G$9:$G$18,I1471)+1)*100,3000)+J1471-100),IF(J1471=K1471+1,2000+INDEX(Eingabe!$G$9:$G$18,I1471)*10+1,IF(J1471=K1471+2,2000+INDEX(Eingabe!$G$9:$G$18,I1471)*10+2,2000+INDEX(Eingabe!$G$9:$G$18,I1471)*10+9))),""))</f>
        <v/>
      </c>
      <c r="C1471" s="0" t="str">
        <f aca="false">IF(I1471="","",IF(AND(J1471&gt;=1,J1471&lt;=K1471+3),"10."&amp;INDEX(Eingabe!$D$9:$D$18,I1471)&amp;"."&amp;IF(J1471&lt;=K1471,J1471,IF(J1471=K1471+1,200,IF(J1471=K1471+2,201,250)))&amp;".0/24",""))</f>
        <v/>
      </c>
      <c r="D1471" s="0" t="str">
        <f aca="false">IF(I1471="","",IF(AND(J1471&gt;=1,J1471&lt;=K1471+3),"255.255.255.0",""))</f>
        <v/>
      </c>
      <c r="E1471" s="0" t="str">
        <f aca="false">IF(I1471="","",IF(AND(J1471&gt;=1,J1471&lt;=K1471+3),"10."&amp;INDEX(Eingabe!$D$9:$D$18,I1471)&amp;"."&amp;IF(J1471&lt;=K1471,J1471,IF(J1471=K1471+1,200,IF(J1471=K1471+2,201,250)))&amp;".1",""))</f>
        <v/>
      </c>
      <c r="F1471" s="0" t="str">
        <f aca="false">IF(I1471="","",IF(AND(J1471&gt;=1,J1471&lt;=K1471+3),"10."&amp;INDEX(Eingabe!$D$9:$D$18,I1471)&amp;"."&amp;IF(J1471&lt;=K1471,J1471,IF(J1471=K1471+1,200,IF(J1471=K1471+2,201,250)))&amp;".10 – 10."&amp;INDEX(Eingabe!$D$9:$D$18,I1471)&amp;"."&amp;IF(J1471&lt;=K1471,J1471,IF(J1471=K1471+1,200,IF(J1471=K1471+2,201,250)))&amp;".250",""))</f>
        <v/>
      </c>
      <c r="G1471" s="0" t="str">
        <f aca="false">IF(I1471="","",IF(AND(J1471&gt;=1,J1471&lt;=K1471),Eingabe!$B$6&amp;"-"&amp;INDEX(Eingabe!$C$9:$C$18,I1471)&amp;"-Pächter  ·  Passwort Parzelle "&amp;J1471,IF(J1471=K1471+1,Eingabe!$B$6&amp;"-"&amp;INDEX(Eingabe!$C$9:$C$18,I1471)&amp;"-Vorstand  ·  eigenes WLAN",IF(J1471=K1471+2,Eingabe!$B$6&amp;"-"&amp;INDEX(Eingabe!$C$9:$C$18,I1471)&amp;"-Gäste  ·  Voucher",IF(J1471=K1471+3,"Kabel  ·  Access Point y = .(50+y), Mast-Switch x = .(10+x)","")))))</f>
        <v/>
      </c>
      <c r="I1471" s="0" t="str">
        <f aca="false">IF(1466&lt;=(Eingabe!$P$18+Eingabe!$Q$18-1),MATCH(1466,Eingabe!$P$9:$P$18,1),"")</f>
        <v/>
      </c>
      <c r="J1471" s="0" t="str">
        <f aca="false">IF(I1471="","",1466-INDEX(Eingabe!$P$9:$P$18,I1471))</f>
        <v/>
      </c>
      <c r="K1471" s="0" t="str">
        <f aca="false">IF(I1471="","",INDEX(Eingabe!$E$9:$E$18,I1471))</f>
        <v/>
      </c>
    </row>
    <row r="1472" customFormat="false" ht="15" hidden="false" customHeight="false" outlineLevel="0" collapsed="false">
      <c r="A1472" s="0" t="str">
        <f aca="false">IF(I1472="","",IF(J1472=0,"Sparte "&amp;I1472&amp;": "&amp;INDEX(Eingabe!$B$9:$B$18,I1472)&amp;"  (Sparten-ID "&amp;INDEX(Eingabe!$D$9:$D$18,I1472)&amp;", "&amp;K1472&amp;" Parzellen)",IF(J1472&lt;=K1472,"   Parzelle "&amp;J1472,IF(J1472=K1472+1,"   Vorstand",IF(J1472=K1472+2,"   Gäste",IF(J1472=K1472+3,"   Technik (Switches, Access Points)",""))))))</f>
        <v/>
      </c>
      <c r="B1472" s="0" t="str">
        <f aca="false">IF(I1472="","",IF(AND(J1472&gt;=1,J1472&lt;=K1472+3),IF(J1472&lt;=K1472,IF(J1472&lt;=99,IF((INDEX(Eingabe!$G$9:$G$18,I1472))&lt;=9,1000+(INDEX(Eingabe!$G$9:$G$18,I1472))*100,3000)+J1472,IF((INDEX(Eingabe!$G$9:$G$18,I1472)+1)&lt;=9,1000+(INDEX(Eingabe!$G$9:$G$18,I1472)+1)*100,3000)+J1472-100),IF(J1472=K1472+1,2000+INDEX(Eingabe!$G$9:$G$18,I1472)*10+1,IF(J1472=K1472+2,2000+INDEX(Eingabe!$G$9:$G$18,I1472)*10+2,2000+INDEX(Eingabe!$G$9:$G$18,I1472)*10+9))),""))</f>
        <v/>
      </c>
      <c r="C1472" s="0" t="str">
        <f aca="false">IF(I1472="","",IF(AND(J1472&gt;=1,J1472&lt;=K1472+3),"10."&amp;INDEX(Eingabe!$D$9:$D$18,I1472)&amp;"."&amp;IF(J1472&lt;=K1472,J1472,IF(J1472=K1472+1,200,IF(J1472=K1472+2,201,250)))&amp;".0/24",""))</f>
        <v/>
      </c>
      <c r="D1472" s="0" t="str">
        <f aca="false">IF(I1472="","",IF(AND(J1472&gt;=1,J1472&lt;=K1472+3),"255.255.255.0",""))</f>
        <v/>
      </c>
      <c r="E1472" s="0" t="str">
        <f aca="false">IF(I1472="","",IF(AND(J1472&gt;=1,J1472&lt;=K1472+3),"10."&amp;INDEX(Eingabe!$D$9:$D$18,I1472)&amp;"."&amp;IF(J1472&lt;=K1472,J1472,IF(J1472=K1472+1,200,IF(J1472=K1472+2,201,250)))&amp;".1",""))</f>
        <v/>
      </c>
      <c r="F1472" s="0" t="str">
        <f aca="false">IF(I1472="","",IF(AND(J1472&gt;=1,J1472&lt;=K1472+3),"10."&amp;INDEX(Eingabe!$D$9:$D$18,I1472)&amp;"."&amp;IF(J1472&lt;=K1472,J1472,IF(J1472=K1472+1,200,IF(J1472=K1472+2,201,250)))&amp;".10 – 10."&amp;INDEX(Eingabe!$D$9:$D$18,I1472)&amp;"."&amp;IF(J1472&lt;=K1472,J1472,IF(J1472=K1472+1,200,IF(J1472=K1472+2,201,250)))&amp;".250",""))</f>
        <v/>
      </c>
      <c r="G1472" s="0" t="str">
        <f aca="false">IF(I1472="","",IF(AND(J1472&gt;=1,J1472&lt;=K1472),Eingabe!$B$6&amp;"-"&amp;INDEX(Eingabe!$C$9:$C$18,I1472)&amp;"-Pächter  ·  Passwort Parzelle "&amp;J1472,IF(J1472=K1472+1,Eingabe!$B$6&amp;"-"&amp;INDEX(Eingabe!$C$9:$C$18,I1472)&amp;"-Vorstand  ·  eigenes WLAN",IF(J1472=K1472+2,Eingabe!$B$6&amp;"-"&amp;INDEX(Eingabe!$C$9:$C$18,I1472)&amp;"-Gäste  ·  Voucher",IF(J1472=K1472+3,"Kabel  ·  Access Point y = .(50+y), Mast-Switch x = .(10+x)","")))))</f>
        <v/>
      </c>
      <c r="I1472" s="0" t="str">
        <f aca="false">IF(1467&lt;=(Eingabe!$P$18+Eingabe!$Q$18-1),MATCH(1467,Eingabe!$P$9:$P$18,1),"")</f>
        <v/>
      </c>
      <c r="J1472" s="0" t="str">
        <f aca="false">IF(I1472="","",1467-INDEX(Eingabe!$P$9:$P$18,I1472))</f>
        <v/>
      </c>
      <c r="K1472" s="0" t="str">
        <f aca="false">IF(I1472="","",INDEX(Eingabe!$E$9:$E$18,I1472))</f>
        <v/>
      </c>
    </row>
    <row r="1473" customFormat="false" ht="15" hidden="false" customHeight="false" outlineLevel="0" collapsed="false">
      <c r="A1473" s="0" t="str">
        <f aca="false">IF(I1473="","",IF(J1473=0,"Sparte "&amp;I1473&amp;": "&amp;INDEX(Eingabe!$B$9:$B$18,I1473)&amp;"  (Sparten-ID "&amp;INDEX(Eingabe!$D$9:$D$18,I1473)&amp;", "&amp;K1473&amp;" Parzellen)",IF(J1473&lt;=K1473,"   Parzelle "&amp;J1473,IF(J1473=K1473+1,"   Vorstand",IF(J1473=K1473+2,"   Gäste",IF(J1473=K1473+3,"   Technik (Switches, Access Points)",""))))))</f>
        <v/>
      </c>
      <c r="B1473" s="0" t="str">
        <f aca="false">IF(I1473="","",IF(AND(J1473&gt;=1,J1473&lt;=K1473+3),IF(J1473&lt;=K1473,IF(J1473&lt;=99,IF((INDEX(Eingabe!$G$9:$G$18,I1473))&lt;=9,1000+(INDEX(Eingabe!$G$9:$G$18,I1473))*100,3000)+J1473,IF((INDEX(Eingabe!$G$9:$G$18,I1473)+1)&lt;=9,1000+(INDEX(Eingabe!$G$9:$G$18,I1473)+1)*100,3000)+J1473-100),IF(J1473=K1473+1,2000+INDEX(Eingabe!$G$9:$G$18,I1473)*10+1,IF(J1473=K1473+2,2000+INDEX(Eingabe!$G$9:$G$18,I1473)*10+2,2000+INDEX(Eingabe!$G$9:$G$18,I1473)*10+9))),""))</f>
        <v/>
      </c>
      <c r="C1473" s="0" t="str">
        <f aca="false">IF(I1473="","",IF(AND(J1473&gt;=1,J1473&lt;=K1473+3),"10."&amp;INDEX(Eingabe!$D$9:$D$18,I1473)&amp;"."&amp;IF(J1473&lt;=K1473,J1473,IF(J1473=K1473+1,200,IF(J1473=K1473+2,201,250)))&amp;".0/24",""))</f>
        <v/>
      </c>
      <c r="D1473" s="0" t="str">
        <f aca="false">IF(I1473="","",IF(AND(J1473&gt;=1,J1473&lt;=K1473+3),"255.255.255.0",""))</f>
        <v/>
      </c>
      <c r="E1473" s="0" t="str">
        <f aca="false">IF(I1473="","",IF(AND(J1473&gt;=1,J1473&lt;=K1473+3),"10."&amp;INDEX(Eingabe!$D$9:$D$18,I1473)&amp;"."&amp;IF(J1473&lt;=K1473,J1473,IF(J1473=K1473+1,200,IF(J1473=K1473+2,201,250)))&amp;".1",""))</f>
        <v/>
      </c>
      <c r="F1473" s="0" t="str">
        <f aca="false">IF(I1473="","",IF(AND(J1473&gt;=1,J1473&lt;=K1473+3),"10."&amp;INDEX(Eingabe!$D$9:$D$18,I1473)&amp;"."&amp;IF(J1473&lt;=K1473,J1473,IF(J1473=K1473+1,200,IF(J1473=K1473+2,201,250)))&amp;".10 – 10."&amp;INDEX(Eingabe!$D$9:$D$18,I1473)&amp;"."&amp;IF(J1473&lt;=K1473,J1473,IF(J1473=K1473+1,200,IF(J1473=K1473+2,201,250)))&amp;".250",""))</f>
        <v/>
      </c>
      <c r="G1473" s="0" t="str">
        <f aca="false">IF(I1473="","",IF(AND(J1473&gt;=1,J1473&lt;=K1473),Eingabe!$B$6&amp;"-"&amp;INDEX(Eingabe!$C$9:$C$18,I1473)&amp;"-Pächter  ·  Passwort Parzelle "&amp;J1473,IF(J1473=K1473+1,Eingabe!$B$6&amp;"-"&amp;INDEX(Eingabe!$C$9:$C$18,I1473)&amp;"-Vorstand  ·  eigenes WLAN",IF(J1473=K1473+2,Eingabe!$B$6&amp;"-"&amp;INDEX(Eingabe!$C$9:$C$18,I1473)&amp;"-Gäste  ·  Voucher",IF(J1473=K1473+3,"Kabel  ·  Access Point y = .(50+y), Mast-Switch x = .(10+x)","")))))</f>
        <v/>
      </c>
      <c r="I1473" s="0" t="str">
        <f aca="false">IF(1468&lt;=(Eingabe!$P$18+Eingabe!$Q$18-1),MATCH(1468,Eingabe!$P$9:$P$18,1),"")</f>
        <v/>
      </c>
      <c r="J1473" s="0" t="str">
        <f aca="false">IF(I1473="","",1468-INDEX(Eingabe!$P$9:$P$18,I1473))</f>
        <v/>
      </c>
      <c r="K1473" s="0" t="str">
        <f aca="false">IF(I1473="","",INDEX(Eingabe!$E$9:$E$18,I1473))</f>
        <v/>
      </c>
    </row>
    <row r="1474" customFormat="false" ht="15" hidden="false" customHeight="false" outlineLevel="0" collapsed="false">
      <c r="A1474" s="0" t="str">
        <f aca="false">IF(I1474="","",IF(J1474=0,"Sparte "&amp;I1474&amp;": "&amp;INDEX(Eingabe!$B$9:$B$18,I1474)&amp;"  (Sparten-ID "&amp;INDEX(Eingabe!$D$9:$D$18,I1474)&amp;", "&amp;K1474&amp;" Parzellen)",IF(J1474&lt;=K1474,"   Parzelle "&amp;J1474,IF(J1474=K1474+1,"   Vorstand",IF(J1474=K1474+2,"   Gäste",IF(J1474=K1474+3,"   Technik (Switches, Access Points)",""))))))</f>
        <v/>
      </c>
      <c r="B1474" s="0" t="str">
        <f aca="false">IF(I1474="","",IF(AND(J1474&gt;=1,J1474&lt;=K1474+3),IF(J1474&lt;=K1474,IF(J1474&lt;=99,IF((INDEX(Eingabe!$G$9:$G$18,I1474))&lt;=9,1000+(INDEX(Eingabe!$G$9:$G$18,I1474))*100,3000)+J1474,IF((INDEX(Eingabe!$G$9:$G$18,I1474)+1)&lt;=9,1000+(INDEX(Eingabe!$G$9:$G$18,I1474)+1)*100,3000)+J1474-100),IF(J1474=K1474+1,2000+INDEX(Eingabe!$G$9:$G$18,I1474)*10+1,IF(J1474=K1474+2,2000+INDEX(Eingabe!$G$9:$G$18,I1474)*10+2,2000+INDEX(Eingabe!$G$9:$G$18,I1474)*10+9))),""))</f>
        <v/>
      </c>
      <c r="C1474" s="0" t="str">
        <f aca="false">IF(I1474="","",IF(AND(J1474&gt;=1,J1474&lt;=K1474+3),"10."&amp;INDEX(Eingabe!$D$9:$D$18,I1474)&amp;"."&amp;IF(J1474&lt;=K1474,J1474,IF(J1474=K1474+1,200,IF(J1474=K1474+2,201,250)))&amp;".0/24",""))</f>
        <v/>
      </c>
      <c r="D1474" s="0" t="str">
        <f aca="false">IF(I1474="","",IF(AND(J1474&gt;=1,J1474&lt;=K1474+3),"255.255.255.0",""))</f>
        <v/>
      </c>
      <c r="E1474" s="0" t="str">
        <f aca="false">IF(I1474="","",IF(AND(J1474&gt;=1,J1474&lt;=K1474+3),"10."&amp;INDEX(Eingabe!$D$9:$D$18,I1474)&amp;"."&amp;IF(J1474&lt;=K1474,J1474,IF(J1474=K1474+1,200,IF(J1474=K1474+2,201,250)))&amp;".1",""))</f>
        <v/>
      </c>
      <c r="F1474" s="0" t="str">
        <f aca="false">IF(I1474="","",IF(AND(J1474&gt;=1,J1474&lt;=K1474+3),"10."&amp;INDEX(Eingabe!$D$9:$D$18,I1474)&amp;"."&amp;IF(J1474&lt;=K1474,J1474,IF(J1474=K1474+1,200,IF(J1474=K1474+2,201,250)))&amp;".10 – 10."&amp;INDEX(Eingabe!$D$9:$D$18,I1474)&amp;"."&amp;IF(J1474&lt;=K1474,J1474,IF(J1474=K1474+1,200,IF(J1474=K1474+2,201,250)))&amp;".250",""))</f>
        <v/>
      </c>
      <c r="G1474" s="0" t="str">
        <f aca="false">IF(I1474="","",IF(AND(J1474&gt;=1,J1474&lt;=K1474),Eingabe!$B$6&amp;"-"&amp;INDEX(Eingabe!$C$9:$C$18,I1474)&amp;"-Pächter  ·  Passwort Parzelle "&amp;J1474,IF(J1474=K1474+1,Eingabe!$B$6&amp;"-"&amp;INDEX(Eingabe!$C$9:$C$18,I1474)&amp;"-Vorstand  ·  eigenes WLAN",IF(J1474=K1474+2,Eingabe!$B$6&amp;"-"&amp;INDEX(Eingabe!$C$9:$C$18,I1474)&amp;"-Gäste  ·  Voucher",IF(J1474=K1474+3,"Kabel  ·  Access Point y = .(50+y), Mast-Switch x = .(10+x)","")))))</f>
        <v/>
      </c>
      <c r="I1474" s="0" t="str">
        <f aca="false">IF(1469&lt;=(Eingabe!$P$18+Eingabe!$Q$18-1),MATCH(1469,Eingabe!$P$9:$P$18,1),"")</f>
        <v/>
      </c>
      <c r="J1474" s="0" t="str">
        <f aca="false">IF(I1474="","",1469-INDEX(Eingabe!$P$9:$P$18,I1474))</f>
        <v/>
      </c>
      <c r="K1474" s="0" t="str">
        <f aca="false">IF(I1474="","",INDEX(Eingabe!$E$9:$E$18,I1474))</f>
        <v/>
      </c>
    </row>
    <row r="1475" customFormat="false" ht="15" hidden="false" customHeight="false" outlineLevel="0" collapsed="false">
      <c r="A1475" s="0" t="str">
        <f aca="false">IF(I1475="","",IF(J1475=0,"Sparte "&amp;I1475&amp;": "&amp;INDEX(Eingabe!$B$9:$B$18,I1475)&amp;"  (Sparten-ID "&amp;INDEX(Eingabe!$D$9:$D$18,I1475)&amp;", "&amp;K1475&amp;" Parzellen)",IF(J1475&lt;=K1475,"   Parzelle "&amp;J1475,IF(J1475=K1475+1,"   Vorstand",IF(J1475=K1475+2,"   Gäste",IF(J1475=K1475+3,"   Technik (Switches, Access Points)",""))))))</f>
        <v/>
      </c>
      <c r="B1475" s="0" t="str">
        <f aca="false">IF(I1475="","",IF(AND(J1475&gt;=1,J1475&lt;=K1475+3),IF(J1475&lt;=K1475,IF(J1475&lt;=99,IF((INDEX(Eingabe!$G$9:$G$18,I1475))&lt;=9,1000+(INDEX(Eingabe!$G$9:$G$18,I1475))*100,3000)+J1475,IF((INDEX(Eingabe!$G$9:$G$18,I1475)+1)&lt;=9,1000+(INDEX(Eingabe!$G$9:$G$18,I1475)+1)*100,3000)+J1475-100),IF(J1475=K1475+1,2000+INDEX(Eingabe!$G$9:$G$18,I1475)*10+1,IF(J1475=K1475+2,2000+INDEX(Eingabe!$G$9:$G$18,I1475)*10+2,2000+INDEX(Eingabe!$G$9:$G$18,I1475)*10+9))),""))</f>
        <v/>
      </c>
      <c r="C1475" s="0" t="str">
        <f aca="false">IF(I1475="","",IF(AND(J1475&gt;=1,J1475&lt;=K1475+3),"10."&amp;INDEX(Eingabe!$D$9:$D$18,I1475)&amp;"."&amp;IF(J1475&lt;=K1475,J1475,IF(J1475=K1475+1,200,IF(J1475=K1475+2,201,250)))&amp;".0/24",""))</f>
        <v/>
      </c>
      <c r="D1475" s="0" t="str">
        <f aca="false">IF(I1475="","",IF(AND(J1475&gt;=1,J1475&lt;=K1475+3),"255.255.255.0",""))</f>
        <v/>
      </c>
      <c r="E1475" s="0" t="str">
        <f aca="false">IF(I1475="","",IF(AND(J1475&gt;=1,J1475&lt;=K1475+3),"10."&amp;INDEX(Eingabe!$D$9:$D$18,I1475)&amp;"."&amp;IF(J1475&lt;=K1475,J1475,IF(J1475=K1475+1,200,IF(J1475=K1475+2,201,250)))&amp;".1",""))</f>
        <v/>
      </c>
      <c r="F1475" s="0" t="str">
        <f aca="false">IF(I1475="","",IF(AND(J1475&gt;=1,J1475&lt;=K1475+3),"10."&amp;INDEX(Eingabe!$D$9:$D$18,I1475)&amp;"."&amp;IF(J1475&lt;=K1475,J1475,IF(J1475=K1475+1,200,IF(J1475=K1475+2,201,250)))&amp;".10 – 10."&amp;INDEX(Eingabe!$D$9:$D$18,I1475)&amp;"."&amp;IF(J1475&lt;=K1475,J1475,IF(J1475=K1475+1,200,IF(J1475=K1475+2,201,250)))&amp;".250",""))</f>
        <v/>
      </c>
      <c r="G1475" s="0" t="str">
        <f aca="false">IF(I1475="","",IF(AND(J1475&gt;=1,J1475&lt;=K1475),Eingabe!$B$6&amp;"-"&amp;INDEX(Eingabe!$C$9:$C$18,I1475)&amp;"-Pächter  ·  Passwort Parzelle "&amp;J1475,IF(J1475=K1475+1,Eingabe!$B$6&amp;"-"&amp;INDEX(Eingabe!$C$9:$C$18,I1475)&amp;"-Vorstand  ·  eigenes WLAN",IF(J1475=K1475+2,Eingabe!$B$6&amp;"-"&amp;INDEX(Eingabe!$C$9:$C$18,I1475)&amp;"-Gäste  ·  Voucher",IF(J1475=K1475+3,"Kabel  ·  Access Point y = .(50+y), Mast-Switch x = .(10+x)","")))))</f>
        <v/>
      </c>
      <c r="I1475" s="0" t="str">
        <f aca="false">IF(1470&lt;=(Eingabe!$P$18+Eingabe!$Q$18-1),MATCH(1470,Eingabe!$P$9:$P$18,1),"")</f>
        <v/>
      </c>
      <c r="J1475" s="0" t="str">
        <f aca="false">IF(I1475="","",1470-INDEX(Eingabe!$P$9:$P$18,I1475))</f>
        <v/>
      </c>
      <c r="K1475" s="0" t="str">
        <f aca="false">IF(I1475="","",INDEX(Eingabe!$E$9:$E$18,I1475))</f>
        <v/>
      </c>
    </row>
    <row r="1476" customFormat="false" ht="15" hidden="false" customHeight="false" outlineLevel="0" collapsed="false">
      <c r="A1476" s="0" t="str">
        <f aca="false">IF(I1476="","",IF(J1476=0,"Sparte "&amp;I1476&amp;": "&amp;INDEX(Eingabe!$B$9:$B$18,I1476)&amp;"  (Sparten-ID "&amp;INDEX(Eingabe!$D$9:$D$18,I1476)&amp;", "&amp;K1476&amp;" Parzellen)",IF(J1476&lt;=K1476,"   Parzelle "&amp;J1476,IF(J1476=K1476+1,"   Vorstand",IF(J1476=K1476+2,"   Gäste",IF(J1476=K1476+3,"   Technik (Switches, Access Points)",""))))))</f>
        <v/>
      </c>
      <c r="B1476" s="0" t="str">
        <f aca="false">IF(I1476="","",IF(AND(J1476&gt;=1,J1476&lt;=K1476+3),IF(J1476&lt;=K1476,IF(J1476&lt;=99,IF((INDEX(Eingabe!$G$9:$G$18,I1476))&lt;=9,1000+(INDEX(Eingabe!$G$9:$G$18,I1476))*100,3000)+J1476,IF((INDEX(Eingabe!$G$9:$G$18,I1476)+1)&lt;=9,1000+(INDEX(Eingabe!$G$9:$G$18,I1476)+1)*100,3000)+J1476-100),IF(J1476=K1476+1,2000+INDEX(Eingabe!$G$9:$G$18,I1476)*10+1,IF(J1476=K1476+2,2000+INDEX(Eingabe!$G$9:$G$18,I1476)*10+2,2000+INDEX(Eingabe!$G$9:$G$18,I1476)*10+9))),""))</f>
        <v/>
      </c>
      <c r="C1476" s="0" t="str">
        <f aca="false">IF(I1476="","",IF(AND(J1476&gt;=1,J1476&lt;=K1476+3),"10."&amp;INDEX(Eingabe!$D$9:$D$18,I1476)&amp;"."&amp;IF(J1476&lt;=K1476,J1476,IF(J1476=K1476+1,200,IF(J1476=K1476+2,201,250)))&amp;".0/24",""))</f>
        <v/>
      </c>
      <c r="D1476" s="0" t="str">
        <f aca="false">IF(I1476="","",IF(AND(J1476&gt;=1,J1476&lt;=K1476+3),"255.255.255.0",""))</f>
        <v/>
      </c>
      <c r="E1476" s="0" t="str">
        <f aca="false">IF(I1476="","",IF(AND(J1476&gt;=1,J1476&lt;=K1476+3),"10."&amp;INDEX(Eingabe!$D$9:$D$18,I1476)&amp;"."&amp;IF(J1476&lt;=K1476,J1476,IF(J1476=K1476+1,200,IF(J1476=K1476+2,201,250)))&amp;".1",""))</f>
        <v/>
      </c>
      <c r="F1476" s="0" t="str">
        <f aca="false">IF(I1476="","",IF(AND(J1476&gt;=1,J1476&lt;=K1476+3),"10."&amp;INDEX(Eingabe!$D$9:$D$18,I1476)&amp;"."&amp;IF(J1476&lt;=K1476,J1476,IF(J1476=K1476+1,200,IF(J1476=K1476+2,201,250)))&amp;".10 – 10."&amp;INDEX(Eingabe!$D$9:$D$18,I1476)&amp;"."&amp;IF(J1476&lt;=K1476,J1476,IF(J1476=K1476+1,200,IF(J1476=K1476+2,201,250)))&amp;".250",""))</f>
        <v/>
      </c>
      <c r="G1476" s="0" t="str">
        <f aca="false">IF(I1476="","",IF(AND(J1476&gt;=1,J1476&lt;=K1476),Eingabe!$B$6&amp;"-"&amp;INDEX(Eingabe!$C$9:$C$18,I1476)&amp;"-Pächter  ·  Passwort Parzelle "&amp;J1476,IF(J1476=K1476+1,Eingabe!$B$6&amp;"-"&amp;INDEX(Eingabe!$C$9:$C$18,I1476)&amp;"-Vorstand  ·  eigenes WLAN",IF(J1476=K1476+2,Eingabe!$B$6&amp;"-"&amp;INDEX(Eingabe!$C$9:$C$18,I1476)&amp;"-Gäste  ·  Voucher",IF(J1476=K1476+3,"Kabel  ·  Access Point y = .(50+y), Mast-Switch x = .(10+x)","")))))</f>
        <v/>
      </c>
      <c r="I1476" s="0" t="str">
        <f aca="false">IF(1471&lt;=(Eingabe!$P$18+Eingabe!$Q$18-1),MATCH(1471,Eingabe!$P$9:$P$18,1),"")</f>
        <v/>
      </c>
      <c r="J1476" s="0" t="str">
        <f aca="false">IF(I1476="","",1471-INDEX(Eingabe!$P$9:$P$18,I1476))</f>
        <v/>
      </c>
      <c r="K1476" s="0" t="str">
        <f aca="false">IF(I1476="","",INDEX(Eingabe!$E$9:$E$18,I1476))</f>
        <v/>
      </c>
    </row>
    <row r="1477" customFormat="false" ht="15" hidden="false" customHeight="false" outlineLevel="0" collapsed="false">
      <c r="A1477" s="0" t="str">
        <f aca="false">IF(I1477="","",IF(J1477=0,"Sparte "&amp;I1477&amp;": "&amp;INDEX(Eingabe!$B$9:$B$18,I1477)&amp;"  (Sparten-ID "&amp;INDEX(Eingabe!$D$9:$D$18,I1477)&amp;", "&amp;K1477&amp;" Parzellen)",IF(J1477&lt;=K1477,"   Parzelle "&amp;J1477,IF(J1477=K1477+1,"   Vorstand",IF(J1477=K1477+2,"   Gäste",IF(J1477=K1477+3,"   Technik (Switches, Access Points)",""))))))</f>
        <v/>
      </c>
      <c r="B1477" s="0" t="str">
        <f aca="false">IF(I1477="","",IF(AND(J1477&gt;=1,J1477&lt;=K1477+3),IF(J1477&lt;=K1477,IF(J1477&lt;=99,IF((INDEX(Eingabe!$G$9:$G$18,I1477))&lt;=9,1000+(INDEX(Eingabe!$G$9:$G$18,I1477))*100,3000)+J1477,IF((INDEX(Eingabe!$G$9:$G$18,I1477)+1)&lt;=9,1000+(INDEX(Eingabe!$G$9:$G$18,I1477)+1)*100,3000)+J1477-100),IF(J1477=K1477+1,2000+INDEX(Eingabe!$G$9:$G$18,I1477)*10+1,IF(J1477=K1477+2,2000+INDEX(Eingabe!$G$9:$G$18,I1477)*10+2,2000+INDEX(Eingabe!$G$9:$G$18,I1477)*10+9))),""))</f>
        <v/>
      </c>
      <c r="C1477" s="0" t="str">
        <f aca="false">IF(I1477="","",IF(AND(J1477&gt;=1,J1477&lt;=K1477+3),"10."&amp;INDEX(Eingabe!$D$9:$D$18,I1477)&amp;"."&amp;IF(J1477&lt;=K1477,J1477,IF(J1477=K1477+1,200,IF(J1477=K1477+2,201,250)))&amp;".0/24",""))</f>
        <v/>
      </c>
      <c r="D1477" s="0" t="str">
        <f aca="false">IF(I1477="","",IF(AND(J1477&gt;=1,J1477&lt;=K1477+3),"255.255.255.0",""))</f>
        <v/>
      </c>
      <c r="E1477" s="0" t="str">
        <f aca="false">IF(I1477="","",IF(AND(J1477&gt;=1,J1477&lt;=K1477+3),"10."&amp;INDEX(Eingabe!$D$9:$D$18,I1477)&amp;"."&amp;IF(J1477&lt;=K1477,J1477,IF(J1477=K1477+1,200,IF(J1477=K1477+2,201,250)))&amp;".1",""))</f>
        <v/>
      </c>
      <c r="F1477" s="0" t="str">
        <f aca="false">IF(I1477="","",IF(AND(J1477&gt;=1,J1477&lt;=K1477+3),"10."&amp;INDEX(Eingabe!$D$9:$D$18,I1477)&amp;"."&amp;IF(J1477&lt;=K1477,J1477,IF(J1477=K1477+1,200,IF(J1477=K1477+2,201,250)))&amp;".10 – 10."&amp;INDEX(Eingabe!$D$9:$D$18,I1477)&amp;"."&amp;IF(J1477&lt;=K1477,J1477,IF(J1477=K1477+1,200,IF(J1477=K1477+2,201,250)))&amp;".250",""))</f>
        <v/>
      </c>
      <c r="G1477" s="0" t="str">
        <f aca="false">IF(I1477="","",IF(AND(J1477&gt;=1,J1477&lt;=K1477),Eingabe!$B$6&amp;"-"&amp;INDEX(Eingabe!$C$9:$C$18,I1477)&amp;"-Pächter  ·  Passwort Parzelle "&amp;J1477,IF(J1477=K1477+1,Eingabe!$B$6&amp;"-"&amp;INDEX(Eingabe!$C$9:$C$18,I1477)&amp;"-Vorstand  ·  eigenes WLAN",IF(J1477=K1477+2,Eingabe!$B$6&amp;"-"&amp;INDEX(Eingabe!$C$9:$C$18,I1477)&amp;"-Gäste  ·  Voucher",IF(J1477=K1477+3,"Kabel  ·  Access Point y = .(50+y), Mast-Switch x = .(10+x)","")))))</f>
        <v/>
      </c>
      <c r="I1477" s="0" t="str">
        <f aca="false">IF(1472&lt;=(Eingabe!$P$18+Eingabe!$Q$18-1),MATCH(1472,Eingabe!$P$9:$P$18,1),"")</f>
        <v/>
      </c>
      <c r="J1477" s="0" t="str">
        <f aca="false">IF(I1477="","",1472-INDEX(Eingabe!$P$9:$P$18,I1477))</f>
        <v/>
      </c>
      <c r="K1477" s="0" t="str">
        <f aca="false">IF(I1477="","",INDEX(Eingabe!$E$9:$E$18,I1477))</f>
        <v/>
      </c>
    </row>
    <row r="1478" customFormat="false" ht="15" hidden="false" customHeight="false" outlineLevel="0" collapsed="false">
      <c r="A1478" s="0" t="str">
        <f aca="false">IF(I1478="","",IF(J1478=0,"Sparte "&amp;I1478&amp;": "&amp;INDEX(Eingabe!$B$9:$B$18,I1478)&amp;"  (Sparten-ID "&amp;INDEX(Eingabe!$D$9:$D$18,I1478)&amp;", "&amp;K1478&amp;" Parzellen)",IF(J1478&lt;=K1478,"   Parzelle "&amp;J1478,IF(J1478=K1478+1,"   Vorstand",IF(J1478=K1478+2,"   Gäste",IF(J1478=K1478+3,"   Technik (Switches, Access Points)",""))))))</f>
        <v/>
      </c>
      <c r="B1478" s="0" t="str">
        <f aca="false">IF(I1478="","",IF(AND(J1478&gt;=1,J1478&lt;=K1478+3),IF(J1478&lt;=K1478,IF(J1478&lt;=99,IF((INDEX(Eingabe!$G$9:$G$18,I1478))&lt;=9,1000+(INDEX(Eingabe!$G$9:$G$18,I1478))*100,3000)+J1478,IF((INDEX(Eingabe!$G$9:$G$18,I1478)+1)&lt;=9,1000+(INDEX(Eingabe!$G$9:$G$18,I1478)+1)*100,3000)+J1478-100),IF(J1478=K1478+1,2000+INDEX(Eingabe!$G$9:$G$18,I1478)*10+1,IF(J1478=K1478+2,2000+INDEX(Eingabe!$G$9:$G$18,I1478)*10+2,2000+INDEX(Eingabe!$G$9:$G$18,I1478)*10+9))),""))</f>
        <v/>
      </c>
      <c r="C1478" s="0" t="str">
        <f aca="false">IF(I1478="","",IF(AND(J1478&gt;=1,J1478&lt;=K1478+3),"10."&amp;INDEX(Eingabe!$D$9:$D$18,I1478)&amp;"."&amp;IF(J1478&lt;=K1478,J1478,IF(J1478=K1478+1,200,IF(J1478=K1478+2,201,250)))&amp;".0/24",""))</f>
        <v/>
      </c>
      <c r="D1478" s="0" t="str">
        <f aca="false">IF(I1478="","",IF(AND(J1478&gt;=1,J1478&lt;=K1478+3),"255.255.255.0",""))</f>
        <v/>
      </c>
      <c r="E1478" s="0" t="str">
        <f aca="false">IF(I1478="","",IF(AND(J1478&gt;=1,J1478&lt;=K1478+3),"10."&amp;INDEX(Eingabe!$D$9:$D$18,I1478)&amp;"."&amp;IF(J1478&lt;=K1478,J1478,IF(J1478=K1478+1,200,IF(J1478=K1478+2,201,250)))&amp;".1",""))</f>
        <v/>
      </c>
      <c r="F1478" s="0" t="str">
        <f aca="false">IF(I1478="","",IF(AND(J1478&gt;=1,J1478&lt;=K1478+3),"10."&amp;INDEX(Eingabe!$D$9:$D$18,I1478)&amp;"."&amp;IF(J1478&lt;=K1478,J1478,IF(J1478=K1478+1,200,IF(J1478=K1478+2,201,250)))&amp;".10 – 10."&amp;INDEX(Eingabe!$D$9:$D$18,I1478)&amp;"."&amp;IF(J1478&lt;=K1478,J1478,IF(J1478=K1478+1,200,IF(J1478=K1478+2,201,250)))&amp;".250",""))</f>
        <v/>
      </c>
      <c r="G1478" s="0" t="str">
        <f aca="false">IF(I1478="","",IF(AND(J1478&gt;=1,J1478&lt;=K1478),Eingabe!$B$6&amp;"-"&amp;INDEX(Eingabe!$C$9:$C$18,I1478)&amp;"-Pächter  ·  Passwort Parzelle "&amp;J1478,IF(J1478=K1478+1,Eingabe!$B$6&amp;"-"&amp;INDEX(Eingabe!$C$9:$C$18,I1478)&amp;"-Vorstand  ·  eigenes WLAN",IF(J1478=K1478+2,Eingabe!$B$6&amp;"-"&amp;INDEX(Eingabe!$C$9:$C$18,I1478)&amp;"-Gäste  ·  Voucher",IF(J1478=K1478+3,"Kabel  ·  Access Point y = .(50+y), Mast-Switch x = .(10+x)","")))))</f>
        <v/>
      </c>
      <c r="I1478" s="0" t="str">
        <f aca="false">IF(1473&lt;=(Eingabe!$P$18+Eingabe!$Q$18-1),MATCH(1473,Eingabe!$P$9:$P$18,1),"")</f>
        <v/>
      </c>
      <c r="J1478" s="0" t="str">
        <f aca="false">IF(I1478="","",1473-INDEX(Eingabe!$P$9:$P$18,I1478))</f>
        <v/>
      </c>
      <c r="K1478" s="0" t="str">
        <f aca="false">IF(I1478="","",INDEX(Eingabe!$E$9:$E$18,I1478))</f>
        <v/>
      </c>
    </row>
    <row r="1479" customFormat="false" ht="15" hidden="false" customHeight="false" outlineLevel="0" collapsed="false">
      <c r="A1479" s="0" t="str">
        <f aca="false">IF(I1479="","",IF(J1479=0,"Sparte "&amp;I1479&amp;": "&amp;INDEX(Eingabe!$B$9:$B$18,I1479)&amp;"  (Sparten-ID "&amp;INDEX(Eingabe!$D$9:$D$18,I1479)&amp;", "&amp;K1479&amp;" Parzellen)",IF(J1479&lt;=K1479,"   Parzelle "&amp;J1479,IF(J1479=K1479+1,"   Vorstand",IF(J1479=K1479+2,"   Gäste",IF(J1479=K1479+3,"   Technik (Switches, Access Points)",""))))))</f>
        <v/>
      </c>
      <c r="B1479" s="0" t="str">
        <f aca="false">IF(I1479="","",IF(AND(J1479&gt;=1,J1479&lt;=K1479+3),IF(J1479&lt;=K1479,IF(J1479&lt;=99,IF((INDEX(Eingabe!$G$9:$G$18,I1479))&lt;=9,1000+(INDEX(Eingabe!$G$9:$G$18,I1479))*100,3000)+J1479,IF((INDEX(Eingabe!$G$9:$G$18,I1479)+1)&lt;=9,1000+(INDEX(Eingabe!$G$9:$G$18,I1479)+1)*100,3000)+J1479-100),IF(J1479=K1479+1,2000+INDEX(Eingabe!$G$9:$G$18,I1479)*10+1,IF(J1479=K1479+2,2000+INDEX(Eingabe!$G$9:$G$18,I1479)*10+2,2000+INDEX(Eingabe!$G$9:$G$18,I1479)*10+9))),""))</f>
        <v/>
      </c>
      <c r="C1479" s="0" t="str">
        <f aca="false">IF(I1479="","",IF(AND(J1479&gt;=1,J1479&lt;=K1479+3),"10."&amp;INDEX(Eingabe!$D$9:$D$18,I1479)&amp;"."&amp;IF(J1479&lt;=K1479,J1479,IF(J1479=K1479+1,200,IF(J1479=K1479+2,201,250)))&amp;".0/24",""))</f>
        <v/>
      </c>
      <c r="D1479" s="0" t="str">
        <f aca="false">IF(I1479="","",IF(AND(J1479&gt;=1,J1479&lt;=K1479+3),"255.255.255.0",""))</f>
        <v/>
      </c>
      <c r="E1479" s="0" t="str">
        <f aca="false">IF(I1479="","",IF(AND(J1479&gt;=1,J1479&lt;=K1479+3),"10."&amp;INDEX(Eingabe!$D$9:$D$18,I1479)&amp;"."&amp;IF(J1479&lt;=K1479,J1479,IF(J1479=K1479+1,200,IF(J1479=K1479+2,201,250)))&amp;".1",""))</f>
        <v/>
      </c>
      <c r="F1479" s="0" t="str">
        <f aca="false">IF(I1479="","",IF(AND(J1479&gt;=1,J1479&lt;=K1479+3),"10."&amp;INDEX(Eingabe!$D$9:$D$18,I1479)&amp;"."&amp;IF(J1479&lt;=K1479,J1479,IF(J1479=K1479+1,200,IF(J1479=K1479+2,201,250)))&amp;".10 – 10."&amp;INDEX(Eingabe!$D$9:$D$18,I1479)&amp;"."&amp;IF(J1479&lt;=K1479,J1479,IF(J1479=K1479+1,200,IF(J1479=K1479+2,201,250)))&amp;".250",""))</f>
        <v/>
      </c>
      <c r="G1479" s="0" t="str">
        <f aca="false">IF(I1479="","",IF(AND(J1479&gt;=1,J1479&lt;=K1479),Eingabe!$B$6&amp;"-"&amp;INDEX(Eingabe!$C$9:$C$18,I1479)&amp;"-Pächter  ·  Passwort Parzelle "&amp;J1479,IF(J1479=K1479+1,Eingabe!$B$6&amp;"-"&amp;INDEX(Eingabe!$C$9:$C$18,I1479)&amp;"-Vorstand  ·  eigenes WLAN",IF(J1479=K1479+2,Eingabe!$B$6&amp;"-"&amp;INDEX(Eingabe!$C$9:$C$18,I1479)&amp;"-Gäste  ·  Voucher",IF(J1479=K1479+3,"Kabel  ·  Access Point y = .(50+y), Mast-Switch x = .(10+x)","")))))</f>
        <v/>
      </c>
      <c r="I1479" s="0" t="str">
        <f aca="false">IF(1474&lt;=(Eingabe!$P$18+Eingabe!$Q$18-1),MATCH(1474,Eingabe!$P$9:$P$18,1),"")</f>
        <v/>
      </c>
      <c r="J1479" s="0" t="str">
        <f aca="false">IF(I1479="","",1474-INDEX(Eingabe!$P$9:$P$18,I1479))</f>
        <v/>
      </c>
      <c r="K1479" s="0" t="str">
        <f aca="false">IF(I1479="","",INDEX(Eingabe!$E$9:$E$18,I1479))</f>
        <v/>
      </c>
    </row>
    <row r="1480" customFormat="false" ht="15" hidden="false" customHeight="false" outlineLevel="0" collapsed="false">
      <c r="A1480" s="0" t="str">
        <f aca="false">IF(I1480="","",IF(J1480=0,"Sparte "&amp;I1480&amp;": "&amp;INDEX(Eingabe!$B$9:$B$18,I1480)&amp;"  (Sparten-ID "&amp;INDEX(Eingabe!$D$9:$D$18,I1480)&amp;", "&amp;K1480&amp;" Parzellen)",IF(J1480&lt;=K1480,"   Parzelle "&amp;J1480,IF(J1480=K1480+1,"   Vorstand",IF(J1480=K1480+2,"   Gäste",IF(J1480=K1480+3,"   Technik (Switches, Access Points)",""))))))</f>
        <v/>
      </c>
      <c r="B1480" s="0" t="str">
        <f aca="false">IF(I1480="","",IF(AND(J1480&gt;=1,J1480&lt;=K1480+3),IF(J1480&lt;=K1480,IF(J1480&lt;=99,IF((INDEX(Eingabe!$G$9:$G$18,I1480))&lt;=9,1000+(INDEX(Eingabe!$G$9:$G$18,I1480))*100,3000)+J1480,IF((INDEX(Eingabe!$G$9:$G$18,I1480)+1)&lt;=9,1000+(INDEX(Eingabe!$G$9:$G$18,I1480)+1)*100,3000)+J1480-100),IF(J1480=K1480+1,2000+INDEX(Eingabe!$G$9:$G$18,I1480)*10+1,IF(J1480=K1480+2,2000+INDEX(Eingabe!$G$9:$G$18,I1480)*10+2,2000+INDEX(Eingabe!$G$9:$G$18,I1480)*10+9))),""))</f>
        <v/>
      </c>
      <c r="C1480" s="0" t="str">
        <f aca="false">IF(I1480="","",IF(AND(J1480&gt;=1,J1480&lt;=K1480+3),"10."&amp;INDEX(Eingabe!$D$9:$D$18,I1480)&amp;"."&amp;IF(J1480&lt;=K1480,J1480,IF(J1480=K1480+1,200,IF(J1480=K1480+2,201,250)))&amp;".0/24",""))</f>
        <v/>
      </c>
      <c r="D1480" s="0" t="str">
        <f aca="false">IF(I1480="","",IF(AND(J1480&gt;=1,J1480&lt;=K1480+3),"255.255.255.0",""))</f>
        <v/>
      </c>
      <c r="E1480" s="0" t="str">
        <f aca="false">IF(I1480="","",IF(AND(J1480&gt;=1,J1480&lt;=K1480+3),"10."&amp;INDEX(Eingabe!$D$9:$D$18,I1480)&amp;"."&amp;IF(J1480&lt;=K1480,J1480,IF(J1480=K1480+1,200,IF(J1480=K1480+2,201,250)))&amp;".1",""))</f>
        <v/>
      </c>
      <c r="F1480" s="0" t="str">
        <f aca="false">IF(I1480="","",IF(AND(J1480&gt;=1,J1480&lt;=K1480+3),"10."&amp;INDEX(Eingabe!$D$9:$D$18,I1480)&amp;"."&amp;IF(J1480&lt;=K1480,J1480,IF(J1480=K1480+1,200,IF(J1480=K1480+2,201,250)))&amp;".10 – 10."&amp;INDEX(Eingabe!$D$9:$D$18,I1480)&amp;"."&amp;IF(J1480&lt;=K1480,J1480,IF(J1480=K1480+1,200,IF(J1480=K1480+2,201,250)))&amp;".250",""))</f>
        <v/>
      </c>
      <c r="G1480" s="0" t="str">
        <f aca="false">IF(I1480="","",IF(AND(J1480&gt;=1,J1480&lt;=K1480),Eingabe!$B$6&amp;"-"&amp;INDEX(Eingabe!$C$9:$C$18,I1480)&amp;"-Pächter  ·  Passwort Parzelle "&amp;J1480,IF(J1480=K1480+1,Eingabe!$B$6&amp;"-"&amp;INDEX(Eingabe!$C$9:$C$18,I1480)&amp;"-Vorstand  ·  eigenes WLAN",IF(J1480=K1480+2,Eingabe!$B$6&amp;"-"&amp;INDEX(Eingabe!$C$9:$C$18,I1480)&amp;"-Gäste  ·  Voucher",IF(J1480=K1480+3,"Kabel  ·  Access Point y = .(50+y), Mast-Switch x = .(10+x)","")))))</f>
        <v/>
      </c>
      <c r="I1480" s="0" t="str">
        <f aca="false">IF(1475&lt;=(Eingabe!$P$18+Eingabe!$Q$18-1),MATCH(1475,Eingabe!$P$9:$P$18,1),"")</f>
        <v/>
      </c>
      <c r="J1480" s="0" t="str">
        <f aca="false">IF(I1480="","",1475-INDEX(Eingabe!$P$9:$P$18,I1480))</f>
        <v/>
      </c>
      <c r="K1480" s="0" t="str">
        <f aca="false">IF(I1480="","",INDEX(Eingabe!$E$9:$E$18,I1480))</f>
        <v/>
      </c>
    </row>
    <row r="1481" customFormat="false" ht="15" hidden="false" customHeight="false" outlineLevel="0" collapsed="false">
      <c r="A1481" s="0" t="str">
        <f aca="false">IF(I1481="","",IF(J1481=0,"Sparte "&amp;I1481&amp;": "&amp;INDEX(Eingabe!$B$9:$B$18,I1481)&amp;"  (Sparten-ID "&amp;INDEX(Eingabe!$D$9:$D$18,I1481)&amp;", "&amp;K1481&amp;" Parzellen)",IF(J1481&lt;=K1481,"   Parzelle "&amp;J1481,IF(J1481=K1481+1,"   Vorstand",IF(J1481=K1481+2,"   Gäste",IF(J1481=K1481+3,"   Technik (Switches, Access Points)",""))))))</f>
        <v/>
      </c>
      <c r="B1481" s="0" t="str">
        <f aca="false">IF(I1481="","",IF(AND(J1481&gt;=1,J1481&lt;=K1481+3),IF(J1481&lt;=K1481,IF(J1481&lt;=99,IF((INDEX(Eingabe!$G$9:$G$18,I1481))&lt;=9,1000+(INDEX(Eingabe!$G$9:$G$18,I1481))*100,3000)+J1481,IF((INDEX(Eingabe!$G$9:$G$18,I1481)+1)&lt;=9,1000+(INDEX(Eingabe!$G$9:$G$18,I1481)+1)*100,3000)+J1481-100),IF(J1481=K1481+1,2000+INDEX(Eingabe!$G$9:$G$18,I1481)*10+1,IF(J1481=K1481+2,2000+INDEX(Eingabe!$G$9:$G$18,I1481)*10+2,2000+INDEX(Eingabe!$G$9:$G$18,I1481)*10+9))),""))</f>
        <v/>
      </c>
      <c r="C1481" s="0" t="str">
        <f aca="false">IF(I1481="","",IF(AND(J1481&gt;=1,J1481&lt;=K1481+3),"10."&amp;INDEX(Eingabe!$D$9:$D$18,I1481)&amp;"."&amp;IF(J1481&lt;=K1481,J1481,IF(J1481=K1481+1,200,IF(J1481=K1481+2,201,250)))&amp;".0/24",""))</f>
        <v/>
      </c>
      <c r="D1481" s="0" t="str">
        <f aca="false">IF(I1481="","",IF(AND(J1481&gt;=1,J1481&lt;=K1481+3),"255.255.255.0",""))</f>
        <v/>
      </c>
      <c r="E1481" s="0" t="str">
        <f aca="false">IF(I1481="","",IF(AND(J1481&gt;=1,J1481&lt;=K1481+3),"10."&amp;INDEX(Eingabe!$D$9:$D$18,I1481)&amp;"."&amp;IF(J1481&lt;=K1481,J1481,IF(J1481=K1481+1,200,IF(J1481=K1481+2,201,250)))&amp;".1",""))</f>
        <v/>
      </c>
      <c r="F1481" s="0" t="str">
        <f aca="false">IF(I1481="","",IF(AND(J1481&gt;=1,J1481&lt;=K1481+3),"10."&amp;INDEX(Eingabe!$D$9:$D$18,I1481)&amp;"."&amp;IF(J1481&lt;=K1481,J1481,IF(J1481=K1481+1,200,IF(J1481=K1481+2,201,250)))&amp;".10 – 10."&amp;INDEX(Eingabe!$D$9:$D$18,I1481)&amp;"."&amp;IF(J1481&lt;=K1481,J1481,IF(J1481=K1481+1,200,IF(J1481=K1481+2,201,250)))&amp;".250",""))</f>
        <v/>
      </c>
      <c r="G1481" s="0" t="str">
        <f aca="false">IF(I1481="","",IF(AND(J1481&gt;=1,J1481&lt;=K1481),Eingabe!$B$6&amp;"-"&amp;INDEX(Eingabe!$C$9:$C$18,I1481)&amp;"-Pächter  ·  Passwort Parzelle "&amp;J1481,IF(J1481=K1481+1,Eingabe!$B$6&amp;"-"&amp;INDEX(Eingabe!$C$9:$C$18,I1481)&amp;"-Vorstand  ·  eigenes WLAN",IF(J1481=K1481+2,Eingabe!$B$6&amp;"-"&amp;INDEX(Eingabe!$C$9:$C$18,I1481)&amp;"-Gäste  ·  Voucher",IF(J1481=K1481+3,"Kabel  ·  Access Point y = .(50+y), Mast-Switch x = .(10+x)","")))))</f>
        <v/>
      </c>
      <c r="I1481" s="0" t="str">
        <f aca="false">IF(1476&lt;=(Eingabe!$P$18+Eingabe!$Q$18-1),MATCH(1476,Eingabe!$P$9:$P$18,1),"")</f>
        <v/>
      </c>
      <c r="J1481" s="0" t="str">
        <f aca="false">IF(I1481="","",1476-INDEX(Eingabe!$P$9:$P$18,I1481))</f>
        <v/>
      </c>
      <c r="K1481" s="0" t="str">
        <f aca="false">IF(I1481="","",INDEX(Eingabe!$E$9:$E$18,I1481))</f>
        <v/>
      </c>
    </row>
    <row r="1482" customFormat="false" ht="15" hidden="false" customHeight="false" outlineLevel="0" collapsed="false">
      <c r="A1482" s="0" t="str">
        <f aca="false">IF(I1482="","",IF(J1482=0,"Sparte "&amp;I1482&amp;": "&amp;INDEX(Eingabe!$B$9:$B$18,I1482)&amp;"  (Sparten-ID "&amp;INDEX(Eingabe!$D$9:$D$18,I1482)&amp;", "&amp;K1482&amp;" Parzellen)",IF(J1482&lt;=K1482,"   Parzelle "&amp;J1482,IF(J1482=K1482+1,"   Vorstand",IF(J1482=K1482+2,"   Gäste",IF(J1482=K1482+3,"   Technik (Switches, Access Points)",""))))))</f>
        <v/>
      </c>
      <c r="B1482" s="0" t="str">
        <f aca="false">IF(I1482="","",IF(AND(J1482&gt;=1,J1482&lt;=K1482+3),IF(J1482&lt;=K1482,IF(J1482&lt;=99,IF((INDEX(Eingabe!$G$9:$G$18,I1482))&lt;=9,1000+(INDEX(Eingabe!$G$9:$G$18,I1482))*100,3000)+J1482,IF((INDEX(Eingabe!$G$9:$G$18,I1482)+1)&lt;=9,1000+(INDEX(Eingabe!$G$9:$G$18,I1482)+1)*100,3000)+J1482-100),IF(J1482=K1482+1,2000+INDEX(Eingabe!$G$9:$G$18,I1482)*10+1,IF(J1482=K1482+2,2000+INDEX(Eingabe!$G$9:$G$18,I1482)*10+2,2000+INDEX(Eingabe!$G$9:$G$18,I1482)*10+9))),""))</f>
        <v/>
      </c>
      <c r="C1482" s="0" t="str">
        <f aca="false">IF(I1482="","",IF(AND(J1482&gt;=1,J1482&lt;=K1482+3),"10."&amp;INDEX(Eingabe!$D$9:$D$18,I1482)&amp;"."&amp;IF(J1482&lt;=K1482,J1482,IF(J1482=K1482+1,200,IF(J1482=K1482+2,201,250)))&amp;".0/24",""))</f>
        <v/>
      </c>
      <c r="D1482" s="0" t="str">
        <f aca="false">IF(I1482="","",IF(AND(J1482&gt;=1,J1482&lt;=K1482+3),"255.255.255.0",""))</f>
        <v/>
      </c>
      <c r="E1482" s="0" t="str">
        <f aca="false">IF(I1482="","",IF(AND(J1482&gt;=1,J1482&lt;=K1482+3),"10."&amp;INDEX(Eingabe!$D$9:$D$18,I1482)&amp;"."&amp;IF(J1482&lt;=K1482,J1482,IF(J1482=K1482+1,200,IF(J1482=K1482+2,201,250)))&amp;".1",""))</f>
        <v/>
      </c>
      <c r="F1482" s="0" t="str">
        <f aca="false">IF(I1482="","",IF(AND(J1482&gt;=1,J1482&lt;=K1482+3),"10."&amp;INDEX(Eingabe!$D$9:$D$18,I1482)&amp;"."&amp;IF(J1482&lt;=K1482,J1482,IF(J1482=K1482+1,200,IF(J1482=K1482+2,201,250)))&amp;".10 – 10."&amp;INDEX(Eingabe!$D$9:$D$18,I1482)&amp;"."&amp;IF(J1482&lt;=K1482,J1482,IF(J1482=K1482+1,200,IF(J1482=K1482+2,201,250)))&amp;".250",""))</f>
        <v/>
      </c>
      <c r="G1482" s="0" t="str">
        <f aca="false">IF(I1482="","",IF(AND(J1482&gt;=1,J1482&lt;=K1482),Eingabe!$B$6&amp;"-"&amp;INDEX(Eingabe!$C$9:$C$18,I1482)&amp;"-Pächter  ·  Passwort Parzelle "&amp;J1482,IF(J1482=K1482+1,Eingabe!$B$6&amp;"-"&amp;INDEX(Eingabe!$C$9:$C$18,I1482)&amp;"-Vorstand  ·  eigenes WLAN",IF(J1482=K1482+2,Eingabe!$B$6&amp;"-"&amp;INDEX(Eingabe!$C$9:$C$18,I1482)&amp;"-Gäste  ·  Voucher",IF(J1482=K1482+3,"Kabel  ·  Access Point y = .(50+y), Mast-Switch x = .(10+x)","")))))</f>
        <v/>
      </c>
      <c r="I1482" s="0" t="str">
        <f aca="false">IF(1477&lt;=(Eingabe!$P$18+Eingabe!$Q$18-1),MATCH(1477,Eingabe!$P$9:$P$18,1),"")</f>
        <v/>
      </c>
      <c r="J1482" s="0" t="str">
        <f aca="false">IF(I1482="","",1477-INDEX(Eingabe!$P$9:$P$18,I1482))</f>
        <v/>
      </c>
      <c r="K1482" s="0" t="str">
        <f aca="false">IF(I1482="","",INDEX(Eingabe!$E$9:$E$18,I1482))</f>
        <v/>
      </c>
    </row>
    <row r="1483" customFormat="false" ht="15" hidden="false" customHeight="false" outlineLevel="0" collapsed="false">
      <c r="A1483" s="0" t="str">
        <f aca="false">IF(I1483="","",IF(J1483=0,"Sparte "&amp;I1483&amp;": "&amp;INDEX(Eingabe!$B$9:$B$18,I1483)&amp;"  (Sparten-ID "&amp;INDEX(Eingabe!$D$9:$D$18,I1483)&amp;", "&amp;K1483&amp;" Parzellen)",IF(J1483&lt;=K1483,"   Parzelle "&amp;J1483,IF(J1483=K1483+1,"   Vorstand",IF(J1483=K1483+2,"   Gäste",IF(J1483=K1483+3,"   Technik (Switches, Access Points)",""))))))</f>
        <v/>
      </c>
      <c r="B1483" s="0" t="str">
        <f aca="false">IF(I1483="","",IF(AND(J1483&gt;=1,J1483&lt;=K1483+3),IF(J1483&lt;=K1483,IF(J1483&lt;=99,IF((INDEX(Eingabe!$G$9:$G$18,I1483))&lt;=9,1000+(INDEX(Eingabe!$G$9:$G$18,I1483))*100,3000)+J1483,IF((INDEX(Eingabe!$G$9:$G$18,I1483)+1)&lt;=9,1000+(INDEX(Eingabe!$G$9:$G$18,I1483)+1)*100,3000)+J1483-100),IF(J1483=K1483+1,2000+INDEX(Eingabe!$G$9:$G$18,I1483)*10+1,IF(J1483=K1483+2,2000+INDEX(Eingabe!$G$9:$G$18,I1483)*10+2,2000+INDEX(Eingabe!$G$9:$G$18,I1483)*10+9))),""))</f>
        <v/>
      </c>
      <c r="C1483" s="0" t="str">
        <f aca="false">IF(I1483="","",IF(AND(J1483&gt;=1,J1483&lt;=K1483+3),"10."&amp;INDEX(Eingabe!$D$9:$D$18,I1483)&amp;"."&amp;IF(J1483&lt;=K1483,J1483,IF(J1483=K1483+1,200,IF(J1483=K1483+2,201,250)))&amp;".0/24",""))</f>
        <v/>
      </c>
      <c r="D1483" s="0" t="str">
        <f aca="false">IF(I1483="","",IF(AND(J1483&gt;=1,J1483&lt;=K1483+3),"255.255.255.0",""))</f>
        <v/>
      </c>
      <c r="E1483" s="0" t="str">
        <f aca="false">IF(I1483="","",IF(AND(J1483&gt;=1,J1483&lt;=K1483+3),"10."&amp;INDEX(Eingabe!$D$9:$D$18,I1483)&amp;"."&amp;IF(J1483&lt;=K1483,J1483,IF(J1483=K1483+1,200,IF(J1483=K1483+2,201,250)))&amp;".1",""))</f>
        <v/>
      </c>
      <c r="F1483" s="0" t="str">
        <f aca="false">IF(I1483="","",IF(AND(J1483&gt;=1,J1483&lt;=K1483+3),"10."&amp;INDEX(Eingabe!$D$9:$D$18,I1483)&amp;"."&amp;IF(J1483&lt;=K1483,J1483,IF(J1483=K1483+1,200,IF(J1483=K1483+2,201,250)))&amp;".10 – 10."&amp;INDEX(Eingabe!$D$9:$D$18,I1483)&amp;"."&amp;IF(J1483&lt;=K1483,J1483,IF(J1483=K1483+1,200,IF(J1483=K1483+2,201,250)))&amp;".250",""))</f>
        <v/>
      </c>
      <c r="G1483" s="0" t="str">
        <f aca="false">IF(I1483="","",IF(AND(J1483&gt;=1,J1483&lt;=K1483),Eingabe!$B$6&amp;"-"&amp;INDEX(Eingabe!$C$9:$C$18,I1483)&amp;"-Pächter  ·  Passwort Parzelle "&amp;J1483,IF(J1483=K1483+1,Eingabe!$B$6&amp;"-"&amp;INDEX(Eingabe!$C$9:$C$18,I1483)&amp;"-Vorstand  ·  eigenes WLAN",IF(J1483=K1483+2,Eingabe!$B$6&amp;"-"&amp;INDEX(Eingabe!$C$9:$C$18,I1483)&amp;"-Gäste  ·  Voucher",IF(J1483=K1483+3,"Kabel  ·  Access Point y = .(50+y), Mast-Switch x = .(10+x)","")))))</f>
        <v/>
      </c>
      <c r="I1483" s="0" t="str">
        <f aca="false">IF(1478&lt;=(Eingabe!$P$18+Eingabe!$Q$18-1),MATCH(1478,Eingabe!$P$9:$P$18,1),"")</f>
        <v/>
      </c>
      <c r="J1483" s="0" t="str">
        <f aca="false">IF(I1483="","",1478-INDEX(Eingabe!$P$9:$P$18,I1483))</f>
        <v/>
      </c>
      <c r="K1483" s="0" t="str">
        <f aca="false">IF(I1483="","",INDEX(Eingabe!$E$9:$E$18,I1483))</f>
        <v/>
      </c>
    </row>
    <row r="1484" customFormat="false" ht="15" hidden="false" customHeight="false" outlineLevel="0" collapsed="false">
      <c r="A1484" s="0" t="str">
        <f aca="false">IF(I1484="","",IF(J1484=0,"Sparte "&amp;I1484&amp;": "&amp;INDEX(Eingabe!$B$9:$B$18,I1484)&amp;"  (Sparten-ID "&amp;INDEX(Eingabe!$D$9:$D$18,I1484)&amp;", "&amp;K1484&amp;" Parzellen)",IF(J1484&lt;=K1484,"   Parzelle "&amp;J1484,IF(J1484=K1484+1,"   Vorstand",IF(J1484=K1484+2,"   Gäste",IF(J1484=K1484+3,"   Technik (Switches, Access Points)",""))))))</f>
        <v/>
      </c>
      <c r="B1484" s="0" t="str">
        <f aca="false">IF(I1484="","",IF(AND(J1484&gt;=1,J1484&lt;=K1484+3),IF(J1484&lt;=K1484,IF(J1484&lt;=99,IF((INDEX(Eingabe!$G$9:$G$18,I1484))&lt;=9,1000+(INDEX(Eingabe!$G$9:$G$18,I1484))*100,3000)+J1484,IF((INDEX(Eingabe!$G$9:$G$18,I1484)+1)&lt;=9,1000+(INDEX(Eingabe!$G$9:$G$18,I1484)+1)*100,3000)+J1484-100),IF(J1484=K1484+1,2000+INDEX(Eingabe!$G$9:$G$18,I1484)*10+1,IF(J1484=K1484+2,2000+INDEX(Eingabe!$G$9:$G$18,I1484)*10+2,2000+INDEX(Eingabe!$G$9:$G$18,I1484)*10+9))),""))</f>
        <v/>
      </c>
      <c r="C1484" s="0" t="str">
        <f aca="false">IF(I1484="","",IF(AND(J1484&gt;=1,J1484&lt;=K1484+3),"10."&amp;INDEX(Eingabe!$D$9:$D$18,I1484)&amp;"."&amp;IF(J1484&lt;=K1484,J1484,IF(J1484=K1484+1,200,IF(J1484=K1484+2,201,250)))&amp;".0/24",""))</f>
        <v/>
      </c>
      <c r="D1484" s="0" t="str">
        <f aca="false">IF(I1484="","",IF(AND(J1484&gt;=1,J1484&lt;=K1484+3),"255.255.255.0",""))</f>
        <v/>
      </c>
      <c r="E1484" s="0" t="str">
        <f aca="false">IF(I1484="","",IF(AND(J1484&gt;=1,J1484&lt;=K1484+3),"10."&amp;INDEX(Eingabe!$D$9:$D$18,I1484)&amp;"."&amp;IF(J1484&lt;=K1484,J1484,IF(J1484=K1484+1,200,IF(J1484=K1484+2,201,250)))&amp;".1",""))</f>
        <v/>
      </c>
      <c r="F1484" s="0" t="str">
        <f aca="false">IF(I1484="","",IF(AND(J1484&gt;=1,J1484&lt;=K1484+3),"10."&amp;INDEX(Eingabe!$D$9:$D$18,I1484)&amp;"."&amp;IF(J1484&lt;=K1484,J1484,IF(J1484=K1484+1,200,IF(J1484=K1484+2,201,250)))&amp;".10 – 10."&amp;INDEX(Eingabe!$D$9:$D$18,I1484)&amp;"."&amp;IF(J1484&lt;=K1484,J1484,IF(J1484=K1484+1,200,IF(J1484=K1484+2,201,250)))&amp;".250",""))</f>
        <v/>
      </c>
      <c r="G1484" s="0" t="str">
        <f aca="false">IF(I1484="","",IF(AND(J1484&gt;=1,J1484&lt;=K1484),Eingabe!$B$6&amp;"-"&amp;INDEX(Eingabe!$C$9:$C$18,I1484)&amp;"-Pächter  ·  Passwort Parzelle "&amp;J1484,IF(J1484=K1484+1,Eingabe!$B$6&amp;"-"&amp;INDEX(Eingabe!$C$9:$C$18,I1484)&amp;"-Vorstand  ·  eigenes WLAN",IF(J1484=K1484+2,Eingabe!$B$6&amp;"-"&amp;INDEX(Eingabe!$C$9:$C$18,I1484)&amp;"-Gäste  ·  Voucher",IF(J1484=K1484+3,"Kabel  ·  Access Point y = .(50+y), Mast-Switch x = .(10+x)","")))))</f>
        <v/>
      </c>
      <c r="I1484" s="0" t="str">
        <f aca="false">IF(1479&lt;=(Eingabe!$P$18+Eingabe!$Q$18-1),MATCH(1479,Eingabe!$P$9:$P$18,1),"")</f>
        <v/>
      </c>
      <c r="J1484" s="0" t="str">
        <f aca="false">IF(I1484="","",1479-INDEX(Eingabe!$P$9:$P$18,I1484))</f>
        <v/>
      </c>
      <c r="K1484" s="0" t="str">
        <f aca="false">IF(I1484="","",INDEX(Eingabe!$E$9:$E$18,I1484))</f>
        <v/>
      </c>
    </row>
    <row r="1485" customFormat="false" ht="15" hidden="false" customHeight="false" outlineLevel="0" collapsed="false">
      <c r="A1485" s="0" t="str">
        <f aca="false">IF(I1485="","",IF(J1485=0,"Sparte "&amp;I1485&amp;": "&amp;INDEX(Eingabe!$B$9:$B$18,I1485)&amp;"  (Sparten-ID "&amp;INDEX(Eingabe!$D$9:$D$18,I1485)&amp;", "&amp;K1485&amp;" Parzellen)",IF(J1485&lt;=K1485,"   Parzelle "&amp;J1485,IF(J1485=K1485+1,"   Vorstand",IF(J1485=K1485+2,"   Gäste",IF(J1485=K1485+3,"   Technik (Switches, Access Points)",""))))))</f>
        <v/>
      </c>
      <c r="B1485" s="0" t="str">
        <f aca="false">IF(I1485="","",IF(AND(J1485&gt;=1,J1485&lt;=K1485+3),IF(J1485&lt;=K1485,IF(J1485&lt;=99,IF((INDEX(Eingabe!$G$9:$G$18,I1485))&lt;=9,1000+(INDEX(Eingabe!$G$9:$G$18,I1485))*100,3000)+J1485,IF((INDEX(Eingabe!$G$9:$G$18,I1485)+1)&lt;=9,1000+(INDEX(Eingabe!$G$9:$G$18,I1485)+1)*100,3000)+J1485-100),IF(J1485=K1485+1,2000+INDEX(Eingabe!$G$9:$G$18,I1485)*10+1,IF(J1485=K1485+2,2000+INDEX(Eingabe!$G$9:$G$18,I1485)*10+2,2000+INDEX(Eingabe!$G$9:$G$18,I1485)*10+9))),""))</f>
        <v/>
      </c>
      <c r="C1485" s="0" t="str">
        <f aca="false">IF(I1485="","",IF(AND(J1485&gt;=1,J1485&lt;=K1485+3),"10."&amp;INDEX(Eingabe!$D$9:$D$18,I1485)&amp;"."&amp;IF(J1485&lt;=K1485,J1485,IF(J1485=K1485+1,200,IF(J1485=K1485+2,201,250)))&amp;".0/24",""))</f>
        <v/>
      </c>
      <c r="D1485" s="0" t="str">
        <f aca="false">IF(I1485="","",IF(AND(J1485&gt;=1,J1485&lt;=K1485+3),"255.255.255.0",""))</f>
        <v/>
      </c>
      <c r="E1485" s="0" t="str">
        <f aca="false">IF(I1485="","",IF(AND(J1485&gt;=1,J1485&lt;=K1485+3),"10."&amp;INDEX(Eingabe!$D$9:$D$18,I1485)&amp;"."&amp;IF(J1485&lt;=K1485,J1485,IF(J1485=K1485+1,200,IF(J1485=K1485+2,201,250)))&amp;".1",""))</f>
        <v/>
      </c>
      <c r="F1485" s="0" t="str">
        <f aca="false">IF(I1485="","",IF(AND(J1485&gt;=1,J1485&lt;=K1485+3),"10."&amp;INDEX(Eingabe!$D$9:$D$18,I1485)&amp;"."&amp;IF(J1485&lt;=K1485,J1485,IF(J1485=K1485+1,200,IF(J1485=K1485+2,201,250)))&amp;".10 – 10."&amp;INDEX(Eingabe!$D$9:$D$18,I1485)&amp;"."&amp;IF(J1485&lt;=K1485,J1485,IF(J1485=K1485+1,200,IF(J1485=K1485+2,201,250)))&amp;".250",""))</f>
        <v/>
      </c>
      <c r="G1485" s="0" t="str">
        <f aca="false">IF(I1485="","",IF(AND(J1485&gt;=1,J1485&lt;=K1485),Eingabe!$B$6&amp;"-"&amp;INDEX(Eingabe!$C$9:$C$18,I1485)&amp;"-Pächter  ·  Passwort Parzelle "&amp;J1485,IF(J1485=K1485+1,Eingabe!$B$6&amp;"-"&amp;INDEX(Eingabe!$C$9:$C$18,I1485)&amp;"-Vorstand  ·  eigenes WLAN",IF(J1485=K1485+2,Eingabe!$B$6&amp;"-"&amp;INDEX(Eingabe!$C$9:$C$18,I1485)&amp;"-Gäste  ·  Voucher",IF(J1485=K1485+3,"Kabel  ·  Access Point y = .(50+y), Mast-Switch x = .(10+x)","")))))</f>
        <v/>
      </c>
      <c r="I1485" s="0" t="str">
        <f aca="false">IF(1480&lt;=(Eingabe!$P$18+Eingabe!$Q$18-1),MATCH(1480,Eingabe!$P$9:$P$18,1),"")</f>
        <v/>
      </c>
      <c r="J1485" s="0" t="str">
        <f aca="false">IF(I1485="","",1480-INDEX(Eingabe!$P$9:$P$18,I1485))</f>
        <v/>
      </c>
      <c r="K1485" s="0" t="str">
        <f aca="false">IF(I1485="","",INDEX(Eingabe!$E$9:$E$18,I1485))</f>
        <v/>
      </c>
    </row>
    <row r="1486" customFormat="false" ht="15" hidden="false" customHeight="false" outlineLevel="0" collapsed="false">
      <c r="A1486" s="0" t="str">
        <f aca="false">IF(I1486="","",IF(J1486=0,"Sparte "&amp;I1486&amp;": "&amp;INDEX(Eingabe!$B$9:$B$18,I1486)&amp;"  (Sparten-ID "&amp;INDEX(Eingabe!$D$9:$D$18,I1486)&amp;", "&amp;K1486&amp;" Parzellen)",IF(J1486&lt;=K1486,"   Parzelle "&amp;J1486,IF(J1486=K1486+1,"   Vorstand",IF(J1486=K1486+2,"   Gäste",IF(J1486=K1486+3,"   Technik (Switches, Access Points)",""))))))</f>
        <v/>
      </c>
      <c r="B1486" s="0" t="str">
        <f aca="false">IF(I1486="","",IF(AND(J1486&gt;=1,J1486&lt;=K1486+3),IF(J1486&lt;=K1486,IF(J1486&lt;=99,IF((INDEX(Eingabe!$G$9:$G$18,I1486))&lt;=9,1000+(INDEX(Eingabe!$G$9:$G$18,I1486))*100,3000)+J1486,IF((INDEX(Eingabe!$G$9:$G$18,I1486)+1)&lt;=9,1000+(INDEX(Eingabe!$G$9:$G$18,I1486)+1)*100,3000)+J1486-100),IF(J1486=K1486+1,2000+INDEX(Eingabe!$G$9:$G$18,I1486)*10+1,IF(J1486=K1486+2,2000+INDEX(Eingabe!$G$9:$G$18,I1486)*10+2,2000+INDEX(Eingabe!$G$9:$G$18,I1486)*10+9))),""))</f>
        <v/>
      </c>
      <c r="C1486" s="0" t="str">
        <f aca="false">IF(I1486="","",IF(AND(J1486&gt;=1,J1486&lt;=K1486+3),"10."&amp;INDEX(Eingabe!$D$9:$D$18,I1486)&amp;"."&amp;IF(J1486&lt;=K1486,J1486,IF(J1486=K1486+1,200,IF(J1486=K1486+2,201,250)))&amp;".0/24",""))</f>
        <v/>
      </c>
      <c r="D1486" s="0" t="str">
        <f aca="false">IF(I1486="","",IF(AND(J1486&gt;=1,J1486&lt;=K1486+3),"255.255.255.0",""))</f>
        <v/>
      </c>
      <c r="E1486" s="0" t="str">
        <f aca="false">IF(I1486="","",IF(AND(J1486&gt;=1,J1486&lt;=K1486+3),"10."&amp;INDEX(Eingabe!$D$9:$D$18,I1486)&amp;"."&amp;IF(J1486&lt;=K1486,J1486,IF(J1486=K1486+1,200,IF(J1486=K1486+2,201,250)))&amp;".1",""))</f>
        <v/>
      </c>
      <c r="F1486" s="0" t="str">
        <f aca="false">IF(I1486="","",IF(AND(J1486&gt;=1,J1486&lt;=K1486+3),"10."&amp;INDEX(Eingabe!$D$9:$D$18,I1486)&amp;"."&amp;IF(J1486&lt;=K1486,J1486,IF(J1486=K1486+1,200,IF(J1486=K1486+2,201,250)))&amp;".10 – 10."&amp;INDEX(Eingabe!$D$9:$D$18,I1486)&amp;"."&amp;IF(J1486&lt;=K1486,J1486,IF(J1486=K1486+1,200,IF(J1486=K1486+2,201,250)))&amp;".250",""))</f>
        <v/>
      </c>
      <c r="G1486" s="0" t="str">
        <f aca="false">IF(I1486="","",IF(AND(J1486&gt;=1,J1486&lt;=K1486),Eingabe!$B$6&amp;"-"&amp;INDEX(Eingabe!$C$9:$C$18,I1486)&amp;"-Pächter  ·  Passwort Parzelle "&amp;J1486,IF(J1486=K1486+1,Eingabe!$B$6&amp;"-"&amp;INDEX(Eingabe!$C$9:$C$18,I1486)&amp;"-Vorstand  ·  eigenes WLAN",IF(J1486=K1486+2,Eingabe!$B$6&amp;"-"&amp;INDEX(Eingabe!$C$9:$C$18,I1486)&amp;"-Gäste  ·  Voucher",IF(J1486=K1486+3,"Kabel  ·  Access Point y = .(50+y), Mast-Switch x = .(10+x)","")))))</f>
        <v/>
      </c>
      <c r="I1486" s="0" t="str">
        <f aca="false">IF(1481&lt;=(Eingabe!$P$18+Eingabe!$Q$18-1),MATCH(1481,Eingabe!$P$9:$P$18,1),"")</f>
        <v/>
      </c>
      <c r="J1486" s="0" t="str">
        <f aca="false">IF(I1486="","",1481-INDEX(Eingabe!$P$9:$P$18,I1486))</f>
        <v/>
      </c>
      <c r="K1486" s="0" t="str">
        <f aca="false">IF(I1486="","",INDEX(Eingabe!$E$9:$E$18,I1486))</f>
        <v/>
      </c>
    </row>
    <row r="1487" customFormat="false" ht="15" hidden="false" customHeight="false" outlineLevel="0" collapsed="false">
      <c r="A1487" s="0" t="str">
        <f aca="false">IF(I1487="","",IF(J1487=0,"Sparte "&amp;I1487&amp;": "&amp;INDEX(Eingabe!$B$9:$B$18,I1487)&amp;"  (Sparten-ID "&amp;INDEX(Eingabe!$D$9:$D$18,I1487)&amp;", "&amp;K1487&amp;" Parzellen)",IF(J1487&lt;=K1487,"   Parzelle "&amp;J1487,IF(J1487=K1487+1,"   Vorstand",IF(J1487=K1487+2,"   Gäste",IF(J1487=K1487+3,"   Technik (Switches, Access Points)",""))))))</f>
        <v/>
      </c>
      <c r="B1487" s="0" t="str">
        <f aca="false">IF(I1487="","",IF(AND(J1487&gt;=1,J1487&lt;=K1487+3),IF(J1487&lt;=K1487,IF(J1487&lt;=99,IF((INDEX(Eingabe!$G$9:$G$18,I1487))&lt;=9,1000+(INDEX(Eingabe!$G$9:$G$18,I1487))*100,3000)+J1487,IF((INDEX(Eingabe!$G$9:$G$18,I1487)+1)&lt;=9,1000+(INDEX(Eingabe!$G$9:$G$18,I1487)+1)*100,3000)+J1487-100),IF(J1487=K1487+1,2000+INDEX(Eingabe!$G$9:$G$18,I1487)*10+1,IF(J1487=K1487+2,2000+INDEX(Eingabe!$G$9:$G$18,I1487)*10+2,2000+INDEX(Eingabe!$G$9:$G$18,I1487)*10+9))),""))</f>
        <v/>
      </c>
      <c r="C1487" s="0" t="str">
        <f aca="false">IF(I1487="","",IF(AND(J1487&gt;=1,J1487&lt;=K1487+3),"10."&amp;INDEX(Eingabe!$D$9:$D$18,I1487)&amp;"."&amp;IF(J1487&lt;=K1487,J1487,IF(J1487=K1487+1,200,IF(J1487=K1487+2,201,250)))&amp;".0/24",""))</f>
        <v/>
      </c>
      <c r="D1487" s="0" t="str">
        <f aca="false">IF(I1487="","",IF(AND(J1487&gt;=1,J1487&lt;=K1487+3),"255.255.255.0",""))</f>
        <v/>
      </c>
      <c r="E1487" s="0" t="str">
        <f aca="false">IF(I1487="","",IF(AND(J1487&gt;=1,J1487&lt;=K1487+3),"10."&amp;INDEX(Eingabe!$D$9:$D$18,I1487)&amp;"."&amp;IF(J1487&lt;=K1487,J1487,IF(J1487=K1487+1,200,IF(J1487=K1487+2,201,250)))&amp;".1",""))</f>
        <v/>
      </c>
      <c r="F1487" s="0" t="str">
        <f aca="false">IF(I1487="","",IF(AND(J1487&gt;=1,J1487&lt;=K1487+3),"10."&amp;INDEX(Eingabe!$D$9:$D$18,I1487)&amp;"."&amp;IF(J1487&lt;=K1487,J1487,IF(J1487=K1487+1,200,IF(J1487=K1487+2,201,250)))&amp;".10 – 10."&amp;INDEX(Eingabe!$D$9:$D$18,I1487)&amp;"."&amp;IF(J1487&lt;=K1487,J1487,IF(J1487=K1487+1,200,IF(J1487=K1487+2,201,250)))&amp;".250",""))</f>
        <v/>
      </c>
      <c r="G1487" s="0" t="str">
        <f aca="false">IF(I1487="","",IF(AND(J1487&gt;=1,J1487&lt;=K1487),Eingabe!$B$6&amp;"-"&amp;INDEX(Eingabe!$C$9:$C$18,I1487)&amp;"-Pächter  ·  Passwort Parzelle "&amp;J1487,IF(J1487=K1487+1,Eingabe!$B$6&amp;"-"&amp;INDEX(Eingabe!$C$9:$C$18,I1487)&amp;"-Vorstand  ·  eigenes WLAN",IF(J1487=K1487+2,Eingabe!$B$6&amp;"-"&amp;INDEX(Eingabe!$C$9:$C$18,I1487)&amp;"-Gäste  ·  Voucher",IF(J1487=K1487+3,"Kabel  ·  Access Point y = .(50+y), Mast-Switch x = .(10+x)","")))))</f>
        <v/>
      </c>
      <c r="I1487" s="0" t="str">
        <f aca="false">IF(1482&lt;=(Eingabe!$P$18+Eingabe!$Q$18-1),MATCH(1482,Eingabe!$P$9:$P$18,1),"")</f>
        <v/>
      </c>
      <c r="J1487" s="0" t="str">
        <f aca="false">IF(I1487="","",1482-INDEX(Eingabe!$P$9:$P$18,I1487))</f>
        <v/>
      </c>
      <c r="K1487" s="0" t="str">
        <f aca="false">IF(I1487="","",INDEX(Eingabe!$E$9:$E$18,I1487))</f>
        <v/>
      </c>
    </row>
    <row r="1488" customFormat="false" ht="15" hidden="false" customHeight="false" outlineLevel="0" collapsed="false">
      <c r="A1488" s="0" t="str">
        <f aca="false">IF(I1488="","",IF(J1488=0,"Sparte "&amp;I1488&amp;": "&amp;INDEX(Eingabe!$B$9:$B$18,I1488)&amp;"  (Sparten-ID "&amp;INDEX(Eingabe!$D$9:$D$18,I1488)&amp;", "&amp;K1488&amp;" Parzellen)",IF(J1488&lt;=K1488,"   Parzelle "&amp;J1488,IF(J1488=K1488+1,"   Vorstand",IF(J1488=K1488+2,"   Gäste",IF(J1488=K1488+3,"   Technik (Switches, Access Points)",""))))))</f>
        <v/>
      </c>
      <c r="B1488" s="0" t="str">
        <f aca="false">IF(I1488="","",IF(AND(J1488&gt;=1,J1488&lt;=K1488+3),IF(J1488&lt;=K1488,IF(J1488&lt;=99,IF((INDEX(Eingabe!$G$9:$G$18,I1488))&lt;=9,1000+(INDEX(Eingabe!$G$9:$G$18,I1488))*100,3000)+J1488,IF((INDEX(Eingabe!$G$9:$G$18,I1488)+1)&lt;=9,1000+(INDEX(Eingabe!$G$9:$G$18,I1488)+1)*100,3000)+J1488-100),IF(J1488=K1488+1,2000+INDEX(Eingabe!$G$9:$G$18,I1488)*10+1,IF(J1488=K1488+2,2000+INDEX(Eingabe!$G$9:$G$18,I1488)*10+2,2000+INDEX(Eingabe!$G$9:$G$18,I1488)*10+9))),""))</f>
        <v/>
      </c>
      <c r="C1488" s="0" t="str">
        <f aca="false">IF(I1488="","",IF(AND(J1488&gt;=1,J1488&lt;=K1488+3),"10."&amp;INDEX(Eingabe!$D$9:$D$18,I1488)&amp;"."&amp;IF(J1488&lt;=K1488,J1488,IF(J1488=K1488+1,200,IF(J1488=K1488+2,201,250)))&amp;".0/24",""))</f>
        <v/>
      </c>
      <c r="D1488" s="0" t="str">
        <f aca="false">IF(I1488="","",IF(AND(J1488&gt;=1,J1488&lt;=K1488+3),"255.255.255.0",""))</f>
        <v/>
      </c>
      <c r="E1488" s="0" t="str">
        <f aca="false">IF(I1488="","",IF(AND(J1488&gt;=1,J1488&lt;=K1488+3),"10."&amp;INDEX(Eingabe!$D$9:$D$18,I1488)&amp;"."&amp;IF(J1488&lt;=K1488,J1488,IF(J1488=K1488+1,200,IF(J1488=K1488+2,201,250)))&amp;".1",""))</f>
        <v/>
      </c>
      <c r="F1488" s="0" t="str">
        <f aca="false">IF(I1488="","",IF(AND(J1488&gt;=1,J1488&lt;=K1488+3),"10."&amp;INDEX(Eingabe!$D$9:$D$18,I1488)&amp;"."&amp;IF(J1488&lt;=K1488,J1488,IF(J1488=K1488+1,200,IF(J1488=K1488+2,201,250)))&amp;".10 – 10."&amp;INDEX(Eingabe!$D$9:$D$18,I1488)&amp;"."&amp;IF(J1488&lt;=K1488,J1488,IF(J1488=K1488+1,200,IF(J1488=K1488+2,201,250)))&amp;".250",""))</f>
        <v/>
      </c>
      <c r="G1488" s="0" t="str">
        <f aca="false">IF(I1488="","",IF(AND(J1488&gt;=1,J1488&lt;=K1488),Eingabe!$B$6&amp;"-"&amp;INDEX(Eingabe!$C$9:$C$18,I1488)&amp;"-Pächter  ·  Passwort Parzelle "&amp;J1488,IF(J1488=K1488+1,Eingabe!$B$6&amp;"-"&amp;INDEX(Eingabe!$C$9:$C$18,I1488)&amp;"-Vorstand  ·  eigenes WLAN",IF(J1488=K1488+2,Eingabe!$B$6&amp;"-"&amp;INDEX(Eingabe!$C$9:$C$18,I1488)&amp;"-Gäste  ·  Voucher",IF(J1488=K1488+3,"Kabel  ·  Access Point y = .(50+y), Mast-Switch x = .(10+x)","")))))</f>
        <v/>
      </c>
      <c r="I1488" s="0" t="str">
        <f aca="false">IF(1483&lt;=(Eingabe!$P$18+Eingabe!$Q$18-1),MATCH(1483,Eingabe!$P$9:$P$18,1),"")</f>
        <v/>
      </c>
      <c r="J1488" s="0" t="str">
        <f aca="false">IF(I1488="","",1483-INDEX(Eingabe!$P$9:$P$18,I1488))</f>
        <v/>
      </c>
      <c r="K1488" s="0" t="str">
        <f aca="false">IF(I1488="","",INDEX(Eingabe!$E$9:$E$18,I1488))</f>
        <v/>
      </c>
    </row>
    <row r="1489" customFormat="false" ht="15" hidden="false" customHeight="false" outlineLevel="0" collapsed="false">
      <c r="A1489" s="0" t="str">
        <f aca="false">IF(I1489="","",IF(J1489=0,"Sparte "&amp;I1489&amp;": "&amp;INDEX(Eingabe!$B$9:$B$18,I1489)&amp;"  (Sparten-ID "&amp;INDEX(Eingabe!$D$9:$D$18,I1489)&amp;", "&amp;K1489&amp;" Parzellen)",IF(J1489&lt;=K1489,"   Parzelle "&amp;J1489,IF(J1489=K1489+1,"   Vorstand",IF(J1489=K1489+2,"   Gäste",IF(J1489=K1489+3,"   Technik (Switches, Access Points)",""))))))</f>
        <v/>
      </c>
      <c r="B1489" s="0" t="str">
        <f aca="false">IF(I1489="","",IF(AND(J1489&gt;=1,J1489&lt;=K1489+3),IF(J1489&lt;=K1489,IF(J1489&lt;=99,IF((INDEX(Eingabe!$G$9:$G$18,I1489))&lt;=9,1000+(INDEX(Eingabe!$G$9:$G$18,I1489))*100,3000)+J1489,IF((INDEX(Eingabe!$G$9:$G$18,I1489)+1)&lt;=9,1000+(INDEX(Eingabe!$G$9:$G$18,I1489)+1)*100,3000)+J1489-100),IF(J1489=K1489+1,2000+INDEX(Eingabe!$G$9:$G$18,I1489)*10+1,IF(J1489=K1489+2,2000+INDEX(Eingabe!$G$9:$G$18,I1489)*10+2,2000+INDEX(Eingabe!$G$9:$G$18,I1489)*10+9))),""))</f>
        <v/>
      </c>
      <c r="C1489" s="0" t="str">
        <f aca="false">IF(I1489="","",IF(AND(J1489&gt;=1,J1489&lt;=K1489+3),"10."&amp;INDEX(Eingabe!$D$9:$D$18,I1489)&amp;"."&amp;IF(J1489&lt;=K1489,J1489,IF(J1489=K1489+1,200,IF(J1489=K1489+2,201,250)))&amp;".0/24",""))</f>
        <v/>
      </c>
      <c r="D1489" s="0" t="str">
        <f aca="false">IF(I1489="","",IF(AND(J1489&gt;=1,J1489&lt;=K1489+3),"255.255.255.0",""))</f>
        <v/>
      </c>
      <c r="E1489" s="0" t="str">
        <f aca="false">IF(I1489="","",IF(AND(J1489&gt;=1,J1489&lt;=K1489+3),"10."&amp;INDEX(Eingabe!$D$9:$D$18,I1489)&amp;"."&amp;IF(J1489&lt;=K1489,J1489,IF(J1489=K1489+1,200,IF(J1489=K1489+2,201,250)))&amp;".1",""))</f>
        <v/>
      </c>
      <c r="F1489" s="0" t="str">
        <f aca="false">IF(I1489="","",IF(AND(J1489&gt;=1,J1489&lt;=K1489+3),"10."&amp;INDEX(Eingabe!$D$9:$D$18,I1489)&amp;"."&amp;IF(J1489&lt;=K1489,J1489,IF(J1489=K1489+1,200,IF(J1489=K1489+2,201,250)))&amp;".10 – 10."&amp;INDEX(Eingabe!$D$9:$D$18,I1489)&amp;"."&amp;IF(J1489&lt;=K1489,J1489,IF(J1489=K1489+1,200,IF(J1489=K1489+2,201,250)))&amp;".250",""))</f>
        <v/>
      </c>
      <c r="G1489" s="0" t="str">
        <f aca="false">IF(I1489="","",IF(AND(J1489&gt;=1,J1489&lt;=K1489),Eingabe!$B$6&amp;"-"&amp;INDEX(Eingabe!$C$9:$C$18,I1489)&amp;"-Pächter  ·  Passwort Parzelle "&amp;J1489,IF(J1489=K1489+1,Eingabe!$B$6&amp;"-"&amp;INDEX(Eingabe!$C$9:$C$18,I1489)&amp;"-Vorstand  ·  eigenes WLAN",IF(J1489=K1489+2,Eingabe!$B$6&amp;"-"&amp;INDEX(Eingabe!$C$9:$C$18,I1489)&amp;"-Gäste  ·  Voucher",IF(J1489=K1489+3,"Kabel  ·  Access Point y = .(50+y), Mast-Switch x = .(10+x)","")))))</f>
        <v/>
      </c>
      <c r="I1489" s="0" t="str">
        <f aca="false">IF(1484&lt;=(Eingabe!$P$18+Eingabe!$Q$18-1),MATCH(1484,Eingabe!$P$9:$P$18,1),"")</f>
        <v/>
      </c>
      <c r="J1489" s="0" t="str">
        <f aca="false">IF(I1489="","",1484-INDEX(Eingabe!$P$9:$P$18,I1489))</f>
        <v/>
      </c>
      <c r="K1489" s="0" t="str">
        <f aca="false">IF(I1489="","",INDEX(Eingabe!$E$9:$E$18,I1489))</f>
        <v/>
      </c>
    </row>
    <row r="1490" customFormat="false" ht="15" hidden="false" customHeight="false" outlineLevel="0" collapsed="false">
      <c r="A1490" s="0" t="str">
        <f aca="false">IF(I1490="","",IF(J1490=0,"Sparte "&amp;I1490&amp;": "&amp;INDEX(Eingabe!$B$9:$B$18,I1490)&amp;"  (Sparten-ID "&amp;INDEX(Eingabe!$D$9:$D$18,I1490)&amp;", "&amp;K1490&amp;" Parzellen)",IF(J1490&lt;=K1490,"   Parzelle "&amp;J1490,IF(J1490=K1490+1,"   Vorstand",IF(J1490=K1490+2,"   Gäste",IF(J1490=K1490+3,"   Technik (Switches, Access Points)",""))))))</f>
        <v/>
      </c>
      <c r="B1490" s="0" t="str">
        <f aca="false">IF(I1490="","",IF(AND(J1490&gt;=1,J1490&lt;=K1490+3),IF(J1490&lt;=K1490,IF(J1490&lt;=99,IF((INDEX(Eingabe!$G$9:$G$18,I1490))&lt;=9,1000+(INDEX(Eingabe!$G$9:$G$18,I1490))*100,3000)+J1490,IF((INDEX(Eingabe!$G$9:$G$18,I1490)+1)&lt;=9,1000+(INDEX(Eingabe!$G$9:$G$18,I1490)+1)*100,3000)+J1490-100),IF(J1490=K1490+1,2000+INDEX(Eingabe!$G$9:$G$18,I1490)*10+1,IF(J1490=K1490+2,2000+INDEX(Eingabe!$G$9:$G$18,I1490)*10+2,2000+INDEX(Eingabe!$G$9:$G$18,I1490)*10+9))),""))</f>
        <v/>
      </c>
      <c r="C1490" s="0" t="str">
        <f aca="false">IF(I1490="","",IF(AND(J1490&gt;=1,J1490&lt;=K1490+3),"10."&amp;INDEX(Eingabe!$D$9:$D$18,I1490)&amp;"."&amp;IF(J1490&lt;=K1490,J1490,IF(J1490=K1490+1,200,IF(J1490=K1490+2,201,250)))&amp;".0/24",""))</f>
        <v/>
      </c>
      <c r="D1490" s="0" t="str">
        <f aca="false">IF(I1490="","",IF(AND(J1490&gt;=1,J1490&lt;=K1490+3),"255.255.255.0",""))</f>
        <v/>
      </c>
      <c r="E1490" s="0" t="str">
        <f aca="false">IF(I1490="","",IF(AND(J1490&gt;=1,J1490&lt;=K1490+3),"10."&amp;INDEX(Eingabe!$D$9:$D$18,I1490)&amp;"."&amp;IF(J1490&lt;=K1490,J1490,IF(J1490=K1490+1,200,IF(J1490=K1490+2,201,250)))&amp;".1",""))</f>
        <v/>
      </c>
      <c r="F1490" s="0" t="str">
        <f aca="false">IF(I1490="","",IF(AND(J1490&gt;=1,J1490&lt;=K1490+3),"10."&amp;INDEX(Eingabe!$D$9:$D$18,I1490)&amp;"."&amp;IF(J1490&lt;=K1490,J1490,IF(J1490=K1490+1,200,IF(J1490=K1490+2,201,250)))&amp;".10 – 10."&amp;INDEX(Eingabe!$D$9:$D$18,I1490)&amp;"."&amp;IF(J1490&lt;=K1490,J1490,IF(J1490=K1490+1,200,IF(J1490=K1490+2,201,250)))&amp;".250",""))</f>
        <v/>
      </c>
      <c r="G1490" s="0" t="str">
        <f aca="false">IF(I1490="","",IF(AND(J1490&gt;=1,J1490&lt;=K1490),Eingabe!$B$6&amp;"-"&amp;INDEX(Eingabe!$C$9:$C$18,I1490)&amp;"-Pächter  ·  Passwort Parzelle "&amp;J1490,IF(J1490=K1490+1,Eingabe!$B$6&amp;"-"&amp;INDEX(Eingabe!$C$9:$C$18,I1490)&amp;"-Vorstand  ·  eigenes WLAN",IF(J1490=K1490+2,Eingabe!$B$6&amp;"-"&amp;INDEX(Eingabe!$C$9:$C$18,I1490)&amp;"-Gäste  ·  Voucher",IF(J1490=K1490+3,"Kabel  ·  Access Point y = .(50+y), Mast-Switch x = .(10+x)","")))))</f>
        <v/>
      </c>
      <c r="I1490" s="0" t="str">
        <f aca="false">IF(1485&lt;=(Eingabe!$P$18+Eingabe!$Q$18-1),MATCH(1485,Eingabe!$P$9:$P$18,1),"")</f>
        <v/>
      </c>
      <c r="J1490" s="0" t="str">
        <f aca="false">IF(I1490="","",1485-INDEX(Eingabe!$P$9:$P$18,I1490))</f>
        <v/>
      </c>
      <c r="K1490" s="0" t="str">
        <f aca="false">IF(I1490="","",INDEX(Eingabe!$E$9:$E$18,I1490))</f>
        <v/>
      </c>
    </row>
    <row r="1491" customFormat="false" ht="15" hidden="false" customHeight="false" outlineLevel="0" collapsed="false">
      <c r="A1491" s="0" t="str">
        <f aca="false">IF(I1491="","",IF(J1491=0,"Sparte "&amp;I1491&amp;": "&amp;INDEX(Eingabe!$B$9:$B$18,I1491)&amp;"  (Sparten-ID "&amp;INDEX(Eingabe!$D$9:$D$18,I1491)&amp;", "&amp;K1491&amp;" Parzellen)",IF(J1491&lt;=K1491,"   Parzelle "&amp;J1491,IF(J1491=K1491+1,"   Vorstand",IF(J1491=K1491+2,"   Gäste",IF(J1491=K1491+3,"   Technik (Switches, Access Points)",""))))))</f>
        <v/>
      </c>
      <c r="B1491" s="0" t="str">
        <f aca="false">IF(I1491="","",IF(AND(J1491&gt;=1,J1491&lt;=K1491+3),IF(J1491&lt;=K1491,IF(J1491&lt;=99,IF((INDEX(Eingabe!$G$9:$G$18,I1491))&lt;=9,1000+(INDEX(Eingabe!$G$9:$G$18,I1491))*100,3000)+J1491,IF((INDEX(Eingabe!$G$9:$G$18,I1491)+1)&lt;=9,1000+(INDEX(Eingabe!$G$9:$G$18,I1491)+1)*100,3000)+J1491-100),IF(J1491=K1491+1,2000+INDEX(Eingabe!$G$9:$G$18,I1491)*10+1,IF(J1491=K1491+2,2000+INDEX(Eingabe!$G$9:$G$18,I1491)*10+2,2000+INDEX(Eingabe!$G$9:$G$18,I1491)*10+9))),""))</f>
        <v/>
      </c>
      <c r="C1491" s="0" t="str">
        <f aca="false">IF(I1491="","",IF(AND(J1491&gt;=1,J1491&lt;=K1491+3),"10."&amp;INDEX(Eingabe!$D$9:$D$18,I1491)&amp;"."&amp;IF(J1491&lt;=K1491,J1491,IF(J1491=K1491+1,200,IF(J1491=K1491+2,201,250)))&amp;".0/24",""))</f>
        <v/>
      </c>
      <c r="D1491" s="0" t="str">
        <f aca="false">IF(I1491="","",IF(AND(J1491&gt;=1,J1491&lt;=K1491+3),"255.255.255.0",""))</f>
        <v/>
      </c>
      <c r="E1491" s="0" t="str">
        <f aca="false">IF(I1491="","",IF(AND(J1491&gt;=1,J1491&lt;=K1491+3),"10."&amp;INDEX(Eingabe!$D$9:$D$18,I1491)&amp;"."&amp;IF(J1491&lt;=K1491,J1491,IF(J1491=K1491+1,200,IF(J1491=K1491+2,201,250)))&amp;".1",""))</f>
        <v/>
      </c>
      <c r="F1491" s="0" t="str">
        <f aca="false">IF(I1491="","",IF(AND(J1491&gt;=1,J1491&lt;=K1491+3),"10."&amp;INDEX(Eingabe!$D$9:$D$18,I1491)&amp;"."&amp;IF(J1491&lt;=K1491,J1491,IF(J1491=K1491+1,200,IF(J1491=K1491+2,201,250)))&amp;".10 – 10."&amp;INDEX(Eingabe!$D$9:$D$18,I1491)&amp;"."&amp;IF(J1491&lt;=K1491,J1491,IF(J1491=K1491+1,200,IF(J1491=K1491+2,201,250)))&amp;".250",""))</f>
        <v/>
      </c>
      <c r="G1491" s="0" t="str">
        <f aca="false">IF(I1491="","",IF(AND(J1491&gt;=1,J1491&lt;=K1491),Eingabe!$B$6&amp;"-"&amp;INDEX(Eingabe!$C$9:$C$18,I1491)&amp;"-Pächter  ·  Passwort Parzelle "&amp;J1491,IF(J1491=K1491+1,Eingabe!$B$6&amp;"-"&amp;INDEX(Eingabe!$C$9:$C$18,I1491)&amp;"-Vorstand  ·  eigenes WLAN",IF(J1491=K1491+2,Eingabe!$B$6&amp;"-"&amp;INDEX(Eingabe!$C$9:$C$18,I1491)&amp;"-Gäste  ·  Voucher",IF(J1491=K1491+3,"Kabel  ·  Access Point y = .(50+y), Mast-Switch x = .(10+x)","")))))</f>
        <v/>
      </c>
      <c r="I1491" s="0" t="str">
        <f aca="false">IF(1486&lt;=(Eingabe!$P$18+Eingabe!$Q$18-1),MATCH(1486,Eingabe!$P$9:$P$18,1),"")</f>
        <v/>
      </c>
      <c r="J1491" s="0" t="str">
        <f aca="false">IF(I1491="","",1486-INDEX(Eingabe!$P$9:$P$18,I1491))</f>
        <v/>
      </c>
      <c r="K1491" s="0" t="str">
        <f aca="false">IF(I1491="","",INDEX(Eingabe!$E$9:$E$18,I1491))</f>
        <v/>
      </c>
    </row>
    <row r="1492" customFormat="false" ht="15" hidden="false" customHeight="false" outlineLevel="0" collapsed="false">
      <c r="A1492" s="0" t="str">
        <f aca="false">IF(I1492="","",IF(J1492=0,"Sparte "&amp;I1492&amp;": "&amp;INDEX(Eingabe!$B$9:$B$18,I1492)&amp;"  (Sparten-ID "&amp;INDEX(Eingabe!$D$9:$D$18,I1492)&amp;", "&amp;K1492&amp;" Parzellen)",IF(J1492&lt;=K1492,"   Parzelle "&amp;J1492,IF(J1492=K1492+1,"   Vorstand",IF(J1492=K1492+2,"   Gäste",IF(J1492=K1492+3,"   Technik (Switches, Access Points)",""))))))</f>
        <v/>
      </c>
      <c r="B1492" s="0" t="str">
        <f aca="false">IF(I1492="","",IF(AND(J1492&gt;=1,J1492&lt;=K1492+3),IF(J1492&lt;=K1492,IF(J1492&lt;=99,IF((INDEX(Eingabe!$G$9:$G$18,I1492))&lt;=9,1000+(INDEX(Eingabe!$G$9:$G$18,I1492))*100,3000)+J1492,IF((INDEX(Eingabe!$G$9:$G$18,I1492)+1)&lt;=9,1000+(INDEX(Eingabe!$G$9:$G$18,I1492)+1)*100,3000)+J1492-100),IF(J1492=K1492+1,2000+INDEX(Eingabe!$G$9:$G$18,I1492)*10+1,IF(J1492=K1492+2,2000+INDEX(Eingabe!$G$9:$G$18,I1492)*10+2,2000+INDEX(Eingabe!$G$9:$G$18,I1492)*10+9))),""))</f>
        <v/>
      </c>
      <c r="C1492" s="0" t="str">
        <f aca="false">IF(I1492="","",IF(AND(J1492&gt;=1,J1492&lt;=K1492+3),"10."&amp;INDEX(Eingabe!$D$9:$D$18,I1492)&amp;"."&amp;IF(J1492&lt;=K1492,J1492,IF(J1492=K1492+1,200,IF(J1492=K1492+2,201,250)))&amp;".0/24",""))</f>
        <v/>
      </c>
      <c r="D1492" s="0" t="str">
        <f aca="false">IF(I1492="","",IF(AND(J1492&gt;=1,J1492&lt;=K1492+3),"255.255.255.0",""))</f>
        <v/>
      </c>
      <c r="E1492" s="0" t="str">
        <f aca="false">IF(I1492="","",IF(AND(J1492&gt;=1,J1492&lt;=K1492+3),"10."&amp;INDEX(Eingabe!$D$9:$D$18,I1492)&amp;"."&amp;IF(J1492&lt;=K1492,J1492,IF(J1492=K1492+1,200,IF(J1492=K1492+2,201,250)))&amp;".1",""))</f>
        <v/>
      </c>
      <c r="F1492" s="0" t="str">
        <f aca="false">IF(I1492="","",IF(AND(J1492&gt;=1,J1492&lt;=K1492+3),"10."&amp;INDEX(Eingabe!$D$9:$D$18,I1492)&amp;"."&amp;IF(J1492&lt;=K1492,J1492,IF(J1492=K1492+1,200,IF(J1492=K1492+2,201,250)))&amp;".10 – 10."&amp;INDEX(Eingabe!$D$9:$D$18,I1492)&amp;"."&amp;IF(J1492&lt;=K1492,J1492,IF(J1492=K1492+1,200,IF(J1492=K1492+2,201,250)))&amp;".250",""))</f>
        <v/>
      </c>
      <c r="G1492" s="0" t="str">
        <f aca="false">IF(I1492="","",IF(AND(J1492&gt;=1,J1492&lt;=K1492),Eingabe!$B$6&amp;"-"&amp;INDEX(Eingabe!$C$9:$C$18,I1492)&amp;"-Pächter  ·  Passwort Parzelle "&amp;J1492,IF(J1492=K1492+1,Eingabe!$B$6&amp;"-"&amp;INDEX(Eingabe!$C$9:$C$18,I1492)&amp;"-Vorstand  ·  eigenes WLAN",IF(J1492=K1492+2,Eingabe!$B$6&amp;"-"&amp;INDEX(Eingabe!$C$9:$C$18,I1492)&amp;"-Gäste  ·  Voucher",IF(J1492=K1492+3,"Kabel  ·  Access Point y = .(50+y), Mast-Switch x = .(10+x)","")))))</f>
        <v/>
      </c>
      <c r="I1492" s="0" t="str">
        <f aca="false">IF(1487&lt;=(Eingabe!$P$18+Eingabe!$Q$18-1),MATCH(1487,Eingabe!$P$9:$P$18,1),"")</f>
        <v/>
      </c>
      <c r="J1492" s="0" t="str">
        <f aca="false">IF(I1492="","",1487-INDEX(Eingabe!$P$9:$P$18,I1492))</f>
        <v/>
      </c>
      <c r="K1492" s="0" t="str">
        <f aca="false">IF(I1492="","",INDEX(Eingabe!$E$9:$E$18,I1492))</f>
        <v/>
      </c>
    </row>
    <row r="1493" customFormat="false" ht="15" hidden="false" customHeight="false" outlineLevel="0" collapsed="false">
      <c r="A1493" s="0" t="str">
        <f aca="false">IF(I1493="","",IF(J1493=0,"Sparte "&amp;I1493&amp;": "&amp;INDEX(Eingabe!$B$9:$B$18,I1493)&amp;"  (Sparten-ID "&amp;INDEX(Eingabe!$D$9:$D$18,I1493)&amp;", "&amp;K1493&amp;" Parzellen)",IF(J1493&lt;=K1493,"   Parzelle "&amp;J1493,IF(J1493=K1493+1,"   Vorstand",IF(J1493=K1493+2,"   Gäste",IF(J1493=K1493+3,"   Technik (Switches, Access Points)",""))))))</f>
        <v/>
      </c>
      <c r="B1493" s="0" t="str">
        <f aca="false">IF(I1493="","",IF(AND(J1493&gt;=1,J1493&lt;=K1493+3),IF(J1493&lt;=K1493,IF(J1493&lt;=99,IF((INDEX(Eingabe!$G$9:$G$18,I1493))&lt;=9,1000+(INDEX(Eingabe!$G$9:$G$18,I1493))*100,3000)+J1493,IF((INDEX(Eingabe!$G$9:$G$18,I1493)+1)&lt;=9,1000+(INDEX(Eingabe!$G$9:$G$18,I1493)+1)*100,3000)+J1493-100),IF(J1493=K1493+1,2000+INDEX(Eingabe!$G$9:$G$18,I1493)*10+1,IF(J1493=K1493+2,2000+INDEX(Eingabe!$G$9:$G$18,I1493)*10+2,2000+INDEX(Eingabe!$G$9:$G$18,I1493)*10+9))),""))</f>
        <v/>
      </c>
      <c r="C1493" s="0" t="str">
        <f aca="false">IF(I1493="","",IF(AND(J1493&gt;=1,J1493&lt;=K1493+3),"10."&amp;INDEX(Eingabe!$D$9:$D$18,I1493)&amp;"."&amp;IF(J1493&lt;=K1493,J1493,IF(J1493=K1493+1,200,IF(J1493=K1493+2,201,250)))&amp;".0/24",""))</f>
        <v/>
      </c>
      <c r="D1493" s="0" t="str">
        <f aca="false">IF(I1493="","",IF(AND(J1493&gt;=1,J1493&lt;=K1493+3),"255.255.255.0",""))</f>
        <v/>
      </c>
      <c r="E1493" s="0" t="str">
        <f aca="false">IF(I1493="","",IF(AND(J1493&gt;=1,J1493&lt;=K1493+3),"10."&amp;INDEX(Eingabe!$D$9:$D$18,I1493)&amp;"."&amp;IF(J1493&lt;=K1493,J1493,IF(J1493=K1493+1,200,IF(J1493=K1493+2,201,250)))&amp;".1",""))</f>
        <v/>
      </c>
      <c r="F1493" s="0" t="str">
        <f aca="false">IF(I1493="","",IF(AND(J1493&gt;=1,J1493&lt;=K1493+3),"10."&amp;INDEX(Eingabe!$D$9:$D$18,I1493)&amp;"."&amp;IF(J1493&lt;=K1493,J1493,IF(J1493=K1493+1,200,IF(J1493=K1493+2,201,250)))&amp;".10 – 10."&amp;INDEX(Eingabe!$D$9:$D$18,I1493)&amp;"."&amp;IF(J1493&lt;=K1493,J1493,IF(J1493=K1493+1,200,IF(J1493=K1493+2,201,250)))&amp;".250",""))</f>
        <v/>
      </c>
      <c r="G1493" s="0" t="str">
        <f aca="false">IF(I1493="","",IF(AND(J1493&gt;=1,J1493&lt;=K1493),Eingabe!$B$6&amp;"-"&amp;INDEX(Eingabe!$C$9:$C$18,I1493)&amp;"-Pächter  ·  Passwort Parzelle "&amp;J1493,IF(J1493=K1493+1,Eingabe!$B$6&amp;"-"&amp;INDEX(Eingabe!$C$9:$C$18,I1493)&amp;"-Vorstand  ·  eigenes WLAN",IF(J1493=K1493+2,Eingabe!$B$6&amp;"-"&amp;INDEX(Eingabe!$C$9:$C$18,I1493)&amp;"-Gäste  ·  Voucher",IF(J1493=K1493+3,"Kabel  ·  Access Point y = .(50+y), Mast-Switch x = .(10+x)","")))))</f>
        <v/>
      </c>
      <c r="I1493" s="0" t="str">
        <f aca="false">IF(1488&lt;=(Eingabe!$P$18+Eingabe!$Q$18-1),MATCH(1488,Eingabe!$P$9:$P$18,1),"")</f>
        <v/>
      </c>
      <c r="J1493" s="0" t="str">
        <f aca="false">IF(I1493="","",1488-INDEX(Eingabe!$P$9:$P$18,I1493))</f>
        <v/>
      </c>
      <c r="K1493" s="0" t="str">
        <f aca="false">IF(I1493="","",INDEX(Eingabe!$E$9:$E$18,I1493))</f>
        <v/>
      </c>
    </row>
    <row r="1494" customFormat="false" ht="15" hidden="false" customHeight="false" outlineLevel="0" collapsed="false">
      <c r="A1494" s="0" t="str">
        <f aca="false">IF(I1494="","",IF(J1494=0,"Sparte "&amp;I1494&amp;": "&amp;INDEX(Eingabe!$B$9:$B$18,I1494)&amp;"  (Sparten-ID "&amp;INDEX(Eingabe!$D$9:$D$18,I1494)&amp;", "&amp;K1494&amp;" Parzellen)",IF(J1494&lt;=K1494,"   Parzelle "&amp;J1494,IF(J1494=K1494+1,"   Vorstand",IF(J1494=K1494+2,"   Gäste",IF(J1494=K1494+3,"   Technik (Switches, Access Points)",""))))))</f>
        <v/>
      </c>
      <c r="B1494" s="0" t="str">
        <f aca="false">IF(I1494="","",IF(AND(J1494&gt;=1,J1494&lt;=K1494+3),IF(J1494&lt;=K1494,IF(J1494&lt;=99,IF((INDEX(Eingabe!$G$9:$G$18,I1494))&lt;=9,1000+(INDEX(Eingabe!$G$9:$G$18,I1494))*100,3000)+J1494,IF((INDEX(Eingabe!$G$9:$G$18,I1494)+1)&lt;=9,1000+(INDEX(Eingabe!$G$9:$G$18,I1494)+1)*100,3000)+J1494-100),IF(J1494=K1494+1,2000+INDEX(Eingabe!$G$9:$G$18,I1494)*10+1,IF(J1494=K1494+2,2000+INDEX(Eingabe!$G$9:$G$18,I1494)*10+2,2000+INDEX(Eingabe!$G$9:$G$18,I1494)*10+9))),""))</f>
        <v/>
      </c>
      <c r="C1494" s="0" t="str">
        <f aca="false">IF(I1494="","",IF(AND(J1494&gt;=1,J1494&lt;=K1494+3),"10."&amp;INDEX(Eingabe!$D$9:$D$18,I1494)&amp;"."&amp;IF(J1494&lt;=K1494,J1494,IF(J1494=K1494+1,200,IF(J1494=K1494+2,201,250)))&amp;".0/24",""))</f>
        <v/>
      </c>
      <c r="D1494" s="0" t="str">
        <f aca="false">IF(I1494="","",IF(AND(J1494&gt;=1,J1494&lt;=K1494+3),"255.255.255.0",""))</f>
        <v/>
      </c>
      <c r="E1494" s="0" t="str">
        <f aca="false">IF(I1494="","",IF(AND(J1494&gt;=1,J1494&lt;=K1494+3),"10."&amp;INDEX(Eingabe!$D$9:$D$18,I1494)&amp;"."&amp;IF(J1494&lt;=K1494,J1494,IF(J1494=K1494+1,200,IF(J1494=K1494+2,201,250)))&amp;".1",""))</f>
        <v/>
      </c>
      <c r="F1494" s="0" t="str">
        <f aca="false">IF(I1494="","",IF(AND(J1494&gt;=1,J1494&lt;=K1494+3),"10."&amp;INDEX(Eingabe!$D$9:$D$18,I1494)&amp;"."&amp;IF(J1494&lt;=K1494,J1494,IF(J1494=K1494+1,200,IF(J1494=K1494+2,201,250)))&amp;".10 – 10."&amp;INDEX(Eingabe!$D$9:$D$18,I1494)&amp;"."&amp;IF(J1494&lt;=K1494,J1494,IF(J1494=K1494+1,200,IF(J1494=K1494+2,201,250)))&amp;".250",""))</f>
        <v/>
      </c>
      <c r="G1494" s="0" t="str">
        <f aca="false">IF(I1494="","",IF(AND(J1494&gt;=1,J1494&lt;=K1494),Eingabe!$B$6&amp;"-"&amp;INDEX(Eingabe!$C$9:$C$18,I1494)&amp;"-Pächter  ·  Passwort Parzelle "&amp;J1494,IF(J1494=K1494+1,Eingabe!$B$6&amp;"-"&amp;INDEX(Eingabe!$C$9:$C$18,I1494)&amp;"-Vorstand  ·  eigenes WLAN",IF(J1494=K1494+2,Eingabe!$B$6&amp;"-"&amp;INDEX(Eingabe!$C$9:$C$18,I1494)&amp;"-Gäste  ·  Voucher",IF(J1494=K1494+3,"Kabel  ·  Access Point y = .(50+y), Mast-Switch x = .(10+x)","")))))</f>
        <v/>
      </c>
      <c r="I1494" s="0" t="str">
        <f aca="false">IF(1489&lt;=(Eingabe!$P$18+Eingabe!$Q$18-1),MATCH(1489,Eingabe!$P$9:$P$18,1),"")</f>
        <v/>
      </c>
      <c r="J1494" s="0" t="str">
        <f aca="false">IF(I1494="","",1489-INDEX(Eingabe!$P$9:$P$18,I1494))</f>
        <v/>
      </c>
      <c r="K1494" s="0" t="str">
        <f aca="false">IF(I1494="","",INDEX(Eingabe!$E$9:$E$18,I1494))</f>
        <v/>
      </c>
    </row>
    <row r="1495" customFormat="false" ht="15" hidden="false" customHeight="false" outlineLevel="0" collapsed="false">
      <c r="A1495" s="0" t="str">
        <f aca="false">IF(I1495="","",IF(J1495=0,"Sparte "&amp;I1495&amp;": "&amp;INDEX(Eingabe!$B$9:$B$18,I1495)&amp;"  (Sparten-ID "&amp;INDEX(Eingabe!$D$9:$D$18,I1495)&amp;", "&amp;K1495&amp;" Parzellen)",IF(J1495&lt;=K1495,"   Parzelle "&amp;J1495,IF(J1495=K1495+1,"   Vorstand",IF(J1495=K1495+2,"   Gäste",IF(J1495=K1495+3,"   Technik (Switches, Access Points)",""))))))</f>
        <v/>
      </c>
      <c r="B1495" s="0" t="str">
        <f aca="false">IF(I1495="","",IF(AND(J1495&gt;=1,J1495&lt;=K1495+3),IF(J1495&lt;=K1495,IF(J1495&lt;=99,IF((INDEX(Eingabe!$G$9:$G$18,I1495))&lt;=9,1000+(INDEX(Eingabe!$G$9:$G$18,I1495))*100,3000)+J1495,IF((INDEX(Eingabe!$G$9:$G$18,I1495)+1)&lt;=9,1000+(INDEX(Eingabe!$G$9:$G$18,I1495)+1)*100,3000)+J1495-100),IF(J1495=K1495+1,2000+INDEX(Eingabe!$G$9:$G$18,I1495)*10+1,IF(J1495=K1495+2,2000+INDEX(Eingabe!$G$9:$G$18,I1495)*10+2,2000+INDEX(Eingabe!$G$9:$G$18,I1495)*10+9))),""))</f>
        <v/>
      </c>
      <c r="C1495" s="0" t="str">
        <f aca="false">IF(I1495="","",IF(AND(J1495&gt;=1,J1495&lt;=K1495+3),"10."&amp;INDEX(Eingabe!$D$9:$D$18,I1495)&amp;"."&amp;IF(J1495&lt;=K1495,J1495,IF(J1495=K1495+1,200,IF(J1495=K1495+2,201,250)))&amp;".0/24",""))</f>
        <v/>
      </c>
      <c r="D1495" s="0" t="str">
        <f aca="false">IF(I1495="","",IF(AND(J1495&gt;=1,J1495&lt;=K1495+3),"255.255.255.0",""))</f>
        <v/>
      </c>
      <c r="E1495" s="0" t="str">
        <f aca="false">IF(I1495="","",IF(AND(J1495&gt;=1,J1495&lt;=K1495+3),"10."&amp;INDEX(Eingabe!$D$9:$D$18,I1495)&amp;"."&amp;IF(J1495&lt;=K1495,J1495,IF(J1495=K1495+1,200,IF(J1495=K1495+2,201,250)))&amp;".1",""))</f>
        <v/>
      </c>
      <c r="F1495" s="0" t="str">
        <f aca="false">IF(I1495="","",IF(AND(J1495&gt;=1,J1495&lt;=K1495+3),"10."&amp;INDEX(Eingabe!$D$9:$D$18,I1495)&amp;"."&amp;IF(J1495&lt;=K1495,J1495,IF(J1495=K1495+1,200,IF(J1495=K1495+2,201,250)))&amp;".10 – 10."&amp;INDEX(Eingabe!$D$9:$D$18,I1495)&amp;"."&amp;IF(J1495&lt;=K1495,J1495,IF(J1495=K1495+1,200,IF(J1495=K1495+2,201,250)))&amp;".250",""))</f>
        <v/>
      </c>
      <c r="G1495" s="0" t="str">
        <f aca="false">IF(I1495="","",IF(AND(J1495&gt;=1,J1495&lt;=K1495),Eingabe!$B$6&amp;"-"&amp;INDEX(Eingabe!$C$9:$C$18,I1495)&amp;"-Pächter  ·  Passwort Parzelle "&amp;J1495,IF(J1495=K1495+1,Eingabe!$B$6&amp;"-"&amp;INDEX(Eingabe!$C$9:$C$18,I1495)&amp;"-Vorstand  ·  eigenes WLAN",IF(J1495=K1495+2,Eingabe!$B$6&amp;"-"&amp;INDEX(Eingabe!$C$9:$C$18,I1495)&amp;"-Gäste  ·  Voucher",IF(J1495=K1495+3,"Kabel  ·  Access Point y = .(50+y), Mast-Switch x = .(10+x)","")))))</f>
        <v/>
      </c>
      <c r="I1495" s="0" t="str">
        <f aca="false">IF(1490&lt;=(Eingabe!$P$18+Eingabe!$Q$18-1),MATCH(1490,Eingabe!$P$9:$P$18,1),"")</f>
        <v/>
      </c>
      <c r="J1495" s="0" t="str">
        <f aca="false">IF(I1495="","",1490-INDEX(Eingabe!$P$9:$P$18,I1495))</f>
        <v/>
      </c>
      <c r="K1495" s="0" t="str">
        <f aca="false">IF(I1495="","",INDEX(Eingabe!$E$9:$E$18,I1495))</f>
        <v/>
      </c>
    </row>
    <row r="1496" customFormat="false" ht="15" hidden="false" customHeight="false" outlineLevel="0" collapsed="false">
      <c r="A1496" s="0" t="str">
        <f aca="false">IF(I1496="","",IF(J1496=0,"Sparte "&amp;I1496&amp;": "&amp;INDEX(Eingabe!$B$9:$B$18,I1496)&amp;"  (Sparten-ID "&amp;INDEX(Eingabe!$D$9:$D$18,I1496)&amp;", "&amp;K1496&amp;" Parzellen)",IF(J1496&lt;=K1496,"   Parzelle "&amp;J1496,IF(J1496=K1496+1,"   Vorstand",IF(J1496=K1496+2,"   Gäste",IF(J1496=K1496+3,"   Technik (Switches, Access Points)",""))))))</f>
        <v/>
      </c>
      <c r="B1496" s="0" t="str">
        <f aca="false">IF(I1496="","",IF(AND(J1496&gt;=1,J1496&lt;=K1496+3),IF(J1496&lt;=K1496,IF(J1496&lt;=99,IF((INDEX(Eingabe!$G$9:$G$18,I1496))&lt;=9,1000+(INDEX(Eingabe!$G$9:$G$18,I1496))*100,3000)+J1496,IF((INDEX(Eingabe!$G$9:$G$18,I1496)+1)&lt;=9,1000+(INDEX(Eingabe!$G$9:$G$18,I1496)+1)*100,3000)+J1496-100),IF(J1496=K1496+1,2000+INDEX(Eingabe!$G$9:$G$18,I1496)*10+1,IF(J1496=K1496+2,2000+INDEX(Eingabe!$G$9:$G$18,I1496)*10+2,2000+INDEX(Eingabe!$G$9:$G$18,I1496)*10+9))),""))</f>
        <v/>
      </c>
      <c r="C1496" s="0" t="str">
        <f aca="false">IF(I1496="","",IF(AND(J1496&gt;=1,J1496&lt;=K1496+3),"10."&amp;INDEX(Eingabe!$D$9:$D$18,I1496)&amp;"."&amp;IF(J1496&lt;=K1496,J1496,IF(J1496=K1496+1,200,IF(J1496=K1496+2,201,250)))&amp;".0/24",""))</f>
        <v/>
      </c>
      <c r="D1496" s="0" t="str">
        <f aca="false">IF(I1496="","",IF(AND(J1496&gt;=1,J1496&lt;=K1496+3),"255.255.255.0",""))</f>
        <v/>
      </c>
      <c r="E1496" s="0" t="str">
        <f aca="false">IF(I1496="","",IF(AND(J1496&gt;=1,J1496&lt;=K1496+3),"10."&amp;INDEX(Eingabe!$D$9:$D$18,I1496)&amp;"."&amp;IF(J1496&lt;=K1496,J1496,IF(J1496=K1496+1,200,IF(J1496=K1496+2,201,250)))&amp;".1",""))</f>
        <v/>
      </c>
      <c r="F1496" s="0" t="str">
        <f aca="false">IF(I1496="","",IF(AND(J1496&gt;=1,J1496&lt;=K1496+3),"10."&amp;INDEX(Eingabe!$D$9:$D$18,I1496)&amp;"."&amp;IF(J1496&lt;=K1496,J1496,IF(J1496=K1496+1,200,IF(J1496=K1496+2,201,250)))&amp;".10 – 10."&amp;INDEX(Eingabe!$D$9:$D$18,I1496)&amp;"."&amp;IF(J1496&lt;=K1496,J1496,IF(J1496=K1496+1,200,IF(J1496=K1496+2,201,250)))&amp;".250",""))</f>
        <v/>
      </c>
      <c r="G1496" s="0" t="str">
        <f aca="false">IF(I1496="","",IF(AND(J1496&gt;=1,J1496&lt;=K1496),Eingabe!$B$6&amp;"-"&amp;INDEX(Eingabe!$C$9:$C$18,I1496)&amp;"-Pächter  ·  Passwort Parzelle "&amp;J1496,IF(J1496=K1496+1,Eingabe!$B$6&amp;"-"&amp;INDEX(Eingabe!$C$9:$C$18,I1496)&amp;"-Vorstand  ·  eigenes WLAN",IF(J1496=K1496+2,Eingabe!$B$6&amp;"-"&amp;INDEX(Eingabe!$C$9:$C$18,I1496)&amp;"-Gäste  ·  Voucher",IF(J1496=K1496+3,"Kabel  ·  Access Point y = .(50+y), Mast-Switch x = .(10+x)","")))))</f>
        <v/>
      </c>
      <c r="I1496" s="0" t="str">
        <f aca="false">IF(1491&lt;=(Eingabe!$P$18+Eingabe!$Q$18-1),MATCH(1491,Eingabe!$P$9:$P$18,1),"")</f>
        <v/>
      </c>
      <c r="J1496" s="0" t="str">
        <f aca="false">IF(I1496="","",1491-INDEX(Eingabe!$P$9:$P$18,I1496))</f>
        <v/>
      </c>
      <c r="K1496" s="0" t="str">
        <f aca="false">IF(I1496="","",INDEX(Eingabe!$E$9:$E$18,I1496))</f>
        <v/>
      </c>
    </row>
    <row r="1497" customFormat="false" ht="15" hidden="false" customHeight="false" outlineLevel="0" collapsed="false">
      <c r="A1497" s="0" t="str">
        <f aca="false">IF(I1497="","",IF(J1497=0,"Sparte "&amp;I1497&amp;": "&amp;INDEX(Eingabe!$B$9:$B$18,I1497)&amp;"  (Sparten-ID "&amp;INDEX(Eingabe!$D$9:$D$18,I1497)&amp;", "&amp;K1497&amp;" Parzellen)",IF(J1497&lt;=K1497,"   Parzelle "&amp;J1497,IF(J1497=K1497+1,"   Vorstand",IF(J1497=K1497+2,"   Gäste",IF(J1497=K1497+3,"   Technik (Switches, Access Points)",""))))))</f>
        <v/>
      </c>
      <c r="B1497" s="0" t="str">
        <f aca="false">IF(I1497="","",IF(AND(J1497&gt;=1,J1497&lt;=K1497+3),IF(J1497&lt;=K1497,IF(J1497&lt;=99,IF((INDEX(Eingabe!$G$9:$G$18,I1497))&lt;=9,1000+(INDEX(Eingabe!$G$9:$G$18,I1497))*100,3000)+J1497,IF((INDEX(Eingabe!$G$9:$G$18,I1497)+1)&lt;=9,1000+(INDEX(Eingabe!$G$9:$G$18,I1497)+1)*100,3000)+J1497-100),IF(J1497=K1497+1,2000+INDEX(Eingabe!$G$9:$G$18,I1497)*10+1,IF(J1497=K1497+2,2000+INDEX(Eingabe!$G$9:$G$18,I1497)*10+2,2000+INDEX(Eingabe!$G$9:$G$18,I1497)*10+9))),""))</f>
        <v/>
      </c>
      <c r="C1497" s="0" t="str">
        <f aca="false">IF(I1497="","",IF(AND(J1497&gt;=1,J1497&lt;=K1497+3),"10."&amp;INDEX(Eingabe!$D$9:$D$18,I1497)&amp;"."&amp;IF(J1497&lt;=K1497,J1497,IF(J1497=K1497+1,200,IF(J1497=K1497+2,201,250)))&amp;".0/24",""))</f>
        <v/>
      </c>
      <c r="D1497" s="0" t="str">
        <f aca="false">IF(I1497="","",IF(AND(J1497&gt;=1,J1497&lt;=K1497+3),"255.255.255.0",""))</f>
        <v/>
      </c>
      <c r="E1497" s="0" t="str">
        <f aca="false">IF(I1497="","",IF(AND(J1497&gt;=1,J1497&lt;=K1497+3),"10."&amp;INDEX(Eingabe!$D$9:$D$18,I1497)&amp;"."&amp;IF(J1497&lt;=K1497,J1497,IF(J1497=K1497+1,200,IF(J1497=K1497+2,201,250)))&amp;".1",""))</f>
        <v/>
      </c>
      <c r="F1497" s="0" t="str">
        <f aca="false">IF(I1497="","",IF(AND(J1497&gt;=1,J1497&lt;=K1497+3),"10."&amp;INDEX(Eingabe!$D$9:$D$18,I1497)&amp;"."&amp;IF(J1497&lt;=K1497,J1497,IF(J1497=K1497+1,200,IF(J1497=K1497+2,201,250)))&amp;".10 – 10."&amp;INDEX(Eingabe!$D$9:$D$18,I1497)&amp;"."&amp;IF(J1497&lt;=K1497,J1497,IF(J1497=K1497+1,200,IF(J1497=K1497+2,201,250)))&amp;".250",""))</f>
        <v/>
      </c>
      <c r="G1497" s="0" t="str">
        <f aca="false">IF(I1497="","",IF(AND(J1497&gt;=1,J1497&lt;=K1497),Eingabe!$B$6&amp;"-"&amp;INDEX(Eingabe!$C$9:$C$18,I1497)&amp;"-Pächter  ·  Passwort Parzelle "&amp;J1497,IF(J1497=K1497+1,Eingabe!$B$6&amp;"-"&amp;INDEX(Eingabe!$C$9:$C$18,I1497)&amp;"-Vorstand  ·  eigenes WLAN",IF(J1497=K1497+2,Eingabe!$B$6&amp;"-"&amp;INDEX(Eingabe!$C$9:$C$18,I1497)&amp;"-Gäste  ·  Voucher",IF(J1497=K1497+3,"Kabel  ·  Access Point y = .(50+y), Mast-Switch x = .(10+x)","")))))</f>
        <v/>
      </c>
      <c r="I1497" s="0" t="str">
        <f aca="false">IF(1492&lt;=(Eingabe!$P$18+Eingabe!$Q$18-1),MATCH(1492,Eingabe!$P$9:$P$18,1),"")</f>
        <v/>
      </c>
      <c r="J1497" s="0" t="str">
        <f aca="false">IF(I1497="","",1492-INDEX(Eingabe!$P$9:$P$18,I1497))</f>
        <v/>
      </c>
      <c r="K1497" s="0" t="str">
        <f aca="false">IF(I1497="","",INDEX(Eingabe!$E$9:$E$18,I1497))</f>
        <v/>
      </c>
    </row>
    <row r="1498" customFormat="false" ht="15" hidden="false" customHeight="false" outlineLevel="0" collapsed="false">
      <c r="A1498" s="0" t="str">
        <f aca="false">IF(I1498="","",IF(J1498=0,"Sparte "&amp;I1498&amp;": "&amp;INDEX(Eingabe!$B$9:$B$18,I1498)&amp;"  (Sparten-ID "&amp;INDEX(Eingabe!$D$9:$D$18,I1498)&amp;", "&amp;K1498&amp;" Parzellen)",IF(J1498&lt;=K1498,"   Parzelle "&amp;J1498,IF(J1498=K1498+1,"   Vorstand",IF(J1498=K1498+2,"   Gäste",IF(J1498=K1498+3,"   Technik (Switches, Access Points)",""))))))</f>
        <v/>
      </c>
      <c r="B1498" s="0" t="str">
        <f aca="false">IF(I1498="","",IF(AND(J1498&gt;=1,J1498&lt;=K1498+3),IF(J1498&lt;=K1498,IF(J1498&lt;=99,IF((INDEX(Eingabe!$G$9:$G$18,I1498))&lt;=9,1000+(INDEX(Eingabe!$G$9:$G$18,I1498))*100,3000)+J1498,IF((INDEX(Eingabe!$G$9:$G$18,I1498)+1)&lt;=9,1000+(INDEX(Eingabe!$G$9:$G$18,I1498)+1)*100,3000)+J1498-100),IF(J1498=K1498+1,2000+INDEX(Eingabe!$G$9:$G$18,I1498)*10+1,IF(J1498=K1498+2,2000+INDEX(Eingabe!$G$9:$G$18,I1498)*10+2,2000+INDEX(Eingabe!$G$9:$G$18,I1498)*10+9))),""))</f>
        <v/>
      </c>
      <c r="C1498" s="0" t="str">
        <f aca="false">IF(I1498="","",IF(AND(J1498&gt;=1,J1498&lt;=K1498+3),"10."&amp;INDEX(Eingabe!$D$9:$D$18,I1498)&amp;"."&amp;IF(J1498&lt;=K1498,J1498,IF(J1498=K1498+1,200,IF(J1498=K1498+2,201,250)))&amp;".0/24",""))</f>
        <v/>
      </c>
      <c r="D1498" s="0" t="str">
        <f aca="false">IF(I1498="","",IF(AND(J1498&gt;=1,J1498&lt;=K1498+3),"255.255.255.0",""))</f>
        <v/>
      </c>
      <c r="E1498" s="0" t="str">
        <f aca="false">IF(I1498="","",IF(AND(J1498&gt;=1,J1498&lt;=K1498+3),"10."&amp;INDEX(Eingabe!$D$9:$D$18,I1498)&amp;"."&amp;IF(J1498&lt;=K1498,J1498,IF(J1498=K1498+1,200,IF(J1498=K1498+2,201,250)))&amp;".1",""))</f>
        <v/>
      </c>
      <c r="F1498" s="0" t="str">
        <f aca="false">IF(I1498="","",IF(AND(J1498&gt;=1,J1498&lt;=K1498+3),"10."&amp;INDEX(Eingabe!$D$9:$D$18,I1498)&amp;"."&amp;IF(J1498&lt;=K1498,J1498,IF(J1498=K1498+1,200,IF(J1498=K1498+2,201,250)))&amp;".10 – 10."&amp;INDEX(Eingabe!$D$9:$D$18,I1498)&amp;"."&amp;IF(J1498&lt;=K1498,J1498,IF(J1498=K1498+1,200,IF(J1498=K1498+2,201,250)))&amp;".250",""))</f>
        <v/>
      </c>
      <c r="G1498" s="0" t="str">
        <f aca="false">IF(I1498="","",IF(AND(J1498&gt;=1,J1498&lt;=K1498),Eingabe!$B$6&amp;"-"&amp;INDEX(Eingabe!$C$9:$C$18,I1498)&amp;"-Pächter  ·  Passwort Parzelle "&amp;J1498,IF(J1498=K1498+1,Eingabe!$B$6&amp;"-"&amp;INDEX(Eingabe!$C$9:$C$18,I1498)&amp;"-Vorstand  ·  eigenes WLAN",IF(J1498=K1498+2,Eingabe!$B$6&amp;"-"&amp;INDEX(Eingabe!$C$9:$C$18,I1498)&amp;"-Gäste  ·  Voucher",IF(J1498=K1498+3,"Kabel  ·  Access Point y = .(50+y), Mast-Switch x = .(10+x)","")))))</f>
        <v/>
      </c>
      <c r="I1498" s="0" t="str">
        <f aca="false">IF(1493&lt;=(Eingabe!$P$18+Eingabe!$Q$18-1),MATCH(1493,Eingabe!$P$9:$P$18,1),"")</f>
        <v/>
      </c>
      <c r="J1498" s="0" t="str">
        <f aca="false">IF(I1498="","",1493-INDEX(Eingabe!$P$9:$P$18,I1498))</f>
        <v/>
      </c>
      <c r="K1498" s="0" t="str">
        <f aca="false">IF(I1498="","",INDEX(Eingabe!$E$9:$E$18,I1498))</f>
        <v/>
      </c>
    </row>
    <row r="1499" customFormat="false" ht="15" hidden="false" customHeight="false" outlineLevel="0" collapsed="false">
      <c r="A1499" s="0" t="str">
        <f aca="false">IF(I1499="","",IF(J1499=0,"Sparte "&amp;I1499&amp;": "&amp;INDEX(Eingabe!$B$9:$B$18,I1499)&amp;"  (Sparten-ID "&amp;INDEX(Eingabe!$D$9:$D$18,I1499)&amp;", "&amp;K1499&amp;" Parzellen)",IF(J1499&lt;=K1499,"   Parzelle "&amp;J1499,IF(J1499=K1499+1,"   Vorstand",IF(J1499=K1499+2,"   Gäste",IF(J1499=K1499+3,"   Technik (Switches, Access Points)",""))))))</f>
        <v/>
      </c>
      <c r="B1499" s="0" t="str">
        <f aca="false">IF(I1499="","",IF(AND(J1499&gt;=1,J1499&lt;=K1499+3),IF(J1499&lt;=K1499,IF(J1499&lt;=99,IF((INDEX(Eingabe!$G$9:$G$18,I1499))&lt;=9,1000+(INDEX(Eingabe!$G$9:$G$18,I1499))*100,3000)+J1499,IF((INDEX(Eingabe!$G$9:$G$18,I1499)+1)&lt;=9,1000+(INDEX(Eingabe!$G$9:$G$18,I1499)+1)*100,3000)+J1499-100),IF(J1499=K1499+1,2000+INDEX(Eingabe!$G$9:$G$18,I1499)*10+1,IF(J1499=K1499+2,2000+INDEX(Eingabe!$G$9:$G$18,I1499)*10+2,2000+INDEX(Eingabe!$G$9:$G$18,I1499)*10+9))),""))</f>
        <v/>
      </c>
      <c r="C1499" s="0" t="str">
        <f aca="false">IF(I1499="","",IF(AND(J1499&gt;=1,J1499&lt;=K1499+3),"10."&amp;INDEX(Eingabe!$D$9:$D$18,I1499)&amp;"."&amp;IF(J1499&lt;=K1499,J1499,IF(J1499=K1499+1,200,IF(J1499=K1499+2,201,250)))&amp;".0/24",""))</f>
        <v/>
      </c>
      <c r="D1499" s="0" t="str">
        <f aca="false">IF(I1499="","",IF(AND(J1499&gt;=1,J1499&lt;=K1499+3),"255.255.255.0",""))</f>
        <v/>
      </c>
      <c r="E1499" s="0" t="str">
        <f aca="false">IF(I1499="","",IF(AND(J1499&gt;=1,J1499&lt;=K1499+3),"10."&amp;INDEX(Eingabe!$D$9:$D$18,I1499)&amp;"."&amp;IF(J1499&lt;=K1499,J1499,IF(J1499=K1499+1,200,IF(J1499=K1499+2,201,250)))&amp;".1",""))</f>
        <v/>
      </c>
      <c r="F1499" s="0" t="str">
        <f aca="false">IF(I1499="","",IF(AND(J1499&gt;=1,J1499&lt;=K1499+3),"10."&amp;INDEX(Eingabe!$D$9:$D$18,I1499)&amp;"."&amp;IF(J1499&lt;=K1499,J1499,IF(J1499=K1499+1,200,IF(J1499=K1499+2,201,250)))&amp;".10 – 10."&amp;INDEX(Eingabe!$D$9:$D$18,I1499)&amp;"."&amp;IF(J1499&lt;=K1499,J1499,IF(J1499=K1499+1,200,IF(J1499=K1499+2,201,250)))&amp;".250",""))</f>
        <v/>
      </c>
      <c r="G1499" s="0" t="str">
        <f aca="false">IF(I1499="","",IF(AND(J1499&gt;=1,J1499&lt;=K1499),Eingabe!$B$6&amp;"-"&amp;INDEX(Eingabe!$C$9:$C$18,I1499)&amp;"-Pächter  ·  Passwort Parzelle "&amp;J1499,IF(J1499=K1499+1,Eingabe!$B$6&amp;"-"&amp;INDEX(Eingabe!$C$9:$C$18,I1499)&amp;"-Vorstand  ·  eigenes WLAN",IF(J1499=K1499+2,Eingabe!$B$6&amp;"-"&amp;INDEX(Eingabe!$C$9:$C$18,I1499)&amp;"-Gäste  ·  Voucher",IF(J1499=K1499+3,"Kabel  ·  Access Point y = .(50+y), Mast-Switch x = .(10+x)","")))))</f>
        <v/>
      </c>
      <c r="I1499" s="0" t="str">
        <f aca="false">IF(1494&lt;=(Eingabe!$P$18+Eingabe!$Q$18-1),MATCH(1494,Eingabe!$P$9:$P$18,1),"")</f>
        <v/>
      </c>
      <c r="J1499" s="0" t="str">
        <f aca="false">IF(I1499="","",1494-INDEX(Eingabe!$P$9:$P$18,I1499))</f>
        <v/>
      </c>
      <c r="K1499" s="0" t="str">
        <f aca="false">IF(I1499="","",INDEX(Eingabe!$E$9:$E$18,I1499))</f>
        <v/>
      </c>
    </row>
    <row r="1500" customFormat="false" ht="15" hidden="false" customHeight="false" outlineLevel="0" collapsed="false">
      <c r="A1500" s="0" t="str">
        <f aca="false">IF(I1500="","",IF(J1500=0,"Sparte "&amp;I1500&amp;": "&amp;INDEX(Eingabe!$B$9:$B$18,I1500)&amp;"  (Sparten-ID "&amp;INDEX(Eingabe!$D$9:$D$18,I1500)&amp;", "&amp;K1500&amp;" Parzellen)",IF(J1500&lt;=K1500,"   Parzelle "&amp;J1500,IF(J1500=K1500+1,"   Vorstand",IF(J1500=K1500+2,"   Gäste",IF(J1500=K1500+3,"   Technik (Switches, Access Points)",""))))))</f>
        <v/>
      </c>
      <c r="B1500" s="0" t="str">
        <f aca="false">IF(I1500="","",IF(AND(J1500&gt;=1,J1500&lt;=K1500+3),IF(J1500&lt;=K1500,IF(J1500&lt;=99,IF((INDEX(Eingabe!$G$9:$G$18,I1500))&lt;=9,1000+(INDEX(Eingabe!$G$9:$G$18,I1500))*100,3000)+J1500,IF((INDEX(Eingabe!$G$9:$G$18,I1500)+1)&lt;=9,1000+(INDEX(Eingabe!$G$9:$G$18,I1500)+1)*100,3000)+J1500-100),IF(J1500=K1500+1,2000+INDEX(Eingabe!$G$9:$G$18,I1500)*10+1,IF(J1500=K1500+2,2000+INDEX(Eingabe!$G$9:$G$18,I1500)*10+2,2000+INDEX(Eingabe!$G$9:$G$18,I1500)*10+9))),""))</f>
        <v/>
      </c>
      <c r="C1500" s="0" t="str">
        <f aca="false">IF(I1500="","",IF(AND(J1500&gt;=1,J1500&lt;=K1500+3),"10."&amp;INDEX(Eingabe!$D$9:$D$18,I1500)&amp;"."&amp;IF(J1500&lt;=K1500,J1500,IF(J1500=K1500+1,200,IF(J1500=K1500+2,201,250)))&amp;".0/24",""))</f>
        <v/>
      </c>
      <c r="D1500" s="0" t="str">
        <f aca="false">IF(I1500="","",IF(AND(J1500&gt;=1,J1500&lt;=K1500+3),"255.255.255.0",""))</f>
        <v/>
      </c>
      <c r="E1500" s="0" t="str">
        <f aca="false">IF(I1500="","",IF(AND(J1500&gt;=1,J1500&lt;=K1500+3),"10."&amp;INDEX(Eingabe!$D$9:$D$18,I1500)&amp;"."&amp;IF(J1500&lt;=K1500,J1500,IF(J1500=K1500+1,200,IF(J1500=K1500+2,201,250)))&amp;".1",""))</f>
        <v/>
      </c>
      <c r="F1500" s="0" t="str">
        <f aca="false">IF(I1500="","",IF(AND(J1500&gt;=1,J1500&lt;=K1500+3),"10."&amp;INDEX(Eingabe!$D$9:$D$18,I1500)&amp;"."&amp;IF(J1500&lt;=K1500,J1500,IF(J1500=K1500+1,200,IF(J1500=K1500+2,201,250)))&amp;".10 – 10."&amp;INDEX(Eingabe!$D$9:$D$18,I1500)&amp;"."&amp;IF(J1500&lt;=K1500,J1500,IF(J1500=K1500+1,200,IF(J1500=K1500+2,201,250)))&amp;".250",""))</f>
        <v/>
      </c>
      <c r="G1500" s="0" t="str">
        <f aca="false">IF(I1500="","",IF(AND(J1500&gt;=1,J1500&lt;=K1500),Eingabe!$B$6&amp;"-"&amp;INDEX(Eingabe!$C$9:$C$18,I1500)&amp;"-Pächter  ·  Passwort Parzelle "&amp;J1500,IF(J1500=K1500+1,Eingabe!$B$6&amp;"-"&amp;INDEX(Eingabe!$C$9:$C$18,I1500)&amp;"-Vorstand  ·  eigenes WLAN",IF(J1500=K1500+2,Eingabe!$B$6&amp;"-"&amp;INDEX(Eingabe!$C$9:$C$18,I1500)&amp;"-Gäste  ·  Voucher",IF(J1500=K1500+3,"Kabel  ·  Access Point y = .(50+y), Mast-Switch x = .(10+x)","")))))</f>
        <v/>
      </c>
      <c r="I1500" s="0" t="str">
        <f aca="false">IF(1495&lt;=(Eingabe!$P$18+Eingabe!$Q$18-1),MATCH(1495,Eingabe!$P$9:$P$18,1),"")</f>
        <v/>
      </c>
      <c r="J1500" s="0" t="str">
        <f aca="false">IF(I1500="","",1495-INDEX(Eingabe!$P$9:$P$18,I1500))</f>
        <v/>
      </c>
      <c r="K1500" s="0" t="str">
        <f aca="false">IF(I1500="","",INDEX(Eingabe!$E$9:$E$18,I1500))</f>
        <v/>
      </c>
    </row>
    <row r="1501" customFormat="false" ht="15" hidden="false" customHeight="false" outlineLevel="0" collapsed="false">
      <c r="A1501" s="0" t="str">
        <f aca="false">IF(I1501="","",IF(J1501=0,"Sparte "&amp;I1501&amp;": "&amp;INDEX(Eingabe!$B$9:$B$18,I1501)&amp;"  (Sparten-ID "&amp;INDEX(Eingabe!$D$9:$D$18,I1501)&amp;", "&amp;K1501&amp;" Parzellen)",IF(J1501&lt;=K1501,"   Parzelle "&amp;J1501,IF(J1501=K1501+1,"   Vorstand",IF(J1501=K1501+2,"   Gäste",IF(J1501=K1501+3,"   Technik (Switches, Access Points)",""))))))</f>
        <v/>
      </c>
      <c r="B1501" s="0" t="str">
        <f aca="false">IF(I1501="","",IF(AND(J1501&gt;=1,J1501&lt;=K1501+3),IF(J1501&lt;=K1501,IF(J1501&lt;=99,IF((INDEX(Eingabe!$G$9:$G$18,I1501))&lt;=9,1000+(INDEX(Eingabe!$G$9:$G$18,I1501))*100,3000)+J1501,IF((INDEX(Eingabe!$G$9:$G$18,I1501)+1)&lt;=9,1000+(INDEX(Eingabe!$G$9:$G$18,I1501)+1)*100,3000)+J1501-100),IF(J1501=K1501+1,2000+INDEX(Eingabe!$G$9:$G$18,I1501)*10+1,IF(J1501=K1501+2,2000+INDEX(Eingabe!$G$9:$G$18,I1501)*10+2,2000+INDEX(Eingabe!$G$9:$G$18,I1501)*10+9))),""))</f>
        <v/>
      </c>
      <c r="C1501" s="0" t="str">
        <f aca="false">IF(I1501="","",IF(AND(J1501&gt;=1,J1501&lt;=K1501+3),"10."&amp;INDEX(Eingabe!$D$9:$D$18,I1501)&amp;"."&amp;IF(J1501&lt;=K1501,J1501,IF(J1501=K1501+1,200,IF(J1501=K1501+2,201,250)))&amp;".0/24",""))</f>
        <v/>
      </c>
      <c r="D1501" s="0" t="str">
        <f aca="false">IF(I1501="","",IF(AND(J1501&gt;=1,J1501&lt;=K1501+3),"255.255.255.0",""))</f>
        <v/>
      </c>
      <c r="E1501" s="0" t="str">
        <f aca="false">IF(I1501="","",IF(AND(J1501&gt;=1,J1501&lt;=K1501+3),"10."&amp;INDEX(Eingabe!$D$9:$D$18,I1501)&amp;"."&amp;IF(J1501&lt;=K1501,J1501,IF(J1501=K1501+1,200,IF(J1501=K1501+2,201,250)))&amp;".1",""))</f>
        <v/>
      </c>
      <c r="F1501" s="0" t="str">
        <f aca="false">IF(I1501="","",IF(AND(J1501&gt;=1,J1501&lt;=K1501+3),"10."&amp;INDEX(Eingabe!$D$9:$D$18,I1501)&amp;"."&amp;IF(J1501&lt;=K1501,J1501,IF(J1501=K1501+1,200,IF(J1501=K1501+2,201,250)))&amp;".10 – 10."&amp;INDEX(Eingabe!$D$9:$D$18,I1501)&amp;"."&amp;IF(J1501&lt;=K1501,J1501,IF(J1501=K1501+1,200,IF(J1501=K1501+2,201,250)))&amp;".250",""))</f>
        <v/>
      </c>
      <c r="G1501" s="0" t="str">
        <f aca="false">IF(I1501="","",IF(AND(J1501&gt;=1,J1501&lt;=K1501),Eingabe!$B$6&amp;"-"&amp;INDEX(Eingabe!$C$9:$C$18,I1501)&amp;"-Pächter  ·  Passwort Parzelle "&amp;J1501,IF(J1501=K1501+1,Eingabe!$B$6&amp;"-"&amp;INDEX(Eingabe!$C$9:$C$18,I1501)&amp;"-Vorstand  ·  eigenes WLAN",IF(J1501=K1501+2,Eingabe!$B$6&amp;"-"&amp;INDEX(Eingabe!$C$9:$C$18,I1501)&amp;"-Gäste  ·  Voucher",IF(J1501=K1501+3,"Kabel  ·  Access Point y = .(50+y), Mast-Switch x = .(10+x)","")))))</f>
        <v/>
      </c>
      <c r="I1501" s="0" t="str">
        <f aca="false">IF(1496&lt;=(Eingabe!$P$18+Eingabe!$Q$18-1),MATCH(1496,Eingabe!$P$9:$P$18,1),"")</f>
        <v/>
      </c>
      <c r="J1501" s="0" t="str">
        <f aca="false">IF(I1501="","",1496-INDEX(Eingabe!$P$9:$P$18,I1501))</f>
        <v/>
      </c>
      <c r="K1501" s="0" t="str">
        <f aca="false">IF(I1501="","",INDEX(Eingabe!$E$9:$E$18,I1501))</f>
        <v/>
      </c>
    </row>
    <row r="1502" customFormat="false" ht="15" hidden="false" customHeight="false" outlineLevel="0" collapsed="false">
      <c r="A1502" s="0" t="str">
        <f aca="false">IF(I1502="","",IF(J1502=0,"Sparte "&amp;I1502&amp;": "&amp;INDEX(Eingabe!$B$9:$B$18,I1502)&amp;"  (Sparten-ID "&amp;INDEX(Eingabe!$D$9:$D$18,I1502)&amp;", "&amp;K1502&amp;" Parzellen)",IF(J1502&lt;=K1502,"   Parzelle "&amp;J1502,IF(J1502=K1502+1,"   Vorstand",IF(J1502=K1502+2,"   Gäste",IF(J1502=K1502+3,"   Technik (Switches, Access Points)",""))))))</f>
        <v/>
      </c>
      <c r="B1502" s="0" t="str">
        <f aca="false">IF(I1502="","",IF(AND(J1502&gt;=1,J1502&lt;=K1502+3),IF(J1502&lt;=K1502,IF(J1502&lt;=99,IF((INDEX(Eingabe!$G$9:$G$18,I1502))&lt;=9,1000+(INDEX(Eingabe!$G$9:$G$18,I1502))*100,3000)+J1502,IF((INDEX(Eingabe!$G$9:$G$18,I1502)+1)&lt;=9,1000+(INDEX(Eingabe!$G$9:$G$18,I1502)+1)*100,3000)+J1502-100),IF(J1502=K1502+1,2000+INDEX(Eingabe!$G$9:$G$18,I1502)*10+1,IF(J1502=K1502+2,2000+INDEX(Eingabe!$G$9:$G$18,I1502)*10+2,2000+INDEX(Eingabe!$G$9:$G$18,I1502)*10+9))),""))</f>
        <v/>
      </c>
      <c r="C1502" s="0" t="str">
        <f aca="false">IF(I1502="","",IF(AND(J1502&gt;=1,J1502&lt;=K1502+3),"10."&amp;INDEX(Eingabe!$D$9:$D$18,I1502)&amp;"."&amp;IF(J1502&lt;=K1502,J1502,IF(J1502=K1502+1,200,IF(J1502=K1502+2,201,250)))&amp;".0/24",""))</f>
        <v/>
      </c>
      <c r="D1502" s="0" t="str">
        <f aca="false">IF(I1502="","",IF(AND(J1502&gt;=1,J1502&lt;=K1502+3),"255.255.255.0",""))</f>
        <v/>
      </c>
      <c r="E1502" s="0" t="str">
        <f aca="false">IF(I1502="","",IF(AND(J1502&gt;=1,J1502&lt;=K1502+3),"10."&amp;INDEX(Eingabe!$D$9:$D$18,I1502)&amp;"."&amp;IF(J1502&lt;=K1502,J1502,IF(J1502=K1502+1,200,IF(J1502=K1502+2,201,250)))&amp;".1",""))</f>
        <v/>
      </c>
      <c r="F1502" s="0" t="str">
        <f aca="false">IF(I1502="","",IF(AND(J1502&gt;=1,J1502&lt;=K1502+3),"10."&amp;INDEX(Eingabe!$D$9:$D$18,I1502)&amp;"."&amp;IF(J1502&lt;=K1502,J1502,IF(J1502=K1502+1,200,IF(J1502=K1502+2,201,250)))&amp;".10 – 10."&amp;INDEX(Eingabe!$D$9:$D$18,I1502)&amp;"."&amp;IF(J1502&lt;=K1502,J1502,IF(J1502=K1502+1,200,IF(J1502=K1502+2,201,250)))&amp;".250",""))</f>
        <v/>
      </c>
      <c r="G1502" s="0" t="str">
        <f aca="false">IF(I1502="","",IF(AND(J1502&gt;=1,J1502&lt;=K1502),Eingabe!$B$6&amp;"-"&amp;INDEX(Eingabe!$C$9:$C$18,I1502)&amp;"-Pächter  ·  Passwort Parzelle "&amp;J1502,IF(J1502=K1502+1,Eingabe!$B$6&amp;"-"&amp;INDEX(Eingabe!$C$9:$C$18,I1502)&amp;"-Vorstand  ·  eigenes WLAN",IF(J1502=K1502+2,Eingabe!$B$6&amp;"-"&amp;INDEX(Eingabe!$C$9:$C$18,I1502)&amp;"-Gäste  ·  Voucher",IF(J1502=K1502+3,"Kabel  ·  Access Point y = .(50+y), Mast-Switch x = .(10+x)","")))))</f>
        <v/>
      </c>
      <c r="I1502" s="0" t="str">
        <f aca="false">IF(1497&lt;=(Eingabe!$P$18+Eingabe!$Q$18-1),MATCH(1497,Eingabe!$P$9:$P$18,1),"")</f>
        <v/>
      </c>
      <c r="J1502" s="0" t="str">
        <f aca="false">IF(I1502="","",1497-INDEX(Eingabe!$P$9:$P$18,I1502))</f>
        <v/>
      </c>
      <c r="K1502" s="0" t="str">
        <f aca="false">IF(I1502="","",INDEX(Eingabe!$E$9:$E$18,I1502))</f>
        <v/>
      </c>
    </row>
    <row r="1503" customFormat="false" ht="15" hidden="false" customHeight="false" outlineLevel="0" collapsed="false">
      <c r="A1503" s="0" t="str">
        <f aca="false">IF(I1503="","",IF(J1503=0,"Sparte "&amp;I1503&amp;": "&amp;INDEX(Eingabe!$B$9:$B$18,I1503)&amp;"  (Sparten-ID "&amp;INDEX(Eingabe!$D$9:$D$18,I1503)&amp;", "&amp;K1503&amp;" Parzellen)",IF(J1503&lt;=K1503,"   Parzelle "&amp;J1503,IF(J1503=K1503+1,"   Vorstand",IF(J1503=K1503+2,"   Gäste",IF(J1503=K1503+3,"   Technik (Switches, Access Points)",""))))))</f>
        <v/>
      </c>
      <c r="B1503" s="0" t="str">
        <f aca="false">IF(I1503="","",IF(AND(J1503&gt;=1,J1503&lt;=K1503+3),IF(J1503&lt;=K1503,IF(J1503&lt;=99,IF((INDEX(Eingabe!$G$9:$G$18,I1503))&lt;=9,1000+(INDEX(Eingabe!$G$9:$G$18,I1503))*100,3000)+J1503,IF((INDEX(Eingabe!$G$9:$G$18,I1503)+1)&lt;=9,1000+(INDEX(Eingabe!$G$9:$G$18,I1503)+1)*100,3000)+J1503-100),IF(J1503=K1503+1,2000+INDEX(Eingabe!$G$9:$G$18,I1503)*10+1,IF(J1503=K1503+2,2000+INDEX(Eingabe!$G$9:$G$18,I1503)*10+2,2000+INDEX(Eingabe!$G$9:$G$18,I1503)*10+9))),""))</f>
        <v/>
      </c>
      <c r="C1503" s="0" t="str">
        <f aca="false">IF(I1503="","",IF(AND(J1503&gt;=1,J1503&lt;=K1503+3),"10."&amp;INDEX(Eingabe!$D$9:$D$18,I1503)&amp;"."&amp;IF(J1503&lt;=K1503,J1503,IF(J1503=K1503+1,200,IF(J1503=K1503+2,201,250)))&amp;".0/24",""))</f>
        <v/>
      </c>
      <c r="D1503" s="0" t="str">
        <f aca="false">IF(I1503="","",IF(AND(J1503&gt;=1,J1503&lt;=K1503+3),"255.255.255.0",""))</f>
        <v/>
      </c>
      <c r="E1503" s="0" t="str">
        <f aca="false">IF(I1503="","",IF(AND(J1503&gt;=1,J1503&lt;=K1503+3),"10."&amp;INDEX(Eingabe!$D$9:$D$18,I1503)&amp;"."&amp;IF(J1503&lt;=K1503,J1503,IF(J1503=K1503+1,200,IF(J1503=K1503+2,201,250)))&amp;".1",""))</f>
        <v/>
      </c>
      <c r="F1503" s="0" t="str">
        <f aca="false">IF(I1503="","",IF(AND(J1503&gt;=1,J1503&lt;=K1503+3),"10."&amp;INDEX(Eingabe!$D$9:$D$18,I1503)&amp;"."&amp;IF(J1503&lt;=K1503,J1503,IF(J1503=K1503+1,200,IF(J1503=K1503+2,201,250)))&amp;".10 – 10."&amp;INDEX(Eingabe!$D$9:$D$18,I1503)&amp;"."&amp;IF(J1503&lt;=K1503,J1503,IF(J1503=K1503+1,200,IF(J1503=K1503+2,201,250)))&amp;".250",""))</f>
        <v/>
      </c>
      <c r="G1503" s="0" t="str">
        <f aca="false">IF(I1503="","",IF(AND(J1503&gt;=1,J1503&lt;=K1503),Eingabe!$B$6&amp;"-"&amp;INDEX(Eingabe!$C$9:$C$18,I1503)&amp;"-Pächter  ·  Passwort Parzelle "&amp;J1503,IF(J1503=K1503+1,Eingabe!$B$6&amp;"-"&amp;INDEX(Eingabe!$C$9:$C$18,I1503)&amp;"-Vorstand  ·  eigenes WLAN",IF(J1503=K1503+2,Eingabe!$B$6&amp;"-"&amp;INDEX(Eingabe!$C$9:$C$18,I1503)&amp;"-Gäste  ·  Voucher",IF(J1503=K1503+3,"Kabel  ·  Access Point y = .(50+y), Mast-Switch x = .(10+x)","")))))</f>
        <v/>
      </c>
      <c r="I1503" s="0" t="str">
        <f aca="false">IF(1498&lt;=(Eingabe!$P$18+Eingabe!$Q$18-1),MATCH(1498,Eingabe!$P$9:$P$18,1),"")</f>
        <v/>
      </c>
      <c r="J1503" s="0" t="str">
        <f aca="false">IF(I1503="","",1498-INDEX(Eingabe!$P$9:$P$18,I1503))</f>
        <v/>
      </c>
      <c r="K1503" s="0" t="str">
        <f aca="false">IF(I1503="","",INDEX(Eingabe!$E$9:$E$18,I1503))</f>
        <v/>
      </c>
    </row>
    <row r="1504" customFormat="false" ht="15" hidden="false" customHeight="false" outlineLevel="0" collapsed="false">
      <c r="A1504" s="0" t="str">
        <f aca="false">IF(I1504="","",IF(J1504=0,"Sparte "&amp;I1504&amp;": "&amp;INDEX(Eingabe!$B$9:$B$18,I1504)&amp;"  (Sparten-ID "&amp;INDEX(Eingabe!$D$9:$D$18,I1504)&amp;", "&amp;K1504&amp;" Parzellen)",IF(J1504&lt;=K1504,"   Parzelle "&amp;J1504,IF(J1504=K1504+1,"   Vorstand",IF(J1504=K1504+2,"   Gäste",IF(J1504=K1504+3,"   Technik (Switches, Access Points)",""))))))</f>
        <v/>
      </c>
      <c r="B1504" s="0" t="str">
        <f aca="false">IF(I1504="","",IF(AND(J1504&gt;=1,J1504&lt;=K1504+3),IF(J1504&lt;=K1504,IF(J1504&lt;=99,IF((INDEX(Eingabe!$G$9:$G$18,I1504))&lt;=9,1000+(INDEX(Eingabe!$G$9:$G$18,I1504))*100,3000)+J1504,IF((INDEX(Eingabe!$G$9:$G$18,I1504)+1)&lt;=9,1000+(INDEX(Eingabe!$G$9:$G$18,I1504)+1)*100,3000)+J1504-100),IF(J1504=K1504+1,2000+INDEX(Eingabe!$G$9:$G$18,I1504)*10+1,IF(J1504=K1504+2,2000+INDEX(Eingabe!$G$9:$G$18,I1504)*10+2,2000+INDEX(Eingabe!$G$9:$G$18,I1504)*10+9))),""))</f>
        <v/>
      </c>
      <c r="C1504" s="0" t="str">
        <f aca="false">IF(I1504="","",IF(AND(J1504&gt;=1,J1504&lt;=K1504+3),"10."&amp;INDEX(Eingabe!$D$9:$D$18,I1504)&amp;"."&amp;IF(J1504&lt;=K1504,J1504,IF(J1504=K1504+1,200,IF(J1504=K1504+2,201,250)))&amp;".0/24",""))</f>
        <v/>
      </c>
      <c r="D1504" s="0" t="str">
        <f aca="false">IF(I1504="","",IF(AND(J1504&gt;=1,J1504&lt;=K1504+3),"255.255.255.0",""))</f>
        <v/>
      </c>
      <c r="E1504" s="0" t="str">
        <f aca="false">IF(I1504="","",IF(AND(J1504&gt;=1,J1504&lt;=K1504+3),"10."&amp;INDEX(Eingabe!$D$9:$D$18,I1504)&amp;"."&amp;IF(J1504&lt;=K1504,J1504,IF(J1504=K1504+1,200,IF(J1504=K1504+2,201,250)))&amp;".1",""))</f>
        <v/>
      </c>
      <c r="F1504" s="0" t="str">
        <f aca="false">IF(I1504="","",IF(AND(J1504&gt;=1,J1504&lt;=K1504+3),"10."&amp;INDEX(Eingabe!$D$9:$D$18,I1504)&amp;"."&amp;IF(J1504&lt;=K1504,J1504,IF(J1504=K1504+1,200,IF(J1504=K1504+2,201,250)))&amp;".10 – 10."&amp;INDEX(Eingabe!$D$9:$D$18,I1504)&amp;"."&amp;IF(J1504&lt;=K1504,J1504,IF(J1504=K1504+1,200,IF(J1504=K1504+2,201,250)))&amp;".250",""))</f>
        <v/>
      </c>
      <c r="G1504" s="0" t="str">
        <f aca="false">IF(I1504="","",IF(AND(J1504&gt;=1,J1504&lt;=K1504),Eingabe!$B$6&amp;"-"&amp;INDEX(Eingabe!$C$9:$C$18,I1504)&amp;"-Pächter  ·  Passwort Parzelle "&amp;J1504,IF(J1504=K1504+1,Eingabe!$B$6&amp;"-"&amp;INDEX(Eingabe!$C$9:$C$18,I1504)&amp;"-Vorstand  ·  eigenes WLAN",IF(J1504=K1504+2,Eingabe!$B$6&amp;"-"&amp;INDEX(Eingabe!$C$9:$C$18,I1504)&amp;"-Gäste  ·  Voucher",IF(J1504=K1504+3,"Kabel  ·  Access Point y = .(50+y), Mast-Switch x = .(10+x)","")))))</f>
        <v/>
      </c>
      <c r="I1504" s="0" t="str">
        <f aca="false">IF(1499&lt;=(Eingabe!$P$18+Eingabe!$Q$18-1),MATCH(1499,Eingabe!$P$9:$P$18,1),"")</f>
        <v/>
      </c>
      <c r="J1504" s="0" t="str">
        <f aca="false">IF(I1504="","",1499-INDEX(Eingabe!$P$9:$P$18,I1504))</f>
        <v/>
      </c>
      <c r="K1504" s="0" t="str">
        <f aca="false">IF(I1504="","",INDEX(Eingabe!$E$9:$E$18,I1504))</f>
        <v/>
      </c>
    </row>
    <row r="1505" customFormat="false" ht="15" hidden="false" customHeight="false" outlineLevel="0" collapsed="false">
      <c r="A1505" s="0" t="str">
        <f aca="false">IF(I1505="","",IF(J1505=0,"Sparte "&amp;I1505&amp;": "&amp;INDEX(Eingabe!$B$9:$B$18,I1505)&amp;"  (Sparten-ID "&amp;INDEX(Eingabe!$D$9:$D$18,I1505)&amp;", "&amp;K1505&amp;" Parzellen)",IF(J1505&lt;=K1505,"   Parzelle "&amp;J1505,IF(J1505=K1505+1,"   Vorstand",IF(J1505=K1505+2,"   Gäste",IF(J1505=K1505+3,"   Technik (Switches, Access Points)",""))))))</f>
        <v/>
      </c>
      <c r="B1505" s="0" t="str">
        <f aca="false">IF(I1505="","",IF(AND(J1505&gt;=1,J1505&lt;=K1505+3),IF(J1505&lt;=K1505,IF(J1505&lt;=99,IF((INDEX(Eingabe!$G$9:$G$18,I1505))&lt;=9,1000+(INDEX(Eingabe!$G$9:$G$18,I1505))*100,3000)+J1505,IF((INDEX(Eingabe!$G$9:$G$18,I1505)+1)&lt;=9,1000+(INDEX(Eingabe!$G$9:$G$18,I1505)+1)*100,3000)+J1505-100),IF(J1505=K1505+1,2000+INDEX(Eingabe!$G$9:$G$18,I1505)*10+1,IF(J1505=K1505+2,2000+INDEX(Eingabe!$G$9:$G$18,I1505)*10+2,2000+INDEX(Eingabe!$G$9:$G$18,I1505)*10+9))),""))</f>
        <v/>
      </c>
      <c r="C1505" s="0" t="str">
        <f aca="false">IF(I1505="","",IF(AND(J1505&gt;=1,J1505&lt;=K1505+3),"10."&amp;INDEX(Eingabe!$D$9:$D$18,I1505)&amp;"."&amp;IF(J1505&lt;=K1505,J1505,IF(J1505=K1505+1,200,IF(J1505=K1505+2,201,250)))&amp;".0/24",""))</f>
        <v/>
      </c>
      <c r="D1505" s="0" t="str">
        <f aca="false">IF(I1505="","",IF(AND(J1505&gt;=1,J1505&lt;=K1505+3),"255.255.255.0",""))</f>
        <v/>
      </c>
      <c r="E1505" s="0" t="str">
        <f aca="false">IF(I1505="","",IF(AND(J1505&gt;=1,J1505&lt;=K1505+3),"10."&amp;INDEX(Eingabe!$D$9:$D$18,I1505)&amp;"."&amp;IF(J1505&lt;=K1505,J1505,IF(J1505=K1505+1,200,IF(J1505=K1505+2,201,250)))&amp;".1",""))</f>
        <v/>
      </c>
      <c r="F1505" s="0" t="str">
        <f aca="false">IF(I1505="","",IF(AND(J1505&gt;=1,J1505&lt;=K1505+3),"10."&amp;INDEX(Eingabe!$D$9:$D$18,I1505)&amp;"."&amp;IF(J1505&lt;=K1505,J1505,IF(J1505=K1505+1,200,IF(J1505=K1505+2,201,250)))&amp;".10 – 10."&amp;INDEX(Eingabe!$D$9:$D$18,I1505)&amp;"."&amp;IF(J1505&lt;=K1505,J1505,IF(J1505=K1505+1,200,IF(J1505=K1505+2,201,250)))&amp;".250",""))</f>
        <v/>
      </c>
      <c r="G1505" s="0" t="str">
        <f aca="false">IF(I1505="","",IF(AND(J1505&gt;=1,J1505&lt;=K1505),Eingabe!$B$6&amp;"-"&amp;INDEX(Eingabe!$C$9:$C$18,I1505)&amp;"-Pächter  ·  Passwort Parzelle "&amp;J1505,IF(J1505=K1505+1,Eingabe!$B$6&amp;"-"&amp;INDEX(Eingabe!$C$9:$C$18,I1505)&amp;"-Vorstand  ·  eigenes WLAN",IF(J1505=K1505+2,Eingabe!$B$6&amp;"-"&amp;INDEX(Eingabe!$C$9:$C$18,I1505)&amp;"-Gäste  ·  Voucher",IF(J1505=K1505+3,"Kabel  ·  Access Point y = .(50+y), Mast-Switch x = .(10+x)","")))))</f>
        <v/>
      </c>
      <c r="I1505" s="0" t="str">
        <f aca="false">IF(1500&lt;=(Eingabe!$P$18+Eingabe!$Q$18-1),MATCH(1500,Eingabe!$P$9:$P$18,1),"")</f>
        <v/>
      </c>
      <c r="J1505" s="0" t="str">
        <f aca="false">IF(I1505="","",1500-INDEX(Eingabe!$P$9:$P$18,I1505))</f>
        <v/>
      </c>
      <c r="K1505" s="0" t="str">
        <f aca="false">IF(I1505="","",INDEX(Eingabe!$E$9:$E$18,I1505))</f>
        <v/>
      </c>
    </row>
    <row r="1506" customFormat="false" ht="15" hidden="false" customHeight="false" outlineLevel="0" collapsed="false">
      <c r="A1506" s="0" t="str">
        <f aca="false">IF(I1506="","",IF(J1506=0,"Sparte "&amp;I1506&amp;": "&amp;INDEX(Eingabe!$B$9:$B$18,I1506)&amp;"  (Sparten-ID "&amp;INDEX(Eingabe!$D$9:$D$18,I1506)&amp;", "&amp;K1506&amp;" Parzellen)",IF(J1506&lt;=K1506,"   Parzelle "&amp;J1506,IF(J1506=K1506+1,"   Vorstand",IF(J1506=K1506+2,"   Gäste",IF(J1506=K1506+3,"   Technik (Switches, Access Points)",""))))))</f>
        <v/>
      </c>
      <c r="B1506" s="0" t="str">
        <f aca="false">IF(I1506="","",IF(AND(J1506&gt;=1,J1506&lt;=K1506+3),IF(J1506&lt;=K1506,IF(J1506&lt;=99,IF((INDEX(Eingabe!$G$9:$G$18,I1506))&lt;=9,1000+(INDEX(Eingabe!$G$9:$G$18,I1506))*100,3000)+J1506,IF((INDEX(Eingabe!$G$9:$G$18,I1506)+1)&lt;=9,1000+(INDEX(Eingabe!$G$9:$G$18,I1506)+1)*100,3000)+J1506-100),IF(J1506=K1506+1,2000+INDEX(Eingabe!$G$9:$G$18,I1506)*10+1,IF(J1506=K1506+2,2000+INDEX(Eingabe!$G$9:$G$18,I1506)*10+2,2000+INDEX(Eingabe!$G$9:$G$18,I1506)*10+9))),""))</f>
        <v/>
      </c>
      <c r="C1506" s="0" t="str">
        <f aca="false">IF(I1506="","",IF(AND(J1506&gt;=1,J1506&lt;=K1506+3),"10."&amp;INDEX(Eingabe!$D$9:$D$18,I1506)&amp;"."&amp;IF(J1506&lt;=K1506,J1506,IF(J1506=K1506+1,200,IF(J1506=K1506+2,201,250)))&amp;".0/24",""))</f>
        <v/>
      </c>
      <c r="D1506" s="0" t="str">
        <f aca="false">IF(I1506="","",IF(AND(J1506&gt;=1,J1506&lt;=K1506+3),"255.255.255.0",""))</f>
        <v/>
      </c>
      <c r="E1506" s="0" t="str">
        <f aca="false">IF(I1506="","",IF(AND(J1506&gt;=1,J1506&lt;=K1506+3),"10."&amp;INDEX(Eingabe!$D$9:$D$18,I1506)&amp;"."&amp;IF(J1506&lt;=K1506,J1506,IF(J1506=K1506+1,200,IF(J1506=K1506+2,201,250)))&amp;".1",""))</f>
        <v/>
      </c>
      <c r="F1506" s="0" t="str">
        <f aca="false">IF(I1506="","",IF(AND(J1506&gt;=1,J1506&lt;=K1506+3),"10."&amp;INDEX(Eingabe!$D$9:$D$18,I1506)&amp;"."&amp;IF(J1506&lt;=K1506,J1506,IF(J1506=K1506+1,200,IF(J1506=K1506+2,201,250)))&amp;".10 – 10."&amp;INDEX(Eingabe!$D$9:$D$18,I1506)&amp;"."&amp;IF(J1506&lt;=K1506,J1506,IF(J1506=K1506+1,200,IF(J1506=K1506+2,201,250)))&amp;".250",""))</f>
        <v/>
      </c>
      <c r="G1506" s="0" t="str">
        <f aca="false">IF(I1506="","",IF(AND(J1506&gt;=1,J1506&lt;=K1506),Eingabe!$B$6&amp;"-"&amp;INDEX(Eingabe!$C$9:$C$18,I1506)&amp;"-Pächter  ·  Passwort Parzelle "&amp;J1506,IF(J1506=K1506+1,Eingabe!$B$6&amp;"-"&amp;INDEX(Eingabe!$C$9:$C$18,I1506)&amp;"-Vorstand  ·  eigenes WLAN",IF(J1506=K1506+2,Eingabe!$B$6&amp;"-"&amp;INDEX(Eingabe!$C$9:$C$18,I1506)&amp;"-Gäste  ·  Voucher",IF(J1506=K1506+3,"Kabel  ·  Access Point y = .(50+y), Mast-Switch x = .(10+x)","")))))</f>
        <v/>
      </c>
      <c r="I1506" s="0" t="str">
        <f aca="false">IF(1501&lt;=(Eingabe!$P$18+Eingabe!$Q$18-1),MATCH(1501,Eingabe!$P$9:$P$18,1),"")</f>
        <v/>
      </c>
      <c r="J1506" s="0" t="str">
        <f aca="false">IF(I1506="","",1501-INDEX(Eingabe!$P$9:$P$18,I1506))</f>
        <v/>
      </c>
      <c r="K1506" s="0" t="str">
        <f aca="false">IF(I1506="","",INDEX(Eingabe!$E$9:$E$18,I1506))</f>
        <v/>
      </c>
    </row>
    <row r="1507" customFormat="false" ht="15" hidden="false" customHeight="false" outlineLevel="0" collapsed="false">
      <c r="A1507" s="0" t="str">
        <f aca="false">IF(I1507="","",IF(J1507=0,"Sparte "&amp;I1507&amp;": "&amp;INDEX(Eingabe!$B$9:$B$18,I1507)&amp;"  (Sparten-ID "&amp;INDEX(Eingabe!$D$9:$D$18,I1507)&amp;", "&amp;K1507&amp;" Parzellen)",IF(J1507&lt;=K1507,"   Parzelle "&amp;J1507,IF(J1507=K1507+1,"   Vorstand",IF(J1507=K1507+2,"   Gäste",IF(J1507=K1507+3,"   Technik (Switches, Access Points)",""))))))</f>
        <v/>
      </c>
      <c r="B1507" s="0" t="str">
        <f aca="false">IF(I1507="","",IF(AND(J1507&gt;=1,J1507&lt;=K1507+3),IF(J1507&lt;=K1507,IF(J1507&lt;=99,IF((INDEX(Eingabe!$G$9:$G$18,I1507))&lt;=9,1000+(INDEX(Eingabe!$G$9:$G$18,I1507))*100,3000)+J1507,IF((INDEX(Eingabe!$G$9:$G$18,I1507)+1)&lt;=9,1000+(INDEX(Eingabe!$G$9:$G$18,I1507)+1)*100,3000)+J1507-100),IF(J1507=K1507+1,2000+INDEX(Eingabe!$G$9:$G$18,I1507)*10+1,IF(J1507=K1507+2,2000+INDEX(Eingabe!$G$9:$G$18,I1507)*10+2,2000+INDEX(Eingabe!$G$9:$G$18,I1507)*10+9))),""))</f>
        <v/>
      </c>
      <c r="C1507" s="0" t="str">
        <f aca="false">IF(I1507="","",IF(AND(J1507&gt;=1,J1507&lt;=K1507+3),"10."&amp;INDEX(Eingabe!$D$9:$D$18,I1507)&amp;"."&amp;IF(J1507&lt;=K1507,J1507,IF(J1507=K1507+1,200,IF(J1507=K1507+2,201,250)))&amp;".0/24",""))</f>
        <v/>
      </c>
      <c r="D1507" s="0" t="str">
        <f aca="false">IF(I1507="","",IF(AND(J1507&gt;=1,J1507&lt;=K1507+3),"255.255.255.0",""))</f>
        <v/>
      </c>
      <c r="E1507" s="0" t="str">
        <f aca="false">IF(I1507="","",IF(AND(J1507&gt;=1,J1507&lt;=K1507+3),"10."&amp;INDEX(Eingabe!$D$9:$D$18,I1507)&amp;"."&amp;IF(J1507&lt;=K1507,J1507,IF(J1507=K1507+1,200,IF(J1507=K1507+2,201,250)))&amp;".1",""))</f>
        <v/>
      </c>
      <c r="F1507" s="0" t="str">
        <f aca="false">IF(I1507="","",IF(AND(J1507&gt;=1,J1507&lt;=K1507+3),"10."&amp;INDEX(Eingabe!$D$9:$D$18,I1507)&amp;"."&amp;IF(J1507&lt;=K1507,J1507,IF(J1507=K1507+1,200,IF(J1507=K1507+2,201,250)))&amp;".10 – 10."&amp;INDEX(Eingabe!$D$9:$D$18,I1507)&amp;"."&amp;IF(J1507&lt;=K1507,J1507,IF(J1507=K1507+1,200,IF(J1507=K1507+2,201,250)))&amp;".250",""))</f>
        <v/>
      </c>
      <c r="G1507" s="0" t="str">
        <f aca="false">IF(I1507="","",IF(AND(J1507&gt;=1,J1507&lt;=K1507),Eingabe!$B$6&amp;"-"&amp;INDEX(Eingabe!$C$9:$C$18,I1507)&amp;"-Pächter  ·  Passwort Parzelle "&amp;J1507,IF(J1507=K1507+1,Eingabe!$B$6&amp;"-"&amp;INDEX(Eingabe!$C$9:$C$18,I1507)&amp;"-Vorstand  ·  eigenes WLAN",IF(J1507=K1507+2,Eingabe!$B$6&amp;"-"&amp;INDEX(Eingabe!$C$9:$C$18,I1507)&amp;"-Gäste  ·  Voucher",IF(J1507=K1507+3,"Kabel  ·  Access Point y = .(50+y), Mast-Switch x = .(10+x)","")))))</f>
        <v/>
      </c>
      <c r="I1507" s="0" t="str">
        <f aca="false">IF(1502&lt;=(Eingabe!$P$18+Eingabe!$Q$18-1),MATCH(1502,Eingabe!$P$9:$P$18,1),"")</f>
        <v/>
      </c>
      <c r="J1507" s="0" t="str">
        <f aca="false">IF(I1507="","",1502-INDEX(Eingabe!$P$9:$P$18,I1507))</f>
        <v/>
      </c>
      <c r="K1507" s="0" t="str">
        <f aca="false">IF(I1507="","",INDEX(Eingabe!$E$9:$E$18,I1507))</f>
        <v/>
      </c>
    </row>
    <row r="1508" customFormat="false" ht="15" hidden="false" customHeight="false" outlineLevel="0" collapsed="false">
      <c r="A1508" s="0" t="str">
        <f aca="false">IF(I1508="","",IF(J1508=0,"Sparte "&amp;I1508&amp;": "&amp;INDEX(Eingabe!$B$9:$B$18,I1508)&amp;"  (Sparten-ID "&amp;INDEX(Eingabe!$D$9:$D$18,I1508)&amp;", "&amp;K1508&amp;" Parzellen)",IF(J1508&lt;=K1508,"   Parzelle "&amp;J1508,IF(J1508=K1508+1,"   Vorstand",IF(J1508=K1508+2,"   Gäste",IF(J1508=K1508+3,"   Technik (Switches, Access Points)",""))))))</f>
        <v/>
      </c>
      <c r="B1508" s="0" t="str">
        <f aca="false">IF(I1508="","",IF(AND(J1508&gt;=1,J1508&lt;=K1508+3),IF(J1508&lt;=K1508,IF(J1508&lt;=99,IF((INDEX(Eingabe!$G$9:$G$18,I1508))&lt;=9,1000+(INDEX(Eingabe!$G$9:$G$18,I1508))*100,3000)+J1508,IF((INDEX(Eingabe!$G$9:$G$18,I1508)+1)&lt;=9,1000+(INDEX(Eingabe!$G$9:$G$18,I1508)+1)*100,3000)+J1508-100),IF(J1508=K1508+1,2000+INDEX(Eingabe!$G$9:$G$18,I1508)*10+1,IF(J1508=K1508+2,2000+INDEX(Eingabe!$G$9:$G$18,I1508)*10+2,2000+INDEX(Eingabe!$G$9:$G$18,I1508)*10+9))),""))</f>
        <v/>
      </c>
      <c r="C1508" s="0" t="str">
        <f aca="false">IF(I1508="","",IF(AND(J1508&gt;=1,J1508&lt;=K1508+3),"10."&amp;INDEX(Eingabe!$D$9:$D$18,I1508)&amp;"."&amp;IF(J1508&lt;=K1508,J1508,IF(J1508=K1508+1,200,IF(J1508=K1508+2,201,250)))&amp;".0/24",""))</f>
        <v/>
      </c>
      <c r="D1508" s="0" t="str">
        <f aca="false">IF(I1508="","",IF(AND(J1508&gt;=1,J1508&lt;=K1508+3),"255.255.255.0",""))</f>
        <v/>
      </c>
      <c r="E1508" s="0" t="str">
        <f aca="false">IF(I1508="","",IF(AND(J1508&gt;=1,J1508&lt;=K1508+3),"10."&amp;INDEX(Eingabe!$D$9:$D$18,I1508)&amp;"."&amp;IF(J1508&lt;=K1508,J1508,IF(J1508=K1508+1,200,IF(J1508=K1508+2,201,250)))&amp;".1",""))</f>
        <v/>
      </c>
      <c r="F1508" s="0" t="str">
        <f aca="false">IF(I1508="","",IF(AND(J1508&gt;=1,J1508&lt;=K1508+3),"10."&amp;INDEX(Eingabe!$D$9:$D$18,I1508)&amp;"."&amp;IF(J1508&lt;=K1508,J1508,IF(J1508=K1508+1,200,IF(J1508=K1508+2,201,250)))&amp;".10 – 10."&amp;INDEX(Eingabe!$D$9:$D$18,I1508)&amp;"."&amp;IF(J1508&lt;=K1508,J1508,IF(J1508=K1508+1,200,IF(J1508=K1508+2,201,250)))&amp;".250",""))</f>
        <v/>
      </c>
      <c r="G1508" s="0" t="str">
        <f aca="false">IF(I1508="","",IF(AND(J1508&gt;=1,J1508&lt;=K1508),Eingabe!$B$6&amp;"-"&amp;INDEX(Eingabe!$C$9:$C$18,I1508)&amp;"-Pächter  ·  Passwort Parzelle "&amp;J1508,IF(J1508=K1508+1,Eingabe!$B$6&amp;"-"&amp;INDEX(Eingabe!$C$9:$C$18,I1508)&amp;"-Vorstand  ·  eigenes WLAN",IF(J1508=K1508+2,Eingabe!$B$6&amp;"-"&amp;INDEX(Eingabe!$C$9:$C$18,I1508)&amp;"-Gäste  ·  Voucher",IF(J1508=K1508+3,"Kabel  ·  Access Point y = .(50+y), Mast-Switch x = .(10+x)","")))))</f>
        <v/>
      </c>
      <c r="I1508" s="0" t="str">
        <f aca="false">IF(1503&lt;=(Eingabe!$P$18+Eingabe!$Q$18-1),MATCH(1503,Eingabe!$P$9:$P$18,1),"")</f>
        <v/>
      </c>
      <c r="J1508" s="0" t="str">
        <f aca="false">IF(I1508="","",1503-INDEX(Eingabe!$P$9:$P$18,I1508))</f>
        <v/>
      </c>
      <c r="K1508" s="0" t="str">
        <f aca="false">IF(I1508="","",INDEX(Eingabe!$E$9:$E$18,I1508))</f>
        <v/>
      </c>
    </row>
    <row r="1509" customFormat="false" ht="15" hidden="false" customHeight="false" outlineLevel="0" collapsed="false">
      <c r="A1509" s="0" t="str">
        <f aca="false">IF(I1509="","",IF(J1509=0,"Sparte "&amp;I1509&amp;": "&amp;INDEX(Eingabe!$B$9:$B$18,I1509)&amp;"  (Sparten-ID "&amp;INDEX(Eingabe!$D$9:$D$18,I1509)&amp;", "&amp;K1509&amp;" Parzellen)",IF(J1509&lt;=K1509,"   Parzelle "&amp;J1509,IF(J1509=K1509+1,"   Vorstand",IF(J1509=K1509+2,"   Gäste",IF(J1509=K1509+3,"   Technik (Switches, Access Points)",""))))))</f>
        <v/>
      </c>
      <c r="B1509" s="0" t="str">
        <f aca="false">IF(I1509="","",IF(AND(J1509&gt;=1,J1509&lt;=K1509+3),IF(J1509&lt;=K1509,IF(J1509&lt;=99,IF((INDEX(Eingabe!$G$9:$G$18,I1509))&lt;=9,1000+(INDEX(Eingabe!$G$9:$G$18,I1509))*100,3000)+J1509,IF((INDEX(Eingabe!$G$9:$G$18,I1509)+1)&lt;=9,1000+(INDEX(Eingabe!$G$9:$G$18,I1509)+1)*100,3000)+J1509-100),IF(J1509=K1509+1,2000+INDEX(Eingabe!$G$9:$G$18,I1509)*10+1,IF(J1509=K1509+2,2000+INDEX(Eingabe!$G$9:$G$18,I1509)*10+2,2000+INDEX(Eingabe!$G$9:$G$18,I1509)*10+9))),""))</f>
        <v/>
      </c>
      <c r="C1509" s="0" t="str">
        <f aca="false">IF(I1509="","",IF(AND(J1509&gt;=1,J1509&lt;=K1509+3),"10."&amp;INDEX(Eingabe!$D$9:$D$18,I1509)&amp;"."&amp;IF(J1509&lt;=K1509,J1509,IF(J1509=K1509+1,200,IF(J1509=K1509+2,201,250)))&amp;".0/24",""))</f>
        <v/>
      </c>
      <c r="D1509" s="0" t="str">
        <f aca="false">IF(I1509="","",IF(AND(J1509&gt;=1,J1509&lt;=K1509+3),"255.255.255.0",""))</f>
        <v/>
      </c>
      <c r="E1509" s="0" t="str">
        <f aca="false">IF(I1509="","",IF(AND(J1509&gt;=1,J1509&lt;=K1509+3),"10."&amp;INDEX(Eingabe!$D$9:$D$18,I1509)&amp;"."&amp;IF(J1509&lt;=K1509,J1509,IF(J1509=K1509+1,200,IF(J1509=K1509+2,201,250)))&amp;".1",""))</f>
        <v/>
      </c>
      <c r="F1509" s="0" t="str">
        <f aca="false">IF(I1509="","",IF(AND(J1509&gt;=1,J1509&lt;=K1509+3),"10."&amp;INDEX(Eingabe!$D$9:$D$18,I1509)&amp;"."&amp;IF(J1509&lt;=K1509,J1509,IF(J1509=K1509+1,200,IF(J1509=K1509+2,201,250)))&amp;".10 – 10."&amp;INDEX(Eingabe!$D$9:$D$18,I1509)&amp;"."&amp;IF(J1509&lt;=K1509,J1509,IF(J1509=K1509+1,200,IF(J1509=K1509+2,201,250)))&amp;".250",""))</f>
        <v/>
      </c>
      <c r="G1509" s="0" t="str">
        <f aca="false">IF(I1509="","",IF(AND(J1509&gt;=1,J1509&lt;=K1509),Eingabe!$B$6&amp;"-"&amp;INDEX(Eingabe!$C$9:$C$18,I1509)&amp;"-Pächter  ·  Passwort Parzelle "&amp;J1509,IF(J1509=K1509+1,Eingabe!$B$6&amp;"-"&amp;INDEX(Eingabe!$C$9:$C$18,I1509)&amp;"-Vorstand  ·  eigenes WLAN",IF(J1509=K1509+2,Eingabe!$B$6&amp;"-"&amp;INDEX(Eingabe!$C$9:$C$18,I1509)&amp;"-Gäste  ·  Voucher",IF(J1509=K1509+3,"Kabel  ·  Access Point y = .(50+y), Mast-Switch x = .(10+x)","")))))</f>
        <v/>
      </c>
      <c r="I1509" s="0" t="str">
        <f aca="false">IF(1504&lt;=(Eingabe!$P$18+Eingabe!$Q$18-1),MATCH(1504,Eingabe!$P$9:$P$18,1),"")</f>
        <v/>
      </c>
      <c r="J1509" s="0" t="str">
        <f aca="false">IF(I1509="","",1504-INDEX(Eingabe!$P$9:$P$18,I1509))</f>
        <v/>
      </c>
      <c r="K1509" s="0" t="str">
        <f aca="false">IF(I1509="","",INDEX(Eingabe!$E$9:$E$18,I1509))</f>
        <v/>
      </c>
    </row>
    <row r="1510" customFormat="false" ht="15" hidden="false" customHeight="false" outlineLevel="0" collapsed="false">
      <c r="A1510" s="0" t="str">
        <f aca="false">IF(I1510="","",IF(J1510=0,"Sparte "&amp;I1510&amp;": "&amp;INDEX(Eingabe!$B$9:$B$18,I1510)&amp;"  (Sparten-ID "&amp;INDEX(Eingabe!$D$9:$D$18,I1510)&amp;", "&amp;K1510&amp;" Parzellen)",IF(J1510&lt;=K1510,"   Parzelle "&amp;J1510,IF(J1510=K1510+1,"   Vorstand",IF(J1510=K1510+2,"   Gäste",IF(J1510=K1510+3,"   Technik (Switches, Access Points)",""))))))</f>
        <v/>
      </c>
      <c r="B1510" s="0" t="str">
        <f aca="false">IF(I1510="","",IF(AND(J1510&gt;=1,J1510&lt;=K1510+3),IF(J1510&lt;=K1510,IF(J1510&lt;=99,IF((INDEX(Eingabe!$G$9:$G$18,I1510))&lt;=9,1000+(INDEX(Eingabe!$G$9:$G$18,I1510))*100,3000)+J1510,IF((INDEX(Eingabe!$G$9:$G$18,I1510)+1)&lt;=9,1000+(INDEX(Eingabe!$G$9:$G$18,I1510)+1)*100,3000)+J1510-100),IF(J1510=K1510+1,2000+INDEX(Eingabe!$G$9:$G$18,I1510)*10+1,IF(J1510=K1510+2,2000+INDEX(Eingabe!$G$9:$G$18,I1510)*10+2,2000+INDEX(Eingabe!$G$9:$G$18,I1510)*10+9))),""))</f>
        <v/>
      </c>
      <c r="C1510" s="0" t="str">
        <f aca="false">IF(I1510="","",IF(AND(J1510&gt;=1,J1510&lt;=K1510+3),"10."&amp;INDEX(Eingabe!$D$9:$D$18,I1510)&amp;"."&amp;IF(J1510&lt;=K1510,J1510,IF(J1510=K1510+1,200,IF(J1510=K1510+2,201,250)))&amp;".0/24",""))</f>
        <v/>
      </c>
      <c r="D1510" s="0" t="str">
        <f aca="false">IF(I1510="","",IF(AND(J1510&gt;=1,J1510&lt;=K1510+3),"255.255.255.0",""))</f>
        <v/>
      </c>
      <c r="E1510" s="0" t="str">
        <f aca="false">IF(I1510="","",IF(AND(J1510&gt;=1,J1510&lt;=K1510+3),"10."&amp;INDEX(Eingabe!$D$9:$D$18,I1510)&amp;"."&amp;IF(J1510&lt;=K1510,J1510,IF(J1510=K1510+1,200,IF(J1510=K1510+2,201,250)))&amp;".1",""))</f>
        <v/>
      </c>
      <c r="F1510" s="0" t="str">
        <f aca="false">IF(I1510="","",IF(AND(J1510&gt;=1,J1510&lt;=K1510+3),"10."&amp;INDEX(Eingabe!$D$9:$D$18,I1510)&amp;"."&amp;IF(J1510&lt;=K1510,J1510,IF(J1510=K1510+1,200,IF(J1510=K1510+2,201,250)))&amp;".10 – 10."&amp;INDEX(Eingabe!$D$9:$D$18,I1510)&amp;"."&amp;IF(J1510&lt;=K1510,J1510,IF(J1510=K1510+1,200,IF(J1510=K1510+2,201,250)))&amp;".250",""))</f>
        <v/>
      </c>
      <c r="G1510" s="0" t="str">
        <f aca="false">IF(I1510="","",IF(AND(J1510&gt;=1,J1510&lt;=K1510),Eingabe!$B$6&amp;"-"&amp;INDEX(Eingabe!$C$9:$C$18,I1510)&amp;"-Pächter  ·  Passwort Parzelle "&amp;J1510,IF(J1510=K1510+1,Eingabe!$B$6&amp;"-"&amp;INDEX(Eingabe!$C$9:$C$18,I1510)&amp;"-Vorstand  ·  eigenes WLAN",IF(J1510=K1510+2,Eingabe!$B$6&amp;"-"&amp;INDEX(Eingabe!$C$9:$C$18,I1510)&amp;"-Gäste  ·  Voucher",IF(J1510=K1510+3,"Kabel  ·  Access Point y = .(50+y), Mast-Switch x = .(10+x)","")))))</f>
        <v/>
      </c>
      <c r="I1510" s="0" t="str">
        <f aca="false">IF(1505&lt;=(Eingabe!$P$18+Eingabe!$Q$18-1),MATCH(1505,Eingabe!$P$9:$P$18,1),"")</f>
        <v/>
      </c>
      <c r="J1510" s="0" t="str">
        <f aca="false">IF(I1510="","",1505-INDEX(Eingabe!$P$9:$P$18,I1510))</f>
        <v/>
      </c>
      <c r="K1510" s="0" t="str">
        <f aca="false">IF(I1510="","",INDEX(Eingabe!$E$9:$E$18,I1510))</f>
        <v/>
      </c>
    </row>
    <row r="1511" customFormat="false" ht="15" hidden="false" customHeight="false" outlineLevel="0" collapsed="false">
      <c r="A1511" s="0" t="str">
        <f aca="false">IF(I1511="","",IF(J1511=0,"Sparte "&amp;I1511&amp;": "&amp;INDEX(Eingabe!$B$9:$B$18,I1511)&amp;"  (Sparten-ID "&amp;INDEX(Eingabe!$D$9:$D$18,I1511)&amp;", "&amp;K1511&amp;" Parzellen)",IF(J1511&lt;=K1511,"   Parzelle "&amp;J1511,IF(J1511=K1511+1,"   Vorstand",IF(J1511=K1511+2,"   Gäste",IF(J1511=K1511+3,"   Technik (Switches, Access Points)",""))))))</f>
        <v/>
      </c>
      <c r="B1511" s="0" t="str">
        <f aca="false">IF(I1511="","",IF(AND(J1511&gt;=1,J1511&lt;=K1511+3),IF(J1511&lt;=K1511,IF(J1511&lt;=99,IF((INDEX(Eingabe!$G$9:$G$18,I1511))&lt;=9,1000+(INDEX(Eingabe!$G$9:$G$18,I1511))*100,3000)+J1511,IF((INDEX(Eingabe!$G$9:$G$18,I1511)+1)&lt;=9,1000+(INDEX(Eingabe!$G$9:$G$18,I1511)+1)*100,3000)+J1511-100),IF(J1511=K1511+1,2000+INDEX(Eingabe!$G$9:$G$18,I1511)*10+1,IF(J1511=K1511+2,2000+INDEX(Eingabe!$G$9:$G$18,I1511)*10+2,2000+INDEX(Eingabe!$G$9:$G$18,I1511)*10+9))),""))</f>
        <v/>
      </c>
      <c r="C1511" s="0" t="str">
        <f aca="false">IF(I1511="","",IF(AND(J1511&gt;=1,J1511&lt;=K1511+3),"10."&amp;INDEX(Eingabe!$D$9:$D$18,I1511)&amp;"."&amp;IF(J1511&lt;=K1511,J1511,IF(J1511=K1511+1,200,IF(J1511=K1511+2,201,250)))&amp;".0/24",""))</f>
        <v/>
      </c>
      <c r="D1511" s="0" t="str">
        <f aca="false">IF(I1511="","",IF(AND(J1511&gt;=1,J1511&lt;=K1511+3),"255.255.255.0",""))</f>
        <v/>
      </c>
      <c r="E1511" s="0" t="str">
        <f aca="false">IF(I1511="","",IF(AND(J1511&gt;=1,J1511&lt;=K1511+3),"10."&amp;INDEX(Eingabe!$D$9:$D$18,I1511)&amp;"."&amp;IF(J1511&lt;=K1511,J1511,IF(J1511=K1511+1,200,IF(J1511=K1511+2,201,250)))&amp;".1",""))</f>
        <v/>
      </c>
      <c r="F1511" s="0" t="str">
        <f aca="false">IF(I1511="","",IF(AND(J1511&gt;=1,J1511&lt;=K1511+3),"10."&amp;INDEX(Eingabe!$D$9:$D$18,I1511)&amp;"."&amp;IF(J1511&lt;=K1511,J1511,IF(J1511=K1511+1,200,IF(J1511=K1511+2,201,250)))&amp;".10 – 10."&amp;INDEX(Eingabe!$D$9:$D$18,I1511)&amp;"."&amp;IF(J1511&lt;=K1511,J1511,IF(J1511=K1511+1,200,IF(J1511=K1511+2,201,250)))&amp;".250",""))</f>
        <v/>
      </c>
      <c r="G1511" s="0" t="str">
        <f aca="false">IF(I1511="","",IF(AND(J1511&gt;=1,J1511&lt;=K1511),Eingabe!$B$6&amp;"-"&amp;INDEX(Eingabe!$C$9:$C$18,I1511)&amp;"-Pächter  ·  Passwort Parzelle "&amp;J1511,IF(J1511=K1511+1,Eingabe!$B$6&amp;"-"&amp;INDEX(Eingabe!$C$9:$C$18,I1511)&amp;"-Vorstand  ·  eigenes WLAN",IF(J1511=K1511+2,Eingabe!$B$6&amp;"-"&amp;INDEX(Eingabe!$C$9:$C$18,I1511)&amp;"-Gäste  ·  Voucher",IF(J1511=K1511+3,"Kabel  ·  Access Point y = .(50+y), Mast-Switch x = .(10+x)","")))))</f>
        <v/>
      </c>
      <c r="I1511" s="0" t="str">
        <f aca="false">IF(1506&lt;=(Eingabe!$P$18+Eingabe!$Q$18-1),MATCH(1506,Eingabe!$P$9:$P$18,1),"")</f>
        <v/>
      </c>
      <c r="J1511" s="0" t="str">
        <f aca="false">IF(I1511="","",1506-INDEX(Eingabe!$P$9:$P$18,I1511))</f>
        <v/>
      </c>
      <c r="K1511" s="0" t="str">
        <f aca="false">IF(I1511="","",INDEX(Eingabe!$E$9:$E$18,I1511))</f>
        <v/>
      </c>
    </row>
    <row r="1512" customFormat="false" ht="15" hidden="false" customHeight="false" outlineLevel="0" collapsed="false">
      <c r="A1512" s="0" t="str">
        <f aca="false">IF(I1512="","",IF(J1512=0,"Sparte "&amp;I1512&amp;": "&amp;INDEX(Eingabe!$B$9:$B$18,I1512)&amp;"  (Sparten-ID "&amp;INDEX(Eingabe!$D$9:$D$18,I1512)&amp;", "&amp;K1512&amp;" Parzellen)",IF(J1512&lt;=K1512,"   Parzelle "&amp;J1512,IF(J1512=K1512+1,"   Vorstand",IF(J1512=K1512+2,"   Gäste",IF(J1512=K1512+3,"   Technik (Switches, Access Points)",""))))))</f>
        <v/>
      </c>
      <c r="B1512" s="0" t="str">
        <f aca="false">IF(I1512="","",IF(AND(J1512&gt;=1,J1512&lt;=K1512+3),IF(J1512&lt;=K1512,IF(J1512&lt;=99,IF((INDEX(Eingabe!$G$9:$G$18,I1512))&lt;=9,1000+(INDEX(Eingabe!$G$9:$G$18,I1512))*100,3000)+J1512,IF((INDEX(Eingabe!$G$9:$G$18,I1512)+1)&lt;=9,1000+(INDEX(Eingabe!$G$9:$G$18,I1512)+1)*100,3000)+J1512-100),IF(J1512=K1512+1,2000+INDEX(Eingabe!$G$9:$G$18,I1512)*10+1,IF(J1512=K1512+2,2000+INDEX(Eingabe!$G$9:$G$18,I1512)*10+2,2000+INDEX(Eingabe!$G$9:$G$18,I1512)*10+9))),""))</f>
        <v/>
      </c>
      <c r="C1512" s="0" t="str">
        <f aca="false">IF(I1512="","",IF(AND(J1512&gt;=1,J1512&lt;=K1512+3),"10."&amp;INDEX(Eingabe!$D$9:$D$18,I1512)&amp;"."&amp;IF(J1512&lt;=K1512,J1512,IF(J1512=K1512+1,200,IF(J1512=K1512+2,201,250)))&amp;".0/24",""))</f>
        <v/>
      </c>
      <c r="D1512" s="0" t="str">
        <f aca="false">IF(I1512="","",IF(AND(J1512&gt;=1,J1512&lt;=K1512+3),"255.255.255.0",""))</f>
        <v/>
      </c>
      <c r="E1512" s="0" t="str">
        <f aca="false">IF(I1512="","",IF(AND(J1512&gt;=1,J1512&lt;=K1512+3),"10."&amp;INDEX(Eingabe!$D$9:$D$18,I1512)&amp;"."&amp;IF(J1512&lt;=K1512,J1512,IF(J1512=K1512+1,200,IF(J1512=K1512+2,201,250)))&amp;".1",""))</f>
        <v/>
      </c>
      <c r="F1512" s="0" t="str">
        <f aca="false">IF(I1512="","",IF(AND(J1512&gt;=1,J1512&lt;=K1512+3),"10."&amp;INDEX(Eingabe!$D$9:$D$18,I1512)&amp;"."&amp;IF(J1512&lt;=K1512,J1512,IF(J1512=K1512+1,200,IF(J1512=K1512+2,201,250)))&amp;".10 – 10."&amp;INDEX(Eingabe!$D$9:$D$18,I1512)&amp;"."&amp;IF(J1512&lt;=K1512,J1512,IF(J1512=K1512+1,200,IF(J1512=K1512+2,201,250)))&amp;".250",""))</f>
        <v/>
      </c>
      <c r="G1512" s="0" t="str">
        <f aca="false">IF(I1512="","",IF(AND(J1512&gt;=1,J1512&lt;=K1512),Eingabe!$B$6&amp;"-"&amp;INDEX(Eingabe!$C$9:$C$18,I1512)&amp;"-Pächter  ·  Passwort Parzelle "&amp;J1512,IF(J1512=K1512+1,Eingabe!$B$6&amp;"-"&amp;INDEX(Eingabe!$C$9:$C$18,I1512)&amp;"-Vorstand  ·  eigenes WLAN",IF(J1512=K1512+2,Eingabe!$B$6&amp;"-"&amp;INDEX(Eingabe!$C$9:$C$18,I1512)&amp;"-Gäste  ·  Voucher",IF(J1512=K1512+3,"Kabel  ·  Access Point y = .(50+y), Mast-Switch x = .(10+x)","")))))</f>
        <v/>
      </c>
      <c r="I1512" s="0" t="str">
        <f aca="false">IF(1507&lt;=(Eingabe!$P$18+Eingabe!$Q$18-1),MATCH(1507,Eingabe!$P$9:$P$18,1),"")</f>
        <v/>
      </c>
      <c r="J1512" s="0" t="str">
        <f aca="false">IF(I1512="","",1507-INDEX(Eingabe!$P$9:$P$18,I1512))</f>
        <v/>
      </c>
      <c r="K1512" s="0" t="str">
        <f aca="false">IF(I1512="","",INDEX(Eingabe!$E$9:$E$18,I1512))</f>
        <v/>
      </c>
    </row>
    <row r="1513" customFormat="false" ht="15" hidden="false" customHeight="false" outlineLevel="0" collapsed="false">
      <c r="A1513" s="0" t="str">
        <f aca="false">IF(I1513="","",IF(J1513=0,"Sparte "&amp;I1513&amp;": "&amp;INDEX(Eingabe!$B$9:$B$18,I1513)&amp;"  (Sparten-ID "&amp;INDEX(Eingabe!$D$9:$D$18,I1513)&amp;", "&amp;K1513&amp;" Parzellen)",IF(J1513&lt;=K1513,"   Parzelle "&amp;J1513,IF(J1513=K1513+1,"   Vorstand",IF(J1513=K1513+2,"   Gäste",IF(J1513=K1513+3,"   Technik (Switches, Access Points)",""))))))</f>
        <v/>
      </c>
      <c r="B1513" s="0" t="str">
        <f aca="false">IF(I1513="","",IF(AND(J1513&gt;=1,J1513&lt;=K1513+3),IF(J1513&lt;=K1513,IF(J1513&lt;=99,IF((INDEX(Eingabe!$G$9:$G$18,I1513))&lt;=9,1000+(INDEX(Eingabe!$G$9:$G$18,I1513))*100,3000)+J1513,IF((INDEX(Eingabe!$G$9:$G$18,I1513)+1)&lt;=9,1000+(INDEX(Eingabe!$G$9:$G$18,I1513)+1)*100,3000)+J1513-100),IF(J1513=K1513+1,2000+INDEX(Eingabe!$G$9:$G$18,I1513)*10+1,IF(J1513=K1513+2,2000+INDEX(Eingabe!$G$9:$G$18,I1513)*10+2,2000+INDEX(Eingabe!$G$9:$G$18,I1513)*10+9))),""))</f>
        <v/>
      </c>
      <c r="C1513" s="0" t="str">
        <f aca="false">IF(I1513="","",IF(AND(J1513&gt;=1,J1513&lt;=K1513+3),"10."&amp;INDEX(Eingabe!$D$9:$D$18,I1513)&amp;"."&amp;IF(J1513&lt;=K1513,J1513,IF(J1513=K1513+1,200,IF(J1513=K1513+2,201,250)))&amp;".0/24",""))</f>
        <v/>
      </c>
      <c r="D1513" s="0" t="str">
        <f aca="false">IF(I1513="","",IF(AND(J1513&gt;=1,J1513&lt;=K1513+3),"255.255.255.0",""))</f>
        <v/>
      </c>
      <c r="E1513" s="0" t="str">
        <f aca="false">IF(I1513="","",IF(AND(J1513&gt;=1,J1513&lt;=K1513+3),"10."&amp;INDEX(Eingabe!$D$9:$D$18,I1513)&amp;"."&amp;IF(J1513&lt;=K1513,J1513,IF(J1513=K1513+1,200,IF(J1513=K1513+2,201,250)))&amp;".1",""))</f>
        <v/>
      </c>
      <c r="F1513" s="0" t="str">
        <f aca="false">IF(I1513="","",IF(AND(J1513&gt;=1,J1513&lt;=K1513+3),"10."&amp;INDEX(Eingabe!$D$9:$D$18,I1513)&amp;"."&amp;IF(J1513&lt;=K1513,J1513,IF(J1513=K1513+1,200,IF(J1513=K1513+2,201,250)))&amp;".10 – 10."&amp;INDEX(Eingabe!$D$9:$D$18,I1513)&amp;"."&amp;IF(J1513&lt;=K1513,J1513,IF(J1513=K1513+1,200,IF(J1513=K1513+2,201,250)))&amp;".250",""))</f>
        <v/>
      </c>
      <c r="G1513" s="0" t="str">
        <f aca="false">IF(I1513="","",IF(AND(J1513&gt;=1,J1513&lt;=K1513),Eingabe!$B$6&amp;"-"&amp;INDEX(Eingabe!$C$9:$C$18,I1513)&amp;"-Pächter  ·  Passwort Parzelle "&amp;J1513,IF(J1513=K1513+1,Eingabe!$B$6&amp;"-"&amp;INDEX(Eingabe!$C$9:$C$18,I1513)&amp;"-Vorstand  ·  eigenes WLAN",IF(J1513=K1513+2,Eingabe!$B$6&amp;"-"&amp;INDEX(Eingabe!$C$9:$C$18,I1513)&amp;"-Gäste  ·  Voucher",IF(J1513=K1513+3,"Kabel  ·  Access Point y = .(50+y), Mast-Switch x = .(10+x)","")))))</f>
        <v/>
      </c>
      <c r="I1513" s="0" t="str">
        <f aca="false">IF(1508&lt;=(Eingabe!$P$18+Eingabe!$Q$18-1),MATCH(1508,Eingabe!$P$9:$P$18,1),"")</f>
        <v/>
      </c>
      <c r="J1513" s="0" t="str">
        <f aca="false">IF(I1513="","",1508-INDEX(Eingabe!$P$9:$P$18,I1513))</f>
        <v/>
      </c>
      <c r="K1513" s="0" t="str">
        <f aca="false">IF(I1513="","",INDEX(Eingabe!$E$9:$E$18,I1513))</f>
        <v/>
      </c>
    </row>
    <row r="1514" customFormat="false" ht="15" hidden="false" customHeight="false" outlineLevel="0" collapsed="false">
      <c r="A1514" s="0" t="str">
        <f aca="false">IF(I1514="","",IF(J1514=0,"Sparte "&amp;I1514&amp;": "&amp;INDEX(Eingabe!$B$9:$B$18,I1514)&amp;"  (Sparten-ID "&amp;INDEX(Eingabe!$D$9:$D$18,I1514)&amp;", "&amp;K1514&amp;" Parzellen)",IF(J1514&lt;=K1514,"   Parzelle "&amp;J1514,IF(J1514=K1514+1,"   Vorstand",IF(J1514=K1514+2,"   Gäste",IF(J1514=K1514+3,"   Technik (Switches, Access Points)",""))))))</f>
        <v/>
      </c>
      <c r="B1514" s="0" t="str">
        <f aca="false">IF(I1514="","",IF(AND(J1514&gt;=1,J1514&lt;=K1514+3),IF(J1514&lt;=K1514,IF(J1514&lt;=99,IF((INDEX(Eingabe!$G$9:$G$18,I1514))&lt;=9,1000+(INDEX(Eingabe!$G$9:$G$18,I1514))*100,3000)+J1514,IF((INDEX(Eingabe!$G$9:$G$18,I1514)+1)&lt;=9,1000+(INDEX(Eingabe!$G$9:$G$18,I1514)+1)*100,3000)+J1514-100),IF(J1514=K1514+1,2000+INDEX(Eingabe!$G$9:$G$18,I1514)*10+1,IF(J1514=K1514+2,2000+INDEX(Eingabe!$G$9:$G$18,I1514)*10+2,2000+INDEX(Eingabe!$G$9:$G$18,I1514)*10+9))),""))</f>
        <v/>
      </c>
      <c r="C1514" s="0" t="str">
        <f aca="false">IF(I1514="","",IF(AND(J1514&gt;=1,J1514&lt;=K1514+3),"10."&amp;INDEX(Eingabe!$D$9:$D$18,I1514)&amp;"."&amp;IF(J1514&lt;=K1514,J1514,IF(J1514=K1514+1,200,IF(J1514=K1514+2,201,250)))&amp;".0/24",""))</f>
        <v/>
      </c>
      <c r="D1514" s="0" t="str">
        <f aca="false">IF(I1514="","",IF(AND(J1514&gt;=1,J1514&lt;=K1514+3),"255.255.255.0",""))</f>
        <v/>
      </c>
      <c r="E1514" s="0" t="str">
        <f aca="false">IF(I1514="","",IF(AND(J1514&gt;=1,J1514&lt;=K1514+3),"10."&amp;INDEX(Eingabe!$D$9:$D$18,I1514)&amp;"."&amp;IF(J1514&lt;=K1514,J1514,IF(J1514=K1514+1,200,IF(J1514=K1514+2,201,250)))&amp;".1",""))</f>
        <v/>
      </c>
      <c r="F1514" s="0" t="str">
        <f aca="false">IF(I1514="","",IF(AND(J1514&gt;=1,J1514&lt;=K1514+3),"10."&amp;INDEX(Eingabe!$D$9:$D$18,I1514)&amp;"."&amp;IF(J1514&lt;=K1514,J1514,IF(J1514=K1514+1,200,IF(J1514=K1514+2,201,250)))&amp;".10 – 10."&amp;INDEX(Eingabe!$D$9:$D$18,I1514)&amp;"."&amp;IF(J1514&lt;=K1514,J1514,IF(J1514=K1514+1,200,IF(J1514=K1514+2,201,250)))&amp;".250",""))</f>
        <v/>
      </c>
      <c r="G1514" s="0" t="str">
        <f aca="false">IF(I1514="","",IF(AND(J1514&gt;=1,J1514&lt;=K1514),Eingabe!$B$6&amp;"-"&amp;INDEX(Eingabe!$C$9:$C$18,I1514)&amp;"-Pächter  ·  Passwort Parzelle "&amp;J1514,IF(J1514=K1514+1,Eingabe!$B$6&amp;"-"&amp;INDEX(Eingabe!$C$9:$C$18,I1514)&amp;"-Vorstand  ·  eigenes WLAN",IF(J1514=K1514+2,Eingabe!$B$6&amp;"-"&amp;INDEX(Eingabe!$C$9:$C$18,I1514)&amp;"-Gäste  ·  Voucher",IF(J1514=K1514+3,"Kabel  ·  Access Point y = .(50+y), Mast-Switch x = .(10+x)","")))))</f>
        <v/>
      </c>
      <c r="I1514" s="0" t="str">
        <f aca="false">IF(1509&lt;=(Eingabe!$P$18+Eingabe!$Q$18-1),MATCH(1509,Eingabe!$P$9:$P$18,1),"")</f>
        <v/>
      </c>
      <c r="J1514" s="0" t="str">
        <f aca="false">IF(I1514="","",1509-INDEX(Eingabe!$P$9:$P$18,I1514))</f>
        <v/>
      </c>
      <c r="K1514" s="0" t="str">
        <f aca="false">IF(I1514="","",INDEX(Eingabe!$E$9:$E$18,I1514))</f>
        <v/>
      </c>
    </row>
    <row r="1515" customFormat="false" ht="15" hidden="false" customHeight="false" outlineLevel="0" collapsed="false">
      <c r="A1515" s="0" t="str">
        <f aca="false">IF(I1515="","",IF(J1515=0,"Sparte "&amp;I1515&amp;": "&amp;INDEX(Eingabe!$B$9:$B$18,I1515)&amp;"  (Sparten-ID "&amp;INDEX(Eingabe!$D$9:$D$18,I1515)&amp;", "&amp;K1515&amp;" Parzellen)",IF(J1515&lt;=K1515,"   Parzelle "&amp;J1515,IF(J1515=K1515+1,"   Vorstand",IF(J1515=K1515+2,"   Gäste",IF(J1515=K1515+3,"   Technik (Switches, Access Points)",""))))))</f>
        <v/>
      </c>
      <c r="B1515" s="0" t="str">
        <f aca="false">IF(I1515="","",IF(AND(J1515&gt;=1,J1515&lt;=K1515+3),IF(J1515&lt;=K1515,IF(J1515&lt;=99,IF((INDEX(Eingabe!$G$9:$G$18,I1515))&lt;=9,1000+(INDEX(Eingabe!$G$9:$G$18,I1515))*100,3000)+J1515,IF((INDEX(Eingabe!$G$9:$G$18,I1515)+1)&lt;=9,1000+(INDEX(Eingabe!$G$9:$G$18,I1515)+1)*100,3000)+J1515-100),IF(J1515=K1515+1,2000+INDEX(Eingabe!$G$9:$G$18,I1515)*10+1,IF(J1515=K1515+2,2000+INDEX(Eingabe!$G$9:$G$18,I1515)*10+2,2000+INDEX(Eingabe!$G$9:$G$18,I1515)*10+9))),""))</f>
        <v/>
      </c>
      <c r="C1515" s="0" t="str">
        <f aca="false">IF(I1515="","",IF(AND(J1515&gt;=1,J1515&lt;=K1515+3),"10."&amp;INDEX(Eingabe!$D$9:$D$18,I1515)&amp;"."&amp;IF(J1515&lt;=K1515,J1515,IF(J1515=K1515+1,200,IF(J1515=K1515+2,201,250)))&amp;".0/24",""))</f>
        <v/>
      </c>
      <c r="D1515" s="0" t="str">
        <f aca="false">IF(I1515="","",IF(AND(J1515&gt;=1,J1515&lt;=K1515+3),"255.255.255.0",""))</f>
        <v/>
      </c>
      <c r="E1515" s="0" t="str">
        <f aca="false">IF(I1515="","",IF(AND(J1515&gt;=1,J1515&lt;=K1515+3),"10."&amp;INDEX(Eingabe!$D$9:$D$18,I1515)&amp;"."&amp;IF(J1515&lt;=K1515,J1515,IF(J1515=K1515+1,200,IF(J1515=K1515+2,201,250)))&amp;".1",""))</f>
        <v/>
      </c>
      <c r="F1515" s="0" t="str">
        <f aca="false">IF(I1515="","",IF(AND(J1515&gt;=1,J1515&lt;=K1515+3),"10."&amp;INDEX(Eingabe!$D$9:$D$18,I1515)&amp;"."&amp;IF(J1515&lt;=K1515,J1515,IF(J1515=K1515+1,200,IF(J1515=K1515+2,201,250)))&amp;".10 – 10."&amp;INDEX(Eingabe!$D$9:$D$18,I1515)&amp;"."&amp;IF(J1515&lt;=K1515,J1515,IF(J1515=K1515+1,200,IF(J1515=K1515+2,201,250)))&amp;".250",""))</f>
        <v/>
      </c>
      <c r="G1515" s="0" t="str">
        <f aca="false">IF(I1515="","",IF(AND(J1515&gt;=1,J1515&lt;=K1515),Eingabe!$B$6&amp;"-"&amp;INDEX(Eingabe!$C$9:$C$18,I1515)&amp;"-Pächter  ·  Passwort Parzelle "&amp;J1515,IF(J1515=K1515+1,Eingabe!$B$6&amp;"-"&amp;INDEX(Eingabe!$C$9:$C$18,I1515)&amp;"-Vorstand  ·  eigenes WLAN",IF(J1515=K1515+2,Eingabe!$B$6&amp;"-"&amp;INDEX(Eingabe!$C$9:$C$18,I1515)&amp;"-Gäste  ·  Voucher",IF(J1515=K1515+3,"Kabel  ·  Access Point y = .(50+y), Mast-Switch x = .(10+x)","")))))</f>
        <v/>
      </c>
      <c r="I1515" s="0" t="str">
        <f aca="false">IF(1510&lt;=(Eingabe!$P$18+Eingabe!$Q$18-1),MATCH(1510,Eingabe!$P$9:$P$18,1),"")</f>
        <v/>
      </c>
      <c r="J1515" s="0" t="str">
        <f aca="false">IF(I1515="","",1510-INDEX(Eingabe!$P$9:$P$18,I1515))</f>
        <v/>
      </c>
      <c r="K1515" s="0" t="str">
        <f aca="false">IF(I1515="","",INDEX(Eingabe!$E$9:$E$18,I1515))</f>
        <v/>
      </c>
    </row>
    <row r="1516" customFormat="false" ht="15" hidden="false" customHeight="false" outlineLevel="0" collapsed="false">
      <c r="A1516" s="0" t="str">
        <f aca="false">IF(I1516="","",IF(J1516=0,"Sparte "&amp;I1516&amp;": "&amp;INDEX(Eingabe!$B$9:$B$18,I1516)&amp;"  (Sparten-ID "&amp;INDEX(Eingabe!$D$9:$D$18,I1516)&amp;", "&amp;K1516&amp;" Parzellen)",IF(J1516&lt;=K1516,"   Parzelle "&amp;J1516,IF(J1516=K1516+1,"   Vorstand",IF(J1516=K1516+2,"   Gäste",IF(J1516=K1516+3,"   Technik (Switches, Access Points)",""))))))</f>
        <v/>
      </c>
      <c r="B1516" s="0" t="str">
        <f aca="false">IF(I1516="","",IF(AND(J1516&gt;=1,J1516&lt;=K1516+3),IF(J1516&lt;=K1516,IF(J1516&lt;=99,IF((INDEX(Eingabe!$G$9:$G$18,I1516))&lt;=9,1000+(INDEX(Eingabe!$G$9:$G$18,I1516))*100,3000)+J1516,IF((INDEX(Eingabe!$G$9:$G$18,I1516)+1)&lt;=9,1000+(INDEX(Eingabe!$G$9:$G$18,I1516)+1)*100,3000)+J1516-100),IF(J1516=K1516+1,2000+INDEX(Eingabe!$G$9:$G$18,I1516)*10+1,IF(J1516=K1516+2,2000+INDEX(Eingabe!$G$9:$G$18,I1516)*10+2,2000+INDEX(Eingabe!$G$9:$G$18,I1516)*10+9))),""))</f>
        <v/>
      </c>
      <c r="C1516" s="0" t="str">
        <f aca="false">IF(I1516="","",IF(AND(J1516&gt;=1,J1516&lt;=K1516+3),"10."&amp;INDEX(Eingabe!$D$9:$D$18,I1516)&amp;"."&amp;IF(J1516&lt;=K1516,J1516,IF(J1516=K1516+1,200,IF(J1516=K1516+2,201,250)))&amp;".0/24",""))</f>
        <v/>
      </c>
      <c r="D1516" s="0" t="str">
        <f aca="false">IF(I1516="","",IF(AND(J1516&gt;=1,J1516&lt;=K1516+3),"255.255.255.0",""))</f>
        <v/>
      </c>
      <c r="E1516" s="0" t="str">
        <f aca="false">IF(I1516="","",IF(AND(J1516&gt;=1,J1516&lt;=K1516+3),"10."&amp;INDEX(Eingabe!$D$9:$D$18,I1516)&amp;"."&amp;IF(J1516&lt;=K1516,J1516,IF(J1516=K1516+1,200,IF(J1516=K1516+2,201,250)))&amp;".1",""))</f>
        <v/>
      </c>
      <c r="F1516" s="0" t="str">
        <f aca="false">IF(I1516="","",IF(AND(J1516&gt;=1,J1516&lt;=K1516+3),"10."&amp;INDEX(Eingabe!$D$9:$D$18,I1516)&amp;"."&amp;IF(J1516&lt;=K1516,J1516,IF(J1516=K1516+1,200,IF(J1516=K1516+2,201,250)))&amp;".10 – 10."&amp;INDEX(Eingabe!$D$9:$D$18,I1516)&amp;"."&amp;IF(J1516&lt;=K1516,J1516,IF(J1516=K1516+1,200,IF(J1516=K1516+2,201,250)))&amp;".250",""))</f>
        <v/>
      </c>
      <c r="G1516" s="0" t="str">
        <f aca="false">IF(I1516="","",IF(AND(J1516&gt;=1,J1516&lt;=K1516),Eingabe!$B$6&amp;"-"&amp;INDEX(Eingabe!$C$9:$C$18,I1516)&amp;"-Pächter  ·  Passwort Parzelle "&amp;J1516,IF(J1516=K1516+1,Eingabe!$B$6&amp;"-"&amp;INDEX(Eingabe!$C$9:$C$18,I1516)&amp;"-Vorstand  ·  eigenes WLAN",IF(J1516=K1516+2,Eingabe!$B$6&amp;"-"&amp;INDEX(Eingabe!$C$9:$C$18,I1516)&amp;"-Gäste  ·  Voucher",IF(J1516=K1516+3,"Kabel  ·  Access Point y = .(50+y), Mast-Switch x = .(10+x)","")))))</f>
        <v/>
      </c>
      <c r="I1516" s="0" t="str">
        <f aca="false">IF(1511&lt;=(Eingabe!$P$18+Eingabe!$Q$18-1),MATCH(1511,Eingabe!$P$9:$P$18,1),"")</f>
        <v/>
      </c>
      <c r="J1516" s="0" t="str">
        <f aca="false">IF(I1516="","",1511-INDEX(Eingabe!$P$9:$P$18,I1516))</f>
        <v/>
      </c>
      <c r="K1516" s="0" t="str">
        <f aca="false">IF(I1516="","",INDEX(Eingabe!$E$9:$E$18,I1516))</f>
        <v/>
      </c>
    </row>
    <row r="1517" customFormat="false" ht="15" hidden="false" customHeight="false" outlineLevel="0" collapsed="false">
      <c r="A1517" s="0" t="str">
        <f aca="false">IF(I1517="","",IF(J1517=0,"Sparte "&amp;I1517&amp;": "&amp;INDEX(Eingabe!$B$9:$B$18,I1517)&amp;"  (Sparten-ID "&amp;INDEX(Eingabe!$D$9:$D$18,I1517)&amp;", "&amp;K1517&amp;" Parzellen)",IF(J1517&lt;=K1517,"   Parzelle "&amp;J1517,IF(J1517=K1517+1,"   Vorstand",IF(J1517=K1517+2,"   Gäste",IF(J1517=K1517+3,"   Technik (Switches, Access Points)",""))))))</f>
        <v/>
      </c>
      <c r="B1517" s="0" t="str">
        <f aca="false">IF(I1517="","",IF(AND(J1517&gt;=1,J1517&lt;=K1517+3),IF(J1517&lt;=K1517,IF(J1517&lt;=99,IF((INDEX(Eingabe!$G$9:$G$18,I1517))&lt;=9,1000+(INDEX(Eingabe!$G$9:$G$18,I1517))*100,3000)+J1517,IF((INDEX(Eingabe!$G$9:$G$18,I1517)+1)&lt;=9,1000+(INDEX(Eingabe!$G$9:$G$18,I1517)+1)*100,3000)+J1517-100),IF(J1517=K1517+1,2000+INDEX(Eingabe!$G$9:$G$18,I1517)*10+1,IF(J1517=K1517+2,2000+INDEX(Eingabe!$G$9:$G$18,I1517)*10+2,2000+INDEX(Eingabe!$G$9:$G$18,I1517)*10+9))),""))</f>
        <v/>
      </c>
      <c r="C1517" s="0" t="str">
        <f aca="false">IF(I1517="","",IF(AND(J1517&gt;=1,J1517&lt;=K1517+3),"10."&amp;INDEX(Eingabe!$D$9:$D$18,I1517)&amp;"."&amp;IF(J1517&lt;=K1517,J1517,IF(J1517=K1517+1,200,IF(J1517=K1517+2,201,250)))&amp;".0/24",""))</f>
        <v/>
      </c>
      <c r="D1517" s="0" t="str">
        <f aca="false">IF(I1517="","",IF(AND(J1517&gt;=1,J1517&lt;=K1517+3),"255.255.255.0",""))</f>
        <v/>
      </c>
      <c r="E1517" s="0" t="str">
        <f aca="false">IF(I1517="","",IF(AND(J1517&gt;=1,J1517&lt;=K1517+3),"10."&amp;INDEX(Eingabe!$D$9:$D$18,I1517)&amp;"."&amp;IF(J1517&lt;=K1517,J1517,IF(J1517=K1517+1,200,IF(J1517=K1517+2,201,250)))&amp;".1",""))</f>
        <v/>
      </c>
      <c r="F1517" s="0" t="str">
        <f aca="false">IF(I1517="","",IF(AND(J1517&gt;=1,J1517&lt;=K1517+3),"10."&amp;INDEX(Eingabe!$D$9:$D$18,I1517)&amp;"."&amp;IF(J1517&lt;=K1517,J1517,IF(J1517=K1517+1,200,IF(J1517=K1517+2,201,250)))&amp;".10 – 10."&amp;INDEX(Eingabe!$D$9:$D$18,I1517)&amp;"."&amp;IF(J1517&lt;=K1517,J1517,IF(J1517=K1517+1,200,IF(J1517=K1517+2,201,250)))&amp;".250",""))</f>
        <v/>
      </c>
      <c r="G1517" s="0" t="str">
        <f aca="false">IF(I1517="","",IF(AND(J1517&gt;=1,J1517&lt;=K1517),Eingabe!$B$6&amp;"-"&amp;INDEX(Eingabe!$C$9:$C$18,I1517)&amp;"-Pächter  ·  Passwort Parzelle "&amp;J1517,IF(J1517=K1517+1,Eingabe!$B$6&amp;"-"&amp;INDEX(Eingabe!$C$9:$C$18,I1517)&amp;"-Vorstand  ·  eigenes WLAN",IF(J1517=K1517+2,Eingabe!$B$6&amp;"-"&amp;INDEX(Eingabe!$C$9:$C$18,I1517)&amp;"-Gäste  ·  Voucher",IF(J1517=K1517+3,"Kabel  ·  Access Point y = .(50+y), Mast-Switch x = .(10+x)","")))))</f>
        <v/>
      </c>
      <c r="I1517" s="0" t="str">
        <f aca="false">IF(1512&lt;=(Eingabe!$P$18+Eingabe!$Q$18-1),MATCH(1512,Eingabe!$P$9:$P$18,1),"")</f>
        <v/>
      </c>
      <c r="J1517" s="0" t="str">
        <f aca="false">IF(I1517="","",1512-INDEX(Eingabe!$P$9:$P$18,I1517))</f>
        <v/>
      </c>
      <c r="K1517" s="0" t="str">
        <f aca="false">IF(I1517="","",INDEX(Eingabe!$E$9:$E$18,I1517))</f>
        <v/>
      </c>
    </row>
    <row r="1518" customFormat="false" ht="15" hidden="false" customHeight="false" outlineLevel="0" collapsed="false">
      <c r="A1518" s="0" t="str">
        <f aca="false">IF(I1518="","",IF(J1518=0,"Sparte "&amp;I1518&amp;": "&amp;INDEX(Eingabe!$B$9:$B$18,I1518)&amp;"  (Sparten-ID "&amp;INDEX(Eingabe!$D$9:$D$18,I1518)&amp;", "&amp;K1518&amp;" Parzellen)",IF(J1518&lt;=K1518,"   Parzelle "&amp;J1518,IF(J1518=K1518+1,"   Vorstand",IF(J1518=K1518+2,"   Gäste",IF(J1518=K1518+3,"   Technik (Switches, Access Points)",""))))))</f>
        <v/>
      </c>
      <c r="B1518" s="0" t="str">
        <f aca="false">IF(I1518="","",IF(AND(J1518&gt;=1,J1518&lt;=K1518+3),IF(J1518&lt;=K1518,IF(J1518&lt;=99,IF((INDEX(Eingabe!$G$9:$G$18,I1518))&lt;=9,1000+(INDEX(Eingabe!$G$9:$G$18,I1518))*100,3000)+J1518,IF((INDEX(Eingabe!$G$9:$G$18,I1518)+1)&lt;=9,1000+(INDEX(Eingabe!$G$9:$G$18,I1518)+1)*100,3000)+J1518-100),IF(J1518=K1518+1,2000+INDEX(Eingabe!$G$9:$G$18,I1518)*10+1,IF(J1518=K1518+2,2000+INDEX(Eingabe!$G$9:$G$18,I1518)*10+2,2000+INDEX(Eingabe!$G$9:$G$18,I1518)*10+9))),""))</f>
        <v/>
      </c>
      <c r="C1518" s="0" t="str">
        <f aca="false">IF(I1518="","",IF(AND(J1518&gt;=1,J1518&lt;=K1518+3),"10."&amp;INDEX(Eingabe!$D$9:$D$18,I1518)&amp;"."&amp;IF(J1518&lt;=K1518,J1518,IF(J1518=K1518+1,200,IF(J1518=K1518+2,201,250)))&amp;".0/24",""))</f>
        <v/>
      </c>
      <c r="D1518" s="0" t="str">
        <f aca="false">IF(I1518="","",IF(AND(J1518&gt;=1,J1518&lt;=K1518+3),"255.255.255.0",""))</f>
        <v/>
      </c>
      <c r="E1518" s="0" t="str">
        <f aca="false">IF(I1518="","",IF(AND(J1518&gt;=1,J1518&lt;=K1518+3),"10."&amp;INDEX(Eingabe!$D$9:$D$18,I1518)&amp;"."&amp;IF(J1518&lt;=K1518,J1518,IF(J1518=K1518+1,200,IF(J1518=K1518+2,201,250)))&amp;".1",""))</f>
        <v/>
      </c>
      <c r="F1518" s="0" t="str">
        <f aca="false">IF(I1518="","",IF(AND(J1518&gt;=1,J1518&lt;=K1518+3),"10."&amp;INDEX(Eingabe!$D$9:$D$18,I1518)&amp;"."&amp;IF(J1518&lt;=K1518,J1518,IF(J1518=K1518+1,200,IF(J1518=K1518+2,201,250)))&amp;".10 – 10."&amp;INDEX(Eingabe!$D$9:$D$18,I1518)&amp;"."&amp;IF(J1518&lt;=K1518,J1518,IF(J1518=K1518+1,200,IF(J1518=K1518+2,201,250)))&amp;".250",""))</f>
        <v/>
      </c>
      <c r="G1518" s="0" t="str">
        <f aca="false">IF(I1518="","",IF(AND(J1518&gt;=1,J1518&lt;=K1518),Eingabe!$B$6&amp;"-"&amp;INDEX(Eingabe!$C$9:$C$18,I1518)&amp;"-Pächter  ·  Passwort Parzelle "&amp;J1518,IF(J1518=K1518+1,Eingabe!$B$6&amp;"-"&amp;INDEX(Eingabe!$C$9:$C$18,I1518)&amp;"-Vorstand  ·  eigenes WLAN",IF(J1518=K1518+2,Eingabe!$B$6&amp;"-"&amp;INDEX(Eingabe!$C$9:$C$18,I1518)&amp;"-Gäste  ·  Voucher",IF(J1518=K1518+3,"Kabel  ·  Access Point y = .(50+y), Mast-Switch x = .(10+x)","")))))</f>
        <v/>
      </c>
      <c r="I1518" s="0" t="str">
        <f aca="false">IF(1513&lt;=(Eingabe!$P$18+Eingabe!$Q$18-1),MATCH(1513,Eingabe!$P$9:$P$18,1),"")</f>
        <v/>
      </c>
      <c r="J1518" s="0" t="str">
        <f aca="false">IF(I1518="","",1513-INDEX(Eingabe!$P$9:$P$18,I1518))</f>
        <v/>
      </c>
      <c r="K1518" s="0" t="str">
        <f aca="false">IF(I1518="","",INDEX(Eingabe!$E$9:$E$18,I1518))</f>
        <v/>
      </c>
    </row>
    <row r="1519" customFormat="false" ht="15" hidden="false" customHeight="false" outlineLevel="0" collapsed="false">
      <c r="A1519" s="0" t="str">
        <f aca="false">IF(I1519="","",IF(J1519=0,"Sparte "&amp;I1519&amp;": "&amp;INDEX(Eingabe!$B$9:$B$18,I1519)&amp;"  (Sparten-ID "&amp;INDEX(Eingabe!$D$9:$D$18,I1519)&amp;", "&amp;K1519&amp;" Parzellen)",IF(J1519&lt;=K1519,"   Parzelle "&amp;J1519,IF(J1519=K1519+1,"   Vorstand",IF(J1519=K1519+2,"   Gäste",IF(J1519=K1519+3,"   Technik (Switches, Access Points)",""))))))</f>
        <v/>
      </c>
      <c r="B1519" s="0" t="str">
        <f aca="false">IF(I1519="","",IF(AND(J1519&gt;=1,J1519&lt;=K1519+3),IF(J1519&lt;=K1519,IF(J1519&lt;=99,IF((INDEX(Eingabe!$G$9:$G$18,I1519))&lt;=9,1000+(INDEX(Eingabe!$G$9:$G$18,I1519))*100,3000)+J1519,IF((INDEX(Eingabe!$G$9:$G$18,I1519)+1)&lt;=9,1000+(INDEX(Eingabe!$G$9:$G$18,I1519)+1)*100,3000)+J1519-100),IF(J1519=K1519+1,2000+INDEX(Eingabe!$G$9:$G$18,I1519)*10+1,IF(J1519=K1519+2,2000+INDEX(Eingabe!$G$9:$G$18,I1519)*10+2,2000+INDEX(Eingabe!$G$9:$G$18,I1519)*10+9))),""))</f>
        <v/>
      </c>
      <c r="C1519" s="0" t="str">
        <f aca="false">IF(I1519="","",IF(AND(J1519&gt;=1,J1519&lt;=K1519+3),"10."&amp;INDEX(Eingabe!$D$9:$D$18,I1519)&amp;"."&amp;IF(J1519&lt;=K1519,J1519,IF(J1519=K1519+1,200,IF(J1519=K1519+2,201,250)))&amp;".0/24",""))</f>
        <v/>
      </c>
      <c r="D1519" s="0" t="str">
        <f aca="false">IF(I1519="","",IF(AND(J1519&gt;=1,J1519&lt;=K1519+3),"255.255.255.0",""))</f>
        <v/>
      </c>
      <c r="E1519" s="0" t="str">
        <f aca="false">IF(I1519="","",IF(AND(J1519&gt;=1,J1519&lt;=K1519+3),"10."&amp;INDEX(Eingabe!$D$9:$D$18,I1519)&amp;"."&amp;IF(J1519&lt;=K1519,J1519,IF(J1519=K1519+1,200,IF(J1519=K1519+2,201,250)))&amp;".1",""))</f>
        <v/>
      </c>
      <c r="F1519" s="0" t="str">
        <f aca="false">IF(I1519="","",IF(AND(J1519&gt;=1,J1519&lt;=K1519+3),"10."&amp;INDEX(Eingabe!$D$9:$D$18,I1519)&amp;"."&amp;IF(J1519&lt;=K1519,J1519,IF(J1519=K1519+1,200,IF(J1519=K1519+2,201,250)))&amp;".10 – 10."&amp;INDEX(Eingabe!$D$9:$D$18,I1519)&amp;"."&amp;IF(J1519&lt;=K1519,J1519,IF(J1519=K1519+1,200,IF(J1519=K1519+2,201,250)))&amp;".250",""))</f>
        <v/>
      </c>
      <c r="G1519" s="0" t="str">
        <f aca="false">IF(I1519="","",IF(AND(J1519&gt;=1,J1519&lt;=K1519),Eingabe!$B$6&amp;"-"&amp;INDEX(Eingabe!$C$9:$C$18,I1519)&amp;"-Pächter  ·  Passwort Parzelle "&amp;J1519,IF(J1519=K1519+1,Eingabe!$B$6&amp;"-"&amp;INDEX(Eingabe!$C$9:$C$18,I1519)&amp;"-Vorstand  ·  eigenes WLAN",IF(J1519=K1519+2,Eingabe!$B$6&amp;"-"&amp;INDEX(Eingabe!$C$9:$C$18,I1519)&amp;"-Gäste  ·  Voucher",IF(J1519=K1519+3,"Kabel  ·  Access Point y = .(50+y), Mast-Switch x = .(10+x)","")))))</f>
        <v/>
      </c>
      <c r="I1519" s="0" t="str">
        <f aca="false">IF(1514&lt;=(Eingabe!$P$18+Eingabe!$Q$18-1),MATCH(1514,Eingabe!$P$9:$P$18,1),"")</f>
        <v/>
      </c>
      <c r="J1519" s="0" t="str">
        <f aca="false">IF(I1519="","",1514-INDEX(Eingabe!$P$9:$P$18,I1519))</f>
        <v/>
      </c>
      <c r="K1519" s="0" t="str">
        <f aca="false">IF(I1519="","",INDEX(Eingabe!$E$9:$E$18,I1519))</f>
        <v/>
      </c>
    </row>
    <row r="1520" customFormat="false" ht="15" hidden="false" customHeight="false" outlineLevel="0" collapsed="false">
      <c r="A1520" s="0" t="str">
        <f aca="false">IF(I1520="","",IF(J1520=0,"Sparte "&amp;I1520&amp;": "&amp;INDEX(Eingabe!$B$9:$B$18,I1520)&amp;"  (Sparten-ID "&amp;INDEX(Eingabe!$D$9:$D$18,I1520)&amp;", "&amp;K1520&amp;" Parzellen)",IF(J1520&lt;=K1520,"   Parzelle "&amp;J1520,IF(J1520=K1520+1,"   Vorstand",IF(J1520=K1520+2,"   Gäste",IF(J1520=K1520+3,"   Technik (Switches, Access Points)",""))))))</f>
        <v/>
      </c>
      <c r="B1520" s="0" t="str">
        <f aca="false">IF(I1520="","",IF(AND(J1520&gt;=1,J1520&lt;=K1520+3),IF(J1520&lt;=K1520,IF(J1520&lt;=99,IF((INDEX(Eingabe!$G$9:$G$18,I1520))&lt;=9,1000+(INDEX(Eingabe!$G$9:$G$18,I1520))*100,3000)+J1520,IF((INDEX(Eingabe!$G$9:$G$18,I1520)+1)&lt;=9,1000+(INDEX(Eingabe!$G$9:$G$18,I1520)+1)*100,3000)+J1520-100),IF(J1520=K1520+1,2000+INDEX(Eingabe!$G$9:$G$18,I1520)*10+1,IF(J1520=K1520+2,2000+INDEX(Eingabe!$G$9:$G$18,I1520)*10+2,2000+INDEX(Eingabe!$G$9:$G$18,I1520)*10+9))),""))</f>
        <v/>
      </c>
      <c r="C1520" s="0" t="str">
        <f aca="false">IF(I1520="","",IF(AND(J1520&gt;=1,J1520&lt;=K1520+3),"10."&amp;INDEX(Eingabe!$D$9:$D$18,I1520)&amp;"."&amp;IF(J1520&lt;=K1520,J1520,IF(J1520=K1520+1,200,IF(J1520=K1520+2,201,250)))&amp;".0/24",""))</f>
        <v/>
      </c>
      <c r="D1520" s="0" t="str">
        <f aca="false">IF(I1520="","",IF(AND(J1520&gt;=1,J1520&lt;=K1520+3),"255.255.255.0",""))</f>
        <v/>
      </c>
      <c r="E1520" s="0" t="str">
        <f aca="false">IF(I1520="","",IF(AND(J1520&gt;=1,J1520&lt;=K1520+3),"10."&amp;INDEX(Eingabe!$D$9:$D$18,I1520)&amp;"."&amp;IF(J1520&lt;=K1520,J1520,IF(J1520=K1520+1,200,IF(J1520=K1520+2,201,250)))&amp;".1",""))</f>
        <v/>
      </c>
      <c r="F1520" s="0" t="str">
        <f aca="false">IF(I1520="","",IF(AND(J1520&gt;=1,J1520&lt;=K1520+3),"10."&amp;INDEX(Eingabe!$D$9:$D$18,I1520)&amp;"."&amp;IF(J1520&lt;=K1520,J1520,IF(J1520=K1520+1,200,IF(J1520=K1520+2,201,250)))&amp;".10 – 10."&amp;INDEX(Eingabe!$D$9:$D$18,I1520)&amp;"."&amp;IF(J1520&lt;=K1520,J1520,IF(J1520=K1520+1,200,IF(J1520=K1520+2,201,250)))&amp;".250",""))</f>
        <v/>
      </c>
      <c r="G1520" s="0" t="str">
        <f aca="false">IF(I1520="","",IF(AND(J1520&gt;=1,J1520&lt;=K1520),Eingabe!$B$6&amp;"-"&amp;INDEX(Eingabe!$C$9:$C$18,I1520)&amp;"-Pächter  ·  Passwort Parzelle "&amp;J1520,IF(J1520=K1520+1,Eingabe!$B$6&amp;"-"&amp;INDEX(Eingabe!$C$9:$C$18,I1520)&amp;"-Vorstand  ·  eigenes WLAN",IF(J1520=K1520+2,Eingabe!$B$6&amp;"-"&amp;INDEX(Eingabe!$C$9:$C$18,I1520)&amp;"-Gäste  ·  Voucher",IF(J1520=K1520+3,"Kabel  ·  Access Point y = .(50+y), Mast-Switch x = .(10+x)","")))))</f>
        <v/>
      </c>
      <c r="I1520" s="0" t="str">
        <f aca="false">IF(1515&lt;=(Eingabe!$P$18+Eingabe!$Q$18-1),MATCH(1515,Eingabe!$P$9:$P$18,1),"")</f>
        <v/>
      </c>
      <c r="J1520" s="0" t="str">
        <f aca="false">IF(I1520="","",1515-INDEX(Eingabe!$P$9:$P$18,I1520))</f>
        <v/>
      </c>
      <c r="K1520" s="0" t="str">
        <f aca="false">IF(I1520="","",INDEX(Eingabe!$E$9:$E$18,I1520))</f>
        <v/>
      </c>
    </row>
    <row r="1521" customFormat="false" ht="15" hidden="false" customHeight="false" outlineLevel="0" collapsed="false">
      <c r="A1521" s="0" t="str">
        <f aca="false">IF(I1521="","",IF(J1521=0,"Sparte "&amp;I1521&amp;": "&amp;INDEX(Eingabe!$B$9:$B$18,I1521)&amp;"  (Sparten-ID "&amp;INDEX(Eingabe!$D$9:$D$18,I1521)&amp;", "&amp;K1521&amp;" Parzellen)",IF(J1521&lt;=K1521,"   Parzelle "&amp;J1521,IF(J1521=K1521+1,"   Vorstand",IF(J1521=K1521+2,"   Gäste",IF(J1521=K1521+3,"   Technik (Switches, Access Points)",""))))))</f>
        <v/>
      </c>
      <c r="B1521" s="0" t="str">
        <f aca="false">IF(I1521="","",IF(AND(J1521&gt;=1,J1521&lt;=K1521+3),IF(J1521&lt;=K1521,IF(J1521&lt;=99,IF((INDEX(Eingabe!$G$9:$G$18,I1521))&lt;=9,1000+(INDEX(Eingabe!$G$9:$G$18,I1521))*100,3000)+J1521,IF((INDEX(Eingabe!$G$9:$G$18,I1521)+1)&lt;=9,1000+(INDEX(Eingabe!$G$9:$G$18,I1521)+1)*100,3000)+J1521-100),IF(J1521=K1521+1,2000+INDEX(Eingabe!$G$9:$G$18,I1521)*10+1,IF(J1521=K1521+2,2000+INDEX(Eingabe!$G$9:$G$18,I1521)*10+2,2000+INDEX(Eingabe!$G$9:$G$18,I1521)*10+9))),""))</f>
        <v/>
      </c>
      <c r="C1521" s="0" t="str">
        <f aca="false">IF(I1521="","",IF(AND(J1521&gt;=1,J1521&lt;=K1521+3),"10."&amp;INDEX(Eingabe!$D$9:$D$18,I1521)&amp;"."&amp;IF(J1521&lt;=K1521,J1521,IF(J1521=K1521+1,200,IF(J1521=K1521+2,201,250)))&amp;".0/24",""))</f>
        <v/>
      </c>
      <c r="D1521" s="0" t="str">
        <f aca="false">IF(I1521="","",IF(AND(J1521&gt;=1,J1521&lt;=K1521+3),"255.255.255.0",""))</f>
        <v/>
      </c>
      <c r="E1521" s="0" t="str">
        <f aca="false">IF(I1521="","",IF(AND(J1521&gt;=1,J1521&lt;=K1521+3),"10."&amp;INDEX(Eingabe!$D$9:$D$18,I1521)&amp;"."&amp;IF(J1521&lt;=K1521,J1521,IF(J1521=K1521+1,200,IF(J1521=K1521+2,201,250)))&amp;".1",""))</f>
        <v/>
      </c>
      <c r="F1521" s="0" t="str">
        <f aca="false">IF(I1521="","",IF(AND(J1521&gt;=1,J1521&lt;=K1521+3),"10."&amp;INDEX(Eingabe!$D$9:$D$18,I1521)&amp;"."&amp;IF(J1521&lt;=K1521,J1521,IF(J1521=K1521+1,200,IF(J1521=K1521+2,201,250)))&amp;".10 – 10."&amp;INDEX(Eingabe!$D$9:$D$18,I1521)&amp;"."&amp;IF(J1521&lt;=K1521,J1521,IF(J1521=K1521+1,200,IF(J1521=K1521+2,201,250)))&amp;".250",""))</f>
        <v/>
      </c>
      <c r="G1521" s="0" t="str">
        <f aca="false">IF(I1521="","",IF(AND(J1521&gt;=1,J1521&lt;=K1521),Eingabe!$B$6&amp;"-"&amp;INDEX(Eingabe!$C$9:$C$18,I1521)&amp;"-Pächter  ·  Passwort Parzelle "&amp;J1521,IF(J1521=K1521+1,Eingabe!$B$6&amp;"-"&amp;INDEX(Eingabe!$C$9:$C$18,I1521)&amp;"-Vorstand  ·  eigenes WLAN",IF(J1521=K1521+2,Eingabe!$B$6&amp;"-"&amp;INDEX(Eingabe!$C$9:$C$18,I1521)&amp;"-Gäste  ·  Voucher",IF(J1521=K1521+3,"Kabel  ·  Access Point y = .(50+y), Mast-Switch x = .(10+x)","")))))</f>
        <v/>
      </c>
      <c r="I1521" s="0" t="str">
        <f aca="false">IF(1516&lt;=(Eingabe!$P$18+Eingabe!$Q$18-1),MATCH(1516,Eingabe!$P$9:$P$18,1),"")</f>
        <v/>
      </c>
      <c r="J1521" s="0" t="str">
        <f aca="false">IF(I1521="","",1516-INDEX(Eingabe!$P$9:$P$18,I1521))</f>
        <v/>
      </c>
      <c r="K1521" s="0" t="str">
        <f aca="false">IF(I1521="","",INDEX(Eingabe!$E$9:$E$18,I1521))</f>
        <v/>
      </c>
    </row>
    <row r="1522" customFormat="false" ht="15" hidden="false" customHeight="false" outlineLevel="0" collapsed="false">
      <c r="A1522" s="0" t="str">
        <f aca="false">IF(I1522="","",IF(J1522=0,"Sparte "&amp;I1522&amp;": "&amp;INDEX(Eingabe!$B$9:$B$18,I1522)&amp;"  (Sparten-ID "&amp;INDEX(Eingabe!$D$9:$D$18,I1522)&amp;", "&amp;K1522&amp;" Parzellen)",IF(J1522&lt;=K1522,"   Parzelle "&amp;J1522,IF(J1522=K1522+1,"   Vorstand",IF(J1522=K1522+2,"   Gäste",IF(J1522=K1522+3,"   Technik (Switches, Access Points)",""))))))</f>
        <v/>
      </c>
      <c r="B1522" s="0" t="str">
        <f aca="false">IF(I1522="","",IF(AND(J1522&gt;=1,J1522&lt;=K1522+3),IF(J1522&lt;=K1522,IF(J1522&lt;=99,IF((INDEX(Eingabe!$G$9:$G$18,I1522))&lt;=9,1000+(INDEX(Eingabe!$G$9:$G$18,I1522))*100,3000)+J1522,IF((INDEX(Eingabe!$G$9:$G$18,I1522)+1)&lt;=9,1000+(INDEX(Eingabe!$G$9:$G$18,I1522)+1)*100,3000)+J1522-100),IF(J1522=K1522+1,2000+INDEX(Eingabe!$G$9:$G$18,I1522)*10+1,IF(J1522=K1522+2,2000+INDEX(Eingabe!$G$9:$G$18,I1522)*10+2,2000+INDEX(Eingabe!$G$9:$G$18,I1522)*10+9))),""))</f>
        <v/>
      </c>
      <c r="C1522" s="0" t="str">
        <f aca="false">IF(I1522="","",IF(AND(J1522&gt;=1,J1522&lt;=K1522+3),"10."&amp;INDEX(Eingabe!$D$9:$D$18,I1522)&amp;"."&amp;IF(J1522&lt;=K1522,J1522,IF(J1522=K1522+1,200,IF(J1522=K1522+2,201,250)))&amp;".0/24",""))</f>
        <v/>
      </c>
      <c r="D1522" s="0" t="str">
        <f aca="false">IF(I1522="","",IF(AND(J1522&gt;=1,J1522&lt;=K1522+3),"255.255.255.0",""))</f>
        <v/>
      </c>
      <c r="E1522" s="0" t="str">
        <f aca="false">IF(I1522="","",IF(AND(J1522&gt;=1,J1522&lt;=K1522+3),"10."&amp;INDEX(Eingabe!$D$9:$D$18,I1522)&amp;"."&amp;IF(J1522&lt;=K1522,J1522,IF(J1522=K1522+1,200,IF(J1522=K1522+2,201,250)))&amp;".1",""))</f>
        <v/>
      </c>
      <c r="F1522" s="0" t="str">
        <f aca="false">IF(I1522="","",IF(AND(J1522&gt;=1,J1522&lt;=K1522+3),"10."&amp;INDEX(Eingabe!$D$9:$D$18,I1522)&amp;"."&amp;IF(J1522&lt;=K1522,J1522,IF(J1522=K1522+1,200,IF(J1522=K1522+2,201,250)))&amp;".10 – 10."&amp;INDEX(Eingabe!$D$9:$D$18,I1522)&amp;"."&amp;IF(J1522&lt;=K1522,J1522,IF(J1522=K1522+1,200,IF(J1522=K1522+2,201,250)))&amp;".250",""))</f>
        <v/>
      </c>
      <c r="G1522" s="0" t="str">
        <f aca="false">IF(I1522="","",IF(AND(J1522&gt;=1,J1522&lt;=K1522),Eingabe!$B$6&amp;"-"&amp;INDEX(Eingabe!$C$9:$C$18,I1522)&amp;"-Pächter  ·  Passwort Parzelle "&amp;J1522,IF(J1522=K1522+1,Eingabe!$B$6&amp;"-"&amp;INDEX(Eingabe!$C$9:$C$18,I1522)&amp;"-Vorstand  ·  eigenes WLAN",IF(J1522=K1522+2,Eingabe!$B$6&amp;"-"&amp;INDEX(Eingabe!$C$9:$C$18,I1522)&amp;"-Gäste  ·  Voucher",IF(J1522=K1522+3,"Kabel  ·  Access Point y = .(50+y), Mast-Switch x = .(10+x)","")))))</f>
        <v/>
      </c>
      <c r="I1522" s="0" t="str">
        <f aca="false">IF(1517&lt;=(Eingabe!$P$18+Eingabe!$Q$18-1),MATCH(1517,Eingabe!$P$9:$P$18,1),"")</f>
        <v/>
      </c>
      <c r="J1522" s="0" t="str">
        <f aca="false">IF(I1522="","",1517-INDEX(Eingabe!$P$9:$P$18,I1522))</f>
        <v/>
      </c>
      <c r="K1522" s="0" t="str">
        <f aca="false">IF(I1522="","",INDEX(Eingabe!$E$9:$E$18,I1522))</f>
        <v/>
      </c>
    </row>
    <row r="1523" customFormat="false" ht="15" hidden="false" customHeight="false" outlineLevel="0" collapsed="false">
      <c r="A1523" s="0" t="str">
        <f aca="false">IF(I1523="","",IF(J1523=0,"Sparte "&amp;I1523&amp;": "&amp;INDEX(Eingabe!$B$9:$B$18,I1523)&amp;"  (Sparten-ID "&amp;INDEX(Eingabe!$D$9:$D$18,I1523)&amp;", "&amp;K1523&amp;" Parzellen)",IF(J1523&lt;=K1523,"   Parzelle "&amp;J1523,IF(J1523=K1523+1,"   Vorstand",IF(J1523=K1523+2,"   Gäste",IF(J1523=K1523+3,"   Technik (Switches, Access Points)",""))))))</f>
        <v/>
      </c>
      <c r="B1523" s="0" t="str">
        <f aca="false">IF(I1523="","",IF(AND(J1523&gt;=1,J1523&lt;=K1523+3),IF(J1523&lt;=K1523,IF(J1523&lt;=99,IF((INDEX(Eingabe!$G$9:$G$18,I1523))&lt;=9,1000+(INDEX(Eingabe!$G$9:$G$18,I1523))*100,3000)+J1523,IF((INDEX(Eingabe!$G$9:$G$18,I1523)+1)&lt;=9,1000+(INDEX(Eingabe!$G$9:$G$18,I1523)+1)*100,3000)+J1523-100),IF(J1523=K1523+1,2000+INDEX(Eingabe!$G$9:$G$18,I1523)*10+1,IF(J1523=K1523+2,2000+INDEX(Eingabe!$G$9:$G$18,I1523)*10+2,2000+INDEX(Eingabe!$G$9:$G$18,I1523)*10+9))),""))</f>
        <v/>
      </c>
      <c r="C1523" s="0" t="str">
        <f aca="false">IF(I1523="","",IF(AND(J1523&gt;=1,J1523&lt;=K1523+3),"10."&amp;INDEX(Eingabe!$D$9:$D$18,I1523)&amp;"."&amp;IF(J1523&lt;=K1523,J1523,IF(J1523=K1523+1,200,IF(J1523=K1523+2,201,250)))&amp;".0/24",""))</f>
        <v/>
      </c>
      <c r="D1523" s="0" t="str">
        <f aca="false">IF(I1523="","",IF(AND(J1523&gt;=1,J1523&lt;=K1523+3),"255.255.255.0",""))</f>
        <v/>
      </c>
      <c r="E1523" s="0" t="str">
        <f aca="false">IF(I1523="","",IF(AND(J1523&gt;=1,J1523&lt;=K1523+3),"10."&amp;INDEX(Eingabe!$D$9:$D$18,I1523)&amp;"."&amp;IF(J1523&lt;=K1523,J1523,IF(J1523=K1523+1,200,IF(J1523=K1523+2,201,250)))&amp;".1",""))</f>
        <v/>
      </c>
      <c r="F1523" s="0" t="str">
        <f aca="false">IF(I1523="","",IF(AND(J1523&gt;=1,J1523&lt;=K1523+3),"10."&amp;INDEX(Eingabe!$D$9:$D$18,I1523)&amp;"."&amp;IF(J1523&lt;=K1523,J1523,IF(J1523=K1523+1,200,IF(J1523=K1523+2,201,250)))&amp;".10 – 10."&amp;INDEX(Eingabe!$D$9:$D$18,I1523)&amp;"."&amp;IF(J1523&lt;=K1523,J1523,IF(J1523=K1523+1,200,IF(J1523=K1523+2,201,250)))&amp;".250",""))</f>
        <v/>
      </c>
      <c r="G1523" s="0" t="str">
        <f aca="false">IF(I1523="","",IF(AND(J1523&gt;=1,J1523&lt;=K1523),Eingabe!$B$6&amp;"-"&amp;INDEX(Eingabe!$C$9:$C$18,I1523)&amp;"-Pächter  ·  Passwort Parzelle "&amp;J1523,IF(J1523=K1523+1,Eingabe!$B$6&amp;"-"&amp;INDEX(Eingabe!$C$9:$C$18,I1523)&amp;"-Vorstand  ·  eigenes WLAN",IF(J1523=K1523+2,Eingabe!$B$6&amp;"-"&amp;INDEX(Eingabe!$C$9:$C$18,I1523)&amp;"-Gäste  ·  Voucher",IF(J1523=K1523+3,"Kabel  ·  Access Point y = .(50+y), Mast-Switch x = .(10+x)","")))))</f>
        <v/>
      </c>
      <c r="I1523" s="0" t="str">
        <f aca="false">IF(1518&lt;=(Eingabe!$P$18+Eingabe!$Q$18-1),MATCH(1518,Eingabe!$P$9:$P$18,1),"")</f>
        <v/>
      </c>
      <c r="J1523" s="0" t="str">
        <f aca="false">IF(I1523="","",1518-INDEX(Eingabe!$P$9:$P$18,I1523))</f>
        <v/>
      </c>
      <c r="K1523" s="0" t="str">
        <f aca="false">IF(I1523="","",INDEX(Eingabe!$E$9:$E$18,I1523))</f>
        <v/>
      </c>
    </row>
    <row r="1524" customFormat="false" ht="15" hidden="false" customHeight="false" outlineLevel="0" collapsed="false">
      <c r="A1524" s="0" t="str">
        <f aca="false">IF(I1524="","",IF(J1524=0,"Sparte "&amp;I1524&amp;": "&amp;INDEX(Eingabe!$B$9:$B$18,I1524)&amp;"  (Sparten-ID "&amp;INDEX(Eingabe!$D$9:$D$18,I1524)&amp;", "&amp;K1524&amp;" Parzellen)",IF(J1524&lt;=K1524,"   Parzelle "&amp;J1524,IF(J1524=K1524+1,"   Vorstand",IF(J1524=K1524+2,"   Gäste",IF(J1524=K1524+3,"   Technik (Switches, Access Points)",""))))))</f>
        <v/>
      </c>
      <c r="B1524" s="0" t="str">
        <f aca="false">IF(I1524="","",IF(AND(J1524&gt;=1,J1524&lt;=K1524+3),IF(J1524&lt;=K1524,IF(J1524&lt;=99,IF((INDEX(Eingabe!$G$9:$G$18,I1524))&lt;=9,1000+(INDEX(Eingabe!$G$9:$G$18,I1524))*100,3000)+J1524,IF((INDEX(Eingabe!$G$9:$G$18,I1524)+1)&lt;=9,1000+(INDEX(Eingabe!$G$9:$G$18,I1524)+1)*100,3000)+J1524-100),IF(J1524=K1524+1,2000+INDEX(Eingabe!$G$9:$G$18,I1524)*10+1,IF(J1524=K1524+2,2000+INDEX(Eingabe!$G$9:$G$18,I1524)*10+2,2000+INDEX(Eingabe!$G$9:$G$18,I1524)*10+9))),""))</f>
        <v/>
      </c>
      <c r="C1524" s="0" t="str">
        <f aca="false">IF(I1524="","",IF(AND(J1524&gt;=1,J1524&lt;=K1524+3),"10."&amp;INDEX(Eingabe!$D$9:$D$18,I1524)&amp;"."&amp;IF(J1524&lt;=K1524,J1524,IF(J1524=K1524+1,200,IF(J1524=K1524+2,201,250)))&amp;".0/24",""))</f>
        <v/>
      </c>
      <c r="D1524" s="0" t="str">
        <f aca="false">IF(I1524="","",IF(AND(J1524&gt;=1,J1524&lt;=K1524+3),"255.255.255.0",""))</f>
        <v/>
      </c>
      <c r="E1524" s="0" t="str">
        <f aca="false">IF(I1524="","",IF(AND(J1524&gt;=1,J1524&lt;=K1524+3),"10."&amp;INDEX(Eingabe!$D$9:$D$18,I1524)&amp;"."&amp;IF(J1524&lt;=K1524,J1524,IF(J1524=K1524+1,200,IF(J1524=K1524+2,201,250)))&amp;".1",""))</f>
        <v/>
      </c>
      <c r="F1524" s="0" t="str">
        <f aca="false">IF(I1524="","",IF(AND(J1524&gt;=1,J1524&lt;=K1524+3),"10."&amp;INDEX(Eingabe!$D$9:$D$18,I1524)&amp;"."&amp;IF(J1524&lt;=K1524,J1524,IF(J1524=K1524+1,200,IF(J1524=K1524+2,201,250)))&amp;".10 – 10."&amp;INDEX(Eingabe!$D$9:$D$18,I1524)&amp;"."&amp;IF(J1524&lt;=K1524,J1524,IF(J1524=K1524+1,200,IF(J1524=K1524+2,201,250)))&amp;".250",""))</f>
        <v/>
      </c>
      <c r="G1524" s="0" t="str">
        <f aca="false">IF(I1524="","",IF(AND(J1524&gt;=1,J1524&lt;=K1524),Eingabe!$B$6&amp;"-"&amp;INDEX(Eingabe!$C$9:$C$18,I1524)&amp;"-Pächter  ·  Passwort Parzelle "&amp;J1524,IF(J1524=K1524+1,Eingabe!$B$6&amp;"-"&amp;INDEX(Eingabe!$C$9:$C$18,I1524)&amp;"-Vorstand  ·  eigenes WLAN",IF(J1524=K1524+2,Eingabe!$B$6&amp;"-"&amp;INDEX(Eingabe!$C$9:$C$18,I1524)&amp;"-Gäste  ·  Voucher",IF(J1524=K1524+3,"Kabel  ·  Access Point y = .(50+y), Mast-Switch x = .(10+x)","")))))</f>
        <v/>
      </c>
      <c r="I1524" s="0" t="str">
        <f aca="false">IF(1519&lt;=(Eingabe!$P$18+Eingabe!$Q$18-1),MATCH(1519,Eingabe!$P$9:$P$18,1),"")</f>
        <v/>
      </c>
      <c r="J1524" s="0" t="str">
        <f aca="false">IF(I1524="","",1519-INDEX(Eingabe!$P$9:$P$18,I1524))</f>
        <v/>
      </c>
      <c r="K1524" s="0" t="str">
        <f aca="false">IF(I1524="","",INDEX(Eingabe!$E$9:$E$18,I1524))</f>
        <v/>
      </c>
    </row>
    <row r="1525" customFormat="false" ht="15" hidden="false" customHeight="false" outlineLevel="0" collapsed="false">
      <c r="A1525" s="0" t="str">
        <f aca="false">IF(I1525="","",IF(J1525=0,"Sparte "&amp;I1525&amp;": "&amp;INDEX(Eingabe!$B$9:$B$18,I1525)&amp;"  (Sparten-ID "&amp;INDEX(Eingabe!$D$9:$D$18,I1525)&amp;", "&amp;K1525&amp;" Parzellen)",IF(J1525&lt;=K1525,"   Parzelle "&amp;J1525,IF(J1525=K1525+1,"   Vorstand",IF(J1525=K1525+2,"   Gäste",IF(J1525=K1525+3,"   Technik (Switches, Access Points)",""))))))</f>
        <v/>
      </c>
      <c r="B1525" s="0" t="str">
        <f aca="false">IF(I1525="","",IF(AND(J1525&gt;=1,J1525&lt;=K1525+3),IF(J1525&lt;=K1525,IF(J1525&lt;=99,IF((INDEX(Eingabe!$G$9:$G$18,I1525))&lt;=9,1000+(INDEX(Eingabe!$G$9:$G$18,I1525))*100,3000)+J1525,IF((INDEX(Eingabe!$G$9:$G$18,I1525)+1)&lt;=9,1000+(INDEX(Eingabe!$G$9:$G$18,I1525)+1)*100,3000)+J1525-100),IF(J1525=K1525+1,2000+INDEX(Eingabe!$G$9:$G$18,I1525)*10+1,IF(J1525=K1525+2,2000+INDEX(Eingabe!$G$9:$G$18,I1525)*10+2,2000+INDEX(Eingabe!$G$9:$G$18,I1525)*10+9))),""))</f>
        <v/>
      </c>
      <c r="C1525" s="0" t="str">
        <f aca="false">IF(I1525="","",IF(AND(J1525&gt;=1,J1525&lt;=K1525+3),"10."&amp;INDEX(Eingabe!$D$9:$D$18,I1525)&amp;"."&amp;IF(J1525&lt;=K1525,J1525,IF(J1525=K1525+1,200,IF(J1525=K1525+2,201,250)))&amp;".0/24",""))</f>
        <v/>
      </c>
      <c r="D1525" s="0" t="str">
        <f aca="false">IF(I1525="","",IF(AND(J1525&gt;=1,J1525&lt;=K1525+3),"255.255.255.0",""))</f>
        <v/>
      </c>
      <c r="E1525" s="0" t="str">
        <f aca="false">IF(I1525="","",IF(AND(J1525&gt;=1,J1525&lt;=K1525+3),"10."&amp;INDEX(Eingabe!$D$9:$D$18,I1525)&amp;"."&amp;IF(J1525&lt;=K1525,J1525,IF(J1525=K1525+1,200,IF(J1525=K1525+2,201,250)))&amp;".1",""))</f>
        <v/>
      </c>
      <c r="F1525" s="0" t="str">
        <f aca="false">IF(I1525="","",IF(AND(J1525&gt;=1,J1525&lt;=K1525+3),"10."&amp;INDEX(Eingabe!$D$9:$D$18,I1525)&amp;"."&amp;IF(J1525&lt;=K1525,J1525,IF(J1525=K1525+1,200,IF(J1525=K1525+2,201,250)))&amp;".10 – 10."&amp;INDEX(Eingabe!$D$9:$D$18,I1525)&amp;"."&amp;IF(J1525&lt;=K1525,J1525,IF(J1525=K1525+1,200,IF(J1525=K1525+2,201,250)))&amp;".250",""))</f>
        <v/>
      </c>
      <c r="G1525" s="0" t="str">
        <f aca="false">IF(I1525="","",IF(AND(J1525&gt;=1,J1525&lt;=K1525),Eingabe!$B$6&amp;"-"&amp;INDEX(Eingabe!$C$9:$C$18,I1525)&amp;"-Pächter  ·  Passwort Parzelle "&amp;J1525,IF(J1525=K1525+1,Eingabe!$B$6&amp;"-"&amp;INDEX(Eingabe!$C$9:$C$18,I1525)&amp;"-Vorstand  ·  eigenes WLAN",IF(J1525=K1525+2,Eingabe!$B$6&amp;"-"&amp;INDEX(Eingabe!$C$9:$C$18,I1525)&amp;"-Gäste  ·  Voucher",IF(J1525=K1525+3,"Kabel  ·  Access Point y = .(50+y), Mast-Switch x = .(10+x)","")))))</f>
        <v/>
      </c>
      <c r="I1525" s="0" t="str">
        <f aca="false">IF(1520&lt;=(Eingabe!$P$18+Eingabe!$Q$18-1),MATCH(1520,Eingabe!$P$9:$P$18,1),"")</f>
        <v/>
      </c>
      <c r="J1525" s="0" t="str">
        <f aca="false">IF(I1525="","",1520-INDEX(Eingabe!$P$9:$P$18,I1525))</f>
        <v/>
      </c>
      <c r="K1525" s="0" t="str">
        <f aca="false">IF(I1525="","",INDEX(Eingabe!$E$9:$E$18,I1525))</f>
        <v/>
      </c>
    </row>
    <row r="1526" customFormat="false" ht="15" hidden="false" customHeight="false" outlineLevel="0" collapsed="false">
      <c r="A1526" s="0" t="str">
        <f aca="false">IF(I1526="","",IF(J1526=0,"Sparte "&amp;I1526&amp;": "&amp;INDEX(Eingabe!$B$9:$B$18,I1526)&amp;"  (Sparten-ID "&amp;INDEX(Eingabe!$D$9:$D$18,I1526)&amp;", "&amp;K1526&amp;" Parzellen)",IF(J1526&lt;=K1526,"   Parzelle "&amp;J1526,IF(J1526=K1526+1,"   Vorstand",IF(J1526=K1526+2,"   Gäste",IF(J1526=K1526+3,"   Technik (Switches, Access Points)",""))))))</f>
        <v/>
      </c>
      <c r="B1526" s="0" t="str">
        <f aca="false">IF(I1526="","",IF(AND(J1526&gt;=1,J1526&lt;=K1526+3),IF(J1526&lt;=K1526,IF(J1526&lt;=99,IF((INDEX(Eingabe!$G$9:$G$18,I1526))&lt;=9,1000+(INDEX(Eingabe!$G$9:$G$18,I1526))*100,3000)+J1526,IF((INDEX(Eingabe!$G$9:$G$18,I1526)+1)&lt;=9,1000+(INDEX(Eingabe!$G$9:$G$18,I1526)+1)*100,3000)+J1526-100),IF(J1526=K1526+1,2000+INDEX(Eingabe!$G$9:$G$18,I1526)*10+1,IF(J1526=K1526+2,2000+INDEX(Eingabe!$G$9:$G$18,I1526)*10+2,2000+INDEX(Eingabe!$G$9:$G$18,I1526)*10+9))),""))</f>
        <v/>
      </c>
      <c r="C1526" s="0" t="str">
        <f aca="false">IF(I1526="","",IF(AND(J1526&gt;=1,J1526&lt;=K1526+3),"10."&amp;INDEX(Eingabe!$D$9:$D$18,I1526)&amp;"."&amp;IF(J1526&lt;=K1526,J1526,IF(J1526=K1526+1,200,IF(J1526=K1526+2,201,250)))&amp;".0/24",""))</f>
        <v/>
      </c>
      <c r="D1526" s="0" t="str">
        <f aca="false">IF(I1526="","",IF(AND(J1526&gt;=1,J1526&lt;=K1526+3),"255.255.255.0",""))</f>
        <v/>
      </c>
      <c r="E1526" s="0" t="str">
        <f aca="false">IF(I1526="","",IF(AND(J1526&gt;=1,J1526&lt;=K1526+3),"10."&amp;INDEX(Eingabe!$D$9:$D$18,I1526)&amp;"."&amp;IF(J1526&lt;=K1526,J1526,IF(J1526=K1526+1,200,IF(J1526=K1526+2,201,250)))&amp;".1",""))</f>
        <v/>
      </c>
      <c r="F1526" s="0" t="str">
        <f aca="false">IF(I1526="","",IF(AND(J1526&gt;=1,J1526&lt;=K1526+3),"10."&amp;INDEX(Eingabe!$D$9:$D$18,I1526)&amp;"."&amp;IF(J1526&lt;=K1526,J1526,IF(J1526=K1526+1,200,IF(J1526=K1526+2,201,250)))&amp;".10 – 10."&amp;INDEX(Eingabe!$D$9:$D$18,I1526)&amp;"."&amp;IF(J1526&lt;=K1526,J1526,IF(J1526=K1526+1,200,IF(J1526=K1526+2,201,250)))&amp;".250",""))</f>
        <v/>
      </c>
      <c r="G1526" s="0" t="str">
        <f aca="false">IF(I1526="","",IF(AND(J1526&gt;=1,J1526&lt;=K1526),Eingabe!$B$6&amp;"-"&amp;INDEX(Eingabe!$C$9:$C$18,I1526)&amp;"-Pächter  ·  Passwort Parzelle "&amp;J1526,IF(J1526=K1526+1,Eingabe!$B$6&amp;"-"&amp;INDEX(Eingabe!$C$9:$C$18,I1526)&amp;"-Vorstand  ·  eigenes WLAN",IF(J1526=K1526+2,Eingabe!$B$6&amp;"-"&amp;INDEX(Eingabe!$C$9:$C$18,I1526)&amp;"-Gäste  ·  Voucher",IF(J1526=K1526+3,"Kabel  ·  Access Point y = .(50+y), Mast-Switch x = .(10+x)","")))))</f>
        <v/>
      </c>
      <c r="I1526" s="0" t="str">
        <f aca="false">IF(1521&lt;=(Eingabe!$P$18+Eingabe!$Q$18-1),MATCH(1521,Eingabe!$P$9:$P$18,1),"")</f>
        <v/>
      </c>
      <c r="J1526" s="0" t="str">
        <f aca="false">IF(I1526="","",1521-INDEX(Eingabe!$P$9:$P$18,I1526))</f>
        <v/>
      </c>
      <c r="K1526" s="0" t="str">
        <f aca="false">IF(I1526="","",INDEX(Eingabe!$E$9:$E$18,I1526))</f>
        <v/>
      </c>
    </row>
    <row r="1527" customFormat="false" ht="15" hidden="false" customHeight="false" outlineLevel="0" collapsed="false">
      <c r="A1527" s="0" t="str">
        <f aca="false">IF(I1527="","",IF(J1527=0,"Sparte "&amp;I1527&amp;": "&amp;INDEX(Eingabe!$B$9:$B$18,I1527)&amp;"  (Sparten-ID "&amp;INDEX(Eingabe!$D$9:$D$18,I1527)&amp;", "&amp;K1527&amp;" Parzellen)",IF(J1527&lt;=K1527,"   Parzelle "&amp;J1527,IF(J1527=K1527+1,"   Vorstand",IF(J1527=K1527+2,"   Gäste",IF(J1527=K1527+3,"   Technik (Switches, Access Points)",""))))))</f>
        <v/>
      </c>
      <c r="B1527" s="0" t="str">
        <f aca="false">IF(I1527="","",IF(AND(J1527&gt;=1,J1527&lt;=K1527+3),IF(J1527&lt;=K1527,IF(J1527&lt;=99,IF((INDEX(Eingabe!$G$9:$G$18,I1527))&lt;=9,1000+(INDEX(Eingabe!$G$9:$G$18,I1527))*100,3000)+J1527,IF((INDEX(Eingabe!$G$9:$G$18,I1527)+1)&lt;=9,1000+(INDEX(Eingabe!$G$9:$G$18,I1527)+1)*100,3000)+J1527-100),IF(J1527=K1527+1,2000+INDEX(Eingabe!$G$9:$G$18,I1527)*10+1,IF(J1527=K1527+2,2000+INDEX(Eingabe!$G$9:$G$18,I1527)*10+2,2000+INDEX(Eingabe!$G$9:$G$18,I1527)*10+9))),""))</f>
        <v/>
      </c>
      <c r="C1527" s="0" t="str">
        <f aca="false">IF(I1527="","",IF(AND(J1527&gt;=1,J1527&lt;=K1527+3),"10."&amp;INDEX(Eingabe!$D$9:$D$18,I1527)&amp;"."&amp;IF(J1527&lt;=K1527,J1527,IF(J1527=K1527+1,200,IF(J1527=K1527+2,201,250)))&amp;".0/24",""))</f>
        <v/>
      </c>
      <c r="D1527" s="0" t="str">
        <f aca="false">IF(I1527="","",IF(AND(J1527&gt;=1,J1527&lt;=K1527+3),"255.255.255.0",""))</f>
        <v/>
      </c>
      <c r="E1527" s="0" t="str">
        <f aca="false">IF(I1527="","",IF(AND(J1527&gt;=1,J1527&lt;=K1527+3),"10."&amp;INDEX(Eingabe!$D$9:$D$18,I1527)&amp;"."&amp;IF(J1527&lt;=K1527,J1527,IF(J1527=K1527+1,200,IF(J1527=K1527+2,201,250)))&amp;".1",""))</f>
        <v/>
      </c>
      <c r="F1527" s="0" t="str">
        <f aca="false">IF(I1527="","",IF(AND(J1527&gt;=1,J1527&lt;=K1527+3),"10."&amp;INDEX(Eingabe!$D$9:$D$18,I1527)&amp;"."&amp;IF(J1527&lt;=K1527,J1527,IF(J1527=K1527+1,200,IF(J1527=K1527+2,201,250)))&amp;".10 – 10."&amp;INDEX(Eingabe!$D$9:$D$18,I1527)&amp;"."&amp;IF(J1527&lt;=K1527,J1527,IF(J1527=K1527+1,200,IF(J1527=K1527+2,201,250)))&amp;".250",""))</f>
        <v/>
      </c>
      <c r="G1527" s="0" t="str">
        <f aca="false">IF(I1527="","",IF(AND(J1527&gt;=1,J1527&lt;=K1527),Eingabe!$B$6&amp;"-"&amp;INDEX(Eingabe!$C$9:$C$18,I1527)&amp;"-Pächter  ·  Passwort Parzelle "&amp;J1527,IF(J1527=K1527+1,Eingabe!$B$6&amp;"-"&amp;INDEX(Eingabe!$C$9:$C$18,I1527)&amp;"-Vorstand  ·  eigenes WLAN",IF(J1527=K1527+2,Eingabe!$B$6&amp;"-"&amp;INDEX(Eingabe!$C$9:$C$18,I1527)&amp;"-Gäste  ·  Voucher",IF(J1527=K1527+3,"Kabel  ·  Access Point y = .(50+y), Mast-Switch x = .(10+x)","")))))</f>
        <v/>
      </c>
      <c r="I1527" s="0" t="str">
        <f aca="false">IF(1522&lt;=(Eingabe!$P$18+Eingabe!$Q$18-1),MATCH(1522,Eingabe!$P$9:$P$18,1),"")</f>
        <v/>
      </c>
      <c r="J1527" s="0" t="str">
        <f aca="false">IF(I1527="","",1522-INDEX(Eingabe!$P$9:$P$18,I1527))</f>
        <v/>
      </c>
      <c r="K1527" s="0" t="str">
        <f aca="false">IF(I1527="","",INDEX(Eingabe!$E$9:$E$18,I1527))</f>
        <v/>
      </c>
    </row>
    <row r="1528" customFormat="false" ht="15" hidden="false" customHeight="false" outlineLevel="0" collapsed="false">
      <c r="A1528" s="0" t="str">
        <f aca="false">IF(I1528="","",IF(J1528=0,"Sparte "&amp;I1528&amp;": "&amp;INDEX(Eingabe!$B$9:$B$18,I1528)&amp;"  (Sparten-ID "&amp;INDEX(Eingabe!$D$9:$D$18,I1528)&amp;", "&amp;K1528&amp;" Parzellen)",IF(J1528&lt;=K1528,"   Parzelle "&amp;J1528,IF(J1528=K1528+1,"   Vorstand",IF(J1528=K1528+2,"   Gäste",IF(J1528=K1528+3,"   Technik (Switches, Access Points)",""))))))</f>
        <v/>
      </c>
      <c r="B1528" s="0" t="str">
        <f aca="false">IF(I1528="","",IF(AND(J1528&gt;=1,J1528&lt;=K1528+3),IF(J1528&lt;=K1528,IF(J1528&lt;=99,IF((INDEX(Eingabe!$G$9:$G$18,I1528))&lt;=9,1000+(INDEX(Eingabe!$G$9:$G$18,I1528))*100,3000)+J1528,IF((INDEX(Eingabe!$G$9:$G$18,I1528)+1)&lt;=9,1000+(INDEX(Eingabe!$G$9:$G$18,I1528)+1)*100,3000)+J1528-100),IF(J1528=K1528+1,2000+INDEX(Eingabe!$G$9:$G$18,I1528)*10+1,IF(J1528=K1528+2,2000+INDEX(Eingabe!$G$9:$G$18,I1528)*10+2,2000+INDEX(Eingabe!$G$9:$G$18,I1528)*10+9))),""))</f>
        <v/>
      </c>
      <c r="C1528" s="0" t="str">
        <f aca="false">IF(I1528="","",IF(AND(J1528&gt;=1,J1528&lt;=K1528+3),"10."&amp;INDEX(Eingabe!$D$9:$D$18,I1528)&amp;"."&amp;IF(J1528&lt;=K1528,J1528,IF(J1528=K1528+1,200,IF(J1528=K1528+2,201,250)))&amp;".0/24",""))</f>
        <v/>
      </c>
      <c r="D1528" s="0" t="str">
        <f aca="false">IF(I1528="","",IF(AND(J1528&gt;=1,J1528&lt;=K1528+3),"255.255.255.0",""))</f>
        <v/>
      </c>
      <c r="E1528" s="0" t="str">
        <f aca="false">IF(I1528="","",IF(AND(J1528&gt;=1,J1528&lt;=K1528+3),"10."&amp;INDEX(Eingabe!$D$9:$D$18,I1528)&amp;"."&amp;IF(J1528&lt;=K1528,J1528,IF(J1528=K1528+1,200,IF(J1528=K1528+2,201,250)))&amp;".1",""))</f>
        <v/>
      </c>
      <c r="F1528" s="0" t="str">
        <f aca="false">IF(I1528="","",IF(AND(J1528&gt;=1,J1528&lt;=K1528+3),"10."&amp;INDEX(Eingabe!$D$9:$D$18,I1528)&amp;"."&amp;IF(J1528&lt;=K1528,J1528,IF(J1528=K1528+1,200,IF(J1528=K1528+2,201,250)))&amp;".10 – 10."&amp;INDEX(Eingabe!$D$9:$D$18,I1528)&amp;"."&amp;IF(J1528&lt;=K1528,J1528,IF(J1528=K1528+1,200,IF(J1528=K1528+2,201,250)))&amp;".250",""))</f>
        <v/>
      </c>
      <c r="G1528" s="0" t="str">
        <f aca="false">IF(I1528="","",IF(AND(J1528&gt;=1,J1528&lt;=K1528),Eingabe!$B$6&amp;"-"&amp;INDEX(Eingabe!$C$9:$C$18,I1528)&amp;"-Pächter  ·  Passwort Parzelle "&amp;J1528,IF(J1528=K1528+1,Eingabe!$B$6&amp;"-"&amp;INDEX(Eingabe!$C$9:$C$18,I1528)&amp;"-Vorstand  ·  eigenes WLAN",IF(J1528=K1528+2,Eingabe!$B$6&amp;"-"&amp;INDEX(Eingabe!$C$9:$C$18,I1528)&amp;"-Gäste  ·  Voucher",IF(J1528=K1528+3,"Kabel  ·  Access Point y = .(50+y), Mast-Switch x = .(10+x)","")))))</f>
        <v/>
      </c>
      <c r="I1528" s="0" t="str">
        <f aca="false">IF(1523&lt;=(Eingabe!$P$18+Eingabe!$Q$18-1),MATCH(1523,Eingabe!$P$9:$P$18,1),"")</f>
        <v/>
      </c>
      <c r="J1528" s="0" t="str">
        <f aca="false">IF(I1528="","",1523-INDEX(Eingabe!$P$9:$P$18,I1528))</f>
        <v/>
      </c>
      <c r="K1528" s="0" t="str">
        <f aca="false">IF(I1528="","",INDEX(Eingabe!$E$9:$E$18,I1528))</f>
        <v/>
      </c>
    </row>
    <row r="1529" customFormat="false" ht="15" hidden="false" customHeight="false" outlineLevel="0" collapsed="false">
      <c r="A1529" s="0" t="str">
        <f aca="false">IF(I1529="","",IF(J1529=0,"Sparte "&amp;I1529&amp;": "&amp;INDEX(Eingabe!$B$9:$B$18,I1529)&amp;"  (Sparten-ID "&amp;INDEX(Eingabe!$D$9:$D$18,I1529)&amp;", "&amp;K1529&amp;" Parzellen)",IF(J1529&lt;=K1529,"   Parzelle "&amp;J1529,IF(J1529=K1529+1,"   Vorstand",IF(J1529=K1529+2,"   Gäste",IF(J1529=K1529+3,"   Technik (Switches, Access Points)",""))))))</f>
        <v/>
      </c>
      <c r="B1529" s="0" t="str">
        <f aca="false">IF(I1529="","",IF(AND(J1529&gt;=1,J1529&lt;=K1529+3),IF(J1529&lt;=K1529,IF(J1529&lt;=99,IF((INDEX(Eingabe!$G$9:$G$18,I1529))&lt;=9,1000+(INDEX(Eingabe!$G$9:$G$18,I1529))*100,3000)+J1529,IF((INDEX(Eingabe!$G$9:$G$18,I1529)+1)&lt;=9,1000+(INDEX(Eingabe!$G$9:$G$18,I1529)+1)*100,3000)+J1529-100),IF(J1529=K1529+1,2000+INDEX(Eingabe!$G$9:$G$18,I1529)*10+1,IF(J1529=K1529+2,2000+INDEX(Eingabe!$G$9:$G$18,I1529)*10+2,2000+INDEX(Eingabe!$G$9:$G$18,I1529)*10+9))),""))</f>
        <v/>
      </c>
      <c r="C1529" s="0" t="str">
        <f aca="false">IF(I1529="","",IF(AND(J1529&gt;=1,J1529&lt;=K1529+3),"10."&amp;INDEX(Eingabe!$D$9:$D$18,I1529)&amp;"."&amp;IF(J1529&lt;=K1529,J1529,IF(J1529=K1529+1,200,IF(J1529=K1529+2,201,250)))&amp;".0/24",""))</f>
        <v/>
      </c>
      <c r="D1529" s="0" t="str">
        <f aca="false">IF(I1529="","",IF(AND(J1529&gt;=1,J1529&lt;=K1529+3),"255.255.255.0",""))</f>
        <v/>
      </c>
      <c r="E1529" s="0" t="str">
        <f aca="false">IF(I1529="","",IF(AND(J1529&gt;=1,J1529&lt;=K1529+3),"10."&amp;INDEX(Eingabe!$D$9:$D$18,I1529)&amp;"."&amp;IF(J1529&lt;=K1529,J1529,IF(J1529=K1529+1,200,IF(J1529=K1529+2,201,250)))&amp;".1",""))</f>
        <v/>
      </c>
      <c r="F1529" s="0" t="str">
        <f aca="false">IF(I1529="","",IF(AND(J1529&gt;=1,J1529&lt;=K1529+3),"10."&amp;INDEX(Eingabe!$D$9:$D$18,I1529)&amp;"."&amp;IF(J1529&lt;=K1529,J1529,IF(J1529=K1529+1,200,IF(J1529=K1529+2,201,250)))&amp;".10 – 10."&amp;INDEX(Eingabe!$D$9:$D$18,I1529)&amp;"."&amp;IF(J1529&lt;=K1529,J1529,IF(J1529=K1529+1,200,IF(J1529=K1529+2,201,250)))&amp;".250",""))</f>
        <v/>
      </c>
      <c r="G1529" s="0" t="str">
        <f aca="false">IF(I1529="","",IF(AND(J1529&gt;=1,J1529&lt;=K1529),Eingabe!$B$6&amp;"-"&amp;INDEX(Eingabe!$C$9:$C$18,I1529)&amp;"-Pächter  ·  Passwort Parzelle "&amp;J1529,IF(J1529=K1529+1,Eingabe!$B$6&amp;"-"&amp;INDEX(Eingabe!$C$9:$C$18,I1529)&amp;"-Vorstand  ·  eigenes WLAN",IF(J1529=K1529+2,Eingabe!$B$6&amp;"-"&amp;INDEX(Eingabe!$C$9:$C$18,I1529)&amp;"-Gäste  ·  Voucher",IF(J1529=K1529+3,"Kabel  ·  Access Point y = .(50+y), Mast-Switch x = .(10+x)","")))))</f>
        <v/>
      </c>
      <c r="I1529" s="0" t="str">
        <f aca="false">IF(1524&lt;=(Eingabe!$P$18+Eingabe!$Q$18-1),MATCH(1524,Eingabe!$P$9:$P$18,1),"")</f>
        <v/>
      </c>
      <c r="J1529" s="0" t="str">
        <f aca="false">IF(I1529="","",1524-INDEX(Eingabe!$P$9:$P$18,I1529))</f>
        <v/>
      </c>
      <c r="K1529" s="0" t="str">
        <f aca="false">IF(I1529="","",INDEX(Eingabe!$E$9:$E$18,I1529))</f>
        <v/>
      </c>
    </row>
    <row r="1530" customFormat="false" ht="15" hidden="false" customHeight="false" outlineLevel="0" collapsed="false">
      <c r="A1530" s="0" t="str">
        <f aca="false">IF(I1530="","",IF(J1530=0,"Sparte "&amp;I1530&amp;": "&amp;INDEX(Eingabe!$B$9:$B$18,I1530)&amp;"  (Sparten-ID "&amp;INDEX(Eingabe!$D$9:$D$18,I1530)&amp;", "&amp;K1530&amp;" Parzellen)",IF(J1530&lt;=K1530,"   Parzelle "&amp;J1530,IF(J1530=K1530+1,"   Vorstand",IF(J1530=K1530+2,"   Gäste",IF(J1530=K1530+3,"   Technik (Switches, Access Points)",""))))))</f>
        <v/>
      </c>
      <c r="B1530" s="0" t="str">
        <f aca="false">IF(I1530="","",IF(AND(J1530&gt;=1,J1530&lt;=K1530+3),IF(J1530&lt;=K1530,IF(J1530&lt;=99,IF((INDEX(Eingabe!$G$9:$G$18,I1530))&lt;=9,1000+(INDEX(Eingabe!$G$9:$G$18,I1530))*100,3000)+J1530,IF((INDEX(Eingabe!$G$9:$G$18,I1530)+1)&lt;=9,1000+(INDEX(Eingabe!$G$9:$G$18,I1530)+1)*100,3000)+J1530-100),IF(J1530=K1530+1,2000+INDEX(Eingabe!$G$9:$G$18,I1530)*10+1,IF(J1530=K1530+2,2000+INDEX(Eingabe!$G$9:$G$18,I1530)*10+2,2000+INDEX(Eingabe!$G$9:$G$18,I1530)*10+9))),""))</f>
        <v/>
      </c>
      <c r="C1530" s="0" t="str">
        <f aca="false">IF(I1530="","",IF(AND(J1530&gt;=1,J1530&lt;=K1530+3),"10."&amp;INDEX(Eingabe!$D$9:$D$18,I1530)&amp;"."&amp;IF(J1530&lt;=K1530,J1530,IF(J1530=K1530+1,200,IF(J1530=K1530+2,201,250)))&amp;".0/24",""))</f>
        <v/>
      </c>
      <c r="D1530" s="0" t="str">
        <f aca="false">IF(I1530="","",IF(AND(J1530&gt;=1,J1530&lt;=K1530+3),"255.255.255.0",""))</f>
        <v/>
      </c>
      <c r="E1530" s="0" t="str">
        <f aca="false">IF(I1530="","",IF(AND(J1530&gt;=1,J1530&lt;=K1530+3),"10."&amp;INDEX(Eingabe!$D$9:$D$18,I1530)&amp;"."&amp;IF(J1530&lt;=K1530,J1530,IF(J1530=K1530+1,200,IF(J1530=K1530+2,201,250)))&amp;".1",""))</f>
        <v/>
      </c>
      <c r="F1530" s="0" t="str">
        <f aca="false">IF(I1530="","",IF(AND(J1530&gt;=1,J1530&lt;=K1530+3),"10."&amp;INDEX(Eingabe!$D$9:$D$18,I1530)&amp;"."&amp;IF(J1530&lt;=K1530,J1530,IF(J1530=K1530+1,200,IF(J1530=K1530+2,201,250)))&amp;".10 – 10."&amp;INDEX(Eingabe!$D$9:$D$18,I1530)&amp;"."&amp;IF(J1530&lt;=K1530,J1530,IF(J1530=K1530+1,200,IF(J1530=K1530+2,201,250)))&amp;".250",""))</f>
        <v/>
      </c>
      <c r="G1530" s="0" t="str">
        <f aca="false">IF(I1530="","",IF(AND(J1530&gt;=1,J1530&lt;=K1530),Eingabe!$B$6&amp;"-"&amp;INDEX(Eingabe!$C$9:$C$18,I1530)&amp;"-Pächter  ·  Passwort Parzelle "&amp;J1530,IF(J1530=K1530+1,Eingabe!$B$6&amp;"-"&amp;INDEX(Eingabe!$C$9:$C$18,I1530)&amp;"-Vorstand  ·  eigenes WLAN",IF(J1530=K1530+2,Eingabe!$B$6&amp;"-"&amp;INDEX(Eingabe!$C$9:$C$18,I1530)&amp;"-Gäste  ·  Voucher",IF(J1530=K1530+3,"Kabel  ·  Access Point y = .(50+y), Mast-Switch x = .(10+x)","")))))</f>
        <v/>
      </c>
      <c r="I1530" s="0" t="str">
        <f aca="false">IF(1525&lt;=(Eingabe!$P$18+Eingabe!$Q$18-1),MATCH(1525,Eingabe!$P$9:$P$18,1),"")</f>
        <v/>
      </c>
      <c r="J1530" s="0" t="str">
        <f aca="false">IF(I1530="","",1525-INDEX(Eingabe!$P$9:$P$18,I1530))</f>
        <v/>
      </c>
      <c r="K1530" s="0" t="str">
        <f aca="false">IF(I1530="","",INDEX(Eingabe!$E$9:$E$18,I1530))</f>
        <v/>
      </c>
    </row>
    <row r="1531" customFormat="false" ht="15" hidden="false" customHeight="false" outlineLevel="0" collapsed="false">
      <c r="A1531" s="0" t="str">
        <f aca="false">IF(I1531="","",IF(J1531=0,"Sparte "&amp;I1531&amp;": "&amp;INDEX(Eingabe!$B$9:$B$18,I1531)&amp;"  (Sparten-ID "&amp;INDEX(Eingabe!$D$9:$D$18,I1531)&amp;", "&amp;K1531&amp;" Parzellen)",IF(J1531&lt;=K1531,"   Parzelle "&amp;J1531,IF(J1531=K1531+1,"   Vorstand",IF(J1531=K1531+2,"   Gäste",IF(J1531=K1531+3,"   Technik (Switches, Access Points)",""))))))</f>
        <v/>
      </c>
      <c r="B1531" s="0" t="str">
        <f aca="false">IF(I1531="","",IF(AND(J1531&gt;=1,J1531&lt;=K1531+3),IF(J1531&lt;=K1531,IF(J1531&lt;=99,IF((INDEX(Eingabe!$G$9:$G$18,I1531))&lt;=9,1000+(INDEX(Eingabe!$G$9:$G$18,I1531))*100,3000)+J1531,IF((INDEX(Eingabe!$G$9:$G$18,I1531)+1)&lt;=9,1000+(INDEX(Eingabe!$G$9:$G$18,I1531)+1)*100,3000)+J1531-100),IF(J1531=K1531+1,2000+INDEX(Eingabe!$G$9:$G$18,I1531)*10+1,IF(J1531=K1531+2,2000+INDEX(Eingabe!$G$9:$G$18,I1531)*10+2,2000+INDEX(Eingabe!$G$9:$G$18,I1531)*10+9))),""))</f>
        <v/>
      </c>
      <c r="C1531" s="0" t="str">
        <f aca="false">IF(I1531="","",IF(AND(J1531&gt;=1,J1531&lt;=K1531+3),"10."&amp;INDEX(Eingabe!$D$9:$D$18,I1531)&amp;"."&amp;IF(J1531&lt;=K1531,J1531,IF(J1531=K1531+1,200,IF(J1531=K1531+2,201,250)))&amp;".0/24",""))</f>
        <v/>
      </c>
      <c r="D1531" s="0" t="str">
        <f aca="false">IF(I1531="","",IF(AND(J1531&gt;=1,J1531&lt;=K1531+3),"255.255.255.0",""))</f>
        <v/>
      </c>
      <c r="E1531" s="0" t="str">
        <f aca="false">IF(I1531="","",IF(AND(J1531&gt;=1,J1531&lt;=K1531+3),"10."&amp;INDEX(Eingabe!$D$9:$D$18,I1531)&amp;"."&amp;IF(J1531&lt;=K1531,J1531,IF(J1531=K1531+1,200,IF(J1531=K1531+2,201,250)))&amp;".1",""))</f>
        <v/>
      </c>
      <c r="F1531" s="0" t="str">
        <f aca="false">IF(I1531="","",IF(AND(J1531&gt;=1,J1531&lt;=K1531+3),"10."&amp;INDEX(Eingabe!$D$9:$D$18,I1531)&amp;"."&amp;IF(J1531&lt;=K1531,J1531,IF(J1531=K1531+1,200,IF(J1531=K1531+2,201,250)))&amp;".10 – 10."&amp;INDEX(Eingabe!$D$9:$D$18,I1531)&amp;"."&amp;IF(J1531&lt;=K1531,J1531,IF(J1531=K1531+1,200,IF(J1531=K1531+2,201,250)))&amp;".250",""))</f>
        <v/>
      </c>
      <c r="G1531" s="0" t="str">
        <f aca="false">IF(I1531="","",IF(AND(J1531&gt;=1,J1531&lt;=K1531),Eingabe!$B$6&amp;"-"&amp;INDEX(Eingabe!$C$9:$C$18,I1531)&amp;"-Pächter  ·  Passwort Parzelle "&amp;J1531,IF(J1531=K1531+1,Eingabe!$B$6&amp;"-"&amp;INDEX(Eingabe!$C$9:$C$18,I1531)&amp;"-Vorstand  ·  eigenes WLAN",IF(J1531=K1531+2,Eingabe!$B$6&amp;"-"&amp;INDEX(Eingabe!$C$9:$C$18,I1531)&amp;"-Gäste  ·  Voucher",IF(J1531=K1531+3,"Kabel  ·  Access Point y = .(50+y), Mast-Switch x = .(10+x)","")))))</f>
        <v/>
      </c>
      <c r="I1531" s="0" t="str">
        <f aca="false">IF(1526&lt;=(Eingabe!$P$18+Eingabe!$Q$18-1),MATCH(1526,Eingabe!$P$9:$P$18,1),"")</f>
        <v/>
      </c>
      <c r="J1531" s="0" t="str">
        <f aca="false">IF(I1531="","",1526-INDEX(Eingabe!$P$9:$P$18,I1531))</f>
        <v/>
      </c>
      <c r="K1531" s="0" t="str">
        <f aca="false">IF(I1531="","",INDEX(Eingabe!$E$9:$E$18,I1531))</f>
        <v/>
      </c>
    </row>
    <row r="1532" customFormat="false" ht="15" hidden="false" customHeight="false" outlineLevel="0" collapsed="false">
      <c r="A1532" s="0" t="str">
        <f aca="false">IF(I1532="","",IF(J1532=0,"Sparte "&amp;I1532&amp;": "&amp;INDEX(Eingabe!$B$9:$B$18,I1532)&amp;"  (Sparten-ID "&amp;INDEX(Eingabe!$D$9:$D$18,I1532)&amp;", "&amp;K1532&amp;" Parzellen)",IF(J1532&lt;=K1532,"   Parzelle "&amp;J1532,IF(J1532=K1532+1,"   Vorstand",IF(J1532=K1532+2,"   Gäste",IF(J1532=K1532+3,"   Technik (Switches, Access Points)",""))))))</f>
        <v/>
      </c>
      <c r="B1532" s="0" t="str">
        <f aca="false">IF(I1532="","",IF(AND(J1532&gt;=1,J1532&lt;=K1532+3),IF(J1532&lt;=K1532,IF(J1532&lt;=99,IF((INDEX(Eingabe!$G$9:$G$18,I1532))&lt;=9,1000+(INDEX(Eingabe!$G$9:$G$18,I1532))*100,3000)+J1532,IF((INDEX(Eingabe!$G$9:$G$18,I1532)+1)&lt;=9,1000+(INDEX(Eingabe!$G$9:$G$18,I1532)+1)*100,3000)+J1532-100),IF(J1532=K1532+1,2000+INDEX(Eingabe!$G$9:$G$18,I1532)*10+1,IF(J1532=K1532+2,2000+INDEX(Eingabe!$G$9:$G$18,I1532)*10+2,2000+INDEX(Eingabe!$G$9:$G$18,I1532)*10+9))),""))</f>
        <v/>
      </c>
      <c r="C1532" s="0" t="str">
        <f aca="false">IF(I1532="","",IF(AND(J1532&gt;=1,J1532&lt;=K1532+3),"10."&amp;INDEX(Eingabe!$D$9:$D$18,I1532)&amp;"."&amp;IF(J1532&lt;=K1532,J1532,IF(J1532=K1532+1,200,IF(J1532=K1532+2,201,250)))&amp;".0/24",""))</f>
        <v/>
      </c>
      <c r="D1532" s="0" t="str">
        <f aca="false">IF(I1532="","",IF(AND(J1532&gt;=1,J1532&lt;=K1532+3),"255.255.255.0",""))</f>
        <v/>
      </c>
      <c r="E1532" s="0" t="str">
        <f aca="false">IF(I1532="","",IF(AND(J1532&gt;=1,J1532&lt;=K1532+3),"10."&amp;INDEX(Eingabe!$D$9:$D$18,I1532)&amp;"."&amp;IF(J1532&lt;=K1532,J1532,IF(J1532=K1532+1,200,IF(J1532=K1532+2,201,250)))&amp;".1",""))</f>
        <v/>
      </c>
      <c r="F1532" s="0" t="str">
        <f aca="false">IF(I1532="","",IF(AND(J1532&gt;=1,J1532&lt;=K1532+3),"10."&amp;INDEX(Eingabe!$D$9:$D$18,I1532)&amp;"."&amp;IF(J1532&lt;=K1532,J1532,IF(J1532=K1532+1,200,IF(J1532=K1532+2,201,250)))&amp;".10 – 10."&amp;INDEX(Eingabe!$D$9:$D$18,I1532)&amp;"."&amp;IF(J1532&lt;=K1532,J1532,IF(J1532=K1532+1,200,IF(J1532=K1532+2,201,250)))&amp;".250",""))</f>
        <v/>
      </c>
      <c r="G1532" s="0" t="str">
        <f aca="false">IF(I1532="","",IF(AND(J1532&gt;=1,J1532&lt;=K1532),Eingabe!$B$6&amp;"-"&amp;INDEX(Eingabe!$C$9:$C$18,I1532)&amp;"-Pächter  ·  Passwort Parzelle "&amp;J1532,IF(J1532=K1532+1,Eingabe!$B$6&amp;"-"&amp;INDEX(Eingabe!$C$9:$C$18,I1532)&amp;"-Vorstand  ·  eigenes WLAN",IF(J1532=K1532+2,Eingabe!$B$6&amp;"-"&amp;INDEX(Eingabe!$C$9:$C$18,I1532)&amp;"-Gäste  ·  Voucher",IF(J1532=K1532+3,"Kabel  ·  Access Point y = .(50+y), Mast-Switch x = .(10+x)","")))))</f>
        <v/>
      </c>
      <c r="I1532" s="0" t="str">
        <f aca="false">IF(1527&lt;=(Eingabe!$P$18+Eingabe!$Q$18-1),MATCH(1527,Eingabe!$P$9:$P$18,1),"")</f>
        <v/>
      </c>
      <c r="J1532" s="0" t="str">
        <f aca="false">IF(I1532="","",1527-INDEX(Eingabe!$P$9:$P$18,I1532))</f>
        <v/>
      </c>
      <c r="K1532" s="0" t="str">
        <f aca="false">IF(I1532="","",INDEX(Eingabe!$E$9:$E$18,I1532))</f>
        <v/>
      </c>
    </row>
    <row r="1533" customFormat="false" ht="15" hidden="false" customHeight="false" outlineLevel="0" collapsed="false">
      <c r="A1533" s="0" t="str">
        <f aca="false">IF(I1533="","",IF(J1533=0,"Sparte "&amp;I1533&amp;": "&amp;INDEX(Eingabe!$B$9:$B$18,I1533)&amp;"  (Sparten-ID "&amp;INDEX(Eingabe!$D$9:$D$18,I1533)&amp;", "&amp;K1533&amp;" Parzellen)",IF(J1533&lt;=K1533,"   Parzelle "&amp;J1533,IF(J1533=K1533+1,"   Vorstand",IF(J1533=K1533+2,"   Gäste",IF(J1533=K1533+3,"   Technik (Switches, Access Points)",""))))))</f>
        <v/>
      </c>
      <c r="B1533" s="0" t="str">
        <f aca="false">IF(I1533="","",IF(AND(J1533&gt;=1,J1533&lt;=K1533+3),IF(J1533&lt;=K1533,IF(J1533&lt;=99,IF((INDEX(Eingabe!$G$9:$G$18,I1533))&lt;=9,1000+(INDEX(Eingabe!$G$9:$G$18,I1533))*100,3000)+J1533,IF((INDEX(Eingabe!$G$9:$G$18,I1533)+1)&lt;=9,1000+(INDEX(Eingabe!$G$9:$G$18,I1533)+1)*100,3000)+J1533-100),IF(J1533=K1533+1,2000+INDEX(Eingabe!$G$9:$G$18,I1533)*10+1,IF(J1533=K1533+2,2000+INDEX(Eingabe!$G$9:$G$18,I1533)*10+2,2000+INDEX(Eingabe!$G$9:$G$18,I1533)*10+9))),""))</f>
        <v/>
      </c>
      <c r="C1533" s="0" t="str">
        <f aca="false">IF(I1533="","",IF(AND(J1533&gt;=1,J1533&lt;=K1533+3),"10."&amp;INDEX(Eingabe!$D$9:$D$18,I1533)&amp;"."&amp;IF(J1533&lt;=K1533,J1533,IF(J1533=K1533+1,200,IF(J1533=K1533+2,201,250)))&amp;".0/24",""))</f>
        <v/>
      </c>
      <c r="D1533" s="0" t="str">
        <f aca="false">IF(I1533="","",IF(AND(J1533&gt;=1,J1533&lt;=K1533+3),"255.255.255.0",""))</f>
        <v/>
      </c>
      <c r="E1533" s="0" t="str">
        <f aca="false">IF(I1533="","",IF(AND(J1533&gt;=1,J1533&lt;=K1533+3),"10."&amp;INDEX(Eingabe!$D$9:$D$18,I1533)&amp;"."&amp;IF(J1533&lt;=K1533,J1533,IF(J1533=K1533+1,200,IF(J1533=K1533+2,201,250)))&amp;".1",""))</f>
        <v/>
      </c>
      <c r="F1533" s="0" t="str">
        <f aca="false">IF(I1533="","",IF(AND(J1533&gt;=1,J1533&lt;=K1533+3),"10."&amp;INDEX(Eingabe!$D$9:$D$18,I1533)&amp;"."&amp;IF(J1533&lt;=K1533,J1533,IF(J1533=K1533+1,200,IF(J1533=K1533+2,201,250)))&amp;".10 – 10."&amp;INDEX(Eingabe!$D$9:$D$18,I1533)&amp;"."&amp;IF(J1533&lt;=K1533,J1533,IF(J1533=K1533+1,200,IF(J1533=K1533+2,201,250)))&amp;".250",""))</f>
        <v/>
      </c>
      <c r="G1533" s="0" t="str">
        <f aca="false">IF(I1533="","",IF(AND(J1533&gt;=1,J1533&lt;=K1533),Eingabe!$B$6&amp;"-"&amp;INDEX(Eingabe!$C$9:$C$18,I1533)&amp;"-Pächter  ·  Passwort Parzelle "&amp;J1533,IF(J1533=K1533+1,Eingabe!$B$6&amp;"-"&amp;INDEX(Eingabe!$C$9:$C$18,I1533)&amp;"-Vorstand  ·  eigenes WLAN",IF(J1533=K1533+2,Eingabe!$B$6&amp;"-"&amp;INDEX(Eingabe!$C$9:$C$18,I1533)&amp;"-Gäste  ·  Voucher",IF(J1533=K1533+3,"Kabel  ·  Access Point y = .(50+y), Mast-Switch x = .(10+x)","")))))</f>
        <v/>
      </c>
      <c r="I1533" s="0" t="str">
        <f aca="false">IF(1528&lt;=(Eingabe!$P$18+Eingabe!$Q$18-1),MATCH(1528,Eingabe!$P$9:$P$18,1),"")</f>
        <v/>
      </c>
      <c r="J1533" s="0" t="str">
        <f aca="false">IF(I1533="","",1528-INDEX(Eingabe!$P$9:$P$18,I1533))</f>
        <v/>
      </c>
      <c r="K1533" s="0" t="str">
        <f aca="false">IF(I1533="","",INDEX(Eingabe!$E$9:$E$18,I1533))</f>
        <v/>
      </c>
    </row>
    <row r="1534" customFormat="false" ht="15" hidden="false" customHeight="false" outlineLevel="0" collapsed="false">
      <c r="A1534" s="0" t="str">
        <f aca="false">IF(I1534="","",IF(J1534=0,"Sparte "&amp;I1534&amp;": "&amp;INDEX(Eingabe!$B$9:$B$18,I1534)&amp;"  (Sparten-ID "&amp;INDEX(Eingabe!$D$9:$D$18,I1534)&amp;", "&amp;K1534&amp;" Parzellen)",IF(J1534&lt;=K1534,"   Parzelle "&amp;J1534,IF(J1534=K1534+1,"   Vorstand",IF(J1534=K1534+2,"   Gäste",IF(J1534=K1534+3,"   Technik (Switches, Access Points)",""))))))</f>
        <v/>
      </c>
      <c r="B1534" s="0" t="str">
        <f aca="false">IF(I1534="","",IF(AND(J1534&gt;=1,J1534&lt;=K1534+3),IF(J1534&lt;=K1534,IF(J1534&lt;=99,IF((INDEX(Eingabe!$G$9:$G$18,I1534))&lt;=9,1000+(INDEX(Eingabe!$G$9:$G$18,I1534))*100,3000)+J1534,IF((INDEX(Eingabe!$G$9:$G$18,I1534)+1)&lt;=9,1000+(INDEX(Eingabe!$G$9:$G$18,I1534)+1)*100,3000)+J1534-100),IF(J1534=K1534+1,2000+INDEX(Eingabe!$G$9:$G$18,I1534)*10+1,IF(J1534=K1534+2,2000+INDEX(Eingabe!$G$9:$G$18,I1534)*10+2,2000+INDEX(Eingabe!$G$9:$G$18,I1534)*10+9))),""))</f>
        <v/>
      </c>
      <c r="C1534" s="0" t="str">
        <f aca="false">IF(I1534="","",IF(AND(J1534&gt;=1,J1534&lt;=K1534+3),"10."&amp;INDEX(Eingabe!$D$9:$D$18,I1534)&amp;"."&amp;IF(J1534&lt;=K1534,J1534,IF(J1534=K1534+1,200,IF(J1534=K1534+2,201,250)))&amp;".0/24",""))</f>
        <v/>
      </c>
      <c r="D1534" s="0" t="str">
        <f aca="false">IF(I1534="","",IF(AND(J1534&gt;=1,J1534&lt;=K1534+3),"255.255.255.0",""))</f>
        <v/>
      </c>
      <c r="E1534" s="0" t="str">
        <f aca="false">IF(I1534="","",IF(AND(J1534&gt;=1,J1534&lt;=K1534+3),"10."&amp;INDEX(Eingabe!$D$9:$D$18,I1534)&amp;"."&amp;IF(J1534&lt;=K1534,J1534,IF(J1534=K1534+1,200,IF(J1534=K1534+2,201,250)))&amp;".1",""))</f>
        <v/>
      </c>
      <c r="F1534" s="0" t="str">
        <f aca="false">IF(I1534="","",IF(AND(J1534&gt;=1,J1534&lt;=K1534+3),"10."&amp;INDEX(Eingabe!$D$9:$D$18,I1534)&amp;"."&amp;IF(J1534&lt;=K1534,J1534,IF(J1534=K1534+1,200,IF(J1534=K1534+2,201,250)))&amp;".10 – 10."&amp;INDEX(Eingabe!$D$9:$D$18,I1534)&amp;"."&amp;IF(J1534&lt;=K1534,J1534,IF(J1534=K1534+1,200,IF(J1534=K1534+2,201,250)))&amp;".250",""))</f>
        <v/>
      </c>
      <c r="G1534" s="0" t="str">
        <f aca="false">IF(I1534="","",IF(AND(J1534&gt;=1,J1534&lt;=K1534),Eingabe!$B$6&amp;"-"&amp;INDEX(Eingabe!$C$9:$C$18,I1534)&amp;"-Pächter  ·  Passwort Parzelle "&amp;J1534,IF(J1534=K1534+1,Eingabe!$B$6&amp;"-"&amp;INDEX(Eingabe!$C$9:$C$18,I1534)&amp;"-Vorstand  ·  eigenes WLAN",IF(J1534=K1534+2,Eingabe!$B$6&amp;"-"&amp;INDEX(Eingabe!$C$9:$C$18,I1534)&amp;"-Gäste  ·  Voucher",IF(J1534=K1534+3,"Kabel  ·  Access Point y = .(50+y), Mast-Switch x = .(10+x)","")))))</f>
        <v/>
      </c>
      <c r="I1534" s="0" t="str">
        <f aca="false">IF(1529&lt;=(Eingabe!$P$18+Eingabe!$Q$18-1),MATCH(1529,Eingabe!$P$9:$P$18,1),"")</f>
        <v/>
      </c>
      <c r="J1534" s="0" t="str">
        <f aca="false">IF(I1534="","",1529-INDEX(Eingabe!$P$9:$P$18,I1534))</f>
        <v/>
      </c>
      <c r="K1534" s="0" t="str">
        <f aca="false">IF(I1534="","",INDEX(Eingabe!$E$9:$E$18,I1534))</f>
        <v/>
      </c>
    </row>
    <row r="1535" customFormat="false" ht="15" hidden="false" customHeight="false" outlineLevel="0" collapsed="false">
      <c r="A1535" s="0" t="str">
        <f aca="false">IF(I1535="","",IF(J1535=0,"Sparte "&amp;I1535&amp;": "&amp;INDEX(Eingabe!$B$9:$B$18,I1535)&amp;"  (Sparten-ID "&amp;INDEX(Eingabe!$D$9:$D$18,I1535)&amp;", "&amp;K1535&amp;" Parzellen)",IF(J1535&lt;=K1535,"   Parzelle "&amp;J1535,IF(J1535=K1535+1,"   Vorstand",IF(J1535=K1535+2,"   Gäste",IF(J1535=K1535+3,"   Technik (Switches, Access Points)",""))))))</f>
        <v/>
      </c>
      <c r="B1535" s="0" t="str">
        <f aca="false">IF(I1535="","",IF(AND(J1535&gt;=1,J1535&lt;=K1535+3),IF(J1535&lt;=K1535,IF(J1535&lt;=99,IF((INDEX(Eingabe!$G$9:$G$18,I1535))&lt;=9,1000+(INDEX(Eingabe!$G$9:$G$18,I1535))*100,3000)+J1535,IF((INDEX(Eingabe!$G$9:$G$18,I1535)+1)&lt;=9,1000+(INDEX(Eingabe!$G$9:$G$18,I1535)+1)*100,3000)+J1535-100),IF(J1535=K1535+1,2000+INDEX(Eingabe!$G$9:$G$18,I1535)*10+1,IF(J1535=K1535+2,2000+INDEX(Eingabe!$G$9:$G$18,I1535)*10+2,2000+INDEX(Eingabe!$G$9:$G$18,I1535)*10+9))),""))</f>
        <v/>
      </c>
      <c r="C1535" s="0" t="str">
        <f aca="false">IF(I1535="","",IF(AND(J1535&gt;=1,J1535&lt;=K1535+3),"10."&amp;INDEX(Eingabe!$D$9:$D$18,I1535)&amp;"."&amp;IF(J1535&lt;=K1535,J1535,IF(J1535=K1535+1,200,IF(J1535=K1535+2,201,250)))&amp;".0/24",""))</f>
        <v/>
      </c>
      <c r="D1535" s="0" t="str">
        <f aca="false">IF(I1535="","",IF(AND(J1535&gt;=1,J1535&lt;=K1535+3),"255.255.255.0",""))</f>
        <v/>
      </c>
      <c r="E1535" s="0" t="str">
        <f aca="false">IF(I1535="","",IF(AND(J1535&gt;=1,J1535&lt;=K1535+3),"10."&amp;INDEX(Eingabe!$D$9:$D$18,I1535)&amp;"."&amp;IF(J1535&lt;=K1535,J1535,IF(J1535=K1535+1,200,IF(J1535=K1535+2,201,250)))&amp;".1",""))</f>
        <v/>
      </c>
      <c r="F1535" s="0" t="str">
        <f aca="false">IF(I1535="","",IF(AND(J1535&gt;=1,J1535&lt;=K1535+3),"10."&amp;INDEX(Eingabe!$D$9:$D$18,I1535)&amp;"."&amp;IF(J1535&lt;=K1535,J1535,IF(J1535=K1535+1,200,IF(J1535=K1535+2,201,250)))&amp;".10 – 10."&amp;INDEX(Eingabe!$D$9:$D$18,I1535)&amp;"."&amp;IF(J1535&lt;=K1535,J1535,IF(J1535=K1535+1,200,IF(J1535=K1535+2,201,250)))&amp;".250",""))</f>
        <v/>
      </c>
      <c r="G1535" s="0" t="str">
        <f aca="false">IF(I1535="","",IF(AND(J1535&gt;=1,J1535&lt;=K1535),Eingabe!$B$6&amp;"-"&amp;INDEX(Eingabe!$C$9:$C$18,I1535)&amp;"-Pächter  ·  Passwort Parzelle "&amp;J1535,IF(J1535=K1535+1,Eingabe!$B$6&amp;"-"&amp;INDEX(Eingabe!$C$9:$C$18,I1535)&amp;"-Vorstand  ·  eigenes WLAN",IF(J1535=K1535+2,Eingabe!$B$6&amp;"-"&amp;INDEX(Eingabe!$C$9:$C$18,I1535)&amp;"-Gäste  ·  Voucher",IF(J1535=K1535+3,"Kabel  ·  Access Point y = .(50+y), Mast-Switch x = .(10+x)","")))))</f>
        <v/>
      </c>
      <c r="I1535" s="0" t="str">
        <f aca="false">IF(1530&lt;=(Eingabe!$P$18+Eingabe!$Q$18-1),MATCH(1530,Eingabe!$P$9:$P$18,1),"")</f>
        <v/>
      </c>
      <c r="J1535" s="0" t="str">
        <f aca="false">IF(I1535="","",1530-INDEX(Eingabe!$P$9:$P$18,I1535))</f>
        <v/>
      </c>
      <c r="K1535" s="0" t="str">
        <f aca="false">IF(I1535="","",INDEX(Eingabe!$E$9:$E$18,I1535))</f>
        <v/>
      </c>
    </row>
    <row r="1536" customFormat="false" ht="15" hidden="false" customHeight="false" outlineLevel="0" collapsed="false">
      <c r="A1536" s="0" t="str">
        <f aca="false">IF(I1536="","",IF(J1536=0,"Sparte "&amp;I1536&amp;": "&amp;INDEX(Eingabe!$B$9:$B$18,I1536)&amp;"  (Sparten-ID "&amp;INDEX(Eingabe!$D$9:$D$18,I1536)&amp;", "&amp;K1536&amp;" Parzellen)",IF(J1536&lt;=K1536,"   Parzelle "&amp;J1536,IF(J1536=K1536+1,"   Vorstand",IF(J1536=K1536+2,"   Gäste",IF(J1536=K1536+3,"   Technik (Switches, Access Points)",""))))))</f>
        <v/>
      </c>
      <c r="B1536" s="0" t="str">
        <f aca="false">IF(I1536="","",IF(AND(J1536&gt;=1,J1536&lt;=K1536+3),IF(J1536&lt;=K1536,IF(J1536&lt;=99,IF((INDEX(Eingabe!$G$9:$G$18,I1536))&lt;=9,1000+(INDEX(Eingabe!$G$9:$G$18,I1536))*100,3000)+J1536,IF((INDEX(Eingabe!$G$9:$G$18,I1536)+1)&lt;=9,1000+(INDEX(Eingabe!$G$9:$G$18,I1536)+1)*100,3000)+J1536-100),IF(J1536=K1536+1,2000+INDEX(Eingabe!$G$9:$G$18,I1536)*10+1,IF(J1536=K1536+2,2000+INDEX(Eingabe!$G$9:$G$18,I1536)*10+2,2000+INDEX(Eingabe!$G$9:$G$18,I1536)*10+9))),""))</f>
        <v/>
      </c>
      <c r="C1536" s="0" t="str">
        <f aca="false">IF(I1536="","",IF(AND(J1536&gt;=1,J1536&lt;=K1536+3),"10."&amp;INDEX(Eingabe!$D$9:$D$18,I1536)&amp;"."&amp;IF(J1536&lt;=K1536,J1536,IF(J1536=K1536+1,200,IF(J1536=K1536+2,201,250)))&amp;".0/24",""))</f>
        <v/>
      </c>
      <c r="D1536" s="0" t="str">
        <f aca="false">IF(I1536="","",IF(AND(J1536&gt;=1,J1536&lt;=K1536+3),"255.255.255.0",""))</f>
        <v/>
      </c>
      <c r="E1536" s="0" t="str">
        <f aca="false">IF(I1536="","",IF(AND(J1536&gt;=1,J1536&lt;=K1536+3),"10."&amp;INDEX(Eingabe!$D$9:$D$18,I1536)&amp;"."&amp;IF(J1536&lt;=K1536,J1536,IF(J1536=K1536+1,200,IF(J1536=K1536+2,201,250)))&amp;".1",""))</f>
        <v/>
      </c>
      <c r="F1536" s="0" t="str">
        <f aca="false">IF(I1536="","",IF(AND(J1536&gt;=1,J1536&lt;=K1536+3),"10."&amp;INDEX(Eingabe!$D$9:$D$18,I1536)&amp;"."&amp;IF(J1536&lt;=K1536,J1536,IF(J1536=K1536+1,200,IF(J1536=K1536+2,201,250)))&amp;".10 – 10."&amp;INDEX(Eingabe!$D$9:$D$18,I1536)&amp;"."&amp;IF(J1536&lt;=K1536,J1536,IF(J1536=K1536+1,200,IF(J1536=K1536+2,201,250)))&amp;".250",""))</f>
        <v/>
      </c>
      <c r="G1536" s="0" t="str">
        <f aca="false">IF(I1536="","",IF(AND(J1536&gt;=1,J1536&lt;=K1536),Eingabe!$B$6&amp;"-"&amp;INDEX(Eingabe!$C$9:$C$18,I1536)&amp;"-Pächter  ·  Passwort Parzelle "&amp;J1536,IF(J1536=K1536+1,Eingabe!$B$6&amp;"-"&amp;INDEX(Eingabe!$C$9:$C$18,I1536)&amp;"-Vorstand  ·  eigenes WLAN",IF(J1536=K1536+2,Eingabe!$B$6&amp;"-"&amp;INDEX(Eingabe!$C$9:$C$18,I1536)&amp;"-Gäste  ·  Voucher",IF(J1536=K1536+3,"Kabel  ·  Access Point y = .(50+y), Mast-Switch x = .(10+x)","")))))</f>
        <v/>
      </c>
      <c r="I1536" s="0" t="str">
        <f aca="false">IF(1531&lt;=(Eingabe!$P$18+Eingabe!$Q$18-1),MATCH(1531,Eingabe!$P$9:$P$18,1),"")</f>
        <v/>
      </c>
      <c r="J1536" s="0" t="str">
        <f aca="false">IF(I1536="","",1531-INDEX(Eingabe!$P$9:$P$18,I1536))</f>
        <v/>
      </c>
      <c r="K1536" s="0" t="str">
        <f aca="false">IF(I1536="","",INDEX(Eingabe!$E$9:$E$18,I1536))</f>
        <v/>
      </c>
    </row>
    <row r="1537" customFormat="false" ht="15" hidden="false" customHeight="false" outlineLevel="0" collapsed="false">
      <c r="A1537" s="0" t="str">
        <f aca="false">IF(I1537="","",IF(J1537=0,"Sparte "&amp;I1537&amp;": "&amp;INDEX(Eingabe!$B$9:$B$18,I1537)&amp;"  (Sparten-ID "&amp;INDEX(Eingabe!$D$9:$D$18,I1537)&amp;", "&amp;K1537&amp;" Parzellen)",IF(J1537&lt;=K1537,"   Parzelle "&amp;J1537,IF(J1537=K1537+1,"   Vorstand",IF(J1537=K1537+2,"   Gäste",IF(J1537=K1537+3,"   Technik (Switches, Access Points)",""))))))</f>
        <v/>
      </c>
      <c r="B1537" s="0" t="str">
        <f aca="false">IF(I1537="","",IF(AND(J1537&gt;=1,J1537&lt;=K1537+3),IF(J1537&lt;=K1537,IF(J1537&lt;=99,IF((INDEX(Eingabe!$G$9:$G$18,I1537))&lt;=9,1000+(INDEX(Eingabe!$G$9:$G$18,I1537))*100,3000)+J1537,IF((INDEX(Eingabe!$G$9:$G$18,I1537)+1)&lt;=9,1000+(INDEX(Eingabe!$G$9:$G$18,I1537)+1)*100,3000)+J1537-100),IF(J1537=K1537+1,2000+INDEX(Eingabe!$G$9:$G$18,I1537)*10+1,IF(J1537=K1537+2,2000+INDEX(Eingabe!$G$9:$G$18,I1537)*10+2,2000+INDEX(Eingabe!$G$9:$G$18,I1537)*10+9))),""))</f>
        <v/>
      </c>
      <c r="C1537" s="0" t="str">
        <f aca="false">IF(I1537="","",IF(AND(J1537&gt;=1,J1537&lt;=K1537+3),"10."&amp;INDEX(Eingabe!$D$9:$D$18,I1537)&amp;"."&amp;IF(J1537&lt;=K1537,J1537,IF(J1537=K1537+1,200,IF(J1537=K1537+2,201,250)))&amp;".0/24",""))</f>
        <v/>
      </c>
      <c r="D1537" s="0" t="str">
        <f aca="false">IF(I1537="","",IF(AND(J1537&gt;=1,J1537&lt;=K1537+3),"255.255.255.0",""))</f>
        <v/>
      </c>
      <c r="E1537" s="0" t="str">
        <f aca="false">IF(I1537="","",IF(AND(J1537&gt;=1,J1537&lt;=K1537+3),"10."&amp;INDEX(Eingabe!$D$9:$D$18,I1537)&amp;"."&amp;IF(J1537&lt;=K1537,J1537,IF(J1537=K1537+1,200,IF(J1537=K1537+2,201,250)))&amp;".1",""))</f>
        <v/>
      </c>
      <c r="F1537" s="0" t="str">
        <f aca="false">IF(I1537="","",IF(AND(J1537&gt;=1,J1537&lt;=K1537+3),"10."&amp;INDEX(Eingabe!$D$9:$D$18,I1537)&amp;"."&amp;IF(J1537&lt;=K1537,J1537,IF(J1537=K1537+1,200,IF(J1537=K1537+2,201,250)))&amp;".10 – 10."&amp;INDEX(Eingabe!$D$9:$D$18,I1537)&amp;"."&amp;IF(J1537&lt;=K1537,J1537,IF(J1537=K1537+1,200,IF(J1537=K1537+2,201,250)))&amp;".250",""))</f>
        <v/>
      </c>
      <c r="G1537" s="0" t="str">
        <f aca="false">IF(I1537="","",IF(AND(J1537&gt;=1,J1537&lt;=K1537),Eingabe!$B$6&amp;"-"&amp;INDEX(Eingabe!$C$9:$C$18,I1537)&amp;"-Pächter  ·  Passwort Parzelle "&amp;J1537,IF(J1537=K1537+1,Eingabe!$B$6&amp;"-"&amp;INDEX(Eingabe!$C$9:$C$18,I1537)&amp;"-Vorstand  ·  eigenes WLAN",IF(J1537=K1537+2,Eingabe!$B$6&amp;"-"&amp;INDEX(Eingabe!$C$9:$C$18,I1537)&amp;"-Gäste  ·  Voucher",IF(J1537=K1537+3,"Kabel  ·  Access Point y = .(50+y), Mast-Switch x = .(10+x)","")))))</f>
        <v/>
      </c>
      <c r="I1537" s="0" t="str">
        <f aca="false">IF(1532&lt;=(Eingabe!$P$18+Eingabe!$Q$18-1),MATCH(1532,Eingabe!$P$9:$P$18,1),"")</f>
        <v/>
      </c>
      <c r="J1537" s="0" t="str">
        <f aca="false">IF(I1537="","",1532-INDEX(Eingabe!$P$9:$P$18,I1537))</f>
        <v/>
      </c>
      <c r="K1537" s="0" t="str">
        <f aca="false">IF(I1537="","",INDEX(Eingabe!$E$9:$E$18,I1537))</f>
        <v/>
      </c>
    </row>
    <row r="1538" customFormat="false" ht="15" hidden="false" customHeight="false" outlineLevel="0" collapsed="false">
      <c r="A1538" s="0" t="str">
        <f aca="false">IF(I1538="","",IF(J1538=0,"Sparte "&amp;I1538&amp;": "&amp;INDEX(Eingabe!$B$9:$B$18,I1538)&amp;"  (Sparten-ID "&amp;INDEX(Eingabe!$D$9:$D$18,I1538)&amp;", "&amp;K1538&amp;" Parzellen)",IF(J1538&lt;=K1538,"   Parzelle "&amp;J1538,IF(J1538=K1538+1,"   Vorstand",IF(J1538=K1538+2,"   Gäste",IF(J1538=K1538+3,"   Technik (Switches, Access Points)",""))))))</f>
        <v/>
      </c>
      <c r="B1538" s="0" t="str">
        <f aca="false">IF(I1538="","",IF(AND(J1538&gt;=1,J1538&lt;=K1538+3),IF(J1538&lt;=K1538,IF(J1538&lt;=99,IF((INDEX(Eingabe!$G$9:$G$18,I1538))&lt;=9,1000+(INDEX(Eingabe!$G$9:$G$18,I1538))*100,3000)+J1538,IF((INDEX(Eingabe!$G$9:$G$18,I1538)+1)&lt;=9,1000+(INDEX(Eingabe!$G$9:$G$18,I1538)+1)*100,3000)+J1538-100),IF(J1538=K1538+1,2000+INDEX(Eingabe!$G$9:$G$18,I1538)*10+1,IF(J1538=K1538+2,2000+INDEX(Eingabe!$G$9:$G$18,I1538)*10+2,2000+INDEX(Eingabe!$G$9:$G$18,I1538)*10+9))),""))</f>
        <v/>
      </c>
      <c r="C1538" s="0" t="str">
        <f aca="false">IF(I1538="","",IF(AND(J1538&gt;=1,J1538&lt;=K1538+3),"10."&amp;INDEX(Eingabe!$D$9:$D$18,I1538)&amp;"."&amp;IF(J1538&lt;=K1538,J1538,IF(J1538=K1538+1,200,IF(J1538=K1538+2,201,250)))&amp;".0/24",""))</f>
        <v/>
      </c>
      <c r="D1538" s="0" t="str">
        <f aca="false">IF(I1538="","",IF(AND(J1538&gt;=1,J1538&lt;=K1538+3),"255.255.255.0",""))</f>
        <v/>
      </c>
      <c r="E1538" s="0" t="str">
        <f aca="false">IF(I1538="","",IF(AND(J1538&gt;=1,J1538&lt;=K1538+3),"10."&amp;INDEX(Eingabe!$D$9:$D$18,I1538)&amp;"."&amp;IF(J1538&lt;=K1538,J1538,IF(J1538=K1538+1,200,IF(J1538=K1538+2,201,250)))&amp;".1",""))</f>
        <v/>
      </c>
      <c r="F1538" s="0" t="str">
        <f aca="false">IF(I1538="","",IF(AND(J1538&gt;=1,J1538&lt;=K1538+3),"10."&amp;INDEX(Eingabe!$D$9:$D$18,I1538)&amp;"."&amp;IF(J1538&lt;=K1538,J1538,IF(J1538=K1538+1,200,IF(J1538=K1538+2,201,250)))&amp;".10 – 10."&amp;INDEX(Eingabe!$D$9:$D$18,I1538)&amp;"."&amp;IF(J1538&lt;=K1538,J1538,IF(J1538=K1538+1,200,IF(J1538=K1538+2,201,250)))&amp;".250",""))</f>
        <v/>
      </c>
      <c r="G1538" s="0" t="str">
        <f aca="false">IF(I1538="","",IF(AND(J1538&gt;=1,J1538&lt;=K1538),Eingabe!$B$6&amp;"-"&amp;INDEX(Eingabe!$C$9:$C$18,I1538)&amp;"-Pächter  ·  Passwort Parzelle "&amp;J1538,IF(J1538=K1538+1,Eingabe!$B$6&amp;"-"&amp;INDEX(Eingabe!$C$9:$C$18,I1538)&amp;"-Vorstand  ·  eigenes WLAN",IF(J1538=K1538+2,Eingabe!$B$6&amp;"-"&amp;INDEX(Eingabe!$C$9:$C$18,I1538)&amp;"-Gäste  ·  Voucher",IF(J1538=K1538+3,"Kabel  ·  Access Point y = .(50+y), Mast-Switch x = .(10+x)","")))))</f>
        <v/>
      </c>
      <c r="I1538" s="0" t="str">
        <f aca="false">IF(1533&lt;=(Eingabe!$P$18+Eingabe!$Q$18-1),MATCH(1533,Eingabe!$P$9:$P$18,1),"")</f>
        <v/>
      </c>
      <c r="J1538" s="0" t="str">
        <f aca="false">IF(I1538="","",1533-INDEX(Eingabe!$P$9:$P$18,I1538))</f>
        <v/>
      </c>
      <c r="K1538" s="0" t="str">
        <f aca="false">IF(I1538="","",INDEX(Eingabe!$E$9:$E$18,I1538))</f>
        <v/>
      </c>
    </row>
    <row r="1539" customFormat="false" ht="15" hidden="false" customHeight="false" outlineLevel="0" collapsed="false">
      <c r="A1539" s="0" t="str">
        <f aca="false">IF(I1539="","",IF(J1539=0,"Sparte "&amp;I1539&amp;": "&amp;INDEX(Eingabe!$B$9:$B$18,I1539)&amp;"  (Sparten-ID "&amp;INDEX(Eingabe!$D$9:$D$18,I1539)&amp;", "&amp;K1539&amp;" Parzellen)",IF(J1539&lt;=K1539,"   Parzelle "&amp;J1539,IF(J1539=K1539+1,"   Vorstand",IF(J1539=K1539+2,"   Gäste",IF(J1539=K1539+3,"   Technik (Switches, Access Points)",""))))))</f>
        <v/>
      </c>
      <c r="B1539" s="0" t="str">
        <f aca="false">IF(I1539="","",IF(AND(J1539&gt;=1,J1539&lt;=K1539+3),IF(J1539&lt;=K1539,IF(J1539&lt;=99,IF((INDEX(Eingabe!$G$9:$G$18,I1539))&lt;=9,1000+(INDEX(Eingabe!$G$9:$G$18,I1539))*100,3000)+J1539,IF((INDEX(Eingabe!$G$9:$G$18,I1539)+1)&lt;=9,1000+(INDEX(Eingabe!$G$9:$G$18,I1539)+1)*100,3000)+J1539-100),IF(J1539=K1539+1,2000+INDEX(Eingabe!$G$9:$G$18,I1539)*10+1,IF(J1539=K1539+2,2000+INDEX(Eingabe!$G$9:$G$18,I1539)*10+2,2000+INDEX(Eingabe!$G$9:$G$18,I1539)*10+9))),""))</f>
        <v/>
      </c>
      <c r="C1539" s="0" t="str">
        <f aca="false">IF(I1539="","",IF(AND(J1539&gt;=1,J1539&lt;=K1539+3),"10."&amp;INDEX(Eingabe!$D$9:$D$18,I1539)&amp;"."&amp;IF(J1539&lt;=K1539,J1539,IF(J1539=K1539+1,200,IF(J1539=K1539+2,201,250)))&amp;".0/24",""))</f>
        <v/>
      </c>
      <c r="D1539" s="0" t="str">
        <f aca="false">IF(I1539="","",IF(AND(J1539&gt;=1,J1539&lt;=K1539+3),"255.255.255.0",""))</f>
        <v/>
      </c>
      <c r="E1539" s="0" t="str">
        <f aca="false">IF(I1539="","",IF(AND(J1539&gt;=1,J1539&lt;=K1539+3),"10."&amp;INDEX(Eingabe!$D$9:$D$18,I1539)&amp;"."&amp;IF(J1539&lt;=K1539,J1539,IF(J1539=K1539+1,200,IF(J1539=K1539+2,201,250)))&amp;".1",""))</f>
        <v/>
      </c>
      <c r="F1539" s="0" t="str">
        <f aca="false">IF(I1539="","",IF(AND(J1539&gt;=1,J1539&lt;=K1539+3),"10."&amp;INDEX(Eingabe!$D$9:$D$18,I1539)&amp;"."&amp;IF(J1539&lt;=K1539,J1539,IF(J1539=K1539+1,200,IF(J1539=K1539+2,201,250)))&amp;".10 – 10."&amp;INDEX(Eingabe!$D$9:$D$18,I1539)&amp;"."&amp;IF(J1539&lt;=K1539,J1539,IF(J1539=K1539+1,200,IF(J1539=K1539+2,201,250)))&amp;".250",""))</f>
        <v/>
      </c>
      <c r="G1539" s="0" t="str">
        <f aca="false">IF(I1539="","",IF(AND(J1539&gt;=1,J1539&lt;=K1539),Eingabe!$B$6&amp;"-"&amp;INDEX(Eingabe!$C$9:$C$18,I1539)&amp;"-Pächter  ·  Passwort Parzelle "&amp;J1539,IF(J1539=K1539+1,Eingabe!$B$6&amp;"-"&amp;INDEX(Eingabe!$C$9:$C$18,I1539)&amp;"-Vorstand  ·  eigenes WLAN",IF(J1539=K1539+2,Eingabe!$B$6&amp;"-"&amp;INDEX(Eingabe!$C$9:$C$18,I1539)&amp;"-Gäste  ·  Voucher",IF(J1539=K1539+3,"Kabel  ·  Access Point y = .(50+y), Mast-Switch x = .(10+x)","")))))</f>
        <v/>
      </c>
      <c r="I1539" s="0" t="str">
        <f aca="false">IF(1534&lt;=(Eingabe!$P$18+Eingabe!$Q$18-1),MATCH(1534,Eingabe!$P$9:$P$18,1),"")</f>
        <v/>
      </c>
      <c r="J1539" s="0" t="str">
        <f aca="false">IF(I1539="","",1534-INDEX(Eingabe!$P$9:$P$18,I1539))</f>
        <v/>
      </c>
      <c r="K1539" s="0" t="str">
        <f aca="false">IF(I1539="","",INDEX(Eingabe!$E$9:$E$18,I1539))</f>
        <v/>
      </c>
    </row>
    <row r="1540" customFormat="false" ht="15" hidden="false" customHeight="false" outlineLevel="0" collapsed="false">
      <c r="A1540" s="0" t="str">
        <f aca="false">IF(I1540="","",IF(J1540=0,"Sparte "&amp;I1540&amp;": "&amp;INDEX(Eingabe!$B$9:$B$18,I1540)&amp;"  (Sparten-ID "&amp;INDEX(Eingabe!$D$9:$D$18,I1540)&amp;", "&amp;K1540&amp;" Parzellen)",IF(J1540&lt;=K1540,"   Parzelle "&amp;J1540,IF(J1540=K1540+1,"   Vorstand",IF(J1540=K1540+2,"   Gäste",IF(J1540=K1540+3,"   Technik (Switches, Access Points)",""))))))</f>
        <v/>
      </c>
      <c r="B1540" s="0" t="str">
        <f aca="false">IF(I1540="","",IF(AND(J1540&gt;=1,J1540&lt;=K1540+3),IF(J1540&lt;=K1540,IF(J1540&lt;=99,IF((INDEX(Eingabe!$G$9:$G$18,I1540))&lt;=9,1000+(INDEX(Eingabe!$G$9:$G$18,I1540))*100,3000)+J1540,IF((INDEX(Eingabe!$G$9:$G$18,I1540)+1)&lt;=9,1000+(INDEX(Eingabe!$G$9:$G$18,I1540)+1)*100,3000)+J1540-100),IF(J1540=K1540+1,2000+INDEX(Eingabe!$G$9:$G$18,I1540)*10+1,IF(J1540=K1540+2,2000+INDEX(Eingabe!$G$9:$G$18,I1540)*10+2,2000+INDEX(Eingabe!$G$9:$G$18,I1540)*10+9))),""))</f>
        <v/>
      </c>
      <c r="C1540" s="0" t="str">
        <f aca="false">IF(I1540="","",IF(AND(J1540&gt;=1,J1540&lt;=K1540+3),"10."&amp;INDEX(Eingabe!$D$9:$D$18,I1540)&amp;"."&amp;IF(J1540&lt;=K1540,J1540,IF(J1540=K1540+1,200,IF(J1540=K1540+2,201,250)))&amp;".0/24",""))</f>
        <v/>
      </c>
      <c r="D1540" s="0" t="str">
        <f aca="false">IF(I1540="","",IF(AND(J1540&gt;=1,J1540&lt;=K1540+3),"255.255.255.0",""))</f>
        <v/>
      </c>
      <c r="E1540" s="0" t="str">
        <f aca="false">IF(I1540="","",IF(AND(J1540&gt;=1,J1540&lt;=K1540+3),"10."&amp;INDEX(Eingabe!$D$9:$D$18,I1540)&amp;"."&amp;IF(J1540&lt;=K1540,J1540,IF(J1540=K1540+1,200,IF(J1540=K1540+2,201,250)))&amp;".1",""))</f>
        <v/>
      </c>
      <c r="F1540" s="0" t="str">
        <f aca="false">IF(I1540="","",IF(AND(J1540&gt;=1,J1540&lt;=K1540+3),"10."&amp;INDEX(Eingabe!$D$9:$D$18,I1540)&amp;"."&amp;IF(J1540&lt;=K1540,J1540,IF(J1540=K1540+1,200,IF(J1540=K1540+2,201,250)))&amp;".10 – 10."&amp;INDEX(Eingabe!$D$9:$D$18,I1540)&amp;"."&amp;IF(J1540&lt;=K1540,J1540,IF(J1540=K1540+1,200,IF(J1540=K1540+2,201,250)))&amp;".250",""))</f>
        <v/>
      </c>
      <c r="G1540" s="0" t="str">
        <f aca="false">IF(I1540="","",IF(AND(J1540&gt;=1,J1540&lt;=K1540),Eingabe!$B$6&amp;"-"&amp;INDEX(Eingabe!$C$9:$C$18,I1540)&amp;"-Pächter  ·  Passwort Parzelle "&amp;J1540,IF(J1540=K1540+1,Eingabe!$B$6&amp;"-"&amp;INDEX(Eingabe!$C$9:$C$18,I1540)&amp;"-Vorstand  ·  eigenes WLAN",IF(J1540=K1540+2,Eingabe!$B$6&amp;"-"&amp;INDEX(Eingabe!$C$9:$C$18,I1540)&amp;"-Gäste  ·  Voucher",IF(J1540=K1540+3,"Kabel  ·  Access Point y = .(50+y), Mast-Switch x = .(10+x)","")))))</f>
        <v/>
      </c>
      <c r="I1540" s="0" t="str">
        <f aca="false">IF(1535&lt;=(Eingabe!$P$18+Eingabe!$Q$18-1),MATCH(1535,Eingabe!$P$9:$P$18,1),"")</f>
        <v/>
      </c>
      <c r="J1540" s="0" t="str">
        <f aca="false">IF(I1540="","",1535-INDEX(Eingabe!$P$9:$P$18,I1540))</f>
        <v/>
      </c>
      <c r="K1540" s="0" t="str">
        <f aca="false">IF(I1540="","",INDEX(Eingabe!$E$9:$E$18,I1540))</f>
        <v/>
      </c>
    </row>
    <row r="1541" customFormat="false" ht="15" hidden="false" customHeight="false" outlineLevel="0" collapsed="false">
      <c r="A1541" s="0" t="str">
        <f aca="false">IF(I1541="","",IF(J1541=0,"Sparte "&amp;I1541&amp;": "&amp;INDEX(Eingabe!$B$9:$B$18,I1541)&amp;"  (Sparten-ID "&amp;INDEX(Eingabe!$D$9:$D$18,I1541)&amp;", "&amp;K1541&amp;" Parzellen)",IF(J1541&lt;=K1541,"   Parzelle "&amp;J1541,IF(J1541=K1541+1,"   Vorstand",IF(J1541=K1541+2,"   Gäste",IF(J1541=K1541+3,"   Technik (Switches, Access Points)",""))))))</f>
        <v/>
      </c>
      <c r="B1541" s="0" t="str">
        <f aca="false">IF(I1541="","",IF(AND(J1541&gt;=1,J1541&lt;=K1541+3),IF(J1541&lt;=K1541,IF(J1541&lt;=99,IF((INDEX(Eingabe!$G$9:$G$18,I1541))&lt;=9,1000+(INDEX(Eingabe!$G$9:$G$18,I1541))*100,3000)+J1541,IF((INDEX(Eingabe!$G$9:$G$18,I1541)+1)&lt;=9,1000+(INDEX(Eingabe!$G$9:$G$18,I1541)+1)*100,3000)+J1541-100),IF(J1541=K1541+1,2000+INDEX(Eingabe!$G$9:$G$18,I1541)*10+1,IF(J1541=K1541+2,2000+INDEX(Eingabe!$G$9:$G$18,I1541)*10+2,2000+INDEX(Eingabe!$G$9:$G$18,I1541)*10+9))),""))</f>
        <v/>
      </c>
      <c r="C1541" s="0" t="str">
        <f aca="false">IF(I1541="","",IF(AND(J1541&gt;=1,J1541&lt;=K1541+3),"10."&amp;INDEX(Eingabe!$D$9:$D$18,I1541)&amp;"."&amp;IF(J1541&lt;=K1541,J1541,IF(J1541=K1541+1,200,IF(J1541=K1541+2,201,250)))&amp;".0/24",""))</f>
        <v/>
      </c>
      <c r="D1541" s="0" t="str">
        <f aca="false">IF(I1541="","",IF(AND(J1541&gt;=1,J1541&lt;=K1541+3),"255.255.255.0",""))</f>
        <v/>
      </c>
      <c r="E1541" s="0" t="str">
        <f aca="false">IF(I1541="","",IF(AND(J1541&gt;=1,J1541&lt;=K1541+3),"10."&amp;INDEX(Eingabe!$D$9:$D$18,I1541)&amp;"."&amp;IF(J1541&lt;=K1541,J1541,IF(J1541=K1541+1,200,IF(J1541=K1541+2,201,250)))&amp;".1",""))</f>
        <v/>
      </c>
      <c r="F1541" s="0" t="str">
        <f aca="false">IF(I1541="","",IF(AND(J1541&gt;=1,J1541&lt;=K1541+3),"10."&amp;INDEX(Eingabe!$D$9:$D$18,I1541)&amp;"."&amp;IF(J1541&lt;=K1541,J1541,IF(J1541=K1541+1,200,IF(J1541=K1541+2,201,250)))&amp;".10 – 10."&amp;INDEX(Eingabe!$D$9:$D$18,I1541)&amp;"."&amp;IF(J1541&lt;=K1541,J1541,IF(J1541=K1541+1,200,IF(J1541=K1541+2,201,250)))&amp;".250",""))</f>
        <v/>
      </c>
      <c r="G1541" s="0" t="str">
        <f aca="false">IF(I1541="","",IF(AND(J1541&gt;=1,J1541&lt;=K1541),Eingabe!$B$6&amp;"-"&amp;INDEX(Eingabe!$C$9:$C$18,I1541)&amp;"-Pächter  ·  Passwort Parzelle "&amp;J1541,IF(J1541=K1541+1,Eingabe!$B$6&amp;"-"&amp;INDEX(Eingabe!$C$9:$C$18,I1541)&amp;"-Vorstand  ·  eigenes WLAN",IF(J1541=K1541+2,Eingabe!$B$6&amp;"-"&amp;INDEX(Eingabe!$C$9:$C$18,I1541)&amp;"-Gäste  ·  Voucher",IF(J1541=K1541+3,"Kabel  ·  Access Point y = .(50+y), Mast-Switch x = .(10+x)","")))))</f>
        <v/>
      </c>
      <c r="I1541" s="0" t="str">
        <f aca="false">IF(1536&lt;=(Eingabe!$P$18+Eingabe!$Q$18-1),MATCH(1536,Eingabe!$P$9:$P$18,1),"")</f>
        <v/>
      </c>
      <c r="J1541" s="0" t="str">
        <f aca="false">IF(I1541="","",1536-INDEX(Eingabe!$P$9:$P$18,I1541))</f>
        <v/>
      </c>
      <c r="K1541" s="0" t="str">
        <f aca="false">IF(I1541="","",INDEX(Eingabe!$E$9:$E$18,I1541))</f>
        <v/>
      </c>
    </row>
    <row r="1542" customFormat="false" ht="15" hidden="false" customHeight="false" outlineLevel="0" collapsed="false">
      <c r="A1542" s="0" t="str">
        <f aca="false">IF(I1542="","",IF(J1542=0,"Sparte "&amp;I1542&amp;": "&amp;INDEX(Eingabe!$B$9:$B$18,I1542)&amp;"  (Sparten-ID "&amp;INDEX(Eingabe!$D$9:$D$18,I1542)&amp;", "&amp;K1542&amp;" Parzellen)",IF(J1542&lt;=K1542,"   Parzelle "&amp;J1542,IF(J1542=K1542+1,"   Vorstand",IF(J1542=K1542+2,"   Gäste",IF(J1542=K1542+3,"   Technik (Switches, Access Points)",""))))))</f>
        <v/>
      </c>
      <c r="B1542" s="0" t="str">
        <f aca="false">IF(I1542="","",IF(AND(J1542&gt;=1,J1542&lt;=K1542+3),IF(J1542&lt;=K1542,IF(J1542&lt;=99,IF((INDEX(Eingabe!$G$9:$G$18,I1542))&lt;=9,1000+(INDEX(Eingabe!$G$9:$G$18,I1542))*100,3000)+J1542,IF((INDEX(Eingabe!$G$9:$G$18,I1542)+1)&lt;=9,1000+(INDEX(Eingabe!$G$9:$G$18,I1542)+1)*100,3000)+J1542-100),IF(J1542=K1542+1,2000+INDEX(Eingabe!$G$9:$G$18,I1542)*10+1,IF(J1542=K1542+2,2000+INDEX(Eingabe!$G$9:$G$18,I1542)*10+2,2000+INDEX(Eingabe!$G$9:$G$18,I1542)*10+9))),""))</f>
        <v/>
      </c>
      <c r="C1542" s="0" t="str">
        <f aca="false">IF(I1542="","",IF(AND(J1542&gt;=1,J1542&lt;=K1542+3),"10."&amp;INDEX(Eingabe!$D$9:$D$18,I1542)&amp;"."&amp;IF(J1542&lt;=K1542,J1542,IF(J1542=K1542+1,200,IF(J1542=K1542+2,201,250)))&amp;".0/24",""))</f>
        <v/>
      </c>
      <c r="D1542" s="0" t="str">
        <f aca="false">IF(I1542="","",IF(AND(J1542&gt;=1,J1542&lt;=K1542+3),"255.255.255.0",""))</f>
        <v/>
      </c>
      <c r="E1542" s="0" t="str">
        <f aca="false">IF(I1542="","",IF(AND(J1542&gt;=1,J1542&lt;=K1542+3),"10."&amp;INDEX(Eingabe!$D$9:$D$18,I1542)&amp;"."&amp;IF(J1542&lt;=K1542,J1542,IF(J1542=K1542+1,200,IF(J1542=K1542+2,201,250)))&amp;".1",""))</f>
        <v/>
      </c>
      <c r="F1542" s="0" t="str">
        <f aca="false">IF(I1542="","",IF(AND(J1542&gt;=1,J1542&lt;=K1542+3),"10."&amp;INDEX(Eingabe!$D$9:$D$18,I1542)&amp;"."&amp;IF(J1542&lt;=K1542,J1542,IF(J1542=K1542+1,200,IF(J1542=K1542+2,201,250)))&amp;".10 – 10."&amp;INDEX(Eingabe!$D$9:$D$18,I1542)&amp;"."&amp;IF(J1542&lt;=K1542,J1542,IF(J1542=K1542+1,200,IF(J1542=K1542+2,201,250)))&amp;".250",""))</f>
        <v/>
      </c>
      <c r="G1542" s="0" t="str">
        <f aca="false">IF(I1542="","",IF(AND(J1542&gt;=1,J1542&lt;=K1542),Eingabe!$B$6&amp;"-"&amp;INDEX(Eingabe!$C$9:$C$18,I1542)&amp;"-Pächter  ·  Passwort Parzelle "&amp;J1542,IF(J1542=K1542+1,Eingabe!$B$6&amp;"-"&amp;INDEX(Eingabe!$C$9:$C$18,I1542)&amp;"-Vorstand  ·  eigenes WLAN",IF(J1542=K1542+2,Eingabe!$B$6&amp;"-"&amp;INDEX(Eingabe!$C$9:$C$18,I1542)&amp;"-Gäste  ·  Voucher",IF(J1542=K1542+3,"Kabel  ·  Access Point y = .(50+y), Mast-Switch x = .(10+x)","")))))</f>
        <v/>
      </c>
      <c r="I1542" s="0" t="str">
        <f aca="false">IF(1537&lt;=(Eingabe!$P$18+Eingabe!$Q$18-1),MATCH(1537,Eingabe!$P$9:$P$18,1),"")</f>
        <v/>
      </c>
      <c r="J1542" s="0" t="str">
        <f aca="false">IF(I1542="","",1537-INDEX(Eingabe!$P$9:$P$18,I1542))</f>
        <v/>
      </c>
      <c r="K1542" s="0" t="str">
        <f aca="false">IF(I1542="","",INDEX(Eingabe!$E$9:$E$18,I1542))</f>
        <v/>
      </c>
    </row>
    <row r="1543" customFormat="false" ht="15" hidden="false" customHeight="false" outlineLevel="0" collapsed="false">
      <c r="A1543" s="0" t="str">
        <f aca="false">IF(I1543="","",IF(J1543=0,"Sparte "&amp;I1543&amp;": "&amp;INDEX(Eingabe!$B$9:$B$18,I1543)&amp;"  (Sparten-ID "&amp;INDEX(Eingabe!$D$9:$D$18,I1543)&amp;", "&amp;K1543&amp;" Parzellen)",IF(J1543&lt;=K1543,"   Parzelle "&amp;J1543,IF(J1543=K1543+1,"   Vorstand",IF(J1543=K1543+2,"   Gäste",IF(J1543=K1543+3,"   Technik (Switches, Access Points)",""))))))</f>
        <v/>
      </c>
      <c r="B1543" s="0" t="str">
        <f aca="false">IF(I1543="","",IF(AND(J1543&gt;=1,J1543&lt;=K1543+3),IF(J1543&lt;=K1543,IF(J1543&lt;=99,IF((INDEX(Eingabe!$G$9:$G$18,I1543))&lt;=9,1000+(INDEX(Eingabe!$G$9:$G$18,I1543))*100,3000)+J1543,IF((INDEX(Eingabe!$G$9:$G$18,I1543)+1)&lt;=9,1000+(INDEX(Eingabe!$G$9:$G$18,I1543)+1)*100,3000)+J1543-100),IF(J1543=K1543+1,2000+INDEX(Eingabe!$G$9:$G$18,I1543)*10+1,IF(J1543=K1543+2,2000+INDEX(Eingabe!$G$9:$G$18,I1543)*10+2,2000+INDEX(Eingabe!$G$9:$G$18,I1543)*10+9))),""))</f>
        <v/>
      </c>
      <c r="C1543" s="0" t="str">
        <f aca="false">IF(I1543="","",IF(AND(J1543&gt;=1,J1543&lt;=K1543+3),"10."&amp;INDEX(Eingabe!$D$9:$D$18,I1543)&amp;"."&amp;IF(J1543&lt;=K1543,J1543,IF(J1543=K1543+1,200,IF(J1543=K1543+2,201,250)))&amp;".0/24",""))</f>
        <v/>
      </c>
      <c r="D1543" s="0" t="str">
        <f aca="false">IF(I1543="","",IF(AND(J1543&gt;=1,J1543&lt;=K1543+3),"255.255.255.0",""))</f>
        <v/>
      </c>
      <c r="E1543" s="0" t="str">
        <f aca="false">IF(I1543="","",IF(AND(J1543&gt;=1,J1543&lt;=K1543+3),"10."&amp;INDEX(Eingabe!$D$9:$D$18,I1543)&amp;"."&amp;IF(J1543&lt;=K1543,J1543,IF(J1543=K1543+1,200,IF(J1543=K1543+2,201,250)))&amp;".1",""))</f>
        <v/>
      </c>
      <c r="F1543" s="0" t="str">
        <f aca="false">IF(I1543="","",IF(AND(J1543&gt;=1,J1543&lt;=K1543+3),"10."&amp;INDEX(Eingabe!$D$9:$D$18,I1543)&amp;"."&amp;IF(J1543&lt;=K1543,J1543,IF(J1543=K1543+1,200,IF(J1543=K1543+2,201,250)))&amp;".10 – 10."&amp;INDEX(Eingabe!$D$9:$D$18,I1543)&amp;"."&amp;IF(J1543&lt;=K1543,J1543,IF(J1543=K1543+1,200,IF(J1543=K1543+2,201,250)))&amp;".250",""))</f>
        <v/>
      </c>
      <c r="G1543" s="0" t="str">
        <f aca="false">IF(I1543="","",IF(AND(J1543&gt;=1,J1543&lt;=K1543),Eingabe!$B$6&amp;"-"&amp;INDEX(Eingabe!$C$9:$C$18,I1543)&amp;"-Pächter  ·  Passwort Parzelle "&amp;J1543,IF(J1543=K1543+1,Eingabe!$B$6&amp;"-"&amp;INDEX(Eingabe!$C$9:$C$18,I1543)&amp;"-Vorstand  ·  eigenes WLAN",IF(J1543=K1543+2,Eingabe!$B$6&amp;"-"&amp;INDEX(Eingabe!$C$9:$C$18,I1543)&amp;"-Gäste  ·  Voucher",IF(J1543=K1543+3,"Kabel  ·  Access Point y = .(50+y), Mast-Switch x = .(10+x)","")))))</f>
        <v/>
      </c>
      <c r="I1543" s="0" t="str">
        <f aca="false">IF(1538&lt;=(Eingabe!$P$18+Eingabe!$Q$18-1),MATCH(1538,Eingabe!$P$9:$P$18,1),"")</f>
        <v/>
      </c>
      <c r="J1543" s="0" t="str">
        <f aca="false">IF(I1543="","",1538-INDEX(Eingabe!$P$9:$P$18,I1543))</f>
        <v/>
      </c>
      <c r="K1543" s="0" t="str">
        <f aca="false">IF(I1543="","",INDEX(Eingabe!$E$9:$E$18,I1543))</f>
        <v/>
      </c>
    </row>
    <row r="1544" customFormat="false" ht="15" hidden="false" customHeight="false" outlineLevel="0" collapsed="false">
      <c r="A1544" s="0" t="str">
        <f aca="false">IF(I1544="","",IF(J1544=0,"Sparte "&amp;I1544&amp;": "&amp;INDEX(Eingabe!$B$9:$B$18,I1544)&amp;"  (Sparten-ID "&amp;INDEX(Eingabe!$D$9:$D$18,I1544)&amp;", "&amp;K1544&amp;" Parzellen)",IF(J1544&lt;=K1544,"   Parzelle "&amp;J1544,IF(J1544=K1544+1,"   Vorstand",IF(J1544=K1544+2,"   Gäste",IF(J1544=K1544+3,"   Technik (Switches, Access Points)",""))))))</f>
        <v/>
      </c>
      <c r="B1544" s="0" t="str">
        <f aca="false">IF(I1544="","",IF(AND(J1544&gt;=1,J1544&lt;=K1544+3),IF(J1544&lt;=K1544,IF(J1544&lt;=99,IF((INDEX(Eingabe!$G$9:$G$18,I1544))&lt;=9,1000+(INDEX(Eingabe!$G$9:$G$18,I1544))*100,3000)+J1544,IF((INDEX(Eingabe!$G$9:$G$18,I1544)+1)&lt;=9,1000+(INDEX(Eingabe!$G$9:$G$18,I1544)+1)*100,3000)+J1544-100),IF(J1544=K1544+1,2000+INDEX(Eingabe!$G$9:$G$18,I1544)*10+1,IF(J1544=K1544+2,2000+INDEX(Eingabe!$G$9:$G$18,I1544)*10+2,2000+INDEX(Eingabe!$G$9:$G$18,I1544)*10+9))),""))</f>
        <v/>
      </c>
      <c r="C1544" s="0" t="str">
        <f aca="false">IF(I1544="","",IF(AND(J1544&gt;=1,J1544&lt;=K1544+3),"10."&amp;INDEX(Eingabe!$D$9:$D$18,I1544)&amp;"."&amp;IF(J1544&lt;=K1544,J1544,IF(J1544=K1544+1,200,IF(J1544=K1544+2,201,250)))&amp;".0/24",""))</f>
        <v/>
      </c>
      <c r="D1544" s="0" t="str">
        <f aca="false">IF(I1544="","",IF(AND(J1544&gt;=1,J1544&lt;=K1544+3),"255.255.255.0",""))</f>
        <v/>
      </c>
      <c r="E1544" s="0" t="str">
        <f aca="false">IF(I1544="","",IF(AND(J1544&gt;=1,J1544&lt;=K1544+3),"10."&amp;INDEX(Eingabe!$D$9:$D$18,I1544)&amp;"."&amp;IF(J1544&lt;=K1544,J1544,IF(J1544=K1544+1,200,IF(J1544=K1544+2,201,250)))&amp;".1",""))</f>
        <v/>
      </c>
      <c r="F1544" s="0" t="str">
        <f aca="false">IF(I1544="","",IF(AND(J1544&gt;=1,J1544&lt;=K1544+3),"10."&amp;INDEX(Eingabe!$D$9:$D$18,I1544)&amp;"."&amp;IF(J1544&lt;=K1544,J1544,IF(J1544=K1544+1,200,IF(J1544=K1544+2,201,250)))&amp;".10 – 10."&amp;INDEX(Eingabe!$D$9:$D$18,I1544)&amp;"."&amp;IF(J1544&lt;=K1544,J1544,IF(J1544=K1544+1,200,IF(J1544=K1544+2,201,250)))&amp;".250",""))</f>
        <v/>
      </c>
      <c r="G1544" s="0" t="str">
        <f aca="false">IF(I1544="","",IF(AND(J1544&gt;=1,J1544&lt;=K1544),Eingabe!$B$6&amp;"-"&amp;INDEX(Eingabe!$C$9:$C$18,I1544)&amp;"-Pächter  ·  Passwort Parzelle "&amp;J1544,IF(J1544=K1544+1,Eingabe!$B$6&amp;"-"&amp;INDEX(Eingabe!$C$9:$C$18,I1544)&amp;"-Vorstand  ·  eigenes WLAN",IF(J1544=K1544+2,Eingabe!$B$6&amp;"-"&amp;INDEX(Eingabe!$C$9:$C$18,I1544)&amp;"-Gäste  ·  Voucher",IF(J1544=K1544+3,"Kabel  ·  Access Point y = .(50+y), Mast-Switch x = .(10+x)","")))))</f>
        <v/>
      </c>
      <c r="I1544" s="0" t="str">
        <f aca="false">IF(1539&lt;=(Eingabe!$P$18+Eingabe!$Q$18-1),MATCH(1539,Eingabe!$P$9:$P$18,1),"")</f>
        <v/>
      </c>
      <c r="J1544" s="0" t="str">
        <f aca="false">IF(I1544="","",1539-INDEX(Eingabe!$P$9:$P$18,I1544))</f>
        <v/>
      </c>
      <c r="K1544" s="0" t="str">
        <f aca="false">IF(I1544="","",INDEX(Eingabe!$E$9:$E$18,I1544))</f>
        <v/>
      </c>
    </row>
    <row r="1545" customFormat="false" ht="15" hidden="false" customHeight="false" outlineLevel="0" collapsed="false">
      <c r="A1545" s="0" t="str">
        <f aca="false">IF(I1545="","",IF(J1545=0,"Sparte "&amp;I1545&amp;": "&amp;INDEX(Eingabe!$B$9:$B$18,I1545)&amp;"  (Sparten-ID "&amp;INDEX(Eingabe!$D$9:$D$18,I1545)&amp;", "&amp;K1545&amp;" Parzellen)",IF(J1545&lt;=K1545,"   Parzelle "&amp;J1545,IF(J1545=K1545+1,"   Vorstand",IF(J1545=K1545+2,"   Gäste",IF(J1545=K1545+3,"   Technik (Switches, Access Points)",""))))))</f>
        <v/>
      </c>
      <c r="B1545" s="0" t="str">
        <f aca="false">IF(I1545="","",IF(AND(J1545&gt;=1,J1545&lt;=K1545+3),IF(J1545&lt;=K1545,IF(J1545&lt;=99,IF((INDEX(Eingabe!$G$9:$G$18,I1545))&lt;=9,1000+(INDEX(Eingabe!$G$9:$G$18,I1545))*100,3000)+J1545,IF((INDEX(Eingabe!$G$9:$G$18,I1545)+1)&lt;=9,1000+(INDEX(Eingabe!$G$9:$G$18,I1545)+1)*100,3000)+J1545-100),IF(J1545=K1545+1,2000+INDEX(Eingabe!$G$9:$G$18,I1545)*10+1,IF(J1545=K1545+2,2000+INDEX(Eingabe!$G$9:$G$18,I1545)*10+2,2000+INDEX(Eingabe!$G$9:$G$18,I1545)*10+9))),""))</f>
        <v/>
      </c>
      <c r="C1545" s="0" t="str">
        <f aca="false">IF(I1545="","",IF(AND(J1545&gt;=1,J1545&lt;=K1545+3),"10."&amp;INDEX(Eingabe!$D$9:$D$18,I1545)&amp;"."&amp;IF(J1545&lt;=K1545,J1545,IF(J1545=K1545+1,200,IF(J1545=K1545+2,201,250)))&amp;".0/24",""))</f>
        <v/>
      </c>
      <c r="D1545" s="0" t="str">
        <f aca="false">IF(I1545="","",IF(AND(J1545&gt;=1,J1545&lt;=K1545+3),"255.255.255.0",""))</f>
        <v/>
      </c>
      <c r="E1545" s="0" t="str">
        <f aca="false">IF(I1545="","",IF(AND(J1545&gt;=1,J1545&lt;=K1545+3),"10."&amp;INDEX(Eingabe!$D$9:$D$18,I1545)&amp;"."&amp;IF(J1545&lt;=K1545,J1545,IF(J1545=K1545+1,200,IF(J1545=K1545+2,201,250)))&amp;".1",""))</f>
        <v/>
      </c>
      <c r="F1545" s="0" t="str">
        <f aca="false">IF(I1545="","",IF(AND(J1545&gt;=1,J1545&lt;=K1545+3),"10."&amp;INDEX(Eingabe!$D$9:$D$18,I1545)&amp;"."&amp;IF(J1545&lt;=K1545,J1545,IF(J1545=K1545+1,200,IF(J1545=K1545+2,201,250)))&amp;".10 – 10."&amp;INDEX(Eingabe!$D$9:$D$18,I1545)&amp;"."&amp;IF(J1545&lt;=K1545,J1545,IF(J1545=K1545+1,200,IF(J1545=K1545+2,201,250)))&amp;".250",""))</f>
        <v/>
      </c>
      <c r="G1545" s="0" t="str">
        <f aca="false">IF(I1545="","",IF(AND(J1545&gt;=1,J1545&lt;=K1545),Eingabe!$B$6&amp;"-"&amp;INDEX(Eingabe!$C$9:$C$18,I1545)&amp;"-Pächter  ·  Passwort Parzelle "&amp;J1545,IF(J1545=K1545+1,Eingabe!$B$6&amp;"-"&amp;INDEX(Eingabe!$C$9:$C$18,I1545)&amp;"-Vorstand  ·  eigenes WLAN",IF(J1545=K1545+2,Eingabe!$B$6&amp;"-"&amp;INDEX(Eingabe!$C$9:$C$18,I1545)&amp;"-Gäste  ·  Voucher",IF(J1545=K1545+3,"Kabel  ·  Access Point y = .(50+y), Mast-Switch x = .(10+x)","")))))</f>
        <v/>
      </c>
      <c r="I1545" s="0" t="str">
        <f aca="false">IF(1540&lt;=(Eingabe!$P$18+Eingabe!$Q$18-1),MATCH(1540,Eingabe!$P$9:$P$18,1),"")</f>
        <v/>
      </c>
      <c r="J1545" s="0" t="str">
        <f aca="false">IF(I1545="","",1540-INDEX(Eingabe!$P$9:$P$18,I1545))</f>
        <v/>
      </c>
      <c r="K1545" s="0" t="str">
        <f aca="false">IF(I1545="","",INDEX(Eingabe!$E$9:$E$18,I1545))</f>
        <v/>
      </c>
    </row>
    <row r="1546" customFormat="false" ht="15" hidden="false" customHeight="false" outlineLevel="0" collapsed="false">
      <c r="A1546" s="0" t="str">
        <f aca="false">IF(I1546="","",IF(J1546=0,"Sparte "&amp;I1546&amp;": "&amp;INDEX(Eingabe!$B$9:$B$18,I1546)&amp;"  (Sparten-ID "&amp;INDEX(Eingabe!$D$9:$D$18,I1546)&amp;", "&amp;K1546&amp;" Parzellen)",IF(J1546&lt;=K1546,"   Parzelle "&amp;J1546,IF(J1546=K1546+1,"   Vorstand",IF(J1546=K1546+2,"   Gäste",IF(J1546=K1546+3,"   Technik (Switches, Access Points)",""))))))</f>
        <v/>
      </c>
      <c r="B1546" s="0" t="str">
        <f aca="false">IF(I1546="","",IF(AND(J1546&gt;=1,J1546&lt;=K1546+3),IF(J1546&lt;=K1546,IF(J1546&lt;=99,IF((INDEX(Eingabe!$G$9:$G$18,I1546))&lt;=9,1000+(INDEX(Eingabe!$G$9:$G$18,I1546))*100,3000)+J1546,IF((INDEX(Eingabe!$G$9:$G$18,I1546)+1)&lt;=9,1000+(INDEX(Eingabe!$G$9:$G$18,I1546)+1)*100,3000)+J1546-100),IF(J1546=K1546+1,2000+INDEX(Eingabe!$G$9:$G$18,I1546)*10+1,IF(J1546=K1546+2,2000+INDEX(Eingabe!$G$9:$G$18,I1546)*10+2,2000+INDEX(Eingabe!$G$9:$G$18,I1546)*10+9))),""))</f>
        <v/>
      </c>
      <c r="C1546" s="0" t="str">
        <f aca="false">IF(I1546="","",IF(AND(J1546&gt;=1,J1546&lt;=K1546+3),"10."&amp;INDEX(Eingabe!$D$9:$D$18,I1546)&amp;"."&amp;IF(J1546&lt;=K1546,J1546,IF(J1546=K1546+1,200,IF(J1546=K1546+2,201,250)))&amp;".0/24",""))</f>
        <v/>
      </c>
      <c r="D1546" s="0" t="str">
        <f aca="false">IF(I1546="","",IF(AND(J1546&gt;=1,J1546&lt;=K1546+3),"255.255.255.0",""))</f>
        <v/>
      </c>
      <c r="E1546" s="0" t="str">
        <f aca="false">IF(I1546="","",IF(AND(J1546&gt;=1,J1546&lt;=K1546+3),"10."&amp;INDEX(Eingabe!$D$9:$D$18,I1546)&amp;"."&amp;IF(J1546&lt;=K1546,J1546,IF(J1546=K1546+1,200,IF(J1546=K1546+2,201,250)))&amp;".1",""))</f>
        <v/>
      </c>
      <c r="F1546" s="0" t="str">
        <f aca="false">IF(I1546="","",IF(AND(J1546&gt;=1,J1546&lt;=K1546+3),"10."&amp;INDEX(Eingabe!$D$9:$D$18,I1546)&amp;"."&amp;IF(J1546&lt;=K1546,J1546,IF(J1546=K1546+1,200,IF(J1546=K1546+2,201,250)))&amp;".10 – 10."&amp;INDEX(Eingabe!$D$9:$D$18,I1546)&amp;"."&amp;IF(J1546&lt;=K1546,J1546,IF(J1546=K1546+1,200,IF(J1546=K1546+2,201,250)))&amp;".250",""))</f>
        <v/>
      </c>
      <c r="G1546" s="0" t="str">
        <f aca="false">IF(I1546="","",IF(AND(J1546&gt;=1,J1546&lt;=K1546),Eingabe!$B$6&amp;"-"&amp;INDEX(Eingabe!$C$9:$C$18,I1546)&amp;"-Pächter  ·  Passwort Parzelle "&amp;J1546,IF(J1546=K1546+1,Eingabe!$B$6&amp;"-"&amp;INDEX(Eingabe!$C$9:$C$18,I1546)&amp;"-Vorstand  ·  eigenes WLAN",IF(J1546=K1546+2,Eingabe!$B$6&amp;"-"&amp;INDEX(Eingabe!$C$9:$C$18,I1546)&amp;"-Gäste  ·  Voucher",IF(J1546=K1546+3,"Kabel  ·  Access Point y = .(50+y), Mast-Switch x = .(10+x)","")))))</f>
        <v/>
      </c>
      <c r="I1546" s="0" t="str">
        <f aca="false">IF(1541&lt;=(Eingabe!$P$18+Eingabe!$Q$18-1),MATCH(1541,Eingabe!$P$9:$P$18,1),"")</f>
        <v/>
      </c>
      <c r="J1546" s="0" t="str">
        <f aca="false">IF(I1546="","",1541-INDEX(Eingabe!$P$9:$P$18,I1546))</f>
        <v/>
      </c>
      <c r="K1546" s="0" t="str">
        <f aca="false">IF(I1546="","",INDEX(Eingabe!$E$9:$E$18,I1546))</f>
        <v/>
      </c>
    </row>
    <row r="1547" customFormat="false" ht="15" hidden="false" customHeight="false" outlineLevel="0" collapsed="false">
      <c r="A1547" s="0" t="str">
        <f aca="false">IF(I1547="","",IF(J1547=0,"Sparte "&amp;I1547&amp;": "&amp;INDEX(Eingabe!$B$9:$B$18,I1547)&amp;"  (Sparten-ID "&amp;INDEX(Eingabe!$D$9:$D$18,I1547)&amp;", "&amp;K1547&amp;" Parzellen)",IF(J1547&lt;=K1547,"   Parzelle "&amp;J1547,IF(J1547=K1547+1,"   Vorstand",IF(J1547=K1547+2,"   Gäste",IF(J1547=K1547+3,"   Technik (Switches, Access Points)",""))))))</f>
        <v/>
      </c>
      <c r="B1547" s="0" t="str">
        <f aca="false">IF(I1547="","",IF(AND(J1547&gt;=1,J1547&lt;=K1547+3),IF(J1547&lt;=K1547,IF(J1547&lt;=99,IF((INDEX(Eingabe!$G$9:$G$18,I1547))&lt;=9,1000+(INDEX(Eingabe!$G$9:$G$18,I1547))*100,3000)+J1547,IF((INDEX(Eingabe!$G$9:$G$18,I1547)+1)&lt;=9,1000+(INDEX(Eingabe!$G$9:$G$18,I1547)+1)*100,3000)+J1547-100),IF(J1547=K1547+1,2000+INDEX(Eingabe!$G$9:$G$18,I1547)*10+1,IF(J1547=K1547+2,2000+INDEX(Eingabe!$G$9:$G$18,I1547)*10+2,2000+INDEX(Eingabe!$G$9:$G$18,I1547)*10+9))),""))</f>
        <v/>
      </c>
      <c r="C1547" s="0" t="str">
        <f aca="false">IF(I1547="","",IF(AND(J1547&gt;=1,J1547&lt;=K1547+3),"10."&amp;INDEX(Eingabe!$D$9:$D$18,I1547)&amp;"."&amp;IF(J1547&lt;=K1547,J1547,IF(J1547=K1547+1,200,IF(J1547=K1547+2,201,250)))&amp;".0/24",""))</f>
        <v/>
      </c>
      <c r="D1547" s="0" t="str">
        <f aca="false">IF(I1547="","",IF(AND(J1547&gt;=1,J1547&lt;=K1547+3),"255.255.255.0",""))</f>
        <v/>
      </c>
      <c r="E1547" s="0" t="str">
        <f aca="false">IF(I1547="","",IF(AND(J1547&gt;=1,J1547&lt;=K1547+3),"10."&amp;INDEX(Eingabe!$D$9:$D$18,I1547)&amp;"."&amp;IF(J1547&lt;=K1547,J1547,IF(J1547=K1547+1,200,IF(J1547=K1547+2,201,250)))&amp;".1",""))</f>
        <v/>
      </c>
      <c r="F1547" s="0" t="str">
        <f aca="false">IF(I1547="","",IF(AND(J1547&gt;=1,J1547&lt;=K1547+3),"10."&amp;INDEX(Eingabe!$D$9:$D$18,I1547)&amp;"."&amp;IF(J1547&lt;=K1547,J1547,IF(J1547=K1547+1,200,IF(J1547=K1547+2,201,250)))&amp;".10 – 10."&amp;INDEX(Eingabe!$D$9:$D$18,I1547)&amp;"."&amp;IF(J1547&lt;=K1547,J1547,IF(J1547=K1547+1,200,IF(J1547=K1547+2,201,250)))&amp;".250",""))</f>
        <v/>
      </c>
      <c r="G1547" s="0" t="str">
        <f aca="false">IF(I1547="","",IF(AND(J1547&gt;=1,J1547&lt;=K1547),Eingabe!$B$6&amp;"-"&amp;INDEX(Eingabe!$C$9:$C$18,I1547)&amp;"-Pächter  ·  Passwort Parzelle "&amp;J1547,IF(J1547=K1547+1,Eingabe!$B$6&amp;"-"&amp;INDEX(Eingabe!$C$9:$C$18,I1547)&amp;"-Vorstand  ·  eigenes WLAN",IF(J1547=K1547+2,Eingabe!$B$6&amp;"-"&amp;INDEX(Eingabe!$C$9:$C$18,I1547)&amp;"-Gäste  ·  Voucher",IF(J1547=K1547+3,"Kabel  ·  Access Point y = .(50+y), Mast-Switch x = .(10+x)","")))))</f>
        <v/>
      </c>
      <c r="I1547" s="0" t="str">
        <f aca="false">IF(1542&lt;=(Eingabe!$P$18+Eingabe!$Q$18-1),MATCH(1542,Eingabe!$P$9:$P$18,1),"")</f>
        <v/>
      </c>
      <c r="J1547" s="0" t="str">
        <f aca="false">IF(I1547="","",1542-INDEX(Eingabe!$P$9:$P$18,I1547))</f>
        <v/>
      </c>
      <c r="K1547" s="0" t="str">
        <f aca="false">IF(I1547="","",INDEX(Eingabe!$E$9:$E$18,I1547))</f>
        <v/>
      </c>
    </row>
    <row r="1548" customFormat="false" ht="15" hidden="false" customHeight="false" outlineLevel="0" collapsed="false">
      <c r="A1548" s="0" t="str">
        <f aca="false">IF(I1548="","",IF(J1548=0,"Sparte "&amp;I1548&amp;": "&amp;INDEX(Eingabe!$B$9:$B$18,I1548)&amp;"  (Sparten-ID "&amp;INDEX(Eingabe!$D$9:$D$18,I1548)&amp;", "&amp;K1548&amp;" Parzellen)",IF(J1548&lt;=K1548,"   Parzelle "&amp;J1548,IF(J1548=K1548+1,"   Vorstand",IF(J1548=K1548+2,"   Gäste",IF(J1548=K1548+3,"   Technik (Switches, Access Points)",""))))))</f>
        <v/>
      </c>
      <c r="B1548" s="0" t="str">
        <f aca="false">IF(I1548="","",IF(AND(J1548&gt;=1,J1548&lt;=K1548+3),IF(J1548&lt;=K1548,IF(J1548&lt;=99,IF((INDEX(Eingabe!$G$9:$G$18,I1548))&lt;=9,1000+(INDEX(Eingabe!$G$9:$G$18,I1548))*100,3000)+J1548,IF((INDEX(Eingabe!$G$9:$G$18,I1548)+1)&lt;=9,1000+(INDEX(Eingabe!$G$9:$G$18,I1548)+1)*100,3000)+J1548-100),IF(J1548=K1548+1,2000+INDEX(Eingabe!$G$9:$G$18,I1548)*10+1,IF(J1548=K1548+2,2000+INDEX(Eingabe!$G$9:$G$18,I1548)*10+2,2000+INDEX(Eingabe!$G$9:$G$18,I1548)*10+9))),""))</f>
        <v/>
      </c>
      <c r="C1548" s="0" t="str">
        <f aca="false">IF(I1548="","",IF(AND(J1548&gt;=1,J1548&lt;=K1548+3),"10."&amp;INDEX(Eingabe!$D$9:$D$18,I1548)&amp;"."&amp;IF(J1548&lt;=K1548,J1548,IF(J1548=K1548+1,200,IF(J1548=K1548+2,201,250)))&amp;".0/24",""))</f>
        <v/>
      </c>
      <c r="D1548" s="0" t="str">
        <f aca="false">IF(I1548="","",IF(AND(J1548&gt;=1,J1548&lt;=K1548+3),"255.255.255.0",""))</f>
        <v/>
      </c>
      <c r="E1548" s="0" t="str">
        <f aca="false">IF(I1548="","",IF(AND(J1548&gt;=1,J1548&lt;=K1548+3),"10."&amp;INDEX(Eingabe!$D$9:$D$18,I1548)&amp;"."&amp;IF(J1548&lt;=K1548,J1548,IF(J1548=K1548+1,200,IF(J1548=K1548+2,201,250)))&amp;".1",""))</f>
        <v/>
      </c>
      <c r="F1548" s="0" t="str">
        <f aca="false">IF(I1548="","",IF(AND(J1548&gt;=1,J1548&lt;=K1548+3),"10."&amp;INDEX(Eingabe!$D$9:$D$18,I1548)&amp;"."&amp;IF(J1548&lt;=K1548,J1548,IF(J1548=K1548+1,200,IF(J1548=K1548+2,201,250)))&amp;".10 – 10."&amp;INDEX(Eingabe!$D$9:$D$18,I1548)&amp;"."&amp;IF(J1548&lt;=K1548,J1548,IF(J1548=K1548+1,200,IF(J1548=K1548+2,201,250)))&amp;".250",""))</f>
        <v/>
      </c>
      <c r="G1548" s="0" t="str">
        <f aca="false">IF(I1548="","",IF(AND(J1548&gt;=1,J1548&lt;=K1548),Eingabe!$B$6&amp;"-"&amp;INDEX(Eingabe!$C$9:$C$18,I1548)&amp;"-Pächter  ·  Passwort Parzelle "&amp;J1548,IF(J1548=K1548+1,Eingabe!$B$6&amp;"-"&amp;INDEX(Eingabe!$C$9:$C$18,I1548)&amp;"-Vorstand  ·  eigenes WLAN",IF(J1548=K1548+2,Eingabe!$B$6&amp;"-"&amp;INDEX(Eingabe!$C$9:$C$18,I1548)&amp;"-Gäste  ·  Voucher",IF(J1548=K1548+3,"Kabel  ·  Access Point y = .(50+y), Mast-Switch x = .(10+x)","")))))</f>
        <v/>
      </c>
      <c r="I1548" s="0" t="str">
        <f aca="false">IF(1543&lt;=(Eingabe!$P$18+Eingabe!$Q$18-1),MATCH(1543,Eingabe!$P$9:$P$18,1),"")</f>
        <v/>
      </c>
      <c r="J1548" s="0" t="str">
        <f aca="false">IF(I1548="","",1543-INDEX(Eingabe!$P$9:$P$18,I1548))</f>
        <v/>
      </c>
      <c r="K1548" s="0" t="str">
        <f aca="false">IF(I1548="","",INDEX(Eingabe!$E$9:$E$18,I1548))</f>
        <v/>
      </c>
    </row>
    <row r="1549" customFormat="false" ht="15" hidden="false" customHeight="false" outlineLevel="0" collapsed="false">
      <c r="A1549" s="0" t="str">
        <f aca="false">IF(I1549="","",IF(J1549=0,"Sparte "&amp;I1549&amp;": "&amp;INDEX(Eingabe!$B$9:$B$18,I1549)&amp;"  (Sparten-ID "&amp;INDEX(Eingabe!$D$9:$D$18,I1549)&amp;", "&amp;K1549&amp;" Parzellen)",IF(J1549&lt;=K1549,"   Parzelle "&amp;J1549,IF(J1549=K1549+1,"   Vorstand",IF(J1549=K1549+2,"   Gäste",IF(J1549=K1549+3,"   Technik (Switches, Access Points)",""))))))</f>
        <v/>
      </c>
      <c r="B1549" s="0" t="str">
        <f aca="false">IF(I1549="","",IF(AND(J1549&gt;=1,J1549&lt;=K1549+3),IF(J1549&lt;=K1549,IF(J1549&lt;=99,IF((INDEX(Eingabe!$G$9:$G$18,I1549))&lt;=9,1000+(INDEX(Eingabe!$G$9:$G$18,I1549))*100,3000)+J1549,IF((INDEX(Eingabe!$G$9:$G$18,I1549)+1)&lt;=9,1000+(INDEX(Eingabe!$G$9:$G$18,I1549)+1)*100,3000)+J1549-100),IF(J1549=K1549+1,2000+INDEX(Eingabe!$G$9:$G$18,I1549)*10+1,IF(J1549=K1549+2,2000+INDEX(Eingabe!$G$9:$G$18,I1549)*10+2,2000+INDEX(Eingabe!$G$9:$G$18,I1549)*10+9))),""))</f>
        <v/>
      </c>
      <c r="C1549" s="0" t="str">
        <f aca="false">IF(I1549="","",IF(AND(J1549&gt;=1,J1549&lt;=K1549+3),"10."&amp;INDEX(Eingabe!$D$9:$D$18,I1549)&amp;"."&amp;IF(J1549&lt;=K1549,J1549,IF(J1549=K1549+1,200,IF(J1549=K1549+2,201,250)))&amp;".0/24",""))</f>
        <v/>
      </c>
      <c r="D1549" s="0" t="str">
        <f aca="false">IF(I1549="","",IF(AND(J1549&gt;=1,J1549&lt;=K1549+3),"255.255.255.0",""))</f>
        <v/>
      </c>
      <c r="E1549" s="0" t="str">
        <f aca="false">IF(I1549="","",IF(AND(J1549&gt;=1,J1549&lt;=K1549+3),"10."&amp;INDEX(Eingabe!$D$9:$D$18,I1549)&amp;"."&amp;IF(J1549&lt;=K1549,J1549,IF(J1549=K1549+1,200,IF(J1549=K1549+2,201,250)))&amp;".1",""))</f>
        <v/>
      </c>
      <c r="F1549" s="0" t="str">
        <f aca="false">IF(I1549="","",IF(AND(J1549&gt;=1,J1549&lt;=K1549+3),"10."&amp;INDEX(Eingabe!$D$9:$D$18,I1549)&amp;"."&amp;IF(J1549&lt;=K1549,J1549,IF(J1549=K1549+1,200,IF(J1549=K1549+2,201,250)))&amp;".10 – 10."&amp;INDEX(Eingabe!$D$9:$D$18,I1549)&amp;"."&amp;IF(J1549&lt;=K1549,J1549,IF(J1549=K1549+1,200,IF(J1549=K1549+2,201,250)))&amp;".250",""))</f>
        <v/>
      </c>
      <c r="G1549" s="0" t="str">
        <f aca="false">IF(I1549="","",IF(AND(J1549&gt;=1,J1549&lt;=K1549),Eingabe!$B$6&amp;"-"&amp;INDEX(Eingabe!$C$9:$C$18,I1549)&amp;"-Pächter  ·  Passwort Parzelle "&amp;J1549,IF(J1549=K1549+1,Eingabe!$B$6&amp;"-"&amp;INDEX(Eingabe!$C$9:$C$18,I1549)&amp;"-Vorstand  ·  eigenes WLAN",IF(J1549=K1549+2,Eingabe!$B$6&amp;"-"&amp;INDEX(Eingabe!$C$9:$C$18,I1549)&amp;"-Gäste  ·  Voucher",IF(J1549=K1549+3,"Kabel  ·  Access Point y = .(50+y), Mast-Switch x = .(10+x)","")))))</f>
        <v/>
      </c>
      <c r="I1549" s="0" t="str">
        <f aca="false">IF(1544&lt;=(Eingabe!$P$18+Eingabe!$Q$18-1),MATCH(1544,Eingabe!$P$9:$P$18,1),"")</f>
        <v/>
      </c>
      <c r="J1549" s="0" t="str">
        <f aca="false">IF(I1549="","",1544-INDEX(Eingabe!$P$9:$P$18,I1549))</f>
        <v/>
      </c>
      <c r="K1549" s="0" t="str">
        <f aca="false">IF(I1549="","",INDEX(Eingabe!$E$9:$E$18,I1549))</f>
        <v/>
      </c>
    </row>
    <row r="1550" customFormat="false" ht="15" hidden="false" customHeight="false" outlineLevel="0" collapsed="false">
      <c r="A1550" s="0" t="str">
        <f aca="false">IF(I1550="","",IF(J1550=0,"Sparte "&amp;I1550&amp;": "&amp;INDEX(Eingabe!$B$9:$B$18,I1550)&amp;"  (Sparten-ID "&amp;INDEX(Eingabe!$D$9:$D$18,I1550)&amp;", "&amp;K1550&amp;" Parzellen)",IF(J1550&lt;=K1550,"   Parzelle "&amp;J1550,IF(J1550=K1550+1,"   Vorstand",IF(J1550=K1550+2,"   Gäste",IF(J1550=K1550+3,"   Technik (Switches, Access Points)",""))))))</f>
        <v/>
      </c>
      <c r="B1550" s="0" t="str">
        <f aca="false">IF(I1550="","",IF(AND(J1550&gt;=1,J1550&lt;=K1550+3),IF(J1550&lt;=K1550,IF(J1550&lt;=99,IF((INDEX(Eingabe!$G$9:$G$18,I1550))&lt;=9,1000+(INDEX(Eingabe!$G$9:$G$18,I1550))*100,3000)+J1550,IF((INDEX(Eingabe!$G$9:$G$18,I1550)+1)&lt;=9,1000+(INDEX(Eingabe!$G$9:$G$18,I1550)+1)*100,3000)+J1550-100),IF(J1550=K1550+1,2000+INDEX(Eingabe!$G$9:$G$18,I1550)*10+1,IF(J1550=K1550+2,2000+INDEX(Eingabe!$G$9:$G$18,I1550)*10+2,2000+INDEX(Eingabe!$G$9:$G$18,I1550)*10+9))),""))</f>
        <v/>
      </c>
      <c r="C1550" s="0" t="str">
        <f aca="false">IF(I1550="","",IF(AND(J1550&gt;=1,J1550&lt;=K1550+3),"10."&amp;INDEX(Eingabe!$D$9:$D$18,I1550)&amp;"."&amp;IF(J1550&lt;=K1550,J1550,IF(J1550=K1550+1,200,IF(J1550=K1550+2,201,250)))&amp;".0/24",""))</f>
        <v/>
      </c>
      <c r="D1550" s="0" t="str">
        <f aca="false">IF(I1550="","",IF(AND(J1550&gt;=1,J1550&lt;=K1550+3),"255.255.255.0",""))</f>
        <v/>
      </c>
      <c r="E1550" s="0" t="str">
        <f aca="false">IF(I1550="","",IF(AND(J1550&gt;=1,J1550&lt;=K1550+3),"10."&amp;INDEX(Eingabe!$D$9:$D$18,I1550)&amp;"."&amp;IF(J1550&lt;=K1550,J1550,IF(J1550=K1550+1,200,IF(J1550=K1550+2,201,250)))&amp;".1",""))</f>
        <v/>
      </c>
      <c r="F1550" s="0" t="str">
        <f aca="false">IF(I1550="","",IF(AND(J1550&gt;=1,J1550&lt;=K1550+3),"10."&amp;INDEX(Eingabe!$D$9:$D$18,I1550)&amp;"."&amp;IF(J1550&lt;=K1550,J1550,IF(J1550=K1550+1,200,IF(J1550=K1550+2,201,250)))&amp;".10 – 10."&amp;INDEX(Eingabe!$D$9:$D$18,I1550)&amp;"."&amp;IF(J1550&lt;=K1550,J1550,IF(J1550=K1550+1,200,IF(J1550=K1550+2,201,250)))&amp;".250",""))</f>
        <v/>
      </c>
      <c r="G1550" s="0" t="str">
        <f aca="false">IF(I1550="","",IF(AND(J1550&gt;=1,J1550&lt;=K1550),Eingabe!$B$6&amp;"-"&amp;INDEX(Eingabe!$C$9:$C$18,I1550)&amp;"-Pächter  ·  Passwort Parzelle "&amp;J1550,IF(J1550=K1550+1,Eingabe!$B$6&amp;"-"&amp;INDEX(Eingabe!$C$9:$C$18,I1550)&amp;"-Vorstand  ·  eigenes WLAN",IF(J1550=K1550+2,Eingabe!$B$6&amp;"-"&amp;INDEX(Eingabe!$C$9:$C$18,I1550)&amp;"-Gäste  ·  Voucher",IF(J1550=K1550+3,"Kabel  ·  Access Point y = .(50+y), Mast-Switch x = .(10+x)","")))))</f>
        <v/>
      </c>
      <c r="I1550" s="0" t="str">
        <f aca="false">IF(1545&lt;=(Eingabe!$P$18+Eingabe!$Q$18-1),MATCH(1545,Eingabe!$P$9:$P$18,1),"")</f>
        <v/>
      </c>
      <c r="J1550" s="0" t="str">
        <f aca="false">IF(I1550="","",1545-INDEX(Eingabe!$P$9:$P$18,I1550))</f>
        <v/>
      </c>
      <c r="K1550" s="0" t="str">
        <f aca="false">IF(I1550="","",INDEX(Eingabe!$E$9:$E$18,I1550))</f>
        <v/>
      </c>
    </row>
    <row r="1551" customFormat="false" ht="15" hidden="false" customHeight="false" outlineLevel="0" collapsed="false">
      <c r="A1551" s="0" t="str">
        <f aca="false">IF(I1551="","",IF(J1551=0,"Sparte "&amp;I1551&amp;": "&amp;INDEX(Eingabe!$B$9:$B$18,I1551)&amp;"  (Sparten-ID "&amp;INDEX(Eingabe!$D$9:$D$18,I1551)&amp;", "&amp;K1551&amp;" Parzellen)",IF(J1551&lt;=K1551,"   Parzelle "&amp;J1551,IF(J1551=K1551+1,"   Vorstand",IF(J1551=K1551+2,"   Gäste",IF(J1551=K1551+3,"   Technik (Switches, Access Points)",""))))))</f>
        <v/>
      </c>
      <c r="B1551" s="0" t="str">
        <f aca="false">IF(I1551="","",IF(AND(J1551&gt;=1,J1551&lt;=K1551+3),IF(J1551&lt;=K1551,IF(J1551&lt;=99,IF((INDEX(Eingabe!$G$9:$G$18,I1551))&lt;=9,1000+(INDEX(Eingabe!$G$9:$G$18,I1551))*100,3000)+J1551,IF((INDEX(Eingabe!$G$9:$G$18,I1551)+1)&lt;=9,1000+(INDEX(Eingabe!$G$9:$G$18,I1551)+1)*100,3000)+J1551-100),IF(J1551=K1551+1,2000+INDEX(Eingabe!$G$9:$G$18,I1551)*10+1,IF(J1551=K1551+2,2000+INDEX(Eingabe!$G$9:$G$18,I1551)*10+2,2000+INDEX(Eingabe!$G$9:$G$18,I1551)*10+9))),""))</f>
        <v/>
      </c>
      <c r="C1551" s="0" t="str">
        <f aca="false">IF(I1551="","",IF(AND(J1551&gt;=1,J1551&lt;=K1551+3),"10."&amp;INDEX(Eingabe!$D$9:$D$18,I1551)&amp;"."&amp;IF(J1551&lt;=K1551,J1551,IF(J1551=K1551+1,200,IF(J1551=K1551+2,201,250)))&amp;".0/24",""))</f>
        <v/>
      </c>
      <c r="D1551" s="0" t="str">
        <f aca="false">IF(I1551="","",IF(AND(J1551&gt;=1,J1551&lt;=K1551+3),"255.255.255.0",""))</f>
        <v/>
      </c>
      <c r="E1551" s="0" t="str">
        <f aca="false">IF(I1551="","",IF(AND(J1551&gt;=1,J1551&lt;=K1551+3),"10."&amp;INDEX(Eingabe!$D$9:$D$18,I1551)&amp;"."&amp;IF(J1551&lt;=K1551,J1551,IF(J1551=K1551+1,200,IF(J1551=K1551+2,201,250)))&amp;".1",""))</f>
        <v/>
      </c>
      <c r="F1551" s="0" t="str">
        <f aca="false">IF(I1551="","",IF(AND(J1551&gt;=1,J1551&lt;=K1551+3),"10."&amp;INDEX(Eingabe!$D$9:$D$18,I1551)&amp;"."&amp;IF(J1551&lt;=K1551,J1551,IF(J1551=K1551+1,200,IF(J1551=K1551+2,201,250)))&amp;".10 – 10."&amp;INDEX(Eingabe!$D$9:$D$18,I1551)&amp;"."&amp;IF(J1551&lt;=K1551,J1551,IF(J1551=K1551+1,200,IF(J1551=K1551+2,201,250)))&amp;".250",""))</f>
        <v/>
      </c>
      <c r="G1551" s="0" t="str">
        <f aca="false">IF(I1551="","",IF(AND(J1551&gt;=1,J1551&lt;=K1551),Eingabe!$B$6&amp;"-"&amp;INDEX(Eingabe!$C$9:$C$18,I1551)&amp;"-Pächter  ·  Passwort Parzelle "&amp;J1551,IF(J1551=K1551+1,Eingabe!$B$6&amp;"-"&amp;INDEX(Eingabe!$C$9:$C$18,I1551)&amp;"-Vorstand  ·  eigenes WLAN",IF(J1551=K1551+2,Eingabe!$B$6&amp;"-"&amp;INDEX(Eingabe!$C$9:$C$18,I1551)&amp;"-Gäste  ·  Voucher",IF(J1551=K1551+3,"Kabel  ·  Access Point y = .(50+y), Mast-Switch x = .(10+x)","")))))</f>
        <v/>
      </c>
      <c r="I1551" s="0" t="str">
        <f aca="false">IF(1546&lt;=(Eingabe!$P$18+Eingabe!$Q$18-1),MATCH(1546,Eingabe!$P$9:$P$18,1),"")</f>
        <v/>
      </c>
      <c r="J1551" s="0" t="str">
        <f aca="false">IF(I1551="","",1546-INDEX(Eingabe!$P$9:$P$18,I1551))</f>
        <v/>
      </c>
      <c r="K1551" s="0" t="str">
        <f aca="false">IF(I1551="","",INDEX(Eingabe!$E$9:$E$18,I1551))</f>
        <v/>
      </c>
    </row>
    <row r="1552" customFormat="false" ht="15" hidden="false" customHeight="false" outlineLevel="0" collapsed="false">
      <c r="A1552" s="0" t="str">
        <f aca="false">IF(I1552="","",IF(J1552=0,"Sparte "&amp;I1552&amp;": "&amp;INDEX(Eingabe!$B$9:$B$18,I1552)&amp;"  (Sparten-ID "&amp;INDEX(Eingabe!$D$9:$D$18,I1552)&amp;", "&amp;K1552&amp;" Parzellen)",IF(J1552&lt;=K1552,"   Parzelle "&amp;J1552,IF(J1552=K1552+1,"   Vorstand",IF(J1552=K1552+2,"   Gäste",IF(J1552=K1552+3,"   Technik (Switches, Access Points)",""))))))</f>
        <v/>
      </c>
      <c r="B1552" s="0" t="str">
        <f aca="false">IF(I1552="","",IF(AND(J1552&gt;=1,J1552&lt;=K1552+3),IF(J1552&lt;=K1552,IF(J1552&lt;=99,IF((INDEX(Eingabe!$G$9:$G$18,I1552))&lt;=9,1000+(INDEX(Eingabe!$G$9:$G$18,I1552))*100,3000)+J1552,IF((INDEX(Eingabe!$G$9:$G$18,I1552)+1)&lt;=9,1000+(INDEX(Eingabe!$G$9:$G$18,I1552)+1)*100,3000)+J1552-100),IF(J1552=K1552+1,2000+INDEX(Eingabe!$G$9:$G$18,I1552)*10+1,IF(J1552=K1552+2,2000+INDEX(Eingabe!$G$9:$G$18,I1552)*10+2,2000+INDEX(Eingabe!$G$9:$G$18,I1552)*10+9))),""))</f>
        <v/>
      </c>
      <c r="C1552" s="0" t="str">
        <f aca="false">IF(I1552="","",IF(AND(J1552&gt;=1,J1552&lt;=K1552+3),"10."&amp;INDEX(Eingabe!$D$9:$D$18,I1552)&amp;"."&amp;IF(J1552&lt;=K1552,J1552,IF(J1552=K1552+1,200,IF(J1552=K1552+2,201,250)))&amp;".0/24",""))</f>
        <v/>
      </c>
      <c r="D1552" s="0" t="str">
        <f aca="false">IF(I1552="","",IF(AND(J1552&gt;=1,J1552&lt;=K1552+3),"255.255.255.0",""))</f>
        <v/>
      </c>
      <c r="E1552" s="0" t="str">
        <f aca="false">IF(I1552="","",IF(AND(J1552&gt;=1,J1552&lt;=K1552+3),"10."&amp;INDEX(Eingabe!$D$9:$D$18,I1552)&amp;"."&amp;IF(J1552&lt;=K1552,J1552,IF(J1552=K1552+1,200,IF(J1552=K1552+2,201,250)))&amp;".1",""))</f>
        <v/>
      </c>
      <c r="F1552" s="0" t="str">
        <f aca="false">IF(I1552="","",IF(AND(J1552&gt;=1,J1552&lt;=K1552+3),"10."&amp;INDEX(Eingabe!$D$9:$D$18,I1552)&amp;"."&amp;IF(J1552&lt;=K1552,J1552,IF(J1552=K1552+1,200,IF(J1552=K1552+2,201,250)))&amp;".10 – 10."&amp;INDEX(Eingabe!$D$9:$D$18,I1552)&amp;"."&amp;IF(J1552&lt;=K1552,J1552,IF(J1552=K1552+1,200,IF(J1552=K1552+2,201,250)))&amp;".250",""))</f>
        <v/>
      </c>
      <c r="G1552" s="0" t="str">
        <f aca="false">IF(I1552="","",IF(AND(J1552&gt;=1,J1552&lt;=K1552),Eingabe!$B$6&amp;"-"&amp;INDEX(Eingabe!$C$9:$C$18,I1552)&amp;"-Pächter  ·  Passwort Parzelle "&amp;J1552,IF(J1552=K1552+1,Eingabe!$B$6&amp;"-"&amp;INDEX(Eingabe!$C$9:$C$18,I1552)&amp;"-Vorstand  ·  eigenes WLAN",IF(J1552=K1552+2,Eingabe!$B$6&amp;"-"&amp;INDEX(Eingabe!$C$9:$C$18,I1552)&amp;"-Gäste  ·  Voucher",IF(J1552=K1552+3,"Kabel  ·  Access Point y = .(50+y), Mast-Switch x = .(10+x)","")))))</f>
        <v/>
      </c>
      <c r="I1552" s="0" t="str">
        <f aca="false">IF(1547&lt;=(Eingabe!$P$18+Eingabe!$Q$18-1),MATCH(1547,Eingabe!$P$9:$P$18,1),"")</f>
        <v/>
      </c>
      <c r="J1552" s="0" t="str">
        <f aca="false">IF(I1552="","",1547-INDEX(Eingabe!$P$9:$P$18,I1552))</f>
        <v/>
      </c>
      <c r="K1552" s="0" t="str">
        <f aca="false">IF(I1552="","",INDEX(Eingabe!$E$9:$E$18,I1552))</f>
        <v/>
      </c>
    </row>
    <row r="1553" customFormat="false" ht="15" hidden="false" customHeight="false" outlineLevel="0" collapsed="false">
      <c r="A1553" s="0" t="str">
        <f aca="false">IF(I1553="","",IF(J1553=0,"Sparte "&amp;I1553&amp;": "&amp;INDEX(Eingabe!$B$9:$B$18,I1553)&amp;"  (Sparten-ID "&amp;INDEX(Eingabe!$D$9:$D$18,I1553)&amp;", "&amp;K1553&amp;" Parzellen)",IF(J1553&lt;=K1553,"   Parzelle "&amp;J1553,IF(J1553=K1553+1,"   Vorstand",IF(J1553=K1553+2,"   Gäste",IF(J1553=K1553+3,"   Technik (Switches, Access Points)",""))))))</f>
        <v/>
      </c>
      <c r="B1553" s="0" t="str">
        <f aca="false">IF(I1553="","",IF(AND(J1553&gt;=1,J1553&lt;=K1553+3),IF(J1553&lt;=K1553,IF(J1553&lt;=99,IF((INDEX(Eingabe!$G$9:$G$18,I1553))&lt;=9,1000+(INDEX(Eingabe!$G$9:$G$18,I1553))*100,3000)+J1553,IF((INDEX(Eingabe!$G$9:$G$18,I1553)+1)&lt;=9,1000+(INDEX(Eingabe!$G$9:$G$18,I1553)+1)*100,3000)+J1553-100),IF(J1553=K1553+1,2000+INDEX(Eingabe!$G$9:$G$18,I1553)*10+1,IF(J1553=K1553+2,2000+INDEX(Eingabe!$G$9:$G$18,I1553)*10+2,2000+INDEX(Eingabe!$G$9:$G$18,I1553)*10+9))),""))</f>
        <v/>
      </c>
      <c r="C1553" s="0" t="str">
        <f aca="false">IF(I1553="","",IF(AND(J1553&gt;=1,J1553&lt;=K1553+3),"10."&amp;INDEX(Eingabe!$D$9:$D$18,I1553)&amp;"."&amp;IF(J1553&lt;=K1553,J1553,IF(J1553=K1553+1,200,IF(J1553=K1553+2,201,250)))&amp;".0/24",""))</f>
        <v/>
      </c>
      <c r="D1553" s="0" t="str">
        <f aca="false">IF(I1553="","",IF(AND(J1553&gt;=1,J1553&lt;=K1553+3),"255.255.255.0",""))</f>
        <v/>
      </c>
      <c r="E1553" s="0" t="str">
        <f aca="false">IF(I1553="","",IF(AND(J1553&gt;=1,J1553&lt;=K1553+3),"10."&amp;INDEX(Eingabe!$D$9:$D$18,I1553)&amp;"."&amp;IF(J1553&lt;=K1553,J1553,IF(J1553=K1553+1,200,IF(J1553=K1553+2,201,250)))&amp;".1",""))</f>
        <v/>
      </c>
      <c r="F1553" s="0" t="str">
        <f aca="false">IF(I1553="","",IF(AND(J1553&gt;=1,J1553&lt;=K1553+3),"10."&amp;INDEX(Eingabe!$D$9:$D$18,I1553)&amp;"."&amp;IF(J1553&lt;=K1553,J1553,IF(J1553=K1553+1,200,IF(J1553=K1553+2,201,250)))&amp;".10 – 10."&amp;INDEX(Eingabe!$D$9:$D$18,I1553)&amp;"."&amp;IF(J1553&lt;=K1553,J1553,IF(J1553=K1553+1,200,IF(J1553=K1553+2,201,250)))&amp;".250",""))</f>
        <v/>
      </c>
      <c r="G1553" s="0" t="str">
        <f aca="false">IF(I1553="","",IF(AND(J1553&gt;=1,J1553&lt;=K1553),Eingabe!$B$6&amp;"-"&amp;INDEX(Eingabe!$C$9:$C$18,I1553)&amp;"-Pächter  ·  Passwort Parzelle "&amp;J1553,IF(J1553=K1553+1,Eingabe!$B$6&amp;"-"&amp;INDEX(Eingabe!$C$9:$C$18,I1553)&amp;"-Vorstand  ·  eigenes WLAN",IF(J1553=K1553+2,Eingabe!$B$6&amp;"-"&amp;INDEX(Eingabe!$C$9:$C$18,I1553)&amp;"-Gäste  ·  Voucher",IF(J1553=K1553+3,"Kabel  ·  Access Point y = .(50+y), Mast-Switch x = .(10+x)","")))))</f>
        <v/>
      </c>
      <c r="I1553" s="0" t="str">
        <f aca="false">IF(1548&lt;=(Eingabe!$P$18+Eingabe!$Q$18-1),MATCH(1548,Eingabe!$P$9:$P$18,1),"")</f>
        <v/>
      </c>
      <c r="J1553" s="0" t="str">
        <f aca="false">IF(I1553="","",1548-INDEX(Eingabe!$P$9:$P$18,I1553))</f>
        <v/>
      </c>
      <c r="K1553" s="0" t="str">
        <f aca="false">IF(I1553="","",INDEX(Eingabe!$E$9:$E$18,I1553))</f>
        <v/>
      </c>
    </row>
    <row r="1554" customFormat="false" ht="15" hidden="false" customHeight="false" outlineLevel="0" collapsed="false">
      <c r="A1554" s="0" t="str">
        <f aca="false">IF(I1554="","",IF(J1554=0,"Sparte "&amp;I1554&amp;": "&amp;INDEX(Eingabe!$B$9:$B$18,I1554)&amp;"  (Sparten-ID "&amp;INDEX(Eingabe!$D$9:$D$18,I1554)&amp;", "&amp;K1554&amp;" Parzellen)",IF(J1554&lt;=K1554,"   Parzelle "&amp;J1554,IF(J1554=K1554+1,"   Vorstand",IF(J1554=K1554+2,"   Gäste",IF(J1554=K1554+3,"   Technik (Switches, Access Points)",""))))))</f>
        <v/>
      </c>
      <c r="B1554" s="0" t="str">
        <f aca="false">IF(I1554="","",IF(AND(J1554&gt;=1,J1554&lt;=K1554+3),IF(J1554&lt;=K1554,IF(J1554&lt;=99,IF((INDEX(Eingabe!$G$9:$G$18,I1554))&lt;=9,1000+(INDEX(Eingabe!$G$9:$G$18,I1554))*100,3000)+J1554,IF((INDEX(Eingabe!$G$9:$G$18,I1554)+1)&lt;=9,1000+(INDEX(Eingabe!$G$9:$G$18,I1554)+1)*100,3000)+J1554-100),IF(J1554=K1554+1,2000+INDEX(Eingabe!$G$9:$G$18,I1554)*10+1,IF(J1554=K1554+2,2000+INDEX(Eingabe!$G$9:$G$18,I1554)*10+2,2000+INDEX(Eingabe!$G$9:$G$18,I1554)*10+9))),""))</f>
        <v/>
      </c>
      <c r="C1554" s="0" t="str">
        <f aca="false">IF(I1554="","",IF(AND(J1554&gt;=1,J1554&lt;=K1554+3),"10."&amp;INDEX(Eingabe!$D$9:$D$18,I1554)&amp;"."&amp;IF(J1554&lt;=K1554,J1554,IF(J1554=K1554+1,200,IF(J1554=K1554+2,201,250)))&amp;".0/24",""))</f>
        <v/>
      </c>
      <c r="D1554" s="0" t="str">
        <f aca="false">IF(I1554="","",IF(AND(J1554&gt;=1,J1554&lt;=K1554+3),"255.255.255.0",""))</f>
        <v/>
      </c>
      <c r="E1554" s="0" t="str">
        <f aca="false">IF(I1554="","",IF(AND(J1554&gt;=1,J1554&lt;=K1554+3),"10."&amp;INDEX(Eingabe!$D$9:$D$18,I1554)&amp;"."&amp;IF(J1554&lt;=K1554,J1554,IF(J1554=K1554+1,200,IF(J1554=K1554+2,201,250)))&amp;".1",""))</f>
        <v/>
      </c>
      <c r="F1554" s="0" t="str">
        <f aca="false">IF(I1554="","",IF(AND(J1554&gt;=1,J1554&lt;=K1554+3),"10."&amp;INDEX(Eingabe!$D$9:$D$18,I1554)&amp;"."&amp;IF(J1554&lt;=K1554,J1554,IF(J1554=K1554+1,200,IF(J1554=K1554+2,201,250)))&amp;".10 – 10."&amp;INDEX(Eingabe!$D$9:$D$18,I1554)&amp;"."&amp;IF(J1554&lt;=K1554,J1554,IF(J1554=K1554+1,200,IF(J1554=K1554+2,201,250)))&amp;".250",""))</f>
        <v/>
      </c>
      <c r="G1554" s="0" t="str">
        <f aca="false">IF(I1554="","",IF(AND(J1554&gt;=1,J1554&lt;=K1554),Eingabe!$B$6&amp;"-"&amp;INDEX(Eingabe!$C$9:$C$18,I1554)&amp;"-Pächter  ·  Passwort Parzelle "&amp;J1554,IF(J1554=K1554+1,Eingabe!$B$6&amp;"-"&amp;INDEX(Eingabe!$C$9:$C$18,I1554)&amp;"-Vorstand  ·  eigenes WLAN",IF(J1554=K1554+2,Eingabe!$B$6&amp;"-"&amp;INDEX(Eingabe!$C$9:$C$18,I1554)&amp;"-Gäste  ·  Voucher",IF(J1554=K1554+3,"Kabel  ·  Access Point y = .(50+y), Mast-Switch x = .(10+x)","")))))</f>
        <v/>
      </c>
      <c r="I1554" s="0" t="str">
        <f aca="false">IF(1549&lt;=(Eingabe!$P$18+Eingabe!$Q$18-1),MATCH(1549,Eingabe!$P$9:$P$18,1),"")</f>
        <v/>
      </c>
      <c r="J1554" s="0" t="str">
        <f aca="false">IF(I1554="","",1549-INDEX(Eingabe!$P$9:$P$18,I1554))</f>
        <v/>
      </c>
      <c r="K1554" s="0" t="str">
        <f aca="false">IF(I1554="","",INDEX(Eingabe!$E$9:$E$18,I1554))</f>
        <v/>
      </c>
    </row>
    <row r="1555" customFormat="false" ht="15" hidden="false" customHeight="false" outlineLevel="0" collapsed="false">
      <c r="A1555" s="0" t="str">
        <f aca="false">IF(I1555="","",IF(J1555=0,"Sparte "&amp;I1555&amp;": "&amp;INDEX(Eingabe!$B$9:$B$18,I1555)&amp;"  (Sparten-ID "&amp;INDEX(Eingabe!$D$9:$D$18,I1555)&amp;", "&amp;K1555&amp;" Parzellen)",IF(J1555&lt;=K1555,"   Parzelle "&amp;J1555,IF(J1555=K1555+1,"   Vorstand",IF(J1555=K1555+2,"   Gäste",IF(J1555=K1555+3,"   Technik (Switches, Access Points)",""))))))</f>
        <v/>
      </c>
      <c r="B1555" s="0" t="str">
        <f aca="false">IF(I1555="","",IF(AND(J1555&gt;=1,J1555&lt;=K1555+3),IF(J1555&lt;=K1555,IF(J1555&lt;=99,IF((INDEX(Eingabe!$G$9:$G$18,I1555))&lt;=9,1000+(INDEX(Eingabe!$G$9:$G$18,I1555))*100,3000)+J1555,IF((INDEX(Eingabe!$G$9:$G$18,I1555)+1)&lt;=9,1000+(INDEX(Eingabe!$G$9:$G$18,I1555)+1)*100,3000)+J1555-100),IF(J1555=K1555+1,2000+INDEX(Eingabe!$G$9:$G$18,I1555)*10+1,IF(J1555=K1555+2,2000+INDEX(Eingabe!$G$9:$G$18,I1555)*10+2,2000+INDEX(Eingabe!$G$9:$G$18,I1555)*10+9))),""))</f>
        <v/>
      </c>
      <c r="C1555" s="0" t="str">
        <f aca="false">IF(I1555="","",IF(AND(J1555&gt;=1,J1555&lt;=K1555+3),"10."&amp;INDEX(Eingabe!$D$9:$D$18,I1555)&amp;"."&amp;IF(J1555&lt;=K1555,J1555,IF(J1555=K1555+1,200,IF(J1555=K1555+2,201,250)))&amp;".0/24",""))</f>
        <v/>
      </c>
      <c r="D1555" s="0" t="str">
        <f aca="false">IF(I1555="","",IF(AND(J1555&gt;=1,J1555&lt;=K1555+3),"255.255.255.0",""))</f>
        <v/>
      </c>
      <c r="E1555" s="0" t="str">
        <f aca="false">IF(I1555="","",IF(AND(J1555&gt;=1,J1555&lt;=K1555+3),"10."&amp;INDEX(Eingabe!$D$9:$D$18,I1555)&amp;"."&amp;IF(J1555&lt;=K1555,J1555,IF(J1555=K1555+1,200,IF(J1555=K1555+2,201,250)))&amp;".1",""))</f>
        <v/>
      </c>
      <c r="F1555" s="0" t="str">
        <f aca="false">IF(I1555="","",IF(AND(J1555&gt;=1,J1555&lt;=K1555+3),"10."&amp;INDEX(Eingabe!$D$9:$D$18,I1555)&amp;"."&amp;IF(J1555&lt;=K1555,J1555,IF(J1555=K1555+1,200,IF(J1555=K1555+2,201,250)))&amp;".10 – 10."&amp;INDEX(Eingabe!$D$9:$D$18,I1555)&amp;"."&amp;IF(J1555&lt;=K1555,J1555,IF(J1555=K1555+1,200,IF(J1555=K1555+2,201,250)))&amp;".250",""))</f>
        <v/>
      </c>
      <c r="G1555" s="0" t="str">
        <f aca="false">IF(I1555="","",IF(AND(J1555&gt;=1,J1555&lt;=K1555),Eingabe!$B$6&amp;"-"&amp;INDEX(Eingabe!$C$9:$C$18,I1555)&amp;"-Pächter  ·  Passwort Parzelle "&amp;J1555,IF(J1555=K1555+1,Eingabe!$B$6&amp;"-"&amp;INDEX(Eingabe!$C$9:$C$18,I1555)&amp;"-Vorstand  ·  eigenes WLAN",IF(J1555=K1555+2,Eingabe!$B$6&amp;"-"&amp;INDEX(Eingabe!$C$9:$C$18,I1555)&amp;"-Gäste  ·  Voucher",IF(J1555=K1555+3,"Kabel  ·  Access Point y = .(50+y), Mast-Switch x = .(10+x)","")))))</f>
        <v/>
      </c>
      <c r="I1555" s="0" t="str">
        <f aca="false">IF(1550&lt;=(Eingabe!$P$18+Eingabe!$Q$18-1),MATCH(1550,Eingabe!$P$9:$P$18,1),"")</f>
        <v/>
      </c>
      <c r="J1555" s="0" t="str">
        <f aca="false">IF(I1555="","",1550-INDEX(Eingabe!$P$9:$P$18,I1555))</f>
        <v/>
      </c>
      <c r="K1555" s="0" t="str">
        <f aca="false">IF(I1555="","",INDEX(Eingabe!$E$9:$E$18,I1555))</f>
        <v/>
      </c>
    </row>
    <row r="1556" customFormat="false" ht="15" hidden="false" customHeight="false" outlineLevel="0" collapsed="false">
      <c r="A1556" s="0" t="str">
        <f aca="false">IF(I1556="","",IF(J1556=0,"Sparte "&amp;I1556&amp;": "&amp;INDEX(Eingabe!$B$9:$B$18,I1556)&amp;"  (Sparten-ID "&amp;INDEX(Eingabe!$D$9:$D$18,I1556)&amp;", "&amp;K1556&amp;" Parzellen)",IF(J1556&lt;=K1556,"   Parzelle "&amp;J1556,IF(J1556=K1556+1,"   Vorstand",IF(J1556=K1556+2,"   Gäste",IF(J1556=K1556+3,"   Technik (Switches, Access Points)",""))))))</f>
        <v/>
      </c>
      <c r="B1556" s="0" t="str">
        <f aca="false">IF(I1556="","",IF(AND(J1556&gt;=1,J1556&lt;=K1556+3),IF(J1556&lt;=K1556,IF(J1556&lt;=99,IF((INDEX(Eingabe!$G$9:$G$18,I1556))&lt;=9,1000+(INDEX(Eingabe!$G$9:$G$18,I1556))*100,3000)+J1556,IF((INDEX(Eingabe!$G$9:$G$18,I1556)+1)&lt;=9,1000+(INDEX(Eingabe!$G$9:$G$18,I1556)+1)*100,3000)+J1556-100),IF(J1556=K1556+1,2000+INDEX(Eingabe!$G$9:$G$18,I1556)*10+1,IF(J1556=K1556+2,2000+INDEX(Eingabe!$G$9:$G$18,I1556)*10+2,2000+INDEX(Eingabe!$G$9:$G$18,I1556)*10+9))),""))</f>
        <v/>
      </c>
      <c r="C1556" s="0" t="str">
        <f aca="false">IF(I1556="","",IF(AND(J1556&gt;=1,J1556&lt;=K1556+3),"10."&amp;INDEX(Eingabe!$D$9:$D$18,I1556)&amp;"."&amp;IF(J1556&lt;=K1556,J1556,IF(J1556=K1556+1,200,IF(J1556=K1556+2,201,250)))&amp;".0/24",""))</f>
        <v/>
      </c>
      <c r="D1556" s="0" t="str">
        <f aca="false">IF(I1556="","",IF(AND(J1556&gt;=1,J1556&lt;=K1556+3),"255.255.255.0",""))</f>
        <v/>
      </c>
      <c r="E1556" s="0" t="str">
        <f aca="false">IF(I1556="","",IF(AND(J1556&gt;=1,J1556&lt;=K1556+3),"10."&amp;INDEX(Eingabe!$D$9:$D$18,I1556)&amp;"."&amp;IF(J1556&lt;=K1556,J1556,IF(J1556=K1556+1,200,IF(J1556=K1556+2,201,250)))&amp;".1",""))</f>
        <v/>
      </c>
      <c r="F1556" s="0" t="str">
        <f aca="false">IF(I1556="","",IF(AND(J1556&gt;=1,J1556&lt;=K1556+3),"10."&amp;INDEX(Eingabe!$D$9:$D$18,I1556)&amp;"."&amp;IF(J1556&lt;=K1556,J1556,IF(J1556=K1556+1,200,IF(J1556=K1556+2,201,250)))&amp;".10 – 10."&amp;INDEX(Eingabe!$D$9:$D$18,I1556)&amp;"."&amp;IF(J1556&lt;=K1556,J1556,IF(J1556=K1556+1,200,IF(J1556=K1556+2,201,250)))&amp;".250",""))</f>
        <v/>
      </c>
      <c r="G1556" s="0" t="str">
        <f aca="false">IF(I1556="","",IF(AND(J1556&gt;=1,J1556&lt;=K1556),Eingabe!$B$6&amp;"-"&amp;INDEX(Eingabe!$C$9:$C$18,I1556)&amp;"-Pächter  ·  Passwort Parzelle "&amp;J1556,IF(J1556=K1556+1,Eingabe!$B$6&amp;"-"&amp;INDEX(Eingabe!$C$9:$C$18,I1556)&amp;"-Vorstand  ·  eigenes WLAN",IF(J1556=K1556+2,Eingabe!$B$6&amp;"-"&amp;INDEX(Eingabe!$C$9:$C$18,I1556)&amp;"-Gäste  ·  Voucher",IF(J1556=K1556+3,"Kabel  ·  Access Point y = .(50+y), Mast-Switch x = .(10+x)","")))))</f>
        <v/>
      </c>
      <c r="I1556" s="0" t="str">
        <f aca="false">IF(1551&lt;=(Eingabe!$P$18+Eingabe!$Q$18-1),MATCH(1551,Eingabe!$P$9:$P$18,1),"")</f>
        <v/>
      </c>
      <c r="J1556" s="0" t="str">
        <f aca="false">IF(I1556="","",1551-INDEX(Eingabe!$P$9:$P$18,I1556))</f>
        <v/>
      </c>
      <c r="K1556" s="0" t="str">
        <f aca="false">IF(I1556="","",INDEX(Eingabe!$E$9:$E$18,I1556))</f>
        <v/>
      </c>
    </row>
    <row r="1557" customFormat="false" ht="15" hidden="false" customHeight="false" outlineLevel="0" collapsed="false">
      <c r="A1557" s="0" t="str">
        <f aca="false">IF(I1557="","",IF(J1557=0,"Sparte "&amp;I1557&amp;": "&amp;INDEX(Eingabe!$B$9:$B$18,I1557)&amp;"  (Sparten-ID "&amp;INDEX(Eingabe!$D$9:$D$18,I1557)&amp;", "&amp;K1557&amp;" Parzellen)",IF(J1557&lt;=K1557,"   Parzelle "&amp;J1557,IF(J1557=K1557+1,"   Vorstand",IF(J1557=K1557+2,"   Gäste",IF(J1557=K1557+3,"   Technik (Switches, Access Points)",""))))))</f>
        <v/>
      </c>
      <c r="B1557" s="0" t="str">
        <f aca="false">IF(I1557="","",IF(AND(J1557&gt;=1,J1557&lt;=K1557+3),IF(J1557&lt;=K1557,IF(J1557&lt;=99,IF((INDEX(Eingabe!$G$9:$G$18,I1557))&lt;=9,1000+(INDEX(Eingabe!$G$9:$G$18,I1557))*100,3000)+J1557,IF((INDEX(Eingabe!$G$9:$G$18,I1557)+1)&lt;=9,1000+(INDEX(Eingabe!$G$9:$G$18,I1557)+1)*100,3000)+J1557-100),IF(J1557=K1557+1,2000+INDEX(Eingabe!$G$9:$G$18,I1557)*10+1,IF(J1557=K1557+2,2000+INDEX(Eingabe!$G$9:$G$18,I1557)*10+2,2000+INDEX(Eingabe!$G$9:$G$18,I1557)*10+9))),""))</f>
        <v/>
      </c>
      <c r="C1557" s="0" t="str">
        <f aca="false">IF(I1557="","",IF(AND(J1557&gt;=1,J1557&lt;=K1557+3),"10."&amp;INDEX(Eingabe!$D$9:$D$18,I1557)&amp;"."&amp;IF(J1557&lt;=K1557,J1557,IF(J1557=K1557+1,200,IF(J1557=K1557+2,201,250)))&amp;".0/24",""))</f>
        <v/>
      </c>
      <c r="D1557" s="0" t="str">
        <f aca="false">IF(I1557="","",IF(AND(J1557&gt;=1,J1557&lt;=K1557+3),"255.255.255.0",""))</f>
        <v/>
      </c>
      <c r="E1557" s="0" t="str">
        <f aca="false">IF(I1557="","",IF(AND(J1557&gt;=1,J1557&lt;=K1557+3),"10."&amp;INDEX(Eingabe!$D$9:$D$18,I1557)&amp;"."&amp;IF(J1557&lt;=K1557,J1557,IF(J1557=K1557+1,200,IF(J1557=K1557+2,201,250)))&amp;".1",""))</f>
        <v/>
      </c>
      <c r="F1557" s="0" t="str">
        <f aca="false">IF(I1557="","",IF(AND(J1557&gt;=1,J1557&lt;=K1557+3),"10."&amp;INDEX(Eingabe!$D$9:$D$18,I1557)&amp;"."&amp;IF(J1557&lt;=K1557,J1557,IF(J1557=K1557+1,200,IF(J1557=K1557+2,201,250)))&amp;".10 – 10."&amp;INDEX(Eingabe!$D$9:$D$18,I1557)&amp;"."&amp;IF(J1557&lt;=K1557,J1557,IF(J1557=K1557+1,200,IF(J1557=K1557+2,201,250)))&amp;".250",""))</f>
        <v/>
      </c>
      <c r="G1557" s="0" t="str">
        <f aca="false">IF(I1557="","",IF(AND(J1557&gt;=1,J1557&lt;=K1557),Eingabe!$B$6&amp;"-"&amp;INDEX(Eingabe!$C$9:$C$18,I1557)&amp;"-Pächter  ·  Passwort Parzelle "&amp;J1557,IF(J1557=K1557+1,Eingabe!$B$6&amp;"-"&amp;INDEX(Eingabe!$C$9:$C$18,I1557)&amp;"-Vorstand  ·  eigenes WLAN",IF(J1557=K1557+2,Eingabe!$B$6&amp;"-"&amp;INDEX(Eingabe!$C$9:$C$18,I1557)&amp;"-Gäste  ·  Voucher",IF(J1557=K1557+3,"Kabel  ·  Access Point y = .(50+y), Mast-Switch x = .(10+x)","")))))</f>
        <v/>
      </c>
      <c r="I1557" s="0" t="str">
        <f aca="false">IF(1552&lt;=(Eingabe!$P$18+Eingabe!$Q$18-1),MATCH(1552,Eingabe!$P$9:$P$18,1),"")</f>
        <v/>
      </c>
      <c r="J1557" s="0" t="str">
        <f aca="false">IF(I1557="","",1552-INDEX(Eingabe!$P$9:$P$18,I1557))</f>
        <v/>
      </c>
      <c r="K1557" s="0" t="str">
        <f aca="false">IF(I1557="","",INDEX(Eingabe!$E$9:$E$18,I1557))</f>
        <v/>
      </c>
    </row>
    <row r="1558" customFormat="false" ht="15" hidden="false" customHeight="false" outlineLevel="0" collapsed="false">
      <c r="A1558" s="0" t="str">
        <f aca="false">IF(I1558="","",IF(J1558=0,"Sparte "&amp;I1558&amp;": "&amp;INDEX(Eingabe!$B$9:$B$18,I1558)&amp;"  (Sparten-ID "&amp;INDEX(Eingabe!$D$9:$D$18,I1558)&amp;", "&amp;K1558&amp;" Parzellen)",IF(J1558&lt;=K1558,"   Parzelle "&amp;J1558,IF(J1558=K1558+1,"   Vorstand",IF(J1558=K1558+2,"   Gäste",IF(J1558=K1558+3,"   Technik (Switches, Access Points)",""))))))</f>
        <v/>
      </c>
      <c r="B1558" s="0" t="str">
        <f aca="false">IF(I1558="","",IF(AND(J1558&gt;=1,J1558&lt;=K1558+3),IF(J1558&lt;=K1558,IF(J1558&lt;=99,IF((INDEX(Eingabe!$G$9:$G$18,I1558))&lt;=9,1000+(INDEX(Eingabe!$G$9:$G$18,I1558))*100,3000)+J1558,IF((INDEX(Eingabe!$G$9:$G$18,I1558)+1)&lt;=9,1000+(INDEX(Eingabe!$G$9:$G$18,I1558)+1)*100,3000)+J1558-100),IF(J1558=K1558+1,2000+INDEX(Eingabe!$G$9:$G$18,I1558)*10+1,IF(J1558=K1558+2,2000+INDEX(Eingabe!$G$9:$G$18,I1558)*10+2,2000+INDEX(Eingabe!$G$9:$G$18,I1558)*10+9))),""))</f>
        <v/>
      </c>
      <c r="C1558" s="0" t="str">
        <f aca="false">IF(I1558="","",IF(AND(J1558&gt;=1,J1558&lt;=K1558+3),"10."&amp;INDEX(Eingabe!$D$9:$D$18,I1558)&amp;"."&amp;IF(J1558&lt;=K1558,J1558,IF(J1558=K1558+1,200,IF(J1558=K1558+2,201,250)))&amp;".0/24",""))</f>
        <v/>
      </c>
      <c r="D1558" s="0" t="str">
        <f aca="false">IF(I1558="","",IF(AND(J1558&gt;=1,J1558&lt;=K1558+3),"255.255.255.0",""))</f>
        <v/>
      </c>
      <c r="E1558" s="0" t="str">
        <f aca="false">IF(I1558="","",IF(AND(J1558&gt;=1,J1558&lt;=K1558+3),"10."&amp;INDEX(Eingabe!$D$9:$D$18,I1558)&amp;"."&amp;IF(J1558&lt;=K1558,J1558,IF(J1558=K1558+1,200,IF(J1558=K1558+2,201,250)))&amp;".1",""))</f>
        <v/>
      </c>
      <c r="F1558" s="0" t="str">
        <f aca="false">IF(I1558="","",IF(AND(J1558&gt;=1,J1558&lt;=K1558+3),"10."&amp;INDEX(Eingabe!$D$9:$D$18,I1558)&amp;"."&amp;IF(J1558&lt;=K1558,J1558,IF(J1558=K1558+1,200,IF(J1558=K1558+2,201,250)))&amp;".10 – 10."&amp;INDEX(Eingabe!$D$9:$D$18,I1558)&amp;"."&amp;IF(J1558&lt;=K1558,J1558,IF(J1558=K1558+1,200,IF(J1558=K1558+2,201,250)))&amp;".250",""))</f>
        <v/>
      </c>
      <c r="G1558" s="0" t="str">
        <f aca="false">IF(I1558="","",IF(AND(J1558&gt;=1,J1558&lt;=K1558),Eingabe!$B$6&amp;"-"&amp;INDEX(Eingabe!$C$9:$C$18,I1558)&amp;"-Pächter  ·  Passwort Parzelle "&amp;J1558,IF(J1558=K1558+1,Eingabe!$B$6&amp;"-"&amp;INDEX(Eingabe!$C$9:$C$18,I1558)&amp;"-Vorstand  ·  eigenes WLAN",IF(J1558=K1558+2,Eingabe!$B$6&amp;"-"&amp;INDEX(Eingabe!$C$9:$C$18,I1558)&amp;"-Gäste  ·  Voucher",IF(J1558=K1558+3,"Kabel  ·  Access Point y = .(50+y), Mast-Switch x = .(10+x)","")))))</f>
        <v/>
      </c>
      <c r="I1558" s="0" t="str">
        <f aca="false">IF(1553&lt;=(Eingabe!$P$18+Eingabe!$Q$18-1),MATCH(1553,Eingabe!$P$9:$P$18,1),"")</f>
        <v/>
      </c>
      <c r="J1558" s="0" t="str">
        <f aca="false">IF(I1558="","",1553-INDEX(Eingabe!$P$9:$P$18,I1558))</f>
        <v/>
      </c>
      <c r="K1558" s="0" t="str">
        <f aca="false">IF(I1558="","",INDEX(Eingabe!$E$9:$E$18,I1558))</f>
        <v/>
      </c>
    </row>
    <row r="1559" customFormat="false" ht="15" hidden="false" customHeight="false" outlineLevel="0" collapsed="false">
      <c r="A1559" s="0" t="str">
        <f aca="false">IF(I1559="","",IF(J1559=0,"Sparte "&amp;I1559&amp;": "&amp;INDEX(Eingabe!$B$9:$B$18,I1559)&amp;"  (Sparten-ID "&amp;INDEX(Eingabe!$D$9:$D$18,I1559)&amp;", "&amp;K1559&amp;" Parzellen)",IF(J1559&lt;=K1559,"   Parzelle "&amp;J1559,IF(J1559=K1559+1,"   Vorstand",IF(J1559=K1559+2,"   Gäste",IF(J1559=K1559+3,"   Technik (Switches, Access Points)",""))))))</f>
        <v/>
      </c>
      <c r="B1559" s="0" t="str">
        <f aca="false">IF(I1559="","",IF(AND(J1559&gt;=1,J1559&lt;=K1559+3),IF(J1559&lt;=K1559,IF(J1559&lt;=99,IF((INDEX(Eingabe!$G$9:$G$18,I1559))&lt;=9,1000+(INDEX(Eingabe!$G$9:$G$18,I1559))*100,3000)+J1559,IF((INDEX(Eingabe!$G$9:$G$18,I1559)+1)&lt;=9,1000+(INDEX(Eingabe!$G$9:$G$18,I1559)+1)*100,3000)+J1559-100),IF(J1559=K1559+1,2000+INDEX(Eingabe!$G$9:$G$18,I1559)*10+1,IF(J1559=K1559+2,2000+INDEX(Eingabe!$G$9:$G$18,I1559)*10+2,2000+INDEX(Eingabe!$G$9:$G$18,I1559)*10+9))),""))</f>
        <v/>
      </c>
      <c r="C1559" s="0" t="str">
        <f aca="false">IF(I1559="","",IF(AND(J1559&gt;=1,J1559&lt;=K1559+3),"10."&amp;INDEX(Eingabe!$D$9:$D$18,I1559)&amp;"."&amp;IF(J1559&lt;=K1559,J1559,IF(J1559=K1559+1,200,IF(J1559=K1559+2,201,250)))&amp;".0/24",""))</f>
        <v/>
      </c>
      <c r="D1559" s="0" t="str">
        <f aca="false">IF(I1559="","",IF(AND(J1559&gt;=1,J1559&lt;=K1559+3),"255.255.255.0",""))</f>
        <v/>
      </c>
      <c r="E1559" s="0" t="str">
        <f aca="false">IF(I1559="","",IF(AND(J1559&gt;=1,J1559&lt;=K1559+3),"10."&amp;INDEX(Eingabe!$D$9:$D$18,I1559)&amp;"."&amp;IF(J1559&lt;=K1559,J1559,IF(J1559=K1559+1,200,IF(J1559=K1559+2,201,250)))&amp;".1",""))</f>
        <v/>
      </c>
      <c r="F1559" s="0" t="str">
        <f aca="false">IF(I1559="","",IF(AND(J1559&gt;=1,J1559&lt;=K1559+3),"10."&amp;INDEX(Eingabe!$D$9:$D$18,I1559)&amp;"."&amp;IF(J1559&lt;=K1559,J1559,IF(J1559=K1559+1,200,IF(J1559=K1559+2,201,250)))&amp;".10 – 10."&amp;INDEX(Eingabe!$D$9:$D$18,I1559)&amp;"."&amp;IF(J1559&lt;=K1559,J1559,IF(J1559=K1559+1,200,IF(J1559=K1559+2,201,250)))&amp;".250",""))</f>
        <v/>
      </c>
      <c r="G1559" s="0" t="str">
        <f aca="false">IF(I1559="","",IF(AND(J1559&gt;=1,J1559&lt;=K1559),Eingabe!$B$6&amp;"-"&amp;INDEX(Eingabe!$C$9:$C$18,I1559)&amp;"-Pächter  ·  Passwort Parzelle "&amp;J1559,IF(J1559=K1559+1,Eingabe!$B$6&amp;"-"&amp;INDEX(Eingabe!$C$9:$C$18,I1559)&amp;"-Vorstand  ·  eigenes WLAN",IF(J1559=K1559+2,Eingabe!$B$6&amp;"-"&amp;INDEX(Eingabe!$C$9:$C$18,I1559)&amp;"-Gäste  ·  Voucher",IF(J1559=K1559+3,"Kabel  ·  Access Point y = .(50+y), Mast-Switch x = .(10+x)","")))))</f>
        <v/>
      </c>
      <c r="I1559" s="0" t="str">
        <f aca="false">IF(1554&lt;=(Eingabe!$P$18+Eingabe!$Q$18-1),MATCH(1554,Eingabe!$P$9:$P$18,1),"")</f>
        <v/>
      </c>
      <c r="J1559" s="0" t="str">
        <f aca="false">IF(I1559="","",1554-INDEX(Eingabe!$P$9:$P$18,I1559))</f>
        <v/>
      </c>
      <c r="K1559" s="0" t="str">
        <f aca="false">IF(I1559="","",INDEX(Eingabe!$E$9:$E$18,I1559))</f>
        <v/>
      </c>
    </row>
    <row r="1560" customFormat="false" ht="15" hidden="false" customHeight="false" outlineLevel="0" collapsed="false">
      <c r="A1560" s="0" t="str">
        <f aca="false">IF(I1560="","",IF(J1560=0,"Sparte "&amp;I1560&amp;": "&amp;INDEX(Eingabe!$B$9:$B$18,I1560)&amp;"  (Sparten-ID "&amp;INDEX(Eingabe!$D$9:$D$18,I1560)&amp;", "&amp;K1560&amp;" Parzellen)",IF(J1560&lt;=K1560,"   Parzelle "&amp;J1560,IF(J1560=K1560+1,"   Vorstand",IF(J1560=K1560+2,"   Gäste",IF(J1560=K1560+3,"   Technik (Switches, Access Points)",""))))))</f>
        <v/>
      </c>
      <c r="B1560" s="0" t="str">
        <f aca="false">IF(I1560="","",IF(AND(J1560&gt;=1,J1560&lt;=K1560+3),IF(J1560&lt;=K1560,IF(J1560&lt;=99,IF((INDEX(Eingabe!$G$9:$G$18,I1560))&lt;=9,1000+(INDEX(Eingabe!$G$9:$G$18,I1560))*100,3000)+J1560,IF((INDEX(Eingabe!$G$9:$G$18,I1560)+1)&lt;=9,1000+(INDEX(Eingabe!$G$9:$G$18,I1560)+1)*100,3000)+J1560-100),IF(J1560=K1560+1,2000+INDEX(Eingabe!$G$9:$G$18,I1560)*10+1,IF(J1560=K1560+2,2000+INDEX(Eingabe!$G$9:$G$18,I1560)*10+2,2000+INDEX(Eingabe!$G$9:$G$18,I1560)*10+9))),""))</f>
        <v/>
      </c>
      <c r="C1560" s="0" t="str">
        <f aca="false">IF(I1560="","",IF(AND(J1560&gt;=1,J1560&lt;=K1560+3),"10."&amp;INDEX(Eingabe!$D$9:$D$18,I1560)&amp;"."&amp;IF(J1560&lt;=K1560,J1560,IF(J1560=K1560+1,200,IF(J1560=K1560+2,201,250)))&amp;".0/24",""))</f>
        <v/>
      </c>
      <c r="D1560" s="0" t="str">
        <f aca="false">IF(I1560="","",IF(AND(J1560&gt;=1,J1560&lt;=K1560+3),"255.255.255.0",""))</f>
        <v/>
      </c>
      <c r="E1560" s="0" t="str">
        <f aca="false">IF(I1560="","",IF(AND(J1560&gt;=1,J1560&lt;=K1560+3),"10."&amp;INDEX(Eingabe!$D$9:$D$18,I1560)&amp;"."&amp;IF(J1560&lt;=K1560,J1560,IF(J1560=K1560+1,200,IF(J1560=K1560+2,201,250)))&amp;".1",""))</f>
        <v/>
      </c>
      <c r="F1560" s="0" t="str">
        <f aca="false">IF(I1560="","",IF(AND(J1560&gt;=1,J1560&lt;=K1560+3),"10."&amp;INDEX(Eingabe!$D$9:$D$18,I1560)&amp;"."&amp;IF(J1560&lt;=K1560,J1560,IF(J1560=K1560+1,200,IF(J1560=K1560+2,201,250)))&amp;".10 – 10."&amp;INDEX(Eingabe!$D$9:$D$18,I1560)&amp;"."&amp;IF(J1560&lt;=K1560,J1560,IF(J1560=K1560+1,200,IF(J1560=K1560+2,201,250)))&amp;".250",""))</f>
        <v/>
      </c>
      <c r="G1560" s="0" t="str">
        <f aca="false">IF(I1560="","",IF(AND(J1560&gt;=1,J1560&lt;=K1560),Eingabe!$B$6&amp;"-"&amp;INDEX(Eingabe!$C$9:$C$18,I1560)&amp;"-Pächter  ·  Passwort Parzelle "&amp;J1560,IF(J1560=K1560+1,Eingabe!$B$6&amp;"-"&amp;INDEX(Eingabe!$C$9:$C$18,I1560)&amp;"-Vorstand  ·  eigenes WLAN",IF(J1560=K1560+2,Eingabe!$B$6&amp;"-"&amp;INDEX(Eingabe!$C$9:$C$18,I1560)&amp;"-Gäste  ·  Voucher",IF(J1560=K1560+3,"Kabel  ·  Access Point y = .(50+y), Mast-Switch x = .(10+x)","")))))</f>
        <v/>
      </c>
      <c r="I1560" s="0" t="str">
        <f aca="false">IF(1555&lt;=(Eingabe!$P$18+Eingabe!$Q$18-1),MATCH(1555,Eingabe!$P$9:$P$18,1),"")</f>
        <v/>
      </c>
      <c r="J1560" s="0" t="str">
        <f aca="false">IF(I1560="","",1555-INDEX(Eingabe!$P$9:$P$18,I1560))</f>
        <v/>
      </c>
      <c r="K1560" s="0" t="str">
        <f aca="false">IF(I1560="","",INDEX(Eingabe!$E$9:$E$18,I1560))</f>
        <v/>
      </c>
    </row>
    <row r="1561" customFormat="false" ht="15" hidden="false" customHeight="false" outlineLevel="0" collapsed="false">
      <c r="A1561" s="0" t="str">
        <f aca="false">IF(I1561="","",IF(J1561=0,"Sparte "&amp;I1561&amp;": "&amp;INDEX(Eingabe!$B$9:$B$18,I1561)&amp;"  (Sparten-ID "&amp;INDEX(Eingabe!$D$9:$D$18,I1561)&amp;", "&amp;K1561&amp;" Parzellen)",IF(J1561&lt;=K1561,"   Parzelle "&amp;J1561,IF(J1561=K1561+1,"   Vorstand",IF(J1561=K1561+2,"   Gäste",IF(J1561=K1561+3,"   Technik (Switches, Access Points)",""))))))</f>
        <v/>
      </c>
      <c r="B1561" s="0" t="str">
        <f aca="false">IF(I1561="","",IF(AND(J1561&gt;=1,J1561&lt;=K1561+3),IF(J1561&lt;=K1561,IF(J1561&lt;=99,IF((INDEX(Eingabe!$G$9:$G$18,I1561))&lt;=9,1000+(INDEX(Eingabe!$G$9:$G$18,I1561))*100,3000)+J1561,IF((INDEX(Eingabe!$G$9:$G$18,I1561)+1)&lt;=9,1000+(INDEX(Eingabe!$G$9:$G$18,I1561)+1)*100,3000)+J1561-100),IF(J1561=K1561+1,2000+INDEX(Eingabe!$G$9:$G$18,I1561)*10+1,IF(J1561=K1561+2,2000+INDEX(Eingabe!$G$9:$G$18,I1561)*10+2,2000+INDEX(Eingabe!$G$9:$G$18,I1561)*10+9))),""))</f>
        <v/>
      </c>
      <c r="C1561" s="0" t="str">
        <f aca="false">IF(I1561="","",IF(AND(J1561&gt;=1,J1561&lt;=K1561+3),"10."&amp;INDEX(Eingabe!$D$9:$D$18,I1561)&amp;"."&amp;IF(J1561&lt;=K1561,J1561,IF(J1561=K1561+1,200,IF(J1561=K1561+2,201,250)))&amp;".0/24",""))</f>
        <v/>
      </c>
      <c r="D1561" s="0" t="str">
        <f aca="false">IF(I1561="","",IF(AND(J1561&gt;=1,J1561&lt;=K1561+3),"255.255.255.0",""))</f>
        <v/>
      </c>
      <c r="E1561" s="0" t="str">
        <f aca="false">IF(I1561="","",IF(AND(J1561&gt;=1,J1561&lt;=K1561+3),"10."&amp;INDEX(Eingabe!$D$9:$D$18,I1561)&amp;"."&amp;IF(J1561&lt;=K1561,J1561,IF(J1561=K1561+1,200,IF(J1561=K1561+2,201,250)))&amp;".1",""))</f>
        <v/>
      </c>
      <c r="F1561" s="0" t="str">
        <f aca="false">IF(I1561="","",IF(AND(J1561&gt;=1,J1561&lt;=K1561+3),"10."&amp;INDEX(Eingabe!$D$9:$D$18,I1561)&amp;"."&amp;IF(J1561&lt;=K1561,J1561,IF(J1561=K1561+1,200,IF(J1561=K1561+2,201,250)))&amp;".10 – 10."&amp;INDEX(Eingabe!$D$9:$D$18,I1561)&amp;"."&amp;IF(J1561&lt;=K1561,J1561,IF(J1561=K1561+1,200,IF(J1561=K1561+2,201,250)))&amp;".250",""))</f>
        <v/>
      </c>
      <c r="G1561" s="0" t="str">
        <f aca="false">IF(I1561="","",IF(AND(J1561&gt;=1,J1561&lt;=K1561),Eingabe!$B$6&amp;"-"&amp;INDEX(Eingabe!$C$9:$C$18,I1561)&amp;"-Pächter  ·  Passwort Parzelle "&amp;J1561,IF(J1561=K1561+1,Eingabe!$B$6&amp;"-"&amp;INDEX(Eingabe!$C$9:$C$18,I1561)&amp;"-Vorstand  ·  eigenes WLAN",IF(J1561=K1561+2,Eingabe!$B$6&amp;"-"&amp;INDEX(Eingabe!$C$9:$C$18,I1561)&amp;"-Gäste  ·  Voucher",IF(J1561=K1561+3,"Kabel  ·  Access Point y = .(50+y), Mast-Switch x = .(10+x)","")))))</f>
        <v/>
      </c>
      <c r="I1561" s="0" t="str">
        <f aca="false">IF(1556&lt;=(Eingabe!$P$18+Eingabe!$Q$18-1),MATCH(1556,Eingabe!$P$9:$P$18,1),"")</f>
        <v/>
      </c>
      <c r="J1561" s="0" t="str">
        <f aca="false">IF(I1561="","",1556-INDEX(Eingabe!$P$9:$P$18,I1561))</f>
        <v/>
      </c>
      <c r="K1561" s="0" t="str">
        <f aca="false">IF(I1561="","",INDEX(Eingabe!$E$9:$E$18,I1561))</f>
        <v/>
      </c>
    </row>
    <row r="1562" customFormat="false" ht="15" hidden="false" customHeight="false" outlineLevel="0" collapsed="false">
      <c r="A1562" s="0" t="str">
        <f aca="false">IF(I1562="","",IF(J1562=0,"Sparte "&amp;I1562&amp;": "&amp;INDEX(Eingabe!$B$9:$B$18,I1562)&amp;"  (Sparten-ID "&amp;INDEX(Eingabe!$D$9:$D$18,I1562)&amp;", "&amp;K1562&amp;" Parzellen)",IF(J1562&lt;=K1562,"   Parzelle "&amp;J1562,IF(J1562=K1562+1,"   Vorstand",IF(J1562=K1562+2,"   Gäste",IF(J1562=K1562+3,"   Technik (Switches, Access Points)",""))))))</f>
        <v/>
      </c>
      <c r="B1562" s="0" t="str">
        <f aca="false">IF(I1562="","",IF(AND(J1562&gt;=1,J1562&lt;=K1562+3),IF(J1562&lt;=K1562,IF(J1562&lt;=99,IF((INDEX(Eingabe!$G$9:$G$18,I1562))&lt;=9,1000+(INDEX(Eingabe!$G$9:$G$18,I1562))*100,3000)+J1562,IF((INDEX(Eingabe!$G$9:$G$18,I1562)+1)&lt;=9,1000+(INDEX(Eingabe!$G$9:$G$18,I1562)+1)*100,3000)+J1562-100),IF(J1562=K1562+1,2000+INDEX(Eingabe!$G$9:$G$18,I1562)*10+1,IF(J1562=K1562+2,2000+INDEX(Eingabe!$G$9:$G$18,I1562)*10+2,2000+INDEX(Eingabe!$G$9:$G$18,I1562)*10+9))),""))</f>
        <v/>
      </c>
      <c r="C1562" s="0" t="str">
        <f aca="false">IF(I1562="","",IF(AND(J1562&gt;=1,J1562&lt;=K1562+3),"10."&amp;INDEX(Eingabe!$D$9:$D$18,I1562)&amp;"."&amp;IF(J1562&lt;=K1562,J1562,IF(J1562=K1562+1,200,IF(J1562=K1562+2,201,250)))&amp;".0/24",""))</f>
        <v/>
      </c>
      <c r="D1562" s="0" t="str">
        <f aca="false">IF(I1562="","",IF(AND(J1562&gt;=1,J1562&lt;=K1562+3),"255.255.255.0",""))</f>
        <v/>
      </c>
      <c r="E1562" s="0" t="str">
        <f aca="false">IF(I1562="","",IF(AND(J1562&gt;=1,J1562&lt;=K1562+3),"10."&amp;INDEX(Eingabe!$D$9:$D$18,I1562)&amp;"."&amp;IF(J1562&lt;=K1562,J1562,IF(J1562=K1562+1,200,IF(J1562=K1562+2,201,250)))&amp;".1",""))</f>
        <v/>
      </c>
      <c r="F1562" s="0" t="str">
        <f aca="false">IF(I1562="","",IF(AND(J1562&gt;=1,J1562&lt;=K1562+3),"10."&amp;INDEX(Eingabe!$D$9:$D$18,I1562)&amp;"."&amp;IF(J1562&lt;=K1562,J1562,IF(J1562=K1562+1,200,IF(J1562=K1562+2,201,250)))&amp;".10 – 10."&amp;INDEX(Eingabe!$D$9:$D$18,I1562)&amp;"."&amp;IF(J1562&lt;=K1562,J1562,IF(J1562=K1562+1,200,IF(J1562=K1562+2,201,250)))&amp;".250",""))</f>
        <v/>
      </c>
      <c r="G1562" s="0" t="str">
        <f aca="false">IF(I1562="","",IF(AND(J1562&gt;=1,J1562&lt;=K1562),Eingabe!$B$6&amp;"-"&amp;INDEX(Eingabe!$C$9:$C$18,I1562)&amp;"-Pächter  ·  Passwort Parzelle "&amp;J1562,IF(J1562=K1562+1,Eingabe!$B$6&amp;"-"&amp;INDEX(Eingabe!$C$9:$C$18,I1562)&amp;"-Vorstand  ·  eigenes WLAN",IF(J1562=K1562+2,Eingabe!$B$6&amp;"-"&amp;INDEX(Eingabe!$C$9:$C$18,I1562)&amp;"-Gäste  ·  Voucher",IF(J1562=K1562+3,"Kabel  ·  Access Point y = .(50+y), Mast-Switch x = .(10+x)","")))))</f>
        <v/>
      </c>
      <c r="I1562" s="0" t="str">
        <f aca="false">IF(1557&lt;=(Eingabe!$P$18+Eingabe!$Q$18-1),MATCH(1557,Eingabe!$P$9:$P$18,1),"")</f>
        <v/>
      </c>
      <c r="J1562" s="0" t="str">
        <f aca="false">IF(I1562="","",1557-INDEX(Eingabe!$P$9:$P$18,I1562))</f>
        <v/>
      </c>
      <c r="K1562" s="0" t="str">
        <f aca="false">IF(I1562="","",INDEX(Eingabe!$E$9:$E$18,I1562))</f>
        <v/>
      </c>
    </row>
    <row r="1563" customFormat="false" ht="15" hidden="false" customHeight="false" outlineLevel="0" collapsed="false">
      <c r="A1563" s="0" t="str">
        <f aca="false">IF(I1563="","",IF(J1563=0,"Sparte "&amp;I1563&amp;": "&amp;INDEX(Eingabe!$B$9:$B$18,I1563)&amp;"  (Sparten-ID "&amp;INDEX(Eingabe!$D$9:$D$18,I1563)&amp;", "&amp;K1563&amp;" Parzellen)",IF(J1563&lt;=K1563,"   Parzelle "&amp;J1563,IF(J1563=K1563+1,"   Vorstand",IF(J1563=K1563+2,"   Gäste",IF(J1563=K1563+3,"   Technik (Switches, Access Points)",""))))))</f>
        <v/>
      </c>
      <c r="B1563" s="0" t="str">
        <f aca="false">IF(I1563="","",IF(AND(J1563&gt;=1,J1563&lt;=K1563+3),IF(J1563&lt;=K1563,IF(J1563&lt;=99,IF((INDEX(Eingabe!$G$9:$G$18,I1563))&lt;=9,1000+(INDEX(Eingabe!$G$9:$G$18,I1563))*100,3000)+J1563,IF((INDEX(Eingabe!$G$9:$G$18,I1563)+1)&lt;=9,1000+(INDEX(Eingabe!$G$9:$G$18,I1563)+1)*100,3000)+J1563-100),IF(J1563=K1563+1,2000+INDEX(Eingabe!$G$9:$G$18,I1563)*10+1,IF(J1563=K1563+2,2000+INDEX(Eingabe!$G$9:$G$18,I1563)*10+2,2000+INDEX(Eingabe!$G$9:$G$18,I1563)*10+9))),""))</f>
        <v/>
      </c>
      <c r="C1563" s="0" t="str">
        <f aca="false">IF(I1563="","",IF(AND(J1563&gt;=1,J1563&lt;=K1563+3),"10."&amp;INDEX(Eingabe!$D$9:$D$18,I1563)&amp;"."&amp;IF(J1563&lt;=K1563,J1563,IF(J1563=K1563+1,200,IF(J1563=K1563+2,201,250)))&amp;".0/24",""))</f>
        <v/>
      </c>
      <c r="D1563" s="0" t="str">
        <f aca="false">IF(I1563="","",IF(AND(J1563&gt;=1,J1563&lt;=K1563+3),"255.255.255.0",""))</f>
        <v/>
      </c>
      <c r="E1563" s="0" t="str">
        <f aca="false">IF(I1563="","",IF(AND(J1563&gt;=1,J1563&lt;=K1563+3),"10."&amp;INDEX(Eingabe!$D$9:$D$18,I1563)&amp;"."&amp;IF(J1563&lt;=K1563,J1563,IF(J1563=K1563+1,200,IF(J1563=K1563+2,201,250)))&amp;".1",""))</f>
        <v/>
      </c>
      <c r="F1563" s="0" t="str">
        <f aca="false">IF(I1563="","",IF(AND(J1563&gt;=1,J1563&lt;=K1563+3),"10."&amp;INDEX(Eingabe!$D$9:$D$18,I1563)&amp;"."&amp;IF(J1563&lt;=K1563,J1563,IF(J1563=K1563+1,200,IF(J1563=K1563+2,201,250)))&amp;".10 – 10."&amp;INDEX(Eingabe!$D$9:$D$18,I1563)&amp;"."&amp;IF(J1563&lt;=K1563,J1563,IF(J1563=K1563+1,200,IF(J1563=K1563+2,201,250)))&amp;".250",""))</f>
        <v/>
      </c>
      <c r="G1563" s="0" t="str">
        <f aca="false">IF(I1563="","",IF(AND(J1563&gt;=1,J1563&lt;=K1563),Eingabe!$B$6&amp;"-"&amp;INDEX(Eingabe!$C$9:$C$18,I1563)&amp;"-Pächter  ·  Passwort Parzelle "&amp;J1563,IF(J1563=K1563+1,Eingabe!$B$6&amp;"-"&amp;INDEX(Eingabe!$C$9:$C$18,I1563)&amp;"-Vorstand  ·  eigenes WLAN",IF(J1563=K1563+2,Eingabe!$B$6&amp;"-"&amp;INDEX(Eingabe!$C$9:$C$18,I1563)&amp;"-Gäste  ·  Voucher",IF(J1563=K1563+3,"Kabel  ·  Access Point y = .(50+y), Mast-Switch x = .(10+x)","")))))</f>
        <v/>
      </c>
      <c r="I1563" s="0" t="str">
        <f aca="false">IF(1558&lt;=(Eingabe!$P$18+Eingabe!$Q$18-1),MATCH(1558,Eingabe!$P$9:$P$18,1),"")</f>
        <v/>
      </c>
      <c r="J1563" s="0" t="str">
        <f aca="false">IF(I1563="","",1558-INDEX(Eingabe!$P$9:$P$18,I1563))</f>
        <v/>
      </c>
      <c r="K1563" s="0" t="str">
        <f aca="false">IF(I1563="","",INDEX(Eingabe!$E$9:$E$18,I1563))</f>
        <v/>
      </c>
    </row>
    <row r="1564" customFormat="false" ht="15" hidden="false" customHeight="false" outlineLevel="0" collapsed="false">
      <c r="A1564" s="0" t="str">
        <f aca="false">IF(I1564="","",IF(J1564=0,"Sparte "&amp;I1564&amp;": "&amp;INDEX(Eingabe!$B$9:$B$18,I1564)&amp;"  (Sparten-ID "&amp;INDEX(Eingabe!$D$9:$D$18,I1564)&amp;", "&amp;K1564&amp;" Parzellen)",IF(J1564&lt;=K1564,"   Parzelle "&amp;J1564,IF(J1564=K1564+1,"   Vorstand",IF(J1564=K1564+2,"   Gäste",IF(J1564=K1564+3,"   Technik (Switches, Access Points)",""))))))</f>
        <v/>
      </c>
      <c r="B1564" s="0" t="str">
        <f aca="false">IF(I1564="","",IF(AND(J1564&gt;=1,J1564&lt;=K1564+3),IF(J1564&lt;=K1564,IF(J1564&lt;=99,IF((INDEX(Eingabe!$G$9:$G$18,I1564))&lt;=9,1000+(INDEX(Eingabe!$G$9:$G$18,I1564))*100,3000)+J1564,IF((INDEX(Eingabe!$G$9:$G$18,I1564)+1)&lt;=9,1000+(INDEX(Eingabe!$G$9:$G$18,I1564)+1)*100,3000)+J1564-100),IF(J1564=K1564+1,2000+INDEX(Eingabe!$G$9:$G$18,I1564)*10+1,IF(J1564=K1564+2,2000+INDEX(Eingabe!$G$9:$G$18,I1564)*10+2,2000+INDEX(Eingabe!$G$9:$G$18,I1564)*10+9))),""))</f>
        <v/>
      </c>
      <c r="C1564" s="0" t="str">
        <f aca="false">IF(I1564="","",IF(AND(J1564&gt;=1,J1564&lt;=K1564+3),"10."&amp;INDEX(Eingabe!$D$9:$D$18,I1564)&amp;"."&amp;IF(J1564&lt;=K1564,J1564,IF(J1564=K1564+1,200,IF(J1564=K1564+2,201,250)))&amp;".0/24",""))</f>
        <v/>
      </c>
      <c r="D1564" s="0" t="str">
        <f aca="false">IF(I1564="","",IF(AND(J1564&gt;=1,J1564&lt;=K1564+3),"255.255.255.0",""))</f>
        <v/>
      </c>
      <c r="E1564" s="0" t="str">
        <f aca="false">IF(I1564="","",IF(AND(J1564&gt;=1,J1564&lt;=K1564+3),"10."&amp;INDEX(Eingabe!$D$9:$D$18,I1564)&amp;"."&amp;IF(J1564&lt;=K1564,J1564,IF(J1564=K1564+1,200,IF(J1564=K1564+2,201,250)))&amp;".1",""))</f>
        <v/>
      </c>
      <c r="F1564" s="0" t="str">
        <f aca="false">IF(I1564="","",IF(AND(J1564&gt;=1,J1564&lt;=K1564+3),"10."&amp;INDEX(Eingabe!$D$9:$D$18,I1564)&amp;"."&amp;IF(J1564&lt;=K1564,J1564,IF(J1564=K1564+1,200,IF(J1564=K1564+2,201,250)))&amp;".10 – 10."&amp;INDEX(Eingabe!$D$9:$D$18,I1564)&amp;"."&amp;IF(J1564&lt;=K1564,J1564,IF(J1564=K1564+1,200,IF(J1564=K1564+2,201,250)))&amp;".250",""))</f>
        <v/>
      </c>
      <c r="G1564" s="0" t="str">
        <f aca="false">IF(I1564="","",IF(AND(J1564&gt;=1,J1564&lt;=K1564),Eingabe!$B$6&amp;"-"&amp;INDEX(Eingabe!$C$9:$C$18,I1564)&amp;"-Pächter  ·  Passwort Parzelle "&amp;J1564,IF(J1564=K1564+1,Eingabe!$B$6&amp;"-"&amp;INDEX(Eingabe!$C$9:$C$18,I1564)&amp;"-Vorstand  ·  eigenes WLAN",IF(J1564=K1564+2,Eingabe!$B$6&amp;"-"&amp;INDEX(Eingabe!$C$9:$C$18,I1564)&amp;"-Gäste  ·  Voucher",IF(J1564=K1564+3,"Kabel  ·  Access Point y = .(50+y), Mast-Switch x = .(10+x)","")))))</f>
        <v/>
      </c>
      <c r="I1564" s="0" t="str">
        <f aca="false">IF(1559&lt;=(Eingabe!$P$18+Eingabe!$Q$18-1),MATCH(1559,Eingabe!$P$9:$P$18,1),"")</f>
        <v/>
      </c>
      <c r="J1564" s="0" t="str">
        <f aca="false">IF(I1564="","",1559-INDEX(Eingabe!$P$9:$P$18,I1564))</f>
        <v/>
      </c>
      <c r="K1564" s="0" t="str">
        <f aca="false">IF(I1564="","",INDEX(Eingabe!$E$9:$E$18,I1564))</f>
        <v/>
      </c>
    </row>
    <row r="1565" customFormat="false" ht="15" hidden="false" customHeight="false" outlineLevel="0" collapsed="false">
      <c r="A1565" s="0" t="str">
        <f aca="false">IF(I1565="","",IF(J1565=0,"Sparte "&amp;I1565&amp;": "&amp;INDEX(Eingabe!$B$9:$B$18,I1565)&amp;"  (Sparten-ID "&amp;INDEX(Eingabe!$D$9:$D$18,I1565)&amp;", "&amp;K1565&amp;" Parzellen)",IF(J1565&lt;=K1565,"   Parzelle "&amp;J1565,IF(J1565=K1565+1,"   Vorstand",IF(J1565=K1565+2,"   Gäste",IF(J1565=K1565+3,"   Technik (Switches, Access Points)",""))))))</f>
        <v/>
      </c>
      <c r="B1565" s="0" t="str">
        <f aca="false">IF(I1565="","",IF(AND(J1565&gt;=1,J1565&lt;=K1565+3),IF(J1565&lt;=K1565,IF(J1565&lt;=99,IF((INDEX(Eingabe!$G$9:$G$18,I1565))&lt;=9,1000+(INDEX(Eingabe!$G$9:$G$18,I1565))*100,3000)+J1565,IF((INDEX(Eingabe!$G$9:$G$18,I1565)+1)&lt;=9,1000+(INDEX(Eingabe!$G$9:$G$18,I1565)+1)*100,3000)+J1565-100),IF(J1565=K1565+1,2000+INDEX(Eingabe!$G$9:$G$18,I1565)*10+1,IF(J1565=K1565+2,2000+INDEX(Eingabe!$G$9:$G$18,I1565)*10+2,2000+INDEX(Eingabe!$G$9:$G$18,I1565)*10+9))),""))</f>
        <v/>
      </c>
      <c r="C1565" s="0" t="str">
        <f aca="false">IF(I1565="","",IF(AND(J1565&gt;=1,J1565&lt;=K1565+3),"10."&amp;INDEX(Eingabe!$D$9:$D$18,I1565)&amp;"."&amp;IF(J1565&lt;=K1565,J1565,IF(J1565=K1565+1,200,IF(J1565=K1565+2,201,250)))&amp;".0/24",""))</f>
        <v/>
      </c>
      <c r="D1565" s="0" t="str">
        <f aca="false">IF(I1565="","",IF(AND(J1565&gt;=1,J1565&lt;=K1565+3),"255.255.255.0",""))</f>
        <v/>
      </c>
      <c r="E1565" s="0" t="str">
        <f aca="false">IF(I1565="","",IF(AND(J1565&gt;=1,J1565&lt;=K1565+3),"10."&amp;INDEX(Eingabe!$D$9:$D$18,I1565)&amp;"."&amp;IF(J1565&lt;=K1565,J1565,IF(J1565=K1565+1,200,IF(J1565=K1565+2,201,250)))&amp;".1",""))</f>
        <v/>
      </c>
      <c r="F1565" s="0" t="str">
        <f aca="false">IF(I1565="","",IF(AND(J1565&gt;=1,J1565&lt;=K1565+3),"10."&amp;INDEX(Eingabe!$D$9:$D$18,I1565)&amp;"."&amp;IF(J1565&lt;=K1565,J1565,IF(J1565=K1565+1,200,IF(J1565=K1565+2,201,250)))&amp;".10 – 10."&amp;INDEX(Eingabe!$D$9:$D$18,I1565)&amp;"."&amp;IF(J1565&lt;=K1565,J1565,IF(J1565=K1565+1,200,IF(J1565=K1565+2,201,250)))&amp;".250",""))</f>
        <v/>
      </c>
      <c r="G1565" s="0" t="str">
        <f aca="false">IF(I1565="","",IF(AND(J1565&gt;=1,J1565&lt;=K1565),Eingabe!$B$6&amp;"-"&amp;INDEX(Eingabe!$C$9:$C$18,I1565)&amp;"-Pächter  ·  Passwort Parzelle "&amp;J1565,IF(J1565=K1565+1,Eingabe!$B$6&amp;"-"&amp;INDEX(Eingabe!$C$9:$C$18,I1565)&amp;"-Vorstand  ·  eigenes WLAN",IF(J1565=K1565+2,Eingabe!$B$6&amp;"-"&amp;INDEX(Eingabe!$C$9:$C$18,I1565)&amp;"-Gäste  ·  Voucher",IF(J1565=K1565+3,"Kabel  ·  Access Point y = .(50+y), Mast-Switch x = .(10+x)","")))))</f>
        <v/>
      </c>
      <c r="I1565" s="0" t="str">
        <f aca="false">IF(1560&lt;=(Eingabe!$P$18+Eingabe!$Q$18-1),MATCH(1560,Eingabe!$P$9:$P$18,1),"")</f>
        <v/>
      </c>
      <c r="J1565" s="0" t="str">
        <f aca="false">IF(I1565="","",1560-INDEX(Eingabe!$P$9:$P$18,I1565))</f>
        <v/>
      </c>
      <c r="K1565" s="0" t="str">
        <f aca="false">IF(I1565="","",INDEX(Eingabe!$E$9:$E$18,I1565))</f>
        <v/>
      </c>
    </row>
    <row r="1566" customFormat="false" ht="15" hidden="false" customHeight="false" outlineLevel="0" collapsed="false">
      <c r="A1566" s="0" t="str">
        <f aca="false">IF(I1566="","",IF(J1566=0,"Sparte "&amp;I1566&amp;": "&amp;INDEX(Eingabe!$B$9:$B$18,I1566)&amp;"  (Sparten-ID "&amp;INDEX(Eingabe!$D$9:$D$18,I1566)&amp;", "&amp;K1566&amp;" Parzellen)",IF(J1566&lt;=K1566,"   Parzelle "&amp;J1566,IF(J1566=K1566+1,"   Vorstand",IF(J1566=K1566+2,"   Gäste",IF(J1566=K1566+3,"   Technik (Switches, Access Points)",""))))))</f>
        <v/>
      </c>
      <c r="B1566" s="0" t="str">
        <f aca="false">IF(I1566="","",IF(AND(J1566&gt;=1,J1566&lt;=K1566+3),IF(J1566&lt;=K1566,IF(J1566&lt;=99,IF((INDEX(Eingabe!$G$9:$G$18,I1566))&lt;=9,1000+(INDEX(Eingabe!$G$9:$G$18,I1566))*100,3000)+J1566,IF((INDEX(Eingabe!$G$9:$G$18,I1566)+1)&lt;=9,1000+(INDEX(Eingabe!$G$9:$G$18,I1566)+1)*100,3000)+J1566-100),IF(J1566=K1566+1,2000+INDEX(Eingabe!$G$9:$G$18,I1566)*10+1,IF(J1566=K1566+2,2000+INDEX(Eingabe!$G$9:$G$18,I1566)*10+2,2000+INDEX(Eingabe!$G$9:$G$18,I1566)*10+9))),""))</f>
        <v/>
      </c>
      <c r="C1566" s="0" t="str">
        <f aca="false">IF(I1566="","",IF(AND(J1566&gt;=1,J1566&lt;=K1566+3),"10."&amp;INDEX(Eingabe!$D$9:$D$18,I1566)&amp;"."&amp;IF(J1566&lt;=K1566,J1566,IF(J1566=K1566+1,200,IF(J1566=K1566+2,201,250)))&amp;".0/24",""))</f>
        <v/>
      </c>
      <c r="D1566" s="0" t="str">
        <f aca="false">IF(I1566="","",IF(AND(J1566&gt;=1,J1566&lt;=K1566+3),"255.255.255.0",""))</f>
        <v/>
      </c>
      <c r="E1566" s="0" t="str">
        <f aca="false">IF(I1566="","",IF(AND(J1566&gt;=1,J1566&lt;=K1566+3),"10."&amp;INDEX(Eingabe!$D$9:$D$18,I1566)&amp;"."&amp;IF(J1566&lt;=K1566,J1566,IF(J1566=K1566+1,200,IF(J1566=K1566+2,201,250)))&amp;".1",""))</f>
        <v/>
      </c>
      <c r="F1566" s="0" t="str">
        <f aca="false">IF(I1566="","",IF(AND(J1566&gt;=1,J1566&lt;=K1566+3),"10."&amp;INDEX(Eingabe!$D$9:$D$18,I1566)&amp;"."&amp;IF(J1566&lt;=K1566,J1566,IF(J1566=K1566+1,200,IF(J1566=K1566+2,201,250)))&amp;".10 – 10."&amp;INDEX(Eingabe!$D$9:$D$18,I1566)&amp;"."&amp;IF(J1566&lt;=K1566,J1566,IF(J1566=K1566+1,200,IF(J1566=K1566+2,201,250)))&amp;".250",""))</f>
        <v/>
      </c>
      <c r="G1566" s="0" t="str">
        <f aca="false">IF(I1566="","",IF(AND(J1566&gt;=1,J1566&lt;=K1566),Eingabe!$B$6&amp;"-"&amp;INDEX(Eingabe!$C$9:$C$18,I1566)&amp;"-Pächter  ·  Passwort Parzelle "&amp;J1566,IF(J1566=K1566+1,Eingabe!$B$6&amp;"-"&amp;INDEX(Eingabe!$C$9:$C$18,I1566)&amp;"-Vorstand  ·  eigenes WLAN",IF(J1566=K1566+2,Eingabe!$B$6&amp;"-"&amp;INDEX(Eingabe!$C$9:$C$18,I1566)&amp;"-Gäste  ·  Voucher",IF(J1566=K1566+3,"Kabel  ·  Access Point y = .(50+y), Mast-Switch x = .(10+x)","")))))</f>
        <v/>
      </c>
      <c r="I1566" s="0" t="str">
        <f aca="false">IF(1561&lt;=(Eingabe!$P$18+Eingabe!$Q$18-1),MATCH(1561,Eingabe!$P$9:$P$18,1),"")</f>
        <v/>
      </c>
      <c r="J1566" s="0" t="str">
        <f aca="false">IF(I1566="","",1561-INDEX(Eingabe!$P$9:$P$18,I1566))</f>
        <v/>
      </c>
      <c r="K1566" s="0" t="str">
        <f aca="false">IF(I1566="","",INDEX(Eingabe!$E$9:$E$18,I1566))</f>
        <v/>
      </c>
    </row>
    <row r="1567" customFormat="false" ht="15" hidden="false" customHeight="false" outlineLevel="0" collapsed="false">
      <c r="A1567" s="0" t="str">
        <f aca="false">IF(I1567="","",IF(J1567=0,"Sparte "&amp;I1567&amp;": "&amp;INDEX(Eingabe!$B$9:$B$18,I1567)&amp;"  (Sparten-ID "&amp;INDEX(Eingabe!$D$9:$D$18,I1567)&amp;", "&amp;K1567&amp;" Parzellen)",IF(J1567&lt;=K1567,"   Parzelle "&amp;J1567,IF(J1567=K1567+1,"   Vorstand",IF(J1567=K1567+2,"   Gäste",IF(J1567=K1567+3,"   Technik (Switches, Access Points)",""))))))</f>
        <v/>
      </c>
      <c r="B1567" s="0" t="str">
        <f aca="false">IF(I1567="","",IF(AND(J1567&gt;=1,J1567&lt;=K1567+3),IF(J1567&lt;=K1567,IF(J1567&lt;=99,IF((INDEX(Eingabe!$G$9:$G$18,I1567))&lt;=9,1000+(INDEX(Eingabe!$G$9:$G$18,I1567))*100,3000)+J1567,IF((INDEX(Eingabe!$G$9:$G$18,I1567)+1)&lt;=9,1000+(INDEX(Eingabe!$G$9:$G$18,I1567)+1)*100,3000)+J1567-100),IF(J1567=K1567+1,2000+INDEX(Eingabe!$G$9:$G$18,I1567)*10+1,IF(J1567=K1567+2,2000+INDEX(Eingabe!$G$9:$G$18,I1567)*10+2,2000+INDEX(Eingabe!$G$9:$G$18,I1567)*10+9))),""))</f>
        <v/>
      </c>
      <c r="C1567" s="0" t="str">
        <f aca="false">IF(I1567="","",IF(AND(J1567&gt;=1,J1567&lt;=K1567+3),"10."&amp;INDEX(Eingabe!$D$9:$D$18,I1567)&amp;"."&amp;IF(J1567&lt;=K1567,J1567,IF(J1567=K1567+1,200,IF(J1567=K1567+2,201,250)))&amp;".0/24",""))</f>
        <v/>
      </c>
      <c r="D1567" s="0" t="str">
        <f aca="false">IF(I1567="","",IF(AND(J1567&gt;=1,J1567&lt;=K1567+3),"255.255.255.0",""))</f>
        <v/>
      </c>
      <c r="E1567" s="0" t="str">
        <f aca="false">IF(I1567="","",IF(AND(J1567&gt;=1,J1567&lt;=K1567+3),"10."&amp;INDEX(Eingabe!$D$9:$D$18,I1567)&amp;"."&amp;IF(J1567&lt;=K1567,J1567,IF(J1567=K1567+1,200,IF(J1567=K1567+2,201,250)))&amp;".1",""))</f>
        <v/>
      </c>
      <c r="F1567" s="0" t="str">
        <f aca="false">IF(I1567="","",IF(AND(J1567&gt;=1,J1567&lt;=K1567+3),"10."&amp;INDEX(Eingabe!$D$9:$D$18,I1567)&amp;"."&amp;IF(J1567&lt;=K1567,J1567,IF(J1567=K1567+1,200,IF(J1567=K1567+2,201,250)))&amp;".10 – 10."&amp;INDEX(Eingabe!$D$9:$D$18,I1567)&amp;"."&amp;IF(J1567&lt;=K1567,J1567,IF(J1567=K1567+1,200,IF(J1567=K1567+2,201,250)))&amp;".250",""))</f>
        <v/>
      </c>
      <c r="G1567" s="0" t="str">
        <f aca="false">IF(I1567="","",IF(AND(J1567&gt;=1,J1567&lt;=K1567),Eingabe!$B$6&amp;"-"&amp;INDEX(Eingabe!$C$9:$C$18,I1567)&amp;"-Pächter  ·  Passwort Parzelle "&amp;J1567,IF(J1567=K1567+1,Eingabe!$B$6&amp;"-"&amp;INDEX(Eingabe!$C$9:$C$18,I1567)&amp;"-Vorstand  ·  eigenes WLAN",IF(J1567=K1567+2,Eingabe!$B$6&amp;"-"&amp;INDEX(Eingabe!$C$9:$C$18,I1567)&amp;"-Gäste  ·  Voucher",IF(J1567=K1567+3,"Kabel  ·  Access Point y = .(50+y), Mast-Switch x = .(10+x)","")))))</f>
        <v/>
      </c>
      <c r="I1567" s="0" t="str">
        <f aca="false">IF(1562&lt;=(Eingabe!$P$18+Eingabe!$Q$18-1),MATCH(1562,Eingabe!$P$9:$P$18,1),"")</f>
        <v/>
      </c>
      <c r="J1567" s="0" t="str">
        <f aca="false">IF(I1567="","",1562-INDEX(Eingabe!$P$9:$P$18,I1567))</f>
        <v/>
      </c>
      <c r="K1567" s="0" t="str">
        <f aca="false">IF(I1567="","",INDEX(Eingabe!$E$9:$E$18,I1567))</f>
        <v/>
      </c>
    </row>
    <row r="1568" customFormat="false" ht="15" hidden="false" customHeight="false" outlineLevel="0" collapsed="false">
      <c r="A1568" s="0" t="str">
        <f aca="false">IF(I1568="","",IF(J1568=0,"Sparte "&amp;I1568&amp;": "&amp;INDEX(Eingabe!$B$9:$B$18,I1568)&amp;"  (Sparten-ID "&amp;INDEX(Eingabe!$D$9:$D$18,I1568)&amp;", "&amp;K1568&amp;" Parzellen)",IF(J1568&lt;=K1568,"   Parzelle "&amp;J1568,IF(J1568=K1568+1,"   Vorstand",IF(J1568=K1568+2,"   Gäste",IF(J1568=K1568+3,"   Technik (Switches, Access Points)",""))))))</f>
        <v/>
      </c>
      <c r="B1568" s="0" t="str">
        <f aca="false">IF(I1568="","",IF(AND(J1568&gt;=1,J1568&lt;=K1568+3),IF(J1568&lt;=K1568,IF(J1568&lt;=99,IF((INDEX(Eingabe!$G$9:$G$18,I1568))&lt;=9,1000+(INDEX(Eingabe!$G$9:$G$18,I1568))*100,3000)+J1568,IF((INDEX(Eingabe!$G$9:$G$18,I1568)+1)&lt;=9,1000+(INDEX(Eingabe!$G$9:$G$18,I1568)+1)*100,3000)+J1568-100),IF(J1568=K1568+1,2000+INDEX(Eingabe!$G$9:$G$18,I1568)*10+1,IF(J1568=K1568+2,2000+INDEX(Eingabe!$G$9:$G$18,I1568)*10+2,2000+INDEX(Eingabe!$G$9:$G$18,I1568)*10+9))),""))</f>
        <v/>
      </c>
      <c r="C1568" s="0" t="str">
        <f aca="false">IF(I1568="","",IF(AND(J1568&gt;=1,J1568&lt;=K1568+3),"10."&amp;INDEX(Eingabe!$D$9:$D$18,I1568)&amp;"."&amp;IF(J1568&lt;=K1568,J1568,IF(J1568=K1568+1,200,IF(J1568=K1568+2,201,250)))&amp;".0/24",""))</f>
        <v/>
      </c>
      <c r="D1568" s="0" t="str">
        <f aca="false">IF(I1568="","",IF(AND(J1568&gt;=1,J1568&lt;=K1568+3),"255.255.255.0",""))</f>
        <v/>
      </c>
      <c r="E1568" s="0" t="str">
        <f aca="false">IF(I1568="","",IF(AND(J1568&gt;=1,J1568&lt;=K1568+3),"10."&amp;INDEX(Eingabe!$D$9:$D$18,I1568)&amp;"."&amp;IF(J1568&lt;=K1568,J1568,IF(J1568=K1568+1,200,IF(J1568=K1568+2,201,250)))&amp;".1",""))</f>
        <v/>
      </c>
      <c r="F1568" s="0" t="str">
        <f aca="false">IF(I1568="","",IF(AND(J1568&gt;=1,J1568&lt;=K1568+3),"10."&amp;INDEX(Eingabe!$D$9:$D$18,I1568)&amp;"."&amp;IF(J1568&lt;=K1568,J1568,IF(J1568=K1568+1,200,IF(J1568=K1568+2,201,250)))&amp;".10 – 10."&amp;INDEX(Eingabe!$D$9:$D$18,I1568)&amp;"."&amp;IF(J1568&lt;=K1568,J1568,IF(J1568=K1568+1,200,IF(J1568=K1568+2,201,250)))&amp;".250",""))</f>
        <v/>
      </c>
      <c r="G1568" s="0" t="str">
        <f aca="false">IF(I1568="","",IF(AND(J1568&gt;=1,J1568&lt;=K1568),Eingabe!$B$6&amp;"-"&amp;INDEX(Eingabe!$C$9:$C$18,I1568)&amp;"-Pächter  ·  Passwort Parzelle "&amp;J1568,IF(J1568=K1568+1,Eingabe!$B$6&amp;"-"&amp;INDEX(Eingabe!$C$9:$C$18,I1568)&amp;"-Vorstand  ·  eigenes WLAN",IF(J1568=K1568+2,Eingabe!$B$6&amp;"-"&amp;INDEX(Eingabe!$C$9:$C$18,I1568)&amp;"-Gäste  ·  Voucher",IF(J1568=K1568+3,"Kabel  ·  Access Point y = .(50+y), Mast-Switch x = .(10+x)","")))))</f>
        <v/>
      </c>
      <c r="I1568" s="0" t="str">
        <f aca="false">IF(1563&lt;=(Eingabe!$P$18+Eingabe!$Q$18-1),MATCH(1563,Eingabe!$P$9:$P$18,1),"")</f>
        <v/>
      </c>
      <c r="J1568" s="0" t="str">
        <f aca="false">IF(I1568="","",1563-INDEX(Eingabe!$P$9:$P$18,I1568))</f>
        <v/>
      </c>
      <c r="K1568" s="0" t="str">
        <f aca="false">IF(I1568="","",INDEX(Eingabe!$E$9:$E$18,I1568))</f>
        <v/>
      </c>
    </row>
    <row r="1569" customFormat="false" ht="15" hidden="false" customHeight="false" outlineLevel="0" collapsed="false">
      <c r="A1569" s="0" t="str">
        <f aca="false">IF(I1569="","",IF(J1569=0,"Sparte "&amp;I1569&amp;": "&amp;INDEX(Eingabe!$B$9:$B$18,I1569)&amp;"  (Sparten-ID "&amp;INDEX(Eingabe!$D$9:$D$18,I1569)&amp;", "&amp;K1569&amp;" Parzellen)",IF(J1569&lt;=K1569,"   Parzelle "&amp;J1569,IF(J1569=K1569+1,"   Vorstand",IF(J1569=K1569+2,"   Gäste",IF(J1569=K1569+3,"   Technik (Switches, Access Points)",""))))))</f>
        <v/>
      </c>
      <c r="B1569" s="0" t="str">
        <f aca="false">IF(I1569="","",IF(AND(J1569&gt;=1,J1569&lt;=K1569+3),IF(J1569&lt;=K1569,IF(J1569&lt;=99,IF((INDEX(Eingabe!$G$9:$G$18,I1569))&lt;=9,1000+(INDEX(Eingabe!$G$9:$G$18,I1569))*100,3000)+J1569,IF((INDEX(Eingabe!$G$9:$G$18,I1569)+1)&lt;=9,1000+(INDEX(Eingabe!$G$9:$G$18,I1569)+1)*100,3000)+J1569-100),IF(J1569=K1569+1,2000+INDEX(Eingabe!$G$9:$G$18,I1569)*10+1,IF(J1569=K1569+2,2000+INDEX(Eingabe!$G$9:$G$18,I1569)*10+2,2000+INDEX(Eingabe!$G$9:$G$18,I1569)*10+9))),""))</f>
        <v/>
      </c>
      <c r="C1569" s="0" t="str">
        <f aca="false">IF(I1569="","",IF(AND(J1569&gt;=1,J1569&lt;=K1569+3),"10."&amp;INDEX(Eingabe!$D$9:$D$18,I1569)&amp;"."&amp;IF(J1569&lt;=K1569,J1569,IF(J1569=K1569+1,200,IF(J1569=K1569+2,201,250)))&amp;".0/24",""))</f>
        <v/>
      </c>
      <c r="D1569" s="0" t="str">
        <f aca="false">IF(I1569="","",IF(AND(J1569&gt;=1,J1569&lt;=K1569+3),"255.255.255.0",""))</f>
        <v/>
      </c>
      <c r="E1569" s="0" t="str">
        <f aca="false">IF(I1569="","",IF(AND(J1569&gt;=1,J1569&lt;=K1569+3),"10."&amp;INDEX(Eingabe!$D$9:$D$18,I1569)&amp;"."&amp;IF(J1569&lt;=K1569,J1569,IF(J1569=K1569+1,200,IF(J1569=K1569+2,201,250)))&amp;".1",""))</f>
        <v/>
      </c>
      <c r="F1569" s="0" t="str">
        <f aca="false">IF(I1569="","",IF(AND(J1569&gt;=1,J1569&lt;=K1569+3),"10."&amp;INDEX(Eingabe!$D$9:$D$18,I1569)&amp;"."&amp;IF(J1569&lt;=K1569,J1569,IF(J1569=K1569+1,200,IF(J1569=K1569+2,201,250)))&amp;".10 – 10."&amp;INDEX(Eingabe!$D$9:$D$18,I1569)&amp;"."&amp;IF(J1569&lt;=K1569,J1569,IF(J1569=K1569+1,200,IF(J1569=K1569+2,201,250)))&amp;".250",""))</f>
        <v/>
      </c>
      <c r="G1569" s="0" t="str">
        <f aca="false">IF(I1569="","",IF(AND(J1569&gt;=1,J1569&lt;=K1569),Eingabe!$B$6&amp;"-"&amp;INDEX(Eingabe!$C$9:$C$18,I1569)&amp;"-Pächter  ·  Passwort Parzelle "&amp;J1569,IF(J1569=K1569+1,Eingabe!$B$6&amp;"-"&amp;INDEX(Eingabe!$C$9:$C$18,I1569)&amp;"-Vorstand  ·  eigenes WLAN",IF(J1569=K1569+2,Eingabe!$B$6&amp;"-"&amp;INDEX(Eingabe!$C$9:$C$18,I1569)&amp;"-Gäste  ·  Voucher",IF(J1569=K1569+3,"Kabel  ·  Access Point y = .(50+y), Mast-Switch x = .(10+x)","")))))</f>
        <v/>
      </c>
      <c r="I1569" s="0" t="str">
        <f aca="false">IF(1564&lt;=(Eingabe!$P$18+Eingabe!$Q$18-1),MATCH(1564,Eingabe!$P$9:$P$18,1),"")</f>
        <v/>
      </c>
      <c r="J1569" s="0" t="str">
        <f aca="false">IF(I1569="","",1564-INDEX(Eingabe!$P$9:$P$18,I1569))</f>
        <v/>
      </c>
      <c r="K1569" s="0" t="str">
        <f aca="false">IF(I1569="","",INDEX(Eingabe!$E$9:$E$18,I1569))</f>
        <v/>
      </c>
    </row>
    <row r="1570" customFormat="false" ht="15" hidden="false" customHeight="false" outlineLevel="0" collapsed="false">
      <c r="A1570" s="0" t="str">
        <f aca="false">IF(I1570="","",IF(J1570=0,"Sparte "&amp;I1570&amp;": "&amp;INDEX(Eingabe!$B$9:$B$18,I1570)&amp;"  (Sparten-ID "&amp;INDEX(Eingabe!$D$9:$D$18,I1570)&amp;", "&amp;K1570&amp;" Parzellen)",IF(J1570&lt;=K1570,"   Parzelle "&amp;J1570,IF(J1570=K1570+1,"   Vorstand",IF(J1570=K1570+2,"   Gäste",IF(J1570=K1570+3,"   Technik (Switches, Access Points)",""))))))</f>
        <v/>
      </c>
      <c r="B1570" s="0" t="str">
        <f aca="false">IF(I1570="","",IF(AND(J1570&gt;=1,J1570&lt;=K1570+3),IF(J1570&lt;=K1570,IF(J1570&lt;=99,IF((INDEX(Eingabe!$G$9:$G$18,I1570))&lt;=9,1000+(INDEX(Eingabe!$G$9:$G$18,I1570))*100,3000)+J1570,IF((INDEX(Eingabe!$G$9:$G$18,I1570)+1)&lt;=9,1000+(INDEX(Eingabe!$G$9:$G$18,I1570)+1)*100,3000)+J1570-100),IF(J1570=K1570+1,2000+INDEX(Eingabe!$G$9:$G$18,I1570)*10+1,IF(J1570=K1570+2,2000+INDEX(Eingabe!$G$9:$G$18,I1570)*10+2,2000+INDEX(Eingabe!$G$9:$G$18,I1570)*10+9))),""))</f>
        <v/>
      </c>
      <c r="C1570" s="0" t="str">
        <f aca="false">IF(I1570="","",IF(AND(J1570&gt;=1,J1570&lt;=K1570+3),"10."&amp;INDEX(Eingabe!$D$9:$D$18,I1570)&amp;"."&amp;IF(J1570&lt;=K1570,J1570,IF(J1570=K1570+1,200,IF(J1570=K1570+2,201,250)))&amp;".0/24",""))</f>
        <v/>
      </c>
      <c r="D1570" s="0" t="str">
        <f aca="false">IF(I1570="","",IF(AND(J1570&gt;=1,J1570&lt;=K1570+3),"255.255.255.0",""))</f>
        <v/>
      </c>
      <c r="E1570" s="0" t="str">
        <f aca="false">IF(I1570="","",IF(AND(J1570&gt;=1,J1570&lt;=K1570+3),"10."&amp;INDEX(Eingabe!$D$9:$D$18,I1570)&amp;"."&amp;IF(J1570&lt;=K1570,J1570,IF(J1570=K1570+1,200,IF(J1570=K1570+2,201,250)))&amp;".1",""))</f>
        <v/>
      </c>
      <c r="F1570" s="0" t="str">
        <f aca="false">IF(I1570="","",IF(AND(J1570&gt;=1,J1570&lt;=K1570+3),"10."&amp;INDEX(Eingabe!$D$9:$D$18,I1570)&amp;"."&amp;IF(J1570&lt;=K1570,J1570,IF(J1570=K1570+1,200,IF(J1570=K1570+2,201,250)))&amp;".10 – 10."&amp;INDEX(Eingabe!$D$9:$D$18,I1570)&amp;"."&amp;IF(J1570&lt;=K1570,J1570,IF(J1570=K1570+1,200,IF(J1570=K1570+2,201,250)))&amp;".250",""))</f>
        <v/>
      </c>
      <c r="G1570" s="0" t="str">
        <f aca="false">IF(I1570="","",IF(AND(J1570&gt;=1,J1570&lt;=K1570),Eingabe!$B$6&amp;"-"&amp;INDEX(Eingabe!$C$9:$C$18,I1570)&amp;"-Pächter  ·  Passwort Parzelle "&amp;J1570,IF(J1570=K1570+1,Eingabe!$B$6&amp;"-"&amp;INDEX(Eingabe!$C$9:$C$18,I1570)&amp;"-Vorstand  ·  eigenes WLAN",IF(J1570=K1570+2,Eingabe!$B$6&amp;"-"&amp;INDEX(Eingabe!$C$9:$C$18,I1570)&amp;"-Gäste  ·  Voucher",IF(J1570=K1570+3,"Kabel  ·  Access Point y = .(50+y), Mast-Switch x = .(10+x)","")))))</f>
        <v/>
      </c>
      <c r="I1570" s="0" t="str">
        <f aca="false">IF(1565&lt;=(Eingabe!$P$18+Eingabe!$Q$18-1),MATCH(1565,Eingabe!$P$9:$P$18,1),"")</f>
        <v/>
      </c>
      <c r="J1570" s="0" t="str">
        <f aca="false">IF(I1570="","",1565-INDEX(Eingabe!$P$9:$P$18,I1570))</f>
        <v/>
      </c>
      <c r="K1570" s="0" t="str">
        <f aca="false">IF(I1570="","",INDEX(Eingabe!$E$9:$E$18,I1570))</f>
        <v/>
      </c>
    </row>
    <row r="1571" customFormat="false" ht="15" hidden="false" customHeight="false" outlineLevel="0" collapsed="false">
      <c r="A1571" s="0" t="str">
        <f aca="false">IF(I1571="","",IF(J1571=0,"Sparte "&amp;I1571&amp;": "&amp;INDEX(Eingabe!$B$9:$B$18,I1571)&amp;"  (Sparten-ID "&amp;INDEX(Eingabe!$D$9:$D$18,I1571)&amp;", "&amp;K1571&amp;" Parzellen)",IF(J1571&lt;=K1571,"   Parzelle "&amp;J1571,IF(J1571=K1571+1,"   Vorstand",IF(J1571=K1571+2,"   Gäste",IF(J1571=K1571+3,"   Technik (Switches, Access Points)",""))))))</f>
        <v/>
      </c>
      <c r="B1571" s="0" t="str">
        <f aca="false">IF(I1571="","",IF(AND(J1571&gt;=1,J1571&lt;=K1571+3),IF(J1571&lt;=K1571,IF(J1571&lt;=99,IF((INDEX(Eingabe!$G$9:$G$18,I1571))&lt;=9,1000+(INDEX(Eingabe!$G$9:$G$18,I1571))*100,3000)+J1571,IF((INDEX(Eingabe!$G$9:$G$18,I1571)+1)&lt;=9,1000+(INDEX(Eingabe!$G$9:$G$18,I1571)+1)*100,3000)+J1571-100),IF(J1571=K1571+1,2000+INDEX(Eingabe!$G$9:$G$18,I1571)*10+1,IF(J1571=K1571+2,2000+INDEX(Eingabe!$G$9:$G$18,I1571)*10+2,2000+INDEX(Eingabe!$G$9:$G$18,I1571)*10+9))),""))</f>
        <v/>
      </c>
      <c r="C1571" s="0" t="str">
        <f aca="false">IF(I1571="","",IF(AND(J1571&gt;=1,J1571&lt;=K1571+3),"10."&amp;INDEX(Eingabe!$D$9:$D$18,I1571)&amp;"."&amp;IF(J1571&lt;=K1571,J1571,IF(J1571=K1571+1,200,IF(J1571=K1571+2,201,250)))&amp;".0/24",""))</f>
        <v/>
      </c>
      <c r="D1571" s="0" t="str">
        <f aca="false">IF(I1571="","",IF(AND(J1571&gt;=1,J1571&lt;=K1571+3),"255.255.255.0",""))</f>
        <v/>
      </c>
      <c r="E1571" s="0" t="str">
        <f aca="false">IF(I1571="","",IF(AND(J1571&gt;=1,J1571&lt;=K1571+3),"10."&amp;INDEX(Eingabe!$D$9:$D$18,I1571)&amp;"."&amp;IF(J1571&lt;=K1571,J1571,IF(J1571=K1571+1,200,IF(J1571=K1571+2,201,250)))&amp;".1",""))</f>
        <v/>
      </c>
      <c r="F1571" s="0" t="str">
        <f aca="false">IF(I1571="","",IF(AND(J1571&gt;=1,J1571&lt;=K1571+3),"10."&amp;INDEX(Eingabe!$D$9:$D$18,I1571)&amp;"."&amp;IF(J1571&lt;=K1571,J1571,IF(J1571=K1571+1,200,IF(J1571=K1571+2,201,250)))&amp;".10 – 10."&amp;INDEX(Eingabe!$D$9:$D$18,I1571)&amp;"."&amp;IF(J1571&lt;=K1571,J1571,IF(J1571=K1571+1,200,IF(J1571=K1571+2,201,250)))&amp;".250",""))</f>
        <v/>
      </c>
      <c r="G1571" s="0" t="str">
        <f aca="false">IF(I1571="","",IF(AND(J1571&gt;=1,J1571&lt;=K1571),Eingabe!$B$6&amp;"-"&amp;INDEX(Eingabe!$C$9:$C$18,I1571)&amp;"-Pächter  ·  Passwort Parzelle "&amp;J1571,IF(J1571=K1571+1,Eingabe!$B$6&amp;"-"&amp;INDEX(Eingabe!$C$9:$C$18,I1571)&amp;"-Vorstand  ·  eigenes WLAN",IF(J1571=K1571+2,Eingabe!$B$6&amp;"-"&amp;INDEX(Eingabe!$C$9:$C$18,I1571)&amp;"-Gäste  ·  Voucher",IF(J1571=K1571+3,"Kabel  ·  Access Point y = .(50+y), Mast-Switch x = .(10+x)","")))))</f>
        <v/>
      </c>
      <c r="I1571" s="0" t="str">
        <f aca="false">IF(1566&lt;=(Eingabe!$P$18+Eingabe!$Q$18-1),MATCH(1566,Eingabe!$P$9:$P$18,1),"")</f>
        <v/>
      </c>
      <c r="J1571" s="0" t="str">
        <f aca="false">IF(I1571="","",1566-INDEX(Eingabe!$P$9:$P$18,I1571))</f>
        <v/>
      </c>
      <c r="K1571" s="0" t="str">
        <f aca="false">IF(I1571="","",INDEX(Eingabe!$E$9:$E$18,I1571))</f>
        <v/>
      </c>
    </row>
    <row r="1572" customFormat="false" ht="15" hidden="false" customHeight="false" outlineLevel="0" collapsed="false">
      <c r="A1572" s="0" t="str">
        <f aca="false">IF(I1572="","",IF(J1572=0,"Sparte "&amp;I1572&amp;": "&amp;INDEX(Eingabe!$B$9:$B$18,I1572)&amp;"  (Sparten-ID "&amp;INDEX(Eingabe!$D$9:$D$18,I1572)&amp;", "&amp;K1572&amp;" Parzellen)",IF(J1572&lt;=K1572,"   Parzelle "&amp;J1572,IF(J1572=K1572+1,"   Vorstand",IF(J1572=K1572+2,"   Gäste",IF(J1572=K1572+3,"   Technik (Switches, Access Points)",""))))))</f>
        <v/>
      </c>
      <c r="B1572" s="0" t="str">
        <f aca="false">IF(I1572="","",IF(AND(J1572&gt;=1,J1572&lt;=K1572+3),IF(J1572&lt;=K1572,IF(J1572&lt;=99,IF((INDEX(Eingabe!$G$9:$G$18,I1572))&lt;=9,1000+(INDEX(Eingabe!$G$9:$G$18,I1572))*100,3000)+J1572,IF((INDEX(Eingabe!$G$9:$G$18,I1572)+1)&lt;=9,1000+(INDEX(Eingabe!$G$9:$G$18,I1572)+1)*100,3000)+J1572-100),IF(J1572=K1572+1,2000+INDEX(Eingabe!$G$9:$G$18,I1572)*10+1,IF(J1572=K1572+2,2000+INDEX(Eingabe!$G$9:$G$18,I1572)*10+2,2000+INDEX(Eingabe!$G$9:$G$18,I1572)*10+9))),""))</f>
        <v/>
      </c>
      <c r="C1572" s="0" t="str">
        <f aca="false">IF(I1572="","",IF(AND(J1572&gt;=1,J1572&lt;=K1572+3),"10."&amp;INDEX(Eingabe!$D$9:$D$18,I1572)&amp;"."&amp;IF(J1572&lt;=K1572,J1572,IF(J1572=K1572+1,200,IF(J1572=K1572+2,201,250)))&amp;".0/24",""))</f>
        <v/>
      </c>
      <c r="D1572" s="0" t="str">
        <f aca="false">IF(I1572="","",IF(AND(J1572&gt;=1,J1572&lt;=K1572+3),"255.255.255.0",""))</f>
        <v/>
      </c>
      <c r="E1572" s="0" t="str">
        <f aca="false">IF(I1572="","",IF(AND(J1572&gt;=1,J1572&lt;=K1572+3),"10."&amp;INDEX(Eingabe!$D$9:$D$18,I1572)&amp;"."&amp;IF(J1572&lt;=K1572,J1572,IF(J1572=K1572+1,200,IF(J1572=K1572+2,201,250)))&amp;".1",""))</f>
        <v/>
      </c>
      <c r="F1572" s="0" t="str">
        <f aca="false">IF(I1572="","",IF(AND(J1572&gt;=1,J1572&lt;=K1572+3),"10."&amp;INDEX(Eingabe!$D$9:$D$18,I1572)&amp;"."&amp;IF(J1572&lt;=K1572,J1572,IF(J1572=K1572+1,200,IF(J1572=K1572+2,201,250)))&amp;".10 – 10."&amp;INDEX(Eingabe!$D$9:$D$18,I1572)&amp;"."&amp;IF(J1572&lt;=K1572,J1572,IF(J1572=K1572+1,200,IF(J1572=K1572+2,201,250)))&amp;".250",""))</f>
        <v/>
      </c>
      <c r="G1572" s="0" t="str">
        <f aca="false">IF(I1572="","",IF(AND(J1572&gt;=1,J1572&lt;=K1572),Eingabe!$B$6&amp;"-"&amp;INDEX(Eingabe!$C$9:$C$18,I1572)&amp;"-Pächter  ·  Passwort Parzelle "&amp;J1572,IF(J1572=K1572+1,Eingabe!$B$6&amp;"-"&amp;INDEX(Eingabe!$C$9:$C$18,I1572)&amp;"-Vorstand  ·  eigenes WLAN",IF(J1572=K1572+2,Eingabe!$B$6&amp;"-"&amp;INDEX(Eingabe!$C$9:$C$18,I1572)&amp;"-Gäste  ·  Voucher",IF(J1572=K1572+3,"Kabel  ·  Access Point y = .(50+y), Mast-Switch x = .(10+x)","")))))</f>
        <v/>
      </c>
      <c r="I1572" s="0" t="str">
        <f aca="false">IF(1567&lt;=(Eingabe!$P$18+Eingabe!$Q$18-1),MATCH(1567,Eingabe!$P$9:$P$18,1),"")</f>
        <v/>
      </c>
      <c r="J1572" s="0" t="str">
        <f aca="false">IF(I1572="","",1567-INDEX(Eingabe!$P$9:$P$18,I1572))</f>
        <v/>
      </c>
      <c r="K1572" s="0" t="str">
        <f aca="false">IF(I1572="","",INDEX(Eingabe!$E$9:$E$18,I1572))</f>
        <v/>
      </c>
    </row>
    <row r="1573" customFormat="false" ht="15" hidden="false" customHeight="false" outlineLevel="0" collapsed="false">
      <c r="A1573" s="0" t="str">
        <f aca="false">IF(I1573="","",IF(J1573=0,"Sparte "&amp;I1573&amp;": "&amp;INDEX(Eingabe!$B$9:$B$18,I1573)&amp;"  (Sparten-ID "&amp;INDEX(Eingabe!$D$9:$D$18,I1573)&amp;", "&amp;K1573&amp;" Parzellen)",IF(J1573&lt;=K1573,"   Parzelle "&amp;J1573,IF(J1573=K1573+1,"   Vorstand",IF(J1573=K1573+2,"   Gäste",IF(J1573=K1573+3,"   Technik (Switches, Access Points)",""))))))</f>
        <v/>
      </c>
      <c r="B1573" s="0" t="str">
        <f aca="false">IF(I1573="","",IF(AND(J1573&gt;=1,J1573&lt;=K1573+3),IF(J1573&lt;=K1573,IF(J1573&lt;=99,IF((INDEX(Eingabe!$G$9:$G$18,I1573))&lt;=9,1000+(INDEX(Eingabe!$G$9:$G$18,I1573))*100,3000)+J1573,IF((INDEX(Eingabe!$G$9:$G$18,I1573)+1)&lt;=9,1000+(INDEX(Eingabe!$G$9:$G$18,I1573)+1)*100,3000)+J1573-100),IF(J1573=K1573+1,2000+INDEX(Eingabe!$G$9:$G$18,I1573)*10+1,IF(J1573=K1573+2,2000+INDEX(Eingabe!$G$9:$G$18,I1573)*10+2,2000+INDEX(Eingabe!$G$9:$G$18,I1573)*10+9))),""))</f>
        <v/>
      </c>
      <c r="C1573" s="0" t="str">
        <f aca="false">IF(I1573="","",IF(AND(J1573&gt;=1,J1573&lt;=K1573+3),"10."&amp;INDEX(Eingabe!$D$9:$D$18,I1573)&amp;"."&amp;IF(J1573&lt;=K1573,J1573,IF(J1573=K1573+1,200,IF(J1573=K1573+2,201,250)))&amp;".0/24",""))</f>
        <v/>
      </c>
      <c r="D1573" s="0" t="str">
        <f aca="false">IF(I1573="","",IF(AND(J1573&gt;=1,J1573&lt;=K1573+3),"255.255.255.0",""))</f>
        <v/>
      </c>
      <c r="E1573" s="0" t="str">
        <f aca="false">IF(I1573="","",IF(AND(J1573&gt;=1,J1573&lt;=K1573+3),"10."&amp;INDEX(Eingabe!$D$9:$D$18,I1573)&amp;"."&amp;IF(J1573&lt;=K1573,J1573,IF(J1573=K1573+1,200,IF(J1573=K1573+2,201,250)))&amp;".1",""))</f>
        <v/>
      </c>
      <c r="F1573" s="0" t="str">
        <f aca="false">IF(I1573="","",IF(AND(J1573&gt;=1,J1573&lt;=K1573+3),"10."&amp;INDEX(Eingabe!$D$9:$D$18,I1573)&amp;"."&amp;IF(J1573&lt;=K1573,J1573,IF(J1573=K1573+1,200,IF(J1573=K1573+2,201,250)))&amp;".10 – 10."&amp;INDEX(Eingabe!$D$9:$D$18,I1573)&amp;"."&amp;IF(J1573&lt;=K1573,J1573,IF(J1573=K1573+1,200,IF(J1573=K1573+2,201,250)))&amp;".250",""))</f>
        <v/>
      </c>
      <c r="G1573" s="0" t="str">
        <f aca="false">IF(I1573="","",IF(AND(J1573&gt;=1,J1573&lt;=K1573),Eingabe!$B$6&amp;"-"&amp;INDEX(Eingabe!$C$9:$C$18,I1573)&amp;"-Pächter  ·  Passwort Parzelle "&amp;J1573,IF(J1573=K1573+1,Eingabe!$B$6&amp;"-"&amp;INDEX(Eingabe!$C$9:$C$18,I1573)&amp;"-Vorstand  ·  eigenes WLAN",IF(J1573=K1573+2,Eingabe!$B$6&amp;"-"&amp;INDEX(Eingabe!$C$9:$C$18,I1573)&amp;"-Gäste  ·  Voucher",IF(J1573=K1573+3,"Kabel  ·  Access Point y = .(50+y), Mast-Switch x = .(10+x)","")))))</f>
        <v/>
      </c>
      <c r="I1573" s="0" t="str">
        <f aca="false">IF(1568&lt;=(Eingabe!$P$18+Eingabe!$Q$18-1),MATCH(1568,Eingabe!$P$9:$P$18,1),"")</f>
        <v/>
      </c>
      <c r="J1573" s="0" t="str">
        <f aca="false">IF(I1573="","",1568-INDEX(Eingabe!$P$9:$P$18,I1573))</f>
        <v/>
      </c>
      <c r="K1573" s="0" t="str">
        <f aca="false">IF(I1573="","",INDEX(Eingabe!$E$9:$E$18,I1573))</f>
        <v/>
      </c>
    </row>
    <row r="1574" customFormat="false" ht="15" hidden="false" customHeight="false" outlineLevel="0" collapsed="false">
      <c r="A1574" s="0" t="str">
        <f aca="false">IF(I1574="","",IF(J1574=0,"Sparte "&amp;I1574&amp;": "&amp;INDEX(Eingabe!$B$9:$B$18,I1574)&amp;"  (Sparten-ID "&amp;INDEX(Eingabe!$D$9:$D$18,I1574)&amp;", "&amp;K1574&amp;" Parzellen)",IF(J1574&lt;=K1574,"   Parzelle "&amp;J1574,IF(J1574=K1574+1,"   Vorstand",IF(J1574=K1574+2,"   Gäste",IF(J1574=K1574+3,"   Technik (Switches, Access Points)",""))))))</f>
        <v/>
      </c>
      <c r="B1574" s="0" t="str">
        <f aca="false">IF(I1574="","",IF(AND(J1574&gt;=1,J1574&lt;=K1574+3),IF(J1574&lt;=K1574,IF(J1574&lt;=99,IF((INDEX(Eingabe!$G$9:$G$18,I1574))&lt;=9,1000+(INDEX(Eingabe!$G$9:$G$18,I1574))*100,3000)+J1574,IF((INDEX(Eingabe!$G$9:$G$18,I1574)+1)&lt;=9,1000+(INDEX(Eingabe!$G$9:$G$18,I1574)+1)*100,3000)+J1574-100),IF(J1574=K1574+1,2000+INDEX(Eingabe!$G$9:$G$18,I1574)*10+1,IF(J1574=K1574+2,2000+INDEX(Eingabe!$G$9:$G$18,I1574)*10+2,2000+INDEX(Eingabe!$G$9:$G$18,I1574)*10+9))),""))</f>
        <v/>
      </c>
      <c r="C1574" s="0" t="str">
        <f aca="false">IF(I1574="","",IF(AND(J1574&gt;=1,J1574&lt;=K1574+3),"10."&amp;INDEX(Eingabe!$D$9:$D$18,I1574)&amp;"."&amp;IF(J1574&lt;=K1574,J1574,IF(J1574=K1574+1,200,IF(J1574=K1574+2,201,250)))&amp;".0/24",""))</f>
        <v/>
      </c>
      <c r="D1574" s="0" t="str">
        <f aca="false">IF(I1574="","",IF(AND(J1574&gt;=1,J1574&lt;=K1574+3),"255.255.255.0",""))</f>
        <v/>
      </c>
      <c r="E1574" s="0" t="str">
        <f aca="false">IF(I1574="","",IF(AND(J1574&gt;=1,J1574&lt;=K1574+3),"10."&amp;INDEX(Eingabe!$D$9:$D$18,I1574)&amp;"."&amp;IF(J1574&lt;=K1574,J1574,IF(J1574=K1574+1,200,IF(J1574=K1574+2,201,250)))&amp;".1",""))</f>
        <v/>
      </c>
      <c r="F1574" s="0" t="str">
        <f aca="false">IF(I1574="","",IF(AND(J1574&gt;=1,J1574&lt;=K1574+3),"10."&amp;INDEX(Eingabe!$D$9:$D$18,I1574)&amp;"."&amp;IF(J1574&lt;=K1574,J1574,IF(J1574=K1574+1,200,IF(J1574=K1574+2,201,250)))&amp;".10 – 10."&amp;INDEX(Eingabe!$D$9:$D$18,I1574)&amp;"."&amp;IF(J1574&lt;=K1574,J1574,IF(J1574=K1574+1,200,IF(J1574=K1574+2,201,250)))&amp;".250",""))</f>
        <v/>
      </c>
      <c r="G1574" s="0" t="str">
        <f aca="false">IF(I1574="","",IF(AND(J1574&gt;=1,J1574&lt;=K1574),Eingabe!$B$6&amp;"-"&amp;INDEX(Eingabe!$C$9:$C$18,I1574)&amp;"-Pächter  ·  Passwort Parzelle "&amp;J1574,IF(J1574=K1574+1,Eingabe!$B$6&amp;"-"&amp;INDEX(Eingabe!$C$9:$C$18,I1574)&amp;"-Vorstand  ·  eigenes WLAN",IF(J1574=K1574+2,Eingabe!$B$6&amp;"-"&amp;INDEX(Eingabe!$C$9:$C$18,I1574)&amp;"-Gäste  ·  Voucher",IF(J1574=K1574+3,"Kabel  ·  Access Point y = .(50+y), Mast-Switch x = .(10+x)","")))))</f>
        <v/>
      </c>
      <c r="I1574" s="0" t="str">
        <f aca="false">IF(1569&lt;=(Eingabe!$P$18+Eingabe!$Q$18-1),MATCH(1569,Eingabe!$P$9:$P$18,1),"")</f>
        <v/>
      </c>
      <c r="J1574" s="0" t="str">
        <f aca="false">IF(I1574="","",1569-INDEX(Eingabe!$P$9:$P$18,I1574))</f>
        <v/>
      </c>
      <c r="K1574" s="0" t="str">
        <f aca="false">IF(I1574="","",INDEX(Eingabe!$E$9:$E$18,I1574))</f>
        <v/>
      </c>
    </row>
    <row r="1575" customFormat="false" ht="15" hidden="false" customHeight="false" outlineLevel="0" collapsed="false">
      <c r="A1575" s="0" t="str">
        <f aca="false">IF(I1575="","",IF(J1575=0,"Sparte "&amp;I1575&amp;": "&amp;INDEX(Eingabe!$B$9:$B$18,I1575)&amp;"  (Sparten-ID "&amp;INDEX(Eingabe!$D$9:$D$18,I1575)&amp;", "&amp;K1575&amp;" Parzellen)",IF(J1575&lt;=K1575,"   Parzelle "&amp;J1575,IF(J1575=K1575+1,"   Vorstand",IF(J1575=K1575+2,"   Gäste",IF(J1575=K1575+3,"   Technik (Switches, Access Points)",""))))))</f>
        <v/>
      </c>
      <c r="B1575" s="0" t="str">
        <f aca="false">IF(I1575="","",IF(AND(J1575&gt;=1,J1575&lt;=K1575+3),IF(J1575&lt;=K1575,IF(J1575&lt;=99,IF((INDEX(Eingabe!$G$9:$G$18,I1575))&lt;=9,1000+(INDEX(Eingabe!$G$9:$G$18,I1575))*100,3000)+J1575,IF((INDEX(Eingabe!$G$9:$G$18,I1575)+1)&lt;=9,1000+(INDEX(Eingabe!$G$9:$G$18,I1575)+1)*100,3000)+J1575-100),IF(J1575=K1575+1,2000+INDEX(Eingabe!$G$9:$G$18,I1575)*10+1,IF(J1575=K1575+2,2000+INDEX(Eingabe!$G$9:$G$18,I1575)*10+2,2000+INDEX(Eingabe!$G$9:$G$18,I1575)*10+9))),""))</f>
        <v/>
      </c>
      <c r="C1575" s="0" t="str">
        <f aca="false">IF(I1575="","",IF(AND(J1575&gt;=1,J1575&lt;=K1575+3),"10."&amp;INDEX(Eingabe!$D$9:$D$18,I1575)&amp;"."&amp;IF(J1575&lt;=K1575,J1575,IF(J1575=K1575+1,200,IF(J1575=K1575+2,201,250)))&amp;".0/24",""))</f>
        <v/>
      </c>
      <c r="D1575" s="0" t="str">
        <f aca="false">IF(I1575="","",IF(AND(J1575&gt;=1,J1575&lt;=K1575+3),"255.255.255.0",""))</f>
        <v/>
      </c>
      <c r="E1575" s="0" t="str">
        <f aca="false">IF(I1575="","",IF(AND(J1575&gt;=1,J1575&lt;=K1575+3),"10."&amp;INDEX(Eingabe!$D$9:$D$18,I1575)&amp;"."&amp;IF(J1575&lt;=K1575,J1575,IF(J1575=K1575+1,200,IF(J1575=K1575+2,201,250)))&amp;".1",""))</f>
        <v/>
      </c>
      <c r="F1575" s="0" t="str">
        <f aca="false">IF(I1575="","",IF(AND(J1575&gt;=1,J1575&lt;=K1575+3),"10."&amp;INDEX(Eingabe!$D$9:$D$18,I1575)&amp;"."&amp;IF(J1575&lt;=K1575,J1575,IF(J1575=K1575+1,200,IF(J1575=K1575+2,201,250)))&amp;".10 – 10."&amp;INDEX(Eingabe!$D$9:$D$18,I1575)&amp;"."&amp;IF(J1575&lt;=K1575,J1575,IF(J1575=K1575+1,200,IF(J1575=K1575+2,201,250)))&amp;".250",""))</f>
        <v/>
      </c>
      <c r="G1575" s="0" t="str">
        <f aca="false">IF(I1575="","",IF(AND(J1575&gt;=1,J1575&lt;=K1575),Eingabe!$B$6&amp;"-"&amp;INDEX(Eingabe!$C$9:$C$18,I1575)&amp;"-Pächter  ·  Passwort Parzelle "&amp;J1575,IF(J1575=K1575+1,Eingabe!$B$6&amp;"-"&amp;INDEX(Eingabe!$C$9:$C$18,I1575)&amp;"-Vorstand  ·  eigenes WLAN",IF(J1575=K1575+2,Eingabe!$B$6&amp;"-"&amp;INDEX(Eingabe!$C$9:$C$18,I1575)&amp;"-Gäste  ·  Voucher",IF(J1575=K1575+3,"Kabel  ·  Access Point y = .(50+y), Mast-Switch x = .(10+x)","")))))</f>
        <v/>
      </c>
      <c r="I1575" s="0" t="str">
        <f aca="false">IF(1570&lt;=(Eingabe!$P$18+Eingabe!$Q$18-1),MATCH(1570,Eingabe!$P$9:$P$18,1),"")</f>
        <v/>
      </c>
      <c r="J1575" s="0" t="str">
        <f aca="false">IF(I1575="","",1570-INDEX(Eingabe!$P$9:$P$18,I1575))</f>
        <v/>
      </c>
      <c r="K1575" s="0" t="str">
        <f aca="false">IF(I1575="","",INDEX(Eingabe!$E$9:$E$18,I1575))</f>
        <v/>
      </c>
    </row>
    <row r="1576" customFormat="false" ht="15" hidden="false" customHeight="false" outlineLevel="0" collapsed="false">
      <c r="A1576" s="0" t="str">
        <f aca="false">IF(I1576="","",IF(J1576=0,"Sparte "&amp;I1576&amp;": "&amp;INDEX(Eingabe!$B$9:$B$18,I1576)&amp;"  (Sparten-ID "&amp;INDEX(Eingabe!$D$9:$D$18,I1576)&amp;", "&amp;K1576&amp;" Parzellen)",IF(J1576&lt;=K1576,"   Parzelle "&amp;J1576,IF(J1576=K1576+1,"   Vorstand",IF(J1576=K1576+2,"   Gäste",IF(J1576=K1576+3,"   Technik (Switches, Access Points)",""))))))</f>
        <v/>
      </c>
      <c r="B1576" s="0" t="str">
        <f aca="false">IF(I1576="","",IF(AND(J1576&gt;=1,J1576&lt;=K1576+3),IF(J1576&lt;=K1576,IF(J1576&lt;=99,IF((INDEX(Eingabe!$G$9:$G$18,I1576))&lt;=9,1000+(INDEX(Eingabe!$G$9:$G$18,I1576))*100,3000)+J1576,IF((INDEX(Eingabe!$G$9:$G$18,I1576)+1)&lt;=9,1000+(INDEX(Eingabe!$G$9:$G$18,I1576)+1)*100,3000)+J1576-100),IF(J1576=K1576+1,2000+INDEX(Eingabe!$G$9:$G$18,I1576)*10+1,IF(J1576=K1576+2,2000+INDEX(Eingabe!$G$9:$G$18,I1576)*10+2,2000+INDEX(Eingabe!$G$9:$G$18,I1576)*10+9))),""))</f>
        <v/>
      </c>
      <c r="C1576" s="0" t="str">
        <f aca="false">IF(I1576="","",IF(AND(J1576&gt;=1,J1576&lt;=K1576+3),"10."&amp;INDEX(Eingabe!$D$9:$D$18,I1576)&amp;"."&amp;IF(J1576&lt;=K1576,J1576,IF(J1576=K1576+1,200,IF(J1576=K1576+2,201,250)))&amp;".0/24",""))</f>
        <v/>
      </c>
      <c r="D1576" s="0" t="str">
        <f aca="false">IF(I1576="","",IF(AND(J1576&gt;=1,J1576&lt;=K1576+3),"255.255.255.0",""))</f>
        <v/>
      </c>
      <c r="E1576" s="0" t="str">
        <f aca="false">IF(I1576="","",IF(AND(J1576&gt;=1,J1576&lt;=K1576+3),"10."&amp;INDEX(Eingabe!$D$9:$D$18,I1576)&amp;"."&amp;IF(J1576&lt;=K1576,J1576,IF(J1576=K1576+1,200,IF(J1576=K1576+2,201,250)))&amp;".1",""))</f>
        <v/>
      </c>
      <c r="F1576" s="0" t="str">
        <f aca="false">IF(I1576="","",IF(AND(J1576&gt;=1,J1576&lt;=K1576+3),"10."&amp;INDEX(Eingabe!$D$9:$D$18,I1576)&amp;"."&amp;IF(J1576&lt;=K1576,J1576,IF(J1576=K1576+1,200,IF(J1576=K1576+2,201,250)))&amp;".10 – 10."&amp;INDEX(Eingabe!$D$9:$D$18,I1576)&amp;"."&amp;IF(J1576&lt;=K1576,J1576,IF(J1576=K1576+1,200,IF(J1576=K1576+2,201,250)))&amp;".250",""))</f>
        <v/>
      </c>
      <c r="G1576" s="0" t="str">
        <f aca="false">IF(I1576="","",IF(AND(J1576&gt;=1,J1576&lt;=K1576),Eingabe!$B$6&amp;"-"&amp;INDEX(Eingabe!$C$9:$C$18,I1576)&amp;"-Pächter  ·  Passwort Parzelle "&amp;J1576,IF(J1576=K1576+1,Eingabe!$B$6&amp;"-"&amp;INDEX(Eingabe!$C$9:$C$18,I1576)&amp;"-Vorstand  ·  eigenes WLAN",IF(J1576=K1576+2,Eingabe!$B$6&amp;"-"&amp;INDEX(Eingabe!$C$9:$C$18,I1576)&amp;"-Gäste  ·  Voucher",IF(J1576=K1576+3,"Kabel  ·  Access Point y = .(50+y), Mast-Switch x = .(10+x)","")))))</f>
        <v/>
      </c>
      <c r="I1576" s="0" t="str">
        <f aca="false">IF(1571&lt;=(Eingabe!$P$18+Eingabe!$Q$18-1),MATCH(1571,Eingabe!$P$9:$P$18,1),"")</f>
        <v/>
      </c>
      <c r="J1576" s="0" t="str">
        <f aca="false">IF(I1576="","",1571-INDEX(Eingabe!$P$9:$P$18,I1576))</f>
        <v/>
      </c>
      <c r="K1576" s="0" t="str">
        <f aca="false">IF(I1576="","",INDEX(Eingabe!$E$9:$E$18,I1576))</f>
        <v/>
      </c>
    </row>
    <row r="1577" customFormat="false" ht="15" hidden="false" customHeight="false" outlineLevel="0" collapsed="false">
      <c r="A1577" s="0" t="str">
        <f aca="false">IF(I1577="","",IF(J1577=0,"Sparte "&amp;I1577&amp;": "&amp;INDEX(Eingabe!$B$9:$B$18,I1577)&amp;"  (Sparten-ID "&amp;INDEX(Eingabe!$D$9:$D$18,I1577)&amp;", "&amp;K1577&amp;" Parzellen)",IF(J1577&lt;=K1577,"   Parzelle "&amp;J1577,IF(J1577=K1577+1,"   Vorstand",IF(J1577=K1577+2,"   Gäste",IF(J1577=K1577+3,"   Technik (Switches, Access Points)",""))))))</f>
        <v/>
      </c>
      <c r="B1577" s="0" t="str">
        <f aca="false">IF(I1577="","",IF(AND(J1577&gt;=1,J1577&lt;=K1577+3),IF(J1577&lt;=K1577,IF(J1577&lt;=99,IF((INDEX(Eingabe!$G$9:$G$18,I1577))&lt;=9,1000+(INDEX(Eingabe!$G$9:$G$18,I1577))*100,3000)+J1577,IF((INDEX(Eingabe!$G$9:$G$18,I1577)+1)&lt;=9,1000+(INDEX(Eingabe!$G$9:$G$18,I1577)+1)*100,3000)+J1577-100),IF(J1577=K1577+1,2000+INDEX(Eingabe!$G$9:$G$18,I1577)*10+1,IF(J1577=K1577+2,2000+INDEX(Eingabe!$G$9:$G$18,I1577)*10+2,2000+INDEX(Eingabe!$G$9:$G$18,I1577)*10+9))),""))</f>
        <v/>
      </c>
      <c r="C1577" s="0" t="str">
        <f aca="false">IF(I1577="","",IF(AND(J1577&gt;=1,J1577&lt;=K1577+3),"10."&amp;INDEX(Eingabe!$D$9:$D$18,I1577)&amp;"."&amp;IF(J1577&lt;=K1577,J1577,IF(J1577=K1577+1,200,IF(J1577=K1577+2,201,250)))&amp;".0/24",""))</f>
        <v/>
      </c>
      <c r="D1577" s="0" t="str">
        <f aca="false">IF(I1577="","",IF(AND(J1577&gt;=1,J1577&lt;=K1577+3),"255.255.255.0",""))</f>
        <v/>
      </c>
      <c r="E1577" s="0" t="str">
        <f aca="false">IF(I1577="","",IF(AND(J1577&gt;=1,J1577&lt;=K1577+3),"10."&amp;INDEX(Eingabe!$D$9:$D$18,I1577)&amp;"."&amp;IF(J1577&lt;=K1577,J1577,IF(J1577=K1577+1,200,IF(J1577=K1577+2,201,250)))&amp;".1",""))</f>
        <v/>
      </c>
      <c r="F1577" s="0" t="str">
        <f aca="false">IF(I1577="","",IF(AND(J1577&gt;=1,J1577&lt;=K1577+3),"10."&amp;INDEX(Eingabe!$D$9:$D$18,I1577)&amp;"."&amp;IF(J1577&lt;=K1577,J1577,IF(J1577=K1577+1,200,IF(J1577=K1577+2,201,250)))&amp;".10 – 10."&amp;INDEX(Eingabe!$D$9:$D$18,I1577)&amp;"."&amp;IF(J1577&lt;=K1577,J1577,IF(J1577=K1577+1,200,IF(J1577=K1577+2,201,250)))&amp;".250",""))</f>
        <v/>
      </c>
      <c r="G1577" s="0" t="str">
        <f aca="false">IF(I1577="","",IF(AND(J1577&gt;=1,J1577&lt;=K1577),Eingabe!$B$6&amp;"-"&amp;INDEX(Eingabe!$C$9:$C$18,I1577)&amp;"-Pächter  ·  Passwort Parzelle "&amp;J1577,IF(J1577=K1577+1,Eingabe!$B$6&amp;"-"&amp;INDEX(Eingabe!$C$9:$C$18,I1577)&amp;"-Vorstand  ·  eigenes WLAN",IF(J1577=K1577+2,Eingabe!$B$6&amp;"-"&amp;INDEX(Eingabe!$C$9:$C$18,I1577)&amp;"-Gäste  ·  Voucher",IF(J1577=K1577+3,"Kabel  ·  Access Point y = .(50+y), Mast-Switch x = .(10+x)","")))))</f>
        <v/>
      </c>
      <c r="I1577" s="0" t="str">
        <f aca="false">IF(1572&lt;=(Eingabe!$P$18+Eingabe!$Q$18-1),MATCH(1572,Eingabe!$P$9:$P$18,1),"")</f>
        <v/>
      </c>
      <c r="J1577" s="0" t="str">
        <f aca="false">IF(I1577="","",1572-INDEX(Eingabe!$P$9:$P$18,I1577))</f>
        <v/>
      </c>
      <c r="K1577" s="0" t="str">
        <f aca="false">IF(I1577="","",INDEX(Eingabe!$E$9:$E$18,I1577))</f>
        <v/>
      </c>
    </row>
    <row r="1578" customFormat="false" ht="15" hidden="false" customHeight="false" outlineLevel="0" collapsed="false">
      <c r="A1578" s="0" t="str">
        <f aca="false">IF(I1578="","",IF(J1578=0,"Sparte "&amp;I1578&amp;": "&amp;INDEX(Eingabe!$B$9:$B$18,I1578)&amp;"  (Sparten-ID "&amp;INDEX(Eingabe!$D$9:$D$18,I1578)&amp;", "&amp;K1578&amp;" Parzellen)",IF(J1578&lt;=K1578,"   Parzelle "&amp;J1578,IF(J1578=K1578+1,"   Vorstand",IF(J1578=K1578+2,"   Gäste",IF(J1578=K1578+3,"   Technik (Switches, Access Points)",""))))))</f>
        <v/>
      </c>
      <c r="B1578" s="0" t="str">
        <f aca="false">IF(I1578="","",IF(AND(J1578&gt;=1,J1578&lt;=K1578+3),IF(J1578&lt;=K1578,IF(J1578&lt;=99,IF((INDEX(Eingabe!$G$9:$G$18,I1578))&lt;=9,1000+(INDEX(Eingabe!$G$9:$G$18,I1578))*100,3000)+J1578,IF((INDEX(Eingabe!$G$9:$G$18,I1578)+1)&lt;=9,1000+(INDEX(Eingabe!$G$9:$G$18,I1578)+1)*100,3000)+J1578-100),IF(J1578=K1578+1,2000+INDEX(Eingabe!$G$9:$G$18,I1578)*10+1,IF(J1578=K1578+2,2000+INDEX(Eingabe!$G$9:$G$18,I1578)*10+2,2000+INDEX(Eingabe!$G$9:$G$18,I1578)*10+9))),""))</f>
        <v/>
      </c>
      <c r="C1578" s="0" t="str">
        <f aca="false">IF(I1578="","",IF(AND(J1578&gt;=1,J1578&lt;=K1578+3),"10."&amp;INDEX(Eingabe!$D$9:$D$18,I1578)&amp;"."&amp;IF(J1578&lt;=K1578,J1578,IF(J1578=K1578+1,200,IF(J1578=K1578+2,201,250)))&amp;".0/24",""))</f>
        <v/>
      </c>
      <c r="D1578" s="0" t="str">
        <f aca="false">IF(I1578="","",IF(AND(J1578&gt;=1,J1578&lt;=K1578+3),"255.255.255.0",""))</f>
        <v/>
      </c>
      <c r="E1578" s="0" t="str">
        <f aca="false">IF(I1578="","",IF(AND(J1578&gt;=1,J1578&lt;=K1578+3),"10."&amp;INDEX(Eingabe!$D$9:$D$18,I1578)&amp;"."&amp;IF(J1578&lt;=K1578,J1578,IF(J1578=K1578+1,200,IF(J1578=K1578+2,201,250)))&amp;".1",""))</f>
        <v/>
      </c>
      <c r="F1578" s="0" t="str">
        <f aca="false">IF(I1578="","",IF(AND(J1578&gt;=1,J1578&lt;=K1578+3),"10."&amp;INDEX(Eingabe!$D$9:$D$18,I1578)&amp;"."&amp;IF(J1578&lt;=K1578,J1578,IF(J1578=K1578+1,200,IF(J1578=K1578+2,201,250)))&amp;".10 – 10."&amp;INDEX(Eingabe!$D$9:$D$18,I1578)&amp;"."&amp;IF(J1578&lt;=K1578,J1578,IF(J1578=K1578+1,200,IF(J1578=K1578+2,201,250)))&amp;".250",""))</f>
        <v/>
      </c>
      <c r="G1578" s="0" t="str">
        <f aca="false">IF(I1578="","",IF(AND(J1578&gt;=1,J1578&lt;=K1578),Eingabe!$B$6&amp;"-"&amp;INDEX(Eingabe!$C$9:$C$18,I1578)&amp;"-Pächter  ·  Passwort Parzelle "&amp;J1578,IF(J1578=K1578+1,Eingabe!$B$6&amp;"-"&amp;INDEX(Eingabe!$C$9:$C$18,I1578)&amp;"-Vorstand  ·  eigenes WLAN",IF(J1578=K1578+2,Eingabe!$B$6&amp;"-"&amp;INDEX(Eingabe!$C$9:$C$18,I1578)&amp;"-Gäste  ·  Voucher",IF(J1578=K1578+3,"Kabel  ·  Access Point y = .(50+y), Mast-Switch x = .(10+x)","")))))</f>
        <v/>
      </c>
      <c r="I1578" s="0" t="str">
        <f aca="false">IF(1573&lt;=(Eingabe!$P$18+Eingabe!$Q$18-1),MATCH(1573,Eingabe!$P$9:$P$18,1),"")</f>
        <v/>
      </c>
      <c r="J1578" s="0" t="str">
        <f aca="false">IF(I1578="","",1573-INDEX(Eingabe!$P$9:$P$18,I1578))</f>
        <v/>
      </c>
      <c r="K1578" s="0" t="str">
        <f aca="false">IF(I1578="","",INDEX(Eingabe!$E$9:$E$18,I1578))</f>
        <v/>
      </c>
    </row>
    <row r="1579" customFormat="false" ht="15" hidden="false" customHeight="false" outlineLevel="0" collapsed="false">
      <c r="A1579" s="0" t="str">
        <f aca="false">IF(I1579="","",IF(J1579=0,"Sparte "&amp;I1579&amp;": "&amp;INDEX(Eingabe!$B$9:$B$18,I1579)&amp;"  (Sparten-ID "&amp;INDEX(Eingabe!$D$9:$D$18,I1579)&amp;", "&amp;K1579&amp;" Parzellen)",IF(J1579&lt;=K1579,"   Parzelle "&amp;J1579,IF(J1579=K1579+1,"   Vorstand",IF(J1579=K1579+2,"   Gäste",IF(J1579=K1579+3,"   Technik (Switches, Access Points)",""))))))</f>
        <v/>
      </c>
      <c r="B1579" s="0" t="str">
        <f aca="false">IF(I1579="","",IF(AND(J1579&gt;=1,J1579&lt;=K1579+3),IF(J1579&lt;=K1579,IF(J1579&lt;=99,IF((INDEX(Eingabe!$G$9:$G$18,I1579))&lt;=9,1000+(INDEX(Eingabe!$G$9:$G$18,I1579))*100,3000)+J1579,IF((INDEX(Eingabe!$G$9:$G$18,I1579)+1)&lt;=9,1000+(INDEX(Eingabe!$G$9:$G$18,I1579)+1)*100,3000)+J1579-100),IF(J1579=K1579+1,2000+INDEX(Eingabe!$G$9:$G$18,I1579)*10+1,IF(J1579=K1579+2,2000+INDEX(Eingabe!$G$9:$G$18,I1579)*10+2,2000+INDEX(Eingabe!$G$9:$G$18,I1579)*10+9))),""))</f>
        <v/>
      </c>
      <c r="C1579" s="0" t="str">
        <f aca="false">IF(I1579="","",IF(AND(J1579&gt;=1,J1579&lt;=K1579+3),"10."&amp;INDEX(Eingabe!$D$9:$D$18,I1579)&amp;"."&amp;IF(J1579&lt;=K1579,J1579,IF(J1579=K1579+1,200,IF(J1579=K1579+2,201,250)))&amp;".0/24",""))</f>
        <v/>
      </c>
      <c r="D1579" s="0" t="str">
        <f aca="false">IF(I1579="","",IF(AND(J1579&gt;=1,J1579&lt;=K1579+3),"255.255.255.0",""))</f>
        <v/>
      </c>
      <c r="E1579" s="0" t="str">
        <f aca="false">IF(I1579="","",IF(AND(J1579&gt;=1,J1579&lt;=K1579+3),"10."&amp;INDEX(Eingabe!$D$9:$D$18,I1579)&amp;"."&amp;IF(J1579&lt;=K1579,J1579,IF(J1579=K1579+1,200,IF(J1579=K1579+2,201,250)))&amp;".1",""))</f>
        <v/>
      </c>
      <c r="F1579" s="0" t="str">
        <f aca="false">IF(I1579="","",IF(AND(J1579&gt;=1,J1579&lt;=K1579+3),"10."&amp;INDEX(Eingabe!$D$9:$D$18,I1579)&amp;"."&amp;IF(J1579&lt;=K1579,J1579,IF(J1579=K1579+1,200,IF(J1579=K1579+2,201,250)))&amp;".10 – 10."&amp;INDEX(Eingabe!$D$9:$D$18,I1579)&amp;"."&amp;IF(J1579&lt;=K1579,J1579,IF(J1579=K1579+1,200,IF(J1579=K1579+2,201,250)))&amp;".250",""))</f>
        <v/>
      </c>
      <c r="G1579" s="0" t="str">
        <f aca="false">IF(I1579="","",IF(AND(J1579&gt;=1,J1579&lt;=K1579),Eingabe!$B$6&amp;"-"&amp;INDEX(Eingabe!$C$9:$C$18,I1579)&amp;"-Pächter  ·  Passwort Parzelle "&amp;J1579,IF(J1579=K1579+1,Eingabe!$B$6&amp;"-"&amp;INDEX(Eingabe!$C$9:$C$18,I1579)&amp;"-Vorstand  ·  eigenes WLAN",IF(J1579=K1579+2,Eingabe!$B$6&amp;"-"&amp;INDEX(Eingabe!$C$9:$C$18,I1579)&amp;"-Gäste  ·  Voucher",IF(J1579=K1579+3,"Kabel  ·  Access Point y = .(50+y), Mast-Switch x = .(10+x)","")))))</f>
        <v/>
      </c>
      <c r="I1579" s="0" t="str">
        <f aca="false">IF(1574&lt;=(Eingabe!$P$18+Eingabe!$Q$18-1),MATCH(1574,Eingabe!$P$9:$P$18,1),"")</f>
        <v/>
      </c>
      <c r="J1579" s="0" t="str">
        <f aca="false">IF(I1579="","",1574-INDEX(Eingabe!$P$9:$P$18,I1579))</f>
        <v/>
      </c>
      <c r="K1579" s="0" t="str">
        <f aca="false">IF(I1579="","",INDEX(Eingabe!$E$9:$E$18,I1579))</f>
        <v/>
      </c>
    </row>
    <row r="1580" customFormat="false" ht="15" hidden="false" customHeight="false" outlineLevel="0" collapsed="false">
      <c r="A1580" s="0" t="str">
        <f aca="false">IF(I1580="","",IF(J1580=0,"Sparte "&amp;I1580&amp;": "&amp;INDEX(Eingabe!$B$9:$B$18,I1580)&amp;"  (Sparten-ID "&amp;INDEX(Eingabe!$D$9:$D$18,I1580)&amp;", "&amp;K1580&amp;" Parzellen)",IF(J1580&lt;=K1580,"   Parzelle "&amp;J1580,IF(J1580=K1580+1,"   Vorstand",IF(J1580=K1580+2,"   Gäste",IF(J1580=K1580+3,"   Technik (Switches, Access Points)",""))))))</f>
        <v/>
      </c>
      <c r="B1580" s="0" t="str">
        <f aca="false">IF(I1580="","",IF(AND(J1580&gt;=1,J1580&lt;=K1580+3),IF(J1580&lt;=K1580,IF(J1580&lt;=99,IF((INDEX(Eingabe!$G$9:$G$18,I1580))&lt;=9,1000+(INDEX(Eingabe!$G$9:$G$18,I1580))*100,3000)+J1580,IF((INDEX(Eingabe!$G$9:$G$18,I1580)+1)&lt;=9,1000+(INDEX(Eingabe!$G$9:$G$18,I1580)+1)*100,3000)+J1580-100),IF(J1580=K1580+1,2000+INDEX(Eingabe!$G$9:$G$18,I1580)*10+1,IF(J1580=K1580+2,2000+INDEX(Eingabe!$G$9:$G$18,I1580)*10+2,2000+INDEX(Eingabe!$G$9:$G$18,I1580)*10+9))),""))</f>
        <v/>
      </c>
      <c r="C1580" s="0" t="str">
        <f aca="false">IF(I1580="","",IF(AND(J1580&gt;=1,J1580&lt;=K1580+3),"10."&amp;INDEX(Eingabe!$D$9:$D$18,I1580)&amp;"."&amp;IF(J1580&lt;=K1580,J1580,IF(J1580=K1580+1,200,IF(J1580=K1580+2,201,250)))&amp;".0/24",""))</f>
        <v/>
      </c>
      <c r="D1580" s="0" t="str">
        <f aca="false">IF(I1580="","",IF(AND(J1580&gt;=1,J1580&lt;=K1580+3),"255.255.255.0",""))</f>
        <v/>
      </c>
      <c r="E1580" s="0" t="str">
        <f aca="false">IF(I1580="","",IF(AND(J1580&gt;=1,J1580&lt;=K1580+3),"10."&amp;INDEX(Eingabe!$D$9:$D$18,I1580)&amp;"."&amp;IF(J1580&lt;=K1580,J1580,IF(J1580=K1580+1,200,IF(J1580=K1580+2,201,250)))&amp;".1",""))</f>
        <v/>
      </c>
      <c r="F1580" s="0" t="str">
        <f aca="false">IF(I1580="","",IF(AND(J1580&gt;=1,J1580&lt;=K1580+3),"10."&amp;INDEX(Eingabe!$D$9:$D$18,I1580)&amp;"."&amp;IF(J1580&lt;=K1580,J1580,IF(J1580=K1580+1,200,IF(J1580=K1580+2,201,250)))&amp;".10 – 10."&amp;INDEX(Eingabe!$D$9:$D$18,I1580)&amp;"."&amp;IF(J1580&lt;=K1580,J1580,IF(J1580=K1580+1,200,IF(J1580=K1580+2,201,250)))&amp;".250",""))</f>
        <v/>
      </c>
      <c r="G1580" s="0" t="str">
        <f aca="false">IF(I1580="","",IF(AND(J1580&gt;=1,J1580&lt;=K1580),Eingabe!$B$6&amp;"-"&amp;INDEX(Eingabe!$C$9:$C$18,I1580)&amp;"-Pächter  ·  Passwort Parzelle "&amp;J1580,IF(J1580=K1580+1,Eingabe!$B$6&amp;"-"&amp;INDEX(Eingabe!$C$9:$C$18,I1580)&amp;"-Vorstand  ·  eigenes WLAN",IF(J1580=K1580+2,Eingabe!$B$6&amp;"-"&amp;INDEX(Eingabe!$C$9:$C$18,I1580)&amp;"-Gäste  ·  Voucher",IF(J1580=K1580+3,"Kabel  ·  Access Point y = .(50+y), Mast-Switch x = .(10+x)","")))))</f>
        <v/>
      </c>
      <c r="I1580" s="0" t="str">
        <f aca="false">IF(1575&lt;=(Eingabe!$P$18+Eingabe!$Q$18-1),MATCH(1575,Eingabe!$P$9:$P$18,1),"")</f>
        <v/>
      </c>
      <c r="J1580" s="0" t="str">
        <f aca="false">IF(I1580="","",1575-INDEX(Eingabe!$P$9:$P$18,I1580))</f>
        <v/>
      </c>
      <c r="K1580" s="0" t="str">
        <f aca="false">IF(I1580="","",INDEX(Eingabe!$E$9:$E$18,I1580))</f>
        <v/>
      </c>
    </row>
    <row r="1581" customFormat="false" ht="15" hidden="false" customHeight="false" outlineLevel="0" collapsed="false">
      <c r="A1581" s="0" t="str">
        <f aca="false">IF(I1581="","",IF(J1581=0,"Sparte "&amp;I1581&amp;": "&amp;INDEX(Eingabe!$B$9:$B$18,I1581)&amp;"  (Sparten-ID "&amp;INDEX(Eingabe!$D$9:$D$18,I1581)&amp;", "&amp;K1581&amp;" Parzellen)",IF(J1581&lt;=K1581,"   Parzelle "&amp;J1581,IF(J1581=K1581+1,"   Vorstand",IF(J1581=K1581+2,"   Gäste",IF(J1581=K1581+3,"   Technik (Switches, Access Points)",""))))))</f>
        <v/>
      </c>
      <c r="B1581" s="0" t="str">
        <f aca="false">IF(I1581="","",IF(AND(J1581&gt;=1,J1581&lt;=K1581+3),IF(J1581&lt;=K1581,IF(J1581&lt;=99,IF((INDEX(Eingabe!$G$9:$G$18,I1581))&lt;=9,1000+(INDEX(Eingabe!$G$9:$G$18,I1581))*100,3000)+J1581,IF((INDEX(Eingabe!$G$9:$G$18,I1581)+1)&lt;=9,1000+(INDEX(Eingabe!$G$9:$G$18,I1581)+1)*100,3000)+J1581-100),IF(J1581=K1581+1,2000+INDEX(Eingabe!$G$9:$G$18,I1581)*10+1,IF(J1581=K1581+2,2000+INDEX(Eingabe!$G$9:$G$18,I1581)*10+2,2000+INDEX(Eingabe!$G$9:$G$18,I1581)*10+9))),""))</f>
        <v/>
      </c>
      <c r="C1581" s="0" t="str">
        <f aca="false">IF(I1581="","",IF(AND(J1581&gt;=1,J1581&lt;=K1581+3),"10."&amp;INDEX(Eingabe!$D$9:$D$18,I1581)&amp;"."&amp;IF(J1581&lt;=K1581,J1581,IF(J1581=K1581+1,200,IF(J1581=K1581+2,201,250)))&amp;".0/24",""))</f>
        <v/>
      </c>
      <c r="D1581" s="0" t="str">
        <f aca="false">IF(I1581="","",IF(AND(J1581&gt;=1,J1581&lt;=K1581+3),"255.255.255.0",""))</f>
        <v/>
      </c>
      <c r="E1581" s="0" t="str">
        <f aca="false">IF(I1581="","",IF(AND(J1581&gt;=1,J1581&lt;=K1581+3),"10."&amp;INDEX(Eingabe!$D$9:$D$18,I1581)&amp;"."&amp;IF(J1581&lt;=K1581,J1581,IF(J1581=K1581+1,200,IF(J1581=K1581+2,201,250)))&amp;".1",""))</f>
        <v/>
      </c>
      <c r="F1581" s="0" t="str">
        <f aca="false">IF(I1581="","",IF(AND(J1581&gt;=1,J1581&lt;=K1581+3),"10."&amp;INDEX(Eingabe!$D$9:$D$18,I1581)&amp;"."&amp;IF(J1581&lt;=K1581,J1581,IF(J1581=K1581+1,200,IF(J1581=K1581+2,201,250)))&amp;".10 – 10."&amp;INDEX(Eingabe!$D$9:$D$18,I1581)&amp;"."&amp;IF(J1581&lt;=K1581,J1581,IF(J1581=K1581+1,200,IF(J1581=K1581+2,201,250)))&amp;".250",""))</f>
        <v/>
      </c>
      <c r="G1581" s="0" t="str">
        <f aca="false">IF(I1581="","",IF(AND(J1581&gt;=1,J1581&lt;=K1581),Eingabe!$B$6&amp;"-"&amp;INDEX(Eingabe!$C$9:$C$18,I1581)&amp;"-Pächter  ·  Passwort Parzelle "&amp;J1581,IF(J1581=K1581+1,Eingabe!$B$6&amp;"-"&amp;INDEX(Eingabe!$C$9:$C$18,I1581)&amp;"-Vorstand  ·  eigenes WLAN",IF(J1581=K1581+2,Eingabe!$B$6&amp;"-"&amp;INDEX(Eingabe!$C$9:$C$18,I1581)&amp;"-Gäste  ·  Voucher",IF(J1581=K1581+3,"Kabel  ·  Access Point y = .(50+y), Mast-Switch x = .(10+x)","")))))</f>
        <v/>
      </c>
      <c r="I1581" s="0" t="str">
        <f aca="false">IF(1576&lt;=(Eingabe!$P$18+Eingabe!$Q$18-1),MATCH(1576,Eingabe!$P$9:$P$18,1),"")</f>
        <v/>
      </c>
      <c r="J1581" s="0" t="str">
        <f aca="false">IF(I1581="","",1576-INDEX(Eingabe!$P$9:$P$18,I1581))</f>
        <v/>
      </c>
      <c r="K1581" s="0" t="str">
        <f aca="false">IF(I1581="","",INDEX(Eingabe!$E$9:$E$18,I1581))</f>
        <v/>
      </c>
    </row>
    <row r="1582" customFormat="false" ht="15" hidden="false" customHeight="false" outlineLevel="0" collapsed="false">
      <c r="A1582" s="0" t="str">
        <f aca="false">IF(I1582="","",IF(J1582=0,"Sparte "&amp;I1582&amp;": "&amp;INDEX(Eingabe!$B$9:$B$18,I1582)&amp;"  (Sparten-ID "&amp;INDEX(Eingabe!$D$9:$D$18,I1582)&amp;", "&amp;K1582&amp;" Parzellen)",IF(J1582&lt;=K1582,"   Parzelle "&amp;J1582,IF(J1582=K1582+1,"   Vorstand",IF(J1582=K1582+2,"   Gäste",IF(J1582=K1582+3,"   Technik (Switches, Access Points)",""))))))</f>
        <v/>
      </c>
      <c r="B1582" s="0" t="str">
        <f aca="false">IF(I1582="","",IF(AND(J1582&gt;=1,J1582&lt;=K1582+3),IF(J1582&lt;=K1582,IF(J1582&lt;=99,IF((INDEX(Eingabe!$G$9:$G$18,I1582))&lt;=9,1000+(INDEX(Eingabe!$G$9:$G$18,I1582))*100,3000)+J1582,IF((INDEX(Eingabe!$G$9:$G$18,I1582)+1)&lt;=9,1000+(INDEX(Eingabe!$G$9:$G$18,I1582)+1)*100,3000)+J1582-100),IF(J1582=K1582+1,2000+INDEX(Eingabe!$G$9:$G$18,I1582)*10+1,IF(J1582=K1582+2,2000+INDEX(Eingabe!$G$9:$G$18,I1582)*10+2,2000+INDEX(Eingabe!$G$9:$G$18,I1582)*10+9))),""))</f>
        <v/>
      </c>
      <c r="C1582" s="0" t="str">
        <f aca="false">IF(I1582="","",IF(AND(J1582&gt;=1,J1582&lt;=K1582+3),"10."&amp;INDEX(Eingabe!$D$9:$D$18,I1582)&amp;"."&amp;IF(J1582&lt;=K1582,J1582,IF(J1582=K1582+1,200,IF(J1582=K1582+2,201,250)))&amp;".0/24",""))</f>
        <v/>
      </c>
      <c r="D1582" s="0" t="str">
        <f aca="false">IF(I1582="","",IF(AND(J1582&gt;=1,J1582&lt;=K1582+3),"255.255.255.0",""))</f>
        <v/>
      </c>
      <c r="E1582" s="0" t="str">
        <f aca="false">IF(I1582="","",IF(AND(J1582&gt;=1,J1582&lt;=K1582+3),"10."&amp;INDEX(Eingabe!$D$9:$D$18,I1582)&amp;"."&amp;IF(J1582&lt;=K1582,J1582,IF(J1582=K1582+1,200,IF(J1582=K1582+2,201,250)))&amp;".1",""))</f>
        <v/>
      </c>
      <c r="F1582" s="0" t="str">
        <f aca="false">IF(I1582="","",IF(AND(J1582&gt;=1,J1582&lt;=K1582+3),"10."&amp;INDEX(Eingabe!$D$9:$D$18,I1582)&amp;"."&amp;IF(J1582&lt;=K1582,J1582,IF(J1582=K1582+1,200,IF(J1582=K1582+2,201,250)))&amp;".10 – 10."&amp;INDEX(Eingabe!$D$9:$D$18,I1582)&amp;"."&amp;IF(J1582&lt;=K1582,J1582,IF(J1582=K1582+1,200,IF(J1582=K1582+2,201,250)))&amp;".250",""))</f>
        <v/>
      </c>
      <c r="G1582" s="0" t="str">
        <f aca="false">IF(I1582="","",IF(AND(J1582&gt;=1,J1582&lt;=K1582),Eingabe!$B$6&amp;"-"&amp;INDEX(Eingabe!$C$9:$C$18,I1582)&amp;"-Pächter  ·  Passwort Parzelle "&amp;J1582,IF(J1582=K1582+1,Eingabe!$B$6&amp;"-"&amp;INDEX(Eingabe!$C$9:$C$18,I1582)&amp;"-Vorstand  ·  eigenes WLAN",IF(J1582=K1582+2,Eingabe!$B$6&amp;"-"&amp;INDEX(Eingabe!$C$9:$C$18,I1582)&amp;"-Gäste  ·  Voucher",IF(J1582=K1582+3,"Kabel  ·  Access Point y = .(50+y), Mast-Switch x = .(10+x)","")))))</f>
        <v/>
      </c>
      <c r="I1582" s="0" t="str">
        <f aca="false">IF(1577&lt;=(Eingabe!$P$18+Eingabe!$Q$18-1),MATCH(1577,Eingabe!$P$9:$P$18,1),"")</f>
        <v/>
      </c>
      <c r="J1582" s="0" t="str">
        <f aca="false">IF(I1582="","",1577-INDEX(Eingabe!$P$9:$P$18,I1582))</f>
        <v/>
      </c>
      <c r="K1582" s="0" t="str">
        <f aca="false">IF(I1582="","",INDEX(Eingabe!$E$9:$E$18,I1582))</f>
        <v/>
      </c>
    </row>
    <row r="1583" customFormat="false" ht="15" hidden="false" customHeight="false" outlineLevel="0" collapsed="false">
      <c r="A1583" s="0" t="str">
        <f aca="false">IF(I1583="","",IF(J1583=0,"Sparte "&amp;I1583&amp;": "&amp;INDEX(Eingabe!$B$9:$B$18,I1583)&amp;"  (Sparten-ID "&amp;INDEX(Eingabe!$D$9:$D$18,I1583)&amp;", "&amp;K1583&amp;" Parzellen)",IF(J1583&lt;=K1583,"   Parzelle "&amp;J1583,IF(J1583=K1583+1,"   Vorstand",IF(J1583=K1583+2,"   Gäste",IF(J1583=K1583+3,"   Technik (Switches, Access Points)",""))))))</f>
        <v/>
      </c>
      <c r="B1583" s="0" t="str">
        <f aca="false">IF(I1583="","",IF(AND(J1583&gt;=1,J1583&lt;=K1583+3),IF(J1583&lt;=K1583,IF(J1583&lt;=99,IF((INDEX(Eingabe!$G$9:$G$18,I1583))&lt;=9,1000+(INDEX(Eingabe!$G$9:$G$18,I1583))*100,3000)+J1583,IF((INDEX(Eingabe!$G$9:$G$18,I1583)+1)&lt;=9,1000+(INDEX(Eingabe!$G$9:$G$18,I1583)+1)*100,3000)+J1583-100),IF(J1583=K1583+1,2000+INDEX(Eingabe!$G$9:$G$18,I1583)*10+1,IF(J1583=K1583+2,2000+INDEX(Eingabe!$G$9:$G$18,I1583)*10+2,2000+INDEX(Eingabe!$G$9:$G$18,I1583)*10+9))),""))</f>
        <v/>
      </c>
      <c r="C1583" s="0" t="str">
        <f aca="false">IF(I1583="","",IF(AND(J1583&gt;=1,J1583&lt;=K1583+3),"10."&amp;INDEX(Eingabe!$D$9:$D$18,I1583)&amp;"."&amp;IF(J1583&lt;=K1583,J1583,IF(J1583=K1583+1,200,IF(J1583=K1583+2,201,250)))&amp;".0/24",""))</f>
        <v/>
      </c>
      <c r="D1583" s="0" t="str">
        <f aca="false">IF(I1583="","",IF(AND(J1583&gt;=1,J1583&lt;=K1583+3),"255.255.255.0",""))</f>
        <v/>
      </c>
      <c r="E1583" s="0" t="str">
        <f aca="false">IF(I1583="","",IF(AND(J1583&gt;=1,J1583&lt;=K1583+3),"10."&amp;INDEX(Eingabe!$D$9:$D$18,I1583)&amp;"."&amp;IF(J1583&lt;=K1583,J1583,IF(J1583=K1583+1,200,IF(J1583=K1583+2,201,250)))&amp;".1",""))</f>
        <v/>
      </c>
      <c r="F1583" s="0" t="str">
        <f aca="false">IF(I1583="","",IF(AND(J1583&gt;=1,J1583&lt;=K1583+3),"10."&amp;INDEX(Eingabe!$D$9:$D$18,I1583)&amp;"."&amp;IF(J1583&lt;=K1583,J1583,IF(J1583=K1583+1,200,IF(J1583=K1583+2,201,250)))&amp;".10 – 10."&amp;INDEX(Eingabe!$D$9:$D$18,I1583)&amp;"."&amp;IF(J1583&lt;=K1583,J1583,IF(J1583=K1583+1,200,IF(J1583=K1583+2,201,250)))&amp;".250",""))</f>
        <v/>
      </c>
      <c r="G1583" s="0" t="str">
        <f aca="false">IF(I1583="","",IF(AND(J1583&gt;=1,J1583&lt;=K1583),Eingabe!$B$6&amp;"-"&amp;INDEX(Eingabe!$C$9:$C$18,I1583)&amp;"-Pächter  ·  Passwort Parzelle "&amp;J1583,IF(J1583=K1583+1,Eingabe!$B$6&amp;"-"&amp;INDEX(Eingabe!$C$9:$C$18,I1583)&amp;"-Vorstand  ·  eigenes WLAN",IF(J1583=K1583+2,Eingabe!$B$6&amp;"-"&amp;INDEX(Eingabe!$C$9:$C$18,I1583)&amp;"-Gäste  ·  Voucher",IF(J1583=K1583+3,"Kabel  ·  Access Point y = .(50+y), Mast-Switch x = .(10+x)","")))))</f>
        <v/>
      </c>
      <c r="I1583" s="0" t="str">
        <f aca="false">IF(1578&lt;=(Eingabe!$P$18+Eingabe!$Q$18-1),MATCH(1578,Eingabe!$P$9:$P$18,1),"")</f>
        <v/>
      </c>
      <c r="J1583" s="0" t="str">
        <f aca="false">IF(I1583="","",1578-INDEX(Eingabe!$P$9:$P$18,I1583))</f>
        <v/>
      </c>
      <c r="K1583" s="0" t="str">
        <f aca="false">IF(I1583="","",INDEX(Eingabe!$E$9:$E$18,I1583))</f>
        <v/>
      </c>
    </row>
    <row r="1584" customFormat="false" ht="15" hidden="false" customHeight="false" outlineLevel="0" collapsed="false">
      <c r="A1584" s="0" t="str">
        <f aca="false">IF(I1584="","",IF(J1584=0,"Sparte "&amp;I1584&amp;": "&amp;INDEX(Eingabe!$B$9:$B$18,I1584)&amp;"  (Sparten-ID "&amp;INDEX(Eingabe!$D$9:$D$18,I1584)&amp;", "&amp;K1584&amp;" Parzellen)",IF(J1584&lt;=K1584,"   Parzelle "&amp;J1584,IF(J1584=K1584+1,"   Vorstand",IF(J1584=K1584+2,"   Gäste",IF(J1584=K1584+3,"   Technik (Switches, Access Points)",""))))))</f>
        <v/>
      </c>
      <c r="B1584" s="0" t="str">
        <f aca="false">IF(I1584="","",IF(AND(J1584&gt;=1,J1584&lt;=K1584+3),IF(J1584&lt;=K1584,IF(J1584&lt;=99,IF((INDEX(Eingabe!$G$9:$G$18,I1584))&lt;=9,1000+(INDEX(Eingabe!$G$9:$G$18,I1584))*100,3000)+J1584,IF((INDEX(Eingabe!$G$9:$G$18,I1584)+1)&lt;=9,1000+(INDEX(Eingabe!$G$9:$G$18,I1584)+1)*100,3000)+J1584-100),IF(J1584=K1584+1,2000+INDEX(Eingabe!$G$9:$G$18,I1584)*10+1,IF(J1584=K1584+2,2000+INDEX(Eingabe!$G$9:$G$18,I1584)*10+2,2000+INDEX(Eingabe!$G$9:$G$18,I1584)*10+9))),""))</f>
        <v/>
      </c>
      <c r="C1584" s="0" t="str">
        <f aca="false">IF(I1584="","",IF(AND(J1584&gt;=1,J1584&lt;=K1584+3),"10."&amp;INDEX(Eingabe!$D$9:$D$18,I1584)&amp;"."&amp;IF(J1584&lt;=K1584,J1584,IF(J1584=K1584+1,200,IF(J1584=K1584+2,201,250)))&amp;".0/24",""))</f>
        <v/>
      </c>
      <c r="D1584" s="0" t="str">
        <f aca="false">IF(I1584="","",IF(AND(J1584&gt;=1,J1584&lt;=K1584+3),"255.255.255.0",""))</f>
        <v/>
      </c>
      <c r="E1584" s="0" t="str">
        <f aca="false">IF(I1584="","",IF(AND(J1584&gt;=1,J1584&lt;=K1584+3),"10."&amp;INDEX(Eingabe!$D$9:$D$18,I1584)&amp;"."&amp;IF(J1584&lt;=K1584,J1584,IF(J1584=K1584+1,200,IF(J1584=K1584+2,201,250)))&amp;".1",""))</f>
        <v/>
      </c>
      <c r="F1584" s="0" t="str">
        <f aca="false">IF(I1584="","",IF(AND(J1584&gt;=1,J1584&lt;=K1584+3),"10."&amp;INDEX(Eingabe!$D$9:$D$18,I1584)&amp;"."&amp;IF(J1584&lt;=K1584,J1584,IF(J1584=K1584+1,200,IF(J1584=K1584+2,201,250)))&amp;".10 – 10."&amp;INDEX(Eingabe!$D$9:$D$18,I1584)&amp;"."&amp;IF(J1584&lt;=K1584,J1584,IF(J1584=K1584+1,200,IF(J1584=K1584+2,201,250)))&amp;".250",""))</f>
        <v/>
      </c>
      <c r="G1584" s="0" t="str">
        <f aca="false">IF(I1584="","",IF(AND(J1584&gt;=1,J1584&lt;=K1584),Eingabe!$B$6&amp;"-"&amp;INDEX(Eingabe!$C$9:$C$18,I1584)&amp;"-Pächter  ·  Passwort Parzelle "&amp;J1584,IF(J1584=K1584+1,Eingabe!$B$6&amp;"-"&amp;INDEX(Eingabe!$C$9:$C$18,I1584)&amp;"-Vorstand  ·  eigenes WLAN",IF(J1584=K1584+2,Eingabe!$B$6&amp;"-"&amp;INDEX(Eingabe!$C$9:$C$18,I1584)&amp;"-Gäste  ·  Voucher",IF(J1584=K1584+3,"Kabel  ·  Access Point y = .(50+y), Mast-Switch x = .(10+x)","")))))</f>
        <v/>
      </c>
      <c r="I1584" s="0" t="str">
        <f aca="false">IF(1579&lt;=(Eingabe!$P$18+Eingabe!$Q$18-1),MATCH(1579,Eingabe!$P$9:$P$18,1),"")</f>
        <v/>
      </c>
      <c r="J1584" s="0" t="str">
        <f aca="false">IF(I1584="","",1579-INDEX(Eingabe!$P$9:$P$18,I1584))</f>
        <v/>
      </c>
      <c r="K1584" s="0" t="str">
        <f aca="false">IF(I1584="","",INDEX(Eingabe!$E$9:$E$18,I1584))</f>
        <v/>
      </c>
    </row>
    <row r="1585" customFormat="false" ht="15" hidden="false" customHeight="false" outlineLevel="0" collapsed="false">
      <c r="A1585" s="0" t="str">
        <f aca="false">IF(I1585="","",IF(J1585=0,"Sparte "&amp;I1585&amp;": "&amp;INDEX(Eingabe!$B$9:$B$18,I1585)&amp;"  (Sparten-ID "&amp;INDEX(Eingabe!$D$9:$D$18,I1585)&amp;", "&amp;K1585&amp;" Parzellen)",IF(J1585&lt;=K1585,"   Parzelle "&amp;J1585,IF(J1585=K1585+1,"   Vorstand",IF(J1585=K1585+2,"   Gäste",IF(J1585=K1585+3,"   Technik (Switches, Access Points)",""))))))</f>
        <v/>
      </c>
      <c r="B1585" s="0" t="str">
        <f aca="false">IF(I1585="","",IF(AND(J1585&gt;=1,J1585&lt;=K1585+3),IF(J1585&lt;=K1585,IF(J1585&lt;=99,IF((INDEX(Eingabe!$G$9:$G$18,I1585))&lt;=9,1000+(INDEX(Eingabe!$G$9:$G$18,I1585))*100,3000)+J1585,IF((INDEX(Eingabe!$G$9:$G$18,I1585)+1)&lt;=9,1000+(INDEX(Eingabe!$G$9:$G$18,I1585)+1)*100,3000)+J1585-100),IF(J1585=K1585+1,2000+INDEX(Eingabe!$G$9:$G$18,I1585)*10+1,IF(J1585=K1585+2,2000+INDEX(Eingabe!$G$9:$G$18,I1585)*10+2,2000+INDEX(Eingabe!$G$9:$G$18,I1585)*10+9))),""))</f>
        <v/>
      </c>
      <c r="C1585" s="0" t="str">
        <f aca="false">IF(I1585="","",IF(AND(J1585&gt;=1,J1585&lt;=K1585+3),"10."&amp;INDEX(Eingabe!$D$9:$D$18,I1585)&amp;"."&amp;IF(J1585&lt;=K1585,J1585,IF(J1585=K1585+1,200,IF(J1585=K1585+2,201,250)))&amp;".0/24",""))</f>
        <v/>
      </c>
      <c r="D1585" s="0" t="str">
        <f aca="false">IF(I1585="","",IF(AND(J1585&gt;=1,J1585&lt;=K1585+3),"255.255.255.0",""))</f>
        <v/>
      </c>
      <c r="E1585" s="0" t="str">
        <f aca="false">IF(I1585="","",IF(AND(J1585&gt;=1,J1585&lt;=K1585+3),"10."&amp;INDEX(Eingabe!$D$9:$D$18,I1585)&amp;"."&amp;IF(J1585&lt;=K1585,J1585,IF(J1585=K1585+1,200,IF(J1585=K1585+2,201,250)))&amp;".1",""))</f>
        <v/>
      </c>
      <c r="F1585" s="0" t="str">
        <f aca="false">IF(I1585="","",IF(AND(J1585&gt;=1,J1585&lt;=K1585+3),"10."&amp;INDEX(Eingabe!$D$9:$D$18,I1585)&amp;"."&amp;IF(J1585&lt;=K1585,J1585,IF(J1585=K1585+1,200,IF(J1585=K1585+2,201,250)))&amp;".10 – 10."&amp;INDEX(Eingabe!$D$9:$D$18,I1585)&amp;"."&amp;IF(J1585&lt;=K1585,J1585,IF(J1585=K1585+1,200,IF(J1585=K1585+2,201,250)))&amp;".250",""))</f>
        <v/>
      </c>
      <c r="G1585" s="0" t="str">
        <f aca="false">IF(I1585="","",IF(AND(J1585&gt;=1,J1585&lt;=K1585),Eingabe!$B$6&amp;"-"&amp;INDEX(Eingabe!$C$9:$C$18,I1585)&amp;"-Pächter  ·  Passwort Parzelle "&amp;J1585,IF(J1585=K1585+1,Eingabe!$B$6&amp;"-"&amp;INDEX(Eingabe!$C$9:$C$18,I1585)&amp;"-Vorstand  ·  eigenes WLAN",IF(J1585=K1585+2,Eingabe!$B$6&amp;"-"&amp;INDEX(Eingabe!$C$9:$C$18,I1585)&amp;"-Gäste  ·  Voucher",IF(J1585=K1585+3,"Kabel  ·  Access Point y = .(50+y), Mast-Switch x = .(10+x)","")))))</f>
        <v/>
      </c>
      <c r="I1585" s="0" t="str">
        <f aca="false">IF(1580&lt;=(Eingabe!$P$18+Eingabe!$Q$18-1),MATCH(1580,Eingabe!$P$9:$P$18,1),"")</f>
        <v/>
      </c>
      <c r="J1585" s="0" t="str">
        <f aca="false">IF(I1585="","",1580-INDEX(Eingabe!$P$9:$P$18,I1585))</f>
        <v/>
      </c>
      <c r="K1585" s="0" t="str">
        <f aca="false">IF(I1585="","",INDEX(Eingabe!$E$9:$E$18,I1585))</f>
        <v/>
      </c>
    </row>
    <row r="1586" customFormat="false" ht="15" hidden="false" customHeight="false" outlineLevel="0" collapsed="false">
      <c r="A1586" s="0" t="str">
        <f aca="false">IF(I1586="","",IF(J1586=0,"Sparte "&amp;I1586&amp;": "&amp;INDEX(Eingabe!$B$9:$B$18,I1586)&amp;"  (Sparten-ID "&amp;INDEX(Eingabe!$D$9:$D$18,I1586)&amp;", "&amp;K1586&amp;" Parzellen)",IF(J1586&lt;=K1586,"   Parzelle "&amp;J1586,IF(J1586=K1586+1,"   Vorstand",IF(J1586=K1586+2,"   Gäste",IF(J1586=K1586+3,"   Technik (Switches, Access Points)",""))))))</f>
        <v/>
      </c>
      <c r="B1586" s="0" t="str">
        <f aca="false">IF(I1586="","",IF(AND(J1586&gt;=1,J1586&lt;=K1586+3),IF(J1586&lt;=K1586,IF(J1586&lt;=99,IF((INDEX(Eingabe!$G$9:$G$18,I1586))&lt;=9,1000+(INDEX(Eingabe!$G$9:$G$18,I1586))*100,3000)+J1586,IF((INDEX(Eingabe!$G$9:$G$18,I1586)+1)&lt;=9,1000+(INDEX(Eingabe!$G$9:$G$18,I1586)+1)*100,3000)+J1586-100),IF(J1586=K1586+1,2000+INDEX(Eingabe!$G$9:$G$18,I1586)*10+1,IF(J1586=K1586+2,2000+INDEX(Eingabe!$G$9:$G$18,I1586)*10+2,2000+INDEX(Eingabe!$G$9:$G$18,I1586)*10+9))),""))</f>
        <v/>
      </c>
      <c r="C1586" s="0" t="str">
        <f aca="false">IF(I1586="","",IF(AND(J1586&gt;=1,J1586&lt;=K1586+3),"10."&amp;INDEX(Eingabe!$D$9:$D$18,I1586)&amp;"."&amp;IF(J1586&lt;=K1586,J1586,IF(J1586=K1586+1,200,IF(J1586=K1586+2,201,250)))&amp;".0/24",""))</f>
        <v/>
      </c>
      <c r="D1586" s="0" t="str">
        <f aca="false">IF(I1586="","",IF(AND(J1586&gt;=1,J1586&lt;=K1586+3),"255.255.255.0",""))</f>
        <v/>
      </c>
      <c r="E1586" s="0" t="str">
        <f aca="false">IF(I1586="","",IF(AND(J1586&gt;=1,J1586&lt;=K1586+3),"10."&amp;INDEX(Eingabe!$D$9:$D$18,I1586)&amp;"."&amp;IF(J1586&lt;=K1586,J1586,IF(J1586=K1586+1,200,IF(J1586=K1586+2,201,250)))&amp;".1",""))</f>
        <v/>
      </c>
      <c r="F1586" s="0" t="str">
        <f aca="false">IF(I1586="","",IF(AND(J1586&gt;=1,J1586&lt;=K1586+3),"10."&amp;INDEX(Eingabe!$D$9:$D$18,I1586)&amp;"."&amp;IF(J1586&lt;=K1586,J1586,IF(J1586=K1586+1,200,IF(J1586=K1586+2,201,250)))&amp;".10 – 10."&amp;INDEX(Eingabe!$D$9:$D$18,I1586)&amp;"."&amp;IF(J1586&lt;=K1586,J1586,IF(J1586=K1586+1,200,IF(J1586=K1586+2,201,250)))&amp;".250",""))</f>
        <v/>
      </c>
      <c r="G1586" s="0" t="str">
        <f aca="false">IF(I1586="","",IF(AND(J1586&gt;=1,J1586&lt;=K1586),Eingabe!$B$6&amp;"-"&amp;INDEX(Eingabe!$C$9:$C$18,I1586)&amp;"-Pächter  ·  Passwort Parzelle "&amp;J1586,IF(J1586=K1586+1,Eingabe!$B$6&amp;"-"&amp;INDEX(Eingabe!$C$9:$C$18,I1586)&amp;"-Vorstand  ·  eigenes WLAN",IF(J1586=K1586+2,Eingabe!$B$6&amp;"-"&amp;INDEX(Eingabe!$C$9:$C$18,I1586)&amp;"-Gäste  ·  Voucher",IF(J1586=K1586+3,"Kabel  ·  Access Point y = .(50+y), Mast-Switch x = .(10+x)","")))))</f>
        <v/>
      </c>
      <c r="I1586" s="0" t="str">
        <f aca="false">IF(1581&lt;=(Eingabe!$P$18+Eingabe!$Q$18-1),MATCH(1581,Eingabe!$P$9:$P$18,1),"")</f>
        <v/>
      </c>
      <c r="J1586" s="0" t="str">
        <f aca="false">IF(I1586="","",1581-INDEX(Eingabe!$P$9:$P$18,I1586))</f>
        <v/>
      </c>
      <c r="K1586" s="0" t="str">
        <f aca="false">IF(I1586="","",INDEX(Eingabe!$E$9:$E$18,I1586))</f>
        <v/>
      </c>
    </row>
    <row r="1587" customFormat="false" ht="15" hidden="false" customHeight="false" outlineLevel="0" collapsed="false">
      <c r="A1587" s="0" t="str">
        <f aca="false">IF(I1587="","",IF(J1587=0,"Sparte "&amp;I1587&amp;": "&amp;INDEX(Eingabe!$B$9:$B$18,I1587)&amp;"  (Sparten-ID "&amp;INDEX(Eingabe!$D$9:$D$18,I1587)&amp;", "&amp;K1587&amp;" Parzellen)",IF(J1587&lt;=K1587,"   Parzelle "&amp;J1587,IF(J1587=K1587+1,"   Vorstand",IF(J1587=K1587+2,"   Gäste",IF(J1587=K1587+3,"   Technik (Switches, Access Points)",""))))))</f>
        <v/>
      </c>
      <c r="B1587" s="0" t="str">
        <f aca="false">IF(I1587="","",IF(AND(J1587&gt;=1,J1587&lt;=K1587+3),IF(J1587&lt;=K1587,IF(J1587&lt;=99,IF((INDEX(Eingabe!$G$9:$G$18,I1587))&lt;=9,1000+(INDEX(Eingabe!$G$9:$G$18,I1587))*100,3000)+J1587,IF((INDEX(Eingabe!$G$9:$G$18,I1587)+1)&lt;=9,1000+(INDEX(Eingabe!$G$9:$G$18,I1587)+1)*100,3000)+J1587-100),IF(J1587=K1587+1,2000+INDEX(Eingabe!$G$9:$G$18,I1587)*10+1,IF(J1587=K1587+2,2000+INDEX(Eingabe!$G$9:$G$18,I1587)*10+2,2000+INDEX(Eingabe!$G$9:$G$18,I1587)*10+9))),""))</f>
        <v/>
      </c>
      <c r="C1587" s="0" t="str">
        <f aca="false">IF(I1587="","",IF(AND(J1587&gt;=1,J1587&lt;=K1587+3),"10."&amp;INDEX(Eingabe!$D$9:$D$18,I1587)&amp;"."&amp;IF(J1587&lt;=K1587,J1587,IF(J1587=K1587+1,200,IF(J1587=K1587+2,201,250)))&amp;".0/24",""))</f>
        <v/>
      </c>
      <c r="D1587" s="0" t="str">
        <f aca="false">IF(I1587="","",IF(AND(J1587&gt;=1,J1587&lt;=K1587+3),"255.255.255.0",""))</f>
        <v/>
      </c>
      <c r="E1587" s="0" t="str">
        <f aca="false">IF(I1587="","",IF(AND(J1587&gt;=1,J1587&lt;=K1587+3),"10."&amp;INDEX(Eingabe!$D$9:$D$18,I1587)&amp;"."&amp;IF(J1587&lt;=K1587,J1587,IF(J1587=K1587+1,200,IF(J1587=K1587+2,201,250)))&amp;".1",""))</f>
        <v/>
      </c>
      <c r="F1587" s="0" t="str">
        <f aca="false">IF(I1587="","",IF(AND(J1587&gt;=1,J1587&lt;=K1587+3),"10."&amp;INDEX(Eingabe!$D$9:$D$18,I1587)&amp;"."&amp;IF(J1587&lt;=K1587,J1587,IF(J1587=K1587+1,200,IF(J1587=K1587+2,201,250)))&amp;".10 – 10."&amp;INDEX(Eingabe!$D$9:$D$18,I1587)&amp;"."&amp;IF(J1587&lt;=K1587,J1587,IF(J1587=K1587+1,200,IF(J1587=K1587+2,201,250)))&amp;".250",""))</f>
        <v/>
      </c>
      <c r="G1587" s="0" t="str">
        <f aca="false">IF(I1587="","",IF(AND(J1587&gt;=1,J1587&lt;=K1587),Eingabe!$B$6&amp;"-"&amp;INDEX(Eingabe!$C$9:$C$18,I1587)&amp;"-Pächter  ·  Passwort Parzelle "&amp;J1587,IF(J1587=K1587+1,Eingabe!$B$6&amp;"-"&amp;INDEX(Eingabe!$C$9:$C$18,I1587)&amp;"-Vorstand  ·  eigenes WLAN",IF(J1587=K1587+2,Eingabe!$B$6&amp;"-"&amp;INDEX(Eingabe!$C$9:$C$18,I1587)&amp;"-Gäste  ·  Voucher",IF(J1587=K1587+3,"Kabel  ·  Access Point y = .(50+y), Mast-Switch x = .(10+x)","")))))</f>
        <v/>
      </c>
      <c r="I1587" s="0" t="str">
        <f aca="false">IF(1582&lt;=(Eingabe!$P$18+Eingabe!$Q$18-1),MATCH(1582,Eingabe!$P$9:$P$18,1),"")</f>
        <v/>
      </c>
      <c r="J1587" s="0" t="str">
        <f aca="false">IF(I1587="","",1582-INDEX(Eingabe!$P$9:$P$18,I1587))</f>
        <v/>
      </c>
      <c r="K1587" s="0" t="str">
        <f aca="false">IF(I1587="","",INDEX(Eingabe!$E$9:$E$18,I1587))</f>
        <v/>
      </c>
    </row>
    <row r="1588" customFormat="false" ht="15" hidden="false" customHeight="false" outlineLevel="0" collapsed="false">
      <c r="A1588" s="0" t="str">
        <f aca="false">IF(I1588="","",IF(J1588=0,"Sparte "&amp;I1588&amp;": "&amp;INDEX(Eingabe!$B$9:$B$18,I1588)&amp;"  (Sparten-ID "&amp;INDEX(Eingabe!$D$9:$D$18,I1588)&amp;", "&amp;K1588&amp;" Parzellen)",IF(J1588&lt;=K1588,"   Parzelle "&amp;J1588,IF(J1588=K1588+1,"   Vorstand",IF(J1588=K1588+2,"   Gäste",IF(J1588=K1588+3,"   Technik (Switches, Access Points)",""))))))</f>
        <v/>
      </c>
      <c r="B1588" s="0" t="str">
        <f aca="false">IF(I1588="","",IF(AND(J1588&gt;=1,J1588&lt;=K1588+3),IF(J1588&lt;=K1588,IF(J1588&lt;=99,IF((INDEX(Eingabe!$G$9:$G$18,I1588))&lt;=9,1000+(INDEX(Eingabe!$G$9:$G$18,I1588))*100,3000)+J1588,IF((INDEX(Eingabe!$G$9:$G$18,I1588)+1)&lt;=9,1000+(INDEX(Eingabe!$G$9:$G$18,I1588)+1)*100,3000)+J1588-100),IF(J1588=K1588+1,2000+INDEX(Eingabe!$G$9:$G$18,I1588)*10+1,IF(J1588=K1588+2,2000+INDEX(Eingabe!$G$9:$G$18,I1588)*10+2,2000+INDEX(Eingabe!$G$9:$G$18,I1588)*10+9))),""))</f>
        <v/>
      </c>
      <c r="C1588" s="0" t="str">
        <f aca="false">IF(I1588="","",IF(AND(J1588&gt;=1,J1588&lt;=K1588+3),"10."&amp;INDEX(Eingabe!$D$9:$D$18,I1588)&amp;"."&amp;IF(J1588&lt;=K1588,J1588,IF(J1588=K1588+1,200,IF(J1588=K1588+2,201,250)))&amp;".0/24",""))</f>
        <v/>
      </c>
      <c r="D1588" s="0" t="str">
        <f aca="false">IF(I1588="","",IF(AND(J1588&gt;=1,J1588&lt;=K1588+3),"255.255.255.0",""))</f>
        <v/>
      </c>
      <c r="E1588" s="0" t="str">
        <f aca="false">IF(I1588="","",IF(AND(J1588&gt;=1,J1588&lt;=K1588+3),"10."&amp;INDEX(Eingabe!$D$9:$D$18,I1588)&amp;"."&amp;IF(J1588&lt;=K1588,J1588,IF(J1588=K1588+1,200,IF(J1588=K1588+2,201,250)))&amp;".1",""))</f>
        <v/>
      </c>
      <c r="F1588" s="0" t="str">
        <f aca="false">IF(I1588="","",IF(AND(J1588&gt;=1,J1588&lt;=K1588+3),"10."&amp;INDEX(Eingabe!$D$9:$D$18,I1588)&amp;"."&amp;IF(J1588&lt;=K1588,J1588,IF(J1588=K1588+1,200,IF(J1588=K1588+2,201,250)))&amp;".10 – 10."&amp;INDEX(Eingabe!$D$9:$D$18,I1588)&amp;"."&amp;IF(J1588&lt;=K1588,J1588,IF(J1588=K1588+1,200,IF(J1588=K1588+2,201,250)))&amp;".250",""))</f>
        <v/>
      </c>
      <c r="G1588" s="0" t="str">
        <f aca="false">IF(I1588="","",IF(AND(J1588&gt;=1,J1588&lt;=K1588),Eingabe!$B$6&amp;"-"&amp;INDEX(Eingabe!$C$9:$C$18,I1588)&amp;"-Pächter  ·  Passwort Parzelle "&amp;J1588,IF(J1588=K1588+1,Eingabe!$B$6&amp;"-"&amp;INDEX(Eingabe!$C$9:$C$18,I1588)&amp;"-Vorstand  ·  eigenes WLAN",IF(J1588=K1588+2,Eingabe!$B$6&amp;"-"&amp;INDEX(Eingabe!$C$9:$C$18,I1588)&amp;"-Gäste  ·  Voucher",IF(J1588=K1588+3,"Kabel  ·  Access Point y = .(50+y), Mast-Switch x = .(10+x)","")))))</f>
        <v/>
      </c>
      <c r="I1588" s="0" t="str">
        <f aca="false">IF(1583&lt;=(Eingabe!$P$18+Eingabe!$Q$18-1),MATCH(1583,Eingabe!$P$9:$P$18,1),"")</f>
        <v/>
      </c>
      <c r="J1588" s="0" t="str">
        <f aca="false">IF(I1588="","",1583-INDEX(Eingabe!$P$9:$P$18,I1588))</f>
        <v/>
      </c>
      <c r="K1588" s="0" t="str">
        <f aca="false">IF(I1588="","",INDEX(Eingabe!$E$9:$E$18,I1588))</f>
        <v/>
      </c>
    </row>
    <row r="1589" customFormat="false" ht="15" hidden="false" customHeight="false" outlineLevel="0" collapsed="false">
      <c r="A1589" s="0" t="str">
        <f aca="false">IF(I1589="","",IF(J1589=0,"Sparte "&amp;I1589&amp;": "&amp;INDEX(Eingabe!$B$9:$B$18,I1589)&amp;"  (Sparten-ID "&amp;INDEX(Eingabe!$D$9:$D$18,I1589)&amp;", "&amp;K1589&amp;" Parzellen)",IF(J1589&lt;=K1589,"   Parzelle "&amp;J1589,IF(J1589=K1589+1,"   Vorstand",IF(J1589=K1589+2,"   Gäste",IF(J1589=K1589+3,"   Technik (Switches, Access Points)",""))))))</f>
        <v/>
      </c>
      <c r="B1589" s="0" t="str">
        <f aca="false">IF(I1589="","",IF(AND(J1589&gt;=1,J1589&lt;=K1589+3),IF(J1589&lt;=K1589,IF(J1589&lt;=99,IF((INDEX(Eingabe!$G$9:$G$18,I1589))&lt;=9,1000+(INDEX(Eingabe!$G$9:$G$18,I1589))*100,3000)+J1589,IF((INDEX(Eingabe!$G$9:$G$18,I1589)+1)&lt;=9,1000+(INDEX(Eingabe!$G$9:$G$18,I1589)+1)*100,3000)+J1589-100),IF(J1589=K1589+1,2000+INDEX(Eingabe!$G$9:$G$18,I1589)*10+1,IF(J1589=K1589+2,2000+INDEX(Eingabe!$G$9:$G$18,I1589)*10+2,2000+INDEX(Eingabe!$G$9:$G$18,I1589)*10+9))),""))</f>
        <v/>
      </c>
      <c r="C1589" s="0" t="str">
        <f aca="false">IF(I1589="","",IF(AND(J1589&gt;=1,J1589&lt;=K1589+3),"10."&amp;INDEX(Eingabe!$D$9:$D$18,I1589)&amp;"."&amp;IF(J1589&lt;=K1589,J1589,IF(J1589=K1589+1,200,IF(J1589=K1589+2,201,250)))&amp;".0/24",""))</f>
        <v/>
      </c>
      <c r="D1589" s="0" t="str">
        <f aca="false">IF(I1589="","",IF(AND(J1589&gt;=1,J1589&lt;=K1589+3),"255.255.255.0",""))</f>
        <v/>
      </c>
      <c r="E1589" s="0" t="str">
        <f aca="false">IF(I1589="","",IF(AND(J1589&gt;=1,J1589&lt;=K1589+3),"10."&amp;INDEX(Eingabe!$D$9:$D$18,I1589)&amp;"."&amp;IF(J1589&lt;=K1589,J1589,IF(J1589=K1589+1,200,IF(J1589=K1589+2,201,250)))&amp;".1",""))</f>
        <v/>
      </c>
      <c r="F1589" s="0" t="str">
        <f aca="false">IF(I1589="","",IF(AND(J1589&gt;=1,J1589&lt;=K1589+3),"10."&amp;INDEX(Eingabe!$D$9:$D$18,I1589)&amp;"."&amp;IF(J1589&lt;=K1589,J1589,IF(J1589=K1589+1,200,IF(J1589=K1589+2,201,250)))&amp;".10 – 10."&amp;INDEX(Eingabe!$D$9:$D$18,I1589)&amp;"."&amp;IF(J1589&lt;=K1589,J1589,IF(J1589=K1589+1,200,IF(J1589=K1589+2,201,250)))&amp;".250",""))</f>
        <v/>
      </c>
      <c r="G1589" s="0" t="str">
        <f aca="false">IF(I1589="","",IF(AND(J1589&gt;=1,J1589&lt;=K1589),Eingabe!$B$6&amp;"-"&amp;INDEX(Eingabe!$C$9:$C$18,I1589)&amp;"-Pächter  ·  Passwort Parzelle "&amp;J1589,IF(J1589=K1589+1,Eingabe!$B$6&amp;"-"&amp;INDEX(Eingabe!$C$9:$C$18,I1589)&amp;"-Vorstand  ·  eigenes WLAN",IF(J1589=K1589+2,Eingabe!$B$6&amp;"-"&amp;INDEX(Eingabe!$C$9:$C$18,I1589)&amp;"-Gäste  ·  Voucher",IF(J1589=K1589+3,"Kabel  ·  Access Point y = .(50+y), Mast-Switch x = .(10+x)","")))))</f>
        <v/>
      </c>
      <c r="I1589" s="0" t="str">
        <f aca="false">IF(1584&lt;=(Eingabe!$P$18+Eingabe!$Q$18-1),MATCH(1584,Eingabe!$P$9:$P$18,1),"")</f>
        <v/>
      </c>
      <c r="J1589" s="0" t="str">
        <f aca="false">IF(I1589="","",1584-INDEX(Eingabe!$P$9:$P$18,I1589))</f>
        <v/>
      </c>
      <c r="K1589" s="0" t="str">
        <f aca="false">IF(I1589="","",INDEX(Eingabe!$E$9:$E$18,I1589))</f>
        <v/>
      </c>
    </row>
    <row r="1590" customFormat="false" ht="15" hidden="false" customHeight="false" outlineLevel="0" collapsed="false">
      <c r="A1590" s="0" t="str">
        <f aca="false">IF(I1590="","",IF(J1590=0,"Sparte "&amp;I1590&amp;": "&amp;INDEX(Eingabe!$B$9:$B$18,I1590)&amp;"  (Sparten-ID "&amp;INDEX(Eingabe!$D$9:$D$18,I1590)&amp;", "&amp;K1590&amp;" Parzellen)",IF(J1590&lt;=K1590,"   Parzelle "&amp;J1590,IF(J1590=K1590+1,"   Vorstand",IF(J1590=K1590+2,"   Gäste",IF(J1590=K1590+3,"   Technik (Switches, Access Points)",""))))))</f>
        <v/>
      </c>
      <c r="B1590" s="0" t="str">
        <f aca="false">IF(I1590="","",IF(AND(J1590&gt;=1,J1590&lt;=K1590+3),IF(J1590&lt;=K1590,IF(J1590&lt;=99,IF((INDEX(Eingabe!$G$9:$G$18,I1590))&lt;=9,1000+(INDEX(Eingabe!$G$9:$G$18,I1590))*100,3000)+J1590,IF((INDEX(Eingabe!$G$9:$G$18,I1590)+1)&lt;=9,1000+(INDEX(Eingabe!$G$9:$G$18,I1590)+1)*100,3000)+J1590-100),IF(J1590=K1590+1,2000+INDEX(Eingabe!$G$9:$G$18,I1590)*10+1,IF(J1590=K1590+2,2000+INDEX(Eingabe!$G$9:$G$18,I1590)*10+2,2000+INDEX(Eingabe!$G$9:$G$18,I1590)*10+9))),""))</f>
        <v/>
      </c>
      <c r="C1590" s="0" t="str">
        <f aca="false">IF(I1590="","",IF(AND(J1590&gt;=1,J1590&lt;=K1590+3),"10."&amp;INDEX(Eingabe!$D$9:$D$18,I1590)&amp;"."&amp;IF(J1590&lt;=K1590,J1590,IF(J1590=K1590+1,200,IF(J1590=K1590+2,201,250)))&amp;".0/24",""))</f>
        <v/>
      </c>
      <c r="D1590" s="0" t="str">
        <f aca="false">IF(I1590="","",IF(AND(J1590&gt;=1,J1590&lt;=K1590+3),"255.255.255.0",""))</f>
        <v/>
      </c>
      <c r="E1590" s="0" t="str">
        <f aca="false">IF(I1590="","",IF(AND(J1590&gt;=1,J1590&lt;=K1590+3),"10."&amp;INDEX(Eingabe!$D$9:$D$18,I1590)&amp;"."&amp;IF(J1590&lt;=K1590,J1590,IF(J1590=K1590+1,200,IF(J1590=K1590+2,201,250)))&amp;".1",""))</f>
        <v/>
      </c>
      <c r="F1590" s="0" t="str">
        <f aca="false">IF(I1590="","",IF(AND(J1590&gt;=1,J1590&lt;=K1590+3),"10."&amp;INDEX(Eingabe!$D$9:$D$18,I1590)&amp;"."&amp;IF(J1590&lt;=K1590,J1590,IF(J1590=K1590+1,200,IF(J1590=K1590+2,201,250)))&amp;".10 – 10."&amp;INDEX(Eingabe!$D$9:$D$18,I1590)&amp;"."&amp;IF(J1590&lt;=K1590,J1590,IF(J1590=K1590+1,200,IF(J1590=K1590+2,201,250)))&amp;".250",""))</f>
        <v/>
      </c>
      <c r="G1590" s="0" t="str">
        <f aca="false">IF(I1590="","",IF(AND(J1590&gt;=1,J1590&lt;=K1590),Eingabe!$B$6&amp;"-"&amp;INDEX(Eingabe!$C$9:$C$18,I1590)&amp;"-Pächter  ·  Passwort Parzelle "&amp;J1590,IF(J1590=K1590+1,Eingabe!$B$6&amp;"-"&amp;INDEX(Eingabe!$C$9:$C$18,I1590)&amp;"-Vorstand  ·  eigenes WLAN",IF(J1590=K1590+2,Eingabe!$B$6&amp;"-"&amp;INDEX(Eingabe!$C$9:$C$18,I1590)&amp;"-Gäste  ·  Voucher",IF(J1590=K1590+3,"Kabel  ·  Access Point y = .(50+y), Mast-Switch x = .(10+x)","")))))</f>
        <v/>
      </c>
      <c r="I1590" s="0" t="str">
        <f aca="false">IF(1585&lt;=(Eingabe!$P$18+Eingabe!$Q$18-1),MATCH(1585,Eingabe!$P$9:$P$18,1),"")</f>
        <v/>
      </c>
      <c r="J1590" s="0" t="str">
        <f aca="false">IF(I1590="","",1585-INDEX(Eingabe!$P$9:$P$18,I1590))</f>
        <v/>
      </c>
      <c r="K1590" s="0" t="str">
        <f aca="false">IF(I1590="","",INDEX(Eingabe!$E$9:$E$18,I1590))</f>
        <v/>
      </c>
    </row>
    <row r="1591" customFormat="false" ht="15" hidden="false" customHeight="false" outlineLevel="0" collapsed="false">
      <c r="A1591" s="0" t="str">
        <f aca="false">IF(I1591="","",IF(J1591=0,"Sparte "&amp;I1591&amp;": "&amp;INDEX(Eingabe!$B$9:$B$18,I1591)&amp;"  (Sparten-ID "&amp;INDEX(Eingabe!$D$9:$D$18,I1591)&amp;", "&amp;K1591&amp;" Parzellen)",IF(J1591&lt;=K1591,"   Parzelle "&amp;J1591,IF(J1591=K1591+1,"   Vorstand",IF(J1591=K1591+2,"   Gäste",IF(J1591=K1591+3,"   Technik (Switches, Access Points)",""))))))</f>
        <v/>
      </c>
      <c r="B1591" s="0" t="str">
        <f aca="false">IF(I1591="","",IF(AND(J1591&gt;=1,J1591&lt;=K1591+3),IF(J1591&lt;=K1591,IF(J1591&lt;=99,IF((INDEX(Eingabe!$G$9:$G$18,I1591))&lt;=9,1000+(INDEX(Eingabe!$G$9:$G$18,I1591))*100,3000)+J1591,IF((INDEX(Eingabe!$G$9:$G$18,I1591)+1)&lt;=9,1000+(INDEX(Eingabe!$G$9:$G$18,I1591)+1)*100,3000)+J1591-100),IF(J1591=K1591+1,2000+INDEX(Eingabe!$G$9:$G$18,I1591)*10+1,IF(J1591=K1591+2,2000+INDEX(Eingabe!$G$9:$G$18,I1591)*10+2,2000+INDEX(Eingabe!$G$9:$G$18,I1591)*10+9))),""))</f>
        <v/>
      </c>
      <c r="C1591" s="0" t="str">
        <f aca="false">IF(I1591="","",IF(AND(J1591&gt;=1,J1591&lt;=K1591+3),"10."&amp;INDEX(Eingabe!$D$9:$D$18,I1591)&amp;"."&amp;IF(J1591&lt;=K1591,J1591,IF(J1591=K1591+1,200,IF(J1591=K1591+2,201,250)))&amp;".0/24",""))</f>
        <v/>
      </c>
      <c r="D1591" s="0" t="str">
        <f aca="false">IF(I1591="","",IF(AND(J1591&gt;=1,J1591&lt;=K1591+3),"255.255.255.0",""))</f>
        <v/>
      </c>
      <c r="E1591" s="0" t="str">
        <f aca="false">IF(I1591="","",IF(AND(J1591&gt;=1,J1591&lt;=K1591+3),"10."&amp;INDEX(Eingabe!$D$9:$D$18,I1591)&amp;"."&amp;IF(J1591&lt;=K1591,J1591,IF(J1591=K1591+1,200,IF(J1591=K1591+2,201,250)))&amp;".1",""))</f>
        <v/>
      </c>
      <c r="F1591" s="0" t="str">
        <f aca="false">IF(I1591="","",IF(AND(J1591&gt;=1,J1591&lt;=K1591+3),"10."&amp;INDEX(Eingabe!$D$9:$D$18,I1591)&amp;"."&amp;IF(J1591&lt;=K1591,J1591,IF(J1591=K1591+1,200,IF(J1591=K1591+2,201,250)))&amp;".10 – 10."&amp;INDEX(Eingabe!$D$9:$D$18,I1591)&amp;"."&amp;IF(J1591&lt;=K1591,J1591,IF(J1591=K1591+1,200,IF(J1591=K1591+2,201,250)))&amp;".250",""))</f>
        <v/>
      </c>
      <c r="G1591" s="0" t="str">
        <f aca="false">IF(I1591="","",IF(AND(J1591&gt;=1,J1591&lt;=K1591),Eingabe!$B$6&amp;"-"&amp;INDEX(Eingabe!$C$9:$C$18,I1591)&amp;"-Pächter  ·  Passwort Parzelle "&amp;J1591,IF(J1591=K1591+1,Eingabe!$B$6&amp;"-"&amp;INDEX(Eingabe!$C$9:$C$18,I1591)&amp;"-Vorstand  ·  eigenes WLAN",IF(J1591=K1591+2,Eingabe!$B$6&amp;"-"&amp;INDEX(Eingabe!$C$9:$C$18,I1591)&amp;"-Gäste  ·  Voucher",IF(J1591=K1591+3,"Kabel  ·  Access Point y = .(50+y), Mast-Switch x = .(10+x)","")))))</f>
        <v/>
      </c>
      <c r="I1591" s="0" t="str">
        <f aca="false">IF(1586&lt;=(Eingabe!$P$18+Eingabe!$Q$18-1),MATCH(1586,Eingabe!$P$9:$P$18,1),"")</f>
        <v/>
      </c>
      <c r="J1591" s="0" t="str">
        <f aca="false">IF(I1591="","",1586-INDEX(Eingabe!$P$9:$P$18,I1591))</f>
        <v/>
      </c>
      <c r="K1591" s="0" t="str">
        <f aca="false">IF(I1591="","",INDEX(Eingabe!$E$9:$E$18,I1591))</f>
        <v/>
      </c>
    </row>
    <row r="1592" customFormat="false" ht="15" hidden="false" customHeight="false" outlineLevel="0" collapsed="false">
      <c r="A1592" s="0" t="str">
        <f aca="false">IF(I1592="","",IF(J1592=0,"Sparte "&amp;I1592&amp;": "&amp;INDEX(Eingabe!$B$9:$B$18,I1592)&amp;"  (Sparten-ID "&amp;INDEX(Eingabe!$D$9:$D$18,I1592)&amp;", "&amp;K1592&amp;" Parzellen)",IF(J1592&lt;=K1592,"   Parzelle "&amp;J1592,IF(J1592=K1592+1,"   Vorstand",IF(J1592=K1592+2,"   Gäste",IF(J1592=K1592+3,"   Technik (Switches, Access Points)",""))))))</f>
        <v/>
      </c>
      <c r="B1592" s="0" t="str">
        <f aca="false">IF(I1592="","",IF(AND(J1592&gt;=1,J1592&lt;=K1592+3),IF(J1592&lt;=K1592,IF(J1592&lt;=99,IF((INDEX(Eingabe!$G$9:$G$18,I1592))&lt;=9,1000+(INDEX(Eingabe!$G$9:$G$18,I1592))*100,3000)+J1592,IF((INDEX(Eingabe!$G$9:$G$18,I1592)+1)&lt;=9,1000+(INDEX(Eingabe!$G$9:$G$18,I1592)+1)*100,3000)+J1592-100),IF(J1592=K1592+1,2000+INDEX(Eingabe!$G$9:$G$18,I1592)*10+1,IF(J1592=K1592+2,2000+INDEX(Eingabe!$G$9:$G$18,I1592)*10+2,2000+INDEX(Eingabe!$G$9:$G$18,I1592)*10+9))),""))</f>
        <v/>
      </c>
      <c r="C1592" s="0" t="str">
        <f aca="false">IF(I1592="","",IF(AND(J1592&gt;=1,J1592&lt;=K1592+3),"10."&amp;INDEX(Eingabe!$D$9:$D$18,I1592)&amp;"."&amp;IF(J1592&lt;=K1592,J1592,IF(J1592=K1592+1,200,IF(J1592=K1592+2,201,250)))&amp;".0/24",""))</f>
        <v/>
      </c>
      <c r="D1592" s="0" t="str">
        <f aca="false">IF(I1592="","",IF(AND(J1592&gt;=1,J1592&lt;=K1592+3),"255.255.255.0",""))</f>
        <v/>
      </c>
      <c r="E1592" s="0" t="str">
        <f aca="false">IF(I1592="","",IF(AND(J1592&gt;=1,J1592&lt;=K1592+3),"10."&amp;INDEX(Eingabe!$D$9:$D$18,I1592)&amp;"."&amp;IF(J1592&lt;=K1592,J1592,IF(J1592=K1592+1,200,IF(J1592=K1592+2,201,250)))&amp;".1",""))</f>
        <v/>
      </c>
      <c r="F1592" s="0" t="str">
        <f aca="false">IF(I1592="","",IF(AND(J1592&gt;=1,J1592&lt;=K1592+3),"10."&amp;INDEX(Eingabe!$D$9:$D$18,I1592)&amp;"."&amp;IF(J1592&lt;=K1592,J1592,IF(J1592=K1592+1,200,IF(J1592=K1592+2,201,250)))&amp;".10 – 10."&amp;INDEX(Eingabe!$D$9:$D$18,I1592)&amp;"."&amp;IF(J1592&lt;=K1592,J1592,IF(J1592=K1592+1,200,IF(J1592=K1592+2,201,250)))&amp;".250",""))</f>
        <v/>
      </c>
      <c r="G1592" s="0" t="str">
        <f aca="false">IF(I1592="","",IF(AND(J1592&gt;=1,J1592&lt;=K1592),Eingabe!$B$6&amp;"-"&amp;INDEX(Eingabe!$C$9:$C$18,I1592)&amp;"-Pächter  ·  Passwort Parzelle "&amp;J1592,IF(J1592=K1592+1,Eingabe!$B$6&amp;"-"&amp;INDEX(Eingabe!$C$9:$C$18,I1592)&amp;"-Vorstand  ·  eigenes WLAN",IF(J1592=K1592+2,Eingabe!$B$6&amp;"-"&amp;INDEX(Eingabe!$C$9:$C$18,I1592)&amp;"-Gäste  ·  Voucher",IF(J1592=K1592+3,"Kabel  ·  Access Point y = .(50+y), Mast-Switch x = .(10+x)","")))))</f>
        <v/>
      </c>
      <c r="I1592" s="0" t="str">
        <f aca="false">IF(1587&lt;=(Eingabe!$P$18+Eingabe!$Q$18-1),MATCH(1587,Eingabe!$P$9:$P$18,1),"")</f>
        <v/>
      </c>
      <c r="J1592" s="0" t="str">
        <f aca="false">IF(I1592="","",1587-INDEX(Eingabe!$P$9:$P$18,I1592))</f>
        <v/>
      </c>
      <c r="K1592" s="0" t="str">
        <f aca="false">IF(I1592="","",INDEX(Eingabe!$E$9:$E$18,I1592))</f>
        <v/>
      </c>
    </row>
    <row r="1593" customFormat="false" ht="15" hidden="false" customHeight="false" outlineLevel="0" collapsed="false">
      <c r="A1593" s="0" t="str">
        <f aca="false">IF(I1593="","",IF(J1593=0,"Sparte "&amp;I1593&amp;": "&amp;INDEX(Eingabe!$B$9:$B$18,I1593)&amp;"  (Sparten-ID "&amp;INDEX(Eingabe!$D$9:$D$18,I1593)&amp;", "&amp;K1593&amp;" Parzellen)",IF(J1593&lt;=K1593,"   Parzelle "&amp;J1593,IF(J1593=K1593+1,"   Vorstand",IF(J1593=K1593+2,"   Gäste",IF(J1593=K1593+3,"   Technik (Switches, Access Points)",""))))))</f>
        <v/>
      </c>
      <c r="B1593" s="0" t="str">
        <f aca="false">IF(I1593="","",IF(AND(J1593&gt;=1,J1593&lt;=K1593+3),IF(J1593&lt;=K1593,IF(J1593&lt;=99,IF((INDEX(Eingabe!$G$9:$G$18,I1593))&lt;=9,1000+(INDEX(Eingabe!$G$9:$G$18,I1593))*100,3000)+J1593,IF((INDEX(Eingabe!$G$9:$G$18,I1593)+1)&lt;=9,1000+(INDEX(Eingabe!$G$9:$G$18,I1593)+1)*100,3000)+J1593-100),IF(J1593=K1593+1,2000+INDEX(Eingabe!$G$9:$G$18,I1593)*10+1,IF(J1593=K1593+2,2000+INDEX(Eingabe!$G$9:$G$18,I1593)*10+2,2000+INDEX(Eingabe!$G$9:$G$18,I1593)*10+9))),""))</f>
        <v/>
      </c>
      <c r="C1593" s="0" t="str">
        <f aca="false">IF(I1593="","",IF(AND(J1593&gt;=1,J1593&lt;=K1593+3),"10."&amp;INDEX(Eingabe!$D$9:$D$18,I1593)&amp;"."&amp;IF(J1593&lt;=K1593,J1593,IF(J1593=K1593+1,200,IF(J1593=K1593+2,201,250)))&amp;".0/24",""))</f>
        <v/>
      </c>
      <c r="D1593" s="0" t="str">
        <f aca="false">IF(I1593="","",IF(AND(J1593&gt;=1,J1593&lt;=K1593+3),"255.255.255.0",""))</f>
        <v/>
      </c>
      <c r="E1593" s="0" t="str">
        <f aca="false">IF(I1593="","",IF(AND(J1593&gt;=1,J1593&lt;=K1593+3),"10."&amp;INDEX(Eingabe!$D$9:$D$18,I1593)&amp;"."&amp;IF(J1593&lt;=K1593,J1593,IF(J1593=K1593+1,200,IF(J1593=K1593+2,201,250)))&amp;".1",""))</f>
        <v/>
      </c>
      <c r="F1593" s="0" t="str">
        <f aca="false">IF(I1593="","",IF(AND(J1593&gt;=1,J1593&lt;=K1593+3),"10."&amp;INDEX(Eingabe!$D$9:$D$18,I1593)&amp;"."&amp;IF(J1593&lt;=K1593,J1593,IF(J1593=K1593+1,200,IF(J1593=K1593+2,201,250)))&amp;".10 – 10."&amp;INDEX(Eingabe!$D$9:$D$18,I1593)&amp;"."&amp;IF(J1593&lt;=K1593,J1593,IF(J1593=K1593+1,200,IF(J1593=K1593+2,201,250)))&amp;".250",""))</f>
        <v/>
      </c>
      <c r="G1593" s="0" t="str">
        <f aca="false">IF(I1593="","",IF(AND(J1593&gt;=1,J1593&lt;=K1593),Eingabe!$B$6&amp;"-"&amp;INDEX(Eingabe!$C$9:$C$18,I1593)&amp;"-Pächter  ·  Passwort Parzelle "&amp;J1593,IF(J1593=K1593+1,Eingabe!$B$6&amp;"-"&amp;INDEX(Eingabe!$C$9:$C$18,I1593)&amp;"-Vorstand  ·  eigenes WLAN",IF(J1593=K1593+2,Eingabe!$B$6&amp;"-"&amp;INDEX(Eingabe!$C$9:$C$18,I1593)&amp;"-Gäste  ·  Voucher",IF(J1593=K1593+3,"Kabel  ·  Access Point y = .(50+y), Mast-Switch x = .(10+x)","")))))</f>
        <v/>
      </c>
      <c r="I1593" s="0" t="str">
        <f aca="false">IF(1588&lt;=(Eingabe!$P$18+Eingabe!$Q$18-1),MATCH(1588,Eingabe!$P$9:$P$18,1),"")</f>
        <v/>
      </c>
      <c r="J1593" s="0" t="str">
        <f aca="false">IF(I1593="","",1588-INDEX(Eingabe!$P$9:$P$18,I1593))</f>
        <v/>
      </c>
      <c r="K1593" s="0" t="str">
        <f aca="false">IF(I1593="","",INDEX(Eingabe!$E$9:$E$18,I1593))</f>
        <v/>
      </c>
    </row>
    <row r="1594" customFormat="false" ht="15" hidden="false" customHeight="false" outlineLevel="0" collapsed="false">
      <c r="A1594" s="0" t="str">
        <f aca="false">IF(I1594="","",IF(J1594=0,"Sparte "&amp;I1594&amp;": "&amp;INDEX(Eingabe!$B$9:$B$18,I1594)&amp;"  (Sparten-ID "&amp;INDEX(Eingabe!$D$9:$D$18,I1594)&amp;", "&amp;K1594&amp;" Parzellen)",IF(J1594&lt;=K1594,"   Parzelle "&amp;J1594,IF(J1594=K1594+1,"   Vorstand",IF(J1594=K1594+2,"   Gäste",IF(J1594=K1594+3,"   Technik (Switches, Access Points)",""))))))</f>
        <v/>
      </c>
      <c r="B1594" s="0" t="str">
        <f aca="false">IF(I1594="","",IF(AND(J1594&gt;=1,J1594&lt;=K1594+3),IF(J1594&lt;=K1594,IF(J1594&lt;=99,IF((INDEX(Eingabe!$G$9:$G$18,I1594))&lt;=9,1000+(INDEX(Eingabe!$G$9:$G$18,I1594))*100,3000)+J1594,IF((INDEX(Eingabe!$G$9:$G$18,I1594)+1)&lt;=9,1000+(INDEX(Eingabe!$G$9:$G$18,I1594)+1)*100,3000)+J1594-100),IF(J1594=K1594+1,2000+INDEX(Eingabe!$G$9:$G$18,I1594)*10+1,IF(J1594=K1594+2,2000+INDEX(Eingabe!$G$9:$G$18,I1594)*10+2,2000+INDEX(Eingabe!$G$9:$G$18,I1594)*10+9))),""))</f>
        <v/>
      </c>
      <c r="C1594" s="0" t="str">
        <f aca="false">IF(I1594="","",IF(AND(J1594&gt;=1,J1594&lt;=K1594+3),"10."&amp;INDEX(Eingabe!$D$9:$D$18,I1594)&amp;"."&amp;IF(J1594&lt;=K1594,J1594,IF(J1594=K1594+1,200,IF(J1594=K1594+2,201,250)))&amp;".0/24",""))</f>
        <v/>
      </c>
      <c r="D1594" s="0" t="str">
        <f aca="false">IF(I1594="","",IF(AND(J1594&gt;=1,J1594&lt;=K1594+3),"255.255.255.0",""))</f>
        <v/>
      </c>
      <c r="E1594" s="0" t="str">
        <f aca="false">IF(I1594="","",IF(AND(J1594&gt;=1,J1594&lt;=K1594+3),"10."&amp;INDEX(Eingabe!$D$9:$D$18,I1594)&amp;"."&amp;IF(J1594&lt;=K1594,J1594,IF(J1594=K1594+1,200,IF(J1594=K1594+2,201,250)))&amp;".1",""))</f>
        <v/>
      </c>
      <c r="F1594" s="0" t="str">
        <f aca="false">IF(I1594="","",IF(AND(J1594&gt;=1,J1594&lt;=K1594+3),"10."&amp;INDEX(Eingabe!$D$9:$D$18,I1594)&amp;"."&amp;IF(J1594&lt;=K1594,J1594,IF(J1594=K1594+1,200,IF(J1594=K1594+2,201,250)))&amp;".10 – 10."&amp;INDEX(Eingabe!$D$9:$D$18,I1594)&amp;"."&amp;IF(J1594&lt;=K1594,J1594,IF(J1594=K1594+1,200,IF(J1594=K1594+2,201,250)))&amp;".250",""))</f>
        <v/>
      </c>
      <c r="G1594" s="0" t="str">
        <f aca="false">IF(I1594="","",IF(AND(J1594&gt;=1,J1594&lt;=K1594),Eingabe!$B$6&amp;"-"&amp;INDEX(Eingabe!$C$9:$C$18,I1594)&amp;"-Pächter  ·  Passwort Parzelle "&amp;J1594,IF(J1594=K1594+1,Eingabe!$B$6&amp;"-"&amp;INDEX(Eingabe!$C$9:$C$18,I1594)&amp;"-Vorstand  ·  eigenes WLAN",IF(J1594=K1594+2,Eingabe!$B$6&amp;"-"&amp;INDEX(Eingabe!$C$9:$C$18,I1594)&amp;"-Gäste  ·  Voucher",IF(J1594=K1594+3,"Kabel  ·  Access Point y = .(50+y), Mast-Switch x = .(10+x)","")))))</f>
        <v/>
      </c>
      <c r="I1594" s="0" t="str">
        <f aca="false">IF(1589&lt;=(Eingabe!$P$18+Eingabe!$Q$18-1),MATCH(1589,Eingabe!$P$9:$P$18,1),"")</f>
        <v/>
      </c>
      <c r="J1594" s="0" t="str">
        <f aca="false">IF(I1594="","",1589-INDEX(Eingabe!$P$9:$P$18,I1594))</f>
        <v/>
      </c>
      <c r="K1594" s="0" t="str">
        <f aca="false">IF(I1594="","",INDEX(Eingabe!$E$9:$E$18,I1594))</f>
        <v/>
      </c>
    </row>
    <row r="1595" customFormat="false" ht="15" hidden="false" customHeight="false" outlineLevel="0" collapsed="false">
      <c r="A1595" s="0" t="str">
        <f aca="false">IF(I1595="","",IF(J1595=0,"Sparte "&amp;I1595&amp;": "&amp;INDEX(Eingabe!$B$9:$B$18,I1595)&amp;"  (Sparten-ID "&amp;INDEX(Eingabe!$D$9:$D$18,I1595)&amp;", "&amp;K1595&amp;" Parzellen)",IF(J1595&lt;=K1595,"   Parzelle "&amp;J1595,IF(J1595=K1595+1,"   Vorstand",IF(J1595=K1595+2,"   Gäste",IF(J1595=K1595+3,"   Technik (Switches, Access Points)",""))))))</f>
        <v/>
      </c>
      <c r="B1595" s="0" t="str">
        <f aca="false">IF(I1595="","",IF(AND(J1595&gt;=1,J1595&lt;=K1595+3),IF(J1595&lt;=K1595,IF(J1595&lt;=99,IF((INDEX(Eingabe!$G$9:$G$18,I1595))&lt;=9,1000+(INDEX(Eingabe!$G$9:$G$18,I1595))*100,3000)+J1595,IF((INDEX(Eingabe!$G$9:$G$18,I1595)+1)&lt;=9,1000+(INDEX(Eingabe!$G$9:$G$18,I1595)+1)*100,3000)+J1595-100),IF(J1595=K1595+1,2000+INDEX(Eingabe!$G$9:$G$18,I1595)*10+1,IF(J1595=K1595+2,2000+INDEX(Eingabe!$G$9:$G$18,I1595)*10+2,2000+INDEX(Eingabe!$G$9:$G$18,I1595)*10+9))),""))</f>
        <v/>
      </c>
      <c r="C1595" s="0" t="str">
        <f aca="false">IF(I1595="","",IF(AND(J1595&gt;=1,J1595&lt;=K1595+3),"10."&amp;INDEX(Eingabe!$D$9:$D$18,I1595)&amp;"."&amp;IF(J1595&lt;=K1595,J1595,IF(J1595=K1595+1,200,IF(J1595=K1595+2,201,250)))&amp;".0/24",""))</f>
        <v/>
      </c>
      <c r="D1595" s="0" t="str">
        <f aca="false">IF(I1595="","",IF(AND(J1595&gt;=1,J1595&lt;=K1595+3),"255.255.255.0",""))</f>
        <v/>
      </c>
      <c r="E1595" s="0" t="str">
        <f aca="false">IF(I1595="","",IF(AND(J1595&gt;=1,J1595&lt;=K1595+3),"10."&amp;INDEX(Eingabe!$D$9:$D$18,I1595)&amp;"."&amp;IF(J1595&lt;=K1595,J1595,IF(J1595=K1595+1,200,IF(J1595=K1595+2,201,250)))&amp;".1",""))</f>
        <v/>
      </c>
      <c r="F1595" s="0" t="str">
        <f aca="false">IF(I1595="","",IF(AND(J1595&gt;=1,J1595&lt;=K1595+3),"10."&amp;INDEX(Eingabe!$D$9:$D$18,I1595)&amp;"."&amp;IF(J1595&lt;=K1595,J1595,IF(J1595=K1595+1,200,IF(J1595=K1595+2,201,250)))&amp;".10 – 10."&amp;INDEX(Eingabe!$D$9:$D$18,I1595)&amp;"."&amp;IF(J1595&lt;=K1595,J1595,IF(J1595=K1595+1,200,IF(J1595=K1595+2,201,250)))&amp;".250",""))</f>
        <v/>
      </c>
      <c r="G1595" s="0" t="str">
        <f aca="false">IF(I1595="","",IF(AND(J1595&gt;=1,J1595&lt;=K1595),Eingabe!$B$6&amp;"-"&amp;INDEX(Eingabe!$C$9:$C$18,I1595)&amp;"-Pächter  ·  Passwort Parzelle "&amp;J1595,IF(J1595=K1595+1,Eingabe!$B$6&amp;"-"&amp;INDEX(Eingabe!$C$9:$C$18,I1595)&amp;"-Vorstand  ·  eigenes WLAN",IF(J1595=K1595+2,Eingabe!$B$6&amp;"-"&amp;INDEX(Eingabe!$C$9:$C$18,I1595)&amp;"-Gäste  ·  Voucher",IF(J1595=K1595+3,"Kabel  ·  Access Point y = .(50+y), Mast-Switch x = .(10+x)","")))))</f>
        <v/>
      </c>
      <c r="I1595" s="0" t="str">
        <f aca="false">IF(1590&lt;=(Eingabe!$P$18+Eingabe!$Q$18-1),MATCH(1590,Eingabe!$P$9:$P$18,1),"")</f>
        <v/>
      </c>
      <c r="J1595" s="0" t="str">
        <f aca="false">IF(I1595="","",1590-INDEX(Eingabe!$P$9:$P$18,I1595))</f>
        <v/>
      </c>
      <c r="K1595" s="0" t="str">
        <f aca="false">IF(I1595="","",INDEX(Eingabe!$E$9:$E$18,I1595))</f>
        <v/>
      </c>
    </row>
    <row r="1596" customFormat="false" ht="15" hidden="false" customHeight="false" outlineLevel="0" collapsed="false">
      <c r="A1596" s="0" t="str">
        <f aca="false">IF(I1596="","",IF(J1596=0,"Sparte "&amp;I1596&amp;": "&amp;INDEX(Eingabe!$B$9:$B$18,I1596)&amp;"  (Sparten-ID "&amp;INDEX(Eingabe!$D$9:$D$18,I1596)&amp;", "&amp;K1596&amp;" Parzellen)",IF(J1596&lt;=K1596,"   Parzelle "&amp;J1596,IF(J1596=K1596+1,"   Vorstand",IF(J1596=K1596+2,"   Gäste",IF(J1596=K1596+3,"   Technik (Switches, Access Points)",""))))))</f>
        <v/>
      </c>
      <c r="B1596" s="0" t="str">
        <f aca="false">IF(I1596="","",IF(AND(J1596&gt;=1,J1596&lt;=K1596+3),IF(J1596&lt;=K1596,IF(J1596&lt;=99,IF((INDEX(Eingabe!$G$9:$G$18,I1596))&lt;=9,1000+(INDEX(Eingabe!$G$9:$G$18,I1596))*100,3000)+J1596,IF((INDEX(Eingabe!$G$9:$G$18,I1596)+1)&lt;=9,1000+(INDEX(Eingabe!$G$9:$G$18,I1596)+1)*100,3000)+J1596-100),IF(J1596=K1596+1,2000+INDEX(Eingabe!$G$9:$G$18,I1596)*10+1,IF(J1596=K1596+2,2000+INDEX(Eingabe!$G$9:$G$18,I1596)*10+2,2000+INDEX(Eingabe!$G$9:$G$18,I1596)*10+9))),""))</f>
        <v/>
      </c>
      <c r="C1596" s="0" t="str">
        <f aca="false">IF(I1596="","",IF(AND(J1596&gt;=1,J1596&lt;=K1596+3),"10."&amp;INDEX(Eingabe!$D$9:$D$18,I1596)&amp;"."&amp;IF(J1596&lt;=K1596,J1596,IF(J1596=K1596+1,200,IF(J1596=K1596+2,201,250)))&amp;".0/24",""))</f>
        <v/>
      </c>
      <c r="D1596" s="0" t="str">
        <f aca="false">IF(I1596="","",IF(AND(J1596&gt;=1,J1596&lt;=K1596+3),"255.255.255.0",""))</f>
        <v/>
      </c>
      <c r="E1596" s="0" t="str">
        <f aca="false">IF(I1596="","",IF(AND(J1596&gt;=1,J1596&lt;=K1596+3),"10."&amp;INDEX(Eingabe!$D$9:$D$18,I1596)&amp;"."&amp;IF(J1596&lt;=K1596,J1596,IF(J1596=K1596+1,200,IF(J1596=K1596+2,201,250)))&amp;".1",""))</f>
        <v/>
      </c>
      <c r="F1596" s="0" t="str">
        <f aca="false">IF(I1596="","",IF(AND(J1596&gt;=1,J1596&lt;=K1596+3),"10."&amp;INDEX(Eingabe!$D$9:$D$18,I1596)&amp;"."&amp;IF(J1596&lt;=K1596,J1596,IF(J1596=K1596+1,200,IF(J1596=K1596+2,201,250)))&amp;".10 – 10."&amp;INDEX(Eingabe!$D$9:$D$18,I1596)&amp;"."&amp;IF(J1596&lt;=K1596,J1596,IF(J1596=K1596+1,200,IF(J1596=K1596+2,201,250)))&amp;".250",""))</f>
        <v/>
      </c>
      <c r="G1596" s="0" t="str">
        <f aca="false">IF(I1596="","",IF(AND(J1596&gt;=1,J1596&lt;=K1596),Eingabe!$B$6&amp;"-"&amp;INDEX(Eingabe!$C$9:$C$18,I1596)&amp;"-Pächter  ·  Passwort Parzelle "&amp;J1596,IF(J1596=K1596+1,Eingabe!$B$6&amp;"-"&amp;INDEX(Eingabe!$C$9:$C$18,I1596)&amp;"-Vorstand  ·  eigenes WLAN",IF(J1596=K1596+2,Eingabe!$B$6&amp;"-"&amp;INDEX(Eingabe!$C$9:$C$18,I1596)&amp;"-Gäste  ·  Voucher",IF(J1596=K1596+3,"Kabel  ·  Access Point y = .(50+y), Mast-Switch x = .(10+x)","")))))</f>
        <v/>
      </c>
      <c r="I1596" s="0" t="str">
        <f aca="false">IF(1591&lt;=(Eingabe!$P$18+Eingabe!$Q$18-1),MATCH(1591,Eingabe!$P$9:$P$18,1),"")</f>
        <v/>
      </c>
      <c r="J1596" s="0" t="str">
        <f aca="false">IF(I1596="","",1591-INDEX(Eingabe!$P$9:$P$18,I1596))</f>
        <v/>
      </c>
      <c r="K1596" s="0" t="str">
        <f aca="false">IF(I1596="","",INDEX(Eingabe!$E$9:$E$18,I1596))</f>
        <v/>
      </c>
    </row>
    <row r="1597" customFormat="false" ht="15" hidden="false" customHeight="false" outlineLevel="0" collapsed="false">
      <c r="A1597" s="0" t="str">
        <f aca="false">IF(I1597="","",IF(J1597=0,"Sparte "&amp;I1597&amp;": "&amp;INDEX(Eingabe!$B$9:$B$18,I1597)&amp;"  (Sparten-ID "&amp;INDEX(Eingabe!$D$9:$D$18,I1597)&amp;", "&amp;K1597&amp;" Parzellen)",IF(J1597&lt;=K1597,"   Parzelle "&amp;J1597,IF(J1597=K1597+1,"   Vorstand",IF(J1597=K1597+2,"   Gäste",IF(J1597=K1597+3,"   Technik (Switches, Access Points)",""))))))</f>
        <v/>
      </c>
      <c r="B1597" s="0" t="str">
        <f aca="false">IF(I1597="","",IF(AND(J1597&gt;=1,J1597&lt;=K1597+3),IF(J1597&lt;=K1597,IF(J1597&lt;=99,IF((INDEX(Eingabe!$G$9:$G$18,I1597))&lt;=9,1000+(INDEX(Eingabe!$G$9:$G$18,I1597))*100,3000)+J1597,IF((INDEX(Eingabe!$G$9:$G$18,I1597)+1)&lt;=9,1000+(INDEX(Eingabe!$G$9:$G$18,I1597)+1)*100,3000)+J1597-100),IF(J1597=K1597+1,2000+INDEX(Eingabe!$G$9:$G$18,I1597)*10+1,IF(J1597=K1597+2,2000+INDEX(Eingabe!$G$9:$G$18,I1597)*10+2,2000+INDEX(Eingabe!$G$9:$G$18,I1597)*10+9))),""))</f>
        <v/>
      </c>
      <c r="C1597" s="0" t="str">
        <f aca="false">IF(I1597="","",IF(AND(J1597&gt;=1,J1597&lt;=K1597+3),"10."&amp;INDEX(Eingabe!$D$9:$D$18,I1597)&amp;"."&amp;IF(J1597&lt;=K1597,J1597,IF(J1597=K1597+1,200,IF(J1597=K1597+2,201,250)))&amp;".0/24",""))</f>
        <v/>
      </c>
      <c r="D1597" s="0" t="str">
        <f aca="false">IF(I1597="","",IF(AND(J1597&gt;=1,J1597&lt;=K1597+3),"255.255.255.0",""))</f>
        <v/>
      </c>
      <c r="E1597" s="0" t="str">
        <f aca="false">IF(I1597="","",IF(AND(J1597&gt;=1,J1597&lt;=K1597+3),"10."&amp;INDEX(Eingabe!$D$9:$D$18,I1597)&amp;"."&amp;IF(J1597&lt;=K1597,J1597,IF(J1597=K1597+1,200,IF(J1597=K1597+2,201,250)))&amp;".1",""))</f>
        <v/>
      </c>
      <c r="F1597" s="0" t="str">
        <f aca="false">IF(I1597="","",IF(AND(J1597&gt;=1,J1597&lt;=K1597+3),"10."&amp;INDEX(Eingabe!$D$9:$D$18,I1597)&amp;"."&amp;IF(J1597&lt;=K1597,J1597,IF(J1597=K1597+1,200,IF(J1597=K1597+2,201,250)))&amp;".10 – 10."&amp;INDEX(Eingabe!$D$9:$D$18,I1597)&amp;"."&amp;IF(J1597&lt;=K1597,J1597,IF(J1597=K1597+1,200,IF(J1597=K1597+2,201,250)))&amp;".250",""))</f>
        <v/>
      </c>
      <c r="G1597" s="0" t="str">
        <f aca="false">IF(I1597="","",IF(AND(J1597&gt;=1,J1597&lt;=K1597),Eingabe!$B$6&amp;"-"&amp;INDEX(Eingabe!$C$9:$C$18,I1597)&amp;"-Pächter  ·  Passwort Parzelle "&amp;J1597,IF(J1597=K1597+1,Eingabe!$B$6&amp;"-"&amp;INDEX(Eingabe!$C$9:$C$18,I1597)&amp;"-Vorstand  ·  eigenes WLAN",IF(J1597=K1597+2,Eingabe!$B$6&amp;"-"&amp;INDEX(Eingabe!$C$9:$C$18,I1597)&amp;"-Gäste  ·  Voucher",IF(J1597=K1597+3,"Kabel  ·  Access Point y = .(50+y), Mast-Switch x = .(10+x)","")))))</f>
        <v/>
      </c>
      <c r="I1597" s="0" t="str">
        <f aca="false">IF(1592&lt;=(Eingabe!$P$18+Eingabe!$Q$18-1),MATCH(1592,Eingabe!$P$9:$P$18,1),"")</f>
        <v/>
      </c>
      <c r="J1597" s="0" t="str">
        <f aca="false">IF(I1597="","",1592-INDEX(Eingabe!$P$9:$P$18,I1597))</f>
        <v/>
      </c>
      <c r="K1597" s="0" t="str">
        <f aca="false">IF(I1597="","",INDEX(Eingabe!$E$9:$E$18,I1597))</f>
        <v/>
      </c>
    </row>
    <row r="1598" customFormat="false" ht="15" hidden="false" customHeight="false" outlineLevel="0" collapsed="false">
      <c r="A1598" s="0" t="str">
        <f aca="false">IF(I1598="","",IF(J1598=0,"Sparte "&amp;I1598&amp;": "&amp;INDEX(Eingabe!$B$9:$B$18,I1598)&amp;"  (Sparten-ID "&amp;INDEX(Eingabe!$D$9:$D$18,I1598)&amp;", "&amp;K1598&amp;" Parzellen)",IF(J1598&lt;=K1598,"   Parzelle "&amp;J1598,IF(J1598=K1598+1,"   Vorstand",IF(J1598=K1598+2,"   Gäste",IF(J1598=K1598+3,"   Technik (Switches, Access Points)",""))))))</f>
        <v/>
      </c>
      <c r="B1598" s="0" t="str">
        <f aca="false">IF(I1598="","",IF(AND(J1598&gt;=1,J1598&lt;=K1598+3),IF(J1598&lt;=K1598,IF(J1598&lt;=99,IF((INDEX(Eingabe!$G$9:$G$18,I1598))&lt;=9,1000+(INDEX(Eingabe!$G$9:$G$18,I1598))*100,3000)+J1598,IF((INDEX(Eingabe!$G$9:$G$18,I1598)+1)&lt;=9,1000+(INDEX(Eingabe!$G$9:$G$18,I1598)+1)*100,3000)+J1598-100),IF(J1598=K1598+1,2000+INDEX(Eingabe!$G$9:$G$18,I1598)*10+1,IF(J1598=K1598+2,2000+INDEX(Eingabe!$G$9:$G$18,I1598)*10+2,2000+INDEX(Eingabe!$G$9:$G$18,I1598)*10+9))),""))</f>
        <v/>
      </c>
      <c r="C1598" s="0" t="str">
        <f aca="false">IF(I1598="","",IF(AND(J1598&gt;=1,J1598&lt;=K1598+3),"10."&amp;INDEX(Eingabe!$D$9:$D$18,I1598)&amp;"."&amp;IF(J1598&lt;=K1598,J1598,IF(J1598=K1598+1,200,IF(J1598=K1598+2,201,250)))&amp;".0/24",""))</f>
        <v/>
      </c>
      <c r="D1598" s="0" t="str">
        <f aca="false">IF(I1598="","",IF(AND(J1598&gt;=1,J1598&lt;=K1598+3),"255.255.255.0",""))</f>
        <v/>
      </c>
      <c r="E1598" s="0" t="str">
        <f aca="false">IF(I1598="","",IF(AND(J1598&gt;=1,J1598&lt;=K1598+3),"10."&amp;INDEX(Eingabe!$D$9:$D$18,I1598)&amp;"."&amp;IF(J1598&lt;=K1598,J1598,IF(J1598=K1598+1,200,IF(J1598=K1598+2,201,250)))&amp;".1",""))</f>
        <v/>
      </c>
      <c r="F1598" s="0" t="str">
        <f aca="false">IF(I1598="","",IF(AND(J1598&gt;=1,J1598&lt;=K1598+3),"10."&amp;INDEX(Eingabe!$D$9:$D$18,I1598)&amp;"."&amp;IF(J1598&lt;=K1598,J1598,IF(J1598=K1598+1,200,IF(J1598=K1598+2,201,250)))&amp;".10 – 10."&amp;INDEX(Eingabe!$D$9:$D$18,I1598)&amp;"."&amp;IF(J1598&lt;=K1598,J1598,IF(J1598=K1598+1,200,IF(J1598=K1598+2,201,250)))&amp;".250",""))</f>
        <v/>
      </c>
      <c r="G1598" s="0" t="str">
        <f aca="false">IF(I1598="","",IF(AND(J1598&gt;=1,J1598&lt;=K1598),Eingabe!$B$6&amp;"-"&amp;INDEX(Eingabe!$C$9:$C$18,I1598)&amp;"-Pächter  ·  Passwort Parzelle "&amp;J1598,IF(J1598=K1598+1,Eingabe!$B$6&amp;"-"&amp;INDEX(Eingabe!$C$9:$C$18,I1598)&amp;"-Vorstand  ·  eigenes WLAN",IF(J1598=K1598+2,Eingabe!$B$6&amp;"-"&amp;INDEX(Eingabe!$C$9:$C$18,I1598)&amp;"-Gäste  ·  Voucher",IF(J1598=K1598+3,"Kabel  ·  Access Point y = .(50+y), Mast-Switch x = .(10+x)","")))))</f>
        <v/>
      </c>
      <c r="I1598" s="0" t="str">
        <f aca="false">IF(1593&lt;=(Eingabe!$P$18+Eingabe!$Q$18-1),MATCH(1593,Eingabe!$P$9:$P$18,1),"")</f>
        <v/>
      </c>
      <c r="J1598" s="0" t="str">
        <f aca="false">IF(I1598="","",1593-INDEX(Eingabe!$P$9:$P$18,I1598))</f>
        <v/>
      </c>
      <c r="K1598" s="0" t="str">
        <f aca="false">IF(I1598="","",INDEX(Eingabe!$E$9:$E$18,I1598))</f>
        <v/>
      </c>
    </row>
    <row r="1599" customFormat="false" ht="15" hidden="false" customHeight="false" outlineLevel="0" collapsed="false">
      <c r="A1599" s="0" t="str">
        <f aca="false">IF(I1599="","",IF(J1599=0,"Sparte "&amp;I1599&amp;": "&amp;INDEX(Eingabe!$B$9:$B$18,I1599)&amp;"  (Sparten-ID "&amp;INDEX(Eingabe!$D$9:$D$18,I1599)&amp;", "&amp;K1599&amp;" Parzellen)",IF(J1599&lt;=K1599,"   Parzelle "&amp;J1599,IF(J1599=K1599+1,"   Vorstand",IF(J1599=K1599+2,"   Gäste",IF(J1599=K1599+3,"   Technik (Switches, Access Points)",""))))))</f>
        <v/>
      </c>
      <c r="B1599" s="0" t="str">
        <f aca="false">IF(I1599="","",IF(AND(J1599&gt;=1,J1599&lt;=K1599+3),IF(J1599&lt;=K1599,IF(J1599&lt;=99,IF((INDEX(Eingabe!$G$9:$G$18,I1599))&lt;=9,1000+(INDEX(Eingabe!$G$9:$G$18,I1599))*100,3000)+J1599,IF((INDEX(Eingabe!$G$9:$G$18,I1599)+1)&lt;=9,1000+(INDEX(Eingabe!$G$9:$G$18,I1599)+1)*100,3000)+J1599-100),IF(J1599=K1599+1,2000+INDEX(Eingabe!$G$9:$G$18,I1599)*10+1,IF(J1599=K1599+2,2000+INDEX(Eingabe!$G$9:$G$18,I1599)*10+2,2000+INDEX(Eingabe!$G$9:$G$18,I1599)*10+9))),""))</f>
        <v/>
      </c>
      <c r="C1599" s="0" t="str">
        <f aca="false">IF(I1599="","",IF(AND(J1599&gt;=1,J1599&lt;=K1599+3),"10."&amp;INDEX(Eingabe!$D$9:$D$18,I1599)&amp;"."&amp;IF(J1599&lt;=K1599,J1599,IF(J1599=K1599+1,200,IF(J1599=K1599+2,201,250)))&amp;".0/24",""))</f>
        <v/>
      </c>
      <c r="D1599" s="0" t="str">
        <f aca="false">IF(I1599="","",IF(AND(J1599&gt;=1,J1599&lt;=K1599+3),"255.255.255.0",""))</f>
        <v/>
      </c>
      <c r="E1599" s="0" t="str">
        <f aca="false">IF(I1599="","",IF(AND(J1599&gt;=1,J1599&lt;=K1599+3),"10."&amp;INDEX(Eingabe!$D$9:$D$18,I1599)&amp;"."&amp;IF(J1599&lt;=K1599,J1599,IF(J1599=K1599+1,200,IF(J1599=K1599+2,201,250)))&amp;".1",""))</f>
        <v/>
      </c>
      <c r="F1599" s="0" t="str">
        <f aca="false">IF(I1599="","",IF(AND(J1599&gt;=1,J1599&lt;=K1599+3),"10."&amp;INDEX(Eingabe!$D$9:$D$18,I1599)&amp;"."&amp;IF(J1599&lt;=K1599,J1599,IF(J1599=K1599+1,200,IF(J1599=K1599+2,201,250)))&amp;".10 – 10."&amp;INDEX(Eingabe!$D$9:$D$18,I1599)&amp;"."&amp;IF(J1599&lt;=K1599,J1599,IF(J1599=K1599+1,200,IF(J1599=K1599+2,201,250)))&amp;".250",""))</f>
        <v/>
      </c>
      <c r="G1599" s="0" t="str">
        <f aca="false">IF(I1599="","",IF(AND(J1599&gt;=1,J1599&lt;=K1599),Eingabe!$B$6&amp;"-"&amp;INDEX(Eingabe!$C$9:$C$18,I1599)&amp;"-Pächter  ·  Passwort Parzelle "&amp;J1599,IF(J1599=K1599+1,Eingabe!$B$6&amp;"-"&amp;INDEX(Eingabe!$C$9:$C$18,I1599)&amp;"-Vorstand  ·  eigenes WLAN",IF(J1599=K1599+2,Eingabe!$B$6&amp;"-"&amp;INDEX(Eingabe!$C$9:$C$18,I1599)&amp;"-Gäste  ·  Voucher",IF(J1599=K1599+3,"Kabel  ·  Access Point y = .(50+y), Mast-Switch x = .(10+x)","")))))</f>
        <v/>
      </c>
      <c r="I1599" s="0" t="str">
        <f aca="false">IF(1594&lt;=(Eingabe!$P$18+Eingabe!$Q$18-1),MATCH(1594,Eingabe!$P$9:$P$18,1),"")</f>
        <v/>
      </c>
      <c r="J1599" s="0" t="str">
        <f aca="false">IF(I1599="","",1594-INDEX(Eingabe!$P$9:$P$18,I1599))</f>
        <v/>
      </c>
      <c r="K1599" s="0" t="str">
        <f aca="false">IF(I1599="","",INDEX(Eingabe!$E$9:$E$18,I1599))</f>
        <v/>
      </c>
    </row>
    <row r="1600" customFormat="false" ht="15" hidden="false" customHeight="false" outlineLevel="0" collapsed="false">
      <c r="A1600" s="0" t="str">
        <f aca="false">IF(I1600="","",IF(J1600=0,"Sparte "&amp;I1600&amp;": "&amp;INDEX(Eingabe!$B$9:$B$18,I1600)&amp;"  (Sparten-ID "&amp;INDEX(Eingabe!$D$9:$D$18,I1600)&amp;", "&amp;K1600&amp;" Parzellen)",IF(J1600&lt;=K1600,"   Parzelle "&amp;J1600,IF(J1600=K1600+1,"   Vorstand",IF(J1600=K1600+2,"   Gäste",IF(J1600=K1600+3,"   Technik (Switches, Access Points)",""))))))</f>
        <v/>
      </c>
      <c r="B1600" s="0" t="str">
        <f aca="false">IF(I1600="","",IF(AND(J1600&gt;=1,J1600&lt;=K1600+3),IF(J1600&lt;=K1600,IF(J1600&lt;=99,IF((INDEX(Eingabe!$G$9:$G$18,I1600))&lt;=9,1000+(INDEX(Eingabe!$G$9:$G$18,I1600))*100,3000)+J1600,IF((INDEX(Eingabe!$G$9:$G$18,I1600)+1)&lt;=9,1000+(INDEX(Eingabe!$G$9:$G$18,I1600)+1)*100,3000)+J1600-100),IF(J1600=K1600+1,2000+INDEX(Eingabe!$G$9:$G$18,I1600)*10+1,IF(J1600=K1600+2,2000+INDEX(Eingabe!$G$9:$G$18,I1600)*10+2,2000+INDEX(Eingabe!$G$9:$G$18,I1600)*10+9))),""))</f>
        <v/>
      </c>
      <c r="C1600" s="0" t="str">
        <f aca="false">IF(I1600="","",IF(AND(J1600&gt;=1,J1600&lt;=K1600+3),"10."&amp;INDEX(Eingabe!$D$9:$D$18,I1600)&amp;"."&amp;IF(J1600&lt;=K1600,J1600,IF(J1600=K1600+1,200,IF(J1600=K1600+2,201,250)))&amp;".0/24",""))</f>
        <v/>
      </c>
      <c r="D1600" s="0" t="str">
        <f aca="false">IF(I1600="","",IF(AND(J1600&gt;=1,J1600&lt;=K1600+3),"255.255.255.0",""))</f>
        <v/>
      </c>
      <c r="E1600" s="0" t="str">
        <f aca="false">IF(I1600="","",IF(AND(J1600&gt;=1,J1600&lt;=K1600+3),"10."&amp;INDEX(Eingabe!$D$9:$D$18,I1600)&amp;"."&amp;IF(J1600&lt;=K1600,J1600,IF(J1600=K1600+1,200,IF(J1600=K1600+2,201,250)))&amp;".1",""))</f>
        <v/>
      </c>
      <c r="F1600" s="0" t="str">
        <f aca="false">IF(I1600="","",IF(AND(J1600&gt;=1,J1600&lt;=K1600+3),"10."&amp;INDEX(Eingabe!$D$9:$D$18,I1600)&amp;"."&amp;IF(J1600&lt;=K1600,J1600,IF(J1600=K1600+1,200,IF(J1600=K1600+2,201,250)))&amp;".10 – 10."&amp;INDEX(Eingabe!$D$9:$D$18,I1600)&amp;"."&amp;IF(J1600&lt;=K1600,J1600,IF(J1600=K1600+1,200,IF(J1600=K1600+2,201,250)))&amp;".250",""))</f>
        <v/>
      </c>
      <c r="G1600" s="0" t="str">
        <f aca="false">IF(I1600="","",IF(AND(J1600&gt;=1,J1600&lt;=K1600),Eingabe!$B$6&amp;"-"&amp;INDEX(Eingabe!$C$9:$C$18,I1600)&amp;"-Pächter  ·  Passwort Parzelle "&amp;J1600,IF(J1600=K1600+1,Eingabe!$B$6&amp;"-"&amp;INDEX(Eingabe!$C$9:$C$18,I1600)&amp;"-Vorstand  ·  eigenes WLAN",IF(J1600=K1600+2,Eingabe!$B$6&amp;"-"&amp;INDEX(Eingabe!$C$9:$C$18,I1600)&amp;"-Gäste  ·  Voucher",IF(J1600=K1600+3,"Kabel  ·  Access Point y = .(50+y), Mast-Switch x = .(10+x)","")))))</f>
        <v/>
      </c>
      <c r="I1600" s="0" t="str">
        <f aca="false">IF(1595&lt;=(Eingabe!$P$18+Eingabe!$Q$18-1),MATCH(1595,Eingabe!$P$9:$P$18,1),"")</f>
        <v/>
      </c>
      <c r="J1600" s="0" t="str">
        <f aca="false">IF(I1600="","",1595-INDEX(Eingabe!$P$9:$P$18,I1600))</f>
        <v/>
      </c>
      <c r="K1600" s="0" t="str">
        <f aca="false">IF(I1600="","",INDEX(Eingabe!$E$9:$E$18,I1600))</f>
        <v/>
      </c>
    </row>
    <row r="1601" customFormat="false" ht="15" hidden="false" customHeight="false" outlineLevel="0" collapsed="false">
      <c r="A1601" s="0" t="str">
        <f aca="false">IF(I1601="","",IF(J1601=0,"Sparte "&amp;I1601&amp;": "&amp;INDEX(Eingabe!$B$9:$B$18,I1601)&amp;"  (Sparten-ID "&amp;INDEX(Eingabe!$D$9:$D$18,I1601)&amp;", "&amp;K1601&amp;" Parzellen)",IF(J1601&lt;=K1601,"   Parzelle "&amp;J1601,IF(J1601=K1601+1,"   Vorstand",IF(J1601=K1601+2,"   Gäste",IF(J1601=K1601+3,"   Technik (Switches, Access Points)",""))))))</f>
        <v/>
      </c>
      <c r="B1601" s="0" t="str">
        <f aca="false">IF(I1601="","",IF(AND(J1601&gt;=1,J1601&lt;=K1601+3),IF(J1601&lt;=K1601,IF(J1601&lt;=99,IF((INDEX(Eingabe!$G$9:$G$18,I1601))&lt;=9,1000+(INDEX(Eingabe!$G$9:$G$18,I1601))*100,3000)+J1601,IF((INDEX(Eingabe!$G$9:$G$18,I1601)+1)&lt;=9,1000+(INDEX(Eingabe!$G$9:$G$18,I1601)+1)*100,3000)+J1601-100),IF(J1601=K1601+1,2000+INDEX(Eingabe!$G$9:$G$18,I1601)*10+1,IF(J1601=K1601+2,2000+INDEX(Eingabe!$G$9:$G$18,I1601)*10+2,2000+INDEX(Eingabe!$G$9:$G$18,I1601)*10+9))),""))</f>
        <v/>
      </c>
      <c r="C1601" s="0" t="str">
        <f aca="false">IF(I1601="","",IF(AND(J1601&gt;=1,J1601&lt;=K1601+3),"10."&amp;INDEX(Eingabe!$D$9:$D$18,I1601)&amp;"."&amp;IF(J1601&lt;=K1601,J1601,IF(J1601=K1601+1,200,IF(J1601=K1601+2,201,250)))&amp;".0/24",""))</f>
        <v/>
      </c>
      <c r="D1601" s="0" t="str">
        <f aca="false">IF(I1601="","",IF(AND(J1601&gt;=1,J1601&lt;=K1601+3),"255.255.255.0",""))</f>
        <v/>
      </c>
      <c r="E1601" s="0" t="str">
        <f aca="false">IF(I1601="","",IF(AND(J1601&gt;=1,J1601&lt;=K1601+3),"10."&amp;INDEX(Eingabe!$D$9:$D$18,I1601)&amp;"."&amp;IF(J1601&lt;=K1601,J1601,IF(J1601=K1601+1,200,IF(J1601=K1601+2,201,250)))&amp;".1",""))</f>
        <v/>
      </c>
      <c r="F1601" s="0" t="str">
        <f aca="false">IF(I1601="","",IF(AND(J1601&gt;=1,J1601&lt;=K1601+3),"10."&amp;INDEX(Eingabe!$D$9:$D$18,I1601)&amp;"."&amp;IF(J1601&lt;=K1601,J1601,IF(J1601=K1601+1,200,IF(J1601=K1601+2,201,250)))&amp;".10 – 10."&amp;INDEX(Eingabe!$D$9:$D$18,I1601)&amp;"."&amp;IF(J1601&lt;=K1601,J1601,IF(J1601=K1601+1,200,IF(J1601=K1601+2,201,250)))&amp;".250",""))</f>
        <v/>
      </c>
      <c r="G1601" s="0" t="str">
        <f aca="false">IF(I1601="","",IF(AND(J1601&gt;=1,J1601&lt;=K1601),Eingabe!$B$6&amp;"-"&amp;INDEX(Eingabe!$C$9:$C$18,I1601)&amp;"-Pächter  ·  Passwort Parzelle "&amp;J1601,IF(J1601=K1601+1,Eingabe!$B$6&amp;"-"&amp;INDEX(Eingabe!$C$9:$C$18,I1601)&amp;"-Vorstand  ·  eigenes WLAN",IF(J1601=K1601+2,Eingabe!$B$6&amp;"-"&amp;INDEX(Eingabe!$C$9:$C$18,I1601)&amp;"-Gäste  ·  Voucher",IF(J1601=K1601+3,"Kabel  ·  Access Point y = .(50+y), Mast-Switch x = .(10+x)","")))))</f>
        <v/>
      </c>
      <c r="I1601" s="0" t="str">
        <f aca="false">IF(1596&lt;=(Eingabe!$P$18+Eingabe!$Q$18-1),MATCH(1596,Eingabe!$P$9:$P$18,1),"")</f>
        <v/>
      </c>
      <c r="J1601" s="0" t="str">
        <f aca="false">IF(I1601="","",1596-INDEX(Eingabe!$P$9:$P$18,I1601))</f>
        <v/>
      </c>
      <c r="K1601" s="0" t="str">
        <f aca="false">IF(I1601="","",INDEX(Eingabe!$E$9:$E$18,I1601))</f>
        <v/>
      </c>
    </row>
    <row r="1602" customFormat="false" ht="15" hidden="false" customHeight="false" outlineLevel="0" collapsed="false">
      <c r="A1602" s="0" t="str">
        <f aca="false">IF(I1602="","",IF(J1602=0,"Sparte "&amp;I1602&amp;": "&amp;INDEX(Eingabe!$B$9:$B$18,I1602)&amp;"  (Sparten-ID "&amp;INDEX(Eingabe!$D$9:$D$18,I1602)&amp;", "&amp;K1602&amp;" Parzellen)",IF(J1602&lt;=K1602,"   Parzelle "&amp;J1602,IF(J1602=K1602+1,"   Vorstand",IF(J1602=K1602+2,"   Gäste",IF(J1602=K1602+3,"   Technik (Switches, Access Points)",""))))))</f>
        <v/>
      </c>
      <c r="B1602" s="0" t="str">
        <f aca="false">IF(I1602="","",IF(AND(J1602&gt;=1,J1602&lt;=K1602+3),IF(J1602&lt;=K1602,IF(J1602&lt;=99,IF((INDEX(Eingabe!$G$9:$G$18,I1602))&lt;=9,1000+(INDEX(Eingabe!$G$9:$G$18,I1602))*100,3000)+J1602,IF((INDEX(Eingabe!$G$9:$G$18,I1602)+1)&lt;=9,1000+(INDEX(Eingabe!$G$9:$G$18,I1602)+1)*100,3000)+J1602-100),IF(J1602=K1602+1,2000+INDEX(Eingabe!$G$9:$G$18,I1602)*10+1,IF(J1602=K1602+2,2000+INDEX(Eingabe!$G$9:$G$18,I1602)*10+2,2000+INDEX(Eingabe!$G$9:$G$18,I1602)*10+9))),""))</f>
        <v/>
      </c>
      <c r="C1602" s="0" t="str">
        <f aca="false">IF(I1602="","",IF(AND(J1602&gt;=1,J1602&lt;=K1602+3),"10."&amp;INDEX(Eingabe!$D$9:$D$18,I1602)&amp;"."&amp;IF(J1602&lt;=K1602,J1602,IF(J1602=K1602+1,200,IF(J1602=K1602+2,201,250)))&amp;".0/24",""))</f>
        <v/>
      </c>
      <c r="D1602" s="0" t="str">
        <f aca="false">IF(I1602="","",IF(AND(J1602&gt;=1,J1602&lt;=K1602+3),"255.255.255.0",""))</f>
        <v/>
      </c>
      <c r="E1602" s="0" t="str">
        <f aca="false">IF(I1602="","",IF(AND(J1602&gt;=1,J1602&lt;=K1602+3),"10."&amp;INDEX(Eingabe!$D$9:$D$18,I1602)&amp;"."&amp;IF(J1602&lt;=K1602,J1602,IF(J1602=K1602+1,200,IF(J1602=K1602+2,201,250)))&amp;".1",""))</f>
        <v/>
      </c>
      <c r="F1602" s="0" t="str">
        <f aca="false">IF(I1602="","",IF(AND(J1602&gt;=1,J1602&lt;=K1602+3),"10."&amp;INDEX(Eingabe!$D$9:$D$18,I1602)&amp;"."&amp;IF(J1602&lt;=K1602,J1602,IF(J1602=K1602+1,200,IF(J1602=K1602+2,201,250)))&amp;".10 – 10."&amp;INDEX(Eingabe!$D$9:$D$18,I1602)&amp;"."&amp;IF(J1602&lt;=K1602,J1602,IF(J1602=K1602+1,200,IF(J1602=K1602+2,201,250)))&amp;".250",""))</f>
        <v/>
      </c>
      <c r="G1602" s="0" t="str">
        <f aca="false">IF(I1602="","",IF(AND(J1602&gt;=1,J1602&lt;=K1602),Eingabe!$B$6&amp;"-"&amp;INDEX(Eingabe!$C$9:$C$18,I1602)&amp;"-Pächter  ·  Passwort Parzelle "&amp;J1602,IF(J1602=K1602+1,Eingabe!$B$6&amp;"-"&amp;INDEX(Eingabe!$C$9:$C$18,I1602)&amp;"-Vorstand  ·  eigenes WLAN",IF(J1602=K1602+2,Eingabe!$B$6&amp;"-"&amp;INDEX(Eingabe!$C$9:$C$18,I1602)&amp;"-Gäste  ·  Voucher",IF(J1602=K1602+3,"Kabel  ·  Access Point y = .(50+y), Mast-Switch x = .(10+x)","")))))</f>
        <v/>
      </c>
      <c r="I1602" s="0" t="str">
        <f aca="false">IF(1597&lt;=(Eingabe!$P$18+Eingabe!$Q$18-1),MATCH(1597,Eingabe!$P$9:$P$18,1),"")</f>
        <v/>
      </c>
      <c r="J1602" s="0" t="str">
        <f aca="false">IF(I1602="","",1597-INDEX(Eingabe!$P$9:$P$18,I1602))</f>
        <v/>
      </c>
      <c r="K1602" s="0" t="str">
        <f aca="false">IF(I1602="","",INDEX(Eingabe!$E$9:$E$18,I1602))</f>
        <v/>
      </c>
    </row>
    <row r="1603" customFormat="false" ht="15" hidden="false" customHeight="false" outlineLevel="0" collapsed="false">
      <c r="A1603" s="0" t="str">
        <f aca="false">IF(I1603="","",IF(J1603=0,"Sparte "&amp;I1603&amp;": "&amp;INDEX(Eingabe!$B$9:$B$18,I1603)&amp;"  (Sparten-ID "&amp;INDEX(Eingabe!$D$9:$D$18,I1603)&amp;", "&amp;K1603&amp;" Parzellen)",IF(J1603&lt;=K1603,"   Parzelle "&amp;J1603,IF(J1603=K1603+1,"   Vorstand",IF(J1603=K1603+2,"   Gäste",IF(J1603=K1603+3,"   Technik (Switches, Access Points)",""))))))</f>
        <v/>
      </c>
      <c r="B1603" s="0" t="str">
        <f aca="false">IF(I1603="","",IF(AND(J1603&gt;=1,J1603&lt;=K1603+3),IF(J1603&lt;=K1603,IF(J1603&lt;=99,IF((INDEX(Eingabe!$G$9:$G$18,I1603))&lt;=9,1000+(INDEX(Eingabe!$G$9:$G$18,I1603))*100,3000)+J1603,IF((INDEX(Eingabe!$G$9:$G$18,I1603)+1)&lt;=9,1000+(INDEX(Eingabe!$G$9:$G$18,I1603)+1)*100,3000)+J1603-100),IF(J1603=K1603+1,2000+INDEX(Eingabe!$G$9:$G$18,I1603)*10+1,IF(J1603=K1603+2,2000+INDEX(Eingabe!$G$9:$G$18,I1603)*10+2,2000+INDEX(Eingabe!$G$9:$G$18,I1603)*10+9))),""))</f>
        <v/>
      </c>
      <c r="C1603" s="0" t="str">
        <f aca="false">IF(I1603="","",IF(AND(J1603&gt;=1,J1603&lt;=K1603+3),"10."&amp;INDEX(Eingabe!$D$9:$D$18,I1603)&amp;"."&amp;IF(J1603&lt;=K1603,J1603,IF(J1603=K1603+1,200,IF(J1603=K1603+2,201,250)))&amp;".0/24",""))</f>
        <v/>
      </c>
      <c r="D1603" s="0" t="str">
        <f aca="false">IF(I1603="","",IF(AND(J1603&gt;=1,J1603&lt;=K1603+3),"255.255.255.0",""))</f>
        <v/>
      </c>
      <c r="E1603" s="0" t="str">
        <f aca="false">IF(I1603="","",IF(AND(J1603&gt;=1,J1603&lt;=K1603+3),"10."&amp;INDEX(Eingabe!$D$9:$D$18,I1603)&amp;"."&amp;IF(J1603&lt;=K1603,J1603,IF(J1603=K1603+1,200,IF(J1603=K1603+2,201,250)))&amp;".1",""))</f>
        <v/>
      </c>
      <c r="F1603" s="0" t="str">
        <f aca="false">IF(I1603="","",IF(AND(J1603&gt;=1,J1603&lt;=K1603+3),"10."&amp;INDEX(Eingabe!$D$9:$D$18,I1603)&amp;"."&amp;IF(J1603&lt;=K1603,J1603,IF(J1603=K1603+1,200,IF(J1603=K1603+2,201,250)))&amp;".10 – 10."&amp;INDEX(Eingabe!$D$9:$D$18,I1603)&amp;"."&amp;IF(J1603&lt;=K1603,J1603,IF(J1603=K1603+1,200,IF(J1603=K1603+2,201,250)))&amp;".250",""))</f>
        <v/>
      </c>
      <c r="G1603" s="0" t="str">
        <f aca="false">IF(I1603="","",IF(AND(J1603&gt;=1,J1603&lt;=K1603),Eingabe!$B$6&amp;"-"&amp;INDEX(Eingabe!$C$9:$C$18,I1603)&amp;"-Pächter  ·  Passwort Parzelle "&amp;J1603,IF(J1603=K1603+1,Eingabe!$B$6&amp;"-"&amp;INDEX(Eingabe!$C$9:$C$18,I1603)&amp;"-Vorstand  ·  eigenes WLAN",IF(J1603=K1603+2,Eingabe!$B$6&amp;"-"&amp;INDEX(Eingabe!$C$9:$C$18,I1603)&amp;"-Gäste  ·  Voucher",IF(J1603=K1603+3,"Kabel  ·  Access Point y = .(50+y), Mast-Switch x = .(10+x)","")))))</f>
        <v/>
      </c>
      <c r="I1603" s="0" t="str">
        <f aca="false">IF(1598&lt;=(Eingabe!$P$18+Eingabe!$Q$18-1),MATCH(1598,Eingabe!$P$9:$P$18,1),"")</f>
        <v/>
      </c>
      <c r="J1603" s="0" t="str">
        <f aca="false">IF(I1603="","",1598-INDEX(Eingabe!$P$9:$P$18,I1603))</f>
        <v/>
      </c>
      <c r="K1603" s="0" t="str">
        <f aca="false">IF(I1603="","",INDEX(Eingabe!$E$9:$E$18,I1603))</f>
        <v/>
      </c>
    </row>
    <row r="1604" customFormat="false" ht="15" hidden="false" customHeight="false" outlineLevel="0" collapsed="false">
      <c r="A1604" s="0" t="str">
        <f aca="false">IF(I1604="","",IF(J1604=0,"Sparte "&amp;I1604&amp;": "&amp;INDEX(Eingabe!$B$9:$B$18,I1604)&amp;"  (Sparten-ID "&amp;INDEX(Eingabe!$D$9:$D$18,I1604)&amp;", "&amp;K1604&amp;" Parzellen)",IF(J1604&lt;=K1604,"   Parzelle "&amp;J1604,IF(J1604=K1604+1,"   Vorstand",IF(J1604=K1604+2,"   Gäste",IF(J1604=K1604+3,"   Technik (Switches, Access Points)",""))))))</f>
        <v/>
      </c>
      <c r="B1604" s="0" t="str">
        <f aca="false">IF(I1604="","",IF(AND(J1604&gt;=1,J1604&lt;=K1604+3),IF(J1604&lt;=K1604,IF(J1604&lt;=99,IF((INDEX(Eingabe!$G$9:$G$18,I1604))&lt;=9,1000+(INDEX(Eingabe!$G$9:$G$18,I1604))*100,3000)+J1604,IF((INDEX(Eingabe!$G$9:$G$18,I1604)+1)&lt;=9,1000+(INDEX(Eingabe!$G$9:$G$18,I1604)+1)*100,3000)+J1604-100),IF(J1604=K1604+1,2000+INDEX(Eingabe!$G$9:$G$18,I1604)*10+1,IF(J1604=K1604+2,2000+INDEX(Eingabe!$G$9:$G$18,I1604)*10+2,2000+INDEX(Eingabe!$G$9:$G$18,I1604)*10+9))),""))</f>
        <v/>
      </c>
      <c r="C1604" s="0" t="str">
        <f aca="false">IF(I1604="","",IF(AND(J1604&gt;=1,J1604&lt;=K1604+3),"10."&amp;INDEX(Eingabe!$D$9:$D$18,I1604)&amp;"."&amp;IF(J1604&lt;=K1604,J1604,IF(J1604=K1604+1,200,IF(J1604=K1604+2,201,250)))&amp;".0/24",""))</f>
        <v/>
      </c>
      <c r="D1604" s="0" t="str">
        <f aca="false">IF(I1604="","",IF(AND(J1604&gt;=1,J1604&lt;=K1604+3),"255.255.255.0",""))</f>
        <v/>
      </c>
      <c r="E1604" s="0" t="str">
        <f aca="false">IF(I1604="","",IF(AND(J1604&gt;=1,J1604&lt;=K1604+3),"10."&amp;INDEX(Eingabe!$D$9:$D$18,I1604)&amp;"."&amp;IF(J1604&lt;=K1604,J1604,IF(J1604=K1604+1,200,IF(J1604=K1604+2,201,250)))&amp;".1",""))</f>
        <v/>
      </c>
      <c r="F1604" s="0" t="str">
        <f aca="false">IF(I1604="","",IF(AND(J1604&gt;=1,J1604&lt;=K1604+3),"10."&amp;INDEX(Eingabe!$D$9:$D$18,I1604)&amp;"."&amp;IF(J1604&lt;=K1604,J1604,IF(J1604=K1604+1,200,IF(J1604=K1604+2,201,250)))&amp;".10 – 10."&amp;INDEX(Eingabe!$D$9:$D$18,I1604)&amp;"."&amp;IF(J1604&lt;=K1604,J1604,IF(J1604=K1604+1,200,IF(J1604=K1604+2,201,250)))&amp;".250",""))</f>
        <v/>
      </c>
      <c r="G1604" s="0" t="str">
        <f aca="false">IF(I1604="","",IF(AND(J1604&gt;=1,J1604&lt;=K1604),Eingabe!$B$6&amp;"-"&amp;INDEX(Eingabe!$C$9:$C$18,I1604)&amp;"-Pächter  ·  Passwort Parzelle "&amp;J1604,IF(J1604=K1604+1,Eingabe!$B$6&amp;"-"&amp;INDEX(Eingabe!$C$9:$C$18,I1604)&amp;"-Vorstand  ·  eigenes WLAN",IF(J1604=K1604+2,Eingabe!$B$6&amp;"-"&amp;INDEX(Eingabe!$C$9:$C$18,I1604)&amp;"-Gäste  ·  Voucher",IF(J1604=K1604+3,"Kabel  ·  Access Point y = .(50+y), Mast-Switch x = .(10+x)","")))))</f>
        <v/>
      </c>
      <c r="I1604" s="0" t="str">
        <f aca="false">IF(1599&lt;=(Eingabe!$P$18+Eingabe!$Q$18-1),MATCH(1599,Eingabe!$P$9:$P$18,1),"")</f>
        <v/>
      </c>
      <c r="J1604" s="0" t="str">
        <f aca="false">IF(I1604="","",1599-INDEX(Eingabe!$P$9:$P$18,I1604))</f>
        <v/>
      </c>
      <c r="K1604" s="0" t="str">
        <f aca="false">IF(I1604="","",INDEX(Eingabe!$E$9:$E$18,I1604))</f>
        <v/>
      </c>
    </row>
    <row r="1605" customFormat="false" ht="15" hidden="false" customHeight="false" outlineLevel="0" collapsed="false">
      <c r="A1605" s="0" t="str">
        <f aca="false">IF(I1605="","",IF(J1605=0,"Sparte "&amp;I1605&amp;": "&amp;INDEX(Eingabe!$B$9:$B$18,I1605)&amp;"  (Sparten-ID "&amp;INDEX(Eingabe!$D$9:$D$18,I1605)&amp;", "&amp;K1605&amp;" Parzellen)",IF(J1605&lt;=K1605,"   Parzelle "&amp;J1605,IF(J1605=K1605+1,"   Vorstand",IF(J1605=K1605+2,"   Gäste",IF(J1605=K1605+3,"   Technik (Switches, Access Points)",""))))))</f>
        <v/>
      </c>
      <c r="B1605" s="0" t="str">
        <f aca="false">IF(I1605="","",IF(AND(J1605&gt;=1,J1605&lt;=K1605+3),IF(J1605&lt;=K1605,IF(J1605&lt;=99,IF((INDEX(Eingabe!$G$9:$G$18,I1605))&lt;=9,1000+(INDEX(Eingabe!$G$9:$G$18,I1605))*100,3000)+J1605,IF((INDEX(Eingabe!$G$9:$G$18,I1605)+1)&lt;=9,1000+(INDEX(Eingabe!$G$9:$G$18,I1605)+1)*100,3000)+J1605-100),IF(J1605=K1605+1,2000+INDEX(Eingabe!$G$9:$G$18,I1605)*10+1,IF(J1605=K1605+2,2000+INDEX(Eingabe!$G$9:$G$18,I1605)*10+2,2000+INDEX(Eingabe!$G$9:$G$18,I1605)*10+9))),""))</f>
        <v/>
      </c>
      <c r="C1605" s="0" t="str">
        <f aca="false">IF(I1605="","",IF(AND(J1605&gt;=1,J1605&lt;=K1605+3),"10."&amp;INDEX(Eingabe!$D$9:$D$18,I1605)&amp;"."&amp;IF(J1605&lt;=K1605,J1605,IF(J1605=K1605+1,200,IF(J1605=K1605+2,201,250)))&amp;".0/24",""))</f>
        <v/>
      </c>
      <c r="D1605" s="0" t="str">
        <f aca="false">IF(I1605="","",IF(AND(J1605&gt;=1,J1605&lt;=K1605+3),"255.255.255.0",""))</f>
        <v/>
      </c>
      <c r="E1605" s="0" t="str">
        <f aca="false">IF(I1605="","",IF(AND(J1605&gt;=1,J1605&lt;=K1605+3),"10."&amp;INDEX(Eingabe!$D$9:$D$18,I1605)&amp;"."&amp;IF(J1605&lt;=K1605,J1605,IF(J1605=K1605+1,200,IF(J1605=K1605+2,201,250)))&amp;".1",""))</f>
        <v/>
      </c>
      <c r="F1605" s="0" t="str">
        <f aca="false">IF(I1605="","",IF(AND(J1605&gt;=1,J1605&lt;=K1605+3),"10."&amp;INDEX(Eingabe!$D$9:$D$18,I1605)&amp;"."&amp;IF(J1605&lt;=K1605,J1605,IF(J1605=K1605+1,200,IF(J1605=K1605+2,201,250)))&amp;".10 – 10."&amp;INDEX(Eingabe!$D$9:$D$18,I1605)&amp;"."&amp;IF(J1605&lt;=K1605,J1605,IF(J1605=K1605+1,200,IF(J1605=K1605+2,201,250)))&amp;".250",""))</f>
        <v/>
      </c>
      <c r="G1605" s="0" t="str">
        <f aca="false">IF(I1605="","",IF(AND(J1605&gt;=1,J1605&lt;=K1605),Eingabe!$B$6&amp;"-"&amp;INDEX(Eingabe!$C$9:$C$18,I1605)&amp;"-Pächter  ·  Passwort Parzelle "&amp;J1605,IF(J1605=K1605+1,Eingabe!$B$6&amp;"-"&amp;INDEX(Eingabe!$C$9:$C$18,I1605)&amp;"-Vorstand  ·  eigenes WLAN",IF(J1605=K1605+2,Eingabe!$B$6&amp;"-"&amp;INDEX(Eingabe!$C$9:$C$18,I1605)&amp;"-Gäste  ·  Voucher",IF(J1605=K1605+3,"Kabel  ·  Access Point y = .(50+y), Mast-Switch x = .(10+x)","")))))</f>
        <v/>
      </c>
      <c r="I1605" s="0" t="str">
        <f aca="false">IF(1600&lt;=(Eingabe!$P$18+Eingabe!$Q$18-1),MATCH(1600,Eingabe!$P$9:$P$18,1),"")</f>
        <v/>
      </c>
      <c r="J1605" s="0" t="str">
        <f aca="false">IF(I1605="","",1600-INDEX(Eingabe!$P$9:$P$18,I1605))</f>
        <v/>
      </c>
      <c r="K1605" s="0" t="str">
        <f aca="false">IF(I1605="","",INDEX(Eingabe!$E$9:$E$18,I1605))</f>
        <v/>
      </c>
    </row>
    <row r="1606" customFormat="false" ht="15" hidden="false" customHeight="false" outlineLevel="0" collapsed="false">
      <c r="A1606" s="0" t="str">
        <f aca="false">IF(I1606="","",IF(J1606=0,"Sparte "&amp;I1606&amp;": "&amp;INDEX(Eingabe!$B$9:$B$18,I1606)&amp;"  (Sparten-ID "&amp;INDEX(Eingabe!$D$9:$D$18,I1606)&amp;", "&amp;K1606&amp;" Parzellen)",IF(J1606&lt;=K1606,"   Parzelle "&amp;J1606,IF(J1606=K1606+1,"   Vorstand",IF(J1606=K1606+2,"   Gäste",IF(J1606=K1606+3,"   Technik (Switches, Access Points)",""))))))</f>
        <v/>
      </c>
      <c r="B1606" s="0" t="str">
        <f aca="false">IF(I1606="","",IF(AND(J1606&gt;=1,J1606&lt;=K1606+3),IF(J1606&lt;=K1606,IF(J1606&lt;=99,IF((INDEX(Eingabe!$G$9:$G$18,I1606))&lt;=9,1000+(INDEX(Eingabe!$G$9:$G$18,I1606))*100,3000)+J1606,IF((INDEX(Eingabe!$G$9:$G$18,I1606)+1)&lt;=9,1000+(INDEX(Eingabe!$G$9:$G$18,I1606)+1)*100,3000)+J1606-100),IF(J1606=K1606+1,2000+INDEX(Eingabe!$G$9:$G$18,I1606)*10+1,IF(J1606=K1606+2,2000+INDEX(Eingabe!$G$9:$G$18,I1606)*10+2,2000+INDEX(Eingabe!$G$9:$G$18,I1606)*10+9))),""))</f>
        <v/>
      </c>
      <c r="C1606" s="0" t="str">
        <f aca="false">IF(I1606="","",IF(AND(J1606&gt;=1,J1606&lt;=K1606+3),"10."&amp;INDEX(Eingabe!$D$9:$D$18,I1606)&amp;"."&amp;IF(J1606&lt;=K1606,J1606,IF(J1606=K1606+1,200,IF(J1606=K1606+2,201,250)))&amp;".0/24",""))</f>
        <v/>
      </c>
      <c r="D1606" s="0" t="str">
        <f aca="false">IF(I1606="","",IF(AND(J1606&gt;=1,J1606&lt;=K1606+3),"255.255.255.0",""))</f>
        <v/>
      </c>
      <c r="E1606" s="0" t="str">
        <f aca="false">IF(I1606="","",IF(AND(J1606&gt;=1,J1606&lt;=K1606+3),"10."&amp;INDEX(Eingabe!$D$9:$D$18,I1606)&amp;"."&amp;IF(J1606&lt;=K1606,J1606,IF(J1606=K1606+1,200,IF(J1606=K1606+2,201,250)))&amp;".1",""))</f>
        <v/>
      </c>
      <c r="F1606" s="0" t="str">
        <f aca="false">IF(I1606="","",IF(AND(J1606&gt;=1,J1606&lt;=K1606+3),"10."&amp;INDEX(Eingabe!$D$9:$D$18,I1606)&amp;"."&amp;IF(J1606&lt;=K1606,J1606,IF(J1606=K1606+1,200,IF(J1606=K1606+2,201,250)))&amp;".10 – 10."&amp;INDEX(Eingabe!$D$9:$D$18,I1606)&amp;"."&amp;IF(J1606&lt;=K1606,J1606,IF(J1606=K1606+1,200,IF(J1606=K1606+2,201,250)))&amp;".250",""))</f>
        <v/>
      </c>
      <c r="G1606" s="0" t="str">
        <f aca="false">IF(I1606="","",IF(AND(J1606&gt;=1,J1606&lt;=K1606),Eingabe!$B$6&amp;"-"&amp;INDEX(Eingabe!$C$9:$C$18,I1606)&amp;"-Pächter  ·  Passwort Parzelle "&amp;J1606,IF(J1606=K1606+1,Eingabe!$B$6&amp;"-"&amp;INDEX(Eingabe!$C$9:$C$18,I1606)&amp;"-Vorstand  ·  eigenes WLAN",IF(J1606=K1606+2,Eingabe!$B$6&amp;"-"&amp;INDEX(Eingabe!$C$9:$C$18,I1606)&amp;"-Gäste  ·  Voucher",IF(J1606=K1606+3,"Kabel  ·  Access Point y = .(50+y), Mast-Switch x = .(10+x)","")))))</f>
        <v/>
      </c>
      <c r="I1606" s="0" t="str">
        <f aca="false">IF(1601&lt;=(Eingabe!$P$18+Eingabe!$Q$18-1),MATCH(1601,Eingabe!$P$9:$P$18,1),"")</f>
        <v/>
      </c>
      <c r="J1606" s="0" t="str">
        <f aca="false">IF(I1606="","",1601-INDEX(Eingabe!$P$9:$P$18,I1606))</f>
        <v/>
      </c>
      <c r="K1606" s="0" t="str">
        <f aca="false">IF(I1606="","",INDEX(Eingabe!$E$9:$E$18,I1606))</f>
        <v/>
      </c>
    </row>
    <row r="1607" customFormat="false" ht="15" hidden="false" customHeight="false" outlineLevel="0" collapsed="false">
      <c r="A1607" s="0" t="str">
        <f aca="false">IF(I1607="","",IF(J1607=0,"Sparte "&amp;I1607&amp;": "&amp;INDEX(Eingabe!$B$9:$B$18,I1607)&amp;"  (Sparten-ID "&amp;INDEX(Eingabe!$D$9:$D$18,I1607)&amp;", "&amp;K1607&amp;" Parzellen)",IF(J1607&lt;=K1607,"   Parzelle "&amp;J1607,IF(J1607=K1607+1,"   Vorstand",IF(J1607=K1607+2,"   Gäste",IF(J1607=K1607+3,"   Technik (Switches, Access Points)",""))))))</f>
        <v/>
      </c>
      <c r="B1607" s="0" t="str">
        <f aca="false">IF(I1607="","",IF(AND(J1607&gt;=1,J1607&lt;=K1607+3),IF(J1607&lt;=K1607,IF(J1607&lt;=99,IF((INDEX(Eingabe!$G$9:$G$18,I1607))&lt;=9,1000+(INDEX(Eingabe!$G$9:$G$18,I1607))*100,3000)+J1607,IF((INDEX(Eingabe!$G$9:$G$18,I1607)+1)&lt;=9,1000+(INDEX(Eingabe!$G$9:$G$18,I1607)+1)*100,3000)+J1607-100),IF(J1607=K1607+1,2000+INDEX(Eingabe!$G$9:$G$18,I1607)*10+1,IF(J1607=K1607+2,2000+INDEX(Eingabe!$G$9:$G$18,I1607)*10+2,2000+INDEX(Eingabe!$G$9:$G$18,I1607)*10+9))),""))</f>
        <v/>
      </c>
      <c r="C1607" s="0" t="str">
        <f aca="false">IF(I1607="","",IF(AND(J1607&gt;=1,J1607&lt;=K1607+3),"10."&amp;INDEX(Eingabe!$D$9:$D$18,I1607)&amp;"."&amp;IF(J1607&lt;=K1607,J1607,IF(J1607=K1607+1,200,IF(J1607=K1607+2,201,250)))&amp;".0/24",""))</f>
        <v/>
      </c>
      <c r="D1607" s="0" t="str">
        <f aca="false">IF(I1607="","",IF(AND(J1607&gt;=1,J1607&lt;=K1607+3),"255.255.255.0",""))</f>
        <v/>
      </c>
      <c r="E1607" s="0" t="str">
        <f aca="false">IF(I1607="","",IF(AND(J1607&gt;=1,J1607&lt;=K1607+3),"10."&amp;INDEX(Eingabe!$D$9:$D$18,I1607)&amp;"."&amp;IF(J1607&lt;=K1607,J1607,IF(J1607=K1607+1,200,IF(J1607=K1607+2,201,250)))&amp;".1",""))</f>
        <v/>
      </c>
      <c r="F1607" s="0" t="str">
        <f aca="false">IF(I1607="","",IF(AND(J1607&gt;=1,J1607&lt;=K1607+3),"10."&amp;INDEX(Eingabe!$D$9:$D$18,I1607)&amp;"."&amp;IF(J1607&lt;=K1607,J1607,IF(J1607=K1607+1,200,IF(J1607=K1607+2,201,250)))&amp;".10 – 10."&amp;INDEX(Eingabe!$D$9:$D$18,I1607)&amp;"."&amp;IF(J1607&lt;=K1607,J1607,IF(J1607=K1607+1,200,IF(J1607=K1607+2,201,250)))&amp;".250",""))</f>
        <v/>
      </c>
      <c r="G1607" s="0" t="str">
        <f aca="false">IF(I1607="","",IF(AND(J1607&gt;=1,J1607&lt;=K1607),Eingabe!$B$6&amp;"-"&amp;INDEX(Eingabe!$C$9:$C$18,I1607)&amp;"-Pächter  ·  Passwort Parzelle "&amp;J1607,IF(J1607=K1607+1,Eingabe!$B$6&amp;"-"&amp;INDEX(Eingabe!$C$9:$C$18,I1607)&amp;"-Vorstand  ·  eigenes WLAN",IF(J1607=K1607+2,Eingabe!$B$6&amp;"-"&amp;INDEX(Eingabe!$C$9:$C$18,I1607)&amp;"-Gäste  ·  Voucher",IF(J1607=K1607+3,"Kabel  ·  Access Point y = .(50+y), Mast-Switch x = .(10+x)","")))))</f>
        <v/>
      </c>
      <c r="I1607" s="0" t="str">
        <f aca="false">IF(1602&lt;=(Eingabe!$P$18+Eingabe!$Q$18-1),MATCH(1602,Eingabe!$P$9:$P$18,1),"")</f>
        <v/>
      </c>
      <c r="J1607" s="0" t="str">
        <f aca="false">IF(I1607="","",1602-INDEX(Eingabe!$P$9:$P$18,I1607))</f>
        <v/>
      </c>
      <c r="K1607" s="0" t="str">
        <f aca="false">IF(I1607="","",INDEX(Eingabe!$E$9:$E$18,I1607))</f>
        <v/>
      </c>
    </row>
    <row r="1608" customFormat="false" ht="15" hidden="false" customHeight="false" outlineLevel="0" collapsed="false">
      <c r="A1608" s="0" t="str">
        <f aca="false">IF(I1608="","",IF(J1608=0,"Sparte "&amp;I1608&amp;": "&amp;INDEX(Eingabe!$B$9:$B$18,I1608)&amp;"  (Sparten-ID "&amp;INDEX(Eingabe!$D$9:$D$18,I1608)&amp;", "&amp;K1608&amp;" Parzellen)",IF(J1608&lt;=K1608,"   Parzelle "&amp;J1608,IF(J1608=K1608+1,"   Vorstand",IF(J1608=K1608+2,"   Gäste",IF(J1608=K1608+3,"   Technik (Switches, Access Points)",""))))))</f>
        <v/>
      </c>
      <c r="B1608" s="0" t="str">
        <f aca="false">IF(I1608="","",IF(AND(J1608&gt;=1,J1608&lt;=K1608+3),IF(J1608&lt;=K1608,IF(J1608&lt;=99,IF((INDEX(Eingabe!$G$9:$G$18,I1608))&lt;=9,1000+(INDEX(Eingabe!$G$9:$G$18,I1608))*100,3000)+J1608,IF((INDEX(Eingabe!$G$9:$G$18,I1608)+1)&lt;=9,1000+(INDEX(Eingabe!$G$9:$G$18,I1608)+1)*100,3000)+J1608-100),IF(J1608=K1608+1,2000+INDEX(Eingabe!$G$9:$G$18,I1608)*10+1,IF(J1608=K1608+2,2000+INDEX(Eingabe!$G$9:$G$18,I1608)*10+2,2000+INDEX(Eingabe!$G$9:$G$18,I1608)*10+9))),""))</f>
        <v/>
      </c>
      <c r="C1608" s="0" t="str">
        <f aca="false">IF(I1608="","",IF(AND(J1608&gt;=1,J1608&lt;=K1608+3),"10."&amp;INDEX(Eingabe!$D$9:$D$18,I1608)&amp;"."&amp;IF(J1608&lt;=K1608,J1608,IF(J1608=K1608+1,200,IF(J1608=K1608+2,201,250)))&amp;".0/24",""))</f>
        <v/>
      </c>
      <c r="D1608" s="0" t="str">
        <f aca="false">IF(I1608="","",IF(AND(J1608&gt;=1,J1608&lt;=K1608+3),"255.255.255.0",""))</f>
        <v/>
      </c>
      <c r="E1608" s="0" t="str">
        <f aca="false">IF(I1608="","",IF(AND(J1608&gt;=1,J1608&lt;=K1608+3),"10."&amp;INDEX(Eingabe!$D$9:$D$18,I1608)&amp;"."&amp;IF(J1608&lt;=K1608,J1608,IF(J1608=K1608+1,200,IF(J1608=K1608+2,201,250)))&amp;".1",""))</f>
        <v/>
      </c>
      <c r="F1608" s="0" t="str">
        <f aca="false">IF(I1608="","",IF(AND(J1608&gt;=1,J1608&lt;=K1608+3),"10."&amp;INDEX(Eingabe!$D$9:$D$18,I1608)&amp;"."&amp;IF(J1608&lt;=K1608,J1608,IF(J1608=K1608+1,200,IF(J1608=K1608+2,201,250)))&amp;".10 – 10."&amp;INDEX(Eingabe!$D$9:$D$18,I1608)&amp;"."&amp;IF(J1608&lt;=K1608,J1608,IF(J1608=K1608+1,200,IF(J1608=K1608+2,201,250)))&amp;".250",""))</f>
        <v/>
      </c>
      <c r="G1608" s="0" t="str">
        <f aca="false">IF(I1608="","",IF(AND(J1608&gt;=1,J1608&lt;=K1608),Eingabe!$B$6&amp;"-"&amp;INDEX(Eingabe!$C$9:$C$18,I1608)&amp;"-Pächter  ·  Passwort Parzelle "&amp;J1608,IF(J1608=K1608+1,Eingabe!$B$6&amp;"-"&amp;INDEX(Eingabe!$C$9:$C$18,I1608)&amp;"-Vorstand  ·  eigenes WLAN",IF(J1608=K1608+2,Eingabe!$B$6&amp;"-"&amp;INDEX(Eingabe!$C$9:$C$18,I1608)&amp;"-Gäste  ·  Voucher",IF(J1608=K1608+3,"Kabel  ·  Access Point y = .(50+y), Mast-Switch x = .(10+x)","")))))</f>
        <v/>
      </c>
      <c r="I1608" s="0" t="str">
        <f aca="false">IF(1603&lt;=(Eingabe!$P$18+Eingabe!$Q$18-1),MATCH(1603,Eingabe!$P$9:$P$18,1),"")</f>
        <v/>
      </c>
      <c r="J1608" s="0" t="str">
        <f aca="false">IF(I1608="","",1603-INDEX(Eingabe!$P$9:$P$18,I1608))</f>
        <v/>
      </c>
      <c r="K1608" s="0" t="str">
        <f aca="false">IF(I1608="","",INDEX(Eingabe!$E$9:$E$18,I1608))</f>
        <v/>
      </c>
    </row>
    <row r="1609" customFormat="false" ht="15" hidden="false" customHeight="false" outlineLevel="0" collapsed="false">
      <c r="A1609" s="0" t="str">
        <f aca="false">IF(I1609="","",IF(J1609=0,"Sparte "&amp;I1609&amp;": "&amp;INDEX(Eingabe!$B$9:$B$18,I1609)&amp;"  (Sparten-ID "&amp;INDEX(Eingabe!$D$9:$D$18,I1609)&amp;", "&amp;K1609&amp;" Parzellen)",IF(J1609&lt;=K1609,"   Parzelle "&amp;J1609,IF(J1609=K1609+1,"   Vorstand",IF(J1609=K1609+2,"   Gäste",IF(J1609=K1609+3,"   Technik (Switches, Access Points)",""))))))</f>
        <v/>
      </c>
      <c r="B1609" s="0" t="str">
        <f aca="false">IF(I1609="","",IF(AND(J1609&gt;=1,J1609&lt;=K1609+3),IF(J1609&lt;=K1609,IF(J1609&lt;=99,IF((INDEX(Eingabe!$G$9:$G$18,I1609))&lt;=9,1000+(INDEX(Eingabe!$G$9:$G$18,I1609))*100,3000)+J1609,IF((INDEX(Eingabe!$G$9:$G$18,I1609)+1)&lt;=9,1000+(INDEX(Eingabe!$G$9:$G$18,I1609)+1)*100,3000)+J1609-100),IF(J1609=K1609+1,2000+INDEX(Eingabe!$G$9:$G$18,I1609)*10+1,IF(J1609=K1609+2,2000+INDEX(Eingabe!$G$9:$G$18,I1609)*10+2,2000+INDEX(Eingabe!$G$9:$G$18,I1609)*10+9))),""))</f>
        <v/>
      </c>
      <c r="C1609" s="0" t="str">
        <f aca="false">IF(I1609="","",IF(AND(J1609&gt;=1,J1609&lt;=K1609+3),"10."&amp;INDEX(Eingabe!$D$9:$D$18,I1609)&amp;"."&amp;IF(J1609&lt;=K1609,J1609,IF(J1609=K1609+1,200,IF(J1609=K1609+2,201,250)))&amp;".0/24",""))</f>
        <v/>
      </c>
      <c r="D1609" s="0" t="str">
        <f aca="false">IF(I1609="","",IF(AND(J1609&gt;=1,J1609&lt;=K1609+3),"255.255.255.0",""))</f>
        <v/>
      </c>
      <c r="E1609" s="0" t="str">
        <f aca="false">IF(I1609="","",IF(AND(J1609&gt;=1,J1609&lt;=K1609+3),"10."&amp;INDEX(Eingabe!$D$9:$D$18,I1609)&amp;"."&amp;IF(J1609&lt;=K1609,J1609,IF(J1609=K1609+1,200,IF(J1609=K1609+2,201,250)))&amp;".1",""))</f>
        <v/>
      </c>
      <c r="F1609" s="0" t="str">
        <f aca="false">IF(I1609="","",IF(AND(J1609&gt;=1,J1609&lt;=K1609+3),"10."&amp;INDEX(Eingabe!$D$9:$D$18,I1609)&amp;"."&amp;IF(J1609&lt;=K1609,J1609,IF(J1609=K1609+1,200,IF(J1609=K1609+2,201,250)))&amp;".10 – 10."&amp;INDEX(Eingabe!$D$9:$D$18,I1609)&amp;"."&amp;IF(J1609&lt;=K1609,J1609,IF(J1609=K1609+1,200,IF(J1609=K1609+2,201,250)))&amp;".250",""))</f>
        <v/>
      </c>
      <c r="G1609" s="0" t="str">
        <f aca="false">IF(I1609="","",IF(AND(J1609&gt;=1,J1609&lt;=K1609),Eingabe!$B$6&amp;"-"&amp;INDEX(Eingabe!$C$9:$C$18,I1609)&amp;"-Pächter  ·  Passwort Parzelle "&amp;J1609,IF(J1609=K1609+1,Eingabe!$B$6&amp;"-"&amp;INDEX(Eingabe!$C$9:$C$18,I1609)&amp;"-Vorstand  ·  eigenes WLAN",IF(J1609=K1609+2,Eingabe!$B$6&amp;"-"&amp;INDEX(Eingabe!$C$9:$C$18,I1609)&amp;"-Gäste  ·  Voucher",IF(J1609=K1609+3,"Kabel  ·  Access Point y = .(50+y), Mast-Switch x = .(10+x)","")))))</f>
        <v/>
      </c>
      <c r="I1609" s="0" t="str">
        <f aca="false">IF(1604&lt;=(Eingabe!$P$18+Eingabe!$Q$18-1),MATCH(1604,Eingabe!$P$9:$P$18,1),"")</f>
        <v/>
      </c>
      <c r="J1609" s="0" t="str">
        <f aca="false">IF(I1609="","",1604-INDEX(Eingabe!$P$9:$P$18,I1609))</f>
        <v/>
      </c>
      <c r="K1609" s="0" t="str">
        <f aca="false">IF(I1609="","",INDEX(Eingabe!$E$9:$E$18,I1609))</f>
        <v/>
      </c>
    </row>
    <row r="1610" customFormat="false" ht="15" hidden="false" customHeight="false" outlineLevel="0" collapsed="false">
      <c r="A1610" s="0" t="str">
        <f aca="false">IF(I1610="","",IF(J1610=0,"Sparte "&amp;I1610&amp;": "&amp;INDEX(Eingabe!$B$9:$B$18,I1610)&amp;"  (Sparten-ID "&amp;INDEX(Eingabe!$D$9:$D$18,I1610)&amp;", "&amp;K1610&amp;" Parzellen)",IF(J1610&lt;=K1610,"   Parzelle "&amp;J1610,IF(J1610=K1610+1,"   Vorstand",IF(J1610=K1610+2,"   Gäste",IF(J1610=K1610+3,"   Technik (Switches, Access Points)",""))))))</f>
        <v/>
      </c>
      <c r="B1610" s="0" t="str">
        <f aca="false">IF(I1610="","",IF(AND(J1610&gt;=1,J1610&lt;=K1610+3),IF(J1610&lt;=K1610,IF(J1610&lt;=99,IF((INDEX(Eingabe!$G$9:$G$18,I1610))&lt;=9,1000+(INDEX(Eingabe!$G$9:$G$18,I1610))*100,3000)+J1610,IF((INDEX(Eingabe!$G$9:$G$18,I1610)+1)&lt;=9,1000+(INDEX(Eingabe!$G$9:$G$18,I1610)+1)*100,3000)+J1610-100),IF(J1610=K1610+1,2000+INDEX(Eingabe!$G$9:$G$18,I1610)*10+1,IF(J1610=K1610+2,2000+INDEX(Eingabe!$G$9:$G$18,I1610)*10+2,2000+INDEX(Eingabe!$G$9:$G$18,I1610)*10+9))),""))</f>
        <v/>
      </c>
      <c r="C1610" s="0" t="str">
        <f aca="false">IF(I1610="","",IF(AND(J1610&gt;=1,J1610&lt;=K1610+3),"10."&amp;INDEX(Eingabe!$D$9:$D$18,I1610)&amp;"."&amp;IF(J1610&lt;=K1610,J1610,IF(J1610=K1610+1,200,IF(J1610=K1610+2,201,250)))&amp;".0/24",""))</f>
        <v/>
      </c>
      <c r="D1610" s="0" t="str">
        <f aca="false">IF(I1610="","",IF(AND(J1610&gt;=1,J1610&lt;=K1610+3),"255.255.255.0",""))</f>
        <v/>
      </c>
      <c r="E1610" s="0" t="str">
        <f aca="false">IF(I1610="","",IF(AND(J1610&gt;=1,J1610&lt;=K1610+3),"10."&amp;INDEX(Eingabe!$D$9:$D$18,I1610)&amp;"."&amp;IF(J1610&lt;=K1610,J1610,IF(J1610=K1610+1,200,IF(J1610=K1610+2,201,250)))&amp;".1",""))</f>
        <v/>
      </c>
      <c r="F1610" s="0" t="str">
        <f aca="false">IF(I1610="","",IF(AND(J1610&gt;=1,J1610&lt;=K1610+3),"10."&amp;INDEX(Eingabe!$D$9:$D$18,I1610)&amp;"."&amp;IF(J1610&lt;=K1610,J1610,IF(J1610=K1610+1,200,IF(J1610=K1610+2,201,250)))&amp;".10 – 10."&amp;INDEX(Eingabe!$D$9:$D$18,I1610)&amp;"."&amp;IF(J1610&lt;=K1610,J1610,IF(J1610=K1610+1,200,IF(J1610=K1610+2,201,250)))&amp;".250",""))</f>
        <v/>
      </c>
      <c r="G1610" s="0" t="str">
        <f aca="false">IF(I1610="","",IF(AND(J1610&gt;=1,J1610&lt;=K1610),Eingabe!$B$6&amp;"-"&amp;INDEX(Eingabe!$C$9:$C$18,I1610)&amp;"-Pächter  ·  Passwort Parzelle "&amp;J1610,IF(J1610=K1610+1,Eingabe!$B$6&amp;"-"&amp;INDEX(Eingabe!$C$9:$C$18,I1610)&amp;"-Vorstand  ·  eigenes WLAN",IF(J1610=K1610+2,Eingabe!$B$6&amp;"-"&amp;INDEX(Eingabe!$C$9:$C$18,I1610)&amp;"-Gäste  ·  Voucher",IF(J1610=K1610+3,"Kabel  ·  Access Point y = .(50+y), Mast-Switch x = .(10+x)","")))))</f>
        <v/>
      </c>
      <c r="I1610" s="0" t="str">
        <f aca="false">IF(1605&lt;=(Eingabe!$P$18+Eingabe!$Q$18-1),MATCH(1605,Eingabe!$P$9:$P$18,1),"")</f>
        <v/>
      </c>
      <c r="J1610" s="0" t="str">
        <f aca="false">IF(I1610="","",1605-INDEX(Eingabe!$P$9:$P$18,I1610))</f>
        <v/>
      </c>
      <c r="K1610" s="0" t="str">
        <f aca="false">IF(I1610="","",INDEX(Eingabe!$E$9:$E$18,I1610))</f>
        <v/>
      </c>
    </row>
    <row r="1611" customFormat="false" ht="15" hidden="false" customHeight="false" outlineLevel="0" collapsed="false">
      <c r="A1611" s="0" t="str">
        <f aca="false">IF(I1611="","",IF(J1611=0,"Sparte "&amp;I1611&amp;": "&amp;INDEX(Eingabe!$B$9:$B$18,I1611)&amp;"  (Sparten-ID "&amp;INDEX(Eingabe!$D$9:$D$18,I1611)&amp;", "&amp;K1611&amp;" Parzellen)",IF(J1611&lt;=K1611,"   Parzelle "&amp;J1611,IF(J1611=K1611+1,"   Vorstand",IF(J1611=K1611+2,"   Gäste",IF(J1611=K1611+3,"   Technik (Switches, Access Points)",""))))))</f>
        <v/>
      </c>
      <c r="B1611" s="0" t="str">
        <f aca="false">IF(I1611="","",IF(AND(J1611&gt;=1,J1611&lt;=K1611+3),IF(J1611&lt;=K1611,IF(J1611&lt;=99,IF((INDEX(Eingabe!$G$9:$G$18,I1611))&lt;=9,1000+(INDEX(Eingabe!$G$9:$G$18,I1611))*100,3000)+J1611,IF((INDEX(Eingabe!$G$9:$G$18,I1611)+1)&lt;=9,1000+(INDEX(Eingabe!$G$9:$G$18,I1611)+1)*100,3000)+J1611-100),IF(J1611=K1611+1,2000+INDEX(Eingabe!$G$9:$G$18,I1611)*10+1,IF(J1611=K1611+2,2000+INDEX(Eingabe!$G$9:$G$18,I1611)*10+2,2000+INDEX(Eingabe!$G$9:$G$18,I1611)*10+9))),""))</f>
        <v/>
      </c>
      <c r="C1611" s="0" t="str">
        <f aca="false">IF(I1611="","",IF(AND(J1611&gt;=1,J1611&lt;=K1611+3),"10."&amp;INDEX(Eingabe!$D$9:$D$18,I1611)&amp;"."&amp;IF(J1611&lt;=K1611,J1611,IF(J1611=K1611+1,200,IF(J1611=K1611+2,201,250)))&amp;".0/24",""))</f>
        <v/>
      </c>
      <c r="D1611" s="0" t="str">
        <f aca="false">IF(I1611="","",IF(AND(J1611&gt;=1,J1611&lt;=K1611+3),"255.255.255.0",""))</f>
        <v/>
      </c>
      <c r="E1611" s="0" t="str">
        <f aca="false">IF(I1611="","",IF(AND(J1611&gt;=1,J1611&lt;=K1611+3),"10."&amp;INDEX(Eingabe!$D$9:$D$18,I1611)&amp;"."&amp;IF(J1611&lt;=K1611,J1611,IF(J1611=K1611+1,200,IF(J1611=K1611+2,201,250)))&amp;".1",""))</f>
        <v/>
      </c>
      <c r="F1611" s="0" t="str">
        <f aca="false">IF(I1611="","",IF(AND(J1611&gt;=1,J1611&lt;=K1611+3),"10."&amp;INDEX(Eingabe!$D$9:$D$18,I1611)&amp;"."&amp;IF(J1611&lt;=K1611,J1611,IF(J1611=K1611+1,200,IF(J1611=K1611+2,201,250)))&amp;".10 – 10."&amp;INDEX(Eingabe!$D$9:$D$18,I1611)&amp;"."&amp;IF(J1611&lt;=K1611,J1611,IF(J1611=K1611+1,200,IF(J1611=K1611+2,201,250)))&amp;".250",""))</f>
        <v/>
      </c>
      <c r="G1611" s="0" t="str">
        <f aca="false">IF(I1611="","",IF(AND(J1611&gt;=1,J1611&lt;=K1611),Eingabe!$B$6&amp;"-"&amp;INDEX(Eingabe!$C$9:$C$18,I1611)&amp;"-Pächter  ·  Passwort Parzelle "&amp;J1611,IF(J1611=K1611+1,Eingabe!$B$6&amp;"-"&amp;INDEX(Eingabe!$C$9:$C$18,I1611)&amp;"-Vorstand  ·  eigenes WLAN",IF(J1611=K1611+2,Eingabe!$B$6&amp;"-"&amp;INDEX(Eingabe!$C$9:$C$18,I1611)&amp;"-Gäste  ·  Voucher",IF(J1611=K1611+3,"Kabel  ·  Access Point y = .(50+y), Mast-Switch x = .(10+x)","")))))</f>
        <v/>
      </c>
      <c r="I1611" s="0" t="str">
        <f aca="false">IF(1606&lt;=(Eingabe!$P$18+Eingabe!$Q$18-1),MATCH(1606,Eingabe!$P$9:$P$18,1),"")</f>
        <v/>
      </c>
      <c r="J1611" s="0" t="str">
        <f aca="false">IF(I1611="","",1606-INDEX(Eingabe!$P$9:$P$18,I1611))</f>
        <v/>
      </c>
      <c r="K1611" s="0" t="str">
        <f aca="false">IF(I1611="","",INDEX(Eingabe!$E$9:$E$18,I1611))</f>
        <v/>
      </c>
    </row>
    <row r="1612" customFormat="false" ht="15" hidden="false" customHeight="false" outlineLevel="0" collapsed="false">
      <c r="A1612" s="0" t="str">
        <f aca="false">IF(I1612="","",IF(J1612=0,"Sparte "&amp;I1612&amp;": "&amp;INDEX(Eingabe!$B$9:$B$18,I1612)&amp;"  (Sparten-ID "&amp;INDEX(Eingabe!$D$9:$D$18,I1612)&amp;", "&amp;K1612&amp;" Parzellen)",IF(J1612&lt;=K1612,"   Parzelle "&amp;J1612,IF(J1612=K1612+1,"   Vorstand",IF(J1612=K1612+2,"   Gäste",IF(J1612=K1612+3,"   Technik (Switches, Access Points)",""))))))</f>
        <v/>
      </c>
      <c r="B1612" s="0" t="str">
        <f aca="false">IF(I1612="","",IF(AND(J1612&gt;=1,J1612&lt;=K1612+3),IF(J1612&lt;=K1612,IF(J1612&lt;=99,IF((INDEX(Eingabe!$G$9:$G$18,I1612))&lt;=9,1000+(INDEX(Eingabe!$G$9:$G$18,I1612))*100,3000)+J1612,IF((INDEX(Eingabe!$G$9:$G$18,I1612)+1)&lt;=9,1000+(INDEX(Eingabe!$G$9:$G$18,I1612)+1)*100,3000)+J1612-100),IF(J1612=K1612+1,2000+INDEX(Eingabe!$G$9:$G$18,I1612)*10+1,IF(J1612=K1612+2,2000+INDEX(Eingabe!$G$9:$G$18,I1612)*10+2,2000+INDEX(Eingabe!$G$9:$G$18,I1612)*10+9))),""))</f>
        <v/>
      </c>
      <c r="C1612" s="0" t="str">
        <f aca="false">IF(I1612="","",IF(AND(J1612&gt;=1,J1612&lt;=K1612+3),"10."&amp;INDEX(Eingabe!$D$9:$D$18,I1612)&amp;"."&amp;IF(J1612&lt;=K1612,J1612,IF(J1612=K1612+1,200,IF(J1612=K1612+2,201,250)))&amp;".0/24",""))</f>
        <v/>
      </c>
      <c r="D1612" s="0" t="str">
        <f aca="false">IF(I1612="","",IF(AND(J1612&gt;=1,J1612&lt;=K1612+3),"255.255.255.0",""))</f>
        <v/>
      </c>
      <c r="E1612" s="0" t="str">
        <f aca="false">IF(I1612="","",IF(AND(J1612&gt;=1,J1612&lt;=K1612+3),"10."&amp;INDEX(Eingabe!$D$9:$D$18,I1612)&amp;"."&amp;IF(J1612&lt;=K1612,J1612,IF(J1612=K1612+1,200,IF(J1612=K1612+2,201,250)))&amp;".1",""))</f>
        <v/>
      </c>
      <c r="F1612" s="0" t="str">
        <f aca="false">IF(I1612="","",IF(AND(J1612&gt;=1,J1612&lt;=K1612+3),"10."&amp;INDEX(Eingabe!$D$9:$D$18,I1612)&amp;"."&amp;IF(J1612&lt;=K1612,J1612,IF(J1612=K1612+1,200,IF(J1612=K1612+2,201,250)))&amp;".10 – 10."&amp;INDEX(Eingabe!$D$9:$D$18,I1612)&amp;"."&amp;IF(J1612&lt;=K1612,J1612,IF(J1612=K1612+1,200,IF(J1612=K1612+2,201,250)))&amp;".250",""))</f>
        <v/>
      </c>
      <c r="G1612" s="0" t="str">
        <f aca="false">IF(I1612="","",IF(AND(J1612&gt;=1,J1612&lt;=K1612),Eingabe!$B$6&amp;"-"&amp;INDEX(Eingabe!$C$9:$C$18,I1612)&amp;"-Pächter  ·  Passwort Parzelle "&amp;J1612,IF(J1612=K1612+1,Eingabe!$B$6&amp;"-"&amp;INDEX(Eingabe!$C$9:$C$18,I1612)&amp;"-Vorstand  ·  eigenes WLAN",IF(J1612=K1612+2,Eingabe!$B$6&amp;"-"&amp;INDEX(Eingabe!$C$9:$C$18,I1612)&amp;"-Gäste  ·  Voucher",IF(J1612=K1612+3,"Kabel  ·  Access Point y = .(50+y), Mast-Switch x = .(10+x)","")))))</f>
        <v/>
      </c>
      <c r="I1612" s="0" t="str">
        <f aca="false">IF(1607&lt;=(Eingabe!$P$18+Eingabe!$Q$18-1),MATCH(1607,Eingabe!$P$9:$P$18,1),"")</f>
        <v/>
      </c>
      <c r="J1612" s="0" t="str">
        <f aca="false">IF(I1612="","",1607-INDEX(Eingabe!$P$9:$P$18,I1612))</f>
        <v/>
      </c>
      <c r="K1612" s="0" t="str">
        <f aca="false">IF(I1612="","",INDEX(Eingabe!$E$9:$E$18,I1612))</f>
        <v/>
      </c>
    </row>
    <row r="1613" customFormat="false" ht="15" hidden="false" customHeight="false" outlineLevel="0" collapsed="false">
      <c r="A1613" s="0" t="str">
        <f aca="false">IF(I1613="","",IF(J1613=0,"Sparte "&amp;I1613&amp;": "&amp;INDEX(Eingabe!$B$9:$B$18,I1613)&amp;"  (Sparten-ID "&amp;INDEX(Eingabe!$D$9:$D$18,I1613)&amp;", "&amp;K1613&amp;" Parzellen)",IF(J1613&lt;=K1613,"   Parzelle "&amp;J1613,IF(J1613=K1613+1,"   Vorstand",IF(J1613=K1613+2,"   Gäste",IF(J1613=K1613+3,"   Technik (Switches, Access Points)",""))))))</f>
        <v/>
      </c>
      <c r="B1613" s="0" t="str">
        <f aca="false">IF(I1613="","",IF(AND(J1613&gt;=1,J1613&lt;=K1613+3),IF(J1613&lt;=K1613,IF(J1613&lt;=99,IF((INDEX(Eingabe!$G$9:$G$18,I1613))&lt;=9,1000+(INDEX(Eingabe!$G$9:$G$18,I1613))*100,3000)+J1613,IF((INDEX(Eingabe!$G$9:$G$18,I1613)+1)&lt;=9,1000+(INDEX(Eingabe!$G$9:$G$18,I1613)+1)*100,3000)+J1613-100),IF(J1613=K1613+1,2000+INDEX(Eingabe!$G$9:$G$18,I1613)*10+1,IF(J1613=K1613+2,2000+INDEX(Eingabe!$G$9:$G$18,I1613)*10+2,2000+INDEX(Eingabe!$G$9:$G$18,I1613)*10+9))),""))</f>
        <v/>
      </c>
      <c r="C1613" s="0" t="str">
        <f aca="false">IF(I1613="","",IF(AND(J1613&gt;=1,J1613&lt;=K1613+3),"10."&amp;INDEX(Eingabe!$D$9:$D$18,I1613)&amp;"."&amp;IF(J1613&lt;=K1613,J1613,IF(J1613=K1613+1,200,IF(J1613=K1613+2,201,250)))&amp;".0/24",""))</f>
        <v/>
      </c>
      <c r="D1613" s="0" t="str">
        <f aca="false">IF(I1613="","",IF(AND(J1613&gt;=1,J1613&lt;=K1613+3),"255.255.255.0",""))</f>
        <v/>
      </c>
      <c r="E1613" s="0" t="str">
        <f aca="false">IF(I1613="","",IF(AND(J1613&gt;=1,J1613&lt;=K1613+3),"10."&amp;INDEX(Eingabe!$D$9:$D$18,I1613)&amp;"."&amp;IF(J1613&lt;=K1613,J1613,IF(J1613=K1613+1,200,IF(J1613=K1613+2,201,250)))&amp;".1",""))</f>
        <v/>
      </c>
      <c r="F1613" s="0" t="str">
        <f aca="false">IF(I1613="","",IF(AND(J1613&gt;=1,J1613&lt;=K1613+3),"10."&amp;INDEX(Eingabe!$D$9:$D$18,I1613)&amp;"."&amp;IF(J1613&lt;=K1613,J1613,IF(J1613=K1613+1,200,IF(J1613=K1613+2,201,250)))&amp;".10 – 10."&amp;INDEX(Eingabe!$D$9:$D$18,I1613)&amp;"."&amp;IF(J1613&lt;=K1613,J1613,IF(J1613=K1613+1,200,IF(J1613=K1613+2,201,250)))&amp;".250",""))</f>
        <v/>
      </c>
      <c r="G1613" s="0" t="str">
        <f aca="false">IF(I1613="","",IF(AND(J1613&gt;=1,J1613&lt;=K1613),Eingabe!$B$6&amp;"-"&amp;INDEX(Eingabe!$C$9:$C$18,I1613)&amp;"-Pächter  ·  Passwort Parzelle "&amp;J1613,IF(J1613=K1613+1,Eingabe!$B$6&amp;"-"&amp;INDEX(Eingabe!$C$9:$C$18,I1613)&amp;"-Vorstand  ·  eigenes WLAN",IF(J1613=K1613+2,Eingabe!$B$6&amp;"-"&amp;INDEX(Eingabe!$C$9:$C$18,I1613)&amp;"-Gäste  ·  Voucher",IF(J1613=K1613+3,"Kabel  ·  Access Point y = .(50+y), Mast-Switch x = .(10+x)","")))))</f>
        <v/>
      </c>
      <c r="I1613" s="0" t="str">
        <f aca="false">IF(1608&lt;=(Eingabe!$P$18+Eingabe!$Q$18-1),MATCH(1608,Eingabe!$P$9:$P$18,1),"")</f>
        <v/>
      </c>
      <c r="J1613" s="0" t="str">
        <f aca="false">IF(I1613="","",1608-INDEX(Eingabe!$P$9:$P$18,I1613))</f>
        <v/>
      </c>
      <c r="K1613" s="0" t="str">
        <f aca="false">IF(I1613="","",INDEX(Eingabe!$E$9:$E$18,I1613))</f>
        <v/>
      </c>
    </row>
    <row r="1614" customFormat="false" ht="15" hidden="false" customHeight="false" outlineLevel="0" collapsed="false">
      <c r="A1614" s="0" t="str">
        <f aca="false">IF(I1614="","",IF(J1614=0,"Sparte "&amp;I1614&amp;": "&amp;INDEX(Eingabe!$B$9:$B$18,I1614)&amp;"  (Sparten-ID "&amp;INDEX(Eingabe!$D$9:$D$18,I1614)&amp;", "&amp;K1614&amp;" Parzellen)",IF(J1614&lt;=K1614,"   Parzelle "&amp;J1614,IF(J1614=K1614+1,"   Vorstand",IF(J1614=K1614+2,"   Gäste",IF(J1614=K1614+3,"   Technik (Switches, Access Points)",""))))))</f>
        <v/>
      </c>
      <c r="B1614" s="0" t="str">
        <f aca="false">IF(I1614="","",IF(AND(J1614&gt;=1,J1614&lt;=K1614+3),IF(J1614&lt;=K1614,IF(J1614&lt;=99,IF((INDEX(Eingabe!$G$9:$G$18,I1614))&lt;=9,1000+(INDEX(Eingabe!$G$9:$G$18,I1614))*100,3000)+J1614,IF((INDEX(Eingabe!$G$9:$G$18,I1614)+1)&lt;=9,1000+(INDEX(Eingabe!$G$9:$G$18,I1614)+1)*100,3000)+J1614-100),IF(J1614=K1614+1,2000+INDEX(Eingabe!$G$9:$G$18,I1614)*10+1,IF(J1614=K1614+2,2000+INDEX(Eingabe!$G$9:$G$18,I1614)*10+2,2000+INDEX(Eingabe!$G$9:$G$18,I1614)*10+9))),""))</f>
        <v/>
      </c>
      <c r="C1614" s="0" t="str">
        <f aca="false">IF(I1614="","",IF(AND(J1614&gt;=1,J1614&lt;=K1614+3),"10."&amp;INDEX(Eingabe!$D$9:$D$18,I1614)&amp;"."&amp;IF(J1614&lt;=K1614,J1614,IF(J1614=K1614+1,200,IF(J1614=K1614+2,201,250)))&amp;".0/24",""))</f>
        <v/>
      </c>
      <c r="D1614" s="0" t="str">
        <f aca="false">IF(I1614="","",IF(AND(J1614&gt;=1,J1614&lt;=K1614+3),"255.255.255.0",""))</f>
        <v/>
      </c>
      <c r="E1614" s="0" t="str">
        <f aca="false">IF(I1614="","",IF(AND(J1614&gt;=1,J1614&lt;=K1614+3),"10."&amp;INDEX(Eingabe!$D$9:$D$18,I1614)&amp;"."&amp;IF(J1614&lt;=K1614,J1614,IF(J1614=K1614+1,200,IF(J1614=K1614+2,201,250)))&amp;".1",""))</f>
        <v/>
      </c>
      <c r="F1614" s="0" t="str">
        <f aca="false">IF(I1614="","",IF(AND(J1614&gt;=1,J1614&lt;=K1614+3),"10."&amp;INDEX(Eingabe!$D$9:$D$18,I1614)&amp;"."&amp;IF(J1614&lt;=K1614,J1614,IF(J1614=K1614+1,200,IF(J1614=K1614+2,201,250)))&amp;".10 – 10."&amp;INDEX(Eingabe!$D$9:$D$18,I1614)&amp;"."&amp;IF(J1614&lt;=K1614,J1614,IF(J1614=K1614+1,200,IF(J1614=K1614+2,201,250)))&amp;".250",""))</f>
        <v/>
      </c>
      <c r="G1614" s="0" t="str">
        <f aca="false">IF(I1614="","",IF(AND(J1614&gt;=1,J1614&lt;=K1614),Eingabe!$B$6&amp;"-"&amp;INDEX(Eingabe!$C$9:$C$18,I1614)&amp;"-Pächter  ·  Passwort Parzelle "&amp;J1614,IF(J1614=K1614+1,Eingabe!$B$6&amp;"-"&amp;INDEX(Eingabe!$C$9:$C$18,I1614)&amp;"-Vorstand  ·  eigenes WLAN",IF(J1614=K1614+2,Eingabe!$B$6&amp;"-"&amp;INDEX(Eingabe!$C$9:$C$18,I1614)&amp;"-Gäste  ·  Voucher",IF(J1614=K1614+3,"Kabel  ·  Access Point y = .(50+y), Mast-Switch x = .(10+x)","")))))</f>
        <v/>
      </c>
      <c r="I1614" s="0" t="str">
        <f aca="false">IF(1609&lt;=(Eingabe!$P$18+Eingabe!$Q$18-1),MATCH(1609,Eingabe!$P$9:$P$18,1),"")</f>
        <v/>
      </c>
      <c r="J1614" s="0" t="str">
        <f aca="false">IF(I1614="","",1609-INDEX(Eingabe!$P$9:$P$18,I1614))</f>
        <v/>
      </c>
      <c r="K1614" s="0" t="str">
        <f aca="false">IF(I1614="","",INDEX(Eingabe!$E$9:$E$18,I1614))</f>
        <v/>
      </c>
    </row>
    <row r="1615" customFormat="false" ht="15" hidden="false" customHeight="false" outlineLevel="0" collapsed="false">
      <c r="A1615" s="0" t="str">
        <f aca="false">IF(I1615="","",IF(J1615=0,"Sparte "&amp;I1615&amp;": "&amp;INDEX(Eingabe!$B$9:$B$18,I1615)&amp;"  (Sparten-ID "&amp;INDEX(Eingabe!$D$9:$D$18,I1615)&amp;", "&amp;K1615&amp;" Parzellen)",IF(J1615&lt;=K1615,"   Parzelle "&amp;J1615,IF(J1615=K1615+1,"   Vorstand",IF(J1615=K1615+2,"   Gäste",IF(J1615=K1615+3,"   Technik (Switches, Access Points)",""))))))</f>
        <v/>
      </c>
      <c r="B1615" s="0" t="str">
        <f aca="false">IF(I1615="","",IF(AND(J1615&gt;=1,J1615&lt;=K1615+3),IF(J1615&lt;=K1615,IF(J1615&lt;=99,IF((INDEX(Eingabe!$G$9:$G$18,I1615))&lt;=9,1000+(INDEX(Eingabe!$G$9:$G$18,I1615))*100,3000)+J1615,IF((INDEX(Eingabe!$G$9:$G$18,I1615)+1)&lt;=9,1000+(INDEX(Eingabe!$G$9:$G$18,I1615)+1)*100,3000)+J1615-100),IF(J1615=K1615+1,2000+INDEX(Eingabe!$G$9:$G$18,I1615)*10+1,IF(J1615=K1615+2,2000+INDEX(Eingabe!$G$9:$G$18,I1615)*10+2,2000+INDEX(Eingabe!$G$9:$G$18,I1615)*10+9))),""))</f>
        <v/>
      </c>
      <c r="C1615" s="0" t="str">
        <f aca="false">IF(I1615="","",IF(AND(J1615&gt;=1,J1615&lt;=K1615+3),"10."&amp;INDEX(Eingabe!$D$9:$D$18,I1615)&amp;"."&amp;IF(J1615&lt;=K1615,J1615,IF(J1615=K1615+1,200,IF(J1615=K1615+2,201,250)))&amp;".0/24",""))</f>
        <v/>
      </c>
      <c r="D1615" s="0" t="str">
        <f aca="false">IF(I1615="","",IF(AND(J1615&gt;=1,J1615&lt;=K1615+3),"255.255.255.0",""))</f>
        <v/>
      </c>
      <c r="E1615" s="0" t="str">
        <f aca="false">IF(I1615="","",IF(AND(J1615&gt;=1,J1615&lt;=K1615+3),"10."&amp;INDEX(Eingabe!$D$9:$D$18,I1615)&amp;"."&amp;IF(J1615&lt;=K1615,J1615,IF(J1615=K1615+1,200,IF(J1615=K1615+2,201,250)))&amp;".1",""))</f>
        <v/>
      </c>
      <c r="F1615" s="0" t="str">
        <f aca="false">IF(I1615="","",IF(AND(J1615&gt;=1,J1615&lt;=K1615+3),"10."&amp;INDEX(Eingabe!$D$9:$D$18,I1615)&amp;"."&amp;IF(J1615&lt;=K1615,J1615,IF(J1615=K1615+1,200,IF(J1615=K1615+2,201,250)))&amp;".10 – 10."&amp;INDEX(Eingabe!$D$9:$D$18,I1615)&amp;"."&amp;IF(J1615&lt;=K1615,J1615,IF(J1615=K1615+1,200,IF(J1615=K1615+2,201,250)))&amp;".250",""))</f>
        <v/>
      </c>
      <c r="G1615" s="0" t="str">
        <f aca="false">IF(I1615="","",IF(AND(J1615&gt;=1,J1615&lt;=K1615),Eingabe!$B$6&amp;"-"&amp;INDEX(Eingabe!$C$9:$C$18,I1615)&amp;"-Pächter  ·  Passwort Parzelle "&amp;J1615,IF(J1615=K1615+1,Eingabe!$B$6&amp;"-"&amp;INDEX(Eingabe!$C$9:$C$18,I1615)&amp;"-Vorstand  ·  eigenes WLAN",IF(J1615=K1615+2,Eingabe!$B$6&amp;"-"&amp;INDEX(Eingabe!$C$9:$C$18,I1615)&amp;"-Gäste  ·  Voucher",IF(J1615=K1615+3,"Kabel  ·  Access Point y = .(50+y), Mast-Switch x = .(10+x)","")))))</f>
        <v/>
      </c>
      <c r="I1615" s="0" t="str">
        <f aca="false">IF(1610&lt;=(Eingabe!$P$18+Eingabe!$Q$18-1),MATCH(1610,Eingabe!$P$9:$P$18,1),"")</f>
        <v/>
      </c>
      <c r="J1615" s="0" t="str">
        <f aca="false">IF(I1615="","",1610-INDEX(Eingabe!$P$9:$P$18,I1615))</f>
        <v/>
      </c>
      <c r="K1615" s="0" t="str">
        <f aca="false">IF(I1615="","",INDEX(Eingabe!$E$9:$E$18,I1615))</f>
        <v/>
      </c>
    </row>
    <row r="1616" customFormat="false" ht="15" hidden="false" customHeight="false" outlineLevel="0" collapsed="false">
      <c r="A1616" s="0" t="str">
        <f aca="false">IF(I1616="","",IF(J1616=0,"Sparte "&amp;I1616&amp;": "&amp;INDEX(Eingabe!$B$9:$B$18,I1616)&amp;"  (Sparten-ID "&amp;INDEX(Eingabe!$D$9:$D$18,I1616)&amp;", "&amp;K1616&amp;" Parzellen)",IF(J1616&lt;=K1616,"   Parzelle "&amp;J1616,IF(J1616=K1616+1,"   Vorstand",IF(J1616=K1616+2,"   Gäste",IF(J1616=K1616+3,"   Technik (Switches, Access Points)",""))))))</f>
        <v/>
      </c>
      <c r="B1616" s="0" t="str">
        <f aca="false">IF(I1616="","",IF(AND(J1616&gt;=1,J1616&lt;=K1616+3),IF(J1616&lt;=K1616,IF(J1616&lt;=99,IF((INDEX(Eingabe!$G$9:$G$18,I1616))&lt;=9,1000+(INDEX(Eingabe!$G$9:$G$18,I1616))*100,3000)+J1616,IF((INDEX(Eingabe!$G$9:$G$18,I1616)+1)&lt;=9,1000+(INDEX(Eingabe!$G$9:$G$18,I1616)+1)*100,3000)+J1616-100),IF(J1616=K1616+1,2000+INDEX(Eingabe!$G$9:$G$18,I1616)*10+1,IF(J1616=K1616+2,2000+INDEX(Eingabe!$G$9:$G$18,I1616)*10+2,2000+INDEX(Eingabe!$G$9:$G$18,I1616)*10+9))),""))</f>
        <v/>
      </c>
      <c r="C1616" s="0" t="str">
        <f aca="false">IF(I1616="","",IF(AND(J1616&gt;=1,J1616&lt;=K1616+3),"10."&amp;INDEX(Eingabe!$D$9:$D$18,I1616)&amp;"."&amp;IF(J1616&lt;=K1616,J1616,IF(J1616=K1616+1,200,IF(J1616=K1616+2,201,250)))&amp;".0/24",""))</f>
        <v/>
      </c>
      <c r="D1616" s="0" t="str">
        <f aca="false">IF(I1616="","",IF(AND(J1616&gt;=1,J1616&lt;=K1616+3),"255.255.255.0",""))</f>
        <v/>
      </c>
      <c r="E1616" s="0" t="str">
        <f aca="false">IF(I1616="","",IF(AND(J1616&gt;=1,J1616&lt;=K1616+3),"10."&amp;INDEX(Eingabe!$D$9:$D$18,I1616)&amp;"."&amp;IF(J1616&lt;=K1616,J1616,IF(J1616=K1616+1,200,IF(J1616=K1616+2,201,250)))&amp;".1",""))</f>
        <v/>
      </c>
      <c r="F1616" s="0" t="str">
        <f aca="false">IF(I1616="","",IF(AND(J1616&gt;=1,J1616&lt;=K1616+3),"10."&amp;INDEX(Eingabe!$D$9:$D$18,I1616)&amp;"."&amp;IF(J1616&lt;=K1616,J1616,IF(J1616=K1616+1,200,IF(J1616=K1616+2,201,250)))&amp;".10 – 10."&amp;INDEX(Eingabe!$D$9:$D$18,I1616)&amp;"."&amp;IF(J1616&lt;=K1616,J1616,IF(J1616=K1616+1,200,IF(J1616=K1616+2,201,250)))&amp;".250",""))</f>
        <v/>
      </c>
      <c r="G1616" s="0" t="str">
        <f aca="false">IF(I1616="","",IF(AND(J1616&gt;=1,J1616&lt;=K1616),Eingabe!$B$6&amp;"-"&amp;INDEX(Eingabe!$C$9:$C$18,I1616)&amp;"-Pächter  ·  Passwort Parzelle "&amp;J1616,IF(J1616=K1616+1,Eingabe!$B$6&amp;"-"&amp;INDEX(Eingabe!$C$9:$C$18,I1616)&amp;"-Vorstand  ·  eigenes WLAN",IF(J1616=K1616+2,Eingabe!$B$6&amp;"-"&amp;INDEX(Eingabe!$C$9:$C$18,I1616)&amp;"-Gäste  ·  Voucher",IF(J1616=K1616+3,"Kabel  ·  Access Point y = .(50+y), Mast-Switch x = .(10+x)","")))))</f>
        <v/>
      </c>
      <c r="I1616" s="0" t="str">
        <f aca="false">IF(1611&lt;=(Eingabe!$P$18+Eingabe!$Q$18-1),MATCH(1611,Eingabe!$P$9:$P$18,1),"")</f>
        <v/>
      </c>
      <c r="J1616" s="0" t="str">
        <f aca="false">IF(I1616="","",1611-INDEX(Eingabe!$P$9:$P$18,I1616))</f>
        <v/>
      </c>
      <c r="K1616" s="0" t="str">
        <f aca="false">IF(I1616="","",INDEX(Eingabe!$E$9:$E$18,I1616))</f>
        <v/>
      </c>
    </row>
    <row r="1617" customFormat="false" ht="15" hidden="false" customHeight="false" outlineLevel="0" collapsed="false">
      <c r="A1617" s="0" t="str">
        <f aca="false">IF(I1617="","",IF(J1617=0,"Sparte "&amp;I1617&amp;": "&amp;INDEX(Eingabe!$B$9:$B$18,I1617)&amp;"  (Sparten-ID "&amp;INDEX(Eingabe!$D$9:$D$18,I1617)&amp;", "&amp;K1617&amp;" Parzellen)",IF(J1617&lt;=K1617,"   Parzelle "&amp;J1617,IF(J1617=K1617+1,"   Vorstand",IF(J1617=K1617+2,"   Gäste",IF(J1617=K1617+3,"   Technik (Switches, Access Points)",""))))))</f>
        <v/>
      </c>
      <c r="B1617" s="0" t="str">
        <f aca="false">IF(I1617="","",IF(AND(J1617&gt;=1,J1617&lt;=K1617+3),IF(J1617&lt;=K1617,IF(J1617&lt;=99,IF((INDEX(Eingabe!$G$9:$G$18,I1617))&lt;=9,1000+(INDEX(Eingabe!$G$9:$G$18,I1617))*100,3000)+J1617,IF((INDEX(Eingabe!$G$9:$G$18,I1617)+1)&lt;=9,1000+(INDEX(Eingabe!$G$9:$G$18,I1617)+1)*100,3000)+J1617-100),IF(J1617=K1617+1,2000+INDEX(Eingabe!$G$9:$G$18,I1617)*10+1,IF(J1617=K1617+2,2000+INDEX(Eingabe!$G$9:$G$18,I1617)*10+2,2000+INDEX(Eingabe!$G$9:$G$18,I1617)*10+9))),""))</f>
        <v/>
      </c>
      <c r="C1617" s="0" t="str">
        <f aca="false">IF(I1617="","",IF(AND(J1617&gt;=1,J1617&lt;=K1617+3),"10."&amp;INDEX(Eingabe!$D$9:$D$18,I1617)&amp;"."&amp;IF(J1617&lt;=K1617,J1617,IF(J1617=K1617+1,200,IF(J1617=K1617+2,201,250)))&amp;".0/24",""))</f>
        <v/>
      </c>
      <c r="D1617" s="0" t="str">
        <f aca="false">IF(I1617="","",IF(AND(J1617&gt;=1,J1617&lt;=K1617+3),"255.255.255.0",""))</f>
        <v/>
      </c>
      <c r="E1617" s="0" t="str">
        <f aca="false">IF(I1617="","",IF(AND(J1617&gt;=1,J1617&lt;=K1617+3),"10."&amp;INDEX(Eingabe!$D$9:$D$18,I1617)&amp;"."&amp;IF(J1617&lt;=K1617,J1617,IF(J1617=K1617+1,200,IF(J1617=K1617+2,201,250)))&amp;".1",""))</f>
        <v/>
      </c>
      <c r="F1617" s="0" t="str">
        <f aca="false">IF(I1617="","",IF(AND(J1617&gt;=1,J1617&lt;=K1617+3),"10."&amp;INDEX(Eingabe!$D$9:$D$18,I1617)&amp;"."&amp;IF(J1617&lt;=K1617,J1617,IF(J1617=K1617+1,200,IF(J1617=K1617+2,201,250)))&amp;".10 – 10."&amp;INDEX(Eingabe!$D$9:$D$18,I1617)&amp;"."&amp;IF(J1617&lt;=K1617,J1617,IF(J1617=K1617+1,200,IF(J1617=K1617+2,201,250)))&amp;".250",""))</f>
        <v/>
      </c>
      <c r="G1617" s="0" t="str">
        <f aca="false">IF(I1617="","",IF(AND(J1617&gt;=1,J1617&lt;=K1617),Eingabe!$B$6&amp;"-"&amp;INDEX(Eingabe!$C$9:$C$18,I1617)&amp;"-Pächter  ·  Passwort Parzelle "&amp;J1617,IF(J1617=K1617+1,Eingabe!$B$6&amp;"-"&amp;INDEX(Eingabe!$C$9:$C$18,I1617)&amp;"-Vorstand  ·  eigenes WLAN",IF(J1617=K1617+2,Eingabe!$B$6&amp;"-"&amp;INDEX(Eingabe!$C$9:$C$18,I1617)&amp;"-Gäste  ·  Voucher",IF(J1617=K1617+3,"Kabel  ·  Access Point y = .(50+y), Mast-Switch x = .(10+x)","")))))</f>
        <v/>
      </c>
      <c r="I1617" s="0" t="str">
        <f aca="false">IF(1612&lt;=(Eingabe!$P$18+Eingabe!$Q$18-1),MATCH(1612,Eingabe!$P$9:$P$18,1),"")</f>
        <v/>
      </c>
      <c r="J1617" s="0" t="str">
        <f aca="false">IF(I1617="","",1612-INDEX(Eingabe!$P$9:$P$18,I1617))</f>
        <v/>
      </c>
      <c r="K1617" s="0" t="str">
        <f aca="false">IF(I1617="","",INDEX(Eingabe!$E$9:$E$18,I1617))</f>
        <v/>
      </c>
    </row>
    <row r="1618" customFormat="false" ht="15" hidden="false" customHeight="false" outlineLevel="0" collapsed="false">
      <c r="A1618" s="0" t="str">
        <f aca="false">IF(I1618="","",IF(J1618=0,"Sparte "&amp;I1618&amp;": "&amp;INDEX(Eingabe!$B$9:$B$18,I1618)&amp;"  (Sparten-ID "&amp;INDEX(Eingabe!$D$9:$D$18,I1618)&amp;", "&amp;K1618&amp;" Parzellen)",IF(J1618&lt;=K1618,"   Parzelle "&amp;J1618,IF(J1618=K1618+1,"   Vorstand",IF(J1618=K1618+2,"   Gäste",IF(J1618=K1618+3,"   Technik (Switches, Access Points)",""))))))</f>
        <v/>
      </c>
      <c r="B1618" s="0" t="str">
        <f aca="false">IF(I1618="","",IF(AND(J1618&gt;=1,J1618&lt;=K1618+3),IF(J1618&lt;=K1618,IF(J1618&lt;=99,IF((INDEX(Eingabe!$G$9:$G$18,I1618))&lt;=9,1000+(INDEX(Eingabe!$G$9:$G$18,I1618))*100,3000)+J1618,IF((INDEX(Eingabe!$G$9:$G$18,I1618)+1)&lt;=9,1000+(INDEX(Eingabe!$G$9:$G$18,I1618)+1)*100,3000)+J1618-100),IF(J1618=K1618+1,2000+INDEX(Eingabe!$G$9:$G$18,I1618)*10+1,IF(J1618=K1618+2,2000+INDEX(Eingabe!$G$9:$G$18,I1618)*10+2,2000+INDEX(Eingabe!$G$9:$G$18,I1618)*10+9))),""))</f>
        <v/>
      </c>
      <c r="C1618" s="0" t="str">
        <f aca="false">IF(I1618="","",IF(AND(J1618&gt;=1,J1618&lt;=K1618+3),"10."&amp;INDEX(Eingabe!$D$9:$D$18,I1618)&amp;"."&amp;IF(J1618&lt;=K1618,J1618,IF(J1618=K1618+1,200,IF(J1618=K1618+2,201,250)))&amp;".0/24",""))</f>
        <v/>
      </c>
      <c r="D1618" s="0" t="str">
        <f aca="false">IF(I1618="","",IF(AND(J1618&gt;=1,J1618&lt;=K1618+3),"255.255.255.0",""))</f>
        <v/>
      </c>
      <c r="E1618" s="0" t="str">
        <f aca="false">IF(I1618="","",IF(AND(J1618&gt;=1,J1618&lt;=K1618+3),"10."&amp;INDEX(Eingabe!$D$9:$D$18,I1618)&amp;"."&amp;IF(J1618&lt;=K1618,J1618,IF(J1618=K1618+1,200,IF(J1618=K1618+2,201,250)))&amp;".1",""))</f>
        <v/>
      </c>
      <c r="F1618" s="0" t="str">
        <f aca="false">IF(I1618="","",IF(AND(J1618&gt;=1,J1618&lt;=K1618+3),"10."&amp;INDEX(Eingabe!$D$9:$D$18,I1618)&amp;"."&amp;IF(J1618&lt;=K1618,J1618,IF(J1618=K1618+1,200,IF(J1618=K1618+2,201,250)))&amp;".10 – 10."&amp;INDEX(Eingabe!$D$9:$D$18,I1618)&amp;"."&amp;IF(J1618&lt;=K1618,J1618,IF(J1618=K1618+1,200,IF(J1618=K1618+2,201,250)))&amp;".250",""))</f>
        <v/>
      </c>
      <c r="G1618" s="0" t="str">
        <f aca="false">IF(I1618="","",IF(AND(J1618&gt;=1,J1618&lt;=K1618),Eingabe!$B$6&amp;"-"&amp;INDEX(Eingabe!$C$9:$C$18,I1618)&amp;"-Pächter  ·  Passwort Parzelle "&amp;J1618,IF(J1618=K1618+1,Eingabe!$B$6&amp;"-"&amp;INDEX(Eingabe!$C$9:$C$18,I1618)&amp;"-Vorstand  ·  eigenes WLAN",IF(J1618=K1618+2,Eingabe!$B$6&amp;"-"&amp;INDEX(Eingabe!$C$9:$C$18,I1618)&amp;"-Gäste  ·  Voucher",IF(J1618=K1618+3,"Kabel  ·  Access Point y = .(50+y), Mast-Switch x = .(10+x)","")))))</f>
        <v/>
      </c>
      <c r="I1618" s="0" t="str">
        <f aca="false">IF(1613&lt;=(Eingabe!$P$18+Eingabe!$Q$18-1),MATCH(1613,Eingabe!$P$9:$P$18,1),"")</f>
        <v/>
      </c>
      <c r="J1618" s="0" t="str">
        <f aca="false">IF(I1618="","",1613-INDEX(Eingabe!$P$9:$P$18,I1618))</f>
        <v/>
      </c>
      <c r="K1618" s="0" t="str">
        <f aca="false">IF(I1618="","",INDEX(Eingabe!$E$9:$E$18,I1618))</f>
        <v/>
      </c>
    </row>
    <row r="1619" customFormat="false" ht="15" hidden="false" customHeight="false" outlineLevel="0" collapsed="false">
      <c r="A1619" s="0" t="str">
        <f aca="false">IF(I1619="","",IF(J1619=0,"Sparte "&amp;I1619&amp;": "&amp;INDEX(Eingabe!$B$9:$B$18,I1619)&amp;"  (Sparten-ID "&amp;INDEX(Eingabe!$D$9:$D$18,I1619)&amp;", "&amp;K1619&amp;" Parzellen)",IF(J1619&lt;=K1619,"   Parzelle "&amp;J1619,IF(J1619=K1619+1,"   Vorstand",IF(J1619=K1619+2,"   Gäste",IF(J1619=K1619+3,"   Technik (Switches, Access Points)",""))))))</f>
        <v/>
      </c>
      <c r="B1619" s="0" t="str">
        <f aca="false">IF(I1619="","",IF(AND(J1619&gt;=1,J1619&lt;=K1619+3),IF(J1619&lt;=K1619,IF(J1619&lt;=99,IF((INDEX(Eingabe!$G$9:$G$18,I1619))&lt;=9,1000+(INDEX(Eingabe!$G$9:$G$18,I1619))*100,3000)+J1619,IF((INDEX(Eingabe!$G$9:$G$18,I1619)+1)&lt;=9,1000+(INDEX(Eingabe!$G$9:$G$18,I1619)+1)*100,3000)+J1619-100),IF(J1619=K1619+1,2000+INDEX(Eingabe!$G$9:$G$18,I1619)*10+1,IF(J1619=K1619+2,2000+INDEX(Eingabe!$G$9:$G$18,I1619)*10+2,2000+INDEX(Eingabe!$G$9:$G$18,I1619)*10+9))),""))</f>
        <v/>
      </c>
      <c r="C1619" s="0" t="str">
        <f aca="false">IF(I1619="","",IF(AND(J1619&gt;=1,J1619&lt;=K1619+3),"10."&amp;INDEX(Eingabe!$D$9:$D$18,I1619)&amp;"."&amp;IF(J1619&lt;=K1619,J1619,IF(J1619=K1619+1,200,IF(J1619=K1619+2,201,250)))&amp;".0/24",""))</f>
        <v/>
      </c>
      <c r="D1619" s="0" t="str">
        <f aca="false">IF(I1619="","",IF(AND(J1619&gt;=1,J1619&lt;=K1619+3),"255.255.255.0",""))</f>
        <v/>
      </c>
      <c r="E1619" s="0" t="str">
        <f aca="false">IF(I1619="","",IF(AND(J1619&gt;=1,J1619&lt;=K1619+3),"10."&amp;INDEX(Eingabe!$D$9:$D$18,I1619)&amp;"."&amp;IF(J1619&lt;=K1619,J1619,IF(J1619=K1619+1,200,IF(J1619=K1619+2,201,250)))&amp;".1",""))</f>
        <v/>
      </c>
      <c r="F1619" s="0" t="str">
        <f aca="false">IF(I1619="","",IF(AND(J1619&gt;=1,J1619&lt;=K1619+3),"10."&amp;INDEX(Eingabe!$D$9:$D$18,I1619)&amp;"."&amp;IF(J1619&lt;=K1619,J1619,IF(J1619=K1619+1,200,IF(J1619=K1619+2,201,250)))&amp;".10 – 10."&amp;INDEX(Eingabe!$D$9:$D$18,I1619)&amp;"."&amp;IF(J1619&lt;=K1619,J1619,IF(J1619=K1619+1,200,IF(J1619=K1619+2,201,250)))&amp;".250",""))</f>
        <v/>
      </c>
      <c r="G1619" s="0" t="str">
        <f aca="false">IF(I1619="","",IF(AND(J1619&gt;=1,J1619&lt;=K1619),Eingabe!$B$6&amp;"-"&amp;INDEX(Eingabe!$C$9:$C$18,I1619)&amp;"-Pächter  ·  Passwort Parzelle "&amp;J1619,IF(J1619=K1619+1,Eingabe!$B$6&amp;"-"&amp;INDEX(Eingabe!$C$9:$C$18,I1619)&amp;"-Vorstand  ·  eigenes WLAN",IF(J1619=K1619+2,Eingabe!$B$6&amp;"-"&amp;INDEX(Eingabe!$C$9:$C$18,I1619)&amp;"-Gäste  ·  Voucher",IF(J1619=K1619+3,"Kabel  ·  Access Point y = .(50+y), Mast-Switch x = .(10+x)","")))))</f>
        <v/>
      </c>
      <c r="I1619" s="0" t="str">
        <f aca="false">IF(1614&lt;=(Eingabe!$P$18+Eingabe!$Q$18-1),MATCH(1614,Eingabe!$P$9:$P$18,1),"")</f>
        <v/>
      </c>
      <c r="J1619" s="0" t="str">
        <f aca="false">IF(I1619="","",1614-INDEX(Eingabe!$P$9:$P$18,I1619))</f>
        <v/>
      </c>
      <c r="K1619" s="0" t="str">
        <f aca="false">IF(I1619="","",INDEX(Eingabe!$E$9:$E$18,I1619))</f>
        <v/>
      </c>
    </row>
    <row r="1620" customFormat="false" ht="15" hidden="false" customHeight="false" outlineLevel="0" collapsed="false">
      <c r="A1620" s="0" t="str">
        <f aca="false">IF(I1620="","",IF(J1620=0,"Sparte "&amp;I1620&amp;": "&amp;INDEX(Eingabe!$B$9:$B$18,I1620)&amp;"  (Sparten-ID "&amp;INDEX(Eingabe!$D$9:$D$18,I1620)&amp;", "&amp;K1620&amp;" Parzellen)",IF(J1620&lt;=K1620,"   Parzelle "&amp;J1620,IF(J1620=K1620+1,"   Vorstand",IF(J1620=K1620+2,"   Gäste",IF(J1620=K1620+3,"   Technik (Switches, Access Points)",""))))))</f>
        <v/>
      </c>
      <c r="B1620" s="0" t="str">
        <f aca="false">IF(I1620="","",IF(AND(J1620&gt;=1,J1620&lt;=K1620+3),IF(J1620&lt;=K1620,IF(J1620&lt;=99,IF((INDEX(Eingabe!$G$9:$G$18,I1620))&lt;=9,1000+(INDEX(Eingabe!$G$9:$G$18,I1620))*100,3000)+J1620,IF((INDEX(Eingabe!$G$9:$G$18,I1620)+1)&lt;=9,1000+(INDEX(Eingabe!$G$9:$G$18,I1620)+1)*100,3000)+J1620-100),IF(J1620=K1620+1,2000+INDEX(Eingabe!$G$9:$G$18,I1620)*10+1,IF(J1620=K1620+2,2000+INDEX(Eingabe!$G$9:$G$18,I1620)*10+2,2000+INDEX(Eingabe!$G$9:$G$18,I1620)*10+9))),""))</f>
        <v/>
      </c>
      <c r="C1620" s="0" t="str">
        <f aca="false">IF(I1620="","",IF(AND(J1620&gt;=1,J1620&lt;=K1620+3),"10."&amp;INDEX(Eingabe!$D$9:$D$18,I1620)&amp;"."&amp;IF(J1620&lt;=K1620,J1620,IF(J1620=K1620+1,200,IF(J1620=K1620+2,201,250)))&amp;".0/24",""))</f>
        <v/>
      </c>
      <c r="D1620" s="0" t="str">
        <f aca="false">IF(I1620="","",IF(AND(J1620&gt;=1,J1620&lt;=K1620+3),"255.255.255.0",""))</f>
        <v/>
      </c>
      <c r="E1620" s="0" t="str">
        <f aca="false">IF(I1620="","",IF(AND(J1620&gt;=1,J1620&lt;=K1620+3),"10."&amp;INDEX(Eingabe!$D$9:$D$18,I1620)&amp;"."&amp;IF(J1620&lt;=K1620,J1620,IF(J1620=K1620+1,200,IF(J1620=K1620+2,201,250)))&amp;".1",""))</f>
        <v/>
      </c>
      <c r="F1620" s="0" t="str">
        <f aca="false">IF(I1620="","",IF(AND(J1620&gt;=1,J1620&lt;=K1620+3),"10."&amp;INDEX(Eingabe!$D$9:$D$18,I1620)&amp;"."&amp;IF(J1620&lt;=K1620,J1620,IF(J1620=K1620+1,200,IF(J1620=K1620+2,201,250)))&amp;".10 – 10."&amp;INDEX(Eingabe!$D$9:$D$18,I1620)&amp;"."&amp;IF(J1620&lt;=K1620,J1620,IF(J1620=K1620+1,200,IF(J1620=K1620+2,201,250)))&amp;".250",""))</f>
        <v/>
      </c>
      <c r="G1620" s="0" t="str">
        <f aca="false">IF(I1620="","",IF(AND(J1620&gt;=1,J1620&lt;=K1620),Eingabe!$B$6&amp;"-"&amp;INDEX(Eingabe!$C$9:$C$18,I1620)&amp;"-Pächter  ·  Passwort Parzelle "&amp;J1620,IF(J1620=K1620+1,Eingabe!$B$6&amp;"-"&amp;INDEX(Eingabe!$C$9:$C$18,I1620)&amp;"-Vorstand  ·  eigenes WLAN",IF(J1620=K1620+2,Eingabe!$B$6&amp;"-"&amp;INDEX(Eingabe!$C$9:$C$18,I1620)&amp;"-Gäste  ·  Voucher",IF(J1620=K1620+3,"Kabel  ·  Access Point y = .(50+y), Mast-Switch x = .(10+x)","")))))</f>
        <v/>
      </c>
      <c r="I1620" s="0" t="str">
        <f aca="false">IF(1615&lt;=(Eingabe!$P$18+Eingabe!$Q$18-1),MATCH(1615,Eingabe!$P$9:$P$18,1),"")</f>
        <v/>
      </c>
      <c r="J1620" s="0" t="str">
        <f aca="false">IF(I1620="","",1615-INDEX(Eingabe!$P$9:$P$18,I1620))</f>
        <v/>
      </c>
      <c r="K1620" s="0" t="str">
        <f aca="false">IF(I1620="","",INDEX(Eingabe!$E$9:$E$18,I1620))</f>
        <v/>
      </c>
    </row>
    <row r="1621" customFormat="false" ht="15" hidden="false" customHeight="false" outlineLevel="0" collapsed="false">
      <c r="A1621" s="0" t="str">
        <f aca="false">IF(I1621="","",IF(J1621=0,"Sparte "&amp;I1621&amp;": "&amp;INDEX(Eingabe!$B$9:$B$18,I1621)&amp;"  (Sparten-ID "&amp;INDEX(Eingabe!$D$9:$D$18,I1621)&amp;", "&amp;K1621&amp;" Parzellen)",IF(J1621&lt;=K1621,"   Parzelle "&amp;J1621,IF(J1621=K1621+1,"   Vorstand",IF(J1621=K1621+2,"   Gäste",IF(J1621=K1621+3,"   Technik (Switches, Access Points)",""))))))</f>
        <v/>
      </c>
      <c r="B1621" s="0" t="str">
        <f aca="false">IF(I1621="","",IF(AND(J1621&gt;=1,J1621&lt;=K1621+3),IF(J1621&lt;=K1621,IF(J1621&lt;=99,IF((INDEX(Eingabe!$G$9:$G$18,I1621))&lt;=9,1000+(INDEX(Eingabe!$G$9:$G$18,I1621))*100,3000)+J1621,IF((INDEX(Eingabe!$G$9:$G$18,I1621)+1)&lt;=9,1000+(INDEX(Eingabe!$G$9:$G$18,I1621)+1)*100,3000)+J1621-100),IF(J1621=K1621+1,2000+INDEX(Eingabe!$G$9:$G$18,I1621)*10+1,IF(J1621=K1621+2,2000+INDEX(Eingabe!$G$9:$G$18,I1621)*10+2,2000+INDEX(Eingabe!$G$9:$G$18,I1621)*10+9))),""))</f>
        <v/>
      </c>
      <c r="C1621" s="0" t="str">
        <f aca="false">IF(I1621="","",IF(AND(J1621&gt;=1,J1621&lt;=K1621+3),"10."&amp;INDEX(Eingabe!$D$9:$D$18,I1621)&amp;"."&amp;IF(J1621&lt;=K1621,J1621,IF(J1621=K1621+1,200,IF(J1621=K1621+2,201,250)))&amp;".0/24",""))</f>
        <v/>
      </c>
      <c r="D1621" s="0" t="str">
        <f aca="false">IF(I1621="","",IF(AND(J1621&gt;=1,J1621&lt;=K1621+3),"255.255.255.0",""))</f>
        <v/>
      </c>
      <c r="E1621" s="0" t="str">
        <f aca="false">IF(I1621="","",IF(AND(J1621&gt;=1,J1621&lt;=K1621+3),"10."&amp;INDEX(Eingabe!$D$9:$D$18,I1621)&amp;"."&amp;IF(J1621&lt;=K1621,J1621,IF(J1621=K1621+1,200,IF(J1621=K1621+2,201,250)))&amp;".1",""))</f>
        <v/>
      </c>
      <c r="F1621" s="0" t="str">
        <f aca="false">IF(I1621="","",IF(AND(J1621&gt;=1,J1621&lt;=K1621+3),"10."&amp;INDEX(Eingabe!$D$9:$D$18,I1621)&amp;"."&amp;IF(J1621&lt;=K1621,J1621,IF(J1621=K1621+1,200,IF(J1621=K1621+2,201,250)))&amp;".10 – 10."&amp;INDEX(Eingabe!$D$9:$D$18,I1621)&amp;"."&amp;IF(J1621&lt;=K1621,J1621,IF(J1621=K1621+1,200,IF(J1621=K1621+2,201,250)))&amp;".250",""))</f>
        <v/>
      </c>
      <c r="G1621" s="0" t="str">
        <f aca="false">IF(I1621="","",IF(AND(J1621&gt;=1,J1621&lt;=K1621),Eingabe!$B$6&amp;"-"&amp;INDEX(Eingabe!$C$9:$C$18,I1621)&amp;"-Pächter  ·  Passwort Parzelle "&amp;J1621,IF(J1621=K1621+1,Eingabe!$B$6&amp;"-"&amp;INDEX(Eingabe!$C$9:$C$18,I1621)&amp;"-Vorstand  ·  eigenes WLAN",IF(J1621=K1621+2,Eingabe!$B$6&amp;"-"&amp;INDEX(Eingabe!$C$9:$C$18,I1621)&amp;"-Gäste  ·  Voucher",IF(J1621=K1621+3,"Kabel  ·  Access Point y = .(50+y), Mast-Switch x = .(10+x)","")))))</f>
        <v/>
      </c>
      <c r="I1621" s="0" t="str">
        <f aca="false">IF(1616&lt;=(Eingabe!$P$18+Eingabe!$Q$18-1),MATCH(1616,Eingabe!$P$9:$P$18,1),"")</f>
        <v/>
      </c>
      <c r="J1621" s="0" t="str">
        <f aca="false">IF(I1621="","",1616-INDEX(Eingabe!$P$9:$P$18,I1621))</f>
        <v/>
      </c>
      <c r="K1621" s="0" t="str">
        <f aca="false">IF(I1621="","",INDEX(Eingabe!$E$9:$E$18,I1621))</f>
        <v/>
      </c>
    </row>
    <row r="1622" customFormat="false" ht="15" hidden="false" customHeight="false" outlineLevel="0" collapsed="false">
      <c r="A1622" s="0" t="str">
        <f aca="false">IF(I1622="","",IF(J1622=0,"Sparte "&amp;I1622&amp;": "&amp;INDEX(Eingabe!$B$9:$B$18,I1622)&amp;"  (Sparten-ID "&amp;INDEX(Eingabe!$D$9:$D$18,I1622)&amp;", "&amp;K1622&amp;" Parzellen)",IF(J1622&lt;=K1622,"   Parzelle "&amp;J1622,IF(J1622=K1622+1,"   Vorstand",IF(J1622=K1622+2,"   Gäste",IF(J1622=K1622+3,"   Technik (Switches, Access Points)",""))))))</f>
        <v/>
      </c>
      <c r="B1622" s="0" t="str">
        <f aca="false">IF(I1622="","",IF(AND(J1622&gt;=1,J1622&lt;=K1622+3),IF(J1622&lt;=K1622,IF(J1622&lt;=99,IF((INDEX(Eingabe!$G$9:$G$18,I1622))&lt;=9,1000+(INDEX(Eingabe!$G$9:$G$18,I1622))*100,3000)+J1622,IF((INDEX(Eingabe!$G$9:$G$18,I1622)+1)&lt;=9,1000+(INDEX(Eingabe!$G$9:$G$18,I1622)+1)*100,3000)+J1622-100),IF(J1622=K1622+1,2000+INDEX(Eingabe!$G$9:$G$18,I1622)*10+1,IF(J1622=K1622+2,2000+INDEX(Eingabe!$G$9:$G$18,I1622)*10+2,2000+INDEX(Eingabe!$G$9:$G$18,I1622)*10+9))),""))</f>
        <v/>
      </c>
      <c r="C1622" s="0" t="str">
        <f aca="false">IF(I1622="","",IF(AND(J1622&gt;=1,J1622&lt;=K1622+3),"10."&amp;INDEX(Eingabe!$D$9:$D$18,I1622)&amp;"."&amp;IF(J1622&lt;=K1622,J1622,IF(J1622=K1622+1,200,IF(J1622=K1622+2,201,250)))&amp;".0/24",""))</f>
        <v/>
      </c>
      <c r="D1622" s="0" t="str">
        <f aca="false">IF(I1622="","",IF(AND(J1622&gt;=1,J1622&lt;=K1622+3),"255.255.255.0",""))</f>
        <v/>
      </c>
      <c r="E1622" s="0" t="str">
        <f aca="false">IF(I1622="","",IF(AND(J1622&gt;=1,J1622&lt;=K1622+3),"10."&amp;INDEX(Eingabe!$D$9:$D$18,I1622)&amp;"."&amp;IF(J1622&lt;=K1622,J1622,IF(J1622=K1622+1,200,IF(J1622=K1622+2,201,250)))&amp;".1",""))</f>
        <v/>
      </c>
      <c r="F1622" s="0" t="str">
        <f aca="false">IF(I1622="","",IF(AND(J1622&gt;=1,J1622&lt;=K1622+3),"10."&amp;INDEX(Eingabe!$D$9:$D$18,I1622)&amp;"."&amp;IF(J1622&lt;=K1622,J1622,IF(J1622=K1622+1,200,IF(J1622=K1622+2,201,250)))&amp;".10 – 10."&amp;INDEX(Eingabe!$D$9:$D$18,I1622)&amp;"."&amp;IF(J1622&lt;=K1622,J1622,IF(J1622=K1622+1,200,IF(J1622=K1622+2,201,250)))&amp;".250",""))</f>
        <v/>
      </c>
      <c r="G1622" s="0" t="str">
        <f aca="false">IF(I1622="","",IF(AND(J1622&gt;=1,J1622&lt;=K1622),Eingabe!$B$6&amp;"-"&amp;INDEX(Eingabe!$C$9:$C$18,I1622)&amp;"-Pächter  ·  Passwort Parzelle "&amp;J1622,IF(J1622=K1622+1,Eingabe!$B$6&amp;"-"&amp;INDEX(Eingabe!$C$9:$C$18,I1622)&amp;"-Vorstand  ·  eigenes WLAN",IF(J1622=K1622+2,Eingabe!$B$6&amp;"-"&amp;INDEX(Eingabe!$C$9:$C$18,I1622)&amp;"-Gäste  ·  Voucher",IF(J1622=K1622+3,"Kabel  ·  Access Point y = .(50+y), Mast-Switch x = .(10+x)","")))))</f>
        <v/>
      </c>
      <c r="I1622" s="0" t="str">
        <f aca="false">IF(1617&lt;=(Eingabe!$P$18+Eingabe!$Q$18-1),MATCH(1617,Eingabe!$P$9:$P$18,1),"")</f>
        <v/>
      </c>
      <c r="J1622" s="0" t="str">
        <f aca="false">IF(I1622="","",1617-INDEX(Eingabe!$P$9:$P$18,I1622))</f>
        <v/>
      </c>
      <c r="K1622" s="0" t="str">
        <f aca="false">IF(I1622="","",INDEX(Eingabe!$E$9:$E$18,I1622))</f>
        <v/>
      </c>
    </row>
    <row r="1623" customFormat="false" ht="15" hidden="false" customHeight="false" outlineLevel="0" collapsed="false">
      <c r="A1623" s="0" t="str">
        <f aca="false">IF(I1623="","",IF(J1623=0,"Sparte "&amp;I1623&amp;": "&amp;INDEX(Eingabe!$B$9:$B$18,I1623)&amp;"  (Sparten-ID "&amp;INDEX(Eingabe!$D$9:$D$18,I1623)&amp;", "&amp;K1623&amp;" Parzellen)",IF(J1623&lt;=K1623,"   Parzelle "&amp;J1623,IF(J1623=K1623+1,"   Vorstand",IF(J1623=K1623+2,"   Gäste",IF(J1623=K1623+3,"   Technik (Switches, Access Points)",""))))))</f>
        <v/>
      </c>
      <c r="B1623" s="0" t="str">
        <f aca="false">IF(I1623="","",IF(AND(J1623&gt;=1,J1623&lt;=K1623+3),IF(J1623&lt;=K1623,IF(J1623&lt;=99,IF((INDEX(Eingabe!$G$9:$G$18,I1623))&lt;=9,1000+(INDEX(Eingabe!$G$9:$G$18,I1623))*100,3000)+J1623,IF((INDEX(Eingabe!$G$9:$G$18,I1623)+1)&lt;=9,1000+(INDEX(Eingabe!$G$9:$G$18,I1623)+1)*100,3000)+J1623-100),IF(J1623=K1623+1,2000+INDEX(Eingabe!$G$9:$G$18,I1623)*10+1,IF(J1623=K1623+2,2000+INDEX(Eingabe!$G$9:$G$18,I1623)*10+2,2000+INDEX(Eingabe!$G$9:$G$18,I1623)*10+9))),""))</f>
        <v/>
      </c>
      <c r="C1623" s="0" t="str">
        <f aca="false">IF(I1623="","",IF(AND(J1623&gt;=1,J1623&lt;=K1623+3),"10."&amp;INDEX(Eingabe!$D$9:$D$18,I1623)&amp;"."&amp;IF(J1623&lt;=K1623,J1623,IF(J1623=K1623+1,200,IF(J1623=K1623+2,201,250)))&amp;".0/24",""))</f>
        <v/>
      </c>
      <c r="D1623" s="0" t="str">
        <f aca="false">IF(I1623="","",IF(AND(J1623&gt;=1,J1623&lt;=K1623+3),"255.255.255.0",""))</f>
        <v/>
      </c>
      <c r="E1623" s="0" t="str">
        <f aca="false">IF(I1623="","",IF(AND(J1623&gt;=1,J1623&lt;=K1623+3),"10."&amp;INDEX(Eingabe!$D$9:$D$18,I1623)&amp;"."&amp;IF(J1623&lt;=K1623,J1623,IF(J1623=K1623+1,200,IF(J1623=K1623+2,201,250)))&amp;".1",""))</f>
        <v/>
      </c>
      <c r="F1623" s="0" t="str">
        <f aca="false">IF(I1623="","",IF(AND(J1623&gt;=1,J1623&lt;=K1623+3),"10."&amp;INDEX(Eingabe!$D$9:$D$18,I1623)&amp;"."&amp;IF(J1623&lt;=K1623,J1623,IF(J1623=K1623+1,200,IF(J1623=K1623+2,201,250)))&amp;".10 – 10."&amp;INDEX(Eingabe!$D$9:$D$18,I1623)&amp;"."&amp;IF(J1623&lt;=K1623,J1623,IF(J1623=K1623+1,200,IF(J1623=K1623+2,201,250)))&amp;".250",""))</f>
        <v/>
      </c>
      <c r="G1623" s="0" t="str">
        <f aca="false">IF(I1623="","",IF(AND(J1623&gt;=1,J1623&lt;=K1623),Eingabe!$B$6&amp;"-"&amp;INDEX(Eingabe!$C$9:$C$18,I1623)&amp;"-Pächter  ·  Passwort Parzelle "&amp;J1623,IF(J1623=K1623+1,Eingabe!$B$6&amp;"-"&amp;INDEX(Eingabe!$C$9:$C$18,I1623)&amp;"-Vorstand  ·  eigenes WLAN",IF(J1623=K1623+2,Eingabe!$B$6&amp;"-"&amp;INDEX(Eingabe!$C$9:$C$18,I1623)&amp;"-Gäste  ·  Voucher",IF(J1623=K1623+3,"Kabel  ·  Access Point y = .(50+y), Mast-Switch x = .(10+x)","")))))</f>
        <v/>
      </c>
      <c r="I1623" s="0" t="str">
        <f aca="false">IF(1618&lt;=(Eingabe!$P$18+Eingabe!$Q$18-1),MATCH(1618,Eingabe!$P$9:$P$18,1),"")</f>
        <v/>
      </c>
      <c r="J1623" s="0" t="str">
        <f aca="false">IF(I1623="","",1618-INDEX(Eingabe!$P$9:$P$18,I1623))</f>
        <v/>
      </c>
      <c r="K1623" s="0" t="str">
        <f aca="false">IF(I1623="","",INDEX(Eingabe!$E$9:$E$18,I1623))</f>
        <v/>
      </c>
    </row>
    <row r="1624" customFormat="false" ht="15" hidden="false" customHeight="false" outlineLevel="0" collapsed="false">
      <c r="A1624" s="0" t="str">
        <f aca="false">IF(I1624="","",IF(J1624=0,"Sparte "&amp;I1624&amp;": "&amp;INDEX(Eingabe!$B$9:$B$18,I1624)&amp;"  (Sparten-ID "&amp;INDEX(Eingabe!$D$9:$D$18,I1624)&amp;", "&amp;K1624&amp;" Parzellen)",IF(J1624&lt;=K1624,"   Parzelle "&amp;J1624,IF(J1624=K1624+1,"   Vorstand",IF(J1624=K1624+2,"   Gäste",IF(J1624=K1624+3,"   Technik (Switches, Access Points)",""))))))</f>
        <v/>
      </c>
      <c r="B1624" s="0" t="str">
        <f aca="false">IF(I1624="","",IF(AND(J1624&gt;=1,J1624&lt;=K1624+3),IF(J1624&lt;=K1624,IF(J1624&lt;=99,IF((INDEX(Eingabe!$G$9:$G$18,I1624))&lt;=9,1000+(INDEX(Eingabe!$G$9:$G$18,I1624))*100,3000)+J1624,IF((INDEX(Eingabe!$G$9:$G$18,I1624)+1)&lt;=9,1000+(INDEX(Eingabe!$G$9:$G$18,I1624)+1)*100,3000)+J1624-100),IF(J1624=K1624+1,2000+INDEX(Eingabe!$G$9:$G$18,I1624)*10+1,IF(J1624=K1624+2,2000+INDEX(Eingabe!$G$9:$G$18,I1624)*10+2,2000+INDEX(Eingabe!$G$9:$G$18,I1624)*10+9))),""))</f>
        <v/>
      </c>
      <c r="C1624" s="0" t="str">
        <f aca="false">IF(I1624="","",IF(AND(J1624&gt;=1,J1624&lt;=K1624+3),"10."&amp;INDEX(Eingabe!$D$9:$D$18,I1624)&amp;"."&amp;IF(J1624&lt;=K1624,J1624,IF(J1624=K1624+1,200,IF(J1624=K1624+2,201,250)))&amp;".0/24",""))</f>
        <v/>
      </c>
      <c r="D1624" s="0" t="str">
        <f aca="false">IF(I1624="","",IF(AND(J1624&gt;=1,J1624&lt;=K1624+3),"255.255.255.0",""))</f>
        <v/>
      </c>
      <c r="E1624" s="0" t="str">
        <f aca="false">IF(I1624="","",IF(AND(J1624&gt;=1,J1624&lt;=K1624+3),"10."&amp;INDEX(Eingabe!$D$9:$D$18,I1624)&amp;"."&amp;IF(J1624&lt;=K1624,J1624,IF(J1624=K1624+1,200,IF(J1624=K1624+2,201,250)))&amp;".1",""))</f>
        <v/>
      </c>
      <c r="F1624" s="0" t="str">
        <f aca="false">IF(I1624="","",IF(AND(J1624&gt;=1,J1624&lt;=K1624+3),"10."&amp;INDEX(Eingabe!$D$9:$D$18,I1624)&amp;"."&amp;IF(J1624&lt;=K1624,J1624,IF(J1624=K1624+1,200,IF(J1624=K1624+2,201,250)))&amp;".10 – 10."&amp;INDEX(Eingabe!$D$9:$D$18,I1624)&amp;"."&amp;IF(J1624&lt;=K1624,J1624,IF(J1624=K1624+1,200,IF(J1624=K1624+2,201,250)))&amp;".250",""))</f>
        <v/>
      </c>
      <c r="G1624" s="0" t="str">
        <f aca="false">IF(I1624="","",IF(AND(J1624&gt;=1,J1624&lt;=K1624),Eingabe!$B$6&amp;"-"&amp;INDEX(Eingabe!$C$9:$C$18,I1624)&amp;"-Pächter  ·  Passwort Parzelle "&amp;J1624,IF(J1624=K1624+1,Eingabe!$B$6&amp;"-"&amp;INDEX(Eingabe!$C$9:$C$18,I1624)&amp;"-Vorstand  ·  eigenes WLAN",IF(J1624=K1624+2,Eingabe!$B$6&amp;"-"&amp;INDEX(Eingabe!$C$9:$C$18,I1624)&amp;"-Gäste  ·  Voucher",IF(J1624=K1624+3,"Kabel  ·  Access Point y = .(50+y), Mast-Switch x = .(10+x)","")))))</f>
        <v/>
      </c>
      <c r="I1624" s="0" t="str">
        <f aca="false">IF(1619&lt;=(Eingabe!$P$18+Eingabe!$Q$18-1),MATCH(1619,Eingabe!$P$9:$P$18,1),"")</f>
        <v/>
      </c>
      <c r="J1624" s="0" t="str">
        <f aca="false">IF(I1624="","",1619-INDEX(Eingabe!$P$9:$P$18,I1624))</f>
        <v/>
      </c>
      <c r="K1624" s="0" t="str">
        <f aca="false">IF(I1624="","",INDEX(Eingabe!$E$9:$E$18,I1624))</f>
        <v/>
      </c>
    </row>
    <row r="1625" customFormat="false" ht="15" hidden="false" customHeight="false" outlineLevel="0" collapsed="false">
      <c r="A1625" s="0" t="str">
        <f aca="false">IF(I1625="","",IF(J1625=0,"Sparte "&amp;I1625&amp;": "&amp;INDEX(Eingabe!$B$9:$B$18,I1625)&amp;"  (Sparten-ID "&amp;INDEX(Eingabe!$D$9:$D$18,I1625)&amp;", "&amp;K1625&amp;" Parzellen)",IF(J1625&lt;=K1625,"   Parzelle "&amp;J1625,IF(J1625=K1625+1,"   Vorstand",IF(J1625=K1625+2,"   Gäste",IF(J1625=K1625+3,"   Technik (Switches, Access Points)",""))))))</f>
        <v/>
      </c>
      <c r="B1625" s="0" t="str">
        <f aca="false">IF(I1625="","",IF(AND(J1625&gt;=1,J1625&lt;=K1625+3),IF(J1625&lt;=K1625,IF(J1625&lt;=99,IF((INDEX(Eingabe!$G$9:$G$18,I1625))&lt;=9,1000+(INDEX(Eingabe!$G$9:$G$18,I1625))*100,3000)+J1625,IF((INDEX(Eingabe!$G$9:$G$18,I1625)+1)&lt;=9,1000+(INDEX(Eingabe!$G$9:$G$18,I1625)+1)*100,3000)+J1625-100),IF(J1625=K1625+1,2000+INDEX(Eingabe!$G$9:$G$18,I1625)*10+1,IF(J1625=K1625+2,2000+INDEX(Eingabe!$G$9:$G$18,I1625)*10+2,2000+INDEX(Eingabe!$G$9:$G$18,I1625)*10+9))),""))</f>
        <v/>
      </c>
      <c r="C1625" s="0" t="str">
        <f aca="false">IF(I1625="","",IF(AND(J1625&gt;=1,J1625&lt;=K1625+3),"10."&amp;INDEX(Eingabe!$D$9:$D$18,I1625)&amp;"."&amp;IF(J1625&lt;=K1625,J1625,IF(J1625=K1625+1,200,IF(J1625=K1625+2,201,250)))&amp;".0/24",""))</f>
        <v/>
      </c>
      <c r="D1625" s="0" t="str">
        <f aca="false">IF(I1625="","",IF(AND(J1625&gt;=1,J1625&lt;=K1625+3),"255.255.255.0",""))</f>
        <v/>
      </c>
      <c r="E1625" s="0" t="str">
        <f aca="false">IF(I1625="","",IF(AND(J1625&gt;=1,J1625&lt;=K1625+3),"10."&amp;INDEX(Eingabe!$D$9:$D$18,I1625)&amp;"."&amp;IF(J1625&lt;=K1625,J1625,IF(J1625=K1625+1,200,IF(J1625=K1625+2,201,250)))&amp;".1",""))</f>
        <v/>
      </c>
      <c r="F1625" s="0" t="str">
        <f aca="false">IF(I1625="","",IF(AND(J1625&gt;=1,J1625&lt;=K1625+3),"10."&amp;INDEX(Eingabe!$D$9:$D$18,I1625)&amp;"."&amp;IF(J1625&lt;=K1625,J1625,IF(J1625=K1625+1,200,IF(J1625=K1625+2,201,250)))&amp;".10 – 10."&amp;INDEX(Eingabe!$D$9:$D$18,I1625)&amp;"."&amp;IF(J1625&lt;=K1625,J1625,IF(J1625=K1625+1,200,IF(J1625=K1625+2,201,250)))&amp;".250",""))</f>
        <v/>
      </c>
      <c r="G1625" s="0" t="str">
        <f aca="false">IF(I1625="","",IF(AND(J1625&gt;=1,J1625&lt;=K1625),Eingabe!$B$6&amp;"-"&amp;INDEX(Eingabe!$C$9:$C$18,I1625)&amp;"-Pächter  ·  Passwort Parzelle "&amp;J1625,IF(J1625=K1625+1,Eingabe!$B$6&amp;"-"&amp;INDEX(Eingabe!$C$9:$C$18,I1625)&amp;"-Vorstand  ·  eigenes WLAN",IF(J1625=K1625+2,Eingabe!$B$6&amp;"-"&amp;INDEX(Eingabe!$C$9:$C$18,I1625)&amp;"-Gäste  ·  Voucher",IF(J1625=K1625+3,"Kabel  ·  Access Point y = .(50+y), Mast-Switch x = .(10+x)","")))))</f>
        <v/>
      </c>
      <c r="I1625" s="0" t="str">
        <f aca="false">IF(1620&lt;=(Eingabe!$P$18+Eingabe!$Q$18-1),MATCH(1620,Eingabe!$P$9:$P$18,1),"")</f>
        <v/>
      </c>
      <c r="J1625" s="0" t="str">
        <f aca="false">IF(I1625="","",1620-INDEX(Eingabe!$P$9:$P$18,I1625))</f>
        <v/>
      </c>
      <c r="K1625" s="0" t="str">
        <f aca="false">IF(I1625="","",INDEX(Eingabe!$E$9:$E$18,I1625))</f>
        <v/>
      </c>
    </row>
    <row r="1626" customFormat="false" ht="15" hidden="false" customHeight="false" outlineLevel="0" collapsed="false">
      <c r="A1626" s="0" t="str">
        <f aca="false">IF(I1626="","",IF(J1626=0,"Sparte "&amp;I1626&amp;": "&amp;INDEX(Eingabe!$B$9:$B$18,I1626)&amp;"  (Sparten-ID "&amp;INDEX(Eingabe!$D$9:$D$18,I1626)&amp;", "&amp;K1626&amp;" Parzellen)",IF(J1626&lt;=K1626,"   Parzelle "&amp;J1626,IF(J1626=K1626+1,"   Vorstand",IF(J1626=K1626+2,"   Gäste",IF(J1626=K1626+3,"   Technik (Switches, Access Points)",""))))))</f>
        <v/>
      </c>
      <c r="B1626" s="0" t="str">
        <f aca="false">IF(I1626="","",IF(AND(J1626&gt;=1,J1626&lt;=K1626+3),IF(J1626&lt;=K1626,IF(J1626&lt;=99,IF((INDEX(Eingabe!$G$9:$G$18,I1626))&lt;=9,1000+(INDEX(Eingabe!$G$9:$G$18,I1626))*100,3000)+J1626,IF((INDEX(Eingabe!$G$9:$G$18,I1626)+1)&lt;=9,1000+(INDEX(Eingabe!$G$9:$G$18,I1626)+1)*100,3000)+J1626-100),IF(J1626=K1626+1,2000+INDEX(Eingabe!$G$9:$G$18,I1626)*10+1,IF(J1626=K1626+2,2000+INDEX(Eingabe!$G$9:$G$18,I1626)*10+2,2000+INDEX(Eingabe!$G$9:$G$18,I1626)*10+9))),""))</f>
        <v/>
      </c>
      <c r="C1626" s="0" t="str">
        <f aca="false">IF(I1626="","",IF(AND(J1626&gt;=1,J1626&lt;=K1626+3),"10."&amp;INDEX(Eingabe!$D$9:$D$18,I1626)&amp;"."&amp;IF(J1626&lt;=K1626,J1626,IF(J1626=K1626+1,200,IF(J1626=K1626+2,201,250)))&amp;".0/24",""))</f>
        <v/>
      </c>
      <c r="D1626" s="0" t="str">
        <f aca="false">IF(I1626="","",IF(AND(J1626&gt;=1,J1626&lt;=K1626+3),"255.255.255.0",""))</f>
        <v/>
      </c>
      <c r="E1626" s="0" t="str">
        <f aca="false">IF(I1626="","",IF(AND(J1626&gt;=1,J1626&lt;=K1626+3),"10."&amp;INDEX(Eingabe!$D$9:$D$18,I1626)&amp;"."&amp;IF(J1626&lt;=K1626,J1626,IF(J1626=K1626+1,200,IF(J1626=K1626+2,201,250)))&amp;".1",""))</f>
        <v/>
      </c>
      <c r="F1626" s="0" t="str">
        <f aca="false">IF(I1626="","",IF(AND(J1626&gt;=1,J1626&lt;=K1626+3),"10."&amp;INDEX(Eingabe!$D$9:$D$18,I1626)&amp;"."&amp;IF(J1626&lt;=K1626,J1626,IF(J1626=K1626+1,200,IF(J1626=K1626+2,201,250)))&amp;".10 – 10."&amp;INDEX(Eingabe!$D$9:$D$18,I1626)&amp;"."&amp;IF(J1626&lt;=K1626,J1626,IF(J1626=K1626+1,200,IF(J1626=K1626+2,201,250)))&amp;".250",""))</f>
        <v/>
      </c>
      <c r="G1626" s="0" t="str">
        <f aca="false">IF(I1626="","",IF(AND(J1626&gt;=1,J1626&lt;=K1626),Eingabe!$B$6&amp;"-"&amp;INDEX(Eingabe!$C$9:$C$18,I1626)&amp;"-Pächter  ·  Passwort Parzelle "&amp;J1626,IF(J1626=K1626+1,Eingabe!$B$6&amp;"-"&amp;INDEX(Eingabe!$C$9:$C$18,I1626)&amp;"-Vorstand  ·  eigenes WLAN",IF(J1626=K1626+2,Eingabe!$B$6&amp;"-"&amp;INDEX(Eingabe!$C$9:$C$18,I1626)&amp;"-Gäste  ·  Voucher",IF(J1626=K1626+3,"Kabel  ·  Access Point y = .(50+y), Mast-Switch x = .(10+x)","")))))</f>
        <v/>
      </c>
      <c r="I1626" s="0" t="str">
        <f aca="false">IF(1621&lt;=(Eingabe!$P$18+Eingabe!$Q$18-1),MATCH(1621,Eingabe!$P$9:$P$18,1),"")</f>
        <v/>
      </c>
      <c r="J1626" s="0" t="str">
        <f aca="false">IF(I1626="","",1621-INDEX(Eingabe!$P$9:$P$18,I1626))</f>
        <v/>
      </c>
      <c r="K1626" s="0" t="str">
        <f aca="false">IF(I1626="","",INDEX(Eingabe!$E$9:$E$18,I1626))</f>
        <v/>
      </c>
    </row>
    <row r="1627" customFormat="false" ht="15" hidden="false" customHeight="false" outlineLevel="0" collapsed="false">
      <c r="A1627" s="0" t="str">
        <f aca="false">IF(I1627="","",IF(J1627=0,"Sparte "&amp;I1627&amp;": "&amp;INDEX(Eingabe!$B$9:$B$18,I1627)&amp;"  (Sparten-ID "&amp;INDEX(Eingabe!$D$9:$D$18,I1627)&amp;", "&amp;K1627&amp;" Parzellen)",IF(J1627&lt;=K1627,"   Parzelle "&amp;J1627,IF(J1627=K1627+1,"   Vorstand",IF(J1627=K1627+2,"   Gäste",IF(J1627=K1627+3,"   Technik (Switches, Access Points)",""))))))</f>
        <v/>
      </c>
      <c r="B1627" s="0" t="str">
        <f aca="false">IF(I1627="","",IF(AND(J1627&gt;=1,J1627&lt;=K1627+3),IF(J1627&lt;=K1627,IF(J1627&lt;=99,IF((INDEX(Eingabe!$G$9:$G$18,I1627))&lt;=9,1000+(INDEX(Eingabe!$G$9:$G$18,I1627))*100,3000)+J1627,IF((INDEX(Eingabe!$G$9:$G$18,I1627)+1)&lt;=9,1000+(INDEX(Eingabe!$G$9:$G$18,I1627)+1)*100,3000)+J1627-100),IF(J1627=K1627+1,2000+INDEX(Eingabe!$G$9:$G$18,I1627)*10+1,IF(J1627=K1627+2,2000+INDEX(Eingabe!$G$9:$G$18,I1627)*10+2,2000+INDEX(Eingabe!$G$9:$G$18,I1627)*10+9))),""))</f>
        <v/>
      </c>
      <c r="C1627" s="0" t="str">
        <f aca="false">IF(I1627="","",IF(AND(J1627&gt;=1,J1627&lt;=K1627+3),"10."&amp;INDEX(Eingabe!$D$9:$D$18,I1627)&amp;"."&amp;IF(J1627&lt;=K1627,J1627,IF(J1627=K1627+1,200,IF(J1627=K1627+2,201,250)))&amp;".0/24",""))</f>
        <v/>
      </c>
      <c r="D1627" s="0" t="str">
        <f aca="false">IF(I1627="","",IF(AND(J1627&gt;=1,J1627&lt;=K1627+3),"255.255.255.0",""))</f>
        <v/>
      </c>
      <c r="E1627" s="0" t="str">
        <f aca="false">IF(I1627="","",IF(AND(J1627&gt;=1,J1627&lt;=K1627+3),"10."&amp;INDEX(Eingabe!$D$9:$D$18,I1627)&amp;"."&amp;IF(J1627&lt;=K1627,J1627,IF(J1627=K1627+1,200,IF(J1627=K1627+2,201,250)))&amp;".1",""))</f>
        <v/>
      </c>
      <c r="F1627" s="0" t="str">
        <f aca="false">IF(I1627="","",IF(AND(J1627&gt;=1,J1627&lt;=K1627+3),"10."&amp;INDEX(Eingabe!$D$9:$D$18,I1627)&amp;"."&amp;IF(J1627&lt;=K1627,J1627,IF(J1627=K1627+1,200,IF(J1627=K1627+2,201,250)))&amp;".10 – 10."&amp;INDEX(Eingabe!$D$9:$D$18,I1627)&amp;"."&amp;IF(J1627&lt;=K1627,J1627,IF(J1627=K1627+1,200,IF(J1627=K1627+2,201,250)))&amp;".250",""))</f>
        <v/>
      </c>
      <c r="G1627" s="0" t="str">
        <f aca="false">IF(I1627="","",IF(AND(J1627&gt;=1,J1627&lt;=K1627),Eingabe!$B$6&amp;"-"&amp;INDEX(Eingabe!$C$9:$C$18,I1627)&amp;"-Pächter  ·  Passwort Parzelle "&amp;J1627,IF(J1627=K1627+1,Eingabe!$B$6&amp;"-"&amp;INDEX(Eingabe!$C$9:$C$18,I1627)&amp;"-Vorstand  ·  eigenes WLAN",IF(J1627=K1627+2,Eingabe!$B$6&amp;"-"&amp;INDEX(Eingabe!$C$9:$C$18,I1627)&amp;"-Gäste  ·  Voucher",IF(J1627=K1627+3,"Kabel  ·  Access Point y = .(50+y), Mast-Switch x = .(10+x)","")))))</f>
        <v/>
      </c>
      <c r="I1627" s="0" t="str">
        <f aca="false">IF(1622&lt;=(Eingabe!$P$18+Eingabe!$Q$18-1),MATCH(1622,Eingabe!$P$9:$P$18,1),"")</f>
        <v/>
      </c>
      <c r="J1627" s="0" t="str">
        <f aca="false">IF(I1627="","",1622-INDEX(Eingabe!$P$9:$P$18,I1627))</f>
        <v/>
      </c>
      <c r="K1627" s="0" t="str">
        <f aca="false">IF(I1627="","",INDEX(Eingabe!$E$9:$E$18,I1627))</f>
        <v/>
      </c>
    </row>
    <row r="1628" customFormat="false" ht="15" hidden="false" customHeight="false" outlineLevel="0" collapsed="false">
      <c r="A1628" s="0" t="str">
        <f aca="false">IF(I1628="","",IF(J1628=0,"Sparte "&amp;I1628&amp;": "&amp;INDEX(Eingabe!$B$9:$B$18,I1628)&amp;"  (Sparten-ID "&amp;INDEX(Eingabe!$D$9:$D$18,I1628)&amp;", "&amp;K1628&amp;" Parzellen)",IF(J1628&lt;=K1628,"   Parzelle "&amp;J1628,IF(J1628=K1628+1,"   Vorstand",IF(J1628=K1628+2,"   Gäste",IF(J1628=K1628+3,"   Technik (Switches, Access Points)",""))))))</f>
        <v/>
      </c>
      <c r="B1628" s="0" t="str">
        <f aca="false">IF(I1628="","",IF(AND(J1628&gt;=1,J1628&lt;=K1628+3),IF(J1628&lt;=K1628,IF(J1628&lt;=99,IF((INDEX(Eingabe!$G$9:$G$18,I1628))&lt;=9,1000+(INDEX(Eingabe!$G$9:$G$18,I1628))*100,3000)+J1628,IF((INDEX(Eingabe!$G$9:$G$18,I1628)+1)&lt;=9,1000+(INDEX(Eingabe!$G$9:$G$18,I1628)+1)*100,3000)+J1628-100),IF(J1628=K1628+1,2000+INDEX(Eingabe!$G$9:$G$18,I1628)*10+1,IF(J1628=K1628+2,2000+INDEX(Eingabe!$G$9:$G$18,I1628)*10+2,2000+INDEX(Eingabe!$G$9:$G$18,I1628)*10+9))),""))</f>
        <v/>
      </c>
      <c r="C1628" s="0" t="str">
        <f aca="false">IF(I1628="","",IF(AND(J1628&gt;=1,J1628&lt;=K1628+3),"10."&amp;INDEX(Eingabe!$D$9:$D$18,I1628)&amp;"."&amp;IF(J1628&lt;=K1628,J1628,IF(J1628=K1628+1,200,IF(J1628=K1628+2,201,250)))&amp;".0/24",""))</f>
        <v/>
      </c>
      <c r="D1628" s="0" t="str">
        <f aca="false">IF(I1628="","",IF(AND(J1628&gt;=1,J1628&lt;=K1628+3),"255.255.255.0",""))</f>
        <v/>
      </c>
      <c r="E1628" s="0" t="str">
        <f aca="false">IF(I1628="","",IF(AND(J1628&gt;=1,J1628&lt;=K1628+3),"10."&amp;INDEX(Eingabe!$D$9:$D$18,I1628)&amp;"."&amp;IF(J1628&lt;=K1628,J1628,IF(J1628=K1628+1,200,IF(J1628=K1628+2,201,250)))&amp;".1",""))</f>
        <v/>
      </c>
      <c r="F1628" s="0" t="str">
        <f aca="false">IF(I1628="","",IF(AND(J1628&gt;=1,J1628&lt;=K1628+3),"10."&amp;INDEX(Eingabe!$D$9:$D$18,I1628)&amp;"."&amp;IF(J1628&lt;=K1628,J1628,IF(J1628=K1628+1,200,IF(J1628=K1628+2,201,250)))&amp;".10 – 10."&amp;INDEX(Eingabe!$D$9:$D$18,I1628)&amp;"."&amp;IF(J1628&lt;=K1628,J1628,IF(J1628=K1628+1,200,IF(J1628=K1628+2,201,250)))&amp;".250",""))</f>
        <v/>
      </c>
      <c r="G1628" s="0" t="str">
        <f aca="false">IF(I1628="","",IF(AND(J1628&gt;=1,J1628&lt;=K1628),Eingabe!$B$6&amp;"-"&amp;INDEX(Eingabe!$C$9:$C$18,I1628)&amp;"-Pächter  ·  Passwort Parzelle "&amp;J1628,IF(J1628=K1628+1,Eingabe!$B$6&amp;"-"&amp;INDEX(Eingabe!$C$9:$C$18,I1628)&amp;"-Vorstand  ·  eigenes WLAN",IF(J1628=K1628+2,Eingabe!$B$6&amp;"-"&amp;INDEX(Eingabe!$C$9:$C$18,I1628)&amp;"-Gäste  ·  Voucher",IF(J1628=K1628+3,"Kabel  ·  Access Point y = .(50+y), Mast-Switch x = .(10+x)","")))))</f>
        <v/>
      </c>
      <c r="I1628" s="0" t="str">
        <f aca="false">IF(1623&lt;=(Eingabe!$P$18+Eingabe!$Q$18-1),MATCH(1623,Eingabe!$P$9:$P$18,1),"")</f>
        <v/>
      </c>
      <c r="J1628" s="0" t="str">
        <f aca="false">IF(I1628="","",1623-INDEX(Eingabe!$P$9:$P$18,I1628))</f>
        <v/>
      </c>
      <c r="K1628" s="0" t="str">
        <f aca="false">IF(I1628="","",INDEX(Eingabe!$E$9:$E$18,I1628))</f>
        <v/>
      </c>
    </row>
    <row r="1629" customFormat="false" ht="15" hidden="false" customHeight="false" outlineLevel="0" collapsed="false">
      <c r="A1629" s="0" t="str">
        <f aca="false">IF(I1629="","",IF(J1629=0,"Sparte "&amp;I1629&amp;": "&amp;INDEX(Eingabe!$B$9:$B$18,I1629)&amp;"  (Sparten-ID "&amp;INDEX(Eingabe!$D$9:$D$18,I1629)&amp;", "&amp;K1629&amp;" Parzellen)",IF(J1629&lt;=K1629,"   Parzelle "&amp;J1629,IF(J1629=K1629+1,"   Vorstand",IF(J1629=K1629+2,"   Gäste",IF(J1629=K1629+3,"   Technik (Switches, Access Points)",""))))))</f>
        <v/>
      </c>
      <c r="B1629" s="0" t="str">
        <f aca="false">IF(I1629="","",IF(AND(J1629&gt;=1,J1629&lt;=K1629+3),IF(J1629&lt;=K1629,IF(J1629&lt;=99,IF((INDEX(Eingabe!$G$9:$G$18,I1629))&lt;=9,1000+(INDEX(Eingabe!$G$9:$G$18,I1629))*100,3000)+J1629,IF((INDEX(Eingabe!$G$9:$G$18,I1629)+1)&lt;=9,1000+(INDEX(Eingabe!$G$9:$G$18,I1629)+1)*100,3000)+J1629-100),IF(J1629=K1629+1,2000+INDEX(Eingabe!$G$9:$G$18,I1629)*10+1,IF(J1629=K1629+2,2000+INDEX(Eingabe!$G$9:$G$18,I1629)*10+2,2000+INDEX(Eingabe!$G$9:$G$18,I1629)*10+9))),""))</f>
        <v/>
      </c>
      <c r="C1629" s="0" t="str">
        <f aca="false">IF(I1629="","",IF(AND(J1629&gt;=1,J1629&lt;=K1629+3),"10."&amp;INDEX(Eingabe!$D$9:$D$18,I1629)&amp;"."&amp;IF(J1629&lt;=K1629,J1629,IF(J1629=K1629+1,200,IF(J1629=K1629+2,201,250)))&amp;".0/24",""))</f>
        <v/>
      </c>
      <c r="D1629" s="0" t="str">
        <f aca="false">IF(I1629="","",IF(AND(J1629&gt;=1,J1629&lt;=K1629+3),"255.255.255.0",""))</f>
        <v/>
      </c>
      <c r="E1629" s="0" t="str">
        <f aca="false">IF(I1629="","",IF(AND(J1629&gt;=1,J1629&lt;=K1629+3),"10."&amp;INDEX(Eingabe!$D$9:$D$18,I1629)&amp;"."&amp;IF(J1629&lt;=K1629,J1629,IF(J1629=K1629+1,200,IF(J1629=K1629+2,201,250)))&amp;".1",""))</f>
        <v/>
      </c>
      <c r="F1629" s="0" t="str">
        <f aca="false">IF(I1629="","",IF(AND(J1629&gt;=1,J1629&lt;=K1629+3),"10."&amp;INDEX(Eingabe!$D$9:$D$18,I1629)&amp;"."&amp;IF(J1629&lt;=K1629,J1629,IF(J1629=K1629+1,200,IF(J1629=K1629+2,201,250)))&amp;".10 – 10."&amp;INDEX(Eingabe!$D$9:$D$18,I1629)&amp;"."&amp;IF(J1629&lt;=K1629,J1629,IF(J1629=K1629+1,200,IF(J1629=K1629+2,201,250)))&amp;".250",""))</f>
        <v/>
      </c>
      <c r="G1629" s="0" t="str">
        <f aca="false">IF(I1629="","",IF(AND(J1629&gt;=1,J1629&lt;=K1629),Eingabe!$B$6&amp;"-"&amp;INDEX(Eingabe!$C$9:$C$18,I1629)&amp;"-Pächter  ·  Passwort Parzelle "&amp;J1629,IF(J1629=K1629+1,Eingabe!$B$6&amp;"-"&amp;INDEX(Eingabe!$C$9:$C$18,I1629)&amp;"-Vorstand  ·  eigenes WLAN",IF(J1629=K1629+2,Eingabe!$B$6&amp;"-"&amp;INDEX(Eingabe!$C$9:$C$18,I1629)&amp;"-Gäste  ·  Voucher",IF(J1629=K1629+3,"Kabel  ·  Access Point y = .(50+y), Mast-Switch x = .(10+x)","")))))</f>
        <v/>
      </c>
      <c r="I1629" s="0" t="str">
        <f aca="false">IF(1624&lt;=(Eingabe!$P$18+Eingabe!$Q$18-1),MATCH(1624,Eingabe!$P$9:$P$18,1),"")</f>
        <v/>
      </c>
      <c r="J1629" s="0" t="str">
        <f aca="false">IF(I1629="","",1624-INDEX(Eingabe!$P$9:$P$18,I1629))</f>
        <v/>
      </c>
      <c r="K1629" s="0" t="str">
        <f aca="false">IF(I1629="","",INDEX(Eingabe!$E$9:$E$18,I1629))</f>
        <v/>
      </c>
    </row>
    <row r="1630" customFormat="false" ht="15" hidden="false" customHeight="false" outlineLevel="0" collapsed="false">
      <c r="A1630" s="0" t="str">
        <f aca="false">IF(I1630="","",IF(J1630=0,"Sparte "&amp;I1630&amp;": "&amp;INDEX(Eingabe!$B$9:$B$18,I1630)&amp;"  (Sparten-ID "&amp;INDEX(Eingabe!$D$9:$D$18,I1630)&amp;", "&amp;K1630&amp;" Parzellen)",IF(J1630&lt;=K1630,"   Parzelle "&amp;J1630,IF(J1630=K1630+1,"   Vorstand",IF(J1630=K1630+2,"   Gäste",IF(J1630=K1630+3,"   Technik (Switches, Access Points)",""))))))</f>
        <v/>
      </c>
      <c r="B1630" s="0" t="str">
        <f aca="false">IF(I1630="","",IF(AND(J1630&gt;=1,J1630&lt;=K1630+3),IF(J1630&lt;=K1630,IF(J1630&lt;=99,IF((INDEX(Eingabe!$G$9:$G$18,I1630))&lt;=9,1000+(INDEX(Eingabe!$G$9:$G$18,I1630))*100,3000)+J1630,IF((INDEX(Eingabe!$G$9:$G$18,I1630)+1)&lt;=9,1000+(INDEX(Eingabe!$G$9:$G$18,I1630)+1)*100,3000)+J1630-100),IF(J1630=K1630+1,2000+INDEX(Eingabe!$G$9:$G$18,I1630)*10+1,IF(J1630=K1630+2,2000+INDEX(Eingabe!$G$9:$G$18,I1630)*10+2,2000+INDEX(Eingabe!$G$9:$G$18,I1630)*10+9))),""))</f>
        <v/>
      </c>
      <c r="C1630" s="0" t="str">
        <f aca="false">IF(I1630="","",IF(AND(J1630&gt;=1,J1630&lt;=K1630+3),"10."&amp;INDEX(Eingabe!$D$9:$D$18,I1630)&amp;"."&amp;IF(J1630&lt;=K1630,J1630,IF(J1630=K1630+1,200,IF(J1630=K1630+2,201,250)))&amp;".0/24",""))</f>
        <v/>
      </c>
      <c r="D1630" s="0" t="str">
        <f aca="false">IF(I1630="","",IF(AND(J1630&gt;=1,J1630&lt;=K1630+3),"255.255.255.0",""))</f>
        <v/>
      </c>
      <c r="E1630" s="0" t="str">
        <f aca="false">IF(I1630="","",IF(AND(J1630&gt;=1,J1630&lt;=K1630+3),"10."&amp;INDEX(Eingabe!$D$9:$D$18,I1630)&amp;"."&amp;IF(J1630&lt;=K1630,J1630,IF(J1630=K1630+1,200,IF(J1630=K1630+2,201,250)))&amp;".1",""))</f>
        <v/>
      </c>
      <c r="F1630" s="0" t="str">
        <f aca="false">IF(I1630="","",IF(AND(J1630&gt;=1,J1630&lt;=K1630+3),"10."&amp;INDEX(Eingabe!$D$9:$D$18,I1630)&amp;"."&amp;IF(J1630&lt;=K1630,J1630,IF(J1630=K1630+1,200,IF(J1630=K1630+2,201,250)))&amp;".10 – 10."&amp;INDEX(Eingabe!$D$9:$D$18,I1630)&amp;"."&amp;IF(J1630&lt;=K1630,J1630,IF(J1630=K1630+1,200,IF(J1630=K1630+2,201,250)))&amp;".250",""))</f>
        <v/>
      </c>
      <c r="G1630" s="0" t="str">
        <f aca="false">IF(I1630="","",IF(AND(J1630&gt;=1,J1630&lt;=K1630),Eingabe!$B$6&amp;"-"&amp;INDEX(Eingabe!$C$9:$C$18,I1630)&amp;"-Pächter  ·  Passwort Parzelle "&amp;J1630,IF(J1630=K1630+1,Eingabe!$B$6&amp;"-"&amp;INDEX(Eingabe!$C$9:$C$18,I1630)&amp;"-Vorstand  ·  eigenes WLAN",IF(J1630=K1630+2,Eingabe!$B$6&amp;"-"&amp;INDEX(Eingabe!$C$9:$C$18,I1630)&amp;"-Gäste  ·  Voucher",IF(J1630=K1630+3,"Kabel  ·  Access Point y = .(50+y), Mast-Switch x = .(10+x)","")))))</f>
        <v/>
      </c>
      <c r="I1630" s="0" t="str">
        <f aca="false">IF(1625&lt;=(Eingabe!$P$18+Eingabe!$Q$18-1),MATCH(1625,Eingabe!$P$9:$P$18,1),"")</f>
        <v/>
      </c>
      <c r="J1630" s="0" t="str">
        <f aca="false">IF(I1630="","",1625-INDEX(Eingabe!$P$9:$P$18,I1630))</f>
        <v/>
      </c>
      <c r="K1630" s="0" t="str">
        <f aca="false">IF(I1630="","",INDEX(Eingabe!$E$9:$E$18,I1630))</f>
        <v/>
      </c>
    </row>
    <row r="1631" customFormat="false" ht="15" hidden="false" customHeight="false" outlineLevel="0" collapsed="false">
      <c r="A1631" s="0" t="str">
        <f aca="false">IF(I1631="","",IF(J1631=0,"Sparte "&amp;I1631&amp;": "&amp;INDEX(Eingabe!$B$9:$B$18,I1631)&amp;"  (Sparten-ID "&amp;INDEX(Eingabe!$D$9:$D$18,I1631)&amp;", "&amp;K1631&amp;" Parzellen)",IF(J1631&lt;=K1631,"   Parzelle "&amp;J1631,IF(J1631=K1631+1,"   Vorstand",IF(J1631=K1631+2,"   Gäste",IF(J1631=K1631+3,"   Technik (Switches, Access Points)",""))))))</f>
        <v/>
      </c>
      <c r="B1631" s="0" t="str">
        <f aca="false">IF(I1631="","",IF(AND(J1631&gt;=1,J1631&lt;=K1631+3),IF(J1631&lt;=K1631,IF(J1631&lt;=99,IF((INDEX(Eingabe!$G$9:$G$18,I1631))&lt;=9,1000+(INDEX(Eingabe!$G$9:$G$18,I1631))*100,3000)+J1631,IF((INDEX(Eingabe!$G$9:$G$18,I1631)+1)&lt;=9,1000+(INDEX(Eingabe!$G$9:$G$18,I1631)+1)*100,3000)+J1631-100),IF(J1631=K1631+1,2000+INDEX(Eingabe!$G$9:$G$18,I1631)*10+1,IF(J1631=K1631+2,2000+INDEX(Eingabe!$G$9:$G$18,I1631)*10+2,2000+INDEX(Eingabe!$G$9:$G$18,I1631)*10+9))),""))</f>
        <v/>
      </c>
      <c r="C1631" s="0" t="str">
        <f aca="false">IF(I1631="","",IF(AND(J1631&gt;=1,J1631&lt;=K1631+3),"10."&amp;INDEX(Eingabe!$D$9:$D$18,I1631)&amp;"."&amp;IF(J1631&lt;=K1631,J1631,IF(J1631=K1631+1,200,IF(J1631=K1631+2,201,250)))&amp;".0/24",""))</f>
        <v/>
      </c>
      <c r="D1631" s="0" t="str">
        <f aca="false">IF(I1631="","",IF(AND(J1631&gt;=1,J1631&lt;=K1631+3),"255.255.255.0",""))</f>
        <v/>
      </c>
      <c r="E1631" s="0" t="str">
        <f aca="false">IF(I1631="","",IF(AND(J1631&gt;=1,J1631&lt;=K1631+3),"10."&amp;INDEX(Eingabe!$D$9:$D$18,I1631)&amp;"."&amp;IF(J1631&lt;=K1631,J1631,IF(J1631=K1631+1,200,IF(J1631=K1631+2,201,250)))&amp;".1",""))</f>
        <v/>
      </c>
      <c r="F1631" s="0" t="str">
        <f aca="false">IF(I1631="","",IF(AND(J1631&gt;=1,J1631&lt;=K1631+3),"10."&amp;INDEX(Eingabe!$D$9:$D$18,I1631)&amp;"."&amp;IF(J1631&lt;=K1631,J1631,IF(J1631=K1631+1,200,IF(J1631=K1631+2,201,250)))&amp;".10 – 10."&amp;INDEX(Eingabe!$D$9:$D$18,I1631)&amp;"."&amp;IF(J1631&lt;=K1631,J1631,IF(J1631=K1631+1,200,IF(J1631=K1631+2,201,250)))&amp;".250",""))</f>
        <v/>
      </c>
      <c r="G1631" s="0" t="str">
        <f aca="false">IF(I1631="","",IF(AND(J1631&gt;=1,J1631&lt;=K1631),Eingabe!$B$6&amp;"-"&amp;INDEX(Eingabe!$C$9:$C$18,I1631)&amp;"-Pächter  ·  Passwort Parzelle "&amp;J1631,IF(J1631=K1631+1,Eingabe!$B$6&amp;"-"&amp;INDEX(Eingabe!$C$9:$C$18,I1631)&amp;"-Vorstand  ·  eigenes WLAN",IF(J1631=K1631+2,Eingabe!$B$6&amp;"-"&amp;INDEX(Eingabe!$C$9:$C$18,I1631)&amp;"-Gäste  ·  Voucher",IF(J1631=K1631+3,"Kabel  ·  Access Point y = .(50+y), Mast-Switch x = .(10+x)","")))))</f>
        <v/>
      </c>
      <c r="I1631" s="0" t="str">
        <f aca="false">IF(1626&lt;=(Eingabe!$P$18+Eingabe!$Q$18-1),MATCH(1626,Eingabe!$P$9:$P$18,1),"")</f>
        <v/>
      </c>
      <c r="J1631" s="0" t="str">
        <f aca="false">IF(I1631="","",1626-INDEX(Eingabe!$P$9:$P$18,I1631))</f>
        <v/>
      </c>
      <c r="K1631" s="0" t="str">
        <f aca="false">IF(I1631="","",INDEX(Eingabe!$E$9:$E$18,I1631))</f>
        <v/>
      </c>
    </row>
    <row r="1632" customFormat="false" ht="15" hidden="false" customHeight="false" outlineLevel="0" collapsed="false">
      <c r="A1632" s="0" t="str">
        <f aca="false">IF(I1632="","",IF(J1632=0,"Sparte "&amp;I1632&amp;": "&amp;INDEX(Eingabe!$B$9:$B$18,I1632)&amp;"  (Sparten-ID "&amp;INDEX(Eingabe!$D$9:$D$18,I1632)&amp;", "&amp;K1632&amp;" Parzellen)",IF(J1632&lt;=K1632,"   Parzelle "&amp;J1632,IF(J1632=K1632+1,"   Vorstand",IF(J1632=K1632+2,"   Gäste",IF(J1632=K1632+3,"   Technik (Switches, Access Points)",""))))))</f>
        <v/>
      </c>
      <c r="B1632" s="0" t="str">
        <f aca="false">IF(I1632="","",IF(AND(J1632&gt;=1,J1632&lt;=K1632+3),IF(J1632&lt;=K1632,IF(J1632&lt;=99,IF((INDEX(Eingabe!$G$9:$G$18,I1632))&lt;=9,1000+(INDEX(Eingabe!$G$9:$G$18,I1632))*100,3000)+J1632,IF((INDEX(Eingabe!$G$9:$G$18,I1632)+1)&lt;=9,1000+(INDEX(Eingabe!$G$9:$G$18,I1632)+1)*100,3000)+J1632-100),IF(J1632=K1632+1,2000+INDEX(Eingabe!$G$9:$G$18,I1632)*10+1,IF(J1632=K1632+2,2000+INDEX(Eingabe!$G$9:$G$18,I1632)*10+2,2000+INDEX(Eingabe!$G$9:$G$18,I1632)*10+9))),""))</f>
        <v/>
      </c>
      <c r="C1632" s="0" t="str">
        <f aca="false">IF(I1632="","",IF(AND(J1632&gt;=1,J1632&lt;=K1632+3),"10."&amp;INDEX(Eingabe!$D$9:$D$18,I1632)&amp;"."&amp;IF(J1632&lt;=K1632,J1632,IF(J1632=K1632+1,200,IF(J1632=K1632+2,201,250)))&amp;".0/24",""))</f>
        <v/>
      </c>
      <c r="D1632" s="0" t="str">
        <f aca="false">IF(I1632="","",IF(AND(J1632&gt;=1,J1632&lt;=K1632+3),"255.255.255.0",""))</f>
        <v/>
      </c>
      <c r="E1632" s="0" t="str">
        <f aca="false">IF(I1632="","",IF(AND(J1632&gt;=1,J1632&lt;=K1632+3),"10."&amp;INDEX(Eingabe!$D$9:$D$18,I1632)&amp;"."&amp;IF(J1632&lt;=K1632,J1632,IF(J1632=K1632+1,200,IF(J1632=K1632+2,201,250)))&amp;".1",""))</f>
        <v/>
      </c>
      <c r="F1632" s="0" t="str">
        <f aca="false">IF(I1632="","",IF(AND(J1632&gt;=1,J1632&lt;=K1632+3),"10."&amp;INDEX(Eingabe!$D$9:$D$18,I1632)&amp;"."&amp;IF(J1632&lt;=K1632,J1632,IF(J1632=K1632+1,200,IF(J1632=K1632+2,201,250)))&amp;".10 – 10."&amp;INDEX(Eingabe!$D$9:$D$18,I1632)&amp;"."&amp;IF(J1632&lt;=K1632,J1632,IF(J1632=K1632+1,200,IF(J1632=K1632+2,201,250)))&amp;".250",""))</f>
        <v/>
      </c>
      <c r="G1632" s="0" t="str">
        <f aca="false">IF(I1632="","",IF(AND(J1632&gt;=1,J1632&lt;=K1632),Eingabe!$B$6&amp;"-"&amp;INDEX(Eingabe!$C$9:$C$18,I1632)&amp;"-Pächter  ·  Passwort Parzelle "&amp;J1632,IF(J1632=K1632+1,Eingabe!$B$6&amp;"-"&amp;INDEX(Eingabe!$C$9:$C$18,I1632)&amp;"-Vorstand  ·  eigenes WLAN",IF(J1632=K1632+2,Eingabe!$B$6&amp;"-"&amp;INDEX(Eingabe!$C$9:$C$18,I1632)&amp;"-Gäste  ·  Voucher",IF(J1632=K1632+3,"Kabel  ·  Access Point y = .(50+y), Mast-Switch x = .(10+x)","")))))</f>
        <v/>
      </c>
      <c r="I1632" s="0" t="str">
        <f aca="false">IF(1627&lt;=(Eingabe!$P$18+Eingabe!$Q$18-1),MATCH(1627,Eingabe!$P$9:$P$18,1),"")</f>
        <v/>
      </c>
      <c r="J1632" s="0" t="str">
        <f aca="false">IF(I1632="","",1627-INDEX(Eingabe!$P$9:$P$18,I1632))</f>
        <v/>
      </c>
      <c r="K1632" s="0" t="str">
        <f aca="false">IF(I1632="","",INDEX(Eingabe!$E$9:$E$18,I1632))</f>
        <v/>
      </c>
    </row>
    <row r="1633" customFormat="false" ht="15" hidden="false" customHeight="false" outlineLevel="0" collapsed="false">
      <c r="A1633" s="0" t="str">
        <f aca="false">IF(I1633="","",IF(J1633=0,"Sparte "&amp;I1633&amp;": "&amp;INDEX(Eingabe!$B$9:$B$18,I1633)&amp;"  (Sparten-ID "&amp;INDEX(Eingabe!$D$9:$D$18,I1633)&amp;", "&amp;K1633&amp;" Parzellen)",IF(J1633&lt;=K1633,"   Parzelle "&amp;J1633,IF(J1633=K1633+1,"   Vorstand",IF(J1633=K1633+2,"   Gäste",IF(J1633=K1633+3,"   Technik (Switches, Access Points)",""))))))</f>
        <v/>
      </c>
      <c r="B1633" s="0" t="str">
        <f aca="false">IF(I1633="","",IF(AND(J1633&gt;=1,J1633&lt;=K1633+3),IF(J1633&lt;=K1633,IF(J1633&lt;=99,IF((INDEX(Eingabe!$G$9:$G$18,I1633))&lt;=9,1000+(INDEX(Eingabe!$G$9:$G$18,I1633))*100,3000)+J1633,IF((INDEX(Eingabe!$G$9:$G$18,I1633)+1)&lt;=9,1000+(INDEX(Eingabe!$G$9:$G$18,I1633)+1)*100,3000)+J1633-100),IF(J1633=K1633+1,2000+INDEX(Eingabe!$G$9:$G$18,I1633)*10+1,IF(J1633=K1633+2,2000+INDEX(Eingabe!$G$9:$G$18,I1633)*10+2,2000+INDEX(Eingabe!$G$9:$G$18,I1633)*10+9))),""))</f>
        <v/>
      </c>
      <c r="C1633" s="0" t="str">
        <f aca="false">IF(I1633="","",IF(AND(J1633&gt;=1,J1633&lt;=K1633+3),"10."&amp;INDEX(Eingabe!$D$9:$D$18,I1633)&amp;"."&amp;IF(J1633&lt;=K1633,J1633,IF(J1633=K1633+1,200,IF(J1633=K1633+2,201,250)))&amp;".0/24",""))</f>
        <v/>
      </c>
      <c r="D1633" s="0" t="str">
        <f aca="false">IF(I1633="","",IF(AND(J1633&gt;=1,J1633&lt;=K1633+3),"255.255.255.0",""))</f>
        <v/>
      </c>
      <c r="E1633" s="0" t="str">
        <f aca="false">IF(I1633="","",IF(AND(J1633&gt;=1,J1633&lt;=K1633+3),"10."&amp;INDEX(Eingabe!$D$9:$D$18,I1633)&amp;"."&amp;IF(J1633&lt;=K1633,J1633,IF(J1633=K1633+1,200,IF(J1633=K1633+2,201,250)))&amp;".1",""))</f>
        <v/>
      </c>
      <c r="F1633" s="0" t="str">
        <f aca="false">IF(I1633="","",IF(AND(J1633&gt;=1,J1633&lt;=K1633+3),"10."&amp;INDEX(Eingabe!$D$9:$D$18,I1633)&amp;"."&amp;IF(J1633&lt;=K1633,J1633,IF(J1633=K1633+1,200,IF(J1633=K1633+2,201,250)))&amp;".10 – 10."&amp;INDEX(Eingabe!$D$9:$D$18,I1633)&amp;"."&amp;IF(J1633&lt;=K1633,J1633,IF(J1633=K1633+1,200,IF(J1633=K1633+2,201,250)))&amp;".250",""))</f>
        <v/>
      </c>
      <c r="G1633" s="0" t="str">
        <f aca="false">IF(I1633="","",IF(AND(J1633&gt;=1,J1633&lt;=K1633),Eingabe!$B$6&amp;"-"&amp;INDEX(Eingabe!$C$9:$C$18,I1633)&amp;"-Pächter  ·  Passwort Parzelle "&amp;J1633,IF(J1633=K1633+1,Eingabe!$B$6&amp;"-"&amp;INDEX(Eingabe!$C$9:$C$18,I1633)&amp;"-Vorstand  ·  eigenes WLAN",IF(J1633=K1633+2,Eingabe!$B$6&amp;"-"&amp;INDEX(Eingabe!$C$9:$C$18,I1633)&amp;"-Gäste  ·  Voucher",IF(J1633=K1633+3,"Kabel  ·  Access Point y = .(50+y), Mast-Switch x = .(10+x)","")))))</f>
        <v/>
      </c>
      <c r="I1633" s="0" t="str">
        <f aca="false">IF(1628&lt;=(Eingabe!$P$18+Eingabe!$Q$18-1),MATCH(1628,Eingabe!$P$9:$P$18,1),"")</f>
        <v/>
      </c>
      <c r="J1633" s="0" t="str">
        <f aca="false">IF(I1633="","",1628-INDEX(Eingabe!$P$9:$P$18,I1633))</f>
        <v/>
      </c>
      <c r="K1633" s="0" t="str">
        <f aca="false">IF(I1633="","",INDEX(Eingabe!$E$9:$E$18,I1633))</f>
        <v/>
      </c>
    </row>
    <row r="1634" customFormat="false" ht="15" hidden="false" customHeight="false" outlineLevel="0" collapsed="false">
      <c r="A1634" s="0" t="str">
        <f aca="false">IF(I1634="","",IF(J1634=0,"Sparte "&amp;I1634&amp;": "&amp;INDEX(Eingabe!$B$9:$B$18,I1634)&amp;"  (Sparten-ID "&amp;INDEX(Eingabe!$D$9:$D$18,I1634)&amp;", "&amp;K1634&amp;" Parzellen)",IF(J1634&lt;=K1634,"   Parzelle "&amp;J1634,IF(J1634=K1634+1,"   Vorstand",IF(J1634=K1634+2,"   Gäste",IF(J1634=K1634+3,"   Technik (Switches, Access Points)",""))))))</f>
        <v/>
      </c>
      <c r="B1634" s="0" t="str">
        <f aca="false">IF(I1634="","",IF(AND(J1634&gt;=1,J1634&lt;=K1634+3),IF(J1634&lt;=K1634,IF(J1634&lt;=99,IF((INDEX(Eingabe!$G$9:$G$18,I1634))&lt;=9,1000+(INDEX(Eingabe!$G$9:$G$18,I1634))*100,3000)+J1634,IF((INDEX(Eingabe!$G$9:$G$18,I1634)+1)&lt;=9,1000+(INDEX(Eingabe!$G$9:$G$18,I1634)+1)*100,3000)+J1634-100),IF(J1634=K1634+1,2000+INDEX(Eingabe!$G$9:$G$18,I1634)*10+1,IF(J1634=K1634+2,2000+INDEX(Eingabe!$G$9:$G$18,I1634)*10+2,2000+INDEX(Eingabe!$G$9:$G$18,I1634)*10+9))),""))</f>
        <v/>
      </c>
      <c r="C1634" s="0" t="str">
        <f aca="false">IF(I1634="","",IF(AND(J1634&gt;=1,J1634&lt;=K1634+3),"10."&amp;INDEX(Eingabe!$D$9:$D$18,I1634)&amp;"."&amp;IF(J1634&lt;=K1634,J1634,IF(J1634=K1634+1,200,IF(J1634=K1634+2,201,250)))&amp;".0/24",""))</f>
        <v/>
      </c>
      <c r="D1634" s="0" t="str">
        <f aca="false">IF(I1634="","",IF(AND(J1634&gt;=1,J1634&lt;=K1634+3),"255.255.255.0",""))</f>
        <v/>
      </c>
      <c r="E1634" s="0" t="str">
        <f aca="false">IF(I1634="","",IF(AND(J1634&gt;=1,J1634&lt;=K1634+3),"10."&amp;INDEX(Eingabe!$D$9:$D$18,I1634)&amp;"."&amp;IF(J1634&lt;=K1634,J1634,IF(J1634=K1634+1,200,IF(J1634=K1634+2,201,250)))&amp;".1",""))</f>
        <v/>
      </c>
      <c r="F1634" s="0" t="str">
        <f aca="false">IF(I1634="","",IF(AND(J1634&gt;=1,J1634&lt;=K1634+3),"10."&amp;INDEX(Eingabe!$D$9:$D$18,I1634)&amp;"."&amp;IF(J1634&lt;=K1634,J1634,IF(J1634=K1634+1,200,IF(J1634=K1634+2,201,250)))&amp;".10 – 10."&amp;INDEX(Eingabe!$D$9:$D$18,I1634)&amp;"."&amp;IF(J1634&lt;=K1634,J1634,IF(J1634=K1634+1,200,IF(J1634=K1634+2,201,250)))&amp;".250",""))</f>
        <v/>
      </c>
      <c r="G1634" s="0" t="str">
        <f aca="false">IF(I1634="","",IF(AND(J1634&gt;=1,J1634&lt;=K1634),Eingabe!$B$6&amp;"-"&amp;INDEX(Eingabe!$C$9:$C$18,I1634)&amp;"-Pächter  ·  Passwort Parzelle "&amp;J1634,IF(J1634=K1634+1,Eingabe!$B$6&amp;"-"&amp;INDEX(Eingabe!$C$9:$C$18,I1634)&amp;"-Vorstand  ·  eigenes WLAN",IF(J1634=K1634+2,Eingabe!$B$6&amp;"-"&amp;INDEX(Eingabe!$C$9:$C$18,I1634)&amp;"-Gäste  ·  Voucher",IF(J1634=K1634+3,"Kabel  ·  Access Point y = .(50+y), Mast-Switch x = .(10+x)","")))))</f>
        <v/>
      </c>
      <c r="I1634" s="0" t="str">
        <f aca="false">IF(1629&lt;=(Eingabe!$P$18+Eingabe!$Q$18-1),MATCH(1629,Eingabe!$P$9:$P$18,1),"")</f>
        <v/>
      </c>
      <c r="J1634" s="0" t="str">
        <f aca="false">IF(I1634="","",1629-INDEX(Eingabe!$P$9:$P$18,I1634))</f>
        <v/>
      </c>
      <c r="K1634" s="0" t="str">
        <f aca="false">IF(I1634="","",INDEX(Eingabe!$E$9:$E$18,I1634))</f>
        <v/>
      </c>
    </row>
    <row r="1635" customFormat="false" ht="15" hidden="false" customHeight="false" outlineLevel="0" collapsed="false">
      <c r="A1635" s="0" t="str">
        <f aca="false">IF(I1635="","",IF(J1635=0,"Sparte "&amp;I1635&amp;": "&amp;INDEX(Eingabe!$B$9:$B$18,I1635)&amp;"  (Sparten-ID "&amp;INDEX(Eingabe!$D$9:$D$18,I1635)&amp;", "&amp;K1635&amp;" Parzellen)",IF(J1635&lt;=K1635,"   Parzelle "&amp;J1635,IF(J1635=K1635+1,"   Vorstand",IF(J1635=K1635+2,"   Gäste",IF(J1635=K1635+3,"   Technik (Switches, Access Points)",""))))))</f>
        <v/>
      </c>
      <c r="B1635" s="0" t="str">
        <f aca="false">IF(I1635="","",IF(AND(J1635&gt;=1,J1635&lt;=K1635+3),IF(J1635&lt;=K1635,IF(J1635&lt;=99,IF((INDEX(Eingabe!$G$9:$G$18,I1635))&lt;=9,1000+(INDEX(Eingabe!$G$9:$G$18,I1635))*100,3000)+J1635,IF((INDEX(Eingabe!$G$9:$G$18,I1635)+1)&lt;=9,1000+(INDEX(Eingabe!$G$9:$G$18,I1635)+1)*100,3000)+J1635-100),IF(J1635=K1635+1,2000+INDEX(Eingabe!$G$9:$G$18,I1635)*10+1,IF(J1635=K1635+2,2000+INDEX(Eingabe!$G$9:$G$18,I1635)*10+2,2000+INDEX(Eingabe!$G$9:$G$18,I1635)*10+9))),""))</f>
        <v/>
      </c>
      <c r="C1635" s="0" t="str">
        <f aca="false">IF(I1635="","",IF(AND(J1635&gt;=1,J1635&lt;=K1635+3),"10."&amp;INDEX(Eingabe!$D$9:$D$18,I1635)&amp;"."&amp;IF(J1635&lt;=K1635,J1635,IF(J1635=K1635+1,200,IF(J1635=K1635+2,201,250)))&amp;".0/24",""))</f>
        <v/>
      </c>
      <c r="D1635" s="0" t="str">
        <f aca="false">IF(I1635="","",IF(AND(J1635&gt;=1,J1635&lt;=K1635+3),"255.255.255.0",""))</f>
        <v/>
      </c>
      <c r="E1635" s="0" t="str">
        <f aca="false">IF(I1635="","",IF(AND(J1635&gt;=1,J1635&lt;=K1635+3),"10."&amp;INDEX(Eingabe!$D$9:$D$18,I1635)&amp;"."&amp;IF(J1635&lt;=K1635,J1635,IF(J1635=K1635+1,200,IF(J1635=K1635+2,201,250)))&amp;".1",""))</f>
        <v/>
      </c>
      <c r="F1635" s="0" t="str">
        <f aca="false">IF(I1635="","",IF(AND(J1635&gt;=1,J1635&lt;=K1635+3),"10."&amp;INDEX(Eingabe!$D$9:$D$18,I1635)&amp;"."&amp;IF(J1635&lt;=K1635,J1635,IF(J1635=K1635+1,200,IF(J1635=K1635+2,201,250)))&amp;".10 – 10."&amp;INDEX(Eingabe!$D$9:$D$18,I1635)&amp;"."&amp;IF(J1635&lt;=K1635,J1635,IF(J1635=K1635+1,200,IF(J1635=K1635+2,201,250)))&amp;".250",""))</f>
        <v/>
      </c>
      <c r="G1635" s="0" t="str">
        <f aca="false">IF(I1635="","",IF(AND(J1635&gt;=1,J1635&lt;=K1635),Eingabe!$B$6&amp;"-"&amp;INDEX(Eingabe!$C$9:$C$18,I1635)&amp;"-Pächter  ·  Passwort Parzelle "&amp;J1635,IF(J1635=K1635+1,Eingabe!$B$6&amp;"-"&amp;INDEX(Eingabe!$C$9:$C$18,I1635)&amp;"-Vorstand  ·  eigenes WLAN",IF(J1635=K1635+2,Eingabe!$B$6&amp;"-"&amp;INDEX(Eingabe!$C$9:$C$18,I1635)&amp;"-Gäste  ·  Voucher",IF(J1635=K1635+3,"Kabel  ·  Access Point y = .(50+y), Mast-Switch x = .(10+x)","")))))</f>
        <v/>
      </c>
      <c r="I1635" s="0" t="str">
        <f aca="false">IF(1630&lt;=(Eingabe!$P$18+Eingabe!$Q$18-1),MATCH(1630,Eingabe!$P$9:$P$18,1),"")</f>
        <v/>
      </c>
      <c r="J1635" s="0" t="str">
        <f aca="false">IF(I1635="","",1630-INDEX(Eingabe!$P$9:$P$18,I1635))</f>
        <v/>
      </c>
      <c r="K1635" s="0" t="str">
        <f aca="false">IF(I1635="","",INDEX(Eingabe!$E$9:$E$18,I1635))</f>
        <v/>
      </c>
    </row>
    <row r="1636" customFormat="false" ht="15" hidden="false" customHeight="false" outlineLevel="0" collapsed="false">
      <c r="A1636" s="0" t="str">
        <f aca="false">IF(I1636="","",IF(J1636=0,"Sparte "&amp;I1636&amp;": "&amp;INDEX(Eingabe!$B$9:$B$18,I1636)&amp;"  (Sparten-ID "&amp;INDEX(Eingabe!$D$9:$D$18,I1636)&amp;", "&amp;K1636&amp;" Parzellen)",IF(J1636&lt;=K1636,"   Parzelle "&amp;J1636,IF(J1636=K1636+1,"   Vorstand",IF(J1636=K1636+2,"   Gäste",IF(J1636=K1636+3,"   Technik (Switches, Access Points)",""))))))</f>
        <v/>
      </c>
      <c r="B1636" s="0" t="str">
        <f aca="false">IF(I1636="","",IF(AND(J1636&gt;=1,J1636&lt;=K1636+3),IF(J1636&lt;=K1636,IF(J1636&lt;=99,IF((INDEX(Eingabe!$G$9:$G$18,I1636))&lt;=9,1000+(INDEX(Eingabe!$G$9:$G$18,I1636))*100,3000)+J1636,IF((INDEX(Eingabe!$G$9:$G$18,I1636)+1)&lt;=9,1000+(INDEX(Eingabe!$G$9:$G$18,I1636)+1)*100,3000)+J1636-100),IF(J1636=K1636+1,2000+INDEX(Eingabe!$G$9:$G$18,I1636)*10+1,IF(J1636=K1636+2,2000+INDEX(Eingabe!$G$9:$G$18,I1636)*10+2,2000+INDEX(Eingabe!$G$9:$G$18,I1636)*10+9))),""))</f>
        <v/>
      </c>
      <c r="C1636" s="0" t="str">
        <f aca="false">IF(I1636="","",IF(AND(J1636&gt;=1,J1636&lt;=K1636+3),"10."&amp;INDEX(Eingabe!$D$9:$D$18,I1636)&amp;"."&amp;IF(J1636&lt;=K1636,J1636,IF(J1636=K1636+1,200,IF(J1636=K1636+2,201,250)))&amp;".0/24",""))</f>
        <v/>
      </c>
      <c r="D1636" s="0" t="str">
        <f aca="false">IF(I1636="","",IF(AND(J1636&gt;=1,J1636&lt;=K1636+3),"255.255.255.0",""))</f>
        <v/>
      </c>
      <c r="E1636" s="0" t="str">
        <f aca="false">IF(I1636="","",IF(AND(J1636&gt;=1,J1636&lt;=K1636+3),"10."&amp;INDEX(Eingabe!$D$9:$D$18,I1636)&amp;"."&amp;IF(J1636&lt;=K1636,J1636,IF(J1636=K1636+1,200,IF(J1636=K1636+2,201,250)))&amp;".1",""))</f>
        <v/>
      </c>
      <c r="F1636" s="0" t="str">
        <f aca="false">IF(I1636="","",IF(AND(J1636&gt;=1,J1636&lt;=K1636+3),"10."&amp;INDEX(Eingabe!$D$9:$D$18,I1636)&amp;"."&amp;IF(J1636&lt;=K1636,J1636,IF(J1636=K1636+1,200,IF(J1636=K1636+2,201,250)))&amp;".10 – 10."&amp;INDEX(Eingabe!$D$9:$D$18,I1636)&amp;"."&amp;IF(J1636&lt;=K1636,J1636,IF(J1636=K1636+1,200,IF(J1636=K1636+2,201,250)))&amp;".250",""))</f>
        <v/>
      </c>
      <c r="G1636" s="0" t="str">
        <f aca="false">IF(I1636="","",IF(AND(J1636&gt;=1,J1636&lt;=K1636),Eingabe!$B$6&amp;"-"&amp;INDEX(Eingabe!$C$9:$C$18,I1636)&amp;"-Pächter  ·  Passwort Parzelle "&amp;J1636,IF(J1636=K1636+1,Eingabe!$B$6&amp;"-"&amp;INDEX(Eingabe!$C$9:$C$18,I1636)&amp;"-Vorstand  ·  eigenes WLAN",IF(J1636=K1636+2,Eingabe!$B$6&amp;"-"&amp;INDEX(Eingabe!$C$9:$C$18,I1636)&amp;"-Gäste  ·  Voucher",IF(J1636=K1636+3,"Kabel  ·  Access Point y = .(50+y), Mast-Switch x = .(10+x)","")))))</f>
        <v/>
      </c>
      <c r="I1636" s="0" t="str">
        <f aca="false">IF(1631&lt;=(Eingabe!$P$18+Eingabe!$Q$18-1),MATCH(1631,Eingabe!$P$9:$P$18,1),"")</f>
        <v/>
      </c>
      <c r="J1636" s="0" t="str">
        <f aca="false">IF(I1636="","",1631-INDEX(Eingabe!$P$9:$P$18,I1636))</f>
        <v/>
      </c>
      <c r="K1636" s="0" t="str">
        <f aca="false">IF(I1636="","",INDEX(Eingabe!$E$9:$E$18,I1636))</f>
        <v/>
      </c>
    </row>
    <row r="1637" customFormat="false" ht="15" hidden="false" customHeight="false" outlineLevel="0" collapsed="false">
      <c r="A1637" s="0" t="str">
        <f aca="false">IF(I1637="","",IF(J1637=0,"Sparte "&amp;I1637&amp;": "&amp;INDEX(Eingabe!$B$9:$B$18,I1637)&amp;"  (Sparten-ID "&amp;INDEX(Eingabe!$D$9:$D$18,I1637)&amp;", "&amp;K1637&amp;" Parzellen)",IF(J1637&lt;=K1637,"   Parzelle "&amp;J1637,IF(J1637=K1637+1,"   Vorstand",IF(J1637=K1637+2,"   Gäste",IF(J1637=K1637+3,"   Technik (Switches, Access Points)",""))))))</f>
        <v/>
      </c>
      <c r="B1637" s="0" t="str">
        <f aca="false">IF(I1637="","",IF(AND(J1637&gt;=1,J1637&lt;=K1637+3),IF(J1637&lt;=K1637,IF(J1637&lt;=99,IF((INDEX(Eingabe!$G$9:$G$18,I1637))&lt;=9,1000+(INDEX(Eingabe!$G$9:$G$18,I1637))*100,3000)+J1637,IF((INDEX(Eingabe!$G$9:$G$18,I1637)+1)&lt;=9,1000+(INDEX(Eingabe!$G$9:$G$18,I1637)+1)*100,3000)+J1637-100),IF(J1637=K1637+1,2000+INDEX(Eingabe!$G$9:$G$18,I1637)*10+1,IF(J1637=K1637+2,2000+INDEX(Eingabe!$G$9:$G$18,I1637)*10+2,2000+INDEX(Eingabe!$G$9:$G$18,I1637)*10+9))),""))</f>
        <v/>
      </c>
      <c r="C1637" s="0" t="str">
        <f aca="false">IF(I1637="","",IF(AND(J1637&gt;=1,J1637&lt;=K1637+3),"10."&amp;INDEX(Eingabe!$D$9:$D$18,I1637)&amp;"."&amp;IF(J1637&lt;=K1637,J1637,IF(J1637=K1637+1,200,IF(J1637=K1637+2,201,250)))&amp;".0/24",""))</f>
        <v/>
      </c>
      <c r="D1637" s="0" t="str">
        <f aca="false">IF(I1637="","",IF(AND(J1637&gt;=1,J1637&lt;=K1637+3),"255.255.255.0",""))</f>
        <v/>
      </c>
      <c r="E1637" s="0" t="str">
        <f aca="false">IF(I1637="","",IF(AND(J1637&gt;=1,J1637&lt;=K1637+3),"10."&amp;INDEX(Eingabe!$D$9:$D$18,I1637)&amp;"."&amp;IF(J1637&lt;=K1637,J1637,IF(J1637=K1637+1,200,IF(J1637=K1637+2,201,250)))&amp;".1",""))</f>
        <v/>
      </c>
      <c r="F1637" s="0" t="str">
        <f aca="false">IF(I1637="","",IF(AND(J1637&gt;=1,J1637&lt;=K1637+3),"10."&amp;INDEX(Eingabe!$D$9:$D$18,I1637)&amp;"."&amp;IF(J1637&lt;=K1637,J1637,IF(J1637=K1637+1,200,IF(J1637=K1637+2,201,250)))&amp;".10 – 10."&amp;INDEX(Eingabe!$D$9:$D$18,I1637)&amp;"."&amp;IF(J1637&lt;=K1637,J1637,IF(J1637=K1637+1,200,IF(J1637=K1637+2,201,250)))&amp;".250",""))</f>
        <v/>
      </c>
      <c r="G1637" s="0" t="str">
        <f aca="false">IF(I1637="","",IF(AND(J1637&gt;=1,J1637&lt;=K1637),Eingabe!$B$6&amp;"-"&amp;INDEX(Eingabe!$C$9:$C$18,I1637)&amp;"-Pächter  ·  Passwort Parzelle "&amp;J1637,IF(J1637=K1637+1,Eingabe!$B$6&amp;"-"&amp;INDEX(Eingabe!$C$9:$C$18,I1637)&amp;"-Vorstand  ·  eigenes WLAN",IF(J1637=K1637+2,Eingabe!$B$6&amp;"-"&amp;INDEX(Eingabe!$C$9:$C$18,I1637)&amp;"-Gäste  ·  Voucher",IF(J1637=K1637+3,"Kabel  ·  Access Point y = .(50+y), Mast-Switch x = .(10+x)","")))))</f>
        <v/>
      </c>
      <c r="I1637" s="0" t="str">
        <f aca="false">IF(1632&lt;=(Eingabe!$P$18+Eingabe!$Q$18-1),MATCH(1632,Eingabe!$P$9:$P$18,1),"")</f>
        <v/>
      </c>
      <c r="J1637" s="0" t="str">
        <f aca="false">IF(I1637="","",1632-INDEX(Eingabe!$P$9:$P$18,I1637))</f>
        <v/>
      </c>
      <c r="K1637" s="0" t="str">
        <f aca="false">IF(I1637="","",INDEX(Eingabe!$E$9:$E$18,I1637))</f>
        <v/>
      </c>
    </row>
    <row r="1638" customFormat="false" ht="15" hidden="false" customHeight="false" outlineLevel="0" collapsed="false">
      <c r="A1638" s="0" t="str">
        <f aca="false">IF(I1638="","",IF(J1638=0,"Sparte "&amp;I1638&amp;": "&amp;INDEX(Eingabe!$B$9:$B$18,I1638)&amp;"  (Sparten-ID "&amp;INDEX(Eingabe!$D$9:$D$18,I1638)&amp;", "&amp;K1638&amp;" Parzellen)",IF(J1638&lt;=K1638,"   Parzelle "&amp;J1638,IF(J1638=K1638+1,"   Vorstand",IF(J1638=K1638+2,"   Gäste",IF(J1638=K1638+3,"   Technik (Switches, Access Points)",""))))))</f>
        <v/>
      </c>
      <c r="B1638" s="0" t="str">
        <f aca="false">IF(I1638="","",IF(AND(J1638&gt;=1,J1638&lt;=K1638+3),IF(J1638&lt;=K1638,IF(J1638&lt;=99,IF((INDEX(Eingabe!$G$9:$G$18,I1638))&lt;=9,1000+(INDEX(Eingabe!$G$9:$G$18,I1638))*100,3000)+J1638,IF((INDEX(Eingabe!$G$9:$G$18,I1638)+1)&lt;=9,1000+(INDEX(Eingabe!$G$9:$G$18,I1638)+1)*100,3000)+J1638-100),IF(J1638=K1638+1,2000+INDEX(Eingabe!$G$9:$G$18,I1638)*10+1,IF(J1638=K1638+2,2000+INDEX(Eingabe!$G$9:$G$18,I1638)*10+2,2000+INDEX(Eingabe!$G$9:$G$18,I1638)*10+9))),""))</f>
        <v/>
      </c>
      <c r="C1638" s="0" t="str">
        <f aca="false">IF(I1638="","",IF(AND(J1638&gt;=1,J1638&lt;=K1638+3),"10."&amp;INDEX(Eingabe!$D$9:$D$18,I1638)&amp;"."&amp;IF(J1638&lt;=K1638,J1638,IF(J1638=K1638+1,200,IF(J1638=K1638+2,201,250)))&amp;".0/24",""))</f>
        <v/>
      </c>
      <c r="D1638" s="0" t="str">
        <f aca="false">IF(I1638="","",IF(AND(J1638&gt;=1,J1638&lt;=K1638+3),"255.255.255.0",""))</f>
        <v/>
      </c>
      <c r="E1638" s="0" t="str">
        <f aca="false">IF(I1638="","",IF(AND(J1638&gt;=1,J1638&lt;=K1638+3),"10."&amp;INDEX(Eingabe!$D$9:$D$18,I1638)&amp;"."&amp;IF(J1638&lt;=K1638,J1638,IF(J1638=K1638+1,200,IF(J1638=K1638+2,201,250)))&amp;".1",""))</f>
        <v/>
      </c>
      <c r="F1638" s="0" t="str">
        <f aca="false">IF(I1638="","",IF(AND(J1638&gt;=1,J1638&lt;=K1638+3),"10."&amp;INDEX(Eingabe!$D$9:$D$18,I1638)&amp;"."&amp;IF(J1638&lt;=K1638,J1638,IF(J1638=K1638+1,200,IF(J1638=K1638+2,201,250)))&amp;".10 – 10."&amp;INDEX(Eingabe!$D$9:$D$18,I1638)&amp;"."&amp;IF(J1638&lt;=K1638,J1638,IF(J1638=K1638+1,200,IF(J1638=K1638+2,201,250)))&amp;".250",""))</f>
        <v/>
      </c>
      <c r="G1638" s="0" t="str">
        <f aca="false">IF(I1638="","",IF(AND(J1638&gt;=1,J1638&lt;=K1638),Eingabe!$B$6&amp;"-"&amp;INDEX(Eingabe!$C$9:$C$18,I1638)&amp;"-Pächter  ·  Passwort Parzelle "&amp;J1638,IF(J1638=K1638+1,Eingabe!$B$6&amp;"-"&amp;INDEX(Eingabe!$C$9:$C$18,I1638)&amp;"-Vorstand  ·  eigenes WLAN",IF(J1638=K1638+2,Eingabe!$B$6&amp;"-"&amp;INDEX(Eingabe!$C$9:$C$18,I1638)&amp;"-Gäste  ·  Voucher",IF(J1638=K1638+3,"Kabel  ·  Access Point y = .(50+y), Mast-Switch x = .(10+x)","")))))</f>
        <v/>
      </c>
      <c r="I1638" s="0" t="str">
        <f aca="false">IF(1633&lt;=(Eingabe!$P$18+Eingabe!$Q$18-1),MATCH(1633,Eingabe!$P$9:$P$18,1),"")</f>
        <v/>
      </c>
      <c r="J1638" s="0" t="str">
        <f aca="false">IF(I1638="","",1633-INDEX(Eingabe!$P$9:$P$18,I1638))</f>
        <v/>
      </c>
      <c r="K1638" s="0" t="str">
        <f aca="false">IF(I1638="","",INDEX(Eingabe!$E$9:$E$18,I1638))</f>
        <v/>
      </c>
    </row>
    <row r="1639" customFormat="false" ht="15" hidden="false" customHeight="false" outlineLevel="0" collapsed="false">
      <c r="A1639" s="0" t="str">
        <f aca="false">IF(I1639="","",IF(J1639=0,"Sparte "&amp;I1639&amp;": "&amp;INDEX(Eingabe!$B$9:$B$18,I1639)&amp;"  (Sparten-ID "&amp;INDEX(Eingabe!$D$9:$D$18,I1639)&amp;", "&amp;K1639&amp;" Parzellen)",IF(J1639&lt;=K1639,"   Parzelle "&amp;J1639,IF(J1639=K1639+1,"   Vorstand",IF(J1639=K1639+2,"   Gäste",IF(J1639=K1639+3,"   Technik (Switches, Access Points)",""))))))</f>
        <v/>
      </c>
      <c r="B1639" s="0" t="str">
        <f aca="false">IF(I1639="","",IF(AND(J1639&gt;=1,J1639&lt;=K1639+3),IF(J1639&lt;=K1639,IF(J1639&lt;=99,IF((INDEX(Eingabe!$G$9:$G$18,I1639))&lt;=9,1000+(INDEX(Eingabe!$G$9:$G$18,I1639))*100,3000)+J1639,IF((INDEX(Eingabe!$G$9:$G$18,I1639)+1)&lt;=9,1000+(INDEX(Eingabe!$G$9:$G$18,I1639)+1)*100,3000)+J1639-100),IF(J1639=K1639+1,2000+INDEX(Eingabe!$G$9:$G$18,I1639)*10+1,IF(J1639=K1639+2,2000+INDEX(Eingabe!$G$9:$G$18,I1639)*10+2,2000+INDEX(Eingabe!$G$9:$G$18,I1639)*10+9))),""))</f>
        <v/>
      </c>
      <c r="C1639" s="0" t="str">
        <f aca="false">IF(I1639="","",IF(AND(J1639&gt;=1,J1639&lt;=K1639+3),"10."&amp;INDEX(Eingabe!$D$9:$D$18,I1639)&amp;"."&amp;IF(J1639&lt;=K1639,J1639,IF(J1639=K1639+1,200,IF(J1639=K1639+2,201,250)))&amp;".0/24",""))</f>
        <v/>
      </c>
      <c r="D1639" s="0" t="str">
        <f aca="false">IF(I1639="","",IF(AND(J1639&gt;=1,J1639&lt;=K1639+3),"255.255.255.0",""))</f>
        <v/>
      </c>
      <c r="E1639" s="0" t="str">
        <f aca="false">IF(I1639="","",IF(AND(J1639&gt;=1,J1639&lt;=K1639+3),"10."&amp;INDEX(Eingabe!$D$9:$D$18,I1639)&amp;"."&amp;IF(J1639&lt;=K1639,J1639,IF(J1639=K1639+1,200,IF(J1639=K1639+2,201,250)))&amp;".1",""))</f>
        <v/>
      </c>
      <c r="F1639" s="0" t="str">
        <f aca="false">IF(I1639="","",IF(AND(J1639&gt;=1,J1639&lt;=K1639+3),"10."&amp;INDEX(Eingabe!$D$9:$D$18,I1639)&amp;"."&amp;IF(J1639&lt;=K1639,J1639,IF(J1639=K1639+1,200,IF(J1639=K1639+2,201,250)))&amp;".10 – 10."&amp;INDEX(Eingabe!$D$9:$D$18,I1639)&amp;"."&amp;IF(J1639&lt;=K1639,J1639,IF(J1639=K1639+1,200,IF(J1639=K1639+2,201,250)))&amp;".250",""))</f>
        <v/>
      </c>
      <c r="G1639" s="0" t="str">
        <f aca="false">IF(I1639="","",IF(AND(J1639&gt;=1,J1639&lt;=K1639),Eingabe!$B$6&amp;"-"&amp;INDEX(Eingabe!$C$9:$C$18,I1639)&amp;"-Pächter  ·  Passwort Parzelle "&amp;J1639,IF(J1639=K1639+1,Eingabe!$B$6&amp;"-"&amp;INDEX(Eingabe!$C$9:$C$18,I1639)&amp;"-Vorstand  ·  eigenes WLAN",IF(J1639=K1639+2,Eingabe!$B$6&amp;"-"&amp;INDEX(Eingabe!$C$9:$C$18,I1639)&amp;"-Gäste  ·  Voucher",IF(J1639=K1639+3,"Kabel  ·  Access Point y = .(50+y), Mast-Switch x = .(10+x)","")))))</f>
        <v/>
      </c>
      <c r="I1639" s="0" t="str">
        <f aca="false">IF(1634&lt;=(Eingabe!$P$18+Eingabe!$Q$18-1),MATCH(1634,Eingabe!$P$9:$P$18,1),"")</f>
        <v/>
      </c>
      <c r="J1639" s="0" t="str">
        <f aca="false">IF(I1639="","",1634-INDEX(Eingabe!$P$9:$P$18,I1639))</f>
        <v/>
      </c>
      <c r="K1639" s="0" t="str">
        <f aca="false">IF(I1639="","",INDEX(Eingabe!$E$9:$E$18,I1639))</f>
        <v/>
      </c>
    </row>
    <row r="1640" customFormat="false" ht="15" hidden="false" customHeight="false" outlineLevel="0" collapsed="false">
      <c r="A1640" s="0" t="str">
        <f aca="false">IF(I1640="","",IF(J1640=0,"Sparte "&amp;I1640&amp;": "&amp;INDEX(Eingabe!$B$9:$B$18,I1640)&amp;"  (Sparten-ID "&amp;INDEX(Eingabe!$D$9:$D$18,I1640)&amp;", "&amp;K1640&amp;" Parzellen)",IF(J1640&lt;=K1640,"   Parzelle "&amp;J1640,IF(J1640=K1640+1,"   Vorstand",IF(J1640=K1640+2,"   Gäste",IF(J1640=K1640+3,"   Technik (Switches, Access Points)",""))))))</f>
        <v/>
      </c>
      <c r="B1640" s="0" t="str">
        <f aca="false">IF(I1640="","",IF(AND(J1640&gt;=1,J1640&lt;=K1640+3),IF(J1640&lt;=K1640,IF(J1640&lt;=99,IF((INDEX(Eingabe!$G$9:$G$18,I1640))&lt;=9,1000+(INDEX(Eingabe!$G$9:$G$18,I1640))*100,3000)+J1640,IF((INDEX(Eingabe!$G$9:$G$18,I1640)+1)&lt;=9,1000+(INDEX(Eingabe!$G$9:$G$18,I1640)+1)*100,3000)+J1640-100),IF(J1640=K1640+1,2000+INDEX(Eingabe!$G$9:$G$18,I1640)*10+1,IF(J1640=K1640+2,2000+INDEX(Eingabe!$G$9:$G$18,I1640)*10+2,2000+INDEX(Eingabe!$G$9:$G$18,I1640)*10+9))),""))</f>
        <v/>
      </c>
      <c r="C1640" s="0" t="str">
        <f aca="false">IF(I1640="","",IF(AND(J1640&gt;=1,J1640&lt;=K1640+3),"10."&amp;INDEX(Eingabe!$D$9:$D$18,I1640)&amp;"."&amp;IF(J1640&lt;=K1640,J1640,IF(J1640=K1640+1,200,IF(J1640=K1640+2,201,250)))&amp;".0/24",""))</f>
        <v/>
      </c>
      <c r="D1640" s="0" t="str">
        <f aca="false">IF(I1640="","",IF(AND(J1640&gt;=1,J1640&lt;=K1640+3),"255.255.255.0",""))</f>
        <v/>
      </c>
      <c r="E1640" s="0" t="str">
        <f aca="false">IF(I1640="","",IF(AND(J1640&gt;=1,J1640&lt;=K1640+3),"10."&amp;INDEX(Eingabe!$D$9:$D$18,I1640)&amp;"."&amp;IF(J1640&lt;=K1640,J1640,IF(J1640=K1640+1,200,IF(J1640=K1640+2,201,250)))&amp;".1",""))</f>
        <v/>
      </c>
      <c r="F1640" s="0" t="str">
        <f aca="false">IF(I1640="","",IF(AND(J1640&gt;=1,J1640&lt;=K1640+3),"10."&amp;INDEX(Eingabe!$D$9:$D$18,I1640)&amp;"."&amp;IF(J1640&lt;=K1640,J1640,IF(J1640=K1640+1,200,IF(J1640=K1640+2,201,250)))&amp;".10 – 10."&amp;INDEX(Eingabe!$D$9:$D$18,I1640)&amp;"."&amp;IF(J1640&lt;=K1640,J1640,IF(J1640=K1640+1,200,IF(J1640=K1640+2,201,250)))&amp;".250",""))</f>
        <v/>
      </c>
      <c r="G1640" s="0" t="str">
        <f aca="false">IF(I1640="","",IF(AND(J1640&gt;=1,J1640&lt;=K1640),Eingabe!$B$6&amp;"-"&amp;INDEX(Eingabe!$C$9:$C$18,I1640)&amp;"-Pächter  ·  Passwort Parzelle "&amp;J1640,IF(J1640=K1640+1,Eingabe!$B$6&amp;"-"&amp;INDEX(Eingabe!$C$9:$C$18,I1640)&amp;"-Vorstand  ·  eigenes WLAN",IF(J1640=K1640+2,Eingabe!$B$6&amp;"-"&amp;INDEX(Eingabe!$C$9:$C$18,I1640)&amp;"-Gäste  ·  Voucher",IF(J1640=K1640+3,"Kabel  ·  Access Point y = .(50+y), Mast-Switch x = .(10+x)","")))))</f>
        <v/>
      </c>
      <c r="I1640" s="0" t="str">
        <f aca="false">IF(1635&lt;=(Eingabe!$P$18+Eingabe!$Q$18-1),MATCH(1635,Eingabe!$P$9:$P$18,1),"")</f>
        <v/>
      </c>
      <c r="J1640" s="0" t="str">
        <f aca="false">IF(I1640="","",1635-INDEX(Eingabe!$P$9:$P$18,I1640))</f>
        <v/>
      </c>
      <c r="K1640" s="0" t="str">
        <f aca="false">IF(I1640="","",INDEX(Eingabe!$E$9:$E$18,I1640))</f>
        <v/>
      </c>
    </row>
    <row r="1641" customFormat="false" ht="15" hidden="false" customHeight="false" outlineLevel="0" collapsed="false">
      <c r="A1641" s="0" t="str">
        <f aca="false">IF(I1641="","",IF(J1641=0,"Sparte "&amp;I1641&amp;": "&amp;INDEX(Eingabe!$B$9:$B$18,I1641)&amp;"  (Sparten-ID "&amp;INDEX(Eingabe!$D$9:$D$18,I1641)&amp;", "&amp;K1641&amp;" Parzellen)",IF(J1641&lt;=K1641,"   Parzelle "&amp;J1641,IF(J1641=K1641+1,"   Vorstand",IF(J1641=K1641+2,"   Gäste",IF(J1641=K1641+3,"   Technik (Switches, Access Points)",""))))))</f>
        <v/>
      </c>
      <c r="B1641" s="0" t="str">
        <f aca="false">IF(I1641="","",IF(AND(J1641&gt;=1,J1641&lt;=K1641+3),IF(J1641&lt;=K1641,IF(J1641&lt;=99,IF((INDEX(Eingabe!$G$9:$G$18,I1641))&lt;=9,1000+(INDEX(Eingabe!$G$9:$G$18,I1641))*100,3000)+J1641,IF((INDEX(Eingabe!$G$9:$G$18,I1641)+1)&lt;=9,1000+(INDEX(Eingabe!$G$9:$G$18,I1641)+1)*100,3000)+J1641-100),IF(J1641=K1641+1,2000+INDEX(Eingabe!$G$9:$G$18,I1641)*10+1,IF(J1641=K1641+2,2000+INDEX(Eingabe!$G$9:$G$18,I1641)*10+2,2000+INDEX(Eingabe!$G$9:$G$18,I1641)*10+9))),""))</f>
        <v/>
      </c>
      <c r="C1641" s="0" t="str">
        <f aca="false">IF(I1641="","",IF(AND(J1641&gt;=1,J1641&lt;=K1641+3),"10."&amp;INDEX(Eingabe!$D$9:$D$18,I1641)&amp;"."&amp;IF(J1641&lt;=K1641,J1641,IF(J1641=K1641+1,200,IF(J1641=K1641+2,201,250)))&amp;".0/24",""))</f>
        <v/>
      </c>
      <c r="D1641" s="0" t="str">
        <f aca="false">IF(I1641="","",IF(AND(J1641&gt;=1,J1641&lt;=K1641+3),"255.255.255.0",""))</f>
        <v/>
      </c>
      <c r="E1641" s="0" t="str">
        <f aca="false">IF(I1641="","",IF(AND(J1641&gt;=1,J1641&lt;=K1641+3),"10."&amp;INDEX(Eingabe!$D$9:$D$18,I1641)&amp;"."&amp;IF(J1641&lt;=K1641,J1641,IF(J1641=K1641+1,200,IF(J1641=K1641+2,201,250)))&amp;".1",""))</f>
        <v/>
      </c>
      <c r="F1641" s="0" t="str">
        <f aca="false">IF(I1641="","",IF(AND(J1641&gt;=1,J1641&lt;=K1641+3),"10."&amp;INDEX(Eingabe!$D$9:$D$18,I1641)&amp;"."&amp;IF(J1641&lt;=K1641,J1641,IF(J1641=K1641+1,200,IF(J1641=K1641+2,201,250)))&amp;".10 – 10."&amp;INDEX(Eingabe!$D$9:$D$18,I1641)&amp;"."&amp;IF(J1641&lt;=K1641,J1641,IF(J1641=K1641+1,200,IF(J1641=K1641+2,201,250)))&amp;".250",""))</f>
        <v/>
      </c>
      <c r="G1641" s="0" t="str">
        <f aca="false">IF(I1641="","",IF(AND(J1641&gt;=1,J1641&lt;=K1641),Eingabe!$B$6&amp;"-"&amp;INDEX(Eingabe!$C$9:$C$18,I1641)&amp;"-Pächter  ·  Passwort Parzelle "&amp;J1641,IF(J1641=K1641+1,Eingabe!$B$6&amp;"-"&amp;INDEX(Eingabe!$C$9:$C$18,I1641)&amp;"-Vorstand  ·  eigenes WLAN",IF(J1641=K1641+2,Eingabe!$B$6&amp;"-"&amp;INDEX(Eingabe!$C$9:$C$18,I1641)&amp;"-Gäste  ·  Voucher",IF(J1641=K1641+3,"Kabel  ·  Access Point y = .(50+y), Mast-Switch x = .(10+x)","")))))</f>
        <v/>
      </c>
      <c r="I1641" s="0" t="str">
        <f aca="false">IF(1636&lt;=(Eingabe!$P$18+Eingabe!$Q$18-1),MATCH(1636,Eingabe!$P$9:$P$18,1),"")</f>
        <v/>
      </c>
      <c r="J1641" s="0" t="str">
        <f aca="false">IF(I1641="","",1636-INDEX(Eingabe!$P$9:$P$18,I1641))</f>
        <v/>
      </c>
      <c r="K1641" s="0" t="str">
        <f aca="false">IF(I1641="","",INDEX(Eingabe!$E$9:$E$18,I1641))</f>
        <v/>
      </c>
    </row>
    <row r="1642" customFormat="false" ht="15" hidden="false" customHeight="false" outlineLevel="0" collapsed="false">
      <c r="A1642" s="0" t="str">
        <f aca="false">IF(I1642="","",IF(J1642=0,"Sparte "&amp;I1642&amp;": "&amp;INDEX(Eingabe!$B$9:$B$18,I1642)&amp;"  (Sparten-ID "&amp;INDEX(Eingabe!$D$9:$D$18,I1642)&amp;", "&amp;K1642&amp;" Parzellen)",IF(J1642&lt;=K1642,"   Parzelle "&amp;J1642,IF(J1642=K1642+1,"   Vorstand",IF(J1642=K1642+2,"   Gäste",IF(J1642=K1642+3,"   Technik (Switches, Access Points)",""))))))</f>
        <v/>
      </c>
      <c r="B1642" s="0" t="str">
        <f aca="false">IF(I1642="","",IF(AND(J1642&gt;=1,J1642&lt;=K1642+3),IF(J1642&lt;=K1642,IF(J1642&lt;=99,IF((INDEX(Eingabe!$G$9:$G$18,I1642))&lt;=9,1000+(INDEX(Eingabe!$G$9:$G$18,I1642))*100,3000)+J1642,IF((INDEX(Eingabe!$G$9:$G$18,I1642)+1)&lt;=9,1000+(INDEX(Eingabe!$G$9:$G$18,I1642)+1)*100,3000)+J1642-100),IF(J1642=K1642+1,2000+INDEX(Eingabe!$G$9:$G$18,I1642)*10+1,IF(J1642=K1642+2,2000+INDEX(Eingabe!$G$9:$G$18,I1642)*10+2,2000+INDEX(Eingabe!$G$9:$G$18,I1642)*10+9))),""))</f>
        <v/>
      </c>
      <c r="C1642" s="0" t="str">
        <f aca="false">IF(I1642="","",IF(AND(J1642&gt;=1,J1642&lt;=K1642+3),"10."&amp;INDEX(Eingabe!$D$9:$D$18,I1642)&amp;"."&amp;IF(J1642&lt;=K1642,J1642,IF(J1642=K1642+1,200,IF(J1642=K1642+2,201,250)))&amp;".0/24",""))</f>
        <v/>
      </c>
      <c r="D1642" s="0" t="str">
        <f aca="false">IF(I1642="","",IF(AND(J1642&gt;=1,J1642&lt;=K1642+3),"255.255.255.0",""))</f>
        <v/>
      </c>
      <c r="E1642" s="0" t="str">
        <f aca="false">IF(I1642="","",IF(AND(J1642&gt;=1,J1642&lt;=K1642+3),"10."&amp;INDEX(Eingabe!$D$9:$D$18,I1642)&amp;"."&amp;IF(J1642&lt;=K1642,J1642,IF(J1642=K1642+1,200,IF(J1642=K1642+2,201,250)))&amp;".1",""))</f>
        <v/>
      </c>
      <c r="F1642" s="0" t="str">
        <f aca="false">IF(I1642="","",IF(AND(J1642&gt;=1,J1642&lt;=K1642+3),"10."&amp;INDEX(Eingabe!$D$9:$D$18,I1642)&amp;"."&amp;IF(J1642&lt;=K1642,J1642,IF(J1642=K1642+1,200,IF(J1642=K1642+2,201,250)))&amp;".10 – 10."&amp;INDEX(Eingabe!$D$9:$D$18,I1642)&amp;"."&amp;IF(J1642&lt;=K1642,J1642,IF(J1642=K1642+1,200,IF(J1642=K1642+2,201,250)))&amp;".250",""))</f>
        <v/>
      </c>
      <c r="G1642" s="0" t="str">
        <f aca="false">IF(I1642="","",IF(AND(J1642&gt;=1,J1642&lt;=K1642),Eingabe!$B$6&amp;"-"&amp;INDEX(Eingabe!$C$9:$C$18,I1642)&amp;"-Pächter  ·  Passwort Parzelle "&amp;J1642,IF(J1642=K1642+1,Eingabe!$B$6&amp;"-"&amp;INDEX(Eingabe!$C$9:$C$18,I1642)&amp;"-Vorstand  ·  eigenes WLAN",IF(J1642=K1642+2,Eingabe!$B$6&amp;"-"&amp;INDEX(Eingabe!$C$9:$C$18,I1642)&amp;"-Gäste  ·  Voucher",IF(J1642=K1642+3,"Kabel  ·  Access Point y = .(50+y), Mast-Switch x = .(10+x)","")))))</f>
        <v/>
      </c>
      <c r="I1642" s="0" t="str">
        <f aca="false">IF(1637&lt;=(Eingabe!$P$18+Eingabe!$Q$18-1),MATCH(1637,Eingabe!$P$9:$P$18,1),"")</f>
        <v/>
      </c>
      <c r="J1642" s="0" t="str">
        <f aca="false">IF(I1642="","",1637-INDEX(Eingabe!$P$9:$P$18,I1642))</f>
        <v/>
      </c>
      <c r="K1642" s="0" t="str">
        <f aca="false">IF(I1642="","",INDEX(Eingabe!$E$9:$E$18,I1642))</f>
        <v/>
      </c>
    </row>
    <row r="1643" customFormat="false" ht="15" hidden="false" customHeight="false" outlineLevel="0" collapsed="false">
      <c r="A1643" s="0" t="str">
        <f aca="false">IF(I1643="","",IF(J1643=0,"Sparte "&amp;I1643&amp;": "&amp;INDEX(Eingabe!$B$9:$B$18,I1643)&amp;"  (Sparten-ID "&amp;INDEX(Eingabe!$D$9:$D$18,I1643)&amp;", "&amp;K1643&amp;" Parzellen)",IF(J1643&lt;=K1643,"   Parzelle "&amp;J1643,IF(J1643=K1643+1,"   Vorstand",IF(J1643=K1643+2,"   Gäste",IF(J1643=K1643+3,"   Technik (Switches, Access Points)",""))))))</f>
        <v/>
      </c>
      <c r="B1643" s="0" t="str">
        <f aca="false">IF(I1643="","",IF(AND(J1643&gt;=1,J1643&lt;=K1643+3),IF(J1643&lt;=K1643,IF(J1643&lt;=99,IF((INDEX(Eingabe!$G$9:$G$18,I1643))&lt;=9,1000+(INDEX(Eingabe!$G$9:$G$18,I1643))*100,3000)+J1643,IF((INDEX(Eingabe!$G$9:$G$18,I1643)+1)&lt;=9,1000+(INDEX(Eingabe!$G$9:$G$18,I1643)+1)*100,3000)+J1643-100),IF(J1643=K1643+1,2000+INDEX(Eingabe!$G$9:$G$18,I1643)*10+1,IF(J1643=K1643+2,2000+INDEX(Eingabe!$G$9:$G$18,I1643)*10+2,2000+INDEX(Eingabe!$G$9:$G$18,I1643)*10+9))),""))</f>
        <v/>
      </c>
      <c r="C1643" s="0" t="str">
        <f aca="false">IF(I1643="","",IF(AND(J1643&gt;=1,J1643&lt;=K1643+3),"10."&amp;INDEX(Eingabe!$D$9:$D$18,I1643)&amp;"."&amp;IF(J1643&lt;=K1643,J1643,IF(J1643=K1643+1,200,IF(J1643=K1643+2,201,250)))&amp;".0/24",""))</f>
        <v/>
      </c>
      <c r="D1643" s="0" t="str">
        <f aca="false">IF(I1643="","",IF(AND(J1643&gt;=1,J1643&lt;=K1643+3),"255.255.255.0",""))</f>
        <v/>
      </c>
      <c r="E1643" s="0" t="str">
        <f aca="false">IF(I1643="","",IF(AND(J1643&gt;=1,J1643&lt;=K1643+3),"10."&amp;INDEX(Eingabe!$D$9:$D$18,I1643)&amp;"."&amp;IF(J1643&lt;=K1643,J1643,IF(J1643=K1643+1,200,IF(J1643=K1643+2,201,250)))&amp;".1",""))</f>
        <v/>
      </c>
      <c r="F1643" s="0" t="str">
        <f aca="false">IF(I1643="","",IF(AND(J1643&gt;=1,J1643&lt;=K1643+3),"10."&amp;INDEX(Eingabe!$D$9:$D$18,I1643)&amp;"."&amp;IF(J1643&lt;=K1643,J1643,IF(J1643=K1643+1,200,IF(J1643=K1643+2,201,250)))&amp;".10 – 10."&amp;INDEX(Eingabe!$D$9:$D$18,I1643)&amp;"."&amp;IF(J1643&lt;=K1643,J1643,IF(J1643=K1643+1,200,IF(J1643=K1643+2,201,250)))&amp;".250",""))</f>
        <v/>
      </c>
      <c r="G1643" s="0" t="str">
        <f aca="false">IF(I1643="","",IF(AND(J1643&gt;=1,J1643&lt;=K1643),Eingabe!$B$6&amp;"-"&amp;INDEX(Eingabe!$C$9:$C$18,I1643)&amp;"-Pächter  ·  Passwort Parzelle "&amp;J1643,IF(J1643=K1643+1,Eingabe!$B$6&amp;"-"&amp;INDEX(Eingabe!$C$9:$C$18,I1643)&amp;"-Vorstand  ·  eigenes WLAN",IF(J1643=K1643+2,Eingabe!$B$6&amp;"-"&amp;INDEX(Eingabe!$C$9:$C$18,I1643)&amp;"-Gäste  ·  Voucher",IF(J1643=K1643+3,"Kabel  ·  Access Point y = .(50+y), Mast-Switch x = .(10+x)","")))))</f>
        <v/>
      </c>
      <c r="I1643" s="0" t="str">
        <f aca="false">IF(1638&lt;=(Eingabe!$P$18+Eingabe!$Q$18-1),MATCH(1638,Eingabe!$P$9:$P$18,1),"")</f>
        <v/>
      </c>
      <c r="J1643" s="0" t="str">
        <f aca="false">IF(I1643="","",1638-INDEX(Eingabe!$P$9:$P$18,I1643))</f>
        <v/>
      </c>
      <c r="K1643" s="0" t="str">
        <f aca="false">IF(I1643="","",INDEX(Eingabe!$E$9:$E$18,I1643))</f>
        <v/>
      </c>
    </row>
    <row r="1644" customFormat="false" ht="15" hidden="false" customHeight="false" outlineLevel="0" collapsed="false">
      <c r="A1644" s="0" t="str">
        <f aca="false">IF(I1644="","",IF(J1644=0,"Sparte "&amp;I1644&amp;": "&amp;INDEX(Eingabe!$B$9:$B$18,I1644)&amp;"  (Sparten-ID "&amp;INDEX(Eingabe!$D$9:$D$18,I1644)&amp;", "&amp;K1644&amp;" Parzellen)",IF(J1644&lt;=K1644,"   Parzelle "&amp;J1644,IF(J1644=K1644+1,"   Vorstand",IF(J1644=K1644+2,"   Gäste",IF(J1644=K1644+3,"   Technik (Switches, Access Points)",""))))))</f>
        <v/>
      </c>
      <c r="B1644" s="0" t="str">
        <f aca="false">IF(I1644="","",IF(AND(J1644&gt;=1,J1644&lt;=K1644+3),IF(J1644&lt;=K1644,IF(J1644&lt;=99,IF((INDEX(Eingabe!$G$9:$G$18,I1644))&lt;=9,1000+(INDEX(Eingabe!$G$9:$G$18,I1644))*100,3000)+J1644,IF((INDEX(Eingabe!$G$9:$G$18,I1644)+1)&lt;=9,1000+(INDEX(Eingabe!$G$9:$G$18,I1644)+1)*100,3000)+J1644-100),IF(J1644=K1644+1,2000+INDEX(Eingabe!$G$9:$G$18,I1644)*10+1,IF(J1644=K1644+2,2000+INDEX(Eingabe!$G$9:$G$18,I1644)*10+2,2000+INDEX(Eingabe!$G$9:$G$18,I1644)*10+9))),""))</f>
        <v/>
      </c>
      <c r="C1644" s="0" t="str">
        <f aca="false">IF(I1644="","",IF(AND(J1644&gt;=1,J1644&lt;=K1644+3),"10."&amp;INDEX(Eingabe!$D$9:$D$18,I1644)&amp;"."&amp;IF(J1644&lt;=K1644,J1644,IF(J1644=K1644+1,200,IF(J1644=K1644+2,201,250)))&amp;".0/24",""))</f>
        <v/>
      </c>
      <c r="D1644" s="0" t="str">
        <f aca="false">IF(I1644="","",IF(AND(J1644&gt;=1,J1644&lt;=K1644+3),"255.255.255.0",""))</f>
        <v/>
      </c>
      <c r="E1644" s="0" t="str">
        <f aca="false">IF(I1644="","",IF(AND(J1644&gt;=1,J1644&lt;=K1644+3),"10."&amp;INDEX(Eingabe!$D$9:$D$18,I1644)&amp;"."&amp;IF(J1644&lt;=K1644,J1644,IF(J1644=K1644+1,200,IF(J1644=K1644+2,201,250)))&amp;".1",""))</f>
        <v/>
      </c>
      <c r="F1644" s="0" t="str">
        <f aca="false">IF(I1644="","",IF(AND(J1644&gt;=1,J1644&lt;=K1644+3),"10."&amp;INDEX(Eingabe!$D$9:$D$18,I1644)&amp;"."&amp;IF(J1644&lt;=K1644,J1644,IF(J1644=K1644+1,200,IF(J1644=K1644+2,201,250)))&amp;".10 – 10."&amp;INDEX(Eingabe!$D$9:$D$18,I1644)&amp;"."&amp;IF(J1644&lt;=K1644,J1644,IF(J1644=K1644+1,200,IF(J1644=K1644+2,201,250)))&amp;".250",""))</f>
        <v/>
      </c>
      <c r="G1644" s="0" t="str">
        <f aca="false">IF(I1644="","",IF(AND(J1644&gt;=1,J1644&lt;=K1644),Eingabe!$B$6&amp;"-"&amp;INDEX(Eingabe!$C$9:$C$18,I1644)&amp;"-Pächter  ·  Passwort Parzelle "&amp;J1644,IF(J1644=K1644+1,Eingabe!$B$6&amp;"-"&amp;INDEX(Eingabe!$C$9:$C$18,I1644)&amp;"-Vorstand  ·  eigenes WLAN",IF(J1644=K1644+2,Eingabe!$B$6&amp;"-"&amp;INDEX(Eingabe!$C$9:$C$18,I1644)&amp;"-Gäste  ·  Voucher",IF(J1644=K1644+3,"Kabel  ·  Access Point y = .(50+y), Mast-Switch x = .(10+x)","")))))</f>
        <v/>
      </c>
      <c r="I1644" s="0" t="str">
        <f aca="false">IF(1639&lt;=(Eingabe!$P$18+Eingabe!$Q$18-1),MATCH(1639,Eingabe!$P$9:$P$18,1),"")</f>
        <v/>
      </c>
      <c r="J1644" s="0" t="str">
        <f aca="false">IF(I1644="","",1639-INDEX(Eingabe!$P$9:$P$18,I1644))</f>
        <v/>
      </c>
      <c r="K1644" s="0" t="str">
        <f aca="false">IF(I1644="","",INDEX(Eingabe!$E$9:$E$18,I1644))</f>
        <v/>
      </c>
    </row>
    <row r="1645" customFormat="false" ht="15" hidden="false" customHeight="false" outlineLevel="0" collapsed="false">
      <c r="A1645" s="0" t="str">
        <f aca="false">IF(I1645="","",IF(J1645=0,"Sparte "&amp;I1645&amp;": "&amp;INDEX(Eingabe!$B$9:$B$18,I1645)&amp;"  (Sparten-ID "&amp;INDEX(Eingabe!$D$9:$D$18,I1645)&amp;", "&amp;K1645&amp;" Parzellen)",IF(J1645&lt;=K1645,"   Parzelle "&amp;J1645,IF(J1645=K1645+1,"   Vorstand",IF(J1645=K1645+2,"   Gäste",IF(J1645=K1645+3,"   Technik (Switches, Access Points)",""))))))</f>
        <v/>
      </c>
      <c r="B1645" s="0" t="str">
        <f aca="false">IF(I1645="","",IF(AND(J1645&gt;=1,J1645&lt;=K1645+3),IF(J1645&lt;=K1645,IF(J1645&lt;=99,IF((INDEX(Eingabe!$G$9:$G$18,I1645))&lt;=9,1000+(INDEX(Eingabe!$G$9:$G$18,I1645))*100,3000)+J1645,IF((INDEX(Eingabe!$G$9:$G$18,I1645)+1)&lt;=9,1000+(INDEX(Eingabe!$G$9:$G$18,I1645)+1)*100,3000)+J1645-100),IF(J1645=K1645+1,2000+INDEX(Eingabe!$G$9:$G$18,I1645)*10+1,IF(J1645=K1645+2,2000+INDEX(Eingabe!$G$9:$G$18,I1645)*10+2,2000+INDEX(Eingabe!$G$9:$G$18,I1645)*10+9))),""))</f>
        <v/>
      </c>
      <c r="C1645" s="0" t="str">
        <f aca="false">IF(I1645="","",IF(AND(J1645&gt;=1,J1645&lt;=K1645+3),"10."&amp;INDEX(Eingabe!$D$9:$D$18,I1645)&amp;"."&amp;IF(J1645&lt;=K1645,J1645,IF(J1645=K1645+1,200,IF(J1645=K1645+2,201,250)))&amp;".0/24",""))</f>
        <v/>
      </c>
      <c r="D1645" s="0" t="str">
        <f aca="false">IF(I1645="","",IF(AND(J1645&gt;=1,J1645&lt;=K1645+3),"255.255.255.0",""))</f>
        <v/>
      </c>
      <c r="E1645" s="0" t="str">
        <f aca="false">IF(I1645="","",IF(AND(J1645&gt;=1,J1645&lt;=K1645+3),"10."&amp;INDEX(Eingabe!$D$9:$D$18,I1645)&amp;"."&amp;IF(J1645&lt;=K1645,J1645,IF(J1645=K1645+1,200,IF(J1645=K1645+2,201,250)))&amp;".1",""))</f>
        <v/>
      </c>
      <c r="F1645" s="0" t="str">
        <f aca="false">IF(I1645="","",IF(AND(J1645&gt;=1,J1645&lt;=K1645+3),"10."&amp;INDEX(Eingabe!$D$9:$D$18,I1645)&amp;"."&amp;IF(J1645&lt;=K1645,J1645,IF(J1645=K1645+1,200,IF(J1645=K1645+2,201,250)))&amp;".10 – 10."&amp;INDEX(Eingabe!$D$9:$D$18,I1645)&amp;"."&amp;IF(J1645&lt;=K1645,J1645,IF(J1645=K1645+1,200,IF(J1645=K1645+2,201,250)))&amp;".250",""))</f>
        <v/>
      </c>
      <c r="G1645" s="0" t="str">
        <f aca="false">IF(I1645="","",IF(AND(J1645&gt;=1,J1645&lt;=K1645),Eingabe!$B$6&amp;"-"&amp;INDEX(Eingabe!$C$9:$C$18,I1645)&amp;"-Pächter  ·  Passwort Parzelle "&amp;J1645,IF(J1645=K1645+1,Eingabe!$B$6&amp;"-"&amp;INDEX(Eingabe!$C$9:$C$18,I1645)&amp;"-Vorstand  ·  eigenes WLAN",IF(J1645=K1645+2,Eingabe!$B$6&amp;"-"&amp;INDEX(Eingabe!$C$9:$C$18,I1645)&amp;"-Gäste  ·  Voucher",IF(J1645=K1645+3,"Kabel  ·  Access Point y = .(50+y), Mast-Switch x = .(10+x)","")))))</f>
        <v/>
      </c>
      <c r="I1645" s="0" t="str">
        <f aca="false">IF(1640&lt;=(Eingabe!$P$18+Eingabe!$Q$18-1),MATCH(1640,Eingabe!$P$9:$P$18,1),"")</f>
        <v/>
      </c>
      <c r="J1645" s="0" t="str">
        <f aca="false">IF(I1645="","",1640-INDEX(Eingabe!$P$9:$P$18,I1645))</f>
        <v/>
      </c>
      <c r="K1645" s="0" t="str">
        <f aca="false">IF(I1645="","",INDEX(Eingabe!$E$9:$E$18,I1645))</f>
        <v/>
      </c>
    </row>
    <row r="1646" customFormat="false" ht="15" hidden="false" customHeight="false" outlineLevel="0" collapsed="false">
      <c r="A1646" s="0" t="str">
        <f aca="false">IF(I1646="","",IF(J1646=0,"Sparte "&amp;I1646&amp;": "&amp;INDEX(Eingabe!$B$9:$B$18,I1646)&amp;"  (Sparten-ID "&amp;INDEX(Eingabe!$D$9:$D$18,I1646)&amp;", "&amp;K1646&amp;" Parzellen)",IF(J1646&lt;=K1646,"   Parzelle "&amp;J1646,IF(J1646=K1646+1,"   Vorstand",IF(J1646=K1646+2,"   Gäste",IF(J1646=K1646+3,"   Technik (Switches, Access Points)",""))))))</f>
        <v/>
      </c>
      <c r="B1646" s="0" t="str">
        <f aca="false">IF(I1646="","",IF(AND(J1646&gt;=1,J1646&lt;=K1646+3),IF(J1646&lt;=K1646,IF(J1646&lt;=99,IF((INDEX(Eingabe!$G$9:$G$18,I1646))&lt;=9,1000+(INDEX(Eingabe!$G$9:$G$18,I1646))*100,3000)+J1646,IF((INDEX(Eingabe!$G$9:$G$18,I1646)+1)&lt;=9,1000+(INDEX(Eingabe!$G$9:$G$18,I1646)+1)*100,3000)+J1646-100),IF(J1646=K1646+1,2000+INDEX(Eingabe!$G$9:$G$18,I1646)*10+1,IF(J1646=K1646+2,2000+INDEX(Eingabe!$G$9:$G$18,I1646)*10+2,2000+INDEX(Eingabe!$G$9:$G$18,I1646)*10+9))),""))</f>
        <v/>
      </c>
      <c r="C1646" s="0" t="str">
        <f aca="false">IF(I1646="","",IF(AND(J1646&gt;=1,J1646&lt;=K1646+3),"10."&amp;INDEX(Eingabe!$D$9:$D$18,I1646)&amp;"."&amp;IF(J1646&lt;=K1646,J1646,IF(J1646=K1646+1,200,IF(J1646=K1646+2,201,250)))&amp;".0/24",""))</f>
        <v/>
      </c>
      <c r="D1646" s="0" t="str">
        <f aca="false">IF(I1646="","",IF(AND(J1646&gt;=1,J1646&lt;=K1646+3),"255.255.255.0",""))</f>
        <v/>
      </c>
      <c r="E1646" s="0" t="str">
        <f aca="false">IF(I1646="","",IF(AND(J1646&gt;=1,J1646&lt;=K1646+3),"10."&amp;INDEX(Eingabe!$D$9:$D$18,I1646)&amp;"."&amp;IF(J1646&lt;=K1646,J1646,IF(J1646=K1646+1,200,IF(J1646=K1646+2,201,250)))&amp;".1",""))</f>
        <v/>
      </c>
      <c r="F1646" s="0" t="str">
        <f aca="false">IF(I1646="","",IF(AND(J1646&gt;=1,J1646&lt;=K1646+3),"10."&amp;INDEX(Eingabe!$D$9:$D$18,I1646)&amp;"."&amp;IF(J1646&lt;=K1646,J1646,IF(J1646=K1646+1,200,IF(J1646=K1646+2,201,250)))&amp;".10 – 10."&amp;INDEX(Eingabe!$D$9:$D$18,I1646)&amp;"."&amp;IF(J1646&lt;=K1646,J1646,IF(J1646=K1646+1,200,IF(J1646=K1646+2,201,250)))&amp;".250",""))</f>
        <v/>
      </c>
      <c r="G1646" s="0" t="str">
        <f aca="false">IF(I1646="","",IF(AND(J1646&gt;=1,J1646&lt;=K1646),Eingabe!$B$6&amp;"-"&amp;INDEX(Eingabe!$C$9:$C$18,I1646)&amp;"-Pächter  ·  Passwort Parzelle "&amp;J1646,IF(J1646=K1646+1,Eingabe!$B$6&amp;"-"&amp;INDEX(Eingabe!$C$9:$C$18,I1646)&amp;"-Vorstand  ·  eigenes WLAN",IF(J1646=K1646+2,Eingabe!$B$6&amp;"-"&amp;INDEX(Eingabe!$C$9:$C$18,I1646)&amp;"-Gäste  ·  Voucher",IF(J1646=K1646+3,"Kabel  ·  Access Point y = .(50+y), Mast-Switch x = .(10+x)","")))))</f>
        <v/>
      </c>
      <c r="I1646" s="0" t="str">
        <f aca="false">IF(1641&lt;=(Eingabe!$P$18+Eingabe!$Q$18-1),MATCH(1641,Eingabe!$P$9:$P$18,1),"")</f>
        <v/>
      </c>
      <c r="J1646" s="0" t="str">
        <f aca="false">IF(I1646="","",1641-INDEX(Eingabe!$P$9:$P$18,I1646))</f>
        <v/>
      </c>
      <c r="K1646" s="0" t="str">
        <f aca="false">IF(I1646="","",INDEX(Eingabe!$E$9:$E$18,I1646))</f>
        <v/>
      </c>
    </row>
    <row r="1647" customFormat="false" ht="15" hidden="false" customHeight="false" outlineLevel="0" collapsed="false">
      <c r="A1647" s="0" t="str">
        <f aca="false">IF(I1647="","",IF(J1647=0,"Sparte "&amp;I1647&amp;": "&amp;INDEX(Eingabe!$B$9:$B$18,I1647)&amp;"  (Sparten-ID "&amp;INDEX(Eingabe!$D$9:$D$18,I1647)&amp;", "&amp;K1647&amp;" Parzellen)",IF(J1647&lt;=K1647,"   Parzelle "&amp;J1647,IF(J1647=K1647+1,"   Vorstand",IF(J1647=K1647+2,"   Gäste",IF(J1647=K1647+3,"   Technik (Switches, Access Points)",""))))))</f>
        <v/>
      </c>
      <c r="B1647" s="0" t="str">
        <f aca="false">IF(I1647="","",IF(AND(J1647&gt;=1,J1647&lt;=K1647+3),IF(J1647&lt;=K1647,IF(J1647&lt;=99,IF((INDEX(Eingabe!$G$9:$G$18,I1647))&lt;=9,1000+(INDEX(Eingabe!$G$9:$G$18,I1647))*100,3000)+J1647,IF((INDEX(Eingabe!$G$9:$G$18,I1647)+1)&lt;=9,1000+(INDEX(Eingabe!$G$9:$G$18,I1647)+1)*100,3000)+J1647-100),IF(J1647=K1647+1,2000+INDEX(Eingabe!$G$9:$G$18,I1647)*10+1,IF(J1647=K1647+2,2000+INDEX(Eingabe!$G$9:$G$18,I1647)*10+2,2000+INDEX(Eingabe!$G$9:$G$18,I1647)*10+9))),""))</f>
        <v/>
      </c>
      <c r="C1647" s="0" t="str">
        <f aca="false">IF(I1647="","",IF(AND(J1647&gt;=1,J1647&lt;=K1647+3),"10."&amp;INDEX(Eingabe!$D$9:$D$18,I1647)&amp;"."&amp;IF(J1647&lt;=K1647,J1647,IF(J1647=K1647+1,200,IF(J1647=K1647+2,201,250)))&amp;".0/24",""))</f>
        <v/>
      </c>
      <c r="D1647" s="0" t="str">
        <f aca="false">IF(I1647="","",IF(AND(J1647&gt;=1,J1647&lt;=K1647+3),"255.255.255.0",""))</f>
        <v/>
      </c>
      <c r="E1647" s="0" t="str">
        <f aca="false">IF(I1647="","",IF(AND(J1647&gt;=1,J1647&lt;=K1647+3),"10."&amp;INDEX(Eingabe!$D$9:$D$18,I1647)&amp;"."&amp;IF(J1647&lt;=K1647,J1647,IF(J1647=K1647+1,200,IF(J1647=K1647+2,201,250)))&amp;".1",""))</f>
        <v/>
      </c>
      <c r="F1647" s="0" t="str">
        <f aca="false">IF(I1647="","",IF(AND(J1647&gt;=1,J1647&lt;=K1647+3),"10."&amp;INDEX(Eingabe!$D$9:$D$18,I1647)&amp;"."&amp;IF(J1647&lt;=K1647,J1647,IF(J1647=K1647+1,200,IF(J1647=K1647+2,201,250)))&amp;".10 – 10."&amp;INDEX(Eingabe!$D$9:$D$18,I1647)&amp;"."&amp;IF(J1647&lt;=K1647,J1647,IF(J1647=K1647+1,200,IF(J1647=K1647+2,201,250)))&amp;".250",""))</f>
        <v/>
      </c>
      <c r="G1647" s="0" t="str">
        <f aca="false">IF(I1647="","",IF(AND(J1647&gt;=1,J1647&lt;=K1647),Eingabe!$B$6&amp;"-"&amp;INDEX(Eingabe!$C$9:$C$18,I1647)&amp;"-Pächter  ·  Passwort Parzelle "&amp;J1647,IF(J1647=K1647+1,Eingabe!$B$6&amp;"-"&amp;INDEX(Eingabe!$C$9:$C$18,I1647)&amp;"-Vorstand  ·  eigenes WLAN",IF(J1647=K1647+2,Eingabe!$B$6&amp;"-"&amp;INDEX(Eingabe!$C$9:$C$18,I1647)&amp;"-Gäste  ·  Voucher",IF(J1647=K1647+3,"Kabel  ·  Access Point y = .(50+y), Mast-Switch x = .(10+x)","")))))</f>
        <v/>
      </c>
      <c r="I1647" s="0" t="str">
        <f aca="false">IF(1642&lt;=(Eingabe!$P$18+Eingabe!$Q$18-1),MATCH(1642,Eingabe!$P$9:$P$18,1),"")</f>
        <v/>
      </c>
      <c r="J1647" s="0" t="str">
        <f aca="false">IF(I1647="","",1642-INDEX(Eingabe!$P$9:$P$18,I1647))</f>
        <v/>
      </c>
      <c r="K1647" s="0" t="str">
        <f aca="false">IF(I1647="","",INDEX(Eingabe!$E$9:$E$18,I1647))</f>
        <v/>
      </c>
    </row>
    <row r="1648" customFormat="false" ht="15" hidden="false" customHeight="false" outlineLevel="0" collapsed="false">
      <c r="A1648" s="0" t="str">
        <f aca="false">IF(I1648="","",IF(J1648=0,"Sparte "&amp;I1648&amp;": "&amp;INDEX(Eingabe!$B$9:$B$18,I1648)&amp;"  (Sparten-ID "&amp;INDEX(Eingabe!$D$9:$D$18,I1648)&amp;", "&amp;K1648&amp;" Parzellen)",IF(J1648&lt;=K1648,"   Parzelle "&amp;J1648,IF(J1648=K1648+1,"   Vorstand",IF(J1648=K1648+2,"   Gäste",IF(J1648=K1648+3,"   Technik (Switches, Access Points)",""))))))</f>
        <v/>
      </c>
      <c r="B1648" s="0" t="str">
        <f aca="false">IF(I1648="","",IF(AND(J1648&gt;=1,J1648&lt;=K1648+3),IF(J1648&lt;=K1648,IF(J1648&lt;=99,IF((INDEX(Eingabe!$G$9:$G$18,I1648))&lt;=9,1000+(INDEX(Eingabe!$G$9:$G$18,I1648))*100,3000)+J1648,IF((INDEX(Eingabe!$G$9:$G$18,I1648)+1)&lt;=9,1000+(INDEX(Eingabe!$G$9:$G$18,I1648)+1)*100,3000)+J1648-100),IF(J1648=K1648+1,2000+INDEX(Eingabe!$G$9:$G$18,I1648)*10+1,IF(J1648=K1648+2,2000+INDEX(Eingabe!$G$9:$G$18,I1648)*10+2,2000+INDEX(Eingabe!$G$9:$G$18,I1648)*10+9))),""))</f>
        <v/>
      </c>
      <c r="C1648" s="0" t="str">
        <f aca="false">IF(I1648="","",IF(AND(J1648&gt;=1,J1648&lt;=K1648+3),"10."&amp;INDEX(Eingabe!$D$9:$D$18,I1648)&amp;"."&amp;IF(J1648&lt;=K1648,J1648,IF(J1648=K1648+1,200,IF(J1648=K1648+2,201,250)))&amp;".0/24",""))</f>
        <v/>
      </c>
      <c r="D1648" s="0" t="str">
        <f aca="false">IF(I1648="","",IF(AND(J1648&gt;=1,J1648&lt;=K1648+3),"255.255.255.0",""))</f>
        <v/>
      </c>
      <c r="E1648" s="0" t="str">
        <f aca="false">IF(I1648="","",IF(AND(J1648&gt;=1,J1648&lt;=K1648+3),"10."&amp;INDEX(Eingabe!$D$9:$D$18,I1648)&amp;"."&amp;IF(J1648&lt;=K1648,J1648,IF(J1648=K1648+1,200,IF(J1648=K1648+2,201,250)))&amp;".1",""))</f>
        <v/>
      </c>
      <c r="F1648" s="0" t="str">
        <f aca="false">IF(I1648="","",IF(AND(J1648&gt;=1,J1648&lt;=K1648+3),"10."&amp;INDEX(Eingabe!$D$9:$D$18,I1648)&amp;"."&amp;IF(J1648&lt;=K1648,J1648,IF(J1648=K1648+1,200,IF(J1648=K1648+2,201,250)))&amp;".10 – 10."&amp;INDEX(Eingabe!$D$9:$D$18,I1648)&amp;"."&amp;IF(J1648&lt;=K1648,J1648,IF(J1648=K1648+1,200,IF(J1648=K1648+2,201,250)))&amp;".250",""))</f>
        <v/>
      </c>
      <c r="G1648" s="0" t="str">
        <f aca="false">IF(I1648="","",IF(AND(J1648&gt;=1,J1648&lt;=K1648),Eingabe!$B$6&amp;"-"&amp;INDEX(Eingabe!$C$9:$C$18,I1648)&amp;"-Pächter  ·  Passwort Parzelle "&amp;J1648,IF(J1648=K1648+1,Eingabe!$B$6&amp;"-"&amp;INDEX(Eingabe!$C$9:$C$18,I1648)&amp;"-Vorstand  ·  eigenes WLAN",IF(J1648=K1648+2,Eingabe!$B$6&amp;"-"&amp;INDEX(Eingabe!$C$9:$C$18,I1648)&amp;"-Gäste  ·  Voucher",IF(J1648=K1648+3,"Kabel  ·  Access Point y = .(50+y), Mast-Switch x = .(10+x)","")))))</f>
        <v/>
      </c>
      <c r="I1648" s="0" t="str">
        <f aca="false">IF(1643&lt;=(Eingabe!$P$18+Eingabe!$Q$18-1),MATCH(1643,Eingabe!$P$9:$P$18,1),"")</f>
        <v/>
      </c>
      <c r="J1648" s="0" t="str">
        <f aca="false">IF(I1648="","",1643-INDEX(Eingabe!$P$9:$P$18,I1648))</f>
        <v/>
      </c>
      <c r="K1648" s="0" t="str">
        <f aca="false">IF(I1648="","",INDEX(Eingabe!$E$9:$E$18,I1648))</f>
        <v/>
      </c>
    </row>
    <row r="1649" customFormat="false" ht="15" hidden="false" customHeight="false" outlineLevel="0" collapsed="false">
      <c r="A1649" s="0" t="str">
        <f aca="false">IF(I1649="","",IF(J1649=0,"Sparte "&amp;I1649&amp;": "&amp;INDEX(Eingabe!$B$9:$B$18,I1649)&amp;"  (Sparten-ID "&amp;INDEX(Eingabe!$D$9:$D$18,I1649)&amp;", "&amp;K1649&amp;" Parzellen)",IF(J1649&lt;=K1649,"   Parzelle "&amp;J1649,IF(J1649=K1649+1,"   Vorstand",IF(J1649=K1649+2,"   Gäste",IF(J1649=K1649+3,"   Technik (Switches, Access Points)",""))))))</f>
        <v/>
      </c>
      <c r="B1649" s="0" t="str">
        <f aca="false">IF(I1649="","",IF(AND(J1649&gt;=1,J1649&lt;=K1649+3),IF(J1649&lt;=K1649,IF(J1649&lt;=99,IF((INDEX(Eingabe!$G$9:$G$18,I1649))&lt;=9,1000+(INDEX(Eingabe!$G$9:$G$18,I1649))*100,3000)+J1649,IF((INDEX(Eingabe!$G$9:$G$18,I1649)+1)&lt;=9,1000+(INDEX(Eingabe!$G$9:$G$18,I1649)+1)*100,3000)+J1649-100),IF(J1649=K1649+1,2000+INDEX(Eingabe!$G$9:$G$18,I1649)*10+1,IF(J1649=K1649+2,2000+INDEX(Eingabe!$G$9:$G$18,I1649)*10+2,2000+INDEX(Eingabe!$G$9:$G$18,I1649)*10+9))),""))</f>
        <v/>
      </c>
      <c r="C1649" s="0" t="str">
        <f aca="false">IF(I1649="","",IF(AND(J1649&gt;=1,J1649&lt;=K1649+3),"10."&amp;INDEX(Eingabe!$D$9:$D$18,I1649)&amp;"."&amp;IF(J1649&lt;=K1649,J1649,IF(J1649=K1649+1,200,IF(J1649=K1649+2,201,250)))&amp;".0/24",""))</f>
        <v/>
      </c>
      <c r="D1649" s="0" t="str">
        <f aca="false">IF(I1649="","",IF(AND(J1649&gt;=1,J1649&lt;=K1649+3),"255.255.255.0",""))</f>
        <v/>
      </c>
      <c r="E1649" s="0" t="str">
        <f aca="false">IF(I1649="","",IF(AND(J1649&gt;=1,J1649&lt;=K1649+3),"10."&amp;INDEX(Eingabe!$D$9:$D$18,I1649)&amp;"."&amp;IF(J1649&lt;=K1649,J1649,IF(J1649=K1649+1,200,IF(J1649=K1649+2,201,250)))&amp;".1",""))</f>
        <v/>
      </c>
      <c r="F1649" s="0" t="str">
        <f aca="false">IF(I1649="","",IF(AND(J1649&gt;=1,J1649&lt;=K1649+3),"10."&amp;INDEX(Eingabe!$D$9:$D$18,I1649)&amp;"."&amp;IF(J1649&lt;=K1649,J1649,IF(J1649=K1649+1,200,IF(J1649=K1649+2,201,250)))&amp;".10 – 10."&amp;INDEX(Eingabe!$D$9:$D$18,I1649)&amp;"."&amp;IF(J1649&lt;=K1649,J1649,IF(J1649=K1649+1,200,IF(J1649=K1649+2,201,250)))&amp;".250",""))</f>
        <v/>
      </c>
      <c r="G1649" s="0" t="str">
        <f aca="false">IF(I1649="","",IF(AND(J1649&gt;=1,J1649&lt;=K1649),Eingabe!$B$6&amp;"-"&amp;INDEX(Eingabe!$C$9:$C$18,I1649)&amp;"-Pächter  ·  Passwort Parzelle "&amp;J1649,IF(J1649=K1649+1,Eingabe!$B$6&amp;"-"&amp;INDEX(Eingabe!$C$9:$C$18,I1649)&amp;"-Vorstand  ·  eigenes WLAN",IF(J1649=K1649+2,Eingabe!$B$6&amp;"-"&amp;INDEX(Eingabe!$C$9:$C$18,I1649)&amp;"-Gäste  ·  Voucher",IF(J1649=K1649+3,"Kabel  ·  Access Point y = .(50+y), Mast-Switch x = .(10+x)","")))))</f>
        <v/>
      </c>
      <c r="I1649" s="0" t="str">
        <f aca="false">IF(1644&lt;=(Eingabe!$P$18+Eingabe!$Q$18-1),MATCH(1644,Eingabe!$P$9:$P$18,1),"")</f>
        <v/>
      </c>
      <c r="J1649" s="0" t="str">
        <f aca="false">IF(I1649="","",1644-INDEX(Eingabe!$P$9:$P$18,I1649))</f>
        <v/>
      </c>
      <c r="K1649" s="0" t="str">
        <f aca="false">IF(I1649="","",INDEX(Eingabe!$E$9:$E$18,I1649))</f>
        <v/>
      </c>
    </row>
    <row r="1650" customFormat="false" ht="15" hidden="false" customHeight="false" outlineLevel="0" collapsed="false">
      <c r="A1650" s="0" t="str">
        <f aca="false">IF(I1650="","",IF(J1650=0,"Sparte "&amp;I1650&amp;": "&amp;INDEX(Eingabe!$B$9:$B$18,I1650)&amp;"  (Sparten-ID "&amp;INDEX(Eingabe!$D$9:$D$18,I1650)&amp;", "&amp;K1650&amp;" Parzellen)",IF(J1650&lt;=K1650,"   Parzelle "&amp;J1650,IF(J1650=K1650+1,"   Vorstand",IF(J1650=K1650+2,"   Gäste",IF(J1650=K1650+3,"   Technik (Switches, Access Points)",""))))))</f>
        <v/>
      </c>
      <c r="B1650" s="0" t="str">
        <f aca="false">IF(I1650="","",IF(AND(J1650&gt;=1,J1650&lt;=K1650+3),IF(J1650&lt;=K1650,IF(J1650&lt;=99,IF((INDEX(Eingabe!$G$9:$G$18,I1650))&lt;=9,1000+(INDEX(Eingabe!$G$9:$G$18,I1650))*100,3000)+J1650,IF((INDEX(Eingabe!$G$9:$G$18,I1650)+1)&lt;=9,1000+(INDEX(Eingabe!$G$9:$G$18,I1650)+1)*100,3000)+J1650-100),IF(J1650=K1650+1,2000+INDEX(Eingabe!$G$9:$G$18,I1650)*10+1,IF(J1650=K1650+2,2000+INDEX(Eingabe!$G$9:$G$18,I1650)*10+2,2000+INDEX(Eingabe!$G$9:$G$18,I1650)*10+9))),""))</f>
        <v/>
      </c>
      <c r="C1650" s="0" t="str">
        <f aca="false">IF(I1650="","",IF(AND(J1650&gt;=1,J1650&lt;=K1650+3),"10."&amp;INDEX(Eingabe!$D$9:$D$18,I1650)&amp;"."&amp;IF(J1650&lt;=K1650,J1650,IF(J1650=K1650+1,200,IF(J1650=K1650+2,201,250)))&amp;".0/24",""))</f>
        <v/>
      </c>
      <c r="D1650" s="0" t="str">
        <f aca="false">IF(I1650="","",IF(AND(J1650&gt;=1,J1650&lt;=K1650+3),"255.255.255.0",""))</f>
        <v/>
      </c>
      <c r="E1650" s="0" t="str">
        <f aca="false">IF(I1650="","",IF(AND(J1650&gt;=1,J1650&lt;=K1650+3),"10."&amp;INDEX(Eingabe!$D$9:$D$18,I1650)&amp;"."&amp;IF(J1650&lt;=K1650,J1650,IF(J1650=K1650+1,200,IF(J1650=K1650+2,201,250)))&amp;".1",""))</f>
        <v/>
      </c>
      <c r="F1650" s="0" t="str">
        <f aca="false">IF(I1650="","",IF(AND(J1650&gt;=1,J1650&lt;=K1650+3),"10."&amp;INDEX(Eingabe!$D$9:$D$18,I1650)&amp;"."&amp;IF(J1650&lt;=K1650,J1650,IF(J1650=K1650+1,200,IF(J1650=K1650+2,201,250)))&amp;".10 – 10."&amp;INDEX(Eingabe!$D$9:$D$18,I1650)&amp;"."&amp;IF(J1650&lt;=K1650,J1650,IF(J1650=K1650+1,200,IF(J1650=K1650+2,201,250)))&amp;".250",""))</f>
        <v/>
      </c>
      <c r="G1650" s="0" t="str">
        <f aca="false">IF(I1650="","",IF(AND(J1650&gt;=1,J1650&lt;=K1650),Eingabe!$B$6&amp;"-"&amp;INDEX(Eingabe!$C$9:$C$18,I1650)&amp;"-Pächter  ·  Passwort Parzelle "&amp;J1650,IF(J1650=K1650+1,Eingabe!$B$6&amp;"-"&amp;INDEX(Eingabe!$C$9:$C$18,I1650)&amp;"-Vorstand  ·  eigenes WLAN",IF(J1650=K1650+2,Eingabe!$B$6&amp;"-"&amp;INDEX(Eingabe!$C$9:$C$18,I1650)&amp;"-Gäste  ·  Voucher",IF(J1650=K1650+3,"Kabel  ·  Access Point y = .(50+y), Mast-Switch x = .(10+x)","")))))</f>
        <v/>
      </c>
      <c r="I1650" s="0" t="str">
        <f aca="false">IF(1645&lt;=(Eingabe!$P$18+Eingabe!$Q$18-1),MATCH(1645,Eingabe!$P$9:$P$18,1),"")</f>
        <v/>
      </c>
      <c r="J1650" s="0" t="str">
        <f aca="false">IF(I1650="","",1645-INDEX(Eingabe!$P$9:$P$18,I1650))</f>
        <v/>
      </c>
      <c r="K1650" s="0" t="str">
        <f aca="false">IF(I1650="","",INDEX(Eingabe!$E$9:$E$18,I1650))</f>
        <v/>
      </c>
    </row>
    <row r="1651" customFormat="false" ht="15" hidden="false" customHeight="false" outlineLevel="0" collapsed="false">
      <c r="A1651" s="0" t="str">
        <f aca="false">IF(I1651="","",IF(J1651=0,"Sparte "&amp;I1651&amp;": "&amp;INDEX(Eingabe!$B$9:$B$18,I1651)&amp;"  (Sparten-ID "&amp;INDEX(Eingabe!$D$9:$D$18,I1651)&amp;", "&amp;K1651&amp;" Parzellen)",IF(J1651&lt;=K1651,"   Parzelle "&amp;J1651,IF(J1651=K1651+1,"   Vorstand",IF(J1651=K1651+2,"   Gäste",IF(J1651=K1651+3,"   Technik (Switches, Access Points)",""))))))</f>
        <v/>
      </c>
      <c r="B1651" s="0" t="str">
        <f aca="false">IF(I1651="","",IF(AND(J1651&gt;=1,J1651&lt;=K1651+3),IF(J1651&lt;=K1651,IF(J1651&lt;=99,IF((INDEX(Eingabe!$G$9:$G$18,I1651))&lt;=9,1000+(INDEX(Eingabe!$G$9:$G$18,I1651))*100,3000)+J1651,IF((INDEX(Eingabe!$G$9:$G$18,I1651)+1)&lt;=9,1000+(INDEX(Eingabe!$G$9:$G$18,I1651)+1)*100,3000)+J1651-100),IF(J1651=K1651+1,2000+INDEX(Eingabe!$G$9:$G$18,I1651)*10+1,IF(J1651=K1651+2,2000+INDEX(Eingabe!$G$9:$G$18,I1651)*10+2,2000+INDEX(Eingabe!$G$9:$G$18,I1651)*10+9))),""))</f>
        <v/>
      </c>
      <c r="C1651" s="0" t="str">
        <f aca="false">IF(I1651="","",IF(AND(J1651&gt;=1,J1651&lt;=K1651+3),"10."&amp;INDEX(Eingabe!$D$9:$D$18,I1651)&amp;"."&amp;IF(J1651&lt;=K1651,J1651,IF(J1651=K1651+1,200,IF(J1651=K1651+2,201,250)))&amp;".0/24",""))</f>
        <v/>
      </c>
      <c r="D1651" s="0" t="str">
        <f aca="false">IF(I1651="","",IF(AND(J1651&gt;=1,J1651&lt;=K1651+3),"255.255.255.0",""))</f>
        <v/>
      </c>
      <c r="E1651" s="0" t="str">
        <f aca="false">IF(I1651="","",IF(AND(J1651&gt;=1,J1651&lt;=K1651+3),"10."&amp;INDEX(Eingabe!$D$9:$D$18,I1651)&amp;"."&amp;IF(J1651&lt;=K1651,J1651,IF(J1651=K1651+1,200,IF(J1651=K1651+2,201,250)))&amp;".1",""))</f>
        <v/>
      </c>
      <c r="F1651" s="0" t="str">
        <f aca="false">IF(I1651="","",IF(AND(J1651&gt;=1,J1651&lt;=K1651+3),"10."&amp;INDEX(Eingabe!$D$9:$D$18,I1651)&amp;"."&amp;IF(J1651&lt;=K1651,J1651,IF(J1651=K1651+1,200,IF(J1651=K1651+2,201,250)))&amp;".10 – 10."&amp;INDEX(Eingabe!$D$9:$D$18,I1651)&amp;"."&amp;IF(J1651&lt;=K1651,J1651,IF(J1651=K1651+1,200,IF(J1651=K1651+2,201,250)))&amp;".250",""))</f>
        <v/>
      </c>
      <c r="G1651" s="0" t="str">
        <f aca="false">IF(I1651="","",IF(AND(J1651&gt;=1,J1651&lt;=K1651),Eingabe!$B$6&amp;"-"&amp;INDEX(Eingabe!$C$9:$C$18,I1651)&amp;"-Pächter  ·  Passwort Parzelle "&amp;J1651,IF(J1651=K1651+1,Eingabe!$B$6&amp;"-"&amp;INDEX(Eingabe!$C$9:$C$18,I1651)&amp;"-Vorstand  ·  eigenes WLAN",IF(J1651=K1651+2,Eingabe!$B$6&amp;"-"&amp;INDEX(Eingabe!$C$9:$C$18,I1651)&amp;"-Gäste  ·  Voucher",IF(J1651=K1651+3,"Kabel  ·  Access Point y = .(50+y), Mast-Switch x = .(10+x)","")))))</f>
        <v/>
      </c>
      <c r="I1651" s="0" t="str">
        <f aca="false">IF(1646&lt;=(Eingabe!$P$18+Eingabe!$Q$18-1),MATCH(1646,Eingabe!$P$9:$P$18,1),"")</f>
        <v/>
      </c>
      <c r="J1651" s="0" t="str">
        <f aca="false">IF(I1651="","",1646-INDEX(Eingabe!$P$9:$P$18,I1651))</f>
        <v/>
      </c>
      <c r="K1651" s="0" t="str">
        <f aca="false">IF(I1651="","",INDEX(Eingabe!$E$9:$E$18,I1651))</f>
        <v/>
      </c>
    </row>
    <row r="1652" customFormat="false" ht="15" hidden="false" customHeight="false" outlineLevel="0" collapsed="false">
      <c r="A1652" s="0" t="str">
        <f aca="false">IF(I1652="","",IF(J1652=0,"Sparte "&amp;I1652&amp;": "&amp;INDEX(Eingabe!$B$9:$B$18,I1652)&amp;"  (Sparten-ID "&amp;INDEX(Eingabe!$D$9:$D$18,I1652)&amp;", "&amp;K1652&amp;" Parzellen)",IF(J1652&lt;=K1652,"   Parzelle "&amp;J1652,IF(J1652=K1652+1,"   Vorstand",IF(J1652=K1652+2,"   Gäste",IF(J1652=K1652+3,"   Technik (Switches, Access Points)",""))))))</f>
        <v/>
      </c>
      <c r="B1652" s="0" t="str">
        <f aca="false">IF(I1652="","",IF(AND(J1652&gt;=1,J1652&lt;=K1652+3),IF(J1652&lt;=K1652,IF(J1652&lt;=99,IF((INDEX(Eingabe!$G$9:$G$18,I1652))&lt;=9,1000+(INDEX(Eingabe!$G$9:$G$18,I1652))*100,3000)+J1652,IF((INDEX(Eingabe!$G$9:$G$18,I1652)+1)&lt;=9,1000+(INDEX(Eingabe!$G$9:$G$18,I1652)+1)*100,3000)+J1652-100),IF(J1652=K1652+1,2000+INDEX(Eingabe!$G$9:$G$18,I1652)*10+1,IF(J1652=K1652+2,2000+INDEX(Eingabe!$G$9:$G$18,I1652)*10+2,2000+INDEX(Eingabe!$G$9:$G$18,I1652)*10+9))),""))</f>
        <v/>
      </c>
      <c r="C1652" s="0" t="str">
        <f aca="false">IF(I1652="","",IF(AND(J1652&gt;=1,J1652&lt;=K1652+3),"10."&amp;INDEX(Eingabe!$D$9:$D$18,I1652)&amp;"."&amp;IF(J1652&lt;=K1652,J1652,IF(J1652=K1652+1,200,IF(J1652=K1652+2,201,250)))&amp;".0/24",""))</f>
        <v/>
      </c>
      <c r="D1652" s="0" t="str">
        <f aca="false">IF(I1652="","",IF(AND(J1652&gt;=1,J1652&lt;=K1652+3),"255.255.255.0",""))</f>
        <v/>
      </c>
      <c r="E1652" s="0" t="str">
        <f aca="false">IF(I1652="","",IF(AND(J1652&gt;=1,J1652&lt;=K1652+3),"10."&amp;INDEX(Eingabe!$D$9:$D$18,I1652)&amp;"."&amp;IF(J1652&lt;=K1652,J1652,IF(J1652=K1652+1,200,IF(J1652=K1652+2,201,250)))&amp;".1",""))</f>
        <v/>
      </c>
      <c r="F1652" s="0" t="str">
        <f aca="false">IF(I1652="","",IF(AND(J1652&gt;=1,J1652&lt;=K1652+3),"10."&amp;INDEX(Eingabe!$D$9:$D$18,I1652)&amp;"."&amp;IF(J1652&lt;=K1652,J1652,IF(J1652=K1652+1,200,IF(J1652=K1652+2,201,250)))&amp;".10 – 10."&amp;INDEX(Eingabe!$D$9:$D$18,I1652)&amp;"."&amp;IF(J1652&lt;=K1652,J1652,IF(J1652=K1652+1,200,IF(J1652=K1652+2,201,250)))&amp;".250",""))</f>
        <v/>
      </c>
      <c r="G1652" s="0" t="str">
        <f aca="false">IF(I1652="","",IF(AND(J1652&gt;=1,J1652&lt;=K1652),Eingabe!$B$6&amp;"-"&amp;INDEX(Eingabe!$C$9:$C$18,I1652)&amp;"-Pächter  ·  Passwort Parzelle "&amp;J1652,IF(J1652=K1652+1,Eingabe!$B$6&amp;"-"&amp;INDEX(Eingabe!$C$9:$C$18,I1652)&amp;"-Vorstand  ·  eigenes WLAN",IF(J1652=K1652+2,Eingabe!$B$6&amp;"-"&amp;INDEX(Eingabe!$C$9:$C$18,I1652)&amp;"-Gäste  ·  Voucher",IF(J1652=K1652+3,"Kabel  ·  Access Point y = .(50+y), Mast-Switch x = .(10+x)","")))))</f>
        <v/>
      </c>
      <c r="I1652" s="0" t="str">
        <f aca="false">IF(1647&lt;=(Eingabe!$P$18+Eingabe!$Q$18-1),MATCH(1647,Eingabe!$P$9:$P$18,1),"")</f>
        <v/>
      </c>
      <c r="J1652" s="0" t="str">
        <f aca="false">IF(I1652="","",1647-INDEX(Eingabe!$P$9:$P$18,I1652))</f>
        <v/>
      </c>
      <c r="K1652" s="0" t="str">
        <f aca="false">IF(I1652="","",INDEX(Eingabe!$E$9:$E$18,I1652))</f>
        <v/>
      </c>
    </row>
    <row r="1653" customFormat="false" ht="15" hidden="false" customHeight="false" outlineLevel="0" collapsed="false">
      <c r="A1653" s="0" t="str">
        <f aca="false">IF(I1653="","",IF(J1653=0,"Sparte "&amp;I1653&amp;": "&amp;INDEX(Eingabe!$B$9:$B$18,I1653)&amp;"  (Sparten-ID "&amp;INDEX(Eingabe!$D$9:$D$18,I1653)&amp;", "&amp;K1653&amp;" Parzellen)",IF(J1653&lt;=K1653,"   Parzelle "&amp;J1653,IF(J1653=K1653+1,"   Vorstand",IF(J1653=K1653+2,"   Gäste",IF(J1653=K1653+3,"   Technik (Switches, Access Points)",""))))))</f>
        <v/>
      </c>
      <c r="B1653" s="0" t="str">
        <f aca="false">IF(I1653="","",IF(AND(J1653&gt;=1,J1653&lt;=K1653+3),IF(J1653&lt;=K1653,IF(J1653&lt;=99,IF((INDEX(Eingabe!$G$9:$G$18,I1653))&lt;=9,1000+(INDEX(Eingabe!$G$9:$G$18,I1653))*100,3000)+J1653,IF((INDEX(Eingabe!$G$9:$G$18,I1653)+1)&lt;=9,1000+(INDEX(Eingabe!$G$9:$G$18,I1653)+1)*100,3000)+J1653-100),IF(J1653=K1653+1,2000+INDEX(Eingabe!$G$9:$G$18,I1653)*10+1,IF(J1653=K1653+2,2000+INDEX(Eingabe!$G$9:$G$18,I1653)*10+2,2000+INDEX(Eingabe!$G$9:$G$18,I1653)*10+9))),""))</f>
        <v/>
      </c>
      <c r="C1653" s="0" t="str">
        <f aca="false">IF(I1653="","",IF(AND(J1653&gt;=1,J1653&lt;=K1653+3),"10."&amp;INDEX(Eingabe!$D$9:$D$18,I1653)&amp;"."&amp;IF(J1653&lt;=K1653,J1653,IF(J1653=K1653+1,200,IF(J1653=K1653+2,201,250)))&amp;".0/24",""))</f>
        <v/>
      </c>
      <c r="D1653" s="0" t="str">
        <f aca="false">IF(I1653="","",IF(AND(J1653&gt;=1,J1653&lt;=K1653+3),"255.255.255.0",""))</f>
        <v/>
      </c>
      <c r="E1653" s="0" t="str">
        <f aca="false">IF(I1653="","",IF(AND(J1653&gt;=1,J1653&lt;=K1653+3),"10."&amp;INDEX(Eingabe!$D$9:$D$18,I1653)&amp;"."&amp;IF(J1653&lt;=K1653,J1653,IF(J1653=K1653+1,200,IF(J1653=K1653+2,201,250)))&amp;".1",""))</f>
        <v/>
      </c>
      <c r="F1653" s="0" t="str">
        <f aca="false">IF(I1653="","",IF(AND(J1653&gt;=1,J1653&lt;=K1653+3),"10."&amp;INDEX(Eingabe!$D$9:$D$18,I1653)&amp;"."&amp;IF(J1653&lt;=K1653,J1653,IF(J1653=K1653+1,200,IF(J1653=K1653+2,201,250)))&amp;".10 – 10."&amp;INDEX(Eingabe!$D$9:$D$18,I1653)&amp;"."&amp;IF(J1653&lt;=K1653,J1653,IF(J1653=K1653+1,200,IF(J1653=K1653+2,201,250)))&amp;".250",""))</f>
        <v/>
      </c>
      <c r="G1653" s="0" t="str">
        <f aca="false">IF(I1653="","",IF(AND(J1653&gt;=1,J1653&lt;=K1653),Eingabe!$B$6&amp;"-"&amp;INDEX(Eingabe!$C$9:$C$18,I1653)&amp;"-Pächter  ·  Passwort Parzelle "&amp;J1653,IF(J1653=K1653+1,Eingabe!$B$6&amp;"-"&amp;INDEX(Eingabe!$C$9:$C$18,I1653)&amp;"-Vorstand  ·  eigenes WLAN",IF(J1653=K1653+2,Eingabe!$B$6&amp;"-"&amp;INDEX(Eingabe!$C$9:$C$18,I1653)&amp;"-Gäste  ·  Voucher",IF(J1653=K1653+3,"Kabel  ·  Access Point y = .(50+y), Mast-Switch x = .(10+x)","")))))</f>
        <v/>
      </c>
      <c r="I1653" s="0" t="str">
        <f aca="false">IF(1648&lt;=(Eingabe!$P$18+Eingabe!$Q$18-1),MATCH(1648,Eingabe!$P$9:$P$18,1),"")</f>
        <v/>
      </c>
      <c r="J1653" s="0" t="str">
        <f aca="false">IF(I1653="","",1648-INDEX(Eingabe!$P$9:$P$18,I1653))</f>
        <v/>
      </c>
      <c r="K1653" s="0" t="str">
        <f aca="false">IF(I1653="","",INDEX(Eingabe!$E$9:$E$18,I1653))</f>
        <v/>
      </c>
    </row>
    <row r="1654" customFormat="false" ht="15" hidden="false" customHeight="false" outlineLevel="0" collapsed="false">
      <c r="A1654" s="0" t="str">
        <f aca="false">IF(I1654="","",IF(J1654=0,"Sparte "&amp;I1654&amp;": "&amp;INDEX(Eingabe!$B$9:$B$18,I1654)&amp;"  (Sparten-ID "&amp;INDEX(Eingabe!$D$9:$D$18,I1654)&amp;", "&amp;K1654&amp;" Parzellen)",IF(J1654&lt;=K1654,"   Parzelle "&amp;J1654,IF(J1654=K1654+1,"   Vorstand",IF(J1654=K1654+2,"   Gäste",IF(J1654=K1654+3,"   Technik (Switches, Access Points)",""))))))</f>
        <v/>
      </c>
      <c r="B1654" s="0" t="str">
        <f aca="false">IF(I1654="","",IF(AND(J1654&gt;=1,J1654&lt;=K1654+3),IF(J1654&lt;=K1654,IF(J1654&lt;=99,IF((INDEX(Eingabe!$G$9:$G$18,I1654))&lt;=9,1000+(INDEX(Eingabe!$G$9:$G$18,I1654))*100,3000)+J1654,IF((INDEX(Eingabe!$G$9:$G$18,I1654)+1)&lt;=9,1000+(INDEX(Eingabe!$G$9:$G$18,I1654)+1)*100,3000)+J1654-100),IF(J1654=K1654+1,2000+INDEX(Eingabe!$G$9:$G$18,I1654)*10+1,IF(J1654=K1654+2,2000+INDEX(Eingabe!$G$9:$G$18,I1654)*10+2,2000+INDEX(Eingabe!$G$9:$G$18,I1654)*10+9))),""))</f>
        <v/>
      </c>
      <c r="C1654" s="0" t="str">
        <f aca="false">IF(I1654="","",IF(AND(J1654&gt;=1,J1654&lt;=K1654+3),"10."&amp;INDEX(Eingabe!$D$9:$D$18,I1654)&amp;"."&amp;IF(J1654&lt;=K1654,J1654,IF(J1654=K1654+1,200,IF(J1654=K1654+2,201,250)))&amp;".0/24",""))</f>
        <v/>
      </c>
      <c r="D1654" s="0" t="str">
        <f aca="false">IF(I1654="","",IF(AND(J1654&gt;=1,J1654&lt;=K1654+3),"255.255.255.0",""))</f>
        <v/>
      </c>
      <c r="E1654" s="0" t="str">
        <f aca="false">IF(I1654="","",IF(AND(J1654&gt;=1,J1654&lt;=K1654+3),"10."&amp;INDEX(Eingabe!$D$9:$D$18,I1654)&amp;"."&amp;IF(J1654&lt;=K1654,J1654,IF(J1654=K1654+1,200,IF(J1654=K1654+2,201,250)))&amp;".1",""))</f>
        <v/>
      </c>
      <c r="F1654" s="0" t="str">
        <f aca="false">IF(I1654="","",IF(AND(J1654&gt;=1,J1654&lt;=K1654+3),"10."&amp;INDEX(Eingabe!$D$9:$D$18,I1654)&amp;"."&amp;IF(J1654&lt;=K1654,J1654,IF(J1654=K1654+1,200,IF(J1654=K1654+2,201,250)))&amp;".10 – 10."&amp;INDEX(Eingabe!$D$9:$D$18,I1654)&amp;"."&amp;IF(J1654&lt;=K1654,J1654,IF(J1654=K1654+1,200,IF(J1654=K1654+2,201,250)))&amp;".250",""))</f>
        <v/>
      </c>
      <c r="G1654" s="0" t="str">
        <f aca="false">IF(I1654="","",IF(AND(J1654&gt;=1,J1654&lt;=K1654),Eingabe!$B$6&amp;"-"&amp;INDEX(Eingabe!$C$9:$C$18,I1654)&amp;"-Pächter  ·  Passwort Parzelle "&amp;J1654,IF(J1654=K1654+1,Eingabe!$B$6&amp;"-"&amp;INDEX(Eingabe!$C$9:$C$18,I1654)&amp;"-Vorstand  ·  eigenes WLAN",IF(J1654=K1654+2,Eingabe!$B$6&amp;"-"&amp;INDEX(Eingabe!$C$9:$C$18,I1654)&amp;"-Gäste  ·  Voucher",IF(J1654=K1654+3,"Kabel  ·  Access Point y = .(50+y), Mast-Switch x = .(10+x)","")))))</f>
        <v/>
      </c>
      <c r="I1654" s="0" t="str">
        <f aca="false">IF(1649&lt;=(Eingabe!$P$18+Eingabe!$Q$18-1),MATCH(1649,Eingabe!$P$9:$P$18,1),"")</f>
        <v/>
      </c>
      <c r="J1654" s="0" t="str">
        <f aca="false">IF(I1654="","",1649-INDEX(Eingabe!$P$9:$P$18,I1654))</f>
        <v/>
      </c>
      <c r="K1654" s="0" t="str">
        <f aca="false">IF(I1654="","",INDEX(Eingabe!$E$9:$E$18,I1654))</f>
        <v/>
      </c>
    </row>
    <row r="1655" customFormat="false" ht="15" hidden="false" customHeight="false" outlineLevel="0" collapsed="false">
      <c r="A1655" s="0" t="str">
        <f aca="false">IF(I1655="","",IF(J1655=0,"Sparte "&amp;I1655&amp;": "&amp;INDEX(Eingabe!$B$9:$B$18,I1655)&amp;"  (Sparten-ID "&amp;INDEX(Eingabe!$D$9:$D$18,I1655)&amp;", "&amp;K1655&amp;" Parzellen)",IF(J1655&lt;=K1655,"   Parzelle "&amp;J1655,IF(J1655=K1655+1,"   Vorstand",IF(J1655=K1655+2,"   Gäste",IF(J1655=K1655+3,"   Technik (Switches, Access Points)",""))))))</f>
        <v/>
      </c>
      <c r="B1655" s="0" t="str">
        <f aca="false">IF(I1655="","",IF(AND(J1655&gt;=1,J1655&lt;=K1655+3),IF(J1655&lt;=K1655,IF(J1655&lt;=99,IF((INDEX(Eingabe!$G$9:$G$18,I1655))&lt;=9,1000+(INDEX(Eingabe!$G$9:$G$18,I1655))*100,3000)+J1655,IF((INDEX(Eingabe!$G$9:$G$18,I1655)+1)&lt;=9,1000+(INDEX(Eingabe!$G$9:$G$18,I1655)+1)*100,3000)+J1655-100),IF(J1655=K1655+1,2000+INDEX(Eingabe!$G$9:$G$18,I1655)*10+1,IF(J1655=K1655+2,2000+INDEX(Eingabe!$G$9:$G$18,I1655)*10+2,2000+INDEX(Eingabe!$G$9:$G$18,I1655)*10+9))),""))</f>
        <v/>
      </c>
      <c r="C1655" s="0" t="str">
        <f aca="false">IF(I1655="","",IF(AND(J1655&gt;=1,J1655&lt;=K1655+3),"10."&amp;INDEX(Eingabe!$D$9:$D$18,I1655)&amp;"."&amp;IF(J1655&lt;=K1655,J1655,IF(J1655=K1655+1,200,IF(J1655=K1655+2,201,250)))&amp;".0/24",""))</f>
        <v/>
      </c>
      <c r="D1655" s="0" t="str">
        <f aca="false">IF(I1655="","",IF(AND(J1655&gt;=1,J1655&lt;=K1655+3),"255.255.255.0",""))</f>
        <v/>
      </c>
      <c r="E1655" s="0" t="str">
        <f aca="false">IF(I1655="","",IF(AND(J1655&gt;=1,J1655&lt;=K1655+3),"10."&amp;INDEX(Eingabe!$D$9:$D$18,I1655)&amp;"."&amp;IF(J1655&lt;=K1655,J1655,IF(J1655=K1655+1,200,IF(J1655=K1655+2,201,250)))&amp;".1",""))</f>
        <v/>
      </c>
      <c r="F1655" s="0" t="str">
        <f aca="false">IF(I1655="","",IF(AND(J1655&gt;=1,J1655&lt;=K1655+3),"10."&amp;INDEX(Eingabe!$D$9:$D$18,I1655)&amp;"."&amp;IF(J1655&lt;=K1655,J1655,IF(J1655=K1655+1,200,IF(J1655=K1655+2,201,250)))&amp;".10 – 10."&amp;INDEX(Eingabe!$D$9:$D$18,I1655)&amp;"."&amp;IF(J1655&lt;=K1655,J1655,IF(J1655=K1655+1,200,IF(J1655=K1655+2,201,250)))&amp;".250",""))</f>
        <v/>
      </c>
      <c r="G1655" s="0" t="str">
        <f aca="false">IF(I1655="","",IF(AND(J1655&gt;=1,J1655&lt;=K1655),Eingabe!$B$6&amp;"-"&amp;INDEX(Eingabe!$C$9:$C$18,I1655)&amp;"-Pächter  ·  Passwort Parzelle "&amp;J1655,IF(J1655=K1655+1,Eingabe!$B$6&amp;"-"&amp;INDEX(Eingabe!$C$9:$C$18,I1655)&amp;"-Vorstand  ·  eigenes WLAN",IF(J1655=K1655+2,Eingabe!$B$6&amp;"-"&amp;INDEX(Eingabe!$C$9:$C$18,I1655)&amp;"-Gäste  ·  Voucher",IF(J1655=K1655+3,"Kabel  ·  Access Point y = .(50+y), Mast-Switch x = .(10+x)","")))))</f>
        <v/>
      </c>
      <c r="I1655" s="0" t="str">
        <f aca="false">IF(1650&lt;=(Eingabe!$P$18+Eingabe!$Q$18-1),MATCH(1650,Eingabe!$P$9:$P$18,1),"")</f>
        <v/>
      </c>
      <c r="J1655" s="0" t="str">
        <f aca="false">IF(I1655="","",1650-INDEX(Eingabe!$P$9:$P$18,I1655))</f>
        <v/>
      </c>
      <c r="K1655" s="0" t="str">
        <f aca="false">IF(I1655="","",INDEX(Eingabe!$E$9:$E$18,I1655))</f>
        <v/>
      </c>
    </row>
    <row r="1656" customFormat="false" ht="15" hidden="false" customHeight="false" outlineLevel="0" collapsed="false">
      <c r="A1656" s="0" t="str">
        <f aca="false">IF(I1656="","",IF(J1656=0,"Sparte "&amp;I1656&amp;": "&amp;INDEX(Eingabe!$B$9:$B$18,I1656)&amp;"  (Sparten-ID "&amp;INDEX(Eingabe!$D$9:$D$18,I1656)&amp;", "&amp;K1656&amp;" Parzellen)",IF(J1656&lt;=K1656,"   Parzelle "&amp;J1656,IF(J1656=K1656+1,"   Vorstand",IF(J1656=K1656+2,"   Gäste",IF(J1656=K1656+3,"   Technik (Switches, Access Points)",""))))))</f>
        <v/>
      </c>
      <c r="B1656" s="0" t="str">
        <f aca="false">IF(I1656="","",IF(AND(J1656&gt;=1,J1656&lt;=K1656+3),IF(J1656&lt;=K1656,IF(J1656&lt;=99,IF((INDEX(Eingabe!$G$9:$G$18,I1656))&lt;=9,1000+(INDEX(Eingabe!$G$9:$G$18,I1656))*100,3000)+J1656,IF((INDEX(Eingabe!$G$9:$G$18,I1656)+1)&lt;=9,1000+(INDEX(Eingabe!$G$9:$G$18,I1656)+1)*100,3000)+J1656-100),IF(J1656=K1656+1,2000+INDEX(Eingabe!$G$9:$G$18,I1656)*10+1,IF(J1656=K1656+2,2000+INDEX(Eingabe!$G$9:$G$18,I1656)*10+2,2000+INDEX(Eingabe!$G$9:$G$18,I1656)*10+9))),""))</f>
        <v/>
      </c>
      <c r="C1656" s="0" t="str">
        <f aca="false">IF(I1656="","",IF(AND(J1656&gt;=1,J1656&lt;=K1656+3),"10."&amp;INDEX(Eingabe!$D$9:$D$18,I1656)&amp;"."&amp;IF(J1656&lt;=K1656,J1656,IF(J1656=K1656+1,200,IF(J1656=K1656+2,201,250)))&amp;".0/24",""))</f>
        <v/>
      </c>
      <c r="D1656" s="0" t="str">
        <f aca="false">IF(I1656="","",IF(AND(J1656&gt;=1,J1656&lt;=K1656+3),"255.255.255.0",""))</f>
        <v/>
      </c>
      <c r="E1656" s="0" t="str">
        <f aca="false">IF(I1656="","",IF(AND(J1656&gt;=1,J1656&lt;=K1656+3),"10."&amp;INDEX(Eingabe!$D$9:$D$18,I1656)&amp;"."&amp;IF(J1656&lt;=K1656,J1656,IF(J1656=K1656+1,200,IF(J1656=K1656+2,201,250)))&amp;".1",""))</f>
        <v/>
      </c>
      <c r="F1656" s="0" t="str">
        <f aca="false">IF(I1656="","",IF(AND(J1656&gt;=1,J1656&lt;=K1656+3),"10."&amp;INDEX(Eingabe!$D$9:$D$18,I1656)&amp;"."&amp;IF(J1656&lt;=K1656,J1656,IF(J1656=K1656+1,200,IF(J1656=K1656+2,201,250)))&amp;".10 – 10."&amp;INDEX(Eingabe!$D$9:$D$18,I1656)&amp;"."&amp;IF(J1656&lt;=K1656,J1656,IF(J1656=K1656+1,200,IF(J1656=K1656+2,201,250)))&amp;".250",""))</f>
        <v/>
      </c>
      <c r="G1656" s="0" t="str">
        <f aca="false">IF(I1656="","",IF(AND(J1656&gt;=1,J1656&lt;=K1656),Eingabe!$B$6&amp;"-"&amp;INDEX(Eingabe!$C$9:$C$18,I1656)&amp;"-Pächter  ·  Passwort Parzelle "&amp;J1656,IF(J1656=K1656+1,Eingabe!$B$6&amp;"-"&amp;INDEX(Eingabe!$C$9:$C$18,I1656)&amp;"-Vorstand  ·  eigenes WLAN",IF(J1656=K1656+2,Eingabe!$B$6&amp;"-"&amp;INDEX(Eingabe!$C$9:$C$18,I1656)&amp;"-Gäste  ·  Voucher",IF(J1656=K1656+3,"Kabel  ·  Access Point y = .(50+y), Mast-Switch x = .(10+x)","")))))</f>
        <v/>
      </c>
      <c r="I1656" s="0" t="str">
        <f aca="false">IF(1651&lt;=(Eingabe!$P$18+Eingabe!$Q$18-1),MATCH(1651,Eingabe!$P$9:$P$18,1),"")</f>
        <v/>
      </c>
      <c r="J1656" s="0" t="str">
        <f aca="false">IF(I1656="","",1651-INDEX(Eingabe!$P$9:$P$18,I1656))</f>
        <v/>
      </c>
      <c r="K1656" s="0" t="str">
        <f aca="false">IF(I1656="","",INDEX(Eingabe!$E$9:$E$18,I1656))</f>
        <v/>
      </c>
    </row>
    <row r="1657" customFormat="false" ht="15" hidden="false" customHeight="false" outlineLevel="0" collapsed="false">
      <c r="A1657" s="0" t="str">
        <f aca="false">IF(I1657="","",IF(J1657=0,"Sparte "&amp;I1657&amp;": "&amp;INDEX(Eingabe!$B$9:$B$18,I1657)&amp;"  (Sparten-ID "&amp;INDEX(Eingabe!$D$9:$D$18,I1657)&amp;", "&amp;K1657&amp;" Parzellen)",IF(J1657&lt;=K1657,"   Parzelle "&amp;J1657,IF(J1657=K1657+1,"   Vorstand",IF(J1657=K1657+2,"   Gäste",IF(J1657=K1657+3,"   Technik (Switches, Access Points)",""))))))</f>
        <v/>
      </c>
      <c r="B1657" s="0" t="str">
        <f aca="false">IF(I1657="","",IF(AND(J1657&gt;=1,J1657&lt;=K1657+3),IF(J1657&lt;=K1657,IF(J1657&lt;=99,IF((INDEX(Eingabe!$G$9:$G$18,I1657))&lt;=9,1000+(INDEX(Eingabe!$G$9:$G$18,I1657))*100,3000)+J1657,IF((INDEX(Eingabe!$G$9:$G$18,I1657)+1)&lt;=9,1000+(INDEX(Eingabe!$G$9:$G$18,I1657)+1)*100,3000)+J1657-100),IF(J1657=K1657+1,2000+INDEX(Eingabe!$G$9:$G$18,I1657)*10+1,IF(J1657=K1657+2,2000+INDEX(Eingabe!$G$9:$G$18,I1657)*10+2,2000+INDEX(Eingabe!$G$9:$G$18,I1657)*10+9))),""))</f>
        <v/>
      </c>
      <c r="C1657" s="0" t="str">
        <f aca="false">IF(I1657="","",IF(AND(J1657&gt;=1,J1657&lt;=K1657+3),"10."&amp;INDEX(Eingabe!$D$9:$D$18,I1657)&amp;"."&amp;IF(J1657&lt;=K1657,J1657,IF(J1657=K1657+1,200,IF(J1657=K1657+2,201,250)))&amp;".0/24",""))</f>
        <v/>
      </c>
      <c r="D1657" s="0" t="str">
        <f aca="false">IF(I1657="","",IF(AND(J1657&gt;=1,J1657&lt;=K1657+3),"255.255.255.0",""))</f>
        <v/>
      </c>
      <c r="E1657" s="0" t="str">
        <f aca="false">IF(I1657="","",IF(AND(J1657&gt;=1,J1657&lt;=K1657+3),"10."&amp;INDEX(Eingabe!$D$9:$D$18,I1657)&amp;"."&amp;IF(J1657&lt;=K1657,J1657,IF(J1657=K1657+1,200,IF(J1657=K1657+2,201,250)))&amp;".1",""))</f>
        <v/>
      </c>
      <c r="F1657" s="0" t="str">
        <f aca="false">IF(I1657="","",IF(AND(J1657&gt;=1,J1657&lt;=K1657+3),"10."&amp;INDEX(Eingabe!$D$9:$D$18,I1657)&amp;"."&amp;IF(J1657&lt;=K1657,J1657,IF(J1657=K1657+1,200,IF(J1657=K1657+2,201,250)))&amp;".10 – 10."&amp;INDEX(Eingabe!$D$9:$D$18,I1657)&amp;"."&amp;IF(J1657&lt;=K1657,J1657,IF(J1657=K1657+1,200,IF(J1657=K1657+2,201,250)))&amp;".250",""))</f>
        <v/>
      </c>
      <c r="G1657" s="0" t="str">
        <f aca="false">IF(I1657="","",IF(AND(J1657&gt;=1,J1657&lt;=K1657),Eingabe!$B$6&amp;"-"&amp;INDEX(Eingabe!$C$9:$C$18,I1657)&amp;"-Pächter  ·  Passwort Parzelle "&amp;J1657,IF(J1657=K1657+1,Eingabe!$B$6&amp;"-"&amp;INDEX(Eingabe!$C$9:$C$18,I1657)&amp;"-Vorstand  ·  eigenes WLAN",IF(J1657=K1657+2,Eingabe!$B$6&amp;"-"&amp;INDEX(Eingabe!$C$9:$C$18,I1657)&amp;"-Gäste  ·  Voucher",IF(J1657=K1657+3,"Kabel  ·  Access Point y = .(50+y), Mast-Switch x = .(10+x)","")))))</f>
        <v/>
      </c>
      <c r="I1657" s="0" t="str">
        <f aca="false">IF(1652&lt;=(Eingabe!$P$18+Eingabe!$Q$18-1),MATCH(1652,Eingabe!$P$9:$P$18,1),"")</f>
        <v/>
      </c>
      <c r="J1657" s="0" t="str">
        <f aca="false">IF(I1657="","",1652-INDEX(Eingabe!$P$9:$P$18,I1657))</f>
        <v/>
      </c>
      <c r="K1657" s="0" t="str">
        <f aca="false">IF(I1657="","",INDEX(Eingabe!$E$9:$E$18,I1657))</f>
        <v/>
      </c>
    </row>
    <row r="1658" customFormat="false" ht="15" hidden="false" customHeight="false" outlineLevel="0" collapsed="false">
      <c r="A1658" s="0" t="str">
        <f aca="false">IF(I1658="","",IF(J1658=0,"Sparte "&amp;I1658&amp;": "&amp;INDEX(Eingabe!$B$9:$B$18,I1658)&amp;"  (Sparten-ID "&amp;INDEX(Eingabe!$D$9:$D$18,I1658)&amp;", "&amp;K1658&amp;" Parzellen)",IF(J1658&lt;=K1658,"   Parzelle "&amp;J1658,IF(J1658=K1658+1,"   Vorstand",IF(J1658=K1658+2,"   Gäste",IF(J1658=K1658+3,"   Technik (Switches, Access Points)",""))))))</f>
        <v/>
      </c>
      <c r="B1658" s="0" t="str">
        <f aca="false">IF(I1658="","",IF(AND(J1658&gt;=1,J1658&lt;=K1658+3),IF(J1658&lt;=K1658,IF(J1658&lt;=99,IF((INDEX(Eingabe!$G$9:$G$18,I1658))&lt;=9,1000+(INDEX(Eingabe!$G$9:$G$18,I1658))*100,3000)+J1658,IF((INDEX(Eingabe!$G$9:$G$18,I1658)+1)&lt;=9,1000+(INDEX(Eingabe!$G$9:$G$18,I1658)+1)*100,3000)+J1658-100),IF(J1658=K1658+1,2000+INDEX(Eingabe!$G$9:$G$18,I1658)*10+1,IF(J1658=K1658+2,2000+INDEX(Eingabe!$G$9:$G$18,I1658)*10+2,2000+INDEX(Eingabe!$G$9:$G$18,I1658)*10+9))),""))</f>
        <v/>
      </c>
      <c r="C1658" s="0" t="str">
        <f aca="false">IF(I1658="","",IF(AND(J1658&gt;=1,J1658&lt;=K1658+3),"10."&amp;INDEX(Eingabe!$D$9:$D$18,I1658)&amp;"."&amp;IF(J1658&lt;=K1658,J1658,IF(J1658=K1658+1,200,IF(J1658=K1658+2,201,250)))&amp;".0/24",""))</f>
        <v/>
      </c>
      <c r="D1658" s="0" t="str">
        <f aca="false">IF(I1658="","",IF(AND(J1658&gt;=1,J1658&lt;=K1658+3),"255.255.255.0",""))</f>
        <v/>
      </c>
      <c r="E1658" s="0" t="str">
        <f aca="false">IF(I1658="","",IF(AND(J1658&gt;=1,J1658&lt;=K1658+3),"10."&amp;INDEX(Eingabe!$D$9:$D$18,I1658)&amp;"."&amp;IF(J1658&lt;=K1658,J1658,IF(J1658=K1658+1,200,IF(J1658=K1658+2,201,250)))&amp;".1",""))</f>
        <v/>
      </c>
      <c r="F1658" s="0" t="str">
        <f aca="false">IF(I1658="","",IF(AND(J1658&gt;=1,J1658&lt;=K1658+3),"10."&amp;INDEX(Eingabe!$D$9:$D$18,I1658)&amp;"."&amp;IF(J1658&lt;=K1658,J1658,IF(J1658=K1658+1,200,IF(J1658=K1658+2,201,250)))&amp;".10 – 10."&amp;INDEX(Eingabe!$D$9:$D$18,I1658)&amp;"."&amp;IF(J1658&lt;=K1658,J1658,IF(J1658=K1658+1,200,IF(J1658=K1658+2,201,250)))&amp;".250",""))</f>
        <v/>
      </c>
      <c r="G1658" s="0" t="str">
        <f aca="false">IF(I1658="","",IF(AND(J1658&gt;=1,J1658&lt;=K1658),Eingabe!$B$6&amp;"-"&amp;INDEX(Eingabe!$C$9:$C$18,I1658)&amp;"-Pächter  ·  Passwort Parzelle "&amp;J1658,IF(J1658=K1658+1,Eingabe!$B$6&amp;"-"&amp;INDEX(Eingabe!$C$9:$C$18,I1658)&amp;"-Vorstand  ·  eigenes WLAN",IF(J1658=K1658+2,Eingabe!$B$6&amp;"-"&amp;INDEX(Eingabe!$C$9:$C$18,I1658)&amp;"-Gäste  ·  Voucher",IF(J1658=K1658+3,"Kabel  ·  Access Point y = .(50+y), Mast-Switch x = .(10+x)","")))))</f>
        <v/>
      </c>
      <c r="I1658" s="0" t="str">
        <f aca="false">IF(1653&lt;=(Eingabe!$P$18+Eingabe!$Q$18-1),MATCH(1653,Eingabe!$P$9:$P$18,1),"")</f>
        <v/>
      </c>
      <c r="J1658" s="0" t="str">
        <f aca="false">IF(I1658="","",1653-INDEX(Eingabe!$P$9:$P$18,I1658))</f>
        <v/>
      </c>
      <c r="K1658" s="0" t="str">
        <f aca="false">IF(I1658="","",INDEX(Eingabe!$E$9:$E$18,I1658))</f>
        <v/>
      </c>
    </row>
    <row r="1659" customFormat="false" ht="15" hidden="false" customHeight="false" outlineLevel="0" collapsed="false">
      <c r="A1659" s="0" t="str">
        <f aca="false">IF(I1659="","",IF(J1659=0,"Sparte "&amp;I1659&amp;": "&amp;INDEX(Eingabe!$B$9:$B$18,I1659)&amp;"  (Sparten-ID "&amp;INDEX(Eingabe!$D$9:$D$18,I1659)&amp;", "&amp;K1659&amp;" Parzellen)",IF(J1659&lt;=K1659,"   Parzelle "&amp;J1659,IF(J1659=K1659+1,"   Vorstand",IF(J1659=K1659+2,"   Gäste",IF(J1659=K1659+3,"   Technik (Switches, Access Points)",""))))))</f>
        <v/>
      </c>
      <c r="B1659" s="0" t="str">
        <f aca="false">IF(I1659="","",IF(AND(J1659&gt;=1,J1659&lt;=K1659+3),IF(J1659&lt;=K1659,IF(J1659&lt;=99,IF((INDEX(Eingabe!$G$9:$G$18,I1659))&lt;=9,1000+(INDEX(Eingabe!$G$9:$G$18,I1659))*100,3000)+J1659,IF((INDEX(Eingabe!$G$9:$G$18,I1659)+1)&lt;=9,1000+(INDEX(Eingabe!$G$9:$G$18,I1659)+1)*100,3000)+J1659-100),IF(J1659=K1659+1,2000+INDEX(Eingabe!$G$9:$G$18,I1659)*10+1,IF(J1659=K1659+2,2000+INDEX(Eingabe!$G$9:$G$18,I1659)*10+2,2000+INDEX(Eingabe!$G$9:$G$18,I1659)*10+9))),""))</f>
        <v/>
      </c>
      <c r="C1659" s="0" t="str">
        <f aca="false">IF(I1659="","",IF(AND(J1659&gt;=1,J1659&lt;=K1659+3),"10."&amp;INDEX(Eingabe!$D$9:$D$18,I1659)&amp;"."&amp;IF(J1659&lt;=K1659,J1659,IF(J1659=K1659+1,200,IF(J1659=K1659+2,201,250)))&amp;".0/24",""))</f>
        <v/>
      </c>
      <c r="D1659" s="0" t="str">
        <f aca="false">IF(I1659="","",IF(AND(J1659&gt;=1,J1659&lt;=K1659+3),"255.255.255.0",""))</f>
        <v/>
      </c>
      <c r="E1659" s="0" t="str">
        <f aca="false">IF(I1659="","",IF(AND(J1659&gt;=1,J1659&lt;=K1659+3),"10."&amp;INDEX(Eingabe!$D$9:$D$18,I1659)&amp;"."&amp;IF(J1659&lt;=K1659,J1659,IF(J1659=K1659+1,200,IF(J1659=K1659+2,201,250)))&amp;".1",""))</f>
        <v/>
      </c>
      <c r="F1659" s="0" t="str">
        <f aca="false">IF(I1659="","",IF(AND(J1659&gt;=1,J1659&lt;=K1659+3),"10."&amp;INDEX(Eingabe!$D$9:$D$18,I1659)&amp;"."&amp;IF(J1659&lt;=K1659,J1659,IF(J1659=K1659+1,200,IF(J1659=K1659+2,201,250)))&amp;".10 – 10."&amp;INDEX(Eingabe!$D$9:$D$18,I1659)&amp;"."&amp;IF(J1659&lt;=K1659,J1659,IF(J1659=K1659+1,200,IF(J1659=K1659+2,201,250)))&amp;".250",""))</f>
        <v/>
      </c>
      <c r="G1659" s="0" t="str">
        <f aca="false">IF(I1659="","",IF(AND(J1659&gt;=1,J1659&lt;=K1659),Eingabe!$B$6&amp;"-"&amp;INDEX(Eingabe!$C$9:$C$18,I1659)&amp;"-Pächter  ·  Passwort Parzelle "&amp;J1659,IF(J1659=K1659+1,Eingabe!$B$6&amp;"-"&amp;INDEX(Eingabe!$C$9:$C$18,I1659)&amp;"-Vorstand  ·  eigenes WLAN",IF(J1659=K1659+2,Eingabe!$B$6&amp;"-"&amp;INDEX(Eingabe!$C$9:$C$18,I1659)&amp;"-Gäste  ·  Voucher",IF(J1659=K1659+3,"Kabel  ·  Access Point y = .(50+y), Mast-Switch x = .(10+x)","")))))</f>
        <v/>
      </c>
      <c r="I1659" s="0" t="str">
        <f aca="false">IF(1654&lt;=(Eingabe!$P$18+Eingabe!$Q$18-1),MATCH(1654,Eingabe!$P$9:$P$18,1),"")</f>
        <v/>
      </c>
      <c r="J1659" s="0" t="str">
        <f aca="false">IF(I1659="","",1654-INDEX(Eingabe!$P$9:$P$18,I1659))</f>
        <v/>
      </c>
      <c r="K1659" s="0" t="str">
        <f aca="false">IF(I1659="","",INDEX(Eingabe!$E$9:$E$18,I1659))</f>
        <v/>
      </c>
    </row>
    <row r="1660" customFormat="false" ht="15" hidden="false" customHeight="false" outlineLevel="0" collapsed="false">
      <c r="A1660" s="0" t="str">
        <f aca="false">IF(I1660="","",IF(J1660=0,"Sparte "&amp;I1660&amp;": "&amp;INDEX(Eingabe!$B$9:$B$18,I1660)&amp;"  (Sparten-ID "&amp;INDEX(Eingabe!$D$9:$D$18,I1660)&amp;", "&amp;K1660&amp;" Parzellen)",IF(J1660&lt;=K1660,"   Parzelle "&amp;J1660,IF(J1660=K1660+1,"   Vorstand",IF(J1660=K1660+2,"   Gäste",IF(J1660=K1660+3,"   Technik (Switches, Access Points)",""))))))</f>
        <v/>
      </c>
      <c r="B1660" s="0" t="str">
        <f aca="false">IF(I1660="","",IF(AND(J1660&gt;=1,J1660&lt;=K1660+3),IF(J1660&lt;=K1660,IF(J1660&lt;=99,IF((INDEX(Eingabe!$G$9:$G$18,I1660))&lt;=9,1000+(INDEX(Eingabe!$G$9:$G$18,I1660))*100,3000)+J1660,IF((INDEX(Eingabe!$G$9:$G$18,I1660)+1)&lt;=9,1000+(INDEX(Eingabe!$G$9:$G$18,I1660)+1)*100,3000)+J1660-100),IF(J1660=K1660+1,2000+INDEX(Eingabe!$G$9:$G$18,I1660)*10+1,IF(J1660=K1660+2,2000+INDEX(Eingabe!$G$9:$G$18,I1660)*10+2,2000+INDEX(Eingabe!$G$9:$G$18,I1660)*10+9))),""))</f>
        <v/>
      </c>
      <c r="C1660" s="0" t="str">
        <f aca="false">IF(I1660="","",IF(AND(J1660&gt;=1,J1660&lt;=K1660+3),"10."&amp;INDEX(Eingabe!$D$9:$D$18,I1660)&amp;"."&amp;IF(J1660&lt;=K1660,J1660,IF(J1660=K1660+1,200,IF(J1660=K1660+2,201,250)))&amp;".0/24",""))</f>
        <v/>
      </c>
      <c r="D1660" s="0" t="str">
        <f aca="false">IF(I1660="","",IF(AND(J1660&gt;=1,J1660&lt;=K1660+3),"255.255.255.0",""))</f>
        <v/>
      </c>
      <c r="E1660" s="0" t="str">
        <f aca="false">IF(I1660="","",IF(AND(J1660&gt;=1,J1660&lt;=K1660+3),"10."&amp;INDEX(Eingabe!$D$9:$D$18,I1660)&amp;"."&amp;IF(J1660&lt;=K1660,J1660,IF(J1660=K1660+1,200,IF(J1660=K1660+2,201,250)))&amp;".1",""))</f>
        <v/>
      </c>
      <c r="F1660" s="0" t="str">
        <f aca="false">IF(I1660="","",IF(AND(J1660&gt;=1,J1660&lt;=K1660+3),"10."&amp;INDEX(Eingabe!$D$9:$D$18,I1660)&amp;"."&amp;IF(J1660&lt;=K1660,J1660,IF(J1660=K1660+1,200,IF(J1660=K1660+2,201,250)))&amp;".10 – 10."&amp;INDEX(Eingabe!$D$9:$D$18,I1660)&amp;"."&amp;IF(J1660&lt;=K1660,J1660,IF(J1660=K1660+1,200,IF(J1660=K1660+2,201,250)))&amp;".250",""))</f>
        <v/>
      </c>
      <c r="G1660" s="0" t="str">
        <f aca="false">IF(I1660="","",IF(AND(J1660&gt;=1,J1660&lt;=K1660),Eingabe!$B$6&amp;"-"&amp;INDEX(Eingabe!$C$9:$C$18,I1660)&amp;"-Pächter  ·  Passwort Parzelle "&amp;J1660,IF(J1660=K1660+1,Eingabe!$B$6&amp;"-"&amp;INDEX(Eingabe!$C$9:$C$18,I1660)&amp;"-Vorstand  ·  eigenes WLAN",IF(J1660=K1660+2,Eingabe!$B$6&amp;"-"&amp;INDEX(Eingabe!$C$9:$C$18,I1660)&amp;"-Gäste  ·  Voucher",IF(J1660=K1660+3,"Kabel  ·  Access Point y = .(50+y), Mast-Switch x = .(10+x)","")))))</f>
        <v/>
      </c>
      <c r="I1660" s="0" t="str">
        <f aca="false">IF(1655&lt;=(Eingabe!$P$18+Eingabe!$Q$18-1),MATCH(1655,Eingabe!$P$9:$P$18,1),"")</f>
        <v/>
      </c>
      <c r="J1660" s="0" t="str">
        <f aca="false">IF(I1660="","",1655-INDEX(Eingabe!$P$9:$P$18,I1660))</f>
        <v/>
      </c>
      <c r="K1660" s="0" t="str">
        <f aca="false">IF(I1660="","",INDEX(Eingabe!$E$9:$E$18,I1660))</f>
        <v/>
      </c>
    </row>
    <row r="1661" customFormat="false" ht="15" hidden="false" customHeight="false" outlineLevel="0" collapsed="false">
      <c r="A1661" s="0" t="str">
        <f aca="false">IF(I1661="","",IF(J1661=0,"Sparte "&amp;I1661&amp;": "&amp;INDEX(Eingabe!$B$9:$B$18,I1661)&amp;"  (Sparten-ID "&amp;INDEX(Eingabe!$D$9:$D$18,I1661)&amp;", "&amp;K1661&amp;" Parzellen)",IF(J1661&lt;=K1661,"   Parzelle "&amp;J1661,IF(J1661=K1661+1,"   Vorstand",IF(J1661=K1661+2,"   Gäste",IF(J1661=K1661+3,"   Technik (Switches, Access Points)",""))))))</f>
        <v/>
      </c>
      <c r="B1661" s="0" t="str">
        <f aca="false">IF(I1661="","",IF(AND(J1661&gt;=1,J1661&lt;=K1661+3),IF(J1661&lt;=K1661,IF(J1661&lt;=99,IF((INDEX(Eingabe!$G$9:$G$18,I1661))&lt;=9,1000+(INDEX(Eingabe!$G$9:$G$18,I1661))*100,3000)+J1661,IF((INDEX(Eingabe!$G$9:$G$18,I1661)+1)&lt;=9,1000+(INDEX(Eingabe!$G$9:$G$18,I1661)+1)*100,3000)+J1661-100),IF(J1661=K1661+1,2000+INDEX(Eingabe!$G$9:$G$18,I1661)*10+1,IF(J1661=K1661+2,2000+INDEX(Eingabe!$G$9:$G$18,I1661)*10+2,2000+INDEX(Eingabe!$G$9:$G$18,I1661)*10+9))),""))</f>
        <v/>
      </c>
      <c r="C1661" s="0" t="str">
        <f aca="false">IF(I1661="","",IF(AND(J1661&gt;=1,J1661&lt;=K1661+3),"10."&amp;INDEX(Eingabe!$D$9:$D$18,I1661)&amp;"."&amp;IF(J1661&lt;=K1661,J1661,IF(J1661=K1661+1,200,IF(J1661=K1661+2,201,250)))&amp;".0/24",""))</f>
        <v/>
      </c>
      <c r="D1661" s="0" t="str">
        <f aca="false">IF(I1661="","",IF(AND(J1661&gt;=1,J1661&lt;=K1661+3),"255.255.255.0",""))</f>
        <v/>
      </c>
      <c r="E1661" s="0" t="str">
        <f aca="false">IF(I1661="","",IF(AND(J1661&gt;=1,J1661&lt;=K1661+3),"10."&amp;INDEX(Eingabe!$D$9:$D$18,I1661)&amp;"."&amp;IF(J1661&lt;=K1661,J1661,IF(J1661=K1661+1,200,IF(J1661=K1661+2,201,250)))&amp;".1",""))</f>
        <v/>
      </c>
      <c r="F1661" s="0" t="str">
        <f aca="false">IF(I1661="","",IF(AND(J1661&gt;=1,J1661&lt;=K1661+3),"10."&amp;INDEX(Eingabe!$D$9:$D$18,I1661)&amp;"."&amp;IF(J1661&lt;=K1661,J1661,IF(J1661=K1661+1,200,IF(J1661=K1661+2,201,250)))&amp;".10 – 10."&amp;INDEX(Eingabe!$D$9:$D$18,I1661)&amp;"."&amp;IF(J1661&lt;=K1661,J1661,IF(J1661=K1661+1,200,IF(J1661=K1661+2,201,250)))&amp;".250",""))</f>
        <v/>
      </c>
      <c r="G1661" s="0" t="str">
        <f aca="false">IF(I1661="","",IF(AND(J1661&gt;=1,J1661&lt;=K1661),Eingabe!$B$6&amp;"-"&amp;INDEX(Eingabe!$C$9:$C$18,I1661)&amp;"-Pächter  ·  Passwort Parzelle "&amp;J1661,IF(J1661=K1661+1,Eingabe!$B$6&amp;"-"&amp;INDEX(Eingabe!$C$9:$C$18,I1661)&amp;"-Vorstand  ·  eigenes WLAN",IF(J1661=K1661+2,Eingabe!$B$6&amp;"-"&amp;INDEX(Eingabe!$C$9:$C$18,I1661)&amp;"-Gäste  ·  Voucher",IF(J1661=K1661+3,"Kabel  ·  Access Point y = .(50+y), Mast-Switch x = .(10+x)","")))))</f>
        <v/>
      </c>
      <c r="I1661" s="0" t="str">
        <f aca="false">IF(1656&lt;=(Eingabe!$P$18+Eingabe!$Q$18-1),MATCH(1656,Eingabe!$P$9:$P$18,1),"")</f>
        <v/>
      </c>
      <c r="J1661" s="0" t="str">
        <f aca="false">IF(I1661="","",1656-INDEX(Eingabe!$P$9:$P$18,I1661))</f>
        <v/>
      </c>
      <c r="K1661" s="0" t="str">
        <f aca="false">IF(I1661="","",INDEX(Eingabe!$E$9:$E$18,I1661))</f>
        <v/>
      </c>
    </row>
    <row r="1662" customFormat="false" ht="15" hidden="false" customHeight="false" outlineLevel="0" collapsed="false">
      <c r="A1662" s="0" t="str">
        <f aca="false">IF(I1662="","",IF(J1662=0,"Sparte "&amp;I1662&amp;": "&amp;INDEX(Eingabe!$B$9:$B$18,I1662)&amp;"  (Sparten-ID "&amp;INDEX(Eingabe!$D$9:$D$18,I1662)&amp;", "&amp;K1662&amp;" Parzellen)",IF(J1662&lt;=K1662,"   Parzelle "&amp;J1662,IF(J1662=K1662+1,"   Vorstand",IF(J1662=K1662+2,"   Gäste",IF(J1662=K1662+3,"   Technik (Switches, Access Points)",""))))))</f>
        <v/>
      </c>
      <c r="B1662" s="0" t="str">
        <f aca="false">IF(I1662="","",IF(AND(J1662&gt;=1,J1662&lt;=K1662+3),IF(J1662&lt;=K1662,IF(J1662&lt;=99,IF((INDEX(Eingabe!$G$9:$G$18,I1662))&lt;=9,1000+(INDEX(Eingabe!$G$9:$G$18,I1662))*100,3000)+J1662,IF((INDEX(Eingabe!$G$9:$G$18,I1662)+1)&lt;=9,1000+(INDEX(Eingabe!$G$9:$G$18,I1662)+1)*100,3000)+J1662-100),IF(J1662=K1662+1,2000+INDEX(Eingabe!$G$9:$G$18,I1662)*10+1,IF(J1662=K1662+2,2000+INDEX(Eingabe!$G$9:$G$18,I1662)*10+2,2000+INDEX(Eingabe!$G$9:$G$18,I1662)*10+9))),""))</f>
        <v/>
      </c>
      <c r="C1662" s="0" t="str">
        <f aca="false">IF(I1662="","",IF(AND(J1662&gt;=1,J1662&lt;=K1662+3),"10."&amp;INDEX(Eingabe!$D$9:$D$18,I1662)&amp;"."&amp;IF(J1662&lt;=K1662,J1662,IF(J1662=K1662+1,200,IF(J1662=K1662+2,201,250)))&amp;".0/24",""))</f>
        <v/>
      </c>
      <c r="D1662" s="0" t="str">
        <f aca="false">IF(I1662="","",IF(AND(J1662&gt;=1,J1662&lt;=K1662+3),"255.255.255.0",""))</f>
        <v/>
      </c>
      <c r="E1662" s="0" t="str">
        <f aca="false">IF(I1662="","",IF(AND(J1662&gt;=1,J1662&lt;=K1662+3),"10."&amp;INDEX(Eingabe!$D$9:$D$18,I1662)&amp;"."&amp;IF(J1662&lt;=K1662,J1662,IF(J1662=K1662+1,200,IF(J1662=K1662+2,201,250)))&amp;".1",""))</f>
        <v/>
      </c>
      <c r="F1662" s="0" t="str">
        <f aca="false">IF(I1662="","",IF(AND(J1662&gt;=1,J1662&lt;=K1662+3),"10."&amp;INDEX(Eingabe!$D$9:$D$18,I1662)&amp;"."&amp;IF(J1662&lt;=K1662,J1662,IF(J1662=K1662+1,200,IF(J1662=K1662+2,201,250)))&amp;".10 – 10."&amp;INDEX(Eingabe!$D$9:$D$18,I1662)&amp;"."&amp;IF(J1662&lt;=K1662,J1662,IF(J1662=K1662+1,200,IF(J1662=K1662+2,201,250)))&amp;".250",""))</f>
        <v/>
      </c>
      <c r="G1662" s="0" t="str">
        <f aca="false">IF(I1662="","",IF(AND(J1662&gt;=1,J1662&lt;=K1662),Eingabe!$B$6&amp;"-"&amp;INDEX(Eingabe!$C$9:$C$18,I1662)&amp;"-Pächter  ·  Passwort Parzelle "&amp;J1662,IF(J1662=K1662+1,Eingabe!$B$6&amp;"-"&amp;INDEX(Eingabe!$C$9:$C$18,I1662)&amp;"-Vorstand  ·  eigenes WLAN",IF(J1662=K1662+2,Eingabe!$B$6&amp;"-"&amp;INDEX(Eingabe!$C$9:$C$18,I1662)&amp;"-Gäste  ·  Voucher",IF(J1662=K1662+3,"Kabel  ·  Access Point y = .(50+y), Mast-Switch x = .(10+x)","")))))</f>
        <v/>
      </c>
      <c r="I1662" s="0" t="str">
        <f aca="false">IF(1657&lt;=(Eingabe!$P$18+Eingabe!$Q$18-1),MATCH(1657,Eingabe!$P$9:$P$18,1),"")</f>
        <v/>
      </c>
      <c r="J1662" s="0" t="str">
        <f aca="false">IF(I1662="","",1657-INDEX(Eingabe!$P$9:$P$18,I1662))</f>
        <v/>
      </c>
      <c r="K1662" s="0" t="str">
        <f aca="false">IF(I1662="","",INDEX(Eingabe!$E$9:$E$18,I1662))</f>
        <v/>
      </c>
    </row>
    <row r="1663" customFormat="false" ht="15" hidden="false" customHeight="false" outlineLevel="0" collapsed="false">
      <c r="A1663" s="0" t="str">
        <f aca="false">IF(I1663="","",IF(J1663=0,"Sparte "&amp;I1663&amp;": "&amp;INDEX(Eingabe!$B$9:$B$18,I1663)&amp;"  (Sparten-ID "&amp;INDEX(Eingabe!$D$9:$D$18,I1663)&amp;", "&amp;K1663&amp;" Parzellen)",IF(J1663&lt;=K1663,"   Parzelle "&amp;J1663,IF(J1663=K1663+1,"   Vorstand",IF(J1663=K1663+2,"   Gäste",IF(J1663=K1663+3,"   Technik (Switches, Access Points)",""))))))</f>
        <v/>
      </c>
      <c r="B1663" s="0" t="str">
        <f aca="false">IF(I1663="","",IF(AND(J1663&gt;=1,J1663&lt;=K1663+3),IF(J1663&lt;=K1663,IF(J1663&lt;=99,IF((INDEX(Eingabe!$G$9:$G$18,I1663))&lt;=9,1000+(INDEX(Eingabe!$G$9:$G$18,I1663))*100,3000)+J1663,IF((INDEX(Eingabe!$G$9:$G$18,I1663)+1)&lt;=9,1000+(INDEX(Eingabe!$G$9:$G$18,I1663)+1)*100,3000)+J1663-100),IF(J1663=K1663+1,2000+INDEX(Eingabe!$G$9:$G$18,I1663)*10+1,IF(J1663=K1663+2,2000+INDEX(Eingabe!$G$9:$G$18,I1663)*10+2,2000+INDEX(Eingabe!$G$9:$G$18,I1663)*10+9))),""))</f>
        <v/>
      </c>
      <c r="C1663" s="0" t="str">
        <f aca="false">IF(I1663="","",IF(AND(J1663&gt;=1,J1663&lt;=K1663+3),"10."&amp;INDEX(Eingabe!$D$9:$D$18,I1663)&amp;"."&amp;IF(J1663&lt;=K1663,J1663,IF(J1663=K1663+1,200,IF(J1663=K1663+2,201,250)))&amp;".0/24",""))</f>
        <v/>
      </c>
      <c r="D1663" s="0" t="str">
        <f aca="false">IF(I1663="","",IF(AND(J1663&gt;=1,J1663&lt;=K1663+3),"255.255.255.0",""))</f>
        <v/>
      </c>
      <c r="E1663" s="0" t="str">
        <f aca="false">IF(I1663="","",IF(AND(J1663&gt;=1,J1663&lt;=K1663+3),"10."&amp;INDEX(Eingabe!$D$9:$D$18,I1663)&amp;"."&amp;IF(J1663&lt;=K1663,J1663,IF(J1663=K1663+1,200,IF(J1663=K1663+2,201,250)))&amp;".1",""))</f>
        <v/>
      </c>
      <c r="F1663" s="0" t="str">
        <f aca="false">IF(I1663="","",IF(AND(J1663&gt;=1,J1663&lt;=K1663+3),"10."&amp;INDEX(Eingabe!$D$9:$D$18,I1663)&amp;"."&amp;IF(J1663&lt;=K1663,J1663,IF(J1663=K1663+1,200,IF(J1663=K1663+2,201,250)))&amp;".10 – 10."&amp;INDEX(Eingabe!$D$9:$D$18,I1663)&amp;"."&amp;IF(J1663&lt;=K1663,J1663,IF(J1663=K1663+1,200,IF(J1663=K1663+2,201,250)))&amp;".250",""))</f>
        <v/>
      </c>
      <c r="G1663" s="0" t="str">
        <f aca="false">IF(I1663="","",IF(AND(J1663&gt;=1,J1663&lt;=K1663),Eingabe!$B$6&amp;"-"&amp;INDEX(Eingabe!$C$9:$C$18,I1663)&amp;"-Pächter  ·  Passwort Parzelle "&amp;J1663,IF(J1663=K1663+1,Eingabe!$B$6&amp;"-"&amp;INDEX(Eingabe!$C$9:$C$18,I1663)&amp;"-Vorstand  ·  eigenes WLAN",IF(J1663=K1663+2,Eingabe!$B$6&amp;"-"&amp;INDEX(Eingabe!$C$9:$C$18,I1663)&amp;"-Gäste  ·  Voucher",IF(J1663=K1663+3,"Kabel  ·  Access Point y = .(50+y), Mast-Switch x = .(10+x)","")))))</f>
        <v/>
      </c>
      <c r="I1663" s="0" t="str">
        <f aca="false">IF(1658&lt;=(Eingabe!$P$18+Eingabe!$Q$18-1),MATCH(1658,Eingabe!$P$9:$P$18,1),"")</f>
        <v/>
      </c>
      <c r="J1663" s="0" t="str">
        <f aca="false">IF(I1663="","",1658-INDEX(Eingabe!$P$9:$P$18,I1663))</f>
        <v/>
      </c>
      <c r="K1663" s="0" t="str">
        <f aca="false">IF(I1663="","",INDEX(Eingabe!$E$9:$E$18,I1663))</f>
        <v/>
      </c>
    </row>
    <row r="1664" customFormat="false" ht="15" hidden="false" customHeight="false" outlineLevel="0" collapsed="false">
      <c r="A1664" s="0" t="str">
        <f aca="false">IF(I1664="","",IF(J1664=0,"Sparte "&amp;I1664&amp;": "&amp;INDEX(Eingabe!$B$9:$B$18,I1664)&amp;"  (Sparten-ID "&amp;INDEX(Eingabe!$D$9:$D$18,I1664)&amp;", "&amp;K1664&amp;" Parzellen)",IF(J1664&lt;=K1664,"   Parzelle "&amp;J1664,IF(J1664=K1664+1,"   Vorstand",IF(J1664=K1664+2,"   Gäste",IF(J1664=K1664+3,"   Technik (Switches, Access Points)",""))))))</f>
        <v/>
      </c>
      <c r="B1664" s="0" t="str">
        <f aca="false">IF(I1664="","",IF(AND(J1664&gt;=1,J1664&lt;=K1664+3),IF(J1664&lt;=K1664,IF(J1664&lt;=99,IF((INDEX(Eingabe!$G$9:$G$18,I1664))&lt;=9,1000+(INDEX(Eingabe!$G$9:$G$18,I1664))*100,3000)+J1664,IF((INDEX(Eingabe!$G$9:$G$18,I1664)+1)&lt;=9,1000+(INDEX(Eingabe!$G$9:$G$18,I1664)+1)*100,3000)+J1664-100),IF(J1664=K1664+1,2000+INDEX(Eingabe!$G$9:$G$18,I1664)*10+1,IF(J1664=K1664+2,2000+INDEX(Eingabe!$G$9:$G$18,I1664)*10+2,2000+INDEX(Eingabe!$G$9:$G$18,I1664)*10+9))),""))</f>
        <v/>
      </c>
      <c r="C1664" s="0" t="str">
        <f aca="false">IF(I1664="","",IF(AND(J1664&gt;=1,J1664&lt;=K1664+3),"10."&amp;INDEX(Eingabe!$D$9:$D$18,I1664)&amp;"."&amp;IF(J1664&lt;=K1664,J1664,IF(J1664=K1664+1,200,IF(J1664=K1664+2,201,250)))&amp;".0/24",""))</f>
        <v/>
      </c>
      <c r="D1664" s="0" t="str">
        <f aca="false">IF(I1664="","",IF(AND(J1664&gt;=1,J1664&lt;=K1664+3),"255.255.255.0",""))</f>
        <v/>
      </c>
      <c r="E1664" s="0" t="str">
        <f aca="false">IF(I1664="","",IF(AND(J1664&gt;=1,J1664&lt;=K1664+3),"10."&amp;INDEX(Eingabe!$D$9:$D$18,I1664)&amp;"."&amp;IF(J1664&lt;=K1664,J1664,IF(J1664=K1664+1,200,IF(J1664=K1664+2,201,250)))&amp;".1",""))</f>
        <v/>
      </c>
      <c r="F1664" s="0" t="str">
        <f aca="false">IF(I1664="","",IF(AND(J1664&gt;=1,J1664&lt;=K1664+3),"10."&amp;INDEX(Eingabe!$D$9:$D$18,I1664)&amp;"."&amp;IF(J1664&lt;=K1664,J1664,IF(J1664=K1664+1,200,IF(J1664=K1664+2,201,250)))&amp;".10 – 10."&amp;INDEX(Eingabe!$D$9:$D$18,I1664)&amp;"."&amp;IF(J1664&lt;=K1664,J1664,IF(J1664=K1664+1,200,IF(J1664=K1664+2,201,250)))&amp;".250",""))</f>
        <v/>
      </c>
      <c r="G1664" s="0" t="str">
        <f aca="false">IF(I1664="","",IF(AND(J1664&gt;=1,J1664&lt;=K1664),Eingabe!$B$6&amp;"-"&amp;INDEX(Eingabe!$C$9:$C$18,I1664)&amp;"-Pächter  ·  Passwort Parzelle "&amp;J1664,IF(J1664=K1664+1,Eingabe!$B$6&amp;"-"&amp;INDEX(Eingabe!$C$9:$C$18,I1664)&amp;"-Vorstand  ·  eigenes WLAN",IF(J1664=K1664+2,Eingabe!$B$6&amp;"-"&amp;INDEX(Eingabe!$C$9:$C$18,I1664)&amp;"-Gäste  ·  Voucher",IF(J1664=K1664+3,"Kabel  ·  Access Point y = .(50+y), Mast-Switch x = .(10+x)","")))))</f>
        <v/>
      </c>
      <c r="I1664" s="0" t="str">
        <f aca="false">IF(1659&lt;=(Eingabe!$P$18+Eingabe!$Q$18-1),MATCH(1659,Eingabe!$P$9:$P$18,1),"")</f>
        <v/>
      </c>
      <c r="J1664" s="0" t="str">
        <f aca="false">IF(I1664="","",1659-INDEX(Eingabe!$P$9:$P$18,I1664))</f>
        <v/>
      </c>
      <c r="K1664" s="0" t="str">
        <f aca="false">IF(I1664="","",INDEX(Eingabe!$E$9:$E$18,I1664))</f>
        <v/>
      </c>
    </row>
    <row r="1665" customFormat="false" ht="15" hidden="false" customHeight="false" outlineLevel="0" collapsed="false">
      <c r="A1665" s="0" t="str">
        <f aca="false">IF(I1665="","",IF(J1665=0,"Sparte "&amp;I1665&amp;": "&amp;INDEX(Eingabe!$B$9:$B$18,I1665)&amp;"  (Sparten-ID "&amp;INDEX(Eingabe!$D$9:$D$18,I1665)&amp;", "&amp;K1665&amp;" Parzellen)",IF(J1665&lt;=K1665,"   Parzelle "&amp;J1665,IF(J1665=K1665+1,"   Vorstand",IF(J1665=K1665+2,"   Gäste",IF(J1665=K1665+3,"   Technik (Switches, Access Points)",""))))))</f>
        <v/>
      </c>
      <c r="B1665" s="0" t="str">
        <f aca="false">IF(I1665="","",IF(AND(J1665&gt;=1,J1665&lt;=K1665+3),IF(J1665&lt;=K1665,IF(J1665&lt;=99,IF((INDEX(Eingabe!$G$9:$G$18,I1665))&lt;=9,1000+(INDEX(Eingabe!$G$9:$G$18,I1665))*100,3000)+J1665,IF((INDEX(Eingabe!$G$9:$G$18,I1665)+1)&lt;=9,1000+(INDEX(Eingabe!$G$9:$G$18,I1665)+1)*100,3000)+J1665-100),IF(J1665=K1665+1,2000+INDEX(Eingabe!$G$9:$G$18,I1665)*10+1,IF(J1665=K1665+2,2000+INDEX(Eingabe!$G$9:$G$18,I1665)*10+2,2000+INDEX(Eingabe!$G$9:$G$18,I1665)*10+9))),""))</f>
        <v/>
      </c>
      <c r="C1665" s="0" t="str">
        <f aca="false">IF(I1665="","",IF(AND(J1665&gt;=1,J1665&lt;=K1665+3),"10."&amp;INDEX(Eingabe!$D$9:$D$18,I1665)&amp;"."&amp;IF(J1665&lt;=K1665,J1665,IF(J1665=K1665+1,200,IF(J1665=K1665+2,201,250)))&amp;".0/24",""))</f>
        <v/>
      </c>
      <c r="D1665" s="0" t="str">
        <f aca="false">IF(I1665="","",IF(AND(J1665&gt;=1,J1665&lt;=K1665+3),"255.255.255.0",""))</f>
        <v/>
      </c>
      <c r="E1665" s="0" t="str">
        <f aca="false">IF(I1665="","",IF(AND(J1665&gt;=1,J1665&lt;=K1665+3),"10."&amp;INDEX(Eingabe!$D$9:$D$18,I1665)&amp;"."&amp;IF(J1665&lt;=K1665,J1665,IF(J1665=K1665+1,200,IF(J1665=K1665+2,201,250)))&amp;".1",""))</f>
        <v/>
      </c>
      <c r="F1665" s="0" t="str">
        <f aca="false">IF(I1665="","",IF(AND(J1665&gt;=1,J1665&lt;=K1665+3),"10."&amp;INDEX(Eingabe!$D$9:$D$18,I1665)&amp;"."&amp;IF(J1665&lt;=K1665,J1665,IF(J1665=K1665+1,200,IF(J1665=K1665+2,201,250)))&amp;".10 – 10."&amp;INDEX(Eingabe!$D$9:$D$18,I1665)&amp;"."&amp;IF(J1665&lt;=K1665,J1665,IF(J1665=K1665+1,200,IF(J1665=K1665+2,201,250)))&amp;".250",""))</f>
        <v/>
      </c>
      <c r="G1665" s="0" t="str">
        <f aca="false">IF(I1665="","",IF(AND(J1665&gt;=1,J1665&lt;=K1665),Eingabe!$B$6&amp;"-"&amp;INDEX(Eingabe!$C$9:$C$18,I1665)&amp;"-Pächter  ·  Passwort Parzelle "&amp;J1665,IF(J1665=K1665+1,Eingabe!$B$6&amp;"-"&amp;INDEX(Eingabe!$C$9:$C$18,I1665)&amp;"-Vorstand  ·  eigenes WLAN",IF(J1665=K1665+2,Eingabe!$B$6&amp;"-"&amp;INDEX(Eingabe!$C$9:$C$18,I1665)&amp;"-Gäste  ·  Voucher",IF(J1665=K1665+3,"Kabel  ·  Access Point y = .(50+y), Mast-Switch x = .(10+x)","")))))</f>
        <v/>
      </c>
      <c r="I1665" s="0" t="str">
        <f aca="false">IF(1660&lt;=(Eingabe!$P$18+Eingabe!$Q$18-1),MATCH(1660,Eingabe!$P$9:$P$18,1),"")</f>
        <v/>
      </c>
      <c r="J1665" s="0" t="str">
        <f aca="false">IF(I1665="","",1660-INDEX(Eingabe!$P$9:$P$18,I1665))</f>
        <v/>
      </c>
      <c r="K1665" s="0" t="str">
        <f aca="false">IF(I1665="","",INDEX(Eingabe!$E$9:$E$18,I1665))</f>
        <v/>
      </c>
    </row>
    <row r="1666" customFormat="false" ht="15" hidden="false" customHeight="false" outlineLevel="0" collapsed="false">
      <c r="A1666" s="0" t="str">
        <f aca="false">IF(I1666="","",IF(J1666=0,"Sparte "&amp;I1666&amp;": "&amp;INDEX(Eingabe!$B$9:$B$18,I1666)&amp;"  (Sparten-ID "&amp;INDEX(Eingabe!$D$9:$D$18,I1666)&amp;", "&amp;K1666&amp;" Parzellen)",IF(J1666&lt;=K1666,"   Parzelle "&amp;J1666,IF(J1666=K1666+1,"   Vorstand",IF(J1666=K1666+2,"   Gäste",IF(J1666=K1666+3,"   Technik (Switches, Access Points)",""))))))</f>
        <v/>
      </c>
      <c r="B1666" s="0" t="str">
        <f aca="false">IF(I1666="","",IF(AND(J1666&gt;=1,J1666&lt;=K1666+3),IF(J1666&lt;=K1666,IF(J1666&lt;=99,IF((INDEX(Eingabe!$G$9:$G$18,I1666))&lt;=9,1000+(INDEX(Eingabe!$G$9:$G$18,I1666))*100,3000)+J1666,IF((INDEX(Eingabe!$G$9:$G$18,I1666)+1)&lt;=9,1000+(INDEX(Eingabe!$G$9:$G$18,I1666)+1)*100,3000)+J1666-100),IF(J1666=K1666+1,2000+INDEX(Eingabe!$G$9:$G$18,I1666)*10+1,IF(J1666=K1666+2,2000+INDEX(Eingabe!$G$9:$G$18,I1666)*10+2,2000+INDEX(Eingabe!$G$9:$G$18,I1666)*10+9))),""))</f>
        <v/>
      </c>
      <c r="C1666" s="0" t="str">
        <f aca="false">IF(I1666="","",IF(AND(J1666&gt;=1,J1666&lt;=K1666+3),"10."&amp;INDEX(Eingabe!$D$9:$D$18,I1666)&amp;"."&amp;IF(J1666&lt;=K1666,J1666,IF(J1666=K1666+1,200,IF(J1666=K1666+2,201,250)))&amp;".0/24",""))</f>
        <v/>
      </c>
      <c r="D1666" s="0" t="str">
        <f aca="false">IF(I1666="","",IF(AND(J1666&gt;=1,J1666&lt;=K1666+3),"255.255.255.0",""))</f>
        <v/>
      </c>
      <c r="E1666" s="0" t="str">
        <f aca="false">IF(I1666="","",IF(AND(J1666&gt;=1,J1666&lt;=K1666+3),"10."&amp;INDEX(Eingabe!$D$9:$D$18,I1666)&amp;"."&amp;IF(J1666&lt;=K1666,J1666,IF(J1666=K1666+1,200,IF(J1666=K1666+2,201,250)))&amp;".1",""))</f>
        <v/>
      </c>
      <c r="F1666" s="0" t="str">
        <f aca="false">IF(I1666="","",IF(AND(J1666&gt;=1,J1666&lt;=K1666+3),"10."&amp;INDEX(Eingabe!$D$9:$D$18,I1666)&amp;"."&amp;IF(J1666&lt;=K1666,J1666,IF(J1666=K1666+1,200,IF(J1666=K1666+2,201,250)))&amp;".10 – 10."&amp;INDEX(Eingabe!$D$9:$D$18,I1666)&amp;"."&amp;IF(J1666&lt;=K1666,J1666,IF(J1666=K1666+1,200,IF(J1666=K1666+2,201,250)))&amp;".250",""))</f>
        <v/>
      </c>
      <c r="G1666" s="0" t="str">
        <f aca="false">IF(I1666="","",IF(AND(J1666&gt;=1,J1666&lt;=K1666),Eingabe!$B$6&amp;"-"&amp;INDEX(Eingabe!$C$9:$C$18,I1666)&amp;"-Pächter  ·  Passwort Parzelle "&amp;J1666,IF(J1666=K1666+1,Eingabe!$B$6&amp;"-"&amp;INDEX(Eingabe!$C$9:$C$18,I1666)&amp;"-Vorstand  ·  eigenes WLAN",IF(J1666=K1666+2,Eingabe!$B$6&amp;"-"&amp;INDEX(Eingabe!$C$9:$C$18,I1666)&amp;"-Gäste  ·  Voucher",IF(J1666=K1666+3,"Kabel  ·  Access Point y = .(50+y), Mast-Switch x = .(10+x)","")))))</f>
        <v/>
      </c>
      <c r="I1666" s="0" t="str">
        <f aca="false">IF(1661&lt;=(Eingabe!$P$18+Eingabe!$Q$18-1),MATCH(1661,Eingabe!$P$9:$P$18,1),"")</f>
        <v/>
      </c>
      <c r="J1666" s="0" t="str">
        <f aca="false">IF(I1666="","",1661-INDEX(Eingabe!$P$9:$P$18,I1666))</f>
        <v/>
      </c>
      <c r="K1666" s="0" t="str">
        <f aca="false">IF(I1666="","",INDEX(Eingabe!$E$9:$E$18,I1666))</f>
        <v/>
      </c>
    </row>
    <row r="1667" customFormat="false" ht="15" hidden="false" customHeight="false" outlineLevel="0" collapsed="false">
      <c r="A1667" s="0" t="str">
        <f aca="false">IF(I1667="","",IF(J1667=0,"Sparte "&amp;I1667&amp;": "&amp;INDEX(Eingabe!$B$9:$B$18,I1667)&amp;"  (Sparten-ID "&amp;INDEX(Eingabe!$D$9:$D$18,I1667)&amp;", "&amp;K1667&amp;" Parzellen)",IF(J1667&lt;=K1667,"   Parzelle "&amp;J1667,IF(J1667=K1667+1,"   Vorstand",IF(J1667=K1667+2,"   Gäste",IF(J1667=K1667+3,"   Technik (Switches, Access Points)",""))))))</f>
        <v/>
      </c>
      <c r="B1667" s="0" t="str">
        <f aca="false">IF(I1667="","",IF(AND(J1667&gt;=1,J1667&lt;=K1667+3),IF(J1667&lt;=K1667,IF(J1667&lt;=99,IF((INDEX(Eingabe!$G$9:$G$18,I1667))&lt;=9,1000+(INDEX(Eingabe!$G$9:$G$18,I1667))*100,3000)+J1667,IF((INDEX(Eingabe!$G$9:$G$18,I1667)+1)&lt;=9,1000+(INDEX(Eingabe!$G$9:$G$18,I1667)+1)*100,3000)+J1667-100),IF(J1667=K1667+1,2000+INDEX(Eingabe!$G$9:$G$18,I1667)*10+1,IF(J1667=K1667+2,2000+INDEX(Eingabe!$G$9:$G$18,I1667)*10+2,2000+INDEX(Eingabe!$G$9:$G$18,I1667)*10+9))),""))</f>
        <v/>
      </c>
      <c r="C1667" s="0" t="str">
        <f aca="false">IF(I1667="","",IF(AND(J1667&gt;=1,J1667&lt;=K1667+3),"10."&amp;INDEX(Eingabe!$D$9:$D$18,I1667)&amp;"."&amp;IF(J1667&lt;=K1667,J1667,IF(J1667=K1667+1,200,IF(J1667=K1667+2,201,250)))&amp;".0/24",""))</f>
        <v/>
      </c>
      <c r="D1667" s="0" t="str">
        <f aca="false">IF(I1667="","",IF(AND(J1667&gt;=1,J1667&lt;=K1667+3),"255.255.255.0",""))</f>
        <v/>
      </c>
      <c r="E1667" s="0" t="str">
        <f aca="false">IF(I1667="","",IF(AND(J1667&gt;=1,J1667&lt;=K1667+3),"10."&amp;INDEX(Eingabe!$D$9:$D$18,I1667)&amp;"."&amp;IF(J1667&lt;=K1667,J1667,IF(J1667=K1667+1,200,IF(J1667=K1667+2,201,250)))&amp;".1",""))</f>
        <v/>
      </c>
      <c r="F1667" s="0" t="str">
        <f aca="false">IF(I1667="","",IF(AND(J1667&gt;=1,J1667&lt;=K1667+3),"10."&amp;INDEX(Eingabe!$D$9:$D$18,I1667)&amp;"."&amp;IF(J1667&lt;=K1667,J1667,IF(J1667=K1667+1,200,IF(J1667=K1667+2,201,250)))&amp;".10 – 10."&amp;INDEX(Eingabe!$D$9:$D$18,I1667)&amp;"."&amp;IF(J1667&lt;=K1667,J1667,IF(J1667=K1667+1,200,IF(J1667=K1667+2,201,250)))&amp;".250",""))</f>
        <v/>
      </c>
      <c r="G1667" s="0" t="str">
        <f aca="false">IF(I1667="","",IF(AND(J1667&gt;=1,J1667&lt;=K1667),Eingabe!$B$6&amp;"-"&amp;INDEX(Eingabe!$C$9:$C$18,I1667)&amp;"-Pächter  ·  Passwort Parzelle "&amp;J1667,IF(J1667=K1667+1,Eingabe!$B$6&amp;"-"&amp;INDEX(Eingabe!$C$9:$C$18,I1667)&amp;"-Vorstand  ·  eigenes WLAN",IF(J1667=K1667+2,Eingabe!$B$6&amp;"-"&amp;INDEX(Eingabe!$C$9:$C$18,I1667)&amp;"-Gäste  ·  Voucher",IF(J1667=K1667+3,"Kabel  ·  Access Point y = .(50+y), Mast-Switch x = .(10+x)","")))))</f>
        <v/>
      </c>
      <c r="I1667" s="0" t="str">
        <f aca="false">IF(1662&lt;=(Eingabe!$P$18+Eingabe!$Q$18-1),MATCH(1662,Eingabe!$P$9:$P$18,1),"")</f>
        <v/>
      </c>
      <c r="J1667" s="0" t="str">
        <f aca="false">IF(I1667="","",1662-INDEX(Eingabe!$P$9:$P$18,I1667))</f>
        <v/>
      </c>
      <c r="K1667" s="0" t="str">
        <f aca="false">IF(I1667="","",INDEX(Eingabe!$E$9:$E$18,I1667))</f>
        <v/>
      </c>
    </row>
    <row r="1668" customFormat="false" ht="15" hidden="false" customHeight="false" outlineLevel="0" collapsed="false">
      <c r="A1668" s="0" t="str">
        <f aca="false">IF(I1668="","",IF(J1668=0,"Sparte "&amp;I1668&amp;": "&amp;INDEX(Eingabe!$B$9:$B$18,I1668)&amp;"  (Sparten-ID "&amp;INDEX(Eingabe!$D$9:$D$18,I1668)&amp;", "&amp;K1668&amp;" Parzellen)",IF(J1668&lt;=K1668,"   Parzelle "&amp;J1668,IF(J1668=K1668+1,"   Vorstand",IF(J1668=K1668+2,"   Gäste",IF(J1668=K1668+3,"   Technik (Switches, Access Points)",""))))))</f>
        <v/>
      </c>
      <c r="B1668" s="0" t="str">
        <f aca="false">IF(I1668="","",IF(AND(J1668&gt;=1,J1668&lt;=K1668+3),IF(J1668&lt;=K1668,IF(J1668&lt;=99,IF((INDEX(Eingabe!$G$9:$G$18,I1668))&lt;=9,1000+(INDEX(Eingabe!$G$9:$G$18,I1668))*100,3000)+J1668,IF((INDEX(Eingabe!$G$9:$G$18,I1668)+1)&lt;=9,1000+(INDEX(Eingabe!$G$9:$G$18,I1668)+1)*100,3000)+J1668-100),IF(J1668=K1668+1,2000+INDEX(Eingabe!$G$9:$G$18,I1668)*10+1,IF(J1668=K1668+2,2000+INDEX(Eingabe!$G$9:$G$18,I1668)*10+2,2000+INDEX(Eingabe!$G$9:$G$18,I1668)*10+9))),""))</f>
        <v/>
      </c>
      <c r="C1668" s="0" t="str">
        <f aca="false">IF(I1668="","",IF(AND(J1668&gt;=1,J1668&lt;=K1668+3),"10."&amp;INDEX(Eingabe!$D$9:$D$18,I1668)&amp;"."&amp;IF(J1668&lt;=K1668,J1668,IF(J1668=K1668+1,200,IF(J1668=K1668+2,201,250)))&amp;".0/24",""))</f>
        <v/>
      </c>
      <c r="D1668" s="0" t="str">
        <f aca="false">IF(I1668="","",IF(AND(J1668&gt;=1,J1668&lt;=K1668+3),"255.255.255.0",""))</f>
        <v/>
      </c>
      <c r="E1668" s="0" t="str">
        <f aca="false">IF(I1668="","",IF(AND(J1668&gt;=1,J1668&lt;=K1668+3),"10."&amp;INDEX(Eingabe!$D$9:$D$18,I1668)&amp;"."&amp;IF(J1668&lt;=K1668,J1668,IF(J1668=K1668+1,200,IF(J1668=K1668+2,201,250)))&amp;".1",""))</f>
        <v/>
      </c>
      <c r="F1668" s="0" t="str">
        <f aca="false">IF(I1668="","",IF(AND(J1668&gt;=1,J1668&lt;=K1668+3),"10."&amp;INDEX(Eingabe!$D$9:$D$18,I1668)&amp;"."&amp;IF(J1668&lt;=K1668,J1668,IF(J1668=K1668+1,200,IF(J1668=K1668+2,201,250)))&amp;".10 – 10."&amp;INDEX(Eingabe!$D$9:$D$18,I1668)&amp;"."&amp;IF(J1668&lt;=K1668,J1668,IF(J1668=K1668+1,200,IF(J1668=K1668+2,201,250)))&amp;".250",""))</f>
        <v/>
      </c>
      <c r="G1668" s="0" t="str">
        <f aca="false">IF(I1668="","",IF(AND(J1668&gt;=1,J1668&lt;=K1668),Eingabe!$B$6&amp;"-"&amp;INDEX(Eingabe!$C$9:$C$18,I1668)&amp;"-Pächter  ·  Passwort Parzelle "&amp;J1668,IF(J1668=K1668+1,Eingabe!$B$6&amp;"-"&amp;INDEX(Eingabe!$C$9:$C$18,I1668)&amp;"-Vorstand  ·  eigenes WLAN",IF(J1668=K1668+2,Eingabe!$B$6&amp;"-"&amp;INDEX(Eingabe!$C$9:$C$18,I1668)&amp;"-Gäste  ·  Voucher",IF(J1668=K1668+3,"Kabel  ·  Access Point y = .(50+y), Mast-Switch x = .(10+x)","")))))</f>
        <v/>
      </c>
      <c r="I1668" s="0" t="str">
        <f aca="false">IF(1663&lt;=(Eingabe!$P$18+Eingabe!$Q$18-1),MATCH(1663,Eingabe!$P$9:$P$18,1),"")</f>
        <v/>
      </c>
      <c r="J1668" s="0" t="str">
        <f aca="false">IF(I1668="","",1663-INDEX(Eingabe!$P$9:$P$18,I1668))</f>
        <v/>
      </c>
      <c r="K1668" s="0" t="str">
        <f aca="false">IF(I1668="","",INDEX(Eingabe!$E$9:$E$18,I1668))</f>
        <v/>
      </c>
    </row>
    <row r="1669" customFormat="false" ht="15" hidden="false" customHeight="false" outlineLevel="0" collapsed="false">
      <c r="A1669" s="0" t="str">
        <f aca="false">IF(I1669="","",IF(J1669=0,"Sparte "&amp;I1669&amp;": "&amp;INDEX(Eingabe!$B$9:$B$18,I1669)&amp;"  (Sparten-ID "&amp;INDEX(Eingabe!$D$9:$D$18,I1669)&amp;", "&amp;K1669&amp;" Parzellen)",IF(J1669&lt;=K1669,"   Parzelle "&amp;J1669,IF(J1669=K1669+1,"   Vorstand",IF(J1669=K1669+2,"   Gäste",IF(J1669=K1669+3,"   Technik (Switches, Access Points)",""))))))</f>
        <v/>
      </c>
      <c r="B1669" s="0" t="str">
        <f aca="false">IF(I1669="","",IF(AND(J1669&gt;=1,J1669&lt;=K1669+3),IF(J1669&lt;=K1669,IF(J1669&lt;=99,IF((INDEX(Eingabe!$G$9:$G$18,I1669))&lt;=9,1000+(INDEX(Eingabe!$G$9:$G$18,I1669))*100,3000)+J1669,IF((INDEX(Eingabe!$G$9:$G$18,I1669)+1)&lt;=9,1000+(INDEX(Eingabe!$G$9:$G$18,I1669)+1)*100,3000)+J1669-100),IF(J1669=K1669+1,2000+INDEX(Eingabe!$G$9:$G$18,I1669)*10+1,IF(J1669=K1669+2,2000+INDEX(Eingabe!$G$9:$G$18,I1669)*10+2,2000+INDEX(Eingabe!$G$9:$G$18,I1669)*10+9))),""))</f>
        <v/>
      </c>
      <c r="C1669" s="0" t="str">
        <f aca="false">IF(I1669="","",IF(AND(J1669&gt;=1,J1669&lt;=K1669+3),"10."&amp;INDEX(Eingabe!$D$9:$D$18,I1669)&amp;"."&amp;IF(J1669&lt;=K1669,J1669,IF(J1669=K1669+1,200,IF(J1669=K1669+2,201,250)))&amp;".0/24",""))</f>
        <v/>
      </c>
      <c r="D1669" s="0" t="str">
        <f aca="false">IF(I1669="","",IF(AND(J1669&gt;=1,J1669&lt;=K1669+3),"255.255.255.0",""))</f>
        <v/>
      </c>
      <c r="E1669" s="0" t="str">
        <f aca="false">IF(I1669="","",IF(AND(J1669&gt;=1,J1669&lt;=K1669+3),"10."&amp;INDEX(Eingabe!$D$9:$D$18,I1669)&amp;"."&amp;IF(J1669&lt;=K1669,J1669,IF(J1669=K1669+1,200,IF(J1669=K1669+2,201,250)))&amp;".1",""))</f>
        <v/>
      </c>
      <c r="F1669" s="0" t="str">
        <f aca="false">IF(I1669="","",IF(AND(J1669&gt;=1,J1669&lt;=K1669+3),"10."&amp;INDEX(Eingabe!$D$9:$D$18,I1669)&amp;"."&amp;IF(J1669&lt;=K1669,J1669,IF(J1669=K1669+1,200,IF(J1669=K1669+2,201,250)))&amp;".10 – 10."&amp;INDEX(Eingabe!$D$9:$D$18,I1669)&amp;"."&amp;IF(J1669&lt;=K1669,J1669,IF(J1669=K1669+1,200,IF(J1669=K1669+2,201,250)))&amp;".250",""))</f>
        <v/>
      </c>
      <c r="G1669" s="0" t="str">
        <f aca="false">IF(I1669="","",IF(AND(J1669&gt;=1,J1669&lt;=K1669),Eingabe!$B$6&amp;"-"&amp;INDEX(Eingabe!$C$9:$C$18,I1669)&amp;"-Pächter  ·  Passwort Parzelle "&amp;J1669,IF(J1669=K1669+1,Eingabe!$B$6&amp;"-"&amp;INDEX(Eingabe!$C$9:$C$18,I1669)&amp;"-Vorstand  ·  eigenes WLAN",IF(J1669=K1669+2,Eingabe!$B$6&amp;"-"&amp;INDEX(Eingabe!$C$9:$C$18,I1669)&amp;"-Gäste  ·  Voucher",IF(J1669=K1669+3,"Kabel  ·  Access Point y = .(50+y), Mast-Switch x = .(10+x)","")))))</f>
        <v/>
      </c>
      <c r="I1669" s="0" t="str">
        <f aca="false">IF(1664&lt;=(Eingabe!$P$18+Eingabe!$Q$18-1),MATCH(1664,Eingabe!$P$9:$P$18,1),"")</f>
        <v/>
      </c>
      <c r="J1669" s="0" t="str">
        <f aca="false">IF(I1669="","",1664-INDEX(Eingabe!$P$9:$P$18,I1669))</f>
        <v/>
      </c>
      <c r="K1669" s="0" t="str">
        <f aca="false">IF(I1669="","",INDEX(Eingabe!$E$9:$E$18,I1669))</f>
        <v/>
      </c>
    </row>
    <row r="1670" customFormat="false" ht="15" hidden="false" customHeight="false" outlineLevel="0" collapsed="false">
      <c r="A1670" s="0" t="str">
        <f aca="false">IF(I1670="","",IF(J1670=0,"Sparte "&amp;I1670&amp;": "&amp;INDEX(Eingabe!$B$9:$B$18,I1670)&amp;"  (Sparten-ID "&amp;INDEX(Eingabe!$D$9:$D$18,I1670)&amp;", "&amp;K1670&amp;" Parzellen)",IF(J1670&lt;=K1670,"   Parzelle "&amp;J1670,IF(J1670=K1670+1,"   Vorstand",IF(J1670=K1670+2,"   Gäste",IF(J1670=K1670+3,"   Technik (Switches, Access Points)",""))))))</f>
        <v/>
      </c>
      <c r="B1670" s="0" t="str">
        <f aca="false">IF(I1670="","",IF(AND(J1670&gt;=1,J1670&lt;=K1670+3),IF(J1670&lt;=K1670,IF(J1670&lt;=99,IF((INDEX(Eingabe!$G$9:$G$18,I1670))&lt;=9,1000+(INDEX(Eingabe!$G$9:$G$18,I1670))*100,3000)+J1670,IF((INDEX(Eingabe!$G$9:$G$18,I1670)+1)&lt;=9,1000+(INDEX(Eingabe!$G$9:$G$18,I1670)+1)*100,3000)+J1670-100),IF(J1670=K1670+1,2000+INDEX(Eingabe!$G$9:$G$18,I1670)*10+1,IF(J1670=K1670+2,2000+INDEX(Eingabe!$G$9:$G$18,I1670)*10+2,2000+INDEX(Eingabe!$G$9:$G$18,I1670)*10+9))),""))</f>
        <v/>
      </c>
      <c r="C1670" s="0" t="str">
        <f aca="false">IF(I1670="","",IF(AND(J1670&gt;=1,J1670&lt;=K1670+3),"10."&amp;INDEX(Eingabe!$D$9:$D$18,I1670)&amp;"."&amp;IF(J1670&lt;=K1670,J1670,IF(J1670=K1670+1,200,IF(J1670=K1670+2,201,250)))&amp;".0/24",""))</f>
        <v/>
      </c>
      <c r="D1670" s="0" t="str">
        <f aca="false">IF(I1670="","",IF(AND(J1670&gt;=1,J1670&lt;=K1670+3),"255.255.255.0",""))</f>
        <v/>
      </c>
      <c r="E1670" s="0" t="str">
        <f aca="false">IF(I1670="","",IF(AND(J1670&gt;=1,J1670&lt;=K1670+3),"10."&amp;INDEX(Eingabe!$D$9:$D$18,I1670)&amp;"."&amp;IF(J1670&lt;=K1670,J1670,IF(J1670=K1670+1,200,IF(J1670=K1670+2,201,250)))&amp;".1",""))</f>
        <v/>
      </c>
      <c r="F1670" s="0" t="str">
        <f aca="false">IF(I1670="","",IF(AND(J1670&gt;=1,J1670&lt;=K1670+3),"10."&amp;INDEX(Eingabe!$D$9:$D$18,I1670)&amp;"."&amp;IF(J1670&lt;=K1670,J1670,IF(J1670=K1670+1,200,IF(J1670=K1670+2,201,250)))&amp;".10 – 10."&amp;INDEX(Eingabe!$D$9:$D$18,I1670)&amp;"."&amp;IF(J1670&lt;=K1670,J1670,IF(J1670=K1670+1,200,IF(J1670=K1670+2,201,250)))&amp;".250",""))</f>
        <v/>
      </c>
      <c r="G1670" s="0" t="str">
        <f aca="false">IF(I1670="","",IF(AND(J1670&gt;=1,J1670&lt;=K1670),Eingabe!$B$6&amp;"-"&amp;INDEX(Eingabe!$C$9:$C$18,I1670)&amp;"-Pächter  ·  Passwort Parzelle "&amp;J1670,IF(J1670=K1670+1,Eingabe!$B$6&amp;"-"&amp;INDEX(Eingabe!$C$9:$C$18,I1670)&amp;"-Vorstand  ·  eigenes WLAN",IF(J1670=K1670+2,Eingabe!$B$6&amp;"-"&amp;INDEX(Eingabe!$C$9:$C$18,I1670)&amp;"-Gäste  ·  Voucher",IF(J1670=K1670+3,"Kabel  ·  Access Point y = .(50+y), Mast-Switch x = .(10+x)","")))))</f>
        <v/>
      </c>
      <c r="I1670" s="0" t="str">
        <f aca="false">IF(1665&lt;=(Eingabe!$P$18+Eingabe!$Q$18-1),MATCH(1665,Eingabe!$P$9:$P$18,1),"")</f>
        <v/>
      </c>
      <c r="J1670" s="0" t="str">
        <f aca="false">IF(I1670="","",1665-INDEX(Eingabe!$P$9:$P$18,I1670))</f>
        <v/>
      </c>
      <c r="K1670" s="0" t="str">
        <f aca="false">IF(I1670="","",INDEX(Eingabe!$E$9:$E$18,I1670))</f>
        <v/>
      </c>
    </row>
    <row r="1671" customFormat="false" ht="15" hidden="false" customHeight="false" outlineLevel="0" collapsed="false">
      <c r="A1671" s="0" t="str">
        <f aca="false">IF(I1671="","",IF(J1671=0,"Sparte "&amp;I1671&amp;": "&amp;INDEX(Eingabe!$B$9:$B$18,I1671)&amp;"  (Sparten-ID "&amp;INDEX(Eingabe!$D$9:$D$18,I1671)&amp;", "&amp;K1671&amp;" Parzellen)",IF(J1671&lt;=K1671,"   Parzelle "&amp;J1671,IF(J1671=K1671+1,"   Vorstand",IF(J1671=K1671+2,"   Gäste",IF(J1671=K1671+3,"   Technik (Switches, Access Points)",""))))))</f>
        <v/>
      </c>
      <c r="B1671" s="0" t="str">
        <f aca="false">IF(I1671="","",IF(AND(J1671&gt;=1,J1671&lt;=K1671+3),IF(J1671&lt;=K1671,IF(J1671&lt;=99,IF((INDEX(Eingabe!$G$9:$G$18,I1671))&lt;=9,1000+(INDEX(Eingabe!$G$9:$G$18,I1671))*100,3000)+J1671,IF((INDEX(Eingabe!$G$9:$G$18,I1671)+1)&lt;=9,1000+(INDEX(Eingabe!$G$9:$G$18,I1671)+1)*100,3000)+J1671-100),IF(J1671=K1671+1,2000+INDEX(Eingabe!$G$9:$G$18,I1671)*10+1,IF(J1671=K1671+2,2000+INDEX(Eingabe!$G$9:$G$18,I1671)*10+2,2000+INDEX(Eingabe!$G$9:$G$18,I1671)*10+9))),""))</f>
        <v/>
      </c>
      <c r="C1671" s="0" t="str">
        <f aca="false">IF(I1671="","",IF(AND(J1671&gt;=1,J1671&lt;=K1671+3),"10."&amp;INDEX(Eingabe!$D$9:$D$18,I1671)&amp;"."&amp;IF(J1671&lt;=K1671,J1671,IF(J1671=K1671+1,200,IF(J1671=K1671+2,201,250)))&amp;".0/24",""))</f>
        <v/>
      </c>
      <c r="D1671" s="0" t="str">
        <f aca="false">IF(I1671="","",IF(AND(J1671&gt;=1,J1671&lt;=K1671+3),"255.255.255.0",""))</f>
        <v/>
      </c>
      <c r="E1671" s="0" t="str">
        <f aca="false">IF(I1671="","",IF(AND(J1671&gt;=1,J1671&lt;=K1671+3),"10."&amp;INDEX(Eingabe!$D$9:$D$18,I1671)&amp;"."&amp;IF(J1671&lt;=K1671,J1671,IF(J1671=K1671+1,200,IF(J1671=K1671+2,201,250)))&amp;".1",""))</f>
        <v/>
      </c>
      <c r="F1671" s="0" t="str">
        <f aca="false">IF(I1671="","",IF(AND(J1671&gt;=1,J1671&lt;=K1671+3),"10."&amp;INDEX(Eingabe!$D$9:$D$18,I1671)&amp;"."&amp;IF(J1671&lt;=K1671,J1671,IF(J1671=K1671+1,200,IF(J1671=K1671+2,201,250)))&amp;".10 – 10."&amp;INDEX(Eingabe!$D$9:$D$18,I1671)&amp;"."&amp;IF(J1671&lt;=K1671,J1671,IF(J1671=K1671+1,200,IF(J1671=K1671+2,201,250)))&amp;".250",""))</f>
        <v/>
      </c>
      <c r="G1671" s="0" t="str">
        <f aca="false">IF(I1671="","",IF(AND(J1671&gt;=1,J1671&lt;=K1671),Eingabe!$B$6&amp;"-"&amp;INDEX(Eingabe!$C$9:$C$18,I1671)&amp;"-Pächter  ·  Passwort Parzelle "&amp;J1671,IF(J1671=K1671+1,Eingabe!$B$6&amp;"-"&amp;INDEX(Eingabe!$C$9:$C$18,I1671)&amp;"-Vorstand  ·  eigenes WLAN",IF(J1671=K1671+2,Eingabe!$B$6&amp;"-"&amp;INDEX(Eingabe!$C$9:$C$18,I1671)&amp;"-Gäste  ·  Voucher",IF(J1671=K1671+3,"Kabel  ·  Access Point y = .(50+y), Mast-Switch x = .(10+x)","")))))</f>
        <v/>
      </c>
      <c r="I1671" s="0" t="str">
        <f aca="false">IF(1666&lt;=(Eingabe!$P$18+Eingabe!$Q$18-1),MATCH(1666,Eingabe!$P$9:$P$18,1),"")</f>
        <v/>
      </c>
      <c r="J1671" s="0" t="str">
        <f aca="false">IF(I1671="","",1666-INDEX(Eingabe!$P$9:$P$18,I1671))</f>
        <v/>
      </c>
      <c r="K1671" s="0" t="str">
        <f aca="false">IF(I1671="","",INDEX(Eingabe!$E$9:$E$18,I1671))</f>
        <v/>
      </c>
    </row>
    <row r="1672" customFormat="false" ht="15" hidden="false" customHeight="false" outlineLevel="0" collapsed="false">
      <c r="A1672" s="0" t="str">
        <f aca="false">IF(I1672="","",IF(J1672=0,"Sparte "&amp;I1672&amp;": "&amp;INDEX(Eingabe!$B$9:$B$18,I1672)&amp;"  (Sparten-ID "&amp;INDEX(Eingabe!$D$9:$D$18,I1672)&amp;", "&amp;K1672&amp;" Parzellen)",IF(J1672&lt;=K1672,"   Parzelle "&amp;J1672,IF(J1672=K1672+1,"   Vorstand",IF(J1672=K1672+2,"   Gäste",IF(J1672=K1672+3,"   Technik (Switches, Access Points)",""))))))</f>
        <v/>
      </c>
      <c r="B1672" s="0" t="str">
        <f aca="false">IF(I1672="","",IF(AND(J1672&gt;=1,J1672&lt;=K1672+3),IF(J1672&lt;=K1672,IF(J1672&lt;=99,IF((INDEX(Eingabe!$G$9:$G$18,I1672))&lt;=9,1000+(INDEX(Eingabe!$G$9:$G$18,I1672))*100,3000)+J1672,IF((INDEX(Eingabe!$G$9:$G$18,I1672)+1)&lt;=9,1000+(INDEX(Eingabe!$G$9:$G$18,I1672)+1)*100,3000)+J1672-100),IF(J1672=K1672+1,2000+INDEX(Eingabe!$G$9:$G$18,I1672)*10+1,IF(J1672=K1672+2,2000+INDEX(Eingabe!$G$9:$G$18,I1672)*10+2,2000+INDEX(Eingabe!$G$9:$G$18,I1672)*10+9))),""))</f>
        <v/>
      </c>
      <c r="C1672" s="0" t="str">
        <f aca="false">IF(I1672="","",IF(AND(J1672&gt;=1,J1672&lt;=K1672+3),"10."&amp;INDEX(Eingabe!$D$9:$D$18,I1672)&amp;"."&amp;IF(J1672&lt;=K1672,J1672,IF(J1672=K1672+1,200,IF(J1672=K1672+2,201,250)))&amp;".0/24",""))</f>
        <v/>
      </c>
      <c r="D1672" s="0" t="str">
        <f aca="false">IF(I1672="","",IF(AND(J1672&gt;=1,J1672&lt;=K1672+3),"255.255.255.0",""))</f>
        <v/>
      </c>
      <c r="E1672" s="0" t="str">
        <f aca="false">IF(I1672="","",IF(AND(J1672&gt;=1,J1672&lt;=K1672+3),"10."&amp;INDEX(Eingabe!$D$9:$D$18,I1672)&amp;"."&amp;IF(J1672&lt;=K1672,J1672,IF(J1672=K1672+1,200,IF(J1672=K1672+2,201,250)))&amp;".1",""))</f>
        <v/>
      </c>
      <c r="F1672" s="0" t="str">
        <f aca="false">IF(I1672="","",IF(AND(J1672&gt;=1,J1672&lt;=K1672+3),"10."&amp;INDEX(Eingabe!$D$9:$D$18,I1672)&amp;"."&amp;IF(J1672&lt;=K1672,J1672,IF(J1672=K1672+1,200,IF(J1672=K1672+2,201,250)))&amp;".10 – 10."&amp;INDEX(Eingabe!$D$9:$D$18,I1672)&amp;"."&amp;IF(J1672&lt;=K1672,J1672,IF(J1672=K1672+1,200,IF(J1672=K1672+2,201,250)))&amp;".250",""))</f>
        <v/>
      </c>
      <c r="G1672" s="0" t="str">
        <f aca="false">IF(I1672="","",IF(AND(J1672&gt;=1,J1672&lt;=K1672),Eingabe!$B$6&amp;"-"&amp;INDEX(Eingabe!$C$9:$C$18,I1672)&amp;"-Pächter  ·  Passwort Parzelle "&amp;J1672,IF(J1672=K1672+1,Eingabe!$B$6&amp;"-"&amp;INDEX(Eingabe!$C$9:$C$18,I1672)&amp;"-Vorstand  ·  eigenes WLAN",IF(J1672=K1672+2,Eingabe!$B$6&amp;"-"&amp;INDEX(Eingabe!$C$9:$C$18,I1672)&amp;"-Gäste  ·  Voucher",IF(J1672=K1672+3,"Kabel  ·  Access Point y = .(50+y), Mast-Switch x = .(10+x)","")))))</f>
        <v/>
      </c>
      <c r="I1672" s="0" t="str">
        <f aca="false">IF(1667&lt;=(Eingabe!$P$18+Eingabe!$Q$18-1),MATCH(1667,Eingabe!$P$9:$P$18,1),"")</f>
        <v/>
      </c>
      <c r="J1672" s="0" t="str">
        <f aca="false">IF(I1672="","",1667-INDEX(Eingabe!$P$9:$P$18,I1672))</f>
        <v/>
      </c>
      <c r="K1672" s="0" t="str">
        <f aca="false">IF(I1672="","",INDEX(Eingabe!$E$9:$E$18,I1672))</f>
        <v/>
      </c>
    </row>
    <row r="1673" customFormat="false" ht="15" hidden="false" customHeight="false" outlineLevel="0" collapsed="false">
      <c r="A1673" s="0" t="str">
        <f aca="false">IF(I1673="","",IF(J1673=0,"Sparte "&amp;I1673&amp;": "&amp;INDEX(Eingabe!$B$9:$B$18,I1673)&amp;"  (Sparten-ID "&amp;INDEX(Eingabe!$D$9:$D$18,I1673)&amp;", "&amp;K1673&amp;" Parzellen)",IF(J1673&lt;=K1673,"   Parzelle "&amp;J1673,IF(J1673=K1673+1,"   Vorstand",IF(J1673=K1673+2,"   Gäste",IF(J1673=K1673+3,"   Technik (Switches, Access Points)",""))))))</f>
        <v/>
      </c>
      <c r="B1673" s="0" t="str">
        <f aca="false">IF(I1673="","",IF(AND(J1673&gt;=1,J1673&lt;=K1673+3),IF(J1673&lt;=K1673,IF(J1673&lt;=99,IF((INDEX(Eingabe!$G$9:$G$18,I1673))&lt;=9,1000+(INDEX(Eingabe!$G$9:$G$18,I1673))*100,3000)+J1673,IF((INDEX(Eingabe!$G$9:$G$18,I1673)+1)&lt;=9,1000+(INDEX(Eingabe!$G$9:$G$18,I1673)+1)*100,3000)+J1673-100),IF(J1673=K1673+1,2000+INDEX(Eingabe!$G$9:$G$18,I1673)*10+1,IF(J1673=K1673+2,2000+INDEX(Eingabe!$G$9:$G$18,I1673)*10+2,2000+INDEX(Eingabe!$G$9:$G$18,I1673)*10+9))),""))</f>
        <v/>
      </c>
      <c r="C1673" s="0" t="str">
        <f aca="false">IF(I1673="","",IF(AND(J1673&gt;=1,J1673&lt;=K1673+3),"10."&amp;INDEX(Eingabe!$D$9:$D$18,I1673)&amp;"."&amp;IF(J1673&lt;=K1673,J1673,IF(J1673=K1673+1,200,IF(J1673=K1673+2,201,250)))&amp;".0/24",""))</f>
        <v/>
      </c>
      <c r="D1673" s="0" t="str">
        <f aca="false">IF(I1673="","",IF(AND(J1673&gt;=1,J1673&lt;=K1673+3),"255.255.255.0",""))</f>
        <v/>
      </c>
      <c r="E1673" s="0" t="str">
        <f aca="false">IF(I1673="","",IF(AND(J1673&gt;=1,J1673&lt;=K1673+3),"10."&amp;INDEX(Eingabe!$D$9:$D$18,I1673)&amp;"."&amp;IF(J1673&lt;=K1673,J1673,IF(J1673=K1673+1,200,IF(J1673=K1673+2,201,250)))&amp;".1",""))</f>
        <v/>
      </c>
      <c r="F1673" s="0" t="str">
        <f aca="false">IF(I1673="","",IF(AND(J1673&gt;=1,J1673&lt;=K1673+3),"10."&amp;INDEX(Eingabe!$D$9:$D$18,I1673)&amp;"."&amp;IF(J1673&lt;=K1673,J1673,IF(J1673=K1673+1,200,IF(J1673=K1673+2,201,250)))&amp;".10 – 10."&amp;INDEX(Eingabe!$D$9:$D$18,I1673)&amp;"."&amp;IF(J1673&lt;=K1673,J1673,IF(J1673=K1673+1,200,IF(J1673=K1673+2,201,250)))&amp;".250",""))</f>
        <v/>
      </c>
      <c r="G1673" s="0" t="str">
        <f aca="false">IF(I1673="","",IF(AND(J1673&gt;=1,J1673&lt;=K1673),Eingabe!$B$6&amp;"-"&amp;INDEX(Eingabe!$C$9:$C$18,I1673)&amp;"-Pächter  ·  Passwort Parzelle "&amp;J1673,IF(J1673=K1673+1,Eingabe!$B$6&amp;"-"&amp;INDEX(Eingabe!$C$9:$C$18,I1673)&amp;"-Vorstand  ·  eigenes WLAN",IF(J1673=K1673+2,Eingabe!$B$6&amp;"-"&amp;INDEX(Eingabe!$C$9:$C$18,I1673)&amp;"-Gäste  ·  Voucher",IF(J1673=K1673+3,"Kabel  ·  Access Point y = .(50+y), Mast-Switch x = .(10+x)","")))))</f>
        <v/>
      </c>
      <c r="I1673" s="0" t="str">
        <f aca="false">IF(1668&lt;=(Eingabe!$P$18+Eingabe!$Q$18-1),MATCH(1668,Eingabe!$P$9:$P$18,1),"")</f>
        <v/>
      </c>
      <c r="J1673" s="0" t="str">
        <f aca="false">IF(I1673="","",1668-INDEX(Eingabe!$P$9:$P$18,I1673))</f>
        <v/>
      </c>
      <c r="K1673" s="0" t="str">
        <f aca="false">IF(I1673="","",INDEX(Eingabe!$E$9:$E$18,I1673))</f>
        <v/>
      </c>
    </row>
    <row r="1674" customFormat="false" ht="15" hidden="false" customHeight="false" outlineLevel="0" collapsed="false">
      <c r="A1674" s="0" t="str">
        <f aca="false">IF(I1674="","",IF(J1674=0,"Sparte "&amp;I1674&amp;": "&amp;INDEX(Eingabe!$B$9:$B$18,I1674)&amp;"  (Sparten-ID "&amp;INDEX(Eingabe!$D$9:$D$18,I1674)&amp;", "&amp;K1674&amp;" Parzellen)",IF(J1674&lt;=K1674,"   Parzelle "&amp;J1674,IF(J1674=K1674+1,"   Vorstand",IF(J1674=K1674+2,"   Gäste",IF(J1674=K1674+3,"   Technik (Switches, Access Points)",""))))))</f>
        <v/>
      </c>
      <c r="B1674" s="0" t="str">
        <f aca="false">IF(I1674="","",IF(AND(J1674&gt;=1,J1674&lt;=K1674+3),IF(J1674&lt;=K1674,IF(J1674&lt;=99,IF((INDEX(Eingabe!$G$9:$G$18,I1674))&lt;=9,1000+(INDEX(Eingabe!$G$9:$G$18,I1674))*100,3000)+J1674,IF((INDEX(Eingabe!$G$9:$G$18,I1674)+1)&lt;=9,1000+(INDEX(Eingabe!$G$9:$G$18,I1674)+1)*100,3000)+J1674-100),IF(J1674=K1674+1,2000+INDEX(Eingabe!$G$9:$G$18,I1674)*10+1,IF(J1674=K1674+2,2000+INDEX(Eingabe!$G$9:$G$18,I1674)*10+2,2000+INDEX(Eingabe!$G$9:$G$18,I1674)*10+9))),""))</f>
        <v/>
      </c>
      <c r="C1674" s="0" t="str">
        <f aca="false">IF(I1674="","",IF(AND(J1674&gt;=1,J1674&lt;=K1674+3),"10."&amp;INDEX(Eingabe!$D$9:$D$18,I1674)&amp;"."&amp;IF(J1674&lt;=K1674,J1674,IF(J1674=K1674+1,200,IF(J1674=K1674+2,201,250)))&amp;".0/24",""))</f>
        <v/>
      </c>
      <c r="D1674" s="0" t="str">
        <f aca="false">IF(I1674="","",IF(AND(J1674&gt;=1,J1674&lt;=K1674+3),"255.255.255.0",""))</f>
        <v/>
      </c>
      <c r="E1674" s="0" t="str">
        <f aca="false">IF(I1674="","",IF(AND(J1674&gt;=1,J1674&lt;=K1674+3),"10."&amp;INDEX(Eingabe!$D$9:$D$18,I1674)&amp;"."&amp;IF(J1674&lt;=K1674,J1674,IF(J1674=K1674+1,200,IF(J1674=K1674+2,201,250)))&amp;".1",""))</f>
        <v/>
      </c>
      <c r="F1674" s="0" t="str">
        <f aca="false">IF(I1674="","",IF(AND(J1674&gt;=1,J1674&lt;=K1674+3),"10."&amp;INDEX(Eingabe!$D$9:$D$18,I1674)&amp;"."&amp;IF(J1674&lt;=K1674,J1674,IF(J1674=K1674+1,200,IF(J1674=K1674+2,201,250)))&amp;".10 – 10."&amp;INDEX(Eingabe!$D$9:$D$18,I1674)&amp;"."&amp;IF(J1674&lt;=K1674,J1674,IF(J1674=K1674+1,200,IF(J1674=K1674+2,201,250)))&amp;".250",""))</f>
        <v/>
      </c>
      <c r="G1674" s="0" t="str">
        <f aca="false">IF(I1674="","",IF(AND(J1674&gt;=1,J1674&lt;=K1674),Eingabe!$B$6&amp;"-"&amp;INDEX(Eingabe!$C$9:$C$18,I1674)&amp;"-Pächter  ·  Passwort Parzelle "&amp;J1674,IF(J1674=K1674+1,Eingabe!$B$6&amp;"-"&amp;INDEX(Eingabe!$C$9:$C$18,I1674)&amp;"-Vorstand  ·  eigenes WLAN",IF(J1674=K1674+2,Eingabe!$B$6&amp;"-"&amp;INDEX(Eingabe!$C$9:$C$18,I1674)&amp;"-Gäste  ·  Voucher",IF(J1674=K1674+3,"Kabel  ·  Access Point y = .(50+y), Mast-Switch x = .(10+x)","")))))</f>
        <v/>
      </c>
      <c r="I1674" s="0" t="str">
        <f aca="false">IF(1669&lt;=(Eingabe!$P$18+Eingabe!$Q$18-1),MATCH(1669,Eingabe!$P$9:$P$18,1),"")</f>
        <v/>
      </c>
      <c r="J1674" s="0" t="str">
        <f aca="false">IF(I1674="","",1669-INDEX(Eingabe!$P$9:$P$18,I1674))</f>
        <v/>
      </c>
      <c r="K1674" s="0" t="str">
        <f aca="false">IF(I1674="","",INDEX(Eingabe!$E$9:$E$18,I1674))</f>
        <v/>
      </c>
    </row>
    <row r="1675" customFormat="false" ht="15" hidden="false" customHeight="false" outlineLevel="0" collapsed="false">
      <c r="A1675" s="0" t="str">
        <f aca="false">IF(I1675="","",IF(J1675=0,"Sparte "&amp;I1675&amp;": "&amp;INDEX(Eingabe!$B$9:$B$18,I1675)&amp;"  (Sparten-ID "&amp;INDEX(Eingabe!$D$9:$D$18,I1675)&amp;", "&amp;K1675&amp;" Parzellen)",IF(J1675&lt;=K1675,"   Parzelle "&amp;J1675,IF(J1675=K1675+1,"   Vorstand",IF(J1675=K1675+2,"   Gäste",IF(J1675=K1675+3,"   Technik (Switches, Access Points)",""))))))</f>
        <v/>
      </c>
      <c r="B1675" s="0" t="str">
        <f aca="false">IF(I1675="","",IF(AND(J1675&gt;=1,J1675&lt;=K1675+3),IF(J1675&lt;=K1675,IF(J1675&lt;=99,IF((INDEX(Eingabe!$G$9:$G$18,I1675))&lt;=9,1000+(INDEX(Eingabe!$G$9:$G$18,I1675))*100,3000)+J1675,IF((INDEX(Eingabe!$G$9:$G$18,I1675)+1)&lt;=9,1000+(INDEX(Eingabe!$G$9:$G$18,I1675)+1)*100,3000)+J1675-100),IF(J1675=K1675+1,2000+INDEX(Eingabe!$G$9:$G$18,I1675)*10+1,IF(J1675=K1675+2,2000+INDEX(Eingabe!$G$9:$G$18,I1675)*10+2,2000+INDEX(Eingabe!$G$9:$G$18,I1675)*10+9))),""))</f>
        <v/>
      </c>
      <c r="C1675" s="0" t="str">
        <f aca="false">IF(I1675="","",IF(AND(J1675&gt;=1,J1675&lt;=K1675+3),"10."&amp;INDEX(Eingabe!$D$9:$D$18,I1675)&amp;"."&amp;IF(J1675&lt;=K1675,J1675,IF(J1675=K1675+1,200,IF(J1675=K1675+2,201,250)))&amp;".0/24",""))</f>
        <v/>
      </c>
      <c r="D1675" s="0" t="str">
        <f aca="false">IF(I1675="","",IF(AND(J1675&gt;=1,J1675&lt;=K1675+3),"255.255.255.0",""))</f>
        <v/>
      </c>
      <c r="E1675" s="0" t="str">
        <f aca="false">IF(I1675="","",IF(AND(J1675&gt;=1,J1675&lt;=K1675+3),"10."&amp;INDEX(Eingabe!$D$9:$D$18,I1675)&amp;"."&amp;IF(J1675&lt;=K1675,J1675,IF(J1675=K1675+1,200,IF(J1675=K1675+2,201,250)))&amp;".1",""))</f>
        <v/>
      </c>
      <c r="F1675" s="0" t="str">
        <f aca="false">IF(I1675="","",IF(AND(J1675&gt;=1,J1675&lt;=K1675+3),"10."&amp;INDEX(Eingabe!$D$9:$D$18,I1675)&amp;"."&amp;IF(J1675&lt;=K1675,J1675,IF(J1675=K1675+1,200,IF(J1675=K1675+2,201,250)))&amp;".10 – 10."&amp;INDEX(Eingabe!$D$9:$D$18,I1675)&amp;"."&amp;IF(J1675&lt;=K1675,J1675,IF(J1675=K1675+1,200,IF(J1675=K1675+2,201,250)))&amp;".250",""))</f>
        <v/>
      </c>
      <c r="G1675" s="0" t="str">
        <f aca="false">IF(I1675="","",IF(AND(J1675&gt;=1,J1675&lt;=K1675),Eingabe!$B$6&amp;"-"&amp;INDEX(Eingabe!$C$9:$C$18,I1675)&amp;"-Pächter  ·  Passwort Parzelle "&amp;J1675,IF(J1675=K1675+1,Eingabe!$B$6&amp;"-"&amp;INDEX(Eingabe!$C$9:$C$18,I1675)&amp;"-Vorstand  ·  eigenes WLAN",IF(J1675=K1675+2,Eingabe!$B$6&amp;"-"&amp;INDEX(Eingabe!$C$9:$C$18,I1675)&amp;"-Gäste  ·  Voucher",IF(J1675=K1675+3,"Kabel  ·  Access Point y = .(50+y), Mast-Switch x = .(10+x)","")))))</f>
        <v/>
      </c>
      <c r="I1675" s="0" t="str">
        <f aca="false">IF(1670&lt;=(Eingabe!$P$18+Eingabe!$Q$18-1),MATCH(1670,Eingabe!$P$9:$P$18,1),"")</f>
        <v/>
      </c>
      <c r="J1675" s="0" t="str">
        <f aca="false">IF(I1675="","",1670-INDEX(Eingabe!$P$9:$P$18,I1675))</f>
        <v/>
      </c>
      <c r="K1675" s="0" t="str">
        <f aca="false">IF(I1675="","",INDEX(Eingabe!$E$9:$E$18,I1675))</f>
        <v/>
      </c>
    </row>
    <row r="1676" customFormat="false" ht="15" hidden="false" customHeight="false" outlineLevel="0" collapsed="false">
      <c r="A1676" s="0" t="str">
        <f aca="false">IF(I1676="","",IF(J1676=0,"Sparte "&amp;I1676&amp;": "&amp;INDEX(Eingabe!$B$9:$B$18,I1676)&amp;"  (Sparten-ID "&amp;INDEX(Eingabe!$D$9:$D$18,I1676)&amp;", "&amp;K1676&amp;" Parzellen)",IF(J1676&lt;=K1676,"   Parzelle "&amp;J1676,IF(J1676=K1676+1,"   Vorstand",IF(J1676=K1676+2,"   Gäste",IF(J1676=K1676+3,"   Technik (Switches, Access Points)",""))))))</f>
        <v/>
      </c>
      <c r="B1676" s="0" t="str">
        <f aca="false">IF(I1676="","",IF(AND(J1676&gt;=1,J1676&lt;=K1676+3),IF(J1676&lt;=K1676,IF(J1676&lt;=99,IF((INDEX(Eingabe!$G$9:$G$18,I1676))&lt;=9,1000+(INDEX(Eingabe!$G$9:$G$18,I1676))*100,3000)+J1676,IF((INDEX(Eingabe!$G$9:$G$18,I1676)+1)&lt;=9,1000+(INDEX(Eingabe!$G$9:$G$18,I1676)+1)*100,3000)+J1676-100),IF(J1676=K1676+1,2000+INDEX(Eingabe!$G$9:$G$18,I1676)*10+1,IF(J1676=K1676+2,2000+INDEX(Eingabe!$G$9:$G$18,I1676)*10+2,2000+INDEX(Eingabe!$G$9:$G$18,I1676)*10+9))),""))</f>
        <v/>
      </c>
      <c r="C1676" s="0" t="str">
        <f aca="false">IF(I1676="","",IF(AND(J1676&gt;=1,J1676&lt;=K1676+3),"10."&amp;INDEX(Eingabe!$D$9:$D$18,I1676)&amp;"."&amp;IF(J1676&lt;=K1676,J1676,IF(J1676=K1676+1,200,IF(J1676=K1676+2,201,250)))&amp;".0/24",""))</f>
        <v/>
      </c>
      <c r="D1676" s="0" t="str">
        <f aca="false">IF(I1676="","",IF(AND(J1676&gt;=1,J1676&lt;=K1676+3),"255.255.255.0",""))</f>
        <v/>
      </c>
      <c r="E1676" s="0" t="str">
        <f aca="false">IF(I1676="","",IF(AND(J1676&gt;=1,J1676&lt;=K1676+3),"10."&amp;INDEX(Eingabe!$D$9:$D$18,I1676)&amp;"."&amp;IF(J1676&lt;=K1676,J1676,IF(J1676=K1676+1,200,IF(J1676=K1676+2,201,250)))&amp;".1",""))</f>
        <v/>
      </c>
      <c r="F1676" s="0" t="str">
        <f aca="false">IF(I1676="","",IF(AND(J1676&gt;=1,J1676&lt;=K1676+3),"10."&amp;INDEX(Eingabe!$D$9:$D$18,I1676)&amp;"."&amp;IF(J1676&lt;=K1676,J1676,IF(J1676=K1676+1,200,IF(J1676=K1676+2,201,250)))&amp;".10 – 10."&amp;INDEX(Eingabe!$D$9:$D$18,I1676)&amp;"."&amp;IF(J1676&lt;=K1676,J1676,IF(J1676=K1676+1,200,IF(J1676=K1676+2,201,250)))&amp;".250",""))</f>
        <v/>
      </c>
      <c r="G1676" s="0" t="str">
        <f aca="false">IF(I1676="","",IF(AND(J1676&gt;=1,J1676&lt;=K1676),Eingabe!$B$6&amp;"-"&amp;INDEX(Eingabe!$C$9:$C$18,I1676)&amp;"-Pächter  ·  Passwort Parzelle "&amp;J1676,IF(J1676=K1676+1,Eingabe!$B$6&amp;"-"&amp;INDEX(Eingabe!$C$9:$C$18,I1676)&amp;"-Vorstand  ·  eigenes WLAN",IF(J1676=K1676+2,Eingabe!$B$6&amp;"-"&amp;INDEX(Eingabe!$C$9:$C$18,I1676)&amp;"-Gäste  ·  Voucher",IF(J1676=K1676+3,"Kabel  ·  Access Point y = .(50+y), Mast-Switch x = .(10+x)","")))))</f>
        <v/>
      </c>
      <c r="I1676" s="0" t="str">
        <f aca="false">IF(1671&lt;=(Eingabe!$P$18+Eingabe!$Q$18-1),MATCH(1671,Eingabe!$P$9:$P$18,1),"")</f>
        <v/>
      </c>
      <c r="J1676" s="0" t="str">
        <f aca="false">IF(I1676="","",1671-INDEX(Eingabe!$P$9:$P$18,I1676))</f>
        <v/>
      </c>
      <c r="K1676" s="0" t="str">
        <f aca="false">IF(I1676="","",INDEX(Eingabe!$E$9:$E$18,I1676))</f>
        <v/>
      </c>
    </row>
    <row r="1677" customFormat="false" ht="15" hidden="false" customHeight="false" outlineLevel="0" collapsed="false">
      <c r="A1677" s="0" t="str">
        <f aca="false">IF(I1677="","",IF(J1677=0,"Sparte "&amp;I1677&amp;": "&amp;INDEX(Eingabe!$B$9:$B$18,I1677)&amp;"  (Sparten-ID "&amp;INDEX(Eingabe!$D$9:$D$18,I1677)&amp;", "&amp;K1677&amp;" Parzellen)",IF(J1677&lt;=K1677,"   Parzelle "&amp;J1677,IF(J1677=K1677+1,"   Vorstand",IF(J1677=K1677+2,"   Gäste",IF(J1677=K1677+3,"   Technik (Switches, Access Points)",""))))))</f>
        <v/>
      </c>
      <c r="B1677" s="0" t="str">
        <f aca="false">IF(I1677="","",IF(AND(J1677&gt;=1,J1677&lt;=K1677+3),IF(J1677&lt;=K1677,IF(J1677&lt;=99,IF((INDEX(Eingabe!$G$9:$G$18,I1677))&lt;=9,1000+(INDEX(Eingabe!$G$9:$G$18,I1677))*100,3000)+J1677,IF((INDEX(Eingabe!$G$9:$G$18,I1677)+1)&lt;=9,1000+(INDEX(Eingabe!$G$9:$G$18,I1677)+1)*100,3000)+J1677-100),IF(J1677=K1677+1,2000+INDEX(Eingabe!$G$9:$G$18,I1677)*10+1,IF(J1677=K1677+2,2000+INDEX(Eingabe!$G$9:$G$18,I1677)*10+2,2000+INDEX(Eingabe!$G$9:$G$18,I1677)*10+9))),""))</f>
        <v/>
      </c>
      <c r="C1677" s="0" t="str">
        <f aca="false">IF(I1677="","",IF(AND(J1677&gt;=1,J1677&lt;=K1677+3),"10."&amp;INDEX(Eingabe!$D$9:$D$18,I1677)&amp;"."&amp;IF(J1677&lt;=K1677,J1677,IF(J1677=K1677+1,200,IF(J1677=K1677+2,201,250)))&amp;".0/24",""))</f>
        <v/>
      </c>
      <c r="D1677" s="0" t="str">
        <f aca="false">IF(I1677="","",IF(AND(J1677&gt;=1,J1677&lt;=K1677+3),"255.255.255.0",""))</f>
        <v/>
      </c>
      <c r="E1677" s="0" t="str">
        <f aca="false">IF(I1677="","",IF(AND(J1677&gt;=1,J1677&lt;=K1677+3),"10."&amp;INDEX(Eingabe!$D$9:$D$18,I1677)&amp;"."&amp;IF(J1677&lt;=K1677,J1677,IF(J1677=K1677+1,200,IF(J1677=K1677+2,201,250)))&amp;".1",""))</f>
        <v/>
      </c>
      <c r="F1677" s="0" t="str">
        <f aca="false">IF(I1677="","",IF(AND(J1677&gt;=1,J1677&lt;=K1677+3),"10."&amp;INDEX(Eingabe!$D$9:$D$18,I1677)&amp;"."&amp;IF(J1677&lt;=K1677,J1677,IF(J1677=K1677+1,200,IF(J1677=K1677+2,201,250)))&amp;".10 – 10."&amp;INDEX(Eingabe!$D$9:$D$18,I1677)&amp;"."&amp;IF(J1677&lt;=K1677,J1677,IF(J1677=K1677+1,200,IF(J1677=K1677+2,201,250)))&amp;".250",""))</f>
        <v/>
      </c>
      <c r="G1677" s="0" t="str">
        <f aca="false">IF(I1677="","",IF(AND(J1677&gt;=1,J1677&lt;=K1677),Eingabe!$B$6&amp;"-"&amp;INDEX(Eingabe!$C$9:$C$18,I1677)&amp;"-Pächter  ·  Passwort Parzelle "&amp;J1677,IF(J1677=K1677+1,Eingabe!$B$6&amp;"-"&amp;INDEX(Eingabe!$C$9:$C$18,I1677)&amp;"-Vorstand  ·  eigenes WLAN",IF(J1677=K1677+2,Eingabe!$B$6&amp;"-"&amp;INDEX(Eingabe!$C$9:$C$18,I1677)&amp;"-Gäste  ·  Voucher",IF(J1677=K1677+3,"Kabel  ·  Access Point y = .(50+y), Mast-Switch x = .(10+x)","")))))</f>
        <v/>
      </c>
      <c r="I1677" s="0" t="str">
        <f aca="false">IF(1672&lt;=(Eingabe!$P$18+Eingabe!$Q$18-1),MATCH(1672,Eingabe!$P$9:$P$18,1),"")</f>
        <v/>
      </c>
      <c r="J1677" s="0" t="str">
        <f aca="false">IF(I1677="","",1672-INDEX(Eingabe!$P$9:$P$18,I1677))</f>
        <v/>
      </c>
      <c r="K1677" s="0" t="str">
        <f aca="false">IF(I1677="","",INDEX(Eingabe!$E$9:$E$18,I1677))</f>
        <v/>
      </c>
    </row>
    <row r="1678" customFormat="false" ht="15" hidden="false" customHeight="false" outlineLevel="0" collapsed="false">
      <c r="A1678" s="0" t="str">
        <f aca="false">IF(I1678="","",IF(J1678=0,"Sparte "&amp;I1678&amp;": "&amp;INDEX(Eingabe!$B$9:$B$18,I1678)&amp;"  (Sparten-ID "&amp;INDEX(Eingabe!$D$9:$D$18,I1678)&amp;", "&amp;K1678&amp;" Parzellen)",IF(J1678&lt;=K1678,"   Parzelle "&amp;J1678,IF(J1678=K1678+1,"   Vorstand",IF(J1678=K1678+2,"   Gäste",IF(J1678=K1678+3,"   Technik (Switches, Access Points)",""))))))</f>
        <v/>
      </c>
      <c r="B1678" s="0" t="str">
        <f aca="false">IF(I1678="","",IF(AND(J1678&gt;=1,J1678&lt;=K1678+3),IF(J1678&lt;=K1678,IF(J1678&lt;=99,IF((INDEX(Eingabe!$G$9:$G$18,I1678))&lt;=9,1000+(INDEX(Eingabe!$G$9:$G$18,I1678))*100,3000)+J1678,IF((INDEX(Eingabe!$G$9:$G$18,I1678)+1)&lt;=9,1000+(INDEX(Eingabe!$G$9:$G$18,I1678)+1)*100,3000)+J1678-100),IF(J1678=K1678+1,2000+INDEX(Eingabe!$G$9:$G$18,I1678)*10+1,IF(J1678=K1678+2,2000+INDEX(Eingabe!$G$9:$G$18,I1678)*10+2,2000+INDEX(Eingabe!$G$9:$G$18,I1678)*10+9))),""))</f>
        <v/>
      </c>
      <c r="C1678" s="0" t="str">
        <f aca="false">IF(I1678="","",IF(AND(J1678&gt;=1,J1678&lt;=K1678+3),"10."&amp;INDEX(Eingabe!$D$9:$D$18,I1678)&amp;"."&amp;IF(J1678&lt;=K1678,J1678,IF(J1678=K1678+1,200,IF(J1678=K1678+2,201,250)))&amp;".0/24",""))</f>
        <v/>
      </c>
      <c r="D1678" s="0" t="str">
        <f aca="false">IF(I1678="","",IF(AND(J1678&gt;=1,J1678&lt;=K1678+3),"255.255.255.0",""))</f>
        <v/>
      </c>
      <c r="E1678" s="0" t="str">
        <f aca="false">IF(I1678="","",IF(AND(J1678&gt;=1,J1678&lt;=K1678+3),"10."&amp;INDEX(Eingabe!$D$9:$D$18,I1678)&amp;"."&amp;IF(J1678&lt;=K1678,J1678,IF(J1678=K1678+1,200,IF(J1678=K1678+2,201,250)))&amp;".1",""))</f>
        <v/>
      </c>
      <c r="F1678" s="0" t="str">
        <f aca="false">IF(I1678="","",IF(AND(J1678&gt;=1,J1678&lt;=K1678+3),"10."&amp;INDEX(Eingabe!$D$9:$D$18,I1678)&amp;"."&amp;IF(J1678&lt;=K1678,J1678,IF(J1678=K1678+1,200,IF(J1678=K1678+2,201,250)))&amp;".10 – 10."&amp;INDEX(Eingabe!$D$9:$D$18,I1678)&amp;"."&amp;IF(J1678&lt;=K1678,J1678,IF(J1678=K1678+1,200,IF(J1678=K1678+2,201,250)))&amp;".250",""))</f>
        <v/>
      </c>
      <c r="G1678" s="0" t="str">
        <f aca="false">IF(I1678="","",IF(AND(J1678&gt;=1,J1678&lt;=K1678),Eingabe!$B$6&amp;"-"&amp;INDEX(Eingabe!$C$9:$C$18,I1678)&amp;"-Pächter  ·  Passwort Parzelle "&amp;J1678,IF(J1678=K1678+1,Eingabe!$B$6&amp;"-"&amp;INDEX(Eingabe!$C$9:$C$18,I1678)&amp;"-Vorstand  ·  eigenes WLAN",IF(J1678=K1678+2,Eingabe!$B$6&amp;"-"&amp;INDEX(Eingabe!$C$9:$C$18,I1678)&amp;"-Gäste  ·  Voucher",IF(J1678=K1678+3,"Kabel  ·  Access Point y = .(50+y), Mast-Switch x = .(10+x)","")))))</f>
        <v/>
      </c>
      <c r="I1678" s="0" t="str">
        <f aca="false">IF(1673&lt;=(Eingabe!$P$18+Eingabe!$Q$18-1),MATCH(1673,Eingabe!$P$9:$P$18,1),"")</f>
        <v/>
      </c>
      <c r="J1678" s="0" t="str">
        <f aca="false">IF(I1678="","",1673-INDEX(Eingabe!$P$9:$P$18,I1678))</f>
        <v/>
      </c>
      <c r="K1678" s="0" t="str">
        <f aca="false">IF(I1678="","",INDEX(Eingabe!$E$9:$E$18,I1678))</f>
        <v/>
      </c>
    </row>
    <row r="1679" customFormat="false" ht="15" hidden="false" customHeight="false" outlineLevel="0" collapsed="false">
      <c r="A1679" s="0" t="str">
        <f aca="false">IF(I1679="","",IF(J1679=0,"Sparte "&amp;I1679&amp;": "&amp;INDEX(Eingabe!$B$9:$B$18,I1679)&amp;"  (Sparten-ID "&amp;INDEX(Eingabe!$D$9:$D$18,I1679)&amp;", "&amp;K1679&amp;" Parzellen)",IF(J1679&lt;=K1679,"   Parzelle "&amp;J1679,IF(J1679=K1679+1,"   Vorstand",IF(J1679=K1679+2,"   Gäste",IF(J1679=K1679+3,"   Technik (Switches, Access Points)",""))))))</f>
        <v/>
      </c>
      <c r="B1679" s="0" t="str">
        <f aca="false">IF(I1679="","",IF(AND(J1679&gt;=1,J1679&lt;=K1679+3),IF(J1679&lt;=K1679,IF(J1679&lt;=99,IF((INDEX(Eingabe!$G$9:$G$18,I1679))&lt;=9,1000+(INDEX(Eingabe!$G$9:$G$18,I1679))*100,3000)+J1679,IF((INDEX(Eingabe!$G$9:$G$18,I1679)+1)&lt;=9,1000+(INDEX(Eingabe!$G$9:$G$18,I1679)+1)*100,3000)+J1679-100),IF(J1679=K1679+1,2000+INDEX(Eingabe!$G$9:$G$18,I1679)*10+1,IF(J1679=K1679+2,2000+INDEX(Eingabe!$G$9:$G$18,I1679)*10+2,2000+INDEX(Eingabe!$G$9:$G$18,I1679)*10+9))),""))</f>
        <v/>
      </c>
      <c r="C1679" s="0" t="str">
        <f aca="false">IF(I1679="","",IF(AND(J1679&gt;=1,J1679&lt;=K1679+3),"10."&amp;INDEX(Eingabe!$D$9:$D$18,I1679)&amp;"."&amp;IF(J1679&lt;=K1679,J1679,IF(J1679=K1679+1,200,IF(J1679=K1679+2,201,250)))&amp;".0/24",""))</f>
        <v/>
      </c>
      <c r="D1679" s="0" t="str">
        <f aca="false">IF(I1679="","",IF(AND(J1679&gt;=1,J1679&lt;=K1679+3),"255.255.255.0",""))</f>
        <v/>
      </c>
      <c r="E1679" s="0" t="str">
        <f aca="false">IF(I1679="","",IF(AND(J1679&gt;=1,J1679&lt;=K1679+3),"10."&amp;INDEX(Eingabe!$D$9:$D$18,I1679)&amp;"."&amp;IF(J1679&lt;=K1679,J1679,IF(J1679=K1679+1,200,IF(J1679=K1679+2,201,250)))&amp;".1",""))</f>
        <v/>
      </c>
      <c r="F1679" s="0" t="str">
        <f aca="false">IF(I1679="","",IF(AND(J1679&gt;=1,J1679&lt;=K1679+3),"10."&amp;INDEX(Eingabe!$D$9:$D$18,I1679)&amp;"."&amp;IF(J1679&lt;=K1679,J1679,IF(J1679=K1679+1,200,IF(J1679=K1679+2,201,250)))&amp;".10 – 10."&amp;INDEX(Eingabe!$D$9:$D$18,I1679)&amp;"."&amp;IF(J1679&lt;=K1679,J1679,IF(J1679=K1679+1,200,IF(J1679=K1679+2,201,250)))&amp;".250",""))</f>
        <v/>
      </c>
      <c r="G1679" s="0" t="str">
        <f aca="false">IF(I1679="","",IF(AND(J1679&gt;=1,J1679&lt;=K1679),Eingabe!$B$6&amp;"-"&amp;INDEX(Eingabe!$C$9:$C$18,I1679)&amp;"-Pächter  ·  Passwort Parzelle "&amp;J1679,IF(J1679=K1679+1,Eingabe!$B$6&amp;"-"&amp;INDEX(Eingabe!$C$9:$C$18,I1679)&amp;"-Vorstand  ·  eigenes WLAN",IF(J1679=K1679+2,Eingabe!$B$6&amp;"-"&amp;INDEX(Eingabe!$C$9:$C$18,I1679)&amp;"-Gäste  ·  Voucher",IF(J1679=K1679+3,"Kabel  ·  Access Point y = .(50+y), Mast-Switch x = .(10+x)","")))))</f>
        <v/>
      </c>
      <c r="I1679" s="0" t="str">
        <f aca="false">IF(1674&lt;=(Eingabe!$P$18+Eingabe!$Q$18-1),MATCH(1674,Eingabe!$P$9:$P$18,1),"")</f>
        <v/>
      </c>
      <c r="J1679" s="0" t="str">
        <f aca="false">IF(I1679="","",1674-INDEX(Eingabe!$P$9:$P$18,I1679))</f>
        <v/>
      </c>
      <c r="K1679" s="0" t="str">
        <f aca="false">IF(I1679="","",INDEX(Eingabe!$E$9:$E$18,I1679))</f>
        <v/>
      </c>
    </row>
    <row r="1680" customFormat="false" ht="15" hidden="false" customHeight="false" outlineLevel="0" collapsed="false">
      <c r="A1680" s="0" t="str">
        <f aca="false">IF(I1680="","",IF(J1680=0,"Sparte "&amp;I1680&amp;": "&amp;INDEX(Eingabe!$B$9:$B$18,I1680)&amp;"  (Sparten-ID "&amp;INDEX(Eingabe!$D$9:$D$18,I1680)&amp;", "&amp;K1680&amp;" Parzellen)",IF(J1680&lt;=K1680,"   Parzelle "&amp;J1680,IF(J1680=K1680+1,"   Vorstand",IF(J1680=K1680+2,"   Gäste",IF(J1680=K1680+3,"   Technik (Switches, Access Points)",""))))))</f>
        <v/>
      </c>
      <c r="B1680" s="0" t="str">
        <f aca="false">IF(I1680="","",IF(AND(J1680&gt;=1,J1680&lt;=K1680+3),IF(J1680&lt;=K1680,IF(J1680&lt;=99,IF((INDEX(Eingabe!$G$9:$G$18,I1680))&lt;=9,1000+(INDEX(Eingabe!$G$9:$G$18,I1680))*100,3000)+J1680,IF((INDEX(Eingabe!$G$9:$G$18,I1680)+1)&lt;=9,1000+(INDEX(Eingabe!$G$9:$G$18,I1680)+1)*100,3000)+J1680-100),IF(J1680=K1680+1,2000+INDEX(Eingabe!$G$9:$G$18,I1680)*10+1,IF(J1680=K1680+2,2000+INDEX(Eingabe!$G$9:$G$18,I1680)*10+2,2000+INDEX(Eingabe!$G$9:$G$18,I1680)*10+9))),""))</f>
        <v/>
      </c>
      <c r="C1680" s="0" t="str">
        <f aca="false">IF(I1680="","",IF(AND(J1680&gt;=1,J1680&lt;=K1680+3),"10."&amp;INDEX(Eingabe!$D$9:$D$18,I1680)&amp;"."&amp;IF(J1680&lt;=K1680,J1680,IF(J1680=K1680+1,200,IF(J1680=K1680+2,201,250)))&amp;".0/24",""))</f>
        <v/>
      </c>
      <c r="D1680" s="0" t="str">
        <f aca="false">IF(I1680="","",IF(AND(J1680&gt;=1,J1680&lt;=K1680+3),"255.255.255.0",""))</f>
        <v/>
      </c>
      <c r="E1680" s="0" t="str">
        <f aca="false">IF(I1680="","",IF(AND(J1680&gt;=1,J1680&lt;=K1680+3),"10."&amp;INDEX(Eingabe!$D$9:$D$18,I1680)&amp;"."&amp;IF(J1680&lt;=K1680,J1680,IF(J1680=K1680+1,200,IF(J1680=K1680+2,201,250)))&amp;".1",""))</f>
        <v/>
      </c>
      <c r="F1680" s="0" t="str">
        <f aca="false">IF(I1680="","",IF(AND(J1680&gt;=1,J1680&lt;=K1680+3),"10."&amp;INDEX(Eingabe!$D$9:$D$18,I1680)&amp;"."&amp;IF(J1680&lt;=K1680,J1680,IF(J1680=K1680+1,200,IF(J1680=K1680+2,201,250)))&amp;".10 – 10."&amp;INDEX(Eingabe!$D$9:$D$18,I1680)&amp;"."&amp;IF(J1680&lt;=K1680,J1680,IF(J1680=K1680+1,200,IF(J1680=K1680+2,201,250)))&amp;".250",""))</f>
        <v/>
      </c>
      <c r="G1680" s="0" t="str">
        <f aca="false">IF(I1680="","",IF(AND(J1680&gt;=1,J1680&lt;=K1680),Eingabe!$B$6&amp;"-"&amp;INDEX(Eingabe!$C$9:$C$18,I1680)&amp;"-Pächter  ·  Passwort Parzelle "&amp;J1680,IF(J1680=K1680+1,Eingabe!$B$6&amp;"-"&amp;INDEX(Eingabe!$C$9:$C$18,I1680)&amp;"-Vorstand  ·  eigenes WLAN",IF(J1680=K1680+2,Eingabe!$B$6&amp;"-"&amp;INDEX(Eingabe!$C$9:$C$18,I1680)&amp;"-Gäste  ·  Voucher",IF(J1680=K1680+3,"Kabel  ·  Access Point y = .(50+y), Mast-Switch x = .(10+x)","")))))</f>
        <v/>
      </c>
      <c r="I1680" s="0" t="str">
        <f aca="false">IF(1675&lt;=(Eingabe!$P$18+Eingabe!$Q$18-1),MATCH(1675,Eingabe!$P$9:$P$18,1),"")</f>
        <v/>
      </c>
      <c r="J1680" s="0" t="str">
        <f aca="false">IF(I1680="","",1675-INDEX(Eingabe!$P$9:$P$18,I1680))</f>
        <v/>
      </c>
      <c r="K1680" s="0" t="str">
        <f aca="false">IF(I1680="","",INDEX(Eingabe!$E$9:$E$18,I1680))</f>
        <v/>
      </c>
    </row>
    <row r="1681" customFormat="false" ht="15" hidden="false" customHeight="false" outlineLevel="0" collapsed="false">
      <c r="A1681" s="0" t="str">
        <f aca="false">IF(I1681="","",IF(J1681=0,"Sparte "&amp;I1681&amp;": "&amp;INDEX(Eingabe!$B$9:$B$18,I1681)&amp;"  (Sparten-ID "&amp;INDEX(Eingabe!$D$9:$D$18,I1681)&amp;", "&amp;K1681&amp;" Parzellen)",IF(J1681&lt;=K1681,"   Parzelle "&amp;J1681,IF(J1681=K1681+1,"   Vorstand",IF(J1681=K1681+2,"   Gäste",IF(J1681=K1681+3,"   Technik (Switches, Access Points)",""))))))</f>
        <v/>
      </c>
      <c r="B1681" s="0" t="str">
        <f aca="false">IF(I1681="","",IF(AND(J1681&gt;=1,J1681&lt;=K1681+3),IF(J1681&lt;=K1681,IF(J1681&lt;=99,IF((INDEX(Eingabe!$G$9:$G$18,I1681))&lt;=9,1000+(INDEX(Eingabe!$G$9:$G$18,I1681))*100,3000)+J1681,IF((INDEX(Eingabe!$G$9:$G$18,I1681)+1)&lt;=9,1000+(INDEX(Eingabe!$G$9:$G$18,I1681)+1)*100,3000)+J1681-100),IF(J1681=K1681+1,2000+INDEX(Eingabe!$G$9:$G$18,I1681)*10+1,IF(J1681=K1681+2,2000+INDEX(Eingabe!$G$9:$G$18,I1681)*10+2,2000+INDEX(Eingabe!$G$9:$G$18,I1681)*10+9))),""))</f>
        <v/>
      </c>
      <c r="C1681" s="0" t="str">
        <f aca="false">IF(I1681="","",IF(AND(J1681&gt;=1,J1681&lt;=K1681+3),"10."&amp;INDEX(Eingabe!$D$9:$D$18,I1681)&amp;"."&amp;IF(J1681&lt;=K1681,J1681,IF(J1681=K1681+1,200,IF(J1681=K1681+2,201,250)))&amp;".0/24",""))</f>
        <v/>
      </c>
      <c r="D1681" s="0" t="str">
        <f aca="false">IF(I1681="","",IF(AND(J1681&gt;=1,J1681&lt;=K1681+3),"255.255.255.0",""))</f>
        <v/>
      </c>
      <c r="E1681" s="0" t="str">
        <f aca="false">IF(I1681="","",IF(AND(J1681&gt;=1,J1681&lt;=K1681+3),"10."&amp;INDEX(Eingabe!$D$9:$D$18,I1681)&amp;"."&amp;IF(J1681&lt;=K1681,J1681,IF(J1681=K1681+1,200,IF(J1681=K1681+2,201,250)))&amp;".1",""))</f>
        <v/>
      </c>
      <c r="F1681" s="0" t="str">
        <f aca="false">IF(I1681="","",IF(AND(J1681&gt;=1,J1681&lt;=K1681+3),"10."&amp;INDEX(Eingabe!$D$9:$D$18,I1681)&amp;"."&amp;IF(J1681&lt;=K1681,J1681,IF(J1681=K1681+1,200,IF(J1681=K1681+2,201,250)))&amp;".10 – 10."&amp;INDEX(Eingabe!$D$9:$D$18,I1681)&amp;"."&amp;IF(J1681&lt;=K1681,J1681,IF(J1681=K1681+1,200,IF(J1681=K1681+2,201,250)))&amp;".250",""))</f>
        <v/>
      </c>
      <c r="G1681" s="0" t="str">
        <f aca="false">IF(I1681="","",IF(AND(J1681&gt;=1,J1681&lt;=K1681),Eingabe!$B$6&amp;"-"&amp;INDEX(Eingabe!$C$9:$C$18,I1681)&amp;"-Pächter  ·  Passwort Parzelle "&amp;J1681,IF(J1681=K1681+1,Eingabe!$B$6&amp;"-"&amp;INDEX(Eingabe!$C$9:$C$18,I1681)&amp;"-Vorstand  ·  eigenes WLAN",IF(J1681=K1681+2,Eingabe!$B$6&amp;"-"&amp;INDEX(Eingabe!$C$9:$C$18,I1681)&amp;"-Gäste  ·  Voucher",IF(J1681=K1681+3,"Kabel  ·  Access Point y = .(50+y), Mast-Switch x = .(10+x)","")))))</f>
        <v/>
      </c>
      <c r="I1681" s="0" t="str">
        <f aca="false">IF(1676&lt;=(Eingabe!$P$18+Eingabe!$Q$18-1),MATCH(1676,Eingabe!$P$9:$P$18,1),"")</f>
        <v/>
      </c>
      <c r="J1681" s="0" t="str">
        <f aca="false">IF(I1681="","",1676-INDEX(Eingabe!$P$9:$P$18,I1681))</f>
        <v/>
      </c>
      <c r="K1681" s="0" t="str">
        <f aca="false">IF(I1681="","",INDEX(Eingabe!$E$9:$E$18,I1681))</f>
        <v/>
      </c>
    </row>
    <row r="1682" customFormat="false" ht="15" hidden="false" customHeight="false" outlineLevel="0" collapsed="false">
      <c r="A1682" s="0" t="str">
        <f aca="false">IF(I1682="","",IF(J1682=0,"Sparte "&amp;I1682&amp;": "&amp;INDEX(Eingabe!$B$9:$B$18,I1682)&amp;"  (Sparten-ID "&amp;INDEX(Eingabe!$D$9:$D$18,I1682)&amp;", "&amp;K1682&amp;" Parzellen)",IF(J1682&lt;=K1682,"   Parzelle "&amp;J1682,IF(J1682=K1682+1,"   Vorstand",IF(J1682=K1682+2,"   Gäste",IF(J1682=K1682+3,"   Technik (Switches, Access Points)",""))))))</f>
        <v/>
      </c>
      <c r="B1682" s="0" t="str">
        <f aca="false">IF(I1682="","",IF(AND(J1682&gt;=1,J1682&lt;=K1682+3),IF(J1682&lt;=K1682,IF(J1682&lt;=99,IF((INDEX(Eingabe!$G$9:$G$18,I1682))&lt;=9,1000+(INDEX(Eingabe!$G$9:$G$18,I1682))*100,3000)+J1682,IF((INDEX(Eingabe!$G$9:$G$18,I1682)+1)&lt;=9,1000+(INDEX(Eingabe!$G$9:$G$18,I1682)+1)*100,3000)+J1682-100),IF(J1682=K1682+1,2000+INDEX(Eingabe!$G$9:$G$18,I1682)*10+1,IF(J1682=K1682+2,2000+INDEX(Eingabe!$G$9:$G$18,I1682)*10+2,2000+INDEX(Eingabe!$G$9:$G$18,I1682)*10+9))),""))</f>
        <v/>
      </c>
      <c r="C1682" s="0" t="str">
        <f aca="false">IF(I1682="","",IF(AND(J1682&gt;=1,J1682&lt;=K1682+3),"10."&amp;INDEX(Eingabe!$D$9:$D$18,I1682)&amp;"."&amp;IF(J1682&lt;=K1682,J1682,IF(J1682=K1682+1,200,IF(J1682=K1682+2,201,250)))&amp;".0/24",""))</f>
        <v/>
      </c>
      <c r="D1682" s="0" t="str">
        <f aca="false">IF(I1682="","",IF(AND(J1682&gt;=1,J1682&lt;=K1682+3),"255.255.255.0",""))</f>
        <v/>
      </c>
      <c r="E1682" s="0" t="str">
        <f aca="false">IF(I1682="","",IF(AND(J1682&gt;=1,J1682&lt;=K1682+3),"10."&amp;INDEX(Eingabe!$D$9:$D$18,I1682)&amp;"."&amp;IF(J1682&lt;=K1682,J1682,IF(J1682=K1682+1,200,IF(J1682=K1682+2,201,250)))&amp;".1",""))</f>
        <v/>
      </c>
      <c r="F1682" s="0" t="str">
        <f aca="false">IF(I1682="","",IF(AND(J1682&gt;=1,J1682&lt;=K1682+3),"10."&amp;INDEX(Eingabe!$D$9:$D$18,I1682)&amp;"."&amp;IF(J1682&lt;=K1682,J1682,IF(J1682=K1682+1,200,IF(J1682=K1682+2,201,250)))&amp;".10 – 10."&amp;INDEX(Eingabe!$D$9:$D$18,I1682)&amp;"."&amp;IF(J1682&lt;=K1682,J1682,IF(J1682=K1682+1,200,IF(J1682=K1682+2,201,250)))&amp;".250",""))</f>
        <v/>
      </c>
      <c r="G1682" s="0" t="str">
        <f aca="false">IF(I1682="","",IF(AND(J1682&gt;=1,J1682&lt;=K1682),Eingabe!$B$6&amp;"-"&amp;INDEX(Eingabe!$C$9:$C$18,I1682)&amp;"-Pächter  ·  Passwort Parzelle "&amp;J1682,IF(J1682=K1682+1,Eingabe!$B$6&amp;"-"&amp;INDEX(Eingabe!$C$9:$C$18,I1682)&amp;"-Vorstand  ·  eigenes WLAN",IF(J1682=K1682+2,Eingabe!$B$6&amp;"-"&amp;INDEX(Eingabe!$C$9:$C$18,I1682)&amp;"-Gäste  ·  Voucher",IF(J1682=K1682+3,"Kabel  ·  Access Point y = .(50+y), Mast-Switch x = .(10+x)","")))))</f>
        <v/>
      </c>
      <c r="I1682" s="0" t="str">
        <f aca="false">IF(1677&lt;=(Eingabe!$P$18+Eingabe!$Q$18-1),MATCH(1677,Eingabe!$P$9:$P$18,1),"")</f>
        <v/>
      </c>
      <c r="J1682" s="0" t="str">
        <f aca="false">IF(I1682="","",1677-INDEX(Eingabe!$P$9:$P$18,I1682))</f>
        <v/>
      </c>
      <c r="K1682" s="0" t="str">
        <f aca="false">IF(I1682="","",INDEX(Eingabe!$E$9:$E$18,I1682))</f>
        <v/>
      </c>
    </row>
    <row r="1683" customFormat="false" ht="15" hidden="false" customHeight="false" outlineLevel="0" collapsed="false">
      <c r="A1683" s="0" t="str">
        <f aca="false">IF(I1683="","",IF(J1683=0,"Sparte "&amp;I1683&amp;": "&amp;INDEX(Eingabe!$B$9:$B$18,I1683)&amp;"  (Sparten-ID "&amp;INDEX(Eingabe!$D$9:$D$18,I1683)&amp;", "&amp;K1683&amp;" Parzellen)",IF(J1683&lt;=K1683,"   Parzelle "&amp;J1683,IF(J1683=K1683+1,"   Vorstand",IF(J1683=K1683+2,"   Gäste",IF(J1683=K1683+3,"   Technik (Switches, Access Points)",""))))))</f>
        <v/>
      </c>
      <c r="B1683" s="0" t="str">
        <f aca="false">IF(I1683="","",IF(AND(J1683&gt;=1,J1683&lt;=K1683+3),IF(J1683&lt;=K1683,IF(J1683&lt;=99,IF((INDEX(Eingabe!$G$9:$G$18,I1683))&lt;=9,1000+(INDEX(Eingabe!$G$9:$G$18,I1683))*100,3000)+J1683,IF((INDEX(Eingabe!$G$9:$G$18,I1683)+1)&lt;=9,1000+(INDEX(Eingabe!$G$9:$G$18,I1683)+1)*100,3000)+J1683-100),IF(J1683=K1683+1,2000+INDEX(Eingabe!$G$9:$G$18,I1683)*10+1,IF(J1683=K1683+2,2000+INDEX(Eingabe!$G$9:$G$18,I1683)*10+2,2000+INDEX(Eingabe!$G$9:$G$18,I1683)*10+9))),""))</f>
        <v/>
      </c>
      <c r="C1683" s="0" t="str">
        <f aca="false">IF(I1683="","",IF(AND(J1683&gt;=1,J1683&lt;=K1683+3),"10."&amp;INDEX(Eingabe!$D$9:$D$18,I1683)&amp;"."&amp;IF(J1683&lt;=K1683,J1683,IF(J1683=K1683+1,200,IF(J1683=K1683+2,201,250)))&amp;".0/24",""))</f>
        <v/>
      </c>
      <c r="D1683" s="0" t="str">
        <f aca="false">IF(I1683="","",IF(AND(J1683&gt;=1,J1683&lt;=K1683+3),"255.255.255.0",""))</f>
        <v/>
      </c>
      <c r="E1683" s="0" t="str">
        <f aca="false">IF(I1683="","",IF(AND(J1683&gt;=1,J1683&lt;=K1683+3),"10."&amp;INDEX(Eingabe!$D$9:$D$18,I1683)&amp;"."&amp;IF(J1683&lt;=K1683,J1683,IF(J1683=K1683+1,200,IF(J1683=K1683+2,201,250)))&amp;".1",""))</f>
        <v/>
      </c>
      <c r="F1683" s="0" t="str">
        <f aca="false">IF(I1683="","",IF(AND(J1683&gt;=1,J1683&lt;=K1683+3),"10."&amp;INDEX(Eingabe!$D$9:$D$18,I1683)&amp;"."&amp;IF(J1683&lt;=K1683,J1683,IF(J1683=K1683+1,200,IF(J1683=K1683+2,201,250)))&amp;".10 – 10."&amp;INDEX(Eingabe!$D$9:$D$18,I1683)&amp;"."&amp;IF(J1683&lt;=K1683,J1683,IF(J1683=K1683+1,200,IF(J1683=K1683+2,201,250)))&amp;".250",""))</f>
        <v/>
      </c>
      <c r="G1683" s="0" t="str">
        <f aca="false">IF(I1683="","",IF(AND(J1683&gt;=1,J1683&lt;=K1683),Eingabe!$B$6&amp;"-"&amp;INDEX(Eingabe!$C$9:$C$18,I1683)&amp;"-Pächter  ·  Passwort Parzelle "&amp;J1683,IF(J1683=K1683+1,Eingabe!$B$6&amp;"-"&amp;INDEX(Eingabe!$C$9:$C$18,I1683)&amp;"-Vorstand  ·  eigenes WLAN",IF(J1683=K1683+2,Eingabe!$B$6&amp;"-"&amp;INDEX(Eingabe!$C$9:$C$18,I1683)&amp;"-Gäste  ·  Voucher",IF(J1683=K1683+3,"Kabel  ·  Access Point y = .(50+y), Mast-Switch x = .(10+x)","")))))</f>
        <v/>
      </c>
      <c r="I1683" s="0" t="str">
        <f aca="false">IF(1678&lt;=(Eingabe!$P$18+Eingabe!$Q$18-1),MATCH(1678,Eingabe!$P$9:$P$18,1),"")</f>
        <v/>
      </c>
      <c r="J1683" s="0" t="str">
        <f aca="false">IF(I1683="","",1678-INDEX(Eingabe!$P$9:$P$18,I1683))</f>
        <v/>
      </c>
      <c r="K1683" s="0" t="str">
        <f aca="false">IF(I1683="","",INDEX(Eingabe!$E$9:$E$18,I1683))</f>
        <v/>
      </c>
    </row>
    <row r="1684" customFormat="false" ht="15" hidden="false" customHeight="false" outlineLevel="0" collapsed="false">
      <c r="A1684" s="0" t="str">
        <f aca="false">IF(I1684="","",IF(J1684=0,"Sparte "&amp;I1684&amp;": "&amp;INDEX(Eingabe!$B$9:$B$18,I1684)&amp;"  (Sparten-ID "&amp;INDEX(Eingabe!$D$9:$D$18,I1684)&amp;", "&amp;K1684&amp;" Parzellen)",IF(J1684&lt;=K1684,"   Parzelle "&amp;J1684,IF(J1684=K1684+1,"   Vorstand",IF(J1684=K1684+2,"   Gäste",IF(J1684=K1684+3,"   Technik (Switches, Access Points)",""))))))</f>
        <v/>
      </c>
      <c r="B1684" s="0" t="str">
        <f aca="false">IF(I1684="","",IF(AND(J1684&gt;=1,J1684&lt;=K1684+3),IF(J1684&lt;=K1684,IF(J1684&lt;=99,IF((INDEX(Eingabe!$G$9:$G$18,I1684))&lt;=9,1000+(INDEX(Eingabe!$G$9:$G$18,I1684))*100,3000)+J1684,IF((INDEX(Eingabe!$G$9:$G$18,I1684)+1)&lt;=9,1000+(INDEX(Eingabe!$G$9:$G$18,I1684)+1)*100,3000)+J1684-100),IF(J1684=K1684+1,2000+INDEX(Eingabe!$G$9:$G$18,I1684)*10+1,IF(J1684=K1684+2,2000+INDEX(Eingabe!$G$9:$G$18,I1684)*10+2,2000+INDEX(Eingabe!$G$9:$G$18,I1684)*10+9))),""))</f>
        <v/>
      </c>
      <c r="C1684" s="0" t="str">
        <f aca="false">IF(I1684="","",IF(AND(J1684&gt;=1,J1684&lt;=K1684+3),"10."&amp;INDEX(Eingabe!$D$9:$D$18,I1684)&amp;"."&amp;IF(J1684&lt;=K1684,J1684,IF(J1684=K1684+1,200,IF(J1684=K1684+2,201,250)))&amp;".0/24",""))</f>
        <v/>
      </c>
      <c r="D1684" s="0" t="str">
        <f aca="false">IF(I1684="","",IF(AND(J1684&gt;=1,J1684&lt;=K1684+3),"255.255.255.0",""))</f>
        <v/>
      </c>
      <c r="E1684" s="0" t="str">
        <f aca="false">IF(I1684="","",IF(AND(J1684&gt;=1,J1684&lt;=K1684+3),"10."&amp;INDEX(Eingabe!$D$9:$D$18,I1684)&amp;"."&amp;IF(J1684&lt;=K1684,J1684,IF(J1684=K1684+1,200,IF(J1684=K1684+2,201,250)))&amp;".1",""))</f>
        <v/>
      </c>
      <c r="F1684" s="0" t="str">
        <f aca="false">IF(I1684="","",IF(AND(J1684&gt;=1,J1684&lt;=K1684+3),"10."&amp;INDEX(Eingabe!$D$9:$D$18,I1684)&amp;"."&amp;IF(J1684&lt;=K1684,J1684,IF(J1684=K1684+1,200,IF(J1684=K1684+2,201,250)))&amp;".10 – 10."&amp;INDEX(Eingabe!$D$9:$D$18,I1684)&amp;"."&amp;IF(J1684&lt;=K1684,J1684,IF(J1684=K1684+1,200,IF(J1684=K1684+2,201,250)))&amp;".250",""))</f>
        <v/>
      </c>
      <c r="G1684" s="0" t="str">
        <f aca="false">IF(I1684="","",IF(AND(J1684&gt;=1,J1684&lt;=K1684),Eingabe!$B$6&amp;"-"&amp;INDEX(Eingabe!$C$9:$C$18,I1684)&amp;"-Pächter  ·  Passwort Parzelle "&amp;J1684,IF(J1684=K1684+1,Eingabe!$B$6&amp;"-"&amp;INDEX(Eingabe!$C$9:$C$18,I1684)&amp;"-Vorstand  ·  eigenes WLAN",IF(J1684=K1684+2,Eingabe!$B$6&amp;"-"&amp;INDEX(Eingabe!$C$9:$C$18,I1684)&amp;"-Gäste  ·  Voucher",IF(J1684=K1684+3,"Kabel  ·  Access Point y = .(50+y), Mast-Switch x = .(10+x)","")))))</f>
        <v/>
      </c>
      <c r="I1684" s="0" t="str">
        <f aca="false">IF(1679&lt;=(Eingabe!$P$18+Eingabe!$Q$18-1),MATCH(1679,Eingabe!$P$9:$P$18,1),"")</f>
        <v/>
      </c>
      <c r="J1684" s="0" t="str">
        <f aca="false">IF(I1684="","",1679-INDEX(Eingabe!$P$9:$P$18,I1684))</f>
        <v/>
      </c>
      <c r="K1684" s="0" t="str">
        <f aca="false">IF(I1684="","",INDEX(Eingabe!$E$9:$E$18,I1684))</f>
        <v/>
      </c>
    </row>
    <row r="1685" customFormat="false" ht="15" hidden="false" customHeight="false" outlineLevel="0" collapsed="false">
      <c r="A1685" s="0" t="str">
        <f aca="false">IF(I1685="","",IF(J1685=0,"Sparte "&amp;I1685&amp;": "&amp;INDEX(Eingabe!$B$9:$B$18,I1685)&amp;"  (Sparten-ID "&amp;INDEX(Eingabe!$D$9:$D$18,I1685)&amp;", "&amp;K1685&amp;" Parzellen)",IF(J1685&lt;=K1685,"   Parzelle "&amp;J1685,IF(J1685=K1685+1,"   Vorstand",IF(J1685=K1685+2,"   Gäste",IF(J1685=K1685+3,"   Technik (Switches, Access Points)",""))))))</f>
        <v/>
      </c>
      <c r="B1685" s="0" t="str">
        <f aca="false">IF(I1685="","",IF(AND(J1685&gt;=1,J1685&lt;=K1685+3),IF(J1685&lt;=K1685,IF(J1685&lt;=99,IF((INDEX(Eingabe!$G$9:$G$18,I1685))&lt;=9,1000+(INDEX(Eingabe!$G$9:$G$18,I1685))*100,3000)+J1685,IF((INDEX(Eingabe!$G$9:$G$18,I1685)+1)&lt;=9,1000+(INDEX(Eingabe!$G$9:$G$18,I1685)+1)*100,3000)+J1685-100),IF(J1685=K1685+1,2000+INDEX(Eingabe!$G$9:$G$18,I1685)*10+1,IF(J1685=K1685+2,2000+INDEX(Eingabe!$G$9:$G$18,I1685)*10+2,2000+INDEX(Eingabe!$G$9:$G$18,I1685)*10+9))),""))</f>
        <v/>
      </c>
      <c r="C1685" s="0" t="str">
        <f aca="false">IF(I1685="","",IF(AND(J1685&gt;=1,J1685&lt;=K1685+3),"10."&amp;INDEX(Eingabe!$D$9:$D$18,I1685)&amp;"."&amp;IF(J1685&lt;=K1685,J1685,IF(J1685=K1685+1,200,IF(J1685=K1685+2,201,250)))&amp;".0/24",""))</f>
        <v/>
      </c>
      <c r="D1685" s="0" t="str">
        <f aca="false">IF(I1685="","",IF(AND(J1685&gt;=1,J1685&lt;=K1685+3),"255.255.255.0",""))</f>
        <v/>
      </c>
      <c r="E1685" s="0" t="str">
        <f aca="false">IF(I1685="","",IF(AND(J1685&gt;=1,J1685&lt;=K1685+3),"10."&amp;INDEX(Eingabe!$D$9:$D$18,I1685)&amp;"."&amp;IF(J1685&lt;=K1685,J1685,IF(J1685=K1685+1,200,IF(J1685=K1685+2,201,250)))&amp;".1",""))</f>
        <v/>
      </c>
      <c r="F1685" s="0" t="str">
        <f aca="false">IF(I1685="","",IF(AND(J1685&gt;=1,J1685&lt;=K1685+3),"10."&amp;INDEX(Eingabe!$D$9:$D$18,I1685)&amp;"."&amp;IF(J1685&lt;=K1685,J1685,IF(J1685=K1685+1,200,IF(J1685=K1685+2,201,250)))&amp;".10 – 10."&amp;INDEX(Eingabe!$D$9:$D$18,I1685)&amp;"."&amp;IF(J1685&lt;=K1685,J1685,IF(J1685=K1685+1,200,IF(J1685=K1685+2,201,250)))&amp;".250",""))</f>
        <v/>
      </c>
      <c r="G1685" s="0" t="str">
        <f aca="false">IF(I1685="","",IF(AND(J1685&gt;=1,J1685&lt;=K1685),Eingabe!$B$6&amp;"-"&amp;INDEX(Eingabe!$C$9:$C$18,I1685)&amp;"-Pächter  ·  Passwort Parzelle "&amp;J1685,IF(J1685=K1685+1,Eingabe!$B$6&amp;"-"&amp;INDEX(Eingabe!$C$9:$C$18,I1685)&amp;"-Vorstand  ·  eigenes WLAN",IF(J1685=K1685+2,Eingabe!$B$6&amp;"-"&amp;INDEX(Eingabe!$C$9:$C$18,I1685)&amp;"-Gäste  ·  Voucher",IF(J1685=K1685+3,"Kabel  ·  Access Point y = .(50+y), Mast-Switch x = .(10+x)","")))))</f>
        <v/>
      </c>
      <c r="I1685" s="0" t="str">
        <f aca="false">IF(1680&lt;=(Eingabe!$P$18+Eingabe!$Q$18-1),MATCH(1680,Eingabe!$P$9:$P$18,1),"")</f>
        <v/>
      </c>
      <c r="J1685" s="0" t="str">
        <f aca="false">IF(I1685="","",1680-INDEX(Eingabe!$P$9:$P$18,I1685))</f>
        <v/>
      </c>
      <c r="K1685" s="0" t="str">
        <f aca="false">IF(I1685="","",INDEX(Eingabe!$E$9:$E$18,I1685))</f>
        <v/>
      </c>
    </row>
    <row r="1686" customFormat="false" ht="15" hidden="false" customHeight="false" outlineLevel="0" collapsed="false">
      <c r="A1686" s="0" t="str">
        <f aca="false">IF(I1686="","",IF(J1686=0,"Sparte "&amp;I1686&amp;": "&amp;INDEX(Eingabe!$B$9:$B$18,I1686)&amp;"  (Sparten-ID "&amp;INDEX(Eingabe!$D$9:$D$18,I1686)&amp;", "&amp;K1686&amp;" Parzellen)",IF(J1686&lt;=K1686,"   Parzelle "&amp;J1686,IF(J1686=K1686+1,"   Vorstand",IF(J1686=K1686+2,"   Gäste",IF(J1686=K1686+3,"   Technik (Switches, Access Points)",""))))))</f>
        <v/>
      </c>
      <c r="B1686" s="0" t="str">
        <f aca="false">IF(I1686="","",IF(AND(J1686&gt;=1,J1686&lt;=K1686+3),IF(J1686&lt;=K1686,IF(J1686&lt;=99,IF((INDEX(Eingabe!$G$9:$G$18,I1686))&lt;=9,1000+(INDEX(Eingabe!$G$9:$G$18,I1686))*100,3000)+J1686,IF((INDEX(Eingabe!$G$9:$G$18,I1686)+1)&lt;=9,1000+(INDEX(Eingabe!$G$9:$G$18,I1686)+1)*100,3000)+J1686-100),IF(J1686=K1686+1,2000+INDEX(Eingabe!$G$9:$G$18,I1686)*10+1,IF(J1686=K1686+2,2000+INDEX(Eingabe!$G$9:$G$18,I1686)*10+2,2000+INDEX(Eingabe!$G$9:$G$18,I1686)*10+9))),""))</f>
        <v/>
      </c>
      <c r="C1686" s="0" t="str">
        <f aca="false">IF(I1686="","",IF(AND(J1686&gt;=1,J1686&lt;=K1686+3),"10."&amp;INDEX(Eingabe!$D$9:$D$18,I1686)&amp;"."&amp;IF(J1686&lt;=K1686,J1686,IF(J1686=K1686+1,200,IF(J1686=K1686+2,201,250)))&amp;".0/24",""))</f>
        <v/>
      </c>
      <c r="D1686" s="0" t="str">
        <f aca="false">IF(I1686="","",IF(AND(J1686&gt;=1,J1686&lt;=K1686+3),"255.255.255.0",""))</f>
        <v/>
      </c>
      <c r="E1686" s="0" t="str">
        <f aca="false">IF(I1686="","",IF(AND(J1686&gt;=1,J1686&lt;=K1686+3),"10."&amp;INDEX(Eingabe!$D$9:$D$18,I1686)&amp;"."&amp;IF(J1686&lt;=K1686,J1686,IF(J1686=K1686+1,200,IF(J1686=K1686+2,201,250)))&amp;".1",""))</f>
        <v/>
      </c>
      <c r="F1686" s="0" t="str">
        <f aca="false">IF(I1686="","",IF(AND(J1686&gt;=1,J1686&lt;=K1686+3),"10."&amp;INDEX(Eingabe!$D$9:$D$18,I1686)&amp;"."&amp;IF(J1686&lt;=K1686,J1686,IF(J1686=K1686+1,200,IF(J1686=K1686+2,201,250)))&amp;".10 – 10."&amp;INDEX(Eingabe!$D$9:$D$18,I1686)&amp;"."&amp;IF(J1686&lt;=K1686,J1686,IF(J1686=K1686+1,200,IF(J1686=K1686+2,201,250)))&amp;".250",""))</f>
        <v/>
      </c>
      <c r="G1686" s="0" t="str">
        <f aca="false">IF(I1686="","",IF(AND(J1686&gt;=1,J1686&lt;=K1686),Eingabe!$B$6&amp;"-"&amp;INDEX(Eingabe!$C$9:$C$18,I1686)&amp;"-Pächter  ·  Passwort Parzelle "&amp;J1686,IF(J1686=K1686+1,Eingabe!$B$6&amp;"-"&amp;INDEX(Eingabe!$C$9:$C$18,I1686)&amp;"-Vorstand  ·  eigenes WLAN",IF(J1686=K1686+2,Eingabe!$B$6&amp;"-"&amp;INDEX(Eingabe!$C$9:$C$18,I1686)&amp;"-Gäste  ·  Voucher",IF(J1686=K1686+3,"Kabel  ·  Access Point y = .(50+y), Mast-Switch x = .(10+x)","")))))</f>
        <v/>
      </c>
      <c r="I1686" s="0" t="str">
        <f aca="false">IF(1681&lt;=(Eingabe!$P$18+Eingabe!$Q$18-1),MATCH(1681,Eingabe!$P$9:$P$18,1),"")</f>
        <v/>
      </c>
      <c r="J1686" s="0" t="str">
        <f aca="false">IF(I1686="","",1681-INDEX(Eingabe!$P$9:$P$18,I1686))</f>
        <v/>
      </c>
      <c r="K1686" s="0" t="str">
        <f aca="false">IF(I1686="","",INDEX(Eingabe!$E$9:$E$18,I1686))</f>
        <v/>
      </c>
    </row>
    <row r="1687" customFormat="false" ht="15" hidden="false" customHeight="false" outlineLevel="0" collapsed="false">
      <c r="A1687" s="0" t="str">
        <f aca="false">IF(I1687="","",IF(J1687=0,"Sparte "&amp;I1687&amp;": "&amp;INDEX(Eingabe!$B$9:$B$18,I1687)&amp;"  (Sparten-ID "&amp;INDEX(Eingabe!$D$9:$D$18,I1687)&amp;", "&amp;K1687&amp;" Parzellen)",IF(J1687&lt;=K1687,"   Parzelle "&amp;J1687,IF(J1687=K1687+1,"   Vorstand",IF(J1687=K1687+2,"   Gäste",IF(J1687=K1687+3,"   Technik (Switches, Access Points)",""))))))</f>
        <v/>
      </c>
      <c r="B1687" s="0" t="str">
        <f aca="false">IF(I1687="","",IF(AND(J1687&gt;=1,J1687&lt;=K1687+3),IF(J1687&lt;=K1687,IF(J1687&lt;=99,IF((INDEX(Eingabe!$G$9:$G$18,I1687))&lt;=9,1000+(INDEX(Eingabe!$G$9:$G$18,I1687))*100,3000)+J1687,IF((INDEX(Eingabe!$G$9:$G$18,I1687)+1)&lt;=9,1000+(INDEX(Eingabe!$G$9:$G$18,I1687)+1)*100,3000)+J1687-100),IF(J1687=K1687+1,2000+INDEX(Eingabe!$G$9:$G$18,I1687)*10+1,IF(J1687=K1687+2,2000+INDEX(Eingabe!$G$9:$G$18,I1687)*10+2,2000+INDEX(Eingabe!$G$9:$G$18,I1687)*10+9))),""))</f>
        <v/>
      </c>
      <c r="C1687" s="0" t="str">
        <f aca="false">IF(I1687="","",IF(AND(J1687&gt;=1,J1687&lt;=K1687+3),"10."&amp;INDEX(Eingabe!$D$9:$D$18,I1687)&amp;"."&amp;IF(J1687&lt;=K1687,J1687,IF(J1687=K1687+1,200,IF(J1687=K1687+2,201,250)))&amp;".0/24",""))</f>
        <v/>
      </c>
      <c r="D1687" s="0" t="str">
        <f aca="false">IF(I1687="","",IF(AND(J1687&gt;=1,J1687&lt;=K1687+3),"255.255.255.0",""))</f>
        <v/>
      </c>
      <c r="E1687" s="0" t="str">
        <f aca="false">IF(I1687="","",IF(AND(J1687&gt;=1,J1687&lt;=K1687+3),"10."&amp;INDEX(Eingabe!$D$9:$D$18,I1687)&amp;"."&amp;IF(J1687&lt;=K1687,J1687,IF(J1687=K1687+1,200,IF(J1687=K1687+2,201,250)))&amp;".1",""))</f>
        <v/>
      </c>
      <c r="F1687" s="0" t="str">
        <f aca="false">IF(I1687="","",IF(AND(J1687&gt;=1,J1687&lt;=K1687+3),"10."&amp;INDEX(Eingabe!$D$9:$D$18,I1687)&amp;"."&amp;IF(J1687&lt;=K1687,J1687,IF(J1687=K1687+1,200,IF(J1687=K1687+2,201,250)))&amp;".10 – 10."&amp;INDEX(Eingabe!$D$9:$D$18,I1687)&amp;"."&amp;IF(J1687&lt;=K1687,J1687,IF(J1687=K1687+1,200,IF(J1687=K1687+2,201,250)))&amp;".250",""))</f>
        <v/>
      </c>
      <c r="G1687" s="0" t="str">
        <f aca="false">IF(I1687="","",IF(AND(J1687&gt;=1,J1687&lt;=K1687),Eingabe!$B$6&amp;"-"&amp;INDEX(Eingabe!$C$9:$C$18,I1687)&amp;"-Pächter  ·  Passwort Parzelle "&amp;J1687,IF(J1687=K1687+1,Eingabe!$B$6&amp;"-"&amp;INDEX(Eingabe!$C$9:$C$18,I1687)&amp;"-Vorstand  ·  eigenes WLAN",IF(J1687=K1687+2,Eingabe!$B$6&amp;"-"&amp;INDEX(Eingabe!$C$9:$C$18,I1687)&amp;"-Gäste  ·  Voucher",IF(J1687=K1687+3,"Kabel  ·  Access Point y = .(50+y), Mast-Switch x = .(10+x)","")))))</f>
        <v/>
      </c>
      <c r="I1687" s="0" t="str">
        <f aca="false">IF(1682&lt;=(Eingabe!$P$18+Eingabe!$Q$18-1),MATCH(1682,Eingabe!$P$9:$P$18,1),"")</f>
        <v/>
      </c>
      <c r="J1687" s="0" t="str">
        <f aca="false">IF(I1687="","",1682-INDEX(Eingabe!$P$9:$P$18,I1687))</f>
        <v/>
      </c>
      <c r="K1687" s="0" t="str">
        <f aca="false">IF(I1687="","",INDEX(Eingabe!$E$9:$E$18,I1687))</f>
        <v/>
      </c>
    </row>
    <row r="1688" customFormat="false" ht="15" hidden="false" customHeight="false" outlineLevel="0" collapsed="false">
      <c r="A1688" s="0" t="str">
        <f aca="false">IF(I1688="","",IF(J1688=0,"Sparte "&amp;I1688&amp;": "&amp;INDEX(Eingabe!$B$9:$B$18,I1688)&amp;"  (Sparten-ID "&amp;INDEX(Eingabe!$D$9:$D$18,I1688)&amp;", "&amp;K1688&amp;" Parzellen)",IF(J1688&lt;=K1688,"   Parzelle "&amp;J1688,IF(J1688=K1688+1,"   Vorstand",IF(J1688=K1688+2,"   Gäste",IF(J1688=K1688+3,"   Technik (Switches, Access Points)",""))))))</f>
        <v/>
      </c>
      <c r="B1688" s="0" t="str">
        <f aca="false">IF(I1688="","",IF(AND(J1688&gt;=1,J1688&lt;=K1688+3),IF(J1688&lt;=K1688,IF(J1688&lt;=99,IF((INDEX(Eingabe!$G$9:$G$18,I1688))&lt;=9,1000+(INDEX(Eingabe!$G$9:$G$18,I1688))*100,3000)+J1688,IF((INDEX(Eingabe!$G$9:$G$18,I1688)+1)&lt;=9,1000+(INDEX(Eingabe!$G$9:$G$18,I1688)+1)*100,3000)+J1688-100),IF(J1688=K1688+1,2000+INDEX(Eingabe!$G$9:$G$18,I1688)*10+1,IF(J1688=K1688+2,2000+INDEX(Eingabe!$G$9:$G$18,I1688)*10+2,2000+INDEX(Eingabe!$G$9:$G$18,I1688)*10+9))),""))</f>
        <v/>
      </c>
      <c r="C1688" s="0" t="str">
        <f aca="false">IF(I1688="","",IF(AND(J1688&gt;=1,J1688&lt;=K1688+3),"10."&amp;INDEX(Eingabe!$D$9:$D$18,I1688)&amp;"."&amp;IF(J1688&lt;=K1688,J1688,IF(J1688=K1688+1,200,IF(J1688=K1688+2,201,250)))&amp;".0/24",""))</f>
        <v/>
      </c>
      <c r="D1688" s="0" t="str">
        <f aca="false">IF(I1688="","",IF(AND(J1688&gt;=1,J1688&lt;=K1688+3),"255.255.255.0",""))</f>
        <v/>
      </c>
      <c r="E1688" s="0" t="str">
        <f aca="false">IF(I1688="","",IF(AND(J1688&gt;=1,J1688&lt;=K1688+3),"10."&amp;INDEX(Eingabe!$D$9:$D$18,I1688)&amp;"."&amp;IF(J1688&lt;=K1688,J1688,IF(J1688=K1688+1,200,IF(J1688=K1688+2,201,250)))&amp;".1",""))</f>
        <v/>
      </c>
      <c r="F1688" s="0" t="str">
        <f aca="false">IF(I1688="","",IF(AND(J1688&gt;=1,J1688&lt;=K1688+3),"10."&amp;INDEX(Eingabe!$D$9:$D$18,I1688)&amp;"."&amp;IF(J1688&lt;=K1688,J1688,IF(J1688=K1688+1,200,IF(J1688=K1688+2,201,250)))&amp;".10 – 10."&amp;INDEX(Eingabe!$D$9:$D$18,I1688)&amp;"."&amp;IF(J1688&lt;=K1688,J1688,IF(J1688=K1688+1,200,IF(J1688=K1688+2,201,250)))&amp;".250",""))</f>
        <v/>
      </c>
      <c r="G1688" s="0" t="str">
        <f aca="false">IF(I1688="","",IF(AND(J1688&gt;=1,J1688&lt;=K1688),Eingabe!$B$6&amp;"-"&amp;INDEX(Eingabe!$C$9:$C$18,I1688)&amp;"-Pächter  ·  Passwort Parzelle "&amp;J1688,IF(J1688=K1688+1,Eingabe!$B$6&amp;"-"&amp;INDEX(Eingabe!$C$9:$C$18,I1688)&amp;"-Vorstand  ·  eigenes WLAN",IF(J1688=K1688+2,Eingabe!$B$6&amp;"-"&amp;INDEX(Eingabe!$C$9:$C$18,I1688)&amp;"-Gäste  ·  Voucher",IF(J1688=K1688+3,"Kabel  ·  Access Point y = .(50+y), Mast-Switch x = .(10+x)","")))))</f>
        <v/>
      </c>
      <c r="I1688" s="0" t="str">
        <f aca="false">IF(1683&lt;=(Eingabe!$P$18+Eingabe!$Q$18-1),MATCH(1683,Eingabe!$P$9:$P$18,1),"")</f>
        <v/>
      </c>
      <c r="J1688" s="0" t="str">
        <f aca="false">IF(I1688="","",1683-INDEX(Eingabe!$P$9:$P$18,I1688))</f>
        <v/>
      </c>
      <c r="K1688" s="0" t="str">
        <f aca="false">IF(I1688="","",INDEX(Eingabe!$E$9:$E$18,I1688))</f>
        <v/>
      </c>
    </row>
    <row r="1689" customFormat="false" ht="15" hidden="false" customHeight="false" outlineLevel="0" collapsed="false">
      <c r="A1689" s="0" t="str">
        <f aca="false">IF(I1689="","",IF(J1689=0,"Sparte "&amp;I1689&amp;": "&amp;INDEX(Eingabe!$B$9:$B$18,I1689)&amp;"  (Sparten-ID "&amp;INDEX(Eingabe!$D$9:$D$18,I1689)&amp;", "&amp;K1689&amp;" Parzellen)",IF(J1689&lt;=K1689,"   Parzelle "&amp;J1689,IF(J1689=K1689+1,"   Vorstand",IF(J1689=K1689+2,"   Gäste",IF(J1689=K1689+3,"   Technik (Switches, Access Points)",""))))))</f>
        <v/>
      </c>
      <c r="B1689" s="0" t="str">
        <f aca="false">IF(I1689="","",IF(AND(J1689&gt;=1,J1689&lt;=K1689+3),IF(J1689&lt;=K1689,IF(J1689&lt;=99,IF((INDEX(Eingabe!$G$9:$G$18,I1689))&lt;=9,1000+(INDEX(Eingabe!$G$9:$G$18,I1689))*100,3000)+J1689,IF((INDEX(Eingabe!$G$9:$G$18,I1689)+1)&lt;=9,1000+(INDEX(Eingabe!$G$9:$G$18,I1689)+1)*100,3000)+J1689-100),IF(J1689=K1689+1,2000+INDEX(Eingabe!$G$9:$G$18,I1689)*10+1,IF(J1689=K1689+2,2000+INDEX(Eingabe!$G$9:$G$18,I1689)*10+2,2000+INDEX(Eingabe!$G$9:$G$18,I1689)*10+9))),""))</f>
        <v/>
      </c>
      <c r="C1689" s="0" t="str">
        <f aca="false">IF(I1689="","",IF(AND(J1689&gt;=1,J1689&lt;=K1689+3),"10."&amp;INDEX(Eingabe!$D$9:$D$18,I1689)&amp;"."&amp;IF(J1689&lt;=K1689,J1689,IF(J1689=K1689+1,200,IF(J1689=K1689+2,201,250)))&amp;".0/24",""))</f>
        <v/>
      </c>
      <c r="D1689" s="0" t="str">
        <f aca="false">IF(I1689="","",IF(AND(J1689&gt;=1,J1689&lt;=K1689+3),"255.255.255.0",""))</f>
        <v/>
      </c>
      <c r="E1689" s="0" t="str">
        <f aca="false">IF(I1689="","",IF(AND(J1689&gt;=1,J1689&lt;=K1689+3),"10."&amp;INDEX(Eingabe!$D$9:$D$18,I1689)&amp;"."&amp;IF(J1689&lt;=K1689,J1689,IF(J1689=K1689+1,200,IF(J1689=K1689+2,201,250)))&amp;".1",""))</f>
        <v/>
      </c>
      <c r="F1689" s="0" t="str">
        <f aca="false">IF(I1689="","",IF(AND(J1689&gt;=1,J1689&lt;=K1689+3),"10."&amp;INDEX(Eingabe!$D$9:$D$18,I1689)&amp;"."&amp;IF(J1689&lt;=K1689,J1689,IF(J1689=K1689+1,200,IF(J1689=K1689+2,201,250)))&amp;".10 – 10."&amp;INDEX(Eingabe!$D$9:$D$18,I1689)&amp;"."&amp;IF(J1689&lt;=K1689,J1689,IF(J1689=K1689+1,200,IF(J1689=K1689+2,201,250)))&amp;".250",""))</f>
        <v/>
      </c>
      <c r="G1689" s="0" t="str">
        <f aca="false">IF(I1689="","",IF(AND(J1689&gt;=1,J1689&lt;=K1689),Eingabe!$B$6&amp;"-"&amp;INDEX(Eingabe!$C$9:$C$18,I1689)&amp;"-Pächter  ·  Passwort Parzelle "&amp;J1689,IF(J1689=K1689+1,Eingabe!$B$6&amp;"-"&amp;INDEX(Eingabe!$C$9:$C$18,I1689)&amp;"-Vorstand  ·  eigenes WLAN",IF(J1689=K1689+2,Eingabe!$B$6&amp;"-"&amp;INDEX(Eingabe!$C$9:$C$18,I1689)&amp;"-Gäste  ·  Voucher",IF(J1689=K1689+3,"Kabel  ·  Access Point y = .(50+y), Mast-Switch x = .(10+x)","")))))</f>
        <v/>
      </c>
      <c r="I1689" s="0" t="str">
        <f aca="false">IF(1684&lt;=(Eingabe!$P$18+Eingabe!$Q$18-1),MATCH(1684,Eingabe!$P$9:$P$18,1),"")</f>
        <v/>
      </c>
      <c r="J1689" s="0" t="str">
        <f aca="false">IF(I1689="","",1684-INDEX(Eingabe!$P$9:$P$18,I1689))</f>
        <v/>
      </c>
      <c r="K1689" s="0" t="str">
        <f aca="false">IF(I1689="","",INDEX(Eingabe!$E$9:$E$18,I1689))</f>
        <v/>
      </c>
    </row>
    <row r="1690" customFormat="false" ht="15" hidden="false" customHeight="false" outlineLevel="0" collapsed="false">
      <c r="A1690" s="0" t="str">
        <f aca="false">IF(I1690="","",IF(J1690=0,"Sparte "&amp;I1690&amp;": "&amp;INDEX(Eingabe!$B$9:$B$18,I1690)&amp;"  (Sparten-ID "&amp;INDEX(Eingabe!$D$9:$D$18,I1690)&amp;", "&amp;K1690&amp;" Parzellen)",IF(J1690&lt;=K1690,"   Parzelle "&amp;J1690,IF(J1690=K1690+1,"   Vorstand",IF(J1690=K1690+2,"   Gäste",IF(J1690=K1690+3,"   Technik (Switches, Access Points)",""))))))</f>
        <v/>
      </c>
      <c r="B1690" s="0" t="str">
        <f aca="false">IF(I1690="","",IF(AND(J1690&gt;=1,J1690&lt;=K1690+3),IF(J1690&lt;=K1690,IF(J1690&lt;=99,IF((INDEX(Eingabe!$G$9:$G$18,I1690))&lt;=9,1000+(INDEX(Eingabe!$G$9:$G$18,I1690))*100,3000)+J1690,IF((INDEX(Eingabe!$G$9:$G$18,I1690)+1)&lt;=9,1000+(INDEX(Eingabe!$G$9:$G$18,I1690)+1)*100,3000)+J1690-100),IF(J1690=K1690+1,2000+INDEX(Eingabe!$G$9:$G$18,I1690)*10+1,IF(J1690=K1690+2,2000+INDEX(Eingabe!$G$9:$G$18,I1690)*10+2,2000+INDEX(Eingabe!$G$9:$G$18,I1690)*10+9))),""))</f>
        <v/>
      </c>
      <c r="C1690" s="0" t="str">
        <f aca="false">IF(I1690="","",IF(AND(J1690&gt;=1,J1690&lt;=K1690+3),"10."&amp;INDEX(Eingabe!$D$9:$D$18,I1690)&amp;"."&amp;IF(J1690&lt;=K1690,J1690,IF(J1690=K1690+1,200,IF(J1690=K1690+2,201,250)))&amp;".0/24",""))</f>
        <v/>
      </c>
      <c r="D1690" s="0" t="str">
        <f aca="false">IF(I1690="","",IF(AND(J1690&gt;=1,J1690&lt;=K1690+3),"255.255.255.0",""))</f>
        <v/>
      </c>
      <c r="E1690" s="0" t="str">
        <f aca="false">IF(I1690="","",IF(AND(J1690&gt;=1,J1690&lt;=K1690+3),"10."&amp;INDEX(Eingabe!$D$9:$D$18,I1690)&amp;"."&amp;IF(J1690&lt;=K1690,J1690,IF(J1690=K1690+1,200,IF(J1690=K1690+2,201,250)))&amp;".1",""))</f>
        <v/>
      </c>
      <c r="F1690" s="0" t="str">
        <f aca="false">IF(I1690="","",IF(AND(J1690&gt;=1,J1690&lt;=K1690+3),"10."&amp;INDEX(Eingabe!$D$9:$D$18,I1690)&amp;"."&amp;IF(J1690&lt;=K1690,J1690,IF(J1690=K1690+1,200,IF(J1690=K1690+2,201,250)))&amp;".10 – 10."&amp;INDEX(Eingabe!$D$9:$D$18,I1690)&amp;"."&amp;IF(J1690&lt;=K1690,J1690,IF(J1690=K1690+1,200,IF(J1690=K1690+2,201,250)))&amp;".250",""))</f>
        <v/>
      </c>
      <c r="G1690" s="0" t="str">
        <f aca="false">IF(I1690="","",IF(AND(J1690&gt;=1,J1690&lt;=K1690),Eingabe!$B$6&amp;"-"&amp;INDEX(Eingabe!$C$9:$C$18,I1690)&amp;"-Pächter  ·  Passwort Parzelle "&amp;J1690,IF(J1690=K1690+1,Eingabe!$B$6&amp;"-"&amp;INDEX(Eingabe!$C$9:$C$18,I1690)&amp;"-Vorstand  ·  eigenes WLAN",IF(J1690=K1690+2,Eingabe!$B$6&amp;"-"&amp;INDEX(Eingabe!$C$9:$C$18,I1690)&amp;"-Gäste  ·  Voucher",IF(J1690=K1690+3,"Kabel  ·  Access Point y = .(50+y), Mast-Switch x = .(10+x)","")))))</f>
        <v/>
      </c>
      <c r="I1690" s="0" t="str">
        <f aca="false">IF(1685&lt;=(Eingabe!$P$18+Eingabe!$Q$18-1),MATCH(1685,Eingabe!$P$9:$P$18,1),"")</f>
        <v/>
      </c>
      <c r="J1690" s="0" t="str">
        <f aca="false">IF(I1690="","",1685-INDEX(Eingabe!$P$9:$P$18,I1690))</f>
        <v/>
      </c>
      <c r="K1690" s="0" t="str">
        <f aca="false">IF(I1690="","",INDEX(Eingabe!$E$9:$E$18,I1690))</f>
        <v/>
      </c>
    </row>
    <row r="1691" customFormat="false" ht="15" hidden="false" customHeight="false" outlineLevel="0" collapsed="false">
      <c r="A1691" s="0" t="str">
        <f aca="false">IF(I1691="","",IF(J1691=0,"Sparte "&amp;I1691&amp;": "&amp;INDEX(Eingabe!$B$9:$B$18,I1691)&amp;"  (Sparten-ID "&amp;INDEX(Eingabe!$D$9:$D$18,I1691)&amp;", "&amp;K1691&amp;" Parzellen)",IF(J1691&lt;=K1691,"   Parzelle "&amp;J1691,IF(J1691=K1691+1,"   Vorstand",IF(J1691=K1691+2,"   Gäste",IF(J1691=K1691+3,"   Technik (Switches, Access Points)",""))))))</f>
        <v/>
      </c>
      <c r="B1691" s="0" t="str">
        <f aca="false">IF(I1691="","",IF(AND(J1691&gt;=1,J1691&lt;=K1691+3),IF(J1691&lt;=K1691,IF(J1691&lt;=99,IF((INDEX(Eingabe!$G$9:$G$18,I1691))&lt;=9,1000+(INDEX(Eingabe!$G$9:$G$18,I1691))*100,3000)+J1691,IF((INDEX(Eingabe!$G$9:$G$18,I1691)+1)&lt;=9,1000+(INDEX(Eingabe!$G$9:$G$18,I1691)+1)*100,3000)+J1691-100),IF(J1691=K1691+1,2000+INDEX(Eingabe!$G$9:$G$18,I1691)*10+1,IF(J1691=K1691+2,2000+INDEX(Eingabe!$G$9:$G$18,I1691)*10+2,2000+INDEX(Eingabe!$G$9:$G$18,I1691)*10+9))),""))</f>
        <v/>
      </c>
      <c r="C1691" s="0" t="str">
        <f aca="false">IF(I1691="","",IF(AND(J1691&gt;=1,J1691&lt;=K1691+3),"10."&amp;INDEX(Eingabe!$D$9:$D$18,I1691)&amp;"."&amp;IF(J1691&lt;=K1691,J1691,IF(J1691=K1691+1,200,IF(J1691=K1691+2,201,250)))&amp;".0/24",""))</f>
        <v/>
      </c>
      <c r="D1691" s="0" t="str">
        <f aca="false">IF(I1691="","",IF(AND(J1691&gt;=1,J1691&lt;=K1691+3),"255.255.255.0",""))</f>
        <v/>
      </c>
      <c r="E1691" s="0" t="str">
        <f aca="false">IF(I1691="","",IF(AND(J1691&gt;=1,J1691&lt;=K1691+3),"10."&amp;INDEX(Eingabe!$D$9:$D$18,I1691)&amp;"."&amp;IF(J1691&lt;=K1691,J1691,IF(J1691=K1691+1,200,IF(J1691=K1691+2,201,250)))&amp;".1",""))</f>
        <v/>
      </c>
      <c r="F1691" s="0" t="str">
        <f aca="false">IF(I1691="","",IF(AND(J1691&gt;=1,J1691&lt;=K1691+3),"10."&amp;INDEX(Eingabe!$D$9:$D$18,I1691)&amp;"."&amp;IF(J1691&lt;=K1691,J1691,IF(J1691=K1691+1,200,IF(J1691=K1691+2,201,250)))&amp;".10 – 10."&amp;INDEX(Eingabe!$D$9:$D$18,I1691)&amp;"."&amp;IF(J1691&lt;=K1691,J1691,IF(J1691=K1691+1,200,IF(J1691=K1691+2,201,250)))&amp;".250",""))</f>
        <v/>
      </c>
      <c r="G1691" s="0" t="str">
        <f aca="false">IF(I1691="","",IF(AND(J1691&gt;=1,J1691&lt;=K1691),Eingabe!$B$6&amp;"-"&amp;INDEX(Eingabe!$C$9:$C$18,I1691)&amp;"-Pächter  ·  Passwort Parzelle "&amp;J1691,IF(J1691=K1691+1,Eingabe!$B$6&amp;"-"&amp;INDEX(Eingabe!$C$9:$C$18,I1691)&amp;"-Vorstand  ·  eigenes WLAN",IF(J1691=K1691+2,Eingabe!$B$6&amp;"-"&amp;INDEX(Eingabe!$C$9:$C$18,I1691)&amp;"-Gäste  ·  Voucher",IF(J1691=K1691+3,"Kabel  ·  Access Point y = .(50+y), Mast-Switch x = .(10+x)","")))))</f>
        <v/>
      </c>
      <c r="I1691" s="0" t="str">
        <f aca="false">IF(1686&lt;=(Eingabe!$P$18+Eingabe!$Q$18-1),MATCH(1686,Eingabe!$P$9:$P$18,1),"")</f>
        <v/>
      </c>
      <c r="J1691" s="0" t="str">
        <f aca="false">IF(I1691="","",1686-INDEX(Eingabe!$P$9:$P$18,I1691))</f>
        <v/>
      </c>
      <c r="K1691" s="0" t="str">
        <f aca="false">IF(I1691="","",INDEX(Eingabe!$E$9:$E$18,I1691))</f>
        <v/>
      </c>
    </row>
    <row r="1692" customFormat="false" ht="15" hidden="false" customHeight="false" outlineLevel="0" collapsed="false">
      <c r="A1692" s="0" t="str">
        <f aca="false">IF(I1692="","",IF(J1692=0,"Sparte "&amp;I1692&amp;": "&amp;INDEX(Eingabe!$B$9:$B$18,I1692)&amp;"  (Sparten-ID "&amp;INDEX(Eingabe!$D$9:$D$18,I1692)&amp;", "&amp;K1692&amp;" Parzellen)",IF(J1692&lt;=K1692,"   Parzelle "&amp;J1692,IF(J1692=K1692+1,"   Vorstand",IF(J1692=K1692+2,"   Gäste",IF(J1692=K1692+3,"   Technik (Switches, Access Points)",""))))))</f>
        <v/>
      </c>
      <c r="B1692" s="0" t="str">
        <f aca="false">IF(I1692="","",IF(AND(J1692&gt;=1,J1692&lt;=K1692+3),IF(J1692&lt;=K1692,IF(J1692&lt;=99,IF((INDEX(Eingabe!$G$9:$G$18,I1692))&lt;=9,1000+(INDEX(Eingabe!$G$9:$G$18,I1692))*100,3000)+J1692,IF((INDEX(Eingabe!$G$9:$G$18,I1692)+1)&lt;=9,1000+(INDEX(Eingabe!$G$9:$G$18,I1692)+1)*100,3000)+J1692-100),IF(J1692=K1692+1,2000+INDEX(Eingabe!$G$9:$G$18,I1692)*10+1,IF(J1692=K1692+2,2000+INDEX(Eingabe!$G$9:$G$18,I1692)*10+2,2000+INDEX(Eingabe!$G$9:$G$18,I1692)*10+9))),""))</f>
        <v/>
      </c>
      <c r="C1692" s="0" t="str">
        <f aca="false">IF(I1692="","",IF(AND(J1692&gt;=1,J1692&lt;=K1692+3),"10."&amp;INDEX(Eingabe!$D$9:$D$18,I1692)&amp;"."&amp;IF(J1692&lt;=K1692,J1692,IF(J1692=K1692+1,200,IF(J1692=K1692+2,201,250)))&amp;".0/24",""))</f>
        <v/>
      </c>
      <c r="D1692" s="0" t="str">
        <f aca="false">IF(I1692="","",IF(AND(J1692&gt;=1,J1692&lt;=K1692+3),"255.255.255.0",""))</f>
        <v/>
      </c>
      <c r="E1692" s="0" t="str">
        <f aca="false">IF(I1692="","",IF(AND(J1692&gt;=1,J1692&lt;=K1692+3),"10."&amp;INDEX(Eingabe!$D$9:$D$18,I1692)&amp;"."&amp;IF(J1692&lt;=K1692,J1692,IF(J1692=K1692+1,200,IF(J1692=K1692+2,201,250)))&amp;".1",""))</f>
        <v/>
      </c>
      <c r="F1692" s="0" t="str">
        <f aca="false">IF(I1692="","",IF(AND(J1692&gt;=1,J1692&lt;=K1692+3),"10."&amp;INDEX(Eingabe!$D$9:$D$18,I1692)&amp;"."&amp;IF(J1692&lt;=K1692,J1692,IF(J1692=K1692+1,200,IF(J1692=K1692+2,201,250)))&amp;".10 – 10."&amp;INDEX(Eingabe!$D$9:$D$18,I1692)&amp;"."&amp;IF(J1692&lt;=K1692,J1692,IF(J1692=K1692+1,200,IF(J1692=K1692+2,201,250)))&amp;".250",""))</f>
        <v/>
      </c>
      <c r="G1692" s="0" t="str">
        <f aca="false">IF(I1692="","",IF(AND(J1692&gt;=1,J1692&lt;=K1692),Eingabe!$B$6&amp;"-"&amp;INDEX(Eingabe!$C$9:$C$18,I1692)&amp;"-Pächter  ·  Passwort Parzelle "&amp;J1692,IF(J1692=K1692+1,Eingabe!$B$6&amp;"-"&amp;INDEX(Eingabe!$C$9:$C$18,I1692)&amp;"-Vorstand  ·  eigenes WLAN",IF(J1692=K1692+2,Eingabe!$B$6&amp;"-"&amp;INDEX(Eingabe!$C$9:$C$18,I1692)&amp;"-Gäste  ·  Voucher",IF(J1692=K1692+3,"Kabel  ·  Access Point y = .(50+y), Mast-Switch x = .(10+x)","")))))</f>
        <v/>
      </c>
      <c r="I1692" s="0" t="str">
        <f aca="false">IF(1687&lt;=(Eingabe!$P$18+Eingabe!$Q$18-1),MATCH(1687,Eingabe!$P$9:$P$18,1),"")</f>
        <v/>
      </c>
      <c r="J1692" s="0" t="str">
        <f aca="false">IF(I1692="","",1687-INDEX(Eingabe!$P$9:$P$18,I1692))</f>
        <v/>
      </c>
      <c r="K1692" s="0" t="str">
        <f aca="false">IF(I1692="","",INDEX(Eingabe!$E$9:$E$18,I1692))</f>
        <v/>
      </c>
    </row>
    <row r="1693" customFormat="false" ht="15" hidden="false" customHeight="false" outlineLevel="0" collapsed="false">
      <c r="A1693" s="0" t="str">
        <f aca="false">IF(I1693="","",IF(J1693=0,"Sparte "&amp;I1693&amp;": "&amp;INDEX(Eingabe!$B$9:$B$18,I1693)&amp;"  (Sparten-ID "&amp;INDEX(Eingabe!$D$9:$D$18,I1693)&amp;", "&amp;K1693&amp;" Parzellen)",IF(J1693&lt;=K1693,"   Parzelle "&amp;J1693,IF(J1693=K1693+1,"   Vorstand",IF(J1693=K1693+2,"   Gäste",IF(J1693=K1693+3,"   Technik (Switches, Access Points)",""))))))</f>
        <v/>
      </c>
      <c r="B1693" s="0" t="str">
        <f aca="false">IF(I1693="","",IF(AND(J1693&gt;=1,J1693&lt;=K1693+3),IF(J1693&lt;=K1693,IF(J1693&lt;=99,IF((INDEX(Eingabe!$G$9:$G$18,I1693))&lt;=9,1000+(INDEX(Eingabe!$G$9:$G$18,I1693))*100,3000)+J1693,IF((INDEX(Eingabe!$G$9:$G$18,I1693)+1)&lt;=9,1000+(INDEX(Eingabe!$G$9:$G$18,I1693)+1)*100,3000)+J1693-100),IF(J1693=K1693+1,2000+INDEX(Eingabe!$G$9:$G$18,I1693)*10+1,IF(J1693=K1693+2,2000+INDEX(Eingabe!$G$9:$G$18,I1693)*10+2,2000+INDEX(Eingabe!$G$9:$G$18,I1693)*10+9))),""))</f>
        <v/>
      </c>
      <c r="C1693" s="0" t="str">
        <f aca="false">IF(I1693="","",IF(AND(J1693&gt;=1,J1693&lt;=K1693+3),"10."&amp;INDEX(Eingabe!$D$9:$D$18,I1693)&amp;"."&amp;IF(J1693&lt;=K1693,J1693,IF(J1693=K1693+1,200,IF(J1693=K1693+2,201,250)))&amp;".0/24",""))</f>
        <v/>
      </c>
      <c r="D1693" s="0" t="str">
        <f aca="false">IF(I1693="","",IF(AND(J1693&gt;=1,J1693&lt;=K1693+3),"255.255.255.0",""))</f>
        <v/>
      </c>
      <c r="E1693" s="0" t="str">
        <f aca="false">IF(I1693="","",IF(AND(J1693&gt;=1,J1693&lt;=K1693+3),"10."&amp;INDEX(Eingabe!$D$9:$D$18,I1693)&amp;"."&amp;IF(J1693&lt;=K1693,J1693,IF(J1693=K1693+1,200,IF(J1693=K1693+2,201,250)))&amp;".1",""))</f>
        <v/>
      </c>
      <c r="F1693" s="0" t="str">
        <f aca="false">IF(I1693="","",IF(AND(J1693&gt;=1,J1693&lt;=K1693+3),"10."&amp;INDEX(Eingabe!$D$9:$D$18,I1693)&amp;"."&amp;IF(J1693&lt;=K1693,J1693,IF(J1693=K1693+1,200,IF(J1693=K1693+2,201,250)))&amp;".10 – 10."&amp;INDEX(Eingabe!$D$9:$D$18,I1693)&amp;"."&amp;IF(J1693&lt;=K1693,J1693,IF(J1693=K1693+1,200,IF(J1693=K1693+2,201,250)))&amp;".250",""))</f>
        <v/>
      </c>
      <c r="G1693" s="0" t="str">
        <f aca="false">IF(I1693="","",IF(AND(J1693&gt;=1,J1693&lt;=K1693),Eingabe!$B$6&amp;"-"&amp;INDEX(Eingabe!$C$9:$C$18,I1693)&amp;"-Pächter  ·  Passwort Parzelle "&amp;J1693,IF(J1693=K1693+1,Eingabe!$B$6&amp;"-"&amp;INDEX(Eingabe!$C$9:$C$18,I1693)&amp;"-Vorstand  ·  eigenes WLAN",IF(J1693=K1693+2,Eingabe!$B$6&amp;"-"&amp;INDEX(Eingabe!$C$9:$C$18,I1693)&amp;"-Gäste  ·  Voucher",IF(J1693=K1693+3,"Kabel  ·  Access Point y = .(50+y), Mast-Switch x = .(10+x)","")))))</f>
        <v/>
      </c>
      <c r="I1693" s="0" t="str">
        <f aca="false">IF(1688&lt;=(Eingabe!$P$18+Eingabe!$Q$18-1),MATCH(1688,Eingabe!$P$9:$P$18,1),"")</f>
        <v/>
      </c>
      <c r="J1693" s="0" t="str">
        <f aca="false">IF(I1693="","",1688-INDEX(Eingabe!$P$9:$P$18,I1693))</f>
        <v/>
      </c>
      <c r="K1693" s="0" t="str">
        <f aca="false">IF(I1693="","",INDEX(Eingabe!$E$9:$E$18,I1693))</f>
        <v/>
      </c>
    </row>
    <row r="1694" customFormat="false" ht="15" hidden="false" customHeight="false" outlineLevel="0" collapsed="false">
      <c r="A1694" s="0" t="str">
        <f aca="false">IF(I1694="","",IF(J1694=0,"Sparte "&amp;I1694&amp;": "&amp;INDEX(Eingabe!$B$9:$B$18,I1694)&amp;"  (Sparten-ID "&amp;INDEX(Eingabe!$D$9:$D$18,I1694)&amp;", "&amp;K1694&amp;" Parzellen)",IF(J1694&lt;=K1694,"   Parzelle "&amp;J1694,IF(J1694=K1694+1,"   Vorstand",IF(J1694=K1694+2,"   Gäste",IF(J1694=K1694+3,"   Technik (Switches, Access Points)",""))))))</f>
        <v/>
      </c>
      <c r="B1694" s="0" t="str">
        <f aca="false">IF(I1694="","",IF(AND(J1694&gt;=1,J1694&lt;=K1694+3),IF(J1694&lt;=K1694,IF(J1694&lt;=99,IF((INDEX(Eingabe!$G$9:$G$18,I1694))&lt;=9,1000+(INDEX(Eingabe!$G$9:$G$18,I1694))*100,3000)+J1694,IF((INDEX(Eingabe!$G$9:$G$18,I1694)+1)&lt;=9,1000+(INDEX(Eingabe!$G$9:$G$18,I1694)+1)*100,3000)+J1694-100),IF(J1694=K1694+1,2000+INDEX(Eingabe!$G$9:$G$18,I1694)*10+1,IF(J1694=K1694+2,2000+INDEX(Eingabe!$G$9:$G$18,I1694)*10+2,2000+INDEX(Eingabe!$G$9:$G$18,I1694)*10+9))),""))</f>
        <v/>
      </c>
      <c r="C1694" s="0" t="str">
        <f aca="false">IF(I1694="","",IF(AND(J1694&gt;=1,J1694&lt;=K1694+3),"10."&amp;INDEX(Eingabe!$D$9:$D$18,I1694)&amp;"."&amp;IF(J1694&lt;=K1694,J1694,IF(J1694=K1694+1,200,IF(J1694=K1694+2,201,250)))&amp;".0/24",""))</f>
        <v/>
      </c>
      <c r="D1694" s="0" t="str">
        <f aca="false">IF(I1694="","",IF(AND(J1694&gt;=1,J1694&lt;=K1694+3),"255.255.255.0",""))</f>
        <v/>
      </c>
      <c r="E1694" s="0" t="str">
        <f aca="false">IF(I1694="","",IF(AND(J1694&gt;=1,J1694&lt;=K1694+3),"10."&amp;INDEX(Eingabe!$D$9:$D$18,I1694)&amp;"."&amp;IF(J1694&lt;=K1694,J1694,IF(J1694=K1694+1,200,IF(J1694=K1694+2,201,250)))&amp;".1",""))</f>
        <v/>
      </c>
      <c r="F1694" s="0" t="str">
        <f aca="false">IF(I1694="","",IF(AND(J1694&gt;=1,J1694&lt;=K1694+3),"10."&amp;INDEX(Eingabe!$D$9:$D$18,I1694)&amp;"."&amp;IF(J1694&lt;=K1694,J1694,IF(J1694=K1694+1,200,IF(J1694=K1694+2,201,250)))&amp;".10 – 10."&amp;INDEX(Eingabe!$D$9:$D$18,I1694)&amp;"."&amp;IF(J1694&lt;=K1694,J1694,IF(J1694=K1694+1,200,IF(J1694=K1694+2,201,250)))&amp;".250",""))</f>
        <v/>
      </c>
      <c r="G1694" s="0" t="str">
        <f aca="false">IF(I1694="","",IF(AND(J1694&gt;=1,J1694&lt;=K1694),Eingabe!$B$6&amp;"-"&amp;INDEX(Eingabe!$C$9:$C$18,I1694)&amp;"-Pächter  ·  Passwort Parzelle "&amp;J1694,IF(J1694=K1694+1,Eingabe!$B$6&amp;"-"&amp;INDEX(Eingabe!$C$9:$C$18,I1694)&amp;"-Vorstand  ·  eigenes WLAN",IF(J1694=K1694+2,Eingabe!$B$6&amp;"-"&amp;INDEX(Eingabe!$C$9:$C$18,I1694)&amp;"-Gäste  ·  Voucher",IF(J1694=K1694+3,"Kabel  ·  Access Point y = .(50+y), Mast-Switch x = .(10+x)","")))))</f>
        <v/>
      </c>
      <c r="I1694" s="0" t="str">
        <f aca="false">IF(1689&lt;=(Eingabe!$P$18+Eingabe!$Q$18-1),MATCH(1689,Eingabe!$P$9:$P$18,1),"")</f>
        <v/>
      </c>
      <c r="J1694" s="0" t="str">
        <f aca="false">IF(I1694="","",1689-INDEX(Eingabe!$P$9:$P$18,I1694))</f>
        <v/>
      </c>
      <c r="K1694" s="0" t="str">
        <f aca="false">IF(I1694="","",INDEX(Eingabe!$E$9:$E$18,I1694))</f>
        <v/>
      </c>
    </row>
    <row r="1695" customFormat="false" ht="15" hidden="false" customHeight="false" outlineLevel="0" collapsed="false">
      <c r="A1695" s="0" t="str">
        <f aca="false">IF(I1695="","",IF(J1695=0,"Sparte "&amp;I1695&amp;": "&amp;INDEX(Eingabe!$B$9:$B$18,I1695)&amp;"  (Sparten-ID "&amp;INDEX(Eingabe!$D$9:$D$18,I1695)&amp;", "&amp;K1695&amp;" Parzellen)",IF(J1695&lt;=K1695,"   Parzelle "&amp;J1695,IF(J1695=K1695+1,"   Vorstand",IF(J1695=K1695+2,"   Gäste",IF(J1695=K1695+3,"   Technik (Switches, Access Points)",""))))))</f>
        <v/>
      </c>
      <c r="B1695" s="0" t="str">
        <f aca="false">IF(I1695="","",IF(AND(J1695&gt;=1,J1695&lt;=K1695+3),IF(J1695&lt;=K1695,IF(J1695&lt;=99,IF((INDEX(Eingabe!$G$9:$G$18,I1695))&lt;=9,1000+(INDEX(Eingabe!$G$9:$G$18,I1695))*100,3000)+J1695,IF((INDEX(Eingabe!$G$9:$G$18,I1695)+1)&lt;=9,1000+(INDEX(Eingabe!$G$9:$G$18,I1695)+1)*100,3000)+J1695-100),IF(J1695=K1695+1,2000+INDEX(Eingabe!$G$9:$G$18,I1695)*10+1,IF(J1695=K1695+2,2000+INDEX(Eingabe!$G$9:$G$18,I1695)*10+2,2000+INDEX(Eingabe!$G$9:$G$18,I1695)*10+9))),""))</f>
        <v/>
      </c>
      <c r="C1695" s="0" t="str">
        <f aca="false">IF(I1695="","",IF(AND(J1695&gt;=1,J1695&lt;=K1695+3),"10."&amp;INDEX(Eingabe!$D$9:$D$18,I1695)&amp;"."&amp;IF(J1695&lt;=K1695,J1695,IF(J1695=K1695+1,200,IF(J1695=K1695+2,201,250)))&amp;".0/24",""))</f>
        <v/>
      </c>
      <c r="D1695" s="0" t="str">
        <f aca="false">IF(I1695="","",IF(AND(J1695&gt;=1,J1695&lt;=K1695+3),"255.255.255.0",""))</f>
        <v/>
      </c>
      <c r="E1695" s="0" t="str">
        <f aca="false">IF(I1695="","",IF(AND(J1695&gt;=1,J1695&lt;=K1695+3),"10."&amp;INDEX(Eingabe!$D$9:$D$18,I1695)&amp;"."&amp;IF(J1695&lt;=K1695,J1695,IF(J1695=K1695+1,200,IF(J1695=K1695+2,201,250)))&amp;".1",""))</f>
        <v/>
      </c>
      <c r="F1695" s="0" t="str">
        <f aca="false">IF(I1695="","",IF(AND(J1695&gt;=1,J1695&lt;=K1695+3),"10."&amp;INDEX(Eingabe!$D$9:$D$18,I1695)&amp;"."&amp;IF(J1695&lt;=K1695,J1695,IF(J1695=K1695+1,200,IF(J1695=K1695+2,201,250)))&amp;".10 – 10."&amp;INDEX(Eingabe!$D$9:$D$18,I1695)&amp;"."&amp;IF(J1695&lt;=K1695,J1695,IF(J1695=K1695+1,200,IF(J1695=K1695+2,201,250)))&amp;".250",""))</f>
        <v/>
      </c>
      <c r="G1695" s="0" t="str">
        <f aca="false">IF(I1695="","",IF(AND(J1695&gt;=1,J1695&lt;=K1695),Eingabe!$B$6&amp;"-"&amp;INDEX(Eingabe!$C$9:$C$18,I1695)&amp;"-Pächter  ·  Passwort Parzelle "&amp;J1695,IF(J1695=K1695+1,Eingabe!$B$6&amp;"-"&amp;INDEX(Eingabe!$C$9:$C$18,I1695)&amp;"-Vorstand  ·  eigenes WLAN",IF(J1695=K1695+2,Eingabe!$B$6&amp;"-"&amp;INDEX(Eingabe!$C$9:$C$18,I1695)&amp;"-Gäste  ·  Voucher",IF(J1695=K1695+3,"Kabel  ·  Access Point y = .(50+y), Mast-Switch x = .(10+x)","")))))</f>
        <v/>
      </c>
      <c r="I1695" s="0" t="str">
        <f aca="false">IF(1690&lt;=(Eingabe!$P$18+Eingabe!$Q$18-1),MATCH(1690,Eingabe!$P$9:$P$18,1),"")</f>
        <v/>
      </c>
      <c r="J1695" s="0" t="str">
        <f aca="false">IF(I1695="","",1690-INDEX(Eingabe!$P$9:$P$18,I1695))</f>
        <v/>
      </c>
      <c r="K1695" s="0" t="str">
        <f aca="false">IF(I1695="","",INDEX(Eingabe!$E$9:$E$18,I1695))</f>
        <v/>
      </c>
    </row>
    <row r="1696" customFormat="false" ht="15" hidden="false" customHeight="false" outlineLevel="0" collapsed="false">
      <c r="A1696" s="0" t="str">
        <f aca="false">IF(I1696="","",IF(J1696=0,"Sparte "&amp;I1696&amp;": "&amp;INDEX(Eingabe!$B$9:$B$18,I1696)&amp;"  (Sparten-ID "&amp;INDEX(Eingabe!$D$9:$D$18,I1696)&amp;", "&amp;K1696&amp;" Parzellen)",IF(J1696&lt;=K1696,"   Parzelle "&amp;J1696,IF(J1696=K1696+1,"   Vorstand",IF(J1696=K1696+2,"   Gäste",IF(J1696=K1696+3,"   Technik (Switches, Access Points)",""))))))</f>
        <v/>
      </c>
      <c r="B1696" s="0" t="str">
        <f aca="false">IF(I1696="","",IF(AND(J1696&gt;=1,J1696&lt;=K1696+3),IF(J1696&lt;=K1696,IF(J1696&lt;=99,IF((INDEX(Eingabe!$G$9:$G$18,I1696))&lt;=9,1000+(INDEX(Eingabe!$G$9:$G$18,I1696))*100,3000)+J1696,IF((INDEX(Eingabe!$G$9:$G$18,I1696)+1)&lt;=9,1000+(INDEX(Eingabe!$G$9:$G$18,I1696)+1)*100,3000)+J1696-100),IF(J1696=K1696+1,2000+INDEX(Eingabe!$G$9:$G$18,I1696)*10+1,IF(J1696=K1696+2,2000+INDEX(Eingabe!$G$9:$G$18,I1696)*10+2,2000+INDEX(Eingabe!$G$9:$G$18,I1696)*10+9))),""))</f>
        <v/>
      </c>
      <c r="C1696" s="0" t="str">
        <f aca="false">IF(I1696="","",IF(AND(J1696&gt;=1,J1696&lt;=K1696+3),"10."&amp;INDEX(Eingabe!$D$9:$D$18,I1696)&amp;"."&amp;IF(J1696&lt;=K1696,J1696,IF(J1696=K1696+1,200,IF(J1696=K1696+2,201,250)))&amp;".0/24",""))</f>
        <v/>
      </c>
      <c r="D1696" s="0" t="str">
        <f aca="false">IF(I1696="","",IF(AND(J1696&gt;=1,J1696&lt;=K1696+3),"255.255.255.0",""))</f>
        <v/>
      </c>
      <c r="E1696" s="0" t="str">
        <f aca="false">IF(I1696="","",IF(AND(J1696&gt;=1,J1696&lt;=K1696+3),"10."&amp;INDEX(Eingabe!$D$9:$D$18,I1696)&amp;"."&amp;IF(J1696&lt;=K1696,J1696,IF(J1696=K1696+1,200,IF(J1696=K1696+2,201,250)))&amp;".1",""))</f>
        <v/>
      </c>
      <c r="F1696" s="0" t="str">
        <f aca="false">IF(I1696="","",IF(AND(J1696&gt;=1,J1696&lt;=K1696+3),"10."&amp;INDEX(Eingabe!$D$9:$D$18,I1696)&amp;"."&amp;IF(J1696&lt;=K1696,J1696,IF(J1696=K1696+1,200,IF(J1696=K1696+2,201,250)))&amp;".10 – 10."&amp;INDEX(Eingabe!$D$9:$D$18,I1696)&amp;"."&amp;IF(J1696&lt;=K1696,J1696,IF(J1696=K1696+1,200,IF(J1696=K1696+2,201,250)))&amp;".250",""))</f>
        <v/>
      </c>
      <c r="G1696" s="0" t="str">
        <f aca="false">IF(I1696="","",IF(AND(J1696&gt;=1,J1696&lt;=K1696),Eingabe!$B$6&amp;"-"&amp;INDEX(Eingabe!$C$9:$C$18,I1696)&amp;"-Pächter  ·  Passwort Parzelle "&amp;J1696,IF(J1696=K1696+1,Eingabe!$B$6&amp;"-"&amp;INDEX(Eingabe!$C$9:$C$18,I1696)&amp;"-Vorstand  ·  eigenes WLAN",IF(J1696=K1696+2,Eingabe!$B$6&amp;"-"&amp;INDEX(Eingabe!$C$9:$C$18,I1696)&amp;"-Gäste  ·  Voucher",IF(J1696=K1696+3,"Kabel  ·  Access Point y = .(50+y), Mast-Switch x = .(10+x)","")))))</f>
        <v/>
      </c>
      <c r="I1696" s="0" t="str">
        <f aca="false">IF(1691&lt;=(Eingabe!$P$18+Eingabe!$Q$18-1),MATCH(1691,Eingabe!$P$9:$P$18,1),"")</f>
        <v/>
      </c>
      <c r="J1696" s="0" t="str">
        <f aca="false">IF(I1696="","",1691-INDEX(Eingabe!$P$9:$P$18,I1696))</f>
        <v/>
      </c>
      <c r="K1696" s="0" t="str">
        <f aca="false">IF(I1696="","",INDEX(Eingabe!$E$9:$E$18,I1696))</f>
        <v/>
      </c>
    </row>
    <row r="1697" customFormat="false" ht="15" hidden="false" customHeight="false" outlineLevel="0" collapsed="false">
      <c r="A1697" s="0" t="str">
        <f aca="false">IF(I1697="","",IF(J1697=0,"Sparte "&amp;I1697&amp;": "&amp;INDEX(Eingabe!$B$9:$B$18,I1697)&amp;"  (Sparten-ID "&amp;INDEX(Eingabe!$D$9:$D$18,I1697)&amp;", "&amp;K1697&amp;" Parzellen)",IF(J1697&lt;=K1697,"   Parzelle "&amp;J1697,IF(J1697=K1697+1,"   Vorstand",IF(J1697=K1697+2,"   Gäste",IF(J1697=K1697+3,"   Technik (Switches, Access Points)",""))))))</f>
        <v/>
      </c>
      <c r="B1697" s="0" t="str">
        <f aca="false">IF(I1697="","",IF(AND(J1697&gt;=1,J1697&lt;=K1697+3),IF(J1697&lt;=K1697,IF(J1697&lt;=99,IF((INDEX(Eingabe!$G$9:$G$18,I1697))&lt;=9,1000+(INDEX(Eingabe!$G$9:$G$18,I1697))*100,3000)+J1697,IF((INDEX(Eingabe!$G$9:$G$18,I1697)+1)&lt;=9,1000+(INDEX(Eingabe!$G$9:$G$18,I1697)+1)*100,3000)+J1697-100),IF(J1697=K1697+1,2000+INDEX(Eingabe!$G$9:$G$18,I1697)*10+1,IF(J1697=K1697+2,2000+INDEX(Eingabe!$G$9:$G$18,I1697)*10+2,2000+INDEX(Eingabe!$G$9:$G$18,I1697)*10+9))),""))</f>
        <v/>
      </c>
      <c r="C1697" s="0" t="str">
        <f aca="false">IF(I1697="","",IF(AND(J1697&gt;=1,J1697&lt;=K1697+3),"10."&amp;INDEX(Eingabe!$D$9:$D$18,I1697)&amp;"."&amp;IF(J1697&lt;=K1697,J1697,IF(J1697=K1697+1,200,IF(J1697=K1697+2,201,250)))&amp;".0/24",""))</f>
        <v/>
      </c>
      <c r="D1697" s="0" t="str">
        <f aca="false">IF(I1697="","",IF(AND(J1697&gt;=1,J1697&lt;=K1697+3),"255.255.255.0",""))</f>
        <v/>
      </c>
      <c r="E1697" s="0" t="str">
        <f aca="false">IF(I1697="","",IF(AND(J1697&gt;=1,J1697&lt;=K1697+3),"10."&amp;INDEX(Eingabe!$D$9:$D$18,I1697)&amp;"."&amp;IF(J1697&lt;=K1697,J1697,IF(J1697=K1697+1,200,IF(J1697=K1697+2,201,250)))&amp;".1",""))</f>
        <v/>
      </c>
      <c r="F1697" s="0" t="str">
        <f aca="false">IF(I1697="","",IF(AND(J1697&gt;=1,J1697&lt;=K1697+3),"10."&amp;INDEX(Eingabe!$D$9:$D$18,I1697)&amp;"."&amp;IF(J1697&lt;=K1697,J1697,IF(J1697=K1697+1,200,IF(J1697=K1697+2,201,250)))&amp;".10 – 10."&amp;INDEX(Eingabe!$D$9:$D$18,I1697)&amp;"."&amp;IF(J1697&lt;=K1697,J1697,IF(J1697=K1697+1,200,IF(J1697=K1697+2,201,250)))&amp;".250",""))</f>
        <v/>
      </c>
      <c r="G1697" s="0" t="str">
        <f aca="false">IF(I1697="","",IF(AND(J1697&gt;=1,J1697&lt;=K1697),Eingabe!$B$6&amp;"-"&amp;INDEX(Eingabe!$C$9:$C$18,I1697)&amp;"-Pächter  ·  Passwort Parzelle "&amp;J1697,IF(J1697=K1697+1,Eingabe!$B$6&amp;"-"&amp;INDEX(Eingabe!$C$9:$C$18,I1697)&amp;"-Vorstand  ·  eigenes WLAN",IF(J1697=K1697+2,Eingabe!$B$6&amp;"-"&amp;INDEX(Eingabe!$C$9:$C$18,I1697)&amp;"-Gäste  ·  Voucher",IF(J1697=K1697+3,"Kabel  ·  Access Point y = .(50+y), Mast-Switch x = .(10+x)","")))))</f>
        <v/>
      </c>
      <c r="I1697" s="0" t="str">
        <f aca="false">IF(1692&lt;=(Eingabe!$P$18+Eingabe!$Q$18-1),MATCH(1692,Eingabe!$P$9:$P$18,1),"")</f>
        <v/>
      </c>
      <c r="J1697" s="0" t="str">
        <f aca="false">IF(I1697="","",1692-INDEX(Eingabe!$P$9:$P$18,I1697))</f>
        <v/>
      </c>
      <c r="K1697" s="0" t="str">
        <f aca="false">IF(I1697="","",INDEX(Eingabe!$E$9:$E$18,I1697))</f>
        <v/>
      </c>
    </row>
    <row r="1698" customFormat="false" ht="15" hidden="false" customHeight="false" outlineLevel="0" collapsed="false">
      <c r="A1698" s="0" t="str">
        <f aca="false">IF(I1698="","",IF(J1698=0,"Sparte "&amp;I1698&amp;": "&amp;INDEX(Eingabe!$B$9:$B$18,I1698)&amp;"  (Sparten-ID "&amp;INDEX(Eingabe!$D$9:$D$18,I1698)&amp;", "&amp;K1698&amp;" Parzellen)",IF(J1698&lt;=K1698,"   Parzelle "&amp;J1698,IF(J1698=K1698+1,"   Vorstand",IF(J1698=K1698+2,"   Gäste",IF(J1698=K1698+3,"   Technik (Switches, Access Points)",""))))))</f>
        <v/>
      </c>
      <c r="B1698" s="0" t="str">
        <f aca="false">IF(I1698="","",IF(AND(J1698&gt;=1,J1698&lt;=K1698+3),IF(J1698&lt;=K1698,IF(J1698&lt;=99,IF((INDEX(Eingabe!$G$9:$G$18,I1698))&lt;=9,1000+(INDEX(Eingabe!$G$9:$G$18,I1698))*100,3000)+J1698,IF((INDEX(Eingabe!$G$9:$G$18,I1698)+1)&lt;=9,1000+(INDEX(Eingabe!$G$9:$G$18,I1698)+1)*100,3000)+J1698-100),IF(J1698=K1698+1,2000+INDEX(Eingabe!$G$9:$G$18,I1698)*10+1,IF(J1698=K1698+2,2000+INDEX(Eingabe!$G$9:$G$18,I1698)*10+2,2000+INDEX(Eingabe!$G$9:$G$18,I1698)*10+9))),""))</f>
        <v/>
      </c>
      <c r="C1698" s="0" t="str">
        <f aca="false">IF(I1698="","",IF(AND(J1698&gt;=1,J1698&lt;=K1698+3),"10."&amp;INDEX(Eingabe!$D$9:$D$18,I1698)&amp;"."&amp;IF(J1698&lt;=K1698,J1698,IF(J1698=K1698+1,200,IF(J1698=K1698+2,201,250)))&amp;".0/24",""))</f>
        <v/>
      </c>
      <c r="D1698" s="0" t="str">
        <f aca="false">IF(I1698="","",IF(AND(J1698&gt;=1,J1698&lt;=K1698+3),"255.255.255.0",""))</f>
        <v/>
      </c>
      <c r="E1698" s="0" t="str">
        <f aca="false">IF(I1698="","",IF(AND(J1698&gt;=1,J1698&lt;=K1698+3),"10."&amp;INDEX(Eingabe!$D$9:$D$18,I1698)&amp;"."&amp;IF(J1698&lt;=K1698,J1698,IF(J1698=K1698+1,200,IF(J1698=K1698+2,201,250)))&amp;".1",""))</f>
        <v/>
      </c>
      <c r="F1698" s="0" t="str">
        <f aca="false">IF(I1698="","",IF(AND(J1698&gt;=1,J1698&lt;=K1698+3),"10."&amp;INDEX(Eingabe!$D$9:$D$18,I1698)&amp;"."&amp;IF(J1698&lt;=K1698,J1698,IF(J1698=K1698+1,200,IF(J1698=K1698+2,201,250)))&amp;".10 – 10."&amp;INDEX(Eingabe!$D$9:$D$18,I1698)&amp;"."&amp;IF(J1698&lt;=K1698,J1698,IF(J1698=K1698+1,200,IF(J1698=K1698+2,201,250)))&amp;".250",""))</f>
        <v/>
      </c>
      <c r="G1698" s="0" t="str">
        <f aca="false">IF(I1698="","",IF(AND(J1698&gt;=1,J1698&lt;=K1698),Eingabe!$B$6&amp;"-"&amp;INDEX(Eingabe!$C$9:$C$18,I1698)&amp;"-Pächter  ·  Passwort Parzelle "&amp;J1698,IF(J1698=K1698+1,Eingabe!$B$6&amp;"-"&amp;INDEX(Eingabe!$C$9:$C$18,I1698)&amp;"-Vorstand  ·  eigenes WLAN",IF(J1698=K1698+2,Eingabe!$B$6&amp;"-"&amp;INDEX(Eingabe!$C$9:$C$18,I1698)&amp;"-Gäste  ·  Voucher",IF(J1698=K1698+3,"Kabel  ·  Access Point y = .(50+y), Mast-Switch x = .(10+x)","")))))</f>
        <v/>
      </c>
      <c r="I1698" s="0" t="str">
        <f aca="false">IF(1693&lt;=(Eingabe!$P$18+Eingabe!$Q$18-1),MATCH(1693,Eingabe!$P$9:$P$18,1),"")</f>
        <v/>
      </c>
      <c r="J1698" s="0" t="str">
        <f aca="false">IF(I1698="","",1693-INDEX(Eingabe!$P$9:$P$18,I1698))</f>
        <v/>
      </c>
      <c r="K1698" s="0" t="str">
        <f aca="false">IF(I1698="","",INDEX(Eingabe!$E$9:$E$18,I1698))</f>
        <v/>
      </c>
    </row>
    <row r="1699" customFormat="false" ht="15" hidden="false" customHeight="false" outlineLevel="0" collapsed="false">
      <c r="A1699" s="0" t="str">
        <f aca="false">IF(I1699="","",IF(J1699=0,"Sparte "&amp;I1699&amp;": "&amp;INDEX(Eingabe!$B$9:$B$18,I1699)&amp;"  (Sparten-ID "&amp;INDEX(Eingabe!$D$9:$D$18,I1699)&amp;", "&amp;K1699&amp;" Parzellen)",IF(J1699&lt;=K1699,"   Parzelle "&amp;J1699,IF(J1699=K1699+1,"   Vorstand",IF(J1699=K1699+2,"   Gäste",IF(J1699=K1699+3,"   Technik (Switches, Access Points)",""))))))</f>
        <v/>
      </c>
      <c r="B1699" s="0" t="str">
        <f aca="false">IF(I1699="","",IF(AND(J1699&gt;=1,J1699&lt;=K1699+3),IF(J1699&lt;=K1699,IF(J1699&lt;=99,IF((INDEX(Eingabe!$G$9:$G$18,I1699))&lt;=9,1000+(INDEX(Eingabe!$G$9:$G$18,I1699))*100,3000)+J1699,IF((INDEX(Eingabe!$G$9:$G$18,I1699)+1)&lt;=9,1000+(INDEX(Eingabe!$G$9:$G$18,I1699)+1)*100,3000)+J1699-100),IF(J1699=K1699+1,2000+INDEX(Eingabe!$G$9:$G$18,I1699)*10+1,IF(J1699=K1699+2,2000+INDEX(Eingabe!$G$9:$G$18,I1699)*10+2,2000+INDEX(Eingabe!$G$9:$G$18,I1699)*10+9))),""))</f>
        <v/>
      </c>
      <c r="C1699" s="0" t="str">
        <f aca="false">IF(I1699="","",IF(AND(J1699&gt;=1,J1699&lt;=K1699+3),"10."&amp;INDEX(Eingabe!$D$9:$D$18,I1699)&amp;"."&amp;IF(J1699&lt;=K1699,J1699,IF(J1699=K1699+1,200,IF(J1699=K1699+2,201,250)))&amp;".0/24",""))</f>
        <v/>
      </c>
      <c r="D1699" s="0" t="str">
        <f aca="false">IF(I1699="","",IF(AND(J1699&gt;=1,J1699&lt;=K1699+3),"255.255.255.0",""))</f>
        <v/>
      </c>
      <c r="E1699" s="0" t="str">
        <f aca="false">IF(I1699="","",IF(AND(J1699&gt;=1,J1699&lt;=K1699+3),"10."&amp;INDEX(Eingabe!$D$9:$D$18,I1699)&amp;"."&amp;IF(J1699&lt;=K1699,J1699,IF(J1699=K1699+1,200,IF(J1699=K1699+2,201,250)))&amp;".1",""))</f>
        <v/>
      </c>
      <c r="F1699" s="0" t="str">
        <f aca="false">IF(I1699="","",IF(AND(J1699&gt;=1,J1699&lt;=K1699+3),"10."&amp;INDEX(Eingabe!$D$9:$D$18,I1699)&amp;"."&amp;IF(J1699&lt;=K1699,J1699,IF(J1699=K1699+1,200,IF(J1699=K1699+2,201,250)))&amp;".10 – 10."&amp;INDEX(Eingabe!$D$9:$D$18,I1699)&amp;"."&amp;IF(J1699&lt;=K1699,J1699,IF(J1699=K1699+1,200,IF(J1699=K1699+2,201,250)))&amp;".250",""))</f>
        <v/>
      </c>
      <c r="G1699" s="0" t="str">
        <f aca="false">IF(I1699="","",IF(AND(J1699&gt;=1,J1699&lt;=K1699),Eingabe!$B$6&amp;"-"&amp;INDEX(Eingabe!$C$9:$C$18,I1699)&amp;"-Pächter  ·  Passwort Parzelle "&amp;J1699,IF(J1699=K1699+1,Eingabe!$B$6&amp;"-"&amp;INDEX(Eingabe!$C$9:$C$18,I1699)&amp;"-Vorstand  ·  eigenes WLAN",IF(J1699=K1699+2,Eingabe!$B$6&amp;"-"&amp;INDEX(Eingabe!$C$9:$C$18,I1699)&amp;"-Gäste  ·  Voucher",IF(J1699=K1699+3,"Kabel  ·  Access Point y = .(50+y), Mast-Switch x = .(10+x)","")))))</f>
        <v/>
      </c>
      <c r="I1699" s="0" t="str">
        <f aca="false">IF(1694&lt;=(Eingabe!$P$18+Eingabe!$Q$18-1),MATCH(1694,Eingabe!$P$9:$P$18,1),"")</f>
        <v/>
      </c>
      <c r="J1699" s="0" t="str">
        <f aca="false">IF(I1699="","",1694-INDEX(Eingabe!$P$9:$P$18,I1699))</f>
        <v/>
      </c>
      <c r="K1699" s="0" t="str">
        <f aca="false">IF(I1699="","",INDEX(Eingabe!$E$9:$E$18,I1699))</f>
        <v/>
      </c>
    </row>
    <row r="1700" customFormat="false" ht="15" hidden="false" customHeight="false" outlineLevel="0" collapsed="false">
      <c r="A1700" s="0" t="str">
        <f aca="false">IF(I1700="","",IF(J1700=0,"Sparte "&amp;I1700&amp;": "&amp;INDEX(Eingabe!$B$9:$B$18,I1700)&amp;"  (Sparten-ID "&amp;INDEX(Eingabe!$D$9:$D$18,I1700)&amp;", "&amp;K1700&amp;" Parzellen)",IF(J1700&lt;=K1700,"   Parzelle "&amp;J1700,IF(J1700=K1700+1,"   Vorstand",IF(J1700=K1700+2,"   Gäste",IF(J1700=K1700+3,"   Technik (Switches, Access Points)",""))))))</f>
        <v/>
      </c>
      <c r="B1700" s="0" t="str">
        <f aca="false">IF(I1700="","",IF(AND(J1700&gt;=1,J1700&lt;=K1700+3),IF(J1700&lt;=K1700,IF(J1700&lt;=99,IF((INDEX(Eingabe!$G$9:$G$18,I1700))&lt;=9,1000+(INDEX(Eingabe!$G$9:$G$18,I1700))*100,3000)+J1700,IF((INDEX(Eingabe!$G$9:$G$18,I1700)+1)&lt;=9,1000+(INDEX(Eingabe!$G$9:$G$18,I1700)+1)*100,3000)+J1700-100),IF(J1700=K1700+1,2000+INDEX(Eingabe!$G$9:$G$18,I1700)*10+1,IF(J1700=K1700+2,2000+INDEX(Eingabe!$G$9:$G$18,I1700)*10+2,2000+INDEX(Eingabe!$G$9:$G$18,I1700)*10+9))),""))</f>
        <v/>
      </c>
      <c r="C1700" s="0" t="str">
        <f aca="false">IF(I1700="","",IF(AND(J1700&gt;=1,J1700&lt;=K1700+3),"10."&amp;INDEX(Eingabe!$D$9:$D$18,I1700)&amp;"."&amp;IF(J1700&lt;=K1700,J1700,IF(J1700=K1700+1,200,IF(J1700=K1700+2,201,250)))&amp;".0/24",""))</f>
        <v/>
      </c>
      <c r="D1700" s="0" t="str">
        <f aca="false">IF(I1700="","",IF(AND(J1700&gt;=1,J1700&lt;=K1700+3),"255.255.255.0",""))</f>
        <v/>
      </c>
      <c r="E1700" s="0" t="str">
        <f aca="false">IF(I1700="","",IF(AND(J1700&gt;=1,J1700&lt;=K1700+3),"10."&amp;INDEX(Eingabe!$D$9:$D$18,I1700)&amp;"."&amp;IF(J1700&lt;=K1700,J1700,IF(J1700=K1700+1,200,IF(J1700=K1700+2,201,250)))&amp;".1",""))</f>
        <v/>
      </c>
      <c r="F1700" s="0" t="str">
        <f aca="false">IF(I1700="","",IF(AND(J1700&gt;=1,J1700&lt;=K1700+3),"10."&amp;INDEX(Eingabe!$D$9:$D$18,I1700)&amp;"."&amp;IF(J1700&lt;=K1700,J1700,IF(J1700=K1700+1,200,IF(J1700=K1700+2,201,250)))&amp;".10 – 10."&amp;INDEX(Eingabe!$D$9:$D$18,I1700)&amp;"."&amp;IF(J1700&lt;=K1700,J1700,IF(J1700=K1700+1,200,IF(J1700=K1700+2,201,250)))&amp;".250",""))</f>
        <v/>
      </c>
      <c r="G1700" s="0" t="str">
        <f aca="false">IF(I1700="","",IF(AND(J1700&gt;=1,J1700&lt;=K1700),Eingabe!$B$6&amp;"-"&amp;INDEX(Eingabe!$C$9:$C$18,I1700)&amp;"-Pächter  ·  Passwort Parzelle "&amp;J1700,IF(J1700=K1700+1,Eingabe!$B$6&amp;"-"&amp;INDEX(Eingabe!$C$9:$C$18,I1700)&amp;"-Vorstand  ·  eigenes WLAN",IF(J1700=K1700+2,Eingabe!$B$6&amp;"-"&amp;INDEX(Eingabe!$C$9:$C$18,I1700)&amp;"-Gäste  ·  Voucher",IF(J1700=K1700+3,"Kabel  ·  Access Point y = .(50+y), Mast-Switch x = .(10+x)","")))))</f>
        <v/>
      </c>
      <c r="I1700" s="0" t="str">
        <f aca="false">IF(1695&lt;=(Eingabe!$P$18+Eingabe!$Q$18-1),MATCH(1695,Eingabe!$P$9:$P$18,1),"")</f>
        <v/>
      </c>
      <c r="J1700" s="0" t="str">
        <f aca="false">IF(I1700="","",1695-INDEX(Eingabe!$P$9:$P$18,I1700))</f>
        <v/>
      </c>
      <c r="K1700" s="0" t="str">
        <f aca="false">IF(I1700="","",INDEX(Eingabe!$E$9:$E$18,I1700))</f>
        <v/>
      </c>
    </row>
    <row r="1701" customFormat="false" ht="15" hidden="false" customHeight="false" outlineLevel="0" collapsed="false">
      <c r="A1701" s="0" t="str">
        <f aca="false">IF(I1701="","",IF(J1701=0,"Sparte "&amp;I1701&amp;": "&amp;INDEX(Eingabe!$B$9:$B$18,I1701)&amp;"  (Sparten-ID "&amp;INDEX(Eingabe!$D$9:$D$18,I1701)&amp;", "&amp;K1701&amp;" Parzellen)",IF(J1701&lt;=K1701,"   Parzelle "&amp;J1701,IF(J1701=K1701+1,"   Vorstand",IF(J1701=K1701+2,"   Gäste",IF(J1701=K1701+3,"   Technik (Switches, Access Points)",""))))))</f>
        <v/>
      </c>
      <c r="B1701" s="0" t="str">
        <f aca="false">IF(I1701="","",IF(AND(J1701&gt;=1,J1701&lt;=K1701+3),IF(J1701&lt;=K1701,IF(J1701&lt;=99,IF((INDEX(Eingabe!$G$9:$G$18,I1701))&lt;=9,1000+(INDEX(Eingabe!$G$9:$G$18,I1701))*100,3000)+J1701,IF((INDEX(Eingabe!$G$9:$G$18,I1701)+1)&lt;=9,1000+(INDEX(Eingabe!$G$9:$G$18,I1701)+1)*100,3000)+J1701-100),IF(J1701=K1701+1,2000+INDEX(Eingabe!$G$9:$G$18,I1701)*10+1,IF(J1701=K1701+2,2000+INDEX(Eingabe!$G$9:$G$18,I1701)*10+2,2000+INDEX(Eingabe!$G$9:$G$18,I1701)*10+9))),""))</f>
        <v/>
      </c>
      <c r="C1701" s="0" t="str">
        <f aca="false">IF(I1701="","",IF(AND(J1701&gt;=1,J1701&lt;=K1701+3),"10."&amp;INDEX(Eingabe!$D$9:$D$18,I1701)&amp;"."&amp;IF(J1701&lt;=K1701,J1701,IF(J1701=K1701+1,200,IF(J1701=K1701+2,201,250)))&amp;".0/24",""))</f>
        <v/>
      </c>
      <c r="D1701" s="0" t="str">
        <f aca="false">IF(I1701="","",IF(AND(J1701&gt;=1,J1701&lt;=K1701+3),"255.255.255.0",""))</f>
        <v/>
      </c>
      <c r="E1701" s="0" t="str">
        <f aca="false">IF(I1701="","",IF(AND(J1701&gt;=1,J1701&lt;=K1701+3),"10."&amp;INDEX(Eingabe!$D$9:$D$18,I1701)&amp;"."&amp;IF(J1701&lt;=K1701,J1701,IF(J1701=K1701+1,200,IF(J1701=K1701+2,201,250)))&amp;".1",""))</f>
        <v/>
      </c>
      <c r="F1701" s="0" t="str">
        <f aca="false">IF(I1701="","",IF(AND(J1701&gt;=1,J1701&lt;=K1701+3),"10."&amp;INDEX(Eingabe!$D$9:$D$18,I1701)&amp;"."&amp;IF(J1701&lt;=K1701,J1701,IF(J1701=K1701+1,200,IF(J1701=K1701+2,201,250)))&amp;".10 – 10."&amp;INDEX(Eingabe!$D$9:$D$18,I1701)&amp;"."&amp;IF(J1701&lt;=K1701,J1701,IF(J1701=K1701+1,200,IF(J1701=K1701+2,201,250)))&amp;".250",""))</f>
        <v/>
      </c>
      <c r="G1701" s="0" t="str">
        <f aca="false">IF(I1701="","",IF(AND(J1701&gt;=1,J1701&lt;=K1701),Eingabe!$B$6&amp;"-"&amp;INDEX(Eingabe!$C$9:$C$18,I1701)&amp;"-Pächter  ·  Passwort Parzelle "&amp;J1701,IF(J1701=K1701+1,Eingabe!$B$6&amp;"-"&amp;INDEX(Eingabe!$C$9:$C$18,I1701)&amp;"-Vorstand  ·  eigenes WLAN",IF(J1701=K1701+2,Eingabe!$B$6&amp;"-"&amp;INDEX(Eingabe!$C$9:$C$18,I1701)&amp;"-Gäste  ·  Voucher",IF(J1701=K1701+3,"Kabel  ·  Access Point y = .(50+y), Mast-Switch x = .(10+x)","")))))</f>
        <v/>
      </c>
      <c r="I1701" s="0" t="str">
        <f aca="false">IF(1696&lt;=(Eingabe!$P$18+Eingabe!$Q$18-1),MATCH(1696,Eingabe!$P$9:$P$18,1),"")</f>
        <v/>
      </c>
      <c r="J1701" s="0" t="str">
        <f aca="false">IF(I1701="","",1696-INDEX(Eingabe!$P$9:$P$18,I1701))</f>
        <v/>
      </c>
      <c r="K1701" s="0" t="str">
        <f aca="false">IF(I1701="","",INDEX(Eingabe!$E$9:$E$18,I1701))</f>
        <v/>
      </c>
    </row>
    <row r="1702" customFormat="false" ht="15" hidden="false" customHeight="false" outlineLevel="0" collapsed="false">
      <c r="A1702" s="0" t="str">
        <f aca="false">IF(I1702="","",IF(J1702=0,"Sparte "&amp;I1702&amp;": "&amp;INDEX(Eingabe!$B$9:$B$18,I1702)&amp;"  (Sparten-ID "&amp;INDEX(Eingabe!$D$9:$D$18,I1702)&amp;", "&amp;K1702&amp;" Parzellen)",IF(J1702&lt;=K1702,"   Parzelle "&amp;J1702,IF(J1702=K1702+1,"   Vorstand",IF(J1702=K1702+2,"   Gäste",IF(J1702=K1702+3,"   Technik (Switches, Access Points)",""))))))</f>
        <v/>
      </c>
      <c r="B1702" s="0" t="str">
        <f aca="false">IF(I1702="","",IF(AND(J1702&gt;=1,J1702&lt;=K1702+3),IF(J1702&lt;=K1702,IF(J1702&lt;=99,IF((INDEX(Eingabe!$G$9:$G$18,I1702))&lt;=9,1000+(INDEX(Eingabe!$G$9:$G$18,I1702))*100,3000)+J1702,IF((INDEX(Eingabe!$G$9:$G$18,I1702)+1)&lt;=9,1000+(INDEX(Eingabe!$G$9:$G$18,I1702)+1)*100,3000)+J1702-100),IF(J1702=K1702+1,2000+INDEX(Eingabe!$G$9:$G$18,I1702)*10+1,IF(J1702=K1702+2,2000+INDEX(Eingabe!$G$9:$G$18,I1702)*10+2,2000+INDEX(Eingabe!$G$9:$G$18,I1702)*10+9))),""))</f>
        <v/>
      </c>
      <c r="C1702" s="0" t="str">
        <f aca="false">IF(I1702="","",IF(AND(J1702&gt;=1,J1702&lt;=K1702+3),"10."&amp;INDEX(Eingabe!$D$9:$D$18,I1702)&amp;"."&amp;IF(J1702&lt;=K1702,J1702,IF(J1702=K1702+1,200,IF(J1702=K1702+2,201,250)))&amp;".0/24",""))</f>
        <v/>
      </c>
      <c r="D1702" s="0" t="str">
        <f aca="false">IF(I1702="","",IF(AND(J1702&gt;=1,J1702&lt;=K1702+3),"255.255.255.0",""))</f>
        <v/>
      </c>
      <c r="E1702" s="0" t="str">
        <f aca="false">IF(I1702="","",IF(AND(J1702&gt;=1,J1702&lt;=K1702+3),"10."&amp;INDEX(Eingabe!$D$9:$D$18,I1702)&amp;"."&amp;IF(J1702&lt;=K1702,J1702,IF(J1702=K1702+1,200,IF(J1702=K1702+2,201,250)))&amp;".1",""))</f>
        <v/>
      </c>
      <c r="F1702" s="0" t="str">
        <f aca="false">IF(I1702="","",IF(AND(J1702&gt;=1,J1702&lt;=K1702+3),"10."&amp;INDEX(Eingabe!$D$9:$D$18,I1702)&amp;"."&amp;IF(J1702&lt;=K1702,J1702,IF(J1702=K1702+1,200,IF(J1702=K1702+2,201,250)))&amp;".10 – 10."&amp;INDEX(Eingabe!$D$9:$D$18,I1702)&amp;"."&amp;IF(J1702&lt;=K1702,J1702,IF(J1702=K1702+1,200,IF(J1702=K1702+2,201,250)))&amp;".250",""))</f>
        <v/>
      </c>
      <c r="G1702" s="0" t="str">
        <f aca="false">IF(I1702="","",IF(AND(J1702&gt;=1,J1702&lt;=K1702),Eingabe!$B$6&amp;"-"&amp;INDEX(Eingabe!$C$9:$C$18,I1702)&amp;"-Pächter  ·  Passwort Parzelle "&amp;J1702,IF(J1702=K1702+1,Eingabe!$B$6&amp;"-"&amp;INDEX(Eingabe!$C$9:$C$18,I1702)&amp;"-Vorstand  ·  eigenes WLAN",IF(J1702=K1702+2,Eingabe!$B$6&amp;"-"&amp;INDEX(Eingabe!$C$9:$C$18,I1702)&amp;"-Gäste  ·  Voucher",IF(J1702=K1702+3,"Kabel  ·  Access Point y = .(50+y), Mast-Switch x = .(10+x)","")))))</f>
        <v/>
      </c>
      <c r="I1702" s="0" t="str">
        <f aca="false">IF(1697&lt;=(Eingabe!$P$18+Eingabe!$Q$18-1),MATCH(1697,Eingabe!$P$9:$P$18,1),"")</f>
        <v/>
      </c>
      <c r="J1702" s="0" t="str">
        <f aca="false">IF(I1702="","",1697-INDEX(Eingabe!$P$9:$P$18,I1702))</f>
        <v/>
      </c>
      <c r="K1702" s="0" t="str">
        <f aca="false">IF(I1702="","",INDEX(Eingabe!$E$9:$E$18,I1702))</f>
        <v/>
      </c>
    </row>
    <row r="1703" customFormat="false" ht="15" hidden="false" customHeight="false" outlineLevel="0" collapsed="false">
      <c r="A1703" s="0" t="str">
        <f aca="false">IF(I1703="","",IF(J1703=0,"Sparte "&amp;I1703&amp;": "&amp;INDEX(Eingabe!$B$9:$B$18,I1703)&amp;"  (Sparten-ID "&amp;INDEX(Eingabe!$D$9:$D$18,I1703)&amp;", "&amp;K1703&amp;" Parzellen)",IF(J1703&lt;=K1703,"   Parzelle "&amp;J1703,IF(J1703=K1703+1,"   Vorstand",IF(J1703=K1703+2,"   Gäste",IF(J1703=K1703+3,"   Technik (Switches, Access Points)",""))))))</f>
        <v/>
      </c>
      <c r="B1703" s="0" t="str">
        <f aca="false">IF(I1703="","",IF(AND(J1703&gt;=1,J1703&lt;=K1703+3),IF(J1703&lt;=K1703,IF(J1703&lt;=99,IF((INDEX(Eingabe!$G$9:$G$18,I1703))&lt;=9,1000+(INDEX(Eingabe!$G$9:$G$18,I1703))*100,3000)+J1703,IF((INDEX(Eingabe!$G$9:$G$18,I1703)+1)&lt;=9,1000+(INDEX(Eingabe!$G$9:$G$18,I1703)+1)*100,3000)+J1703-100),IF(J1703=K1703+1,2000+INDEX(Eingabe!$G$9:$G$18,I1703)*10+1,IF(J1703=K1703+2,2000+INDEX(Eingabe!$G$9:$G$18,I1703)*10+2,2000+INDEX(Eingabe!$G$9:$G$18,I1703)*10+9))),""))</f>
        <v/>
      </c>
      <c r="C1703" s="0" t="str">
        <f aca="false">IF(I1703="","",IF(AND(J1703&gt;=1,J1703&lt;=K1703+3),"10."&amp;INDEX(Eingabe!$D$9:$D$18,I1703)&amp;"."&amp;IF(J1703&lt;=K1703,J1703,IF(J1703=K1703+1,200,IF(J1703=K1703+2,201,250)))&amp;".0/24",""))</f>
        <v/>
      </c>
      <c r="D1703" s="0" t="str">
        <f aca="false">IF(I1703="","",IF(AND(J1703&gt;=1,J1703&lt;=K1703+3),"255.255.255.0",""))</f>
        <v/>
      </c>
      <c r="E1703" s="0" t="str">
        <f aca="false">IF(I1703="","",IF(AND(J1703&gt;=1,J1703&lt;=K1703+3),"10."&amp;INDEX(Eingabe!$D$9:$D$18,I1703)&amp;"."&amp;IF(J1703&lt;=K1703,J1703,IF(J1703=K1703+1,200,IF(J1703=K1703+2,201,250)))&amp;".1",""))</f>
        <v/>
      </c>
      <c r="F1703" s="0" t="str">
        <f aca="false">IF(I1703="","",IF(AND(J1703&gt;=1,J1703&lt;=K1703+3),"10."&amp;INDEX(Eingabe!$D$9:$D$18,I1703)&amp;"."&amp;IF(J1703&lt;=K1703,J1703,IF(J1703=K1703+1,200,IF(J1703=K1703+2,201,250)))&amp;".10 – 10."&amp;INDEX(Eingabe!$D$9:$D$18,I1703)&amp;"."&amp;IF(J1703&lt;=K1703,J1703,IF(J1703=K1703+1,200,IF(J1703=K1703+2,201,250)))&amp;".250",""))</f>
        <v/>
      </c>
      <c r="G1703" s="0" t="str">
        <f aca="false">IF(I1703="","",IF(AND(J1703&gt;=1,J1703&lt;=K1703),Eingabe!$B$6&amp;"-"&amp;INDEX(Eingabe!$C$9:$C$18,I1703)&amp;"-Pächter  ·  Passwort Parzelle "&amp;J1703,IF(J1703=K1703+1,Eingabe!$B$6&amp;"-"&amp;INDEX(Eingabe!$C$9:$C$18,I1703)&amp;"-Vorstand  ·  eigenes WLAN",IF(J1703=K1703+2,Eingabe!$B$6&amp;"-"&amp;INDEX(Eingabe!$C$9:$C$18,I1703)&amp;"-Gäste  ·  Voucher",IF(J1703=K1703+3,"Kabel  ·  Access Point y = .(50+y), Mast-Switch x = .(10+x)","")))))</f>
        <v/>
      </c>
      <c r="I1703" s="0" t="str">
        <f aca="false">IF(1698&lt;=(Eingabe!$P$18+Eingabe!$Q$18-1),MATCH(1698,Eingabe!$P$9:$P$18,1),"")</f>
        <v/>
      </c>
      <c r="J1703" s="0" t="str">
        <f aca="false">IF(I1703="","",1698-INDEX(Eingabe!$P$9:$P$18,I1703))</f>
        <v/>
      </c>
      <c r="K1703" s="0" t="str">
        <f aca="false">IF(I1703="","",INDEX(Eingabe!$E$9:$E$18,I1703))</f>
        <v/>
      </c>
    </row>
    <row r="1704" customFormat="false" ht="15" hidden="false" customHeight="false" outlineLevel="0" collapsed="false">
      <c r="A1704" s="0" t="str">
        <f aca="false">IF(I1704="","",IF(J1704=0,"Sparte "&amp;I1704&amp;": "&amp;INDEX(Eingabe!$B$9:$B$18,I1704)&amp;"  (Sparten-ID "&amp;INDEX(Eingabe!$D$9:$D$18,I1704)&amp;", "&amp;K1704&amp;" Parzellen)",IF(J1704&lt;=K1704,"   Parzelle "&amp;J1704,IF(J1704=K1704+1,"   Vorstand",IF(J1704=K1704+2,"   Gäste",IF(J1704=K1704+3,"   Technik (Switches, Access Points)",""))))))</f>
        <v/>
      </c>
      <c r="B1704" s="0" t="str">
        <f aca="false">IF(I1704="","",IF(AND(J1704&gt;=1,J1704&lt;=K1704+3),IF(J1704&lt;=K1704,IF(J1704&lt;=99,IF((INDEX(Eingabe!$G$9:$G$18,I1704))&lt;=9,1000+(INDEX(Eingabe!$G$9:$G$18,I1704))*100,3000)+J1704,IF((INDEX(Eingabe!$G$9:$G$18,I1704)+1)&lt;=9,1000+(INDEX(Eingabe!$G$9:$G$18,I1704)+1)*100,3000)+J1704-100),IF(J1704=K1704+1,2000+INDEX(Eingabe!$G$9:$G$18,I1704)*10+1,IF(J1704=K1704+2,2000+INDEX(Eingabe!$G$9:$G$18,I1704)*10+2,2000+INDEX(Eingabe!$G$9:$G$18,I1704)*10+9))),""))</f>
        <v/>
      </c>
      <c r="C1704" s="0" t="str">
        <f aca="false">IF(I1704="","",IF(AND(J1704&gt;=1,J1704&lt;=K1704+3),"10."&amp;INDEX(Eingabe!$D$9:$D$18,I1704)&amp;"."&amp;IF(J1704&lt;=K1704,J1704,IF(J1704=K1704+1,200,IF(J1704=K1704+2,201,250)))&amp;".0/24",""))</f>
        <v/>
      </c>
      <c r="D1704" s="0" t="str">
        <f aca="false">IF(I1704="","",IF(AND(J1704&gt;=1,J1704&lt;=K1704+3),"255.255.255.0",""))</f>
        <v/>
      </c>
      <c r="E1704" s="0" t="str">
        <f aca="false">IF(I1704="","",IF(AND(J1704&gt;=1,J1704&lt;=K1704+3),"10."&amp;INDEX(Eingabe!$D$9:$D$18,I1704)&amp;"."&amp;IF(J1704&lt;=K1704,J1704,IF(J1704=K1704+1,200,IF(J1704=K1704+2,201,250)))&amp;".1",""))</f>
        <v/>
      </c>
      <c r="F1704" s="0" t="str">
        <f aca="false">IF(I1704="","",IF(AND(J1704&gt;=1,J1704&lt;=K1704+3),"10."&amp;INDEX(Eingabe!$D$9:$D$18,I1704)&amp;"."&amp;IF(J1704&lt;=K1704,J1704,IF(J1704=K1704+1,200,IF(J1704=K1704+2,201,250)))&amp;".10 – 10."&amp;INDEX(Eingabe!$D$9:$D$18,I1704)&amp;"."&amp;IF(J1704&lt;=K1704,J1704,IF(J1704=K1704+1,200,IF(J1704=K1704+2,201,250)))&amp;".250",""))</f>
        <v/>
      </c>
      <c r="G1704" s="0" t="str">
        <f aca="false">IF(I1704="","",IF(AND(J1704&gt;=1,J1704&lt;=K1704),Eingabe!$B$6&amp;"-"&amp;INDEX(Eingabe!$C$9:$C$18,I1704)&amp;"-Pächter  ·  Passwort Parzelle "&amp;J1704,IF(J1704=K1704+1,Eingabe!$B$6&amp;"-"&amp;INDEX(Eingabe!$C$9:$C$18,I1704)&amp;"-Vorstand  ·  eigenes WLAN",IF(J1704=K1704+2,Eingabe!$B$6&amp;"-"&amp;INDEX(Eingabe!$C$9:$C$18,I1704)&amp;"-Gäste  ·  Voucher",IF(J1704=K1704+3,"Kabel  ·  Access Point y = .(50+y), Mast-Switch x = .(10+x)","")))))</f>
        <v/>
      </c>
      <c r="I1704" s="0" t="str">
        <f aca="false">IF(1699&lt;=(Eingabe!$P$18+Eingabe!$Q$18-1),MATCH(1699,Eingabe!$P$9:$P$18,1),"")</f>
        <v/>
      </c>
      <c r="J1704" s="0" t="str">
        <f aca="false">IF(I1704="","",1699-INDEX(Eingabe!$P$9:$P$18,I1704))</f>
        <v/>
      </c>
      <c r="K1704" s="0" t="str">
        <f aca="false">IF(I1704="","",INDEX(Eingabe!$E$9:$E$18,I1704))</f>
        <v/>
      </c>
    </row>
    <row r="1705" customFormat="false" ht="15" hidden="false" customHeight="false" outlineLevel="0" collapsed="false">
      <c r="A1705" s="0" t="str">
        <f aca="false">IF(I1705="","",IF(J1705=0,"Sparte "&amp;I1705&amp;": "&amp;INDEX(Eingabe!$B$9:$B$18,I1705)&amp;"  (Sparten-ID "&amp;INDEX(Eingabe!$D$9:$D$18,I1705)&amp;", "&amp;K1705&amp;" Parzellen)",IF(J1705&lt;=K1705,"   Parzelle "&amp;J1705,IF(J1705=K1705+1,"   Vorstand",IF(J1705=K1705+2,"   Gäste",IF(J1705=K1705+3,"   Technik (Switches, Access Points)",""))))))</f>
        <v/>
      </c>
      <c r="B1705" s="0" t="str">
        <f aca="false">IF(I1705="","",IF(AND(J1705&gt;=1,J1705&lt;=K1705+3),IF(J1705&lt;=K1705,IF(J1705&lt;=99,IF((INDEX(Eingabe!$G$9:$G$18,I1705))&lt;=9,1000+(INDEX(Eingabe!$G$9:$G$18,I1705))*100,3000)+J1705,IF((INDEX(Eingabe!$G$9:$G$18,I1705)+1)&lt;=9,1000+(INDEX(Eingabe!$G$9:$G$18,I1705)+1)*100,3000)+J1705-100),IF(J1705=K1705+1,2000+INDEX(Eingabe!$G$9:$G$18,I1705)*10+1,IF(J1705=K1705+2,2000+INDEX(Eingabe!$G$9:$G$18,I1705)*10+2,2000+INDEX(Eingabe!$G$9:$G$18,I1705)*10+9))),""))</f>
        <v/>
      </c>
      <c r="C1705" s="0" t="str">
        <f aca="false">IF(I1705="","",IF(AND(J1705&gt;=1,J1705&lt;=K1705+3),"10."&amp;INDEX(Eingabe!$D$9:$D$18,I1705)&amp;"."&amp;IF(J1705&lt;=K1705,J1705,IF(J1705=K1705+1,200,IF(J1705=K1705+2,201,250)))&amp;".0/24",""))</f>
        <v/>
      </c>
      <c r="D1705" s="0" t="str">
        <f aca="false">IF(I1705="","",IF(AND(J1705&gt;=1,J1705&lt;=K1705+3),"255.255.255.0",""))</f>
        <v/>
      </c>
      <c r="E1705" s="0" t="str">
        <f aca="false">IF(I1705="","",IF(AND(J1705&gt;=1,J1705&lt;=K1705+3),"10."&amp;INDEX(Eingabe!$D$9:$D$18,I1705)&amp;"."&amp;IF(J1705&lt;=K1705,J1705,IF(J1705=K1705+1,200,IF(J1705=K1705+2,201,250)))&amp;".1",""))</f>
        <v/>
      </c>
      <c r="F1705" s="0" t="str">
        <f aca="false">IF(I1705="","",IF(AND(J1705&gt;=1,J1705&lt;=K1705+3),"10."&amp;INDEX(Eingabe!$D$9:$D$18,I1705)&amp;"."&amp;IF(J1705&lt;=K1705,J1705,IF(J1705=K1705+1,200,IF(J1705=K1705+2,201,250)))&amp;".10 – 10."&amp;INDEX(Eingabe!$D$9:$D$18,I1705)&amp;"."&amp;IF(J1705&lt;=K1705,J1705,IF(J1705=K1705+1,200,IF(J1705=K1705+2,201,250)))&amp;".250",""))</f>
        <v/>
      </c>
      <c r="G1705" s="0" t="str">
        <f aca="false">IF(I1705="","",IF(AND(J1705&gt;=1,J1705&lt;=K1705),Eingabe!$B$6&amp;"-"&amp;INDEX(Eingabe!$C$9:$C$18,I1705)&amp;"-Pächter  ·  Passwort Parzelle "&amp;J1705,IF(J1705=K1705+1,Eingabe!$B$6&amp;"-"&amp;INDEX(Eingabe!$C$9:$C$18,I1705)&amp;"-Vorstand  ·  eigenes WLAN",IF(J1705=K1705+2,Eingabe!$B$6&amp;"-"&amp;INDEX(Eingabe!$C$9:$C$18,I1705)&amp;"-Gäste  ·  Voucher",IF(J1705=K1705+3,"Kabel  ·  Access Point y = .(50+y), Mast-Switch x = .(10+x)","")))))</f>
        <v/>
      </c>
      <c r="I1705" s="0" t="str">
        <f aca="false">IF(1700&lt;=(Eingabe!$P$18+Eingabe!$Q$18-1),MATCH(1700,Eingabe!$P$9:$P$18,1),"")</f>
        <v/>
      </c>
      <c r="J1705" s="0" t="str">
        <f aca="false">IF(I1705="","",1700-INDEX(Eingabe!$P$9:$P$18,I1705))</f>
        <v/>
      </c>
      <c r="K1705" s="0" t="str">
        <f aca="false">IF(I1705="","",INDEX(Eingabe!$E$9:$E$18,I1705))</f>
        <v/>
      </c>
    </row>
    <row r="1706" customFormat="false" ht="15" hidden="false" customHeight="false" outlineLevel="0" collapsed="false">
      <c r="A1706" s="0" t="str">
        <f aca="false">IF(I1706="","",IF(J1706=0,"Sparte "&amp;I1706&amp;": "&amp;INDEX(Eingabe!$B$9:$B$18,I1706)&amp;"  (Sparten-ID "&amp;INDEX(Eingabe!$D$9:$D$18,I1706)&amp;", "&amp;K1706&amp;" Parzellen)",IF(J1706&lt;=K1706,"   Parzelle "&amp;J1706,IF(J1706=K1706+1,"   Vorstand",IF(J1706=K1706+2,"   Gäste",IF(J1706=K1706+3,"   Technik (Switches, Access Points)",""))))))</f>
        <v/>
      </c>
      <c r="B1706" s="0" t="str">
        <f aca="false">IF(I1706="","",IF(AND(J1706&gt;=1,J1706&lt;=K1706+3),IF(J1706&lt;=K1706,IF(J1706&lt;=99,IF((INDEX(Eingabe!$G$9:$G$18,I1706))&lt;=9,1000+(INDEX(Eingabe!$G$9:$G$18,I1706))*100,3000)+J1706,IF((INDEX(Eingabe!$G$9:$G$18,I1706)+1)&lt;=9,1000+(INDEX(Eingabe!$G$9:$G$18,I1706)+1)*100,3000)+J1706-100),IF(J1706=K1706+1,2000+INDEX(Eingabe!$G$9:$G$18,I1706)*10+1,IF(J1706=K1706+2,2000+INDEX(Eingabe!$G$9:$G$18,I1706)*10+2,2000+INDEX(Eingabe!$G$9:$G$18,I1706)*10+9))),""))</f>
        <v/>
      </c>
      <c r="C1706" s="0" t="str">
        <f aca="false">IF(I1706="","",IF(AND(J1706&gt;=1,J1706&lt;=K1706+3),"10."&amp;INDEX(Eingabe!$D$9:$D$18,I1706)&amp;"."&amp;IF(J1706&lt;=K1706,J1706,IF(J1706=K1706+1,200,IF(J1706=K1706+2,201,250)))&amp;".0/24",""))</f>
        <v/>
      </c>
      <c r="D1706" s="0" t="str">
        <f aca="false">IF(I1706="","",IF(AND(J1706&gt;=1,J1706&lt;=K1706+3),"255.255.255.0",""))</f>
        <v/>
      </c>
      <c r="E1706" s="0" t="str">
        <f aca="false">IF(I1706="","",IF(AND(J1706&gt;=1,J1706&lt;=K1706+3),"10."&amp;INDEX(Eingabe!$D$9:$D$18,I1706)&amp;"."&amp;IF(J1706&lt;=K1706,J1706,IF(J1706=K1706+1,200,IF(J1706=K1706+2,201,250)))&amp;".1",""))</f>
        <v/>
      </c>
      <c r="F1706" s="0" t="str">
        <f aca="false">IF(I1706="","",IF(AND(J1706&gt;=1,J1706&lt;=K1706+3),"10."&amp;INDEX(Eingabe!$D$9:$D$18,I1706)&amp;"."&amp;IF(J1706&lt;=K1706,J1706,IF(J1706=K1706+1,200,IF(J1706=K1706+2,201,250)))&amp;".10 – 10."&amp;INDEX(Eingabe!$D$9:$D$18,I1706)&amp;"."&amp;IF(J1706&lt;=K1706,J1706,IF(J1706=K1706+1,200,IF(J1706=K1706+2,201,250)))&amp;".250",""))</f>
        <v/>
      </c>
      <c r="G1706" s="0" t="str">
        <f aca="false">IF(I1706="","",IF(AND(J1706&gt;=1,J1706&lt;=K1706),Eingabe!$B$6&amp;"-"&amp;INDEX(Eingabe!$C$9:$C$18,I1706)&amp;"-Pächter  ·  Passwort Parzelle "&amp;J1706,IF(J1706=K1706+1,Eingabe!$B$6&amp;"-"&amp;INDEX(Eingabe!$C$9:$C$18,I1706)&amp;"-Vorstand  ·  eigenes WLAN",IF(J1706=K1706+2,Eingabe!$B$6&amp;"-"&amp;INDEX(Eingabe!$C$9:$C$18,I1706)&amp;"-Gäste  ·  Voucher",IF(J1706=K1706+3,"Kabel  ·  Access Point y = .(50+y), Mast-Switch x = .(10+x)","")))))</f>
        <v/>
      </c>
      <c r="I1706" s="0" t="str">
        <f aca="false">IF(1701&lt;=(Eingabe!$P$18+Eingabe!$Q$18-1),MATCH(1701,Eingabe!$P$9:$P$18,1),"")</f>
        <v/>
      </c>
      <c r="J1706" s="0" t="str">
        <f aca="false">IF(I1706="","",1701-INDEX(Eingabe!$P$9:$P$18,I1706))</f>
        <v/>
      </c>
      <c r="K1706" s="0" t="str">
        <f aca="false">IF(I1706="","",INDEX(Eingabe!$E$9:$E$18,I1706))</f>
        <v/>
      </c>
    </row>
    <row r="1707" customFormat="false" ht="15" hidden="false" customHeight="false" outlineLevel="0" collapsed="false">
      <c r="A1707" s="0" t="str">
        <f aca="false">IF(I1707="","",IF(J1707=0,"Sparte "&amp;I1707&amp;": "&amp;INDEX(Eingabe!$B$9:$B$18,I1707)&amp;"  (Sparten-ID "&amp;INDEX(Eingabe!$D$9:$D$18,I1707)&amp;", "&amp;K1707&amp;" Parzellen)",IF(J1707&lt;=K1707,"   Parzelle "&amp;J1707,IF(J1707=K1707+1,"   Vorstand",IF(J1707=K1707+2,"   Gäste",IF(J1707=K1707+3,"   Technik (Switches, Access Points)",""))))))</f>
        <v/>
      </c>
      <c r="B1707" s="0" t="str">
        <f aca="false">IF(I1707="","",IF(AND(J1707&gt;=1,J1707&lt;=K1707+3),IF(J1707&lt;=K1707,IF(J1707&lt;=99,IF((INDEX(Eingabe!$G$9:$G$18,I1707))&lt;=9,1000+(INDEX(Eingabe!$G$9:$G$18,I1707))*100,3000)+J1707,IF((INDEX(Eingabe!$G$9:$G$18,I1707)+1)&lt;=9,1000+(INDEX(Eingabe!$G$9:$G$18,I1707)+1)*100,3000)+J1707-100),IF(J1707=K1707+1,2000+INDEX(Eingabe!$G$9:$G$18,I1707)*10+1,IF(J1707=K1707+2,2000+INDEX(Eingabe!$G$9:$G$18,I1707)*10+2,2000+INDEX(Eingabe!$G$9:$G$18,I1707)*10+9))),""))</f>
        <v/>
      </c>
      <c r="C1707" s="0" t="str">
        <f aca="false">IF(I1707="","",IF(AND(J1707&gt;=1,J1707&lt;=K1707+3),"10."&amp;INDEX(Eingabe!$D$9:$D$18,I1707)&amp;"."&amp;IF(J1707&lt;=K1707,J1707,IF(J1707=K1707+1,200,IF(J1707=K1707+2,201,250)))&amp;".0/24",""))</f>
        <v/>
      </c>
      <c r="D1707" s="0" t="str">
        <f aca="false">IF(I1707="","",IF(AND(J1707&gt;=1,J1707&lt;=K1707+3),"255.255.255.0",""))</f>
        <v/>
      </c>
      <c r="E1707" s="0" t="str">
        <f aca="false">IF(I1707="","",IF(AND(J1707&gt;=1,J1707&lt;=K1707+3),"10."&amp;INDEX(Eingabe!$D$9:$D$18,I1707)&amp;"."&amp;IF(J1707&lt;=K1707,J1707,IF(J1707=K1707+1,200,IF(J1707=K1707+2,201,250)))&amp;".1",""))</f>
        <v/>
      </c>
      <c r="F1707" s="0" t="str">
        <f aca="false">IF(I1707="","",IF(AND(J1707&gt;=1,J1707&lt;=K1707+3),"10."&amp;INDEX(Eingabe!$D$9:$D$18,I1707)&amp;"."&amp;IF(J1707&lt;=K1707,J1707,IF(J1707=K1707+1,200,IF(J1707=K1707+2,201,250)))&amp;".10 – 10."&amp;INDEX(Eingabe!$D$9:$D$18,I1707)&amp;"."&amp;IF(J1707&lt;=K1707,J1707,IF(J1707=K1707+1,200,IF(J1707=K1707+2,201,250)))&amp;".250",""))</f>
        <v/>
      </c>
      <c r="G1707" s="0" t="str">
        <f aca="false">IF(I1707="","",IF(AND(J1707&gt;=1,J1707&lt;=K1707),Eingabe!$B$6&amp;"-"&amp;INDEX(Eingabe!$C$9:$C$18,I1707)&amp;"-Pächter  ·  Passwort Parzelle "&amp;J1707,IF(J1707=K1707+1,Eingabe!$B$6&amp;"-"&amp;INDEX(Eingabe!$C$9:$C$18,I1707)&amp;"-Vorstand  ·  eigenes WLAN",IF(J1707=K1707+2,Eingabe!$B$6&amp;"-"&amp;INDEX(Eingabe!$C$9:$C$18,I1707)&amp;"-Gäste  ·  Voucher",IF(J1707=K1707+3,"Kabel  ·  Access Point y = .(50+y), Mast-Switch x = .(10+x)","")))))</f>
        <v/>
      </c>
      <c r="I1707" s="0" t="str">
        <f aca="false">IF(1702&lt;=(Eingabe!$P$18+Eingabe!$Q$18-1),MATCH(1702,Eingabe!$P$9:$P$18,1),"")</f>
        <v/>
      </c>
      <c r="J1707" s="0" t="str">
        <f aca="false">IF(I1707="","",1702-INDEX(Eingabe!$P$9:$P$18,I1707))</f>
        <v/>
      </c>
      <c r="K1707" s="0" t="str">
        <f aca="false">IF(I1707="","",INDEX(Eingabe!$E$9:$E$18,I1707))</f>
        <v/>
      </c>
    </row>
    <row r="1708" customFormat="false" ht="15" hidden="false" customHeight="false" outlineLevel="0" collapsed="false">
      <c r="A1708" s="0" t="str">
        <f aca="false">IF(I1708="","",IF(J1708=0,"Sparte "&amp;I1708&amp;": "&amp;INDEX(Eingabe!$B$9:$B$18,I1708)&amp;"  (Sparten-ID "&amp;INDEX(Eingabe!$D$9:$D$18,I1708)&amp;", "&amp;K1708&amp;" Parzellen)",IF(J1708&lt;=K1708,"   Parzelle "&amp;J1708,IF(J1708=K1708+1,"   Vorstand",IF(J1708=K1708+2,"   Gäste",IF(J1708=K1708+3,"   Technik (Switches, Access Points)",""))))))</f>
        <v/>
      </c>
      <c r="B1708" s="0" t="str">
        <f aca="false">IF(I1708="","",IF(AND(J1708&gt;=1,J1708&lt;=K1708+3),IF(J1708&lt;=K1708,IF(J1708&lt;=99,IF((INDEX(Eingabe!$G$9:$G$18,I1708))&lt;=9,1000+(INDEX(Eingabe!$G$9:$G$18,I1708))*100,3000)+J1708,IF((INDEX(Eingabe!$G$9:$G$18,I1708)+1)&lt;=9,1000+(INDEX(Eingabe!$G$9:$G$18,I1708)+1)*100,3000)+J1708-100),IF(J1708=K1708+1,2000+INDEX(Eingabe!$G$9:$G$18,I1708)*10+1,IF(J1708=K1708+2,2000+INDEX(Eingabe!$G$9:$G$18,I1708)*10+2,2000+INDEX(Eingabe!$G$9:$G$18,I1708)*10+9))),""))</f>
        <v/>
      </c>
      <c r="C1708" s="0" t="str">
        <f aca="false">IF(I1708="","",IF(AND(J1708&gt;=1,J1708&lt;=K1708+3),"10."&amp;INDEX(Eingabe!$D$9:$D$18,I1708)&amp;"."&amp;IF(J1708&lt;=K1708,J1708,IF(J1708=K1708+1,200,IF(J1708=K1708+2,201,250)))&amp;".0/24",""))</f>
        <v/>
      </c>
      <c r="D1708" s="0" t="str">
        <f aca="false">IF(I1708="","",IF(AND(J1708&gt;=1,J1708&lt;=K1708+3),"255.255.255.0",""))</f>
        <v/>
      </c>
      <c r="E1708" s="0" t="str">
        <f aca="false">IF(I1708="","",IF(AND(J1708&gt;=1,J1708&lt;=K1708+3),"10."&amp;INDEX(Eingabe!$D$9:$D$18,I1708)&amp;"."&amp;IF(J1708&lt;=K1708,J1708,IF(J1708=K1708+1,200,IF(J1708=K1708+2,201,250)))&amp;".1",""))</f>
        <v/>
      </c>
      <c r="F1708" s="0" t="str">
        <f aca="false">IF(I1708="","",IF(AND(J1708&gt;=1,J1708&lt;=K1708+3),"10."&amp;INDEX(Eingabe!$D$9:$D$18,I1708)&amp;"."&amp;IF(J1708&lt;=K1708,J1708,IF(J1708=K1708+1,200,IF(J1708=K1708+2,201,250)))&amp;".10 – 10."&amp;INDEX(Eingabe!$D$9:$D$18,I1708)&amp;"."&amp;IF(J1708&lt;=K1708,J1708,IF(J1708=K1708+1,200,IF(J1708=K1708+2,201,250)))&amp;".250",""))</f>
        <v/>
      </c>
      <c r="G1708" s="0" t="str">
        <f aca="false">IF(I1708="","",IF(AND(J1708&gt;=1,J1708&lt;=K1708),Eingabe!$B$6&amp;"-"&amp;INDEX(Eingabe!$C$9:$C$18,I1708)&amp;"-Pächter  ·  Passwort Parzelle "&amp;J1708,IF(J1708=K1708+1,Eingabe!$B$6&amp;"-"&amp;INDEX(Eingabe!$C$9:$C$18,I1708)&amp;"-Vorstand  ·  eigenes WLAN",IF(J1708=K1708+2,Eingabe!$B$6&amp;"-"&amp;INDEX(Eingabe!$C$9:$C$18,I1708)&amp;"-Gäste  ·  Voucher",IF(J1708=K1708+3,"Kabel  ·  Access Point y = .(50+y), Mast-Switch x = .(10+x)","")))))</f>
        <v/>
      </c>
      <c r="I1708" s="0" t="str">
        <f aca="false">IF(1703&lt;=(Eingabe!$P$18+Eingabe!$Q$18-1),MATCH(1703,Eingabe!$P$9:$P$18,1),"")</f>
        <v/>
      </c>
      <c r="J1708" s="0" t="str">
        <f aca="false">IF(I1708="","",1703-INDEX(Eingabe!$P$9:$P$18,I1708))</f>
        <v/>
      </c>
      <c r="K1708" s="0" t="str">
        <f aca="false">IF(I1708="","",INDEX(Eingabe!$E$9:$E$18,I1708))</f>
        <v/>
      </c>
    </row>
    <row r="1709" customFormat="false" ht="15" hidden="false" customHeight="false" outlineLevel="0" collapsed="false">
      <c r="A1709" s="0" t="str">
        <f aca="false">IF(I1709="","",IF(J1709=0,"Sparte "&amp;I1709&amp;": "&amp;INDEX(Eingabe!$B$9:$B$18,I1709)&amp;"  (Sparten-ID "&amp;INDEX(Eingabe!$D$9:$D$18,I1709)&amp;", "&amp;K1709&amp;" Parzellen)",IF(J1709&lt;=K1709,"   Parzelle "&amp;J1709,IF(J1709=K1709+1,"   Vorstand",IF(J1709=K1709+2,"   Gäste",IF(J1709=K1709+3,"   Technik (Switches, Access Points)",""))))))</f>
        <v/>
      </c>
      <c r="B1709" s="0" t="str">
        <f aca="false">IF(I1709="","",IF(AND(J1709&gt;=1,J1709&lt;=K1709+3),IF(J1709&lt;=K1709,IF(J1709&lt;=99,IF((INDEX(Eingabe!$G$9:$G$18,I1709))&lt;=9,1000+(INDEX(Eingabe!$G$9:$G$18,I1709))*100,3000)+J1709,IF((INDEX(Eingabe!$G$9:$G$18,I1709)+1)&lt;=9,1000+(INDEX(Eingabe!$G$9:$G$18,I1709)+1)*100,3000)+J1709-100),IF(J1709=K1709+1,2000+INDEX(Eingabe!$G$9:$G$18,I1709)*10+1,IF(J1709=K1709+2,2000+INDEX(Eingabe!$G$9:$G$18,I1709)*10+2,2000+INDEX(Eingabe!$G$9:$G$18,I1709)*10+9))),""))</f>
        <v/>
      </c>
      <c r="C1709" s="0" t="str">
        <f aca="false">IF(I1709="","",IF(AND(J1709&gt;=1,J1709&lt;=K1709+3),"10."&amp;INDEX(Eingabe!$D$9:$D$18,I1709)&amp;"."&amp;IF(J1709&lt;=K1709,J1709,IF(J1709=K1709+1,200,IF(J1709=K1709+2,201,250)))&amp;".0/24",""))</f>
        <v/>
      </c>
      <c r="D1709" s="0" t="str">
        <f aca="false">IF(I1709="","",IF(AND(J1709&gt;=1,J1709&lt;=K1709+3),"255.255.255.0",""))</f>
        <v/>
      </c>
      <c r="E1709" s="0" t="str">
        <f aca="false">IF(I1709="","",IF(AND(J1709&gt;=1,J1709&lt;=K1709+3),"10."&amp;INDEX(Eingabe!$D$9:$D$18,I1709)&amp;"."&amp;IF(J1709&lt;=K1709,J1709,IF(J1709=K1709+1,200,IF(J1709=K1709+2,201,250)))&amp;".1",""))</f>
        <v/>
      </c>
      <c r="F1709" s="0" t="str">
        <f aca="false">IF(I1709="","",IF(AND(J1709&gt;=1,J1709&lt;=K1709+3),"10."&amp;INDEX(Eingabe!$D$9:$D$18,I1709)&amp;"."&amp;IF(J1709&lt;=K1709,J1709,IF(J1709=K1709+1,200,IF(J1709=K1709+2,201,250)))&amp;".10 – 10."&amp;INDEX(Eingabe!$D$9:$D$18,I1709)&amp;"."&amp;IF(J1709&lt;=K1709,J1709,IF(J1709=K1709+1,200,IF(J1709=K1709+2,201,250)))&amp;".250",""))</f>
        <v/>
      </c>
      <c r="G1709" s="0" t="str">
        <f aca="false">IF(I1709="","",IF(AND(J1709&gt;=1,J1709&lt;=K1709),Eingabe!$B$6&amp;"-"&amp;INDEX(Eingabe!$C$9:$C$18,I1709)&amp;"-Pächter  ·  Passwort Parzelle "&amp;J1709,IF(J1709=K1709+1,Eingabe!$B$6&amp;"-"&amp;INDEX(Eingabe!$C$9:$C$18,I1709)&amp;"-Vorstand  ·  eigenes WLAN",IF(J1709=K1709+2,Eingabe!$B$6&amp;"-"&amp;INDEX(Eingabe!$C$9:$C$18,I1709)&amp;"-Gäste  ·  Voucher",IF(J1709=K1709+3,"Kabel  ·  Access Point y = .(50+y), Mast-Switch x = .(10+x)","")))))</f>
        <v/>
      </c>
      <c r="I1709" s="0" t="str">
        <f aca="false">IF(1704&lt;=(Eingabe!$P$18+Eingabe!$Q$18-1),MATCH(1704,Eingabe!$P$9:$P$18,1),"")</f>
        <v/>
      </c>
      <c r="J1709" s="0" t="str">
        <f aca="false">IF(I1709="","",1704-INDEX(Eingabe!$P$9:$P$18,I1709))</f>
        <v/>
      </c>
      <c r="K1709" s="0" t="str">
        <f aca="false">IF(I1709="","",INDEX(Eingabe!$E$9:$E$18,I1709))</f>
        <v/>
      </c>
    </row>
    <row r="1710" customFormat="false" ht="15" hidden="false" customHeight="false" outlineLevel="0" collapsed="false">
      <c r="A1710" s="0" t="str">
        <f aca="false">IF(I1710="","",IF(J1710=0,"Sparte "&amp;I1710&amp;": "&amp;INDEX(Eingabe!$B$9:$B$18,I1710)&amp;"  (Sparten-ID "&amp;INDEX(Eingabe!$D$9:$D$18,I1710)&amp;", "&amp;K1710&amp;" Parzellen)",IF(J1710&lt;=K1710,"   Parzelle "&amp;J1710,IF(J1710=K1710+1,"   Vorstand",IF(J1710=K1710+2,"   Gäste",IF(J1710=K1710+3,"   Technik (Switches, Access Points)",""))))))</f>
        <v/>
      </c>
      <c r="B1710" s="0" t="str">
        <f aca="false">IF(I1710="","",IF(AND(J1710&gt;=1,J1710&lt;=K1710+3),IF(J1710&lt;=K1710,IF(J1710&lt;=99,IF((INDEX(Eingabe!$G$9:$G$18,I1710))&lt;=9,1000+(INDEX(Eingabe!$G$9:$G$18,I1710))*100,3000)+J1710,IF((INDEX(Eingabe!$G$9:$G$18,I1710)+1)&lt;=9,1000+(INDEX(Eingabe!$G$9:$G$18,I1710)+1)*100,3000)+J1710-100),IF(J1710=K1710+1,2000+INDEX(Eingabe!$G$9:$G$18,I1710)*10+1,IF(J1710=K1710+2,2000+INDEX(Eingabe!$G$9:$G$18,I1710)*10+2,2000+INDEX(Eingabe!$G$9:$G$18,I1710)*10+9))),""))</f>
        <v/>
      </c>
      <c r="C1710" s="0" t="str">
        <f aca="false">IF(I1710="","",IF(AND(J1710&gt;=1,J1710&lt;=K1710+3),"10."&amp;INDEX(Eingabe!$D$9:$D$18,I1710)&amp;"."&amp;IF(J1710&lt;=K1710,J1710,IF(J1710=K1710+1,200,IF(J1710=K1710+2,201,250)))&amp;".0/24",""))</f>
        <v/>
      </c>
      <c r="D1710" s="0" t="str">
        <f aca="false">IF(I1710="","",IF(AND(J1710&gt;=1,J1710&lt;=K1710+3),"255.255.255.0",""))</f>
        <v/>
      </c>
      <c r="E1710" s="0" t="str">
        <f aca="false">IF(I1710="","",IF(AND(J1710&gt;=1,J1710&lt;=K1710+3),"10."&amp;INDEX(Eingabe!$D$9:$D$18,I1710)&amp;"."&amp;IF(J1710&lt;=K1710,J1710,IF(J1710=K1710+1,200,IF(J1710=K1710+2,201,250)))&amp;".1",""))</f>
        <v/>
      </c>
      <c r="F1710" s="0" t="str">
        <f aca="false">IF(I1710="","",IF(AND(J1710&gt;=1,J1710&lt;=K1710+3),"10."&amp;INDEX(Eingabe!$D$9:$D$18,I1710)&amp;"."&amp;IF(J1710&lt;=K1710,J1710,IF(J1710=K1710+1,200,IF(J1710=K1710+2,201,250)))&amp;".10 – 10."&amp;INDEX(Eingabe!$D$9:$D$18,I1710)&amp;"."&amp;IF(J1710&lt;=K1710,J1710,IF(J1710=K1710+1,200,IF(J1710=K1710+2,201,250)))&amp;".250",""))</f>
        <v/>
      </c>
      <c r="G1710" s="0" t="str">
        <f aca="false">IF(I1710="","",IF(AND(J1710&gt;=1,J1710&lt;=K1710),Eingabe!$B$6&amp;"-"&amp;INDEX(Eingabe!$C$9:$C$18,I1710)&amp;"-Pächter  ·  Passwort Parzelle "&amp;J1710,IF(J1710=K1710+1,Eingabe!$B$6&amp;"-"&amp;INDEX(Eingabe!$C$9:$C$18,I1710)&amp;"-Vorstand  ·  eigenes WLAN",IF(J1710=K1710+2,Eingabe!$B$6&amp;"-"&amp;INDEX(Eingabe!$C$9:$C$18,I1710)&amp;"-Gäste  ·  Voucher",IF(J1710=K1710+3,"Kabel  ·  Access Point y = .(50+y), Mast-Switch x = .(10+x)","")))))</f>
        <v/>
      </c>
      <c r="I1710" s="0" t="str">
        <f aca="false">IF(1705&lt;=(Eingabe!$P$18+Eingabe!$Q$18-1),MATCH(1705,Eingabe!$P$9:$P$18,1),"")</f>
        <v/>
      </c>
      <c r="J1710" s="0" t="str">
        <f aca="false">IF(I1710="","",1705-INDEX(Eingabe!$P$9:$P$18,I1710))</f>
        <v/>
      </c>
      <c r="K1710" s="0" t="str">
        <f aca="false">IF(I1710="","",INDEX(Eingabe!$E$9:$E$18,I1710))</f>
        <v/>
      </c>
    </row>
    <row r="1711" customFormat="false" ht="15" hidden="false" customHeight="false" outlineLevel="0" collapsed="false">
      <c r="A1711" s="0" t="str">
        <f aca="false">IF(I1711="","",IF(J1711=0,"Sparte "&amp;I1711&amp;": "&amp;INDEX(Eingabe!$B$9:$B$18,I1711)&amp;"  (Sparten-ID "&amp;INDEX(Eingabe!$D$9:$D$18,I1711)&amp;", "&amp;K1711&amp;" Parzellen)",IF(J1711&lt;=K1711,"   Parzelle "&amp;J1711,IF(J1711=K1711+1,"   Vorstand",IF(J1711=K1711+2,"   Gäste",IF(J1711=K1711+3,"   Technik (Switches, Access Points)",""))))))</f>
        <v/>
      </c>
      <c r="B1711" s="0" t="str">
        <f aca="false">IF(I1711="","",IF(AND(J1711&gt;=1,J1711&lt;=K1711+3),IF(J1711&lt;=K1711,IF(J1711&lt;=99,IF((INDEX(Eingabe!$G$9:$G$18,I1711))&lt;=9,1000+(INDEX(Eingabe!$G$9:$G$18,I1711))*100,3000)+J1711,IF((INDEX(Eingabe!$G$9:$G$18,I1711)+1)&lt;=9,1000+(INDEX(Eingabe!$G$9:$G$18,I1711)+1)*100,3000)+J1711-100),IF(J1711=K1711+1,2000+INDEX(Eingabe!$G$9:$G$18,I1711)*10+1,IF(J1711=K1711+2,2000+INDEX(Eingabe!$G$9:$G$18,I1711)*10+2,2000+INDEX(Eingabe!$G$9:$G$18,I1711)*10+9))),""))</f>
        <v/>
      </c>
      <c r="C1711" s="0" t="str">
        <f aca="false">IF(I1711="","",IF(AND(J1711&gt;=1,J1711&lt;=K1711+3),"10."&amp;INDEX(Eingabe!$D$9:$D$18,I1711)&amp;"."&amp;IF(J1711&lt;=K1711,J1711,IF(J1711=K1711+1,200,IF(J1711=K1711+2,201,250)))&amp;".0/24",""))</f>
        <v/>
      </c>
      <c r="D1711" s="0" t="str">
        <f aca="false">IF(I1711="","",IF(AND(J1711&gt;=1,J1711&lt;=K1711+3),"255.255.255.0",""))</f>
        <v/>
      </c>
      <c r="E1711" s="0" t="str">
        <f aca="false">IF(I1711="","",IF(AND(J1711&gt;=1,J1711&lt;=K1711+3),"10."&amp;INDEX(Eingabe!$D$9:$D$18,I1711)&amp;"."&amp;IF(J1711&lt;=K1711,J1711,IF(J1711=K1711+1,200,IF(J1711=K1711+2,201,250)))&amp;".1",""))</f>
        <v/>
      </c>
      <c r="F1711" s="0" t="str">
        <f aca="false">IF(I1711="","",IF(AND(J1711&gt;=1,J1711&lt;=K1711+3),"10."&amp;INDEX(Eingabe!$D$9:$D$18,I1711)&amp;"."&amp;IF(J1711&lt;=K1711,J1711,IF(J1711=K1711+1,200,IF(J1711=K1711+2,201,250)))&amp;".10 – 10."&amp;INDEX(Eingabe!$D$9:$D$18,I1711)&amp;"."&amp;IF(J1711&lt;=K1711,J1711,IF(J1711=K1711+1,200,IF(J1711=K1711+2,201,250)))&amp;".250",""))</f>
        <v/>
      </c>
      <c r="G1711" s="0" t="str">
        <f aca="false">IF(I1711="","",IF(AND(J1711&gt;=1,J1711&lt;=K1711),Eingabe!$B$6&amp;"-"&amp;INDEX(Eingabe!$C$9:$C$18,I1711)&amp;"-Pächter  ·  Passwort Parzelle "&amp;J1711,IF(J1711=K1711+1,Eingabe!$B$6&amp;"-"&amp;INDEX(Eingabe!$C$9:$C$18,I1711)&amp;"-Vorstand  ·  eigenes WLAN",IF(J1711=K1711+2,Eingabe!$B$6&amp;"-"&amp;INDEX(Eingabe!$C$9:$C$18,I1711)&amp;"-Gäste  ·  Voucher",IF(J1711=K1711+3,"Kabel  ·  Access Point y = .(50+y), Mast-Switch x = .(10+x)","")))))</f>
        <v/>
      </c>
      <c r="I1711" s="0" t="str">
        <f aca="false">IF(1706&lt;=(Eingabe!$P$18+Eingabe!$Q$18-1),MATCH(1706,Eingabe!$P$9:$P$18,1),"")</f>
        <v/>
      </c>
      <c r="J1711" s="0" t="str">
        <f aca="false">IF(I1711="","",1706-INDEX(Eingabe!$P$9:$P$18,I1711))</f>
        <v/>
      </c>
      <c r="K1711" s="0" t="str">
        <f aca="false">IF(I1711="","",INDEX(Eingabe!$E$9:$E$18,I1711))</f>
        <v/>
      </c>
    </row>
    <row r="1712" customFormat="false" ht="15" hidden="false" customHeight="false" outlineLevel="0" collapsed="false">
      <c r="A1712" s="0" t="str">
        <f aca="false">IF(I1712="","",IF(J1712=0,"Sparte "&amp;I1712&amp;": "&amp;INDEX(Eingabe!$B$9:$B$18,I1712)&amp;"  (Sparten-ID "&amp;INDEX(Eingabe!$D$9:$D$18,I1712)&amp;", "&amp;K1712&amp;" Parzellen)",IF(J1712&lt;=K1712,"   Parzelle "&amp;J1712,IF(J1712=K1712+1,"   Vorstand",IF(J1712=K1712+2,"   Gäste",IF(J1712=K1712+3,"   Technik (Switches, Access Points)",""))))))</f>
        <v/>
      </c>
      <c r="B1712" s="0" t="str">
        <f aca="false">IF(I1712="","",IF(AND(J1712&gt;=1,J1712&lt;=K1712+3),IF(J1712&lt;=K1712,IF(J1712&lt;=99,IF((INDEX(Eingabe!$G$9:$G$18,I1712))&lt;=9,1000+(INDEX(Eingabe!$G$9:$G$18,I1712))*100,3000)+J1712,IF((INDEX(Eingabe!$G$9:$G$18,I1712)+1)&lt;=9,1000+(INDEX(Eingabe!$G$9:$G$18,I1712)+1)*100,3000)+J1712-100),IF(J1712=K1712+1,2000+INDEX(Eingabe!$G$9:$G$18,I1712)*10+1,IF(J1712=K1712+2,2000+INDEX(Eingabe!$G$9:$G$18,I1712)*10+2,2000+INDEX(Eingabe!$G$9:$G$18,I1712)*10+9))),""))</f>
        <v/>
      </c>
      <c r="C1712" s="0" t="str">
        <f aca="false">IF(I1712="","",IF(AND(J1712&gt;=1,J1712&lt;=K1712+3),"10."&amp;INDEX(Eingabe!$D$9:$D$18,I1712)&amp;"."&amp;IF(J1712&lt;=K1712,J1712,IF(J1712=K1712+1,200,IF(J1712=K1712+2,201,250)))&amp;".0/24",""))</f>
        <v/>
      </c>
      <c r="D1712" s="0" t="str">
        <f aca="false">IF(I1712="","",IF(AND(J1712&gt;=1,J1712&lt;=K1712+3),"255.255.255.0",""))</f>
        <v/>
      </c>
      <c r="E1712" s="0" t="str">
        <f aca="false">IF(I1712="","",IF(AND(J1712&gt;=1,J1712&lt;=K1712+3),"10."&amp;INDEX(Eingabe!$D$9:$D$18,I1712)&amp;"."&amp;IF(J1712&lt;=K1712,J1712,IF(J1712=K1712+1,200,IF(J1712=K1712+2,201,250)))&amp;".1",""))</f>
        <v/>
      </c>
      <c r="F1712" s="0" t="str">
        <f aca="false">IF(I1712="","",IF(AND(J1712&gt;=1,J1712&lt;=K1712+3),"10."&amp;INDEX(Eingabe!$D$9:$D$18,I1712)&amp;"."&amp;IF(J1712&lt;=K1712,J1712,IF(J1712=K1712+1,200,IF(J1712=K1712+2,201,250)))&amp;".10 – 10."&amp;INDEX(Eingabe!$D$9:$D$18,I1712)&amp;"."&amp;IF(J1712&lt;=K1712,J1712,IF(J1712=K1712+1,200,IF(J1712=K1712+2,201,250)))&amp;".250",""))</f>
        <v/>
      </c>
      <c r="G1712" s="0" t="str">
        <f aca="false">IF(I1712="","",IF(AND(J1712&gt;=1,J1712&lt;=K1712),Eingabe!$B$6&amp;"-"&amp;INDEX(Eingabe!$C$9:$C$18,I1712)&amp;"-Pächter  ·  Passwort Parzelle "&amp;J1712,IF(J1712=K1712+1,Eingabe!$B$6&amp;"-"&amp;INDEX(Eingabe!$C$9:$C$18,I1712)&amp;"-Vorstand  ·  eigenes WLAN",IF(J1712=K1712+2,Eingabe!$B$6&amp;"-"&amp;INDEX(Eingabe!$C$9:$C$18,I1712)&amp;"-Gäste  ·  Voucher",IF(J1712=K1712+3,"Kabel  ·  Access Point y = .(50+y), Mast-Switch x = .(10+x)","")))))</f>
        <v/>
      </c>
      <c r="I1712" s="0" t="str">
        <f aca="false">IF(1707&lt;=(Eingabe!$P$18+Eingabe!$Q$18-1),MATCH(1707,Eingabe!$P$9:$P$18,1),"")</f>
        <v/>
      </c>
      <c r="J1712" s="0" t="str">
        <f aca="false">IF(I1712="","",1707-INDEX(Eingabe!$P$9:$P$18,I1712))</f>
        <v/>
      </c>
      <c r="K1712" s="0" t="str">
        <f aca="false">IF(I1712="","",INDEX(Eingabe!$E$9:$E$18,I1712))</f>
        <v/>
      </c>
    </row>
    <row r="1713" customFormat="false" ht="15" hidden="false" customHeight="false" outlineLevel="0" collapsed="false">
      <c r="A1713" s="0" t="str">
        <f aca="false">IF(I1713="","",IF(J1713=0,"Sparte "&amp;I1713&amp;": "&amp;INDEX(Eingabe!$B$9:$B$18,I1713)&amp;"  (Sparten-ID "&amp;INDEX(Eingabe!$D$9:$D$18,I1713)&amp;", "&amp;K1713&amp;" Parzellen)",IF(J1713&lt;=K1713,"   Parzelle "&amp;J1713,IF(J1713=K1713+1,"   Vorstand",IF(J1713=K1713+2,"   Gäste",IF(J1713=K1713+3,"   Technik (Switches, Access Points)",""))))))</f>
        <v/>
      </c>
      <c r="B1713" s="0" t="str">
        <f aca="false">IF(I1713="","",IF(AND(J1713&gt;=1,J1713&lt;=K1713+3),IF(J1713&lt;=K1713,IF(J1713&lt;=99,IF((INDEX(Eingabe!$G$9:$G$18,I1713))&lt;=9,1000+(INDEX(Eingabe!$G$9:$G$18,I1713))*100,3000)+J1713,IF((INDEX(Eingabe!$G$9:$G$18,I1713)+1)&lt;=9,1000+(INDEX(Eingabe!$G$9:$G$18,I1713)+1)*100,3000)+J1713-100),IF(J1713=K1713+1,2000+INDEX(Eingabe!$G$9:$G$18,I1713)*10+1,IF(J1713=K1713+2,2000+INDEX(Eingabe!$G$9:$G$18,I1713)*10+2,2000+INDEX(Eingabe!$G$9:$G$18,I1713)*10+9))),""))</f>
        <v/>
      </c>
      <c r="C1713" s="0" t="str">
        <f aca="false">IF(I1713="","",IF(AND(J1713&gt;=1,J1713&lt;=K1713+3),"10."&amp;INDEX(Eingabe!$D$9:$D$18,I1713)&amp;"."&amp;IF(J1713&lt;=K1713,J1713,IF(J1713=K1713+1,200,IF(J1713=K1713+2,201,250)))&amp;".0/24",""))</f>
        <v/>
      </c>
      <c r="D1713" s="0" t="str">
        <f aca="false">IF(I1713="","",IF(AND(J1713&gt;=1,J1713&lt;=K1713+3),"255.255.255.0",""))</f>
        <v/>
      </c>
      <c r="E1713" s="0" t="str">
        <f aca="false">IF(I1713="","",IF(AND(J1713&gt;=1,J1713&lt;=K1713+3),"10."&amp;INDEX(Eingabe!$D$9:$D$18,I1713)&amp;"."&amp;IF(J1713&lt;=K1713,J1713,IF(J1713=K1713+1,200,IF(J1713=K1713+2,201,250)))&amp;".1",""))</f>
        <v/>
      </c>
      <c r="F1713" s="0" t="str">
        <f aca="false">IF(I1713="","",IF(AND(J1713&gt;=1,J1713&lt;=K1713+3),"10."&amp;INDEX(Eingabe!$D$9:$D$18,I1713)&amp;"."&amp;IF(J1713&lt;=K1713,J1713,IF(J1713=K1713+1,200,IF(J1713=K1713+2,201,250)))&amp;".10 – 10."&amp;INDEX(Eingabe!$D$9:$D$18,I1713)&amp;"."&amp;IF(J1713&lt;=K1713,J1713,IF(J1713=K1713+1,200,IF(J1713=K1713+2,201,250)))&amp;".250",""))</f>
        <v/>
      </c>
      <c r="G1713" s="0" t="str">
        <f aca="false">IF(I1713="","",IF(AND(J1713&gt;=1,J1713&lt;=K1713),Eingabe!$B$6&amp;"-"&amp;INDEX(Eingabe!$C$9:$C$18,I1713)&amp;"-Pächter  ·  Passwort Parzelle "&amp;J1713,IF(J1713=K1713+1,Eingabe!$B$6&amp;"-"&amp;INDEX(Eingabe!$C$9:$C$18,I1713)&amp;"-Vorstand  ·  eigenes WLAN",IF(J1713=K1713+2,Eingabe!$B$6&amp;"-"&amp;INDEX(Eingabe!$C$9:$C$18,I1713)&amp;"-Gäste  ·  Voucher",IF(J1713=K1713+3,"Kabel  ·  Access Point y = .(50+y), Mast-Switch x = .(10+x)","")))))</f>
        <v/>
      </c>
      <c r="I1713" s="0" t="str">
        <f aca="false">IF(1708&lt;=(Eingabe!$P$18+Eingabe!$Q$18-1),MATCH(1708,Eingabe!$P$9:$P$18,1),"")</f>
        <v/>
      </c>
      <c r="J1713" s="0" t="str">
        <f aca="false">IF(I1713="","",1708-INDEX(Eingabe!$P$9:$P$18,I1713))</f>
        <v/>
      </c>
      <c r="K1713" s="0" t="str">
        <f aca="false">IF(I1713="","",INDEX(Eingabe!$E$9:$E$18,I1713))</f>
        <v/>
      </c>
    </row>
    <row r="1714" customFormat="false" ht="15" hidden="false" customHeight="false" outlineLevel="0" collapsed="false">
      <c r="A1714" s="0" t="str">
        <f aca="false">IF(I1714="","",IF(J1714=0,"Sparte "&amp;I1714&amp;": "&amp;INDEX(Eingabe!$B$9:$B$18,I1714)&amp;"  (Sparten-ID "&amp;INDEX(Eingabe!$D$9:$D$18,I1714)&amp;", "&amp;K1714&amp;" Parzellen)",IF(J1714&lt;=K1714,"   Parzelle "&amp;J1714,IF(J1714=K1714+1,"   Vorstand",IF(J1714=K1714+2,"   Gäste",IF(J1714=K1714+3,"   Technik (Switches, Access Points)",""))))))</f>
        <v/>
      </c>
      <c r="B1714" s="0" t="str">
        <f aca="false">IF(I1714="","",IF(AND(J1714&gt;=1,J1714&lt;=K1714+3),IF(J1714&lt;=K1714,IF(J1714&lt;=99,IF((INDEX(Eingabe!$G$9:$G$18,I1714))&lt;=9,1000+(INDEX(Eingabe!$G$9:$G$18,I1714))*100,3000)+J1714,IF((INDEX(Eingabe!$G$9:$G$18,I1714)+1)&lt;=9,1000+(INDEX(Eingabe!$G$9:$G$18,I1714)+1)*100,3000)+J1714-100),IF(J1714=K1714+1,2000+INDEX(Eingabe!$G$9:$G$18,I1714)*10+1,IF(J1714=K1714+2,2000+INDEX(Eingabe!$G$9:$G$18,I1714)*10+2,2000+INDEX(Eingabe!$G$9:$G$18,I1714)*10+9))),""))</f>
        <v/>
      </c>
      <c r="C1714" s="0" t="str">
        <f aca="false">IF(I1714="","",IF(AND(J1714&gt;=1,J1714&lt;=K1714+3),"10."&amp;INDEX(Eingabe!$D$9:$D$18,I1714)&amp;"."&amp;IF(J1714&lt;=K1714,J1714,IF(J1714=K1714+1,200,IF(J1714=K1714+2,201,250)))&amp;".0/24",""))</f>
        <v/>
      </c>
      <c r="D1714" s="0" t="str">
        <f aca="false">IF(I1714="","",IF(AND(J1714&gt;=1,J1714&lt;=K1714+3),"255.255.255.0",""))</f>
        <v/>
      </c>
      <c r="E1714" s="0" t="str">
        <f aca="false">IF(I1714="","",IF(AND(J1714&gt;=1,J1714&lt;=K1714+3),"10."&amp;INDEX(Eingabe!$D$9:$D$18,I1714)&amp;"."&amp;IF(J1714&lt;=K1714,J1714,IF(J1714=K1714+1,200,IF(J1714=K1714+2,201,250)))&amp;".1",""))</f>
        <v/>
      </c>
      <c r="F1714" s="0" t="str">
        <f aca="false">IF(I1714="","",IF(AND(J1714&gt;=1,J1714&lt;=K1714+3),"10."&amp;INDEX(Eingabe!$D$9:$D$18,I1714)&amp;"."&amp;IF(J1714&lt;=K1714,J1714,IF(J1714=K1714+1,200,IF(J1714=K1714+2,201,250)))&amp;".10 – 10."&amp;INDEX(Eingabe!$D$9:$D$18,I1714)&amp;"."&amp;IF(J1714&lt;=K1714,J1714,IF(J1714=K1714+1,200,IF(J1714=K1714+2,201,250)))&amp;".250",""))</f>
        <v/>
      </c>
      <c r="G1714" s="0" t="str">
        <f aca="false">IF(I1714="","",IF(AND(J1714&gt;=1,J1714&lt;=K1714),Eingabe!$B$6&amp;"-"&amp;INDEX(Eingabe!$C$9:$C$18,I1714)&amp;"-Pächter  ·  Passwort Parzelle "&amp;J1714,IF(J1714=K1714+1,Eingabe!$B$6&amp;"-"&amp;INDEX(Eingabe!$C$9:$C$18,I1714)&amp;"-Vorstand  ·  eigenes WLAN",IF(J1714=K1714+2,Eingabe!$B$6&amp;"-"&amp;INDEX(Eingabe!$C$9:$C$18,I1714)&amp;"-Gäste  ·  Voucher",IF(J1714=K1714+3,"Kabel  ·  Access Point y = .(50+y), Mast-Switch x = .(10+x)","")))))</f>
        <v/>
      </c>
      <c r="I1714" s="0" t="str">
        <f aca="false">IF(1709&lt;=(Eingabe!$P$18+Eingabe!$Q$18-1),MATCH(1709,Eingabe!$P$9:$P$18,1),"")</f>
        <v/>
      </c>
      <c r="J1714" s="0" t="str">
        <f aca="false">IF(I1714="","",1709-INDEX(Eingabe!$P$9:$P$18,I1714))</f>
        <v/>
      </c>
      <c r="K1714" s="0" t="str">
        <f aca="false">IF(I1714="","",INDEX(Eingabe!$E$9:$E$18,I1714))</f>
        <v/>
      </c>
    </row>
    <row r="1715" customFormat="false" ht="15" hidden="false" customHeight="false" outlineLevel="0" collapsed="false">
      <c r="A1715" s="0" t="str">
        <f aca="false">IF(I1715="","",IF(J1715=0,"Sparte "&amp;I1715&amp;": "&amp;INDEX(Eingabe!$B$9:$B$18,I1715)&amp;"  (Sparten-ID "&amp;INDEX(Eingabe!$D$9:$D$18,I1715)&amp;", "&amp;K1715&amp;" Parzellen)",IF(J1715&lt;=K1715,"   Parzelle "&amp;J1715,IF(J1715=K1715+1,"   Vorstand",IF(J1715=K1715+2,"   Gäste",IF(J1715=K1715+3,"   Technik (Switches, Access Points)",""))))))</f>
        <v/>
      </c>
      <c r="B1715" s="0" t="str">
        <f aca="false">IF(I1715="","",IF(AND(J1715&gt;=1,J1715&lt;=K1715+3),IF(J1715&lt;=K1715,IF(J1715&lt;=99,IF((INDEX(Eingabe!$G$9:$G$18,I1715))&lt;=9,1000+(INDEX(Eingabe!$G$9:$G$18,I1715))*100,3000)+J1715,IF((INDEX(Eingabe!$G$9:$G$18,I1715)+1)&lt;=9,1000+(INDEX(Eingabe!$G$9:$G$18,I1715)+1)*100,3000)+J1715-100),IF(J1715=K1715+1,2000+INDEX(Eingabe!$G$9:$G$18,I1715)*10+1,IF(J1715=K1715+2,2000+INDEX(Eingabe!$G$9:$G$18,I1715)*10+2,2000+INDEX(Eingabe!$G$9:$G$18,I1715)*10+9))),""))</f>
        <v/>
      </c>
      <c r="C1715" s="0" t="str">
        <f aca="false">IF(I1715="","",IF(AND(J1715&gt;=1,J1715&lt;=K1715+3),"10."&amp;INDEX(Eingabe!$D$9:$D$18,I1715)&amp;"."&amp;IF(J1715&lt;=K1715,J1715,IF(J1715=K1715+1,200,IF(J1715=K1715+2,201,250)))&amp;".0/24",""))</f>
        <v/>
      </c>
      <c r="D1715" s="0" t="str">
        <f aca="false">IF(I1715="","",IF(AND(J1715&gt;=1,J1715&lt;=K1715+3),"255.255.255.0",""))</f>
        <v/>
      </c>
      <c r="E1715" s="0" t="str">
        <f aca="false">IF(I1715="","",IF(AND(J1715&gt;=1,J1715&lt;=K1715+3),"10."&amp;INDEX(Eingabe!$D$9:$D$18,I1715)&amp;"."&amp;IF(J1715&lt;=K1715,J1715,IF(J1715=K1715+1,200,IF(J1715=K1715+2,201,250)))&amp;".1",""))</f>
        <v/>
      </c>
      <c r="F1715" s="0" t="str">
        <f aca="false">IF(I1715="","",IF(AND(J1715&gt;=1,J1715&lt;=K1715+3),"10."&amp;INDEX(Eingabe!$D$9:$D$18,I1715)&amp;"."&amp;IF(J1715&lt;=K1715,J1715,IF(J1715=K1715+1,200,IF(J1715=K1715+2,201,250)))&amp;".10 – 10."&amp;INDEX(Eingabe!$D$9:$D$18,I1715)&amp;"."&amp;IF(J1715&lt;=K1715,J1715,IF(J1715=K1715+1,200,IF(J1715=K1715+2,201,250)))&amp;".250",""))</f>
        <v/>
      </c>
      <c r="G1715" s="0" t="str">
        <f aca="false">IF(I1715="","",IF(AND(J1715&gt;=1,J1715&lt;=K1715),Eingabe!$B$6&amp;"-"&amp;INDEX(Eingabe!$C$9:$C$18,I1715)&amp;"-Pächter  ·  Passwort Parzelle "&amp;J1715,IF(J1715=K1715+1,Eingabe!$B$6&amp;"-"&amp;INDEX(Eingabe!$C$9:$C$18,I1715)&amp;"-Vorstand  ·  eigenes WLAN",IF(J1715=K1715+2,Eingabe!$B$6&amp;"-"&amp;INDEX(Eingabe!$C$9:$C$18,I1715)&amp;"-Gäste  ·  Voucher",IF(J1715=K1715+3,"Kabel  ·  Access Point y = .(50+y), Mast-Switch x = .(10+x)","")))))</f>
        <v/>
      </c>
      <c r="I1715" s="0" t="str">
        <f aca="false">IF(1710&lt;=(Eingabe!$P$18+Eingabe!$Q$18-1),MATCH(1710,Eingabe!$P$9:$P$18,1),"")</f>
        <v/>
      </c>
      <c r="J1715" s="0" t="str">
        <f aca="false">IF(I1715="","",1710-INDEX(Eingabe!$P$9:$P$18,I1715))</f>
        <v/>
      </c>
      <c r="K1715" s="0" t="str">
        <f aca="false">IF(I1715="","",INDEX(Eingabe!$E$9:$E$18,I1715))</f>
        <v/>
      </c>
    </row>
    <row r="1716" customFormat="false" ht="15" hidden="false" customHeight="false" outlineLevel="0" collapsed="false">
      <c r="A1716" s="0" t="str">
        <f aca="false">IF(I1716="","",IF(J1716=0,"Sparte "&amp;I1716&amp;": "&amp;INDEX(Eingabe!$B$9:$B$18,I1716)&amp;"  (Sparten-ID "&amp;INDEX(Eingabe!$D$9:$D$18,I1716)&amp;", "&amp;K1716&amp;" Parzellen)",IF(J1716&lt;=K1716,"   Parzelle "&amp;J1716,IF(J1716=K1716+1,"   Vorstand",IF(J1716=K1716+2,"   Gäste",IF(J1716=K1716+3,"   Technik (Switches, Access Points)",""))))))</f>
        <v/>
      </c>
      <c r="B1716" s="0" t="str">
        <f aca="false">IF(I1716="","",IF(AND(J1716&gt;=1,J1716&lt;=K1716+3),IF(J1716&lt;=K1716,IF(J1716&lt;=99,IF((INDEX(Eingabe!$G$9:$G$18,I1716))&lt;=9,1000+(INDEX(Eingabe!$G$9:$G$18,I1716))*100,3000)+J1716,IF((INDEX(Eingabe!$G$9:$G$18,I1716)+1)&lt;=9,1000+(INDEX(Eingabe!$G$9:$G$18,I1716)+1)*100,3000)+J1716-100),IF(J1716=K1716+1,2000+INDEX(Eingabe!$G$9:$G$18,I1716)*10+1,IF(J1716=K1716+2,2000+INDEX(Eingabe!$G$9:$G$18,I1716)*10+2,2000+INDEX(Eingabe!$G$9:$G$18,I1716)*10+9))),""))</f>
        <v/>
      </c>
      <c r="C1716" s="0" t="str">
        <f aca="false">IF(I1716="","",IF(AND(J1716&gt;=1,J1716&lt;=K1716+3),"10."&amp;INDEX(Eingabe!$D$9:$D$18,I1716)&amp;"."&amp;IF(J1716&lt;=K1716,J1716,IF(J1716=K1716+1,200,IF(J1716=K1716+2,201,250)))&amp;".0/24",""))</f>
        <v/>
      </c>
      <c r="D1716" s="0" t="str">
        <f aca="false">IF(I1716="","",IF(AND(J1716&gt;=1,J1716&lt;=K1716+3),"255.255.255.0",""))</f>
        <v/>
      </c>
      <c r="E1716" s="0" t="str">
        <f aca="false">IF(I1716="","",IF(AND(J1716&gt;=1,J1716&lt;=K1716+3),"10."&amp;INDEX(Eingabe!$D$9:$D$18,I1716)&amp;"."&amp;IF(J1716&lt;=K1716,J1716,IF(J1716=K1716+1,200,IF(J1716=K1716+2,201,250)))&amp;".1",""))</f>
        <v/>
      </c>
      <c r="F1716" s="0" t="str">
        <f aca="false">IF(I1716="","",IF(AND(J1716&gt;=1,J1716&lt;=K1716+3),"10."&amp;INDEX(Eingabe!$D$9:$D$18,I1716)&amp;"."&amp;IF(J1716&lt;=K1716,J1716,IF(J1716=K1716+1,200,IF(J1716=K1716+2,201,250)))&amp;".10 – 10."&amp;INDEX(Eingabe!$D$9:$D$18,I1716)&amp;"."&amp;IF(J1716&lt;=K1716,J1716,IF(J1716=K1716+1,200,IF(J1716=K1716+2,201,250)))&amp;".250",""))</f>
        <v/>
      </c>
      <c r="G1716" s="0" t="str">
        <f aca="false">IF(I1716="","",IF(AND(J1716&gt;=1,J1716&lt;=K1716),Eingabe!$B$6&amp;"-"&amp;INDEX(Eingabe!$C$9:$C$18,I1716)&amp;"-Pächter  ·  Passwort Parzelle "&amp;J1716,IF(J1716=K1716+1,Eingabe!$B$6&amp;"-"&amp;INDEX(Eingabe!$C$9:$C$18,I1716)&amp;"-Vorstand  ·  eigenes WLAN",IF(J1716=K1716+2,Eingabe!$B$6&amp;"-"&amp;INDEX(Eingabe!$C$9:$C$18,I1716)&amp;"-Gäste  ·  Voucher",IF(J1716=K1716+3,"Kabel  ·  Access Point y = .(50+y), Mast-Switch x = .(10+x)","")))))</f>
        <v/>
      </c>
      <c r="I1716" s="0" t="str">
        <f aca="false">IF(1711&lt;=(Eingabe!$P$18+Eingabe!$Q$18-1),MATCH(1711,Eingabe!$P$9:$P$18,1),"")</f>
        <v/>
      </c>
      <c r="J1716" s="0" t="str">
        <f aca="false">IF(I1716="","",1711-INDEX(Eingabe!$P$9:$P$18,I1716))</f>
        <v/>
      </c>
      <c r="K1716" s="0" t="str">
        <f aca="false">IF(I1716="","",INDEX(Eingabe!$E$9:$E$18,I1716))</f>
        <v/>
      </c>
    </row>
    <row r="1717" customFormat="false" ht="15" hidden="false" customHeight="false" outlineLevel="0" collapsed="false">
      <c r="A1717" s="0" t="str">
        <f aca="false">IF(I1717="","",IF(J1717=0,"Sparte "&amp;I1717&amp;": "&amp;INDEX(Eingabe!$B$9:$B$18,I1717)&amp;"  (Sparten-ID "&amp;INDEX(Eingabe!$D$9:$D$18,I1717)&amp;", "&amp;K1717&amp;" Parzellen)",IF(J1717&lt;=K1717,"   Parzelle "&amp;J1717,IF(J1717=K1717+1,"   Vorstand",IF(J1717=K1717+2,"   Gäste",IF(J1717=K1717+3,"   Technik (Switches, Access Points)",""))))))</f>
        <v/>
      </c>
      <c r="B1717" s="0" t="str">
        <f aca="false">IF(I1717="","",IF(AND(J1717&gt;=1,J1717&lt;=K1717+3),IF(J1717&lt;=K1717,IF(J1717&lt;=99,IF((INDEX(Eingabe!$G$9:$G$18,I1717))&lt;=9,1000+(INDEX(Eingabe!$G$9:$G$18,I1717))*100,3000)+J1717,IF((INDEX(Eingabe!$G$9:$G$18,I1717)+1)&lt;=9,1000+(INDEX(Eingabe!$G$9:$G$18,I1717)+1)*100,3000)+J1717-100),IF(J1717=K1717+1,2000+INDEX(Eingabe!$G$9:$G$18,I1717)*10+1,IF(J1717=K1717+2,2000+INDEX(Eingabe!$G$9:$G$18,I1717)*10+2,2000+INDEX(Eingabe!$G$9:$G$18,I1717)*10+9))),""))</f>
        <v/>
      </c>
      <c r="C1717" s="0" t="str">
        <f aca="false">IF(I1717="","",IF(AND(J1717&gt;=1,J1717&lt;=K1717+3),"10."&amp;INDEX(Eingabe!$D$9:$D$18,I1717)&amp;"."&amp;IF(J1717&lt;=K1717,J1717,IF(J1717=K1717+1,200,IF(J1717=K1717+2,201,250)))&amp;".0/24",""))</f>
        <v/>
      </c>
      <c r="D1717" s="0" t="str">
        <f aca="false">IF(I1717="","",IF(AND(J1717&gt;=1,J1717&lt;=K1717+3),"255.255.255.0",""))</f>
        <v/>
      </c>
      <c r="E1717" s="0" t="str">
        <f aca="false">IF(I1717="","",IF(AND(J1717&gt;=1,J1717&lt;=K1717+3),"10."&amp;INDEX(Eingabe!$D$9:$D$18,I1717)&amp;"."&amp;IF(J1717&lt;=K1717,J1717,IF(J1717=K1717+1,200,IF(J1717=K1717+2,201,250)))&amp;".1",""))</f>
        <v/>
      </c>
      <c r="F1717" s="0" t="str">
        <f aca="false">IF(I1717="","",IF(AND(J1717&gt;=1,J1717&lt;=K1717+3),"10."&amp;INDEX(Eingabe!$D$9:$D$18,I1717)&amp;"."&amp;IF(J1717&lt;=K1717,J1717,IF(J1717=K1717+1,200,IF(J1717=K1717+2,201,250)))&amp;".10 – 10."&amp;INDEX(Eingabe!$D$9:$D$18,I1717)&amp;"."&amp;IF(J1717&lt;=K1717,J1717,IF(J1717=K1717+1,200,IF(J1717=K1717+2,201,250)))&amp;".250",""))</f>
        <v/>
      </c>
      <c r="G1717" s="0" t="str">
        <f aca="false">IF(I1717="","",IF(AND(J1717&gt;=1,J1717&lt;=K1717),Eingabe!$B$6&amp;"-"&amp;INDEX(Eingabe!$C$9:$C$18,I1717)&amp;"-Pächter  ·  Passwort Parzelle "&amp;J1717,IF(J1717=K1717+1,Eingabe!$B$6&amp;"-"&amp;INDEX(Eingabe!$C$9:$C$18,I1717)&amp;"-Vorstand  ·  eigenes WLAN",IF(J1717=K1717+2,Eingabe!$B$6&amp;"-"&amp;INDEX(Eingabe!$C$9:$C$18,I1717)&amp;"-Gäste  ·  Voucher",IF(J1717=K1717+3,"Kabel  ·  Access Point y = .(50+y), Mast-Switch x = .(10+x)","")))))</f>
        <v/>
      </c>
      <c r="I1717" s="0" t="str">
        <f aca="false">IF(1712&lt;=(Eingabe!$P$18+Eingabe!$Q$18-1),MATCH(1712,Eingabe!$P$9:$P$18,1),"")</f>
        <v/>
      </c>
      <c r="J1717" s="0" t="str">
        <f aca="false">IF(I1717="","",1712-INDEX(Eingabe!$P$9:$P$18,I1717))</f>
        <v/>
      </c>
      <c r="K1717" s="0" t="str">
        <f aca="false">IF(I1717="","",INDEX(Eingabe!$E$9:$E$18,I1717))</f>
        <v/>
      </c>
    </row>
    <row r="1718" customFormat="false" ht="15" hidden="false" customHeight="false" outlineLevel="0" collapsed="false">
      <c r="A1718" s="0" t="str">
        <f aca="false">IF(I1718="","",IF(J1718=0,"Sparte "&amp;I1718&amp;": "&amp;INDEX(Eingabe!$B$9:$B$18,I1718)&amp;"  (Sparten-ID "&amp;INDEX(Eingabe!$D$9:$D$18,I1718)&amp;", "&amp;K1718&amp;" Parzellen)",IF(J1718&lt;=K1718,"   Parzelle "&amp;J1718,IF(J1718=K1718+1,"   Vorstand",IF(J1718=K1718+2,"   Gäste",IF(J1718=K1718+3,"   Technik (Switches, Access Points)",""))))))</f>
        <v/>
      </c>
      <c r="B1718" s="0" t="str">
        <f aca="false">IF(I1718="","",IF(AND(J1718&gt;=1,J1718&lt;=K1718+3),IF(J1718&lt;=K1718,IF(J1718&lt;=99,IF((INDEX(Eingabe!$G$9:$G$18,I1718))&lt;=9,1000+(INDEX(Eingabe!$G$9:$G$18,I1718))*100,3000)+J1718,IF((INDEX(Eingabe!$G$9:$G$18,I1718)+1)&lt;=9,1000+(INDEX(Eingabe!$G$9:$G$18,I1718)+1)*100,3000)+J1718-100),IF(J1718=K1718+1,2000+INDEX(Eingabe!$G$9:$G$18,I1718)*10+1,IF(J1718=K1718+2,2000+INDEX(Eingabe!$G$9:$G$18,I1718)*10+2,2000+INDEX(Eingabe!$G$9:$G$18,I1718)*10+9))),""))</f>
        <v/>
      </c>
      <c r="C1718" s="0" t="str">
        <f aca="false">IF(I1718="","",IF(AND(J1718&gt;=1,J1718&lt;=K1718+3),"10."&amp;INDEX(Eingabe!$D$9:$D$18,I1718)&amp;"."&amp;IF(J1718&lt;=K1718,J1718,IF(J1718=K1718+1,200,IF(J1718=K1718+2,201,250)))&amp;".0/24",""))</f>
        <v/>
      </c>
      <c r="D1718" s="0" t="str">
        <f aca="false">IF(I1718="","",IF(AND(J1718&gt;=1,J1718&lt;=K1718+3),"255.255.255.0",""))</f>
        <v/>
      </c>
      <c r="E1718" s="0" t="str">
        <f aca="false">IF(I1718="","",IF(AND(J1718&gt;=1,J1718&lt;=K1718+3),"10."&amp;INDEX(Eingabe!$D$9:$D$18,I1718)&amp;"."&amp;IF(J1718&lt;=K1718,J1718,IF(J1718=K1718+1,200,IF(J1718=K1718+2,201,250)))&amp;".1",""))</f>
        <v/>
      </c>
      <c r="F1718" s="0" t="str">
        <f aca="false">IF(I1718="","",IF(AND(J1718&gt;=1,J1718&lt;=K1718+3),"10."&amp;INDEX(Eingabe!$D$9:$D$18,I1718)&amp;"."&amp;IF(J1718&lt;=K1718,J1718,IF(J1718=K1718+1,200,IF(J1718=K1718+2,201,250)))&amp;".10 – 10."&amp;INDEX(Eingabe!$D$9:$D$18,I1718)&amp;"."&amp;IF(J1718&lt;=K1718,J1718,IF(J1718=K1718+1,200,IF(J1718=K1718+2,201,250)))&amp;".250",""))</f>
        <v/>
      </c>
      <c r="G1718" s="0" t="str">
        <f aca="false">IF(I1718="","",IF(AND(J1718&gt;=1,J1718&lt;=K1718),Eingabe!$B$6&amp;"-"&amp;INDEX(Eingabe!$C$9:$C$18,I1718)&amp;"-Pächter  ·  Passwort Parzelle "&amp;J1718,IF(J1718=K1718+1,Eingabe!$B$6&amp;"-"&amp;INDEX(Eingabe!$C$9:$C$18,I1718)&amp;"-Vorstand  ·  eigenes WLAN",IF(J1718=K1718+2,Eingabe!$B$6&amp;"-"&amp;INDEX(Eingabe!$C$9:$C$18,I1718)&amp;"-Gäste  ·  Voucher",IF(J1718=K1718+3,"Kabel  ·  Access Point y = .(50+y), Mast-Switch x = .(10+x)","")))))</f>
        <v/>
      </c>
      <c r="I1718" s="0" t="str">
        <f aca="false">IF(1713&lt;=(Eingabe!$P$18+Eingabe!$Q$18-1),MATCH(1713,Eingabe!$P$9:$P$18,1),"")</f>
        <v/>
      </c>
      <c r="J1718" s="0" t="str">
        <f aca="false">IF(I1718="","",1713-INDEX(Eingabe!$P$9:$P$18,I1718))</f>
        <v/>
      </c>
      <c r="K1718" s="0" t="str">
        <f aca="false">IF(I1718="","",INDEX(Eingabe!$E$9:$E$18,I1718))</f>
        <v/>
      </c>
    </row>
    <row r="1719" customFormat="false" ht="15" hidden="false" customHeight="false" outlineLevel="0" collapsed="false">
      <c r="A1719" s="0" t="str">
        <f aca="false">IF(I1719="","",IF(J1719=0,"Sparte "&amp;I1719&amp;": "&amp;INDEX(Eingabe!$B$9:$B$18,I1719)&amp;"  (Sparten-ID "&amp;INDEX(Eingabe!$D$9:$D$18,I1719)&amp;", "&amp;K1719&amp;" Parzellen)",IF(J1719&lt;=K1719,"   Parzelle "&amp;J1719,IF(J1719=K1719+1,"   Vorstand",IF(J1719=K1719+2,"   Gäste",IF(J1719=K1719+3,"   Technik (Switches, Access Points)",""))))))</f>
        <v/>
      </c>
      <c r="B1719" s="0" t="str">
        <f aca="false">IF(I1719="","",IF(AND(J1719&gt;=1,J1719&lt;=K1719+3),IF(J1719&lt;=K1719,IF(J1719&lt;=99,IF((INDEX(Eingabe!$G$9:$G$18,I1719))&lt;=9,1000+(INDEX(Eingabe!$G$9:$G$18,I1719))*100,3000)+J1719,IF((INDEX(Eingabe!$G$9:$G$18,I1719)+1)&lt;=9,1000+(INDEX(Eingabe!$G$9:$G$18,I1719)+1)*100,3000)+J1719-100),IF(J1719=K1719+1,2000+INDEX(Eingabe!$G$9:$G$18,I1719)*10+1,IF(J1719=K1719+2,2000+INDEX(Eingabe!$G$9:$G$18,I1719)*10+2,2000+INDEX(Eingabe!$G$9:$G$18,I1719)*10+9))),""))</f>
        <v/>
      </c>
      <c r="C1719" s="0" t="str">
        <f aca="false">IF(I1719="","",IF(AND(J1719&gt;=1,J1719&lt;=K1719+3),"10."&amp;INDEX(Eingabe!$D$9:$D$18,I1719)&amp;"."&amp;IF(J1719&lt;=K1719,J1719,IF(J1719=K1719+1,200,IF(J1719=K1719+2,201,250)))&amp;".0/24",""))</f>
        <v/>
      </c>
      <c r="D1719" s="0" t="str">
        <f aca="false">IF(I1719="","",IF(AND(J1719&gt;=1,J1719&lt;=K1719+3),"255.255.255.0",""))</f>
        <v/>
      </c>
      <c r="E1719" s="0" t="str">
        <f aca="false">IF(I1719="","",IF(AND(J1719&gt;=1,J1719&lt;=K1719+3),"10."&amp;INDEX(Eingabe!$D$9:$D$18,I1719)&amp;"."&amp;IF(J1719&lt;=K1719,J1719,IF(J1719=K1719+1,200,IF(J1719=K1719+2,201,250)))&amp;".1",""))</f>
        <v/>
      </c>
      <c r="F1719" s="0" t="str">
        <f aca="false">IF(I1719="","",IF(AND(J1719&gt;=1,J1719&lt;=K1719+3),"10."&amp;INDEX(Eingabe!$D$9:$D$18,I1719)&amp;"."&amp;IF(J1719&lt;=K1719,J1719,IF(J1719=K1719+1,200,IF(J1719=K1719+2,201,250)))&amp;".10 – 10."&amp;INDEX(Eingabe!$D$9:$D$18,I1719)&amp;"."&amp;IF(J1719&lt;=K1719,J1719,IF(J1719=K1719+1,200,IF(J1719=K1719+2,201,250)))&amp;".250",""))</f>
        <v/>
      </c>
      <c r="G1719" s="0" t="str">
        <f aca="false">IF(I1719="","",IF(AND(J1719&gt;=1,J1719&lt;=K1719),Eingabe!$B$6&amp;"-"&amp;INDEX(Eingabe!$C$9:$C$18,I1719)&amp;"-Pächter  ·  Passwort Parzelle "&amp;J1719,IF(J1719=K1719+1,Eingabe!$B$6&amp;"-"&amp;INDEX(Eingabe!$C$9:$C$18,I1719)&amp;"-Vorstand  ·  eigenes WLAN",IF(J1719=K1719+2,Eingabe!$B$6&amp;"-"&amp;INDEX(Eingabe!$C$9:$C$18,I1719)&amp;"-Gäste  ·  Voucher",IF(J1719=K1719+3,"Kabel  ·  Access Point y = .(50+y), Mast-Switch x = .(10+x)","")))))</f>
        <v/>
      </c>
      <c r="I1719" s="0" t="str">
        <f aca="false">IF(1714&lt;=(Eingabe!$P$18+Eingabe!$Q$18-1),MATCH(1714,Eingabe!$P$9:$P$18,1),"")</f>
        <v/>
      </c>
      <c r="J1719" s="0" t="str">
        <f aca="false">IF(I1719="","",1714-INDEX(Eingabe!$P$9:$P$18,I1719))</f>
        <v/>
      </c>
      <c r="K1719" s="0" t="str">
        <f aca="false">IF(I1719="","",INDEX(Eingabe!$E$9:$E$18,I1719))</f>
        <v/>
      </c>
    </row>
    <row r="1720" customFormat="false" ht="15" hidden="false" customHeight="false" outlineLevel="0" collapsed="false">
      <c r="A1720" s="0" t="str">
        <f aca="false">IF(I1720="","",IF(J1720=0,"Sparte "&amp;I1720&amp;": "&amp;INDEX(Eingabe!$B$9:$B$18,I1720)&amp;"  (Sparten-ID "&amp;INDEX(Eingabe!$D$9:$D$18,I1720)&amp;", "&amp;K1720&amp;" Parzellen)",IF(J1720&lt;=K1720,"   Parzelle "&amp;J1720,IF(J1720=K1720+1,"   Vorstand",IF(J1720=K1720+2,"   Gäste",IF(J1720=K1720+3,"   Technik (Switches, Access Points)",""))))))</f>
        <v/>
      </c>
      <c r="B1720" s="0" t="str">
        <f aca="false">IF(I1720="","",IF(AND(J1720&gt;=1,J1720&lt;=K1720+3),IF(J1720&lt;=K1720,IF(J1720&lt;=99,IF((INDEX(Eingabe!$G$9:$G$18,I1720))&lt;=9,1000+(INDEX(Eingabe!$G$9:$G$18,I1720))*100,3000)+J1720,IF((INDEX(Eingabe!$G$9:$G$18,I1720)+1)&lt;=9,1000+(INDEX(Eingabe!$G$9:$G$18,I1720)+1)*100,3000)+J1720-100),IF(J1720=K1720+1,2000+INDEX(Eingabe!$G$9:$G$18,I1720)*10+1,IF(J1720=K1720+2,2000+INDEX(Eingabe!$G$9:$G$18,I1720)*10+2,2000+INDEX(Eingabe!$G$9:$G$18,I1720)*10+9))),""))</f>
        <v/>
      </c>
      <c r="C1720" s="0" t="str">
        <f aca="false">IF(I1720="","",IF(AND(J1720&gt;=1,J1720&lt;=K1720+3),"10."&amp;INDEX(Eingabe!$D$9:$D$18,I1720)&amp;"."&amp;IF(J1720&lt;=K1720,J1720,IF(J1720=K1720+1,200,IF(J1720=K1720+2,201,250)))&amp;".0/24",""))</f>
        <v/>
      </c>
      <c r="D1720" s="0" t="str">
        <f aca="false">IF(I1720="","",IF(AND(J1720&gt;=1,J1720&lt;=K1720+3),"255.255.255.0",""))</f>
        <v/>
      </c>
      <c r="E1720" s="0" t="str">
        <f aca="false">IF(I1720="","",IF(AND(J1720&gt;=1,J1720&lt;=K1720+3),"10."&amp;INDEX(Eingabe!$D$9:$D$18,I1720)&amp;"."&amp;IF(J1720&lt;=K1720,J1720,IF(J1720=K1720+1,200,IF(J1720=K1720+2,201,250)))&amp;".1",""))</f>
        <v/>
      </c>
      <c r="F1720" s="0" t="str">
        <f aca="false">IF(I1720="","",IF(AND(J1720&gt;=1,J1720&lt;=K1720+3),"10."&amp;INDEX(Eingabe!$D$9:$D$18,I1720)&amp;"."&amp;IF(J1720&lt;=K1720,J1720,IF(J1720=K1720+1,200,IF(J1720=K1720+2,201,250)))&amp;".10 – 10."&amp;INDEX(Eingabe!$D$9:$D$18,I1720)&amp;"."&amp;IF(J1720&lt;=K1720,J1720,IF(J1720=K1720+1,200,IF(J1720=K1720+2,201,250)))&amp;".250",""))</f>
        <v/>
      </c>
      <c r="G1720" s="0" t="str">
        <f aca="false">IF(I1720="","",IF(AND(J1720&gt;=1,J1720&lt;=K1720),Eingabe!$B$6&amp;"-"&amp;INDEX(Eingabe!$C$9:$C$18,I1720)&amp;"-Pächter  ·  Passwort Parzelle "&amp;J1720,IF(J1720=K1720+1,Eingabe!$B$6&amp;"-"&amp;INDEX(Eingabe!$C$9:$C$18,I1720)&amp;"-Vorstand  ·  eigenes WLAN",IF(J1720=K1720+2,Eingabe!$B$6&amp;"-"&amp;INDEX(Eingabe!$C$9:$C$18,I1720)&amp;"-Gäste  ·  Voucher",IF(J1720=K1720+3,"Kabel  ·  Access Point y = .(50+y), Mast-Switch x = .(10+x)","")))))</f>
        <v/>
      </c>
      <c r="I1720" s="0" t="str">
        <f aca="false">IF(1715&lt;=(Eingabe!$P$18+Eingabe!$Q$18-1),MATCH(1715,Eingabe!$P$9:$P$18,1),"")</f>
        <v/>
      </c>
      <c r="J1720" s="0" t="str">
        <f aca="false">IF(I1720="","",1715-INDEX(Eingabe!$P$9:$P$18,I1720))</f>
        <v/>
      </c>
      <c r="K1720" s="0" t="str">
        <f aca="false">IF(I1720="","",INDEX(Eingabe!$E$9:$E$18,I1720))</f>
        <v/>
      </c>
    </row>
    <row r="1721" customFormat="false" ht="15" hidden="false" customHeight="false" outlineLevel="0" collapsed="false">
      <c r="A1721" s="0" t="str">
        <f aca="false">IF(I1721="","",IF(J1721=0,"Sparte "&amp;I1721&amp;": "&amp;INDEX(Eingabe!$B$9:$B$18,I1721)&amp;"  (Sparten-ID "&amp;INDEX(Eingabe!$D$9:$D$18,I1721)&amp;", "&amp;K1721&amp;" Parzellen)",IF(J1721&lt;=K1721,"   Parzelle "&amp;J1721,IF(J1721=K1721+1,"   Vorstand",IF(J1721=K1721+2,"   Gäste",IF(J1721=K1721+3,"   Technik (Switches, Access Points)",""))))))</f>
        <v/>
      </c>
      <c r="B1721" s="0" t="str">
        <f aca="false">IF(I1721="","",IF(AND(J1721&gt;=1,J1721&lt;=K1721+3),IF(J1721&lt;=K1721,IF(J1721&lt;=99,IF((INDEX(Eingabe!$G$9:$G$18,I1721))&lt;=9,1000+(INDEX(Eingabe!$G$9:$G$18,I1721))*100,3000)+J1721,IF((INDEX(Eingabe!$G$9:$G$18,I1721)+1)&lt;=9,1000+(INDEX(Eingabe!$G$9:$G$18,I1721)+1)*100,3000)+J1721-100),IF(J1721=K1721+1,2000+INDEX(Eingabe!$G$9:$G$18,I1721)*10+1,IF(J1721=K1721+2,2000+INDEX(Eingabe!$G$9:$G$18,I1721)*10+2,2000+INDEX(Eingabe!$G$9:$G$18,I1721)*10+9))),""))</f>
        <v/>
      </c>
      <c r="C1721" s="0" t="str">
        <f aca="false">IF(I1721="","",IF(AND(J1721&gt;=1,J1721&lt;=K1721+3),"10."&amp;INDEX(Eingabe!$D$9:$D$18,I1721)&amp;"."&amp;IF(J1721&lt;=K1721,J1721,IF(J1721=K1721+1,200,IF(J1721=K1721+2,201,250)))&amp;".0/24",""))</f>
        <v/>
      </c>
      <c r="D1721" s="0" t="str">
        <f aca="false">IF(I1721="","",IF(AND(J1721&gt;=1,J1721&lt;=K1721+3),"255.255.255.0",""))</f>
        <v/>
      </c>
      <c r="E1721" s="0" t="str">
        <f aca="false">IF(I1721="","",IF(AND(J1721&gt;=1,J1721&lt;=K1721+3),"10."&amp;INDEX(Eingabe!$D$9:$D$18,I1721)&amp;"."&amp;IF(J1721&lt;=K1721,J1721,IF(J1721=K1721+1,200,IF(J1721=K1721+2,201,250)))&amp;".1",""))</f>
        <v/>
      </c>
      <c r="F1721" s="0" t="str">
        <f aca="false">IF(I1721="","",IF(AND(J1721&gt;=1,J1721&lt;=K1721+3),"10."&amp;INDEX(Eingabe!$D$9:$D$18,I1721)&amp;"."&amp;IF(J1721&lt;=K1721,J1721,IF(J1721=K1721+1,200,IF(J1721=K1721+2,201,250)))&amp;".10 – 10."&amp;INDEX(Eingabe!$D$9:$D$18,I1721)&amp;"."&amp;IF(J1721&lt;=K1721,J1721,IF(J1721=K1721+1,200,IF(J1721=K1721+2,201,250)))&amp;".250",""))</f>
        <v/>
      </c>
      <c r="G1721" s="0" t="str">
        <f aca="false">IF(I1721="","",IF(AND(J1721&gt;=1,J1721&lt;=K1721),Eingabe!$B$6&amp;"-"&amp;INDEX(Eingabe!$C$9:$C$18,I1721)&amp;"-Pächter  ·  Passwort Parzelle "&amp;J1721,IF(J1721=K1721+1,Eingabe!$B$6&amp;"-"&amp;INDEX(Eingabe!$C$9:$C$18,I1721)&amp;"-Vorstand  ·  eigenes WLAN",IF(J1721=K1721+2,Eingabe!$B$6&amp;"-"&amp;INDEX(Eingabe!$C$9:$C$18,I1721)&amp;"-Gäste  ·  Voucher",IF(J1721=K1721+3,"Kabel  ·  Access Point y = .(50+y), Mast-Switch x = .(10+x)","")))))</f>
        <v/>
      </c>
      <c r="I1721" s="0" t="str">
        <f aca="false">IF(1716&lt;=(Eingabe!$P$18+Eingabe!$Q$18-1),MATCH(1716,Eingabe!$P$9:$P$18,1),"")</f>
        <v/>
      </c>
      <c r="J1721" s="0" t="str">
        <f aca="false">IF(I1721="","",1716-INDEX(Eingabe!$P$9:$P$18,I1721))</f>
        <v/>
      </c>
      <c r="K1721" s="0" t="str">
        <f aca="false">IF(I1721="","",INDEX(Eingabe!$E$9:$E$18,I1721))</f>
        <v/>
      </c>
    </row>
    <row r="1722" customFormat="false" ht="15" hidden="false" customHeight="false" outlineLevel="0" collapsed="false">
      <c r="A1722" s="0" t="str">
        <f aca="false">IF(I1722="","",IF(J1722=0,"Sparte "&amp;I1722&amp;": "&amp;INDEX(Eingabe!$B$9:$B$18,I1722)&amp;"  (Sparten-ID "&amp;INDEX(Eingabe!$D$9:$D$18,I1722)&amp;", "&amp;K1722&amp;" Parzellen)",IF(J1722&lt;=K1722,"   Parzelle "&amp;J1722,IF(J1722=K1722+1,"   Vorstand",IF(J1722=K1722+2,"   Gäste",IF(J1722=K1722+3,"   Technik (Switches, Access Points)",""))))))</f>
        <v/>
      </c>
      <c r="B1722" s="0" t="str">
        <f aca="false">IF(I1722="","",IF(AND(J1722&gt;=1,J1722&lt;=K1722+3),IF(J1722&lt;=K1722,IF(J1722&lt;=99,IF((INDEX(Eingabe!$G$9:$G$18,I1722))&lt;=9,1000+(INDEX(Eingabe!$G$9:$G$18,I1722))*100,3000)+J1722,IF((INDEX(Eingabe!$G$9:$G$18,I1722)+1)&lt;=9,1000+(INDEX(Eingabe!$G$9:$G$18,I1722)+1)*100,3000)+J1722-100),IF(J1722=K1722+1,2000+INDEX(Eingabe!$G$9:$G$18,I1722)*10+1,IF(J1722=K1722+2,2000+INDEX(Eingabe!$G$9:$G$18,I1722)*10+2,2000+INDEX(Eingabe!$G$9:$G$18,I1722)*10+9))),""))</f>
        <v/>
      </c>
      <c r="C1722" s="0" t="str">
        <f aca="false">IF(I1722="","",IF(AND(J1722&gt;=1,J1722&lt;=K1722+3),"10."&amp;INDEX(Eingabe!$D$9:$D$18,I1722)&amp;"."&amp;IF(J1722&lt;=K1722,J1722,IF(J1722=K1722+1,200,IF(J1722=K1722+2,201,250)))&amp;".0/24",""))</f>
        <v/>
      </c>
      <c r="D1722" s="0" t="str">
        <f aca="false">IF(I1722="","",IF(AND(J1722&gt;=1,J1722&lt;=K1722+3),"255.255.255.0",""))</f>
        <v/>
      </c>
      <c r="E1722" s="0" t="str">
        <f aca="false">IF(I1722="","",IF(AND(J1722&gt;=1,J1722&lt;=K1722+3),"10."&amp;INDEX(Eingabe!$D$9:$D$18,I1722)&amp;"."&amp;IF(J1722&lt;=K1722,J1722,IF(J1722=K1722+1,200,IF(J1722=K1722+2,201,250)))&amp;".1",""))</f>
        <v/>
      </c>
      <c r="F1722" s="0" t="str">
        <f aca="false">IF(I1722="","",IF(AND(J1722&gt;=1,J1722&lt;=K1722+3),"10."&amp;INDEX(Eingabe!$D$9:$D$18,I1722)&amp;"."&amp;IF(J1722&lt;=K1722,J1722,IF(J1722=K1722+1,200,IF(J1722=K1722+2,201,250)))&amp;".10 – 10."&amp;INDEX(Eingabe!$D$9:$D$18,I1722)&amp;"."&amp;IF(J1722&lt;=K1722,J1722,IF(J1722=K1722+1,200,IF(J1722=K1722+2,201,250)))&amp;".250",""))</f>
        <v/>
      </c>
      <c r="G1722" s="0" t="str">
        <f aca="false">IF(I1722="","",IF(AND(J1722&gt;=1,J1722&lt;=K1722),Eingabe!$B$6&amp;"-"&amp;INDEX(Eingabe!$C$9:$C$18,I1722)&amp;"-Pächter  ·  Passwort Parzelle "&amp;J1722,IF(J1722=K1722+1,Eingabe!$B$6&amp;"-"&amp;INDEX(Eingabe!$C$9:$C$18,I1722)&amp;"-Vorstand  ·  eigenes WLAN",IF(J1722=K1722+2,Eingabe!$B$6&amp;"-"&amp;INDEX(Eingabe!$C$9:$C$18,I1722)&amp;"-Gäste  ·  Voucher",IF(J1722=K1722+3,"Kabel  ·  Access Point y = .(50+y), Mast-Switch x = .(10+x)","")))))</f>
        <v/>
      </c>
      <c r="I1722" s="0" t="str">
        <f aca="false">IF(1717&lt;=(Eingabe!$P$18+Eingabe!$Q$18-1),MATCH(1717,Eingabe!$P$9:$P$18,1),"")</f>
        <v/>
      </c>
      <c r="J1722" s="0" t="str">
        <f aca="false">IF(I1722="","",1717-INDEX(Eingabe!$P$9:$P$18,I1722))</f>
        <v/>
      </c>
      <c r="K1722" s="0" t="str">
        <f aca="false">IF(I1722="","",INDEX(Eingabe!$E$9:$E$18,I1722))</f>
        <v/>
      </c>
    </row>
    <row r="1723" customFormat="false" ht="15" hidden="false" customHeight="false" outlineLevel="0" collapsed="false">
      <c r="A1723" s="0" t="str">
        <f aca="false">IF(I1723="","",IF(J1723=0,"Sparte "&amp;I1723&amp;": "&amp;INDEX(Eingabe!$B$9:$B$18,I1723)&amp;"  (Sparten-ID "&amp;INDEX(Eingabe!$D$9:$D$18,I1723)&amp;", "&amp;K1723&amp;" Parzellen)",IF(J1723&lt;=K1723,"   Parzelle "&amp;J1723,IF(J1723=K1723+1,"   Vorstand",IF(J1723=K1723+2,"   Gäste",IF(J1723=K1723+3,"   Technik (Switches, Access Points)",""))))))</f>
        <v/>
      </c>
      <c r="B1723" s="0" t="str">
        <f aca="false">IF(I1723="","",IF(AND(J1723&gt;=1,J1723&lt;=K1723+3),IF(J1723&lt;=K1723,IF(J1723&lt;=99,IF((INDEX(Eingabe!$G$9:$G$18,I1723))&lt;=9,1000+(INDEX(Eingabe!$G$9:$G$18,I1723))*100,3000)+J1723,IF((INDEX(Eingabe!$G$9:$G$18,I1723)+1)&lt;=9,1000+(INDEX(Eingabe!$G$9:$G$18,I1723)+1)*100,3000)+J1723-100),IF(J1723=K1723+1,2000+INDEX(Eingabe!$G$9:$G$18,I1723)*10+1,IF(J1723=K1723+2,2000+INDEX(Eingabe!$G$9:$G$18,I1723)*10+2,2000+INDEX(Eingabe!$G$9:$G$18,I1723)*10+9))),""))</f>
        <v/>
      </c>
      <c r="C1723" s="0" t="str">
        <f aca="false">IF(I1723="","",IF(AND(J1723&gt;=1,J1723&lt;=K1723+3),"10."&amp;INDEX(Eingabe!$D$9:$D$18,I1723)&amp;"."&amp;IF(J1723&lt;=K1723,J1723,IF(J1723=K1723+1,200,IF(J1723=K1723+2,201,250)))&amp;".0/24",""))</f>
        <v/>
      </c>
      <c r="D1723" s="0" t="str">
        <f aca="false">IF(I1723="","",IF(AND(J1723&gt;=1,J1723&lt;=K1723+3),"255.255.255.0",""))</f>
        <v/>
      </c>
      <c r="E1723" s="0" t="str">
        <f aca="false">IF(I1723="","",IF(AND(J1723&gt;=1,J1723&lt;=K1723+3),"10."&amp;INDEX(Eingabe!$D$9:$D$18,I1723)&amp;"."&amp;IF(J1723&lt;=K1723,J1723,IF(J1723=K1723+1,200,IF(J1723=K1723+2,201,250)))&amp;".1",""))</f>
        <v/>
      </c>
      <c r="F1723" s="0" t="str">
        <f aca="false">IF(I1723="","",IF(AND(J1723&gt;=1,J1723&lt;=K1723+3),"10."&amp;INDEX(Eingabe!$D$9:$D$18,I1723)&amp;"."&amp;IF(J1723&lt;=K1723,J1723,IF(J1723=K1723+1,200,IF(J1723=K1723+2,201,250)))&amp;".10 – 10."&amp;INDEX(Eingabe!$D$9:$D$18,I1723)&amp;"."&amp;IF(J1723&lt;=K1723,J1723,IF(J1723=K1723+1,200,IF(J1723=K1723+2,201,250)))&amp;".250",""))</f>
        <v/>
      </c>
      <c r="G1723" s="0" t="str">
        <f aca="false">IF(I1723="","",IF(AND(J1723&gt;=1,J1723&lt;=K1723),Eingabe!$B$6&amp;"-"&amp;INDEX(Eingabe!$C$9:$C$18,I1723)&amp;"-Pächter  ·  Passwort Parzelle "&amp;J1723,IF(J1723=K1723+1,Eingabe!$B$6&amp;"-"&amp;INDEX(Eingabe!$C$9:$C$18,I1723)&amp;"-Vorstand  ·  eigenes WLAN",IF(J1723=K1723+2,Eingabe!$B$6&amp;"-"&amp;INDEX(Eingabe!$C$9:$C$18,I1723)&amp;"-Gäste  ·  Voucher",IF(J1723=K1723+3,"Kabel  ·  Access Point y = .(50+y), Mast-Switch x = .(10+x)","")))))</f>
        <v/>
      </c>
      <c r="I1723" s="0" t="str">
        <f aca="false">IF(1718&lt;=(Eingabe!$P$18+Eingabe!$Q$18-1),MATCH(1718,Eingabe!$P$9:$P$18,1),"")</f>
        <v/>
      </c>
      <c r="J1723" s="0" t="str">
        <f aca="false">IF(I1723="","",1718-INDEX(Eingabe!$P$9:$P$18,I1723))</f>
        <v/>
      </c>
      <c r="K1723" s="0" t="str">
        <f aca="false">IF(I1723="","",INDEX(Eingabe!$E$9:$E$18,I1723))</f>
        <v/>
      </c>
    </row>
    <row r="1724" customFormat="false" ht="15" hidden="false" customHeight="false" outlineLevel="0" collapsed="false">
      <c r="A1724" s="0" t="str">
        <f aca="false">IF(I1724="","",IF(J1724=0,"Sparte "&amp;I1724&amp;": "&amp;INDEX(Eingabe!$B$9:$B$18,I1724)&amp;"  (Sparten-ID "&amp;INDEX(Eingabe!$D$9:$D$18,I1724)&amp;", "&amp;K1724&amp;" Parzellen)",IF(J1724&lt;=K1724,"   Parzelle "&amp;J1724,IF(J1724=K1724+1,"   Vorstand",IF(J1724=K1724+2,"   Gäste",IF(J1724=K1724+3,"   Technik (Switches, Access Points)",""))))))</f>
        <v/>
      </c>
      <c r="B1724" s="0" t="str">
        <f aca="false">IF(I1724="","",IF(AND(J1724&gt;=1,J1724&lt;=K1724+3),IF(J1724&lt;=K1724,IF(J1724&lt;=99,IF((INDEX(Eingabe!$G$9:$G$18,I1724))&lt;=9,1000+(INDEX(Eingabe!$G$9:$G$18,I1724))*100,3000)+J1724,IF((INDEX(Eingabe!$G$9:$G$18,I1724)+1)&lt;=9,1000+(INDEX(Eingabe!$G$9:$G$18,I1724)+1)*100,3000)+J1724-100),IF(J1724=K1724+1,2000+INDEX(Eingabe!$G$9:$G$18,I1724)*10+1,IF(J1724=K1724+2,2000+INDEX(Eingabe!$G$9:$G$18,I1724)*10+2,2000+INDEX(Eingabe!$G$9:$G$18,I1724)*10+9))),""))</f>
        <v/>
      </c>
      <c r="C1724" s="0" t="str">
        <f aca="false">IF(I1724="","",IF(AND(J1724&gt;=1,J1724&lt;=K1724+3),"10."&amp;INDEX(Eingabe!$D$9:$D$18,I1724)&amp;"."&amp;IF(J1724&lt;=K1724,J1724,IF(J1724=K1724+1,200,IF(J1724=K1724+2,201,250)))&amp;".0/24",""))</f>
        <v/>
      </c>
      <c r="D1724" s="0" t="str">
        <f aca="false">IF(I1724="","",IF(AND(J1724&gt;=1,J1724&lt;=K1724+3),"255.255.255.0",""))</f>
        <v/>
      </c>
      <c r="E1724" s="0" t="str">
        <f aca="false">IF(I1724="","",IF(AND(J1724&gt;=1,J1724&lt;=K1724+3),"10."&amp;INDEX(Eingabe!$D$9:$D$18,I1724)&amp;"."&amp;IF(J1724&lt;=K1724,J1724,IF(J1724=K1724+1,200,IF(J1724=K1724+2,201,250)))&amp;".1",""))</f>
        <v/>
      </c>
      <c r="F1724" s="0" t="str">
        <f aca="false">IF(I1724="","",IF(AND(J1724&gt;=1,J1724&lt;=K1724+3),"10."&amp;INDEX(Eingabe!$D$9:$D$18,I1724)&amp;"."&amp;IF(J1724&lt;=K1724,J1724,IF(J1724=K1724+1,200,IF(J1724=K1724+2,201,250)))&amp;".10 – 10."&amp;INDEX(Eingabe!$D$9:$D$18,I1724)&amp;"."&amp;IF(J1724&lt;=K1724,J1724,IF(J1724=K1724+1,200,IF(J1724=K1724+2,201,250)))&amp;".250",""))</f>
        <v/>
      </c>
      <c r="G1724" s="0" t="str">
        <f aca="false">IF(I1724="","",IF(AND(J1724&gt;=1,J1724&lt;=K1724),Eingabe!$B$6&amp;"-"&amp;INDEX(Eingabe!$C$9:$C$18,I1724)&amp;"-Pächter  ·  Passwort Parzelle "&amp;J1724,IF(J1724=K1724+1,Eingabe!$B$6&amp;"-"&amp;INDEX(Eingabe!$C$9:$C$18,I1724)&amp;"-Vorstand  ·  eigenes WLAN",IF(J1724=K1724+2,Eingabe!$B$6&amp;"-"&amp;INDEX(Eingabe!$C$9:$C$18,I1724)&amp;"-Gäste  ·  Voucher",IF(J1724=K1724+3,"Kabel  ·  Access Point y = .(50+y), Mast-Switch x = .(10+x)","")))))</f>
        <v/>
      </c>
      <c r="I1724" s="0" t="str">
        <f aca="false">IF(1719&lt;=(Eingabe!$P$18+Eingabe!$Q$18-1),MATCH(1719,Eingabe!$P$9:$P$18,1),"")</f>
        <v/>
      </c>
      <c r="J1724" s="0" t="str">
        <f aca="false">IF(I1724="","",1719-INDEX(Eingabe!$P$9:$P$18,I1724))</f>
        <v/>
      </c>
      <c r="K1724" s="0" t="str">
        <f aca="false">IF(I1724="","",INDEX(Eingabe!$E$9:$E$18,I1724))</f>
        <v/>
      </c>
    </row>
    <row r="1725" customFormat="false" ht="15" hidden="false" customHeight="false" outlineLevel="0" collapsed="false">
      <c r="A1725" s="0" t="str">
        <f aca="false">IF(I1725="","",IF(J1725=0,"Sparte "&amp;I1725&amp;": "&amp;INDEX(Eingabe!$B$9:$B$18,I1725)&amp;"  (Sparten-ID "&amp;INDEX(Eingabe!$D$9:$D$18,I1725)&amp;", "&amp;K1725&amp;" Parzellen)",IF(J1725&lt;=K1725,"   Parzelle "&amp;J1725,IF(J1725=K1725+1,"   Vorstand",IF(J1725=K1725+2,"   Gäste",IF(J1725=K1725+3,"   Technik (Switches, Access Points)",""))))))</f>
        <v/>
      </c>
      <c r="B1725" s="0" t="str">
        <f aca="false">IF(I1725="","",IF(AND(J1725&gt;=1,J1725&lt;=K1725+3),IF(J1725&lt;=K1725,IF(J1725&lt;=99,IF((INDEX(Eingabe!$G$9:$G$18,I1725))&lt;=9,1000+(INDEX(Eingabe!$G$9:$G$18,I1725))*100,3000)+J1725,IF((INDEX(Eingabe!$G$9:$G$18,I1725)+1)&lt;=9,1000+(INDEX(Eingabe!$G$9:$G$18,I1725)+1)*100,3000)+J1725-100),IF(J1725=K1725+1,2000+INDEX(Eingabe!$G$9:$G$18,I1725)*10+1,IF(J1725=K1725+2,2000+INDEX(Eingabe!$G$9:$G$18,I1725)*10+2,2000+INDEX(Eingabe!$G$9:$G$18,I1725)*10+9))),""))</f>
        <v/>
      </c>
      <c r="C1725" s="0" t="str">
        <f aca="false">IF(I1725="","",IF(AND(J1725&gt;=1,J1725&lt;=K1725+3),"10."&amp;INDEX(Eingabe!$D$9:$D$18,I1725)&amp;"."&amp;IF(J1725&lt;=K1725,J1725,IF(J1725=K1725+1,200,IF(J1725=K1725+2,201,250)))&amp;".0/24",""))</f>
        <v/>
      </c>
      <c r="D1725" s="0" t="str">
        <f aca="false">IF(I1725="","",IF(AND(J1725&gt;=1,J1725&lt;=K1725+3),"255.255.255.0",""))</f>
        <v/>
      </c>
      <c r="E1725" s="0" t="str">
        <f aca="false">IF(I1725="","",IF(AND(J1725&gt;=1,J1725&lt;=K1725+3),"10."&amp;INDEX(Eingabe!$D$9:$D$18,I1725)&amp;"."&amp;IF(J1725&lt;=K1725,J1725,IF(J1725=K1725+1,200,IF(J1725=K1725+2,201,250)))&amp;".1",""))</f>
        <v/>
      </c>
      <c r="F1725" s="0" t="str">
        <f aca="false">IF(I1725="","",IF(AND(J1725&gt;=1,J1725&lt;=K1725+3),"10."&amp;INDEX(Eingabe!$D$9:$D$18,I1725)&amp;"."&amp;IF(J1725&lt;=K1725,J1725,IF(J1725=K1725+1,200,IF(J1725=K1725+2,201,250)))&amp;".10 – 10."&amp;INDEX(Eingabe!$D$9:$D$18,I1725)&amp;"."&amp;IF(J1725&lt;=K1725,J1725,IF(J1725=K1725+1,200,IF(J1725=K1725+2,201,250)))&amp;".250",""))</f>
        <v/>
      </c>
      <c r="G1725" s="0" t="str">
        <f aca="false">IF(I1725="","",IF(AND(J1725&gt;=1,J1725&lt;=K1725),Eingabe!$B$6&amp;"-"&amp;INDEX(Eingabe!$C$9:$C$18,I1725)&amp;"-Pächter  ·  Passwort Parzelle "&amp;J1725,IF(J1725=K1725+1,Eingabe!$B$6&amp;"-"&amp;INDEX(Eingabe!$C$9:$C$18,I1725)&amp;"-Vorstand  ·  eigenes WLAN",IF(J1725=K1725+2,Eingabe!$B$6&amp;"-"&amp;INDEX(Eingabe!$C$9:$C$18,I1725)&amp;"-Gäste  ·  Voucher",IF(J1725=K1725+3,"Kabel  ·  Access Point y = .(50+y), Mast-Switch x = .(10+x)","")))))</f>
        <v/>
      </c>
      <c r="I1725" s="0" t="str">
        <f aca="false">IF(1720&lt;=(Eingabe!$P$18+Eingabe!$Q$18-1),MATCH(1720,Eingabe!$P$9:$P$18,1),"")</f>
        <v/>
      </c>
      <c r="J1725" s="0" t="str">
        <f aca="false">IF(I1725="","",1720-INDEX(Eingabe!$P$9:$P$18,I1725))</f>
        <v/>
      </c>
      <c r="K1725" s="0" t="str">
        <f aca="false">IF(I1725="","",INDEX(Eingabe!$E$9:$E$18,I1725))</f>
        <v/>
      </c>
    </row>
    <row r="1726" customFormat="false" ht="15" hidden="false" customHeight="false" outlineLevel="0" collapsed="false">
      <c r="A1726" s="0" t="str">
        <f aca="false">IF(I1726="","",IF(J1726=0,"Sparte "&amp;I1726&amp;": "&amp;INDEX(Eingabe!$B$9:$B$18,I1726)&amp;"  (Sparten-ID "&amp;INDEX(Eingabe!$D$9:$D$18,I1726)&amp;", "&amp;K1726&amp;" Parzellen)",IF(J1726&lt;=K1726,"   Parzelle "&amp;J1726,IF(J1726=K1726+1,"   Vorstand",IF(J1726=K1726+2,"   Gäste",IF(J1726=K1726+3,"   Technik (Switches, Access Points)",""))))))</f>
        <v/>
      </c>
      <c r="B1726" s="0" t="str">
        <f aca="false">IF(I1726="","",IF(AND(J1726&gt;=1,J1726&lt;=K1726+3),IF(J1726&lt;=K1726,IF(J1726&lt;=99,IF((INDEX(Eingabe!$G$9:$G$18,I1726))&lt;=9,1000+(INDEX(Eingabe!$G$9:$G$18,I1726))*100,3000)+J1726,IF((INDEX(Eingabe!$G$9:$G$18,I1726)+1)&lt;=9,1000+(INDEX(Eingabe!$G$9:$G$18,I1726)+1)*100,3000)+J1726-100),IF(J1726=K1726+1,2000+INDEX(Eingabe!$G$9:$G$18,I1726)*10+1,IF(J1726=K1726+2,2000+INDEX(Eingabe!$G$9:$G$18,I1726)*10+2,2000+INDEX(Eingabe!$G$9:$G$18,I1726)*10+9))),""))</f>
        <v/>
      </c>
      <c r="C1726" s="0" t="str">
        <f aca="false">IF(I1726="","",IF(AND(J1726&gt;=1,J1726&lt;=K1726+3),"10."&amp;INDEX(Eingabe!$D$9:$D$18,I1726)&amp;"."&amp;IF(J1726&lt;=K1726,J1726,IF(J1726=K1726+1,200,IF(J1726=K1726+2,201,250)))&amp;".0/24",""))</f>
        <v/>
      </c>
      <c r="D1726" s="0" t="str">
        <f aca="false">IF(I1726="","",IF(AND(J1726&gt;=1,J1726&lt;=K1726+3),"255.255.255.0",""))</f>
        <v/>
      </c>
      <c r="E1726" s="0" t="str">
        <f aca="false">IF(I1726="","",IF(AND(J1726&gt;=1,J1726&lt;=K1726+3),"10."&amp;INDEX(Eingabe!$D$9:$D$18,I1726)&amp;"."&amp;IF(J1726&lt;=K1726,J1726,IF(J1726=K1726+1,200,IF(J1726=K1726+2,201,250)))&amp;".1",""))</f>
        <v/>
      </c>
      <c r="F1726" s="0" t="str">
        <f aca="false">IF(I1726="","",IF(AND(J1726&gt;=1,J1726&lt;=K1726+3),"10."&amp;INDEX(Eingabe!$D$9:$D$18,I1726)&amp;"."&amp;IF(J1726&lt;=K1726,J1726,IF(J1726=K1726+1,200,IF(J1726=K1726+2,201,250)))&amp;".10 – 10."&amp;INDEX(Eingabe!$D$9:$D$18,I1726)&amp;"."&amp;IF(J1726&lt;=K1726,J1726,IF(J1726=K1726+1,200,IF(J1726=K1726+2,201,250)))&amp;".250",""))</f>
        <v/>
      </c>
      <c r="G1726" s="0" t="str">
        <f aca="false">IF(I1726="","",IF(AND(J1726&gt;=1,J1726&lt;=K1726),Eingabe!$B$6&amp;"-"&amp;INDEX(Eingabe!$C$9:$C$18,I1726)&amp;"-Pächter  ·  Passwort Parzelle "&amp;J1726,IF(J1726=K1726+1,Eingabe!$B$6&amp;"-"&amp;INDEX(Eingabe!$C$9:$C$18,I1726)&amp;"-Vorstand  ·  eigenes WLAN",IF(J1726=K1726+2,Eingabe!$B$6&amp;"-"&amp;INDEX(Eingabe!$C$9:$C$18,I1726)&amp;"-Gäste  ·  Voucher",IF(J1726=K1726+3,"Kabel  ·  Access Point y = .(50+y), Mast-Switch x = .(10+x)","")))))</f>
        <v/>
      </c>
      <c r="I1726" s="0" t="str">
        <f aca="false">IF(1721&lt;=(Eingabe!$P$18+Eingabe!$Q$18-1),MATCH(1721,Eingabe!$P$9:$P$18,1),"")</f>
        <v/>
      </c>
      <c r="J1726" s="0" t="str">
        <f aca="false">IF(I1726="","",1721-INDEX(Eingabe!$P$9:$P$18,I1726))</f>
        <v/>
      </c>
      <c r="K1726" s="0" t="str">
        <f aca="false">IF(I1726="","",INDEX(Eingabe!$E$9:$E$18,I1726))</f>
        <v/>
      </c>
    </row>
    <row r="1727" customFormat="false" ht="15" hidden="false" customHeight="false" outlineLevel="0" collapsed="false">
      <c r="A1727" s="0" t="str">
        <f aca="false">IF(I1727="","",IF(J1727=0,"Sparte "&amp;I1727&amp;": "&amp;INDEX(Eingabe!$B$9:$B$18,I1727)&amp;"  (Sparten-ID "&amp;INDEX(Eingabe!$D$9:$D$18,I1727)&amp;", "&amp;K1727&amp;" Parzellen)",IF(J1727&lt;=K1727,"   Parzelle "&amp;J1727,IF(J1727=K1727+1,"   Vorstand",IF(J1727=K1727+2,"   Gäste",IF(J1727=K1727+3,"   Technik (Switches, Access Points)",""))))))</f>
        <v/>
      </c>
      <c r="B1727" s="0" t="str">
        <f aca="false">IF(I1727="","",IF(AND(J1727&gt;=1,J1727&lt;=K1727+3),IF(J1727&lt;=K1727,IF(J1727&lt;=99,IF((INDEX(Eingabe!$G$9:$G$18,I1727))&lt;=9,1000+(INDEX(Eingabe!$G$9:$G$18,I1727))*100,3000)+J1727,IF((INDEX(Eingabe!$G$9:$G$18,I1727)+1)&lt;=9,1000+(INDEX(Eingabe!$G$9:$G$18,I1727)+1)*100,3000)+J1727-100),IF(J1727=K1727+1,2000+INDEX(Eingabe!$G$9:$G$18,I1727)*10+1,IF(J1727=K1727+2,2000+INDEX(Eingabe!$G$9:$G$18,I1727)*10+2,2000+INDEX(Eingabe!$G$9:$G$18,I1727)*10+9))),""))</f>
        <v/>
      </c>
      <c r="C1727" s="0" t="str">
        <f aca="false">IF(I1727="","",IF(AND(J1727&gt;=1,J1727&lt;=K1727+3),"10."&amp;INDEX(Eingabe!$D$9:$D$18,I1727)&amp;"."&amp;IF(J1727&lt;=K1727,J1727,IF(J1727=K1727+1,200,IF(J1727=K1727+2,201,250)))&amp;".0/24",""))</f>
        <v/>
      </c>
      <c r="D1727" s="0" t="str">
        <f aca="false">IF(I1727="","",IF(AND(J1727&gt;=1,J1727&lt;=K1727+3),"255.255.255.0",""))</f>
        <v/>
      </c>
      <c r="E1727" s="0" t="str">
        <f aca="false">IF(I1727="","",IF(AND(J1727&gt;=1,J1727&lt;=K1727+3),"10."&amp;INDEX(Eingabe!$D$9:$D$18,I1727)&amp;"."&amp;IF(J1727&lt;=K1727,J1727,IF(J1727=K1727+1,200,IF(J1727=K1727+2,201,250)))&amp;".1",""))</f>
        <v/>
      </c>
      <c r="F1727" s="0" t="str">
        <f aca="false">IF(I1727="","",IF(AND(J1727&gt;=1,J1727&lt;=K1727+3),"10."&amp;INDEX(Eingabe!$D$9:$D$18,I1727)&amp;"."&amp;IF(J1727&lt;=K1727,J1727,IF(J1727=K1727+1,200,IF(J1727=K1727+2,201,250)))&amp;".10 – 10."&amp;INDEX(Eingabe!$D$9:$D$18,I1727)&amp;"."&amp;IF(J1727&lt;=K1727,J1727,IF(J1727=K1727+1,200,IF(J1727=K1727+2,201,250)))&amp;".250",""))</f>
        <v/>
      </c>
      <c r="G1727" s="0" t="str">
        <f aca="false">IF(I1727="","",IF(AND(J1727&gt;=1,J1727&lt;=K1727),Eingabe!$B$6&amp;"-"&amp;INDEX(Eingabe!$C$9:$C$18,I1727)&amp;"-Pächter  ·  Passwort Parzelle "&amp;J1727,IF(J1727=K1727+1,Eingabe!$B$6&amp;"-"&amp;INDEX(Eingabe!$C$9:$C$18,I1727)&amp;"-Vorstand  ·  eigenes WLAN",IF(J1727=K1727+2,Eingabe!$B$6&amp;"-"&amp;INDEX(Eingabe!$C$9:$C$18,I1727)&amp;"-Gäste  ·  Voucher",IF(J1727=K1727+3,"Kabel  ·  Access Point y = .(50+y), Mast-Switch x = .(10+x)","")))))</f>
        <v/>
      </c>
      <c r="I1727" s="0" t="str">
        <f aca="false">IF(1722&lt;=(Eingabe!$P$18+Eingabe!$Q$18-1),MATCH(1722,Eingabe!$P$9:$P$18,1),"")</f>
        <v/>
      </c>
      <c r="J1727" s="0" t="str">
        <f aca="false">IF(I1727="","",1722-INDEX(Eingabe!$P$9:$P$18,I1727))</f>
        <v/>
      </c>
      <c r="K1727" s="0" t="str">
        <f aca="false">IF(I1727="","",INDEX(Eingabe!$E$9:$E$18,I1727))</f>
        <v/>
      </c>
    </row>
    <row r="1728" customFormat="false" ht="15" hidden="false" customHeight="false" outlineLevel="0" collapsed="false">
      <c r="A1728" s="0" t="str">
        <f aca="false">IF(I1728="","",IF(J1728=0,"Sparte "&amp;I1728&amp;": "&amp;INDEX(Eingabe!$B$9:$B$18,I1728)&amp;"  (Sparten-ID "&amp;INDEX(Eingabe!$D$9:$D$18,I1728)&amp;", "&amp;K1728&amp;" Parzellen)",IF(J1728&lt;=K1728,"   Parzelle "&amp;J1728,IF(J1728=K1728+1,"   Vorstand",IF(J1728=K1728+2,"   Gäste",IF(J1728=K1728+3,"   Technik (Switches, Access Points)",""))))))</f>
        <v/>
      </c>
      <c r="B1728" s="0" t="str">
        <f aca="false">IF(I1728="","",IF(AND(J1728&gt;=1,J1728&lt;=K1728+3),IF(J1728&lt;=K1728,IF(J1728&lt;=99,IF((INDEX(Eingabe!$G$9:$G$18,I1728))&lt;=9,1000+(INDEX(Eingabe!$G$9:$G$18,I1728))*100,3000)+J1728,IF((INDEX(Eingabe!$G$9:$G$18,I1728)+1)&lt;=9,1000+(INDEX(Eingabe!$G$9:$G$18,I1728)+1)*100,3000)+J1728-100),IF(J1728=K1728+1,2000+INDEX(Eingabe!$G$9:$G$18,I1728)*10+1,IF(J1728=K1728+2,2000+INDEX(Eingabe!$G$9:$G$18,I1728)*10+2,2000+INDEX(Eingabe!$G$9:$G$18,I1728)*10+9))),""))</f>
        <v/>
      </c>
      <c r="C1728" s="0" t="str">
        <f aca="false">IF(I1728="","",IF(AND(J1728&gt;=1,J1728&lt;=K1728+3),"10."&amp;INDEX(Eingabe!$D$9:$D$18,I1728)&amp;"."&amp;IF(J1728&lt;=K1728,J1728,IF(J1728=K1728+1,200,IF(J1728=K1728+2,201,250)))&amp;".0/24",""))</f>
        <v/>
      </c>
      <c r="D1728" s="0" t="str">
        <f aca="false">IF(I1728="","",IF(AND(J1728&gt;=1,J1728&lt;=K1728+3),"255.255.255.0",""))</f>
        <v/>
      </c>
      <c r="E1728" s="0" t="str">
        <f aca="false">IF(I1728="","",IF(AND(J1728&gt;=1,J1728&lt;=K1728+3),"10."&amp;INDEX(Eingabe!$D$9:$D$18,I1728)&amp;"."&amp;IF(J1728&lt;=K1728,J1728,IF(J1728=K1728+1,200,IF(J1728=K1728+2,201,250)))&amp;".1",""))</f>
        <v/>
      </c>
      <c r="F1728" s="0" t="str">
        <f aca="false">IF(I1728="","",IF(AND(J1728&gt;=1,J1728&lt;=K1728+3),"10."&amp;INDEX(Eingabe!$D$9:$D$18,I1728)&amp;"."&amp;IF(J1728&lt;=K1728,J1728,IF(J1728=K1728+1,200,IF(J1728=K1728+2,201,250)))&amp;".10 – 10."&amp;INDEX(Eingabe!$D$9:$D$18,I1728)&amp;"."&amp;IF(J1728&lt;=K1728,J1728,IF(J1728=K1728+1,200,IF(J1728=K1728+2,201,250)))&amp;".250",""))</f>
        <v/>
      </c>
      <c r="G1728" s="0" t="str">
        <f aca="false">IF(I1728="","",IF(AND(J1728&gt;=1,J1728&lt;=K1728),Eingabe!$B$6&amp;"-"&amp;INDEX(Eingabe!$C$9:$C$18,I1728)&amp;"-Pächter  ·  Passwort Parzelle "&amp;J1728,IF(J1728=K1728+1,Eingabe!$B$6&amp;"-"&amp;INDEX(Eingabe!$C$9:$C$18,I1728)&amp;"-Vorstand  ·  eigenes WLAN",IF(J1728=K1728+2,Eingabe!$B$6&amp;"-"&amp;INDEX(Eingabe!$C$9:$C$18,I1728)&amp;"-Gäste  ·  Voucher",IF(J1728=K1728+3,"Kabel  ·  Access Point y = .(50+y), Mast-Switch x = .(10+x)","")))))</f>
        <v/>
      </c>
      <c r="I1728" s="0" t="str">
        <f aca="false">IF(1723&lt;=(Eingabe!$P$18+Eingabe!$Q$18-1),MATCH(1723,Eingabe!$P$9:$P$18,1),"")</f>
        <v/>
      </c>
      <c r="J1728" s="0" t="str">
        <f aca="false">IF(I1728="","",1723-INDEX(Eingabe!$P$9:$P$18,I1728))</f>
        <v/>
      </c>
      <c r="K1728" s="0" t="str">
        <f aca="false">IF(I1728="","",INDEX(Eingabe!$E$9:$E$18,I1728))</f>
        <v/>
      </c>
    </row>
    <row r="1729" customFormat="false" ht="15" hidden="false" customHeight="false" outlineLevel="0" collapsed="false">
      <c r="A1729" s="0" t="str">
        <f aca="false">IF(I1729="","",IF(J1729=0,"Sparte "&amp;I1729&amp;": "&amp;INDEX(Eingabe!$B$9:$B$18,I1729)&amp;"  (Sparten-ID "&amp;INDEX(Eingabe!$D$9:$D$18,I1729)&amp;", "&amp;K1729&amp;" Parzellen)",IF(J1729&lt;=K1729,"   Parzelle "&amp;J1729,IF(J1729=K1729+1,"   Vorstand",IF(J1729=K1729+2,"   Gäste",IF(J1729=K1729+3,"   Technik (Switches, Access Points)",""))))))</f>
        <v/>
      </c>
      <c r="B1729" s="0" t="str">
        <f aca="false">IF(I1729="","",IF(AND(J1729&gt;=1,J1729&lt;=K1729+3),IF(J1729&lt;=K1729,IF(J1729&lt;=99,IF((INDEX(Eingabe!$G$9:$G$18,I1729))&lt;=9,1000+(INDEX(Eingabe!$G$9:$G$18,I1729))*100,3000)+J1729,IF((INDEX(Eingabe!$G$9:$G$18,I1729)+1)&lt;=9,1000+(INDEX(Eingabe!$G$9:$G$18,I1729)+1)*100,3000)+J1729-100),IF(J1729=K1729+1,2000+INDEX(Eingabe!$G$9:$G$18,I1729)*10+1,IF(J1729=K1729+2,2000+INDEX(Eingabe!$G$9:$G$18,I1729)*10+2,2000+INDEX(Eingabe!$G$9:$G$18,I1729)*10+9))),""))</f>
        <v/>
      </c>
      <c r="C1729" s="0" t="str">
        <f aca="false">IF(I1729="","",IF(AND(J1729&gt;=1,J1729&lt;=K1729+3),"10."&amp;INDEX(Eingabe!$D$9:$D$18,I1729)&amp;"."&amp;IF(J1729&lt;=K1729,J1729,IF(J1729=K1729+1,200,IF(J1729=K1729+2,201,250)))&amp;".0/24",""))</f>
        <v/>
      </c>
      <c r="D1729" s="0" t="str">
        <f aca="false">IF(I1729="","",IF(AND(J1729&gt;=1,J1729&lt;=K1729+3),"255.255.255.0",""))</f>
        <v/>
      </c>
      <c r="E1729" s="0" t="str">
        <f aca="false">IF(I1729="","",IF(AND(J1729&gt;=1,J1729&lt;=K1729+3),"10."&amp;INDEX(Eingabe!$D$9:$D$18,I1729)&amp;"."&amp;IF(J1729&lt;=K1729,J1729,IF(J1729=K1729+1,200,IF(J1729=K1729+2,201,250)))&amp;".1",""))</f>
        <v/>
      </c>
      <c r="F1729" s="0" t="str">
        <f aca="false">IF(I1729="","",IF(AND(J1729&gt;=1,J1729&lt;=K1729+3),"10."&amp;INDEX(Eingabe!$D$9:$D$18,I1729)&amp;"."&amp;IF(J1729&lt;=K1729,J1729,IF(J1729=K1729+1,200,IF(J1729=K1729+2,201,250)))&amp;".10 – 10."&amp;INDEX(Eingabe!$D$9:$D$18,I1729)&amp;"."&amp;IF(J1729&lt;=K1729,J1729,IF(J1729=K1729+1,200,IF(J1729=K1729+2,201,250)))&amp;".250",""))</f>
        <v/>
      </c>
      <c r="G1729" s="0" t="str">
        <f aca="false">IF(I1729="","",IF(AND(J1729&gt;=1,J1729&lt;=K1729),Eingabe!$B$6&amp;"-"&amp;INDEX(Eingabe!$C$9:$C$18,I1729)&amp;"-Pächter  ·  Passwort Parzelle "&amp;J1729,IF(J1729=K1729+1,Eingabe!$B$6&amp;"-"&amp;INDEX(Eingabe!$C$9:$C$18,I1729)&amp;"-Vorstand  ·  eigenes WLAN",IF(J1729=K1729+2,Eingabe!$B$6&amp;"-"&amp;INDEX(Eingabe!$C$9:$C$18,I1729)&amp;"-Gäste  ·  Voucher",IF(J1729=K1729+3,"Kabel  ·  Access Point y = .(50+y), Mast-Switch x = .(10+x)","")))))</f>
        <v/>
      </c>
      <c r="I1729" s="0" t="str">
        <f aca="false">IF(1724&lt;=(Eingabe!$P$18+Eingabe!$Q$18-1),MATCH(1724,Eingabe!$P$9:$P$18,1),"")</f>
        <v/>
      </c>
      <c r="J1729" s="0" t="str">
        <f aca="false">IF(I1729="","",1724-INDEX(Eingabe!$P$9:$P$18,I1729))</f>
        <v/>
      </c>
      <c r="K1729" s="0" t="str">
        <f aca="false">IF(I1729="","",INDEX(Eingabe!$E$9:$E$18,I1729))</f>
        <v/>
      </c>
    </row>
    <row r="1730" customFormat="false" ht="15" hidden="false" customHeight="false" outlineLevel="0" collapsed="false">
      <c r="A1730" s="0" t="str">
        <f aca="false">IF(I1730="","",IF(J1730=0,"Sparte "&amp;I1730&amp;": "&amp;INDEX(Eingabe!$B$9:$B$18,I1730)&amp;"  (Sparten-ID "&amp;INDEX(Eingabe!$D$9:$D$18,I1730)&amp;", "&amp;K1730&amp;" Parzellen)",IF(J1730&lt;=K1730,"   Parzelle "&amp;J1730,IF(J1730=K1730+1,"   Vorstand",IF(J1730=K1730+2,"   Gäste",IF(J1730=K1730+3,"   Technik (Switches, Access Points)",""))))))</f>
        <v/>
      </c>
      <c r="B1730" s="0" t="str">
        <f aca="false">IF(I1730="","",IF(AND(J1730&gt;=1,J1730&lt;=K1730+3),IF(J1730&lt;=K1730,IF(J1730&lt;=99,IF((INDEX(Eingabe!$G$9:$G$18,I1730))&lt;=9,1000+(INDEX(Eingabe!$G$9:$G$18,I1730))*100,3000)+J1730,IF((INDEX(Eingabe!$G$9:$G$18,I1730)+1)&lt;=9,1000+(INDEX(Eingabe!$G$9:$G$18,I1730)+1)*100,3000)+J1730-100),IF(J1730=K1730+1,2000+INDEX(Eingabe!$G$9:$G$18,I1730)*10+1,IF(J1730=K1730+2,2000+INDEX(Eingabe!$G$9:$G$18,I1730)*10+2,2000+INDEX(Eingabe!$G$9:$G$18,I1730)*10+9))),""))</f>
        <v/>
      </c>
      <c r="C1730" s="0" t="str">
        <f aca="false">IF(I1730="","",IF(AND(J1730&gt;=1,J1730&lt;=K1730+3),"10."&amp;INDEX(Eingabe!$D$9:$D$18,I1730)&amp;"."&amp;IF(J1730&lt;=K1730,J1730,IF(J1730=K1730+1,200,IF(J1730=K1730+2,201,250)))&amp;".0/24",""))</f>
        <v/>
      </c>
      <c r="D1730" s="0" t="str">
        <f aca="false">IF(I1730="","",IF(AND(J1730&gt;=1,J1730&lt;=K1730+3),"255.255.255.0",""))</f>
        <v/>
      </c>
      <c r="E1730" s="0" t="str">
        <f aca="false">IF(I1730="","",IF(AND(J1730&gt;=1,J1730&lt;=K1730+3),"10."&amp;INDEX(Eingabe!$D$9:$D$18,I1730)&amp;"."&amp;IF(J1730&lt;=K1730,J1730,IF(J1730=K1730+1,200,IF(J1730=K1730+2,201,250)))&amp;".1",""))</f>
        <v/>
      </c>
      <c r="F1730" s="0" t="str">
        <f aca="false">IF(I1730="","",IF(AND(J1730&gt;=1,J1730&lt;=K1730+3),"10."&amp;INDEX(Eingabe!$D$9:$D$18,I1730)&amp;"."&amp;IF(J1730&lt;=K1730,J1730,IF(J1730=K1730+1,200,IF(J1730=K1730+2,201,250)))&amp;".10 – 10."&amp;INDEX(Eingabe!$D$9:$D$18,I1730)&amp;"."&amp;IF(J1730&lt;=K1730,J1730,IF(J1730=K1730+1,200,IF(J1730=K1730+2,201,250)))&amp;".250",""))</f>
        <v/>
      </c>
      <c r="G1730" s="0" t="str">
        <f aca="false">IF(I1730="","",IF(AND(J1730&gt;=1,J1730&lt;=K1730),Eingabe!$B$6&amp;"-"&amp;INDEX(Eingabe!$C$9:$C$18,I1730)&amp;"-Pächter  ·  Passwort Parzelle "&amp;J1730,IF(J1730=K1730+1,Eingabe!$B$6&amp;"-"&amp;INDEX(Eingabe!$C$9:$C$18,I1730)&amp;"-Vorstand  ·  eigenes WLAN",IF(J1730=K1730+2,Eingabe!$B$6&amp;"-"&amp;INDEX(Eingabe!$C$9:$C$18,I1730)&amp;"-Gäste  ·  Voucher",IF(J1730=K1730+3,"Kabel  ·  Access Point y = .(50+y), Mast-Switch x = .(10+x)","")))))</f>
        <v/>
      </c>
      <c r="I1730" s="0" t="str">
        <f aca="false">IF(1725&lt;=(Eingabe!$P$18+Eingabe!$Q$18-1),MATCH(1725,Eingabe!$P$9:$P$18,1),"")</f>
        <v/>
      </c>
      <c r="J1730" s="0" t="str">
        <f aca="false">IF(I1730="","",1725-INDEX(Eingabe!$P$9:$P$18,I1730))</f>
        <v/>
      </c>
      <c r="K1730" s="0" t="str">
        <f aca="false">IF(I1730="","",INDEX(Eingabe!$E$9:$E$18,I1730))</f>
        <v/>
      </c>
    </row>
    <row r="1731" customFormat="false" ht="15" hidden="false" customHeight="false" outlineLevel="0" collapsed="false">
      <c r="A1731" s="0" t="str">
        <f aca="false">IF(I1731="","",IF(J1731=0,"Sparte "&amp;I1731&amp;": "&amp;INDEX(Eingabe!$B$9:$B$18,I1731)&amp;"  (Sparten-ID "&amp;INDEX(Eingabe!$D$9:$D$18,I1731)&amp;", "&amp;K1731&amp;" Parzellen)",IF(J1731&lt;=K1731,"   Parzelle "&amp;J1731,IF(J1731=K1731+1,"   Vorstand",IF(J1731=K1731+2,"   Gäste",IF(J1731=K1731+3,"   Technik (Switches, Access Points)",""))))))</f>
        <v/>
      </c>
      <c r="B1731" s="0" t="str">
        <f aca="false">IF(I1731="","",IF(AND(J1731&gt;=1,J1731&lt;=K1731+3),IF(J1731&lt;=K1731,IF(J1731&lt;=99,IF((INDEX(Eingabe!$G$9:$G$18,I1731))&lt;=9,1000+(INDEX(Eingabe!$G$9:$G$18,I1731))*100,3000)+J1731,IF((INDEX(Eingabe!$G$9:$G$18,I1731)+1)&lt;=9,1000+(INDEX(Eingabe!$G$9:$G$18,I1731)+1)*100,3000)+J1731-100),IF(J1731=K1731+1,2000+INDEX(Eingabe!$G$9:$G$18,I1731)*10+1,IF(J1731=K1731+2,2000+INDEX(Eingabe!$G$9:$G$18,I1731)*10+2,2000+INDEX(Eingabe!$G$9:$G$18,I1731)*10+9))),""))</f>
        <v/>
      </c>
      <c r="C1731" s="0" t="str">
        <f aca="false">IF(I1731="","",IF(AND(J1731&gt;=1,J1731&lt;=K1731+3),"10."&amp;INDEX(Eingabe!$D$9:$D$18,I1731)&amp;"."&amp;IF(J1731&lt;=K1731,J1731,IF(J1731=K1731+1,200,IF(J1731=K1731+2,201,250)))&amp;".0/24",""))</f>
        <v/>
      </c>
      <c r="D1731" s="0" t="str">
        <f aca="false">IF(I1731="","",IF(AND(J1731&gt;=1,J1731&lt;=K1731+3),"255.255.255.0",""))</f>
        <v/>
      </c>
      <c r="E1731" s="0" t="str">
        <f aca="false">IF(I1731="","",IF(AND(J1731&gt;=1,J1731&lt;=K1731+3),"10."&amp;INDEX(Eingabe!$D$9:$D$18,I1731)&amp;"."&amp;IF(J1731&lt;=K1731,J1731,IF(J1731=K1731+1,200,IF(J1731=K1731+2,201,250)))&amp;".1",""))</f>
        <v/>
      </c>
      <c r="F1731" s="0" t="str">
        <f aca="false">IF(I1731="","",IF(AND(J1731&gt;=1,J1731&lt;=K1731+3),"10."&amp;INDEX(Eingabe!$D$9:$D$18,I1731)&amp;"."&amp;IF(J1731&lt;=K1731,J1731,IF(J1731=K1731+1,200,IF(J1731=K1731+2,201,250)))&amp;".10 – 10."&amp;INDEX(Eingabe!$D$9:$D$18,I1731)&amp;"."&amp;IF(J1731&lt;=K1731,J1731,IF(J1731=K1731+1,200,IF(J1731=K1731+2,201,250)))&amp;".250",""))</f>
        <v/>
      </c>
      <c r="G1731" s="0" t="str">
        <f aca="false">IF(I1731="","",IF(AND(J1731&gt;=1,J1731&lt;=K1731),Eingabe!$B$6&amp;"-"&amp;INDEX(Eingabe!$C$9:$C$18,I1731)&amp;"-Pächter  ·  Passwort Parzelle "&amp;J1731,IF(J1731=K1731+1,Eingabe!$B$6&amp;"-"&amp;INDEX(Eingabe!$C$9:$C$18,I1731)&amp;"-Vorstand  ·  eigenes WLAN",IF(J1731=K1731+2,Eingabe!$B$6&amp;"-"&amp;INDEX(Eingabe!$C$9:$C$18,I1731)&amp;"-Gäste  ·  Voucher",IF(J1731=K1731+3,"Kabel  ·  Access Point y = .(50+y), Mast-Switch x = .(10+x)","")))))</f>
        <v/>
      </c>
      <c r="I1731" s="0" t="str">
        <f aca="false">IF(1726&lt;=(Eingabe!$P$18+Eingabe!$Q$18-1),MATCH(1726,Eingabe!$P$9:$P$18,1),"")</f>
        <v/>
      </c>
      <c r="J1731" s="0" t="str">
        <f aca="false">IF(I1731="","",1726-INDEX(Eingabe!$P$9:$P$18,I1731))</f>
        <v/>
      </c>
      <c r="K1731" s="0" t="str">
        <f aca="false">IF(I1731="","",INDEX(Eingabe!$E$9:$E$18,I1731))</f>
        <v/>
      </c>
    </row>
    <row r="1732" customFormat="false" ht="15" hidden="false" customHeight="false" outlineLevel="0" collapsed="false">
      <c r="A1732" s="0" t="str">
        <f aca="false">IF(I1732="","",IF(J1732=0,"Sparte "&amp;I1732&amp;": "&amp;INDEX(Eingabe!$B$9:$B$18,I1732)&amp;"  (Sparten-ID "&amp;INDEX(Eingabe!$D$9:$D$18,I1732)&amp;", "&amp;K1732&amp;" Parzellen)",IF(J1732&lt;=K1732,"   Parzelle "&amp;J1732,IF(J1732=K1732+1,"   Vorstand",IF(J1732=K1732+2,"   Gäste",IF(J1732=K1732+3,"   Technik (Switches, Access Points)",""))))))</f>
        <v/>
      </c>
      <c r="B1732" s="0" t="str">
        <f aca="false">IF(I1732="","",IF(AND(J1732&gt;=1,J1732&lt;=K1732+3),IF(J1732&lt;=K1732,IF(J1732&lt;=99,IF((INDEX(Eingabe!$G$9:$G$18,I1732))&lt;=9,1000+(INDEX(Eingabe!$G$9:$G$18,I1732))*100,3000)+J1732,IF((INDEX(Eingabe!$G$9:$G$18,I1732)+1)&lt;=9,1000+(INDEX(Eingabe!$G$9:$G$18,I1732)+1)*100,3000)+J1732-100),IF(J1732=K1732+1,2000+INDEX(Eingabe!$G$9:$G$18,I1732)*10+1,IF(J1732=K1732+2,2000+INDEX(Eingabe!$G$9:$G$18,I1732)*10+2,2000+INDEX(Eingabe!$G$9:$G$18,I1732)*10+9))),""))</f>
        <v/>
      </c>
      <c r="C1732" s="0" t="str">
        <f aca="false">IF(I1732="","",IF(AND(J1732&gt;=1,J1732&lt;=K1732+3),"10."&amp;INDEX(Eingabe!$D$9:$D$18,I1732)&amp;"."&amp;IF(J1732&lt;=K1732,J1732,IF(J1732=K1732+1,200,IF(J1732=K1732+2,201,250)))&amp;".0/24",""))</f>
        <v/>
      </c>
      <c r="D1732" s="0" t="str">
        <f aca="false">IF(I1732="","",IF(AND(J1732&gt;=1,J1732&lt;=K1732+3),"255.255.255.0",""))</f>
        <v/>
      </c>
      <c r="E1732" s="0" t="str">
        <f aca="false">IF(I1732="","",IF(AND(J1732&gt;=1,J1732&lt;=K1732+3),"10."&amp;INDEX(Eingabe!$D$9:$D$18,I1732)&amp;"."&amp;IF(J1732&lt;=K1732,J1732,IF(J1732=K1732+1,200,IF(J1732=K1732+2,201,250)))&amp;".1",""))</f>
        <v/>
      </c>
      <c r="F1732" s="0" t="str">
        <f aca="false">IF(I1732="","",IF(AND(J1732&gt;=1,J1732&lt;=K1732+3),"10."&amp;INDEX(Eingabe!$D$9:$D$18,I1732)&amp;"."&amp;IF(J1732&lt;=K1732,J1732,IF(J1732=K1732+1,200,IF(J1732=K1732+2,201,250)))&amp;".10 – 10."&amp;INDEX(Eingabe!$D$9:$D$18,I1732)&amp;"."&amp;IF(J1732&lt;=K1732,J1732,IF(J1732=K1732+1,200,IF(J1732=K1732+2,201,250)))&amp;".250",""))</f>
        <v/>
      </c>
      <c r="G1732" s="0" t="str">
        <f aca="false">IF(I1732="","",IF(AND(J1732&gt;=1,J1732&lt;=K1732),Eingabe!$B$6&amp;"-"&amp;INDEX(Eingabe!$C$9:$C$18,I1732)&amp;"-Pächter  ·  Passwort Parzelle "&amp;J1732,IF(J1732=K1732+1,Eingabe!$B$6&amp;"-"&amp;INDEX(Eingabe!$C$9:$C$18,I1732)&amp;"-Vorstand  ·  eigenes WLAN",IF(J1732=K1732+2,Eingabe!$B$6&amp;"-"&amp;INDEX(Eingabe!$C$9:$C$18,I1732)&amp;"-Gäste  ·  Voucher",IF(J1732=K1732+3,"Kabel  ·  Access Point y = .(50+y), Mast-Switch x = .(10+x)","")))))</f>
        <v/>
      </c>
      <c r="I1732" s="0" t="str">
        <f aca="false">IF(1727&lt;=(Eingabe!$P$18+Eingabe!$Q$18-1),MATCH(1727,Eingabe!$P$9:$P$18,1),"")</f>
        <v/>
      </c>
      <c r="J1732" s="0" t="str">
        <f aca="false">IF(I1732="","",1727-INDEX(Eingabe!$P$9:$P$18,I1732))</f>
        <v/>
      </c>
      <c r="K1732" s="0" t="str">
        <f aca="false">IF(I1732="","",INDEX(Eingabe!$E$9:$E$18,I1732))</f>
        <v/>
      </c>
    </row>
    <row r="1733" customFormat="false" ht="15" hidden="false" customHeight="false" outlineLevel="0" collapsed="false">
      <c r="A1733" s="0" t="str">
        <f aca="false">IF(I1733="","",IF(J1733=0,"Sparte "&amp;I1733&amp;": "&amp;INDEX(Eingabe!$B$9:$B$18,I1733)&amp;"  (Sparten-ID "&amp;INDEX(Eingabe!$D$9:$D$18,I1733)&amp;", "&amp;K1733&amp;" Parzellen)",IF(J1733&lt;=K1733,"   Parzelle "&amp;J1733,IF(J1733=K1733+1,"   Vorstand",IF(J1733=K1733+2,"   Gäste",IF(J1733=K1733+3,"   Technik (Switches, Access Points)",""))))))</f>
        <v/>
      </c>
      <c r="B1733" s="0" t="str">
        <f aca="false">IF(I1733="","",IF(AND(J1733&gt;=1,J1733&lt;=K1733+3),IF(J1733&lt;=K1733,IF(J1733&lt;=99,IF((INDEX(Eingabe!$G$9:$G$18,I1733))&lt;=9,1000+(INDEX(Eingabe!$G$9:$G$18,I1733))*100,3000)+J1733,IF((INDEX(Eingabe!$G$9:$G$18,I1733)+1)&lt;=9,1000+(INDEX(Eingabe!$G$9:$G$18,I1733)+1)*100,3000)+J1733-100),IF(J1733=K1733+1,2000+INDEX(Eingabe!$G$9:$G$18,I1733)*10+1,IF(J1733=K1733+2,2000+INDEX(Eingabe!$G$9:$G$18,I1733)*10+2,2000+INDEX(Eingabe!$G$9:$G$18,I1733)*10+9))),""))</f>
        <v/>
      </c>
      <c r="C1733" s="0" t="str">
        <f aca="false">IF(I1733="","",IF(AND(J1733&gt;=1,J1733&lt;=K1733+3),"10."&amp;INDEX(Eingabe!$D$9:$D$18,I1733)&amp;"."&amp;IF(J1733&lt;=K1733,J1733,IF(J1733=K1733+1,200,IF(J1733=K1733+2,201,250)))&amp;".0/24",""))</f>
        <v/>
      </c>
      <c r="D1733" s="0" t="str">
        <f aca="false">IF(I1733="","",IF(AND(J1733&gt;=1,J1733&lt;=K1733+3),"255.255.255.0",""))</f>
        <v/>
      </c>
      <c r="E1733" s="0" t="str">
        <f aca="false">IF(I1733="","",IF(AND(J1733&gt;=1,J1733&lt;=K1733+3),"10."&amp;INDEX(Eingabe!$D$9:$D$18,I1733)&amp;"."&amp;IF(J1733&lt;=K1733,J1733,IF(J1733=K1733+1,200,IF(J1733=K1733+2,201,250)))&amp;".1",""))</f>
        <v/>
      </c>
      <c r="F1733" s="0" t="str">
        <f aca="false">IF(I1733="","",IF(AND(J1733&gt;=1,J1733&lt;=K1733+3),"10."&amp;INDEX(Eingabe!$D$9:$D$18,I1733)&amp;"."&amp;IF(J1733&lt;=K1733,J1733,IF(J1733=K1733+1,200,IF(J1733=K1733+2,201,250)))&amp;".10 – 10."&amp;INDEX(Eingabe!$D$9:$D$18,I1733)&amp;"."&amp;IF(J1733&lt;=K1733,J1733,IF(J1733=K1733+1,200,IF(J1733=K1733+2,201,250)))&amp;".250",""))</f>
        <v/>
      </c>
      <c r="G1733" s="0" t="str">
        <f aca="false">IF(I1733="","",IF(AND(J1733&gt;=1,J1733&lt;=K1733),Eingabe!$B$6&amp;"-"&amp;INDEX(Eingabe!$C$9:$C$18,I1733)&amp;"-Pächter  ·  Passwort Parzelle "&amp;J1733,IF(J1733=K1733+1,Eingabe!$B$6&amp;"-"&amp;INDEX(Eingabe!$C$9:$C$18,I1733)&amp;"-Vorstand  ·  eigenes WLAN",IF(J1733=K1733+2,Eingabe!$B$6&amp;"-"&amp;INDEX(Eingabe!$C$9:$C$18,I1733)&amp;"-Gäste  ·  Voucher",IF(J1733=K1733+3,"Kabel  ·  Access Point y = .(50+y), Mast-Switch x = .(10+x)","")))))</f>
        <v/>
      </c>
      <c r="I1733" s="0" t="str">
        <f aca="false">IF(1728&lt;=(Eingabe!$P$18+Eingabe!$Q$18-1),MATCH(1728,Eingabe!$P$9:$P$18,1),"")</f>
        <v/>
      </c>
      <c r="J1733" s="0" t="str">
        <f aca="false">IF(I1733="","",1728-INDEX(Eingabe!$P$9:$P$18,I1733))</f>
        <v/>
      </c>
      <c r="K1733" s="0" t="str">
        <f aca="false">IF(I1733="","",INDEX(Eingabe!$E$9:$E$18,I1733))</f>
        <v/>
      </c>
    </row>
    <row r="1734" customFormat="false" ht="15" hidden="false" customHeight="false" outlineLevel="0" collapsed="false">
      <c r="A1734" s="0" t="str">
        <f aca="false">IF(I1734="","",IF(J1734=0,"Sparte "&amp;I1734&amp;": "&amp;INDEX(Eingabe!$B$9:$B$18,I1734)&amp;"  (Sparten-ID "&amp;INDEX(Eingabe!$D$9:$D$18,I1734)&amp;", "&amp;K1734&amp;" Parzellen)",IF(J1734&lt;=K1734,"   Parzelle "&amp;J1734,IF(J1734=K1734+1,"   Vorstand",IF(J1734=K1734+2,"   Gäste",IF(J1734=K1734+3,"   Technik (Switches, Access Points)",""))))))</f>
        <v/>
      </c>
      <c r="B1734" s="0" t="str">
        <f aca="false">IF(I1734="","",IF(AND(J1734&gt;=1,J1734&lt;=K1734+3),IF(J1734&lt;=K1734,IF(J1734&lt;=99,IF((INDEX(Eingabe!$G$9:$G$18,I1734))&lt;=9,1000+(INDEX(Eingabe!$G$9:$G$18,I1734))*100,3000)+J1734,IF((INDEX(Eingabe!$G$9:$G$18,I1734)+1)&lt;=9,1000+(INDEX(Eingabe!$G$9:$G$18,I1734)+1)*100,3000)+J1734-100),IF(J1734=K1734+1,2000+INDEX(Eingabe!$G$9:$G$18,I1734)*10+1,IF(J1734=K1734+2,2000+INDEX(Eingabe!$G$9:$G$18,I1734)*10+2,2000+INDEX(Eingabe!$G$9:$G$18,I1734)*10+9))),""))</f>
        <v/>
      </c>
      <c r="C1734" s="0" t="str">
        <f aca="false">IF(I1734="","",IF(AND(J1734&gt;=1,J1734&lt;=K1734+3),"10."&amp;INDEX(Eingabe!$D$9:$D$18,I1734)&amp;"."&amp;IF(J1734&lt;=K1734,J1734,IF(J1734=K1734+1,200,IF(J1734=K1734+2,201,250)))&amp;".0/24",""))</f>
        <v/>
      </c>
      <c r="D1734" s="0" t="str">
        <f aca="false">IF(I1734="","",IF(AND(J1734&gt;=1,J1734&lt;=K1734+3),"255.255.255.0",""))</f>
        <v/>
      </c>
      <c r="E1734" s="0" t="str">
        <f aca="false">IF(I1734="","",IF(AND(J1734&gt;=1,J1734&lt;=K1734+3),"10."&amp;INDEX(Eingabe!$D$9:$D$18,I1734)&amp;"."&amp;IF(J1734&lt;=K1734,J1734,IF(J1734=K1734+1,200,IF(J1734=K1734+2,201,250)))&amp;".1",""))</f>
        <v/>
      </c>
      <c r="F1734" s="0" t="str">
        <f aca="false">IF(I1734="","",IF(AND(J1734&gt;=1,J1734&lt;=K1734+3),"10."&amp;INDEX(Eingabe!$D$9:$D$18,I1734)&amp;"."&amp;IF(J1734&lt;=K1734,J1734,IF(J1734=K1734+1,200,IF(J1734=K1734+2,201,250)))&amp;".10 – 10."&amp;INDEX(Eingabe!$D$9:$D$18,I1734)&amp;"."&amp;IF(J1734&lt;=K1734,J1734,IF(J1734=K1734+1,200,IF(J1734=K1734+2,201,250)))&amp;".250",""))</f>
        <v/>
      </c>
      <c r="G1734" s="0" t="str">
        <f aca="false">IF(I1734="","",IF(AND(J1734&gt;=1,J1734&lt;=K1734),Eingabe!$B$6&amp;"-"&amp;INDEX(Eingabe!$C$9:$C$18,I1734)&amp;"-Pächter  ·  Passwort Parzelle "&amp;J1734,IF(J1734=K1734+1,Eingabe!$B$6&amp;"-"&amp;INDEX(Eingabe!$C$9:$C$18,I1734)&amp;"-Vorstand  ·  eigenes WLAN",IF(J1734=K1734+2,Eingabe!$B$6&amp;"-"&amp;INDEX(Eingabe!$C$9:$C$18,I1734)&amp;"-Gäste  ·  Voucher",IF(J1734=K1734+3,"Kabel  ·  Access Point y = .(50+y), Mast-Switch x = .(10+x)","")))))</f>
        <v/>
      </c>
      <c r="I1734" s="0" t="str">
        <f aca="false">IF(1729&lt;=(Eingabe!$P$18+Eingabe!$Q$18-1),MATCH(1729,Eingabe!$P$9:$P$18,1),"")</f>
        <v/>
      </c>
      <c r="J1734" s="0" t="str">
        <f aca="false">IF(I1734="","",1729-INDEX(Eingabe!$P$9:$P$18,I1734))</f>
        <v/>
      </c>
      <c r="K1734" s="0" t="str">
        <f aca="false">IF(I1734="","",INDEX(Eingabe!$E$9:$E$18,I1734))</f>
        <v/>
      </c>
    </row>
    <row r="1735" customFormat="false" ht="15" hidden="false" customHeight="false" outlineLevel="0" collapsed="false">
      <c r="A1735" s="0" t="str">
        <f aca="false">IF(I1735="","",IF(J1735=0,"Sparte "&amp;I1735&amp;": "&amp;INDEX(Eingabe!$B$9:$B$18,I1735)&amp;"  (Sparten-ID "&amp;INDEX(Eingabe!$D$9:$D$18,I1735)&amp;", "&amp;K1735&amp;" Parzellen)",IF(J1735&lt;=K1735,"   Parzelle "&amp;J1735,IF(J1735=K1735+1,"   Vorstand",IF(J1735=K1735+2,"   Gäste",IF(J1735=K1735+3,"   Technik (Switches, Access Points)",""))))))</f>
        <v/>
      </c>
      <c r="B1735" s="0" t="str">
        <f aca="false">IF(I1735="","",IF(AND(J1735&gt;=1,J1735&lt;=K1735+3),IF(J1735&lt;=K1735,IF(J1735&lt;=99,IF((INDEX(Eingabe!$G$9:$G$18,I1735))&lt;=9,1000+(INDEX(Eingabe!$G$9:$G$18,I1735))*100,3000)+J1735,IF((INDEX(Eingabe!$G$9:$G$18,I1735)+1)&lt;=9,1000+(INDEX(Eingabe!$G$9:$G$18,I1735)+1)*100,3000)+J1735-100),IF(J1735=K1735+1,2000+INDEX(Eingabe!$G$9:$G$18,I1735)*10+1,IF(J1735=K1735+2,2000+INDEX(Eingabe!$G$9:$G$18,I1735)*10+2,2000+INDEX(Eingabe!$G$9:$G$18,I1735)*10+9))),""))</f>
        <v/>
      </c>
      <c r="C1735" s="0" t="str">
        <f aca="false">IF(I1735="","",IF(AND(J1735&gt;=1,J1735&lt;=K1735+3),"10."&amp;INDEX(Eingabe!$D$9:$D$18,I1735)&amp;"."&amp;IF(J1735&lt;=K1735,J1735,IF(J1735=K1735+1,200,IF(J1735=K1735+2,201,250)))&amp;".0/24",""))</f>
        <v/>
      </c>
      <c r="D1735" s="0" t="str">
        <f aca="false">IF(I1735="","",IF(AND(J1735&gt;=1,J1735&lt;=K1735+3),"255.255.255.0",""))</f>
        <v/>
      </c>
      <c r="E1735" s="0" t="str">
        <f aca="false">IF(I1735="","",IF(AND(J1735&gt;=1,J1735&lt;=K1735+3),"10."&amp;INDEX(Eingabe!$D$9:$D$18,I1735)&amp;"."&amp;IF(J1735&lt;=K1735,J1735,IF(J1735=K1735+1,200,IF(J1735=K1735+2,201,250)))&amp;".1",""))</f>
        <v/>
      </c>
      <c r="F1735" s="0" t="str">
        <f aca="false">IF(I1735="","",IF(AND(J1735&gt;=1,J1735&lt;=K1735+3),"10."&amp;INDEX(Eingabe!$D$9:$D$18,I1735)&amp;"."&amp;IF(J1735&lt;=K1735,J1735,IF(J1735=K1735+1,200,IF(J1735=K1735+2,201,250)))&amp;".10 – 10."&amp;INDEX(Eingabe!$D$9:$D$18,I1735)&amp;"."&amp;IF(J1735&lt;=K1735,J1735,IF(J1735=K1735+1,200,IF(J1735=K1735+2,201,250)))&amp;".250",""))</f>
        <v/>
      </c>
      <c r="G1735" s="0" t="str">
        <f aca="false">IF(I1735="","",IF(AND(J1735&gt;=1,J1735&lt;=K1735),Eingabe!$B$6&amp;"-"&amp;INDEX(Eingabe!$C$9:$C$18,I1735)&amp;"-Pächter  ·  Passwort Parzelle "&amp;J1735,IF(J1735=K1735+1,Eingabe!$B$6&amp;"-"&amp;INDEX(Eingabe!$C$9:$C$18,I1735)&amp;"-Vorstand  ·  eigenes WLAN",IF(J1735=K1735+2,Eingabe!$B$6&amp;"-"&amp;INDEX(Eingabe!$C$9:$C$18,I1735)&amp;"-Gäste  ·  Voucher",IF(J1735=K1735+3,"Kabel  ·  Access Point y = .(50+y), Mast-Switch x = .(10+x)","")))))</f>
        <v/>
      </c>
      <c r="I1735" s="0" t="str">
        <f aca="false">IF(1730&lt;=(Eingabe!$P$18+Eingabe!$Q$18-1),MATCH(1730,Eingabe!$P$9:$P$18,1),"")</f>
        <v/>
      </c>
      <c r="J1735" s="0" t="str">
        <f aca="false">IF(I1735="","",1730-INDEX(Eingabe!$P$9:$P$18,I1735))</f>
        <v/>
      </c>
      <c r="K1735" s="0" t="str">
        <f aca="false">IF(I1735="","",INDEX(Eingabe!$E$9:$E$18,I1735))</f>
        <v/>
      </c>
    </row>
    <row r="1736" customFormat="false" ht="15" hidden="false" customHeight="false" outlineLevel="0" collapsed="false">
      <c r="A1736" s="0" t="str">
        <f aca="false">IF(I1736="","",IF(J1736=0,"Sparte "&amp;I1736&amp;": "&amp;INDEX(Eingabe!$B$9:$B$18,I1736)&amp;"  (Sparten-ID "&amp;INDEX(Eingabe!$D$9:$D$18,I1736)&amp;", "&amp;K1736&amp;" Parzellen)",IF(J1736&lt;=K1736,"   Parzelle "&amp;J1736,IF(J1736=K1736+1,"   Vorstand",IF(J1736=K1736+2,"   Gäste",IF(J1736=K1736+3,"   Technik (Switches, Access Points)",""))))))</f>
        <v/>
      </c>
      <c r="B1736" s="0" t="str">
        <f aca="false">IF(I1736="","",IF(AND(J1736&gt;=1,J1736&lt;=K1736+3),IF(J1736&lt;=K1736,IF(J1736&lt;=99,IF((INDEX(Eingabe!$G$9:$G$18,I1736))&lt;=9,1000+(INDEX(Eingabe!$G$9:$G$18,I1736))*100,3000)+J1736,IF((INDEX(Eingabe!$G$9:$G$18,I1736)+1)&lt;=9,1000+(INDEX(Eingabe!$G$9:$G$18,I1736)+1)*100,3000)+J1736-100),IF(J1736=K1736+1,2000+INDEX(Eingabe!$G$9:$G$18,I1736)*10+1,IF(J1736=K1736+2,2000+INDEX(Eingabe!$G$9:$G$18,I1736)*10+2,2000+INDEX(Eingabe!$G$9:$G$18,I1736)*10+9))),""))</f>
        <v/>
      </c>
      <c r="C1736" s="0" t="str">
        <f aca="false">IF(I1736="","",IF(AND(J1736&gt;=1,J1736&lt;=K1736+3),"10."&amp;INDEX(Eingabe!$D$9:$D$18,I1736)&amp;"."&amp;IF(J1736&lt;=K1736,J1736,IF(J1736=K1736+1,200,IF(J1736=K1736+2,201,250)))&amp;".0/24",""))</f>
        <v/>
      </c>
      <c r="D1736" s="0" t="str">
        <f aca="false">IF(I1736="","",IF(AND(J1736&gt;=1,J1736&lt;=K1736+3),"255.255.255.0",""))</f>
        <v/>
      </c>
      <c r="E1736" s="0" t="str">
        <f aca="false">IF(I1736="","",IF(AND(J1736&gt;=1,J1736&lt;=K1736+3),"10."&amp;INDEX(Eingabe!$D$9:$D$18,I1736)&amp;"."&amp;IF(J1736&lt;=K1736,J1736,IF(J1736=K1736+1,200,IF(J1736=K1736+2,201,250)))&amp;".1",""))</f>
        <v/>
      </c>
      <c r="F1736" s="0" t="str">
        <f aca="false">IF(I1736="","",IF(AND(J1736&gt;=1,J1736&lt;=K1736+3),"10."&amp;INDEX(Eingabe!$D$9:$D$18,I1736)&amp;"."&amp;IF(J1736&lt;=K1736,J1736,IF(J1736=K1736+1,200,IF(J1736=K1736+2,201,250)))&amp;".10 – 10."&amp;INDEX(Eingabe!$D$9:$D$18,I1736)&amp;"."&amp;IF(J1736&lt;=K1736,J1736,IF(J1736=K1736+1,200,IF(J1736=K1736+2,201,250)))&amp;".250",""))</f>
        <v/>
      </c>
      <c r="G1736" s="0" t="str">
        <f aca="false">IF(I1736="","",IF(AND(J1736&gt;=1,J1736&lt;=K1736),Eingabe!$B$6&amp;"-"&amp;INDEX(Eingabe!$C$9:$C$18,I1736)&amp;"-Pächter  ·  Passwort Parzelle "&amp;J1736,IF(J1736=K1736+1,Eingabe!$B$6&amp;"-"&amp;INDEX(Eingabe!$C$9:$C$18,I1736)&amp;"-Vorstand  ·  eigenes WLAN",IF(J1736=K1736+2,Eingabe!$B$6&amp;"-"&amp;INDEX(Eingabe!$C$9:$C$18,I1736)&amp;"-Gäste  ·  Voucher",IF(J1736=K1736+3,"Kabel  ·  Access Point y = .(50+y), Mast-Switch x = .(10+x)","")))))</f>
        <v/>
      </c>
      <c r="I1736" s="0" t="str">
        <f aca="false">IF(1731&lt;=(Eingabe!$P$18+Eingabe!$Q$18-1),MATCH(1731,Eingabe!$P$9:$P$18,1),"")</f>
        <v/>
      </c>
      <c r="J1736" s="0" t="str">
        <f aca="false">IF(I1736="","",1731-INDEX(Eingabe!$P$9:$P$18,I1736))</f>
        <v/>
      </c>
      <c r="K1736" s="0" t="str">
        <f aca="false">IF(I1736="","",INDEX(Eingabe!$E$9:$E$18,I1736))</f>
        <v/>
      </c>
    </row>
    <row r="1737" customFormat="false" ht="15" hidden="false" customHeight="false" outlineLevel="0" collapsed="false">
      <c r="A1737" s="0" t="str">
        <f aca="false">IF(I1737="","",IF(J1737=0,"Sparte "&amp;I1737&amp;": "&amp;INDEX(Eingabe!$B$9:$B$18,I1737)&amp;"  (Sparten-ID "&amp;INDEX(Eingabe!$D$9:$D$18,I1737)&amp;", "&amp;K1737&amp;" Parzellen)",IF(J1737&lt;=K1737,"   Parzelle "&amp;J1737,IF(J1737=K1737+1,"   Vorstand",IF(J1737=K1737+2,"   Gäste",IF(J1737=K1737+3,"   Technik (Switches, Access Points)",""))))))</f>
        <v/>
      </c>
      <c r="B1737" s="0" t="str">
        <f aca="false">IF(I1737="","",IF(AND(J1737&gt;=1,J1737&lt;=K1737+3),IF(J1737&lt;=K1737,IF(J1737&lt;=99,IF((INDEX(Eingabe!$G$9:$G$18,I1737))&lt;=9,1000+(INDEX(Eingabe!$G$9:$G$18,I1737))*100,3000)+J1737,IF((INDEX(Eingabe!$G$9:$G$18,I1737)+1)&lt;=9,1000+(INDEX(Eingabe!$G$9:$G$18,I1737)+1)*100,3000)+J1737-100),IF(J1737=K1737+1,2000+INDEX(Eingabe!$G$9:$G$18,I1737)*10+1,IF(J1737=K1737+2,2000+INDEX(Eingabe!$G$9:$G$18,I1737)*10+2,2000+INDEX(Eingabe!$G$9:$G$18,I1737)*10+9))),""))</f>
        <v/>
      </c>
      <c r="C1737" s="0" t="str">
        <f aca="false">IF(I1737="","",IF(AND(J1737&gt;=1,J1737&lt;=K1737+3),"10."&amp;INDEX(Eingabe!$D$9:$D$18,I1737)&amp;"."&amp;IF(J1737&lt;=K1737,J1737,IF(J1737=K1737+1,200,IF(J1737=K1737+2,201,250)))&amp;".0/24",""))</f>
        <v/>
      </c>
      <c r="D1737" s="0" t="str">
        <f aca="false">IF(I1737="","",IF(AND(J1737&gt;=1,J1737&lt;=K1737+3),"255.255.255.0",""))</f>
        <v/>
      </c>
      <c r="E1737" s="0" t="str">
        <f aca="false">IF(I1737="","",IF(AND(J1737&gt;=1,J1737&lt;=K1737+3),"10."&amp;INDEX(Eingabe!$D$9:$D$18,I1737)&amp;"."&amp;IF(J1737&lt;=K1737,J1737,IF(J1737=K1737+1,200,IF(J1737=K1737+2,201,250)))&amp;".1",""))</f>
        <v/>
      </c>
      <c r="F1737" s="0" t="str">
        <f aca="false">IF(I1737="","",IF(AND(J1737&gt;=1,J1737&lt;=K1737+3),"10."&amp;INDEX(Eingabe!$D$9:$D$18,I1737)&amp;"."&amp;IF(J1737&lt;=K1737,J1737,IF(J1737=K1737+1,200,IF(J1737=K1737+2,201,250)))&amp;".10 – 10."&amp;INDEX(Eingabe!$D$9:$D$18,I1737)&amp;"."&amp;IF(J1737&lt;=K1737,J1737,IF(J1737=K1737+1,200,IF(J1737=K1737+2,201,250)))&amp;".250",""))</f>
        <v/>
      </c>
      <c r="G1737" s="0" t="str">
        <f aca="false">IF(I1737="","",IF(AND(J1737&gt;=1,J1737&lt;=K1737),Eingabe!$B$6&amp;"-"&amp;INDEX(Eingabe!$C$9:$C$18,I1737)&amp;"-Pächter  ·  Passwort Parzelle "&amp;J1737,IF(J1737=K1737+1,Eingabe!$B$6&amp;"-"&amp;INDEX(Eingabe!$C$9:$C$18,I1737)&amp;"-Vorstand  ·  eigenes WLAN",IF(J1737=K1737+2,Eingabe!$B$6&amp;"-"&amp;INDEX(Eingabe!$C$9:$C$18,I1737)&amp;"-Gäste  ·  Voucher",IF(J1737=K1737+3,"Kabel  ·  Access Point y = .(50+y), Mast-Switch x = .(10+x)","")))))</f>
        <v/>
      </c>
      <c r="I1737" s="0" t="str">
        <f aca="false">IF(1732&lt;=(Eingabe!$P$18+Eingabe!$Q$18-1),MATCH(1732,Eingabe!$P$9:$P$18,1),"")</f>
        <v/>
      </c>
      <c r="J1737" s="0" t="str">
        <f aca="false">IF(I1737="","",1732-INDEX(Eingabe!$P$9:$P$18,I1737))</f>
        <v/>
      </c>
      <c r="K1737" s="0" t="str">
        <f aca="false">IF(I1737="","",INDEX(Eingabe!$E$9:$E$18,I1737))</f>
        <v/>
      </c>
    </row>
    <row r="1738" customFormat="false" ht="15" hidden="false" customHeight="false" outlineLevel="0" collapsed="false">
      <c r="A1738" s="0" t="str">
        <f aca="false">IF(I1738="","",IF(J1738=0,"Sparte "&amp;I1738&amp;": "&amp;INDEX(Eingabe!$B$9:$B$18,I1738)&amp;"  (Sparten-ID "&amp;INDEX(Eingabe!$D$9:$D$18,I1738)&amp;", "&amp;K1738&amp;" Parzellen)",IF(J1738&lt;=K1738,"   Parzelle "&amp;J1738,IF(J1738=K1738+1,"   Vorstand",IF(J1738=K1738+2,"   Gäste",IF(J1738=K1738+3,"   Technik (Switches, Access Points)",""))))))</f>
        <v/>
      </c>
      <c r="B1738" s="0" t="str">
        <f aca="false">IF(I1738="","",IF(AND(J1738&gt;=1,J1738&lt;=K1738+3),IF(J1738&lt;=K1738,IF(J1738&lt;=99,IF((INDEX(Eingabe!$G$9:$G$18,I1738))&lt;=9,1000+(INDEX(Eingabe!$G$9:$G$18,I1738))*100,3000)+J1738,IF((INDEX(Eingabe!$G$9:$G$18,I1738)+1)&lt;=9,1000+(INDEX(Eingabe!$G$9:$G$18,I1738)+1)*100,3000)+J1738-100),IF(J1738=K1738+1,2000+INDEX(Eingabe!$G$9:$G$18,I1738)*10+1,IF(J1738=K1738+2,2000+INDEX(Eingabe!$G$9:$G$18,I1738)*10+2,2000+INDEX(Eingabe!$G$9:$G$18,I1738)*10+9))),""))</f>
        <v/>
      </c>
      <c r="C1738" s="0" t="str">
        <f aca="false">IF(I1738="","",IF(AND(J1738&gt;=1,J1738&lt;=K1738+3),"10."&amp;INDEX(Eingabe!$D$9:$D$18,I1738)&amp;"."&amp;IF(J1738&lt;=K1738,J1738,IF(J1738=K1738+1,200,IF(J1738=K1738+2,201,250)))&amp;".0/24",""))</f>
        <v/>
      </c>
      <c r="D1738" s="0" t="str">
        <f aca="false">IF(I1738="","",IF(AND(J1738&gt;=1,J1738&lt;=K1738+3),"255.255.255.0",""))</f>
        <v/>
      </c>
      <c r="E1738" s="0" t="str">
        <f aca="false">IF(I1738="","",IF(AND(J1738&gt;=1,J1738&lt;=K1738+3),"10."&amp;INDEX(Eingabe!$D$9:$D$18,I1738)&amp;"."&amp;IF(J1738&lt;=K1738,J1738,IF(J1738=K1738+1,200,IF(J1738=K1738+2,201,250)))&amp;".1",""))</f>
        <v/>
      </c>
      <c r="F1738" s="0" t="str">
        <f aca="false">IF(I1738="","",IF(AND(J1738&gt;=1,J1738&lt;=K1738+3),"10."&amp;INDEX(Eingabe!$D$9:$D$18,I1738)&amp;"."&amp;IF(J1738&lt;=K1738,J1738,IF(J1738=K1738+1,200,IF(J1738=K1738+2,201,250)))&amp;".10 – 10."&amp;INDEX(Eingabe!$D$9:$D$18,I1738)&amp;"."&amp;IF(J1738&lt;=K1738,J1738,IF(J1738=K1738+1,200,IF(J1738=K1738+2,201,250)))&amp;".250",""))</f>
        <v/>
      </c>
      <c r="G1738" s="0" t="str">
        <f aca="false">IF(I1738="","",IF(AND(J1738&gt;=1,J1738&lt;=K1738),Eingabe!$B$6&amp;"-"&amp;INDEX(Eingabe!$C$9:$C$18,I1738)&amp;"-Pächter  ·  Passwort Parzelle "&amp;J1738,IF(J1738=K1738+1,Eingabe!$B$6&amp;"-"&amp;INDEX(Eingabe!$C$9:$C$18,I1738)&amp;"-Vorstand  ·  eigenes WLAN",IF(J1738=K1738+2,Eingabe!$B$6&amp;"-"&amp;INDEX(Eingabe!$C$9:$C$18,I1738)&amp;"-Gäste  ·  Voucher",IF(J1738=K1738+3,"Kabel  ·  Access Point y = .(50+y), Mast-Switch x = .(10+x)","")))))</f>
        <v/>
      </c>
      <c r="I1738" s="0" t="str">
        <f aca="false">IF(1733&lt;=(Eingabe!$P$18+Eingabe!$Q$18-1),MATCH(1733,Eingabe!$P$9:$P$18,1),"")</f>
        <v/>
      </c>
      <c r="J1738" s="0" t="str">
        <f aca="false">IF(I1738="","",1733-INDEX(Eingabe!$P$9:$P$18,I1738))</f>
        <v/>
      </c>
      <c r="K1738" s="0" t="str">
        <f aca="false">IF(I1738="","",INDEX(Eingabe!$E$9:$E$18,I1738))</f>
        <v/>
      </c>
    </row>
    <row r="1739" customFormat="false" ht="15" hidden="false" customHeight="false" outlineLevel="0" collapsed="false">
      <c r="A1739" s="0" t="str">
        <f aca="false">IF(I1739="","",IF(J1739=0,"Sparte "&amp;I1739&amp;": "&amp;INDEX(Eingabe!$B$9:$B$18,I1739)&amp;"  (Sparten-ID "&amp;INDEX(Eingabe!$D$9:$D$18,I1739)&amp;", "&amp;K1739&amp;" Parzellen)",IF(J1739&lt;=K1739,"   Parzelle "&amp;J1739,IF(J1739=K1739+1,"   Vorstand",IF(J1739=K1739+2,"   Gäste",IF(J1739=K1739+3,"   Technik (Switches, Access Points)",""))))))</f>
        <v/>
      </c>
      <c r="B1739" s="0" t="str">
        <f aca="false">IF(I1739="","",IF(AND(J1739&gt;=1,J1739&lt;=K1739+3),IF(J1739&lt;=K1739,IF(J1739&lt;=99,IF((INDEX(Eingabe!$G$9:$G$18,I1739))&lt;=9,1000+(INDEX(Eingabe!$G$9:$G$18,I1739))*100,3000)+J1739,IF((INDEX(Eingabe!$G$9:$G$18,I1739)+1)&lt;=9,1000+(INDEX(Eingabe!$G$9:$G$18,I1739)+1)*100,3000)+J1739-100),IF(J1739=K1739+1,2000+INDEX(Eingabe!$G$9:$G$18,I1739)*10+1,IF(J1739=K1739+2,2000+INDEX(Eingabe!$G$9:$G$18,I1739)*10+2,2000+INDEX(Eingabe!$G$9:$G$18,I1739)*10+9))),""))</f>
        <v/>
      </c>
      <c r="C1739" s="0" t="str">
        <f aca="false">IF(I1739="","",IF(AND(J1739&gt;=1,J1739&lt;=K1739+3),"10."&amp;INDEX(Eingabe!$D$9:$D$18,I1739)&amp;"."&amp;IF(J1739&lt;=K1739,J1739,IF(J1739=K1739+1,200,IF(J1739=K1739+2,201,250)))&amp;".0/24",""))</f>
        <v/>
      </c>
      <c r="D1739" s="0" t="str">
        <f aca="false">IF(I1739="","",IF(AND(J1739&gt;=1,J1739&lt;=K1739+3),"255.255.255.0",""))</f>
        <v/>
      </c>
      <c r="E1739" s="0" t="str">
        <f aca="false">IF(I1739="","",IF(AND(J1739&gt;=1,J1739&lt;=K1739+3),"10."&amp;INDEX(Eingabe!$D$9:$D$18,I1739)&amp;"."&amp;IF(J1739&lt;=K1739,J1739,IF(J1739=K1739+1,200,IF(J1739=K1739+2,201,250)))&amp;".1",""))</f>
        <v/>
      </c>
      <c r="F1739" s="0" t="str">
        <f aca="false">IF(I1739="","",IF(AND(J1739&gt;=1,J1739&lt;=K1739+3),"10."&amp;INDEX(Eingabe!$D$9:$D$18,I1739)&amp;"."&amp;IF(J1739&lt;=K1739,J1739,IF(J1739=K1739+1,200,IF(J1739=K1739+2,201,250)))&amp;".10 – 10."&amp;INDEX(Eingabe!$D$9:$D$18,I1739)&amp;"."&amp;IF(J1739&lt;=K1739,J1739,IF(J1739=K1739+1,200,IF(J1739=K1739+2,201,250)))&amp;".250",""))</f>
        <v/>
      </c>
      <c r="G1739" s="0" t="str">
        <f aca="false">IF(I1739="","",IF(AND(J1739&gt;=1,J1739&lt;=K1739),Eingabe!$B$6&amp;"-"&amp;INDEX(Eingabe!$C$9:$C$18,I1739)&amp;"-Pächter  ·  Passwort Parzelle "&amp;J1739,IF(J1739=K1739+1,Eingabe!$B$6&amp;"-"&amp;INDEX(Eingabe!$C$9:$C$18,I1739)&amp;"-Vorstand  ·  eigenes WLAN",IF(J1739=K1739+2,Eingabe!$B$6&amp;"-"&amp;INDEX(Eingabe!$C$9:$C$18,I1739)&amp;"-Gäste  ·  Voucher",IF(J1739=K1739+3,"Kabel  ·  Access Point y = .(50+y), Mast-Switch x = .(10+x)","")))))</f>
        <v/>
      </c>
      <c r="I1739" s="0" t="str">
        <f aca="false">IF(1734&lt;=(Eingabe!$P$18+Eingabe!$Q$18-1),MATCH(1734,Eingabe!$P$9:$P$18,1),"")</f>
        <v/>
      </c>
      <c r="J1739" s="0" t="str">
        <f aca="false">IF(I1739="","",1734-INDEX(Eingabe!$P$9:$P$18,I1739))</f>
        <v/>
      </c>
      <c r="K1739" s="0" t="str">
        <f aca="false">IF(I1739="","",INDEX(Eingabe!$E$9:$E$18,I1739))</f>
        <v/>
      </c>
    </row>
    <row r="1740" customFormat="false" ht="15" hidden="false" customHeight="false" outlineLevel="0" collapsed="false">
      <c r="A1740" s="0" t="str">
        <f aca="false">IF(I1740="","",IF(J1740=0,"Sparte "&amp;I1740&amp;": "&amp;INDEX(Eingabe!$B$9:$B$18,I1740)&amp;"  (Sparten-ID "&amp;INDEX(Eingabe!$D$9:$D$18,I1740)&amp;", "&amp;K1740&amp;" Parzellen)",IF(J1740&lt;=K1740,"   Parzelle "&amp;J1740,IF(J1740=K1740+1,"   Vorstand",IF(J1740=K1740+2,"   Gäste",IF(J1740=K1740+3,"   Technik (Switches, Access Points)",""))))))</f>
        <v/>
      </c>
      <c r="B1740" s="0" t="str">
        <f aca="false">IF(I1740="","",IF(AND(J1740&gt;=1,J1740&lt;=K1740+3),IF(J1740&lt;=K1740,IF(J1740&lt;=99,IF((INDEX(Eingabe!$G$9:$G$18,I1740))&lt;=9,1000+(INDEX(Eingabe!$G$9:$G$18,I1740))*100,3000)+J1740,IF((INDEX(Eingabe!$G$9:$G$18,I1740)+1)&lt;=9,1000+(INDEX(Eingabe!$G$9:$G$18,I1740)+1)*100,3000)+J1740-100),IF(J1740=K1740+1,2000+INDEX(Eingabe!$G$9:$G$18,I1740)*10+1,IF(J1740=K1740+2,2000+INDEX(Eingabe!$G$9:$G$18,I1740)*10+2,2000+INDEX(Eingabe!$G$9:$G$18,I1740)*10+9))),""))</f>
        <v/>
      </c>
      <c r="C1740" s="0" t="str">
        <f aca="false">IF(I1740="","",IF(AND(J1740&gt;=1,J1740&lt;=K1740+3),"10."&amp;INDEX(Eingabe!$D$9:$D$18,I1740)&amp;"."&amp;IF(J1740&lt;=K1740,J1740,IF(J1740=K1740+1,200,IF(J1740=K1740+2,201,250)))&amp;".0/24",""))</f>
        <v/>
      </c>
      <c r="D1740" s="0" t="str">
        <f aca="false">IF(I1740="","",IF(AND(J1740&gt;=1,J1740&lt;=K1740+3),"255.255.255.0",""))</f>
        <v/>
      </c>
      <c r="E1740" s="0" t="str">
        <f aca="false">IF(I1740="","",IF(AND(J1740&gt;=1,J1740&lt;=K1740+3),"10."&amp;INDEX(Eingabe!$D$9:$D$18,I1740)&amp;"."&amp;IF(J1740&lt;=K1740,J1740,IF(J1740=K1740+1,200,IF(J1740=K1740+2,201,250)))&amp;".1",""))</f>
        <v/>
      </c>
      <c r="F1740" s="0" t="str">
        <f aca="false">IF(I1740="","",IF(AND(J1740&gt;=1,J1740&lt;=K1740+3),"10."&amp;INDEX(Eingabe!$D$9:$D$18,I1740)&amp;"."&amp;IF(J1740&lt;=K1740,J1740,IF(J1740=K1740+1,200,IF(J1740=K1740+2,201,250)))&amp;".10 – 10."&amp;INDEX(Eingabe!$D$9:$D$18,I1740)&amp;"."&amp;IF(J1740&lt;=K1740,J1740,IF(J1740=K1740+1,200,IF(J1740=K1740+2,201,250)))&amp;".250",""))</f>
        <v/>
      </c>
      <c r="G1740" s="0" t="str">
        <f aca="false">IF(I1740="","",IF(AND(J1740&gt;=1,J1740&lt;=K1740),Eingabe!$B$6&amp;"-"&amp;INDEX(Eingabe!$C$9:$C$18,I1740)&amp;"-Pächter  ·  Passwort Parzelle "&amp;J1740,IF(J1740=K1740+1,Eingabe!$B$6&amp;"-"&amp;INDEX(Eingabe!$C$9:$C$18,I1740)&amp;"-Vorstand  ·  eigenes WLAN",IF(J1740=K1740+2,Eingabe!$B$6&amp;"-"&amp;INDEX(Eingabe!$C$9:$C$18,I1740)&amp;"-Gäste  ·  Voucher",IF(J1740=K1740+3,"Kabel  ·  Access Point y = .(50+y), Mast-Switch x = .(10+x)","")))))</f>
        <v/>
      </c>
      <c r="I1740" s="0" t="str">
        <f aca="false">IF(1735&lt;=(Eingabe!$P$18+Eingabe!$Q$18-1),MATCH(1735,Eingabe!$P$9:$P$18,1),"")</f>
        <v/>
      </c>
      <c r="J1740" s="0" t="str">
        <f aca="false">IF(I1740="","",1735-INDEX(Eingabe!$P$9:$P$18,I1740))</f>
        <v/>
      </c>
      <c r="K1740" s="0" t="str">
        <f aca="false">IF(I1740="","",INDEX(Eingabe!$E$9:$E$18,I1740))</f>
        <v/>
      </c>
    </row>
    <row r="1741" customFormat="false" ht="15" hidden="false" customHeight="false" outlineLevel="0" collapsed="false">
      <c r="A1741" s="0" t="str">
        <f aca="false">IF(I1741="","",IF(J1741=0,"Sparte "&amp;I1741&amp;": "&amp;INDEX(Eingabe!$B$9:$B$18,I1741)&amp;"  (Sparten-ID "&amp;INDEX(Eingabe!$D$9:$D$18,I1741)&amp;", "&amp;K1741&amp;" Parzellen)",IF(J1741&lt;=K1741,"   Parzelle "&amp;J1741,IF(J1741=K1741+1,"   Vorstand",IF(J1741=K1741+2,"   Gäste",IF(J1741=K1741+3,"   Technik (Switches, Access Points)",""))))))</f>
        <v/>
      </c>
      <c r="B1741" s="0" t="str">
        <f aca="false">IF(I1741="","",IF(AND(J1741&gt;=1,J1741&lt;=K1741+3),IF(J1741&lt;=K1741,IF(J1741&lt;=99,IF((INDEX(Eingabe!$G$9:$G$18,I1741))&lt;=9,1000+(INDEX(Eingabe!$G$9:$G$18,I1741))*100,3000)+J1741,IF((INDEX(Eingabe!$G$9:$G$18,I1741)+1)&lt;=9,1000+(INDEX(Eingabe!$G$9:$G$18,I1741)+1)*100,3000)+J1741-100),IF(J1741=K1741+1,2000+INDEX(Eingabe!$G$9:$G$18,I1741)*10+1,IF(J1741=K1741+2,2000+INDEX(Eingabe!$G$9:$G$18,I1741)*10+2,2000+INDEX(Eingabe!$G$9:$G$18,I1741)*10+9))),""))</f>
        <v/>
      </c>
      <c r="C1741" s="0" t="str">
        <f aca="false">IF(I1741="","",IF(AND(J1741&gt;=1,J1741&lt;=K1741+3),"10."&amp;INDEX(Eingabe!$D$9:$D$18,I1741)&amp;"."&amp;IF(J1741&lt;=K1741,J1741,IF(J1741=K1741+1,200,IF(J1741=K1741+2,201,250)))&amp;".0/24",""))</f>
        <v/>
      </c>
      <c r="D1741" s="0" t="str">
        <f aca="false">IF(I1741="","",IF(AND(J1741&gt;=1,J1741&lt;=K1741+3),"255.255.255.0",""))</f>
        <v/>
      </c>
      <c r="E1741" s="0" t="str">
        <f aca="false">IF(I1741="","",IF(AND(J1741&gt;=1,J1741&lt;=K1741+3),"10."&amp;INDEX(Eingabe!$D$9:$D$18,I1741)&amp;"."&amp;IF(J1741&lt;=K1741,J1741,IF(J1741=K1741+1,200,IF(J1741=K1741+2,201,250)))&amp;".1",""))</f>
        <v/>
      </c>
      <c r="F1741" s="0" t="str">
        <f aca="false">IF(I1741="","",IF(AND(J1741&gt;=1,J1741&lt;=K1741+3),"10."&amp;INDEX(Eingabe!$D$9:$D$18,I1741)&amp;"."&amp;IF(J1741&lt;=K1741,J1741,IF(J1741=K1741+1,200,IF(J1741=K1741+2,201,250)))&amp;".10 – 10."&amp;INDEX(Eingabe!$D$9:$D$18,I1741)&amp;"."&amp;IF(J1741&lt;=K1741,J1741,IF(J1741=K1741+1,200,IF(J1741=K1741+2,201,250)))&amp;".250",""))</f>
        <v/>
      </c>
      <c r="G1741" s="0" t="str">
        <f aca="false">IF(I1741="","",IF(AND(J1741&gt;=1,J1741&lt;=K1741),Eingabe!$B$6&amp;"-"&amp;INDEX(Eingabe!$C$9:$C$18,I1741)&amp;"-Pächter  ·  Passwort Parzelle "&amp;J1741,IF(J1741=K1741+1,Eingabe!$B$6&amp;"-"&amp;INDEX(Eingabe!$C$9:$C$18,I1741)&amp;"-Vorstand  ·  eigenes WLAN",IF(J1741=K1741+2,Eingabe!$B$6&amp;"-"&amp;INDEX(Eingabe!$C$9:$C$18,I1741)&amp;"-Gäste  ·  Voucher",IF(J1741=K1741+3,"Kabel  ·  Access Point y = .(50+y), Mast-Switch x = .(10+x)","")))))</f>
        <v/>
      </c>
      <c r="I1741" s="0" t="str">
        <f aca="false">IF(1736&lt;=(Eingabe!$P$18+Eingabe!$Q$18-1),MATCH(1736,Eingabe!$P$9:$P$18,1),"")</f>
        <v/>
      </c>
      <c r="J1741" s="0" t="str">
        <f aca="false">IF(I1741="","",1736-INDEX(Eingabe!$P$9:$P$18,I1741))</f>
        <v/>
      </c>
      <c r="K1741" s="0" t="str">
        <f aca="false">IF(I1741="","",INDEX(Eingabe!$E$9:$E$18,I1741))</f>
        <v/>
      </c>
    </row>
    <row r="1742" customFormat="false" ht="15" hidden="false" customHeight="false" outlineLevel="0" collapsed="false">
      <c r="A1742" s="0" t="str">
        <f aca="false">IF(I1742="","",IF(J1742=0,"Sparte "&amp;I1742&amp;": "&amp;INDEX(Eingabe!$B$9:$B$18,I1742)&amp;"  (Sparten-ID "&amp;INDEX(Eingabe!$D$9:$D$18,I1742)&amp;", "&amp;K1742&amp;" Parzellen)",IF(J1742&lt;=K1742,"   Parzelle "&amp;J1742,IF(J1742=K1742+1,"   Vorstand",IF(J1742=K1742+2,"   Gäste",IF(J1742=K1742+3,"   Technik (Switches, Access Points)",""))))))</f>
        <v/>
      </c>
      <c r="B1742" s="0" t="str">
        <f aca="false">IF(I1742="","",IF(AND(J1742&gt;=1,J1742&lt;=K1742+3),IF(J1742&lt;=K1742,IF(J1742&lt;=99,IF((INDEX(Eingabe!$G$9:$G$18,I1742))&lt;=9,1000+(INDEX(Eingabe!$G$9:$G$18,I1742))*100,3000)+J1742,IF((INDEX(Eingabe!$G$9:$G$18,I1742)+1)&lt;=9,1000+(INDEX(Eingabe!$G$9:$G$18,I1742)+1)*100,3000)+J1742-100),IF(J1742=K1742+1,2000+INDEX(Eingabe!$G$9:$G$18,I1742)*10+1,IF(J1742=K1742+2,2000+INDEX(Eingabe!$G$9:$G$18,I1742)*10+2,2000+INDEX(Eingabe!$G$9:$G$18,I1742)*10+9))),""))</f>
        <v/>
      </c>
      <c r="C1742" s="0" t="str">
        <f aca="false">IF(I1742="","",IF(AND(J1742&gt;=1,J1742&lt;=K1742+3),"10."&amp;INDEX(Eingabe!$D$9:$D$18,I1742)&amp;"."&amp;IF(J1742&lt;=K1742,J1742,IF(J1742=K1742+1,200,IF(J1742=K1742+2,201,250)))&amp;".0/24",""))</f>
        <v/>
      </c>
      <c r="D1742" s="0" t="str">
        <f aca="false">IF(I1742="","",IF(AND(J1742&gt;=1,J1742&lt;=K1742+3),"255.255.255.0",""))</f>
        <v/>
      </c>
      <c r="E1742" s="0" t="str">
        <f aca="false">IF(I1742="","",IF(AND(J1742&gt;=1,J1742&lt;=K1742+3),"10."&amp;INDEX(Eingabe!$D$9:$D$18,I1742)&amp;"."&amp;IF(J1742&lt;=K1742,J1742,IF(J1742=K1742+1,200,IF(J1742=K1742+2,201,250)))&amp;".1",""))</f>
        <v/>
      </c>
      <c r="F1742" s="0" t="str">
        <f aca="false">IF(I1742="","",IF(AND(J1742&gt;=1,J1742&lt;=K1742+3),"10."&amp;INDEX(Eingabe!$D$9:$D$18,I1742)&amp;"."&amp;IF(J1742&lt;=K1742,J1742,IF(J1742=K1742+1,200,IF(J1742=K1742+2,201,250)))&amp;".10 – 10."&amp;INDEX(Eingabe!$D$9:$D$18,I1742)&amp;"."&amp;IF(J1742&lt;=K1742,J1742,IF(J1742=K1742+1,200,IF(J1742=K1742+2,201,250)))&amp;".250",""))</f>
        <v/>
      </c>
      <c r="G1742" s="0" t="str">
        <f aca="false">IF(I1742="","",IF(AND(J1742&gt;=1,J1742&lt;=K1742),Eingabe!$B$6&amp;"-"&amp;INDEX(Eingabe!$C$9:$C$18,I1742)&amp;"-Pächter  ·  Passwort Parzelle "&amp;J1742,IF(J1742=K1742+1,Eingabe!$B$6&amp;"-"&amp;INDEX(Eingabe!$C$9:$C$18,I1742)&amp;"-Vorstand  ·  eigenes WLAN",IF(J1742=K1742+2,Eingabe!$B$6&amp;"-"&amp;INDEX(Eingabe!$C$9:$C$18,I1742)&amp;"-Gäste  ·  Voucher",IF(J1742=K1742+3,"Kabel  ·  Access Point y = .(50+y), Mast-Switch x = .(10+x)","")))))</f>
        <v/>
      </c>
      <c r="I1742" s="0" t="str">
        <f aca="false">IF(1737&lt;=(Eingabe!$P$18+Eingabe!$Q$18-1),MATCH(1737,Eingabe!$P$9:$P$18,1),"")</f>
        <v/>
      </c>
      <c r="J1742" s="0" t="str">
        <f aca="false">IF(I1742="","",1737-INDEX(Eingabe!$P$9:$P$18,I1742))</f>
        <v/>
      </c>
      <c r="K1742" s="0" t="str">
        <f aca="false">IF(I1742="","",INDEX(Eingabe!$E$9:$E$18,I1742))</f>
        <v/>
      </c>
    </row>
    <row r="1743" customFormat="false" ht="15" hidden="false" customHeight="false" outlineLevel="0" collapsed="false">
      <c r="A1743" s="0" t="str">
        <f aca="false">IF(I1743="","",IF(J1743=0,"Sparte "&amp;I1743&amp;": "&amp;INDEX(Eingabe!$B$9:$B$18,I1743)&amp;"  (Sparten-ID "&amp;INDEX(Eingabe!$D$9:$D$18,I1743)&amp;", "&amp;K1743&amp;" Parzellen)",IF(J1743&lt;=K1743,"   Parzelle "&amp;J1743,IF(J1743=K1743+1,"   Vorstand",IF(J1743=K1743+2,"   Gäste",IF(J1743=K1743+3,"   Technik (Switches, Access Points)",""))))))</f>
        <v/>
      </c>
      <c r="B1743" s="0" t="str">
        <f aca="false">IF(I1743="","",IF(AND(J1743&gt;=1,J1743&lt;=K1743+3),IF(J1743&lt;=K1743,IF(J1743&lt;=99,IF((INDEX(Eingabe!$G$9:$G$18,I1743))&lt;=9,1000+(INDEX(Eingabe!$G$9:$G$18,I1743))*100,3000)+J1743,IF((INDEX(Eingabe!$G$9:$G$18,I1743)+1)&lt;=9,1000+(INDEX(Eingabe!$G$9:$G$18,I1743)+1)*100,3000)+J1743-100),IF(J1743=K1743+1,2000+INDEX(Eingabe!$G$9:$G$18,I1743)*10+1,IF(J1743=K1743+2,2000+INDEX(Eingabe!$G$9:$G$18,I1743)*10+2,2000+INDEX(Eingabe!$G$9:$G$18,I1743)*10+9))),""))</f>
        <v/>
      </c>
      <c r="C1743" s="0" t="str">
        <f aca="false">IF(I1743="","",IF(AND(J1743&gt;=1,J1743&lt;=K1743+3),"10."&amp;INDEX(Eingabe!$D$9:$D$18,I1743)&amp;"."&amp;IF(J1743&lt;=K1743,J1743,IF(J1743=K1743+1,200,IF(J1743=K1743+2,201,250)))&amp;".0/24",""))</f>
        <v/>
      </c>
      <c r="D1743" s="0" t="str">
        <f aca="false">IF(I1743="","",IF(AND(J1743&gt;=1,J1743&lt;=K1743+3),"255.255.255.0",""))</f>
        <v/>
      </c>
      <c r="E1743" s="0" t="str">
        <f aca="false">IF(I1743="","",IF(AND(J1743&gt;=1,J1743&lt;=K1743+3),"10."&amp;INDEX(Eingabe!$D$9:$D$18,I1743)&amp;"."&amp;IF(J1743&lt;=K1743,J1743,IF(J1743=K1743+1,200,IF(J1743=K1743+2,201,250)))&amp;".1",""))</f>
        <v/>
      </c>
      <c r="F1743" s="0" t="str">
        <f aca="false">IF(I1743="","",IF(AND(J1743&gt;=1,J1743&lt;=K1743+3),"10."&amp;INDEX(Eingabe!$D$9:$D$18,I1743)&amp;"."&amp;IF(J1743&lt;=K1743,J1743,IF(J1743=K1743+1,200,IF(J1743=K1743+2,201,250)))&amp;".10 – 10."&amp;INDEX(Eingabe!$D$9:$D$18,I1743)&amp;"."&amp;IF(J1743&lt;=K1743,J1743,IF(J1743=K1743+1,200,IF(J1743=K1743+2,201,250)))&amp;".250",""))</f>
        <v/>
      </c>
      <c r="G1743" s="0" t="str">
        <f aca="false">IF(I1743="","",IF(AND(J1743&gt;=1,J1743&lt;=K1743),Eingabe!$B$6&amp;"-"&amp;INDEX(Eingabe!$C$9:$C$18,I1743)&amp;"-Pächter  ·  Passwort Parzelle "&amp;J1743,IF(J1743=K1743+1,Eingabe!$B$6&amp;"-"&amp;INDEX(Eingabe!$C$9:$C$18,I1743)&amp;"-Vorstand  ·  eigenes WLAN",IF(J1743=K1743+2,Eingabe!$B$6&amp;"-"&amp;INDEX(Eingabe!$C$9:$C$18,I1743)&amp;"-Gäste  ·  Voucher",IF(J1743=K1743+3,"Kabel  ·  Access Point y = .(50+y), Mast-Switch x = .(10+x)","")))))</f>
        <v/>
      </c>
      <c r="I1743" s="0" t="str">
        <f aca="false">IF(1738&lt;=(Eingabe!$P$18+Eingabe!$Q$18-1),MATCH(1738,Eingabe!$P$9:$P$18,1),"")</f>
        <v/>
      </c>
      <c r="J1743" s="0" t="str">
        <f aca="false">IF(I1743="","",1738-INDEX(Eingabe!$P$9:$P$18,I1743))</f>
        <v/>
      </c>
      <c r="K1743" s="0" t="str">
        <f aca="false">IF(I1743="","",INDEX(Eingabe!$E$9:$E$18,I1743))</f>
        <v/>
      </c>
    </row>
    <row r="1744" customFormat="false" ht="15" hidden="false" customHeight="false" outlineLevel="0" collapsed="false">
      <c r="A1744" s="0" t="str">
        <f aca="false">IF(I1744="","",IF(J1744=0,"Sparte "&amp;I1744&amp;": "&amp;INDEX(Eingabe!$B$9:$B$18,I1744)&amp;"  (Sparten-ID "&amp;INDEX(Eingabe!$D$9:$D$18,I1744)&amp;", "&amp;K1744&amp;" Parzellen)",IF(J1744&lt;=K1744,"   Parzelle "&amp;J1744,IF(J1744=K1744+1,"   Vorstand",IF(J1744=K1744+2,"   Gäste",IF(J1744=K1744+3,"   Technik (Switches, Access Points)",""))))))</f>
        <v/>
      </c>
      <c r="B1744" s="0" t="str">
        <f aca="false">IF(I1744="","",IF(AND(J1744&gt;=1,J1744&lt;=K1744+3),IF(J1744&lt;=K1744,IF(J1744&lt;=99,IF((INDEX(Eingabe!$G$9:$G$18,I1744))&lt;=9,1000+(INDEX(Eingabe!$G$9:$G$18,I1744))*100,3000)+J1744,IF((INDEX(Eingabe!$G$9:$G$18,I1744)+1)&lt;=9,1000+(INDEX(Eingabe!$G$9:$G$18,I1744)+1)*100,3000)+J1744-100),IF(J1744=K1744+1,2000+INDEX(Eingabe!$G$9:$G$18,I1744)*10+1,IF(J1744=K1744+2,2000+INDEX(Eingabe!$G$9:$G$18,I1744)*10+2,2000+INDEX(Eingabe!$G$9:$G$18,I1744)*10+9))),""))</f>
        <v/>
      </c>
      <c r="C1744" s="0" t="str">
        <f aca="false">IF(I1744="","",IF(AND(J1744&gt;=1,J1744&lt;=K1744+3),"10."&amp;INDEX(Eingabe!$D$9:$D$18,I1744)&amp;"."&amp;IF(J1744&lt;=K1744,J1744,IF(J1744=K1744+1,200,IF(J1744=K1744+2,201,250)))&amp;".0/24",""))</f>
        <v/>
      </c>
      <c r="D1744" s="0" t="str">
        <f aca="false">IF(I1744="","",IF(AND(J1744&gt;=1,J1744&lt;=K1744+3),"255.255.255.0",""))</f>
        <v/>
      </c>
      <c r="E1744" s="0" t="str">
        <f aca="false">IF(I1744="","",IF(AND(J1744&gt;=1,J1744&lt;=K1744+3),"10."&amp;INDEX(Eingabe!$D$9:$D$18,I1744)&amp;"."&amp;IF(J1744&lt;=K1744,J1744,IF(J1744=K1744+1,200,IF(J1744=K1744+2,201,250)))&amp;".1",""))</f>
        <v/>
      </c>
      <c r="F1744" s="0" t="str">
        <f aca="false">IF(I1744="","",IF(AND(J1744&gt;=1,J1744&lt;=K1744+3),"10."&amp;INDEX(Eingabe!$D$9:$D$18,I1744)&amp;"."&amp;IF(J1744&lt;=K1744,J1744,IF(J1744=K1744+1,200,IF(J1744=K1744+2,201,250)))&amp;".10 – 10."&amp;INDEX(Eingabe!$D$9:$D$18,I1744)&amp;"."&amp;IF(J1744&lt;=K1744,J1744,IF(J1744=K1744+1,200,IF(J1744=K1744+2,201,250)))&amp;".250",""))</f>
        <v/>
      </c>
      <c r="G1744" s="0" t="str">
        <f aca="false">IF(I1744="","",IF(AND(J1744&gt;=1,J1744&lt;=K1744),Eingabe!$B$6&amp;"-"&amp;INDEX(Eingabe!$C$9:$C$18,I1744)&amp;"-Pächter  ·  Passwort Parzelle "&amp;J1744,IF(J1744=K1744+1,Eingabe!$B$6&amp;"-"&amp;INDEX(Eingabe!$C$9:$C$18,I1744)&amp;"-Vorstand  ·  eigenes WLAN",IF(J1744=K1744+2,Eingabe!$B$6&amp;"-"&amp;INDEX(Eingabe!$C$9:$C$18,I1744)&amp;"-Gäste  ·  Voucher",IF(J1744=K1744+3,"Kabel  ·  Access Point y = .(50+y), Mast-Switch x = .(10+x)","")))))</f>
        <v/>
      </c>
      <c r="I1744" s="0" t="str">
        <f aca="false">IF(1739&lt;=(Eingabe!$P$18+Eingabe!$Q$18-1),MATCH(1739,Eingabe!$P$9:$P$18,1),"")</f>
        <v/>
      </c>
      <c r="J1744" s="0" t="str">
        <f aca="false">IF(I1744="","",1739-INDEX(Eingabe!$P$9:$P$18,I1744))</f>
        <v/>
      </c>
      <c r="K1744" s="0" t="str">
        <f aca="false">IF(I1744="","",INDEX(Eingabe!$E$9:$E$18,I1744))</f>
        <v/>
      </c>
    </row>
    <row r="1745" customFormat="false" ht="15" hidden="false" customHeight="false" outlineLevel="0" collapsed="false">
      <c r="A1745" s="0" t="str">
        <f aca="false">IF(I1745="","",IF(J1745=0,"Sparte "&amp;I1745&amp;": "&amp;INDEX(Eingabe!$B$9:$B$18,I1745)&amp;"  (Sparten-ID "&amp;INDEX(Eingabe!$D$9:$D$18,I1745)&amp;", "&amp;K1745&amp;" Parzellen)",IF(J1745&lt;=K1745,"   Parzelle "&amp;J1745,IF(J1745=K1745+1,"   Vorstand",IF(J1745=K1745+2,"   Gäste",IF(J1745=K1745+3,"   Technik (Switches, Access Points)",""))))))</f>
        <v/>
      </c>
      <c r="B1745" s="0" t="str">
        <f aca="false">IF(I1745="","",IF(AND(J1745&gt;=1,J1745&lt;=K1745+3),IF(J1745&lt;=K1745,IF(J1745&lt;=99,IF((INDEX(Eingabe!$G$9:$G$18,I1745))&lt;=9,1000+(INDEX(Eingabe!$G$9:$G$18,I1745))*100,3000)+J1745,IF((INDEX(Eingabe!$G$9:$G$18,I1745)+1)&lt;=9,1000+(INDEX(Eingabe!$G$9:$G$18,I1745)+1)*100,3000)+J1745-100),IF(J1745=K1745+1,2000+INDEX(Eingabe!$G$9:$G$18,I1745)*10+1,IF(J1745=K1745+2,2000+INDEX(Eingabe!$G$9:$G$18,I1745)*10+2,2000+INDEX(Eingabe!$G$9:$G$18,I1745)*10+9))),""))</f>
        <v/>
      </c>
      <c r="C1745" s="0" t="str">
        <f aca="false">IF(I1745="","",IF(AND(J1745&gt;=1,J1745&lt;=K1745+3),"10."&amp;INDEX(Eingabe!$D$9:$D$18,I1745)&amp;"."&amp;IF(J1745&lt;=K1745,J1745,IF(J1745=K1745+1,200,IF(J1745=K1745+2,201,250)))&amp;".0/24",""))</f>
        <v/>
      </c>
      <c r="D1745" s="0" t="str">
        <f aca="false">IF(I1745="","",IF(AND(J1745&gt;=1,J1745&lt;=K1745+3),"255.255.255.0",""))</f>
        <v/>
      </c>
      <c r="E1745" s="0" t="str">
        <f aca="false">IF(I1745="","",IF(AND(J1745&gt;=1,J1745&lt;=K1745+3),"10."&amp;INDEX(Eingabe!$D$9:$D$18,I1745)&amp;"."&amp;IF(J1745&lt;=K1745,J1745,IF(J1745=K1745+1,200,IF(J1745=K1745+2,201,250)))&amp;".1",""))</f>
        <v/>
      </c>
      <c r="F1745" s="0" t="str">
        <f aca="false">IF(I1745="","",IF(AND(J1745&gt;=1,J1745&lt;=K1745+3),"10."&amp;INDEX(Eingabe!$D$9:$D$18,I1745)&amp;"."&amp;IF(J1745&lt;=K1745,J1745,IF(J1745=K1745+1,200,IF(J1745=K1745+2,201,250)))&amp;".10 – 10."&amp;INDEX(Eingabe!$D$9:$D$18,I1745)&amp;"."&amp;IF(J1745&lt;=K1745,J1745,IF(J1745=K1745+1,200,IF(J1745=K1745+2,201,250)))&amp;".250",""))</f>
        <v/>
      </c>
      <c r="G1745" s="0" t="str">
        <f aca="false">IF(I1745="","",IF(AND(J1745&gt;=1,J1745&lt;=K1745),Eingabe!$B$6&amp;"-"&amp;INDEX(Eingabe!$C$9:$C$18,I1745)&amp;"-Pächter  ·  Passwort Parzelle "&amp;J1745,IF(J1745=K1745+1,Eingabe!$B$6&amp;"-"&amp;INDEX(Eingabe!$C$9:$C$18,I1745)&amp;"-Vorstand  ·  eigenes WLAN",IF(J1745=K1745+2,Eingabe!$B$6&amp;"-"&amp;INDEX(Eingabe!$C$9:$C$18,I1745)&amp;"-Gäste  ·  Voucher",IF(J1745=K1745+3,"Kabel  ·  Access Point y = .(50+y), Mast-Switch x = .(10+x)","")))))</f>
        <v/>
      </c>
      <c r="I1745" s="0" t="str">
        <f aca="false">IF(1740&lt;=(Eingabe!$P$18+Eingabe!$Q$18-1),MATCH(1740,Eingabe!$P$9:$P$18,1),"")</f>
        <v/>
      </c>
      <c r="J1745" s="0" t="str">
        <f aca="false">IF(I1745="","",1740-INDEX(Eingabe!$P$9:$P$18,I1745))</f>
        <v/>
      </c>
      <c r="K1745" s="0" t="str">
        <f aca="false">IF(I1745="","",INDEX(Eingabe!$E$9:$E$18,I1745))</f>
        <v/>
      </c>
    </row>
    <row r="1746" customFormat="false" ht="15" hidden="false" customHeight="false" outlineLevel="0" collapsed="false">
      <c r="A1746" s="0" t="str">
        <f aca="false">IF(I1746="","",IF(J1746=0,"Sparte "&amp;I1746&amp;": "&amp;INDEX(Eingabe!$B$9:$B$18,I1746)&amp;"  (Sparten-ID "&amp;INDEX(Eingabe!$D$9:$D$18,I1746)&amp;", "&amp;K1746&amp;" Parzellen)",IF(J1746&lt;=K1746,"   Parzelle "&amp;J1746,IF(J1746=K1746+1,"   Vorstand",IF(J1746=K1746+2,"   Gäste",IF(J1746=K1746+3,"   Technik (Switches, Access Points)",""))))))</f>
        <v/>
      </c>
      <c r="B1746" s="0" t="str">
        <f aca="false">IF(I1746="","",IF(AND(J1746&gt;=1,J1746&lt;=K1746+3),IF(J1746&lt;=K1746,IF(J1746&lt;=99,IF((INDEX(Eingabe!$G$9:$G$18,I1746))&lt;=9,1000+(INDEX(Eingabe!$G$9:$G$18,I1746))*100,3000)+J1746,IF((INDEX(Eingabe!$G$9:$G$18,I1746)+1)&lt;=9,1000+(INDEX(Eingabe!$G$9:$G$18,I1746)+1)*100,3000)+J1746-100),IF(J1746=K1746+1,2000+INDEX(Eingabe!$G$9:$G$18,I1746)*10+1,IF(J1746=K1746+2,2000+INDEX(Eingabe!$G$9:$G$18,I1746)*10+2,2000+INDEX(Eingabe!$G$9:$G$18,I1746)*10+9))),""))</f>
        <v/>
      </c>
      <c r="C1746" s="0" t="str">
        <f aca="false">IF(I1746="","",IF(AND(J1746&gt;=1,J1746&lt;=K1746+3),"10."&amp;INDEX(Eingabe!$D$9:$D$18,I1746)&amp;"."&amp;IF(J1746&lt;=K1746,J1746,IF(J1746=K1746+1,200,IF(J1746=K1746+2,201,250)))&amp;".0/24",""))</f>
        <v/>
      </c>
      <c r="D1746" s="0" t="str">
        <f aca="false">IF(I1746="","",IF(AND(J1746&gt;=1,J1746&lt;=K1746+3),"255.255.255.0",""))</f>
        <v/>
      </c>
      <c r="E1746" s="0" t="str">
        <f aca="false">IF(I1746="","",IF(AND(J1746&gt;=1,J1746&lt;=K1746+3),"10."&amp;INDEX(Eingabe!$D$9:$D$18,I1746)&amp;"."&amp;IF(J1746&lt;=K1746,J1746,IF(J1746=K1746+1,200,IF(J1746=K1746+2,201,250)))&amp;".1",""))</f>
        <v/>
      </c>
      <c r="F1746" s="0" t="str">
        <f aca="false">IF(I1746="","",IF(AND(J1746&gt;=1,J1746&lt;=K1746+3),"10."&amp;INDEX(Eingabe!$D$9:$D$18,I1746)&amp;"."&amp;IF(J1746&lt;=K1746,J1746,IF(J1746=K1746+1,200,IF(J1746=K1746+2,201,250)))&amp;".10 – 10."&amp;INDEX(Eingabe!$D$9:$D$18,I1746)&amp;"."&amp;IF(J1746&lt;=K1746,J1746,IF(J1746=K1746+1,200,IF(J1746=K1746+2,201,250)))&amp;".250",""))</f>
        <v/>
      </c>
      <c r="G1746" s="0" t="str">
        <f aca="false">IF(I1746="","",IF(AND(J1746&gt;=1,J1746&lt;=K1746),Eingabe!$B$6&amp;"-"&amp;INDEX(Eingabe!$C$9:$C$18,I1746)&amp;"-Pächter  ·  Passwort Parzelle "&amp;J1746,IF(J1746=K1746+1,Eingabe!$B$6&amp;"-"&amp;INDEX(Eingabe!$C$9:$C$18,I1746)&amp;"-Vorstand  ·  eigenes WLAN",IF(J1746=K1746+2,Eingabe!$B$6&amp;"-"&amp;INDEX(Eingabe!$C$9:$C$18,I1746)&amp;"-Gäste  ·  Voucher",IF(J1746=K1746+3,"Kabel  ·  Access Point y = .(50+y), Mast-Switch x = .(10+x)","")))))</f>
        <v/>
      </c>
      <c r="I1746" s="0" t="str">
        <f aca="false">IF(1741&lt;=(Eingabe!$P$18+Eingabe!$Q$18-1),MATCH(1741,Eingabe!$P$9:$P$18,1),"")</f>
        <v/>
      </c>
      <c r="J1746" s="0" t="str">
        <f aca="false">IF(I1746="","",1741-INDEX(Eingabe!$P$9:$P$18,I1746))</f>
        <v/>
      </c>
      <c r="K1746" s="0" t="str">
        <f aca="false">IF(I1746="","",INDEX(Eingabe!$E$9:$E$18,I1746))</f>
        <v/>
      </c>
    </row>
    <row r="1747" customFormat="false" ht="15" hidden="false" customHeight="false" outlineLevel="0" collapsed="false">
      <c r="A1747" s="0" t="str">
        <f aca="false">IF(I1747="","",IF(J1747=0,"Sparte "&amp;I1747&amp;": "&amp;INDEX(Eingabe!$B$9:$B$18,I1747)&amp;"  (Sparten-ID "&amp;INDEX(Eingabe!$D$9:$D$18,I1747)&amp;", "&amp;K1747&amp;" Parzellen)",IF(J1747&lt;=K1747,"   Parzelle "&amp;J1747,IF(J1747=K1747+1,"   Vorstand",IF(J1747=K1747+2,"   Gäste",IF(J1747=K1747+3,"   Technik (Switches, Access Points)",""))))))</f>
        <v/>
      </c>
      <c r="B1747" s="0" t="str">
        <f aca="false">IF(I1747="","",IF(AND(J1747&gt;=1,J1747&lt;=K1747+3),IF(J1747&lt;=K1747,IF(J1747&lt;=99,IF((INDEX(Eingabe!$G$9:$G$18,I1747))&lt;=9,1000+(INDEX(Eingabe!$G$9:$G$18,I1747))*100,3000)+J1747,IF((INDEX(Eingabe!$G$9:$G$18,I1747)+1)&lt;=9,1000+(INDEX(Eingabe!$G$9:$G$18,I1747)+1)*100,3000)+J1747-100),IF(J1747=K1747+1,2000+INDEX(Eingabe!$G$9:$G$18,I1747)*10+1,IF(J1747=K1747+2,2000+INDEX(Eingabe!$G$9:$G$18,I1747)*10+2,2000+INDEX(Eingabe!$G$9:$G$18,I1747)*10+9))),""))</f>
        <v/>
      </c>
      <c r="C1747" s="0" t="str">
        <f aca="false">IF(I1747="","",IF(AND(J1747&gt;=1,J1747&lt;=K1747+3),"10."&amp;INDEX(Eingabe!$D$9:$D$18,I1747)&amp;"."&amp;IF(J1747&lt;=K1747,J1747,IF(J1747=K1747+1,200,IF(J1747=K1747+2,201,250)))&amp;".0/24",""))</f>
        <v/>
      </c>
      <c r="D1747" s="0" t="str">
        <f aca="false">IF(I1747="","",IF(AND(J1747&gt;=1,J1747&lt;=K1747+3),"255.255.255.0",""))</f>
        <v/>
      </c>
      <c r="E1747" s="0" t="str">
        <f aca="false">IF(I1747="","",IF(AND(J1747&gt;=1,J1747&lt;=K1747+3),"10."&amp;INDEX(Eingabe!$D$9:$D$18,I1747)&amp;"."&amp;IF(J1747&lt;=K1747,J1747,IF(J1747=K1747+1,200,IF(J1747=K1747+2,201,250)))&amp;".1",""))</f>
        <v/>
      </c>
      <c r="F1747" s="0" t="str">
        <f aca="false">IF(I1747="","",IF(AND(J1747&gt;=1,J1747&lt;=K1747+3),"10."&amp;INDEX(Eingabe!$D$9:$D$18,I1747)&amp;"."&amp;IF(J1747&lt;=K1747,J1747,IF(J1747=K1747+1,200,IF(J1747=K1747+2,201,250)))&amp;".10 – 10."&amp;INDEX(Eingabe!$D$9:$D$18,I1747)&amp;"."&amp;IF(J1747&lt;=K1747,J1747,IF(J1747=K1747+1,200,IF(J1747=K1747+2,201,250)))&amp;".250",""))</f>
        <v/>
      </c>
      <c r="G1747" s="0" t="str">
        <f aca="false">IF(I1747="","",IF(AND(J1747&gt;=1,J1747&lt;=K1747),Eingabe!$B$6&amp;"-"&amp;INDEX(Eingabe!$C$9:$C$18,I1747)&amp;"-Pächter  ·  Passwort Parzelle "&amp;J1747,IF(J1747=K1747+1,Eingabe!$B$6&amp;"-"&amp;INDEX(Eingabe!$C$9:$C$18,I1747)&amp;"-Vorstand  ·  eigenes WLAN",IF(J1747=K1747+2,Eingabe!$B$6&amp;"-"&amp;INDEX(Eingabe!$C$9:$C$18,I1747)&amp;"-Gäste  ·  Voucher",IF(J1747=K1747+3,"Kabel  ·  Access Point y = .(50+y), Mast-Switch x = .(10+x)","")))))</f>
        <v/>
      </c>
      <c r="I1747" s="0" t="str">
        <f aca="false">IF(1742&lt;=(Eingabe!$P$18+Eingabe!$Q$18-1),MATCH(1742,Eingabe!$P$9:$P$18,1),"")</f>
        <v/>
      </c>
      <c r="J1747" s="0" t="str">
        <f aca="false">IF(I1747="","",1742-INDEX(Eingabe!$P$9:$P$18,I1747))</f>
        <v/>
      </c>
      <c r="K1747" s="0" t="str">
        <f aca="false">IF(I1747="","",INDEX(Eingabe!$E$9:$E$18,I1747))</f>
        <v/>
      </c>
    </row>
    <row r="1748" customFormat="false" ht="15" hidden="false" customHeight="false" outlineLevel="0" collapsed="false">
      <c r="A1748" s="0" t="str">
        <f aca="false">IF(I1748="","",IF(J1748=0,"Sparte "&amp;I1748&amp;": "&amp;INDEX(Eingabe!$B$9:$B$18,I1748)&amp;"  (Sparten-ID "&amp;INDEX(Eingabe!$D$9:$D$18,I1748)&amp;", "&amp;K1748&amp;" Parzellen)",IF(J1748&lt;=K1748,"   Parzelle "&amp;J1748,IF(J1748=K1748+1,"   Vorstand",IF(J1748=K1748+2,"   Gäste",IF(J1748=K1748+3,"   Technik (Switches, Access Points)",""))))))</f>
        <v/>
      </c>
      <c r="B1748" s="0" t="str">
        <f aca="false">IF(I1748="","",IF(AND(J1748&gt;=1,J1748&lt;=K1748+3),IF(J1748&lt;=K1748,IF(J1748&lt;=99,IF((INDEX(Eingabe!$G$9:$G$18,I1748))&lt;=9,1000+(INDEX(Eingabe!$G$9:$G$18,I1748))*100,3000)+J1748,IF((INDEX(Eingabe!$G$9:$G$18,I1748)+1)&lt;=9,1000+(INDEX(Eingabe!$G$9:$G$18,I1748)+1)*100,3000)+J1748-100),IF(J1748=K1748+1,2000+INDEX(Eingabe!$G$9:$G$18,I1748)*10+1,IF(J1748=K1748+2,2000+INDEX(Eingabe!$G$9:$G$18,I1748)*10+2,2000+INDEX(Eingabe!$G$9:$G$18,I1748)*10+9))),""))</f>
        <v/>
      </c>
      <c r="C1748" s="0" t="str">
        <f aca="false">IF(I1748="","",IF(AND(J1748&gt;=1,J1748&lt;=K1748+3),"10."&amp;INDEX(Eingabe!$D$9:$D$18,I1748)&amp;"."&amp;IF(J1748&lt;=K1748,J1748,IF(J1748=K1748+1,200,IF(J1748=K1748+2,201,250)))&amp;".0/24",""))</f>
        <v/>
      </c>
      <c r="D1748" s="0" t="str">
        <f aca="false">IF(I1748="","",IF(AND(J1748&gt;=1,J1748&lt;=K1748+3),"255.255.255.0",""))</f>
        <v/>
      </c>
      <c r="E1748" s="0" t="str">
        <f aca="false">IF(I1748="","",IF(AND(J1748&gt;=1,J1748&lt;=K1748+3),"10."&amp;INDEX(Eingabe!$D$9:$D$18,I1748)&amp;"."&amp;IF(J1748&lt;=K1748,J1748,IF(J1748=K1748+1,200,IF(J1748=K1748+2,201,250)))&amp;".1",""))</f>
        <v/>
      </c>
      <c r="F1748" s="0" t="str">
        <f aca="false">IF(I1748="","",IF(AND(J1748&gt;=1,J1748&lt;=K1748+3),"10."&amp;INDEX(Eingabe!$D$9:$D$18,I1748)&amp;"."&amp;IF(J1748&lt;=K1748,J1748,IF(J1748=K1748+1,200,IF(J1748=K1748+2,201,250)))&amp;".10 – 10."&amp;INDEX(Eingabe!$D$9:$D$18,I1748)&amp;"."&amp;IF(J1748&lt;=K1748,J1748,IF(J1748=K1748+1,200,IF(J1748=K1748+2,201,250)))&amp;".250",""))</f>
        <v/>
      </c>
      <c r="G1748" s="0" t="str">
        <f aca="false">IF(I1748="","",IF(AND(J1748&gt;=1,J1748&lt;=K1748),Eingabe!$B$6&amp;"-"&amp;INDEX(Eingabe!$C$9:$C$18,I1748)&amp;"-Pächter  ·  Passwort Parzelle "&amp;J1748,IF(J1748=K1748+1,Eingabe!$B$6&amp;"-"&amp;INDEX(Eingabe!$C$9:$C$18,I1748)&amp;"-Vorstand  ·  eigenes WLAN",IF(J1748=K1748+2,Eingabe!$B$6&amp;"-"&amp;INDEX(Eingabe!$C$9:$C$18,I1748)&amp;"-Gäste  ·  Voucher",IF(J1748=K1748+3,"Kabel  ·  Access Point y = .(50+y), Mast-Switch x = .(10+x)","")))))</f>
        <v/>
      </c>
      <c r="I1748" s="0" t="str">
        <f aca="false">IF(1743&lt;=(Eingabe!$P$18+Eingabe!$Q$18-1),MATCH(1743,Eingabe!$P$9:$P$18,1),"")</f>
        <v/>
      </c>
      <c r="J1748" s="0" t="str">
        <f aca="false">IF(I1748="","",1743-INDEX(Eingabe!$P$9:$P$18,I1748))</f>
        <v/>
      </c>
      <c r="K1748" s="0" t="str">
        <f aca="false">IF(I1748="","",INDEX(Eingabe!$E$9:$E$18,I1748))</f>
        <v/>
      </c>
    </row>
    <row r="1749" customFormat="false" ht="15" hidden="false" customHeight="false" outlineLevel="0" collapsed="false">
      <c r="A1749" s="0" t="str">
        <f aca="false">IF(I1749="","",IF(J1749=0,"Sparte "&amp;I1749&amp;": "&amp;INDEX(Eingabe!$B$9:$B$18,I1749)&amp;"  (Sparten-ID "&amp;INDEX(Eingabe!$D$9:$D$18,I1749)&amp;", "&amp;K1749&amp;" Parzellen)",IF(J1749&lt;=K1749,"   Parzelle "&amp;J1749,IF(J1749=K1749+1,"   Vorstand",IF(J1749=K1749+2,"   Gäste",IF(J1749=K1749+3,"   Technik (Switches, Access Points)",""))))))</f>
        <v/>
      </c>
      <c r="B1749" s="0" t="str">
        <f aca="false">IF(I1749="","",IF(AND(J1749&gt;=1,J1749&lt;=K1749+3),IF(J1749&lt;=K1749,IF(J1749&lt;=99,IF((INDEX(Eingabe!$G$9:$G$18,I1749))&lt;=9,1000+(INDEX(Eingabe!$G$9:$G$18,I1749))*100,3000)+J1749,IF((INDEX(Eingabe!$G$9:$G$18,I1749)+1)&lt;=9,1000+(INDEX(Eingabe!$G$9:$G$18,I1749)+1)*100,3000)+J1749-100),IF(J1749=K1749+1,2000+INDEX(Eingabe!$G$9:$G$18,I1749)*10+1,IF(J1749=K1749+2,2000+INDEX(Eingabe!$G$9:$G$18,I1749)*10+2,2000+INDEX(Eingabe!$G$9:$G$18,I1749)*10+9))),""))</f>
        <v/>
      </c>
      <c r="C1749" s="0" t="str">
        <f aca="false">IF(I1749="","",IF(AND(J1749&gt;=1,J1749&lt;=K1749+3),"10."&amp;INDEX(Eingabe!$D$9:$D$18,I1749)&amp;"."&amp;IF(J1749&lt;=K1749,J1749,IF(J1749=K1749+1,200,IF(J1749=K1749+2,201,250)))&amp;".0/24",""))</f>
        <v/>
      </c>
      <c r="D1749" s="0" t="str">
        <f aca="false">IF(I1749="","",IF(AND(J1749&gt;=1,J1749&lt;=K1749+3),"255.255.255.0",""))</f>
        <v/>
      </c>
      <c r="E1749" s="0" t="str">
        <f aca="false">IF(I1749="","",IF(AND(J1749&gt;=1,J1749&lt;=K1749+3),"10."&amp;INDEX(Eingabe!$D$9:$D$18,I1749)&amp;"."&amp;IF(J1749&lt;=K1749,J1749,IF(J1749=K1749+1,200,IF(J1749=K1749+2,201,250)))&amp;".1",""))</f>
        <v/>
      </c>
      <c r="F1749" s="0" t="str">
        <f aca="false">IF(I1749="","",IF(AND(J1749&gt;=1,J1749&lt;=K1749+3),"10."&amp;INDEX(Eingabe!$D$9:$D$18,I1749)&amp;"."&amp;IF(J1749&lt;=K1749,J1749,IF(J1749=K1749+1,200,IF(J1749=K1749+2,201,250)))&amp;".10 – 10."&amp;INDEX(Eingabe!$D$9:$D$18,I1749)&amp;"."&amp;IF(J1749&lt;=K1749,J1749,IF(J1749=K1749+1,200,IF(J1749=K1749+2,201,250)))&amp;".250",""))</f>
        <v/>
      </c>
      <c r="G1749" s="0" t="str">
        <f aca="false">IF(I1749="","",IF(AND(J1749&gt;=1,J1749&lt;=K1749),Eingabe!$B$6&amp;"-"&amp;INDEX(Eingabe!$C$9:$C$18,I1749)&amp;"-Pächter  ·  Passwort Parzelle "&amp;J1749,IF(J1749=K1749+1,Eingabe!$B$6&amp;"-"&amp;INDEX(Eingabe!$C$9:$C$18,I1749)&amp;"-Vorstand  ·  eigenes WLAN",IF(J1749=K1749+2,Eingabe!$B$6&amp;"-"&amp;INDEX(Eingabe!$C$9:$C$18,I1749)&amp;"-Gäste  ·  Voucher",IF(J1749=K1749+3,"Kabel  ·  Access Point y = .(50+y), Mast-Switch x = .(10+x)","")))))</f>
        <v/>
      </c>
      <c r="I1749" s="0" t="str">
        <f aca="false">IF(1744&lt;=(Eingabe!$P$18+Eingabe!$Q$18-1),MATCH(1744,Eingabe!$P$9:$P$18,1),"")</f>
        <v/>
      </c>
      <c r="J1749" s="0" t="str">
        <f aca="false">IF(I1749="","",1744-INDEX(Eingabe!$P$9:$P$18,I1749))</f>
        <v/>
      </c>
      <c r="K1749" s="0" t="str">
        <f aca="false">IF(I1749="","",INDEX(Eingabe!$E$9:$E$18,I1749))</f>
        <v/>
      </c>
    </row>
    <row r="1750" customFormat="false" ht="15" hidden="false" customHeight="false" outlineLevel="0" collapsed="false">
      <c r="A1750" s="0" t="str">
        <f aca="false">IF(I1750="","",IF(J1750=0,"Sparte "&amp;I1750&amp;": "&amp;INDEX(Eingabe!$B$9:$B$18,I1750)&amp;"  (Sparten-ID "&amp;INDEX(Eingabe!$D$9:$D$18,I1750)&amp;", "&amp;K1750&amp;" Parzellen)",IF(J1750&lt;=K1750,"   Parzelle "&amp;J1750,IF(J1750=K1750+1,"   Vorstand",IF(J1750=K1750+2,"   Gäste",IF(J1750=K1750+3,"   Technik (Switches, Access Points)",""))))))</f>
        <v/>
      </c>
      <c r="B1750" s="0" t="str">
        <f aca="false">IF(I1750="","",IF(AND(J1750&gt;=1,J1750&lt;=K1750+3),IF(J1750&lt;=K1750,IF(J1750&lt;=99,IF((INDEX(Eingabe!$G$9:$G$18,I1750))&lt;=9,1000+(INDEX(Eingabe!$G$9:$G$18,I1750))*100,3000)+J1750,IF((INDEX(Eingabe!$G$9:$G$18,I1750)+1)&lt;=9,1000+(INDEX(Eingabe!$G$9:$G$18,I1750)+1)*100,3000)+J1750-100),IF(J1750=K1750+1,2000+INDEX(Eingabe!$G$9:$G$18,I1750)*10+1,IF(J1750=K1750+2,2000+INDEX(Eingabe!$G$9:$G$18,I1750)*10+2,2000+INDEX(Eingabe!$G$9:$G$18,I1750)*10+9))),""))</f>
        <v/>
      </c>
      <c r="C1750" s="0" t="str">
        <f aca="false">IF(I1750="","",IF(AND(J1750&gt;=1,J1750&lt;=K1750+3),"10."&amp;INDEX(Eingabe!$D$9:$D$18,I1750)&amp;"."&amp;IF(J1750&lt;=K1750,J1750,IF(J1750=K1750+1,200,IF(J1750=K1750+2,201,250)))&amp;".0/24",""))</f>
        <v/>
      </c>
      <c r="D1750" s="0" t="str">
        <f aca="false">IF(I1750="","",IF(AND(J1750&gt;=1,J1750&lt;=K1750+3),"255.255.255.0",""))</f>
        <v/>
      </c>
      <c r="E1750" s="0" t="str">
        <f aca="false">IF(I1750="","",IF(AND(J1750&gt;=1,J1750&lt;=K1750+3),"10."&amp;INDEX(Eingabe!$D$9:$D$18,I1750)&amp;"."&amp;IF(J1750&lt;=K1750,J1750,IF(J1750=K1750+1,200,IF(J1750=K1750+2,201,250)))&amp;".1",""))</f>
        <v/>
      </c>
      <c r="F1750" s="0" t="str">
        <f aca="false">IF(I1750="","",IF(AND(J1750&gt;=1,J1750&lt;=K1750+3),"10."&amp;INDEX(Eingabe!$D$9:$D$18,I1750)&amp;"."&amp;IF(J1750&lt;=K1750,J1750,IF(J1750=K1750+1,200,IF(J1750=K1750+2,201,250)))&amp;".10 – 10."&amp;INDEX(Eingabe!$D$9:$D$18,I1750)&amp;"."&amp;IF(J1750&lt;=K1750,J1750,IF(J1750=K1750+1,200,IF(J1750=K1750+2,201,250)))&amp;".250",""))</f>
        <v/>
      </c>
      <c r="G1750" s="0" t="str">
        <f aca="false">IF(I1750="","",IF(AND(J1750&gt;=1,J1750&lt;=K1750),Eingabe!$B$6&amp;"-"&amp;INDEX(Eingabe!$C$9:$C$18,I1750)&amp;"-Pächter  ·  Passwort Parzelle "&amp;J1750,IF(J1750=K1750+1,Eingabe!$B$6&amp;"-"&amp;INDEX(Eingabe!$C$9:$C$18,I1750)&amp;"-Vorstand  ·  eigenes WLAN",IF(J1750=K1750+2,Eingabe!$B$6&amp;"-"&amp;INDEX(Eingabe!$C$9:$C$18,I1750)&amp;"-Gäste  ·  Voucher",IF(J1750=K1750+3,"Kabel  ·  Access Point y = .(50+y), Mast-Switch x = .(10+x)","")))))</f>
        <v/>
      </c>
      <c r="I1750" s="0" t="str">
        <f aca="false">IF(1745&lt;=(Eingabe!$P$18+Eingabe!$Q$18-1),MATCH(1745,Eingabe!$P$9:$P$18,1),"")</f>
        <v/>
      </c>
      <c r="J1750" s="0" t="str">
        <f aca="false">IF(I1750="","",1745-INDEX(Eingabe!$P$9:$P$18,I1750))</f>
        <v/>
      </c>
      <c r="K1750" s="0" t="str">
        <f aca="false">IF(I1750="","",INDEX(Eingabe!$E$9:$E$18,I1750))</f>
        <v/>
      </c>
    </row>
    <row r="1751" customFormat="false" ht="15" hidden="false" customHeight="false" outlineLevel="0" collapsed="false">
      <c r="A1751" s="0" t="str">
        <f aca="false">IF(I1751="","",IF(J1751=0,"Sparte "&amp;I1751&amp;": "&amp;INDEX(Eingabe!$B$9:$B$18,I1751)&amp;"  (Sparten-ID "&amp;INDEX(Eingabe!$D$9:$D$18,I1751)&amp;", "&amp;K1751&amp;" Parzellen)",IF(J1751&lt;=K1751,"   Parzelle "&amp;J1751,IF(J1751=K1751+1,"   Vorstand",IF(J1751=K1751+2,"   Gäste",IF(J1751=K1751+3,"   Technik (Switches, Access Points)",""))))))</f>
        <v/>
      </c>
      <c r="B1751" s="0" t="str">
        <f aca="false">IF(I1751="","",IF(AND(J1751&gt;=1,J1751&lt;=K1751+3),IF(J1751&lt;=K1751,IF(J1751&lt;=99,IF((INDEX(Eingabe!$G$9:$G$18,I1751))&lt;=9,1000+(INDEX(Eingabe!$G$9:$G$18,I1751))*100,3000)+J1751,IF((INDEX(Eingabe!$G$9:$G$18,I1751)+1)&lt;=9,1000+(INDEX(Eingabe!$G$9:$G$18,I1751)+1)*100,3000)+J1751-100),IF(J1751=K1751+1,2000+INDEX(Eingabe!$G$9:$G$18,I1751)*10+1,IF(J1751=K1751+2,2000+INDEX(Eingabe!$G$9:$G$18,I1751)*10+2,2000+INDEX(Eingabe!$G$9:$G$18,I1751)*10+9))),""))</f>
        <v/>
      </c>
      <c r="C1751" s="0" t="str">
        <f aca="false">IF(I1751="","",IF(AND(J1751&gt;=1,J1751&lt;=K1751+3),"10."&amp;INDEX(Eingabe!$D$9:$D$18,I1751)&amp;"."&amp;IF(J1751&lt;=K1751,J1751,IF(J1751=K1751+1,200,IF(J1751=K1751+2,201,250)))&amp;".0/24",""))</f>
        <v/>
      </c>
      <c r="D1751" s="0" t="str">
        <f aca="false">IF(I1751="","",IF(AND(J1751&gt;=1,J1751&lt;=K1751+3),"255.255.255.0",""))</f>
        <v/>
      </c>
      <c r="E1751" s="0" t="str">
        <f aca="false">IF(I1751="","",IF(AND(J1751&gt;=1,J1751&lt;=K1751+3),"10."&amp;INDEX(Eingabe!$D$9:$D$18,I1751)&amp;"."&amp;IF(J1751&lt;=K1751,J1751,IF(J1751=K1751+1,200,IF(J1751=K1751+2,201,250)))&amp;".1",""))</f>
        <v/>
      </c>
      <c r="F1751" s="0" t="str">
        <f aca="false">IF(I1751="","",IF(AND(J1751&gt;=1,J1751&lt;=K1751+3),"10."&amp;INDEX(Eingabe!$D$9:$D$18,I1751)&amp;"."&amp;IF(J1751&lt;=K1751,J1751,IF(J1751=K1751+1,200,IF(J1751=K1751+2,201,250)))&amp;".10 – 10."&amp;INDEX(Eingabe!$D$9:$D$18,I1751)&amp;"."&amp;IF(J1751&lt;=K1751,J1751,IF(J1751=K1751+1,200,IF(J1751=K1751+2,201,250)))&amp;".250",""))</f>
        <v/>
      </c>
      <c r="G1751" s="0" t="str">
        <f aca="false">IF(I1751="","",IF(AND(J1751&gt;=1,J1751&lt;=K1751),Eingabe!$B$6&amp;"-"&amp;INDEX(Eingabe!$C$9:$C$18,I1751)&amp;"-Pächter  ·  Passwort Parzelle "&amp;J1751,IF(J1751=K1751+1,Eingabe!$B$6&amp;"-"&amp;INDEX(Eingabe!$C$9:$C$18,I1751)&amp;"-Vorstand  ·  eigenes WLAN",IF(J1751=K1751+2,Eingabe!$B$6&amp;"-"&amp;INDEX(Eingabe!$C$9:$C$18,I1751)&amp;"-Gäste  ·  Voucher",IF(J1751=K1751+3,"Kabel  ·  Access Point y = .(50+y), Mast-Switch x = .(10+x)","")))))</f>
        <v/>
      </c>
      <c r="I1751" s="0" t="str">
        <f aca="false">IF(1746&lt;=(Eingabe!$P$18+Eingabe!$Q$18-1),MATCH(1746,Eingabe!$P$9:$P$18,1),"")</f>
        <v/>
      </c>
      <c r="J1751" s="0" t="str">
        <f aca="false">IF(I1751="","",1746-INDEX(Eingabe!$P$9:$P$18,I1751))</f>
        <v/>
      </c>
      <c r="K1751" s="0" t="str">
        <f aca="false">IF(I1751="","",INDEX(Eingabe!$E$9:$E$18,I1751))</f>
        <v/>
      </c>
    </row>
    <row r="1752" customFormat="false" ht="15" hidden="false" customHeight="false" outlineLevel="0" collapsed="false">
      <c r="A1752" s="0" t="str">
        <f aca="false">IF(I1752="","",IF(J1752=0,"Sparte "&amp;I1752&amp;": "&amp;INDEX(Eingabe!$B$9:$B$18,I1752)&amp;"  (Sparten-ID "&amp;INDEX(Eingabe!$D$9:$D$18,I1752)&amp;", "&amp;K1752&amp;" Parzellen)",IF(J1752&lt;=K1752,"   Parzelle "&amp;J1752,IF(J1752=K1752+1,"   Vorstand",IF(J1752=K1752+2,"   Gäste",IF(J1752=K1752+3,"   Technik (Switches, Access Points)",""))))))</f>
        <v/>
      </c>
      <c r="B1752" s="0" t="str">
        <f aca="false">IF(I1752="","",IF(AND(J1752&gt;=1,J1752&lt;=K1752+3),IF(J1752&lt;=K1752,IF(J1752&lt;=99,IF((INDEX(Eingabe!$G$9:$G$18,I1752))&lt;=9,1000+(INDEX(Eingabe!$G$9:$G$18,I1752))*100,3000)+J1752,IF((INDEX(Eingabe!$G$9:$G$18,I1752)+1)&lt;=9,1000+(INDEX(Eingabe!$G$9:$G$18,I1752)+1)*100,3000)+J1752-100),IF(J1752=K1752+1,2000+INDEX(Eingabe!$G$9:$G$18,I1752)*10+1,IF(J1752=K1752+2,2000+INDEX(Eingabe!$G$9:$G$18,I1752)*10+2,2000+INDEX(Eingabe!$G$9:$G$18,I1752)*10+9))),""))</f>
        <v/>
      </c>
      <c r="C1752" s="0" t="str">
        <f aca="false">IF(I1752="","",IF(AND(J1752&gt;=1,J1752&lt;=K1752+3),"10."&amp;INDEX(Eingabe!$D$9:$D$18,I1752)&amp;"."&amp;IF(J1752&lt;=K1752,J1752,IF(J1752=K1752+1,200,IF(J1752=K1752+2,201,250)))&amp;".0/24",""))</f>
        <v/>
      </c>
      <c r="D1752" s="0" t="str">
        <f aca="false">IF(I1752="","",IF(AND(J1752&gt;=1,J1752&lt;=K1752+3),"255.255.255.0",""))</f>
        <v/>
      </c>
      <c r="E1752" s="0" t="str">
        <f aca="false">IF(I1752="","",IF(AND(J1752&gt;=1,J1752&lt;=K1752+3),"10."&amp;INDEX(Eingabe!$D$9:$D$18,I1752)&amp;"."&amp;IF(J1752&lt;=K1752,J1752,IF(J1752=K1752+1,200,IF(J1752=K1752+2,201,250)))&amp;".1",""))</f>
        <v/>
      </c>
      <c r="F1752" s="0" t="str">
        <f aca="false">IF(I1752="","",IF(AND(J1752&gt;=1,J1752&lt;=K1752+3),"10."&amp;INDEX(Eingabe!$D$9:$D$18,I1752)&amp;"."&amp;IF(J1752&lt;=K1752,J1752,IF(J1752=K1752+1,200,IF(J1752=K1752+2,201,250)))&amp;".10 – 10."&amp;INDEX(Eingabe!$D$9:$D$18,I1752)&amp;"."&amp;IF(J1752&lt;=K1752,J1752,IF(J1752=K1752+1,200,IF(J1752=K1752+2,201,250)))&amp;".250",""))</f>
        <v/>
      </c>
      <c r="G1752" s="0" t="str">
        <f aca="false">IF(I1752="","",IF(AND(J1752&gt;=1,J1752&lt;=K1752),Eingabe!$B$6&amp;"-"&amp;INDEX(Eingabe!$C$9:$C$18,I1752)&amp;"-Pächter  ·  Passwort Parzelle "&amp;J1752,IF(J1752=K1752+1,Eingabe!$B$6&amp;"-"&amp;INDEX(Eingabe!$C$9:$C$18,I1752)&amp;"-Vorstand  ·  eigenes WLAN",IF(J1752=K1752+2,Eingabe!$B$6&amp;"-"&amp;INDEX(Eingabe!$C$9:$C$18,I1752)&amp;"-Gäste  ·  Voucher",IF(J1752=K1752+3,"Kabel  ·  Access Point y = .(50+y), Mast-Switch x = .(10+x)","")))))</f>
        <v/>
      </c>
      <c r="I1752" s="0" t="str">
        <f aca="false">IF(1747&lt;=(Eingabe!$P$18+Eingabe!$Q$18-1),MATCH(1747,Eingabe!$P$9:$P$18,1),"")</f>
        <v/>
      </c>
      <c r="J1752" s="0" t="str">
        <f aca="false">IF(I1752="","",1747-INDEX(Eingabe!$P$9:$P$18,I1752))</f>
        <v/>
      </c>
      <c r="K1752" s="0" t="str">
        <f aca="false">IF(I1752="","",INDEX(Eingabe!$E$9:$E$18,I1752))</f>
        <v/>
      </c>
    </row>
    <row r="1753" customFormat="false" ht="15" hidden="false" customHeight="false" outlineLevel="0" collapsed="false">
      <c r="A1753" s="0" t="str">
        <f aca="false">IF(I1753="","",IF(J1753=0,"Sparte "&amp;I1753&amp;": "&amp;INDEX(Eingabe!$B$9:$B$18,I1753)&amp;"  (Sparten-ID "&amp;INDEX(Eingabe!$D$9:$D$18,I1753)&amp;", "&amp;K1753&amp;" Parzellen)",IF(J1753&lt;=K1753,"   Parzelle "&amp;J1753,IF(J1753=K1753+1,"   Vorstand",IF(J1753=K1753+2,"   Gäste",IF(J1753=K1753+3,"   Technik (Switches, Access Points)",""))))))</f>
        <v/>
      </c>
      <c r="B1753" s="0" t="str">
        <f aca="false">IF(I1753="","",IF(AND(J1753&gt;=1,J1753&lt;=K1753+3),IF(J1753&lt;=K1753,IF(J1753&lt;=99,IF((INDEX(Eingabe!$G$9:$G$18,I1753))&lt;=9,1000+(INDEX(Eingabe!$G$9:$G$18,I1753))*100,3000)+J1753,IF((INDEX(Eingabe!$G$9:$G$18,I1753)+1)&lt;=9,1000+(INDEX(Eingabe!$G$9:$G$18,I1753)+1)*100,3000)+J1753-100),IF(J1753=K1753+1,2000+INDEX(Eingabe!$G$9:$G$18,I1753)*10+1,IF(J1753=K1753+2,2000+INDEX(Eingabe!$G$9:$G$18,I1753)*10+2,2000+INDEX(Eingabe!$G$9:$G$18,I1753)*10+9))),""))</f>
        <v/>
      </c>
      <c r="C1753" s="0" t="str">
        <f aca="false">IF(I1753="","",IF(AND(J1753&gt;=1,J1753&lt;=K1753+3),"10."&amp;INDEX(Eingabe!$D$9:$D$18,I1753)&amp;"."&amp;IF(J1753&lt;=K1753,J1753,IF(J1753=K1753+1,200,IF(J1753=K1753+2,201,250)))&amp;".0/24",""))</f>
        <v/>
      </c>
      <c r="D1753" s="0" t="str">
        <f aca="false">IF(I1753="","",IF(AND(J1753&gt;=1,J1753&lt;=K1753+3),"255.255.255.0",""))</f>
        <v/>
      </c>
      <c r="E1753" s="0" t="str">
        <f aca="false">IF(I1753="","",IF(AND(J1753&gt;=1,J1753&lt;=K1753+3),"10."&amp;INDEX(Eingabe!$D$9:$D$18,I1753)&amp;"."&amp;IF(J1753&lt;=K1753,J1753,IF(J1753=K1753+1,200,IF(J1753=K1753+2,201,250)))&amp;".1",""))</f>
        <v/>
      </c>
      <c r="F1753" s="0" t="str">
        <f aca="false">IF(I1753="","",IF(AND(J1753&gt;=1,J1753&lt;=K1753+3),"10."&amp;INDEX(Eingabe!$D$9:$D$18,I1753)&amp;"."&amp;IF(J1753&lt;=K1753,J1753,IF(J1753=K1753+1,200,IF(J1753=K1753+2,201,250)))&amp;".10 – 10."&amp;INDEX(Eingabe!$D$9:$D$18,I1753)&amp;"."&amp;IF(J1753&lt;=K1753,J1753,IF(J1753=K1753+1,200,IF(J1753=K1753+2,201,250)))&amp;".250",""))</f>
        <v/>
      </c>
      <c r="G1753" s="0" t="str">
        <f aca="false">IF(I1753="","",IF(AND(J1753&gt;=1,J1753&lt;=K1753),Eingabe!$B$6&amp;"-"&amp;INDEX(Eingabe!$C$9:$C$18,I1753)&amp;"-Pächter  ·  Passwort Parzelle "&amp;J1753,IF(J1753=K1753+1,Eingabe!$B$6&amp;"-"&amp;INDEX(Eingabe!$C$9:$C$18,I1753)&amp;"-Vorstand  ·  eigenes WLAN",IF(J1753=K1753+2,Eingabe!$B$6&amp;"-"&amp;INDEX(Eingabe!$C$9:$C$18,I1753)&amp;"-Gäste  ·  Voucher",IF(J1753=K1753+3,"Kabel  ·  Access Point y = .(50+y), Mast-Switch x = .(10+x)","")))))</f>
        <v/>
      </c>
      <c r="I1753" s="0" t="str">
        <f aca="false">IF(1748&lt;=(Eingabe!$P$18+Eingabe!$Q$18-1),MATCH(1748,Eingabe!$P$9:$P$18,1),"")</f>
        <v/>
      </c>
      <c r="J1753" s="0" t="str">
        <f aca="false">IF(I1753="","",1748-INDEX(Eingabe!$P$9:$P$18,I1753))</f>
        <v/>
      </c>
      <c r="K1753" s="0" t="str">
        <f aca="false">IF(I1753="","",INDEX(Eingabe!$E$9:$E$18,I1753))</f>
        <v/>
      </c>
    </row>
    <row r="1754" customFormat="false" ht="15" hidden="false" customHeight="false" outlineLevel="0" collapsed="false">
      <c r="A1754" s="0" t="str">
        <f aca="false">IF(I1754="","",IF(J1754=0,"Sparte "&amp;I1754&amp;": "&amp;INDEX(Eingabe!$B$9:$B$18,I1754)&amp;"  (Sparten-ID "&amp;INDEX(Eingabe!$D$9:$D$18,I1754)&amp;", "&amp;K1754&amp;" Parzellen)",IF(J1754&lt;=K1754,"   Parzelle "&amp;J1754,IF(J1754=K1754+1,"   Vorstand",IF(J1754=K1754+2,"   Gäste",IF(J1754=K1754+3,"   Technik (Switches, Access Points)",""))))))</f>
        <v/>
      </c>
      <c r="B1754" s="0" t="str">
        <f aca="false">IF(I1754="","",IF(AND(J1754&gt;=1,J1754&lt;=K1754+3),IF(J1754&lt;=K1754,IF(J1754&lt;=99,IF((INDEX(Eingabe!$G$9:$G$18,I1754))&lt;=9,1000+(INDEX(Eingabe!$G$9:$G$18,I1754))*100,3000)+J1754,IF((INDEX(Eingabe!$G$9:$G$18,I1754)+1)&lt;=9,1000+(INDEX(Eingabe!$G$9:$G$18,I1754)+1)*100,3000)+J1754-100),IF(J1754=K1754+1,2000+INDEX(Eingabe!$G$9:$G$18,I1754)*10+1,IF(J1754=K1754+2,2000+INDEX(Eingabe!$G$9:$G$18,I1754)*10+2,2000+INDEX(Eingabe!$G$9:$G$18,I1754)*10+9))),""))</f>
        <v/>
      </c>
      <c r="C1754" s="0" t="str">
        <f aca="false">IF(I1754="","",IF(AND(J1754&gt;=1,J1754&lt;=K1754+3),"10."&amp;INDEX(Eingabe!$D$9:$D$18,I1754)&amp;"."&amp;IF(J1754&lt;=K1754,J1754,IF(J1754=K1754+1,200,IF(J1754=K1754+2,201,250)))&amp;".0/24",""))</f>
        <v/>
      </c>
      <c r="D1754" s="0" t="str">
        <f aca="false">IF(I1754="","",IF(AND(J1754&gt;=1,J1754&lt;=K1754+3),"255.255.255.0",""))</f>
        <v/>
      </c>
      <c r="E1754" s="0" t="str">
        <f aca="false">IF(I1754="","",IF(AND(J1754&gt;=1,J1754&lt;=K1754+3),"10."&amp;INDEX(Eingabe!$D$9:$D$18,I1754)&amp;"."&amp;IF(J1754&lt;=K1754,J1754,IF(J1754=K1754+1,200,IF(J1754=K1754+2,201,250)))&amp;".1",""))</f>
        <v/>
      </c>
      <c r="F1754" s="0" t="str">
        <f aca="false">IF(I1754="","",IF(AND(J1754&gt;=1,J1754&lt;=K1754+3),"10."&amp;INDEX(Eingabe!$D$9:$D$18,I1754)&amp;"."&amp;IF(J1754&lt;=K1754,J1754,IF(J1754=K1754+1,200,IF(J1754=K1754+2,201,250)))&amp;".10 – 10."&amp;INDEX(Eingabe!$D$9:$D$18,I1754)&amp;"."&amp;IF(J1754&lt;=K1754,J1754,IF(J1754=K1754+1,200,IF(J1754=K1754+2,201,250)))&amp;".250",""))</f>
        <v/>
      </c>
      <c r="G1754" s="0" t="str">
        <f aca="false">IF(I1754="","",IF(AND(J1754&gt;=1,J1754&lt;=K1754),Eingabe!$B$6&amp;"-"&amp;INDEX(Eingabe!$C$9:$C$18,I1754)&amp;"-Pächter  ·  Passwort Parzelle "&amp;J1754,IF(J1754=K1754+1,Eingabe!$B$6&amp;"-"&amp;INDEX(Eingabe!$C$9:$C$18,I1754)&amp;"-Vorstand  ·  eigenes WLAN",IF(J1754=K1754+2,Eingabe!$B$6&amp;"-"&amp;INDEX(Eingabe!$C$9:$C$18,I1754)&amp;"-Gäste  ·  Voucher",IF(J1754=K1754+3,"Kabel  ·  Access Point y = .(50+y), Mast-Switch x = .(10+x)","")))))</f>
        <v/>
      </c>
      <c r="I1754" s="0" t="str">
        <f aca="false">IF(1749&lt;=(Eingabe!$P$18+Eingabe!$Q$18-1),MATCH(1749,Eingabe!$P$9:$P$18,1),"")</f>
        <v/>
      </c>
      <c r="J1754" s="0" t="str">
        <f aca="false">IF(I1754="","",1749-INDEX(Eingabe!$P$9:$P$18,I1754))</f>
        <v/>
      </c>
      <c r="K1754" s="0" t="str">
        <f aca="false">IF(I1754="","",INDEX(Eingabe!$E$9:$E$18,I1754))</f>
        <v/>
      </c>
    </row>
    <row r="1755" customFormat="false" ht="15" hidden="false" customHeight="false" outlineLevel="0" collapsed="false">
      <c r="A1755" s="0" t="str">
        <f aca="false">IF(I1755="","",IF(J1755=0,"Sparte "&amp;I1755&amp;": "&amp;INDEX(Eingabe!$B$9:$B$18,I1755)&amp;"  (Sparten-ID "&amp;INDEX(Eingabe!$D$9:$D$18,I1755)&amp;", "&amp;K1755&amp;" Parzellen)",IF(J1755&lt;=K1755,"   Parzelle "&amp;J1755,IF(J1755=K1755+1,"   Vorstand",IF(J1755=K1755+2,"   Gäste",IF(J1755=K1755+3,"   Technik (Switches, Access Points)",""))))))</f>
        <v/>
      </c>
      <c r="B1755" s="0" t="str">
        <f aca="false">IF(I1755="","",IF(AND(J1755&gt;=1,J1755&lt;=K1755+3),IF(J1755&lt;=K1755,IF(J1755&lt;=99,IF((INDEX(Eingabe!$G$9:$G$18,I1755))&lt;=9,1000+(INDEX(Eingabe!$G$9:$G$18,I1755))*100,3000)+J1755,IF((INDEX(Eingabe!$G$9:$G$18,I1755)+1)&lt;=9,1000+(INDEX(Eingabe!$G$9:$G$18,I1755)+1)*100,3000)+J1755-100),IF(J1755=K1755+1,2000+INDEX(Eingabe!$G$9:$G$18,I1755)*10+1,IF(J1755=K1755+2,2000+INDEX(Eingabe!$G$9:$G$18,I1755)*10+2,2000+INDEX(Eingabe!$G$9:$G$18,I1755)*10+9))),""))</f>
        <v/>
      </c>
      <c r="C1755" s="0" t="str">
        <f aca="false">IF(I1755="","",IF(AND(J1755&gt;=1,J1755&lt;=K1755+3),"10."&amp;INDEX(Eingabe!$D$9:$D$18,I1755)&amp;"."&amp;IF(J1755&lt;=K1755,J1755,IF(J1755=K1755+1,200,IF(J1755=K1755+2,201,250)))&amp;".0/24",""))</f>
        <v/>
      </c>
      <c r="D1755" s="0" t="str">
        <f aca="false">IF(I1755="","",IF(AND(J1755&gt;=1,J1755&lt;=K1755+3),"255.255.255.0",""))</f>
        <v/>
      </c>
      <c r="E1755" s="0" t="str">
        <f aca="false">IF(I1755="","",IF(AND(J1755&gt;=1,J1755&lt;=K1755+3),"10."&amp;INDEX(Eingabe!$D$9:$D$18,I1755)&amp;"."&amp;IF(J1755&lt;=K1755,J1755,IF(J1755=K1755+1,200,IF(J1755=K1755+2,201,250)))&amp;".1",""))</f>
        <v/>
      </c>
      <c r="F1755" s="0" t="str">
        <f aca="false">IF(I1755="","",IF(AND(J1755&gt;=1,J1755&lt;=K1755+3),"10."&amp;INDEX(Eingabe!$D$9:$D$18,I1755)&amp;"."&amp;IF(J1755&lt;=K1755,J1755,IF(J1755=K1755+1,200,IF(J1755=K1755+2,201,250)))&amp;".10 – 10."&amp;INDEX(Eingabe!$D$9:$D$18,I1755)&amp;"."&amp;IF(J1755&lt;=K1755,J1755,IF(J1755=K1755+1,200,IF(J1755=K1755+2,201,250)))&amp;".250",""))</f>
        <v/>
      </c>
      <c r="G1755" s="0" t="str">
        <f aca="false">IF(I1755="","",IF(AND(J1755&gt;=1,J1755&lt;=K1755),Eingabe!$B$6&amp;"-"&amp;INDEX(Eingabe!$C$9:$C$18,I1755)&amp;"-Pächter  ·  Passwort Parzelle "&amp;J1755,IF(J1755=K1755+1,Eingabe!$B$6&amp;"-"&amp;INDEX(Eingabe!$C$9:$C$18,I1755)&amp;"-Vorstand  ·  eigenes WLAN",IF(J1755=K1755+2,Eingabe!$B$6&amp;"-"&amp;INDEX(Eingabe!$C$9:$C$18,I1755)&amp;"-Gäste  ·  Voucher",IF(J1755=K1755+3,"Kabel  ·  Access Point y = .(50+y), Mast-Switch x = .(10+x)","")))))</f>
        <v/>
      </c>
      <c r="I1755" s="0" t="str">
        <f aca="false">IF(1750&lt;=(Eingabe!$P$18+Eingabe!$Q$18-1),MATCH(1750,Eingabe!$P$9:$P$18,1),"")</f>
        <v/>
      </c>
      <c r="J1755" s="0" t="str">
        <f aca="false">IF(I1755="","",1750-INDEX(Eingabe!$P$9:$P$18,I1755))</f>
        <v/>
      </c>
      <c r="K1755" s="0" t="str">
        <f aca="false">IF(I1755="","",INDEX(Eingabe!$E$9:$E$18,I1755))</f>
        <v/>
      </c>
    </row>
    <row r="1756" customFormat="false" ht="15" hidden="false" customHeight="false" outlineLevel="0" collapsed="false">
      <c r="A1756" s="0" t="str">
        <f aca="false">IF(I1756="","",IF(J1756=0,"Sparte "&amp;I1756&amp;": "&amp;INDEX(Eingabe!$B$9:$B$18,I1756)&amp;"  (Sparten-ID "&amp;INDEX(Eingabe!$D$9:$D$18,I1756)&amp;", "&amp;K1756&amp;" Parzellen)",IF(J1756&lt;=K1756,"   Parzelle "&amp;J1756,IF(J1756=K1756+1,"   Vorstand",IF(J1756=K1756+2,"   Gäste",IF(J1756=K1756+3,"   Technik (Switches, Access Points)",""))))))</f>
        <v/>
      </c>
      <c r="B1756" s="0" t="str">
        <f aca="false">IF(I1756="","",IF(AND(J1756&gt;=1,J1756&lt;=K1756+3),IF(J1756&lt;=K1756,IF(J1756&lt;=99,IF((INDEX(Eingabe!$G$9:$G$18,I1756))&lt;=9,1000+(INDEX(Eingabe!$G$9:$G$18,I1756))*100,3000)+J1756,IF((INDEX(Eingabe!$G$9:$G$18,I1756)+1)&lt;=9,1000+(INDEX(Eingabe!$G$9:$G$18,I1756)+1)*100,3000)+J1756-100),IF(J1756=K1756+1,2000+INDEX(Eingabe!$G$9:$G$18,I1756)*10+1,IF(J1756=K1756+2,2000+INDEX(Eingabe!$G$9:$G$18,I1756)*10+2,2000+INDEX(Eingabe!$G$9:$G$18,I1756)*10+9))),""))</f>
        <v/>
      </c>
      <c r="C1756" s="0" t="str">
        <f aca="false">IF(I1756="","",IF(AND(J1756&gt;=1,J1756&lt;=K1756+3),"10."&amp;INDEX(Eingabe!$D$9:$D$18,I1756)&amp;"."&amp;IF(J1756&lt;=K1756,J1756,IF(J1756=K1756+1,200,IF(J1756=K1756+2,201,250)))&amp;".0/24",""))</f>
        <v/>
      </c>
      <c r="D1756" s="0" t="str">
        <f aca="false">IF(I1756="","",IF(AND(J1756&gt;=1,J1756&lt;=K1756+3),"255.255.255.0",""))</f>
        <v/>
      </c>
      <c r="E1756" s="0" t="str">
        <f aca="false">IF(I1756="","",IF(AND(J1756&gt;=1,J1756&lt;=K1756+3),"10."&amp;INDEX(Eingabe!$D$9:$D$18,I1756)&amp;"."&amp;IF(J1756&lt;=K1756,J1756,IF(J1756=K1756+1,200,IF(J1756=K1756+2,201,250)))&amp;".1",""))</f>
        <v/>
      </c>
      <c r="F1756" s="0" t="str">
        <f aca="false">IF(I1756="","",IF(AND(J1756&gt;=1,J1756&lt;=K1756+3),"10."&amp;INDEX(Eingabe!$D$9:$D$18,I1756)&amp;"."&amp;IF(J1756&lt;=K1756,J1756,IF(J1756=K1756+1,200,IF(J1756=K1756+2,201,250)))&amp;".10 – 10."&amp;INDEX(Eingabe!$D$9:$D$18,I1756)&amp;"."&amp;IF(J1756&lt;=K1756,J1756,IF(J1756=K1756+1,200,IF(J1756=K1756+2,201,250)))&amp;".250",""))</f>
        <v/>
      </c>
      <c r="G1756" s="0" t="str">
        <f aca="false">IF(I1756="","",IF(AND(J1756&gt;=1,J1756&lt;=K1756),Eingabe!$B$6&amp;"-"&amp;INDEX(Eingabe!$C$9:$C$18,I1756)&amp;"-Pächter  ·  Passwort Parzelle "&amp;J1756,IF(J1756=K1756+1,Eingabe!$B$6&amp;"-"&amp;INDEX(Eingabe!$C$9:$C$18,I1756)&amp;"-Vorstand  ·  eigenes WLAN",IF(J1756=K1756+2,Eingabe!$B$6&amp;"-"&amp;INDEX(Eingabe!$C$9:$C$18,I1756)&amp;"-Gäste  ·  Voucher",IF(J1756=K1756+3,"Kabel  ·  Access Point y = .(50+y), Mast-Switch x = .(10+x)","")))))</f>
        <v/>
      </c>
      <c r="I1756" s="0" t="str">
        <f aca="false">IF(1751&lt;=(Eingabe!$P$18+Eingabe!$Q$18-1),MATCH(1751,Eingabe!$P$9:$P$18,1),"")</f>
        <v/>
      </c>
      <c r="J1756" s="0" t="str">
        <f aca="false">IF(I1756="","",1751-INDEX(Eingabe!$P$9:$P$18,I1756))</f>
        <v/>
      </c>
      <c r="K1756" s="0" t="str">
        <f aca="false">IF(I1756="","",INDEX(Eingabe!$E$9:$E$18,I1756))</f>
        <v/>
      </c>
    </row>
    <row r="1757" customFormat="false" ht="15" hidden="false" customHeight="false" outlineLevel="0" collapsed="false">
      <c r="A1757" s="0" t="str">
        <f aca="false">IF(I1757="","",IF(J1757=0,"Sparte "&amp;I1757&amp;": "&amp;INDEX(Eingabe!$B$9:$B$18,I1757)&amp;"  (Sparten-ID "&amp;INDEX(Eingabe!$D$9:$D$18,I1757)&amp;", "&amp;K1757&amp;" Parzellen)",IF(J1757&lt;=K1757,"   Parzelle "&amp;J1757,IF(J1757=K1757+1,"   Vorstand",IF(J1757=K1757+2,"   Gäste",IF(J1757=K1757+3,"   Technik (Switches, Access Points)",""))))))</f>
        <v/>
      </c>
      <c r="B1757" s="0" t="str">
        <f aca="false">IF(I1757="","",IF(AND(J1757&gt;=1,J1757&lt;=K1757+3),IF(J1757&lt;=K1757,IF(J1757&lt;=99,IF((INDEX(Eingabe!$G$9:$G$18,I1757))&lt;=9,1000+(INDEX(Eingabe!$G$9:$G$18,I1757))*100,3000)+J1757,IF((INDEX(Eingabe!$G$9:$G$18,I1757)+1)&lt;=9,1000+(INDEX(Eingabe!$G$9:$G$18,I1757)+1)*100,3000)+J1757-100),IF(J1757=K1757+1,2000+INDEX(Eingabe!$G$9:$G$18,I1757)*10+1,IF(J1757=K1757+2,2000+INDEX(Eingabe!$G$9:$G$18,I1757)*10+2,2000+INDEX(Eingabe!$G$9:$G$18,I1757)*10+9))),""))</f>
        <v/>
      </c>
      <c r="C1757" s="0" t="str">
        <f aca="false">IF(I1757="","",IF(AND(J1757&gt;=1,J1757&lt;=K1757+3),"10."&amp;INDEX(Eingabe!$D$9:$D$18,I1757)&amp;"."&amp;IF(J1757&lt;=K1757,J1757,IF(J1757=K1757+1,200,IF(J1757=K1757+2,201,250)))&amp;".0/24",""))</f>
        <v/>
      </c>
      <c r="D1757" s="0" t="str">
        <f aca="false">IF(I1757="","",IF(AND(J1757&gt;=1,J1757&lt;=K1757+3),"255.255.255.0",""))</f>
        <v/>
      </c>
      <c r="E1757" s="0" t="str">
        <f aca="false">IF(I1757="","",IF(AND(J1757&gt;=1,J1757&lt;=K1757+3),"10."&amp;INDEX(Eingabe!$D$9:$D$18,I1757)&amp;"."&amp;IF(J1757&lt;=K1757,J1757,IF(J1757=K1757+1,200,IF(J1757=K1757+2,201,250)))&amp;".1",""))</f>
        <v/>
      </c>
      <c r="F1757" s="0" t="str">
        <f aca="false">IF(I1757="","",IF(AND(J1757&gt;=1,J1757&lt;=K1757+3),"10."&amp;INDEX(Eingabe!$D$9:$D$18,I1757)&amp;"."&amp;IF(J1757&lt;=K1757,J1757,IF(J1757=K1757+1,200,IF(J1757=K1757+2,201,250)))&amp;".10 – 10."&amp;INDEX(Eingabe!$D$9:$D$18,I1757)&amp;"."&amp;IF(J1757&lt;=K1757,J1757,IF(J1757=K1757+1,200,IF(J1757=K1757+2,201,250)))&amp;".250",""))</f>
        <v/>
      </c>
      <c r="G1757" s="0" t="str">
        <f aca="false">IF(I1757="","",IF(AND(J1757&gt;=1,J1757&lt;=K1757),Eingabe!$B$6&amp;"-"&amp;INDEX(Eingabe!$C$9:$C$18,I1757)&amp;"-Pächter  ·  Passwort Parzelle "&amp;J1757,IF(J1757=K1757+1,Eingabe!$B$6&amp;"-"&amp;INDEX(Eingabe!$C$9:$C$18,I1757)&amp;"-Vorstand  ·  eigenes WLAN",IF(J1757=K1757+2,Eingabe!$B$6&amp;"-"&amp;INDEX(Eingabe!$C$9:$C$18,I1757)&amp;"-Gäste  ·  Voucher",IF(J1757=K1757+3,"Kabel  ·  Access Point y = .(50+y), Mast-Switch x = .(10+x)","")))))</f>
        <v/>
      </c>
      <c r="I1757" s="0" t="str">
        <f aca="false">IF(1752&lt;=(Eingabe!$P$18+Eingabe!$Q$18-1),MATCH(1752,Eingabe!$P$9:$P$18,1),"")</f>
        <v/>
      </c>
      <c r="J1757" s="0" t="str">
        <f aca="false">IF(I1757="","",1752-INDEX(Eingabe!$P$9:$P$18,I1757))</f>
        <v/>
      </c>
      <c r="K1757" s="0" t="str">
        <f aca="false">IF(I1757="","",INDEX(Eingabe!$E$9:$E$18,I1757))</f>
        <v/>
      </c>
    </row>
    <row r="1758" customFormat="false" ht="15" hidden="false" customHeight="false" outlineLevel="0" collapsed="false">
      <c r="A1758" s="0" t="str">
        <f aca="false">IF(I1758="","",IF(J1758=0,"Sparte "&amp;I1758&amp;": "&amp;INDEX(Eingabe!$B$9:$B$18,I1758)&amp;"  (Sparten-ID "&amp;INDEX(Eingabe!$D$9:$D$18,I1758)&amp;", "&amp;K1758&amp;" Parzellen)",IF(J1758&lt;=K1758,"   Parzelle "&amp;J1758,IF(J1758=K1758+1,"   Vorstand",IF(J1758=K1758+2,"   Gäste",IF(J1758=K1758+3,"   Technik (Switches, Access Points)",""))))))</f>
        <v/>
      </c>
      <c r="B1758" s="0" t="str">
        <f aca="false">IF(I1758="","",IF(AND(J1758&gt;=1,J1758&lt;=K1758+3),IF(J1758&lt;=K1758,IF(J1758&lt;=99,IF((INDEX(Eingabe!$G$9:$G$18,I1758))&lt;=9,1000+(INDEX(Eingabe!$G$9:$G$18,I1758))*100,3000)+J1758,IF((INDEX(Eingabe!$G$9:$G$18,I1758)+1)&lt;=9,1000+(INDEX(Eingabe!$G$9:$G$18,I1758)+1)*100,3000)+J1758-100),IF(J1758=K1758+1,2000+INDEX(Eingabe!$G$9:$G$18,I1758)*10+1,IF(J1758=K1758+2,2000+INDEX(Eingabe!$G$9:$G$18,I1758)*10+2,2000+INDEX(Eingabe!$G$9:$G$18,I1758)*10+9))),""))</f>
        <v/>
      </c>
      <c r="C1758" s="0" t="str">
        <f aca="false">IF(I1758="","",IF(AND(J1758&gt;=1,J1758&lt;=K1758+3),"10."&amp;INDEX(Eingabe!$D$9:$D$18,I1758)&amp;"."&amp;IF(J1758&lt;=K1758,J1758,IF(J1758=K1758+1,200,IF(J1758=K1758+2,201,250)))&amp;".0/24",""))</f>
        <v/>
      </c>
      <c r="D1758" s="0" t="str">
        <f aca="false">IF(I1758="","",IF(AND(J1758&gt;=1,J1758&lt;=K1758+3),"255.255.255.0",""))</f>
        <v/>
      </c>
      <c r="E1758" s="0" t="str">
        <f aca="false">IF(I1758="","",IF(AND(J1758&gt;=1,J1758&lt;=K1758+3),"10."&amp;INDEX(Eingabe!$D$9:$D$18,I1758)&amp;"."&amp;IF(J1758&lt;=K1758,J1758,IF(J1758=K1758+1,200,IF(J1758=K1758+2,201,250)))&amp;".1",""))</f>
        <v/>
      </c>
      <c r="F1758" s="0" t="str">
        <f aca="false">IF(I1758="","",IF(AND(J1758&gt;=1,J1758&lt;=K1758+3),"10."&amp;INDEX(Eingabe!$D$9:$D$18,I1758)&amp;"."&amp;IF(J1758&lt;=K1758,J1758,IF(J1758=K1758+1,200,IF(J1758=K1758+2,201,250)))&amp;".10 – 10."&amp;INDEX(Eingabe!$D$9:$D$18,I1758)&amp;"."&amp;IF(J1758&lt;=K1758,J1758,IF(J1758=K1758+1,200,IF(J1758=K1758+2,201,250)))&amp;".250",""))</f>
        <v/>
      </c>
      <c r="G1758" s="0" t="str">
        <f aca="false">IF(I1758="","",IF(AND(J1758&gt;=1,J1758&lt;=K1758),Eingabe!$B$6&amp;"-"&amp;INDEX(Eingabe!$C$9:$C$18,I1758)&amp;"-Pächter  ·  Passwort Parzelle "&amp;J1758,IF(J1758=K1758+1,Eingabe!$B$6&amp;"-"&amp;INDEX(Eingabe!$C$9:$C$18,I1758)&amp;"-Vorstand  ·  eigenes WLAN",IF(J1758=K1758+2,Eingabe!$B$6&amp;"-"&amp;INDEX(Eingabe!$C$9:$C$18,I1758)&amp;"-Gäste  ·  Voucher",IF(J1758=K1758+3,"Kabel  ·  Access Point y = .(50+y), Mast-Switch x = .(10+x)","")))))</f>
        <v/>
      </c>
      <c r="I1758" s="0" t="str">
        <f aca="false">IF(1753&lt;=(Eingabe!$P$18+Eingabe!$Q$18-1),MATCH(1753,Eingabe!$P$9:$P$18,1),"")</f>
        <v/>
      </c>
      <c r="J1758" s="0" t="str">
        <f aca="false">IF(I1758="","",1753-INDEX(Eingabe!$P$9:$P$18,I1758))</f>
        <v/>
      </c>
      <c r="K1758" s="0" t="str">
        <f aca="false">IF(I1758="","",INDEX(Eingabe!$E$9:$E$18,I1758))</f>
        <v/>
      </c>
    </row>
    <row r="1759" customFormat="false" ht="15" hidden="false" customHeight="false" outlineLevel="0" collapsed="false">
      <c r="A1759" s="0" t="str">
        <f aca="false">IF(I1759="","",IF(J1759=0,"Sparte "&amp;I1759&amp;": "&amp;INDEX(Eingabe!$B$9:$B$18,I1759)&amp;"  (Sparten-ID "&amp;INDEX(Eingabe!$D$9:$D$18,I1759)&amp;", "&amp;K1759&amp;" Parzellen)",IF(J1759&lt;=K1759,"   Parzelle "&amp;J1759,IF(J1759=K1759+1,"   Vorstand",IF(J1759=K1759+2,"   Gäste",IF(J1759=K1759+3,"   Technik (Switches, Access Points)",""))))))</f>
        <v/>
      </c>
      <c r="B1759" s="0" t="str">
        <f aca="false">IF(I1759="","",IF(AND(J1759&gt;=1,J1759&lt;=K1759+3),IF(J1759&lt;=K1759,IF(J1759&lt;=99,IF((INDEX(Eingabe!$G$9:$G$18,I1759))&lt;=9,1000+(INDEX(Eingabe!$G$9:$G$18,I1759))*100,3000)+J1759,IF((INDEX(Eingabe!$G$9:$G$18,I1759)+1)&lt;=9,1000+(INDEX(Eingabe!$G$9:$G$18,I1759)+1)*100,3000)+J1759-100),IF(J1759=K1759+1,2000+INDEX(Eingabe!$G$9:$G$18,I1759)*10+1,IF(J1759=K1759+2,2000+INDEX(Eingabe!$G$9:$G$18,I1759)*10+2,2000+INDEX(Eingabe!$G$9:$G$18,I1759)*10+9))),""))</f>
        <v/>
      </c>
      <c r="C1759" s="0" t="str">
        <f aca="false">IF(I1759="","",IF(AND(J1759&gt;=1,J1759&lt;=K1759+3),"10."&amp;INDEX(Eingabe!$D$9:$D$18,I1759)&amp;"."&amp;IF(J1759&lt;=K1759,J1759,IF(J1759=K1759+1,200,IF(J1759=K1759+2,201,250)))&amp;".0/24",""))</f>
        <v/>
      </c>
      <c r="D1759" s="0" t="str">
        <f aca="false">IF(I1759="","",IF(AND(J1759&gt;=1,J1759&lt;=K1759+3),"255.255.255.0",""))</f>
        <v/>
      </c>
      <c r="E1759" s="0" t="str">
        <f aca="false">IF(I1759="","",IF(AND(J1759&gt;=1,J1759&lt;=K1759+3),"10."&amp;INDEX(Eingabe!$D$9:$D$18,I1759)&amp;"."&amp;IF(J1759&lt;=K1759,J1759,IF(J1759=K1759+1,200,IF(J1759=K1759+2,201,250)))&amp;".1",""))</f>
        <v/>
      </c>
      <c r="F1759" s="0" t="str">
        <f aca="false">IF(I1759="","",IF(AND(J1759&gt;=1,J1759&lt;=K1759+3),"10."&amp;INDEX(Eingabe!$D$9:$D$18,I1759)&amp;"."&amp;IF(J1759&lt;=K1759,J1759,IF(J1759=K1759+1,200,IF(J1759=K1759+2,201,250)))&amp;".10 – 10."&amp;INDEX(Eingabe!$D$9:$D$18,I1759)&amp;"."&amp;IF(J1759&lt;=K1759,J1759,IF(J1759=K1759+1,200,IF(J1759=K1759+2,201,250)))&amp;".250",""))</f>
        <v/>
      </c>
      <c r="G1759" s="0" t="str">
        <f aca="false">IF(I1759="","",IF(AND(J1759&gt;=1,J1759&lt;=K1759),Eingabe!$B$6&amp;"-"&amp;INDEX(Eingabe!$C$9:$C$18,I1759)&amp;"-Pächter  ·  Passwort Parzelle "&amp;J1759,IF(J1759=K1759+1,Eingabe!$B$6&amp;"-"&amp;INDEX(Eingabe!$C$9:$C$18,I1759)&amp;"-Vorstand  ·  eigenes WLAN",IF(J1759=K1759+2,Eingabe!$B$6&amp;"-"&amp;INDEX(Eingabe!$C$9:$C$18,I1759)&amp;"-Gäste  ·  Voucher",IF(J1759=K1759+3,"Kabel  ·  Access Point y = .(50+y), Mast-Switch x = .(10+x)","")))))</f>
        <v/>
      </c>
      <c r="I1759" s="0" t="str">
        <f aca="false">IF(1754&lt;=(Eingabe!$P$18+Eingabe!$Q$18-1),MATCH(1754,Eingabe!$P$9:$P$18,1),"")</f>
        <v/>
      </c>
      <c r="J1759" s="0" t="str">
        <f aca="false">IF(I1759="","",1754-INDEX(Eingabe!$P$9:$P$18,I1759))</f>
        <v/>
      </c>
      <c r="K1759" s="0" t="str">
        <f aca="false">IF(I1759="","",INDEX(Eingabe!$E$9:$E$18,I1759))</f>
        <v/>
      </c>
    </row>
    <row r="1760" customFormat="false" ht="15" hidden="false" customHeight="false" outlineLevel="0" collapsed="false">
      <c r="A1760" s="0" t="str">
        <f aca="false">IF(I1760="","",IF(J1760=0,"Sparte "&amp;I1760&amp;": "&amp;INDEX(Eingabe!$B$9:$B$18,I1760)&amp;"  (Sparten-ID "&amp;INDEX(Eingabe!$D$9:$D$18,I1760)&amp;", "&amp;K1760&amp;" Parzellen)",IF(J1760&lt;=K1760,"   Parzelle "&amp;J1760,IF(J1760=K1760+1,"   Vorstand",IF(J1760=K1760+2,"   Gäste",IF(J1760=K1760+3,"   Technik (Switches, Access Points)",""))))))</f>
        <v/>
      </c>
      <c r="B1760" s="0" t="str">
        <f aca="false">IF(I1760="","",IF(AND(J1760&gt;=1,J1760&lt;=K1760+3),IF(J1760&lt;=K1760,IF(J1760&lt;=99,IF((INDEX(Eingabe!$G$9:$G$18,I1760))&lt;=9,1000+(INDEX(Eingabe!$G$9:$G$18,I1760))*100,3000)+J1760,IF((INDEX(Eingabe!$G$9:$G$18,I1760)+1)&lt;=9,1000+(INDEX(Eingabe!$G$9:$G$18,I1760)+1)*100,3000)+J1760-100),IF(J1760=K1760+1,2000+INDEX(Eingabe!$G$9:$G$18,I1760)*10+1,IF(J1760=K1760+2,2000+INDEX(Eingabe!$G$9:$G$18,I1760)*10+2,2000+INDEX(Eingabe!$G$9:$G$18,I1760)*10+9))),""))</f>
        <v/>
      </c>
      <c r="C1760" s="0" t="str">
        <f aca="false">IF(I1760="","",IF(AND(J1760&gt;=1,J1760&lt;=K1760+3),"10."&amp;INDEX(Eingabe!$D$9:$D$18,I1760)&amp;"."&amp;IF(J1760&lt;=K1760,J1760,IF(J1760=K1760+1,200,IF(J1760=K1760+2,201,250)))&amp;".0/24",""))</f>
        <v/>
      </c>
      <c r="D1760" s="0" t="str">
        <f aca="false">IF(I1760="","",IF(AND(J1760&gt;=1,J1760&lt;=K1760+3),"255.255.255.0",""))</f>
        <v/>
      </c>
      <c r="E1760" s="0" t="str">
        <f aca="false">IF(I1760="","",IF(AND(J1760&gt;=1,J1760&lt;=K1760+3),"10."&amp;INDEX(Eingabe!$D$9:$D$18,I1760)&amp;"."&amp;IF(J1760&lt;=K1760,J1760,IF(J1760=K1760+1,200,IF(J1760=K1760+2,201,250)))&amp;".1",""))</f>
        <v/>
      </c>
      <c r="F1760" s="0" t="str">
        <f aca="false">IF(I1760="","",IF(AND(J1760&gt;=1,J1760&lt;=K1760+3),"10."&amp;INDEX(Eingabe!$D$9:$D$18,I1760)&amp;"."&amp;IF(J1760&lt;=K1760,J1760,IF(J1760=K1760+1,200,IF(J1760=K1760+2,201,250)))&amp;".10 – 10."&amp;INDEX(Eingabe!$D$9:$D$18,I1760)&amp;"."&amp;IF(J1760&lt;=K1760,J1760,IF(J1760=K1760+1,200,IF(J1760=K1760+2,201,250)))&amp;".250",""))</f>
        <v/>
      </c>
      <c r="G1760" s="0" t="str">
        <f aca="false">IF(I1760="","",IF(AND(J1760&gt;=1,J1760&lt;=K1760),Eingabe!$B$6&amp;"-"&amp;INDEX(Eingabe!$C$9:$C$18,I1760)&amp;"-Pächter  ·  Passwort Parzelle "&amp;J1760,IF(J1760=K1760+1,Eingabe!$B$6&amp;"-"&amp;INDEX(Eingabe!$C$9:$C$18,I1760)&amp;"-Vorstand  ·  eigenes WLAN",IF(J1760=K1760+2,Eingabe!$B$6&amp;"-"&amp;INDEX(Eingabe!$C$9:$C$18,I1760)&amp;"-Gäste  ·  Voucher",IF(J1760=K1760+3,"Kabel  ·  Access Point y = .(50+y), Mast-Switch x = .(10+x)","")))))</f>
        <v/>
      </c>
      <c r="I1760" s="0" t="str">
        <f aca="false">IF(1755&lt;=(Eingabe!$P$18+Eingabe!$Q$18-1),MATCH(1755,Eingabe!$P$9:$P$18,1),"")</f>
        <v/>
      </c>
      <c r="J1760" s="0" t="str">
        <f aca="false">IF(I1760="","",1755-INDEX(Eingabe!$P$9:$P$18,I1760))</f>
        <v/>
      </c>
      <c r="K1760" s="0" t="str">
        <f aca="false">IF(I1760="","",INDEX(Eingabe!$E$9:$E$18,I1760))</f>
        <v/>
      </c>
    </row>
    <row r="1761" customFormat="false" ht="15" hidden="false" customHeight="false" outlineLevel="0" collapsed="false">
      <c r="A1761" s="0" t="str">
        <f aca="false">IF(I1761="","",IF(J1761=0,"Sparte "&amp;I1761&amp;": "&amp;INDEX(Eingabe!$B$9:$B$18,I1761)&amp;"  (Sparten-ID "&amp;INDEX(Eingabe!$D$9:$D$18,I1761)&amp;", "&amp;K1761&amp;" Parzellen)",IF(J1761&lt;=K1761,"   Parzelle "&amp;J1761,IF(J1761=K1761+1,"   Vorstand",IF(J1761=K1761+2,"   Gäste",IF(J1761=K1761+3,"   Technik (Switches, Access Points)",""))))))</f>
        <v/>
      </c>
      <c r="B1761" s="0" t="str">
        <f aca="false">IF(I1761="","",IF(AND(J1761&gt;=1,J1761&lt;=K1761+3),IF(J1761&lt;=K1761,IF(J1761&lt;=99,IF((INDEX(Eingabe!$G$9:$G$18,I1761))&lt;=9,1000+(INDEX(Eingabe!$G$9:$G$18,I1761))*100,3000)+J1761,IF((INDEX(Eingabe!$G$9:$G$18,I1761)+1)&lt;=9,1000+(INDEX(Eingabe!$G$9:$G$18,I1761)+1)*100,3000)+J1761-100),IF(J1761=K1761+1,2000+INDEX(Eingabe!$G$9:$G$18,I1761)*10+1,IF(J1761=K1761+2,2000+INDEX(Eingabe!$G$9:$G$18,I1761)*10+2,2000+INDEX(Eingabe!$G$9:$G$18,I1761)*10+9))),""))</f>
        <v/>
      </c>
      <c r="C1761" s="0" t="str">
        <f aca="false">IF(I1761="","",IF(AND(J1761&gt;=1,J1761&lt;=K1761+3),"10."&amp;INDEX(Eingabe!$D$9:$D$18,I1761)&amp;"."&amp;IF(J1761&lt;=K1761,J1761,IF(J1761=K1761+1,200,IF(J1761=K1761+2,201,250)))&amp;".0/24",""))</f>
        <v/>
      </c>
      <c r="D1761" s="0" t="str">
        <f aca="false">IF(I1761="","",IF(AND(J1761&gt;=1,J1761&lt;=K1761+3),"255.255.255.0",""))</f>
        <v/>
      </c>
      <c r="E1761" s="0" t="str">
        <f aca="false">IF(I1761="","",IF(AND(J1761&gt;=1,J1761&lt;=K1761+3),"10."&amp;INDEX(Eingabe!$D$9:$D$18,I1761)&amp;"."&amp;IF(J1761&lt;=K1761,J1761,IF(J1761=K1761+1,200,IF(J1761=K1761+2,201,250)))&amp;".1",""))</f>
        <v/>
      </c>
      <c r="F1761" s="0" t="str">
        <f aca="false">IF(I1761="","",IF(AND(J1761&gt;=1,J1761&lt;=K1761+3),"10."&amp;INDEX(Eingabe!$D$9:$D$18,I1761)&amp;"."&amp;IF(J1761&lt;=K1761,J1761,IF(J1761=K1761+1,200,IF(J1761=K1761+2,201,250)))&amp;".10 – 10."&amp;INDEX(Eingabe!$D$9:$D$18,I1761)&amp;"."&amp;IF(J1761&lt;=K1761,J1761,IF(J1761=K1761+1,200,IF(J1761=K1761+2,201,250)))&amp;".250",""))</f>
        <v/>
      </c>
      <c r="G1761" s="0" t="str">
        <f aca="false">IF(I1761="","",IF(AND(J1761&gt;=1,J1761&lt;=K1761),Eingabe!$B$6&amp;"-"&amp;INDEX(Eingabe!$C$9:$C$18,I1761)&amp;"-Pächter  ·  Passwort Parzelle "&amp;J1761,IF(J1761=K1761+1,Eingabe!$B$6&amp;"-"&amp;INDEX(Eingabe!$C$9:$C$18,I1761)&amp;"-Vorstand  ·  eigenes WLAN",IF(J1761=K1761+2,Eingabe!$B$6&amp;"-"&amp;INDEX(Eingabe!$C$9:$C$18,I1761)&amp;"-Gäste  ·  Voucher",IF(J1761=K1761+3,"Kabel  ·  Access Point y = .(50+y), Mast-Switch x = .(10+x)","")))))</f>
        <v/>
      </c>
      <c r="I1761" s="0" t="str">
        <f aca="false">IF(1756&lt;=(Eingabe!$P$18+Eingabe!$Q$18-1),MATCH(1756,Eingabe!$P$9:$P$18,1),"")</f>
        <v/>
      </c>
      <c r="J1761" s="0" t="str">
        <f aca="false">IF(I1761="","",1756-INDEX(Eingabe!$P$9:$P$18,I1761))</f>
        <v/>
      </c>
      <c r="K1761" s="0" t="str">
        <f aca="false">IF(I1761="","",INDEX(Eingabe!$E$9:$E$18,I1761))</f>
        <v/>
      </c>
    </row>
    <row r="1762" customFormat="false" ht="15" hidden="false" customHeight="false" outlineLevel="0" collapsed="false">
      <c r="A1762" s="0" t="str">
        <f aca="false">IF(I1762="","",IF(J1762=0,"Sparte "&amp;I1762&amp;": "&amp;INDEX(Eingabe!$B$9:$B$18,I1762)&amp;"  (Sparten-ID "&amp;INDEX(Eingabe!$D$9:$D$18,I1762)&amp;", "&amp;K1762&amp;" Parzellen)",IF(J1762&lt;=K1762,"   Parzelle "&amp;J1762,IF(J1762=K1762+1,"   Vorstand",IF(J1762=K1762+2,"   Gäste",IF(J1762=K1762+3,"   Technik (Switches, Access Points)",""))))))</f>
        <v/>
      </c>
      <c r="B1762" s="0" t="str">
        <f aca="false">IF(I1762="","",IF(AND(J1762&gt;=1,J1762&lt;=K1762+3),IF(J1762&lt;=K1762,IF(J1762&lt;=99,IF((INDEX(Eingabe!$G$9:$G$18,I1762))&lt;=9,1000+(INDEX(Eingabe!$G$9:$G$18,I1762))*100,3000)+J1762,IF((INDEX(Eingabe!$G$9:$G$18,I1762)+1)&lt;=9,1000+(INDEX(Eingabe!$G$9:$G$18,I1762)+1)*100,3000)+J1762-100),IF(J1762=K1762+1,2000+INDEX(Eingabe!$G$9:$G$18,I1762)*10+1,IF(J1762=K1762+2,2000+INDEX(Eingabe!$G$9:$G$18,I1762)*10+2,2000+INDEX(Eingabe!$G$9:$G$18,I1762)*10+9))),""))</f>
        <v/>
      </c>
      <c r="C1762" s="0" t="str">
        <f aca="false">IF(I1762="","",IF(AND(J1762&gt;=1,J1762&lt;=K1762+3),"10."&amp;INDEX(Eingabe!$D$9:$D$18,I1762)&amp;"."&amp;IF(J1762&lt;=K1762,J1762,IF(J1762=K1762+1,200,IF(J1762=K1762+2,201,250)))&amp;".0/24",""))</f>
        <v/>
      </c>
      <c r="D1762" s="0" t="str">
        <f aca="false">IF(I1762="","",IF(AND(J1762&gt;=1,J1762&lt;=K1762+3),"255.255.255.0",""))</f>
        <v/>
      </c>
      <c r="E1762" s="0" t="str">
        <f aca="false">IF(I1762="","",IF(AND(J1762&gt;=1,J1762&lt;=K1762+3),"10."&amp;INDEX(Eingabe!$D$9:$D$18,I1762)&amp;"."&amp;IF(J1762&lt;=K1762,J1762,IF(J1762=K1762+1,200,IF(J1762=K1762+2,201,250)))&amp;".1",""))</f>
        <v/>
      </c>
      <c r="F1762" s="0" t="str">
        <f aca="false">IF(I1762="","",IF(AND(J1762&gt;=1,J1762&lt;=K1762+3),"10."&amp;INDEX(Eingabe!$D$9:$D$18,I1762)&amp;"."&amp;IF(J1762&lt;=K1762,J1762,IF(J1762=K1762+1,200,IF(J1762=K1762+2,201,250)))&amp;".10 – 10."&amp;INDEX(Eingabe!$D$9:$D$18,I1762)&amp;"."&amp;IF(J1762&lt;=K1762,J1762,IF(J1762=K1762+1,200,IF(J1762=K1762+2,201,250)))&amp;".250",""))</f>
        <v/>
      </c>
      <c r="G1762" s="0" t="str">
        <f aca="false">IF(I1762="","",IF(AND(J1762&gt;=1,J1762&lt;=K1762),Eingabe!$B$6&amp;"-"&amp;INDEX(Eingabe!$C$9:$C$18,I1762)&amp;"-Pächter  ·  Passwort Parzelle "&amp;J1762,IF(J1762=K1762+1,Eingabe!$B$6&amp;"-"&amp;INDEX(Eingabe!$C$9:$C$18,I1762)&amp;"-Vorstand  ·  eigenes WLAN",IF(J1762=K1762+2,Eingabe!$B$6&amp;"-"&amp;INDEX(Eingabe!$C$9:$C$18,I1762)&amp;"-Gäste  ·  Voucher",IF(J1762=K1762+3,"Kabel  ·  Access Point y = .(50+y), Mast-Switch x = .(10+x)","")))))</f>
        <v/>
      </c>
      <c r="I1762" s="0" t="str">
        <f aca="false">IF(1757&lt;=(Eingabe!$P$18+Eingabe!$Q$18-1),MATCH(1757,Eingabe!$P$9:$P$18,1),"")</f>
        <v/>
      </c>
      <c r="J1762" s="0" t="str">
        <f aca="false">IF(I1762="","",1757-INDEX(Eingabe!$P$9:$P$18,I1762))</f>
        <v/>
      </c>
      <c r="K1762" s="0" t="str">
        <f aca="false">IF(I1762="","",INDEX(Eingabe!$E$9:$E$18,I1762))</f>
        <v/>
      </c>
    </row>
    <row r="1763" customFormat="false" ht="15" hidden="false" customHeight="false" outlineLevel="0" collapsed="false">
      <c r="A1763" s="0" t="str">
        <f aca="false">IF(I1763="","",IF(J1763=0,"Sparte "&amp;I1763&amp;": "&amp;INDEX(Eingabe!$B$9:$B$18,I1763)&amp;"  (Sparten-ID "&amp;INDEX(Eingabe!$D$9:$D$18,I1763)&amp;", "&amp;K1763&amp;" Parzellen)",IF(J1763&lt;=K1763,"   Parzelle "&amp;J1763,IF(J1763=K1763+1,"   Vorstand",IF(J1763=K1763+2,"   Gäste",IF(J1763=K1763+3,"   Technik (Switches, Access Points)",""))))))</f>
        <v/>
      </c>
      <c r="B1763" s="0" t="str">
        <f aca="false">IF(I1763="","",IF(AND(J1763&gt;=1,J1763&lt;=K1763+3),IF(J1763&lt;=K1763,IF(J1763&lt;=99,IF((INDEX(Eingabe!$G$9:$G$18,I1763))&lt;=9,1000+(INDEX(Eingabe!$G$9:$G$18,I1763))*100,3000)+J1763,IF((INDEX(Eingabe!$G$9:$G$18,I1763)+1)&lt;=9,1000+(INDEX(Eingabe!$G$9:$G$18,I1763)+1)*100,3000)+J1763-100),IF(J1763=K1763+1,2000+INDEX(Eingabe!$G$9:$G$18,I1763)*10+1,IF(J1763=K1763+2,2000+INDEX(Eingabe!$G$9:$G$18,I1763)*10+2,2000+INDEX(Eingabe!$G$9:$G$18,I1763)*10+9))),""))</f>
        <v/>
      </c>
      <c r="C1763" s="0" t="str">
        <f aca="false">IF(I1763="","",IF(AND(J1763&gt;=1,J1763&lt;=K1763+3),"10."&amp;INDEX(Eingabe!$D$9:$D$18,I1763)&amp;"."&amp;IF(J1763&lt;=K1763,J1763,IF(J1763=K1763+1,200,IF(J1763=K1763+2,201,250)))&amp;".0/24",""))</f>
        <v/>
      </c>
      <c r="D1763" s="0" t="str">
        <f aca="false">IF(I1763="","",IF(AND(J1763&gt;=1,J1763&lt;=K1763+3),"255.255.255.0",""))</f>
        <v/>
      </c>
      <c r="E1763" s="0" t="str">
        <f aca="false">IF(I1763="","",IF(AND(J1763&gt;=1,J1763&lt;=K1763+3),"10."&amp;INDEX(Eingabe!$D$9:$D$18,I1763)&amp;"."&amp;IF(J1763&lt;=K1763,J1763,IF(J1763=K1763+1,200,IF(J1763=K1763+2,201,250)))&amp;".1",""))</f>
        <v/>
      </c>
      <c r="F1763" s="0" t="str">
        <f aca="false">IF(I1763="","",IF(AND(J1763&gt;=1,J1763&lt;=K1763+3),"10."&amp;INDEX(Eingabe!$D$9:$D$18,I1763)&amp;"."&amp;IF(J1763&lt;=K1763,J1763,IF(J1763=K1763+1,200,IF(J1763=K1763+2,201,250)))&amp;".10 – 10."&amp;INDEX(Eingabe!$D$9:$D$18,I1763)&amp;"."&amp;IF(J1763&lt;=K1763,J1763,IF(J1763=K1763+1,200,IF(J1763=K1763+2,201,250)))&amp;".250",""))</f>
        <v/>
      </c>
      <c r="G1763" s="0" t="str">
        <f aca="false">IF(I1763="","",IF(AND(J1763&gt;=1,J1763&lt;=K1763),Eingabe!$B$6&amp;"-"&amp;INDEX(Eingabe!$C$9:$C$18,I1763)&amp;"-Pächter  ·  Passwort Parzelle "&amp;J1763,IF(J1763=K1763+1,Eingabe!$B$6&amp;"-"&amp;INDEX(Eingabe!$C$9:$C$18,I1763)&amp;"-Vorstand  ·  eigenes WLAN",IF(J1763=K1763+2,Eingabe!$B$6&amp;"-"&amp;INDEX(Eingabe!$C$9:$C$18,I1763)&amp;"-Gäste  ·  Voucher",IF(J1763=K1763+3,"Kabel  ·  Access Point y = .(50+y), Mast-Switch x = .(10+x)","")))))</f>
        <v/>
      </c>
      <c r="I1763" s="0" t="str">
        <f aca="false">IF(1758&lt;=(Eingabe!$P$18+Eingabe!$Q$18-1),MATCH(1758,Eingabe!$P$9:$P$18,1),"")</f>
        <v/>
      </c>
      <c r="J1763" s="0" t="str">
        <f aca="false">IF(I1763="","",1758-INDEX(Eingabe!$P$9:$P$18,I1763))</f>
        <v/>
      </c>
      <c r="K1763" s="0" t="str">
        <f aca="false">IF(I1763="","",INDEX(Eingabe!$E$9:$E$18,I1763))</f>
        <v/>
      </c>
    </row>
    <row r="1764" customFormat="false" ht="15" hidden="false" customHeight="false" outlineLevel="0" collapsed="false">
      <c r="A1764" s="0" t="str">
        <f aca="false">IF(I1764="","",IF(J1764=0,"Sparte "&amp;I1764&amp;": "&amp;INDEX(Eingabe!$B$9:$B$18,I1764)&amp;"  (Sparten-ID "&amp;INDEX(Eingabe!$D$9:$D$18,I1764)&amp;", "&amp;K1764&amp;" Parzellen)",IF(J1764&lt;=K1764,"   Parzelle "&amp;J1764,IF(J1764=K1764+1,"   Vorstand",IF(J1764=K1764+2,"   Gäste",IF(J1764=K1764+3,"   Technik (Switches, Access Points)",""))))))</f>
        <v/>
      </c>
      <c r="B1764" s="0" t="str">
        <f aca="false">IF(I1764="","",IF(AND(J1764&gt;=1,J1764&lt;=K1764+3),IF(J1764&lt;=K1764,IF(J1764&lt;=99,IF((INDEX(Eingabe!$G$9:$G$18,I1764))&lt;=9,1000+(INDEX(Eingabe!$G$9:$G$18,I1764))*100,3000)+J1764,IF((INDEX(Eingabe!$G$9:$G$18,I1764)+1)&lt;=9,1000+(INDEX(Eingabe!$G$9:$G$18,I1764)+1)*100,3000)+J1764-100),IF(J1764=K1764+1,2000+INDEX(Eingabe!$G$9:$G$18,I1764)*10+1,IF(J1764=K1764+2,2000+INDEX(Eingabe!$G$9:$G$18,I1764)*10+2,2000+INDEX(Eingabe!$G$9:$G$18,I1764)*10+9))),""))</f>
        <v/>
      </c>
      <c r="C1764" s="0" t="str">
        <f aca="false">IF(I1764="","",IF(AND(J1764&gt;=1,J1764&lt;=K1764+3),"10."&amp;INDEX(Eingabe!$D$9:$D$18,I1764)&amp;"."&amp;IF(J1764&lt;=K1764,J1764,IF(J1764=K1764+1,200,IF(J1764=K1764+2,201,250)))&amp;".0/24",""))</f>
        <v/>
      </c>
      <c r="D1764" s="0" t="str">
        <f aca="false">IF(I1764="","",IF(AND(J1764&gt;=1,J1764&lt;=K1764+3),"255.255.255.0",""))</f>
        <v/>
      </c>
      <c r="E1764" s="0" t="str">
        <f aca="false">IF(I1764="","",IF(AND(J1764&gt;=1,J1764&lt;=K1764+3),"10."&amp;INDEX(Eingabe!$D$9:$D$18,I1764)&amp;"."&amp;IF(J1764&lt;=K1764,J1764,IF(J1764=K1764+1,200,IF(J1764=K1764+2,201,250)))&amp;".1",""))</f>
        <v/>
      </c>
      <c r="F1764" s="0" t="str">
        <f aca="false">IF(I1764="","",IF(AND(J1764&gt;=1,J1764&lt;=K1764+3),"10."&amp;INDEX(Eingabe!$D$9:$D$18,I1764)&amp;"."&amp;IF(J1764&lt;=K1764,J1764,IF(J1764=K1764+1,200,IF(J1764=K1764+2,201,250)))&amp;".10 – 10."&amp;INDEX(Eingabe!$D$9:$D$18,I1764)&amp;"."&amp;IF(J1764&lt;=K1764,J1764,IF(J1764=K1764+1,200,IF(J1764=K1764+2,201,250)))&amp;".250",""))</f>
        <v/>
      </c>
      <c r="G1764" s="0" t="str">
        <f aca="false">IF(I1764="","",IF(AND(J1764&gt;=1,J1764&lt;=K1764),Eingabe!$B$6&amp;"-"&amp;INDEX(Eingabe!$C$9:$C$18,I1764)&amp;"-Pächter  ·  Passwort Parzelle "&amp;J1764,IF(J1764=K1764+1,Eingabe!$B$6&amp;"-"&amp;INDEX(Eingabe!$C$9:$C$18,I1764)&amp;"-Vorstand  ·  eigenes WLAN",IF(J1764=K1764+2,Eingabe!$B$6&amp;"-"&amp;INDEX(Eingabe!$C$9:$C$18,I1764)&amp;"-Gäste  ·  Voucher",IF(J1764=K1764+3,"Kabel  ·  Access Point y = .(50+y), Mast-Switch x = .(10+x)","")))))</f>
        <v/>
      </c>
      <c r="I1764" s="0" t="str">
        <f aca="false">IF(1759&lt;=(Eingabe!$P$18+Eingabe!$Q$18-1),MATCH(1759,Eingabe!$P$9:$P$18,1),"")</f>
        <v/>
      </c>
      <c r="J1764" s="0" t="str">
        <f aca="false">IF(I1764="","",1759-INDEX(Eingabe!$P$9:$P$18,I1764))</f>
        <v/>
      </c>
      <c r="K1764" s="0" t="str">
        <f aca="false">IF(I1764="","",INDEX(Eingabe!$E$9:$E$18,I1764))</f>
        <v/>
      </c>
    </row>
    <row r="1765" customFormat="false" ht="15" hidden="false" customHeight="false" outlineLevel="0" collapsed="false">
      <c r="A1765" s="0" t="str">
        <f aca="false">IF(I1765="","",IF(J1765=0,"Sparte "&amp;I1765&amp;": "&amp;INDEX(Eingabe!$B$9:$B$18,I1765)&amp;"  (Sparten-ID "&amp;INDEX(Eingabe!$D$9:$D$18,I1765)&amp;", "&amp;K1765&amp;" Parzellen)",IF(J1765&lt;=K1765,"   Parzelle "&amp;J1765,IF(J1765=K1765+1,"   Vorstand",IF(J1765=K1765+2,"   Gäste",IF(J1765=K1765+3,"   Technik (Switches, Access Points)",""))))))</f>
        <v/>
      </c>
      <c r="B1765" s="0" t="str">
        <f aca="false">IF(I1765="","",IF(AND(J1765&gt;=1,J1765&lt;=K1765+3),IF(J1765&lt;=K1765,IF(J1765&lt;=99,IF((INDEX(Eingabe!$G$9:$G$18,I1765))&lt;=9,1000+(INDEX(Eingabe!$G$9:$G$18,I1765))*100,3000)+J1765,IF((INDEX(Eingabe!$G$9:$G$18,I1765)+1)&lt;=9,1000+(INDEX(Eingabe!$G$9:$G$18,I1765)+1)*100,3000)+J1765-100),IF(J1765=K1765+1,2000+INDEX(Eingabe!$G$9:$G$18,I1765)*10+1,IF(J1765=K1765+2,2000+INDEX(Eingabe!$G$9:$G$18,I1765)*10+2,2000+INDEX(Eingabe!$G$9:$G$18,I1765)*10+9))),""))</f>
        <v/>
      </c>
      <c r="C1765" s="0" t="str">
        <f aca="false">IF(I1765="","",IF(AND(J1765&gt;=1,J1765&lt;=K1765+3),"10."&amp;INDEX(Eingabe!$D$9:$D$18,I1765)&amp;"."&amp;IF(J1765&lt;=K1765,J1765,IF(J1765=K1765+1,200,IF(J1765=K1765+2,201,250)))&amp;".0/24",""))</f>
        <v/>
      </c>
      <c r="D1765" s="0" t="str">
        <f aca="false">IF(I1765="","",IF(AND(J1765&gt;=1,J1765&lt;=K1765+3),"255.255.255.0",""))</f>
        <v/>
      </c>
      <c r="E1765" s="0" t="str">
        <f aca="false">IF(I1765="","",IF(AND(J1765&gt;=1,J1765&lt;=K1765+3),"10."&amp;INDEX(Eingabe!$D$9:$D$18,I1765)&amp;"."&amp;IF(J1765&lt;=K1765,J1765,IF(J1765=K1765+1,200,IF(J1765=K1765+2,201,250)))&amp;".1",""))</f>
        <v/>
      </c>
      <c r="F1765" s="0" t="str">
        <f aca="false">IF(I1765="","",IF(AND(J1765&gt;=1,J1765&lt;=K1765+3),"10."&amp;INDEX(Eingabe!$D$9:$D$18,I1765)&amp;"."&amp;IF(J1765&lt;=K1765,J1765,IF(J1765=K1765+1,200,IF(J1765=K1765+2,201,250)))&amp;".10 – 10."&amp;INDEX(Eingabe!$D$9:$D$18,I1765)&amp;"."&amp;IF(J1765&lt;=K1765,J1765,IF(J1765=K1765+1,200,IF(J1765=K1765+2,201,250)))&amp;".250",""))</f>
        <v/>
      </c>
      <c r="G1765" s="0" t="str">
        <f aca="false">IF(I1765="","",IF(AND(J1765&gt;=1,J1765&lt;=K1765),Eingabe!$B$6&amp;"-"&amp;INDEX(Eingabe!$C$9:$C$18,I1765)&amp;"-Pächter  ·  Passwort Parzelle "&amp;J1765,IF(J1765=K1765+1,Eingabe!$B$6&amp;"-"&amp;INDEX(Eingabe!$C$9:$C$18,I1765)&amp;"-Vorstand  ·  eigenes WLAN",IF(J1765=K1765+2,Eingabe!$B$6&amp;"-"&amp;INDEX(Eingabe!$C$9:$C$18,I1765)&amp;"-Gäste  ·  Voucher",IF(J1765=K1765+3,"Kabel  ·  Access Point y = .(50+y), Mast-Switch x = .(10+x)","")))))</f>
        <v/>
      </c>
      <c r="I1765" s="0" t="str">
        <f aca="false">IF(1760&lt;=(Eingabe!$P$18+Eingabe!$Q$18-1),MATCH(1760,Eingabe!$P$9:$P$18,1),"")</f>
        <v/>
      </c>
      <c r="J1765" s="0" t="str">
        <f aca="false">IF(I1765="","",1760-INDEX(Eingabe!$P$9:$P$18,I1765))</f>
        <v/>
      </c>
      <c r="K1765" s="0" t="str">
        <f aca="false">IF(I1765="","",INDEX(Eingabe!$E$9:$E$18,I1765))</f>
        <v/>
      </c>
    </row>
    <row r="1766" customFormat="false" ht="15" hidden="false" customHeight="false" outlineLevel="0" collapsed="false">
      <c r="A1766" s="0" t="str">
        <f aca="false">IF(I1766="","",IF(J1766=0,"Sparte "&amp;I1766&amp;": "&amp;INDEX(Eingabe!$B$9:$B$18,I1766)&amp;"  (Sparten-ID "&amp;INDEX(Eingabe!$D$9:$D$18,I1766)&amp;", "&amp;K1766&amp;" Parzellen)",IF(J1766&lt;=K1766,"   Parzelle "&amp;J1766,IF(J1766=K1766+1,"   Vorstand",IF(J1766=K1766+2,"   Gäste",IF(J1766=K1766+3,"   Technik (Switches, Access Points)",""))))))</f>
        <v/>
      </c>
      <c r="B1766" s="0" t="str">
        <f aca="false">IF(I1766="","",IF(AND(J1766&gt;=1,J1766&lt;=K1766+3),IF(J1766&lt;=K1766,IF(J1766&lt;=99,IF((INDEX(Eingabe!$G$9:$G$18,I1766))&lt;=9,1000+(INDEX(Eingabe!$G$9:$G$18,I1766))*100,3000)+J1766,IF((INDEX(Eingabe!$G$9:$G$18,I1766)+1)&lt;=9,1000+(INDEX(Eingabe!$G$9:$G$18,I1766)+1)*100,3000)+J1766-100),IF(J1766=K1766+1,2000+INDEX(Eingabe!$G$9:$G$18,I1766)*10+1,IF(J1766=K1766+2,2000+INDEX(Eingabe!$G$9:$G$18,I1766)*10+2,2000+INDEX(Eingabe!$G$9:$G$18,I1766)*10+9))),""))</f>
        <v/>
      </c>
      <c r="C1766" s="0" t="str">
        <f aca="false">IF(I1766="","",IF(AND(J1766&gt;=1,J1766&lt;=K1766+3),"10."&amp;INDEX(Eingabe!$D$9:$D$18,I1766)&amp;"."&amp;IF(J1766&lt;=K1766,J1766,IF(J1766=K1766+1,200,IF(J1766=K1766+2,201,250)))&amp;".0/24",""))</f>
        <v/>
      </c>
      <c r="D1766" s="0" t="str">
        <f aca="false">IF(I1766="","",IF(AND(J1766&gt;=1,J1766&lt;=K1766+3),"255.255.255.0",""))</f>
        <v/>
      </c>
      <c r="E1766" s="0" t="str">
        <f aca="false">IF(I1766="","",IF(AND(J1766&gt;=1,J1766&lt;=K1766+3),"10."&amp;INDEX(Eingabe!$D$9:$D$18,I1766)&amp;"."&amp;IF(J1766&lt;=K1766,J1766,IF(J1766=K1766+1,200,IF(J1766=K1766+2,201,250)))&amp;".1",""))</f>
        <v/>
      </c>
      <c r="F1766" s="0" t="str">
        <f aca="false">IF(I1766="","",IF(AND(J1766&gt;=1,J1766&lt;=K1766+3),"10."&amp;INDEX(Eingabe!$D$9:$D$18,I1766)&amp;"."&amp;IF(J1766&lt;=K1766,J1766,IF(J1766=K1766+1,200,IF(J1766=K1766+2,201,250)))&amp;".10 – 10."&amp;INDEX(Eingabe!$D$9:$D$18,I1766)&amp;"."&amp;IF(J1766&lt;=K1766,J1766,IF(J1766=K1766+1,200,IF(J1766=K1766+2,201,250)))&amp;".250",""))</f>
        <v/>
      </c>
      <c r="G1766" s="0" t="str">
        <f aca="false">IF(I1766="","",IF(AND(J1766&gt;=1,J1766&lt;=K1766),Eingabe!$B$6&amp;"-"&amp;INDEX(Eingabe!$C$9:$C$18,I1766)&amp;"-Pächter  ·  Passwort Parzelle "&amp;J1766,IF(J1766=K1766+1,Eingabe!$B$6&amp;"-"&amp;INDEX(Eingabe!$C$9:$C$18,I1766)&amp;"-Vorstand  ·  eigenes WLAN",IF(J1766=K1766+2,Eingabe!$B$6&amp;"-"&amp;INDEX(Eingabe!$C$9:$C$18,I1766)&amp;"-Gäste  ·  Voucher",IF(J1766=K1766+3,"Kabel  ·  Access Point y = .(50+y), Mast-Switch x = .(10+x)","")))))</f>
        <v/>
      </c>
      <c r="I1766" s="0" t="str">
        <f aca="false">IF(1761&lt;=(Eingabe!$P$18+Eingabe!$Q$18-1),MATCH(1761,Eingabe!$P$9:$P$18,1),"")</f>
        <v/>
      </c>
      <c r="J1766" s="0" t="str">
        <f aca="false">IF(I1766="","",1761-INDEX(Eingabe!$P$9:$P$18,I1766))</f>
        <v/>
      </c>
      <c r="K1766" s="0" t="str">
        <f aca="false">IF(I1766="","",INDEX(Eingabe!$E$9:$E$18,I1766))</f>
        <v/>
      </c>
    </row>
    <row r="1767" customFormat="false" ht="15" hidden="false" customHeight="false" outlineLevel="0" collapsed="false">
      <c r="A1767" s="0" t="str">
        <f aca="false">IF(I1767="","",IF(J1767=0,"Sparte "&amp;I1767&amp;": "&amp;INDEX(Eingabe!$B$9:$B$18,I1767)&amp;"  (Sparten-ID "&amp;INDEX(Eingabe!$D$9:$D$18,I1767)&amp;", "&amp;K1767&amp;" Parzellen)",IF(J1767&lt;=K1767,"   Parzelle "&amp;J1767,IF(J1767=K1767+1,"   Vorstand",IF(J1767=K1767+2,"   Gäste",IF(J1767=K1767+3,"   Technik (Switches, Access Points)",""))))))</f>
        <v/>
      </c>
      <c r="B1767" s="0" t="str">
        <f aca="false">IF(I1767="","",IF(AND(J1767&gt;=1,J1767&lt;=K1767+3),IF(J1767&lt;=K1767,IF(J1767&lt;=99,IF((INDEX(Eingabe!$G$9:$G$18,I1767))&lt;=9,1000+(INDEX(Eingabe!$G$9:$G$18,I1767))*100,3000)+J1767,IF((INDEX(Eingabe!$G$9:$G$18,I1767)+1)&lt;=9,1000+(INDEX(Eingabe!$G$9:$G$18,I1767)+1)*100,3000)+J1767-100),IF(J1767=K1767+1,2000+INDEX(Eingabe!$G$9:$G$18,I1767)*10+1,IF(J1767=K1767+2,2000+INDEX(Eingabe!$G$9:$G$18,I1767)*10+2,2000+INDEX(Eingabe!$G$9:$G$18,I1767)*10+9))),""))</f>
        <v/>
      </c>
      <c r="C1767" s="0" t="str">
        <f aca="false">IF(I1767="","",IF(AND(J1767&gt;=1,J1767&lt;=K1767+3),"10."&amp;INDEX(Eingabe!$D$9:$D$18,I1767)&amp;"."&amp;IF(J1767&lt;=K1767,J1767,IF(J1767=K1767+1,200,IF(J1767=K1767+2,201,250)))&amp;".0/24",""))</f>
        <v/>
      </c>
      <c r="D1767" s="0" t="str">
        <f aca="false">IF(I1767="","",IF(AND(J1767&gt;=1,J1767&lt;=K1767+3),"255.255.255.0",""))</f>
        <v/>
      </c>
      <c r="E1767" s="0" t="str">
        <f aca="false">IF(I1767="","",IF(AND(J1767&gt;=1,J1767&lt;=K1767+3),"10."&amp;INDEX(Eingabe!$D$9:$D$18,I1767)&amp;"."&amp;IF(J1767&lt;=K1767,J1767,IF(J1767=K1767+1,200,IF(J1767=K1767+2,201,250)))&amp;".1",""))</f>
        <v/>
      </c>
      <c r="F1767" s="0" t="str">
        <f aca="false">IF(I1767="","",IF(AND(J1767&gt;=1,J1767&lt;=K1767+3),"10."&amp;INDEX(Eingabe!$D$9:$D$18,I1767)&amp;"."&amp;IF(J1767&lt;=K1767,J1767,IF(J1767=K1767+1,200,IF(J1767=K1767+2,201,250)))&amp;".10 – 10."&amp;INDEX(Eingabe!$D$9:$D$18,I1767)&amp;"."&amp;IF(J1767&lt;=K1767,J1767,IF(J1767=K1767+1,200,IF(J1767=K1767+2,201,250)))&amp;".250",""))</f>
        <v/>
      </c>
      <c r="G1767" s="0" t="str">
        <f aca="false">IF(I1767="","",IF(AND(J1767&gt;=1,J1767&lt;=K1767),Eingabe!$B$6&amp;"-"&amp;INDEX(Eingabe!$C$9:$C$18,I1767)&amp;"-Pächter  ·  Passwort Parzelle "&amp;J1767,IF(J1767=K1767+1,Eingabe!$B$6&amp;"-"&amp;INDEX(Eingabe!$C$9:$C$18,I1767)&amp;"-Vorstand  ·  eigenes WLAN",IF(J1767=K1767+2,Eingabe!$B$6&amp;"-"&amp;INDEX(Eingabe!$C$9:$C$18,I1767)&amp;"-Gäste  ·  Voucher",IF(J1767=K1767+3,"Kabel  ·  Access Point y = .(50+y), Mast-Switch x = .(10+x)","")))))</f>
        <v/>
      </c>
      <c r="I1767" s="0" t="str">
        <f aca="false">IF(1762&lt;=(Eingabe!$P$18+Eingabe!$Q$18-1),MATCH(1762,Eingabe!$P$9:$P$18,1),"")</f>
        <v/>
      </c>
      <c r="J1767" s="0" t="str">
        <f aca="false">IF(I1767="","",1762-INDEX(Eingabe!$P$9:$P$18,I1767))</f>
        <v/>
      </c>
      <c r="K1767" s="0" t="str">
        <f aca="false">IF(I1767="","",INDEX(Eingabe!$E$9:$E$18,I1767))</f>
        <v/>
      </c>
    </row>
    <row r="1768" customFormat="false" ht="15" hidden="false" customHeight="false" outlineLevel="0" collapsed="false">
      <c r="A1768" s="0" t="str">
        <f aca="false">IF(I1768="","",IF(J1768=0,"Sparte "&amp;I1768&amp;": "&amp;INDEX(Eingabe!$B$9:$B$18,I1768)&amp;"  (Sparten-ID "&amp;INDEX(Eingabe!$D$9:$D$18,I1768)&amp;", "&amp;K1768&amp;" Parzellen)",IF(J1768&lt;=K1768,"   Parzelle "&amp;J1768,IF(J1768=K1768+1,"   Vorstand",IF(J1768=K1768+2,"   Gäste",IF(J1768=K1768+3,"   Technik (Switches, Access Points)",""))))))</f>
        <v/>
      </c>
      <c r="B1768" s="0" t="str">
        <f aca="false">IF(I1768="","",IF(AND(J1768&gt;=1,J1768&lt;=K1768+3),IF(J1768&lt;=K1768,IF(J1768&lt;=99,IF((INDEX(Eingabe!$G$9:$G$18,I1768))&lt;=9,1000+(INDEX(Eingabe!$G$9:$G$18,I1768))*100,3000)+J1768,IF((INDEX(Eingabe!$G$9:$G$18,I1768)+1)&lt;=9,1000+(INDEX(Eingabe!$G$9:$G$18,I1768)+1)*100,3000)+J1768-100),IF(J1768=K1768+1,2000+INDEX(Eingabe!$G$9:$G$18,I1768)*10+1,IF(J1768=K1768+2,2000+INDEX(Eingabe!$G$9:$G$18,I1768)*10+2,2000+INDEX(Eingabe!$G$9:$G$18,I1768)*10+9))),""))</f>
        <v/>
      </c>
      <c r="C1768" s="0" t="str">
        <f aca="false">IF(I1768="","",IF(AND(J1768&gt;=1,J1768&lt;=K1768+3),"10."&amp;INDEX(Eingabe!$D$9:$D$18,I1768)&amp;"."&amp;IF(J1768&lt;=K1768,J1768,IF(J1768=K1768+1,200,IF(J1768=K1768+2,201,250)))&amp;".0/24",""))</f>
        <v/>
      </c>
      <c r="D1768" s="0" t="str">
        <f aca="false">IF(I1768="","",IF(AND(J1768&gt;=1,J1768&lt;=K1768+3),"255.255.255.0",""))</f>
        <v/>
      </c>
      <c r="E1768" s="0" t="str">
        <f aca="false">IF(I1768="","",IF(AND(J1768&gt;=1,J1768&lt;=K1768+3),"10."&amp;INDEX(Eingabe!$D$9:$D$18,I1768)&amp;"."&amp;IF(J1768&lt;=K1768,J1768,IF(J1768=K1768+1,200,IF(J1768=K1768+2,201,250)))&amp;".1",""))</f>
        <v/>
      </c>
      <c r="F1768" s="0" t="str">
        <f aca="false">IF(I1768="","",IF(AND(J1768&gt;=1,J1768&lt;=K1768+3),"10."&amp;INDEX(Eingabe!$D$9:$D$18,I1768)&amp;"."&amp;IF(J1768&lt;=K1768,J1768,IF(J1768=K1768+1,200,IF(J1768=K1768+2,201,250)))&amp;".10 – 10."&amp;INDEX(Eingabe!$D$9:$D$18,I1768)&amp;"."&amp;IF(J1768&lt;=K1768,J1768,IF(J1768=K1768+1,200,IF(J1768=K1768+2,201,250)))&amp;".250",""))</f>
        <v/>
      </c>
      <c r="G1768" s="0" t="str">
        <f aca="false">IF(I1768="","",IF(AND(J1768&gt;=1,J1768&lt;=K1768),Eingabe!$B$6&amp;"-"&amp;INDEX(Eingabe!$C$9:$C$18,I1768)&amp;"-Pächter  ·  Passwort Parzelle "&amp;J1768,IF(J1768=K1768+1,Eingabe!$B$6&amp;"-"&amp;INDEX(Eingabe!$C$9:$C$18,I1768)&amp;"-Vorstand  ·  eigenes WLAN",IF(J1768=K1768+2,Eingabe!$B$6&amp;"-"&amp;INDEX(Eingabe!$C$9:$C$18,I1768)&amp;"-Gäste  ·  Voucher",IF(J1768=K1768+3,"Kabel  ·  Access Point y = .(50+y), Mast-Switch x = .(10+x)","")))))</f>
        <v/>
      </c>
      <c r="I1768" s="0" t="str">
        <f aca="false">IF(1763&lt;=(Eingabe!$P$18+Eingabe!$Q$18-1),MATCH(1763,Eingabe!$P$9:$P$18,1),"")</f>
        <v/>
      </c>
      <c r="J1768" s="0" t="str">
        <f aca="false">IF(I1768="","",1763-INDEX(Eingabe!$P$9:$P$18,I1768))</f>
        <v/>
      </c>
      <c r="K1768" s="0" t="str">
        <f aca="false">IF(I1768="","",INDEX(Eingabe!$E$9:$E$18,I1768))</f>
        <v/>
      </c>
    </row>
    <row r="1769" customFormat="false" ht="15" hidden="false" customHeight="false" outlineLevel="0" collapsed="false">
      <c r="A1769" s="0" t="str">
        <f aca="false">IF(I1769="","",IF(J1769=0,"Sparte "&amp;I1769&amp;": "&amp;INDEX(Eingabe!$B$9:$B$18,I1769)&amp;"  (Sparten-ID "&amp;INDEX(Eingabe!$D$9:$D$18,I1769)&amp;", "&amp;K1769&amp;" Parzellen)",IF(J1769&lt;=K1769,"   Parzelle "&amp;J1769,IF(J1769=K1769+1,"   Vorstand",IF(J1769=K1769+2,"   Gäste",IF(J1769=K1769+3,"   Technik (Switches, Access Points)",""))))))</f>
        <v/>
      </c>
      <c r="B1769" s="0" t="str">
        <f aca="false">IF(I1769="","",IF(AND(J1769&gt;=1,J1769&lt;=K1769+3),IF(J1769&lt;=K1769,IF(J1769&lt;=99,IF((INDEX(Eingabe!$G$9:$G$18,I1769))&lt;=9,1000+(INDEX(Eingabe!$G$9:$G$18,I1769))*100,3000)+J1769,IF((INDEX(Eingabe!$G$9:$G$18,I1769)+1)&lt;=9,1000+(INDEX(Eingabe!$G$9:$G$18,I1769)+1)*100,3000)+J1769-100),IF(J1769=K1769+1,2000+INDEX(Eingabe!$G$9:$G$18,I1769)*10+1,IF(J1769=K1769+2,2000+INDEX(Eingabe!$G$9:$G$18,I1769)*10+2,2000+INDEX(Eingabe!$G$9:$G$18,I1769)*10+9))),""))</f>
        <v/>
      </c>
      <c r="C1769" s="0" t="str">
        <f aca="false">IF(I1769="","",IF(AND(J1769&gt;=1,J1769&lt;=K1769+3),"10."&amp;INDEX(Eingabe!$D$9:$D$18,I1769)&amp;"."&amp;IF(J1769&lt;=K1769,J1769,IF(J1769=K1769+1,200,IF(J1769=K1769+2,201,250)))&amp;".0/24",""))</f>
        <v/>
      </c>
      <c r="D1769" s="0" t="str">
        <f aca="false">IF(I1769="","",IF(AND(J1769&gt;=1,J1769&lt;=K1769+3),"255.255.255.0",""))</f>
        <v/>
      </c>
      <c r="E1769" s="0" t="str">
        <f aca="false">IF(I1769="","",IF(AND(J1769&gt;=1,J1769&lt;=K1769+3),"10."&amp;INDEX(Eingabe!$D$9:$D$18,I1769)&amp;"."&amp;IF(J1769&lt;=K1769,J1769,IF(J1769=K1769+1,200,IF(J1769=K1769+2,201,250)))&amp;".1",""))</f>
        <v/>
      </c>
      <c r="F1769" s="0" t="str">
        <f aca="false">IF(I1769="","",IF(AND(J1769&gt;=1,J1769&lt;=K1769+3),"10."&amp;INDEX(Eingabe!$D$9:$D$18,I1769)&amp;"."&amp;IF(J1769&lt;=K1769,J1769,IF(J1769=K1769+1,200,IF(J1769=K1769+2,201,250)))&amp;".10 – 10."&amp;INDEX(Eingabe!$D$9:$D$18,I1769)&amp;"."&amp;IF(J1769&lt;=K1769,J1769,IF(J1769=K1769+1,200,IF(J1769=K1769+2,201,250)))&amp;".250",""))</f>
        <v/>
      </c>
      <c r="G1769" s="0" t="str">
        <f aca="false">IF(I1769="","",IF(AND(J1769&gt;=1,J1769&lt;=K1769),Eingabe!$B$6&amp;"-"&amp;INDEX(Eingabe!$C$9:$C$18,I1769)&amp;"-Pächter  ·  Passwort Parzelle "&amp;J1769,IF(J1769=K1769+1,Eingabe!$B$6&amp;"-"&amp;INDEX(Eingabe!$C$9:$C$18,I1769)&amp;"-Vorstand  ·  eigenes WLAN",IF(J1769=K1769+2,Eingabe!$B$6&amp;"-"&amp;INDEX(Eingabe!$C$9:$C$18,I1769)&amp;"-Gäste  ·  Voucher",IF(J1769=K1769+3,"Kabel  ·  Access Point y = .(50+y), Mast-Switch x = .(10+x)","")))))</f>
        <v/>
      </c>
      <c r="I1769" s="0" t="str">
        <f aca="false">IF(1764&lt;=(Eingabe!$P$18+Eingabe!$Q$18-1),MATCH(1764,Eingabe!$P$9:$P$18,1),"")</f>
        <v/>
      </c>
      <c r="J1769" s="0" t="str">
        <f aca="false">IF(I1769="","",1764-INDEX(Eingabe!$P$9:$P$18,I1769))</f>
        <v/>
      </c>
      <c r="K1769" s="0" t="str">
        <f aca="false">IF(I1769="","",INDEX(Eingabe!$E$9:$E$18,I1769))</f>
        <v/>
      </c>
    </row>
    <row r="1770" customFormat="false" ht="15" hidden="false" customHeight="false" outlineLevel="0" collapsed="false">
      <c r="A1770" s="0" t="str">
        <f aca="false">IF(I1770="","",IF(J1770=0,"Sparte "&amp;I1770&amp;": "&amp;INDEX(Eingabe!$B$9:$B$18,I1770)&amp;"  (Sparten-ID "&amp;INDEX(Eingabe!$D$9:$D$18,I1770)&amp;", "&amp;K1770&amp;" Parzellen)",IF(J1770&lt;=K1770,"   Parzelle "&amp;J1770,IF(J1770=K1770+1,"   Vorstand",IF(J1770=K1770+2,"   Gäste",IF(J1770=K1770+3,"   Technik (Switches, Access Points)",""))))))</f>
        <v/>
      </c>
      <c r="B1770" s="0" t="str">
        <f aca="false">IF(I1770="","",IF(AND(J1770&gt;=1,J1770&lt;=K1770+3),IF(J1770&lt;=K1770,IF(J1770&lt;=99,IF((INDEX(Eingabe!$G$9:$G$18,I1770))&lt;=9,1000+(INDEX(Eingabe!$G$9:$G$18,I1770))*100,3000)+J1770,IF((INDEX(Eingabe!$G$9:$G$18,I1770)+1)&lt;=9,1000+(INDEX(Eingabe!$G$9:$G$18,I1770)+1)*100,3000)+J1770-100),IF(J1770=K1770+1,2000+INDEX(Eingabe!$G$9:$G$18,I1770)*10+1,IF(J1770=K1770+2,2000+INDEX(Eingabe!$G$9:$G$18,I1770)*10+2,2000+INDEX(Eingabe!$G$9:$G$18,I1770)*10+9))),""))</f>
        <v/>
      </c>
      <c r="C1770" s="0" t="str">
        <f aca="false">IF(I1770="","",IF(AND(J1770&gt;=1,J1770&lt;=K1770+3),"10."&amp;INDEX(Eingabe!$D$9:$D$18,I1770)&amp;"."&amp;IF(J1770&lt;=K1770,J1770,IF(J1770=K1770+1,200,IF(J1770=K1770+2,201,250)))&amp;".0/24",""))</f>
        <v/>
      </c>
      <c r="D1770" s="0" t="str">
        <f aca="false">IF(I1770="","",IF(AND(J1770&gt;=1,J1770&lt;=K1770+3),"255.255.255.0",""))</f>
        <v/>
      </c>
      <c r="E1770" s="0" t="str">
        <f aca="false">IF(I1770="","",IF(AND(J1770&gt;=1,J1770&lt;=K1770+3),"10."&amp;INDEX(Eingabe!$D$9:$D$18,I1770)&amp;"."&amp;IF(J1770&lt;=K1770,J1770,IF(J1770=K1770+1,200,IF(J1770=K1770+2,201,250)))&amp;".1",""))</f>
        <v/>
      </c>
      <c r="F1770" s="0" t="str">
        <f aca="false">IF(I1770="","",IF(AND(J1770&gt;=1,J1770&lt;=K1770+3),"10."&amp;INDEX(Eingabe!$D$9:$D$18,I1770)&amp;"."&amp;IF(J1770&lt;=K1770,J1770,IF(J1770=K1770+1,200,IF(J1770=K1770+2,201,250)))&amp;".10 – 10."&amp;INDEX(Eingabe!$D$9:$D$18,I1770)&amp;"."&amp;IF(J1770&lt;=K1770,J1770,IF(J1770=K1770+1,200,IF(J1770=K1770+2,201,250)))&amp;".250",""))</f>
        <v/>
      </c>
      <c r="G1770" s="0" t="str">
        <f aca="false">IF(I1770="","",IF(AND(J1770&gt;=1,J1770&lt;=K1770),Eingabe!$B$6&amp;"-"&amp;INDEX(Eingabe!$C$9:$C$18,I1770)&amp;"-Pächter  ·  Passwort Parzelle "&amp;J1770,IF(J1770=K1770+1,Eingabe!$B$6&amp;"-"&amp;INDEX(Eingabe!$C$9:$C$18,I1770)&amp;"-Vorstand  ·  eigenes WLAN",IF(J1770=K1770+2,Eingabe!$B$6&amp;"-"&amp;INDEX(Eingabe!$C$9:$C$18,I1770)&amp;"-Gäste  ·  Voucher",IF(J1770=K1770+3,"Kabel  ·  Access Point y = .(50+y), Mast-Switch x = .(10+x)","")))))</f>
        <v/>
      </c>
      <c r="I1770" s="0" t="str">
        <f aca="false">IF(1765&lt;=(Eingabe!$P$18+Eingabe!$Q$18-1),MATCH(1765,Eingabe!$P$9:$P$18,1),"")</f>
        <v/>
      </c>
      <c r="J1770" s="0" t="str">
        <f aca="false">IF(I1770="","",1765-INDEX(Eingabe!$P$9:$P$18,I1770))</f>
        <v/>
      </c>
      <c r="K1770" s="0" t="str">
        <f aca="false">IF(I1770="","",INDEX(Eingabe!$E$9:$E$18,I1770))</f>
        <v/>
      </c>
    </row>
    <row r="1771" customFormat="false" ht="15" hidden="false" customHeight="false" outlineLevel="0" collapsed="false">
      <c r="A1771" s="0" t="str">
        <f aca="false">IF(I1771="","",IF(J1771=0,"Sparte "&amp;I1771&amp;": "&amp;INDEX(Eingabe!$B$9:$B$18,I1771)&amp;"  (Sparten-ID "&amp;INDEX(Eingabe!$D$9:$D$18,I1771)&amp;", "&amp;K1771&amp;" Parzellen)",IF(J1771&lt;=K1771,"   Parzelle "&amp;J1771,IF(J1771=K1771+1,"   Vorstand",IF(J1771=K1771+2,"   Gäste",IF(J1771=K1771+3,"   Technik (Switches, Access Points)",""))))))</f>
        <v/>
      </c>
      <c r="B1771" s="0" t="str">
        <f aca="false">IF(I1771="","",IF(AND(J1771&gt;=1,J1771&lt;=K1771+3),IF(J1771&lt;=K1771,IF(J1771&lt;=99,IF((INDEX(Eingabe!$G$9:$G$18,I1771))&lt;=9,1000+(INDEX(Eingabe!$G$9:$G$18,I1771))*100,3000)+J1771,IF((INDEX(Eingabe!$G$9:$G$18,I1771)+1)&lt;=9,1000+(INDEX(Eingabe!$G$9:$G$18,I1771)+1)*100,3000)+J1771-100),IF(J1771=K1771+1,2000+INDEX(Eingabe!$G$9:$G$18,I1771)*10+1,IF(J1771=K1771+2,2000+INDEX(Eingabe!$G$9:$G$18,I1771)*10+2,2000+INDEX(Eingabe!$G$9:$G$18,I1771)*10+9))),""))</f>
        <v/>
      </c>
      <c r="C1771" s="0" t="str">
        <f aca="false">IF(I1771="","",IF(AND(J1771&gt;=1,J1771&lt;=K1771+3),"10."&amp;INDEX(Eingabe!$D$9:$D$18,I1771)&amp;"."&amp;IF(J1771&lt;=K1771,J1771,IF(J1771=K1771+1,200,IF(J1771=K1771+2,201,250)))&amp;".0/24",""))</f>
        <v/>
      </c>
      <c r="D1771" s="0" t="str">
        <f aca="false">IF(I1771="","",IF(AND(J1771&gt;=1,J1771&lt;=K1771+3),"255.255.255.0",""))</f>
        <v/>
      </c>
      <c r="E1771" s="0" t="str">
        <f aca="false">IF(I1771="","",IF(AND(J1771&gt;=1,J1771&lt;=K1771+3),"10."&amp;INDEX(Eingabe!$D$9:$D$18,I1771)&amp;"."&amp;IF(J1771&lt;=K1771,J1771,IF(J1771=K1771+1,200,IF(J1771=K1771+2,201,250)))&amp;".1",""))</f>
        <v/>
      </c>
      <c r="F1771" s="0" t="str">
        <f aca="false">IF(I1771="","",IF(AND(J1771&gt;=1,J1771&lt;=K1771+3),"10."&amp;INDEX(Eingabe!$D$9:$D$18,I1771)&amp;"."&amp;IF(J1771&lt;=K1771,J1771,IF(J1771=K1771+1,200,IF(J1771=K1771+2,201,250)))&amp;".10 – 10."&amp;INDEX(Eingabe!$D$9:$D$18,I1771)&amp;"."&amp;IF(J1771&lt;=K1771,J1771,IF(J1771=K1771+1,200,IF(J1771=K1771+2,201,250)))&amp;".250",""))</f>
        <v/>
      </c>
      <c r="G1771" s="0" t="str">
        <f aca="false">IF(I1771="","",IF(AND(J1771&gt;=1,J1771&lt;=K1771),Eingabe!$B$6&amp;"-"&amp;INDEX(Eingabe!$C$9:$C$18,I1771)&amp;"-Pächter  ·  Passwort Parzelle "&amp;J1771,IF(J1771=K1771+1,Eingabe!$B$6&amp;"-"&amp;INDEX(Eingabe!$C$9:$C$18,I1771)&amp;"-Vorstand  ·  eigenes WLAN",IF(J1771=K1771+2,Eingabe!$B$6&amp;"-"&amp;INDEX(Eingabe!$C$9:$C$18,I1771)&amp;"-Gäste  ·  Voucher",IF(J1771=K1771+3,"Kabel  ·  Access Point y = .(50+y), Mast-Switch x = .(10+x)","")))))</f>
        <v/>
      </c>
      <c r="I1771" s="0" t="str">
        <f aca="false">IF(1766&lt;=(Eingabe!$P$18+Eingabe!$Q$18-1),MATCH(1766,Eingabe!$P$9:$P$18,1),"")</f>
        <v/>
      </c>
      <c r="J1771" s="0" t="str">
        <f aca="false">IF(I1771="","",1766-INDEX(Eingabe!$P$9:$P$18,I1771))</f>
        <v/>
      </c>
      <c r="K1771" s="0" t="str">
        <f aca="false">IF(I1771="","",INDEX(Eingabe!$E$9:$E$18,I1771))</f>
        <v/>
      </c>
    </row>
    <row r="1772" customFormat="false" ht="15" hidden="false" customHeight="false" outlineLevel="0" collapsed="false">
      <c r="A1772" s="0" t="str">
        <f aca="false">IF(I1772="","",IF(J1772=0,"Sparte "&amp;I1772&amp;": "&amp;INDEX(Eingabe!$B$9:$B$18,I1772)&amp;"  (Sparten-ID "&amp;INDEX(Eingabe!$D$9:$D$18,I1772)&amp;", "&amp;K1772&amp;" Parzellen)",IF(J1772&lt;=K1772,"   Parzelle "&amp;J1772,IF(J1772=K1772+1,"   Vorstand",IF(J1772=K1772+2,"   Gäste",IF(J1772=K1772+3,"   Technik (Switches, Access Points)",""))))))</f>
        <v/>
      </c>
      <c r="B1772" s="0" t="str">
        <f aca="false">IF(I1772="","",IF(AND(J1772&gt;=1,J1772&lt;=K1772+3),IF(J1772&lt;=K1772,IF(J1772&lt;=99,IF((INDEX(Eingabe!$G$9:$G$18,I1772))&lt;=9,1000+(INDEX(Eingabe!$G$9:$G$18,I1772))*100,3000)+J1772,IF((INDEX(Eingabe!$G$9:$G$18,I1772)+1)&lt;=9,1000+(INDEX(Eingabe!$G$9:$G$18,I1772)+1)*100,3000)+J1772-100),IF(J1772=K1772+1,2000+INDEX(Eingabe!$G$9:$G$18,I1772)*10+1,IF(J1772=K1772+2,2000+INDEX(Eingabe!$G$9:$G$18,I1772)*10+2,2000+INDEX(Eingabe!$G$9:$G$18,I1772)*10+9))),""))</f>
        <v/>
      </c>
      <c r="C1772" s="0" t="str">
        <f aca="false">IF(I1772="","",IF(AND(J1772&gt;=1,J1772&lt;=K1772+3),"10."&amp;INDEX(Eingabe!$D$9:$D$18,I1772)&amp;"."&amp;IF(J1772&lt;=K1772,J1772,IF(J1772=K1772+1,200,IF(J1772=K1772+2,201,250)))&amp;".0/24",""))</f>
        <v/>
      </c>
      <c r="D1772" s="0" t="str">
        <f aca="false">IF(I1772="","",IF(AND(J1772&gt;=1,J1772&lt;=K1772+3),"255.255.255.0",""))</f>
        <v/>
      </c>
      <c r="E1772" s="0" t="str">
        <f aca="false">IF(I1772="","",IF(AND(J1772&gt;=1,J1772&lt;=K1772+3),"10."&amp;INDEX(Eingabe!$D$9:$D$18,I1772)&amp;"."&amp;IF(J1772&lt;=K1772,J1772,IF(J1772=K1772+1,200,IF(J1772=K1772+2,201,250)))&amp;".1",""))</f>
        <v/>
      </c>
      <c r="F1772" s="0" t="str">
        <f aca="false">IF(I1772="","",IF(AND(J1772&gt;=1,J1772&lt;=K1772+3),"10."&amp;INDEX(Eingabe!$D$9:$D$18,I1772)&amp;"."&amp;IF(J1772&lt;=K1772,J1772,IF(J1772=K1772+1,200,IF(J1772=K1772+2,201,250)))&amp;".10 – 10."&amp;INDEX(Eingabe!$D$9:$D$18,I1772)&amp;"."&amp;IF(J1772&lt;=K1772,J1772,IF(J1772=K1772+1,200,IF(J1772=K1772+2,201,250)))&amp;".250",""))</f>
        <v/>
      </c>
      <c r="G1772" s="0" t="str">
        <f aca="false">IF(I1772="","",IF(AND(J1772&gt;=1,J1772&lt;=K1772),Eingabe!$B$6&amp;"-"&amp;INDEX(Eingabe!$C$9:$C$18,I1772)&amp;"-Pächter  ·  Passwort Parzelle "&amp;J1772,IF(J1772=K1772+1,Eingabe!$B$6&amp;"-"&amp;INDEX(Eingabe!$C$9:$C$18,I1772)&amp;"-Vorstand  ·  eigenes WLAN",IF(J1772=K1772+2,Eingabe!$B$6&amp;"-"&amp;INDEX(Eingabe!$C$9:$C$18,I1772)&amp;"-Gäste  ·  Voucher",IF(J1772=K1772+3,"Kabel  ·  Access Point y = .(50+y), Mast-Switch x = .(10+x)","")))))</f>
        <v/>
      </c>
      <c r="I1772" s="0" t="str">
        <f aca="false">IF(1767&lt;=(Eingabe!$P$18+Eingabe!$Q$18-1),MATCH(1767,Eingabe!$P$9:$P$18,1),"")</f>
        <v/>
      </c>
      <c r="J1772" s="0" t="str">
        <f aca="false">IF(I1772="","",1767-INDEX(Eingabe!$P$9:$P$18,I1772))</f>
        <v/>
      </c>
      <c r="K1772" s="0" t="str">
        <f aca="false">IF(I1772="","",INDEX(Eingabe!$E$9:$E$18,I1772))</f>
        <v/>
      </c>
    </row>
    <row r="1773" customFormat="false" ht="15" hidden="false" customHeight="false" outlineLevel="0" collapsed="false">
      <c r="A1773" s="0" t="str">
        <f aca="false">IF(I1773="","",IF(J1773=0,"Sparte "&amp;I1773&amp;": "&amp;INDEX(Eingabe!$B$9:$B$18,I1773)&amp;"  (Sparten-ID "&amp;INDEX(Eingabe!$D$9:$D$18,I1773)&amp;", "&amp;K1773&amp;" Parzellen)",IF(J1773&lt;=K1773,"   Parzelle "&amp;J1773,IF(J1773=K1773+1,"   Vorstand",IF(J1773=K1773+2,"   Gäste",IF(J1773=K1773+3,"   Technik (Switches, Access Points)",""))))))</f>
        <v/>
      </c>
      <c r="B1773" s="0" t="str">
        <f aca="false">IF(I1773="","",IF(AND(J1773&gt;=1,J1773&lt;=K1773+3),IF(J1773&lt;=K1773,IF(J1773&lt;=99,IF((INDEX(Eingabe!$G$9:$G$18,I1773))&lt;=9,1000+(INDEX(Eingabe!$G$9:$G$18,I1773))*100,3000)+J1773,IF((INDEX(Eingabe!$G$9:$G$18,I1773)+1)&lt;=9,1000+(INDEX(Eingabe!$G$9:$G$18,I1773)+1)*100,3000)+J1773-100),IF(J1773=K1773+1,2000+INDEX(Eingabe!$G$9:$G$18,I1773)*10+1,IF(J1773=K1773+2,2000+INDEX(Eingabe!$G$9:$G$18,I1773)*10+2,2000+INDEX(Eingabe!$G$9:$G$18,I1773)*10+9))),""))</f>
        <v/>
      </c>
      <c r="C1773" s="0" t="str">
        <f aca="false">IF(I1773="","",IF(AND(J1773&gt;=1,J1773&lt;=K1773+3),"10."&amp;INDEX(Eingabe!$D$9:$D$18,I1773)&amp;"."&amp;IF(J1773&lt;=K1773,J1773,IF(J1773=K1773+1,200,IF(J1773=K1773+2,201,250)))&amp;".0/24",""))</f>
        <v/>
      </c>
      <c r="D1773" s="0" t="str">
        <f aca="false">IF(I1773="","",IF(AND(J1773&gt;=1,J1773&lt;=K1773+3),"255.255.255.0",""))</f>
        <v/>
      </c>
      <c r="E1773" s="0" t="str">
        <f aca="false">IF(I1773="","",IF(AND(J1773&gt;=1,J1773&lt;=K1773+3),"10."&amp;INDEX(Eingabe!$D$9:$D$18,I1773)&amp;"."&amp;IF(J1773&lt;=K1773,J1773,IF(J1773=K1773+1,200,IF(J1773=K1773+2,201,250)))&amp;".1",""))</f>
        <v/>
      </c>
      <c r="F1773" s="0" t="str">
        <f aca="false">IF(I1773="","",IF(AND(J1773&gt;=1,J1773&lt;=K1773+3),"10."&amp;INDEX(Eingabe!$D$9:$D$18,I1773)&amp;"."&amp;IF(J1773&lt;=K1773,J1773,IF(J1773=K1773+1,200,IF(J1773=K1773+2,201,250)))&amp;".10 – 10."&amp;INDEX(Eingabe!$D$9:$D$18,I1773)&amp;"."&amp;IF(J1773&lt;=K1773,J1773,IF(J1773=K1773+1,200,IF(J1773=K1773+2,201,250)))&amp;".250",""))</f>
        <v/>
      </c>
      <c r="G1773" s="0" t="str">
        <f aca="false">IF(I1773="","",IF(AND(J1773&gt;=1,J1773&lt;=K1773),Eingabe!$B$6&amp;"-"&amp;INDEX(Eingabe!$C$9:$C$18,I1773)&amp;"-Pächter  ·  Passwort Parzelle "&amp;J1773,IF(J1773=K1773+1,Eingabe!$B$6&amp;"-"&amp;INDEX(Eingabe!$C$9:$C$18,I1773)&amp;"-Vorstand  ·  eigenes WLAN",IF(J1773=K1773+2,Eingabe!$B$6&amp;"-"&amp;INDEX(Eingabe!$C$9:$C$18,I1773)&amp;"-Gäste  ·  Voucher",IF(J1773=K1773+3,"Kabel  ·  Access Point y = .(50+y), Mast-Switch x = .(10+x)","")))))</f>
        <v/>
      </c>
      <c r="I1773" s="0" t="str">
        <f aca="false">IF(1768&lt;=(Eingabe!$P$18+Eingabe!$Q$18-1),MATCH(1768,Eingabe!$P$9:$P$18,1),"")</f>
        <v/>
      </c>
      <c r="J1773" s="0" t="str">
        <f aca="false">IF(I1773="","",1768-INDEX(Eingabe!$P$9:$P$18,I1773))</f>
        <v/>
      </c>
      <c r="K1773" s="0" t="str">
        <f aca="false">IF(I1773="","",INDEX(Eingabe!$E$9:$E$18,I1773))</f>
        <v/>
      </c>
    </row>
    <row r="1774" customFormat="false" ht="15" hidden="false" customHeight="false" outlineLevel="0" collapsed="false">
      <c r="A1774" s="0" t="str">
        <f aca="false">IF(I1774="","",IF(J1774=0,"Sparte "&amp;I1774&amp;": "&amp;INDEX(Eingabe!$B$9:$B$18,I1774)&amp;"  (Sparten-ID "&amp;INDEX(Eingabe!$D$9:$D$18,I1774)&amp;", "&amp;K1774&amp;" Parzellen)",IF(J1774&lt;=K1774,"   Parzelle "&amp;J1774,IF(J1774=K1774+1,"   Vorstand",IF(J1774=K1774+2,"   Gäste",IF(J1774=K1774+3,"   Technik (Switches, Access Points)",""))))))</f>
        <v/>
      </c>
      <c r="B1774" s="0" t="str">
        <f aca="false">IF(I1774="","",IF(AND(J1774&gt;=1,J1774&lt;=K1774+3),IF(J1774&lt;=K1774,IF(J1774&lt;=99,IF((INDEX(Eingabe!$G$9:$G$18,I1774))&lt;=9,1000+(INDEX(Eingabe!$G$9:$G$18,I1774))*100,3000)+J1774,IF((INDEX(Eingabe!$G$9:$G$18,I1774)+1)&lt;=9,1000+(INDEX(Eingabe!$G$9:$G$18,I1774)+1)*100,3000)+J1774-100),IF(J1774=K1774+1,2000+INDEX(Eingabe!$G$9:$G$18,I1774)*10+1,IF(J1774=K1774+2,2000+INDEX(Eingabe!$G$9:$G$18,I1774)*10+2,2000+INDEX(Eingabe!$G$9:$G$18,I1774)*10+9))),""))</f>
        <v/>
      </c>
      <c r="C1774" s="0" t="str">
        <f aca="false">IF(I1774="","",IF(AND(J1774&gt;=1,J1774&lt;=K1774+3),"10."&amp;INDEX(Eingabe!$D$9:$D$18,I1774)&amp;"."&amp;IF(J1774&lt;=K1774,J1774,IF(J1774=K1774+1,200,IF(J1774=K1774+2,201,250)))&amp;".0/24",""))</f>
        <v/>
      </c>
      <c r="D1774" s="0" t="str">
        <f aca="false">IF(I1774="","",IF(AND(J1774&gt;=1,J1774&lt;=K1774+3),"255.255.255.0",""))</f>
        <v/>
      </c>
      <c r="E1774" s="0" t="str">
        <f aca="false">IF(I1774="","",IF(AND(J1774&gt;=1,J1774&lt;=K1774+3),"10."&amp;INDEX(Eingabe!$D$9:$D$18,I1774)&amp;"."&amp;IF(J1774&lt;=K1774,J1774,IF(J1774=K1774+1,200,IF(J1774=K1774+2,201,250)))&amp;".1",""))</f>
        <v/>
      </c>
      <c r="F1774" s="0" t="str">
        <f aca="false">IF(I1774="","",IF(AND(J1774&gt;=1,J1774&lt;=K1774+3),"10."&amp;INDEX(Eingabe!$D$9:$D$18,I1774)&amp;"."&amp;IF(J1774&lt;=K1774,J1774,IF(J1774=K1774+1,200,IF(J1774=K1774+2,201,250)))&amp;".10 – 10."&amp;INDEX(Eingabe!$D$9:$D$18,I1774)&amp;"."&amp;IF(J1774&lt;=K1774,J1774,IF(J1774=K1774+1,200,IF(J1774=K1774+2,201,250)))&amp;".250",""))</f>
        <v/>
      </c>
      <c r="G1774" s="0" t="str">
        <f aca="false">IF(I1774="","",IF(AND(J1774&gt;=1,J1774&lt;=K1774),Eingabe!$B$6&amp;"-"&amp;INDEX(Eingabe!$C$9:$C$18,I1774)&amp;"-Pächter  ·  Passwort Parzelle "&amp;J1774,IF(J1774=K1774+1,Eingabe!$B$6&amp;"-"&amp;INDEX(Eingabe!$C$9:$C$18,I1774)&amp;"-Vorstand  ·  eigenes WLAN",IF(J1774=K1774+2,Eingabe!$B$6&amp;"-"&amp;INDEX(Eingabe!$C$9:$C$18,I1774)&amp;"-Gäste  ·  Voucher",IF(J1774=K1774+3,"Kabel  ·  Access Point y = .(50+y), Mast-Switch x = .(10+x)","")))))</f>
        <v/>
      </c>
      <c r="I1774" s="0" t="str">
        <f aca="false">IF(1769&lt;=(Eingabe!$P$18+Eingabe!$Q$18-1),MATCH(1769,Eingabe!$P$9:$P$18,1),"")</f>
        <v/>
      </c>
      <c r="J1774" s="0" t="str">
        <f aca="false">IF(I1774="","",1769-INDEX(Eingabe!$P$9:$P$18,I1774))</f>
        <v/>
      </c>
      <c r="K1774" s="0" t="str">
        <f aca="false">IF(I1774="","",INDEX(Eingabe!$E$9:$E$18,I1774))</f>
        <v/>
      </c>
    </row>
    <row r="1775" customFormat="false" ht="15" hidden="false" customHeight="false" outlineLevel="0" collapsed="false">
      <c r="A1775" s="0" t="str">
        <f aca="false">IF(I1775="","",IF(J1775=0,"Sparte "&amp;I1775&amp;": "&amp;INDEX(Eingabe!$B$9:$B$18,I1775)&amp;"  (Sparten-ID "&amp;INDEX(Eingabe!$D$9:$D$18,I1775)&amp;", "&amp;K1775&amp;" Parzellen)",IF(J1775&lt;=K1775,"   Parzelle "&amp;J1775,IF(J1775=K1775+1,"   Vorstand",IF(J1775=K1775+2,"   Gäste",IF(J1775=K1775+3,"   Technik (Switches, Access Points)",""))))))</f>
        <v/>
      </c>
      <c r="B1775" s="0" t="str">
        <f aca="false">IF(I1775="","",IF(AND(J1775&gt;=1,J1775&lt;=K1775+3),IF(J1775&lt;=K1775,IF(J1775&lt;=99,IF((INDEX(Eingabe!$G$9:$G$18,I1775))&lt;=9,1000+(INDEX(Eingabe!$G$9:$G$18,I1775))*100,3000)+J1775,IF((INDEX(Eingabe!$G$9:$G$18,I1775)+1)&lt;=9,1000+(INDEX(Eingabe!$G$9:$G$18,I1775)+1)*100,3000)+J1775-100),IF(J1775=K1775+1,2000+INDEX(Eingabe!$G$9:$G$18,I1775)*10+1,IF(J1775=K1775+2,2000+INDEX(Eingabe!$G$9:$G$18,I1775)*10+2,2000+INDEX(Eingabe!$G$9:$G$18,I1775)*10+9))),""))</f>
        <v/>
      </c>
      <c r="C1775" s="0" t="str">
        <f aca="false">IF(I1775="","",IF(AND(J1775&gt;=1,J1775&lt;=K1775+3),"10."&amp;INDEX(Eingabe!$D$9:$D$18,I1775)&amp;"."&amp;IF(J1775&lt;=K1775,J1775,IF(J1775=K1775+1,200,IF(J1775=K1775+2,201,250)))&amp;".0/24",""))</f>
        <v/>
      </c>
      <c r="D1775" s="0" t="str">
        <f aca="false">IF(I1775="","",IF(AND(J1775&gt;=1,J1775&lt;=K1775+3),"255.255.255.0",""))</f>
        <v/>
      </c>
      <c r="E1775" s="0" t="str">
        <f aca="false">IF(I1775="","",IF(AND(J1775&gt;=1,J1775&lt;=K1775+3),"10."&amp;INDEX(Eingabe!$D$9:$D$18,I1775)&amp;"."&amp;IF(J1775&lt;=K1775,J1775,IF(J1775=K1775+1,200,IF(J1775=K1775+2,201,250)))&amp;".1",""))</f>
        <v/>
      </c>
      <c r="F1775" s="0" t="str">
        <f aca="false">IF(I1775="","",IF(AND(J1775&gt;=1,J1775&lt;=K1775+3),"10."&amp;INDEX(Eingabe!$D$9:$D$18,I1775)&amp;"."&amp;IF(J1775&lt;=K1775,J1775,IF(J1775=K1775+1,200,IF(J1775=K1775+2,201,250)))&amp;".10 – 10."&amp;INDEX(Eingabe!$D$9:$D$18,I1775)&amp;"."&amp;IF(J1775&lt;=K1775,J1775,IF(J1775=K1775+1,200,IF(J1775=K1775+2,201,250)))&amp;".250",""))</f>
        <v/>
      </c>
      <c r="G1775" s="0" t="str">
        <f aca="false">IF(I1775="","",IF(AND(J1775&gt;=1,J1775&lt;=K1775),Eingabe!$B$6&amp;"-"&amp;INDEX(Eingabe!$C$9:$C$18,I1775)&amp;"-Pächter  ·  Passwort Parzelle "&amp;J1775,IF(J1775=K1775+1,Eingabe!$B$6&amp;"-"&amp;INDEX(Eingabe!$C$9:$C$18,I1775)&amp;"-Vorstand  ·  eigenes WLAN",IF(J1775=K1775+2,Eingabe!$B$6&amp;"-"&amp;INDEX(Eingabe!$C$9:$C$18,I1775)&amp;"-Gäste  ·  Voucher",IF(J1775=K1775+3,"Kabel  ·  Access Point y = .(50+y), Mast-Switch x = .(10+x)","")))))</f>
        <v/>
      </c>
      <c r="I1775" s="0" t="str">
        <f aca="false">IF(1770&lt;=(Eingabe!$P$18+Eingabe!$Q$18-1),MATCH(1770,Eingabe!$P$9:$P$18,1),"")</f>
        <v/>
      </c>
      <c r="J1775" s="0" t="str">
        <f aca="false">IF(I1775="","",1770-INDEX(Eingabe!$P$9:$P$18,I1775))</f>
        <v/>
      </c>
      <c r="K1775" s="0" t="str">
        <f aca="false">IF(I1775="","",INDEX(Eingabe!$E$9:$E$18,I1775))</f>
        <v/>
      </c>
    </row>
    <row r="1776" customFormat="false" ht="15" hidden="false" customHeight="false" outlineLevel="0" collapsed="false">
      <c r="A1776" s="0" t="str">
        <f aca="false">IF(I1776="","",IF(J1776=0,"Sparte "&amp;I1776&amp;": "&amp;INDEX(Eingabe!$B$9:$B$18,I1776)&amp;"  (Sparten-ID "&amp;INDEX(Eingabe!$D$9:$D$18,I1776)&amp;", "&amp;K1776&amp;" Parzellen)",IF(J1776&lt;=K1776,"   Parzelle "&amp;J1776,IF(J1776=K1776+1,"   Vorstand",IF(J1776=K1776+2,"   Gäste",IF(J1776=K1776+3,"   Technik (Switches, Access Points)",""))))))</f>
        <v/>
      </c>
      <c r="B1776" s="0" t="str">
        <f aca="false">IF(I1776="","",IF(AND(J1776&gt;=1,J1776&lt;=K1776+3),IF(J1776&lt;=K1776,IF(J1776&lt;=99,IF((INDEX(Eingabe!$G$9:$G$18,I1776))&lt;=9,1000+(INDEX(Eingabe!$G$9:$G$18,I1776))*100,3000)+J1776,IF((INDEX(Eingabe!$G$9:$G$18,I1776)+1)&lt;=9,1000+(INDEX(Eingabe!$G$9:$G$18,I1776)+1)*100,3000)+J1776-100),IF(J1776=K1776+1,2000+INDEX(Eingabe!$G$9:$G$18,I1776)*10+1,IF(J1776=K1776+2,2000+INDEX(Eingabe!$G$9:$G$18,I1776)*10+2,2000+INDEX(Eingabe!$G$9:$G$18,I1776)*10+9))),""))</f>
        <v/>
      </c>
      <c r="C1776" s="0" t="str">
        <f aca="false">IF(I1776="","",IF(AND(J1776&gt;=1,J1776&lt;=K1776+3),"10."&amp;INDEX(Eingabe!$D$9:$D$18,I1776)&amp;"."&amp;IF(J1776&lt;=K1776,J1776,IF(J1776=K1776+1,200,IF(J1776=K1776+2,201,250)))&amp;".0/24",""))</f>
        <v/>
      </c>
      <c r="D1776" s="0" t="str">
        <f aca="false">IF(I1776="","",IF(AND(J1776&gt;=1,J1776&lt;=K1776+3),"255.255.255.0",""))</f>
        <v/>
      </c>
      <c r="E1776" s="0" t="str">
        <f aca="false">IF(I1776="","",IF(AND(J1776&gt;=1,J1776&lt;=K1776+3),"10."&amp;INDEX(Eingabe!$D$9:$D$18,I1776)&amp;"."&amp;IF(J1776&lt;=K1776,J1776,IF(J1776=K1776+1,200,IF(J1776=K1776+2,201,250)))&amp;".1",""))</f>
        <v/>
      </c>
      <c r="F1776" s="0" t="str">
        <f aca="false">IF(I1776="","",IF(AND(J1776&gt;=1,J1776&lt;=K1776+3),"10."&amp;INDEX(Eingabe!$D$9:$D$18,I1776)&amp;"."&amp;IF(J1776&lt;=K1776,J1776,IF(J1776=K1776+1,200,IF(J1776=K1776+2,201,250)))&amp;".10 – 10."&amp;INDEX(Eingabe!$D$9:$D$18,I1776)&amp;"."&amp;IF(J1776&lt;=K1776,J1776,IF(J1776=K1776+1,200,IF(J1776=K1776+2,201,250)))&amp;".250",""))</f>
        <v/>
      </c>
      <c r="G1776" s="0" t="str">
        <f aca="false">IF(I1776="","",IF(AND(J1776&gt;=1,J1776&lt;=K1776),Eingabe!$B$6&amp;"-"&amp;INDEX(Eingabe!$C$9:$C$18,I1776)&amp;"-Pächter  ·  Passwort Parzelle "&amp;J1776,IF(J1776=K1776+1,Eingabe!$B$6&amp;"-"&amp;INDEX(Eingabe!$C$9:$C$18,I1776)&amp;"-Vorstand  ·  eigenes WLAN",IF(J1776=K1776+2,Eingabe!$B$6&amp;"-"&amp;INDEX(Eingabe!$C$9:$C$18,I1776)&amp;"-Gäste  ·  Voucher",IF(J1776=K1776+3,"Kabel  ·  Access Point y = .(50+y), Mast-Switch x = .(10+x)","")))))</f>
        <v/>
      </c>
      <c r="I1776" s="0" t="str">
        <f aca="false">IF(1771&lt;=(Eingabe!$P$18+Eingabe!$Q$18-1),MATCH(1771,Eingabe!$P$9:$P$18,1),"")</f>
        <v/>
      </c>
      <c r="J1776" s="0" t="str">
        <f aca="false">IF(I1776="","",1771-INDEX(Eingabe!$P$9:$P$18,I1776))</f>
        <v/>
      </c>
      <c r="K1776" s="0" t="str">
        <f aca="false">IF(I1776="","",INDEX(Eingabe!$E$9:$E$18,I1776))</f>
        <v/>
      </c>
    </row>
    <row r="1777" customFormat="false" ht="15" hidden="false" customHeight="false" outlineLevel="0" collapsed="false">
      <c r="A1777" s="0" t="str">
        <f aca="false">IF(I1777="","",IF(J1777=0,"Sparte "&amp;I1777&amp;": "&amp;INDEX(Eingabe!$B$9:$B$18,I1777)&amp;"  (Sparten-ID "&amp;INDEX(Eingabe!$D$9:$D$18,I1777)&amp;", "&amp;K1777&amp;" Parzellen)",IF(J1777&lt;=K1777,"   Parzelle "&amp;J1777,IF(J1777=K1777+1,"   Vorstand",IF(J1777=K1777+2,"   Gäste",IF(J1777=K1777+3,"   Technik (Switches, Access Points)",""))))))</f>
        <v/>
      </c>
      <c r="B1777" s="0" t="str">
        <f aca="false">IF(I1777="","",IF(AND(J1777&gt;=1,J1777&lt;=K1777+3),IF(J1777&lt;=K1777,IF(J1777&lt;=99,IF((INDEX(Eingabe!$G$9:$G$18,I1777))&lt;=9,1000+(INDEX(Eingabe!$G$9:$G$18,I1777))*100,3000)+J1777,IF((INDEX(Eingabe!$G$9:$G$18,I1777)+1)&lt;=9,1000+(INDEX(Eingabe!$G$9:$G$18,I1777)+1)*100,3000)+J1777-100),IF(J1777=K1777+1,2000+INDEX(Eingabe!$G$9:$G$18,I1777)*10+1,IF(J1777=K1777+2,2000+INDEX(Eingabe!$G$9:$G$18,I1777)*10+2,2000+INDEX(Eingabe!$G$9:$G$18,I1777)*10+9))),""))</f>
        <v/>
      </c>
      <c r="C1777" s="0" t="str">
        <f aca="false">IF(I1777="","",IF(AND(J1777&gt;=1,J1777&lt;=K1777+3),"10."&amp;INDEX(Eingabe!$D$9:$D$18,I1777)&amp;"."&amp;IF(J1777&lt;=K1777,J1777,IF(J1777=K1777+1,200,IF(J1777=K1777+2,201,250)))&amp;".0/24",""))</f>
        <v/>
      </c>
      <c r="D1777" s="0" t="str">
        <f aca="false">IF(I1777="","",IF(AND(J1777&gt;=1,J1777&lt;=K1777+3),"255.255.255.0",""))</f>
        <v/>
      </c>
      <c r="E1777" s="0" t="str">
        <f aca="false">IF(I1777="","",IF(AND(J1777&gt;=1,J1777&lt;=K1777+3),"10."&amp;INDEX(Eingabe!$D$9:$D$18,I1777)&amp;"."&amp;IF(J1777&lt;=K1777,J1777,IF(J1777=K1777+1,200,IF(J1777=K1777+2,201,250)))&amp;".1",""))</f>
        <v/>
      </c>
      <c r="F1777" s="0" t="str">
        <f aca="false">IF(I1777="","",IF(AND(J1777&gt;=1,J1777&lt;=K1777+3),"10."&amp;INDEX(Eingabe!$D$9:$D$18,I1777)&amp;"."&amp;IF(J1777&lt;=K1777,J1777,IF(J1777=K1777+1,200,IF(J1777=K1777+2,201,250)))&amp;".10 – 10."&amp;INDEX(Eingabe!$D$9:$D$18,I1777)&amp;"."&amp;IF(J1777&lt;=K1777,J1777,IF(J1777=K1777+1,200,IF(J1777=K1777+2,201,250)))&amp;".250",""))</f>
        <v/>
      </c>
      <c r="G1777" s="0" t="str">
        <f aca="false">IF(I1777="","",IF(AND(J1777&gt;=1,J1777&lt;=K1777),Eingabe!$B$6&amp;"-"&amp;INDEX(Eingabe!$C$9:$C$18,I1777)&amp;"-Pächter  ·  Passwort Parzelle "&amp;J1777,IF(J1777=K1777+1,Eingabe!$B$6&amp;"-"&amp;INDEX(Eingabe!$C$9:$C$18,I1777)&amp;"-Vorstand  ·  eigenes WLAN",IF(J1777=K1777+2,Eingabe!$B$6&amp;"-"&amp;INDEX(Eingabe!$C$9:$C$18,I1777)&amp;"-Gäste  ·  Voucher",IF(J1777=K1777+3,"Kabel  ·  Access Point y = .(50+y), Mast-Switch x = .(10+x)","")))))</f>
        <v/>
      </c>
      <c r="I1777" s="0" t="str">
        <f aca="false">IF(1772&lt;=(Eingabe!$P$18+Eingabe!$Q$18-1),MATCH(1772,Eingabe!$P$9:$P$18,1),"")</f>
        <v/>
      </c>
      <c r="J1777" s="0" t="str">
        <f aca="false">IF(I1777="","",1772-INDEX(Eingabe!$P$9:$P$18,I1777))</f>
        <v/>
      </c>
      <c r="K1777" s="0" t="str">
        <f aca="false">IF(I1777="","",INDEX(Eingabe!$E$9:$E$18,I1777))</f>
        <v/>
      </c>
    </row>
    <row r="1778" customFormat="false" ht="15" hidden="false" customHeight="false" outlineLevel="0" collapsed="false">
      <c r="A1778" s="0" t="str">
        <f aca="false">IF(I1778="","",IF(J1778=0,"Sparte "&amp;I1778&amp;": "&amp;INDEX(Eingabe!$B$9:$B$18,I1778)&amp;"  (Sparten-ID "&amp;INDEX(Eingabe!$D$9:$D$18,I1778)&amp;", "&amp;K1778&amp;" Parzellen)",IF(J1778&lt;=K1778,"   Parzelle "&amp;J1778,IF(J1778=K1778+1,"   Vorstand",IF(J1778=K1778+2,"   Gäste",IF(J1778=K1778+3,"   Technik (Switches, Access Points)",""))))))</f>
        <v/>
      </c>
      <c r="B1778" s="0" t="str">
        <f aca="false">IF(I1778="","",IF(AND(J1778&gt;=1,J1778&lt;=K1778+3),IF(J1778&lt;=K1778,IF(J1778&lt;=99,IF((INDEX(Eingabe!$G$9:$G$18,I1778))&lt;=9,1000+(INDEX(Eingabe!$G$9:$G$18,I1778))*100,3000)+J1778,IF((INDEX(Eingabe!$G$9:$G$18,I1778)+1)&lt;=9,1000+(INDEX(Eingabe!$G$9:$G$18,I1778)+1)*100,3000)+J1778-100),IF(J1778=K1778+1,2000+INDEX(Eingabe!$G$9:$G$18,I1778)*10+1,IF(J1778=K1778+2,2000+INDEX(Eingabe!$G$9:$G$18,I1778)*10+2,2000+INDEX(Eingabe!$G$9:$G$18,I1778)*10+9))),""))</f>
        <v/>
      </c>
      <c r="C1778" s="0" t="str">
        <f aca="false">IF(I1778="","",IF(AND(J1778&gt;=1,J1778&lt;=K1778+3),"10."&amp;INDEX(Eingabe!$D$9:$D$18,I1778)&amp;"."&amp;IF(J1778&lt;=K1778,J1778,IF(J1778=K1778+1,200,IF(J1778=K1778+2,201,250)))&amp;".0/24",""))</f>
        <v/>
      </c>
      <c r="D1778" s="0" t="str">
        <f aca="false">IF(I1778="","",IF(AND(J1778&gt;=1,J1778&lt;=K1778+3),"255.255.255.0",""))</f>
        <v/>
      </c>
      <c r="E1778" s="0" t="str">
        <f aca="false">IF(I1778="","",IF(AND(J1778&gt;=1,J1778&lt;=K1778+3),"10."&amp;INDEX(Eingabe!$D$9:$D$18,I1778)&amp;"."&amp;IF(J1778&lt;=K1778,J1778,IF(J1778=K1778+1,200,IF(J1778=K1778+2,201,250)))&amp;".1",""))</f>
        <v/>
      </c>
      <c r="F1778" s="0" t="str">
        <f aca="false">IF(I1778="","",IF(AND(J1778&gt;=1,J1778&lt;=K1778+3),"10."&amp;INDEX(Eingabe!$D$9:$D$18,I1778)&amp;"."&amp;IF(J1778&lt;=K1778,J1778,IF(J1778=K1778+1,200,IF(J1778=K1778+2,201,250)))&amp;".10 – 10."&amp;INDEX(Eingabe!$D$9:$D$18,I1778)&amp;"."&amp;IF(J1778&lt;=K1778,J1778,IF(J1778=K1778+1,200,IF(J1778=K1778+2,201,250)))&amp;".250",""))</f>
        <v/>
      </c>
      <c r="G1778" s="0" t="str">
        <f aca="false">IF(I1778="","",IF(AND(J1778&gt;=1,J1778&lt;=K1778),Eingabe!$B$6&amp;"-"&amp;INDEX(Eingabe!$C$9:$C$18,I1778)&amp;"-Pächter  ·  Passwort Parzelle "&amp;J1778,IF(J1778=K1778+1,Eingabe!$B$6&amp;"-"&amp;INDEX(Eingabe!$C$9:$C$18,I1778)&amp;"-Vorstand  ·  eigenes WLAN",IF(J1778=K1778+2,Eingabe!$B$6&amp;"-"&amp;INDEX(Eingabe!$C$9:$C$18,I1778)&amp;"-Gäste  ·  Voucher",IF(J1778=K1778+3,"Kabel  ·  Access Point y = .(50+y), Mast-Switch x = .(10+x)","")))))</f>
        <v/>
      </c>
      <c r="I1778" s="0" t="str">
        <f aca="false">IF(1773&lt;=(Eingabe!$P$18+Eingabe!$Q$18-1),MATCH(1773,Eingabe!$P$9:$P$18,1),"")</f>
        <v/>
      </c>
      <c r="J1778" s="0" t="str">
        <f aca="false">IF(I1778="","",1773-INDEX(Eingabe!$P$9:$P$18,I1778))</f>
        <v/>
      </c>
      <c r="K1778" s="0" t="str">
        <f aca="false">IF(I1778="","",INDEX(Eingabe!$E$9:$E$18,I1778))</f>
        <v/>
      </c>
    </row>
    <row r="1779" customFormat="false" ht="15" hidden="false" customHeight="false" outlineLevel="0" collapsed="false">
      <c r="A1779" s="0" t="str">
        <f aca="false">IF(I1779="","",IF(J1779=0,"Sparte "&amp;I1779&amp;": "&amp;INDEX(Eingabe!$B$9:$B$18,I1779)&amp;"  (Sparten-ID "&amp;INDEX(Eingabe!$D$9:$D$18,I1779)&amp;", "&amp;K1779&amp;" Parzellen)",IF(J1779&lt;=K1779,"   Parzelle "&amp;J1779,IF(J1779=K1779+1,"   Vorstand",IF(J1779=K1779+2,"   Gäste",IF(J1779=K1779+3,"   Technik (Switches, Access Points)",""))))))</f>
        <v/>
      </c>
      <c r="B1779" s="0" t="str">
        <f aca="false">IF(I1779="","",IF(AND(J1779&gt;=1,J1779&lt;=K1779+3),IF(J1779&lt;=K1779,IF(J1779&lt;=99,IF((INDEX(Eingabe!$G$9:$G$18,I1779))&lt;=9,1000+(INDEX(Eingabe!$G$9:$G$18,I1779))*100,3000)+J1779,IF((INDEX(Eingabe!$G$9:$G$18,I1779)+1)&lt;=9,1000+(INDEX(Eingabe!$G$9:$G$18,I1779)+1)*100,3000)+J1779-100),IF(J1779=K1779+1,2000+INDEX(Eingabe!$G$9:$G$18,I1779)*10+1,IF(J1779=K1779+2,2000+INDEX(Eingabe!$G$9:$G$18,I1779)*10+2,2000+INDEX(Eingabe!$G$9:$G$18,I1779)*10+9))),""))</f>
        <v/>
      </c>
      <c r="C1779" s="0" t="str">
        <f aca="false">IF(I1779="","",IF(AND(J1779&gt;=1,J1779&lt;=K1779+3),"10."&amp;INDEX(Eingabe!$D$9:$D$18,I1779)&amp;"."&amp;IF(J1779&lt;=K1779,J1779,IF(J1779=K1779+1,200,IF(J1779=K1779+2,201,250)))&amp;".0/24",""))</f>
        <v/>
      </c>
      <c r="D1779" s="0" t="str">
        <f aca="false">IF(I1779="","",IF(AND(J1779&gt;=1,J1779&lt;=K1779+3),"255.255.255.0",""))</f>
        <v/>
      </c>
      <c r="E1779" s="0" t="str">
        <f aca="false">IF(I1779="","",IF(AND(J1779&gt;=1,J1779&lt;=K1779+3),"10."&amp;INDEX(Eingabe!$D$9:$D$18,I1779)&amp;"."&amp;IF(J1779&lt;=K1779,J1779,IF(J1779=K1779+1,200,IF(J1779=K1779+2,201,250)))&amp;".1",""))</f>
        <v/>
      </c>
      <c r="F1779" s="0" t="str">
        <f aca="false">IF(I1779="","",IF(AND(J1779&gt;=1,J1779&lt;=K1779+3),"10."&amp;INDEX(Eingabe!$D$9:$D$18,I1779)&amp;"."&amp;IF(J1779&lt;=K1779,J1779,IF(J1779=K1779+1,200,IF(J1779=K1779+2,201,250)))&amp;".10 – 10."&amp;INDEX(Eingabe!$D$9:$D$18,I1779)&amp;"."&amp;IF(J1779&lt;=K1779,J1779,IF(J1779=K1779+1,200,IF(J1779=K1779+2,201,250)))&amp;".250",""))</f>
        <v/>
      </c>
      <c r="G1779" s="0" t="str">
        <f aca="false">IF(I1779="","",IF(AND(J1779&gt;=1,J1779&lt;=K1779),Eingabe!$B$6&amp;"-"&amp;INDEX(Eingabe!$C$9:$C$18,I1779)&amp;"-Pächter  ·  Passwort Parzelle "&amp;J1779,IF(J1779=K1779+1,Eingabe!$B$6&amp;"-"&amp;INDEX(Eingabe!$C$9:$C$18,I1779)&amp;"-Vorstand  ·  eigenes WLAN",IF(J1779=K1779+2,Eingabe!$B$6&amp;"-"&amp;INDEX(Eingabe!$C$9:$C$18,I1779)&amp;"-Gäste  ·  Voucher",IF(J1779=K1779+3,"Kabel  ·  Access Point y = .(50+y), Mast-Switch x = .(10+x)","")))))</f>
        <v/>
      </c>
      <c r="I1779" s="0" t="str">
        <f aca="false">IF(1774&lt;=(Eingabe!$P$18+Eingabe!$Q$18-1),MATCH(1774,Eingabe!$P$9:$P$18,1),"")</f>
        <v/>
      </c>
      <c r="J1779" s="0" t="str">
        <f aca="false">IF(I1779="","",1774-INDEX(Eingabe!$P$9:$P$18,I1779))</f>
        <v/>
      </c>
      <c r="K1779" s="0" t="str">
        <f aca="false">IF(I1779="","",INDEX(Eingabe!$E$9:$E$18,I1779))</f>
        <v/>
      </c>
    </row>
    <row r="1780" customFormat="false" ht="15" hidden="false" customHeight="false" outlineLevel="0" collapsed="false">
      <c r="A1780" s="0" t="str">
        <f aca="false">IF(I1780="","",IF(J1780=0,"Sparte "&amp;I1780&amp;": "&amp;INDEX(Eingabe!$B$9:$B$18,I1780)&amp;"  (Sparten-ID "&amp;INDEX(Eingabe!$D$9:$D$18,I1780)&amp;", "&amp;K1780&amp;" Parzellen)",IF(J1780&lt;=K1780,"   Parzelle "&amp;J1780,IF(J1780=K1780+1,"   Vorstand",IF(J1780=K1780+2,"   Gäste",IF(J1780=K1780+3,"   Technik (Switches, Access Points)",""))))))</f>
        <v/>
      </c>
      <c r="B1780" s="0" t="str">
        <f aca="false">IF(I1780="","",IF(AND(J1780&gt;=1,J1780&lt;=K1780+3),IF(J1780&lt;=K1780,IF(J1780&lt;=99,IF((INDEX(Eingabe!$G$9:$G$18,I1780))&lt;=9,1000+(INDEX(Eingabe!$G$9:$G$18,I1780))*100,3000)+J1780,IF((INDEX(Eingabe!$G$9:$G$18,I1780)+1)&lt;=9,1000+(INDEX(Eingabe!$G$9:$G$18,I1780)+1)*100,3000)+J1780-100),IF(J1780=K1780+1,2000+INDEX(Eingabe!$G$9:$G$18,I1780)*10+1,IF(J1780=K1780+2,2000+INDEX(Eingabe!$G$9:$G$18,I1780)*10+2,2000+INDEX(Eingabe!$G$9:$G$18,I1780)*10+9))),""))</f>
        <v/>
      </c>
      <c r="C1780" s="0" t="str">
        <f aca="false">IF(I1780="","",IF(AND(J1780&gt;=1,J1780&lt;=K1780+3),"10."&amp;INDEX(Eingabe!$D$9:$D$18,I1780)&amp;"."&amp;IF(J1780&lt;=K1780,J1780,IF(J1780=K1780+1,200,IF(J1780=K1780+2,201,250)))&amp;".0/24",""))</f>
        <v/>
      </c>
      <c r="D1780" s="0" t="str">
        <f aca="false">IF(I1780="","",IF(AND(J1780&gt;=1,J1780&lt;=K1780+3),"255.255.255.0",""))</f>
        <v/>
      </c>
      <c r="E1780" s="0" t="str">
        <f aca="false">IF(I1780="","",IF(AND(J1780&gt;=1,J1780&lt;=K1780+3),"10."&amp;INDEX(Eingabe!$D$9:$D$18,I1780)&amp;"."&amp;IF(J1780&lt;=K1780,J1780,IF(J1780=K1780+1,200,IF(J1780=K1780+2,201,250)))&amp;".1",""))</f>
        <v/>
      </c>
      <c r="F1780" s="0" t="str">
        <f aca="false">IF(I1780="","",IF(AND(J1780&gt;=1,J1780&lt;=K1780+3),"10."&amp;INDEX(Eingabe!$D$9:$D$18,I1780)&amp;"."&amp;IF(J1780&lt;=K1780,J1780,IF(J1780=K1780+1,200,IF(J1780=K1780+2,201,250)))&amp;".10 – 10."&amp;INDEX(Eingabe!$D$9:$D$18,I1780)&amp;"."&amp;IF(J1780&lt;=K1780,J1780,IF(J1780=K1780+1,200,IF(J1780=K1780+2,201,250)))&amp;".250",""))</f>
        <v/>
      </c>
      <c r="G1780" s="0" t="str">
        <f aca="false">IF(I1780="","",IF(AND(J1780&gt;=1,J1780&lt;=K1780),Eingabe!$B$6&amp;"-"&amp;INDEX(Eingabe!$C$9:$C$18,I1780)&amp;"-Pächter  ·  Passwort Parzelle "&amp;J1780,IF(J1780=K1780+1,Eingabe!$B$6&amp;"-"&amp;INDEX(Eingabe!$C$9:$C$18,I1780)&amp;"-Vorstand  ·  eigenes WLAN",IF(J1780=K1780+2,Eingabe!$B$6&amp;"-"&amp;INDEX(Eingabe!$C$9:$C$18,I1780)&amp;"-Gäste  ·  Voucher",IF(J1780=K1780+3,"Kabel  ·  Access Point y = .(50+y), Mast-Switch x = .(10+x)","")))))</f>
        <v/>
      </c>
      <c r="I1780" s="0" t="str">
        <f aca="false">IF(1775&lt;=(Eingabe!$P$18+Eingabe!$Q$18-1),MATCH(1775,Eingabe!$P$9:$P$18,1),"")</f>
        <v/>
      </c>
      <c r="J1780" s="0" t="str">
        <f aca="false">IF(I1780="","",1775-INDEX(Eingabe!$P$9:$P$18,I1780))</f>
        <v/>
      </c>
      <c r="K1780" s="0" t="str">
        <f aca="false">IF(I1780="","",INDEX(Eingabe!$E$9:$E$18,I1780))</f>
        <v/>
      </c>
    </row>
    <row r="1781" customFormat="false" ht="15" hidden="false" customHeight="false" outlineLevel="0" collapsed="false">
      <c r="A1781" s="0" t="str">
        <f aca="false">IF(I1781="","",IF(J1781=0,"Sparte "&amp;I1781&amp;": "&amp;INDEX(Eingabe!$B$9:$B$18,I1781)&amp;"  (Sparten-ID "&amp;INDEX(Eingabe!$D$9:$D$18,I1781)&amp;", "&amp;K1781&amp;" Parzellen)",IF(J1781&lt;=K1781,"   Parzelle "&amp;J1781,IF(J1781=K1781+1,"   Vorstand",IF(J1781=K1781+2,"   Gäste",IF(J1781=K1781+3,"   Technik (Switches, Access Points)",""))))))</f>
        <v/>
      </c>
      <c r="B1781" s="0" t="str">
        <f aca="false">IF(I1781="","",IF(AND(J1781&gt;=1,J1781&lt;=K1781+3),IF(J1781&lt;=K1781,IF(J1781&lt;=99,IF((INDEX(Eingabe!$G$9:$G$18,I1781))&lt;=9,1000+(INDEX(Eingabe!$G$9:$G$18,I1781))*100,3000)+J1781,IF((INDEX(Eingabe!$G$9:$G$18,I1781)+1)&lt;=9,1000+(INDEX(Eingabe!$G$9:$G$18,I1781)+1)*100,3000)+J1781-100),IF(J1781=K1781+1,2000+INDEX(Eingabe!$G$9:$G$18,I1781)*10+1,IF(J1781=K1781+2,2000+INDEX(Eingabe!$G$9:$G$18,I1781)*10+2,2000+INDEX(Eingabe!$G$9:$G$18,I1781)*10+9))),""))</f>
        <v/>
      </c>
      <c r="C1781" s="0" t="str">
        <f aca="false">IF(I1781="","",IF(AND(J1781&gt;=1,J1781&lt;=K1781+3),"10."&amp;INDEX(Eingabe!$D$9:$D$18,I1781)&amp;"."&amp;IF(J1781&lt;=K1781,J1781,IF(J1781=K1781+1,200,IF(J1781=K1781+2,201,250)))&amp;".0/24",""))</f>
        <v/>
      </c>
      <c r="D1781" s="0" t="str">
        <f aca="false">IF(I1781="","",IF(AND(J1781&gt;=1,J1781&lt;=K1781+3),"255.255.255.0",""))</f>
        <v/>
      </c>
      <c r="E1781" s="0" t="str">
        <f aca="false">IF(I1781="","",IF(AND(J1781&gt;=1,J1781&lt;=K1781+3),"10."&amp;INDEX(Eingabe!$D$9:$D$18,I1781)&amp;"."&amp;IF(J1781&lt;=K1781,J1781,IF(J1781=K1781+1,200,IF(J1781=K1781+2,201,250)))&amp;".1",""))</f>
        <v/>
      </c>
      <c r="F1781" s="0" t="str">
        <f aca="false">IF(I1781="","",IF(AND(J1781&gt;=1,J1781&lt;=K1781+3),"10."&amp;INDEX(Eingabe!$D$9:$D$18,I1781)&amp;"."&amp;IF(J1781&lt;=K1781,J1781,IF(J1781=K1781+1,200,IF(J1781=K1781+2,201,250)))&amp;".10 – 10."&amp;INDEX(Eingabe!$D$9:$D$18,I1781)&amp;"."&amp;IF(J1781&lt;=K1781,J1781,IF(J1781=K1781+1,200,IF(J1781=K1781+2,201,250)))&amp;".250",""))</f>
        <v/>
      </c>
      <c r="G1781" s="0" t="str">
        <f aca="false">IF(I1781="","",IF(AND(J1781&gt;=1,J1781&lt;=K1781),Eingabe!$B$6&amp;"-"&amp;INDEX(Eingabe!$C$9:$C$18,I1781)&amp;"-Pächter  ·  Passwort Parzelle "&amp;J1781,IF(J1781=K1781+1,Eingabe!$B$6&amp;"-"&amp;INDEX(Eingabe!$C$9:$C$18,I1781)&amp;"-Vorstand  ·  eigenes WLAN",IF(J1781=K1781+2,Eingabe!$B$6&amp;"-"&amp;INDEX(Eingabe!$C$9:$C$18,I1781)&amp;"-Gäste  ·  Voucher",IF(J1781=K1781+3,"Kabel  ·  Access Point y = .(50+y), Mast-Switch x = .(10+x)","")))))</f>
        <v/>
      </c>
      <c r="I1781" s="0" t="str">
        <f aca="false">IF(1776&lt;=(Eingabe!$P$18+Eingabe!$Q$18-1),MATCH(1776,Eingabe!$P$9:$P$18,1),"")</f>
        <v/>
      </c>
      <c r="J1781" s="0" t="str">
        <f aca="false">IF(I1781="","",1776-INDEX(Eingabe!$P$9:$P$18,I1781))</f>
        <v/>
      </c>
      <c r="K1781" s="0" t="str">
        <f aca="false">IF(I1781="","",INDEX(Eingabe!$E$9:$E$18,I1781))</f>
        <v/>
      </c>
    </row>
    <row r="1782" customFormat="false" ht="15" hidden="false" customHeight="false" outlineLevel="0" collapsed="false">
      <c r="A1782" s="0" t="str">
        <f aca="false">IF(I1782="","",IF(J1782=0,"Sparte "&amp;I1782&amp;": "&amp;INDEX(Eingabe!$B$9:$B$18,I1782)&amp;"  (Sparten-ID "&amp;INDEX(Eingabe!$D$9:$D$18,I1782)&amp;", "&amp;K1782&amp;" Parzellen)",IF(J1782&lt;=K1782,"   Parzelle "&amp;J1782,IF(J1782=K1782+1,"   Vorstand",IF(J1782=K1782+2,"   Gäste",IF(J1782=K1782+3,"   Technik (Switches, Access Points)",""))))))</f>
        <v/>
      </c>
      <c r="B1782" s="0" t="str">
        <f aca="false">IF(I1782="","",IF(AND(J1782&gt;=1,J1782&lt;=K1782+3),IF(J1782&lt;=K1782,IF(J1782&lt;=99,IF((INDEX(Eingabe!$G$9:$G$18,I1782))&lt;=9,1000+(INDEX(Eingabe!$G$9:$G$18,I1782))*100,3000)+J1782,IF((INDEX(Eingabe!$G$9:$G$18,I1782)+1)&lt;=9,1000+(INDEX(Eingabe!$G$9:$G$18,I1782)+1)*100,3000)+J1782-100),IF(J1782=K1782+1,2000+INDEX(Eingabe!$G$9:$G$18,I1782)*10+1,IF(J1782=K1782+2,2000+INDEX(Eingabe!$G$9:$G$18,I1782)*10+2,2000+INDEX(Eingabe!$G$9:$G$18,I1782)*10+9))),""))</f>
        <v/>
      </c>
      <c r="C1782" s="0" t="str">
        <f aca="false">IF(I1782="","",IF(AND(J1782&gt;=1,J1782&lt;=K1782+3),"10."&amp;INDEX(Eingabe!$D$9:$D$18,I1782)&amp;"."&amp;IF(J1782&lt;=K1782,J1782,IF(J1782=K1782+1,200,IF(J1782=K1782+2,201,250)))&amp;".0/24",""))</f>
        <v/>
      </c>
      <c r="D1782" s="0" t="str">
        <f aca="false">IF(I1782="","",IF(AND(J1782&gt;=1,J1782&lt;=K1782+3),"255.255.255.0",""))</f>
        <v/>
      </c>
      <c r="E1782" s="0" t="str">
        <f aca="false">IF(I1782="","",IF(AND(J1782&gt;=1,J1782&lt;=K1782+3),"10."&amp;INDEX(Eingabe!$D$9:$D$18,I1782)&amp;"."&amp;IF(J1782&lt;=K1782,J1782,IF(J1782=K1782+1,200,IF(J1782=K1782+2,201,250)))&amp;".1",""))</f>
        <v/>
      </c>
      <c r="F1782" s="0" t="str">
        <f aca="false">IF(I1782="","",IF(AND(J1782&gt;=1,J1782&lt;=K1782+3),"10."&amp;INDEX(Eingabe!$D$9:$D$18,I1782)&amp;"."&amp;IF(J1782&lt;=K1782,J1782,IF(J1782=K1782+1,200,IF(J1782=K1782+2,201,250)))&amp;".10 – 10."&amp;INDEX(Eingabe!$D$9:$D$18,I1782)&amp;"."&amp;IF(J1782&lt;=K1782,J1782,IF(J1782=K1782+1,200,IF(J1782=K1782+2,201,250)))&amp;".250",""))</f>
        <v/>
      </c>
      <c r="G1782" s="0" t="str">
        <f aca="false">IF(I1782="","",IF(AND(J1782&gt;=1,J1782&lt;=K1782),Eingabe!$B$6&amp;"-"&amp;INDEX(Eingabe!$C$9:$C$18,I1782)&amp;"-Pächter  ·  Passwort Parzelle "&amp;J1782,IF(J1782=K1782+1,Eingabe!$B$6&amp;"-"&amp;INDEX(Eingabe!$C$9:$C$18,I1782)&amp;"-Vorstand  ·  eigenes WLAN",IF(J1782=K1782+2,Eingabe!$B$6&amp;"-"&amp;INDEX(Eingabe!$C$9:$C$18,I1782)&amp;"-Gäste  ·  Voucher",IF(J1782=K1782+3,"Kabel  ·  Access Point y = .(50+y), Mast-Switch x = .(10+x)","")))))</f>
        <v/>
      </c>
      <c r="I1782" s="0" t="str">
        <f aca="false">IF(1777&lt;=(Eingabe!$P$18+Eingabe!$Q$18-1),MATCH(1777,Eingabe!$P$9:$P$18,1),"")</f>
        <v/>
      </c>
      <c r="J1782" s="0" t="str">
        <f aca="false">IF(I1782="","",1777-INDEX(Eingabe!$P$9:$P$18,I1782))</f>
        <v/>
      </c>
      <c r="K1782" s="0" t="str">
        <f aca="false">IF(I1782="","",INDEX(Eingabe!$E$9:$E$18,I1782))</f>
        <v/>
      </c>
    </row>
    <row r="1783" customFormat="false" ht="15" hidden="false" customHeight="false" outlineLevel="0" collapsed="false">
      <c r="A1783" s="0" t="str">
        <f aca="false">IF(I1783="","",IF(J1783=0,"Sparte "&amp;I1783&amp;": "&amp;INDEX(Eingabe!$B$9:$B$18,I1783)&amp;"  (Sparten-ID "&amp;INDEX(Eingabe!$D$9:$D$18,I1783)&amp;", "&amp;K1783&amp;" Parzellen)",IF(J1783&lt;=K1783,"   Parzelle "&amp;J1783,IF(J1783=K1783+1,"   Vorstand",IF(J1783=K1783+2,"   Gäste",IF(J1783=K1783+3,"   Technik (Switches, Access Points)",""))))))</f>
        <v/>
      </c>
      <c r="B1783" s="0" t="str">
        <f aca="false">IF(I1783="","",IF(AND(J1783&gt;=1,J1783&lt;=K1783+3),IF(J1783&lt;=K1783,IF(J1783&lt;=99,IF((INDEX(Eingabe!$G$9:$G$18,I1783))&lt;=9,1000+(INDEX(Eingabe!$G$9:$G$18,I1783))*100,3000)+J1783,IF((INDEX(Eingabe!$G$9:$G$18,I1783)+1)&lt;=9,1000+(INDEX(Eingabe!$G$9:$G$18,I1783)+1)*100,3000)+J1783-100),IF(J1783=K1783+1,2000+INDEX(Eingabe!$G$9:$G$18,I1783)*10+1,IF(J1783=K1783+2,2000+INDEX(Eingabe!$G$9:$G$18,I1783)*10+2,2000+INDEX(Eingabe!$G$9:$G$18,I1783)*10+9))),""))</f>
        <v/>
      </c>
      <c r="C1783" s="0" t="str">
        <f aca="false">IF(I1783="","",IF(AND(J1783&gt;=1,J1783&lt;=K1783+3),"10."&amp;INDEX(Eingabe!$D$9:$D$18,I1783)&amp;"."&amp;IF(J1783&lt;=K1783,J1783,IF(J1783=K1783+1,200,IF(J1783=K1783+2,201,250)))&amp;".0/24",""))</f>
        <v/>
      </c>
      <c r="D1783" s="0" t="str">
        <f aca="false">IF(I1783="","",IF(AND(J1783&gt;=1,J1783&lt;=K1783+3),"255.255.255.0",""))</f>
        <v/>
      </c>
      <c r="E1783" s="0" t="str">
        <f aca="false">IF(I1783="","",IF(AND(J1783&gt;=1,J1783&lt;=K1783+3),"10."&amp;INDEX(Eingabe!$D$9:$D$18,I1783)&amp;"."&amp;IF(J1783&lt;=K1783,J1783,IF(J1783=K1783+1,200,IF(J1783=K1783+2,201,250)))&amp;".1",""))</f>
        <v/>
      </c>
      <c r="F1783" s="0" t="str">
        <f aca="false">IF(I1783="","",IF(AND(J1783&gt;=1,J1783&lt;=K1783+3),"10."&amp;INDEX(Eingabe!$D$9:$D$18,I1783)&amp;"."&amp;IF(J1783&lt;=K1783,J1783,IF(J1783=K1783+1,200,IF(J1783=K1783+2,201,250)))&amp;".10 – 10."&amp;INDEX(Eingabe!$D$9:$D$18,I1783)&amp;"."&amp;IF(J1783&lt;=K1783,J1783,IF(J1783=K1783+1,200,IF(J1783=K1783+2,201,250)))&amp;".250",""))</f>
        <v/>
      </c>
      <c r="G1783" s="0" t="str">
        <f aca="false">IF(I1783="","",IF(AND(J1783&gt;=1,J1783&lt;=K1783),Eingabe!$B$6&amp;"-"&amp;INDEX(Eingabe!$C$9:$C$18,I1783)&amp;"-Pächter  ·  Passwort Parzelle "&amp;J1783,IF(J1783=K1783+1,Eingabe!$B$6&amp;"-"&amp;INDEX(Eingabe!$C$9:$C$18,I1783)&amp;"-Vorstand  ·  eigenes WLAN",IF(J1783=K1783+2,Eingabe!$B$6&amp;"-"&amp;INDEX(Eingabe!$C$9:$C$18,I1783)&amp;"-Gäste  ·  Voucher",IF(J1783=K1783+3,"Kabel  ·  Access Point y = .(50+y), Mast-Switch x = .(10+x)","")))))</f>
        <v/>
      </c>
      <c r="I1783" s="0" t="str">
        <f aca="false">IF(1778&lt;=(Eingabe!$P$18+Eingabe!$Q$18-1),MATCH(1778,Eingabe!$P$9:$P$18,1),"")</f>
        <v/>
      </c>
      <c r="J1783" s="0" t="str">
        <f aca="false">IF(I1783="","",1778-INDEX(Eingabe!$P$9:$P$18,I1783))</f>
        <v/>
      </c>
      <c r="K1783" s="0" t="str">
        <f aca="false">IF(I1783="","",INDEX(Eingabe!$E$9:$E$18,I1783))</f>
        <v/>
      </c>
    </row>
    <row r="1784" customFormat="false" ht="15" hidden="false" customHeight="false" outlineLevel="0" collapsed="false">
      <c r="A1784" s="0" t="str">
        <f aca="false">IF(I1784="","",IF(J1784=0,"Sparte "&amp;I1784&amp;": "&amp;INDEX(Eingabe!$B$9:$B$18,I1784)&amp;"  (Sparten-ID "&amp;INDEX(Eingabe!$D$9:$D$18,I1784)&amp;", "&amp;K1784&amp;" Parzellen)",IF(J1784&lt;=K1784,"   Parzelle "&amp;J1784,IF(J1784=K1784+1,"   Vorstand",IF(J1784=K1784+2,"   Gäste",IF(J1784=K1784+3,"   Technik (Switches, Access Points)",""))))))</f>
        <v/>
      </c>
      <c r="B1784" s="0" t="str">
        <f aca="false">IF(I1784="","",IF(AND(J1784&gt;=1,J1784&lt;=K1784+3),IF(J1784&lt;=K1784,IF(J1784&lt;=99,IF((INDEX(Eingabe!$G$9:$G$18,I1784))&lt;=9,1000+(INDEX(Eingabe!$G$9:$G$18,I1784))*100,3000)+J1784,IF((INDEX(Eingabe!$G$9:$G$18,I1784)+1)&lt;=9,1000+(INDEX(Eingabe!$G$9:$G$18,I1784)+1)*100,3000)+J1784-100),IF(J1784=K1784+1,2000+INDEX(Eingabe!$G$9:$G$18,I1784)*10+1,IF(J1784=K1784+2,2000+INDEX(Eingabe!$G$9:$G$18,I1784)*10+2,2000+INDEX(Eingabe!$G$9:$G$18,I1784)*10+9))),""))</f>
        <v/>
      </c>
      <c r="C1784" s="0" t="str">
        <f aca="false">IF(I1784="","",IF(AND(J1784&gt;=1,J1784&lt;=K1784+3),"10."&amp;INDEX(Eingabe!$D$9:$D$18,I1784)&amp;"."&amp;IF(J1784&lt;=K1784,J1784,IF(J1784=K1784+1,200,IF(J1784=K1784+2,201,250)))&amp;".0/24",""))</f>
        <v/>
      </c>
      <c r="D1784" s="0" t="str">
        <f aca="false">IF(I1784="","",IF(AND(J1784&gt;=1,J1784&lt;=K1784+3),"255.255.255.0",""))</f>
        <v/>
      </c>
      <c r="E1784" s="0" t="str">
        <f aca="false">IF(I1784="","",IF(AND(J1784&gt;=1,J1784&lt;=K1784+3),"10."&amp;INDEX(Eingabe!$D$9:$D$18,I1784)&amp;"."&amp;IF(J1784&lt;=K1784,J1784,IF(J1784=K1784+1,200,IF(J1784=K1784+2,201,250)))&amp;".1",""))</f>
        <v/>
      </c>
      <c r="F1784" s="0" t="str">
        <f aca="false">IF(I1784="","",IF(AND(J1784&gt;=1,J1784&lt;=K1784+3),"10."&amp;INDEX(Eingabe!$D$9:$D$18,I1784)&amp;"."&amp;IF(J1784&lt;=K1784,J1784,IF(J1784=K1784+1,200,IF(J1784=K1784+2,201,250)))&amp;".10 – 10."&amp;INDEX(Eingabe!$D$9:$D$18,I1784)&amp;"."&amp;IF(J1784&lt;=K1784,J1784,IF(J1784=K1784+1,200,IF(J1784=K1784+2,201,250)))&amp;".250",""))</f>
        <v/>
      </c>
      <c r="G1784" s="0" t="str">
        <f aca="false">IF(I1784="","",IF(AND(J1784&gt;=1,J1784&lt;=K1784),Eingabe!$B$6&amp;"-"&amp;INDEX(Eingabe!$C$9:$C$18,I1784)&amp;"-Pächter  ·  Passwort Parzelle "&amp;J1784,IF(J1784=K1784+1,Eingabe!$B$6&amp;"-"&amp;INDEX(Eingabe!$C$9:$C$18,I1784)&amp;"-Vorstand  ·  eigenes WLAN",IF(J1784=K1784+2,Eingabe!$B$6&amp;"-"&amp;INDEX(Eingabe!$C$9:$C$18,I1784)&amp;"-Gäste  ·  Voucher",IF(J1784=K1784+3,"Kabel  ·  Access Point y = .(50+y), Mast-Switch x = .(10+x)","")))))</f>
        <v/>
      </c>
      <c r="I1784" s="0" t="str">
        <f aca="false">IF(1779&lt;=(Eingabe!$P$18+Eingabe!$Q$18-1),MATCH(1779,Eingabe!$P$9:$P$18,1),"")</f>
        <v/>
      </c>
      <c r="J1784" s="0" t="str">
        <f aca="false">IF(I1784="","",1779-INDEX(Eingabe!$P$9:$P$18,I1784))</f>
        <v/>
      </c>
      <c r="K1784" s="0" t="str">
        <f aca="false">IF(I1784="","",INDEX(Eingabe!$E$9:$E$18,I1784))</f>
        <v/>
      </c>
    </row>
    <row r="1785" customFormat="false" ht="15" hidden="false" customHeight="false" outlineLevel="0" collapsed="false">
      <c r="A1785" s="0" t="str">
        <f aca="false">IF(I1785="","",IF(J1785=0,"Sparte "&amp;I1785&amp;": "&amp;INDEX(Eingabe!$B$9:$B$18,I1785)&amp;"  (Sparten-ID "&amp;INDEX(Eingabe!$D$9:$D$18,I1785)&amp;", "&amp;K1785&amp;" Parzellen)",IF(J1785&lt;=K1785,"   Parzelle "&amp;J1785,IF(J1785=K1785+1,"   Vorstand",IF(J1785=K1785+2,"   Gäste",IF(J1785=K1785+3,"   Technik (Switches, Access Points)",""))))))</f>
        <v/>
      </c>
      <c r="B1785" s="0" t="str">
        <f aca="false">IF(I1785="","",IF(AND(J1785&gt;=1,J1785&lt;=K1785+3),IF(J1785&lt;=K1785,IF(J1785&lt;=99,IF((INDEX(Eingabe!$G$9:$G$18,I1785))&lt;=9,1000+(INDEX(Eingabe!$G$9:$G$18,I1785))*100,3000)+J1785,IF((INDEX(Eingabe!$G$9:$G$18,I1785)+1)&lt;=9,1000+(INDEX(Eingabe!$G$9:$G$18,I1785)+1)*100,3000)+J1785-100),IF(J1785=K1785+1,2000+INDEX(Eingabe!$G$9:$G$18,I1785)*10+1,IF(J1785=K1785+2,2000+INDEX(Eingabe!$G$9:$G$18,I1785)*10+2,2000+INDEX(Eingabe!$G$9:$G$18,I1785)*10+9))),""))</f>
        <v/>
      </c>
      <c r="C1785" s="0" t="str">
        <f aca="false">IF(I1785="","",IF(AND(J1785&gt;=1,J1785&lt;=K1785+3),"10."&amp;INDEX(Eingabe!$D$9:$D$18,I1785)&amp;"."&amp;IF(J1785&lt;=K1785,J1785,IF(J1785=K1785+1,200,IF(J1785=K1785+2,201,250)))&amp;".0/24",""))</f>
        <v/>
      </c>
      <c r="D1785" s="0" t="str">
        <f aca="false">IF(I1785="","",IF(AND(J1785&gt;=1,J1785&lt;=K1785+3),"255.255.255.0",""))</f>
        <v/>
      </c>
      <c r="E1785" s="0" t="str">
        <f aca="false">IF(I1785="","",IF(AND(J1785&gt;=1,J1785&lt;=K1785+3),"10."&amp;INDEX(Eingabe!$D$9:$D$18,I1785)&amp;"."&amp;IF(J1785&lt;=K1785,J1785,IF(J1785=K1785+1,200,IF(J1785=K1785+2,201,250)))&amp;".1",""))</f>
        <v/>
      </c>
      <c r="F1785" s="0" t="str">
        <f aca="false">IF(I1785="","",IF(AND(J1785&gt;=1,J1785&lt;=K1785+3),"10."&amp;INDEX(Eingabe!$D$9:$D$18,I1785)&amp;"."&amp;IF(J1785&lt;=K1785,J1785,IF(J1785=K1785+1,200,IF(J1785=K1785+2,201,250)))&amp;".10 – 10."&amp;INDEX(Eingabe!$D$9:$D$18,I1785)&amp;"."&amp;IF(J1785&lt;=K1785,J1785,IF(J1785=K1785+1,200,IF(J1785=K1785+2,201,250)))&amp;".250",""))</f>
        <v/>
      </c>
      <c r="G1785" s="0" t="str">
        <f aca="false">IF(I1785="","",IF(AND(J1785&gt;=1,J1785&lt;=K1785),Eingabe!$B$6&amp;"-"&amp;INDEX(Eingabe!$C$9:$C$18,I1785)&amp;"-Pächter  ·  Passwort Parzelle "&amp;J1785,IF(J1785=K1785+1,Eingabe!$B$6&amp;"-"&amp;INDEX(Eingabe!$C$9:$C$18,I1785)&amp;"-Vorstand  ·  eigenes WLAN",IF(J1785=K1785+2,Eingabe!$B$6&amp;"-"&amp;INDEX(Eingabe!$C$9:$C$18,I1785)&amp;"-Gäste  ·  Voucher",IF(J1785=K1785+3,"Kabel  ·  Access Point y = .(50+y), Mast-Switch x = .(10+x)","")))))</f>
        <v/>
      </c>
      <c r="I1785" s="0" t="str">
        <f aca="false">IF(1780&lt;=(Eingabe!$P$18+Eingabe!$Q$18-1),MATCH(1780,Eingabe!$P$9:$P$18,1),"")</f>
        <v/>
      </c>
      <c r="J1785" s="0" t="str">
        <f aca="false">IF(I1785="","",1780-INDEX(Eingabe!$P$9:$P$18,I1785))</f>
        <v/>
      </c>
      <c r="K1785" s="0" t="str">
        <f aca="false">IF(I1785="","",INDEX(Eingabe!$E$9:$E$18,I1785))</f>
        <v/>
      </c>
    </row>
    <row r="1786" customFormat="false" ht="15" hidden="false" customHeight="false" outlineLevel="0" collapsed="false">
      <c r="A1786" s="0" t="str">
        <f aca="false">IF(I1786="","",IF(J1786=0,"Sparte "&amp;I1786&amp;": "&amp;INDEX(Eingabe!$B$9:$B$18,I1786)&amp;"  (Sparten-ID "&amp;INDEX(Eingabe!$D$9:$D$18,I1786)&amp;", "&amp;K1786&amp;" Parzellen)",IF(J1786&lt;=K1786,"   Parzelle "&amp;J1786,IF(J1786=K1786+1,"   Vorstand",IF(J1786=K1786+2,"   Gäste",IF(J1786=K1786+3,"   Technik (Switches, Access Points)",""))))))</f>
        <v/>
      </c>
      <c r="B1786" s="0" t="str">
        <f aca="false">IF(I1786="","",IF(AND(J1786&gt;=1,J1786&lt;=K1786+3),IF(J1786&lt;=K1786,IF(J1786&lt;=99,IF((INDEX(Eingabe!$G$9:$G$18,I1786))&lt;=9,1000+(INDEX(Eingabe!$G$9:$G$18,I1786))*100,3000)+J1786,IF((INDEX(Eingabe!$G$9:$G$18,I1786)+1)&lt;=9,1000+(INDEX(Eingabe!$G$9:$G$18,I1786)+1)*100,3000)+J1786-100),IF(J1786=K1786+1,2000+INDEX(Eingabe!$G$9:$G$18,I1786)*10+1,IF(J1786=K1786+2,2000+INDEX(Eingabe!$G$9:$G$18,I1786)*10+2,2000+INDEX(Eingabe!$G$9:$G$18,I1786)*10+9))),""))</f>
        <v/>
      </c>
      <c r="C1786" s="0" t="str">
        <f aca="false">IF(I1786="","",IF(AND(J1786&gt;=1,J1786&lt;=K1786+3),"10."&amp;INDEX(Eingabe!$D$9:$D$18,I1786)&amp;"."&amp;IF(J1786&lt;=K1786,J1786,IF(J1786=K1786+1,200,IF(J1786=K1786+2,201,250)))&amp;".0/24",""))</f>
        <v/>
      </c>
      <c r="D1786" s="0" t="str">
        <f aca="false">IF(I1786="","",IF(AND(J1786&gt;=1,J1786&lt;=K1786+3),"255.255.255.0",""))</f>
        <v/>
      </c>
      <c r="E1786" s="0" t="str">
        <f aca="false">IF(I1786="","",IF(AND(J1786&gt;=1,J1786&lt;=K1786+3),"10."&amp;INDEX(Eingabe!$D$9:$D$18,I1786)&amp;"."&amp;IF(J1786&lt;=K1786,J1786,IF(J1786=K1786+1,200,IF(J1786=K1786+2,201,250)))&amp;".1",""))</f>
        <v/>
      </c>
      <c r="F1786" s="0" t="str">
        <f aca="false">IF(I1786="","",IF(AND(J1786&gt;=1,J1786&lt;=K1786+3),"10."&amp;INDEX(Eingabe!$D$9:$D$18,I1786)&amp;"."&amp;IF(J1786&lt;=K1786,J1786,IF(J1786=K1786+1,200,IF(J1786=K1786+2,201,250)))&amp;".10 – 10."&amp;INDEX(Eingabe!$D$9:$D$18,I1786)&amp;"."&amp;IF(J1786&lt;=K1786,J1786,IF(J1786=K1786+1,200,IF(J1786=K1786+2,201,250)))&amp;".250",""))</f>
        <v/>
      </c>
      <c r="G1786" s="0" t="str">
        <f aca="false">IF(I1786="","",IF(AND(J1786&gt;=1,J1786&lt;=K1786),Eingabe!$B$6&amp;"-"&amp;INDEX(Eingabe!$C$9:$C$18,I1786)&amp;"-Pächter  ·  Passwort Parzelle "&amp;J1786,IF(J1786=K1786+1,Eingabe!$B$6&amp;"-"&amp;INDEX(Eingabe!$C$9:$C$18,I1786)&amp;"-Vorstand  ·  eigenes WLAN",IF(J1786=K1786+2,Eingabe!$B$6&amp;"-"&amp;INDEX(Eingabe!$C$9:$C$18,I1786)&amp;"-Gäste  ·  Voucher",IF(J1786=K1786+3,"Kabel  ·  Access Point y = .(50+y), Mast-Switch x = .(10+x)","")))))</f>
        <v/>
      </c>
      <c r="I1786" s="0" t="str">
        <f aca="false">IF(1781&lt;=(Eingabe!$P$18+Eingabe!$Q$18-1),MATCH(1781,Eingabe!$P$9:$P$18,1),"")</f>
        <v/>
      </c>
      <c r="J1786" s="0" t="str">
        <f aca="false">IF(I1786="","",1781-INDEX(Eingabe!$P$9:$P$18,I1786))</f>
        <v/>
      </c>
      <c r="K1786" s="0" t="str">
        <f aca="false">IF(I1786="","",INDEX(Eingabe!$E$9:$E$18,I1786))</f>
        <v/>
      </c>
    </row>
    <row r="1787" customFormat="false" ht="15" hidden="false" customHeight="false" outlineLevel="0" collapsed="false">
      <c r="A1787" s="0" t="str">
        <f aca="false">IF(I1787="","",IF(J1787=0,"Sparte "&amp;I1787&amp;": "&amp;INDEX(Eingabe!$B$9:$B$18,I1787)&amp;"  (Sparten-ID "&amp;INDEX(Eingabe!$D$9:$D$18,I1787)&amp;", "&amp;K1787&amp;" Parzellen)",IF(J1787&lt;=K1787,"   Parzelle "&amp;J1787,IF(J1787=K1787+1,"   Vorstand",IF(J1787=K1787+2,"   Gäste",IF(J1787=K1787+3,"   Technik (Switches, Access Points)",""))))))</f>
        <v/>
      </c>
      <c r="B1787" s="0" t="str">
        <f aca="false">IF(I1787="","",IF(AND(J1787&gt;=1,J1787&lt;=K1787+3),IF(J1787&lt;=K1787,IF(J1787&lt;=99,IF((INDEX(Eingabe!$G$9:$G$18,I1787))&lt;=9,1000+(INDEX(Eingabe!$G$9:$G$18,I1787))*100,3000)+J1787,IF((INDEX(Eingabe!$G$9:$G$18,I1787)+1)&lt;=9,1000+(INDEX(Eingabe!$G$9:$G$18,I1787)+1)*100,3000)+J1787-100),IF(J1787=K1787+1,2000+INDEX(Eingabe!$G$9:$G$18,I1787)*10+1,IF(J1787=K1787+2,2000+INDEX(Eingabe!$G$9:$G$18,I1787)*10+2,2000+INDEX(Eingabe!$G$9:$G$18,I1787)*10+9))),""))</f>
        <v/>
      </c>
      <c r="C1787" s="0" t="str">
        <f aca="false">IF(I1787="","",IF(AND(J1787&gt;=1,J1787&lt;=K1787+3),"10."&amp;INDEX(Eingabe!$D$9:$D$18,I1787)&amp;"."&amp;IF(J1787&lt;=K1787,J1787,IF(J1787=K1787+1,200,IF(J1787=K1787+2,201,250)))&amp;".0/24",""))</f>
        <v/>
      </c>
      <c r="D1787" s="0" t="str">
        <f aca="false">IF(I1787="","",IF(AND(J1787&gt;=1,J1787&lt;=K1787+3),"255.255.255.0",""))</f>
        <v/>
      </c>
      <c r="E1787" s="0" t="str">
        <f aca="false">IF(I1787="","",IF(AND(J1787&gt;=1,J1787&lt;=K1787+3),"10."&amp;INDEX(Eingabe!$D$9:$D$18,I1787)&amp;"."&amp;IF(J1787&lt;=K1787,J1787,IF(J1787=K1787+1,200,IF(J1787=K1787+2,201,250)))&amp;".1",""))</f>
        <v/>
      </c>
      <c r="F1787" s="0" t="str">
        <f aca="false">IF(I1787="","",IF(AND(J1787&gt;=1,J1787&lt;=K1787+3),"10."&amp;INDEX(Eingabe!$D$9:$D$18,I1787)&amp;"."&amp;IF(J1787&lt;=K1787,J1787,IF(J1787=K1787+1,200,IF(J1787=K1787+2,201,250)))&amp;".10 – 10."&amp;INDEX(Eingabe!$D$9:$D$18,I1787)&amp;"."&amp;IF(J1787&lt;=K1787,J1787,IF(J1787=K1787+1,200,IF(J1787=K1787+2,201,250)))&amp;".250",""))</f>
        <v/>
      </c>
      <c r="G1787" s="0" t="str">
        <f aca="false">IF(I1787="","",IF(AND(J1787&gt;=1,J1787&lt;=K1787),Eingabe!$B$6&amp;"-"&amp;INDEX(Eingabe!$C$9:$C$18,I1787)&amp;"-Pächter  ·  Passwort Parzelle "&amp;J1787,IF(J1787=K1787+1,Eingabe!$B$6&amp;"-"&amp;INDEX(Eingabe!$C$9:$C$18,I1787)&amp;"-Vorstand  ·  eigenes WLAN",IF(J1787=K1787+2,Eingabe!$B$6&amp;"-"&amp;INDEX(Eingabe!$C$9:$C$18,I1787)&amp;"-Gäste  ·  Voucher",IF(J1787=K1787+3,"Kabel  ·  Access Point y = .(50+y), Mast-Switch x = .(10+x)","")))))</f>
        <v/>
      </c>
      <c r="I1787" s="0" t="str">
        <f aca="false">IF(1782&lt;=(Eingabe!$P$18+Eingabe!$Q$18-1),MATCH(1782,Eingabe!$P$9:$P$18,1),"")</f>
        <v/>
      </c>
      <c r="J1787" s="0" t="str">
        <f aca="false">IF(I1787="","",1782-INDEX(Eingabe!$P$9:$P$18,I1787))</f>
        <v/>
      </c>
      <c r="K1787" s="0" t="str">
        <f aca="false">IF(I1787="","",INDEX(Eingabe!$E$9:$E$18,I1787))</f>
        <v/>
      </c>
    </row>
    <row r="1788" customFormat="false" ht="15" hidden="false" customHeight="false" outlineLevel="0" collapsed="false">
      <c r="A1788" s="0" t="str">
        <f aca="false">IF(I1788="","",IF(J1788=0,"Sparte "&amp;I1788&amp;": "&amp;INDEX(Eingabe!$B$9:$B$18,I1788)&amp;"  (Sparten-ID "&amp;INDEX(Eingabe!$D$9:$D$18,I1788)&amp;", "&amp;K1788&amp;" Parzellen)",IF(J1788&lt;=K1788,"   Parzelle "&amp;J1788,IF(J1788=K1788+1,"   Vorstand",IF(J1788=K1788+2,"   Gäste",IF(J1788=K1788+3,"   Technik (Switches, Access Points)",""))))))</f>
        <v/>
      </c>
      <c r="B1788" s="0" t="str">
        <f aca="false">IF(I1788="","",IF(AND(J1788&gt;=1,J1788&lt;=K1788+3),IF(J1788&lt;=K1788,IF(J1788&lt;=99,IF((INDEX(Eingabe!$G$9:$G$18,I1788))&lt;=9,1000+(INDEX(Eingabe!$G$9:$G$18,I1788))*100,3000)+J1788,IF((INDEX(Eingabe!$G$9:$G$18,I1788)+1)&lt;=9,1000+(INDEX(Eingabe!$G$9:$G$18,I1788)+1)*100,3000)+J1788-100),IF(J1788=K1788+1,2000+INDEX(Eingabe!$G$9:$G$18,I1788)*10+1,IF(J1788=K1788+2,2000+INDEX(Eingabe!$G$9:$G$18,I1788)*10+2,2000+INDEX(Eingabe!$G$9:$G$18,I1788)*10+9))),""))</f>
        <v/>
      </c>
      <c r="C1788" s="0" t="str">
        <f aca="false">IF(I1788="","",IF(AND(J1788&gt;=1,J1788&lt;=K1788+3),"10."&amp;INDEX(Eingabe!$D$9:$D$18,I1788)&amp;"."&amp;IF(J1788&lt;=K1788,J1788,IF(J1788=K1788+1,200,IF(J1788=K1788+2,201,250)))&amp;".0/24",""))</f>
        <v/>
      </c>
      <c r="D1788" s="0" t="str">
        <f aca="false">IF(I1788="","",IF(AND(J1788&gt;=1,J1788&lt;=K1788+3),"255.255.255.0",""))</f>
        <v/>
      </c>
      <c r="E1788" s="0" t="str">
        <f aca="false">IF(I1788="","",IF(AND(J1788&gt;=1,J1788&lt;=K1788+3),"10."&amp;INDEX(Eingabe!$D$9:$D$18,I1788)&amp;"."&amp;IF(J1788&lt;=K1788,J1788,IF(J1788=K1788+1,200,IF(J1788=K1788+2,201,250)))&amp;".1",""))</f>
        <v/>
      </c>
      <c r="F1788" s="0" t="str">
        <f aca="false">IF(I1788="","",IF(AND(J1788&gt;=1,J1788&lt;=K1788+3),"10."&amp;INDEX(Eingabe!$D$9:$D$18,I1788)&amp;"."&amp;IF(J1788&lt;=K1788,J1788,IF(J1788=K1788+1,200,IF(J1788=K1788+2,201,250)))&amp;".10 – 10."&amp;INDEX(Eingabe!$D$9:$D$18,I1788)&amp;"."&amp;IF(J1788&lt;=K1788,J1788,IF(J1788=K1788+1,200,IF(J1788=K1788+2,201,250)))&amp;".250",""))</f>
        <v/>
      </c>
      <c r="G1788" s="0" t="str">
        <f aca="false">IF(I1788="","",IF(AND(J1788&gt;=1,J1788&lt;=K1788),Eingabe!$B$6&amp;"-"&amp;INDEX(Eingabe!$C$9:$C$18,I1788)&amp;"-Pächter  ·  Passwort Parzelle "&amp;J1788,IF(J1788=K1788+1,Eingabe!$B$6&amp;"-"&amp;INDEX(Eingabe!$C$9:$C$18,I1788)&amp;"-Vorstand  ·  eigenes WLAN",IF(J1788=K1788+2,Eingabe!$B$6&amp;"-"&amp;INDEX(Eingabe!$C$9:$C$18,I1788)&amp;"-Gäste  ·  Voucher",IF(J1788=K1788+3,"Kabel  ·  Access Point y = .(50+y), Mast-Switch x = .(10+x)","")))))</f>
        <v/>
      </c>
      <c r="I1788" s="0" t="str">
        <f aca="false">IF(1783&lt;=(Eingabe!$P$18+Eingabe!$Q$18-1),MATCH(1783,Eingabe!$P$9:$P$18,1),"")</f>
        <v/>
      </c>
      <c r="J1788" s="0" t="str">
        <f aca="false">IF(I1788="","",1783-INDEX(Eingabe!$P$9:$P$18,I1788))</f>
        <v/>
      </c>
      <c r="K1788" s="0" t="str">
        <f aca="false">IF(I1788="","",INDEX(Eingabe!$E$9:$E$18,I1788))</f>
        <v/>
      </c>
    </row>
    <row r="1789" customFormat="false" ht="15" hidden="false" customHeight="false" outlineLevel="0" collapsed="false">
      <c r="A1789" s="0" t="str">
        <f aca="false">IF(I1789="","",IF(J1789=0,"Sparte "&amp;I1789&amp;": "&amp;INDEX(Eingabe!$B$9:$B$18,I1789)&amp;"  (Sparten-ID "&amp;INDEX(Eingabe!$D$9:$D$18,I1789)&amp;", "&amp;K1789&amp;" Parzellen)",IF(J1789&lt;=K1789,"   Parzelle "&amp;J1789,IF(J1789=K1789+1,"   Vorstand",IF(J1789=K1789+2,"   Gäste",IF(J1789=K1789+3,"   Technik (Switches, Access Points)",""))))))</f>
        <v/>
      </c>
      <c r="B1789" s="0" t="str">
        <f aca="false">IF(I1789="","",IF(AND(J1789&gt;=1,J1789&lt;=K1789+3),IF(J1789&lt;=K1789,IF(J1789&lt;=99,IF((INDEX(Eingabe!$G$9:$G$18,I1789))&lt;=9,1000+(INDEX(Eingabe!$G$9:$G$18,I1789))*100,3000)+J1789,IF((INDEX(Eingabe!$G$9:$G$18,I1789)+1)&lt;=9,1000+(INDEX(Eingabe!$G$9:$G$18,I1789)+1)*100,3000)+J1789-100),IF(J1789=K1789+1,2000+INDEX(Eingabe!$G$9:$G$18,I1789)*10+1,IF(J1789=K1789+2,2000+INDEX(Eingabe!$G$9:$G$18,I1789)*10+2,2000+INDEX(Eingabe!$G$9:$G$18,I1789)*10+9))),""))</f>
        <v/>
      </c>
      <c r="C1789" s="0" t="str">
        <f aca="false">IF(I1789="","",IF(AND(J1789&gt;=1,J1789&lt;=K1789+3),"10."&amp;INDEX(Eingabe!$D$9:$D$18,I1789)&amp;"."&amp;IF(J1789&lt;=K1789,J1789,IF(J1789=K1789+1,200,IF(J1789=K1789+2,201,250)))&amp;".0/24",""))</f>
        <v/>
      </c>
      <c r="D1789" s="0" t="str">
        <f aca="false">IF(I1789="","",IF(AND(J1789&gt;=1,J1789&lt;=K1789+3),"255.255.255.0",""))</f>
        <v/>
      </c>
      <c r="E1789" s="0" t="str">
        <f aca="false">IF(I1789="","",IF(AND(J1789&gt;=1,J1789&lt;=K1789+3),"10."&amp;INDEX(Eingabe!$D$9:$D$18,I1789)&amp;"."&amp;IF(J1789&lt;=K1789,J1789,IF(J1789=K1789+1,200,IF(J1789=K1789+2,201,250)))&amp;".1",""))</f>
        <v/>
      </c>
      <c r="F1789" s="0" t="str">
        <f aca="false">IF(I1789="","",IF(AND(J1789&gt;=1,J1789&lt;=K1789+3),"10."&amp;INDEX(Eingabe!$D$9:$D$18,I1789)&amp;"."&amp;IF(J1789&lt;=K1789,J1789,IF(J1789=K1789+1,200,IF(J1789=K1789+2,201,250)))&amp;".10 – 10."&amp;INDEX(Eingabe!$D$9:$D$18,I1789)&amp;"."&amp;IF(J1789&lt;=K1789,J1789,IF(J1789=K1789+1,200,IF(J1789=K1789+2,201,250)))&amp;".250",""))</f>
        <v/>
      </c>
      <c r="G1789" s="0" t="str">
        <f aca="false">IF(I1789="","",IF(AND(J1789&gt;=1,J1789&lt;=K1789),Eingabe!$B$6&amp;"-"&amp;INDEX(Eingabe!$C$9:$C$18,I1789)&amp;"-Pächter  ·  Passwort Parzelle "&amp;J1789,IF(J1789=K1789+1,Eingabe!$B$6&amp;"-"&amp;INDEX(Eingabe!$C$9:$C$18,I1789)&amp;"-Vorstand  ·  eigenes WLAN",IF(J1789=K1789+2,Eingabe!$B$6&amp;"-"&amp;INDEX(Eingabe!$C$9:$C$18,I1789)&amp;"-Gäste  ·  Voucher",IF(J1789=K1789+3,"Kabel  ·  Access Point y = .(50+y), Mast-Switch x = .(10+x)","")))))</f>
        <v/>
      </c>
      <c r="I1789" s="0" t="str">
        <f aca="false">IF(1784&lt;=(Eingabe!$P$18+Eingabe!$Q$18-1),MATCH(1784,Eingabe!$P$9:$P$18,1),"")</f>
        <v/>
      </c>
      <c r="J1789" s="0" t="str">
        <f aca="false">IF(I1789="","",1784-INDEX(Eingabe!$P$9:$P$18,I1789))</f>
        <v/>
      </c>
      <c r="K1789" s="0" t="str">
        <f aca="false">IF(I1789="","",INDEX(Eingabe!$E$9:$E$18,I1789))</f>
        <v/>
      </c>
    </row>
    <row r="1790" customFormat="false" ht="15" hidden="false" customHeight="false" outlineLevel="0" collapsed="false">
      <c r="A1790" s="0" t="str">
        <f aca="false">IF(I1790="","",IF(J1790=0,"Sparte "&amp;I1790&amp;": "&amp;INDEX(Eingabe!$B$9:$B$18,I1790)&amp;"  (Sparten-ID "&amp;INDEX(Eingabe!$D$9:$D$18,I1790)&amp;", "&amp;K1790&amp;" Parzellen)",IF(J1790&lt;=K1790,"   Parzelle "&amp;J1790,IF(J1790=K1790+1,"   Vorstand",IF(J1790=K1790+2,"   Gäste",IF(J1790=K1790+3,"   Technik (Switches, Access Points)",""))))))</f>
        <v/>
      </c>
      <c r="B1790" s="0" t="str">
        <f aca="false">IF(I1790="","",IF(AND(J1790&gt;=1,J1790&lt;=K1790+3),IF(J1790&lt;=K1790,IF(J1790&lt;=99,IF((INDEX(Eingabe!$G$9:$G$18,I1790))&lt;=9,1000+(INDEX(Eingabe!$G$9:$G$18,I1790))*100,3000)+J1790,IF((INDEX(Eingabe!$G$9:$G$18,I1790)+1)&lt;=9,1000+(INDEX(Eingabe!$G$9:$G$18,I1790)+1)*100,3000)+J1790-100),IF(J1790=K1790+1,2000+INDEX(Eingabe!$G$9:$G$18,I1790)*10+1,IF(J1790=K1790+2,2000+INDEX(Eingabe!$G$9:$G$18,I1790)*10+2,2000+INDEX(Eingabe!$G$9:$G$18,I1790)*10+9))),""))</f>
        <v/>
      </c>
      <c r="C1790" s="0" t="str">
        <f aca="false">IF(I1790="","",IF(AND(J1790&gt;=1,J1790&lt;=K1790+3),"10."&amp;INDEX(Eingabe!$D$9:$D$18,I1790)&amp;"."&amp;IF(J1790&lt;=K1790,J1790,IF(J1790=K1790+1,200,IF(J1790=K1790+2,201,250)))&amp;".0/24",""))</f>
        <v/>
      </c>
      <c r="D1790" s="0" t="str">
        <f aca="false">IF(I1790="","",IF(AND(J1790&gt;=1,J1790&lt;=K1790+3),"255.255.255.0",""))</f>
        <v/>
      </c>
      <c r="E1790" s="0" t="str">
        <f aca="false">IF(I1790="","",IF(AND(J1790&gt;=1,J1790&lt;=K1790+3),"10."&amp;INDEX(Eingabe!$D$9:$D$18,I1790)&amp;"."&amp;IF(J1790&lt;=K1790,J1790,IF(J1790=K1790+1,200,IF(J1790=K1790+2,201,250)))&amp;".1",""))</f>
        <v/>
      </c>
      <c r="F1790" s="0" t="str">
        <f aca="false">IF(I1790="","",IF(AND(J1790&gt;=1,J1790&lt;=K1790+3),"10."&amp;INDEX(Eingabe!$D$9:$D$18,I1790)&amp;"."&amp;IF(J1790&lt;=K1790,J1790,IF(J1790=K1790+1,200,IF(J1790=K1790+2,201,250)))&amp;".10 – 10."&amp;INDEX(Eingabe!$D$9:$D$18,I1790)&amp;"."&amp;IF(J1790&lt;=K1790,J1790,IF(J1790=K1790+1,200,IF(J1790=K1790+2,201,250)))&amp;".250",""))</f>
        <v/>
      </c>
      <c r="G1790" s="0" t="str">
        <f aca="false">IF(I1790="","",IF(AND(J1790&gt;=1,J1790&lt;=K1790),Eingabe!$B$6&amp;"-"&amp;INDEX(Eingabe!$C$9:$C$18,I1790)&amp;"-Pächter  ·  Passwort Parzelle "&amp;J1790,IF(J1790=K1790+1,Eingabe!$B$6&amp;"-"&amp;INDEX(Eingabe!$C$9:$C$18,I1790)&amp;"-Vorstand  ·  eigenes WLAN",IF(J1790=K1790+2,Eingabe!$B$6&amp;"-"&amp;INDEX(Eingabe!$C$9:$C$18,I1790)&amp;"-Gäste  ·  Voucher",IF(J1790=K1790+3,"Kabel  ·  Access Point y = .(50+y), Mast-Switch x = .(10+x)","")))))</f>
        <v/>
      </c>
      <c r="I1790" s="0" t="str">
        <f aca="false">IF(1785&lt;=(Eingabe!$P$18+Eingabe!$Q$18-1),MATCH(1785,Eingabe!$P$9:$P$18,1),"")</f>
        <v/>
      </c>
      <c r="J1790" s="0" t="str">
        <f aca="false">IF(I1790="","",1785-INDEX(Eingabe!$P$9:$P$18,I1790))</f>
        <v/>
      </c>
      <c r="K1790" s="0" t="str">
        <f aca="false">IF(I1790="","",INDEX(Eingabe!$E$9:$E$18,I1790))</f>
        <v/>
      </c>
    </row>
    <row r="1791" customFormat="false" ht="15" hidden="false" customHeight="false" outlineLevel="0" collapsed="false">
      <c r="A1791" s="0" t="str">
        <f aca="false">IF(I1791="","",IF(J1791=0,"Sparte "&amp;I1791&amp;": "&amp;INDEX(Eingabe!$B$9:$B$18,I1791)&amp;"  (Sparten-ID "&amp;INDEX(Eingabe!$D$9:$D$18,I1791)&amp;", "&amp;K1791&amp;" Parzellen)",IF(J1791&lt;=K1791,"   Parzelle "&amp;J1791,IF(J1791=K1791+1,"   Vorstand",IF(J1791=K1791+2,"   Gäste",IF(J1791=K1791+3,"   Technik (Switches, Access Points)",""))))))</f>
        <v/>
      </c>
      <c r="B1791" s="0" t="str">
        <f aca="false">IF(I1791="","",IF(AND(J1791&gt;=1,J1791&lt;=K1791+3),IF(J1791&lt;=K1791,IF(J1791&lt;=99,IF((INDEX(Eingabe!$G$9:$G$18,I1791))&lt;=9,1000+(INDEX(Eingabe!$G$9:$G$18,I1791))*100,3000)+J1791,IF((INDEX(Eingabe!$G$9:$G$18,I1791)+1)&lt;=9,1000+(INDEX(Eingabe!$G$9:$G$18,I1791)+1)*100,3000)+J1791-100),IF(J1791=K1791+1,2000+INDEX(Eingabe!$G$9:$G$18,I1791)*10+1,IF(J1791=K1791+2,2000+INDEX(Eingabe!$G$9:$G$18,I1791)*10+2,2000+INDEX(Eingabe!$G$9:$G$18,I1791)*10+9))),""))</f>
        <v/>
      </c>
      <c r="C1791" s="0" t="str">
        <f aca="false">IF(I1791="","",IF(AND(J1791&gt;=1,J1791&lt;=K1791+3),"10."&amp;INDEX(Eingabe!$D$9:$D$18,I1791)&amp;"."&amp;IF(J1791&lt;=K1791,J1791,IF(J1791=K1791+1,200,IF(J1791=K1791+2,201,250)))&amp;".0/24",""))</f>
        <v/>
      </c>
      <c r="D1791" s="0" t="str">
        <f aca="false">IF(I1791="","",IF(AND(J1791&gt;=1,J1791&lt;=K1791+3),"255.255.255.0",""))</f>
        <v/>
      </c>
      <c r="E1791" s="0" t="str">
        <f aca="false">IF(I1791="","",IF(AND(J1791&gt;=1,J1791&lt;=K1791+3),"10."&amp;INDEX(Eingabe!$D$9:$D$18,I1791)&amp;"."&amp;IF(J1791&lt;=K1791,J1791,IF(J1791=K1791+1,200,IF(J1791=K1791+2,201,250)))&amp;".1",""))</f>
        <v/>
      </c>
      <c r="F1791" s="0" t="str">
        <f aca="false">IF(I1791="","",IF(AND(J1791&gt;=1,J1791&lt;=K1791+3),"10."&amp;INDEX(Eingabe!$D$9:$D$18,I1791)&amp;"."&amp;IF(J1791&lt;=K1791,J1791,IF(J1791=K1791+1,200,IF(J1791=K1791+2,201,250)))&amp;".10 – 10."&amp;INDEX(Eingabe!$D$9:$D$18,I1791)&amp;"."&amp;IF(J1791&lt;=K1791,J1791,IF(J1791=K1791+1,200,IF(J1791=K1791+2,201,250)))&amp;".250",""))</f>
        <v/>
      </c>
      <c r="G1791" s="0" t="str">
        <f aca="false">IF(I1791="","",IF(AND(J1791&gt;=1,J1791&lt;=K1791),Eingabe!$B$6&amp;"-"&amp;INDEX(Eingabe!$C$9:$C$18,I1791)&amp;"-Pächter  ·  Passwort Parzelle "&amp;J1791,IF(J1791=K1791+1,Eingabe!$B$6&amp;"-"&amp;INDEX(Eingabe!$C$9:$C$18,I1791)&amp;"-Vorstand  ·  eigenes WLAN",IF(J1791=K1791+2,Eingabe!$B$6&amp;"-"&amp;INDEX(Eingabe!$C$9:$C$18,I1791)&amp;"-Gäste  ·  Voucher",IF(J1791=K1791+3,"Kabel  ·  Access Point y = .(50+y), Mast-Switch x = .(10+x)","")))))</f>
        <v/>
      </c>
      <c r="I1791" s="0" t="str">
        <f aca="false">IF(1786&lt;=(Eingabe!$P$18+Eingabe!$Q$18-1),MATCH(1786,Eingabe!$P$9:$P$18,1),"")</f>
        <v/>
      </c>
      <c r="J1791" s="0" t="str">
        <f aca="false">IF(I1791="","",1786-INDEX(Eingabe!$P$9:$P$18,I1791))</f>
        <v/>
      </c>
      <c r="K1791" s="0" t="str">
        <f aca="false">IF(I1791="","",INDEX(Eingabe!$E$9:$E$18,I1791))</f>
        <v/>
      </c>
    </row>
    <row r="1792" customFormat="false" ht="15" hidden="false" customHeight="false" outlineLevel="0" collapsed="false">
      <c r="A1792" s="0" t="str">
        <f aca="false">IF(I1792="","",IF(J1792=0,"Sparte "&amp;I1792&amp;": "&amp;INDEX(Eingabe!$B$9:$B$18,I1792)&amp;"  (Sparten-ID "&amp;INDEX(Eingabe!$D$9:$D$18,I1792)&amp;", "&amp;K1792&amp;" Parzellen)",IF(J1792&lt;=K1792,"   Parzelle "&amp;J1792,IF(J1792=K1792+1,"   Vorstand",IF(J1792=K1792+2,"   Gäste",IF(J1792=K1792+3,"   Technik (Switches, Access Points)",""))))))</f>
        <v/>
      </c>
      <c r="B1792" s="0" t="str">
        <f aca="false">IF(I1792="","",IF(AND(J1792&gt;=1,J1792&lt;=K1792+3),IF(J1792&lt;=K1792,IF(J1792&lt;=99,IF((INDEX(Eingabe!$G$9:$G$18,I1792))&lt;=9,1000+(INDEX(Eingabe!$G$9:$G$18,I1792))*100,3000)+J1792,IF((INDEX(Eingabe!$G$9:$G$18,I1792)+1)&lt;=9,1000+(INDEX(Eingabe!$G$9:$G$18,I1792)+1)*100,3000)+J1792-100),IF(J1792=K1792+1,2000+INDEX(Eingabe!$G$9:$G$18,I1792)*10+1,IF(J1792=K1792+2,2000+INDEX(Eingabe!$G$9:$G$18,I1792)*10+2,2000+INDEX(Eingabe!$G$9:$G$18,I1792)*10+9))),""))</f>
        <v/>
      </c>
      <c r="C1792" s="0" t="str">
        <f aca="false">IF(I1792="","",IF(AND(J1792&gt;=1,J1792&lt;=K1792+3),"10."&amp;INDEX(Eingabe!$D$9:$D$18,I1792)&amp;"."&amp;IF(J1792&lt;=K1792,J1792,IF(J1792=K1792+1,200,IF(J1792=K1792+2,201,250)))&amp;".0/24",""))</f>
        <v/>
      </c>
      <c r="D1792" s="0" t="str">
        <f aca="false">IF(I1792="","",IF(AND(J1792&gt;=1,J1792&lt;=K1792+3),"255.255.255.0",""))</f>
        <v/>
      </c>
      <c r="E1792" s="0" t="str">
        <f aca="false">IF(I1792="","",IF(AND(J1792&gt;=1,J1792&lt;=K1792+3),"10."&amp;INDEX(Eingabe!$D$9:$D$18,I1792)&amp;"."&amp;IF(J1792&lt;=K1792,J1792,IF(J1792=K1792+1,200,IF(J1792=K1792+2,201,250)))&amp;".1",""))</f>
        <v/>
      </c>
      <c r="F1792" s="0" t="str">
        <f aca="false">IF(I1792="","",IF(AND(J1792&gt;=1,J1792&lt;=K1792+3),"10."&amp;INDEX(Eingabe!$D$9:$D$18,I1792)&amp;"."&amp;IF(J1792&lt;=K1792,J1792,IF(J1792=K1792+1,200,IF(J1792=K1792+2,201,250)))&amp;".10 – 10."&amp;INDEX(Eingabe!$D$9:$D$18,I1792)&amp;"."&amp;IF(J1792&lt;=K1792,J1792,IF(J1792=K1792+1,200,IF(J1792=K1792+2,201,250)))&amp;".250",""))</f>
        <v/>
      </c>
      <c r="G1792" s="0" t="str">
        <f aca="false">IF(I1792="","",IF(AND(J1792&gt;=1,J1792&lt;=K1792),Eingabe!$B$6&amp;"-"&amp;INDEX(Eingabe!$C$9:$C$18,I1792)&amp;"-Pächter  ·  Passwort Parzelle "&amp;J1792,IF(J1792=K1792+1,Eingabe!$B$6&amp;"-"&amp;INDEX(Eingabe!$C$9:$C$18,I1792)&amp;"-Vorstand  ·  eigenes WLAN",IF(J1792=K1792+2,Eingabe!$B$6&amp;"-"&amp;INDEX(Eingabe!$C$9:$C$18,I1792)&amp;"-Gäste  ·  Voucher",IF(J1792=K1792+3,"Kabel  ·  Access Point y = .(50+y), Mast-Switch x = .(10+x)","")))))</f>
        <v/>
      </c>
      <c r="I1792" s="0" t="str">
        <f aca="false">IF(1787&lt;=(Eingabe!$P$18+Eingabe!$Q$18-1),MATCH(1787,Eingabe!$P$9:$P$18,1),"")</f>
        <v/>
      </c>
      <c r="J1792" s="0" t="str">
        <f aca="false">IF(I1792="","",1787-INDEX(Eingabe!$P$9:$P$18,I1792))</f>
        <v/>
      </c>
      <c r="K1792" s="0" t="str">
        <f aca="false">IF(I1792="","",INDEX(Eingabe!$E$9:$E$18,I1792))</f>
        <v/>
      </c>
    </row>
    <row r="1793" customFormat="false" ht="15" hidden="false" customHeight="false" outlineLevel="0" collapsed="false">
      <c r="A1793" s="0" t="str">
        <f aca="false">IF(I1793="","",IF(J1793=0,"Sparte "&amp;I1793&amp;": "&amp;INDEX(Eingabe!$B$9:$B$18,I1793)&amp;"  (Sparten-ID "&amp;INDEX(Eingabe!$D$9:$D$18,I1793)&amp;", "&amp;K1793&amp;" Parzellen)",IF(J1793&lt;=K1793,"   Parzelle "&amp;J1793,IF(J1793=K1793+1,"   Vorstand",IF(J1793=K1793+2,"   Gäste",IF(J1793=K1793+3,"   Technik (Switches, Access Points)",""))))))</f>
        <v/>
      </c>
      <c r="B1793" s="0" t="str">
        <f aca="false">IF(I1793="","",IF(AND(J1793&gt;=1,J1793&lt;=K1793+3),IF(J1793&lt;=K1793,IF(J1793&lt;=99,IF((INDEX(Eingabe!$G$9:$G$18,I1793))&lt;=9,1000+(INDEX(Eingabe!$G$9:$G$18,I1793))*100,3000)+J1793,IF((INDEX(Eingabe!$G$9:$G$18,I1793)+1)&lt;=9,1000+(INDEX(Eingabe!$G$9:$G$18,I1793)+1)*100,3000)+J1793-100),IF(J1793=K1793+1,2000+INDEX(Eingabe!$G$9:$G$18,I1793)*10+1,IF(J1793=K1793+2,2000+INDEX(Eingabe!$G$9:$G$18,I1793)*10+2,2000+INDEX(Eingabe!$G$9:$G$18,I1793)*10+9))),""))</f>
        <v/>
      </c>
      <c r="C1793" s="0" t="str">
        <f aca="false">IF(I1793="","",IF(AND(J1793&gt;=1,J1793&lt;=K1793+3),"10."&amp;INDEX(Eingabe!$D$9:$D$18,I1793)&amp;"."&amp;IF(J1793&lt;=K1793,J1793,IF(J1793=K1793+1,200,IF(J1793=K1793+2,201,250)))&amp;".0/24",""))</f>
        <v/>
      </c>
      <c r="D1793" s="0" t="str">
        <f aca="false">IF(I1793="","",IF(AND(J1793&gt;=1,J1793&lt;=K1793+3),"255.255.255.0",""))</f>
        <v/>
      </c>
      <c r="E1793" s="0" t="str">
        <f aca="false">IF(I1793="","",IF(AND(J1793&gt;=1,J1793&lt;=K1793+3),"10."&amp;INDEX(Eingabe!$D$9:$D$18,I1793)&amp;"."&amp;IF(J1793&lt;=K1793,J1793,IF(J1793=K1793+1,200,IF(J1793=K1793+2,201,250)))&amp;".1",""))</f>
        <v/>
      </c>
      <c r="F1793" s="0" t="str">
        <f aca="false">IF(I1793="","",IF(AND(J1793&gt;=1,J1793&lt;=K1793+3),"10."&amp;INDEX(Eingabe!$D$9:$D$18,I1793)&amp;"."&amp;IF(J1793&lt;=K1793,J1793,IF(J1793=K1793+1,200,IF(J1793=K1793+2,201,250)))&amp;".10 – 10."&amp;INDEX(Eingabe!$D$9:$D$18,I1793)&amp;"."&amp;IF(J1793&lt;=K1793,J1793,IF(J1793=K1793+1,200,IF(J1793=K1793+2,201,250)))&amp;".250",""))</f>
        <v/>
      </c>
      <c r="G1793" s="0" t="str">
        <f aca="false">IF(I1793="","",IF(AND(J1793&gt;=1,J1793&lt;=K1793),Eingabe!$B$6&amp;"-"&amp;INDEX(Eingabe!$C$9:$C$18,I1793)&amp;"-Pächter  ·  Passwort Parzelle "&amp;J1793,IF(J1793=K1793+1,Eingabe!$B$6&amp;"-"&amp;INDEX(Eingabe!$C$9:$C$18,I1793)&amp;"-Vorstand  ·  eigenes WLAN",IF(J1793=K1793+2,Eingabe!$B$6&amp;"-"&amp;INDEX(Eingabe!$C$9:$C$18,I1793)&amp;"-Gäste  ·  Voucher",IF(J1793=K1793+3,"Kabel  ·  Access Point y = .(50+y), Mast-Switch x = .(10+x)","")))))</f>
        <v/>
      </c>
      <c r="I1793" s="0" t="str">
        <f aca="false">IF(1788&lt;=(Eingabe!$P$18+Eingabe!$Q$18-1),MATCH(1788,Eingabe!$P$9:$P$18,1),"")</f>
        <v/>
      </c>
      <c r="J1793" s="0" t="str">
        <f aca="false">IF(I1793="","",1788-INDEX(Eingabe!$P$9:$P$18,I1793))</f>
        <v/>
      </c>
      <c r="K1793" s="0" t="str">
        <f aca="false">IF(I1793="","",INDEX(Eingabe!$E$9:$E$18,I1793))</f>
        <v/>
      </c>
    </row>
    <row r="1794" customFormat="false" ht="15" hidden="false" customHeight="false" outlineLevel="0" collapsed="false">
      <c r="A1794" s="0" t="str">
        <f aca="false">IF(I1794="","",IF(J1794=0,"Sparte "&amp;I1794&amp;": "&amp;INDEX(Eingabe!$B$9:$B$18,I1794)&amp;"  (Sparten-ID "&amp;INDEX(Eingabe!$D$9:$D$18,I1794)&amp;", "&amp;K1794&amp;" Parzellen)",IF(J1794&lt;=K1794,"   Parzelle "&amp;J1794,IF(J1794=K1794+1,"   Vorstand",IF(J1794=K1794+2,"   Gäste",IF(J1794=K1794+3,"   Technik (Switches, Access Points)",""))))))</f>
        <v/>
      </c>
      <c r="B1794" s="0" t="str">
        <f aca="false">IF(I1794="","",IF(AND(J1794&gt;=1,J1794&lt;=K1794+3),IF(J1794&lt;=K1794,IF(J1794&lt;=99,IF((INDEX(Eingabe!$G$9:$G$18,I1794))&lt;=9,1000+(INDEX(Eingabe!$G$9:$G$18,I1794))*100,3000)+J1794,IF((INDEX(Eingabe!$G$9:$G$18,I1794)+1)&lt;=9,1000+(INDEX(Eingabe!$G$9:$G$18,I1794)+1)*100,3000)+J1794-100),IF(J1794=K1794+1,2000+INDEX(Eingabe!$G$9:$G$18,I1794)*10+1,IF(J1794=K1794+2,2000+INDEX(Eingabe!$G$9:$G$18,I1794)*10+2,2000+INDEX(Eingabe!$G$9:$G$18,I1794)*10+9))),""))</f>
        <v/>
      </c>
      <c r="C1794" s="0" t="str">
        <f aca="false">IF(I1794="","",IF(AND(J1794&gt;=1,J1794&lt;=K1794+3),"10."&amp;INDEX(Eingabe!$D$9:$D$18,I1794)&amp;"."&amp;IF(J1794&lt;=K1794,J1794,IF(J1794=K1794+1,200,IF(J1794=K1794+2,201,250)))&amp;".0/24",""))</f>
        <v/>
      </c>
      <c r="D1794" s="0" t="str">
        <f aca="false">IF(I1794="","",IF(AND(J1794&gt;=1,J1794&lt;=K1794+3),"255.255.255.0",""))</f>
        <v/>
      </c>
      <c r="E1794" s="0" t="str">
        <f aca="false">IF(I1794="","",IF(AND(J1794&gt;=1,J1794&lt;=K1794+3),"10."&amp;INDEX(Eingabe!$D$9:$D$18,I1794)&amp;"."&amp;IF(J1794&lt;=K1794,J1794,IF(J1794=K1794+1,200,IF(J1794=K1794+2,201,250)))&amp;".1",""))</f>
        <v/>
      </c>
      <c r="F1794" s="0" t="str">
        <f aca="false">IF(I1794="","",IF(AND(J1794&gt;=1,J1794&lt;=K1794+3),"10."&amp;INDEX(Eingabe!$D$9:$D$18,I1794)&amp;"."&amp;IF(J1794&lt;=K1794,J1794,IF(J1794=K1794+1,200,IF(J1794=K1794+2,201,250)))&amp;".10 – 10."&amp;INDEX(Eingabe!$D$9:$D$18,I1794)&amp;"."&amp;IF(J1794&lt;=K1794,J1794,IF(J1794=K1794+1,200,IF(J1794=K1794+2,201,250)))&amp;".250",""))</f>
        <v/>
      </c>
      <c r="G1794" s="0" t="str">
        <f aca="false">IF(I1794="","",IF(AND(J1794&gt;=1,J1794&lt;=K1794),Eingabe!$B$6&amp;"-"&amp;INDEX(Eingabe!$C$9:$C$18,I1794)&amp;"-Pächter  ·  Passwort Parzelle "&amp;J1794,IF(J1794=K1794+1,Eingabe!$B$6&amp;"-"&amp;INDEX(Eingabe!$C$9:$C$18,I1794)&amp;"-Vorstand  ·  eigenes WLAN",IF(J1794=K1794+2,Eingabe!$B$6&amp;"-"&amp;INDEX(Eingabe!$C$9:$C$18,I1794)&amp;"-Gäste  ·  Voucher",IF(J1794=K1794+3,"Kabel  ·  Access Point y = .(50+y), Mast-Switch x = .(10+x)","")))))</f>
        <v/>
      </c>
      <c r="I1794" s="0" t="str">
        <f aca="false">IF(1789&lt;=(Eingabe!$P$18+Eingabe!$Q$18-1),MATCH(1789,Eingabe!$P$9:$P$18,1),"")</f>
        <v/>
      </c>
      <c r="J1794" s="0" t="str">
        <f aca="false">IF(I1794="","",1789-INDEX(Eingabe!$P$9:$P$18,I1794))</f>
        <v/>
      </c>
      <c r="K1794" s="0" t="str">
        <f aca="false">IF(I1794="","",INDEX(Eingabe!$E$9:$E$18,I1794))</f>
        <v/>
      </c>
    </row>
    <row r="1795" customFormat="false" ht="15" hidden="false" customHeight="false" outlineLevel="0" collapsed="false">
      <c r="A1795" s="0" t="str">
        <f aca="false">IF(I1795="","",IF(J1795=0,"Sparte "&amp;I1795&amp;": "&amp;INDEX(Eingabe!$B$9:$B$18,I1795)&amp;"  (Sparten-ID "&amp;INDEX(Eingabe!$D$9:$D$18,I1795)&amp;", "&amp;K1795&amp;" Parzellen)",IF(J1795&lt;=K1795,"   Parzelle "&amp;J1795,IF(J1795=K1795+1,"   Vorstand",IF(J1795=K1795+2,"   Gäste",IF(J1795=K1795+3,"   Technik (Switches, Access Points)",""))))))</f>
        <v/>
      </c>
      <c r="B1795" s="0" t="str">
        <f aca="false">IF(I1795="","",IF(AND(J1795&gt;=1,J1795&lt;=K1795+3),IF(J1795&lt;=K1795,IF(J1795&lt;=99,IF((INDEX(Eingabe!$G$9:$G$18,I1795))&lt;=9,1000+(INDEX(Eingabe!$G$9:$G$18,I1795))*100,3000)+J1795,IF((INDEX(Eingabe!$G$9:$G$18,I1795)+1)&lt;=9,1000+(INDEX(Eingabe!$G$9:$G$18,I1795)+1)*100,3000)+J1795-100),IF(J1795=K1795+1,2000+INDEX(Eingabe!$G$9:$G$18,I1795)*10+1,IF(J1795=K1795+2,2000+INDEX(Eingabe!$G$9:$G$18,I1795)*10+2,2000+INDEX(Eingabe!$G$9:$G$18,I1795)*10+9))),""))</f>
        <v/>
      </c>
      <c r="C1795" s="0" t="str">
        <f aca="false">IF(I1795="","",IF(AND(J1795&gt;=1,J1795&lt;=K1795+3),"10."&amp;INDEX(Eingabe!$D$9:$D$18,I1795)&amp;"."&amp;IF(J1795&lt;=K1795,J1795,IF(J1795=K1795+1,200,IF(J1795=K1795+2,201,250)))&amp;".0/24",""))</f>
        <v/>
      </c>
      <c r="D1795" s="0" t="str">
        <f aca="false">IF(I1795="","",IF(AND(J1795&gt;=1,J1795&lt;=K1795+3),"255.255.255.0",""))</f>
        <v/>
      </c>
      <c r="E1795" s="0" t="str">
        <f aca="false">IF(I1795="","",IF(AND(J1795&gt;=1,J1795&lt;=K1795+3),"10."&amp;INDEX(Eingabe!$D$9:$D$18,I1795)&amp;"."&amp;IF(J1795&lt;=K1795,J1795,IF(J1795=K1795+1,200,IF(J1795=K1795+2,201,250)))&amp;".1",""))</f>
        <v/>
      </c>
      <c r="F1795" s="0" t="str">
        <f aca="false">IF(I1795="","",IF(AND(J1795&gt;=1,J1795&lt;=K1795+3),"10."&amp;INDEX(Eingabe!$D$9:$D$18,I1795)&amp;"."&amp;IF(J1795&lt;=K1795,J1795,IF(J1795=K1795+1,200,IF(J1795=K1795+2,201,250)))&amp;".10 – 10."&amp;INDEX(Eingabe!$D$9:$D$18,I1795)&amp;"."&amp;IF(J1795&lt;=K1795,J1795,IF(J1795=K1795+1,200,IF(J1795=K1795+2,201,250)))&amp;".250",""))</f>
        <v/>
      </c>
      <c r="G1795" s="0" t="str">
        <f aca="false">IF(I1795="","",IF(AND(J1795&gt;=1,J1795&lt;=K1795),Eingabe!$B$6&amp;"-"&amp;INDEX(Eingabe!$C$9:$C$18,I1795)&amp;"-Pächter  ·  Passwort Parzelle "&amp;J1795,IF(J1795=K1795+1,Eingabe!$B$6&amp;"-"&amp;INDEX(Eingabe!$C$9:$C$18,I1795)&amp;"-Vorstand  ·  eigenes WLAN",IF(J1795=K1795+2,Eingabe!$B$6&amp;"-"&amp;INDEX(Eingabe!$C$9:$C$18,I1795)&amp;"-Gäste  ·  Voucher",IF(J1795=K1795+3,"Kabel  ·  Access Point y = .(50+y), Mast-Switch x = .(10+x)","")))))</f>
        <v/>
      </c>
      <c r="I1795" s="0" t="str">
        <f aca="false">IF(1790&lt;=(Eingabe!$P$18+Eingabe!$Q$18-1),MATCH(1790,Eingabe!$P$9:$P$18,1),"")</f>
        <v/>
      </c>
      <c r="J1795" s="0" t="str">
        <f aca="false">IF(I1795="","",1790-INDEX(Eingabe!$P$9:$P$18,I1795))</f>
        <v/>
      </c>
      <c r="K1795" s="0" t="str">
        <f aca="false">IF(I1795="","",INDEX(Eingabe!$E$9:$E$18,I1795))</f>
        <v/>
      </c>
    </row>
    <row r="1796" customFormat="false" ht="15" hidden="false" customHeight="false" outlineLevel="0" collapsed="false">
      <c r="A1796" s="0" t="str">
        <f aca="false">IF(I1796="","",IF(J1796=0,"Sparte "&amp;I1796&amp;": "&amp;INDEX(Eingabe!$B$9:$B$18,I1796)&amp;"  (Sparten-ID "&amp;INDEX(Eingabe!$D$9:$D$18,I1796)&amp;", "&amp;K1796&amp;" Parzellen)",IF(J1796&lt;=K1796,"   Parzelle "&amp;J1796,IF(J1796=K1796+1,"   Vorstand",IF(J1796=K1796+2,"   Gäste",IF(J1796=K1796+3,"   Technik (Switches, Access Points)",""))))))</f>
        <v/>
      </c>
      <c r="B1796" s="0" t="str">
        <f aca="false">IF(I1796="","",IF(AND(J1796&gt;=1,J1796&lt;=K1796+3),IF(J1796&lt;=K1796,IF(J1796&lt;=99,IF((INDEX(Eingabe!$G$9:$G$18,I1796))&lt;=9,1000+(INDEX(Eingabe!$G$9:$G$18,I1796))*100,3000)+J1796,IF((INDEX(Eingabe!$G$9:$G$18,I1796)+1)&lt;=9,1000+(INDEX(Eingabe!$G$9:$G$18,I1796)+1)*100,3000)+J1796-100),IF(J1796=K1796+1,2000+INDEX(Eingabe!$G$9:$G$18,I1796)*10+1,IF(J1796=K1796+2,2000+INDEX(Eingabe!$G$9:$G$18,I1796)*10+2,2000+INDEX(Eingabe!$G$9:$G$18,I1796)*10+9))),""))</f>
        <v/>
      </c>
      <c r="C1796" s="0" t="str">
        <f aca="false">IF(I1796="","",IF(AND(J1796&gt;=1,J1796&lt;=K1796+3),"10."&amp;INDEX(Eingabe!$D$9:$D$18,I1796)&amp;"."&amp;IF(J1796&lt;=K1796,J1796,IF(J1796=K1796+1,200,IF(J1796=K1796+2,201,250)))&amp;".0/24",""))</f>
        <v/>
      </c>
      <c r="D1796" s="0" t="str">
        <f aca="false">IF(I1796="","",IF(AND(J1796&gt;=1,J1796&lt;=K1796+3),"255.255.255.0",""))</f>
        <v/>
      </c>
      <c r="E1796" s="0" t="str">
        <f aca="false">IF(I1796="","",IF(AND(J1796&gt;=1,J1796&lt;=K1796+3),"10."&amp;INDEX(Eingabe!$D$9:$D$18,I1796)&amp;"."&amp;IF(J1796&lt;=K1796,J1796,IF(J1796=K1796+1,200,IF(J1796=K1796+2,201,250)))&amp;".1",""))</f>
        <v/>
      </c>
      <c r="F1796" s="0" t="str">
        <f aca="false">IF(I1796="","",IF(AND(J1796&gt;=1,J1796&lt;=K1796+3),"10."&amp;INDEX(Eingabe!$D$9:$D$18,I1796)&amp;"."&amp;IF(J1796&lt;=K1796,J1796,IF(J1796=K1796+1,200,IF(J1796=K1796+2,201,250)))&amp;".10 – 10."&amp;INDEX(Eingabe!$D$9:$D$18,I1796)&amp;"."&amp;IF(J1796&lt;=K1796,J1796,IF(J1796=K1796+1,200,IF(J1796=K1796+2,201,250)))&amp;".250",""))</f>
        <v/>
      </c>
      <c r="G1796" s="0" t="str">
        <f aca="false">IF(I1796="","",IF(AND(J1796&gt;=1,J1796&lt;=K1796),Eingabe!$B$6&amp;"-"&amp;INDEX(Eingabe!$C$9:$C$18,I1796)&amp;"-Pächter  ·  Passwort Parzelle "&amp;J1796,IF(J1796=K1796+1,Eingabe!$B$6&amp;"-"&amp;INDEX(Eingabe!$C$9:$C$18,I1796)&amp;"-Vorstand  ·  eigenes WLAN",IF(J1796=K1796+2,Eingabe!$B$6&amp;"-"&amp;INDEX(Eingabe!$C$9:$C$18,I1796)&amp;"-Gäste  ·  Voucher",IF(J1796=K1796+3,"Kabel  ·  Access Point y = .(50+y), Mast-Switch x = .(10+x)","")))))</f>
        <v/>
      </c>
      <c r="I1796" s="0" t="str">
        <f aca="false">IF(1791&lt;=(Eingabe!$P$18+Eingabe!$Q$18-1),MATCH(1791,Eingabe!$P$9:$P$18,1),"")</f>
        <v/>
      </c>
      <c r="J1796" s="0" t="str">
        <f aca="false">IF(I1796="","",1791-INDEX(Eingabe!$P$9:$P$18,I1796))</f>
        <v/>
      </c>
      <c r="K1796" s="0" t="str">
        <f aca="false">IF(I1796="","",INDEX(Eingabe!$E$9:$E$18,I1796))</f>
        <v/>
      </c>
    </row>
    <row r="1797" customFormat="false" ht="15" hidden="false" customHeight="false" outlineLevel="0" collapsed="false">
      <c r="A1797" s="0" t="str">
        <f aca="false">IF(I1797="","",IF(J1797=0,"Sparte "&amp;I1797&amp;": "&amp;INDEX(Eingabe!$B$9:$B$18,I1797)&amp;"  (Sparten-ID "&amp;INDEX(Eingabe!$D$9:$D$18,I1797)&amp;", "&amp;K1797&amp;" Parzellen)",IF(J1797&lt;=K1797,"   Parzelle "&amp;J1797,IF(J1797=K1797+1,"   Vorstand",IF(J1797=K1797+2,"   Gäste",IF(J1797=K1797+3,"   Technik (Switches, Access Points)",""))))))</f>
        <v/>
      </c>
      <c r="B1797" s="0" t="str">
        <f aca="false">IF(I1797="","",IF(AND(J1797&gt;=1,J1797&lt;=K1797+3),IF(J1797&lt;=K1797,IF(J1797&lt;=99,IF((INDEX(Eingabe!$G$9:$G$18,I1797))&lt;=9,1000+(INDEX(Eingabe!$G$9:$G$18,I1797))*100,3000)+J1797,IF((INDEX(Eingabe!$G$9:$G$18,I1797)+1)&lt;=9,1000+(INDEX(Eingabe!$G$9:$G$18,I1797)+1)*100,3000)+J1797-100),IF(J1797=K1797+1,2000+INDEX(Eingabe!$G$9:$G$18,I1797)*10+1,IF(J1797=K1797+2,2000+INDEX(Eingabe!$G$9:$G$18,I1797)*10+2,2000+INDEX(Eingabe!$G$9:$G$18,I1797)*10+9))),""))</f>
        <v/>
      </c>
      <c r="C1797" s="0" t="str">
        <f aca="false">IF(I1797="","",IF(AND(J1797&gt;=1,J1797&lt;=K1797+3),"10."&amp;INDEX(Eingabe!$D$9:$D$18,I1797)&amp;"."&amp;IF(J1797&lt;=K1797,J1797,IF(J1797=K1797+1,200,IF(J1797=K1797+2,201,250)))&amp;".0/24",""))</f>
        <v/>
      </c>
      <c r="D1797" s="0" t="str">
        <f aca="false">IF(I1797="","",IF(AND(J1797&gt;=1,J1797&lt;=K1797+3),"255.255.255.0",""))</f>
        <v/>
      </c>
      <c r="E1797" s="0" t="str">
        <f aca="false">IF(I1797="","",IF(AND(J1797&gt;=1,J1797&lt;=K1797+3),"10."&amp;INDEX(Eingabe!$D$9:$D$18,I1797)&amp;"."&amp;IF(J1797&lt;=K1797,J1797,IF(J1797=K1797+1,200,IF(J1797=K1797+2,201,250)))&amp;".1",""))</f>
        <v/>
      </c>
      <c r="F1797" s="0" t="str">
        <f aca="false">IF(I1797="","",IF(AND(J1797&gt;=1,J1797&lt;=K1797+3),"10."&amp;INDEX(Eingabe!$D$9:$D$18,I1797)&amp;"."&amp;IF(J1797&lt;=K1797,J1797,IF(J1797=K1797+1,200,IF(J1797=K1797+2,201,250)))&amp;".10 – 10."&amp;INDEX(Eingabe!$D$9:$D$18,I1797)&amp;"."&amp;IF(J1797&lt;=K1797,J1797,IF(J1797=K1797+1,200,IF(J1797=K1797+2,201,250)))&amp;".250",""))</f>
        <v/>
      </c>
      <c r="G1797" s="0" t="str">
        <f aca="false">IF(I1797="","",IF(AND(J1797&gt;=1,J1797&lt;=K1797),Eingabe!$B$6&amp;"-"&amp;INDEX(Eingabe!$C$9:$C$18,I1797)&amp;"-Pächter  ·  Passwort Parzelle "&amp;J1797,IF(J1797=K1797+1,Eingabe!$B$6&amp;"-"&amp;INDEX(Eingabe!$C$9:$C$18,I1797)&amp;"-Vorstand  ·  eigenes WLAN",IF(J1797=K1797+2,Eingabe!$B$6&amp;"-"&amp;INDEX(Eingabe!$C$9:$C$18,I1797)&amp;"-Gäste  ·  Voucher",IF(J1797=K1797+3,"Kabel  ·  Access Point y = .(50+y), Mast-Switch x = .(10+x)","")))))</f>
        <v/>
      </c>
      <c r="I1797" s="0" t="str">
        <f aca="false">IF(1792&lt;=(Eingabe!$P$18+Eingabe!$Q$18-1),MATCH(1792,Eingabe!$P$9:$P$18,1),"")</f>
        <v/>
      </c>
      <c r="J1797" s="0" t="str">
        <f aca="false">IF(I1797="","",1792-INDEX(Eingabe!$P$9:$P$18,I1797))</f>
        <v/>
      </c>
      <c r="K1797" s="0" t="str">
        <f aca="false">IF(I1797="","",INDEX(Eingabe!$E$9:$E$18,I1797))</f>
        <v/>
      </c>
    </row>
    <row r="1798" customFormat="false" ht="15" hidden="false" customHeight="false" outlineLevel="0" collapsed="false">
      <c r="A1798" s="0" t="str">
        <f aca="false">IF(I1798="","",IF(J1798=0,"Sparte "&amp;I1798&amp;": "&amp;INDEX(Eingabe!$B$9:$B$18,I1798)&amp;"  (Sparten-ID "&amp;INDEX(Eingabe!$D$9:$D$18,I1798)&amp;", "&amp;K1798&amp;" Parzellen)",IF(J1798&lt;=K1798,"   Parzelle "&amp;J1798,IF(J1798=K1798+1,"   Vorstand",IF(J1798=K1798+2,"   Gäste",IF(J1798=K1798+3,"   Technik (Switches, Access Points)",""))))))</f>
        <v/>
      </c>
      <c r="B1798" s="0" t="str">
        <f aca="false">IF(I1798="","",IF(AND(J1798&gt;=1,J1798&lt;=K1798+3),IF(J1798&lt;=K1798,IF(J1798&lt;=99,IF((INDEX(Eingabe!$G$9:$G$18,I1798))&lt;=9,1000+(INDEX(Eingabe!$G$9:$G$18,I1798))*100,3000)+J1798,IF((INDEX(Eingabe!$G$9:$G$18,I1798)+1)&lt;=9,1000+(INDEX(Eingabe!$G$9:$G$18,I1798)+1)*100,3000)+J1798-100),IF(J1798=K1798+1,2000+INDEX(Eingabe!$G$9:$G$18,I1798)*10+1,IF(J1798=K1798+2,2000+INDEX(Eingabe!$G$9:$G$18,I1798)*10+2,2000+INDEX(Eingabe!$G$9:$G$18,I1798)*10+9))),""))</f>
        <v/>
      </c>
      <c r="C1798" s="0" t="str">
        <f aca="false">IF(I1798="","",IF(AND(J1798&gt;=1,J1798&lt;=K1798+3),"10."&amp;INDEX(Eingabe!$D$9:$D$18,I1798)&amp;"."&amp;IF(J1798&lt;=K1798,J1798,IF(J1798=K1798+1,200,IF(J1798=K1798+2,201,250)))&amp;".0/24",""))</f>
        <v/>
      </c>
      <c r="D1798" s="0" t="str">
        <f aca="false">IF(I1798="","",IF(AND(J1798&gt;=1,J1798&lt;=K1798+3),"255.255.255.0",""))</f>
        <v/>
      </c>
      <c r="E1798" s="0" t="str">
        <f aca="false">IF(I1798="","",IF(AND(J1798&gt;=1,J1798&lt;=K1798+3),"10."&amp;INDEX(Eingabe!$D$9:$D$18,I1798)&amp;"."&amp;IF(J1798&lt;=K1798,J1798,IF(J1798=K1798+1,200,IF(J1798=K1798+2,201,250)))&amp;".1",""))</f>
        <v/>
      </c>
      <c r="F1798" s="0" t="str">
        <f aca="false">IF(I1798="","",IF(AND(J1798&gt;=1,J1798&lt;=K1798+3),"10."&amp;INDEX(Eingabe!$D$9:$D$18,I1798)&amp;"."&amp;IF(J1798&lt;=K1798,J1798,IF(J1798=K1798+1,200,IF(J1798=K1798+2,201,250)))&amp;".10 – 10."&amp;INDEX(Eingabe!$D$9:$D$18,I1798)&amp;"."&amp;IF(J1798&lt;=K1798,J1798,IF(J1798=K1798+1,200,IF(J1798=K1798+2,201,250)))&amp;".250",""))</f>
        <v/>
      </c>
      <c r="G1798" s="0" t="str">
        <f aca="false">IF(I1798="","",IF(AND(J1798&gt;=1,J1798&lt;=K1798),Eingabe!$B$6&amp;"-"&amp;INDEX(Eingabe!$C$9:$C$18,I1798)&amp;"-Pächter  ·  Passwort Parzelle "&amp;J1798,IF(J1798=K1798+1,Eingabe!$B$6&amp;"-"&amp;INDEX(Eingabe!$C$9:$C$18,I1798)&amp;"-Vorstand  ·  eigenes WLAN",IF(J1798=K1798+2,Eingabe!$B$6&amp;"-"&amp;INDEX(Eingabe!$C$9:$C$18,I1798)&amp;"-Gäste  ·  Voucher",IF(J1798=K1798+3,"Kabel  ·  Access Point y = .(50+y), Mast-Switch x = .(10+x)","")))))</f>
        <v/>
      </c>
      <c r="I1798" s="0" t="str">
        <f aca="false">IF(1793&lt;=(Eingabe!$P$18+Eingabe!$Q$18-1),MATCH(1793,Eingabe!$P$9:$P$18,1),"")</f>
        <v/>
      </c>
      <c r="J1798" s="0" t="str">
        <f aca="false">IF(I1798="","",1793-INDEX(Eingabe!$P$9:$P$18,I1798))</f>
        <v/>
      </c>
      <c r="K1798" s="0" t="str">
        <f aca="false">IF(I1798="","",INDEX(Eingabe!$E$9:$E$18,I1798))</f>
        <v/>
      </c>
    </row>
    <row r="1799" customFormat="false" ht="15" hidden="false" customHeight="false" outlineLevel="0" collapsed="false">
      <c r="A1799" s="0" t="str">
        <f aca="false">IF(I1799="","",IF(J1799=0,"Sparte "&amp;I1799&amp;": "&amp;INDEX(Eingabe!$B$9:$B$18,I1799)&amp;"  (Sparten-ID "&amp;INDEX(Eingabe!$D$9:$D$18,I1799)&amp;", "&amp;K1799&amp;" Parzellen)",IF(J1799&lt;=K1799,"   Parzelle "&amp;J1799,IF(J1799=K1799+1,"   Vorstand",IF(J1799=K1799+2,"   Gäste",IF(J1799=K1799+3,"   Technik (Switches, Access Points)",""))))))</f>
        <v/>
      </c>
      <c r="B1799" s="0" t="str">
        <f aca="false">IF(I1799="","",IF(AND(J1799&gt;=1,J1799&lt;=K1799+3),IF(J1799&lt;=K1799,IF(J1799&lt;=99,IF((INDEX(Eingabe!$G$9:$G$18,I1799))&lt;=9,1000+(INDEX(Eingabe!$G$9:$G$18,I1799))*100,3000)+J1799,IF((INDEX(Eingabe!$G$9:$G$18,I1799)+1)&lt;=9,1000+(INDEX(Eingabe!$G$9:$G$18,I1799)+1)*100,3000)+J1799-100),IF(J1799=K1799+1,2000+INDEX(Eingabe!$G$9:$G$18,I1799)*10+1,IF(J1799=K1799+2,2000+INDEX(Eingabe!$G$9:$G$18,I1799)*10+2,2000+INDEX(Eingabe!$G$9:$G$18,I1799)*10+9))),""))</f>
        <v/>
      </c>
      <c r="C1799" s="0" t="str">
        <f aca="false">IF(I1799="","",IF(AND(J1799&gt;=1,J1799&lt;=K1799+3),"10."&amp;INDEX(Eingabe!$D$9:$D$18,I1799)&amp;"."&amp;IF(J1799&lt;=K1799,J1799,IF(J1799=K1799+1,200,IF(J1799=K1799+2,201,250)))&amp;".0/24",""))</f>
        <v/>
      </c>
      <c r="D1799" s="0" t="str">
        <f aca="false">IF(I1799="","",IF(AND(J1799&gt;=1,J1799&lt;=K1799+3),"255.255.255.0",""))</f>
        <v/>
      </c>
      <c r="E1799" s="0" t="str">
        <f aca="false">IF(I1799="","",IF(AND(J1799&gt;=1,J1799&lt;=K1799+3),"10."&amp;INDEX(Eingabe!$D$9:$D$18,I1799)&amp;"."&amp;IF(J1799&lt;=K1799,J1799,IF(J1799=K1799+1,200,IF(J1799=K1799+2,201,250)))&amp;".1",""))</f>
        <v/>
      </c>
      <c r="F1799" s="0" t="str">
        <f aca="false">IF(I1799="","",IF(AND(J1799&gt;=1,J1799&lt;=K1799+3),"10."&amp;INDEX(Eingabe!$D$9:$D$18,I1799)&amp;"."&amp;IF(J1799&lt;=K1799,J1799,IF(J1799=K1799+1,200,IF(J1799=K1799+2,201,250)))&amp;".10 – 10."&amp;INDEX(Eingabe!$D$9:$D$18,I1799)&amp;"."&amp;IF(J1799&lt;=K1799,J1799,IF(J1799=K1799+1,200,IF(J1799=K1799+2,201,250)))&amp;".250",""))</f>
        <v/>
      </c>
      <c r="G1799" s="0" t="str">
        <f aca="false">IF(I1799="","",IF(AND(J1799&gt;=1,J1799&lt;=K1799),Eingabe!$B$6&amp;"-"&amp;INDEX(Eingabe!$C$9:$C$18,I1799)&amp;"-Pächter  ·  Passwort Parzelle "&amp;J1799,IF(J1799=K1799+1,Eingabe!$B$6&amp;"-"&amp;INDEX(Eingabe!$C$9:$C$18,I1799)&amp;"-Vorstand  ·  eigenes WLAN",IF(J1799=K1799+2,Eingabe!$B$6&amp;"-"&amp;INDEX(Eingabe!$C$9:$C$18,I1799)&amp;"-Gäste  ·  Voucher",IF(J1799=K1799+3,"Kabel  ·  Access Point y = .(50+y), Mast-Switch x = .(10+x)","")))))</f>
        <v/>
      </c>
      <c r="I1799" s="0" t="str">
        <f aca="false">IF(1794&lt;=(Eingabe!$P$18+Eingabe!$Q$18-1),MATCH(1794,Eingabe!$P$9:$P$18,1),"")</f>
        <v/>
      </c>
      <c r="J1799" s="0" t="str">
        <f aca="false">IF(I1799="","",1794-INDEX(Eingabe!$P$9:$P$18,I1799))</f>
        <v/>
      </c>
      <c r="K1799" s="0" t="str">
        <f aca="false">IF(I1799="","",INDEX(Eingabe!$E$9:$E$18,I1799))</f>
        <v/>
      </c>
    </row>
    <row r="1800" customFormat="false" ht="15" hidden="false" customHeight="false" outlineLevel="0" collapsed="false">
      <c r="A1800" s="0" t="str">
        <f aca="false">IF(I1800="","",IF(J1800=0,"Sparte "&amp;I1800&amp;": "&amp;INDEX(Eingabe!$B$9:$B$18,I1800)&amp;"  (Sparten-ID "&amp;INDEX(Eingabe!$D$9:$D$18,I1800)&amp;", "&amp;K1800&amp;" Parzellen)",IF(J1800&lt;=K1800,"   Parzelle "&amp;J1800,IF(J1800=K1800+1,"   Vorstand",IF(J1800=K1800+2,"   Gäste",IF(J1800=K1800+3,"   Technik (Switches, Access Points)",""))))))</f>
        <v/>
      </c>
      <c r="B1800" s="0" t="str">
        <f aca="false">IF(I1800="","",IF(AND(J1800&gt;=1,J1800&lt;=K1800+3),IF(J1800&lt;=K1800,IF(J1800&lt;=99,IF((INDEX(Eingabe!$G$9:$G$18,I1800))&lt;=9,1000+(INDEX(Eingabe!$G$9:$G$18,I1800))*100,3000)+J1800,IF((INDEX(Eingabe!$G$9:$G$18,I1800)+1)&lt;=9,1000+(INDEX(Eingabe!$G$9:$G$18,I1800)+1)*100,3000)+J1800-100),IF(J1800=K1800+1,2000+INDEX(Eingabe!$G$9:$G$18,I1800)*10+1,IF(J1800=K1800+2,2000+INDEX(Eingabe!$G$9:$G$18,I1800)*10+2,2000+INDEX(Eingabe!$G$9:$G$18,I1800)*10+9))),""))</f>
        <v/>
      </c>
      <c r="C1800" s="0" t="str">
        <f aca="false">IF(I1800="","",IF(AND(J1800&gt;=1,J1800&lt;=K1800+3),"10."&amp;INDEX(Eingabe!$D$9:$D$18,I1800)&amp;"."&amp;IF(J1800&lt;=K1800,J1800,IF(J1800=K1800+1,200,IF(J1800=K1800+2,201,250)))&amp;".0/24",""))</f>
        <v/>
      </c>
      <c r="D1800" s="0" t="str">
        <f aca="false">IF(I1800="","",IF(AND(J1800&gt;=1,J1800&lt;=K1800+3),"255.255.255.0",""))</f>
        <v/>
      </c>
      <c r="E1800" s="0" t="str">
        <f aca="false">IF(I1800="","",IF(AND(J1800&gt;=1,J1800&lt;=K1800+3),"10."&amp;INDEX(Eingabe!$D$9:$D$18,I1800)&amp;"."&amp;IF(J1800&lt;=K1800,J1800,IF(J1800=K1800+1,200,IF(J1800=K1800+2,201,250)))&amp;".1",""))</f>
        <v/>
      </c>
      <c r="F1800" s="0" t="str">
        <f aca="false">IF(I1800="","",IF(AND(J1800&gt;=1,J1800&lt;=K1800+3),"10."&amp;INDEX(Eingabe!$D$9:$D$18,I1800)&amp;"."&amp;IF(J1800&lt;=K1800,J1800,IF(J1800=K1800+1,200,IF(J1800=K1800+2,201,250)))&amp;".10 – 10."&amp;INDEX(Eingabe!$D$9:$D$18,I1800)&amp;"."&amp;IF(J1800&lt;=K1800,J1800,IF(J1800=K1800+1,200,IF(J1800=K1800+2,201,250)))&amp;".250",""))</f>
        <v/>
      </c>
      <c r="G1800" s="0" t="str">
        <f aca="false">IF(I1800="","",IF(AND(J1800&gt;=1,J1800&lt;=K1800),Eingabe!$B$6&amp;"-"&amp;INDEX(Eingabe!$C$9:$C$18,I1800)&amp;"-Pächter  ·  Passwort Parzelle "&amp;J1800,IF(J1800=K1800+1,Eingabe!$B$6&amp;"-"&amp;INDEX(Eingabe!$C$9:$C$18,I1800)&amp;"-Vorstand  ·  eigenes WLAN",IF(J1800=K1800+2,Eingabe!$B$6&amp;"-"&amp;INDEX(Eingabe!$C$9:$C$18,I1800)&amp;"-Gäste  ·  Voucher",IF(J1800=K1800+3,"Kabel  ·  Access Point y = .(50+y), Mast-Switch x = .(10+x)","")))))</f>
        <v/>
      </c>
      <c r="I1800" s="0" t="str">
        <f aca="false">IF(1795&lt;=(Eingabe!$P$18+Eingabe!$Q$18-1),MATCH(1795,Eingabe!$P$9:$P$18,1),"")</f>
        <v/>
      </c>
      <c r="J1800" s="0" t="str">
        <f aca="false">IF(I1800="","",1795-INDEX(Eingabe!$P$9:$P$18,I1800))</f>
        <v/>
      </c>
      <c r="K1800" s="0" t="str">
        <f aca="false">IF(I1800="","",INDEX(Eingabe!$E$9:$E$18,I1800))</f>
        <v/>
      </c>
    </row>
    <row r="1801" customFormat="false" ht="15" hidden="false" customHeight="false" outlineLevel="0" collapsed="false">
      <c r="A1801" s="0" t="str">
        <f aca="false">IF(I1801="","",IF(J1801=0,"Sparte "&amp;I1801&amp;": "&amp;INDEX(Eingabe!$B$9:$B$18,I1801)&amp;"  (Sparten-ID "&amp;INDEX(Eingabe!$D$9:$D$18,I1801)&amp;", "&amp;K1801&amp;" Parzellen)",IF(J1801&lt;=K1801,"   Parzelle "&amp;J1801,IF(J1801=K1801+1,"   Vorstand",IF(J1801=K1801+2,"   Gäste",IF(J1801=K1801+3,"   Technik (Switches, Access Points)",""))))))</f>
        <v/>
      </c>
      <c r="B1801" s="0" t="str">
        <f aca="false">IF(I1801="","",IF(AND(J1801&gt;=1,J1801&lt;=K1801+3),IF(J1801&lt;=K1801,IF(J1801&lt;=99,IF((INDEX(Eingabe!$G$9:$G$18,I1801))&lt;=9,1000+(INDEX(Eingabe!$G$9:$G$18,I1801))*100,3000)+J1801,IF((INDEX(Eingabe!$G$9:$G$18,I1801)+1)&lt;=9,1000+(INDEX(Eingabe!$G$9:$G$18,I1801)+1)*100,3000)+J1801-100),IF(J1801=K1801+1,2000+INDEX(Eingabe!$G$9:$G$18,I1801)*10+1,IF(J1801=K1801+2,2000+INDEX(Eingabe!$G$9:$G$18,I1801)*10+2,2000+INDEX(Eingabe!$G$9:$G$18,I1801)*10+9))),""))</f>
        <v/>
      </c>
      <c r="C1801" s="0" t="str">
        <f aca="false">IF(I1801="","",IF(AND(J1801&gt;=1,J1801&lt;=K1801+3),"10."&amp;INDEX(Eingabe!$D$9:$D$18,I1801)&amp;"."&amp;IF(J1801&lt;=K1801,J1801,IF(J1801=K1801+1,200,IF(J1801=K1801+2,201,250)))&amp;".0/24",""))</f>
        <v/>
      </c>
      <c r="D1801" s="0" t="str">
        <f aca="false">IF(I1801="","",IF(AND(J1801&gt;=1,J1801&lt;=K1801+3),"255.255.255.0",""))</f>
        <v/>
      </c>
      <c r="E1801" s="0" t="str">
        <f aca="false">IF(I1801="","",IF(AND(J1801&gt;=1,J1801&lt;=K1801+3),"10."&amp;INDEX(Eingabe!$D$9:$D$18,I1801)&amp;"."&amp;IF(J1801&lt;=K1801,J1801,IF(J1801=K1801+1,200,IF(J1801=K1801+2,201,250)))&amp;".1",""))</f>
        <v/>
      </c>
      <c r="F1801" s="0" t="str">
        <f aca="false">IF(I1801="","",IF(AND(J1801&gt;=1,J1801&lt;=K1801+3),"10."&amp;INDEX(Eingabe!$D$9:$D$18,I1801)&amp;"."&amp;IF(J1801&lt;=K1801,J1801,IF(J1801=K1801+1,200,IF(J1801=K1801+2,201,250)))&amp;".10 – 10."&amp;INDEX(Eingabe!$D$9:$D$18,I1801)&amp;"."&amp;IF(J1801&lt;=K1801,J1801,IF(J1801=K1801+1,200,IF(J1801=K1801+2,201,250)))&amp;".250",""))</f>
        <v/>
      </c>
      <c r="G1801" s="0" t="str">
        <f aca="false">IF(I1801="","",IF(AND(J1801&gt;=1,J1801&lt;=K1801),Eingabe!$B$6&amp;"-"&amp;INDEX(Eingabe!$C$9:$C$18,I1801)&amp;"-Pächter  ·  Passwort Parzelle "&amp;J1801,IF(J1801=K1801+1,Eingabe!$B$6&amp;"-"&amp;INDEX(Eingabe!$C$9:$C$18,I1801)&amp;"-Vorstand  ·  eigenes WLAN",IF(J1801=K1801+2,Eingabe!$B$6&amp;"-"&amp;INDEX(Eingabe!$C$9:$C$18,I1801)&amp;"-Gäste  ·  Voucher",IF(J1801=K1801+3,"Kabel  ·  Access Point y = .(50+y), Mast-Switch x = .(10+x)","")))))</f>
        <v/>
      </c>
      <c r="I1801" s="0" t="str">
        <f aca="false">IF(1796&lt;=(Eingabe!$P$18+Eingabe!$Q$18-1),MATCH(1796,Eingabe!$P$9:$P$18,1),"")</f>
        <v/>
      </c>
      <c r="J1801" s="0" t="str">
        <f aca="false">IF(I1801="","",1796-INDEX(Eingabe!$P$9:$P$18,I1801))</f>
        <v/>
      </c>
      <c r="K1801" s="0" t="str">
        <f aca="false">IF(I1801="","",INDEX(Eingabe!$E$9:$E$18,I1801))</f>
        <v/>
      </c>
    </row>
    <row r="1802" customFormat="false" ht="15" hidden="false" customHeight="false" outlineLevel="0" collapsed="false">
      <c r="A1802" s="0" t="str">
        <f aca="false">IF(I1802="","",IF(J1802=0,"Sparte "&amp;I1802&amp;": "&amp;INDEX(Eingabe!$B$9:$B$18,I1802)&amp;"  (Sparten-ID "&amp;INDEX(Eingabe!$D$9:$D$18,I1802)&amp;", "&amp;K1802&amp;" Parzellen)",IF(J1802&lt;=K1802,"   Parzelle "&amp;J1802,IF(J1802=K1802+1,"   Vorstand",IF(J1802=K1802+2,"   Gäste",IF(J1802=K1802+3,"   Technik (Switches, Access Points)",""))))))</f>
        <v/>
      </c>
      <c r="B1802" s="0" t="str">
        <f aca="false">IF(I1802="","",IF(AND(J1802&gt;=1,J1802&lt;=K1802+3),IF(J1802&lt;=K1802,IF(J1802&lt;=99,IF((INDEX(Eingabe!$G$9:$G$18,I1802))&lt;=9,1000+(INDEX(Eingabe!$G$9:$G$18,I1802))*100,3000)+J1802,IF((INDEX(Eingabe!$G$9:$G$18,I1802)+1)&lt;=9,1000+(INDEX(Eingabe!$G$9:$G$18,I1802)+1)*100,3000)+J1802-100),IF(J1802=K1802+1,2000+INDEX(Eingabe!$G$9:$G$18,I1802)*10+1,IF(J1802=K1802+2,2000+INDEX(Eingabe!$G$9:$G$18,I1802)*10+2,2000+INDEX(Eingabe!$G$9:$G$18,I1802)*10+9))),""))</f>
        <v/>
      </c>
      <c r="C1802" s="0" t="str">
        <f aca="false">IF(I1802="","",IF(AND(J1802&gt;=1,J1802&lt;=K1802+3),"10."&amp;INDEX(Eingabe!$D$9:$D$18,I1802)&amp;"."&amp;IF(J1802&lt;=K1802,J1802,IF(J1802=K1802+1,200,IF(J1802=K1802+2,201,250)))&amp;".0/24",""))</f>
        <v/>
      </c>
      <c r="D1802" s="0" t="str">
        <f aca="false">IF(I1802="","",IF(AND(J1802&gt;=1,J1802&lt;=K1802+3),"255.255.255.0",""))</f>
        <v/>
      </c>
      <c r="E1802" s="0" t="str">
        <f aca="false">IF(I1802="","",IF(AND(J1802&gt;=1,J1802&lt;=K1802+3),"10."&amp;INDEX(Eingabe!$D$9:$D$18,I1802)&amp;"."&amp;IF(J1802&lt;=K1802,J1802,IF(J1802=K1802+1,200,IF(J1802=K1802+2,201,250)))&amp;".1",""))</f>
        <v/>
      </c>
      <c r="F1802" s="0" t="str">
        <f aca="false">IF(I1802="","",IF(AND(J1802&gt;=1,J1802&lt;=K1802+3),"10."&amp;INDEX(Eingabe!$D$9:$D$18,I1802)&amp;"."&amp;IF(J1802&lt;=K1802,J1802,IF(J1802=K1802+1,200,IF(J1802=K1802+2,201,250)))&amp;".10 – 10."&amp;INDEX(Eingabe!$D$9:$D$18,I1802)&amp;"."&amp;IF(J1802&lt;=K1802,J1802,IF(J1802=K1802+1,200,IF(J1802=K1802+2,201,250)))&amp;".250",""))</f>
        <v/>
      </c>
      <c r="G1802" s="0" t="str">
        <f aca="false">IF(I1802="","",IF(AND(J1802&gt;=1,J1802&lt;=K1802),Eingabe!$B$6&amp;"-"&amp;INDEX(Eingabe!$C$9:$C$18,I1802)&amp;"-Pächter  ·  Passwort Parzelle "&amp;J1802,IF(J1802=K1802+1,Eingabe!$B$6&amp;"-"&amp;INDEX(Eingabe!$C$9:$C$18,I1802)&amp;"-Vorstand  ·  eigenes WLAN",IF(J1802=K1802+2,Eingabe!$B$6&amp;"-"&amp;INDEX(Eingabe!$C$9:$C$18,I1802)&amp;"-Gäste  ·  Voucher",IF(J1802=K1802+3,"Kabel  ·  Access Point y = .(50+y), Mast-Switch x = .(10+x)","")))))</f>
        <v/>
      </c>
      <c r="I1802" s="0" t="str">
        <f aca="false">IF(1797&lt;=(Eingabe!$P$18+Eingabe!$Q$18-1),MATCH(1797,Eingabe!$P$9:$P$18,1),"")</f>
        <v/>
      </c>
      <c r="J1802" s="0" t="str">
        <f aca="false">IF(I1802="","",1797-INDEX(Eingabe!$P$9:$P$18,I1802))</f>
        <v/>
      </c>
      <c r="K1802" s="0" t="str">
        <f aca="false">IF(I1802="","",INDEX(Eingabe!$E$9:$E$18,I1802))</f>
        <v/>
      </c>
    </row>
    <row r="1803" customFormat="false" ht="15" hidden="false" customHeight="false" outlineLevel="0" collapsed="false">
      <c r="A1803" s="0" t="str">
        <f aca="false">IF(I1803="","",IF(J1803=0,"Sparte "&amp;I1803&amp;": "&amp;INDEX(Eingabe!$B$9:$B$18,I1803)&amp;"  (Sparten-ID "&amp;INDEX(Eingabe!$D$9:$D$18,I1803)&amp;", "&amp;K1803&amp;" Parzellen)",IF(J1803&lt;=K1803,"   Parzelle "&amp;J1803,IF(J1803=K1803+1,"   Vorstand",IF(J1803=K1803+2,"   Gäste",IF(J1803=K1803+3,"   Technik (Switches, Access Points)",""))))))</f>
        <v/>
      </c>
      <c r="B1803" s="0" t="str">
        <f aca="false">IF(I1803="","",IF(AND(J1803&gt;=1,J1803&lt;=K1803+3),IF(J1803&lt;=K1803,IF(J1803&lt;=99,IF((INDEX(Eingabe!$G$9:$G$18,I1803))&lt;=9,1000+(INDEX(Eingabe!$G$9:$G$18,I1803))*100,3000)+J1803,IF((INDEX(Eingabe!$G$9:$G$18,I1803)+1)&lt;=9,1000+(INDEX(Eingabe!$G$9:$G$18,I1803)+1)*100,3000)+J1803-100),IF(J1803=K1803+1,2000+INDEX(Eingabe!$G$9:$G$18,I1803)*10+1,IF(J1803=K1803+2,2000+INDEX(Eingabe!$G$9:$G$18,I1803)*10+2,2000+INDEX(Eingabe!$G$9:$G$18,I1803)*10+9))),""))</f>
        <v/>
      </c>
      <c r="C1803" s="0" t="str">
        <f aca="false">IF(I1803="","",IF(AND(J1803&gt;=1,J1803&lt;=K1803+3),"10."&amp;INDEX(Eingabe!$D$9:$D$18,I1803)&amp;"."&amp;IF(J1803&lt;=K1803,J1803,IF(J1803=K1803+1,200,IF(J1803=K1803+2,201,250)))&amp;".0/24",""))</f>
        <v/>
      </c>
      <c r="D1803" s="0" t="str">
        <f aca="false">IF(I1803="","",IF(AND(J1803&gt;=1,J1803&lt;=K1803+3),"255.255.255.0",""))</f>
        <v/>
      </c>
      <c r="E1803" s="0" t="str">
        <f aca="false">IF(I1803="","",IF(AND(J1803&gt;=1,J1803&lt;=K1803+3),"10."&amp;INDEX(Eingabe!$D$9:$D$18,I1803)&amp;"."&amp;IF(J1803&lt;=K1803,J1803,IF(J1803=K1803+1,200,IF(J1803=K1803+2,201,250)))&amp;".1",""))</f>
        <v/>
      </c>
      <c r="F1803" s="0" t="str">
        <f aca="false">IF(I1803="","",IF(AND(J1803&gt;=1,J1803&lt;=K1803+3),"10."&amp;INDEX(Eingabe!$D$9:$D$18,I1803)&amp;"."&amp;IF(J1803&lt;=K1803,J1803,IF(J1803=K1803+1,200,IF(J1803=K1803+2,201,250)))&amp;".10 – 10."&amp;INDEX(Eingabe!$D$9:$D$18,I1803)&amp;"."&amp;IF(J1803&lt;=K1803,J1803,IF(J1803=K1803+1,200,IF(J1803=K1803+2,201,250)))&amp;".250",""))</f>
        <v/>
      </c>
      <c r="G1803" s="0" t="str">
        <f aca="false">IF(I1803="","",IF(AND(J1803&gt;=1,J1803&lt;=K1803),Eingabe!$B$6&amp;"-"&amp;INDEX(Eingabe!$C$9:$C$18,I1803)&amp;"-Pächter  ·  Passwort Parzelle "&amp;J1803,IF(J1803=K1803+1,Eingabe!$B$6&amp;"-"&amp;INDEX(Eingabe!$C$9:$C$18,I1803)&amp;"-Vorstand  ·  eigenes WLAN",IF(J1803=K1803+2,Eingabe!$B$6&amp;"-"&amp;INDEX(Eingabe!$C$9:$C$18,I1803)&amp;"-Gäste  ·  Voucher",IF(J1803=K1803+3,"Kabel  ·  Access Point y = .(50+y), Mast-Switch x = .(10+x)","")))))</f>
        <v/>
      </c>
      <c r="I1803" s="0" t="str">
        <f aca="false">IF(1798&lt;=(Eingabe!$P$18+Eingabe!$Q$18-1),MATCH(1798,Eingabe!$P$9:$P$18,1),"")</f>
        <v/>
      </c>
      <c r="J1803" s="0" t="str">
        <f aca="false">IF(I1803="","",1798-INDEX(Eingabe!$P$9:$P$18,I1803))</f>
        <v/>
      </c>
      <c r="K1803" s="0" t="str">
        <f aca="false">IF(I1803="","",INDEX(Eingabe!$E$9:$E$18,I1803))</f>
        <v/>
      </c>
    </row>
    <row r="1804" customFormat="false" ht="15" hidden="false" customHeight="false" outlineLevel="0" collapsed="false">
      <c r="A1804" s="0" t="str">
        <f aca="false">IF(I1804="","",IF(J1804=0,"Sparte "&amp;I1804&amp;": "&amp;INDEX(Eingabe!$B$9:$B$18,I1804)&amp;"  (Sparten-ID "&amp;INDEX(Eingabe!$D$9:$D$18,I1804)&amp;", "&amp;K1804&amp;" Parzellen)",IF(J1804&lt;=K1804,"   Parzelle "&amp;J1804,IF(J1804=K1804+1,"   Vorstand",IF(J1804=K1804+2,"   Gäste",IF(J1804=K1804+3,"   Technik (Switches, Access Points)",""))))))</f>
        <v/>
      </c>
      <c r="B1804" s="0" t="str">
        <f aca="false">IF(I1804="","",IF(AND(J1804&gt;=1,J1804&lt;=K1804+3),IF(J1804&lt;=K1804,IF(J1804&lt;=99,IF((INDEX(Eingabe!$G$9:$G$18,I1804))&lt;=9,1000+(INDEX(Eingabe!$G$9:$G$18,I1804))*100,3000)+J1804,IF((INDEX(Eingabe!$G$9:$G$18,I1804)+1)&lt;=9,1000+(INDEX(Eingabe!$G$9:$G$18,I1804)+1)*100,3000)+J1804-100),IF(J1804=K1804+1,2000+INDEX(Eingabe!$G$9:$G$18,I1804)*10+1,IF(J1804=K1804+2,2000+INDEX(Eingabe!$G$9:$G$18,I1804)*10+2,2000+INDEX(Eingabe!$G$9:$G$18,I1804)*10+9))),""))</f>
        <v/>
      </c>
      <c r="C1804" s="0" t="str">
        <f aca="false">IF(I1804="","",IF(AND(J1804&gt;=1,J1804&lt;=K1804+3),"10."&amp;INDEX(Eingabe!$D$9:$D$18,I1804)&amp;"."&amp;IF(J1804&lt;=K1804,J1804,IF(J1804=K1804+1,200,IF(J1804=K1804+2,201,250)))&amp;".0/24",""))</f>
        <v/>
      </c>
      <c r="D1804" s="0" t="str">
        <f aca="false">IF(I1804="","",IF(AND(J1804&gt;=1,J1804&lt;=K1804+3),"255.255.255.0",""))</f>
        <v/>
      </c>
      <c r="E1804" s="0" t="str">
        <f aca="false">IF(I1804="","",IF(AND(J1804&gt;=1,J1804&lt;=K1804+3),"10."&amp;INDEX(Eingabe!$D$9:$D$18,I1804)&amp;"."&amp;IF(J1804&lt;=K1804,J1804,IF(J1804=K1804+1,200,IF(J1804=K1804+2,201,250)))&amp;".1",""))</f>
        <v/>
      </c>
      <c r="F1804" s="0" t="str">
        <f aca="false">IF(I1804="","",IF(AND(J1804&gt;=1,J1804&lt;=K1804+3),"10."&amp;INDEX(Eingabe!$D$9:$D$18,I1804)&amp;"."&amp;IF(J1804&lt;=K1804,J1804,IF(J1804=K1804+1,200,IF(J1804=K1804+2,201,250)))&amp;".10 – 10."&amp;INDEX(Eingabe!$D$9:$D$18,I1804)&amp;"."&amp;IF(J1804&lt;=K1804,J1804,IF(J1804=K1804+1,200,IF(J1804=K1804+2,201,250)))&amp;".250",""))</f>
        <v/>
      </c>
      <c r="G1804" s="0" t="str">
        <f aca="false">IF(I1804="","",IF(AND(J1804&gt;=1,J1804&lt;=K1804),Eingabe!$B$6&amp;"-"&amp;INDEX(Eingabe!$C$9:$C$18,I1804)&amp;"-Pächter  ·  Passwort Parzelle "&amp;J1804,IF(J1804=K1804+1,Eingabe!$B$6&amp;"-"&amp;INDEX(Eingabe!$C$9:$C$18,I1804)&amp;"-Vorstand  ·  eigenes WLAN",IF(J1804=K1804+2,Eingabe!$B$6&amp;"-"&amp;INDEX(Eingabe!$C$9:$C$18,I1804)&amp;"-Gäste  ·  Voucher",IF(J1804=K1804+3,"Kabel  ·  Access Point y = .(50+y), Mast-Switch x = .(10+x)","")))))</f>
        <v/>
      </c>
      <c r="I1804" s="0" t="str">
        <f aca="false">IF(1799&lt;=(Eingabe!$P$18+Eingabe!$Q$18-1),MATCH(1799,Eingabe!$P$9:$P$18,1),"")</f>
        <v/>
      </c>
      <c r="J1804" s="0" t="str">
        <f aca="false">IF(I1804="","",1799-INDEX(Eingabe!$P$9:$P$18,I1804))</f>
        <v/>
      </c>
      <c r="K1804" s="0" t="str">
        <f aca="false">IF(I1804="","",INDEX(Eingabe!$E$9:$E$18,I1804))</f>
        <v/>
      </c>
    </row>
    <row r="1805" customFormat="false" ht="15" hidden="false" customHeight="false" outlineLevel="0" collapsed="false">
      <c r="A1805" s="0" t="str">
        <f aca="false">IF(I1805="","",IF(J1805=0,"Sparte "&amp;I1805&amp;": "&amp;INDEX(Eingabe!$B$9:$B$18,I1805)&amp;"  (Sparten-ID "&amp;INDEX(Eingabe!$D$9:$D$18,I1805)&amp;", "&amp;K1805&amp;" Parzellen)",IF(J1805&lt;=K1805,"   Parzelle "&amp;J1805,IF(J1805=K1805+1,"   Vorstand",IF(J1805=K1805+2,"   Gäste",IF(J1805=K1805+3,"   Technik (Switches, Access Points)",""))))))</f>
        <v/>
      </c>
      <c r="B1805" s="0" t="str">
        <f aca="false">IF(I1805="","",IF(AND(J1805&gt;=1,J1805&lt;=K1805+3),IF(J1805&lt;=K1805,IF(J1805&lt;=99,IF((INDEX(Eingabe!$G$9:$G$18,I1805))&lt;=9,1000+(INDEX(Eingabe!$G$9:$G$18,I1805))*100,3000)+J1805,IF((INDEX(Eingabe!$G$9:$G$18,I1805)+1)&lt;=9,1000+(INDEX(Eingabe!$G$9:$G$18,I1805)+1)*100,3000)+J1805-100),IF(J1805=K1805+1,2000+INDEX(Eingabe!$G$9:$G$18,I1805)*10+1,IF(J1805=K1805+2,2000+INDEX(Eingabe!$G$9:$G$18,I1805)*10+2,2000+INDEX(Eingabe!$G$9:$G$18,I1805)*10+9))),""))</f>
        <v/>
      </c>
      <c r="C1805" s="0" t="str">
        <f aca="false">IF(I1805="","",IF(AND(J1805&gt;=1,J1805&lt;=K1805+3),"10."&amp;INDEX(Eingabe!$D$9:$D$18,I1805)&amp;"."&amp;IF(J1805&lt;=K1805,J1805,IF(J1805=K1805+1,200,IF(J1805=K1805+2,201,250)))&amp;".0/24",""))</f>
        <v/>
      </c>
      <c r="D1805" s="0" t="str">
        <f aca="false">IF(I1805="","",IF(AND(J1805&gt;=1,J1805&lt;=K1805+3),"255.255.255.0",""))</f>
        <v/>
      </c>
      <c r="E1805" s="0" t="str">
        <f aca="false">IF(I1805="","",IF(AND(J1805&gt;=1,J1805&lt;=K1805+3),"10."&amp;INDEX(Eingabe!$D$9:$D$18,I1805)&amp;"."&amp;IF(J1805&lt;=K1805,J1805,IF(J1805=K1805+1,200,IF(J1805=K1805+2,201,250)))&amp;".1",""))</f>
        <v/>
      </c>
      <c r="F1805" s="0" t="str">
        <f aca="false">IF(I1805="","",IF(AND(J1805&gt;=1,J1805&lt;=K1805+3),"10."&amp;INDEX(Eingabe!$D$9:$D$18,I1805)&amp;"."&amp;IF(J1805&lt;=K1805,J1805,IF(J1805=K1805+1,200,IF(J1805=K1805+2,201,250)))&amp;".10 – 10."&amp;INDEX(Eingabe!$D$9:$D$18,I1805)&amp;"."&amp;IF(J1805&lt;=K1805,J1805,IF(J1805=K1805+1,200,IF(J1805=K1805+2,201,250)))&amp;".250",""))</f>
        <v/>
      </c>
      <c r="G1805" s="0" t="str">
        <f aca="false">IF(I1805="","",IF(AND(J1805&gt;=1,J1805&lt;=K1805),Eingabe!$B$6&amp;"-"&amp;INDEX(Eingabe!$C$9:$C$18,I1805)&amp;"-Pächter  ·  Passwort Parzelle "&amp;J1805,IF(J1805=K1805+1,Eingabe!$B$6&amp;"-"&amp;INDEX(Eingabe!$C$9:$C$18,I1805)&amp;"-Vorstand  ·  eigenes WLAN",IF(J1805=K1805+2,Eingabe!$B$6&amp;"-"&amp;INDEX(Eingabe!$C$9:$C$18,I1805)&amp;"-Gäste  ·  Voucher",IF(J1805=K1805+3,"Kabel  ·  Access Point y = .(50+y), Mast-Switch x = .(10+x)","")))))</f>
        <v/>
      </c>
      <c r="I1805" s="0" t="str">
        <f aca="false">IF(1800&lt;=(Eingabe!$P$18+Eingabe!$Q$18-1),MATCH(1800,Eingabe!$P$9:$P$18,1),"")</f>
        <v/>
      </c>
      <c r="J1805" s="0" t="str">
        <f aca="false">IF(I1805="","",1800-INDEX(Eingabe!$P$9:$P$18,I1805))</f>
        <v/>
      </c>
      <c r="K1805" s="0" t="str">
        <f aca="false">IF(I1805="","",INDEX(Eingabe!$E$9:$E$18,I1805))</f>
        <v/>
      </c>
    </row>
    <row r="1806" customFormat="false" ht="15" hidden="false" customHeight="false" outlineLevel="0" collapsed="false">
      <c r="A1806" s="0" t="str">
        <f aca="false">IF(I1806="","",IF(J1806=0,"Sparte "&amp;I1806&amp;": "&amp;INDEX(Eingabe!$B$9:$B$18,I1806)&amp;"  (Sparten-ID "&amp;INDEX(Eingabe!$D$9:$D$18,I1806)&amp;", "&amp;K1806&amp;" Parzellen)",IF(J1806&lt;=K1806,"   Parzelle "&amp;J1806,IF(J1806=K1806+1,"   Vorstand",IF(J1806=K1806+2,"   Gäste",IF(J1806=K1806+3,"   Technik (Switches, Access Points)",""))))))</f>
        <v/>
      </c>
      <c r="B1806" s="0" t="str">
        <f aca="false">IF(I1806="","",IF(AND(J1806&gt;=1,J1806&lt;=K1806+3),IF(J1806&lt;=K1806,IF(J1806&lt;=99,IF((INDEX(Eingabe!$G$9:$G$18,I1806))&lt;=9,1000+(INDEX(Eingabe!$G$9:$G$18,I1806))*100,3000)+J1806,IF((INDEX(Eingabe!$G$9:$G$18,I1806)+1)&lt;=9,1000+(INDEX(Eingabe!$G$9:$G$18,I1806)+1)*100,3000)+J1806-100),IF(J1806=K1806+1,2000+INDEX(Eingabe!$G$9:$G$18,I1806)*10+1,IF(J1806=K1806+2,2000+INDEX(Eingabe!$G$9:$G$18,I1806)*10+2,2000+INDEX(Eingabe!$G$9:$G$18,I1806)*10+9))),""))</f>
        <v/>
      </c>
      <c r="C1806" s="0" t="str">
        <f aca="false">IF(I1806="","",IF(AND(J1806&gt;=1,J1806&lt;=K1806+3),"10."&amp;INDEX(Eingabe!$D$9:$D$18,I1806)&amp;"."&amp;IF(J1806&lt;=K1806,J1806,IF(J1806=K1806+1,200,IF(J1806=K1806+2,201,250)))&amp;".0/24",""))</f>
        <v/>
      </c>
      <c r="D1806" s="0" t="str">
        <f aca="false">IF(I1806="","",IF(AND(J1806&gt;=1,J1806&lt;=K1806+3),"255.255.255.0",""))</f>
        <v/>
      </c>
      <c r="E1806" s="0" t="str">
        <f aca="false">IF(I1806="","",IF(AND(J1806&gt;=1,J1806&lt;=K1806+3),"10."&amp;INDEX(Eingabe!$D$9:$D$18,I1806)&amp;"."&amp;IF(J1806&lt;=K1806,J1806,IF(J1806=K1806+1,200,IF(J1806=K1806+2,201,250)))&amp;".1",""))</f>
        <v/>
      </c>
      <c r="F1806" s="0" t="str">
        <f aca="false">IF(I1806="","",IF(AND(J1806&gt;=1,J1806&lt;=K1806+3),"10."&amp;INDEX(Eingabe!$D$9:$D$18,I1806)&amp;"."&amp;IF(J1806&lt;=K1806,J1806,IF(J1806=K1806+1,200,IF(J1806=K1806+2,201,250)))&amp;".10 – 10."&amp;INDEX(Eingabe!$D$9:$D$18,I1806)&amp;"."&amp;IF(J1806&lt;=K1806,J1806,IF(J1806=K1806+1,200,IF(J1806=K1806+2,201,250)))&amp;".250",""))</f>
        <v/>
      </c>
      <c r="G1806" s="0" t="str">
        <f aca="false">IF(I1806="","",IF(AND(J1806&gt;=1,J1806&lt;=K1806),Eingabe!$B$6&amp;"-"&amp;INDEX(Eingabe!$C$9:$C$18,I1806)&amp;"-Pächter  ·  Passwort Parzelle "&amp;J1806,IF(J1806=K1806+1,Eingabe!$B$6&amp;"-"&amp;INDEX(Eingabe!$C$9:$C$18,I1806)&amp;"-Vorstand  ·  eigenes WLAN",IF(J1806=K1806+2,Eingabe!$B$6&amp;"-"&amp;INDEX(Eingabe!$C$9:$C$18,I1806)&amp;"-Gäste  ·  Voucher",IF(J1806=K1806+3,"Kabel  ·  Access Point y = .(50+y), Mast-Switch x = .(10+x)","")))))</f>
        <v/>
      </c>
      <c r="I1806" s="0" t="str">
        <f aca="false">IF(1801&lt;=(Eingabe!$P$18+Eingabe!$Q$18-1),MATCH(1801,Eingabe!$P$9:$P$18,1),"")</f>
        <v/>
      </c>
      <c r="J1806" s="0" t="str">
        <f aca="false">IF(I1806="","",1801-INDEX(Eingabe!$P$9:$P$18,I1806))</f>
        <v/>
      </c>
      <c r="K1806" s="0" t="str">
        <f aca="false">IF(I1806="","",INDEX(Eingabe!$E$9:$E$18,I1806))</f>
        <v/>
      </c>
    </row>
    <row r="1807" customFormat="false" ht="15" hidden="false" customHeight="false" outlineLevel="0" collapsed="false">
      <c r="A1807" s="0" t="str">
        <f aca="false">IF(I1807="","",IF(J1807=0,"Sparte "&amp;I1807&amp;": "&amp;INDEX(Eingabe!$B$9:$B$18,I1807)&amp;"  (Sparten-ID "&amp;INDEX(Eingabe!$D$9:$D$18,I1807)&amp;", "&amp;K1807&amp;" Parzellen)",IF(J1807&lt;=K1807,"   Parzelle "&amp;J1807,IF(J1807=K1807+1,"   Vorstand",IF(J1807=K1807+2,"   Gäste",IF(J1807=K1807+3,"   Technik (Switches, Access Points)",""))))))</f>
        <v/>
      </c>
      <c r="B1807" s="0" t="str">
        <f aca="false">IF(I1807="","",IF(AND(J1807&gt;=1,J1807&lt;=K1807+3),IF(J1807&lt;=K1807,IF(J1807&lt;=99,IF((INDEX(Eingabe!$G$9:$G$18,I1807))&lt;=9,1000+(INDEX(Eingabe!$G$9:$G$18,I1807))*100,3000)+J1807,IF((INDEX(Eingabe!$G$9:$G$18,I1807)+1)&lt;=9,1000+(INDEX(Eingabe!$G$9:$G$18,I1807)+1)*100,3000)+J1807-100),IF(J1807=K1807+1,2000+INDEX(Eingabe!$G$9:$G$18,I1807)*10+1,IF(J1807=K1807+2,2000+INDEX(Eingabe!$G$9:$G$18,I1807)*10+2,2000+INDEX(Eingabe!$G$9:$G$18,I1807)*10+9))),""))</f>
        <v/>
      </c>
      <c r="C1807" s="0" t="str">
        <f aca="false">IF(I1807="","",IF(AND(J1807&gt;=1,J1807&lt;=K1807+3),"10."&amp;INDEX(Eingabe!$D$9:$D$18,I1807)&amp;"."&amp;IF(J1807&lt;=K1807,J1807,IF(J1807=K1807+1,200,IF(J1807=K1807+2,201,250)))&amp;".0/24",""))</f>
        <v/>
      </c>
      <c r="D1807" s="0" t="str">
        <f aca="false">IF(I1807="","",IF(AND(J1807&gt;=1,J1807&lt;=K1807+3),"255.255.255.0",""))</f>
        <v/>
      </c>
      <c r="E1807" s="0" t="str">
        <f aca="false">IF(I1807="","",IF(AND(J1807&gt;=1,J1807&lt;=K1807+3),"10."&amp;INDEX(Eingabe!$D$9:$D$18,I1807)&amp;"."&amp;IF(J1807&lt;=K1807,J1807,IF(J1807=K1807+1,200,IF(J1807=K1807+2,201,250)))&amp;".1",""))</f>
        <v/>
      </c>
      <c r="F1807" s="0" t="str">
        <f aca="false">IF(I1807="","",IF(AND(J1807&gt;=1,J1807&lt;=K1807+3),"10."&amp;INDEX(Eingabe!$D$9:$D$18,I1807)&amp;"."&amp;IF(J1807&lt;=K1807,J1807,IF(J1807=K1807+1,200,IF(J1807=K1807+2,201,250)))&amp;".10 – 10."&amp;INDEX(Eingabe!$D$9:$D$18,I1807)&amp;"."&amp;IF(J1807&lt;=K1807,J1807,IF(J1807=K1807+1,200,IF(J1807=K1807+2,201,250)))&amp;".250",""))</f>
        <v/>
      </c>
      <c r="G1807" s="0" t="str">
        <f aca="false">IF(I1807="","",IF(AND(J1807&gt;=1,J1807&lt;=K1807),Eingabe!$B$6&amp;"-"&amp;INDEX(Eingabe!$C$9:$C$18,I1807)&amp;"-Pächter  ·  Passwort Parzelle "&amp;J1807,IF(J1807=K1807+1,Eingabe!$B$6&amp;"-"&amp;INDEX(Eingabe!$C$9:$C$18,I1807)&amp;"-Vorstand  ·  eigenes WLAN",IF(J1807=K1807+2,Eingabe!$B$6&amp;"-"&amp;INDEX(Eingabe!$C$9:$C$18,I1807)&amp;"-Gäste  ·  Voucher",IF(J1807=K1807+3,"Kabel  ·  Access Point y = .(50+y), Mast-Switch x = .(10+x)","")))))</f>
        <v/>
      </c>
      <c r="I1807" s="0" t="str">
        <f aca="false">IF(1802&lt;=(Eingabe!$P$18+Eingabe!$Q$18-1),MATCH(1802,Eingabe!$P$9:$P$18,1),"")</f>
        <v/>
      </c>
      <c r="J1807" s="0" t="str">
        <f aca="false">IF(I1807="","",1802-INDEX(Eingabe!$P$9:$P$18,I1807))</f>
        <v/>
      </c>
      <c r="K1807" s="0" t="str">
        <f aca="false">IF(I1807="","",INDEX(Eingabe!$E$9:$E$18,I1807))</f>
        <v/>
      </c>
    </row>
    <row r="1808" customFormat="false" ht="15" hidden="false" customHeight="false" outlineLevel="0" collapsed="false">
      <c r="A1808" s="0" t="str">
        <f aca="false">IF(I1808="","",IF(J1808=0,"Sparte "&amp;I1808&amp;": "&amp;INDEX(Eingabe!$B$9:$B$18,I1808)&amp;"  (Sparten-ID "&amp;INDEX(Eingabe!$D$9:$D$18,I1808)&amp;", "&amp;K1808&amp;" Parzellen)",IF(J1808&lt;=K1808,"   Parzelle "&amp;J1808,IF(J1808=K1808+1,"   Vorstand",IF(J1808=K1808+2,"   Gäste",IF(J1808=K1808+3,"   Technik (Switches, Access Points)",""))))))</f>
        <v/>
      </c>
      <c r="B1808" s="0" t="str">
        <f aca="false">IF(I1808="","",IF(AND(J1808&gt;=1,J1808&lt;=K1808+3),IF(J1808&lt;=K1808,IF(J1808&lt;=99,IF((INDEX(Eingabe!$G$9:$G$18,I1808))&lt;=9,1000+(INDEX(Eingabe!$G$9:$G$18,I1808))*100,3000)+J1808,IF((INDEX(Eingabe!$G$9:$G$18,I1808)+1)&lt;=9,1000+(INDEX(Eingabe!$G$9:$G$18,I1808)+1)*100,3000)+J1808-100),IF(J1808=K1808+1,2000+INDEX(Eingabe!$G$9:$G$18,I1808)*10+1,IF(J1808=K1808+2,2000+INDEX(Eingabe!$G$9:$G$18,I1808)*10+2,2000+INDEX(Eingabe!$G$9:$G$18,I1808)*10+9))),""))</f>
        <v/>
      </c>
      <c r="C1808" s="0" t="str">
        <f aca="false">IF(I1808="","",IF(AND(J1808&gt;=1,J1808&lt;=K1808+3),"10."&amp;INDEX(Eingabe!$D$9:$D$18,I1808)&amp;"."&amp;IF(J1808&lt;=K1808,J1808,IF(J1808=K1808+1,200,IF(J1808=K1808+2,201,250)))&amp;".0/24",""))</f>
        <v/>
      </c>
      <c r="D1808" s="0" t="str">
        <f aca="false">IF(I1808="","",IF(AND(J1808&gt;=1,J1808&lt;=K1808+3),"255.255.255.0",""))</f>
        <v/>
      </c>
      <c r="E1808" s="0" t="str">
        <f aca="false">IF(I1808="","",IF(AND(J1808&gt;=1,J1808&lt;=K1808+3),"10."&amp;INDEX(Eingabe!$D$9:$D$18,I1808)&amp;"."&amp;IF(J1808&lt;=K1808,J1808,IF(J1808=K1808+1,200,IF(J1808=K1808+2,201,250)))&amp;".1",""))</f>
        <v/>
      </c>
      <c r="F1808" s="0" t="str">
        <f aca="false">IF(I1808="","",IF(AND(J1808&gt;=1,J1808&lt;=K1808+3),"10."&amp;INDEX(Eingabe!$D$9:$D$18,I1808)&amp;"."&amp;IF(J1808&lt;=K1808,J1808,IF(J1808=K1808+1,200,IF(J1808=K1808+2,201,250)))&amp;".10 – 10."&amp;INDEX(Eingabe!$D$9:$D$18,I1808)&amp;"."&amp;IF(J1808&lt;=K1808,J1808,IF(J1808=K1808+1,200,IF(J1808=K1808+2,201,250)))&amp;".250",""))</f>
        <v/>
      </c>
      <c r="G1808" s="0" t="str">
        <f aca="false">IF(I1808="","",IF(AND(J1808&gt;=1,J1808&lt;=K1808),Eingabe!$B$6&amp;"-"&amp;INDEX(Eingabe!$C$9:$C$18,I1808)&amp;"-Pächter  ·  Passwort Parzelle "&amp;J1808,IF(J1808=K1808+1,Eingabe!$B$6&amp;"-"&amp;INDEX(Eingabe!$C$9:$C$18,I1808)&amp;"-Vorstand  ·  eigenes WLAN",IF(J1808=K1808+2,Eingabe!$B$6&amp;"-"&amp;INDEX(Eingabe!$C$9:$C$18,I1808)&amp;"-Gäste  ·  Voucher",IF(J1808=K1808+3,"Kabel  ·  Access Point y = .(50+y), Mast-Switch x = .(10+x)","")))))</f>
        <v/>
      </c>
      <c r="I1808" s="0" t="str">
        <f aca="false">IF(1803&lt;=(Eingabe!$P$18+Eingabe!$Q$18-1),MATCH(1803,Eingabe!$P$9:$P$18,1),"")</f>
        <v/>
      </c>
      <c r="J1808" s="0" t="str">
        <f aca="false">IF(I1808="","",1803-INDEX(Eingabe!$P$9:$P$18,I1808))</f>
        <v/>
      </c>
      <c r="K1808" s="0" t="str">
        <f aca="false">IF(I1808="","",INDEX(Eingabe!$E$9:$E$18,I1808))</f>
        <v/>
      </c>
    </row>
    <row r="1809" customFormat="false" ht="15" hidden="false" customHeight="false" outlineLevel="0" collapsed="false">
      <c r="A1809" s="0" t="str">
        <f aca="false">IF(I1809="","",IF(J1809=0,"Sparte "&amp;I1809&amp;": "&amp;INDEX(Eingabe!$B$9:$B$18,I1809)&amp;"  (Sparten-ID "&amp;INDEX(Eingabe!$D$9:$D$18,I1809)&amp;", "&amp;K1809&amp;" Parzellen)",IF(J1809&lt;=K1809,"   Parzelle "&amp;J1809,IF(J1809=K1809+1,"   Vorstand",IF(J1809=K1809+2,"   Gäste",IF(J1809=K1809+3,"   Technik (Switches, Access Points)",""))))))</f>
        <v/>
      </c>
      <c r="B1809" s="0" t="str">
        <f aca="false">IF(I1809="","",IF(AND(J1809&gt;=1,J1809&lt;=K1809+3),IF(J1809&lt;=K1809,IF(J1809&lt;=99,IF((INDEX(Eingabe!$G$9:$G$18,I1809))&lt;=9,1000+(INDEX(Eingabe!$G$9:$G$18,I1809))*100,3000)+J1809,IF((INDEX(Eingabe!$G$9:$G$18,I1809)+1)&lt;=9,1000+(INDEX(Eingabe!$G$9:$G$18,I1809)+1)*100,3000)+J1809-100),IF(J1809=K1809+1,2000+INDEX(Eingabe!$G$9:$G$18,I1809)*10+1,IF(J1809=K1809+2,2000+INDEX(Eingabe!$G$9:$G$18,I1809)*10+2,2000+INDEX(Eingabe!$G$9:$G$18,I1809)*10+9))),""))</f>
        <v/>
      </c>
      <c r="C1809" s="0" t="str">
        <f aca="false">IF(I1809="","",IF(AND(J1809&gt;=1,J1809&lt;=K1809+3),"10."&amp;INDEX(Eingabe!$D$9:$D$18,I1809)&amp;"."&amp;IF(J1809&lt;=K1809,J1809,IF(J1809=K1809+1,200,IF(J1809=K1809+2,201,250)))&amp;".0/24",""))</f>
        <v/>
      </c>
      <c r="D1809" s="0" t="str">
        <f aca="false">IF(I1809="","",IF(AND(J1809&gt;=1,J1809&lt;=K1809+3),"255.255.255.0",""))</f>
        <v/>
      </c>
      <c r="E1809" s="0" t="str">
        <f aca="false">IF(I1809="","",IF(AND(J1809&gt;=1,J1809&lt;=K1809+3),"10."&amp;INDEX(Eingabe!$D$9:$D$18,I1809)&amp;"."&amp;IF(J1809&lt;=K1809,J1809,IF(J1809=K1809+1,200,IF(J1809=K1809+2,201,250)))&amp;".1",""))</f>
        <v/>
      </c>
      <c r="F1809" s="0" t="str">
        <f aca="false">IF(I1809="","",IF(AND(J1809&gt;=1,J1809&lt;=K1809+3),"10."&amp;INDEX(Eingabe!$D$9:$D$18,I1809)&amp;"."&amp;IF(J1809&lt;=K1809,J1809,IF(J1809=K1809+1,200,IF(J1809=K1809+2,201,250)))&amp;".10 – 10."&amp;INDEX(Eingabe!$D$9:$D$18,I1809)&amp;"."&amp;IF(J1809&lt;=K1809,J1809,IF(J1809=K1809+1,200,IF(J1809=K1809+2,201,250)))&amp;".250",""))</f>
        <v/>
      </c>
      <c r="G1809" s="0" t="str">
        <f aca="false">IF(I1809="","",IF(AND(J1809&gt;=1,J1809&lt;=K1809),Eingabe!$B$6&amp;"-"&amp;INDEX(Eingabe!$C$9:$C$18,I1809)&amp;"-Pächter  ·  Passwort Parzelle "&amp;J1809,IF(J1809=K1809+1,Eingabe!$B$6&amp;"-"&amp;INDEX(Eingabe!$C$9:$C$18,I1809)&amp;"-Vorstand  ·  eigenes WLAN",IF(J1809=K1809+2,Eingabe!$B$6&amp;"-"&amp;INDEX(Eingabe!$C$9:$C$18,I1809)&amp;"-Gäste  ·  Voucher",IF(J1809=K1809+3,"Kabel  ·  Access Point y = .(50+y), Mast-Switch x = .(10+x)","")))))</f>
        <v/>
      </c>
      <c r="I1809" s="0" t="str">
        <f aca="false">IF(1804&lt;=(Eingabe!$P$18+Eingabe!$Q$18-1),MATCH(1804,Eingabe!$P$9:$P$18,1),"")</f>
        <v/>
      </c>
      <c r="J1809" s="0" t="str">
        <f aca="false">IF(I1809="","",1804-INDEX(Eingabe!$P$9:$P$18,I1809))</f>
        <v/>
      </c>
      <c r="K1809" s="0" t="str">
        <f aca="false">IF(I1809="","",INDEX(Eingabe!$E$9:$E$18,I1809))</f>
        <v/>
      </c>
    </row>
    <row r="1810" customFormat="false" ht="15" hidden="false" customHeight="false" outlineLevel="0" collapsed="false">
      <c r="A1810" s="0" t="str">
        <f aca="false">IF(I1810="","",IF(J1810=0,"Sparte "&amp;I1810&amp;": "&amp;INDEX(Eingabe!$B$9:$B$18,I1810)&amp;"  (Sparten-ID "&amp;INDEX(Eingabe!$D$9:$D$18,I1810)&amp;", "&amp;K1810&amp;" Parzellen)",IF(J1810&lt;=K1810,"   Parzelle "&amp;J1810,IF(J1810=K1810+1,"   Vorstand",IF(J1810=K1810+2,"   Gäste",IF(J1810=K1810+3,"   Technik (Switches, Access Points)",""))))))</f>
        <v/>
      </c>
      <c r="B1810" s="0" t="str">
        <f aca="false">IF(I1810="","",IF(AND(J1810&gt;=1,J1810&lt;=K1810+3),IF(J1810&lt;=K1810,IF(J1810&lt;=99,IF((INDEX(Eingabe!$G$9:$G$18,I1810))&lt;=9,1000+(INDEX(Eingabe!$G$9:$G$18,I1810))*100,3000)+J1810,IF((INDEX(Eingabe!$G$9:$G$18,I1810)+1)&lt;=9,1000+(INDEX(Eingabe!$G$9:$G$18,I1810)+1)*100,3000)+J1810-100),IF(J1810=K1810+1,2000+INDEX(Eingabe!$G$9:$G$18,I1810)*10+1,IF(J1810=K1810+2,2000+INDEX(Eingabe!$G$9:$G$18,I1810)*10+2,2000+INDEX(Eingabe!$G$9:$G$18,I1810)*10+9))),""))</f>
        <v/>
      </c>
      <c r="C1810" s="0" t="str">
        <f aca="false">IF(I1810="","",IF(AND(J1810&gt;=1,J1810&lt;=K1810+3),"10."&amp;INDEX(Eingabe!$D$9:$D$18,I1810)&amp;"."&amp;IF(J1810&lt;=K1810,J1810,IF(J1810=K1810+1,200,IF(J1810=K1810+2,201,250)))&amp;".0/24",""))</f>
        <v/>
      </c>
      <c r="D1810" s="0" t="str">
        <f aca="false">IF(I1810="","",IF(AND(J1810&gt;=1,J1810&lt;=K1810+3),"255.255.255.0",""))</f>
        <v/>
      </c>
      <c r="E1810" s="0" t="str">
        <f aca="false">IF(I1810="","",IF(AND(J1810&gt;=1,J1810&lt;=K1810+3),"10."&amp;INDEX(Eingabe!$D$9:$D$18,I1810)&amp;"."&amp;IF(J1810&lt;=K1810,J1810,IF(J1810=K1810+1,200,IF(J1810=K1810+2,201,250)))&amp;".1",""))</f>
        <v/>
      </c>
      <c r="F1810" s="0" t="str">
        <f aca="false">IF(I1810="","",IF(AND(J1810&gt;=1,J1810&lt;=K1810+3),"10."&amp;INDEX(Eingabe!$D$9:$D$18,I1810)&amp;"."&amp;IF(J1810&lt;=K1810,J1810,IF(J1810=K1810+1,200,IF(J1810=K1810+2,201,250)))&amp;".10 – 10."&amp;INDEX(Eingabe!$D$9:$D$18,I1810)&amp;"."&amp;IF(J1810&lt;=K1810,J1810,IF(J1810=K1810+1,200,IF(J1810=K1810+2,201,250)))&amp;".250",""))</f>
        <v/>
      </c>
      <c r="G1810" s="0" t="str">
        <f aca="false">IF(I1810="","",IF(AND(J1810&gt;=1,J1810&lt;=K1810),Eingabe!$B$6&amp;"-"&amp;INDEX(Eingabe!$C$9:$C$18,I1810)&amp;"-Pächter  ·  Passwort Parzelle "&amp;J1810,IF(J1810=K1810+1,Eingabe!$B$6&amp;"-"&amp;INDEX(Eingabe!$C$9:$C$18,I1810)&amp;"-Vorstand  ·  eigenes WLAN",IF(J1810=K1810+2,Eingabe!$B$6&amp;"-"&amp;INDEX(Eingabe!$C$9:$C$18,I1810)&amp;"-Gäste  ·  Voucher",IF(J1810=K1810+3,"Kabel  ·  Access Point y = .(50+y), Mast-Switch x = .(10+x)","")))))</f>
        <v/>
      </c>
      <c r="I1810" s="0" t="str">
        <f aca="false">IF(1805&lt;=(Eingabe!$P$18+Eingabe!$Q$18-1),MATCH(1805,Eingabe!$P$9:$P$18,1),"")</f>
        <v/>
      </c>
      <c r="J1810" s="0" t="str">
        <f aca="false">IF(I1810="","",1805-INDEX(Eingabe!$P$9:$P$18,I1810))</f>
        <v/>
      </c>
      <c r="K1810" s="0" t="str">
        <f aca="false">IF(I1810="","",INDEX(Eingabe!$E$9:$E$18,I1810))</f>
        <v/>
      </c>
    </row>
    <row r="1811" customFormat="false" ht="15" hidden="false" customHeight="false" outlineLevel="0" collapsed="false">
      <c r="A1811" s="0" t="str">
        <f aca="false">IF(I1811="","",IF(J1811=0,"Sparte "&amp;I1811&amp;": "&amp;INDEX(Eingabe!$B$9:$B$18,I1811)&amp;"  (Sparten-ID "&amp;INDEX(Eingabe!$D$9:$D$18,I1811)&amp;", "&amp;K1811&amp;" Parzellen)",IF(J1811&lt;=K1811,"   Parzelle "&amp;J1811,IF(J1811=K1811+1,"   Vorstand",IF(J1811=K1811+2,"   Gäste",IF(J1811=K1811+3,"   Technik (Switches, Access Points)",""))))))</f>
        <v/>
      </c>
      <c r="B1811" s="0" t="str">
        <f aca="false">IF(I1811="","",IF(AND(J1811&gt;=1,J1811&lt;=K1811+3),IF(J1811&lt;=K1811,IF(J1811&lt;=99,IF((INDEX(Eingabe!$G$9:$G$18,I1811))&lt;=9,1000+(INDEX(Eingabe!$G$9:$G$18,I1811))*100,3000)+J1811,IF((INDEX(Eingabe!$G$9:$G$18,I1811)+1)&lt;=9,1000+(INDEX(Eingabe!$G$9:$G$18,I1811)+1)*100,3000)+J1811-100),IF(J1811=K1811+1,2000+INDEX(Eingabe!$G$9:$G$18,I1811)*10+1,IF(J1811=K1811+2,2000+INDEX(Eingabe!$G$9:$G$18,I1811)*10+2,2000+INDEX(Eingabe!$G$9:$G$18,I1811)*10+9))),""))</f>
        <v/>
      </c>
      <c r="C1811" s="0" t="str">
        <f aca="false">IF(I1811="","",IF(AND(J1811&gt;=1,J1811&lt;=K1811+3),"10."&amp;INDEX(Eingabe!$D$9:$D$18,I1811)&amp;"."&amp;IF(J1811&lt;=K1811,J1811,IF(J1811=K1811+1,200,IF(J1811=K1811+2,201,250)))&amp;".0/24",""))</f>
        <v/>
      </c>
      <c r="D1811" s="0" t="str">
        <f aca="false">IF(I1811="","",IF(AND(J1811&gt;=1,J1811&lt;=K1811+3),"255.255.255.0",""))</f>
        <v/>
      </c>
      <c r="E1811" s="0" t="str">
        <f aca="false">IF(I1811="","",IF(AND(J1811&gt;=1,J1811&lt;=K1811+3),"10."&amp;INDEX(Eingabe!$D$9:$D$18,I1811)&amp;"."&amp;IF(J1811&lt;=K1811,J1811,IF(J1811=K1811+1,200,IF(J1811=K1811+2,201,250)))&amp;".1",""))</f>
        <v/>
      </c>
      <c r="F1811" s="0" t="str">
        <f aca="false">IF(I1811="","",IF(AND(J1811&gt;=1,J1811&lt;=K1811+3),"10."&amp;INDEX(Eingabe!$D$9:$D$18,I1811)&amp;"."&amp;IF(J1811&lt;=K1811,J1811,IF(J1811=K1811+1,200,IF(J1811=K1811+2,201,250)))&amp;".10 – 10."&amp;INDEX(Eingabe!$D$9:$D$18,I1811)&amp;"."&amp;IF(J1811&lt;=K1811,J1811,IF(J1811=K1811+1,200,IF(J1811=K1811+2,201,250)))&amp;".250",""))</f>
        <v/>
      </c>
      <c r="G1811" s="0" t="str">
        <f aca="false">IF(I1811="","",IF(AND(J1811&gt;=1,J1811&lt;=K1811),Eingabe!$B$6&amp;"-"&amp;INDEX(Eingabe!$C$9:$C$18,I1811)&amp;"-Pächter  ·  Passwort Parzelle "&amp;J1811,IF(J1811=K1811+1,Eingabe!$B$6&amp;"-"&amp;INDEX(Eingabe!$C$9:$C$18,I1811)&amp;"-Vorstand  ·  eigenes WLAN",IF(J1811=K1811+2,Eingabe!$B$6&amp;"-"&amp;INDEX(Eingabe!$C$9:$C$18,I1811)&amp;"-Gäste  ·  Voucher",IF(J1811=K1811+3,"Kabel  ·  Access Point y = .(50+y), Mast-Switch x = .(10+x)","")))))</f>
        <v/>
      </c>
      <c r="I1811" s="0" t="str">
        <f aca="false">IF(1806&lt;=(Eingabe!$P$18+Eingabe!$Q$18-1),MATCH(1806,Eingabe!$P$9:$P$18,1),"")</f>
        <v/>
      </c>
      <c r="J1811" s="0" t="str">
        <f aca="false">IF(I1811="","",1806-INDEX(Eingabe!$P$9:$P$18,I1811))</f>
        <v/>
      </c>
      <c r="K1811" s="0" t="str">
        <f aca="false">IF(I1811="","",INDEX(Eingabe!$E$9:$E$18,I1811))</f>
        <v/>
      </c>
    </row>
    <row r="1812" customFormat="false" ht="15" hidden="false" customHeight="false" outlineLevel="0" collapsed="false">
      <c r="A1812" s="0" t="str">
        <f aca="false">IF(I1812="","",IF(J1812=0,"Sparte "&amp;I1812&amp;": "&amp;INDEX(Eingabe!$B$9:$B$18,I1812)&amp;"  (Sparten-ID "&amp;INDEX(Eingabe!$D$9:$D$18,I1812)&amp;", "&amp;K1812&amp;" Parzellen)",IF(J1812&lt;=K1812,"   Parzelle "&amp;J1812,IF(J1812=K1812+1,"   Vorstand",IF(J1812=K1812+2,"   Gäste",IF(J1812=K1812+3,"   Technik (Switches, Access Points)",""))))))</f>
        <v/>
      </c>
      <c r="B1812" s="0" t="str">
        <f aca="false">IF(I1812="","",IF(AND(J1812&gt;=1,J1812&lt;=K1812+3),IF(J1812&lt;=K1812,IF(J1812&lt;=99,IF((INDEX(Eingabe!$G$9:$G$18,I1812))&lt;=9,1000+(INDEX(Eingabe!$G$9:$G$18,I1812))*100,3000)+J1812,IF((INDEX(Eingabe!$G$9:$G$18,I1812)+1)&lt;=9,1000+(INDEX(Eingabe!$G$9:$G$18,I1812)+1)*100,3000)+J1812-100),IF(J1812=K1812+1,2000+INDEX(Eingabe!$G$9:$G$18,I1812)*10+1,IF(J1812=K1812+2,2000+INDEX(Eingabe!$G$9:$G$18,I1812)*10+2,2000+INDEX(Eingabe!$G$9:$G$18,I1812)*10+9))),""))</f>
        <v/>
      </c>
      <c r="C1812" s="0" t="str">
        <f aca="false">IF(I1812="","",IF(AND(J1812&gt;=1,J1812&lt;=K1812+3),"10."&amp;INDEX(Eingabe!$D$9:$D$18,I1812)&amp;"."&amp;IF(J1812&lt;=K1812,J1812,IF(J1812=K1812+1,200,IF(J1812=K1812+2,201,250)))&amp;".0/24",""))</f>
        <v/>
      </c>
      <c r="D1812" s="0" t="str">
        <f aca="false">IF(I1812="","",IF(AND(J1812&gt;=1,J1812&lt;=K1812+3),"255.255.255.0",""))</f>
        <v/>
      </c>
      <c r="E1812" s="0" t="str">
        <f aca="false">IF(I1812="","",IF(AND(J1812&gt;=1,J1812&lt;=K1812+3),"10."&amp;INDEX(Eingabe!$D$9:$D$18,I1812)&amp;"."&amp;IF(J1812&lt;=K1812,J1812,IF(J1812=K1812+1,200,IF(J1812=K1812+2,201,250)))&amp;".1",""))</f>
        <v/>
      </c>
      <c r="F1812" s="0" t="str">
        <f aca="false">IF(I1812="","",IF(AND(J1812&gt;=1,J1812&lt;=K1812+3),"10."&amp;INDEX(Eingabe!$D$9:$D$18,I1812)&amp;"."&amp;IF(J1812&lt;=K1812,J1812,IF(J1812=K1812+1,200,IF(J1812=K1812+2,201,250)))&amp;".10 – 10."&amp;INDEX(Eingabe!$D$9:$D$18,I1812)&amp;"."&amp;IF(J1812&lt;=K1812,J1812,IF(J1812=K1812+1,200,IF(J1812=K1812+2,201,250)))&amp;".250",""))</f>
        <v/>
      </c>
      <c r="G1812" s="0" t="str">
        <f aca="false">IF(I1812="","",IF(AND(J1812&gt;=1,J1812&lt;=K1812),Eingabe!$B$6&amp;"-"&amp;INDEX(Eingabe!$C$9:$C$18,I1812)&amp;"-Pächter  ·  Passwort Parzelle "&amp;J1812,IF(J1812=K1812+1,Eingabe!$B$6&amp;"-"&amp;INDEX(Eingabe!$C$9:$C$18,I1812)&amp;"-Vorstand  ·  eigenes WLAN",IF(J1812=K1812+2,Eingabe!$B$6&amp;"-"&amp;INDEX(Eingabe!$C$9:$C$18,I1812)&amp;"-Gäste  ·  Voucher",IF(J1812=K1812+3,"Kabel  ·  Access Point y = .(50+y), Mast-Switch x = .(10+x)","")))))</f>
        <v/>
      </c>
      <c r="I1812" s="0" t="str">
        <f aca="false">IF(1807&lt;=(Eingabe!$P$18+Eingabe!$Q$18-1),MATCH(1807,Eingabe!$P$9:$P$18,1),"")</f>
        <v/>
      </c>
      <c r="J1812" s="0" t="str">
        <f aca="false">IF(I1812="","",1807-INDEX(Eingabe!$P$9:$P$18,I1812))</f>
        <v/>
      </c>
      <c r="K1812" s="0" t="str">
        <f aca="false">IF(I1812="","",INDEX(Eingabe!$E$9:$E$18,I1812))</f>
        <v/>
      </c>
    </row>
    <row r="1813" customFormat="false" ht="15" hidden="false" customHeight="false" outlineLevel="0" collapsed="false">
      <c r="A1813" s="0" t="str">
        <f aca="false">IF(I1813="","",IF(J1813=0,"Sparte "&amp;I1813&amp;": "&amp;INDEX(Eingabe!$B$9:$B$18,I1813)&amp;"  (Sparten-ID "&amp;INDEX(Eingabe!$D$9:$D$18,I1813)&amp;", "&amp;K1813&amp;" Parzellen)",IF(J1813&lt;=K1813,"   Parzelle "&amp;J1813,IF(J1813=K1813+1,"   Vorstand",IF(J1813=K1813+2,"   Gäste",IF(J1813=K1813+3,"   Technik (Switches, Access Points)",""))))))</f>
        <v/>
      </c>
      <c r="B1813" s="0" t="str">
        <f aca="false">IF(I1813="","",IF(AND(J1813&gt;=1,J1813&lt;=K1813+3),IF(J1813&lt;=K1813,IF(J1813&lt;=99,IF((INDEX(Eingabe!$G$9:$G$18,I1813))&lt;=9,1000+(INDEX(Eingabe!$G$9:$G$18,I1813))*100,3000)+J1813,IF((INDEX(Eingabe!$G$9:$G$18,I1813)+1)&lt;=9,1000+(INDEX(Eingabe!$G$9:$G$18,I1813)+1)*100,3000)+J1813-100),IF(J1813=K1813+1,2000+INDEX(Eingabe!$G$9:$G$18,I1813)*10+1,IF(J1813=K1813+2,2000+INDEX(Eingabe!$G$9:$G$18,I1813)*10+2,2000+INDEX(Eingabe!$G$9:$G$18,I1813)*10+9))),""))</f>
        <v/>
      </c>
      <c r="C1813" s="0" t="str">
        <f aca="false">IF(I1813="","",IF(AND(J1813&gt;=1,J1813&lt;=K1813+3),"10."&amp;INDEX(Eingabe!$D$9:$D$18,I1813)&amp;"."&amp;IF(J1813&lt;=K1813,J1813,IF(J1813=K1813+1,200,IF(J1813=K1813+2,201,250)))&amp;".0/24",""))</f>
        <v/>
      </c>
      <c r="D1813" s="0" t="str">
        <f aca="false">IF(I1813="","",IF(AND(J1813&gt;=1,J1813&lt;=K1813+3),"255.255.255.0",""))</f>
        <v/>
      </c>
      <c r="E1813" s="0" t="str">
        <f aca="false">IF(I1813="","",IF(AND(J1813&gt;=1,J1813&lt;=K1813+3),"10."&amp;INDEX(Eingabe!$D$9:$D$18,I1813)&amp;"."&amp;IF(J1813&lt;=K1813,J1813,IF(J1813=K1813+1,200,IF(J1813=K1813+2,201,250)))&amp;".1",""))</f>
        <v/>
      </c>
      <c r="F1813" s="0" t="str">
        <f aca="false">IF(I1813="","",IF(AND(J1813&gt;=1,J1813&lt;=K1813+3),"10."&amp;INDEX(Eingabe!$D$9:$D$18,I1813)&amp;"."&amp;IF(J1813&lt;=K1813,J1813,IF(J1813=K1813+1,200,IF(J1813=K1813+2,201,250)))&amp;".10 – 10."&amp;INDEX(Eingabe!$D$9:$D$18,I1813)&amp;"."&amp;IF(J1813&lt;=K1813,J1813,IF(J1813=K1813+1,200,IF(J1813=K1813+2,201,250)))&amp;".250",""))</f>
        <v/>
      </c>
      <c r="G1813" s="0" t="str">
        <f aca="false">IF(I1813="","",IF(AND(J1813&gt;=1,J1813&lt;=K1813),Eingabe!$B$6&amp;"-"&amp;INDEX(Eingabe!$C$9:$C$18,I1813)&amp;"-Pächter  ·  Passwort Parzelle "&amp;J1813,IF(J1813=K1813+1,Eingabe!$B$6&amp;"-"&amp;INDEX(Eingabe!$C$9:$C$18,I1813)&amp;"-Vorstand  ·  eigenes WLAN",IF(J1813=K1813+2,Eingabe!$B$6&amp;"-"&amp;INDEX(Eingabe!$C$9:$C$18,I1813)&amp;"-Gäste  ·  Voucher",IF(J1813=K1813+3,"Kabel  ·  Access Point y = .(50+y), Mast-Switch x = .(10+x)","")))))</f>
        <v/>
      </c>
      <c r="I1813" s="0" t="str">
        <f aca="false">IF(1808&lt;=(Eingabe!$P$18+Eingabe!$Q$18-1),MATCH(1808,Eingabe!$P$9:$P$18,1),"")</f>
        <v/>
      </c>
      <c r="J1813" s="0" t="str">
        <f aca="false">IF(I1813="","",1808-INDEX(Eingabe!$P$9:$P$18,I1813))</f>
        <v/>
      </c>
      <c r="K1813" s="0" t="str">
        <f aca="false">IF(I1813="","",INDEX(Eingabe!$E$9:$E$18,I1813))</f>
        <v/>
      </c>
    </row>
    <row r="1814" customFormat="false" ht="15" hidden="false" customHeight="false" outlineLevel="0" collapsed="false">
      <c r="A1814" s="0" t="str">
        <f aca="false">IF(I1814="","",IF(J1814=0,"Sparte "&amp;I1814&amp;": "&amp;INDEX(Eingabe!$B$9:$B$18,I1814)&amp;"  (Sparten-ID "&amp;INDEX(Eingabe!$D$9:$D$18,I1814)&amp;", "&amp;K1814&amp;" Parzellen)",IF(J1814&lt;=K1814,"   Parzelle "&amp;J1814,IF(J1814=K1814+1,"   Vorstand",IF(J1814=K1814+2,"   Gäste",IF(J1814=K1814+3,"   Technik (Switches, Access Points)",""))))))</f>
        <v/>
      </c>
      <c r="B1814" s="0" t="str">
        <f aca="false">IF(I1814="","",IF(AND(J1814&gt;=1,J1814&lt;=K1814+3),IF(J1814&lt;=K1814,IF(J1814&lt;=99,IF((INDEX(Eingabe!$G$9:$G$18,I1814))&lt;=9,1000+(INDEX(Eingabe!$G$9:$G$18,I1814))*100,3000)+J1814,IF((INDEX(Eingabe!$G$9:$G$18,I1814)+1)&lt;=9,1000+(INDEX(Eingabe!$G$9:$G$18,I1814)+1)*100,3000)+J1814-100),IF(J1814=K1814+1,2000+INDEX(Eingabe!$G$9:$G$18,I1814)*10+1,IF(J1814=K1814+2,2000+INDEX(Eingabe!$G$9:$G$18,I1814)*10+2,2000+INDEX(Eingabe!$G$9:$G$18,I1814)*10+9))),""))</f>
        <v/>
      </c>
      <c r="C1814" s="0" t="str">
        <f aca="false">IF(I1814="","",IF(AND(J1814&gt;=1,J1814&lt;=K1814+3),"10."&amp;INDEX(Eingabe!$D$9:$D$18,I1814)&amp;"."&amp;IF(J1814&lt;=K1814,J1814,IF(J1814=K1814+1,200,IF(J1814=K1814+2,201,250)))&amp;".0/24",""))</f>
        <v/>
      </c>
      <c r="D1814" s="0" t="str">
        <f aca="false">IF(I1814="","",IF(AND(J1814&gt;=1,J1814&lt;=K1814+3),"255.255.255.0",""))</f>
        <v/>
      </c>
      <c r="E1814" s="0" t="str">
        <f aca="false">IF(I1814="","",IF(AND(J1814&gt;=1,J1814&lt;=K1814+3),"10."&amp;INDEX(Eingabe!$D$9:$D$18,I1814)&amp;"."&amp;IF(J1814&lt;=K1814,J1814,IF(J1814=K1814+1,200,IF(J1814=K1814+2,201,250)))&amp;".1",""))</f>
        <v/>
      </c>
      <c r="F1814" s="0" t="str">
        <f aca="false">IF(I1814="","",IF(AND(J1814&gt;=1,J1814&lt;=K1814+3),"10."&amp;INDEX(Eingabe!$D$9:$D$18,I1814)&amp;"."&amp;IF(J1814&lt;=K1814,J1814,IF(J1814=K1814+1,200,IF(J1814=K1814+2,201,250)))&amp;".10 – 10."&amp;INDEX(Eingabe!$D$9:$D$18,I1814)&amp;"."&amp;IF(J1814&lt;=K1814,J1814,IF(J1814=K1814+1,200,IF(J1814=K1814+2,201,250)))&amp;".250",""))</f>
        <v/>
      </c>
      <c r="G1814" s="0" t="str">
        <f aca="false">IF(I1814="","",IF(AND(J1814&gt;=1,J1814&lt;=K1814),Eingabe!$B$6&amp;"-"&amp;INDEX(Eingabe!$C$9:$C$18,I1814)&amp;"-Pächter  ·  Passwort Parzelle "&amp;J1814,IF(J1814=K1814+1,Eingabe!$B$6&amp;"-"&amp;INDEX(Eingabe!$C$9:$C$18,I1814)&amp;"-Vorstand  ·  eigenes WLAN",IF(J1814=K1814+2,Eingabe!$B$6&amp;"-"&amp;INDEX(Eingabe!$C$9:$C$18,I1814)&amp;"-Gäste  ·  Voucher",IF(J1814=K1814+3,"Kabel  ·  Access Point y = .(50+y), Mast-Switch x = .(10+x)","")))))</f>
        <v/>
      </c>
      <c r="I1814" s="0" t="str">
        <f aca="false">IF(1809&lt;=(Eingabe!$P$18+Eingabe!$Q$18-1),MATCH(1809,Eingabe!$P$9:$P$18,1),"")</f>
        <v/>
      </c>
      <c r="J1814" s="0" t="str">
        <f aca="false">IF(I1814="","",1809-INDEX(Eingabe!$P$9:$P$18,I1814))</f>
        <v/>
      </c>
      <c r="K1814" s="0" t="str">
        <f aca="false">IF(I1814="","",INDEX(Eingabe!$E$9:$E$18,I1814))</f>
        <v/>
      </c>
    </row>
    <row r="1815" customFormat="false" ht="15" hidden="false" customHeight="false" outlineLevel="0" collapsed="false">
      <c r="A1815" s="0" t="str">
        <f aca="false">IF(I1815="","",IF(J1815=0,"Sparte "&amp;I1815&amp;": "&amp;INDEX(Eingabe!$B$9:$B$18,I1815)&amp;"  (Sparten-ID "&amp;INDEX(Eingabe!$D$9:$D$18,I1815)&amp;", "&amp;K1815&amp;" Parzellen)",IF(J1815&lt;=K1815,"   Parzelle "&amp;J1815,IF(J1815=K1815+1,"   Vorstand",IF(J1815=K1815+2,"   Gäste",IF(J1815=K1815+3,"   Technik (Switches, Access Points)",""))))))</f>
        <v/>
      </c>
      <c r="B1815" s="0" t="str">
        <f aca="false">IF(I1815="","",IF(AND(J1815&gt;=1,J1815&lt;=K1815+3),IF(J1815&lt;=K1815,IF(J1815&lt;=99,IF((INDEX(Eingabe!$G$9:$G$18,I1815))&lt;=9,1000+(INDEX(Eingabe!$G$9:$G$18,I1815))*100,3000)+J1815,IF((INDEX(Eingabe!$G$9:$G$18,I1815)+1)&lt;=9,1000+(INDEX(Eingabe!$G$9:$G$18,I1815)+1)*100,3000)+J1815-100),IF(J1815=K1815+1,2000+INDEX(Eingabe!$G$9:$G$18,I1815)*10+1,IF(J1815=K1815+2,2000+INDEX(Eingabe!$G$9:$G$18,I1815)*10+2,2000+INDEX(Eingabe!$G$9:$G$18,I1815)*10+9))),""))</f>
        <v/>
      </c>
      <c r="C1815" s="0" t="str">
        <f aca="false">IF(I1815="","",IF(AND(J1815&gt;=1,J1815&lt;=K1815+3),"10."&amp;INDEX(Eingabe!$D$9:$D$18,I1815)&amp;"."&amp;IF(J1815&lt;=K1815,J1815,IF(J1815=K1815+1,200,IF(J1815=K1815+2,201,250)))&amp;".0/24",""))</f>
        <v/>
      </c>
      <c r="D1815" s="0" t="str">
        <f aca="false">IF(I1815="","",IF(AND(J1815&gt;=1,J1815&lt;=K1815+3),"255.255.255.0",""))</f>
        <v/>
      </c>
      <c r="E1815" s="0" t="str">
        <f aca="false">IF(I1815="","",IF(AND(J1815&gt;=1,J1815&lt;=K1815+3),"10."&amp;INDEX(Eingabe!$D$9:$D$18,I1815)&amp;"."&amp;IF(J1815&lt;=K1815,J1815,IF(J1815=K1815+1,200,IF(J1815=K1815+2,201,250)))&amp;".1",""))</f>
        <v/>
      </c>
      <c r="F1815" s="0" t="str">
        <f aca="false">IF(I1815="","",IF(AND(J1815&gt;=1,J1815&lt;=K1815+3),"10."&amp;INDEX(Eingabe!$D$9:$D$18,I1815)&amp;"."&amp;IF(J1815&lt;=K1815,J1815,IF(J1815=K1815+1,200,IF(J1815=K1815+2,201,250)))&amp;".10 – 10."&amp;INDEX(Eingabe!$D$9:$D$18,I1815)&amp;"."&amp;IF(J1815&lt;=K1815,J1815,IF(J1815=K1815+1,200,IF(J1815=K1815+2,201,250)))&amp;".250",""))</f>
        <v/>
      </c>
      <c r="G1815" s="0" t="str">
        <f aca="false">IF(I1815="","",IF(AND(J1815&gt;=1,J1815&lt;=K1815),Eingabe!$B$6&amp;"-"&amp;INDEX(Eingabe!$C$9:$C$18,I1815)&amp;"-Pächter  ·  Passwort Parzelle "&amp;J1815,IF(J1815=K1815+1,Eingabe!$B$6&amp;"-"&amp;INDEX(Eingabe!$C$9:$C$18,I1815)&amp;"-Vorstand  ·  eigenes WLAN",IF(J1815=K1815+2,Eingabe!$B$6&amp;"-"&amp;INDEX(Eingabe!$C$9:$C$18,I1815)&amp;"-Gäste  ·  Voucher",IF(J1815=K1815+3,"Kabel  ·  Access Point y = .(50+y), Mast-Switch x = .(10+x)","")))))</f>
        <v/>
      </c>
      <c r="I1815" s="0" t="str">
        <f aca="false">IF(1810&lt;=(Eingabe!$P$18+Eingabe!$Q$18-1),MATCH(1810,Eingabe!$P$9:$P$18,1),"")</f>
        <v/>
      </c>
      <c r="J1815" s="0" t="str">
        <f aca="false">IF(I1815="","",1810-INDEX(Eingabe!$P$9:$P$18,I1815))</f>
        <v/>
      </c>
      <c r="K1815" s="0" t="str">
        <f aca="false">IF(I1815="","",INDEX(Eingabe!$E$9:$E$18,I1815))</f>
        <v/>
      </c>
    </row>
    <row r="1816" customFormat="false" ht="15" hidden="false" customHeight="false" outlineLevel="0" collapsed="false">
      <c r="A1816" s="0" t="str">
        <f aca="false">IF(I1816="","",IF(J1816=0,"Sparte "&amp;I1816&amp;": "&amp;INDEX(Eingabe!$B$9:$B$18,I1816)&amp;"  (Sparten-ID "&amp;INDEX(Eingabe!$D$9:$D$18,I1816)&amp;", "&amp;K1816&amp;" Parzellen)",IF(J1816&lt;=K1816,"   Parzelle "&amp;J1816,IF(J1816=K1816+1,"   Vorstand",IF(J1816=K1816+2,"   Gäste",IF(J1816=K1816+3,"   Technik (Switches, Access Points)",""))))))</f>
        <v/>
      </c>
      <c r="B1816" s="0" t="str">
        <f aca="false">IF(I1816="","",IF(AND(J1816&gt;=1,J1816&lt;=K1816+3),IF(J1816&lt;=K1816,IF(J1816&lt;=99,IF((INDEX(Eingabe!$G$9:$G$18,I1816))&lt;=9,1000+(INDEX(Eingabe!$G$9:$G$18,I1816))*100,3000)+J1816,IF((INDEX(Eingabe!$G$9:$G$18,I1816)+1)&lt;=9,1000+(INDEX(Eingabe!$G$9:$G$18,I1816)+1)*100,3000)+J1816-100),IF(J1816=K1816+1,2000+INDEX(Eingabe!$G$9:$G$18,I1816)*10+1,IF(J1816=K1816+2,2000+INDEX(Eingabe!$G$9:$G$18,I1816)*10+2,2000+INDEX(Eingabe!$G$9:$G$18,I1816)*10+9))),""))</f>
        <v/>
      </c>
      <c r="C1816" s="0" t="str">
        <f aca="false">IF(I1816="","",IF(AND(J1816&gt;=1,J1816&lt;=K1816+3),"10."&amp;INDEX(Eingabe!$D$9:$D$18,I1816)&amp;"."&amp;IF(J1816&lt;=K1816,J1816,IF(J1816=K1816+1,200,IF(J1816=K1816+2,201,250)))&amp;".0/24",""))</f>
        <v/>
      </c>
      <c r="D1816" s="0" t="str">
        <f aca="false">IF(I1816="","",IF(AND(J1816&gt;=1,J1816&lt;=K1816+3),"255.255.255.0",""))</f>
        <v/>
      </c>
      <c r="E1816" s="0" t="str">
        <f aca="false">IF(I1816="","",IF(AND(J1816&gt;=1,J1816&lt;=K1816+3),"10."&amp;INDEX(Eingabe!$D$9:$D$18,I1816)&amp;"."&amp;IF(J1816&lt;=K1816,J1816,IF(J1816=K1816+1,200,IF(J1816=K1816+2,201,250)))&amp;".1",""))</f>
        <v/>
      </c>
      <c r="F1816" s="0" t="str">
        <f aca="false">IF(I1816="","",IF(AND(J1816&gt;=1,J1816&lt;=K1816+3),"10."&amp;INDEX(Eingabe!$D$9:$D$18,I1816)&amp;"."&amp;IF(J1816&lt;=K1816,J1816,IF(J1816=K1816+1,200,IF(J1816=K1816+2,201,250)))&amp;".10 – 10."&amp;INDEX(Eingabe!$D$9:$D$18,I1816)&amp;"."&amp;IF(J1816&lt;=K1816,J1816,IF(J1816=K1816+1,200,IF(J1816=K1816+2,201,250)))&amp;".250",""))</f>
        <v/>
      </c>
      <c r="G1816" s="0" t="str">
        <f aca="false">IF(I1816="","",IF(AND(J1816&gt;=1,J1816&lt;=K1816),Eingabe!$B$6&amp;"-"&amp;INDEX(Eingabe!$C$9:$C$18,I1816)&amp;"-Pächter  ·  Passwort Parzelle "&amp;J1816,IF(J1816=K1816+1,Eingabe!$B$6&amp;"-"&amp;INDEX(Eingabe!$C$9:$C$18,I1816)&amp;"-Vorstand  ·  eigenes WLAN",IF(J1816=K1816+2,Eingabe!$B$6&amp;"-"&amp;INDEX(Eingabe!$C$9:$C$18,I1816)&amp;"-Gäste  ·  Voucher",IF(J1816=K1816+3,"Kabel  ·  Access Point y = .(50+y), Mast-Switch x = .(10+x)","")))))</f>
        <v/>
      </c>
      <c r="I1816" s="0" t="str">
        <f aca="false">IF(1811&lt;=(Eingabe!$P$18+Eingabe!$Q$18-1),MATCH(1811,Eingabe!$P$9:$P$18,1),"")</f>
        <v/>
      </c>
      <c r="J1816" s="0" t="str">
        <f aca="false">IF(I1816="","",1811-INDEX(Eingabe!$P$9:$P$18,I1816))</f>
        <v/>
      </c>
      <c r="K1816" s="0" t="str">
        <f aca="false">IF(I1816="","",INDEX(Eingabe!$E$9:$E$18,I1816))</f>
        <v/>
      </c>
    </row>
    <row r="1817" customFormat="false" ht="15" hidden="false" customHeight="false" outlineLevel="0" collapsed="false">
      <c r="A1817" s="0" t="str">
        <f aca="false">IF(I1817="","",IF(J1817=0,"Sparte "&amp;I1817&amp;": "&amp;INDEX(Eingabe!$B$9:$B$18,I1817)&amp;"  (Sparten-ID "&amp;INDEX(Eingabe!$D$9:$D$18,I1817)&amp;", "&amp;K1817&amp;" Parzellen)",IF(J1817&lt;=K1817,"   Parzelle "&amp;J1817,IF(J1817=K1817+1,"   Vorstand",IF(J1817=K1817+2,"   Gäste",IF(J1817=K1817+3,"   Technik (Switches, Access Points)",""))))))</f>
        <v/>
      </c>
      <c r="B1817" s="0" t="str">
        <f aca="false">IF(I1817="","",IF(AND(J1817&gt;=1,J1817&lt;=K1817+3),IF(J1817&lt;=K1817,IF(J1817&lt;=99,IF((INDEX(Eingabe!$G$9:$G$18,I1817))&lt;=9,1000+(INDEX(Eingabe!$G$9:$G$18,I1817))*100,3000)+J1817,IF((INDEX(Eingabe!$G$9:$G$18,I1817)+1)&lt;=9,1000+(INDEX(Eingabe!$G$9:$G$18,I1817)+1)*100,3000)+J1817-100),IF(J1817=K1817+1,2000+INDEX(Eingabe!$G$9:$G$18,I1817)*10+1,IF(J1817=K1817+2,2000+INDEX(Eingabe!$G$9:$G$18,I1817)*10+2,2000+INDEX(Eingabe!$G$9:$G$18,I1817)*10+9))),""))</f>
        <v/>
      </c>
      <c r="C1817" s="0" t="str">
        <f aca="false">IF(I1817="","",IF(AND(J1817&gt;=1,J1817&lt;=K1817+3),"10."&amp;INDEX(Eingabe!$D$9:$D$18,I1817)&amp;"."&amp;IF(J1817&lt;=K1817,J1817,IF(J1817=K1817+1,200,IF(J1817=K1817+2,201,250)))&amp;".0/24",""))</f>
        <v/>
      </c>
      <c r="D1817" s="0" t="str">
        <f aca="false">IF(I1817="","",IF(AND(J1817&gt;=1,J1817&lt;=K1817+3),"255.255.255.0",""))</f>
        <v/>
      </c>
      <c r="E1817" s="0" t="str">
        <f aca="false">IF(I1817="","",IF(AND(J1817&gt;=1,J1817&lt;=K1817+3),"10."&amp;INDEX(Eingabe!$D$9:$D$18,I1817)&amp;"."&amp;IF(J1817&lt;=K1817,J1817,IF(J1817=K1817+1,200,IF(J1817=K1817+2,201,250)))&amp;".1",""))</f>
        <v/>
      </c>
      <c r="F1817" s="0" t="str">
        <f aca="false">IF(I1817="","",IF(AND(J1817&gt;=1,J1817&lt;=K1817+3),"10."&amp;INDEX(Eingabe!$D$9:$D$18,I1817)&amp;"."&amp;IF(J1817&lt;=K1817,J1817,IF(J1817=K1817+1,200,IF(J1817=K1817+2,201,250)))&amp;".10 – 10."&amp;INDEX(Eingabe!$D$9:$D$18,I1817)&amp;"."&amp;IF(J1817&lt;=K1817,J1817,IF(J1817=K1817+1,200,IF(J1817=K1817+2,201,250)))&amp;".250",""))</f>
        <v/>
      </c>
      <c r="G1817" s="0" t="str">
        <f aca="false">IF(I1817="","",IF(AND(J1817&gt;=1,J1817&lt;=K1817),Eingabe!$B$6&amp;"-"&amp;INDEX(Eingabe!$C$9:$C$18,I1817)&amp;"-Pächter  ·  Passwort Parzelle "&amp;J1817,IF(J1817=K1817+1,Eingabe!$B$6&amp;"-"&amp;INDEX(Eingabe!$C$9:$C$18,I1817)&amp;"-Vorstand  ·  eigenes WLAN",IF(J1817=K1817+2,Eingabe!$B$6&amp;"-"&amp;INDEX(Eingabe!$C$9:$C$18,I1817)&amp;"-Gäste  ·  Voucher",IF(J1817=K1817+3,"Kabel  ·  Access Point y = .(50+y), Mast-Switch x = .(10+x)","")))))</f>
        <v/>
      </c>
      <c r="I1817" s="0" t="str">
        <f aca="false">IF(1812&lt;=(Eingabe!$P$18+Eingabe!$Q$18-1),MATCH(1812,Eingabe!$P$9:$P$18,1),"")</f>
        <v/>
      </c>
      <c r="J1817" s="0" t="str">
        <f aca="false">IF(I1817="","",1812-INDEX(Eingabe!$P$9:$P$18,I1817))</f>
        <v/>
      </c>
      <c r="K1817" s="0" t="str">
        <f aca="false">IF(I1817="","",INDEX(Eingabe!$E$9:$E$18,I1817))</f>
        <v/>
      </c>
    </row>
    <row r="1818" customFormat="false" ht="15" hidden="false" customHeight="false" outlineLevel="0" collapsed="false">
      <c r="A1818" s="0" t="str">
        <f aca="false">IF(I1818="","",IF(J1818=0,"Sparte "&amp;I1818&amp;": "&amp;INDEX(Eingabe!$B$9:$B$18,I1818)&amp;"  (Sparten-ID "&amp;INDEX(Eingabe!$D$9:$D$18,I1818)&amp;", "&amp;K1818&amp;" Parzellen)",IF(J1818&lt;=K1818,"   Parzelle "&amp;J1818,IF(J1818=K1818+1,"   Vorstand",IF(J1818=K1818+2,"   Gäste",IF(J1818=K1818+3,"   Technik (Switches, Access Points)",""))))))</f>
        <v/>
      </c>
      <c r="B1818" s="0" t="str">
        <f aca="false">IF(I1818="","",IF(AND(J1818&gt;=1,J1818&lt;=K1818+3),IF(J1818&lt;=K1818,IF(J1818&lt;=99,IF((INDEX(Eingabe!$G$9:$G$18,I1818))&lt;=9,1000+(INDEX(Eingabe!$G$9:$G$18,I1818))*100,3000)+J1818,IF((INDEX(Eingabe!$G$9:$G$18,I1818)+1)&lt;=9,1000+(INDEX(Eingabe!$G$9:$G$18,I1818)+1)*100,3000)+J1818-100),IF(J1818=K1818+1,2000+INDEX(Eingabe!$G$9:$G$18,I1818)*10+1,IF(J1818=K1818+2,2000+INDEX(Eingabe!$G$9:$G$18,I1818)*10+2,2000+INDEX(Eingabe!$G$9:$G$18,I1818)*10+9))),""))</f>
        <v/>
      </c>
      <c r="C1818" s="0" t="str">
        <f aca="false">IF(I1818="","",IF(AND(J1818&gt;=1,J1818&lt;=K1818+3),"10."&amp;INDEX(Eingabe!$D$9:$D$18,I1818)&amp;"."&amp;IF(J1818&lt;=K1818,J1818,IF(J1818=K1818+1,200,IF(J1818=K1818+2,201,250)))&amp;".0/24",""))</f>
        <v/>
      </c>
      <c r="D1818" s="0" t="str">
        <f aca="false">IF(I1818="","",IF(AND(J1818&gt;=1,J1818&lt;=K1818+3),"255.255.255.0",""))</f>
        <v/>
      </c>
      <c r="E1818" s="0" t="str">
        <f aca="false">IF(I1818="","",IF(AND(J1818&gt;=1,J1818&lt;=K1818+3),"10."&amp;INDEX(Eingabe!$D$9:$D$18,I1818)&amp;"."&amp;IF(J1818&lt;=K1818,J1818,IF(J1818=K1818+1,200,IF(J1818=K1818+2,201,250)))&amp;".1",""))</f>
        <v/>
      </c>
      <c r="F1818" s="0" t="str">
        <f aca="false">IF(I1818="","",IF(AND(J1818&gt;=1,J1818&lt;=K1818+3),"10."&amp;INDEX(Eingabe!$D$9:$D$18,I1818)&amp;"."&amp;IF(J1818&lt;=K1818,J1818,IF(J1818=K1818+1,200,IF(J1818=K1818+2,201,250)))&amp;".10 – 10."&amp;INDEX(Eingabe!$D$9:$D$18,I1818)&amp;"."&amp;IF(J1818&lt;=K1818,J1818,IF(J1818=K1818+1,200,IF(J1818=K1818+2,201,250)))&amp;".250",""))</f>
        <v/>
      </c>
      <c r="G1818" s="0" t="str">
        <f aca="false">IF(I1818="","",IF(AND(J1818&gt;=1,J1818&lt;=K1818),Eingabe!$B$6&amp;"-"&amp;INDEX(Eingabe!$C$9:$C$18,I1818)&amp;"-Pächter  ·  Passwort Parzelle "&amp;J1818,IF(J1818=K1818+1,Eingabe!$B$6&amp;"-"&amp;INDEX(Eingabe!$C$9:$C$18,I1818)&amp;"-Vorstand  ·  eigenes WLAN",IF(J1818=K1818+2,Eingabe!$B$6&amp;"-"&amp;INDEX(Eingabe!$C$9:$C$18,I1818)&amp;"-Gäste  ·  Voucher",IF(J1818=K1818+3,"Kabel  ·  Access Point y = .(50+y), Mast-Switch x = .(10+x)","")))))</f>
        <v/>
      </c>
      <c r="I1818" s="0" t="str">
        <f aca="false">IF(1813&lt;=(Eingabe!$P$18+Eingabe!$Q$18-1),MATCH(1813,Eingabe!$P$9:$P$18,1),"")</f>
        <v/>
      </c>
      <c r="J1818" s="0" t="str">
        <f aca="false">IF(I1818="","",1813-INDEX(Eingabe!$P$9:$P$18,I1818))</f>
        <v/>
      </c>
      <c r="K1818" s="0" t="str">
        <f aca="false">IF(I1818="","",INDEX(Eingabe!$E$9:$E$18,I1818))</f>
        <v/>
      </c>
    </row>
    <row r="1819" customFormat="false" ht="15" hidden="false" customHeight="false" outlineLevel="0" collapsed="false">
      <c r="A1819" s="0" t="str">
        <f aca="false">IF(I1819="","",IF(J1819=0,"Sparte "&amp;I1819&amp;": "&amp;INDEX(Eingabe!$B$9:$B$18,I1819)&amp;"  (Sparten-ID "&amp;INDEX(Eingabe!$D$9:$D$18,I1819)&amp;", "&amp;K1819&amp;" Parzellen)",IF(J1819&lt;=K1819,"   Parzelle "&amp;J1819,IF(J1819=K1819+1,"   Vorstand",IF(J1819=K1819+2,"   Gäste",IF(J1819=K1819+3,"   Technik (Switches, Access Points)",""))))))</f>
        <v/>
      </c>
      <c r="B1819" s="0" t="str">
        <f aca="false">IF(I1819="","",IF(AND(J1819&gt;=1,J1819&lt;=K1819+3),IF(J1819&lt;=K1819,IF(J1819&lt;=99,IF((INDEX(Eingabe!$G$9:$G$18,I1819))&lt;=9,1000+(INDEX(Eingabe!$G$9:$G$18,I1819))*100,3000)+J1819,IF((INDEX(Eingabe!$G$9:$G$18,I1819)+1)&lt;=9,1000+(INDEX(Eingabe!$G$9:$G$18,I1819)+1)*100,3000)+J1819-100),IF(J1819=K1819+1,2000+INDEX(Eingabe!$G$9:$G$18,I1819)*10+1,IF(J1819=K1819+2,2000+INDEX(Eingabe!$G$9:$G$18,I1819)*10+2,2000+INDEX(Eingabe!$G$9:$G$18,I1819)*10+9))),""))</f>
        <v/>
      </c>
      <c r="C1819" s="0" t="str">
        <f aca="false">IF(I1819="","",IF(AND(J1819&gt;=1,J1819&lt;=K1819+3),"10."&amp;INDEX(Eingabe!$D$9:$D$18,I1819)&amp;"."&amp;IF(J1819&lt;=K1819,J1819,IF(J1819=K1819+1,200,IF(J1819=K1819+2,201,250)))&amp;".0/24",""))</f>
        <v/>
      </c>
      <c r="D1819" s="0" t="str">
        <f aca="false">IF(I1819="","",IF(AND(J1819&gt;=1,J1819&lt;=K1819+3),"255.255.255.0",""))</f>
        <v/>
      </c>
      <c r="E1819" s="0" t="str">
        <f aca="false">IF(I1819="","",IF(AND(J1819&gt;=1,J1819&lt;=K1819+3),"10."&amp;INDEX(Eingabe!$D$9:$D$18,I1819)&amp;"."&amp;IF(J1819&lt;=K1819,J1819,IF(J1819=K1819+1,200,IF(J1819=K1819+2,201,250)))&amp;".1",""))</f>
        <v/>
      </c>
      <c r="F1819" s="0" t="str">
        <f aca="false">IF(I1819="","",IF(AND(J1819&gt;=1,J1819&lt;=K1819+3),"10."&amp;INDEX(Eingabe!$D$9:$D$18,I1819)&amp;"."&amp;IF(J1819&lt;=K1819,J1819,IF(J1819=K1819+1,200,IF(J1819=K1819+2,201,250)))&amp;".10 – 10."&amp;INDEX(Eingabe!$D$9:$D$18,I1819)&amp;"."&amp;IF(J1819&lt;=K1819,J1819,IF(J1819=K1819+1,200,IF(J1819=K1819+2,201,250)))&amp;".250",""))</f>
        <v/>
      </c>
      <c r="G1819" s="0" t="str">
        <f aca="false">IF(I1819="","",IF(AND(J1819&gt;=1,J1819&lt;=K1819),Eingabe!$B$6&amp;"-"&amp;INDEX(Eingabe!$C$9:$C$18,I1819)&amp;"-Pächter  ·  Passwort Parzelle "&amp;J1819,IF(J1819=K1819+1,Eingabe!$B$6&amp;"-"&amp;INDEX(Eingabe!$C$9:$C$18,I1819)&amp;"-Vorstand  ·  eigenes WLAN",IF(J1819=K1819+2,Eingabe!$B$6&amp;"-"&amp;INDEX(Eingabe!$C$9:$C$18,I1819)&amp;"-Gäste  ·  Voucher",IF(J1819=K1819+3,"Kabel  ·  Access Point y = .(50+y), Mast-Switch x = .(10+x)","")))))</f>
        <v/>
      </c>
      <c r="I1819" s="0" t="str">
        <f aca="false">IF(1814&lt;=(Eingabe!$P$18+Eingabe!$Q$18-1),MATCH(1814,Eingabe!$P$9:$P$18,1),"")</f>
        <v/>
      </c>
      <c r="J1819" s="0" t="str">
        <f aca="false">IF(I1819="","",1814-INDEX(Eingabe!$P$9:$P$18,I1819))</f>
        <v/>
      </c>
      <c r="K1819" s="0" t="str">
        <f aca="false">IF(I1819="","",INDEX(Eingabe!$E$9:$E$18,I1819))</f>
        <v/>
      </c>
    </row>
    <row r="1820" customFormat="false" ht="15" hidden="false" customHeight="false" outlineLevel="0" collapsed="false">
      <c r="A1820" s="0" t="str">
        <f aca="false">IF(I1820="","",IF(J1820=0,"Sparte "&amp;I1820&amp;": "&amp;INDEX(Eingabe!$B$9:$B$18,I1820)&amp;"  (Sparten-ID "&amp;INDEX(Eingabe!$D$9:$D$18,I1820)&amp;", "&amp;K1820&amp;" Parzellen)",IF(J1820&lt;=K1820,"   Parzelle "&amp;J1820,IF(J1820=K1820+1,"   Vorstand",IF(J1820=K1820+2,"   Gäste",IF(J1820=K1820+3,"   Technik (Switches, Access Points)",""))))))</f>
        <v/>
      </c>
      <c r="B1820" s="0" t="str">
        <f aca="false">IF(I1820="","",IF(AND(J1820&gt;=1,J1820&lt;=K1820+3),IF(J1820&lt;=K1820,IF(J1820&lt;=99,IF((INDEX(Eingabe!$G$9:$G$18,I1820))&lt;=9,1000+(INDEX(Eingabe!$G$9:$G$18,I1820))*100,3000)+J1820,IF((INDEX(Eingabe!$G$9:$G$18,I1820)+1)&lt;=9,1000+(INDEX(Eingabe!$G$9:$G$18,I1820)+1)*100,3000)+J1820-100),IF(J1820=K1820+1,2000+INDEX(Eingabe!$G$9:$G$18,I1820)*10+1,IF(J1820=K1820+2,2000+INDEX(Eingabe!$G$9:$G$18,I1820)*10+2,2000+INDEX(Eingabe!$G$9:$G$18,I1820)*10+9))),""))</f>
        <v/>
      </c>
      <c r="C1820" s="0" t="str">
        <f aca="false">IF(I1820="","",IF(AND(J1820&gt;=1,J1820&lt;=K1820+3),"10."&amp;INDEX(Eingabe!$D$9:$D$18,I1820)&amp;"."&amp;IF(J1820&lt;=K1820,J1820,IF(J1820=K1820+1,200,IF(J1820=K1820+2,201,250)))&amp;".0/24",""))</f>
        <v/>
      </c>
      <c r="D1820" s="0" t="str">
        <f aca="false">IF(I1820="","",IF(AND(J1820&gt;=1,J1820&lt;=K1820+3),"255.255.255.0",""))</f>
        <v/>
      </c>
      <c r="E1820" s="0" t="str">
        <f aca="false">IF(I1820="","",IF(AND(J1820&gt;=1,J1820&lt;=K1820+3),"10."&amp;INDEX(Eingabe!$D$9:$D$18,I1820)&amp;"."&amp;IF(J1820&lt;=K1820,J1820,IF(J1820=K1820+1,200,IF(J1820=K1820+2,201,250)))&amp;".1",""))</f>
        <v/>
      </c>
      <c r="F1820" s="0" t="str">
        <f aca="false">IF(I1820="","",IF(AND(J1820&gt;=1,J1820&lt;=K1820+3),"10."&amp;INDEX(Eingabe!$D$9:$D$18,I1820)&amp;"."&amp;IF(J1820&lt;=K1820,J1820,IF(J1820=K1820+1,200,IF(J1820=K1820+2,201,250)))&amp;".10 – 10."&amp;INDEX(Eingabe!$D$9:$D$18,I1820)&amp;"."&amp;IF(J1820&lt;=K1820,J1820,IF(J1820=K1820+1,200,IF(J1820=K1820+2,201,250)))&amp;".250",""))</f>
        <v/>
      </c>
      <c r="G1820" s="0" t="str">
        <f aca="false">IF(I1820="","",IF(AND(J1820&gt;=1,J1820&lt;=K1820),Eingabe!$B$6&amp;"-"&amp;INDEX(Eingabe!$C$9:$C$18,I1820)&amp;"-Pächter  ·  Passwort Parzelle "&amp;J1820,IF(J1820=K1820+1,Eingabe!$B$6&amp;"-"&amp;INDEX(Eingabe!$C$9:$C$18,I1820)&amp;"-Vorstand  ·  eigenes WLAN",IF(J1820=K1820+2,Eingabe!$B$6&amp;"-"&amp;INDEX(Eingabe!$C$9:$C$18,I1820)&amp;"-Gäste  ·  Voucher",IF(J1820=K1820+3,"Kabel  ·  Access Point y = .(50+y), Mast-Switch x = .(10+x)","")))))</f>
        <v/>
      </c>
      <c r="I1820" s="0" t="str">
        <f aca="false">IF(1815&lt;=(Eingabe!$P$18+Eingabe!$Q$18-1),MATCH(1815,Eingabe!$P$9:$P$18,1),"")</f>
        <v/>
      </c>
      <c r="J1820" s="0" t="str">
        <f aca="false">IF(I1820="","",1815-INDEX(Eingabe!$P$9:$P$18,I1820))</f>
        <v/>
      </c>
      <c r="K1820" s="0" t="str">
        <f aca="false">IF(I1820="","",INDEX(Eingabe!$E$9:$E$18,I1820))</f>
        <v/>
      </c>
    </row>
    <row r="1821" customFormat="false" ht="15" hidden="false" customHeight="false" outlineLevel="0" collapsed="false">
      <c r="A1821" s="0" t="str">
        <f aca="false">IF(I1821="","",IF(J1821=0,"Sparte "&amp;I1821&amp;": "&amp;INDEX(Eingabe!$B$9:$B$18,I1821)&amp;"  (Sparten-ID "&amp;INDEX(Eingabe!$D$9:$D$18,I1821)&amp;", "&amp;K1821&amp;" Parzellen)",IF(J1821&lt;=K1821,"   Parzelle "&amp;J1821,IF(J1821=K1821+1,"   Vorstand",IF(J1821=K1821+2,"   Gäste",IF(J1821=K1821+3,"   Technik (Switches, Access Points)",""))))))</f>
        <v/>
      </c>
      <c r="B1821" s="0" t="str">
        <f aca="false">IF(I1821="","",IF(AND(J1821&gt;=1,J1821&lt;=K1821+3),IF(J1821&lt;=K1821,IF(J1821&lt;=99,IF((INDEX(Eingabe!$G$9:$G$18,I1821))&lt;=9,1000+(INDEX(Eingabe!$G$9:$G$18,I1821))*100,3000)+J1821,IF((INDEX(Eingabe!$G$9:$G$18,I1821)+1)&lt;=9,1000+(INDEX(Eingabe!$G$9:$G$18,I1821)+1)*100,3000)+J1821-100),IF(J1821=K1821+1,2000+INDEX(Eingabe!$G$9:$G$18,I1821)*10+1,IF(J1821=K1821+2,2000+INDEX(Eingabe!$G$9:$G$18,I1821)*10+2,2000+INDEX(Eingabe!$G$9:$G$18,I1821)*10+9))),""))</f>
        <v/>
      </c>
      <c r="C1821" s="0" t="str">
        <f aca="false">IF(I1821="","",IF(AND(J1821&gt;=1,J1821&lt;=K1821+3),"10."&amp;INDEX(Eingabe!$D$9:$D$18,I1821)&amp;"."&amp;IF(J1821&lt;=K1821,J1821,IF(J1821=K1821+1,200,IF(J1821=K1821+2,201,250)))&amp;".0/24",""))</f>
        <v/>
      </c>
      <c r="D1821" s="0" t="str">
        <f aca="false">IF(I1821="","",IF(AND(J1821&gt;=1,J1821&lt;=K1821+3),"255.255.255.0",""))</f>
        <v/>
      </c>
      <c r="E1821" s="0" t="str">
        <f aca="false">IF(I1821="","",IF(AND(J1821&gt;=1,J1821&lt;=K1821+3),"10."&amp;INDEX(Eingabe!$D$9:$D$18,I1821)&amp;"."&amp;IF(J1821&lt;=K1821,J1821,IF(J1821=K1821+1,200,IF(J1821=K1821+2,201,250)))&amp;".1",""))</f>
        <v/>
      </c>
      <c r="F1821" s="0" t="str">
        <f aca="false">IF(I1821="","",IF(AND(J1821&gt;=1,J1821&lt;=K1821+3),"10."&amp;INDEX(Eingabe!$D$9:$D$18,I1821)&amp;"."&amp;IF(J1821&lt;=K1821,J1821,IF(J1821=K1821+1,200,IF(J1821=K1821+2,201,250)))&amp;".10 – 10."&amp;INDEX(Eingabe!$D$9:$D$18,I1821)&amp;"."&amp;IF(J1821&lt;=K1821,J1821,IF(J1821=K1821+1,200,IF(J1821=K1821+2,201,250)))&amp;".250",""))</f>
        <v/>
      </c>
      <c r="G1821" s="0" t="str">
        <f aca="false">IF(I1821="","",IF(AND(J1821&gt;=1,J1821&lt;=K1821),Eingabe!$B$6&amp;"-"&amp;INDEX(Eingabe!$C$9:$C$18,I1821)&amp;"-Pächter  ·  Passwort Parzelle "&amp;J1821,IF(J1821=K1821+1,Eingabe!$B$6&amp;"-"&amp;INDEX(Eingabe!$C$9:$C$18,I1821)&amp;"-Vorstand  ·  eigenes WLAN",IF(J1821=K1821+2,Eingabe!$B$6&amp;"-"&amp;INDEX(Eingabe!$C$9:$C$18,I1821)&amp;"-Gäste  ·  Voucher",IF(J1821=K1821+3,"Kabel  ·  Access Point y = .(50+y), Mast-Switch x = .(10+x)","")))))</f>
        <v/>
      </c>
      <c r="I1821" s="0" t="str">
        <f aca="false">IF(1816&lt;=(Eingabe!$P$18+Eingabe!$Q$18-1),MATCH(1816,Eingabe!$P$9:$P$18,1),"")</f>
        <v/>
      </c>
      <c r="J1821" s="0" t="str">
        <f aca="false">IF(I1821="","",1816-INDEX(Eingabe!$P$9:$P$18,I1821))</f>
        <v/>
      </c>
      <c r="K1821" s="0" t="str">
        <f aca="false">IF(I1821="","",INDEX(Eingabe!$E$9:$E$18,I1821))</f>
        <v/>
      </c>
    </row>
    <row r="1822" customFormat="false" ht="15" hidden="false" customHeight="false" outlineLevel="0" collapsed="false">
      <c r="A1822" s="0" t="str">
        <f aca="false">IF(I1822="","",IF(J1822=0,"Sparte "&amp;I1822&amp;": "&amp;INDEX(Eingabe!$B$9:$B$18,I1822)&amp;"  (Sparten-ID "&amp;INDEX(Eingabe!$D$9:$D$18,I1822)&amp;", "&amp;K1822&amp;" Parzellen)",IF(J1822&lt;=K1822,"   Parzelle "&amp;J1822,IF(J1822=K1822+1,"   Vorstand",IF(J1822=K1822+2,"   Gäste",IF(J1822=K1822+3,"   Technik (Switches, Access Points)",""))))))</f>
        <v/>
      </c>
      <c r="B1822" s="0" t="str">
        <f aca="false">IF(I1822="","",IF(AND(J1822&gt;=1,J1822&lt;=K1822+3),IF(J1822&lt;=K1822,IF(J1822&lt;=99,IF((INDEX(Eingabe!$G$9:$G$18,I1822))&lt;=9,1000+(INDEX(Eingabe!$G$9:$G$18,I1822))*100,3000)+J1822,IF((INDEX(Eingabe!$G$9:$G$18,I1822)+1)&lt;=9,1000+(INDEX(Eingabe!$G$9:$G$18,I1822)+1)*100,3000)+J1822-100),IF(J1822=K1822+1,2000+INDEX(Eingabe!$G$9:$G$18,I1822)*10+1,IF(J1822=K1822+2,2000+INDEX(Eingabe!$G$9:$G$18,I1822)*10+2,2000+INDEX(Eingabe!$G$9:$G$18,I1822)*10+9))),""))</f>
        <v/>
      </c>
      <c r="C1822" s="0" t="str">
        <f aca="false">IF(I1822="","",IF(AND(J1822&gt;=1,J1822&lt;=K1822+3),"10."&amp;INDEX(Eingabe!$D$9:$D$18,I1822)&amp;"."&amp;IF(J1822&lt;=K1822,J1822,IF(J1822=K1822+1,200,IF(J1822=K1822+2,201,250)))&amp;".0/24",""))</f>
        <v/>
      </c>
      <c r="D1822" s="0" t="str">
        <f aca="false">IF(I1822="","",IF(AND(J1822&gt;=1,J1822&lt;=K1822+3),"255.255.255.0",""))</f>
        <v/>
      </c>
      <c r="E1822" s="0" t="str">
        <f aca="false">IF(I1822="","",IF(AND(J1822&gt;=1,J1822&lt;=K1822+3),"10."&amp;INDEX(Eingabe!$D$9:$D$18,I1822)&amp;"."&amp;IF(J1822&lt;=K1822,J1822,IF(J1822=K1822+1,200,IF(J1822=K1822+2,201,250)))&amp;".1",""))</f>
        <v/>
      </c>
      <c r="F1822" s="0" t="str">
        <f aca="false">IF(I1822="","",IF(AND(J1822&gt;=1,J1822&lt;=K1822+3),"10."&amp;INDEX(Eingabe!$D$9:$D$18,I1822)&amp;"."&amp;IF(J1822&lt;=K1822,J1822,IF(J1822=K1822+1,200,IF(J1822=K1822+2,201,250)))&amp;".10 – 10."&amp;INDEX(Eingabe!$D$9:$D$18,I1822)&amp;"."&amp;IF(J1822&lt;=K1822,J1822,IF(J1822=K1822+1,200,IF(J1822=K1822+2,201,250)))&amp;".250",""))</f>
        <v/>
      </c>
      <c r="G1822" s="0" t="str">
        <f aca="false">IF(I1822="","",IF(AND(J1822&gt;=1,J1822&lt;=K1822),Eingabe!$B$6&amp;"-"&amp;INDEX(Eingabe!$C$9:$C$18,I1822)&amp;"-Pächter  ·  Passwort Parzelle "&amp;J1822,IF(J1822=K1822+1,Eingabe!$B$6&amp;"-"&amp;INDEX(Eingabe!$C$9:$C$18,I1822)&amp;"-Vorstand  ·  eigenes WLAN",IF(J1822=K1822+2,Eingabe!$B$6&amp;"-"&amp;INDEX(Eingabe!$C$9:$C$18,I1822)&amp;"-Gäste  ·  Voucher",IF(J1822=K1822+3,"Kabel  ·  Access Point y = .(50+y), Mast-Switch x = .(10+x)","")))))</f>
        <v/>
      </c>
      <c r="I1822" s="0" t="str">
        <f aca="false">IF(1817&lt;=(Eingabe!$P$18+Eingabe!$Q$18-1),MATCH(1817,Eingabe!$P$9:$P$18,1),"")</f>
        <v/>
      </c>
      <c r="J1822" s="0" t="str">
        <f aca="false">IF(I1822="","",1817-INDEX(Eingabe!$P$9:$P$18,I1822))</f>
        <v/>
      </c>
      <c r="K1822" s="0" t="str">
        <f aca="false">IF(I1822="","",INDEX(Eingabe!$E$9:$E$18,I1822))</f>
        <v/>
      </c>
    </row>
    <row r="1823" customFormat="false" ht="15" hidden="false" customHeight="false" outlineLevel="0" collapsed="false">
      <c r="A1823" s="0" t="str">
        <f aca="false">IF(I1823="","",IF(J1823=0,"Sparte "&amp;I1823&amp;": "&amp;INDEX(Eingabe!$B$9:$B$18,I1823)&amp;"  (Sparten-ID "&amp;INDEX(Eingabe!$D$9:$D$18,I1823)&amp;", "&amp;K1823&amp;" Parzellen)",IF(J1823&lt;=K1823,"   Parzelle "&amp;J1823,IF(J1823=K1823+1,"   Vorstand",IF(J1823=K1823+2,"   Gäste",IF(J1823=K1823+3,"   Technik (Switches, Access Points)",""))))))</f>
        <v/>
      </c>
      <c r="B1823" s="0" t="str">
        <f aca="false">IF(I1823="","",IF(AND(J1823&gt;=1,J1823&lt;=K1823+3),IF(J1823&lt;=K1823,IF(J1823&lt;=99,IF((INDEX(Eingabe!$G$9:$G$18,I1823))&lt;=9,1000+(INDEX(Eingabe!$G$9:$G$18,I1823))*100,3000)+J1823,IF((INDEX(Eingabe!$G$9:$G$18,I1823)+1)&lt;=9,1000+(INDEX(Eingabe!$G$9:$G$18,I1823)+1)*100,3000)+J1823-100),IF(J1823=K1823+1,2000+INDEX(Eingabe!$G$9:$G$18,I1823)*10+1,IF(J1823=K1823+2,2000+INDEX(Eingabe!$G$9:$G$18,I1823)*10+2,2000+INDEX(Eingabe!$G$9:$G$18,I1823)*10+9))),""))</f>
        <v/>
      </c>
      <c r="C1823" s="0" t="str">
        <f aca="false">IF(I1823="","",IF(AND(J1823&gt;=1,J1823&lt;=K1823+3),"10."&amp;INDEX(Eingabe!$D$9:$D$18,I1823)&amp;"."&amp;IF(J1823&lt;=K1823,J1823,IF(J1823=K1823+1,200,IF(J1823=K1823+2,201,250)))&amp;".0/24",""))</f>
        <v/>
      </c>
      <c r="D1823" s="0" t="str">
        <f aca="false">IF(I1823="","",IF(AND(J1823&gt;=1,J1823&lt;=K1823+3),"255.255.255.0",""))</f>
        <v/>
      </c>
      <c r="E1823" s="0" t="str">
        <f aca="false">IF(I1823="","",IF(AND(J1823&gt;=1,J1823&lt;=K1823+3),"10."&amp;INDEX(Eingabe!$D$9:$D$18,I1823)&amp;"."&amp;IF(J1823&lt;=K1823,J1823,IF(J1823=K1823+1,200,IF(J1823=K1823+2,201,250)))&amp;".1",""))</f>
        <v/>
      </c>
      <c r="F1823" s="0" t="str">
        <f aca="false">IF(I1823="","",IF(AND(J1823&gt;=1,J1823&lt;=K1823+3),"10."&amp;INDEX(Eingabe!$D$9:$D$18,I1823)&amp;"."&amp;IF(J1823&lt;=K1823,J1823,IF(J1823=K1823+1,200,IF(J1823=K1823+2,201,250)))&amp;".10 – 10."&amp;INDEX(Eingabe!$D$9:$D$18,I1823)&amp;"."&amp;IF(J1823&lt;=K1823,J1823,IF(J1823=K1823+1,200,IF(J1823=K1823+2,201,250)))&amp;".250",""))</f>
        <v/>
      </c>
      <c r="G1823" s="0" t="str">
        <f aca="false">IF(I1823="","",IF(AND(J1823&gt;=1,J1823&lt;=K1823),Eingabe!$B$6&amp;"-"&amp;INDEX(Eingabe!$C$9:$C$18,I1823)&amp;"-Pächter  ·  Passwort Parzelle "&amp;J1823,IF(J1823=K1823+1,Eingabe!$B$6&amp;"-"&amp;INDEX(Eingabe!$C$9:$C$18,I1823)&amp;"-Vorstand  ·  eigenes WLAN",IF(J1823=K1823+2,Eingabe!$B$6&amp;"-"&amp;INDEX(Eingabe!$C$9:$C$18,I1823)&amp;"-Gäste  ·  Voucher",IF(J1823=K1823+3,"Kabel  ·  Access Point y = .(50+y), Mast-Switch x = .(10+x)","")))))</f>
        <v/>
      </c>
      <c r="I1823" s="0" t="str">
        <f aca="false">IF(1818&lt;=(Eingabe!$P$18+Eingabe!$Q$18-1),MATCH(1818,Eingabe!$P$9:$P$18,1),"")</f>
        <v/>
      </c>
      <c r="J1823" s="0" t="str">
        <f aca="false">IF(I1823="","",1818-INDEX(Eingabe!$P$9:$P$18,I1823))</f>
        <v/>
      </c>
      <c r="K1823" s="0" t="str">
        <f aca="false">IF(I1823="","",INDEX(Eingabe!$E$9:$E$18,I1823))</f>
        <v/>
      </c>
    </row>
    <row r="1824" customFormat="false" ht="15" hidden="false" customHeight="false" outlineLevel="0" collapsed="false">
      <c r="A1824" s="0" t="str">
        <f aca="false">IF(I1824="","",IF(J1824=0,"Sparte "&amp;I1824&amp;": "&amp;INDEX(Eingabe!$B$9:$B$18,I1824)&amp;"  (Sparten-ID "&amp;INDEX(Eingabe!$D$9:$D$18,I1824)&amp;", "&amp;K1824&amp;" Parzellen)",IF(J1824&lt;=K1824,"   Parzelle "&amp;J1824,IF(J1824=K1824+1,"   Vorstand",IF(J1824=K1824+2,"   Gäste",IF(J1824=K1824+3,"   Technik (Switches, Access Points)",""))))))</f>
        <v/>
      </c>
      <c r="B1824" s="0" t="str">
        <f aca="false">IF(I1824="","",IF(AND(J1824&gt;=1,J1824&lt;=K1824+3),IF(J1824&lt;=K1824,IF(J1824&lt;=99,IF((INDEX(Eingabe!$G$9:$G$18,I1824))&lt;=9,1000+(INDEX(Eingabe!$G$9:$G$18,I1824))*100,3000)+J1824,IF((INDEX(Eingabe!$G$9:$G$18,I1824)+1)&lt;=9,1000+(INDEX(Eingabe!$G$9:$G$18,I1824)+1)*100,3000)+J1824-100),IF(J1824=K1824+1,2000+INDEX(Eingabe!$G$9:$G$18,I1824)*10+1,IF(J1824=K1824+2,2000+INDEX(Eingabe!$G$9:$G$18,I1824)*10+2,2000+INDEX(Eingabe!$G$9:$G$18,I1824)*10+9))),""))</f>
        <v/>
      </c>
      <c r="C1824" s="0" t="str">
        <f aca="false">IF(I1824="","",IF(AND(J1824&gt;=1,J1824&lt;=K1824+3),"10."&amp;INDEX(Eingabe!$D$9:$D$18,I1824)&amp;"."&amp;IF(J1824&lt;=K1824,J1824,IF(J1824=K1824+1,200,IF(J1824=K1824+2,201,250)))&amp;".0/24",""))</f>
        <v/>
      </c>
      <c r="D1824" s="0" t="str">
        <f aca="false">IF(I1824="","",IF(AND(J1824&gt;=1,J1824&lt;=K1824+3),"255.255.255.0",""))</f>
        <v/>
      </c>
      <c r="E1824" s="0" t="str">
        <f aca="false">IF(I1824="","",IF(AND(J1824&gt;=1,J1824&lt;=K1824+3),"10."&amp;INDEX(Eingabe!$D$9:$D$18,I1824)&amp;"."&amp;IF(J1824&lt;=K1824,J1824,IF(J1824=K1824+1,200,IF(J1824=K1824+2,201,250)))&amp;".1",""))</f>
        <v/>
      </c>
      <c r="F1824" s="0" t="str">
        <f aca="false">IF(I1824="","",IF(AND(J1824&gt;=1,J1824&lt;=K1824+3),"10."&amp;INDEX(Eingabe!$D$9:$D$18,I1824)&amp;"."&amp;IF(J1824&lt;=K1824,J1824,IF(J1824=K1824+1,200,IF(J1824=K1824+2,201,250)))&amp;".10 – 10."&amp;INDEX(Eingabe!$D$9:$D$18,I1824)&amp;"."&amp;IF(J1824&lt;=K1824,J1824,IF(J1824=K1824+1,200,IF(J1824=K1824+2,201,250)))&amp;".250",""))</f>
        <v/>
      </c>
      <c r="G1824" s="0" t="str">
        <f aca="false">IF(I1824="","",IF(AND(J1824&gt;=1,J1824&lt;=K1824),Eingabe!$B$6&amp;"-"&amp;INDEX(Eingabe!$C$9:$C$18,I1824)&amp;"-Pächter  ·  Passwort Parzelle "&amp;J1824,IF(J1824=K1824+1,Eingabe!$B$6&amp;"-"&amp;INDEX(Eingabe!$C$9:$C$18,I1824)&amp;"-Vorstand  ·  eigenes WLAN",IF(J1824=K1824+2,Eingabe!$B$6&amp;"-"&amp;INDEX(Eingabe!$C$9:$C$18,I1824)&amp;"-Gäste  ·  Voucher",IF(J1824=K1824+3,"Kabel  ·  Access Point y = .(50+y), Mast-Switch x = .(10+x)","")))))</f>
        <v/>
      </c>
      <c r="I1824" s="0" t="str">
        <f aca="false">IF(1819&lt;=(Eingabe!$P$18+Eingabe!$Q$18-1),MATCH(1819,Eingabe!$P$9:$P$18,1),"")</f>
        <v/>
      </c>
      <c r="J1824" s="0" t="str">
        <f aca="false">IF(I1824="","",1819-INDEX(Eingabe!$P$9:$P$18,I1824))</f>
        <v/>
      </c>
      <c r="K1824" s="0" t="str">
        <f aca="false">IF(I1824="","",INDEX(Eingabe!$E$9:$E$18,I1824))</f>
        <v/>
      </c>
    </row>
    <row r="1825" customFormat="false" ht="15" hidden="false" customHeight="false" outlineLevel="0" collapsed="false">
      <c r="A1825" s="0" t="str">
        <f aca="false">IF(I1825="","",IF(J1825=0,"Sparte "&amp;I1825&amp;": "&amp;INDEX(Eingabe!$B$9:$B$18,I1825)&amp;"  (Sparten-ID "&amp;INDEX(Eingabe!$D$9:$D$18,I1825)&amp;", "&amp;K1825&amp;" Parzellen)",IF(J1825&lt;=K1825,"   Parzelle "&amp;J1825,IF(J1825=K1825+1,"   Vorstand",IF(J1825=K1825+2,"   Gäste",IF(J1825=K1825+3,"   Technik (Switches, Access Points)",""))))))</f>
        <v/>
      </c>
      <c r="B1825" s="0" t="str">
        <f aca="false">IF(I1825="","",IF(AND(J1825&gt;=1,J1825&lt;=K1825+3),IF(J1825&lt;=K1825,IF(J1825&lt;=99,IF((INDEX(Eingabe!$G$9:$G$18,I1825))&lt;=9,1000+(INDEX(Eingabe!$G$9:$G$18,I1825))*100,3000)+J1825,IF((INDEX(Eingabe!$G$9:$G$18,I1825)+1)&lt;=9,1000+(INDEX(Eingabe!$G$9:$G$18,I1825)+1)*100,3000)+J1825-100),IF(J1825=K1825+1,2000+INDEX(Eingabe!$G$9:$G$18,I1825)*10+1,IF(J1825=K1825+2,2000+INDEX(Eingabe!$G$9:$G$18,I1825)*10+2,2000+INDEX(Eingabe!$G$9:$G$18,I1825)*10+9))),""))</f>
        <v/>
      </c>
      <c r="C1825" s="0" t="str">
        <f aca="false">IF(I1825="","",IF(AND(J1825&gt;=1,J1825&lt;=K1825+3),"10."&amp;INDEX(Eingabe!$D$9:$D$18,I1825)&amp;"."&amp;IF(J1825&lt;=K1825,J1825,IF(J1825=K1825+1,200,IF(J1825=K1825+2,201,250)))&amp;".0/24",""))</f>
        <v/>
      </c>
      <c r="D1825" s="0" t="str">
        <f aca="false">IF(I1825="","",IF(AND(J1825&gt;=1,J1825&lt;=K1825+3),"255.255.255.0",""))</f>
        <v/>
      </c>
      <c r="E1825" s="0" t="str">
        <f aca="false">IF(I1825="","",IF(AND(J1825&gt;=1,J1825&lt;=K1825+3),"10."&amp;INDEX(Eingabe!$D$9:$D$18,I1825)&amp;"."&amp;IF(J1825&lt;=K1825,J1825,IF(J1825=K1825+1,200,IF(J1825=K1825+2,201,250)))&amp;".1",""))</f>
        <v/>
      </c>
      <c r="F1825" s="0" t="str">
        <f aca="false">IF(I1825="","",IF(AND(J1825&gt;=1,J1825&lt;=K1825+3),"10."&amp;INDEX(Eingabe!$D$9:$D$18,I1825)&amp;"."&amp;IF(J1825&lt;=K1825,J1825,IF(J1825=K1825+1,200,IF(J1825=K1825+2,201,250)))&amp;".10 – 10."&amp;INDEX(Eingabe!$D$9:$D$18,I1825)&amp;"."&amp;IF(J1825&lt;=K1825,J1825,IF(J1825=K1825+1,200,IF(J1825=K1825+2,201,250)))&amp;".250",""))</f>
        <v/>
      </c>
      <c r="G1825" s="0" t="str">
        <f aca="false">IF(I1825="","",IF(AND(J1825&gt;=1,J1825&lt;=K1825),Eingabe!$B$6&amp;"-"&amp;INDEX(Eingabe!$C$9:$C$18,I1825)&amp;"-Pächter  ·  Passwort Parzelle "&amp;J1825,IF(J1825=K1825+1,Eingabe!$B$6&amp;"-"&amp;INDEX(Eingabe!$C$9:$C$18,I1825)&amp;"-Vorstand  ·  eigenes WLAN",IF(J1825=K1825+2,Eingabe!$B$6&amp;"-"&amp;INDEX(Eingabe!$C$9:$C$18,I1825)&amp;"-Gäste  ·  Voucher",IF(J1825=K1825+3,"Kabel  ·  Access Point y = .(50+y), Mast-Switch x = .(10+x)","")))))</f>
        <v/>
      </c>
      <c r="I1825" s="0" t="str">
        <f aca="false">IF(1820&lt;=(Eingabe!$P$18+Eingabe!$Q$18-1),MATCH(1820,Eingabe!$P$9:$P$18,1),"")</f>
        <v/>
      </c>
      <c r="J1825" s="0" t="str">
        <f aca="false">IF(I1825="","",1820-INDEX(Eingabe!$P$9:$P$18,I1825))</f>
        <v/>
      </c>
      <c r="K1825" s="0" t="str">
        <f aca="false">IF(I1825="","",INDEX(Eingabe!$E$9:$E$18,I1825))</f>
        <v/>
      </c>
    </row>
    <row r="1826" customFormat="false" ht="15" hidden="false" customHeight="false" outlineLevel="0" collapsed="false">
      <c r="A1826" s="0" t="str">
        <f aca="false">IF(I1826="","",IF(J1826=0,"Sparte "&amp;I1826&amp;": "&amp;INDEX(Eingabe!$B$9:$B$18,I1826)&amp;"  (Sparten-ID "&amp;INDEX(Eingabe!$D$9:$D$18,I1826)&amp;", "&amp;K1826&amp;" Parzellen)",IF(J1826&lt;=K1826,"   Parzelle "&amp;J1826,IF(J1826=K1826+1,"   Vorstand",IF(J1826=K1826+2,"   Gäste",IF(J1826=K1826+3,"   Technik (Switches, Access Points)",""))))))</f>
        <v/>
      </c>
      <c r="B1826" s="0" t="str">
        <f aca="false">IF(I1826="","",IF(AND(J1826&gt;=1,J1826&lt;=K1826+3),IF(J1826&lt;=K1826,IF(J1826&lt;=99,IF((INDEX(Eingabe!$G$9:$G$18,I1826))&lt;=9,1000+(INDEX(Eingabe!$G$9:$G$18,I1826))*100,3000)+J1826,IF((INDEX(Eingabe!$G$9:$G$18,I1826)+1)&lt;=9,1000+(INDEX(Eingabe!$G$9:$G$18,I1826)+1)*100,3000)+J1826-100),IF(J1826=K1826+1,2000+INDEX(Eingabe!$G$9:$G$18,I1826)*10+1,IF(J1826=K1826+2,2000+INDEX(Eingabe!$G$9:$G$18,I1826)*10+2,2000+INDEX(Eingabe!$G$9:$G$18,I1826)*10+9))),""))</f>
        <v/>
      </c>
      <c r="C1826" s="0" t="str">
        <f aca="false">IF(I1826="","",IF(AND(J1826&gt;=1,J1826&lt;=K1826+3),"10."&amp;INDEX(Eingabe!$D$9:$D$18,I1826)&amp;"."&amp;IF(J1826&lt;=K1826,J1826,IF(J1826=K1826+1,200,IF(J1826=K1826+2,201,250)))&amp;".0/24",""))</f>
        <v/>
      </c>
      <c r="D1826" s="0" t="str">
        <f aca="false">IF(I1826="","",IF(AND(J1826&gt;=1,J1826&lt;=K1826+3),"255.255.255.0",""))</f>
        <v/>
      </c>
      <c r="E1826" s="0" t="str">
        <f aca="false">IF(I1826="","",IF(AND(J1826&gt;=1,J1826&lt;=K1826+3),"10."&amp;INDEX(Eingabe!$D$9:$D$18,I1826)&amp;"."&amp;IF(J1826&lt;=K1826,J1826,IF(J1826=K1826+1,200,IF(J1826=K1826+2,201,250)))&amp;".1",""))</f>
        <v/>
      </c>
      <c r="F1826" s="0" t="str">
        <f aca="false">IF(I1826="","",IF(AND(J1826&gt;=1,J1826&lt;=K1826+3),"10."&amp;INDEX(Eingabe!$D$9:$D$18,I1826)&amp;"."&amp;IF(J1826&lt;=K1826,J1826,IF(J1826=K1826+1,200,IF(J1826=K1826+2,201,250)))&amp;".10 – 10."&amp;INDEX(Eingabe!$D$9:$D$18,I1826)&amp;"."&amp;IF(J1826&lt;=K1826,J1826,IF(J1826=K1826+1,200,IF(J1826=K1826+2,201,250)))&amp;".250",""))</f>
        <v/>
      </c>
      <c r="G1826" s="0" t="str">
        <f aca="false">IF(I1826="","",IF(AND(J1826&gt;=1,J1826&lt;=K1826),Eingabe!$B$6&amp;"-"&amp;INDEX(Eingabe!$C$9:$C$18,I1826)&amp;"-Pächter  ·  Passwort Parzelle "&amp;J1826,IF(J1826=K1826+1,Eingabe!$B$6&amp;"-"&amp;INDEX(Eingabe!$C$9:$C$18,I1826)&amp;"-Vorstand  ·  eigenes WLAN",IF(J1826=K1826+2,Eingabe!$B$6&amp;"-"&amp;INDEX(Eingabe!$C$9:$C$18,I1826)&amp;"-Gäste  ·  Voucher",IF(J1826=K1826+3,"Kabel  ·  Access Point y = .(50+y), Mast-Switch x = .(10+x)","")))))</f>
        <v/>
      </c>
      <c r="I1826" s="0" t="str">
        <f aca="false">IF(1821&lt;=(Eingabe!$P$18+Eingabe!$Q$18-1),MATCH(1821,Eingabe!$P$9:$P$18,1),"")</f>
        <v/>
      </c>
      <c r="J1826" s="0" t="str">
        <f aca="false">IF(I1826="","",1821-INDEX(Eingabe!$P$9:$P$18,I1826))</f>
        <v/>
      </c>
      <c r="K1826" s="0" t="str">
        <f aca="false">IF(I1826="","",INDEX(Eingabe!$E$9:$E$18,I1826))</f>
        <v/>
      </c>
    </row>
    <row r="1827" customFormat="false" ht="15" hidden="false" customHeight="false" outlineLevel="0" collapsed="false">
      <c r="A1827" s="0" t="str">
        <f aca="false">IF(I1827="","",IF(J1827=0,"Sparte "&amp;I1827&amp;": "&amp;INDEX(Eingabe!$B$9:$B$18,I1827)&amp;"  (Sparten-ID "&amp;INDEX(Eingabe!$D$9:$D$18,I1827)&amp;", "&amp;K1827&amp;" Parzellen)",IF(J1827&lt;=K1827,"   Parzelle "&amp;J1827,IF(J1827=K1827+1,"   Vorstand",IF(J1827=K1827+2,"   Gäste",IF(J1827=K1827+3,"   Technik (Switches, Access Points)",""))))))</f>
        <v/>
      </c>
      <c r="B1827" s="0" t="str">
        <f aca="false">IF(I1827="","",IF(AND(J1827&gt;=1,J1827&lt;=K1827+3),IF(J1827&lt;=K1827,IF(J1827&lt;=99,IF((INDEX(Eingabe!$G$9:$G$18,I1827))&lt;=9,1000+(INDEX(Eingabe!$G$9:$G$18,I1827))*100,3000)+J1827,IF((INDEX(Eingabe!$G$9:$G$18,I1827)+1)&lt;=9,1000+(INDEX(Eingabe!$G$9:$G$18,I1827)+1)*100,3000)+J1827-100),IF(J1827=K1827+1,2000+INDEX(Eingabe!$G$9:$G$18,I1827)*10+1,IF(J1827=K1827+2,2000+INDEX(Eingabe!$G$9:$G$18,I1827)*10+2,2000+INDEX(Eingabe!$G$9:$G$18,I1827)*10+9))),""))</f>
        <v/>
      </c>
      <c r="C1827" s="0" t="str">
        <f aca="false">IF(I1827="","",IF(AND(J1827&gt;=1,J1827&lt;=K1827+3),"10."&amp;INDEX(Eingabe!$D$9:$D$18,I1827)&amp;"."&amp;IF(J1827&lt;=K1827,J1827,IF(J1827=K1827+1,200,IF(J1827=K1827+2,201,250)))&amp;".0/24",""))</f>
        <v/>
      </c>
      <c r="D1827" s="0" t="str">
        <f aca="false">IF(I1827="","",IF(AND(J1827&gt;=1,J1827&lt;=K1827+3),"255.255.255.0",""))</f>
        <v/>
      </c>
      <c r="E1827" s="0" t="str">
        <f aca="false">IF(I1827="","",IF(AND(J1827&gt;=1,J1827&lt;=K1827+3),"10."&amp;INDEX(Eingabe!$D$9:$D$18,I1827)&amp;"."&amp;IF(J1827&lt;=K1827,J1827,IF(J1827=K1827+1,200,IF(J1827=K1827+2,201,250)))&amp;".1",""))</f>
        <v/>
      </c>
      <c r="F1827" s="0" t="str">
        <f aca="false">IF(I1827="","",IF(AND(J1827&gt;=1,J1827&lt;=K1827+3),"10."&amp;INDEX(Eingabe!$D$9:$D$18,I1827)&amp;"."&amp;IF(J1827&lt;=K1827,J1827,IF(J1827=K1827+1,200,IF(J1827=K1827+2,201,250)))&amp;".10 – 10."&amp;INDEX(Eingabe!$D$9:$D$18,I1827)&amp;"."&amp;IF(J1827&lt;=K1827,J1827,IF(J1827=K1827+1,200,IF(J1827=K1827+2,201,250)))&amp;".250",""))</f>
        <v/>
      </c>
      <c r="G1827" s="0" t="str">
        <f aca="false">IF(I1827="","",IF(AND(J1827&gt;=1,J1827&lt;=K1827),Eingabe!$B$6&amp;"-"&amp;INDEX(Eingabe!$C$9:$C$18,I1827)&amp;"-Pächter  ·  Passwort Parzelle "&amp;J1827,IF(J1827=K1827+1,Eingabe!$B$6&amp;"-"&amp;INDEX(Eingabe!$C$9:$C$18,I1827)&amp;"-Vorstand  ·  eigenes WLAN",IF(J1827=K1827+2,Eingabe!$B$6&amp;"-"&amp;INDEX(Eingabe!$C$9:$C$18,I1827)&amp;"-Gäste  ·  Voucher",IF(J1827=K1827+3,"Kabel  ·  Access Point y = .(50+y), Mast-Switch x = .(10+x)","")))))</f>
        <v/>
      </c>
      <c r="I1827" s="0" t="str">
        <f aca="false">IF(1822&lt;=(Eingabe!$P$18+Eingabe!$Q$18-1),MATCH(1822,Eingabe!$P$9:$P$18,1),"")</f>
        <v/>
      </c>
      <c r="J1827" s="0" t="str">
        <f aca="false">IF(I1827="","",1822-INDEX(Eingabe!$P$9:$P$18,I1827))</f>
        <v/>
      </c>
      <c r="K1827" s="0" t="str">
        <f aca="false">IF(I1827="","",INDEX(Eingabe!$E$9:$E$18,I1827))</f>
        <v/>
      </c>
    </row>
    <row r="1828" customFormat="false" ht="15" hidden="false" customHeight="false" outlineLevel="0" collapsed="false">
      <c r="A1828" s="0" t="str">
        <f aca="false">IF(I1828="","",IF(J1828=0,"Sparte "&amp;I1828&amp;": "&amp;INDEX(Eingabe!$B$9:$B$18,I1828)&amp;"  (Sparten-ID "&amp;INDEX(Eingabe!$D$9:$D$18,I1828)&amp;", "&amp;K1828&amp;" Parzellen)",IF(J1828&lt;=K1828,"   Parzelle "&amp;J1828,IF(J1828=K1828+1,"   Vorstand",IF(J1828=K1828+2,"   Gäste",IF(J1828=K1828+3,"   Technik (Switches, Access Points)",""))))))</f>
        <v/>
      </c>
      <c r="B1828" s="0" t="str">
        <f aca="false">IF(I1828="","",IF(AND(J1828&gt;=1,J1828&lt;=K1828+3),IF(J1828&lt;=K1828,IF(J1828&lt;=99,IF((INDEX(Eingabe!$G$9:$G$18,I1828))&lt;=9,1000+(INDEX(Eingabe!$G$9:$G$18,I1828))*100,3000)+J1828,IF((INDEX(Eingabe!$G$9:$G$18,I1828)+1)&lt;=9,1000+(INDEX(Eingabe!$G$9:$G$18,I1828)+1)*100,3000)+J1828-100),IF(J1828=K1828+1,2000+INDEX(Eingabe!$G$9:$G$18,I1828)*10+1,IF(J1828=K1828+2,2000+INDEX(Eingabe!$G$9:$G$18,I1828)*10+2,2000+INDEX(Eingabe!$G$9:$G$18,I1828)*10+9))),""))</f>
        <v/>
      </c>
      <c r="C1828" s="0" t="str">
        <f aca="false">IF(I1828="","",IF(AND(J1828&gt;=1,J1828&lt;=K1828+3),"10."&amp;INDEX(Eingabe!$D$9:$D$18,I1828)&amp;"."&amp;IF(J1828&lt;=K1828,J1828,IF(J1828=K1828+1,200,IF(J1828=K1828+2,201,250)))&amp;".0/24",""))</f>
        <v/>
      </c>
      <c r="D1828" s="0" t="str">
        <f aca="false">IF(I1828="","",IF(AND(J1828&gt;=1,J1828&lt;=K1828+3),"255.255.255.0",""))</f>
        <v/>
      </c>
      <c r="E1828" s="0" t="str">
        <f aca="false">IF(I1828="","",IF(AND(J1828&gt;=1,J1828&lt;=K1828+3),"10."&amp;INDEX(Eingabe!$D$9:$D$18,I1828)&amp;"."&amp;IF(J1828&lt;=K1828,J1828,IF(J1828=K1828+1,200,IF(J1828=K1828+2,201,250)))&amp;".1",""))</f>
        <v/>
      </c>
      <c r="F1828" s="0" t="str">
        <f aca="false">IF(I1828="","",IF(AND(J1828&gt;=1,J1828&lt;=K1828+3),"10."&amp;INDEX(Eingabe!$D$9:$D$18,I1828)&amp;"."&amp;IF(J1828&lt;=K1828,J1828,IF(J1828=K1828+1,200,IF(J1828=K1828+2,201,250)))&amp;".10 – 10."&amp;INDEX(Eingabe!$D$9:$D$18,I1828)&amp;"."&amp;IF(J1828&lt;=K1828,J1828,IF(J1828=K1828+1,200,IF(J1828=K1828+2,201,250)))&amp;".250",""))</f>
        <v/>
      </c>
      <c r="G1828" s="0" t="str">
        <f aca="false">IF(I1828="","",IF(AND(J1828&gt;=1,J1828&lt;=K1828),Eingabe!$B$6&amp;"-"&amp;INDEX(Eingabe!$C$9:$C$18,I1828)&amp;"-Pächter  ·  Passwort Parzelle "&amp;J1828,IF(J1828=K1828+1,Eingabe!$B$6&amp;"-"&amp;INDEX(Eingabe!$C$9:$C$18,I1828)&amp;"-Vorstand  ·  eigenes WLAN",IF(J1828=K1828+2,Eingabe!$B$6&amp;"-"&amp;INDEX(Eingabe!$C$9:$C$18,I1828)&amp;"-Gäste  ·  Voucher",IF(J1828=K1828+3,"Kabel  ·  Access Point y = .(50+y), Mast-Switch x = .(10+x)","")))))</f>
        <v/>
      </c>
      <c r="I1828" s="0" t="str">
        <f aca="false">IF(1823&lt;=(Eingabe!$P$18+Eingabe!$Q$18-1),MATCH(1823,Eingabe!$P$9:$P$18,1),"")</f>
        <v/>
      </c>
      <c r="J1828" s="0" t="str">
        <f aca="false">IF(I1828="","",1823-INDEX(Eingabe!$P$9:$P$18,I1828))</f>
        <v/>
      </c>
      <c r="K1828" s="0" t="str">
        <f aca="false">IF(I1828="","",INDEX(Eingabe!$E$9:$E$18,I1828))</f>
        <v/>
      </c>
    </row>
    <row r="1829" customFormat="false" ht="15" hidden="false" customHeight="false" outlineLevel="0" collapsed="false">
      <c r="A1829" s="0" t="str">
        <f aca="false">IF(I1829="","",IF(J1829=0,"Sparte "&amp;I1829&amp;": "&amp;INDEX(Eingabe!$B$9:$B$18,I1829)&amp;"  (Sparten-ID "&amp;INDEX(Eingabe!$D$9:$D$18,I1829)&amp;", "&amp;K1829&amp;" Parzellen)",IF(J1829&lt;=K1829,"   Parzelle "&amp;J1829,IF(J1829=K1829+1,"   Vorstand",IF(J1829=K1829+2,"   Gäste",IF(J1829=K1829+3,"   Technik (Switches, Access Points)",""))))))</f>
        <v/>
      </c>
      <c r="B1829" s="0" t="str">
        <f aca="false">IF(I1829="","",IF(AND(J1829&gt;=1,J1829&lt;=K1829+3),IF(J1829&lt;=K1829,IF(J1829&lt;=99,IF((INDEX(Eingabe!$G$9:$G$18,I1829))&lt;=9,1000+(INDEX(Eingabe!$G$9:$G$18,I1829))*100,3000)+J1829,IF((INDEX(Eingabe!$G$9:$G$18,I1829)+1)&lt;=9,1000+(INDEX(Eingabe!$G$9:$G$18,I1829)+1)*100,3000)+J1829-100),IF(J1829=K1829+1,2000+INDEX(Eingabe!$G$9:$G$18,I1829)*10+1,IF(J1829=K1829+2,2000+INDEX(Eingabe!$G$9:$G$18,I1829)*10+2,2000+INDEX(Eingabe!$G$9:$G$18,I1829)*10+9))),""))</f>
        <v/>
      </c>
      <c r="C1829" s="0" t="str">
        <f aca="false">IF(I1829="","",IF(AND(J1829&gt;=1,J1829&lt;=K1829+3),"10."&amp;INDEX(Eingabe!$D$9:$D$18,I1829)&amp;"."&amp;IF(J1829&lt;=K1829,J1829,IF(J1829=K1829+1,200,IF(J1829=K1829+2,201,250)))&amp;".0/24",""))</f>
        <v/>
      </c>
      <c r="D1829" s="0" t="str">
        <f aca="false">IF(I1829="","",IF(AND(J1829&gt;=1,J1829&lt;=K1829+3),"255.255.255.0",""))</f>
        <v/>
      </c>
      <c r="E1829" s="0" t="str">
        <f aca="false">IF(I1829="","",IF(AND(J1829&gt;=1,J1829&lt;=K1829+3),"10."&amp;INDEX(Eingabe!$D$9:$D$18,I1829)&amp;"."&amp;IF(J1829&lt;=K1829,J1829,IF(J1829=K1829+1,200,IF(J1829=K1829+2,201,250)))&amp;".1",""))</f>
        <v/>
      </c>
      <c r="F1829" s="0" t="str">
        <f aca="false">IF(I1829="","",IF(AND(J1829&gt;=1,J1829&lt;=K1829+3),"10."&amp;INDEX(Eingabe!$D$9:$D$18,I1829)&amp;"."&amp;IF(J1829&lt;=K1829,J1829,IF(J1829=K1829+1,200,IF(J1829=K1829+2,201,250)))&amp;".10 – 10."&amp;INDEX(Eingabe!$D$9:$D$18,I1829)&amp;"."&amp;IF(J1829&lt;=K1829,J1829,IF(J1829=K1829+1,200,IF(J1829=K1829+2,201,250)))&amp;".250",""))</f>
        <v/>
      </c>
      <c r="G1829" s="0" t="str">
        <f aca="false">IF(I1829="","",IF(AND(J1829&gt;=1,J1829&lt;=K1829),Eingabe!$B$6&amp;"-"&amp;INDEX(Eingabe!$C$9:$C$18,I1829)&amp;"-Pächter  ·  Passwort Parzelle "&amp;J1829,IF(J1829=K1829+1,Eingabe!$B$6&amp;"-"&amp;INDEX(Eingabe!$C$9:$C$18,I1829)&amp;"-Vorstand  ·  eigenes WLAN",IF(J1829=K1829+2,Eingabe!$B$6&amp;"-"&amp;INDEX(Eingabe!$C$9:$C$18,I1829)&amp;"-Gäste  ·  Voucher",IF(J1829=K1829+3,"Kabel  ·  Access Point y = .(50+y), Mast-Switch x = .(10+x)","")))))</f>
        <v/>
      </c>
      <c r="I1829" s="0" t="str">
        <f aca="false">IF(1824&lt;=(Eingabe!$P$18+Eingabe!$Q$18-1),MATCH(1824,Eingabe!$P$9:$P$18,1),"")</f>
        <v/>
      </c>
      <c r="J1829" s="0" t="str">
        <f aca="false">IF(I1829="","",1824-INDEX(Eingabe!$P$9:$P$18,I1829))</f>
        <v/>
      </c>
      <c r="K1829" s="0" t="str">
        <f aca="false">IF(I1829="","",INDEX(Eingabe!$E$9:$E$18,I1829))</f>
        <v/>
      </c>
    </row>
    <row r="1830" customFormat="false" ht="15" hidden="false" customHeight="false" outlineLevel="0" collapsed="false">
      <c r="A1830" s="0" t="str">
        <f aca="false">IF(I1830="","",IF(J1830=0,"Sparte "&amp;I1830&amp;": "&amp;INDEX(Eingabe!$B$9:$B$18,I1830)&amp;"  (Sparten-ID "&amp;INDEX(Eingabe!$D$9:$D$18,I1830)&amp;", "&amp;K1830&amp;" Parzellen)",IF(J1830&lt;=K1830,"   Parzelle "&amp;J1830,IF(J1830=K1830+1,"   Vorstand",IF(J1830=K1830+2,"   Gäste",IF(J1830=K1830+3,"   Technik (Switches, Access Points)",""))))))</f>
        <v/>
      </c>
      <c r="B1830" s="0" t="str">
        <f aca="false">IF(I1830="","",IF(AND(J1830&gt;=1,J1830&lt;=K1830+3),IF(J1830&lt;=K1830,IF(J1830&lt;=99,IF((INDEX(Eingabe!$G$9:$G$18,I1830))&lt;=9,1000+(INDEX(Eingabe!$G$9:$G$18,I1830))*100,3000)+J1830,IF((INDEX(Eingabe!$G$9:$G$18,I1830)+1)&lt;=9,1000+(INDEX(Eingabe!$G$9:$G$18,I1830)+1)*100,3000)+J1830-100),IF(J1830=K1830+1,2000+INDEX(Eingabe!$G$9:$G$18,I1830)*10+1,IF(J1830=K1830+2,2000+INDEX(Eingabe!$G$9:$G$18,I1830)*10+2,2000+INDEX(Eingabe!$G$9:$G$18,I1830)*10+9))),""))</f>
        <v/>
      </c>
      <c r="C1830" s="0" t="str">
        <f aca="false">IF(I1830="","",IF(AND(J1830&gt;=1,J1830&lt;=K1830+3),"10."&amp;INDEX(Eingabe!$D$9:$D$18,I1830)&amp;"."&amp;IF(J1830&lt;=K1830,J1830,IF(J1830=K1830+1,200,IF(J1830=K1830+2,201,250)))&amp;".0/24",""))</f>
        <v/>
      </c>
      <c r="D1830" s="0" t="str">
        <f aca="false">IF(I1830="","",IF(AND(J1830&gt;=1,J1830&lt;=K1830+3),"255.255.255.0",""))</f>
        <v/>
      </c>
      <c r="E1830" s="0" t="str">
        <f aca="false">IF(I1830="","",IF(AND(J1830&gt;=1,J1830&lt;=K1830+3),"10."&amp;INDEX(Eingabe!$D$9:$D$18,I1830)&amp;"."&amp;IF(J1830&lt;=K1830,J1830,IF(J1830=K1830+1,200,IF(J1830=K1830+2,201,250)))&amp;".1",""))</f>
        <v/>
      </c>
      <c r="F1830" s="0" t="str">
        <f aca="false">IF(I1830="","",IF(AND(J1830&gt;=1,J1830&lt;=K1830+3),"10."&amp;INDEX(Eingabe!$D$9:$D$18,I1830)&amp;"."&amp;IF(J1830&lt;=K1830,J1830,IF(J1830=K1830+1,200,IF(J1830=K1830+2,201,250)))&amp;".10 – 10."&amp;INDEX(Eingabe!$D$9:$D$18,I1830)&amp;"."&amp;IF(J1830&lt;=K1830,J1830,IF(J1830=K1830+1,200,IF(J1830=K1830+2,201,250)))&amp;".250",""))</f>
        <v/>
      </c>
      <c r="G1830" s="0" t="str">
        <f aca="false">IF(I1830="","",IF(AND(J1830&gt;=1,J1830&lt;=K1830),Eingabe!$B$6&amp;"-"&amp;INDEX(Eingabe!$C$9:$C$18,I1830)&amp;"-Pächter  ·  Passwort Parzelle "&amp;J1830,IF(J1830=K1830+1,Eingabe!$B$6&amp;"-"&amp;INDEX(Eingabe!$C$9:$C$18,I1830)&amp;"-Vorstand  ·  eigenes WLAN",IF(J1830=K1830+2,Eingabe!$B$6&amp;"-"&amp;INDEX(Eingabe!$C$9:$C$18,I1830)&amp;"-Gäste  ·  Voucher",IF(J1830=K1830+3,"Kabel  ·  Access Point y = .(50+y), Mast-Switch x = .(10+x)","")))))</f>
        <v/>
      </c>
      <c r="I1830" s="0" t="str">
        <f aca="false">IF(1825&lt;=(Eingabe!$P$18+Eingabe!$Q$18-1),MATCH(1825,Eingabe!$P$9:$P$18,1),"")</f>
        <v/>
      </c>
      <c r="J1830" s="0" t="str">
        <f aca="false">IF(I1830="","",1825-INDEX(Eingabe!$P$9:$P$18,I1830))</f>
        <v/>
      </c>
      <c r="K1830" s="0" t="str">
        <f aca="false">IF(I1830="","",INDEX(Eingabe!$E$9:$E$18,I1830))</f>
        <v/>
      </c>
    </row>
    <row r="1831" customFormat="false" ht="15" hidden="false" customHeight="false" outlineLevel="0" collapsed="false">
      <c r="A1831" s="0" t="str">
        <f aca="false">IF(I1831="","",IF(J1831=0,"Sparte "&amp;I1831&amp;": "&amp;INDEX(Eingabe!$B$9:$B$18,I1831)&amp;"  (Sparten-ID "&amp;INDEX(Eingabe!$D$9:$D$18,I1831)&amp;", "&amp;K1831&amp;" Parzellen)",IF(J1831&lt;=K1831,"   Parzelle "&amp;J1831,IF(J1831=K1831+1,"   Vorstand",IF(J1831=K1831+2,"   Gäste",IF(J1831=K1831+3,"   Technik (Switches, Access Points)",""))))))</f>
        <v/>
      </c>
      <c r="B1831" s="0" t="str">
        <f aca="false">IF(I1831="","",IF(AND(J1831&gt;=1,J1831&lt;=K1831+3),IF(J1831&lt;=K1831,IF(J1831&lt;=99,IF((INDEX(Eingabe!$G$9:$G$18,I1831))&lt;=9,1000+(INDEX(Eingabe!$G$9:$G$18,I1831))*100,3000)+J1831,IF((INDEX(Eingabe!$G$9:$G$18,I1831)+1)&lt;=9,1000+(INDEX(Eingabe!$G$9:$G$18,I1831)+1)*100,3000)+J1831-100),IF(J1831=K1831+1,2000+INDEX(Eingabe!$G$9:$G$18,I1831)*10+1,IF(J1831=K1831+2,2000+INDEX(Eingabe!$G$9:$G$18,I1831)*10+2,2000+INDEX(Eingabe!$G$9:$G$18,I1831)*10+9))),""))</f>
        <v/>
      </c>
      <c r="C1831" s="0" t="str">
        <f aca="false">IF(I1831="","",IF(AND(J1831&gt;=1,J1831&lt;=K1831+3),"10."&amp;INDEX(Eingabe!$D$9:$D$18,I1831)&amp;"."&amp;IF(J1831&lt;=K1831,J1831,IF(J1831=K1831+1,200,IF(J1831=K1831+2,201,250)))&amp;".0/24",""))</f>
        <v/>
      </c>
      <c r="D1831" s="0" t="str">
        <f aca="false">IF(I1831="","",IF(AND(J1831&gt;=1,J1831&lt;=K1831+3),"255.255.255.0",""))</f>
        <v/>
      </c>
      <c r="E1831" s="0" t="str">
        <f aca="false">IF(I1831="","",IF(AND(J1831&gt;=1,J1831&lt;=K1831+3),"10."&amp;INDEX(Eingabe!$D$9:$D$18,I1831)&amp;"."&amp;IF(J1831&lt;=K1831,J1831,IF(J1831=K1831+1,200,IF(J1831=K1831+2,201,250)))&amp;".1",""))</f>
        <v/>
      </c>
      <c r="F1831" s="0" t="str">
        <f aca="false">IF(I1831="","",IF(AND(J1831&gt;=1,J1831&lt;=K1831+3),"10."&amp;INDEX(Eingabe!$D$9:$D$18,I1831)&amp;"."&amp;IF(J1831&lt;=K1831,J1831,IF(J1831=K1831+1,200,IF(J1831=K1831+2,201,250)))&amp;".10 – 10."&amp;INDEX(Eingabe!$D$9:$D$18,I1831)&amp;"."&amp;IF(J1831&lt;=K1831,J1831,IF(J1831=K1831+1,200,IF(J1831=K1831+2,201,250)))&amp;".250",""))</f>
        <v/>
      </c>
      <c r="G1831" s="0" t="str">
        <f aca="false">IF(I1831="","",IF(AND(J1831&gt;=1,J1831&lt;=K1831),Eingabe!$B$6&amp;"-"&amp;INDEX(Eingabe!$C$9:$C$18,I1831)&amp;"-Pächter  ·  Passwort Parzelle "&amp;J1831,IF(J1831=K1831+1,Eingabe!$B$6&amp;"-"&amp;INDEX(Eingabe!$C$9:$C$18,I1831)&amp;"-Vorstand  ·  eigenes WLAN",IF(J1831=K1831+2,Eingabe!$B$6&amp;"-"&amp;INDEX(Eingabe!$C$9:$C$18,I1831)&amp;"-Gäste  ·  Voucher",IF(J1831=K1831+3,"Kabel  ·  Access Point y = .(50+y), Mast-Switch x = .(10+x)","")))))</f>
        <v/>
      </c>
      <c r="I1831" s="0" t="str">
        <f aca="false">IF(1826&lt;=(Eingabe!$P$18+Eingabe!$Q$18-1),MATCH(1826,Eingabe!$P$9:$P$18,1),"")</f>
        <v/>
      </c>
      <c r="J1831" s="0" t="str">
        <f aca="false">IF(I1831="","",1826-INDEX(Eingabe!$P$9:$P$18,I1831))</f>
        <v/>
      </c>
      <c r="K1831" s="0" t="str">
        <f aca="false">IF(I1831="","",INDEX(Eingabe!$E$9:$E$18,I1831))</f>
        <v/>
      </c>
    </row>
    <row r="1832" customFormat="false" ht="15" hidden="false" customHeight="false" outlineLevel="0" collapsed="false">
      <c r="A1832" s="0" t="str">
        <f aca="false">IF(I1832="","",IF(J1832=0,"Sparte "&amp;I1832&amp;": "&amp;INDEX(Eingabe!$B$9:$B$18,I1832)&amp;"  (Sparten-ID "&amp;INDEX(Eingabe!$D$9:$D$18,I1832)&amp;", "&amp;K1832&amp;" Parzellen)",IF(J1832&lt;=K1832,"   Parzelle "&amp;J1832,IF(J1832=K1832+1,"   Vorstand",IF(J1832=K1832+2,"   Gäste",IF(J1832=K1832+3,"   Technik (Switches, Access Points)",""))))))</f>
        <v/>
      </c>
      <c r="B1832" s="0" t="str">
        <f aca="false">IF(I1832="","",IF(AND(J1832&gt;=1,J1832&lt;=K1832+3),IF(J1832&lt;=K1832,IF(J1832&lt;=99,IF((INDEX(Eingabe!$G$9:$G$18,I1832))&lt;=9,1000+(INDEX(Eingabe!$G$9:$G$18,I1832))*100,3000)+J1832,IF((INDEX(Eingabe!$G$9:$G$18,I1832)+1)&lt;=9,1000+(INDEX(Eingabe!$G$9:$G$18,I1832)+1)*100,3000)+J1832-100),IF(J1832=K1832+1,2000+INDEX(Eingabe!$G$9:$G$18,I1832)*10+1,IF(J1832=K1832+2,2000+INDEX(Eingabe!$G$9:$G$18,I1832)*10+2,2000+INDEX(Eingabe!$G$9:$G$18,I1832)*10+9))),""))</f>
        <v/>
      </c>
      <c r="C1832" s="0" t="str">
        <f aca="false">IF(I1832="","",IF(AND(J1832&gt;=1,J1832&lt;=K1832+3),"10."&amp;INDEX(Eingabe!$D$9:$D$18,I1832)&amp;"."&amp;IF(J1832&lt;=K1832,J1832,IF(J1832=K1832+1,200,IF(J1832=K1832+2,201,250)))&amp;".0/24",""))</f>
        <v/>
      </c>
      <c r="D1832" s="0" t="str">
        <f aca="false">IF(I1832="","",IF(AND(J1832&gt;=1,J1832&lt;=K1832+3),"255.255.255.0",""))</f>
        <v/>
      </c>
      <c r="E1832" s="0" t="str">
        <f aca="false">IF(I1832="","",IF(AND(J1832&gt;=1,J1832&lt;=K1832+3),"10."&amp;INDEX(Eingabe!$D$9:$D$18,I1832)&amp;"."&amp;IF(J1832&lt;=K1832,J1832,IF(J1832=K1832+1,200,IF(J1832=K1832+2,201,250)))&amp;".1",""))</f>
        <v/>
      </c>
      <c r="F1832" s="0" t="str">
        <f aca="false">IF(I1832="","",IF(AND(J1832&gt;=1,J1832&lt;=K1832+3),"10."&amp;INDEX(Eingabe!$D$9:$D$18,I1832)&amp;"."&amp;IF(J1832&lt;=K1832,J1832,IF(J1832=K1832+1,200,IF(J1832=K1832+2,201,250)))&amp;".10 – 10."&amp;INDEX(Eingabe!$D$9:$D$18,I1832)&amp;"."&amp;IF(J1832&lt;=K1832,J1832,IF(J1832=K1832+1,200,IF(J1832=K1832+2,201,250)))&amp;".250",""))</f>
        <v/>
      </c>
      <c r="G1832" s="0" t="str">
        <f aca="false">IF(I1832="","",IF(AND(J1832&gt;=1,J1832&lt;=K1832),Eingabe!$B$6&amp;"-"&amp;INDEX(Eingabe!$C$9:$C$18,I1832)&amp;"-Pächter  ·  Passwort Parzelle "&amp;J1832,IF(J1832=K1832+1,Eingabe!$B$6&amp;"-"&amp;INDEX(Eingabe!$C$9:$C$18,I1832)&amp;"-Vorstand  ·  eigenes WLAN",IF(J1832=K1832+2,Eingabe!$B$6&amp;"-"&amp;INDEX(Eingabe!$C$9:$C$18,I1832)&amp;"-Gäste  ·  Voucher",IF(J1832=K1832+3,"Kabel  ·  Access Point y = .(50+y), Mast-Switch x = .(10+x)","")))))</f>
        <v/>
      </c>
      <c r="I1832" s="0" t="str">
        <f aca="false">IF(1827&lt;=(Eingabe!$P$18+Eingabe!$Q$18-1),MATCH(1827,Eingabe!$P$9:$P$18,1),"")</f>
        <v/>
      </c>
      <c r="J1832" s="0" t="str">
        <f aca="false">IF(I1832="","",1827-INDEX(Eingabe!$P$9:$P$18,I1832))</f>
        <v/>
      </c>
      <c r="K1832" s="0" t="str">
        <f aca="false">IF(I1832="","",INDEX(Eingabe!$E$9:$E$18,I1832))</f>
        <v/>
      </c>
    </row>
    <row r="1833" customFormat="false" ht="15" hidden="false" customHeight="false" outlineLevel="0" collapsed="false">
      <c r="A1833" s="0" t="str">
        <f aca="false">IF(I1833="","",IF(J1833=0,"Sparte "&amp;I1833&amp;": "&amp;INDEX(Eingabe!$B$9:$B$18,I1833)&amp;"  (Sparten-ID "&amp;INDEX(Eingabe!$D$9:$D$18,I1833)&amp;", "&amp;K1833&amp;" Parzellen)",IF(J1833&lt;=K1833,"   Parzelle "&amp;J1833,IF(J1833=K1833+1,"   Vorstand",IF(J1833=K1833+2,"   Gäste",IF(J1833=K1833+3,"   Technik (Switches, Access Points)",""))))))</f>
        <v/>
      </c>
      <c r="B1833" s="0" t="str">
        <f aca="false">IF(I1833="","",IF(AND(J1833&gt;=1,J1833&lt;=K1833+3),IF(J1833&lt;=K1833,IF(J1833&lt;=99,IF((INDEX(Eingabe!$G$9:$G$18,I1833))&lt;=9,1000+(INDEX(Eingabe!$G$9:$G$18,I1833))*100,3000)+J1833,IF((INDEX(Eingabe!$G$9:$G$18,I1833)+1)&lt;=9,1000+(INDEX(Eingabe!$G$9:$G$18,I1833)+1)*100,3000)+J1833-100),IF(J1833=K1833+1,2000+INDEX(Eingabe!$G$9:$G$18,I1833)*10+1,IF(J1833=K1833+2,2000+INDEX(Eingabe!$G$9:$G$18,I1833)*10+2,2000+INDEX(Eingabe!$G$9:$G$18,I1833)*10+9))),""))</f>
        <v/>
      </c>
      <c r="C1833" s="0" t="str">
        <f aca="false">IF(I1833="","",IF(AND(J1833&gt;=1,J1833&lt;=K1833+3),"10."&amp;INDEX(Eingabe!$D$9:$D$18,I1833)&amp;"."&amp;IF(J1833&lt;=K1833,J1833,IF(J1833=K1833+1,200,IF(J1833=K1833+2,201,250)))&amp;".0/24",""))</f>
        <v/>
      </c>
      <c r="D1833" s="0" t="str">
        <f aca="false">IF(I1833="","",IF(AND(J1833&gt;=1,J1833&lt;=K1833+3),"255.255.255.0",""))</f>
        <v/>
      </c>
      <c r="E1833" s="0" t="str">
        <f aca="false">IF(I1833="","",IF(AND(J1833&gt;=1,J1833&lt;=K1833+3),"10."&amp;INDEX(Eingabe!$D$9:$D$18,I1833)&amp;"."&amp;IF(J1833&lt;=K1833,J1833,IF(J1833=K1833+1,200,IF(J1833=K1833+2,201,250)))&amp;".1",""))</f>
        <v/>
      </c>
      <c r="F1833" s="0" t="str">
        <f aca="false">IF(I1833="","",IF(AND(J1833&gt;=1,J1833&lt;=K1833+3),"10."&amp;INDEX(Eingabe!$D$9:$D$18,I1833)&amp;"."&amp;IF(J1833&lt;=K1833,J1833,IF(J1833=K1833+1,200,IF(J1833=K1833+2,201,250)))&amp;".10 – 10."&amp;INDEX(Eingabe!$D$9:$D$18,I1833)&amp;"."&amp;IF(J1833&lt;=K1833,J1833,IF(J1833=K1833+1,200,IF(J1833=K1833+2,201,250)))&amp;".250",""))</f>
        <v/>
      </c>
      <c r="G1833" s="0" t="str">
        <f aca="false">IF(I1833="","",IF(AND(J1833&gt;=1,J1833&lt;=K1833),Eingabe!$B$6&amp;"-"&amp;INDEX(Eingabe!$C$9:$C$18,I1833)&amp;"-Pächter  ·  Passwort Parzelle "&amp;J1833,IF(J1833=K1833+1,Eingabe!$B$6&amp;"-"&amp;INDEX(Eingabe!$C$9:$C$18,I1833)&amp;"-Vorstand  ·  eigenes WLAN",IF(J1833=K1833+2,Eingabe!$B$6&amp;"-"&amp;INDEX(Eingabe!$C$9:$C$18,I1833)&amp;"-Gäste  ·  Voucher",IF(J1833=K1833+3,"Kabel  ·  Access Point y = .(50+y), Mast-Switch x = .(10+x)","")))))</f>
        <v/>
      </c>
      <c r="I1833" s="0" t="str">
        <f aca="false">IF(1828&lt;=(Eingabe!$P$18+Eingabe!$Q$18-1),MATCH(1828,Eingabe!$P$9:$P$18,1),"")</f>
        <v/>
      </c>
      <c r="J1833" s="0" t="str">
        <f aca="false">IF(I1833="","",1828-INDEX(Eingabe!$P$9:$P$18,I1833))</f>
        <v/>
      </c>
      <c r="K1833" s="0" t="str">
        <f aca="false">IF(I1833="","",INDEX(Eingabe!$E$9:$E$18,I1833))</f>
        <v/>
      </c>
    </row>
    <row r="1834" customFormat="false" ht="15" hidden="false" customHeight="false" outlineLevel="0" collapsed="false">
      <c r="A1834" s="0" t="str">
        <f aca="false">IF(I1834="","",IF(J1834=0,"Sparte "&amp;I1834&amp;": "&amp;INDEX(Eingabe!$B$9:$B$18,I1834)&amp;"  (Sparten-ID "&amp;INDEX(Eingabe!$D$9:$D$18,I1834)&amp;", "&amp;K1834&amp;" Parzellen)",IF(J1834&lt;=K1834,"   Parzelle "&amp;J1834,IF(J1834=K1834+1,"   Vorstand",IF(J1834=K1834+2,"   Gäste",IF(J1834=K1834+3,"   Technik (Switches, Access Points)",""))))))</f>
        <v/>
      </c>
      <c r="B1834" s="0" t="str">
        <f aca="false">IF(I1834="","",IF(AND(J1834&gt;=1,J1834&lt;=K1834+3),IF(J1834&lt;=K1834,IF(J1834&lt;=99,IF((INDEX(Eingabe!$G$9:$G$18,I1834))&lt;=9,1000+(INDEX(Eingabe!$G$9:$G$18,I1834))*100,3000)+J1834,IF((INDEX(Eingabe!$G$9:$G$18,I1834)+1)&lt;=9,1000+(INDEX(Eingabe!$G$9:$G$18,I1834)+1)*100,3000)+J1834-100),IF(J1834=K1834+1,2000+INDEX(Eingabe!$G$9:$G$18,I1834)*10+1,IF(J1834=K1834+2,2000+INDEX(Eingabe!$G$9:$G$18,I1834)*10+2,2000+INDEX(Eingabe!$G$9:$G$18,I1834)*10+9))),""))</f>
        <v/>
      </c>
      <c r="C1834" s="0" t="str">
        <f aca="false">IF(I1834="","",IF(AND(J1834&gt;=1,J1834&lt;=K1834+3),"10."&amp;INDEX(Eingabe!$D$9:$D$18,I1834)&amp;"."&amp;IF(J1834&lt;=K1834,J1834,IF(J1834=K1834+1,200,IF(J1834=K1834+2,201,250)))&amp;".0/24",""))</f>
        <v/>
      </c>
      <c r="D1834" s="0" t="str">
        <f aca="false">IF(I1834="","",IF(AND(J1834&gt;=1,J1834&lt;=K1834+3),"255.255.255.0",""))</f>
        <v/>
      </c>
      <c r="E1834" s="0" t="str">
        <f aca="false">IF(I1834="","",IF(AND(J1834&gt;=1,J1834&lt;=K1834+3),"10."&amp;INDEX(Eingabe!$D$9:$D$18,I1834)&amp;"."&amp;IF(J1834&lt;=K1834,J1834,IF(J1834=K1834+1,200,IF(J1834=K1834+2,201,250)))&amp;".1",""))</f>
        <v/>
      </c>
      <c r="F1834" s="0" t="str">
        <f aca="false">IF(I1834="","",IF(AND(J1834&gt;=1,J1834&lt;=K1834+3),"10."&amp;INDEX(Eingabe!$D$9:$D$18,I1834)&amp;"."&amp;IF(J1834&lt;=K1834,J1834,IF(J1834=K1834+1,200,IF(J1834=K1834+2,201,250)))&amp;".10 – 10."&amp;INDEX(Eingabe!$D$9:$D$18,I1834)&amp;"."&amp;IF(J1834&lt;=K1834,J1834,IF(J1834=K1834+1,200,IF(J1834=K1834+2,201,250)))&amp;".250",""))</f>
        <v/>
      </c>
      <c r="G1834" s="0" t="str">
        <f aca="false">IF(I1834="","",IF(AND(J1834&gt;=1,J1834&lt;=K1834),Eingabe!$B$6&amp;"-"&amp;INDEX(Eingabe!$C$9:$C$18,I1834)&amp;"-Pächter  ·  Passwort Parzelle "&amp;J1834,IF(J1834=K1834+1,Eingabe!$B$6&amp;"-"&amp;INDEX(Eingabe!$C$9:$C$18,I1834)&amp;"-Vorstand  ·  eigenes WLAN",IF(J1834=K1834+2,Eingabe!$B$6&amp;"-"&amp;INDEX(Eingabe!$C$9:$C$18,I1834)&amp;"-Gäste  ·  Voucher",IF(J1834=K1834+3,"Kabel  ·  Access Point y = .(50+y), Mast-Switch x = .(10+x)","")))))</f>
        <v/>
      </c>
      <c r="I1834" s="0" t="str">
        <f aca="false">IF(1829&lt;=(Eingabe!$P$18+Eingabe!$Q$18-1),MATCH(1829,Eingabe!$P$9:$P$18,1),"")</f>
        <v/>
      </c>
      <c r="J1834" s="0" t="str">
        <f aca="false">IF(I1834="","",1829-INDEX(Eingabe!$P$9:$P$18,I1834))</f>
        <v/>
      </c>
      <c r="K1834" s="0" t="str">
        <f aca="false">IF(I1834="","",INDEX(Eingabe!$E$9:$E$18,I1834))</f>
        <v/>
      </c>
    </row>
    <row r="1835" customFormat="false" ht="15" hidden="false" customHeight="false" outlineLevel="0" collapsed="false">
      <c r="A1835" s="0" t="str">
        <f aca="false">IF(I1835="","",IF(J1835=0,"Sparte "&amp;I1835&amp;": "&amp;INDEX(Eingabe!$B$9:$B$18,I1835)&amp;"  (Sparten-ID "&amp;INDEX(Eingabe!$D$9:$D$18,I1835)&amp;", "&amp;K1835&amp;" Parzellen)",IF(J1835&lt;=K1835,"   Parzelle "&amp;J1835,IF(J1835=K1835+1,"   Vorstand",IF(J1835=K1835+2,"   Gäste",IF(J1835=K1835+3,"   Technik (Switches, Access Points)",""))))))</f>
        <v/>
      </c>
      <c r="B1835" s="0" t="str">
        <f aca="false">IF(I1835="","",IF(AND(J1835&gt;=1,J1835&lt;=K1835+3),IF(J1835&lt;=K1835,IF(J1835&lt;=99,IF((INDEX(Eingabe!$G$9:$G$18,I1835))&lt;=9,1000+(INDEX(Eingabe!$G$9:$G$18,I1835))*100,3000)+J1835,IF((INDEX(Eingabe!$G$9:$G$18,I1835)+1)&lt;=9,1000+(INDEX(Eingabe!$G$9:$G$18,I1835)+1)*100,3000)+J1835-100),IF(J1835=K1835+1,2000+INDEX(Eingabe!$G$9:$G$18,I1835)*10+1,IF(J1835=K1835+2,2000+INDEX(Eingabe!$G$9:$G$18,I1835)*10+2,2000+INDEX(Eingabe!$G$9:$G$18,I1835)*10+9))),""))</f>
        <v/>
      </c>
      <c r="C1835" s="0" t="str">
        <f aca="false">IF(I1835="","",IF(AND(J1835&gt;=1,J1835&lt;=K1835+3),"10."&amp;INDEX(Eingabe!$D$9:$D$18,I1835)&amp;"."&amp;IF(J1835&lt;=K1835,J1835,IF(J1835=K1835+1,200,IF(J1835=K1835+2,201,250)))&amp;".0/24",""))</f>
        <v/>
      </c>
      <c r="D1835" s="0" t="str">
        <f aca="false">IF(I1835="","",IF(AND(J1835&gt;=1,J1835&lt;=K1835+3),"255.255.255.0",""))</f>
        <v/>
      </c>
      <c r="E1835" s="0" t="str">
        <f aca="false">IF(I1835="","",IF(AND(J1835&gt;=1,J1835&lt;=K1835+3),"10."&amp;INDEX(Eingabe!$D$9:$D$18,I1835)&amp;"."&amp;IF(J1835&lt;=K1835,J1835,IF(J1835=K1835+1,200,IF(J1835=K1835+2,201,250)))&amp;".1",""))</f>
        <v/>
      </c>
      <c r="F1835" s="0" t="str">
        <f aca="false">IF(I1835="","",IF(AND(J1835&gt;=1,J1835&lt;=K1835+3),"10."&amp;INDEX(Eingabe!$D$9:$D$18,I1835)&amp;"."&amp;IF(J1835&lt;=K1835,J1835,IF(J1835=K1835+1,200,IF(J1835=K1835+2,201,250)))&amp;".10 – 10."&amp;INDEX(Eingabe!$D$9:$D$18,I1835)&amp;"."&amp;IF(J1835&lt;=K1835,J1835,IF(J1835=K1835+1,200,IF(J1835=K1835+2,201,250)))&amp;".250",""))</f>
        <v/>
      </c>
      <c r="G1835" s="0" t="str">
        <f aca="false">IF(I1835="","",IF(AND(J1835&gt;=1,J1835&lt;=K1835),Eingabe!$B$6&amp;"-"&amp;INDEX(Eingabe!$C$9:$C$18,I1835)&amp;"-Pächter  ·  Passwort Parzelle "&amp;J1835,IF(J1835=K1835+1,Eingabe!$B$6&amp;"-"&amp;INDEX(Eingabe!$C$9:$C$18,I1835)&amp;"-Vorstand  ·  eigenes WLAN",IF(J1835=K1835+2,Eingabe!$B$6&amp;"-"&amp;INDEX(Eingabe!$C$9:$C$18,I1835)&amp;"-Gäste  ·  Voucher",IF(J1835=K1835+3,"Kabel  ·  Access Point y = .(50+y), Mast-Switch x = .(10+x)","")))))</f>
        <v/>
      </c>
      <c r="I1835" s="0" t="str">
        <f aca="false">IF(1830&lt;=(Eingabe!$P$18+Eingabe!$Q$18-1),MATCH(1830,Eingabe!$P$9:$P$18,1),"")</f>
        <v/>
      </c>
      <c r="J1835" s="0" t="str">
        <f aca="false">IF(I1835="","",1830-INDEX(Eingabe!$P$9:$P$18,I1835))</f>
        <v/>
      </c>
      <c r="K1835" s="0" t="str">
        <f aca="false">IF(I1835="","",INDEX(Eingabe!$E$9:$E$18,I1835))</f>
        <v/>
      </c>
    </row>
    <row r="1836" customFormat="false" ht="15" hidden="false" customHeight="false" outlineLevel="0" collapsed="false">
      <c r="A1836" s="0" t="str">
        <f aca="false">IF(I1836="","",IF(J1836=0,"Sparte "&amp;I1836&amp;": "&amp;INDEX(Eingabe!$B$9:$B$18,I1836)&amp;"  (Sparten-ID "&amp;INDEX(Eingabe!$D$9:$D$18,I1836)&amp;", "&amp;K1836&amp;" Parzellen)",IF(J1836&lt;=K1836,"   Parzelle "&amp;J1836,IF(J1836=K1836+1,"   Vorstand",IF(J1836=K1836+2,"   Gäste",IF(J1836=K1836+3,"   Technik (Switches, Access Points)",""))))))</f>
        <v/>
      </c>
      <c r="B1836" s="0" t="str">
        <f aca="false">IF(I1836="","",IF(AND(J1836&gt;=1,J1836&lt;=K1836+3),IF(J1836&lt;=K1836,IF(J1836&lt;=99,IF((INDEX(Eingabe!$G$9:$G$18,I1836))&lt;=9,1000+(INDEX(Eingabe!$G$9:$G$18,I1836))*100,3000)+J1836,IF((INDEX(Eingabe!$G$9:$G$18,I1836)+1)&lt;=9,1000+(INDEX(Eingabe!$G$9:$G$18,I1836)+1)*100,3000)+J1836-100),IF(J1836=K1836+1,2000+INDEX(Eingabe!$G$9:$G$18,I1836)*10+1,IF(J1836=K1836+2,2000+INDEX(Eingabe!$G$9:$G$18,I1836)*10+2,2000+INDEX(Eingabe!$G$9:$G$18,I1836)*10+9))),""))</f>
        <v/>
      </c>
      <c r="C1836" s="0" t="str">
        <f aca="false">IF(I1836="","",IF(AND(J1836&gt;=1,J1836&lt;=K1836+3),"10."&amp;INDEX(Eingabe!$D$9:$D$18,I1836)&amp;"."&amp;IF(J1836&lt;=K1836,J1836,IF(J1836=K1836+1,200,IF(J1836=K1836+2,201,250)))&amp;".0/24",""))</f>
        <v/>
      </c>
      <c r="D1836" s="0" t="str">
        <f aca="false">IF(I1836="","",IF(AND(J1836&gt;=1,J1836&lt;=K1836+3),"255.255.255.0",""))</f>
        <v/>
      </c>
      <c r="E1836" s="0" t="str">
        <f aca="false">IF(I1836="","",IF(AND(J1836&gt;=1,J1836&lt;=K1836+3),"10."&amp;INDEX(Eingabe!$D$9:$D$18,I1836)&amp;"."&amp;IF(J1836&lt;=K1836,J1836,IF(J1836=K1836+1,200,IF(J1836=K1836+2,201,250)))&amp;".1",""))</f>
        <v/>
      </c>
      <c r="F1836" s="0" t="str">
        <f aca="false">IF(I1836="","",IF(AND(J1836&gt;=1,J1836&lt;=K1836+3),"10."&amp;INDEX(Eingabe!$D$9:$D$18,I1836)&amp;"."&amp;IF(J1836&lt;=K1836,J1836,IF(J1836=K1836+1,200,IF(J1836=K1836+2,201,250)))&amp;".10 – 10."&amp;INDEX(Eingabe!$D$9:$D$18,I1836)&amp;"."&amp;IF(J1836&lt;=K1836,J1836,IF(J1836=K1836+1,200,IF(J1836=K1836+2,201,250)))&amp;".250",""))</f>
        <v/>
      </c>
      <c r="G1836" s="0" t="str">
        <f aca="false">IF(I1836="","",IF(AND(J1836&gt;=1,J1836&lt;=K1836),Eingabe!$B$6&amp;"-"&amp;INDEX(Eingabe!$C$9:$C$18,I1836)&amp;"-Pächter  ·  Passwort Parzelle "&amp;J1836,IF(J1836=K1836+1,Eingabe!$B$6&amp;"-"&amp;INDEX(Eingabe!$C$9:$C$18,I1836)&amp;"-Vorstand  ·  eigenes WLAN",IF(J1836=K1836+2,Eingabe!$B$6&amp;"-"&amp;INDEX(Eingabe!$C$9:$C$18,I1836)&amp;"-Gäste  ·  Voucher",IF(J1836=K1836+3,"Kabel  ·  Access Point y = .(50+y), Mast-Switch x = .(10+x)","")))))</f>
        <v/>
      </c>
      <c r="I1836" s="0" t="str">
        <f aca="false">IF(1831&lt;=(Eingabe!$P$18+Eingabe!$Q$18-1),MATCH(1831,Eingabe!$P$9:$P$18,1),"")</f>
        <v/>
      </c>
      <c r="J1836" s="0" t="str">
        <f aca="false">IF(I1836="","",1831-INDEX(Eingabe!$P$9:$P$18,I1836))</f>
        <v/>
      </c>
      <c r="K1836" s="0" t="str">
        <f aca="false">IF(I1836="","",INDEX(Eingabe!$E$9:$E$18,I1836))</f>
        <v/>
      </c>
    </row>
    <row r="1837" customFormat="false" ht="15" hidden="false" customHeight="false" outlineLevel="0" collapsed="false">
      <c r="A1837" s="0" t="str">
        <f aca="false">IF(I1837="","",IF(J1837=0,"Sparte "&amp;I1837&amp;": "&amp;INDEX(Eingabe!$B$9:$B$18,I1837)&amp;"  (Sparten-ID "&amp;INDEX(Eingabe!$D$9:$D$18,I1837)&amp;", "&amp;K1837&amp;" Parzellen)",IF(J1837&lt;=K1837,"   Parzelle "&amp;J1837,IF(J1837=K1837+1,"   Vorstand",IF(J1837=K1837+2,"   Gäste",IF(J1837=K1837+3,"   Technik (Switches, Access Points)",""))))))</f>
        <v/>
      </c>
      <c r="B1837" s="0" t="str">
        <f aca="false">IF(I1837="","",IF(AND(J1837&gt;=1,J1837&lt;=K1837+3),IF(J1837&lt;=K1837,IF(J1837&lt;=99,IF((INDEX(Eingabe!$G$9:$G$18,I1837))&lt;=9,1000+(INDEX(Eingabe!$G$9:$G$18,I1837))*100,3000)+J1837,IF((INDEX(Eingabe!$G$9:$G$18,I1837)+1)&lt;=9,1000+(INDEX(Eingabe!$G$9:$G$18,I1837)+1)*100,3000)+J1837-100),IF(J1837=K1837+1,2000+INDEX(Eingabe!$G$9:$G$18,I1837)*10+1,IF(J1837=K1837+2,2000+INDEX(Eingabe!$G$9:$G$18,I1837)*10+2,2000+INDEX(Eingabe!$G$9:$G$18,I1837)*10+9))),""))</f>
        <v/>
      </c>
      <c r="C1837" s="0" t="str">
        <f aca="false">IF(I1837="","",IF(AND(J1837&gt;=1,J1837&lt;=K1837+3),"10."&amp;INDEX(Eingabe!$D$9:$D$18,I1837)&amp;"."&amp;IF(J1837&lt;=K1837,J1837,IF(J1837=K1837+1,200,IF(J1837=K1837+2,201,250)))&amp;".0/24",""))</f>
        <v/>
      </c>
      <c r="D1837" s="0" t="str">
        <f aca="false">IF(I1837="","",IF(AND(J1837&gt;=1,J1837&lt;=K1837+3),"255.255.255.0",""))</f>
        <v/>
      </c>
      <c r="E1837" s="0" t="str">
        <f aca="false">IF(I1837="","",IF(AND(J1837&gt;=1,J1837&lt;=K1837+3),"10."&amp;INDEX(Eingabe!$D$9:$D$18,I1837)&amp;"."&amp;IF(J1837&lt;=K1837,J1837,IF(J1837=K1837+1,200,IF(J1837=K1837+2,201,250)))&amp;".1",""))</f>
        <v/>
      </c>
      <c r="F1837" s="0" t="str">
        <f aca="false">IF(I1837="","",IF(AND(J1837&gt;=1,J1837&lt;=K1837+3),"10."&amp;INDEX(Eingabe!$D$9:$D$18,I1837)&amp;"."&amp;IF(J1837&lt;=K1837,J1837,IF(J1837=K1837+1,200,IF(J1837=K1837+2,201,250)))&amp;".10 – 10."&amp;INDEX(Eingabe!$D$9:$D$18,I1837)&amp;"."&amp;IF(J1837&lt;=K1837,J1837,IF(J1837=K1837+1,200,IF(J1837=K1837+2,201,250)))&amp;".250",""))</f>
        <v/>
      </c>
      <c r="G1837" s="0" t="str">
        <f aca="false">IF(I1837="","",IF(AND(J1837&gt;=1,J1837&lt;=K1837),Eingabe!$B$6&amp;"-"&amp;INDEX(Eingabe!$C$9:$C$18,I1837)&amp;"-Pächter  ·  Passwort Parzelle "&amp;J1837,IF(J1837=K1837+1,Eingabe!$B$6&amp;"-"&amp;INDEX(Eingabe!$C$9:$C$18,I1837)&amp;"-Vorstand  ·  eigenes WLAN",IF(J1837=K1837+2,Eingabe!$B$6&amp;"-"&amp;INDEX(Eingabe!$C$9:$C$18,I1837)&amp;"-Gäste  ·  Voucher",IF(J1837=K1837+3,"Kabel  ·  Access Point y = .(50+y), Mast-Switch x = .(10+x)","")))))</f>
        <v/>
      </c>
      <c r="I1837" s="0" t="str">
        <f aca="false">IF(1832&lt;=(Eingabe!$P$18+Eingabe!$Q$18-1),MATCH(1832,Eingabe!$P$9:$P$18,1),"")</f>
        <v/>
      </c>
      <c r="J1837" s="0" t="str">
        <f aca="false">IF(I1837="","",1832-INDEX(Eingabe!$P$9:$P$18,I1837))</f>
        <v/>
      </c>
      <c r="K1837" s="0" t="str">
        <f aca="false">IF(I1837="","",INDEX(Eingabe!$E$9:$E$18,I1837))</f>
        <v/>
      </c>
    </row>
    <row r="1838" customFormat="false" ht="15" hidden="false" customHeight="false" outlineLevel="0" collapsed="false">
      <c r="A1838" s="0" t="str">
        <f aca="false">IF(I1838="","",IF(J1838=0,"Sparte "&amp;I1838&amp;": "&amp;INDEX(Eingabe!$B$9:$B$18,I1838)&amp;"  (Sparten-ID "&amp;INDEX(Eingabe!$D$9:$D$18,I1838)&amp;", "&amp;K1838&amp;" Parzellen)",IF(J1838&lt;=K1838,"   Parzelle "&amp;J1838,IF(J1838=K1838+1,"   Vorstand",IF(J1838=K1838+2,"   Gäste",IF(J1838=K1838+3,"   Technik (Switches, Access Points)",""))))))</f>
        <v/>
      </c>
      <c r="B1838" s="0" t="str">
        <f aca="false">IF(I1838="","",IF(AND(J1838&gt;=1,J1838&lt;=K1838+3),IF(J1838&lt;=K1838,IF(J1838&lt;=99,IF((INDEX(Eingabe!$G$9:$G$18,I1838))&lt;=9,1000+(INDEX(Eingabe!$G$9:$G$18,I1838))*100,3000)+J1838,IF((INDEX(Eingabe!$G$9:$G$18,I1838)+1)&lt;=9,1000+(INDEX(Eingabe!$G$9:$G$18,I1838)+1)*100,3000)+J1838-100),IF(J1838=K1838+1,2000+INDEX(Eingabe!$G$9:$G$18,I1838)*10+1,IF(J1838=K1838+2,2000+INDEX(Eingabe!$G$9:$G$18,I1838)*10+2,2000+INDEX(Eingabe!$G$9:$G$18,I1838)*10+9))),""))</f>
        <v/>
      </c>
      <c r="C1838" s="0" t="str">
        <f aca="false">IF(I1838="","",IF(AND(J1838&gt;=1,J1838&lt;=K1838+3),"10."&amp;INDEX(Eingabe!$D$9:$D$18,I1838)&amp;"."&amp;IF(J1838&lt;=K1838,J1838,IF(J1838=K1838+1,200,IF(J1838=K1838+2,201,250)))&amp;".0/24",""))</f>
        <v/>
      </c>
      <c r="D1838" s="0" t="str">
        <f aca="false">IF(I1838="","",IF(AND(J1838&gt;=1,J1838&lt;=K1838+3),"255.255.255.0",""))</f>
        <v/>
      </c>
      <c r="E1838" s="0" t="str">
        <f aca="false">IF(I1838="","",IF(AND(J1838&gt;=1,J1838&lt;=K1838+3),"10."&amp;INDEX(Eingabe!$D$9:$D$18,I1838)&amp;"."&amp;IF(J1838&lt;=K1838,J1838,IF(J1838=K1838+1,200,IF(J1838=K1838+2,201,250)))&amp;".1",""))</f>
        <v/>
      </c>
      <c r="F1838" s="0" t="str">
        <f aca="false">IF(I1838="","",IF(AND(J1838&gt;=1,J1838&lt;=K1838+3),"10."&amp;INDEX(Eingabe!$D$9:$D$18,I1838)&amp;"."&amp;IF(J1838&lt;=K1838,J1838,IF(J1838=K1838+1,200,IF(J1838=K1838+2,201,250)))&amp;".10 – 10."&amp;INDEX(Eingabe!$D$9:$D$18,I1838)&amp;"."&amp;IF(J1838&lt;=K1838,J1838,IF(J1838=K1838+1,200,IF(J1838=K1838+2,201,250)))&amp;".250",""))</f>
        <v/>
      </c>
      <c r="G1838" s="0" t="str">
        <f aca="false">IF(I1838="","",IF(AND(J1838&gt;=1,J1838&lt;=K1838),Eingabe!$B$6&amp;"-"&amp;INDEX(Eingabe!$C$9:$C$18,I1838)&amp;"-Pächter  ·  Passwort Parzelle "&amp;J1838,IF(J1838=K1838+1,Eingabe!$B$6&amp;"-"&amp;INDEX(Eingabe!$C$9:$C$18,I1838)&amp;"-Vorstand  ·  eigenes WLAN",IF(J1838=K1838+2,Eingabe!$B$6&amp;"-"&amp;INDEX(Eingabe!$C$9:$C$18,I1838)&amp;"-Gäste  ·  Voucher",IF(J1838=K1838+3,"Kabel  ·  Access Point y = .(50+y), Mast-Switch x = .(10+x)","")))))</f>
        <v/>
      </c>
      <c r="I1838" s="0" t="str">
        <f aca="false">IF(1833&lt;=(Eingabe!$P$18+Eingabe!$Q$18-1),MATCH(1833,Eingabe!$P$9:$P$18,1),"")</f>
        <v/>
      </c>
      <c r="J1838" s="0" t="str">
        <f aca="false">IF(I1838="","",1833-INDEX(Eingabe!$P$9:$P$18,I1838))</f>
        <v/>
      </c>
      <c r="K1838" s="0" t="str">
        <f aca="false">IF(I1838="","",INDEX(Eingabe!$E$9:$E$18,I1838))</f>
        <v/>
      </c>
    </row>
    <row r="1839" customFormat="false" ht="15" hidden="false" customHeight="false" outlineLevel="0" collapsed="false">
      <c r="A1839" s="0" t="str">
        <f aca="false">IF(I1839="","",IF(J1839=0,"Sparte "&amp;I1839&amp;": "&amp;INDEX(Eingabe!$B$9:$B$18,I1839)&amp;"  (Sparten-ID "&amp;INDEX(Eingabe!$D$9:$D$18,I1839)&amp;", "&amp;K1839&amp;" Parzellen)",IF(J1839&lt;=K1839,"   Parzelle "&amp;J1839,IF(J1839=K1839+1,"   Vorstand",IF(J1839=K1839+2,"   Gäste",IF(J1839=K1839+3,"   Technik (Switches, Access Points)",""))))))</f>
        <v/>
      </c>
      <c r="B1839" s="0" t="str">
        <f aca="false">IF(I1839="","",IF(AND(J1839&gt;=1,J1839&lt;=K1839+3),IF(J1839&lt;=K1839,IF(J1839&lt;=99,IF((INDEX(Eingabe!$G$9:$G$18,I1839))&lt;=9,1000+(INDEX(Eingabe!$G$9:$G$18,I1839))*100,3000)+J1839,IF((INDEX(Eingabe!$G$9:$G$18,I1839)+1)&lt;=9,1000+(INDEX(Eingabe!$G$9:$G$18,I1839)+1)*100,3000)+J1839-100),IF(J1839=K1839+1,2000+INDEX(Eingabe!$G$9:$G$18,I1839)*10+1,IF(J1839=K1839+2,2000+INDEX(Eingabe!$G$9:$G$18,I1839)*10+2,2000+INDEX(Eingabe!$G$9:$G$18,I1839)*10+9))),""))</f>
        <v/>
      </c>
      <c r="C1839" s="0" t="str">
        <f aca="false">IF(I1839="","",IF(AND(J1839&gt;=1,J1839&lt;=K1839+3),"10."&amp;INDEX(Eingabe!$D$9:$D$18,I1839)&amp;"."&amp;IF(J1839&lt;=K1839,J1839,IF(J1839=K1839+1,200,IF(J1839=K1839+2,201,250)))&amp;".0/24",""))</f>
        <v/>
      </c>
      <c r="D1839" s="0" t="str">
        <f aca="false">IF(I1839="","",IF(AND(J1839&gt;=1,J1839&lt;=K1839+3),"255.255.255.0",""))</f>
        <v/>
      </c>
      <c r="E1839" s="0" t="str">
        <f aca="false">IF(I1839="","",IF(AND(J1839&gt;=1,J1839&lt;=K1839+3),"10."&amp;INDEX(Eingabe!$D$9:$D$18,I1839)&amp;"."&amp;IF(J1839&lt;=K1839,J1839,IF(J1839=K1839+1,200,IF(J1839=K1839+2,201,250)))&amp;".1",""))</f>
        <v/>
      </c>
      <c r="F1839" s="0" t="str">
        <f aca="false">IF(I1839="","",IF(AND(J1839&gt;=1,J1839&lt;=K1839+3),"10."&amp;INDEX(Eingabe!$D$9:$D$18,I1839)&amp;"."&amp;IF(J1839&lt;=K1839,J1839,IF(J1839=K1839+1,200,IF(J1839=K1839+2,201,250)))&amp;".10 – 10."&amp;INDEX(Eingabe!$D$9:$D$18,I1839)&amp;"."&amp;IF(J1839&lt;=K1839,J1839,IF(J1839=K1839+1,200,IF(J1839=K1839+2,201,250)))&amp;".250",""))</f>
        <v/>
      </c>
      <c r="G1839" s="0" t="str">
        <f aca="false">IF(I1839="","",IF(AND(J1839&gt;=1,J1839&lt;=K1839),Eingabe!$B$6&amp;"-"&amp;INDEX(Eingabe!$C$9:$C$18,I1839)&amp;"-Pächter  ·  Passwort Parzelle "&amp;J1839,IF(J1839=K1839+1,Eingabe!$B$6&amp;"-"&amp;INDEX(Eingabe!$C$9:$C$18,I1839)&amp;"-Vorstand  ·  eigenes WLAN",IF(J1839=K1839+2,Eingabe!$B$6&amp;"-"&amp;INDEX(Eingabe!$C$9:$C$18,I1839)&amp;"-Gäste  ·  Voucher",IF(J1839=K1839+3,"Kabel  ·  Access Point y = .(50+y), Mast-Switch x = .(10+x)","")))))</f>
        <v/>
      </c>
      <c r="I1839" s="0" t="str">
        <f aca="false">IF(1834&lt;=(Eingabe!$P$18+Eingabe!$Q$18-1),MATCH(1834,Eingabe!$P$9:$P$18,1),"")</f>
        <v/>
      </c>
      <c r="J1839" s="0" t="str">
        <f aca="false">IF(I1839="","",1834-INDEX(Eingabe!$P$9:$P$18,I1839))</f>
        <v/>
      </c>
      <c r="K1839" s="0" t="str">
        <f aca="false">IF(I1839="","",INDEX(Eingabe!$E$9:$E$18,I1839))</f>
        <v/>
      </c>
    </row>
    <row r="1840" customFormat="false" ht="15" hidden="false" customHeight="false" outlineLevel="0" collapsed="false">
      <c r="A1840" s="0" t="str">
        <f aca="false">IF(I1840="","",IF(J1840=0,"Sparte "&amp;I1840&amp;": "&amp;INDEX(Eingabe!$B$9:$B$18,I1840)&amp;"  (Sparten-ID "&amp;INDEX(Eingabe!$D$9:$D$18,I1840)&amp;", "&amp;K1840&amp;" Parzellen)",IF(J1840&lt;=K1840,"   Parzelle "&amp;J1840,IF(J1840=K1840+1,"   Vorstand",IF(J1840=K1840+2,"   Gäste",IF(J1840=K1840+3,"   Technik (Switches, Access Points)",""))))))</f>
        <v/>
      </c>
      <c r="B1840" s="0" t="str">
        <f aca="false">IF(I1840="","",IF(AND(J1840&gt;=1,J1840&lt;=K1840+3),IF(J1840&lt;=K1840,IF(J1840&lt;=99,IF((INDEX(Eingabe!$G$9:$G$18,I1840))&lt;=9,1000+(INDEX(Eingabe!$G$9:$G$18,I1840))*100,3000)+J1840,IF((INDEX(Eingabe!$G$9:$G$18,I1840)+1)&lt;=9,1000+(INDEX(Eingabe!$G$9:$G$18,I1840)+1)*100,3000)+J1840-100),IF(J1840=K1840+1,2000+INDEX(Eingabe!$G$9:$G$18,I1840)*10+1,IF(J1840=K1840+2,2000+INDEX(Eingabe!$G$9:$G$18,I1840)*10+2,2000+INDEX(Eingabe!$G$9:$G$18,I1840)*10+9))),""))</f>
        <v/>
      </c>
      <c r="C1840" s="0" t="str">
        <f aca="false">IF(I1840="","",IF(AND(J1840&gt;=1,J1840&lt;=K1840+3),"10."&amp;INDEX(Eingabe!$D$9:$D$18,I1840)&amp;"."&amp;IF(J1840&lt;=K1840,J1840,IF(J1840=K1840+1,200,IF(J1840=K1840+2,201,250)))&amp;".0/24",""))</f>
        <v/>
      </c>
      <c r="D1840" s="0" t="str">
        <f aca="false">IF(I1840="","",IF(AND(J1840&gt;=1,J1840&lt;=K1840+3),"255.255.255.0",""))</f>
        <v/>
      </c>
      <c r="E1840" s="0" t="str">
        <f aca="false">IF(I1840="","",IF(AND(J1840&gt;=1,J1840&lt;=K1840+3),"10."&amp;INDEX(Eingabe!$D$9:$D$18,I1840)&amp;"."&amp;IF(J1840&lt;=K1840,J1840,IF(J1840=K1840+1,200,IF(J1840=K1840+2,201,250)))&amp;".1",""))</f>
        <v/>
      </c>
      <c r="F1840" s="0" t="str">
        <f aca="false">IF(I1840="","",IF(AND(J1840&gt;=1,J1840&lt;=K1840+3),"10."&amp;INDEX(Eingabe!$D$9:$D$18,I1840)&amp;"."&amp;IF(J1840&lt;=K1840,J1840,IF(J1840=K1840+1,200,IF(J1840=K1840+2,201,250)))&amp;".10 – 10."&amp;INDEX(Eingabe!$D$9:$D$18,I1840)&amp;"."&amp;IF(J1840&lt;=K1840,J1840,IF(J1840=K1840+1,200,IF(J1840=K1840+2,201,250)))&amp;".250",""))</f>
        <v/>
      </c>
      <c r="G1840" s="0" t="str">
        <f aca="false">IF(I1840="","",IF(AND(J1840&gt;=1,J1840&lt;=K1840),Eingabe!$B$6&amp;"-"&amp;INDEX(Eingabe!$C$9:$C$18,I1840)&amp;"-Pächter  ·  Passwort Parzelle "&amp;J1840,IF(J1840=K1840+1,Eingabe!$B$6&amp;"-"&amp;INDEX(Eingabe!$C$9:$C$18,I1840)&amp;"-Vorstand  ·  eigenes WLAN",IF(J1840=K1840+2,Eingabe!$B$6&amp;"-"&amp;INDEX(Eingabe!$C$9:$C$18,I1840)&amp;"-Gäste  ·  Voucher",IF(J1840=K1840+3,"Kabel  ·  Access Point y = .(50+y), Mast-Switch x = .(10+x)","")))))</f>
        <v/>
      </c>
      <c r="I1840" s="0" t="str">
        <f aca="false">IF(1835&lt;=(Eingabe!$P$18+Eingabe!$Q$18-1),MATCH(1835,Eingabe!$P$9:$P$18,1),"")</f>
        <v/>
      </c>
      <c r="J1840" s="0" t="str">
        <f aca="false">IF(I1840="","",1835-INDEX(Eingabe!$P$9:$P$18,I1840))</f>
        <v/>
      </c>
      <c r="K1840" s="0" t="str">
        <f aca="false">IF(I1840="","",INDEX(Eingabe!$E$9:$E$18,I1840))</f>
        <v/>
      </c>
    </row>
    <row r="1841" customFormat="false" ht="15" hidden="false" customHeight="false" outlineLevel="0" collapsed="false">
      <c r="A1841" s="0" t="str">
        <f aca="false">IF(I1841="","",IF(J1841=0,"Sparte "&amp;I1841&amp;": "&amp;INDEX(Eingabe!$B$9:$B$18,I1841)&amp;"  (Sparten-ID "&amp;INDEX(Eingabe!$D$9:$D$18,I1841)&amp;", "&amp;K1841&amp;" Parzellen)",IF(J1841&lt;=K1841,"   Parzelle "&amp;J1841,IF(J1841=K1841+1,"   Vorstand",IF(J1841=K1841+2,"   Gäste",IF(J1841=K1841+3,"   Technik (Switches, Access Points)",""))))))</f>
        <v/>
      </c>
      <c r="B1841" s="0" t="str">
        <f aca="false">IF(I1841="","",IF(AND(J1841&gt;=1,J1841&lt;=K1841+3),IF(J1841&lt;=K1841,IF(J1841&lt;=99,IF((INDEX(Eingabe!$G$9:$G$18,I1841))&lt;=9,1000+(INDEX(Eingabe!$G$9:$G$18,I1841))*100,3000)+J1841,IF((INDEX(Eingabe!$G$9:$G$18,I1841)+1)&lt;=9,1000+(INDEX(Eingabe!$G$9:$G$18,I1841)+1)*100,3000)+J1841-100),IF(J1841=K1841+1,2000+INDEX(Eingabe!$G$9:$G$18,I1841)*10+1,IF(J1841=K1841+2,2000+INDEX(Eingabe!$G$9:$G$18,I1841)*10+2,2000+INDEX(Eingabe!$G$9:$G$18,I1841)*10+9))),""))</f>
        <v/>
      </c>
      <c r="C1841" s="0" t="str">
        <f aca="false">IF(I1841="","",IF(AND(J1841&gt;=1,J1841&lt;=K1841+3),"10."&amp;INDEX(Eingabe!$D$9:$D$18,I1841)&amp;"."&amp;IF(J1841&lt;=K1841,J1841,IF(J1841=K1841+1,200,IF(J1841=K1841+2,201,250)))&amp;".0/24",""))</f>
        <v/>
      </c>
      <c r="D1841" s="0" t="str">
        <f aca="false">IF(I1841="","",IF(AND(J1841&gt;=1,J1841&lt;=K1841+3),"255.255.255.0",""))</f>
        <v/>
      </c>
      <c r="E1841" s="0" t="str">
        <f aca="false">IF(I1841="","",IF(AND(J1841&gt;=1,J1841&lt;=K1841+3),"10."&amp;INDEX(Eingabe!$D$9:$D$18,I1841)&amp;"."&amp;IF(J1841&lt;=K1841,J1841,IF(J1841=K1841+1,200,IF(J1841=K1841+2,201,250)))&amp;".1",""))</f>
        <v/>
      </c>
      <c r="F1841" s="0" t="str">
        <f aca="false">IF(I1841="","",IF(AND(J1841&gt;=1,J1841&lt;=K1841+3),"10."&amp;INDEX(Eingabe!$D$9:$D$18,I1841)&amp;"."&amp;IF(J1841&lt;=K1841,J1841,IF(J1841=K1841+1,200,IF(J1841=K1841+2,201,250)))&amp;".10 – 10."&amp;INDEX(Eingabe!$D$9:$D$18,I1841)&amp;"."&amp;IF(J1841&lt;=K1841,J1841,IF(J1841=K1841+1,200,IF(J1841=K1841+2,201,250)))&amp;".250",""))</f>
        <v/>
      </c>
      <c r="G1841" s="0" t="str">
        <f aca="false">IF(I1841="","",IF(AND(J1841&gt;=1,J1841&lt;=K1841),Eingabe!$B$6&amp;"-"&amp;INDEX(Eingabe!$C$9:$C$18,I1841)&amp;"-Pächter  ·  Passwort Parzelle "&amp;J1841,IF(J1841=K1841+1,Eingabe!$B$6&amp;"-"&amp;INDEX(Eingabe!$C$9:$C$18,I1841)&amp;"-Vorstand  ·  eigenes WLAN",IF(J1841=K1841+2,Eingabe!$B$6&amp;"-"&amp;INDEX(Eingabe!$C$9:$C$18,I1841)&amp;"-Gäste  ·  Voucher",IF(J1841=K1841+3,"Kabel  ·  Access Point y = .(50+y), Mast-Switch x = .(10+x)","")))))</f>
        <v/>
      </c>
      <c r="I1841" s="0" t="str">
        <f aca="false">IF(1836&lt;=(Eingabe!$P$18+Eingabe!$Q$18-1),MATCH(1836,Eingabe!$P$9:$P$18,1),"")</f>
        <v/>
      </c>
      <c r="J1841" s="0" t="str">
        <f aca="false">IF(I1841="","",1836-INDEX(Eingabe!$P$9:$P$18,I1841))</f>
        <v/>
      </c>
      <c r="K1841" s="0" t="str">
        <f aca="false">IF(I1841="","",INDEX(Eingabe!$E$9:$E$18,I1841))</f>
        <v/>
      </c>
    </row>
    <row r="1842" customFormat="false" ht="15" hidden="false" customHeight="false" outlineLevel="0" collapsed="false">
      <c r="A1842" s="0" t="str">
        <f aca="false">IF(I1842="","",IF(J1842=0,"Sparte "&amp;I1842&amp;": "&amp;INDEX(Eingabe!$B$9:$B$18,I1842)&amp;"  (Sparten-ID "&amp;INDEX(Eingabe!$D$9:$D$18,I1842)&amp;", "&amp;K1842&amp;" Parzellen)",IF(J1842&lt;=K1842,"   Parzelle "&amp;J1842,IF(J1842=K1842+1,"   Vorstand",IF(J1842=K1842+2,"   Gäste",IF(J1842=K1842+3,"   Technik (Switches, Access Points)",""))))))</f>
        <v/>
      </c>
      <c r="B1842" s="0" t="str">
        <f aca="false">IF(I1842="","",IF(AND(J1842&gt;=1,J1842&lt;=K1842+3),IF(J1842&lt;=K1842,IF(J1842&lt;=99,IF((INDEX(Eingabe!$G$9:$G$18,I1842))&lt;=9,1000+(INDEX(Eingabe!$G$9:$G$18,I1842))*100,3000)+J1842,IF((INDEX(Eingabe!$G$9:$G$18,I1842)+1)&lt;=9,1000+(INDEX(Eingabe!$G$9:$G$18,I1842)+1)*100,3000)+J1842-100),IF(J1842=K1842+1,2000+INDEX(Eingabe!$G$9:$G$18,I1842)*10+1,IF(J1842=K1842+2,2000+INDEX(Eingabe!$G$9:$G$18,I1842)*10+2,2000+INDEX(Eingabe!$G$9:$G$18,I1842)*10+9))),""))</f>
        <v/>
      </c>
      <c r="C1842" s="0" t="str">
        <f aca="false">IF(I1842="","",IF(AND(J1842&gt;=1,J1842&lt;=K1842+3),"10."&amp;INDEX(Eingabe!$D$9:$D$18,I1842)&amp;"."&amp;IF(J1842&lt;=K1842,J1842,IF(J1842=K1842+1,200,IF(J1842=K1842+2,201,250)))&amp;".0/24",""))</f>
        <v/>
      </c>
      <c r="D1842" s="0" t="str">
        <f aca="false">IF(I1842="","",IF(AND(J1842&gt;=1,J1842&lt;=K1842+3),"255.255.255.0",""))</f>
        <v/>
      </c>
      <c r="E1842" s="0" t="str">
        <f aca="false">IF(I1842="","",IF(AND(J1842&gt;=1,J1842&lt;=K1842+3),"10."&amp;INDEX(Eingabe!$D$9:$D$18,I1842)&amp;"."&amp;IF(J1842&lt;=K1842,J1842,IF(J1842=K1842+1,200,IF(J1842=K1842+2,201,250)))&amp;".1",""))</f>
        <v/>
      </c>
      <c r="F1842" s="0" t="str">
        <f aca="false">IF(I1842="","",IF(AND(J1842&gt;=1,J1842&lt;=K1842+3),"10."&amp;INDEX(Eingabe!$D$9:$D$18,I1842)&amp;"."&amp;IF(J1842&lt;=K1842,J1842,IF(J1842=K1842+1,200,IF(J1842=K1842+2,201,250)))&amp;".10 – 10."&amp;INDEX(Eingabe!$D$9:$D$18,I1842)&amp;"."&amp;IF(J1842&lt;=K1842,J1842,IF(J1842=K1842+1,200,IF(J1842=K1842+2,201,250)))&amp;".250",""))</f>
        <v/>
      </c>
      <c r="G1842" s="0" t="str">
        <f aca="false">IF(I1842="","",IF(AND(J1842&gt;=1,J1842&lt;=K1842),Eingabe!$B$6&amp;"-"&amp;INDEX(Eingabe!$C$9:$C$18,I1842)&amp;"-Pächter  ·  Passwort Parzelle "&amp;J1842,IF(J1842=K1842+1,Eingabe!$B$6&amp;"-"&amp;INDEX(Eingabe!$C$9:$C$18,I1842)&amp;"-Vorstand  ·  eigenes WLAN",IF(J1842=K1842+2,Eingabe!$B$6&amp;"-"&amp;INDEX(Eingabe!$C$9:$C$18,I1842)&amp;"-Gäste  ·  Voucher",IF(J1842=K1842+3,"Kabel  ·  Access Point y = .(50+y), Mast-Switch x = .(10+x)","")))))</f>
        <v/>
      </c>
      <c r="I1842" s="0" t="str">
        <f aca="false">IF(1837&lt;=(Eingabe!$P$18+Eingabe!$Q$18-1),MATCH(1837,Eingabe!$P$9:$P$18,1),"")</f>
        <v/>
      </c>
      <c r="J1842" s="0" t="str">
        <f aca="false">IF(I1842="","",1837-INDEX(Eingabe!$P$9:$P$18,I1842))</f>
        <v/>
      </c>
      <c r="K1842" s="0" t="str">
        <f aca="false">IF(I1842="","",INDEX(Eingabe!$E$9:$E$18,I1842))</f>
        <v/>
      </c>
    </row>
    <row r="1843" customFormat="false" ht="15" hidden="false" customHeight="false" outlineLevel="0" collapsed="false">
      <c r="A1843" s="0" t="str">
        <f aca="false">IF(I1843="","",IF(J1843=0,"Sparte "&amp;I1843&amp;": "&amp;INDEX(Eingabe!$B$9:$B$18,I1843)&amp;"  (Sparten-ID "&amp;INDEX(Eingabe!$D$9:$D$18,I1843)&amp;", "&amp;K1843&amp;" Parzellen)",IF(J1843&lt;=K1843,"   Parzelle "&amp;J1843,IF(J1843=K1843+1,"   Vorstand",IF(J1843=K1843+2,"   Gäste",IF(J1843=K1843+3,"   Technik (Switches, Access Points)",""))))))</f>
        <v/>
      </c>
      <c r="B1843" s="0" t="str">
        <f aca="false">IF(I1843="","",IF(AND(J1843&gt;=1,J1843&lt;=K1843+3),IF(J1843&lt;=K1843,IF(J1843&lt;=99,IF((INDEX(Eingabe!$G$9:$G$18,I1843))&lt;=9,1000+(INDEX(Eingabe!$G$9:$G$18,I1843))*100,3000)+J1843,IF((INDEX(Eingabe!$G$9:$G$18,I1843)+1)&lt;=9,1000+(INDEX(Eingabe!$G$9:$G$18,I1843)+1)*100,3000)+J1843-100),IF(J1843=K1843+1,2000+INDEX(Eingabe!$G$9:$G$18,I1843)*10+1,IF(J1843=K1843+2,2000+INDEX(Eingabe!$G$9:$G$18,I1843)*10+2,2000+INDEX(Eingabe!$G$9:$G$18,I1843)*10+9))),""))</f>
        <v/>
      </c>
      <c r="C1843" s="0" t="str">
        <f aca="false">IF(I1843="","",IF(AND(J1843&gt;=1,J1843&lt;=K1843+3),"10."&amp;INDEX(Eingabe!$D$9:$D$18,I1843)&amp;"."&amp;IF(J1843&lt;=K1843,J1843,IF(J1843=K1843+1,200,IF(J1843=K1843+2,201,250)))&amp;".0/24",""))</f>
        <v/>
      </c>
      <c r="D1843" s="0" t="str">
        <f aca="false">IF(I1843="","",IF(AND(J1843&gt;=1,J1843&lt;=K1843+3),"255.255.255.0",""))</f>
        <v/>
      </c>
      <c r="E1843" s="0" t="str">
        <f aca="false">IF(I1843="","",IF(AND(J1843&gt;=1,J1843&lt;=K1843+3),"10."&amp;INDEX(Eingabe!$D$9:$D$18,I1843)&amp;"."&amp;IF(J1843&lt;=K1843,J1843,IF(J1843=K1843+1,200,IF(J1843=K1843+2,201,250)))&amp;".1",""))</f>
        <v/>
      </c>
      <c r="F1843" s="0" t="str">
        <f aca="false">IF(I1843="","",IF(AND(J1843&gt;=1,J1843&lt;=K1843+3),"10."&amp;INDEX(Eingabe!$D$9:$D$18,I1843)&amp;"."&amp;IF(J1843&lt;=K1843,J1843,IF(J1843=K1843+1,200,IF(J1843=K1843+2,201,250)))&amp;".10 – 10."&amp;INDEX(Eingabe!$D$9:$D$18,I1843)&amp;"."&amp;IF(J1843&lt;=K1843,J1843,IF(J1843=K1843+1,200,IF(J1843=K1843+2,201,250)))&amp;".250",""))</f>
        <v/>
      </c>
      <c r="G1843" s="0" t="str">
        <f aca="false">IF(I1843="","",IF(AND(J1843&gt;=1,J1843&lt;=K1843),Eingabe!$B$6&amp;"-"&amp;INDEX(Eingabe!$C$9:$C$18,I1843)&amp;"-Pächter  ·  Passwort Parzelle "&amp;J1843,IF(J1843=K1843+1,Eingabe!$B$6&amp;"-"&amp;INDEX(Eingabe!$C$9:$C$18,I1843)&amp;"-Vorstand  ·  eigenes WLAN",IF(J1843=K1843+2,Eingabe!$B$6&amp;"-"&amp;INDEX(Eingabe!$C$9:$C$18,I1843)&amp;"-Gäste  ·  Voucher",IF(J1843=K1843+3,"Kabel  ·  Access Point y = .(50+y), Mast-Switch x = .(10+x)","")))))</f>
        <v/>
      </c>
      <c r="I1843" s="0" t="str">
        <f aca="false">IF(1838&lt;=(Eingabe!$P$18+Eingabe!$Q$18-1),MATCH(1838,Eingabe!$P$9:$P$18,1),"")</f>
        <v/>
      </c>
      <c r="J1843" s="0" t="str">
        <f aca="false">IF(I1843="","",1838-INDEX(Eingabe!$P$9:$P$18,I1843))</f>
        <v/>
      </c>
      <c r="K1843" s="0" t="str">
        <f aca="false">IF(I1843="","",INDEX(Eingabe!$E$9:$E$18,I1843))</f>
        <v/>
      </c>
    </row>
    <row r="1844" customFormat="false" ht="15" hidden="false" customHeight="false" outlineLevel="0" collapsed="false">
      <c r="A1844" s="0" t="str">
        <f aca="false">IF(I1844="","",IF(J1844=0,"Sparte "&amp;I1844&amp;": "&amp;INDEX(Eingabe!$B$9:$B$18,I1844)&amp;"  (Sparten-ID "&amp;INDEX(Eingabe!$D$9:$D$18,I1844)&amp;", "&amp;K1844&amp;" Parzellen)",IF(J1844&lt;=K1844,"   Parzelle "&amp;J1844,IF(J1844=K1844+1,"   Vorstand",IF(J1844=K1844+2,"   Gäste",IF(J1844=K1844+3,"   Technik (Switches, Access Points)",""))))))</f>
        <v/>
      </c>
      <c r="B1844" s="0" t="str">
        <f aca="false">IF(I1844="","",IF(AND(J1844&gt;=1,J1844&lt;=K1844+3),IF(J1844&lt;=K1844,IF(J1844&lt;=99,IF((INDEX(Eingabe!$G$9:$G$18,I1844))&lt;=9,1000+(INDEX(Eingabe!$G$9:$G$18,I1844))*100,3000)+J1844,IF((INDEX(Eingabe!$G$9:$G$18,I1844)+1)&lt;=9,1000+(INDEX(Eingabe!$G$9:$G$18,I1844)+1)*100,3000)+J1844-100),IF(J1844=K1844+1,2000+INDEX(Eingabe!$G$9:$G$18,I1844)*10+1,IF(J1844=K1844+2,2000+INDEX(Eingabe!$G$9:$G$18,I1844)*10+2,2000+INDEX(Eingabe!$G$9:$G$18,I1844)*10+9))),""))</f>
        <v/>
      </c>
      <c r="C1844" s="0" t="str">
        <f aca="false">IF(I1844="","",IF(AND(J1844&gt;=1,J1844&lt;=K1844+3),"10."&amp;INDEX(Eingabe!$D$9:$D$18,I1844)&amp;"."&amp;IF(J1844&lt;=K1844,J1844,IF(J1844=K1844+1,200,IF(J1844=K1844+2,201,250)))&amp;".0/24",""))</f>
        <v/>
      </c>
      <c r="D1844" s="0" t="str">
        <f aca="false">IF(I1844="","",IF(AND(J1844&gt;=1,J1844&lt;=K1844+3),"255.255.255.0",""))</f>
        <v/>
      </c>
      <c r="E1844" s="0" t="str">
        <f aca="false">IF(I1844="","",IF(AND(J1844&gt;=1,J1844&lt;=K1844+3),"10."&amp;INDEX(Eingabe!$D$9:$D$18,I1844)&amp;"."&amp;IF(J1844&lt;=K1844,J1844,IF(J1844=K1844+1,200,IF(J1844=K1844+2,201,250)))&amp;".1",""))</f>
        <v/>
      </c>
      <c r="F1844" s="0" t="str">
        <f aca="false">IF(I1844="","",IF(AND(J1844&gt;=1,J1844&lt;=K1844+3),"10."&amp;INDEX(Eingabe!$D$9:$D$18,I1844)&amp;"."&amp;IF(J1844&lt;=K1844,J1844,IF(J1844=K1844+1,200,IF(J1844=K1844+2,201,250)))&amp;".10 – 10."&amp;INDEX(Eingabe!$D$9:$D$18,I1844)&amp;"."&amp;IF(J1844&lt;=K1844,J1844,IF(J1844=K1844+1,200,IF(J1844=K1844+2,201,250)))&amp;".250",""))</f>
        <v/>
      </c>
      <c r="G1844" s="0" t="str">
        <f aca="false">IF(I1844="","",IF(AND(J1844&gt;=1,J1844&lt;=K1844),Eingabe!$B$6&amp;"-"&amp;INDEX(Eingabe!$C$9:$C$18,I1844)&amp;"-Pächter  ·  Passwort Parzelle "&amp;J1844,IF(J1844=K1844+1,Eingabe!$B$6&amp;"-"&amp;INDEX(Eingabe!$C$9:$C$18,I1844)&amp;"-Vorstand  ·  eigenes WLAN",IF(J1844=K1844+2,Eingabe!$B$6&amp;"-"&amp;INDEX(Eingabe!$C$9:$C$18,I1844)&amp;"-Gäste  ·  Voucher",IF(J1844=K1844+3,"Kabel  ·  Access Point y = .(50+y), Mast-Switch x = .(10+x)","")))))</f>
        <v/>
      </c>
      <c r="I1844" s="0" t="str">
        <f aca="false">IF(1839&lt;=(Eingabe!$P$18+Eingabe!$Q$18-1),MATCH(1839,Eingabe!$P$9:$P$18,1),"")</f>
        <v/>
      </c>
      <c r="J1844" s="0" t="str">
        <f aca="false">IF(I1844="","",1839-INDEX(Eingabe!$P$9:$P$18,I1844))</f>
        <v/>
      </c>
      <c r="K1844" s="0" t="str">
        <f aca="false">IF(I1844="","",INDEX(Eingabe!$E$9:$E$18,I1844))</f>
        <v/>
      </c>
    </row>
    <row r="1845" customFormat="false" ht="15" hidden="false" customHeight="false" outlineLevel="0" collapsed="false">
      <c r="A1845" s="0" t="str">
        <f aca="false">IF(I1845="","",IF(J1845=0,"Sparte "&amp;I1845&amp;": "&amp;INDEX(Eingabe!$B$9:$B$18,I1845)&amp;"  (Sparten-ID "&amp;INDEX(Eingabe!$D$9:$D$18,I1845)&amp;", "&amp;K1845&amp;" Parzellen)",IF(J1845&lt;=K1845,"   Parzelle "&amp;J1845,IF(J1845=K1845+1,"   Vorstand",IF(J1845=K1845+2,"   Gäste",IF(J1845=K1845+3,"   Technik (Switches, Access Points)",""))))))</f>
        <v/>
      </c>
      <c r="B1845" s="0" t="str">
        <f aca="false">IF(I1845="","",IF(AND(J1845&gt;=1,J1845&lt;=K1845+3),IF(J1845&lt;=K1845,IF(J1845&lt;=99,IF((INDEX(Eingabe!$G$9:$G$18,I1845))&lt;=9,1000+(INDEX(Eingabe!$G$9:$G$18,I1845))*100,3000)+J1845,IF((INDEX(Eingabe!$G$9:$G$18,I1845)+1)&lt;=9,1000+(INDEX(Eingabe!$G$9:$G$18,I1845)+1)*100,3000)+J1845-100),IF(J1845=K1845+1,2000+INDEX(Eingabe!$G$9:$G$18,I1845)*10+1,IF(J1845=K1845+2,2000+INDEX(Eingabe!$G$9:$G$18,I1845)*10+2,2000+INDEX(Eingabe!$G$9:$G$18,I1845)*10+9))),""))</f>
        <v/>
      </c>
      <c r="C1845" s="0" t="str">
        <f aca="false">IF(I1845="","",IF(AND(J1845&gt;=1,J1845&lt;=K1845+3),"10."&amp;INDEX(Eingabe!$D$9:$D$18,I1845)&amp;"."&amp;IF(J1845&lt;=K1845,J1845,IF(J1845=K1845+1,200,IF(J1845=K1845+2,201,250)))&amp;".0/24",""))</f>
        <v/>
      </c>
      <c r="D1845" s="0" t="str">
        <f aca="false">IF(I1845="","",IF(AND(J1845&gt;=1,J1845&lt;=K1845+3),"255.255.255.0",""))</f>
        <v/>
      </c>
      <c r="E1845" s="0" t="str">
        <f aca="false">IF(I1845="","",IF(AND(J1845&gt;=1,J1845&lt;=K1845+3),"10."&amp;INDEX(Eingabe!$D$9:$D$18,I1845)&amp;"."&amp;IF(J1845&lt;=K1845,J1845,IF(J1845=K1845+1,200,IF(J1845=K1845+2,201,250)))&amp;".1",""))</f>
        <v/>
      </c>
      <c r="F1845" s="0" t="str">
        <f aca="false">IF(I1845="","",IF(AND(J1845&gt;=1,J1845&lt;=K1845+3),"10."&amp;INDEX(Eingabe!$D$9:$D$18,I1845)&amp;"."&amp;IF(J1845&lt;=K1845,J1845,IF(J1845=K1845+1,200,IF(J1845=K1845+2,201,250)))&amp;".10 – 10."&amp;INDEX(Eingabe!$D$9:$D$18,I1845)&amp;"."&amp;IF(J1845&lt;=K1845,J1845,IF(J1845=K1845+1,200,IF(J1845=K1845+2,201,250)))&amp;".250",""))</f>
        <v/>
      </c>
      <c r="G1845" s="0" t="str">
        <f aca="false">IF(I1845="","",IF(AND(J1845&gt;=1,J1845&lt;=K1845),Eingabe!$B$6&amp;"-"&amp;INDEX(Eingabe!$C$9:$C$18,I1845)&amp;"-Pächter  ·  Passwort Parzelle "&amp;J1845,IF(J1845=K1845+1,Eingabe!$B$6&amp;"-"&amp;INDEX(Eingabe!$C$9:$C$18,I1845)&amp;"-Vorstand  ·  eigenes WLAN",IF(J1845=K1845+2,Eingabe!$B$6&amp;"-"&amp;INDEX(Eingabe!$C$9:$C$18,I1845)&amp;"-Gäste  ·  Voucher",IF(J1845=K1845+3,"Kabel  ·  Access Point y = .(50+y), Mast-Switch x = .(10+x)","")))))</f>
        <v/>
      </c>
      <c r="I1845" s="0" t="str">
        <f aca="false">IF(1840&lt;=(Eingabe!$P$18+Eingabe!$Q$18-1),MATCH(1840,Eingabe!$P$9:$P$18,1),"")</f>
        <v/>
      </c>
      <c r="J1845" s="0" t="str">
        <f aca="false">IF(I1845="","",1840-INDEX(Eingabe!$P$9:$P$18,I1845))</f>
        <v/>
      </c>
      <c r="K1845" s="0" t="str">
        <f aca="false">IF(I1845="","",INDEX(Eingabe!$E$9:$E$18,I1845))</f>
        <v/>
      </c>
    </row>
    <row r="1846" customFormat="false" ht="15" hidden="false" customHeight="false" outlineLevel="0" collapsed="false">
      <c r="A1846" s="0" t="str">
        <f aca="false">IF(I1846="","",IF(J1846=0,"Sparte "&amp;I1846&amp;": "&amp;INDEX(Eingabe!$B$9:$B$18,I1846)&amp;"  (Sparten-ID "&amp;INDEX(Eingabe!$D$9:$D$18,I1846)&amp;", "&amp;K1846&amp;" Parzellen)",IF(J1846&lt;=K1846,"   Parzelle "&amp;J1846,IF(J1846=K1846+1,"   Vorstand",IF(J1846=K1846+2,"   Gäste",IF(J1846=K1846+3,"   Technik (Switches, Access Points)",""))))))</f>
        <v/>
      </c>
      <c r="B1846" s="0" t="str">
        <f aca="false">IF(I1846="","",IF(AND(J1846&gt;=1,J1846&lt;=K1846+3),IF(J1846&lt;=K1846,IF(J1846&lt;=99,IF((INDEX(Eingabe!$G$9:$G$18,I1846))&lt;=9,1000+(INDEX(Eingabe!$G$9:$G$18,I1846))*100,3000)+J1846,IF((INDEX(Eingabe!$G$9:$G$18,I1846)+1)&lt;=9,1000+(INDEX(Eingabe!$G$9:$G$18,I1846)+1)*100,3000)+J1846-100),IF(J1846=K1846+1,2000+INDEX(Eingabe!$G$9:$G$18,I1846)*10+1,IF(J1846=K1846+2,2000+INDEX(Eingabe!$G$9:$G$18,I1846)*10+2,2000+INDEX(Eingabe!$G$9:$G$18,I1846)*10+9))),""))</f>
        <v/>
      </c>
      <c r="C1846" s="0" t="str">
        <f aca="false">IF(I1846="","",IF(AND(J1846&gt;=1,J1846&lt;=K1846+3),"10."&amp;INDEX(Eingabe!$D$9:$D$18,I1846)&amp;"."&amp;IF(J1846&lt;=K1846,J1846,IF(J1846=K1846+1,200,IF(J1846=K1846+2,201,250)))&amp;".0/24",""))</f>
        <v/>
      </c>
      <c r="D1846" s="0" t="str">
        <f aca="false">IF(I1846="","",IF(AND(J1846&gt;=1,J1846&lt;=K1846+3),"255.255.255.0",""))</f>
        <v/>
      </c>
      <c r="E1846" s="0" t="str">
        <f aca="false">IF(I1846="","",IF(AND(J1846&gt;=1,J1846&lt;=K1846+3),"10."&amp;INDEX(Eingabe!$D$9:$D$18,I1846)&amp;"."&amp;IF(J1846&lt;=K1846,J1846,IF(J1846=K1846+1,200,IF(J1846=K1846+2,201,250)))&amp;".1",""))</f>
        <v/>
      </c>
      <c r="F1846" s="0" t="str">
        <f aca="false">IF(I1846="","",IF(AND(J1846&gt;=1,J1846&lt;=K1846+3),"10."&amp;INDEX(Eingabe!$D$9:$D$18,I1846)&amp;"."&amp;IF(J1846&lt;=K1846,J1846,IF(J1846=K1846+1,200,IF(J1846=K1846+2,201,250)))&amp;".10 – 10."&amp;INDEX(Eingabe!$D$9:$D$18,I1846)&amp;"."&amp;IF(J1846&lt;=K1846,J1846,IF(J1846=K1846+1,200,IF(J1846=K1846+2,201,250)))&amp;".250",""))</f>
        <v/>
      </c>
      <c r="G1846" s="0" t="str">
        <f aca="false">IF(I1846="","",IF(AND(J1846&gt;=1,J1846&lt;=K1846),Eingabe!$B$6&amp;"-"&amp;INDEX(Eingabe!$C$9:$C$18,I1846)&amp;"-Pächter  ·  Passwort Parzelle "&amp;J1846,IF(J1846=K1846+1,Eingabe!$B$6&amp;"-"&amp;INDEX(Eingabe!$C$9:$C$18,I1846)&amp;"-Vorstand  ·  eigenes WLAN",IF(J1846=K1846+2,Eingabe!$B$6&amp;"-"&amp;INDEX(Eingabe!$C$9:$C$18,I1846)&amp;"-Gäste  ·  Voucher",IF(J1846=K1846+3,"Kabel  ·  Access Point y = .(50+y), Mast-Switch x = .(10+x)","")))))</f>
        <v/>
      </c>
      <c r="I1846" s="0" t="str">
        <f aca="false">IF(1841&lt;=(Eingabe!$P$18+Eingabe!$Q$18-1),MATCH(1841,Eingabe!$P$9:$P$18,1),"")</f>
        <v/>
      </c>
      <c r="J1846" s="0" t="str">
        <f aca="false">IF(I1846="","",1841-INDEX(Eingabe!$P$9:$P$18,I1846))</f>
        <v/>
      </c>
      <c r="K1846" s="0" t="str">
        <f aca="false">IF(I1846="","",INDEX(Eingabe!$E$9:$E$18,I1846))</f>
        <v/>
      </c>
    </row>
    <row r="1847" customFormat="false" ht="15" hidden="false" customHeight="false" outlineLevel="0" collapsed="false">
      <c r="A1847" s="0" t="str">
        <f aca="false">IF(I1847="","",IF(J1847=0,"Sparte "&amp;I1847&amp;": "&amp;INDEX(Eingabe!$B$9:$B$18,I1847)&amp;"  (Sparten-ID "&amp;INDEX(Eingabe!$D$9:$D$18,I1847)&amp;", "&amp;K1847&amp;" Parzellen)",IF(J1847&lt;=K1847,"   Parzelle "&amp;J1847,IF(J1847=K1847+1,"   Vorstand",IF(J1847=K1847+2,"   Gäste",IF(J1847=K1847+3,"   Technik (Switches, Access Points)",""))))))</f>
        <v/>
      </c>
      <c r="B1847" s="0" t="str">
        <f aca="false">IF(I1847="","",IF(AND(J1847&gt;=1,J1847&lt;=K1847+3),IF(J1847&lt;=K1847,IF(J1847&lt;=99,IF((INDEX(Eingabe!$G$9:$G$18,I1847))&lt;=9,1000+(INDEX(Eingabe!$G$9:$G$18,I1847))*100,3000)+J1847,IF((INDEX(Eingabe!$G$9:$G$18,I1847)+1)&lt;=9,1000+(INDEX(Eingabe!$G$9:$G$18,I1847)+1)*100,3000)+J1847-100),IF(J1847=K1847+1,2000+INDEX(Eingabe!$G$9:$G$18,I1847)*10+1,IF(J1847=K1847+2,2000+INDEX(Eingabe!$G$9:$G$18,I1847)*10+2,2000+INDEX(Eingabe!$G$9:$G$18,I1847)*10+9))),""))</f>
        <v/>
      </c>
      <c r="C1847" s="0" t="str">
        <f aca="false">IF(I1847="","",IF(AND(J1847&gt;=1,J1847&lt;=K1847+3),"10."&amp;INDEX(Eingabe!$D$9:$D$18,I1847)&amp;"."&amp;IF(J1847&lt;=K1847,J1847,IF(J1847=K1847+1,200,IF(J1847=K1847+2,201,250)))&amp;".0/24",""))</f>
        <v/>
      </c>
      <c r="D1847" s="0" t="str">
        <f aca="false">IF(I1847="","",IF(AND(J1847&gt;=1,J1847&lt;=K1847+3),"255.255.255.0",""))</f>
        <v/>
      </c>
      <c r="E1847" s="0" t="str">
        <f aca="false">IF(I1847="","",IF(AND(J1847&gt;=1,J1847&lt;=K1847+3),"10."&amp;INDEX(Eingabe!$D$9:$D$18,I1847)&amp;"."&amp;IF(J1847&lt;=K1847,J1847,IF(J1847=K1847+1,200,IF(J1847=K1847+2,201,250)))&amp;".1",""))</f>
        <v/>
      </c>
      <c r="F1847" s="0" t="str">
        <f aca="false">IF(I1847="","",IF(AND(J1847&gt;=1,J1847&lt;=K1847+3),"10."&amp;INDEX(Eingabe!$D$9:$D$18,I1847)&amp;"."&amp;IF(J1847&lt;=K1847,J1847,IF(J1847=K1847+1,200,IF(J1847=K1847+2,201,250)))&amp;".10 – 10."&amp;INDEX(Eingabe!$D$9:$D$18,I1847)&amp;"."&amp;IF(J1847&lt;=K1847,J1847,IF(J1847=K1847+1,200,IF(J1847=K1847+2,201,250)))&amp;".250",""))</f>
        <v/>
      </c>
      <c r="G1847" s="0" t="str">
        <f aca="false">IF(I1847="","",IF(AND(J1847&gt;=1,J1847&lt;=K1847),Eingabe!$B$6&amp;"-"&amp;INDEX(Eingabe!$C$9:$C$18,I1847)&amp;"-Pächter  ·  Passwort Parzelle "&amp;J1847,IF(J1847=K1847+1,Eingabe!$B$6&amp;"-"&amp;INDEX(Eingabe!$C$9:$C$18,I1847)&amp;"-Vorstand  ·  eigenes WLAN",IF(J1847=K1847+2,Eingabe!$B$6&amp;"-"&amp;INDEX(Eingabe!$C$9:$C$18,I1847)&amp;"-Gäste  ·  Voucher",IF(J1847=K1847+3,"Kabel  ·  Access Point y = .(50+y), Mast-Switch x = .(10+x)","")))))</f>
        <v/>
      </c>
      <c r="I1847" s="0" t="str">
        <f aca="false">IF(1842&lt;=(Eingabe!$P$18+Eingabe!$Q$18-1),MATCH(1842,Eingabe!$P$9:$P$18,1),"")</f>
        <v/>
      </c>
      <c r="J1847" s="0" t="str">
        <f aca="false">IF(I1847="","",1842-INDEX(Eingabe!$P$9:$P$18,I1847))</f>
        <v/>
      </c>
      <c r="K1847" s="0" t="str">
        <f aca="false">IF(I1847="","",INDEX(Eingabe!$E$9:$E$18,I1847))</f>
        <v/>
      </c>
    </row>
    <row r="1848" customFormat="false" ht="15" hidden="false" customHeight="false" outlineLevel="0" collapsed="false">
      <c r="A1848" s="0" t="str">
        <f aca="false">IF(I1848="","",IF(J1848=0,"Sparte "&amp;I1848&amp;": "&amp;INDEX(Eingabe!$B$9:$B$18,I1848)&amp;"  (Sparten-ID "&amp;INDEX(Eingabe!$D$9:$D$18,I1848)&amp;", "&amp;K1848&amp;" Parzellen)",IF(J1848&lt;=K1848,"   Parzelle "&amp;J1848,IF(J1848=K1848+1,"   Vorstand",IF(J1848=K1848+2,"   Gäste",IF(J1848=K1848+3,"   Technik (Switches, Access Points)",""))))))</f>
        <v/>
      </c>
      <c r="B1848" s="0" t="str">
        <f aca="false">IF(I1848="","",IF(AND(J1848&gt;=1,J1848&lt;=K1848+3),IF(J1848&lt;=K1848,IF(J1848&lt;=99,IF((INDEX(Eingabe!$G$9:$G$18,I1848))&lt;=9,1000+(INDEX(Eingabe!$G$9:$G$18,I1848))*100,3000)+J1848,IF((INDEX(Eingabe!$G$9:$G$18,I1848)+1)&lt;=9,1000+(INDEX(Eingabe!$G$9:$G$18,I1848)+1)*100,3000)+J1848-100),IF(J1848=K1848+1,2000+INDEX(Eingabe!$G$9:$G$18,I1848)*10+1,IF(J1848=K1848+2,2000+INDEX(Eingabe!$G$9:$G$18,I1848)*10+2,2000+INDEX(Eingabe!$G$9:$G$18,I1848)*10+9))),""))</f>
        <v/>
      </c>
      <c r="C1848" s="0" t="str">
        <f aca="false">IF(I1848="","",IF(AND(J1848&gt;=1,J1848&lt;=K1848+3),"10."&amp;INDEX(Eingabe!$D$9:$D$18,I1848)&amp;"."&amp;IF(J1848&lt;=K1848,J1848,IF(J1848=K1848+1,200,IF(J1848=K1848+2,201,250)))&amp;".0/24",""))</f>
        <v/>
      </c>
      <c r="D1848" s="0" t="str">
        <f aca="false">IF(I1848="","",IF(AND(J1848&gt;=1,J1848&lt;=K1848+3),"255.255.255.0",""))</f>
        <v/>
      </c>
      <c r="E1848" s="0" t="str">
        <f aca="false">IF(I1848="","",IF(AND(J1848&gt;=1,J1848&lt;=K1848+3),"10."&amp;INDEX(Eingabe!$D$9:$D$18,I1848)&amp;"."&amp;IF(J1848&lt;=K1848,J1848,IF(J1848=K1848+1,200,IF(J1848=K1848+2,201,250)))&amp;".1",""))</f>
        <v/>
      </c>
      <c r="F1848" s="0" t="str">
        <f aca="false">IF(I1848="","",IF(AND(J1848&gt;=1,J1848&lt;=K1848+3),"10."&amp;INDEX(Eingabe!$D$9:$D$18,I1848)&amp;"."&amp;IF(J1848&lt;=K1848,J1848,IF(J1848=K1848+1,200,IF(J1848=K1848+2,201,250)))&amp;".10 – 10."&amp;INDEX(Eingabe!$D$9:$D$18,I1848)&amp;"."&amp;IF(J1848&lt;=K1848,J1848,IF(J1848=K1848+1,200,IF(J1848=K1848+2,201,250)))&amp;".250",""))</f>
        <v/>
      </c>
      <c r="G1848" s="0" t="str">
        <f aca="false">IF(I1848="","",IF(AND(J1848&gt;=1,J1848&lt;=K1848),Eingabe!$B$6&amp;"-"&amp;INDEX(Eingabe!$C$9:$C$18,I1848)&amp;"-Pächter  ·  Passwort Parzelle "&amp;J1848,IF(J1848=K1848+1,Eingabe!$B$6&amp;"-"&amp;INDEX(Eingabe!$C$9:$C$18,I1848)&amp;"-Vorstand  ·  eigenes WLAN",IF(J1848=K1848+2,Eingabe!$B$6&amp;"-"&amp;INDEX(Eingabe!$C$9:$C$18,I1848)&amp;"-Gäste  ·  Voucher",IF(J1848=K1848+3,"Kabel  ·  Access Point y = .(50+y), Mast-Switch x = .(10+x)","")))))</f>
        <v/>
      </c>
      <c r="I1848" s="0" t="str">
        <f aca="false">IF(1843&lt;=(Eingabe!$P$18+Eingabe!$Q$18-1),MATCH(1843,Eingabe!$P$9:$P$18,1),"")</f>
        <v/>
      </c>
      <c r="J1848" s="0" t="str">
        <f aca="false">IF(I1848="","",1843-INDEX(Eingabe!$P$9:$P$18,I1848))</f>
        <v/>
      </c>
      <c r="K1848" s="0" t="str">
        <f aca="false">IF(I1848="","",INDEX(Eingabe!$E$9:$E$18,I1848))</f>
        <v/>
      </c>
    </row>
    <row r="1849" customFormat="false" ht="15" hidden="false" customHeight="false" outlineLevel="0" collapsed="false">
      <c r="A1849" s="0" t="str">
        <f aca="false">IF(I1849="","",IF(J1849=0,"Sparte "&amp;I1849&amp;": "&amp;INDEX(Eingabe!$B$9:$B$18,I1849)&amp;"  (Sparten-ID "&amp;INDEX(Eingabe!$D$9:$D$18,I1849)&amp;", "&amp;K1849&amp;" Parzellen)",IF(J1849&lt;=K1849,"   Parzelle "&amp;J1849,IF(J1849=K1849+1,"   Vorstand",IF(J1849=K1849+2,"   Gäste",IF(J1849=K1849+3,"   Technik (Switches, Access Points)",""))))))</f>
        <v/>
      </c>
      <c r="B1849" s="0" t="str">
        <f aca="false">IF(I1849="","",IF(AND(J1849&gt;=1,J1849&lt;=K1849+3),IF(J1849&lt;=K1849,IF(J1849&lt;=99,IF((INDEX(Eingabe!$G$9:$G$18,I1849))&lt;=9,1000+(INDEX(Eingabe!$G$9:$G$18,I1849))*100,3000)+J1849,IF((INDEX(Eingabe!$G$9:$G$18,I1849)+1)&lt;=9,1000+(INDEX(Eingabe!$G$9:$G$18,I1849)+1)*100,3000)+J1849-100),IF(J1849=K1849+1,2000+INDEX(Eingabe!$G$9:$G$18,I1849)*10+1,IF(J1849=K1849+2,2000+INDEX(Eingabe!$G$9:$G$18,I1849)*10+2,2000+INDEX(Eingabe!$G$9:$G$18,I1849)*10+9))),""))</f>
        <v/>
      </c>
      <c r="C1849" s="0" t="str">
        <f aca="false">IF(I1849="","",IF(AND(J1849&gt;=1,J1849&lt;=K1849+3),"10."&amp;INDEX(Eingabe!$D$9:$D$18,I1849)&amp;"."&amp;IF(J1849&lt;=K1849,J1849,IF(J1849=K1849+1,200,IF(J1849=K1849+2,201,250)))&amp;".0/24",""))</f>
        <v/>
      </c>
      <c r="D1849" s="0" t="str">
        <f aca="false">IF(I1849="","",IF(AND(J1849&gt;=1,J1849&lt;=K1849+3),"255.255.255.0",""))</f>
        <v/>
      </c>
      <c r="E1849" s="0" t="str">
        <f aca="false">IF(I1849="","",IF(AND(J1849&gt;=1,J1849&lt;=K1849+3),"10."&amp;INDEX(Eingabe!$D$9:$D$18,I1849)&amp;"."&amp;IF(J1849&lt;=K1849,J1849,IF(J1849=K1849+1,200,IF(J1849=K1849+2,201,250)))&amp;".1",""))</f>
        <v/>
      </c>
      <c r="F1849" s="0" t="str">
        <f aca="false">IF(I1849="","",IF(AND(J1849&gt;=1,J1849&lt;=K1849+3),"10."&amp;INDEX(Eingabe!$D$9:$D$18,I1849)&amp;"."&amp;IF(J1849&lt;=K1849,J1849,IF(J1849=K1849+1,200,IF(J1849=K1849+2,201,250)))&amp;".10 – 10."&amp;INDEX(Eingabe!$D$9:$D$18,I1849)&amp;"."&amp;IF(J1849&lt;=K1849,J1849,IF(J1849=K1849+1,200,IF(J1849=K1849+2,201,250)))&amp;".250",""))</f>
        <v/>
      </c>
      <c r="G1849" s="0" t="str">
        <f aca="false">IF(I1849="","",IF(AND(J1849&gt;=1,J1849&lt;=K1849),Eingabe!$B$6&amp;"-"&amp;INDEX(Eingabe!$C$9:$C$18,I1849)&amp;"-Pächter  ·  Passwort Parzelle "&amp;J1849,IF(J1849=K1849+1,Eingabe!$B$6&amp;"-"&amp;INDEX(Eingabe!$C$9:$C$18,I1849)&amp;"-Vorstand  ·  eigenes WLAN",IF(J1849=K1849+2,Eingabe!$B$6&amp;"-"&amp;INDEX(Eingabe!$C$9:$C$18,I1849)&amp;"-Gäste  ·  Voucher",IF(J1849=K1849+3,"Kabel  ·  Access Point y = .(50+y), Mast-Switch x = .(10+x)","")))))</f>
        <v/>
      </c>
      <c r="I1849" s="0" t="str">
        <f aca="false">IF(1844&lt;=(Eingabe!$P$18+Eingabe!$Q$18-1),MATCH(1844,Eingabe!$P$9:$P$18,1),"")</f>
        <v/>
      </c>
      <c r="J1849" s="0" t="str">
        <f aca="false">IF(I1849="","",1844-INDEX(Eingabe!$P$9:$P$18,I1849))</f>
        <v/>
      </c>
      <c r="K1849" s="0" t="str">
        <f aca="false">IF(I1849="","",INDEX(Eingabe!$E$9:$E$18,I1849))</f>
        <v/>
      </c>
    </row>
    <row r="1850" customFormat="false" ht="15" hidden="false" customHeight="false" outlineLevel="0" collapsed="false">
      <c r="A1850" s="0" t="str">
        <f aca="false">IF(I1850="","",IF(J1850=0,"Sparte "&amp;I1850&amp;": "&amp;INDEX(Eingabe!$B$9:$B$18,I1850)&amp;"  (Sparten-ID "&amp;INDEX(Eingabe!$D$9:$D$18,I1850)&amp;", "&amp;K1850&amp;" Parzellen)",IF(J1850&lt;=K1850,"   Parzelle "&amp;J1850,IF(J1850=K1850+1,"   Vorstand",IF(J1850=K1850+2,"   Gäste",IF(J1850=K1850+3,"   Technik (Switches, Access Points)",""))))))</f>
        <v/>
      </c>
      <c r="B1850" s="0" t="str">
        <f aca="false">IF(I1850="","",IF(AND(J1850&gt;=1,J1850&lt;=K1850+3),IF(J1850&lt;=K1850,IF(J1850&lt;=99,IF((INDEX(Eingabe!$G$9:$G$18,I1850))&lt;=9,1000+(INDEX(Eingabe!$G$9:$G$18,I1850))*100,3000)+J1850,IF((INDEX(Eingabe!$G$9:$G$18,I1850)+1)&lt;=9,1000+(INDEX(Eingabe!$G$9:$G$18,I1850)+1)*100,3000)+J1850-100),IF(J1850=K1850+1,2000+INDEX(Eingabe!$G$9:$G$18,I1850)*10+1,IF(J1850=K1850+2,2000+INDEX(Eingabe!$G$9:$G$18,I1850)*10+2,2000+INDEX(Eingabe!$G$9:$G$18,I1850)*10+9))),""))</f>
        <v/>
      </c>
      <c r="C1850" s="0" t="str">
        <f aca="false">IF(I1850="","",IF(AND(J1850&gt;=1,J1850&lt;=K1850+3),"10."&amp;INDEX(Eingabe!$D$9:$D$18,I1850)&amp;"."&amp;IF(J1850&lt;=K1850,J1850,IF(J1850=K1850+1,200,IF(J1850=K1850+2,201,250)))&amp;".0/24",""))</f>
        <v/>
      </c>
      <c r="D1850" s="0" t="str">
        <f aca="false">IF(I1850="","",IF(AND(J1850&gt;=1,J1850&lt;=K1850+3),"255.255.255.0",""))</f>
        <v/>
      </c>
      <c r="E1850" s="0" t="str">
        <f aca="false">IF(I1850="","",IF(AND(J1850&gt;=1,J1850&lt;=K1850+3),"10."&amp;INDEX(Eingabe!$D$9:$D$18,I1850)&amp;"."&amp;IF(J1850&lt;=K1850,J1850,IF(J1850=K1850+1,200,IF(J1850=K1850+2,201,250)))&amp;".1",""))</f>
        <v/>
      </c>
      <c r="F1850" s="0" t="str">
        <f aca="false">IF(I1850="","",IF(AND(J1850&gt;=1,J1850&lt;=K1850+3),"10."&amp;INDEX(Eingabe!$D$9:$D$18,I1850)&amp;"."&amp;IF(J1850&lt;=K1850,J1850,IF(J1850=K1850+1,200,IF(J1850=K1850+2,201,250)))&amp;".10 – 10."&amp;INDEX(Eingabe!$D$9:$D$18,I1850)&amp;"."&amp;IF(J1850&lt;=K1850,J1850,IF(J1850=K1850+1,200,IF(J1850=K1850+2,201,250)))&amp;".250",""))</f>
        <v/>
      </c>
      <c r="G1850" s="0" t="str">
        <f aca="false">IF(I1850="","",IF(AND(J1850&gt;=1,J1850&lt;=K1850),Eingabe!$B$6&amp;"-"&amp;INDEX(Eingabe!$C$9:$C$18,I1850)&amp;"-Pächter  ·  Passwort Parzelle "&amp;J1850,IF(J1850=K1850+1,Eingabe!$B$6&amp;"-"&amp;INDEX(Eingabe!$C$9:$C$18,I1850)&amp;"-Vorstand  ·  eigenes WLAN",IF(J1850=K1850+2,Eingabe!$B$6&amp;"-"&amp;INDEX(Eingabe!$C$9:$C$18,I1850)&amp;"-Gäste  ·  Voucher",IF(J1850=K1850+3,"Kabel  ·  Access Point y = .(50+y), Mast-Switch x = .(10+x)","")))))</f>
        <v/>
      </c>
      <c r="I1850" s="0" t="str">
        <f aca="false">IF(1845&lt;=(Eingabe!$P$18+Eingabe!$Q$18-1),MATCH(1845,Eingabe!$P$9:$P$18,1),"")</f>
        <v/>
      </c>
      <c r="J1850" s="0" t="str">
        <f aca="false">IF(I1850="","",1845-INDEX(Eingabe!$P$9:$P$18,I1850))</f>
        <v/>
      </c>
      <c r="K1850" s="0" t="str">
        <f aca="false">IF(I1850="","",INDEX(Eingabe!$E$9:$E$18,I1850))</f>
        <v/>
      </c>
    </row>
    <row r="1851" customFormat="false" ht="15" hidden="false" customHeight="false" outlineLevel="0" collapsed="false">
      <c r="A1851" s="0" t="str">
        <f aca="false">IF(I1851="","",IF(J1851=0,"Sparte "&amp;I1851&amp;": "&amp;INDEX(Eingabe!$B$9:$B$18,I1851)&amp;"  (Sparten-ID "&amp;INDEX(Eingabe!$D$9:$D$18,I1851)&amp;", "&amp;K1851&amp;" Parzellen)",IF(J1851&lt;=K1851,"   Parzelle "&amp;J1851,IF(J1851=K1851+1,"   Vorstand",IF(J1851=K1851+2,"   Gäste",IF(J1851=K1851+3,"   Technik (Switches, Access Points)",""))))))</f>
        <v/>
      </c>
      <c r="B1851" s="0" t="str">
        <f aca="false">IF(I1851="","",IF(AND(J1851&gt;=1,J1851&lt;=K1851+3),IF(J1851&lt;=K1851,IF(J1851&lt;=99,IF((INDEX(Eingabe!$G$9:$G$18,I1851))&lt;=9,1000+(INDEX(Eingabe!$G$9:$G$18,I1851))*100,3000)+J1851,IF((INDEX(Eingabe!$G$9:$G$18,I1851)+1)&lt;=9,1000+(INDEX(Eingabe!$G$9:$G$18,I1851)+1)*100,3000)+J1851-100),IF(J1851=K1851+1,2000+INDEX(Eingabe!$G$9:$G$18,I1851)*10+1,IF(J1851=K1851+2,2000+INDEX(Eingabe!$G$9:$G$18,I1851)*10+2,2000+INDEX(Eingabe!$G$9:$G$18,I1851)*10+9))),""))</f>
        <v/>
      </c>
      <c r="C1851" s="0" t="str">
        <f aca="false">IF(I1851="","",IF(AND(J1851&gt;=1,J1851&lt;=K1851+3),"10."&amp;INDEX(Eingabe!$D$9:$D$18,I1851)&amp;"."&amp;IF(J1851&lt;=K1851,J1851,IF(J1851=K1851+1,200,IF(J1851=K1851+2,201,250)))&amp;".0/24",""))</f>
        <v/>
      </c>
      <c r="D1851" s="0" t="str">
        <f aca="false">IF(I1851="","",IF(AND(J1851&gt;=1,J1851&lt;=K1851+3),"255.255.255.0",""))</f>
        <v/>
      </c>
      <c r="E1851" s="0" t="str">
        <f aca="false">IF(I1851="","",IF(AND(J1851&gt;=1,J1851&lt;=K1851+3),"10."&amp;INDEX(Eingabe!$D$9:$D$18,I1851)&amp;"."&amp;IF(J1851&lt;=K1851,J1851,IF(J1851=K1851+1,200,IF(J1851=K1851+2,201,250)))&amp;".1",""))</f>
        <v/>
      </c>
      <c r="F1851" s="0" t="str">
        <f aca="false">IF(I1851="","",IF(AND(J1851&gt;=1,J1851&lt;=K1851+3),"10."&amp;INDEX(Eingabe!$D$9:$D$18,I1851)&amp;"."&amp;IF(J1851&lt;=K1851,J1851,IF(J1851=K1851+1,200,IF(J1851=K1851+2,201,250)))&amp;".10 – 10."&amp;INDEX(Eingabe!$D$9:$D$18,I1851)&amp;"."&amp;IF(J1851&lt;=K1851,J1851,IF(J1851=K1851+1,200,IF(J1851=K1851+2,201,250)))&amp;".250",""))</f>
        <v/>
      </c>
      <c r="G1851" s="0" t="str">
        <f aca="false">IF(I1851="","",IF(AND(J1851&gt;=1,J1851&lt;=K1851),Eingabe!$B$6&amp;"-"&amp;INDEX(Eingabe!$C$9:$C$18,I1851)&amp;"-Pächter  ·  Passwort Parzelle "&amp;J1851,IF(J1851=K1851+1,Eingabe!$B$6&amp;"-"&amp;INDEX(Eingabe!$C$9:$C$18,I1851)&amp;"-Vorstand  ·  eigenes WLAN",IF(J1851=K1851+2,Eingabe!$B$6&amp;"-"&amp;INDEX(Eingabe!$C$9:$C$18,I1851)&amp;"-Gäste  ·  Voucher",IF(J1851=K1851+3,"Kabel  ·  Access Point y = .(50+y), Mast-Switch x = .(10+x)","")))))</f>
        <v/>
      </c>
      <c r="I1851" s="0" t="str">
        <f aca="false">IF(1846&lt;=(Eingabe!$P$18+Eingabe!$Q$18-1),MATCH(1846,Eingabe!$P$9:$P$18,1),"")</f>
        <v/>
      </c>
      <c r="J1851" s="0" t="str">
        <f aca="false">IF(I1851="","",1846-INDEX(Eingabe!$P$9:$P$18,I1851))</f>
        <v/>
      </c>
      <c r="K1851" s="0" t="str">
        <f aca="false">IF(I1851="","",INDEX(Eingabe!$E$9:$E$18,I1851))</f>
        <v/>
      </c>
    </row>
    <row r="1852" customFormat="false" ht="15" hidden="false" customHeight="false" outlineLevel="0" collapsed="false">
      <c r="A1852" s="0" t="str">
        <f aca="false">IF(I1852="","",IF(J1852=0,"Sparte "&amp;I1852&amp;": "&amp;INDEX(Eingabe!$B$9:$B$18,I1852)&amp;"  (Sparten-ID "&amp;INDEX(Eingabe!$D$9:$D$18,I1852)&amp;", "&amp;K1852&amp;" Parzellen)",IF(J1852&lt;=K1852,"   Parzelle "&amp;J1852,IF(J1852=K1852+1,"   Vorstand",IF(J1852=K1852+2,"   Gäste",IF(J1852=K1852+3,"   Technik (Switches, Access Points)",""))))))</f>
        <v/>
      </c>
      <c r="B1852" s="0" t="str">
        <f aca="false">IF(I1852="","",IF(AND(J1852&gt;=1,J1852&lt;=K1852+3),IF(J1852&lt;=K1852,IF(J1852&lt;=99,IF((INDEX(Eingabe!$G$9:$G$18,I1852))&lt;=9,1000+(INDEX(Eingabe!$G$9:$G$18,I1852))*100,3000)+J1852,IF((INDEX(Eingabe!$G$9:$G$18,I1852)+1)&lt;=9,1000+(INDEX(Eingabe!$G$9:$G$18,I1852)+1)*100,3000)+J1852-100),IF(J1852=K1852+1,2000+INDEX(Eingabe!$G$9:$G$18,I1852)*10+1,IF(J1852=K1852+2,2000+INDEX(Eingabe!$G$9:$G$18,I1852)*10+2,2000+INDEX(Eingabe!$G$9:$G$18,I1852)*10+9))),""))</f>
        <v/>
      </c>
      <c r="C1852" s="0" t="str">
        <f aca="false">IF(I1852="","",IF(AND(J1852&gt;=1,J1852&lt;=K1852+3),"10."&amp;INDEX(Eingabe!$D$9:$D$18,I1852)&amp;"."&amp;IF(J1852&lt;=K1852,J1852,IF(J1852=K1852+1,200,IF(J1852=K1852+2,201,250)))&amp;".0/24",""))</f>
        <v/>
      </c>
      <c r="D1852" s="0" t="str">
        <f aca="false">IF(I1852="","",IF(AND(J1852&gt;=1,J1852&lt;=K1852+3),"255.255.255.0",""))</f>
        <v/>
      </c>
      <c r="E1852" s="0" t="str">
        <f aca="false">IF(I1852="","",IF(AND(J1852&gt;=1,J1852&lt;=K1852+3),"10."&amp;INDEX(Eingabe!$D$9:$D$18,I1852)&amp;"."&amp;IF(J1852&lt;=K1852,J1852,IF(J1852=K1852+1,200,IF(J1852=K1852+2,201,250)))&amp;".1",""))</f>
        <v/>
      </c>
      <c r="F1852" s="0" t="str">
        <f aca="false">IF(I1852="","",IF(AND(J1852&gt;=1,J1852&lt;=K1852+3),"10."&amp;INDEX(Eingabe!$D$9:$D$18,I1852)&amp;"."&amp;IF(J1852&lt;=K1852,J1852,IF(J1852=K1852+1,200,IF(J1852=K1852+2,201,250)))&amp;".10 – 10."&amp;INDEX(Eingabe!$D$9:$D$18,I1852)&amp;"."&amp;IF(J1852&lt;=K1852,J1852,IF(J1852=K1852+1,200,IF(J1852=K1852+2,201,250)))&amp;".250",""))</f>
        <v/>
      </c>
      <c r="G1852" s="0" t="str">
        <f aca="false">IF(I1852="","",IF(AND(J1852&gt;=1,J1852&lt;=K1852),Eingabe!$B$6&amp;"-"&amp;INDEX(Eingabe!$C$9:$C$18,I1852)&amp;"-Pächter  ·  Passwort Parzelle "&amp;J1852,IF(J1852=K1852+1,Eingabe!$B$6&amp;"-"&amp;INDEX(Eingabe!$C$9:$C$18,I1852)&amp;"-Vorstand  ·  eigenes WLAN",IF(J1852=K1852+2,Eingabe!$B$6&amp;"-"&amp;INDEX(Eingabe!$C$9:$C$18,I1852)&amp;"-Gäste  ·  Voucher",IF(J1852=K1852+3,"Kabel  ·  Access Point y = .(50+y), Mast-Switch x = .(10+x)","")))))</f>
        <v/>
      </c>
      <c r="I1852" s="0" t="str">
        <f aca="false">IF(1847&lt;=(Eingabe!$P$18+Eingabe!$Q$18-1),MATCH(1847,Eingabe!$P$9:$P$18,1),"")</f>
        <v/>
      </c>
      <c r="J1852" s="0" t="str">
        <f aca="false">IF(I1852="","",1847-INDEX(Eingabe!$P$9:$P$18,I1852))</f>
        <v/>
      </c>
      <c r="K1852" s="0" t="str">
        <f aca="false">IF(I1852="","",INDEX(Eingabe!$E$9:$E$18,I1852))</f>
        <v/>
      </c>
    </row>
    <row r="1853" customFormat="false" ht="15" hidden="false" customHeight="false" outlineLevel="0" collapsed="false">
      <c r="A1853" s="0" t="str">
        <f aca="false">IF(I1853="","",IF(J1853=0,"Sparte "&amp;I1853&amp;": "&amp;INDEX(Eingabe!$B$9:$B$18,I1853)&amp;"  (Sparten-ID "&amp;INDEX(Eingabe!$D$9:$D$18,I1853)&amp;", "&amp;K1853&amp;" Parzellen)",IF(J1853&lt;=K1853,"   Parzelle "&amp;J1853,IF(J1853=K1853+1,"   Vorstand",IF(J1853=K1853+2,"   Gäste",IF(J1853=K1853+3,"   Technik (Switches, Access Points)",""))))))</f>
        <v/>
      </c>
      <c r="B1853" s="0" t="str">
        <f aca="false">IF(I1853="","",IF(AND(J1853&gt;=1,J1853&lt;=K1853+3),IF(J1853&lt;=K1853,IF(J1853&lt;=99,IF((INDEX(Eingabe!$G$9:$G$18,I1853))&lt;=9,1000+(INDEX(Eingabe!$G$9:$G$18,I1853))*100,3000)+J1853,IF((INDEX(Eingabe!$G$9:$G$18,I1853)+1)&lt;=9,1000+(INDEX(Eingabe!$G$9:$G$18,I1853)+1)*100,3000)+J1853-100),IF(J1853=K1853+1,2000+INDEX(Eingabe!$G$9:$G$18,I1853)*10+1,IF(J1853=K1853+2,2000+INDEX(Eingabe!$G$9:$G$18,I1853)*10+2,2000+INDEX(Eingabe!$G$9:$G$18,I1853)*10+9))),""))</f>
        <v/>
      </c>
      <c r="C1853" s="0" t="str">
        <f aca="false">IF(I1853="","",IF(AND(J1853&gt;=1,J1853&lt;=K1853+3),"10."&amp;INDEX(Eingabe!$D$9:$D$18,I1853)&amp;"."&amp;IF(J1853&lt;=K1853,J1853,IF(J1853=K1853+1,200,IF(J1853=K1853+2,201,250)))&amp;".0/24",""))</f>
        <v/>
      </c>
      <c r="D1853" s="0" t="str">
        <f aca="false">IF(I1853="","",IF(AND(J1853&gt;=1,J1853&lt;=K1853+3),"255.255.255.0",""))</f>
        <v/>
      </c>
      <c r="E1853" s="0" t="str">
        <f aca="false">IF(I1853="","",IF(AND(J1853&gt;=1,J1853&lt;=K1853+3),"10."&amp;INDEX(Eingabe!$D$9:$D$18,I1853)&amp;"."&amp;IF(J1853&lt;=K1853,J1853,IF(J1853=K1853+1,200,IF(J1853=K1853+2,201,250)))&amp;".1",""))</f>
        <v/>
      </c>
      <c r="F1853" s="0" t="str">
        <f aca="false">IF(I1853="","",IF(AND(J1853&gt;=1,J1853&lt;=K1853+3),"10."&amp;INDEX(Eingabe!$D$9:$D$18,I1853)&amp;"."&amp;IF(J1853&lt;=K1853,J1853,IF(J1853=K1853+1,200,IF(J1853=K1853+2,201,250)))&amp;".10 – 10."&amp;INDEX(Eingabe!$D$9:$D$18,I1853)&amp;"."&amp;IF(J1853&lt;=K1853,J1853,IF(J1853=K1853+1,200,IF(J1853=K1853+2,201,250)))&amp;".250",""))</f>
        <v/>
      </c>
      <c r="G1853" s="0" t="str">
        <f aca="false">IF(I1853="","",IF(AND(J1853&gt;=1,J1853&lt;=K1853),Eingabe!$B$6&amp;"-"&amp;INDEX(Eingabe!$C$9:$C$18,I1853)&amp;"-Pächter  ·  Passwort Parzelle "&amp;J1853,IF(J1853=K1853+1,Eingabe!$B$6&amp;"-"&amp;INDEX(Eingabe!$C$9:$C$18,I1853)&amp;"-Vorstand  ·  eigenes WLAN",IF(J1853=K1853+2,Eingabe!$B$6&amp;"-"&amp;INDEX(Eingabe!$C$9:$C$18,I1853)&amp;"-Gäste  ·  Voucher",IF(J1853=K1853+3,"Kabel  ·  Access Point y = .(50+y), Mast-Switch x = .(10+x)","")))))</f>
        <v/>
      </c>
      <c r="I1853" s="0" t="str">
        <f aca="false">IF(1848&lt;=(Eingabe!$P$18+Eingabe!$Q$18-1),MATCH(1848,Eingabe!$P$9:$P$18,1),"")</f>
        <v/>
      </c>
      <c r="J1853" s="0" t="str">
        <f aca="false">IF(I1853="","",1848-INDEX(Eingabe!$P$9:$P$18,I1853))</f>
        <v/>
      </c>
      <c r="K1853" s="0" t="str">
        <f aca="false">IF(I1853="","",INDEX(Eingabe!$E$9:$E$18,I1853))</f>
        <v/>
      </c>
    </row>
    <row r="1854" customFormat="false" ht="15" hidden="false" customHeight="false" outlineLevel="0" collapsed="false">
      <c r="A1854" s="0" t="str">
        <f aca="false">IF(I1854="","",IF(J1854=0,"Sparte "&amp;I1854&amp;": "&amp;INDEX(Eingabe!$B$9:$B$18,I1854)&amp;"  (Sparten-ID "&amp;INDEX(Eingabe!$D$9:$D$18,I1854)&amp;", "&amp;K1854&amp;" Parzellen)",IF(J1854&lt;=K1854,"   Parzelle "&amp;J1854,IF(J1854=K1854+1,"   Vorstand",IF(J1854=K1854+2,"   Gäste",IF(J1854=K1854+3,"   Technik (Switches, Access Points)",""))))))</f>
        <v/>
      </c>
      <c r="B1854" s="0" t="str">
        <f aca="false">IF(I1854="","",IF(AND(J1854&gt;=1,J1854&lt;=K1854+3),IF(J1854&lt;=K1854,IF(J1854&lt;=99,IF((INDEX(Eingabe!$G$9:$G$18,I1854))&lt;=9,1000+(INDEX(Eingabe!$G$9:$G$18,I1854))*100,3000)+J1854,IF((INDEX(Eingabe!$G$9:$G$18,I1854)+1)&lt;=9,1000+(INDEX(Eingabe!$G$9:$G$18,I1854)+1)*100,3000)+J1854-100),IF(J1854=K1854+1,2000+INDEX(Eingabe!$G$9:$G$18,I1854)*10+1,IF(J1854=K1854+2,2000+INDEX(Eingabe!$G$9:$G$18,I1854)*10+2,2000+INDEX(Eingabe!$G$9:$G$18,I1854)*10+9))),""))</f>
        <v/>
      </c>
      <c r="C1854" s="0" t="str">
        <f aca="false">IF(I1854="","",IF(AND(J1854&gt;=1,J1854&lt;=K1854+3),"10."&amp;INDEX(Eingabe!$D$9:$D$18,I1854)&amp;"."&amp;IF(J1854&lt;=K1854,J1854,IF(J1854=K1854+1,200,IF(J1854=K1854+2,201,250)))&amp;".0/24",""))</f>
        <v/>
      </c>
      <c r="D1854" s="0" t="str">
        <f aca="false">IF(I1854="","",IF(AND(J1854&gt;=1,J1854&lt;=K1854+3),"255.255.255.0",""))</f>
        <v/>
      </c>
      <c r="E1854" s="0" t="str">
        <f aca="false">IF(I1854="","",IF(AND(J1854&gt;=1,J1854&lt;=K1854+3),"10."&amp;INDEX(Eingabe!$D$9:$D$18,I1854)&amp;"."&amp;IF(J1854&lt;=K1854,J1854,IF(J1854=K1854+1,200,IF(J1854=K1854+2,201,250)))&amp;".1",""))</f>
        <v/>
      </c>
      <c r="F1854" s="0" t="str">
        <f aca="false">IF(I1854="","",IF(AND(J1854&gt;=1,J1854&lt;=K1854+3),"10."&amp;INDEX(Eingabe!$D$9:$D$18,I1854)&amp;"."&amp;IF(J1854&lt;=K1854,J1854,IF(J1854=K1854+1,200,IF(J1854=K1854+2,201,250)))&amp;".10 – 10."&amp;INDEX(Eingabe!$D$9:$D$18,I1854)&amp;"."&amp;IF(J1854&lt;=K1854,J1854,IF(J1854=K1854+1,200,IF(J1854=K1854+2,201,250)))&amp;".250",""))</f>
        <v/>
      </c>
      <c r="G1854" s="0" t="str">
        <f aca="false">IF(I1854="","",IF(AND(J1854&gt;=1,J1854&lt;=K1854),Eingabe!$B$6&amp;"-"&amp;INDEX(Eingabe!$C$9:$C$18,I1854)&amp;"-Pächter  ·  Passwort Parzelle "&amp;J1854,IF(J1854=K1854+1,Eingabe!$B$6&amp;"-"&amp;INDEX(Eingabe!$C$9:$C$18,I1854)&amp;"-Vorstand  ·  eigenes WLAN",IF(J1854=K1854+2,Eingabe!$B$6&amp;"-"&amp;INDEX(Eingabe!$C$9:$C$18,I1854)&amp;"-Gäste  ·  Voucher",IF(J1854=K1854+3,"Kabel  ·  Access Point y = .(50+y), Mast-Switch x = .(10+x)","")))))</f>
        <v/>
      </c>
      <c r="I1854" s="0" t="str">
        <f aca="false">IF(1849&lt;=(Eingabe!$P$18+Eingabe!$Q$18-1),MATCH(1849,Eingabe!$P$9:$P$18,1),"")</f>
        <v/>
      </c>
      <c r="J1854" s="0" t="str">
        <f aca="false">IF(I1854="","",1849-INDEX(Eingabe!$P$9:$P$18,I1854))</f>
        <v/>
      </c>
      <c r="K1854" s="0" t="str">
        <f aca="false">IF(I1854="","",INDEX(Eingabe!$E$9:$E$18,I1854))</f>
        <v/>
      </c>
    </row>
    <row r="1855" customFormat="false" ht="15" hidden="false" customHeight="false" outlineLevel="0" collapsed="false">
      <c r="A1855" s="0" t="str">
        <f aca="false">IF(I1855="","",IF(J1855=0,"Sparte "&amp;I1855&amp;": "&amp;INDEX(Eingabe!$B$9:$B$18,I1855)&amp;"  (Sparten-ID "&amp;INDEX(Eingabe!$D$9:$D$18,I1855)&amp;", "&amp;K1855&amp;" Parzellen)",IF(J1855&lt;=K1855,"   Parzelle "&amp;J1855,IF(J1855=K1855+1,"   Vorstand",IF(J1855=K1855+2,"   Gäste",IF(J1855=K1855+3,"   Technik (Switches, Access Points)",""))))))</f>
        <v/>
      </c>
      <c r="B1855" s="0" t="str">
        <f aca="false">IF(I1855="","",IF(AND(J1855&gt;=1,J1855&lt;=K1855+3),IF(J1855&lt;=K1855,IF(J1855&lt;=99,IF((INDEX(Eingabe!$G$9:$G$18,I1855))&lt;=9,1000+(INDEX(Eingabe!$G$9:$G$18,I1855))*100,3000)+J1855,IF((INDEX(Eingabe!$G$9:$G$18,I1855)+1)&lt;=9,1000+(INDEX(Eingabe!$G$9:$G$18,I1855)+1)*100,3000)+J1855-100),IF(J1855=K1855+1,2000+INDEX(Eingabe!$G$9:$G$18,I1855)*10+1,IF(J1855=K1855+2,2000+INDEX(Eingabe!$G$9:$G$18,I1855)*10+2,2000+INDEX(Eingabe!$G$9:$G$18,I1855)*10+9))),""))</f>
        <v/>
      </c>
      <c r="C1855" s="0" t="str">
        <f aca="false">IF(I1855="","",IF(AND(J1855&gt;=1,J1855&lt;=K1855+3),"10."&amp;INDEX(Eingabe!$D$9:$D$18,I1855)&amp;"."&amp;IF(J1855&lt;=K1855,J1855,IF(J1855=K1855+1,200,IF(J1855=K1855+2,201,250)))&amp;".0/24",""))</f>
        <v/>
      </c>
      <c r="D1855" s="0" t="str">
        <f aca="false">IF(I1855="","",IF(AND(J1855&gt;=1,J1855&lt;=K1855+3),"255.255.255.0",""))</f>
        <v/>
      </c>
      <c r="E1855" s="0" t="str">
        <f aca="false">IF(I1855="","",IF(AND(J1855&gt;=1,J1855&lt;=K1855+3),"10."&amp;INDEX(Eingabe!$D$9:$D$18,I1855)&amp;"."&amp;IF(J1855&lt;=K1855,J1855,IF(J1855=K1855+1,200,IF(J1855=K1855+2,201,250)))&amp;".1",""))</f>
        <v/>
      </c>
      <c r="F1855" s="0" t="str">
        <f aca="false">IF(I1855="","",IF(AND(J1855&gt;=1,J1855&lt;=K1855+3),"10."&amp;INDEX(Eingabe!$D$9:$D$18,I1855)&amp;"."&amp;IF(J1855&lt;=K1855,J1855,IF(J1855=K1855+1,200,IF(J1855=K1855+2,201,250)))&amp;".10 – 10."&amp;INDEX(Eingabe!$D$9:$D$18,I1855)&amp;"."&amp;IF(J1855&lt;=K1855,J1855,IF(J1855=K1855+1,200,IF(J1855=K1855+2,201,250)))&amp;".250",""))</f>
        <v/>
      </c>
      <c r="G1855" s="0" t="str">
        <f aca="false">IF(I1855="","",IF(AND(J1855&gt;=1,J1855&lt;=K1855),Eingabe!$B$6&amp;"-"&amp;INDEX(Eingabe!$C$9:$C$18,I1855)&amp;"-Pächter  ·  Passwort Parzelle "&amp;J1855,IF(J1855=K1855+1,Eingabe!$B$6&amp;"-"&amp;INDEX(Eingabe!$C$9:$C$18,I1855)&amp;"-Vorstand  ·  eigenes WLAN",IF(J1855=K1855+2,Eingabe!$B$6&amp;"-"&amp;INDEX(Eingabe!$C$9:$C$18,I1855)&amp;"-Gäste  ·  Voucher",IF(J1855=K1855+3,"Kabel  ·  Access Point y = .(50+y), Mast-Switch x = .(10+x)","")))))</f>
        <v/>
      </c>
      <c r="I1855" s="0" t="str">
        <f aca="false">IF(1850&lt;=(Eingabe!$P$18+Eingabe!$Q$18-1),MATCH(1850,Eingabe!$P$9:$P$18,1),"")</f>
        <v/>
      </c>
      <c r="J1855" s="0" t="str">
        <f aca="false">IF(I1855="","",1850-INDEX(Eingabe!$P$9:$P$18,I1855))</f>
        <v/>
      </c>
      <c r="K1855" s="0" t="str">
        <f aca="false">IF(I1855="","",INDEX(Eingabe!$E$9:$E$18,I1855))</f>
        <v/>
      </c>
    </row>
    <row r="1856" customFormat="false" ht="15" hidden="false" customHeight="false" outlineLevel="0" collapsed="false">
      <c r="A1856" s="0" t="str">
        <f aca="false">IF(I1856="","",IF(J1856=0,"Sparte "&amp;I1856&amp;": "&amp;INDEX(Eingabe!$B$9:$B$18,I1856)&amp;"  (Sparten-ID "&amp;INDEX(Eingabe!$D$9:$D$18,I1856)&amp;", "&amp;K1856&amp;" Parzellen)",IF(J1856&lt;=K1856,"   Parzelle "&amp;J1856,IF(J1856=K1856+1,"   Vorstand",IF(J1856=K1856+2,"   Gäste",IF(J1856=K1856+3,"   Technik (Switches, Access Points)",""))))))</f>
        <v/>
      </c>
      <c r="B1856" s="0" t="str">
        <f aca="false">IF(I1856="","",IF(AND(J1856&gt;=1,J1856&lt;=K1856+3),IF(J1856&lt;=K1856,IF(J1856&lt;=99,IF((INDEX(Eingabe!$G$9:$G$18,I1856))&lt;=9,1000+(INDEX(Eingabe!$G$9:$G$18,I1856))*100,3000)+J1856,IF((INDEX(Eingabe!$G$9:$G$18,I1856)+1)&lt;=9,1000+(INDEX(Eingabe!$G$9:$G$18,I1856)+1)*100,3000)+J1856-100),IF(J1856=K1856+1,2000+INDEX(Eingabe!$G$9:$G$18,I1856)*10+1,IF(J1856=K1856+2,2000+INDEX(Eingabe!$G$9:$G$18,I1856)*10+2,2000+INDEX(Eingabe!$G$9:$G$18,I1856)*10+9))),""))</f>
        <v/>
      </c>
      <c r="C1856" s="0" t="str">
        <f aca="false">IF(I1856="","",IF(AND(J1856&gt;=1,J1856&lt;=K1856+3),"10."&amp;INDEX(Eingabe!$D$9:$D$18,I1856)&amp;"."&amp;IF(J1856&lt;=K1856,J1856,IF(J1856=K1856+1,200,IF(J1856=K1856+2,201,250)))&amp;".0/24",""))</f>
        <v/>
      </c>
      <c r="D1856" s="0" t="str">
        <f aca="false">IF(I1856="","",IF(AND(J1856&gt;=1,J1856&lt;=K1856+3),"255.255.255.0",""))</f>
        <v/>
      </c>
      <c r="E1856" s="0" t="str">
        <f aca="false">IF(I1856="","",IF(AND(J1856&gt;=1,J1856&lt;=K1856+3),"10."&amp;INDEX(Eingabe!$D$9:$D$18,I1856)&amp;"."&amp;IF(J1856&lt;=K1856,J1856,IF(J1856=K1856+1,200,IF(J1856=K1856+2,201,250)))&amp;".1",""))</f>
        <v/>
      </c>
      <c r="F1856" s="0" t="str">
        <f aca="false">IF(I1856="","",IF(AND(J1856&gt;=1,J1856&lt;=K1856+3),"10."&amp;INDEX(Eingabe!$D$9:$D$18,I1856)&amp;"."&amp;IF(J1856&lt;=K1856,J1856,IF(J1856=K1856+1,200,IF(J1856=K1856+2,201,250)))&amp;".10 – 10."&amp;INDEX(Eingabe!$D$9:$D$18,I1856)&amp;"."&amp;IF(J1856&lt;=K1856,J1856,IF(J1856=K1856+1,200,IF(J1856=K1856+2,201,250)))&amp;".250",""))</f>
        <v/>
      </c>
      <c r="G1856" s="0" t="str">
        <f aca="false">IF(I1856="","",IF(AND(J1856&gt;=1,J1856&lt;=K1856),Eingabe!$B$6&amp;"-"&amp;INDEX(Eingabe!$C$9:$C$18,I1856)&amp;"-Pächter  ·  Passwort Parzelle "&amp;J1856,IF(J1856=K1856+1,Eingabe!$B$6&amp;"-"&amp;INDEX(Eingabe!$C$9:$C$18,I1856)&amp;"-Vorstand  ·  eigenes WLAN",IF(J1856=K1856+2,Eingabe!$B$6&amp;"-"&amp;INDEX(Eingabe!$C$9:$C$18,I1856)&amp;"-Gäste  ·  Voucher",IF(J1856=K1856+3,"Kabel  ·  Access Point y = .(50+y), Mast-Switch x = .(10+x)","")))))</f>
        <v/>
      </c>
      <c r="I1856" s="0" t="str">
        <f aca="false">IF(1851&lt;=(Eingabe!$P$18+Eingabe!$Q$18-1),MATCH(1851,Eingabe!$P$9:$P$18,1),"")</f>
        <v/>
      </c>
      <c r="J1856" s="0" t="str">
        <f aca="false">IF(I1856="","",1851-INDEX(Eingabe!$P$9:$P$18,I1856))</f>
        <v/>
      </c>
      <c r="K1856" s="0" t="str">
        <f aca="false">IF(I1856="","",INDEX(Eingabe!$E$9:$E$18,I1856))</f>
        <v/>
      </c>
    </row>
    <row r="1857" customFormat="false" ht="15" hidden="false" customHeight="false" outlineLevel="0" collapsed="false">
      <c r="A1857" s="0" t="str">
        <f aca="false">IF(I1857="","",IF(J1857=0,"Sparte "&amp;I1857&amp;": "&amp;INDEX(Eingabe!$B$9:$B$18,I1857)&amp;"  (Sparten-ID "&amp;INDEX(Eingabe!$D$9:$D$18,I1857)&amp;", "&amp;K1857&amp;" Parzellen)",IF(J1857&lt;=K1857,"   Parzelle "&amp;J1857,IF(J1857=K1857+1,"   Vorstand",IF(J1857=K1857+2,"   Gäste",IF(J1857=K1857+3,"   Technik (Switches, Access Points)",""))))))</f>
        <v/>
      </c>
      <c r="B1857" s="0" t="str">
        <f aca="false">IF(I1857="","",IF(AND(J1857&gt;=1,J1857&lt;=K1857+3),IF(J1857&lt;=K1857,IF(J1857&lt;=99,IF((INDEX(Eingabe!$G$9:$G$18,I1857))&lt;=9,1000+(INDEX(Eingabe!$G$9:$G$18,I1857))*100,3000)+J1857,IF((INDEX(Eingabe!$G$9:$G$18,I1857)+1)&lt;=9,1000+(INDEX(Eingabe!$G$9:$G$18,I1857)+1)*100,3000)+J1857-100),IF(J1857=K1857+1,2000+INDEX(Eingabe!$G$9:$G$18,I1857)*10+1,IF(J1857=K1857+2,2000+INDEX(Eingabe!$G$9:$G$18,I1857)*10+2,2000+INDEX(Eingabe!$G$9:$G$18,I1857)*10+9))),""))</f>
        <v/>
      </c>
      <c r="C1857" s="0" t="str">
        <f aca="false">IF(I1857="","",IF(AND(J1857&gt;=1,J1857&lt;=K1857+3),"10."&amp;INDEX(Eingabe!$D$9:$D$18,I1857)&amp;"."&amp;IF(J1857&lt;=K1857,J1857,IF(J1857=K1857+1,200,IF(J1857=K1857+2,201,250)))&amp;".0/24",""))</f>
        <v/>
      </c>
      <c r="D1857" s="0" t="str">
        <f aca="false">IF(I1857="","",IF(AND(J1857&gt;=1,J1857&lt;=K1857+3),"255.255.255.0",""))</f>
        <v/>
      </c>
      <c r="E1857" s="0" t="str">
        <f aca="false">IF(I1857="","",IF(AND(J1857&gt;=1,J1857&lt;=K1857+3),"10."&amp;INDEX(Eingabe!$D$9:$D$18,I1857)&amp;"."&amp;IF(J1857&lt;=K1857,J1857,IF(J1857=K1857+1,200,IF(J1857=K1857+2,201,250)))&amp;".1",""))</f>
        <v/>
      </c>
      <c r="F1857" s="0" t="str">
        <f aca="false">IF(I1857="","",IF(AND(J1857&gt;=1,J1857&lt;=K1857+3),"10."&amp;INDEX(Eingabe!$D$9:$D$18,I1857)&amp;"."&amp;IF(J1857&lt;=K1857,J1857,IF(J1857=K1857+1,200,IF(J1857=K1857+2,201,250)))&amp;".10 – 10."&amp;INDEX(Eingabe!$D$9:$D$18,I1857)&amp;"."&amp;IF(J1857&lt;=K1857,J1857,IF(J1857=K1857+1,200,IF(J1857=K1857+2,201,250)))&amp;".250",""))</f>
        <v/>
      </c>
      <c r="G1857" s="0" t="str">
        <f aca="false">IF(I1857="","",IF(AND(J1857&gt;=1,J1857&lt;=K1857),Eingabe!$B$6&amp;"-"&amp;INDEX(Eingabe!$C$9:$C$18,I1857)&amp;"-Pächter  ·  Passwort Parzelle "&amp;J1857,IF(J1857=K1857+1,Eingabe!$B$6&amp;"-"&amp;INDEX(Eingabe!$C$9:$C$18,I1857)&amp;"-Vorstand  ·  eigenes WLAN",IF(J1857=K1857+2,Eingabe!$B$6&amp;"-"&amp;INDEX(Eingabe!$C$9:$C$18,I1857)&amp;"-Gäste  ·  Voucher",IF(J1857=K1857+3,"Kabel  ·  Access Point y = .(50+y), Mast-Switch x = .(10+x)","")))))</f>
        <v/>
      </c>
      <c r="I1857" s="0" t="str">
        <f aca="false">IF(1852&lt;=(Eingabe!$P$18+Eingabe!$Q$18-1),MATCH(1852,Eingabe!$P$9:$P$18,1),"")</f>
        <v/>
      </c>
      <c r="J1857" s="0" t="str">
        <f aca="false">IF(I1857="","",1852-INDEX(Eingabe!$P$9:$P$18,I1857))</f>
        <v/>
      </c>
      <c r="K1857" s="0" t="str">
        <f aca="false">IF(I1857="","",INDEX(Eingabe!$E$9:$E$18,I1857))</f>
        <v/>
      </c>
    </row>
    <row r="1858" customFormat="false" ht="15" hidden="false" customHeight="false" outlineLevel="0" collapsed="false">
      <c r="A1858" s="0" t="str">
        <f aca="false">IF(I1858="","",IF(J1858=0,"Sparte "&amp;I1858&amp;": "&amp;INDEX(Eingabe!$B$9:$B$18,I1858)&amp;"  (Sparten-ID "&amp;INDEX(Eingabe!$D$9:$D$18,I1858)&amp;", "&amp;K1858&amp;" Parzellen)",IF(J1858&lt;=K1858,"   Parzelle "&amp;J1858,IF(J1858=K1858+1,"   Vorstand",IF(J1858=K1858+2,"   Gäste",IF(J1858=K1858+3,"   Technik (Switches, Access Points)",""))))))</f>
        <v/>
      </c>
      <c r="B1858" s="0" t="str">
        <f aca="false">IF(I1858="","",IF(AND(J1858&gt;=1,J1858&lt;=K1858+3),IF(J1858&lt;=K1858,IF(J1858&lt;=99,IF((INDEX(Eingabe!$G$9:$G$18,I1858))&lt;=9,1000+(INDEX(Eingabe!$G$9:$G$18,I1858))*100,3000)+J1858,IF((INDEX(Eingabe!$G$9:$G$18,I1858)+1)&lt;=9,1000+(INDEX(Eingabe!$G$9:$G$18,I1858)+1)*100,3000)+J1858-100),IF(J1858=K1858+1,2000+INDEX(Eingabe!$G$9:$G$18,I1858)*10+1,IF(J1858=K1858+2,2000+INDEX(Eingabe!$G$9:$G$18,I1858)*10+2,2000+INDEX(Eingabe!$G$9:$G$18,I1858)*10+9))),""))</f>
        <v/>
      </c>
      <c r="C1858" s="0" t="str">
        <f aca="false">IF(I1858="","",IF(AND(J1858&gt;=1,J1858&lt;=K1858+3),"10."&amp;INDEX(Eingabe!$D$9:$D$18,I1858)&amp;"."&amp;IF(J1858&lt;=K1858,J1858,IF(J1858=K1858+1,200,IF(J1858=K1858+2,201,250)))&amp;".0/24",""))</f>
        <v/>
      </c>
      <c r="D1858" s="0" t="str">
        <f aca="false">IF(I1858="","",IF(AND(J1858&gt;=1,J1858&lt;=K1858+3),"255.255.255.0",""))</f>
        <v/>
      </c>
      <c r="E1858" s="0" t="str">
        <f aca="false">IF(I1858="","",IF(AND(J1858&gt;=1,J1858&lt;=K1858+3),"10."&amp;INDEX(Eingabe!$D$9:$D$18,I1858)&amp;"."&amp;IF(J1858&lt;=K1858,J1858,IF(J1858=K1858+1,200,IF(J1858=K1858+2,201,250)))&amp;".1",""))</f>
        <v/>
      </c>
      <c r="F1858" s="0" t="str">
        <f aca="false">IF(I1858="","",IF(AND(J1858&gt;=1,J1858&lt;=K1858+3),"10."&amp;INDEX(Eingabe!$D$9:$D$18,I1858)&amp;"."&amp;IF(J1858&lt;=K1858,J1858,IF(J1858=K1858+1,200,IF(J1858=K1858+2,201,250)))&amp;".10 – 10."&amp;INDEX(Eingabe!$D$9:$D$18,I1858)&amp;"."&amp;IF(J1858&lt;=K1858,J1858,IF(J1858=K1858+1,200,IF(J1858=K1858+2,201,250)))&amp;".250",""))</f>
        <v/>
      </c>
      <c r="G1858" s="0" t="str">
        <f aca="false">IF(I1858="","",IF(AND(J1858&gt;=1,J1858&lt;=K1858),Eingabe!$B$6&amp;"-"&amp;INDEX(Eingabe!$C$9:$C$18,I1858)&amp;"-Pächter  ·  Passwort Parzelle "&amp;J1858,IF(J1858=K1858+1,Eingabe!$B$6&amp;"-"&amp;INDEX(Eingabe!$C$9:$C$18,I1858)&amp;"-Vorstand  ·  eigenes WLAN",IF(J1858=K1858+2,Eingabe!$B$6&amp;"-"&amp;INDEX(Eingabe!$C$9:$C$18,I1858)&amp;"-Gäste  ·  Voucher",IF(J1858=K1858+3,"Kabel  ·  Access Point y = .(50+y), Mast-Switch x = .(10+x)","")))))</f>
        <v/>
      </c>
      <c r="I1858" s="0" t="str">
        <f aca="false">IF(1853&lt;=(Eingabe!$P$18+Eingabe!$Q$18-1),MATCH(1853,Eingabe!$P$9:$P$18,1),"")</f>
        <v/>
      </c>
      <c r="J1858" s="0" t="str">
        <f aca="false">IF(I1858="","",1853-INDEX(Eingabe!$P$9:$P$18,I1858))</f>
        <v/>
      </c>
      <c r="K1858" s="0" t="str">
        <f aca="false">IF(I1858="","",INDEX(Eingabe!$E$9:$E$18,I1858))</f>
        <v/>
      </c>
    </row>
    <row r="1859" customFormat="false" ht="15" hidden="false" customHeight="false" outlineLevel="0" collapsed="false">
      <c r="A1859" s="0" t="str">
        <f aca="false">IF(I1859="","",IF(J1859=0,"Sparte "&amp;I1859&amp;": "&amp;INDEX(Eingabe!$B$9:$B$18,I1859)&amp;"  (Sparten-ID "&amp;INDEX(Eingabe!$D$9:$D$18,I1859)&amp;", "&amp;K1859&amp;" Parzellen)",IF(J1859&lt;=K1859,"   Parzelle "&amp;J1859,IF(J1859=K1859+1,"   Vorstand",IF(J1859=K1859+2,"   Gäste",IF(J1859=K1859+3,"   Technik (Switches, Access Points)",""))))))</f>
        <v/>
      </c>
      <c r="B1859" s="0" t="str">
        <f aca="false">IF(I1859="","",IF(AND(J1859&gt;=1,J1859&lt;=K1859+3),IF(J1859&lt;=K1859,IF(J1859&lt;=99,IF((INDEX(Eingabe!$G$9:$G$18,I1859))&lt;=9,1000+(INDEX(Eingabe!$G$9:$G$18,I1859))*100,3000)+J1859,IF((INDEX(Eingabe!$G$9:$G$18,I1859)+1)&lt;=9,1000+(INDEX(Eingabe!$G$9:$G$18,I1859)+1)*100,3000)+J1859-100),IF(J1859=K1859+1,2000+INDEX(Eingabe!$G$9:$G$18,I1859)*10+1,IF(J1859=K1859+2,2000+INDEX(Eingabe!$G$9:$G$18,I1859)*10+2,2000+INDEX(Eingabe!$G$9:$G$18,I1859)*10+9))),""))</f>
        <v/>
      </c>
      <c r="C1859" s="0" t="str">
        <f aca="false">IF(I1859="","",IF(AND(J1859&gt;=1,J1859&lt;=K1859+3),"10."&amp;INDEX(Eingabe!$D$9:$D$18,I1859)&amp;"."&amp;IF(J1859&lt;=K1859,J1859,IF(J1859=K1859+1,200,IF(J1859=K1859+2,201,250)))&amp;".0/24",""))</f>
        <v/>
      </c>
      <c r="D1859" s="0" t="str">
        <f aca="false">IF(I1859="","",IF(AND(J1859&gt;=1,J1859&lt;=K1859+3),"255.255.255.0",""))</f>
        <v/>
      </c>
      <c r="E1859" s="0" t="str">
        <f aca="false">IF(I1859="","",IF(AND(J1859&gt;=1,J1859&lt;=K1859+3),"10."&amp;INDEX(Eingabe!$D$9:$D$18,I1859)&amp;"."&amp;IF(J1859&lt;=K1859,J1859,IF(J1859=K1859+1,200,IF(J1859=K1859+2,201,250)))&amp;".1",""))</f>
        <v/>
      </c>
      <c r="F1859" s="0" t="str">
        <f aca="false">IF(I1859="","",IF(AND(J1859&gt;=1,J1859&lt;=K1859+3),"10."&amp;INDEX(Eingabe!$D$9:$D$18,I1859)&amp;"."&amp;IF(J1859&lt;=K1859,J1859,IF(J1859=K1859+1,200,IF(J1859=K1859+2,201,250)))&amp;".10 – 10."&amp;INDEX(Eingabe!$D$9:$D$18,I1859)&amp;"."&amp;IF(J1859&lt;=K1859,J1859,IF(J1859=K1859+1,200,IF(J1859=K1859+2,201,250)))&amp;".250",""))</f>
        <v/>
      </c>
      <c r="G1859" s="0" t="str">
        <f aca="false">IF(I1859="","",IF(AND(J1859&gt;=1,J1859&lt;=K1859),Eingabe!$B$6&amp;"-"&amp;INDEX(Eingabe!$C$9:$C$18,I1859)&amp;"-Pächter  ·  Passwort Parzelle "&amp;J1859,IF(J1859=K1859+1,Eingabe!$B$6&amp;"-"&amp;INDEX(Eingabe!$C$9:$C$18,I1859)&amp;"-Vorstand  ·  eigenes WLAN",IF(J1859=K1859+2,Eingabe!$B$6&amp;"-"&amp;INDEX(Eingabe!$C$9:$C$18,I1859)&amp;"-Gäste  ·  Voucher",IF(J1859=K1859+3,"Kabel  ·  Access Point y = .(50+y), Mast-Switch x = .(10+x)","")))))</f>
        <v/>
      </c>
      <c r="I1859" s="0" t="str">
        <f aca="false">IF(1854&lt;=(Eingabe!$P$18+Eingabe!$Q$18-1),MATCH(1854,Eingabe!$P$9:$P$18,1),"")</f>
        <v/>
      </c>
      <c r="J1859" s="0" t="str">
        <f aca="false">IF(I1859="","",1854-INDEX(Eingabe!$P$9:$P$18,I1859))</f>
        <v/>
      </c>
      <c r="K1859" s="0" t="str">
        <f aca="false">IF(I1859="","",INDEX(Eingabe!$E$9:$E$18,I1859))</f>
        <v/>
      </c>
    </row>
    <row r="1860" customFormat="false" ht="15" hidden="false" customHeight="false" outlineLevel="0" collapsed="false">
      <c r="A1860" s="0" t="str">
        <f aca="false">IF(I1860="","",IF(J1860=0,"Sparte "&amp;I1860&amp;": "&amp;INDEX(Eingabe!$B$9:$B$18,I1860)&amp;"  (Sparten-ID "&amp;INDEX(Eingabe!$D$9:$D$18,I1860)&amp;", "&amp;K1860&amp;" Parzellen)",IF(J1860&lt;=K1860,"   Parzelle "&amp;J1860,IF(J1860=K1860+1,"   Vorstand",IF(J1860=K1860+2,"   Gäste",IF(J1860=K1860+3,"   Technik (Switches, Access Points)",""))))))</f>
        <v/>
      </c>
      <c r="B1860" s="0" t="str">
        <f aca="false">IF(I1860="","",IF(AND(J1860&gt;=1,J1860&lt;=K1860+3),IF(J1860&lt;=K1860,IF(J1860&lt;=99,IF((INDEX(Eingabe!$G$9:$G$18,I1860))&lt;=9,1000+(INDEX(Eingabe!$G$9:$G$18,I1860))*100,3000)+J1860,IF((INDEX(Eingabe!$G$9:$G$18,I1860)+1)&lt;=9,1000+(INDEX(Eingabe!$G$9:$G$18,I1860)+1)*100,3000)+J1860-100),IF(J1860=K1860+1,2000+INDEX(Eingabe!$G$9:$G$18,I1860)*10+1,IF(J1860=K1860+2,2000+INDEX(Eingabe!$G$9:$G$18,I1860)*10+2,2000+INDEX(Eingabe!$G$9:$G$18,I1860)*10+9))),""))</f>
        <v/>
      </c>
      <c r="C1860" s="0" t="str">
        <f aca="false">IF(I1860="","",IF(AND(J1860&gt;=1,J1860&lt;=K1860+3),"10."&amp;INDEX(Eingabe!$D$9:$D$18,I1860)&amp;"."&amp;IF(J1860&lt;=K1860,J1860,IF(J1860=K1860+1,200,IF(J1860=K1860+2,201,250)))&amp;".0/24",""))</f>
        <v/>
      </c>
      <c r="D1860" s="0" t="str">
        <f aca="false">IF(I1860="","",IF(AND(J1860&gt;=1,J1860&lt;=K1860+3),"255.255.255.0",""))</f>
        <v/>
      </c>
      <c r="E1860" s="0" t="str">
        <f aca="false">IF(I1860="","",IF(AND(J1860&gt;=1,J1860&lt;=K1860+3),"10."&amp;INDEX(Eingabe!$D$9:$D$18,I1860)&amp;"."&amp;IF(J1860&lt;=K1860,J1860,IF(J1860=K1860+1,200,IF(J1860=K1860+2,201,250)))&amp;".1",""))</f>
        <v/>
      </c>
      <c r="F1860" s="0" t="str">
        <f aca="false">IF(I1860="","",IF(AND(J1860&gt;=1,J1860&lt;=K1860+3),"10."&amp;INDEX(Eingabe!$D$9:$D$18,I1860)&amp;"."&amp;IF(J1860&lt;=K1860,J1860,IF(J1860=K1860+1,200,IF(J1860=K1860+2,201,250)))&amp;".10 – 10."&amp;INDEX(Eingabe!$D$9:$D$18,I1860)&amp;"."&amp;IF(J1860&lt;=K1860,J1860,IF(J1860=K1860+1,200,IF(J1860=K1860+2,201,250)))&amp;".250",""))</f>
        <v/>
      </c>
      <c r="G1860" s="0" t="str">
        <f aca="false">IF(I1860="","",IF(AND(J1860&gt;=1,J1860&lt;=K1860),Eingabe!$B$6&amp;"-"&amp;INDEX(Eingabe!$C$9:$C$18,I1860)&amp;"-Pächter  ·  Passwort Parzelle "&amp;J1860,IF(J1860=K1860+1,Eingabe!$B$6&amp;"-"&amp;INDEX(Eingabe!$C$9:$C$18,I1860)&amp;"-Vorstand  ·  eigenes WLAN",IF(J1860=K1860+2,Eingabe!$B$6&amp;"-"&amp;INDEX(Eingabe!$C$9:$C$18,I1860)&amp;"-Gäste  ·  Voucher",IF(J1860=K1860+3,"Kabel  ·  Access Point y = .(50+y), Mast-Switch x = .(10+x)","")))))</f>
        <v/>
      </c>
      <c r="I1860" s="0" t="str">
        <f aca="false">IF(1855&lt;=(Eingabe!$P$18+Eingabe!$Q$18-1),MATCH(1855,Eingabe!$P$9:$P$18,1),"")</f>
        <v/>
      </c>
      <c r="J1860" s="0" t="str">
        <f aca="false">IF(I1860="","",1855-INDEX(Eingabe!$P$9:$P$18,I1860))</f>
        <v/>
      </c>
      <c r="K1860" s="0" t="str">
        <f aca="false">IF(I1860="","",INDEX(Eingabe!$E$9:$E$18,I1860))</f>
        <v/>
      </c>
    </row>
    <row r="1861" customFormat="false" ht="15" hidden="false" customHeight="false" outlineLevel="0" collapsed="false">
      <c r="A1861" s="0" t="str">
        <f aca="false">IF(I1861="","",IF(J1861=0,"Sparte "&amp;I1861&amp;": "&amp;INDEX(Eingabe!$B$9:$B$18,I1861)&amp;"  (Sparten-ID "&amp;INDEX(Eingabe!$D$9:$D$18,I1861)&amp;", "&amp;K1861&amp;" Parzellen)",IF(J1861&lt;=K1861,"   Parzelle "&amp;J1861,IF(J1861=K1861+1,"   Vorstand",IF(J1861=K1861+2,"   Gäste",IF(J1861=K1861+3,"   Technik (Switches, Access Points)",""))))))</f>
        <v/>
      </c>
      <c r="B1861" s="0" t="str">
        <f aca="false">IF(I1861="","",IF(AND(J1861&gt;=1,J1861&lt;=K1861+3),IF(J1861&lt;=K1861,IF(J1861&lt;=99,IF((INDEX(Eingabe!$G$9:$G$18,I1861))&lt;=9,1000+(INDEX(Eingabe!$G$9:$G$18,I1861))*100,3000)+J1861,IF((INDEX(Eingabe!$G$9:$G$18,I1861)+1)&lt;=9,1000+(INDEX(Eingabe!$G$9:$G$18,I1861)+1)*100,3000)+J1861-100),IF(J1861=K1861+1,2000+INDEX(Eingabe!$G$9:$G$18,I1861)*10+1,IF(J1861=K1861+2,2000+INDEX(Eingabe!$G$9:$G$18,I1861)*10+2,2000+INDEX(Eingabe!$G$9:$G$18,I1861)*10+9))),""))</f>
        <v/>
      </c>
      <c r="C1861" s="0" t="str">
        <f aca="false">IF(I1861="","",IF(AND(J1861&gt;=1,J1861&lt;=K1861+3),"10."&amp;INDEX(Eingabe!$D$9:$D$18,I1861)&amp;"."&amp;IF(J1861&lt;=K1861,J1861,IF(J1861=K1861+1,200,IF(J1861=K1861+2,201,250)))&amp;".0/24",""))</f>
        <v/>
      </c>
      <c r="D1861" s="0" t="str">
        <f aca="false">IF(I1861="","",IF(AND(J1861&gt;=1,J1861&lt;=K1861+3),"255.255.255.0",""))</f>
        <v/>
      </c>
      <c r="E1861" s="0" t="str">
        <f aca="false">IF(I1861="","",IF(AND(J1861&gt;=1,J1861&lt;=K1861+3),"10."&amp;INDEX(Eingabe!$D$9:$D$18,I1861)&amp;"."&amp;IF(J1861&lt;=K1861,J1861,IF(J1861=K1861+1,200,IF(J1861=K1861+2,201,250)))&amp;".1",""))</f>
        <v/>
      </c>
      <c r="F1861" s="0" t="str">
        <f aca="false">IF(I1861="","",IF(AND(J1861&gt;=1,J1861&lt;=K1861+3),"10."&amp;INDEX(Eingabe!$D$9:$D$18,I1861)&amp;"."&amp;IF(J1861&lt;=K1861,J1861,IF(J1861=K1861+1,200,IF(J1861=K1861+2,201,250)))&amp;".10 – 10."&amp;INDEX(Eingabe!$D$9:$D$18,I1861)&amp;"."&amp;IF(J1861&lt;=K1861,J1861,IF(J1861=K1861+1,200,IF(J1861=K1861+2,201,250)))&amp;".250",""))</f>
        <v/>
      </c>
      <c r="G1861" s="0" t="str">
        <f aca="false">IF(I1861="","",IF(AND(J1861&gt;=1,J1861&lt;=K1861),Eingabe!$B$6&amp;"-"&amp;INDEX(Eingabe!$C$9:$C$18,I1861)&amp;"-Pächter  ·  Passwort Parzelle "&amp;J1861,IF(J1861=K1861+1,Eingabe!$B$6&amp;"-"&amp;INDEX(Eingabe!$C$9:$C$18,I1861)&amp;"-Vorstand  ·  eigenes WLAN",IF(J1861=K1861+2,Eingabe!$B$6&amp;"-"&amp;INDEX(Eingabe!$C$9:$C$18,I1861)&amp;"-Gäste  ·  Voucher",IF(J1861=K1861+3,"Kabel  ·  Access Point y = .(50+y), Mast-Switch x = .(10+x)","")))))</f>
        <v/>
      </c>
      <c r="I1861" s="0" t="str">
        <f aca="false">IF(1856&lt;=(Eingabe!$P$18+Eingabe!$Q$18-1),MATCH(1856,Eingabe!$P$9:$P$18,1),"")</f>
        <v/>
      </c>
      <c r="J1861" s="0" t="str">
        <f aca="false">IF(I1861="","",1856-INDEX(Eingabe!$P$9:$P$18,I1861))</f>
        <v/>
      </c>
      <c r="K1861" s="0" t="str">
        <f aca="false">IF(I1861="","",INDEX(Eingabe!$E$9:$E$18,I1861))</f>
        <v/>
      </c>
    </row>
    <row r="1862" customFormat="false" ht="15" hidden="false" customHeight="false" outlineLevel="0" collapsed="false">
      <c r="A1862" s="0" t="str">
        <f aca="false">IF(I1862="","",IF(J1862=0,"Sparte "&amp;I1862&amp;": "&amp;INDEX(Eingabe!$B$9:$B$18,I1862)&amp;"  (Sparten-ID "&amp;INDEX(Eingabe!$D$9:$D$18,I1862)&amp;", "&amp;K1862&amp;" Parzellen)",IF(J1862&lt;=K1862,"   Parzelle "&amp;J1862,IF(J1862=K1862+1,"   Vorstand",IF(J1862=K1862+2,"   Gäste",IF(J1862=K1862+3,"   Technik (Switches, Access Points)",""))))))</f>
        <v/>
      </c>
      <c r="B1862" s="0" t="str">
        <f aca="false">IF(I1862="","",IF(AND(J1862&gt;=1,J1862&lt;=K1862+3),IF(J1862&lt;=K1862,IF(J1862&lt;=99,IF((INDEX(Eingabe!$G$9:$G$18,I1862))&lt;=9,1000+(INDEX(Eingabe!$G$9:$G$18,I1862))*100,3000)+J1862,IF((INDEX(Eingabe!$G$9:$G$18,I1862)+1)&lt;=9,1000+(INDEX(Eingabe!$G$9:$G$18,I1862)+1)*100,3000)+J1862-100),IF(J1862=K1862+1,2000+INDEX(Eingabe!$G$9:$G$18,I1862)*10+1,IF(J1862=K1862+2,2000+INDEX(Eingabe!$G$9:$G$18,I1862)*10+2,2000+INDEX(Eingabe!$G$9:$G$18,I1862)*10+9))),""))</f>
        <v/>
      </c>
      <c r="C1862" s="0" t="str">
        <f aca="false">IF(I1862="","",IF(AND(J1862&gt;=1,J1862&lt;=K1862+3),"10."&amp;INDEX(Eingabe!$D$9:$D$18,I1862)&amp;"."&amp;IF(J1862&lt;=K1862,J1862,IF(J1862=K1862+1,200,IF(J1862=K1862+2,201,250)))&amp;".0/24",""))</f>
        <v/>
      </c>
      <c r="D1862" s="0" t="str">
        <f aca="false">IF(I1862="","",IF(AND(J1862&gt;=1,J1862&lt;=K1862+3),"255.255.255.0",""))</f>
        <v/>
      </c>
      <c r="E1862" s="0" t="str">
        <f aca="false">IF(I1862="","",IF(AND(J1862&gt;=1,J1862&lt;=K1862+3),"10."&amp;INDEX(Eingabe!$D$9:$D$18,I1862)&amp;"."&amp;IF(J1862&lt;=K1862,J1862,IF(J1862=K1862+1,200,IF(J1862=K1862+2,201,250)))&amp;".1",""))</f>
        <v/>
      </c>
      <c r="F1862" s="0" t="str">
        <f aca="false">IF(I1862="","",IF(AND(J1862&gt;=1,J1862&lt;=K1862+3),"10."&amp;INDEX(Eingabe!$D$9:$D$18,I1862)&amp;"."&amp;IF(J1862&lt;=K1862,J1862,IF(J1862=K1862+1,200,IF(J1862=K1862+2,201,250)))&amp;".10 – 10."&amp;INDEX(Eingabe!$D$9:$D$18,I1862)&amp;"."&amp;IF(J1862&lt;=K1862,J1862,IF(J1862=K1862+1,200,IF(J1862=K1862+2,201,250)))&amp;".250",""))</f>
        <v/>
      </c>
      <c r="G1862" s="0" t="str">
        <f aca="false">IF(I1862="","",IF(AND(J1862&gt;=1,J1862&lt;=K1862),Eingabe!$B$6&amp;"-"&amp;INDEX(Eingabe!$C$9:$C$18,I1862)&amp;"-Pächter  ·  Passwort Parzelle "&amp;J1862,IF(J1862=K1862+1,Eingabe!$B$6&amp;"-"&amp;INDEX(Eingabe!$C$9:$C$18,I1862)&amp;"-Vorstand  ·  eigenes WLAN",IF(J1862=K1862+2,Eingabe!$B$6&amp;"-"&amp;INDEX(Eingabe!$C$9:$C$18,I1862)&amp;"-Gäste  ·  Voucher",IF(J1862=K1862+3,"Kabel  ·  Access Point y = .(50+y), Mast-Switch x = .(10+x)","")))))</f>
        <v/>
      </c>
      <c r="I1862" s="0" t="str">
        <f aca="false">IF(1857&lt;=(Eingabe!$P$18+Eingabe!$Q$18-1),MATCH(1857,Eingabe!$P$9:$P$18,1),"")</f>
        <v/>
      </c>
      <c r="J1862" s="0" t="str">
        <f aca="false">IF(I1862="","",1857-INDEX(Eingabe!$P$9:$P$18,I1862))</f>
        <v/>
      </c>
      <c r="K1862" s="0" t="str">
        <f aca="false">IF(I1862="","",INDEX(Eingabe!$E$9:$E$18,I1862))</f>
        <v/>
      </c>
    </row>
    <row r="1863" customFormat="false" ht="15" hidden="false" customHeight="false" outlineLevel="0" collapsed="false">
      <c r="A1863" s="0" t="str">
        <f aca="false">IF(I1863="","",IF(J1863=0,"Sparte "&amp;I1863&amp;": "&amp;INDEX(Eingabe!$B$9:$B$18,I1863)&amp;"  (Sparten-ID "&amp;INDEX(Eingabe!$D$9:$D$18,I1863)&amp;", "&amp;K1863&amp;" Parzellen)",IF(J1863&lt;=K1863,"   Parzelle "&amp;J1863,IF(J1863=K1863+1,"   Vorstand",IF(J1863=K1863+2,"   Gäste",IF(J1863=K1863+3,"   Technik (Switches, Access Points)",""))))))</f>
        <v/>
      </c>
      <c r="B1863" s="0" t="str">
        <f aca="false">IF(I1863="","",IF(AND(J1863&gt;=1,J1863&lt;=K1863+3),IF(J1863&lt;=K1863,IF(J1863&lt;=99,IF((INDEX(Eingabe!$G$9:$G$18,I1863))&lt;=9,1000+(INDEX(Eingabe!$G$9:$G$18,I1863))*100,3000)+J1863,IF((INDEX(Eingabe!$G$9:$G$18,I1863)+1)&lt;=9,1000+(INDEX(Eingabe!$G$9:$G$18,I1863)+1)*100,3000)+J1863-100),IF(J1863=K1863+1,2000+INDEX(Eingabe!$G$9:$G$18,I1863)*10+1,IF(J1863=K1863+2,2000+INDEX(Eingabe!$G$9:$G$18,I1863)*10+2,2000+INDEX(Eingabe!$G$9:$G$18,I1863)*10+9))),""))</f>
        <v/>
      </c>
      <c r="C1863" s="0" t="str">
        <f aca="false">IF(I1863="","",IF(AND(J1863&gt;=1,J1863&lt;=K1863+3),"10."&amp;INDEX(Eingabe!$D$9:$D$18,I1863)&amp;"."&amp;IF(J1863&lt;=K1863,J1863,IF(J1863=K1863+1,200,IF(J1863=K1863+2,201,250)))&amp;".0/24",""))</f>
        <v/>
      </c>
      <c r="D1863" s="0" t="str">
        <f aca="false">IF(I1863="","",IF(AND(J1863&gt;=1,J1863&lt;=K1863+3),"255.255.255.0",""))</f>
        <v/>
      </c>
      <c r="E1863" s="0" t="str">
        <f aca="false">IF(I1863="","",IF(AND(J1863&gt;=1,J1863&lt;=K1863+3),"10."&amp;INDEX(Eingabe!$D$9:$D$18,I1863)&amp;"."&amp;IF(J1863&lt;=K1863,J1863,IF(J1863=K1863+1,200,IF(J1863=K1863+2,201,250)))&amp;".1",""))</f>
        <v/>
      </c>
      <c r="F1863" s="0" t="str">
        <f aca="false">IF(I1863="","",IF(AND(J1863&gt;=1,J1863&lt;=K1863+3),"10."&amp;INDEX(Eingabe!$D$9:$D$18,I1863)&amp;"."&amp;IF(J1863&lt;=K1863,J1863,IF(J1863=K1863+1,200,IF(J1863=K1863+2,201,250)))&amp;".10 – 10."&amp;INDEX(Eingabe!$D$9:$D$18,I1863)&amp;"."&amp;IF(J1863&lt;=K1863,J1863,IF(J1863=K1863+1,200,IF(J1863=K1863+2,201,250)))&amp;".250",""))</f>
        <v/>
      </c>
      <c r="G1863" s="0" t="str">
        <f aca="false">IF(I1863="","",IF(AND(J1863&gt;=1,J1863&lt;=K1863),Eingabe!$B$6&amp;"-"&amp;INDEX(Eingabe!$C$9:$C$18,I1863)&amp;"-Pächter  ·  Passwort Parzelle "&amp;J1863,IF(J1863=K1863+1,Eingabe!$B$6&amp;"-"&amp;INDEX(Eingabe!$C$9:$C$18,I1863)&amp;"-Vorstand  ·  eigenes WLAN",IF(J1863=K1863+2,Eingabe!$B$6&amp;"-"&amp;INDEX(Eingabe!$C$9:$C$18,I1863)&amp;"-Gäste  ·  Voucher",IF(J1863=K1863+3,"Kabel  ·  Access Point y = .(50+y), Mast-Switch x = .(10+x)","")))))</f>
        <v/>
      </c>
      <c r="I1863" s="0" t="str">
        <f aca="false">IF(1858&lt;=(Eingabe!$P$18+Eingabe!$Q$18-1),MATCH(1858,Eingabe!$P$9:$P$18,1),"")</f>
        <v/>
      </c>
      <c r="J1863" s="0" t="str">
        <f aca="false">IF(I1863="","",1858-INDEX(Eingabe!$P$9:$P$18,I1863))</f>
        <v/>
      </c>
      <c r="K1863" s="0" t="str">
        <f aca="false">IF(I1863="","",INDEX(Eingabe!$E$9:$E$18,I1863))</f>
        <v/>
      </c>
    </row>
    <row r="1864" customFormat="false" ht="15" hidden="false" customHeight="false" outlineLevel="0" collapsed="false">
      <c r="A1864" s="0" t="str">
        <f aca="false">IF(I1864="","",IF(J1864=0,"Sparte "&amp;I1864&amp;": "&amp;INDEX(Eingabe!$B$9:$B$18,I1864)&amp;"  (Sparten-ID "&amp;INDEX(Eingabe!$D$9:$D$18,I1864)&amp;", "&amp;K1864&amp;" Parzellen)",IF(J1864&lt;=K1864,"   Parzelle "&amp;J1864,IF(J1864=K1864+1,"   Vorstand",IF(J1864=K1864+2,"   Gäste",IF(J1864=K1864+3,"   Technik (Switches, Access Points)",""))))))</f>
        <v/>
      </c>
      <c r="B1864" s="0" t="str">
        <f aca="false">IF(I1864="","",IF(AND(J1864&gt;=1,J1864&lt;=K1864+3),IF(J1864&lt;=K1864,IF(J1864&lt;=99,IF((INDEX(Eingabe!$G$9:$G$18,I1864))&lt;=9,1000+(INDEX(Eingabe!$G$9:$G$18,I1864))*100,3000)+J1864,IF((INDEX(Eingabe!$G$9:$G$18,I1864)+1)&lt;=9,1000+(INDEX(Eingabe!$G$9:$G$18,I1864)+1)*100,3000)+J1864-100),IF(J1864=K1864+1,2000+INDEX(Eingabe!$G$9:$G$18,I1864)*10+1,IF(J1864=K1864+2,2000+INDEX(Eingabe!$G$9:$G$18,I1864)*10+2,2000+INDEX(Eingabe!$G$9:$G$18,I1864)*10+9))),""))</f>
        <v/>
      </c>
      <c r="C1864" s="0" t="str">
        <f aca="false">IF(I1864="","",IF(AND(J1864&gt;=1,J1864&lt;=K1864+3),"10."&amp;INDEX(Eingabe!$D$9:$D$18,I1864)&amp;"."&amp;IF(J1864&lt;=K1864,J1864,IF(J1864=K1864+1,200,IF(J1864=K1864+2,201,250)))&amp;".0/24",""))</f>
        <v/>
      </c>
      <c r="D1864" s="0" t="str">
        <f aca="false">IF(I1864="","",IF(AND(J1864&gt;=1,J1864&lt;=K1864+3),"255.255.255.0",""))</f>
        <v/>
      </c>
      <c r="E1864" s="0" t="str">
        <f aca="false">IF(I1864="","",IF(AND(J1864&gt;=1,J1864&lt;=K1864+3),"10."&amp;INDEX(Eingabe!$D$9:$D$18,I1864)&amp;"."&amp;IF(J1864&lt;=K1864,J1864,IF(J1864=K1864+1,200,IF(J1864=K1864+2,201,250)))&amp;".1",""))</f>
        <v/>
      </c>
      <c r="F1864" s="0" t="str">
        <f aca="false">IF(I1864="","",IF(AND(J1864&gt;=1,J1864&lt;=K1864+3),"10."&amp;INDEX(Eingabe!$D$9:$D$18,I1864)&amp;"."&amp;IF(J1864&lt;=K1864,J1864,IF(J1864=K1864+1,200,IF(J1864=K1864+2,201,250)))&amp;".10 – 10."&amp;INDEX(Eingabe!$D$9:$D$18,I1864)&amp;"."&amp;IF(J1864&lt;=K1864,J1864,IF(J1864=K1864+1,200,IF(J1864=K1864+2,201,250)))&amp;".250",""))</f>
        <v/>
      </c>
      <c r="G1864" s="0" t="str">
        <f aca="false">IF(I1864="","",IF(AND(J1864&gt;=1,J1864&lt;=K1864),Eingabe!$B$6&amp;"-"&amp;INDEX(Eingabe!$C$9:$C$18,I1864)&amp;"-Pächter  ·  Passwort Parzelle "&amp;J1864,IF(J1864=K1864+1,Eingabe!$B$6&amp;"-"&amp;INDEX(Eingabe!$C$9:$C$18,I1864)&amp;"-Vorstand  ·  eigenes WLAN",IF(J1864=K1864+2,Eingabe!$B$6&amp;"-"&amp;INDEX(Eingabe!$C$9:$C$18,I1864)&amp;"-Gäste  ·  Voucher",IF(J1864=K1864+3,"Kabel  ·  Access Point y = .(50+y), Mast-Switch x = .(10+x)","")))))</f>
        <v/>
      </c>
      <c r="I1864" s="0" t="str">
        <f aca="false">IF(1859&lt;=(Eingabe!$P$18+Eingabe!$Q$18-1),MATCH(1859,Eingabe!$P$9:$P$18,1),"")</f>
        <v/>
      </c>
      <c r="J1864" s="0" t="str">
        <f aca="false">IF(I1864="","",1859-INDEX(Eingabe!$P$9:$P$18,I1864))</f>
        <v/>
      </c>
      <c r="K1864" s="0" t="str">
        <f aca="false">IF(I1864="","",INDEX(Eingabe!$E$9:$E$18,I1864))</f>
        <v/>
      </c>
    </row>
    <row r="1865" customFormat="false" ht="15" hidden="false" customHeight="false" outlineLevel="0" collapsed="false">
      <c r="A1865" s="0" t="str">
        <f aca="false">IF(I1865="","",IF(J1865=0,"Sparte "&amp;I1865&amp;": "&amp;INDEX(Eingabe!$B$9:$B$18,I1865)&amp;"  (Sparten-ID "&amp;INDEX(Eingabe!$D$9:$D$18,I1865)&amp;", "&amp;K1865&amp;" Parzellen)",IF(J1865&lt;=K1865,"   Parzelle "&amp;J1865,IF(J1865=K1865+1,"   Vorstand",IF(J1865=K1865+2,"   Gäste",IF(J1865=K1865+3,"   Technik (Switches, Access Points)",""))))))</f>
        <v/>
      </c>
      <c r="B1865" s="0" t="str">
        <f aca="false">IF(I1865="","",IF(AND(J1865&gt;=1,J1865&lt;=K1865+3),IF(J1865&lt;=K1865,IF(J1865&lt;=99,IF((INDEX(Eingabe!$G$9:$G$18,I1865))&lt;=9,1000+(INDEX(Eingabe!$G$9:$G$18,I1865))*100,3000)+J1865,IF((INDEX(Eingabe!$G$9:$G$18,I1865)+1)&lt;=9,1000+(INDEX(Eingabe!$G$9:$G$18,I1865)+1)*100,3000)+J1865-100),IF(J1865=K1865+1,2000+INDEX(Eingabe!$G$9:$G$18,I1865)*10+1,IF(J1865=K1865+2,2000+INDEX(Eingabe!$G$9:$G$18,I1865)*10+2,2000+INDEX(Eingabe!$G$9:$G$18,I1865)*10+9))),""))</f>
        <v/>
      </c>
      <c r="C1865" s="0" t="str">
        <f aca="false">IF(I1865="","",IF(AND(J1865&gt;=1,J1865&lt;=K1865+3),"10."&amp;INDEX(Eingabe!$D$9:$D$18,I1865)&amp;"."&amp;IF(J1865&lt;=K1865,J1865,IF(J1865=K1865+1,200,IF(J1865=K1865+2,201,250)))&amp;".0/24",""))</f>
        <v/>
      </c>
      <c r="D1865" s="0" t="str">
        <f aca="false">IF(I1865="","",IF(AND(J1865&gt;=1,J1865&lt;=K1865+3),"255.255.255.0",""))</f>
        <v/>
      </c>
      <c r="E1865" s="0" t="str">
        <f aca="false">IF(I1865="","",IF(AND(J1865&gt;=1,J1865&lt;=K1865+3),"10."&amp;INDEX(Eingabe!$D$9:$D$18,I1865)&amp;"."&amp;IF(J1865&lt;=K1865,J1865,IF(J1865=K1865+1,200,IF(J1865=K1865+2,201,250)))&amp;".1",""))</f>
        <v/>
      </c>
      <c r="F1865" s="0" t="str">
        <f aca="false">IF(I1865="","",IF(AND(J1865&gt;=1,J1865&lt;=K1865+3),"10."&amp;INDEX(Eingabe!$D$9:$D$18,I1865)&amp;"."&amp;IF(J1865&lt;=K1865,J1865,IF(J1865=K1865+1,200,IF(J1865=K1865+2,201,250)))&amp;".10 – 10."&amp;INDEX(Eingabe!$D$9:$D$18,I1865)&amp;"."&amp;IF(J1865&lt;=K1865,J1865,IF(J1865=K1865+1,200,IF(J1865=K1865+2,201,250)))&amp;".250",""))</f>
        <v/>
      </c>
      <c r="G1865" s="0" t="str">
        <f aca="false">IF(I1865="","",IF(AND(J1865&gt;=1,J1865&lt;=K1865),Eingabe!$B$6&amp;"-"&amp;INDEX(Eingabe!$C$9:$C$18,I1865)&amp;"-Pächter  ·  Passwort Parzelle "&amp;J1865,IF(J1865=K1865+1,Eingabe!$B$6&amp;"-"&amp;INDEX(Eingabe!$C$9:$C$18,I1865)&amp;"-Vorstand  ·  eigenes WLAN",IF(J1865=K1865+2,Eingabe!$B$6&amp;"-"&amp;INDEX(Eingabe!$C$9:$C$18,I1865)&amp;"-Gäste  ·  Voucher",IF(J1865=K1865+3,"Kabel  ·  Access Point y = .(50+y), Mast-Switch x = .(10+x)","")))))</f>
        <v/>
      </c>
      <c r="I1865" s="0" t="str">
        <f aca="false">IF(1860&lt;=(Eingabe!$P$18+Eingabe!$Q$18-1),MATCH(1860,Eingabe!$P$9:$P$18,1),"")</f>
        <v/>
      </c>
      <c r="J1865" s="0" t="str">
        <f aca="false">IF(I1865="","",1860-INDEX(Eingabe!$P$9:$P$18,I1865))</f>
        <v/>
      </c>
      <c r="K1865" s="0" t="str">
        <f aca="false">IF(I1865="","",INDEX(Eingabe!$E$9:$E$18,I1865))</f>
        <v/>
      </c>
    </row>
    <row r="1866" customFormat="false" ht="15" hidden="false" customHeight="false" outlineLevel="0" collapsed="false">
      <c r="A1866" s="0" t="str">
        <f aca="false">IF(I1866="","",IF(J1866=0,"Sparte "&amp;I1866&amp;": "&amp;INDEX(Eingabe!$B$9:$B$18,I1866)&amp;"  (Sparten-ID "&amp;INDEX(Eingabe!$D$9:$D$18,I1866)&amp;", "&amp;K1866&amp;" Parzellen)",IF(J1866&lt;=K1866,"   Parzelle "&amp;J1866,IF(J1866=K1866+1,"   Vorstand",IF(J1866=K1866+2,"   Gäste",IF(J1866=K1866+3,"   Technik (Switches, Access Points)",""))))))</f>
        <v/>
      </c>
      <c r="B1866" s="0" t="str">
        <f aca="false">IF(I1866="","",IF(AND(J1866&gt;=1,J1866&lt;=K1866+3),IF(J1866&lt;=K1866,IF(J1866&lt;=99,IF((INDEX(Eingabe!$G$9:$G$18,I1866))&lt;=9,1000+(INDEX(Eingabe!$G$9:$G$18,I1866))*100,3000)+J1866,IF((INDEX(Eingabe!$G$9:$G$18,I1866)+1)&lt;=9,1000+(INDEX(Eingabe!$G$9:$G$18,I1866)+1)*100,3000)+J1866-100),IF(J1866=K1866+1,2000+INDEX(Eingabe!$G$9:$G$18,I1866)*10+1,IF(J1866=K1866+2,2000+INDEX(Eingabe!$G$9:$G$18,I1866)*10+2,2000+INDEX(Eingabe!$G$9:$G$18,I1866)*10+9))),""))</f>
        <v/>
      </c>
      <c r="C1866" s="0" t="str">
        <f aca="false">IF(I1866="","",IF(AND(J1866&gt;=1,J1866&lt;=K1866+3),"10."&amp;INDEX(Eingabe!$D$9:$D$18,I1866)&amp;"."&amp;IF(J1866&lt;=K1866,J1866,IF(J1866=K1866+1,200,IF(J1866=K1866+2,201,250)))&amp;".0/24",""))</f>
        <v/>
      </c>
      <c r="D1866" s="0" t="str">
        <f aca="false">IF(I1866="","",IF(AND(J1866&gt;=1,J1866&lt;=K1866+3),"255.255.255.0",""))</f>
        <v/>
      </c>
      <c r="E1866" s="0" t="str">
        <f aca="false">IF(I1866="","",IF(AND(J1866&gt;=1,J1866&lt;=K1866+3),"10."&amp;INDEX(Eingabe!$D$9:$D$18,I1866)&amp;"."&amp;IF(J1866&lt;=K1866,J1866,IF(J1866=K1866+1,200,IF(J1866=K1866+2,201,250)))&amp;".1",""))</f>
        <v/>
      </c>
      <c r="F1866" s="0" t="str">
        <f aca="false">IF(I1866="","",IF(AND(J1866&gt;=1,J1866&lt;=K1866+3),"10."&amp;INDEX(Eingabe!$D$9:$D$18,I1866)&amp;"."&amp;IF(J1866&lt;=K1866,J1866,IF(J1866=K1866+1,200,IF(J1866=K1866+2,201,250)))&amp;".10 – 10."&amp;INDEX(Eingabe!$D$9:$D$18,I1866)&amp;"."&amp;IF(J1866&lt;=K1866,J1866,IF(J1866=K1866+1,200,IF(J1866=K1866+2,201,250)))&amp;".250",""))</f>
        <v/>
      </c>
      <c r="G1866" s="0" t="str">
        <f aca="false">IF(I1866="","",IF(AND(J1866&gt;=1,J1866&lt;=K1866),Eingabe!$B$6&amp;"-"&amp;INDEX(Eingabe!$C$9:$C$18,I1866)&amp;"-Pächter  ·  Passwort Parzelle "&amp;J1866,IF(J1866=K1866+1,Eingabe!$B$6&amp;"-"&amp;INDEX(Eingabe!$C$9:$C$18,I1866)&amp;"-Vorstand  ·  eigenes WLAN",IF(J1866=K1866+2,Eingabe!$B$6&amp;"-"&amp;INDEX(Eingabe!$C$9:$C$18,I1866)&amp;"-Gäste  ·  Voucher",IF(J1866=K1866+3,"Kabel  ·  Access Point y = .(50+y), Mast-Switch x = .(10+x)","")))))</f>
        <v/>
      </c>
      <c r="I1866" s="0" t="str">
        <f aca="false">IF(1861&lt;=(Eingabe!$P$18+Eingabe!$Q$18-1),MATCH(1861,Eingabe!$P$9:$P$18,1),"")</f>
        <v/>
      </c>
      <c r="J1866" s="0" t="str">
        <f aca="false">IF(I1866="","",1861-INDEX(Eingabe!$P$9:$P$18,I1866))</f>
        <v/>
      </c>
      <c r="K1866" s="0" t="str">
        <f aca="false">IF(I1866="","",INDEX(Eingabe!$E$9:$E$18,I1866))</f>
        <v/>
      </c>
    </row>
    <row r="1867" customFormat="false" ht="15" hidden="false" customHeight="false" outlineLevel="0" collapsed="false">
      <c r="A1867" s="0" t="str">
        <f aca="false">IF(I1867="","",IF(J1867=0,"Sparte "&amp;I1867&amp;": "&amp;INDEX(Eingabe!$B$9:$B$18,I1867)&amp;"  (Sparten-ID "&amp;INDEX(Eingabe!$D$9:$D$18,I1867)&amp;", "&amp;K1867&amp;" Parzellen)",IF(J1867&lt;=K1867,"   Parzelle "&amp;J1867,IF(J1867=K1867+1,"   Vorstand",IF(J1867=K1867+2,"   Gäste",IF(J1867=K1867+3,"   Technik (Switches, Access Points)",""))))))</f>
        <v/>
      </c>
      <c r="B1867" s="0" t="str">
        <f aca="false">IF(I1867="","",IF(AND(J1867&gt;=1,J1867&lt;=K1867+3),IF(J1867&lt;=K1867,IF(J1867&lt;=99,IF((INDEX(Eingabe!$G$9:$G$18,I1867))&lt;=9,1000+(INDEX(Eingabe!$G$9:$G$18,I1867))*100,3000)+J1867,IF((INDEX(Eingabe!$G$9:$G$18,I1867)+1)&lt;=9,1000+(INDEX(Eingabe!$G$9:$G$18,I1867)+1)*100,3000)+J1867-100),IF(J1867=K1867+1,2000+INDEX(Eingabe!$G$9:$G$18,I1867)*10+1,IF(J1867=K1867+2,2000+INDEX(Eingabe!$G$9:$G$18,I1867)*10+2,2000+INDEX(Eingabe!$G$9:$G$18,I1867)*10+9))),""))</f>
        <v/>
      </c>
      <c r="C1867" s="0" t="str">
        <f aca="false">IF(I1867="","",IF(AND(J1867&gt;=1,J1867&lt;=K1867+3),"10."&amp;INDEX(Eingabe!$D$9:$D$18,I1867)&amp;"."&amp;IF(J1867&lt;=K1867,J1867,IF(J1867=K1867+1,200,IF(J1867=K1867+2,201,250)))&amp;".0/24",""))</f>
        <v/>
      </c>
      <c r="D1867" s="0" t="str">
        <f aca="false">IF(I1867="","",IF(AND(J1867&gt;=1,J1867&lt;=K1867+3),"255.255.255.0",""))</f>
        <v/>
      </c>
      <c r="E1867" s="0" t="str">
        <f aca="false">IF(I1867="","",IF(AND(J1867&gt;=1,J1867&lt;=K1867+3),"10."&amp;INDEX(Eingabe!$D$9:$D$18,I1867)&amp;"."&amp;IF(J1867&lt;=K1867,J1867,IF(J1867=K1867+1,200,IF(J1867=K1867+2,201,250)))&amp;".1",""))</f>
        <v/>
      </c>
      <c r="F1867" s="0" t="str">
        <f aca="false">IF(I1867="","",IF(AND(J1867&gt;=1,J1867&lt;=K1867+3),"10."&amp;INDEX(Eingabe!$D$9:$D$18,I1867)&amp;"."&amp;IF(J1867&lt;=K1867,J1867,IF(J1867=K1867+1,200,IF(J1867=K1867+2,201,250)))&amp;".10 – 10."&amp;INDEX(Eingabe!$D$9:$D$18,I1867)&amp;"."&amp;IF(J1867&lt;=K1867,J1867,IF(J1867=K1867+1,200,IF(J1867=K1867+2,201,250)))&amp;".250",""))</f>
        <v/>
      </c>
      <c r="G1867" s="0" t="str">
        <f aca="false">IF(I1867="","",IF(AND(J1867&gt;=1,J1867&lt;=K1867),Eingabe!$B$6&amp;"-"&amp;INDEX(Eingabe!$C$9:$C$18,I1867)&amp;"-Pächter  ·  Passwort Parzelle "&amp;J1867,IF(J1867=K1867+1,Eingabe!$B$6&amp;"-"&amp;INDEX(Eingabe!$C$9:$C$18,I1867)&amp;"-Vorstand  ·  eigenes WLAN",IF(J1867=K1867+2,Eingabe!$B$6&amp;"-"&amp;INDEX(Eingabe!$C$9:$C$18,I1867)&amp;"-Gäste  ·  Voucher",IF(J1867=K1867+3,"Kabel  ·  Access Point y = .(50+y), Mast-Switch x = .(10+x)","")))))</f>
        <v/>
      </c>
      <c r="I1867" s="0" t="str">
        <f aca="false">IF(1862&lt;=(Eingabe!$P$18+Eingabe!$Q$18-1),MATCH(1862,Eingabe!$P$9:$P$18,1),"")</f>
        <v/>
      </c>
      <c r="J1867" s="0" t="str">
        <f aca="false">IF(I1867="","",1862-INDEX(Eingabe!$P$9:$P$18,I1867))</f>
        <v/>
      </c>
      <c r="K1867" s="0" t="str">
        <f aca="false">IF(I1867="","",INDEX(Eingabe!$E$9:$E$18,I1867))</f>
        <v/>
      </c>
    </row>
    <row r="1868" customFormat="false" ht="15" hidden="false" customHeight="false" outlineLevel="0" collapsed="false">
      <c r="A1868" s="0" t="str">
        <f aca="false">IF(I1868="","",IF(J1868=0,"Sparte "&amp;I1868&amp;": "&amp;INDEX(Eingabe!$B$9:$B$18,I1868)&amp;"  (Sparten-ID "&amp;INDEX(Eingabe!$D$9:$D$18,I1868)&amp;", "&amp;K1868&amp;" Parzellen)",IF(J1868&lt;=K1868,"   Parzelle "&amp;J1868,IF(J1868=K1868+1,"   Vorstand",IF(J1868=K1868+2,"   Gäste",IF(J1868=K1868+3,"   Technik (Switches, Access Points)",""))))))</f>
        <v/>
      </c>
      <c r="B1868" s="0" t="str">
        <f aca="false">IF(I1868="","",IF(AND(J1868&gt;=1,J1868&lt;=K1868+3),IF(J1868&lt;=K1868,IF(J1868&lt;=99,IF((INDEX(Eingabe!$G$9:$G$18,I1868))&lt;=9,1000+(INDEX(Eingabe!$G$9:$G$18,I1868))*100,3000)+J1868,IF((INDEX(Eingabe!$G$9:$G$18,I1868)+1)&lt;=9,1000+(INDEX(Eingabe!$G$9:$G$18,I1868)+1)*100,3000)+J1868-100),IF(J1868=K1868+1,2000+INDEX(Eingabe!$G$9:$G$18,I1868)*10+1,IF(J1868=K1868+2,2000+INDEX(Eingabe!$G$9:$G$18,I1868)*10+2,2000+INDEX(Eingabe!$G$9:$G$18,I1868)*10+9))),""))</f>
        <v/>
      </c>
      <c r="C1868" s="0" t="str">
        <f aca="false">IF(I1868="","",IF(AND(J1868&gt;=1,J1868&lt;=K1868+3),"10."&amp;INDEX(Eingabe!$D$9:$D$18,I1868)&amp;"."&amp;IF(J1868&lt;=K1868,J1868,IF(J1868=K1868+1,200,IF(J1868=K1868+2,201,250)))&amp;".0/24",""))</f>
        <v/>
      </c>
      <c r="D1868" s="0" t="str">
        <f aca="false">IF(I1868="","",IF(AND(J1868&gt;=1,J1868&lt;=K1868+3),"255.255.255.0",""))</f>
        <v/>
      </c>
      <c r="E1868" s="0" t="str">
        <f aca="false">IF(I1868="","",IF(AND(J1868&gt;=1,J1868&lt;=K1868+3),"10."&amp;INDEX(Eingabe!$D$9:$D$18,I1868)&amp;"."&amp;IF(J1868&lt;=K1868,J1868,IF(J1868=K1868+1,200,IF(J1868=K1868+2,201,250)))&amp;".1",""))</f>
        <v/>
      </c>
      <c r="F1868" s="0" t="str">
        <f aca="false">IF(I1868="","",IF(AND(J1868&gt;=1,J1868&lt;=K1868+3),"10."&amp;INDEX(Eingabe!$D$9:$D$18,I1868)&amp;"."&amp;IF(J1868&lt;=K1868,J1868,IF(J1868=K1868+1,200,IF(J1868=K1868+2,201,250)))&amp;".10 – 10."&amp;INDEX(Eingabe!$D$9:$D$18,I1868)&amp;"."&amp;IF(J1868&lt;=K1868,J1868,IF(J1868=K1868+1,200,IF(J1868=K1868+2,201,250)))&amp;".250",""))</f>
        <v/>
      </c>
      <c r="G1868" s="0" t="str">
        <f aca="false">IF(I1868="","",IF(AND(J1868&gt;=1,J1868&lt;=K1868),Eingabe!$B$6&amp;"-"&amp;INDEX(Eingabe!$C$9:$C$18,I1868)&amp;"-Pächter  ·  Passwort Parzelle "&amp;J1868,IF(J1868=K1868+1,Eingabe!$B$6&amp;"-"&amp;INDEX(Eingabe!$C$9:$C$18,I1868)&amp;"-Vorstand  ·  eigenes WLAN",IF(J1868=K1868+2,Eingabe!$B$6&amp;"-"&amp;INDEX(Eingabe!$C$9:$C$18,I1868)&amp;"-Gäste  ·  Voucher",IF(J1868=K1868+3,"Kabel  ·  Access Point y = .(50+y), Mast-Switch x = .(10+x)","")))))</f>
        <v/>
      </c>
      <c r="I1868" s="0" t="str">
        <f aca="false">IF(1863&lt;=(Eingabe!$P$18+Eingabe!$Q$18-1),MATCH(1863,Eingabe!$P$9:$P$18,1),"")</f>
        <v/>
      </c>
      <c r="J1868" s="0" t="str">
        <f aca="false">IF(I1868="","",1863-INDEX(Eingabe!$P$9:$P$18,I1868))</f>
        <v/>
      </c>
      <c r="K1868" s="0" t="str">
        <f aca="false">IF(I1868="","",INDEX(Eingabe!$E$9:$E$18,I1868))</f>
        <v/>
      </c>
    </row>
    <row r="1869" customFormat="false" ht="15" hidden="false" customHeight="false" outlineLevel="0" collapsed="false">
      <c r="A1869" s="0" t="str">
        <f aca="false">IF(I1869="","",IF(J1869=0,"Sparte "&amp;I1869&amp;": "&amp;INDEX(Eingabe!$B$9:$B$18,I1869)&amp;"  (Sparten-ID "&amp;INDEX(Eingabe!$D$9:$D$18,I1869)&amp;", "&amp;K1869&amp;" Parzellen)",IF(J1869&lt;=K1869,"   Parzelle "&amp;J1869,IF(J1869=K1869+1,"   Vorstand",IF(J1869=K1869+2,"   Gäste",IF(J1869=K1869+3,"   Technik (Switches, Access Points)",""))))))</f>
        <v/>
      </c>
      <c r="B1869" s="0" t="str">
        <f aca="false">IF(I1869="","",IF(AND(J1869&gt;=1,J1869&lt;=K1869+3),IF(J1869&lt;=K1869,IF(J1869&lt;=99,IF((INDEX(Eingabe!$G$9:$G$18,I1869))&lt;=9,1000+(INDEX(Eingabe!$G$9:$G$18,I1869))*100,3000)+J1869,IF((INDEX(Eingabe!$G$9:$G$18,I1869)+1)&lt;=9,1000+(INDEX(Eingabe!$G$9:$G$18,I1869)+1)*100,3000)+J1869-100),IF(J1869=K1869+1,2000+INDEX(Eingabe!$G$9:$G$18,I1869)*10+1,IF(J1869=K1869+2,2000+INDEX(Eingabe!$G$9:$G$18,I1869)*10+2,2000+INDEX(Eingabe!$G$9:$G$18,I1869)*10+9))),""))</f>
        <v/>
      </c>
      <c r="C1869" s="0" t="str">
        <f aca="false">IF(I1869="","",IF(AND(J1869&gt;=1,J1869&lt;=K1869+3),"10."&amp;INDEX(Eingabe!$D$9:$D$18,I1869)&amp;"."&amp;IF(J1869&lt;=K1869,J1869,IF(J1869=K1869+1,200,IF(J1869=K1869+2,201,250)))&amp;".0/24",""))</f>
        <v/>
      </c>
      <c r="D1869" s="0" t="str">
        <f aca="false">IF(I1869="","",IF(AND(J1869&gt;=1,J1869&lt;=K1869+3),"255.255.255.0",""))</f>
        <v/>
      </c>
      <c r="E1869" s="0" t="str">
        <f aca="false">IF(I1869="","",IF(AND(J1869&gt;=1,J1869&lt;=K1869+3),"10."&amp;INDEX(Eingabe!$D$9:$D$18,I1869)&amp;"."&amp;IF(J1869&lt;=K1869,J1869,IF(J1869=K1869+1,200,IF(J1869=K1869+2,201,250)))&amp;".1",""))</f>
        <v/>
      </c>
      <c r="F1869" s="0" t="str">
        <f aca="false">IF(I1869="","",IF(AND(J1869&gt;=1,J1869&lt;=K1869+3),"10."&amp;INDEX(Eingabe!$D$9:$D$18,I1869)&amp;"."&amp;IF(J1869&lt;=K1869,J1869,IF(J1869=K1869+1,200,IF(J1869=K1869+2,201,250)))&amp;".10 – 10."&amp;INDEX(Eingabe!$D$9:$D$18,I1869)&amp;"."&amp;IF(J1869&lt;=K1869,J1869,IF(J1869=K1869+1,200,IF(J1869=K1869+2,201,250)))&amp;".250",""))</f>
        <v/>
      </c>
      <c r="G1869" s="0" t="str">
        <f aca="false">IF(I1869="","",IF(AND(J1869&gt;=1,J1869&lt;=K1869),Eingabe!$B$6&amp;"-"&amp;INDEX(Eingabe!$C$9:$C$18,I1869)&amp;"-Pächter  ·  Passwort Parzelle "&amp;J1869,IF(J1869=K1869+1,Eingabe!$B$6&amp;"-"&amp;INDEX(Eingabe!$C$9:$C$18,I1869)&amp;"-Vorstand  ·  eigenes WLAN",IF(J1869=K1869+2,Eingabe!$B$6&amp;"-"&amp;INDEX(Eingabe!$C$9:$C$18,I1869)&amp;"-Gäste  ·  Voucher",IF(J1869=K1869+3,"Kabel  ·  Access Point y = .(50+y), Mast-Switch x = .(10+x)","")))))</f>
        <v/>
      </c>
      <c r="I1869" s="0" t="str">
        <f aca="false">IF(1864&lt;=(Eingabe!$P$18+Eingabe!$Q$18-1),MATCH(1864,Eingabe!$P$9:$P$18,1),"")</f>
        <v/>
      </c>
      <c r="J1869" s="0" t="str">
        <f aca="false">IF(I1869="","",1864-INDEX(Eingabe!$P$9:$P$18,I1869))</f>
        <v/>
      </c>
      <c r="K1869" s="0" t="str">
        <f aca="false">IF(I1869="","",INDEX(Eingabe!$E$9:$E$18,I1869))</f>
        <v/>
      </c>
    </row>
    <row r="1870" customFormat="false" ht="15" hidden="false" customHeight="false" outlineLevel="0" collapsed="false">
      <c r="A1870" s="0" t="str">
        <f aca="false">IF(I1870="","",IF(J1870=0,"Sparte "&amp;I1870&amp;": "&amp;INDEX(Eingabe!$B$9:$B$18,I1870)&amp;"  (Sparten-ID "&amp;INDEX(Eingabe!$D$9:$D$18,I1870)&amp;", "&amp;K1870&amp;" Parzellen)",IF(J1870&lt;=K1870,"   Parzelle "&amp;J1870,IF(J1870=K1870+1,"   Vorstand",IF(J1870=K1870+2,"   Gäste",IF(J1870=K1870+3,"   Technik (Switches, Access Points)",""))))))</f>
        <v/>
      </c>
      <c r="B1870" s="0" t="str">
        <f aca="false">IF(I1870="","",IF(AND(J1870&gt;=1,J1870&lt;=K1870+3),IF(J1870&lt;=K1870,IF(J1870&lt;=99,IF((INDEX(Eingabe!$G$9:$G$18,I1870))&lt;=9,1000+(INDEX(Eingabe!$G$9:$G$18,I1870))*100,3000)+J1870,IF((INDEX(Eingabe!$G$9:$G$18,I1870)+1)&lt;=9,1000+(INDEX(Eingabe!$G$9:$G$18,I1870)+1)*100,3000)+J1870-100),IF(J1870=K1870+1,2000+INDEX(Eingabe!$G$9:$G$18,I1870)*10+1,IF(J1870=K1870+2,2000+INDEX(Eingabe!$G$9:$G$18,I1870)*10+2,2000+INDEX(Eingabe!$G$9:$G$18,I1870)*10+9))),""))</f>
        <v/>
      </c>
      <c r="C1870" s="0" t="str">
        <f aca="false">IF(I1870="","",IF(AND(J1870&gt;=1,J1870&lt;=K1870+3),"10."&amp;INDEX(Eingabe!$D$9:$D$18,I1870)&amp;"."&amp;IF(J1870&lt;=K1870,J1870,IF(J1870=K1870+1,200,IF(J1870=K1870+2,201,250)))&amp;".0/24",""))</f>
        <v/>
      </c>
      <c r="D1870" s="0" t="str">
        <f aca="false">IF(I1870="","",IF(AND(J1870&gt;=1,J1870&lt;=K1870+3),"255.255.255.0",""))</f>
        <v/>
      </c>
      <c r="E1870" s="0" t="str">
        <f aca="false">IF(I1870="","",IF(AND(J1870&gt;=1,J1870&lt;=K1870+3),"10."&amp;INDEX(Eingabe!$D$9:$D$18,I1870)&amp;"."&amp;IF(J1870&lt;=K1870,J1870,IF(J1870=K1870+1,200,IF(J1870=K1870+2,201,250)))&amp;".1",""))</f>
        <v/>
      </c>
      <c r="F1870" s="0" t="str">
        <f aca="false">IF(I1870="","",IF(AND(J1870&gt;=1,J1870&lt;=K1870+3),"10."&amp;INDEX(Eingabe!$D$9:$D$18,I1870)&amp;"."&amp;IF(J1870&lt;=K1870,J1870,IF(J1870=K1870+1,200,IF(J1870=K1870+2,201,250)))&amp;".10 – 10."&amp;INDEX(Eingabe!$D$9:$D$18,I1870)&amp;"."&amp;IF(J1870&lt;=K1870,J1870,IF(J1870=K1870+1,200,IF(J1870=K1870+2,201,250)))&amp;".250",""))</f>
        <v/>
      </c>
      <c r="G1870" s="0" t="str">
        <f aca="false">IF(I1870="","",IF(AND(J1870&gt;=1,J1870&lt;=K1870),Eingabe!$B$6&amp;"-"&amp;INDEX(Eingabe!$C$9:$C$18,I1870)&amp;"-Pächter  ·  Passwort Parzelle "&amp;J1870,IF(J1870=K1870+1,Eingabe!$B$6&amp;"-"&amp;INDEX(Eingabe!$C$9:$C$18,I1870)&amp;"-Vorstand  ·  eigenes WLAN",IF(J1870=K1870+2,Eingabe!$B$6&amp;"-"&amp;INDEX(Eingabe!$C$9:$C$18,I1870)&amp;"-Gäste  ·  Voucher",IF(J1870=K1870+3,"Kabel  ·  Access Point y = .(50+y), Mast-Switch x = .(10+x)","")))))</f>
        <v/>
      </c>
      <c r="I1870" s="0" t="str">
        <f aca="false">IF(1865&lt;=(Eingabe!$P$18+Eingabe!$Q$18-1),MATCH(1865,Eingabe!$P$9:$P$18,1),"")</f>
        <v/>
      </c>
      <c r="J1870" s="0" t="str">
        <f aca="false">IF(I1870="","",1865-INDEX(Eingabe!$P$9:$P$18,I1870))</f>
        <v/>
      </c>
      <c r="K1870" s="0" t="str">
        <f aca="false">IF(I1870="","",INDEX(Eingabe!$E$9:$E$18,I1870))</f>
        <v/>
      </c>
    </row>
    <row r="1871" customFormat="false" ht="15" hidden="false" customHeight="false" outlineLevel="0" collapsed="false">
      <c r="A1871" s="0" t="str">
        <f aca="false">IF(I1871="","",IF(J1871=0,"Sparte "&amp;I1871&amp;": "&amp;INDEX(Eingabe!$B$9:$B$18,I1871)&amp;"  (Sparten-ID "&amp;INDEX(Eingabe!$D$9:$D$18,I1871)&amp;", "&amp;K1871&amp;" Parzellen)",IF(J1871&lt;=K1871,"   Parzelle "&amp;J1871,IF(J1871=K1871+1,"   Vorstand",IF(J1871=K1871+2,"   Gäste",IF(J1871=K1871+3,"   Technik (Switches, Access Points)",""))))))</f>
        <v/>
      </c>
      <c r="B1871" s="0" t="str">
        <f aca="false">IF(I1871="","",IF(AND(J1871&gt;=1,J1871&lt;=K1871+3),IF(J1871&lt;=K1871,IF(J1871&lt;=99,IF((INDEX(Eingabe!$G$9:$G$18,I1871))&lt;=9,1000+(INDEX(Eingabe!$G$9:$G$18,I1871))*100,3000)+J1871,IF((INDEX(Eingabe!$G$9:$G$18,I1871)+1)&lt;=9,1000+(INDEX(Eingabe!$G$9:$G$18,I1871)+1)*100,3000)+J1871-100),IF(J1871=K1871+1,2000+INDEX(Eingabe!$G$9:$G$18,I1871)*10+1,IF(J1871=K1871+2,2000+INDEX(Eingabe!$G$9:$G$18,I1871)*10+2,2000+INDEX(Eingabe!$G$9:$G$18,I1871)*10+9))),""))</f>
        <v/>
      </c>
      <c r="C1871" s="0" t="str">
        <f aca="false">IF(I1871="","",IF(AND(J1871&gt;=1,J1871&lt;=K1871+3),"10."&amp;INDEX(Eingabe!$D$9:$D$18,I1871)&amp;"."&amp;IF(J1871&lt;=K1871,J1871,IF(J1871=K1871+1,200,IF(J1871=K1871+2,201,250)))&amp;".0/24",""))</f>
        <v/>
      </c>
      <c r="D1871" s="0" t="str">
        <f aca="false">IF(I1871="","",IF(AND(J1871&gt;=1,J1871&lt;=K1871+3),"255.255.255.0",""))</f>
        <v/>
      </c>
      <c r="E1871" s="0" t="str">
        <f aca="false">IF(I1871="","",IF(AND(J1871&gt;=1,J1871&lt;=K1871+3),"10."&amp;INDEX(Eingabe!$D$9:$D$18,I1871)&amp;"."&amp;IF(J1871&lt;=K1871,J1871,IF(J1871=K1871+1,200,IF(J1871=K1871+2,201,250)))&amp;".1",""))</f>
        <v/>
      </c>
      <c r="F1871" s="0" t="str">
        <f aca="false">IF(I1871="","",IF(AND(J1871&gt;=1,J1871&lt;=K1871+3),"10."&amp;INDEX(Eingabe!$D$9:$D$18,I1871)&amp;"."&amp;IF(J1871&lt;=K1871,J1871,IF(J1871=K1871+1,200,IF(J1871=K1871+2,201,250)))&amp;".10 – 10."&amp;INDEX(Eingabe!$D$9:$D$18,I1871)&amp;"."&amp;IF(J1871&lt;=K1871,J1871,IF(J1871=K1871+1,200,IF(J1871=K1871+2,201,250)))&amp;".250",""))</f>
        <v/>
      </c>
      <c r="G1871" s="0" t="str">
        <f aca="false">IF(I1871="","",IF(AND(J1871&gt;=1,J1871&lt;=K1871),Eingabe!$B$6&amp;"-"&amp;INDEX(Eingabe!$C$9:$C$18,I1871)&amp;"-Pächter  ·  Passwort Parzelle "&amp;J1871,IF(J1871=K1871+1,Eingabe!$B$6&amp;"-"&amp;INDEX(Eingabe!$C$9:$C$18,I1871)&amp;"-Vorstand  ·  eigenes WLAN",IF(J1871=K1871+2,Eingabe!$B$6&amp;"-"&amp;INDEX(Eingabe!$C$9:$C$18,I1871)&amp;"-Gäste  ·  Voucher",IF(J1871=K1871+3,"Kabel  ·  Access Point y = .(50+y), Mast-Switch x = .(10+x)","")))))</f>
        <v/>
      </c>
      <c r="I1871" s="0" t="str">
        <f aca="false">IF(1866&lt;=(Eingabe!$P$18+Eingabe!$Q$18-1),MATCH(1866,Eingabe!$P$9:$P$18,1),"")</f>
        <v/>
      </c>
      <c r="J1871" s="0" t="str">
        <f aca="false">IF(I1871="","",1866-INDEX(Eingabe!$P$9:$P$18,I1871))</f>
        <v/>
      </c>
      <c r="K1871" s="0" t="str">
        <f aca="false">IF(I1871="","",INDEX(Eingabe!$E$9:$E$18,I1871))</f>
        <v/>
      </c>
    </row>
    <row r="1872" customFormat="false" ht="15" hidden="false" customHeight="false" outlineLevel="0" collapsed="false">
      <c r="A1872" s="0" t="str">
        <f aca="false">IF(I1872="","",IF(J1872=0,"Sparte "&amp;I1872&amp;": "&amp;INDEX(Eingabe!$B$9:$B$18,I1872)&amp;"  (Sparten-ID "&amp;INDEX(Eingabe!$D$9:$D$18,I1872)&amp;", "&amp;K1872&amp;" Parzellen)",IF(J1872&lt;=K1872,"   Parzelle "&amp;J1872,IF(J1872=K1872+1,"   Vorstand",IF(J1872=K1872+2,"   Gäste",IF(J1872=K1872+3,"   Technik (Switches, Access Points)",""))))))</f>
        <v/>
      </c>
      <c r="B1872" s="0" t="str">
        <f aca="false">IF(I1872="","",IF(AND(J1872&gt;=1,J1872&lt;=K1872+3),IF(J1872&lt;=K1872,IF(J1872&lt;=99,IF((INDEX(Eingabe!$G$9:$G$18,I1872))&lt;=9,1000+(INDEX(Eingabe!$G$9:$G$18,I1872))*100,3000)+J1872,IF((INDEX(Eingabe!$G$9:$G$18,I1872)+1)&lt;=9,1000+(INDEX(Eingabe!$G$9:$G$18,I1872)+1)*100,3000)+J1872-100),IF(J1872=K1872+1,2000+INDEX(Eingabe!$G$9:$G$18,I1872)*10+1,IF(J1872=K1872+2,2000+INDEX(Eingabe!$G$9:$G$18,I1872)*10+2,2000+INDEX(Eingabe!$G$9:$G$18,I1872)*10+9))),""))</f>
        <v/>
      </c>
      <c r="C1872" s="0" t="str">
        <f aca="false">IF(I1872="","",IF(AND(J1872&gt;=1,J1872&lt;=K1872+3),"10."&amp;INDEX(Eingabe!$D$9:$D$18,I1872)&amp;"."&amp;IF(J1872&lt;=K1872,J1872,IF(J1872=K1872+1,200,IF(J1872=K1872+2,201,250)))&amp;".0/24",""))</f>
        <v/>
      </c>
      <c r="D1872" s="0" t="str">
        <f aca="false">IF(I1872="","",IF(AND(J1872&gt;=1,J1872&lt;=K1872+3),"255.255.255.0",""))</f>
        <v/>
      </c>
      <c r="E1872" s="0" t="str">
        <f aca="false">IF(I1872="","",IF(AND(J1872&gt;=1,J1872&lt;=K1872+3),"10."&amp;INDEX(Eingabe!$D$9:$D$18,I1872)&amp;"."&amp;IF(J1872&lt;=K1872,J1872,IF(J1872=K1872+1,200,IF(J1872=K1872+2,201,250)))&amp;".1",""))</f>
        <v/>
      </c>
      <c r="F1872" s="0" t="str">
        <f aca="false">IF(I1872="","",IF(AND(J1872&gt;=1,J1872&lt;=K1872+3),"10."&amp;INDEX(Eingabe!$D$9:$D$18,I1872)&amp;"."&amp;IF(J1872&lt;=K1872,J1872,IF(J1872=K1872+1,200,IF(J1872=K1872+2,201,250)))&amp;".10 – 10."&amp;INDEX(Eingabe!$D$9:$D$18,I1872)&amp;"."&amp;IF(J1872&lt;=K1872,J1872,IF(J1872=K1872+1,200,IF(J1872=K1872+2,201,250)))&amp;".250",""))</f>
        <v/>
      </c>
      <c r="G1872" s="0" t="str">
        <f aca="false">IF(I1872="","",IF(AND(J1872&gt;=1,J1872&lt;=K1872),Eingabe!$B$6&amp;"-"&amp;INDEX(Eingabe!$C$9:$C$18,I1872)&amp;"-Pächter  ·  Passwort Parzelle "&amp;J1872,IF(J1872=K1872+1,Eingabe!$B$6&amp;"-"&amp;INDEX(Eingabe!$C$9:$C$18,I1872)&amp;"-Vorstand  ·  eigenes WLAN",IF(J1872=K1872+2,Eingabe!$B$6&amp;"-"&amp;INDEX(Eingabe!$C$9:$C$18,I1872)&amp;"-Gäste  ·  Voucher",IF(J1872=K1872+3,"Kabel  ·  Access Point y = .(50+y), Mast-Switch x = .(10+x)","")))))</f>
        <v/>
      </c>
      <c r="I1872" s="0" t="str">
        <f aca="false">IF(1867&lt;=(Eingabe!$P$18+Eingabe!$Q$18-1),MATCH(1867,Eingabe!$P$9:$P$18,1),"")</f>
        <v/>
      </c>
      <c r="J1872" s="0" t="str">
        <f aca="false">IF(I1872="","",1867-INDEX(Eingabe!$P$9:$P$18,I1872))</f>
        <v/>
      </c>
      <c r="K1872" s="0" t="str">
        <f aca="false">IF(I1872="","",INDEX(Eingabe!$E$9:$E$18,I1872))</f>
        <v/>
      </c>
    </row>
    <row r="1873" customFormat="false" ht="15" hidden="false" customHeight="false" outlineLevel="0" collapsed="false">
      <c r="A1873" s="0" t="str">
        <f aca="false">IF(I1873="","",IF(J1873=0,"Sparte "&amp;I1873&amp;": "&amp;INDEX(Eingabe!$B$9:$B$18,I1873)&amp;"  (Sparten-ID "&amp;INDEX(Eingabe!$D$9:$D$18,I1873)&amp;", "&amp;K1873&amp;" Parzellen)",IF(J1873&lt;=K1873,"   Parzelle "&amp;J1873,IF(J1873=K1873+1,"   Vorstand",IF(J1873=K1873+2,"   Gäste",IF(J1873=K1873+3,"   Technik (Switches, Access Points)",""))))))</f>
        <v/>
      </c>
      <c r="B1873" s="0" t="str">
        <f aca="false">IF(I1873="","",IF(AND(J1873&gt;=1,J1873&lt;=K1873+3),IF(J1873&lt;=K1873,IF(J1873&lt;=99,IF((INDEX(Eingabe!$G$9:$G$18,I1873))&lt;=9,1000+(INDEX(Eingabe!$G$9:$G$18,I1873))*100,3000)+J1873,IF((INDEX(Eingabe!$G$9:$G$18,I1873)+1)&lt;=9,1000+(INDEX(Eingabe!$G$9:$G$18,I1873)+1)*100,3000)+J1873-100),IF(J1873=K1873+1,2000+INDEX(Eingabe!$G$9:$G$18,I1873)*10+1,IF(J1873=K1873+2,2000+INDEX(Eingabe!$G$9:$G$18,I1873)*10+2,2000+INDEX(Eingabe!$G$9:$G$18,I1873)*10+9))),""))</f>
        <v/>
      </c>
      <c r="C1873" s="0" t="str">
        <f aca="false">IF(I1873="","",IF(AND(J1873&gt;=1,J1873&lt;=K1873+3),"10."&amp;INDEX(Eingabe!$D$9:$D$18,I1873)&amp;"."&amp;IF(J1873&lt;=K1873,J1873,IF(J1873=K1873+1,200,IF(J1873=K1873+2,201,250)))&amp;".0/24",""))</f>
        <v/>
      </c>
      <c r="D1873" s="0" t="str">
        <f aca="false">IF(I1873="","",IF(AND(J1873&gt;=1,J1873&lt;=K1873+3),"255.255.255.0",""))</f>
        <v/>
      </c>
      <c r="E1873" s="0" t="str">
        <f aca="false">IF(I1873="","",IF(AND(J1873&gt;=1,J1873&lt;=K1873+3),"10."&amp;INDEX(Eingabe!$D$9:$D$18,I1873)&amp;"."&amp;IF(J1873&lt;=K1873,J1873,IF(J1873=K1873+1,200,IF(J1873=K1873+2,201,250)))&amp;".1",""))</f>
        <v/>
      </c>
      <c r="F1873" s="0" t="str">
        <f aca="false">IF(I1873="","",IF(AND(J1873&gt;=1,J1873&lt;=K1873+3),"10."&amp;INDEX(Eingabe!$D$9:$D$18,I1873)&amp;"."&amp;IF(J1873&lt;=K1873,J1873,IF(J1873=K1873+1,200,IF(J1873=K1873+2,201,250)))&amp;".10 – 10."&amp;INDEX(Eingabe!$D$9:$D$18,I1873)&amp;"."&amp;IF(J1873&lt;=K1873,J1873,IF(J1873=K1873+1,200,IF(J1873=K1873+2,201,250)))&amp;".250",""))</f>
        <v/>
      </c>
      <c r="G1873" s="0" t="str">
        <f aca="false">IF(I1873="","",IF(AND(J1873&gt;=1,J1873&lt;=K1873),Eingabe!$B$6&amp;"-"&amp;INDEX(Eingabe!$C$9:$C$18,I1873)&amp;"-Pächter  ·  Passwort Parzelle "&amp;J1873,IF(J1873=K1873+1,Eingabe!$B$6&amp;"-"&amp;INDEX(Eingabe!$C$9:$C$18,I1873)&amp;"-Vorstand  ·  eigenes WLAN",IF(J1873=K1873+2,Eingabe!$B$6&amp;"-"&amp;INDEX(Eingabe!$C$9:$C$18,I1873)&amp;"-Gäste  ·  Voucher",IF(J1873=K1873+3,"Kabel  ·  Access Point y = .(50+y), Mast-Switch x = .(10+x)","")))))</f>
        <v/>
      </c>
      <c r="I1873" s="0" t="str">
        <f aca="false">IF(1868&lt;=(Eingabe!$P$18+Eingabe!$Q$18-1),MATCH(1868,Eingabe!$P$9:$P$18,1),"")</f>
        <v/>
      </c>
      <c r="J1873" s="0" t="str">
        <f aca="false">IF(I1873="","",1868-INDEX(Eingabe!$P$9:$P$18,I1873))</f>
        <v/>
      </c>
      <c r="K1873" s="0" t="str">
        <f aca="false">IF(I1873="","",INDEX(Eingabe!$E$9:$E$18,I1873))</f>
        <v/>
      </c>
    </row>
    <row r="1874" customFormat="false" ht="15" hidden="false" customHeight="false" outlineLevel="0" collapsed="false">
      <c r="A1874" s="0" t="str">
        <f aca="false">IF(I1874="","",IF(J1874=0,"Sparte "&amp;I1874&amp;": "&amp;INDEX(Eingabe!$B$9:$B$18,I1874)&amp;"  (Sparten-ID "&amp;INDEX(Eingabe!$D$9:$D$18,I1874)&amp;", "&amp;K1874&amp;" Parzellen)",IF(J1874&lt;=K1874,"   Parzelle "&amp;J1874,IF(J1874=K1874+1,"   Vorstand",IF(J1874=K1874+2,"   Gäste",IF(J1874=K1874+3,"   Technik (Switches, Access Points)",""))))))</f>
        <v/>
      </c>
      <c r="B1874" s="0" t="str">
        <f aca="false">IF(I1874="","",IF(AND(J1874&gt;=1,J1874&lt;=K1874+3),IF(J1874&lt;=K1874,IF(J1874&lt;=99,IF((INDEX(Eingabe!$G$9:$G$18,I1874))&lt;=9,1000+(INDEX(Eingabe!$G$9:$G$18,I1874))*100,3000)+J1874,IF((INDEX(Eingabe!$G$9:$G$18,I1874)+1)&lt;=9,1000+(INDEX(Eingabe!$G$9:$G$18,I1874)+1)*100,3000)+J1874-100),IF(J1874=K1874+1,2000+INDEX(Eingabe!$G$9:$G$18,I1874)*10+1,IF(J1874=K1874+2,2000+INDEX(Eingabe!$G$9:$G$18,I1874)*10+2,2000+INDEX(Eingabe!$G$9:$G$18,I1874)*10+9))),""))</f>
        <v/>
      </c>
      <c r="C1874" s="0" t="str">
        <f aca="false">IF(I1874="","",IF(AND(J1874&gt;=1,J1874&lt;=K1874+3),"10."&amp;INDEX(Eingabe!$D$9:$D$18,I1874)&amp;"."&amp;IF(J1874&lt;=K1874,J1874,IF(J1874=K1874+1,200,IF(J1874=K1874+2,201,250)))&amp;".0/24",""))</f>
        <v/>
      </c>
      <c r="D1874" s="0" t="str">
        <f aca="false">IF(I1874="","",IF(AND(J1874&gt;=1,J1874&lt;=K1874+3),"255.255.255.0",""))</f>
        <v/>
      </c>
      <c r="E1874" s="0" t="str">
        <f aca="false">IF(I1874="","",IF(AND(J1874&gt;=1,J1874&lt;=K1874+3),"10."&amp;INDEX(Eingabe!$D$9:$D$18,I1874)&amp;"."&amp;IF(J1874&lt;=K1874,J1874,IF(J1874=K1874+1,200,IF(J1874=K1874+2,201,250)))&amp;".1",""))</f>
        <v/>
      </c>
      <c r="F1874" s="0" t="str">
        <f aca="false">IF(I1874="","",IF(AND(J1874&gt;=1,J1874&lt;=K1874+3),"10."&amp;INDEX(Eingabe!$D$9:$D$18,I1874)&amp;"."&amp;IF(J1874&lt;=K1874,J1874,IF(J1874=K1874+1,200,IF(J1874=K1874+2,201,250)))&amp;".10 – 10."&amp;INDEX(Eingabe!$D$9:$D$18,I1874)&amp;"."&amp;IF(J1874&lt;=K1874,J1874,IF(J1874=K1874+1,200,IF(J1874=K1874+2,201,250)))&amp;".250",""))</f>
        <v/>
      </c>
      <c r="G1874" s="0" t="str">
        <f aca="false">IF(I1874="","",IF(AND(J1874&gt;=1,J1874&lt;=K1874),Eingabe!$B$6&amp;"-"&amp;INDEX(Eingabe!$C$9:$C$18,I1874)&amp;"-Pächter  ·  Passwort Parzelle "&amp;J1874,IF(J1874=K1874+1,Eingabe!$B$6&amp;"-"&amp;INDEX(Eingabe!$C$9:$C$18,I1874)&amp;"-Vorstand  ·  eigenes WLAN",IF(J1874=K1874+2,Eingabe!$B$6&amp;"-"&amp;INDEX(Eingabe!$C$9:$C$18,I1874)&amp;"-Gäste  ·  Voucher",IF(J1874=K1874+3,"Kabel  ·  Access Point y = .(50+y), Mast-Switch x = .(10+x)","")))))</f>
        <v/>
      </c>
      <c r="I1874" s="0" t="str">
        <f aca="false">IF(1869&lt;=(Eingabe!$P$18+Eingabe!$Q$18-1),MATCH(1869,Eingabe!$P$9:$P$18,1),"")</f>
        <v/>
      </c>
      <c r="J1874" s="0" t="str">
        <f aca="false">IF(I1874="","",1869-INDEX(Eingabe!$P$9:$P$18,I1874))</f>
        <v/>
      </c>
      <c r="K1874" s="0" t="str">
        <f aca="false">IF(I1874="","",INDEX(Eingabe!$E$9:$E$18,I1874))</f>
        <v/>
      </c>
    </row>
    <row r="1875" customFormat="false" ht="15" hidden="false" customHeight="false" outlineLevel="0" collapsed="false">
      <c r="A1875" s="0" t="str">
        <f aca="false">IF(I1875="","",IF(J1875=0,"Sparte "&amp;I1875&amp;": "&amp;INDEX(Eingabe!$B$9:$B$18,I1875)&amp;"  (Sparten-ID "&amp;INDEX(Eingabe!$D$9:$D$18,I1875)&amp;", "&amp;K1875&amp;" Parzellen)",IF(J1875&lt;=K1875,"   Parzelle "&amp;J1875,IF(J1875=K1875+1,"   Vorstand",IF(J1875=K1875+2,"   Gäste",IF(J1875=K1875+3,"   Technik (Switches, Access Points)",""))))))</f>
        <v/>
      </c>
      <c r="B1875" s="0" t="str">
        <f aca="false">IF(I1875="","",IF(AND(J1875&gt;=1,J1875&lt;=K1875+3),IF(J1875&lt;=K1875,IF(J1875&lt;=99,IF((INDEX(Eingabe!$G$9:$G$18,I1875))&lt;=9,1000+(INDEX(Eingabe!$G$9:$G$18,I1875))*100,3000)+J1875,IF((INDEX(Eingabe!$G$9:$G$18,I1875)+1)&lt;=9,1000+(INDEX(Eingabe!$G$9:$G$18,I1875)+1)*100,3000)+J1875-100),IF(J1875=K1875+1,2000+INDEX(Eingabe!$G$9:$G$18,I1875)*10+1,IF(J1875=K1875+2,2000+INDEX(Eingabe!$G$9:$G$18,I1875)*10+2,2000+INDEX(Eingabe!$G$9:$G$18,I1875)*10+9))),""))</f>
        <v/>
      </c>
      <c r="C1875" s="0" t="str">
        <f aca="false">IF(I1875="","",IF(AND(J1875&gt;=1,J1875&lt;=K1875+3),"10."&amp;INDEX(Eingabe!$D$9:$D$18,I1875)&amp;"."&amp;IF(J1875&lt;=K1875,J1875,IF(J1875=K1875+1,200,IF(J1875=K1875+2,201,250)))&amp;".0/24",""))</f>
        <v/>
      </c>
      <c r="D1875" s="0" t="str">
        <f aca="false">IF(I1875="","",IF(AND(J1875&gt;=1,J1875&lt;=K1875+3),"255.255.255.0",""))</f>
        <v/>
      </c>
      <c r="E1875" s="0" t="str">
        <f aca="false">IF(I1875="","",IF(AND(J1875&gt;=1,J1875&lt;=K1875+3),"10."&amp;INDEX(Eingabe!$D$9:$D$18,I1875)&amp;"."&amp;IF(J1875&lt;=K1875,J1875,IF(J1875=K1875+1,200,IF(J1875=K1875+2,201,250)))&amp;".1",""))</f>
        <v/>
      </c>
      <c r="F1875" s="0" t="str">
        <f aca="false">IF(I1875="","",IF(AND(J1875&gt;=1,J1875&lt;=K1875+3),"10."&amp;INDEX(Eingabe!$D$9:$D$18,I1875)&amp;"."&amp;IF(J1875&lt;=K1875,J1875,IF(J1875=K1875+1,200,IF(J1875=K1875+2,201,250)))&amp;".10 – 10."&amp;INDEX(Eingabe!$D$9:$D$18,I1875)&amp;"."&amp;IF(J1875&lt;=K1875,J1875,IF(J1875=K1875+1,200,IF(J1875=K1875+2,201,250)))&amp;".250",""))</f>
        <v/>
      </c>
      <c r="G1875" s="0" t="str">
        <f aca="false">IF(I1875="","",IF(AND(J1875&gt;=1,J1875&lt;=K1875),Eingabe!$B$6&amp;"-"&amp;INDEX(Eingabe!$C$9:$C$18,I1875)&amp;"-Pächter  ·  Passwort Parzelle "&amp;J1875,IF(J1875=K1875+1,Eingabe!$B$6&amp;"-"&amp;INDEX(Eingabe!$C$9:$C$18,I1875)&amp;"-Vorstand  ·  eigenes WLAN",IF(J1875=K1875+2,Eingabe!$B$6&amp;"-"&amp;INDEX(Eingabe!$C$9:$C$18,I1875)&amp;"-Gäste  ·  Voucher",IF(J1875=K1875+3,"Kabel  ·  Access Point y = .(50+y), Mast-Switch x = .(10+x)","")))))</f>
        <v/>
      </c>
      <c r="I1875" s="0" t="str">
        <f aca="false">IF(1870&lt;=(Eingabe!$P$18+Eingabe!$Q$18-1),MATCH(1870,Eingabe!$P$9:$P$18,1),"")</f>
        <v/>
      </c>
      <c r="J1875" s="0" t="str">
        <f aca="false">IF(I1875="","",1870-INDEX(Eingabe!$P$9:$P$18,I1875))</f>
        <v/>
      </c>
      <c r="K1875" s="0" t="str">
        <f aca="false">IF(I1875="","",INDEX(Eingabe!$E$9:$E$18,I1875))</f>
        <v/>
      </c>
    </row>
    <row r="1876" customFormat="false" ht="15" hidden="false" customHeight="false" outlineLevel="0" collapsed="false">
      <c r="A1876" s="0" t="str">
        <f aca="false">IF(I1876="","",IF(J1876=0,"Sparte "&amp;I1876&amp;": "&amp;INDEX(Eingabe!$B$9:$B$18,I1876)&amp;"  (Sparten-ID "&amp;INDEX(Eingabe!$D$9:$D$18,I1876)&amp;", "&amp;K1876&amp;" Parzellen)",IF(J1876&lt;=K1876,"   Parzelle "&amp;J1876,IF(J1876=K1876+1,"   Vorstand",IF(J1876=K1876+2,"   Gäste",IF(J1876=K1876+3,"   Technik (Switches, Access Points)",""))))))</f>
        <v/>
      </c>
      <c r="B1876" s="0" t="str">
        <f aca="false">IF(I1876="","",IF(AND(J1876&gt;=1,J1876&lt;=K1876+3),IF(J1876&lt;=K1876,IF(J1876&lt;=99,IF((INDEX(Eingabe!$G$9:$G$18,I1876))&lt;=9,1000+(INDEX(Eingabe!$G$9:$G$18,I1876))*100,3000)+J1876,IF((INDEX(Eingabe!$G$9:$G$18,I1876)+1)&lt;=9,1000+(INDEX(Eingabe!$G$9:$G$18,I1876)+1)*100,3000)+J1876-100),IF(J1876=K1876+1,2000+INDEX(Eingabe!$G$9:$G$18,I1876)*10+1,IF(J1876=K1876+2,2000+INDEX(Eingabe!$G$9:$G$18,I1876)*10+2,2000+INDEX(Eingabe!$G$9:$G$18,I1876)*10+9))),""))</f>
        <v/>
      </c>
      <c r="C1876" s="0" t="str">
        <f aca="false">IF(I1876="","",IF(AND(J1876&gt;=1,J1876&lt;=K1876+3),"10."&amp;INDEX(Eingabe!$D$9:$D$18,I1876)&amp;"."&amp;IF(J1876&lt;=K1876,J1876,IF(J1876=K1876+1,200,IF(J1876=K1876+2,201,250)))&amp;".0/24",""))</f>
        <v/>
      </c>
      <c r="D1876" s="0" t="str">
        <f aca="false">IF(I1876="","",IF(AND(J1876&gt;=1,J1876&lt;=K1876+3),"255.255.255.0",""))</f>
        <v/>
      </c>
      <c r="E1876" s="0" t="str">
        <f aca="false">IF(I1876="","",IF(AND(J1876&gt;=1,J1876&lt;=K1876+3),"10."&amp;INDEX(Eingabe!$D$9:$D$18,I1876)&amp;"."&amp;IF(J1876&lt;=K1876,J1876,IF(J1876=K1876+1,200,IF(J1876=K1876+2,201,250)))&amp;".1",""))</f>
        <v/>
      </c>
      <c r="F1876" s="0" t="str">
        <f aca="false">IF(I1876="","",IF(AND(J1876&gt;=1,J1876&lt;=K1876+3),"10."&amp;INDEX(Eingabe!$D$9:$D$18,I1876)&amp;"."&amp;IF(J1876&lt;=K1876,J1876,IF(J1876=K1876+1,200,IF(J1876=K1876+2,201,250)))&amp;".10 – 10."&amp;INDEX(Eingabe!$D$9:$D$18,I1876)&amp;"."&amp;IF(J1876&lt;=K1876,J1876,IF(J1876=K1876+1,200,IF(J1876=K1876+2,201,250)))&amp;".250",""))</f>
        <v/>
      </c>
      <c r="G1876" s="0" t="str">
        <f aca="false">IF(I1876="","",IF(AND(J1876&gt;=1,J1876&lt;=K1876),Eingabe!$B$6&amp;"-"&amp;INDEX(Eingabe!$C$9:$C$18,I1876)&amp;"-Pächter  ·  Passwort Parzelle "&amp;J1876,IF(J1876=K1876+1,Eingabe!$B$6&amp;"-"&amp;INDEX(Eingabe!$C$9:$C$18,I1876)&amp;"-Vorstand  ·  eigenes WLAN",IF(J1876=K1876+2,Eingabe!$B$6&amp;"-"&amp;INDEX(Eingabe!$C$9:$C$18,I1876)&amp;"-Gäste  ·  Voucher",IF(J1876=K1876+3,"Kabel  ·  Access Point y = .(50+y), Mast-Switch x = .(10+x)","")))))</f>
        <v/>
      </c>
      <c r="I1876" s="0" t="str">
        <f aca="false">IF(1871&lt;=(Eingabe!$P$18+Eingabe!$Q$18-1),MATCH(1871,Eingabe!$P$9:$P$18,1),"")</f>
        <v/>
      </c>
      <c r="J1876" s="0" t="str">
        <f aca="false">IF(I1876="","",1871-INDEX(Eingabe!$P$9:$P$18,I1876))</f>
        <v/>
      </c>
      <c r="K1876" s="0" t="str">
        <f aca="false">IF(I1876="","",INDEX(Eingabe!$E$9:$E$18,I1876))</f>
        <v/>
      </c>
    </row>
    <row r="1877" customFormat="false" ht="15" hidden="false" customHeight="false" outlineLevel="0" collapsed="false">
      <c r="A1877" s="0" t="str">
        <f aca="false">IF(I1877="","",IF(J1877=0,"Sparte "&amp;I1877&amp;": "&amp;INDEX(Eingabe!$B$9:$B$18,I1877)&amp;"  (Sparten-ID "&amp;INDEX(Eingabe!$D$9:$D$18,I1877)&amp;", "&amp;K1877&amp;" Parzellen)",IF(J1877&lt;=K1877,"   Parzelle "&amp;J1877,IF(J1877=K1877+1,"   Vorstand",IF(J1877=K1877+2,"   Gäste",IF(J1877=K1877+3,"   Technik (Switches, Access Points)",""))))))</f>
        <v/>
      </c>
      <c r="B1877" s="0" t="str">
        <f aca="false">IF(I1877="","",IF(AND(J1877&gt;=1,J1877&lt;=K1877+3),IF(J1877&lt;=K1877,IF(J1877&lt;=99,IF((INDEX(Eingabe!$G$9:$G$18,I1877))&lt;=9,1000+(INDEX(Eingabe!$G$9:$G$18,I1877))*100,3000)+J1877,IF((INDEX(Eingabe!$G$9:$G$18,I1877)+1)&lt;=9,1000+(INDEX(Eingabe!$G$9:$G$18,I1877)+1)*100,3000)+J1877-100),IF(J1877=K1877+1,2000+INDEX(Eingabe!$G$9:$G$18,I1877)*10+1,IF(J1877=K1877+2,2000+INDEX(Eingabe!$G$9:$G$18,I1877)*10+2,2000+INDEX(Eingabe!$G$9:$G$18,I1877)*10+9))),""))</f>
        <v/>
      </c>
      <c r="C1877" s="0" t="str">
        <f aca="false">IF(I1877="","",IF(AND(J1877&gt;=1,J1877&lt;=K1877+3),"10."&amp;INDEX(Eingabe!$D$9:$D$18,I1877)&amp;"."&amp;IF(J1877&lt;=K1877,J1877,IF(J1877=K1877+1,200,IF(J1877=K1877+2,201,250)))&amp;".0/24",""))</f>
        <v/>
      </c>
      <c r="D1877" s="0" t="str">
        <f aca="false">IF(I1877="","",IF(AND(J1877&gt;=1,J1877&lt;=K1877+3),"255.255.255.0",""))</f>
        <v/>
      </c>
      <c r="E1877" s="0" t="str">
        <f aca="false">IF(I1877="","",IF(AND(J1877&gt;=1,J1877&lt;=K1877+3),"10."&amp;INDEX(Eingabe!$D$9:$D$18,I1877)&amp;"."&amp;IF(J1877&lt;=K1877,J1877,IF(J1877=K1877+1,200,IF(J1877=K1877+2,201,250)))&amp;".1",""))</f>
        <v/>
      </c>
      <c r="F1877" s="0" t="str">
        <f aca="false">IF(I1877="","",IF(AND(J1877&gt;=1,J1877&lt;=K1877+3),"10."&amp;INDEX(Eingabe!$D$9:$D$18,I1877)&amp;"."&amp;IF(J1877&lt;=K1877,J1877,IF(J1877=K1877+1,200,IF(J1877=K1877+2,201,250)))&amp;".10 – 10."&amp;INDEX(Eingabe!$D$9:$D$18,I1877)&amp;"."&amp;IF(J1877&lt;=K1877,J1877,IF(J1877=K1877+1,200,IF(J1877=K1877+2,201,250)))&amp;".250",""))</f>
        <v/>
      </c>
      <c r="G1877" s="0" t="str">
        <f aca="false">IF(I1877="","",IF(AND(J1877&gt;=1,J1877&lt;=K1877),Eingabe!$B$6&amp;"-"&amp;INDEX(Eingabe!$C$9:$C$18,I1877)&amp;"-Pächter  ·  Passwort Parzelle "&amp;J1877,IF(J1877=K1877+1,Eingabe!$B$6&amp;"-"&amp;INDEX(Eingabe!$C$9:$C$18,I1877)&amp;"-Vorstand  ·  eigenes WLAN",IF(J1877=K1877+2,Eingabe!$B$6&amp;"-"&amp;INDEX(Eingabe!$C$9:$C$18,I1877)&amp;"-Gäste  ·  Voucher",IF(J1877=K1877+3,"Kabel  ·  Access Point y = .(50+y), Mast-Switch x = .(10+x)","")))))</f>
        <v/>
      </c>
      <c r="I1877" s="0" t="str">
        <f aca="false">IF(1872&lt;=(Eingabe!$P$18+Eingabe!$Q$18-1),MATCH(1872,Eingabe!$P$9:$P$18,1),"")</f>
        <v/>
      </c>
      <c r="J1877" s="0" t="str">
        <f aca="false">IF(I1877="","",1872-INDEX(Eingabe!$P$9:$P$18,I1877))</f>
        <v/>
      </c>
      <c r="K1877" s="0" t="str">
        <f aca="false">IF(I1877="","",INDEX(Eingabe!$E$9:$E$18,I1877))</f>
        <v/>
      </c>
    </row>
    <row r="1878" customFormat="false" ht="15" hidden="false" customHeight="false" outlineLevel="0" collapsed="false">
      <c r="A1878" s="0" t="str">
        <f aca="false">IF(I1878="","",IF(J1878=0,"Sparte "&amp;I1878&amp;": "&amp;INDEX(Eingabe!$B$9:$B$18,I1878)&amp;"  (Sparten-ID "&amp;INDEX(Eingabe!$D$9:$D$18,I1878)&amp;", "&amp;K1878&amp;" Parzellen)",IF(J1878&lt;=K1878,"   Parzelle "&amp;J1878,IF(J1878=K1878+1,"   Vorstand",IF(J1878=K1878+2,"   Gäste",IF(J1878=K1878+3,"   Technik (Switches, Access Points)",""))))))</f>
        <v/>
      </c>
      <c r="B1878" s="0" t="str">
        <f aca="false">IF(I1878="","",IF(AND(J1878&gt;=1,J1878&lt;=K1878+3),IF(J1878&lt;=K1878,IF(J1878&lt;=99,IF((INDEX(Eingabe!$G$9:$G$18,I1878))&lt;=9,1000+(INDEX(Eingabe!$G$9:$G$18,I1878))*100,3000)+J1878,IF((INDEX(Eingabe!$G$9:$G$18,I1878)+1)&lt;=9,1000+(INDEX(Eingabe!$G$9:$G$18,I1878)+1)*100,3000)+J1878-100),IF(J1878=K1878+1,2000+INDEX(Eingabe!$G$9:$G$18,I1878)*10+1,IF(J1878=K1878+2,2000+INDEX(Eingabe!$G$9:$G$18,I1878)*10+2,2000+INDEX(Eingabe!$G$9:$G$18,I1878)*10+9))),""))</f>
        <v/>
      </c>
      <c r="C1878" s="0" t="str">
        <f aca="false">IF(I1878="","",IF(AND(J1878&gt;=1,J1878&lt;=K1878+3),"10."&amp;INDEX(Eingabe!$D$9:$D$18,I1878)&amp;"."&amp;IF(J1878&lt;=K1878,J1878,IF(J1878=K1878+1,200,IF(J1878=K1878+2,201,250)))&amp;".0/24",""))</f>
        <v/>
      </c>
      <c r="D1878" s="0" t="str">
        <f aca="false">IF(I1878="","",IF(AND(J1878&gt;=1,J1878&lt;=K1878+3),"255.255.255.0",""))</f>
        <v/>
      </c>
      <c r="E1878" s="0" t="str">
        <f aca="false">IF(I1878="","",IF(AND(J1878&gt;=1,J1878&lt;=K1878+3),"10."&amp;INDEX(Eingabe!$D$9:$D$18,I1878)&amp;"."&amp;IF(J1878&lt;=K1878,J1878,IF(J1878=K1878+1,200,IF(J1878=K1878+2,201,250)))&amp;".1",""))</f>
        <v/>
      </c>
      <c r="F1878" s="0" t="str">
        <f aca="false">IF(I1878="","",IF(AND(J1878&gt;=1,J1878&lt;=K1878+3),"10."&amp;INDEX(Eingabe!$D$9:$D$18,I1878)&amp;"."&amp;IF(J1878&lt;=K1878,J1878,IF(J1878=K1878+1,200,IF(J1878=K1878+2,201,250)))&amp;".10 – 10."&amp;INDEX(Eingabe!$D$9:$D$18,I1878)&amp;"."&amp;IF(J1878&lt;=K1878,J1878,IF(J1878=K1878+1,200,IF(J1878=K1878+2,201,250)))&amp;".250",""))</f>
        <v/>
      </c>
      <c r="G1878" s="0" t="str">
        <f aca="false">IF(I1878="","",IF(AND(J1878&gt;=1,J1878&lt;=K1878),Eingabe!$B$6&amp;"-"&amp;INDEX(Eingabe!$C$9:$C$18,I1878)&amp;"-Pächter  ·  Passwort Parzelle "&amp;J1878,IF(J1878=K1878+1,Eingabe!$B$6&amp;"-"&amp;INDEX(Eingabe!$C$9:$C$18,I1878)&amp;"-Vorstand  ·  eigenes WLAN",IF(J1878=K1878+2,Eingabe!$B$6&amp;"-"&amp;INDEX(Eingabe!$C$9:$C$18,I1878)&amp;"-Gäste  ·  Voucher",IF(J1878=K1878+3,"Kabel  ·  Access Point y = .(50+y), Mast-Switch x = .(10+x)","")))))</f>
        <v/>
      </c>
      <c r="I1878" s="0" t="str">
        <f aca="false">IF(1873&lt;=(Eingabe!$P$18+Eingabe!$Q$18-1),MATCH(1873,Eingabe!$P$9:$P$18,1),"")</f>
        <v/>
      </c>
      <c r="J1878" s="0" t="str">
        <f aca="false">IF(I1878="","",1873-INDEX(Eingabe!$P$9:$P$18,I1878))</f>
        <v/>
      </c>
      <c r="K1878" s="0" t="str">
        <f aca="false">IF(I1878="","",INDEX(Eingabe!$E$9:$E$18,I1878))</f>
        <v/>
      </c>
    </row>
    <row r="1879" customFormat="false" ht="15" hidden="false" customHeight="false" outlineLevel="0" collapsed="false">
      <c r="A1879" s="0" t="str">
        <f aca="false">IF(I1879="","",IF(J1879=0,"Sparte "&amp;I1879&amp;": "&amp;INDEX(Eingabe!$B$9:$B$18,I1879)&amp;"  (Sparten-ID "&amp;INDEX(Eingabe!$D$9:$D$18,I1879)&amp;", "&amp;K1879&amp;" Parzellen)",IF(J1879&lt;=K1879,"   Parzelle "&amp;J1879,IF(J1879=K1879+1,"   Vorstand",IF(J1879=K1879+2,"   Gäste",IF(J1879=K1879+3,"   Technik (Switches, Access Points)",""))))))</f>
        <v/>
      </c>
      <c r="B1879" s="0" t="str">
        <f aca="false">IF(I1879="","",IF(AND(J1879&gt;=1,J1879&lt;=K1879+3),IF(J1879&lt;=K1879,IF(J1879&lt;=99,IF((INDEX(Eingabe!$G$9:$G$18,I1879))&lt;=9,1000+(INDEX(Eingabe!$G$9:$G$18,I1879))*100,3000)+J1879,IF((INDEX(Eingabe!$G$9:$G$18,I1879)+1)&lt;=9,1000+(INDEX(Eingabe!$G$9:$G$18,I1879)+1)*100,3000)+J1879-100),IF(J1879=K1879+1,2000+INDEX(Eingabe!$G$9:$G$18,I1879)*10+1,IF(J1879=K1879+2,2000+INDEX(Eingabe!$G$9:$G$18,I1879)*10+2,2000+INDEX(Eingabe!$G$9:$G$18,I1879)*10+9))),""))</f>
        <v/>
      </c>
      <c r="C1879" s="0" t="str">
        <f aca="false">IF(I1879="","",IF(AND(J1879&gt;=1,J1879&lt;=K1879+3),"10."&amp;INDEX(Eingabe!$D$9:$D$18,I1879)&amp;"."&amp;IF(J1879&lt;=K1879,J1879,IF(J1879=K1879+1,200,IF(J1879=K1879+2,201,250)))&amp;".0/24",""))</f>
        <v/>
      </c>
      <c r="D1879" s="0" t="str">
        <f aca="false">IF(I1879="","",IF(AND(J1879&gt;=1,J1879&lt;=K1879+3),"255.255.255.0",""))</f>
        <v/>
      </c>
      <c r="E1879" s="0" t="str">
        <f aca="false">IF(I1879="","",IF(AND(J1879&gt;=1,J1879&lt;=K1879+3),"10."&amp;INDEX(Eingabe!$D$9:$D$18,I1879)&amp;"."&amp;IF(J1879&lt;=K1879,J1879,IF(J1879=K1879+1,200,IF(J1879=K1879+2,201,250)))&amp;".1",""))</f>
        <v/>
      </c>
      <c r="F1879" s="0" t="str">
        <f aca="false">IF(I1879="","",IF(AND(J1879&gt;=1,J1879&lt;=K1879+3),"10."&amp;INDEX(Eingabe!$D$9:$D$18,I1879)&amp;"."&amp;IF(J1879&lt;=K1879,J1879,IF(J1879=K1879+1,200,IF(J1879=K1879+2,201,250)))&amp;".10 – 10."&amp;INDEX(Eingabe!$D$9:$D$18,I1879)&amp;"."&amp;IF(J1879&lt;=K1879,J1879,IF(J1879=K1879+1,200,IF(J1879=K1879+2,201,250)))&amp;".250",""))</f>
        <v/>
      </c>
      <c r="G1879" s="0" t="str">
        <f aca="false">IF(I1879="","",IF(AND(J1879&gt;=1,J1879&lt;=K1879),Eingabe!$B$6&amp;"-"&amp;INDEX(Eingabe!$C$9:$C$18,I1879)&amp;"-Pächter  ·  Passwort Parzelle "&amp;J1879,IF(J1879=K1879+1,Eingabe!$B$6&amp;"-"&amp;INDEX(Eingabe!$C$9:$C$18,I1879)&amp;"-Vorstand  ·  eigenes WLAN",IF(J1879=K1879+2,Eingabe!$B$6&amp;"-"&amp;INDEX(Eingabe!$C$9:$C$18,I1879)&amp;"-Gäste  ·  Voucher",IF(J1879=K1879+3,"Kabel  ·  Access Point y = .(50+y), Mast-Switch x = .(10+x)","")))))</f>
        <v/>
      </c>
      <c r="I1879" s="0" t="str">
        <f aca="false">IF(1874&lt;=(Eingabe!$P$18+Eingabe!$Q$18-1),MATCH(1874,Eingabe!$P$9:$P$18,1),"")</f>
        <v/>
      </c>
      <c r="J1879" s="0" t="str">
        <f aca="false">IF(I1879="","",1874-INDEX(Eingabe!$P$9:$P$18,I1879))</f>
        <v/>
      </c>
      <c r="K1879" s="0" t="str">
        <f aca="false">IF(I1879="","",INDEX(Eingabe!$E$9:$E$18,I1879))</f>
        <v/>
      </c>
    </row>
    <row r="1880" customFormat="false" ht="15" hidden="false" customHeight="false" outlineLevel="0" collapsed="false">
      <c r="A1880" s="0" t="str">
        <f aca="false">IF(I1880="","",IF(J1880=0,"Sparte "&amp;I1880&amp;": "&amp;INDEX(Eingabe!$B$9:$B$18,I1880)&amp;"  (Sparten-ID "&amp;INDEX(Eingabe!$D$9:$D$18,I1880)&amp;", "&amp;K1880&amp;" Parzellen)",IF(J1880&lt;=K1880,"   Parzelle "&amp;J1880,IF(J1880=K1880+1,"   Vorstand",IF(J1880=K1880+2,"   Gäste",IF(J1880=K1880+3,"   Technik (Switches, Access Points)",""))))))</f>
        <v/>
      </c>
      <c r="B1880" s="0" t="str">
        <f aca="false">IF(I1880="","",IF(AND(J1880&gt;=1,J1880&lt;=K1880+3),IF(J1880&lt;=K1880,IF(J1880&lt;=99,IF((INDEX(Eingabe!$G$9:$G$18,I1880))&lt;=9,1000+(INDEX(Eingabe!$G$9:$G$18,I1880))*100,3000)+J1880,IF((INDEX(Eingabe!$G$9:$G$18,I1880)+1)&lt;=9,1000+(INDEX(Eingabe!$G$9:$G$18,I1880)+1)*100,3000)+J1880-100),IF(J1880=K1880+1,2000+INDEX(Eingabe!$G$9:$G$18,I1880)*10+1,IF(J1880=K1880+2,2000+INDEX(Eingabe!$G$9:$G$18,I1880)*10+2,2000+INDEX(Eingabe!$G$9:$G$18,I1880)*10+9))),""))</f>
        <v/>
      </c>
      <c r="C1880" s="0" t="str">
        <f aca="false">IF(I1880="","",IF(AND(J1880&gt;=1,J1880&lt;=K1880+3),"10."&amp;INDEX(Eingabe!$D$9:$D$18,I1880)&amp;"."&amp;IF(J1880&lt;=K1880,J1880,IF(J1880=K1880+1,200,IF(J1880=K1880+2,201,250)))&amp;".0/24",""))</f>
        <v/>
      </c>
      <c r="D1880" s="0" t="str">
        <f aca="false">IF(I1880="","",IF(AND(J1880&gt;=1,J1880&lt;=K1880+3),"255.255.255.0",""))</f>
        <v/>
      </c>
      <c r="E1880" s="0" t="str">
        <f aca="false">IF(I1880="","",IF(AND(J1880&gt;=1,J1880&lt;=K1880+3),"10."&amp;INDEX(Eingabe!$D$9:$D$18,I1880)&amp;"."&amp;IF(J1880&lt;=K1880,J1880,IF(J1880=K1880+1,200,IF(J1880=K1880+2,201,250)))&amp;".1",""))</f>
        <v/>
      </c>
      <c r="F1880" s="0" t="str">
        <f aca="false">IF(I1880="","",IF(AND(J1880&gt;=1,J1880&lt;=K1880+3),"10."&amp;INDEX(Eingabe!$D$9:$D$18,I1880)&amp;"."&amp;IF(J1880&lt;=K1880,J1880,IF(J1880=K1880+1,200,IF(J1880=K1880+2,201,250)))&amp;".10 – 10."&amp;INDEX(Eingabe!$D$9:$D$18,I1880)&amp;"."&amp;IF(J1880&lt;=K1880,J1880,IF(J1880=K1880+1,200,IF(J1880=K1880+2,201,250)))&amp;".250",""))</f>
        <v/>
      </c>
      <c r="G1880" s="0" t="str">
        <f aca="false">IF(I1880="","",IF(AND(J1880&gt;=1,J1880&lt;=K1880),Eingabe!$B$6&amp;"-"&amp;INDEX(Eingabe!$C$9:$C$18,I1880)&amp;"-Pächter  ·  Passwort Parzelle "&amp;J1880,IF(J1880=K1880+1,Eingabe!$B$6&amp;"-"&amp;INDEX(Eingabe!$C$9:$C$18,I1880)&amp;"-Vorstand  ·  eigenes WLAN",IF(J1880=K1880+2,Eingabe!$B$6&amp;"-"&amp;INDEX(Eingabe!$C$9:$C$18,I1880)&amp;"-Gäste  ·  Voucher",IF(J1880=K1880+3,"Kabel  ·  Access Point y = .(50+y), Mast-Switch x = .(10+x)","")))))</f>
        <v/>
      </c>
      <c r="I1880" s="0" t="str">
        <f aca="false">IF(1875&lt;=(Eingabe!$P$18+Eingabe!$Q$18-1),MATCH(1875,Eingabe!$P$9:$P$18,1),"")</f>
        <v/>
      </c>
      <c r="J1880" s="0" t="str">
        <f aca="false">IF(I1880="","",1875-INDEX(Eingabe!$P$9:$P$18,I1880))</f>
        <v/>
      </c>
      <c r="K1880" s="0" t="str">
        <f aca="false">IF(I1880="","",INDEX(Eingabe!$E$9:$E$18,I1880))</f>
        <v/>
      </c>
    </row>
    <row r="1881" customFormat="false" ht="15" hidden="false" customHeight="false" outlineLevel="0" collapsed="false">
      <c r="A1881" s="0" t="str">
        <f aca="false">IF(I1881="","",IF(J1881=0,"Sparte "&amp;I1881&amp;": "&amp;INDEX(Eingabe!$B$9:$B$18,I1881)&amp;"  (Sparten-ID "&amp;INDEX(Eingabe!$D$9:$D$18,I1881)&amp;", "&amp;K1881&amp;" Parzellen)",IF(J1881&lt;=K1881,"   Parzelle "&amp;J1881,IF(J1881=K1881+1,"   Vorstand",IF(J1881=K1881+2,"   Gäste",IF(J1881=K1881+3,"   Technik (Switches, Access Points)",""))))))</f>
        <v/>
      </c>
      <c r="B1881" s="0" t="str">
        <f aca="false">IF(I1881="","",IF(AND(J1881&gt;=1,J1881&lt;=K1881+3),IF(J1881&lt;=K1881,IF(J1881&lt;=99,IF((INDEX(Eingabe!$G$9:$G$18,I1881))&lt;=9,1000+(INDEX(Eingabe!$G$9:$G$18,I1881))*100,3000)+J1881,IF((INDEX(Eingabe!$G$9:$G$18,I1881)+1)&lt;=9,1000+(INDEX(Eingabe!$G$9:$G$18,I1881)+1)*100,3000)+J1881-100),IF(J1881=K1881+1,2000+INDEX(Eingabe!$G$9:$G$18,I1881)*10+1,IF(J1881=K1881+2,2000+INDEX(Eingabe!$G$9:$G$18,I1881)*10+2,2000+INDEX(Eingabe!$G$9:$G$18,I1881)*10+9))),""))</f>
        <v/>
      </c>
      <c r="C1881" s="0" t="str">
        <f aca="false">IF(I1881="","",IF(AND(J1881&gt;=1,J1881&lt;=K1881+3),"10."&amp;INDEX(Eingabe!$D$9:$D$18,I1881)&amp;"."&amp;IF(J1881&lt;=K1881,J1881,IF(J1881=K1881+1,200,IF(J1881=K1881+2,201,250)))&amp;".0/24",""))</f>
        <v/>
      </c>
      <c r="D1881" s="0" t="str">
        <f aca="false">IF(I1881="","",IF(AND(J1881&gt;=1,J1881&lt;=K1881+3),"255.255.255.0",""))</f>
        <v/>
      </c>
      <c r="E1881" s="0" t="str">
        <f aca="false">IF(I1881="","",IF(AND(J1881&gt;=1,J1881&lt;=K1881+3),"10."&amp;INDEX(Eingabe!$D$9:$D$18,I1881)&amp;"."&amp;IF(J1881&lt;=K1881,J1881,IF(J1881=K1881+1,200,IF(J1881=K1881+2,201,250)))&amp;".1",""))</f>
        <v/>
      </c>
      <c r="F1881" s="0" t="str">
        <f aca="false">IF(I1881="","",IF(AND(J1881&gt;=1,J1881&lt;=K1881+3),"10."&amp;INDEX(Eingabe!$D$9:$D$18,I1881)&amp;"."&amp;IF(J1881&lt;=K1881,J1881,IF(J1881=K1881+1,200,IF(J1881=K1881+2,201,250)))&amp;".10 – 10."&amp;INDEX(Eingabe!$D$9:$D$18,I1881)&amp;"."&amp;IF(J1881&lt;=K1881,J1881,IF(J1881=K1881+1,200,IF(J1881=K1881+2,201,250)))&amp;".250",""))</f>
        <v/>
      </c>
      <c r="G1881" s="0" t="str">
        <f aca="false">IF(I1881="","",IF(AND(J1881&gt;=1,J1881&lt;=K1881),Eingabe!$B$6&amp;"-"&amp;INDEX(Eingabe!$C$9:$C$18,I1881)&amp;"-Pächter  ·  Passwort Parzelle "&amp;J1881,IF(J1881=K1881+1,Eingabe!$B$6&amp;"-"&amp;INDEX(Eingabe!$C$9:$C$18,I1881)&amp;"-Vorstand  ·  eigenes WLAN",IF(J1881=K1881+2,Eingabe!$B$6&amp;"-"&amp;INDEX(Eingabe!$C$9:$C$18,I1881)&amp;"-Gäste  ·  Voucher",IF(J1881=K1881+3,"Kabel  ·  Access Point y = .(50+y), Mast-Switch x = .(10+x)","")))))</f>
        <v/>
      </c>
      <c r="I1881" s="0" t="str">
        <f aca="false">IF(1876&lt;=(Eingabe!$P$18+Eingabe!$Q$18-1),MATCH(1876,Eingabe!$P$9:$P$18,1),"")</f>
        <v/>
      </c>
      <c r="J1881" s="0" t="str">
        <f aca="false">IF(I1881="","",1876-INDEX(Eingabe!$P$9:$P$18,I1881))</f>
        <v/>
      </c>
      <c r="K1881" s="0" t="str">
        <f aca="false">IF(I1881="","",INDEX(Eingabe!$E$9:$E$18,I1881))</f>
        <v/>
      </c>
    </row>
    <row r="1882" customFormat="false" ht="15" hidden="false" customHeight="false" outlineLevel="0" collapsed="false">
      <c r="A1882" s="0" t="str">
        <f aca="false">IF(I1882="","",IF(J1882=0,"Sparte "&amp;I1882&amp;": "&amp;INDEX(Eingabe!$B$9:$B$18,I1882)&amp;"  (Sparten-ID "&amp;INDEX(Eingabe!$D$9:$D$18,I1882)&amp;", "&amp;K1882&amp;" Parzellen)",IF(J1882&lt;=K1882,"   Parzelle "&amp;J1882,IF(J1882=K1882+1,"   Vorstand",IF(J1882=K1882+2,"   Gäste",IF(J1882=K1882+3,"   Technik (Switches, Access Points)",""))))))</f>
        <v/>
      </c>
      <c r="B1882" s="0" t="str">
        <f aca="false">IF(I1882="","",IF(AND(J1882&gt;=1,J1882&lt;=K1882+3),IF(J1882&lt;=K1882,IF(J1882&lt;=99,IF((INDEX(Eingabe!$G$9:$G$18,I1882))&lt;=9,1000+(INDEX(Eingabe!$G$9:$G$18,I1882))*100,3000)+J1882,IF((INDEX(Eingabe!$G$9:$G$18,I1882)+1)&lt;=9,1000+(INDEX(Eingabe!$G$9:$G$18,I1882)+1)*100,3000)+J1882-100),IF(J1882=K1882+1,2000+INDEX(Eingabe!$G$9:$G$18,I1882)*10+1,IF(J1882=K1882+2,2000+INDEX(Eingabe!$G$9:$G$18,I1882)*10+2,2000+INDEX(Eingabe!$G$9:$G$18,I1882)*10+9))),""))</f>
        <v/>
      </c>
      <c r="C1882" s="0" t="str">
        <f aca="false">IF(I1882="","",IF(AND(J1882&gt;=1,J1882&lt;=K1882+3),"10."&amp;INDEX(Eingabe!$D$9:$D$18,I1882)&amp;"."&amp;IF(J1882&lt;=K1882,J1882,IF(J1882=K1882+1,200,IF(J1882=K1882+2,201,250)))&amp;".0/24",""))</f>
        <v/>
      </c>
      <c r="D1882" s="0" t="str">
        <f aca="false">IF(I1882="","",IF(AND(J1882&gt;=1,J1882&lt;=K1882+3),"255.255.255.0",""))</f>
        <v/>
      </c>
      <c r="E1882" s="0" t="str">
        <f aca="false">IF(I1882="","",IF(AND(J1882&gt;=1,J1882&lt;=K1882+3),"10."&amp;INDEX(Eingabe!$D$9:$D$18,I1882)&amp;"."&amp;IF(J1882&lt;=K1882,J1882,IF(J1882=K1882+1,200,IF(J1882=K1882+2,201,250)))&amp;".1",""))</f>
        <v/>
      </c>
      <c r="F1882" s="0" t="str">
        <f aca="false">IF(I1882="","",IF(AND(J1882&gt;=1,J1882&lt;=K1882+3),"10."&amp;INDEX(Eingabe!$D$9:$D$18,I1882)&amp;"."&amp;IF(J1882&lt;=K1882,J1882,IF(J1882=K1882+1,200,IF(J1882=K1882+2,201,250)))&amp;".10 – 10."&amp;INDEX(Eingabe!$D$9:$D$18,I1882)&amp;"."&amp;IF(J1882&lt;=K1882,J1882,IF(J1882=K1882+1,200,IF(J1882=K1882+2,201,250)))&amp;".250",""))</f>
        <v/>
      </c>
      <c r="G1882" s="0" t="str">
        <f aca="false">IF(I1882="","",IF(AND(J1882&gt;=1,J1882&lt;=K1882),Eingabe!$B$6&amp;"-"&amp;INDEX(Eingabe!$C$9:$C$18,I1882)&amp;"-Pächter  ·  Passwort Parzelle "&amp;J1882,IF(J1882=K1882+1,Eingabe!$B$6&amp;"-"&amp;INDEX(Eingabe!$C$9:$C$18,I1882)&amp;"-Vorstand  ·  eigenes WLAN",IF(J1882=K1882+2,Eingabe!$B$6&amp;"-"&amp;INDEX(Eingabe!$C$9:$C$18,I1882)&amp;"-Gäste  ·  Voucher",IF(J1882=K1882+3,"Kabel  ·  Access Point y = .(50+y), Mast-Switch x = .(10+x)","")))))</f>
        <v/>
      </c>
      <c r="I1882" s="0" t="str">
        <f aca="false">IF(1877&lt;=(Eingabe!$P$18+Eingabe!$Q$18-1),MATCH(1877,Eingabe!$P$9:$P$18,1),"")</f>
        <v/>
      </c>
      <c r="J1882" s="0" t="str">
        <f aca="false">IF(I1882="","",1877-INDEX(Eingabe!$P$9:$P$18,I1882))</f>
        <v/>
      </c>
      <c r="K1882" s="0" t="str">
        <f aca="false">IF(I1882="","",INDEX(Eingabe!$E$9:$E$18,I1882))</f>
        <v/>
      </c>
    </row>
    <row r="1883" customFormat="false" ht="15" hidden="false" customHeight="false" outlineLevel="0" collapsed="false">
      <c r="A1883" s="0" t="str">
        <f aca="false">IF(I1883="","",IF(J1883=0,"Sparte "&amp;I1883&amp;": "&amp;INDEX(Eingabe!$B$9:$B$18,I1883)&amp;"  (Sparten-ID "&amp;INDEX(Eingabe!$D$9:$D$18,I1883)&amp;", "&amp;K1883&amp;" Parzellen)",IF(J1883&lt;=K1883,"   Parzelle "&amp;J1883,IF(J1883=K1883+1,"   Vorstand",IF(J1883=K1883+2,"   Gäste",IF(J1883=K1883+3,"   Technik (Switches, Access Points)",""))))))</f>
        <v/>
      </c>
      <c r="B1883" s="0" t="str">
        <f aca="false">IF(I1883="","",IF(AND(J1883&gt;=1,J1883&lt;=K1883+3),IF(J1883&lt;=K1883,IF(J1883&lt;=99,IF((INDEX(Eingabe!$G$9:$G$18,I1883))&lt;=9,1000+(INDEX(Eingabe!$G$9:$G$18,I1883))*100,3000)+J1883,IF((INDEX(Eingabe!$G$9:$G$18,I1883)+1)&lt;=9,1000+(INDEX(Eingabe!$G$9:$G$18,I1883)+1)*100,3000)+J1883-100),IF(J1883=K1883+1,2000+INDEX(Eingabe!$G$9:$G$18,I1883)*10+1,IF(J1883=K1883+2,2000+INDEX(Eingabe!$G$9:$G$18,I1883)*10+2,2000+INDEX(Eingabe!$G$9:$G$18,I1883)*10+9))),""))</f>
        <v/>
      </c>
      <c r="C1883" s="0" t="str">
        <f aca="false">IF(I1883="","",IF(AND(J1883&gt;=1,J1883&lt;=K1883+3),"10."&amp;INDEX(Eingabe!$D$9:$D$18,I1883)&amp;"."&amp;IF(J1883&lt;=K1883,J1883,IF(J1883=K1883+1,200,IF(J1883=K1883+2,201,250)))&amp;".0/24",""))</f>
        <v/>
      </c>
      <c r="D1883" s="0" t="str">
        <f aca="false">IF(I1883="","",IF(AND(J1883&gt;=1,J1883&lt;=K1883+3),"255.255.255.0",""))</f>
        <v/>
      </c>
      <c r="E1883" s="0" t="str">
        <f aca="false">IF(I1883="","",IF(AND(J1883&gt;=1,J1883&lt;=K1883+3),"10."&amp;INDEX(Eingabe!$D$9:$D$18,I1883)&amp;"."&amp;IF(J1883&lt;=K1883,J1883,IF(J1883=K1883+1,200,IF(J1883=K1883+2,201,250)))&amp;".1",""))</f>
        <v/>
      </c>
      <c r="F1883" s="0" t="str">
        <f aca="false">IF(I1883="","",IF(AND(J1883&gt;=1,J1883&lt;=K1883+3),"10."&amp;INDEX(Eingabe!$D$9:$D$18,I1883)&amp;"."&amp;IF(J1883&lt;=K1883,J1883,IF(J1883=K1883+1,200,IF(J1883=K1883+2,201,250)))&amp;".10 – 10."&amp;INDEX(Eingabe!$D$9:$D$18,I1883)&amp;"."&amp;IF(J1883&lt;=K1883,J1883,IF(J1883=K1883+1,200,IF(J1883=K1883+2,201,250)))&amp;".250",""))</f>
        <v/>
      </c>
      <c r="G1883" s="0" t="str">
        <f aca="false">IF(I1883="","",IF(AND(J1883&gt;=1,J1883&lt;=K1883),Eingabe!$B$6&amp;"-"&amp;INDEX(Eingabe!$C$9:$C$18,I1883)&amp;"-Pächter  ·  Passwort Parzelle "&amp;J1883,IF(J1883=K1883+1,Eingabe!$B$6&amp;"-"&amp;INDEX(Eingabe!$C$9:$C$18,I1883)&amp;"-Vorstand  ·  eigenes WLAN",IF(J1883=K1883+2,Eingabe!$B$6&amp;"-"&amp;INDEX(Eingabe!$C$9:$C$18,I1883)&amp;"-Gäste  ·  Voucher",IF(J1883=K1883+3,"Kabel  ·  Access Point y = .(50+y), Mast-Switch x = .(10+x)","")))))</f>
        <v/>
      </c>
      <c r="I1883" s="0" t="str">
        <f aca="false">IF(1878&lt;=(Eingabe!$P$18+Eingabe!$Q$18-1),MATCH(1878,Eingabe!$P$9:$P$18,1),"")</f>
        <v/>
      </c>
      <c r="J1883" s="0" t="str">
        <f aca="false">IF(I1883="","",1878-INDEX(Eingabe!$P$9:$P$18,I1883))</f>
        <v/>
      </c>
      <c r="K1883" s="0" t="str">
        <f aca="false">IF(I1883="","",INDEX(Eingabe!$E$9:$E$18,I1883))</f>
        <v/>
      </c>
    </row>
    <row r="1884" customFormat="false" ht="15" hidden="false" customHeight="false" outlineLevel="0" collapsed="false">
      <c r="A1884" s="0" t="str">
        <f aca="false">IF(I1884="","",IF(J1884=0,"Sparte "&amp;I1884&amp;": "&amp;INDEX(Eingabe!$B$9:$B$18,I1884)&amp;"  (Sparten-ID "&amp;INDEX(Eingabe!$D$9:$D$18,I1884)&amp;", "&amp;K1884&amp;" Parzellen)",IF(J1884&lt;=K1884,"   Parzelle "&amp;J1884,IF(J1884=K1884+1,"   Vorstand",IF(J1884=K1884+2,"   Gäste",IF(J1884=K1884+3,"   Technik (Switches, Access Points)",""))))))</f>
        <v/>
      </c>
      <c r="B1884" s="0" t="str">
        <f aca="false">IF(I1884="","",IF(AND(J1884&gt;=1,J1884&lt;=K1884+3),IF(J1884&lt;=K1884,IF(J1884&lt;=99,IF((INDEX(Eingabe!$G$9:$G$18,I1884))&lt;=9,1000+(INDEX(Eingabe!$G$9:$G$18,I1884))*100,3000)+J1884,IF((INDEX(Eingabe!$G$9:$G$18,I1884)+1)&lt;=9,1000+(INDEX(Eingabe!$G$9:$G$18,I1884)+1)*100,3000)+J1884-100),IF(J1884=K1884+1,2000+INDEX(Eingabe!$G$9:$G$18,I1884)*10+1,IF(J1884=K1884+2,2000+INDEX(Eingabe!$G$9:$G$18,I1884)*10+2,2000+INDEX(Eingabe!$G$9:$G$18,I1884)*10+9))),""))</f>
        <v/>
      </c>
      <c r="C1884" s="0" t="str">
        <f aca="false">IF(I1884="","",IF(AND(J1884&gt;=1,J1884&lt;=K1884+3),"10."&amp;INDEX(Eingabe!$D$9:$D$18,I1884)&amp;"."&amp;IF(J1884&lt;=K1884,J1884,IF(J1884=K1884+1,200,IF(J1884=K1884+2,201,250)))&amp;".0/24",""))</f>
        <v/>
      </c>
      <c r="D1884" s="0" t="str">
        <f aca="false">IF(I1884="","",IF(AND(J1884&gt;=1,J1884&lt;=K1884+3),"255.255.255.0",""))</f>
        <v/>
      </c>
      <c r="E1884" s="0" t="str">
        <f aca="false">IF(I1884="","",IF(AND(J1884&gt;=1,J1884&lt;=K1884+3),"10."&amp;INDEX(Eingabe!$D$9:$D$18,I1884)&amp;"."&amp;IF(J1884&lt;=K1884,J1884,IF(J1884=K1884+1,200,IF(J1884=K1884+2,201,250)))&amp;".1",""))</f>
        <v/>
      </c>
      <c r="F1884" s="0" t="str">
        <f aca="false">IF(I1884="","",IF(AND(J1884&gt;=1,J1884&lt;=K1884+3),"10."&amp;INDEX(Eingabe!$D$9:$D$18,I1884)&amp;"."&amp;IF(J1884&lt;=K1884,J1884,IF(J1884=K1884+1,200,IF(J1884=K1884+2,201,250)))&amp;".10 – 10."&amp;INDEX(Eingabe!$D$9:$D$18,I1884)&amp;"."&amp;IF(J1884&lt;=K1884,J1884,IF(J1884=K1884+1,200,IF(J1884=K1884+2,201,250)))&amp;".250",""))</f>
        <v/>
      </c>
      <c r="G1884" s="0" t="str">
        <f aca="false">IF(I1884="","",IF(AND(J1884&gt;=1,J1884&lt;=K1884),Eingabe!$B$6&amp;"-"&amp;INDEX(Eingabe!$C$9:$C$18,I1884)&amp;"-Pächter  ·  Passwort Parzelle "&amp;J1884,IF(J1884=K1884+1,Eingabe!$B$6&amp;"-"&amp;INDEX(Eingabe!$C$9:$C$18,I1884)&amp;"-Vorstand  ·  eigenes WLAN",IF(J1884=K1884+2,Eingabe!$B$6&amp;"-"&amp;INDEX(Eingabe!$C$9:$C$18,I1884)&amp;"-Gäste  ·  Voucher",IF(J1884=K1884+3,"Kabel  ·  Access Point y = .(50+y), Mast-Switch x = .(10+x)","")))))</f>
        <v/>
      </c>
      <c r="I1884" s="0" t="str">
        <f aca="false">IF(1879&lt;=(Eingabe!$P$18+Eingabe!$Q$18-1),MATCH(1879,Eingabe!$P$9:$P$18,1),"")</f>
        <v/>
      </c>
      <c r="J1884" s="0" t="str">
        <f aca="false">IF(I1884="","",1879-INDEX(Eingabe!$P$9:$P$18,I1884))</f>
        <v/>
      </c>
      <c r="K1884" s="0" t="str">
        <f aca="false">IF(I1884="","",INDEX(Eingabe!$E$9:$E$18,I1884))</f>
        <v/>
      </c>
    </row>
    <row r="1885" customFormat="false" ht="15" hidden="false" customHeight="false" outlineLevel="0" collapsed="false">
      <c r="A1885" s="0" t="str">
        <f aca="false">IF(I1885="","",IF(J1885=0,"Sparte "&amp;I1885&amp;": "&amp;INDEX(Eingabe!$B$9:$B$18,I1885)&amp;"  (Sparten-ID "&amp;INDEX(Eingabe!$D$9:$D$18,I1885)&amp;", "&amp;K1885&amp;" Parzellen)",IF(J1885&lt;=K1885,"   Parzelle "&amp;J1885,IF(J1885=K1885+1,"   Vorstand",IF(J1885=K1885+2,"   Gäste",IF(J1885=K1885+3,"   Technik (Switches, Access Points)",""))))))</f>
        <v/>
      </c>
      <c r="B1885" s="0" t="str">
        <f aca="false">IF(I1885="","",IF(AND(J1885&gt;=1,J1885&lt;=K1885+3),IF(J1885&lt;=K1885,IF(J1885&lt;=99,IF((INDEX(Eingabe!$G$9:$G$18,I1885))&lt;=9,1000+(INDEX(Eingabe!$G$9:$G$18,I1885))*100,3000)+J1885,IF((INDEX(Eingabe!$G$9:$G$18,I1885)+1)&lt;=9,1000+(INDEX(Eingabe!$G$9:$G$18,I1885)+1)*100,3000)+J1885-100),IF(J1885=K1885+1,2000+INDEX(Eingabe!$G$9:$G$18,I1885)*10+1,IF(J1885=K1885+2,2000+INDEX(Eingabe!$G$9:$G$18,I1885)*10+2,2000+INDEX(Eingabe!$G$9:$G$18,I1885)*10+9))),""))</f>
        <v/>
      </c>
      <c r="C1885" s="0" t="str">
        <f aca="false">IF(I1885="","",IF(AND(J1885&gt;=1,J1885&lt;=K1885+3),"10."&amp;INDEX(Eingabe!$D$9:$D$18,I1885)&amp;"."&amp;IF(J1885&lt;=K1885,J1885,IF(J1885=K1885+1,200,IF(J1885=K1885+2,201,250)))&amp;".0/24",""))</f>
        <v/>
      </c>
      <c r="D1885" s="0" t="str">
        <f aca="false">IF(I1885="","",IF(AND(J1885&gt;=1,J1885&lt;=K1885+3),"255.255.255.0",""))</f>
        <v/>
      </c>
      <c r="E1885" s="0" t="str">
        <f aca="false">IF(I1885="","",IF(AND(J1885&gt;=1,J1885&lt;=K1885+3),"10."&amp;INDEX(Eingabe!$D$9:$D$18,I1885)&amp;"."&amp;IF(J1885&lt;=K1885,J1885,IF(J1885=K1885+1,200,IF(J1885=K1885+2,201,250)))&amp;".1",""))</f>
        <v/>
      </c>
      <c r="F1885" s="0" t="str">
        <f aca="false">IF(I1885="","",IF(AND(J1885&gt;=1,J1885&lt;=K1885+3),"10."&amp;INDEX(Eingabe!$D$9:$D$18,I1885)&amp;"."&amp;IF(J1885&lt;=K1885,J1885,IF(J1885=K1885+1,200,IF(J1885=K1885+2,201,250)))&amp;".10 – 10."&amp;INDEX(Eingabe!$D$9:$D$18,I1885)&amp;"."&amp;IF(J1885&lt;=K1885,J1885,IF(J1885=K1885+1,200,IF(J1885=K1885+2,201,250)))&amp;".250",""))</f>
        <v/>
      </c>
      <c r="G1885" s="0" t="str">
        <f aca="false">IF(I1885="","",IF(AND(J1885&gt;=1,J1885&lt;=K1885),Eingabe!$B$6&amp;"-"&amp;INDEX(Eingabe!$C$9:$C$18,I1885)&amp;"-Pächter  ·  Passwort Parzelle "&amp;J1885,IF(J1885=K1885+1,Eingabe!$B$6&amp;"-"&amp;INDEX(Eingabe!$C$9:$C$18,I1885)&amp;"-Vorstand  ·  eigenes WLAN",IF(J1885=K1885+2,Eingabe!$B$6&amp;"-"&amp;INDEX(Eingabe!$C$9:$C$18,I1885)&amp;"-Gäste  ·  Voucher",IF(J1885=K1885+3,"Kabel  ·  Access Point y = .(50+y), Mast-Switch x = .(10+x)","")))))</f>
        <v/>
      </c>
      <c r="I1885" s="0" t="str">
        <f aca="false">IF(1880&lt;=(Eingabe!$P$18+Eingabe!$Q$18-1),MATCH(1880,Eingabe!$P$9:$P$18,1),"")</f>
        <v/>
      </c>
      <c r="J1885" s="0" t="str">
        <f aca="false">IF(I1885="","",1880-INDEX(Eingabe!$P$9:$P$18,I1885))</f>
        <v/>
      </c>
      <c r="K1885" s="0" t="str">
        <f aca="false">IF(I1885="","",INDEX(Eingabe!$E$9:$E$18,I1885))</f>
        <v/>
      </c>
    </row>
    <row r="1886" customFormat="false" ht="15" hidden="false" customHeight="false" outlineLevel="0" collapsed="false">
      <c r="A1886" s="0" t="str">
        <f aca="false">IF(I1886="","",IF(J1886=0,"Sparte "&amp;I1886&amp;": "&amp;INDEX(Eingabe!$B$9:$B$18,I1886)&amp;"  (Sparten-ID "&amp;INDEX(Eingabe!$D$9:$D$18,I1886)&amp;", "&amp;K1886&amp;" Parzellen)",IF(J1886&lt;=K1886,"   Parzelle "&amp;J1886,IF(J1886=K1886+1,"   Vorstand",IF(J1886=K1886+2,"   Gäste",IF(J1886=K1886+3,"   Technik (Switches, Access Points)",""))))))</f>
        <v/>
      </c>
      <c r="B1886" s="0" t="str">
        <f aca="false">IF(I1886="","",IF(AND(J1886&gt;=1,J1886&lt;=K1886+3),IF(J1886&lt;=K1886,IF(J1886&lt;=99,IF((INDEX(Eingabe!$G$9:$G$18,I1886))&lt;=9,1000+(INDEX(Eingabe!$G$9:$G$18,I1886))*100,3000)+J1886,IF((INDEX(Eingabe!$G$9:$G$18,I1886)+1)&lt;=9,1000+(INDEX(Eingabe!$G$9:$G$18,I1886)+1)*100,3000)+J1886-100),IF(J1886=K1886+1,2000+INDEX(Eingabe!$G$9:$G$18,I1886)*10+1,IF(J1886=K1886+2,2000+INDEX(Eingabe!$G$9:$G$18,I1886)*10+2,2000+INDEX(Eingabe!$G$9:$G$18,I1886)*10+9))),""))</f>
        <v/>
      </c>
      <c r="C1886" s="0" t="str">
        <f aca="false">IF(I1886="","",IF(AND(J1886&gt;=1,J1886&lt;=K1886+3),"10."&amp;INDEX(Eingabe!$D$9:$D$18,I1886)&amp;"."&amp;IF(J1886&lt;=K1886,J1886,IF(J1886=K1886+1,200,IF(J1886=K1886+2,201,250)))&amp;".0/24",""))</f>
        <v/>
      </c>
      <c r="D1886" s="0" t="str">
        <f aca="false">IF(I1886="","",IF(AND(J1886&gt;=1,J1886&lt;=K1886+3),"255.255.255.0",""))</f>
        <v/>
      </c>
      <c r="E1886" s="0" t="str">
        <f aca="false">IF(I1886="","",IF(AND(J1886&gt;=1,J1886&lt;=K1886+3),"10."&amp;INDEX(Eingabe!$D$9:$D$18,I1886)&amp;"."&amp;IF(J1886&lt;=K1886,J1886,IF(J1886=K1886+1,200,IF(J1886=K1886+2,201,250)))&amp;".1",""))</f>
        <v/>
      </c>
      <c r="F1886" s="0" t="str">
        <f aca="false">IF(I1886="","",IF(AND(J1886&gt;=1,J1886&lt;=K1886+3),"10."&amp;INDEX(Eingabe!$D$9:$D$18,I1886)&amp;"."&amp;IF(J1886&lt;=K1886,J1886,IF(J1886=K1886+1,200,IF(J1886=K1886+2,201,250)))&amp;".10 – 10."&amp;INDEX(Eingabe!$D$9:$D$18,I1886)&amp;"."&amp;IF(J1886&lt;=K1886,J1886,IF(J1886=K1886+1,200,IF(J1886=K1886+2,201,250)))&amp;".250",""))</f>
        <v/>
      </c>
      <c r="G1886" s="0" t="str">
        <f aca="false">IF(I1886="","",IF(AND(J1886&gt;=1,J1886&lt;=K1886),Eingabe!$B$6&amp;"-"&amp;INDEX(Eingabe!$C$9:$C$18,I1886)&amp;"-Pächter  ·  Passwort Parzelle "&amp;J1886,IF(J1886=K1886+1,Eingabe!$B$6&amp;"-"&amp;INDEX(Eingabe!$C$9:$C$18,I1886)&amp;"-Vorstand  ·  eigenes WLAN",IF(J1886=K1886+2,Eingabe!$B$6&amp;"-"&amp;INDEX(Eingabe!$C$9:$C$18,I1886)&amp;"-Gäste  ·  Voucher",IF(J1886=K1886+3,"Kabel  ·  Access Point y = .(50+y), Mast-Switch x = .(10+x)","")))))</f>
        <v/>
      </c>
      <c r="I1886" s="0" t="str">
        <f aca="false">IF(1881&lt;=(Eingabe!$P$18+Eingabe!$Q$18-1),MATCH(1881,Eingabe!$P$9:$P$18,1),"")</f>
        <v/>
      </c>
      <c r="J1886" s="0" t="str">
        <f aca="false">IF(I1886="","",1881-INDEX(Eingabe!$P$9:$P$18,I1886))</f>
        <v/>
      </c>
      <c r="K1886" s="0" t="str">
        <f aca="false">IF(I1886="","",INDEX(Eingabe!$E$9:$E$18,I1886))</f>
        <v/>
      </c>
    </row>
    <row r="1887" customFormat="false" ht="15" hidden="false" customHeight="false" outlineLevel="0" collapsed="false">
      <c r="A1887" s="0" t="str">
        <f aca="false">IF(I1887="","",IF(J1887=0,"Sparte "&amp;I1887&amp;": "&amp;INDEX(Eingabe!$B$9:$B$18,I1887)&amp;"  (Sparten-ID "&amp;INDEX(Eingabe!$D$9:$D$18,I1887)&amp;", "&amp;K1887&amp;" Parzellen)",IF(J1887&lt;=K1887,"   Parzelle "&amp;J1887,IF(J1887=K1887+1,"   Vorstand",IF(J1887=K1887+2,"   Gäste",IF(J1887=K1887+3,"   Technik (Switches, Access Points)",""))))))</f>
        <v/>
      </c>
      <c r="B1887" s="0" t="str">
        <f aca="false">IF(I1887="","",IF(AND(J1887&gt;=1,J1887&lt;=K1887+3),IF(J1887&lt;=K1887,IF(J1887&lt;=99,IF((INDEX(Eingabe!$G$9:$G$18,I1887))&lt;=9,1000+(INDEX(Eingabe!$G$9:$G$18,I1887))*100,3000)+J1887,IF((INDEX(Eingabe!$G$9:$G$18,I1887)+1)&lt;=9,1000+(INDEX(Eingabe!$G$9:$G$18,I1887)+1)*100,3000)+J1887-100),IF(J1887=K1887+1,2000+INDEX(Eingabe!$G$9:$G$18,I1887)*10+1,IF(J1887=K1887+2,2000+INDEX(Eingabe!$G$9:$G$18,I1887)*10+2,2000+INDEX(Eingabe!$G$9:$G$18,I1887)*10+9))),""))</f>
        <v/>
      </c>
      <c r="C1887" s="0" t="str">
        <f aca="false">IF(I1887="","",IF(AND(J1887&gt;=1,J1887&lt;=K1887+3),"10."&amp;INDEX(Eingabe!$D$9:$D$18,I1887)&amp;"."&amp;IF(J1887&lt;=K1887,J1887,IF(J1887=K1887+1,200,IF(J1887=K1887+2,201,250)))&amp;".0/24",""))</f>
        <v/>
      </c>
      <c r="D1887" s="0" t="str">
        <f aca="false">IF(I1887="","",IF(AND(J1887&gt;=1,J1887&lt;=K1887+3),"255.255.255.0",""))</f>
        <v/>
      </c>
      <c r="E1887" s="0" t="str">
        <f aca="false">IF(I1887="","",IF(AND(J1887&gt;=1,J1887&lt;=K1887+3),"10."&amp;INDEX(Eingabe!$D$9:$D$18,I1887)&amp;"."&amp;IF(J1887&lt;=K1887,J1887,IF(J1887=K1887+1,200,IF(J1887=K1887+2,201,250)))&amp;".1",""))</f>
        <v/>
      </c>
      <c r="F1887" s="0" t="str">
        <f aca="false">IF(I1887="","",IF(AND(J1887&gt;=1,J1887&lt;=K1887+3),"10."&amp;INDEX(Eingabe!$D$9:$D$18,I1887)&amp;"."&amp;IF(J1887&lt;=K1887,J1887,IF(J1887=K1887+1,200,IF(J1887=K1887+2,201,250)))&amp;".10 – 10."&amp;INDEX(Eingabe!$D$9:$D$18,I1887)&amp;"."&amp;IF(J1887&lt;=K1887,J1887,IF(J1887=K1887+1,200,IF(J1887=K1887+2,201,250)))&amp;".250",""))</f>
        <v/>
      </c>
      <c r="G1887" s="0" t="str">
        <f aca="false">IF(I1887="","",IF(AND(J1887&gt;=1,J1887&lt;=K1887),Eingabe!$B$6&amp;"-"&amp;INDEX(Eingabe!$C$9:$C$18,I1887)&amp;"-Pächter  ·  Passwort Parzelle "&amp;J1887,IF(J1887=K1887+1,Eingabe!$B$6&amp;"-"&amp;INDEX(Eingabe!$C$9:$C$18,I1887)&amp;"-Vorstand  ·  eigenes WLAN",IF(J1887=K1887+2,Eingabe!$B$6&amp;"-"&amp;INDEX(Eingabe!$C$9:$C$18,I1887)&amp;"-Gäste  ·  Voucher",IF(J1887=K1887+3,"Kabel  ·  Access Point y = .(50+y), Mast-Switch x = .(10+x)","")))))</f>
        <v/>
      </c>
      <c r="I1887" s="0" t="str">
        <f aca="false">IF(1882&lt;=(Eingabe!$P$18+Eingabe!$Q$18-1),MATCH(1882,Eingabe!$P$9:$P$18,1),"")</f>
        <v/>
      </c>
      <c r="J1887" s="0" t="str">
        <f aca="false">IF(I1887="","",1882-INDEX(Eingabe!$P$9:$P$18,I1887))</f>
        <v/>
      </c>
      <c r="K1887" s="0" t="str">
        <f aca="false">IF(I1887="","",INDEX(Eingabe!$E$9:$E$18,I1887))</f>
        <v/>
      </c>
    </row>
    <row r="1888" customFormat="false" ht="15" hidden="false" customHeight="false" outlineLevel="0" collapsed="false">
      <c r="A1888" s="0" t="str">
        <f aca="false">IF(I1888="","",IF(J1888=0,"Sparte "&amp;I1888&amp;": "&amp;INDEX(Eingabe!$B$9:$B$18,I1888)&amp;"  (Sparten-ID "&amp;INDEX(Eingabe!$D$9:$D$18,I1888)&amp;", "&amp;K1888&amp;" Parzellen)",IF(J1888&lt;=K1888,"   Parzelle "&amp;J1888,IF(J1888=K1888+1,"   Vorstand",IF(J1888=K1888+2,"   Gäste",IF(J1888=K1888+3,"   Technik (Switches, Access Points)",""))))))</f>
        <v/>
      </c>
      <c r="B1888" s="0" t="str">
        <f aca="false">IF(I1888="","",IF(AND(J1888&gt;=1,J1888&lt;=K1888+3),IF(J1888&lt;=K1888,IF(J1888&lt;=99,IF((INDEX(Eingabe!$G$9:$G$18,I1888))&lt;=9,1000+(INDEX(Eingabe!$G$9:$G$18,I1888))*100,3000)+J1888,IF((INDEX(Eingabe!$G$9:$G$18,I1888)+1)&lt;=9,1000+(INDEX(Eingabe!$G$9:$G$18,I1888)+1)*100,3000)+J1888-100),IF(J1888=K1888+1,2000+INDEX(Eingabe!$G$9:$G$18,I1888)*10+1,IF(J1888=K1888+2,2000+INDEX(Eingabe!$G$9:$G$18,I1888)*10+2,2000+INDEX(Eingabe!$G$9:$G$18,I1888)*10+9))),""))</f>
        <v/>
      </c>
      <c r="C1888" s="0" t="str">
        <f aca="false">IF(I1888="","",IF(AND(J1888&gt;=1,J1888&lt;=K1888+3),"10."&amp;INDEX(Eingabe!$D$9:$D$18,I1888)&amp;"."&amp;IF(J1888&lt;=K1888,J1888,IF(J1888=K1888+1,200,IF(J1888=K1888+2,201,250)))&amp;".0/24",""))</f>
        <v/>
      </c>
      <c r="D1888" s="0" t="str">
        <f aca="false">IF(I1888="","",IF(AND(J1888&gt;=1,J1888&lt;=K1888+3),"255.255.255.0",""))</f>
        <v/>
      </c>
      <c r="E1888" s="0" t="str">
        <f aca="false">IF(I1888="","",IF(AND(J1888&gt;=1,J1888&lt;=K1888+3),"10."&amp;INDEX(Eingabe!$D$9:$D$18,I1888)&amp;"."&amp;IF(J1888&lt;=K1888,J1888,IF(J1888=K1888+1,200,IF(J1888=K1888+2,201,250)))&amp;".1",""))</f>
        <v/>
      </c>
      <c r="F1888" s="0" t="str">
        <f aca="false">IF(I1888="","",IF(AND(J1888&gt;=1,J1888&lt;=K1888+3),"10."&amp;INDEX(Eingabe!$D$9:$D$18,I1888)&amp;"."&amp;IF(J1888&lt;=K1888,J1888,IF(J1888=K1888+1,200,IF(J1888=K1888+2,201,250)))&amp;".10 – 10."&amp;INDEX(Eingabe!$D$9:$D$18,I1888)&amp;"."&amp;IF(J1888&lt;=K1888,J1888,IF(J1888=K1888+1,200,IF(J1888=K1888+2,201,250)))&amp;".250",""))</f>
        <v/>
      </c>
      <c r="G1888" s="0" t="str">
        <f aca="false">IF(I1888="","",IF(AND(J1888&gt;=1,J1888&lt;=K1888),Eingabe!$B$6&amp;"-"&amp;INDEX(Eingabe!$C$9:$C$18,I1888)&amp;"-Pächter  ·  Passwort Parzelle "&amp;J1888,IF(J1888=K1888+1,Eingabe!$B$6&amp;"-"&amp;INDEX(Eingabe!$C$9:$C$18,I1888)&amp;"-Vorstand  ·  eigenes WLAN",IF(J1888=K1888+2,Eingabe!$B$6&amp;"-"&amp;INDEX(Eingabe!$C$9:$C$18,I1888)&amp;"-Gäste  ·  Voucher",IF(J1888=K1888+3,"Kabel  ·  Access Point y = .(50+y), Mast-Switch x = .(10+x)","")))))</f>
        <v/>
      </c>
      <c r="I1888" s="0" t="str">
        <f aca="false">IF(1883&lt;=(Eingabe!$P$18+Eingabe!$Q$18-1),MATCH(1883,Eingabe!$P$9:$P$18,1),"")</f>
        <v/>
      </c>
      <c r="J1888" s="0" t="str">
        <f aca="false">IF(I1888="","",1883-INDEX(Eingabe!$P$9:$P$18,I1888))</f>
        <v/>
      </c>
      <c r="K1888" s="0" t="str">
        <f aca="false">IF(I1888="","",INDEX(Eingabe!$E$9:$E$18,I1888))</f>
        <v/>
      </c>
    </row>
    <row r="1889" customFormat="false" ht="15" hidden="false" customHeight="false" outlineLevel="0" collapsed="false">
      <c r="A1889" s="0" t="str">
        <f aca="false">IF(I1889="","",IF(J1889=0,"Sparte "&amp;I1889&amp;": "&amp;INDEX(Eingabe!$B$9:$B$18,I1889)&amp;"  (Sparten-ID "&amp;INDEX(Eingabe!$D$9:$D$18,I1889)&amp;", "&amp;K1889&amp;" Parzellen)",IF(J1889&lt;=K1889,"   Parzelle "&amp;J1889,IF(J1889=K1889+1,"   Vorstand",IF(J1889=K1889+2,"   Gäste",IF(J1889=K1889+3,"   Technik (Switches, Access Points)",""))))))</f>
        <v/>
      </c>
      <c r="B1889" s="0" t="str">
        <f aca="false">IF(I1889="","",IF(AND(J1889&gt;=1,J1889&lt;=K1889+3),IF(J1889&lt;=K1889,IF(J1889&lt;=99,IF((INDEX(Eingabe!$G$9:$G$18,I1889))&lt;=9,1000+(INDEX(Eingabe!$G$9:$G$18,I1889))*100,3000)+J1889,IF((INDEX(Eingabe!$G$9:$G$18,I1889)+1)&lt;=9,1000+(INDEX(Eingabe!$G$9:$G$18,I1889)+1)*100,3000)+J1889-100),IF(J1889=K1889+1,2000+INDEX(Eingabe!$G$9:$G$18,I1889)*10+1,IF(J1889=K1889+2,2000+INDEX(Eingabe!$G$9:$G$18,I1889)*10+2,2000+INDEX(Eingabe!$G$9:$G$18,I1889)*10+9))),""))</f>
        <v/>
      </c>
      <c r="C1889" s="0" t="str">
        <f aca="false">IF(I1889="","",IF(AND(J1889&gt;=1,J1889&lt;=K1889+3),"10."&amp;INDEX(Eingabe!$D$9:$D$18,I1889)&amp;"."&amp;IF(J1889&lt;=K1889,J1889,IF(J1889=K1889+1,200,IF(J1889=K1889+2,201,250)))&amp;".0/24",""))</f>
        <v/>
      </c>
      <c r="D1889" s="0" t="str">
        <f aca="false">IF(I1889="","",IF(AND(J1889&gt;=1,J1889&lt;=K1889+3),"255.255.255.0",""))</f>
        <v/>
      </c>
      <c r="E1889" s="0" t="str">
        <f aca="false">IF(I1889="","",IF(AND(J1889&gt;=1,J1889&lt;=K1889+3),"10."&amp;INDEX(Eingabe!$D$9:$D$18,I1889)&amp;"."&amp;IF(J1889&lt;=K1889,J1889,IF(J1889=K1889+1,200,IF(J1889=K1889+2,201,250)))&amp;".1",""))</f>
        <v/>
      </c>
      <c r="F1889" s="0" t="str">
        <f aca="false">IF(I1889="","",IF(AND(J1889&gt;=1,J1889&lt;=K1889+3),"10."&amp;INDEX(Eingabe!$D$9:$D$18,I1889)&amp;"."&amp;IF(J1889&lt;=K1889,J1889,IF(J1889=K1889+1,200,IF(J1889=K1889+2,201,250)))&amp;".10 – 10."&amp;INDEX(Eingabe!$D$9:$D$18,I1889)&amp;"."&amp;IF(J1889&lt;=K1889,J1889,IF(J1889=K1889+1,200,IF(J1889=K1889+2,201,250)))&amp;".250",""))</f>
        <v/>
      </c>
      <c r="G1889" s="0" t="str">
        <f aca="false">IF(I1889="","",IF(AND(J1889&gt;=1,J1889&lt;=K1889),Eingabe!$B$6&amp;"-"&amp;INDEX(Eingabe!$C$9:$C$18,I1889)&amp;"-Pächter  ·  Passwort Parzelle "&amp;J1889,IF(J1889=K1889+1,Eingabe!$B$6&amp;"-"&amp;INDEX(Eingabe!$C$9:$C$18,I1889)&amp;"-Vorstand  ·  eigenes WLAN",IF(J1889=K1889+2,Eingabe!$B$6&amp;"-"&amp;INDEX(Eingabe!$C$9:$C$18,I1889)&amp;"-Gäste  ·  Voucher",IF(J1889=K1889+3,"Kabel  ·  Access Point y = .(50+y), Mast-Switch x = .(10+x)","")))))</f>
        <v/>
      </c>
      <c r="I1889" s="0" t="str">
        <f aca="false">IF(1884&lt;=(Eingabe!$P$18+Eingabe!$Q$18-1),MATCH(1884,Eingabe!$P$9:$P$18,1),"")</f>
        <v/>
      </c>
      <c r="J1889" s="0" t="str">
        <f aca="false">IF(I1889="","",1884-INDEX(Eingabe!$P$9:$P$18,I1889))</f>
        <v/>
      </c>
      <c r="K1889" s="0" t="str">
        <f aca="false">IF(I1889="","",INDEX(Eingabe!$E$9:$E$18,I1889))</f>
        <v/>
      </c>
    </row>
    <row r="1890" customFormat="false" ht="15" hidden="false" customHeight="false" outlineLevel="0" collapsed="false">
      <c r="A1890" s="0" t="str">
        <f aca="false">IF(I1890="","",IF(J1890=0,"Sparte "&amp;I1890&amp;": "&amp;INDEX(Eingabe!$B$9:$B$18,I1890)&amp;"  (Sparten-ID "&amp;INDEX(Eingabe!$D$9:$D$18,I1890)&amp;", "&amp;K1890&amp;" Parzellen)",IF(J1890&lt;=K1890,"   Parzelle "&amp;J1890,IF(J1890=K1890+1,"   Vorstand",IF(J1890=K1890+2,"   Gäste",IF(J1890=K1890+3,"   Technik (Switches, Access Points)",""))))))</f>
        <v/>
      </c>
      <c r="B1890" s="0" t="str">
        <f aca="false">IF(I1890="","",IF(AND(J1890&gt;=1,J1890&lt;=K1890+3),IF(J1890&lt;=K1890,IF(J1890&lt;=99,IF((INDEX(Eingabe!$G$9:$G$18,I1890))&lt;=9,1000+(INDEX(Eingabe!$G$9:$G$18,I1890))*100,3000)+J1890,IF((INDEX(Eingabe!$G$9:$G$18,I1890)+1)&lt;=9,1000+(INDEX(Eingabe!$G$9:$G$18,I1890)+1)*100,3000)+J1890-100),IF(J1890=K1890+1,2000+INDEX(Eingabe!$G$9:$G$18,I1890)*10+1,IF(J1890=K1890+2,2000+INDEX(Eingabe!$G$9:$G$18,I1890)*10+2,2000+INDEX(Eingabe!$G$9:$G$18,I1890)*10+9))),""))</f>
        <v/>
      </c>
      <c r="C1890" s="0" t="str">
        <f aca="false">IF(I1890="","",IF(AND(J1890&gt;=1,J1890&lt;=K1890+3),"10."&amp;INDEX(Eingabe!$D$9:$D$18,I1890)&amp;"."&amp;IF(J1890&lt;=K1890,J1890,IF(J1890=K1890+1,200,IF(J1890=K1890+2,201,250)))&amp;".0/24",""))</f>
        <v/>
      </c>
      <c r="D1890" s="0" t="str">
        <f aca="false">IF(I1890="","",IF(AND(J1890&gt;=1,J1890&lt;=K1890+3),"255.255.255.0",""))</f>
        <v/>
      </c>
      <c r="E1890" s="0" t="str">
        <f aca="false">IF(I1890="","",IF(AND(J1890&gt;=1,J1890&lt;=K1890+3),"10."&amp;INDEX(Eingabe!$D$9:$D$18,I1890)&amp;"."&amp;IF(J1890&lt;=K1890,J1890,IF(J1890=K1890+1,200,IF(J1890=K1890+2,201,250)))&amp;".1",""))</f>
        <v/>
      </c>
      <c r="F1890" s="0" t="str">
        <f aca="false">IF(I1890="","",IF(AND(J1890&gt;=1,J1890&lt;=K1890+3),"10."&amp;INDEX(Eingabe!$D$9:$D$18,I1890)&amp;"."&amp;IF(J1890&lt;=K1890,J1890,IF(J1890=K1890+1,200,IF(J1890=K1890+2,201,250)))&amp;".10 – 10."&amp;INDEX(Eingabe!$D$9:$D$18,I1890)&amp;"."&amp;IF(J1890&lt;=K1890,J1890,IF(J1890=K1890+1,200,IF(J1890=K1890+2,201,250)))&amp;".250",""))</f>
        <v/>
      </c>
      <c r="G1890" s="0" t="str">
        <f aca="false">IF(I1890="","",IF(AND(J1890&gt;=1,J1890&lt;=K1890),Eingabe!$B$6&amp;"-"&amp;INDEX(Eingabe!$C$9:$C$18,I1890)&amp;"-Pächter  ·  Passwort Parzelle "&amp;J1890,IF(J1890=K1890+1,Eingabe!$B$6&amp;"-"&amp;INDEX(Eingabe!$C$9:$C$18,I1890)&amp;"-Vorstand  ·  eigenes WLAN",IF(J1890=K1890+2,Eingabe!$B$6&amp;"-"&amp;INDEX(Eingabe!$C$9:$C$18,I1890)&amp;"-Gäste  ·  Voucher",IF(J1890=K1890+3,"Kabel  ·  Access Point y = .(50+y), Mast-Switch x = .(10+x)","")))))</f>
        <v/>
      </c>
      <c r="I1890" s="0" t="str">
        <f aca="false">IF(1885&lt;=(Eingabe!$P$18+Eingabe!$Q$18-1),MATCH(1885,Eingabe!$P$9:$P$18,1),"")</f>
        <v/>
      </c>
      <c r="J1890" s="0" t="str">
        <f aca="false">IF(I1890="","",1885-INDEX(Eingabe!$P$9:$P$18,I1890))</f>
        <v/>
      </c>
      <c r="K1890" s="0" t="str">
        <f aca="false">IF(I1890="","",INDEX(Eingabe!$E$9:$E$18,I1890))</f>
        <v/>
      </c>
    </row>
    <row r="1891" customFormat="false" ht="15" hidden="false" customHeight="false" outlineLevel="0" collapsed="false">
      <c r="A1891" s="0" t="str">
        <f aca="false">IF(I1891="","",IF(J1891=0,"Sparte "&amp;I1891&amp;": "&amp;INDEX(Eingabe!$B$9:$B$18,I1891)&amp;"  (Sparten-ID "&amp;INDEX(Eingabe!$D$9:$D$18,I1891)&amp;", "&amp;K1891&amp;" Parzellen)",IF(J1891&lt;=K1891,"   Parzelle "&amp;J1891,IF(J1891=K1891+1,"   Vorstand",IF(J1891=K1891+2,"   Gäste",IF(J1891=K1891+3,"   Technik (Switches, Access Points)",""))))))</f>
        <v/>
      </c>
      <c r="B1891" s="0" t="str">
        <f aca="false">IF(I1891="","",IF(AND(J1891&gt;=1,J1891&lt;=K1891+3),IF(J1891&lt;=K1891,IF(J1891&lt;=99,IF((INDEX(Eingabe!$G$9:$G$18,I1891))&lt;=9,1000+(INDEX(Eingabe!$G$9:$G$18,I1891))*100,3000)+J1891,IF((INDEX(Eingabe!$G$9:$G$18,I1891)+1)&lt;=9,1000+(INDEX(Eingabe!$G$9:$G$18,I1891)+1)*100,3000)+J1891-100),IF(J1891=K1891+1,2000+INDEX(Eingabe!$G$9:$G$18,I1891)*10+1,IF(J1891=K1891+2,2000+INDEX(Eingabe!$G$9:$G$18,I1891)*10+2,2000+INDEX(Eingabe!$G$9:$G$18,I1891)*10+9))),""))</f>
        <v/>
      </c>
      <c r="C1891" s="0" t="str">
        <f aca="false">IF(I1891="","",IF(AND(J1891&gt;=1,J1891&lt;=K1891+3),"10."&amp;INDEX(Eingabe!$D$9:$D$18,I1891)&amp;"."&amp;IF(J1891&lt;=K1891,J1891,IF(J1891=K1891+1,200,IF(J1891=K1891+2,201,250)))&amp;".0/24",""))</f>
        <v/>
      </c>
      <c r="D1891" s="0" t="str">
        <f aca="false">IF(I1891="","",IF(AND(J1891&gt;=1,J1891&lt;=K1891+3),"255.255.255.0",""))</f>
        <v/>
      </c>
      <c r="E1891" s="0" t="str">
        <f aca="false">IF(I1891="","",IF(AND(J1891&gt;=1,J1891&lt;=K1891+3),"10."&amp;INDEX(Eingabe!$D$9:$D$18,I1891)&amp;"."&amp;IF(J1891&lt;=K1891,J1891,IF(J1891=K1891+1,200,IF(J1891=K1891+2,201,250)))&amp;".1",""))</f>
        <v/>
      </c>
      <c r="F1891" s="0" t="str">
        <f aca="false">IF(I1891="","",IF(AND(J1891&gt;=1,J1891&lt;=K1891+3),"10."&amp;INDEX(Eingabe!$D$9:$D$18,I1891)&amp;"."&amp;IF(J1891&lt;=K1891,J1891,IF(J1891=K1891+1,200,IF(J1891=K1891+2,201,250)))&amp;".10 – 10."&amp;INDEX(Eingabe!$D$9:$D$18,I1891)&amp;"."&amp;IF(J1891&lt;=K1891,J1891,IF(J1891=K1891+1,200,IF(J1891=K1891+2,201,250)))&amp;".250",""))</f>
        <v/>
      </c>
      <c r="G1891" s="0" t="str">
        <f aca="false">IF(I1891="","",IF(AND(J1891&gt;=1,J1891&lt;=K1891),Eingabe!$B$6&amp;"-"&amp;INDEX(Eingabe!$C$9:$C$18,I1891)&amp;"-Pächter  ·  Passwort Parzelle "&amp;J1891,IF(J1891=K1891+1,Eingabe!$B$6&amp;"-"&amp;INDEX(Eingabe!$C$9:$C$18,I1891)&amp;"-Vorstand  ·  eigenes WLAN",IF(J1891=K1891+2,Eingabe!$B$6&amp;"-"&amp;INDEX(Eingabe!$C$9:$C$18,I1891)&amp;"-Gäste  ·  Voucher",IF(J1891=K1891+3,"Kabel  ·  Access Point y = .(50+y), Mast-Switch x = .(10+x)","")))))</f>
        <v/>
      </c>
      <c r="I1891" s="0" t="str">
        <f aca="false">IF(1886&lt;=(Eingabe!$P$18+Eingabe!$Q$18-1),MATCH(1886,Eingabe!$P$9:$P$18,1),"")</f>
        <v/>
      </c>
      <c r="J1891" s="0" t="str">
        <f aca="false">IF(I1891="","",1886-INDEX(Eingabe!$P$9:$P$18,I1891))</f>
        <v/>
      </c>
      <c r="K1891" s="0" t="str">
        <f aca="false">IF(I1891="","",INDEX(Eingabe!$E$9:$E$18,I1891))</f>
        <v/>
      </c>
    </row>
    <row r="1892" customFormat="false" ht="15" hidden="false" customHeight="false" outlineLevel="0" collapsed="false">
      <c r="A1892" s="0" t="str">
        <f aca="false">IF(I1892="","",IF(J1892=0,"Sparte "&amp;I1892&amp;": "&amp;INDEX(Eingabe!$B$9:$B$18,I1892)&amp;"  (Sparten-ID "&amp;INDEX(Eingabe!$D$9:$D$18,I1892)&amp;", "&amp;K1892&amp;" Parzellen)",IF(J1892&lt;=K1892,"   Parzelle "&amp;J1892,IF(J1892=K1892+1,"   Vorstand",IF(J1892=K1892+2,"   Gäste",IF(J1892=K1892+3,"   Technik (Switches, Access Points)",""))))))</f>
        <v/>
      </c>
      <c r="B1892" s="0" t="str">
        <f aca="false">IF(I1892="","",IF(AND(J1892&gt;=1,J1892&lt;=K1892+3),IF(J1892&lt;=K1892,IF(J1892&lt;=99,IF((INDEX(Eingabe!$G$9:$G$18,I1892))&lt;=9,1000+(INDEX(Eingabe!$G$9:$G$18,I1892))*100,3000)+J1892,IF((INDEX(Eingabe!$G$9:$G$18,I1892)+1)&lt;=9,1000+(INDEX(Eingabe!$G$9:$G$18,I1892)+1)*100,3000)+J1892-100),IF(J1892=K1892+1,2000+INDEX(Eingabe!$G$9:$G$18,I1892)*10+1,IF(J1892=K1892+2,2000+INDEX(Eingabe!$G$9:$G$18,I1892)*10+2,2000+INDEX(Eingabe!$G$9:$G$18,I1892)*10+9))),""))</f>
        <v/>
      </c>
      <c r="C1892" s="0" t="str">
        <f aca="false">IF(I1892="","",IF(AND(J1892&gt;=1,J1892&lt;=K1892+3),"10."&amp;INDEX(Eingabe!$D$9:$D$18,I1892)&amp;"."&amp;IF(J1892&lt;=K1892,J1892,IF(J1892=K1892+1,200,IF(J1892=K1892+2,201,250)))&amp;".0/24",""))</f>
        <v/>
      </c>
      <c r="D1892" s="0" t="str">
        <f aca="false">IF(I1892="","",IF(AND(J1892&gt;=1,J1892&lt;=K1892+3),"255.255.255.0",""))</f>
        <v/>
      </c>
      <c r="E1892" s="0" t="str">
        <f aca="false">IF(I1892="","",IF(AND(J1892&gt;=1,J1892&lt;=K1892+3),"10."&amp;INDEX(Eingabe!$D$9:$D$18,I1892)&amp;"."&amp;IF(J1892&lt;=K1892,J1892,IF(J1892=K1892+1,200,IF(J1892=K1892+2,201,250)))&amp;".1",""))</f>
        <v/>
      </c>
      <c r="F1892" s="0" t="str">
        <f aca="false">IF(I1892="","",IF(AND(J1892&gt;=1,J1892&lt;=K1892+3),"10."&amp;INDEX(Eingabe!$D$9:$D$18,I1892)&amp;"."&amp;IF(J1892&lt;=K1892,J1892,IF(J1892=K1892+1,200,IF(J1892=K1892+2,201,250)))&amp;".10 – 10."&amp;INDEX(Eingabe!$D$9:$D$18,I1892)&amp;"."&amp;IF(J1892&lt;=K1892,J1892,IF(J1892=K1892+1,200,IF(J1892=K1892+2,201,250)))&amp;".250",""))</f>
        <v/>
      </c>
      <c r="G1892" s="0" t="str">
        <f aca="false">IF(I1892="","",IF(AND(J1892&gt;=1,J1892&lt;=K1892),Eingabe!$B$6&amp;"-"&amp;INDEX(Eingabe!$C$9:$C$18,I1892)&amp;"-Pächter  ·  Passwort Parzelle "&amp;J1892,IF(J1892=K1892+1,Eingabe!$B$6&amp;"-"&amp;INDEX(Eingabe!$C$9:$C$18,I1892)&amp;"-Vorstand  ·  eigenes WLAN",IF(J1892=K1892+2,Eingabe!$B$6&amp;"-"&amp;INDEX(Eingabe!$C$9:$C$18,I1892)&amp;"-Gäste  ·  Voucher",IF(J1892=K1892+3,"Kabel  ·  Access Point y = .(50+y), Mast-Switch x = .(10+x)","")))))</f>
        <v/>
      </c>
      <c r="I1892" s="0" t="str">
        <f aca="false">IF(1887&lt;=(Eingabe!$P$18+Eingabe!$Q$18-1),MATCH(1887,Eingabe!$P$9:$P$18,1),"")</f>
        <v/>
      </c>
      <c r="J1892" s="0" t="str">
        <f aca="false">IF(I1892="","",1887-INDEX(Eingabe!$P$9:$P$18,I1892))</f>
        <v/>
      </c>
      <c r="K1892" s="0" t="str">
        <f aca="false">IF(I1892="","",INDEX(Eingabe!$E$9:$E$18,I1892))</f>
        <v/>
      </c>
    </row>
    <row r="1893" customFormat="false" ht="15" hidden="false" customHeight="false" outlineLevel="0" collapsed="false">
      <c r="A1893" s="0" t="str">
        <f aca="false">IF(I1893="","",IF(J1893=0,"Sparte "&amp;I1893&amp;": "&amp;INDEX(Eingabe!$B$9:$B$18,I1893)&amp;"  (Sparten-ID "&amp;INDEX(Eingabe!$D$9:$D$18,I1893)&amp;", "&amp;K1893&amp;" Parzellen)",IF(J1893&lt;=K1893,"   Parzelle "&amp;J1893,IF(J1893=K1893+1,"   Vorstand",IF(J1893=K1893+2,"   Gäste",IF(J1893=K1893+3,"   Technik (Switches, Access Points)",""))))))</f>
        <v/>
      </c>
      <c r="B1893" s="0" t="str">
        <f aca="false">IF(I1893="","",IF(AND(J1893&gt;=1,J1893&lt;=K1893+3),IF(J1893&lt;=K1893,IF(J1893&lt;=99,IF((INDEX(Eingabe!$G$9:$G$18,I1893))&lt;=9,1000+(INDEX(Eingabe!$G$9:$G$18,I1893))*100,3000)+J1893,IF((INDEX(Eingabe!$G$9:$G$18,I1893)+1)&lt;=9,1000+(INDEX(Eingabe!$G$9:$G$18,I1893)+1)*100,3000)+J1893-100),IF(J1893=K1893+1,2000+INDEX(Eingabe!$G$9:$G$18,I1893)*10+1,IF(J1893=K1893+2,2000+INDEX(Eingabe!$G$9:$G$18,I1893)*10+2,2000+INDEX(Eingabe!$G$9:$G$18,I1893)*10+9))),""))</f>
        <v/>
      </c>
      <c r="C1893" s="0" t="str">
        <f aca="false">IF(I1893="","",IF(AND(J1893&gt;=1,J1893&lt;=K1893+3),"10."&amp;INDEX(Eingabe!$D$9:$D$18,I1893)&amp;"."&amp;IF(J1893&lt;=K1893,J1893,IF(J1893=K1893+1,200,IF(J1893=K1893+2,201,250)))&amp;".0/24",""))</f>
        <v/>
      </c>
      <c r="D1893" s="0" t="str">
        <f aca="false">IF(I1893="","",IF(AND(J1893&gt;=1,J1893&lt;=K1893+3),"255.255.255.0",""))</f>
        <v/>
      </c>
      <c r="E1893" s="0" t="str">
        <f aca="false">IF(I1893="","",IF(AND(J1893&gt;=1,J1893&lt;=K1893+3),"10."&amp;INDEX(Eingabe!$D$9:$D$18,I1893)&amp;"."&amp;IF(J1893&lt;=K1893,J1893,IF(J1893=K1893+1,200,IF(J1893=K1893+2,201,250)))&amp;".1",""))</f>
        <v/>
      </c>
      <c r="F1893" s="0" t="str">
        <f aca="false">IF(I1893="","",IF(AND(J1893&gt;=1,J1893&lt;=K1893+3),"10."&amp;INDEX(Eingabe!$D$9:$D$18,I1893)&amp;"."&amp;IF(J1893&lt;=K1893,J1893,IF(J1893=K1893+1,200,IF(J1893=K1893+2,201,250)))&amp;".10 – 10."&amp;INDEX(Eingabe!$D$9:$D$18,I1893)&amp;"."&amp;IF(J1893&lt;=K1893,J1893,IF(J1893=K1893+1,200,IF(J1893=K1893+2,201,250)))&amp;".250",""))</f>
        <v/>
      </c>
      <c r="G1893" s="0" t="str">
        <f aca="false">IF(I1893="","",IF(AND(J1893&gt;=1,J1893&lt;=K1893),Eingabe!$B$6&amp;"-"&amp;INDEX(Eingabe!$C$9:$C$18,I1893)&amp;"-Pächter  ·  Passwort Parzelle "&amp;J1893,IF(J1893=K1893+1,Eingabe!$B$6&amp;"-"&amp;INDEX(Eingabe!$C$9:$C$18,I1893)&amp;"-Vorstand  ·  eigenes WLAN",IF(J1893=K1893+2,Eingabe!$B$6&amp;"-"&amp;INDEX(Eingabe!$C$9:$C$18,I1893)&amp;"-Gäste  ·  Voucher",IF(J1893=K1893+3,"Kabel  ·  Access Point y = .(50+y), Mast-Switch x = .(10+x)","")))))</f>
        <v/>
      </c>
      <c r="I1893" s="0" t="str">
        <f aca="false">IF(1888&lt;=(Eingabe!$P$18+Eingabe!$Q$18-1),MATCH(1888,Eingabe!$P$9:$P$18,1),"")</f>
        <v/>
      </c>
      <c r="J1893" s="0" t="str">
        <f aca="false">IF(I1893="","",1888-INDEX(Eingabe!$P$9:$P$18,I1893))</f>
        <v/>
      </c>
      <c r="K1893" s="0" t="str">
        <f aca="false">IF(I1893="","",INDEX(Eingabe!$E$9:$E$18,I1893))</f>
        <v/>
      </c>
    </row>
    <row r="1894" customFormat="false" ht="15" hidden="false" customHeight="false" outlineLevel="0" collapsed="false">
      <c r="A1894" s="0" t="str">
        <f aca="false">IF(I1894="","",IF(J1894=0,"Sparte "&amp;I1894&amp;": "&amp;INDEX(Eingabe!$B$9:$B$18,I1894)&amp;"  (Sparten-ID "&amp;INDEX(Eingabe!$D$9:$D$18,I1894)&amp;", "&amp;K1894&amp;" Parzellen)",IF(J1894&lt;=K1894,"   Parzelle "&amp;J1894,IF(J1894=K1894+1,"   Vorstand",IF(J1894=K1894+2,"   Gäste",IF(J1894=K1894+3,"   Technik (Switches, Access Points)",""))))))</f>
        <v/>
      </c>
      <c r="B1894" s="0" t="str">
        <f aca="false">IF(I1894="","",IF(AND(J1894&gt;=1,J1894&lt;=K1894+3),IF(J1894&lt;=K1894,IF(J1894&lt;=99,IF((INDEX(Eingabe!$G$9:$G$18,I1894))&lt;=9,1000+(INDEX(Eingabe!$G$9:$G$18,I1894))*100,3000)+J1894,IF((INDEX(Eingabe!$G$9:$G$18,I1894)+1)&lt;=9,1000+(INDEX(Eingabe!$G$9:$G$18,I1894)+1)*100,3000)+J1894-100),IF(J1894=K1894+1,2000+INDEX(Eingabe!$G$9:$G$18,I1894)*10+1,IF(J1894=K1894+2,2000+INDEX(Eingabe!$G$9:$G$18,I1894)*10+2,2000+INDEX(Eingabe!$G$9:$G$18,I1894)*10+9))),""))</f>
        <v/>
      </c>
      <c r="C1894" s="0" t="str">
        <f aca="false">IF(I1894="","",IF(AND(J1894&gt;=1,J1894&lt;=K1894+3),"10."&amp;INDEX(Eingabe!$D$9:$D$18,I1894)&amp;"."&amp;IF(J1894&lt;=K1894,J1894,IF(J1894=K1894+1,200,IF(J1894=K1894+2,201,250)))&amp;".0/24",""))</f>
        <v/>
      </c>
      <c r="D1894" s="0" t="str">
        <f aca="false">IF(I1894="","",IF(AND(J1894&gt;=1,J1894&lt;=K1894+3),"255.255.255.0",""))</f>
        <v/>
      </c>
      <c r="E1894" s="0" t="str">
        <f aca="false">IF(I1894="","",IF(AND(J1894&gt;=1,J1894&lt;=K1894+3),"10."&amp;INDEX(Eingabe!$D$9:$D$18,I1894)&amp;"."&amp;IF(J1894&lt;=K1894,J1894,IF(J1894=K1894+1,200,IF(J1894=K1894+2,201,250)))&amp;".1",""))</f>
        <v/>
      </c>
      <c r="F1894" s="0" t="str">
        <f aca="false">IF(I1894="","",IF(AND(J1894&gt;=1,J1894&lt;=K1894+3),"10."&amp;INDEX(Eingabe!$D$9:$D$18,I1894)&amp;"."&amp;IF(J1894&lt;=K1894,J1894,IF(J1894=K1894+1,200,IF(J1894=K1894+2,201,250)))&amp;".10 – 10."&amp;INDEX(Eingabe!$D$9:$D$18,I1894)&amp;"."&amp;IF(J1894&lt;=K1894,J1894,IF(J1894=K1894+1,200,IF(J1894=K1894+2,201,250)))&amp;".250",""))</f>
        <v/>
      </c>
      <c r="G1894" s="0" t="str">
        <f aca="false">IF(I1894="","",IF(AND(J1894&gt;=1,J1894&lt;=K1894),Eingabe!$B$6&amp;"-"&amp;INDEX(Eingabe!$C$9:$C$18,I1894)&amp;"-Pächter  ·  Passwort Parzelle "&amp;J1894,IF(J1894=K1894+1,Eingabe!$B$6&amp;"-"&amp;INDEX(Eingabe!$C$9:$C$18,I1894)&amp;"-Vorstand  ·  eigenes WLAN",IF(J1894=K1894+2,Eingabe!$B$6&amp;"-"&amp;INDEX(Eingabe!$C$9:$C$18,I1894)&amp;"-Gäste  ·  Voucher",IF(J1894=K1894+3,"Kabel  ·  Access Point y = .(50+y), Mast-Switch x = .(10+x)","")))))</f>
        <v/>
      </c>
      <c r="I1894" s="0" t="str">
        <f aca="false">IF(1889&lt;=(Eingabe!$P$18+Eingabe!$Q$18-1),MATCH(1889,Eingabe!$P$9:$P$18,1),"")</f>
        <v/>
      </c>
      <c r="J1894" s="0" t="str">
        <f aca="false">IF(I1894="","",1889-INDEX(Eingabe!$P$9:$P$18,I1894))</f>
        <v/>
      </c>
      <c r="K1894" s="0" t="str">
        <f aca="false">IF(I1894="","",INDEX(Eingabe!$E$9:$E$18,I1894))</f>
        <v/>
      </c>
    </row>
    <row r="1895" customFormat="false" ht="15" hidden="false" customHeight="false" outlineLevel="0" collapsed="false">
      <c r="A1895" s="0" t="str">
        <f aca="false">IF(I1895="","",IF(J1895=0,"Sparte "&amp;I1895&amp;": "&amp;INDEX(Eingabe!$B$9:$B$18,I1895)&amp;"  (Sparten-ID "&amp;INDEX(Eingabe!$D$9:$D$18,I1895)&amp;", "&amp;K1895&amp;" Parzellen)",IF(J1895&lt;=K1895,"   Parzelle "&amp;J1895,IF(J1895=K1895+1,"   Vorstand",IF(J1895=K1895+2,"   Gäste",IF(J1895=K1895+3,"   Technik (Switches, Access Points)",""))))))</f>
        <v/>
      </c>
      <c r="B1895" s="0" t="str">
        <f aca="false">IF(I1895="","",IF(AND(J1895&gt;=1,J1895&lt;=K1895+3),IF(J1895&lt;=K1895,IF(J1895&lt;=99,IF((INDEX(Eingabe!$G$9:$G$18,I1895))&lt;=9,1000+(INDEX(Eingabe!$G$9:$G$18,I1895))*100,3000)+J1895,IF((INDEX(Eingabe!$G$9:$G$18,I1895)+1)&lt;=9,1000+(INDEX(Eingabe!$G$9:$G$18,I1895)+1)*100,3000)+J1895-100),IF(J1895=K1895+1,2000+INDEX(Eingabe!$G$9:$G$18,I1895)*10+1,IF(J1895=K1895+2,2000+INDEX(Eingabe!$G$9:$G$18,I1895)*10+2,2000+INDEX(Eingabe!$G$9:$G$18,I1895)*10+9))),""))</f>
        <v/>
      </c>
      <c r="C1895" s="0" t="str">
        <f aca="false">IF(I1895="","",IF(AND(J1895&gt;=1,J1895&lt;=K1895+3),"10."&amp;INDEX(Eingabe!$D$9:$D$18,I1895)&amp;"."&amp;IF(J1895&lt;=K1895,J1895,IF(J1895=K1895+1,200,IF(J1895=K1895+2,201,250)))&amp;".0/24",""))</f>
        <v/>
      </c>
      <c r="D1895" s="0" t="str">
        <f aca="false">IF(I1895="","",IF(AND(J1895&gt;=1,J1895&lt;=K1895+3),"255.255.255.0",""))</f>
        <v/>
      </c>
      <c r="E1895" s="0" t="str">
        <f aca="false">IF(I1895="","",IF(AND(J1895&gt;=1,J1895&lt;=K1895+3),"10."&amp;INDEX(Eingabe!$D$9:$D$18,I1895)&amp;"."&amp;IF(J1895&lt;=K1895,J1895,IF(J1895=K1895+1,200,IF(J1895=K1895+2,201,250)))&amp;".1",""))</f>
        <v/>
      </c>
      <c r="F1895" s="0" t="str">
        <f aca="false">IF(I1895="","",IF(AND(J1895&gt;=1,J1895&lt;=K1895+3),"10."&amp;INDEX(Eingabe!$D$9:$D$18,I1895)&amp;"."&amp;IF(J1895&lt;=K1895,J1895,IF(J1895=K1895+1,200,IF(J1895=K1895+2,201,250)))&amp;".10 – 10."&amp;INDEX(Eingabe!$D$9:$D$18,I1895)&amp;"."&amp;IF(J1895&lt;=K1895,J1895,IF(J1895=K1895+1,200,IF(J1895=K1895+2,201,250)))&amp;".250",""))</f>
        <v/>
      </c>
      <c r="G1895" s="0" t="str">
        <f aca="false">IF(I1895="","",IF(AND(J1895&gt;=1,J1895&lt;=K1895),Eingabe!$B$6&amp;"-"&amp;INDEX(Eingabe!$C$9:$C$18,I1895)&amp;"-Pächter  ·  Passwort Parzelle "&amp;J1895,IF(J1895=K1895+1,Eingabe!$B$6&amp;"-"&amp;INDEX(Eingabe!$C$9:$C$18,I1895)&amp;"-Vorstand  ·  eigenes WLAN",IF(J1895=K1895+2,Eingabe!$B$6&amp;"-"&amp;INDEX(Eingabe!$C$9:$C$18,I1895)&amp;"-Gäste  ·  Voucher",IF(J1895=K1895+3,"Kabel  ·  Access Point y = .(50+y), Mast-Switch x = .(10+x)","")))))</f>
        <v/>
      </c>
      <c r="I1895" s="0" t="str">
        <f aca="false">IF(1890&lt;=(Eingabe!$P$18+Eingabe!$Q$18-1),MATCH(1890,Eingabe!$P$9:$P$18,1),"")</f>
        <v/>
      </c>
      <c r="J1895" s="0" t="str">
        <f aca="false">IF(I1895="","",1890-INDEX(Eingabe!$P$9:$P$18,I1895))</f>
        <v/>
      </c>
      <c r="K1895" s="0" t="str">
        <f aca="false">IF(I1895="","",INDEX(Eingabe!$E$9:$E$18,I1895))</f>
        <v/>
      </c>
    </row>
    <row r="1896" customFormat="false" ht="15" hidden="false" customHeight="false" outlineLevel="0" collapsed="false">
      <c r="A1896" s="0" t="str">
        <f aca="false">IF(I1896="","",IF(J1896=0,"Sparte "&amp;I1896&amp;": "&amp;INDEX(Eingabe!$B$9:$B$18,I1896)&amp;"  (Sparten-ID "&amp;INDEX(Eingabe!$D$9:$D$18,I1896)&amp;", "&amp;K1896&amp;" Parzellen)",IF(J1896&lt;=K1896,"   Parzelle "&amp;J1896,IF(J1896=K1896+1,"   Vorstand",IF(J1896=K1896+2,"   Gäste",IF(J1896=K1896+3,"   Technik (Switches, Access Points)",""))))))</f>
        <v/>
      </c>
      <c r="B1896" s="0" t="str">
        <f aca="false">IF(I1896="","",IF(AND(J1896&gt;=1,J1896&lt;=K1896+3),IF(J1896&lt;=K1896,IF(J1896&lt;=99,IF((INDEX(Eingabe!$G$9:$G$18,I1896))&lt;=9,1000+(INDEX(Eingabe!$G$9:$G$18,I1896))*100,3000)+J1896,IF((INDEX(Eingabe!$G$9:$G$18,I1896)+1)&lt;=9,1000+(INDEX(Eingabe!$G$9:$G$18,I1896)+1)*100,3000)+J1896-100),IF(J1896=K1896+1,2000+INDEX(Eingabe!$G$9:$G$18,I1896)*10+1,IF(J1896=K1896+2,2000+INDEX(Eingabe!$G$9:$G$18,I1896)*10+2,2000+INDEX(Eingabe!$G$9:$G$18,I1896)*10+9))),""))</f>
        <v/>
      </c>
      <c r="C1896" s="0" t="str">
        <f aca="false">IF(I1896="","",IF(AND(J1896&gt;=1,J1896&lt;=K1896+3),"10."&amp;INDEX(Eingabe!$D$9:$D$18,I1896)&amp;"."&amp;IF(J1896&lt;=K1896,J1896,IF(J1896=K1896+1,200,IF(J1896=K1896+2,201,250)))&amp;".0/24",""))</f>
        <v/>
      </c>
      <c r="D1896" s="0" t="str">
        <f aca="false">IF(I1896="","",IF(AND(J1896&gt;=1,J1896&lt;=K1896+3),"255.255.255.0",""))</f>
        <v/>
      </c>
      <c r="E1896" s="0" t="str">
        <f aca="false">IF(I1896="","",IF(AND(J1896&gt;=1,J1896&lt;=K1896+3),"10."&amp;INDEX(Eingabe!$D$9:$D$18,I1896)&amp;"."&amp;IF(J1896&lt;=K1896,J1896,IF(J1896=K1896+1,200,IF(J1896=K1896+2,201,250)))&amp;".1",""))</f>
        <v/>
      </c>
      <c r="F1896" s="0" t="str">
        <f aca="false">IF(I1896="","",IF(AND(J1896&gt;=1,J1896&lt;=K1896+3),"10."&amp;INDEX(Eingabe!$D$9:$D$18,I1896)&amp;"."&amp;IF(J1896&lt;=K1896,J1896,IF(J1896=K1896+1,200,IF(J1896=K1896+2,201,250)))&amp;".10 – 10."&amp;INDEX(Eingabe!$D$9:$D$18,I1896)&amp;"."&amp;IF(J1896&lt;=K1896,J1896,IF(J1896=K1896+1,200,IF(J1896=K1896+2,201,250)))&amp;".250",""))</f>
        <v/>
      </c>
      <c r="G1896" s="0" t="str">
        <f aca="false">IF(I1896="","",IF(AND(J1896&gt;=1,J1896&lt;=K1896),Eingabe!$B$6&amp;"-"&amp;INDEX(Eingabe!$C$9:$C$18,I1896)&amp;"-Pächter  ·  Passwort Parzelle "&amp;J1896,IF(J1896=K1896+1,Eingabe!$B$6&amp;"-"&amp;INDEX(Eingabe!$C$9:$C$18,I1896)&amp;"-Vorstand  ·  eigenes WLAN",IF(J1896=K1896+2,Eingabe!$B$6&amp;"-"&amp;INDEX(Eingabe!$C$9:$C$18,I1896)&amp;"-Gäste  ·  Voucher",IF(J1896=K1896+3,"Kabel  ·  Access Point y = .(50+y), Mast-Switch x = .(10+x)","")))))</f>
        <v/>
      </c>
      <c r="I1896" s="0" t="str">
        <f aca="false">IF(1891&lt;=(Eingabe!$P$18+Eingabe!$Q$18-1),MATCH(1891,Eingabe!$P$9:$P$18,1),"")</f>
        <v/>
      </c>
      <c r="J1896" s="0" t="str">
        <f aca="false">IF(I1896="","",1891-INDEX(Eingabe!$P$9:$P$18,I1896))</f>
        <v/>
      </c>
      <c r="K1896" s="0" t="str">
        <f aca="false">IF(I1896="","",INDEX(Eingabe!$E$9:$E$18,I1896))</f>
        <v/>
      </c>
    </row>
    <row r="1897" customFormat="false" ht="15" hidden="false" customHeight="false" outlineLevel="0" collapsed="false">
      <c r="A1897" s="0" t="str">
        <f aca="false">IF(I1897="","",IF(J1897=0,"Sparte "&amp;I1897&amp;": "&amp;INDEX(Eingabe!$B$9:$B$18,I1897)&amp;"  (Sparten-ID "&amp;INDEX(Eingabe!$D$9:$D$18,I1897)&amp;", "&amp;K1897&amp;" Parzellen)",IF(J1897&lt;=K1897,"   Parzelle "&amp;J1897,IF(J1897=K1897+1,"   Vorstand",IF(J1897=K1897+2,"   Gäste",IF(J1897=K1897+3,"   Technik (Switches, Access Points)",""))))))</f>
        <v/>
      </c>
      <c r="B1897" s="0" t="str">
        <f aca="false">IF(I1897="","",IF(AND(J1897&gt;=1,J1897&lt;=K1897+3),IF(J1897&lt;=K1897,IF(J1897&lt;=99,IF((INDEX(Eingabe!$G$9:$G$18,I1897))&lt;=9,1000+(INDEX(Eingabe!$G$9:$G$18,I1897))*100,3000)+J1897,IF((INDEX(Eingabe!$G$9:$G$18,I1897)+1)&lt;=9,1000+(INDEX(Eingabe!$G$9:$G$18,I1897)+1)*100,3000)+J1897-100),IF(J1897=K1897+1,2000+INDEX(Eingabe!$G$9:$G$18,I1897)*10+1,IF(J1897=K1897+2,2000+INDEX(Eingabe!$G$9:$G$18,I1897)*10+2,2000+INDEX(Eingabe!$G$9:$G$18,I1897)*10+9))),""))</f>
        <v/>
      </c>
      <c r="C1897" s="0" t="str">
        <f aca="false">IF(I1897="","",IF(AND(J1897&gt;=1,J1897&lt;=K1897+3),"10."&amp;INDEX(Eingabe!$D$9:$D$18,I1897)&amp;"."&amp;IF(J1897&lt;=K1897,J1897,IF(J1897=K1897+1,200,IF(J1897=K1897+2,201,250)))&amp;".0/24",""))</f>
        <v/>
      </c>
      <c r="D1897" s="0" t="str">
        <f aca="false">IF(I1897="","",IF(AND(J1897&gt;=1,J1897&lt;=K1897+3),"255.255.255.0",""))</f>
        <v/>
      </c>
      <c r="E1897" s="0" t="str">
        <f aca="false">IF(I1897="","",IF(AND(J1897&gt;=1,J1897&lt;=K1897+3),"10."&amp;INDEX(Eingabe!$D$9:$D$18,I1897)&amp;"."&amp;IF(J1897&lt;=K1897,J1897,IF(J1897=K1897+1,200,IF(J1897=K1897+2,201,250)))&amp;".1",""))</f>
        <v/>
      </c>
      <c r="F1897" s="0" t="str">
        <f aca="false">IF(I1897="","",IF(AND(J1897&gt;=1,J1897&lt;=K1897+3),"10."&amp;INDEX(Eingabe!$D$9:$D$18,I1897)&amp;"."&amp;IF(J1897&lt;=K1897,J1897,IF(J1897=K1897+1,200,IF(J1897=K1897+2,201,250)))&amp;".10 – 10."&amp;INDEX(Eingabe!$D$9:$D$18,I1897)&amp;"."&amp;IF(J1897&lt;=K1897,J1897,IF(J1897=K1897+1,200,IF(J1897=K1897+2,201,250)))&amp;".250",""))</f>
        <v/>
      </c>
      <c r="G1897" s="0" t="str">
        <f aca="false">IF(I1897="","",IF(AND(J1897&gt;=1,J1897&lt;=K1897),Eingabe!$B$6&amp;"-"&amp;INDEX(Eingabe!$C$9:$C$18,I1897)&amp;"-Pächter  ·  Passwort Parzelle "&amp;J1897,IF(J1897=K1897+1,Eingabe!$B$6&amp;"-"&amp;INDEX(Eingabe!$C$9:$C$18,I1897)&amp;"-Vorstand  ·  eigenes WLAN",IF(J1897=K1897+2,Eingabe!$B$6&amp;"-"&amp;INDEX(Eingabe!$C$9:$C$18,I1897)&amp;"-Gäste  ·  Voucher",IF(J1897=K1897+3,"Kabel  ·  Access Point y = .(50+y), Mast-Switch x = .(10+x)","")))))</f>
        <v/>
      </c>
      <c r="I1897" s="0" t="str">
        <f aca="false">IF(1892&lt;=(Eingabe!$P$18+Eingabe!$Q$18-1),MATCH(1892,Eingabe!$P$9:$P$18,1),"")</f>
        <v/>
      </c>
      <c r="J1897" s="0" t="str">
        <f aca="false">IF(I1897="","",1892-INDEX(Eingabe!$P$9:$P$18,I1897))</f>
        <v/>
      </c>
      <c r="K1897" s="0" t="str">
        <f aca="false">IF(I1897="","",INDEX(Eingabe!$E$9:$E$18,I1897))</f>
        <v/>
      </c>
    </row>
    <row r="1898" customFormat="false" ht="15" hidden="false" customHeight="false" outlineLevel="0" collapsed="false">
      <c r="A1898" s="0" t="str">
        <f aca="false">IF(I1898="","",IF(J1898=0,"Sparte "&amp;I1898&amp;": "&amp;INDEX(Eingabe!$B$9:$B$18,I1898)&amp;"  (Sparten-ID "&amp;INDEX(Eingabe!$D$9:$D$18,I1898)&amp;", "&amp;K1898&amp;" Parzellen)",IF(J1898&lt;=K1898,"   Parzelle "&amp;J1898,IF(J1898=K1898+1,"   Vorstand",IF(J1898=K1898+2,"   Gäste",IF(J1898=K1898+3,"   Technik (Switches, Access Points)",""))))))</f>
        <v/>
      </c>
      <c r="B1898" s="0" t="str">
        <f aca="false">IF(I1898="","",IF(AND(J1898&gt;=1,J1898&lt;=K1898+3),IF(J1898&lt;=K1898,IF(J1898&lt;=99,IF((INDEX(Eingabe!$G$9:$G$18,I1898))&lt;=9,1000+(INDEX(Eingabe!$G$9:$G$18,I1898))*100,3000)+J1898,IF((INDEX(Eingabe!$G$9:$G$18,I1898)+1)&lt;=9,1000+(INDEX(Eingabe!$G$9:$G$18,I1898)+1)*100,3000)+J1898-100),IF(J1898=K1898+1,2000+INDEX(Eingabe!$G$9:$G$18,I1898)*10+1,IF(J1898=K1898+2,2000+INDEX(Eingabe!$G$9:$G$18,I1898)*10+2,2000+INDEX(Eingabe!$G$9:$G$18,I1898)*10+9))),""))</f>
        <v/>
      </c>
      <c r="C1898" s="0" t="str">
        <f aca="false">IF(I1898="","",IF(AND(J1898&gt;=1,J1898&lt;=K1898+3),"10."&amp;INDEX(Eingabe!$D$9:$D$18,I1898)&amp;"."&amp;IF(J1898&lt;=K1898,J1898,IF(J1898=K1898+1,200,IF(J1898=K1898+2,201,250)))&amp;".0/24",""))</f>
        <v/>
      </c>
      <c r="D1898" s="0" t="str">
        <f aca="false">IF(I1898="","",IF(AND(J1898&gt;=1,J1898&lt;=K1898+3),"255.255.255.0",""))</f>
        <v/>
      </c>
      <c r="E1898" s="0" t="str">
        <f aca="false">IF(I1898="","",IF(AND(J1898&gt;=1,J1898&lt;=K1898+3),"10."&amp;INDEX(Eingabe!$D$9:$D$18,I1898)&amp;"."&amp;IF(J1898&lt;=K1898,J1898,IF(J1898=K1898+1,200,IF(J1898=K1898+2,201,250)))&amp;".1",""))</f>
        <v/>
      </c>
      <c r="F1898" s="0" t="str">
        <f aca="false">IF(I1898="","",IF(AND(J1898&gt;=1,J1898&lt;=K1898+3),"10."&amp;INDEX(Eingabe!$D$9:$D$18,I1898)&amp;"."&amp;IF(J1898&lt;=K1898,J1898,IF(J1898=K1898+1,200,IF(J1898=K1898+2,201,250)))&amp;".10 – 10."&amp;INDEX(Eingabe!$D$9:$D$18,I1898)&amp;"."&amp;IF(J1898&lt;=K1898,J1898,IF(J1898=K1898+1,200,IF(J1898=K1898+2,201,250)))&amp;".250",""))</f>
        <v/>
      </c>
      <c r="G1898" s="0" t="str">
        <f aca="false">IF(I1898="","",IF(AND(J1898&gt;=1,J1898&lt;=K1898),Eingabe!$B$6&amp;"-"&amp;INDEX(Eingabe!$C$9:$C$18,I1898)&amp;"-Pächter  ·  Passwort Parzelle "&amp;J1898,IF(J1898=K1898+1,Eingabe!$B$6&amp;"-"&amp;INDEX(Eingabe!$C$9:$C$18,I1898)&amp;"-Vorstand  ·  eigenes WLAN",IF(J1898=K1898+2,Eingabe!$B$6&amp;"-"&amp;INDEX(Eingabe!$C$9:$C$18,I1898)&amp;"-Gäste  ·  Voucher",IF(J1898=K1898+3,"Kabel  ·  Access Point y = .(50+y), Mast-Switch x = .(10+x)","")))))</f>
        <v/>
      </c>
      <c r="I1898" s="0" t="str">
        <f aca="false">IF(1893&lt;=(Eingabe!$P$18+Eingabe!$Q$18-1),MATCH(1893,Eingabe!$P$9:$P$18,1),"")</f>
        <v/>
      </c>
      <c r="J1898" s="0" t="str">
        <f aca="false">IF(I1898="","",1893-INDEX(Eingabe!$P$9:$P$18,I1898))</f>
        <v/>
      </c>
      <c r="K1898" s="0" t="str">
        <f aca="false">IF(I1898="","",INDEX(Eingabe!$E$9:$E$18,I1898))</f>
        <v/>
      </c>
    </row>
    <row r="1899" customFormat="false" ht="15" hidden="false" customHeight="false" outlineLevel="0" collapsed="false">
      <c r="A1899" s="0" t="str">
        <f aca="false">IF(I1899="","",IF(J1899=0,"Sparte "&amp;I1899&amp;": "&amp;INDEX(Eingabe!$B$9:$B$18,I1899)&amp;"  (Sparten-ID "&amp;INDEX(Eingabe!$D$9:$D$18,I1899)&amp;", "&amp;K1899&amp;" Parzellen)",IF(J1899&lt;=K1899,"   Parzelle "&amp;J1899,IF(J1899=K1899+1,"   Vorstand",IF(J1899=K1899+2,"   Gäste",IF(J1899=K1899+3,"   Technik (Switches, Access Points)",""))))))</f>
        <v/>
      </c>
      <c r="B1899" s="0" t="str">
        <f aca="false">IF(I1899="","",IF(AND(J1899&gt;=1,J1899&lt;=K1899+3),IF(J1899&lt;=K1899,IF(J1899&lt;=99,IF((INDEX(Eingabe!$G$9:$G$18,I1899))&lt;=9,1000+(INDEX(Eingabe!$G$9:$G$18,I1899))*100,3000)+J1899,IF((INDEX(Eingabe!$G$9:$G$18,I1899)+1)&lt;=9,1000+(INDEX(Eingabe!$G$9:$G$18,I1899)+1)*100,3000)+J1899-100),IF(J1899=K1899+1,2000+INDEX(Eingabe!$G$9:$G$18,I1899)*10+1,IF(J1899=K1899+2,2000+INDEX(Eingabe!$G$9:$G$18,I1899)*10+2,2000+INDEX(Eingabe!$G$9:$G$18,I1899)*10+9))),""))</f>
        <v/>
      </c>
      <c r="C1899" s="0" t="str">
        <f aca="false">IF(I1899="","",IF(AND(J1899&gt;=1,J1899&lt;=K1899+3),"10."&amp;INDEX(Eingabe!$D$9:$D$18,I1899)&amp;"."&amp;IF(J1899&lt;=K1899,J1899,IF(J1899=K1899+1,200,IF(J1899=K1899+2,201,250)))&amp;".0/24",""))</f>
        <v/>
      </c>
      <c r="D1899" s="0" t="str">
        <f aca="false">IF(I1899="","",IF(AND(J1899&gt;=1,J1899&lt;=K1899+3),"255.255.255.0",""))</f>
        <v/>
      </c>
      <c r="E1899" s="0" t="str">
        <f aca="false">IF(I1899="","",IF(AND(J1899&gt;=1,J1899&lt;=K1899+3),"10."&amp;INDEX(Eingabe!$D$9:$D$18,I1899)&amp;"."&amp;IF(J1899&lt;=K1899,J1899,IF(J1899=K1899+1,200,IF(J1899=K1899+2,201,250)))&amp;".1",""))</f>
        <v/>
      </c>
      <c r="F1899" s="0" t="str">
        <f aca="false">IF(I1899="","",IF(AND(J1899&gt;=1,J1899&lt;=K1899+3),"10."&amp;INDEX(Eingabe!$D$9:$D$18,I1899)&amp;"."&amp;IF(J1899&lt;=K1899,J1899,IF(J1899=K1899+1,200,IF(J1899=K1899+2,201,250)))&amp;".10 – 10."&amp;INDEX(Eingabe!$D$9:$D$18,I1899)&amp;"."&amp;IF(J1899&lt;=K1899,J1899,IF(J1899=K1899+1,200,IF(J1899=K1899+2,201,250)))&amp;".250",""))</f>
        <v/>
      </c>
      <c r="G1899" s="0" t="str">
        <f aca="false">IF(I1899="","",IF(AND(J1899&gt;=1,J1899&lt;=K1899),Eingabe!$B$6&amp;"-"&amp;INDEX(Eingabe!$C$9:$C$18,I1899)&amp;"-Pächter  ·  Passwort Parzelle "&amp;J1899,IF(J1899=K1899+1,Eingabe!$B$6&amp;"-"&amp;INDEX(Eingabe!$C$9:$C$18,I1899)&amp;"-Vorstand  ·  eigenes WLAN",IF(J1899=K1899+2,Eingabe!$B$6&amp;"-"&amp;INDEX(Eingabe!$C$9:$C$18,I1899)&amp;"-Gäste  ·  Voucher",IF(J1899=K1899+3,"Kabel  ·  Access Point y = .(50+y), Mast-Switch x = .(10+x)","")))))</f>
        <v/>
      </c>
      <c r="I1899" s="0" t="str">
        <f aca="false">IF(1894&lt;=(Eingabe!$P$18+Eingabe!$Q$18-1),MATCH(1894,Eingabe!$P$9:$P$18,1),"")</f>
        <v/>
      </c>
      <c r="J1899" s="0" t="str">
        <f aca="false">IF(I1899="","",1894-INDEX(Eingabe!$P$9:$P$18,I1899))</f>
        <v/>
      </c>
      <c r="K1899" s="0" t="str">
        <f aca="false">IF(I1899="","",INDEX(Eingabe!$E$9:$E$18,I1899))</f>
        <v/>
      </c>
    </row>
    <row r="1900" customFormat="false" ht="15" hidden="false" customHeight="false" outlineLevel="0" collapsed="false">
      <c r="A1900" s="0" t="str">
        <f aca="false">IF(I1900="","",IF(J1900=0,"Sparte "&amp;I1900&amp;": "&amp;INDEX(Eingabe!$B$9:$B$18,I1900)&amp;"  (Sparten-ID "&amp;INDEX(Eingabe!$D$9:$D$18,I1900)&amp;", "&amp;K1900&amp;" Parzellen)",IF(J1900&lt;=K1900,"   Parzelle "&amp;J1900,IF(J1900=K1900+1,"   Vorstand",IF(J1900=K1900+2,"   Gäste",IF(J1900=K1900+3,"   Technik (Switches, Access Points)",""))))))</f>
        <v/>
      </c>
      <c r="B1900" s="0" t="str">
        <f aca="false">IF(I1900="","",IF(AND(J1900&gt;=1,J1900&lt;=K1900+3),IF(J1900&lt;=K1900,IF(J1900&lt;=99,IF((INDEX(Eingabe!$G$9:$G$18,I1900))&lt;=9,1000+(INDEX(Eingabe!$G$9:$G$18,I1900))*100,3000)+J1900,IF((INDEX(Eingabe!$G$9:$G$18,I1900)+1)&lt;=9,1000+(INDEX(Eingabe!$G$9:$G$18,I1900)+1)*100,3000)+J1900-100),IF(J1900=K1900+1,2000+INDEX(Eingabe!$G$9:$G$18,I1900)*10+1,IF(J1900=K1900+2,2000+INDEX(Eingabe!$G$9:$G$18,I1900)*10+2,2000+INDEX(Eingabe!$G$9:$G$18,I1900)*10+9))),""))</f>
        <v/>
      </c>
      <c r="C1900" s="0" t="str">
        <f aca="false">IF(I1900="","",IF(AND(J1900&gt;=1,J1900&lt;=K1900+3),"10."&amp;INDEX(Eingabe!$D$9:$D$18,I1900)&amp;"."&amp;IF(J1900&lt;=K1900,J1900,IF(J1900=K1900+1,200,IF(J1900=K1900+2,201,250)))&amp;".0/24",""))</f>
        <v/>
      </c>
      <c r="D1900" s="0" t="str">
        <f aca="false">IF(I1900="","",IF(AND(J1900&gt;=1,J1900&lt;=K1900+3),"255.255.255.0",""))</f>
        <v/>
      </c>
      <c r="E1900" s="0" t="str">
        <f aca="false">IF(I1900="","",IF(AND(J1900&gt;=1,J1900&lt;=K1900+3),"10."&amp;INDEX(Eingabe!$D$9:$D$18,I1900)&amp;"."&amp;IF(J1900&lt;=K1900,J1900,IF(J1900=K1900+1,200,IF(J1900=K1900+2,201,250)))&amp;".1",""))</f>
        <v/>
      </c>
      <c r="F1900" s="0" t="str">
        <f aca="false">IF(I1900="","",IF(AND(J1900&gt;=1,J1900&lt;=K1900+3),"10."&amp;INDEX(Eingabe!$D$9:$D$18,I1900)&amp;"."&amp;IF(J1900&lt;=K1900,J1900,IF(J1900=K1900+1,200,IF(J1900=K1900+2,201,250)))&amp;".10 – 10."&amp;INDEX(Eingabe!$D$9:$D$18,I1900)&amp;"."&amp;IF(J1900&lt;=K1900,J1900,IF(J1900=K1900+1,200,IF(J1900=K1900+2,201,250)))&amp;".250",""))</f>
        <v/>
      </c>
      <c r="G1900" s="0" t="str">
        <f aca="false">IF(I1900="","",IF(AND(J1900&gt;=1,J1900&lt;=K1900),Eingabe!$B$6&amp;"-"&amp;INDEX(Eingabe!$C$9:$C$18,I1900)&amp;"-Pächter  ·  Passwort Parzelle "&amp;J1900,IF(J1900=K1900+1,Eingabe!$B$6&amp;"-"&amp;INDEX(Eingabe!$C$9:$C$18,I1900)&amp;"-Vorstand  ·  eigenes WLAN",IF(J1900=K1900+2,Eingabe!$B$6&amp;"-"&amp;INDEX(Eingabe!$C$9:$C$18,I1900)&amp;"-Gäste  ·  Voucher",IF(J1900=K1900+3,"Kabel  ·  Access Point y = .(50+y), Mast-Switch x = .(10+x)","")))))</f>
        <v/>
      </c>
      <c r="I1900" s="0" t="str">
        <f aca="false">IF(1895&lt;=(Eingabe!$P$18+Eingabe!$Q$18-1),MATCH(1895,Eingabe!$P$9:$P$18,1),"")</f>
        <v/>
      </c>
      <c r="J1900" s="0" t="str">
        <f aca="false">IF(I1900="","",1895-INDEX(Eingabe!$P$9:$P$18,I1900))</f>
        <v/>
      </c>
      <c r="K1900" s="0" t="str">
        <f aca="false">IF(I1900="","",INDEX(Eingabe!$E$9:$E$18,I1900))</f>
        <v/>
      </c>
    </row>
    <row r="1901" customFormat="false" ht="15" hidden="false" customHeight="false" outlineLevel="0" collapsed="false">
      <c r="A1901" s="0" t="str">
        <f aca="false">IF(I1901="","",IF(J1901=0,"Sparte "&amp;I1901&amp;": "&amp;INDEX(Eingabe!$B$9:$B$18,I1901)&amp;"  (Sparten-ID "&amp;INDEX(Eingabe!$D$9:$D$18,I1901)&amp;", "&amp;K1901&amp;" Parzellen)",IF(J1901&lt;=K1901,"   Parzelle "&amp;J1901,IF(J1901=K1901+1,"   Vorstand",IF(J1901=K1901+2,"   Gäste",IF(J1901=K1901+3,"   Technik (Switches, Access Points)",""))))))</f>
        <v/>
      </c>
      <c r="B1901" s="0" t="str">
        <f aca="false">IF(I1901="","",IF(AND(J1901&gt;=1,J1901&lt;=K1901+3),IF(J1901&lt;=K1901,IF(J1901&lt;=99,IF((INDEX(Eingabe!$G$9:$G$18,I1901))&lt;=9,1000+(INDEX(Eingabe!$G$9:$G$18,I1901))*100,3000)+J1901,IF((INDEX(Eingabe!$G$9:$G$18,I1901)+1)&lt;=9,1000+(INDEX(Eingabe!$G$9:$G$18,I1901)+1)*100,3000)+J1901-100),IF(J1901=K1901+1,2000+INDEX(Eingabe!$G$9:$G$18,I1901)*10+1,IF(J1901=K1901+2,2000+INDEX(Eingabe!$G$9:$G$18,I1901)*10+2,2000+INDEX(Eingabe!$G$9:$G$18,I1901)*10+9))),""))</f>
        <v/>
      </c>
      <c r="C1901" s="0" t="str">
        <f aca="false">IF(I1901="","",IF(AND(J1901&gt;=1,J1901&lt;=K1901+3),"10."&amp;INDEX(Eingabe!$D$9:$D$18,I1901)&amp;"."&amp;IF(J1901&lt;=K1901,J1901,IF(J1901=K1901+1,200,IF(J1901=K1901+2,201,250)))&amp;".0/24",""))</f>
        <v/>
      </c>
      <c r="D1901" s="0" t="str">
        <f aca="false">IF(I1901="","",IF(AND(J1901&gt;=1,J1901&lt;=K1901+3),"255.255.255.0",""))</f>
        <v/>
      </c>
      <c r="E1901" s="0" t="str">
        <f aca="false">IF(I1901="","",IF(AND(J1901&gt;=1,J1901&lt;=K1901+3),"10."&amp;INDEX(Eingabe!$D$9:$D$18,I1901)&amp;"."&amp;IF(J1901&lt;=K1901,J1901,IF(J1901=K1901+1,200,IF(J1901=K1901+2,201,250)))&amp;".1",""))</f>
        <v/>
      </c>
      <c r="F1901" s="0" t="str">
        <f aca="false">IF(I1901="","",IF(AND(J1901&gt;=1,J1901&lt;=K1901+3),"10."&amp;INDEX(Eingabe!$D$9:$D$18,I1901)&amp;"."&amp;IF(J1901&lt;=K1901,J1901,IF(J1901=K1901+1,200,IF(J1901=K1901+2,201,250)))&amp;".10 – 10."&amp;INDEX(Eingabe!$D$9:$D$18,I1901)&amp;"."&amp;IF(J1901&lt;=K1901,J1901,IF(J1901=K1901+1,200,IF(J1901=K1901+2,201,250)))&amp;".250",""))</f>
        <v/>
      </c>
      <c r="G1901" s="0" t="str">
        <f aca="false">IF(I1901="","",IF(AND(J1901&gt;=1,J1901&lt;=K1901),Eingabe!$B$6&amp;"-"&amp;INDEX(Eingabe!$C$9:$C$18,I1901)&amp;"-Pächter  ·  Passwort Parzelle "&amp;J1901,IF(J1901=K1901+1,Eingabe!$B$6&amp;"-"&amp;INDEX(Eingabe!$C$9:$C$18,I1901)&amp;"-Vorstand  ·  eigenes WLAN",IF(J1901=K1901+2,Eingabe!$B$6&amp;"-"&amp;INDEX(Eingabe!$C$9:$C$18,I1901)&amp;"-Gäste  ·  Voucher",IF(J1901=K1901+3,"Kabel  ·  Access Point y = .(50+y), Mast-Switch x = .(10+x)","")))))</f>
        <v/>
      </c>
      <c r="I1901" s="0" t="str">
        <f aca="false">IF(1896&lt;=(Eingabe!$P$18+Eingabe!$Q$18-1),MATCH(1896,Eingabe!$P$9:$P$18,1),"")</f>
        <v/>
      </c>
      <c r="J1901" s="0" t="str">
        <f aca="false">IF(I1901="","",1896-INDEX(Eingabe!$P$9:$P$18,I1901))</f>
        <v/>
      </c>
      <c r="K1901" s="0" t="str">
        <f aca="false">IF(I1901="","",INDEX(Eingabe!$E$9:$E$18,I1901))</f>
        <v/>
      </c>
    </row>
    <row r="1902" customFormat="false" ht="15" hidden="false" customHeight="false" outlineLevel="0" collapsed="false">
      <c r="A1902" s="0" t="str">
        <f aca="false">IF(I1902="","",IF(J1902=0,"Sparte "&amp;I1902&amp;": "&amp;INDEX(Eingabe!$B$9:$B$18,I1902)&amp;"  (Sparten-ID "&amp;INDEX(Eingabe!$D$9:$D$18,I1902)&amp;", "&amp;K1902&amp;" Parzellen)",IF(J1902&lt;=K1902,"   Parzelle "&amp;J1902,IF(J1902=K1902+1,"   Vorstand",IF(J1902=K1902+2,"   Gäste",IF(J1902=K1902+3,"   Technik (Switches, Access Points)",""))))))</f>
        <v/>
      </c>
      <c r="B1902" s="0" t="str">
        <f aca="false">IF(I1902="","",IF(AND(J1902&gt;=1,J1902&lt;=K1902+3),IF(J1902&lt;=K1902,IF(J1902&lt;=99,IF((INDEX(Eingabe!$G$9:$G$18,I1902))&lt;=9,1000+(INDEX(Eingabe!$G$9:$G$18,I1902))*100,3000)+J1902,IF((INDEX(Eingabe!$G$9:$G$18,I1902)+1)&lt;=9,1000+(INDEX(Eingabe!$G$9:$G$18,I1902)+1)*100,3000)+J1902-100),IF(J1902=K1902+1,2000+INDEX(Eingabe!$G$9:$G$18,I1902)*10+1,IF(J1902=K1902+2,2000+INDEX(Eingabe!$G$9:$G$18,I1902)*10+2,2000+INDEX(Eingabe!$G$9:$G$18,I1902)*10+9))),""))</f>
        <v/>
      </c>
      <c r="C1902" s="0" t="str">
        <f aca="false">IF(I1902="","",IF(AND(J1902&gt;=1,J1902&lt;=K1902+3),"10."&amp;INDEX(Eingabe!$D$9:$D$18,I1902)&amp;"."&amp;IF(J1902&lt;=K1902,J1902,IF(J1902=K1902+1,200,IF(J1902=K1902+2,201,250)))&amp;".0/24",""))</f>
        <v/>
      </c>
      <c r="D1902" s="0" t="str">
        <f aca="false">IF(I1902="","",IF(AND(J1902&gt;=1,J1902&lt;=K1902+3),"255.255.255.0",""))</f>
        <v/>
      </c>
      <c r="E1902" s="0" t="str">
        <f aca="false">IF(I1902="","",IF(AND(J1902&gt;=1,J1902&lt;=K1902+3),"10."&amp;INDEX(Eingabe!$D$9:$D$18,I1902)&amp;"."&amp;IF(J1902&lt;=K1902,J1902,IF(J1902=K1902+1,200,IF(J1902=K1902+2,201,250)))&amp;".1",""))</f>
        <v/>
      </c>
      <c r="F1902" s="0" t="str">
        <f aca="false">IF(I1902="","",IF(AND(J1902&gt;=1,J1902&lt;=K1902+3),"10."&amp;INDEX(Eingabe!$D$9:$D$18,I1902)&amp;"."&amp;IF(J1902&lt;=K1902,J1902,IF(J1902=K1902+1,200,IF(J1902=K1902+2,201,250)))&amp;".10 – 10."&amp;INDEX(Eingabe!$D$9:$D$18,I1902)&amp;"."&amp;IF(J1902&lt;=K1902,J1902,IF(J1902=K1902+1,200,IF(J1902=K1902+2,201,250)))&amp;".250",""))</f>
        <v/>
      </c>
      <c r="G1902" s="0" t="str">
        <f aca="false">IF(I1902="","",IF(AND(J1902&gt;=1,J1902&lt;=K1902),Eingabe!$B$6&amp;"-"&amp;INDEX(Eingabe!$C$9:$C$18,I1902)&amp;"-Pächter  ·  Passwort Parzelle "&amp;J1902,IF(J1902=K1902+1,Eingabe!$B$6&amp;"-"&amp;INDEX(Eingabe!$C$9:$C$18,I1902)&amp;"-Vorstand  ·  eigenes WLAN",IF(J1902=K1902+2,Eingabe!$B$6&amp;"-"&amp;INDEX(Eingabe!$C$9:$C$18,I1902)&amp;"-Gäste  ·  Voucher",IF(J1902=K1902+3,"Kabel  ·  Access Point y = .(50+y), Mast-Switch x = .(10+x)","")))))</f>
        <v/>
      </c>
      <c r="I1902" s="0" t="str">
        <f aca="false">IF(1897&lt;=(Eingabe!$P$18+Eingabe!$Q$18-1),MATCH(1897,Eingabe!$P$9:$P$18,1),"")</f>
        <v/>
      </c>
      <c r="J1902" s="0" t="str">
        <f aca="false">IF(I1902="","",1897-INDEX(Eingabe!$P$9:$P$18,I1902))</f>
        <v/>
      </c>
      <c r="K1902" s="0" t="str">
        <f aca="false">IF(I1902="","",INDEX(Eingabe!$E$9:$E$18,I1902))</f>
        <v/>
      </c>
    </row>
    <row r="1903" customFormat="false" ht="15" hidden="false" customHeight="false" outlineLevel="0" collapsed="false">
      <c r="A1903" s="0" t="str">
        <f aca="false">IF(I1903="","",IF(J1903=0,"Sparte "&amp;I1903&amp;": "&amp;INDEX(Eingabe!$B$9:$B$18,I1903)&amp;"  (Sparten-ID "&amp;INDEX(Eingabe!$D$9:$D$18,I1903)&amp;", "&amp;K1903&amp;" Parzellen)",IF(J1903&lt;=K1903,"   Parzelle "&amp;J1903,IF(J1903=K1903+1,"   Vorstand",IF(J1903=K1903+2,"   Gäste",IF(J1903=K1903+3,"   Technik (Switches, Access Points)",""))))))</f>
        <v/>
      </c>
      <c r="B1903" s="0" t="str">
        <f aca="false">IF(I1903="","",IF(AND(J1903&gt;=1,J1903&lt;=K1903+3),IF(J1903&lt;=K1903,IF(J1903&lt;=99,IF((INDEX(Eingabe!$G$9:$G$18,I1903))&lt;=9,1000+(INDEX(Eingabe!$G$9:$G$18,I1903))*100,3000)+J1903,IF((INDEX(Eingabe!$G$9:$G$18,I1903)+1)&lt;=9,1000+(INDEX(Eingabe!$G$9:$G$18,I1903)+1)*100,3000)+J1903-100),IF(J1903=K1903+1,2000+INDEX(Eingabe!$G$9:$G$18,I1903)*10+1,IF(J1903=K1903+2,2000+INDEX(Eingabe!$G$9:$G$18,I1903)*10+2,2000+INDEX(Eingabe!$G$9:$G$18,I1903)*10+9))),""))</f>
        <v/>
      </c>
      <c r="C1903" s="0" t="str">
        <f aca="false">IF(I1903="","",IF(AND(J1903&gt;=1,J1903&lt;=K1903+3),"10."&amp;INDEX(Eingabe!$D$9:$D$18,I1903)&amp;"."&amp;IF(J1903&lt;=K1903,J1903,IF(J1903=K1903+1,200,IF(J1903=K1903+2,201,250)))&amp;".0/24",""))</f>
        <v/>
      </c>
      <c r="D1903" s="0" t="str">
        <f aca="false">IF(I1903="","",IF(AND(J1903&gt;=1,J1903&lt;=K1903+3),"255.255.255.0",""))</f>
        <v/>
      </c>
      <c r="E1903" s="0" t="str">
        <f aca="false">IF(I1903="","",IF(AND(J1903&gt;=1,J1903&lt;=K1903+3),"10."&amp;INDEX(Eingabe!$D$9:$D$18,I1903)&amp;"."&amp;IF(J1903&lt;=K1903,J1903,IF(J1903=K1903+1,200,IF(J1903=K1903+2,201,250)))&amp;".1",""))</f>
        <v/>
      </c>
      <c r="F1903" s="0" t="str">
        <f aca="false">IF(I1903="","",IF(AND(J1903&gt;=1,J1903&lt;=K1903+3),"10."&amp;INDEX(Eingabe!$D$9:$D$18,I1903)&amp;"."&amp;IF(J1903&lt;=K1903,J1903,IF(J1903=K1903+1,200,IF(J1903=K1903+2,201,250)))&amp;".10 – 10."&amp;INDEX(Eingabe!$D$9:$D$18,I1903)&amp;"."&amp;IF(J1903&lt;=K1903,J1903,IF(J1903=K1903+1,200,IF(J1903=K1903+2,201,250)))&amp;".250",""))</f>
        <v/>
      </c>
      <c r="G1903" s="0" t="str">
        <f aca="false">IF(I1903="","",IF(AND(J1903&gt;=1,J1903&lt;=K1903),Eingabe!$B$6&amp;"-"&amp;INDEX(Eingabe!$C$9:$C$18,I1903)&amp;"-Pächter  ·  Passwort Parzelle "&amp;J1903,IF(J1903=K1903+1,Eingabe!$B$6&amp;"-"&amp;INDEX(Eingabe!$C$9:$C$18,I1903)&amp;"-Vorstand  ·  eigenes WLAN",IF(J1903=K1903+2,Eingabe!$B$6&amp;"-"&amp;INDEX(Eingabe!$C$9:$C$18,I1903)&amp;"-Gäste  ·  Voucher",IF(J1903=K1903+3,"Kabel  ·  Access Point y = .(50+y), Mast-Switch x = .(10+x)","")))))</f>
        <v/>
      </c>
      <c r="I1903" s="0" t="str">
        <f aca="false">IF(1898&lt;=(Eingabe!$P$18+Eingabe!$Q$18-1),MATCH(1898,Eingabe!$P$9:$P$18,1),"")</f>
        <v/>
      </c>
      <c r="J1903" s="0" t="str">
        <f aca="false">IF(I1903="","",1898-INDEX(Eingabe!$P$9:$P$18,I1903))</f>
        <v/>
      </c>
      <c r="K1903" s="0" t="str">
        <f aca="false">IF(I1903="","",INDEX(Eingabe!$E$9:$E$18,I1903))</f>
        <v/>
      </c>
    </row>
    <row r="1904" customFormat="false" ht="15" hidden="false" customHeight="false" outlineLevel="0" collapsed="false">
      <c r="A1904" s="0" t="str">
        <f aca="false">IF(I1904="","",IF(J1904=0,"Sparte "&amp;I1904&amp;": "&amp;INDEX(Eingabe!$B$9:$B$18,I1904)&amp;"  (Sparten-ID "&amp;INDEX(Eingabe!$D$9:$D$18,I1904)&amp;", "&amp;K1904&amp;" Parzellen)",IF(J1904&lt;=K1904,"   Parzelle "&amp;J1904,IF(J1904=K1904+1,"   Vorstand",IF(J1904=K1904+2,"   Gäste",IF(J1904=K1904+3,"   Technik (Switches, Access Points)",""))))))</f>
        <v/>
      </c>
      <c r="B1904" s="0" t="str">
        <f aca="false">IF(I1904="","",IF(AND(J1904&gt;=1,J1904&lt;=K1904+3),IF(J1904&lt;=K1904,IF(J1904&lt;=99,IF((INDEX(Eingabe!$G$9:$G$18,I1904))&lt;=9,1000+(INDEX(Eingabe!$G$9:$G$18,I1904))*100,3000)+J1904,IF((INDEX(Eingabe!$G$9:$G$18,I1904)+1)&lt;=9,1000+(INDEX(Eingabe!$G$9:$G$18,I1904)+1)*100,3000)+J1904-100),IF(J1904=K1904+1,2000+INDEX(Eingabe!$G$9:$G$18,I1904)*10+1,IF(J1904=K1904+2,2000+INDEX(Eingabe!$G$9:$G$18,I1904)*10+2,2000+INDEX(Eingabe!$G$9:$G$18,I1904)*10+9))),""))</f>
        <v/>
      </c>
      <c r="C1904" s="0" t="str">
        <f aca="false">IF(I1904="","",IF(AND(J1904&gt;=1,J1904&lt;=K1904+3),"10."&amp;INDEX(Eingabe!$D$9:$D$18,I1904)&amp;"."&amp;IF(J1904&lt;=K1904,J1904,IF(J1904=K1904+1,200,IF(J1904=K1904+2,201,250)))&amp;".0/24",""))</f>
        <v/>
      </c>
      <c r="D1904" s="0" t="str">
        <f aca="false">IF(I1904="","",IF(AND(J1904&gt;=1,J1904&lt;=K1904+3),"255.255.255.0",""))</f>
        <v/>
      </c>
      <c r="E1904" s="0" t="str">
        <f aca="false">IF(I1904="","",IF(AND(J1904&gt;=1,J1904&lt;=K1904+3),"10."&amp;INDEX(Eingabe!$D$9:$D$18,I1904)&amp;"."&amp;IF(J1904&lt;=K1904,J1904,IF(J1904=K1904+1,200,IF(J1904=K1904+2,201,250)))&amp;".1",""))</f>
        <v/>
      </c>
      <c r="F1904" s="0" t="str">
        <f aca="false">IF(I1904="","",IF(AND(J1904&gt;=1,J1904&lt;=K1904+3),"10."&amp;INDEX(Eingabe!$D$9:$D$18,I1904)&amp;"."&amp;IF(J1904&lt;=K1904,J1904,IF(J1904=K1904+1,200,IF(J1904=K1904+2,201,250)))&amp;".10 – 10."&amp;INDEX(Eingabe!$D$9:$D$18,I1904)&amp;"."&amp;IF(J1904&lt;=K1904,J1904,IF(J1904=K1904+1,200,IF(J1904=K1904+2,201,250)))&amp;".250",""))</f>
        <v/>
      </c>
      <c r="G1904" s="0" t="str">
        <f aca="false">IF(I1904="","",IF(AND(J1904&gt;=1,J1904&lt;=K1904),Eingabe!$B$6&amp;"-"&amp;INDEX(Eingabe!$C$9:$C$18,I1904)&amp;"-Pächter  ·  Passwort Parzelle "&amp;J1904,IF(J1904=K1904+1,Eingabe!$B$6&amp;"-"&amp;INDEX(Eingabe!$C$9:$C$18,I1904)&amp;"-Vorstand  ·  eigenes WLAN",IF(J1904=K1904+2,Eingabe!$B$6&amp;"-"&amp;INDEX(Eingabe!$C$9:$C$18,I1904)&amp;"-Gäste  ·  Voucher",IF(J1904=K1904+3,"Kabel  ·  Access Point y = .(50+y), Mast-Switch x = .(10+x)","")))))</f>
        <v/>
      </c>
      <c r="I1904" s="0" t="str">
        <f aca="false">IF(1899&lt;=(Eingabe!$P$18+Eingabe!$Q$18-1),MATCH(1899,Eingabe!$P$9:$P$18,1),"")</f>
        <v/>
      </c>
      <c r="J1904" s="0" t="str">
        <f aca="false">IF(I1904="","",1899-INDEX(Eingabe!$P$9:$P$18,I1904))</f>
        <v/>
      </c>
      <c r="K1904" s="0" t="str">
        <f aca="false">IF(I1904="","",INDEX(Eingabe!$E$9:$E$18,I1904))</f>
        <v/>
      </c>
    </row>
    <row r="1905" customFormat="false" ht="15" hidden="false" customHeight="false" outlineLevel="0" collapsed="false">
      <c r="A1905" s="0" t="str">
        <f aca="false">IF(I1905="","",IF(J1905=0,"Sparte "&amp;I1905&amp;": "&amp;INDEX(Eingabe!$B$9:$B$18,I1905)&amp;"  (Sparten-ID "&amp;INDEX(Eingabe!$D$9:$D$18,I1905)&amp;", "&amp;K1905&amp;" Parzellen)",IF(J1905&lt;=K1905,"   Parzelle "&amp;J1905,IF(J1905=K1905+1,"   Vorstand",IF(J1905=K1905+2,"   Gäste",IF(J1905=K1905+3,"   Technik (Switches, Access Points)",""))))))</f>
        <v/>
      </c>
      <c r="B1905" s="0" t="str">
        <f aca="false">IF(I1905="","",IF(AND(J1905&gt;=1,J1905&lt;=K1905+3),IF(J1905&lt;=K1905,IF(J1905&lt;=99,IF((INDEX(Eingabe!$G$9:$G$18,I1905))&lt;=9,1000+(INDEX(Eingabe!$G$9:$G$18,I1905))*100,3000)+J1905,IF((INDEX(Eingabe!$G$9:$G$18,I1905)+1)&lt;=9,1000+(INDEX(Eingabe!$G$9:$G$18,I1905)+1)*100,3000)+J1905-100),IF(J1905=K1905+1,2000+INDEX(Eingabe!$G$9:$G$18,I1905)*10+1,IF(J1905=K1905+2,2000+INDEX(Eingabe!$G$9:$G$18,I1905)*10+2,2000+INDEX(Eingabe!$G$9:$G$18,I1905)*10+9))),""))</f>
        <v/>
      </c>
      <c r="C1905" s="0" t="str">
        <f aca="false">IF(I1905="","",IF(AND(J1905&gt;=1,J1905&lt;=K1905+3),"10."&amp;INDEX(Eingabe!$D$9:$D$18,I1905)&amp;"."&amp;IF(J1905&lt;=K1905,J1905,IF(J1905=K1905+1,200,IF(J1905=K1905+2,201,250)))&amp;".0/24",""))</f>
        <v/>
      </c>
      <c r="D1905" s="0" t="str">
        <f aca="false">IF(I1905="","",IF(AND(J1905&gt;=1,J1905&lt;=K1905+3),"255.255.255.0",""))</f>
        <v/>
      </c>
      <c r="E1905" s="0" t="str">
        <f aca="false">IF(I1905="","",IF(AND(J1905&gt;=1,J1905&lt;=K1905+3),"10."&amp;INDEX(Eingabe!$D$9:$D$18,I1905)&amp;"."&amp;IF(J1905&lt;=K1905,J1905,IF(J1905=K1905+1,200,IF(J1905=K1905+2,201,250)))&amp;".1",""))</f>
        <v/>
      </c>
      <c r="F1905" s="0" t="str">
        <f aca="false">IF(I1905="","",IF(AND(J1905&gt;=1,J1905&lt;=K1905+3),"10."&amp;INDEX(Eingabe!$D$9:$D$18,I1905)&amp;"."&amp;IF(J1905&lt;=K1905,J1905,IF(J1905=K1905+1,200,IF(J1905=K1905+2,201,250)))&amp;".10 – 10."&amp;INDEX(Eingabe!$D$9:$D$18,I1905)&amp;"."&amp;IF(J1905&lt;=K1905,J1905,IF(J1905=K1905+1,200,IF(J1905=K1905+2,201,250)))&amp;".250",""))</f>
        <v/>
      </c>
      <c r="G1905" s="0" t="str">
        <f aca="false">IF(I1905="","",IF(AND(J1905&gt;=1,J1905&lt;=K1905),Eingabe!$B$6&amp;"-"&amp;INDEX(Eingabe!$C$9:$C$18,I1905)&amp;"-Pächter  ·  Passwort Parzelle "&amp;J1905,IF(J1905=K1905+1,Eingabe!$B$6&amp;"-"&amp;INDEX(Eingabe!$C$9:$C$18,I1905)&amp;"-Vorstand  ·  eigenes WLAN",IF(J1905=K1905+2,Eingabe!$B$6&amp;"-"&amp;INDEX(Eingabe!$C$9:$C$18,I1905)&amp;"-Gäste  ·  Voucher",IF(J1905=K1905+3,"Kabel  ·  Access Point y = .(50+y), Mast-Switch x = .(10+x)","")))))</f>
        <v/>
      </c>
      <c r="I1905" s="0" t="str">
        <f aca="false">IF(1900&lt;=(Eingabe!$P$18+Eingabe!$Q$18-1),MATCH(1900,Eingabe!$P$9:$P$18,1),"")</f>
        <v/>
      </c>
      <c r="J1905" s="0" t="str">
        <f aca="false">IF(I1905="","",1900-INDEX(Eingabe!$P$9:$P$18,I1905))</f>
        <v/>
      </c>
      <c r="K1905" s="0" t="str">
        <f aca="false">IF(I1905="","",INDEX(Eingabe!$E$9:$E$18,I1905))</f>
        <v/>
      </c>
    </row>
    <row r="1906" customFormat="false" ht="15" hidden="false" customHeight="false" outlineLevel="0" collapsed="false">
      <c r="A1906" s="0" t="str">
        <f aca="false">IF(I1906="","",IF(J1906=0,"Sparte "&amp;I1906&amp;": "&amp;INDEX(Eingabe!$B$9:$B$18,I1906)&amp;"  (Sparten-ID "&amp;INDEX(Eingabe!$D$9:$D$18,I1906)&amp;", "&amp;K1906&amp;" Parzellen)",IF(J1906&lt;=K1906,"   Parzelle "&amp;J1906,IF(J1906=K1906+1,"   Vorstand",IF(J1906=K1906+2,"   Gäste",IF(J1906=K1906+3,"   Technik (Switches, Access Points)",""))))))</f>
        <v/>
      </c>
      <c r="B1906" s="0" t="str">
        <f aca="false">IF(I1906="","",IF(AND(J1906&gt;=1,J1906&lt;=K1906+3),IF(J1906&lt;=K1906,IF(J1906&lt;=99,IF((INDEX(Eingabe!$G$9:$G$18,I1906))&lt;=9,1000+(INDEX(Eingabe!$G$9:$G$18,I1906))*100,3000)+J1906,IF((INDEX(Eingabe!$G$9:$G$18,I1906)+1)&lt;=9,1000+(INDEX(Eingabe!$G$9:$G$18,I1906)+1)*100,3000)+J1906-100),IF(J1906=K1906+1,2000+INDEX(Eingabe!$G$9:$G$18,I1906)*10+1,IF(J1906=K1906+2,2000+INDEX(Eingabe!$G$9:$G$18,I1906)*10+2,2000+INDEX(Eingabe!$G$9:$G$18,I1906)*10+9))),""))</f>
        <v/>
      </c>
      <c r="C1906" s="0" t="str">
        <f aca="false">IF(I1906="","",IF(AND(J1906&gt;=1,J1906&lt;=K1906+3),"10."&amp;INDEX(Eingabe!$D$9:$D$18,I1906)&amp;"."&amp;IF(J1906&lt;=K1906,J1906,IF(J1906=K1906+1,200,IF(J1906=K1906+2,201,250)))&amp;".0/24",""))</f>
        <v/>
      </c>
      <c r="D1906" s="0" t="str">
        <f aca="false">IF(I1906="","",IF(AND(J1906&gt;=1,J1906&lt;=K1906+3),"255.255.255.0",""))</f>
        <v/>
      </c>
      <c r="E1906" s="0" t="str">
        <f aca="false">IF(I1906="","",IF(AND(J1906&gt;=1,J1906&lt;=K1906+3),"10."&amp;INDEX(Eingabe!$D$9:$D$18,I1906)&amp;"."&amp;IF(J1906&lt;=K1906,J1906,IF(J1906=K1906+1,200,IF(J1906=K1906+2,201,250)))&amp;".1",""))</f>
        <v/>
      </c>
      <c r="F1906" s="0" t="str">
        <f aca="false">IF(I1906="","",IF(AND(J1906&gt;=1,J1906&lt;=K1906+3),"10."&amp;INDEX(Eingabe!$D$9:$D$18,I1906)&amp;"."&amp;IF(J1906&lt;=K1906,J1906,IF(J1906=K1906+1,200,IF(J1906=K1906+2,201,250)))&amp;".10 – 10."&amp;INDEX(Eingabe!$D$9:$D$18,I1906)&amp;"."&amp;IF(J1906&lt;=K1906,J1906,IF(J1906=K1906+1,200,IF(J1906=K1906+2,201,250)))&amp;".250",""))</f>
        <v/>
      </c>
      <c r="G1906" s="0" t="str">
        <f aca="false">IF(I1906="","",IF(AND(J1906&gt;=1,J1906&lt;=K1906),Eingabe!$B$6&amp;"-"&amp;INDEX(Eingabe!$C$9:$C$18,I1906)&amp;"-Pächter  ·  Passwort Parzelle "&amp;J1906,IF(J1906=K1906+1,Eingabe!$B$6&amp;"-"&amp;INDEX(Eingabe!$C$9:$C$18,I1906)&amp;"-Vorstand  ·  eigenes WLAN",IF(J1906=K1906+2,Eingabe!$B$6&amp;"-"&amp;INDEX(Eingabe!$C$9:$C$18,I1906)&amp;"-Gäste  ·  Voucher",IF(J1906=K1906+3,"Kabel  ·  Access Point y = .(50+y), Mast-Switch x = .(10+x)","")))))</f>
        <v/>
      </c>
      <c r="I1906" s="0" t="str">
        <f aca="false">IF(1901&lt;=(Eingabe!$P$18+Eingabe!$Q$18-1),MATCH(1901,Eingabe!$P$9:$P$18,1),"")</f>
        <v/>
      </c>
      <c r="J1906" s="0" t="str">
        <f aca="false">IF(I1906="","",1901-INDEX(Eingabe!$P$9:$P$18,I1906))</f>
        <v/>
      </c>
      <c r="K1906" s="0" t="str">
        <f aca="false">IF(I1906="","",INDEX(Eingabe!$E$9:$E$18,I1906))</f>
        <v/>
      </c>
    </row>
    <row r="1907" customFormat="false" ht="15" hidden="false" customHeight="false" outlineLevel="0" collapsed="false">
      <c r="A1907" s="0" t="str">
        <f aca="false">IF(I1907="","",IF(J1907=0,"Sparte "&amp;I1907&amp;": "&amp;INDEX(Eingabe!$B$9:$B$18,I1907)&amp;"  (Sparten-ID "&amp;INDEX(Eingabe!$D$9:$D$18,I1907)&amp;", "&amp;K1907&amp;" Parzellen)",IF(J1907&lt;=K1907,"   Parzelle "&amp;J1907,IF(J1907=K1907+1,"   Vorstand",IF(J1907=K1907+2,"   Gäste",IF(J1907=K1907+3,"   Technik (Switches, Access Points)",""))))))</f>
        <v/>
      </c>
      <c r="B1907" s="0" t="str">
        <f aca="false">IF(I1907="","",IF(AND(J1907&gt;=1,J1907&lt;=K1907+3),IF(J1907&lt;=K1907,IF(J1907&lt;=99,IF((INDEX(Eingabe!$G$9:$G$18,I1907))&lt;=9,1000+(INDEX(Eingabe!$G$9:$G$18,I1907))*100,3000)+J1907,IF((INDEX(Eingabe!$G$9:$G$18,I1907)+1)&lt;=9,1000+(INDEX(Eingabe!$G$9:$G$18,I1907)+1)*100,3000)+J1907-100),IF(J1907=K1907+1,2000+INDEX(Eingabe!$G$9:$G$18,I1907)*10+1,IF(J1907=K1907+2,2000+INDEX(Eingabe!$G$9:$G$18,I1907)*10+2,2000+INDEX(Eingabe!$G$9:$G$18,I1907)*10+9))),""))</f>
        <v/>
      </c>
      <c r="C1907" s="0" t="str">
        <f aca="false">IF(I1907="","",IF(AND(J1907&gt;=1,J1907&lt;=K1907+3),"10."&amp;INDEX(Eingabe!$D$9:$D$18,I1907)&amp;"."&amp;IF(J1907&lt;=K1907,J1907,IF(J1907=K1907+1,200,IF(J1907=K1907+2,201,250)))&amp;".0/24",""))</f>
        <v/>
      </c>
      <c r="D1907" s="0" t="str">
        <f aca="false">IF(I1907="","",IF(AND(J1907&gt;=1,J1907&lt;=K1907+3),"255.255.255.0",""))</f>
        <v/>
      </c>
      <c r="E1907" s="0" t="str">
        <f aca="false">IF(I1907="","",IF(AND(J1907&gt;=1,J1907&lt;=K1907+3),"10."&amp;INDEX(Eingabe!$D$9:$D$18,I1907)&amp;"."&amp;IF(J1907&lt;=K1907,J1907,IF(J1907=K1907+1,200,IF(J1907=K1907+2,201,250)))&amp;".1",""))</f>
        <v/>
      </c>
      <c r="F1907" s="0" t="str">
        <f aca="false">IF(I1907="","",IF(AND(J1907&gt;=1,J1907&lt;=K1907+3),"10."&amp;INDEX(Eingabe!$D$9:$D$18,I1907)&amp;"."&amp;IF(J1907&lt;=K1907,J1907,IF(J1907=K1907+1,200,IF(J1907=K1907+2,201,250)))&amp;".10 – 10."&amp;INDEX(Eingabe!$D$9:$D$18,I1907)&amp;"."&amp;IF(J1907&lt;=K1907,J1907,IF(J1907=K1907+1,200,IF(J1907=K1907+2,201,250)))&amp;".250",""))</f>
        <v/>
      </c>
      <c r="G1907" s="0" t="str">
        <f aca="false">IF(I1907="","",IF(AND(J1907&gt;=1,J1907&lt;=K1907),Eingabe!$B$6&amp;"-"&amp;INDEX(Eingabe!$C$9:$C$18,I1907)&amp;"-Pächter  ·  Passwort Parzelle "&amp;J1907,IF(J1907=K1907+1,Eingabe!$B$6&amp;"-"&amp;INDEX(Eingabe!$C$9:$C$18,I1907)&amp;"-Vorstand  ·  eigenes WLAN",IF(J1907=K1907+2,Eingabe!$B$6&amp;"-"&amp;INDEX(Eingabe!$C$9:$C$18,I1907)&amp;"-Gäste  ·  Voucher",IF(J1907=K1907+3,"Kabel  ·  Access Point y = .(50+y), Mast-Switch x = .(10+x)","")))))</f>
        <v/>
      </c>
      <c r="I1907" s="0" t="str">
        <f aca="false">IF(1902&lt;=(Eingabe!$P$18+Eingabe!$Q$18-1),MATCH(1902,Eingabe!$P$9:$P$18,1),"")</f>
        <v/>
      </c>
      <c r="J1907" s="0" t="str">
        <f aca="false">IF(I1907="","",1902-INDEX(Eingabe!$P$9:$P$18,I1907))</f>
        <v/>
      </c>
      <c r="K1907" s="0" t="str">
        <f aca="false">IF(I1907="","",INDEX(Eingabe!$E$9:$E$18,I1907))</f>
        <v/>
      </c>
    </row>
    <row r="1908" customFormat="false" ht="15" hidden="false" customHeight="false" outlineLevel="0" collapsed="false">
      <c r="A1908" s="0" t="str">
        <f aca="false">IF(I1908="","",IF(J1908=0,"Sparte "&amp;I1908&amp;": "&amp;INDEX(Eingabe!$B$9:$B$18,I1908)&amp;"  (Sparten-ID "&amp;INDEX(Eingabe!$D$9:$D$18,I1908)&amp;", "&amp;K1908&amp;" Parzellen)",IF(J1908&lt;=K1908,"   Parzelle "&amp;J1908,IF(J1908=K1908+1,"   Vorstand",IF(J1908=K1908+2,"   Gäste",IF(J1908=K1908+3,"   Technik (Switches, Access Points)",""))))))</f>
        <v/>
      </c>
      <c r="B1908" s="0" t="str">
        <f aca="false">IF(I1908="","",IF(AND(J1908&gt;=1,J1908&lt;=K1908+3),IF(J1908&lt;=K1908,IF(J1908&lt;=99,IF((INDEX(Eingabe!$G$9:$G$18,I1908))&lt;=9,1000+(INDEX(Eingabe!$G$9:$G$18,I1908))*100,3000)+J1908,IF((INDEX(Eingabe!$G$9:$G$18,I1908)+1)&lt;=9,1000+(INDEX(Eingabe!$G$9:$G$18,I1908)+1)*100,3000)+J1908-100),IF(J1908=K1908+1,2000+INDEX(Eingabe!$G$9:$G$18,I1908)*10+1,IF(J1908=K1908+2,2000+INDEX(Eingabe!$G$9:$G$18,I1908)*10+2,2000+INDEX(Eingabe!$G$9:$G$18,I1908)*10+9))),""))</f>
        <v/>
      </c>
      <c r="C1908" s="0" t="str">
        <f aca="false">IF(I1908="","",IF(AND(J1908&gt;=1,J1908&lt;=K1908+3),"10."&amp;INDEX(Eingabe!$D$9:$D$18,I1908)&amp;"."&amp;IF(J1908&lt;=K1908,J1908,IF(J1908=K1908+1,200,IF(J1908=K1908+2,201,250)))&amp;".0/24",""))</f>
        <v/>
      </c>
      <c r="D1908" s="0" t="str">
        <f aca="false">IF(I1908="","",IF(AND(J1908&gt;=1,J1908&lt;=K1908+3),"255.255.255.0",""))</f>
        <v/>
      </c>
      <c r="E1908" s="0" t="str">
        <f aca="false">IF(I1908="","",IF(AND(J1908&gt;=1,J1908&lt;=K1908+3),"10."&amp;INDEX(Eingabe!$D$9:$D$18,I1908)&amp;"."&amp;IF(J1908&lt;=K1908,J1908,IF(J1908=K1908+1,200,IF(J1908=K1908+2,201,250)))&amp;".1",""))</f>
        <v/>
      </c>
      <c r="F1908" s="0" t="str">
        <f aca="false">IF(I1908="","",IF(AND(J1908&gt;=1,J1908&lt;=K1908+3),"10."&amp;INDEX(Eingabe!$D$9:$D$18,I1908)&amp;"."&amp;IF(J1908&lt;=K1908,J1908,IF(J1908=K1908+1,200,IF(J1908=K1908+2,201,250)))&amp;".10 – 10."&amp;INDEX(Eingabe!$D$9:$D$18,I1908)&amp;"."&amp;IF(J1908&lt;=K1908,J1908,IF(J1908=K1908+1,200,IF(J1908=K1908+2,201,250)))&amp;".250",""))</f>
        <v/>
      </c>
      <c r="G1908" s="0" t="str">
        <f aca="false">IF(I1908="","",IF(AND(J1908&gt;=1,J1908&lt;=K1908),Eingabe!$B$6&amp;"-"&amp;INDEX(Eingabe!$C$9:$C$18,I1908)&amp;"-Pächter  ·  Passwort Parzelle "&amp;J1908,IF(J1908=K1908+1,Eingabe!$B$6&amp;"-"&amp;INDEX(Eingabe!$C$9:$C$18,I1908)&amp;"-Vorstand  ·  eigenes WLAN",IF(J1908=K1908+2,Eingabe!$B$6&amp;"-"&amp;INDEX(Eingabe!$C$9:$C$18,I1908)&amp;"-Gäste  ·  Voucher",IF(J1908=K1908+3,"Kabel  ·  Access Point y = .(50+y), Mast-Switch x = .(10+x)","")))))</f>
        <v/>
      </c>
      <c r="I1908" s="0" t="str">
        <f aca="false">IF(1903&lt;=(Eingabe!$P$18+Eingabe!$Q$18-1),MATCH(1903,Eingabe!$P$9:$P$18,1),"")</f>
        <v/>
      </c>
      <c r="J1908" s="0" t="str">
        <f aca="false">IF(I1908="","",1903-INDEX(Eingabe!$P$9:$P$18,I1908))</f>
        <v/>
      </c>
      <c r="K1908" s="0" t="str">
        <f aca="false">IF(I1908="","",INDEX(Eingabe!$E$9:$E$18,I1908))</f>
        <v/>
      </c>
    </row>
    <row r="1909" customFormat="false" ht="15" hidden="false" customHeight="false" outlineLevel="0" collapsed="false">
      <c r="A1909" s="0" t="str">
        <f aca="false">IF(I1909="","",IF(J1909=0,"Sparte "&amp;I1909&amp;": "&amp;INDEX(Eingabe!$B$9:$B$18,I1909)&amp;"  (Sparten-ID "&amp;INDEX(Eingabe!$D$9:$D$18,I1909)&amp;", "&amp;K1909&amp;" Parzellen)",IF(J1909&lt;=K1909,"   Parzelle "&amp;J1909,IF(J1909=K1909+1,"   Vorstand",IF(J1909=K1909+2,"   Gäste",IF(J1909=K1909+3,"   Technik (Switches, Access Points)",""))))))</f>
        <v/>
      </c>
      <c r="B1909" s="0" t="str">
        <f aca="false">IF(I1909="","",IF(AND(J1909&gt;=1,J1909&lt;=K1909+3),IF(J1909&lt;=K1909,IF(J1909&lt;=99,IF((INDEX(Eingabe!$G$9:$G$18,I1909))&lt;=9,1000+(INDEX(Eingabe!$G$9:$G$18,I1909))*100,3000)+J1909,IF((INDEX(Eingabe!$G$9:$G$18,I1909)+1)&lt;=9,1000+(INDEX(Eingabe!$G$9:$G$18,I1909)+1)*100,3000)+J1909-100),IF(J1909=K1909+1,2000+INDEX(Eingabe!$G$9:$G$18,I1909)*10+1,IF(J1909=K1909+2,2000+INDEX(Eingabe!$G$9:$G$18,I1909)*10+2,2000+INDEX(Eingabe!$G$9:$G$18,I1909)*10+9))),""))</f>
        <v/>
      </c>
      <c r="C1909" s="0" t="str">
        <f aca="false">IF(I1909="","",IF(AND(J1909&gt;=1,J1909&lt;=K1909+3),"10."&amp;INDEX(Eingabe!$D$9:$D$18,I1909)&amp;"."&amp;IF(J1909&lt;=K1909,J1909,IF(J1909=K1909+1,200,IF(J1909=K1909+2,201,250)))&amp;".0/24",""))</f>
        <v/>
      </c>
      <c r="D1909" s="0" t="str">
        <f aca="false">IF(I1909="","",IF(AND(J1909&gt;=1,J1909&lt;=K1909+3),"255.255.255.0",""))</f>
        <v/>
      </c>
      <c r="E1909" s="0" t="str">
        <f aca="false">IF(I1909="","",IF(AND(J1909&gt;=1,J1909&lt;=K1909+3),"10."&amp;INDEX(Eingabe!$D$9:$D$18,I1909)&amp;"."&amp;IF(J1909&lt;=K1909,J1909,IF(J1909=K1909+1,200,IF(J1909=K1909+2,201,250)))&amp;".1",""))</f>
        <v/>
      </c>
      <c r="F1909" s="0" t="str">
        <f aca="false">IF(I1909="","",IF(AND(J1909&gt;=1,J1909&lt;=K1909+3),"10."&amp;INDEX(Eingabe!$D$9:$D$18,I1909)&amp;"."&amp;IF(J1909&lt;=K1909,J1909,IF(J1909=K1909+1,200,IF(J1909=K1909+2,201,250)))&amp;".10 – 10."&amp;INDEX(Eingabe!$D$9:$D$18,I1909)&amp;"."&amp;IF(J1909&lt;=K1909,J1909,IF(J1909=K1909+1,200,IF(J1909=K1909+2,201,250)))&amp;".250",""))</f>
        <v/>
      </c>
      <c r="G1909" s="0" t="str">
        <f aca="false">IF(I1909="","",IF(AND(J1909&gt;=1,J1909&lt;=K1909),Eingabe!$B$6&amp;"-"&amp;INDEX(Eingabe!$C$9:$C$18,I1909)&amp;"-Pächter  ·  Passwort Parzelle "&amp;J1909,IF(J1909=K1909+1,Eingabe!$B$6&amp;"-"&amp;INDEX(Eingabe!$C$9:$C$18,I1909)&amp;"-Vorstand  ·  eigenes WLAN",IF(J1909=K1909+2,Eingabe!$B$6&amp;"-"&amp;INDEX(Eingabe!$C$9:$C$18,I1909)&amp;"-Gäste  ·  Voucher",IF(J1909=K1909+3,"Kabel  ·  Access Point y = .(50+y), Mast-Switch x = .(10+x)","")))))</f>
        <v/>
      </c>
      <c r="I1909" s="0" t="str">
        <f aca="false">IF(1904&lt;=(Eingabe!$P$18+Eingabe!$Q$18-1),MATCH(1904,Eingabe!$P$9:$P$18,1),"")</f>
        <v/>
      </c>
      <c r="J1909" s="0" t="str">
        <f aca="false">IF(I1909="","",1904-INDEX(Eingabe!$P$9:$P$18,I1909))</f>
        <v/>
      </c>
      <c r="K1909" s="0" t="str">
        <f aca="false">IF(I1909="","",INDEX(Eingabe!$E$9:$E$18,I1909))</f>
        <v/>
      </c>
    </row>
    <row r="1910" customFormat="false" ht="15" hidden="false" customHeight="false" outlineLevel="0" collapsed="false">
      <c r="A1910" s="0" t="str">
        <f aca="false">IF(I1910="","",IF(J1910=0,"Sparte "&amp;I1910&amp;": "&amp;INDEX(Eingabe!$B$9:$B$18,I1910)&amp;"  (Sparten-ID "&amp;INDEX(Eingabe!$D$9:$D$18,I1910)&amp;", "&amp;K1910&amp;" Parzellen)",IF(J1910&lt;=K1910,"   Parzelle "&amp;J1910,IF(J1910=K1910+1,"   Vorstand",IF(J1910=K1910+2,"   Gäste",IF(J1910=K1910+3,"   Technik (Switches, Access Points)",""))))))</f>
        <v/>
      </c>
      <c r="B1910" s="0" t="str">
        <f aca="false">IF(I1910="","",IF(AND(J1910&gt;=1,J1910&lt;=K1910+3),IF(J1910&lt;=K1910,IF(J1910&lt;=99,IF((INDEX(Eingabe!$G$9:$G$18,I1910))&lt;=9,1000+(INDEX(Eingabe!$G$9:$G$18,I1910))*100,3000)+J1910,IF((INDEX(Eingabe!$G$9:$G$18,I1910)+1)&lt;=9,1000+(INDEX(Eingabe!$G$9:$G$18,I1910)+1)*100,3000)+J1910-100),IF(J1910=K1910+1,2000+INDEX(Eingabe!$G$9:$G$18,I1910)*10+1,IF(J1910=K1910+2,2000+INDEX(Eingabe!$G$9:$G$18,I1910)*10+2,2000+INDEX(Eingabe!$G$9:$G$18,I1910)*10+9))),""))</f>
        <v/>
      </c>
      <c r="C1910" s="0" t="str">
        <f aca="false">IF(I1910="","",IF(AND(J1910&gt;=1,J1910&lt;=K1910+3),"10."&amp;INDEX(Eingabe!$D$9:$D$18,I1910)&amp;"."&amp;IF(J1910&lt;=K1910,J1910,IF(J1910=K1910+1,200,IF(J1910=K1910+2,201,250)))&amp;".0/24",""))</f>
        <v/>
      </c>
      <c r="D1910" s="0" t="str">
        <f aca="false">IF(I1910="","",IF(AND(J1910&gt;=1,J1910&lt;=K1910+3),"255.255.255.0",""))</f>
        <v/>
      </c>
      <c r="E1910" s="0" t="str">
        <f aca="false">IF(I1910="","",IF(AND(J1910&gt;=1,J1910&lt;=K1910+3),"10."&amp;INDEX(Eingabe!$D$9:$D$18,I1910)&amp;"."&amp;IF(J1910&lt;=K1910,J1910,IF(J1910=K1910+1,200,IF(J1910=K1910+2,201,250)))&amp;".1",""))</f>
        <v/>
      </c>
      <c r="F1910" s="0" t="str">
        <f aca="false">IF(I1910="","",IF(AND(J1910&gt;=1,J1910&lt;=K1910+3),"10."&amp;INDEX(Eingabe!$D$9:$D$18,I1910)&amp;"."&amp;IF(J1910&lt;=K1910,J1910,IF(J1910=K1910+1,200,IF(J1910=K1910+2,201,250)))&amp;".10 – 10."&amp;INDEX(Eingabe!$D$9:$D$18,I1910)&amp;"."&amp;IF(J1910&lt;=K1910,J1910,IF(J1910=K1910+1,200,IF(J1910=K1910+2,201,250)))&amp;".250",""))</f>
        <v/>
      </c>
      <c r="G1910" s="0" t="str">
        <f aca="false">IF(I1910="","",IF(AND(J1910&gt;=1,J1910&lt;=K1910),Eingabe!$B$6&amp;"-"&amp;INDEX(Eingabe!$C$9:$C$18,I1910)&amp;"-Pächter  ·  Passwort Parzelle "&amp;J1910,IF(J1910=K1910+1,Eingabe!$B$6&amp;"-"&amp;INDEX(Eingabe!$C$9:$C$18,I1910)&amp;"-Vorstand  ·  eigenes WLAN",IF(J1910=K1910+2,Eingabe!$B$6&amp;"-"&amp;INDEX(Eingabe!$C$9:$C$18,I1910)&amp;"-Gäste  ·  Voucher",IF(J1910=K1910+3,"Kabel  ·  Access Point y = .(50+y), Mast-Switch x = .(10+x)","")))))</f>
        <v/>
      </c>
      <c r="I1910" s="0" t="str">
        <f aca="false">IF(1905&lt;=(Eingabe!$P$18+Eingabe!$Q$18-1),MATCH(1905,Eingabe!$P$9:$P$18,1),"")</f>
        <v/>
      </c>
      <c r="J1910" s="0" t="str">
        <f aca="false">IF(I1910="","",1905-INDEX(Eingabe!$P$9:$P$18,I1910))</f>
        <v/>
      </c>
      <c r="K1910" s="0" t="str">
        <f aca="false">IF(I1910="","",INDEX(Eingabe!$E$9:$E$18,I1910))</f>
        <v/>
      </c>
    </row>
    <row r="1911" customFormat="false" ht="15" hidden="false" customHeight="false" outlineLevel="0" collapsed="false">
      <c r="A1911" s="0" t="str">
        <f aca="false">IF(I1911="","",IF(J1911=0,"Sparte "&amp;I1911&amp;": "&amp;INDEX(Eingabe!$B$9:$B$18,I1911)&amp;"  (Sparten-ID "&amp;INDEX(Eingabe!$D$9:$D$18,I1911)&amp;", "&amp;K1911&amp;" Parzellen)",IF(J1911&lt;=K1911,"   Parzelle "&amp;J1911,IF(J1911=K1911+1,"   Vorstand",IF(J1911=K1911+2,"   Gäste",IF(J1911=K1911+3,"   Technik (Switches, Access Points)",""))))))</f>
        <v/>
      </c>
      <c r="B1911" s="0" t="str">
        <f aca="false">IF(I1911="","",IF(AND(J1911&gt;=1,J1911&lt;=K1911+3),IF(J1911&lt;=K1911,IF(J1911&lt;=99,IF((INDEX(Eingabe!$G$9:$G$18,I1911))&lt;=9,1000+(INDEX(Eingabe!$G$9:$G$18,I1911))*100,3000)+J1911,IF((INDEX(Eingabe!$G$9:$G$18,I1911)+1)&lt;=9,1000+(INDEX(Eingabe!$G$9:$G$18,I1911)+1)*100,3000)+J1911-100),IF(J1911=K1911+1,2000+INDEX(Eingabe!$G$9:$G$18,I1911)*10+1,IF(J1911=K1911+2,2000+INDEX(Eingabe!$G$9:$G$18,I1911)*10+2,2000+INDEX(Eingabe!$G$9:$G$18,I1911)*10+9))),""))</f>
        <v/>
      </c>
      <c r="C1911" s="0" t="str">
        <f aca="false">IF(I1911="","",IF(AND(J1911&gt;=1,J1911&lt;=K1911+3),"10."&amp;INDEX(Eingabe!$D$9:$D$18,I1911)&amp;"."&amp;IF(J1911&lt;=K1911,J1911,IF(J1911=K1911+1,200,IF(J1911=K1911+2,201,250)))&amp;".0/24",""))</f>
        <v/>
      </c>
      <c r="D1911" s="0" t="str">
        <f aca="false">IF(I1911="","",IF(AND(J1911&gt;=1,J1911&lt;=K1911+3),"255.255.255.0",""))</f>
        <v/>
      </c>
      <c r="E1911" s="0" t="str">
        <f aca="false">IF(I1911="","",IF(AND(J1911&gt;=1,J1911&lt;=K1911+3),"10."&amp;INDEX(Eingabe!$D$9:$D$18,I1911)&amp;"."&amp;IF(J1911&lt;=K1911,J1911,IF(J1911=K1911+1,200,IF(J1911=K1911+2,201,250)))&amp;".1",""))</f>
        <v/>
      </c>
      <c r="F1911" s="0" t="str">
        <f aca="false">IF(I1911="","",IF(AND(J1911&gt;=1,J1911&lt;=K1911+3),"10."&amp;INDEX(Eingabe!$D$9:$D$18,I1911)&amp;"."&amp;IF(J1911&lt;=K1911,J1911,IF(J1911=K1911+1,200,IF(J1911=K1911+2,201,250)))&amp;".10 – 10."&amp;INDEX(Eingabe!$D$9:$D$18,I1911)&amp;"."&amp;IF(J1911&lt;=K1911,J1911,IF(J1911=K1911+1,200,IF(J1911=K1911+2,201,250)))&amp;".250",""))</f>
        <v/>
      </c>
      <c r="G1911" s="0" t="str">
        <f aca="false">IF(I1911="","",IF(AND(J1911&gt;=1,J1911&lt;=K1911),Eingabe!$B$6&amp;"-"&amp;INDEX(Eingabe!$C$9:$C$18,I1911)&amp;"-Pächter  ·  Passwort Parzelle "&amp;J1911,IF(J1911=K1911+1,Eingabe!$B$6&amp;"-"&amp;INDEX(Eingabe!$C$9:$C$18,I1911)&amp;"-Vorstand  ·  eigenes WLAN",IF(J1911=K1911+2,Eingabe!$B$6&amp;"-"&amp;INDEX(Eingabe!$C$9:$C$18,I1911)&amp;"-Gäste  ·  Voucher",IF(J1911=K1911+3,"Kabel  ·  Access Point y = .(50+y), Mast-Switch x = .(10+x)","")))))</f>
        <v/>
      </c>
      <c r="I1911" s="0" t="str">
        <f aca="false">IF(1906&lt;=(Eingabe!$P$18+Eingabe!$Q$18-1),MATCH(1906,Eingabe!$P$9:$P$18,1),"")</f>
        <v/>
      </c>
      <c r="J1911" s="0" t="str">
        <f aca="false">IF(I1911="","",1906-INDEX(Eingabe!$P$9:$P$18,I1911))</f>
        <v/>
      </c>
      <c r="K1911" s="0" t="str">
        <f aca="false">IF(I1911="","",INDEX(Eingabe!$E$9:$E$18,I1911))</f>
        <v/>
      </c>
    </row>
    <row r="1912" customFormat="false" ht="15" hidden="false" customHeight="false" outlineLevel="0" collapsed="false">
      <c r="A1912" s="0" t="str">
        <f aca="false">IF(I1912="","",IF(J1912=0,"Sparte "&amp;I1912&amp;": "&amp;INDEX(Eingabe!$B$9:$B$18,I1912)&amp;"  (Sparten-ID "&amp;INDEX(Eingabe!$D$9:$D$18,I1912)&amp;", "&amp;K1912&amp;" Parzellen)",IF(J1912&lt;=K1912,"   Parzelle "&amp;J1912,IF(J1912=K1912+1,"   Vorstand",IF(J1912=K1912+2,"   Gäste",IF(J1912=K1912+3,"   Technik (Switches, Access Points)",""))))))</f>
        <v/>
      </c>
      <c r="B1912" s="0" t="str">
        <f aca="false">IF(I1912="","",IF(AND(J1912&gt;=1,J1912&lt;=K1912+3),IF(J1912&lt;=K1912,IF(J1912&lt;=99,IF((INDEX(Eingabe!$G$9:$G$18,I1912))&lt;=9,1000+(INDEX(Eingabe!$G$9:$G$18,I1912))*100,3000)+J1912,IF((INDEX(Eingabe!$G$9:$G$18,I1912)+1)&lt;=9,1000+(INDEX(Eingabe!$G$9:$G$18,I1912)+1)*100,3000)+J1912-100),IF(J1912=K1912+1,2000+INDEX(Eingabe!$G$9:$G$18,I1912)*10+1,IF(J1912=K1912+2,2000+INDEX(Eingabe!$G$9:$G$18,I1912)*10+2,2000+INDEX(Eingabe!$G$9:$G$18,I1912)*10+9))),""))</f>
        <v/>
      </c>
      <c r="C1912" s="0" t="str">
        <f aca="false">IF(I1912="","",IF(AND(J1912&gt;=1,J1912&lt;=K1912+3),"10."&amp;INDEX(Eingabe!$D$9:$D$18,I1912)&amp;"."&amp;IF(J1912&lt;=K1912,J1912,IF(J1912=K1912+1,200,IF(J1912=K1912+2,201,250)))&amp;".0/24",""))</f>
        <v/>
      </c>
      <c r="D1912" s="0" t="str">
        <f aca="false">IF(I1912="","",IF(AND(J1912&gt;=1,J1912&lt;=K1912+3),"255.255.255.0",""))</f>
        <v/>
      </c>
      <c r="E1912" s="0" t="str">
        <f aca="false">IF(I1912="","",IF(AND(J1912&gt;=1,J1912&lt;=K1912+3),"10."&amp;INDEX(Eingabe!$D$9:$D$18,I1912)&amp;"."&amp;IF(J1912&lt;=K1912,J1912,IF(J1912=K1912+1,200,IF(J1912=K1912+2,201,250)))&amp;".1",""))</f>
        <v/>
      </c>
      <c r="F1912" s="0" t="str">
        <f aca="false">IF(I1912="","",IF(AND(J1912&gt;=1,J1912&lt;=K1912+3),"10."&amp;INDEX(Eingabe!$D$9:$D$18,I1912)&amp;"."&amp;IF(J1912&lt;=K1912,J1912,IF(J1912=K1912+1,200,IF(J1912=K1912+2,201,250)))&amp;".10 – 10."&amp;INDEX(Eingabe!$D$9:$D$18,I1912)&amp;"."&amp;IF(J1912&lt;=K1912,J1912,IF(J1912=K1912+1,200,IF(J1912=K1912+2,201,250)))&amp;".250",""))</f>
        <v/>
      </c>
      <c r="G1912" s="0" t="str">
        <f aca="false">IF(I1912="","",IF(AND(J1912&gt;=1,J1912&lt;=K1912),Eingabe!$B$6&amp;"-"&amp;INDEX(Eingabe!$C$9:$C$18,I1912)&amp;"-Pächter  ·  Passwort Parzelle "&amp;J1912,IF(J1912=K1912+1,Eingabe!$B$6&amp;"-"&amp;INDEX(Eingabe!$C$9:$C$18,I1912)&amp;"-Vorstand  ·  eigenes WLAN",IF(J1912=K1912+2,Eingabe!$B$6&amp;"-"&amp;INDEX(Eingabe!$C$9:$C$18,I1912)&amp;"-Gäste  ·  Voucher",IF(J1912=K1912+3,"Kabel  ·  Access Point y = .(50+y), Mast-Switch x = .(10+x)","")))))</f>
        <v/>
      </c>
      <c r="I1912" s="0" t="str">
        <f aca="false">IF(1907&lt;=(Eingabe!$P$18+Eingabe!$Q$18-1),MATCH(1907,Eingabe!$P$9:$P$18,1),"")</f>
        <v/>
      </c>
      <c r="J1912" s="0" t="str">
        <f aca="false">IF(I1912="","",1907-INDEX(Eingabe!$P$9:$P$18,I1912))</f>
        <v/>
      </c>
      <c r="K1912" s="0" t="str">
        <f aca="false">IF(I1912="","",INDEX(Eingabe!$E$9:$E$18,I1912))</f>
        <v/>
      </c>
    </row>
    <row r="1913" customFormat="false" ht="15" hidden="false" customHeight="false" outlineLevel="0" collapsed="false">
      <c r="A1913" s="0" t="str">
        <f aca="false">IF(I1913="","",IF(J1913=0,"Sparte "&amp;I1913&amp;": "&amp;INDEX(Eingabe!$B$9:$B$18,I1913)&amp;"  (Sparten-ID "&amp;INDEX(Eingabe!$D$9:$D$18,I1913)&amp;", "&amp;K1913&amp;" Parzellen)",IF(J1913&lt;=K1913,"   Parzelle "&amp;J1913,IF(J1913=K1913+1,"   Vorstand",IF(J1913=K1913+2,"   Gäste",IF(J1913=K1913+3,"   Technik (Switches, Access Points)",""))))))</f>
        <v/>
      </c>
      <c r="B1913" s="0" t="str">
        <f aca="false">IF(I1913="","",IF(AND(J1913&gt;=1,J1913&lt;=K1913+3),IF(J1913&lt;=K1913,IF(J1913&lt;=99,IF((INDEX(Eingabe!$G$9:$G$18,I1913))&lt;=9,1000+(INDEX(Eingabe!$G$9:$G$18,I1913))*100,3000)+J1913,IF((INDEX(Eingabe!$G$9:$G$18,I1913)+1)&lt;=9,1000+(INDEX(Eingabe!$G$9:$G$18,I1913)+1)*100,3000)+J1913-100),IF(J1913=K1913+1,2000+INDEX(Eingabe!$G$9:$G$18,I1913)*10+1,IF(J1913=K1913+2,2000+INDEX(Eingabe!$G$9:$G$18,I1913)*10+2,2000+INDEX(Eingabe!$G$9:$G$18,I1913)*10+9))),""))</f>
        <v/>
      </c>
      <c r="C1913" s="0" t="str">
        <f aca="false">IF(I1913="","",IF(AND(J1913&gt;=1,J1913&lt;=K1913+3),"10."&amp;INDEX(Eingabe!$D$9:$D$18,I1913)&amp;"."&amp;IF(J1913&lt;=K1913,J1913,IF(J1913=K1913+1,200,IF(J1913=K1913+2,201,250)))&amp;".0/24",""))</f>
        <v/>
      </c>
      <c r="D1913" s="0" t="str">
        <f aca="false">IF(I1913="","",IF(AND(J1913&gt;=1,J1913&lt;=K1913+3),"255.255.255.0",""))</f>
        <v/>
      </c>
      <c r="E1913" s="0" t="str">
        <f aca="false">IF(I1913="","",IF(AND(J1913&gt;=1,J1913&lt;=K1913+3),"10."&amp;INDEX(Eingabe!$D$9:$D$18,I1913)&amp;"."&amp;IF(J1913&lt;=K1913,J1913,IF(J1913=K1913+1,200,IF(J1913=K1913+2,201,250)))&amp;".1",""))</f>
        <v/>
      </c>
      <c r="F1913" s="0" t="str">
        <f aca="false">IF(I1913="","",IF(AND(J1913&gt;=1,J1913&lt;=K1913+3),"10."&amp;INDEX(Eingabe!$D$9:$D$18,I1913)&amp;"."&amp;IF(J1913&lt;=K1913,J1913,IF(J1913=K1913+1,200,IF(J1913=K1913+2,201,250)))&amp;".10 – 10."&amp;INDEX(Eingabe!$D$9:$D$18,I1913)&amp;"."&amp;IF(J1913&lt;=K1913,J1913,IF(J1913=K1913+1,200,IF(J1913=K1913+2,201,250)))&amp;".250",""))</f>
        <v/>
      </c>
      <c r="G1913" s="0" t="str">
        <f aca="false">IF(I1913="","",IF(AND(J1913&gt;=1,J1913&lt;=K1913),Eingabe!$B$6&amp;"-"&amp;INDEX(Eingabe!$C$9:$C$18,I1913)&amp;"-Pächter  ·  Passwort Parzelle "&amp;J1913,IF(J1913=K1913+1,Eingabe!$B$6&amp;"-"&amp;INDEX(Eingabe!$C$9:$C$18,I1913)&amp;"-Vorstand  ·  eigenes WLAN",IF(J1913=K1913+2,Eingabe!$B$6&amp;"-"&amp;INDEX(Eingabe!$C$9:$C$18,I1913)&amp;"-Gäste  ·  Voucher",IF(J1913=K1913+3,"Kabel  ·  Access Point y = .(50+y), Mast-Switch x = .(10+x)","")))))</f>
        <v/>
      </c>
      <c r="I1913" s="0" t="str">
        <f aca="false">IF(1908&lt;=(Eingabe!$P$18+Eingabe!$Q$18-1),MATCH(1908,Eingabe!$P$9:$P$18,1),"")</f>
        <v/>
      </c>
      <c r="J1913" s="0" t="str">
        <f aca="false">IF(I1913="","",1908-INDEX(Eingabe!$P$9:$P$18,I1913))</f>
        <v/>
      </c>
      <c r="K1913" s="0" t="str">
        <f aca="false">IF(I1913="","",INDEX(Eingabe!$E$9:$E$18,I1913))</f>
        <v/>
      </c>
    </row>
    <row r="1914" customFormat="false" ht="15" hidden="false" customHeight="false" outlineLevel="0" collapsed="false">
      <c r="A1914" s="0" t="str">
        <f aca="false">IF(I1914="","",IF(J1914=0,"Sparte "&amp;I1914&amp;": "&amp;INDEX(Eingabe!$B$9:$B$18,I1914)&amp;"  (Sparten-ID "&amp;INDEX(Eingabe!$D$9:$D$18,I1914)&amp;", "&amp;K1914&amp;" Parzellen)",IF(J1914&lt;=K1914,"   Parzelle "&amp;J1914,IF(J1914=K1914+1,"   Vorstand",IF(J1914=K1914+2,"   Gäste",IF(J1914=K1914+3,"   Technik (Switches, Access Points)",""))))))</f>
        <v/>
      </c>
      <c r="B1914" s="0" t="str">
        <f aca="false">IF(I1914="","",IF(AND(J1914&gt;=1,J1914&lt;=K1914+3),IF(J1914&lt;=K1914,IF(J1914&lt;=99,IF((INDEX(Eingabe!$G$9:$G$18,I1914))&lt;=9,1000+(INDEX(Eingabe!$G$9:$G$18,I1914))*100,3000)+J1914,IF((INDEX(Eingabe!$G$9:$G$18,I1914)+1)&lt;=9,1000+(INDEX(Eingabe!$G$9:$G$18,I1914)+1)*100,3000)+J1914-100),IF(J1914=K1914+1,2000+INDEX(Eingabe!$G$9:$G$18,I1914)*10+1,IF(J1914=K1914+2,2000+INDEX(Eingabe!$G$9:$G$18,I1914)*10+2,2000+INDEX(Eingabe!$G$9:$G$18,I1914)*10+9))),""))</f>
        <v/>
      </c>
      <c r="C1914" s="0" t="str">
        <f aca="false">IF(I1914="","",IF(AND(J1914&gt;=1,J1914&lt;=K1914+3),"10."&amp;INDEX(Eingabe!$D$9:$D$18,I1914)&amp;"."&amp;IF(J1914&lt;=K1914,J1914,IF(J1914=K1914+1,200,IF(J1914=K1914+2,201,250)))&amp;".0/24",""))</f>
        <v/>
      </c>
      <c r="D1914" s="0" t="str">
        <f aca="false">IF(I1914="","",IF(AND(J1914&gt;=1,J1914&lt;=K1914+3),"255.255.255.0",""))</f>
        <v/>
      </c>
      <c r="E1914" s="0" t="str">
        <f aca="false">IF(I1914="","",IF(AND(J1914&gt;=1,J1914&lt;=K1914+3),"10."&amp;INDEX(Eingabe!$D$9:$D$18,I1914)&amp;"."&amp;IF(J1914&lt;=K1914,J1914,IF(J1914=K1914+1,200,IF(J1914=K1914+2,201,250)))&amp;".1",""))</f>
        <v/>
      </c>
      <c r="F1914" s="0" t="str">
        <f aca="false">IF(I1914="","",IF(AND(J1914&gt;=1,J1914&lt;=K1914+3),"10."&amp;INDEX(Eingabe!$D$9:$D$18,I1914)&amp;"."&amp;IF(J1914&lt;=K1914,J1914,IF(J1914=K1914+1,200,IF(J1914=K1914+2,201,250)))&amp;".10 – 10."&amp;INDEX(Eingabe!$D$9:$D$18,I1914)&amp;"."&amp;IF(J1914&lt;=K1914,J1914,IF(J1914=K1914+1,200,IF(J1914=K1914+2,201,250)))&amp;".250",""))</f>
        <v/>
      </c>
      <c r="G1914" s="0" t="str">
        <f aca="false">IF(I1914="","",IF(AND(J1914&gt;=1,J1914&lt;=K1914),Eingabe!$B$6&amp;"-"&amp;INDEX(Eingabe!$C$9:$C$18,I1914)&amp;"-Pächter  ·  Passwort Parzelle "&amp;J1914,IF(J1914=K1914+1,Eingabe!$B$6&amp;"-"&amp;INDEX(Eingabe!$C$9:$C$18,I1914)&amp;"-Vorstand  ·  eigenes WLAN",IF(J1914=K1914+2,Eingabe!$B$6&amp;"-"&amp;INDEX(Eingabe!$C$9:$C$18,I1914)&amp;"-Gäste  ·  Voucher",IF(J1914=K1914+3,"Kabel  ·  Access Point y = .(50+y), Mast-Switch x = .(10+x)","")))))</f>
        <v/>
      </c>
      <c r="I1914" s="0" t="str">
        <f aca="false">IF(1909&lt;=(Eingabe!$P$18+Eingabe!$Q$18-1),MATCH(1909,Eingabe!$P$9:$P$18,1),"")</f>
        <v/>
      </c>
      <c r="J1914" s="0" t="str">
        <f aca="false">IF(I1914="","",1909-INDEX(Eingabe!$P$9:$P$18,I1914))</f>
        <v/>
      </c>
      <c r="K1914" s="0" t="str">
        <f aca="false">IF(I1914="","",INDEX(Eingabe!$E$9:$E$18,I1914))</f>
        <v/>
      </c>
    </row>
    <row r="1915" customFormat="false" ht="15" hidden="false" customHeight="false" outlineLevel="0" collapsed="false">
      <c r="A1915" s="0" t="str">
        <f aca="false">IF(I1915="","",IF(J1915=0,"Sparte "&amp;I1915&amp;": "&amp;INDEX(Eingabe!$B$9:$B$18,I1915)&amp;"  (Sparten-ID "&amp;INDEX(Eingabe!$D$9:$D$18,I1915)&amp;", "&amp;K1915&amp;" Parzellen)",IF(J1915&lt;=K1915,"   Parzelle "&amp;J1915,IF(J1915=K1915+1,"   Vorstand",IF(J1915=K1915+2,"   Gäste",IF(J1915=K1915+3,"   Technik (Switches, Access Points)",""))))))</f>
        <v/>
      </c>
      <c r="B1915" s="0" t="str">
        <f aca="false">IF(I1915="","",IF(AND(J1915&gt;=1,J1915&lt;=K1915+3),IF(J1915&lt;=K1915,IF(J1915&lt;=99,IF((INDEX(Eingabe!$G$9:$G$18,I1915))&lt;=9,1000+(INDEX(Eingabe!$G$9:$G$18,I1915))*100,3000)+J1915,IF((INDEX(Eingabe!$G$9:$G$18,I1915)+1)&lt;=9,1000+(INDEX(Eingabe!$G$9:$G$18,I1915)+1)*100,3000)+J1915-100),IF(J1915=K1915+1,2000+INDEX(Eingabe!$G$9:$G$18,I1915)*10+1,IF(J1915=K1915+2,2000+INDEX(Eingabe!$G$9:$G$18,I1915)*10+2,2000+INDEX(Eingabe!$G$9:$G$18,I1915)*10+9))),""))</f>
        <v/>
      </c>
      <c r="C1915" s="0" t="str">
        <f aca="false">IF(I1915="","",IF(AND(J1915&gt;=1,J1915&lt;=K1915+3),"10."&amp;INDEX(Eingabe!$D$9:$D$18,I1915)&amp;"."&amp;IF(J1915&lt;=K1915,J1915,IF(J1915=K1915+1,200,IF(J1915=K1915+2,201,250)))&amp;".0/24",""))</f>
        <v/>
      </c>
      <c r="D1915" s="0" t="str">
        <f aca="false">IF(I1915="","",IF(AND(J1915&gt;=1,J1915&lt;=K1915+3),"255.255.255.0",""))</f>
        <v/>
      </c>
      <c r="E1915" s="0" t="str">
        <f aca="false">IF(I1915="","",IF(AND(J1915&gt;=1,J1915&lt;=K1915+3),"10."&amp;INDEX(Eingabe!$D$9:$D$18,I1915)&amp;"."&amp;IF(J1915&lt;=K1915,J1915,IF(J1915=K1915+1,200,IF(J1915=K1915+2,201,250)))&amp;".1",""))</f>
        <v/>
      </c>
      <c r="F1915" s="0" t="str">
        <f aca="false">IF(I1915="","",IF(AND(J1915&gt;=1,J1915&lt;=K1915+3),"10."&amp;INDEX(Eingabe!$D$9:$D$18,I1915)&amp;"."&amp;IF(J1915&lt;=K1915,J1915,IF(J1915=K1915+1,200,IF(J1915=K1915+2,201,250)))&amp;".10 – 10."&amp;INDEX(Eingabe!$D$9:$D$18,I1915)&amp;"."&amp;IF(J1915&lt;=K1915,J1915,IF(J1915=K1915+1,200,IF(J1915=K1915+2,201,250)))&amp;".250",""))</f>
        <v/>
      </c>
      <c r="G1915" s="0" t="str">
        <f aca="false">IF(I1915="","",IF(AND(J1915&gt;=1,J1915&lt;=K1915),Eingabe!$B$6&amp;"-"&amp;INDEX(Eingabe!$C$9:$C$18,I1915)&amp;"-Pächter  ·  Passwort Parzelle "&amp;J1915,IF(J1915=K1915+1,Eingabe!$B$6&amp;"-"&amp;INDEX(Eingabe!$C$9:$C$18,I1915)&amp;"-Vorstand  ·  eigenes WLAN",IF(J1915=K1915+2,Eingabe!$B$6&amp;"-"&amp;INDEX(Eingabe!$C$9:$C$18,I1915)&amp;"-Gäste  ·  Voucher",IF(J1915=K1915+3,"Kabel  ·  Access Point y = .(50+y), Mast-Switch x = .(10+x)","")))))</f>
        <v/>
      </c>
      <c r="I1915" s="0" t="str">
        <f aca="false">IF(1910&lt;=(Eingabe!$P$18+Eingabe!$Q$18-1),MATCH(1910,Eingabe!$P$9:$P$18,1),"")</f>
        <v/>
      </c>
      <c r="J1915" s="0" t="str">
        <f aca="false">IF(I1915="","",1910-INDEX(Eingabe!$P$9:$P$18,I1915))</f>
        <v/>
      </c>
      <c r="K1915" s="0" t="str">
        <f aca="false">IF(I1915="","",INDEX(Eingabe!$E$9:$E$18,I1915))</f>
        <v/>
      </c>
    </row>
    <row r="1916" customFormat="false" ht="15" hidden="false" customHeight="false" outlineLevel="0" collapsed="false">
      <c r="A1916" s="0" t="str">
        <f aca="false">IF(I1916="","",IF(J1916=0,"Sparte "&amp;I1916&amp;": "&amp;INDEX(Eingabe!$B$9:$B$18,I1916)&amp;"  (Sparten-ID "&amp;INDEX(Eingabe!$D$9:$D$18,I1916)&amp;", "&amp;K1916&amp;" Parzellen)",IF(J1916&lt;=K1916,"   Parzelle "&amp;J1916,IF(J1916=K1916+1,"   Vorstand",IF(J1916=K1916+2,"   Gäste",IF(J1916=K1916+3,"   Technik (Switches, Access Points)",""))))))</f>
        <v/>
      </c>
      <c r="B1916" s="0" t="str">
        <f aca="false">IF(I1916="","",IF(AND(J1916&gt;=1,J1916&lt;=K1916+3),IF(J1916&lt;=K1916,IF(J1916&lt;=99,IF((INDEX(Eingabe!$G$9:$G$18,I1916))&lt;=9,1000+(INDEX(Eingabe!$G$9:$G$18,I1916))*100,3000)+J1916,IF((INDEX(Eingabe!$G$9:$G$18,I1916)+1)&lt;=9,1000+(INDEX(Eingabe!$G$9:$G$18,I1916)+1)*100,3000)+J1916-100),IF(J1916=K1916+1,2000+INDEX(Eingabe!$G$9:$G$18,I1916)*10+1,IF(J1916=K1916+2,2000+INDEX(Eingabe!$G$9:$G$18,I1916)*10+2,2000+INDEX(Eingabe!$G$9:$G$18,I1916)*10+9))),""))</f>
        <v/>
      </c>
      <c r="C1916" s="0" t="str">
        <f aca="false">IF(I1916="","",IF(AND(J1916&gt;=1,J1916&lt;=K1916+3),"10."&amp;INDEX(Eingabe!$D$9:$D$18,I1916)&amp;"."&amp;IF(J1916&lt;=K1916,J1916,IF(J1916=K1916+1,200,IF(J1916=K1916+2,201,250)))&amp;".0/24",""))</f>
        <v/>
      </c>
      <c r="D1916" s="0" t="str">
        <f aca="false">IF(I1916="","",IF(AND(J1916&gt;=1,J1916&lt;=K1916+3),"255.255.255.0",""))</f>
        <v/>
      </c>
      <c r="E1916" s="0" t="str">
        <f aca="false">IF(I1916="","",IF(AND(J1916&gt;=1,J1916&lt;=K1916+3),"10."&amp;INDEX(Eingabe!$D$9:$D$18,I1916)&amp;"."&amp;IF(J1916&lt;=K1916,J1916,IF(J1916=K1916+1,200,IF(J1916=K1916+2,201,250)))&amp;".1",""))</f>
        <v/>
      </c>
      <c r="F1916" s="0" t="str">
        <f aca="false">IF(I1916="","",IF(AND(J1916&gt;=1,J1916&lt;=K1916+3),"10."&amp;INDEX(Eingabe!$D$9:$D$18,I1916)&amp;"."&amp;IF(J1916&lt;=K1916,J1916,IF(J1916=K1916+1,200,IF(J1916=K1916+2,201,250)))&amp;".10 – 10."&amp;INDEX(Eingabe!$D$9:$D$18,I1916)&amp;"."&amp;IF(J1916&lt;=K1916,J1916,IF(J1916=K1916+1,200,IF(J1916=K1916+2,201,250)))&amp;".250",""))</f>
        <v/>
      </c>
      <c r="G1916" s="0" t="str">
        <f aca="false">IF(I1916="","",IF(AND(J1916&gt;=1,J1916&lt;=K1916),Eingabe!$B$6&amp;"-"&amp;INDEX(Eingabe!$C$9:$C$18,I1916)&amp;"-Pächter  ·  Passwort Parzelle "&amp;J1916,IF(J1916=K1916+1,Eingabe!$B$6&amp;"-"&amp;INDEX(Eingabe!$C$9:$C$18,I1916)&amp;"-Vorstand  ·  eigenes WLAN",IF(J1916=K1916+2,Eingabe!$B$6&amp;"-"&amp;INDEX(Eingabe!$C$9:$C$18,I1916)&amp;"-Gäste  ·  Voucher",IF(J1916=K1916+3,"Kabel  ·  Access Point y = .(50+y), Mast-Switch x = .(10+x)","")))))</f>
        <v/>
      </c>
      <c r="I1916" s="0" t="str">
        <f aca="false">IF(1911&lt;=(Eingabe!$P$18+Eingabe!$Q$18-1),MATCH(1911,Eingabe!$P$9:$P$18,1),"")</f>
        <v/>
      </c>
      <c r="J1916" s="0" t="str">
        <f aca="false">IF(I1916="","",1911-INDEX(Eingabe!$P$9:$P$18,I1916))</f>
        <v/>
      </c>
      <c r="K1916" s="0" t="str">
        <f aca="false">IF(I1916="","",INDEX(Eingabe!$E$9:$E$18,I1916))</f>
        <v/>
      </c>
    </row>
    <row r="1917" customFormat="false" ht="15" hidden="false" customHeight="false" outlineLevel="0" collapsed="false">
      <c r="A1917" s="0" t="str">
        <f aca="false">IF(I1917="","",IF(J1917=0,"Sparte "&amp;I1917&amp;": "&amp;INDEX(Eingabe!$B$9:$B$18,I1917)&amp;"  (Sparten-ID "&amp;INDEX(Eingabe!$D$9:$D$18,I1917)&amp;", "&amp;K1917&amp;" Parzellen)",IF(J1917&lt;=K1917,"   Parzelle "&amp;J1917,IF(J1917=K1917+1,"   Vorstand",IF(J1917=K1917+2,"   Gäste",IF(J1917=K1917+3,"   Technik (Switches, Access Points)",""))))))</f>
        <v/>
      </c>
      <c r="B1917" s="0" t="str">
        <f aca="false">IF(I1917="","",IF(AND(J1917&gt;=1,J1917&lt;=K1917+3),IF(J1917&lt;=K1917,IF(J1917&lt;=99,IF((INDEX(Eingabe!$G$9:$G$18,I1917))&lt;=9,1000+(INDEX(Eingabe!$G$9:$G$18,I1917))*100,3000)+J1917,IF((INDEX(Eingabe!$G$9:$G$18,I1917)+1)&lt;=9,1000+(INDEX(Eingabe!$G$9:$G$18,I1917)+1)*100,3000)+J1917-100),IF(J1917=K1917+1,2000+INDEX(Eingabe!$G$9:$G$18,I1917)*10+1,IF(J1917=K1917+2,2000+INDEX(Eingabe!$G$9:$G$18,I1917)*10+2,2000+INDEX(Eingabe!$G$9:$G$18,I1917)*10+9))),""))</f>
        <v/>
      </c>
      <c r="C1917" s="0" t="str">
        <f aca="false">IF(I1917="","",IF(AND(J1917&gt;=1,J1917&lt;=K1917+3),"10."&amp;INDEX(Eingabe!$D$9:$D$18,I1917)&amp;"."&amp;IF(J1917&lt;=K1917,J1917,IF(J1917=K1917+1,200,IF(J1917=K1917+2,201,250)))&amp;".0/24",""))</f>
        <v/>
      </c>
      <c r="D1917" s="0" t="str">
        <f aca="false">IF(I1917="","",IF(AND(J1917&gt;=1,J1917&lt;=K1917+3),"255.255.255.0",""))</f>
        <v/>
      </c>
      <c r="E1917" s="0" t="str">
        <f aca="false">IF(I1917="","",IF(AND(J1917&gt;=1,J1917&lt;=K1917+3),"10."&amp;INDEX(Eingabe!$D$9:$D$18,I1917)&amp;"."&amp;IF(J1917&lt;=K1917,J1917,IF(J1917=K1917+1,200,IF(J1917=K1917+2,201,250)))&amp;".1",""))</f>
        <v/>
      </c>
      <c r="F1917" s="0" t="str">
        <f aca="false">IF(I1917="","",IF(AND(J1917&gt;=1,J1917&lt;=K1917+3),"10."&amp;INDEX(Eingabe!$D$9:$D$18,I1917)&amp;"."&amp;IF(J1917&lt;=K1917,J1917,IF(J1917=K1917+1,200,IF(J1917=K1917+2,201,250)))&amp;".10 – 10."&amp;INDEX(Eingabe!$D$9:$D$18,I1917)&amp;"."&amp;IF(J1917&lt;=K1917,J1917,IF(J1917=K1917+1,200,IF(J1917=K1917+2,201,250)))&amp;".250",""))</f>
        <v/>
      </c>
      <c r="G1917" s="0" t="str">
        <f aca="false">IF(I1917="","",IF(AND(J1917&gt;=1,J1917&lt;=K1917),Eingabe!$B$6&amp;"-"&amp;INDEX(Eingabe!$C$9:$C$18,I1917)&amp;"-Pächter  ·  Passwort Parzelle "&amp;J1917,IF(J1917=K1917+1,Eingabe!$B$6&amp;"-"&amp;INDEX(Eingabe!$C$9:$C$18,I1917)&amp;"-Vorstand  ·  eigenes WLAN",IF(J1917=K1917+2,Eingabe!$B$6&amp;"-"&amp;INDEX(Eingabe!$C$9:$C$18,I1917)&amp;"-Gäste  ·  Voucher",IF(J1917=K1917+3,"Kabel  ·  Access Point y = .(50+y), Mast-Switch x = .(10+x)","")))))</f>
        <v/>
      </c>
      <c r="I1917" s="0" t="str">
        <f aca="false">IF(1912&lt;=(Eingabe!$P$18+Eingabe!$Q$18-1),MATCH(1912,Eingabe!$P$9:$P$18,1),"")</f>
        <v/>
      </c>
      <c r="J1917" s="0" t="str">
        <f aca="false">IF(I1917="","",1912-INDEX(Eingabe!$P$9:$P$18,I1917))</f>
        <v/>
      </c>
      <c r="K1917" s="0" t="str">
        <f aca="false">IF(I1917="","",INDEX(Eingabe!$E$9:$E$18,I1917))</f>
        <v/>
      </c>
    </row>
    <row r="1918" customFormat="false" ht="15" hidden="false" customHeight="false" outlineLevel="0" collapsed="false">
      <c r="A1918" s="0" t="str">
        <f aca="false">IF(I1918="","",IF(J1918=0,"Sparte "&amp;I1918&amp;": "&amp;INDEX(Eingabe!$B$9:$B$18,I1918)&amp;"  (Sparten-ID "&amp;INDEX(Eingabe!$D$9:$D$18,I1918)&amp;", "&amp;K1918&amp;" Parzellen)",IF(J1918&lt;=K1918,"   Parzelle "&amp;J1918,IF(J1918=K1918+1,"   Vorstand",IF(J1918=K1918+2,"   Gäste",IF(J1918=K1918+3,"   Technik (Switches, Access Points)",""))))))</f>
        <v/>
      </c>
      <c r="B1918" s="0" t="str">
        <f aca="false">IF(I1918="","",IF(AND(J1918&gt;=1,J1918&lt;=K1918+3),IF(J1918&lt;=K1918,IF(J1918&lt;=99,IF((INDEX(Eingabe!$G$9:$G$18,I1918))&lt;=9,1000+(INDEX(Eingabe!$G$9:$G$18,I1918))*100,3000)+J1918,IF((INDEX(Eingabe!$G$9:$G$18,I1918)+1)&lt;=9,1000+(INDEX(Eingabe!$G$9:$G$18,I1918)+1)*100,3000)+J1918-100),IF(J1918=K1918+1,2000+INDEX(Eingabe!$G$9:$G$18,I1918)*10+1,IF(J1918=K1918+2,2000+INDEX(Eingabe!$G$9:$G$18,I1918)*10+2,2000+INDEX(Eingabe!$G$9:$G$18,I1918)*10+9))),""))</f>
        <v/>
      </c>
      <c r="C1918" s="0" t="str">
        <f aca="false">IF(I1918="","",IF(AND(J1918&gt;=1,J1918&lt;=K1918+3),"10."&amp;INDEX(Eingabe!$D$9:$D$18,I1918)&amp;"."&amp;IF(J1918&lt;=K1918,J1918,IF(J1918=K1918+1,200,IF(J1918=K1918+2,201,250)))&amp;".0/24",""))</f>
        <v/>
      </c>
      <c r="D1918" s="0" t="str">
        <f aca="false">IF(I1918="","",IF(AND(J1918&gt;=1,J1918&lt;=K1918+3),"255.255.255.0",""))</f>
        <v/>
      </c>
      <c r="E1918" s="0" t="str">
        <f aca="false">IF(I1918="","",IF(AND(J1918&gt;=1,J1918&lt;=K1918+3),"10."&amp;INDEX(Eingabe!$D$9:$D$18,I1918)&amp;"."&amp;IF(J1918&lt;=K1918,J1918,IF(J1918=K1918+1,200,IF(J1918=K1918+2,201,250)))&amp;".1",""))</f>
        <v/>
      </c>
      <c r="F1918" s="0" t="str">
        <f aca="false">IF(I1918="","",IF(AND(J1918&gt;=1,J1918&lt;=K1918+3),"10."&amp;INDEX(Eingabe!$D$9:$D$18,I1918)&amp;"."&amp;IF(J1918&lt;=K1918,J1918,IF(J1918=K1918+1,200,IF(J1918=K1918+2,201,250)))&amp;".10 – 10."&amp;INDEX(Eingabe!$D$9:$D$18,I1918)&amp;"."&amp;IF(J1918&lt;=K1918,J1918,IF(J1918=K1918+1,200,IF(J1918=K1918+2,201,250)))&amp;".250",""))</f>
        <v/>
      </c>
      <c r="G1918" s="0" t="str">
        <f aca="false">IF(I1918="","",IF(AND(J1918&gt;=1,J1918&lt;=K1918),Eingabe!$B$6&amp;"-"&amp;INDEX(Eingabe!$C$9:$C$18,I1918)&amp;"-Pächter  ·  Passwort Parzelle "&amp;J1918,IF(J1918=K1918+1,Eingabe!$B$6&amp;"-"&amp;INDEX(Eingabe!$C$9:$C$18,I1918)&amp;"-Vorstand  ·  eigenes WLAN",IF(J1918=K1918+2,Eingabe!$B$6&amp;"-"&amp;INDEX(Eingabe!$C$9:$C$18,I1918)&amp;"-Gäste  ·  Voucher",IF(J1918=K1918+3,"Kabel  ·  Access Point y = .(50+y), Mast-Switch x = .(10+x)","")))))</f>
        <v/>
      </c>
      <c r="I1918" s="0" t="str">
        <f aca="false">IF(1913&lt;=(Eingabe!$P$18+Eingabe!$Q$18-1),MATCH(1913,Eingabe!$P$9:$P$18,1),"")</f>
        <v/>
      </c>
      <c r="J1918" s="0" t="str">
        <f aca="false">IF(I1918="","",1913-INDEX(Eingabe!$P$9:$P$18,I1918))</f>
        <v/>
      </c>
      <c r="K1918" s="0" t="str">
        <f aca="false">IF(I1918="","",INDEX(Eingabe!$E$9:$E$18,I1918))</f>
        <v/>
      </c>
    </row>
    <row r="1919" customFormat="false" ht="15" hidden="false" customHeight="false" outlineLevel="0" collapsed="false">
      <c r="A1919" s="0" t="str">
        <f aca="false">IF(I1919="","",IF(J1919=0,"Sparte "&amp;I1919&amp;": "&amp;INDEX(Eingabe!$B$9:$B$18,I1919)&amp;"  (Sparten-ID "&amp;INDEX(Eingabe!$D$9:$D$18,I1919)&amp;", "&amp;K1919&amp;" Parzellen)",IF(J1919&lt;=K1919,"   Parzelle "&amp;J1919,IF(J1919=K1919+1,"   Vorstand",IF(J1919=K1919+2,"   Gäste",IF(J1919=K1919+3,"   Technik (Switches, Access Points)",""))))))</f>
        <v/>
      </c>
      <c r="B1919" s="0" t="str">
        <f aca="false">IF(I1919="","",IF(AND(J1919&gt;=1,J1919&lt;=K1919+3),IF(J1919&lt;=K1919,IF(J1919&lt;=99,IF((INDEX(Eingabe!$G$9:$G$18,I1919))&lt;=9,1000+(INDEX(Eingabe!$G$9:$G$18,I1919))*100,3000)+J1919,IF((INDEX(Eingabe!$G$9:$G$18,I1919)+1)&lt;=9,1000+(INDEX(Eingabe!$G$9:$G$18,I1919)+1)*100,3000)+J1919-100),IF(J1919=K1919+1,2000+INDEX(Eingabe!$G$9:$G$18,I1919)*10+1,IF(J1919=K1919+2,2000+INDEX(Eingabe!$G$9:$G$18,I1919)*10+2,2000+INDEX(Eingabe!$G$9:$G$18,I1919)*10+9))),""))</f>
        <v/>
      </c>
      <c r="C1919" s="0" t="str">
        <f aca="false">IF(I1919="","",IF(AND(J1919&gt;=1,J1919&lt;=K1919+3),"10."&amp;INDEX(Eingabe!$D$9:$D$18,I1919)&amp;"."&amp;IF(J1919&lt;=K1919,J1919,IF(J1919=K1919+1,200,IF(J1919=K1919+2,201,250)))&amp;".0/24",""))</f>
        <v/>
      </c>
      <c r="D1919" s="0" t="str">
        <f aca="false">IF(I1919="","",IF(AND(J1919&gt;=1,J1919&lt;=K1919+3),"255.255.255.0",""))</f>
        <v/>
      </c>
      <c r="E1919" s="0" t="str">
        <f aca="false">IF(I1919="","",IF(AND(J1919&gt;=1,J1919&lt;=K1919+3),"10."&amp;INDEX(Eingabe!$D$9:$D$18,I1919)&amp;"."&amp;IF(J1919&lt;=K1919,J1919,IF(J1919=K1919+1,200,IF(J1919=K1919+2,201,250)))&amp;".1",""))</f>
        <v/>
      </c>
      <c r="F1919" s="0" t="str">
        <f aca="false">IF(I1919="","",IF(AND(J1919&gt;=1,J1919&lt;=K1919+3),"10."&amp;INDEX(Eingabe!$D$9:$D$18,I1919)&amp;"."&amp;IF(J1919&lt;=K1919,J1919,IF(J1919=K1919+1,200,IF(J1919=K1919+2,201,250)))&amp;".10 – 10."&amp;INDEX(Eingabe!$D$9:$D$18,I1919)&amp;"."&amp;IF(J1919&lt;=K1919,J1919,IF(J1919=K1919+1,200,IF(J1919=K1919+2,201,250)))&amp;".250",""))</f>
        <v/>
      </c>
      <c r="G1919" s="0" t="str">
        <f aca="false">IF(I1919="","",IF(AND(J1919&gt;=1,J1919&lt;=K1919),Eingabe!$B$6&amp;"-"&amp;INDEX(Eingabe!$C$9:$C$18,I1919)&amp;"-Pächter  ·  Passwort Parzelle "&amp;J1919,IF(J1919=K1919+1,Eingabe!$B$6&amp;"-"&amp;INDEX(Eingabe!$C$9:$C$18,I1919)&amp;"-Vorstand  ·  eigenes WLAN",IF(J1919=K1919+2,Eingabe!$B$6&amp;"-"&amp;INDEX(Eingabe!$C$9:$C$18,I1919)&amp;"-Gäste  ·  Voucher",IF(J1919=K1919+3,"Kabel  ·  Access Point y = .(50+y), Mast-Switch x = .(10+x)","")))))</f>
        <v/>
      </c>
      <c r="I1919" s="0" t="str">
        <f aca="false">IF(1914&lt;=(Eingabe!$P$18+Eingabe!$Q$18-1),MATCH(1914,Eingabe!$P$9:$P$18,1),"")</f>
        <v/>
      </c>
      <c r="J1919" s="0" t="str">
        <f aca="false">IF(I1919="","",1914-INDEX(Eingabe!$P$9:$P$18,I1919))</f>
        <v/>
      </c>
      <c r="K1919" s="0" t="str">
        <f aca="false">IF(I1919="","",INDEX(Eingabe!$E$9:$E$18,I1919))</f>
        <v/>
      </c>
    </row>
    <row r="1920" customFormat="false" ht="15" hidden="false" customHeight="false" outlineLevel="0" collapsed="false">
      <c r="A1920" s="0" t="str">
        <f aca="false">IF(I1920="","",IF(J1920=0,"Sparte "&amp;I1920&amp;": "&amp;INDEX(Eingabe!$B$9:$B$18,I1920)&amp;"  (Sparten-ID "&amp;INDEX(Eingabe!$D$9:$D$18,I1920)&amp;", "&amp;K1920&amp;" Parzellen)",IF(J1920&lt;=K1920,"   Parzelle "&amp;J1920,IF(J1920=K1920+1,"   Vorstand",IF(J1920=K1920+2,"   Gäste",IF(J1920=K1920+3,"   Technik (Switches, Access Points)",""))))))</f>
        <v/>
      </c>
      <c r="B1920" s="0" t="str">
        <f aca="false">IF(I1920="","",IF(AND(J1920&gt;=1,J1920&lt;=K1920+3),IF(J1920&lt;=K1920,IF(J1920&lt;=99,IF((INDEX(Eingabe!$G$9:$G$18,I1920))&lt;=9,1000+(INDEX(Eingabe!$G$9:$G$18,I1920))*100,3000)+J1920,IF((INDEX(Eingabe!$G$9:$G$18,I1920)+1)&lt;=9,1000+(INDEX(Eingabe!$G$9:$G$18,I1920)+1)*100,3000)+J1920-100),IF(J1920=K1920+1,2000+INDEX(Eingabe!$G$9:$G$18,I1920)*10+1,IF(J1920=K1920+2,2000+INDEX(Eingabe!$G$9:$G$18,I1920)*10+2,2000+INDEX(Eingabe!$G$9:$G$18,I1920)*10+9))),""))</f>
        <v/>
      </c>
      <c r="C1920" s="0" t="str">
        <f aca="false">IF(I1920="","",IF(AND(J1920&gt;=1,J1920&lt;=K1920+3),"10."&amp;INDEX(Eingabe!$D$9:$D$18,I1920)&amp;"."&amp;IF(J1920&lt;=K1920,J1920,IF(J1920=K1920+1,200,IF(J1920=K1920+2,201,250)))&amp;".0/24",""))</f>
        <v/>
      </c>
      <c r="D1920" s="0" t="str">
        <f aca="false">IF(I1920="","",IF(AND(J1920&gt;=1,J1920&lt;=K1920+3),"255.255.255.0",""))</f>
        <v/>
      </c>
      <c r="E1920" s="0" t="str">
        <f aca="false">IF(I1920="","",IF(AND(J1920&gt;=1,J1920&lt;=K1920+3),"10."&amp;INDEX(Eingabe!$D$9:$D$18,I1920)&amp;"."&amp;IF(J1920&lt;=K1920,J1920,IF(J1920=K1920+1,200,IF(J1920=K1920+2,201,250)))&amp;".1",""))</f>
        <v/>
      </c>
      <c r="F1920" s="0" t="str">
        <f aca="false">IF(I1920="","",IF(AND(J1920&gt;=1,J1920&lt;=K1920+3),"10."&amp;INDEX(Eingabe!$D$9:$D$18,I1920)&amp;"."&amp;IF(J1920&lt;=K1920,J1920,IF(J1920=K1920+1,200,IF(J1920=K1920+2,201,250)))&amp;".10 – 10."&amp;INDEX(Eingabe!$D$9:$D$18,I1920)&amp;"."&amp;IF(J1920&lt;=K1920,J1920,IF(J1920=K1920+1,200,IF(J1920=K1920+2,201,250)))&amp;".250",""))</f>
        <v/>
      </c>
      <c r="G1920" s="0" t="str">
        <f aca="false">IF(I1920="","",IF(AND(J1920&gt;=1,J1920&lt;=K1920),Eingabe!$B$6&amp;"-"&amp;INDEX(Eingabe!$C$9:$C$18,I1920)&amp;"-Pächter  ·  Passwort Parzelle "&amp;J1920,IF(J1920=K1920+1,Eingabe!$B$6&amp;"-"&amp;INDEX(Eingabe!$C$9:$C$18,I1920)&amp;"-Vorstand  ·  eigenes WLAN",IF(J1920=K1920+2,Eingabe!$B$6&amp;"-"&amp;INDEX(Eingabe!$C$9:$C$18,I1920)&amp;"-Gäste  ·  Voucher",IF(J1920=K1920+3,"Kabel  ·  Access Point y = .(50+y), Mast-Switch x = .(10+x)","")))))</f>
        <v/>
      </c>
      <c r="I1920" s="0" t="str">
        <f aca="false">IF(1915&lt;=(Eingabe!$P$18+Eingabe!$Q$18-1),MATCH(1915,Eingabe!$P$9:$P$18,1),"")</f>
        <v/>
      </c>
      <c r="J1920" s="0" t="str">
        <f aca="false">IF(I1920="","",1915-INDEX(Eingabe!$P$9:$P$18,I1920))</f>
        <v/>
      </c>
      <c r="K1920" s="0" t="str">
        <f aca="false">IF(I1920="","",INDEX(Eingabe!$E$9:$E$18,I1920))</f>
        <v/>
      </c>
    </row>
    <row r="1921" customFormat="false" ht="15" hidden="false" customHeight="false" outlineLevel="0" collapsed="false">
      <c r="A1921" s="0" t="str">
        <f aca="false">IF(I1921="","",IF(J1921=0,"Sparte "&amp;I1921&amp;": "&amp;INDEX(Eingabe!$B$9:$B$18,I1921)&amp;"  (Sparten-ID "&amp;INDEX(Eingabe!$D$9:$D$18,I1921)&amp;", "&amp;K1921&amp;" Parzellen)",IF(J1921&lt;=K1921,"   Parzelle "&amp;J1921,IF(J1921=K1921+1,"   Vorstand",IF(J1921=K1921+2,"   Gäste",IF(J1921=K1921+3,"   Technik (Switches, Access Points)",""))))))</f>
        <v/>
      </c>
      <c r="B1921" s="0" t="str">
        <f aca="false">IF(I1921="","",IF(AND(J1921&gt;=1,J1921&lt;=K1921+3),IF(J1921&lt;=K1921,IF(J1921&lt;=99,IF((INDEX(Eingabe!$G$9:$G$18,I1921))&lt;=9,1000+(INDEX(Eingabe!$G$9:$G$18,I1921))*100,3000)+J1921,IF((INDEX(Eingabe!$G$9:$G$18,I1921)+1)&lt;=9,1000+(INDEX(Eingabe!$G$9:$G$18,I1921)+1)*100,3000)+J1921-100),IF(J1921=K1921+1,2000+INDEX(Eingabe!$G$9:$G$18,I1921)*10+1,IF(J1921=K1921+2,2000+INDEX(Eingabe!$G$9:$G$18,I1921)*10+2,2000+INDEX(Eingabe!$G$9:$G$18,I1921)*10+9))),""))</f>
        <v/>
      </c>
      <c r="C1921" s="0" t="str">
        <f aca="false">IF(I1921="","",IF(AND(J1921&gt;=1,J1921&lt;=K1921+3),"10."&amp;INDEX(Eingabe!$D$9:$D$18,I1921)&amp;"."&amp;IF(J1921&lt;=K1921,J1921,IF(J1921=K1921+1,200,IF(J1921=K1921+2,201,250)))&amp;".0/24",""))</f>
        <v/>
      </c>
      <c r="D1921" s="0" t="str">
        <f aca="false">IF(I1921="","",IF(AND(J1921&gt;=1,J1921&lt;=K1921+3),"255.255.255.0",""))</f>
        <v/>
      </c>
      <c r="E1921" s="0" t="str">
        <f aca="false">IF(I1921="","",IF(AND(J1921&gt;=1,J1921&lt;=K1921+3),"10."&amp;INDEX(Eingabe!$D$9:$D$18,I1921)&amp;"."&amp;IF(J1921&lt;=K1921,J1921,IF(J1921=K1921+1,200,IF(J1921=K1921+2,201,250)))&amp;".1",""))</f>
        <v/>
      </c>
      <c r="F1921" s="0" t="str">
        <f aca="false">IF(I1921="","",IF(AND(J1921&gt;=1,J1921&lt;=K1921+3),"10."&amp;INDEX(Eingabe!$D$9:$D$18,I1921)&amp;"."&amp;IF(J1921&lt;=K1921,J1921,IF(J1921=K1921+1,200,IF(J1921=K1921+2,201,250)))&amp;".10 – 10."&amp;INDEX(Eingabe!$D$9:$D$18,I1921)&amp;"."&amp;IF(J1921&lt;=K1921,J1921,IF(J1921=K1921+1,200,IF(J1921=K1921+2,201,250)))&amp;".250",""))</f>
        <v/>
      </c>
      <c r="G1921" s="0" t="str">
        <f aca="false">IF(I1921="","",IF(AND(J1921&gt;=1,J1921&lt;=K1921),Eingabe!$B$6&amp;"-"&amp;INDEX(Eingabe!$C$9:$C$18,I1921)&amp;"-Pächter  ·  Passwort Parzelle "&amp;J1921,IF(J1921=K1921+1,Eingabe!$B$6&amp;"-"&amp;INDEX(Eingabe!$C$9:$C$18,I1921)&amp;"-Vorstand  ·  eigenes WLAN",IF(J1921=K1921+2,Eingabe!$B$6&amp;"-"&amp;INDEX(Eingabe!$C$9:$C$18,I1921)&amp;"-Gäste  ·  Voucher",IF(J1921=K1921+3,"Kabel  ·  Access Point y = .(50+y), Mast-Switch x = .(10+x)","")))))</f>
        <v/>
      </c>
      <c r="I1921" s="0" t="str">
        <f aca="false">IF(1916&lt;=(Eingabe!$P$18+Eingabe!$Q$18-1),MATCH(1916,Eingabe!$P$9:$P$18,1),"")</f>
        <v/>
      </c>
      <c r="J1921" s="0" t="str">
        <f aca="false">IF(I1921="","",1916-INDEX(Eingabe!$P$9:$P$18,I1921))</f>
        <v/>
      </c>
      <c r="K1921" s="0" t="str">
        <f aca="false">IF(I1921="","",INDEX(Eingabe!$E$9:$E$18,I1921))</f>
        <v/>
      </c>
    </row>
    <row r="1922" customFormat="false" ht="15" hidden="false" customHeight="false" outlineLevel="0" collapsed="false">
      <c r="A1922" s="0" t="str">
        <f aca="false">IF(I1922="","",IF(J1922=0,"Sparte "&amp;I1922&amp;": "&amp;INDEX(Eingabe!$B$9:$B$18,I1922)&amp;"  (Sparten-ID "&amp;INDEX(Eingabe!$D$9:$D$18,I1922)&amp;", "&amp;K1922&amp;" Parzellen)",IF(J1922&lt;=K1922,"   Parzelle "&amp;J1922,IF(J1922=K1922+1,"   Vorstand",IF(J1922=K1922+2,"   Gäste",IF(J1922=K1922+3,"   Technik (Switches, Access Points)",""))))))</f>
        <v/>
      </c>
      <c r="B1922" s="0" t="str">
        <f aca="false">IF(I1922="","",IF(AND(J1922&gt;=1,J1922&lt;=K1922+3),IF(J1922&lt;=K1922,IF(J1922&lt;=99,IF((INDEX(Eingabe!$G$9:$G$18,I1922))&lt;=9,1000+(INDEX(Eingabe!$G$9:$G$18,I1922))*100,3000)+J1922,IF((INDEX(Eingabe!$G$9:$G$18,I1922)+1)&lt;=9,1000+(INDEX(Eingabe!$G$9:$G$18,I1922)+1)*100,3000)+J1922-100),IF(J1922=K1922+1,2000+INDEX(Eingabe!$G$9:$G$18,I1922)*10+1,IF(J1922=K1922+2,2000+INDEX(Eingabe!$G$9:$G$18,I1922)*10+2,2000+INDEX(Eingabe!$G$9:$G$18,I1922)*10+9))),""))</f>
        <v/>
      </c>
      <c r="C1922" s="0" t="str">
        <f aca="false">IF(I1922="","",IF(AND(J1922&gt;=1,J1922&lt;=K1922+3),"10."&amp;INDEX(Eingabe!$D$9:$D$18,I1922)&amp;"."&amp;IF(J1922&lt;=K1922,J1922,IF(J1922=K1922+1,200,IF(J1922=K1922+2,201,250)))&amp;".0/24",""))</f>
        <v/>
      </c>
      <c r="D1922" s="0" t="str">
        <f aca="false">IF(I1922="","",IF(AND(J1922&gt;=1,J1922&lt;=K1922+3),"255.255.255.0",""))</f>
        <v/>
      </c>
      <c r="E1922" s="0" t="str">
        <f aca="false">IF(I1922="","",IF(AND(J1922&gt;=1,J1922&lt;=K1922+3),"10."&amp;INDEX(Eingabe!$D$9:$D$18,I1922)&amp;"."&amp;IF(J1922&lt;=K1922,J1922,IF(J1922=K1922+1,200,IF(J1922=K1922+2,201,250)))&amp;".1",""))</f>
        <v/>
      </c>
      <c r="F1922" s="0" t="str">
        <f aca="false">IF(I1922="","",IF(AND(J1922&gt;=1,J1922&lt;=K1922+3),"10."&amp;INDEX(Eingabe!$D$9:$D$18,I1922)&amp;"."&amp;IF(J1922&lt;=K1922,J1922,IF(J1922=K1922+1,200,IF(J1922=K1922+2,201,250)))&amp;".10 – 10."&amp;INDEX(Eingabe!$D$9:$D$18,I1922)&amp;"."&amp;IF(J1922&lt;=K1922,J1922,IF(J1922=K1922+1,200,IF(J1922=K1922+2,201,250)))&amp;".250",""))</f>
        <v/>
      </c>
      <c r="G1922" s="0" t="str">
        <f aca="false">IF(I1922="","",IF(AND(J1922&gt;=1,J1922&lt;=K1922),Eingabe!$B$6&amp;"-"&amp;INDEX(Eingabe!$C$9:$C$18,I1922)&amp;"-Pächter  ·  Passwort Parzelle "&amp;J1922,IF(J1922=K1922+1,Eingabe!$B$6&amp;"-"&amp;INDEX(Eingabe!$C$9:$C$18,I1922)&amp;"-Vorstand  ·  eigenes WLAN",IF(J1922=K1922+2,Eingabe!$B$6&amp;"-"&amp;INDEX(Eingabe!$C$9:$C$18,I1922)&amp;"-Gäste  ·  Voucher",IF(J1922=K1922+3,"Kabel  ·  Access Point y = .(50+y), Mast-Switch x = .(10+x)","")))))</f>
        <v/>
      </c>
      <c r="I1922" s="0" t="str">
        <f aca="false">IF(1917&lt;=(Eingabe!$P$18+Eingabe!$Q$18-1),MATCH(1917,Eingabe!$P$9:$P$18,1),"")</f>
        <v/>
      </c>
      <c r="J1922" s="0" t="str">
        <f aca="false">IF(I1922="","",1917-INDEX(Eingabe!$P$9:$P$18,I1922))</f>
        <v/>
      </c>
      <c r="K1922" s="0" t="str">
        <f aca="false">IF(I1922="","",INDEX(Eingabe!$E$9:$E$18,I1922))</f>
        <v/>
      </c>
    </row>
    <row r="1923" customFormat="false" ht="15" hidden="false" customHeight="false" outlineLevel="0" collapsed="false">
      <c r="A1923" s="0" t="str">
        <f aca="false">IF(I1923="","",IF(J1923=0,"Sparte "&amp;I1923&amp;": "&amp;INDEX(Eingabe!$B$9:$B$18,I1923)&amp;"  (Sparten-ID "&amp;INDEX(Eingabe!$D$9:$D$18,I1923)&amp;", "&amp;K1923&amp;" Parzellen)",IF(J1923&lt;=K1923,"   Parzelle "&amp;J1923,IF(J1923=K1923+1,"   Vorstand",IF(J1923=K1923+2,"   Gäste",IF(J1923=K1923+3,"   Technik (Switches, Access Points)",""))))))</f>
        <v/>
      </c>
      <c r="B1923" s="0" t="str">
        <f aca="false">IF(I1923="","",IF(AND(J1923&gt;=1,J1923&lt;=K1923+3),IF(J1923&lt;=K1923,IF(J1923&lt;=99,IF((INDEX(Eingabe!$G$9:$G$18,I1923))&lt;=9,1000+(INDEX(Eingabe!$G$9:$G$18,I1923))*100,3000)+J1923,IF((INDEX(Eingabe!$G$9:$G$18,I1923)+1)&lt;=9,1000+(INDEX(Eingabe!$G$9:$G$18,I1923)+1)*100,3000)+J1923-100),IF(J1923=K1923+1,2000+INDEX(Eingabe!$G$9:$G$18,I1923)*10+1,IF(J1923=K1923+2,2000+INDEX(Eingabe!$G$9:$G$18,I1923)*10+2,2000+INDEX(Eingabe!$G$9:$G$18,I1923)*10+9))),""))</f>
        <v/>
      </c>
      <c r="C1923" s="0" t="str">
        <f aca="false">IF(I1923="","",IF(AND(J1923&gt;=1,J1923&lt;=K1923+3),"10."&amp;INDEX(Eingabe!$D$9:$D$18,I1923)&amp;"."&amp;IF(J1923&lt;=K1923,J1923,IF(J1923=K1923+1,200,IF(J1923=K1923+2,201,250)))&amp;".0/24",""))</f>
        <v/>
      </c>
      <c r="D1923" s="0" t="str">
        <f aca="false">IF(I1923="","",IF(AND(J1923&gt;=1,J1923&lt;=K1923+3),"255.255.255.0",""))</f>
        <v/>
      </c>
      <c r="E1923" s="0" t="str">
        <f aca="false">IF(I1923="","",IF(AND(J1923&gt;=1,J1923&lt;=K1923+3),"10."&amp;INDEX(Eingabe!$D$9:$D$18,I1923)&amp;"."&amp;IF(J1923&lt;=K1923,J1923,IF(J1923=K1923+1,200,IF(J1923=K1923+2,201,250)))&amp;".1",""))</f>
        <v/>
      </c>
      <c r="F1923" s="0" t="str">
        <f aca="false">IF(I1923="","",IF(AND(J1923&gt;=1,J1923&lt;=K1923+3),"10."&amp;INDEX(Eingabe!$D$9:$D$18,I1923)&amp;"."&amp;IF(J1923&lt;=K1923,J1923,IF(J1923=K1923+1,200,IF(J1923=K1923+2,201,250)))&amp;".10 – 10."&amp;INDEX(Eingabe!$D$9:$D$18,I1923)&amp;"."&amp;IF(J1923&lt;=K1923,J1923,IF(J1923=K1923+1,200,IF(J1923=K1923+2,201,250)))&amp;".250",""))</f>
        <v/>
      </c>
      <c r="G1923" s="0" t="str">
        <f aca="false">IF(I1923="","",IF(AND(J1923&gt;=1,J1923&lt;=K1923),Eingabe!$B$6&amp;"-"&amp;INDEX(Eingabe!$C$9:$C$18,I1923)&amp;"-Pächter  ·  Passwort Parzelle "&amp;J1923,IF(J1923=K1923+1,Eingabe!$B$6&amp;"-"&amp;INDEX(Eingabe!$C$9:$C$18,I1923)&amp;"-Vorstand  ·  eigenes WLAN",IF(J1923=K1923+2,Eingabe!$B$6&amp;"-"&amp;INDEX(Eingabe!$C$9:$C$18,I1923)&amp;"-Gäste  ·  Voucher",IF(J1923=K1923+3,"Kabel  ·  Access Point y = .(50+y), Mast-Switch x = .(10+x)","")))))</f>
        <v/>
      </c>
      <c r="I1923" s="0" t="str">
        <f aca="false">IF(1918&lt;=(Eingabe!$P$18+Eingabe!$Q$18-1),MATCH(1918,Eingabe!$P$9:$P$18,1),"")</f>
        <v/>
      </c>
      <c r="J1923" s="0" t="str">
        <f aca="false">IF(I1923="","",1918-INDEX(Eingabe!$P$9:$P$18,I1923))</f>
        <v/>
      </c>
      <c r="K1923" s="0" t="str">
        <f aca="false">IF(I1923="","",INDEX(Eingabe!$E$9:$E$18,I1923))</f>
        <v/>
      </c>
    </row>
    <row r="1924" customFormat="false" ht="15" hidden="false" customHeight="false" outlineLevel="0" collapsed="false">
      <c r="A1924" s="0" t="str">
        <f aca="false">IF(I1924="","",IF(J1924=0,"Sparte "&amp;I1924&amp;": "&amp;INDEX(Eingabe!$B$9:$B$18,I1924)&amp;"  (Sparten-ID "&amp;INDEX(Eingabe!$D$9:$D$18,I1924)&amp;", "&amp;K1924&amp;" Parzellen)",IF(J1924&lt;=K1924,"   Parzelle "&amp;J1924,IF(J1924=K1924+1,"   Vorstand",IF(J1924=K1924+2,"   Gäste",IF(J1924=K1924+3,"   Technik (Switches, Access Points)",""))))))</f>
        <v/>
      </c>
      <c r="B1924" s="0" t="str">
        <f aca="false">IF(I1924="","",IF(AND(J1924&gt;=1,J1924&lt;=K1924+3),IF(J1924&lt;=K1924,IF(J1924&lt;=99,IF((INDEX(Eingabe!$G$9:$G$18,I1924))&lt;=9,1000+(INDEX(Eingabe!$G$9:$G$18,I1924))*100,3000)+J1924,IF((INDEX(Eingabe!$G$9:$G$18,I1924)+1)&lt;=9,1000+(INDEX(Eingabe!$G$9:$G$18,I1924)+1)*100,3000)+J1924-100),IF(J1924=K1924+1,2000+INDEX(Eingabe!$G$9:$G$18,I1924)*10+1,IF(J1924=K1924+2,2000+INDEX(Eingabe!$G$9:$G$18,I1924)*10+2,2000+INDEX(Eingabe!$G$9:$G$18,I1924)*10+9))),""))</f>
        <v/>
      </c>
      <c r="C1924" s="0" t="str">
        <f aca="false">IF(I1924="","",IF(AND(J1924&gt;=1,J1924&lt;=K1924+3),"10."&amp;INDEX(Eingabe!$D$9:$D$18,I1924)&amp;"."&amp;IF(J1924&lt;=K1924,J1924,IF(J1924=K1924+1,200,IF(J1924=K1924+2,201,250)))&amp;".0/24",""))</f>
        <v/>
      </c>
      <c r="D1924" s="0" t="str">
        <f aca="false">IF(I1924="","",IF(AND(J1924&gt;=1,J1924&lt;=K1924+3),"255.255.255.0",""))</f>
        <v/>
      </c>
      <c r="E1924" s="0" t="str">
        <f aca="false">IF(I1924="","",IF(AND(J1924&gt;=1,J1924&lt;=K1924+3),"10."&amp;INDEX(Eingabe!$D$9:$D$18,I1924)&amp;"."&amp;IF(J1924&lt;=K1924,J1924,IF(J1924=K1924+1,200,IF(J1924=K1924+2,201,250)))&amp;".1",""))</f>
        <v/>
      </c>
      <c r="F1924" s="0" t="str">
        <f aca="false">IF(I1924="","",IF(AND(J1924&gt;=1,J1924&lt;=K1924+3),"10."&amp;INDEX(Eingabe!$D$9:$D$18,I1924)&amp;"."&amp;IF(J1924&lt;=K1924,J1924,IF(J1924=K1924+1,200,IF(J1924=K1924+2,201,250)))&amp;".10 – 10."&amp;INDEX(Eingabe!$D$9:$D$18,I1924)&amp;"."&amp;IF(J1924&lt;=K1924,J1924,IF(J1924=K1924+1,200,IF(J1924=K1924+2,201,250)))&amp;".250",""))</f>
        <v/>
      </c>
      <c r="G1924" s="0" t="str">
        <f aca="false">IF(I1924="","",IF(AND(J1924&gt;=1,J1924&lt;=K1924),Eingabe!$B$6&amp;"-"&amp;INDEX(Eingabe!$C$9:$C$18,I1924)&amp;"-Pächter  ·  Passwort Parzelle "&amp;J1924,IF(J1924=K1924+1,Eingabe!$B$6&amp;"-"&amp;INDEX(Eingabe!$C$9:$C$18,I1924)&amp;"-Vorstand  ·  eigenes WLAN",IF(J1924=K1924+2,Eingabe!$B$6&amp;"-"&amp;INDEX(Eingabe!$C$9:$C$18,I1924)&amp;"-Gäste  ·  Voucher",IF(J1924=K1924+3,"Kabel  ·  Access Point y = .(50+y), Mast-Switch x = .(10+x)","")))))</f>
        <v/>
      </c>
      <c r="I1924" s="0" t="str">
        <f aca="false">IF(1919&lt;=(Eingabe!$P$18+Eingabe!$Q$18-1),MATCH(1919,Eingabe!$P$9:$P$18,1),"")</f>
        <v/>
      </c>
      <c r="J1924" s="0" t="str">
        <f aca="false">IF(I1924="","",1919-INDEX(Eingabe!$P$9:$P$18,I1924))</f>
        <v/>
      </c>
      <c r="K1924" s="0" t="str">
        <f aca="false">IF(I1924="","",INDEX(Eingabe!$E$9:$E$18,I1924))</f>
        <v/>
      </c>
    </row>
    <row r="1925" customFormat="false" ht="15" hidden="false" customHeight="false" outlineLevel="0" collapsed="false">
      <c r="A1925" s="0" t="str">
        <f aca="false">IF(I1925="","",IF(J1925=0,"Sparte "&amp;I1925&amp;": "&amp;INDEX(Eingabe!$B$9:$B$18,I1925)&amp;"  (Sparten-ID "&amp;INDEX(Eingabe!$D$9:$D$18,I1925)&amp;", "&amp;K1925&amp;" Parzellen)",IF(J1925&lt;=K1925,"   Parzelle "&amp;J1925,IF(J1925=K1925+1,"   Vorstand",IF(J1925=K1925+2,"   Gäste",IF(J1925=K1925+3,"   Technik (Switches, Access Points)",""))))))</f>
        <v/>
      </c>
      <c r="B1925" s="0" t="str">
        <f aca="false">IF(I1925="","",IF(AND(J1925&gt;=1,J1925&lt;=K1925+3),IF(J1925&lt;=K1925,IF(J1925&lt;=99,IF((INDEX(Eingabe!$G$9:$G$18,I1925))&lt;=9,1000+(INDEX(Eingabe!$G$9:$G$18,I1925))*100,3000)+J1925,IF((INDEX(Eingabe!$G$9:$G$18,I1925)+1)&lt;=9,1000+(INDEX(Eingabe!$G$9:$G$18,I1925)+1)*100,3000)+J1925-100),IF(J1925=K1925+1,2000+INDEX(Eingabe!$G$9:$G$18,I1925)*10+1,IF(J1925=K1925+2,2000+INDEX(Eingabe!$G$9:$G$18,I1925)*10+2,2000+INDEX(Eingabe!$G$9:$G$18,I1925)*10+9))),""))</f>
        <v/>
      </c>
      <c r="C1925" s="0" t="str">
        <f aca="false">IF(I1925="","",IF(AND(J1925&gt;=1,J1925&lt;=K1925+3),"10."&amp;INDEX(Eingabe!$D$9:$D$18,I1925)&amp;"."&amp;IF(J1925&lt;=K1925,J1925,IF(J1925=K1925+1,200,IF(J1925=K1925+2,201,250)))&amp;".0/24",""))</f>
        <v/>
      </c>
      <c r="D1925" s="0" t="str">
        <f aca="false">IF(I1925="","",IF(AND(J1925&gt;=1,J1925&lt;=K1925+3),"255.255.255.0",""))</f>
        <v/>
      </c>
      <c r="E1925" s="0" t="str">
        <f aca="false">IF(I1925="","",IF(AND(J1925&gt;=1,J1925&lt;=K1925+3),"10."&amp;INDEX(Eingabe!$D$9:$D$18,I1925)&amp;"."&amp;IF(J1925&lt;=K1925,J1925,IF(J1925=K1925+1,200,IF(J1925=K1925+2,201,250)))&amp;".1",""))</f>
        <v/>
      </c>
      <c r="F1925" s="0" t="str">
        <f aca="false">IF(I1925="","",IF(AND(J1925&gt;=1,J1925&lt;=K1925+3),"10."&amp;INDEX(Eingabe!$D$9:$D$18,I1925)&amp;"."&amp;IF(J1925&lt;=K1925,J1925,IF(J1925=K1925+1,200,IF(J1925=K1925+2,201,250)))&amp;".10 – 10."&amp;INDEX(Eingabe!$D$9:$D$18,I1925)&amp;"."&amp;IF(J1925&lt;=K1925,J1925,IF(J1925=K1925+1,200,IF(J1925=K1925+2,201,250)))&amp;".250",""))</f>
        <v/>
      </c>
      <c r="G1925" s="0" t="str">
        <f aca="false">IF(I1925="","",IF(AND(J1925&gt;=1,J1925&lt;=K1925),Eingabe!$B$6&amp;"-"&amp;INDEX(Eingabe!$C$9:$C$18,I1925)&amp;"-Pächter  ·  Passwort Parzelle "&amp;J1925,IF(J1925=K1925+1,Eingabe!$B$6&amp;"-"&amp;INDEX(Eingabe!$C$9:$C$18,I1925)&amp;"-Vorstand  ·  eigenes WLAN",IF(J1925=K1925+2,Eingabe!$B$6&amp;"-"&amp;INDEX(Eingabe!$C$9:$C$18,I1925)&amp;"-Gäste  ·  Voucher",IF(J1925=K1925+3,"Kabel  ·  Access Point y = .(50+y), Mast-Switch x = .(10+x)","")))))</f>
        <v/>
      </c>
      <c r="I1925" s="0" t="str">
        <f aca="false">IF(1920&lt;=(Eingabe!$P$18+Eingabe!$Q$18-1),MATCH(1920,Eingabe!$P$9:$P$18,1),"")</f>
        <v/>
      </c>
      <c r="J1925" s="0" t="str">
        <f aca="false">IF(I1925="","",1920-INDEX(Eingabe!$P$9:$P$18,I1925))</f>
        <v/>
      </c>
      <c r="K1925" s="0" t="str">
        <f aca="false">IF(I1925="","",INDEX(Eingabe!$E$9:$E$18,I1925))</f>
        <v/>
      </c>
    </row>
    <row r="1926" customFormat="false" ht="15" hidden="false" customHeight="false" outlineLevel="0" collapsed="false">
      <c r="A1926" s="0" t="str">
        <f aca="false">IF(I1926="","",IF(J1926=0,"Sparte "&amp;I1926&amp;": "&amp;INDEX(Eingabe!$B$9:$B$18,I1926)&amp;"  (Sparten-ID "&amp;INDEX(Eingabe!$D$9:$D$18,I1926)&amp;", "&amp;K1926&amp;" Parzellen)",IF(J1926&lt;=K1926,"   Parzelle "&amp;J1926,IF(J1926=K1926+1,"   Vorstand",IF(J1926=K1926+2,"   Gäste",IF(J1926=K1926+3,"   Technik (Switches, Access Points)",""))))))</f>
        <v/>
      </c>
      <c r="B1926" s="0" t="str">
        <f aca="false">IF(I1926="","",IF(AND(J1926&gt;=1,J1926&lt;=K1926+3),IF(J1926&lt;=K1926,IF(J1926&lt;=99,IF((INDEX(Eingabe!$G$9:$G$18,I1926))&lt;=9,1000+(INDEX(Eingabe!$G$9:$G$18,I1926))*100,3000)+J1926,IF((INDEX(Eingabe!$G$9:$G$18,I1926)+1)&lt;=9,1000+(INDEX(Eingabe!$G$9:$G$18,I1926)+1)*100,3000)+J1926-100),IF(J1926=K1926+1,2000+INDEX(Eingabe!$G$9:$G$18,I1926)*10+1,IF(J1926=K1926+2,2000+INDEX(Eingabe!$G$9:$G$18,I1926)*10+2,2000+INDEX(Eingabe!$G$9:$G$18,I1926)*10+9))),""))</f>
        <v/>
      </c>
      <c r="C1926" s="0" t="str">
        <f aca="false">IF(I1926="","",IF(AND(J1926&gt;=1,J1926&lt;=K1926+3),"10."&amp;INDEX(Eingabe!$D$9:$D$18,I1926)&amp;"."&amp;IF(J1926&lt;=K1926,J1926,IF(J1926=K1926+1,200,IF(J1926=K1926+2,201,250)))&amp;".0/24",""))</f>
        <v/>
      </c>
      <c r="D1926" s="0" t="str">
        <f aca="false">IF(I1926="","",IF(AND(J1926&gt;=1,J1926&lt;=K1926+3),"255.255.255.0",""))</f>
        <v/>
      </c>
      <c r="E1926" s="0" t="str">
        <f aca="false">IF(I1926="","",IF(AND(J1926&gt;=1,J1926&lt;=K1926+3),"10."&amp;INDEX(Eingabe!$D$9:$D$18,I1926)&amp;"."&amp;IF(J1926&lt;=K1926,J1926,IF(J1926=K1926+1,200,IF(J1926=K1926+2,201,250)))&amp;".1",""))</f>
        <v/>
      </c>
      <c r="F1926" s="0" t="str">
        <f aca="false">IF(I1926="","",IF(AND(J1926&gt;=1,J1926&lt;=K1926+3),"10."&amp;INDEX(Eingabe!$D$9:$D$18,I1926)&amp;"."&amp;IF(J1926&lt;=K1926,J1926,IF(J1926=K1926+1,200,IF(J1926=K1926+2,201,250)))&amp;".10 – 10."&amp;INDEX(Eingabe!$D$9:$D$18,I1926)&amp;"."&amp;IF(J1926&lt;=K1926,J1926,IF(J1926=K1926+1,200,IF(J1926=K1926+2,201,250)))&amp;".250",""))</f>
        <v/>
      </c>
      <c r="G1926" s="0" t="str">
        <f aca="false">IF(I1926="","",IF(AND(J1926&gt;=1,J1926&lt;=K1926),Eingabe!$B$6&amp;"-"&amp;INDEX(Eingabe!$C$9:$C$18,I1926)&amp;"-Pächter  ·  Passwort Parzelle "&amp;J1926,IF(J1926=K1926+1,Eingabe!$B$6&amp;"-"&amp;INDEX(Eingabe!$C$9:$C$18,I1926)&amp;"-Vorstand  ·  eigenes WLAN",IF(J1926=K1926+2,Eingabe!$B$6&amp;"-"&amp;INDEX(Eingabe!$C$9:$C$18,I1926)&amp;"-Gäste  ·  Voucher",IF(J1926=K1926+3,"Kabel  ·  Access Point y = .(50+y), Mast-Switch x = .(10+x)","")))))</f>
        <v/>
      </c>
      <c r="I1926" s="0" t="str">
        <f aca="false">IF(1921&lt;=(Eingabe!$P$18+Eingabe!$Q$18-1),MATCH(1921,Eingabe!$P$9:$P$18,1),"")</f>
        <v/>
      </c>
      <c r="J1926" s="0" t="str">
        <f aca="false">IF(I1926="","",1921-INDEX(Eingabe!$P$9:$P$18,I1926))</f>
        <v/>
      </c>
      <c r="K1926" s="0" t="str">
        <f aca="false">IF(I1926="","",INDEX(Eingabe!$E$9:$E$18,I1926))</f>
        <v/>
      </c>
    </row>
    <row r="1927" customFormat="false" ht="15" hidden="false" customHeight="false" outlineLevel="0" collapsed="false">
      <c r="A1927" s="0" t="str">
        <f aca="false">IF(I1927="","",IF(J1927=0,"Sparte "&amp;I1927&amp;": "&amp;INDEX(Eingabe!$B$9:$B$18,I1927)&amp;"  (Sparten-ID "&amp;INDEX(Eingabe!$D$9:$D$18,I1927)&amp;", "&amp;K1927&amp;" Parzellen)",IF(J1927&lt;=K1927,"   Parzelle "&amp;J1927,IF(J1927=K1927+1,"   Vorstand",IF(J1927=K1927+2,"   Gäste",IF(J1927=K1927+3,"   Technik (Switches, Access Points)",""))))))</f>
        <v/>
      </c>
      <c r="B1927" s="0" t="str">
        <f aca="false">IF(I1927="","",IF(AND(J1927&gt;=1,J1927&lt;=K1927+3),IF(J1927&lt;=K1927,IF(J1927&lt;=99,IF((INDEX(Eingabe!$G$9:$G$18,I1927))&lt;=9,1000+(INDEX(Eingabe!$G$9:$G$18,I1927))*100,3000)+J1927,IF((INDEX(Eingabe!$G$9:$G$18,I1927)+1)&lt;=9,1000+(INDEX(Eingabe!$G$9:$G$18,I1927)+1)*100,3000)+J1927-100),IF(J1927=K1927+1,2000+INDEX(Eingabe!$G$9:$G$18,I1927)*10+1,IF(J1927=K1927+2,2000+INDEX(Eingabe!$G$9:$G$18,I1927)*10+2,2000+INDEX(Eingabe!$G$9:$G$18,I1927)*10+9))),""))</f>
        <v/>
      </c>
      <c r="C1927" s="0" t="str">
        <f aca="false">IF(I1927="","",IF(AND(J1927&gt;=1,J1927&lt;=K1927+3),"10."&amp;INDEX(Eingabe!$D$9:$D$18,I1927)&amp;"."&amp;IF(J1927&lt;=K1927,J1927,IF(J1927=K1927+1,200,IF(J1927=K1927+2,201,250)))&amp;".0/24",""))</f>
        <v/>
      </c>
      <c r="D1927" s="0" t="str">
        <f aca="false">IF(I1927="","",IF(AND(J1927&gt;=1,J1927&lt;=K1927+3),"255.255.255.0",""))</f>
        <v/>
      </c>
      <c r="E1927" s="0" t="str">
        <f aca="false">IF(I1927="","",IF(AND(J1927&gt;=1,J1927&lt;=K1927+3),"10."&amp;INDEX(Eingabe!$D$9:$D$18,I1927)&amp;"."&amp;IF(J1927&lt;=K1927,J1927,IF(J1927=K1927+1,200,IF(J1927=K1927+2,201,250)))&amp;".1",""))</f>
        <v/>
      </c>
      <c r="F1927" s="0" t="str">
        <f aca="false">IF(I1927="","",IF(AND(J1927&gt;=1,J1927&lt;=K1927+3),"10."&amp;INDEX(Eingabe!$D$9:$D$18,I1927)&amp;"."&amp;IF(J1927&lt;=K1927,J1927,IF(J1927=K1927+1,200,IF(J1927=K1927+2,201,250)))&amp;".10 – 10."&amp;INDEX(Eingabe!$D$9:$D$18,I1927)&amp;"."&amp;IF(J1927&lt;=K1927,J1927,IF(J1927=K1927+1,200,IF(J1927=K1927+2,201,250)))&amp;".250",""))</f>
        <v/>
      </c>
      <c r="G1927" s="0" t="str">
        <f aca="false">IF(I1927="","",IF(AND(J1927&gt;=1,J1927&lt;=K1927),Eingabe!$B$6&amp;"-"&amp;INDEX(Eingabe!$C$9:$C$18,I1927)&amp;"-Pächter  ·  Passwort Parzelle "&amp;J1927,IF(J1927=K1927+1,Eingabe!$B$6&amp;"-"&amp;INDEX(Eingabe!$C$9:$C$18,I1927)&amp;"-Vorstand  ·  eigenes WLAN",IF(J1927=K1927+2,Eingabe!$B$6&amp;"-"&amp;INDEX(Eingabe!$C$9:$C$18,I1927)&amp;"-Gäste  ·  Voucher",IF(J1927=K1927+3,"Kabel  ·  Access Point y = .(50+y), Mast-Switch x = .(10+x)","")))))</f>
        <v/>
      </c>
      <c r="I1927" s="0" t="str">
        <f aca="false">IF(1922&lt;=(Eingabe!$P$18+Eingabe!$Q$18-1),MATCH(1922,Eingabe!$P$9:$P$18,1),"")</f>
        <v/>
      </c>
      <c r="J1927" s="0" t="str">
        <f aca="false">IF(I1927="","",1922-INDEX(Eingabe!$P$9:$P$18,I1927))</f>
        <v/>
      </c>
      <c r="K1927" s="0" t="str">
        <f aca="false">IF(I1927="","",INDEX(Eingabe!$E$9:$E$18,I1927))</f>
        <v/>
      </c>
    </row>
    <row r="1928" customFormat="false" ht="15" hidden="false" customHeight="false" outlineLevel="0" collapsed="false">
      <c r="A1928" s="0" t="str">
        <f aca="false">IF(I1928="","",IF(J1928=0,"Sparte "&amp;I1928&amp;": "&amp;INDEX(Eingabe!$B$9:$B$18,I1928)&amp;"  (Sparten-ID "&amp;INDEX(Eingabe!$D$9:$D$18,I1928)&amp;", "&amp;K1928&amp;" Parzellen)",IF(J1928&lt;=K1928,"   Parzelle "&amp;J1928,IF(J1928=K1928+1,"   Vorstand",IF(J1928=K1928+2,"   Gäste",IF(J1928=K1928+3,"   Technik (Switches, Access Points)",""))))))</f>
        <v/>
      </c>
      <c r="B1928" s="0" t="str">
        <f aca="false">IF(I1928="","",IF(AND(J1928&gt;=1,J1928&lt;=K1928+3),IF(J1928&lt;=K1928,IF(J1928&lt;=99,IF((INDEX(Eingabe!$G$9:$G$18,I1928))&lt;=9,1000+(INDEX(Eingabe!$G$9:$G$18,I1928))*100,3000)+J1928,IF((INDEX(Eingabe!$G$9:$G$18,I1928)+1)&lt;=9,1000+(INDEX(Eingabe!$G$9:$G$18,I1928)+1)*100,3000)+J1928-100),IF(J1928=K1928+1,2000+INDEX(Eingabe!$G$9:$G$18,I1928)*10+1,IF(J1928=K1928+2,2000+INDEX(Eingabe!$G$9:$G$18,I1928)*10+2,2000+INDEX(Eingabe!$G$9:$G$18,I1928)*10+9))),""))</f>
        <v/>
      </c>
      <c r="C1928" s="0" t="str">
        <f aca="false">IF(I1928="","",IF(AND(J1928&gt;=1,J1928&lt;=K1928+3),"10."&amp;INDEX(Eingabe!$D$9:$D$18,I1928)&amp;"."&amp;IF(J1928&lt;=K1928,J1928,IF(J1928=K1928+1,200,IF(J1928=K1928+2,201,250)))&amp;".0/24",""))</f>
        <v/>
      </c>
      <c r="D1928" s="0" t="str">
        <f aca="false">IF(I1928="","",IF(AND(J1928&gt;=1,J1928&lt;=K1928+3),"255.255.255.0",""))</f>
        <v/>
      </c>
      <c r="E1928" s="0" t="str">
        <f aca="false">IF(I1928="","",IF(AND(J1928&gt;=1,J1928&lt;=K1928+3),"10."&amp;INDEX(Eingabe!$D$9:$D$18,I1928)&amp;"."&amp;IF(J1928&lt;=K1928,J1928,IF(J1928=K1928+1,200,IF(J1928=K1928+2,201,250)))&amp;".1",""))</f>
        <v/>
      </c>
      <c r="F1928" s="0" t="str">
        <f aca="false">IF(I1928="","",IF(AND(J1928&gt;=1,J1928&lt;=K1928+3),"10."&amp;INDEX(Eingabe!$D$9:$D$18,I1928)&amp;"."&amp;IF(J1928&lt;=K1928,J1928,IF(J1928=K1928+1,200,IF(J1928=K1928+2,201,250)))&amp;".10 – 10."&amp;INDEX(Eingabe!$D$9:$D$18,I1928)&amp;"."&amp;IF(J1928&lt;=K1928,J1928,IF(J1928=K1928+1,200,IF(J1928=K1928+2,201,250)))&amp;".250",""))</f>
        <v/>
      </c>
      <c r="G1928" s="0" t="str">
        <f aca="false">IF(I1928="","",IF(AND(J1928&gt;=1,J1928&lt;=K1928),Eingabe!$B$6&amp;"-"&amp;INDEX(Eingabe!$C$9:$C$18,I1928)&amp;"-Pächter  ·  Passwort Parzelle "&amp;J1928,IF(J1928=K1928+1,Eingabe!$B$6&amp;"-"&amp;INDEX(Eingabe!$C$9:$C$18,I1928)&amp;"-Vorstand  ·  eigenes WLAN",IF(J1928=K1928+2,Eingabe!$B$6&amp;"-"&amp;INDEX(Eingabe!$C$9:$C$18,I1928)&amp;"-Gäste  ·  Voucher",IF(J1928=K1928+3,"Kabel  ·  Access Point y = .(50+y), Mast-Switch x = .(10+x)","")))))</f>
        <v/>
      </c>
      <c r="I1928" s="0" t="str">
        <f aca="false">IF(1923&lt;=(Eingabe!$P$18+Eingabe!$Q$18-1),MATCH(1923,Eingabe!$P$9:$P$18,1),"")</f>
        <v/>
      </c>
      <c r="J1928" s="0" t="str">
        <f aca="false">IF(I1928="","",1923-INDEX(Eingabe!$P$9:$P$18,I1928))</f>
        <v/>
      </c>
      <c r="K1928" s="0" t="str">
        <f aca="false">IF(I1928="","",INDEX(Eingabe!$E$9:$E$18,I1928))</f>
        <v/>
      </c>
    </row>
    <row r="1929" customFormat="false" ht="15" hidden="false" customHeight="false" outlineLevel="0" collapsed="false">
      <c r="A1929" s="0" t="str">
        <f aca="false">IF(I1929="","",IF(J1929=0,"Sparte "&amp;I1929&amp;": "&amp;INDEX(Eingabe!$B$9:$B$18,I1929)&amp;"  (Sparten-ID "&amp;INDEX(Eingabe!$D$9:$D$18,I1929)&amp;", "&amp;K1929&amp;" Parzellen)",IF(J1929&lt;=K1929,"   Parzelle "&amp;J1929,IF(J1929=K1929+1,"   Vorstand",IF(J1929=K1929+2,"   Gäste",IF(J1929=K1929+3,"   Technik (Switches, Access Points)",""))))))</f>
        <v/>
      </c>
      <c r="B1929" s="0" t="str">
        <f aca="false">IF(I1929="","",IF(AND(J1929&gt;=1,J1929&lt;=K1929+3),IF(J1929&lt;=K1929,IF(J1929&lt;=99,IF((INDEX(Eingabe!$G$9:$G$18,I1929))&lt;=9,1000+(INDEX(Eingabe!$G$9:$G$18,I1929))*100,3000)+J1929,IF((INDEX(Eingabe!$G$9:$G$18,I1929)+1)&lt;=9,1000+(INDEX(Eingabe!$G$9:$G$18,I1929)+1)*100,3000)+J1929-100),IF(J1929=K1929+1,2000+INDEX(Eingabe!$G$9:$G$18,I1929)*10+1,IF(J1929=K1929+2,2000+INDEX(Eingabe!$G$9:$G$18,I1929)*10+2,2000+INDEX(Eingabe!$G$9:$G$18,I1929)*10+9))),""))</f>
        <v/>
      </c>
      <c r="C1929" s="0" t="str">
        <f aca="false">IF(I1929="","",IF(AND(J1929&gt;=1,J1929&lt;=K1929+3),"10."&amp;INDEX(Eingabe!$D$9:$D$18,I1929)&amp;"."&amp;IF(J1929&lt;=K1929,J1929,IF(J1929=K1929+1,200,IF(J1929=K1929+2,201,250)))&amp;".0/24",""))</f>
        <v/>
      </c>
      <c r="D1929" s="0" t="str">
        <f aca="false">IF(I1929="","",IF(AND(J1929&gt;=1,J1929&lt;=K1929+3),"255.255.255.0",""))</f>
        <v/>
      </c>
      <c r="E1929" s="0" t="str">
        <f aca="false">IF(I1929="","",IF(AND(J1929&gt;=1,J1929&lt;=K1929+3),"10."&amp;INDEX(Eingabe!$D$9:$D$18,I1929)&amp;"."&amp;IF(J1929&lt;=K1929,J1929,IF(J1929=K1929+1,200,IF(J1929=K1929+2,201,250)))&amp;".1",""))</f>
        <v/>
      </c>
      <c r="F1929" s="0" t="str">
        <f aca="false">IF(I1929="","",IF(AND(J1929&gt;=1,J1929&lt;=K1929+3),"10."&amp;INDEX(Eingabe!$D$9:$D$18,I1929)&amp;"."&amp;IF(J1929&lt;=K1929,J1929,IF(J1929=K1929+1,200,IF(J1929=K1929+2,201,250)))&amp;".10 – 10."&amp;INDEX(Eingabe!$D$9:$D$18,I1929)&amp;"."&amp;IF(J1929&lt;=K1929,J1929,IF(J1929=K1929+1,200,IF(J1929=K1929+2,201,250)))&amp;".250",""))</f>
        <v/>
      </c>
      <c r="G1929" s="0" t="str">
        <f aca="false">IF(I1929="","",IF(AND(J1929&gt;=1,J1929&lt;=K1929),Eingabe!$B$6&amp;"-"&amp;INDEX(Eingabe!$C$9:$C$18,I1929)&amp;"-Pächter  ·  Passwort Parzelle "&amp;J1929,IF(J1929=K1929+1,Eingabe!$B$6&amp;"-"&amp;INDEX(Eingabe!$C$9:$C$18,I1929)&amp;"-Vorstand  ·  eigenes WLAN",IF(J1929=K1929+2,Eingabe!$B$6&amp;"-"&amp;INDEX(Eingabe!$C$9:$C$18,I1929)&amp;"-Gäste  ·  Voucher",IF(J1929=K1929+3,"Kabel  ·  Access Point y = .(50+y), Mast-Switch x = .(10+x)","")))))</f>
        <v/>
      </c>
      <c r="I1929" s="0" t="str">
        <f aca="false">IF(1924&lt;=(Eingabe!$P$18+Eingabe!$Q$18-1),MATCH(1924,Eingabe!$P$9:$P$18,1),"")</f>
        <v/>
      </c>
      <c r="J1929" s="0" t="str">
        <f aca="false">IF(I1929="","",1924-INDEX(Eingabe!$P$9:$P$18,I1929))</f>
        <v/>
      </c>
      <c r="K1929" s="0" t="str">
        <f aca="false">IF(I1929="","",INDEX(Eingabe!$E$9:$E$18,I1929))</f>
        <v/>
      </c>
    </row>
    <row r="1930" customFormat="false" ht="15" hidden="false" customHeight="false" outlineLevel="0" collapsed="false">
      <c r="A1930" s="0" t="str">
        <f aca="false">IF(I1930="","",IF(J1930=0,"Sparte "&amp;I1930&amp;": "&amp;INDEX(Eingabe!$B$9:$B$18,I1930)&amp;"  (Sparten-ID "&amp;INDEX(Eingabe!$D$9:$D$18,I1930)&amp;", "&amp;K1930&amp;" Parzellen)",IF(J1930&lt;=K1930,"   Parzelle "&amp;J1930,IF(J1930=K1930+1,"   Vorstand",IF(J1930=K1930+2,"   Gäste",IF(J1930=K1930+3,"   Technik (Switches, Access Points)",""))))))</f>
        <v/>
      </c>
      <c r="B1930" s="0" t="str">
        <f aca="false">IF(I1930="","",IF(AND(J1930&gt;=1,J1930&lt;=K1930+3),IF(J1930&lt;=K1930,IF(J1930&lt;=99,IF((INDEX(Eingabe!$G$9:$G$18,I1930))&lt;=9,1000+(INDEX(Eingabe!$G$9:$G$18,I1930))*100,3000)+J1930,IF((INDEX(Eingabe!$G$9:$G$18,I1930)+1)&lt;=9,1000+(INDEX(Eingabe!$G$9:$G$18,I1930)+1)*100,3000)+J1930-100),IF(J1930=K1930+1,2000+INDEX(Eingabe!$G$9:$G$18,I1930)*10+1,IF(J1930=K1930+2,2000+INDEX(Eingabe!$G$9:$G$18,I1930)*10+2,2000+INDEX(Eingabe!$G$9:$G$18,I1930)*10+9))),""))</f>
        <v/>
      </c>
      <c r="C1930" s="0" t="str">
        <f aca="false">IF(I1930="","",IF(AND(J1930&gt;=1,J1930&lt;=K1930+3),"10."&amp;INDEX(Eingabe!$D$9:$D$18,I1930)&amp;"."&amp;IF(J1930&lt;=K1930,J1930,IF(J1930=K1930+1,200,IF(J1930=K1930+2,201,250)))&amp;".0/24",""))</f>
        <v/>
      </c>
      <c r="D1930" s="0" t="str">
        <f aca="false">IF(I1930="","",IF(AND(J1930&gt;=1,J1930&lt;=K1930+3),"255.255.255.0",""))</f>
        <v/>
      </c>
      <c r="E1930" s="0" t="str">
        <f aca="false">IF(I1930="","",IF(AND(J1930&gt;=1,J1930&lt;=K1930+3),"10."&amp;INDEX(Eingabe!$D$9:$D$18,I1930)&amp;"."&amp;IF(J1930&lt;=K1930,J1930,IF(J1930=K1930+1,200,IF(J1930=K1930+2,201,250)))&amp;".1",""))</f>
        <v/>
      </c>
      <c r="F1930" s="0" t="str">
        <f aca="false">IF(I1930="","",IF(AND(J1930&gt;=1,J1930&lt;=K1930+3),"10."&amp;INDEX(Eingabe!$D$9:$D$18,I1930)&amp;"."&amp;IF(J1930&lt;=K1930,J1930,IF(J1930=K1930+1,200,IF(J1930=K1930+2,201,250)))&amp;".10 – 10."&amp;INDEX(Eingabe!$D$9:$D$18,I1930)&amp;"."&amp;IF(J1930&lt;=K1930,J1930,IF(J1930=K1930+1,200,IF(J1930=K1930+2,201,250)))&amp;".250",""))</f>
        <v/>
      </c>
      <c r="G1930" s="0" t="str">
        <f aca="false">IF(I1930="","",IF(AND(J1930&gt;=1,J1930&lt;=K1930),Eingabe!$B$6&amp;"-"&amp;INDEX(Eingabe!$C$9:$C$18,I1930)&amp;"-Pächter  ·  Passwort Parzelle "&amp;J1930,IF(J1930=K1930+1,Eingabe!$B$6&amp;"-"&amp;INDEX(Eingabe!$C$9:$C$18,I1930)&amp;"-Vorstand  ·  eigenes WLAN",IF(J1930=K1930+2,Eingabe!$B$6&amp;"-"&amp;INDEX(Eingabe!$C$9:$C$18,I1930)&amp;"-Gäste  ·  Voucher",IF(J1930=K1930+3,"Kabel  ·  Access Point y = .(50+y), Mast-Switch x = .(10+x)","")))))</f>
        <v/>
      </c>
      <c r="I1930" s="0" t="str">
        <f aca="false">IF(1925&lt;=(Eingabe!$P$18+Eingabe!$Q$18-1),MATCH(1925,Eingabe!$P$9:$P$18,1),"")</f>
        <v/>
      </c>
      <c r="J1930" s="0" t="str">
        <f aca="false">IF(I1930="","",1925-INDEX(Eingabe!$P$9:$P$18,I1930))</f>
        <v/>
      </c>
      <c r="K1930" s="0" t="str">
        <f aca="false">IF(I1930="","",INDEX(Eingabe!$E$9:$E$18,I1930))</f>
        <v/>
      </c>
    </row>
    <row r="1931" customFormat="false" ht="15" hidden="false" customHeight="false" outlineLevel="0" collapsed="false">
      <c r="A1931" s="0" t="str">
        <f aca="false">IF(I1931="","",IF(J1931=0,"Sparte "&amp;I1931&amp;": "&amp;INDEX(Eingabe!$B$9:$B$18,I1931)&amp;"  (Sparten-ID "&amp;INDEX(Eingabe!$D$9:$D$18,I1931)&amp;", "&amp;K1931&amp;" Parzellen)",IF(J1931&lt;=K1931,"   Parzelle "&amp;J1931,IF(J1931=K1931+1,"   Vorstand",IF(J1931=K1931+2,"   Gäste",IF(J1931=K1931+3,"   Technik (Switches, Access Points)",""))))))</f>
        <v/>
      </c>
      <c r="B1931" s="0" t="str">
        <f aca="false">IF(I1931="","",IF(AND(J1931&gt;=1,J1931&lt;=K1931+3),IF(J1931&lt;=K1931,IF(J1931&lt;=99,IF((INDEX(Eingabe!$G$9:$G$18,I1931))&lt;=9,1000+(INDEX(Eingabe!$G$9:$G$18,I1931))*100,3000)+J1931,IF((INDEX(Eingabe!$G$9:$G$18,I1931)+1)&lt;=9,1000+(INDEX(Eingabe!$G$9:$G$18,I1931)+1)*100,3000)+J1931-100),IF(J1931=K1931+1,2000+INDEX(Eingabe!$G$9:$G$18,I1931)*10+1,IF(J1931=K1931+2,2000+INDEX(Eingabe!$G$9:$G$18,I1931)*10+2,2000+INDEX(Eingabe!$G$9:$G$18,I1931)*10+9))),""))</f>
        <v/>
      </c>
      <c r="C1931" s="0" t="str">
        <f aca="false">IF(I1931="","",IF(AND(J1931&gt;=1,J1931&lt;=K1931+3),"10."&amp;INDEX(Eingabe!$D$9:$D$18,I1931)&amp;"."&amp;IF(J1931&lt;=K1931,J1931,IF(J1931=K1931+1,200,IF(J1931=K1931+2,201,250)))&amp;".0/24",""))</f>
        <v/>
      </c>
      <c r="D1931" s="0" t="str">
        <f aca="false">IF(I1931="","",IF(AND(J1931&gt;=1,J1931&lt;=K1931+3),"255.255.255.0",""))</f>
        <v/>
      </c>
      <c r="E1931" s="0" t="str">
        <f aca="false">IF(I1931="","",IF(AND(J1931&gt;=1,J1931&lt;=K1931+3),"10."&amp;INDEX(Eingabe!$D$9:$D$18,I1931)&amp;"."&amp;IF(J1931&lt;=K1931,J1931,IF(J1931=K1931+1,200,IF(J1931=K1931+2,201,250)))&amp;".1",""))</f>
        <v/>
      </c>
      <c r="F1931" s="0" t="str">
        <f aca="false">IF(I1931="","",IF(AND(J1931&gt;=1,J1931&lt;=K1931+3),"10."&amp;INDEX(Eingabe!$D$9:$D$18,I1931)&amp;"."&amp;IF(J1931&lt;=K1931,J1931,IF(J1931=K1931+1,200,IF(J1931=K1931+2,201,250)))&amp;".10 – 10."&amp;INDEX(Eingabe!$D$9:$D$18,I1931)&amp;"."&amp;IF(J1931&lt;=K1931,J1931,IF(J1931=K1931+1,200,IF(J1931=K1931+2,201,250)))&amp;".250",""))</f>
        <v/>
      </c>
      <c r="G1931" s="0" t="str">
        <f aca="false">IF(I1931="","",IF(AND(J1931&gt;=1,J1931&lt;=K1931),Eingabe!$B$6&amp;"-"&amp;INDEX(Eingabe!$C$9:$C$18,I1931)&amp;"-Pächter  ·  Passwort Parzelle "&amp;J1931,IF(J1931=K1931+1,Eingabe!$B$6&amp;"-"&amp;INDEX(Eingabe!$C$9:$C$18,I1931)&amp;"-Vorstand  ·  eigenes WLAN",IF(J1931=K1931+2,Eingabe!$B$6&amp;"-"&amp;INDEX(Eingabe!$C$9:$C$18,I1931)&amp;"-Gäste  ·  Voucher",IF(J1931=K1931+3,"Kabel  ·  Access Point y = .(50+y), Mast-Switch x = .(10+x)","")))))</f>
        <v/>
      </c>
      <c r="I1931" s="0" t="str">
        <f aca="false">IF(1926&lt;=(Eingabe!$P$18+Eingabe!$Q$18-1),MATCH(1926,Eingabe!$P$9:$P$18,1),"")</f>
        <v/>
      </c>
      <c r="J1931" s="0" t="str">
        <f aca="false">IF(I1931="","",1926-INDEX(Eingabe!$P$9:$P$18,I1931))</f>
        <v/>
      </c>
      <c r="K1931" s="0" t="str">
        <f aca="false">IF(I1931="","",INDEX(Eingabe!$E$9:$E$18,I1931))</f>
        <v/>
      </c>
    </row>
    <row r="1932" customFormat="false" ht="15" hidden="false" customHeight="false" outlineLevel="0" collapsed="false">
      <c r="A1932" s="0" t="str">
        <f aca="false">IF(I1932="","",IF(J1932=0,"Sparte "&amp;I1932&amp;": "&amp;INDEX(Eingabe!$B$9:$B$18,I1932)&amp;"  (Sparten-ID "&amp;INDEX(Eingabe!$D$9:$D$18,I1932)&amp;", "&amp;K1932&amp;" Parzellen)",IF(J1932&lt;=K1932,"   Parzelle "&amp;J1932,IF(J1932=K1932+1,"   Vorstand",IF(J1932=K1932+2,"   Gäste",IF(J1932=K1932+3,"   Technik (Switches, Access Points)",""))))))</f>
        <v/>
      </c>
      <c r="B1932" s="0" t="str">
        <f aca="false">IF(I1932="","",IF(AND(J1932&gt;=1,J1932&lt;=K1932+3),IF(J1932&lt;=K1932,IF(J1932&lt;=99,IF((INDEX(Eingabe!$G$9:$G$18,I1932))&lt;=9,1000+(INDEX(Eingabe!$G$9:$G$18,I1932))*100,3000)+J1932,IF((INDEX(Eingabe!$G$9:$G$18,I1932)+1)&lt;=9,1000+(INDEX(Eingabe!$G$9:$G$18,I1932)+1)*100,3000)+J1932-100),IF(J1932=K1932+1,2000+INDEX(Eingabe!$G$9:$G$18,I1932)*10+1,IF(J1932=K1932+2,2000+INDEX(Eingabe!$G$9:$G$18,I1932)*10+2,2000+INDEX(Eingabe!$G$9:$G$18,I1932)*10+9))),""))</f>
        <v/>
      </c>
      <c r="C1932" s="0" t="str">
        <f aca="false">IF(I1932="","",IF(AND(J1932&gt;=1,J1932&lt;=K1932+3),"10."&amp;INDEX(Eingabe!$D$9:$D$18,I1932)&amp;"."&amp;IF(J1932&lt;=K1932,J1932,IF(J1932=K1932+1,200,IF(J1932=K1932+2,201,250)))&amp;".0/24",""))</f>
        <v/>
      </c>
      <c r="D1932" s="0" t="str">
        <f aca="false">IF(I1932="","",IF(AND(J1932&gt;=1,J1932&lt;=K1932+3),"255.255.255.0",""))</f>
        <v/>
      </c>
      <c r="E1932" s="0" t="str">
        <f aca="false">IF(I1932="","",IF(AND(J1932&gt;=1,J1932&lt;=K1932+3),"10."&amp;INDEX(Eingabe!$D$9:$D$18,I1932)&amp;"."&amp;IF(J1932&lt;=K1932,J1932,IF(J1932=K1932+1,200,IF(J1932=K1932+2,201,250)))&amp;".1",""))</f>
        <v/>
      </c>
      <c r="F1932" s="0" t="str">
        <f aca="false">IF(I1932="","",IF(AND(J1932&gt;=1,J1932&lt;=K1932+3),"10."&amp;INDEX(Eingabe!$D$9:$D$18,I1932)&amp;"."&amp;IF(J1932&lt;=K1932,J1932,IF(J1932=K1932+1,200,IF(J1932=K1932+2,201,250)))&amp;".10 – 10."&amp;INDEX(Eingabe!$D$9:$D$18,I1932)&amp;"."&amp;IF(J1932&lt;=K1932,J1932,IF(J1932=K1932+1,200,IF(J1932=K1932+2,201,250)))&amp;".250",""))</f>
        <v/>
      </c>
      <c r="G1932" s="0" t="str">
        <f aca="false">IF(I1932="","",IF(AND(J1932&gt;=1,J1932&lt;=K1932),Eingabe!$B$6&amp;"-"&amp;INDEX(Eingabe!$C$9:$C$18,I1932)&amp;"-Pächter  ·  Passwort Parzelle "&amp;J1932,IF(J1932=K1932+1,Eingabe!$B$6&amp;"-"&amp;INDEX(Eingabe!$C$9:$C$18,I1932)&amp;"-Vorstand  ·  eigenes WLAN",IF(J1932=K1932+2,Eingabe!$B$6&amp;"-"&amp;INDEX(Eingabe!$C$9:$C$18,I1932)&amp;"-Gäste  ·  Voucher",IF(J1932=K1932+3,"Kabel  ·  Access Point y = .(50+y), Mast-Switch x = .(10+x)","")))))</f>
        <v/>
      </c>
      <c r="I1932" s="0" t="str">
        <f aca="false">IF(1927&lt;=(Eingabe!$P$18+Eingabe!$Q$18-1),MATCH(1927,Eingabe!$P$9:$P$18,1),"")</f>
        <v/>
      </c>
      <c r="J1932" s="0" t="str">
        <f aca="false">IF(I1932="","",1927-INDEX(Eingabe!$P$9:$P$18,I1932))</f>
        <v/>
      </c>
      <c r="K1932" s="0" t="str">
        <f aca="false">IF(I1932="","",INDEX(Eingabe!$E$9:$E$18,I1932))</f>
        <v/>
      </c>
    </row>
    <row r="1933" customFormat="false" ht="15" hidden="false" customHeight="false" outlineLevel="0" collapsed="false">
      <c r="A1933" s="0" t="str">
        <f aca="false">IF(I1933="","",IF(J1933=0,"Sparte "&amp;I1933&amp;": "&amp;INDEX(Eingabe!$B$9:$B$18,I1933)&amp;"  (Sparten-ID "&amp;INDEX(Eingabe!$D$9:$D$18,I1933)&amp;", "&amp;K1933&amp;" Parzellen)",IF(J1933&lt;=K1933,"   Parzelle "&amp;J1933,IF(J1933=K1933+1,"   Vorstand",IF(J1933=K1933+2,"   Gäste",IF(J1933=K1933+3,"   Technik (Switches, Access Points)",""))))))</f>
        <v/>
      </c>
      <c r="B1933" s="0" t="str">
        <f aca="false">IF(I1933="","",IF(AND(J1933&gt;=1,J1933&lt;=K1933+3),IF(J1933&lt;=K1933,IF(J1933&lt;=99,IF((INDEX(Eingabe!$G$9:$G$18,I1933))&lt;=9,1000+(INDEX(Eingabe!$G$9:$G$18,I1933))*100,3000)+J1933,IF((INDEX(Eingabe!$G$9:$G$18,I1933)+1)&lt;=9,1000+(INDEX(Eingabe!$G$9:$G$18,I1933)+1)*100,3000)+J1933-100),IF(J1933=K1933+1,2000+INDEX(Eingabe!$G$9:$G$18,I1933)*10+1,IF(J1933=K1933+2,2000+INDEX(Eingabe!$G$9:$G$18,I1933)*10+2,2000+INDEX(Eingabe!$G$9:$G$18,I1933)*10+9))),""))</f>
        <v/>
      </c>
      <c r="C1933" s="0" t="str">
        <f aca="false">IF(I1933="","",IF(AND(J1933&gt;=1,J1933&lt;=K1933+3),"10."&amp;INDEX(Eingabe!$D$9:$D$18,I1933)&amp;"."&amp;IF(J1933&lt;=K1933,J1933,IF(J1933=K1933+1,200,IF(J1933=K1933+2,201,250)))&amp;".0/24",""))</f>
        <v/>
      </c>
      <c r="D1933" s="0" t="str">
        <f aca="false">IF(I1933="","",IF(AND(J1933&gt;=1,J1933&lt;=K1933+3),"255.255.255.0",""))</f>
        <v/>
      </c>
      <c r="E1933" s="0" t="str">
        <f aca="false">IF(I1933="","",IF(AND(J1933&gt;=1,J1933&lt;=K1933+3),"10."&amp;INDEX(Eingabe!$D$9:$D$18,I1933)&amp;"."&amp;IF(J1933&lt;=K1933,J1933,IF(J1933=K1933+1,200,IF(J1933=K1933+2,201,250)))&amp;".1",""))</f>
        <v/>
      </c>
      <c r="F1933" s="0" t="str">
        <f aca="false">IF(I1933="","",IF(AND(J1933&gt;=1,J1933&lt;=K1933+3),"10."&amp;INDEX(Eingabe!$D$9:$D$18,I1933)&amp;"."&amp;IF(J1933&lt;=K1933,J1933,IF(J1933=K1933+1,200,IF(J1933=K1933+2,201,250)))&amp;".10 – 10."&amp;INDEX(Eingabe!$D$9:$D$18,I1933)&amp;"."&amp;IF(J1933&lt;=K1933,J1933,IF(J1933=K1933+1,200,IF(J1933=K1933+2,201,250)))&amp;".250",""))</f>
        <v/>
      </c>
      <c r="G1933" s="0" t="str">
        <f aca="false">IF(I1933="","",IF(AND(J1933&gt;=1,J1933&lt;=K1933),Eingabe!$B$6&amp;"-"&amp;INDEX(Eingabe!$C$9:$C$18,I1933)&amp;"-Pächter  ·  Passwort Parzelle "&amp;J1933,IF(J1933=K1933+1,Eingabe!$B$6&amp;"-"&amp;INDEX(Eingabe!$C$9:$C$18,I1933)&amp;"-Vorstand  ·  eigenes WLAN",IF(J1933=K1933+2,Eingabe!$B$6&amp;"-"&amp;INDEX(Eingabe!$C$9:$C$18,I1933)&amp;"-Gäste  ·  Voucher",IF(J1933=K1933+3,"Kabel  ·  Access Point y = .(50+y), Mast-Switch x = .(10+x)","")))))</f>
        <v/>
      </c>
      <c r="I1933" s="0" t="str">
        <f aca="false">IF(1928&lt;=(Eingabe!$P$18+Eingabe!$Q$18-1),MATCH(1928,Eingabe!$P$9:$P$18,1),"")</f>
        <v/>
      </c>
      <c r="J1933" s="0" t="str">
        <f aca="false">IF(I1933="","",1928-INDEX(Eingabe!$P$9:$P$18,I1933))</f>
        <v/>
      </c>
      <c r="K1933" s="0" t="str">
        <f aca="false">IF(I1933="","",INDEX(Eingabe!$E$9:$E$18,I1933))</f>
        <v/>
      </c>
    </row>
    <row r="1934" customFormat="false" ht="15" hidden="false" customHeight="false" outlineLevel="0" collapsed="false">
      <c r="A1934" s="0" t="str">
        <f aca="false">IF(I1934="","",IF(J1934=0,"Sparte "&amp;I1934&amp;": "&amp;INDEX(Eingabe!$B$9:$B$18,I1934)&amp;"  (Sparten-ID "&amp;INDEX(Eingabe!$D$9:$D$18,I1934)&amp;", "&amp;K1934&amp;" Parzellen)",IF(J1934&lt;=K1934,"   Parzelle "&amp;J1934,IF(J1934=K1934+1,"   Vorstand",IF(J1934=K1934+2,"   Gäste",IF(J1934=K1934+3,"   Technik (Switches, Access Points)",""))))))</f>
        <v/>
      </c>
      <c r="B1934" s="0" t="str">
        <f aca="false">IF(I1934="","",IF(AND(J1934&gt;=1,J1934&lt;=K1934+3),IF(J1934&lt;=K1934,IF(J1934&lt;=99,IF((INDEX(Eingabe!$G$9:$G$18,I1934))&lt;=9,1000+(INDEX(Eingabe!$G$9:$G$18,I1934))*100,3000)+J1934,IF((INDEX(Eingabe!$G$9:$G$18,I1934)+1)&lt;=9,1000+(INDEX(Eingabe!$G$9:$G$18,I1934)+1)*100,3000)+J1934-100),IF(J1934=K1934+1,2000+INDEX(Eingabe!$G$9:$G$18,I1934)*10+1,IF(J1934=K1934+2,2000+INDEX(Eingabe!$G$9:$G$18,I1934)*10+2,2000+INDEX(Eingabe!$G$9:$G$18,I1934)*10+9))),""))</f>
        <v/>
      </c>
      <c r="C1934" s="0" t="str">
        <f aca="false">IF(I1934="","",IF(AND(J1934&gt;=1,J1934&lt;=K1934+3),"10."&amp;INDEX(Eingabe!$D$9:$D$18,I1934)&amp;"."&amp;IF(J1934&lt;=K1934,J1934,IF(J1934=K1934+1,200,IF(J1934=K1934+2,201,250)))&amp;".0/24",""))</f>
        <v/>
      </c>
      <c r="D1934" s="0" t="str">
        <f aca="false">IF(I1934="","",IF(AND(J1934&gt;=1,J1934&lt;=K1934+3),"255.255.255.0",""))</f>
        <v/>
      </c>
      <c r="E1934" s="0" t="str">
        <f aca="false">IF(I1934="","",IF(AND(J1934&gt;=1,J1934&lt;=K1934+3),"10."&amp;INDEX(Eingabe!$D$9:$D$18,I1934)&amp;"."&amp;IF(J1934&lt;=K1934,J1934,IF(J1934=K1934+1,200,IF(J1934=K1934+2,201,250)))&amp;".1",""))</f>
        <v/>
      </c>
      <c r="F1934" s="0" t="str">
        <f aca="false">IF(I1934="","",IF(AND(J1934&gt;=1,J1934&lt;=K1934+3),"10."&amp;INDEX(Eingabe!$D$9:$D$18,I1934)&amp;"."&amp;IF(J1934&lt;=K1934,J1934,IF(J1934=K1934+1,200,IF(J1934=K1934+2,201,250)))&amp;".10 – 10."&amp;INDEX(Eingabe!$D$9:$D$18,I1934)&amp;"."&amp;IF(J1934&lt;=K1934,J1934,IF(J1934=K1934+1,200,IF(J1934=K1934+2,201,250)))&amp;".250",""))</f>
        <v/>
      </c>
      <c r="G1934" s="0" t="str">
        <f aca="false">IF(I1934="","",IF(AND(J1934&gt;=1,J1934&lt;=K1934),Eingabe!$B$6&amp;"-"&amp;INDEX(Eingabe!$C$9:$C$18,I1934)&amp;"-Pächter  ·  Passwort Parzelle "&amp;J1934,IF(J1934=K1934+1,Eingabe!$B$6&amp;"-"&amp;INDEX(Eingabe!$C$9:$C$18,I1934)&amp;"-Vorstand  ·  eigenes WLAN",IF(J1934=K1934+2,Eingabe!$B$6&amp;"-"&amp;INDEX(Eingabe!$C$9:$C$18,I1934)&amp;"-Gäste  ·  Voucher",IF(J1934=K1934+3,"Kabel  ·  Access Point y = .(50+y), Mast-Switch x = .(10+x)","")))))</f>
        <v/>
      </c>
      <c r="I1934" s="0" t="str">
        <f aca="false">IF(1929&lt;=(Eingabe!$P$18+Eingabe!$Q$18-1),MATCH(1929,Eingabe!$P$9:$P$18,1),"")</f>
        <v/>
      </c>
      <c r="J1934" s="0" t="str">
        <f aca="false">IF(I1934="","",1929-INDEX(Eingabe!$P$9:$P$18,I1934))</f>
        <v/>
      </c>
      <c r="K1934" s="0" t="str">
        <f aca="false">IF(I1934="","",INDEX(Eingabe!$E$9:$E$18,I1934))</f>
        <v/>
      </c>
    </row>
    <row r="1935" customFormat="false" ht="15" hidden="false" customHeight="false" outlineLevel="0" collapsed="false">
      <c r="A1935" s="0" t="str">
        <f aca="false">IF(I1935="","",IF(J1935=0,"Sparte "&amp;I1935&amp;": "&amp;INDEX(Eingabe!$B$9:$B$18,I1935)&amp;"  (Sparten-ID "&amp;INDEX(Eingabe!$D$9:$D$18,I1935)&amp;", "&amp;K1935&amp;" Parzellen)",IF(J1935&lt;=K1935,"   Parzelle "&amp;J1935,IF(J1935=K1935+1,"   Vorstand",IF(J1935=K1935+2,"   Gäste",IF(J1935=K1935+3,"   Technik (Switches, Access Points)",""))))))</f>
        <v/>
      </c>
      <c r="B1935" s="0" t="str">
        <f aca="false">IF(I1935="","",IF(AND(J1935&gt;=1,J1935&lt;=K1935+3),IF(J1935&lt;=K1935,IF(J1935&lt;=99,IF((INDEX(Eingabe!$G$9:$G$18,I1935))&lt;=9,1000+(INDEX(Eingabe!$G$9:$G$18,I1935))*100,3000)+J1935,IF((INDEX(Eingabe!$G$9:$G$18,I1935)+1)&lt;=9,1000+(INDEX(Eingabe!$G$9:$G$18,I1935)+1)*100,3000)+J1935-100),IF(J1935=K1935+1,2000+INDEX(Eingabe!$G$9:$G$18,I1935)*10+1,IF(J1935=K1935+2,2000+INDEX(Eingabe!$G$9:$G$18,I1935)*10+2,2000+INDEX(Eingabe!$G$9:$G$18,I1935)*10+9))),""))</f>
        <v/>
      </c>
      <c r="C1935" s="0" t="str">
        <f aca="false">IF(I1935="","",IF(AND(J1935&gt;=1,J1935&lt;=K1935+3),"10."&amp;INDEX(Eingabe!$D$9:$D$18,I1935)&amp;"."&amp;IF(J1935&lt;=K1935,J1935,IF(J1935=K1935+1,200,IF(J1935=K1935+2,201,250)))&amp;".0/24",""))</f>
        <v/>
      </c>
      <c r="D1935" s="0" t="str">
        <f aca="false">IF(I1935="","",IF(AND(J1935&gt;=1,J1935&lt;=K1935+3),"255.255.255.0",""))</f>
        <v/>
      </c>
      <c r="E1935" s="0" t="str">
        <f aca="false">IF(I1935="","",IF(AND(J1935&gt;=1,J1935&lt;=K1935+3),"10."&amp;INDEX(Eingabe!$D$9:$D$18,I1935)&amp;"."&amp;IF(J1935&lt;=K1935,J1935,IF(J1935=K1935+1,200,IF(J1935=K1935+2,201,250)))&amp;".1",""))</f>
        <v/>
      </c>
      <c r="F1935" s="0" t="str">
        <f aca="false">IF(I1935="","",IF(AND(J1935&gt;=1,J1935&lt;=K1935+3),"10."&amp;INDEX(Eingabe!$D$9:$D$18,I1935)&amp;"."&amp;IF(J1935&lt;=K1935,J1935,IF(J1935=K1935+1,200,IF(J1935=K1935+2,201,250)))&amp;".10 – 10."&amp;INDEX(Eingabe!$D$9:$D$18,I1935)&amp;"."&amp;IF(J1935&lt;=K1935,J1935,IF(J1935=K1935+1,200,IF(J1935=K1935+2,201,250)))&amp;".250",""))</f>
        <v/>
      </c>
      <c r="G1935" s="0" t="str">
        <f aca="false">IF(I1935="","",IF(AND(J1935&gt;=1,J1935&lt;=K1935),Eingabe!$B$6&amp;"-"&amp;INDEX(Eingabe!$C$9:$C$18,I1935)&amp;"-Pächter  ·  Passwort Parzelle "&amp;J1935,IF(J1935=K1935+1,Eingabe!$B$6&amp;"-"&amp;INDEX(Eingabe!$C$9:$C$18,I1935)&amp;"-Vorstand  ·  eigenes WLAN",IF(J1935=K1935+2,Eingabe!$B$6&amp;"-"&amp;INDEX(Eingabe!$C$9:$C$18,I1935)&amp;"-Gäste  ·  Voucher",IF(J1935=K1935+3,"Kabel  ·  Access Point y = .(50+y), Mast-Switch x = .(10+x)","")))))</f>
        <v/>
      </c>
      <c r="I1935" s="0" t="str">
        <f aca="false">IF(1930&lt;=(Eingabe!$P$18+Eingabe!$Q$18-1),MATCH(1930,Eingabe!$P$9:$P$18,1),"")</f>
        <v/>
      </c>
      <c r="J1935" s="0" t="str">
        <f aca="false">IF(I1935="","",1930-INDEX(Eingabe!$P$9:$P$18,I1935))</f>
        <v/>
      </c>
      <c r="K1935" s="0" t="str">
        <f aca="false">IF(I1935="","",INDEX(Eingabe!$E$9:$E$18,I1935))</f>
        <v/>
      </c>
    </row>
    <row r="1936" customFormat="false" ht="15" hidden="false" customHeight="false" outlineLevel="0" collapsed="false">
      <c r="A1936" s="0" t="str">
        <f aca="false">IF(I1936="","",IF(J1936=0,"Sparte "&amp;I1936&amp;": "&amp;INDEX(Eingabe!$B$9:$B$18,I1936)&amp;"  (Sparten-ID "&amp;INDEX(Eingabe!$D$9:$D$18,I1936)&amp;", "&amp;K1936&amp;" Parzellen)",IF(J1936&lt;=K1936,"   Parzelle "&amp;J1936,IF(J1936=K1936+1,"   Vorstand",IF(J1936=K1936+2,"   Gäste",IF(J1936=K1936+3,"   Technik (Switches, Access Points)",""))))))</f>
        <v/>
      </c>
      <c r="B1936" s="0" t="str">
        <f aca="false">IF(I1936="","",IF(AND(J1936&gt;=1,J1936&lt;=K1936+3),IF(J1936&lt;=K1936,IF(J1936&lt;=99,IF((INDEX(Eingabe!$G$9:$G$18,I1936))&lt;=9,1000+(INDEX(Eingabe!$G$9:$G$18,I1936))*100,3000)+J1936,IF((INDEX(Eingabe!$G$9:$G$18,I1936)+1)&lt;=9,1000+(INDEX(Eingabe!$G$9:$G$18,I1936)+1)*100,3000)+J1936-100),IF(J1936=K1936+1,2000+INDEX(Eingabe!$G$9:$G$18,I1936)*10+1,IF(J1936=K1936+2,2000+INDEX(Eingabe!$G$9:$G$18,I1936)*10+2,2000+INDEX(Eingabe!$G$9:$G$18,I1936)*10+9))),""))</f>
        <v/>
      </c>
      <c r="C1936" s="0" t="str">
        <f aca="false">IF(I1936="","",IF(AND(J1936&gt;=1,J1936&lt;=K1936+3),"10."&amp;INDEX(Eingabe!$D$9:$D$18,I1936)&amp;"."&amp;IF(J1936&lt;=K1936,J1936,IF(J1936=K1936+1,200,IF(J1936=K1936+2,201,250)))&amp;".0/24",""))</f>
        <v/>
      </c>
      <c r="D1936" s="0" t="str">
        <f aca="false">IF(I1936="","",IF(AND(J1936&gt;=1,J1936&lt;=K1936+3),"255.255.255.0",""))</f>
        <v/>
      </c>
      <c r="E1936" s="0" t="str">
        <f aca="false">IF(I1936="","",IF(AND(J1936&gt;=1,J1936&lt;=K1936+3),"10."&amp;INDEX(Eingabe!$D$9:$D$18,I1936)&amp;"."&amp;IF(J1936&lt;=K1936,J1936,IF(J1936=K1936+1,200,IF(J1936=K1936+2,201,250)))&amp;".1",""))</f>
        <v/>
      </c>
      <c r="F1936" s="0" t="str">
        <f aca="false">IF(I1936="","",IF(AND(J1936&gt;=1,J1936&lt;=K1936+3),"10."&amp;INDEX(Eingabe!$D$9:$D$18,I1936)&amp;"."&amp;IF(J1936&lt;=K1936,J1936,IF(J1936=K1936+1,200,IF(J1936=K1936+2,201,250)))&amp;".10 – 10."&amp;INDEX(Eingabe!$D$9:$D$18,I1936)&amp;"."&amp;IF(J1936&lt;=K1936,J1936,IF(J1936=K1936+1,200,IF(J1936=K1936+2,201,250)))&amp;".250",""))</f>
        <v/>
      </c>
      <c r="G1936" s="0" t="str">
        <f aca="false">IF(I1936="","",IF(AND(J1936&gt;=1,J1936&lt;=K1936),Eingabe!$B$6&amp;"-"&amp;INDEX(Eingabe!$C$9:$C$18,I1936)&amp;"-Pächter  ·  Passwort Parzelle "&amp;J1936,IF(J1936=K1936+1,Eingabe!$B$6&amp;"-"&amp;INDEX(Eingabe!$C$9:$C$18,I1936)&amp;"-Vorstand  ·  eigenes WLAN",IF(J1936=K1936+2,Eingabe!$B$6&amp;"-"&amp;INDEX(Eingabe!$C$9:$C$18,I1936)&amp;"-Gäste  ·  Voucher",IF(J1936=K1936+3,"Kabel  ·  Access Point y = .(50+y), Mast-Switch x = .(10+x)","")))))</f>
        <v/>
      </c>
      <c r="I1936" s="0" t="str">
        <f aca="false">IF(1931&lt;=(Eingabe!$P$18+Eingabe!$Q$18-1),MATCH(1931,Eingabe!$P$9:$P$18,1),"")</f>
        <v/>
      </c>
      <c r="J1936" s="0" t="str">
        <f aca="false">IF(I1936="","",1931-INDEX(Eingabe!$P$9:$P$18,I1936))</f>
        <v/>
      </c>
      <c r="K1936" s="0" t="str">
        <f aca="false">IF(I1936="","",INDEX(Eingabe!$E$9:$E$18,I1936))</f>
        <v/>
      </c>
    </row>
    <row r="1937" customFormat="false" ht="15" hidden="false" customHeight="false" outlineLevel="0" collapsed="false">
      <c r="A1937" s="0" t="str">
        <f aca="false">IF(I1937="","",IF(J1937=0,"Sparte "&amp;I1937&amp;": "&amp;INDEX(Eingabe!$B$9:$B$18,I1937)&amp;"  (Sparten-ID "&amp;INDEX(Eingabe!$D$9:$D$18,I1937)&amp;", "&amp;K1937&amp;" Parzellen)",IF(J1937&lt;=K1937,"   Parzelle "&amp;J1937,IF(J1937=K1937+1,"   Vorstand",IF(J1937=K1937+2,"   Gäste",IF(J1937=K1937+3,"   Technik (Switches, Access Points)",""))))))</f>
        <v/>
      </c>
      <c r="B1937" s="0" t="str">
        <f aca="false">IF(I1937="","",IF(AND(J1937&gt;=1,J1937&lt;=K1937+3),IF(J1937&lt;=K1937,IF(J1937&lt;=99,IF((INDEX(Eingabe!$G$9:$G$18,I1937))&lt;=9,1000+(INDEX(Eingabe!$G$9:$G$18,I1937))*100,3000)+J1937,IF((INDEX(Eingabe!$G$9:$G$18,I1937)+1)&lt;=9,1000+(INDEX(Eingabe!$G$9:$G$18,I1937)+1)*100,3000)+J1937-100),IF(J1937=K1937+1,2000+INDEX(Eingabe!$G$9:$G$18,I1937)*10+1,IF(J1937=K1937+2,2000+INDEX(Eingabe!$G$9:$G$18,I1937)*10+2,2000+INDEX(Eingabe!$G$9:$G$18,I1937)*10+9))),""))</f>
        <v/>
      </c>
      <c r="C1937" s="0" t="str">
        <f aca="false">IF(I1937="","",IF(AND(J1937&gt;=1,J1937&lt;=K1937+3),"10."&amp;INDEX(Eingabe!$D$9:$D$18,I1937)&amp;"."&amp;IF(J1937&lt;=K1937,J1937,IF(J1937=K1937+1,200,IF(J1937=K1937+2,201,250)))&amp;".0/24",""))</f>
        <v/>
      </c>
      <c r="D1937" s="0" t="str">
        <f aca="false">IF(I1937="","",IF(AND(J1937&gt;=1,J1937&lt;=K1937+3),"255.255.255.0",""))</f>
        <v/>
      </c>
      <c r="E1937" s="0" t="str">
        <f aca="false">IF(I1937="","",IF(AND(J1937&gt;=1,J1937&lt;=K1937+3),"10."&amp;INDEX(Eingabe!$D$9:$D$18,I1937)&amp;"."&amp;IF(J1937&lt;=K1937,J1937,IF(J1937=K1937+1,200,IF(J1937=K1937+2,201,250)))&amp;".1",""))</f>
        <v/>
      </c>
      <c r="F1937" s="0" t="str">
        <f aca="false">IF(I1937="","",IF(AND(J1937&gt;=1,J1937&lt;=K1937+3),"10."&amp;INDEX(Eingabe!$D$9:$D$18,I1937)&amp;"."&amp;IF(J1937&lt;=K1937,J1937,IF(J1937=K1937+1,200,IF(J1937=K1937+2,201,250)))&amp;".10 – 10."&amp;INDEX(Eingabe!$D$9:$D$18,I1937)&amp;"."&amp;IF(J1937&lt;=K1937,J1937,IF(J1937=K1937+1,200,IF(J1937=K1937+2,201,250)))&amp;".250",""))</f>
        <v/>
      </c>
      <c r="G1937" s="0" t="str">
        <f aca="false">IF(I1937="","",IF(AND(J1937&gt;=1,J1937&lt;=K1937),Eingabe!$B$6&amp;"-"&amp;INDEX(Eingabe!$C$9:$C$18,I1937)&amp;"-Pächter  ·  Passwort Parzelle "&amp;J1937,IF(J1937=K1937+1,Eingabe!$B$6&amp;"-"&amp;INDEX(Eingabe!$C$9:$C$18,I1937)&amp;"-Vorstand  ·  eigenes WLAN",IF(J1937=K1937+2,Eingabe!$B$6&amp;"-"&amp;INDEX(Eingabe!$C$9:$C$18,I1937)&amp;"-Gäste  ·  Voucher",IF(J1937=K1937+3,"Kabel  ·  Access Point y = .(50+y), Mast-Switch x = .(10+x)","")))))</f>
        <v/>
      </c>
      <c r="I1937" s="0" t="str">
        <f aca="false">IF(1932&lt;=(Eingabe!$P$18+Eingabe!$Q$18-1),MATCH(1932,Eingabe!$P$9:$P$18,1),"")</f>
        <v/>
      </c>
      <c r="J1937" s="0" t="str">
        <f aca="false">IF(I1937="","",1932-INDEX(Eingabe!$P$9:$P$18,I1937))</f>
        <v/>
      </c>
      <c r="K1937" s="0" t="str">
        <f aca="false">IF(I1937="","",INDEX(Eingabe!$E$9:$E$18,I1937))</f>
        <v/>
      </c>
    </row>
    <row r="1938" customFormat="false" ht="15" hidden="false" customHeight="false" outlineLevel="0" collapsed="false">
      <c r="A1938" s="0" t="str">
        <f aca="false">IF(I1938="","",IF(J1938=0,"Sparte "&amp;I1938&amp;": "&amp;INDEX(Eingabe!$B$9:$B$18,I1938)&amp;"  (Sparten-ID "&amp;INDEX(Eingabe!$D$9:$D$18,I1938)&amp;", "&amp;K1938&amp;" Parzellen)",IF(J1938&lt;=K1938,"   Parzelle "&amp;J1938,IF(J1938=K1938+1,"   Vorstand",IF(J1938=K1938+2,"   Gäste",IF(J1938=K1938+3,"   Technik (Switches, Access Points)",""))))))</f>
        <v/>
      </c>
      <c r="B1938" s="0" t="str">
        <f aca="false">IF(I1938="","",IF(AND(J1938&gt;=1,J1938&lt;=K1938+3),IF(J1938&lt;=K1938,IF(J1938&lt;=99,IF((INDEX(Eingabe!$G$9:$G$18,I1938))&lt;=9,1000+(INDEX(Eingabe!$G$9:$G$18,I1938))*100,3000)+J1938,IF((INDEX(Eingabe!$G$9:$G$18,I1938)+1)&lt;=9,1000+(INDEX(Eingabe!$G$9:$G$18,I1938)+1)*100,3000)+J1938-100),IF(J1938=K1938+1,2000+INDEX(Eingabe!$G$9:$G$18,I1938)*10+1,IF(J1938=K1938+2,2000+INDEX(Eingabe!$G$9:$G$18,I1938)*10+2,2000+INDEX(Eingabe!$G$9:$G$18,I1938)*10+9))),""))</f>
        <v/>
      </c>
      <c r="C1938" s="0" t="str">
        <f aca="false">IF(I1938="","",IF(AND(J1938&gt;=1,J1938&lt;=K1938+3),"10."&amp;INDEX(Eingabe!$D$9:$D$18,I1938)&amp;"."&amp;IF(J1938&lt;=K1938,J1938,IF(J1938=K1938+1,200,IF(J1938=K1938+2,201,250)))&amp;".0/24",""))</f>
        <v/>
      </c>
      <c r="D1938" s="0" t="str">
        <f aca="false">IF(I1938="","",IF(AND(J1938&gt;=1,J1938&lt;=K1938+3),"255.255.255.0",""))</f>
        <v/>
      </c>
      <c r="E1938" s="0" t="str">
        <f aca="false">IF(I1938="","",IF(AND(J1938&gt;=1,J1938&lt;=K1938+3),"10."&amp;INDEX(Eingabe!$D$9:$D$18,I1938)&amp;"."&amp;IF(J1938&lt;=K1938,J1938,IF(J1938=K1938+1,200,IF(J1938=K1938+2,201,250)))&amp;".1",""))</f>
        <v/>
      </c>
      <c r="F1938" s="0" t="str">
        <f aca="false">IF(I1938="","",IF(AND(J1938&gt;=1,J1938&lt;=K1938+3),"10."&amp;INDEX(Eingabe!$D$9:$D$18,I1938)&amp;"."&amp;IF(J1938&lt;=K1938,J1938,IF(J1938=K1938+1,200,IF(J1938=K1938+2,201,250)))&amp;".10 – 10."&amp;INDEX(Eingabe!$D$9:$D$18,I1938)&amp;"."&amp;IF(J1938&lt;=K1938,J1938,IF(J1938=K1938+1,200,IF(J1938=K1938+2,201,250)))&amp;".250",""))</f>
        <v/>
      </c>
      <c r="G1938" s="0" t="str">
        <f aca="false">IF(I1938="","",IF(AND(J1938&gt;=1,J1938&lt;=K1938),Eingabe!$B$6&amp;"-"&amp;INDEX(Eingabe!$C$9:$C$18,I1938)&amp;"-Pächter  ·  Passwort Parzelle "&amp;J1938,IF(J1938=K1938+1,Eingabe!$B$6&amp;"-"&amp;INDEX(Eingabe!$C$9:$C$18,I1938)&amp;"-Vorstand  ·  eigenes WLAN",IF(J1938=K1938+2,Eingabe!$B$6&amp;"-"&amp;INDEX(Eingabe!$C$9:$C$18,I1938)&amp;"-Gäste  ·  Voucher",IF(J1938=K1938+3,"Kabel  ·  Access Point y = .(50+y), Mast-Switch x = .(10+x)","")))))</f>
        <v/>
      </c>
      <c r="I1938" s="0" t="str">
        <f aca="false">IF(1933&lt;=(Eingabe!$P$18+Eingabe!$Q$18-1),MATCH(1933,Eingabe!$P$9:$P$18,1),"")</f>
        <v/>
      </c>
      <c r="J1938" s="0" t="str">
        <f aca="false">IF(I1938="","",1933-INDEX(Eingabe!$P$9:$P$18,I1938))</f>
        <v/>
      </c>
      <c r="K1938" s="0" t="str">
        <f aca="false">IF(I1938="","",INDEX(Eingabe!$E$9:$E$18,I1938))</f>
        <v/>
      </c>
    </row>
    <row r="1939" customFormat="false" ht="15" hidden="false" customHeight="false" outlineLevel="0" collapsed="false">
      <c r="A1939" s="0" t="str">
        <f aca="false">IF(I1939="","",IF(J1939=0,"Sparte "&amp;I1939&amp;": "&amp;INDEX(Eingabe!$B$9:$B$18,I1939)&amp;"  (Sparten-ID "&amp;INDEX(Eingabe!$D$9:$D$18,I1939)&amp;", "&amp;K1939&amp;" Parzellen)",IF(J1939&lt;=K1939,"   Parzelle "&amp;J1939,IF(J1939=K1939+1,"   Vorstand",IF(J1939=K1939+2,"   Gäste",IF(J1939=K1939+3,"   Technik (Switches, Access Points)",""))))))</f>
        <v/>
      </c>
      <c r="B1939" s="0" t="str">
        <f aca="false">IF(I1939="","",IF(AND(J1939&gt;=1,J1939&lt;=K1939+3),IF(J1939&lt;=K1939,IF(J1939&lt;=99,IF((INDEX(Eingabe!$G$9:$G$18,I1939))&lt;=9,1000+(INDEX(Eingabe!$G$9:$G$18,I1939))*100,3000)+J1939,IF((INDEX(Eingabe!$G$9:$G$18,I1939)+1)&lt;=9,1000+(INDEX(Eingabe!$G$9:$G$18,I1939)+1)*100,3000)+J1939-100),IF(J1939=K1939+1,2000+INDEX(Eingabe!$G$9:$G$18,I1939)*10+1,IF(J1939=K1939+2,2000+INDEX(Eingabe!$G$9:$G$18,I1939)*10+2,2000+INDEX(Eingabe!$G$9:$G$18,I1939)*10+9))),""))</f>
        <v/>
      </c>
      <c r="C1939" s="0" t="str">
        <f aca="false">IF(I1939="","",IF(AND(J1939&gt;=1,J1939&lt;=K1939+3),"10."&amp;INDEX(Eingabe!$D$9:$D$18,I1939)&amp;"."&amp;IF(J1939&lt;=K1939,J1939,IF(J1939=K1939+1,200,IF(J1939=K1939+2,201,250)))&amp;".0/24",""))</f>
        <v/>
      </c>
      <c r="D1939" s="0" t="str">
        <f aca="false">IF(I1939="","",IF(AND(J1939&gt;=1,J1939&lt;=K1939+3),"255.255.255.0",""))</f>
        <v/>
      </c>
      <c r="E1939" s="0" t="str">
        <f aca="false">IF(I1939="","",IF(AND(J1939&gt;=1,J1939&lt;=K1939+3),"10."&amp;INDEX(Eingabe!$D$9:$D$18,I1939)&amp;"."&amp;IF(J1939&lt;=K1939,J1939,IF(J1939=K1939+1,200,IF(J1939=K1939+2,201,250)))&amp;".1",""))</f>
        <v/>
      </c>
      <c r="F1939" s="0" t="str">
        <f aca="false">IF(I1939="","",IF(AND(J1939&gt;=1,J1939&lt;=K1939+3),"10."&amp;INDEX(Eingabe!$D$9:$D$18,I1939)&amp;"."&amp;IF(J1939&lt;=K1939,J1939,IF(J1939=K1939+1,200,IF(J1939=K1939+2,201,250)))&amp;".10 – 10."&amp;INDEX(Eingabe!$D$9:$D$18,I1939)&amp;"."&amp;IF(J1939&lt;=K1939,J1939,IF(J1939=K1939+1,200,IF(J1939=K1939+2,201,250)))&amp;".250",""))</f>
        <v/>
      </c>
      <c r="G1939" s="0" t="str">
        <f aca="false">IF(I1939="","",IF(AND(J1939&gt;=1,J1939&lt;=K1939),Eingabe!$B$6&amp;"-"&amp;INDEX(Eingabe!$C$9:$C$18,I1939)&amp;"-Pächter  ·  Passwort Parzelle "&amp;J1939,IF(J1939=K1939+1,Eingabe!$B$6&amp;"-"&amp;INDEX(Eingabe!$C$9:$C$18,I1939)&amp;"-Vorstand  ·  eigenes WLAN",IF(J1939=K1939+2,Eingabe!$B$6&amp;"-"&amp;INDEX(Eingabe!$C$9:$C$18,I1939)&amp;"-Gäste  ·  Voucher",IF(J1939=K1939+3,"Kabel  ·  Access Point y = .(50+y), Mast-Switch x = .(10+x)","")))))</f>
        <v/>
      </c>
      <c r="I1939" s="0" t="str">
        <f aca="false">IF(1934&lt;=(Eingabe!$P$18+Eingabe!$Q$18-1),MATCH(1934,Eingabe!$P$9:$P$18,1),"")</f>
        <v/>
      </c>
      <c r="J1939" s="0" t="str">
        <f aca="false">IF(I1939="","",1934-INDEX(Eingabe!$P$9:$P$18,I1939))</f>
        <v/>
      </c>
      <c r="K1939" s="0" t="str">
        <f aca="false">IF(I1939="","",INDEX(Eingabe!$E$9:$E$18,I1939))</f>
        <v/>
      </c>
    </row>
    <row r="1940" customFormat="false" ht="15" hidden="false" customHeight="false" outlineLevel="0" collapsed="false">
      <c r="A1940" s="0" t="str">
        <f aca="false">IF(I1940="","",IF(J1940=0,"Sparte "&amp;I1940&amp;": "&amp;INDEX(Eingabe!$B$9:$B$18,I1940)&amp;"  (Sparten-ID "&amp;INDEX(Eingabe!$D$9:$D$18,I1940)&amp;", "&amp;K1940&amp;" Parzellen)",IF(J1940&lt;=K1940,"   Parzelle "&amp;J1940,IF(J1940=K1940+1,"   Vorstand",IF(J1940=K1940+2,"   Gäste",IF(J1940=K1940+3,"   Technik (Switches, Access Points)",""))))))</f>
        <v/>
      </c>
      <c r="B1940" s="0" t="str">
        <f aca="false">IF(I1940="","",IF(AND(J1940&gt;=1,J1940&lt;=K1940+3),IF(J1940&lt;=K1940,IF(J1940&lt;=99,IF((INDEX(Eingabe!$G$9:$G$18,I1940))&lt;=9,1000+(INDEX(Eingabe!$G$9:$G$18,I1940))*100,3000)+J1940,IF((INDEX(Eingabe!$G$9:$G$18,I1940)+1)&lt;=9,1000+(INDEX(Eingabe!$G$9:$G$18,I1940)+1)*100,3000)+J1940-100),IF(J1940=K1940+1,2000+INDEX(Eingabe!$G$9:$G$18,I1940)*10+1,IF(J1940=K1940+2,2000+INDEX(Eingabe!$G$9:$G$18,I1940)*10+2,2000+INDEX(Eingabe!$G$9:$G$18,I1940)*10+9))),""))</f>
        <v/>
      </c>
      <c r="C1940" s="0" t="str">
        <f aca="false">IF(I1940="","",IF(AND(J1940&gt;=1,J1940&lt;=K1940+3),"10."&amp;INDEX(Eingabe!$D$9:$D$18,I1940)&amp;"."&amp;IF(J1940&lt;=K1940,J1940,IF(J1940=K1940+1,200,IF(J1940=K1940+2,201,250)))&amp;".0/24",""))</f>
        <v/>
      </c>
      <c r="D1940" s="0" t="str">
        <f aca="false">IF(I1940="","",IF(AND(J1940&gt;=1,J1940&lt;=K1940+3),"255.255.255.0",""))</f>
        <v/>
      </c>
      <c r="E1940" s="0" t="str">
        <f aca="false">IF(I1940="","",IF(AND(J1940&gt;=1,J1940&lt;=K1940+3),"10."&amp;INDEX(Eingabe!$D$9:$D$18,I1940)&amp;"."&amp;IF(J1940&lt;=K1940,J1940,IF(J1940=K1940+1,200,IF(J1940=K1940+2,201,250)))&amp;".1",""))</f>
        <v/>
      </c>
      <c r="F1940" s="0" t="str">
        <f aca="false">IF(I1940="","",IF(AND(J1940&gt;=1,J1940&lt;=K1940+3),"10."&amp;INDEX(Eingabe!$D$9:$D$18,I1940)&amp;"."&amp;IF(J1940&lt;=K1940,J1940,IF(J1940=K1940+1,200,IF(J1940=K1940+2,201,250)))&amp;".10 – 10."&amp;INDEX(Eingabe!$D$9:$D$18,I1940)&amp;"."&amp;IF(J1940&lt;=K1940,J1940,IF(J1940=K1940+1,200,IF(J1940=K1940+2,201,250)))&amp;".250",""))</f>
        <v/>
      </c>
      <c r="G1940" s="0" t="str">
        <f aca="false">IF(I1940="","",IF(AND(J1940&gt;=1,J1940&lt;=K1940),Eingabe!$B$6&amp;"-"&amp;INDEX(Eingabe!$C$9:$C$18,I1940)&amp;"-Pächter  ·  Passwort Parzelle "&amp;J1940,IF(J1940=K1940+1,Eingabe!$B$6&amp;"-"&amp;INDEX(Eingabe!$C$9:$C$18,I1940)&amp;"-Vorstand  ·  eigenes WLAN",IF(J1940=K1940+2,Eingabe!$B$6&amp;"-"&amp;INDEX(Eingabe!$C$9:$C$18,I1940)&amp;"-Gäste  ·  Voucher",IF(J1940=K1940+3,"Kabel  ·  Access Point y = .(50+y), Mast-Switch x = .(10+x)","")))))</f>
        <v/>
      </c>
      <c r="I1940" s="0" t="str">
        <f aca="false">IF(1935&lt;=(Eingabe!$P$18+Eingabe!$Q$18-1),MATCH(1935,Eingabe!$P$9:$P$18,1),"")</f>
        <v/>
      </c>
      <c r="J1940" s="0" t="str">
        <f aca="false">IF(I1940="","",1935-INDEX(Eingabe!$P$9:$P$18,I1940))</f>
        <v/>
      </c>
      <c r="K1940" s="0" t="str">
        <f aca="false">IF(I1940="","",INDEX(Eingabe!$E$9:$E$18,I1940))</f>
        <v/>
      </c>
    </row>
    <row r="1941" customFormat="false" ht="15" hidden="false" customHeight="false" outlineLevel="0" collapsed="false">
      <c r="A1941" s="0" t="str">
        <f aca="false">IF(I1941="","",IF(J1941=0,"Sparte "&amp;I1941&amp;": "&amp;INDEX(Eingabe!$B$9:$B$18,I1941)&amp;"  (Sparten-ID "&amp;INDEX(Eingabe!$D$9:$D$18,I1941)&amp;", "&amp;K1941&amp;" Parzellen)",IF(J1941&lt;=K1941,"   Parzelle "&amp;J1941,IF(J1941=K1941+1,"   Vorstand",IF(J1941=K1941+2,"   Gäste",IF(J1941=K1941+3,"   Technik (Switches, Access Points)",""))))))</f>
        <v/>
      </c>
      <c r="B1941" s="0" t="str">
        <f aca="false">IF(I1941="","",IF(AND(J1941&gt;=1,J1941&lt;=K1941+3),IF(J1941&lt;=K1941,IF(J1941&lt;=99,IF((INDEX(Eingabe!$G$9:$G$18,I1941))&lt;=9,1000+(INDEX(Eingabe!$G$9:$G$18,I1941))*100,3000)+J1941,IF((INDEX(Eingabe!$G$9:$G$18,I1941)+1)&lt;=9,1000+(INDEX(Eingabe!$G$9:$G$18,I1941)+1)*100,3000)+J1941-100),IF(J1941=K1941+1,2000+INDEX(Eingabe!$G$9:$G$18,I1941)*10+1,IF(J1941=K1941+2,2000+INDEX(Eingabe!$G$9:$G$18,I1941)*10+2,2000+INDEX(Eingabe!$G$9:$G$18,I1941)*10+9))),""))</f>
        <v/>
      </c>
      <c r="C1941" s="0" t="str">
        <f aca="false">IF(I1941="","",IF(AND(J1941&gt;=1,J1941&lt;=K1941+3),"10."&amp;INDEX(Eingabe!$D$9:$D$18,I1941)&amp;"."&amp;IF(J1941&lt;=K1941,J1941,IF(J1941=K1941+1,200,IF(J1941=K1941+2,201,250)))&amp;".0/24",""))</f>
        <v/>
      </c>
      <c r="D1941" s="0" t="str">
        <f aca="false">IF(I1941="","",IF(AND(J1941&gt;=1,J1941&lt;=K1941+3),"255.255.255.0",""))</f>
        <v/>
      </c>
      <c r="E1941" s="0" t="str">
        <f aca="false">IF(I1941="","",IF(AND(J1941&gt;=1,J1941&lt;=K1941+3),"10."&amp;INDEX(Eingabe!$D$9:$D$18,I1941)&amp;"."&amp;IF(J1941&lt;=K1941,J1941,IF(J1941=K1941+1,200,IF(J1941=K1941+2,201,250)))&amp;".1",""))</f>
        <v/>
      </c>
      <c r="F1941" s="0" t="str">
        <f aca="false">IF(I1941="","",IF(AND(J1941&gt;=1,J1941&lt;=K1941+3),"10."&amp;INDEX(Eingabe!$D$9:$D$18,I1941)&amp;"."&amp;IF(J1941&lt;=K1941,J1941,IF(J1941=K1941+1,200,IF(J1941=K1941+2,201,250)))&amp;".10 – 10."&amp;INDEX(Eingabe!$D$9:$D$18,I1941)&amp;"."&amp;IF(J1941&lt;=K1941,J1941,IF(J1941=K1941+1,200,IF(J1941=K1941+2,201,250)))&amp;".250",""))</f>
        <v/>
      </c>
      <c r="G1941" s="0" t="str">
        <f aca="false">IF(I1941="","",IF(AND(J1941&gt;=1,J1941&lt;=K1941),Eingabe!$B$6&amp;"-"&amp;INDEX(Eingabe!$C$9:$C$18,I1941)&amp;"-Pächter  ·  Passwort Parzelle "&amp;J1941,IF(J1941=K1941+1,Eingabe!$B$6&amp;"-"&amp;INDEX(Eingabe!$C$9:$C$18,I1941)&amp;"-Vorstand  ·  eigenes WLAN",IF(J1941=K1941+2,Eingabe!$B$6&amp;"-"&amp;INDEX(Eingabe!$C$9:$C$18,I1941)&amp;"-Gäste  ·  Voucher",IF(J1941=K1941+3,"Kabel  ·  Access Point y = .(50+y), Mast-Switch x = .(10+x)","")))))</f>
        <v/>
      </c>
      <c r="I1941" s="0" t="str">
        <f aca="false">IF(1936&lt;=(Eingabe!$P$18+Eingabe!$Q$18-1),MATCH(1936,Eingabe!$P$9:$P$18,1),"")</f>
        <v/>
      </c>
      <c r="J1941" s="0" t="str">
        <f aca="false">IF(I1941="","",1936-INDEX(Eingabe!$P$9:$P$18,I1941))</f>
        <v/>
      </c>
      <c r="K1941" s="0" t="str">
        <f aca="false">IF(I1941="","",INDEX(Eingabe!$E$9:$E$18,I1941))</f>
        <v/>
      </c>
    </row>
    <row r="1942" customFormat="false" ht="15" hidden="false" customHeight="false" outlineLevel="0" collapsed="false">
      <c r="A1942" s="0" t="str">
        <f aca="false">IF(I1942="","",IF(J1942=0,"Sparte "&amp;I1942&amp;": "&amp;INDEX(Eingabe!$B$9:$B$18,I1942)&amp;"  (Sparten-ID "&amp;INDEX(Eingabe!$D$9:$D$18,I1942)&amp;", "&amp;K1942&amp;" Parzellen)",IF(J1942&lt;=K1942,"   Parzelle "&amp;J1942,IF(J1942=K1942+1,"   Vorstand",IF(J1942=K1942+2,"   Gäste",IF(J1942=K1942+3,"   Technik (Switches, Access Points)",""))))))</f>
        <v/>
      </c>
      <c r="B1942" s="0" t="str">
        <f aca="false">IF(I1942="","",IF(AND(J1942&gt;=1,J1942&lt;=K1942+3),IF(J1942&lt;=K1942,IF(J1942&lt;=99,IF((INDEX(Eingabe!$G$9:$G$18,I1942))&lt;=9,1000+(INDEX(Eingabe!$G$9:$G$18,I1942))*100,3000)+J1942,IF((INDEX(Eingabe!$G$9:$G$18,I1942)+1)&lt;=9,1000+(INDEX(Eingabe!$G$9:$G$18,I1942)+1)*100,3000)+J1942-100),IF(J1942=K1942+1,2000+INDEX(Eingabe!$G$9:$G$18,I1942)*10+1,IF(J1942=K1942+2,2000+INDEX(Eingabe!$G$9:$G$18,I1942)*10+2,2000+INDEX(Eingabe!$G$9:$G$18,I1942)*10+9))),""))</f>
        <v/>
      </c>
      <c r="C1942" s="0" t="str">
        <f aca="false">IF(I1942="","",IF(AND(J1942&gt;=1,J1942&lt;=K1942+3),"10."&amp;INDEX(Eingabe!$D$9:$D$18,I1942)&amp;"."&amp;IF(J1942&lt;=K1942,J1942,IF(J1942=K1942+1,200,IF(J1942=K1942+2,201,250)))&amp;".0/24",""))</f>
        <v/>
      </c>
      <c r="D1942" s="0" t="str">
        <f aca="false">IF(I1942="","",IF(AND(J1942&gt;=1,J1942&lt;=K1942+3),"255.255.255.0",""))</f>
        <v/>
      </c>
      <c r="E1942" s="0" t="str">
        <f aca="false">IF(I1942="","",IF(AND(J1942&gt;=1,J1942&lt;=K1942+3),"10."&amp;INDEX(Eingabe!$D$9:$D$18,I1942)&amp;"."&amp;IF(J1942&lt;=K1942,J1942,IF(J1942=K1942+1,200,IF(J1942=K1942+2,201,250)))&amp;".1",""))</f>
        <v/>
      </c>
      <c r="F1942" s="0" t="str">
        <f aca="false">IF(I1942="","",IF(AND(J1942&gt;=1,J1942&lt;=K1942+3),"10."&amp;INDEX(Eingabe!$D$9:$D$18,I1942)&amp;"."&amp;IF(J1942&lt;=K1942,J1942,IF(J1942=K1942+1,200,IF(J1942=K1942+2,201,250)))&amp;".10 – 10."&amp;INDEX(Eingabe!$D$9:$D$18,I1942)&amp;"."&amp;IF(J1942&lt;=K1942,J1942,IF(J1942=K1942+1,200,IF(J1942=K1942+2,201,250)))&amp;".250",""))</f>
        <v/>
      </c>
      <c r="G1942" s="0" t="str">
        <f aca="false">IF(I1942="","",IF(AND(J1942&gt;=1,J1942&lt;=K1942),Eingabe!$B$6&amp;"-"&amp;INDEX(Eingabe!$C$9:$C$18,I1942)&amp;"-Pächter  ·  Passwort Parzelle "&amp;J1942,IF(J1942=K1942+1,Eingabe!$B$6&amp;"-"&amp;INDEX(Eingabe!$C$9:$C$18,I1942)&amp;"-Vorstand  ·  eigenes WLAN",IF(J1942=K1942+2,Eingabe!$B$6&amp;"-"&amp;INDEX(Eingabe!$C$9:$C$18,I1942)&amp;"-Gäste  ·  Voucher",IF(J1942=K1942+3,"Kabel  ·  Access Point y = .(50+y), Mast-Switch x = .(10+x)","")))))</f>
        <v/>
      </c>
      <c r="I1942" s="0" t="str">
        <f aca="false">IF(1937&lt;=(Eingabe!$P$18+Eingabe!$Q$18-1),MATCH(1937,Eingabe!$P$9:$P$18,1),"")</f>
        <v/>
      </c>
      <c r="J1942" s="0" t="str">
        <f aca="false">IF(I1942="","",1937-INDEX(Eingabe!$P$9:$P$18,I1942))</f>
        <v/>
      </c>
      <c r="K1942" s="0" t="str">
        <f aca="false">IF(I1942="","",INDEX(Eingabe!$E$9:$E$18,I1942))</f>
        <v/>
      </c>
    </row>
    <row r="1943" customFormat="false" ht="15" hidden="false" customHeight="false" outlineLevel="0" collapsed="false">
      <c r="A1943" s="0" t="str">
        <f aca="false">IF(I1943="","",IF(J1943=0,"Sparte "&amp;I1943&amp;": "&amp;INDEX(Eingabe!$B$9:$B$18,I1943)&amp;"  (Sparten-ID "&amp;INDEX(Eingabe!$D$9:$D$18,I1943)&amp;", "&amp;K1943&amp;" Parzellen)",IF(J1943&lt;=K1943,"   Parzelle "&amp;J1943,IF(J1943=K1943+1,"   Vorstand",IF(J1943=K1943+2,"   Gäste",IF(J1943=K1943+3,"   Technik (Switches, Access Points)",""))))))</f>
        <v/>
      </c>
      <c r="B1943" s="0" t="str">
        <f aca="false">IF(I1943="","",IF(AND(J1943&gt;=1,J1943&lt;=K1943+3),IF(J1943&lt;=K1943,IF(J1943&lt;=99,IF((INDEX(Eingabe!$G$9:$G$18,I1943))&lt;=9,1000+(INDEX(Eingabe!$G$9:$G$18,I1943))*100,3000)+J1943,IF((INDEX(Eingabe!$G$9:$G$18,I1943)+1)&lt;=9,1000+(INDEX(Eingabe!$G$9:$G$18,I1943)+1)*100,3000)+J1943-100),IF(J1943=K1943+1,2000+INDEX(Eingabe!$G$9:$G$18,I1943)*10+1,IF(J1943=K1943+2,2000+INDEX(Eingabe!$G$9:$G$18,I1943)*10+2,2000+INDEX(Eingabe!$G$9:$G$18,I1943)*10+9))),""))</f>
        <v/>
      </c>
      <c r="C1943" s="0" t="str">
        <f aca="false">IF(I1943="","",IF(AND(J1943&gt;=1,J1943&lt;=K1943+3),"10."&amp;INDEX(Eingabe!$D$9:$D$18,I1943)&amp;"."&amp;IF(J1943&lt;=K1943,J1943,IF(J1943=K1943+1,200,IF(J1943=K1943+2,201,250)))&amp;".0/24",""))</f>
        <v/>
      </c>
      <c r="D1943" s="0" t="str">
        <f aca="false">IF(I1943="","",IF(AND(J1943&gt;=1,J1943&lt;=K1943+3),"255.255.255.0",""))</f>
        <v/>
      </c>
      <c r="E1943" s="0" t="str">
        <f aca="false">IF(I1943="","",IF(AND(J1943&gt;=1,J1943&lt;=K1943+3),"10."&amp;INDEX(Eingabe!$D$9:$D$18,I1943)&amp;"."&amp;IF(J1943&lt;=K1943,J1943,IF(J1943=K1943+1,200,IF(J1943=K1943+2,201,250)))&amp;".1",""))</f>
        <v/>
      </c>
      <c r="F1943" s="0" t="str">
        <f aca="false">IF(I1943="","",IF(AND(J1943&gt;=1,J1943&lt;=K1943+3),"10."&amp;INDEX(Eingabe!$D$9:$D$18,I1943)&amp;"."&amp;IF(J1943&lt;=K1943,J1943,IF(J1943=K1943+1,200,IF(J1943=K1943+2,201,250)))&amp;".10 – 10."&amp;INDEX(Eingabe!$D$9:$D$18,I1943)&amp;"."&amp;IF(J1943&lt;=K1943,J1943,IF(J1943=K1943+1,200,IF(J1943=K1943+2,201,250)))&amp;".250",""))</f>
        <v/>
      </c>
      <c r="G1943" s="0" t="str">
        <f aca="false">IF(I1943="","",IF(AND(J1943&gt;=1,J1943&lt;=K1943),Eingabe!$B$6&amp;"-"&amp;INDEX(Eingabe!$C$9:$C$18,I1943)&amp;"-Pächter  ·  Passwort Parzelle "&amp;J1943,IF(J1943=K1943+1,Eingabe!$B$6&amp;"-"&amp;INDEX(Eingabe!$C$9:$C$18,I1943)&amp;"-Vorstand  ·  eigenes WLAN",IF(J1943=K1943+2,Eingabe!$B$6&amp;"-"&amp;INDEX(Eingabe!$C$9:$C$18,I1943)&amp;"-Gäste  ·  Voucher",IF(J1943=K1943+3,"Kabel  ·  Access Point y = .(50+y), Mast-Switch x = .(10+x)","")))))</f>
        <v/>
      </c>
      <c r="I1943" s="0" t="str">
        <f aca="false">IF(1938&lt;=(Eingabe!$P$18+Eingabe!$Q$18-1),MATCH(1938,Eingabe!$P$9:$P$18,1),"")</f>
        <v/>
      </c>
      <c r="J1943" s="0" t="str">
        <f aca="false">IF(I1943="","",1938-INDEX(Eingabe!$P$9:$P$18,I1943))</f>
        <v/>
      </c>
      <c r="K1943" s="0" t="str">
        <f aca="false">IF(I1943="","",INDEX(Eingabe!$E$9:$E$18,I1943))</f>
        <v/>
      </c>
    </row>
    <row r="1944" customFormat="false" ht="15" hidden="false" customHeight="false" outlineLevel="0" collapsed="false">
      <c r="A1944" s="0" t="str">
        <f aca="false">IF(I1944="","",IF(J1944=0,"Sparte "&amp;I1944&amp;": "&amp;INDEX(Eingabe!$B$9:$B$18,I1944)&amp;"  (Sparten-ID "&amp;INDEX(Eingabe!$D$9:$D$18,I1944)&amp;", "&amp;K1944&amp;" Parzellen)",IF(J1944&lt;=K1944,"   Parzelle "&amp;J1944,IF(J1944=K1944+1,"   Vorstand",IF(J1944=K1944+2,"   Gäste",IF(J1944=K1944+3,"   Technik (Switches, Access Points)",""))))))</f>
        <v/>
      </c>
      <c r="B1944" s="0" t="str">
        <f aca="false">IF(I1944="","",IF(AND(J1944&gt;=1,J1944&lt;=K1944+3),IF(J1944&lt;=K1944,IF(J1944&lt;=99,IF((INDEX(Eingabe!$G$9:$G$18,I1944))&lt;=9,1000+(INDEX(Eingabe!$G$9:$G$18,I1944))*100,3000)+J1944,IF((INDEX(Eingabe!$G$9:$G$18,I1944)+1)&lt;=9,1000+(INDEX(Eingabe!$G$9:$G$18,I1944)+1)*100,3000)+J1944-100),IF(J1944=K1944+1,2000+INDEX(Eingabe!$G$9:$G$18,I1944)*10+1,IF(J1944=K1944+2,2000+INDEX(Eingabe!$G$9:$G$18,I1944)*10+2,2000+INDEX(Eingabe!$G$9:$G$18,I1944)*10+9))),""))</f>
        <v/>
      </c>
      <c r="C1944" s="0" t="str">
        <f aca="false">IF(I1944="","",IF(AND(J1944&gt;=1,J1944&lt;=K1944+3),"10."&amp;INDEX(Eingabe!$D$9:$D$18,I1944)&amp;"."&amp;IF(J1944&lt;=K1944,J1944,IF(J1944=K1944+1,200,IF(J1944=K1944+2,201,250)))&amp;".0/24",""))</f>
        <v/>
      </c>
      <c r="D1944" s="0" t="str">
        <f aca="false">IF(I1944="","",IF(AND(J1944&gt;=1,J1944&lt;=K1944+3),"255.255.255.0",""))</f>
        <v/>
      </c>
      <c r="E1944" s="0" t="str">
        <f aca="false">IF(I1944="","",IF(AND(J1944&gt;=1,J1944&lt;=K1944+3),"10."&amp;INDEX(Eingabe!$D$9:$D$18,I1944)&amp;"."&amp;IF(J1944&lt;=K1944,J1944,IF(J1944=K1944+1,200,IF(J1944=K1944+2,201,250)))&amp;".1",""))</f>
        <v/>
      </c>
      <c r="F1944" s="0" t="str">
        <f aca="false">IF(I1944="","",IF(AND(J1944&gt;=1,J1944&lt;=K1944+3),"10."&amp;INDEX(Eingabe!$D$9:$D$18,I1944)&amp;"."&amp;IF(J1944&lt;=K1944,J1944,IF(J1944=K1944+1,200,IF(J1944=K1944+2,201,250)))&amp;".10 – 10."&amp;INDEX(Eingabe!$D$9:$D$18,I1944)&amp;"."&amp;IF(J1944&lt;=K1944,J1944,IF(J1944=K1944+1,200,IF(J1944=K1944+2,201,250)))&amp;".250",""))</f>
        <v/>
      </c>
      <c r="G1944" s="0" t="str">
        <f aca="false">IF(I1944="","",IF(AND(J1944&gt;=1,J1944&lt;=K1944),Eingabe!$B$6&amp;"-"&amp;INDEX(Eingabe!$C$9:$C$18,I1944)&amp;"-Pächter  ·  Passwort Parzelle "&amp;J1944,IF(J1944=K1944+1,Eingabe!$B$6&amp;"-"&amp;INDEX(Eingabe!$C$9:$C$18,I1944)&amp;"-Vorstand  ·  eigenes WLAN",IF(J1944=K1944+2,Eingabe!$B$6&amp;"-"&amp;INDEX(Eingabe!$C$9:$C$18,I1944)&amp;"-Gäste  ·  Voucher",IF(J1944=K1944+3,"Kabel  ·  Access Point y = .(50+y), Mast-Switch x = .(10+x)","")))))</f>
        <v/>
      </c>
      <c r="I1944" s="0" t="str">
        <f aca="false">IF(1939&lt;=(Eingabe!$P$18+Eingabe!$Q$18-1),MATCH(1939,Eingabe!$P$9:$P$18,1),"")</f>
        <v/>
      </c>
      <c r="J1944" s="0" t="str">
        <f aca="false">IF(I1944="","",1939-INDEX(Eingabe!$P$9:$P$18,I1944))</f>
        <v/>
      </c>
      <c r="K1944" s="0" t="str">
        <f aca="false">IF(I1944="","",INDEX(Eingabe!$E$9:$E$18,I1944))</f>
        <v/>
      </c>
    </row>
    <row r="1945" customFormat="false" ht="15" hidden="false" customHeight="false" outlineLevel="0" collapsed="false">
      <c r="A1945" s="0" t="str">
        <f aca="false">IF(I1945="","",IF(J1945=0,"Sparte "&amp;I1945&amp;": "&amp;INDEX(Eingabe!$B$9:$B$18,I1945)&amp;"  (Sparten-ID "&amp;INDEX(Eingabe!$D$9:$D$18,I1945)&amp;", "&amp;K1945&amp;" Parzellen)",IF(J1945&lt;=K1945,"   Parzelle "&amp;J1945,IF(J1945=K1945+1,"   Vorstand",IF(J1945=K1945+2,"   Gäste",IF(J1945=K1945+3,"   Technik (Switches, Access Points)",""))))))</f>
        <v/>
      </c>
      <c r="B1945" s="0" t="str">
        <f aca="false">IF(I1945="","",IF(AND(J1945&gt;=1,J1945&lt;=K1945+3),IF(J1945&lt;=K1945,IF(J1945&lt;=99,IF((INDEX(Eingabe!$G$9:$G$18,I1945))&lt;=9,1000+(INDEX(Eingabe!$G$9:$G$18,I1945))*100,3000)+J1945,IF((INDEX(Eingabe!$G$9:$G$18,I1945)+1)&lt;=9,1000+(INDEX(Eingabe!$G$9:$G$18,I1945)+1)*100,3000)+J1945-100),IF(J1945=K1945+1,2000+INDEX(Eingabe!$G$9:$G$18,I1945)*10+1,IF(J1945=K1945+2,2000+INDEX(Eingabe!$G$9:$G$18,I1945)*10+2,2000+INDEX(Eingabe!$G$9:$G$18,I1945)*10+9))),""))</f>
        <v/>
      </c>
      <c r="C1945" s="0" t="str">
        <f aca="false">IF(I1945="","",IF(AND(J1945&gt;=1,J1945&lt;=K1945+3),"10."&amp;INDEX(Eingabe!$D$9:$D$18,I1945)&amp;"."&amp;IF(J1945&lt;=K1945,J1945,IF(J1945=K1945+1,200,IF(J1945=K1945+2,201,250)))&amp;".0/24",""))</f>
        <v/>
      </c>
      <c r="D1945" s="0" t="str">
        <f aca="false">IF(I1945="","",IF(AND(J1945&gt;=1,J1945&lt;=K1945+3),"255.255.255.0",""))</f>
        <v/>
      </c>
      <c r="E1945" s="0" t="str">
        <f aca="false">IF(I1945="","",IF(AND(J1945&gt;=1,J1945&lt;=K1945+3),"10."&amp;INDEX(Eingabe!$D$9:$D$18,I1945)&amp;"."&amp;IF(J1945&lt;=K1945,J1945,IF(J1945=K1945+1,200,IF(J1945=K1945+2,201,250)))&amp;".1",""))</f>
        <v/>
      </c>
      <c r="F1945" s="0" t="str">
        <f aca="false">IF(I1945="","",IF(AND(J1945&gt;=1,J1945&lt;=K1945+3),"10."&amp;INDEX(Eingabe!$D$9:$D$18,I1945)&amp;"."&amp;IF(J1945&lt;=K1945,J1945,IF(J1945=K1945+1,200,IF(J1945=K1945+2,201,250)))&amp;".10 – 10."&amp;INDEX(Eingabe!$D$9:$D$18,I1945)&amp;"."&amp;IF(J1945&lt;=K1945,J1945,IF(J1945=K1945+1,200,IF(J1945=K1945+2,201,250)))&amp;".250",""))</f>
        <v/>
      </c>
      <c r="G1945" s="0" t="str">
        <f aca="false">IF(I1945="","",IF(AND(J1945&gt;=1,J1945&lt;=K1945),Eingabe!$B$6&amp;"-"&amp;INDEX(Eingabe!$C$9:$C$18,I1945)&amp;"-Pächter  ·  Passwort Parzelle "&amp;J1945,IF(J1945=K1945+1,Eingabe!$B$6&amp;"-"&amp;INDEX(Eingabe!$C$9:$C$18,I1945)&amp;"-Vorstand  ·  eigenes WLAN",IF(J1945=K1945+2,Eingabe!$B$6&amp;"-"&amp;INDEX(Eingabe!$C$9:$C$18,I1945)&amp;"-Gäste  ·  Voucher",IF(J1945=K1945+3,"Kabel  ·  Access Point y = .(50+y), Mast-Switch x = .(10+x)","")))))</f>
        <v/>
      </c>
      <c r="I1945" s="0" t="str">
        <f aca="false">IF(1940&lt;=(Eingabe!$P$18+Eingabe!$Q$18-1),MATCH(1940,Eingabe!$P$9:$P$18,1),"")</f>
        <v/>
      </c>
      <c r="J1945" s="0" t="str">
        <f aca="false">IF(I1945="","",1940-INDEX(Eingabe!$P$9:$P$18,I1945))</f>
        <v/>
      </c>
      <c r="K1945" s="0" t="str">
        <f aca="false">IF(I1945="","",INDEX(Eingabe!$E$9:$E$18,I1945))</f>
        <v/>
      </c>
    </row>
    <row r="1946" customFormat="false" ht="15" hidden="false" customHeight="false" outlineLevel="0" collapsed="false">
      <c r="A1946" s="0" t="str">
        <f aca="false">IF(I1946="","",IF(J1946=0,"Sparte "&amp;I1946&amp;": "&amp;INDEX(Eingabe!$B$9:$B$18,I1946)&amp;"  (Sparten-ID "&amp;INDEX(Eingabe!$D$9:$D$18,I1946)&amp;", "&amp;K1946&amp;" Parzellen)",IF(J1946&lt;=K1946,"   Parzelle "&amp;J1946,IF(J1946=K1946+1,"   Vorstand",IF(J1946=K1946+2,"   Gäste",IF(J1946=K1946+3,"   Technik (Switches, Access Points)",""))))))</f>
        <v/>
      </c>
      <c r="B1946" s="0" t="str">
        <f aca="false">IF(I1946="","",IF(AND(J1946&gt;=1,J1946&lt;=K1946+3),IF(J1946&lt;=K1946,IF(J1946&lt;=99,IF((INDEX(Eingabe!$G$9:$G$18,I1946))&lt;=9,1000+(INDEX(Eingabe!$G$9:$G$18,I1946))*100,3000)+J1946,IF((INDEX(Eingabe!$G$9:$G$18,I1946)+1)&lt;=9,1000+(INDEX(Eingabe!$G$9:$G$18,I1946)+1)*100,3000)+J1946-100),IF(J1946=K1946+1,2000+INDEX(Eingabe!$G$9:$G$18,I1946)*10+1,IF(J1946=K1946+2,2000+INDEX(Eingabe!$G$9:$G$18,I1946)*10+2,2000+INDEX(Eingabe!$G$9:$G$18,I1946)*10+9))),""))</f>
        <v/>
      </c>
      <c r="C1946" s="0" t="str">
        <f aca="false">IF(I1946="","",IF(AND(J1946&gt;=1,J1946&lt;=K1946+3),"10."&amp;INDEX(Eingabe!$D$9:$D$18,I1946)&amp;"."&amp;IF(J1946&lt;=K1946,J1946,IF(J1946=K1946+1,200,IF(J1946=K1946+2,201,250)))&amp;".0/24",""))</f>
        <v/>
      </c>
      <c r="D1946" s="0" t="str">
        <f aca="false">IF(I1946="","",IF(AND(J1946&gt;=1,J1946&lt;=K1946+3),"255.255.255.0",""))</f>
        <v/>
      </c>
      <c r="E1946" s="0" t="str">
        <f aca="false">IF(I1946="","",IF(AND(J1946&gt;=1,J1946&lt;=K1946+3),"10."&amp;INDEX(Eingabe!$D$9:$D$18,I1946)&amp;"."&amp;IF(J1946&lt;=K1946,J1946,IF(J1946=K1946+1,200,IF(J1946=K1946+2,201,250)))&amp;".1",""))</f>
        <v/>
      </c>
      <c r="F1946" s="0" t="str">
        <f aca="false">IF(I1946="","",IF(AND(J1946&gt;=1,J1946&lt;=K1946+3),"10."&amp;INDEX(Eingabe!$D$9:$D$18,I1946)&amp;"."&amp;IF(J1946&lt;=K1946,J1946,IF(J1946=K1946+1,200,IF(J1946=K1946+2,201,250)))&amp;".10 – 10."&amp;INDEX(Eingabe!$D$9:$D$18,I1946)&amp;"."&amp;IF(J1946&lt;=K1946,J1946,IF(J1946=K1946+1,200,IF(J1946=K1946+2,201,250)))&amp;".250",""))</f>
        <v/>
      </c>
      <c r="G1946" s="0" t="str">
        <f aca="false">IF(I1946="","",IF(AND(J1946&gt;=1,J1946&lt;=K1946),Eingabe!$B$6&amp;"-"&amp;INDEX(Eingabe!$C$9:$C$18,I1946)&amp;"-Pächter  ·  Passwort Parzelle "&amp;J1946,IF(J1946=K1946+1,Eingabe!$B$6&amp;"-"&amp;INDEX(Eingabe!$C$9:$C$18,I1946)&amp;"-Vorstand  ·  eigenes WLAN",IF(J1946=K1946+2,Eingabe!$B$6&amp;"-"&amp;INDEX(Eingabe!$C$9:$C$18,I1946)&amp;"-Gäste  ·  Voucher",IF(J1946=K1946+3,"Kabel  ·  Access Point y = .(50+y), Mast-Switch x = .(10+x)","")))))</f>
        <v/>
      </c>
      <c r="I1946" s="0" t="str">
        <f aca="false">IF(1941&lt;=(Eingabe!$P$18+Eingabe!$Q$18-1),MATCH(1941,Eingabe!$P$9:$P$18,1),"")</f>
        <v/>
      </c>
      <c r="J1946" s="0" t="str">
        <f aca="false">IF(I1946="","",1941-INDEX(Eingabe!$P$9:$P$18,I1946))</f>
        <v/>
      </c>
      <c r="K1946" s="0" t="str">
        <f aca="false">IF(I1946="","",INDEX(Eingabe!$E$9:$E$18,I1946))</f>
        <v/>
      </c>
    </row>
    <row r="1947" customFormat="false" ht="15" hidden="false" customHeight="false" outlineLevel="0" collapsed="false">
      <c r="A1947" s="0" t="str">
        <f aca="false">IF(I1947="","",IF(J1947=0,"Sparte "&amp;I1947&amp;": "&amp;INDEX(Eingabe!$B$9:$B$18,I1947)&amp;"  (Sparten-ID "&amp;INDEX(Eingabe!$D$9:$D$18,I1947)&amp;", "&amp;K1947&amp;" Parzellen)",IF(J1947&lt;=K1947,"   Parzelle "&amp;J1947,IF(J1947=K1947+1,"   Vorstand",IF(J1947=K1947+2,"   Gäste",IF(J1947=K1947+3,"   Technik (Switches, Access Points)",""))))))</f>
        <v/>
      </c>
      <c r="B1947" s="0" t="str">
        <f aca="false">IF(I1947="","",IF(AND(J1947&gt;=1,J1947&lt;=K1947+3),IF(J1947&lt;=K1947,IF(J1947&lt;=99,IF((INDEX(Eingabe!$G$9:$G$18,I1947))&lt;=9,1000+(INDEX(Eingabe!$G$9:$G$18,I1947))*100,3000)+J1947,IF((INDEX(Eingabe!$G$9:$G$18,I1947)+1)&lt;=9,1000+(INDEX(Eingabe!$G$9:$G$18,I1947)+1)*100,3000)+J1947-100),IF(J1947=K1947+1,2000+INDEX(Eingabe!$G$9:$G$18,I1947)*10+1,IF(J1947=K1947+2,2000+INDEX(Eingabe!$G$9:$G$18,I1947)*10+2,2000+INDEX(Eingabe!$G$9:$G$18,I1947)*10+9))),""))</f>
        <v/>
      </c>
      <c r="C1947" s="0" t="str">
        <f aca="false">IF(I1947="","",IF(AND(J1947&gt;=1,J1947&lt;=K1947+3),"10."&amp;INDEX(Eingabe!$D$9:$D$18,I1947)&amp;"."&amp;IF(J1947&lt;=K1947,J1947,IF(J1947=K1947+1,200,IF(J1947=K1947+2,201,250)))&amp;".0/24",""))</f>
        <v/>
      </c>
      <c r="D1947" s="0" t="str">
        <f aca="false">IF(I1947="","",IF(AND(J1947&gt;=1,J1947&lt;=K1947+3),"255.255.255.0",""))</f>
        <v/>
      </c>
      <c r="E1947" s="0" t="str">
        <f aca="false">IF(I1947="","",IF(AND(J1947&gt;=1,J1947&lt;=K1947+3),"10."&amp;INDEX(Eingabe!$D$9:$D$18,I1947)&amp;"."&amp;IF(J1947&lt;=K1947,J1947,IF(J1947=K1947+1,200,IF(J1947=K1947+2,201,250)))&amp;".1",""))</f>
        <v/>
      </c>
      <c r="F1947" s="0" t="str">
        <f aca="false">IF(I1947="","",IF(AND(J1947&gt;=1,J1947&lt;=K1947+3),"10."&amp;INDEX(Eingabe!$D$9:$D$18,I1947)&amp;"."&amp;IF(J1947&lt;=K1947,J1947,IF(J1947=K1947+1,200,IF(J1947=K1947+2,201,250)))&amp;".10 – 10."&amp;INDEX(Eingabe!$D$9:$D$18,I1947)&amp;"."&amp;IF(J1947&lt;=K1947,J1947,IF(J1947=K1947+1,200,IF(J1947=K1947+2,201,250)))&amp;".250",""))</f>
        <v/>
      </c>
      <c r="G1947" s="0" t="str">
        <f aca="false">IF(I1947="","",IF(AND(J1947&gt;=1,J1947&lt;=K1947),Eingabe!$B$6&amp;"-"&amp;INDEX(Eingabe!$C$9:$C$18,I1947)&amp;"-Pächter  ·  Passwort Parzelle "&amp;J1947,IF(J1947=K1947+1,Eingabe!$B$6&amp;"-"&amp;INDEX(Eingabe!$C$9:$C$18,I1947)&amp;"-Vorstand  ·  eigenes WLAN",IF(J1947=K1947+2,Eingabe!$B$6&amp;"-"&amp;INDEX(Eingabe!$C$9:$C$18,I1947)&amp;"-Gäste  ·  Voucher",IF(J1947=K1947+3,"Kabel  ·  Access Point y = .(50+y), Mast-Switch x = .(10+x)","")))))</f>
        <v/>
      </c>
      <c r="I1947" s="0" t="str">
        <f aca="false">IF(1942&lt;=(Eingabe!$P$18+Eingabe!$Q$18-1),MATCH(1942,Eingabe!$P$9:$P$18,1),"")</f>
        <v/>
      </c>
      <c r="J1947" s="0" t="str">
        <f aca="false">IF(I1947="","",1942-INDEX(Eingabe!$P$9:$P$18,I1947))</f>
        <v/>
      </c>
      <c r="K1947" s="0" t="str">
        <f aca="false">IF(I1947="","",INDEX(Eingabe!$E$9:$E$18,I1947))</f>
        <v/>
      </c>
    </row>
    <row r="1948" customFormat="false" ht="15" hidden="false" customHeight="false" outlineLevel="0" collapsed="false">
      <c r="A1948" s="0" t="str">
        <f aca="false">IF(I1948="","",IF(J1948=0,"Sparte "&amp;I1948&amp;": "&amp;INDEX(Eingabe!$B$9:$B$18,I1948)&amp;"  (Sparten-ID "&amp;INDEX(Eingabe!$D$9:$D$18,I1948)&amp;", "&amp;K1948&amp;" Parzellen)",IF(J1948&lt;=K1948,"   Parzelle "&amp;J1948,IF(J1948=K1948+1,"   Vorstand",IF(J1948=K1948+2,"   Gäste",IF(J1948=K1948+3,"   Technik (Switches, Access Points)",""))))))</f>
        <v/>
      </c>
      <c r="B1948" s="0" t="str">
        <f aca="false">IF(I1948="","",IF(AND(J1948&gt;=1,J1948&lt;=K1948+3),IF(J1948&lt;=K1948,IF(J1948&lt;=99,IF((INDEX(Eingabe!$G$9:$G$18,I1948))&lt;=9,1000+(INDEX(Eingabe!$G$9:$G$18,I1948))*100,3000)+J1948,IF((INDEX(Eingabe!$G$9:$G$18,I1948)+1)&lt;=9,1000+(INDEX(Eingabe!$G$9:$G$18,I1948)+1)*100,3000)+J1948-100),IF(J1948=K1948+1,2000+INDEX(Eingabe!$G$9:$G$18,I1948)*10+1,IF(J1948=K1948+2,2000+INDEX(Eingabe!$G$9:$G$18,I1948)*10+2,2000+INDEX(Eingabe!$G$9:$G$18,I1948)*10+9))),""))</f>
        <v/>
      </c>
      <c r="C1948" s="0" t="str">
        <f aca="false">IF(I1948="","",IF(AND(J1948&gt;=1,J1948&lt;=K1948+3),"10."&amp;INDEX(Eingabe!$D$9:$D$18,I1948)&amp;"."&amp;IF(J1948&lt;=K1948,J1948,IF(J1948=K1948+1,200,IF(J1948=K1948+2,201,250)))&amp;".0/24",""))</f>
        <v/>
      </c>
      <c r="D1948" s="0" t="str">
        <f aca="false">IF(I1948="","",IF(AND(J1948&gt;=1,J1948&lt;=K1948+3),"255.255.255.0",""))</f>
        <v/>
      </c>
      <c r="E1948" s="0" t="str">
        <f aca="false">IF(I1948="","",IF(AND(J1948&gt;=1,J1948&lt;=K1948+3),"10."&amp;INDEX(Eingabe!$D$9:$D$18,I1948)&amp;"."&amp;IF(J1948&lt;=K1948,J1948,IF(J1948=K1948+1,200,IF(J1948=K1948+2,201,250)))&amp;".1",""))</f>
        <v/>
      </c>
      <c r="F1948" s="0" t="str">
        <f aca="false">IF(I1948="","",IF(AND(J1948&gt;=1,J1948&lt;=K1948+3),"10."&amp;INDEX(Eingabe!$D$9:$D$18,I1948)&amp;"."&amp;IF(J1948&lt;=K1948,J1948,IF(J1948=K1948+1,200,IF(J1948=K1948+2,201,250)))&amp;".10 – 10."&amp;INDEX(Eingabe!$D$9:$D$18,I1948)&amp;"."&amp;IF(J1948&lt;=K1948,J1948,IF(J1948=K1948+1,200,IF(J1948=K1948+2,201,250)))&amp;".250",""))</f>
        <v/>
      </c>
      <c r="G1948" s="0" t="str">
        <f aca="false">IF(I1948="","",IF(AND(J1948&gt;=1,J1948&lt;=K1948),Eingabe!$B$6&amp;"-"&amp;INDEX(Eingabe!$C$9:$C$18,I1948)&amp;"-Pächter  ·  Passwort Parzelle "&amp;J1948,IF(J1948=K1948+1,Eingabe!$B$6&amp;"-"&amp;INDEX(Eingabe!$C$9:$C$18,I1948)&amp;"-Vorstand  ·  eigenes WLAN",IF(J1948=K1948+2,Eingabe!$B$6&amp;"-"&amp;INDEX(Eingabe!$C$9:$C$18,I1948)&amp;"-Gäste  ·  Voucher",IF(J1948=K1948+3,"Kabel  ·  Access Point y = .(50+y), Mast-Switch x = .(10+x)","")))))</f>
        <v/>
      </c>
      <c r="I1948" s="0" t="str">
        <f aca="false">IF(1943&lt;=(Eingabe!$P$18+Eingabe!$Q$18-1),MATCH(1943,Eingabe!$P$9:$P$18,1),"")</f>
        <v/>
      </c>
      <c r="J1948" s="0" t="str">
        <f aca="false">IF(I1948="","",1943-INDEX(Eingabe!$P$9:$P$18,I1948))</f>
        <v/>
      </c>
      <c r="K1948" s="0" t="str">
        <f aca="false">IF(I1948="","",INDEX(Eingabe!$E$9:$E$18,I1948))</f>
        <v/>
      </c>
    </row>
    <row r="1949" customFormat="false" ht="15" hidden="false" customHeight="false" outlineLevel="0" collapsed="false">
      <c r="A1949" s="0" t="str">
        <f aca="false">IF(I1949="","",IF(J1949=0,"Sparte "&amp;I1949&amp;": "&amp;INDEX(Eingabe!$B$9:$B$18,I1949)&amp;"  (Sparten-ID "&amp;INDEX(Eingabe!$D$9:$D$18,I1949)&amp;", "&amp;K1949&amp;" Parzellen)",IF(J1949&lt;=K1949,"   Parzelle "&amp;J1949,IF(J1949=K1949+1,"   Vorstand",IF(J1949=K1949+2,"   Gäste",IF(J1949=K1949+3,"   Technik (Switches, Access Points)",""))))))</f>
        <v/>
      </c>
      <c r="B1949" s="0" t="str">
        <f aca="false">IF(I1949="","",IF(AND(J1949&gt;=1,J1949&lt;=K1949+3),IF(J1949&lt;=K1949,IF(J1949&lt;=99,IF((INDEX(Eingabe!$G$9:$G$18,I1949))&lt;=9,1000+(INDEX(Eingabe!$G$9:$G$18,I1949))*100,3000)+J1949,IF((INDEX(Eingabe!$G$9:$G$18,I1949)+1)&lt;=9,1000+(INDEX(Eingabe!$G$9:$G$18,I1949)+1)*100,3000)+J1949-100),IF(J1949=K1949+1,2000+INDEX(Eingabe!$G$9:$G$18,I1949)*10+1,IF(J1949=K1949+2,2000+INDEX(Eingabe!$G$9:$G$18,I1949)*10+2,2000+INDEX(Eingabe!$G$9:$G$18,I1949)*10+9))),""))</f>
        <v/>
      </c>
      <c r="C1949" s="0" t="str">
        <f aca="false">IF(I1949="","",IF(AND(J1949&gt;=1,J1949&lt;=K1949+3),"10."&amp;INDEX(Eingabe!$D$9:$D$18,I1949)&amp;"."&amp;IF(J1949&lt;=K1949,J1949,IF(J1949=K1949+1,200,IF(J1949=K1949+2,201,250)))&amp;".0/24",""))</f>
        <v/>
      </c>
      <c r="D1949" s="0" t="str">
        <f aca="false">IF(I1949="","",IF(AND(J1949&gt;=1,J1949&lt;=K1949+3),"255.255.255.0",""))</f>
        <v/>
      </c>
      <c r="E1949" s="0" t="str">
        <f aca="false">IF(I1949="","",IF(AND(J1949&gt;=1,J1949&lt;=K1949+3),"10."&amp;INDEX(Eingabe!$D$9:$D$18,I1949)&amp;"."&amp;IF(J1949&lt;=K1949,J1949,IF(J1949=K1949+1,200,IF(J1949=K1949+2,201,250)))&amp;".1",""))</f>
        <v/>
      </c>
      <c r="F1949" s="0" t="str">
        <f aca="false">IF(I1949="","",IF(AND(J1949&gt;=1,J1949&lt;=K1949+3),"10."&amp;INDEX(Eingabe!$D$9:$D$18,I1949)&amp;"."&amp;IF(J1949&lt;=K1949,J1949,IF(J1949=K1949+1,200,IF(J1949=K1949+2,201,250)))&amp;".10 – 10."&amp;INDEX(Eingabe!$D$9:$D$18,I1949)&amp;"."&amp;IF(J1949&lt;=K1949,J1949,IF(J1949=K1949+1,200,IF(J1949=K1949+2,201,250)))&amp;".250",""))</f>
        <v/>
      </c>
      <c r="G1949" s="0" t="str">
        <f aca="false">IF(I1949="","",IF(AND(J1949&gt;=1,J1949&lt;=K1949),Eingabe!$B$6&amp;"-"&amp;INDEX(Eingabe!$C$9:$C$18,I1949)&amp;"-Pächter  ·  Passwort Parzelle "&amp;J1949,IF(J1949=K1949+1,Eingabe!$B$6&amp;"-"&amp;INDEX(Eingabe!$C$9:$C$18,I1949)&amp;"-Vorstand  ·  eigenes WLAN",IF(J1949=K1949+2,Eingabe!$B$6&amp;"-"&amp;INDEX(Eingabe!$C$9:$C$18,I1949)&amp;"-Gäste  ·  Voucher",IF(J1949=K1949+3,"Kabel  ·  Access Point y = .(50+y), Mast-Switch x = .(10+x)","")))))</f>
        <v/>
      </c>
      <c r="I1949" s="0" t="str">
        <f aca="false">IF(1944&lt;=(Eingabe!$P$18+Eingabe!$Q$18-1),MATCH(1944,Eingabe!$P$9:$P$18,1),"")</f>
        <v/>
      </c>
      <c r="J1949" s="0" t="str">
        <f aca="false">IF(I1949="","",1944-INDEX(Eingabe!$P$9:$P$18,I1949))</f>
        <v/>
      </c>
      <c r="K1949" s="0" t="str">
        <f aca="false">IF(I1949="","",INDEX(Eingabe!$E$9:$E$18,I1949))</f>
        <v/>
      </c>
    </row>
    <row r="1950" customFormat="false" ht="15" hidden="false" customHeight="false" outlineLevel="0" collapsed="false">
      <c r="A1950" s="0" t="str">
        <f aca="false">IF(I1950="","",IF(J1950=0,"Sparte "&amp;I1950&amp;": "&amp;INDEX(Eingabe!$B$9:$B$18,I1950)&amp;"  (Sparten-ID "&amp;INDEX(Eingabe!$D$9:$D$18,I1950)&amp;", "&amp;K1950&amp;" Parzellen)",IF(J1950&lt;=K1950,"   Parzelle "&amp;J1950,IF(J1950=K1950+1,"   Vorstand",IF(J1950=K1950+2,"   Gäste",IF(J1950=K1950+3,"   Technik (Switches, Access Points)",""))))))</f>
        <v/>
      </c>
      <c r="B1950" s="0" t="str">
        <f aca="false">IF(I1950="","",IF(AND(J1950&gt;=1,J1950&lt;=K1950+3),IF(J1950&lt;=K1950,IF(J1950&lt;=99,IF((INDEX(Eingabe!$G$9:$G$18,I1950))&lt;=9,1000+(INDEX(Eingabe!$G$9:$G$18,I1950))*100,3000)+J1950,IF((INDEX(Eingabe!$G$9:$G$18,I1950)+1)&lt;=9,1000+(INDEX(Eingabe!$G$9:$G$18,I1950)+1)*100,3000)+J1950-100),IF(J1950=K1950+1,2000+INDEX(Eingabe!$G$9:$G$18,I1950)*10+1,IF(J1950=K1950+2,2000+INDEX(Eingabe!$G$9:$G$18,I1950)*10+2,2000+INDEX(Eingabe!$G$9:$G$18,I1950)*10+9))),""))</f>
        <v/>
      </c>
      <c r="C1950" s="0" t="str">
        <f aca="false">IF(I1950="","",IF(AND(J1950&gt;=1,J1950&lt;=K1950+3),"10."&amp;INDEX(Eingabe!$D$9:$D$18,I1950)&amp;"."&amp;IF(J1950&lt;=K1950,J1950,IF(J1950=K1950+1,200,IF(J1950=K1950+2,201,250)))&amp;".0/24",""))</f>
        <v/>
      </c>
      <c r="D1950" s="0" t="str">
        <f aca="false">IF(I1950="","",IF(AND(J1950&gt;=1,J1950&lt;=K1950+3),"255.255.255.0",""))</f>
        <v/>
      </c>
      <c r="E1950" s="0" t="str">
        <f aca="false">IF(I1950="","",IF(AND(J1950&gt;=1,J1950&lt;=K1950+3),"10."&amp;INDEX(Eingabe!$D$9:$D$18,I1950)&amp;"."&amp;IF(J1950&lt;=K1950,J1950,IF(J1950=K1950+1,200,IF(J1950=K1950+2,201,250)))&amp;".1",""))</f>
        <v/>
      </c>
      <c r="F1950" s="0" t="str">
        <f aca="false">IF(I1950="","",IF(AND(J1950&gt;=1,J1950&lt;=K1950+3),"10."&amp;INDEX(Eingabe!$D$9:$D$18,I1950)&amp;"."&amp;IF(J1950&lt;=K1950,J1950,IF(J1950=K1950+1,200,IF(J1950=K1950+2,201,250)))&amp;".10 – 10."&amp;INDEX(Eingabe!$D$9:$D$18,I1950)&amp;"."&amp;IF(J1950&lt;=K1950,J1950,IF(J1950=K1950+1,200,IF(J1950=K1950+2,201,250)))&amp;".250",""))</f>
        <v/>
      </c>
      <c r="G1950" s="0" t="str">
        <f aca="false">IF(I1950="","",IF(AND(J1950&gt;=1,J1950&lt;=K1950),Eingabe!$B$6&amp;"-"&amp;INDEX(Eingabe!$C$9:$C$18,I1950)&amp;"-Pächter  ·  Passwort Parzelle "&amp;J1950,IF(J1950=K1950+1,Eingabe!$B$6&amp;"-"&amp;INDEX(Eingabe!$C$9:$C$18,I1950)&amp;"-Vorstand  ·  eigenes WLAN",IF(J1950=K1950+2,Eingabe!$B$6&amp;"-"&amp;INDEX(Eingabe!$C$9:$C$18,I1950)&amp;"-Gäste  ·  Voucher",IF(J1950=K1950+3,"Kabel  ·  Access Point y = .(50+y), Mast-Switch x = .(10+x)","")))))</f>
        <v/>
      </c>
      <c r="I1950" s="0" t="str">
        <f aca="false">IF(1945&lt;=(Eingabe!$P$18+Eingabe!$Q$18-1),MATCH(1945,Eingabe!$P$9:$P$18,1),"")</f>
        <v/>
      </c>
      <c r="J1950" s="0" t="str">
        <f aca="false">IF(I1950="","",1945-INDEX(Eingabe!$P$9:$P$18,I1950))</f>
        <v/>
      </c>
      <c r="K1950" s="0" t="str">
        <f aca="false">IF(I1950="","",INDEX(Eingabe!$E$9:$E$18,I1950))</f>
        <v/>
      </c>
    </row>
    <row r="1951" customFormat="false" ht="15" hidden="false" customHeight="false" outlineLevel="0" collapsed="false">
      <c r="A1951" s="0" t="str">
        <f aca="false">IF(I1951="","",IF(J1951=0,"Sparte "&amp;I1951&amp;": "&amp;INDEX(Eingabe!$B$9:$B$18,I1951)&amp;"  (Sparten-ID "&amp;INDEX(Eingabe!$D$9:$D$18,I1951)&amp;", "&amp;K1951&amp;" Parzellen)",IF(J1951&lt;=K1951,"   Parzelle "&amp;J1951,IF(J1951=K1951+1,"   Vorstand",IF(J1951=K1951+2,"   Gäste",IF(J1951=K1951+3,"   Technik (Switches, Access Points)",""))))))</f>
        <v/>
      </c>
      <c r="B1951" s="0" t="str">
        <f aca="false">IF(I1951="","",IF(AND(J1951&gt;=1,J1951&lt;=K1951+3),IF(J1951&lt;=K1951,IF(J1951&lt;=99,IF((INDEX(Eingabe!$G$9:$G$18,I1951))&lt;=9,1000+(INDEX(Eingabe!$G$9:$G$18,I1951))*100,3000)+J1951,IF((INDEX(Eingabe!$G$9:$G$18,I1951)+1)&lt;=9,1000+(INDEX(Eingabe!$G$9:$G$18,I1951)+1)*100,3000)+J1951-100),IF(J1951=K1951+1,2000+INDEX(Eingabe!$G$9:$G$18,I1951)*10+1,IF(J1951=K1951+2,2000+INDEX(Eingabe!$G$9:$G$18,I1951)*10+2,2000+INDEX(Eingabe!$G$9:$G$18,I1951)*10+9))),""))</f>
        <v/>
      </c>
      <c r="C1951" s="0" t="str">
        <f aca="false">IF(I1951="","",IF(AND(J1951&gt;=1,J1951&lt;=K1951+3),"10."&amp;INDEX(Eingabe!$D$9:$D$18,I1951)&amp;"."&amp;IF(J1951&lt;=K1951,J1951,IF(J1951=K1951+1,200,IF(J1951=K1951+2,201,250)))&amp;".0/24",""))</f>
        <v/>
      </c>
      <c r="D1951" s="0" t="str">
        <f aca="false">IF(I1951="","",IF(AND(J1951&gt;=1,J1951&lt;=K1951+3),"255.255.255.0",""))</f>
        <v/>
      </c>
      <c r="E1951" s="0" t="str">
        <f aca="false">IF(I1951="","",IF(AND(J1951&gt;=1,J1951&lt;=K1951+3),"10."&amp;INDEX(Eingabe!$D$9:$D$18,I1951)&amp;"."&amp;IF(J1951&lt;=K1951,J1951,IF(J1951=K1951+1,200,IF(J1951=K1951+2,201,250)))&amp;".1",""))</f>
        <v/>
      </c>
      <c r="F1951" s="0" t="str">
        <f aca="false">IF(I1951="","",IF(AND(J1951&gt;=1,J1951&lt;=K1951+3),"10."&amp;INDEX(Eingabe!$D$9:$D$18,I1951)&amp;"."&amp;IF(J1951&lt;=K1951,J1951,IF(J1951=K1951+1,200,IF(J1951=K1951+2,201,250)))&amp;".10 – 10."&amp;INDEX(Eingabe!$D$9:$D$18,I1951)&amp;"."&amp;IF(J1951&lt;=K1951,J1951,IF(J1951=K1951+1,200,IF(J1951=K1951+2,201,250)))&amp;".250",""))</f>
        <v/>
      </c>
      <c r="G1951" s="0" t="str">
        <f aca="false">IF(I1951="","",IF(AND(J1951&gt;=1,J1951&lt;=K1951),Eingabe!$B$6&amp;"-"&amp;INDEX(Eingabe!$C$9:$C$18,I1951)&amp;"-Pächter  ·  Passwort Parzelle "&amp;J1951,IF(J1951=K1951+1,Eingabe!$B$6&amp;"-"&amp;INDEX(Eingabe!$C$9:$C$18,I1951)&amp;"-Vorstand  ·  eigenes WLAN",IF(J1951=K1951+2,Eingabe!$B$6&amp;"-"&amp;INDEX(Eingabe!$C$9:$C$18,I1951)&amp;"-Gäste  ·  Voucher",IF(J1951=K1951+3,"Kabel  ·  Access Point y = .(50+y), Mast-Switch x = .(10+x)","")))))</f>
        <v/>
      </c>
      <c r="I1951" s="0" t="str">
        <f aca="false">IF(1946&lt;=(Eingabe!$P$18+Eingabe!$Q$18-1),MATCH(1946,Eingabe!$P$9:$P$18,1),"")</f>
        <v/>
      </c>
      <c r="J1951" s="0" t="str">
        <f aca="false">IF(I1951="","",1946-INDEX(Eingabe!$P$9:$P$18,I1951))</f>
        <v/>
      </c>
      <c r="K1951" s="0" t="str">
        <f aca="false">IF(I1951="","",INDEX(Eingabe!$E$9:$E$18,I1951))</f>
        <v/>
      </c>
    </row>
    <row r="1952" customFormat="false" ht="15" hidden="false" customHeight="false" outlineLevel="0" collapsed="false">
      <c r="A1952" s="0" t="str">
        <f aca="false">IF(I1952="","",IF(J1952=0,"Sparte "&amp;I1952&amp;": "&amp;INDEX(Eingabe!$B$9:$B$18,I1952)&amp;"  (Sparten-ID "&amp;INDEX(Eingabe!$D$9:$D$18,I1952)&amp;", "&amp;K1952&amp;" Parzellen)",IF(J1952&lt;=K1952,"   Parzelle "&amp;J1952,IF(J1952=K1952+1,"   Vorstand",IF(J1952=K1952+2,"   Gäste",IF(J1952=K1952+3,"   Technik (Switches, Access Points)",""))))))</f>
        <v/>
      </c>
      <c r="B1952" s="0" t="str">
        <f aca="false">IF(I1952="","",IF(AND(J1952&gt;=1,J1952&lt;=K1952+3),IF(J1952&lt;=K1952,IF(J1952&lt;=99,IF((INDEX(Eingabe!$G$9:$G$18,I1952))&lt;=9,1000+(INDEX(Eingabe!$G$9:$G$18,I1952))*100,3000)+J1952,IF((INDEX(Eingabe!$G$9:$G$18,I1952)+1)&lt;=9,1000+(INDEX(Eingabe!$G$9:$G$18,I1952)+1)*100,3000)+J1952-100),IF(J1952=K1952+1,2000+INDEX(Eingabe!$G$9:$G$18,I1952)*10+1,IF(J1952=K1952+2,2000+INDEX(Eingabe!$G$9:$G$18,I1952)*10+2,2000+INDEX(Eingabe!$G$9:$G$18,I1952)*10+9))),""))</f>
        <v/>
      </c>
      <c r="C1952" s="0" t="str">
        <f aca="false">IF(I1952="","",IF(AND(J1952&gt;=1,J1952&lt;=K1952+3),"10."&amp;INDEX(Eingabe!$D$9:$D$18,I1952)&amp;"."&amp;IF(J1952&lt;=K1952,J1952,IF(J1952=K1952+1,200,IF(J1952=K1952+2,201,250)))&amp;".0/24",""))</f>
        <v/>
      </c>
      <c r="D1952" s="0" t="str">
        <f aca="false">IF(I1952="","",IF(AND(J1952&gt;=1,J1952&lt;=K1952+3),"255.255.255.0",""))</f>
        <v/>
      </c>
      <c r="E1952" s="0" t="str">
        <f aca="false">IF(I1952="","",IF(AND(J1952&gt;=1,J1952&lt;=K1952+3),"10."&amp;INDEX(Eingabe!$D$9:$D$18,I1952)&amp;"."&amp;IF(J1952&lt;=K1952,J1952,IF(J1952=K1952+1,200,IF(J1952=K1952+2,201,250)))&amp;".1",""))</f>
        <v/>
      </c>
      <c r="F1952" s="0" t="str">
        <f aca="false">IF(I1952="","",IF(AND(J1952&gt;=1,J1952&lt;=K1952+3),"10."&amp;INDEX(Eingabe!$D$9:$D$18,I1952)&amp;"."&amp;IF(J1952&lt;=K1952,J1952,IF(J1952=K1952+1,200,IF(J1952=K1952+2,201,250)))&amp;".10 – 10."&amp;INDEX(Eingabe!$D$9:$D$18,I1952)&amp;"."&amp;IF(J1952&lt;=K1952,J1952,IF(J1952=K1952+1,200,IF(J1952=K1952+2,201,250)))&amp;".250",""))</f>
        <v/>
      </c>
      <c r="G1952" s="0" t="str">
        <f aca="false">IF(I1952="","",IF(AND(J1952&gt;=1,J1952&lt;=K1952),Eingabe!$B$6&amp;"-"&amp;INDEX(Eingabe!$C$9:$C$18,I1952)&amp;"-Pächter  ·  Passwort Parzelle "&amp;J1952,IF(J1952=K1952+1,Eingabe!$B$6&amp;"-"&amp;INDEX(Eingabe!$C$9:$C$18,I1952)&amp;"-Vorstand  ·  eigenes WLAN",IF(J1952=K1952+2,Eingabe!$B$6&amp;"-"&amp;INDEX(Eingabe!$C$9:$C$18,I1952)&amp;"-Gäste  ·  Voucher",IF(J1952=K1952+3,"Kabel  ·  Access Point y = .(50+y), Mast-Switch x = .(10+x)","")))))</f>
        <v/>
      </c>
      <c r="I1952" s="0" t="str">
        <f aca="false">IF(1947&lt;=(Eingabe!$P$18+Eingabe!$Q$18-1),MATCH(1947,Eingabe!$P$9:$P$18,1),"")</f>
        <v/>
      </c>
      <c r="J1952" s="0" t="str">
        <f aca="false">IF(I1952="","",1947-INDEX(Eingabe!$P$9:$P$18,I1952))</f>
        <v/>
      </c>
      <c r="K1952" s="0" t="str">
        <f aca="false">IF(I1952="","",INDEX(Eingabe!$E$9:$E$18,I1952))</f>
        <v/>
      </c>
    </row>
    <row r="1953" customFormat="false" ht="15" hidden="false" customHeight="false" outlineLevel="0" collapsed="false">
      <c r="A1953" s="0" t="str">
        <f aca="false">IF(I1953="","",IF(J1953=0,"Sparte "&amp;I1953&amp;": "&amp;INDEX(Eingabe!$B$9:$B$18,I1953)&amp;"  (Sparten-ID "&amp;INDEX(Eingabe!$D$9:$D$18,I1953)&amp;", "&amp;K1953&amp;" Parzellen)",IF(J1953&lt;=K1953,"   Parzelle "&amp;J1953,IF(J1953=K1953+1,"   Vorstand",IF(J1953=K1953+2,"   Gäste",IF(J1953=K1953+3,"   Technik (Switches, Access Points)",""))))))</f>
        <v/>
      </c>
      <c r="B1953" s="0" t="str">
        <f aca="false">IF(I1953="","",IF(AND(J1953&gt;=1,J1953&lt;=K1953+3),IF(J1953&lt;=K1953,IF(J1953&lt;=99,IF((INDEX(Eingabe!$G$9:$G$18,I1953))&lt;=9,1000+(INDEX(Eingabe!$G$9:$G$18,I1953))*100,3000)+J1953,IF((INDEX(Eingabe!$G$9:$G$18,I1953)+1)&lt;=9,1000+(INDEX(Eingabe!$G$9:$G$18,I1953)+1)*100,3000)+J1953-100),IF(J1953=K1953+1,2000+INDEX(Eingabe!$G$9:$G$18,I1953)*10+1,IF(J1953=K1953+2,2000+INDEX(Eingabe!$G$9:$G$18,I1953)*10+2,2000+INDEX(Eingabe!$G$9:$G$18,I1953)*10+9))),""))</f>
        <v/>
      </c>
      <c r="C1953" s="0" t="str">
        <f aca="false">IF(I1953="","",IF(AND(J1953&gt;=1,J1953&lt;=K1953+3),"10."&amp;INDEX(Eingabe!$D$9:$D$18,I1953)&amp;"."&amp;IF(J1953&lt;=K1953,J1953,IF(J1953=K1953+1,200,IF(J1953=K1953+2,201,250)))&amp;".0/24",""))</f>
        <v/>
      </c>
      <c r="D1953" s="0" t="str">
        <f aca="false">IF(I1953="","",IF(AND(J1953&gt;=1,J1953&lt;=K1953+3),"255.255.255.0",""))</f>
        <v/>
      </c>
      <c r="E1953" s="0" t="str">
        <f aca="false">IF(I1953="","",IF(AND(J1953&gt;=1,J1953&lt;=K1953+3),"10."&amp;INDEX(Eingabe!$D$9:$D$18,I1953)&amp;"."&amp;IF(J1953&lt;=K1953,J1953,IF(J1953=K1953+1,200,IF(J1953=K1953+2,201,250)))&amp;".1",""))</f>
        <v/>
      </c>
      <c r="F1953" s="0" t="str">
        <f aca="false">IF(I1953="","",IF(AND(J1953&gt;=1,J1953&lt;=K1953+3),"10."&amp;INDEX(Eingabe!$D$9:$D$18,I1953)&amp;"."&amp;IF(J1953&lt;=K1953,J1953,IF(J1953=K1953+1,200,IF(J1953=K1953+2,201,250)))&amp;".10 – 10."&amp;INDEX(Eingabe!$D$9:$D$18,I1953)&amp;"."&amp;IF(J1953&lt;=K1953,J1953,IF(J1953=K1953+1,200,IF(J1953=K1953+2,201,250)))&amp;".250",""))</f>
        <v/>
      </c>
      <c r="G1953" s="0" t="str">
        <f aca="false">IF(I1953="","",IF(AND(J1953&gt;=1,J1953&lt;=K1953),Eingabe!$B$6&amp;"-"&amp;INDEX(Eingabe!$C$9:$C$18,I1953)&amp;"-Pächter  ·  Passwort Parzelle "&amp;J1953,IF(J1953=K1953+1,Eingabe!$B$6&amp;"-"&amp;INDEX(Eingabe!$C$9:$C$18,I1953)&amp;"-Vorstand  ·  eigenes WLAN",IF(J1953=K1953+2,Eingabe!$B$6&amp;"-"&amp;INDEX(Eingabe!$C$9:$C$18,I1953)&amp;"-Gäste  ·  Voucher",IF(J1953=K1953+3,"Kabel  ·  Access Point y = .(50+y), Mast-Switch x = .(10+x)","")))))</f>
        <v/>
      </c>
      <c r="I1953" s="0" t="str">
        <f aca="false">IF(1948&lt;=(Eingabe!$P$18+Eingabe!$Q$18-1),MATCH(1948,Eingabe!$P$9:$P$18,1),"")</f>
        <v/>
      </c>
      <c r="J1953" s="0" t="str">
        <f aca="false">IF(I1953="","",1948-INDEX(Eingabe!$P$9:$P$18,I1953))</f>
        <v/>
      </c>
      <c r="K1953" s="0" t="str">
        <f aca="false">IF(I1953="","",INDEX(Eingabe!$E$9:$E$18,I1953))</f>
        <v/>
      </c>
    </row>
    <row r="1954" customFormat="false" ht="15" hidden="false" customHeight="false" outlineLevel="0" collapsed="false">
      <c r="A1954" s="0" t="str">
        <f aca="false">IF(I1954="","",IF(J1954=0,"Sparte "&amp;I1954&amp;": "&amp;INDEX(Eingabe!$B$9:$B$18,I1954)&amp;"  (Sparten-ID "&amp;INDEX(Eingabe!$D$9:$D$18,I1954)&amp;", "&amp;K1954&amp;" Parzellen)",IF(J1954&lt;=K1954,"   Parzelle "&amp;J1954,IF(J1954=K1954+1,"   Vorstand",IF(J1954=K1954+2,"   Gäste",IF(J1954=K1954+3,"   Technik (Switches, Access Points)",""))))))</f>
        <v/>
      </c>
      <c r="B1954" s="0" t="str">
        <f aca="false">IF(I1954="","",IF(AND(J1954&gt;=1,J1954&lt;=K1954+3),IF(J1954&lt;=K1954,IF(J1954&lt;=99,IF((INDEX(Eingabe!$G$9:$G$18,I1954))&lt;=9,1000+(INDEX(Eingabe!$G$9:$G$18,I1954))*100,3000)+J1954,IF((INDEX(Eingabe!$G$9:$G$18,I1954)+1)&lt;=9,1000+(INDEX(Eingabe!$G$9:$G$18,I1954)+1)*100,3000)+J1954-100),IF(J1954=K1954+1,2000+INDEX(Eingabe!$G$9:$G$18,I1954)*10+1,IF(J1954=K1954+2,2000+INDEX(Eingabe!$G$9:$G$18,I1954)*10+2,2000+INDEX(Eingabe!$G$9:$G$18,I1954)*10+9))),""))</f>
        <v/>
      </c>
      <c r="C1954" s="0" t="str">
        <f aca="false">IF(I1954="","",IF(AND(J1954&gt;=1,J1954&lt;=K1954+3),"10."&amp;INDEX(Eingabe!$D$9:$D$18,I1954)&amp;"."&amp;IF(J1954&lt;=K1954,J1954,IF(J1954=K1954+1,200,IF(J1954=K1954+2,201,250)))&amp;".0/24",""))</f>
        <v/>
      </c>
      <c r="D1954" s="0" t="str">
        <f aca="false">IF(I1954="","",IF(AND(J1954&gt;=1,J1954&lt;=K1954+3),"255.255.255.0",""))</f>
        <v/>
      </c>
      <c r="E1954" s="0" t="str">
        <f aca="false">IF(I1954="","",IF(AND(J1954&gt;=1,J1954&lt;=K1954+3),"10."&amp;INDEX(Eingabe!$D$9:$D$18,I1954)&amp;"."&amp;IF(J1954&lt;=K1954,J1954,IF(J1954=K1954+1,200,IF(J1954=K1954+2,201,250)))&amp;".1",""))</f>
        <v/>
      </c>
      <c r="F1954" s="0" t="str">
        <f aca="false">IF(I1954="","",IF(AND(J1954&gt;=1,J1954&lt;=K1954+3),"10."&amp;INDEX(Eingabe!$D$9:$D$18,I1954)&amp;"."&amp;IF(J1954&lt;=K1954,J1954,IF(J1954=K1954+1,200,IF(J1954=K1954+2,201,250)))&amp;".10 – 10."&amp;INDEX(Eingabe!$D$9:$D$18,I1954)&amp;"."&amp;IF(J1954&lt;=K1954,J1954,IF(J1954=K1954+1,200,IF(J1954=K1954+2,201,250)))&amp;".250",""))</f>
        <v/>
      </c>
      <c r="G1954" s="0" t="str">
        <f aca="false">IF(I1954="","",IF(AND(J1954&gt;=1,J1954&lt;=K1954),Eingabe!$B$6&amp;"-"&amp;INDEX(Eingabe!$C$9:$C$18,I1954)&amp;"-Pächter  ·  Passwort Parzelle "&amp;J1954,IF(J1954=K1954+1,Eingabe!$B$6&amp;"-"&amp;INDEX(Eingabe!$C$9:$C$18,I1954)&amp;"-Vorstand  ·  eigenes WLAN",IF(J1954=K1954+2,Eingabe!$B$6&amp;"-"&amp;INDEX(Eingabe!$C$9:$C$18,I1954)&amp;"-Gäste  ·  Voucher",IF(J1954=K1954+3,"Kabel  ·  Access Point y = .(50+y), Mast-Switch x = .(10+x)","")))))</f>
        <v/>
      </c>
      <c r="I1954" s="0" t="str">
        <f aca="false">IF(1949&lt;=(Eingabe!$P$18+Eingabe!$Q$18-1),MATCH(1949,Eingabe!$P$9:$P$18,1),"")</f>
        <v/>
      </c>
      <c r="J1954" s="0" t="str">
        <f aca="false">IF(I1954="","",1949-INDEX(Eingabe!$P$9:$P$18,I1954))</f>
        <v/>
      </c>
      <c r="K1954" s="0" t="str">
        <f aca="false">IF(I1954="","",INDEX(Eingabe!$E$9:$E$18,I1954))</f>
        <v/>
      </c>
    </row>
    <row r="1955" customFormat="false" ht="15" hidden="false" customHeight="false" outlineLevel="0" collapsed="false">
      <c r="A1955" s="0" t="str">
        <f aca="false">IF(I1955="","",IF(J1955=0,"Sparte "&amp;I1955&amp;": "&amp;INDEX(Eingabe!$B$9:$B$18,I1955)&amp;"  (Sparten-ID "&amp;INDEX(Eingabe!$D$9:$D$18,I1955)&amp;", "&amp;K1955&amp;" Parzellen)",IF(J1955&lt;=K1955,"   Parzelle "&amp;J1955,IF(J1955=K1955+1,"   Vorstand",IF(J1955=K1955+2,"   Gäste",IF(J1955=K1955+3,"   Technik (Switches, Access Points)",""))))))</f>
        <v/>
      </c>
      <c r="B1955" s="0" t="str">
        <f aca="false">IF(I1955="","",IF(AND(J1955&gt;=1,J1955&lt;=K1955+3),IF(J1955&lt;=K1955,IF(J1955&lt;=99,IF((INDEX(Eingabe!$G$9:$G$18,I1955))&lt;=9,1000+(INDEX(Eingabe!$G$9:$G$18,I1955))*100,3000)+J1955,IF((INDEX(Eingabe!$G$9:$G$18,I1955)+1)&lt;=9,1000+(INDEX(Eingabe!$G$9:$G$18,I1955)+1)*100,3000)+J1955-100),IF(J1955=K1955+1,2000+INDEX(Eingabe!$G$9:$G$18,I1955)*10+1,IF(J1955=K1955+2,2000+INDEX(Eingabe!$G$9:$G$18,I1955)*10+2,2000+INDEX(Eingabe!$G$9:$G$18,I1955)*10+9))),""))</f>
        <v/>
      </c>
      <c r="C1955" s="0" t="str">
        <f aca="false">IF(I1955="","",IF(AND(J1955&gt;=1,J1955&lt;=K1955+3),"10."&amp;INDEX(Eingabe!$D$9:$D$18,I1955)&amp;"."&amp;IF(J1955&lt;=K1955,J1955,IF(J1955=K1955+1,200,IF(J1955=K1955+2,201,250)))&amp;".0/24",""))</f>
        <v/>
      </c>
      <c r="D1955" s="0" t="str">
        <f aca="false">IF(I1955="","",IF(AND(J1955&gt;=1,J1955&lt;=K1955+3),"255.255.255.0",""))</f>
        <v/>
      </c>
      <c r="E1955" s="0" t="str">
        <f aca="false">IF(I1955="","",IF(AND(J1955&gt;=1,J1955&lt;=K1955+3),"10."&amp;INDEX(Eingabe!$D$9:$D$18,I1955)&amp;"."&amp;IF(J1955&lt;=K1955,J1955,IF(J1955=K1955+1,200,IF(J1955=K1955+2,201,250)))&amp;".1",""))</f>
        <v/>
      </c>
      <c r="F1955" s="0" t="str">
        <f aca="false">IF(I1955="","",IF(AND(J1955&gt;=1,J1955&lt;=K1955+3),"10."&amp;INDEX(Eingabe!$D$9:$D$18,I1955)&amp;"."&amp;IF(J1955&lt;=K1955,J1955,IF(J1955=K1955+1,200,IF(J1955=K1955+2,201,250)))&amp;".10 – 10."&amp;INDEX(Eingabe!$D$9:$D$18,I1955)&amp;"."&amp;IF(J1955&lt;=K1955,J1955,IF(J1955=K1955+1,200,IF(J1955=K1955+2,201,250)))&amp;".250",""))</f>
        <v/>
      </c>
      <c r="G1955" s="0" t="str">
        <f aca="false">IF(I1955="","",IF(AND(J1955&gt;=1,J1955&lt;=K1955),Eingabe!$B$6&amp;"-"&amp;INDEX(Eingabe!$C$9:$C$18,I1955)&amp;"-Pächter  ·  Passwort Parzelle "&amp;J1955,IF(J1955=K1955+1,Eingabe!$B$6&amp;"-"&amp;INDEX(Eingabe!$C$9:$C$18,I1955)&amp;"-Vorstand  ·  eigenes WLAN",IF(J1955=K1955+2,Eingabe!$B$6&amp;"-"&amp;INDEX(Eingabe!$C$9:$C$18,I1955)&amp;"-Gäste  ·  Voucher",IF(J1955=K1955+3,"Kabel  ·  Access Point y = .(50+y), Mast-Switch x = .(10+x)","")))))</f>
        <v/>
      </c>
      <c r="I1955" s="0" t="str">
        <f aca="false">IF(1950&lt;=(Eingabe!$P$18+Eingabe!$Q$18-1),MATCH(1950,Eingabe!$P$9:$P$18,1),"")</f>
        <v/>
      </c>
      <c r="J1955" s="0" t="str">
        <f aca="false">IF(I1955="","",1950-INDEX(Eingabe!$P$9:$P$18,I1955))</f>
        <v/>
      </c>
      <c r="K1955" s="0" t="str">
        <f aca="false">IF(I1955="","",INDEX(Eingabe!$E$9:$E$18,I1955))</f>
        <v/>
      </c>
    </row>
    <row r="1956" customFormat="false" ht="15" hidden="false" customHeight="false" outlineLevel="0" collapsed="false">
      <c r="A1956" s="0" t="str">
        <f aca="false">IF(I1956="","",IF(J1956=0,"Sparte "&amp;I1956&amp;": "&amp;INDEX(Eingabe!$B$9:$B$18,I1956)&amp;"  (Sparten-ID "&amp;INDEX(Eingabe!$D$9:$D$18,I1956)&amp;", "&amp;K1956&amp;" Parzellen)",IF(J1956&lt;=K1956,"   Parzelle "&amp;J1956,IF(J1956=K1956+1,"   Vorstand",IF(J1956=K1956+2,"   Gäste",IF(J1956=K1956+3,"   Technik (Switches, Access Points)",""))))))</f>
        <v/>
      </c>
      <c r="B1956" s="0" t="str">
        <f aca="false">IF(I1956="","",IF(AND(J1956&gt;=1,J1956&lt;=K1956+3),IF(J1956&lt;=K1956,IF(J1956&lt;=99,IF((INDEX(Eingabe!$G$9:$G$18,I1956))&lt;=9,1000+(INDEX(Eingabe!$G$9:$G$18,I1956))*100,3000)+J1956,IF((INDEX(Eingabe!$G$9:$G$18,I1956)+1)&lt;=9,1000+(INDEX(Eingabe!$G$9:$G$18,I1956)+1)*100,3000)+J1956-100),IF(J1956=K1956+1,2000+INDEX(Eingabe!$G$9:$G$18,I1956)*10+1,IF(J1956=K1956+2,2000+INDEX(Eingabe!$G$9:$G$18,I1956)*10+2,2000+INDEX(Eingabe!$G$9:$G$18,I1956)*10+9))),""))</f>
        <v/>
      </c>
      <c r="C1956" s="0" t="str">
        <f aca="false">IF(I1956="","",IF(AND(J1956&gt;=1,J1956&lt;=K1956+3),"10."&amp;INDEX(Eingabe!$D$9:$D$18,I1956)&amp;"."&amp;IF(J1956&lt;=K1956,J1956,IF(J1956=K1956+1,200,IF(J1956=K1956+2,201,250)))&amp;".0/24",""))</f>
        <v/>
      </c>
      <c r="D1956" s="0" t="str">
        <f aca="false">IF(I1956="","",IF(AND(J1956&gt;=1,J1956&lt;=K1956+3),"255.255.255.0",""))</f>
        <v/>
      </c>
      <c r="E1956" s="0" t="str">
        <f aca="false">IF(I1956="","",IF(AND(J1956&gt;=1,J1956&lt;=K1956+3),"10."&amp;INDEX(Eingabe!$D$9:$D$18,I1956)&amp;"."&amp;IF(J1956&lt;=K1956,J1956,IF(J1956=K1956+1,200,IF(J1956=K1956+2,201,250)))&amp;".1",""))</f>
        <v/>
      </c>
      <c r="F1956" s="0" t="str">
        <f aca="false">IF(I1956="","",IF(AND(J1956&gt;=1,J1956&lt;=K1956+3),"10."&amp;INDEX(Eingabe!$D$9:$D$18,I1956)&amp;"."&amp;IF(J1956&lt;=K1956,J1956,IF(J1956=K1956+1,200,IF(J1956=K1956+2,201,250)))&amp;".10 – 10."&amp;INDEX(Eingabe!$D$9:$D$18,I1956)&amp;"."&amp;IF(J1956&lt;=K1956,J1956,IF(J1956=K1956+1,200,IF(J1956=K1956+2,201,250)))&amp;".250",""))</f>
        <v/>
      </c>
      <c r="G1956" s="0" t="str">
        <f aca="false">IF(I1956="","",IF(AND(J1956&gt;=1,J1956&lt;=K1956),Eingabe!$B$6&amp;"-"&amp;INDEX(Eingabe!$C$9:$C$18,I1956)&amp;"-Pächter  ·  Passwort Parzelle "&amp;J1956,IF(J1956=K1956+1,Eingabe!$B$6&amp;"-"&amp;INDEX(Eingabe!$C$9:$C$18,I1956)&amp;"-Vorstand  ·  eigenes WLAN",IF(J1956=K1956+2,Eingabe!$B$6&amp;"-"&amp;INDEX(Eingabe!$C$9:$C$18,I1956)&amp;"-Gäste  ·  Voucher",IF(J1956=K1956+3,"Kabel  ·  Access Point y = .(50+y), Mast-Switch x = .(10+x)","")))))</f>
        <v/>
      </c>
      <c r="I1956" s="0" t="str">
        <f aca="false">IF(1951&lt;=(Eingabe!$P$18+Eingabe!$Q$18-1),MATCH(1951,Eingabe!$P$9:$P$18,1),"")</f>
        <v/>
      </c>
      <c r="J1956" s="0" t="str">
        <f aca="false">IF(I1956="","",1951-INDEX(Eingabe!$P$9:$P$18,I1956))</f>
        <v/>
      </c>
      <c r="K1956" s="0" t="str">
        <f aca="false">IF(I1956="","",INDEX(Eingabe!$E$9:$E$18,I1956))</f>
        <v/>
      </c>
    </row>
    <row r="1957" customFormat="false" ht="15" hidden="false" customHeight="false" outlineLevel="0" collapsed="false">
      <c r="A1957" s="0" t="str">
        <f aca="false">IF(I1957="","",IF(J1957=0,"Sparte "&amp;I1957&amp;": "&amp;INDEX(Eingabe!$B$9:$B$18,I1957)&amp;"  (Sparten-ID "&amp;INDEX(Eingabe!$D$9:$D$18,I1957)&amp;", "&amp;K1957&amp;" Parzellen)",IF(J1957&lt;=K1957,"   Parzelle "&amp;J1957,IF(J1957=K1957+1,"   Vorstand",IF(J1957=K1957+2,"   Gäste",IF(J1957=K1957+3,"   Technik (Switches, Access Points)",""))))))</f>
        <v/>
      </c>
      <c r="B1957" s="0" t="str">
        <f aca="false">IF(I1957="","",IF(AND(J1957&gt;=1,J1957&lt;=K1957+3),IF(J1957&lt;=K1957,IF(J1957&lt;=99,IF((INDEX(Eingabe!$G$9:$G$18,I1957))&lt;=9,1000+(INDEX(Eingabe!$G$9:$G$18,I1957))*100,3000)+J1957,IF((INDEX(Eingabe!$G$9:$G$18,I1957)+1)&lt;=9,1000+(INDEX(Eingabe!$G$9:$G$18,I1957)+1)*100,3000)+J1957-100),IF(J1957=K1957+1,2000+INDEX(Eingabe!$G$9:$G$18,I1957)*10+1,IF(J1957=K1957+2,2000+INDEX(Eingabe!$G$9:$G$18,I1957)*10+2,2000+INDEX(Eingabe!$G$9:$G$18,I1957)*10+9))),""))</f>
        <v/>
      </c>
      <c r="C1957" s="0" t="str">
        <f aca="false">IF(I1957="","",IF(AND(J1957&gt;=1,J1957&lt;=K1957+3),"10."&amp;INDEX(Eingabe!$D$9:$D$18,I1957)&amp;"."&amp;IF(J1957&lt;=K1957,J1957,IF(J1957=K1957+1,200,IF(J1957=K1957+2,201,250)))&amp;".0/24",""))</f>
        <v/>
      </c>
      <c r="D1957" s="0" t="str">
        <f aca="false">IF(I1957="","",IF(AND(J1957&gt;=1,J1957&lt;=K1957+3),"255.255.255.0",""))</f>
        <v/>
      </c>
      <c r="E1957" s="0" t="str">
        <f aca="false">IF(I1957="","",IF(AND(J1957&gt;=1,J1957&lt;=K1957+3),"10."&amp;INDEX(Eingabe!$D$9:$D$18,I1957)&amp;"."&amp;IF(J1957&lt;=K1957,J1957,IF(J1957=K1957+1,200,IF(J1957=K1957+2,201,250)))&amp;".1",""))</f>
        <v/>
      </c>
      <c r="F1957" s="0" t="str">
        <f aca="false">IF(I1957="","",IF(AND(J1957&gt;=1,J1957&lt;=K1957+3),"10."&amp;INDEX(Eingabe!$D$9:$D$18,I1957)&amp;"."&amp;IF(J1957&lt;=K1957,J1957,IF(J1957=K1957+1,200,IF(J1957=K1957+2,201,250)))&amp;".10 – 10."&amp;INDEX(Eingabe!$D$9:$D$18,I1957)&amp;"."&amp;IF(J1957&lt;=K1957,J1957,IF(J1957=K1957+1,200,IF(J1957=K1957+2,201,250)))&amp;".250",""))</f>
        <v/>
      </c>
      <c r="G1957" s="0" t="str">
        <f aca="false">IF(I1957="","",IF(AND(J1957&gt;=1,J1957&lt;=K1957),Eingabe!$B$6&amp;"-"&amp;INDEX(Eingabe!$C$9:$C$18,I1957)&amp;"-Pächter  ·  Passwort Parzelle "&amp;J1957,IF(J1957=K1957+1,Eingabe!$B$6&amp;"-"&amp;INDEX(Eingabe!$C$9:$C$18,I1957)&amp;"-Vorstand  ·  eigenes WLAN",IF(J1957=K1957+2,Eingabe!$B$6&amp;"-"&amp;INDEX(Eingabe!$C$9:$C$18,I1957)&amp;"-Gäste  ·  Voucher",IF(J1957=K1957+3,"Kabel  ·  Access Point y = .(50+y), Mast-Switch x = .(10+x)","")))))</f>
        <v/>
      </c>
      <c r="I1957" s="0" t="str">
        <f aca="false">IF(1952&lt;=(Eingabe!$P$18+Eingabe!$Q$18-1),MATCH(1952,Eingabe!$P$9:$P$18,1),"")</f>
        <v/>
      </c>
      <c r="J1957" s="0" t="str">
        <f aca="false">IF(I1957="","",1952-INDEX(Eingabe!$P$9:$P$18,I1957))</f>
        <v/>
      </c>
      <c r="K1957" s="0" t="str">
        <f aca="false">IF(I1957="","",INDEX(Eingabe!$E$9:$E$18,I1957))</f>
        <v/>
      </c>
    </row>
    <row r="1958" customFormat="false" ht="15" hidden="false" customHeight="false" outlineLevel="0" collapsed="false">
      <c r="A1958" s="0" t="str">
        <f aca="false">IF(I1958="","",IF(J1958=0,"Sparte "&amp;I1958&amp;": "&amp;INDEX(Eingabe!$B$9:$B$18,I1958)&amp;"  (Sparten-ID "&amp;INDEX(Eingabe!$D$9:$D$18,I1958)&amp;", "&amp;K1958&amp;" Parzellen)",IF(J1958&lt;=K1958,"   Parzelle "&amp;J1958,IF(J1958=K1958+1,"   Vorstand",IF(J1958=K1958+2,"   Gäste",IF(J1958=K1958+3,"   Technik (Switches, Access Points)",""))))))</f>
        <v/>
      </c>
      <c r="B1958" s="0" t="str">
        <f aca="false">IF(I1958="","",IF(AND(J1958&gt;=1,J1958&lt;=K1958+3),IF(J1958&lt;=K1958,IF(J1958&lt;=99,IF((INDEX(Eingabe!$G$9:$G$18,I1958))&lt;=9,1000+(INDEX(Eingabe!$G$9:$G$18,I1958))*100,3000)+J1958,IF((INDEX(Eingabe!$G$9:$G$18,I1958)+1)&lt;=9,1000+(INDEX(Eingabe!$G$9:$G$18,I1958)+1)*100,3000)+J1958-100),IF(J1958=K1958+1,2000+INDEX(Eingabe!$G$9:$G$18,I1958)*10+1,IF(J1958=K1958+2,2000+INDEX(Eingabe!$G$9:$G$18,I1958)*10+2,2000+INDEX(Eingabe!$G$9:$G$18,I1958)*10+9))),""))</f>
        <v/>
      </c>
      <c r="C1958" s="0" t="str">
        <f aca="false">IF(I1958="","",IF(AND(J1958&gt;=1,J1958&lt;=K1958+3),"10."&amp;INDEX(Eingabe!$D$9:$D$18,I1958)&amp;"."&amp;IF(J1958&lt;=K1958,J1958,IF(J1958=K1958+1,200,IF(J1958=K1958+2,201,250)))&amp;".0/24",""))</f>
        <v/>
      </c>
      <c r="D1958" s="0" t="str">
        <f aca="false">IF(I1958="","",IF(AND(J1958&gt;=1,J1958&lt;=K1958+3),"255.255.255.0",""))</f>
        <v/>
      </c>
      <c r="E1958" s="0" t="str">
        <f aca="false">IF(I1958="","",IF(AND(J1958&gt;=1,J1958&lt;=K1958+3),"10."&amp;INDEX(Eingabe!$D$9:$D$18,I1958)&amp;"."&amp;IF(J1958&lt;=K1958,J1958,IF(J1958=K1958+1,200,IF(J1958=K1958+2,201,250)))&amp;".1",""))</f>
        <v/>
      </c>
      <c r="F1958" s="0" t="str">
        <f aca="false">IF(I1958="","",IF(AND(J1958&gt;=1,J1958&lt;=K1958+3),"10."&amp;INDEX(Eingabe!$D$9:$D$18,I1958)&amp;"."&amp;IF(J1958&lt;=K1958,J1958,IF(J1958=K1958+1,200,IF(J1958=K1958+2,201,250)))&amp;".10 – 10."&amp;INDEX(Eingabe!$D$9:$D$18,I1958)&amp;"."&amp;IF(J1958&lt;=K1958,J1958,IF(J1958=K1958+1,200,IF(J1958=K1958+2,201,250)))&amp;".250",""))</f>
        <v/>
      </c>
      <c r="G1958" s="0" t="str">
        <f aca="false">IF(I1958="","",IF(AND(J1958&gt;=1,J1958&lt;=K1958),Eingabe!$B$6&amp;"-"&amp;INDEX(Eingabe!$C$9:$C$18,I1958)&amp;"-Pächter  ·  Passwort Parzelle "&amp;J1958,IF(J1958=K1958+1,Eingabe!$B$6&amp;"-"&amp;INDEX(Eingabe!$C$9:$C$18,I1958)&amp;"-Vorstand  ·  eigenes WLAN",IF(J1958=K1958+2,Eingabe!$B$6&amp;"-"&amp;INDEX(Eingabe!$C$9:$C$18,I1958)&amp;"-Gäste  ·  Voucher",IF(J1958=K1958+3,"Kabel  ·  Access Point y = .(50+y), Mast-Switch x = .(10+x)","")))))</f>
        <v/>
      </c>
      <c r="I1958" s="0" t="str">
        <f aca="false">IF(1953&lt;=(Eingabe!$P$18+Eingabe!$Q$18-1),MATCH(1953,Eingabe!$P$9:$P$18,1),"")</f>
        <v/>
      </c>
      <c r="J1958" s="0" t="str">
        <f aca="false">IF(I1958="","",1953-INDEX(Eingabe!$P$9:$P$18,I1958))</f>
        <v/>
      </c>
      <c r="K1958" s="0" t="str">
        <f aca="false">IF(I1958="","",INDEX(Eingabe!$E$9:$E$18,I1958))</f>
        <v/>
      </c>
    </row>
    <row r="1959" customFormat="false" ht="15" hidden="false" customHeight="false" outlineLevel="0" collapsed="false">
      <c r="A1959" s="0" t="str">
        <f aca="false">IF(I1959="","",IF(J1959=0,"Sparte "&amp;I1959&amp;": "&amp;INDEX(Eingabe!$B$9:$B$18,I1959)&amp;"  (Sparten-ID "&amp;INDEX(Eingabe!$D$9:$D$18,I1959)&amp;", "&amp;K1959&amp;" Parzellen)",IF(J1959&lt;=K1959,"   Parzelle "&amp;J1959,IF(J1959=K1959+1,"   Vorstand",IF(J1959=K1959+2,"   Gäste",IF(J1959=K1959+3,"   Technik (Switches, Access Points)",""))))))</f>
        <v/>
      </c>
      <c r="B1959" s="0" t="str">
        <f aca="false">IF(I1959="","",IF(AND(J1959&gt;=1,J1959&lt;=K1959+3),IF(J1959&lt;=K1959,IF(J1959&lt;=99,IF((INDEX(Eingabe!$G$9:$G$18,I1959))&lt;=9,1000+(INDEX(Eingabe!$G$9:$G$18,I1959))*100,3000)+J1959,IF((INDEX(Eingabe!$G$9:$G$18,I1959)+1)&lt;=9,1000+(INDEX(Eingabe!$G$9:$G$18,I1959)+1)*100,3000)+J1959-100),IF(J1959=K1959+1,2000+INDEX(Eingabe!$G$9:$G$18,I1959)*10+1,IF(J1959=K1959+2,2000+INDEX(Eingabe!$G$9:$G$18,I1959)*10+2,2000+INDEX(Eingabe!$G$9:$G$18,I1959)*10+9))),""))</f>
        <v/>
      </c>
      <c r="C1959" s="0" t="str">
        <f aca="false">IF(I1959="","",IF(AND(J1959&gt;=1,J1959&lt;=K1959+3),"10."&amp;INDEX(Eingabe!$D$9:$D$18,I1959)&amp;"."&amp;IF(J1959&lt;=K1959,J1959,IF(J1959=K1959+1,200,IF(J1959=K1959+2,201,250)))&amp;".0/24",""))</f>
        <v/>
      </c>
      <c r="D1959" s="0" t="str">
        <f aca="false">IF(I1959="","",IF(AND(J1959&gt;=1,J1959&lt;=K1959+3),"255.255.255.0",""))</f>
        <v/>
      </c>
      <c r="E1959" s="0" t="str">
        <f aca="false">IF(I1959="","",IF(AND(J1959&gt;=1,J1959&lt;=K1959+3),"10."&amp;INDEX(Eingabe!$D$9:$D$18,I1959)&amp;"."&amp;IF(J1959&lt;=K1959,J1959,IF(J1959=K1959+1,200,IF(J1959=K1959+2,201,250)))&amp;".1",""))</f>
        <v/>
      </c>
      <c r="F1959" s="0" t="str">
        <f aca="false">IF(I1959="","",IF(AND(J1959&gt;=1,J1959&lt;=K1959+3),"10."&amp;INDEX(Eingabe!$D$9:$D$18,I1959)&amp;"."&amp;IF(J1959&lt;=K1959,J1959,IF(J1959=K1959+1,200,IF(J1959=K1959+2,201,250)))&amp;".10 – 10."&amp;INDEX(Eingabe!$D$9:$D$18,I1959)&amp;"."&amp;IF(J1959&lt;=K1959,J1959,IF(J1959=K1959+1,200,IF(J1959=K1959+2,201,250)))&amp;".250",""))</f>
        <v/>
      </c>
      <c r="G1959" s="0" t="str">
        <f aca="false">IF(I1959="","",IF(AND(J1959&gt;=1,J1959&lt;=K1959),Eingabe!$B$6&amp;"-"&amp;INDEX(Eingabe!$C$9:$C$18,I1959)&amp;"-Pächter  ·  Passwort Parzelle "&amp;J1959,IF(J1959=K1959+1,Eingabe!$B$6&amp;"-"&amp;INDEX(Eingabe!$C$9:$C$18,I1959)&amp;"-Vorstand  ·  eigenes WLAN",IF(J1959=K1959+2,Eingabe!$B$6&amp;"-"&amp;INDEX(Eingabe!$C$9:$C$18,I1959)&amp;"-Gäste  ·  Voucher",IF(J1959=K1959+3,"Kabel  ·  Access Point y = .(50+y), Mast-Switch x = .(10+x)","")))))</f>
        <v/>
      </c>
      <c r="I1959" s="0" t="str">
        <f aca="false">IF(1954&lt;=(Eingabe!$P$18+Eingabe!$Q$18-1),MATCH(1954,Eingabe!$P$9:$P$18,1),"")</f>
        <v/>
      </c>
      <c r="J1959" s="0" t="str">
        <f aca="false">IF(I1959="","",1954-INDEX(Eingabe!$P$9:$P$18,I1959))</f>
        <v/>
      </c>
      <c r="K1959" s="0" t="str">
        <f aca="false">IF(I1959="","",INDEX(Eingabe!$E$9:$E$18,I1959))</f>
        <v/>
      </c>
    </row>
    <row r="1960" customFormat="false" ht="15" hidden="false" customHeight="false" outlineLevel="0" collapsed="false">
      <c r="A1960" s="0" t="str">
        <f aca="false">IF(I1960="","",IF(J1960=0,"Sparte "&amp;I1960&amp;": "&amp;INDEX(Eingabe!$B$9:$B$18,I1960)&amp;"  (Sparten-ID "&amp;INDEX(Eingabe!$D$9:$D$18,I1960)&amp;", "&amp;K1960&amp;" Parzellen)",IF(J1960&lt;=K1960,"   Parzelle "&amp;J1960,IF(J1960=K1960+1,"   Vorstand",IF(J1960=K1960+2,"   Gäste",IF(J1960=K1960+3,"   Technik (Switches, Access Points)",""))))))</f>
        <v/>
      </c>
      <c r="B1960" s="0" t="str">
        <f aca="false">IF(I1960="","",IF(AND(J1960&gt;=1,J1960&lt;=K1960+3),IF(J1960&lt;=K1960,IF(J1960&lt;=99,IF((INDEX(Eingabe!$G$9:$G$18,I1960))&lt;=9,1000+(INDEX(Eingabe!$G$9:$G$18,I1960))*100,3000)+J1960,IF((INDEX(Eingabe!$G$9:$G$18,I1960)+1)&lt;=9,1000+(INDEX(Eingabe!$G$9:$G$18,I1960)+1)*100,3000)+J1960-100),IF(J1960=K1960+1,2000+INDEX(Eingabe!$G$9:$G$18,I1960)*10+1,IF(J1960=K1960+2,2000+INDEX(Eingabe!$G$9:$G$18,I1960)*10+2,2000+INDEX(Eingabe!$G$9:$G$18,I1960)*10+9))),""))</f>
        <v/>
      </c>
      <c r="C1960" s="0" t="str">
        <f aca="false">IF(I1960="","",IF(AND(J1960&gt;=1,J1960&lt;=K1960+3),"10."&amp;INDEX(Eingabe!$D$9:$D$18,I1960)&amp;"."&amp;IF(J1960&lt;=K1960,J1960,IF(J1960=K1960+1,200,IF(J1960=K1960+2,201,250)))&amp;".0/24",""))</f>
        <v/>
      </c>
      <c r="D1960" s="0" t="str">
        <f aca="false">IF(I1960="","",IF(AND(J1960&gt;=1,J1960&lt;=K1960+3),"255.255.255.0",""))</f>
        <v/>
      </c>
      <c r="E1960" s="0" t="str">
        <f aca="false">IF(I1960="","",IF(AND(J1960&gt;=1,J1960&lt;=K1960+3),"10."&amp;INDEX(Eingabe!$D$9:$D$18,I1960)&amp;"."&amp;IF(J1960&lt;=K1960,J1960,IF(J1960=K1960+1,200,IF(J1960=K1960+2,201,250)))&amp;".1",""))</f>
        <v/>
      </c>
      <c r="F1960" s="0" t="str">
        <f aca="false">IF(I1960="","",IF(AND(J1960&gt;=1,J1960&lt;=K1960+3),"10."&amp;INDEX(Eingabe!$D$9:$D$18,I1960)&amp;"."&amp;IF(J1960&lt;=K1960,J1960,IF(J1960=K1960+1,200,IF(J1960=K1960+2,201,250)))&amp;".10 – 10."&amp;INDEX(Eingabe!$D$9:$D$18,I1960)&amp;"."&amp;IF(J1960&lt;=K1960,J1960,IF(J1960=K1960+1,200,IF(J1960=K1960+2,201,250)))&amp;".250",""))</f>
        <v/>
      </c>
      <c r="G1960" s="0" t="str">
        <f aca="false">IF(I1960="","",IF(AND(J1960&gt;=1,J1960&lt;=K1960),Eingabe!$B$6&amp;"-"&amp;INDEX(Eingabe!$C$9:$C$18,I1960)&amp;"-Pächter  ·  Passwort Parzelle "&amp;J1960,IF(J1960=K1960+1,Eingabe!$B$6&amp;"-"&amp;INDEX(Eingabe!$C$9:$C$18,I1960)&amp;"-Vorstand  ·  eigenes WLAN",IF(J1960=K1960+2,Eingabe!$B$6&amp;"-"&amp;INDEX(Eingabe!$C$9:$C$18,I1960)&amp;"-Gäste  ·  Voucher",IF(J1960=K1960+3,"Kabel  ·  Access Point y = .(50+y), Mast-Switch x = .(10+x)","")))))</f>
        <v/>
      </c>
      <c r="I1960" s="0" t="str">
        <f aca="false">IF(1955&lt;=(Eingabe!$P$18+Eingabe!$Q$18-1),MATCH(1955,Eingabe!$P$9:$P$18,1),"")</f>
        <v/>
      </c>
      <c r="J1960" s="0" t="str">
        <f aca="false">IF(I1960="","",1955-INDEX(Eingabe!$P$9:$P$18,I1960))</f>
        <v/>
      </c>
      <c r="K1960" s="0" t="str">
        <f aca="false">IF(I1960="","",INDEX(Eingabe!$E$9:$E$18,I1960))</f>
        <v/>
      </c>
    </row>
    <row r="1961" customFormat="false" ht="15" hidden="false" customHeight="false" outlineLevel="0" collapsed="false">
      <c r="A1961" s="0" t="str">
        <f aca="false">IF(I1961="","",IF(J1961=0,"Sparte "&amp;I1961&amp;": "&amp;INDEX(Eingabe!$B$9:$B$18,I1961)&amp;"  (Sparten-ID "&amp;INDEX(Eingabe!$D$9:$D$18,I1961)&amp;", "&amp;K1961&amp;" Parzellen)",IF(J1961&lt;=K1961,"   Parzelle "&amp;J1961,IF(J1961=K1961+1,"   Vorstand",IF(J1961=K1961+2,"   Gäste",IF(J1961=K1961+3,"   Technik (Switches, Access Points)",""))))))</f>
        <v/>
      </c>
      <c r="B1961" s="0" t="str">
        <f aca="false">IF(I1961="","",IF(AND(J1961&gt;=1,J1961&lt;=K1961+3),IF(J1961&lt;=K1961,IF(J1961&lt;=99,IF((INDEX(Eingabe!$G$9:$G$18,I1961))&lt;=9,1000+(INDEX(Eingabe!$G$9:$G$18,I1961))*100,3000)+J1961,IF((INDEX(Eingabe!$G$9:$G$18,I1961)+1)&lt;=9,1000+(INDEX(Eingabe!$G$9:$G$18,I1961)+1)*100,3000)+J1961-100),IF(J1961=K1961+1,2000+INDEX(Eingabe!$G$9:$G$18,I1961)*10+1,IF(J1961=K1961+2,2000+INDEX(Eingabe!$G$9:$G$18,I1961)*10+2,2000+INDEX(Eingabe!$G$9:$G$18,I1961)*10+9))),""))</f>
        <v/>
      </c>
      <c r="C1961" s="0" t="str">
        <f aca="false">IF(I1961="","",IF(AND(J1961&gt;=1,J1961&lt;=K1961+3),"10."&amp;INDEX(Eingabe!$D$9:$D$18,I1961)&amp;"."&amp;IF(J1961&lt;=K1961,J1961,IF(J1961=K1961+1,200,IF(J1961=K1961+2,201,250)))&amp;".0/24",""))</f>
        <v/>
      </c>
      <c r="D1961" s="0" t="str">
        <f aca="false">IF(I1961="","",IF(AND(J1961&gt;=1,J1961&lt;=K1961+3),"255.255.255.0",""))</f>
        <v/>
      </c>
      <c r="E1961" s="0" t="str">
        <f aca="false">IF(I1961="","",IF(AND(J1961&gt;=1,J1961&lt;=K1961+3),"10."&amp;INDEX(Eingabe!$D$9:$D$18,I1961)&amp;"."&amp;IF(J1961&lt;=K1961,J1961,IF(J1961=K1961+1,200,IF(J1961=K1961+2,201,250)))&amp;".1",""))</f>
        <v/>
      </c>
      <c r="F1961" s="0" t="str">
        <f aca="false">IF(I1961="","",IF(AND(J1961&gt;=1,J1961&lt;=K1961+3),"10."&amp;INDEX(Eingabe!$D$9:$D$18,I1961)&amp;"."&amp;IF(J1961&lt;=K1961,J1961,IF(J1961=K1961+1,200,IF(J1961=K1961+2,201,250)))&amp;".10 – 10."&amp;INDEX(Eingabe!$D$9:$D$18,I1961)&amp;"."&amp;IF(J1961&lt;=K1961,J1961,IF(J1961=K1961+1,200,IF(J1961=K1961+2,201,250)))&amp;".250",""))</f>
        <v/>
      </c>
      <c r="G1961" s="0" t="str">
        <f aca="false">IF(I1961="","",IF(AND(J1961&gt;=1,J1961&lt;=K1961),Eingabe!$B$6&amp;"-"&amp;INDEX(Eingabe!$C$9:$C$18,I1961)&amp;"-Pächter  ·  Passwort Parzelle "&amp;J1961,IF(J1961=K1961+1,Eingabe!$B$6&amp;"-"&amp;INDEX(Eingabe!$C$9:$C$18,I1961)&amp;"-Vorstand  ·  eigenes WLAN",IF(J1961=K1961+2,Eingabe!$B$6&amp;"-"&amp;INDEX(Eingabe!$C$9:$C$18,I1961)&amp;"-Gäste  ·  Voucher",IF(J1961=K1961+3,"Kabel  ·  Access Point y = .(50+y), Mast-Switch x = .(10+x)","")))))</f>
        <v/>
      </c>
      <c r="I1961" s="0" t="str">
        <f aca="false">IF(1956&lt;=(Eingabe!$P$18+Eingabe!$Q$18-1),MATCH(1956,Eingabe!$P$9:$P$18,1),"")</f>
        <v/>
      </c>
      <c r="J1961" s="0" t="str">
        <f aca="false">IF(I1961="","",1956-INDEX(Eingabe!$P$9:$P$18,I1961))</f>
        <v/>
      </c>
      <c r="K1961" s="0" t="str">
        <f aca="false">IF(I1961="","",INDEX(Eingabe!$E$9:$E$18,I1961))</f>
        <v/>
      </c>
    </row>
    <row r="1962" customFormat="false" ht="15" hidden="false" customHeight="false" outlineLevel="0" collapsed="false">
      <c r="A1962" s="0" t="str">
        <f aca="false">IF(I1962="","",IF(J1962=0,"Sparte "&amp;I1962&amp;": "&amp;INDEX(Eingabe!$B$9:$B$18,I1962)&amp;"  (Sparten-ID "&amp;INDEX(Eingabe!$D$9:$D$18,I1962)&amp;", "&amp;K1962&amp;" Parzellen)",IF(J1962&lt;=K1962,"   Parzelle "&amp;J1962,IF(J1962=K1962+1,"   Vorstand",IF(J1962=K1962+2,"   Gäste",IF(J1962=K1962+3,"   Technik (Switches, Access Points)",""))))))</f>
        <v/>
      </c>
      <c r="B1962" s="0" t="str">
        <f aca="false">IF(I1962="","",IF(AND(J1962&gt;=1,J1962&lt;=K1962+3),IF(J1962&lt;=K1962,IF(J1962&lt;=99,IF((INDEX(Eingabe!$G$9:$G$18,I1962))&lt;=9,1000+(INDEX(Eingabe!$G$9:$G$18,I1962))*100,3000)+J1962,IF((INDEX(Eingabe!$G$9:$G$18,I1962)+1)&lt;=9,1000+(INDEX(Eingabe!$G$9:$G$18,I1962)+1)*100,3000)+J1962-100),IF(J1962=K1962+1,2000+INDEX(Eingabe!$G$9:$G$18,I1962)*10+1,IF(J1962=K1962+2,2000+INDEX(Eingabe!$G$9:$G$18,I1962)*10+2,2000+INDEX(Eingabe!$G$9:$G$18,I1962)*10+9))),""))</f>
        <v/>
      </c>
      <c r="C1962" s="0" t="str">
        <f aca="false">IF(I1962="","",IF(AND(J1962&gt;=1,J1962&lt;=K1962+3),"10."&amp;INDEX(Eingabe!$D$9:$D$18,I1962)&amp;"."&amp;IF(J1962&lt;=K1962,J1962,IF(J1962=K1962+1,200,IF(J1962=K1962+2,201,250)))&amp;".0/24",""))</f>
        <v/>
      </c>
      <c r="D1962" s="0" t="str">
        <f aca="false">IF(I1962="","",IF(AND(J1962&gt;=1,J1962&lt;=K1962+3),"255.255.255.0",""))</f>
        <v/>
      </c>
      <c r="E1962" s="0" t="str">
        <f aca="false">IF(I1962="","",IF(AND(J1962&gt;=1,J1962&lt;=K1962+3),"10."&amp;INDEX(Eingabe!$D$9:$D$18,I1962)&amp;"."&amp;IF(J1962&lt;=K1962,J1962,IF(J1962=K1962+1,200,IF(J1962=K1962+2,201,250)))&amp;".1",""))</f>
        <v/>
      </c>
      <c r="F1962" s="0" t="str">
        <f aca="false">IF(I1962="","",IF(AND(J1962&gt;=1,J1962&lt;=K1962+3),"10."&amp;INDEX(Eingabe!$D$9:$D$18,I1962)&amp;"."&amp;IF(J1962&lt;=K1962,J1962,IF(J1962=K1962+1,200,IF(J1962=K1962+2,201,250)))&amp;".10 – 10."&amp;INDEX(Eingabe!$D$9:$D$18,I1962)&amp;"."&amp;IF(J1962&lt;=K1962,J1962,IF(J1962=K1962+1,200,IF(J1962=K1962+2,201,250)))&amp;".250",""))</f>
        <v/>
      </c>
      <c r="G1962" s="0" t="str">
        <f aca="false">IF(I1962="","",IF(AND(J1962&gt;=1,J1962&lt;=K1962),Eingabe!$B$6&amp;"-"&amp;INDEX(Eingabe!$C$9:$C$18,I1962)&amp;"-Pächter  ·  Passwort Parzelle "&amp;J1962,IF(J1962=K1962+1,Eingabe!$B$6&amp;"-"&amp;INDEX(Eingabe!$C$9:$C$18,I1962)&amp;"-Vorstand  ·  eigenes WLAN",IF(J1962=K1962+2,Eingabe!$B$6&amp;"-"&amp;INDEX(Eingabe!$C$9:$C$18,I1962)&amp;"-Gäste  ·  Voucher",IF(J1962=K1962+3,"Kabel  ·  Access Point y = .(50+y), Mast-Switch x = .(10+x)","")))))</f>
        <v/>
      </c>
      <c r="I1962" s="0" t="str">
        <f aca="false">IF(1957&lt;=(Eingabe!$P$18+Eingabe!$Q$18-1),MATCH(1957,Eingabe!$P$9:$P$18,1),"")</f>
        <v/>
      </c>
      <c r="J1962" s="0" t="str">
        <f aca="false">IF(I1962="","",1957-INDEX(Eingabe!$P$9:$P$18,I1962))</f>
        <v/>
      </c>
      <c r="K1962" s="0" t="str">
        <f aca="false">IF(I1962="","",INDEX(Eingabe!$E$9:$E$18,I1962))</f>
        <v/>
      </c>
    </row>
    <row r="1963" customFormat="false" ht="15" hidden="false" customHeight="false" outlineLevel="0" collapsed="false">
      <c r="A1963" s="0" t="str">
        <f aca="false">IF(I1963="","",IF(J1963=0,"Sparte "&amp;I1963&amp;": "&amp;INDEX(Eingabe!$B$9:$B$18,I1963)&amp;"  (Sparten-ID "&amp;INDEX(Eingabe!$D$9:$D$18,I1963)&amp;", "&amp;K1963&amp;" Parzellen)",IF(J1963&lt;=K1963,"   Parzelle "&amp;J1963,IF(J1963=K1963+1,"   Vorstand",IF(J1963=K1963+2,"   Gäste",IF(J1963=K1963+3,"   Technik (Switches, Access Points)",""))))))</f>
        <v/>
      </c>
      <c r="B1963" s="0" t="str">
        <f aca="false">IF(I1963="","",IF(AND(J1963&gt;=1,J1963&lt;=K1963+3),IF(J1963&lt;=K1963,IF(J1963&lt;=99,IF((INDEX(Eingabe!$G$9:$G$18,I1963))&lt;=9,1000+(INDEX(Eingabe!$G$9:$G$18,I1963))*100,3000)+J1963,IF((INDEX(Eingabe!$G$9:$G$18,I1963)+1)&lt;=9,1000+(INDEX(Eingabe!$G$9:$G$18,I1963)+1)*100,3000)+J1963-100),IF(J1963=K1963+1,2000+INDEX(Eingabe!$G$9:$G$18,I1963)*10+1,IF(J1963=K1963+2,2000+INDEX(Eingabe!$G$9:$G$18,I1963)*10+2,2000+INDEX(Eingabe!$G$9:$G$18,I1963)*10+9))),""))</f>
        <v/>
      </c>
      <c r="C1963" s="0" t="str">
        <f aca="false">IF(I1963="","",IF(AND(J1963&gt;=1,J1963&lt;=K1963+3),"10."&amp;INDEX(Eingabe!$D$9:$D$18,I1963)&amp;"."&amp;IF(J1963&lt;=K1963,J1963,IF(J1963=K1963+1,200,IF(J1963=K1963+2,201,250)))&amp;".0/24",""))</f>
        <v/>
      </c>
      <c r="D1963" s="0" t="str">
        <f aca="false">IF(I1963="","",IF(AND(J1963&gt;=1,J1963&lt;=K1963+3),"255.255.255.0",""))</f>
        <v/>
      </c>
      <c r="E1963" s="0" t="str">
        <f aca="false">IF(I1963="","",IF(AND(J1963&gt;=1,J1963&lt;=K1963+3),"10."&amp;INDEX(Eingabe!$D$9:$D$18,I1963)&amp;"."&amp;IF(J1963&lt;=K1963,J1963,IF(J1963=K1963+1,200,IF(J1963=K1963+2,201,250)))&amp;".1",""))</f>
        <v/>
      </c>
      <c r="F1963" s="0" t="str">
        <f aca="false">IF(I1963="","",IF(AND(J1963&gt;=1,J1963&lt;=K1963+3),"10."&amp;INDEX(Eingabe!$D$9:$D$18,I1963)&amp;"."&amp;IF(J1963&lt;=K1963,J1963,IF(J1963=K1963+1,200,IF(J1963=K1963+2,201,250)))&amp;".10 – 10."&amp;INDEX(Eingabe!$D$9:$D$18,I1963)&amp;"."&amp;IF(J1963&lt;=K1963,J1963,IF(J1963=K1963+1,200,IF(J1963=K1963+2,201,250)))&amp;".250",""))</f>
        <v/>
      </c>
      <c r="G1963" s="0" t="str">
        <f aca="false">IF(I1963="","",IF(AND(J1963&gt;=1,J1963&lt;=K1963),Eingabe!$B$6&amp;"-"&amp;INDEX(Eingabe!$C$9:$C$18,I1963)&amp;"-Pächter  ·  Passwort Parzelle "&amp;J1963,IF(J1963=K1963+1,Eingabe!$B$6&amp;"-"&amp;INDEX(Eingabe!$C$9:$C$18,I1963)&amp;"-Vorstand  ·  eigenes WLAN",IF(J1963=K1963+2,Eingabe!$B$6&amp;"-"&amp;INDEX(Eingabe!$C$9:$C$18,I1963)&amp;"-Gäste  ·  Voucher",IF(J1963=K1963+3,"Kabel  ·  Access Point y = .(50+y), Mast-Switch x = .(10+x)","")))))</f>
        <v/>
      </c>
      <c r="I1963" s="0" t="str">
        <f aca="false">IF(1958&lt;=(Eingabe!$P$18+Eingabe!$Q$18-1),MATCH(1958,Eingabe!$P$9:$P$18,1),"")</f>
        <v/>
      </c>
      <c r="J1963" s="0" t="str">
        <f aca="false">IF(I1963="","",1958-INDEX(Eingabe!$P$9:$P$18,I1963))</f>
        <v/>
      </c>
      <c r="K1963" s="0" t="str">
        <f aca="false">IF(I1963="","",INDEX(Eingabe!$E$9:$E$18,I1963))</f>
        <v/>
      </c>
    </row>
    <row r="1964" customFormat="false" ht="15" hidden="false" customHeight="false" outlineLevel="0" collapsed="false">
      <c r="A1964" s="0" t="str">
        <f aca="false">IF(I1964="","",IF(J1964=0,"Sparte "&amp;I1964&amp;": "&amp;INDEX(Eingabe!$B$9:$B$18,I1964)&amp;"  (Sparten-ID "&amp;INDEX(Eingabe!$D$9:$D$18,I1964)&amp;", "&amp;K1964&amp;" Parzellen)",IF(J1964&lt;=K1964,"   Parzelle "&amp;J1964,IF(J1964=K1964+1,"   Vorstand",IF(J1964=K1964+2,"   Gäste",IF(J1964=K1964+3,"   Technik (Switches, Access Points)",""))))))</f>
        <v/>
      </c>
      <c r="B1964" s="0" t="str">
        <f aca="false">IF(I1964="","",IF(AND(J1964&gt;=1,J1964&lt;=K1964+3),IF(J1964&lt;=K1964,IF(J1964&lt;=99,IF((INDEX(Eingabe!$G$9:$G$18,I1964))&lt;=9,1000+(INDEX(Eingabe!$G$9:$G$18,I1964))*100,3000)+J1964,IF((INDEX(Eingabe!$G$9:$G$18,I1964)+1)&lt;=9,1000+(INDEX(Eingabe!$G$9:$G$18,I1964)+1)*100,3000)+J1964-100),IF(J1964=K1964+1,2000+INDEX(Eingabe!$G$9:$G$18,I1964)*10+1,IF(J1964=K1964+2,2000+INDEX(Eingabe!$G$9:$G$18,I1964)*10+2,2000+INDEX(Eingabe!$G$9:$G$18,I1964)*10+9))),""))</f>
        <v/>
      </c>
      <c r="C1964" s="0" t="str">
        <f aca="false">IF(I1964="","",IF(AND(J1964&gt;=1,J1964&lt;=K1964+3),"10."&amp;INDEX(Eingabe!$D$9:$D$18,I1964)&amp;"."&amp;IF(J1964&lt;=K1964,J1964,IF(J1964=K1964+1,200,IF(J1964=K1964+2,201,250)))&amp;".0/24",""))</f>
        <v/>
      </c>
      <c r="D1964" s="0" t="str">
        <f aca="false">IF(I1964="","",IF(AND(J1964&gt;=1,J1964&lt;=K1964+3),"255.255.255.0",""))</f>
        <v/>
      </c>
      <c r="E1964" s="0" t="str">
        <f aca="false">IF(I1964="","",IF(AND(J1964&gt;=1,J1964&lt;=K1964+3),"10."&amp;INDEX(Eingabe!$D$9:$D$18,I1964)&amp;"."&amp;IF(J1964&lt;=K1964,J1964,IF(J1964=K1964+1,200,IF(J1964=K1964+2,201,250)))&amp;".1",""))</f>
        <v/>
      </c>
      <c r="F1964" s="0" t="str">
        <f aca="false">IF(I1964="","",IF(AND(J1964&gt;=1,J1964&lt;=K1964+3),"10."&amp;INDEX(Eingabe!$D$9:$D$18,I1964)&amp;"."&amp;IF(J1964&lt;=K1964,J1964,IF(J1964=K1964+1,200,IF(J1964=K1964+2,201,250)))&amp;".10 – 10."&amp;INDEX(Eingabe!$D$9:$D$18,I1964)&amp;"."&amp;IF(J1964&lt;=K1964,J1964,IF(J1964=K1964+1,200,IF(J1964=K1964+2,201,250)))&amp;".250",""))</f>
        <v/>
      </c>
      <c r="G1964" s="0" t="str">
        <f aca="false">IF(I1964="","",IF(AND(J1964&gt;=1,J1964&lt;=K1964),Eingabe!$B$6&amp;"-"&amp;INDEX(Eingabe!$C$9:$C$18,I1964)&amp;"-Pächter  ·  Passwort Parzelle "&amp;J1964,IF(J1964=K1964+1,Eingabe!$B$6&amp;"-"&amp;INDEX(Eingabe!$C$9:$C$18,I1964)&amp;"-Vorstand  ·  eigenes WLAN",IF(J1964=K1964+2,Eingabe!$B$6&amp;"-"&amp;INDEX(Eingabe!$C$9:$C$18,I1964)&amp;"-Gäste  ·  Voucher",IF(J1964=K1964+3,"Kabel  ·  Access Point y = .(50+y), Mast-Switch x = .(10+x)","")))))</f>
        <v/>
      </c>
      <c r="I1964" s="0" t="str">
        <f aca="false">IF(1959&lt;=(Eingabe!$P$18+Eingabe!$Q$18-1),MATCH(1959,Eingabe!$P$9:$P$18,1),"")</f>
        <v/>
      </c>
      <c r="J1964" s="0" t="str">
        <f aca="false">IF(I1964="","",1959-INDEX(Eingabe!$P$9:$P$18,I1964))</f>
        <v/>
      </c>
      <c r="K1964" s="0" t="str">
        <f aca="false">IF(I1964="","",INDEX(Eingabe!$E$9:$E$18,I1964))</f>
        <v/>
      </c>
    </row>
    <row r="1965" customFormat="false" ht="15" hidden="false" customHeight="false" outlineLevel="0" collapsed="false">
      <c r="A1965" s="0" t="str">
        <f aca="false">IF(I1965="","",IF(J1965=0,"Sparte "&amp;I1965&amp;": "&amp;INDEX(Eingabe!$B$9:$B$18,I1965)&amp;"  (Sparten-ID "&amp;INDEX(Eingabe!$D$9:$D$18,I1965)&amp;", "&amp;K1965&amp;" Parzellen)",IF(J1965&lt;=K1965,"   Parzelle "&amp;J1965,IF(J1965=K1965+1,"   Vorstand",IF(J1965=K1965+2,"   Gäste",IF(J1965=K1965+3,"   Technik (Switches, Access Points)",""))))))</f>
        <v/>
      </c>
      <c r="B1965" s="0" t="str">
        <f aca="false">IF(I1965="","",IF(AND(J1965&gt;=1,J1965&lt;=K1965+3),IF(J1965&lt;=K1965,IF(J1965&lt;=99,IF((INDEX(Eingabe!$G$9:$G$18,I1965))&lt;=9,1000+(INDEX(Eingabe!$G$9:$G$18,I1965))*100,3000)+J1965,IF((INDEX(Eingabe!$G$9:$G$18,I1965)+1)&lt;=9,1000+(INDEX(Eingabe!$G$9:$G$18,I1965)+1)*100,3000)+J1965-100),IF(J1965=K1965+1,2000+INDEX(Eingabe!$G$9:$G$18,I1965)*10+1,IF(J1965=K1965+2,2000+INDEX(Eingabe!$G$9:$G$18,I1965)*10+2,2000+INDEX(Eingabe!$G$9:$G$18,I1965)*10+9))),""))</f>
        <v/>
      </c>
      <c r="C1965" s="0" t="str">
        <f aca="false">IF(I1965="","",IF(AND(J1965&gt;=1,J1965&lt;=K1965+3),"10."&amp;INDEX(Eingabe!$D$9:$D$18,I1965)&amp;"."&amp;IF(J1965&lt;=K1965,J1965,IF(J1965=K1965+1,200,IF(J1965=K1965+2,201,250)))&amp;".0/24",""))</f>
        <v/>
      </c>
      <c r="D1965" s="0" t="str">
        <f aca="false">IF(I1965="","",IF(AND(J1965&gt;=1,J1965&lt;=K1965+3),"255.255.255.0",""))</f>
        <v/>
      </c>
      <c r="E1965" s="0" t="str">
        <f aca="false">IF(I1965="","",IF(AND(J1965&gt;=1,J1965&lt;=K1965+3),"10."&amp;INDEX(Eingabe!$D$9:$D$18,I1965)&amp;"."&amp;IF(J1965&lt;=K1965,J1965,IF(J1965=K1965+1,200,IF(J1965=K1965+2,201,250)))&amp;".1",""))</f>
        <v/>
      </c>
      <c r="F1965" s="0" t="str">
        <f aca="false">IF(I1965="","",IF(AND(J1965&gt;=1,J1965&lt;=K1965+3),"10."&amp;INDEX(Eingabe!$D$9:$D$18,I1965)&amp;"."&amp;IF(J1965&lt;=K1965,J1965,IF(J1965=K1965+1,200,IF(J1965=K1965+2,201,250)))&amp;".10 – 10."&amp;INDEX(Eingabe!$D$9:$D$18,I1965)&amp;"."&amp;IF(J1965&lt;=K1965,J1965,IF(J1965=K1965+1,200,IF(J1965=K1965+2,201,250)))&amp;".250",""))</f>
        <v/>
      </c>
      <c r="G1965" s="0" t="str">
        <f aca="false">IF(I1965="","",IF(AND(J1965&gt;=1,J1965&lt;=K1965),Eingabe!$B$6&amp;"-"&amp;INDEX(Eingabe!$C$9:$C$18,I1965)&amp;"-Pächter  ·  Passwort Parzelle "&amp;J1965,IF(J1965=K1965+1,Eingabe!$B$6&amp;"-"&amp;INDEX(Eingabe!$C$9:$C$18,I1965)&amp;"-Vorstand  ·  eigenes WLAN",IF(J1965=K1965+2,Eingabe!$B$6&amp;"-"&amp;INDEX(Eingabe!$C$9:$C$18,I1965)&amp;"-Gäste  ·  Voucher",IF(J1965=K1965+3,"Kabel  ·  Access Point y = .(50+y), Mast-Switch x = .(10+x)","")))))</f>
        <v/>
      </c>
      <c r="I1965" s="0" t="str">
        <f aca="false">IF(1960&lt;=(Eingabe!$P$18+Eingabe!$Q$18-1),MATCH(1960,Eingabe!$P$9:$P$18,1),"")</f>
        <v/>
      </c>
      <c r="J1965" s="0" t="str">
        <f aca="false">IF(I1965="","",1960-INDEX(Eingabe!$P$9:$P$18,I1965))</f>
        <v/>
      </c>
      <c r="K1965" s="0" t="str">
        <f aca="false">IF(I1965="","",INDEX(Eingabe!$E$9:$E$18,I1965))</f>
        <v/>
      </c>
    </row>
    <row r="1966" customFormat="false" ht="15" hidden="false" customHeight="false" outlineLevel="0" collapsed="false">
      <c r="A1966" s="0" t="str">
        <f aca="false">IF(I1966="","",IF(J1966=0,"Sparte "&amp;I1966&amp;": "&amp;INDEX(Eingabe!$B$9:$B$18,I1966)&amp;"  (Sparten-ID "&amp;INDEX(Eingabe!$D$9:$D$18,I1966)&amp;", "&amp;K1966&amp;" Parzellen)",IF(J1966&lt;=K1966,"   Parzelle "&amp;J1966,IF(J1966=K1966+1,"   Vorstand",IF(J1966=K1966+2,"   Gäste",IF(J1966=K1966+3,"   Technik (Switches, Access Points)",""))))))</f>
        <v/>
      </c>
      <c r="B1966" s="0" t="str">
        <f aca="false">IF(I1966="","",IF(AND(J1966&gt;=1,J1966&lt;=K1966+3),IF(J1966&lt;=K1966,IF(J1966&lt;=99,IF((INDEX(Eingabe!$G$9:$G$18,I1966))&lt;=9,1000+(INDEX(Eingabe!$G$9:$G$18,I1966))*100,3000)+J1966,IF((INDEX(Eingabe!$G$9:$G$18,I1966)+1)&lt;=9,1000+(INDEX(Eingabe!$G$9:$G$18,I1966)+1)*100,3000)+J1966-100),IF(J1966=K1966+1,2000+INDEX(Eingabe!$G$9:$G$18,I1966)*10+1,IF(J1966=K1966+2,2000+INDEX(Eingabe!$G$9:$G$18,I1966)*10+2,2000+INDEX(Eingabe!$G$9:$G$18,I1966)*10+9))),""))</f>
        <v/>
      </c>
      <c r="C1966" s="0" t="str">
        <f aca="false">IF(I1966="","",IF(AND(J1966&gt;=1,J1966&lt;=K1966+3),"10."&amp;INDEX(Eingabe!$D$9:$D$18,I1966)&amp;"."&amp;IF(J1966&lt;=K1966,J1966,IF(J1966=K1966+1,200,IF(J1966=K1966+2,201,250)))&amp;".0/24",""))</f>
        <v/>
      </c>
      <c r="D1966" s="0" t="str">
        <f aca="false">IF(I1966="","",IF(AND(J1966&gt;=1,J1966&lt;=K1966+3),"255.255.255.0",""))</f>
        <v/>
      </c>
      <c r="E1966" s="0" t="str">
        <f aca="false">IF(I1966="","",IF(AND(J1966&gt;=1,J1966&lt;=K1966+3),"10."&amp;INDEX(Eingabe!$D$9:$D$18,I1966)&amp;"."&amp;IF(J1966&lt;=K1966,J1966,IF(J1966=K1966+1,200,IF(J1966=K1966+2,201,250)))&amp;".1",""))</f>
        <v/>
      </c>
      <c r="F1966" s="0" t="str">
        <f aca="false">IF(I1966="","",IF(AND(J1966&gt;=1,J1966&lt;=K1966+3),"10."&amp;INDEX(Eingabe!$D$9:$D$18,I1966)&amp;"."&amp;IF(J1966&lt;=K1966,J1966,IF(J1966=K1966+1,200,IF(J1966=K1966+2,201,250)))&amp;".10 – 10."&amp;INDEX(Eingabe!$D$9:$D$18,I1966)&amp;"."&amp;IF(J1966&lt;=K1966,J1966,IF(J1966=K1966+1,200,IF(J1966=K1966+2,201,250)))&amp;".250",""))</f>
        <v/>
      </c>
      <c r="G1966" s="0" t="str">
        <f aca="false">IF(I1966="","",IF(AND(J1966&gt;=1,J1966&lt;=K1966),Eingabe!$B$6&amp;"-"&amp;INDEX(Eingabe!$C$9:$C$18,I1966)&amp;"-Pächter  ·  Passwort Parzelle "&amp;J1966,IF(J1966=K1966+1,Eingabe!$B$6&amp;"-"&amp;INDEX(Eingabe!$C$9:$C$18,I1966)&amp;"-Vorstand  ·  eigenes WLAN",IF(J1966=K1966+2,Eingabe!$B$6&amp;"-"&amp;INDEX(Eingabe!$C$9:$C$18,I1966)&amp;"-Gäste  ·  Voucher",IF(J1966=K1966+3,"Kabel  ·  Access Point y = .(50+y), Mast-Switch x = .(10+x)","")))))</f>
        <v/>
      </c>
      <c r="I1966" s="0" t="str">
        <f aca="false">IF(1961&lt;=(Eingabe!$P$18+Eingabe!$Q$18-1),MATCH(1961,Eingabe!$P$9:$P$18,1),"")</f>
        <v/>
      </c>
      <c r="J1966" s="0" t="str">
        <f aca="false">IF(I1966="","",1961-INDEX(Eingabe!$P$9:$P$18,I1966))</f>
        <v/>
      </c>
      <c r="K1966" s="0" t="str">
        <f aca="false">IF(I1966="","",INDEX(Eingabe!$E$9:$E$18,I1966))</f>
        <v/>
      </c>
    </row>
    <row r="1967" customFormat="false" ht="15" hidden="false" customHeight="false" outlineLevel="0" collapsed="false">
      <c r="A1967" s="0" t="str">
        <f aca="false">IF(I1967="","",IF(J1967=0,"Sparte "&amp;I1967&amp;": "&amp;INDEX(Eingabe!$B$9:$B$18,I1967)&amp;"  (Sparten-ID "&amp;INDEX(Eingabe!$D$9:$D$18,I1967)&amp;", "&amp;K1967&amp;" Parzellen)",IF(J1967&lt;=K1967,"   Parzelle "&amp;J1967,IF(J1967=K1967+1,"   Vorstand",IF(J1967=K1967+2,"   Gäste",IF(J1967=K1967+3,"   Technik (Switches, Access Points)",""))))))</f>
        <v/>
      </c>
      <c r="B1967" s="0" t="str">
        <f aca="false">IF(I1967="","",IF(AND(J1967&gt;=1,J1967&lt;=K1967+3),IF(J1967&lt;=K1967,IF(J1967&lt;=99,IF((INDEX(Eingabe!$G$9:$G$18,I1967))&lt;=9,1000+(INDEX(Eingabe!$G$9:$G$18,I1967))*100,3000)+J1967,IF((INDEX(Eingabe!$G$9:$G$18,I1967)+1)&lt;=9,1000+(INDEX(Eingabe!$G$9:$G$18,I1967)+1)*100,3000)+J1967-100),IF(J1967=K1967+1,2000+INDEX(Eingabe!$G$9:$G$18,I1967)*10+1,IF(J1967=K1967+2,2000+INDEX(Eingabe!$G$9:$G$18,I1967)*10+2,2000+INDEX(Eingabe!$G$9:$G$18,I1967)*10+9))),""))</f>
        <v/>
      </c>
      <c r="C1967" s="0" t="str">
        <f aca="false">IF(I1967="","",IF(AND(J1967&gt;=1,J1967&lt;=K1967+3),"10."&amp;INDEX(Eingabe!$D$9:$D$18,I1967)&amp;"."&amp;IF(J1967&lt;=K1967,J1967,IF(J1967=K1967+1,200,IF(J1967=K1967+2,201,250)))&amp;".0/24",""))</f>
        <v/>
      </c>
      <c r="D1967" s="0" t="str">
        <f aca="false">IF(I1967="","",IF(AND(J1967&gt;=1,J1967&lt;=K1967+3),"255.255.255.0",""))</f>
        <v/>
      </c>
      <c r="E1967" s="0" t="str">
        <f aca="false">IF(I1967="","",IF(AND(J1967&gt;=1,J1967&lt;=K1967+3),"10."&amp;INDEX(Eingabe!$D$9:$D$18,I1967)&amp;"."&amp;IF(J1967&lt;=K1967,J1967,IF(J1967=K1967+1,200,IF(J1967=K1967+2,201,250)))&amp;".1",""))</f>
        <v/>
      </c>
      <c r="F1967" s="0" t="str">
        <f aca="false">IF(I1967="","",IF(AND(J1967&gt;=1,J1967&lt;=K1967+3),"10."&amp;INDEX(Eingabe!$D$9:$D$18,I1967)&amp;"."&amp;IF(J1967&lt;=K1967,J1967,IF(J1967=K1967+1,200,IF(J1967=K1967+2,201,250)))&amp;".10 – 10."&amp;INDEX(Eingabe!$D$9:$D$18,I1967)&amp;"."&amp;IF(J1967&lt;=K1967,J1967,IF(J1967=K1967+1,200,IF(J1967=K1967+2,201,250)))&amp;".250",""))</f>
        <v/>
      </c>
      <c r="G1967" s="0" t="str">
        <f aca="false">IF(I1967="","",IF(AND(J1967&gt;=1,J1967&lt;=K1967),Eingabe!$B$6&amp;"-"&amp;INDEX(Eingabe!$C$9:$C$18,I1967)&amp;"-Pächter  ·  Passwort Parzelle "&amp;J1967,IF(J1967=K1967+1,Eingabe!$B$6&amp;"-"&amp;INDEX(Eingabe!$C$9:$C$18,I1967)&amp;"-Vorstand  ·  eigenes WLAN",IF(J1967=K1967+2,Eingabe!$B$6&amp;"-"&amp;INDEX(Eingabe!$C$9:$C$18,I1967)&amp;"-Gäste  ·  Voucher",IF(J1967=K1967+3,"Kabel  ·  Access Point y = .(50+y), Mast-Switch x = .(10+x)","")))))</f>
        <v/>
      </c>
      <c r="I1967" s="0" t="str">
        <f aca="false">IF(1962&lt;=(Eingabe!$P$18+Eingabe!$Q$18-1),MATCH(1962,Eingabe!$P$9:$P$18,1),"")</f>
        <v/>
      </c>
      <c r="J1967" s="0" t="str">
        <f aca="false">IF(I1967="","",1962-INDEX(Eingabe!$P$9:$P$18,I1967))</f>
        <v/>
      </c>
      <c r="K1967" s="0" t="str">
        <f aca="false">IF(I1967="","",INDEX(Eingabe!$E$9:$E$18,I1967))</f>
        <v/>
      </c>
    </row>
    <row r="1968" customFormat="false" ht="15" hidden="false" customHeight="false" outlineLevel="0" collapsed="false">
      <c r="A1968" s="0" t="str">
        <f aca="false">IF(I1968="","",IF(J1968=0,"Sparte "&amp;I1968&amp;": "&amp;INDEX(Eingabe!$B$9:$B$18,I1968)&amp;"  (Sparten-ID "&amp;INDEX(Eingabe!$D$9:$D$18,I1968)&amp;", "&amp;K1968&amp;" Parzellen)",IF(J1968&lt;=K1968,"   Parzelle "&amp;J1968,IF(J1968=K1968+1,"   Vorstand",IF(J1968=K1968+2,"   Gäste",IF(J1968=K1968+3,"   Technik (Switches, Access Points)",""))))))</f>
        <v/>
      </c>
      <c r="B1968" s="0" t="str">
        <f aca="false">IF(I1968="","",IF(AND(J1968&gt;=1,J1968&lt;=K1968+3),IF(J1968&lt;=K1968,IF(J1968&lt;=99,IF((INDEX(Eingabe!$G$9:$G$18,I1968))&lt;=9,1000+(INDEX(Eingabe!$G$9:$G$18,I1968))*100,3000)+J1968,IF((INDEX(Eingabe!$G$9:$G$18,I1968)+1)&lt;=9,1000+(INDEX(Eingabe!$G$9:$G$18,I1968)+1)*100,3000)+J1968-100),IF(J1968=K1968+1,2000+INDEX(Eingabe!$G$9:$G$18,I1968)*10+1,IF(J1968=K1968+2,2000+INDEX(Eingabe!$G$9:$G$18,I1968)*10+2,2000+INDEX(Eingabe!$G$9:$G$18,I1968)*10+9))),""))</f>
        <v/>
      </c>
      <c r="C1968" s="0" t="str">
        <f aca="false">IF(I1968="","",IF(AND(J1968&gt;=1,J1968&lt;=K1968+3),"10."&amp;INDEX(Eingabe!$D$9:$D$18,I1968)&amp;"."&amp;IF(J1968&lt;=K1968,J1968,IF(J1968=K1968+1,200,IF(J1968=K1968+2,201,250)))&amp;".0/24",""))</f>
        <v/>
      </c>
      <c r="D1968" s="0" t="str">
        <f aca="false">IF(I1968="","",IF(AND(J1968&gt;=1,J1968&lt;=K1968+3),"255.255.255.0",""))</f>
        <v/>
      </c>
      <c r="E1968" s="0" t="str">
        <f aca="false">IF(I1968="","",IF(AND(J1968&gt;=1,J1968&lt;=K1968+3),"10."&amp;INDEX(Eingabe!$D$9:$D$18,I1968)&amp;"."&amp;IF(J1968&lt;=K1968,J1968,IF(J1968=K1968+1,200,IF(J1968=K1968+2,201,250)))&amp;".1",""))</f>
        <v/>
      </c>
      <c r="F1968" s="0" t="str">
        <f aca="false">IF(I1968="","",IF(AND(J1968&gt;=1,J1968&lt;=K1968+3),"10."&amp;INDEX(Eingabe!$D$9:$D$18,I1968)&amp;"."&amp;IF(J1968&lt;=K1968,J1968,IF(J1968=K1968+1,200,IF(J1968=K1968+2,201,250)))&amp;".10 – 10."&amp;INDEX(Eingabe!$D$9:$D$18,I1968)&amp;"."&amp;IF(J1968&lt;=K1968,J1968,IF(J1968=K1968+1,200,IF(J1968=K1968+2,201,250)))&amp;".250",""))</f>
        <v/>
      </c>
      <c r="G1968" s="0" t="str">
        <f aca="false">IF(I1968="","",IF(AND(J1968&gt;=1,J1968&lt;=K1968),Eingabe!$B$6&amp;"-"&amp;INDEX(Eingabe!$C$9:$C$18,I1968)&amp;"-Pächter  ·  Passwort Parzelle "&amp;J1968,IF(J1968=K1968+1,Eingabe!$B$6&amp;"-"&amp;INDEX(Eingabe!$C$9:$C$18,I1968)&amp;"-Vorstand  ·  eigenes WLAN",IF(J1968=K1968+2,Eingabe!$B$6&amp;"-"&amp;INDEX(Eingabe!$C$9:$C$18,I1968)&amp;"-Gäste  ·  Voucher",IF(J1968=K1968+3,"Kabel  ·  Access Point y = .(50+y), Mast-Switch x = .(10+x)","")))))</f>
        <v/>
      </c>
      <c r="I1968" s="0" t="str">
        <f aca="false">IF(1963&lt;=(Eingabe!$P$18+Eingabe!$Q$18-1),MATCH(1963,Eingabe!$P$9:$P$18,1),"")</f>
        <v/>
      </c>
      <c r="J1968" s="0" t="str">
        <f aca="false">IF(I1968="","",1963-INDEX(Eingabe!$P$9:$P$18,I1968))</f>
        <v/>
      </c>
      <c r="K1968" s="0" t="str">
        <f aca="false">IF(I1968="","",INDEX(Eingabe!$E$9:$E$18,I1968))</f>
        <v/>
      </c>
    </row>
    <row r="1969" customFormat="false" ht="15" hidden="false" customHeight="false" outlineLevel="0" collapsed="false">
      <c r="A1969" s="0" t="str">
        <f aca="false">IF(I1969="","",IF(J1969=0,"Sparte "&amp;I1969&amp;": "&amp;INDEX(Eingabe!$B$9:$B$18,I1969)&amp;"  (Sparten-ID "&amp;INDEX(Eingabe!$D$9:$D$18,I1969)&amp;", "&amp;K1969&amp;" Parzellen)",IF(J1969&lt;=K1969,"   Parzelle "&amp;J1969,IF(J1969=K1969+1,"   Vorstand",IF(J1969=K1969+2,"   Gäste",IF(J1969=K1969+3,"   Technik (Switches, Access Points)",""))))))</f>
        <v/>
      </c>
      <c r="B1969" s="0" t="str">
        <f aca="false">IF(I1969="","",IF(AND(J1969&gt;=1,J1969&lt;=K1969+3),IF(J1969&lt;=K1969,IF(J1969&lt;=99,IF((INDEX(Eingabe!$G$9:$G$18,I1969))&lt;=9,1000+(INDEX(Eingabe!$G$9:$G$18,I1969))*100,3000)+J1969,IF((INDEX(Eingabe!$G$9:$G$18,I1969)+1)&lt;=9,1000+(INDEX(Eingabe!$G$9:$G$18,I1969)+1)*100,3000)+J1969-100),IF(J1969=K1969+1,2000+INDEX(Eingabe!$G$9:$G$18,I1969)*10+1,IF(J1969=K1969+2,2000+INDEX(Eingabe!$G$9:$G$18,I1969)*10+2,2000+INDEX(Eingabe!$G$9:$G$18,I1969)*10+9))),""))</f>
        <v/>
      </c>
      <c r="C1969" s="0" t="str">
        <f aca="false">IF(I1969="","",IF(AND(J1969&gt;=1,J1969&lt;=K1969+3),"10."&amp;INDEX(Eingabe!$D$9:$D$18,I1969)&amp;"."&amp;IF(J1969&lt;=K1969,J1969,IF(J1969=K1969+1,200,IF(J1969=K1969+2,201,250)))&amp;".0/24",""))</f>
        <v/>
      </c>
      <c r="D1969" s="0" t="str">
        <f aca="false">IF(I1969="","",IF(AND(J1969&gt;=1,J1969&lt;=K1969+3),"255.255.255.0",""))</f>
        <v/>
      </c>
      <c r="E1969" s="0" t="str">
        <f aca="false">IF(I1969="","",IF(AND(J1969&gt;=1,J1969&lt;=K1969+3),"10."&amp;INDEX(Eingabe!$D$9:$D$18,I1969)&amp;"."&amp;IF(J1969&lt;=K1969,J1969,IF(J1969=K1969+1,200,IF(J1969=K1969+2,201,250)))&amp;".1",""))</f>
        <v/>
      </c>
      <c r="F1969" s="0" t="str">
        <f aca="false">IF(I1969="","",IF(AND(J1969&gt;=1,J1969&lt;=K1969+3),"10."&amp;INDEX(Eingabe!$D$9:$D$18,I1969)&amp;"."&amp;IF(J1969&lt;=K1969,J1969,IF(J1969=K1969+1,200,IF(J1969=K1969+2,201,250)))&amp;".10 – 10."&amp;INDEX(Eingabe!$D$9:$D$18,I1969)&amp;"."&amp;IF(J1969&lt;=K1969,J1969,IF(J1969=K1969+1,200,IF(J1969=K1969+2,201,250)))&amp;".250",""))</f>
        <v/>
      </c>
      <c r="G1969" s="0" t="str">
        <f aca="false">IF(I1969="","",IF(AND(J1969&gt;=1,J1969&lt;=K1969),Eingabe!$B$6&amp;"-"&amp;INDEX(Eingabe!$C$9:$C$18,I1969)&amp;"-Pächter  ·  Passwort Parzelle "&amp;J1969,IF(J1969=K1969+1,Eingabe!$B$6&amp;"-"&amp;INDEX(Eingabe!$C$9:$C$18,I1969)&amp;"-Vorstand  ·  eigenes WLAN",IF(J1969=K1969+2,Eingabe!$B$6&amp;"-"&amp;INDEX(Eingabe!$C$9:$C$18,I1969)&amp;"-Gäste  ·  Voucher",IF(J1969=K1969+3,"Kabel  ·  Access Point y = .(50+y), Mast-Switch x = .(10+x)","")))))</f>
        <v/>
      </c>
      <c r="I1969" s="0" t="str">
        <f aca="false">IF(1964&lt;=(Eingabe!$P$18+Eingabe!$Q$18-1),MATCH(1964,Eingabe!$P$9:$P$18,1),"")</f>
        <v/>
      </c>
      <c r="J1969" s="0" t="str">
        <f aca="false">IF(I1969="","",1964-INDEX(Eingabe!$P$9:$P$18,I1969))</f>
        <v/>
      </c>
      <c r="K1969" s="0" t="str">
        <f aca="false">IF(I1969="","",INDEX(Eingabe!$E$9:$E$18,I1969))</f>
        <v/>
      </c>
    </row>
    <row r="1970" customFormat="false" ht="15" hidden="false" customHeight="false" outlineLevel="0" collapsed="false">
      <c r="A1970" s="0" t="str">
        <f aca="false">IF(I1970="","",IF(J1970=0,"Sparte "&amp;I1970&amp;": "&amp;INDEX(Eingabe!$B$9:$B$18,I1970)&amp;"  (Sparten-ID "&amp;INDEX(Eingabe!$D$9:$D$18,I1970)&amp;", "&amp;K1970&amp;" Parzellen)",IF(J1970&lt;=K1970,"   Parzelle "&amp;J1970,IF(J1970=K1970+1,"   Vorstand",IF(J1970=K1970+2,"   Gäste",IF(J1970=K1970+3,"   Technik (Switches, Access Points)",""))))))</f>
        <v/>
      </c>
      <c r="B1970" s="0" t="str">
        <f aca="false">IF(I1970="","",IF(AND(J1970&gt;=1,J1970&lt;=K1970+3),IF(J1970&lt;=K1970,IF(J1970&lt;=99,IF((INDEX(Eingabe!$G$9:$G$18,I1970))&lt;=9,1000+(INDEX(Eingabe!$G$9:$G$18,I1970))*100,3000)+J1970,IF((INDEX(Eingabe!$G$9:$G$18,I1970)+1)&lt;=9,1000+(INDEX(Eingabe!$G$9:$G$18,I1970)+1)*100,3000)+J1970-100),IF(J1970=K1970+1,2000+INDEX(Eingabe!$G$9:$G$18,I1970)*10+1,IF(J1970=K1970+2,2000+INDEX(Eingabe!$G$9:$G$18,I1970)*10+2,2000+INDEX(Eingabe!$G$9:$G$18,I1970)*10+9))),""))</f>
        <v/>
      </c>
      <c r="C1970" s="0" t="str">
        <f aca="false">IF(I1970="","",IF(AND(J1970&gt;=1,J1970&lt;=K1970+3),"10."&amp;INDEX(Eingabe!$D$9:$D$18,I1970)&amp;"."&amp;IF(J1970&lt;=K1970,J1970,IF(J1970=K1970+1,200,IF(J1970=K1970+2,201,250)))&amp;".0/24",""))</f>
        <v/>
      </c>
      <c r="D1970" s="0" t="str">
        <f aca="false">IF(I1970="","",IF(AND(J1970&gt;=1,J1970&lt;=K1970+3),"255.255.255.0",""))</f>
        <v/>
      </c>
      <c r="E1970" s="0" t="str">
        <f aca="false">IF(I1970="","",IF(AND(J1970&gt;=1,J1970&lt;=K1970+3),"10."&amp;INDEX(Eingabe!$D$9:$D$18,I1970)&amp;"."&amp;IF(J1970&lt;=K1970,J1970,IF(J1970=K1970+1,200,IF(J1970=K1970+2,201,250)))&amp;".1",""))</f>
        <v/>
      </c>
      <c r="F1970" s="0" t="str">
        <f aca="false">IF(I1970="","",IF(AND(J1970&gt;=1,J1970&lt;=K1970+3),"10."&amp;INDEX(Eingabe!$D$9:$D$18,I1970)&amp;"."&amp;IF(J1970&lt;=K1970,J1970,IF(J1970=K1970+1,200,IF(J1970=K1970+2,201,250)))&amp;".10 – 10."&amp;INDEX(Eingabe!$D$9:$D$18,I1970)&amp;"."&amp;IF(J1970&lt;=K1970,J1970,IF(J1970=K1970+1,200,IF(J1970=K1970+2,201,250)))&amp;".250",""))</f>
        <v/>
      </c>
      <c r="G1970" s="0" t="str">
        <f aca="false">IF(I1970="","",IF(AND(J1970&gt;=1,J1970&lt;=K1970),Eingabe!$B$6&amp;"-"&amp;INDEX(Eingabe!$C$9:$C$18,I1970)&amp;"-Pächter  ·  Passwort Parzelle "&amp;J1970,IF(J1970=K1970+1,Eingabe!$B$6&amp;"-"&amp;INDEX(Eingabe!$C$9:$C$18,I1970)&amp;"-Vorstand  ·  eigenes WLAN",IF(J1970=K1970+2,Eingabe!$B$6&amp;"-"&amp;INDEX(Eingabe!$C$9:$C$18,I1970)&amp;"-Gäste  ·  Voucher",IF(J1970=K1970+3,"Kabel  ·  Access Point y = .(50+y), Mast-Switch x = .(10+x)","")))))</f>
        <v/>
      </c>
      <c r="I1970" s="0" t="str">
        <f aca="false">IF(1965&lt;=(Eingabe!$P$18+Eingabe!$Q$18-1),MATCH(1965,Eingabe!$P$9:$P$18,1),"")</f>
        <v/>
      </c>
      <c r="J1970" s="0" t="str">
        <f aca="false">IF(I1970="","",1965-INDEX(Eingabe!$P$9:$P$18,I1970))</f>
        <v/>
      </c>
      <c r="K1970" s="0" t="str">
        <f aca="false">IF(I1970="","",INDEX(Eingabe!$E$9:$E$18,I1970))</f>
        <v/>
      </c>
    </row>
    <row r="1971" customFormat="false" ht="15" hidden="false" customHeight="false" outlineLevel="0" collapsed="false">
      <c r="A1971" s="0" t="str">
        <f aca="false">IF(I1971="","",IF(J1971=0,"Sparte "&amp;I1971&amp;": "&amp;INDEX(Eingabe!$B$9:$B$18,I1971)&amp;"  (Sparten-ID "&amp;INDEX(Eingabe!$D$9:$D$18,I1971)&amp;", "&amp;K1971&amp;" Parzellen)",IF(J1971&lt;=K1971,"   Parzelle "&amp;J1971,IF(J1971=K1971+1,"   Vorstand",IF(J1971=K1971+2,"   Gäste",IF(J1971=K1971+3,"   Technik (Switches, Access Points)",""))))))</f>
        <v/>
      </c>
      <c r="B1971" s="0" t="str">
        <f aca="false">IF(I1971="","",IF(AND(J1971&gt;=1,J1971&lt;=K1971+3),IF(J1971&lt;=K1971,IF(J1971&lt;=99,IF((INDEX(Eingabe!$G$9:$G$18,I1971))&lt;=9,1000+(INDEX(Eingabe!$G$9:$G$18,I1971))*100,3000)+J1971,IF((INDEX(Eingabe!$G$9:$G$18,I1971)+1)&lt;=9,1000+(INDEX(Eingabe!$G$9:$G$18,I1971)+1)*100,3000)+J1971-100),IF(J1971=K1971+1,2000+INDEX(Eingabe!$G$9:$G$18,I1971)*10+1,IF(J1971=K1971+2,2000+INDEX(Eingabe!$G$9:$G$18,I1971)*10+2,2000+INDEX(Eingabe!$G$9:$G$18,I1971)*10+9))),""))</f>
        <v/>
      </c>
      <c r="C1971" s="0" t="str">
        <f aca="false">IF(I1971="","",IF(AND(J1971&gt;=1,J1971&lt;=K1971+3),"10."&amp;INDEX(Eingabe!$D$9:$D$18,I1971)&amp;"."&amp;IF(J1971&lt;=K1971,J1971,IF(J1971=K1971+1,200,IF(J1971=K1971+2,201,250)))&amp;".0/24",""))</f>
        <v/>
      </c>
      <c r="D1971" s="0" t="str">
        <f aca="false">IF(I1971="","",IF(AND(J1971&gt;=1,J1971&lt;=K1971+3),"255.255.255.0",""))</f>
        <v/>
      </c>
      <c r="E1971" s="0" t="str">
        <f aca="false">IF(I1971="","",IF(AND(J1971&gt;=1,J1971&lt;=K1971+3),"10."&amp;INDEX(Eingabe!$D$9:$D$18,I1971)&amp;"."&amp;IF(J1971&lt;=K1971,J1971,IF(J1971=K1971+1,200,IF(J1971=K1971+2,201,250)))&amp;".1",""))</f>
        <v/>
      </c>
      <c r="F1971" s="0" t="str">
        <f aca="false">IF(I1971="","",IF(AND(J1971&gt;=1,J1971&lt;=K1971+3),"10."&amp;INDEX(Eingabe!$D$9:$D$18,I1971)&amp;"."&amp;IF(J1971&lt;=K1971,J1971,IF(J1971=K1971+1,200,IF(J1971=K1971+2,201,250)))&amp;".10 – 10."&amp;INDEX(Eingabe!$D$9:$D$18,I1971)&amp;"."&amp;IF(J1971&lt;=K1971,J1971,IF(J1971=K1971+1,200,IF(J1971=K1971+2,201,250)))&amp;".250",""))</f>
        <v/>
      </c>
      <c r="G1971" s="0" t="str">
        <f aca="false">IF(I1971="","",IF(AND(J1971&gt;=1,J1971&lt;=K1971),Eingabe!$B$6&amp;"-"&amp;INDEX(Eingabe!$C$9:$C$18,I1971)&amp;"-Pächter  ·  Passwort Parzelle "&amp;J1971,IF(J1971=K1971+1,Eingabe!$B$6&amp;"-"&amp;INDEX(Eingabe!$C$9:$C$18,I1971)&amp;"-Vorstand  ·  eigenes WLAN",IF(J1971=K1971+2,Eingabe!$B$6&amp;"-"&amp;INDEX(Eingabe!$C$9:$C$18,I1971)&amp;"-Gäste  ·  Voucher",IF(J1971=K1971+3,"Kabel  ·  Access Point y = .(50+y), Mast-Switch x = .(10+x)","")))))</f>
        <v/>
      </c>
      <c r="I1971" s="0" t="str">
        <f aca="false">IF(1966&lt;=(Eingabe!$P$18+Eingabe!$Q$18-1),MATCH(1966,Eingabe!$P$9:$P$18,1),"")</f>
        <v/>
      </c>
      <c r="J1971" s="0" t="str">
        <f aca="false">IF(I1971="","",1966-INDEX(Eingabe!$P$9:$P$18,I1971))</f>
        <v/>
      </c>
      <c r="K1971" s="0" t="str">
        <f aca="false">IF(I1971="","",INDEX(Eingabe!$E$9:$E$18,I1971))</f>
        <v/>
      </c>
    </row>
    <row r="1972" customFormat="false" ht="15" hidden="false" customHeight="false" outlineLevel="0" collapsed="false">
      <c r="A1972" s="0" t="str">
        <f aca="false">IF(I1972="","",IF(J1972=0,"Sparte "&amp;I1972&amp;": "&amp;INDEX(Eingabe!$B$9:$B$18,I1972)&amp;"  (Sparten-ID "&amp;INDEX(Eingabe!$D$9:$D$18,I1972)&amp;", "&amp;K1972&amp;" Parzellen)",IF(J1972&lt;=K1972,"   Parzelle "&amp;J1972,IF(J1972=K1972+1,"   Vorstand",IF(J1972=K1972+2,"   Gäste",IF(J1972=K1972+3,"   Technik (Switches, Access Points)",""))))))</f>
        <v/>
      </c>
      <c r="B1972" s="0" t="str">
        <f aca="false">IF(I1972="","",IF(AND(J1972&gt;=1,J1972&lt;=K1972+3),IF(J1972&lt;=K1972,IF(J1972&lt;=99,IF((INDEX(Eingabe!$G$9:$G$18,I1972))&lt;=9,1000+(INDEX(Eingabe!$G$9:$G$18,I1972))*100,3000)+J1972,IF((INDEX(Eingabe!$G$9:$G$18,I1972)+1)&lt;=9,1000+(INDEX(Eingabe!$G$9:$G$18,I1972)+1)*100,3000)+J1972-100),IF(J1972=K1972+1,2000+INDEX(Eingabe!$G$9:$G$18,I1972)*10+1,IF(J1972=K1972+2,2000+INDEX(Eingabe!$G$9:$G$18,I1972)*10+2,2000+INDEX(Eingabe!$G$9:$G$18,I1972)*10+9))),""))</f>
        <v/>
      </c>
      <c r="C1972" s="0" t="str">
        <f aca="false">IF(I1972="","",IF(AND(J1972&gt;=1,J1972&lt;=K1972+3),"10."&amp;INDEX(Eingabe!$D$9:$D$18,I1972)&amp;"."&amp;IF(J1972&lt;=K1972,J1972,IF(J1972=K1972+1,200,IF(J1972=K1972+2,201,250)))&amp;".0/24",""))</f>
        <v/>
      </c>
      <c r="D1972" s="0" t="str">
        <f aca="false">IF(I1972="","",IF(AND(J1972&gt;=1,J1972&lt;=K1972+3),"255.255.255.0",""))</f>
        <v/>
      </c>
      <c r="E1972" s="0" t="str">
        <f aca="false">IF(I1972="","",IF(AND(J1972&gt;=1,J1972&lt;=K1972+3),"10."&amp;INDEX(Eingabe!$D$9:$D$18,I1972)&amp;"."&amp;IF(J1972&lt;=K1972,J1972,IF(J1972=K1972+1,200,IF(J1972=K1972+2,201,250)))&amp;".1",""))</f>
        <v/>
      </c>
      <c r="F1972" s="0" t="str">
        <f aca="false">IF(I1972="","",IF(AND(J1972&gt;=1,J1972&lt;=K1972+3),"10."&amp;INDEX(Eingabe!$D$9:$D$18,I1972)&amp;"."&amp;IF(J1972&lt;=K1972,J1972,IF(J1972=K1972+1,200,IF(J1972=K1972+2,201,250)))&amp;".10 – 10."&amp;INDEX(Eingabe!$D$9:$D$18,I1972)&amp;"."&amp;IF(J1972&lt;=K1972,J1972,IF(J1972=K1972+1,200,IF(J1972=K1972+2,201,250)))&amp;".250",""))</f>
        <v/>
      </c>
      <c r="G1972" s="0" t="str">
        <f aca="false">IF(I1972="","",IF(AND(J1972&gt;=1,J1972&lt;=K1972),Eingabe!$B$6&amp;"-"&amp;INDEX(Eingabe!$C$9:$C$18,I1972)&amp;"-Pächter  ·  Passwort Parzelle "&amp;J1972,IF(J1972=K1972+1,Eingabe!$B$6&amp;"-"&amp;INDEX(Eingabe!$C$9:$C$18,I1972)&amp;"-Vorstand  ·  eigenes WLAN",IF(J1972=K1972+2,Eingabe!$B$6&amp;"-"&amp;INDEX(Eingabe!$C$9:$C$18,I1972)&amp;"-Gäste  ·  Voucher",IF(J1972=K1972+3,"Kabel  ·  Access Point y = .(50+y), Mast-Switch x = .(10+x)","")))))</f>
        <v/>
      </c>
      <c r="I1972" s="0" t="str">
        <f aca="false">IF(1967&lt;=(Eingabe!$P$18+Eingabe!$Q$18-1),MATCH(1967,Eingabe!$P$9:$P$18,1),"")</f>
        <v/>
      </c>
      <c r="J1972" s="0" t="str">
        <f aca="false">IF(I1972="","",1967-INDEX(Eingabe!$P$9:$P$18,I1972))</f>
        <v/>
      </c>
      <c r="K1972" s="0" t="str">
        <f aca="false">IF(I1972="","",INDEX(Eingabe!$E$9:$E$18,I1972))</f>
        <v/>
      </c>
    </row>
    <row r="1973" customFormat="false" ht="15" hidden="false" customHeight="false" outlineLevel="0" collapsed="false">
      <c r="A1973" s="0" t="str">
        <f aca="false">IF(I1973="","",IF(J1973=0,"Sparte "&amp;I1973&amp;": "&amp;INDEX(Eingabe!$B$9:$B$18,I1973)&amp;"  (Sparten-ID "&amp;INDEX(Eingabe!$D$9:$D$18,I1973)&amp;", "&amp;K1973&amp;" Parzellen)",IF(J1973&lt;=K1973,"   Parzelle "&amp;J1973,IF(J1973=K1973+1,"   Vorstand",IF(J1973=K1973+2,"   Gäste",IF(J1973=K1973+3,"   Technik (Switches, Access Points)",""))))))</f>
        <v/>
      </c>
      <c r="B1973" s="0" t="str">
        <f aca="false">IF(I1973="","",IF(AND(J1973&gt;=1,J1973&lt;=K1973+3),IF(J1973&lt;=K1973,IF(J1973&lt;=99,IF((INDEX(Eingabe!$G$9:$G$18,I1973))&lt;=9,1000+(INDEX(Eingabe!$G$9:$G$18,I1973))*100,3000)+J1973,IF((INDEX(Eingabe!$G$9:$G$18,I1973)+1)&lt;=9,1000+(INDEX(Eingabe!$G$9:$G$18,I1973)+1)*100,3000)+J1973-100),IF(J1973=K1973+1,2000+INDEX(Eingabe!$G$9:$G$18,I1973)*10+1,IF(J1973=K1973+2,2000+INDEX(Eingabe!$G$9:$G$18,I1973)*10+2,2000+INDEX(Eingabe!$G$9:$G$18,I1973)*10+9))),""))</f>
        <v/>
      </c>
      <c r="C1973" s="0" t="str">
        <f aca="false">IF(I1973="","",IF(AND(J1973&gt;=1,J1973&lt;=K1973+3),"10."&amp;INDEX(Eingabe!$D$9:$D$18,I1973)&amp;"."&amp;IF(J1973&lt;=K1973,J1973,IF(J1973=K1973+1,200,IF(J1973=K1973+2,201,250)))&amp;".0/24",""))</f>
        <v/>
      </c>
      <c r="D1973" s="0" t="str">
        <f aca="false">IF(I1973="","",IF(AND(J1973&gt;=1,J1973&lt;=K1973+3),"255.255.255.0",""))</f>
        <v/>
      </c>
      <c r="E1973" s="0" t="str">
        <f aca="false">IF(I1973="","",IF(AND(J1973&gt;=1,J1973&lt;=K1973+3),"10."&amp;INDEX(Eingabe!$D$9:$D$18,I1973)&amp;"."&amp;IF(J1973&lt;=K1973,J1973,IF(J1973=K1973+1,200,IF(J1973=K1973+2,201,250)))&amp;".1",""))</f>
        <v/>
      </c>
      <c r="F1973" s="0" t="str">
        <f aca="false">IF(I1973="","",IF(AND(J1973&gt;=1,J1973&lt;=K1973+3),"10."&amp;INDEX(Eingabe!$D$9:$D$18,I1973)&amp;"."&amp;IF(J1973&lt;=K1973,J1973,IF(J1973=K1973+1,200,IF(J1973=K1973+2,201,250)))&amp;".10 – 10."&amp;INDEX(Eingabe!$D$9:$D$18,I1973)&amp;"."&amp;IF(J1973&lt;=K1973,J1973,IF(J1973=K1973+1,200,IF(J1973=K1973+2,201,250)))&amp;".250",""))</f>
        <v/>
      </c>
      <c r="G1973" s="0" t="str">
        <f aca="false">IF(I1973="","",IF(AND(J1973&gt;=1,J1973&lt;=K1973),Eingabe!$B$6&amp;"-"&amp;INDEX(Eingabe!$C$9:$C$18,I1973)&amp;"-Pächter  ·  Passwort Parzelle "&amp;J1973,IF(J1973=K1973+1,Eingabe!$B$6&amp;"-"&amp;INDEX(Eingabe!$C$9:$C$18,I1973)&amp;"-Vorstand  ·  eigenes WLAN",IF(J1973=K1973+2,Eingabe!$B$6&amp;"-"&amp;INDEX(Eingabe!$C$9:$C$18,I1973)&amp;"-Gäste  ·  Voucher",IF(J1973=K1973+3,"Kabel  ·  Access Point y = .(50+y), Mast-Switch x = .(10+x)","")))))</f>
        <v/>
      </c>
      <c r="I1973" s="0" t="str">
        <f aca="false">IF(1968&lt;=(Eingabe!$P$18+Eingabe!$Q$18-1),MATCH(1968,Eingabe!$P$9:$P$18,1),"")</f>
        <v/>
      </c>
      <c r="J1973" s="0" t="str">
        <f aca="false">IF(I1973="","",1968-INDEX(Eingabe!$P$9:$P$18,I1973))</f>
        <v/>
      </c>
      <c r="K1973" s="0" t="str">
        <f aca="false">IF(I1973="","",INDEX(Eingabe!$E$9:$E$18,I1973))</f>
        <v/>
      </c>
    </row>
    <row r="1974" customFormat="false" ht="15" hidden="false" customHeight="false" outlineLevel="0" collapsed="false">
      <c r="A1974" s="0" t="str">
        <f aca="false">IF(I1974="","",IF(J1974=0,"Sparte "&amp;I1974&amp;": "&amp;INDEX(Eingabe!$B$9:$B$18,I1974)&amp;"  (Sparten-ID "&amp;INDEX(Eingabe!$D$9:$D$18,I1974)&amp;", "&amp;K1974&amp;" Parzellen)",IF(J1974&lt;=K1974,"   Parzelle "&amp;J1974,IF(J1974=K1974+1,"   Vorstand",IF(J1974=K1974+2,"   Gäste",IF(J1974=K1974+3,"   Technik (Switches, Access Points)",""))))))</f>
        <v/>
      </c>
      <c r="B1974" s="0" t="str">
        <f aca="false">IF(I1974="","",IF(AND(J1974&gt;=1,J1974&lt;=K1974+3),IF(J1974&lt;=K1974,IF(J1974&lt;=99,IF((INDEX(Eingabe!$G$9:$G$18,I1974))&lt;=9,1000+(INDEX(Eingabe!$G$9:$G$18,I1974))*100,3000)+J1974,IF((INDEX(Eingabe!$G$9:$G$18,I1974)+1)&lt;=9,1000+(INDEX(Eingabe!$G$9:$G$18,I1974)+1)*100,3000)+J1974-100),IF(J1974=K1974+1,2000+INDEX(Eingabe!$G$9:$G$18,I1974)*10+1,IF(J1974=K1974+2,2000+INDEX(Eingabe!$G$9:$G$18,I1974)*10+2,2000+INDEX(Eingabe!$G$9:$G$18,I1974)*10+9))),""))</f>
        <v/>
      </c>
      <c r="C1974" s="0" t="str">
        <f aca="false">IF(I1974="","",IF(AND(J1974&gt;=1,J1974&lt;=K1974+3),"10."&amp;INDEX(Eingabe!$D$9:$D$18,I1974)&amp;"."&amp;IF(J1974&lt;=K1974,J1974,IF(J1974=K1974+1,200,IF(J1974=K1974+2,201,250)))&amp;".0/24",""))</f>
        <v/>
      </c>
      <c r="D1974" s="0" t="str">
        <f aca="false">IF(I1974="","",IF(AND(J1974&gt;=1,J1974&lt;=K1974+3),"255.255.255.0",""))</f>
        <v/>
      </c>
      <c r="E1974" s="0" t="str">
        <f aca="false">IF(I1974="","",IF(AND(J1974&gt;=1,J1974&lt;=K1974+3),"10."&amp;INDEX(Eingabe!$D$9:$D$18,I1974)&amp;"."&amp;IF(J1974&lt;=K1974,J1974,IF(J1974=K1974+1,200,IF(J1974=K1974+2,201,250)))&amp;".1",""))</f>
        <v/>
      </c>
      <c r="F1974" s="0" t="str">
        <f aca="false">IF(I1974="","",IF(AND(J1974&gt;=1,J1974&lt;=K1974+3),"10."&amp;INDEX(Eingabe!$D$9:$D$18,I1974)&amp;"."&amp;IF(J1974&lt;=K1974,J1974,IF(J1974=K1974+1,200,IF(J1974=K1974+2,201,250)))&amp;".10 – 10."&amp;INDEX(Eingabe!$D$9:$D$18,I1974)&amp;"."&amp;IF(J1974&lt;=K1974,J1974,IF(J1974=K1974+1,200,IF(J1974=K1974+2,201,250)))&amp;".250",""))</f>
        <v/>
      </c>
      <c r="G1974" s="0" t="str">
        <f aca="false">IF(I1974="","",IF(AND(J1974&gt;=1,J1974&lt;=K1974),Eingabe!$B$6&amp;"-"&amp;INDEX(Eingabe!$C$9:$C$18,I1974)&amp;"-Pächter  ·  Passwort Parzelle "&amp;J1974,IF(J1974=K1974+1,Eingabe!$B$6&amp;"-"&amp;INDEX(Eingabe!$C$9:$C$18,I1974)&amp;"-Vorstand  ·  eigenes WLAN",IF(J1974=K1974+2,Eingabe!$B$6&amp;"-"&amp;INDEX(Eingabe!$C$9:$C$18,I1974)&amp;"-Gäste  ·  Voucher",IF(J1974=K1974+3,"Kabel  ·  Access Point y = .(50+y), Mast-Switch x = .(10+x)","")))))</f>
        <v/>
      </c>
      <c r="I1974" s="0" t="str">
        <f aca="false">IF(1969&lt;=(Eingabe!$P$18+Eingabe!$Q$18-1),MATCH(1969,Eingabe!$P$9:$P$18,1),"")</f>
        <v/>
      </c>
      <c r="J1974" s="0" t="str">
        <f aca="false">IF(I1974="","",1969-INDEX(Eingabe!$P$9:$P$18,I1974))</f>
        <v/>
      </c>
      <c r="K1974" s="0" t="str">
        <f aca="false">IF(I1974="","",INDEX(Eingabe!$E$9:$E$18,I1974))</f>
        <v/>
      </c>
    </row>
    <row r="1975" customFormat="false" ht="15" hidden="false" customHeight="false" outlineLevel="0" collapsed="false">
      <c r="A1975" s="0" t="str">
        <f aca="false">IF(I1975="","",IF(J1975=0,"Sparte "&amp;I1975&amp;": "&amp;INDEX(Eingabe!$B$9:$B$18,I1975)&amp;"  (Sparten-ID "&amp;INDEX(Eingabe!$D$9:$D$18,I1975)&amp;", "&amp;K1975&amp;" Parzellen)",IF(J1975&lt;=K1975,"   Parzelle "&amp;J1975,IF(J1975=K1975+1,"   Vorstand",IF(J1975=K1975+2,"   Gäste",IF(J1975=K1975+3,"   Technik (Switches, Access Points)",""))))))</f>
        <v/>
      </c>
      <c r="B1975" s="0" t="str">
        <f aca="false">IF(I1975="","",IF(AND(J1975&gt;=1,J1975&lt;=K1975+3),IF(J1975&lt;=K1975,IF(J1975&lt;=99,IF((INDEX(Eingabe!$G$9:$G$18,I1975))&lt;=9,1000+(INDEX(Eingabe!$G$9:$G$18,I1975))*100,3000)+J1975,IF((INDEX(Eingabe!$G$9:$G$18,I1975)+1)&lt;=9,1000+(INDEX(Eingabe!$G$9:$G$18,I1975)+1)*100,3000)+J1975-100),IF(J1975=K1975+1,2000+INDEX(Eingabe!$G$9:$G$18,I1975)*10+1,IF(J1975=K1975+2,2000+INDEX(Eingabe!$G$9:$G$18,I1975)*10+2,2000+INDEX(Eingabe!$G$9:$G$18,I1975)*10+9))),""))</f>
        <v/>
      </c>
      <c r="C1975" s="0" t="str">
        <f aca="false">IF(I1975="","",IF(AND(J1975&gt;=1,J1975&lt;=K1975+3),"10."&amp;INDEX(Eingabe!$D$9:$D$18,I1975)&amp;"."&amp;IF(J1975&lt;=K1975,J1975,IF(J1975=K1975+1,200,IF(J1975=K1975+2,201,250)))&amp;".0/24",""))</f>
        <v/>
      </c>
      <c r="D1975" s="0" t="str">
        <f aca="false">IF(I1975="","",IF(AND(J1975&gt;=1,J1975&lt;=K1975+3),"255.255.255.0",""))</f>
        <v/>
      </c>
      <c r="E1975" s="0" t="str">
        <f aca="false">IF(I1975="","",IF(AND(J1975&gt;=1,J1975&lt;=K1975+3),"10."&amp;INDEX(Eingabe!$D$9:$D$18,I1975)&amp;"."&amp;IF(J1975&lt;=K1975,J1975,IF(J1975=K1975+1,200,IF(J1975=K1975+2,201,250)))&amp;".1",""))</f>
        <v/>
      </c>
      <c r="F1975" s="0" t="str">
        <f aca="false">IF(I1975="","",IF(AND(J1975&gt;=1,J1975&lt;=K1975+3),"10."&amp;INDEX(Eingabe!$D$9:$D$18,I1975)&amp;"."&amp;IF(J1975&lt;=K1975,J1975,IF(J1975=K1975+1,200,IF(J1975=K1975+2,201,250)))&amp;".10 – 10."&amp;INDEX(Eingabe!$D$9:$D$18,I1975)&amp;"."&amp;IF(J1975&lt;=K1975,J1975,IF(J1975=K1975+1,200,IF(J1975=K1975+2,201,250)))&amp;".250",""))</f>
        <v/>
      </c>
      <c r="G1975" s="0" t="str">
        <f aca="false">IF(I1975="","",IF(AND(J1975&gt;=1,J1975&lt;=K1975),Eingabe!$B$6&amp;"-"&amp;INDEX(Eingabe!$C$9:$C$18,I1975)&amp;"-Pächter  ·  Passwort Parzelle "&amp;J1975,IF(J1975=K1975+1,Eingabe!$B$6&amp;"-"&amp;INDEX(Eingabe!$C$9:$C$18,I1975)&amp;"-Vorstand  ·  eigenes WLAN",IF(J1975=K1975+2,Eingabe!$B$6&amp;"-"&amp;INDEX(Eingabe!$C$9:$C$18,I1975)&amp;"-Gäste  ·  Voucher",IF(J1975=K1975+3,"Kabel  ·  Access Point y = .(50+y), Mast-Switch x = .(10+x)","")))))</f>
        <v/>
      </c>
      <c r="I1975" s="0" t="str">
        <f aca="false">IF(1970&lt;=(Eingabe!$P$18+Eingabe!$Q$18-1),MATCH(1970,Eingabe!$P$9:$P$18,1),"")</f>
        <v/>
      </c>
      <c r="J1975" s="0" t="str">
        <f aca="false">IF(I1975="","",1970-INDEX(Eingabe!$P$9:$P$18,I1975))</f>
        <v/>
      </c>
      <c r="K1975" s="0" t="str">
        <f aca="false">IF(I1975="","",INDEX(Eingabe!$E$9:$E$18,I1975))</f>
        <v/>
      </c>
    </row>
    <row r="1976" customFormat="false" ht="15" hidden="false" customHeight="false" outlineLevel="0" collapsed="false">
      <c r="A1976" s="0" t="str">
        <f aca="false">IF(I1976="","",IF(J1976=0,"Sparte "&amp;I1976&amp;": "&amp;INDEX(Eingabe!$B$9:$B$18,I1976)&amp;"  (Sparten-ID "&amp;INDEX(Eingabe!$D$9:$D$18,I1976)&amp;", "&amp;K1976&amp;" Parzellen)",IF(J1976&lt;=K1976,"   Parzelle "&amp;J1976,IF(J1976=K1976+1,"   Vorstand",IF(J1976=K1976+2,"   Gäste",IF(J1976=K1976+3,"   Technik (Switches, Access Points)",""))))))</f>
        <v/>
      </c>
      <c r="B1976" s="0" t="str">
        <f aca="false">IF(I1976="","",IF(AND(J1976&gt;=1,J1976&lt;=K1976+3),IF(J1976&lt;=K1976,IF(J1976&lt;=99,IF((INDEX(Eingabe!$G$9:$G$18,I1976))&lt;=9,1000+(INDEX(Eingabe!$G$9:$G$18,I1976))*100,3000)+J1976,IF((INDEX(Eingabe!$G$9:$G$18,I1976)+1)&lt;=9,1000+(INDEX(Eingabe!$G$9:$G$18,I1976)+1)*100,3000)+J1976-100),IF(J1976=K1976+1,2000+INDEX(Eingabe!$G$9:$G$18,I1976)*10+1,IF(J1976=K1976+2,2000+INDEX(Eingabe!$G$9:$G$18,I1976)*10+2,2000+INDEX(Eingabe!$G$9:$G$18,I1976)*10+9))),""))</f>
        <v/>
      </c>
      <c r="C1976" s="0" t="str">
        <f aca="false">IF(I1976="","",IF(AND(J1976&gt;=1,J1976&lt;=K1976+3),"10."&amp;INDEX(Eingabe!$D$9:$D$18,I1976)&amp;"."&amp;IF(J1976&lt;=K1976,J1976,IF(J1976=K1976+1,200,IF(J1976=K1976+2,201,250)))&amp;".0/24",""))</f>
        <v/>
      </c>
      <c r="D1976" s="0" t="str">
        <f aca="false">IF(I1976="","",IF(AND(J1976&gt;=1,J1976&lt;=K1976+3),"255.255.255.0",""))</f>
        <v/>
      </c>
      <c r="E1976" s="0" t="str">
        <f aca="false">IF(I1976="","",IF(AND(J1976&gt;=1,J1976&lt;=K1976+3),"10."&amp;INDEX(Eingabe!$D$9:$D$18,I1976)&amp;"."&amp;IF(J1976&lt;=K1976,J1976,IF(J1976=K1976+1,200,IF(J1976=K1976+2,201,250)))&amp;".1",""))</f>
        <v/>
      </c>
      <c r="F1976" s="0" t="str">
        <f aca="false">IF(I1976="","",IF(AND(J1976&gt;=1,J1976&lt;=K1976+3),"10."&amp;INDEX(Eingabe!$D$9:$D$18,I1976)&amp;"."&amp;IF(J1976&lt;=K1976,J1976,IF(J1976=K1976+1,200,IF(J1976=K1976+2,201,250)))&amp;".10 – 10."&amp;INDEX(Eingabe!$D$9:$D$18,I1976)&amp;"."&amp;IF(J1976&lt;=K1976,J1976,IF(J1976=K1976+1,200,IF(J1976=K1976+2,201,250)))&amp;".250",""))</f>
        <v/>
      </c>
      <c r="G1976" s="0" t="str">
        <f aca="false">IF(I1976="","",IF(AND(J1976&gt;=1,J1976&lt;=K1976),Eingabe!$B$6&amp;"-"&amp;INDEX(Eingabe!$C$9:$C$18,I1976)&amp;"-Pächter  ·  Passwort Parzelle "&amp;J1976,IF(J1976=K1976+1,Eingabe!$B$6&amp;"-"&amp;INDEX(Eingabe!$C$9:$C$18,I1976)&amp;"-Vorstand  ·  eigenes WLAN",IF(J1976=K1976+2,Eingabe!$B$6&amp;"-"&amp;INDEX(Eingabe!$C$9:$C$18,I1976)&amp;"-Gäste  ·  Voucher",IF(J1976=K1976+3,"Kabel  ·  Access Point y = .(50+y), Mast-Switch x = .(10+x)","")))))</f>
        <v/>
      </c>
      <c r="I1976" s="0" t="str">
        <f aca="false">IF(1971&lt;=(Eingabe!$P$18+Eingabe!$Q$18-1),MATCH(1971,Eingabe!$P$9:$P$18,1),"")</f>
        <v/>
      </c>
      <c r="J1976" s="0" t="str">
        <f aca="false">IF(I1976="","",1971-INDEX(Eingabe!$P$9:$P$18,I1976))</f>
        <v/>
      </c>
      <c r="K1976" s="0" t="str">
        <f aca="false">IF(I1976="","",INDEX(Eingabe!$E$9:$E$18,I1976))</f>
        <v/>
      </c>
    </row>
    <row r="1977" customFormat="false" ht="15" hidden="false" customHeight="false" outlineLevel="0" collapsed="false">
      <c r="A1977" s="0" t="str">
        <f aca="false">IF(I1977="","",IF(J1977=0,"Sparte "&amp;I1977&amp;": "&amp;INDEX(Eingabe!$B$9:$B$18,I1977)&amp;"  (Sparten-ID "&amp;INDEX(Eingabe!$D$9:$D$18,I1977)&amp;", "&amp;K1977&amp;" Parzellen)",IF(J1977&lt;=K1977,"   Parzelle "&amp;J1977,IF(J1977=K1977+1,"   Vorstand",IF(J1977=K1977+2,"   Gäste",IF(J1977=K1977+3,"   Technik (Switches, Access Points)",""))))))</f>
        <v/>
      </c>
      <c r="B1977" s="0" t="str">
        <f aca="false">IF(I1977="","",IF(AND(J1977&gt;=1,J1977&lt;=K1977+3),IF(J1977&lt;=K1977,IF(J1977&lt;=99,IF((INDEX(Eingabe!$G$9:$G$18,I1977))&lt;=9,1000+(INDEX(Eingabe!$G$9:$G$18,I1977))*100,3000)+J1977,IF((INDEX(Eingabe!$G$9:$G$18,I1977)+1)&lt;=9,1000+(INDEX(Eingabe!$G$9:$G$18,I1977)+1)*100,3000)+J1977-100),IF(J1977=K1977+1,2000+INDEX(Eingabe!$G$9:$G$18,I1977)*10+1,IF(J1977=K1977+2,2000+INDEX(Eingabe!$G$9:$G$18,I1977)*10+2,2000+INDEX(Eingabe!$G$9:$G$18,I1977)*10+9))),""))</f>
        <v/>
      </c>
      <c r="C1977" s="0" t="str">
        <f aca="false">IF(I1977="","",IF(AND(J1977&gt;=1,J1977&lt;=K1977+3),"10."&amp;INDEX(Eingabe!$D$9:$D$18,I1977)&amp;"."&amp;IF(J1977&lt;=K1977,J1977,IF(J1977=K1977+1,200,IF(J1977=K1977+2,201,250)))&amp;".0/24",""))</f>
        <v/>
      </c>
      <c r="D1977" s="0" t="str">
        <f aca="false">IF(I1977="","",IF(AND(J1977&gt;=1,J1977&lt;=K1977+3),"255.255.255.0",""))</f>
        <v/>
      </c>
      <c r="E1977" s="0" t="str">
        <f aca="false">IF(I1977="","",IF(AND(J1977&gt;=1,J1977&lt;=K1977+3),"10."&amp;INDEX(Eingabe!$D$9:$D$18,I1977)&amp;"."&amp;IF(J1977&lt;=K1977,J1977,IF(J1977=K1977+1,200,IF(J1977=K1977+2,201,250)))&amp;".1",""))</f>
        <v/>
      </c>
      <c r="F1977" s="0" t="str">
        <f aca="false">IF(I1977="","",IF(AND(J1977&gt;=1,J1977&lt;=K1977+3),"10."&amp;INDEX(Eingabe!$D$9:$D$18,I1977)&amp;"."&amp;IF(J1977&lt;=K1977,J1977,IF(J1977=K1977+1,200,IF(J1977=K1977+2,201,250)))&amp;".10 – 10."&amp;INDEX(Eingabe!$D$9:$D$18,I1977)&amp;"."&amp;IF(J1977&lt;=K1977,J1977,IF(J1977=K1977+1,200,IF(J1977=K1977+2,201,250)))&amp;".250",""))</f>
        <v/>
      </c>
      <c r="G1977" s="0" t="str">
        <f aca="false">IF(I1977="","",IF(AND(J1977&gt;=1,J1977&lt;=K1977),Eingabe!$B$6&amp;"-"&amp;INDEX(Eingabe!$C$9:$C$18,I1977)&amp;"-Pächter  ·  Passwort Parzelle "&amp;J1977,IF(J1977=K1977+1,Eingabe!$B$6&amp;"-"&amp;INDEX(Eingabe!$C$9:$C$18,I1977)&amp;"-Vorstand  ·  eigenes WLAN",IF(J1977=K1977+2,Eingabe!$B$6&amp;"-"&amp;INDEX(Eingabe!$C$9:$C$18,I1977)&amp;"-Gäste  ·  Voucher",IF(J1977=K1977+3,"Kabel  ·  Access Point y = .(50+y), Mast-Switch x = .(10+x)","")))))</f>
        <v/>
      </c>
      <c r="I1977" s="0" t="str">
        <f aca="false">IF(1972&lt;=(Eingabe!$P$18+Eingabe!$Q$18-1),MATCH(1972,Eingabe!$P$9:$P$18,1),"")</f>
        <v/>
      </c>
      <c r="J1977" s="0" t="str">
        <f aca="false">IF(I1977="","",1972-INDEX(Eingabe!$P$9:$P$18,I1977))</f>
        <v/>
      </c>
      <c r="K1977" s="0" t="str">
        <f aca="false">IF(I1977="","",INDEX(Eingabe!$E$9:$E$18,I1977))</f>
        <v/>
      </c>
    </row>
    <row r="1978" customFormat="false" ht="15" hidden="false" customHeight="false" outlineLevel="0" collapsed="false">
      <c r="A1978" s="0" t="str">
        <f aca="false">IF(I1978="","",IF(J1978=0,"Sparte "&amp;I1978&amp;": "&amp;INDEX(Eingabe!$B$9:$B$18,I1978)&amp;"  (Sparten-ID "&amp;INDEX(Eingabe!$D$9:$D$18,I1978)&amp;", "&amp;K1978&amp;" Parzellen)",IF(J1978&lt;=K1978,"   Parzelle "&amp;J1978,IF(J1978=K1978+1,"   Vorstand",IF(J1978=K1978+2,"   Gäste",IF(J1978=K1978+3,"   Technik (Switches, Access Points)",""))))))</f>
        <v/>
      </c>
      <c r="B1978" s="0" t="str">
        <f aca="false">IF(I1978="","",IF(AND(J1978&gt;=1,J1978&lt;=K1978+3),IF(J1978&lt;=K1978,IF(J1978&lt;=99,IF((INDEX(Eingabe!$G$9:$G$18,I1978))&lt;=9,1000+(INDEX(Eingabe!$G$9:$G$18,I1978))*100,3000)+J1978,IF((INDEX(Eingabe!$G$9:$G$18,I1978)+1)&lt;=9,1000+(INDEX(Eingabe!$G$9:$G$18,I1978)+1)*100,3000)+J1978-100),IF(J1978=K1978+1,2000+INDEX(Eingabe!$G$9:$G$18,I1978)*10+1,IF(J1978=K1978+2,2000+INDEX(Eingabe!$G$9:$G$18,I1978)*10+2,2000+INDEX(Eingabe!$G$9:$G$18,I1978)*10+9))),""))</f>
        <v/>
      </c>
      <c r="C1978" s="0" t="str">
        <f aca="false">IF(I1978="","",IF(AND(J1978&gt;=1,J1978&lt;=K1978+3),"10."&amp;INDEX(Eingabe!$D$9:$D$18,I1978)&amp;"."&amp;IF(J1978&lt;=K1978,J1978,IF(J1978=K1978+1,200,IF(J1978=K1978+2,201,250)))&amp;".0/24",""))</f>
        <v/>
      </c>
      <c r="D1978" s="0" t="str">
        <f aca="false">IF(I1978="","",IF(AND(J1978&gt;=1,J1978&lt;=K1978+3),"255.255.255.0",""))</f>
        <v/>
      </c>
      <c r="E1978" s="0" t="str">
        <f aca="false">IF(I1978="","",IF(AND(J1978&gt;=1,J1978&lt;=K1978+3),"10."&amp;INDEX(Eingabe!$D$9:$D$18,I1978)&amp;"."&amp;IF(J1978&lt;=K1978,J1978,IF(J1978=K1978+1,200,IF(J1978=K1978+2,201,250)))&amp;".1",""))</f>
        <v/>
      </c>
      <c r="F1978" s="0" t="str">
        <f aca="false">IF(I1978="","",IF(AND(J1978&gt;=1,J1978&lt;=K1978+3),"10."&amp;INDEX(Eingabe!$D$9:$D$18,I1978)&amp;"."&amp;IF(J1978&lt;=K1978,J1978,IF(J1978=K1978+1,200,IF(J1978=K1978+2,201,250)))&amp;".10 – 10."&amp;INDEX(Eingabe!$D$9:$D$18,I1978)&amp;"."&amp;IF(J1978&lt;=K1978,J1978,IF(J1978=K1978+1,200,IF(J1978=K1978+2,201,250)))&amp;".250",""))</f>
        <v/>
      </c>
      <c r="G1978" s="0" t="str">
        <f aca="false">IF(I1978="","",IF(AND(J1978&gt;=1,J1978&lt;=K1978),Eingabe!$B$6&amp;"-"&amp;INDEX(Eingabe!$C$9:$C$18,I1978)&amp;"-Pächter  ·  Passwort Parzelle "&amp;J1978,IF(J1978=K1978+1,Eingabe!$B$6&amp;"-"&amp;INDEX(Eingabe!$C$9:$C$18,I1978)&amp;"-Vorstand  ·  eigenes WLAN",IF(J1978=K1978+2,Eingabe!$B$6&amp;"-"&amp;INDEX(Eingabe!$C$9:$C$18,I1978)&amp;"-Gäste  ·  Voucher",IF(J1978=K1978+3,"Kabel  ·  Access Point y = .(50+y), Mast-Switch x = .(10+x)","")))))</f>
        <v/>
      </c>
      <c r="I1978" s="0" t="str">
        <f aca="false">IF(1973&lt;=(Eingabe!$P$18+Eingabe!$Q$18-1),MATCH(1973,Eingabe!$P$9:$P$18,1),"")</f>
        <v/>
      </c>
      <c r="J1978" s="0" t="str">
        <f aca="false">IF(I1978="","",1973-INDEX(Eingabe!$P$9:$P$18,I1978))</f>
        <v/>
      </c>
      <c r="K1978" s="0" t="str">
        <f aca="false">IF(I1978="","",INDEX(Eingabe!$E$9:$E$18,I1978))</f>
        <v/>
      </c>
    </row>
    <row r="1979" customFormat="false" ht="15" hidden="false" customHeight="false" outlineLevel="0" collapsed="false">
      <c r="A1979" s="0" t="str">
        <f aca="false">IF(I1979="","",IF(J1979=0,"Sparte "&amp;I1979&amp;": "&amp;INDEX(Eingabe!$B$9:$B$18,I1979)&amp;"  (Sparten-ID "&amp;INDEX(Eingabe!$D$9:$D$18,I1979)&amp;", "&amp;K1979&amp;" Parzellen)",IF(J1979&lt;=K1979,"   Parzelle "&amp;J1979,IF(J1979=K1979+1,"   Vorstand",IF(J1979=K1979+2,"   Gäste",IF(J1979=K1979+3,"   Technik (Switches, Access Points)",""))))))</f>
        <v/>
      </c>
      <c r="B1979" s="0" t="str">
        <f aca="false">IF(I1979="","",IF(AND(J1979&gt;=1,J1979&lt;=K1979+3),IF(J1979&lt;=K1979,IF(J1979&lt;=99,IF((INDEX(Eingabe!$G$9:$G$18,I1979))&lt;=9,1000+(INDEX(Eingabe!$G$9:$G$18,I1979))*100,3000)+J1979,IF((INDEX(Eingabe!$G$9:$G$18,I1979)+1)&lt;=9,1000+(INDEX(Eingabe!$G$9:$G$18,I1979)+1)*100,3000)+J1979-100),IF(J1979=K1979+1,2000+INDEX(Eingabe!$G$9:$G$18,I1979)*10+1,IF(J1979=K1979+2,2000+INDEX(Eingabe!$G$9:$G$18,I1979)*10+2,2000+INDEX(Eingabe!$G$9:$G$18,I1979)*10+9))),""))</f>
        <v/>
      </c>
      <c r="C1979" s="0" t="str">
        <f aca="false">IF(I1979="","",IF(AND(J1979&gt;=1,J1979&lt;=K1979+3),"10."&amp;INDEX(Eingabe!$D$9:$D$18,I1979)&amp;"."&amp;IF(J1979&lt;=K1979,J1979,IF(J1979=K1979+1,200,IF(J1979=K1979+2,201,250)))&amp;".0/24",""))</f>
        <v/>
      </c>
      <c r="D1979" s="0" t="str">
        <f aca="false">IF(I1979="","",IF(AND(J1979&gt;=1,J1979&lt;=K1979+3),"255.255.255.0",""))</f>
        <v/>
      </c>
      <c r="E1979" s="0" t="str">
        <f aca="false">IF(I1979="","",IF(AND(J1979&gt;=1,J1979&lt;=K1979+3),"10."&amp;INDEX(Eingabe!$D$9:$D$18,I1979)&amp;"."&amp;IF(J1979&lt;=K1979,J1979,IF(J1979=K1979+1,200,IF(J1979=K1979+2,201,250)))&amp;".1",""))</f>
        <v/>
      </c>
      <c r="F1979" s="0" t="str">
        <f aca="false">IF(I1979="","",IF(AND(J1979&gt;=1,J1979&lt;=K1979+3),"10."&amp;INDEX(Eingabe!$D$9:$D$18,I1979)&amp;"."&amp;IF(J1979&lt;=K1979,J1979,IF(J1979=K1979+1,200,IF(J1979=K1979+2,201,250)))&amp;".10 – 10."&amp;INDEX(Eingabe!$D$9:$D$18,I1979)&amp;"."&amp;IF(J1979&lt;=K1979,J1979,IF(J1979=K1979+1,200,IF(J1979=K1979+2,201,250)))&amp;".250",""))</f>
        <v/>
      </c>
      <c r="G1979" s="0" t="str">
        <f aca="false">IF(I1979="","",IF(AND(J1979&gt;=1,J1979&lt;=K1979),Eingabe!$B$6&amp;"-"&amp;INDEX(Eingabe!$C$9:$C$18,I1979)&amp;"-Pächter  ·  Passwort Parzelle "&amp;J1979,IF(J1979=K1979+1,Eingabe!$B$6&amp;"-"&amp;INDEX(Eingabe!$C$9:$C$18,I1979)&amp;"-Vorstand  ·  eigenes WLAN",IF(J1979=K1979+2,Eingabe!$B$6&amp;"-"&amp;INDEX(Eingabe!$C$9:$C$18,I1979)&amp;"-Gäste  ·  Voucher",IF(J1979=K1979+3,"Kabel  ·  Access Point y = .(50+y), Mast-Switch x = .(10+x)","")))))</f>
        <v/>
      </c>
      <c r="I1979" s="0" t="str">
        <f aca="false">IF(1974&lt;=(Eingabe!$P$18+Eingabe!$Q$18-1),MATCH(1974,Eingabe!$P$9:$P$18,1),"")</f>
        <v/>
      </c>
      <c r="J1979" s="0" t="str">
        <f aca="false">IF(I1979="","",1974-INDEX(Eingabe!$P$9:$P$18,I1979))</f>
        <v/>
      </c>
      <c r="K1979" s="0" t="str">
        <f aca="false">IF(I1979="","",INDEX(Eingabe!$E$9:$E$18,I1979))</f>
        <v/>
      </c>
    </row>
    <row r="1980" customFormat="false" ht="15" hidden="false" customHeight="false" outlineLevel="0" collapsed="false">
      <c r="A1980" s="0" t="str">
        <f aca="false">IF(I1980="","",IF(J1980=0,"Sparte "&amp;I1980&amp;": "&amp;INDEX(Eingabe!$B$9:$B$18,I1980)&amp;"  (Sparten-ID "&amp;INDEX(Eingabe!$D$9:$D$18,I1980)&amp;", "&amp;K1980&amp;" Parzellen)",IF(J1980&lt;=K1980,"   Parzelle "&amp;J1980,IF(J1980=K1980+1,"   Vorstand",IF(J1980=K1980+2,"   Gäste",IF(J1980=K1980+3,"   Technik (Switches, Access Points)",""))))))</f>
        <v/>
      </c>
      <c r="B1980" s="0" t="str">
        <f aca="false">IF(I1980="","",IF(AND(J1980&gt;=1,J1980&lt;=K1980+3),IF(J1980&lt;=K1980,IF(J1980&lt;=99,IF((INDEX(Eingabe!$G$9:$G$18,I1980))&lt;=9,1000+(INDEX(Eingabe!$G$9:$G$18,I1980))*100,3000)+J1980,IF((INDEX(Eingabe!$G$9:$G$18,I1980)+1)&lt;=9,1000+(INDEX(Eingabe!$G$9:$G$18,I1980)+1)*100,3000)+J1980-100),IF(J1980=K1980+1,2000+INDEX(Eingabe!$G$9:$G$18,I1980)*10+1,IF(J1980=K1980+2,2000+INDEX(Eingabe!$G$9:$G$18,I1980)*10+2,2000+INDEX(Eingabe!$G$9:$G$18,I1980)*10+9))),""))</f>
        <v/>
      </c>
      <c r="C1980" s="0" t="str">
        <f aca="false">IF(I1980="","",IF(AND(J1980&gt;=1,J1980&lt;=K1980+3),"10."&amp;INDEX(Eingabe!$D$9:$D$18,I1980)&amp;"."&amp;IF(J1980&lt;=K1980,J1980,IF(J1980=K1980+1,200,IF(J1980=K1980+2,201,250)))&amp;".0/24",""))</f>
        <v/>
      </c>
      <c r="D1980" s="0" t="str">
        <f aca="false">IF(I1980="","",IF(AND(J1980&gt;=1,J1980&lt;=K1980+3),"255.255.255.0",""))</f>
        <v/>
      </c>
      <c r="E1980" s="0" t="str">
        <f aca="false">IF(I1980="","",IF(AND(J1980&gt;=1,J1980&lt;=K1980+3),"10."&amp;INDEX(Eingabe!$D$9:$D$18,I1980)&amp;"."&amp;IF(J1980&lt;=K1980,J1980,IF(J1980=K1980+1,200,IF(J1980=K1980+2,201,250)))&amp;".1",""))</f>
        <v/>
      </c>
      <c r="F1980" s="0" t="str">
        <f aca="false">IF(I1980="","",IF(AND(J1980&gt;=1,J1980&lt;=K1980+3),"10."&amp;INDEX(Eingabe!$D$9:$D$18,I1980)&amp;"."&amp;IF(J1980&lt;=K1980,J1980,IF(J1980=K1980+1,200,IF(J1980=K1980+2,201,250)))&amp;".10 – 10."&amp;INDEX(Eingabe!$D$9:$D$18,I1980)&amp;"."&amp;IF(J1980&lt;=K1980,J1980,IF(J1980=K1980+1,200,IF(J1980=K1980+2,201,250)))&amp;".250",""))</f>
        <v/>
      </c>
      <c r="G1980" s="0" t="str">
        <f aca="false">IF(I1980="","",IF(AND(J1980&gt;=1,J1980&lt;=K1980),Eingabe!$B$6&amp;"-"&amp;INDEX(Eingabe!$C$9:$C$18,I1980)&amp;"-Pächter  ·  Passwort Parzelle "&amp;J1980,IF(J1980=K1980+1,Eingabe!$B$6&amp;"-"&amp;INDEX(Eingabe!$C$9:$C$18,I1980)&amp;"-Vorstand  ·  eigenes WLAN",IF(J1980=K1980+2,Eingabe!$B$6&amp;"-"&amp;INDEX(Eingabe!$C$9:$C$18,I1980)&amp;"-Gäste  ·  Voucher",IF(J1980=K1980+3,"Kabel  ·  Access Point y = .(50+y), Mast-Switch x = .(10+x)","")))))</f>
        <v/>
      </c>
      <c r="I1980" s="0" t="str">
        <f aca="false">IF(1975&lt;=(Eingabe!$P$18+Eingabe!$Q$18-1),MATCH(1975,Eingabe!$P$9:$P$18,1),"")</f>
        <v/>
      </c>
      <c r="J1980" s="0" t="str">
        <f aca="false">IF(I1980="","",1975-INDEX(Eingabe!$P$9:$P$18,I1980))</f>
        <v/>
      </c>
      <c r="K1980" s="0" t="str">
        <f aca="false">IF(I1980="","",INDEX(Eingabe!$E$9:$E$18,I1980))</f>
        <v/>
      </c>
    </row>
    <row r="1981" customFormat="false" ht="15" hidden="false" customHeight="false" outlineLevel="0" collapsed="false">
      <c r="A1981" s="0" t="str">
        <f aca="false">IF(I1981="","",IF(J1981=0,"Sparte "&amp;I1981&amp;": "&amp;INDEX(Eingabe!$B$9:$B$18,I1981)&amp;"  (Sparten-ID "&amp;INDEX(Eingabe!$D$9:$D$18,I1981)&amp;", "&amp;K1981&amp;" Parzellen)",IF(J1981&lt;=K1981,"   Parzelle "&amp;J1981,IF(J1981=K1981+1,"   Vorstand",IF(J1981=K1981+2,"   Gäste",IF(J1981=K1981+3,"   Technik (Switches, Access Points)",""))))))</f>
        <v/>
      </c>
      <c r="B1981" s="0" t="str">
        <f aca="false">IF(I1981="","",IF(AND(J1981&gt;=1,J1981&lt;=K1981+3),IF(J1981&lt;=K1981,IF(J1981&lt;=99,IF((INDEX(Eingabe!$G$9:$G$18,I1981))&lt;=9,1000+(INDEX(Eingabe!$G$9:$G$18,I1981))*100,3000)+J1981,IF((INDEX(Eingabe!$G$9:$G$18,I1981)+1)&lt;=9,1000+(INDEX(Eingabe!$G$9:$G$18,I1981)+1)*100,3000)+J1981-100),IF(J1981=K1981+1,2000+INDEX(Eingabe!$G$9:$G$18,I1981)*10+1,IF(J1981=K1981+2,2000+INDEX(Eingabe!$G$9:$G$18,I1981)*10+2,2000+INDEX(Eingabe!$G$9:$G$18,I1981)*10+9))),""))</f>
        <v/>
      </c>
      <c r="C1981" s="0" t="str">
        <f aca="false">IF(I1981="","",IF(AND(J1981&gt;=1,J1981&lt;=K1981+3),"10."&amp;INDEX(Eingabe!$D$9:$D$18,I1981)&amp;"."&amp;IF(J1981&lt;=K1981,J1981,IF(J1981=K1981+1,200,IF(J1981=K1981+2,201,250)))&amp;".0/24",""))</f>
        <v/>
      </c>
      <c r="D1981" s="0" t="str">
        <f aca="false">IF(I1981="","",IF(AND(J1981&gt;=1,J1981&lt;=K1981+3),"255.255.255.0",""))</f>
        <v/>
      </c>
      <c r="E1981" s="0" t="str">
        <f aca="false">IF(I1981="","",IF(AND(J1981&gt;=1,J1981&lt;=K1981+3),"10."&amp;INDEX(Eingabe!$D$9:$D$18,I1981)&amp;"."&amp;IF(J1981&lt;=K1981,J1981,IF(J1981=K1981+1,200,IF(J1981=K1981+2,201,250)))&amp;".1",""))</f>
        <v/>
      </c>
      <c r="F1981" s="0" t="str">
        <f aca="false">IF(I1981="","",IF(AND(J1981&gt;=1,J1981&lt;=K1981+3),"10."&amp;INDEX(Eingabe!$D$9:$D$18,I1981)&amp;"."&amp;IF(J1981&lt;=K1981,J1981,IF(J1981=K1981+1,200,IF(J1981=K1981+2,201,250)))&amp;".10 – 10."&amp;INDEX(Eingabe!$D$9:$D$18,I1981)&amp;"."&amp;IF(J1981&lt;=K1981,J1981,IF(J1981=K1981+1,200,IF(J1981=K1981+2,201,250)))&amp;".250",""))</f>
        <v/>
      </c>
      <c r="G1981" s="0" t="str">
        <f aca="false">IF(I1981="","",IF(AND(J1981&gt;=1,J1981&lt;=K1981),Eingabe!$B$6&amp;"-"&amp;INDEX(Eingabe!$C$9:$C$18,I1981)&amp;"-Pächter  ·  Passwort Parzelle "&amp;J1981,IF(J1981=K1981+1,Eingabe!$B$6&amp;"-"&amp;INDEX(Eingabe!$C$9:$C$18,I1981)&amp;"-Vorstand  ·  eigenes WLAN",IF(J1981=K1981+2,Eingabe!$B$6&amp;"-"&amp;INDEX(Eingabe!$C$9:$C$18,I1981)&amp;"-Gäste  ·  Voucher",IF(J1981=K1981+3,"Kabel  ·  Access Point y = .(50+y), Mast-Switch x = .(10+x)","")))))</f>
        <v/>
      </c>
      <c r="I1981" s="0" t="str">
        <f aca="false">IF(1976&lt;=(Eingabe!$P$18+Eingabe!$Q$18-1),MATCH(1976,Eingabe!$P$9:$P$18,1),"")</f>
        <v/>
      </c>
      <c r="J1981" s="0" t="str">
        <f aca="false">IF(I1981="","",1976-INDEX(Eingabe!$P$9:$P$18,I1981))</f>
        <v/>
      </c>
      <c r="K1981" s="0" t="str">
        <f aca="false">IF(I1981="","",INDEX(Eingabe!$E$9:$E$18,I1981))</f>
        <v/>
      </c>
    </row>
    <row r="1982" customFormat="false" ht="15" hidden="false" customHeight="false" outlineLevel="0" collapsed="false">
      <c r="A1982" s="0" t="str">
        <f aca="false">IF(I1982="","",IF(J1982=0,"Sparte "&amp;I1982&amp;": "&amp;INDEX(Eingabe!$B$9:$B$18,I1982)&amp;"  (Sparten-ID "&amp;INDEX(Eingabe!$D$9:$D$18,I1982)&amp;", "&amp;K1982&amp;" Parzellen)",IF(J1982&lt;=K1982,"   Parzelle "&amp;J1982,IF(J1982=K1982+1,"   Vorstand",IF(J1982=K1982+2,"   Gäste",IF(J1982=K1982+3,"   Technik (Switches, Access Points)",""))))))</f>
        <v/>
      </c>
      <c r="B1982" s="0" t="str">
        <f aca="false">IF(I1982="","",IF(AND(J1982&gt;=1,J1982&lt;=K1982+3),IF(J1982&lt;=K1982,IF(J1982&lt;=99,IF((INDEX(Eingabe!$G$9:$G$18,I1982))&lt;=9,1000+(INDEX(Eingabe!$G$9:$G$18,I1982))*100,3000)+J1982,IF((INDEX(Eingabe!$G$9:$G$18,I1982)+1)&lt;=9,1000+(INDEX(Eingabe!$G$9:$G$18,I1982)+1)*100,3000)+J1982-100),IF(J1982=K1982+1,2000+INDEX(Eingabe!$G$9:$G$18,I1982)*10+1,IF(J1982=K1982+2,2000+INDEX(Eingabe!$G$9:$G$18,I1982)*10+2,2000+INDEX(Eingabe!$G$9:$G$18,I1982)*10+9))),""))</f>
        <v/>
      </c>
      <c r="C1982" s="0" t="str">
        <f aca="false">IF(I1982="","",IF(AND(J1982&gt;=1,J1982&lt;=K1982+3),"10."&amp;INDEX(Eingabe!$D$9:$D$18,I1982)&amp;"."&amp;IF(J1982&lt;=K1982,J1982,IF(J1982=K1982+1,200,IF(J1982=K1982+2,201,250)))&amp;".0/24",""))</f>
        <v/>
      </c>
      <c r="D1982" s="0" t="str">
        <f aca="false">IF(I1982="","",IF(AND(J1982&gt;=1,J1982&lt;=K1982+3),"255.255.255.0",""))</f>
        <v/>
      </c>
      <c r="E1982" s="0" t="str">
        <f aca="false">IF(I1982="","",IF(AND(J1982&gt;=1,J1982&lt;=K1982+3),"10."&amp;INDEX(Eingabe!$D$9:$D$18,I1982)&amp;"."&amp;IF(J1982&lt;=K1982,J1982,IF(J1982=K1982+1,200,IF(J1982=K1982+2,201,250)))&amp;".1",""))</f>
        <v/>
      </c>
      <c r="F1982" s="0" t="str">
        <f aca="false">IF(I1982="","",IF(AND(J1982&gt;=1,J1982&lt;=K1982+3),"10."&amp;INDEX(Eingabe!$D$9:$D$18,I1982)&amp;"."&amp;IF(J1982&lt;=K1982,J1982,IF(J1982=K1982+1,200,IF(J1982=K1982+2,201,250)))&amp;".10 – 10."&amp;INDEX(Eingabe!$D$9:$D$18,I1982)&amp;"."&amp;IF(J1982&lt;=K1982,J1982,IF(J1982=K1982+1,200,IF(J1982=K1982+2,201,250)))&amp;".250",""))</f>
        <v/>
      </c>
      <c r="G1982" s="0" t="str">
        <f aca="false">IF(I1982="","",IF(AND(J1982&gt;=1,J1982&lt;=K1982),Eingabe!$B$6&amp;"-"&amp;INDEX(Eingabe!$C$9:$C$18,I1982)&amp;"-Pächter  ·  Passwort Parzelle "&amp;J1982,IF(J1982=K1982+1,Eingabe!$B$6&amp;"-"&amp;INDEX(Eingabe!$C$9:$C$18,I1982)&amp;"-Vorstand  ·  eigenes WLAN",IF(J1982=K1982+2,Eingabe!$B$6&amp;"-"&amp;INDEX(Eingabe!$C$9:$C$18,I1982)&amp;"-Gäste  ·  Voucher",IF(J1982=K1982+3,"Kabel  ·  Access Point y = .(50+y), Mast-Switch x = .(10+x)","")))))</f>
        <v/>
      </c>
      <c r="I1982" s="0" t="str">
        <f aca="false">IF(1977&lt;=(Eingabe!$P$18+Eingabe!$Q$18-1),MATCH(1977,Eingabe!$P$9:$P$18,1),"")</f>
        <v/>
      </c>
      <c r="J1982" s="0" t="str">
        <f aca="false">IF(I1982="","",1977-INDEX(Eingabe!$P$9:$P$18,I1982))</f>
        <v/>
      </c>
      <c r="K1982" s="0" t="str">
        <f aca="false">IF(I1982="","",INDEX(Eingabe!$E$9:$E$18,I1982))</f>
        <v/>
      </c>
    </row>
    <row r="1983" customFormat="false" ht="15" hidden="false" customHeight="false" outlineLevel="0" collapsed="false">
      <c r="A1983" s="0" t="str">
        <f aca="false">IF(I1983="","",IF(J1983=0,"Sparte "&amp;I1983&amp;": "&amp;INDEX(Eingabe!$B$9:$B$18,I1983)&amp;"  (Sparten-ID "&amp;INDEX(Eingabe!$D$9:$D$18,I1983)&amp;", "&amp;K1983&amp;" Parzellen)",IF(J1983&lt;=K1983,"   Parzelle "&amp;J1983,IF(J1983=K1983+1,"   Vorstand",IF(J1983=K1983+2,"   Gäste",IF(J1983=K1983+3,"   Technik (Switches, Access Points)",""))))))</f>
        <v/>
      </c>
      <c r="B1983" s="0" t="str">
        <f aca="false">IF(I1983="","",IF(AND(J1983&gt;=1,J1983&lt;=K1983+3),IF(J1983&lt;=K1983,IF(J1983&lt;=99,IF((INDEX(Eingabe!$G$9:$G$18,I1983))&lt;=9,1000+(INDEX(Eingabe!$G$9:$G$18,I1983))*100,3000)+J1983,IF((INDEX(Eingabe!$G$9:$G$18,I1983)+1)&lt;=9,1000+(INDEX(Eingabe!$G$9:$G$18,I1983)+1)*100,3000)+J1983-100),IF(J1983=K1983+1,2000+INDEX(Eingabe!$G$9:$G$18,I1983)*10+1,IF(J1983=K1983+2,2000+INDEX(Eingabe!$G$9:$G$18,I1983)*10+2,2000+INDEX(Eingabe!$G$9:$G$18,I1983)*10+9))),""))</f>
        <v/>
      </c>
      <c r="C1983" s="0" t="str">
        <f aca="false">IF(I1983="","",IF(AND(J1983&gt;=1,J1983&lt;=K1983+3),"10."&amp;INDEX(Eingabe!$D$9:$D$18,I1983)&amp;"."&amp;IF(J1983&lt;=K1983,J1983,IF(J1983=K1983+1,200,IF(J1983=K1983+2,201,250)))&amp;".0/24",""))</f>
        <v/>
      </c>
      <c r="D1983" s="0" t="str">
        <f aca="false">IF(I1983="","",IF(AND(J1983&gt;=1,J1983&lt;=K1983+3),"255.255.255.0",""))</f>
        <v/>
      </c>
      <c r="E1983" s="0" t="str">
        <f aca="false">IF(I1983="","",IF(AND(J1983&gt;=1,J1983&lt;=K1983+3),"10."&amp;INDEX(Eingabe!$D$9:$D$18,I1983)&amp;"."&amp;IF(J1983&lt;=K1983,J1983,IF(J1983=K1983+1,200,IF(J1983=K1983+2,201,250)))&amp;".1",""))</f>
        <v/>
      </c>
      <c r="F1983" s="0" t="str">
        <f aca="false">IF(I1983="","",IF(AND(J1983&gt;=1,J1983&lt;=K1983+3),"10."&amp;INDEX(Eingabe!$D$9:$D$18,I1983)&amp;"."&amp;IF(J1983&lt;=K1983,J1983,IF(J1983=K1983+1,200,IF(J1983=K1983+2,201,250)))&amp;".10 – 10."&amp;INDEX(Eingabe!$D$9:$D$18,I1983)&amp;"."&amp;IF(J1983&lt;=K1983,J1983,IF(J1983=K1983+1,200,IF(J1983=K1983+2,201,250)))&amp;".250",""))</f>
        <v/>
      </c>
      <c r="G1983" s="0" t="str">
        <f aca="false">IF(I1983="","",IF(AND(J1983&gt;=1,J1983&lt;=K1983),Eingabe!$B$6&amp;"-"&amp;INDEX(Eingabe!$C$9:$C$18,I1983)&amp;"-Pächter  ·  Passwort Parzelle "&amp;J1983,IF(J1983=K1983+1,Eingabe!$B$6&amp;"-"&amp;INDEX(Eingabe!$C$9:$C$18,I1983)&amp;"-Vorstand  ·  eigenes WLAN",IF(J1983=K1983+2,Eingabe!$B$6&amp;"-"&amp;INDEX(Eingabe!$C$9:$C$18,I1983)&amp;"-Gäste  ·  Voucher",IF(J1983=K1983+3,"Kabel  ·  Access Point y = .(50+y), Mast-Switch x = .(10+x)","")))))</f>
        <v/>
      </c>
      <c r="I1983" s="0" t="str">
        <f aca="false">IF(1978&lt;=(Eingabe!$P$18+Eingabe!$Q$18-1),MATCH(1978,Eingabe!$P$9:$P$18,1),"")</f>
        <v/>
      </c>
      <c r="J1983" s="0" t="str">
        <f aca="false">IF(I1983="","",1978-INDEX(Eingabe!$P$9:$P$18,I1983))</f>
        <v/>
      </c>
      <c r="K1983" s="0" t="str">
        <f aca="false">IF(I1983="","",INDEX(Eingabe!$E$9:$E$18,I1983))</f>
        <v/>
      </c>
    </row>
    <row r="1984" customFormat="false" ht="15" hidden="false" customHeight="false" outlineLevel="0" collapsed="false">
      <c r="A1984" s="0" t="str">
        <f aca="false">IF(I1984="","",IF(J1984=0,"Sparte "&amp;I1984&amp;": "&amp;INDEX(Eingabe!$B$9:$B$18,I1984)&amp;"  (Sparten-ID "&amp;INDEX(Eingabe!$D$9:$D$18,I1984)&amp;", "&amp;K1984&amp;" Parzellen)",IF(J1984&lt;=K1984,"   Parzelle "&amp;J1984,IF(J1984=K1984+1,"   Vorstand",IF(J1984=K1984+2,"   Gäste",IF(J1984=K1984+3,"   Technik (Switches, Access Points)",""))))))</f>
        <v/>
      </c>
      <c r="B1984" s="0" t="str">
        <f aca="false">IF(I1984="","",IF(AND(J1984&gt;=1,J1984&lt;=K1984+3),IF(J1984&lt;=K1984,IF(J1984&lt;=99,IF((INDEX(Eingabe!$G$9:$G$18,I1984))&lt;=9,1000+(INDEX(Eingabe!$G$9:$G$18,I1984))*100,3000)+J1984,IF((INDEX(Eingabe!$G$9:$G$18,I1984)+1)&lt;=9,1000+(INDEX(Eingabe!$G$9:$G$18,I1984)+1)*100,3000)+J1984-100),IF(J1984=K1984+1,2000+INDEX(Eingabe!$G$9:$G$18,I1984)*10+1,IF(J1984=K1984+2,2000+INDEX(Eingabe!$G$9:$G$18,I1984)*10+2,2000+INDEX(Eingabe!$G$9:$G$18,I1984)*10+9))),""))</f>
        <v/>
      </c>
      <c r="C1984" s="0" t="str">
        <f aca="false">IF(I1984="","",IF(AND(J1984&gt;=1,J1984&lt;=K1984+3),"10."&amp;INDEX(Eingabe!$D$9:$D$18,I1984)&amp;"."&amp;IF(J1984&lt;=K1984,J1984,IF(J1984=K1984+1,200,IF(J1984=K1984+2,201,250)))&amp;".0/24",""))</f>
        <v/>
      </c>
      <c r="D1984" s="0" t="str">
        <f aca="false">IF(I1984="","",IF(AND(J1984&gt;=1,J1984&lt;=K1984+3),"255.255.255.0",""))</f>
        <v/>
      </c>
      <c r="E1984" s="0" t="str">
        <f aca="false">IF(I1984="","",IF(AND(J1984&gt;=1,J1984&lt;=K1984+3),"10."&amp;INDEX(Eingabe!$D$9:$D$18,I1984)&amp;"."&amp;IF(J1984&lt;=K1984,J1984,IF(J1984=K1984+1,200,IF(J1984=K1984+2,201,250)))&amp;".1",""))</f>
        <v/>
      </c>
      <c r="F1984" s="0" t="str">
        <f aca="false">IF(I1984="","",IF(AND(J1984&gt;=1,J1984&lt;=K1984+3),"10."&amp;INDEX(Eingabe!$D$9:$D$18,I1984)&amp;"."&amp;IF(J1984&lt;=K1984,J1984,IF(J1984=K1984+1,200,IF(J1984=K1984+2,201,250)))&amp;".10 – 10."&amp;INDEX(Eingabe!$D$9:$D$18,I1984)&amp;"."&amp;IF(J1984&lt;=K1984,J1984,IF(J1984=K1984+1,200,IF(J1984=K1984+2,201,250)))&amp;".250",""))</f>
        <v/>
      </c>
      <c r="G1984" s="0" t="str">
        <f aca="false">IF(I1984="","",IF(AND(J1984&gt;=1,J1984&lt;=K1984),Eingabe!$B$6&amp;"-"&amp;INDEX(Eingabe!$C$9:$C$18,I1984)&amp;"-Pächter  ·  Passwort Parzelle "&amp;J1984,IF(J1984=K1984+1,Eingabe!$B$6&amp;"-"&amp;INDEX(Eingabe!$C$9:$C$18,I1984)&amp;"-Vorstand  ·  eigenes WLAN",IF(J1984=K1984+2,Eingabe!$B$6&amp;"-"&amp;INDEX(Eingabe!$C$9:$C$18,I1984)&amp;"-Gäste  ·  Voucher",IF(J1984=K1984+3,"Kabel  ·  Access Point y = .(50+y), Mast-Switch x = .(10+x)","")))))</f>
        <v/>
      </c>
      <c r="I1984" s="0" t="str">
        <f aca="false">IF(1979&lt;=(Eingabe!$P$18+Eingabe!$Q$18-1),MATCH(1979,Eingabe!$P$9:$P$18,1),"")</f>
        <v/>
      </c>
      <c r="J1984" s="0" t="str">
        <f aca="false">IF(I1984="","",1979-INDEX(Eingabe!$P$9:$P$18,I1984))</f>
        <v/>
      </c>
      <c r="K1984" s="0" t="str">
        <f aca="false">IF(I1984="","",INDEX(Eingabe!$E$9:$E$18,I1984))</f>
        <v/>
      </c>
    </row>
    <row r="1985" customFormat="false" ht="15" hidden="false" customHeight="false" outlineLevel="0" collapsed="false">
      <c r="A1985" s="0" t="str">
        <f aca="false">IF(I1985="","",IF(J1985=0,"Sparte "&amp;I1985&amp;": "&amp;INDEX(Eingabe!$B$9:$B$18,I1985)&amp;"  (Sparten-ID "&amp;INDEX(Eingabe!$D$9:$D$18,I1985)&amp;", "&amp;K1985&amp;" Parzellen)",IF(J1985&lt;=K1985,"   Parzelle "&amp;J1985,IF(J1985=K1985+1,"   Vorstand",IF(J1985=K1985+2,"   Gäste",IF(J1985=K1985+3,"   Technik (Switches, Access Points)",""))))))</f>
        <v/>
      </c>
      <c r="B1985" s="0" t="str">
        <f aca="false">IF(I1985="","",IF(AND(J1985&gt;=1,J1985&lt;=K1985+3),IF(J1985&lt;=K1985,IF(J1985&lt;=99,IF((INDEX(Eingabe!$G$9:$G$18,I1985))&lt;=9,1000+(INDEX(Eingabe!$G$9:$G$18,I1985))*100,3000)+J1985,IF((INDEX(Eingabe!$G$9:$G$18,I1985)+1)&lt;=9,1000+(INDEX(Eingabe!$G$9:$G$18,I1985)+1)*100,3000)+J1985-100),IF(J1985=K1985+1,2000+INDEX(Eingabe!$G$9:$G$18,I1985)*10+1,IF(J1985=K1985+2,2000+INDEX(Eingabe!$G$9:$G$18,I1985)*10+2,2000+INDEX(Eingabe!$G$9:$G$18,I1985)*10+9))),""))</f>
        <v/>
      </c>
      <c r="C1985" s="0" t="str">
        <f aca="false">IF(I1985="","",IF(AND(J1985&gt;=1,J1985&lt;=K1985+3),"10."&amp;INDEX(Eingabe!$D$9:$D$18,I1985)&amp;"."&amp;IF(J1985&lt;=K1985,J1985,IF(J1985=K1985+1,200,IF(J1985=K1985+2,201,250)))&amp;".0/24",""))</f>
        <v/>
      </c>
      <c r="D1985" s="0" t="str">
        <f aca="false">IF(I1985="","",IF(AND(J1985&gt;=1,J1985&lt;=K1985+3),"255.255.255.0",""))</f>
        <v/>
      </c>
      <c r="E1985" s="0" t="str">
        <f aca="false">IF(I1985="","",IF(AND(J1985&gt;=1,J1985&lt;=K1985+3),"10."&amp;INDEX(Eingabe!$D$9:$D$18,I1985)&amp;"."&amp;IF(J1985&lt;=K1985,J1985,IF(J1985=K1985+1,200,IF(J1985=K1985+2,201,250)))&amp;".1",""))</f>
        <v/>
      </c>
      <c r="F1985" s="0" t="str">
        <f aca="false">IF(I1985="","",IF(AND(J1985&gt;=1,J1985&lt;=K1985+3),"10."&amp;INDEX(Eingabe!$D$9:$D$18,I1985)&amp;"."&amp;IF(J1985&lt;=K1985,J1985,IF(J1985=K1985+1,200,IF(J1985=K1985+2,201,250)))&amp;".10 – 10."&amp;INDEX(Eingabe!$D$9:$D$18,I1985)&amp;"."&amp;IF(J1985&lt;=K1985,J1985,IF(J1985=K1985+1,200,IF(J1985=K1985+2,201,250)))&amp;".250",""))</f>
        <v/>
      </c>
      <c r="G1985" s="0" t="str">
        <f aca="false">IF(I1985="","",IF(AND(J1985&gt;=1,J1985&lt;=K1985),Eingabe!$B$6&amp;"-"&amp;INDEX(Eingabe!$C$9:$C$18,I1985)&amp;"-Pächter  ·  Passwort Parzelle "&amp;J1985,IF(J1985=K1985+1,Eingabe!$B$6&amp;"-"&amp;INDEX(Eingabe!$C$9:$C$18,I1985)&amp;"-Vorstand  ·  eigenes WLAN",IF(J1985=K1985+2,Eingabe!$B$6&amp;"-"&amp;INDEX(Eingabe!$C$9:$C$18,I1985)&amp;"-Gäste  ·  Voucher",IF(J1985=K1985+3,"Kabel  ·  Access Point y = .(50+y), Mast-Switch x = .(10+x)","")))))</f>
        <v/>
      </c>
      <c r="I1985" s="0" t="str">
        <f aca="false">IF(1980&lt;=(Eingabe!$P$18+Eingabe!$Q$18-1),MATCH(1980,Eingabe!$P$9:$P$18,1),"")</f>
        <v/>
      </c>
      <c r="J1985" s="0" t="str">
        <f aca="false">IF(I1985="","",1980-INDEX(Eingabe!$P$9:$P$18,I1985))</f>
        <v/>
      </c>
      <c r="K1985" s="0" t="str">
        <f aca="false">IF(I1985="","",INDEX(Eingabe!$E$9:$E$18,I1985))</f>
        <v/>
      </c>
    </row>
    <row r="1986" customFormat="false" ht="15" hidden="false" customHeight="false" outlineLevel="0" collapsed="false">
      <c r="A1986" s="0" t="str">
        <f aca="false">IF(I1986="","",IF(J1986=0,"Sparte "&amp;I1986&amp;": "&amp;INDEX(Eingabe!$B$9:$B$18,I1986)&amp;"  (Sparten-ID "&amp;INDEX(Eingabe!$D$9:$D$18,I1986)&amp;", "&amp;K1986&amp;" Parzellen)",IF(J1986&lt;=K1986,"   Parzelle "&amp;J1986,IF(J1986=K1986+1,"   Vorstand",IF(J1986=K1986+2,"   Gäste",IF(J1986=K1986+3,"   Technik (Switches, Access Points)",""))))))</f>
        <v/>
      </c>
      <c r="B1986" s="0" t="str">
        <f aca="false">IF(I1986="","",IF(AND(J1986&gt;=1,J1986&lt;=K1986+3),IF(J1986&lt;=K1986,IF(J1986&lt;=99,IF((INDEX(Eingabe!$G$9:$G$18,I1986))&lt;=9,1000+(INDEX(Eingabe!$G$9:$G$18,I1986))*100,3000)+J1986,IF((INDEX(Eingabe!$G$9:$G$18,I1986)+1)&lt;=9,1000+(INDEX(Eingabe!$G$9:$G$18,I1986)+1)*100,3000)+J1986-100),IF(J1986=K1986+1,2000+INDEX(Eingabe!$G$9:$G$18,I1986)*10+1,IF(J1986=K1986+2,2000+INDEX(Eingabe!$G$9:$G$18,I1986)*10+2,2000+INDEX(Eingabe!$G$9:$G$18,I1986)*10+9))),""))</f>
        <v/>
      </c>
      <c r="C1986" s="0" t="str">
        <f aca="false">IF(I1986="","",IF(AND(J1986&gt;=1,J1986&lt;=K1986+3),"10."&amp;INDEX(Eingabe!$D$9:$D$18,I1986)&amp;"."&amp;IF(J1986&lt;=K1986,J1986,IF(J1986=K1986+1,200,IF(J1986=K1986+2,201,250)))&amp;".0/24",""))</f>
        <v/>
      </c>
      <c r="D1986" s="0" t="str">
        <f aca="false">IF(I1986="","",IF(AND(J1986&gt;=1,J1986&lt;=K1986+3),"255.255.255.0",""))</f>
        <v/>
      </c>
      <c r="E1986" s="0" t="str">
        <f aca="false">IF(I1986="","",IF(AND(J1986&gt;=1,J1986&lt;=K1986+3),"10."&amp;INDEX(Eingabe!$D$9:$D$18,I1986)&amp;"."&amp;IF(J1986&lt;=K1986,J1986,IF(J1986=K1986+1,200,IF(J1986=K1986+2,201,250)))&amp;".1",""))</f>
        <v/>
      </c>
      <c r="F1986" s="0" t="str">
        <f aca="false">IF(I1986="","",IF(AND(J1986&gt;=1,J1986&lt;=K1986+3),"10."&amp;INDEX(Eingabe!$D$9:$D$18,I1986)&amp;"."&amp;IF(J1986&lt;=K1986,J1986,IF(J1986=K1986+1,200,IF(J1986=K1986+2,201,250)))&amp;".10 – 10."&amp;INDEX(Eingabe!$D$9:$D$18,I1986)&amp;"."&amp;IF(J1986&lt;=K1986,J1986,IF(J1986=K1986+1,200,IF(J1986=K1986+2,201,250)))&amp;".250",""))</f>
        <v/>
      </c>
      <c r="G1986" s="0" t="str">
        <f aca="false">IF(I1986="","",IF(AND(J1986&gt;=1,J1986&lt;=K1986),Eingabe!$B$6&amp;"-"&amp;INDEX(Eingabe!$C$9:$C$18,I1986)&amp;"-Pächter  ·  Passwort Parzelle "&amp;J1986,IF(J1986=K1986+1,Eingabe!$B$6&amp;"-"&amp;INDEX(Eingabe!$C$9:$C$18,I1986)&amp;"-Vorstand  ·  eigenes WLAN",IF(J1986=K1986+2,Eingabe!$B$6&amp;"-"&amp;INDEX(Eingabe!$C$9:$C$18,I1986)&amp;"-Gäste  ·  Voucher",IF(J1986=K1986+3,"Kabel  ·  Access Point y = .(50+y), Mast-Switch x = .(10+x)","")))))</f>
        <v/>
      </c>
      <c r="I1986" s="0" t="str">
        <f aca="false">IF(1981&lt;=(Eingabe!$P$18+Eingabe!$Q$18-1),MATCH(1981,Eingabe!$P$9:$P$18,1),"")</f>
        <v/>
      </c>
      <c r="J1986" s="0" t="str">
        <f aca="false">IF(I1986="","",1981-INDEX(Eingabe!$P$9:$P$18,I1986))</f>
        <v/>
      </c>
      <c r="K1986" s="0" t="str">
        <f aca="false">IF(I1986="","",INDEX(Eingabe!$E$9:$E$18,I1986))</f>
        <v/>
      </c>
    </row>
    <row r="1987" customFormat="false" ht="15" hidden="false" customHeight="false" outlineLevel="0" collapsed="false">
      <c r="A1987" s="0" t="str">
        <f aca="false">IF(I1987="","",IF(J1987=0,"Sparte "&amp;I1987&amp;": "&amp;INDEX(Eingabe!$B$9:$B$18,I1987)&amp;"  (Sparten-ID "&amp;INDEX(Eingabe!$D$9:$D$18,I1987)&amp;", "&amp;K1987&amp;" Parzellen)",IF(J1987&lt;=K1987,"   Parzelle "&amp;J1987,IF(J1987=K1987+1,"   Vorstand",IF(J1987=K1987+2,"   Gäste",IF(J1987=K1987+3,"   Technik (Switches, Access Points)",""))))))</f>
        <v/>
      </c>
      <c r="B1987" s="0" t="str">
        <f aca="false">IF(I1987="","",IF(AND(J1987&gt;=1,J1987&lt;=K1987+3),IF(J1987&lt;=K1987,IF(J1987&lt;=99,IF((INDEX(Eingabe!$G$9:$G$18,I1987))&lt;=9,1000+(INDEX(Eingabe!$G$9:$G$18,I1987))*100,3000)+J1987,IF((INDEX(Eingabe!$G$9:$G$18,I1987)+1)&lt;=9,1000+(INDEX(Eingabe!$G$9:$G$18,I1987)+1)*100,3000)+J1987-100),IF(J1987=K1987+1,2000+INDEX(Eingabe!$G$9:$G$18,I1987)*10+1,IF(J1987=K1987+2,2000+INDEX(Eingabe!$G$9:$G$18,I1987)*10+2,2000+INDEX(Eingabe!$G$9:$G$18,I1987)*10+9))),""))</f>
        <v/>
      </c>
      <c r="C1987" s="0" t="str">
        <f aca="false">IF(I1987="","",IF(AND(J1987&gt;=1,J1987&lt;=K1987+3),"10."&amp;INDEX(Eingabe!$D$9:$D$18,I1987)&amp;"."&amp;IF(J1987&lt;=K1987,J1987,IF(J1987=K1987+1,200,IF(J1987=K1987+2,201,250)))&amp;".0/24",""))</f>
        <v/>
      </c>
      <c r="D1987" s="0" t="str">
        <f aca="false">IF(I1987="","",IF(AND(J1987&gt;=1,J1987&lt;=K1987+3),"255.255.255.0",""))</f>
        <v/>
      </c>
      <c r="E1987" s="0" t="str">
        <f aca="false">IF(I1987="","",IF(AND(J1987&gt;=1,J1987&lt;=K1987+3),"10."&amp;INDEX(Eingabe!$D$9:$D$18,I1987)&amp;"."&amp;IF(J1987&lt;=K1987,J1987,IF(J1987=K1987+1,200,IF(J1987=K1987+2,201,250)))&amp;".1",""))</f>
        <v/>
      </c>
      <c r="F1987" s="0" t="str">
        <f aca="false">IF(I1987="","",IF(AND(J1987&gt;=1,J1987&lt;=K1987+3),"10."&amp;INDEX(Eingabe!$D$9:$D$18,I1987)&amp;"."&amp;IF(J1987&lt;=K1987,J1987,IF(J1987=K1987+1,200,IF(J1987=K1987+2,201,250)))&amp;".10 – 10."&amp;INDEX(Eingabe!$D$9:$D$18,I1987)&amp;"."&amp;IF(J1987&lt;=K1987,J1987,IF(J1987=K1987+1,200,IF(J1987=K1987+2,201,250)))&amp;".250",""))</f>
        <v/>
      </c>
      <c r="G1987" s="0" t="str">
        <f aca="false">IF(I1987="","",IF(AND(J1987&gt;=1,J1987&lt;=K1987),Eingabe!$B$6&amp;"-"&amp;INDEX(Eingabe!$C$9:$C$18,I1987)&amp;"-Pächter  ·  Passwort Parzelle "&amp;J1987,IF(J1987=K1987+1,Eingabe!$B$6&amp;"-"&amp;INDEX(Eingabe!$C$9:$C$18,I1987)&amp;"-Vorstand  ·  eigenes WLAN",IF(J1987=K1987+2,Eingabe!$B$6&amp;"-"&amp;INDEX(Eingabe!$C$9:$C$18,I1987)&amp;"-Gäste  ·  Voucher",IF(J1987=K1987+3,"Kabel  ·  Access Point y = .(50+y), Mast-Switch x = .(10+x)","")))))</f>
        <v/>
      </c>
      <c r="I1987" s="0" t="str">
        <f aca="false">IF(1982&lt;=(Eingabe!$P$18+Eingabe!$Q$18-1),MATCH(1982,Eingabe!$P$9:$P$18,1),"")</f>
        <v/>
      </c>
      <c r="J1987" s="0" t="str">
        <f aca="false">IF(I1987="","",1982-INDEX(Eingabe!$P$9:$P$18,I1987))</f>
        <v/>
      </c>
      <c r="K1987" s="0" t="str">
        <f aca="false">IF(I1987="","",INDEX(Eingabe!$E$9:$E$18,I1987))</f>
        <v/>
      </c>
    </row>
    <row r="1988" customFormat="false" ht="15" hidden="false" customHeight="false" outlineLevel="0" collapsed="false">
      <c r="A1988" s="0" t="str">
        <f aca="false">IF(I1988="","",IF(J1988=0,"Sparte "&amp;I1988&amp;": "&amp;INDEX(Eingabe!$B$9:$B$18,I1988)&amp;"  (Sparten-ID "&amp;INDEX(Eingabe!$D$9:$D$18,I1988)&amp;", "&amp;K1988&amp;" Parzellen)",IF(J1988&lt;=K1988,"   Parzelle "&amp;J1988,IF(J1988=K1988+1,"   Vorstand",IF(J1988=K1988+2,"   Gäste",IF(J1988=K1988+3,"   Technik (Switches, Access Points)",""))))))</f>
        <v/>
      </c>
      <c r="B1988" s="0" t="str">
        <f aca="false">IF(I1988="","",IF(AND(J1988&gt;=1,J1988&lt;=K1988+3),IF(J1988&lt;=K1988,IF(J1988&lt;=99,IF((INDEX(Eingabe!$G$9:$G$18,I1988))&lt;=9,1000+(INDEX(Eingabe!$G$9:$G$18,I1988))*100,3000)+J1988,IF((INDEX(Eingabe!$G$9:$G$18,I1988)+1)&lt;=9,1000+(INDEX(Eingabe!$G$9:$G$18,I1988)+1)*100,3000)+J1988-100),IF(J1988=K1988+1,2000+INDEX(Eingabe!$G$9:$G$18,I1988)*10+1,IF(J1988=K1988+2,2000+INDEX(Eingabe!$G$9:$G$18,I1988)*10+2,2000+INDEX(Eingabe!$G$9:$G$18,I1988)*10+9))),""))</f>
        <v/>
      </c>
      <c r="C1988" s="0" t="str">
        <f aca="false">IF(I1988="","",IF(AND(J1988&gt;=1,J1988&lt;=K1988+3),"10."&amp;INDEX(Eingabe!$D$9:$D$18,I1988)&amp;"."&amp;IF(J1988&lt;=K1988,J1988,IF(J1988=K1988+1,200,IF(J1988=K1988+2,201,250)))&amp;".0/24",""))</f>
        <v/>
      </c>
      <c r="D1988" s="0" t="str">
        <f aca="false">IF(I1988="","",IF(AND(J1988&gt;=1,J1988&lt;=K1988+3),"255.255.255.0",""))</f>
        <v/>
      </c>
      <c r="E1988" s="0" t="str">
        <f aca="false">IF(I1988="","",IF(AND(J1988&gt;=1,J1988&lt;=K1988+3),"10."&amp;INDEX(Eingabe!$D$9:$D$18,I1988)&amp;"."&amp;IF(J1988&lt;=K1988,J1988,IF(J1988=K1988+1,200,IF(J1988=K1988+2,201,250)))&amp;".1",""))</f>
        <v/>
      </c>
      <c r="F1988" s="0" t="str">
        <f aca="false">IF(I1988="","",IF(AND(J1988&gt;=1,J1988&lt;=K1988+3),"10."&amp;INDEX(Eingabe!$D$9:$D$18,I1988)&amp;"."&amp;IF(J1988&lt;=K1988,J1988,IF(J1988=K1988+1,200,IF(J1988=K1988+2,201,250)))&amp;".10 – 10."&amp;INDEX(Eingabe!$D$9:$D$18,I1988)&amp;"."&amp;IF(J1988&lt;=K1988,J1988,IF(J1988=K1988+1,200,IF(J1988=K1988+2,201,250)))&amp;".250",""))</f>
        <v/>
      </c>
      <c r="G1988" s="0" t="str">
        <f aca="false">IF(I1988="","",IF(AND(J1988&gt;=1,J1988&lt;=K1988),Eingabe!$B$6&amp;"-"&amp;INDEX(Eingabe!$C$9:$C$18,I1988)&amp;"-Pächter  ·  Passwort Parzelle "&amp;J1988,IF(J1988=K1988+1,Eingabe!$B$6&amp;"-"&amp;INDEX(Eingabe!$C$9:$C$18,I1988)&amp;"-Vorstand  ·  eigenes WLAN",IF(J1988=K1988+2,Eingabe!$B$6&amp;"-"&amp;INDEX(Eingabe!$C$9:$C$18,I1988)&amp;"-Gäste  ·  Voucher",IF(J1988=K1988+3,"Kabel  ·  Access Point y = .(50+y), Mast-Switch x = .(10+x)","")))))</f>
        <v/>
      </c>
      <c r="I1988" s="0" t="str">
        <f aca="false">IF(1983&lt;=(Eingabe!$P$18+Eingabe!$Q$18-1),MATCH(1983,Eingabe!$P$9:$P$18,1),"")</f>
        <v/>
      </c>
      <c r="J1988" s="0" t="str">
        <f aca="false">IF(I1988="","",1983-INDEX(Eingabe!$P$9:$P$18,I1988))</f>
        <v/>
      </c>
      <c r="K1988" s="0" t="str">
        <f aca="false">IF(I1988="","",INDEX(Eingabe!$E$9:$E$18,I1988))</f>
        <v/>
      </c>
    </row>
    <row r="1989" customFormat="false" ht="15" hidden="false" customHeight="false" outlineLevel="0" collapsed="false">
      <c r="A1989" s="0" t="str">
        <f aca="false">IF(I1989="","",IF(J1989=0,"Sparte "&amp;I1989&amp;": "&amp;INDEX(Eingabe!$B$9:$B$18,I1989)&amp;"  (Sparten-ID "&amp;INDEX(Eingabe!$D$9:$D$18,I1989)&amp;", "&amp;K1989&amp;" Parzellen)",IF(J1989&lt;=K1989,"   Parzelle "&amp;J1989,IF(J1989=K1989+1,"   Vorstand",IF(J1989=K1989+2,"   Gäste",IF(J1989=K1989+3,"   Technik (Switches, Access Points)",""))))))</f>
        <v/>
      </c>
      <c r="B1989" s="0" t="str">
        <f aca="false">IF(I1989="","",IF(AND(J1989&gt;=1,J1989&lt;=K1989+3),IF(J1989&lt;=K1989,IF(J1989&lt;=99,IF((INDEX(Eingabe!$G$9:$G$18,I1989))&lt;=9,1000+(INDEX(Eingabe!$G$9:$G$18,I1989))*100,3000)+J1989,IF((INDEX(Eingabe!$G$9:$G$18,I1989)+1)&lt;=9,1000+(INDEX(Eingabe!$G$9:$G$18,I1989)+1)*100,3000)+J1989-100),IF(J1989=K1989+1,2000+INDEX(Eingabe!$G$9:$G$18,I1989)*10+1,IF(J1989=K1989+2,2000+INDEX(Eingabe!$G$9:$G$18,I1989)*10+2,2000+INDEX(Eingabe!$G$9:$G$18,I1989)*10+9))),""))</f>
        <v/>
      </c>
      <c r="C1989" s="0" t="str">
        <f aca="false">IF(I1989="","",IF(AND(J1989&gt;=1,J1989&lt;=K1989+3),"10."&amp;INDEX(Eingabe!$D$9:$D$18,I1989)&amp;"."&amp;IF(J1989&lt;=K1989,J1989,IF(J1989=K1989+1,200,IF(J1989=K1989+2,201,250)))&amp;".0/24",""))</f>
        <v/>
      </c>
      <c r="D1989" s="0" t="str">
        <f aca="false">IF(I1989="","",IF(AND(J1989&gt;=1,J1989&lt;=K1989+3),"255.255.255.0",""))</f>
        <v/>
      </c>
      <c r="E1989" s="0" t="str">
        <f aca="false">IF(I1989="","",IF(AND(J1989&gt;=1,J1989&lt;=K1989+3),"10."&amp;INDEX(Eingabe!$D$9:$D$18,I1989)&amp;"."&amp;IF(J1989&lt;=K1989,J1989,IF(J1989=K1989+1,200,IF(J1989=K1989+2,201,250)))&amp;".1",""))</f>
        <v/>
      </c>
      <c r="F1989" s="0" t="str">
        <f aca="false">IF(I1989="","",IF(AND(J1989&gt;=1,J1989&lt;=K1989+3),"10."&amp;INDEX(Eingabe!$D$9:$D$18,I1989)&amp;"."&amp;IF(J1989&lt;=K1989,J1989,IF(J1989=K1989+1,200,IF(J1989=K1989+2,201,250)))&amp;".10 – 10."&amp;INDEX(Eingabe!$D$9:$D$18,I1989)&amp;"."&amp;IF(J1989&lt;=K1989,J1989,IF(J1989=K1989+1,200,IF(J1989=K1989+2,201,250)))&amp;".250",""))</f>
        <v/>
      </c>
      <c r="G1989" s="0" t="str">
        <f aca="false">IF(I1989="","",IF(AND(J1989&gt;=1,J1989&lt;=K1989),Eingabe!$B$6&amp;"-"&amp;INDEX(Eingabe!$C$9:$C$18,I1989)&amp;"-Pächter  ·  Passwort Parzelle "&amp;J1989,IF(J1989=K1989+1,Eingabe!$B$6&amp;"-"&amp;INDEX(Eingabe!$C$9:$C$18,I1989)&amp;"-Vorstand  ·  eigenes WLAN",IF(J1989=K1989+2,Eingabe!$B$6&amp;"-"&amp;INDEX(Eingabe!$C$9:$C$18,I1989)&amp;"-Gäste  ·  Voucher",IF(J1989=K1989+3,"Kabel  ·  Access Point y = .(50+y), Mast-Switch x = .(10+x)","")))))</f>
        <v/>
      </c>
      <c r="I1989" s="0" t="str">
        <f aca="false">IF(1984&lt;=(Eingabe!$P$18+Eingabe!$Q$18-1),MATCH(1984,Eingabe!$P$9:$P$18,1),"")</f>
        <v/>
      </c>
      <c r="J1989" s="0" t="str">
        <f aca="false">IF(I1989="","",1984-INDEX(Eingabe!$P$9:$P$18,I1989))</f>
        <v/>
      </c>
      <c r="K1989" s="0" t="str">
        <f aca="false">IF(I1989="","",INDEX(Eingabe!$E$9:$E$18,I1989))</f>
        <v/>
      </c>
    </row>
    <row r="1990" customFormat="false" ht="15" hidden="false" customHeight="false" outlineLevel="0" collapsed="false">
      <c r="A1990" s="0" t="str">
        <f aca="false">IF(I1990="","",IF(J1990=0,"Sparte "&amp;I1990&amp;": "&amp;INDEX(Eingabe!$B$9:$B$18,I1990)&amp;"  (Sparten-ID "&amp;INDEX(Eingabe!$D$9:$D$18,I1990)&amp;", "&amp;K1990&amp;" Parzellen)",IF(J1990&lt;=K1990,"   Parzelle "&amp;J1990,IF(J1990=K1990+1,"   Vorstand",IF(J1990=K1990+2,"   Gäste",IF(J1990=K1990+3,"   Technik (Switches, Access Points)",""))))))</f>
        <v/>
      </c>
      <c r="B1990" s="0" t="str">
        <f aca="false">IF(I1990="","",IF(AND(J1990&gt;=1,J1990&lt;=K1990+3),IF(J1990&lt;=K1990,IF(J1990&lt;=99,IF((INDEX(Eingabe!$G$9:$G$18,I1990))&lt;=9,1000+(INDEX(Eingabe!$G$9:$G$18,I1990))*100,3000)+J1990,IF((INDEX(Eingabe!$G$9:$G$18,I1990)+1)&lt;=9,1000+(INDEX(Eingabe!$G$9:$G$18,I1990)+1)*100,3000)+J1990-100),IF(J1990=K1990+1,2000+INDEX(Eingabe!$G$9:$G$18,I1990)*10+1,IF(J1990=K1990+2,2000+INDEX(Eingabe!$G$9:$G$18,I1990)*10+2,2000+INDEX(Eingabe!$G$9:$G$18,I1990)*10+9))),""))</f>
        <v/>
      </c>
      <c r="C1990" s="0" t="str">
        <f aca="false">IF(I1990="","",IF(AND(J1990&gt;=1,J1990&lt;=K1990+3),"10."&amp;INDEX(Eingabe!$D$9:$D$18,I1990)&amp;"."&amp;IF(J1990&lt;=K1990,J1990,IF(J1990=K1990+1,200,IF(J1990=K1990+2,201,250)))&amp;".0/24",""))</f>
        <v/>
      </c>
      <c r="D1990" s="0" t="str">
        <f aca="false">IF(I1990="","",IF(AND(J1990&gt;=1,J1990&lt;=K1990+3),"255.255.255.0",""))</f>
        <v/>
      </c>
      <c r="E1990" s="0" t="str">
        <f aca="false">IF(I1990="","",IF(AND(J1990&gt;=1,J1990&lt;=K1990+3),"10."&amp;INDEX(Eingabe!$D$9:$D$18,I1990)&amp;"."&amp;IF(J1990&lt;=K1990,J1990,IF(J1990=K1990+1,200,IF(J1990=K1990+2,201,250)))&amp;".1",""))</f>
        <v/>
      </c>
      <c r="F1990" s="0" t="str">
        <f aca="false">IF(I1990="","",IF(AND(J1990&gt;=1,J1990&lt;=K1990+3),"10."&amp;INDEX(Eingabe!$D$9:$D$18,I1990)&amp;"."&amp;IF(J1990&lt;=K1990,J1990,IF(J1990=K1990+1,200,IF(J1990=K1990+2,201,250)))&amp;".10 – 10."&amp;INDEX(Eingabe!$D$9:$D$18,I1990)&amp;"."&amp;IF(J1990&lt;=K1990,J1990,IF(J1990=K1990+1,200,IF(J1990=K1990+2,201,250)))&amp;".250",""))</f>
        <v/>
      </c>
      <c r="G1990" s="0" t="str">
        <f aca="false">IF(I1990="","",IF(AND(J1990&gt;=1,J1990&lt;=K1990),Eingabe!$B$6&amp;"-"&amp;INDEX(Eingabe!$C$9:$C$18,I1990)&amp;"-Pächter  ·  Passwort Parzelle "&amp;J1990,IF(J1990=K1990+1,Eingabe!$B$6&amp;"-"&amp;INDEX(Eingabe!$C$9:$C$18,I1990)&amp;"-Vorstand  ·  eigenes WLAN",IF(J1990=K1990+2,Eingabe!$B$6&amp;"-"&amp;INDEX(Eingabe!$C$9:$C$18,I1990)&amp;"-Gäste  ·  Voucher",IF(J1990=K1990+3,"Kabel  ·  Access Point y = .(50+y), Mast-Switch x = .(10+x)","")))))</f>
        <v/>
      </c>
      <c r="I1990" s="0" t="str">
        <f aca="false">IF(1985&lt;=(Eingabe!$P$18+Eingabe!$Q$18-1),MATCH(1985,Eingabe!$P$9:$P$18,1),"")</f>
        <v/>
      </c>
      <c r="J1990" s="0" t="str">
        <f aca="false">IF(I1990="","",1985-INDEX(Eingabe!$P$9:$P$18,I1990))</f>
        <v/>
      </c>
      <c r="K1990" s="0" t="str">
        <f aca="false">IF(I1990="","",INDEX(Eingabe!$E$9:$E$18,I1990))</f>
        <v/>
      </c>
    </row>
    <row r="1991" customFormat="false" ht="15" hidden="false" customHeight="false" outlineLevel="0" collapsed="false">
      <c r="A1991" s="0" t="str">
        <f aca="false">IF(I1991="","",IF(J1991=0,"Sparte "&amp;I1991&amp;": "&amp;INDEX(Eingabe!$B$9:$B$18,I1991)&amp;"  (Sparten-ID "&amp;INDEX(Eingabe!$D$9:$D$18,I1991)&amp;", "&amp;K1991&amp;" Parzellen)",IF(J1991&lt;=K1991,"   Parzelle "&amp;J1991,IF(J1991=K1991+1,"   Vorstand",IF(J1991=K1991+2,"   Gäste",IF(J1991=K1991+3,"   Technik (Switches, Access Points)",""))))))</f>
        <v/>
      </c>
      <c r="B1991" s="0" t="str">
        <f aca="false">IF(I1991="","",IF(AND(J1991&gt;=1,J1991&lt;=K1991+3),IF(J1991&lt;=K1991,IF(J1991&lt;=99,IF((INDEX(Eingabe!$G$9:$G$18,I1991))&lt;=9,1000+(INDEX(Eingabe!$G$9:$G$18,I1991))*100,3000)+J1991,IF((INDEX(Eingabe!$G$9:$G$18,I1991)+1)&lt;=9,1000+(INDEX(Eingabe!$G$9:$G$18,I1991)+1)*100,3000)+J1991-100),IF(J1991=K1991+1,2000+INDEX(Eingabe!$G$9:$G$18,I1991)*10+1,IF(J1991=K1991+2,2000+INDEX(Eingabe!$G$9:$G$18,I1991)*10+2,2000+INDEX(Eingabe!$G$9:$G$18,I1991)*10+9))),""))</f>
        <v/>
      </c>
      <c r="C1991" s="0" t="str">
        <f aca="false">IF(I1991="","",IF(AND(J1991&gt;=1,J1991&lt;=K1991+3),"10."&amp;INDEX(Eingabe!$D$9:$D$18,I1991)&amp;"."&amp;IF(J1991&lt;=K1991,J1991,IF(J1991=K1991+1,200,IF(J1991=K1991+2,201,250)))&amp;".0/24",""))</f>
        <v/>
      </c>
      <c r="D1991" s="0" t="str">
        <f aca="false">IF(I1991="","",IF(AND(J1991&gt;=1,J1991&lt;=K1991+3),"255.255.255.0",""))</f>
        <v/>
      </c>
      <c r="E1991" s="0" t="str">
        <f aca="false">IF(I1991="","",IF(AND(J1991&gt;=1,J1991&lt;=K1991+3),"10."&amp;INDEX(Eingabe!$D$9:$D$18,I1991)&amp;"."&amp;IF(J1991&lt;=K1991,J1991,IF(J1991=K1991+1,200,IF(J1991=K1991+2,201,250)))&amp;".1",""))</f>
        <v/>
      </c>
      <c r="F1991" s="0" t="str">
        <f aca="false">IF(I1991="","",IF(AND(J1991&gt;=1,J1991&lt;=K1991+3),"10."&amp;INDEX(Eingabe!$D$9:$D$18,I1991)&amp;"."&amp;IF(J1991&lt;=K1991,J1991,IF(J1991=K1991+1,200,IF(J1991=K1991+2,201,250)))&amp;".10 – 10."&amp;INDEX(Eingabe!$D$9:$D$18,I1991)&amp;"."&amp;IF(J1991&lt;=K1991,J1991,IF(J1991=K1991+1,200,IF(J1991=K1991+2,201,250)))&amp;".250",""))</f>
        <v/>
      </c>
      <c r="G1991" s="0" t="str">
        <f aca="false">IF(I1991="","",IF(AND(J1991&gt;=1,J1991&lt;=K1991),Eingabe!$B$6&amp;"-"&amp;INDEX(Eingabe!$C$9:$C$18,I1991)&amp;"-Pächter  ·  Passwort Parzelle "&amp;J1991,IF(J1991=K1991+1,Eingabe!$B$6&amp;"-"&amp;INDEX(Eingabe!$C$9:$C$18,I1991)&amp;"-Vorstand  ·  eigenes WLAN",IF(J1991=K1991+2,Eingabe!$B$6&amp;"-"&amp;INDEX(Eingabe!$C$9:$C$18,I1991)&amp;"-Gäste  ·  Voucher",IF(J1991=K1991+3,"Kabel  ·  Access Point y = .(50+y), Mast-Switch x = .(10+x)","")))))</f>
        <v/>
      </c>
      <c r="I1991" s="0" t="str">
        <f aca="false">IF(1986&lt;=(Eingabe!$P$18+Eingabe!$Q$18-1),MATCH(1986,Eingabe!$P$9:$P$18,1),"")</f>
        <v/>
      </c>
      <c r="J1991" s="0" t="str">
        <f aca="false">IF(I1991="","",1986-INDEX(Eingabe!$P$9:$P$18,I1991))</f>
        <v/>
      </c>
      <c r="K1991" s="0" t="str">
        <f aca="false">IF(I1991="","",INDEX(Eingabe!$E$9:$E$18,I1991))</f>
        <v/>
      </c>
    </row>
    <row r="1992" customFormat="false" ht="15" hidden="false" customHeight="false" outlineLevel="0" collapsed="false">
      <c r="A1992" s="0" t="str">
        <f aca="false">IF(I1992="","",IF(J1992=0,"Sparte "&amp;I1992&amp;": "&amp;INDEX(Eingabe!$B$9:$B$18,I1992)&amp;"  (Sparten-ID "&amp;INDEX(Eingabe!$D$9:$D$18,I1992)&amp;", "&amp;K1992&amp;" Parzellen)",IF(J1992&lt;=K1992,"   Parzelle "&amp;J1992,IF(J1992=K1992+1,"   Vorstand",IF(J1992=K1992+2,"   Gäste",IF(J1992=K1992+3,"   Technik (Switches, Access Points)",""))))))</f>
        <v/>
      </c>
      <c r="B1992" s="0" t="str">
        <f aca="false">IF(I1992="","",IF(AND(J1992&gt;=1,J1992&lt;=K1992+3),IF(J1992&lt;=K1992,IF(J1992&lt;=99,IF((INDEX(Eingabe!$G$9:$G$18,I1992))&lt;=9,1000+(INDEX(Eingabe!$G$9:$G$18,I1992))*100,3000)+J1992,IF((INDEX(Eingabe!$G$9:$G$18,I1992)+1)&lt;=9,1000+(INDEX(Eingabe!$G$9:$G$18,I1992)+1)*100,3000)+J1992-100),IF(J1992=K1992+1,2000+INDEX(Eingabe!$G$9:$G$18,I1992)*10+1,IF(J1992=K1992+2,2000+INDEX(Eingabe!$G$9:$G$18,I1992)*10+2,2000+INDEX(Eingabe!$G$9:$G$18,I1992)*10+9))),""))</f>
        <v/>
      </c>
      <c r="C1992" s="0" t="str">
        <f aca="false">IF(I1992="","",IF(AND(J1992&gt;=1,J1992&lt;=K1992+3),"10."&amp;INDEX(Eingabe!$D$9:$D$18,I1992)&amp;"."&amp;IF(J1992&lt;=K1992,J1992,IF(J1992=K1992+1,200,IF(J1992=K1992+2,201,250)))&amp;".0/24",""))</f>
        <v/>
      </c>
      <c r="D1992" s="0" t="str">
        <f aca="false">IF(I1992="","",IF(AND(J1992&gt;=1,J1992&lt;=K1992+3),"255.255.255.0",""))</f>
        <v/>
      </c>
      <c r="E1992" s="0" t="str">
        <f aca="false">IF(I1992="","",IF(AND(J1992&gt;=1,J1992&lt;=K1992+3),"10."&amp;INDEX(Eingabe!$D$9:$D$18,I1992)&amp;"."&amp;IF(J1992&lt;=K1992,J1992,IF(J1992=K1992+1,200,IF(J1992=K1992+2,201,250)))&amp;".1",""))</f>
        <v/>
      </c>
      <c r="F1992" s="0" t="str">
        <f aca="false">IF(I1992="","",IF(AND(J1992&gt;=1,J1992&lt;=K1992+3),"10."&amp;INDEX(Eingabe!$D$9:$D$18,I1992)&amp;"."&amp;IF(J1992&lt;=K1992,J1992,IF(J1992=K1992+1,200,IF(J1992=K1992+2,201,250)))&amp;".10 – 10."&amp;INDEX(Eingabe!$D$9:$D$18,I1992)&amp;"."&amp;IF(J1992&lt;=K1992,J1992,IF(J1992=K1992+1,200,IF(J1992=K1992+2,201,250)))&amp;".250",""))</f>
        <v/>
      </c>
      <c r="G1992" s="0" t="str">
        <f aca="false">IF(I1992="","",IF(AND(J1992&gt;=1,J1992&lt;=K1992),Eingabe!$B$6&amp;"-"&amp;INDEX(Eingabe!$C$9:$C$18,I1992)&amp;"-Pächter  ·  Passwort Parzelle "&amp;J1992,IF(J1992=K1992+1,Eingabe!$B$6&amp;"-"&amp;INDEX(Eingabe!$C$9:$C$18,I1992)&amp;"-Vorstand  ·  eigenes WLAN",IF(J1992=K1992+2,Eingabe!$B$6&amp;"-"&amp;INDEX(Eingabe!$C$9:$C$18,I1992)&amp;"-Gäste  ·  Voucher",IF(J1992=K1992+3,"Kabel  ·  Access Point y = .(50+y), Mast-Switch x = .(10+x)","")))))</f>
        <v/>
      </c>
      <c r="I1992" s="0" t="str">
        <f aca="false">IF(1987&lt;=(Eingabe!$P$18+Eingabe!$Q$18-1),MATCH(1987,Eingabe!$P$9:$P$18,1),"")</f>
        <v/>
      </c>
      <c r="J1992" s="0" t="str">
        <f aca="false">IF(I1992="","",1987-INDEX(Eingabe!$P$9:$P$18,I1992))</f>
        <v/>
      </c>
      <c r="K1992" s="0" t="str">
        <f aca="false">IF(I1992="","",INDEX(Eingabe!$E$9:$E$18,I1992))</f>
        <v/>
      </c>
    </row>
    <row r="1993" customFormat="false" ht="15" hidden="false" customHeight="false" outlineLevel="0" collapsed="false">
      <c r="A1993" s="0" t="str">
        <f aca="false">IF(I1993="","",IF(J1993=0,"Sparte "&amp;I1993&amp;": "&amp;INDEX(Eingabe!$B$9:$B$18,I1993)&amp;"  (Sparten-ID "&amp;INDEX(Eingabe!$D$9:$D$18,I1993)&amp;", "&amp;K1993&amp;" Parzellen)",IF(J1993&lt;=K1993,"   Parzelle "&amp;J1993,IF(J1993=K1993+1,"   Vorstand",IF(J1993=K1993+2,"   Gäste",IF(J1993=K1993+3,"   Technik (Switches, Access Points)",""))))))</f>
        <v/>
      </c>
      <c r="B1993" s="0" t="str">
        <f aca="false">IF(I1993="","",IF(AND(J1993&gt;=1,J1993&lt;=K1993+3),IF(J1993&lt;=K1993,IF(J1993&lt;=99,IF((INDEX(Eingabe!$G$9:$G$18,I1993))&lt;=9,1000+(INDEX(Eingabe!$G$9:$G$18,I1993))*100,3000)+J1993,IF((INDEX(Eingabe!$G$9:$G$18,I1993)+1)&lt;=9,1000+(INDEX(Eingabe!$G$9:$G$18,I1993)+1)*100,3000)+J1993-100),IF(J1993=K1993+1,2000+INDEX(Eingabe!$G$9:$G$18,I1993)*10+1,IF(J1993=K1993+2,2000+INDEX(Eingabe!$G$9:$G$18,I1993)*10+2,2000+INDEX(Eingabe!$G$9:$G$18,I1993)*10+9))),""))</f>
        <v/>
      </c>
      <c r="C1993" s="0" t="str">
        <f aca="false">IF(I1993="","",IF(AND(J1993&gt;=1,J1993&lt;=K1993+3),"10."&amp;INDEX(Eingabe!$D$9:$D$18,I1993)&amp;"."&amp;IF(J1993&lt;=K1993,J1993,IF(J1993=K1993+1,200,IF(J1993=K1993+2,201,250)))&amp;".0/24",""))</f>
        <v/>
      </c>
      <c r="D1993" s="0" t="str">
        <f aca="false">IF(I1993="","",IF(AND(J1993&gt;=1,J1993&lt;=K1993+3),"255.255.255.0",""))</f>
        <v/>
      </c>
      <c r="E1993" s="0" t="str">
        <f aca="false">IF(I1993="","",IF(AND(J1993&gt;=1,J1993&lt;=K1993+3),"10."&amp;INDEX(Eingabe!$D$9:$D$18,I1993)&amp;"."&amp;IF(J1993&lt;=K1993,J1993,IF(J1993=K1993+1,200,IF(J1993=K1993+2,201,250)))&amp;".1",""))</f>
        <v/>
      </c>
      <c r="F1993" s="0" t="str">
        <f aca="false">IF(I1993="","",IF(AND(J1993&gt;=1,J1993&lt;=K1993+3),"10."&amp;INDEX(Eingabe!$D$9:$D$18,I1993)&amp;"."&amp;IF(J1993&lt;=K1993,J1993,IF(J1993=K1993+1,200,IF(J1993=K1993+2,201,250)))&amp;".10 – 10."&amp;INDEX(Eingabe!$D$9:$D$18,I1993)&amp;"."&amp;IF(J1993&lt;=K1993,J1993,IF(J1993=K1993+1,200,IF(J1993=K1993+2,201,250)))&amp;".250",""))</f>
        <v/>
      </c>
      <c r="G1993" s="0" t="str">
        <f aca="false">IF(I1993="","",IF(AND(J1993&gt;=1,J1993&lt;=K1993),Eingabe!$B$6&amp;"-"&amp;INDEX(Eingabe!$C$9:$C$18,I1993)&amp;"-Pächter  ·  Passwort Parzelle "&amp;J1993,IF(J1993=K1993+1,Eingabe!$B$6&amp;"-"&amp;INDEX(Eingabe!$C$9:$C$18,I1993)&amp;"-Vorstand  ·  eigenes WLAN",IF(J1993=K1993+2,Eingabe!$B$6&amp;"-"&amp;INDEX(Eingabe!$C$9:$C$18,I1993)&amp;"-Gäste  ·  Voucher",IF(J1993=K1993+3,"Kabel  ·  Access Point y = .(50+y), Mast-Switch x = .(10+x)","")))))</f>
        <v/>
      </c>
      <c r="I1993" s="0" t="str">
        <f aca="false">IF(1988&lt;=(Eingabe!$P$18+Eingabe!$Q$18-1),MATCH(1988,Eingabe!$P$9:$P$18,1),"")</f>
        <v/>
      </c>
      <c r="J1993" s="0" t="str">
        <f aca="false">IF(I1993="","",1988-INDEX(Eingabe!$P$9:$P$18,I1993))</f>
        <v/>
      </c>
      <c r="K1993" s="0" t="str">
        <f aca="false">IF(I1993="","",INDEX(Eingabe!$E$9:$E$18,I1993))</f>
        <v/>
      </c>
    </row>
    <row r="1994" customFormat="false" ht="15" hidden="false" customHeight="false" outlineLevel="0" collapsed="false">
      <c r="A1994" s="0" t="str">
        <f aca="false">IF(I1994="","",IF(J1994=0,"Sparte "&amp;I1994&amp;": "&amp;INDEX(Eingabe!$B$9:$B$18,I1994)&amp;"  (Sparten-ID "&amp;INDEX(Eingabe!$D$9:$D$18,I1994)&amp;", "&amp;K1994&amp;" Parzellen)",IF(J1994&lt;=K1994,"   Parzelle "&amp;J1994,IF(J1994=K1994+1,"   Vorstand",IF(J1994=K1994+2,"   Gäste",IF(J1994=K1994+3,"   Technik (Switches, Access Points)",""))))))</f>
        <v/>
      </c>
      <c r="B1994" s="0" t="str">
        <f aca="false">IF(I1994="","",IF(AND(J1994&gt;=1,J1994&lt;=K1994+3),IF(J1994&lt;=K1994,IF(J1994&lt;=99,IF((INDEX(Eingabe!$G$9:$G$18,I1994))&lt;=9,1000+(INDEX(Eingabe!$G$9:$G$18,I1994))*100,3000)+J1994,IF((INDEX(Eingabe!$G$9:$G$18,I1994)+1)&lt;=9,1000+(INDEX(Eingabe!$G$9:$G$18,I1994)+1)*100,3000)+J1994-100),IF(J1994=K1994+1,2000+INDEX(Eingabe!$G$9:$G$18,I1994)*10+1,IF(J1994=K1994+2,2000+INDEX(Eingabe!$G$9:$G$18,I1994)*10+2,2000+INDEX(Eingabe!$G$9:$G$18,I1994)*10+9))),""))</f>
        <v/>
      </c>
      <c r="C1994" s="0" t="str">
        <f aca="false">IF(I1994="","",IF(AND(J1994&gt;=1,J1994&lt;=K1994+3),"10."&amp;INDEX(Eingabe!$D$9:$D$18,I1994)&amp;"."&amp;IF(J1994&lt;=K1994,J1994,IF(J1994=K1994+1,200,IF(J1994=K1994+2,201,250)))&amp;".0/24",""))</f>
        <v/>
      </c>
      <c r="D1994" s="0" t="str">
        <f aca="false">IF(I1994="","",IF(AND(J1994&gt;=1,J1994&lt;=K1994+3),"255.255.255.0",""))</f>
        <v/>
      </c>
      <c r="E1994" s="0" t="str">
        <f aca="false">IF(I1994="","",IF(AND(J1994&gt;=1,J1994&lt;=K1994+3),"10."&amp;INDEX(Eingabe!$D$9:$D$18,I1994)&amp;"."&amp;IF(J1994&lt;=K1994,J1994,IF(J1994=K1994+1,200,IF(J1994=K1994+2,201,250)))&amp;".1",""))</f>
        <v/>
      </c>
      <c r="F1994" s="0" t="str">
        <f aca="false">IF(I1994="","",IF(AND(J1994&gt;=1,J1994&lt;=K1994+3),"10."&amp;INDEX(Eingabe!$D$9:$D$18,I1994)&amp;"."&amp;IF(J1994&lt;=K1994,J1994,IF(J1994=K1994+1,200,IF(J1994=K1994+2,201,250)))&amp;".10 – 10."&amp;INDEX(Eingabe!$D$9:$D$18,I1994)&amp;"."&amp;IF(J1994&lt;=K1994,J1994,IF(J1994=K1994+1,200,IF(J1994=K1994+2,201,250)))&amp;".250",""))</f>
        <v/>
      </c>
      <c r="G1994" s="0" t="str">
        <f aca="false">IF(I1994="","",IF(AND(J1994&gt;=1,J1994&lt;=K1994),Eingabe!$B$6&amp;"-"&amp;INDEX(Eingabe!$C$9:$C$18,I1994)&amp;"-Pächter  ·  Passwort Parzelle "&amp;J1994,IF(J1994=K1994+1,Eingabe!$B$6&amp;"-"&amp;INDEX(Eingabe!$C$9:$C$18,I1994)&amp;"-Vorstand  ·  eigenes WLAN",IF(J1994=K1994+2,Eingabe!$B$6&amp;"-"&amp;INDEX(Eingabe!$C$9:$C$18,I1994)&amp;"-Gäste  ·  Voucher",IF(J1994=K1994+3,"Kabel  ·  Access Point y = .(50+y), Mast-Switch x = .(10+x)","")))))</f>
        <v/>
      </c>
      <c r="I1994" s="0" t="str">
        <f aca="false">IF(1989&lt;=(Eingabe!$P$18+Eingabe!$Q$18-1),MATCH(1989,Eingabe!$P$9:$P$18,1),"")</f>
        <v/>
      </c>
      <c r="J1994" s="0" t="str">
        <f aca="false">IF(I1994="","",1989-INDEX(Eingabe!$P$9:$P$18,I1994))</f>
        <v/>
      </c>
      <c r="K1994" s="0" t="str">
        <f aca="false">IF(I1994="","",INDEX(Eingabe!$E$9:$E$18,I1994))</f>
        <v/>
      </c>
    </row>
    <row r="1995" customFormat="false" ht="15" hidden="false" customHeight="false" outlineLevel="0" collapsed="false">
      <c r="A1995" s="0" t="str">
        <f aca="false">IF(I1995="","",IF(J1995=0,"Sparte "&amp;I1995&amp;": "&amp;INDEX(Eingabe!$B$9:$B$18,I1995)&amp;"  (Sparten-ID "&amp;INDEX(Eingabe!$D$9:$D$18,I1995)&amp;", "&amp;K1995&amp;" Parzellen)",IF(J1995&lt;=K1995,"   Parzelle "&amp;J1995,IF(J1995=K1995+1,"   Vorstand",IF(J1995=K1995+2,"   Gäste",IF(J1995=K1995+3,"   Technik (Switches, Access Points)",""))))))</f>
        <v/>
      </c>
      <c r="B1995" s="0" t="str">
        <f aca="false">IF(I1995="","",IF(AND(J1995&gt;=1,J1995&lt;=K1995+3),IF(J1995&lt;=K1995,IF(J1995&lt;=99,IF((INDEX(Eingabe!$G$9:$G$18,I1995))&lt;=9,1000+(INDEX(Eingabe!$G$9:$G$18,I1995))*100,3000)+J1995,IF((INDEX(Eingabe!$G$9:$G$18,I1995)+1)&lt;=9,1000+(INDEX(Eingabe!$G$9:$G$18,I1995)+1)*100,3000)+J1995-100),IF(J1995=K1995+1,2000+INDEX(Eingabe!$G$9:$G$18,I1995)*10+1,IF(J1995=K1995+2,2000+INDEX(Eingabe!$G$9:$G$18,I1995)*10+2,2000+INDEX(Eingabe!$G$9:$G$18,I1995)*10+9))),""))</f>
        <v/>
      </c>
      <c r="C1995" s="0" t="str">
        <f aca="false">IF(I1995="","",IF(AND(J1995&gt;=1,J1995&lt;=K1995+3),"10."&amp;INDEX(Eingabe!$D$9:$D$18,I1995)&amp;"."&amp;IF(J1995&lt;=K1995,J1995,IF(J1995=K1995+1,200,IF(J1995=K1995+2,201,250)))&amp;".0/24",""))</f>
        <v/>
      </c>
      <c r="D1995" s="0" t="str">
        <f aca="false">IF(I1995="","",IF(AND(J1995&gt;=1,J1995&lt;=K1995+3),"255.255.255.0",""))</f>
        <v/>
      </c>
      <c r="E1995" s="0" t="str">
        <f aca="false">IF(I1995="","",IF(AND(J1995&gt;=1,J1995&lt;=K1995+3),"10."&amp;INDEX(Eingabe!$D$9:$D$18,I1995)&amp;"."&amp;IF(J1995&lt;=K1995,J1995,IF(J1995=K1995+1,200,IF(J1995=K1995+2,201,250)))&amp;".1",""))</f>
        <v/>
      </c>
      <c r="F1995" s="0" t="str">
        <f aca="false">IF(I1995="","",IF(AND(J1995&gt;=1,J1995&lt;=K1995+3),"10."&amp;INDEX(Eingabe!$D$9:$D$18,I1995)&amp;"."&amp;IF(J1995&lt;=K1995,J1995,IF(J1995=K1995+1,200,IF(J1995=K1995+2,201,250)))&amp;".10 – 10."&amp;INDEX(Eingabe!$D$9:$D$18,I1995)&amp;"."&amp;IF(J1995&lt;=K1995,J1995,IF(J1995=K1995+1,200,IF(J1995=K1995+2,201,250)))&amp;".250",""))</f>
        <v/>
      </c>
      <c r="G1995" s="0" t="str">
        <f aca="false">IF(I1995="","",IF(AND(J1995&gt;=1,J1995&lt;=K1995),Eingabe!$B$6&amp;"-"&amp;INDEX(Eingabe!$C$9:$C$18,I1995)&amp;"-Pächter  ·  Passwort Parzelle "&amp;J1995,IF(J1995=K1995+1,Eingabe!$B$6&amp;"-"&amp;INDEX(Eingabe!$C$9:$C$18,I1995)&amp;"-Vorstand  ·  eigenes WLAN",IF(J1995=K1995+2,Eingabe!$B$6&amp;"-"&amp;INDEX(Eingabe!$C$9:$C$18,I1995)&amp;"-Gäste  ·  Voucher",IF(J1995=K1995+3,"Kabel  ·  Access Point y = .(50+y), Mast-Switch x = .(10+x)","")))))</f>
        <v/>
      </c>
      <c r="I1995" s="0" t="str">
        <f aca="false">IF(1990&lt;=(Eingabe!$P$18+Eingabe!$Q$18-1),MATCH(1990,Eingabe!$P$9:$P$18,1),"")</f>
        <v/>
      </c>
      <c r="J1995" s="0" t="str">
        <f aca="false">IF(I1995="","",1990-INDEX(Eingabe!$P$9:$P$18,I1995))</f>
        <v/>
      </c>
      <c r="K1995" s="0" t="str">
        <f aca="false">IF(I1995="","",INDEX(Eingabe!$E$9:$E$18,I1995))</f>
        <v/>
      </c>
    </row>
    <row r="1996" customFormat="false" ht="15" hidden="false" customHeight="false" outlineLevel="0" collapsed="false">
      <c r="A1996" s="0" t="str">
        <f aca="false">IF(I1996="","",IF(J1996=0,"Sparte "&amp;I1996&amp;": "&amp;INDEX(Eingabe!$B$9:$B$18,I1996)&amp;"  (Sparten-ID "&amp;INDEX(Eingabe!$D$9:$D$18,I1996)&amp;", "&amp;K1996&amp;" Parzellen)",IF(J1996&lt;=K1996,"   Parzelle "&amp;J1996,IF(J1996=K1996+1,"   Vorstand",IF(J1996=K1996+2,"   Gäste",IF(J1996=K1996+3,"   Technik (Switches, Access Points)",""))))))</f>
        <v/>
      </c>
      <c r="B1996" s="0" t="str">
        <f aca="false">IF(I1996="","",IF(AND(J1996&gt;=1,J1996&lt;=K1996+3),IF(J1996&lt;=K1996,IF(J1996&lt;=99,IF((INDEX(Eingabe!$G$9:$G$18,I1996))&lt;=9,1000+(INDEX(Eingabe!$G$9:$G$18,I1996))*100,3000)+J1996,IF((INDEX(Eingabe!$G$9:$G$18,I1996)+1)&lt;=9,1000+(INDEX(Eingabe!$G$9:$G$18,I1996)+1)*100,3000)+J1996-100),IF(J1996=K1996+1,2000+INDEX(Eingabe!$G$9:$G$18,I1996)*10+1,IF(J1996=K1996+2,2000+INDEX(Eingabe!$G$9:$G$18,I1996)*10+2,2000+INDEX(Eingabe!$G$9:$G$18,I1996)*10+9))),""))</f>
        <v/>
      </c>
      <c r="C1996" s="0" t="str">
        <f aca="false">IF(I1996="","",IF(AND(J1996&gt;=1,J1996&lt;=K1996+3),"10."&amp;INDEX(Eingabe!$D$9:$D$18,I1996)&amp;"."&amp;IF(J1996&lt;=K1996,J1996,IF(J1996=K1996+1,200,IF(J1996=K1996+2,201,250)))&amp;".0/24",""))</f>
        <v/>
      </c>
      <c r="D1996" s="0" t="str">
        <f aca="false">IF(I1996="","",IF(AND(J1996&gt;=1,J1996&lt;=K1996+3),"255.255.255.0",""))</f>
        <v/>
      </c>
      <c r="E1996" s="0" t="str">
        <f aca="false">IF(I1996="","",IF(AND(J1996&gt;=1,J1996&lt;=K1996+3),"10."&amp;INDEX(Eingabe!$D$9:$D$18,I1996)&amp;"."&amp;IF(J1996&lt;=K1996,J1996,IF(J1996=K1996+1,200,IF(J1996=K1996+2,201,250)))&amp;".1",""))</f>
        <v/>
      </c>
      <c r="F1996" s="0" t="str">
        <f aca="false">IF(I1996="","",IF(AND(J1996&gt;=1,J1996&lt;=K1996+3),"10."&amp;INDEX(Eingabe!$D$9:$D$18,I1996)&amp;"."&amp;IF(J1996&lt;=K1996,J1996,IF(J1996=K1996+1,200,IF(J1996=K1996+2,201,250)))&amp;".10 – 10."&amp;INDEX(Eingabe!$D$9:$D$18,I1996)&amp;"."&amp;IF(J1996&lt;=K1996,J1996,IF(J1996=K1996+1,200,IF(J1996=K1996+2,201,250)))&amp;".250",""))</f>
        <v/>
      </c>
      <c r="G1996" s="0" t="str">
        <f aca="false">IF(I1996="","",IF(AND(J1996&gt;=1,J1996&lt;=K1996),Eingabe!$B$6&amp;"-"&amp;INDEX(Eingabe!$C$9:$C$18,I1996)&amp;"-Pächter  ·  Passwort Parzelle "&amp;J1996,IF(J1996=K1996+1,Eingabe!$B$6&amp;"-"&amp;INDEX(Eingabe!$C$9:$C$18,I1996)&amp;"-Vorstand  ·  eigenes WLAN",IF(J1996=K1996+2,Eingabe!$B$6&amp;"-"&amp;INDEX(Eingabe!$C$9:$C$18,I1996)&amp;"-Gäste  ·  Voucher",IF(J1996=K1996+3,"Kabel  ·  Access Point y = .(50+y), Mast-Switch x = .(10+x)","")))))</f>
        <v/>
      </c>
      <c r="I1996" s="0" t="str">
        <f aca="false">IF(1991&lt;=(Eingabe!$P$18+Eingabe!$Q$18-1),MATCH(1991,Eingabe!$P$9:$P$18,1),"")</f>
        <v/>
      </c>
      <c r="J1996" s="0" t="str">
        <f aca="false">IF(I1996="","",1991-INDEX(Eingabe!$P$9:$P$18,I1996))</f>
        <v/>
      </c>
      <c r="K1996" s="0" t="str">
        <f aca="false">IF(I1996="","",INDEX(Eingabe!$E$9:$E$18,I1996))</f>
        <v/>
      </c>
    </row>
    <row r="1997" customFormat="false" ht="15" hidden="false" customHeight="false" outlineLevel="0" collapsed="false">
      <c r="A1997" s="0" t="str">
        <f aca="false">IF(I1997="","",IF(J1997=0,"Sparte "&amp;I1997&amp;": "&amp;INDEX(Eingabe!$B$9:$B$18,I1997)&amp;"  (Sparten-ID "&amp;INDEX(Eingabe!$D$9:$D$18,I1997)&amp;", "&amp;K1997&amp;" Parzellen)",IF(J1997&lt;=K1997,"   Parzelle "&amp;J1997,IF(J1997=K1997+1,"   Vorstand",IF(J1997=K1997+2,"   Gäste",IF(J1997=K1997+3,"   Technik (Switches, Access Points)",""))))))</f>
        <v/>
      </c>
      <c r="B1997" s="0" t="str">
        <f aca="false">IF(I1997="","",IF(AND(J1997&gt;=1,J1997&lt;=K1997+3),IF(J1997&lt;=K1997,IF(J1997&lt;=99,IF((INDEX(Eingabe!$G$9:$G$18,I1997))&lt;=9,1000+(INDEX(Eingabe!$G$9:$G$18,I1997))*100,3000)+J1997,IF((INDEX(Eingabe!$G$9:$G$18,I1997)+1)&lt;=9,1000+(INDEX(Eingabe!$G$9:$G$18,I1997)+1)*100,3000)+J1997-100),IF(J1997=K1997+1,2000+INDEX(Eingabe!$G$9:$G$18,I1997)*10+1,IF(J1997=K1997+2,2000+INDEX(Eingabe!$G$9:$G$18,I1997)*10+2,2000+INDEX(Eingabe!$G$9:$G$18,I1997)*10+9))),""))</f>
        <v/>
      </c>
      <c r="C1997" s="0" t="str">
        <f aca="false">IF(I1997="","",IF(AND(J1997&gt;=1,J1997&lt;=K1997+3),"10."&amp;INDEX(Eingabe!$D$9:$D$18,I1997)&amp;"."&amp;IF(J1997&lt;=K1997,J1997,IF(J1997=K1997+1,200,IF(J1997=K1997+2,201,250)))&amp;".0/24",""))</f>
        <v/>
      </c>
      <c r="D1997" s="0" t="str">
        <f aca="false">IF(I1997="","",IF(AND(J1997&gt;=1,J1997&lt;=K1997+3),"255.255.255.0",""))</f>
        <v/>
      </c>
      <c r="E1997" s="0" t="str">
        <f aca="false">IF(I1997="","",IF(AND(J1997&gt;=1,J1997&lt;=K1997+3),"10."&amp;INDEX(Eingabe!$D$9:$D$18,I1997)&amp;"."&amp;IF(J1997&lt;=K1997,J1997,IF(J1997=K1997+1,200,IF(J1997=K1997+2,201,250)))&amp;".1",""))</f>
        <v/>
      </c>
      <c r="F1997" s="0" t="str">
        <f aca="false">IF(I1997="","",IF(AND(J1997&gt;=1,J1997&lt;=K1997+3),"10."&amp;INDEX(Eingabe!$D$9:$D$18,I1997)&amp;"."&amp;IF(J1997&lt;=K1997,J1997,IF(J1997=K1997+1,200,IF(J1997=K1997+2,201,250)))&amp;".10 – 10."&amp;INDEX(Eingabe!$D$9:$D$18,I1997)&amp;"."&amp;IF(J1997&lt;=K1997,J1997,IF(J1997=K1997+1,200,IF(J1997=K1997+2,201,250)))&amp;".250",""))</f>
        <v/>
      </c>
      <c r="G1997" s="0" t="str">
        <f aca="false">IF(I1997="","",IF(AND(J1997&gt;=1,J1997&lt;=K1997),Eingabe!$B$6&amp;"-"&amp;INDEX(Eingabe!$C$9:$C$18,I1997)&amp;"-Pächter  ·  Passwort Parzelle "&amp;J1997,IF(J1997=K1997+1,Eingabe!$B$6&amp;"-"&amp;INDEX(Eingabe!$C$9:$C$18,I1997)&amp;"-Vorstand  ·  eigenes WLAN",IF(J1997=K1997+2,Eingabe!$B$6&amp;"-"&amp;INDEX(Eingabe!$C$9:$C$18,I1997)&amp;"-Gäste  ·  Voucher",IF(J1997=K1997+3,"Kabel  ·  Access Point y = .(50+y), Mast-Switch x = .(10+x)","")))))</f>
        <v/>
      </c>
      <c r="I1997" s="0" t="str">
        <f aca="false">IF(1992&lt;=(Eingabe!$P$18+Eingabe!$Q$18-1),MATCH(1992,Eingabe!$P$9:$P$18,1),"")</f>
        <v/>
      </c>
      <c r="J1997" s="0" t="str">
        <f aca="false">IF(I1997="","",1992-INDEX(Eingabe!$P$9:$P$18,I1997))</f>
        <v/>
      </c>
      <c r="K1997" s="0" t="str">
        <f aca="false">IF(I1997="","",INDEX(Eingabe!$E$9:$E$18,I1997))</f>
        <v/>
      </c>
    </row>
    <row r="1998" customFormat="false" ht="15" hidden="false" customHeight="false" outlineLevel="0" collapsed="false">
      <c r="A1998" s="0" t="str">
        <f aca="false">IF(I1998="","",IF(J1998=0,"Sparte "&amp;I1998&amp;": "&amp;INDEX(Eingabe!$B$9:$B$18,I1998)&amp;"  (Sparten-ID "&amp;INDEX(Eingabe!$D$9:$D$18,I1998)&amp;", "&amp;K1998&amp;" Parzellen)",IF(J1998&lt;=K1998,"   Parzelle "&amp;J1998,IF(J1998=K1998+1,"   Vorstand",IF(J1998=K1998+2,"   Gäste",IF(J1998=K1998+3,"   Technik (Switches, Access Points)",""))))))</f>
        <v/>
      </c>
      <c r="B1998" s="0" t="str">
        <f aca="false">IF(I1998="","",IF(AND(J1998&gt;=1,J1998&lt;=K1998+3),IF(J1998&lt;=K1998,IF(J1998&lt;=99,IF((INDEX(Eingabe!$G$9:$G$18,I1998))&lt;=9,1000+(INDEX(Eingabe!$G$9:$G$18,I1998))*100,3000)+J1998,IF((INDEX(Eingabe!$G$9:$G$18,I1998)+1)&lt;=9,1000+(INDEX(Eingabe!$G$9:$G$18,I1998)+1)*100,3000)+J1998-100),IF(J1998=K1998+1,2000+INDEX(Eingabe!$G$9:$G$18,I1998)*10+1,IF(J1998=K1998+2,2000+INDEX(Eingabe!$G$9:$G$18,I1998)*10+2,2000+INDEX(Eingabe!$G$9:$G$18,I1998)*10+9))),""))</f>
        <v/>
      </c>
      <c r="C1998" s="0" t="str">
        <f aca="false">IF(I1998="","",IF(AND(J1998&gt;=1,J1998&lt;=K1998+3),"10."&amp;INDEX(Eingabe!$D$9:$D$18,I1998)&amp;"."&amp;IF(J1998&lt;=K1998,J1998,IF(J1998=K1998+1,200,IF(J1998=K1998+2,201,250)))&amp;".0/24",""))</f>
        <v/>
      </c>
      <c r="D1998" s="0" t="str">
        <f aca="false">IF(I1998="","",IF(AND(J1998&gt;=1,J1998&lt;=K1998+3),"255.255.255.0",""))</f>
        <v/>
      </c>
      <c r="E1998" s="0" t="str">
        <f aca="false">IF(I1998="","",IF(AND(J1998&gt;=1,J1998&lt;=K1998+3),"10."&amp;INDEX(Eingabe!$D$9:$D$18,I1998)&amp;"."&amp;IF(J1998&lt;=K1998,J1998,IF(J1998=K1998+1,200,IF(J1998=K1998+2,201,250)))&amp;".1",""))</f>
        <v/>
      </c>
      <c r="F1998" s="0" t="str">
        <f aca="false">IF(I1998="","",IF(AND(J1998&gt;=1,J1998&lt;=K1998+3),"10."&amp;INDEX(Eingabe!$D$9:$D$18,I1998)&amp;"."&amp;IF(J1998&lt;=K1998,J1998,IF(J1998=K1998+1,200,IF(J1998=K1998+2,201,250)))&amp;".10 – 10."&amp;INDEX(Eingabe!$D$9:$D$18,I1998)&amp;"."&amp;IF(J1998&lt;=K1998,J1998,IF(J1998=K1998+1,200,IF(J1998=K1998+2,201,250)))&amp;".250",""))</f>
        <v/>
      </c>
      <c r="G1998" s="0" t="str">
        <f aca="false">IF(I1998="","",IF(AND(J1998&gt;=1,J1998&lt;=K1998),Eingabe!$B$6&amp;"-"&amp;INDEX(Eingabe!$C$9:$C$18,I1998)&amp;"-Pächter  ·  Passwort Parzelle "&amp;J1998,IF(J1998=K1998+1,Eingabe!$B$6&amp;"-"&amp;INDEX(Eingabe!$C$9:$C$18,I1998)&amp;"-Vorstand  ·  eigenes WLAN",IF(J1998=K1998+2,Eingabe!$B$6&amp;"-"&amp;INDEX(Eingabe!$C$9:$C$18,I1998)&amp;"-Gäste  ·  Voucher",IF(J1998=K1998+3,"Kabel  ·  Access Point y = .(50+y), Mast-Switch x = .(10+x)","")))))</f>
        <v/>
      </c>
      <c r="I1998" s="0" t="str">
        <f aca="false">IF(1993&lt;=(Eingabe!$P$18+Eingabe!$Q$18-1),MATCH(1993,Eingabe!$P$9:$P$18,1),"")</f>
        <v/>
      </c>
      <c r="J1998" s="0" t="str">
        <f aca="false">IF(I1998="","",1993-INDEX(Eingabe!$P$9:$P$18,I1998))</f>
        <v/>
      </c>
      <c r="K1998" s="0" t="str">
        <f aca="false">IF(I1998="","",INDEX(Eingabe!$E$9:$E$18,I1998))</f>
        <v/>
      </c>
    </row>
    <row r="1999" customFormat="false" ht="15" hidden="false" customHeight="false" outlineLevel="0" collapsed="false">
      <c r="A1999" s="0" t="str">
        <f aca="false">IF(I1999="","",IF(J1999=0,"Sparte "&amp;I1999&amp;": "&amp;INDEX(Eingabe!$B$9:$B$18,I1999)&amp;"  (Sparten-ID "&amp;INDEX(Eingabe!$D$9:$D$18,I1999)&amp;", "&amp;K1999&amp;" Parzellen)",IF(J1999&lt;=K1999,"   Parzelle "&amp;J1999,IF(J1999=K1999+1,"   Vorstand",IF(J1999=K1999+2,"   Gäste",IF(J1999=K1999+3,"   Technik (Switches, Access Points)",""))))))</f>
        <v/>
      </c>
      <c r="B1999" s="0" t="str">
        <f aca="false">IF(I1999="","",IF(AND(J1999&gt;=1,J1999&lt;=K1999+3),IF(J1999&lt;=K1999,IF(J1999&lt;=99,IF((INDEX(Eingabe!$G$9:$G$18,I1999))&lt;=9,1000+(INDEX(Eingabe!$G$9:$G$18,I1999))*100,3000)+J1999,IF((INDEX(Eingabe!$G$9:$G$18,I1999)+1)&lt;=9,1000+(INDEX(Eingabe!$G$9:$G$18,I1999)+1)*100,3000)+J1999-100),IF(J1999=K1999+1,2000+INDEX(Eingabe!$G$9:$G$18,I1999)*10+1,IF(J1999=K1999+2,2000+INDEX(Eingabe!$G$9:$G$18,I1999)*10+2,2000+INDEX(Eingabe!$G$9:$G$18,I1999)*10+9))),""))</f>
        <v/>
      </c>
      <c r="C1999" s="0" t="str">
        <f aca="false">IF(I1999="","",IF(AND(J1999&gt;=1,J1999&lt;=K1999+3),"10."&amp;INDEX(Eingabe!$D$9:$D$18,I1999)&amp;"."&amp;IF(J1999&lt;=K1999,J1999,IF(J1999=K1999+1,200,IF(J1999=K1999+2,201,250)))&amp;".0/24",""))</f>
        <v/>
      </c>
      <c r="D1999" s="0" t="str">
        <f aca="false">IF(I1999="","",IF(AND(J1999&gt;=1,J1999&lt;=K1999+3),"255.255.255.0",""))</f>
        <v/>
      </c>
      <c r="E1999" s="0" t="str">
        <f aca="false">IF(I1999="","",IF(AND(J1999&gt;=1,J1999&lt;=K1999+3),"10."&amp;INDEX(Eingabe!$D$9:$D$18,I1999)&amp;"."&amp;IF(J1999&lt;=K1999,J1999,IF(J1999=K1999+1,200,IF(J1999=K1999+2,201,250)))&amp;".1",""))</f>
        <v/>
      </c>
      <c r="F1999" s="0" t="str">
        <f aca="false">IF(I1999="","",IF(AND(J1999&gt;=1,J1999&lt;=K1999+3),"10."&amp;INDEX(Eingabe!$D$9:$D$18,I1999)&amp;"."&amp;IF(J1999&lt;=K1999,J1999,IF(J1999=K1999+1,200,IF(J1999=K1999+2,201,250)))&amp;".10 – 10."&amp;INDEX(Eingabe!$D$9:$D$18,I1999)&amp;"."&amp;IF(J1999&lt;=K1999,J1999,IF(J1999=K1999+1,200,IF(J1999=K1999+2,201,250)))&amp;".250",""))</f>
        <v/>
      </c>
      <c r="G1999" s="0" t="str">
        <f aca="false">IF(I1999="","",IF(AND(J1999&gt;=1,J1999&lt;=K1999),Eingabe!$B$6&amp;"-"&amp;INDEX(Eingabe!$C$9:$C$18,I1999)&amp;"-Pächter  ·  Passwort Parzelle "&amp;J1999,IF(J1999=K1999+1,Eingabe!$B$6&amp;"-"&amp;INDEX(Eingabe!$C$9:$C$18,I1999)&amp;"-Vorstand  ·  eigenes WLAN",IF(J1999=K1999+2,Eingabe!$B$6&amp;"-"&amp;INDEX(Eingabe!$C$9:$C$18,I1999)&amp;"-Gäste  ·  Voucher",IF(J1999=K1999+3,"Kabel  ·  Access Point y = .(50+y), Mast-Switch x = .(10+x)","")))))</f>
        <v/>
      </c>
      <c r="I1999" s="0" t="str">
        <f aca="false">IF(1994&lt;=(Eingabe!$P$18+Eingabe!$Q$18-1),MATCH(1994,Eingabe!$P$9:$P$18,1),"")</f>
        <v/>
      </c>
      <c r="J1999" s="0" t="str">
        <f aca="false">IF(I1999="","",1994-INDEX(Eingabe!$P$9:$P$18,I1999))</f>
        <v/>
      </c>
      <c r="K1999" s="0" t="str">
        <f aca="false">IF(I1999="","",INDEX(Eingabe!$E$9:$E$18,I1999))</f>
        <v/>
      </c>
    </row>
    <row r="2000" customFormat="false" ht="15" hidden="false" customHeight="false" outlineLevel="0" collapsed="false">
      <c r="A2000" s="0" t="str">
        <f aca="false">IF(I2000="","",IF(J2000=0,"Sparte "&amp;I2000&amp;": "&amp;INDEX(Eingabe!$B$9:$B$18,I2000)&amp;"  (Sparten-ID "&amp;INDEX(Eingabe!$D$9:$D$18,I2000)&amp;", "&amp;K2000&amp;" Parzellen)",IF(J2000&lt;=K2000,"   Parzelle "&amp;J2000,IF(J2000=K2000+1,"   Vorstand",IF(J2000=K2000+2,"   Gäste",IF(J2000=K2000+3,"   Technik (Switches, Access Points)",""))))))</f>
        <v/>
      </c>
      <c r="B2000" s="0" t="str">
        <f aca="false">IF(I2000="","",IF(AND(J2000&gt;=1,J2000&lt;=K2000+3),IF(J2000&lt;=K2000,IF(J2000&lt;=99,IF((INDEX(Eingabe!$G$9:$G$18,I2000))&lt;=9,1000+(INDEX(Eingabe!$G$9:$G$18,I2000))*100,3000)+J2000,IF((INDEX(Eingabe!$G$9:$G$18,I2000)+1)&lt;=9,1000+(INDEX(Eingabe!$G$9:$G$18,I2000)+1)*100,3000)+J2000-100),IF(J2000=K2000+1,2000+INDEX(Eingabe!$G$9:$G$18,I2000)*10+1,IF(J2000=K2000+2,2000+INDEX(Eingabe!$G$9:$G$18,I2000)*10+2,2000+INDEX(Eingabe!$G$9:$G$18,I2000)*10+9))),""))</f>
        <v/>
      </c>
      <c r="C2000" s="0" t="str">
        <f aca="false">IF(I2000="","",IF(AND(J2000&gt;=1,J2000&lt;=K2000+3),"10."&amp;INDEX(Eingabe!$D$9:$D$18,I2000)&amp;"."&amp;IF(J2000&lt;=K2000,J2000,IF(J2000=K2000+1,200,IF(J2000=K2000+2,201,250)))&amp;".0/24",""))</f>
        <v/>
      </c>
      <c r="D2000" s="0" t="str">
        <f aca="false">IF(I2000="","",IF(AND(J2000&gt;=1,J2000&lt;=K2000+3),"255.255.255.0",""))</f>
        <v/>
      </c>
      <c r="E2000" s="0" t="str">
        <f aca="false">IF(I2000="","",IF(AND(J2000&gt;=1,J2000&lt;=K2000+3),"10."&amp;INDEX(Eingabe!$D$9:$D$18,I2000)&amp;"."&amp;IF(J2000&lt;=K2000,J2000,IF(J2000=K2000+1,200,IF(J2000=K2000+2,201,250)))&amp;".1",""))</f>
        <v/>
      </c>
      <c r="F2000" s="0" t="str">
        <f aca="false">IF(I2000="","",IF(AND(J2000&gt;=1,J2000&lt;=K2000+3),"10."&amp;INDEX(Eingabe!$D$9:$D$18,I2000)&amp;"."&amp;IF(J2000&lt;=K2000,J2000,IF(J2000=K2000+1,200,IF(J2000=K2000+2,201,250)))&amp;".10 – 10."&amp;INDEX(Eingabe!$D$9:$D$18,I2000)&amp;"."&amp;IF(J2000&lt;=K2000,J2000,IF(J2000=K2000+1,200,IF(J2000=K2000+2,201,250)))&amp;".250",""))</f>
        <v/>
      </c>
      <c r="G2000" s="0" t="str">
        <f aca="false">IF(I2000="","",IF(AND(J2000&gt;=1,J2000&lt;=K2000),Eingabe!$B$6&amp;"-"&amp;INDEX(Eingabe!$C$9:$C$18,I2000)&amp;"-Pächter  ·  Passwort Parzelle "&amp;J2000,IF(J2000=K2000+1,Eingabe!$B$6&amp;"-"&amp;INDEX(Eingabe!$C$9:$C$18,I2000)&amp;"-Vorstand  ·  eigenes WLAN",IF(J2000=K2000+2,Eingabe!$B$6&amp;"-"&amp;INDEX(Eingabe!$C$9:$C$18,I2000)&amp;"-Gäste  ·  Voucher",IF(J2000=K2000+3,"Kabel  ·  Access Point y = .(50+y), Mast-Switch x = .(10+x)","")))))</f>
        <v/>
      </c>
      <c r="I2000" s="0" t="str">
        <f aca="false">IF(1995&lt;=(Eingabe!$P$18+Eingabe!$Q$18-1),MATCH(1995,Eingabe!$P$9:$P$18,1),"")</f>
        <v/>
      </c>
      <c r="J2000" s="0" t="str">
        <f aca="false">IF(I2000="","",1995-INDEX(Eingabe!$P$9:$P$18,I2000))</f>
        <v/>
      </c>
      <c r="K2000" s="0" t="str">
        <f aca="false">IF(I2000="","",INDEX(Eingabe!$E$9:$E$18,I2000))</f>
        <v/>
      </c>
    </row>
    <row r="2001" customFormat="false" ht="15" hidden="false" customHeight="false" outlineLevel="0" collapsed="false">
      <c r="A2001" s="0" t="str">
        <f aca="false">IF(I2001="","",IF(J2001=0,"Sparte "&amp;I2001&amp;": "&amp;INDEX(Eingabe!$B$9:$B$18,I2001)&amp;"  (Sparten-ID "&amp;INDEX(Eingabe!$D$9:$D$18,I2001)&amp;", "&amp;K2001&amp;" Parzellen)",IF(J2001&lt;=K2001,"   Parzelle "&amp;J2001,IF(J2001=K2001+1,"   Vorstand",IF(J2001=K2001+2,"   Gäste",IF(J2001=K2001+3,"   Technik (Switches, Access Points)",""))))))</f>
        <v/>
      </c>
      <c r="B2001" s="0" t="str">
        <f aca="false">IF(I2001="","",IF(AND(J2001&gt;=1,J2001&lt;=K2001+3),IF(J2001&lt;=K2001,IF(J2001&lt;=99,IF((INDEX(Eingabe!$G$9:$G$18,I2001))&lt;=9,1000+(INDEX(Eingabe!$G$9:$G$18,I2001))*100,3000)+J2001,IF((INDEX(Eingabe!$G$9:$G$18,I2001)+1)&lt;=9,1000+(INDEX(Eingabe!$G$9:$G$18,I2001)+1)*100,3000)+J2001-100),IF(J2001=K2001+1,2000+INDEX(Eingabe!$G$9:$G$18,I2001)*10+1,IF(J2001=K2001+2,2000+INDEX(Eingabe!$G$9:$G$18,I2001)*10+2,2000+INDEX(Eingabe!$G$9:$G$18,I2001)*10+9))),""))</f>
        <v/>
      </c>
      <c r="C2001" s="0" t="str">
        <f aca="false">IF(I2001="","",IF(AND(J2001&gt;=1,J2001&lt;=K2001+3),"10."&amp;INDEX(Eingabe!$D$9:$D$18,I2001)&amp;"."&amp;IF(J2001&lt;=K2001,J2001,IF(J2001=K2001+1,200,IF(J2001=K2001+2,201,250)))&amp;".0/24",""))</f>
        <v/>
      </c>
      <c r="D2001" s="0" t="str">
        <f aca="false">IF(I2001="","",IF(AND(J2001&gt;=1,J2001&lt;=K2001+3),"255.255.255.0",""))</f>
        <v/>
      </c>
      <c r="E2001" s="0" t="str">
        <f aca="false">IF(I2001="","",IF(AND(J2001&gt;=1,J2001&lt;=K2001+3),"10."&amp;INDEX(Eingabe!$D$9:$D$18,I2001)&amp;"."&amp;IF(J2001&lt;=K2001,J2001,IF(J2001=K2001+1,200,IF(J2001=K2001+2,201,250)))&amp;".1",""))</f>
        <v/>
      </c>
      <c r="F2001" s="0" t="str">
        <f aca="false">IF(I2001="","",IF(AND(J2001&gt;=1,J2001&lt;=K2001+3),"10."&amp;INDEX(Eingabe!$D$9:$D$18,I2001)&amp;"."&amp;IF(J2001&lt;=K2001,J2001,IF(J2001=K2001+1,200,IF(J2001=K2001+2,201,250)))&amp;".10 – 10."&amp;INDEX(Eingabe!$D$9:$D$18,I2001)&amp;"."&amp;IF(J2001&lt;=K2001,J2001,IF(J2001=K2001+1,200,IF(J2001=K2001+2,201,250)))&amp;".250",""))</f>
        <v/>
      </c>
      <c r="G2001" s="0" t="str">
        <f aca="false">IF(I2001="","",IF(AND(J2001&gt;=1,J2001&lt;=K2001),Eingabe!$B$6&amp;"-"&amp;INDEX(Eingabe!$C$9:$C$18,I2001)&amp;"-Pächter  ·  Passwort Parzelle "&amp;J2001,IF(J2001=K2001+1,Eingabe!$B$6&amp;"-"&amp;INDEX(Eingabe!$C$9:$C$18,I2001)&amp;"-Vorstand  ·  eigenes WLAN",IF(J2001=K2001+2,Eingabe!$B$6&amp;"-"&amp;INDEX(Eingabe!$C$9:$C$18,I2001)&amp;"-Gäste  ·  Voucher",IF(J2001=K2001+3,"Kabel  ·  Access Point y = .(50+y), Mast-Switch x = .(10+x)","")))))</f>
        <v/>
      </c>
      <c r="I2001" s="0" t="str">
        <f aca="false">IF(1996&lt;=(Eingabe!$P$18+Eingabe!$Q$18-1),MATCH(1996,Eingabe!$P$9:$P$18,1),"")</f>
        <v/>
      </c>
      <c r="J2001" s="0" t="str">
        <f aca="false">IF(I2001="","",1996-INDEX(Eingabe!$P$9:$P$18,I2001))</f>
        <v/>
      </c>
      <c r="K2001" s="0" t="str">
        <f aca="false">IF(I2001="","",INDEX(Eingabe!$E$9:$E$18,I2001))</f>
        <v/>
      </c>
    </row>
    <row r="2002" customFormat="false" ht="15" hidden="false" customHeight="false" outlineLevel="0" collapsed="false">
      <c r="A2002" s="0" t="str">
        <f aca="false">IF(I2002="","",IF(J2002=0,"Sparte "&amp;I2002&amp;": "&amp;INDEX(Eingabe!$B$9:$B$18,I2002)&amp;"  (Sparten-ID "&amp;INDEX(Eingabe!$D$9:$D$18,I2002)&amp;", "&amp;K2002&amp;" Parzellen)",IF(J2002&lt;=K2002,"   Parzelle "&amp;J2002,IF(J2002=K2002+1,"   Vorstand",IF(J2002=K2002+2,"   Gäste",IF(J2002=K2002+3,"   Technik (Switches, Access Points)",""))))))</f>
        <v/>
      </c>
      <c r="B2002" s="0" t="str">
        <f aca="false">IF(I2002="","",IF(AND(J2002&gt;=1,J2002&lt;=K2002+3),IF(J2002&lt;=K2002,IF(J2002&lt;=99,IF((INDEX(Eingabe!$G$9:$G$18,I2002))&lt;=9,1000+(INDEX(Eingabe!$G$9:$G$18,I2002))*100,3000)+J2002,IF((INDEX(Eingabe!$G$9:$G$18,I2002)+1)&lt;=9,1000+(INDEX(Eingabe!$G$9:$G$18,I2002)+1)*100,3000)+J2002-100),IF(J2002=K2002+1,2000+INDEX(Eingabe!$G$9:$G$18,I2002)*10+1,IF(J2002=K2002+2,2000+INDEX(Eingabe!$G$9:$G$18,I2002)*10+2,2000+INDEX(Eingabe!$G$9:$G$18,I2002)*10+9))),""))</f>
        <v/>
      </c>
      <c r="C2002" s="0" t="str">
        <f aca="false">IF(I2002="","",IF(AND(J2002&gt;=1,J2002&lt;=K2002+3),"10."&amp;INDEX(Eingabe!$D$9:$D$18,I2002)&amp;"."&amp;IF(J2002&lt;=K2002,J2002,IF(J2002=K2002+1,200,IF(J2002=K2002+2,201,250)))&amp;".0/24",""))</f>
        <v/>
      </c>
      <c r="D2002" s="0" t="str">
        <f aca="false">IF(I2002="","",IF(AND(J2002&gt;=1,J2002&lt;=K2002+3),"255.255.255.0",""))</f>
        <v/>
      </c>
      <c r="E2002" s="0" t="str">
        <f aca="false">IF(I2002="","",IF(AND(J2002&gt;=1,J2002&lt;=K2002+3),"10."&amp;INDEX(Eingabe!$D$9:$D$18,I2002)&amp;"."&amp;IF(J2002&lt;=K2002,J2002,IF(J2002=K2002+1,200,IF(J2002=K2002+2,201,250)))&amp;".1",""))</f>
        <v/>
      </c>
      <c r="F2002" s="0" t="str">
        <f aca="false">IF(I2002="","",IF(AND(J2002&gt;=1,J2002&lt;=K2002+3),"10."&amp;INDEX(Eingabe!$D$9:$D$18,I2002)&amp;"."&amp;IF(J2002&lt;=K2002,J2002,IF(J2002=K2002+1,200,IF(J2002=K2002+2,201,250)))&amp;".10 – 10."&amp;INDEX(Eingabe!$D$9:$D$18,I2002)&amp;"."&amp;IF(J2002&lt;=K2002,J2002,IF(J2002=K2002+1,200,IF(J2002=K2002+2,201,250)))&amp;".250",""))</f>
        <v/>
      </c>
      <c r="G2002" s="0" t="str">
        <f aca="false">IF(I2002="","",IF(AND(J2002&gt;=1,J2002&lt;=K2002),Eingabe!$B$6&amp;"-"&amp;INDEX(Eingabe!$C$9:$C$18,I2002)&amp;"-Pächter  ·  Passwort Parzelle "&amp;J2002,IF(J2002=K2002+1,Eingabe!$B$6&amp;"-"&amp;INDEX(Eingabe!$C$9:$C$18,I2002)&amp;"-Vorstand  ·  eigenes WLAN",IF(J2002=K2002+2,Eingabe!$B$6&amp;"-"&amp;INDEX(Eingabe!$C$9:$C$18,I2002)&amp;"-Gäste  ·  Voucher",IF(J2002=K2002+3,"Kabel  ·  Access Point y = .(50+y), Mast-Switch x = .(10+x)","")))))</f>
        <v/>
      </c>
      <c r="I2002" s="0" t="str">
        <f aca="false">IF(1997&lt;=(Eingabe!$P$18+Eingabe!$Q$18-1),MATCH(1997,Eingabe!$P$9:$P$18,1),"")</f>
        <v/>
      </c>
      <c r="J2002" s="0" t="str">
        <f aca="false">IF(I2002="","",1997-INDEX(Eingabe!$P$9:$P$18,I2002))</f>
        <v/>
      </c>
      <c r="K2002" s="0" t="str">
        <f aca="false">IF(I2002="","",INDEX(Eingabe!$E$9:$E$18,I2002))</f>
        <v/>
      </c>
    </row>
    <row r="2003" customFormat="false" ht="15" hidden="false" customHeight="false" outlineLevel="0" collapsed="false">
      <c r="A2003" s="0" t="str">
        <f aca="false">IF(I2003="","",IF(J2003=0,"Sparte "&amp;I2003&amp;": "&amp;INDEX(Eingabe!$B$9:$B$18,I2003)&amp;"  (Sparten-ID "&amp;INDEX(Eingabe!$D$9:$D$18,I2003)&amp;", "&amp;K2003&amp;" Parzellen)",IF(J2003&lt;=K2003,"   Parzelle "&amp;J2003,IF(J2003=K2003+1,"   Vorstand",IF(J2003=K2003+2,"   Gäste",IF(J2003=K2003+3,"   Technik (Switches, Access Points)",""))))))</f>
        <v/>
      </c>
      <c r="B2003" s="0" t="str">
        <f aca="false">IF(I2003="","",IF(AND(J2003&gt;=1,J2003&lt;=K2003+3),IF(J2003&lt;=K2003,IF(J2003&lt;=99,IF((INDEX(Eingabe!$G$9:$G$18,I2003))&lt;=9,1000+(INDEX(Eingabe!$G$9:$G$18,I2003))*100,3000)+J2003,IF((INDEX(Eingabe!$G$9:$G$18,I2003)+1)&lt;=9,1000+(INDEX(Eingabe!$G$9:$G$18,I2003)+1)*100,3000)+J2003-100),IF(J2003=K2003+1,2000+INDEX(Eingabe!$G$9:$G$18,I2003)*10+1,IF(J2003=K2003+2,2000+INDEX(Eingabe!$G$9:$G$18,I2003)*10+2,2000+INDEX(Eingabe!$G$9:$G$18,I2003)*10+9))),""))</f>
        <v/>
      </c>
      <c r="C2003" s="0" t="str">
        <f aca="false">IF(I2003="","",IF(AND(J2003&gt;=1,J2003&lt;=K2003+3),"10."&amp;INDEX(Eingabe!$D$9:$D$18,I2003)&amp;"."&amp;IF(J2003&lt;=K2003,J2003,IF(J2003=K2003+1,200,IF(J2003=K2003+2,201,250)))&amp;".0/24",""))</f>
        <v/>
      </c>
      <c r="D2003" s="0" t="str">
        <f aca="false">IF(I2003="","",IF(AND(J2003&gt;=1,J2003&lt;=K2003+3),"255.255.255.0",""))</f>
        <v/>
      </c>
      <c r="E2003" s="0" t="str">
        <f aca="false">IF(I2003="","",IF(AND(J2003&gt;=1,J2003&lt;=K2003+3),"10."&amp;INDEX(Eingabe!$D$9:$D$18,I2003)&amp;"."&amp;IF(J2003&lt;=K2003,J2003,IF(J2003=K2003+1,200,IF(J2003=K2003+2,201,250)))&amp;".1",""))</f>
        <v/>
      </c>
      <c r="F2003" s="0" t="str">
        <f aca="false">IF(I2003="","",IF(AND(J2003&gt;=1,J2003&lt;=K2003+3),"10."&amp;INDEX(Eingabe!$D$9:$D$18,I2003)&amp;"."&amp;IF(J2003&lt;=K2003,J2003,IF(J2003=K2003+1,200,IF(J2003=K2003+2,201,250)))&amp;".10 – 10."&amp;INDEX(Eingabe!$D$9:$D$18,I2003)&amp;"."&amp;IF(J2003&lt;=K2003,J2003,IF(J2003=K2003+1,200,IF(J2003=K2003+2,201,250)))&amp;".250",""))</f>
        <v/>
      </c>
      <c r="G2003" s="0" t="str">
        <f aca="false">IF(I2003="","",IF(AND(J2003&gt;=1,J2003&lt;=K2003),Eingabe!$B$6&amp;"-"&amp;INDEX(Eingabe!$C$9:$C$18,I2003)&amp;"-Pächter  ·  Passwort Parzelle "&amp;J2003,IF(J2003=K2003+1,Eingabe!$B$6&amp;"-"&amp;INDEX(Eingabe!$C$9:$C$18,I2003)&amp;"-Vorstand  ·  eigenes WLAN",IF(J2003=K2003+2,Eingabe!$B$6&amp;"-"&amp;INDEX(Eingabe!$C$9:$C$18,I2003)&amp;"-Gäste  ·  Voucher",IF(J2003=K2003+3,"Kabel  ·  Access Point y = .(50+y), Mast-Switch x = .(10+x)","")))))</f>
        <v/>
      </c>
      <c r="I2003" s="0" t="str">
        <f aca="false">IF(1998&lt;=(Eingabe!$P$18+Eingabe!$Q$18-1),MATCH(1998,Eingabe!$P$9:$P$18,1),"")</f>
        <v/>
      </c>
      <c r="J2003" s="0" t="str">
        <f aca="false">IF(I2003="","",1998-INDEX(Eingabe!$P$9:$P$18,I2003))</f>
        <v/>
      </c>
      <c r="K2003" s="0" t="str">
        <f aca="false">IF(I2003="","",INDEX(Eingabe!$E$9:$E$18,I2003))</f>
        <v/>
      </c>
    </row>
    <row r="2004" customFormat="false" ht="15" hidden="false" customHeight="false" outlineLevel="0" collapsed="false">
      <c r="A2004" s="0" t="str">
        <f aca="false">IF(I2004="","",IF(J2004=0,"Sparte "&amp;I2004&amp;": "&amp;INDEX(Eingabe!$B$9:$B$18,I2004)&amp;"  (Sparten-ID "&amp;INDEX(Eingabe!$D$9:$D$18,I2004)&amp;", "&amp;K2004&amp;" Parzellen)",IF(J2004&lt;=K2004,"   Parzelle "&amp;J2004,IF(J2004=K2004+1,"   Vorstand",IF(J2004=K2004+2,"   Gäste",IF(J2004=K2004+3,"   Technik (Switches, Access Points)",""))))))</f>
        <v/>
      </c>
      <c r="B2004" s="0" t="str">
        <f aca="false">IF(I2004="","",IF(AND(J2004&gt;=1,J2004&lt;=K2004+3),IF(J2004&lt;=K2004,IF(J2004&lt;=99,IF((INDEX(Eingabe!$G$9:$G$18,I2004))&lt;=9,1000+(INDEX(Eingabe!$G$9:$G$18,I2004))*100,3000)+J2004,IF((INDEX(Eingabe!$G$9:$G$18,I2004)+1)&lt;=9,1000+(INDEX(Eingabe!$G$9:$G$18,I2004)+1)*100,3000)+J2004-100),IF(J2004=K2004+1,2000+INDEX(Eingabe!$G$9:$G$18,I2004)*10+1,IF(J2004=K2004+2,2000+INDEX(Eingabe!$G$9:$G$18,I2004)*10+2,2000+INDEX(Eingabe!$G$9:$G$18,I2004)*10+9))),""))</f>
        <v/>
      </c>
      <c r="C2004" s="0" t="str">
        <f aca="false">IF(I2004="","",IF(AND(J2004&gt;=1,J2004&lt;=K2004+3),"10."&amp;INDEX(Eingabe!$D$9:$D$18,I2004)&amp;"."&amp;IF(J2004&lt;=K2004,J2004,IF(J2004=K2004+1,200,IF(J2004=K2004+2,201,250)))&amp;".0/24",""))</f>
        <v/>
      </c>
      <c r="D2004" s="0" t="str">
        <f aca="false">IF(I2004="","",IF(AND(J2004&gt;=1,J2004&lt;=K2004+3),"255.255.255.0",""))</f>
        <v/>
      </c>
      <c r="E2004" s="0" t="str">
        <f aca="false">IF(I2004="","",IF(AND(J2004&gt;=1,J2004&lt;=K2004+3),"10."&amp;INDEX(Eingabe!$D$9:$D$18,I2004)&amp;"."&amp;IF(J2004&lt;=K2004,J2004,IF(J2004=K2004+1,200,IF(J2004=K2004+2,201,250)))&amp;".1",""))</f>
        <v/>
      </c>
      <c r="F2004" s="0" t="str">
        <f aca="false">IF(I2004="","",IF(AND(J2004&gt;=1,J2004&lt;=K2004+3),"10."&amp;INDEX(Eingabe!$D$9:$D$18,I2004)&amp;"."&amp;IF(J2004&lt;=K2004,J2004,IF(J2004=K2004+1,200,IF(J2004=K2004+2,201,250)))&amp;".10 – 10."&amp;INDEX(Eingabe!$D$9:$D$18,I2004)&amp;"."&amp;IF(J2004&lt;=K2004,J2004,IF(J2004=K2004+1,200,IF(J2004=K2004+2,201,250)))&amp;".250",""))</f>
        <v/>
      </c>
      <c r="G2004" s="0" t="str">
        <f aca="false">IF(I2004="","",IF(AND(J2004&gt;=1,J2004&lt;=K2004),Eingabe!$B$6&amp;"-"&amp;INDEX(Eingabe!$C$9:$C$18,I2004)&amp;"-Pächter  ·  Passwort Parzelle "&amp;J2004,IF(J2004=K2004+1,Eingabe!$B$6&amp;"-"&amp;INDEX(Eingabe!$C$9:$C$18,I2004)&amp;"-Vorstand  ·  eigenes WLAN",IF(J2004=K2004+2,Eingabe!$B$6&amp;"-"&amp;INDEX(Eingabe!$C$9:$C$18,I2004)&amp;"-Gäste  ·  Voucher",IF(J2004=K2004+3,"Kabel  ·  Access Point y = .(50+y), Mast-Switch x = .(10+x)","")))))</f>
        <v/>
      </c>
      <c r="I2004" s="0" t="str">
        <f aca="false">IF(1999&lt;=(Eingabe!$P$18+Eingabe!$Q$18-1),MATCH(1999,Eingabe!$P$9:$P$18,1),"")</f>
        <v/>
      </c>
      <c r="J2004" s="0" t="str">
        <f aca="false">IF(I2004="","",1999-INDEX(Eingabe!$P$9:$P$18,I2004))</f>
        <v/>
      </c>
      <c r="K2004" s="0" t="str">
        <f aca="false">IF(I2004="","",INDEX(Eingabe!$E$9:$E$18,I2004))</f>
        <v/>
      </c>
    </row>
    <row r="2005" customFormat="false" ht="15" hidden="false" customHeight="false" outlineLevel="0" collapsed="false">
      <c r="A2005" s="0" t="str">
        <f aca="false">IF(I2005="","",IF(J2005=0,"Sparte "&amp;I2005&amp;": "&amp;INDEX(Eingabe!$B$9:$B$18,I2005)&amp;"  (Sparten-ID "&amp;INDEX(Eingabe!$D$9:$D$18,I2005)&amp;", "&amp;K2005&amp;" Parzellen)",IF(J2005&lt;=K2005,"   Parzelle "&amp;J2005,IF(J2005=K2005+1,"   Vorstand",IF(J2005=K2005+2,"   Gäste",IF(J2005=K2005+3,"   Technik (Switches, Access Points)",""))))))</f>
        <v/>
      </c>
      <c r="B2005" s="0" t="str">
        <f aca="false">IF(I2005="","",IF(AND(J2005&gt;=1,J2005&lt;=K2005+3),IF(J2005&lt;=K2005,IF(J2005&lt;=99,IF((INDEX(Eingabe!$G$9:$G$18,I2005))&lt;=9,1000+(INDEX(Eingabe!$G$9:$G$18,I2005))*100,3000)+J2005,IF((INDEX(Eingabe!$G$9:$G$18,I2005)+1)&lt;=9,1000+(INDEX(Eingabe!$G$9:$G$18,I2005)+1)*100,3000)+J2005-100),IF(J2005=K2005+1,2000+INDEX(Eingabe!$G$9:$G$18,I2005)*10+1,IF(J2005=K2005+2,2000+INDEX(Eingabe!$G$9:$G$18,I2005)*10+2,2000+INDEX(Eingabe!$G$9:$G$18,I2005)*10+9))),""))</f>
        <v/>
      </c>
      <c r="C2005" s="0" t="str">
        <f aca="false">IF(I2005="","",IF(AND(J2005&gt;=1,J2005&lt;=K2005+3),"10."&amp;INDEX(Eingabe!$D$9:$D$18,I2005)&amp;"."&amp;IF(J2005&lt;=K2005,J2005,IF(J2005=K2005+1,200,IF(J2005=K2005+2,201,250)))&amp;".0/24",""))</f>
        <v/>
      </c>
      <c r="D2005" s="0" t="str">
        <f aca="false">IF(I2005="","",IF(AND(J2005&gt;=1,J2005&lt;=K2005+3),"255.255.255.0",""))</f>
        <v/>
      </c>
      <c r="E2005" s="0" t="str">
        <f aca="false">IF(I2005="","",IF(AND(J2005&gt;=1,J2005&lt;=K2005+3),"10."&amp;INDEX(Eingabe!$D$9:$D$18,I2005)&amp;"."&amp;IF(J2005&lt;=K2005,J2005,IF(J2005=K2005+1,200,IF(J2005=K2005+2,201,250)))&amp;".1",""))</f>
        <v/>
      </c>
      <c r="F2005" s="0" t="str">
        <f aca="false">IF(I2005="","",IF(AND(J2005&gt;=1,J2005&lt;=K2005+3),"10."&amp;INDEX(Eingabe!$D$9:$D$18,I2005)&amp;"."&amp;IF(J2005&lt;=K2005,J2005,IF(J2005=K2005+1,200,IF(J2005=K2005+2,201,250)))&amp;".10 – 10."&amp;INDEX(Eingabe!$D$9:$D$18,I2005)&amp;"."&amp;IF(J2005&lt;=K2005,J2005,IF(J2005=K2005+1,200,IF(J2005=K2005+2,201,250)))&amp;".250",""))</f>
        <v/>
      </c>
      <c r="G2005" s="0" t="str">
        <f aca="false">IF(I2005="","",IF(AND(J2005&gt;=1,J2005&lt;=K2005),Eingabe!$B$6&amp;"-"&amp;INDEX(Eingabe!$C$9:$C$18,I2005)&amp;"-Pächter  ·  Passwort Parzelle "&amp;J2005,IF(J2005=K2005+1,Eingabe!$B$6&amp;"-"&amp;INDEX(Eingabe!$C$9:$C$18,I2005)&amp;"-Vorstand  ·  eigenes WLAN",IF(J2005=K2005+2,Eingabe!$B$6&amp;"-"&amp;INDEX(Eingabe!$C$9:$C$18,I2005)&amp;"-Gäste  ·  Voucher",IF(J2005=K2005+3,"Kabel  ·  Access Point y = .(50+y), Mast-Switch x = .(10+x)","")))))</f>
        <v/>
      </c>
      <c r="I2005" s="0" t="str">
        <f aca="false">IF(2000&lt;=(Eingabe!$P$18+Eingabe!$Q$18-1),MATCH(2000,Eingabe!$P$9:$P$18,1),"")</f>
        <v/>
      </c>
      <c r="J2005" s="0" t="str">
        <f aca="false">IF(I2005="","",2000-INDEX(Eingabe!$P$9:$P$18,I2005))</f>
        <v/>
      </c>
      <c r="K2005" s="0" t="str">
        <f aca="false">IF(I2005="","",INDEX(Eingabe!$E$9:$E$18,I2005))</f>
        <v/>
      </c>
    </row>
    <row r="2006" customFormat="false" ht="15" hidden="false" customHeight="false" outlineLevel="0" collapsed="false">
      <c r="A2006" s="0" t="str">
        <f aca="false">IF(I2006="","",IF(J2006=0,"Sparte "&amp;I2006&amp;": "&amp;INDEX(Eingabe!$B$9:$B$18,I2006)&amp;"  (Sparten-ID "&amp;INDEX(Eingabe!$D$9:$D$18,I2006)&amp;", "&amp;K2006&amp;" Parzellen)",IF(J2006&lt;=K2006,"   Parzelle "&amp;J2006,IF(J2006=K2006+1,"   Vorstand",IF(J2006=K2006+2,"   Gäste",IF(J2006=K2006+3,"   Technik (Switches, Access Points)",""))))))</f>
        <v/>
      </c>
      <c r="B2006" s="0" t="str">
        <f aca="false">IF(I2006="","",IF(AND(J2006&gt;=1,J2006&lt;=K2006+3),IF(J2006&lt;=K2006,IF(J2006&lt;=99,IF((INDEX(Eingabe!$G$9:$G$18,I2006))&lt;=9,1000+(INDEX(Eingabe!$G$9:$G$18,I2006))*100,3000)+J2006,IF((INDEX(Eingabe!$G$9:$G$18,I2006)+1)&lt;=9,1000+(INDEX(Eingabe!$G$9:$G$18,I2006)+1)*100,3000)+J2006-100),IF(J2006=K2006+1,2000+INDEX(Eingabe!$G$9:$G$18,I2006)*10+1,IF(J2006=K2006+2,2000+INDEX(Eingabe!$G$9:$G$18,I2006)*10+2,2000+INDEX(Eingabe!$G$9:$G$18,I2006)*10+9))),""))</f>
        <v/>
      </c>
      <c r="C2006" s="0" t="str">
        <f aca="false">IF(I2006="","",IF(AND(J2006&gt;=1,J2006&lt;=K2006+3),"10."&amp;INDEX(Eingabe!$D$9:$D$18,I2006)&amp;"."&amp;IF(J2006&lt;=K2006,J2006,IF(J2006=K2006+1,200,IF(J2006=K2006+2,201,250)))&amp;".0/24",""))</f>
        <v/>
      </c>
      <c r="D2006" s="0" t="str">
        <f aca="false">IF(I2006="","",IF(AND(J2006&gt;=1,J2006&lt;=K2006+3),"255.255.255.0",""))</f>
        <v/>
      </c>
      <c r="E2006" s="0" t="str">
        <f aca="false">IF(I2006="","",IF(AND(J2006&gt;=1,J2006&lt;=K2006+3),"10."&amp;INDEX(Eingabe!$D$9:$D$18,I2006)&amp;"."&amp;IF(J2006&lt;=K2006,J2006,IF(J2006=K2006+1,200,IF(J2006=K2006+2,201,250)))&amp;".1",""))</f>
        <v/>
      </c>
      <c r="F2006" s="0" t="str">
        <f aca="false">IF(I2006="","",IF(AND(J2006&gt;=1,J2006&lt;=K2006+3),"10."&amp;INDEX(Eingabe!$D$9:$D$18,I2006)&amp;"."&amp;IF(J2006&lt;=K2006,J2006,IF(J2006=K2006+1,200,IF(J2006=K2006+2,201,250)))&amp;".10 – 10."&amp;INDEX(Eingabe!$D$9:$D$18,I2006)&amp;"."&amp;IF(J2006&lt;=K2006,J2006,IF(J2006=K2006+1,200,IF(J2006=K2006+2,201,250)))&amp;".250",""))</f>
        <v/>
      </c>
      <c r="G2006" s="0" t="str">
        <f aca="false">IF(I2006="","",IF(AND(J2006&gt;=1,J2006&lt;=K2006),Eingabe!$B$6&amp;"-"&amp;INDEX(Eingabe!$C$9:$C$18,I2006)&amp;"-Pächter  ·  Passwort Parzelle "&amp;J2006,IF(J2006=K2006+1,Eingabe!$B$6&amp;"-"&amp;INDEX(Eingabe!$C$9:$C$18,I2006)&amp;"-Vorstand  ·  eigenes WLAN",IF(J2006=K2006+2,Eingabe!$B$6&amp;"-"&amp;INDEX(Eingabe!$C$9:$C$18,I2006)&amp;"-Gäste  ·  Voucher",IF(J2006=K2006+3,"Kabel  ·  Access Point y = .(50+y), Mast-Switch x = .(10+x)","")))))</f>
        <v/>
      </c>
      <c r="I2006" s="0" t="str">
        <f aca="false">IF(2001&lt;=(Eingabe!$P$18+Eingabe!$Q$18-1),MATCH(2001,Eingabe!$P$9:$P$18,1),"")</f>
        <v/>
      </c>
      <c r="J2006" s="0" t="str">
        <f aca="false">IF(I2006="","",2001-INDEX(Eingabe!$P$9:$P$18,I2006))</f>
        <v/>
      </c>
      <c r="K2006" s="0" t="str">
        <f aca="false">IF(I2006="","",INDEX(Eingabe!$E$9:$E$18,I2006))</f>
        <v/>
      </c>
    </row>
    <row r="2007" customFormat="false" ht="15" hidden="false" customHeight="false" outlineLevel="0" collapsed="false">
      <c r="A2007" s="0" t="str">
        <f aca="false">IF(I2007="","",IF(J2007=0,"Sparte "&amp;I2007&amp;": "&amp;INDEX(Eingabe!$B$9:$B$18,I2007)&amp;"  (Sparten-ID "&amp;INDEX(Eingabe!$D$9:$D$18,I2007)&amp;", "&amp;K2007&amp;" Parzellen)",IF(J2007&lt;=K2007,"   Parzelle "&amp;J2007,IF(J2007=K2007+1,"   Vorstand",IF(J2007=K2007+2,"   Gäste",IF(J2007=K2007+3,"   Technik (Switches, Access Points)",""))))))</f>
        <v/>
      </c>
      <c r="B2007" s="0" t="str">
        <f aca="false">IF(I2007="","",IF(AND(J2007&gt;=1,J2007&lt;=K2007+3),IF(J2007&lt;=K2007,IF(J2007&lt;=99,IF((INDEX(Eingabe!$G$9:$G$18,I2007))&lt;=9,1000+(INDEX(Eingabe!$G$9:$G$18,I2007))*100,3000)+J2007,IF((INDEX(Eingabe!$G$9:$G$18,I2007)+1)&lt;=9,1000+(INDEX(Eingabe!$G$9:$G$18,I2007)+1)*100,3000)+J2007-100),IF(J2007=K2007+1,2000+INDEX(Eingabe!$G$9:$G$18,I2007)*10+1,IF(J2007=K2007+2,2000+INDEX(Eingabe!$G$9:$G$18,I2007)*10+2,2000+INDEX(Eingabe!$G$9:$G$18,I2007)*10+9))),""))</f>
        <v/>
      </c>
      <c r="C2007" s="0" t="str">
        <f aca="false">IF(I2007="","",IF(AND(J2007&gt;=1,J2007&lt;=K2007+3),"10."&amp;INDEX(Eingabe!$D$9:$D$18,I2007)&amp;"."&amp;IF(J2007&lt;=K2007,J2007,IF(J2007=K2007+1,200,IF(J2007=K2007+2,201,250)))&amp;".0/24",""))</f>
        <v/>
      </c>
      <c r="D2007" s="0" t="str">
        <f aca="false">IF(I2007="","",IF(AND(J2007&gt;=1,J2007&lt;=K2007+3),"255.255.255.0",""))</f>
        <v/>
      </c>
      <c r="E2007" s="0" t="str">
        <f aca="false">IF(I2007="","",IF(AND(J2007&gt;=1,J2007&lt;=K2007+3),"10."&amp;INDEX(Eingabe!$D$9:$D$18,I2007)&amp;"."&amp;IF(J2007&lt;=K2007,J2007,IF(J2007=K2007+1,200,IF(J2007=K2007+2,201,250)))&amp;".1",""))</f>
        <v/>
      </c>
      <c r="F2007" s="0" t="str">
        <f aca="false">IF(I2007="","",IF(AND(J2007&gt;=1,J2007&lt;=K2007+3),"10."&amp;INDEX(Eingabe!$D$9:$D$18,I2007)&amp;"."&amp;IF(J2007&lt;=K2007,J2007,IF(J2007=K2007+1,200,IF(J2007=K2007+2,201,250)))&amp;".10 – 10."&amp;INDEX(Eingabe!$D$9:$D$18,I2007)&amp;"."&amp;IF(J2007&lt;=K2007,J2007,IF(J2007=K2007+1,200,IF(J2007=K2007+2,201,250)))&amp;".250",""))</f>
        <v/>
      </c>
      <c r="G2007" s="0" t="str">
        <f aca="false">IF(I2007="","",IF(AND(J2007&gt;=1,J2007&lt;=K2007),Eingabe!$B$6&amp;"-"&amp;INDEX(Eingabe!$C$9:$C$18,I2007)&amp;"-Pächter  ·  Passwort Parzelle "&amp;J2007,IF(J2007=K2007+1,Eingabe!$B$6&amp;"-"&amp;INDEX(Eingabe!$C$9:$C$18,I2007)&amp;"-Vorstand  ·  eigenes WLAN",IF(J2007=K2007+2,Eingabe!$B$6&amp;"-"&amp;INDEX(Eingabe!$C$9:$C$18,I2007)&amp;"-Gäste  ·  Voucher",IF(J2007=K2007+3,"Kabel  ·  Access Point y = .(50+y), Mast-Switch x = .(10+x)","")))))</f>
        <v/>
      </c>
      <c r="I2007" s="0" t="str">
        <f aca="false">IF(2002&lt;=(Eingabe!$P$18+Eingabe!$Q$18-1),MATCH(2002,Eingabe!$P$9:$P$18,1),"")</f>
        <v/>
      </c>
      <c r="J2007" s="0" t="str">
        <f aca="false">IF(I2007="","",2002-INDEX(Eingabe!$P$9:$P$18,I2007))</f>
        <v/>
      </c>
      <c r="K2007" s="0" t="str">
        <f aca="false">IF(I2007="","",INDEX(Eingabe!$E$9:$E$18,I2007))</f>
        <v/>
      </c>
    </row>
    <row r="2008" customFormat="false" ht="15" hidden="false" customHeight="false" outlineLevel="0" collapsed="false">
      <c r="A2008" s="0" t="str">
        <f aca="false">IF(I2008="","",IF(J2008=0,"Sparte "&amp;I2008&amp;": "&amp;INDEX(Eingabe!$B$9:$B$18,I2008)&amp;"  (Sparten-ID "&amp;INDEX(Eingabe!$D$9:$D$18,I2008)&amp;", "&amp;K2008&amp;" Parzellen)",IF(J2008&lt;=K2008,"   Parzelle "&amp;J2008,IF(J2008=K2008+1,"   Vorstand",IF(J2008=K2008+2,"   Gäste",IF(J2008=K2008+3,"   Technik (Switches, Access Points)",""))))))</f>
        <v/>
      </c>
      <c r="B2008" s="0" t="str">
        <f aca="false">IF(I2008="","",IF(AND(J2008&gt;=1,J2008&lt;=K2008+3),IF(J2008&lt;=K2008,IF(J2008&lt;=99,IF((INDEX(Eingabe!$G$9:$G$18,I2008))&lt;=9,1000+(INDEX(Eingabe!$G$9:$G$18,I2008))*100,3000)+J2008,IF((INDEX(Eingabe!$G$9:$G$18,I2008)+1)&lt;=9,1000+(INDEX(Eingabe!$G$9:$G$18,I2008)+1)*100,3000)+J2008-100),IF(J2008=K2008+1,2000+INDEX(Eingabe!$G$9:$G$18,I2008)*10+1,IF(J2008=K2008+2,2000+INDEX(Eingabe!$G$9:$G$18,I2008)*10+2,2000+INDEX(Eingabe!$G$9:$G$18,I2008)*10+9))),""))</f>
        <v/>
      </c>
      <c r="C2008" s="0" t="str">
        <f aca="false">IF(I2008="","",IF(AND(J2008&gt;=1,J2008&lt;=K2008+3),"10."&amp;INDEX(Eingabe!$D$9:$D$18,I2008)&amp;"."&amp;IF(J2008&lt;=K2008,J2008,IF(J2008=K2008+1,200,IF(J2008=K2008+2,201,250)))&amp;".0/24",""))</f>
        <v/>
      </c>
      <c r="D2008" s="0" t="str">
        <f aca="false">IF(I2008="","",IF(AND(J2008&gt;=1,J2008&lt;=K2008+3),"255.255.255.0",""))</f>
        <v/>
      </c>
      <c r="E2008" s="0" t="str">
        <f aca="false">IF(I2008="","",IF(AND(J2008&gt;=1,J2008&lt;=K2008+3),"10."&amp;INDEX(Eingabe!$D$9:$D$18,I2008)&amp;"."&amp;IF(J2008&lt;=K2008,J2008,IF(J2008=K2008+1,200,IF(J2008=K2008+2,201,250)))&amp;".1",""))</f>
        <v/>
      </c>
      <c r="F2008" s="0" t="str">
        <f aca="false">IF(I2008="","",IF(AND(J2008&gt;=1,J2008&lt;=K2008+3),"10."&amp;INDEX(Eingabe!$D$9:$D$18,I2008)&amp;"."&amp;IF(J2008&lt;=K2008,J2008,IF(J2008=K2008+1,200,IF(J2008=K2008+2,201,250)))&amp;".10 – 10."&amp;INDEX(Eingabe!$D$9:$D$18,I2008)&amp;"."&amp;IF(J2008&lt;=K2008,J2008,IF(J2008=K2008+1,200,IF(J2008=K2008+2,201,250)))&amp;".250",""))</f>
        <v/>
      </c>
      <c r="G2008" s="0" t="str">
        <f aca="false">IF(I2008="","",IF(AND(J2008&gt;=1,J2008&lt;=K2008),Eingabe!$B$6&amp;"-"&amp;INDEX(Eingabe!$C$9:$C$18,I2008)&amp;"-Pächter  ·  Passwort Parzelle "&amp;J2008,IF(J2008=K2008+1,Eingabe!$B$6&amp;"-"&amp;INDEX(Eingabe!$C$9:$C$18,I2008)&amp;"-Vorstand  ·  eigenes WLAN",IF(J2008=K2008+2,Eingabe!$B$6&amp;"-"&amp;INDEX(Eingabe!$C$9:$C$18,I2008)&amp;"-Gäste  ·  Voucher",IF(J2008=K2008+3,"Kabel  ·  Access Point y = .(50+y), Mast-Switch x = .(10+x)","")))))</f>
        <v/>
      </c>
      <c r="I2008" s="0" t="str">
        <f aca="false">IF(2003&lt;=(Eingabe!$P$18+Eingabe!$Q$18-1),MATCH(2003,Eingabe!$P$9:$P$18,1),"")</f>
        <v/>
      </c>
      <c r="J2008" s="0" t="str">
        <f aca="false">IF(I2008="","",2003-INDEX(Eingabe!$P$9:$P$18,I2008))</f>
        <v/>
      </c>
      <c r="K2008" s="0" t="str">
        <f aca="false">IF(I2008="","",INDEX(Eingabe!$E$9:$E$18,I2008))</f>
        <v/>
      </c>
    </row>
    <row r="2009" customFormat="false" ht="15" hidden="false" customHeight="false" outlineLevel="0" collapsed="false">
      <c r="A2009" s="0" t="str">
        <f aca="false">IF(I2009="","",IF(J2009=0,"Sparte "&amp;I2009&amp;": "&amp;INDEX(Eingabe!$B$9:$B$18,I2009)&amp;"  (Sparten-ID "&amp;INDEX(Eingabe!$D$9:$D$18,I2009)&amp;", "&amp;K2009&amp;" Parzellen)",IF(J2009&lt;=K2009,"   Parzelle "&amp;J2009,IF(J2009=K2009+1,"   Vorstand",IF(J2009=K2009+2,"   Gäste",IF(J2009=K2009+3,"   Technik (Switches, Access Points)",""))))))</f>
        <v/>
      </c>
      <c r="B2009" s="0" t="str">
        <f aca="false">IF(I2009="","",IF(AND(J2009&gt;=1,J2009&lt;=K2009+3),IF(J2009&lt;=K2009,IF(J2009&lt;=99,IF((INDEX(Eingabe!$G$9:$G$18,I2009))&lt;=9,1000+(INDEX(Eingabe!$G$9:$G$18,I2009))*100,3000)+J2009,IF((INDEX(Eingabe!$G$9:$G$18,I2009)+1)&lt;=9,1000+(INDEX(Eingabe!$G$9:$G$18,I2009)+1)*100,3000)+J2009-100),IF(J2009=K2009+1,2000+INDEX(Eingabe!$G$9:$G$18,I2009)*10+1,IF(J2009=K2009+2,2000+INDEX(Eingabe!$G$9:$G$18,I2009)*10+2,2000+INDEX(Eingabe!$G$9:$G$18,I2009)*10+9))),""))</f>
        <v/>
      </c>
      <c r="C2009" s="0" t="str">
        <f aca="false">IF(I2009="","",IF(AND(J2009&gt;=1,J2009&lt;=K2009+3),"10."&amp;INDEX(Eingabe!$D$9:$D$18,I2009)&amp;"."&amp;IF(J2009&lt;=K2009,J2009,IF(J2009=K2009+1,200,IF(J2009=K2009+2,201,250)))&amp;".0/24",""))</f>
        <v/>
      </c>
      <c r="D2009" s="0" t="str">
        <f aca="false">IF(I2009="","",IF(AND(J2009&gt;=1,J2009&lt;=K2009+3),"255.255.255.0",""))</f>
        <v/>
      </c>
      <c r="E2009" s="0" t="str">
        <f aca="false">IF(I2009="","",IF(AND(J2009&gt;=1,J2009&lt;=K2009+3),"10."&amp;INDEX(Eingabe!$D$9:$D$18,I2009)&amp;"."&amp;IF(J2009&lt;=K2009,J2009,IF(J2009=K2009+1,200,IF(J2009=K2009+2,201,250)))&amp;".1",""))</f>
        <v/>
      </c>
      <c r="F2009" s="0" t="str">
        <f aca="false">IF(I2009="","",IF(AND(J2009&gt;=1,J2009&lt;=K2009+3),"10."&amp;INDEX(Eingabe!$D$9:$D$18,I2009)&amp;"."&amp;IF(J2009&lt;=K2009,J2009,IF(J2009=K2009+1,200,IF(J2009=K2009+2,201,250)))&amp;".10 – 10."&amp;INDEX(Eingabe!$D$9:$D$18,I2009)&amp;"."&amp;IF(J2009&lt;=K2009,J2009,IF(J2009=K2009+1,200,IF(J2009=K2009+2,201,250)))&amp;".250",""))</f>
        <v/>
      </c>
      <c r="G2009" s="0" t="str">
        <f aca="false">IF(I2009="","",IF(AND(J2009&gt;=1,J2009&lt;=K2009),Eingabe!$B$6&amp;"-"&amp;INDEX(Eingabe!$C$9:$C$18,I2009)&amp;"-Pächter  ·  Passwort Parzelle "&amp;J2009,IF(J2009=K2009+1,Eingabe!$B$6&amp;"-"&amp;INDEX(Eingabe!$C$9:$C$18,I2009)&amp;"-Vorstand  ·  eigenes WLAN",IF(J2009=K2009+2,Eingabe!$B$6&amp;"-"&amp;INDEX(Eingabe!$C$9:$C$18,I2009)&amp;"-Gäste  ·  Voucher",IF(J2009=K2009+3,"Kabel  ·  Access Point y = .(50+y), Mast-Switch x = .(10+x)","")))))</f>
        <v/>
      </c>
      <c r="I2009" s="0" t="str">
        <f aca="false">IF(2004&lt;=(Eingabe!$P$18+Eingabe!$Q$18-1),MATCH(2004,Eingabe!$P$9:$P$18,1),"")</f>
        <v/>
      </c>
      <c r="J2009" s="0" t="str">
        <f aca="false">IF(I2009="","",2004-INDEX(Eingabe!$P$9:$P$18,I2009))</f>
        <v/>
      </c>
      <c r="K2009" s="0" t="str">
        <f aca="false">IF(I2009="","",INDEX(Eingabe!$E$9:$E$18,I2009))</f>
        <v/>
      </c>
    </row>
    <row r="2010" customFormat="false" ht="15" hidden="false" customHeight="false" outlineLevel="0" collapsed="false">
      <c r="A2010" s="0" t="str">
        <f aca="false">IF(I2010="","",IF(J2010=0,"Sparte "&amp;I2010&amp;": "&amp;INDEX(Eingabe!$B$9:$B$18,I2010)&amp;"  (Sparten-ID "&amp;INDEX(Eingabe!$D$9:$D$18,I2010)&amp;", "&amp;K2010&amp;" Parzellen)",IF(J2010&lt;=K2010,"   Parzelle "&amp;J2010,IF(J2010=K2010+1,"   Vorstand",IF(J2010=K2010+2,"   Gäste",IF(J2010=K2010+3,"   Technik (Switches, Access Points)",""))))))</f>
        <v/>
      </c>
      <c r="B2010" s="0" t="str">
        <f aca="false">IF(I2010="","",IF(AND(J2010&gt;=1,J2010&lt;=K2010+3),IF(J2010&lt;=K2010,IF(J2010&lt;=99,IF((INDEX(Eingabe!$G$9:$G$18,I2010))&lt;=9,1000+(INDEX(Eingabe!$G$9:$G$18,I2010))*100,3000)+J2010,IF((INDEX(Eingabe!$G$9:$G$18,I2010)+1)&lt;=9,1000+(INDEX(Eingabe!$G$9:$G$18,I2010)+1)*100,3000)+J2010-100),IF(J2010=K2010+1,2000+INDEX(Eingabe!$G$9:$G$18,I2010)*10+1,IF(J2010=K2010+2,2000+INDEX(Eingabe!$G$9:$G$18,I2010)*10+2,2000+INDEX(Eingabe!$G$9:$G$18,I2010)*10+9))),""))</f>
        <v/>
      </c>
      <c r="C2010" s="0" t="str">
        <f aca="false">IF(I2010="","",IF(AND(J2010&gt;=1,J2010&lt;=K2010+3),"10."&amp;INDEX(Eingabe!$D$9:$D$18,I2010)&amp;"."&amp;IF(J2010&lt;=K2010,J2010,IF(J2010=K2010+1,200,IF(J2010=K2010+2,201,250)))&amp;".0/24",""))</f>
        <v/>
      </c>
      <c r="D2010" s="0" t="str">
        <f aca="false">IF(I2010="","",IF(AND(J2010&gt;=1,J2010&lt;=K2010+3),"255.255.255.0",""))</f>
        <v/>
      </c>
      <c r="E2010" s="0" t="str">
        <f aca="false">IF(I2010="","",IF(AND(J2010&gt;=1,J2010&lt;=K2010+3),"10."&amp;INDEX(Eingabe!$D$9:$D$18,I2010)&amp;"."&amp;IF(J2010&lt;=K2010,J2010,IF(J2010=K2010+1,200,IF(J2010=K2010+2,201,250)))&amp;".1",""))</f>
        <v/>
      </c>
      <c r="F2010" s="0" t="str">
        <f aca="false">IF(I2010="","",IF(AND(J2010&gt;=1,J2010&lt;=K2010+3),"10."&amp;INDEX(Eingabe!$D$9:$D$18,I2010)&amp;"."&amp;IF(J2010&lt;=K2010,J2010,IF(J2010=K2010+1,200,IF(J2010=K2010+2,201,250)))&amp;".10 – 10."&amp;INDEX(Eingabe!$D$9:$D$18,I2010)&amp;"."&amp;IF(J2010&lt;=K2010,J2010,IF(J2010=K2010+1,200,IF(J2010=K2010+2,201,250)))&amp;".250",""))</f>
        <v/>
      </c>
      <c r="G2010" s="0" t="str">
        <f aca="false">IF(I2010="","",IF(AND(J2010&gt;=1,J2010&lt;=K2010),Eingabe!$B$6&amp;"-"&amp;INDEX(Eingabe!$C$9:$C$18,I2010)&amp;"-Pächter  ·  Passwort Parzelle "&amp;J2010,IF(J2010=K2010+1,Eingabe!$B$6&amp;"-"&amp;INDEX(Eingabe!$C$9:$C$18,I2010)&amp;"-Vorstand  ·  eigenes WLAN",IF(J2010=K2010+2,Eingabe!$B$6&amp;"-"&amp;INDEX(Eingabe!$C$9:$C$18,I2010)&amp;"-Gäste  ·  Voucher",IF(J2010=K2010+3,"Kabel  ·  Access Point y = .(50+y), Mast-Switch x = .(10+x)","")))))</f>
        <v/>
      </c>
      <c r="I2010" s="0" t="str">
        <f aca="false">IF(2005&lt;=(Eingabe!$P$18+Eingabe!$Q$18-1),MATCH(2005,Eingabe!$P$9:$P$18,1),"")</f>
        <v/>
      </c>
      <c r="J2010" s="0" t="str">
        <f aca="false">IF(I2010="","",2005-INDEX(Eingabe!$P$9:$P$18,I2010))</f>
        <v/>
      </c>
      <c r="K2010" s="0" t="str">
        <f aca="false">IF(I2010="","",INDEX(Eingabe!$E$9:$E$18,I2010))</f>
        <v/>
      </c>
    </row>
    <row r="2011" customFormat="false" ht="15" hidden="false" customHeight="false" outlineLevel="0" collapsed="false">
      <c r="A2011" s="0" t="str">
        <f aca="false">IF(I2011="","",IF(J2011=0,"Sparte "&amp;I2011&amp;": "&amp;INDEX(Eingabe!$B$9:$B$18,I2011)&amp;"  (Sparten-ID "&amp;INDEX(Eingabe!$D$9:$D$18,I2011)&amp;", "&amp;K2011&amp;" Parzellen)",IF(J2011&lt;=K2011,"   Parzelle "&amp;J2011,IF(J2011=K2011+1,"   Vorstand",IF(J2011=K2011+2,"   Gäste",IF(J2011=K2011+3,"   Technik (Switches, Access Points)",""))))))</f>
        <v/>
      </c>
      <c r="B2011" s="0" t="str">
        <f aca="false">IF(I2011="","",IF(AND(J2011&gt;=1,J2011&lt;=K2011+3),IF(J2011&lt;=K2011,IF(J2011&lt;=99,IF((INDEX(Eingabe!$G$9:$G$18,I2011))&lt;=9,1000+(INDEX(Eingabe!$G$9:$G$18,I2011))*100,3000)+J2011,IF((INDEX(Eingabe!$G$9:$G$18,I2011)+1)&lt;=9,1000+(INDEX(Eingabe!$G$9:$G$18,I2011)+1)*100,3000)+J2011-100),IF(J2011=K2011+1,2000+INDEX(Eingabe!$G$9:$G$18,I2011)*10+1,IF(J2011=K2011+2,2000+INDEX(Eingabe!$G$9:$G$18,I2011)*10+2,2000+INDEX(Eingabe!$G$9:$G$18,I2011)*10+9))),""))</f>
        <v/>
      </c>
      <c r="C2011" s="0" t="str">
        <f aca="false">IF(I2011="","",IF(AND(J2011&gt;=1,J2011&lt;=K2011+3),"10."&amp;INDEX(Eingabe!$D$9:$D$18,I2011)&amp;"."&amp;IF(J2011&lt;=K2011,J2011,IF(J2011=K2011+1,200,IF(J2011=K2011+2,201,250)))&amp;".0/24",""))</f>
        <v/>
      </c>
      <c r="D2011" s="0" t="str">
        <f aca="false">IF(I2011="","",IF(AND(J2011&gt;=1,J2011&lt;=K2011+3),"255.255.255.0",""))</f>
        <v/>
      </c>
      <c r="E2011" s="0" t="str">
        <f aca="false">IF(I2011="","",IF(AND(J2011&gt;=1,J2011&lt;=K2011+3),"10."&amp;INDEX(Eingabe!$D$9:$D$18,I2011)&amp;"."&amp;IF(J2011&lt;=K2011,J2011,IF(J2011=K2011+1,200,IF(J2011=K2011+2,201,250)))&amp;".1",""))</f>
        <v/>
      </c>
      <c r="F2011" s="0" t="str">
        <f aca="false">IF(I2011="","",IF(AND(J2011&gt;=1,J2011&lt;=K2011+3),"10."&amp;INDEX(Eingabe!$D$9:$D$18,I2011)&amp;"."&amp;IF(J2011&lt;=K2011,J2011,IF(J2011=K2011+1,200,IF(J2011=K2011+2,201,250)))&amp;".10 – 10."&amp;INDEX(Eingabe!$D$9:$D$18,I2011)&amp;"."&amp;IF(J2011&lt;=K2011,J2011,IF(J2011=K2011+1,200,IF(J2011=K2011+2,201,250)))&amp;".250",""))</f>
        <v/>
      </c>
      <c r="G2011" s="0" t="str">
        <f aca="false">IF(I2011="","",IF(AND(J2011&gt;=1,J2011&lt;=K2011),Eingabe!$B$6&amp;"-"&amp;INDEX(Eingabe!$C$9:$C$18,I2011)&amp;"-Pächter  ·  Passwort Parzelle "&amp;J2011,IF(J2011=K2011+1,Eingabe!$B$6&amp;"-"&amp;INDEX(Eingabe!$C$9:$C$18,I2011)&amp;"-Vorstand  ·  eigenes WLAN",IF(J2011=K2011+2,Eingabe!$B$6&amp;"-"&amp;INDEX(Eingabe!$C$9:$C$18,I2011)&amp;"-Gäste  ·  Voucher",IF(J2011=K2011+3,"Kabel  ·  Access Point y = .(50+y), Mast-Switch x = .(10+x)","")))))</f>
        <v/>
      </c>
      <c r="I2011" s="0" t="str">
        <f aca="false">IF(2006&lt;=(Eingabe!$P$18+Eingabe!$Q$18-1),MATCH(2006,Eingabe!$P$9:$P$18,1),"")</f>
        <v/>
      </c>
      <c r="J2011" s="0" t="str">
        <f aca="false">IF(I2011="","",2006-INDEX(Eingabe!$P$9:$P$18,I2011))</f>
        <v/>
      </c>
      <c r="K2011" s="0" t="str">
        <f aca="false">IF(I2011="","",INDEX(Eingabe!$E$9:$E$18,I2011))</f>
        <v/>
      </c>
    </row>
    <row r="2012" customFormat="false" ht="15" hidden="false" customHeight="false" outlineLevel="0" collapsed="false">
      <c r="A2012" s="0" t="str">
        <f aca="false">IF(I2012="","",IF(J2012=0,"Sparte "&amp;I2012&amp;": "&amp;INDEX(Eingabe!$B$9:$B$18,I2012)&amp;"  (Sparten-ID "&amp;INDEX(Eingabe!$D$9:$D$18,I2012)&amp;", "&amp;K2012&amp;" Parzellen)",IF(J2012&lt;=K2012,"   Parzelle "&amp;J2012,IF(J2012=K2012+1,"   Vorstand",IF(J2012=K2012+2,"   Gäste",IF(J2012=K2012+3,"   Technik (Switches, Access Points)",""))))))</f>
        <v/>
      </c>
      <c r="B2012" s="0" t="str">
        <f aca="false">IF(I2012="","",IF(AND(J2012&gt;=1,J2012&lt;=K2012+3),IF(J2012&lt;=K2012,IF(J2012&lt;=99,IF((INDEX(Eingabe!$G$9:$G$18,I2012))&lt;=9,1000+(INDEX(Eingabe!$G$9:$G$18,I2012))*100,3000)+J2012,IF((INDEX(Eingabe!$G$9:$G$18,I2012)+1)&lt;=9,1000+(INDEX(Eingabe!$G$9:$G$18,I2012)+1)*100,3000)+J2012-100),IF(J2012=K2012+1,2000+INDEX(Eingabe!$G$9:$G$18,I2012)*10+1,IF(J2012=K2012+2,2000+INDEX(Eingabe!$G$9:$G$18,I2012)*10+2,2000+INDEX(Eingabe!$G$9:$G$18,I2012)*10+9))),""))</f>
        <v/>
      </c>
      <c r="C2012" s="0" t="str">
        <f aca="false">IF(I2012="","",IF(AND(J2012&gt;=1,J2012&lt;=K2012+3),"10."&amp;INDEX(Eingabe!$D$9:$D$18,I2012)&amp;"."&amp;IF(J2012&lt;=K2012,J2012,IF(J2012=K2012+1,200,IF(J2012=K2012+2,201,250)))&amp;".0/24",""))</f>
        <v/>
      </c>
      <c r="D2012" s="0" t="str">
        <f aca="false">IF(I2012="","",IF(AND(J2012&gt;=1,J2012&lt;=K2012+3),"255.255.255.0",""))</f>
        <v/>
      </c>
      <c r="E2012" s="0" t="str">
        <f aca="false">IF(I2012="","",IF(AND(J2012&gt;=1,J2012&lt;=K2012+3),"10."&amp;INDEX(Eingabe!$D$9:$D$18,I2012)&amp;"."&amp;IF(J2012&lt;=K2012,J2012,IF(J2012=K2012+1,200,IF(J2012=K2012+2,201,250)))&amp;".1",""))</f>
        <v/>
      </c>
      <c r="F2012" s="0" t="str">
        <f aca="false">IF(I2012="","",IF(AND(J2012&gt;=1,J2012&lt;=K2012+3),"10."&amp;INDEX(Eingabe!$D$9:$D$18,I2012)&amp;"."&amp;IF(J2012&lt;=K2012,J2012,IF(J2012=K2012+1,200,IF(J2012=K2012+2,201,250)))&amp;".10 – 10."&amp;INDEX(Eingabe!$D$9:$D$18,I2012)&amp;"."&amp;IF(J2012&lt;=K2012,J2012,IF(J2012=K2012+1,200,IF(J2012=K2012+2,201,250)))&amp;".250",""))</f>
        <v/>
      </c>
      <c r="G2012" s="0" t="str">
        <f aca="false">IF(I2012="","",IF(AND(J2012&gt;=1,J2012&lt;=K2012),Eingabe!$B$6&amp;"-"&amp;INDEX(Eingabe!$C$9:$C$18,I2012)&amp;"-Pächter  ·  Passwort Parzelle "&amp;J2012,IF(J2012=K2012+1,Eingabe!$B$6&amp;"-"&amp;INDEX(Eingabe!$C$9:$C$18,I2012)&amp;"-Vorstand  ·  eigenes WLAN",IF(J2012=K2012+2,Eingabe!$B$6&amp;"-"&amp;INDEX(Eingabe!$C$9:$C$18,I2012)&amp;"-Gäste  ·  Voucher",IF(J2012=K2012+3,"Kabel  ·  Access Point y = .(50+y), Mast-Switch x = .(10+x)","")))))</f>
        <v/>
      </c>
      <c r="I2012" s="0" t="str">
        <f aca="false">IF(2007&lt;=(Eingabe!$P$18+Eingabe!$Q$18-1),MATCH(2007,Eingabe!$P$9:$P$18,1),"")</f>
        <v/>
      </c>
      <c r="J2012" s="0" t="str">
        <f aca="false">IF(I2012="","",2007-INDEX(Eingabe!$P$9:$P$18,I2012))</f>
        <v/>
      </c>
      <c r="K2012" s="0" t="str">
        <f aca="false">IF(I2012="","",INDEX(Eingabe!$E$9:$E$18,I2012))</f>
        <v/>
      </c>
    </row>
    <row r="2013" customFormat="false" ht="15" hidden="false" customHeight="false" outlineLevel="0" collapsed="false">
      <c r="A2013" s="0" t="str">
        <f aca="false">IF(I2013="","",IF(J2013=0,"Sparte "&amp;I2013&amp;": "&amp;INDEX(Eingabe!$B$9:$B$18,I2013)&amp;"  (Sparten-ID "&amp;INDEX(Eingabe!$D$9:$D$18,I2013)&amp;", "&amp;K2013&amp;" Parzellen)",IF(J2013&lt;=K2013,"   Parzelle "&amp;J2013,IF(J2013=K2013+1,"   Vorstand",IF(J2013=K2013+2,"   Gäste",IF(J2013=K2013+3,"   Technik (Switches, Access Points)",""))))))</f>
        <v/>
      </c>
      <c r="B2013" s="0" t="str">
        <f aca="false">IF(I2013="","",IF(AND(J2013&gt;=1,J2013&lt;=K2013+3),IF(J2013&lt;=K2013,IF(J2013&lt;=99,IF((INDEX(Eingabe!$G$9:$G$18,I2013))&lt;=9,1000+(INDEX(Eingabe!$G$9:$G$18,I2013))*100,3000)+J2013,IF((INDEX(Eingabe!$G$9:$G$18,I2013)+1)&lt;=9,1000+(INDEX(Eingabe!$G$9:$G$18,I2013)+1)*100,3000)+J2013-100),IF(J2013=K2013+1,2000+INDEX(Eingabe!$G$9:$G$18,I2013)*10+1,IF(J2013=K2013+2,2000+INDEX(Eingabe!$G$9:$G$18,I2013)*10+2,2000+INDEX(Eingabe!$G$9:$G$18,I2013)*10+9))),""))</f>
        <v/>
      </c>
      <c r="C2013" s="0" t="str">
        <f aca="false">IF(I2013="","",IF(AND(J2013&gt;=1,J2013&lt;=K2013+3),"10."&amp;INDEX(Eingabe!$D$9:$D$18,I2013)&amp;"."&amp;IF(J2013&lt;=K2013,J2013,IF(J2013=K2013+1,200,IF(J2013=K2013+2,201,250)))&amp;".0/24",""))</f>
        <v/>
      </c>
      <c r="D2013" s="0" t="str">
        <f aca="false">IF(I2013="","",IF(AND(J2013&gt;=1,J2013&lt;=K2013+3),"255.255.255.0",""))</f>
        <v/>
      </c>
      <c r="E2013" s="0" t="str">
        <f aca="false">IF(I2013="","",IF(AND(J2013&gt;=1,J2013&lt;=K2013+3),"10."&amp;INDEX(Eingabe!$D$9:$D$18,I2013)&amp;"."&amp;IF(J2013&lt;=K2013,J2013,IF(J2013=K2013+1,200,IF(J2013=K2013+2,201,250)))&amp;".1",""))</f>
        <v/>
      </c>
      <c r="F2013" s="0" t="str">
        <f aca="false">IF(I2013="","",IF(AND(J2013&gt;=1,J2013&lt;=K2013+3),"10."&amp;INDEX(Eingabe!$D$9:$D$18,I2013)&amp;"."&amp;IF(J2013&lt;=K2013,J2013,IF(J2013=K2013+1,200,IF(J2013=K2013+2,201,250)))&amp;".10 – 10."&amp;INDEX(Eingabe!$D$9:$D$18,I2013)&amp;"."&amp;IF(J2013&lt;=K2013,J2013,IF(J2013=K2013+1,200,IF(J2013=K2013+2,201,250)))&amp;".250",""))</f>
        <v/>
      </c>
      <c r="G2013" s="0" t="str">
        <f aca="false">IF(I2013="","",IF(AND(J2013&gt;=1,J2013&lt;=K2013),Eingabe!$B$6&amp;"-"&amp;INDEX(Eingabe!$C$9:$C$18,I2013)&amp;"-Pächter  ·  Passwort Parzelle "&amp;J2013,IF(J2013=K2013+1,Eingabe!$B$6&amp;"-"&amp;INDEX(Eingabe!$C$9:$C$18,I2013)&amp;"-Vorstand  ·  eigenes WLAN",IF(J2013=K2013+2,Eingabe!$B$6&amp;"-"&amp;INDEX(Eingabe!$C$9:$C$18,I2013)&amp;"-Gäste  ·  Voucher",IF(J2013=K2013+3,"Kabel  ·  Access Point y = .(50+y), Mast-Switch x = .(10+x)","")))))</f>
        <v/>
      </c>
      <c r="I2013" s="0" t="str">
        <f aca="false">IF(2008&lt;=(Eingabe!$P$18+Eingabe!$Q$18-1),MATCH(2008,Eingabe!$P$9:$P$18,1),"")</f>
        <v/>
      </c>
      <c r="J2013" s="0" t="str">
        <f aca="false">IF(I2013="","",2008-INDEX(Eingabe!$P$9:$P$18,I2013))</f>
        <v/>
      </c>
      <c r="K2013" s="0" t="str">
        <f aca="false">IF(I2013="","",INDEX(Eingabe!$E$9:$E$18,I2013))</f>
        <v/>
      </c>
    </row>
    <row r="2014" customFormat="false" ht="15" hidden="false" customHeight="false" outlineLevel="0" collapsed="false">
      <c r="A2014" s="0" t="str">
        <f aca="false">IF(I2014="","",IF(J2014=0,"Sparte "&amp;I2014&amp;": "&amp;INDEX(Eingabe!$B$9:$B$18,I2014)&amp;"  (Sparten-ID "&amp;INDEX(Eingabe!$D$9:$D$18,I2014)&amp;", "&amp;K2014&amp;" Parzellen)",IF(J2014&lt;=K2014,"   Parzelle "&amp;J2014,IF(J2014=K2014+1,"   Vorstand",IF(J2014=K2014+2,"   Gäste",IF(J2014=K2014+3,"   Technik (Switches, Access Points)",""))))))</f>
        <v/>
      </c>
      <c r="B2014" s="0" t="str">
        <f aca="false">IF(I2014="","",IF(AND(J2014&gt;=1,J2014&lt;=K2014+3),IF(J2014&lt;=K2014,IF(J2014&lt;=99,IF((INDEX(Eingabe!$G$9:$G$18,I2014))&lt;=9,1000+(INDEX(Eingabe!$G$9:$G$18,I2014))*100,3000)+J2014,IF((INDEX(Eingabe!$G$9:$G$18,I2014)+1)&lt;=9,1000+(INDEX(Eingabe!$G$9:$G$18,I2014)+1)*100,3000)+J2014-100),IF(J2014=K2014+1,2000+INDEX(Eingabe!$G$9:$G$18,I2014)*10+1,IF(J2014=K2014+2,2000+INDEX(Eingabe!$G$9:$G$18,I2014)*10+2,2000+INDEX(Eingabe!$G$9:$G$18,I2014)*10+9))),""))</f>
        <v/>
      </c>
      <c r="C2014" s="0" t="str">
        <f aca="false">IF(I2014="","",IF(AND(J2014&gt;=1,J2014&lt;=K2014+3),"10."&amp;INDEX(Eingabe!$D$9:$D$18,I2014)&amp;"."&amp;IF(J2014&lt;=K2014,J2014,IF(J2014=K2014+1,200,IF(J2014=K2014+2,201,250)))&amp;".0/24",""))</f>
        <v/>
      </c>
      <c r="D2014" s="0" t="str">
        <f aca="false">IF(I2014="","",IF(AND(J2014&gt;=1,J2014&lt;=K2014+3),"255.255.255.0",""))</f>
        <v/>
      </c>
      <c r="E2014" s="0" t="str">
        <f aca="false">IF(I2014="","",IF(AND(J2014&gt;=1,J2014&lt;=K2014+3),"10."&amp;INDEX(Eingabe!$D$9:$D$18,I2014)&amp;"."&amp;IF(J2014&lt;=K2014,J2014,IF(J2014=K2014+1,200,IF(J2014=K2014+2,201,250)))&amp;".1",""))</f>
        <v/>
      </c>
      <c r="F2014" s="0" t="str">
        <f aca="false">IF(I2014="","",IF(AND(J2014&gt;=1,J2014&lt;=K2014+3),"10."&amp;INDEX(Eingabe!$D$9:$D$18,I2014)&amp;"."&amp;IF(J2014&lt;=K2014,J2014,IF(J2014=K2014+1,200,IF(J2014=K2014+2,201,250)))&amp;".10 – 10."&amp;INDEX(Eingabe!$D$9:$D$18,I2014)&amp;"."&amp;IF(J2014&lt;=K2014,J2014,IF(J2014=K2014+1,200,IF(J2014=K2014+2,201,250)))&amp;".250",""))</f>
        <v/>
      </c>
      <c r="G2014" s="0" t="str">
        <f aca="false">IF(I2014="","",IF(AND(J2014&gt;=1,J2014&lt;=K2014),Eingabe!$B$6&amp;"-"&amp;INDEX(Eingabe!$C$9:$C$18,I2014)&amp;"-Pächter  ·  Passwort Parzelle "&amp;J2014,IF(J2014=K2014+1,Eingabe!$B$6&amp;"-"&amp;INDEX(Eingabe!$C$9:$C$18,I2014)&amp;"-Vorstand  ·  eigenes WLAN",IF(J2014=K2014+2,Eingabe!$B$6&amp;"-"&amp;INDEX(Eingabe!$C$9:$C$18,I2014)&amp;"-Gäste  ·  Voucher",IF(J2014=K2014+3,"Kabel  ·  Access Point y = .(50+y), Mast-Switch x = .(10+x)","")))))</f>
        <v/>
      </c>
      <c r="I2014" s="0" t="str">
        <f aca="false">IF(2009&lt;=(Eingabe!$P$18+Eingabe!$Q$18-1),MATCH(2009,Eingabe!$P$9:$P$18,1),"")</f>
        <v/>
      </c>
      <c r="J2014" s="0" t="str">
        <f aca="false">IF(I2014="","",2009-INDEX(Eingabe!$P$9:$P$18,I2014))</f>
        <v/>
      </c>
      <c r="K2014" s="0" t="str">
        <f aca="false">IF(I2014="","",INDEX(Eingabe!$E$9:$E$18,I2014))</f>
        <v/>
      </c>
    </row>
    <row r="2015" customFormat="false" ht="15" hidden="false" customHeight="false" outlineLevel="0" collapsed="false">
      <c r="A2015" s="0" t="str">
        <f aca="false">IF(I2015="","",IF(J2015=0,"Sparte "&amp;I2015&amp;": "&amp;INDEX(Eingabe!$B$9:$B$18,I2015)&amp;"  (Sparten-ID "&amp;INDEX(Eingabe!$D$9:$D$18,I2015)&amp;", "&amp;K2015&amp;" Parzellen)",IF(J2015&lt;=K2015,"   Parzelle "&amp;J2015,IF(J2015=K2015+1,"   Vorstand",IF(J2015=K2015+2,"   Gäste",IF(J2015=K2015+3,"   Technik (Switches, Access Points)",""))))))</f>
        <v/>
      </c>
      <c r="B2015" s="0" t="str">
        <f aca="false">IF(I2015="","",IF(AND(J2015&gt;=1,J2015&lt;=K2015+3),IF(J2015&lt;=K2015,IF(J2015&lt;=99,IF((INDEX(Eingabe!$G$9:$G$18,I2015))&lt;=9,1000+(INDEX(Eingabe!$G$9:$G$18,I2015))*100,3000)+J2015,IF((INDEX(Eingabe!$G$9:$G$18,I2015)+1)&lt;=9,1000+(INDEX(Eingabe!$G$9:$G$18,I2015)+1)*100,3000)+J2015-100),IF(J2015=K2015+1,2000+INDEX(Eingabe!$G$9:$G$18,I2015)*10+1,IF(J2015=K2015+2,2000+INDEX(Eingabe!$G$9:$G$18,I2015)*10+2,2000+INDEX(Eingabe!$G$9:$G$18,I2015)*10+9))),""))</f>
        <v/>
      </c>
      <c r="C2015" s="0" t="str">
        <f aca="false">IF(I2015="","",IF(AND(J2015&gt;=1,J2015&lt;=K2015+3),"10."&amp;INDEX(Eingabe!$D$9:$D$18,I2015)&amp;"."&amp;IF(J2015&lt;=K2015,J2015,IF(J2015=K2015+1,200,IF(J2015=K2015+2,201,250)))&amp;".0/24",""))</f>
        <v/>
      </c>
      <c r="D2015" s="0" t="str">
        <f aca="false">IF(I2015="","",IF(AND(J2015&gt;=1,J2015&lt;=K2015+3),"255.255.255.0",""))</f>
        <v/>
      </c>
      <c r="E2015" s="0" t="str">
        <f aca="false">IF(I2015="","",IF(AND(J2015&gt;=1,J2015&lt;=K2015+3),"10."&amp;INDEX(Eingabe!$D$9:$D$18,I2015)&amp;"."&amp;IF(J2015&lt;=K2015,J2015,IF(J2015=K2015+1,200,IF(J2015=K2015+2,201,250)))&amp;".1",""))</f>
        <v/>
      </c>
      <c r="F2015" s="0" t="str">
        <f aca="false">IF(I2015="","",IF(AND(J2015&gt;=1,J2015&lt;=K2015+3),"10."&amp;INDEX(Eingabe!$D$9:$D$18,I2015)&amp;"."&amp;IF(J2015&lt;=K2015,J2015,IF(J2015=K2015+1,200,IF(J2015=K2015+2,201,250)))&amp;".10 – 10."&amp;INDEX(Eingabe!$D$9:$D$18,I2015)&amp;"."&amp;IF(J2015&lt;=K2015,J2015,IF(J2015=K2015+1,200,IF(J2015=K2015+2,201,250)))&amp;".250",""))</f>
        <v/>
      </c>
      <c r="G2015" s="0" t="str">
        <f aca="false">IF(I2015="","",IF(AND(J2015&gt;=1,J2015&lt;=K2015),Eingabe!$B$6&amp;"-"&amp;INDEX(Eingabe!$C$9:$C$18,I2015)&amp;"-Pächter  ·  Passwort Parzelle "&amp;J2015,IF(J2015=K2015+1,Eingabe!$B$6&amp;"-"&amp;INDEX(Eingabe!$C$9:$C$18,I2015)&amp;"-Vorstand  ·  eigenes WLAN",IF(J2015=K2015+2,Eingabe!$B$6&amp;"-"&amp;INDEX(Eingabe!$C$9:$C$18,I2015)&amp;"-Gäste  ·  Voucher",IF(J2015=K2015+3,"Kabel  ·  Access Point y = .(50+y), Mast-Switch x = .(10+x)","")))))</f>
        <v/>
      </c>
      <c r="I2015" s="0" t="str">
        <f aca="false">IF(2010&lt;=(Eingabe!$P$18+Eingabe!$Q$18-1),MATCH(2010,Eingabe!$P$9:$P$18,1),"")</f>
        <v/>
      </c>
      <c r="J2015" s="0" t="str">
        <f aca="false">IF(I2015="","",2010-INDEX(Eingabe!$P$9:$P$18,I2015))</f>
        <v/>
      </c>
      <c r="K2015" s="0" t="str">
        <f aca="false">IF(I2015="","",INDEX(Eingabe!$E$9:$E$18,I2015))</f>
        <v/>
      </c>
    </row>
    <row r="2016" customFormat="false" ht="15" hidden="false" customHeight="false" outlineLevel="0" collapsed="false">
      <c r="A2016" s="0" t="str">
        <f aca="false">IF(I2016="","",IF(J2016=0,"Sparte "&amp;I2016&amp;": "&amp;INDEX(Eingabe!$B$9:$B$18,I2016)&amp;"  (Sparten-ID "&amp;INDEX(Eingabe!$D$9:$D$18,I2016)&amp;", "&amp;K2016&amp;" Parzellen)",IF(J2016&lt;=K2016,"   Parzelle "&amp;J2016,IF(J2016=K2016+1,"   Vorstand",IF(J2016=K2016+2,"   Gäste",IF(J2016=K2016+3,"   Technik (Switches, Access Points)",""))))))</f>
        <v/>
      </c>
      <c r="B2016" s="0" t="str">
        <f aca="false">IF(I2016="","",IF(AND(J2016&gt;=1,J2016&lt;=K2016+3),IF(J2016&lt;=K2016,IF(J2016&lt;=99,IF((INDEX(Eingabe!$G$9:$G$18,I2016))&lt;=9,1000+(INDEX(Eingabe!$G$9:$G$18,I2016))*100,3000)+J2016,IF((INDEX(Eingabe!$G$9:$G$18,I2016)+1)&lt;=9,1000+(INDEX(Eingabe!$G$9:$G$18,I2016)+1)*100,3000)+J2016-100),IF(J2016=K2016+1,2000+INDEX(Eingabe!$G$9:$G$18,I2016)*10+1,IF(J2016=K2016+2,2000+INDEX(Eingabe!$G$9:$G$18,I2016)*10+2,2000+INDEX(Eingabe!$G$9:$G$18,I2016)*10+9))),""))</f>
        <v/>
      </c>
      <c r="C2016" s="0" t="str">
        <f aca="false">IF(I2016="","",IF(AND(J2016&gt;=1,J2016&lt;=K2016+3),"10."&amp;INDEX(Eingabe!$D$9:$D$18,I2016)&amp;"."&amp;IF(J2016&lt;=K2016,J2016,IF(J2016=K2016+1,200,IF(J2016=K2016+2,201,250)))&amp;".0/24",""))</f>
        <v/>
      </c>
      <c r="D2016" s="0" t="str">
        <f aca="false">IF(I2016="","",IF(AND(J2016&gt;=1,J2016&lt;=K2016+3),"255.255.255.0",""))</f>
        <v/>
      </c>
      <c r="E2016" s="0" t="str">
        <f aca="false">IF(I2016="","",IF(AND(J2016&gt;=1,J2016&lt;=K2016+3),"10."&amp;INDEX(Eingabe!$D$9:$D$18,I2016)&amp;"."&amp;IF(J2016&lt;=K2016,J2016,IF(J2016=K2016+1,200,IF(J2016=K2016+2,201,250)))&amp;".1",""))</f>
        <v/>
      </c>
      <c r="F2016" s="0" t="str">
        <f aca="false">IF(I2016="","",IF(AND(J2016&gt;=1,J2016&lt;=K2016+3),"10."&amp;INDEX(Eingabe!$D$9:$D$18,I2016)&amp;"."&amp;IF(J2016&lt;=K2016,J2016,IF(J2016=K2016+1,200,IF(J2016=K2016+2,201,250)))&amp;".10 – 10."&amp;INDEX(Eingabe!$D$9:$D$18,I2016)&amp;"."&amp;IF(J2016&lt;=K2016,J2016,IF(J2016=K2016+1,200,IF(J2016=K2016+2,201,250)))&amp;".250",""))</f>
        <v/>
      </c>
      <c r="G2016" s="0" t="str">
        <f aca="false">IF(I2016="","",IF(AND(J2016&gt;=1,J2016&lt;=K2016),Eingabe!$B$6&amp;"-"&amp;INDEX(Eingabe!$C$9:$C$18,I2016)&amp;"-Pächter  ·  Passwort Parzelle "&amp;J2016,IF(J2016=K2016+1,Eingabe!$B$6&amp;"-"&amp;INDEX(Eingabe!$C$9:$C$18,I2016)&amp;"-Vorstand  ·  eigenes WLAN",IF(J2016=K2016+2,Eingabe!$B$6&amp;"-"&amp;INDEX(Eingabe!$C$9:$C$18,I2016)&amp;"-Gäste  ·  Voucher",IF(J2016=K2016+3,"Kabel  ·  Access Point y = .(50+y), Mast-Switch x = .(10+x)","")))))</f>
        <v/>
      </c>
      <c r="I2016" s="0" t="str">
        <f aca="false">IF(2011&lt;=(Eingabe!$P$18+Eingabe!$Q$18-1),MATCH(2011,Eingabe!$P$9:$P$18,1),"")</f>
        <v/>
      </c>
      <c r="J2016" s="0" t="str">
        <f aca="false">IF(I2016="","",2011-INDEX(Eingabe!$P$9:$P$18,I2016))</f>
        <v/>
      </c>
      <c r="K2016" s="0" t="str">
        <f aca="false">IF(I2016="","",INDEX(Eingabe!$E$9:$E$18,I2016))</f>
        <v/>
      </c>
    </row>
    <row r="2017" customFormat="false" ht="15" hidden="false" customHeight="false" outlineLevel="0" collapsed="false">
      <c r="A2017" s="0" t="str">
        <f aca="false">IF(I2017="","",IF(J2017=0,"Sparte "&amp;I2017&amp;": "&amp;INDEX(Eingabe!$B$9:$B$18,I2017)&amp;"  (Sparten-ID "&amp;INDEX(Eingabe!$D$9:$D$18,I2017)&amp;", "&amp;K2017&amp;" Parzellen)",IF(J2017&lt;=K2017,"   Parzelle "&amp;J2017,IF(J2017=K2017+1,"   Vorstand",IF(J2017=K2017+2,"   Gäste",IF(J2017=K2017+3,"   Technik (Switches, Access Points)",""))))))</f>
        <v/>
      </c>
      <c r="B2017" s="0" t="str">
        <f aca="false">IF(I2017="","",IF(AND(J2017&gt;=1,J2017&lt;=K2017+3),IF(J2017&lt;=K2017,IF(J2017&lt;=99,IF((INDEX(Eingabe!$G$9:$G$18,I2017))&lt;=9,1000+(INDEX(Eingabe!$G$9:$G$18,I2017))*100,3000)+J2017,IF((INDEX(Eingabe!$G$9:$G$18,I2017)+1)&lt;=9,1000+(INDEX(Eingabe!$G$9:$G$18,I2017)+1)*100,3000)+J2017-100),IF(J2017=K2017+1,2000+INDEX(Eingabe!$G$9:$G$18,I2017)*10+1,IF(J2017=K2017+2,2000+INDEX(Eingabe!$G$9:$G$18,I2017)*10+2,2000+INDEX(Eingabe!$G$9:$G$18,I2017)*10+9))),""))</f>
        <v/>
      </c>
      <c r="C2017" s="0" t="str">
        <f aca="false">IF(I2017="","",IF(AND(J2017&gt;=1,J2017&lt;=K2017+3),"10."&amp;INDEX(Eingabe!$D$9:$D$18,I2017)&amp;"."&amp;IF(J2017&lt;=K2017,J2017,IF(J2017=K2017+1,200,IF(J2017=K2017+2,201,250)))&amp;".0/24",""))</f>
        <v/>
      </c>
      <c r="D2017" s="0" t="str">
        <f aca="false">IF(I2017="","",IF(AND(J2017&gt;=1,J2017&lt;=K2017+3),"255.255.255.0",""))</f>
        <v/>
      </c>
      <c r="E2017" s="0" t="str">
        <f aca="false">IF(I2017="","",IF(AND(J2017&gt;=1,J2017&lt;=K2017+3),"10."&amp;INDEX(Eingabe!$D$9:$D$18,I2017)&amp;"."&amp;IF(J2017&lt;=K2017,J2017,IF(J2017=K2017+1,200,IF(J2017=K2017+2,201,250)))&amp;".1",""))</f>
        <v/>
      </c>
      <c r="F2017" s="0" t="str">
        <f aca="false">IF(I2017="","",IF(AND(J2017&gt;=1,J2017&lt;=K2017+3),"10."&amp;INDEX(Eingabe!$D$9:$D$18,I2017)&amp;"."&amp;IF(J2017&lt;=K2017,J2017,IF(J2017=K2017+1,200,IF(J2017=K2017+2,201,250)))&amp;".10 – 10."&amp;INDEX(Eingabe!$D$9:$D$18,I2017)&amp;"."&amp;IF(J2017&lt;=K2017,J2017,IF(J2017=K2017+1,200,IF(J2017=K2017+2,201,250)))&amp;".250",""))</f>
        <v/>
      </c>
      <c r="G2017" s="0" t="str">
        <f aca="false">IF(I2017="","",IF(AND(J2017&gt;=1,J2017&lt;=K2017),Eingabe!$B$6&amp;"-"&amp;INDEX(Eingabe!$C$9:$C$18,I2017)&amp;"-Pächter  ·  Passwort Parzelle "&amp;J2017,IF(J2017=K2017+1,Eingabe!$B$6&amp;"-"&amp;INDEX(Eingabe!$C$9:$C$18,I2017)&amp;"-Vorstand  ·  eigenes WLAN",IF(J2017=K2017+2,Eingabe!$B$6&amp;"-"&amp;INDEX(Eingabe!$C$9:$C$18,I2017)&amp;"-Gäste  ·  Voucher",IF(J2017=K2017+3,"Kabel  ·  Access Point y = .(50+y), Mast-Switch x = .(10+x)","")))))</f>
        <v/>
      </c>
      <c r="I2017" s="0" t="str">
        <f aca="false">IF(2012&lt;=(Eingabe!$P$18+Eingabe!$Q$18-1),MATCH(2012,Eingabe!$P$9:$P$18,1),"")</f>
        <v/>
      </c>
      <c r="J2017" s="0" t="str">
        <f aca="false">IF(I2017="","",2012-INDEX(Eingabe!$P$9:$P$18,I2017))</f>
        <v/>
      </c>
      <c r="K2017" s="0" t="str">
        <f aca="false">IF(I2017="","",INDEX(Eingabe!$E$9:$E$18,I2017))</f>
        <v/>
      </c>
    </row>
    <row r="2018" customFormat="false" ht="15" hidden="false" customHeight="false" outlineLevel="0" collapsed="false">
      <c r="A2018" s="0" t="str">
        <f aca="false">IF(I2018="","",IF(J2018=0,"Sparte "&amp;I2018&amp;": "&amp;INDEX(Eingabe!$B$9:$B$18,I2018)&amp;"  (Sparten-ID "&amp;INDEX(Eingabe!$D$9:$D$18,I2018)&amp;", "&amp;K2018&amp;" Parzellen)",IF(J2018&lt;=K2018,"   Parzelle "&amp;J2018,IF(J2018=K2018+1,"   Vorstand",IF(J2018=K2018+2,"   Gäste",IF(J2018=K2018+3,"   Technik (Switches, Access Points)",""))))))</f>
        <v/>
      </c>
      <c r="B2018" s="0" t="str">
        <f aca="false">IF(I2018="","",IF(AND(J2018&gt;=1,J2018&lt;=K2018+3),IF(J2018&lt;=K2018,IF(J2018&lt;=99,IF((INDEX(Eingabe!$G$9:$G$18,I2018))&lt;=9,1000+(INDEX(Eingabe!$G$9:$G$18,I2018))*100,3000)+J2018,IF((INDEX(Eingabe!$G$9:$G$18,I2018)+1)&lt;=9,1000+(INDEX(Eingabe!$G$9:$G$18,I2018)+1)*100,3000)+J2018-100),IF(J2018=K2018+1,2000+INDEX(Eingabe!$G$9:$G$18,I2018)*10+1,IF(J2018=K2018+2,2000+INDEX(Eingabe!$G$9:$G$18,I2018)*10+2,2000+INDEX(Eingabe!$G$9:$G$18,I2018)*10+9))),""))</f>
        <v/>
      </c>
      <c r="C2018" s="0" t="str">
        <f aca="false">IF(I2018="","",IF(AND(J2018&gt;=1,J2018&lt;=K2018+3),"10."&amp;INDEX(Eingabe!$D$9:$D$18,I2018)&amp;"."&amp;IF(J2018&lt;=K2018,J2018,IF(J2018=K2018+1,200,IF(J2018=K2018+2,201,250)))&amp;".0/24",""))</f>
        <v/>
      </c>
      <c r="D2018" s="0" t="str">
        <f aca="false">IF(I2018="","",IF(AND(J2018&gt;=1,J2018&lt;=K2018+3),"255.255.255.0",""))</f>
        <v/>
      </c>
      <c r="E2018" s="0" t="str">
        <f aca="false">IF(I2018="","",IF(AND(J2018&gt;=1,J2018&lt;=K2018+3),"10."&amp;INDEX(Eingabe!$D$9:$D$18,I2018)&amp;"."&amp;IF(J2018&lt;=K2018,J2018,IF(J2018=K2018+1,200,IF(J2018=K2018+2,201,250)))&amp;".1",""))</f>
        <v/>
      </c>
      <c r="F2018" s="0" t="str">
        <f aca="false">IF(I2018="","",IF(AND(J2018&gt;=1,J2018&lt;=K2018+3),"10."&amp;INDEX(Eingabe!$D$9:$D$18,I2018)&amp;"."&amp;IF(J2018&lt;=K2018,J2018,IF(J2018=K2018+1,200,IF(J2018=K2018+2,201,250)))&amp;".10 – 10."&amp;INDEX(Eingabe!$D$9:$D$18,I2018)&amp;"."&amp;IF(J2018&lt;=K2018,J2018,IF(J2018=K2018+1,200,IF(J2018=K2018+2,201,250)))&amp;".250",""))</f>
        <v/>
      </c>
      <c r="G2018" s="0" t="str">
        <f aca="false">IF(I2018="","",IF(AND(J2018&gt;=1,J2018&lt;=K2018),Eingabe!$B$6&amp;"-"&amp;INDEX(Eingabe!$C$9:$C$18,I2018)&amp;"-Pächter  ·  Passwort Parzelle "&amp;J2018,IF(J2018=K2018+1,Eingabe!$B$6&amp;"-"&amp;INDEX(Eingabe!$C$9:$C$18,I2018)&amp;"-Vorstand  ·  eigenes WLAN",IF(J2018=K2018+2,Eingabe!$B$6&amp;"-"&amp;INDEX(Eingabe!$C$9:$C$18,I2018)&amp;"-Gäste  ·  Voucher",IF(J2018=K2018+3,"Kabel  ·  Access Point y = .(50+y), Mast-Switch x = .(10+x)","")))))</f>
        <v/>
      </c>
      <c r="I2018" s="0" t="str">
        <f aca="false">IF(2013&lt;=(Eingabe!$P$18+Eingabe!$Q$18-1),MATCH(2013,Eingabe!$P$9:$P$18,1),"")</f>
        <v/>
      </c>
      <c r="J2018" s="0" t="str">
        <f aca="false">IF(I2018="","",2013-INDEX(Eingabe!$P$9:$P$18,I2018))</f>
        <v/>
      </c>
      <c r="K2018" s="0" t="str">
        <f aca="false">IF(I2018="","",INDEX(Eingabe!$E$9:$E$18,I2018))</f>
        <v/>
      </c>
    </row>
    <row r="2019" customFormat="false" ht="15" hidden="false" customHeight="false" outlineLevel="0" collapsed="false">
      <c r="A2019" s="0" t="str">
        <f aca="false">IF(I2019="","",IF(J2019=0,"Sparte "&amp;I2019&amp;": "&amp;INDEX(Eingabe!$B$9:$B$18,I2019)&amp;"  (Sparten-ID "&amp;INDEX(Eingabe!$D$9:$D$18,I2019)&amp;", "&amp;K2019&amp;" Parzellen)",IF(J2019&lt;=K2019,"   Parzelle "&amp;J2019,IF(J2019=K2019+1,"   Vorstand",IF(J2019=K2019+2,"   Gäste",IF(J2019=K2019+3,"   Technik (Switches, Access Points)",""))))))</f>
        <v/>
      </c>
      <c r="B2019" s="0" t="str">
        <f aca="false">IF(I2019="","",IF(AND(J2019&gt;=1,J2019&lt;=K2019+3),IF(J2019&lt;=K2019,IF(J2019&lt;=99,IF((INDEX(Eingabe!$G$9:$G$18,I2019))&lt;=9,1000+(INDEX(Eingabe!$G$9:$G$18,I2019))*100,3000)+J2019,IF((INDEX(Eingabe!$G$9:$G$18,I2019)+1)&lt;=9,1000+(INDEX(Eingabe!$G$9:$G$18,I2019)+1)*100,3000)+J2019-100),IF(J2019=K2019+1,2000+INDEX(Eingabe!$G$9:$G$18,I2019)*10+1,IF(J2019=K2019+2,2000+INDEX(Eingabe!$G$9:$G$18,I2019)*10+2,2000+INDEX(Eingabe!$G$9:$G$18,I2019)*10+9))),""))</f>
        <v/>
      </c>
      <c r="C2019" s="0" t="str">
        <f aca="false">IF(I2019="","",IF(AND(J2019&gt;=1,J2019&lt;=K2019+3),"10."&amp;INDEX(Eingabe!$D$9:$D$18,I2019)&amp;"."&amp;IF(J2019&lt;=K2019,J2019,IF(J2019=K2019+1,200,IF(J2019=K2019+2,201,250)))&amp;".0/24",""))</f>
        <v/>
      </c>
      <c r="D2019" s="0" t="str">
        <f aca="false">IF(I2019="","",IF(AND(J2019&gt;=1,J2019&lt;=K2019+3),"255.255.255.0",""))</f>
        <v/>
      </c>
      <c r="E2019" s="0" t="str">
        <f aca="false">IF(I2019="","",IF(AND(J2019&gt;=1,J2019&lt;=K2019+3),"10."&amp;INDEX(Eingabe!$D$9:$D$18,I2019)&amp;"."&amp;IF(J2019&lt;=K2019,J2019,IF(J2019=K2019+1,200,IF(J2019=K2019+2,201,250)))&amp;".1",""))</f>
        <v/>
      </c>
      <c r="F2019" s="0" t="str">
        <f aca="false">IF(I2019="","",IF(AND(J2019&gt;=1,J2019&lt;=K2019+3),"10."&amp;INDEX(Eingabe!$D$9:$D$18,I2019)&amp;"."&amp;IF(J2019&lt;=K2019,J2019,IF(J2019=K2019+1,200,IF(J2019=K2019+2,201,250)))&amp;".10 – 10."&amp;INDEX(Eingabe!$D$9:$D$18,I2019)&amp;"."&amp;IF(J2019&lt;=K2019,J2019,IF(J2019=K2019+1,200,IF(J2019=K2019+2,201,250)))&amp;".250",""))</f>
        <v/>
      </c>
      <c r="G2019" s="0" t="str">
        <f aca="false">IF(I2019="","",IF(AND(J2019&gt;=1,J2019&lt;=K2019),Eingabe!$B$6&amp;"-"&amp;INDEX(Eingabe!$C$9:$C$18,I2019)&amp;"-Pächter  ·  Passwort Parzelle "&amp;J2019,IF(J2019=K2019+1,Eingabe!$B$6&amp;"-"&amp;INDEX(Eingabe!$C$9:$C$18,I2019)&amp;"-Vorstand  ·  eigenes WLAN",IF(J2019=K2019+2,Eingabe!$B$6&amp;"-"&amp;INDEX(Eingabe!$C$9:$C$18,I2019)&amp;"-Gäste  ·  Voucher",IF(J2019=K2019+3,"Kabel  ·  Access Point y = .(50+y), Mast-Switch x = .(10+x)","")))))</f>
        <v/>
      </c>
      <c r="I2019" s="0" t="str">
        <f aca="false">IF(2014&lt;=(Eingabe!$P$18+Eingabe!$Q$18-1),MATCH(2014,Eingabe!$P$9:$P$18,1),"")</f>
        <v/>
      </c>
      <c r="J2019" s="0" t="str">
        <f aca="false">IF(I2019="","",2014-INDEX(Eingabe!$P$9:$P$18,I2019))</f>
        <v/>
      </c>
      <c r="K2019" s="0" t="str">
        <f aca="false">IF(I2019="","",INDEX(Eingabe!$E$9:$E$18,I2019))</f>
        <v/>
      </c>
    </row>
    <row r="2020" customFormat="false" ht="15" hidden="false" customHeight="false" outlineLevel="0" collapsed="false">
      <c r="A2020" s="0" t="str">
        <f aca="false">IF(I2020="","",IF(J2020=0,"Sparte "&amp;I2020&amp;": "&amp;INDEX(Eingabe!$B$9:$B$18,I2020)&amp;"  (Sparten-ID "&amp;INDEX(Eingabe!$D$9:$D$18,I2020)&amp;", "&amp;K2020&amp;" Parzellen)",IF(J2020&lt;=K2020,"   Parzelle "&amp;J2020,IF(J2020=K2020+1,"   Vorstand",IF(J2020=K2020+2,"   Gäste",IF(J2020=K2020+3,"   Technik (Switches, Access Points)",""))))))</f>
        <v/>
      </c>
      <c r="B2020" s="0" t="str">
        <f aca="false">IF(I2020="","",IF(AND(J2020&gt;=1,J2020&lt;=K2020+3),IF(J2020&lt;=K2020,IF(J2020&lt;=99,IF((INDEX(Eingabe!$G$9:$G$18,I2020))&lt;=9,1000+(INDEX(Eingabe!$G$9:$G$18,I2020))*100,3000)+J2020,IF((INDEX(Eingabe!$G$9:$G$18,I2020)+1)&lt;=9,1000+(INDEX(Eingabe!$G$9:$G$18,I2020)+1)*100,3000)+J2020-100),IF(J2020=K2020+1,2000+INDEX(Eingabe!$G$9:$G$18,I2020)*10+1,IF(J2020=K2020+2,2000+INDEX(Eingabe!$G$9:$G$18,I2020)*10+2,2000+INDEX(Eingabe!$G$9:$G$18,I2020)*10+9))),""))</f>
        <v/>
      </c>
      <c r="C2020" s="0" t="str">
        <f aca="false">IF(I2020="","",IF(AND(J2020&gt;=1,J2020&lt;=K2020+3),"10."&amp;INDEX(Eingabe!$D$9:$D$18,I2020)&amp;"."&amp;IF(J2020&lt;=K2020,J2020,IF(J2020=K2020+1,200,IF(J2020=K2020+2,201,250)))&amp;".0/24",""))</f>
        <v/>
      </c>
      <c r="D2020" s="0" t="str">
        <f aca="false">IF(I2020="","",IF(AND(J2020&gt;=1,J2020&lt;=K2020+3),"255.255.255.0",""))</f>
        <v/>
      </c>
      <c r="E2020" s="0" t="str">
        <f aca="false">IF(I2020="","",IF(AND(J2020&gt;=1,J2020&lt;=K2020+3),"10."&amp;INDEX(Eingabe!$D$9:$D$18,I2020)&amp;"."&amp;IF(J2020&lt;=K2020,J2020,IF(J2020=K2020+1,200,IF(J2020=K2020+2,201,250)))&amp;".1",""))</f>
        <v/>
      </c>
      <c r="F2020" s="0" t="str">
        <f aca="false">IF(I2020="","",IF(AND(J2020&gt;=1,J2020&lt;=K2020+3),"10."&amp;INDEX(Eingabe!$D$9:$D$18,I2020)&amp;"."&amp;IF(J2020&lt;=K2020,J2020,IF(J2020=K2020+1,200,IF(J2020=K2020+2,201,250)))&amp;".10 – 10."&amp;INDEX(Eingabe!$D$9:$D$18,I2020)&amp;"."&amp;IF(J2020&lt;=K2020,J2020,IF(J2020=K2020+1,200,IF(J2020=K2020+2,201,250)))&amp;".250",""))</f>
        <v/>
      </c>
      <c r="G2020" s="0" t="str">
        <f aca="false">IF(I2020="","",IF(AND(J2020&gt;=1,J2020&lt;=K2020),Eingabe!$B$6&amp;"-"&amp;INDEX(Eingabe!$C$9:$C$18,I2020)&amp;"-Pächter  ·  Passwort Parzelle "&amp;J2020,IF(J2020=K2020+1,Eingabe!$B$6&amp;"-"&amp;INDEX(Eingabe!$C$9:$C$18,I2020)&amp;"-Vorstand  ·  eigenes WLAN",IF(J2020=K2020+2,Eingabe!$B$6&amp;"-"&amp;INDEX(Eingabe!$C$9:$C$18,I2020)&amp;"-Gäste  ·  Voucher",IF(J2020=K2020+3,"Kabel  ·  Access Point y = .(50+y), Mast-Switch x = .(10+x)","")))))</f>
        <v/>
      </c>
      <c r="I2020" s="0" t="str">
        <f aca="false">IF(2015&lt;=(Eingabe!$P$18+Eingabe!$Q$18-1),MATCH(2015,Eingabe!$P$9:$P$18,1),"")</f>
        <v/>
      </c>
      <c r="J2020" s="0" t="str">
        <f aca="false">IF(I2020="","",2015-INDEX(Eingabe!$P$9:$P$18,I2020))</f>
        <v/>
      </c>
      <c r="K2020" s="0" t="str">
        <f aca="false">IF(I2020="","",INDEX(Eingabe!$E$9:$E$18,I2020))</f>
        <v/>
      </c>
    </row>
    <row r="2021" customFormat="false" ht="15" hidden="false" customHeight="false" outlineLevel="0" collapsed="false">
      <c r="A2021" s="0" t="str">
        <f aca="false">IF(I2021="","",IF(J2021=0,"Sparte "&amp;I2021&amp;": "&amp;INDEX(Eingabe!$B$9:$B$18,I2021)&amp;"  (Sparten-ID "&amp;INDEX(Eingabe!$D$9:$D$18,I2021)&amp;", "&amp;K2021&amp;" Parzellen)",IF(J2021&lt;=K2021,"   Parzelle "&amp;J2021,IF(J2021=K2021+1,"   Vorstand",IF(J2021=K2021+2,"   Gäste",IF(J2021=K2021+3,"   Technik (Switches, Access Points)",""))))))</f>
        <v/>
      </c>
      <c r="B2021" s="0" t="str">
        <f aca="false">IF(I2021="","",IF(AND(J2021&gt;=1,J2021&lt;=K2021+3),IF(J2021&lt;=K2021,IF(J2021&lt;=99,IF((INDEX(Eingabe!$G$9:$G$18,I2021))&lt;=9,1000+(INDEX(Eingabe!$G$9:$G$18,I2021))*100,3000)+J2021,IF((INDEX(Eingabe!$G$9:$G$18,I2021)+1)&lt;=9,1000+(INDEX(Eingabe!$G$9:$G$18,I2021)+1)*100,3000)+J2021-100),IF(J2021=K2021+1,2000+INDEX(Eingabe!$G$9:$G$18,I2021)*10+1,IF(J2021=K2021+2,2000+INDEX(Eingabe!$G$9:$G$18,I2021)*10+2,2000+INDEX(Eingabe!$G$9:$G$18,I2021)*10+9))),""))</f>
        <v/>
      </c>
      <c r="C2021" s="0" t="str">
        <f aca="false">IF(I2021="","",IF(AND(J2021&gt;=1,J2021&lt;=K2021+3),"10."&amp;INDEX(Eingabe!$D$9:$D$18,I2021)&amp;"."&amp;IF(J2021&lt;=K2021,J2021,IF(J2021=K2021+1,200,IF(J2021=K2021+2,201,250)))&amp;".0/24",""))</f>
        <v/>
      </c>
      <c r="D2021" s="0" t="str">
        <f aca="false">IF(I2021="","",IF(AND(J2021&gt;=1,J2021&lt;=K2021+3),"255.255.255.0",""))</f>
        <v/>
      </c>
      <c r="E2021" s="0" t="str">
        <f aca="false">IF(I2021="","",IF(AND(J2021&gt;=1,J2021&lt;=K2021+3),"10."&amp;INDEX(Eingabe!$D$9:$D$18,I2021)&amp;"."&amp;IF(J2021&lt;=K2021,J2021,IF(J2021=K2021+1,200,IF(J2021=K2021+2,201,250)))&amp;".1",""))</f>
        <v/>
      </c>
      <c r="F2021" s="0" t="str">
        <f aca="false">IF(I2021="","",IF(AND(J2021&gt;=1,J2021&lt;=K2021+3),"10."&amp;INDEX(Eingabe!$D$9:$D$18,I2021)&amp;"."&amp;IF(J2021&lt;=K2021,J2021,IF(J2021=K2021+1,200,IF(J2021=K2021+2,201,250)))&amp;".10 – 10."&amp;INDEX(Eingabe!$D$9:$D$18,I2021)&amp;"."&amp;IF(J2021&lt;=K2021,J2021,IF(J2021=K2021+1,200,IF(J2021=K2021+2,201,250)))&amp;".250",""))</f>
        <v/>
      </c>
      <c r="G2021" s="0" t="str">
        <f aca="false">IF(I2021="","",IF(AND(J2021&gt;=1,J2021&lt;=K2021),Eingabe!$B$6&amp;"-"&amp;INDEX(Eingabe!$C$9:$C$18,I2021)&amp;"-Pächter  ·  Passwort Parzelle "&amp;J2021,IF(J2021=K2021+1,Eingabe!$B$6&amp;"-"&amp;INDEX(Eingabe!$C$9:$C$18,I2021)&amp;"-Vorstand  ·  eigenes WLAN",IF(J2021=K2021+2,Eingabe!$B$6&amp;"-"&amp;INDEX(Eingabe!$C$9:$C$18,I2021)&amp;"-Gäste  ·  Voucher",IF(J2021=K2021+3,"Kabel  ·  Access Point y = .(50+y), Mast-Switch x = .(10+x)","")))))</f>
        <v/>
      </c>
      <c r="I2021" s="0" t="str">
        <f aca="false">IF(2016&lt;=(Eingabe!$P$18+Eingabe!$Q$18-1),MATCH(2016,Eingabe!$P$9:$P$18,1),"")</f>
        <v/>
      </c>
      <c r="J2021" s="0" t="str">
        <f aca="false">IF(I2021="","",2016-INDEX(Eingabe!$P$9:$P$18,I2021))</f>
        <v/>
      </c>
      <c r="K2021" s="0" t="str">
        <f aca="false">IF(I2021="","",INDEX(Eingabe!$E$9:$E$18,I2021))</f>
        <v/>
      </c>
    </row>
    <row r="2022" customFormat="false" ht="15" hidden="false" customHeight="false" outlineLevel="0" collapsed="false">
      <c r="A2022" s="0" t="str">
        <f aca="false">IF(I2022="","",IF(J2022=0,"Sparte "&amp;I2022&amp;": "&amp;INDEX(Eingabe!$B$9:$B$18,I2022)&amp;"  (Sparten-ID "&amp;INDEX(Eingabe!$D$9:$D$18,I2022)&amp;", "&amp;K2022&amp;" Parzellen)",IF(J2022&lt;=K2022,"   Parzelle "&amp;J2022,IF(J2022=K2022+1,"   Vorstand",IF(J2022=K2022+2,"   Gäste",IF(J2022=K2022+3,"   Technik (Switches, Access Points)",""))))))</f>
        <v/>
      </c>
      <c r="B2022" s="0" t="str">
        <f aca="false">IF(I2022="","",IF(AND(J2022&gt;=1,J2022&lt;=K2022+3),IF(J2022&lt;=K2022,IF(J2022&lt;=99,IF((INDEX(Eingabe!$G$9:$G$18,I2022))&lt;=9,1000+(INDEX(Eingabe!$G$9:$G$18,I2022))*100,3000)+J2022,IF((INDEX(Eingabe!$G$9:$G$18,I2022)+1)&lt;=9,1000+(INDEX(Eingabe!$G$9:$G$18,I2022)+1)*100,3000)+J2022-100),IF(J2022=K2022+1,2000+INDEX(Eingabe!$G$9:$G$18,I2022)*10+1,IF(J2022=K2022+2,2000+INDEX(Eingabe!$G$9:$G$18,I2022)*10+2,2000+INDEX(Eingabe!$G$9:$G$18,I2022)*10+9))),""))</f>
        <v/>
      </c>
      <c r="C2022" s="0" t="str">
        <f aca="false">IF(I2022="","",IF(AND(J2022&gt;=1,J2022&lt;=K2022+3),"10."&amp;INDEX(Eingabe!$D$9:$D$18,I2022)&amp;"."&amp;IF(J2022&lt;=K2022,J2022,IF(J2022=K2022+1,200,IF(J2022=K2022+2,201,250)))&amp;".0/24",""))</f>
        <v/>
      </c>
      <c r="D2022" s="0" t="str">
        <f aca="false">IF(I2022="","",IF(AND(J2022&gt;=1,J2022&lt;=K2022+3),"255.255.255.0",""))</f>
        <v/>
      </c>
      <c r="E2022" s="0" t="str">
        <f aca="false">IF(I2022="","",IF(AND(J2022&gt;=1,J2022&lt;=K2022+3),"10."&amp;INDEX(Eingabe!$D$9:$D$18,I2022)&amp;"."&amp;IF(J2022&lt;=K2022,J2022,IF(J2022=K2022+1,200,IF(J2022=K2022+2,201,250)))&amp;".1",""))</f>
        <v/>
      </c>
      <c r="F2022" s="0" t="str">
        <f aca="false">IF(I2022="","",IF(AND(J2022&gt;=1,J2022&lt;=K2022+3),"10."&amp;INDEX(Eingabe!$D$9:$D$18,I2022)&amp;"."&amp;IF(J2022&lt;=K2022,J2022,IF(J2022=K2022+1,200,IF(J2022=K2022+2,201,250)))&amp;".10 – 10."&amp;INDEX(Eingabe!$D$9:$D$18,I2022)&amp;"."&amp;IF(J2022&lt;=K2022,J2022,IF(J2022=K2022+1,200,IF(J2022=K2022+2,201,250)))&amp;".250",""))</f>
        <v/>
      </c>
      <c r="G2022" s="0" t="str">
        <f aca="false">IF(I2022="","",IF(AND(J2022&gt;=1,J2022&lt;=K2022),Eingabe!$B$6&amp;"-"&amp;INDEX(Eingabe!$C$9:$C$18,I2022)&amp;"-Pächter  ·  Passwort Parzelle "&amp;J2022,IF(J2022=K2022+1,Eingabe!$B$6&amp;"-"&amp;INDEX(Eingabe!$C$9:$C$18,I2022)&amp;"-Vorstand  ·  eigenes WLAN",IF(J2022=K2022+2,Eingabe!$B$6&amp;"-"&amp;INDEX(Eingabe!$C$9:$C$18,I2022)&amp;"-Gäste  ·  Voucher",IF(J2022=K2022+3,"Kabel  ·  Access Point y = .(50+y), Mast-Switch x = .(10+x)","")))))</f>
        <v/>
      </c>
      <c r="I2022" s="0" t="str">
        <f aca="false">IF(2017&lt;=(Eingabe!$P$18+Eingabe!$Q$18-1),MATCH(2017,Eingabe!$P$9:$P$18,1),"")</f>
        <v/>
      </c>
      <c r="J2022" s="0" t="str">
        <f aca="false">IF(I2022="","",2017-INDEX(Eingabe!$P$9:$P$18,I2022))</f>
        <v/>
      </c>
      <c r="K2022" s="0" t="str">
        <f aca="false">IF(I2022="","",INDEX(Eingabe!$E$9:$E$18,I2022))</f>
        <v/>
      </c>
    </row>
    <row r="2023" customFormat="false" ht="15" hidden="false" customHeight="false" outlineLevel="0" collapsed="false">
      <c r="A2023" s="0" t="str">
        <f aca="false">IF(I2023="","",IF(J2023=0,"Sparte "&amp;I2023&amp;": "&amp;INDEX(Eingabe!$B$9:$B$18,I2023)&amp;"  (Sparten-ID "&amp;INDEX(Eingabe!$D$9:$D$18,I2023)&amp;", "&amp;K2023&amp;" Parzellen)",IF(J2023&lt;=K2023,"   Parzelle "&amp;J2023,IF(J2023=K2023+1,"   Vorstand",IF(J2023=K2023+2,"   Gäste",IF(J2023=K2023+3,"   Technik (Switches, Access Points)",""))))))</f>
        <v/>
      </c>
      <c r="B2023" s="0" t="str">
        <f aca="false">IF(I2023="","",IF(AND(J2023&gt;=1,J2023&lt;=K2023+3),IF(J2023&lt;=K2023,IF(J2023&lt;=99,IF((INDEX(Eingabe!$G$9:$G$18,I2023))&lt;=9,1000+(INDEX(Eingabe!$G$9:$G$18,I2023))*100,3000)+J2023,IF((INDEX(Eingabe!$G$9:$G$18,I2023)+1)&lt;=9,1000+(INDEX(Eingabe!$G$9:$G$18,I2023)+1)*100,3000)+J2023-100),IF(J2023=K2023+1,2000+INDEX(Eingabe!$G$9:$G$18,I2023)*10+1,IF(J2023=K2023+2,2000+INDEX(Eingabe!$G$9:$G$18,I2023)*10+2,2000+INDEX(Eingabe!$G$9:$G$18,I2023)*10+9))),""))</f>
        <v/>
      </c>
      <c r="C2023" s="0" t="str">
        <f aca="false">IF(I2023="","",IF(AND(J2023&gt;=1,J2023&lt;=K2023+3),"10."&amp;INDEX(Eingabe!$D$9:$D$18,I2023)&amp;"."&amp;IF(J2023&lt;=K2023,J2023,IF(J2023=K2023+1,200,IF(J2023=K2023+2,201,250)))&amp;".0/24",""))</f>
        <v/>
      </c>
      <c r="D2023" s="0" t="str">
        <f aca="false">IF(I2023="","",IF(AND(J2023&gt;=1,J2023&lt;=K2023+3),"255.255.255.0",""))</f>
        <v/>
      </c>
      <c r="E2023" s="0" t="str">
        <f aca="false">IF(I2023="","",IF(AND(J2023&gt;=1,J2023&lt;=K2023+3),"10."&amp;INDEX(Eingabe!$D$9:$D$18,I2023)&amp;"."&amp;IF(J2023&lt;=K2023,J2023,IF(J2023=K2023+1,200,IF(J2023=K2023+2,201,250)))&amp;".1",""))</f>
        <v/>
      </c>
      <c r="F2023" s="0" t="str">
        <f aca="false">IF(I2023="","",IF(AND(J2023&gt;=1,J2023&lt;=K2023+3),"10."&amp;INDEX(Eingabe!$D$9:$D$18,I2023)&amp;"."&amp;IF(J2023&lt;=K2023,J2023,IF(J2023=K2023+1,200,IF(J2023=K2023+2,201,250)))&amp;".10 – 10."&amp;INDEX(Eingabe!$D$9:$D$18,I2023)&amp;"."&amp;IF(J2023&lt;=K2023,J2023,IF(J2023=K2023+1,200,IF(J2023=K2023+2,201,250)))&amp;".250",""))</f>
        <v/>
      </c>
      <c r="G2023" s="0" t="str">
        <f aca="false">IF(I2023="","",IF(AND(J2023&gt;=1,J2023&lt;=K2023),Eingabe!$B$6&amp;"-"&amp;INDEX(Eingabe!$C$9:$C$18,I2023)&amp;"-Pächter  ·  Passwort Parzelle "&amp;J2023,IF(J2023=K2023+1,Eingabe!$B$6&amp;"-"&amp;INDEX(Eingabe!$C$9:$C$18,I2023)&amp;"-Vorstand  ·  eigenes WLAN",IF(J2023=K2023+2,Eingabe!$B$6&amp;"-"&amp;INDEX(Eingabe!$C$9:$C$18,I2023)&amp;"-Gäste  ·  Voucher",IF(J2023=K2023+3,"Kabel  ·  Access Point y = .(50+y), Mast-Switch x = .(10+x)","")))))</f>
        <v/>
      </c>
      <c r="I2023" s="0" t="str">
        <f aca="false">IF(2018&lt;=(Eingabe!$P$18+Eingabe!$Q$18-1),MATCH(2018,Eingabe!$P$9:$P$18,1),"")</f>
        <v/>
      </c>
      <c r="J2023" s="0" t="str">
        <f aca="false">IF(I2023="","",2018-INDEX(Eingabe!$P$9:$P$18,I2023))</f>
        <v/>
      </c>
      <c r="K2023" s="0" t="str">
        <f aca="false">IF(I2023="","",INDEX(Eingabe!$E$9:$E$18,I2023))</f>
        <v/>
      </c>
    </row>
    <row r="2024" customFormat="false" ht="15" hidden="false" customHeight="false" outlineLevel="0" collapsed="false">
      <c r="A2024" s="0" t="str">
        <f aca="false">IF(I2024="","",IF(J2024=0,"Sparte "&amp;I2024&amp;": "&amp;INDEX(Eingabe!$B$9:$B$18,I2024)&amp;"  (Sparten-ID "&amp;INDEX(Eingabe!$D$9:$D$18,I2024)&amp;", "&amp;K2024&amp;" Parzellen)",IF(J2024&lt;=K2024,"   Parzelle "&amp;J2024,IF(J2024=K2024+1,"   Vorstand",IF(J2024=K2024+2,"   Gäste",IF(J2024=K2024+3,"   Technik (Switches, Access Points)",""))))))</f>
        <v/>
      </c>
      <c r="B2024" s="0" t="str">
        <f aca="false">IF(I2024="","",IF(AND(J2024&gt;=1,J2024&lt;=K2024+3),IF(J2024&lt;=K2024,IF(J2024&lt;=99,IF((INDEX(Eingabe!$G$9:$G$18,I2024))&lt;=9,1000+(INDEX(Eingabe!$G$9:$G$18,I2024))*100,3000)+J2024,IF((INDEX(Eingabe!$G$9:$G$18,I2024)+1)&lt;=9,1000+(INDEX(Eingabe!$G$9:$G$18,I2024)+1)*100,3000)+J2024-100),IF(J2024=K2024+1,2000+INDEX(Eingabe!$G$9:$G$18,I2024)*10+1,IF(J2024=K2024+2,2000+INDEX(Eingabe!$G$9:$G$18,I2024)*10+2,2000+INDEX(Eingabe!$G$9:$G$18,I2024)*10+9))),""))</f>
        <v/>
      </c>
      <c r="C2024" s="0" t="str">
        <f aca="false">IF(I2024="","",IF(AND(J2024&gt;=1,J2024&lt;=K2024+3),"10."&amp;INDEX(Eingabe!$D$9:$D$18,I2024)&amp;"."&amp;IF(J2024&lt;=K2024,J2024,IF(J2024=K2024+1,200,IF(J2024=K2024+2,201,250)))&amp;".0/24",""))</f>
        <v/>
      </c>
      <c r="D2024" s="0" t="str">
        <f aca="false">IF(I2024="","",IF(AND(J2024&gt;=1,J2024&lt;=K2024+3),"255.255.255.0",""))</f>
        <v/>
      </c>
      <c r="E2024" s="0" t="str">
        <f aca="false">IF(I2024="","",IF(AND(J2024&gt;=1,J2024&lt;=K2024+3),"10."&amp;INDEX(Eingabe!$D$9:$D$18,I2024)&amp;"."&amp;IF(J2024&lt;=K2024,J2024,IF(J2024=K2024+1,200,IF(J2024=K2024+2,201,250)))&amp;".1",""))</f>
        <v/>
      </c>
      <c r="F2024" s="0" t="str">
        <f aca="false">IF(I2024="","",IF(AND(J2024&gt;=1,J2024&lt;=K2024+3),"10."&amp;INDEX(Eingabe!$D$9:$D$18,I2024)&amp;"."&amp;IF(J2024&lt;=K2024,J2024,IF(J2024=K2024+1,200,IF(J2024=K2024+2,201,250)))&amp;".10 – 10."&amp;INDEX(Eingabe!$D$9:$D$18,I2024)&amp;"."&amp;IF(J2024&lt;=K2024,J2024,IF(J2024=K2024+1,200,IF(J2024=K2024+2,201,250)))&amp;".250",""))</f>
        <v/>
      </c>
      <c r="G2024" s="0" t="str">
        <f aca="false">IF(I2024="","",IF(AND(J2024&gt;=1,J2024&lt;=K2024),Eingabe!$B$6&amp;"-"&amp;INDEX(Eingabe!$C$9:$C$18,I2024)&amp;"-Pächter  ·  Passwort Parzelle "&amp;J2024,IF(J2024=K2024+1,Eingabe!$B$6&amp;"-"&amp;INDEX(Eingabe!$C$9:$C$18,I2024)&amp;"-Vorstand  ·  eigenes WLAN",IF(J2024=K2024+2,Eingabe!$B$6&amp;"-"&amp;INDEX(Eingabe!$C$9:$C$18,I2024)&amp;"-Gäste  ·  Voucher",IF(J2024=K2024+3,"Kabel  ·  Access Point y = .(50+y), Mast-Switch x = .(10+x)","")))))</f>
        <v/>
      </c>
      <c r="I2024" s="0" t="str">
        <f aca="false">IF(2019&lt;=(Eingabe!$P$18+Eingabe!$Q$18-1),MATCH(2019,Eingabe!$P$9:$P$18,1),"")</f>
        <v/>
      </c>
      <c r="J2024" s="0" t="str">
        <f aca="false">IF(I2024="","",2019-INDEX(Eingabe!$P$9:$P$18,I2024))</f>
        <v/>
      </c>
      <c r="K2024" s="0" t="str">
        <f aca="false">IF(I2024="","",INDEX(Eingabe!$E$9:$E$18,I2024))</f>
        <v/>
      </c>
    </row>
    <row r="2025" customFormat="false" ht="15" hidden="false" customHeight="false" outlineLevel="0" collapsed="false">
      <c r="A2025" s="0" t="str">
        <f aca="false">IF(I2025="","",IF(J2025=0,"Sparte "&amp;I2025&amp;": "&amp;INDEX(Eingabe!$B$9:$B$18,I2025)&amp;"  (Sparten-ID "&amp;INDEX(Eingabe!$D$9:$D$18,I2025)&amp;", "&amp;K2025&amp;" Parzellen)",IF(J2025&lt;=K2025,"   Parzelle "&amp;J2025,IF(J2025=K2025+1,"   Vorstand",IF(J2025=K2025+2,"   Gäste",IF(J2025=K2025+3,"   Technik (Switches, Access Points)",""))))))</f>
        <v/>
      </c>
      <c r="B2025" s="0" t="str">
        <f aca="false">IF(I2025="","",IF(AND(J2025&gt;=1,J2025&lt;=K2025+3),IF(J2025&lt;=K2025,IF(J2025&lt;=99,IF((INDEX(Eingabe!$G$9:$G$18,I2025))&lt;=9,1000+(INDEX(Eingabe!$G$9:$G$18,I2025))*100,3000)+J2025,IF((INDEX(Eingabe!$G$9:$G$18,I2025)+1)&lt;=9,1000+(INDEX(Eingabe!$G$9:$G$18,I2025)+1)*100,3000)+J2025-100),IF(J2025=K2025+1,2000+INDEX(Eingabe!$G$9:$G$18,I2025)*10+1,IF(J2025=K2025+2,2000+INDEX(Eingabe!$G$9:$G$18,I2025)*10+2,2000+INDEX(Eingabe!$G$9:$G$18,I2025)*10+9))),""))</f>
        <v/>
      </c>
      <c r="C2025" s="0" t="str">
        <f aca="false">IF(I2025="","",IF(AND(J2025&gt;=1,J2025&lt;=K2025+3),"10."&amp;INDEX(Eingabe!$D$9:$D$18,I2025)&amp;"."&amp;IF(J2025&lt;=K2025,J2025,IF(J2025=K2025+1,200,IF(J2025=K2025+2,201,250)))&amp;".0/24",""))</f>
        <v/>
      </c>
      <c r="D2025" s="0" t="str">
        <f aca="false">IF(I2025="","",IF(AND(J2025&gt;=1,J2025&lt;=K2025+3),"255.255.255.0",""))</f>
        <v/>
      </c>
      <c r="E2025" s="0" t="str">
        <f aca="false">IF(I2025="","",IF(AND(J2025&gt;=1,J2025&lt;=K2025+3),"10."&amp;INDEX(Eingabe!$D$9:$D$18,I2025)&amp;"."&amp;IF(J2025&lt;=K2025,J2025,IF(J2025=K2025+1,200,IF(J2025=K2025+2,201,250)))&amp;".1",""))</f>
        <v/>
      </c>
      <c r="F2025" s="0" t="str">
        <f aca="false">IF(I2025="","",IF(AND(J2025&gt;=1,J2025&lt;=K2025+3),"10."&amp;INDEX(Eingabe!$D$9:$D$18,I2025)&amp;"."&amp;IF(J2025&lt;=K2025,J2025,IF(J2025=K2025+1,200,IF(J2025=K2025+2,201,250)))&amp;".10 – 10."&amp;INDEX(Eingabe!$D$9:$D$18,I2025)&amp;"."&amp;IF(J2025&lt;=K2025,J2025,IF(J2025=K2025+1,200,IF(J2025=K2025+2,201,250)))&amp;".250",""))</f>
        <v/>
      </c>
      <c r="G2025" s="0" t="str">
        <f aca="false">IF(I2025="","",IF(AND(J2025&gt;=1,J2025&lt;=K2025),Eingabe!$B$6&amp;"-"&amp;INDEX(Eingabe!$C$9:$C$18,I2025)&amp;"-Pächter  ·  Passwort Parzelle "&amp;J2025,IF(J2025=K2025+1,Eingabe!$B$6&amp;"-"&amp;INDEX(Eingabe!$C$9:$C$18,I2025)&amp;"-Vorstand  ·  eigenes WLAN",IF(J2025=K2025+2,Eingabe!$B$6&amp;"-"&amp;INDEX(Eingabe!$C$9:$C$18,I2025)&amp;"-Gäste  ·  Voucher",IF(J2025=K2025+3,"Kabel  ·  Access Point y = .(50+y), Mast-Switch x = .(10+x)","")))))</f>
        <v/>
      </c>
      <c r="I2025" s="0" t="str">
        <f aca="false">IF(2020&lt;=(Eingabe!$P$18+Eingabe!$Q$18-1),MATCH(2020,Eingabe!$P$9:$P$18,1),"")</f>
        <v/>
      </c>
      <c r="J2025" s="0" t="str">
        <f aca="false">IF(I2025="","",2020-INDEX(Eingabe!$P$9:$P$18,I2025))</f>
        <v/>
      </c>
      <c r="K2025" s="0" t="str">
        <f aca="false">IF(I2025="","",INDEX(Eingabe!$E$9:$E$18,I2025))</f>
        <v/>
      </c>
    </row>
    <row r="2026" customFormat="false" ht="15" hidden="false" customHeight="false" outlineLevel="0" collapsed="false">
      <c r="A2026" s="0" t="str">
        <f aca="false">IF(I2026="","",IF(J2026=0,"Sparte "&amp;I2026&amp;": "&amp;INDEX(Eingabe!$B$9:$B$18,I2026)&amp;"  (Sparten-ID "&amp;INDEX(Eingabe!$D$9:$D$18,I2026)&amp;", "&amp;K2026&amp;" Parzellen)",IF(J2026&lt;=K2026,"   Parzelle "&amp;J2026,IF(J2026=K2026+1,"   Vorstand",IF(J2026=K2026+2,"   Gäste",IF(J2026=K2026+3,"   Technik (Switches, Access Points)",""))))))</f>
        <v/>
      </c>
      <c r="B2026" s="0" t="str">
        <f aca="false">IF(I2026="","",IF(AND(J2026&gt;=1,J2026&lt;=K2026+3),IF(J2026&lt;=K2026,IF(J2026&lt;=99,IF((INDEX(Eingabe!$G$9:$G$18,I2026))&lt;=9,1000+(INDEX(Eingabe!$G$9:$G$18,I2026))*100,3000)+J2026,IF((INDEX(Eingabe!$G$9:$G$18,I2026)+1)&lt;=9,1000+(INDEX(Eingabe!$G$9:$G$18,I2026)+1)*100,3000)+J2026-100),IF(J2026=K2026+1,2000+INDEX(Eingabe!$G$9:$G$18,I2026)*10+1,IF(J2026=K2026+2,2000+INDEX(Eingabe!$G$9:$G$18,I2026)*10+2,2000+INDEX(Eingabe!$G$9:$G$18,I2026)*10+9))),""))</f>
        <v/>
      </c>
      <c r="C2026" s="0" t="str">
        <f aca="false">IF(I2026="","",IF(AND(J2026&gt;=1,J2026&lt;=K2026+3),"10."&amp;INDEX(Eingabe!$D$9:$D$18,I2026)&amp;"."&amp;IF(J2026&lt;=K2026,J2026,IF(J2026=K2026+1,200,IF(J2026=K2026+2,201,250)))&amp;".0/24",""))</f>
        <v/>
      </c>
      <c r="D2026" s="0" t="str">
        <f aca="false">IF(I2026="","",IF(AND(J2026&gt;=1,J2026&lt;=K2026+3),"255.255.255.0",""))</f>
        <v/>
      </c>
      <c r="E2026" s="0" t="str">
        <f aca="false">IF(I2026="","",IF(AND(J2026&gt;=1,J2026&lt;=K2026+3),"10."&amp;INDEX(Eingabe!$D$9:$D$18,I2026)&amp;"."&amp;IF(J2026&lt;=K2026,J2026,IF(J2026=K2026+1,200,IF(J2026=K2026+2,201,250)))&amp;".1",""))</f>
        <v/>
      </c>
      <c r="F2026" s="0" t="str">
        <f aca="false">IF(I2026="","",IF(AND(J2026&gt;=1,J2026&lt;=K2026+3),"10."&amp;INDEX(Eingabe!$D$9:$D$18,I2026)&amp;"."&amp;IF(J2026&lt;=K2026,J2026,IF(J2026=K2026+1,200,IF(J2026=K2026+2,201,250)))&amp;".10 – 10."&amp;INDEX(Eingabe!$D$9:$D$18,I2026)&amp;"."&amp;IF(J2026&lt;=K2026,J2026,IF(J2026=K2026+1,200,IF(J2026=K2026+2,201,250)))&amp;".250",""))</f>
        <v/>
      </c>
      <c r="G2026" s="0" t="str">
        <f aca="false">IF(I2026="","",IF(AND(J2026&gt;=1,J2026&lt;=K2026),Eingabe!$B$6&amp;"-"&amp;INDEX(Eingabe!$C$9:$C$18,I2026)&amp;"-Pächter  ·  Passwort Parzelle "&amp;J2026,IF(J2026=K2026+1,Eingabe!$B$6&amp;"-"&amp;INDEX(Eingabe!$C$9:$C$18,I2026)&amp;"-Vorstand  ·  eigenes WLAN",IF(J2026=K2026+2,Eingabe!$B$6&amp;"-"&amp;INDEX(Eingabe!$C$9:$C$18,I2026)&amp;"-Gäste  ·  Voucher",IF(J2026=K2026+3,"Kabel  ·  Access Point y = .(50+y), Mast-Switch x = .(10+x)","")))))</f>
        <v/>
      </c>
      <c r="I2026" s="0" t="str">
        <f aca="false">IF(2021&lt;=(Eingabe!$P$18+Eingabe!$Q$18-1),MATCH(2021,Eingabe!$P$9:$P$18,1),"")</f>
        <v/>
      </c>
      <c r="J2026" s="0" t="str">
        <f aca="false">IF(I2026="","",2021-INDEX(Eingabe!$P$9:$P$18,I2026))</f>
        <v/>
      </c>
      <c r="K2026" s="0" t="str">
        <f aca="false">IF(I2026="","",INDEX(Eingabe!$E$9:$E$18,I2026))</f>
        <v/>
      </c>
    </row>
    <row r="2027" customFormat="false" ht="15" hidden="false" customHeight="false" outlineLevel="0" collapsed="false">
      <c r="A2027" s="0" t="str">
        <f aca="false">IF(I2027="","",IF(J2027=0,"Sparte "&amp;I2027&amp;": "&amp;INDEX(Eingabe!$B$9:$B$18,I2027)&amp;"  (Sparten-ID "&amp;INDEX(Eingabe!$D$9:$D$18,I2027)&amp;", "&amp;K2027&amp;" Parzellen)",IF(J2027&lt;=K2027,"   Parzelle "&amp;J2027,IF(J2027=K2027+1,"   Vorstand",IF(J2027=K2027+2,"   Gäste",IF(J2027=K2027+3,"   Technik (Switches, Access Points)",""))))))</f>
        <v/>
      </c>
      <c r="B2027" s="0" t="str">
        <f aca="false">IF(I2027="","",IF(AND(J2027&gt;=1,J2027&lt;=K2027+3),IF(J2027&lt;=K2027,IF(J2027&lt;=99,IF((INDEX(Eingabe!$G$9:$G$18,I2027))&lt;=9,1000+(INDEX(Eingabe!$G$9:$G$18,I2027))*100,3000)+J2027,IF((INDEX(Eingabe!$G$9:$G$18,I2027)+1)&lt;=9,1000+(INDEX(Eingabe!$G$9:$G$18,I2027)+1)*100,3000)+J2027-100),IF(J2027=K2027+1,2000+INDEX(Eingabe!$G$9:$G$18,I2027)*10+1,IF(J2027=K2027+2,2000+INDEX(Eingabe!$G$9:$G$18,I2027)*10+2,2000+INDEX(Eingabe!$G$9:$G$18,I2027)*10+9))),""))</f>
        <v/>
      </c>
      <c r="C2027" s="0" t="str">
        <f aca="false">IF(I2027="","",IF(AND(J2027&gt;=1,J2027&lt;=K2027+3),"10."&amp;INDEX(Eingabe!$D$9:$D$18,I2027)&amp;"."&amp;IF(J2027&lt;=K2027,J2027,IF(J2027=K2027+1,200,IF(J2027=K2027+2,201,250)))&amp;".0/24",""))</f>
        <v/>
      </c>
      <c r="D2027" s="0" t="str">
        <f aca="false">IF(I2027="","",IF(AND(J2027&gt;=1,J2027&lt;=K2027+3),"255.255.255.0",""))</f>
        <v/>
      </c>
      <c r="E2027" s="0" t="str">
        <f aca="false">IF(I2027="","",IF(AND(J2027&gt;=1,J2027&lt;=K2027+3),"10."&amp;INDEX(Eingabe!$D$9:$D$18,I2027)&amp;"."&amp;IF(J2027&lt;=K2027,J2027,IF(J2027=K2027+1,200,IF(J2027=K2027+2,201,250)))&amp;".1",""))</f>
        <v/>
      </c>
      <c r="F2027" s="0" t="str">
        <f aca="false">IF(I2027="","",IF(AND(J2027&gt;=1,J2027&lt;=K2027+3),"10."&amp;INDEX(Eingabe!$D$9:$D$18,I2027)&amp;"."&amp;IF(J2027&lt;=K2027,J2027,IF(J2027=K2027+1,200,IF(J2027=K2027+2,201,250)))&amp;".10 – 10."&amp;INDEX(Eingabe!$D$9:$D$18,I2027)&amp;"."&amp;IF(J2027&lt;=K2027,J2027,IF(J2027=K2027+1,200,IF(J2027=K2027+2,201,250)))&amp;".250",""))</f>
        <v/>
      </c>
      <c r="G2027" s="0" t="str">
        <f aca="false">IF(I2027="","",IF(AND(J2027&gt;=1,J2027&lt;=K2027),Eingabe!$B$6&amp;"-"&amp;INDEX(Eingabe!$C$9:$C$18,I2027)&amp;"-Pächter  ·  Passwort Parzelle "&amp;J2027,IF(J2027=K2027+1,Eingabe!$B$6&amp;"-"&amp;INDEX(Eingabe!$C$9:$C$18,I2027)&amp;"-Vorstand  ·  eigenes WLAN",IF(J2027=K2027+2,Eingabe!$B$6&amp;"-"&amp;INDEX(Eingabe!$C$9:$C$18,I2027)&amp;"-Gäste  ·  Voucher",IF(J2027=K2027+3,"Kabel  ·  Access Point y = .(50+y), Mast-Switch x = .(10+x)","")))))</f>
        <v/>
      </c>
      <c r="I2027" s="0" t="str">
        <f aca="false">IF(2022&lt;=(Eingabe!$P$18+Eingabe!$Q$18-1),MATCH(2022,Eingabe!$P$9:$P$18,1),"")</f>
        <v/>
      </c>
      <c r="J2027" s="0" t="str">
        <f aca="false">IF(I2027="","",2022-INDEX(Eingabe!$P$9:$P$18,I2027))</f>
        <v/>
      </c>
      <c r="K2027" s="0" t="str">
        <f aca="false">IF(I2027="","",INDEX(Eingabe!$E$9:$E$18,I2027))</f>
        <v/>
      </c>
    </row>
    <row r="2028" customFormat="false" ht="15" hidden="false" customHeight="false" outlineLevel="0" collapsed="false">
      <c r="A2028" s="0" t="str">
        <f aca="false">IF(I2028="","",IF(J2028=0,"Sparte "&amp;I2028&amp;": "&amp;INDEX(Eingabe!$B$9:$B$18,I2028)&amp;"  (Sparten-ID "&amp;INDEX(Eingabe!$D$9:$D$18,I2028)&amp;", "&amp;K2028&amp;" Parzellen)",IF(J2028&lt;=K2028,"   Parzelle "&amp;J2028,IF(J2028=K2028+1,"   Vorstand",IF(J2028=K2028+2,"   Gäste",IF(J2028=K2028+3,"   Technik (Switches, Access Points)",""))))))</f>
        <v/>
      </c>
      <c r="B2028" s="0" t="str">
        <f aca="false">IF(I2028="","",IF(AND(J2028&gt;=1,J2028&lt;=K2028+3),IF(J2028&lt;=K2028,IF(J2028&lt;=99,IF((INDEX(Eingabe!$G$9:$G$18,I2028))&lt;=9,1000+(INDEX(Eingabe!$G$9:$G$18,I2028))*100,3000)+J2028,IF((INDEX(Eingabe!$G$9:$G$18,I2028)+1)&lt;=9,1000+(INDEX(Eingabe!$G$9:$G$18,I2028)+1)*100,3000)+J2028-100),IF(J2028=K2028+1,2000+INDEX(Eingabe!$G$9:$G$18,I2028)*10+1,IF(J2028=K2028+2,2000+INDEX(Eingabe!$G$9:$G$18,I2028)*10+2,2000+INDEX(Eingabe!$G$9:$G$18,I2028)*10+9))),""))</f>
        <v/>
      </c>
      <c r="C2028" s="0" t="str">
        <f aca="false">IF(I2028="","",IF(AND(J2028&gt;=1,J2028&lt;=K2028+3),"10."&amp;INDEX(Eingabe!$D$9:$D$18,I2028)&amp;"."&amp;IF(J2028&lt;=K2028,J2028,IF(J2028=K2028+1,200,IF(J2028=K2028+2,201,250)))&amp;".0/24",""))</f>
        <v/>
      </c>
      <c r="D2028" s="0" t="str">
        <f aca="false">IF(I2028="","",IF(AND(J2028&gt;=1,J2028&lt;=K2028+3),"255.255.255.0",""))</f>
        <v/>
      </c>
      <c r="E2028" s="0" t="str">
        <f aca="false">IF(I2028="","",IF(AND(J2028&gt;=1,J2028&lt;=K2028+3),"10."&amp;INDEX(Eingabe!$D$9:$D$18,I2028)&amp;"."&amp;IF(J2028&lt;=K2028,J2028,IF(J2028=K2028+1,200,IF(J2028=K2028+2,201,250)))&amp;".1",""))</f>
        <v/>
      </c>
      <c r="F2028" s="0" t="str">
        <f aca="false">IF(I2028="","",IF(AND(J2028&gt;=1,J2028&lt;=K2028+3),"10."&amp;INDEX(Eingabe!$D$9:$D$18,I2028)&amp;"."&amp;IF(J2028&lt;=K2028,J2028,IF(J2028=K2028+1,200,IF(J2028=K2028+2,201,250)))&amp;".10 – 10."&amp;INDEX(Eingabe!$D$9:$D$18,I2028)&amp;"."&amp;IF(J2028&lt;=K2028,J2028,IF(J2028=K2028+1,200,IF(J2028=K2028+2,201,250)))&amp;".250",""))</f>
        <v/>
      </c>
      <c r="G2028" s="0" t="str">
        <f aca="false">IF(I2028="","",IF(AND(J2028&gt;=1,J2028&lt;=K2028),Eingabe!$B$6&amp;"-"&amp;INDEX(Eingabe!$C$9:$C$18,I2028)&amp;"-Pächter  ·  Passwort Parzelle "&amp;J2028,IF(J2028=K2028+1,Eingabe!$B$6&amp;"-"&amp;INDEX(Eingabe!$C$9:$C$18,I2028)&amp;"-Vorstand  ·  eigenes WLAN",IF(J2028=K2028+2,Eingabe!$B$6&amp;"-"&amp;INDEX(Eingabe!$C$9:$C$18,I2028)&amp;"-Gäste  ·  Voucher",IF(J2028=K2028+3,"Kabel  ·  Access Point y = .(50+y), Mast-Switch x = .(10+x)","")))))</f>
        <v/>
      </c>
      <c r="I2028" s="0" t="str">
        <f aca="false">IF(2023&lt;=(Eingabe!$P$18+Eingabe!$Q$18-1),MATCH(2023,Eingabe!$P$9:$P$18,1),"")</f>
        <v/>
      </c>
      <c r="J2028" s="0" t="str">
        <f aca="false">IF(I2028="","",2023-INDEX(Eingabe!$P$9:$P$18,I2028))</f>
        <v/>
      </c>
      <c r="K2028" s="0" t="str">
        <f aca="false">IF(I2028="","",INDEX(Eingabe!$E$9:$E$18,I2028))</f>
        <v/>
      </c>
    </row>
    <row r="2029" customFormat="false" ht="15" hidden="false" customHeight="false" outlineLevel="0" collapsed="false">
      <c r="A2029" s="0" t="str">
        <f aca="false">IF(I2029="","",IF(J2029=0,"Sparte "&amp;I2029&amp;": "&amp;INDEX(Eingabe!$B$9:$B$18,I2029)&amp;"  (Sparten-ID "&amp;INDEX(Eingabe!$D$9:$D$18,I2029)&amp;", "&amp;K2029&amp;" Parzellen)",IF(J2029&lt;=K2029,"   Parzelle "&amp;J2029,IF(J2029=K2029+1,"   Vorstand",IF(J2029=K2029+2,"   Gäste",IF(J2029=K2029+3,"   Technik (Switches, Access Points)",""))))))</f>
        <v/>
      </c>
      <c r="B2029" s="0" t="str">
        <f aca="false">IF(I2029="","",IF(AND(J2029&gt;=1,J2029&lt;=K2029+3),IF(J2029&lt;=K2029,IF(J2029&lt;=99,IF((INDEX(Eingabe!$G$9:$G$18,I2029))&lt;=9,1000+(INDEX(Eingabe!$G$9:$G$18,I2029))*100,3000)+J2029,IF((INDEX(Eingabe!$G$9:$G$18,I2029)+1)&lt;=9,1000+(INDEX(Eingabe!$G$9:$G$18,I2029)+1)*100,3000)+J2029-100),IF(J2029=K2029+1,2000+INDEX(Eingabe!$G$9:$G$18,I2029)*10+1,IF(J2029=K2029+2,2000+INDEX(Eingabe!$G$9:$G$18,I2029)*10+2,2000+INDEX(Eingabe!$G$9:$G$18,I2029)*10+9))),""))</f>
        <v/>
      </c>
      <c r="C2029" s="0" t="str">
        <f aca="false">IF(I2029="","",IF(AND(J2029&gt;=1,J2029&lt;=K2029+3),"10."&amp;INDEX(Eingabe!$D$9:$D$18,I2029)&amp;"."&amp;IF(J2029&lt;=K2029,J2029,IF(J2029=K2029+1,200,IF(J2029=K2029+2,201,250)))&amp;".0/24",""))</f>
        <v/>
      </c>
      <c r="D2029" s="0" t="str">
        <f aca="false">IF(I2029="","",IF(AND(J2029&gt;=1,J2029&lt;=K2029+3),"255.255.255.0",""))</f>
        <v/>
      </c>
      <c r="E2029" s="0" t="str">
        <f aca="false">IF(I2029="","",IF(AND(J2029&gt;=1,J2029&lt;=K2029+3),"10."&amp;INDEX(Eingabe!$D$9:$D$18,I2029)&amp;"."&amp;IF(J2029&lt;=K2029,J2029,IF(J2029=K2029+1,200,IF(J2029=K2029+2,201,250)))&amp;".1",""))</f>
        <v/>
      </c>
      <c r="F2029" s="0" t="str">
        <f aca="false">IF(I2029="","",IF(AND(J2029&gt;=1,J2029&lt;=K2029+3),"10."&amp;INDEX(Eingabe!$D$9:$D$18,I2029)&amp;"."&amp;IF(J2029&lt;=K2029,J2029,IF(J2029=K2029+1,200,IF(J2029=K2029+2,201,250)))&amp;".10 – 10."&amp;INDEX(Eingabe!$D$9:$D$18,I2029)&amp;"."&amp;IF(J2029&lt;=K2029,J2029,IF(J2029=K2029+1,200,IF(J2029=K2029+2,201,250)))&amp;".250",""))</f>
        <v/>
      </c>
      <c r="G2029" s="0" t="str">
        <f aca="false">IF(I2029="","",IF(AND(J2029&gt;=1,J2029&lt;=K2029),Eingabe!$B$6&amp;"-"&amp;INDEX(Eingabe!$C$9:$C$18,I2029)&amp;"-Pächter  ·  Passwort Parzelle "&amp;J2029,IF(J2029=K2029+1,Eingabe!$B$6&amp;"-"&amp;INDEX(Eingabe!$C$9:$C$18,I2029)&amp;"-Vorstand  ·  eigenes WLAN",IF(J2029=K2029+2,Eingabe!$B$6&amp;"-"&amp;INDEX(Eingabe!$C$9:$C$18,I2029)&amp;"-Gäste  ·  Voucher",IF(J2029=K2029+3,"Kabel  ·  Access Point y = .(50+y), Mast-Switch x = .(10+x)","")))))</f>
        <v/>
      </c>
      <c r="I2029" s="0" t="str">
        <f aca="false">IF(2024&lt;=(Eingabe!$P$18+Eingabe!$Q$18-1),MATCH(2024,Eingabe!$P$9:$P$18,1),"")</f>
        <v/>
      </c>
      <c r="J2029" s="0" t="str">
        <f aca="false">IF(I2029="","",2024-INDEX(Eingabe!$P$9:$P$18,I2029))</f>
        <v/>
      </c>
      <c r="K2029" s="0" t="str">
        <f aca="false">IF(I2029="","",INDEX(Eingabe!$E$9:$E$18,I2029))</f>
        <v/>
      </c>
    </row>
    <row r="2030" customFormat="false" ht="15" hidden="false" customHeight="false" outlineLevel="0" collapsed="false">
      <c r="A2030" s="0" t="str">
        <f aca="false">IF(I2030="","",IF(J2030=0,"Sparte "&amp;I2030&amp;": "&amp;INDEX(Eingabe!$B$9:$B$18,I2030)&amp;"  (Sparten-ID "&amp;INDEX(Eingabe!$D$9:$D$18,I2030)&amp;", "&amp;K2030&amp;" Parzellen)",IF(J2030&lt;=K2030,"   Parzelle "&amp;J2030,IF(J2030=K2030+1,"   Vorstand",IF(J2030=K2030+2,"   Gäste",IF(J2030=K2030+3,"   Technik (Switches, Access Points)",""))))))</f>
        <v/>
      </c>
      <c r="B2030" s="0" t="str">
        <f aca="false">IF(I2030="","",IF(AND(J2030&gt;=1,J2030&lt;=K2030+3),IF(J2030&lt;=K2030,IF(J2030&lt;=99,IF((INDEX(Eingabe!$G$9:$G$18,I2030))&lt;=9,1000+(INDEX(Eingabe!$G$9:$G$18,I2030))*100,3000)+J2030,IF((INDEX(Eingabe!$G$9:$G$18,I2030)+1)&lt;=9,1000+(INDEX(Eingabe!$G$9:$G$18,I2030)+1)*100,3000)+J2030-100),IF(J2030=K2030+1,2000+INDEX(Eingabe!$G$9:$G$18,I2030)*10+1,IF(J2030=K2030+2,2000+INDEX(Eingabe!$G$9:$G$18,I2030)*10+2,2000+INDEX(Eingabe!$G$9:$G$18,I2030)*10+9))),""))</f>
        <v/>
      </c>
      <c r="C2030" s="0" t="str">
        <f aca="false">IF(I2030="","",IF(AND(J2030&gt;=1,J2030&lt;=K2030+3),"10."&amp;INDEX(Eingabe!$D$9:$D$18,I2030)&amp;"."&amp;IF(J2030&lt;=K2030,J2030,IF(J2030=K2030+1,200,IF(J2030=K2030+2,201,250)))&amp;".0/24",""))</f>
        <v/>
      </c>
      <c r="D2030" s="0" t="str">
        <f aca="false">IF(I2030="","",IF(AND(J2030&gt;=1,J2030&lt;=K2030+3),"255.255.255.0",""))</f>
        <v/>
      </c>
      <c r="E2030" s="0" t="str">
        <f aca="false">IF(I2030="","",IF(AND(J2030&gt;=1,J2030&lt;=K2030+3),"10."&amp;INDEX(Eingabe!$D$9:$D$18,I2030)&amp;"."&amp;IF(J2030&lt;=K2030,J2030,IF(J2030=K2030+1,200,IF(J2030=K2030+2,201,250)))&amp;".1",""))</f>
        <v/>
      </c>
      <c r="F2030" s="0" t="str">
        <f aca="false">IF(I2030="","",IF(AND(J2030&gt;=1,J2030&lt;=K2030+3),"10."&amp;INDEX(Eingabe!$D$9:$D$18,I2030)&amp;"."&amp;IF(J2030&lt;=K2030,J2030,IF(J2030=K2030+1,200,IF(J2030=K2030+2,201,250)))&amp;".10 – 10."&amp;INDEX(Eingabe!$D$9:$D$18,I2030)&amp;"."&amp;IF(J2030&lt;=K2030,J2030,IF(J2030=K2030+1,200,IF(J2030=K2030+2,201,250)))&amp;".250",""))</f>
        <v/>
      </c>
      <c r="G2030" s="0" t="str">
        <f aca="false">IF(I2030="","",IF(AND(J2030&gt;=1,J2030&lt;=K2030),Eingabe!$B$6&amp;"-"&amp;INDEX(Eingabe!$C$9:$C$18,I2030)&amp;"-Pächter  ·  Passwort Parzelle "&amp;J2030,IF(J2030=K2030+1,Eingabe!$B$6&amp;"-"&amp;INDEX(Eingabe!$C$9:$C$18,I2030)&amp;"-Vorstand  ·  eigenes WLAN",IF(J2030=K2030+2,Eingabe!$B$6&amp;"-"&amp;INDEX(Eingabe!$C$9:$C$18,I2030)&amp;"-Gäste  ·  Voucher",IF(J2030=K2030+3,"Kabel  ·  Access Point y = .(50+y), Mast-Switch x = .(10+x)","")))))</f>
        <v/>
      </c>
      <c r="I2030" s="0" t="str">
        <f aca="false">IF(2025&lt;=(Eingabe!$P$18+Eingabe!$Q$18-1),MATCH(2025,Eingabe!$P$9:$P$18,1),"")</f>
        <v/>
      </c>
      <c r="J2030" s="0" t="str">
        <f aca="false">IF(I2030="","",2025-INDEX(Eingabe!$P$9:$P$18,I2030))</f>
        <v/>
      </c>
      <c r="K2030" s="0" t="str">
        <f aca="false">IF(I2030="","",INDEX(Eingabe!$E$9:$E$18,I2030))</f>
        <v/>
      </c>
    </row>
    <row r="2031" customFormat="false" ht="15" hidden="false" customHeight="false" outlineLevel="0" collapsed="false">
      <c r="A2031" s="0" t="str">
        <f aca="false">IF(I2031="","",IF(J2031=0,"Sparte "&amp;I2031&amp;": "&amp;INDEX(Eingabe!$B$9:$B$18,I2031)&amp;"  (Sparten-ID "&amp;INDEX(Eingabe!$D$9:$D$18,I2031)&amp;", "&amp;K2031&amp;" Parzellen)",IF(J2031&lt;=K2031,"   Parzelle "&amp;J2031,IF(J2031=K2031+1,"   Vorstand",IF(J2031=K2031+2,"   Gäste",IF(J2031=K2031+3,"   Technik (Switches, Access Points)",""))))))</f>
        <v/>
      </c>
      <c r="B2031" s="0" t="str">
        <f aca="false">IF(I2031="","",IF(AND(J2031&gt;=1,J2031&lt;=K2031+3),IF(J2031&lt;=K2031,IF(J2031&lt;=99,IF((INDEX(Eingabe!$G$9:$G$18,I2031))&lt;=9,1000+(INDEX(Eingabe!$G$9:$G$18,I2031))*100,3000)+J2031,IF((INDEX(Eingabe!$G$9:$G$18,I2031)+1)&lt;=9,1000+(INDEX(Eingabe!$G$9:$G$18,I2031)+1)*100,3000)+J2031-100),IF(J2031=K2031+1,2000+INDEX(Eingabe!$G$9:$G$18,I2031)*10+1,IF(J2031=K2031+2,2000+INDEX(Eingabe!$G$9:$G$18,I2031)*10+2,2000+INDEX(Eingabe!$G$9:$G$18,I2031)*10+9))),""))</f>
        <v/>
      </c>
      <c r="C2031" s="0" t="str">
        <f aca="false">IF(I2031="","",IF(AND(J2031&gt;=1,J2031&lt;=K2031+3),"10."&amp;INDEX(Eingabe!$D$9:$D$18,I2031)&amp;"."&amp;IF(J2031&lt;=K2031,J2031,IF(J2031=K2031+1,200,IF(J2031=K2031+2,201,250)))&amp;".0/24",""))</f>
        <v/>
      </c>
      <c r="D2031" s="0" t="str">
        <f aca="false">IF(I2031="","",IF(AND(J2031&gt;=1,J2031&lt;=K2031+3),"255.255.255.0",""))</f>
        <v/>
      </c>
      <c r="E2031" s="0" t="str">
        <f aca="false">IF(I2031="","",IF(AND(J2031&gt;=1,J2031&lt;=K2031+3),"10."&amp;INDEX(Eingabe!$D$9:$D$18,I2031)&amp;"."&amp;IF(J2031&lt;=K2031,J2031,IF(J2031=K2031+1,200,IF(J2031=K2031+2,201,250)))&amp;".1",""))</f>
        <v/>
      </c>
      <c r="F2031" s="0" t="str">
        <f aca="false">IF(I2031="","",IF(AND(J2031&gt;=1,J2031&lt;=K2031+3),"10."&amp;INDEX(Eingabe!$D$9:$D$18,I2031)&amp;"."&amp;IF(J2031&lt;=K2031,J2031,IF(J2031=K2031+1,200,IF(J2031=K2031+2,201,250)))&amp;".10 – 10."&amp;INDEX(Eingabe!$D$9:$D$18,I2031)&amp;"."&amp;IF(J2031&lt;=K2031,J2031,IF(J2031=K2031+1,200,IF(J2031=K2031+2,201,250)))&amp;".250",""))</f>
        <v/>
      </c>
      <c r="G2031" s="0" t="str">
        <f aca="false">IF(I2031="","",IF(AND(J2031&gt;=1,J2031&lt;=K2031),Eingabe!$B$6&amp;"-"&amp;INDEX(Eingabe!$C$9:$C$18,I2031)&amp;"-Pächter  ·  Passwort Parzelle "&amp;J2031,IF(J2031=K2031+1,Eingabe!$B$6&amp;"-"&amp;INDEX(Eingabe!$C$9:$C$18,I2031)&amp;"-Vorstand  ·  eigenes WLAN",IF(J2031=K2031+2,Eingabe!$B$6&amp;"-"&amp;INDEX(Eingabe!$C$9:$C$18,I2031)&amp;"-Gäste  ·  Voucher",IF(J2031=K2031+3,"Kabel  ·  Access Point y = .(50+y), Mast-Switch x = .(10+x)","")))))</f>
        <v/>
      </c>
      <c r="I2031" s="0" t="str">
        <f aca="false">IF(2026&lt;=(Eingabe!$P$18+Eingabe!$Q$18-1),MATCH(2026,Eingabe!$P$9:$P$18,1),"")</f>
        <v/>
      </c>
      <c r="J2031" s="0" t="str">
        <f aca="false">IF(I2031="","",2026-INDEX(Eingabe!$P$9:$P$18,I2031))</f>
        <v/>
      </c>
      <c r="K2031" s="0" t="str">
        <f aca="false">IF(I2031="","",INDEX(Eingabe!$E$9:$E$18,I2031))</f>
        <v/>
      </c>
    </row>
    <row r="2032" customFormat="false" ht="15" hidden="false" customHeight="false" outlineLevel="0" collapsed="false">
      <c r="A2032" s="0" t="str">
        <f aca="false">IF(I2032="","",IF(J2032=0,"Sparte "&amp;I2032&amp;": "&amp;INDEX(Eingabe!$B$9:$B$18,I2032)&amp;"  (Sparten-ID "&amp;INDEX(Eingabe!$D$9:$D$18,I2032)&amp;", "&amp;K2032&amp;" Parzellen)",IF(J2032&lt;=K2032,"   Parzelle "&amp;J2032,IF(J2032=K2032+1,"   Vorstand",IF(J2032=K2032+2,"   Gäste",IF(J2032=K2032+3,"   Technik (Switches, Access Points)",""))))))</f>
        <v/>
      </c>
      <c r="B2032" s="0" t="str">
        <f aca="false">IF(I2032="","",IF(AND(J2032&gt;=1,J2032&lt;=K2032+3),IF(J2032&lt;=K2032,IF(J2032&lt;=99,IF((INDEX(Eingabe!$G$9:$G$18,I2032))&lt;=9,1000+(INDEX(Eingabe!$G$9:$G$18,I2032))*100,3000)+J2032,IF((INDEX(Eingabe!$G$9:$G$18,I2032)+1)&lt;=9,1000+(INDEX(Eingabe!$G$9:$G$18,I2032)+1)*100,3000)+J2032-100),IF(J2032=K2032+1,2000+INDEX(Eingabe!$G$9:$G$18,I2032)*10+1,IF(J2032=K2032+2,2000+INDEX(Eingabe!$G$9:$G$18,I2032)*10+2,2000+INDEX(Eingabe!$G$9:$G$18,I2032)*10+9))),""))</f>
        <v/>
      </c>
      <c r="C2032" s="0" t="str">
        <f aca="false">IF(I2032="","",IF(AND(J2032&gt;=1,J2032&lt;=K2032+3),"10."&amp;INDEX(Eingabe!$D$9:$D$18,I2032)&amp;"."&amp;IF(J2032&lt;=K2032,J2032,IF(J2032=K2032+1,200,IF(J2032=K2032+2,201,250)))&amp;".0/24",""))</f>
        <v/>
      </c>
      <c r="D2032" s="0" t="str">
        <f aca="false">IF(I2032="","",IF(AND(J2032&gt;=1,J2032&lt;=K2032+3),"255.255.255.0",""))</f>
        <v/>
      </c>
      <c r="E2032" s="0" t="str">
        <f aca="false">IF(I2032="","",IF(AND(J2032&gt;=1,J2032&lt;=K2032+3),"10."&amp;INDEX(Eingabe!$D$9:$D$18,I2032)&amp;"."&amp;IF(J2032&lt;=K2032,J2032,IF(J2032=K2032+1,200,IF(J2032=K2032+2,201,250)))&amp;".1",""))</f>
        <v/>
      </c>
      <c r="F2032" s="0" t="str">
        <f aca="false">IF(I2032="","",IF(AND(J2032&gt;=1,J2032&lt;=K2032+3),"10."&amp;INDEX(Eingabe!$D$9:$D$18,I2032)&amp;"."&amp;IF(J2032&lt;=K2032,J2032,IF(J2032=K2032+1,200,IF(J2032=K2032+2,201,250)))&amp;".10 – 10."&amp;INDEX(Eingabe!$D$9:$D$18,I2032)&amp;"."&amp;IF(J2032&lt;=K2032,J2032,IF(J2032=K2032+1,200,IF(J2032=K2032+2,201,250)))&amp;".250",""))</f>
        <v/>
      </c>
      <c r="G2032" s="0" t="str">
        <f aca="false">IF(I2032="","",IF(AND(J2032&gt;=1,J2032&lt;=K2032),Eingabe!$B$6&amp;"-"&amp;INDEX(Eingabe!$C$9:$C$18,I2032)&amp;"-Pächter  ·  Passwort Parzelle "&amp;J2032,IF(J2032=K2032+1,Eingabe!$B$6&amp;"-"&amp;INDEX(Eingabe!$C$9:$C$18,I2032)&amp;"-Vorstand  ·  eigenes WLAN",IF(J2032=K2032+2,Eingabe!$B$6&amp;"-"&amp;INDEX(Eingabe!$C$9:$C$18,I2032)&amp;"-Gäste  ·  Voucher",IF(J2032=K2032+3,"Kabel  ·  Access Point y = .(50+y), Mast-Switch x = .(10+x)","")))))</f>
        <v/>
      </c>
      <c r="I2032" s="0" t="str">
        <f aca="false">IF(2027&lt;=(Eingabe!$P$18+Eingabe!$Q$18-1),MATCH(2027,Eingabe!$P$9:$P$18,1),"")</f>
        <v/>
      </c>
      <c r="J2032" s="0" t="str">
        <f aca="false">IF(I2032="","",2027-INDEX(Eingabe!$P$9:$P$18,I2032))</f>
        <v/>
      </c>
      <c r="K2032" s="0" t="str">
        <f aca="false">IF(I2032="","",INDEX(Eingabe!$E$9:$E$18,I2032))</f>
        <v/>
      </c>
    </row>
    <row r="2033" customFormat="false" ht="15" hidden="false" customHeight="false" outlineLevel="0" collapsed="false">
      <c r="A2033" s="0" t="str">
        <f aca="false">IF(I2033="","",IF(J2033=0,"Sparte "&amp;I2033&amp;": "&amp;INDEX(Eingabe!$B$9:$B$18,I2033)&amp;"  (Sparten-ID "&amp;INDEX(Eingabe!$D$9:$D$18,I2033)&amp;", "&amp;K2033&amp;" Parzellen)",IF(J2033&lt;=K2033,"   Parzelle "&amp;J2033,IF(J2033=K2033+1,"   Vorstand",IF(J2033=K2033+2,"   Gäste",IF(J2033=K2033+3,"   Technik (Switches, Access Points)",""))))))</f>
        <v/>
      </c>
      <c r="B2033" s="0" t="str">
        <f aca="false">IF(I2033="","",IF(AND(J2033&gt;=1,J2033&lt;=K2033+3),IF(J2033&lt;=K2033,IF(J2033&lt;=99,IF((INDEX(Eingabe!$G$9:$G$18,I2033))&lt;=9,1000+(INDEX(Eingabe!$G$9:$G$18,I2033))*100,3000)+J2033,IF((INDEX(Eingabe!$G$9:$G$18,I2033)+1)&lt;=9,1000+(INDEX(Eingabe!$G$9:$G$18,I2033)+1)*100,3000)+J2033-100),IF(J2033=K2033+1,2000+INDEX(Eingabe!$G$9:$G$18,I2033)*10+1,IF(J2033=K2033+2,2000+INDEX(Eingabe!$G$9:$G$18,I2033)*10+2,2000+INDEX(Eingabe!$G$9:$G$18,I2033)*10+9))),""))</f>
        <v/>
      </c>
      <c r="C2033" s="0" t="str">
        <f aca="false">IF(I2033="","",IF(AND(J2033&gt;=1,J2033&lt;=K2033+3),"10."&amp;INDEX(Eingabe!$D$9:$D$18,I2033)&amp;"."&amp;IF(J2033&lt;=K2033,J2033,IF(J2033=K2033+1,200,IF(J2033=K2033+2,201,250)))&amp;".0/24",""))</f>
        <v/>
      </c>
      <c r="D2033" s="0" t="str">
        <f aca="false">IF(I2033="","",IF(AND(J2033&gt;=1,J2033&lt;=K2033+3),"255.255.255.0",""))</f>
        <v/>
      </c>
      <c r="E2033" s="0" t="str">
        <f aca="false">IF(I2033="","",IF(AND(J2033&gt;=1,J2033&lt;=K2033+3),"10."&amp;INDEX(Eingabe!$D$9:$D$18,I2033)&amp;"."&amp;IF(J2033&lt;=K2033,J2033,IF(J2033=K2033+1,200,IF(J2033=K2033+2,201,250)))&amp;".1",""))</f>
        <v/>
      </c>
      <c r="F2033" s="0" t="str">
        <f aca="false">IF(I2033="","",IF(AND(J2033&gt;=1,J2033&lt;=K2033+3),"10."&amp;INDEX(Eingabe!$D$9:$D$18,I2033)&amp;"."&amp;IF(J2033&lt;=K2033,J2033,IF(J2033=K2033+1,200,IF(J2033=K2033+2,201,250)))&amp;".10 – 10."&amp;INDEX(Eingabe!$D$9:$D$18,I2033)&amp;"."&amp;IF(J2033&lt;=K2033,J2033,IF(J2033=K2033+1,200,IF(J2033=K2033+2,201,250)))&amp;".250",""))</f>
        <v/>
      </c>
      <c r="G2033" s="0" t="str">
        <f aca="false">IF(I2033="","",IF(AND(J2033&gt;=1,J2033&lt;=K2033),Eingabe!$B$6&amp;"-"&amp;INDEX(Eingabe!$C$9:$C$18,I2033)&amp;"-Pächter  ·  Passwort Parzelle "&amp;J2033,IF(J2033=K2033+1,Eingabe!$B$6&amp;"-"&amp;INDEX(Eingabe!$C$9:$C$18,I2033)&amp;"-Vorstand  ·  eigenes WLAN",IF(J2033=K2033+2,Eingabe!$B$6&amp;"-"&amp;INDEX(Eingabe!$C$9:$C$18,I2033)&amp;"-Gäste  ·  Voucher",IF(J2033=K2033+3,"Kabel  ·  Access Point y = .(50+y), Mast-Switch x = .(10+x)","")))))</f>
        <v/>
      </c>
      <c r="I2033" s="0" t="str">
        <f aca="false">IF(2028&lt;=(Eingabe!$P$18+Eingabe!$Q$18-1),MATCH(2028,Eingabe!$P$9:$P$18,1),"")</f>
        <v/>
      </c>
      <c r="J2033" s="0" t="str">
        <f aca="false">IF(I2033="","",2028-INDEX(Eingabe!$P$9:$P$18,I2033))</f>
        <v/>
      </c>
      <c r="K2033" s="0" t="str">
        <f aca="false">IF(I2033="","",INDEX(Eingabe!$E$9:$E$18,I2033))</f>
        <v/>
      </c>
    </row>
    <row r="2034" customFormat="false" ht="15" hidden="false" customHeight="false" outlineLevel="0" collapsed="false">
      <c r="A2034" s="0" t="str">
        <f aca="false">IF(I2034="","",IF(J2034=0,"Sparte "&amp;I2034&amp;": "&amp;INDEX(Eingabe!$B$9:$B$18,I2034)&amp;"  (Sparten-ID "&amp;INDEX(Eingabe!$D$9:$D$18,I2034)&amp;", "&amp;K2034&amp;" Parzellen)",IF(J2034&lt;=K2034,"   Parzelle "&amp;J2034,IF(J2034=K2034+1,"   Vorstand",IF(J2034=K2034+2,"   Gäste",IF(J2034=K2034+3,"   Technik (Switches, Access Points)",""))))))</f>
        <v/>
      </c>
      <c r="B2034" s="0" t="str">
        <f aca="false">IF(I2034="","",IF(AND(J2034&gt;=1,J2034&lt;=K2034+3),IF(J2034&lt;=K2034,IF(J2034&lt;=99,IF((INDEX(Eingabe!$G$9:$G$18,I2034))&lt;=9,1000+(INDEX(Eingabe!$G$9:$G$18,I2034))*100,3000)+J2034,IF((INDEX(Eingabe!$G$9:$G$18,I2034)+1)&lt;=9,1000+(INDEX(Eingabe!$G$9:$G$18,I2034)+1)*100,3000)+J2034-100),IF(J2034=K2034+1,2000+INDEX(Eingabe!$G$9:$G$18,I2034)*10+1,IF(J2034=K2034+2,2000+INDEX(Eingabe!$G$9:$G$18,I2034)*10+2,2000+INDEX(Eingabe!$G$9:$G$18,I2034)*10+9))),""))</f>
        <v/>
      </c>
      <c r="C2034" s="0" t="str">
        <f aca="false">IF(I2034="","",IF(AND(J2034&gt;=1,J2034&lt;=K2034+3),"10."&amp;INDEX(Eingabe!$D$9:$D$18,I2034)&amp;"."&amp;IF(J2034&lt;=K2034,J2034,IF(J2034=K2034+1,200,IF(J2034=K2034+2,201,250)))&amp;".0/24",""))</f>
        <v/>
      </c>
      <c r="D2034" s="0" t="str">
        <f aca="false">IF(I2034="","",IF(AND(J2034&gt;=1,J2034&lt;=K2034+3),"255.255.255.0",""))</f>
        <v/>
      </c>
      <c r="E2034" s="0" t="str">
        <f aca="false">IF(I2034="","",IF(AND(J2034&gt;=1,J2034&lt;=K2034+3),"10."&amp;INDEX(Eingabe!$D$9:$D$18,I2034)&amp;"."&amp;IF(J2034&lt;=K2034,J2034,IF(J2034=K2034+1,200,IF(J2034=K2034+2,201,250)))&amp;".1",""))</f>
        <v/>
      </c>
      <c r="F2034" s="0" t="str">
        <f aca="false">IF(I2034="","",IF(AND(J2034&gt;=1,J2034&lt;=K2034+3),"10."&amp;INDEX(Eingabe!$D$9:$D$18,I2034)&amp;"."&amp;IF(J2034&lt;=K2034,J2034,IF(J2034=K2034+1,200,IF(J2034=K2034+2,201,250)))&amp;".10 – 10."&amp;INDEX(Eingabe!$D$9:$D$18,I2034)&amp;"."&amp;IF(J2034&lt;=K2034,J2034,IF(J2034=K2034+1,200,IF(J2034=K2034+2,201,250)))&amp;".250",""))</f>
        <v/>
      </c>
      <c r="G2034" s="0" t="str">
        <f aca="false">IF(I2034="","",IF(AND(J2034&gt;=1,J2034&lt;=K2034),Eingabe!$B$6&amp;"-"&amp;INDEX(Eingabe!$C$9:$C$18,I2034)&amp;"-Pächter  ·  Passwort Parzelle "&amp;J2034,IF(J2034=K2034+1,Eingabe!$B$6&amp;"-"&amp;INDEX(Eingabe!$C$9:$C$18,I2034)&amp;"-Vorstand  ·  eigenes WLAN",IF(J2034=K2034+2,Eingabe!$B$6&amp;"-"&amp;INDEX(Eingabe!$C$9:$C$18,I2034)&amp;"-Gäste  ·  Voucher",IF(J2034=K2034+3,"Kabel  ·  Access Point y = .(50+y), Mast-Switch x = .(10+x)","")))))</f>
        <v/>
      </c>
      <c r="I2034" s="0" t="str">
        <f aca="false">IF(2029&lt;=(Eingabe!$P$18+Eingabe!$Q$18-1),MATCH(2029,Eingabe!$P$9:$P$18,1),"")</f>
        <v/>
      </c>
      <c r="J2034" s="0" t="str">
        <f aca="false">IF(I2034="","",2029-INDEX(Eingabe!$P$9:$P$18,I2034))</f>
        <v/>
      </c>
      <c r="K2034" s="0" t="str">
        <f aca="false">IF(I2034="","",INDEX(Eingabe!$E$9:$E$18,I2034))</f>
        <v/>
      </c>
    </row>
    <row r="2035" customFormat="false" ht="15" hidden="false" customHeight="false" outlineLevel="0" collapsed="false">
      <c r="A2035" s="0" t="str">
        <f aca="false">IF(I2035="","",IF(J2035=0,"Sparte "&amp;I2035&amp;": "&amp;INDEX(Eingabe!$B$9:$B$18,I2035)&amp;"  (Sparten-ID "&amp;INDEX(Eingabe!$D$9:$D$18,I2035)&amp;", "&amp;K2035&amp;" Parzellen)",IF(J2035&lt;=K2035,"   Parzelle "&amp;J2035,IF(J2035=K2035+1,"   Vorstand",IF(J2035=K2035+2,"   Gäste",IF(J2035=K2035+3,"   Technik (Switches, Access Points)",""))))))</f>
        <v/>
      </c>
      <c r="B2035" s="0" t="str">
        <f aca="false">IF(I2035="","",IF(AND(J2035&gt;=1,J2035&lt;=K2035+3),IF(J2035&lt;=K2035,IF(J2035&lt;=99,IF((INDEX(Eingabe!$G$9:$G$18,I2035))&lt;=9,1000+(INDEX(Eingabe!$G$9:$G$18,I2035))*100,3000)+J2035,IF((INDEX(Eingabe!$G$9:$G$18,I2035)+1)&lt;=9,1000+(INDEX(Eingabe!$G$9:$G$18,I2035)+1)*100,3000)+J2035-100),IF(J2035=K2035+1,2000+INDEX(Eingabe!$G$9:$G$18,I2035)*10+1,IF(J2035=K2035+2,2000+INDEX(Eingabe!$G$9:$G$18,I2035)*10+2,2000+INDEX(Eingabe!$G$9:$G$18,I2035)*10+9))),""))</f>
        <v/>
      </c>
      <c r="C2035" s="0" t="str">
        <f aca="false">IF(I2035="","",IF(AND(J2035&gt;=1,J2035&lt;=K2035+3),"10."&amp;INDEX(Eingabe!$D$9:$D$18,I2035)&amp;"."&amp;IF(J2035&lt;=K2035,J2035,IF(J2035=K2035+1,200,IF(J2035=K2035+2,201,250)))&amp;".0/24",""))</f>
        <v/>
      </c>
      <c r="D2035" s="0" t="str">
        <f aca="false">IF(I2035="","",IF(AND(J2035&gt;=1,J2035&lt;=K2035+3),"255.255.255.0",""))</f>
        <v/>
      </c>
      <c r="E2035" s="0" t="str">
        <f aca="false">IF(I2035="","",IF(AND(J2035&gt;=1,J2035&lt;=K2035+3),"10."&amp;INDEX(Eingabe!$D$9:$D$18,I2035)&amp;"."&amp;IF(J2035&lt;=K2035,J2035,IF(J2035=K2035+1,200,IF(J2035=K2035+2,201,250)))&amp;".1",""))</f>
        <v/>
      </c>
      <c r="F2035" s="0" t="str">
        <f aca="false">IF(I2035="","",IF(AND(J2035&gt;=1,J2035&lt;=K2035+3),"10."&amp;INDEX(Eingabe!$D$9:$D$18,I2035)&amp;"."&amp;IF(J2035&lt;=K2035,J2035,IF(J2035=K2035+1,200,IF(J2035=K2035+2,201,250)))&amp;".10 – 10."&amp;INDEX(Eingabe!$D$9:$D$18,I2035)&amp;"."&amp;IF(J2035&lt;=K2035,J2035,IF(J2035=K2035+1,200,IF(J2035=K2035+2,201,250)))&amp;".250",""))</f>
        <v/>
      </c>
      <c r="G2035" s="0" t="str">
        <f aca="false">IF(I2035="","",IF(AND(J2035&gt;=1,J2035&lt;=K2035),Eingabe!$B$6&amp;"-"&amp;INDEX(Eingabe!$C$9:$C$18,I2035)&amp;"-Pächter  ·  Passwort Parzelle "&amp;J2035,IF(J2035=K2035+1,Eingabe!$B$6&amp;"-"&amp;INDEX(Eingabe!$C$9:$C$18,I2035)&amp;"-Vorstand  ·  eigenes WLAN",IF(J2035=K2035+2,Eingabe!$B$6&amp;"-"&amp;INDEX(Eingabe!$C$9:$C$18,I2035)&amp;"-Gäste  ·  Voucher",IF(J2035=K2035+3,"Kabel  ·  Access Point y = .(50+y), Mast-Switch x = .(10+x)","")))))</f>
        <v/>
      </c>
      <c r="I2035" s="0" t="str">
        <f aca="false">IF(2030&lt;=(Eingabe!$P$18+Eingabe!$Q$18-1),MATCH(2030,Eingabe!$P$9:$P$18,1),"")</f>
        <v/>
      </c>
      <c r="J2035" s="0" t="str">
        <f aca="false">IF(I2035="","",2030-INDEX(Eingabe!$P$9:$P$18,I2035))</f>
        <v/>
      </c>
      <c r="K2035" s="0" t="str">
        <f aca="false">IF(I2035="","",INDEX(Eingabe!$E$9:$E$18,I2035))</f>
        <v/>
      </c>
    </row>
    <row r="2036" customFormat="false" ht="15" hidden="false" customHeight="false" outlineLevel="0" collapsed="false">
      <c r="A2036" s="0" t="str">
        <f aca="false">IF(I2036="","",IF(J2036=0,"Sparte "&amp;I2036&amp;": "&amp;INDEX(Eingabe!$B$9:$B$18,I2036)&amp;"  (Sparten-ID "&amp;INDEX(Eingabe!$D$9:$D$18,I2036)&amp;", "&amp;K2036&amp;" Parzellen)",IF(J2036&lt;=K2036,"   Parzelle "&amp;J2036,IF(J2036=K2036+1,"   Vorstand",IF(J2036=K2036+2,"   Gäste",IF(J2036=K2036+3,"   Technik (Switches, Access Points)",""))))))</f>
        <v/>
      </c>
      <c r="B2036" s="0" t="str">
        <f aca="false">IF(I2036="","",IF(AND(J2036&gt;=1,J2036&lt;=K2036+3),IF(J2036&lt;=K2036,IF(J2036&lt;=99,IF((INDEX(Eingabe!$G$9:$G$18,I2036))&lt;=9,1000+(INDEX(Eingabe!$G$9:$G$18,I2036))*100,3000)+J2036,IF((INDEX(Eingabe!$G$9:$G$18,I2036)+1)&lt;=9,1000+(INDEX(Eingabe!$G$9:$G$18,I2036)+1)*100,3000)+J2036-100),IF(J2036=K2036+1,2000+INDEX(Eingabe!$G$9:$G$18,I2036)*10+1,IF(J2036=K2036+2,2000+INDEX(Eingabe!$G$9:$G$18,I2036)*10+2,2000+INDEX(Eingabe!$G$9:$G$18,I2036)*10+9))),""))</f>
        <v/>
      </c>
      <c r="C2036" s="0" t="str">
        <f aca="false">IF(I2036="","",IF(AND(J2036&gt;=1,J2036&lt;=K2036+3),"10."&amp;INDEX(Eingabe!$D$9:$D$18,I2036)&amp;"."&amp;IF(J2036&lt;=K2036,J2036,IF(J2036=K2036+1,200,IF(J2036=K2036+2,201,250)))&amp;".0/24",""))</f>
        <v/>
      </c>
      <c r="D2036" s="0" t="str">
        <f aca="false">IF(I2036="","",IF(AND(J2036&gt;=1,J2036&lt;=K2036+3),"255.255.255.0",""))</f>
        <v/>
      </c>
      <c r="E2036" s="0" t="str">
        <f aca="false">IF(I2036="","",IF(AND(J2036&gt;=1,J2036&lt;=K2036+3),"10."&amp;INDEX(Eingabe!$D$9:$D$18,I2036)&amp;"."&amp;IF(J2036&lt;=K2036,J2036,IF(J2036=K2036+1,200,IF(J2036=K2036+2,201,250)))&amp;".1",""))</f>
        <v/>
      </c>
      <c r="F2036" s="0" t="str">
        <f aca="false">IF(I2036="","",IF(AND(J2036&gt;=1,J2036&lt;=K2036+3),"10."&amp;INDEX(Eingabe!$D$9:$D$18,I2036)&amp;"."&amp;IF(J2036&lt;=K2036,J2036,IF(J2036=K2036+1,200,IF(J2036=K2036+2,201,250)))&amp;".10 – 10."&amp;INDEX(Eingabe!$D$9:$D$18,I2036)&amp;"."&amp;IF(J2036&lt;=K2036,J2036,IF(J2036=K2036+1,200,IF(J2036=K2036+2,201,250)))&amp;".250",""))</f>
        <v/>
      </c>
      <c r="G2036" s="0" t="str">
        <f aca="false">IF(I2036="","",IF(AND(J2036&gt;=1,J2036&lt;=K2036),Eingabe!$B$6&amp;"-"&amp;INDEX(Eingabe!$C$9:$C$18,I2036)&amp;"-Pächter  ·  Passwort Parzelle "&amp;J2036,IF(J2036=K2036+1,Eingabe!$B$6&amp;"-"&amp;INDEX(Eingabe!$C$9:$C$18,I2036)&amp;"-Vorstand  ·  eigenes WLAN",IF(J2036=K2036+2,Eingabe!$B$6&amp;"-"&amp;INDEX(Eingabe!$C$9:$C$18,I2036)&amp;"-Gäste  ·  Voucher",IF(J2036=K2036+3,"Kabel  ·  Access Point y = .(50+y), Mast-Switch x = .(10+x)","")))))</f>
        <v/>
      </c>
      <c r="I2036" s="0" t="str">
        <f aca="false">IF(2031&lt;=(Eingabe!$P$18+Eingabe!$Q$18-1),MATCH(2031,Eingabe!$P$9:$P$18,1),"")</f>
        <v/>
      </c>
      <c r="J2036" s="0" t="str">
        <f aca="false">IF(I2036="","",2031-INDEX(Eingabe!$P$9:$P$18,I2036))</f>
        <v/>
      </c>
      <c r="K2036" s="0" t="str">
        <f aca="false">IF(I2036="","",INDEX(Eingabe!$E$9:$E$18,I2036))</f>
        <v/>
      </c>
    </row>
    <row r="2037" customFormat="false" ht="15" hidden="false" customHeight="false" outlineLevel="0" collapsed="false">
      <c r="A2037" s="0" t="str">
        <f aca="false">IF(I2037="","",IF(J2037=0,"Sparte "&amp;I2037&amp;": "&amp;INDEX(Eingabe!$B$9:$B$18,I2037)&amp;"  (Sparten-ID "&amp;INDEX(Eingabe!$D$9:$D$18,I2037)&amp;", "&amp;K2037&amp;" Parzellen)",IF(J2037&lt;=K2037,"   Parzelle "&amp;J2037,IF(J2037=K2037+1,"   Vorstand",IF(J2037=K2037+2,"   Gäste",IF(J2037=K2037+3,"   Technik (Switches, Access Points)",""))))))</f>
        <v/>
      </c>
      <c r="B2037" s="0" t="str">
        <f aca="false">IF(I2037="","",IF(AND(J2037&gt;=1,J2037&lt;=K2037+3),IF(J2037&lt;=K2037,IF(J2037&lt;=99,IF((INDEX(Eingabe!$G$9:$G$18,I2037))&lt;=9,1000+(INDEX(Eingabe!$G$9:$G$18,I2037))*100,3000)+J2037,IF((INDEX(Eingabe!$G$9:$G$18,I2037)+1)&lt;=9,1000+(INDEX(Eingabe!$G$9:$G$18,I2037)+1)*100,3000)+J2037-100),IF(J2037=K2037+1,2000+INDEX(Eingabe!$G$9:$G$18,I2037)*10+1,IF(J2037=K2037+2,2000+INDEX(Eingabe!$G$9:$G$18,I2037)*10+2,2000+INDEX(Eingabe!$G$9:$G$18,I2037)*10+9))),""))</f>
        <v/>
      </c>
      <c r="C2037" s="0" t="str">
        <f aca="false">IF(I2037="","",IF(AND(J2037&gt;=1,J2037&lt;=K2037+3),"10."&amp;INDEX(Eingabe!$D$9:$D$18,I2037)&amp;"."&amp;IF(J2037&lt;=K2037,J2037,IF(J2037=K2037+1,200,IF(J2037=K2037+2,201,250)))&amp;".0/24",""))</f>
        <v/>
      </c>
      <c r="D2037" s="0" t="str">
        <f aca="false">IF(I2037="","",IF(AND(J2037&gt;=1,J2037&lt;=K2037+3),"255.255.255.0",""))</f>
        <v/>
      </c>
      <c r="E2037" s="0" t="str">
        <f aca="false">IF(I2037="","",IF(AND(J2037&gt;=1,J2037&lt;=K2037+3),"10."&amp;INDEX(Eingabe!$D$9:$D$18,I2037)&amp;"."&amp;IF(J2037&lt;=K2037,J2037,IF(J2037=K2037+1,200,IF(J2037=K2037+2,201,250)))&amp;".1",""))</f>
        <v/>
      </c>
      <c r="F2037" s="0" t="str">
        <f aca="false">IF(I2037="","",IF(AND(J2037&gt;=1,J2037&lt;=K2037+3),"10."&amp;INDEX(Eingabe!$D$9:$D$18,I2037)&amp;"."&amp;IF(J2037&lt;=K2037,J2037,IF(J2037=K2037+1,200,IF(J2037=K2037+2,201,250)))&amp;".10 – 10."&amp;INDEX(Eingabe!$D$9:$D$18,I2037)&amp;"."&amp;IF(J2037&lt;=K2037,J2037,IF(J2037=K2037+1,200,IF(J2037=K2037+2,201,250)))&amp;".250",""))</f>
        <v/>
      </c>
      <c r="G2037" s="0" t="str">
        <f aca="false">IF(I2037="","",IF(AND(J2037&gt;=1,J2037&lt;=K2037),Eingabe!$B$6&amp;"-"&amp;INDEX(Eingabe!$C$9:$C$18,I2037)&amp;"-Pächter  ·  Passwort Parzelle "&amp;J2037,IF(J2037=K2037+1,Eingabe!$B$6&amp;"-"&amp;INDEX(Eingabe!$C$9:$C$18,I2037)&amp;"-Vorstand  ·  eigenes WLAN",IF(J2037=K2037+2,Eingabe!$B$6&amp;"-"&amp;INDEX(Eingabe!$C$9:$C$18,I2037)&amp;"-Gäste  ·  Voucher",IF(J2037=K2037+3,"Kabel  ·  Access Point y = .(50+y), Mast-Switch x = .(10+x)","")))))</f>
        <v/>
      </c>
      <c r="I2037" s="0" t="str">
        <f aca="false">IF(2032&lt;=(Eingabe!$P$18+Eingabe!$Q$18-1),MATCH(2032,Eingabe!$P$9:$P$18,1),"")</f>
        <v/>
      </c>
      <c r="J2037" s="0" t="str">
        <f aca="false">IF(I2037="","",2032-INDEX(Eingabe!$P$9:$P$18,I2037))</f>
        <v/>
      </c>
      <c r="K2037" s="0" t="str">
        <f aca="false">IF(I2037="","",INDEX(Eingabe!$E$9:$E$18,I2037))</f>
        <v/>
      </c>
    </row>
    <row r="2038" customFormat="false" ht="15" hidden="false" customHeight="false" outlineLevel="0" collapsed="false">
      <c r="A2038" s="0" t="str">
        <f aca="false">IF(I2038="","",IF(J2038=0,"Sparte "&amp;I2038&amp;": "&amp;INDEX(Eingabe!$B$9:$B$18,I2038)&amp;"  (Sparten-ID "&amp;INDEX(Eingabe!$D$9:$D$18,I2038)&amp;", "&amp;K2038&amp;" Parzellen)",IF(J2038&lt;=K2038,"   Parzelle "&amp;J2038,IF(J2038=K2038+1,"   Vorstand",IF(J2038=K2038+2,"   Gäste",IF(J2038=K2038+3,"   Technik (Switches, Access Points)",""))))))</f>
        <v/>
      </c>
      <c r="B2038" s="0" t="str">
        <f aca="false">IF(I2038="","",IF(AND(J2038&gt;=1,J2038&lt;=K2038+3),IF(J2038&lt;=K2038,IF(J2038&lt;=99,IF((INDEX(Eingabe!$G$9:$G$18,I2038))&lt;=9,1000+(INDEX(Eingabe!$G$9:$G$18,I2038))*100,3000)+J2038,IF((INDEX(Eingabe!$G$9:$G$18,I2038)+1)&lt;=9,1000+(INDEX(Eingabe!$G$9:$G$18,I2038)+1)*100,3000)+J2038-100),IF(J2038=K2038+1,2000+INDEX(Eingabe!$G$9:$G$18,I2038)*10+1,IF(J2038=K2038+2,2000+INDEX(Eingabe!$G$9:$G$18,I2038)*10+2,2000+INDEX(Eingabe!$G$9:$G$18,I2038)*10+9))),""))</f>
        <v/>
      </c>
      <c r="C2038" s="0" t="str">
        <f aca="false">IF(I2038="","",IF(AND(J2038&gt;=1,J2038&lt;=K2038+3),"10."&amp;INDEX(Eingabe!$D$9:$D$18,I2038)&amp;"."&amp;IF(J2038&lt;=K2038,J2038,IF(J2038=K2038+1,200,IF(J2038=K2038+2,201,250)))&amp;".0/24",""))</f>
        <v/>
      </c>
      <c r="D2038" s="0" t="str">
        <f aca="false">IF(I2038="","",IF(AND(J2038&gt;=1,J2038&lt;=K2038+3),"255.255.255.0",""))</f>
        <v/>
      </c>
      <c r="E2038" s="0" t="str">
        <f aca="false">IF(I2038="","",IF(AND(J2038&gt;=1,J2038&lt;=K2038+3),"10."&amp;INDEX(Eingabe!$D$9:$D$18,I2038)&amp;"."&amp;IF(J2038&lt;=K2038,J2038,IF(J2038=K2038+1,200,IF(J2038=K2038+2,201,250)))&amp;".1",""))</f>
        <v/>
      </c>
      <c r="F2038" s="0" t="str">
        <f aca="false">IF(I2038="","",IF(AND(J2038&gt;=1,J2038&lt;=K2038+3),"10."&amp;INDEX(Eingabe!$D$9:$D$18,I2038)&amp;"."&amp;IF(J2038&lt;=K2038,J2038,IF(J2038=K2038+1,200,IF(J2038=K2038+2,201,250)))&amp;".10 – 10."&amp;INDEX(Eingabe!$D$9:$D$18,I2038)&amp;"."&amp;IF(J2038&lt;=K2038,J2038,IF(J2038=K2038+1,200,IF(J2038=K2038+2,201,250)))&amp;".250",""))</f>
        <v/>
      </c>
      <c r="G2038" s="0" t="str">
        <f aca="false">IF(I2038="","",IF(AND(J2038&gt;=1,J2038&lt;=K2038),Eingabe!$B$6&amp;"-"&amp;INDEX(Eingabe!$C$9:$C$18,I2038)&amp;"-Pächter  ·  Passwort Parzelle "&amp;J2038,IF(J2038=K2038+1,Eingabe!$B$6&amp;"-"&amp;INDEX(Eingabe!$C$9:$C$18,I2038)&amp;"-Vorstand  ·  eigenes WLAN",IF(J2038=K2038+2,Eingabe!$B$6&amp;"-"&amp;INDEX(Eingabe!$C$9:$C$18,I2038)&amp;"-Gäste  ·  Voucher",IF(J2038=K2038+3,"Kabel  ·  Access Point y = .(50+y), Mast-Switch x = .(10+x)","")))))</f>
        <v/>
      </c>
      <c r="I2038" s="0" t="str">
        <f aca="false">IF(2033&lt;=(Eingabe!$P$18+Eingabe!$Q$18-1),MATCH(2033,Eingabe!$P$9:$P$18,1),"")</f>
        <v/>
      </c>
      <c r="J2038" s="0" t="str">
        <f aca="false">IF(I2038="","",2033-INDEX(Eingabe!$P$9:$P$18,I2038))</f>
        <v/>
      </c>
      <c r="K2038" s="0" t="str">
        <f aca="false">IF(I2038="","",INDEX(Eingabe!$E$9:$E$18,I2038))</f>
        <v/>
      </c>
    </row>
    <row r="2039" customFormat="false" ht="15" hidden="false" customHeight="false" outlineLevel="0" collapsed="false">
      <c r="A2039" s="0" t="str">
        <f aca="false">IF(I2039="","",IF(J2039=0,"Sparte "&amp;I2039&amp;": "&amp;INDEX(Eingabe!$B$9:$B$18,I2039)&amp;"  (Sparten-ID "&amp;INDEX(Eingabe!$D$9:$D$18,I2039)&amp;", "&amp;K2039&amp;" Parzellen)",IF(J2039&lt;=K2039,"   Parzelle "&amp;J2039,IF(J2039=K2039+1,"   Vorstand",IF(J2039=K2039+2,"   Gäste",IF(J2039=K2039+3,"   Technik (Switches, Access Points)",""))))))</f>
        <v/>
      </c>
      <c r="B2039" s="0" t="str">
        <f aca="false">IF(I2039="","",IF(AND(J2039&gt;=1,J2039&lt;=K2039+3),IF(J2039&lt;=K2039,IF(J2039&lt;=99,IF((INDEX(Eingabe!$G$9:$G$18,I2039))&lt;=9,1000+(INDEX(Eingabe!$G$9:$G$18,I2039))*100,3000)+J2039,IF((INDEX(Eingabe!$G$9:$G$18,I2039)+1)&lt;=9,1000+(INDEX(Eingabe!$G$9:$G$18,I2039)+1)*100,3000)+J2039-100),IF(J2039=K2039+1,2000+INDEX(Eingabe!$G$9:$G$18,I2039)*10+1,IF(J2039=K2039+2,2000+INDEX(Eingabe!$G$9:$G$18,I2039)*10+2,2000+INDEX(Eingabe!$G$9:$G$18,I2039)*10+9))),""))</f>
        <v/>
      </c>
      <c r="C2039" s="0" t="str">
        <f aca="false">IF(I2039="","",IF(AND(J2039&gt;=1,J2039&lt;=K2039+3),"10."&amp;INDEX(Eingabe!$D$9:$D$18,I2039)&amp;"."&amp;IF(J2039&lt;=K2039,J2039,IF(J2039=K2039+1,200,IF(J2039=K2039+2,201,250)))&amp;".0/24",""))</f>
        <v/>
      </c>
      <c r="D2039" s="0" t="str">
        <f aca="false">IF(I2039="","",IF(AND(J2039&gt;=1,J2039&lt;=K2039+3),"255.255.255.0",""))</f>
        <v/>
      </c>
      <c r="E2039" s="0" t="str">
        <f aca="false">IF(I2039="","",IF(AND(J2039&gt;=1,J2039&lt;=K2039+3),"10."&amp;INDEX(Eingabe!$D$9:$D$18,I2039)&amp;"."&amp;IF(J2039&lt;=K2039,J2039,IF(J2039=K2039+1,200,IF(J2039=K2039+2,201,250)))&amp;".1",""))</f>
        <v/>
      </c>
      <c r="F2039" s="0" t="str">
        <f aca="false">IF(I2039="","",IF(AND(J2039&gt;=1,J2039&lt;=K2039+3),"10."&amp;INDEX(Eingabe!$D$9:$D$18,I2039)&amp;"."&amp;IF(J2039&lt;=K2039,J2039,IF(J2039=K2039+1,200,IF(J2039=K2039+2,201,250)))&amp;".10 – 10."&amp;INDEX(Eingabe!$D$9:$D$18,I2039)&amp;"."&amp;IF(J2039&lt;=K2039,J2039,IF(J2039=K2039+1,200,IF(J2039=K2039+2,201,250)))&amp;".250",""))</f>
        <v/>
      </c>
      <c r="G2039" s="0" t="str">
        <f aca="false">IF(I2039="","",IF(AND(J2039&gt;=1,J2039&lt;=K2039),Eingabe!$B$6&amp;"-"&amp;INDEX(Eingabe!$C$9:$C$18,I2039)&amp;"-Pächter  ·  Passwort Parzelle "&amp;J2039,IF(J2039=K2039+1,Eingabe!$B$6&amp;"-"&amp;INDEX(Eingabe!$C$9:$C$18,I2039)&amp;"-Vorstand  ·  eigenes WLAN",IF(J2039=K2039+2,Eingabe!$B$6&amp;"-"&amp;INDEX(Eingabe!$C$9:$C$18,I2039)&amp;"-Gäste  ·  Voucher",IF(J2039=K2039+3,"Kabel  ·  Access Point y = .(50+y), Mast-Switch x = .(10+x)","")))))</f>
        <v/>
      </c>
      <c r="I2039" s="0" t="str">
        <f aca="false">IF(2034&lt;=(Eingabe!$P$18+Eingabe!$Q$18-1),MATCH(2034,Eingabe!$P$9:$P$18,1),"")</f>
        <v/>
      </c>
      <c r="J2039" s="0" t="str">
        <f aca="false">IF(I2039="","",2034-INDEX(Eingabe!$P$9:$P$18,I2039))</f>
        <v/>
      </c>
      <c r="K2039" s="0" t="str">
        <f aca="false">IF(I2039="","",INDEX(Eingabe!$E$9:$E$18,I2039))</f>
        <v/>
      </c>
    </row>
    <row r="2040" customFormat="false" ht="15" hidden="false" customHeight="false" outlineLevel="0" collapsed="false">
      <c r="A2040" s="0" t="str">
        <f aca="false">IF(I2040="","",IF(J2040=0,"Sparte "&amp;I2040&amp;": "&amp;INDEX(Eingabe!$B$9:$B$18,I2040)&amp;"  (Sparten-ID "&amp;INDEX(Eingabe!$D$9:$D$18,I2040)&amp;", "&amp;K2040&amp;" Parzellen)",IF(J2040&lt;=K2040,"   Parzelle "&amp;J2040,IF(J2040=K2040+1,"   Vorstand",IF(J2040=K2040+2,"   Gäste",IF(J2040=K2040+3,"   Technik (Switches, Access Points)",""))))))</f>
        <v/>
      </c>
      <c r="B2040" s="0" t="str">
        <f aca="false">IF(I2040="","",IF(AND(J2040&gt;=1,J2040&lt;=K2040+3),IF(J2040&lt;=K2040,IF(J2040&lt;=99,IF((INDEX(Eingabe!$G$9:$G$18,I2040))&lt;=9,1000+(INDEX(Eingabe!$G$9:$G$18,I2040))*100,3000)+J2040,IF((INDEX(Eingabe!$G$9:$G$18,I2040)+1)&lt;=9,1000+(INDEX(Eingabe!$G$9:$G$18,I2040)+1)*100,3000)+J2040-100),IF(J2040=K2040+1,2000+INDEX(Eingabe!$G$9:$G$18,I2040)*10+1,IF(J2040=K2040+2,2000+INDEX(Eingabe!$G$9:$G$18,I2040)*10+2,2000+INDEX(Eingabe!$G$9:$G$18,I2040)*10+9))),""))</f>
        <v/>
      </c>
      <c r="C2040" s="0" t="str">
        <f aca="false">IF(I2040="","",IF(AND(J2040&gt;=1,J2040&lt;=K2040+3),"10."&amp;INDEX(Eingabe!$D$9:$D$18,I2040)&amp;"."&amp;IF(J2040&lt;=K2040,J2040,IF(J2040=K2040+1,200,IF(J2040=K2040+2,201,250)))&amp;".0/24",""))</f>
        <v/>
      </c>
      <c r="D2040" s="0" t="str">
        <f aca="false">IF(I2040="","",IF(AND(J2040&gt;=1,J2040&lt;=K2040+3),"255.255.255.0",""))</f>
        <v/>
      </c>
      <c r="E2040" s="0" t="str">
        <f aca="false">IF(I2040="","",IF(AND(J2040&gt;=1,J2040&lt;=K2040+3),"10."&amp;INDEX(Eingabe!$D$9:$D$18,I2040)&amp;"."&amp;IF(J2040&lt;=K2040,J2040,IF(J2040=K2040+1,200,IF(J2040=K2040+2,201,250)))&amp;".1",""))</f>
        <v/>
      </c>
      <c r="F2040" s="0" t="str">
        <f aca="false">IF(I2040="","",IF(AND(J2040&gt;=1,J2040&lt;=K2040+3),"10."&amp;INDEX(Eingabe!$D$9:$D$18,I2040)&amp;"."&amp;IF(J2040&lt;=K2040,J2040,IF(J2040=K2040+1,200,IF(J2040=K2040+2,201,250)))&amp;".10 – 10."&amp;INDEX(Eingabe!$D$9:$D$18,I2040)&amp;"."&amp;IF(J2040&lt;=K2040,J2040,IF(J2040=K2040+1,200,IF(J2040=K2040+2,201,250)))&amp;".250",""))</f>
        <v/>
      </c>
      <c r="G2040" s="0" t="str">
        <f aca="false">IF(I2040="","",IF(AND(J2040&gt;=1,J2040&lt;=K2040),Eingabe!$B$6&amp;"-"&amp;INDEX(Eingabe!$C$9:$C$18,I2040)&amp;"-Pächter  ·  Passwort Parzelle "&amp;J2040,IF(J2040=K2040+1,Eingabe!$B$6&amp;"-"&amp;INDEX(Eingabe!$C$9:$C$18,I2040)&amp;"-Vorstand  ·  eigenes WLAN",IF(J2040=K2040+2,Eingabe!$B$6&amp;"-"&amp;INDEX(Eingabe!$C$9:$C$18,I2040)&amp;"-Gäste  ·  Voucher",IF(J2040=K2040+3,"Kabel  ·  Access Point y = .(50+y), Mast-Switch x = .(10+x)","")))))</f>
        <v/>
      </c>
      <c r="I2040" s="0" t="str">
        <f aca="false">IF(2035&lt;=(Eingabe!$P$18+Eingabe!$Q$18-1),MATCH(2035,Eingabe!$P$9:$P$18,1),"")</f>
        <v/>
      </c>
      <c r="J2040" s="0" t="str">
        <f aca="false">IF(I2040="","",2035-INDEX(Eingabe!$P$9:$P$18,I2040))</f>
        <v/>
      </c>
      <c r="K2040" s="0" t="str">
        <f aca="false">IF(I2040="","",INDEX(Eingabe!$E$9:$E$18,I2040))</f>
        <v/>
      </c>
    </row>
    <row r="2041" customFormat="false" ht="15" hidden="false" customHeight="false" outlineLevel="0" collapsed="false">
      <c r="A2041" s="0" t="str">
        <f aca="false">IF(I2041="","",IF(J2041=0,"Sparte "&amp;I2041&amp;": "&amp;INDEX(Eingabe!$B$9:$B$18,I2041)&amp;"  (Sparten-ID "&amp;INDEX(Eingabe!$D$9:$D$18,I2041)&amp;", "&amp;K2041&amp;" Parzellen)",IF(J2041&lt;=K2041,"   Parzelle "&amp;J2041,IF(J2041=K2041+1,"   Vorstand",IF(J2041=K2041+2,"   Gäste",IF(J2041=K2041+3,"   Technik (Switches, Access Points)",""))))))</f>
        <v/>
      </c>
      <c r="B2041" s="0" t="str">
        <f aca="false">IF(I2041="","",IF(AND(J2041&gt;=1,J2041&lt;=K2041+3),IF(J2041&lt;=K2041,IF(J2041&lt;=99,IF((INDEX(Eingabe!$G$9:$G$18,I2041))&lt;=9,1000+(INDEX(Eingabe!$G$9:$G$18,I2041))*100,3000)+J2041,IF((INDEX(Eingabe!$G$9:$G$18,I2041)+1)&lt;=9,1000+(INDEX(Eingabe!$G$9:$G$18,I2041)+1)*100,3000)+J2041-100),IF(J2041=K2041+1,2000+INDEX(Eingabe!$G$9:$G$18,I2041)*10+1,IF(J2041=K2041+2,2000+INDEX(Eingabe!$G$9:$G$18,I2041)*10+2,2000+INDEX(Eingabe!$G$9:$G$18,I2041)*10+9))),""))</f>
        <v/>
      </c>
      <c r="C2041" s="0" t="str">
        <f aca="false">IF(I2041="","",IF(AND(J2041&gt;=1,J2041&lt;=K2041+3),"10."&amp;INDEX(Eingabe!$D$9:$D$18,I2041)&amp;"."&amp;IF(J2041&lt;=K2041,J2041,IF(J2041=K2041+1,200,IF(J2041=K2041+2,201,250)))&amp;".0/24",""))</f>
        <v/>
      </c>
      <c r="D2041" s="0" t="str">
        <f aca="false">IF(I2041="","",IF(AND(J2041&gt;=1,J2041&lt;=K2041+3),"255.255.255.0",""))</f>
        <v/>
      </c>
      <c r="E2041" s="0" t="str">
        <f aca="false">IF(I2041="","",IF(AND(J2041&gt;=1,J2041&lt;=K2041+3),"10."&amp;INDEX(Eingabe!$D$9:$D$18,I2041)&amp;"."&amp;IF(J2041&lt;=K2041,J2041,IF(J2041=K2041+1,200,IF(J2041=K2041+2,201,250)))&amp;".1",""))</f>
        <v/>
      </c>
      <c r="F2041" s="0" t="str">
        <f aca="false">IF(I2041="","",IF(AND(J2041&gt;=1,J2041&lt;=K2041+3),"10."&amp;INDEX(Eingabe!$D$9:$D$18,I2041)&amp;"."&amp;IF(J2041&lt;=K2041,J2041,IF(J2041=K2041+1,200,IF(J2041=K2041+2,201,250)))&amp;".10 – 10."&amp;INDEX(Eingabe!$D$9:$D$18,I2041)&amp;"."&amp;IF(J2041&lt;=K2041,J2041,IF(J2041=K2041+1,200,IF(J2041=K2041+2,201,250)))&amp;".250",""))</f>
        <v/>
      </c>
      <c r="G2041" s="0" t="str">
        <f aca="false">IF(I2041="","",IF(AND(J2041&gt;=1,J2041&lt;=K2041),Eingabe!$B$6&amp;"-"&amp;INDEX(Eingabe!$C$9:$C$18,I2041)&amp;"-Pächter  ·  Passwort Parzelle "&amp;J2041,IF(J2041=K2041+1,Eingabe!$B$6&amp;"-"&amp;INDEX(Eingabe!$C$9:$C$18,I2041)&amp;"-Vorstand  ·  eigenes WLAN",IF(J2041=K2041+2,Eingabe!$B$6&amp;"-"&amp;INDEX(Eingabe!$C$9:$C$18,I2041)&amp;"-Gäste  ·  Voucher",IF(J2041=K2041+3,"Kabel  ·  Access Point y = .(50+y), Mast-Switch x = .(10+x)","")))))</f>
        <v/>
      </c>
      <c r="I2041" s="0" t="str">
        <f aca="false">IF(2036&lt;=(Eingabe!$P$18+Eingabe!$Q$18-1),MATCH(2036,Eingabe!$P$9:$P$18,1),"")</f>
        <v/>
      </c>
      <c r="J2041" s="0" t="str">
        <f aca="false">IF(I2041="","",2036-INDEX(Eingabe!$P$9:$P$18,I2041))</f>
        <v/>
      </c>
      <c r="K2041" s="0" t="str">
        <f aca="false">IF(I2041="","",INDEX(Eingabe!$E$9:$E$18,I2041))</f>
        <v/>
      </c>
    </row>
    <row r="2042" customFormat="false" ht="15" hidden="false" customHeight="false" outlineLevel="0" collapsed="false">
      <c r="A2042" s="0" t="str">
        <f aca="false">IF(I2042="","",IF(J2042=0,"Sparte "&amp;I2042&amp;": "&amp;INDEX(Eingabe!$B$9:$B$18,I2042)&amp;"  (Sparten-ID "&amp;INDEX(Eingabe!$D$9:$D$18,I2042)&amp;", "&amp;K2042&amp;" Parzellen)",IF(J2042&lt;=K2042,"   Parzelle "&amp;J2042,IF(J2042=K2042+1,"   Vorstand",IF(J2042=K2042+2,"   Gäste",IF(J2042=K2042+3,"   Technik (Switches, Access Points)",""))))))</f>
        <v/>
      </c>
      <c r="B2042" s="0" t="str">
        <f aca="false">IF(I2042="","",IF(AND(J2042&gt;=1,J2042&lt;=K2042+3),IF(J2042&lt;=K2042,IF(J2042&lt;=99,IF((INDEX(Eingabe!$G$9:$G$18,I2042))&lt;=9,1000+(INDEX(Eingabe!$G$9:$G$18,I2042))*100,3000)+J2042,IF((INDEX(Eingabe!$G$9:$G$18,I2042)+1)&lt;=9,1000+(INDEX(Eingabe!$G$9:$G$18,I2042)+1)*100,3000)+J2042-100),IF(J2042=K2042+1,2000+INDEX(Eingabe!$G$9:$G$18,I2042)*10+1,IF(J2042=K2042+2,2000+INDEX(Eingabe!$G$9:$G$18,I2042)*10+2,2000+INDEX(Eingabe!$G$9:$G$18,I2042)*10+9))),""))</f>
        <v/>
      </c>
      <c r="C2042" s="0" t="str">
        <f aca="false">IF(I2042="","",IF(AND(J2042&gt;=1,J2042&lt;=K2042+3),"10."&amp;INDEX(Eingabe!$D$9:$D$18,I2042)&amp;"."&amp;IF(J2042&lt;=K2042,J2042,IF(J2042=K2042+1,200,IF(J2042=K2042+2,201,250)))&amp;".0/24",""))</f>
        <v/>
      </c>
      <c r="D2042" s="0" t="str">
        <f aca="false">IF(I2042="","",IF(AND(J2042&gt;=1,J2042&lt;=K2042+3),"255.255.255.0",""))</f>
        <v/>
      </c>
      <c r="E2042" s="0" t="str">
        <f aca="false">IF(I2042="","",IF(AND(J2042&gt;=1,J2042&lt;=K2042+3),"10."&amp;INDEX(Eingabe!$D$9:$D$18,I2042)&amp;"."&amp;IF(J2042&lt;=K2042,J2042,IF(J2042=K2042+1,200,IF(J2042=K2042+2,201,250)))&amp;".1",""))</f>
        <v/>
      </c>
      <c r="F2042" s="0" t="str">
        <f aca="false">IF(I2042="","",IF(AND(J2042&gt;=1,J2042&lt;=K2042+3),"10."&amp;INDEX(Eingabe!$D$9:$D$18,I2042)&amp;"."&amp;IF(J2042&lt;=K2042,J2042,IF(J2042=K2042+1,200,IF(J2042=K2042+2,201,250)))&amp;".10 – 10."&amp;INDEX(Eingabe!$D$9:$D$18,I2042)&amp;"."&amp;IF(J2042&lt;=K2042,J2042,IF(J2042=K2042+1,200,IF(J2042=K2042+2,201,250)))&amp;".250",""))</f>
        <v/>
      </c>
      <c r="G2042" s="0" t="str">
        <f aca="false">IF(I2042="","",IF(AND(J2042&gt;=1,J2042&lt;=K2042),Eingabe!$B$6&amp;"-"&amp;INDEX(Eingabe!$C$9:$C$18,I2042)&amp;"-Pächter  ·  Passwort Parzelle "&amp;J2042,IF(J2042=K2042+1,Eingabe!$B$6&amp;"-"&amp;INDEX(Eingabe!$C$9:$C$18,I2042)&amp;"-Vorstand  ·  eigenes WLAN",IF(J2042=K2042+2,Eingabe!$B$6&amp;"-"&amp;INDEX(Eingabe!$C$9:$C$18,I2042)&amp;"-Gäste  ·  Voucher",IF(J2042=K2042+3,"Kabel  ·  Access Point y = .(50+y), Mast-Switch x = .(10+x)","")))))</f>
        <v/>
      </c>
      <c r="I2042" s="0" t="str">
        <f aca="false">IF(2037&lt;=(Eingabe!$P$18+Eingabe!$Q$18-1),MATCH(2037,Eingabe!$P$9:$P$18,1),"")</f>
        <v/>
      </c>
      <c r="J2042" s="0" t="str">
        <f aca="false">IF(I2042="","",2037-INDEX(Eingabe!$P$9:$P$18,I2042))</f>
        <v/>
      </c>
      <c r="K2042" s="0" t="str">
        <f aca="false">IF(I2042="","",INDEX(Eingabe!$E$9:$E$18,I2042))</f>
        <v/>
      </c>
    </row>
    <row r="2043" customFormat="false" ht="15" hidden="false" customHeight="false" outlineLevel="0" collapsed="false">
      <c r="A2043" s="0" t="str">
        <f aca="false">IF(I2043="","",IF(J2043=0,"Sparte "&amp;I2043&amp;": "&amp;INDEX(Eingabe!$B$9:$B$18,I2043)&amp;"  (Sparten-ID "&amp;INDEX(Eingabe!$D$9:$D$18,I2043)&amp;", "&amp;K2043&amp;" Parzellen)",IF(J2043&lt;=K2043,"   Parzelle "&amp;J2043,IF(J2043=K2043+1,"   Vorstand",IF(J2043=K2043+2,"   Gäste",IF(J2043=K2043+3,"   Technik (Switches, Access Points)",""))))))</f>
        <v/>
      </c>
      <c r="B2043" s="0" t="str">
        <f aca="false">IF(I2043="","",IF(AND(J2043&gt;=1,J2043&lt;=K2043+3),IF(J2043&lt;=K2043,IF(J2043&lt;=99,IF((INDEX(Eingabe!$G$9:$G$18,I2043))&lt;=9,1000+(INDEX(Eingabe!$G$9:$G$18,I2043))*100,3000)+J2043,IF((INDEX(Eingabe!$G$9:$G$18,I2043)+1)&lt;=9,1000+(INDEX(Eingabe!$G$9:$G$18,I2043)+1)*100,3000)+J2043-100),IF(J2043=K2043+1,2000+INDEX(Eingabe!$G$9:$G$18,I2043)*10+1,IF(J2043=K2043+2,2000+INDEX(Eingabe!$G$9:$G$18,I2043)*10+2,2000+INDEX(Eingabe!$G$9:$G$18,I2043)*10+9))),""))</f>
        <v/>
      </c>
      <c r="C2043" s="0" t="str">
        <f aca="false">IF(I2043="","",IF(AND(J2043&gt;=1,J2043&lt;=K2043+3),"10."&amp;INDEX(Eingabe!$D$9:$D$18,I2043)&amp;"."&amp;IF(J2043&lt;=K2043,J2043,IF(J2043=K2043+1,200,IF(J2043=K2043+2,201,250)))&amp;".0/24",""))</f>
        <v/>
      </c>
      <c r="D2043" s="0" t="str">
        <f aca="false">IF(I2043="","",IF(AND(J2043&gt;=1,J2043&lt;=K2043+3),"255.255.255.0",""))</f>
        <v/>
      </c>
      <c r="E2043" s="0" t="str">
        <f aca="false">IF(I2043="","",IF(AND(J2043&gt;=1,J2043&lt;=K2043+3),"10."&amp;INDEX(Eingabe!$D$9:$D$18,I2043)&amp;"."&amp;IF(J2043&lt;=K2043,J2043,IF(J2043=K2043+1,200,IF(J2043=K2043+2,201,250)))&amp;".1",""))</f>
        <v/>
      </c>
      <c r="F2043" s="0" t="str">
        <f aca="false">IF(I2043="","",IF(AND(J2043&gt;=1,J2043&lt;=K2043+3),"10."&amp;INDEX(Eingabe!$D$9:$D$18,I2043)&amp;"."&amp;IF(J2043&lt;=K2043,J2043,IF(J2043=K2043+1,200,IF(J2043=K2043+2,201,250)))&amp;".10 – 10."&amp;INDEX(Eingabe!$D$9:$D$18,I2043)&amp;"."&amp;IF(J2043&lt;=K2043,J2043,IF(J2043=K2043+1,200,IF(J2043=K2043+2,201,250)))&amp;".250",""))</f>
        <v/>
      </c>
      <c r="G2043" s="0" t="str">
        <f aca="false">IF(I2043="","",IF(AND(J2043&gt;=1,J2043&lt;=K2043),Eingabe!$B$6&amp;"-"&amp;INDEX(Eingabe!$C$9:$C$18,I2043)&amp;"-Pächter  ·  Passwort Parzelle "&amp;J2043,IF(J2043=K2043+1,Eingabe!$B$6&amp;"-"&amp;INDEX(Eingabe!$C$9:$C$18,I2043)&amp;"-Vorstand  ·  eigenes WLAN",IF(J2043=K2043+2,Eingabe!$B$6&amp;"-"&amp;INDEX(Eingabe!$C$9:$C$18,I2043)&amp;"-Gäste  ·  Voucher",IF(J2043=K2043+3,"Kabel  ·  Access Point y = .(50+y), Mast-Switch x = .(10+x)","")))))</f>
        <v/>
      </c>
      <c r="I2043" s="0" t="str">
        <f aca="false">IF(2038&lt;=(Eingabe!$P$18+Eingabe!$Q$18-1),MATCH(2038,Eingabe!$P$9:$P$18,1),"")</f>
        <v/>
      </c>
      <c r="J2043" s="0" t="str">
        <f aca="false">IF(I2043="","",2038-INDEX(Eingabe!$P$9:$P$18,I2043))</f>
        <v/>
      </c>
      <c r="K2043" s="0" t="str">
        <f aca="false">IF(I2043="","",INDEX(Eingabe!$E$9:$E$18,I2043))</f>
        <v/>
      </c>
    </row>
    <row r="2044" customFormat="false" ht="15" hidden="false" customHeight="false" outlineLevel="0" collapsed="false">
      <c r="A2044" s="0" t="str">
        <f aca="false">IF(I2044="","",IF(J2044=0,"Sparte "&amp;I2044&amp;": "&amp;INDEX(Eingabe!$B$9:$B$18,I2044)&amp;"  (Sparten-ID "&amp;INDEX(Eingabe!$D$9:$D$18,I2044)&amp;", "&amp;K2044&amp;" Parzellen)",IF(J2044&lt;=K2044,"   Parzelle "&amp;J2044,IF(J2044=K2044+1,"   Vorstand",IF(J2044=K2044+2,"   Gäste",IF(J2044=K2044+3,"   Technik (Switches, Access Points)",""))))))</f>
        <v/>
      </c>
      <c r="B2044" s="0" t="str">
        <f aca="false">IF(I2044="","",IF(AND(J2044&gt;=1,J2044&lt;=K2044+3),IF(J2044&lt;=K2044,IF(J2044&lt;=99,IF((INDEX(Eingabe!$G$9:$G$18,I2044))&lt;=9,1000+(INDEX(Eingabe!$G$9:$G$18,I2044))*100,3000)+J2044,IF((INDEX(Eingabe!$G$9:$G$18,I2044)+1)&lt;=9,1000+(INDEX(Eingabe!$G$9:$G$18,I2044)+1)*100,3000)+J2044-100),IF(J2044=K2044+1,2000+INDEX(Eingabe!$G$9:$G$18,I2044)*10+1,IF(J2044=K2044+2,2000+INDEX(Eingabe!$G$9:$G$18,I2044)*10+2,2000+INDEX(Eingabe!$G$9:$G$18,I2044)*10+9))),""))</f>
        <v/>
      </c>
      <c r="C2044" s="0" t="str">
        <f aca="false">IF(I2044="","",IF(AND(J2044&gt;=1,J2044&lt;=K2044+3),"10."&amp;INDEX(Eingabe!$D$9:$D$18,I2044)&amp;"."&amp;IF(J2044&lt;=K2044,J2044,IF(J2044=K2044+1,200,IF(J2044=K2044+2,201,250)))&amp;".0/24",""))</f>
        <v/>
      </c>
      <c r="D2044" s="0" t="str">
        <f aca="false">IF(I2044="","",IF(AND(J2044&gt;=1,J2044&lt;=K2044+3),"255.255.255.0",""))</f>
        <v/>
      </c>
      <c r="E2044" s="0" t="str">
        <f aca="false">IF(I2044="","",IF(AND(J2044&gt;=1,J2044&lt;=K2044+3),"10."&amp;INDEX(Eingabe!$D$9:$D$18,I2044)&amp;"."&amp;IF(J2044&lt;=K2044,J2044,IF(J2044=K2044+1,200,IF(J2044=K2044+2,201,250)))&amp;".1",""))</f>
        <v/>
      </c>
      <c r="F2044" s="0" t="str">
        <f aca="false">IF(I2044="","",IF(AND(J2044&gt;=1,J2044&lt;=K2044+3),"10."&amp;INDEX(Eingabe!$D$9:$D$18,I2044)&amp;"."&amp;IF(J2044&lt;=K2044,J2044,IF(J2044=K2044+1,200,IF(J2044=K2044+2,201,250)))&amp;".10 – 10."&amp;INDEX(Eingabe!$D$9:$D$18,I2044)&amp;"."&amp;IF(J2044&lt;=K2044,J2044,IF(J2044=K2044+1,200,IF(J2044=K2044+2,201,250)))&amp;".250",""))</f>
        <v/>
      </c>
      <c r="G2044" s="0" t="str">
        <f aca="false">IF(I2044="","",IF(AND(J2044&gt;=1,J2044&lt;=K2044),Eingabe!$B$6&amp;"-"&amp;INDEX(Eingabe!$C$9:$C$18,I2044)&amp;"-Pächter  ·  Passwort Parzelle "&amp;J2044,IF(J2044=K2044+1,Eingabe!$B$6&amp;"-"&amp;INDEX(Eingabe!$C$9:$C$18,I2044)&amp;"-Vorstand  ·  eigenes WLAN",IF(J2044=K2044+2,Eingabe!$B$6&amp;"-"&amp;INDEX(Eingabe!$C$9:$C$18,I2044)&amp;"-Gäste  ·  Voucher",IF(J2044=K2044+3,"Kabel  ·  Access Point y = .(50+y), Mast-Switch x = .(10+x)","")))))</f>
        <v/>
      </c>
      <c r="I2044" s="0" t="str">
        <f aca="false">IF(2039&lt;=(Eingabe!$P$18+Eingabe!$Q$18-1),MATCH(2039,Eingabe!$P$9:$P$18,1),"")</f>
        <v/>
      </c>
      <c r="J2044" s="0" t="str">
        <f aca="false">IF(I2044="","",2039-INDEX(Eingabe!$P$9:$P$18,I2044))</f>
        <v/>
      </c>
      <c r="K2044" s="0" t="str">
        <f aca="false">IF(I2044="","",INDEX(Eingabe!$E$9:$E$18,I2044))</f>
        <v/>
      </c>
    </row>
    <row r="2045" customFormat="false" ht="15" hidden="false" customHeight="false" outlineLevel="0" collapsed="false">
      <c r="A2045" s="0" t="str">
        <f aca="false">IF(I2045="","",IF(J2045=0,"Sparte "&amp;I2045&amp;": "&amp;INDEX(Eingabe!$B$9:$B$18,I2045)&amp;"  (Sparten-ID "&amp;INDEX(Eingabe!$D$9:$D$18,I2045)&amp;", "&amp;K2045&amp;" Parzellen)",IF(J2045&lt;=K2045,"   Parzelle "&amp;J2045,IF(J2045=K2045+1,"   Vorstand",IF(J2045=K2045+2,"   Gäste",IF(J2045=K2045+3,"   Technik (Switches, Access Points)",""))))))</f>
        <v/>
      </c>
      <c r="B2045" s="0" t="str">
        <f aca="false">IF(I2045="","",IF(AND(J2045&gt;=1,J2045&lt;=K2045+3),IF(J2045&lt;=K2045,IF(J2045&lt;=99,IF((INDEX(Eingabe!$G$9:$G$18,I2045))&lt;=9,1000+(INDEX(Eingabe!$G$9:$G$18,I2045))*100,3000)+J2045,IF((INDEX(Eingabe!$G$9:$G$18,I2045)+1)&lt;=9,1000+(INDEX(Eingabe!$G$9:$G$18,I2045)+1)*100,3000)+J2045-100),IF(J2045=K2045+1,2000+INDEX(Eingabe!$G$9:$G$18,I2045)*10+1,IF(J2045=K2045+2,2000+INDEX(Eingabe!$G$9:$G$18,I2045)*10+2,2000+INDEX(Eingabe!$G$9:$G$18,I2045)*10+9))),""))</f>
        <v/>
      </c>
      <c r="C2045" s="0" t="str">
        <f aca="false">IF(I2045="","",IF(AND(J2045&gt;=1,J2045&lt;=K2045+3),"10."&amp;INDEX(Eingabe!$D$9:$D$18,I2045)&amp;"."&amp;IF(J2045&lt;=K2045,J2045,IF(J2045=K2045+1,200,IF(J2045=K2045+2,201,250)))&amp;".0/24",""))</f>
        <v/>
      </c>
      <c r="D2045" s="0" t="str">
        <f aca="false">IF(I2045="","",IF(AND(J2045&gt;=1,J2045&lt;=K2045+3),"255.255.255.0",""))</f>
        <v/>
      </c>
      <c r="E2045" s="0" t="str">
        <f aca="false">IF(I2045="","",IF(AND(J2045&gt;=1,J2045&lt;=K2045+3),"10."&amp;INDEX(Eingabe!$D$9:$D$18,I2045)&amp;"."&amp;IF(J2045&lt;=K2045,J2045,IF(J2045=K2045+1,200,IF(J2045=K2045+2,201,250)))&amp;".1",""))</f>
        <v/>
      </c>
      <c r="F2045" s="0" t="str">
        <f aca="false">IF(I2045="","",IF(AND(J2045&gt;=1,J2045&lt;=K2045+3),"10."&amp;INDEX(Eingabe!$D$9:$D$18,I2045)&amp;"."&amp;IF(J2045&lt;=K2045,J2045,IF(J2045=K2045+1,200,IF(J2045=K2045+2,201,250)))&amp;".10 – 10."&amp;INDEX(Eingabe!$D$9:$D$18,I2045)&amp;"."&amp;IF(J2045&lt;=K2045,J2045,IF(J2045=K2045+1,200,IF(J2045=K2045+2,201,250)))&amp;".250",""))</f>
        <v/>
      </c>
      <c r="G2045" s="0" t="str">
        <f aca="false">IF(I2045="","",IF(AND(J2045&gt;=1,J2045&lt;=K2045),Eingabe!$B$6&amp;"-"&amp;INDEX(Eingabe!$C$9:$C$18,I2045)&amp;"-Pächter  ·  Passwort Parzelle "&amp;J2045,IF(J2045=K2045+1,Eingabe!$B$6&amp;"-"&amp;INDEX(Eingabe!$C$9:$C$18,I2045)&amp;"-Vorstand  ·  eigenes WLAN",IF(J2045=K2045+2,Eingabe!$B$6&amp;"-"&amp;INDEX(Eingabe!$C$9:$C$18,I2045)&amp;"-Gäste  ·  Voucher",IF(J2045=K2045+3,"Kabel  ·  Access Point y = .(50+y), Mast-Switch x = .(10+x)","")))))</f>
        <v/>
      </c>
      <c r="I2045" s="0" t="str">
        <f aca="false">IF(2040&lt;=(Eingabe!$P$18+Eingabe!$Q$18-1),MATCH(2040,Eingabe!$P$9:$P$18,1),"")</f>
        <v/>
      </c>
      <c r="J2045" s="0" t="str">
        <f aca="false">IF(I2045="","",2040-INDEX(Eingabe!$P$9:$P$18,I2045))</f>
        <v/>
      </c>
      <c r="K2045" s="0" t="str">
        <f aca="false">IF(I2045="","",INDEX(Eingabe!$E$9:$E$18,I2045))</f>
        <v/>
      </c>
    </row>
    <row r="2046" customFormat="false" ht="15" hidden="false" customHeight="false" outlineLevel="0" collapsed="false">
      <c r="A2046" s="0" t="str">
        <f aca="false">IF(I2046="","",IF(J2046=0,"Sparte "&amp;I2046&amp;": "&amp;INDEX(Eingabe!$B$9:$B$18,I2046)&amp;"  (Sparten-ID "&amp;INDEX(Eingabe!$D$9:$D$18,I2046)&amp;", "&amp;K2046&amp;" Parzellen)",IF(J2046&lt;=K2046,"   Parzelle "&amp;J2046,IF(J2046=K2046+1,"   Vorstand",IF(J2046=K2046+2,"   Gäste",IF(J2046=K2046+3,"   Technik (Switches, Access Points)",""))))))</f>
        <v/>
      </c>
      <c r="B2046" s="0" t="str">
        <f aca="false">IF(I2046="","",IF(AND(J2046&gt;=1,J2046&lt;=K2046+3),IF(J2046&lt;=K2046,IF(J2046&lt;=99,IF((INDEX(Eingabe!$G$9:$G$18,I2046))&lt;=9,1000+(INDEX(Eingabe!$G$9:$G$18,I2046))*100,3000)+J2046,IF((INDEX(Eingabe!$G$9:$G$18,I2046)+1)&lt;=9,1000+(INDEX(Eingabe!$G$9:$G$18,I2046)+1)*100,3000)+J2046-100),IF(J2046=K2046+1,2000+INDEX(Eingabe!$G$9:$G$18,I2046)*10+1,IF(J2046=K2046+2,2000+INDEX(Eingabe!$G$9:$G$18,I2046)*10+2,2000+INDEX(Eingabe!$G$9:$G$18,I2046)*10+9))),""))</f>
        <v/>
      </c>
      <c r="C2046" s="0" t="str">
        <f aca="false">IF(I2046="","",IF(AND(J2046&gt;=1,J2046&lt;=K2046+3),"10."&amp;INDEX(Eingabe!$D$9:$D$18,I2046)&amp;"."&amp;IF(J2046&lt;=K2046,J2046,IF(J2046=K2046+1,200,IF(J2046=K2046+2,201,250)))&amp;".0/24",""))</f>
        <v/>
      </c>
      <c r="D2046" s="0" t="str">
        <f aca="false">IF(I2046="","",IF(AND(J2046&gt;=1,J2046&lt;=K2046+3),"255.255.255.0",""))</f>
        <v/>
      </c>
      <c r="E2046" s="0" t="str">
        <f aca="false">IF(I2046="","",IF(AND(J2046&gt;=1,J2046&lt;=K2046+3),"10."&amp;INDEX(Eingabe!$D$9:$D$18,I2046)&amp;"."&amp;IF(J2046&lt;=K2046,J2046,IF(J2046=K2046+1,200,IF(J2046=K2046+2,201,250)))&amp;".1",""))</f>
        <v/>
      </c>
      <c r="F2046" s="0" t="str">
        <f aca="false">IF(I2046="","",IF(AND(J2046&gt;=1,J2046&lt;=K2046+3),"10."&amp;INDEX(Eingabe!$D$9:$D$18,I2046)&amp;"."&amp;IF(J2046&lt;=K2046,J2046,IF(J2046=K2046+1,200,IF(J2046=K2046+2,201,250)))&amp;".10 – 10."&amp;INDEX(Eingabe!$D$9:$D$18,I2046)&amp;"."&amp;IF(J2046&lt;=K2046,J2046,IF(J2046=K2046+1,200,IF(J2046=K2046+2,201,250)))&amp;".250",""))</f>
        <v/>
      </c>
      <c r="G2046" s="0" t="str">
        <f aca="false">IF(I2046="","",IF(AND(J2046&gt;=1,J2046&lt;=K2046),Eingabe!$B$6&amp;"-"&amp;INDEX(Eingabe!$C$9:$C$18,I2046)&amp;"-Pächter  ·  Passwort Parzelle "&amp;J2046,IF(J2046=K2046+1,Eingabe!$B$6&amp;"-"&amp;INDEX(Eingabe!$C$9:$C$18,I2046)&amp;"-Vorstand  ·  eigenes WLAN",IF(J2046=K2046+2,Eingabe!$B$6&amp;"-"&amp;INDEX(Eingabe!$C$9:$C$18,I2046)&amp;"-Gäste  ·  Voucher",IF(J2046=K2046+3,"Kabel  ·  Access Point y = .(50+y), Mast-Switch x = .(10+x)","")))))</f>
        <v/>
      </c>
      <c r="I2046" s="0" t="str">
        <f aca="false">IF(2041&lt;=(Eingabe!$P$18+Eingabe!$Q$18-1),MATCH(2041,Eingabe!$P$9:$P$18,1),"")</f>
        <v/>
      </c>
      <c r="J2046" s="0" t="str">
        <f aca="false">IF(I2046="","",2041-INDEX(Eingabe!$P$9:$P$18,I2046))</f>
        <v/>
      </c>
      <c r="K2046" s="0" t="str">
        <f aca="false">IF(I2046="","",INDEX(Eingabe!$E$9:$E$18,I2046))</f>
        <v/>
      </c>
    </row>
    <row r="2047" customFormat="false" ht="15" hidden="false" customHeight="false" outlineLevel="0" collapsed="false">
      <c r="A2047" s="0" t="str">
        <f aca="false">IF(I2047="","",IF(J2047=0,"Sparte "&amp;I2047&amp;": "&amp;INDEX(Eingabe!$B$9:$B$18,I2047)&amp;"  (Sparten-ID "&amp;INDEX(Eingabe!$D$9:$D$18,I2047)&amp;", "&amp;K2047&amp;" Parzellen)",IF(J2047&lt;=K2047,"   Parzelle "&amp;J2047,IF(J2047=K2047+1,"   Vorstand",IF(J2047=K2047+2,"   Gäste",IF(J2047=K2047+3,"   Technik (Switches, Access Points)",""))))))</f>
        <v/>
      </c>
      <c r="B2047" s="0" t="str">
        <f aca="false">IF(I2047="","",IF(AND(J2047&gt;=1,J2047&lt;=K2047+3),IF(J2047&lt;=K2047,IF(J2047&lt;=99,IF((INDEX(Eingabe!$G$9:$G$18,I2047))&lt;=9,1000+(INDEX(Eingabe!$G$9:$G$18,I2047))*100,3000)+J2047,IF((INDEX(Eingabe!$G$9:$G$18,I2047)+1)&lt;=9,1000+(INDEX(Eingabe!$G$9:$G$18,I2047)+1)*100,3000)+J2047-100),IF(J2047=K2047+1,2000+INDEX(Eingabe!$G$9:$G$18,I2047)*10+1,IF(J2047=K2047+2,2000+INDEX(Eingabe!$G$9:$G$18,I2047)*10+2,2000+INDEX(Eingabe!$G$9:$G$18,I2047)*10+9))),""))</f>
        <v/>
      </c>
      <c r="C2047" s="0" t="str">
        <f aca="false">IF(I2047="","",IF(AND(J2047&gt;=1,J2047&lt;=K2047+3),"10."&amp;INDEX(Eingabe!$D$9:$D$18,I2047)&amp;"."&amp;IF(J2047&lt;=K2047,J2047,IF(J2047=K2047+1,200,IF(J2047=K2047+2,201,250)))&amp;".0/24",""))</f>
        <v/>
      </c>
      <c r="D2047" s="0" t="str">
        <f aca="false">IF(I2047="","",IF(AND(J2047&gt;=1,J2047&lt;=K2047+3),"255.255.255.0",""))</f>
        <v/>
      </c>
      <c r="E2047" s="0" t="str">
        <f aca="false">IF(I2047="","",IF(AND(J2047&gt;=1,J2047&lt;=K2047+3),"10."&amp;INDEX(Eingabe!$D$9:$D$18,I2047)&amp;"."&amp;IF(J2047&lt;=K2047,J2047,IF(J2047=K2047+1,200,IF(J2047=K2047+2,201,250)))&amp;".1",""))</f>
        <v/>
      </c>
      <c r="F2047" s="0" t="str">
        <f aca="false">IF(I2047="","",IF(AND(J2047&gt;=1,J2047&lt;=K2047+3),"10."&amp;INDEX(Eingabe!$D$9:$D$18,I2047)&amp;"."&amp;IF(J2047&lt;=K2047,J2047,IF(J2047=K2047+1,200,IF(J2047=K2047+2,201,250)))&amp;".10 – 10."&amp;INDEX(Eingabe!$D$9:$D$18,I2047)&amp;"."&amp;IF(J2047&lt;=K2047,J2047,IF(J2047=K2047+1,200,IF(J2047=K2047+2,201,250)))&amp;".250",""))</f>
        <v/>
      </c>
      <c r="G2047" s="0" t="str">
        <f aca="false">IF(I2047="","",IF(AND(J2047&gt;=1,J2047&lt;=K2047),Eingabe!$B$6&amp;"-"&amp;INDEX(Eingabe!$C$9:$C$18,I2047)&amp;"-Pächter  ·  Passwort Parzelle "&amp;J2047,IF(J2047=K2047+1,Eingabe!$B$6&amp;"-"&amp;INDEX(Eingabe!$C$9:$C$18,I2047)&amp;"-Vorstand  ·  eigenes WLAN",IF(J2047=K2047+2,Eingabe!$B$6&amp;"-"&amp;INDEX(Eingabe!$C$9:$C$18,I2047)&amp;"-Gäste  ·  Voucher",IF(J2047=K2047+3,"Kabel  ·  Access Point y = .(50+y), Mast-Switch x = .(10+x)","")))))</f>
        <v/>
      </c>
      <c r="I2047" s="0" t="str">
        <f aca="false">IF(2042&lt;=(Eingabe!$P$18+Eingabe!$Q$18-1),MATCH(2042,Eingabe!$P$9:$P$18,1),"")</f>
        <v/>
      </c>
      <c r="J2047" s="0" t="str">
        <f aca="false">IF(I2047="","",2042-INDEX(Eingabe!$P$9:$P$18,I2047))</f>
        <v/>
      </c>
      <c r="K2047" s="0" t="str">
        <f aca="false">IF(I2047="","",INDEX(Eingabe!$E$9:$E$18,I2047))</f>
        <v/>
      </c>
    </row>
    <row r="2048" customFormat="false" ht="15" hidden="false" customHeight="false" outlineLevel="0" collapsed="false">
      <c r="A2048" s="0" t="str">
        <f aca="false">IF(I2048="","",IF(J2048=0,"Sparte "&amp;I2048&amp;": "&amp;INDEX(Eingabe!$B$9:$B$18,I2048)&amp;"  (Sparten-ID "&amp;INDEX(Eingabe!$D$9:$D$18,I2048)&amp;", "&amp;K2048&amp;" Parzellen)",IF(J2048&lt;=K2048,"   Parzelle "&amp;J2048,IF(J2048=K2048+1,"   Vorstand",IF(J2048=K2048+2,"   Gäste",IF(J2048=K2048+3,"   Technik (Switches, Access Points)",""))))))</f>
        <v/>
      </c>
      <c r="B2048" s="0" t="str">
        <f aca="false">IF(I2048="","",IF(AND(J2048&gt;=1,J2048&lt;=K2048+3),IF(J2048&lt;=K2048,IF(J2048&lt;=99,IF((INDEX(Eingabe!$G$9:$G$18,I2048))&lt;=9,1000+(INDEX(Eingabe!$G$9:$G$18,I2048))*100,3000)+J2048,IF((INDEX(Eingabe!$G$9:$G$18,I2048)+1)&lt;=9,1000+(INDEX(Eingabe!$G$9:$G$18,I2048)+1)*100,3000)+J2048-100),IF(J2048=K2048+1,2000+INDEX(Eingabe!$G$9:$G$18,I2048)*10+1,IF(J2048=K2048+2,2000+INDEX(Eingabe!$G$9:$G$18,I2048)*10+2,2000+INDEX(Eingabe!$G$9:$G$18,I2048)*10+9))),""))</f>
        <v/>
      </c>
      <c r="C2048" s="0" t="str">
        <f aca="false">IF(I2048="","",IF(AND(J2048&gt;=1,J2048&lt;=K2048+3),"10."&amp;INDEX(Eingabe!$D$9:$D$18,I2048)&amp;"."&amp;IF(J2048&lt;=K2048,J2048,IF(J2048=K2048+1,200,IF(J2048=K2048+2,201,250)))&amp;".0/24",""))</f>
        <v/>
      </c>
      <c r="D2048" s="0" t="str">
        <f aca="false">IF(I2048="","",IF(AND(J2048&gt;=1,J2048&lt;=K2048+3),"255.255.255.0",""))</f>
        <v/>
      </c>
      <c r="E2048" s="0" t="str">
        <f aca="false">IF(I2048="","",IF(AND(J2048&gt;=1,J2048&lt;=K2048+3),"10."&amp;INDEX(Eingabe!$D$9:$D$18,I2048)&amp;"."&amp;IF(J2048&lt;=K2048,J2048,IF(J2048=K2048+1,200,IF(J2048=K2048+2,201,250)))&amp;".1",""))</f>
        <v/>
      </c>
      <c r="F2048" s="0" t="str">
        <f aca="false">IF(I2048="","",IF(AND(J2048&gt;=1,J2048&lt;=K2048+3),"10."&amp;INDEX(Eingabe!$D$9:$D$18,I2048)&amp;"."&amp;IF(J2048&lt;=K2048,J2048,IF(J2048=K2048+1,200,IF(J2048=K2048+2,201,250)))&amp;".10 – 10."&amp;INDEX(Eingabe!$D$9:$D$18,I2048)&amp;"."&amp;IF(J2048&lt;=K2048,J2048,IF(J2048=K2048+1,200,IF(J2048=K2048+2,201,250)))&amp;".250",""))</f>
        <v/>
      </c>
      <c r="G2048" s="0" t="str">
        <f aca="false">IF(I2048="","",IF(AND(J2048&gt;=1,J2048&lt;=K2048),Eingabe!$B$6&amp;"-"&amp;INDEX(Eingabe!$C$9:$C$18,I2048)&amp;"-Pächter  ·  Passwort Parzelle "&amp;J2048,IF(J2048=K2048+1,Eingabe!$B$6&amp;"-"&amp;INDEX(Eingabe!$C$9:$C$18,I2048)&amp;"-Vorstand  ·  eigenes WLAN",IF(J2048=K2048+2,Eingabe!$B$6&amp;"-"&amp;INDEX(Eingabe!$C$9:$C$18,I2048)&amp;"-Gäste  ·  Voucher",IF(J2048=K2048+3,"Kabel  ·  Access Point y = .(50+y), Mast-Switch x = .(10+x)","")))))</f>
        <v/>
      </c>
      <c r="I2048" s="0" t="str">
        <f aca="false">IF(2043&lt;=(Eingabe!$P$18+Eingabe!$Q$18-1),MATCH(2043,Eingabe!$P$9:$P$18,1),"")</f>
        <v/>
      </c>
      <c r="J2048" s="0" t="str">
        <f aca="false">IF(I2048="","",2043-INDEX(Eingabe!$P$9:$P$18,I2048))</f>
        <v/>
      </c>
      <c r="K2048" s="0" t="str">
        <f aca="false">IF(I2048="","",INDEX(Eingabe!$E$9:$E$18,I2048))</f>
        <v/>
      </c>
    </row>
    <row r="2049" customFormat="false" ht="15" hidden="false" customHeight="false" outlineLevel="0" collapsed="false">
      <c r="A2049" s="0" t="str">
        <f aca="false">IF(I2049="","",IF(J2049=0,"Sparte "&amp;I2049&amp;": "&amp;INDEX(Eingabe!$B$9:$B$18,I2049)&amp;"  (Sparten-ID "&amp;INDEX(Eingabe!$D$9:$D$18,I2049)&amp;", "&amp;K2049&amp;" Parzellen)",IF(J2049&lt;=K2049,"   Parzelle "&amp;J2049,IF(J2049=K2049+1,"   Vorstand",IF(J2049=K2049+2,"   Gäste",IF(J2049=K2049+3,"   Technik (Switches, Access Points)",""))))))</f>
        <v/>
      </c>
      <c r="B2049" s="0" t="str">
        <f aca="false">IF(I2049="","",IF(AND(J2049&gt;=1,J2049&lt;=K2049+3),IF(J2049&lt;=K2049,IF(J2049&lt;=99,IF((INDEX(Eingabe!$G$9:$G$18,I2049))&lt;=9,1000+(INDEX(Eingabe!$G$9:$G$18,I2049))*100,3000)+J2049,IF((INDEX(Eingabe!$G$9:$G$18,I2049)+1)&lt;=9,1000+(INDEX(Eingabe!$G$9:$G$18,I2049)+1)*100,3000)+J2049-100),IF(J2049=K2049+1,2000+INDEX(Eingabe!$G$9:$G$18,I2049)*10+1,IF(J2049=K2049+2,2000+INDEX(Eingabe!$G$9:$G$18,I2049)*10+2,2000+INDEX(Eingabe!$G$9:$G$18,I2049)*10+9))),""))</f>
        <v/>
      </c>
      <c r="C2049" s="0" t="str">
        <f aca="false">IF(I2049="","",IF(AND(J2049&gt;=1,J2049&lt;=K2049+3),"10."&amp;INDEX(Eingabe!$D$9:$D$18,I2049)&amp;"."&amp;IF(J2049&lt;=K2049,J2049,IF(J2049=K2049+1,200,IF(J2049=K2049+2,201,250)))&amp;".0/24",""))</f>
        <v/>
      </c>
      <c r="D2049" s="0" t="str">
        <f aca="false">IF(I2049="","",IF(AND(J2049&gt;=1,J2049&lt;=K2049+3),"255.255.255.0",""))</f>
        <v/>
      </c>
      <c r="E2049" s="0" t="str">
        <f aca="false">IF(I2049="","",IF(AND(J2049&gt;=1,J2049&lt;=K2049+3),"10."&amp;INDEX(Eingabe!$D$9:$D$18,I2049)&amp;"."&amp;IF(J2049&lt;=K2049,J2049,IF(J2049=K2049+1,200,IF(J2049=K2049+2,201,250)))&amp;".1",""))</f>
        <v/>
      </c>
      <c r="F2049" s="0" t="str">
        <f aca="false">IF(I2049="","",IF(AND(J2049&gt;=1,J2049&lt;=K2049+3),"10."&amp;INDEX(Eingabe!$D$9:$D$18,I2049)&amp;"."&amp;IF(J2049&lt;=K2049,J2049,IF(J2049=K2049+1,200,IF(J2049=K2049+2,201,250)))&amp;".10 – 10."&amp;INDEX(Eingabe!$D$9:$D$18,I2049)&amp;"."&amp;IF(J2049&lt;=K2049,J2049,IF(J2049=K2049+1,200,IF(J2049=K2049+2,201,250)))&amp;".250",""))</f>
        <v/>
      </c>
      <c r="G2049" s="0" t="str">
        <f aca="false">IF(I2049="","",IF(AND(J2049&gt;=1,J2049&lt;=K2049),Eingabe!$B$6&amp;"-"&amp;INDEX(Eingabe!$C$9:$C$18,I2049)&amp;"-Pächter  ·  Passwort Parzelle "&amp;J2049,IF(J2049=K2049+1,Eingabe!$B$6&amp;"-"&amp;INDEX(Eingabe!$C$9:$C$18,I2049)&amp;"-Vorstand  ·  eigenes WLAN",IF(J2049=K2049+2,Eingabe!$B$6&amp;"-"&amp;INDEX(Eingabe!$C$9:$C$18,I2049)&amp;"-Gäste  ·  Voucher",IF(J2049=K2049+3,"Kabel  ·  Access Point y = .(50+y), Mast-Switch x = .(10+x)","")))))</f>
        <v/>
      </c>
      <c r="I2049" s="0" t="str">
        <f aca="false">IF(2044&lt;=(Eingabe!$P$18+Eingabe!$Q$18-1),MATCH(2044,Eingabe!$P$9:$P$18,1),"")</f>
        <v/>
      </c>
      <c r="J2049" s="0" t="str">
        <f aca="false">IF(I2049="","",2044-INDEX(Eingabe!$P$9:$P$18,I2049))</f>
        <v/>
      </c>
      <c r="K2049" s="0" t="str">
        <f aca="false">IF(I2049="","",INDEX(Eingabe!$E$9:$E$18,I2049))</f>
        <v/>
      </c>
    </row>
    <row r="2050" customFormat="false" ht="15" hidden="false" customHeight="false" outlineLevel="0" collapsed="false">
      <c r="A2050" s="0" t="str">
        <f aca="false">IF(I2050="","",IF(J2050=0,"Sparte "&amp;I2050&amp;": "&amp;INDEX(Eingabe!$B$9:$B$18,I2050)&amp;"  (Sparten-ID "&amp;INDEX(Eingabe!$D$9:$D$18,I2050)&amp;", "&amp;K2050&amp;" Parzellen)",IF(J2050&lt;=K2050,"   Parzelle "&amp;J2050,IF(J2050=K2050+1,"   Vorstand",IF(J2050=K2050+2,"   Gäste",IF(J2050=K2050+3,"   Technik (Switches, Access Points)",""))))))</f>
        <v/>
      </c>
      <c r="B2050" s="0" t="str">
        <f aca="false">IF(I2050="","",IF(AND(J2050&gt;=1,J2050&lt;=K2050+3),IF(J2050&lt;=K2050,IF(J2050&lt;=99,IF((INDEX(Eingabe!$G$9:$G$18,I2050))&lt;=9,1000+(INDEX(Eingabe!$G$9:$G$18,I2050))*100,3000)+J2050,IF((INDEX(Eingabe!$G$9:$G$18,I2050)+1)&lt;=9,1000+(INDEX(Eingabe!$G$9:$G$18,I2050)+1)*100,3000)+J2050-100),IF(J2050=K2050+1,2000+INDEX(Eingabe!$G$9:$G$18,I2050)*10+1,IF(J2050=K2050+2,2000+INDEX(Eingabe!$G$9:$G$18,I2050)*10+2,2000+INDEX(Eingabe!$G$9:$G$18,I2050)*10+9))),""))</f>
        <v/>
      </c>
      <c r="C2050" s="0" t="str">
        <f aca="false">IF(I2050="","",IF(AND(J2050&gt;=1,J2050&lt;=K2050+3),"10."&amp;INDEX(Eingabe!$D$9:$D$18,I2050)&amp;"."&amp;IF(J2050&lt;=K2050,J2050,IF(J2050=K2050+1,200,IF(J2050=K2050+2,201,250)))&amp;".0/24",""))</f>
        <v/>
      </c>
      <c r="D2050" s="0" t="str">
        <f aca="false">IF(I2050="","",IF(AND(J2050&gt;=1,J2050&lt;=K2050+3),"255.255.255.0",""))</f>
        <v/>
      </c>
      <c r="E2050" s="0" t="str">
        <f aca="false">IF(I2050="","",IF(AND(J2050&gt;=1,J2050&lt;=K2050+3),"10."&amp;INDEX(Eingabe!$D$9:$D$18,I2050)&amp;"."&amp;IF(J2050&lt;=K2050,J2050,IF(J2050=K2050+1,200,IF(J2050=K2050+2,201,250)))&amp;".1",""))</f>
        <v/>
      </c>
      <c r="F2050" s="0" t="str">
        <f aca="false">IF(I2050="","",IF(AND(J2050&gt;=1,J2050&lt;=K2050+3),"10."&amp;INDEX(Eingabe!$D$9:$D$18,I2050)&amp;"."&amp;IF(J2050&lt;=K2050,J2050,IF(J2050=K2050+1,200,IF(J2050=K2050+2,201,250)))&amp;".10 – 10."&amp;INDEX(Eingabe!$D$9:$D$18,I2050)&amp;"."&amp;IF(J2050&lt;=K2050,J2050,IF(J2050=K2050+1,200,IF(J2050=K2050+2,201,250)))&amp;".250",""))</f>
        <v/>
      </c>
      <c r="G2050" s="0" t="str">
        <f aca="false">IF(I2050="","",IF(AND(J2050&gt;=1,J2050&lt;=K2050),Eingabe!$B$6&amp;"-"&amp;INDEX(Eingabe!$C$9:$C$18,I2050)&amp;"-Pächter  ·  Passwort Parzelle "&amp;J2050,IF(J2050=K2050+1,Eingabe!$B$6&amp;"-"&amp;INDEX(Eingabe!$C$9:$C$18,I2050)&amp;"-Vorstand  ·  eigenes WLAN",IF(J2050=K2050+2,Eingabe!$B$6&amp;"-"&amp;INDEX(Eingabe!$C$9:$C$18,I2050)&amp;"-Gäste  ·  Voucher",IF(J2050=K2050+3,"Kabel  ·  Access Point y = .(50+y), Mast-Switch x = .(10+x)","")))))</f>
        <v/>
      </c>
      <c r="I2050" s="0" t="str">
        <f aca="false">IF(2045&lt;=(Eingabe!$P$18+Eingabe!$Q$18-1),MATCH(2045,Eingabe!$P$9:$P$18,1),"")</f>
        <v/>
      </c>
      <c r="J2050" s="0" t="str">
        <f aca="false">IF(I2050="","",2045-INDEX(Eingabe!$P$9:$P$18,I2050))</f>
        <v/>
      </c>
      <c r="K2050" s="0" t="str">
        <f aca="false">IF(I2050="","",INDEX(Eingabe!$E$9:$E$18,I2050))</f>
        <v/>
      </c>
    </row>
    <row r="2051" customFormat="false" ht="15" hidden="false" customHeight="false" outlineLevel="0" collapsed="false">
      <c r="A2051" s="0" t="str">
        <f aca="false">IF(I2051="","",IF(J2051=0,"Sparte "&amp;I2051&amp;": "&amp;INDEX(Eingabe!$B$9:$B$18,I2051)&amp;"  (Sparten-ID "&amp;INDEX(Eingabe!$D$9:$D$18,I2051)&amp;", "&amp;K2051&amp;" Parzellen)",IF(J2051&lt;=K2051,"   Parzelle "&amp;J2051,IF(J2051=K2051+1,"   Vorstand",IF(J2051=K2051+2,"   Gäste",IF(J2051=K2051+3,"   Technik (Switches, Access Points)",""))))))</f>
        <v/>
      </c>
      <c r="B2051" s="0" t="str">
        <f aca="false">IF(I2051="","",IF(AND(J2051&gt;=1,J2051&lt;=K2051+3),IF(J2051&lt;=K2051,IF(J2051&lt;=99,IF((INDEX(Eingabe!$G$9:$G$18,I2051))&lt;=9,1000+(INDEX(Eingabe!$G$9:$G$18,I2051))*100,3000)+J2051,IF((INDEX(Eingabe!$G$9:$G$18,I2051)+1)&lt;=9,1000+(INDEX(Eingabe!$G$9:$G$18,I2051)+1)*100,3000)+J2051-100),IF(J2051=K2051+1,2000+INDEX(Eingabe!$G$9:$G$18,I2051)*10+1,IF(J2051=K2051+2,2000+INDEX(Eingabe!$G$9:$G$18,I2051)*10+2,2000+INDEX(Eingabe!$G$9:$G$18,I2051)*10+9))),""))</f>
        <v/>
      </c>
      <c r="C2051" s="0" t="str">
        <f aca="false">IF(I2051="","",IF(AND(J2051&gt;=1,J2051&lt;=K2051+3),"10."&amp;INDEX(Eingabe!$D$9:$D$18,I2051)&amp;"."&amp;IF(J2051&lt;=K2051,J2051,IF(J2051=K2051+1,200,IF(J2051=K2051+2,201,250)))&amp;".0/24",""))</f>
        <v/>
      </c>
      <c r="D2051" s="0" t="str">
        <f aca="false">IF(I2051="","",IF(AND(J2051&gt;=1,J2051&lt;=K2051+3),"255.255.255.0",""))</f>
        <v/>
      </c>
      <c r="E2051" s="0" t="str">
        <f aca="false">IF(I2051="","",IF(AND(J2051&gt;=1,J2051&lt;=K2051+3),"10."&amp;INDEX(Eingabe!$D$9:$D$18,I2051)&amp;"."&amp;IF(J2051&lt;=K2051,J2051,IF(J2051=K2051+1,200,IF(J2051=K2051+2,201,250)))&amp;".1",""))</f>
        <v/>
      </c>
      <c r="F2051" s="0" t="str">
        <f aca="false">IF(I2051="","",IF(AND(J2051&gt;=1,J2051&lt;=K2051+3),"10."&amp;INDEX(Eingabe!$D$9:$D$18,I2051)&amp;"."&amp;IF(J2051&lt;=K2051,J2051,IF(J2051=K2051+1,200,IF(J2051=K2051+2,201,250)))&amp;".10 – 10."&amp;INDEX(Eingabe!$D$9:$D$18,I2051)&amp;"."&amp;IF(J2051&lt;=K2051,J2051,IF(J2051=K2051+1,200,IF(J2051=K2051+2,201,250)))&amp;".250",""))</f>
        <v/>
      </c>
      <c r="G2051" s="0" t="str">
        <f aca="false">IF(I2051="","",IF(AND(J2051&gt;=1,J2051&lt;=K2051),Eingabe!$B$6&amp;"-"&amp;INDEX(Eingabe!$C$9:$C$18,I2051)&amp;"-Pächter  ·  Passwort Parzelle "&amp;J2051,IF(J2051=K2051+1,Eingabe!$B$6&amp;"-"&amp;INDEX(Eingabe!$C$9:$C$18,I2051)&amp;"-Vorstand  ·  eigenes WLAN",IF(J2051=K2051+2,Eingabe!$B$6&amp;"-"&amp;INDEX(Eingabe!$C$9:$C$18,I2051)&amp;"-Gäste  ·  Voucher",IF(J2051=K2051+3,"Kabel  ·  Access Point y = .(50+y), Mast-Switch x = .(10+x)","")))))</f>
        <v/>
      </c>
      <c r="I2051" s="0" t="str">
        <f aca="false">IF(2046&lt;=(Eingabe!$P$18+Eingabe!$Q$18-1),MATCH(2046,Eingabe!$P$9:$P$18,1),"")</f>
        <v/>
      </c>
      <c r="J2051" s="0" t="str">
        <f aca="false">IF(I2051="","",2046-INDEX(Eingabe!$P$9:$P$18,I2051))</f>
        <v/>
      </c>
      <c r="K2051" s="0" t="str">
        <f aca="false">IF(I2051="","",INDEX(Eingabe!$E$9:$E$18,I2051))</f>
        <v/>
      </c>
    </row>
    <row r="2052" customFormat="false" ht="15" hidden="false" customHeight="false" outlineLevel="0" collapsed="false">
      <c r="A2052" s="0" t="str">
        <f aca="false">IF(I2052="","",IF(J2052=0,"Sparte "&amp;I2052&amp;": "&amp;INDEX(Eingabe!$B$9:$B$18,I2052)&amp;"  (Sparten-ID "&amp;INDEX(Eingabe!$D$9:$D$18,I2052)&amp;", "&amp;K2052&amp;" Parzellen)",IF(J2052&lt;=K2052,"   Parzelle "&amp;J2052,IF(J2052=K2052+1,"   Vorstand",IF(J2052=K2052+2,"   Gäste",IF(J2052=K2052+3,"   Technik (Switches, Access Points)",""))))))</f>
        <v/>
      </c>
      <c r="B2052" s="0" t="str">
        <f aca="false">IF(I2052="","",IF(AND(J2052&gt;=1,J2052&lt;=K2052+3),IF(J2052&lt;=K2052,IF(J2052&lt;=99,IF((INDEX(Eingabe!$G$9:$G$18,I2052))&lt;=9,1000+(INDEX(Eingabe!$G$9:$G$18,I2052))*100,3000)+J2052,IF((INDEX(Eingabe!$G$9:$G$18,I2052)+1)&lt;=9,1000+(INDEX(Eingabe!$G$9:$G$18,I2052)+1)*100,3000)+J2052-100),IF(J2052=K2052+1,2000+INDEX(Eingabe!$G$9:$G$18,I2052)*10+1,IF(J2052=K2052+2,2000+INDEX(Eingabe!$G$9:$G$18,I2052)*10+2,2000+INDEX(Eingabe!$G$9:$G$18,I2052)*10+9))),""))</f>
        <v/>
      </c>
      <c r="C2052" s="0" t="str">
        <f aca="false">IF(I2052="","",IF(AND(J2052&gt;=1,J2052&lt;=K2052+3),"10."&amp;INDEX(Eingabe!$D$9:$D$18,I2052)&amp;"."&amp;IF(J2052&lt;=K2052,J2052,IF(J2052=K2052+1,200,IF(J2052=K2052+2,201,250)))&amp;".0/24",""))</f>
        <v/>
      </c>
      <c r="D2052" s="0" t="str">
        <f aca="false">IF(I2052="","",IF(AND(J2052&gt;=1,J2052&lt;=K2052+3),"255.255.255.0",""))</f>
        <v/>
      </c>
      <c r="E2052" s="0" t="str">
        <f aca="false">IF(I2052="","",IF(AND(J2052&gt;=1,J2052&lt;=K2052+3),"10."&amp;INDEX(Eingabe!$D$9:$D$18,I2052)&amp;"."&amp;IF(J2052&lt;=K2052,J2052,IF(J2052=K2052+1,200,IF(J2052=K2052+2,201,250)))&amp;".1",""))</f>
        <v/>
      </c>
      <c r="F2052" s="0" t="str">
        <f aca="false">IF(I2052="","",IF(AND(J2052&gt;=1,J2052&lt;=K2052+3),"10."&amp;INDEX(Eingabe!$D$9:$D$18,I2052)&amp;"."&amp;IF(J2052&lt;=K2052,J2052,IF(J2052=K2052+1,200,IF(J2052=K2052+2,201,250)))&amp;".10 – 10."&amp;INDEX(Eingabe!$D$9:$D$18,I2052)&amp;"."&amp;IF(J2052&lt;=K2052,J2052,IF(J2052=K2052+1,200,IF(J2052=K2052+2,201,250)))&amp;".250",""))</f>
        <v/>
      </c>
      <c r="G2052" s="0" t="str">
        <f aca="false">IF(I2052="","",IF(AND(J2052&gt;=1,J2052&lt;=K2052),Eingabe!$B$6&amp;"-"&amp;INDEX(Eingabe!$C$9:$C$18,I2052)&amp;"-Pächter  ·  Passwort Parzelle "&amp;J2052,IF(J2052=K2052+1,Eingabe!$B$6&amp;"-"&amp;INDEX(Eingabe!$C$9:$C$18,I2052)&amp;"-Vorstand  ·  eigenes WLAN",IF(J2052=K2052+2,Eingabe!$B$6&amp;"-"&amp;INDEX(Eingabe!$C$9:$C$18,I2052)&amp;"-Gäste  ·  Voucher",IF(J2052=K2052+3,"Kabel  ·  Access Point y = .(50+y), Mast-Switch x = .(10+x)","")))))</f>
        <v/>
      </c>
      <c r="I2052" s="0" t="str">
        <f aca="false">IF(2047&lt;=(Eingabe!$P$18+Eingabe!$Q$18-1),MATCH(2047,Eingabe!$P$9:$P$18,1),"")</f>
        <v/>
      </c>
      <c r="J2052" s="0" t="str">
        <f aca="false">IF(I2052="","",2047-INDEX(Eingabe!$P$9:$P$18,I2052))</f>
        <v/>
      </c>
      <c r="K2052" s="0" t="str">
        <f aca="false">IF(I2052="","",INDEX(Eingabe!$E$9:$E$18,I2052))</f>
        <v/>
      </c>
    </row>
    <row r="2053" customFormat="false" ht="15" hidden="false" customHeight="false" outlineLevel="0" collapsed="false">
      <c r="A2053" s="0" t="str">
        <f aca="false">IF(I2053="","",IF(J2053=0,"Sparte "&amp;I2053&amp;": "&amp;INDEX(Eingabe!$B$9:$B$18,I2053)&amp;"  (Sparten-ID "&amp;INDEX(Eingabe!$D$9:$D$18,I2053)&amp;", "&amp;K2053&amp;" Parzellen)",IF(J2053&lt;=K2053,"   Parzelle "&amp;J2053,IF(J2053=K2053+1,"   Vorstand",IF(J2053=K2053+2,"   Gäste",IF(J2053=K2053+3,"   Technik (Switches, Access Points)",""))))))</f>
        <v/>
      </c>
      <c r="B2053" s="0" t="str">
        <f aca="false">IF(I2053="","",IF(AND(J2053&gt;=1,J2053&lt;=K2053+3),IF(J2053&lt;=K2053,IF(J2053&lt;=99,IF((INDEX(Eingabe!$G$9:$G$18,I2053))&lt;=9,1000+(INDEX(Eingabe!$G$9:$G$18,I2053))*100,3000)+J2053,IF((INDEX(Eingabe!$G$9:$G$18,I2053)+1)&lt;=9,1000+(INDEX(Eingabe!$G$9:$G$18,I2053)+1)*100,3000)+J2053-100),IF(J2053=K2053+1,2000+INDEX(Eingabe!$G$9:$G$18,I2053)*10+1,IF(J2053=K2053+2,2000+INDEX(Eingabe!$G$9:$G$18,I2053)*10+2,2000+INDEX(Eingabe!$G$9:$G$18,I2053)*10+9))),""))</f>
        <v/>
      </c>
      <c r="C2053" s="0" t="str">
        <f aca="false">IF(I2053="","",IF(AND(J2053&gt;=1,J2053&lt;=K2053+3),"10."&amp;INDEX(Eingabe!$D$9:$D$18,I2053)&amp;"."&amp;IF(J2053&lt;=K2053,J2053,IF(J2053=K2053+1,200,IF(J2053=K2053+2,201,250)))&amp;".0/24",""))</f>
        <v/>
      </c>
      <c r="D2053" s="0" t="str">
        <f aca="false">IF(I2053="","",IF(AND(J2053&gt;=1,J2053&lt;=K2053+3),"255.255.255.0",""))</f>
        <v/>
      </c>
      <c r="E2053" s="0" t="str">
        <f aca="false">IF(I2053="","",IF(AND(J2053&gt;=1,J2053&lt;=K2053+3),"10."&amp;INDEX(Eingabe!$D$9:$D$18,I2053)&amp;"."&amp;IF(J2053&lt;=K2053,J2053,IF(J2053=K2053+1,200,IF(J2053=K2053+2,201,250)))&amp;".1",""))</f>
        <v/>
      </c>
      <c r="F2053" s="0" t="str">
        <f aca="false">IF(I2053="","",IF(AND(J2053&gt;=1,J2053&lt;=K2053+3),"10."&amp;INDEX(Eingabe!$D$9:$D$18,I2053)&amp;"."&amp;IF(J2053&lt;=K2053,J2053,IF(J2053=K2053+1,200,IF(J2053=K2053+2,201,250)))&amp;".10 – 10."&amp;INDEX(Eingabe!$D$9:$D$18,I2053)&amp;"."&amp;IF(J2053&lt;=K2053,J2053,IF(J2053=K2053+1,200,IF(J2053=K2053+2,201,250)))&amp;".250",""))</f>
        <v/>
      </c>
      <c r="G2053" s="0" t="str">
        <f aca="false">IF(I2053="","",IF(AND(J2053&gt;=1,J2053&lt;=K2053),Eingabe!$B$6&amp;"-"&amp;INDEX(Eingabe!$C$9:$C$18,I2053)&amp;"-Pächter  ·  Passwort Parzelle "&amp;J2053,IF(J2053=K2053+1,Eingabe!$B$6&amp;"-"&amp;INDEX(Eingabe!$C$9:$C$18,I2053)&amp;"-Vorstand  ·  eigenes WLAN",IF(J2053=K2053+2,Eingabe!$B$6&amp;"-"&amp;INDEX(Eingabe!$C$9:$C$18,I2053)&amp;"-Gäste  ·  Voucher",IF(J2053=K2053+3,"Kabel  ·  Access Point y = .(50+y), Mast-Switch x = .(10+x)","")))))</f>
        <v/>
      </c>
      <c r="I2053" s="0" t="str">
        <f aca="false">IF(2048&lt;=(Eingabe!$P$18+Eingabe!$Q$18-1),MATCH(2048,Eingabe!$P$9:$P$18,1),"")</f>
        <v/>
      </c>
      <c r="J2053" s="0" t="str">
        <f aca="false">IF(I2053="","",2048-INDEX(Eingabe!$P$9:$P$18,I2053))</f>
        <v/>
      </c>
      <c r="K2053" s="0" t="str">
        <f aca="false">IF(I2053="","",INDEX(Eingabe!$E$9:$E$18,I2053))</f>
        <v/>
      </c>
    </row>
    <row r="2054" customFormat="false" ht="15" hidden="false" customHeight="false" outlineLevel="0" collapsed="false">
      <c r="A2054" s="0" t="str">
        <f aca="false">IF(I2054="","",IF(J2054=0,"Sparte "&amp;I2054&amp;": "&amp;INDEX(Eingabe!$B$9:$B$18,I2054)&amp;"  (Sparten-ID "&amp;INDEX(Eingabe!$D$9:$D$18,I2054)&amp;", "&amp;K2054&amp;" Parzellen)",IF(J2054&lt;=K2054,"   Parzelle "&amp;J2054,IF(J2054=K2054+1,"   Vorstand",IF(J2054=K2054+2,"   Gäste",IF(J2054=K2054+3,"   Technik (Switches, Access Points)",""))))))</f>
        <v/>
      </c>
      <c r="B2054" s="0" t="str">
        <f aca="false">IF(I2054="","",IF(AND(J2054&gt;=1,J2054&lt;=K2054+3),IF(J2054&lt;=K2054,IF(J2054&lt;=99,IF((INDEX(Eingabe!$G$9:$G$18,I2054))&lt;=9,1000+(INDEX(Eingabe!$G$9:$G$18,I2054))*100,3000)+J2054,IF((INDEX(Eingabe!$G$9:$G$18,I2054)+1)&lt;=9,1000+(INDEX(Eingabe!$G$9:$G$18,I2054)+1)*100,3000)+J2054-100),IF(J2054=K2054+1,2000+INDEX(Eingabe!$G$9:$G$18,I2054)*10+1,IF(J2054=K2054+2,2000+INDEX(Eingabe!$G$9:$G$18,I2054)*10+2,2000+INDEX(Eingabe!$G$9:$G$18,I2054)*10+9))),""))</f>
        <v/>
      </c>
      <c r="C2054" s="0" t="str">
        <f aca="false">IF(I2054="","",IF(AND(J2054&gt;=1,J2054&lt;=K2054+3),"10."&amp;INDEX(Eingabe!$D$9:$D$18,I2054)&amp;"."&amp;IF(J2054&lt;=K2054,J2054,IF(J2054=K2054+1,200,IF(J2054=K2054+2,201,250)))&amp;".0/24",""))</f>
        <v/>
      </c>
      <c r="D2054" s="0" t="str">
        <f aca="false">IF(I2054="","",IF(AND(J2054&gt;=1,J2054&lt;=K2054+3),"255.255.255.0",""))</f>
        <v/>
      </c>
      <c r="E2054" s="0" t="str">
        <f aca="false">IF(I2054="","",IF(AND(J2054&gt;=1,J2054&lt;=K2054+3),"10."&amp;INDEX(Eingabe!$D$9:$D$18,I2054)&amp;"."&amp;IF(J2054&lt;=K2054,J2054,IF(J2054=K2054+1,200,IF(J2054=K2054+2,201,250)))&amp;".1",""))</f>
        <v/>
      </c>
      <c r="F2054" s="0" t="str">
        <f aca="false">IF(I2054="","",IF(AND(J2054&gt;=1,J2054&lt;=K2054+3),"10."&amp;INDEX(Eingabe!$D$9:$D$18,I2054)&amp;"."&amp;IF(J2054&lt;=K2054,J2054,IF(J2054=K2054+1,200,IF(J2054=K2054+2,201,250)))&amp;".10 – 10."&amp;INDEX(Eingabe!$D$9:$D$18,I2054)&amp;"."&amp;IF(J2054&lt;=K2054,J2054,IF(J2054=K2054+1,200,IF(J2054=K2054+2,201,250)))&amp;".250",""))</f>
        <v/>
      </c>
      <c r="G2054" s="0" t="str">
        <f aca="false">IF(I2054="","",IF(AND(J2054&gt;=1,J2054&lt;=K2054),Eingabe!$B$6&amp;"-"&amp;INDEX(Eingabe!$C$9:$C$18,I2054)&amp;"-Pächter  ·  Passwort Parzelle "&amp;J2054,IF(J2054=K2054+1,Eingabe!$B$6&amp;"-"&amp;INDEX(Eingabe!$C$9:$C$18,I2054)&amp;"-Vorstand  ·  eigenes WLAN",IF(J2054=K2054+2,Eingabe!$B$6&amp;"-"&amp;INDEX(Eingabe!$C$9:$C$18,I2054)&amp;"-Gäste  ·  Voucher",IF(J2054=K2054+3,"Kabel  ·  Access Point y = .(50+y), Mast-Switch x = .(10+x)","")))))</f>
        <v/>
      </c>
      <c r="I2054" s="0" t="str">
        <f aca="false">IF(2049&lt;=(Eingabe!$P$18+Eingabe!$Q$18-1),MATCH(2049,Eingabe!$P$9:$P$18,1),"")</f>
        <v/>
      </c>
      <c r="J2054" s="0" t="str">
        <f aca="false">IF(I2054="","",2049-INDEX(Eingabe!$P$9:$P$18,I2054))</f>
        <v/>
      </c>
      <c r="K2054" s="0" t="str">
        <f aca="false">IF(I2054="","",INDEX(Eingabe!$E$9:$E$18,I2054))</f>
        <v/>
      </c>
    </row>
    <row r="2055" customFormat="false" ht="15" hidden="false" customHeight="false" outlineLevel="0" collapsed="false">
      <c r="A2055" s="0" t="str">
        <f aca="false">IF(I2055="","",IF(J2055=0,"Sparte "&amp;I2055&amp;": "&amp;INDEX(Eingabe!$B$9:$B$18,I2055)&amp;"  (Sparten-ID "&amp;INDEX(Eingabe!$D$9:$D$18,I2055)&amp;", "&amp;K2055&amp;" Parzellen)",IF(J2055&lt;=K2055,"   Parzelle "&amp;J2055,IF(J2055=K2055+1,"   Vorstand",IF(J2055=K2055+2,"   Gäste",IF(J2055=K2055+3,"   Technik (Switches, Access Points)",""))))))</f>
        <v/>
      </c>
      <c r="B2055" s="0" t="str">
        <f aca="false">IF(I2055="","",IF(AND(J2055&gt;=1,J2055&lt;=K2055+3),IF(J2055&lt;=K2055,IF(J2055&lt;=99,IF((INDEX(Eingabe!$G$9:$G$18,I2055))&lt;=9,1000+(INDEX(Eingabe!$G$9:$G$18,I2055))*100,3000)+J2055,IF((INDEX(Eingabe!$G$9:$G$18,I2055)+1)&lt;=9,1000+(INDEX(Eingabe!$G$9:$G$18,I2055)+1)*100,3000)+J2055-100),IF(J2055=K2055+1,2000+INDEX(Eingabe!$G$9:$G$18,I2055)*10+1,IF(J2055=K2055+2,2000+INDEX(Eingabe!$G$9:$G$18,I2055)*10+2,2000+INDEX(Eingabe!$G$9:$G$18,I2055)*10+9))),""))</f>
        <v/>
      </c>
      <c r="C2055" s="0" t="str">
        <f aca="false">IF(I2055="","",IF(AND(J2055&gt;=1,J2055&lt;=K2055+3),"10."&amp;INDEX(Eingabe!$D$9:$D$18,I2055)&amp;"."&amp;IF(J2055&lt;=K2055,J2055,IF(J2055=K2055+1,200,IF(J2055=K2055+2,201,250)))&amp;".0/24",""))</f>
        <v/>
      </c>
      <c r="D2055" s="0" t="str">
        <f aca="false">IF(I2055="","",IF(AND(J2055&gt;=1,J2055&lt;=K2055+3),"255.255.255.0",""))</f>
        <v/>
      </c>
      <c r="E2055" s="0" t="str">
        <f aca="false">IF(I2055="","",IF(AND(J2055&gt;=1,J2055&lt;=K2055+3),"10."&amp;INDEX(Eingabe!$D$9:$D$18,I2055)&amp;"."&amp;IF(J2055&lt;=K2055,J2055,IF(J2055=K2055+1,200,IF(J2055=K2055+2,201,250)))&amp;".1",""))</f>
        <v/>
      </c>
      <c r="F2055" s="0" t="str">
        <f aca="false">IF(I2055="","",IF(AND(J2055&gt;=1,J2055&lt;=K2055+3),"10."&amp;INDEX(Eingabe!$D$9:$D$18,I2055)&amp;"."&amp;IF(J2055&lt;=K2055,J2055,IF(J2055=K2055+1,200,IF(J2055=K2055+2,201,250)))&amp;".10 – 10."&amp;INDEX(Eingabe!$D$9:$D$18,I2055)&amp;"."&amp;IF(J2055&lt;=K2055,J2055,IF(J2055=K2055+1,200,IF(J2055=K2055+2,201,250)))&amp;".250",""))</f>
        <v/>
      </c>
      <c r="G2055" s="0" t="str">
        <f aca="false">IF(I2055="","",IF(AND(J2055&gt;=1,J2055&lt;=K2055),Eingabe!$B$6&amp;"-"&amp;INDEX(Eingabe!$C$9:$C$18,I2055)&amp;"-Pächter  ·  Passwort Parzelle "&amp;J2055,IF(J2055=K2055+1,Eingabe!$B$6&amp;"-"&amp;INDEX(Eingabe!$C$9:$C$18,I2055)&amp;"-Vorstand  ·  eigenes WLAN",IF(J2055=K2055+2,Eingabe!$B$6&amp;"-"&amp;INDEX(Eingabe!$C$9:$C$18,I2055)&amp;"-Gäste  ·  Voucher",IF(J2055=K2055+3,"Kabel  ·  Access Point y = .(50+y), Mast-Switch x = .(10+x)","")))))</f>
        <v/>
      </c>
      <c r="I2055" s="0" t="str">
        <f aca="false">IF(2050&lt;=(Eingabe!$P$18+Eingabe!$Q$18-1),MATCH(2050,Eingabe!$P$9:$P$18,1),"")</f>
        <v/>
      </c>
      <c r="J2055" s="0" t="str">
        <f aca="false">IF(I2055="","",2050-INDEX(Eingabe!$P$9:$P$18,I2055))</f>
        <v/>
      </c>
      <c r="K2055" s="0" t="str">
        <f aca="false">IF(I2055="","",INDEX(Eingabe!$E$9:$E$18,I2055))</f>
        <v/>
      </c>
    </row>
    <row r="2056" customFormat="false" ht="15" hidden="false" customHeight="false" outlineLevel="0" collapsed="false">
      <c r="A2056" s="0" t="str">
        <f aca="false">IF(I2056="","",IF(J2056=0,"Sparte "&amp;I2056&amp;": "&amp;INDEX(Eingabe!$B$9:$B$18,I2056)&amp;"  (Sparten-ID "&amp;INDEX(Eingabe!$D$9:$D$18,I2056)&amp;", "&amp;K2056&amp;" Parzellen)",IF(J2056&lt;=K2056,"   Parzelle "&amp;J2056,IF(J2056=K2056+1,"   Vorstand",IF(J2056=K2056+2,"   Gäste",IF(J2056=K2056+3,"   Technik (Switches, Access Points)",""))))))</f>
        <v/>
      </c>
      <c r="B2056" s="0" t="str">
        <f aca="false">IF(I2056="","",IF(AND(J2056&gt;=1,J2056&lt;=K2056+3),IF(J2056&lt;=K2056,IF(J2056&lt;=99,IF((INDEX(Eingabe!$G$9:$G$18,I2056))&lt;=9,1000+(INDEX(Eingabe!$G$9:$G$18,I2056))*100,3000)+J2056,IF((INDEX(Eingabe!$G$9:$G$18,I2056)+1)&lt;=9,1000+(INDEX(Eingabe!$G$9:$G$18,I2056)+1)*100,3000)+J2056-100),IF(J2056=K2056+1,2000+INDEX(Eingabe!$G$9:$G$18,I2056)*10+1,IF(J2056=K2056+2,2000+INDEX(Eingabe!$G$9:$G$18,I2056)*10+2,2000+INDEX(Eingabe!$G$9:$G$18,I2056)*10+9))),""))</f>
        <v/>
      </c>
      <c r="C2056" s="0" t="str">
        <f aca="false">IF(I2056="","",IF(AND(J2056&gt;=1,J2056&lt;=K2056+3),"10."&amp;INDEX(Eingabe!$D$9:$D$18,I2056)&amp;"."&amp;IF(J2056&lt;=K2056,J2056,IF(J2056=K2056+1,200,IF(J2056=K2056+2,201,250)))&amp;".0/24",""))</f>
        <v/>
      </c>
      <c r="D2056" s="0" t="str">
        <f aca="false">IF(I2056="","",IF(AND(J2056&gt;=1,J2056&lt;=K2056+3),"255.255.255.0",""))</f>
        <v/>
      </c>
      <c r="E2056" s="0" t="str">
        <f aca="false">IF(I2056="","",IF(AND(J2056&gt;=1,J2056&lt;=K2056+3),"10."&amp;INDEX(Eingabe!$D$9:$D$18,I2056)&amp;"."&amp;IF(J2056&lt;=K2056,J2056,IF(J2056=K2056+1,200,IF(J2056=K2056+2,201,250)))&amp;".1",""))</f>
        <v/>
      </c>
      <c r="F2056" s="0" t="str">
        <f aca="false">IF(I2056="","",IF(AND(J2056&gt;=1,J2056&lt;=K2056+3),"10."&amp;INDEX(Eingabe!$D$9:$D$18,I2056)&amp;"."&amp;IF(J2056&lt;=K2056,J2056,IF(J2056=K2056+1,200,IF(J2056=K2056+2,201,250)))&amp;".10 – 10."&amp;INDEX(Eingabe!$D$9:$D$18,I2056)&amp;"."&amp;IF(J2056&lt;=K2056,J2056,IF(J2056=K2056+1,200,IF(J2056=K2056+2,201,250)))&amp;".250",""))</f>
        <v/>
      </c>
      <c r="G2056" s="0" t="str">
        <f aca="false">IF(I2056="","",IF(AND(J2056&gt;=1,J2056&lt;=K2056),Eingabe!$B$6&amp;"-"&amp;INDEX(Eingabe!$C$9:$C$18,I2056)&amp;"-Pächter  ·  Passwort Parzelle "&amp;J2056,IF(J2056=K2056+1,Eingabe!$B$6&amp;"-"&amp;INDEX(Eingabe!$C$9:$C$18,I2056)&amp;"-Vorstand  ·  eigenes WLAN",IF(J2056=K2056+2,Eingabe!$B$6&amp;"-"&amp;INDEX(Eingabe!$C$9:$C$18,I2056)&amp;"-Gäste  ·  Voucher",IF(J2056=K2056+3,"Kabel  ·  Access Point y = .(50+y), Mast-Switch x = .(10+x)","")))))</f>
        <v/>
      </c>
      <c r="I2056" s="0" t="str">
        <f aca="false">IF(2051&lt;=(Eingabe!$P$18+Eingabe!$Q$18-1),MATCH(2051,Eingabe!$P$9:$P$18,1),"")</f>
        <v/>
      </c>
      <c r="J2056" s="0" t="str">
        <f aca="false">IF(I2056="","",2051-INDEX(Eingabe!$P$9:$P$18,I2056))</f>
        <v/>
      </c>
      <c r="K2056" s="0" t="str">
        <f aca="false">IF(I2056="","",INDEX(Eingabe!$E$9:$E$18,I2056))</f>
        <v/>
      </c>
    </row>
    <row r="2057" customFormat="false" ht="15" hidden="false" customHeight="false" outlineLevel="0" collapsed="false">
      <c r="A2057" s="0" t="str">
        <f aca="false">IF(I2057="","",IF(J2057=0,"Sparte "&amp;I2057&amp;": "&amp;INDEX(Eingabe!$B$9:$B$18,I2057)&amp;"  (Sparten-ID "&amp;INDEX(Eingabe!$D$9:$D$18,I2057)&amp;", "&amp;K2057&amp;" Parzellen)",IF(J2057&lt;=K2057,"   Parzelle "&amp;J2057,IF(J2057=K2057+1,"   Vorstand",IF(J2057=K2057+2,"   Gäste",IF(J2057=K2057+3,"   Technik (Switches, Access Points)",""))))))</f>
        <v/>
      </c>
      <c r="B2057" s="0" t="str">
        <f aca="false">IF(I2057="","",IF(AND(J2057&gt;=1,J2057&lt;=K2057+3),IF(J2057&lt;=K2057,IF(J2057&lt;=99,IF((INDEX(Eingabe!$G$9:$G$18,I2057))&lt;=9,1000+(INDEX(Eingabe!$G$9:$G$18,I2057))*100,3000)+J2057,IF((INDEX(Eingabe!$G$9:$G$18,I2057)+1)&lt;=9,1000+(INDEX(Eingabe!$G$9:$G$18,I2057)+1)*100,3000)+J2057-100),IF(J2057=K2057+1,2000+INDEX(Eingabe!$G$9:$G$18,I2057)*10+1,IF(J2057=K2057+2,2000+INDEX(Eingabe!$G$9:$G$18,I2057)*10+2,2000+INDEX(Eingabe!$G$9:$G$18,I2057)*10+9))),""))</f>
        <v/>
      </c>
      <c r="C2057" s="0" t="str">
        <f aca="false">IF(I2057="","",IF(AND(J2057&gt;=1,J2057&lt;=K2057+3),"10."&amp;INDEX(Eingabe!$D$9:$D$18,I2057)&amp;"."&amp;IF(J2057&lt;=K2057,J2057,IF(J2057=K2057+1,200,IF(J2057=K2057+2,201,250)))&amp;".0/24",""))</f>
        <v/>
      </c>
      <c r="D2057" s="0" t="str">
        <f aca="false">IF(I2057="","",IF(AND(J2057&gt;=1,J2057&lt;=K2057+3),"255.255.255.0",""))</f>
        <v/>
      </c>
      <c r="E2057" s="0" t="str">
        <f aca="false">IF(I2057="","",IF(AND(J2057&gt;=1,J2057&lt;=K2057+3),"10."&amp;INDEX(Eingabe!$D$9:$D$18,I2057)&amp;"."&amp;IF(J2057&lt;=K2057,J2057,IF(J2057=K2057+1,200,IF(J2057=K2057+2,201,250)))&amp;".1",""))</f>
        <v/>
      </c>
      <c r="F2057" s="0" t="str">
        <f aca="false">IF(I2057="","",IF(AND(J2057&gt;=1,J2057&lt;=K2057+3),"10."&amp;INDEX(Eingabe!$D$9:$D$18,I2057)&amp;"."&amp;IF(J2057&lt;=K2057,J2057,IF(J2057=K2057+1,200,IF(J2057=K2057+2,201,250)))&amp;".10 – 10."&amp;INDEX(Eingabe!$D$9:$D$18,I2057)&amp;"."&amp;IF(J2057&lt;=K2057,J2057,IF(J2057=K2057+1,200,IF(J2057=K2057+2,201,250)))&amp;".250",""))</f>
        <v/>
      </c>
      <c r="G2057" s="0" t="str">
        <f aca="false">IF(I2057="","",IF(AND(J2057&gt;=1,J2057&lt;=K2057),Eingabe!$B$6&amp;"-"&amp;INDEX(Eingabe!$C$9:$C$18,I2057)&amp;"-Pächter  ·  Passwort Parzelle "&amp;J2057,IF(J2057=K2057+1,Eingabe!$B$6&amp;"-"&amp;INDEX(Eingabe!$C$9:$C$18,I2057)&amp;"-Vorstand  ·  eigenes WLAN",IF(J2057=K2057+2,Eingabe!$B$6&amp;"-"&amp;INDEX(Eingabe!$C$9:$C$18,I2057)&amp;"-Gäste  ·  Voucher",IF(J2057=K2057+3,"Kabel  ·  Access Point y = .(50+y), Mast-Switch x = .(10+x)","")))))</f>
        <v/>
      </c>
      <c r="I2057" s="0" t="str">
        <f aca="false">IF(2052&lt;=(Eingabe!$P$18+Eingabe!$Q$18-1),MATCH(2052,Eingabe!$P$9:$P$18,1),"")</f>
        <v/>
      </c>
      <c r="J2057" s="0" t="str">
        <f aca="false">IF(I2057="","",2052-INDEX(Eingabe!$P$9:$P$18,I2057))</f>
        <v/>
      </c>
      <c r="K2057" s="0" t="str">
        <f aca="false">IF(I2057="","",INDEX(Eingabe!$E$9:$E$18,I2057))</f>
        <v/>
      </c>
    </row>
    <row r="2058" customFormat="false" ht="15" hidden="false" customHeight="false" outlineLevel="0" collapsed="false">
      <c r="A2058" s="0" t="str">
        <f aca="false">IF(I2058="","",IF(J2058=0,"Sparte "&amp;I2058&amp;": "&amp;INDEX(Eingabe!$B$9:$B$18,I2058)&amp;"  (Sparten-ID "&amp;INDEX(Eingabe!$D$9:$D$18,I2058)&amp;", "&amp;K2058&amp;" Parzellen)",IF(J2058&lt;=K2058,"   Parzelle "&amp;J2058,IF(J2058=K2058+1,"   Vorstand",IF(J2058=K2058+2,"   Gäste",IF(J2058=K2058+3,"   Technik (Switches, Access Points)",""))))))</f>
        <v/>
      </c>
      <c r="B2058" s="0" t="str">
        <f aca="false">IF(I2058="","",IF(AND(J2058&gt;=1,J2058&lt;=K2058+3),IF(J2058&lt;=K2058,IF(J2058&lt;=99,IF((INDEX(Eingabe!$G$9:$G$18,I2058))&lt;=9,1000+(INDEX(Eingabe!$G$9:$G$18,I2058))*100,3000)+J2058,IF((INDEX(Eingabe!$G$9:$G$18,I2058)+1)&lt;=9,1000+(INDEX(Eingabe!$G$9:$G$18,I2058)+1)*100,3000)+J2058-100),IF(J2058=K2058+1,2000+INDEX(Eingabe!$G$9:$G$18,I2058)*10+1,IF(J2058=K2058+2,2000+INDEX(Eingabe!$G$9:$G$18,I2058)*10+2,2000+INDEX(Eingabe!$G$9:$G$18,I2058)*10+9))),""))</f>
        <v/>
      </c>
      <c r="C2058" s="0" t="str">
        <f aca="false">IF(I2058="","",IF(AND(J2058&gt;=1,J2058&lt;=K2058+3),"10."&amp;INDEX(Eingabe!$D$9:$D$18,I2058)&amp;"."&amp;IF(J2058&lt;=K2058,J2058,IF(J2058=K2058+1,200,IF(J2058=K2058+2,201,250)))&amp;".0/24",""))</f>
        <v/>
      </c>
      <c r="D2058" s="0" t="str">
        <f aca="false">IF(I2058="","",IF(AND(J2058&gt;=1,J2058&lt;=K2058+3),"255.255.255.0",""))</f>
        <v/>
      </c>
      <c r="E2058" s="0" t="str">
        <f aca="false">IF(I2058="","",IF(AND(J2058&gt;=1,J2058&lt;=K2058+3),"10."&amp;INDEX(Eingabe!$D$9:$D$18,I2058)&amp;"."&amp;IF(J2058&lt;=K2058,J2058,IF(J2058=K2058+1,200,IF(J2058=K2058+2,201,250)))&amp;".1",""))</f>
        <v/>
      </c>
      <c r="F2058" s="0" t="str">
        <f aca="false">IF(I2058="","",IF(AND(J2058&gt;=1,J2058&lt;=K2058+3),"10."&amp;INDEX(Eingabe!$D$9:$D$18,I2058)&amp;"."&amp;IF(J2058&lt;=K2058,J2058,IF(J2058=K2058+1,200,IF(J2058=K2058+2,201,250)))&amp;".10 – 10."&amp;INDEX(Eingabe!$D$9:$D$18,I2058)&amp;"."&amp;IF(J2058&lt;=K2058,J2058,IF(J2058=K2058+1,200,IF(J2058=K2058+2,201,250)))&amp;".250",""))</f>
        <v/>
      </c>
      <c r="G2058" s="0" t="str">
        <f aca="false">IF(I2058="","",IF(AND(J2058&gt;=1,J2058&lt;=K2058),Eingabe!$B$6&amp;"-"&amp;INDEX(Eingabe!$C$9:$C$18,I2058)&amp;"-Pächter  ·  Passwort Parzelle "&amp;J2058,IF(J2058=K2058+1,Eingabe!$B$6&amp;"-"&amp;INDEX(Eingabe!$C$9:$C$18,I2058)&amp;"-Vorstand  ·  eigenes WLAN",IF(J2058=K2058+2,Eingabe!$B$6&amp;"-"&amp;INDEX(Eingabe!$C$9:$C$18,I2058)&amp;"-Gäste  ·  Voucher",IF(J2058=K2058+3,"Kabel  ·  Access Point y = .(50+y), Mast-Switch x = .(10+x)","")))))</f>
        <v/>
      </c>
      <c r="I2058" s="0" t="str">
        <f aca="false">IF(2053&lt;=(Eingabe!$P$18+Eingabe!$Q$18-1),MATCH(2053,Eingabe!$P$9:$P$18,1),"")</f>
        <v/>
      </c>
      <c r="J2058" s="0" t="str">
        <f aca="false">IF(I2058="","",2053-INDEX(Eingabe!$P$9:$P$18,I2058))</f>
        <v/>
      </c>
      <c r="K2058" s="0" t="str">
        <f aca="false">IF(I2058="","",INDEX(Eingabe!$E$9:$E$18,I2058))</f>
        <v/>
      </c>
    </row>
    <row r="2059" customFormat="false" ht="15" hidden="false" customHeight="false" outlineLevel="0" collapsed="false">
      <c r="A2059" s="0" t="str">
        <f aca="false">IF(I2059="","",IF(J2059=0,"Sparte "&amp;I2059&amp;": "&amp;INDEX(Eingabe!$B$9:$B$18,I2059)&amp;"  (Sparten-ID "&amp;INDEX(Eingabe!$D$9:$D$18,I2059)&amp;", "&amp;K2059&amp;" Parzellen)",IF(J2059&lt;=K2059,"   Parzelle "&amp;J2059,IF(J2059=K2059+1,"   Vorstand",IF(J2059=K2059+2,"   Gäste",IF(J2059=K2059+3,"   Technik (Switches, Access Points)",""))))))</f>
        <v/>
      </c>
      <c r="B2059" s="0" t="str">
        <f aca="false">IF(I2059="","",IF(AND(J2059&gt;=1,J2059&lt;=K2059+3),IF(J2059&lt;=K2059,IF(J2059&lt;=99,IF((INDEX(Eingabe!$G$9:$G$18,I2059))&lt;=9,1000+(INDEX(Eingabe!$G$9:$G$18,I2059))*100,3000)+J2059,IF((INDEX(Eingabe!$G$9:$G$18,I2059)+1)&lt;=9,1000+(INDEX(Eingabe!$G$9:$G$18,I2059)+1)*100,3000)+J2059-100),IF(J2059=K2059+1,2000+INDEX(Eingabe!$G$9:$G$18,I2059)*10+1,IF(J2059=K2059+2,2000+INDEX(Eingabe!$G$9:$G$18,I2059)*10+2,2000+INDEX(Eingabe!$G$9:$G$18,I2059)*10+9))),""))</f>
        <v/>
      </c>
      <c r="C2059" s="0" t="str">
        <f aca="false">IF(I2059="","",IF(AND(J2059&gt;=1,J2059&lt;=K2059+3),"10."&amp;INDEX(Eingabe!$D$9:$D$18,I2059)&amp;"."&amp;IF(J2059&lt;=K2059,J2059,IF(J2059=K2059+1,200,IF(J2059=K2059+2,201,250)))&amp;".0/24",""))</f>
        <v/>
      </c>
      <c r="D2059" s="0" t="str">
        <f aca="false">IF(I2059="","",IF(AND(J2059&gt;=1,J2059&lt;=K2059+3),"255.255.255.0",""))</f>
        <v/>
      </c>
      <c r="E2059" s="0" t="str">
        <f aca="false">IF(I2059="","",IF(AND(J2059&gt;=1,J2059&lt;=K2059+3),"10."&amp;INDEX(Eingabe!$D$9:$D$18,I2059)&amp;"."&amp;IF(J2059&lt;=K2059,J2059,IF(J2059=K2059+1,200,IF(J2059=K2059+2,201,250)))&amp;".1",""))</f>
        <v/>
      </c>
      <c r="F2059" s="0" t="str">
        <f aca="false">IF(I2059="","",IF(AND(J2059&gt;=1,J2059&lt;=K2059+3),"10."&amp;INDEX(Eingabe!$D$9:$D$18,I2059)&amp;"."&amp;IF(J2059&lt;=K2059,J2059,IF(J2059=K2059+1,200,IF(J2059=K2059+2,201,250)))&amp;".10 – 10."&amp;INDEX(Eingabe!$D$9:$D$18,I2059)&amp;"."&amp;IF(J2059&lt;=K2059,J2059,IF(J2059=K2059+1,200,IF(J2059=K2059+2,201,250)))&amp;".250",""))</f>
        <v/>
      </c>
      <c r="G2059" s="0" t="str">
        <f aca="false">IF(I2059="","",IF(AND(J2059&gt;=1,J2059&lt;=K2059),Eingabe!$B$6&amp;"-"&amp;INDEX(Eingabe!$C$9:$C$18,I2059)&amp;"-Pächter  ·  Passwort Parzelle "&amp;J2059,IF(J2059=K2059+1,Eingabe!$B$6&amp;"-"&amp;INDEX(Eingabe!$C$9:$C$18,I2059)&amp;"-Vorstand  ·  eigenes WLAN",IF(J2059=K2059+2,Eingabe!$B$6&amp;"-"&amp;INDEX(Eingabe!$C$9:$C$18,I2059)&amp;"-Gäste  ·  Voucher",IF(J2059=K2059+3,"Kabel  ·  Access Point y = .(50+y), Mast-Switch x = .(10+x)","")))))</f>
        <v/>
      </c>
      <c r="I2059" s="0" t="str">
        <f aca="false">IF(2054&lt;=(Eingabe!$P$18+Eingabe!$Q$18-1),MATCH(2054,Eingabe!$P$9:$P$18,1),"")</f>
        <v/>
      </c>
      <c r="J2059" s="0" t="str">
        <f aca="false">IF(I2059="","",2054-INDEX(Eingabe!$P$9:$P$18,I2059))</f>
        <v/>
      </c>
      <c r="K2059" s="0" t="str">
        <f aca="false">IF(I2059="","",INDEX(Eingabe!$E$9:$E$18,I2059))</f>
        <v/>
      </c>
    </row>
    <row r="2060" customFormat="false" ht="15" hidden="false" customHeight="false" outlineLevel="0" collapsed="false">
      <c r="A2060" s="0" t="str">
        <f aca="false">IF(I2060="","",IF(J2060=0,"Sparte "&amp;I2060&amp;": "&amp;INDEX(Eingabe!$B$9:$B$18,I2060)&amp;"  (Sparten-ID "&amp;INDEX(Eingabe!$D$9:$D$18,I2060)&amp;", "&amp;K2060&amp;" Parzellen)",IF(J2060&lt;=K2060,"   Parzelle "&amp;J2060,IF(J2060=K2060+1,"   Vorstand",IF(J2060=K2060+2,"   Gäste",IF(J2060=K2060+3,"   Technik (Switches, Access Points)",""))))))</f>
        <v/>
      </c>
      <c r="B2060" s="0" t="str">
        <f aca="false">IF(I2060="","",IF(AND(J2060&gt;=1,J2060&lt;=K2060+3),IF(J2060&lt;=K2060,IF(J2060&lt;=99,IF((INDEX(Eingabe!$G$9:$G$18,I2060))&lt;=9,1000+(INDEX(Eingabe!$G$9:$G$18,I2060))*100,3000)+J2060,IF((INDEX(Eingabe!$G$9:$G$18,I2060)+1)&lt;=9,1000+(INDEX(Eingabe!$G$9:$G$18,I2060)+1)*100,3000)+J2060-100),IF(J2060=K2060+1,2000+INDEX(Eingabe!$G$9:$G$18,I2060)*10+1,IF(J2060=K2060+2,2000+INDEX(Eingabe!$G$9:$G$18,I2060)*10+2,2000+INDEX(Eingabe!$G$9:$G$18,I2060)*10+9))),""))</f>
        <v/>
      </c>
      <c r="C2060" s="0" t="str">
        <f aca="false">IF(I2060="","",IF(AND(J2060&gt;=1,J2060&lt;=K2060+3),"10."&amp;INDEX(Eingabe!$D$9:$D$18,I2060)&amp;"."&amp;IF(J2060&lt;=K2060,J2060,IF(J2060=K2060+1,200,IF(J2060=K2060+2,201,250)))&amp;".0/24",""))</f>
        <v/>
      </c>
      <c r="D2060" s="0" t="str">
        <f aca="false">IF(I2060="","",IF(AND(J2060&gt;=1,J2060&lt;=K2060+3),"255.255.255.0",""))</f>
        <v/>
      </c>
      <c r="E2060" s="0" t="str">
        <f aca="false">IF(I2060="","",IF(AND(J2060&gt;=1,J2060&lt;=K2060+3),"10."&amp;INDEX(Eingabe!$D$9:$D$18,I2060)&amp;"."&amp;IF(J2060&lt;=K2060,J2060,IF(J2060=K2060+1,200,IF(J2060=K2060+2,201,250)))&amp;".1",""))</f>
        <v/>
      </c>
      <c r="F2060" s="0" t="str">
        <f aca="false">IF(I2060="","",IF(AND(J2060&gt;=1,J2060&lt;=K2060+3),"10."&amp;INDEX(Eingabe!$D$9:$D$18,I2060)&amp;"."&amp;IF(J2060&lt;=K2060,J2060,IF(J2060=K2060+1,200,IF(J2060=K2060+2,201,250)))&amp;".10 – 10."&amp;INDEX(Eingabe!$D$9:$D$18,I2060)&amp;"."&amp;IF(J2060&lt;=K2060,J2060,IF(J2060=K2060+1,200,IF(J2060=K2060+2,201,250)))&amp;".250",""))</f>
        <v/>
      </c>
      <c r="G2060" s="0" t="str">
        <f aca="false">IF(I2060="","",IF(AND(J2060&gt;=1,J2060&lt;=K2060),Eingabe!$B$6&amp;"-"&amp;INDEX(Eingabe!$C$9:$C$18,I2060)&amp;"-Pächter  ·  Passwort Parzelle "&amp;J2060,IF(J2060=K2060+1,Eingabe!$B$6&amp;"-"&amp;INDEX(Eingabe!$C$9:$C$18,I2060)&amp;"-Vorstand  ·  eigenes WLAN",IF(J2060=K2060+2,Eingabe!$B$6&amp;"-"&amp;INDEX(Eingabe!$C$9:$C$18,I2060)&amp;"-Gäste  ·  Voucher",IF(J2060=K2060+3,"Kabel  ·  Access Point y = .(50+y), Mast-Switch x = .(10+x)","")))))</f>
        <v/>
      </c>
      <c r="I2060" s="0" t="str">
        <f aca="false">IF(2055&lt;=(Eingabe!$P$18+Eingabe!$Q$18-1),MATCH(2055,Eingabe!$P$9:$P$18,1),"")</f>
        <v/>
      </c>
      <c r="J2060" s="0" t="str">
        <f aca="false">IF(I2060="","",2055-INDEX(Eingabe!$P$9:$P$18,I2060))</f>
        <v/>
      </c>
      <c r="K2060" s="0" t="str">
        <f aca="false">IF(I2060="","",INDEX(Eingabe!$E$9:$E$18,I2060))</f>
        <v/>
      </c>
    </row>
    <row r="2061" customFormat="false" ht="15" hidden="false" customHeight="false" outlineLevel="0" collapsed="false">
      <c r="A2061" s="0" t="str">
        <f aca="false">IF(I2061="","",IF(J2061=0,"Sparte "&amp;I2061&amp;": "&amp;INDEX(Eingabe!$B$9:$B$18,I2061)&amp;"  (Sparten-ID "&amp;INDEX(Eingabe!$D$9:$D$18,I2061)&amp;", "&amp;K2061&amp;" Parzellen)",IF(J2061&lt;=K2061,"   Parzelle "&amp;J2061,IF(J2061=K2061+1,"   Vorstand",IF(J2061=K2061+2,"   Gäste",IF(J2061=K2061+3,"   Technik (Switches, Access Points)",""))))))</f>
        <v/>
      </c>
      <c r="B2061" s="0" t="str">
        <f aca="false">IF(I2061="","",IF(AND(J2061&gt;=1,J2061&lt;=K2061+3),IF(J2061&lt;=K2061,IF(J2061&lt;=99,IF((INDEX(Eingabe!$G$9:$G$18,I2061))&lt;=9,1000+(INDEX(Eingabe!$G$9:$G$18,I2061))*100,3000)+J2061,IF((INDEX(Eingabe!$G$9:$G$18,I2061)+1)&lt;=9,1000+(INDEX(Eingabe!$G$9:$G$18,I2061)+1)*100,3000)+J2061-100),IF(J2061=K2061+1,2000+INDEX(Eingabe!$G$9:$G$18,I2061)*10+1,IF(J2061=K2061+2,2000+INDEX(Eingabe!$G$9:$G$18,I2061)*10+2,2000+INDEX(Eingabe!$G$9:$G$18,I2061)*10+9))),""))</f>
        <v/>
      </c>
      <c r="C2061" s="0" t="str">
        <f aca="false">IF(I2061="","",IF(AND(J2061&gt;=1,J2061&lt;=K2061+3),"10."&amp;INDEX(Eingabe!$D$9:$D$18,I2061)&amp;"."&amp;IF(J2061&lt;=K2061,J2061,IF(J2061=K2061+1,200,IF(J2061=K2061+2,201,250)))&amp;".0/24",""))</f>
        <v/>
      </c>
      <c r="D2061" s="0" t="str">
        <f aca="false">IF(I2061="","",IF(AND(J2061&gt;=1,J2061&lt;=K2061+3),"255.255.255.0",""))</f>
        <v/>
      </c>
      <c r="E2061" s="0" t="str">
        <f aca="false">IF(I2061="","",IF(AND(J2061&gt;=1,J2061&lt;=K2061+3),"10."&amp;INDEX(Eingabe!$D$9:$D$18,I2061)&amp;"."&amp;IF(J2061&lt;=K2061,J2061,IF(J2061=K2061+1,200,IF(J2061=K2061+2,201,250)))&amp;".1",""))</f>
        <v/>
      </c>
      <c r="F2061" s="0" t="str">
        <f aca="false">IF(I2061="","",IF(AND(J2061&gt;=1,J2061&lt;=K2061+3),"10."&amp;INDEX(Eingabe!$D$9:$D$18,I2061)&amp;"."&amp;IF(J2061&lt;=K2061,J2061,IF(J2061=K2061+1,200,IF(J2061=K2061+2,201,250)))&amp;".10 – 10."&amp;INDEX(Eingabe!$D$9:$D$18,I2061)&amp;"."&amp;IF(J2061&lt;=K2061,J2061,IF(J2061=K2061+1,200,IF(J2061=K2061+2,201,250)))&amp;".250",""))</f>
        <v/>
      </c>
      <c r="G2061" s="0" t="str">
        <f aca="false">IF(I2061="","",IF(AND(J2061&gt;=1,J2061&lt;=K2061),Eingabe!$B$6&amp;"-"&amp;INDEX(Eingabe!$C$9:$C$18,I2061)&amp;"-Pächter  ·  Passwort Parzelle "&amp;J2061,IF(J2061=K2061+1,Eingabe!$B$6&amp;"-"&amp;INDEX(Eingabe!$C$9:$C$18,I2061)&amp;"-Vorstand  ·  eigenes WLAN",IF(J2061=K2061+2,Eingabe!$B$6&amp;"-"&amp;INDEX(Eingabe!$C$9:$C$18,I2061)&amp;"-Gäste  ·  Voucher",IF(J2061=K2061+3,"Kabel  ·  Access Point y = .(50+y), Mast-Switch x = .(10+x)","")))))</f>
        <v/>
      </c>
      <c r="I2061" s="0" t="str">
        <f aca="false">IF(2056&lt;=(Eingabe!$P$18+Eingabe!$Q$18-1),MATCH(2056,Eingabe!$P$9:$P$18,1),"")</f>
        <v/>
      </c>
      <c r="J2061" s="0" t="str">
        <f aca="false">IF(I2061="","",2056-INDEX(Eingabe!$P$9:$P$18,I2061))</f>
        <v/>
      </c>
      <c r="K2061" s="0" t="str">
        <f aca="false">IF(I2061="","",INDEX(Eingabe!$E$9:$E$18,I2061))</f>
        <v/>
      </c>
    </row>
    <row r="2062" customFormat="false" ht="15" hidden="false" customHeight="false" outlineLevel="0" collapsed="false">
      <c r="A2062" s="0" t="str">
        <f aca="false">IF(I2062="","",IF(J2062=0,"Sparte "&amp;I2062&amp;": "&amp;INDEX(Eingabe!$B$9:$B$18,I2062)&amp;"  (Sparten-ID "&amp;INDEX(Eingabe!$D$9:$D$18,I2062)&amp;", "&amp;K2062&amp;" Parzellen)",IF(J2062&lt;=K2062,"   Parzelle "&amp;J2062,IF(J2062=K2062+1,"   Vorstand",IF(J2062=K2062+2,"   Gäste",IF(J2062=K2062+3,"   Technik (Switches, Access Points)",""))))))</f>
        <v/>
      </c>
      <c r="B2062" s="0" t="str">
        <f aca="false">IF(I2062="","",IF(AND(J2062&gt;=1,J2062&lt;=K2062+3),IF(J2062&lt;=K2062,IF(J2062&lt;=99,IF((INDEX(Eingabe!$G$9:$G$18,I2062))&lt;=9,1000+(INDEX(Eingabe!$G$9:$G$18,I2062))*100,3000)+J2062,IF((INDEX(Eingabe!$G$9:$G$18,I2062)+1)&lt;=9,1000+(INDEX(Eingabe!$G$9:$G$18,I2062)+1)*100,3000)+J2062-100),IF(J2062=K2062+1,2000+INDEX(Eingabe!$G$9:$G$18,I2062)*10+1,IF(J2062=K2062+2,2000+INDEX(Eingabe!$G$9:$G$18,I2062)*10+2,2000+INDEX(Eingabe!$G$9:$G$18,I2062)*10+9))),""))</f>
        <v/>
      </c>
      <c r="C2062" s="0" t="str">
        <f aca="false">IF(I2062="","",IF(AND(J2062&gt;=1,J2062&lt;=K2062+3),"10."&amp;INDEX(Eingabe!$D$9:$D$18,I2062)&amp;"."&amp;IF(J2062&lt;=K2062,J2062,IF(J2062=K2062+1,200,IF(J2062=K2062+2,201,250)))&amp;".0/24",""))</f>
        <v/>
      </c>
      <c r="D2062" s="0" t="str">
        <f aca="false">IF(I2062="","",IF(AND(J2062&gt;=1,J2062&lt;=K2062+3),"255.255.255.0",""))</f>
        <v/>
      </c>
      <c r="E2062" s="0" t="str">
        <f aca="false">IF(I2062="","",IF(AND(J2062&gt;=1,J2062&lt;=K2062+3),"10."&amp;INDEX(Eingabe!$D$9:$D$18,I2062)&amp;"."&amp;IF(J2062&lt;=K2062,J2062,IF(J2062=K2062+1,200,IF(J2062=K2062+2,201,250)))&amp;".1",""))</f>
        <v/>
      </c>
      <c r="F2062" s="0" t="str">
        <f aca="false">IF(I2062="","",IF(AND(J2062&gt;=1,J2062&lt;=K2062+3),"10."&amp;INDEX(Eingabe!$D$9:$D$18,I2062)&amp;"."&amp;IF(J2062&lt;=K2062,J2062,IF(J2062=K2062+1,200,IF(J2062=K2062+2,201,250)))&amp;".10 – 10."&amp;INDEX(Eingabe!$D$9:$D$18,I2062)&amp;"."&amp;IF(J2062&lt;=K2062,J2062,IF(J2062=K2062+1,200,IF(J2062=K2062+2,201,250)))&amp;".250",""))</f>
        <v/>
      </c>
      <c r="G2062" s="0" t="str">
        <f aca="false">IF(I2062="","",IF(AND(J2062&gt;=1,J2062&lt;=K2062),Eingabe!$B$6&amp;"-"&amp;INDEX(Eingabe!$C$9:$C$18,I2062)&amp;"-Pächter  ·  Passwort Parzelle "&amp;J2062,IF(J2062=K2062+1,Eingabe!$B$6&amp;"-"&amp;INDEX(Eingabe!$C$9:$C$18,I2062)&amp;"-Vorstand  ·  eigenes WLAN",IF(J2062=K2062+2,Eingabe!$B$6&amp;"-"&amp;INDEX(Eingabe!$C$9:$C$18,I2062)&amp;"-Gäste  ·  Voucher",IF(J2062=K2062+3,"Kabel  ·  Access Point y = .(50+y), Mast-Switch x = .(10+x)","")))))</f>
        <v/>
      </c>
      <c r="I2062" s="0" t="str">
        <f aca="false">IF(2057&lt;=(Eingabe!$P$18+Eingabe!$Q$18-1),MATCH(2057,Eingabe!$P$9:$P$18,1),"")</f>
        <v/>
      </c>
      <c r="J2062" s="0" t="str">
        <f aca="false">IF(I2062="","",2057-INDEX(Eingabe!$P$9:$P$18,I2062))</f>
        <v/>
      </c>
      <c r="K2062" s="0" t="str">
        <f aca="false">IF(I2062="","",INDEX(Eingabe!$E$9:$E$18,I2062))</f>
        <v/>
      </c>
    </row>
    <row r="2063" customFormat="false" ht="15" hidden="false" customHeight="false" outlineLevel="0" collapsed="false">
      <c r="A2063" s="0" t="str">
        <f aca="false">IF(I2063="","",IF(J2063=0,"Sparte "&amp;I2063&amp;": "&amp;INDEX(Eingabe!$B$9:$B$18,I2063)&amp;"  (Sparten-ID "&amp;INDEX(Eingabe!$D$9:$D$18,I2063)&amp;", "&amp;K2063&amp;" Parzellen)",IF(J2063&lt;=K2063,"   Parzelle "&amp;J2063,IF(J2063=K2063+1,"   Vorstand",IF(J2063=K2063+2,"   Gäste",IF(J2063=K2063+3,"   Technik (Switches, Access Points)",""))))))</f>
        <v/>
      </c>
      <c r="B2063" s="0" t="str">
        <f aca="false">IF(I2063="","",IF(AND(J2063&gt;=1,J2063&lt;=K2063+3),IF(J2063&lt;=K2063,IF(J2063&lt;=99,IF((INDEX(Eingabe!$G$9:$G$18,I2063))&lt;=9,1000+(INDEX(Eingabe!$G$9:$G$18,I2063))*100,3000)+J2063,IF((INDEX(Eingabe!$G$9:$G$18,I2063)+1)&lt;=9,1000+(INDEX(Eingabe!$G$9:$G$18,I2063)+1)*100,3000)+J2063-100),IF(J2063=K2063+1,2000+INDEX(Eingabe!$G$9:$G$18,I2063)*10+1,IF(J2063=K2063+2,2000+INDEX(Eingabe!$G$9:$G$18,I2063)*10+2,2000+INDEX(Eingabe!$G$9:$G$18,I2063)*10+9))),""))</f>
        <v/>
      </c>
      <c r="C2063" s="0" t="str">
        <f aca="false">IF(I2063="","",IF(AND(J2063&gt;=1,J2063&lt;=K2063+3),"10."&amp;INDEX(Eingabe!$D$9:$D$18,I2063)&amp;"."&amp;IF(J2063&lt;=K2063,J2063,IF(J2063=K2063+1,200,IF(J2063=K2063+2,201,250)))&amp;".0/24",""))</f>
        <v/>
      </c>
      <c r="D2063" s="0" t="str">
        <f aca="false">IF(I2063="","",IF(AND(J2063&gt;=1,J2063&lt;=K2063+3),"255.255.255.0",""))</f>
        <v/>
      </c>
      <c r="E2063" s="0" t="str">
        <f aca="false">IF(I2063="","",IF(AND(J2063&gt;=1,J2063&lt;=K2063+3),"10."&amp;INDEX(Eingabe!$D$9:$D$18,I2063)&amp;"."&amp;IF(J2063&lt;=K2063,J2063,IF(J2063=K2063+1,200,IF(J2063=K2063+2,201,250)))&amp;".1",""))</f>
        <v/>
      </c>
      <c r="F2063" s="0" t="str">
        <f aca="false">IF(I2063="","",IF(AND(J2063&gt;=1,J2063&lt;=K2063+3),"10."&amp;INDEX(Eingabe!$D$9:$D$18,I2063)&amp;"."&amp;IF(J2063&lt;=K2063,J2063,IF(J2063=K2063+1,200,IF(J2063=K2063+2,201,250)))&amp;".10 – 10."&amp;INDEX(Eingabe!$D$9:$D$18,I2063)&amp;"."&amp;IF(J2063&lt;=K2063,J2063,IF(J2063=K2063+1,200,IF(J2063=K2063+2,201,250)))&amp;".250",""))</f>
        <v/>
      </c>
      <c r="G2063" s="0" t="str">
        <f aca="false">IF(I2063="","",IF(AND(J2063&gt;=1,J2063&lt;=K2063),Eingabe!$B$6&amp;"-"&amp;INDEX(Eingabe!$C$9:$C$18,I2063)&amp;"-Pächter  ·  Passwort Parzelle "&amp;J2063,IF(J2063=K2063+1,Eingabe!$B$6&amp;"-"&amp;INDEX(Eingabe!$C$9:$C$18,I2063)&amp;"-Vorstand  ·  eigenes WLAN",IF(J2063=K2063+2,Eingabe!$B$6&amp;"-"&amp;INDEX(Eingabe!$C$9:$C$18,I2063)&amp;"-Gäste  ·  Voucher",IF(J2063=K2063+3,"Kabel  ·  Access Point y = .(50+y), Mast-Switch x = .(10+x)","")))))</f>
        <v/>
      </c>
      <c r="I2063" s="0" t="str">
        <f aca="false">IF(2058&lt;=(Eingabe!$P$18+Eingabe!$Q$18-1),MATCH(2058,Eingabe!$P$9:$P$18,1),"")</f>
        <v/>
      </c>
      <c r="J2063" s="0" t="str">
        <f aca="false">IF(I2063="","",2058-INDEX(Eingabe!$P$9:$P$18,I2063))</f>
        <v/>
      </c>
      <c r="K2063" s="0" t="str">
        <f aca="false">IF(I2063="","",INDEX(Eingabe!$E$9:$E$18,I2063))</f>
        <v/>
      </c>
    </row>
    <row r="2064" customFormat="false" ht="15" hidden="false" customHeight="false" outlineLevel="0" collapsed="false">
      <c r="A2064" s="0" t="str">
        <f aca="false">IF(I2064="","",IF(J2064=0,"Sparte "&amp;I2064&amp;": "&amp;INDEX(Eingabe!$B$9:$B$18,I2064)&amp;"  (Sparten-ID "&amp;INDEX(Eingabe!$D$9:$D$18,I2064)&amp;", "&amp;K2064&amp;" Parzellen)",IF(J2064&lt;=K2064,"   Parzelle "&amp;J2064,IF(J2064=K2064+1,"   Vorstand",IF(J2064=K2064+2,"   Gäste",IF(J2064=K2064+3,"   Technik (Switches, Access Points)",""))))))</f>
        <v/>
      </c>
      <c r="B2064" s="0" t="str">
        <f aca="false">IF(I2064="","",IF(AND(J2064&gt;=1,J2064&lt;=K2064+3),IF(J2064&lt;=K2064,IF(J2064&lt;=99,IF((INDEX(Eingabe!$G$9:$G$18,I2064))&lt;=9,1000+(INDEX(Eingabe!$G$9:$G$18,I2064))*100,3000)+J2064,IF((INDEX(Eingabe!$G$9:$G$18,I2064)+1)&lt;=9,1000+(INDEX(Eingabe!$G$9:$G$18,I2064)+1)*100,3000)+J2064-100),IF(J2064=K2064+1,2000+INDEX(Eingabe!$G$9:$G$18,I2064)*10+1,IF(J2064=K2064+2,2000+INDEX(Eingabe!$G$9:$G$18,I2064)*10+2,2000+INDEX(Eingabe!$G$9:$G$18,I2064)*10+9))),""))</f>
        <v/>
      </c>
      <c r="C2064" s="0" t="str">
        <f aca="false">IF(I2064="","",IF(AND(J2064&gt;=1,J2064&lt;=K2064+3),"10."&amp;INDEX(Eingabe!$D$9:$D$18,I2064)&amp;"."&amp;IF(J2064&lt;=K2064,J2064,IF(J2064=K2064+1,200,IF(J2064=K2064+2,201,250)))&amp;".0/24",""))</f>
        <v/>
      </c>
      <c r="D2064" s="0" t="str">
        <f aca="false">IF(I2064="","",IF(AND(J2064&gt;=1,J2064&lt;=K2064+3),"255.255.255.0",""))</f>
        <v/>
      </c>
      <c r="E2064" s="0" t="str">
        <f aca="false">IF(I2064="","",IF(AND(J2064&gt;=1,J2064&lt;=K2064+3),"10."&amp;INDEX(Eingabe!$D$9:$D$18,I2064)&amp;"."&amp;IF(J2064&lt;=K2064,J2064,IF(J2064=K2064+1,200,IF(J2064=K2064+2,201,250)))&amp;".1",""))</f>
        <v/>
      </c>
      <c r="F2064" s="0" t="str">
        <f aca="false">IF(I2064="","",IF(AND(J2064&gt;=1,J2064&lt;=K2064+3),"10."&amp;INDEX(Eingabe!$D$9:$D$18,I2064)&amp;"."&amp;IF(J2064&lt;=K2064,J2064,IF(J2064=K2064+1,200,IF(J2064=K2064+2,201,250)))&amp;".10 – 10."&amp;INDEX(Eingabe!$D$9:$D$18,I2064)&amp;"."&amp;IF(J2064&lt;=K2064,J2064,IF(J2064=K2064+1,200,IF(J2064=K2064+2,201,250)))&amp;".250",""))</f>
        <v/>
      </c>
      <c r="G2064" s="0" t="str">
        <f aca="false">IF(I2064="","",IF(AND(J2064&gt;=1,J2064&lt;=K2064),Eingabe!$B$6&amp;"-"&amp;INDEX(Eingabe!$C$9:$C$18,I2064)&amp;"-Pächter  ·  Passwort Parzelle "&amp;J2064,IF(J2064=K2064+1,Eingabe!$B$6&amp;"-"&amp;INDEX(Eingabe!$C$9:$C$18,I2064)&amp;"-Vorstand  ·  eigenes WLAN",IF(J2064=K2064+2,Eingabe!$B$6&amp;"-"&amp;INDEX(Eingabe!$C$9:$C$18,I2064)&amp;"-Gäste  ·  Voucher",IF(J2064=K2064+3,"Kabel  ·  Access Point y = .(50+y), Mast-Switch x = .(10+x)","")))))</f>
        <v/>
      </c>
      <c r="I2064" s="0" t="str">
        <f aca="false">IF(2059&lt;=(Eingabe!$P$18+Eingabe!$Q$18-1),MATCH(2059,Eingabe!$P$9:$P$18,1),"")</f>
        <v/>
      </c>
      <c r="J2064" s="0" t="str">
        <f aca="false">IF(I2064="","",2059-INDEX(Eingabe!$P$9:$P$18,I2064))</f>
        <v/>
      </c>
      <c r="K2064" s="0" t="str">
        <f aca="false">IF(I2064="","",INDEX(Eingabe!$E$9:$E$18,I2064))</f>
        <v/>
      </c>
    </row>
    <row r="2065" customFormat="false" ht="15" hidden="false" customHeight="false" outlineLevel="0" collapsed="false">
      <c r="A2065" s="0" t="str">
        <f aca="false">IF(I2065="","",IF(J2065=0,"Sparte "&amp;I2065&amp;": "&amp;INDEX(Eingabe!$B$9:$B$18,I2065)&amp;"  (Sparten-ID "&amp;INDEX(Eingabe!$D$9:$D$18,I2065)&amp;", "&amp;K2065&amp;" Parzellen)",IF(J2065&lt;=K2065,"   Parzelle "&amp;J2065,IF(J2065=K2065+1,"   Vorstand",IF(J2065=K2065+2,"   Gäste",IF(J2065=K2065+3,"   Technik (Switches, Access Points)",""))))))</f>
        <v/>
      </c>
      <c r="B2065" s="0" t="str">
        <f aca="false">IF(I2065="","",IF(AND(J2065&gt;=1,J2065&lt;=K2065+3),IF(J2065&lt;=K2065,IF(J2065&lt;=99,IF((INDEX(Eingabe!$G$9:$G$18,I2065))&lt;=9,1000+(INDEX(Eingabe!$G$9:$G$18,I2065))*100,3000)+J2065,IF((INDEX(Eingabe!$G$9:$G$18,I2065)+1)&lt;=9,1000+(INDEX(Eingabe!$G$9:$G$18,I2065)+1)*100,3000)+J2065-100),IF(J2065=K2065+1,2000+INDEX(Eingabe!$G$9:$G$18,I2065)*10+1,IF(J2065=K2065+2,2000+INDEX(Eingabe!$G$9:$G$18,I2065)*10+2,2000+INDEX(Eingabe!$G$9:$G$18,I2065)*10+9))),""))</f>
        <v/>
      </c>
      <c r="C2065" s="0" t="str">
        <f aca="false">IF(I2065="","",IF(AND(J2065&gt;=1,J2065&lt;=K2065+3),"10."&amp;INDEX(Eingabe!$D$9:$D$18,I2065)&amp;"."&amp;IF(J2065&lt;=K2065,J2065,IF(J2065=K2065+1,200,IF(J2065=K2065+2,201,250)))&amp;".0/24",""))</f>
        <v/>
      </c>
      <c r="D2065" s="0" t="str">
        <f aca="false">IF(I2065="","",IF(AND(J2065&gt;=1,J2065&lt;=K2065+3),"255.255.255.0",""))</f>
        <v/>
      </c>
      <c r="E2065" s="0" t="str">
        <f aca="false">IF(I2065="","",IF(AND(J2065&gt;=1,J2065&lt;=K2065+3),"10."&amp;INDEX(Eingabe!$D$9:$D$18,I2065)&amp;"."&amp;IF(J2065&lt;=K2065,J2065,IF(J2065=K2065+1,200,IF(J2065=K2065+2,201,250)))&amp;".1",""))</f>
        <v/>
      </c>
      <c r="F2065" s="0" t="str">
        <f aca="false">IF(I2065="","",IF(AND(J2065&gt;=1,J2065&lt;=K2065+3),"10."&amp;INDEX(Eingabe!$D$9:$D$18,I2065)&amp;"."&amp;IF(J2065&lt;=K2065,J2065,IF(J2065=K2065+1,200,IF(J2065=K2065+2,201,250)))&amp;".10 – 10."&amp;INDEX(Eingabe!$D$9:$D$18,I2065)&amp;"."&amp;IF(J2065&lt;=K2065,J2065,IF(J2065=K2065+1,200,IF(J2065=K2065+2,201,250)))&amp;".250",""))</f>
        <v/>
      </c>
      <c r="G2065" s="0" t="str">
        <f aca="false">IF(I2065="","",IF(AND(J2065&gt;=1,J2065&lt;=K2065),Eingabe!$B$6&amp;"-"&amp;INDEX(Eingabe!$C$9:$C$18,I2065)&amp;"-Pächter  ·  Passwort Parzelle "&amp;J2065,IF(J2065=K2065+1,Eingabe!$B$6&amp;"-"&amp;INDEX(Eingabe!$C$9:$C$18,I2065)&amp;"-Vorstand  ·  eigenes WLAN",IF(J2065=K2065+2,Eingabe!$B$6&amp;"-"&amp;INDEX(Eingabe!$C$9:$C$18,I2065)&amp;"-Gäste  ·  Voucher",IF(J2065=K2065+3,"Kabel  ·  Access Point y = .(50+y), Mast-Switch x = .(10+x)","")))))</f>
        <v/>
      </c>
      <c r="I2065" s="0" t="str">
        <f aca="false">IF(2060&lt;=(Eingabe!$P$18+Eingabe!$Q$18-1),MATCH(2060,Eingabe!$P$9:$P$18,1),"")</f>
        <v/>
      </c>
      <c r="J2065" s="0" t="str">
        <f aca="false">IF(I2065="","",2060-INDEX(Eingabe!$P$9:$P$18,I2065))</f>
        <v/>
      </c>
      <c r="K2065" s="0" t="str">
        <f aca="false">IF(I2065="","",INDEX(Eingabe!$E$9:$E$18,I2065))</f>
        <v/>
      </c>
    </row>
  </sheetData>
  <conditionalFormatting sqref="A6:G2065">
    <cfRule type="expression" priority="2" aboveAverage="0" equalAverage="0" bottom="0" percent="0" rank="0" text="" dxfId="0">
      <formula>AND($J6&lt;&gt;"",$J6=0)</formula>
    </cfRule>
    <cfRule type="expression" priority="3" aboveAverage="0" equalAverage="0" bottom="0" percent="0" rank="0" text="" dxfId="1">
      <formula>AND($J6&lt;&gt;"",$J6&gt;$K6,$J6&lt;=$K6+3)</formula>
    </cfRule>
    <cfRule type="expression" priority="4" aboveAverage="0" equalAverage="0" bottom="0" percent="0" rank="0" text="" dxfId="2">
      <formula>$B6&lt;&gt;""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13" t="str">
        <f aca="false">IF(Eingabe!$F$9&gt;0,"Sparte auf Steckplatz 1: "&amp;Eingabe!$B$9&amp;" (Sparten-ID "&amp;Eingabe!$D$9&amp;", "&amp;Eingabe!$E$9&amp;" Parzellen)","Steckplatz 1: nicht belegt")</f>
        <v>Sparte auf Steckplatz 1: KGS Buchenweg e.V. (Sparten-ID 1, 85 Parzellen)</v>
      </c>
      <c r="B4" s="14"/>
      <c r="C4" s="14"/>
      <c r="D4" s="14"/>
      <c r="E4" s="14"/>
      <c r="F4" s="14"/>
      <c r="G4" s="14"/>
    </row>
    <row r="5" customFormat="false" ht="15" hidden="false" customHeight="false" outlineLevel="0" collapsed="false">
      <c r="A5" s="15" t="s">
        <v>51</v>
      </c>
      <c r="B5" s="15" t="s">
        <v>52</v>
      </c>
      <c r="C5" s="15" t="s">
        <v>53</v>
      </c>
      <c r="D5" s="15" t="s">
        <v>43</v>
      </c>
      <c r="E5" s="15" t="s">
        <v>54</v>
      </c>
      <c r="F5" s="15" t="s">
        <v>55</v>
      </c>
      <c r="G5" s="15" t="s">
        <v>56</v>
      </c>
    </row>
    <row r="6" customFormat="false" ht="15" hidden="false" customHeight="false" outlineLevel="0" collapsed="false">
      <c r="A6" s="16" t="str">
        <f aca="false">IF(Eingabe!$F$9&gt;0,"Handy in Parzelle 1","")</f>
        <v>Handy in Parzelle 1</v>
      </c>
      <c r="B6" s="16" t="str">
        <f aca="false">IF(Eingabe!$F$9&gt;0,Eingabe!$B$6&amp;"-"&amp;Eingabe!$C$9&amp;"-Pächter","")</f>
        <v>SparteNet.de-BW-Pächter</v>
      </c>
      <c r="C6" s="16" t="str">
        <f aca="false">IF(Eingabe!$F$9&gt;0,"Passwort von Parzelle 1","")</f>
        <v>Passwort von Parzelle 1</v>
      </c>
      <c r="D6" s="16" t="n">
        <f aca="false">IF(Eingabe!$F$9&gt;0,IF(1&lt;=99,IF((Eingabe!$G$9)&lt;=9,1000+(Eingabe!$G$9)*100,3000)+1,IF((Eingabe!$G$9+1)&lt;=9,1000+(Eingabe!$G$9+1)*100,3000)+1-100),"")</f>
        <v>1101</v>
      </c>
      <c r="E6" s="16" t="str">
        <f aca="false">IF(Eingabe!$F$9&gt;0,"10."&amp;Eingabe!$D$9&amp;".1.10","")</f>
        <v>10.1.1.10</v>
      </c>
      <c r="F6" s="16" t="str">
        <f aca="false">IF(Eingabe!$F$9&gt;0,"10."&amp;Eingabe!$D$9&amp;".1.1","")</f>
        <v>10.1.1.1</v>
      </c>
      <c r="G6" s="16" t="str">
        <f aca="false">IF(Eingabe!$F$9&gt;0,"10."&amp;Eingabe!$D$9&amp;".1.0/24","")</f>
        <v>10.1.1.0/24</v>
      </c>
    </row>
    <row r="7" customFormat="false" ht="15" hidden="false" customHeight="false" outlineLevel="0" collapsed="false">
      <c r="A7" s="16" t="str">
        <f aca="false">IF(Eingabe!$F$9&gt;0,"Laptop in Parzelle 25 (2. Gerät)","")</f>
        <v>Laptop in Parzelle 25 (2. Gerät)</v>
      </c>
      <c r="B7" s="16" t="str">
        <f aca="false">IF(Eingabe!$F$9&gt;0,Eingabe!$B$6&amp;"-"&amp;Eingabe!$C$9&amp;"-Pächter","")</f>
        <v>SparteNet.de-BW-Pächter</v>
      </c>
      <c r="C7" s="16" t="str">
        <f aca="false">IF(Eingabe!$F$9&gt;0,"Passwort von Parzelle 25","")</f>
        <v>Passwort von Parzelle 25</v>
      </c>
      <c r="D7" s="16" t="n">
        <f aca="false">IF(Eingabe!$F$9&gt;0,IF(25&lt;=99,IF((Eingabe!$G$9)&lt;=9,1000+(Eingabe!$G$9)*100,3000)+25,IF((Eingabe!$G$9+1)&lt;=9,1000+(Eingabe!$G$9+1)*100,3000)+25-100),"")</f>
        <v>1125</v>
      </c>
      <c r="E7" s="16" t="str">
        <f aca="false">IF(Eingabe!$F$9&gt;0,"10."&amp;Eingabe!$D$9&amp;".25.11","")</f>
        <v>10.1.25.11</v>
      </c>
      <c r="F7" s="16" t="str">
        <f aca="false">IF(Eingabe!$F$9&gt;0,"10."&amp;Eingabe!$D$9&amp;".25.1","")</f>
        <v>10.1.25.1</v>
      </c>
      <c r="G7" s="16" t="str">
        <f aca="false">IF(Eingabe!$F$9&gt;0,"10."&amp;Eingabe!$D$9&amp;".25.0/24","")</f>
        <v>10.1.25.0/24</v>
      </c>
    </row>
    <row r="8" customFormat="false" ht="15" hidden="false" customHeight="false" outlineLevel="0" collapsed="false">
      <c r="A8" s="16" t="str">
        <f aca="false">IF(Eingabe!$F$9&gt;0,"Fernseher in Parzelle "&amp;Eingabe!$E$9&amp;" (letzte Parzelle)","")</f>
        <v>Fernseher in Parzelle 85 (letzte Parzelle)</v>
      </c>
      <c r="B8" s="16" t="str">
        <f aca="false">IF(Eingabe!$F$9&gt;0,Eingabe!$B$6&amp;"-"&amp;Eingabe!$C$9&amp;"-Pächter","")</f>
        <v>SparteNet.de-BW-Pächter</v>
      </c>
      <c r="C8" s="16" t="str">
        <f aca="false">IF(Eingabe!$F$9&gt;0,"Passwort von Parzelle "&amp;Eingabe!$E$9,"")</f>
        <v>Passwort von Parzelle 85</v>
      </c>
      <c r="D8" s="16" t="n">
        <f aca="false">IF(Eingabe!$F$9&gt;0,IF(Eingabe!$E$9&lt;=99,IF((Eingabe!$G$9)&lt;=9,1000+(Eingabe!$G$9)*100,3000)+Eingabe!$E$9,IF((Eingabe!$G$9+1)&lt;=9,1000+(Eingabe!$G$9+1)*100,3000)+Eingabe!$E$9-100),"")</f>
        <v>1185</v>
      </c>
      <c r="E8" s="16" t="str">
        <f aca="false">IF(Eingabe!$F$9&gt;0,"10."&amp;Eingabe!$D$9&amp;"."&amp;Eingabe!$E$9&amp;".10","")</f>
        <v>10.1.85.10</v>
      </c>
      <c r="F8" s="16" t="str">
        <f aca="false">IF(Eingabe!$F$9&gt;0,"10."&amp;Eingabe!$D$9&amp;"."&amp;Eingabe!$E$9&amp;".1","")</f>
        <v>10.1.85.1</v>
      </c>
      <c r="G8" s="16" t="str">
        <f aca="false">IF(Eingabe!$F$9&gt;0,"10."&amp;Eingabe!$D$9&amp;"."&amp;Eingabe!$E$9&amp;".0/24","")</f>
        <v>10.1.85.0/24</v>
      </c>
    </row>
    <row r="9" customFormat="false" ht="15" hidden="false" customHeight="false" outlineLevel="0" collapsed="false">
      <c r="A9" s="16" t="str">
        <f aca="false">IF(Eingabe!$F$9&gt;0,"Laptop des Vorstands im Vereinsheim","")</f>
        <v>Laptop des Vorstands im Vereinsheim</v>
      </c>
      <c r="B9" s="16" t="str">
        <f aca="false">IF(Eingabe!$F$9&gt;0,Eingabe!$B$6&amp;"-"&amp;Eingabe!$C$9&amp;"-Vorstand","")</f>
        <v>SparteNet.de-BW-Vorstand</v>
      </c>
      <c r="C9" s="16" t="str">
        <f aca="false">IF(Eingabe!$F$9&gt;0,"Vorstand-Passwort","")</f>
        <v>Vorstand-Passwort</v>
      </c>
      <c r="D9" s="16" t="n">
        <f aca="false">IF(Eingabe!$F$9&gt;0,2000+Eingabe!$G$9*10+1,"")</f>
        <v>2011</v>
      </c>
      <c r="E9" s="16" t="str">
        <f aca="false">IF(Eingabe!$F$9&gt;0,"10."&amp;Eingabe!$D$9&amp;".200.10","")</f>
        <v>10.1.200.10</v>
      </c>
      <c r="F9" s="16" t="str">
        <f aca="false">IF(Eingabe!$F$9&gt;0,"10."&amp;Eingabe!$D$9&amp;".200.1","")</f>
        <v>10.1.200.1</v>
      </c>
      <c r="G9" s="16" t="str">
        <f aca="false">IF(Eingabe!$F$9&gt;0,"10."&amp;Eingabe!$D$9&amp;".200.0/24","")</f>
        <v>10.1.200.0/24</v>
      </c>
    </row>
    <row r="10" customFormat="false" ht="15" hidden="false" customHeight="false" outlineLevel="0" collapsed="false">
      <c r="A10" s="16" t="str">
        <f aca="false">IF(Eingabe!$F$9&gt;0,"Handy eines Gastes","")</f>
        <v>Handy eines Gastes</v>
      </c>
      <c r="B10" s="16" t="str">
        <f aca="false">IF(Eingabe!$F$9&gt;0,Eingabe!$B$6&amp;"-"&amp;Eingabe!$C$9&amp;"-Gäste","")</f>
        <v>SparteNet.de-BW-Gäste</v>
      </c>
      <c r="C10" s="16" t="str">
        <f aca="false">IF(Eingabe!$F$9&gt;0,"Voucher-Code im Portal","")</f>
        <v>Voucher-Code im Portal</v>
      </c>
      <c r="D10" s="16" t="n">
        <f aca="false">IF(Eingabe!$F$9&gt;0,2000+Eingabe!$G$9*10+2,"")</f>
        <v>2012</v>
      </c>
      <c r="E10" s="16" t="str">
        <f aca="false">IF(Eingabe!$F$9&gt;0,"10."&amp;Eingabe!$D$9&amp;".201.10","")</f>
        <v>10.1.201.10</v>
      </c>
      <c r="F10" s="16" t="str">
        <f aca="false">IF(Eingabe!$F$9&gt;0,"10."&amp;Eingabe!$D$9&amp;".201.1","")</f>
        <v>10.1.201.1</v>
      </c>
      <c r="G10" s="16" t="str">
        <f aca="false">IF(Eingabe!$F$9&gt;0,"10."&amp;Eingabe!$D$9&amp;".201.0/24","")</f>
        <v>10.1.201.0/24</v>
      </c>
    </row>
    <row r="11" customFormat="false" ht="15" hidden="false" customHeight="false" outlineLevel="0" collapsed="false">
      <c r="A11" s="16" t="str">
        <f aca="false">IF(Eingabe!$F$9&gt;0,"Access Point 1 am Mast","")</f>
        <v>Access Point 1 am Mast</v>
      </c>
      <c r="B11" s="16" t="str">
        <f aca="false">IF(Eingabe!$F$9&gt;0,"– (Kabel)","")</f>
        <v>– (Kabel)</v>
      </c>
      <c r="C11" s="16" t="str">
        <f aca="false">IF(Eingabe!$F$9&gt;0,"– (Technik-Netz)","")</f>
        <v>– (Technik-Netz)</v>
      </c>
      <c r="D11" s="16" t="n">
        <f aca="false">IF(Eingabe!$F$9&gt;0,2000+Eingabe!$G$9*10+9,"")</f>
        <v>2019</v>
      </c>
      <c r="E11" s="16" t="str">
        <f aca="false">IF(Eingabe!$F$9&gt;0,"10."&amp;Eingabe!$D$9&amp;".250.51","")</f>
        <v>10.1.250.51</v>
      </c>
      <c r="F11" s="16" t="str">
        <f aca="false">IF(Eingabe!$F$9&gt;0,"10."&amp;Eingabe!$D$9&amp;".250.1","")</f>
        <v>10.1.250.1</v>
      </c>
      <c r="G11" s="16" t="str">
        <f aca="false">IF(Eingabe!$F$9&gt;0,"10."&amp;Eingabe!$D$9&amp;".250.0/24","")</f>
        <v>10.1.250.0/24</v>
      </c>
    </row>
    <row r="12" customFormat="false" ht="15" hidden="false" customHeight="false" outlineLevel="0" collapsed="false">
      <c r="A12" s="16" t="str">
        <f aca="false">IF(Eingabe!$F$9&gt;0,"Mast-Switch M2","")</f>
        <v>Mast-Switch M2</v>
      </c>
      <c r="B12" s="16" t="str">
        <f aca="false">IF(Eingabe!$F$9&gt;0,"– (Kabel)","")</f>
        <v>– (Kabel)</v>
      </c>
      <c r="C12" s="16" t="str">
        <f aca="false">IF(Eingabe!$F$9&gt;0,"– (Technik-Netz)","")</f>
        <v>– (Technik-Netz)</v>
      </c>
      <c r="D12" s="16" t="n">
        <f aca="false">IF(Eingabe!$F$9&gt;0,2000+Eingabe!$G$9*10+9,"")</f>
        <v>2019</v>
      </c>
      <c r="E12" s="16" t="str">
        <f aca="false">IF(Eingabe!$F$9&gt;0,"10."&amp;Eingabe!$D$9&amp;".250.12","")</f>
        <v>10.1.250.12</v>
      </c>
      <c r="F12" s="16" t="str">
        <f aca="false">IF(Eingabe!$F$9&gt;0,"10."&amp;Eingabe!$D$9&amp;".250.1","")</f>
        <v>10.1.250.1</v>
      </c>
      <c r="G12" s="16" t="str">
        <f aca="false">IF(Eingabe!$F$9&gt;0,"10."&amp;Eingabe!$D$9&amp;".250.0/24","")</f>
        <v>10.1.250.0/24</v>
      </c>
    </row>
    <row r="14" customFormat="false" ht="15" hidden="false" customHeight="false" outlineLevel="0" collapsed="false">
      <c r="A14" s="13" t="str">
        <f aca="false">IF(Eingabe!$F$10&gt;0,"Sparte auf Steckplatz 2: "&amp;Eingabe!$B$10&amp;" (Sparten-ID "&amp;Eingabe!$D$10&amp;", "&amp;Eingabe!$E$10&amp;" Parzellen)","Steckplatz 2: nicht belegt")</f>
        <v>Sparte auf Steckplatz 2: Mittelweg (Sparten-ID 2, 53 Parzellen)</v>
      </c>
      <c r="B14" s="14"/>
      <c r="C14" s="14"/>
      <c r="D14" s="14"/>
      <c r="E14" s="14"/>
      <c r="F14" s="14"/>
      <c r="G14" s="14"/>
    </row>
    <row r="15" customFormat="false" ht="15" hidden="false" customHeight="false" outlineLevel="0" collapsed="false">
      <c r="A15" s="15" t="s">
        <v>51</v>
      </c>
      <c r="B15" s="15" t="s">
        <v>52</v>
      </c>
      <c r="C15" s="15" t="s">
        <v>53</v>
      </c>
      <c r="D15" s="15" t="s">
        <v>43</v>
      </c>
      <c r="E15" s="15" t="s">
        <v>54</v>
      </c>
      <c r="F15" s="15" t="s">
        <v>55</v>
      </c>
      <c r="G15" s="15" t="s">
        <v>56</v>
      </c>
    </row>
    <row r="16" customFormat="false" ht="15" hidden="false" customHeight="false" outlineLevel="0" collapsed="false">
      <c r="A16" s="17" t="str">
        <f aca="false">IF(Eingabe!$F$10&gt;0,"Handy in Parzelle 1","")</f>
        <v>Handy in Parzelle 1</v>
      </c>
      <c r="B16" s="17" t="str">
        <f aca="false">IF(Eingabe!$F$10&gt;0,Eingabe!$B$6&amp;"-"&amp;Eingabe!$C$10&amp;"-Pächter","")</f>
        <v>SparteNet.de-MW-Pächter</v>
      </c>
      <c r="C16" s="17" t="str">
        <f aca="false">IF(Eingabe!$F$10&gt;0,"Passwort von Parzelle 1","")</f>
        <v>Passwort von Parzelle 1</v>
      </c>
      <c r="D16" s="17" t="n">
        <f aca="false">IF(Eingabe!$F$10&gt;0,IF(1&lt;=99,IF((Eingabe!$G$10)&lt;=9,1000+(Eingabe!$G$10)*100,3000)+1,IF((Eingabe!$G$10+1)&lt;=9,1000+(Eingabe!$G$10+1)*100,3000)+1-100),"")</f>
        <v>1201</v>
      </c>
      <c r="E16" s="17" t="str">
        <f aca="false">IF(Eingabe!$F$10&gt;0,"10."&amp;Eingabe!$D$10&amp;".1.10","")</f>
        <v>10.2.1.10</v>
      </c>
      <c r="F16" s="17" t="str">
        <f aca="false">IF(Eingabe!$F$10&gt;0,"10."&amp;Eingabe!$D$10&amp;".1.1","")</f>
        <v>10.2.1.1</v>
      </c>
      <c r="G16" s="17" t="str">
        <f aca="false">IF(Eingabe!$F$10&gt;0,"10."&amp;Eingabe!$D$10&amp;".1.0/24","")</f>
        <v>10.2.1.0/24</v>
      </c>
    </row>
    <row r="17" customFormat="false" ht="15" hidden="false" customHeight="false" outlineLevel="0" collapsed="false">
      <c r="A17" s="17" t="str">
        <f aca="false">IF(Eingabe!$F$10&gt;0,"Laptop in Parzelle 25 (2. Gerät)","")</f>
        <v>Laptop in Parzelle 25 (2. Gerät)</v>
      </c>
      <c r="B17" s="17" t="str">
        <f aca="false">IF(Eingabe!$F$10&gt;0,Eingabe!$B$6&amp;"-"&amp;Eingabe!$C$10&amp;"-Pächter","")</f>
        <v>SparteNet.de-MW-Pächter</v>
      </c>
      <c r="C17" s="17" t="str">
        <f aca="false">IF(Eingabe!$F$10&gt;0,"Passwort von Parzelle 25","")</f>
        <v>Passwort von Parzelle 25</v>
      </c>
      <c r="D17" s="17" t="n">
        <f aca="false">IF(Eingabe!$F$10&gt;0,IF(25&lt;=99,IF((Eingabe!$G$10)&lt;=9,1000+(Eingabe!$G$10)*100,3000)+25,IF((Eingabe!$G$10+1)&lt;=9,1000+(Eingabe!$G$10+1)*100,3000)+25-100),"")</f>
        <v>1225</v>
      </c>
      <c r="E17" s="17" t="str">
        <f aca="false">IF(Eingabe!$F$10&gt;0,"10."&amp;Eingabe!$D$10&amp;".25.11","")</f>
        <v>10.2.25.11</v>
      </c>
      <c r="F17" s="17" t="str">
        <f aca="false">IF(Eingabe!$F$10&gt;0,"10."&amp;Eingabe!$D$10&amp;".25.1","")</f>
        <v>10.2.25.1</v>
      </c>
      <c r="G17" s="17" t="str">
        <f aca="false">IF(Eingabe!$F$10&gt;0,"10."&amp;Eingabe!$D$10&amp;".25.0/24","")</f>
        <v>10.2.25.0/24</v>
      </c>
    </row>
    <row r="18" customFormat="false" ht="15" hidden="false" customHeight="false" outlineLevel="0" collapsed="false">
      <c r="A18" s="17" t="str">
        <f aca="false">IF(Eingabe!$F$10&gt;0,"Fernseher in Parzelle "&amp;Eingabe!$E$10&amp;" (letzte Parzelle)","")</f>
        <v>Fernseher in Parzelle 53 (letzte Parzelle)</v>
      </c>
      <c r="B18" s="17" t="str">
        <f aca="false">IF(Eingabe!$F$10&gt;0,Eingabe!$B$6&amp;"-"&amp;Eingabe!$C$10&amp;"-Pächter","")</f>
        <v>SparteNet.de-MW-Pächter</v>
      </c>
      <c r="C18" s="17" t="str">
        <f aca="false">IF(Eingabe!$F$10&gt;0,"Passwort von Parzelle "&amp;Eingabe!$E$10,"")</f>
        <v>Passwort von Parzelle 53</v>
      </c>
      <c r="D18" s="17" t="n">
        <f aca="false">IF(Eingabe!$F$10&gt;0,IF(Eingabe!$E$10&lt;=99,IF((Eingabe!$G$10)&lt;=9,1000+(Eingabe!$G$10)*100,3000)+Eingabe!$E$10,IF((Eingabe!$G$10+1)&lt;=9,1000+(Eingabe!$G$10+1)*100,3000)+Eingabe!$E$10-100),"")</f>
        <v>1253</v>
      </c>
      <c r="E18" s="17" t="str">
        <f aca="false">IF(Eingabe!$F$10&gt;0,"10."&amp;Eingabe!$D$10&amp;"."&amp;Eingabe!$E$10&amp;".10","")</f>
        <v>10.2.53.10</v>
      </c>
      <c r="F18" s="17" t="str">
        <f aca="false">IF(Eingabe!$F$10&gt;0,"10."&amp;Eingabe!$D$10&amp;"."&amp;Eingabe!$E$10&amp;".1","")</f>
        <v>10.2.53.1</v>
      </c>
      <c r="G18" s="17" t="str">
        <f aca="false">IF(Eingabe!$F$10&gt;0,"10."&amp;Eingabe!$D$10&amp;"."&amp;Eingabe!$E$10&amp;".0/24","")</f>
        <v>10.2.53.0/24</v>
      </c>
    </row>
    <row r="19" customFormat="false" ht="15" hidden="false" customHeight="false" outlineLevel="0" collapsed="false">
      <c r="A19" s="17" t="str">
        <f aca="false">IF(Eingabe!$F$10&gt;0,"Laptop des Vorstands im Vereinsheim","")</f>
        <v>Laptop des Vorstands im Vereinsheim</v>
      </c>
      <c r="B19" s="17" t="str">
        <f aca="false">IF(Eingabe!$F$10&gt;0,Eingabe!$B$6&amp;"-"&amp;Eingabe!$C$10&amp;"-Vorstand","")</f>
        <v>SparteNet.de-MW-Vorstand</v>
      </c>
      <c r="C19" s="17" t="str">
        <f aca="false">IF(Eingabe!$F$10&gt;0,"Vorstand-Passwort","")</f>
        <v>Vorstand-Passwort</v>
      </c>
      <c r="D19" s="17" t="n">
        <f aca="false">IF(Eingabe!$F$10&gt;0,2000+Eingabe!$G$10*10+1,"")</f>
        <v>2021</v>
      </c>
      <c r="E19" s="17" t="str">
        <f aca="false">IF(Eingabe!$F$10&gt;0,"10."&amp;Eingabe!$D$10&amp;".200.10","")</f>
        <v>10.2.200.10</v>
      </c>
      <c r="F19" s="17" t="str">
        <f aca="false">IF(Eingabe!$F$10&gt;0,"10."&amp;Eingabe!$D$10&amp;".200.1","")</f>
        <v>10.2.200.1</v>
      </c>
      <c r="G19" s="17" t="str">
        <f aca="false">IF(Eingabe!$F$10&gt;0,"10."&amp;Eingabe!$D$10&amp;".200.0/24","")</f>
        <v>10.2.200.0/24</v>
      </c>
    </row>
    <row r="20" customFormat="false" ht="15" hidden="false" customHeight="false" outlineLevel="0" collapsed="false">
      <c r="A20" s="17" t="str">
        <f aca="false">IF(Eingabe!$F$10&gt;0,"Handy eines Gastes","")</f>
        <v>Handy eines Gastes</v>
      </c>
      <c r="B20" s="17" t="str">
        <f aca="false">IF(Eingabe!$F$10&gt;0,Eingabe!$B$6&amp;"-"&amp;Eingabe!$C$10&amp;"-Gäste","")</f>
        <v>SparteNet.de-MW-Gäste</v>
      </c>
      <c r="C20" s="17" t="str">
        <f aca="false">IF(Eingabe!$F$10&gt;0,"Voucher-Code im Portal","")</f>
        <v>Voucher-Code im Portal</v>
      </c>
      <c r="D20" s="17" t="n">
        <f aca="false">IF(Eingabe!$F$10&gt;0,2000+Eingabe!$G$10*10+2,"")</f>
        <v>2022</v>
      </c>
      <c r="E20" s="17" t="str">
        <f aca="false">IF(Eingabe!$F$10&gt;0,"10."&amp;Eingabe!$D$10&amp;".201.10","")</f>
        <v>10.2.201.10</v>
      </c>
      <c r="F20" s="17" t="str">
        <f aca="false">IF(Eingabe!$F$10&gt;0,"10."&amp;Eingabe!$D$10&amp;".201.1","")</f>
        <v>10.2.201.1</v>
      </c>
      <c r="G20" s="17" t="str">
        <f aca="false">IF(Eingabe!$F$10&gt;0,"10."&amp;Eingabe!$D$10&amp;".201.0/24","")</f>
        <v>10.2.201.0/24</v>
      </c>
    </row>
    <row r="21" customFormat="false" ht="15" hidden="false" customHeight="false" outlineLevel="0" collapsed="false">
      <c r="A21" s="17" t="str">
        <f aca="false">IF(Eingabe!$F$10&gt;0,"Access Point 1 am Mast","")</f>
        <v>Access Point 1 am Mast</v>
      </c>
      <c r="B21" s="17" t="str">
        <f aca="false">IF(Eingabe!$F$10&gt;0,"– (Kabel)","")</f>
        <v>– (Kabel)</v>
      </c>
      <c r="C21" s="17" t="str">
        <f aca="false">IF(Eingabe!$F$10&gt;0,"– (Technik-Netz)","")</f>
        <v>– (Technik-Netz)</v>
      </c>
      <c r="D21" s="17" t="n">
        <f aca="false">IF(Eingabe!$F$10&gt;0,2000+Eingabe!$G$10*10+9,"")</f>
        <v>2029</v>
      </c>
      <c r="E21" s="17" t="str">
        <f aca="false">IF(Eingabe!$F$10&gt;0,"10."&amp;Eingabe!$D$10&amp;".250.51","")</f>
        <v>10.2.250.51</v>
      </c>
      <c r="F21" s="17" t="str">
        <f aca="false">IF(Eingabe!$F$10&gt;0,"10."&amp;Eingabe!$D$10&amp;".250.1","")</f>
        <v>10.2.250.1</v>
      </c>
      <c r="G21" s="17" t="str">
        <f aca="false">IF(Eingabe!$F$10&gt;0,"10."&amp;Eingabe!$D$10&amp;".250.0/24","")</f>
        <v>10.2.250.0/24</v>
      </c>
    </row>
    <row r="22" customFormat="false" ht="15" hidden="false" customHeight="false" outlineLevel="0" collapsed="false">
      <c r="A22" s="17" t="str">
        <f aca="false">IF(Eingabe!$F$10&gt;0,"Mast-Switch M2","")</f>
        <v>Mast-Switch M2</v>
      </c>
      <c r="B22" s="17" t="str">
        <f aca="false">IF(Eingabe!$F$10&gt;0,"– (Kabel)","")</f>
        <v>– (Kabel)</v>
      </c>
      <c r="C22" s="17" t="str">
        <f aca="false">IF(Eingabe!$F$10&gt;0,"– (Technik-Netz)","")</f>
        <v>– (Technik-Netz)</v>
      </c>
      <c r="D22" s="17" t="n">
        <f aca="false">IF(Eingabe!$F$10&gt;0,2000+Eingabe!$G$10*10+9,"")</f>
        <v>2029</v>
      </c>
      <c r="E22" s="17" t="str">
        <f aca="false">IF(Eingabe!$F$10&gt;0,"10."&amp;Eingabe!$D$10&amp;".250.12","")</f>
        <v>10.2.250.12</v>
      </c>
      <c r="F22" s="17" t="str">
        <f aca="false">IF(Eingabe!$F$10&gt;0,"10."&amp;Eingabe!$D$10&amp;".250.1","")</f>
        <v>10.2.250.1</v>
      </c>
      <c r="G22" s="17" t="str">
        <f aca="false">IF(Eingabe!$F$10&gt;0,"10."&amp;Eingabe!$D$10&amp;".250.0/24","")</f>
        <v>10.2.250.0/24</v>
      </c>
    </row>
    <row r="24" customFormat="false" ht="15" hidden="false" customHeight="false" outlineLevel="0" collapsed="false">
      <c r="A24" s="2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5" min="4" style="0" width="9"/>
    <col collapsed="false" customWidth="true" hidden="false" outlineLevel="0" max="6" min="6" style="0" width="18"/>
    <col collapsed="false" customWidth="true" hidden="false" outlineLevel="0" max="7" min="7" style="0" width="15"/>
    <col collapsed="false" customWidth="true" hidden="false" outlineLevel="0" max="8" min="8" style="0" width="28"/>
    <col collapsed="false" customWidth="true" hidden="false" outlineLevel="0" max="9" min="9" style="0" width="24"/>
    <col collapsed="false" customWidth="true" hidden="false" outlineLevel="0" max="10" min="10" style="0" width="28"/>
    <col collapsed="false" customWidth="true" hidden="false" outlineLevel="0" max="11" min="11" style="0" width="30"/>
  </cols>
  <sheetData>
    <row r="1" customFormat="false" ht="16.15" hidden="false" customHeight="false" outlineLevel="0" collapsed="false">
      <c r="A1" s="18" t="str">
        <f aca="false">"VLAN-Plan "&amp;Eingabe!B5</f>
        <v>VLAN-Plan KGS Buchenweg e.V.</v>
      </c>
    </row>
    <row r="2" customFormat="false" ht="15" hidden="false" customHeight="false" outlineLevel="0" collapsed="false">
      <c r="A2" s="2" t="s">
        <v>58</v>
      </c>
    </row>
    <row r="4" customFormat="false" ht="15" hidden="false" customHeight="false" outlineLevel="0" collapsed="false">
      <c r="A4" s="12" t="s">
        <v>9</v>
      </c>
      <c r="B4" s="12" t="s">
        <v>59</v>
      </c>
      <c r="C4" s="12" t="s">
        <v>60</v>
      </c>
      <c r="D4" s="12" t="s">
        <v>61</v>
      </c>
      <c r="E4" s="12" t="s">
        <v>62</v>
      </c>
      <c r="F4" s="12" t="s">
        <v>56</v>
      </c>
      <c r="G4" s="12" t="s">
        <v>63</v>
      </c>
      <c r="H4" s="12" t="s">
        <v>64</v>
      </c>
      <c r="I4" s="12" t="s">
        <v>52</v>
      </c>
      <c r="J4" s="12" t="s">
        <v>65</v>
      </c>
      <c r="K4" s="12" t="s">
        <v>66</v>
      </c>
    </row>
    <row r="5" customFormat="false" ht="15" hidden="false" customHeight="false" outlineLevel="0" collapsed="false">
      <c r="A5" s="11" t="s">
        <v>67</v>
      </c>
      <c r="B5" s="11" t="s">
        <v>68</v>
      </c>
      <c r="C5" s="11" t="s">
        <v>69</v>
      </c>
      <c r="D5" s="11"/>
      <c r="E5" s="11" t="n">
        <v>1</v>
      </c>
      <c r="F5" s="11" t="str">
        <f aca="false">"10.0."&amp;Eingabe!$B$4&amp;".0/24"</f>
        <v>10.0.1.0/24</v>
      </c>
      <c r="G5" s="11" t="str">
        <f aca="false">"10.0."&amp;Eingabe!$B$4&amp;".1"</f>
        <v>10.0.1.1</v>
      </c>
      <c r="H5" s="11" t="str">
        <f aca="false">"10.0."&amp;Eingabe!$B$4&amp;".2 – 10.0."&amp;Eingabe!$B$4&amp;".50"</f>
        <v>10.0.1.2 – 10.0.1.50</v>
      </c>
      <c r="I5" s="11" t="s">
        <v>67</v>
      </c>
      <c r="J5" s="11" t="s">
        <v>70</v>
      </c>
      <c r="K5" s="11" t="str">
        <f aca="false">"Aggregation-Switch 1: 10.0."&amp;Eingabe!$B$4&amp;".2"</f>
        <v>Aggregation-Switch 1: 10.0.1.2</v>
      </c>
    </row>
    <row r="6" customFormat="false" ht="15" hidden="false" customHeight="false" outlineLevel="0" collapsed="false">
      <c r="A6" s="16" t="n">
        <f aca="false">IF(Eingabe!$F$9&gt;0,1,"")</f>
        <v>1</v>
      </c>
      <c r="B6" s="16" t="str">
        <f aca="false">IF(Eingabe!$F$9&gt;0,Eingabe!$B$9,"")</f>
        <v>KGS Buchenweg e.V.</v>
      </c>
      <c r="C6" s="16" t="str">
        <f aca="false">IF(Eingabe!$F$9&gt;0,Eingabe!$C$9&amp;"-Vorstand","")</f>
        <v>BW-Vorstand</v>
      </c>
      <c r="D6" s="16"/>
      <c r="E6" s="16" t="n">
        <f aca="false">IF(Eingabe!$F$9&gt;0,2000+Eingabe!$G$9*10+1,"")</f>
        <v>2011</v>
      </c>
      <c r="F6" s="16" t="str">
        <f aca="false">IF(Eingabe!$F$9&gt;0,"10."&amp;Eingabe!$D$9&amp;".200.0/24","")</f>
        <v>10.1.200.0/24</v>
      </c>
      <c r="G6" s="16" t="str">
        <f aca="false">IF(Eingabe!$F$9&gt;0,"10."&amp;Eingabe!$D$9&amp;".200.1","")</f>
        <v>10.1.200.1</v>
      </c>
      <c r="H6" s="16" t="str">
        <f aca="false">IF(Eingabe!$F$9&gt;0,"10."&amp;Eingabe!$D$9&amp;".200.10 – "&amp;"10."&amp;Eingabe!$D$9&amp;".200.250","")</f>
        <v>10.1.200.10 – 10.1.200.250</v>
      </c>
      <c r="I6" s="16" t="str">
        <f aca="false">IF(Eingabe!$F$9&gt;0,Eingabe!$B$6&amp;"-"&amp;Eingabe!$C$9&amp;"-Vorstand","")</f>
        <v>SparteNet.de-BW-Vorstand</v>
      </c>
      <c r="J6" s="16" t="str">
        <f aca="false">IF(Eingabe!$F$9&gt;0,"eigenes WLAN Vorstand","")</f>
        <v>eigenes WLAN Vorstand</v>
      </c>
      <c r="K6" s="16" t="str">
        <f aca="false">IF(Eingabe!$F$9&gt;0,"Vorstand-Laptop: "&amp;"10."&amp;Eingabe!$D$9&amp;".200.10","")</f>
        <v>Vorstand-Laptop: 10.1.200.10</v>
      </c>
    </row>
    <row r="7" customFormat="false" ht="15" hidden="false" customHeight="false" outlineLevel="0" collapsed="false">
      <c r="A7" s="16" t="n">
        <f aca="false">IF(Eingabe!$F$9&gt;0,1,"")</f>
        <v>1</v>
      </c>
      <c r="B7" s="16" t="str">
        <f aca="false">IF(Eingabe!$F$9&gt;0,Eingabe!$B$9,"")</f>
        <v>KGS Buchenweg e.V.</v>
      </c>
      <c r="C7" s="16" t="str">
        <f aca="false">IF(Eingabe!$F$9&gt;0,Eingabe!$C$9&amp;"-Gäste","")</f>
        <v>BW-Gäste</v>
      </c>
      <c r="D7" s="16"/>
      <c r="E7" s="16" t="n">
        <f aca="false">IF(Eingabe!$F$9&gt;0,2000+Eingabe!$G$9*10+2,"")</f>
        <v>2012</v>
      </c>
      <c r="F7" s="16" t="str">
        <f aca="false">IF(Eingabe!$F$9&gt;0,"10."&amp;Eingabe!$D$9&amp;".201.0/24","")</f>
        <v>10.1.201.0/24</v>
      </c>
      <c r="G7" s="16" t="str">
        <f aca="false">IF(Eingabe!$F$9&gt;0,"10."&amp;Eingabe!$D$9&amp;".201.1","")</f>
        <v>10.1.201.1</v>
      </c>
      <c r="H7" s="16" t="str">
        <f aca="false">IF(Eingabe!$F$9&gt;0,"10."&amp;Eingabe!$D$9&amp;".201.10 – "&amp;"10."&amp;Eingabe!$D$9&amp;".201.250","")</f>
        <v>10.1.201.10 – 10.1.201.250</v>
      </c>
      <c r="I7" s="16" t="str">
        <f aca="false">IF(Eingabe!$F$9&gt;0,Eingabe!$B$6&amp;"-"&amp;Eingabe!$C$9&amp;"-Gäste","")</f>
        <v>SparteNet.de-BW-Gäste</v>
      </c>
      <c r="J7" s="16" t="str">
        <f aca="false">IF(Eingabe!$F$9&gt;0,"Voucher-Portal, isoliert","")</f>
        <v>Voucher-Portal, isoliert</v>
      </c>
      <c r="K7" s="16" t="str">
        <f aca="false">IF(Eingabe!$F$9&gt;0,"Gast-Handy: "&amp;"10."&amp;Eingabe!$D$9&amp;".201.10","")</f>
        <v>Gast-Handy: 10.1.201.10</v>
      </c>
    </row>
    <row r="8" customFormat="false" ht="15" hidden="false" customHeight="false" outlineLevel="0" collapsed="false">
      <c r="A8" s="16" t="n">
        <f aca="false">IF(Eingabe!$F$9&gt;0,1,"")</f>
        <v>1</v>
      </c>
      <c r="B8" s="16" t="str">
        <f aca="false">IF(Eingabe!$F$9&gt;0,Eingabe!$B$9,"")</f>
        <v>KGS Buchenweg e.V.</v>
      </c>
      <c r="C8" s="16" t="str">
        <f aca="false">IF(Eingabe!$F$9&gt;0,Eingabe!$C$9&amp;"-Technik","")</f>
        <v>BW-Technik</v>
      </c>
      <c r="D8" s="16"/>
      <c r="E8" s="16" t="n">
        <f aca="false">IF(Eingabe!$F$9&gt;0,2000+Eingabe!$G$9*10+9,"")</f>
        <v>2019</v>
      </c>
      <c r="F8" s="16" t="str">
        <f aca="false">IF(Eingabe!$F$9&gt;0,"10."&amp;Eingabe!$D$9&amp;".250.0/24","")</f>
        <v>10.1.250.0/24</v>
      </c>
      <c r="G8" s="16" t="str">
        <f aca="false">IF(Eingabe!$F$9&gt;0,"10."&amp;Eingabe!$D$9&amp;".250.1","")</f>
        <v>10.1.250.1</v>
      </c>
      <c r="H8" s="16" t="str">
        <f aca="false">IF(Eingabe!$F$9&gt;0,"10."&amp;Eingabe!$D$9&amp;".250.10 – "&amp;"10."&amp;Eingabe!$D$9&amp;".250.250","")</f>
        <v>10.1.250.10 – 10.1.250.250</v>
      </c>
      <c r="I8" s="16" t="str">
        <f aca="false">IF(Eingabe!$F$9&gt;0,"–","")</f>
        <v>–</v>
      </c>
      <c r="J8" s="16" t="str">
        <f aca="false">IF(Eingabe!$F$9&gt;0,"Mast-Switches und Access Points","")</f>
        <v>Mast-Switches und Access Points</v>
      </c>
      <c r="K8" s="16" t="str">
        <f aca="false">IF(Eingabe!$F$9&gt;0,"Access Point 1: "&amp;"10."&amp;Eingabe!$D$9&amp;".250.51","")</f>
        <v>Access Point 1: 10.1.250.51</v>
      </c>
    </row>
    <row r="9" customFormat="false" ht="15" hidden="false" customHeight="false" outlineLevel="0" collapsed="false">
      <c r="A9" s="16" t="n">
        <f aca="false">IF(AND(Eingabe!$F$9&gt;0,Eingabe!$E$9&gt;=1),1,"")</f>
        <v>1</v>
      </c>
      <c r="B9" s="16" t="str">
        <f aca="false">IF(AND(Eingabe!$F$9&gt;0,Eingabe!$E$9&gt;=1),Eingabe!$B$9,"")</f>
        <v>KGS Buchenweg e.V.</v>
      </c>
      <c r="C9" s="16" t="str">
        <f aca="false">IF(AND(Eingabe!$F$9&gt;0,Eingabe!$E$9&gt;=1),Eingabe!$C$9&amp;"-Paz."&amp;TEXT(1,"000"),"")</f>
        <v>BW-Paz.001</v>
      </c>
      <c r="D9" s="16" t="n">
        <f aca="false">IF(AND(Eingabe!$F$9&gt;0,Eingabe!$E$9&gt;=1),1,"")</f>
        <v>1</v>
      </c>
      <c r="E9" s="16" t="n">
        <f aca="false">IF(AND(Eingabe!$F$9&gt;0,Eingabe!$E$9&gt;=1),IF((Eingabe!$G$9)&lt;=9,1000+(Eingabe!$G$9)*100,3000)+1,"")</f>
        <v>1101</v>
      </c>
      <c r="F9" s="16" t="str">
        <f aca="false">IF(AND(Eingabe!$F$9&gt;0,Eingabe!$E$9&gt;=1),"10."&amp;Eingabe!$D$9&amp;".1.0/24","")</f>
        <v>10.1.1.0/24</v>
      </c>
      <c r="G9" s="16" t="str">
        <f aca="false">IF(AND(Eingabe!$F$9&gt;0,Eingabe!$E$9&gt;=1),"10."&amp;Eingabe!$D$9&amp;".1.1","")</f>
        <v>10.1.1.1</v>
      </c>
      <c r="H9" s="16" t="str">
        <f aca="false">IF(AND(Eingabe!$F$9&gt;0,Eingabe!$E$9&gt;=1),"10."&amp;Eingabe!$D$9&amp;".1.10 – 10."&amp;Eingabe!$D$9&amp;".1.250","")</f>
        <v>10.1.1.10 – 10.1.1.250</v>
      </c>
      <c r="I9" s="16" t="str">
        <f aca="false">IF(AND(Eingabe!$F$9&gt;0,Eingabe!$E$9&gt;=1),Eingabe!$B$6&amp;"-"&amp;Eingabe!$C$9&amp;"-Pächter","")</f>
        <v>SparteNet.de-BW-Pächter</v>
      </c>
      <c r="J9" s="16" t="str">
        <f aca="false">IF(AND(Eingabe!$F$9&gt;0,Eingabe!$E$9&gt;=1),"PPSK: Passwort Parzelle 1","")</f>
        <v>PPSK: Passwort Parzelle 1</v>
      </c>
      <c r="K9" s="16" t="str">
        <f aca="false">IF(AND(Eingabe!$F$9&gt;0,Eingabe!$E$9&gt;=1),"1. Gerät: 10."&amp;Eingabe!$D$9&amp;".1.10, 2. Gerät: .11","")</f>
        <v>1. Gerät: 10.1.1.10, 2. Gerät: .11</v>
      </c>
    </row>
    <row r="10" customFormat="false" ht="15" hidden="false" customHeight="false" outlineLevel="0" collapsed="false">
      <c r="A10" s="16" t="n">
        <f aca="false">IF(AND(Eingabe!$F$9&gt;0,Eingabe!$E$9&gt;=2),1,"")</f>
        <v>1</v>
      </c>
      <c r="B10" s="16" t="str">
        <f aca="false">IF(AND(Eingabe!$F$9&gt;0,Eingabe!$E$9&gt;=2),Eingabe!$B$9,"")</f>
        <v>KGS Buchenweg e.V.</v>
      </c>
      <c r="C10" s="16" t="str">
        <f aca="false">IF(AND(Eingabe!$F$9&gt;0,Eingabe!$E$9&gt;=2),Eingabe!$C$9&amp;"-Paz."&amp;TEXT(2,"000"),"")</f>
        <v>BW-Paz.002</v>
      </c>
      <c r="D10" s="16" t="n">
        <f aca="false">IF(AND(Eingabe!$F$9&gt;0,Eingabe!$E$9&gt;=2),2,"")</f>
        <v>2</v>
      </c>
      <c r="E10" s="16" t="n">
        <f aca="false">IF(AND(Eingabe!$F$9&gt;0,Eingabe!$E$9&gt;=2),IF((Eingabe!$G$9)&lt;=9,1000+(Eingabe!$G$9)*100,3000)+2,"")</f>
        <v>1102</v>
      </c>
      <c r="F10" s="16" t="str">
        <f aca="false">IF(AND(Eingabe!$F$9&gt;0,Eingabe!$E$9&gt;=2),"10."&amp;Eingabe!$D$9&amp;".2.0/24","")</f>
        <v>10.1.2.0/24</v>
      </c>
      <c r="G10" s="16" t="str">
        <f aca="false">IF(AND(Eingabe!$F$9&gt;0,Eingabe!$E$9&gt;=2),"10."&amp;Eingabe!$D$9&amp;".2.1","")</f>
        <v>10.1.2.1</v>
      </c>
      <c r="H10" s="16" t="str">
        <f aca="false">IF(AND(Eingabe!$F$9&gt;0,Eingabe!$E$9&gt;=2),"10."&amp;Eingabe!$D$9&amp;".2.10 – 10."&amp;Eingabe!$D$9&amp;".2.250","")</f>
        <v>10.1.2.10 – 10.1.2.250</v>
      </c>
      <c r="I10" s="16" t="str">
        <f aca="false">IF(AND(Eingabe!$F$9&gt;0,Eingabe!$E$9&gt;=2),Eingabe!$B$6&amp;"-"&amp;Eingabe!$C$9&amp;"-Pächter","")</f>
        <v>SparteNet.de-BW-Pächter</v>
      </c>
      <c r="J10" s="16" t="str">
        <f aca="false">IF(AND(Eingabe!$F$9&gt;0,Eingabe!$E$9&gt;=2),"PPSK: Passwort Parzelle 2","")</f>
        <v>PPSK: Passwort Parzelle 2</v>
      </c>
      <c r="K10" s="16" t="str">
        <f aca="false">IF(AND(Eingabe!$F$9&gt;0,Eingabe!$E$9&gt;=2),"1. Gerät: 10."&amp;Eingabe!$D$9&amp;".2.10, 2. Gerät: .11","")</f>
        <v>1. Gerät: 10.1.2.10, 2. Gerät: .11</v>
      </c>
    </row>
    <row r="11" customFormat="false" ht="15" hidden="false" customHeight="false" outlineLevel="0" collapsed="false">
      <c r="A11" s="16" t="n">
        <f aca="false">IF(AND(Eingabe!$F$9&gt;0,Eingabe!$E$9&gt;=3),1,"")</f>
        <v>1</v>
      </c>
      <c r="B11" s="16" t="str">
        <f aca="false">IF(AND(Eingabe!$F$9&gt;0,Eingabe!$E$9&gt;=3),Eingabe!$B$9,"")</f>
        <v>KGS Buchenweg e.V.</v>
      </c>
      <c r="C11" s="16" t="str">
        <f aca="false">IF(AND(Eingabe!$F$9&gt;0,Eingabe!$E$9&gt;=3),Eingabe!$C$9&amp;"-Paz."&amp;TEXT(3,"000"),"")</f>
        <v>BW-Paz.003</v>
      </c>
      <c r="D11" s="16" t="n">
        <f aca="false">IF(AND(Eingabe!$F$9&gt;0,Eingabe!$E$9&gt;=3),3,"")</f>
        <v>3</v>
      </c>
      <c r="E11" s="16" t="n">
        <f aca="false">IF(AND(Eingabe!$F$9&gt;0,Eingabe!$E$9&gt;=3),IF((Eingabe!$G$9)&lt;=9,1000+(Eingabe!$G$9)*100,3000)+3,"")</f>
        <v>1103</v>
      </c>
      <c r="F11" s="16" t="str">
        <f aca="false">IF(AND(Eingabe!$F$9&gt;0,Eingabe!$E$9&gt;=3),"10."&amp;Eingabe!$D$9&amp;".3.0/24","")</f>
        <v>10.1.3.0/24</v>
      </c>
      <c r="G11" s="16" t="str">
        <f aca="false">IF(AND(Eingabe!$F$9&gt;0,Eingabe!$E$9&gt;=3),"10."&amp;Eingabe!$D$9&amp;".3.1","")</f>
        <v>10.1.3.1</v>
      </c>
      <c r="H11" s="16" t="str">
        <f aca="false">IF(AND(Eingabe!$F$9&gt;0,Eingabe!$E$9&gt;=3),"10."&amp;Eingabe!$D$9&amp;".3.10 – 10."&amp;Eingabe!$D$9&amp;".3.250","")</f>
        <v>10.1.3.10 – 10.1.3.250</v>
      </c>
      <c r="I11" s="16" t="str">
        <f aca="false">IF(AND(Eingabe!$F$9&gt;0,Eingabe!$E$9&gt;=3),Eingabe!$B$6&amp;"-"&amp;Eingabe!$C$9&amp;"-Pächter","")</f>
        <v>SparteNet.de-BW-Pächter</v>
      </c>
      <c r="J11" s="16" t="str">
        <f aca="false">IF(AND(Eingabe!$F$9&gt;0,Eingabe!$E$9&gt;=3),"PPSK: Passwort Parzelle 3","")</f>
        <v>PPSK: Passwort Parzelle 3</v>
      </c>
      <c r="K11" s="16" t="str">
        <f aca="false">IF(AND(Eingabe!$F$9&gt;0,Eingabe!$E$9&gt;=3),"1. Gerät: 10."&amp;Eingabe!$D$9&amp;".3.10, 2. Gerät: .11","")</f>
        <v>1. Gerät: 10.1.3.10, 2. Gerät: .11</v>
      </c>
    </row>
    <row r="12" customFormat="false" ht="15" hidden="false" customHeight="false" outlineLevel="0" collapsed="false">
      <c r="A12" s="16" t="n">
        <f aca="false">IF(AND(Eingabe!$F$9&gt;0,Eingabe!$E$9&gt;=4),1,"")</f>
        <v>1</v>
      </c>
      <c r="B12" s="16" t="str">
        <f aca="false">IF(AND(Eingabe!$F$9&gt;0,Eingabe!$E$9&gt;=4),Eingabe!$B$9,"")</f>
        <v>KGS Buchenweg e.V.</v>
      </c>
      <c r="C12" s="16" t="str">
        <f aca="false">IF(AND(Eingabe!$F$9&gt;0,Eingabe!$E$9&gt;=4),Eingabe!$C$9&amp;"-Paz."&amp;TEXT(4,"000"),"")</f>
        <v>BW-Paz.004</v>
      </c>
      <c r="D12" s="16" t="n">
        <f aca="false">IF(AND(Eingabe!$F$9&gt;0,Eingabe!$E$9&gt;=4),4,"")</f>
        <v>4</v>
      </c>
      <c r="E12" s="16" t="n">
        <f aca="false">IF(AND(Eingabe!$F$9&gt;0,Eingabe!$E$9&gt;=4),IF((Eingabe!$G$9)&lt;=9,1000+(Eingabe!$G$9)*100,3000)+4,"")</f>
        <v>1104</v>
      </c>
      <c r="F12" s="16" t="str">
        <f aca="false">IF(AND(Eingabe!$F$9&gt;0,Eingabe!$E$9&gt;=4),"10."&amp;Eingabe!$D$9&amp;".4.0/24","")</f>
        <v>10.1.4.0/24</v>
      </c>
      <c r="G12" s="16" t="str">
        <f aca="false">IF(AND(Eingabe!$F$9&gt;0,Eingabe!$E$9&gt;=4),"10."&amp;Eingabe!$D$9&amp;".4.1","")</f>
        <v>10.1.4.1</v>
      </c>
      <c r="H12" s="16" t="str">
        <f aca="false">IF(AND(Eingabe!$F$9&gt;0,Eingabe!$E$9&gt;=4),"10."&amp;Eingabe!$D$9&amp;".4.10 – 10."&amp;Eingabe!$D$9&amp;".4.250","")</f>
        <v>10.1.4.10 – 10.1.4.250</v>
      </c>
      <c r="I12" s="16" t="str">
        <f aca="false">IF(AND(Eingabe!$F$9&gt;0,Eingabe!$E$9&gt;=4),Eingabe!$B$6&amp;"-"&amp;Eingabe!$C$9&amp;"-Pächter","")</f>
        <v>SparteNet.de-BW-Pächter</v>
      </c>
      <c r="J12" s="16" t="str">
        <f aca="false">IF(AND(Eingabe!$F$9&gt;0,Eingabe!$E$9&gt;=4),"PPSK: Passwort Parzelle 4","")</f>
        <v>PPSK: Passwort Parzelle 4</v>
      </c>
      <c r="K12" s="16" t="str">
        <f aca="false">IF(AND(Eingabe!$F$9&gt;0,Eingabe!$E$9&gt;=4),"1. Gerät: 10."&amp;Eingabe!$D$9&amp;".4.10, 2. Gerät: .11","")</f>
        <v>1. Gerät: 10.1.4.10, 2. Gerät: .11</v>
      </c>
    </row>
    <row r="13" customFormat="false" ht="15" hidden="false" customHeight="false" outlineLevel="0" collapsed="false">
      <c r="A13" s="16" t="n">
        <f aca="false">IF(AND(Eingabe!$F$9&gt;0,Eingabe!$E$9&gt;=5),1,"")</f>
        <v>1</v>
      </c>
      <c r="B13" s="16" t="str">
        <f aca="false">IF(AND(Eingabe!$F$9&gt;0,Eingabe!$E$9&gt;=5),Eingabe!$B$9,"")</f>
        <v>KGS Buchenweg e.V.</v>
      </c>
      <c r="C13" s="16" t="str">
        <f aca="false">IF(AND(Eingabe!$F$9&gt;0,Eingabe!$E$9&gt;=5),Eingabe!$C$9&amp;"-Paz."&amp;TEXT(5,"000"),"")</f>
        <v>BW-Paz.005</v>
      </c>
      <c r="D13" s="16" t="n">
        <f aca="false">IF(AND(Eingabe!$F$9&gt;0,Eingabe!$E$9&gt;=5),5,"")</f>
        <v>5</v>
      </c>
      <c r="E13" s="16" t="n">
        <f aca="false">IF(AND(Eingabe!$F$9&gt;0,Eingabe!$E$9&gt;=5),IF((Eingabe!$G$9)&lt;=9,1000+(Eingabe!$G$9)*100,3000)+5,"")</f>
        <v>1105</v>
      </c>
      <c r="F13" s="16" t="str">
        <f aca="false">IF(AND(Eingabe!$F$9&gt;0,Eingabe!$E$9&gt;=5),"10."&amp;Eingabe!$D$9&amp;".5.0/24","")</f>
        <v>10.1.5.0/24</v>
      </c>
      <c r="G13" s="16" t="str">
        <f aca="false">IF(AND(Eingabe!$F$9&gt;0,Eingabe!$E$9&gt;=5),"10."&amp;Eingabe!$D$9&amp;".5.1","")</f>
        <v>10.1.5.1</v>
      </c>
      <c r="H13" s="16" t="str">
        <f aca="false">IF(AND(Eingabe!$F$9&gt;0,Eingabe!$E$9&gt;=5),"10."&amp;Eingabe!$D$9&amp;".5.10 – 10."&amp;Eingabe!$D$9&amp;".5.250","")</f>
        <v>10.1.5.10 – 10.1.5.250</v>
      </c>
      <c r="I13" s="16" t="str">
        <f aca="false">IF(AND(Eingabe!$F$9&gt;0,Eingabe!$E$9&gt;=5),Eingabe!$B$6&amp;"-"&amp;Eingabe!$C$9&amp;"-Pächter","")</f>
        <v>SparteNet.de-BW-Pächter</v>
      </c>
      <c r="J13" s="16" t="str">
        <f aca="false">IF(AND(Eingabe!$F$9&gt;0,Eingabe!$E$9&gt;=5),"PPSK: Passwort Parzelle 5","")</f>
        <v>PPSK: Passwort Parzelle 5</v>
      </c>
      <c r="K13" s="16" t="str">
        <f aca="false">IF(AND(Eingabe!$F$9&gt;0,Eingabe!$E$9&gt;=5),"1. Gerät: 10."&amp;Eingabe!$D$9&amp;".5.10, 2. Gerät: .11","")</f>
        <v>1. Gerät: 10.1.5.10, 2. Gerät: .11</v>
      </c>
    </row>
    <row r="14" customFormat="false" ht="15" hidden="false" customHeight="false" outlineLevel="0" collapsed="false">
      <c r="A14" s="16" t="n">
        <f aca="false">IF(AND(Eingabe!$F$9&gt;0,Eingabe!$E$9&gt;=6),1,"")</f>
        <v>1</v>
      </c>
      <c r="B14" s="16" t="str">
        <f aca="false">IF(AND(Eingabe!$F$9&gt;0,Eingabe!$E$9&gt;=6),Eingabe!$B$9,"")</f>
        <v>KGS Buchenweg e.V.</v>
      </c>
      <c r="C14" s="16" t="str">
        <f aca="false">IF(AND(Eingabe!$F$9&gt;0,Eingabe!$E$9&gt;=6),Eingabe!$C$9&amp;"-Paz."&amp;TEXT(6,"000"),"")</f>
        <v>BW-Paz.006</v>
      </c>
      <c r="D14" s="16" t="n">
        <f aca="false">IF(AND(Eingabe!$F$9&gt;0,Eingabe!$E$9&gt;=6),6,"")</f>
        <v>6</v>
      </c>
      <c r="E14" s="16" t="n">
        <f aca="false">IF(AND(Eingabe!$F$9&gt;0,Eingabe!$E$9&gt;=6),IF((Eingabe!$G$9)&lt;=9,1000+(Eingabe!$G$9)*100,3000)+6,"")</f>
        <v>1106</v>
      </c>
      <c r="F14" s="16" t="str">
        <f aca="false">IF(AND(Eingabe!$F$9&gt;0,Eingabe!$E$9&gt;=6),"10."&amp;Eingabe!$D$9&amp;".6.0/24","")</f>
        <v>10.1.6.0/24</v>
      </c>
      <c r="G14" s="16" t="str">
        <f aca="false">IF(AND(Eingabe!$F$9&gt;0,Eingabe!$E$9&gt;=6),"10."&amp;Eingabe!$D$9&amp;".6.1","")</f>
        <v>10.1.6.1</v>
      </c>
      <c r="H14" s="16" t="str">
        <f aca="false">IF(AND(Eingabe!$F$9&gt;0,Eingabe!$E$9&gt;=6),"10."&amp;Eingabe!$D$9&amp;".6.10 – 10."&amp;Eingabe!$D$9&amp;".6.250","")</f>
        <v>10.1.6.10 – 10.1.6.250</v>
      </c>
      <c r="I14" s="16" t="str">
        <f aca="false">IF(AND(Eingabe!$F$9&gt;0,Eingabe!$E$9&gt;=6),Eingabe!$B$6&amp;"-"&amp;Eingabe!$C$9&amp;"-Pächter","")</f>
        <v>SparteNet.de-BW-Pächter</v>
      </c>
      <c r="J14" s="16" t="str">
        <f aca="false">IF(AND(Eingabe!$F$9&gt;0,Eingabe!$E$9&gt;=6),"PPSK: Passwort Parzelle 6","")</f>
        <v>PPSK: Passwort Parzelle 6</v>
      </c>
      <c r="K14" s="16" t="str">
        <f aca="false">IF(AND(Eingabe!$F$9&gt;0,Eingabe!$E$9&gt;=6),"1. Gerät: 10."&amp;Eingabe!$D$9&amp;".6.10, 2. Gerät: .11","")</f>
        <v>1. Gerät: 10.1.6.10, 2. Gerät: .11</v>
      </c>
    </row>
    <row r="15" customFormat="false" ht="15" hidden="false" customHeight="false" outlineLevel="0" collapsed="false">
      <c r="A15" s="16" t="n">
        <f aca="false">IF(AND(Eingabe!$F$9&gt;0,Eingabe!$E$9&gt;=7),1,"")</f>
        <v>1</v>
      </c>
      <c r="B15" s="16" t="str">
        <f aca="false">IF(AND(Eingabe!$F$9&gt;0,Eingabe!$E$9&gt;=7),Eingabe!$B$9,"")</f>
        <v>KGS Buchenweg e.V.</v>
      </c>
      <c r="C15" s="16" t="str">
        <f aca="false">IF(AND(Eingabe!$F$9&gt;0,Eingabe!$E$9&gt;=7),Eingabe!$C$9&amp;"-Paz."&amp;TEXT(7,"000"),"")</f>
        <v>BW-Paz.007</v>
      </c>
      <c r="D15" s="16" t="n">
        <f aca="false">IF(AND(Eingabe!$F$9&gt;0,Eingabe!$E$9&gt;=7),7,"")</f>
        <v>7</v>
      </c>
      <c r="E15" s="16" t="n">
        <f aca="false">IF(AND(Eingabe!$F$9&gt;0,Eingabe!$E$9&gt;=7),IF((Eingabe!$G$9)&lt;=9,1000+(Eingabe!$G$9)*100,3000)+7,"")</f>
        <v>1107</v>
      </c>
      <c r="F15" s="16" t="str">
        <f aca="false">IF(AND(Eingabe!$F$9&gt;0,Eingabe!$E$9&gt;=7),"10."&amp;Eingabe!$D$9&amp;".7.0/24","")</f>
        <v>10.1.7.0/24</v>
      </c>
      <c r="G15" s="16" t="str">
        <f aca="false">IF(AND(Eingabe!$F$9&gt;0,Eingabe!$E$9&gt;=7),"10."&amp;Eingabe!$D$9&amp;".7.1","")</f>
        <v>10.1.7.1</v>
      </c>
      <c r="H15" s="16" t="str">
        <f aca="false">IF(AND(Eingabe!$F$9&gt;0,Eingabe!$E$9&gt;=7),"10."&amp;Eingabe!$D$9&amp;".7.10 – 10."&amp;Eingabe!$D$9&amp;".7.250","")</f>
        <v>10.1.7.10 – 10.1.7.250</v>
      </c>
      <c r="I15" s="16" t="str">
        <f aca="false">IF(AND(Eingabe!$F$9&gt;0,Eingabe!$E$9&gt;=7),Eingabe!$B$6&amp;"-"&amp;Eingabe!$C$9&amp;"-Pächter","")</f>
        <v>SparteNet.de-BW-Pächter</v>
      </c>
      <c r="J15" s="16" t="str">
        <f aca="false">IF(AND(Eingabe!$F$9&gt;0,Eingabe!$E$9&gt;=7),"PPSK: Passwort Parzelle 7","")</f>
        <v>PPSK: Passwort Parzelle 7</v>
      </c>
      <c r="K15" s="16" t="str">
        <f aca="false">IF(AND(Eingabe!$F$9&gt;0,Eingabe!$E$9&gt;=7),"1. Gerät: 10."&amp;Eingabe!$D$9&amp;".7.10, 2. Gerät: .11","")</f>
        <v>1. Gerät: 10.1.7.10, 2. Gerät: .11</v>
      </c>
    </row>
    <row r="16" customFormat="false" ht="15" hidden="false" customHeight="false" outlineLevel="0" collapsed="false">
      <c r="A16" s="16" t="n">
        <f aca="false">IF(AND(Eingabe!$F$9&gt;0,Eingabe!$E$9&gt;=8),1,"")</f>
        <v>1</v>
      </c>
      <c r="B16" s="16" t="str">
        <f aca="false">IF(AND(Eingabe!$F$9&gt;0,Eingabe!$E$9&gt;=8),Eingabe!$B$9,"")</f>
        <v>KGS Buchenweg e.V.</v>
      </c>
      <c r="C16" s="16" t="str">
        <f aca="false">IF(AND(Eingabe!$F$9&gt;0,Eingabe!$E$9&gt;=8),Eingabe!$C$9&amp;"-Paz."&amp;TEXT(8,"000"),"")</f>
        <v>BW-Paz.008</v>
      </c>
      <c r="D16" s="16" t="n">
        <f aca="false">IF(AND(Eingabe!$F$9&gt;0,Eingabe!$E$9&gt;=8),8,"")</f>
        <v>8</v>
      </c>
      <c r="E16" s="16" t="n">
        <f aca="false">IF(AND(Eingabe!$F$9&gt;0,Eingabe!$E$9&gt;=8),IF((Eingabe!$G$9)&lt;=9,1000+(Eingabe!$G$9)*100,3000)+8,"")</f>
        <v>1108</v>
      </c>
      <c r="F16" s="16" t="str">
        <f aca="false">IF(AND(Eingabe!$F$9&gt;0,Eingabe!$E$9&gt;=8),"10."&amp;Eingabe!$D$9&amp;".8.0/24","")</f>
        <v>10.1.8.0/24</v>
      </c>
      <c r="G16" s="16" t="str">
        <f aca="false">IF(AND(Eingabe!$F$9&gt;0,Eingabe!$E$9&gt;=8),"10."&amp;Eingabe!$D$9&amp;".8.1","")</f>
        <v>10.1.8.1</v>
      </c>
      <c r="H16" s="16" t="str">
        <f aca="false">IF(AND(Eingabe!$F$9&gt;0,Eingabe!$E$9&gt;=8),"10."&amp;Eingabe!$D$9&amp;".8.10 – 10."&amp;Eingabe!$D$9&amp;".8.250","")</f>
        <v>10.1.8.10 – 10.1.8.250</v>
      </c>
      <c r="I16" s="16" t="str">
        <f aca="false">IF(AND(Eingabe!$F$9&gt;0,Eingabe!$E$9&gt;=8),Eingabe!$B$6&amp;"-"&amp;Eingabe!$C$9&amp;"-Pächter","")</f>
        <v>SparteNet.de-BW-Pächter</v>
      </c>
      <c r="J16" s="16" t="str">
        <f aca="false">IF(AND(Eingabe!$F$9&gt;0,Eingabe!$E$9&gt;=8),"PPSK: Passwort Parzelle 8","")</f>
        <v>PPSK: Passwort Parzelle 8</v>
      </c>
      <c r="K16" s="16" t="str">
        <f aca="false">IF(AND(Eingabe!$F$9&gt;0,Eingabe!$E$9&gt;=8),"1. Gerät: 10."&amp;Eingabe!$D$9&amp;".8.10, 2. Gerät: .11","")</f>
        <v>1. Gerät: 10.1.8.10, 2. Gerät: .11</v>
      </c>
    </row>
    <row r="17" customFormat="false" ht="15" hidden="false" customHeight="false" outlineLevel="0" collapsed="false">
      <c r="A17" s="16" t="n">
        <f aca="false">IF(AND(Eingabe!$F$9&gt;0,Eingabe!$E$9&gt;=9),1,"")</f>
        <v>1</v>
      </c>
      <c r="B17" s="16" t="str">
        <f aca="false">IF(AND(Eingabe!$F$9&gt;0,Eingabe!$E$9&gt;=9),Eingabe!$B$9,"")</f>
        <v>KGS Buchenweg e.V.</v>
      </c>
      <c r="C17" s="16" t="str">
        <f aca="false">IF(AND(Eingabe!$F$9&gt;0,Eingabe!$E$9&gt;=9),Eingabe!$C$9&amp;"-Paz."&amp;TEXT(9,"000"),"")</f>
        <v>BW-Paz.009</v>
      </c>
      <c r="D17" s="16" t="n">
        <f aca="false">IF(AND(Eingabe!$F$9&gt;0,Eingabe!$E$9&gt;=9),9,"")</f>
        <v>9</v>
      </c>
      <c r="E17" s="16" t="n">
        <f aca="false">IF(AND(Eingabe!$F$9&gt;0,Eingabe!$E$9&gt;=9),IF((Eingabe!$G$9)&lt;=9,1000+(Eingabe!$G$9)*100,3000)+9,"")</f>
        <v>1109</v>
      </c>
      <c r="F17" s="16" t="str">
        <f aca="false">IF(AND(Eingabe!$F$9&gt;0,Eingabe!$E$9&gt;=9),"10."&amp;Eingabe!$D$9&amp;".9.0/24","")</f>
        <v>10.1.9.0/24</v>
      </c>
      <c r="G17" s="16" t="str">
        <f aca="false">IF(AND(Eingabe!$F$9&gt;0,Eingabe!$E$9&gt;=9),"10."&amp;Eingabe!$D$9&amp;".9.1","")</f>
        <v>10.1.9.1</v>
      </c>
      <c r="H17" s="16" t="str">
        <f aca="false">IF(AND(Eingabe!$F$9&gt;0,Eingabe!$E$9&gt;=9),"10."&amp;Eingabe!$D$9&amp;".9.10 – 10."&amp;Eingabe!$D$9&amp;".9.250","")</f>
        <v>10.1.9.10 – 10.1.9.250</v>
      </c>
      <c r="I17" s="16" t="str">
        <f aca="false">IF(AND(Eingabe!$F$9&gt;0,Eingabe!$E$9&gt;=9),Eingabe!$B$6&amp;"-"&amp;Eingabe!$C$9&amp;"-Pächter","")</f>
        <v>SparteNet.de-BW-Pächter</v>
      </c>
      <c r="J17" s="16" t="str">
        <f aca="false">IF(AND(Eingabe!$F$9&gt;0,Eingabe!$E$9&gt;=9),"PPSK: Passwort Parzelle 9","")</f>
        <v>PPSK: Passwort Parzelle 9</v>
      </c>
      <c r="K17" s="16" t="str">
        <f aca="false">IF(AND(Eingabe!$F$9&gt;0,Eingabe!$E$9&gt;=9),"1. Gerät: 10."&amp;Eingabe!$D$9&amp;".9.10, 2. Gerät: .11","")</f>
        <v>1. Gerät: 10.1.9.10, 2. Gerät: .11</v>
      </c>
    </row>
    <row r="18" customFormat="false" ht="15" hidden="false" customHeight="false" outlineLevel="0" collapsed="false">
      <c r="A18" s="16" t="n">
        <f aca="false">IF(AND(Eingabe!$F$9&gt;0,Eingabe!$E$9&gt;=10),1,"")</f>
        <v>1</v>
      </c>
      <c r="B18" s="16" t="str">
        <f aca="false">IF(AND(Eingabe!$F$9&gt;0,Eingabe!$E$9&gt;=10),Eingabe!$B$9,"")</f>
        <v>KGS Buchenweg e.V.</v>
      </c>
      <c r="C18" s="16" t="str">
        <f aca="false">IF(AND(Eingabe!$F$9&gt;0,Eingabe!$E$9&gt;=10),Eingabe!$C$9&amp;"-Paz."&amp;TEXT(10,"000"),"")</f>
        <v>BW-Paz.010</v>
      </c>
      <c r="D18" s="16" t="n">
        <f aca="false">IF(AND(Eingabe!$F$9&gt;0,Eingabe!$E$9&gt;=10),10,"")</f>
        <v>10</v>
      </c>
      <c r="E18" s="16" t="n">
        <f aca="false">IF(AND(Eingabe!$F$9&gt;0,Eingabe!$E$9&gt;=10),IF((Eingabe!$G$9)&lt;=9,1000+(Eingabe!$G$9)*100,3000)+10,"")</f>
        <v>1110</v>
      </c>
      <c r="F18" s="16" t="str">
        <f aca="false">IF(AND(Eingabe!$F$9&gt;0,Eingabe!$E$9&gt;=10),"10."&amp;Eingabe!$D$9&amp;".10.0/24","")</f>
        <v>10.1.10.0/24</v>
      </c>
      <c r="G18" s="16" t="str">
        <f aca="false">IF(AND(Eingabe!$F$9&gt;0,Eingabe!$E$9&gt;=10),"10."&amp;Eingabe!$D$9&amp;".10.1","")</f>
        <v>10.1.10.1</v>
      </c>
      <c r="H18" s="16" t="str">
        <f aca="false">IF(AND(Eingabe!$F$9&gt;0,Eingabe!$E$9&gt;=10),"10."&amp;Eingabe!$D$9&amp;".10.10 – 10."&amp;Eingabe!$D$9&amp;".10.250","")</f>
        <v>10.1.10.10 – 10.1.10.250</v>
      </c>
      <c r="I18" s="16" t="str">
        <f aca="false">IF(AND(Eingabe!$F$9&gt;0,Eingabe!$E$9&gt;=10),Eingabe!$B$6&amp;"-"&amp;Eingabe!$C$9&amp;"-Pächter","")</f>
        <v>SparteNet.de-BW-Pächter</v>
      </c>
      <c r="J18" s="16" t="str">
        <f aca="false">IF(AND(Eingabe!$F$9&gt;0,Eingabe!$E$9&gt;=10),"PPSK: Passwort Parzelle 10","")</f>
        <v>PPSK: Passwort Parzelle 10</v>
      </c>
      <c r="K18" s="16" t="str">
        <f aca="false">IF(AND(Eingabe!$F$9&gt;0,Eingabe!$E$9&gt;=10),"1. Gerät: 10."&amp;Eingabe!$D$9&amp;".10.10, 2. Gerät: .11","")</f>
        <v>1. Gerät: 10.1.10.10, 2. Gerät: .11</v>
      </c>
    </row>
    <row r="19" customFormat="false" ht="15" hidden="false" customHeight="false" outlineLevel="0" collapsed="false">
      <c r="A19" s="16" t="n">
        <f aca="false">IF(AND(Eingabe!$F$9&gt;0,Eingabe!$E$9&gt;=11),1,"")</f>
        <v>1</v>
      </c>
      <c r="B19" s="16" t="str">
        <f aca="false">IF(AND(Eingabe!$F$9&gt;0,Eingabe!$E$9&gt;=11),Eingabe!$B$9,"")</f>
        <v>KGS Buchenweg e.V.</v>
      </c>
      <c r="C19" s="16" t="str">
        <f aca="false">IF(AND(Eingabe!$F$9&gt;0,Eingabe!$E$9&gt;=11),Eingabe!$C$9&amp;"-Paz."&amp;TEXT(11,"000"),"")</f>
        <v>BW-Paz.011</v>
      </c>
      <c r="D19" s="16" t="n">
        <f aca="false">IF(AND(Eingabe!$F$9&gt;0,Eingabe!$E$9&gt;=11),11,"")</f>
        <v>11</v>
      </c>
      <c r="E19" s="16" t="n">
        <f aca="false">IF(AND(Eingabe!$F$9&gt;0,Eingabe!$E$9&gt;=11),IF((Eingabe!$G$9)&lt;=9,1000+(Eingabe!$G$9)*100,3000)+11,"")</f>
        <v>1111</v>
      </c>
      <c r="F19" s="16" t="str">
        <f aca="false">IF(AND(Eingabe!$F$9&gt;0,Eingabe!$E$9&gt;=11),"10."&amp;Eingabe!$D$9&amp;".11.0/24","")</f>
        <v>10.1.11.0/24</v>
      </c>
      <c r="G19" s="16" t="str">
        <f aca="false">IF(AND(Eingabe!$F$9&gt;0,Eingabe!$E$9&gt;=11),"10."&amp;Eingabe!$D$9&amp;".11.1","")</f>
        <v>10.1.11.1</v>
      </c>
      <c r="H19" s="16" t="str">
        <f aca="false">IF(AND(Eingabe!$F$9&gt;0,Eingabe!$E$9&gt;=11),"10."&amp;Eingabe!$D$9&amp;".11.10 – 10."&amp;Eingabe!$D$9&amp;".11.250","")</f>
        <v>10.1.11.10 – 10.1.11.250</v>
      </c>
      <c r="I19" s="16" t="str">
        <f aca="false">IF(AND(Eingabe!$F$9&gt;0,Eingabe!$E$9&gt;=11),Eingabe!$B$6&amp;"-"&amp;Eingabe!$C$9&amp;"-Pächter","")</f>
        <v>SparteNet.de-BW-Pächter</v>
      </c>
      <c r="J19" s="16" t="str">
        <f aca="false">IF(AND(Eingabe!$F$9&gt;0,Eingabe!$E$9&gt;=11),"PPSK: Passwort Parzelle 11","")</f>
        <v>PPSK: Passwort Parzelle 11</v>
      </c>
      <c r="K19" s="16" t="str">
        <f aca="false">IF(AND(Eingabe!$F$9&gt;0,Eingabe!$E$9&gt;=11),"1. Gerät: 10."&amp;Eingabe!$D$9&amp;".11.10, 2. Gerät: .11","")</f>
        <v>1. Gerät: 10.1.11.10, 2. Gerät: .11</v>
      </c>
    </row>
    <row r="20" customFormat="false" ht="15" hidden="false" customHeight="false" outlineLevel="0" collapsed="false">
      <c r="A20" s="16" t="n">
        <f aca="false">IF(AND(Eingabe!$F$9&gt;0,Eingabe!$E$9&gt;=12),1,"")</f>
        <v>1</v>
      </c>
      <c r="B20" s="16" t="str">
        <f aca="false">IF(AND(Eingabe!$F$9&gt;0,Eingabe!$E$9&gt;=12),Eingabe!$B$9,"")</f>
        <v>KGS Buchenweg e.V.</v>
      </c>
      <c r="C20" s="16" t="str">
        <f aca="false">IF(AND(Eingabe!$F$9&gt;0,Eingabe!$E$9&gt;=12),Eingabe!$C$9&amp;"-Paz."&amp;TEXT(12,"000"),"")</f>
        <v>BW-Paz.012</v>
      </c>
      <c r="D20" s="16" t="n">
        <f aca="false">IF(AND(Eingabe!$F$9&gt;0,Eingabe!$E$9&gt;=12),12,"")</f>
        <v>12</v>
      </c>
      <c r="E20" s="16" t="n">
        <f aca="false">IF(AND(Eingabe!$F$9&gt;0,Eingabe!$E$9&gt;=12),IF((Eingabe!$G$9)&lt;=9,1000+(Eingabe!$G$9)*100,3000)+12,"")</f>
        <v>1112</v>
      </c>
      <c r="F20" s="16" t="str">
        <f aca="false">IF(AND(Eingabe!$F$9&gt;0,Eingabe!$E$9&gt;=12),"10."&amp;Eingabe!$D$9&amp;".12.0/24","")</f>
        <v>10.1.12.0/24</v>
      </c>
      <c r="G20" s="16" t="str">
        <f aca="false">IF(AND(Eingabe!$F$9&gt;0,Eingabe!$E$9&gt;=12),"10."&amp;Eingabe!$D$9&amp;".12.1","")</f>
        <v>10.1.12.1</v>
      </c>
      <c r="H20" s="16" t="str">
        <f aca="false">IF(AND(Eingabe!$F$9&gt;0,Eingabe!$E$9&gt;=12),"10."&amp;Eingabe!$D$9&amp;".12.10 – 10."&amp;Eingabe!$D$9&amp;".12.250","")</f>
        <v>10.1.12.10 – 10.1.12.250</v>
      </c>
      <c r="I20" s="16" t="str">
        <f aca="false">IF(AND(Eingabe!$F$9&gt;0,Eingabe!$E$9&gt;=12),Eingabe!$B$6&amp;"-"&amp;Eingabe!$C$9&amp;"-Pächter","")</f>
        <v>SparteNet.de-BW-Pächter</v>
      </c>
      <c r="J20" s="16" t="str">
        <f aca="false">IF(AND(Eingabe!$F$9&gt;0,Eingabe!$E$9&gt;=12),"PPSK: Passwort Parzelle 12","")</f>
        <v>PPSK: Passwort Parzelle 12</v>
      </c>
      <c r="K20" s="16" t="str">
        <f aca="false">IF(AND(Eingabe!$F$9&gt;0,Eingabe!$E$9&gt;=12),"1. Gerät: 10."&amp;Eingabe!$D$9&amp;".12.10, 2. Gerät: .11","")</f>
        <v>1. Gerät: 10.1.12.10, 2. Gerät: .11</v>
      </c>
    </row>
    <row r="21" customFormat="false" ht="15" hidden="false" customHeight="false" outlineLevel="0" collapsed="false">
      <c r="A21" s="16" t="n">
        <f aca="false">IF(AND(Eingabe!$F$9&gt;0,Eingabe!$E$9&gt;=13),1,"")</f>
        <v>1</v>
      </c>
      <c r="B21" s="16" t="str">
        <f aca="false">IF(AND(Eingabe!$F$9&gt;0,Eingabe!$E$9&gt;=13),Eingabe!$B$9,"")</f>
        <v>KGS Buchenweg e.V.</v>
      </c>
      <c r="C21" s="16" t="str">
        <f aca="false">IF(AND(Eingabe!$F$9&gt;0,Eingabe!$E$9&gt;=13),Eingabe!$C$9&amp;"-Paz."&amp;TEXT(13,"000"),"")</f>
        <v>BW-Paz.013</v>
      </c>
      <c r="D21" s="16" t="n">
        <f aca="false">IF(AND(Eingabe!$F$9&gt;0,Eingabe!$E$9&gt;=13),13,"")</f>
        <v>13</v>
      </c>
      <c r="E21" s="16" t="n">
        <f aca="false">IF(AND(Eingabe!$F$9&gt;0,Eingabe!$E$9&gt;=13),IF((Eingabe!$G$9)&lt;=9,1000+(Eingabe!$G$9)*100,3000)+13,"")</f>
        <v>1113</v>
      </c>
      <c r="F21" s="16" t="str">
        <f aca="false">IF(AND(Eingabe!$F$9&gt;0,Eingabe!$E$9&gt;=13),"10."&amp;Eingabe!$D$9&amp;".13.0/24","")</f>
        <v>10.1.13.0/24</v>
      </c>
      <c r="G21" s="16" t="str">
        <f aca="false">IF(AND(Eingabe!$F$9&gt;0,Eingabe!$E$9&gt;=13),"10."&amp;Eingabe!$D$9&amp;".13.1","")</f>
        <v>10.1.13.1</v>
      </c>
      <c r="H21" s="16" t="str">
        <f aca="false">IF(AND(Eingabe!$F$9&gt;0,Eingabe!$E$9&gt;=13),"10."&amp;Eingabe!$D$9&amp;".13.10 – 10."&amp;Eingabe!$D$9&amp;".13.250","")</f>
        <v>10.1.13.10 – 10.1.13.250</v>
      </c>
      <c r="I21" s="16" t="str">
        <f aca="false">IF(AND(Eingabe!$F$9&gt;0,Eingabe!$E$9&gt;=13),Eingabe!$B$6&amp;"-"&amp;Eingabe!$C$9&amp;"-Pächter","")</f>
        <v>SparteNet.de-BW-Pächter</v>
      </c>
      <c r="J21" s="16" t="str">
        <f aca="false">IF(AND(Eingabe!$F$9&gt;0,Eingabe!$E$9&gt;=13),"PPSK: Passwort Parzelle 13","")</f>
        <v>PPSK: Passwort Parzelle 13</v>
      </c>
      <c r="K21" s="16" t="str">
        <f aca="false">IF(AND(Eingabe!$F$9&gt;0,Eingabe!$E$9&gt;=13),"1. Gerät: 10."&amp;Eingabe!$D$9&amp;".13.10, 2. Gerät: .11","")</f>
        <v>1. Gerät: 10.1.13.10, 2. Gerät: .11</v>
      </c>
    </row>
    <row r="22" customFormat="false" ht="15" hidden="false" customHeight="false" outlineLevel="0" collapsed="false">
      <c r="A22" s="16" t="n">
        <f aca="false">IF(AND(Eingabe!$F$9&gt;0,Eingabe!$E$9&gt;=14),1,"")</f>
        <v>1</v>
      </c>
      <c r="B22" s="16" t="str">
        <f aca="false">IF(AND(Eingabe!$F$9&gt;0,Eingabe!$E$9&gt;=14),Eingabe!$B$9,"")</f>
        <v>KGS Buchenweg e.V.</v>
      </c>
      <c r="C22" s="16" t="str">
        <f aca="false">IF(AND(Eingabe!$F$9&gt;0,Eingabe!$E$9&gt;=14),Eingabe!$C$9&amp;"-Paz."&amp;TEXT(14,"000"),"")</f>
        <v>BW-Paz.014</v>
      </c>
      <c r="D22" s="16" t="n">
        <f aca="false">IF(AND(Eingabe!$F$9&gt;0,Eingabe!$E$9&gt;=14),14,"")</f>
        <v>14</v>
      </c>
      <c r="E22" s="16" t="n">
        <f aca="false">IF(AND(Eingabe!$F$9&gt;0,Eingabe!$E$9&gt;=14),IF((Eingabe!$G$9)&lt;=9,1000+(Eingabe!$G$9)*100,3000)+14,"")</f>
        <v>1114</v>
      </c>
      <c r="F22" s="16" t="str">
        <f aca="false">IF(AND(Eingabe!$F$9&gt;0,Eingabe!$E$9&gt;=14),"10."&amp;Eingabe!$D$9&amp;".14.0/24","")</f>
        <v>10.1.14.0/24</v>
      </c>
      <c r="G22" s="16" t="str">
        <f aca="false">IF(AND(Eingabe!$F$9&gt;0,Eingabe!$E$9&gt;=14),"10."&amp;Eingabe!$D$9&amp;".14.1","")</f>
        <v>10.1.14.1</v>
      </c>
      <c r="H22" s="16" t="str">
        <f aca="false">IF(AND(Eingabe!$F$9&gt;0,Eingabe!$E$9&gt;=14),"10."&amp;Eingabe!$D$9&amp;".14.10 – 10."&amp;Eingabe!$D$9&amp;".14.250","")</f>
        <v>10.1.14.10 – 10.1.14.250</v>
      </c>
      <c r="I22" s="16" t="str">
        <f aca="false">IF(AND(Eingabe!$F$9&gt;0,Eingabe!$E$9&gt;=14),Eingabe!$B$6&amp;"-"&amp;Eingabe!$C$9&amp;"-Pächter","")</f>
        <v>SparteNet.de-BW-Pächter</v>
      </c>
      <c r="J22" s="16" t="str">
        <f aca="false">IF(AND(Eingabe!$F$9&gt;0,Eingabe!$E$9&gt;=14),"PPSK: Passwort Parzelle 14","")</f>
        <v>PPSK: Passwort Parzelle 14</v>
      </c>
      <c r="K22" s="16" t="str">
        <f aca="false">IF(AND(Eingabe!$F$9&gt;0,Eingabe!$E$9&gt;=14),"1. Gerät: 10."&amp;Eingabe!$D$9&amp;".14.10, 2. Gerät: .11","")</f>
        <v>1. Gerät: 10.1.14.10, 2. Gerät: .11</v>
      </c>
    </row>
    <row r="23" customFormat="false" ht="15" hidden="false" customHeight="false" outlineLevel="0" collapsed="false">
      <c r="A23" s="16" t="n">
        <f aca="false">IF(AND(Eingabe!$F$9&gt;0,Eingabe!$E$9&gt;=15),1,"")</f>
        <v>1</v>
      </c>
      <c r="B23" s="16" t="str">
        <f aca="false">IF(AND(Eingabe!$F$9&gt;0,Eingabe!$E$9&gt;=15),Eingabe!$B$9,"")</f>
        <v>KGS Buchenweg e.V.</v>
      </c>
      <c r="C23" s="16" t="str">
        <f aca="false">IF(AND(Eingabe!$F$9&gt;0,Eingabe!$E$9&gt;=15),Eingabe!$C$9&amp;"-Paz."&amp;TEXT(15,"000"),"")</f>
        <v>BW-Paz.015</v>
      </c>
      <c r="D23" s="16" t="n">
        <f aca="false">IF(AND(Eingabe!$F$9&gt;0,Eingabe!$E$9&gt;=15),15,"")</f>
        <v>15</v>
      </c>
      <c r="E23" s="16" t="n">
        <f aca="false">IF(AND(Eingabe!$F$9&gt;0,Eingabe!$E$9&gt;=15),IF((Eingabe!$G$9)&lt;=9,1000+(Eingabe!$G$9)*100,3000)+15,"")</f>
        <v>1115</v>
      </c>
      <c r="F23" s="16" t="str">
        <f aca="false">IF(AND(Eingabe!$F$9&gt;0,Eingabe!$E$9&gt;=15),"10."&amp;Eingabe!$D$9&amp;".15.0/24","")</f>
        <v>10.1.15.0/24</v>
      </c>
      <c r="G23" s="16" t="str">
        <f aca="false">IF(AND(Eingabe!$F$9&gt;0,Eingabe!$E$9&gt;=15),"10."&amp;Eingabe!$D$9&amp;".15.1","")</f>
        <v>10.1.15.1</v>
      </c>
      <c r="H23" s="16" t="str">
        <f aca="false">IF(AND(Eingabe!$F$9&gt;0,Eingabe!$E$9&gt;=15),"10."&amp;Eingabe!$D$9&amp;".15.10 – 10."&amp;Eingabe!$D$9&amp;".15.250","")</f>
        <v>10.1.15.10 – 10.1.15.250</v>
      </c>
      <c r="I23" s="16" t="str">
        <f aca="false">IF(AND(Eingabe!$F$9&gt;0,Eingabe!$E$9&gt;=15),Eingabe!$B$6&amp;"-"&amp;Eingabe!$C$9&amp;"-Pächter","")</f>
        <v>SparteNet.de-BW-Pächter</v>
      </c>
      <c r="J23" s="16" t="str">
        <f aca="false">IF(AND(Eingabe!$F$9&gt;0,Eingabe!$E$9&gt;=15),"PPSK: Passwort Parzelle 15","")</f>
        <v>PPSK: Passwort Parzelle 15</v>
      </c>
      <c r="K23" s="16" t="str">
        <f aca="false">IF(AND(Eingabe!$F$9&gt;0,Eingabe!$E$9&gt;=15),"1. Gerät: 10."&amp;Eingabe!$D$9&amp;".15.10, 2. Gerät: .11","")</f>
        <v>1. Gerät: 10.1.15.10, 2. Gerät: .11</v>
      </c>
    </row>
    <row r="24" customFormat="false" ht="15" hidden="false" customHeight="false" outlineLevel="0" collapsed="false">
      <c r="A24" s="16" t="n">
        <f aca="false">IF(AND(Eingabe!$F$9&gt;0,Eingabe!$E$9&gt;=16),1,"")</f>
        <v>1</v>
      </c>
      <c r="B24" s="16" t="str">
        <f aca="false">IF(AND(Eingabe!$F$9&gt;0,Eingabe!$E$9&gt;=16),Eingabe!$B$9,"")</f>
        <v>KGS Buchenweg e.V.</v>
      </c>
      <c r="C24" s="16" t="str">
        <f aca="false">IF(AND(Eingabe!$F$9&gt;0,Eingabe!$E$9&gt;=16),Eingabe!$C$9&amp;"-Paz."&amp;TEXT(16,"000"),"")</f>
        <v>BW-Paz.016</v>
      </c>
      <c r="D24" s="16" t="n">
        <f aca="false">IF(AND(Eingabe!$F$9&gt;0,Eingabe!$E$9&gt;=16),16,"")</f>
        <v>16</v>
      </c>
      <c r="E24" s="16" t="n">
        <f aca="false">IF(AND(Eingabe!$F$9&gt;0,Eingabe!$E$9&gt;=16),IF((Eingabe!$G$9)&lt;=9,1000+(Eingabe!$G$9)*100,3000)+16,"")</f>
        <v>1116</v>
      </c>
      <c r="F24" s="16" t="str">
        <f aca="false">IF(AND(Eingabe!$F$9&gt;0,Eingabe!$E$9&gt;=16),"10."&amp;Eingabe!$D$9&amp;".16.0/24","")</f>
        <v>10.1.16.0/24</v>
      </c>
      <c r="G24" s="16" t="str">
        <f aca="false">IF(AND(Eingabe!$F$9&gt;0,Eingabe!$E$9&gt;=16),"10."&amp;Eingabe!$D$9&amp;".16.1","")</f>
        <v>10.1.16.1</v>
      </c>
      <c r="H24" s="16" t="str">
        <f aca="false">IF(AND(Eingabe!$F$9&gt;0,Eingabe!$E$9&gt;=16),"10."&amp;Eingabe!$D$9&amp;".16.10 – 10."&amp;Eingabe!$D$9&amp;".16.250","")</f>
        <v>10.1.16.10 – 10.1.16.250</v>
      </c>
      <c r="I24" s="16" t="str">
        <f aca="false">IF(AND(Eingabe!$F$9&gt;0,Eingabe!$E$9&gt;=16),Eingabe!$B$6&amp;"-"&amp;Eingabe!$C$9&amp;"-Pächter","")</f>
        <v>SparteNet.de-BW-Pächter</v>
      </c>
      <c r="J24" s="16" t="str">
        <f aca="false">IF(AND(Eingabe!$F$9&gt;0,Eingabe!$E$9&gt;=16),"PPSK: Passwort Parzelle 16","")</f>
        <v>PPSK: Passwort Parzelle 16</v>
      </c>
      <c r="K24" s="16" t="str">
        <f aca="false">IF(AND(Eingabe!$F$9&gt;0,Eingabe!$E$9&gt;=16),"1. Gerät: 10."&amp;Eingabe!$D$9&amp;".16.10, 2. Gerät: .11","")</f>
        <v>1. Gerät: 10.1.16.10, 2. Gerät: .11</v>
      </c>
    </row>
    <row r="25" customFormat="false" ht="15" hidden="false" customHeight="false" outlineLevel="0" collapsed="false">
      <c r="A25" s="16" t="n">
        <f aca="false">IF(AND(Eingabe!$F$9&gt;0,Eingabe!$E$9&gt;=17),1,"")</f>
        <v>1</v>
      </c>
      <c r="B25" s="16" t="str">
        <f aca="false">IF(AND(Eingabe!$F$9&gt;0,Eingabe!$E$9&gt;=17),Eingabe!$B$9,"")</f>
        <v>KGS Buchenweg e.V.</v>
      </c>
      <c r="C25" s="16" t="str">
        <f aca="false">IF(AND(Eingabe!$F$9&gt;0,Eingabe!$E$9&gt;=17),Eingabe!$C$9&amp;"-Paz."&amp;TEXT(17,"000"),"")</f>
        <v>BW-Paz.017</v>
      </c>
      <c r="D25" s="16" t="n">
        <f aca="false">IF(AND(Eingabe!$F$9&gt;0,Eingabe!$E$9&gt;=17),17,"")</f>
        <v>17</v>
      </c>
      <c r="E25" s="16" t="n">
        <f aca="false">IF(AND(Eingabe!$F$9&gt;0,Eingabe!$E$9&gt;=17),IF((Eingabe!$G$9)&lt;=9,1000+(Eingabe!$G$9)*100,3000)+17,"")</f>
        <v>1117</v>
      </c>
      <c r="F25" s="16" t="str">
        <f aca="false">IF(AND(Eingabe!$F$9&gt;0,Eingabe!$E$9&gt;=17),"10."&amp;Eingabe!$D$9&amp;".17.0/24","")</f>
        <v>10.1.17.0/24</v>
      </c>
      <c r="G25" s="16" t="str">
        <f aca="false">IF(AND(Eingabe!$F$9&gt;0,Eingabe!$E$9&gt;=17),"10."&amp;Eingabe!$D$9&amp;".17.1","")</f>
        <v>10.1.17.1</v>
      </c>
      <c r="H25" s="16" t="str">
        <f aca="false">IF(AND(Eingabe!$F$9&gt;0,Eingabe!$E$9&gt;=17),"10."&amp;Eingabe!$D$9&amp;".17.10 – 10."&amp;Eingabe!$D$9&amp;".17.250","")</f>
        <v>10.1.17.10 – 10.1.17.250</v>
      </c>
      <c r="I25" s="16" t="str">
        <f aca="false">IF(AND(Eingabe!$F$9&gt;0,Eingabe!$E$9&gt;=17),Eingabe!$B$6&amp;"-"&amp;Eingabe!$C$9&amp;"-Pächter","")</f>
        <v>SparteNet.de-BW-Pächter</v>
      </c>
      <c r="J25" s="16" t="str">
        <f aca="false">IF(AND(Eingabe!$F$9&gt;0,Eingabe!$E$9&gt;=17),"PPSK: Passwort Parzelle 17","")</f>
        <v>PPSK: Passwort Parzelle 17</v>
      </c>
      <c r="K25" s="16" t="str">
        <f aca="false">IF(AND(Eingabe!$F$9&gt;0,Eingabe!$E$9&gt;=17),"1. Gerät: 10."&amp;Eingabe!$D$9&amp;".17.10, 2. Gerät: .11","")</f>
        <v>1. Gerät: 10.1.17.10, 2. Gerät: .11</v>
      </c>
    </row>
    <row r="26" customFormat="false" ht="15" hidden="false" customHeight="false" outlineLevel="0" collapsed="false">
      <c r="A26" s="16" t="n">
        <f aca="false">IF(AND(Eingabe!$F$9&gt;0,Eingabe!$E$9&gt;=18),1,"")</f>
        <v>1</v>
      </c>
      <c r="B26" s="16" t="str">
        <f aca="false">IF(AND(Eingabe!$F$9&gt;0,Eingabe!$E$9&gt;=18),Eingabe!$B$9,"")</f>
        <v>KGS Buchenweg e.V.</v>
      </c>
      <c r="C26" s="16" t="str">
        <f aca="false">IF(AND(Eingabe!$F$9&gt;0,Eingabe!$E$9&gt;=18),Eingabe!$C$9&amp;"-Paz."&amp;TEXT(18,"000"),"")</f>
        <v>BW-Paz.018</v>
      </c>
      <c r="D26" s="16" t="n">
        <f aca="false">IF(AND(Eingabe!$F$9&gt;0,Eingabe!$E$9&gt;=18),18,"")</f>
        <v>18</v>
      </c>
      <c r="E26" s="16" t="n">
        <f aca="false">IF(AND(Eingabe!$F$9&gt;0,Eingabe!$E$9&gt;=18),IF((Eingabe!$G$9)&lt;=9,1000+(Eingabe!$G$9)*100,3000)+18,"")</f>
        <v>1118</v>
      </c>
      <c r="F26" s="16" t="str">
        <f aca="false">IF(AND(Eingabe!$F$9&gt;0,Eingabe!$E$9&gt;=18),"10."&amp;Eingabe!$D$9&amp;".18.0/24","")</f>
        <v>10.1.18.0/24</v>
      </c>
      <c r="G26" s="16" t="str">
        <f aca="false">IF(AND(Eingabe!$F$9&gt;0,Eingabe!$E$9&gt;=18),"10."&amp;Eingabe!$D$9&amp;".18.1","")</f>
        <v>10.1.18.1</v>
      </c>
      <c r="H26" s="16" t="str">
        <f aca="false">IF(AND(Eingabe!$F$9&gt;0,Eingabe!$E$9&gt;=18),"10."&amp;Eingabe!$D$9&amp;".18.10 – 10."&amp;Eingabe!$D$9&amp;".18.250","")</f>
        <v>10.1.18.10 – 10.1.18.250</v>
      </c>
      <c r="I26" s="16" t="str">
        <f aca="false">IF(AND(Eingabe!$F$9&gt;0,Eingabe!$E$9&gt;=18),Eingabe!$B$6&amp;"-"&amp;Eingabe!$C$9&amp;"-Pächter","")</f>
        <v>SparteNet.de-BW-Pächter</v>
      </c>
      <c r="J26" s="16" t="str">
        <f aca="false">IF(AND(Eingabe!$F$9&gt;0,Eingabe!$E$9&gt;=18),"PPSK: Passwort Parzelle 18","")</f>
        <v>PPSK: Passwort Parzelle 18</v>
      </c>
      <c r="K26" s="16" t="str">
        <f aca="false">IF(AND(Eingabe!$F$9&gt;0,Eingabe!$E$9&gt;=18),"1. Gerät: 10."&amp;Eingabe!$D$9&amp;".18.10, 2. Gerät: .11","")</f>
        <v>1. Gerät: 10.1.18.10, 2. Gerät: .11</v>
      </c>
    </row>
    <row r="27" customFormat="false" ht="15" hidden="false" customHeight="false" outlineLevel="0" collapsed="false">
      <c r="A27" s="16" t="n">
        <f aca="false">IF(AND(Eingabe!$F$9&gt;0,Eingabe!$E$9&gt;=19),1,"")</f>
        <v>1</v>
      </c>
      <c r="B27" s="16" t="str">
        <f aca="false">IF(AND(Eingabe!$F$9&gt;0,Eingabe!$E$9&gt;=19),Eingabe!$B$9,"")</f>
        <v>KGS Buchenweg e.V.</v>
      </c>
      <c r="C27" s="16" t="str">
        <f aca="false">IF(AND(Eingabe!$F$9&gt;0,Eingabe!$E$9&gt;=19),Eingabe!$C$9&amp;"-Paz."&amp;TEXT(19,"000"),"")</f>
        <v>BW-Paz.019</v>
      </c>
      <c r="D27" s="16" t="n">
        <f aca="false">IF(AND(Eingabe!$F$9&gt;0,Eingabe!$E$9&gt;=19),19,"")</f>
        <v>19</v>
      </c>
      <c r="E27" s="16" t="n">
        <f aca="false">IF(AND(Eingabe!$F$9&gt;0,Eingabe!$E$9&gt;=19),IF((Eingabe!$G$9)&lt;=9,1000+(Eingabe!$G$9)*100,3000)+19,"")</f>
        <v>1119</v>
      </c>
      <c r="F27" s="16" t="str">
        <f aca="false">IF(AND(Eingabe!$F$9&gt;0,Eingabe!$E$9&gt;=19),"10."&amp;Eingabe!$D$9&amp;".19.0/24","")</f>
        <v>10.1.19.0/24</v>
      </c>
      <c r="G27" s="16" t="str">
        <f aca="false">IF(AND(Eingabe!$F$9&gt;0,Eingabe!$E$9&gt;=19),"10."&amp;Eingabe!$D$9&amp;".19.1","")</f>
        <v>10.1.19.1</v>
      </c>
      <c r="H27" s="16" t="str">
        <f aca="false">IF(AND(Eingabe!$F$9&gt;0,Eingabe!$E$9&gt;=19),"10."&amp;Eingabe!$D$9&amp;".19.10 – 10."&amp;Eingabe!$D$9&amp;".19.250","")</f>
        <v>10.1.19.10 – 10.1.19.250</v>
      </c>
      <c r="I27" s="16" t="str">
        <f aca="false">IF(AND(Eingabe!$F$9&gt;0,Eingabe!$E$9&gt;=19),Eingabe!$B$6&amp;"-"&amp;Eingabe!$C$9&amp;"-Pächter","")</f>
        <v>SparteNet.de-BW-Pächter</v>
      </c>
      <c r="J27" s="16" t="str">
        <f aca="false">IF(AND(Eingabe!$F$9&gt;0,Eingabe!$E$9&gt;=19),"PPSK: Passwort Parzelle 19","")</f>
        <v>PPSK: Passwort Parzelle 19</v>
      </c>
      <c r="K27" s="16" t="str">
        <f aca="false">IF(AND(Eingabe!$F$9&gt;0,Eingabe!$E$9&gt;=19),"1. Gerät: 10."&amp;Eingabe!$D$9&amp;".19.10, 2. Gerät: .11","")</f>
        <v>1. Gerät: 10.1.19.10, 2. Gerät: .11</v>
      </c>
    </row>
    <row r="28" customFormat="false" ht="15" hidden="false" customHeight="false" outlineLevel="0" collapsed="false">
      <c r="A28" s="16" t="n">
        <f aca="false">IF(AND(Eingabe!$F$9&gt;0,Eingabe!$E$9&gt;=20),1,"")</f>
        <v>1</v>
      </c>
      <c r="B28" s="16" t="str">
        <f aca="false">IF(AND(Eingabe!$F$9&gt;0,Eingabe!$E$9&gt;=20),Eingabe!$B$9,"")</f>
        <v>KGS Buchenweg e.V.</v>
      </c>
      <c r="C28" s="16" t="str">
        <f aca="false">IF(AND(Eingabe!$F$9&gt;0,Eingabe!$E$9&gt;=20),Eingabe!$C$9&amp;"-Paz."&amp;TEXT(20,"000"),"")</f>
        <v>BW-Paz.020</v>
      </c>
      <c r="D28" s="16" t="n">
        <f aca="false">IF(AND(Eingabe!$F$9&gt;0,Eingabe!$E$9&gt;=20),20,"")</f>
        <v>20</v>
      </c>
      <c r="E28" s="16" t="n">
        <f aca="false">IF(AND(Eingabe!$F$9&gt;0,Eingabe!$E$9&gt;=20),IF((Eingabe!$G$9)&lt;=9,1000+(Eingabe!$G$9)*100,3000)+20,"")</f>
        <v>1120</v>
      </c>
      <c r="F28" s="16" t="str">
        <f aca="false">IF(AND(Eingabe!$F$9&gt;0,Eingabe!$E$9&gt;=20),"10."&amp;Eingabe!$D$9&amp;".20.0/24","")</f>
        <v>10.1.20.0/24</v>
      </c>
      <c r="G28" s="16" t="str">
        <f aca="false">IF(AND(Eingabe!$F$9&gt;0,Eingabe!$E$9&gt;=20),"10."&amp;Eingabe!$D$9&amp;".20.1","")</f>
        <v>10.1.20.1</v>
      </c>
      <c r="H28" s="16" t="str">
        <f aca="false">IF(AND(Eingabe!$F$9&gt;0,Eingabe!$E$9&gt;=20),"10."&amp;Eingabe!$D$9&amp;".20.10 – 10."&amp;Eingabe!$D$9&amp;".20.250","")</f>
        <v>10.1.20.10 – 10.1.20.250</v>
      </c>
      <c r="I28" s="16" t="str">
        <f aca="false">IF(AND(Eingabe!$F$9&gt;0,Eingabe!$E$9&gt;=20),Eingabe!$B$6&amp;"-"&amp;Eingabe!$C$9&amp;"-Pächter","")</f>
        <v>SparteNet.de-BW-Pächter</v>
      </c>
      <c r="J28" s="16" t="str">
        <f aca="false">IF(AND(Eingabe!$F$9&gt;0,Eingabe!$E$9&gt;=20),"PPSK: Passwort Parzelle 20","")</f>
        <v>PPSK: Passwort Parzelle 20</v>
      </c>
      <c r="K28" s="16" t="str">
        <f aca="false">IF(AND(Eingabe!$F$9&gt;0,Eingabe!$E$9&gt;=20),"1. Gerät: 10."&amp;Eingabe!$D$9&amp;".20.10, 2. Gerät: .11","")</f>
        <v>1. Gerät: 10.1.20.10, 2. Gerät: .11</v>
      </c>
    </row>
    <row r="29" customFormat="false" ht="15" hidden="false" customHeight="false" outlineLevel="0" collapsed="false">
      <c r="A29" s="16" t="n">
        <f aca="false">IF(AND(Eingabe!$F$9&gt;0,Eingabe!$E$9&gt;=21),1,"")</f>
        <v>1</v>
      </c>
      <c r="B29" s="16" t="str">
        <f aca="false">IF(AND(Eingabe!$F$9&gt;0,Eingabe!$E$9&gt;=21),Eingabe!$B$9,"")</f>
        <v>KGS Buchenweg e.V.</v>
      </c>
      <c r="C29" s="16" t="str">
        <f aca="false">IF(AND(Eingabe!$F$9&gt;0,Eingabe!$E$9&gt;=21),Eingabe!$C$9&amp;"-Paz."&amp;TEXT(21,"000"),"")</f>
        <v>BW-Paz.021</v>
      </c>
      <c r="D29" s="16" t="n">
        <f aca="false">IF(AND(Eingabe!$F$9&gt;0,Eingabe!$E$9&gt;=21),21,"")</f>
        <v>21</v>
      </c>
      <c r="E29" s="16" t="n">
        <f aca="false">IF(AND(Eingabe!$F$9&gt;0,Eingabe!$E$9&gt;=21),IF((Eingabe!$G$9)&lt;=9,1000+(Eingabe!$G$9)*100,3000)+21,"")</f>
        <v>1121</v>
      </c>
      <c r="F29" s="16" t="str">
        <f aca="false">IF(AND(Eingabe!$F$9&gt;0,Eingabe!$E$9&gt;=21),"10."&amp;Eingabe!$D$9&amp;".21.0/24","")</f>
        <v>10.1.21.0/24</v>
      </c>
      <c r="G29" s="16" t="str">
        <f aca="false">IF(AND(Eingabe!$F$9&gt;0,Eingabe!$E$9&gt;=21),"10."&amp;Eingabe!$D$9&amp;".21.1","")</f>
        <v>10.1.21.1</v>
      </c>
      <c r="H29" s="16" t="str">
        <f aca="false">IF(AND(Eingabe!$F$9&gt;0,Eingabe!$E$9&gt;=21),"10."&amp;Eingabe!$D$9&amp;".21.10 – 10."&amp;Eingabe!$D$9&amp;".21.250","")</f>
        <v>10.1.21.10 – 10.1.21.250</v>
      </c>
      <c r="I29" s="16" t="str">
        <f aca="false">IF(AND(Eingabe!$F$9&gt;0,Eingabe!$E$9&gt;=21),Eingabe!$B$6&amp;"-"&amp;Eingabe!$C$9&amp;"-Pächter","")</f>
        <v>SparteNet.de-BW-Pächter</v>
      </c>
      <c r="J29" s="16" t="str">
        <f aca="false">IF(AND(Eingabe!$F$9&gt;0,Eingabe!$E$9&gt;=21),"PPSK: Passwort Parzelle 21","")</f>
        <v>PPSK: Passwort Parzelle 21</v>
      </c>
      <c r="K29" s="16" t="str">
        <f aca="false">IF(AND(Eingabe!$F$9&gt;0,Eingabe!$E$9&gt;=21),"1. Gerät: 10."&amp;Eingabe!$D$9&amp;".21.10, 2. Gerät: .11","")</f>
        <v>1. Gerät: 10.1.21.10, 2. Gerät: .11</v>
      </c>
    </row>
    <row r="30" customFormat="false" ht="15" hidden="false" customHeight="false" outlineLevel="0" collapsed="false">
      <c r="A30" s="16" t="n">
        <f aca="false">IF(AND(Eingabe!$F$9&gt;0,Eingabe!$E$9&gt;=22),1,"")</f>
        <v>1</v>
      </c>
      <c r="B30" s="16" t="str">
        <f aca="false">IF(AND(Eingabe!$F$9&gt;0,Eingabe!$E$9&gt;=22),Eingabe!$B$9,"")</f>
        <v>KGS Buchenweg e.V.</v>
      </c>
      <c r="C30" s="16" t="str">
        <f aca="false">IF(AND(Eingabe!$F$9&gt;0,Eingabe!$E$9&gt;=22),Eingabe!$C$9&amp;"-Paz."&amp;TEXT(22,"000"),"")</f>
        <v>BW-Paz.022</v>
      </c>
      <c r="D30" s="16" t="n">
        <f aca="false">IF(AND(Eingabe!$F$9&gt;0,Eingabe!$E$9&gt;=22),22,"")</f>
        <v>22</v>
      </c>
      <c r="E30" s="16" t="n">
        <f aca="false">IF(AND(Eingabe!$F$9&gt;0,Eingabe!$E$9&gt;=22),IF((Eingabe!$G$9)&lt;=9,1000+(Eingabe!$G$9)*100,3000)+22,"")</f>
        <v>1122</v>
      </c>
      <c r="F30" s="16" t="str">
        <f aca="false">IF(AND(Eingabe!$F$9&gt;0,Eingabe!$E$9&gt;=22),"10."&amp;Eingabe!$D$9&amp;".22.0/24","")</f>
        <v>10.1.22.0/24</v>
      </c>
      <c r="G30" s="16" t="str">
        <f aca="false">IF(AND(Eingabe!$F$9&gt;0,Eingabe!$E$9&gt;=22),"10."&amp;Eingabe!$D$9&amp;".22.1","")</f>
        <v>10.1.22.1</v>
      </c>
      <c r="H30" s="16" t="str">
        <f aca="false">IF(AND(Eingabe!$F$9&gt;0,Eingabe!$E$9&gt;=22),"10."&amp;Eingabe!$D$9&amp;".22.10 – 10."&amp;Eingabe!$D$9&amp;".22.250","")</f>
        <v>10.1.22.10 – 10.1.22.250</v>
      </c>
      <c r="I30" s="16" t="str">
        <f aca="false">IF(AND(Eingabe!$F$9&gt;0,Eingabe!$E$9&gt;=22),Eingabe!$B$6&amp;"-"&amp;Eingabe!$C$9&amp;"-Pächter","")</f>
        <v>SparteNet.de-BW-Pächter</v>
      </c>
      <c r="J30" s="16" t="str">
        <f aca="false">IF(AND(Eingabe!$F$9&gt;0,Eingabe!$E$9&gt;=22),"PPSK: Passwort Parzelle 22","")</f>
        <v>PPSK: Passwort Parzelle 22</v>
      </c>
      <c r="K30" s="16" t="str">
        <f aca="false">IF(AND(Eingabe!$F$9&gt;0,Eingabe!$E$9&gt;=22),"1. Gerät: 10."&amp;Eingabe!$D$9&amp;".22.10, 2. Gerät: .11","")</f>
        <v>1. Gerät: 10.1.22.10, 2. Gerät: .11</v>
      </c>
    </row>
    <row r="31" customFormat="false" ht="15" hidden="false" customHeight="false" outlineLevel="0" collapsed="false">
      <c r="A31" s="16" t="n">
        <f aca="false">IF(AND(Eingabe!$F$9&gt;0,Eingabe!$E$9&gt;=23),1,"")</f>
        <v>1</v>
      </c>
      <c r="B31" s="16" t="str">
        <f aca="false">IF(AND(Eingabe!$F$9&gt;0,Eingabe!$E$9&gt;=23),Eingabe!$B$9,"")</f>
        <v>KGS Buchenweg e.V.</v>
      </c>
      <c r="C31" s="16" t="str">
        <f aca="false">IF(AND(Eingabe!$F$9&gt;0,Eingabe!$E$9&gt;=23),Eingabe!$C$9&amp;"-Paz."&amp;TEXT(23,"000"),"")</f>
        <v>BW-Paz.023</v>
      </c>
      <c r="D31" s="16" t="n">
        <f aca="false">IF(AND(Eingabe!$F$9&gt;0,Eingabe!$E$9&gt;=23),23,"")</f>
        <v>23</v>
      </c>
      <c r="E31" s="16" t="n">
        <f aca="false">IF(AND(Eingabe!$F$9&gt;0,Eingabe!$E$9&gt;=23),IF((Eingabe!$G$9)&lt;=9,1000+(Eingabe!$G$9)*100,3000)+23,"")</f>
        <v>1123</v>
      </c>
      <c r="F31" s="16" t="str">
        <f aca="false">IF(AND(Eingabe!$F$9&gt;0,Eingabe!$E$9&gt;=23),"10."&amp;Eingabe!$D$9&amp;".23.0/24","")</f>
        <v>10.1.23.0/24</v>
      </c>
      <c r="G31" s="16" t="str">
        <f aca="false">IF(AND(Eingabe!$F$9&gt;0,Eingabe!$E$9&gt;=23),"10."&amp;Eingabe!$D$9&amp;".23.1","")</f>
        <v>10.1.23.1</v>
      </c>
      <c r="H31" s="16" t="str">
        <f aca="false">IF(AND(Eingabe!$F$9&gt;0,Eingabe!$E$9&gt;=23),"10."&amp;Eingabe!$D$9&amp;".23.10 – 10."&amp;Eingabe!$D$9&amp;".23.250","")</f>
        <v>10.1.23.10 – 10.1.23.250</v>
      </c>
      <c r="I31" s="16" t="str">
        <f aca="false">IF(AND(Eingabe!$F$9&gt;0,Eingabe!$E$9&gt;=23),Eingabe!$B$6&amp;"-"&amp;Eingabe!$C$9&amp;"-Pächter","")</f>
        <v>SparteNet.de-BW-Pächter</v>
      </c>
      <c r="J31" s="16" t="str">
        <f aca="false">IF(AND(Eingabe!$F$9&gt;0,Eingabe!$E$9&gt;=23),"PPSK: Passwort Parzelle 23","")</f>
        <v>PPSK: Passwort Parzelle 23</v>
      </c>
      <c r="K31" s="16" t="str">
        <f aca="false">IF(AND(Eingabe!$F$9&gt;0,Eingabe!$E$9&gt;=23),"1. Gerät: 10."&amp;Eingabe!$D$9&amp;".23.10, 2. Gerät: .11","")</f>
        <v>1. Gerät: 10.1.23.10, 2. Gerät: .11</v>
      </c>
    </row>
    <row r="32" customFormat="false" ht="15" hidden="false" customHeight="false" outlineLevel="0" collapsed="false">
      <c r="A32" s="16" t="n">
        <f aca="false">IF(AND(Eingabe!$F$9&gt;0,Eingabe!$E$9&gt;=24),1,"")</f>
        <v>1</v>
      </c>
      <c r="B32" s="16" t="str">
        <f aca="false">IF(AND(Eingabe!$F$9&gt;0,Eingabe!$E$9&gt;=24),Eingabe!$B$9,"")</f>
        <v>KGS Buchenweg e.V.</v>
      </c>
      <c r="C32" s="16" t="str">
        <f aca="false">IF(AND(Eingabe!$F$9&gt;0,Eingabe!$E$9&gt;=24),Eingabe!$C$9&amp;"-Paz."&amp;TEXT(24,"000"),"")</f>
        <v>BW-Paz.024</v>
      </c>
      <c r="D32" s="16" t="n">
        <f aca="false">IF(AND(Eingabe!$F$9&gt;0,Eingabe!$E$9&gt;=24),24,"")</f>
        <v>24</v>
      </c>
      <c r="E32" s="16" t="n">
        <f aca="false">IF(AND(Eingabe!$F$9&gt;0,Eingabe!$E$9&gt;=24),IF((Eingabe!$G$9)&lt;=9,1000+(Eingabe!$G$9)*100,3000)+24,"")</f>
        <v>1124</v>
      </c>
      <c r="F32" s="16" t="str">
        <f aca="false">IF(AND(Eingabe!$F$9&gt;0,Eingabe!$E$9&gt;=24),"10."&amp;Eingabe!$D$9&amp;".24.0/24","")</f>
        <v>10.1.24.0/24</v>
      </c>
      <c r="G32" s="16" t="str">
        <f aca="false">IF(AND(Eingabe!$F$9&gt;0,Eingabe!$E$9&gt;=24),"10."&amp;Eingabe!$D$9&amp;".24.1","")</f>
        <v>10.1.24.1</v>
      </c>
      <c r="H32" s="16" t="str">
        <f aca="false">IF(AND(Eingabe!$F$9&gt;0,Eingabe!$E$9&gt;=24),"10."&amp;Eingabe!$D$9&amp;".24.10 – 10."&amp;Eingabe!$D$9&amp;".24.250","")</f>
        <v>10.1.24.10 – 10.1.24.250</v>
      </c>
      <c r="I32" s="16" t="str">
        <f aca="false">IF(AND(Eingabe!$F$9&gt;0,Eingabe!$E$9&gt;=24),Eingabe!$B$6&amp;"-"&amp;Eingabe!$C$9&amp;"-Pächter","")</f>
        <v>SparteNet.de-BW-Pächter</v>
      </c>
      <c r="J32" s="16" t="str">
        <f aca="false">IF(AND(Eingabe!$F$9&gt;0,Eingabe!$E$9&gt;=24),"PPSK: Passwort Parzelle 24","")</f>
        <v>PPSK: Passwort Parzelle 24</v>
      </c>
      <c r="K32" s="16" t="str">
        <f aca="false">IF(AND(Eingabe!$F$9&gt;0,Eingabe!$E$9&gt;=24),"1. Gerät: 10."&amp;Eingabe!$D$9&amp;".24.10, 2. Gerät: .11","")</f>
        <v>1. Gerät: 10.1.24.10, 2. Gerät: .11</v>
      </c>
    </row>
    <row r="33" customFormat="false" ht="15" hidden="false" customHeight="false" outlineLevel="0" collapsed="false">
      <c r="A33" s="16" t="n">
        <f aca="false">IF(AND(Eingabe!$F$9&gt;0,Eingabe!$E$9&gt;=25),1,"")</f>
        <v>1</v>
      </c>
      <c r="B33" s="16" t="str">
        <f aca="false">IF(AND(Eingabe!$F$9&gt;0,Eingabe!$E$9&gt;=25),Eingabe!$B$9,"")</f>
        <v>KGS Buchenweg e.V.</v>
      </c>
      <c r="C33" s="16" t="str">
        <f aca="false">IF(AND(Eingabe!$F$9&gt;0,Eingabe!$E$9&gt;=25),Eingabe!$C$9&amp;"-Paz."&amp;TEXT(25,"000"),"")</f>
        <v>BW-Paz.025</v>
      </c>
      <c r="D33" s="16" t="n">
        <f aca="false">IF(AND(Eingabe!$F$9&gt;0,Eingabe!$E$9&gt;=25),25,"")</f>
        <v>25</v>
      </c>
      <c r="E33" s="16" t="n">
        <f aca="false">IF(AND(Eingabe!$F$9&gt;0,Eingabe!$E$9&gt;=25),IF((Eingabe!$G$9)&lt;=9,1000+(Eingabe!$G$9)*100,3000)+25,"")</f>
        <v>1125</v>
      </c>
      <c r="F33" s="16" t="str">
        <f aca="false">IF(AND(Eingabe!$F$9&gt;0,Eingabe!$E$9&gt;=25),"10."&amp;Eingabe!$D$9&amp;".25.0/24","")</f>
        <v>10.1.25.0/24</v>
      </c>
      <c r="G33" s="16" t="str">
        <f aca="false">IF(AND(Eingabe!$F$9&gt;0,Eingabe!$E$9&gt;=25),"10."&amp;Eingabe!$D$9&amp;".25.1","")</f>
        <v>10.1.25.1</v>
      </c>
      <c r="H33" s="16" t="str">
        <f aca="false">IF(AND(Eingabe!$F$9&gt;0,Eingabe!$E$9&gt;=25),"10."&amp;Eingabe!$D$9&amp;".25.10 – 10."&amp;Eingabe!$D$9&amp;".25.250","")</f>
        <v>10.1.25.10 – 10.1.25.250</v>
      </c>
      <c r="I33" s="16" t="str">
        <f aca="false">IF(AND(Eingabe!$F$9&gt;0,Eingabe!$E$9&gt;=25),Eingabe!$B$6&amp;"-"&amp;Eingabe!$C$9&amp;"-Pächter","")</f>
        <v>SparteNet.de-BW-Pächter</v>
      </c>
      <c r="J33" s="16" t="str">
        <f aca="false">IF(AND(Eingabe!$F$9&gt;0,Eingabe!$E$9&gt;=25),"PPSK: Passwort Parzelle 25","")</f>
        <v>PPSK: Passwort Parzelle 25</v>
      </c>
      <c r="K33" s="16" t="str">
        <f aca="false">IF(AND(Eingabe!$F$9&gt;0,Eingabe!$E$9&gt;=25),"1. Gerät: 10."&amp;Eingabe!$D$9&amp;".25.10, 2. Gerät: .11","")</f>
        <v>1. Gerät: 10.1.25.10, 2. Gerät: .11</v>
      </c>
    </row>
    <row r="34" customFormat="false" ht="15" hidden="false" customHeight="false" outlineLevel="0" collapsed="false">
      <c r="A34" s="16" t="n">
        <f aca="false">IF(AND(Eingabe!$F$9&gt;0,Eingabe!$E$9&gt;=26),1,"")</f>
        <v>1</v>
      </c>
      <c r="B34" s="16" t="str">
        <f aca="false">IF(AND(Eingabe!$F$9&gt;0,Eingabe!$E$9&gt;=26),Eingabe!$B$9,"")</f>
        <v>KGS Buchenweg e.V.</v>
      </c>
      <c r="C34" s="16" t="str">
        <f aca="false">IF(AND(Eingabe!$F$9&gt;0,Eingabe!$E$9&gt;=26),Eingabe!$C$9&amp;"-Paz."&amp;TEXT(26,"000"),"")</f>
        <v>BW-Paz.026</v>
      </c>
      <c r="D34" s="16" t="n">
        <f aca="false">IF(AND(Eingabe!$F$9&gt;0,Eingabe!$E$9&gt;=26),26,"")</f>
        <v>26</v>
      </c>
      <c r="E34" s="16" t="n">
        <f aca="false">IF(AND(Eingabe!$F$9&gt;0,Eingabe!$E$9&gt;=26),IF((Eingabe!$G$9)&lt;=9,1000+(Eingabe!$G$9)*100,3000)+26,"")</f>
        <v>1126</v>
      </c>
      <c r="F34" s="16" t="str">
        <f aca="false">IF(AND(Eingabe!$F$9&gt;0,Eingabe!$E$9&gt;=26),"10."&amp;Eingabe!$D$9&amp;".26.0/24","")</f>
        <v>10.1.26.0/24</v>
      </c>
      <c r="G34" s="16" t="str">
        <f aca="false">IF(AND(Eingabe!$F$9&gt;0,Eingabe!$E$9&gt;=26),"10."&amp;Eingabe!$D$9&amp;".26.1","")</f>
        <v>10.1.26.1</v>
      </c>
      <c r="H34" s="16" t="str">
        <f aca="false">IF(AND(Eingabe!$F$9&gt;0,Eingabe!$E$9&gt;=26),"10."&amp;Eingabe!$D$9&amp;".26.10 – 10."&amp;Eingabe!$D$9&amp;".26.250","")</f>
        <v>10.1.26.10 – 10.1.26.250</v>
      </c>
      <c r="I34" s="16" t="str">
        <f aca="false">IF(AND(Eingabe!$F$9&gt;0,Eingabe!$E$9&gt;=26),Eingabe!$B$6&amp;"-"&amp;Eingabe!$C$9&amp;"-Pächter","")</f>
        <v>SparteNet.de-BW-Pächter</v>
      </c>
      <c r="J34" s="16" t="str">
        <f aca="false">IF(AND(Eingabe!$F$9&gt;0,Eingabe!$E$9&gt;=26),"PPSK: Passwort Parzelle 26","")</f>
        <v>PPSK: Passwort Parzelle 26</v>
      </c>
      <c r="K34" s="16" t="str">
        <f aca="false">IF(AND(Eingabe!$F$9&gt;0,Eingabe!$E$9&gt;=26),"1. Gerät: 10."&amp;Eingabe!$D$9&amp;".26.10, 2. Gerät: .11","")</f>
        <v>1. Gerät: 10.1.26.10, 2. Gerät: .11</v>
      </c>
    </row>
    <row r="35" customFormat="false" ht="15" hidden="false" customHeight="false" outlineLevel="0" collapsed="false">
      <c r="A35" s="16" t="n">
        <f aca="false">IF(AND(Eingabe!$F$9&gt;0,Eingabe!$E$9&gt;=27),1,"")</f>
        <v>1</v>
      </c>
      <c r="B35" s="16" t="str">
        <f aca="false">IF(AND(Eingabe!$F$9&gt;0,Eingabe!$E$9&gt;=27),Eingabe!$B$9,"")</f>
        <v>KGS Buchenweg e.V.</v>
      </c>
      <c r="C35" s="16" t="str">
        <f aca="false">IF(AND(Eingabe!$F$9&gt;0,Eingabe!$E$9&gt;=27),Eingabe!$C$9&amp;"-Paz."&amp;TEXT(27,"000"),"")</f>
        <v>BW-Paz.027</v>
      </c>
      <c r="D35" s="16" t="n">
        <f aca="false">IF(AND(Eingabe!$F$9&gt;0,Eingabe!$E$9&gt;=27),27,"")</f>
        <v>27</v>
      </c>
      <c r="E35" s="16" t="n">
        <f aca="false">IF(AND(Eingabe!$F$9&gt;0,Eingabe!$E$9&gt;=27),IF((Eingabe!$G$9)&lt;=9,1000+(Eingabe!$G$9)*100,3000)+27,"")</f>
        <v>1127</v>
      </c>
      <c r="F35" s="16" t="str">
        <f aca="false">IF(AND(Eingabe!$F$9&gt;0,Eingabe!$E$9&gt;=27),"10."&amp;Eingabe!$D$9&amp;".27.0/24","")</f>
        <v>10.1.27.0/24</v>
      </c>
      <c r="G35" s="16" t="str">
        <f aca="false">IF(AND(Eingabe!$F$9&gt;0,Eingabe!$E$9&gt;=27),"10."&amp;Eingabe!$D$9&amp;".27.1","")</f>
        <v>10.1.27.1</v>
      </c>
      <c r="H35" s="16" t="str">
        <f aca="false">IF(AND(Eingabe!$F$9&gt;0,Eingabe!$E$9&gt;=27),"10."&amp;Eingabe!$D$9&amp;".27.10 – 10."&amp;Eingabe!$D$9&amp;".27.250","")</f>
        <v>10.1.27.10 – 10.1.27.250</v>
      </c>
      <c r="I35" s="16" t="str">
        <f aca="false">IF(AND(Eingabe!$F$9&gt;0,Eingabe!$E$9&gt;=27),Eingabe!$B$6&amp;"-"&amp;Eingabe!$C$9&amp;"-Pächter","")</f>
        <v>SparteNet.de-BW-Pächter</v>
      </c>
      <c r="J35" s="16" t="str">
        <f aca="false">IF(AND(Eingabe!$F$9&gt;0,Eingabe!$E$9&gt;=27),"PPSK: Passwort Parzelle 27","")</f>
        <v>PPSK: Passwort Parzelle 27</v>
      </c>
      <c r="K35" s="16" t="str">
        <f aca="false">IF(AND(Eingabe!$F$9&gt;0,Eingabe!$E$9&gt;=27),"1. Gerät: 10."&amp;Eingabe!$D$9&amp;".27.10, 2. Gerät: .11","")</f>
        <v>1. Gerät: 10.1.27.10, 2. Gerät: .11</v>
      </c>
    </row>
    <row r="36" customFormat="false" ht="15" hidden="false" customHeight="false" outlineLevel="0" collapsed="false">
      <c r="A36" s="16" t="n">
        <f aca="false">IF(AND(Eingabe!$F$9&gt;0,Eingabe!$E$9&gt;=28),1,"")</f>
        <v>1</v>
      </c>
      <c r="B36" s="16" t="str">
        <f aca="false">IF(AND(Eingabe!$F$9&gt;0,Eingabe!$E$9&gt;=28),Eingabe!$B$9,"")</f>
        <v>KGS Buchenweg e.V.</v>
      </c>
      <c r="C36" s="16" t="str">
        <f aca="false">IF(AND(Eingabe!$F$9&gt;0,Eingabe!$E$9&gt;=28),Eingabe!$C$9&amp;"-Paz."&amp;TEXT(28,"000"),"")</f>
        <v>BW-Paz.028</v>
      </c>
      <c r="D36" s="16" t="n">
        <f aca="false">IF(AND(Eingabe!$F$9&gt;0,Eingabe!$E$9&gt;=28),28,"")</f>
        <v>28</v>
      </c>
      <c r="E36" s="16" t="n">
        <f aca="false">IF(AND(Eingabe!$F$9&gt;0,Eingabe!$E$9&gt;=28),IF((Eingabe!$G$9)&lt;=9,1000+(Eingabe!$G$9)*100,3000)+28,"")</f>
        <v>1128</v>
      </c>
      <c r="F36" s="16" t="str">
        <f aca="false">IF(AND(Eingabe!$F$9&gt;0,Eingabe!$E$9&gt;=28),"10."&amp;Eingabe!$D$9&amp;".28.0/24","")</f>
        <v>10.1.28.0/24</v>
      </c>
      <c r="G36" s="16" t="str">
        <f aca="false">IF(AND(Eingabe!$F$9&gt;0,Eingabe!$E$9&gt;=28),"10."&amp;Eingabe!$D$9&amp;".28.1","")</f>
        <v>10.1.28.1</v>
      </c>
      <c r="H36" s="16" t="str">
        <f aca="false">IF(AND(Eingabe!$F$9&gt;0,Eingabe!$E$9&gt;=28),"10."&amp;Eingabe!$D$9&amp;".28.10 – 10."&amp;Eingabe!$D$9&amp;".28.250","")</f>
        <v>10.1.28.10 – 10.1.28.250</v>
      </c>
      <c r="I36" s="16" t="str">
        <f aca="false">IF(AND(Eingabe!$F$9&gt;0,Eingabe!$E$9&gt;=28),Eingabe!$B$6&amp;"-"&amp;Eingabe!$C$9&amp;"-Pächter","")</f>
        <v>SparteNet.de-BW-Pächter</v>
      </c>
      <c r="J36" s="16" t="str">
        <f aca="false">IF(AND(Eingabe!$F$9&gt;0,Eingabe!$E$9&gt;=28),"PPSK: Passwort Parzelle 28","")</f>
        <v>PPSK: Passwort Parzelle 28</v>
      </c>
      <c r="K36" s="16" t="str">
        <f aca="false">IF(AND(Eingabe!$F$9&gt;0,Eingabe!$E$9&gt;=28),"1. Gerät: 10."&amp;Eingabe!$D$9&amp;".28.10, 2. Gerät: .11","")</f>
        <v>1. Gerät: 10.1.28.10, 2. Gerät: .11</v>
      </c>
    </row>
    <row r="37" customFormat="false" ht="15" hidden="false" customHeight="false" outlineLevel="0" collapsed="false">
      <c r="A37" s="16" t="n">
        <f aca="false">IF(AND(Eingabe!$F$9&gt;0,Eingabe!$E$9&gt;=29),1,"")</f>
        <v>1</v>
      </c>
      <c r="B37" s="16" t="str">
        <f aca="false">IF(AND(Eingabe!$F$9&gt;0,Eingabe!$E$9&gt;=29),Eingabe!$B$9,"")</f>
        <v>KGS Buchenweg e.V.</v>
      </c>
      <c r="C37" s="16" t="str">
        <f aca="false">IF(AND(Eingabe!$F$9&gt;0,Eingabe!$E$9&gt;=29),Eingabe!$C$9&amp;"-Paz."&amp;TEXT(29,"000"),"")</f>
        <v>BW-Paz.029</v>
      </c>
      <c r="D37" s="16" t="n">
        <f aca="false">IF(AND(Eingabe!$F$9&gt;0,Eingabe!$E$9&gt;=29),29,"")</f>
        <v>29</v>
      </c>
      <c r="E37" s="16" t="n">
        <f aca="false">IF(AND(Eingabe!$F$9&gt;0,Eingabe!$E$9&gt;=29),IF((Eingabe!$G$9)&lt;=9,1000+(Eingabe!$G$9)*100,3000)+29,"")</f>
        <v>1129</v>
      </c>
      <c r="F37" s="16" t="str">
        <f aca="false">IF(AND(Eingabe!$F$9&gt;0,Eingabe!$E$9&gt;=29),"10."&amp;Eingabe!$D$9&amp;".29.0/24","")</f>
        <v>10.1.29.0/24</v>
      </c>
      <c r="G37" s="16" t="str">
        <f aca="false">IF(AND(Eingabe!$F$9&gt;0,Eingabe!$E$9&gt;=29),"10."&amp;Eingabe!$D$9&amp;".29.1","")</f>
        <v>10.1.29.1</v>
      </c>
      <c r="H37" s="16" t="str">
        <f aca="false">IF(AND(Eingabe!$F$9&gt;0,Eingabe!$E$9&gt;=29),"10."&amp;Eingabe!$D$9&amp;".29.10 – 10."&amp;Eingabe!$D$9&amp;".29.250","")</f>
        <v>10.1.29.10 – 10.1.29.250</v>
      </c>
      <c r="I37" s="16" t="str">
        <f aca="false">IF(AND(Eingabe!$F$9&gt;0,Eingabe!$E$9&gt;=29),Eingabe!$B$6&amp;"-"&amp;Eingabe!$C$9&amp;"-Pächter","")</f>
        <v>SparteNet.de-BW-Pächter</v>
      </c>
      <c r="J37" s="16" t="str">
        <f aca="false">IF(AND(Eingabe!$F$9&gt;0,Eingabe!$E$9&gt;=29),"PPSK: Passwort Parzelle 29","")</f>
        <v>PPSK: Passwort Parzelle 29</v>
      </c>
      <c r="K37" s="16" t="str">
        <f aca="false">IF(AND(Eingabe!$F$9&gt;0,Eingabe!$E$9&gt;=29),"1. Gerät: 10."&amp;Eingabe!$D$9&amp;".29.10, 2. Gerät: .11","")</f>
        <v>1. Gerät: 10.1.29.10, 2. Gerät: .11</v>
      </c>
    </row>
    <row r="38" customFormat="false" ht="15" hidden="false" customHeight="false" outlineLevel="0" collapsed="false">
      <c r="A38" s="16" t="n">
        <f aca="false">IF(AND(Eingabe!$F$9&gt;0,Eingabe!$E$9&gt;=30),1,"")</f>
        <v>1</v>
      </c>
      <c r="B38" s="16" t="str">
        <f aca="false">IF(AND(Eingabe!$F$9&gt;0,Eingabe!$E$9&gt;=30),Eingabe!$B$9,"")</f>
        <v>KGS Buchenweg e.V.</v>
      </c>
      <c r="C38" s="16" t="str">
        <f aca="false">IF(AND(Eingabe!$F$9&gt;0,Eingabe!$E$9&gt;=30),Eingabe!$C$9&amp;"-Paz."&amp;TEXT(30,"000"),"")</f>
        <v>BW-Paz.030</v>
      </c>
      <c r="D38" s="16" t="n">
        <f aca="false">IF(AND(Eingabe!$F$9&gt;0,Eingabe!$E$9&gt;=30),30,"")</f>
        <v>30</v>
      </c>
      <c r="E38" s="16" t="n">
        <f aca="false">IF(AND(Eingabe!$F$9&gt;0,Eingabe!$E$9&gt;=30),IF((Eingabe!$G$9)&lt;=9,1000+(Eingabe!$G$9)*100,3000)+30,"")</f>
        <v>1130</v>
      </c>
      <c r="F38" s="16" t="str">
        <f aca="false">IF(AND(Eingabe!$F$9&gt;0,Eingabe!$E$9&gt;=30),"10."&amp;Eingabe!$D$9&amp;".30.0/24","")</f>
        <v>10.1.30.0/24</v>
      </c>
      <c r="G38" s="16" t="str">
        <f aca="false">IF(AND(Eingabe!$F$9&gt;0,Eingabe!$E$9&gt;=30),"10."&amp;Eingabe!$D$9&amp;".30.1","")</f>
        <v>10.1.30.1</v>
      </c>
      <c r="H38" s="16" t="str">
        <f aca="false">IF(AND(Eingabe!$F$9&gt;0,Eingabe!$E$9&gt;=30),"10."&amp;Eingabe!$D$9&amp;".30.10 – 10."&amp;Eingabe!$D$9&amp;".30.250","")</f>
        <v>10.1.30.10 – 10.1.30.250</v>
      </c>
      <c r="I38" s="16" t="str">
        <f aca="false">IF(AND(Eingabe!$F$9&gt;0,Eingabe!$E$9&gt;=30),Eingabe!$B$6&amp;"-"&amp;Eingabe!$C$9&amp;"-Pächter","")</f>
        <v>SparteNet.de-BW-Pächter</v>
      </c>
      <c r="J38" s="16" t="str">
        <f aca="false">IF(AND(Eingabe!$F$9&gt;0,Eingabe!$E$9&gt;=30),"PPSK: Passwort Parzelle 30","")</f>
        <v>PPSK: Passwort Parzelle 30</v>
      </c>
      <c r="K38" s="16" t="str">
        <f aca="false">IF(AND(Eingabe!$F$9&gt;0,Eingabe!$E$9&gt;=30),"1. Gerät: 10."&amp;Eingabe!$D$9&amp;".30.10, 2. Gerät: .11","")</f>
        <v>1. Gerät: 10.1.30.10, 2. Gerät: .11</v>
      </c>
    </row>
    <row r="39" customFormat="false" ht="15" hidden="false" customHeight="false" outlineLevel="0" collapsed="false">
      <c r="A39" s="16" t="n">
        <f aca="false">IF(AND(Eingabe!$F$9&gt;0,Eingabe!$E$9&gt;=31),1,"")</f>
        <v>1</v>
      </c>
      <c r="B39" s="16" t="str">
        <f aca="false">IF(AND(Eingabe!$F$9&gt;0,Eingabe!$E$9&gt;=31),Eingabe!$B$9,"")</f>
        <v>KGS Buchenweg e.V.</v>
      </c>
      <c r="C39" s="16" t="str">
        <f aca="false">IF(AND(Eingabe!$F$9&gt;0,Eingabe!$E$9&gt;=31),Eingabe!$C$9&amp;"-Paz."&amp;TEXT(31,"000"),"")</f>
        <v>BW-Paz.031</v>
      </c>
      <c r="D39" s="16" t="n">
        <f aca="false">IF(AND(Eingabe!$F$9&gt;0,Eingabe!$E$9&gt;=31),31,"")</f>
        <v>31</v>
      </c>
      <c r="E39" s="16" t="n">
        <f aca="false">IF(AND(Eingabe!$F$9&gt;0,Eingabe!$E$9&gt;=31),IF((Eingabe!$G$9)&lt;=9,1000+(Eingabe!$G$9)*100,3000)+31,"")</f>
        <v>1131</v>
      </c>
      <c r="F39" s="16" t="str">
        <f aca="false">IF(AND(Eingabe!$F$9&gt;0,Eingabe!$E$9&gt;=31),"10."&amp;Eingabe!$D$9&amp;".31.0/24","")</f>
        <v>10.1.31.0/24</v>
      </c>
      <c r="G39" s="16" t="str">
        <f aca="false">IF(AND(Eingabe!$F$9&gt;0,Eingabe!$E$9&gt;=31),"10."&amp;Eingabe!$D$9&amp;".31.1","")</f>
        <v>10.1.31.1</v>
      </c>
      <c r="H39" s="16" t="str">
        <f aca="false">IF(AND(Eingabe!$F$9&gt;0,Eingabe!$E$9&gt;=31),"10."&amp;Eingabe!$D$9&amp;".31.10 – 10."&amp;Eingabe!$D$9&amp;".31.250","")</f>
        <v>10.1.31.10 – 10.1.31.250</v>
      </c>
      <c r="I39" s="16" t="str">
        <f aca="false">IF(AND(Eingabe!$F$9&gt;0,Eingabe!$E$9&gt;=31),Eingabe!$B$6&amp;"-"&amp;Eingabe!$C$9&amp;"-Pächter","")</f>
        <v>SparteNet.de-BW-Pächter</v>
      </c>
      <c r="J39" s="16" t="str">
        <f aca="false">IF(AND(Eingabe!$F$9&gt;0,Eingabe!$E$9&gt;=31),"PPSK: Passwort Parzelle 31","")</f>
        <v>PPSK: Passwort Parzelle 31</v>
      </c>
      <c r="K39" s="16" t="str">
        <f aca="false">IF(AND(Eingabe!$F$9&gt;0,Eingabe!$E$9&gt;=31),"1. Gerät: 10."&amp;Eingabe!$D$9&amp;".31.10, 2. Gerät: .11","")</f>
        <v>1. Gerät: 10.1.31.10, 2. Gerät: .11</v>
      </c>
    </row>
    <row r="40" customFormat="false" ht="15" hidden="false" customHeight="false" outlineLevel="0" collapsed="false">
      <c r="A40" s="16" t="n">
        <f aca="false">IF(AND(Eingabe!$F$9&gt;0,Eingabe!$E$9&gt;=32),1,"")</f>
        <v>1</v>
      </c>
      <c r="B40" s="16" t="str">
        <f aca="false">IF(AND(Eingabe!$F$9&gt;0,Eingabe!$E$9&gt;=32),Eingabe!$B$9,"")</f>
        <v>KGS Buchenweg e.V.</v>
      </c>
      <c r="C40" s="16" t="str">
        <f aca="false">IF(AND(Eingabe!$F$9&gt;0,Eingabe!$E$9&gt;=32),Eingabe!$C$9&amp;"-Paz."&amp;TEXT(32,"000"),"")</f>
        <v>BW-Paz.032</v>
      </c>
      <c r="D40" s="16" t="n">
        <f aca="false">IF(AND(Eingabe!$F$9&gt;0,Eingabe!$E$9&gt;=32),32,"")</f>
        <v>32</v>
      </c>
      <c r="E40" s="16" t="n">
        <f aca="false">IF(AND(Eingabe!$F$9&gt;0,Eingabe!$E$9&gt;=32),IF((Eingabe!$G$9)&lt;=9,1000+(Eingabe!$G$9)*100,3000)+32,"")</f>
        <v>1132</v>
      </c>
      <c r="F40" s="16" t="str">
        <f aca="false">IF(AND(Eingabe!$F$9&gt;0,Eingabe!$E$9&gt;=32),"10."&amp;Eingabe!$D$9&amp;".32.0/24","")</f>
        <v>10.1.32.0/24</v>
      </c>
      <c r="G40" s="16" t="str">
        <f aca="false">IF(AND(Eingabe!$F$9&gt;0,Eingabe!$E$9&gt;=32),"10."&amp;Eingabe!$D$9&amp;".32.1","")</f>
        <v>10.1.32.1</v>
      </c>
      <c r="H40" s="16" t="str">
        <f aca="false">IF(AND(Eingabe!$F$9&gt;0,Eingabe!$E$9&gt;=32),"10."&amp;Eingabe!$D$9&amp;".32.10 – 10."&amp;Eingabe!$D$9&amp;".32.250","")</f>
        <v>10.1.32.10 – 10.1.32.250</v>
      </c>
      <c r="I40" s="16" t="str">
        <f aca="false">IF(AND(Eingabe!$F$9&gt;0,Eingabe!$E$9&gt;=32),Eingabe!$B$6&amp;"-"&amp;Eingabe!$C$9&amp;"-Pächter","")</f>
        <v>SparteNet.de-BW-Pächter</v>
      </c>
      <c r="J40" s="16" t="str">
        <f aca="false">IF(AND(Eingabe!$F$9&gt;0,Eingabe!$E$9&gt;=32),"PPSK: Passwort Parzelle 32","")</f>
        <v>PPSK: Passwort Parzelle 32</v>
      </c>
      <c r="K40" s="16" t="str">
        <f aca="false">IF(AND(Eingabe!$F$9&gt;0,Eingabe!$E$9&gt;=32),"1. Gerät: 10."&amp;Eingabe!$D$9&amp;".32.10, 2. Gerät: .11","")</f>
        <v>1. Gerät: 10.1.32.10, 2. Gerät: .11</v>
      </c>
    </row>
    <row r="41" customFormat="false" ht="15" hidden="false" customHeight="false" outlineLevel="0" collapsed="false">
      <c r="A41" s="16" t="n">
        <f aca="false">IF(AND(Eingabe!$F$9&gt;0,Eingabe!$E$9&gt;=33),1,"")</f>
        <v>1</v>
      </c>
      <c r="B41" s="16" t="str">
        <f aca="false">IF(AND(Eingabe!$F$9&gt;0,Eingabe!$E$9&gt;=33),Eingabe!$B$9,"")</f>
        <v>KGS Buchenweg e.V.</v>
      </c>
      <c r="C41" s="16" t="str">
        <f aca="false">IF(AND(Eingabe!$F$9&gt;0,Eingabe!$E$9&gt;=33),Eingabe!$C$9&amp;"-Paz."&amp;TEXT(33,"000"),"")</f>
        <v>BW-Paz.033</v>
      </c>
      <c r="D41" s="16" t="n">
        <f aca="false">IF(AND(Eingabe!$F$9&gt;0,Eingabe!$E$9&gt;=33),33,"")</f>
        <v>33</v>
      </c>
      <c r="E41" s="16" t="n">
        <f aca="false">IF(AND(Eingabe!$F$9&gt;0,Eingabe!$E$9&gt;=33),IF((Eingabe!$G$9)&lt;=9,1000+(Eingabe!$G$9)*100,3000)+33,"")</f>
        <v>1133</v>
      </c>
      <c r="F41" s="16" t="str">
        <f aca="false">IF(AND(Eingabe!$F$9&gt;0,Eingabe!$E$9&gt;=33),"10."&amp;Eingabe!$D$9&amp;".33.0/24","")</f>
        <v>10.1.33.0/24</v>
      </c>
      <c r="G41" s="16" t="str">
        <f aca="false">IF(AND(Eingabe!$F$9&gt;0,Eingabe!$E$9&gt;=33),"10."&amp;Eingabe!$D$9&amp;".33.1","")</f>
        <v>10.1.33.1</v>
      </c>
      <c r="H41" s="16" t="str">
        <f aca="false">IF(AND(Eingabe!$F$9&gt;0,Eingabe!$E$9&gt;=33),"10."&amp;Eingabe!$D$9&amp;".33.10 – 10."&amp;Eingabe!$D$9&amp;".33.250","")</f>
        <v>10.1.33.10 – 10.1.33.250</v>
      </c>
      <c r="I41" s="16" t="str">
        <f aca="false">IF(AND(Eingabe!$F$9&gt;0,Eingabe!$E$9&gt;=33),Eingabe!$B$6&amp;"-"&amp;Eingabe!$C$9&amp;"-Pächter","")</f>
        <v>SparteNet.de-BW-Pächter</v>
      </c>
      <c r="J41" s="16" t="str">
        <f aca="false">IF(AND(Eingabe!$F$9&gt;0,Eingabe!$E$9&gt;=33),"PPSK: Passwort Parzelle 33","")</f>
        <v>PPSK: Passwort Parzelle 33</v>
      </c>
      <c r="K41" s="16" t="str">
        <f aca="false">IF(AND(Eingabe!$F$9&gt;0,Eingabe!$E$9&gt;=33),"1. Gerät: 10."&amp;Eingabe!$D$9&amp;".33.10, 2. Gerät: .11","")</f>
        <v>1. Gerät: 10.1.33.10, 2. Gerät: .11</v>
      </c>
    </row>
    <row r="42" customFormat="false" ht="15" hidden="false" customHeight="false" outlineLevel="0" collapsed="false">
      <c r="A42" s="16" t="n">
        <f aca="false">IF(AND(Eingabe!$F$9&gt;0,Eingabe!$E$9&gt;=34),1,"")</f>
        <v>1</v>
      </c>
      <c r="B42" s="16" t="str">
        <f aca="false">IF(AND(Eingabe!$F$9&gt;0,Eingabe!$E$9&gt;=34),Eingabe!$B$9,"")</f>
        <v>KGS Buchenweg e.V.</v>
      </c>
      <c r="C42" s="16" t="str">
        <f aca="false">IF(AND(Eingabe!$F$9&gt;0,Eingabe!$E$9&gt;=34),Eingabe!$C$9&amp;"-Paz."&amp;TEXT(34,"000"),"")</f>
        <v>BW-Paz.034</v>
      </c>
      <c r="D42" s="16" t="n">
        <f aca="false">IF(AND(Eingabe!$F$9&gt;0,Eingabe!$E$9&gt;=34),34,"")</f>
        <v>34</v>
      </c>
      <c r="E42" s="16" t="n">
        <f aca="false">IF(AND(Eingabe!$F$9&gt;0,Eingabe!$E$9&gt;=34),IF((Eingabe!$G$9)&lt;=9,1000+(Eingabe!$G$9)*100,3000)+34,"")</f>
        <v>1134</v>
      </c>
      <c r="F42" s="16" t="str">
        <f aca="false">IF(AND(Eingabe!$F$9&gt;0,Eingabe!$E$9&gt;=34),"10."&amp;Eingabe!$D$9&amp;".34.0/24","")</f>
        <v>10.1.34.0/24</v>
      </c>
      <c r="G42" s="16" t="str">
        <f aca="false">IF(AND(Eingabe!$F$9&gt;0,Eingabe!$E$9&gt;=34),"10."&amp;Eingabe!$D$9&amp;".34.1","")</f>
        <v>10.1.34.1</v>
      </c>
      <c r="H42" s="16" t="str">
        <f aca="false">IF(AND(Eingabe!$F$9&gt;0,Eingabe!$E$9&gt;=34),"10."&amp;Eingabe!$D$9&amp;".34.10 – 10."&amp;Eingabe!$D$9&amp;".34.250","")</f>
        <v>10.1.34.10 – 10.1.34.250</v>
      </c>
      <c r="I42" s="16" t="str">
        <f aca="false">IF(AND(Eingabe!$F$9&gt;0,Eingabe!$E$9&gt;=34),Eingabe!$B$6&amp;"-"&amp;Eingabe!$C$9&amp;"-Pächter","")</f>
        <v>SparteNet.de-BW-Pächter</v>
      </c>
      <c r="J42" s="16" t="str">
        <f aca="false">IF(AND(Eingabe!$F$9&gt;0,Eingabe!$E$9&gt;=34),"PPSK: Passwort Parzelle 34","")</f>
        <v>PPSK: Passwort Parzelle 34</v>
      </c>
      <c r="K42" s="16" t="str">
        <f aca="false">IF(AND(Eingabe!$F$9&gt;0,Eingabe!$E$9&gt;=34),"1. Gerät: 10."&amp;Eingabe!$D$9&amp;".34.10, 2. Gerät: .11","")</f>
        <v>1. Gerät: 10.1.34.10, 2. Gerät: .11</v>
      </c>
    </row>
    <row r="43" customFormat="false" ht="15" hidden="false" customHeight="false" outlineLevel="0" collapsed="false">
      <c r="A43" s="16" t="n">
        <f aca="false">IF(AND(Eingabe!$F$9&gt;0,Eingabe!$E$9&gt;=35),1,"")</f>
        <v>1</v>
      </c>
      <c r="B43" s="16" t="str">
        <f aca="false">IF(AND(Eingabe!$F$9&gt;0,Eingabe!$E$9&gt;=35),Eingabe!$B$9,"")</f>
        <v>KGS Buchenweg e.V.</v>
      </c>
      <c r="C43" s="16" t="str">
        <f aca="false">IF(AND(Eingabe!$F$9&gt;0,Eingabe!$E$9&gt;=35),Eingabe!$C$9&amp;"-Paz."&amp;TEXT(35,"000"),"")</f>
        <v>BW-Paz.035</v>
      </c>
      <c r="D43" s="16" t="n">
        <f aca="false">IF(AND(Eingabe!$F$9&gt;0,Eingabe!$E$9&gt;=35),35,"")</f>
        <v>35</v>
      </c>
      <c r="E43" s="16" t="n">
        <f aca="false">IF(AND(Eingabe!$F$9&gt;0,Eingabe!$E$9&gt;=35),IF((Eingabe!$G$9)&lt;=9,1000+(Eingabe!$G$9)*100,3000)+35,"")</f>
        <v>1135</v>
      </c>
      <c r="F43" s="16" t="str">
        <f aca="false">IF(AND(Eingabe!$F$9&gt;0,Eingabe!$E$9&gt;=35),"10."&amp;Eingabe!$D$9&amp;".35.0/24","")</f>
        <v>10.1.35.0/24</v>
      </c>
      <c r="G43" s="16" t="str">
        <f aca="false">IF(AND(Eingabe!$F$9&gt;0,Eingabe!$E$9&gt;=35),"10."&amp;Eingabe!$D$9&amp;".35.1","")</f>
        <v>10.1.35.1</v>
      </c>
      <c r="H43" s="16" t="str">
        <f aca="false">IF(AND(Eingabe!$F$9&gt;0,Eingabe!$E$9&gt;=35),"10."&amp;Eingabe!$D$9&amp;".35.10 – 10."&amp;Eingabe!$D$9&amp;".35.250","")</f>
        <v>10.1.35.10 – 10.1.35.250</v>
      </c>
      <c r="I43" s="16" t="str">
        <f aca="false">IF(AND(Eingabe!$F$9&gt;0,Eingabe!$E$9&gt;=35),Eingabe!$B$6&amp;"-"&amp;Eingabe!$C$9&amp;"-Pächter","")</f>
        <v>SparteNet.de-BW-Pächter</v>
      </c>
      <c r="J43" s="16" t="str">
        <f aca="false">IF(AND(Eingabe!$F$9&gt;0,Eingabe!$E$9&gt;=35),"PPSK: Passwort Parzelle 35","")</f>
        <v>PPSK: Passwort Parzelle 35</v>
      </c>
      <c r="K43" s="16" t="str">
        <f aca="false">IF(AND(Eingabe!$F$9&gt;0,Eingabe!$E$9&gt;=35),"1. Gerät: 10."&amp;Eingabe!$D$9&amp;".35.10, 2. Gerät: .11","")</f>
        <v>1. Gerät: 10.1.35.10, 2. Gerät: .11</v>
      </c>
    </row>
    <row r="44" customFormat="false" ht="15" hidden="false" customHeight="false" outlineLevel="0" collapsed="false">
      <c r="A44" s="16" t="n">
        <f aca="false">IF(AND(Eingabe!$F$9&gt;0,Eingabe!$E$9&gt;=36),1,"")</f>
        <v>1</v>
      </c>
      <c r="B44" s="16" t="str">
        <f aca="false">IF(AND(Eingabe!$F$9&gt;0,Eingabe!$E$9&gt;=36),Eingabe!$B$9,"")</f>
        <v>KGS Buchenweg e.V.</v>
      </c>
      <c r="C44" s="16" t="str">
        <f aca="false">IF(AND(Eingabe!$F$9&gt;0,Eingabe!$E$9&gt;=36),Eingabe!$C$9&amp;"-Paz."&amp;TEXT(36,"000"),"")</f>
        <v>BW-Paz.036</v>
      </c>
      <c r="D44" s="16" t="n">
        <f aca="false">IF(AND(Eingabe!$F$9&gt;0,Eingabe!$E$9&gt;=36),36,"")</f>
        <v>36</v>
      </c>
      <c r="E44" s="16" t="n">
        <f aca="false">IF(AND(Eingabe!$F$9&gt;0,Eingabe!$E$9&gt;=36),IF((Eingabe!$G$9)&lt;=9,1000+(Eingabe!$G$9)*100,3000)+36,"")</f>
        <v>1136</v>
      </c>
      <c r="F44" s="16" t="str">
        <f aca="false">IF(AND(Eingabe!$F$9&gt;0,Eingabe!$E$9&gt;=36),"10."&amp;Eingabe!$D$9&amp;".36.0/24","")</f>
        <v>10.1.36.0/24</v>
      </c>
      <c r="G44" s="16" t="str">
        <f aca="false">IF(AND(Eingabe!$F$9&gt;0,Eingabe!$E$9&gt;=36),"10."&amp;Eingabe!$D$9&amp;".36.1","")</f>
        <v>10.1.36.1</v>
      </c>
      <c r="H44" s="16" t="str">
        <f aca="false">IF(AND(Eingabe!$F$9&gt;0,Eingabe!$E$9&gt;=36),"10."&amp;Eingabe!$D$9&amp;".36.10 – 10."&amp;Eingabe!$D$9&amp;".36.250","")</f>
        <v>10.1.36.10 – 10.1.36.250</v>
      </c>
      <c r="I44" s="16" t="str">
        <f aca="false">IF(AND(Eingabe!$F$9&gt;0,Eingabe!$E$9&gt;=36),Eingabe!$B$6&amp;"-"&amp;Eingabe!$C$9&amp;"-Pächter","")</f>
        <v>SparteNet.de-BW-Pächter</v>
      </c>
      <c r="J44" s="16" t="str">
        <f aca="false">IF(AND(Eingabe!$F$9&gt;0,Eingabe!$E$9&gt;=36),"PPSK: Passwort Parzelle 36","")</f>
        <v>PPSK: Passwort Parzelle 36</v>
      </c>
      <c r="K44" s="16" t="str">
        <f aca="false">IF(AND(Eingabe!$F$9&gt;0,Eingabe!$E$9&gt;=36),"1. Gerät: 10."&amp;Eingabe!$D$9&amp;".36.10, 2. Gerät: .11","")</f>
        <v>1. Gerät: 10.1.36.10, 2. Gerät: .11</v>
      </c>
    </row>
    <row r="45" customFormat="false" ht="15" hidden="false" customHeight="false" outlineLevel="0" collapsed="false">
      <c r="A45" s="16" t="n">
        <f aca="false">IF(AND(Eingabe!$F$9&gt;0,Eingabe!$E$9&gt;=37),1,"")</f>
        <v>1</v>
      </c>
      <c r="B45" s="16" t="str">
        <f aca="false">IF(AND(Eingabe!$F$9&gt;0,Eingabe!$E$9&gt;=37),Eingabe!$B$9,"")</f>
        <v>KGS Buchenweg e.V.</v>
      </c>
      <c r="C45" s="16" t="str">
        <f aca="false">IF(AND(Eingabe!$F$9&gt;0,Eingabe!$E$9&gt;=37),Eingabe!$C$9&amp;"-Paz."&amp;TEXT(37,"000"),"")</f>
        <v>BW-Paz.037</v>
      </c>
      <c r="D45" s="16" t="n">
        <f aca="false">IF(AND(Eingabe!$F$9&gt;0,Eingabe!$E$9&gt;=37),37,"")</f>
        <v>37</v>
      </c>
      <c r="E45" s="16" t="n">
        <f aca="false">IF(AND(Eingabe!$F$9&gt;0,Eingabe!$E$9&gt;=37),IF((Eingabe!$G$9)&lt;=9,1000+(Eingabe!$G$9)*100,3000)+37,"")</f>
        <v>1137</v>
      </c>
      <c r="F45" s="16" t="str">
        <f aca="false">IF(AND(Eingabe!$F$9&gt;0,Eingabe!$E$9&gt;=37),"10."&amp;Eingabe!$D$9&amp;".37.0/24","")</f>
        <v>10.1.37.0/24</v>
      </c>
      <c r="G45" s="16" t="str">
        <f aca="false">IF(AND(Eingabe!$F$9&gt;0,Eingabe!$E$9&gt;=37),"10."&amp;Eingabe!$D$9&amp;".37.1","")</f>
        <v>10.1.37.1</v>
      </c>
      <c r="H45" s="16" t="str">
        <f aca="false">IF(AND(Eingabe!$F$9&gt;0,Eingabe!$E$9&gt;=37),"10."&amp;Eingabe!$D$9&amp;".37.10 – 10."&amp;Eingabe!$D$9&amp;".37.250","")</f>
        <v>10.1.37.10 – 10.1.37.250</v>
      </c>
      <c r="I45" s="16" t="str">
        <f aca="false">IF(AND(Eingabe!$F$9&gt;0,Eingabe!$E$9&gt;=37),Eingabe!$B$6&amp;"-"&amp;Eingabe!$C$9&amp;"-Pächter","")</f>
        <v>SparteNet.de-BW-Pächter</v>
      </c>
      <c r="J45" s="16" t="str">
        <f aca="false">IF(AND(Eingabe!$F$9&gt;0,Eingabe!$E$9&gt;=37),"PPSK: Passwort Parzelle 37","")</f>
        <v>PPSK: Passwort Parzelle 37</v>
      </c>
      <c r="K45" s="16" t="str">
        <f aca="false">IF(AND(Eingabe!$F$9&gt;0,Eingabe!$E$9&gt;=37),"1. Gerät: 10."&amp;Eingabe!$D$9&amp;".37.10, 2. Gerät: .11","")</f>
        <v>1. Gerät: 10.1.37.10, 2. Gerät: .11</v>
      </c>
    </row>
    <row r="46" customFormat="false" ht="15" hidden="false" customHeight="false" outlineLevel="0" collapsed="false">
      <c r="A46" s="16" t="n">
        <f aca="false">IF(AND(Eingabe!$F$9&gt;0,Eingabe!$E$9&gt;=38),1,"")</f>
        <v>1</v>
      </c>
      <c r="B46" s="16" t="str">
        <f aca="false">IF(AND(Eingabe!$F$9&gt;0,Eingabe!$E$9&gt;=38),Eingabe!$B$9,"")</f>
        <v>KGS Buchenweg e.V.</v>
      </c>
      <c r="C46" s="16" t="str">
        <f aca="false">IF(AND(Eingabe!$F$9&gt;0,Eingabe!$E$9&gt;=38),Eingabe!$C$9&amp;"-Paz."&amp;TEXT(38,"000"),"")</f>
        <v>BW-Paz.038</v>
      </c>
      <c r="D46" s="16" t="n">
        <f aca="false">IF(AND(Eingabe!$F$9&gt;0,Eingabe!$E$9&gt;=38),38,"")</f>
        <v>38</v>
      </c>
      <c r="E46" s="16" t="n">
        <f aca="false">IF(AND(Eingabe!$F$9&gt;0,Eingabe!$E$9&gt;=38),IF((Eingabe!$G$9)&lt;=9,1000+(Eingabe!$G$9)*100,3000)+38,"")</f>
        <v>1138</v>
      </c>
      <c r="F46" s="16" t="str">
        <f aca="false">IF(AND(Eingabe!$F$9&gt;0,Eingabe!$E$9&gt;=38),"10."&amp;Eingabe!$D$9&amp;".38.0/24","")</f>
        <v>10.1.38.0/24</v>
      </c>
      <c r="G46" s="16" t="str">
        <f aca="false">IF(AND(Eingabe!$F$9&gt;0,Eingabe!$E$9&gt;=38),"10."&amp;Eingabe!$D$9&amp;".38.1","")</f>
        <v>10.1.38.1</v>
      </c>
      <c r="H46" s="16" t="str">
        <f aca="false">IF(AND(Eingabe!$F$9&gt;0,Eingabe!$E$9&gt;=38),"10."&amp;Eingabe!$D$9&amp;".38.10 – 10."&amp;Eingabe!$D$9&amp;".38.250","")</f>
        <v>10.1.38.10 – 10.1.38.250</v>
      </c>
      <c r="I46" s="16" t="str">
        <f aca="false">IF(AND(Eingabe!$F$9&gt;0,Eingabe!$E$9&gt;=38),Eingabe!$B$6&amp;"-"&amp;Eingabe!$C$9&amp;"-Pächter","")</f>
        <v>SparteNet.de-BW-Pächter</v>
      </c>
      <c r="J46" s="16" t="str">
        <f aca="false">IF(AND(Eingabe!$F$9&gt;0,Eingabe!$E$9&gt;=38),"PPSK: Passwort Parzelle 38","")</f>
        <v>PPSK: Passwort Parzelle 38</v>
      </c>
      <c r="K46" s="16" t="str">
        <f aca="false">IF(AND(Eingabe!$F$9&gt;0,Eingabe!$E$9&gt;=38),"1. Gerät: 10."&amp;Eingabe!$D$9&amp;".38.10, 2. Gerät: .11","")</f>
        <v>1. Gerät: 10.1.38.10, 2. Gerät: .11</v>
      </c>
    </row>
    <row r="47" customFormat="false" ht="15" hidden="false" customHeight="false" outlineLevel="0" collapsed="false">
      <c r="A47" s="16" t="n">
        <f aca="false">IF(AND(Eingabe!$F$9&gt;0,Eingabe!$E$9&gt;=39),1,"")</f>
        <v>1</v>
      </c>
      <c r="B47" s="16" t="str">
        <f aca="false">IF(AND(Eingabe!$F$9&gt;0,Eingabe!$E$9&gt;=39),Eingabe!$B$9,"")</f>
        <v>KGS Buchenweg e.V.</v>
      </c>
      <c r="C47" s="16" t="str">
        <f aca="false">IF(AND(Eingabe!$F$9&gt;0,Eingabe!$E$9&gt;=39),Eingabe!$C$9&amp;"-Paz."&amp;TEXT(39,"000"),"")</f>
        <v>BW-Paz.039</v>
      </c>
      <c r="D47" s="16" t="n">
        <f aca="false">IF(AND(Eingabe!$F$9&gt;0,Eingabe!$E$9&gt;=39),39,"")</f>
        <v>39</v>
      </c>
      <c r="E47" s="16" t="n">
        <f aca="false">IF(AND(Eingabe!$F$9&gt;0,Eingabe!$E$9&gt;=39),IF((Eingabe!$G$9)&lt;=9,1000+(Eingabe!$G$9)*100,3000)+39,"")</f>
        <v>1139</v>
      </c>
      <c r="F47" s="16" t="str">
        <f aca="false">IF(AND(Eingabe!$F$9&gt;0,Eingabe!$E$9&gt;=39),"10."&amp;Eingabe!$D$9&amp;".39.0/24","")</f>
        <v>10.1.39.0/24</v>
      </c>
      <c r="G47" s="16" t="str">
        <f aca="false">IF(AND(Eingabe!$F$9&gt;0,Eingabe!$E$9&gt;=39),"10."&amp;Eingabe!$D$9&amp;".39.1","")</f>
        <v>10.1.39.1</v>
      </c>
      <c r="H47" s="16" t="str">
        <f aca="false">IF(AND(Eingabe!$F$9&gt;0,Eingabe!$E$9&gt;=39),"10."&amp;Eingabe!$D$9&amp;".39.10 – 10."&amp;Eingabe!$D$9&amp;".39.250","")</f>
        <v>10.1.39.10 – 10.1.39.250</v>
      </c>
      <c r="I47" s="16" t="str">
        <f aca="false">IF(AND(Eingabe!$F$9&gt;0,Eingabe!$E$9&gt;=39),Eingabe!$B$6&amp;"-"&amp;Eingabe!$C$9&amp;"-Pächter","")</f>
        <v>SparteNet.de-BW-Pächter</v>
      </c>
      <c r="J47" s="16" t="str">
        <f aca="false">IF(AND(Eingabe!$F$9&gt;0,Eingabe!$E$9&gt;=39),"PPSK: Passwort Parzelle 39","")</f>
        <v>PPSK: Passwort Parzelle 39</v>
      </c>
      <c r="K47" s="16" t="str">
        <f aca="false">IF(AND(Eingabe!$F$9&gt;0,Eingabe!$E$9&gt;=39),"1. Gerät: 10."&amp;Eingabe!$D$9&amp;".39.10, 2. Gerät: .11","")</f>
        <v>1. Gerät: 10.1.39.10, 2. Gerät: .11</v>
      </c>
    </row>
    <row r="48" customFormat="false" ht="15" hidden="false" customHeight="false" outlineLevel="0" collapsed="false">
      <c r="A48" s="16" t="n">
        <f aca="false">IF(AND(Eingabe!$F$9&gt;0,Eingabe!$E$9&gt;=40),1,"")</f>
        <v>1</v>
      </c>
      <c r="B48" s="16" t="str">
        <f aca="false">IF(AND(Eingabe!$F$9&gt;0,Eingabe!$E$9&gt;=40),Eingabe!$B$9,"")</f>
        <v>KGS Buchenweg e.V.</v>
      </c>
      <c r="C48" s="16" t="str">
        <f aca="false">IF(AND(Eingabe!$F$9&gt;0,Eingabe!$E$9&gt;=40),Eingabe!$C$9&amp;"-Paz."&amp;TEXT(40,"000"),"")</f>
        <v>BW-Paz.040</v>
      </c>
      <c r="D48" s="16" t="n">
        <f aca="false">IF(AND(Eingabe!$F$9&gt;0,Eingabe!$E$9&gt;=40),40,"")</f>
        <v>40</v>
      </c>
      <c r="E48" s="16" t="n">
        <f aca="false">IF(AND(Eingabe!$F$9&gt;0,Eingabe!$E$9&gt;=40),IF((Eingabe!$G$9)&lt;=9,1000+(Eingabe!$G$9)*100,3000)+40,"")</f>
        <v>1140</v>
      </c>
      <c r="F48" s="16" t="str">
        <f aca="false">IF(AND(Eingabe!$F$9&gt;0,Eingabe!$E$9&gt;=40),"10."&amp;Eingabe!$D$9&amp;".40.0/24","")</f>
        <v>10.1.40.0/24</v>
      </c>
      <c r="G48" s="16" t="str">
        <f aca="false">IF(AND(Eingabe!$F$9&gt;0,Eingabe!$E$9&gt;=40),"10."&amp;Eingabe!$D$9&amp;".40.1","")</f>
        <v>10.1.40.1</v>
      </c>
      <c r="H48" s="16" t="str">
        <f aca="false">IF(AND(Eingabe!$F$9&gt;0,Eingabe!$E$9&gt;=40),"10."&amp;Eingabe!$D$9&amp;".40.10 – 10."&amp;Eingabe!$D$9&amp;".40.250","")</f>
        <v>10.1.40.10 – 10.1.40.250</v>
      </c>
      <c r="I48" s="16" t="str">
        <f aca="false">IF(AND(Eingabe!$F$9&gt;0,Eingabe!$E$9&gt;=40),Eingabe!$B$6&amp;"-"&amp;Eingabe!$C$9&amp;"-Pächter","")</f>
        <v>SparteNet.de-BW-Pächter</v>
      </c>
      <c r="J48" s="16" t="str">
        <f aca="false">IF(AND(Eingabe!$F$9&gt;0,Eingabe!$E$9&gt;=40),"PPSK: Passwort Parzelle 40","")</f>
        <v>PPSK: Passwort Parzelle 40</v>
      </c>
      <c r="K48" s="16" t="str">
        <f aca="false">IF(AND(Eingabe!$F$9&gt;0,Eingabe!$E$9&gt;=40),"1. Gerät: 10."&amp;Eingabe!$D$9&amp;".40.10, 2. Gerät: .11","")</f>
        <v>1. Gerät: 10.1.40.10, 2. Gerät: .11</v>
      </c>
    </row>
    <row r="49" customFormat="false" ht="15" hidden="false" customHeight="false" outlineLevel="0" collapsed="false">
      <c r="A49" s="16" t="n">
        <f aca="false">IF(AND(Eingabe!$F$9&gt;0,Eingabe!$E$9&gt;=41),1,"")</f>
        <v>1</v>
      </c>
      <c r="B49" s="16" t="str">
        <f aca="false">IF(AND(Eingabe!$F$9&gt;0,Eingabe!$E$9&gt;=41),Eingabe!$B$9,"")</f>
        <v>KGS Buchenweg e.V.</v>
      </c>
      <c r="C49" s="16" t="str">
        <f aca="false">IF(AND(Eingabe!$F$9&gt;0,Eingabe!$E$9&gt;=41),Eingabe!$C$9&amp;"-Paz."&amp;TEXT(41,"000"),"")</f>
        <v>BW-Paz.041</v>
      </c>
      <c r="D49" s="16" t="n">
        <f aca="false">IF(AND(Eingabe!$F$9&gt;0,Eingabe!$E$9&gt;=41),41,"")</f>
        <v>41</v>
      </c>
      <c r="E49" s="16" t="n">
        <f aca="false">IF(AND(Eingabe!$F$9&gt;0,Eingabe!$E$9&gt;=41),IF((Eingabe!$G$9)&lt;=9,1000+(Eingabe!$G$9)*100,3000)+41,"")</f>
        <v>1141</v>
      </c>
      <c r="F49" s="16" t="str">
        <f aca="false">IF(AND(Eingabe!$F$9&gt;0,Eingabe!$E$9&gt;=41),"10."&amp;Eingabe!$D$9&amp;".41.0/24","")</f>
        <v>10.1.41.0/24</v>
      </c>
      <c r="G49" s="16" t="str">
        <f aca="false">IF(AND(Eingabe!$F$9&gt;0,Eingabe!$E$9&gt;=41),"10."&amp;Eingabe!$D$9&amp;".41.1","")</f>
        <v>10.1.41.1</v>
      </c>
      <c r="H49" s="16" t="str">
        <f aca="false">IF(AND(Eingabe!$F$9&gt;0,Eingabe!$E$9&gt;=41),"10."&amp;Eingabe!$D$9&amp;".41.10 – 10."&amp;Eingabe!$D$9&amp;".41.250","")</f>
        <v>10.1.41.10 – 10.1.41.250</v>
      </c>
      <c r="I49" s="16" t="str">
        <f aca="false">IF(AND(Eingabe!$F$9&gt;0,Eingabe!$E$9&gt;=41),Eingabe!$B$6&amp;"-"&amp;Eingabe!$C$9&amp;"-Pächter","")</f>
        <v>SparteNet.de-BW-Pächter</v>
      </c>
      <c r="J49" s="16" t="str">
        <f aca="false">IF(AND(Eingabe!$F$9&gt;0,Eingabe!$E$9&gt;=41),"PPSK: Passwort Parzelle 41","")</f>
        <v>PPSK: Passwort Parzelle 41</v>
      </c>
      <c r="K49" s="16" t="str">
        <f aca="false">IF(AND(Eingabe!$F$9&gt;0,Eingabe!$E$9&gt;=41),"1. Gerät: 10."&amp;Eingabe!$D$9&amp;".41.10, 2. Gerät: .11","")</f>
        <v>1. Gerät: 10.1.41.10, 2. Gerät: .11</v>
      </c>
    </row>
    <row r="50" customFormat="false" ht="15" hidden="false" customHeight="false" outlineLevel="0" collapsed="false">
      <c r="A50" s="16" t="n">
        <f aca="false">IF(AND(Eingabe!$F$9&gt;0,Eingabe!$E$9&gt;=42),1,"")</f>
        <v>1</v>
      </c>
      <c r="B50" s="16" t="str">
        <f aca="false">IF(AND(Eingabe!$F$9&gt;0,Eingabe!$E$9&gt;=42),Eingabe!$B$9,"")</f>
        <v>KGS Buchenweg e.V.</v>
      </c>
      <c r="C50" s="16" t="str">
        <f aca="false">IF(AND(Eingabe!$F$9&gt;0,Eingabe!$E$9&gt;=42),Eingabe!$C$9&amp;"-Paz."&amp;TEXT(42,"000"),"")</f>
        <v>BW-Paz.042</v>
      </c>
      <c r="D50" s="16" t="n">
        <f aca="false">IF(AND(Eingabe!$F$9&gt;0,Eingabe!$E$9&gt;=42),42,"")</f>
        <v>42</v>
      </c>
      <c r="E50" s="16" t="n">
        <f aca="false">IF(AND(Eingabe!$F$9&gt;0,Eingabe!$E$9&gt;=42),IF((Eingabe!$G$9)&lt;=9,1000+(Eingabe!$G$9)*100,3000)+42,"")</f>
        <v>1142</v>
      </c>
      <c r="F50" s="16" t="str">
        <f aca="false">IF(AND(Eingabe!$F$9&gt;0,Eingabe!$E$9&gt;=42),"10."&amp;Eingabe!$D$9&amp;".42.0/24","")</f>
        <v>10.1.42.0/24</v>
      </c>
      <c r="G50" s="16" t="str">
        <f aca="false">IF(AND(Eingabe!$F$9&gt;0,Eingabe!$E$9&gt;=42),"10."&amp;Eingabe!$D$9&amp;".42.1","")</f>
        <v>10.1.42.1</v>
      </c>
      <c r="H50" s="16" t="str">
        <f aca="false">IF(AND(Eingabe!$F$9&gt;0,Eingabe!$E$9&gt;=42),"10."&amp;Eingabe!$D$9&amp;".42.10 – 10."&amp;Eingabe!$D$9&amp;".42.250","")</f>
        <v>10.1.42.10 – 10.1.42.250</v>
      </c>
      <c r="I50" s="16" t="str">
        <f aca="false">IF(AND(Eingabe!$F$9&gt;0,Eingabe!$E$9&gt;=42),Eingabe!$B$6&amp;"-"&amp;Eingabe!$C$9&amp;"-Pächter","")</f>
        <v>SparteNet.de-BW-Pächter</v>
      </c>
      <c r="J50" s="16" t="str">
        <f aca="false">IF(AND(Eingabe!$F$9&gt;0,Eingabe!$E$9&gt;=42),"PPSK: Passwort Parzelle 42","")</f>
        <v>PPSK: Passwort Parzelle 42</v>
      </c>
      <c r="K50" s="16" t="str">
        <f aca="false">IF(AND(Eingabe!$F$9&gt;0,Eingabe!$E$9&gt;=42),"1. Gerät: 10."&amp;Eingabe!$D$9&amp;".42.10, 2. Gerät: .11","")</f>
        <v>1. Gerät: 10.1.42.10, 2. Gerät: .11</v>
      </c>
    </row>
    <row r="51" customFormat="false" ht="15" hidden="false" customHeight="false" outlineLevel="0" collapsed="false">
      <c r="A51" s="16" t="n">
        <f aca="false">IF(AND(Eingabe!$F$9&gt;0,Eingabe!$E$9&gt;=43),1,"")</f>
        <v>1</v>
      </c>
      <c r="B51" s="16" t="str">
        <f aca="false">IF(AND(Eingabe!$F$9&gt;0,Eingabe!$E$9&gt;=43),Eingabe!$B$9,"")</f>
        <v>KGS Buchenweg e.V.</v>
      </c>
      <c r="C51" s="16" t="str">
        <f aca="false">IF(AND(Eingabe!$F$9&gt;0,Eingabe!$E$9&gt;=43),Eingabe!$C$9&amp;"-Paz."&amp;TEXT(43,"000"),"")</f>
        <v>BW-Paz.043</v>
      </c>
      <c r="D51" s="16" t="n">
        <f aca="false">IF(AND(Eingabe!$F$9&gt;0,Eingabe!$E$9&gt;=43),43,"")</f>
        <v>43</v>
      </c>
      <c r="E51" s="16" t="n">
        <f aca="false">IF(AND(Eingabe!$F$9&gt;0,Eingabe!$E$9&gt;=43),IF((Eingabe!$G$9)&lt;=9,1000+(Eingabe!$G$9)*100,3000)+43,"")</f>
        <v>1143</v>
      </c>
      <c r="F51" s="16" t="str">
        <f aca="false">IF(AND(Eingabe!$F$9&gt;0,Eingabe!$E$9&gt;=43),"10."&amp;Eingabe!$D$9&amp;".43.0/24","")</f>
        <v>10.1.43.0/24</v>
      </c>
      <c r="G51" s="16" t="str">
        <f aca="false">IF(AND(Eingabe!$F$9&gt;0,Eingabe!$E$9&gt;=43),"10."&amp;Eingabe!$D$9&amp;".43.1","")</f>
        <v>10.1.43.1</v>
      </c>
      <c r="H51" s="16" t="str">
        <f aca="false">IF(AND(Eingabe!$F$9&gt;0,Eingabe!$E$9&gt;=43),"10."&amp;Eingabe!$D$9&amp;".43.10 – 10."&amp;Eingabe!$D$9&amp;".43.250","")</f>
        <v>10.1.43.10 – 10.1.43.250</v>
      </c>
      <c r="I51" s="16" t="str">
        <f aca="false">IF(AND(Eingabe!$F$9&gt;0,Eingabe!$E$9&gt;=43),Eingabe!$B$6&amp;"-"&amp;Eingabe!$C$9&amp;"-Pächter","")</f>
        <v>SparteNet.de-BW-Pächter</v>
      </c>
      <c r="J51" s="16" t="str">
        <f aca="false">IF(AND(Eingabe!$F$9&gt;0,Eingabe!$E$9&gt;=43),"PPSK: Passwort Parzelle 43","")</f>
        <v>PPSK: Passwort Parzelle 43</v>
      </c>
      <c r="K51" s="16" t="str">
        <f aca="false">IF(AND(Eingabe!$F$9&gt;0,Eingabe!$E$9&gt;=43),"1. Gerät: 10."&amp;Eingabe!$D$9&amp;".43.10, 2. Gerät: .11","")</f>
        <v>1. Gerät: 10.1.43.10, 2. Gerät: .11</v>
      </c>
    </row>
    <row r="52" customFormat="false" ht="15" hidden="false" customHeight="false" outlineLevel="0" collapsed="false">
      <c r="A52" s="16" t="n">
        <f aca="false">IF(AND(Eingabe!$F$9&gt;0,Eingabe!$E$9&gt;=44),1,"")</f>
        <v>1</v>
      </c>
      <c r="B52" s="16" t="str">
        <f aca="false">IF(AND(Eingabe!$F$9&gt;0,Eingabe!$E$9&gt;=44),Eingabe!$B$9,"")</f>
        <v>KGS Buchenweg e.V.</v>
      </c>
      <c r="C52" s="16" t="str">
        <f aca="false">IF(AND(Eingabe!$F$9&gt;0,Eingabe!$E$9&gt;=44),Eingabe!$C$9&amp;"-Paz."&amp;TEXT(44,"000"),"")</f>
        <v>BW-Paz.044</v>
      </c>
      <c r="D52" s="16" t="n">
        <f aca="false">IF(AND(Eingabe!$F$9&gt;0,Eingabe!$E$9&gt;=44),44,"")</f>
        <v>44</v>
      </c>
      <c r="E52" s="16" t="n">
        <f aca="false">IF(AND(Eingabe!$F$9&gt;0,Eingabe!$E$9&gt;=44),IF((Eingabe!$G$9)&lt;=9,1000+(Eingabe!$G$9)*100,3000)+44,"")</f>
        <v>1144</v>
      </c>
      <c r="F52" s="16" t="str">
        <f aca="false">IF(AND(Eingabe!$F$9&gt;0,Eingabe!$E$9&gt;=44),"10."&amp;Eingabe!$D$9&amp;".44.0/24","")</f>
        <v>10.1.44.0/24</v>
      </c>
      <c r="G52" s="16" t="str">
        <f aca="false">IF(AND(Eingabe!$F$9&gt;0,Eingabe!$E$9&gt;=44),"10."&amp;Eingabe!$D$9&amp;".44.1","")</f>
        <v>10.1.44.1</v>
      </c>
      <c r="H52" s="16" t="str">
        <f aca="false">IF(AND(Eingabe!$F$9&gt;0,Eingabe!$E$9&gt;=44),"10."&amp;Eingabe!$D$9&amp;".44.10 – 10."&amp;Eingabe!$D$9&amp;".44.250","")</f>
        <v>10.1.44.10 – 10.1.44.250</v>
      </c>
      <c r="I52" s="16" t="str">
        <f aca="false">IF(AND(Eingabe!$F$9&gt;0,Eingabe!$E$9&gt;=44),Eingabe!$B$6&amp;"-"&amp;Eingabe!$C$9&amp;"-Pächter","")</f>
        <v>SparteNet.de-BW-Pächter</v>
      </c>
      <c r="J52" s="16" t="str">
        <f aca="false">IF(AND(Eingabe!$F$9&gt;0,Eingabe!$E$9&gt;=44),"PPSK: Passwort Parzelle 44","")</f>
        <v>PPSK: Passwort Parzelle 44</v>
      </c>
      <c r="K52" s="16" t="str">
        <f aca="false">IF(AND(Eingabe!$F$9&gt;0,Eingabe!$E$9&gt;=44),"1. Gerät: 10."&amp;Eingabe!$D$9&amp;".44.10, 2. Gerät: .11","")</f>
        <v>1. Gerät: 10.1.44.10, 2. Gerät: .11</v>
      </c>
    </row>
    <row r="53" customFormat="false" ht="15" hidden="false" customHeight="false" outlineLevel="0" collapsed="false">
      <c r="A53" s="16" t="n">
        <f aca="false">IF(AND(Eingabe!$F$9&gt;0,Eingabe!$E$9&gt;=45),1,"")</f>
        <v>1</v>
      </c>
      <c r="B53" s="16" t="str">
        <f aca="false">IF(AND(Eingabe!$F$9&gt;0,Eingabe!$E$9&gt;=45),Eingabe!$B$9,"")</f>
        <v>KGS Buchenweg e.V.</v>
      </c>
      <c r="C53" s="16" t="str">
        <f aca="false">IF(AND(Eingabe!$F$9&gt;0,Eingabe!$E$9&gt;=45),Eingabe!$C$9&amp;"-Paz."&amp;TEXT(45,"000"),"")</f>
        <v>BW-Paz.045</v>
      </c>
      <c r="D53" s="16" t="n">
        <f aca="false">IF(AND(Eingabe!$F$9&gt;0,Eingabe!$E$9&gt;=45),45,"")</f>
        <v>45</v>
      </c>
      <c r="E53" s="16" t="n">
        <f aca="false">IF(AND(Eingabe!$F$9&gt;0,Eingabe!$E$9&gt;=45),IF((Eingabe!$G$9)&lt;=9,1000+(Eingabe!$G$9)*100,3000)+45,"")</f>
        <v>1145</v>
      </c>
      <c r="F53" s="16" t="str">
        <f aca="false">IF(AND(Eingabe!$F$9&gt;0,Eingabe!$E$9&gt;=45),"10."&amp;Eingabe!$D$9&amp;".45.0/24","")</f>
        <v>10.1.45.0/24</v>
      </c>
      <c r="G53" s="16" t="str">
        <f aca="false">IF(AND(Eingabe!$F$9&gt;0,Eingabe!$E$9&gt;=45),"10."&amp;Eingabe!$D$9&amp;".45.1","")</f>
        <v>10.1.45.1</v>
      </c>
      <c r="H53" s="16" t="str">
        <f aca="false">IF(AND(Eingabe!$F$9&gt;0,Eingabe!$E$9&gt;=45),"10."&amp;Eingabe!$D$9&amp;".45.10 – 10."&amp;Eingabe!$D$9&amp;".45.250","")</f>
        <v>10.1.45.10 – 10.1.45.250</v>
      </c>
      <c r="I53" s="16" t="str">
        <f aca="false">IF(AND(Eingabe!$F$9&gt;0,Eingabe!$E$9&gt;=45),Eingabe!$B$6&amp;"-"&amp;Eingabe!$C$9&amp;"-Pächter","")</f>
        <v>SparteNet.de-BW-Pächter</v>
      </c>
      <c r="J53" s="16" t="str">
        <f aca="false">IF(AND(Eingabe!$F$9&gt;0,Eingabe!$E$9&gt;=45),"PPSK: Passwort Parzelle 45","")</f>
        <v>PPSK: Passwort Parzelle 45</v>
      </c>
      <c r="K53" s="16" t="str">
        <f aca="false">IF(AND(Eingabe!$F$9&gt;0,Eingabe!$E$9&gt;=45),"1. Gerät: 10."&amp;Eingabe!$D$9&amp;".45.10, 2. Gerät: .11","")</f>
        <v>1. Gerät: 10.1.45.10, 2. Gerät: .11</v>
      </c>
    </row>
    <row r="54" customFormat="false" ht="15" hidden="false" customHeight="false" outlineLevel="0" collapsed="false">
      <c r="A54" s="16" t="n">
        <f aca="false">IF(AND(Eingabe!$F$9&gt;0,Eingabe!$E$9&gt;=46),1,"")</f>
        <v>1</v>
      </c>
      <c r="B54" s="16" t="str">
        <f aca="false">IF(AND(Eingabe!$F$9&gt;0,Eingabe!$E$9&gt;=46),Eingabe!$B$9,"")</f>
        <v>KGS Buchenweg e.V.</v>
      </c>
      <c r="C54" s="16" t="str">
        <f aca="false">IF(AND(Eingabe!$F$9&gt;0,Eingabe!$E$9&gt;=46),Eingabe!$C$9&amp;"-Paz."&amp;TEXT(46,"000"),"")</f>
        <v>BW-Paz.046</v>
      </c>
      <c r="D54" s="16" t="n">
        <f aca="false">IF(AND(Eingabe!$F$9&gt;0,Eingabe!$E$9&gt;=46),46,"")</f>
        <v>46</v>
      </c>
      <c r="E54" s="16" t="n">
        <f aca="false">IF(AND(Eingabe!$F$9&gt;0,Eingabe!$E$9&gt;=46),IF((Eingabe!$G$9)&lt;=9,1000+(Eingabe!$G$9)*100,3000)+46,"")</f>
        <v>1146</v>
      </c>
      <c r="F54" s="16" t="str">
        <f aca="false">IF(AND(Eingabe!$F$9&gt;0,Eingabe!$E$9&gt;=46),"10."&amp;Eingabe!$D$9&amp;".46.0/24","")</f>
        <v>10.1.46.0/24</v>
      </c>
      <c r="G54" s="16" t="str">
        <f aca="false">IF(AND(Eingabe!$F$9&gt;0,Eingabe!$E$9&gt;=46),"10."&amp;Eingabe!$D$9&amp;".46.1","")</f>
        <v>10.1.46.1</v>
      </c>
      <c r="H54" s="16" t="str">
        <f aca="false">IF(AND(Eingabe!$F$9&gt;0,Eingabe!$E$9&gt;=46),"10."&amp;Eingabe!$D$9&amp;".46.10 – 10."&amp;Eingabe!$D$9&amp;".46.250","")</f>
        <v>10.1.46.10 – 10.1.46.250</v>
      </c>
      <c r="I54" s="16" t="str">
        <f aca="false">IF(AND(Eingabe!$F$9&gt;0,Eingabe!$E$9&gt;=46),Eingabe!$B$6&amp;"-"&amp;Eingabe!$C$9&amp;"-Pächter","")</f>
        <v>SparteNet.de-BW-Pächter</v>
      </c>
      <c r="J54" s="16" t="str">
        <f aca="false">IF(AND(Eingabe!$F$9&gt;0,Eingabe!$E$9&gt;=46),"PPSK: Passwort Parzelle 46","")</f>
        <v>PPSK: Passwort Parzelle 46</v>
      </c>
      <c r="K54" s="16" t="str">
        <f aca="false">IF(AND(Eingabe!$F$9&gt;0,Eingabe!$E$9&gt;=46),"1. Gerät: 10."&amp;Eingabe!$D$9&amp;".46.10, 2. Gerät: .11","")</f>
        <v>1. Gerät: 10.1.46.10, 2. Gerät: .11</v>
      </c>
    </row>
    <row r="55" customFormat="false" ht="15" hidden="false" customHeight="false" outlineLevel="0" collapsed="false">
      <c r="A55" s="16" t="n">
        <f aca="false">IF(AND(Eingabe!$F$9&gt;0,Eingabe!$E$9&gt;=47),1,"")</f>
        <v>1</v>
      </c>
      <c r="B55" s="16" t="str">
        <f aca="false">IF(AND(Eingabe!$F$9&gt;0,Eingabe!$E$9&gt;=47),Eingabe!$B$9,"")</f>
        <v>KGS Buchenweg e.V.</v>
      </c>
      <c r="C55" s="16" t="str">
        <f aca="false">IF(AND(Eingabe!$F$9&gt;0,Eingabe!$E$9&gt;=47),Eingabe!$C$9&amp;"-Paz."&amp;TEXT(47,"000"),"")</f>
        <v>BW-Paz.047</v>
      </c>
      <c r="D55" s="16" t="n">
        <f aca="false">IF(AND(Eingabe!$F$9&gt;0,Eingabe!$E$9&gt;=47),47,"")</f>
        <v>47</v>
      </c>
      <c r="E55" s="16" t="n">
        <f aca="false">IF(AND(Eingabe!$F$9&gt;0,Eingabe!$E$9&gt;=47),IF((Eingabe!$G$9)&lt;=9,1000+(Eingabe!$G$9)*100,3000)+47,"")</f>
        <v>1147</v>
      </c>
      <c r="F55" s="16" t="str">
        <f aca="false">IF(AND(Eingabe!$F$9&gt;0,Eingabe!$E$9&gt;=47),"10."&amp;Eingabe!$D$9&amp;".47.0/24","")</f>
        <v>10.1.47.0/24</v>
      </c>
      <c r="G55" s="16" t="str">
        <f aca="false">IF(AND(Eingabe!$F$9&gt;0,Eingabe!$E$9&gt;=47),"10."&amp;Eingabe!$D$9&amp;".47.1","")</f>
        <v>10.1.47.1</v>
      </c>
      <c r="H55" s="16" t="str">
        <f aca="false">IF(AND(Eingabe!$F$9&gt;0,Eingabe!$E$9&gt;=47),"10."&amp;Eingabe!$D$9&amp;".47.10 – 10."&amp;Eingabe!$D$9&amp;".47.250","")</f>
        <v>10.1.47.10 – 10.1.47.250</v>
      </c>
      <c r="I55" s="16" t="str">
        <f aca="false">IF(AND(Eingabe!$F$9&gt;0,Eingabe!$E$9&gt;=47),Eingabe!$B$6&amp;"-"&amp;Eingabe!$C$9&amp;"-Pächter","")</f>
        <v>SparteNet.de-BW-Pächter</v>
      </c>
      <c r="J55" s="16" t="str">
        <f aca="false">IF(AND(Eingabe!$F$9&gt;0,Eingabe!$E$9&gt;=47),"PPSK: Passwort Parzelle 47","")</f>
        <v>PPSK: Passwort Parzelle 47</v>
      </c>
      <c r="K55" s="16" t="str">
        <f aca="false">IF(AND(Eingabe!$F$9&gt;0,Eingabe!$E$9&gt;=47),"1. Gerät: 10."&amp;Eingabe!$D$9&amp;".47.10, 2. Gerät: .11","")</f>
        <v>1. Gerät: 10.1.47.10, 2. Gerät: .11</v>
      </c>
    </row>
    <row r="56" customFormat="false" ht="15" hidden="false" customHeight="false" outlineLevel="0" collapsed="false">
      <c r="A56" s="16" t="n">
        <f aca="false">IF(AND(Eingabe!$F$9&gt;0,Eingabe!$E$9&gt;=48),1,"")</f>
        <v>1</v>
      </c>
      <c r="B56" s="16" t="str">
        <f aca="false">IF(AND(Eingabe!$F$9&gt;0,Eingabe!$E$9&gt;=48),Eingabe!$B$9,"")</f>
        <v>KGS Buchenweg e.V.</v>
      </c>
      <c r="C56" s="16" t="str">
        <f aca="false">IF(AND(Eingabe!$F$9&gt;0,Eingabe!$E$9&gt;=48),Eingabe!$C$9&amp;"-Paz."&amp;TEXT(48,"000"),"")</f>
        <v>BW-Paz.048</v>
      </c>
      <c r="D56" s="16" t="n">
        <f aca="false">IF(AND(Eingabe!$F$9&gt;0,Eingabe!$E$9&gt;=48),48,"")</f>
        <v>48</v>
      </c>
      <c r="E56" s="16" t="n">
        <f aca="false">IF(AND(Eingabe!$F$9&gt;0,Eingabe!$E$9&gt;=48),IF((Eingabe!$G$9)&lt;=9,1000+(Eingabe!$G$9)*100,3000)+48,"")</f>
        <v>1148</v>
      </c>
      <c r="F56" s="16" t="str">
        <f aca="false">IF(AND(Eingabe!$F$9&gt;0,Eingabe!$E$9&gt;=48),"10."&amp;Eingabe!$D$9&amp;".48.0/24","")</f>
        <v>10.1.48.0/24</v>
      </c>
      <c r="G56" s="16" t="str">
        <f aca="false">IF(AND(Eingabe!$F$9&gt;0,Eingabe!$E$9&gt;=48),"10."&amp;Eingabe!$D$9&amp;".48.1","")</f>
        <v>10.1.48.1</v>
      </c>
      <c r="H56" s="16" t="str">
        <f aca="false">IF(AND(Eingabe!$F$9&gt;0,Eingabe!$E$9&gt;=48),"10."&amp;Eingabe!$D$9&amp;".48.10 – 10."&amp;Eingabe!$D$9&amp;".48.250","")</f>
        <v>10.1.48.10 – 10.1.48.250</v>
      </c>
      <c r="I56" s="16" t="str">
        <f aca="false">IF(AND(Eingabe!$F$9&gt;0,Eingabe!$E$9&gt;=48),Eingabe!$B$6&amp;"-"&amp;Eingabe!$C$9&amp;"-Pächter","")</f>
        <v>SparteNet.de-BW-Pächter</v>
      </c>
      <c r="J56" s="16" t="str">
        <f aca="false">IF(AND(Eingabe!$F$9&gt;0,Eingabe!$E$9&gt;=48),"PPSK: Passwort Parzelle 48","")</f>
        <v>PPSK: Passwort Parzelle 48</v>
      </c>
      <c r="K56" s="16" t="str">
        <f aca="false">IF(AND(Eingabe!$F$9&gt;0,Eingabe!$E$9&gt;=48),"1. Gerät: 10."&amp;Eingabe!$D$9&amp;".48.10, 2. Gerät: .11","")</f>
        <v>1. Gerät: 10.1.48.10, 2. Gerät: .11</v>
      </c>
    </row>
    <row r="57" customFormat="false" ht="15" hidden="false" customHeight="false" outlineLevel="0" collapsed="false">
      <c r="A57" s="16" t="n">
        <f aca="false">IF(AND(Eingabe!$F$9&gt;0,Eingabe!$E$9&gt;=49),1,"")</f>
        <v>1</v>
      </c>
      <c r="B57" s="16" t="str">
        <f aca="false">IF(AND(Eingabe!$F$9&gt;0,Eingabe!$E$9&gt;=49),Eingabe!$B$9,"")</f>
        <v>KGS Buchenweg e.V.</v>
      </c>
      <c r="C57" s="16" t="str">
        <f aca="false">IF(AND(Eingabe!$F$9&gt;0,Eingabe!$E$9&gt;=49),Eingabe!$C$9&amp;"-Paz."&amp;TEXT(49,"000"),"")</f>
        <v>BW-Paz.049</v>
      </c>
      <c r="D57" s="16" t="n">
        <f aca="false">IF(AND(Eingabe!$F$9&gt;0,Eingabe!$E$9&gt;=49),49,"")</f>
        <v>49</v>
      </c>
      <c r="E57" s="16" t="n">
        <f aca="false">IF(AND(Eingabe!$F$9&gt;0,Eingabe!$E$9&gt;=49),IF((Eingabe!$G$9)&lt;=9,1000+(Eingabe!$G$9)*100,3000)+49,"")</f>
        <v>1149</v>
      </c>
      <c r="F57" s="16" t="str">
        <f aca="false">IF(AND(Eingabe!$F$9&gt;0,Eingabe!$E$9&gt;=49),"10."&amp;Eingabe!$D$9&amp;".49.0/24","")</f>
        <v>10.1.49.0/24</v>
      </c>
      <c r="G57" s="16" t="str">
        <f aca="false">IF(AND(Eingabe!$F$9&gt;0,Eingabe!$E$9&gt;=49),"10."&amp;Eingabe!$D$9&amp;".49.1","")</f>
        <v>10.1.49.1</v>
      </c>
      <c r="H57" s="16" t="str">
        <f aca="false">IF(AND(Eingabe!$F$9&gt;0,Eingabe!$E$9&gt;=49),"10."&amp;Eingabe!$D$9&amp;".49.10 – 10."&amp;Eingabe!$D$9&amp;".49.250","")</f>
        <v>10.1.49.10 – 10.1.49.250</v>
      </c>
      <c r="I57" s="16" t="str">
        <f aca="false">IF(AND(Eingabe!$F$9&gt;0,Eingabe!$E$9&gt;=49),Eingabe!$B$6&amp;"-"&amp;Eingabe!$C$9&amp;"-Pächter","")</f>
        <v>SparteNet.de-BW-Pächter</v>
      </c>
      <c r="J57" s="16" t="str">
        <f aca="false">IF(AND(Eingabe!$F$9&gt;0,Eingabe!$E$9&gt;=49),"PPSK: Passwort Parzelle 49","")</f>
        <v>PPSK: Passwort Parzelle 49</v>
      </c>
      <c r="K57" s="16" t="str">
        <f aca="false">IF(AND(Eingabe!$F$9&gt;0,Eingabe!$E$9&gt;=49),"1. Gerät: 10."&amp;Eingabe!$D$9&amp;".49.10, 2. Gerät: .11","")</f>
        <v>1. Gerät: 10.1.49.10, 2. Gerät: .11</v>
      </c>
    </row>
    <row r="58" customFormat="false" ht="15" hidden="false" customHeight="false" outlineLevel="0" collapsed="false">
      <c r="A58" s="16" t="n">
        <f aca="false">IF(AND(Eingabe!$F$9&gt;0,Eingabe!$E$9&gt;=50),1,"")</f>
        <v>1</v>
      </c>
      <c r="B58" s="16" t="str">
        <f aca="false">IF(AND(Eingabe!$F$9&gt;0,Eingabe!$E$9&gt;=50),Eingabe!$B$9,"")</f>
        <v>KGS Buchenweg e.V.</v>
      </c>
      <c r="C58" s="16" t="str">
        <f aca="false">IF(AND(Eingabe!$F$9&gt;0,Eingabe!$E$9&gt;=50),Eingabe!$C$9&amp;"-Paz."&amp;TEXT(50,"000"),"")</f>
        <v>BW-Paz.050</v>
      </c>
      <c r="D58" s="16" t="n">
        <f aca="false">IF(AND(Eingabe!$F$9&gt;0,Eingabe!$E$9&gt;=50),50,"")</f>
        <v>50</v>
      </c>
      <c r="E58" s="16" t="n">
        <f aca="false">IF(AND(Eingabe!$F$9&gt;0,Eingabe!$E$9&gt;=50),IF((Eingabe!$G$9)&lt;=9,1000+(Eingabe!$G$9)*100,3000)+50,"")</f>
        <v>1150</v>
      </c>
      <c r="F58" s="16" t="str">
        <f aca="false">IF(AND(Eingabe!$F$9&gt;0,Eingabe!$E$9&gt;=50),"10."&amp;Eingabe!$D$9&amp;".50.0/24","")</f>
        <v>10.1.50.0/24</v>
      </c>
      <c r="G58" s="16" t="str">
        <f aca="false">IF(AND(Eingabe!$F$9&gt;0,Eingabe!$E$9&gt;=50),"10."&amp;Eingabe!$D$9&amp;".50.1","")</f>
        <v>10.1.50.1</v>
      </c>
      <c r="H58" s="16" t="str">
        <f aca="false">IF(AND(Eingabe!$F$9&gt;0,Eingabe!$E$9&gt;=50),"10."&amp;Eingabe!$D$9&amp;".50.10 – 10."&amp;Eingabe!$D$9&amp;".50.250","")</f>
        <v>10.1.50.10 – 10.1.50.250</v>
      </c>
      <c r="I58" s="16" t="str">
        <f aca="false">IF(AND(Eingabe!$F$9&gt;0,Eingabe!$E$9&gt;=50),Eingabe!$B$6&amp;"-"&amp;Eingabe!$C$9&amp;"-Pächter","")</f>
        <v>SparteNet.de-BW-Pächter</v>
      </c>
      <c r="J58" s="16" t="str">
        <f aca="false">IF(AND(Eingabe!$F$9&gt;0,Eingabe!$E$9&gt;=50),"PPSK: Passwort Parzelle 50","")</f>
        <v>PPSK: Passwort Parzelle 50</v>
      </c>
      <c r="K58" s="16" t="str">
        <f aca="false">IF(AND(Eingabe!$F$9&gt;0,Eingabe!$E$9&gt;=50),"1. Gerät: 10."&amp;Eingabe!$D$9&amp;".50.10, 2. Gerät: .11","")</f>
        <v>1. Gerät: 10.1.50.10, 2. Gerät: .11</v>
      </c>
    </row>
    <row r="59" customFormat="false" ht="15" hidden="false" customHeight="false" outlineLevel="0" collapsed="false">
      <c r="A59" s="16" t="n">
        <f aca="false">IF(AND(Eingabe!$F$9&gt;0,Eingabe!$E$9&gt;=51),1,"")</f>
        <v>1</v>
      </c>
      <c r="B59" s="16" t="str">
        <f aca="false">IF(AND(Eingabe!$F$9&gt;0,Eingabe!$E$9&gt;=51),Eingabe!$B$9,"")</f>
        <v>KGS Buchenweg e.V.</v>
      </c>
      <c r="C59" s="16" t="str">
        <f aca="false">IF(AND(Eingabe!$F$9&gt;0,Eingabe!$E$9&gt;=51),Eingabe!$C$9&amp;"-Paz."&amp;TEXT(51,"000"),"")</f>
        <v>BW-Paz.051</v>
      </c>
      <c r="D59" s="16" t="n">
        <f aca="false">IF(AND(Eingabe!$F$9&gt;0,Eingabe!$E$9&gt;=51),51,"")</f>
        <v>51</v>
      </c>
      <c r="E59" s="16" t="n">
        <f aca="false">IF(AND(Eingabe!$F$9&gt;0,Eingabe!$E$9&gt;=51),IF((Eingabe!$G$9)&lt;=9,1000+(Eingabe!$G$9)*100,3000)+51,"")</f>
        <v>1151</v>
      </c>
      <c r="F59" s="16" t="str">
        <f aca="false">IF(AND(Eingabe!$F$9&gt;0,Eingabe!$E$9&gt;=51),"10."&amp;Eingabe!$D$9&amp;".51.0/24","")</f>
        <v>10.1.51.0/24</v>
      </c>
      <c r="G59" s="16" t="str">
        <f aca="false">IF(AND(Eingabe!$F$9&gt;0,Eingabe!$E$9&gt;=51),"10."&amp;Eingabe!$D$9&amp;".51.1","")</f>
        <v>10.1.51.1</v>
      </c>
      <c r="H59" s="16" t="str">
        <f aca="false">IF(AND(Eingabe!$F$9&gt;0,Eingabe!$E$9&gt;=51),"10."&amp;Eingabe!$D$9&amp;".51.10 – 10."&amp;Eingabe!$D$9&amp;".51.250","")</f>
        <v>10.1.51.10 – 10.1.51.250</v>
      </c>
      <c r="I59" s="16" t="str">
        <f aca="false">IF(AND(Eingabe!$F$9&gt;0,Eingabe!$E$9&gt;=51),Eingabe!$B$6&amp;"-"&amp;Eingabe!$C$9&amp;"-Pächter","")</f>
        <v>SparteNet.de-BW-Pächter</v>
      </c>
      <c r="J59" s="16" t="str">
        <f aca="false">IF(AND(Eingabe!$F$9&gt;0,Eingabe!$E$9&gt;=51),"PPSK: Passwort Parzelle 51","")</f>
        <v>PPSK: Passwort Parzelle 51</v>
      </c>
      <c r="K59" s="16" t="str">
        <f aca="false">IF(AND(Eingabe!$F$9&gt;0,Eingabe!$E$9&gt;=51),"1. Gerät: 10."&amp;Eingabe!$D$9&amp;".51.10, 2. Gerät: .11","")</f>
        <v>1. Gerät: 10.1.51.10, 2. Gerät: .11</v>
      </c>
    </row>
    <row r="60" customFormat="false" ht="15" hidden="false" customHeight="false" outlineLevel="0" collapsed="false">
      <c r="A60" s="16" t="n">
        <f aca="false">IF(AND(Eingabe!$F$9&gt;0,Eingabe!$E$9&gt;=52),1,"")</f>
        <v>1</v>
      </c>
      <c r="B60" s="16" t="str">
        <f aca="false">IF(AND(Eingabe!$F$9&gt;0,Eingabe!$E$9&gt;=52),Eingabe!$B$9,"")</f>
        <v>KGS Buchenweg e.V.</v>
      </c>
      <c r="C60" s="16" t="str">
        <f aca="false">IF(AND(Eingabe!$F$9&gt;0,Eingabe!$E$9&gt;=52),Eingabe!$C$9&amp;"-Paz."&amp;TEXT(52,"000"),"")</f>
        <v>BW-Paz.052</v>
      </c>
      <c r="D60" s="16" t="n">
        <f aca="false">IF(AND(Eingabe!$F$9&gt;0,Eingabe!$E$9&gt;=52),52,"")</f>
        <v>52</v>
      </c>
      <c r="E60" s="16" t="n">
        <f aca="false">IF(AND(Eingabe!$F$9&gt;0,Eingabe!$E$9&gt;=52),IF((Eingabe!$G$9)&lt;=9,1000+(Eingabe!$G$9)*100,3000)+52,"")</f>
        <v>1152</v>
      </c>
      <c r="F60" s="16" t="str">
        <f aca="false">IF(AND(Eingabe!$F$9&gt;0,Eingabe!$E$9&gt;=52),"10."&amp;Eingabe!$D$9&amp;".52.0/24","")</f>
        <v>10.1.52.0/24</v>
      </c>
      <c r="G60" s="16" t="str">
        <f aca="false">IF(AND(Eingabe!$F$9&gt;0,Eingabe!$E$9&gt;=52),"10."&amp;Eingabe!$D$9&amp;".52.1","")</f>
        <v>10.1.52.1</v>
      </c>
      <c r="H60" s="16" t="str">
        <f aca="false">IF(AND(Eingabe!$F$9&gt;0,Eingabe!$E$9&gt;=52),"10."&amp;Eingabe!$D$9&amp;".52.10 – 10."&amp;Eingabe!$D$9&amp;".52.250","")</f>
        <v>10.1.52.10 – 10.1.52.250</v>
      </c>
      <c r="I60" s="16" t="str">
        <f aca="false">IF(AND(Eingabe!$F$9&gt;0,Eingabe!$E$9&gt;=52),Eingabe!$B$6&amp;"-"&amp;Eingabe!$C$9&amp;"-Pächter","")</f>
        <v>SparteNet.de-BW-Pächter</v>
      </c>
      <c r="J60" s="16" t="str">
        <f aca="false">IF(AND(Eingabe!$F$9&gt;0,Eingabe!$E$9&gt;=52),"PPSK: Passwort Parzelle 52","")</f>
        <v>PPSK: Passwort Parzelle 52</v>
      </c>
      <c r="K60" s="16" t="str">
        <f aca="false">IF(AND(Eingabe!$F$9&gt;0,Eingabe!$E$9&gt;=52),"1. Gerät: 10."&amp;Eingabe!$D$9&amp;".52.10, 2. Gerät: .11","")</f>
        <v>1. Gerät: 10.1.52.10, 2. Gerät: .11</v>
      </c>
    </row>
    <row r="61" customFormat="false" ht="15" hidden="false" customHeight="false" outlineLevel="0" collapsed="false">
      <c r="A61" s="16" t="n">
        <f aca="false">IF(AND(Eingabe!$F$9&gt;0,Eingabe!$E$9&gt;=53),1,"")</f>
        <v>1</v>
      </c>
      <c r="B61" s="16" t="str">
        <f aca="false">IF(AND(Eingabe!$F$9&gt;0,Eingabe!$E$9&gt;=53),Eingabe!$B$9,"")</f>
        <v>KGS Buchenweg e.V.</v>
      </c>
      <c r="C61" s="16" t="str">
        <f aca="false">IF(AND(Eingabe!$F$9&gt;0,Eingabe!$E$9&gt;=53),Eingabe!$C$9&amp;"-Paz."&amp;TEXT(53,"000"),"")</f>
        <v>BW-Paz.053</v>
      </c>
      <c r="D61" s="16" t="n">
        <f aca="false">IF(AND(Eingabe!$F$9&gt;0,Eingabe!$E$9&gt;=53),53,"")</f>
        <v>53</v>
      </c>
      <c r="E61" s="16" t="n">
        <f aca="false">IF(AND(Eingabe!$F$9&gt;0,Eingabe!$E$9&gt;=53),IF((Eingabe!$G$9)&lt;=9,1000+(Eingabe!$G$9)*100,3000)+53,"")</f>
        <v>1153</v>
      </c>
      <c r="F61" s="16" t="str">
        <f aca="false">IF(AND(Eingabe!$F$9&gt;0,Eingabe!$E$9&gt;=53),"10."&amp;Eingabe!$D$9&amp;".53.0/24","")</f>
        <v>10.1.53.0/24</v>
      </c>
      <c r="G61" s="16" t="str">
        <f aca="false">IF(AND(Eingabe!$F$9&gt;0,Eingabe!$E$9&gt;=53),"10."&amp;Eingabe!$D$9&amp;".53.1","")</f>
        <v>10.1.53.1</v>
      </c>
      <c r="H61" s="16" t="str">
        <f aca="false">IF(AND(Eingabe!$F$9&gt;0,Eingabe!$E$9&gt;=53),"10."&amp;Eingabe!$D$9&amp;".53.10 – 10."&amp;Eingabe!$D$9&amp;".53.250","")</f>
        <v>10.1.53.10 – 10.1.53.250</v>
      </c>
      <c r="I61" s="16" t="str">
        <f aca="false">IF(AND(Eingabe!$F$9&gt;0,Eingabe!$E$9&gt;=53),Eingabe!$B$6&amp;"-"&amp;Eingabe!$C$9&amp;"-Pächter","")</f>
        <v>SparteNet.de-BW-Pächter</v>
      </c>
      <c r="J61" s="16" t="str">
        <f aca="false">IF(AND(Eingabe!$F$9&gt;0,Eingabe!$E$9&gt;=53),"PPSK: Passwort Parzelle 53","")</f>
        <v>PPSK: Passwort Parzelle 53</v>
      </c>
      <c r="K61" s="16" t="str">
        <f aca="false">IF(AND(Eingabe!$F$9&gt;0,Eingabe!$E$9&gt;=53),"1. Gerät: 10."&amp;Eingabe!$D$9&amp;".53.10, 2. Gerät: .11","")</f>
        <v>1. Gerät: 10.1.53.10, 2. Gerät: .11</v>
      </c>
    </row>
    <row r="62" customFormat="false" ht="15" hidden="false" customHeight="false" outlineLevel="0" collapsed="false">
      <c r="A62" s="16" t="n">
        <f aca="false">IF(AND(Eingabe!$F$9&gt;0,Eingabe!$E$9&gt;=54),1,"")</f>
        <v>1</v>
      </c>
      <c r="B62" s="16" t="str">
        <f aca="false">IF(AND(Eingabe!$F$9&gt;0,Eingabe!$E$9&gt;=54),Eingabe!$B$9,"")</f>
        <v>KGS Buchenweg e.V.</v>
      </c>
      <c r="C62" s="16" t="str">
        <f aca="false">IF(AND(Eingabe!$F$9&gt;0,Eingabe!$E$9&gt;=54),Eingabe!$C$9&amp;"-Paz."&amp;TEXT(54,"000"),"")</f>
        <v>BW-Paz.054</v>
      </c>
      <c r="D62" s="16" t="n">
        <f aca="false">IF(AND(Eingabe!$F$9&gt;0,Eingabe!$E$9&gt;=54),54,"")</f>
        <v>54</v>
      </c>
      <c r="E62" s="16" t="n">
        <f aca="false">IF(AND(Eingabe!$F$9&gt;0,Eingabe!$E$9&gt;=54),IF((Eingabe!$G$9)&lt;=9,1000+(Eingabe!$G$9)*100,3000)+54,"")</f>
        <v>1154</v>
      </c>
      <c r="F62" s="16" t="str">
        <f aca="false">IF(AND(Eingabe!$F$9&gt;0,Eingabe!$E$9&gt;=54),"10."&amp;Eingabe!$D$9&amp;".54.0/24","")</f>
        <v>10.1.54.0/24</v>
      </c>
      <c r="G62" s="16" t="str">
        <f aca="false">IF(AND(Eingabe!$F$9&gt;0,Eingabe!$E$9&gt;=54),"10."&amp;Eingabe!$D$9&amp;".54.1","")</f>
        <v>10.1.54.1</v>
      </c>
      <c r="H62" s="16" t="str">
        <f aca="false">IF(AND(Eingabe!$F$9&gt;0,Eingabe!$E$9&gt;=54),"10."&amp;Eingabe!$D$9&amp;".54.10 – 10."&amp;Eingabe!$D$9&amp;".54.250","")</f>
        <v>10.1.54.10 – 10.1.54.250</v>
      </c>
      <c r="I62" s="16" t="str">
        <f aca="false">IF(AND(Eingabe!$F$9&gt;0,Eingabe!$E$9&gt;=54),Eingabe!$B$6&amp;"-"&amp;Eingabe!$C$9&amp;"-Pächter","")</f>
        <v>SparteNet.de-BW-Pächter</v>
      </c>
      <c r="J62" s="16" t="str">
        <f aca="false">IF(AND(Eingabe!$F$9&gt;0,Eingabe!$E$9&gt;=54),"PPSK: Passwort Parzelle 54","")</f>
        <v>PPSK: Passwort Parzelle 54</v>
      </c>
      <c r="K62" s="16" t="str">
        <f aca="false">IF(AND(Eingabe!$F$9&gt;0,Eingabe!$E$9&gt;=54),"1. Gerät: 10."&amp;Eingabe!$D$9&amp;".54.10, 2. Gerät: .11","")</f>
        <v>1. Gerät: 10.1.54.10, 2. Gerät: .11</v>
      </c>
    </row>
    <row r="63" customFormat="false" ht="15" hidden="false" customHeight="false" outlineLevel="0" collapsed="false">
      <c r="A63" s="16" t="n">
        <f aca="false">IF(AND(Eingabe!$F$9&gt;0,Eingabe!$E$9&gt;=55),1,"")</f>
        <v>1</v>
      </c>
      <c r="B63" s="16" t="str">
        <f aca="false">IF(AND(Eingabe!$F$9&gt;0,Eingabe!$E$9&gt;=55),Eingabe!$B$9,"")</f>
        <v>KGS Buchenweg e.V.</v>
      </c>
      <c r="C63" s="16" t="str">
        <f aca="false">IF(AND(Eingabe!$F$9&gt;0,Eingabe!$E$9&gt;=55),Eingabe!$C$9&amp;"-Paz."&amp;TEXT(55,"000"),"")</f>
        <v>BW-Paz.055</v>
      </c>
      <c r="D63" s="16" t="n">
        <f aca="false">IF(AND(Eingabe!$F$9&gt;0,Eingabe!$E$9&gt;=55),55,"")</f>
        <v>55</v>
      </c>
      <c r="E63" s="16" t="n">
        <f aca="false">IF(AND(Eingabe!$F$9&gt;0,Eingabe!$E$9&gt;=55),IF((Eingabe!$G$9)&lt;=9,1000+(Eingabe!$G$9)*100,3000)+55,"")</f>
        <v>1155</v>
      </c>
      <c r="F63" s="16" t="str">
        <f aca="false">IF(AND(Eingabe!$F$9&gt;0,Eingabe!$E$9&gt;=55),"10."&amp;Eingabe!$D$9&amp;".55.0/24","")</f>
        <v>10.1.55.0/24</v>
      </c>
      <c r="G63" s="16" t="str">
        <f aca="false">IF(AND(Eingabe!$F$9&gt;0,Eingabe!$E$9&gt;=55),"10."&amp;Eingabe!$D$9&amp;".55.1","")</f>
        <v>10.1.55.1</v>
      </c>
      <c r="H63" s="16" t="str">
        <f aca="false">IF(AND(Eingabe!$F$9&gt;0,Eingabe!$E$9&gt;=55),"10."&amp;Eingabe!$D$9&amp;".55.10 – 10."&amp;Eingabe!$D$9&amp;".55.250","")</f>
        <v>10.1.55.10 – 10.1.55.250</v>
      </c>
      <c r="I63" s="16" t="str">
        <f aca="false">IF(AND(Eingabe!$F$9&gt;0,Eingabe!$E$9&gt;=55),Eingabe!$B$6&amp;"-"&amp;Eingabe!$C$9&amp;"-Pächter","")</f>
        <v>SparteNet.de-BW-Pächter</v>
      </c>
      <c r="J63" s="16" t="str">
        <f aca="false">IF(AND(Eingabe!$F$9&gt;0,Eingabe!$E$9&gt;=55),"PPSK: Passwort Parzelle 55","")</f>
        <v>PPSK: Passwort Parzelle 55</v>
      </c>
      <c r="K63" s="16" t="str">
        <f aca="false">IF(AND(Eingabe!$F$9&gt;0,Eingabe!$E$9&gt;=55),"1. Gerät: 10."&amp;Eingabe!$D$9&amp;".55.10, 2. Gerät: .11","")</f>
        <v>1. Gerät: 10.1.55.10, 2. Gerät: .11</v>
      </c>
    </row>
    <row r="64" customFormat="false" ht="15" hidden="false" customHeight="false" outlineLevel="0" collapsed="false">
      <c r="A64" s="16" t="n">
        <f aca="false">IF(AND(Eingabe!$F$9&gt;0,Eingabe!$E$9&gt;=56),1,"")</f>
        <v>1</v>
      </c>
      <c r="B64" s="16" t="str">
        <f aca="false">IF(AND(Eingabe!$F$9&gt;0,Eingabe!$E$9&gt;=56),Eingabe!$B$9,"")</f>
        <v>KGS Buchenweg e.V.</v>
      </c>
      <c r="C64" s="16" t="str">
        <f aca="false">IF(AND(Eingabe!$F$9&gt;0,Eingabe!$E$9&gt;=56),Eingabe!$C$9&amp;"-Paz."&amp;TEXT(56,"000"),"")</f>
        <v>BW-Paz.056</v>
      </c>
      <c r="D64" s="16" t="n">
        <f aca="false">IF(AND(Eingabe!$F$9&gt;0,Eingabe!$E$9&gt;=56),56,"")</f>
        <v>56</v>
      </c>
      <c r="E64" s="16" t="n">
        <f aca="false">IF(AND(Eingabe!$F$9&gt;0,Eingabe!$E$9&gt;=56),IF((Eingabe!$G$9)&lt;=9,1000+(Eingabe!$G$9)*100,3000)+56,"")</f>
        <v>1156</v>
      </c>
      <c r="F64" s="16" t="str">
        <f aca="false">IF(AND(Eingabe!$F$9&gt;0,Eingabe!$E$9&gt;=56),"10."&amp;Eingabe!$D$9&amp;".56.0/24","")</f>
        <v>10.1.56.0/24</v>
      </c>
      <c r="G64" s="16" t="str">
        <f aca="false">IF(AND(Eingabe!$F$9&gt;0,Eingabe!$E$9&gt;=56),"10."&amp;Eingabe!$D$9&amp;".56.1","")</f>
        <v>10.1.56.1</v>
      </c>
      <c r="H64" s="16" t="str">
        <f aca="false">IF(AND(Eingabe!$F$9&gt;0,Eingabe!$E$9&gt;=56),"10."&amp;Eingabe!$D$9&amp;".56.10 – 10."&amp;Eingabe!$D$9&amp;".56.250","")</f>
        <v>10.1.56.10 – 10.1.56.250</v>
      </c>
      <c r="I64" s="16" t="str">
        <f aca="false">IF(AND(Eingabe!$F$9&gt;0,Eingabe!$E$9&gt;=56),Eingabe!$B$6&amp;"-"&amp;Eingabe!$C$9&amp;"-Pächter","")</f>
        <v>SparteNet.de-BW-Pächter</v>
      </c>
      <c r="J64" s="16" t="str">
        <f aca="false">IF(AND(Eingabe!$F$9&gt;0,Eingabe!$E$9&gt;=56),"PPSK: Passwort Parzelle 56","")</f>
        <v>PPSK: Passwort Parzelle 56</v>
      </c>
      <c r="K64" s="16" t="str">
        <f aca="false">IF(AND(Eingabe!$F$9&gt;0,Eingabe!$E$9&gt;=56),"1. Gerät: 10."&amp;Eingabe!$D$9&amp;".56.10, 2. Gerät: .11","")</f>
        <v>1. Gerät: 10.1.56.10, 2. Gerät: .11</v>
      </c>
    </row>
    <row r="65" customFormat="false" ht="15" hidden="false" customHeight="false" outlineLevel="0" collapsed="false">
      <c r="A65" s="16" t="n">
        <f aca="false">IF(AND(Eingabe!$F$9&gt;0,Eingabe!$E$9&gt;=57),1,"")</f>
        <v>1</v>
      </c>
      <c r="B65" s="16" t="str">
        <f aca="false">IF(AND(Eingabe!$F$9&gt;0,Eingabe!$E$9&gt;=57),Eingabe!$B$9,"")</f>
        <v>KGS Buchenweg e.V.</v>
      </c>
      <c r="C65" s="16" t="str">
        <f aca="false">IF(AND(Eingabe!$F$9&gt;0,Eingabe!$E$9&gt;=57),Eingabe!$C$9&amp;"-Paz."&amp;TEXT(57,"000"),"")</f>
        <v>BW-Paz.057</v>
      </c>
      <c r="D65" s="16" t="n">
        <f aca="false">IF(AND(Eingabe!$F$9&gt;0,Eingabe!$E$9&gt;=57),57,"")</f>
        <v>57</v>
      </c>
      <c r="E65" s="16" t="n">
        <f aca="false">IF(AND(Eingabe!$F$9&gt;0,Eingabe!$E$9&gt;=57),IF((Eingabe!$G$9)&lt;=9,1000+(Eingabe!$G$9)*100,3000)+57,"")</f>
        <v>1157</v>
      </c>
      <c r="F65" s="16" t="str">
        <f aca="false">IF(AND(Eingabe!$F$9&gt;0,Eingabe!$E$9&gt;=57),"10."&amp;Eingabe!$D$9&amp;".57.0/24","")</f>
        <v>10.1.57.0/24</v>
      </c>
      <c r="G65" s="16" t="str">
        <f aca="false">IF(AND(Eingabe!$F$9&gt;0,Eingabe!$E$9&gt;=57),"10."&amp;Eingabe!$D$9&amp;".57.1","")</f>
        <v>10.1.57.1</v>
      </c>
      <c r="H65" s="16" t="str">
        <f aca="false">IF(AND(Eingabe!$F$9&gt;0,Eingabe!$E$9&gt;=57),"10."&amp;Eingabe!$D$9&amp;".57.10 – 10."&amp;Eingabe!$D$9&amp;".57.250","")</f>
        <v>10.1.57.10 – 10.1.57.250</v>
      </c>
      <c r="I65" s="16" t="str">
        <f aca="false">IF(AND(Eingabe!$F$9&gt;0,Eingabe!$E$9&gt;=57),Eingabe!$B$6&amp;"-"&amp;Eingabe!$C$9&amp;"-Pächter","")</f>
        <v>SparteNet.de-BW-Pächter</v>
      </c>
      <c r="J65" s="16" t="str">
        <f aca="false">IF(AND(Eingabe!$F$9&gt;0,Eingabe!$E$9&gt;=57),"PPSK: Passwort Parzelle 57","")</f>
        <v>PPSK: Passwort Parzelle 57</v>
      </c>
      <c r="K65" s="16" t="str">
        <f aca="false">IF(AND(Eingabe!$F$9&gt;0,Eingabe!$E$9&gt;=57),"1. Gerät: 10."&amp;Eingabe!$D$9&amp;".57.10, 2. Gerät: .11","")</f>
        <v>1. Gerät: 10.1.57.10, 2. Gerät: .11</v>
      </c>
    </row>
    <row r="66" customFormat="false" ht="15" hidden="false" customHeight="false" outlineLevel="0" collapsed="false">
      <c r="A66" s="16" t="n">
        <f aca="false">IF(AND(Eingabe!$F$9&gt;0,Eingabe!$E$9&gt;=58),1,"")</f>
        <v>1</v>
      </c>
      <c r="B66" s="16" t="str">
        <f aca="false">IF(AND(Eingabe!$F$9&gt;0,Eingabe!$E$9&gt;=58),Eingabe!$B$9,"")</f>
        <v>KGS Buchenweg e.V.</v>
      </c>
      <c r="C66" s="16" t="str">
        <f aca="false">IF(AND(Eingabe!$F$9&gt;0,Eingabe!$E$9&gt;=58),Eingabe!$C$9&amp;"-Paz."&amp;TEXT(58,"000"),"")</f>
        <v>BW-Paz.058</v>
      </c>
      <c r="D66" s="16" t="n">
        <f aca="false">IF(AND(Eingabe!$F$9&gt;0,Eingabe!$E$9&gt;=58),58,"")</f>
        <v>58</v>
      </c>
      <c r="E66" s="16" t="n">
        <f aca="false">IF(AND(Eingabe!$F$9&gt;0,Eingabe!$E$9&gt;=58),IF((Eingabe!$G$9)&lt;=9,1000+(Eingabe!$G$9)*100,3000)+58,"")</f>
        <v>1158</v>
      </c>
      <c r="F66" s="16" t="str">
        <f aca="false">IF(AND(Eingabe!$F$9&gt;0,Eingabe!$E$9&gt;=58),"10."&amp;Eingabe!$D$9&amp;".58.0/24","")</f>
        <v>10.1.58.0/24</v>
      </c>
      <c r="G66" s="16" t="str">
        <f aca="false">IF(AND(Eingabe!$F$9&gt;0,Eingabe!$E$9&gt;=58),"10."&amp;Eingabe!$D$9&amp;".58.1","")</f>
        <v>10.1.58.1</v>
      </c>
      <c r="H66" s="16" t="str">
        <f aca="false">IF(AND(Eingabe!$F$9&gt;0,Eingabe!$E$9&gt;=58),"10."&amp;Eingabe!$D$9&amp;".58.10 – 10."&amp;Eingabe!$D$9&amp;".58.250","")</f>
        <v>10.1.58.10 – 10.1.58.250</v>
      </c>
      <c r="I66" s="16" t="str">
        <f aca="false">IF(AND(Eingabe!$F$9&gt;0,Eingabe!$E$9&gt;=58),Eingabe!$B$6&amp;"-"&amp;Eingabe!$C$9&amp;"-Pächter","")</f>
        <v>SparteNet.de-BW-Pächter</v>
      </c>
      <c r="J66" s="16" t="str">
        <f aca="false">IF(AND(Eingabe!$F$9&gt;0,Eingabe!$E$9&gt;=58),"PPSK: Passwort Parzelle 58","")</f>
        <v>PPSK: Passwort Parzelle 58</v>
      </c>
      <c r="K66" s="16" t="str">
        <f aca="false">IF(AND(Eingabe!$F$9&gt;0,Eingabe!$E$9&gt;=58),"1. Gerät: 10."&amp;Eingabe!$D$9&amp;".58.10, 2. Gerät: .11","")</f>
        <v>1. Gerät: 10.1.58.10, 2. Gerät: .11</v>
      </c>
    </row>
    <row r="67" customFormat="false" ht="15" hidden="false" customHeight="false" outlineLevel="0" collapsed="false">
      <c r="A67" s="16" t="n">
        <f aca="false">IF(AND(Eingabe!$F$9&gt;0,Eingabe!$E$9&gt;=59),1,"")</f>
        <v>1</v>
      </c>
      <c r="B67" s="16" t="str">
        <f aca="false">IF(AND(Eingabe!$F$9&gt;0,Eingabe!$E$9&gt;=59),Eingabe!$B$9,"")</f>
        <v>KGS Buchenweg e.V.</v>
      </c>
      <c r="C67" s="16" t="str">
        <f aca="false">IF(AND(Eingabe!$F$9&gt;0,Eingabe!$E$9&gt;=59),Eingabe!$C$9&amp;"-Paz."&amp;TEXT(59,"000"),"")</f>
        <v>BW-Paz.059</v>
      </c>
      <c r="D67" s="16" t="n">
        <f aca="false">IF(AND(Eingabe!$F$9&gt;0,Eingabe!$E$9&gt;=59),59,"")</f>
        <v>59</v>
      </c>
      <c r="E67" s="16" t="n">
        <f aca="false">IF(AND(Eingabe!$F$9&gt;0,Eingabe!$E$9&gt;=59),IF((Eingabe!$G$9)&lt;=9,1000+(Eingabe!$G$9)*100,3000)+59,"")</f>
        <v>1159</v>
      </c>
      <c r="F67" s="16" t="str">
        <f aca="false">IF(AND(Eingabe!$F$9&gt;0,Eingabe!$E$9&gt;=59),"10."&amp;Eingabe!$D$9&amp;".59.0/24","")</f>
        <v>10.1.59.0/24</v>
      </c>
      <c r="G67" s="16" t="str">
        <f aca="false">IF(AND(Eingabe!$F$9&gt;0,Eingabe!$E$9&gt;=59),"10."&amp;Eingabe!$D$9&amp;".59.1","")</f>
        <v>10.1.59.1</v>
      </c>
      <c r="H67" s="16" t="str">
        <f aca="false">IF(AND(Eingabe!$F$9&gt;0,Eingabe!$E$9&gt;=59),"10."&amp;Eingabe!$D$9&amp;".59.10 – 10."&amp;Eingabe!$D$9&amp;".59.250","")</f>
        <v>10.1.59.10 – 10.1.59.250</v>
      </c>
      <c r="I67" s="16" t="str">
        <f aca="false">IF(AND(Eingabe!$F$9&gt;0,Eingabe!$E$9&gt;=59),Eingabe!$B$6&amp;"-"&amp;Eingabe!$C$9&amp;"-Pächter","")</f>
        <v>SparteNet.de-BW-Pächter</v>
      </c>
      <c r="J67" s="16" t="str">
        <f aca="false">IF(AND(Eingabe!$F$9&gt;0,Eingabe!$E$9&gt;=59),"PPSK: Passwort Parzelle 59","")</f>
        <v>PPSK: Passwort Parzelle 59</v>
      </c>
      <c r="K67" s="16" t="str">
        <f aca="false">IF(AND(Eingabe!$F$9&gt;0,Eingabe!$E$9&gt;=59),"1. Gerät: 10."&amp;Eingabe!$D$9&amp;".59.10, 2. Gerät: .11","")</f>
        <v>1. Gerät: 10.1.59.10, 2. Gerät: .11</v>
      </c>
    </row>
    <row r="68" customFormat="false" ht="15" hidden="false" customHeight="false" outlineLevel="0" collapsed="false">
      <c r="A68" s="16" t="n">
        <f aca="false">IF(AND(Eingabe!$F$9&gt;0,Eingabe!$E$9&gt;=60),1,"")</f>
        <v>1</v>
      </c>
      <c r="B68" s="16" t="str">
        <f aca="false">IF(AND(Eingabe!$F$9&gt;0,Eingabe!$E$9&gt;=60),Eingabe!$B$9,"")</f>
        <v>KGS Buchenweg e.V.</v>
      </c>
      <c r="C68" s="16" t="str">
        <f aca="false">IF(AND(Eingabe!$F$9&gt;0,Eingabe!$E$9&gt;=60),Eingabe!$C$9&amp;"-Paz."&amp;TEXT(60,"000"),"")</f>
        <v>BW-Paz.060</v>
      </c>
      <c r="D68" s="16" t="n">
        <f aca="false">IF(AND(Eingabe!$F$9&gt;0,Eingabe!$E$9&gt;=60),60,"")</f>
        <v>60</v>
      </c>
      <c r="E68" s="16" t="n">
        <f aca="false">IF(AND(Eingabe!$F$9&gt;0,Eingabe!$E$9&gt;=60),IF((Eingabe!$G$9)&lt;=9,1000+(Eingabe!$G$9)*100,3000)+60,"")</f>
        <v>1160</v>
      </c>
      <c r="F68" s="16" t="str">
        <f aca="false">IF(AND(Eingabe!$F$9&gt;0,Eingabe!$E$9&gt;=60),"10."&amp;Eingabe!$D$9&amp;".60.0/24","")</f>
        <v>10.1.60.0/24</v>
      </c>
      <c r="G68" s="16" t="str">
        <f aca="false">IF(AND(Eingabe!$F$9&gt;0,Eingabe!$E$9&gt;=60),"10."&amp;Eingabe!$D$9&amp;".60.1","")</f>
        <v>10.1.60.1</v>
      </c>
      <c r="H68" s="16" t="str">
        <f aca="false">IF(AND(Eingabe!$F$9&gt;0,Eingabe!$E$9&gt;=60),"10."&amp;Eingabe!$D$9&amp;".60.10 – 10."&amp;Eingabe!$D$9&amp;".60.250","")</f>
        <v>10.1.60.10 – 10.1.60.250</v>
      </c>
      <c r="I68" s="16" t="str">
        <f aca="false">IF(AND(Eingabe!$F$9&gt;0,Eingabe!$E$9&gt;=60),Eingabe!$B$6&amp;"-"&amp;Eingabe!$C$9&amp;"-Pächter","")</f>
        <v>SparteNet.de-BW-Pächter</v>
      </c>
      <c r="J68" s="16" t="str">
        <f aca="false">IF(AND(Eingabe!$F$9&gt;0,Eingabe!$E$9&gt;=60),"PPSK: Passwort Parzelle 60","")</f>
        <v>PPSK: Passwort Parzelle 60</v>
      </c>
      <c r="K68" s="16" t="str">
        <f aca="false">IF(AND(Eingabe!$F$9&gt;0,Eingabe!$E$9&gt;=60),"1. Gerät: 10."&amp;Eingabe!$D$9&amp;".60.10, 2. Gerät: .11","")</f>
        <v>1. Gerät: 10.1.60.10, 2. Gerät: .11</v>
      </c>
    </row>
    <row r="69" customFormat="false" ht="15" hidden="false" customHeight="false" outlineLevel="0" collapsed="false">
      <c r="A69" s="16" t="n">
        <f aca="false">IF(AND(Eingabe!$F$9&gt;0,Eingabe!$E$9&gt;=61),1,"")</f>
        <v>1</v>
      </c>
      <c r="B69" s="16" t="str">
        <f aca="false">IF(AND(Eingabe!$F$9&gt;0,Eingabe!$E$9&gt;=61),Eingabe!$B$9,"")</f>
        <v>KGS Buchenweg e.V.</v>
      </c>
      <c r="C69" s="16" t="str">
        <f aca="false">IF(AND(Eingabe!$F$9&gt;0,Eingabe!$E$9&gt;=61),Eingabe!$C$9&amp;"-Paz."&amp;TEXT(61,"000"),"")</f>
        <v>BW-Paz.061</v>
      </c>
      <c r="D69" s="16" t="n">
        <f aca="false">IF(AND(Eingabe!$F$9&gt;0,Eingabe!$E$9&gt;=61),61,"")</f>
        <v>61</v>
      </c>
      <c r="E69" s="16" t="n">
        <f aca="false">IF(AND(Eingabe!$F$9&gt;0,Eingabe!$E$9&gt;=61),IF((Eingabe!$G$9)&lt;=9,1000+(Eingabe!$G$9)*100,3000)+61,"")</f>
        <v>1161</v>
      </c>
      <c r="F69" s="16" t="str">
        <f aca="false">IF(AND(Eingabe!$F$9&gt;0,Eingabe!$E$9&gt;=61),"10."&amp;Eingabe!$D$9&amp;".61.0/24","")</f>
        <v>10.1.61.0/24</v>
      </c>
      <c r="G69" s="16" t="str">
        <f aca="false">IF(AND(Eingabe!$F$9&gt;0,Eingabe!$E$9&gt;=61),"10."&amp;Eingabe!$D$9&amp;".61.1","")</f>
        <v>10.1.61.1</v>
      </c>
      <c r="H69" s="16" t="str">
        <f aca="false">IF(AND(Eingabe!$F$9&gt;0,Eingabe!$E$9&gt;=61),"10."&amp;Eingabe!$D$9&amp;".61.10 – 10."&amp;Eingabe!$D$9&amp;".61.250","")</f>
        <v>10.1.61.10 – 10.1.61.250</v>
      </c>
      <c r="I69" s="16" t="str">
        <f aca="false">IF(AND(Eingabe!$F$9&gt;0,Eingabe!$E$9&gt;=61),Eingabe!$B$6&amp;"-"&amp;Eingabe!$C$9&amp;"-Pächter","")</f>
        <v>SparteNet.de-BW-Pächter</v>
      </c>
      <c r="J69" s="16" t="str">
        <f aca="false">IF(AND(Eingabe!$F$9&gt;0,Eingabe!$E$9&gt;=61),"PPSK: Passwort Parzelle 61","")</f>
        <v>PPSK: Passwort Parzelle 61</v>
      </c>
      <c r="K69" s="16" t="str">
        <f aca="false">IF(AND(Eingabe!$F$9&gt;0,Eingabe!$E$9&gt;=61),"1. Gerät: 10."&amp;Eingabe!$D$9&amp;".61.10, 2. Gerät: .11","")</f>
        <v>1. Gerät: 10.1.61.10, 2. Gerät: .11</v>
      </c>
    </row>
    <row r="70" customFormat="false" ht="15" hidden="false" customHeight="false" outlineLevel="0" collapsed="false">
      <c r="A70" s="16" t="n">
        <f aca="false">IF(AND(Eingabe!$F$9&gt;0,Eingabe!$E$9&gt;=62),1,"")</f>
        <v>1</v>
      </c>
      <c r="B70" s="16" t="str">
        <f aca="false">IF(AND(Eingabe!$F$9&gt;0,Eingabe!$E$9&gt;=62),Eingabe!$B$9,"")</f>
        <v>KGS Buchenweg e.V.</v>
      </c>
      <c r="C70" s="16" t="str">
        <f aca="false">IF(AND(Eingabe!$F$9&gt;0,Eingabe!$E$9&gt;=62),Eingabe!$C$9&amp;"-Paz."&amp;TEXT(62,"000"),"")</f>
        <v>BW-Paz.062</v>
      </c>
      <c r="D70" s="16" t="n">
        <f aca="false">IF(AND(Eingabe!$F$9&gt;0,Eingabe!$E$9&gt;=62),62,"")</f>
        <v>62</v>
      </c>
      <c r="E70" s="16" t="n">
        <f aca="false">IF(AND(Eingabe!$F$9&gt;0,Eingabe!$E$9&gt;=62),IF((Eingabe!$G$9)&lt;=9,1000+(Eingabe!$G$9)*100,3000)+62,"")</f>
        <v>1162</v>
      </c>
      <c r="F70" s="16" t="str">
        <f aca="false">IF(AND(Eingabe!$F$9&gt;0,Eingabe!$E$9&gt;=62),"10."&amp;Eingabe!$D$9&amp;".62.0/24","")</f>
        <v>10.1.62.0/24</v>
      </c>
      <c r="G70" s="16" t="str">
        <f aca="false">IF(AND(Eingabe!$F$9&gt;0,Eingabe!$E$9&gt;=62),"10."&amp;Eingabe!$D$9&amp;".62.1","")</f>
        <v>10.1.62.1</v>
      </c>
      <c r="H70" s="16" t="str">
        <f aca="false">IF(AND(Eingabe!$F$9&gt;0,Eingabe!$E$9&gt;=62),"10."&amp;Eingabe!$D$9&amp;".62.10 – 10."&amp;Eingabe!$D$9&amp;".62.250","")</f>
        <v>10.1.62.10 – 10.1.62.250</v>
      </c>
      <c r="I70" s="16" t="str">
        <f aca="false">IF(AND(Eingabe!$F$9&gt;0,Eingabe!$E$9&gt;=62),Eingabe!$B$6&amp;"-"&amp;Eingabe!$C$9&amp;"-Pächter","")</f>
        <v>SparteNet.de-BW-Pächter</v>
      </c>
      <c r="J70" s="16" t="str">
        <f aca="false">IF(AND(Eingabe!$F$9&gt;0,Eingabe!$E$9&gt;=62),"PPSK: Passwort Parzelle 62","")</f>
        <v>PPSK: Passwort Parzelle 62</v>
      </c>
      <c r="K70" s="16" t="str">
        <f aca="false">IF(AND(Eingabe!$F$9&gt;0,Eingabe!$E$9&gt;=62),"1. Gerät: 10."&amp;Eingabe!$D$9&amp;".62.10, 2. Gerät: .11","")</f>
        <v>1. Gerät: 10.1.62.10, 2. Gerät: .11</v>
      </c>
    </row>
    <row r="71" customFormat="false" ht="15" hidden="false" customHeight="false" outlineLevel="0" collapsed="false">
      <c r="A71" s="16" t="n">
        <f aca="false">IF(AND(Eingabe!$F$9&gt;0,Eingabe!$E$9&gt;=63),1,"")</f>
        <v>1</v>
      </c>
      <c r="B71" s="16" t="str">
        <f aca="false">IF(AND(Eingabe!$F$9&gt;0,Eingabe!$E$9&gt;=63),Eingabe!$B$9,"")</f>
        <v>KGS Buchenweg e.V.</v>
      </c>
      <c r="C71" s="16" t="str">
        <f aca="false">IF(AND(Eingabe!$F$9&gt;0,Eingabe!$E$9&gt;=63),Eingabe!$C$9&amp;"-Paz."&amp;TEXT(63,"000"),"")</f>
        <v>BW-Paz.063</v>
      </c>
      <c r="D71" s="16" t="n">
        <f aca="false">IF(AND(Eingabe!$F$9&gt;0,Eingabe!$E$9&gt;=63),63,"")</f>
        <v>63</v>
      </c>
      <c r="E71" s="16" t="n">
        <f aca="false">IF(AND(Eingabe!$F$9&gt;0,Eingabe!$E$9&gt;=63),IF((Eingabe!$G$9)&lt;=9,1000+(Eingabe!$G$9)*100,3000)+63,"")</f>
        <v>1163</v>
      </c>
      <c r="F71" s="16" t="str">
        <f aca="false">IF(AND(Eingabe!$F$9&gt;0,Eingabe!$E$9&gt;=63),"10."&amp;Eingabe!$D$9&amp;".63.0/24","")</f>
        <v>10.1.63.0/24</v>
      </c>
      <c r="G71" s="16" t="str">
        <f aca="false">IF(AND(Eingabe!$F$9&gt;0,Eingabe!$E$9&gt;=63),"10."&amp;Eingabe!$D$9&amp;".63.1","")</f>
        <v>10.1.63.1</v>
      </c>
      <c r="H71" s="16" t="str">
        <f aca="false">IF(AND(Eingabe!$F$9&gt;0,Eingabe!$E$9&gt;=63),"10."&amp;Eingabe!$D$9&amp;".63.10 – 10."&amp;Eingabe!$D$9&amp;".63.250","")</f>
        <v>10.1.63.10 – 10.1.63.250</v>
      </c>
      <c r="I71" s="16" t="str">
        <f aca="false">IF(AND(Eingabe!$F$9&gt;0,Eingabe!$E$9&gt;=63),Eingabe!$B$6&amp;"-"&amp;Eingabe!$C$9&amp;"-Pächter","")</f>
        <v>SparteNet.de-BW-Pächter</v>
      </c>
      <c r="J71" s="16" t="str">
        <f aca="false">IF(AND(Eingabe!$F$9&gt;0,Eingabe!$E$9&gt;=63),"PPSK: Passwort Parzelle 63","")</f>
        <v>PPSK: Passwort Parzelle 63</v>
      </c>
      <c r="K71" s="16" t="str">
        <f aca="false">IF(AND(Eingabe!$F$9&gt;0,Eingabe!$E$9&gt;=63),"1. Gerät: 10."&amp;Eingabe!$D$9&amp;".63.10, 2. Gerät: .11","")</f>
        <v>1. Gerät: 10.1.63.10, 2. Gerät: .11</v>
      </c>
    </row>
    <row r="72" customFormat="false" ht="15" hidden="false" customHeight="false" outlineLevel="0" collapsed="false">
      <c r="A72" s="16" t="n">
        <f aca="false">IF(AND(Eingabe!$F$9&gt;0,Eingabe!$E$9&gt;=64),1,"")</f>
        <v>1</v>
      </c>
      <c r="B72" s="16" t="str">
        <f aca="false">IF(AND(Eingabe!$F$9&gt;0,Eingabe!$E$9&gt;=64),Eingabe!$B$9,"")</f>
        <v>KGS Buchenweg e.V.</v>
      </c>
      <c r="C72" s="16" t="str">
        <f aca="false">IF(AND(Eingabe!$F$9&gt;0,Eingabe!$E$9&gt;=64),Eingabe!$C$9&amp;"-Paz."&amp;TEXT(64,"000"),"")</f>
        <v>BW-Paz.064</v>
      </c>
      <c r="D72" s="16" t="n">
        <f aca="false">IF(AND(Eingabe!$F$9&gt;0,Eingabe!$E$9&gt;=64),64,"")</f>
        <v>64</v>
      </c>
      <c r="E72" s="16" t="n">
        <f aca="false">IF(AND(Eingabe!$F$9&gt;0,Eingabe!$E$9&gt;=64),IF((Eingabe!$G$9)&lt;=9,1000+(Eingabe!$G$9)*100,3000)+64,"")</f>
        <v>1164</v>
      </c>
      <c r="F72" s="16" t="str">
        <f aca="false">IF(AND(Eingabe!$F$9&gt;0,Eingabe!$E$9&gt;=64),"10."&amp;Eingabe!$D$9&amp;".64.0/24","")</f>
        <v>10.1.64.0/24</v>
      </c>
      <c r="G72" s="16" t="str">
        <f aca="false">IF(AND(Eingabe!$F$9&gt;0,Eingabe!$E$9&gt;=64),"10."&amp;Eingabe!$D$9&amp;".64.1","")</f>
        <v>10.1.64.1</v>
      </c>
      <c r="H72" s="16" t="str">
        <f aca="false">IF(AND(Eingabe!$F$9&gt;0,Eingabe!$E$9&gt;=64),"10."&amp;Eingabe!$D$9&amp;".64.10 – 10."&amp;Eingabe!$D$9&amp;".64.250","")</f>
        <v>10.1.64.10 – 10.1.64.250</v>
      </c>
      <c r="I72" s="16" t="str">
        <f aca="false">IF(AND(Eingabe!$F$9&gt;0,Eingabe!$E$9&gt;=64),Eingabe!$B$6&amp;"-"&amp;Eingabe!$C$9&amp;"-Pächter","")</f>
        <v>SparteNet.de-BW-Pächter</v>
      </c>
      <c r="J72" s="16" t="str">
        <f aca="false">IF(AND(Eingabe!$F$9&gt;0,Eingabe!$E$9&gt;=64),"PPSK: Passwort Parzelle 64","")</f>
        <v>PPSK: Passwort Parzelle 64</v>
      </c>
      <c r="K72" s="16" t="str">
        <f aca="false">IF(AND(Eingabe!$F$9&gt;0,Eingabe!$E$9&gt;=64),"1. Gerät: 10."&amp;Eingabe!$D$9&amp;".64.10, 2. Gerät: .11","")</f>
        <v>1. Gerät: 10.1.64.10, 2. Gerät: .11</v>
      </c>
    </row>
    <row r="73" customFormat="false" ht="15" hidden="false" customHeight="false" outlineLevel="0" collapsed="false">
      <c r="A73" s="16" t="n">
        <f aca="false">IF(AND(Eingabe!$F$9&gt;0,Eingabe!$E$9&gt;=65),1,"")</f>
        <v>1</v>
      </c>
      <c r="B73" s="16" t="str">
        <f aca="false">IF(AND(Eingabe!$F$9&gt;0,Eingabe!$E$9&gt;=65),Eingabe!$B$9,"")</f>
        <v>KGS Buchenweg e.V.</v>
      </c>
      <c r="C73" s="16" t="str">
        <f aca="false">IF(AND(Eingabe!$F$9&gt;0,Eingabe!$E$9&gt;=65),Eingabe!$C$9&amp;"-Paz."&amp;TEXT(65,"000"),"")</f>
        <v>BW-Paz.065</v>
      </c>
      <c r="D73" s="16" t="n">
        <f aca="false">IF(AND(Eingabe!$F$9&gt;0,Eingabe!$E$9&gt;=65),65,"")</f>
        <v>65</v>
      </c>
      <c r="E73" s="16" t="n">
        <f aca="false">IF(AND(Eingabe!$F$9&gt;0,Eingabe!$E$9&gt;=65),IF((Eingabe!$G$9)&lt;=9,1000+(Eingabe!$G$9)*100,3000)+65,"")</f>
        <v>1165</v>
      </c>
      <c r="F73" s="16" t="str">
        <f aca="false">IF(AND(Eingabe!$F$9&gt;0,Eingabe!$E$9&gt;=65),"10."&amp;Eingabe!$D$9&amp;".65.0/24","")</f>
        <v>10.1.65.0/24</v>
      </c>
      <c r="G73" s="16" t="str">
        <f aca="false">IF(AND(Eingabe!$F$9&gt;0,Eingabe!$E$9&gt;=65),"10."&amp;Eingabe!$D$9&amp;".65.1","")</f>
        <v>10.1.65.1</v>
      </c>
      <c r="H73" s="16" t="str">
        <f aca="false">IF(AND(Eingabe!$F$9&gt;0,Eingabe!$E$9&gt;=65),"10."&amp;Eingabe!$D$9&amp;".65.10 – 10."&amp;Eingabe!$D$9&amp;".65.250","")</f>
        <v>10.1.65.10 – 10.1.65.250</v>
      </c>
      <c r="I73" s="16" t="str">
        <f aca="false">IF(AND(Eingabe!$F$9&gt;0,Eingabe!$E$9&gt;=65),Eingabe!$B$6&amp;"-"&amp;Eingabe!$C$9&amp;"-Pächter","")</f>
        <v>SparteNet.de-BW-Pächter</v>
      </c>
      <c r="J73" s="16" t="str">
        <f aca="false">IF(AND(Eingabe!$F$9&gt;0,Eingabe!$E$9&gt;=65),"PPSK: Passwort Parzelle 65","")</f>
        <v>PPSK: Passwort Parzelle 65</v>
      </c>
      <c r="K73" s="16" t="str">
        <f aca="false">IF(AND(Eingabe!$F$9&gt;0,Eingabe!$E$9&gt;=65),"1. Gerät: 10."&amp;Eingabe!$D$9&amp;".65.10, 2. Gerät: .11","")</f>
        <v>1. Gerät: 10.1.65.10, 2. Gerät: .11</v>
      </c>
    </row>
    <row r="74" customFormat="false" ht="15" hidden="false" customHeight="false" outlineLevel="0" collapsed="false">
      <c r="A74" s="16" t="n">
        <f aca="false">IF(AND(Eingabe!$F$9&gt;0,Eingabe!$E$9&gt;=66),1,"")</f>
        <v>1</v>
      </c>
      <c r="B74" s="16" t="str">
        <f aca="false">IF(AND(Eingabe!$F$9&gt;0,Eingabe!$E$9&gt;=66),Eingabe!$B$9,"")</f>
        <v>KGS Buchenweg e.V.</v>
      </c>
      <c r="C74" s="16" t="str">
        <f aca="false">IF(AND(Eingabe!$F$9&gt;0,Eingabe!$E$9&gt;=66),Eingabe!$C$9&amp;"-Paz."&amp;TEXT(66,"000"),"")</f>
        <v>BW-Paz.066</v>
      </c>
      <c r="D74" s="16" t="n">
        <f aca="false">IF(AND(Eingabe!$F$9&gt;0,Eingabe!$E$9&gt;=66),66,"")</f>
        <v>66</v>
      </c>
      <c r="E74" s="16" t="n">
        <f aca="false">IF(AND(Eingabe!$F$9&gt;0,Eingabe!$E$9&gt;=66),IF((Eingabe!$G$9)&lt;=9,1000+(Eingabe!$G$9)*100,3000)+66,"")</f>
        <v>1166</v>
      </c>
      <c r="F74" s="16" t="str">
        <f aca="false">IF(AND(Eingabe!$F$9&gt;0,Eingabe!$E$9&gt;=66),"10."&amp;Eingabe!$D$9&amp;".66.0/24","")</f>
        <v>10.1.66.0/24</v>
      </c>
      <c r="G74" s="16" t="str">
        <f aca="false">IF(AND(Eingabe!$F$9&gt;0,Eingabe!$E$9&gt;=66),"10."&amp;Eingabe!$D$9&amp;".66.1","")</f>
        <v>10.1.66.1</v>
      </c>
      <c r="H74" s="16" t="str">
        <f aca="false">IF(AND(Eingabe!$F$9&gt;0,Eingabe!$E$9&gt;=66),"10."&amp;Eingabe!$D$9&amp;".66.10 – 10."&amp;Eingabe!$D$9&amp;".66.250","")</f>
        <v>10.1.66.10 – 10.1.66.250</v>
      </c>
      <c r="I74" s="16" t="str">
        <f aca="false">IF(AND(Eingabe!$F$9&gt;0,Eingabe!$E$9&gt;=66),Eingabe!$B$6&amp;"-"&amp;Eingabe!$C$9&amp;"-Pächter","")</f>
        <v>SparteNet.de-BW-Pächter</v>
      </c>
      <c r="J74" s="16" t="str">
        <f aca="false">IF(AND(Eingabe!$F$9&gt;0,Eingabe!$E$9&gt;=66),"PPSK: Passwort Parzelle 66","")</f>
        <v>PPSK: Passwort Parzelle 66</v>
      </c>
      <c r="K74" s="16" t="str">
        <f aca="false">IF(AND(Eingabe!$F$9&gt;0,Eingabe!$E$9&gt;=66),"1. Gerät: 10."&amp;Eingabe!$D$9&amp;".66.10, 2. Gerät: .11","")</f>
        <v>1. Gerät: 10.1.66.10, 2. Gerät: .11</v>
      </c>
    </row>
    <row r="75" customFormat="false" ht="15" hidden="false" customHeight="false" outlineLevel="0" collapsed="false">
      <c r="A75" s="16" t="n">
        <f aca="false">IF(AND(Eingabe!$F$9&gt;0,Eingabe!$E$9&gt;=67),1,"")</f>
        <v>1</v>
      </c>
      <c r="B75" s="16" t="str">
        <f aca="false">IF(AND(Eingabe!$F$9&gt;0,Eingabe!$E$9&gt;=67),Eingabe!$B$9,"")</f>
        <v>KGS Buchenweg e.V.</v>
      </c>
      <c r="C75" s="16" t="str">
        <f aca="false">IF(AND(Eingabe!$F$9&gt;0,Eingabe!$E$9&gt;=67),Eingabe!$C$9&amp;"-Paz."&amp;TEXT(67,"000"),"")</f>
        <v>BW-Paz.067</v>
      </c>
      <c r="D75" s="16" t="n">
        <f aca="false">IF(AND(Eingabe!$F$9&gt;0,Eingabe!$E$9&gt;=67),67,"")</f>
        <v>67</v>
      </c>
      <c r="E75" s="16" t="n">
        <f aca="false">IF(AND(Eingabe!$F$9&gt;0,Eingabe!$E$9&gt;=67),IF((Eingabe!$G$9)&lt;=9,1000+(Eingabe!$G$9)*100,3000)+67,"")</f>
        <v>1167</v>
      </c>
      <c r="F75" s="16" t="str">
        <f aca="false">IF(AND(Eingabe!$F$9&gt;0,Eingabe!$E$9&gt;=67),"10."&amp;Eingabe!$D$9&amp;".67.0/24","")</f>
        <v>10.1.67.0/24</v>
      </c>
      <c r="G75" s="16" t="str">
        <f aca="false">IF(AND(Eingabe!$F$9&gt;0,Eingabe!$E$9&gt;=67),"10."&amp;Eingabe!$D$9&amp;".67.1","")</f>
        <v>10.1.67.1</v>
      </c>
      <c r="H75" s="16" t="str">
        <f aca="false">IF(AND(Eingabe!$F$9&gt;0,Eingabe!$E$9&gt;=67),"10."&amp;Eingabe!$D$9&amp;".67.10 – 10."&amp;Eingabe!$D$9&amp;".67.250","")</f>
        <v>10.1.67.10 – 10.1.67.250</v>
      </c>
      <c r="I75" s="16" t="str">
        <f aca="false">IF(AND(Eingabe!$F$9&gt;0,Eingabe!$E$9&gt;=67),Eingabe!$B$6&amp;"-"&amp;Eingabe!$C$9&amp;"-Pächter","")</f>
        <v>SparteNet.de-BW-Pächter</v>
      </c>
      <c r="J75" s="16" t="str">
        <f aca="false">IF(AND(Eingabe!$F$9&gt;0,Eingabe!$E$9&gt;=67),"PPSK: Passwort Parzelle 67","")</f>
        <v>PPSK: Passwort Parzelle 67</v>
      </c>
      <c r="K75" s="16" t="str">
        <f aca="false">IF(AND(Eingabe!$F$9&gt;0,Eingabe!$E$9&gt;=67),"1. Gerät: 10."&amp;Eingabe!$D$9&amp;".67.10, 2. Gerät: .11","")</f>
        <v>1. Gerät: 10.1.67.10, 2. Gerät: .11</v>
      </c>
    </row>
    <row r="76" customFormat="false" ht="15" hidden="false" customHeight="false" outlineLevel="0" collapsed="false">
      <c r="A76" s="16" t="n">
        <f aca="false">IF(AND(Eingabe!$F$9&gt;0,Eingabe!$E$9&gt;=68),1,"")</f>
        <v>1</v>
      </c>
      <c r="B76" s="16" t="str">
        <f aca="false">IF(AND(Eingabe!$F$9&gt;0,Eingabe!$E$9&gt;=68),Eingabe!$B$9,"")</f>
        <v>KGS Buchenweg e.V.</v>
      </c>
      <c r="C76" s="16" t="str">
        <f aca="false">IF(AND(Eingabe!$F$9&gt;0,Eingabe!$E$9&gt;=68),Eingabe!$C$9&amp;"-Paz."&amp;TEXT(68,"000"),"")</f>
        <v>BW-Paz.068</v>
      </c>
      <c r="D76" s="16" t="n">
        <f aca="false">IF(AND(Eingabe!$F$9&gt;0,Eingabe!$E$9&gt;=68),68,"")</f>
        <v>68</v>
      </c>
      <c r="E76" s="16" t="n">
        <f aca="false">IF(AND(Eingabe!$F$9&gt;0,Eingabe!$E$9&gt;=68),IF((Eingabe!$G$9)&lt;=9,1000+(Eingabe!$G$9)*100,3000)+68,"")</f>
        <v>1168</v>
      </c>
      <c r="F76" s="16" t="str">
        <f aca="false">IF(AND(Eingabe!$F$9&gt;0,Eingabe!$E$9&gt;=68),"10."&amp;Eingabe!$D$9&amp;".68.0/24","")</f>
        <v>10.1.68.0/24</v>
      </c>
      <c r="G76" s="16" t="str">
        <f aca="false">IF(AND(Eingabe!$F$9&gt;0,Eingabe!$E$9&gt;=68),"10."&amp;Eingabe!$D$9&amp;".68.1","")</f>
        <v>10.1.68.1</v>
      </c>
      <c r="H76" s="16" t="str">
        <f aca="false">IF(AND(Eingabe!$F$9&gt;0,Eingabe!$E$9&gt;=68),"10."&amp;Eingabe!$D$9&amp;".68.10 – 10."&amp;Eingabe!$D$9&amp;".68.250","")</f>
        <v>10.1.68.10 – 10.1.68.250</v>
      </c>
      <c r="I76" s="16" t="str">
        <f aca="false">IF(AND(Eingabe!$F$9&gt;0,Eingabe!$E$9&gt;=68),Eingabe!$B$6&amp;"-"&amp;Eingabe!$C$9&amp;"-Pächter","")</f>
        <v>SparteNet.de-BW-Pächter</v>
      </c>
      <c r="J76" s="16" t="str">
        <f aca="false">IF(AND(Eingabe!$F$9&gt;0,Eingabe!$E$9&gt;=68),"PPSK: Passwort Parzelle 68","")</f>
        <v>PPSK: Passwort Parzelle 68</v>
      </c>
      <c r="K76" s="16" t="str">
        <f aca="false">IF(AND(Eingabe!$F$9&gt;0,Eingabe!$E$9&gt;=68),"1. Gerät: 10."&amp;Eingabe!$D$9&amp;".68.10, 2. Gerät: .11","")</f>
        <v>1. Gerät: 10.1.68.10, 2. Gerät: .11</v>
      </c>
    </row>
    <row r="77" customFormat="false" ht="15" hidden="false" customHeight="false" outlineLevel="0" collapsed="false">
      <c r="A77" s="16" t="n">
        <f aca="false">IF(AND(Eingabe!$F$9&gt;0,Eingabe!$E$9&gt;=69),1,"")</f>
        <v>1</v>
      </c>
      <c r="B77" s="16" t="str">
        <f aca="false">IF(AND(Eingabe!$F$9&gt;0,Eingabe!$E$9&gt;=69),Eingabe!$B$9,"")</f>
        <v>KGS Buchenweg e.V.</v>
      </c>
      <c r="C77" s="16" t="str">
        <f aca="false">IF(AND(Eingabe!$F$9&gt;0,Eingabe!$E$9&gt;=69),Eingabe!$C$9&amp;"-Paz."&amp;TEXT(69,"000"),"")</f>
        <v>BW-Paz.069</v>
      </c>
      <c r="D77" s="16" t="n">
        <f aca="false">IF(AND(Eingabe!$F$9&gt;0,Eingabe!$E$9&gt;=69),69,"")</f>
        <v>69</v>
      </c>
      <c r="E77" s="16" t="n">
        <f aca="false">IF(AND(Eingabe!$F$9&gt;0,Eingabe!$E$9&gt;=69),IF((Eingabe!$G$9)&lt;=9,1000+(Eingabe!$G$9)*100,3000)+69,"")</f>
        <v>1169</v>
      </c>
      <c r="F77" s="16" t="str">
        <f aca="false">IF(AND(Eingabe!$F$9&gt;0,Eingabe!$E$9&gt;=69),"10."&amp;Eingabe!$D$9&amp;".69.0/24","")</f>
        <v>10.1.69.0/24</v>
      </c>
      <c r="G77" s="16" t="str">
        <f aca="false">IF(AND(Eingabe!$F$9&gt;0,Eingabe!$E$9&gt;=69),"10."&amp;Eingabe!$D$9&amp;".69.1","")</f>
        <v>10.1.69.1</v>
      </c>
      <c r="H77" s="16" t="str">
        <f aca="false">IF(AND(Eingabe!$F$9&gt;0,Eingabe!$E$9&gt;=69),"10."&amp;Eingabe!$D$9&amp;".69.10 – 10."&amp;Eingabe!$D$9&amp;".69.250","")</f>
        <v>10.1.69.10 – 10.1.69.250</v>
      </c>
      <c r="I77" s="16" t="str">
        <f aca="false">IF(AND(Eingabe!$F$9&gt;0,Eingabe!$E$9&gt;=69),Eingabe!$B$6&amp;"-"&amp;Eingabe!$C$9&amp;"-Pächter","")</f>
        <v>SparteNet.de-BW-Pächter</v>
      </c>
      <c r="J77" s="16" t="str">
        <f aca="false">IF(AND(Eingabe!$F$9&gt;0,Eingabe!$E$9&gt;=69),"PPSK: Passwort Parzelle 69","")</f>
        <v>PPSK: Passwort Parzelle 69</v>
      </c>
      <c r="K77" s="16" t="str">
        <f aca="false">IF(AND(Eingabe!$F$9&gt;0,Eingabe!$E$9&gt;=69),"1. Gerät: 10."&amp;Eingabe!$D$9&amp;".69.10, 2. Gerät: .11","")</f>
        <v>1. Gerät: 10.1.69.10, 2. Gerät: .11</v>
      </c>
    </row>
    <row r="78" customFormat="false" ht="15" hidden="false" customHeight="false" outlineLevel="0" collapsed="false">
      <c r="A78" s="16" t="n">
        <f aca="false">IF(AND(Eingabe!$F$9&gt;0,Eingabe!$E$9&gt;=70),1,"")</f>
        <v>1</v>
      </c>
      <c r="B78" s="16" t="str">
        <f aca="false">IF(AND(Eingabe!$F$9&gt;0,Eingabe!$E$9&gt;=70),Eingabe!$B$9,"")</f>
        <v>KGS Buchenweg e.V.</v>
      </c>
      <c r="C78" s="16" t="str">
        <f aca="false">IF(AND(Eingabe!$F$9&gt;0,Eingabe!$E$9&gt;=70),Eingabe!$C$9&amp;"-Paz."&amp;TEXT(70,"000"),"")</f>
        <v>BW-Paz.070</v>
      </c>
      <c r="D78" s="16" t="n">
        <f aca="false">IF(AND(Eingabe!$F$9&gt;0,Eingabe!$E$9&gt;=70),70,"")</f>
        <v>70</v>
      </c>
      <c r="E78" s="16" t="n">
        <f aca="false">IF(AND(Eingabe!$F$9&gt;0,Eingabe!$E$9&gt;=70),IF((Eingabe!$G$9)&lt;=9,1000+(Eingabe!$G$9)*100,3000)+70,"")</f>
        <v>1170</v>
      </c>
      <c r="F78" s="16" t="str">
        <f aca="false">IF(AND(Eingabe!$F$9&gt;0,Eingabe!$E$9&gt;=70),"10."&amp;Eingabe!$D$9&amp;".70.0/24","")</f>
        <v>10.1.70.0/24</v>
      </c>
      <c r="G78" s="16" t="str">
        <f aca="false">IF(AND(Eingabe!$F$9&gt;0,Eingabe!$E$9&gt;=70),"10."&amp;Eingabe!$D$9&amp;".70.1","")</f>
        <v>10.1.70.1</v>
      </c>
      <c r="H78" s="16" t="str">
        <f aca="false">IF(AND(Eingabe!$F$9&gt;0,Eingabe!$E$9&gt;=70),"10."&amp;Eingabe!$D$9&amp;".70.10 – 10."&amp;Eingabe!$D$9&amp;".70.250","")</f>
        <v>10.1.70.10 – 10.1.70.250</v>
      </c>
      <c r="I78" s="16" t="str">
        <f aca="false">IF(AND(Eingabe!$F$9&gt;0,Eingabe!$E$9&gt;=70),Eingabe!$B$6&amp;"-"&amp;Eingabe!$C$9&amp;"-Pächter","")</f>
        <v>SparteNet.de-BW-Pächter</v>
      </c>
      <c r="J78" s="16" t="str">
        <f aca="false">IF(AND(Eingabe!$F$9&gt;0,Eingabe!$E$9&gt;=70),"PPSK: Passwort Parzelle 70","")</f>
        <v>PPSK: Passwort Parzelle 70</v>
      </c>
      <c r="K78" s="16" t="str">
        <f aca="false">IF(AND(Eingabe!$F$9&gt;0,Eingabe!$E$9&gt;=70),"1. Gerät: 10."&amp;Eingabe!$D$9&amp;".70.10, 2. Gerät: .11","")</f>
        <v>1. Gerät: 10.1.70.10, 2. Gerät: .11</v>
      </c>
    </row>
    <row r="79" customFormat="false" ht="15" hidden="false" customHeight="false" outlineLevel="0" collapsed="false">
      <c r="A79" s="16" t="n">
        <f aca="false">IF(AND(Eingabe!$F$9&gt;0,Eingabe!$E$9&gt;=71),1,"")</f>
        <v>1</v>
      </c>
      <c r="B79" s="16" t="str">
        <f aca="false">IF(AND(Eingabe!$F$9&gt;0,Eingabe!$E$9&gt;=71),Eingabe!$B$9,"")</f>
        <v>KGS Buchenweg e.V.</v>
      </c>
      <c r="C79" s="16" t="str">
        <f aca="false">IF(AND(Eingabe!$F$9&gt;0,Eingabe!$E$9&gt;=71),Eingabe!$C$9&amp;"-Paz."&amp;TEXT(71,"000"),"")</f>
        <v>BW-Paz.071</v>
      </c>
      <c r="D79" s="16" t="n">
        <f aca="false">IF(AND(Eingabe!$F$9&gt;0,Eingabe!$E$9&gt;=71),71,"")</f>
        <v>71</v>
      </c>
      <c r="E79" s="16" t="n">
        <f aca="false">IF(AND(Eingabe!$F$9&gt;0,Eingabe!$E$9&gt;=71),IF((Eingabe!$G$9)&lt;=9,1000+(Eingabe!$G$9)*100,3000)+71,"")</f>
        <v>1171</v>
      </c>
      <c r="F79" s="16" t="str">
        <f aca="false">IF(AND(Eingabe!$F$9&gt;0,Eingabe!$E$9&gt;=71),"10."&amp;Eingabe!$D$9&amp;".71.0/24","")</f>
        <v>10.1.71.0/24</v>
      </c>
      <c r="G79" s="16" t="str">
        <f aca="false">IF(AND(Eingabe!$F$9&gt;0,Eingabe!$E$9&gt;=71),"10."&amp;Eingabe!$D$9&amp;".71.1","")</f>
        <v>10.1.71.1</v>
      </c>
      <c r="H79" s="16" t="str">
        <f aca="false">IF(AND(Eingabe!$F$9&gt;0,Eingabe!$E$9&gt;=71),"10."&amp;Eingabe!$D$9&amp;".71.10 – 10."&amp;Eingabe!$D$9&amp;".71.250","")</f>
        <v>10.1.71.10 – 10.1.71.250</v>
      </c>
      <c r="I79" s="16" t="str">
        <f aca="false">IF(AND(Eingabe!$F$9&gt;0,Eingabe!$E$9&gt;=71),Eingabe!$B$6&amp;"-"&amp;Eingabe!$C$9&amp;"-Pächter","")</f>
        <v>SparteNet.de-BW-Pächter</v>
      </c>
      <c r="J79" s="16" t="str">
        <f aca="false">IF(AND(Eingabe!$F$9&gt;0,Eingabe!$E$9&gt;=71),"PPSK: Passwort Parzelle 71","")</f>
        <v>PPSK: Passwort Parzelle 71</v>
      </c>
      <c r="K79" s="16" t="str">
        <f aca="false">IF(AND(Eingabe!$F$9&gt;0,Eingabe!$E$9&gt;=71),"1. Gerät: 10."&amp;Eingabe!$D$9&amp;".71.10, 2. Gerät: .11","")</f>
        <v>1. Gerät: 10.1.71.10, 2. Gerät: .11</v>
      </c>
    </row>
    <row r="80" customFormat="false" ht="15" hidden="false" customHeight="false" outlineLevel="0" collapsed="false">
      <c r="A80" s="16" t="n">
        <f aca="false">IF(AND(Eingabe!$F$9&gt;0,Eingabe!$E$9&gt;=72),1,"")</f>
        <v>1</v>
      </c>
      <c r="B80" s="16" t="str">
        <f aca="false">IF(AND(Eingabe!$F$9&gt;0,Eingabe!$E$9&gt;=72),Eingabe!$B$9,"")</f>
        <v>KGS Buchenweg e.V.</v>
      </c>
      <c r="C80" s="16" t="str">
        <f aca="false">IF(AND(Eingabe!$F$9&gt;0,Eingabe!$E$9&gt;=72),Eingabe!$C$9&amp;"-Paz."&amp;TEXT(72,"000"),"")</f>
        <v>BW-Paz.072</v>
      </c>
      <c r="D80" s="16" t="n">
        <f aca="false">IF(AND(Eingabe!$F$9&gt;0,Eingabe!$E$9&gt;=72),72,"")</f>
        <v>72</v>
      </c>
      <c r="E80" s="16" t="n">
        <f aca="false">IF(AND(Eingabe!$F$9&gt;0,Eingabe!$E$9&gt;=72),IF((Eingabe!$G$9)&lt;=9,1000+(Eingabe!$G$9)*100,3000)+72,"")</f>
        <v>1172</v>
      </c>
      <c r="F80" s="16" t="str">
        <f aca="false">IF(AND(Eingabe!$F$9&gt;0,Eingabe!$E$9&gt;=72),"10."&amp;Eingabe!$D$9&amp;".72.0/24","")</f>
        <v>10.1.72.0/24</v>
      </c>
      <c r="G80" s="16" t="str">
        <f aca="false">IF(AND(Eingabe!$F$9&gt;0,Eingabe!$E$9&gt;=72),"10."&amp;Eingabe!$D$9&amp;".72.1","")</f>
        <v>10.1.72.1</v>
      </c>
      <c r="H80" s="16" t="str">
        <f aca="false">IF(AND(Eingabe!$F$9&gt;0,Eingabe!$E$9&gt;=72),"10."&amp;Eingabe!$D$9&amp;".72.10 – 10."&amp;Eingabe!$D$9&amp;".72.250","")</f>
        <v>10.1.72.10 – 10.1.72.250</v>
      </c>
      <c r="I80" s="16" t="str">
        <f aca="false">IF(AND(Eingabe!$F$9&gt;0,Eingabe!$E$9&gt;=72),Eingabe!$B$6&amp;"-"&amp;Eingabe!$C$9&amp;"-Pächter","")</f>
        <v>SparteNet.de-BW-Pächter</v>
      </c>
      <c r="J80" s="16" t="str">
        <f aca="false">IF(AND(Eingabe!$F$9&gt;0,Eingabe!$E$9&gt;=72),"PPSK: Passwort Parzelle 72","")</f>
        <v>PPSK: Passwort Parzelle 72</v>
      </c>
      <c r="K80" s="16" t="str">
        <f aca="false">IF(AND(Eingabe!$F$9&gt;0,Eingabe!$E$9&gt;=72),"1. Gerät: 10."&amp;Eingabe!$D$9&amp;".72.10, 2. Gerät: .11","")</f>
        <v>1. Gerät: 10.1.72.10, 2. Gerät: .11</v>
      </c>
    </row>
    <row r="81" customFormat="false" ht="15" hidden="false" customHeight="false" outlineLevel="0" collapsed="false">
      <c r="A81" s="16" t="n">
        <f aca="false">IF(AND(Eingabe!$F$9&gt;0,Eingabe!$E$9&gt;=73),1,"")</f>
        <v>1</v>
      </c>
      <c r="B81" s="16" t="str">
        <f aca="false">IF(AND(Eingabe!$F$9&gt;0,Eingabe!$E$9&gt;=73),Eingabe!$B$9,"")</f>
        <v>KGS Buchenweg e.V.</v>
      </c>
      <c r="C81" s="16" t="str">
        <f aca="false">IF(AND(Eingabe!$F$9&gt;0,Eingabe!$E$9&gt;=73),Eingabe!$C$9&amp;"-Paz."&amp;TEXT(73,"000"),"")</f>
        <v>BW-Paz.073</v>
      </c>
      <c r="D81" s="16" t="n">
        <f aca="false">IF(AND(Eingabe!$F$9&gt;0,Eingabe!$E$9&gt;=73),73,"")</f>
        <v>73</v>
      </c>
      <c r="E81" s="16" t="n">
        <f aca="false">IF(AND(Eingabe!$F$9&gt;0,Eingabe!$E$9&gt;=73),IF((Eingabe!$G$9)&lt;=9,1000+(Eingabe!$G$9)*100,3000)+73,"")</f>
        <v>1173</v>
      </c>
      <c r="F81" s="16" t="str">
        <f aca="false">IF(AND(Eingabe!$F$9&gt;0,Eingabe!$E$9&gt;=73),"10."&amp;Eingabe!$D$9&amp;".73.0/24","")</f>
        <v>10.1.73.0/24</v>
      </c>
      <c r="G81" s="16" t="str">
        <f aca="false">IF(AND(Eingabe!$F$9&gt;0,Eingabe!$E$9&gt;=73),"10."&amp;Eingabe!$D$9&amp;".73.1","")</f>
        <v>10.1.73.1</v>
      </c>
      <c r="H81" s="16" t="str">
        <f aca="false">IF(AND(Eingabe!$F$9&gt;0,Eingabe!$E$9&gt;=73),"10."&amp;Eingabe!$D$9&amp;".73.10 – 10."&amp;Eingabe!$D$9&amp;".73.250","")</f>
        <v>10.1.73.10 – 10.1.73.250</v>
      </c>
      <c r="I81" s="16" t="str">
        <f aca="false">IF(AND(Eingabe!$F$9&gt;0,Eingabe!$E$9&gt;=73),Eingabe!$B$6&amp;"-"&amp;Eingabe!$C$9&amp;"-Pächter","")</f>
        <v>SparteNet.de-BW-Pächter</v>
      </c>
      <c r="J81" s="16" t="str">
        <f aca="false">IF(AND(Eingabe!$F$9&gt;0,Eingabe!$E$9&gt;=73),"PPSK: Passwort Parzelle 73","")</f>
        <v>PPSK: Passwort Parzelle 73</v>
      </c>
      <c r="K81" s="16" t="str">
        <f aca="false">IF(AND(Eingabe!$F$9&gt;0,Eingabe!$E$9&gt;=73),"1. Gerät: 10."&amp;Eingabe!$D$9&amp;".73.10, 2. Gerät: .11","")</f>
        <v>1. Gerät: 10.1.73.10, 2. Gerät: .11</v>
      </c>
    </row>
    <row r="82" customFormat="false" ht="15" hidden="false" customHeight="false" outlineLevel="0" collapsed="false">
      <c r="A82" s="16" t="n">
        <f aca="false">IF(AND(Eingabe!$F$9&gt;0,Eingabe!$E$9&gt;=74),1,"")</f>
        <v>1</v>
      </c>
      <c r="B82" s="16" t="str">
        <f aca="false">IF(AND(Eingabe!$F$9&gt;0,Eingabe!$E$9&gt;=74),Eingabe!$B$9,"")</f>
        <v>KGS Buchenweg e.V.</v>
      </c>
      <c r="C82" s="16" t="str">
        <f aca="false">IF(AND(Eingabe!$F$9&gt;0,Eingabe!$E$9&gt;=74),Eingabe!$C$9&amp;"-Paz."&amp;TEXT(74,"000"),"")</f>
        <v>BW-Paz.074</v>
      </c>
      <c r="D82" s="16" t="n">
        <f aca="false">IF(AND(Eingabe!$F$9&gt;0,Eingabe!$E$9&gt;=74),74,"")</f>
        <v>74</v>
      </c>
      <c r="E82" s="16" t="n">
        <f aca="false">IF(AND(Eingabe!$F$9&gt;0,Eingabe!$E$9&gt;=74),IF((Eingabe!$G$9)&lt;=9,1000+(Eingabe!$G$9)*100,3000)+74,"")</f>
        <v>1174</v>
      </c>
      <c r="F82" s="16" t="str">
        <f aca="false">IF(AND(Eingabe!$F$9&gt;0,Eingabe!$E$9&gt;=74),"10."&amp;Eingabe!$D$9&amp;".74.0/24","")</f>
        <v>10.1.74.0/24</v>
      </c>
      <c r="G82" s="16" t="str">
        <f aca="false">IF(AND(Eingabe!$F$9&gt;0,Eingabe!$E$9&gt;=74),"10."&amp;Eingabe!$D$9&amp;".74.1","")</f>
        <v>10.1.74.1</v>
      </c>
      <c r="H82" s="16" t="str">
        <f aca="false">IF(AND(Eingabe!$F$9&gt;0,Eingabe!$E$9&gt;=74),"10."&amp;Eingabe!$D$9&amp;".74.10 – 10."&amp;Eingabe!$D$9&amp;".74.250","")</f>
        <v>10.1.74.10 – 10.1.74.250</v>
      </c>
      <c r="I82" s="16" t="str">
        <f aca="false">IF(AND(Eingabe!$F$9&gt;0,Eingabe!$E$9&gt;=74),Eingabe!$B$6&amp;"-"&amp;Eingabe!$C$9&amp;"-Pächter","")</f>
        <v>SparteNet.de-BW-Pächter</v>
      </c>
      <c r="J82" s="16" t="str">
        <f aca="false">IF(AND(Eingabe!$F$9&gt;0,Eingabe!$E$9&gt;=74),"PPSK: Passwort Parzelle 74","")</f>
        <v>PPSK: Passwort Parzelle 74</v>
      </c>
      <c r="K82" s="16" t="str">
        <f aca="false">IF(AND(Eingabe!$F$9&gt;0,Eingabe!$E$9&gt;=74),"1. Gerät: 10."&amp;Eingabe!$D$9&amp;".74.10, 2. Gerät: .11","")</f>
        <v>1. Gerät: 10.1.74.10, 2. Gerät: .11</v>
      </c>
    </row>
    <row r="83" customFormat="false" ht="15" hidden="false" customHeight="false" outlineLevel="0" collapsed="false">
      <c r="A83" s="16" t="n">
        <f aca="false">IF(AND(Eingabe!$F$9&gt;0,Eingabe!$E$9&gt;=75),1,"")</f>
        <v>1</v>
      </c>
      <c r="B83" s="16" t="str">
        <f aca="false">IF(AND(Eingabe!$F$9&gt;0,Eingabe!$E$9&gt;=75),Eingabe!$B$9,"")</f>
        <v>KGS Buchenweg e.V.</v>
      </c>
      <c r="C83" s="16" t="str">
        <f aca="false">IF(AND(Eingabe!$F$9&gt;0,Eingabe!$E$9&gt;=75),Eingabe!$C$9&amp;"-Paz."&amp;TEXT(75,"000"),"")</f>
        <v>BW-Paz.075</v>
      </c>
      <c r="D83" s="16" t="n">
        <f aca="false">IF(AND(Eingabe!$F$9&gt;0,Eingabe!$E$9&gt;=75),75,"")</f>
        <v>75</v>
      </c>
      <c r="E83" s="16" t="n">
        <f aca="false">IF(AND(Eingabe!$F$9&gt;0,Eingabe!$E$9&gt;=75),IF((Eingabe!$G$9)&lt;=9,1000+(Eingabe!$G$9)*100,3000)+75,"")</f>
        <v>1175</v>
      </c>
      <c r="F83" s="16" t="str">
        <f aca="false">IF(AND(Eingabe!$F$9&gt;0,Eingabe!$E$9&gt;=75),"10."&amp;Eingabe!$D$9&amp;".75.0/24","")</f>
        <v>10.1.75.0/24</v>
      </c>
      <c r="G83" s="16" t="str">
        <f aca="false">IF(AND(Eingabe!$F$9&gt;0,Eingabe!$E$9&gt;=75),"10."&amp;Eingabe!$D$9&amp;".75.1","")</f>
        <v>10.1.75.1</v>
      </c>
      <c r="H83" s="16" t="str">
        <f aca="false">IF(AND(Eingabe!$F$9&gt;0,Eingabe!$E$9&gt;=75),"10."&amp;Eingabe!$D$9&amp;".75.10 – 10."&amp;Eingabe!$D$9&amp;".75.250","")</f>
        <v>10.1.75.10 – 10.1.75.250</v>
      </c>
      <c r="I83" s="16" t="str">
        <f aca="false">IF(AND(Eingabe!$F$9&gt;0,Eingabe!$E$9&gt;=75),Eingabe!$B$6&amp;"-"&amp;Eingabe!$C$9&amp;"-Pächter","")</f>
        <v>SparteNet.de-BW-Pächter</v>
      </c>
      <c r="J83" s="16" t="str">
        <f aca="false">IF(AND(Eingabe!$F$9&gt;0,Eingabe!$E$9&gt;=75),"PPSK: Passwort Parzelle 75","")</f>
        <v>PPSK: Passwort Parzelle 75</v>
      </c>
      <c r="K83" s="16" t="str">
        <f aca="false">IF(AND(Eingabe!$F$9&gt;0,Eingabe!$E$9&gt;=75),"1. Gerät: 10."&amp;Eingabe!$D$9&amp;".75.10, 2. Gerät: .11","")</f>
        <v>1. Gerät: 10.1.75.10, 2. Gerät: .11</v>
      </c>
    </row>
    <row r="84" customFormat="false" ht="15" hidden="false" customHeight="false" outlineLevel="0" collapsed="false">
      <c r="A84" s="16" t="n">
        <f aca="false">IF(AND(Eingabe!$F$9&gt;0,Eingabe!$E$9&gt;=76),1,"")</f>
        <v>1</v>
      </c>
      <c r="B84" s="16" t="str">
        <f aca="false">IF(AND(Eingabe!$F$9&gt;0,Eingabe!$E$9&gt;=76),Eingabe!$B$9,"")</f>
        <v>KGS Buchenweg e.V.</v>
      </c>
      <c r="C84" s="16" t="str">
        <f aca="false">IF(AND(Eingabe!$F$9&gt;0,Eingabe!$E$9&gt;=76),Eingabe!$C$9&amp;"-Paz."&amp;TEXT(76,"000"),"")</f>
        <v>BW-Paz.076</v>
      </c>
      <c r="D84" s="16" t="n">
        <f aca="false">IF(AND(Eingabe!$F$9&gt;0,Eingabe!$E$9&gt;=76),76,"")</f>
        <v>76</v>
      </c>
      <c r="E84" s="16" t="n">
        <f aca="false">IF(AND(Eingabe!$F$9&gt;0,Eingabe!$E$9&gt;=76),IF((Eingabe!$G$9)&lt;=9,1000+(Eingabe!$G$9)*100,3000)+76,"")</f>
        <v>1176</v>
      </c>
      <c r="F84" s="16" t="str">
        <f aca="false">IF(AND(Eingabe!$F$9&gt;0,Eingabe!$E$9&gt;=76),"10."&amp;Eingabe!$D$9&amp;".76.0/24","")</f>
        <v>10.1.76.0/24</v>
      </c>
      <c r="G84" s="16" t="str">
        <f aca="false">IF(AND(Eingabe!$F$9&gt;0,Eingabe!$E$9&gt;=76),"10."&amp;Eingabe!$D$9&amp;".76.1","")</f>
        <v>10.1.76.1</v>
      </c>
      <c r="H84" s="16" t="str">
        <f aca="false">IF(AND(Eingabe!$F$9&gt;0,Eingabe!$E$9&gt;=76),"10."&amp;Eingabe!$D$9&amp;".76.10 – 10."&amp;Eingabe!$D$9&amp;".76.250","")</f>
        <v>10.1.76.10 – 10.1.76.250</v>
      </c>
      <c r="I84" s="16" t="str">
        <f aca="false">IF(AND(Eingabe!$F$9&gt;0,Eingabe!$E$9&gt;=76),Eingabe!$B$6&amp;"-"&amp;Eingabe!$C$9&amp;"-Pächter","")</f>
        <v>SparteNet.de-BW-Pächter</v>
      </c>
      <c r="J84" s="16" t="str">
        <f aca="false">IF(AND(Eingabe!$F$9&gt;0,Eingabe!$E$9&gt;=76),"PPSK: Passwort Parzelle 76","")</f>
        <v>PPSK: Passwort Parzelle 76</v>
      </c>
      <c r="K84" s="16" t="str">
        <f aca="false">IF(AND(Eingabe!$F$9&gt;0,Eingabe!$E$9&gt;=76),"1. Gerät: 10."&amp;Eingabe!$D$9&amp;".76.10, 2. Gerät: .11","")</f>
        <v>1. Gerät: 10.1.76.10, 2. Gerät: .11</v>
      </c>
    </row>
    <row r="85" customFormat="false" ht="15" hidden="false" customHeight="false" outlineLevel="0" collapsed="false">
      <c r="A85" s="16" t="n">
        <f aca="false">IF(AND(Eingabe!$F$9&gt;0,Eingabe!$E$9&gt;=77),1,"")</f>
        <v>1</v>
      </c>
      <c r="B85" s="16" t="str">
        <f aca="false">IF(AND(Eingabe!$F$9&gt;0,Eingabe!$E$9&gt;=77),Eingabe!$B$9,"")</f>
        <v>KGS Buchenweg e.V.</v>
      </c>
      <c r="C85" s="16" t="str">
        <f aca="false">IF(AND(Eingabe!$F$9&gt;0,Eingabe!$E$9&gt;=77),Eingabe!$C$9&amp;"-Paz."&amp;TEXT(77,"000"),"")</f>
        <v>BW-Paz.077</v>
      </c>
      <c r="D85" s="16" t="n">
        <f aca="false">IF(AND(Eingabe!$F$9&gt;0,Eingabe!$E$9&gt;=77),77,"")</f>
        <v>77</v>
      </c>
      <c r="E85" s="16" t="n">
        <f aca="false">IF(AND(Eingabe!$F$9&gt;0,Eingabe!$E$9&gt;=77),IF((Eingabe!$G$9)&lt;=9,1000+(Eingabe!$G$9)*100,3000)+77,"")</f>
        <v>1177</v>
      </c>
      <c r="F85" s="16" t="str">
        <f aca="false">IF(AND(Eingabe!$F$9&gt;0,Eingabe!$E$9&gt;=77),"10."&amp;Eingabe!$D$9&amp;".77.0/24","")</f>
        <v>10.1.77.0/24</v>
      </c>
      <c r="G85" s="16" t="str">
        <f aca="false">IF(AND(Eingabe!$F$9&gt;0,Eingabe!$E$9&gt;=77),"10."&amp;Eingabe!$D$9&amp;".77.1","")</f>
        <v>10.1.77.1</v>
      </c>
      <c r="H85" s="16" t="str">
        <f aca="false">IF(AND(Eingabe!$F$9&gt;0,Eingabe!$E$9&gt;=77),"10."&amp;Eingabe!$D$9&amp;".77.10 – 10."&amp;Eingabe!$D$9&amp;".77.250","")</f>
        <v>10.1.77.10 – 10.1.77.250</v>
      </c>
      <c r="I85" s="16" t="str">
        <f aca="false">IF(AND(Eingabe!$F$9&gt;0,Eingabe!$E$9&gt;=77),Eingabe!$B$6&amp;"-"&amp;Eingabe!$C$9&amp;"-Pächter","")</f>
        <v>SparteNet.de-BW-Pächter</v>
      </c>
      <c r="J85" s="16" t="str">
        <f aca="false">IF(AND(Eingabe!$F$9&gt;0,Eingabe!$E$9&gt;=77),"PPSK: Passwort Parzelle 77","")</f>
        <v>PPSK: Passwort Parzelle 77</v>
      </c>
      <c r="K85" s="16" t="str">
        <f aca="false">IF(AND(Eingabe!$F$9&gt;0,Eingabe!$E$9&gt;=77),"1. Gerät: 10."&amp;Eingabe!$D$9&amp;".77.10, 2. Gerät: .11","")</f>
        <v>1. Gerät: 10.1.77.10, 2. Gerät: .11</v>
      </c>
    </row>
    <row r="86" customFormat="false" ht="15" hidden="false" customHeight="false" outlineLevel="0" collapsed="false">
      <c r="A86" s="16" t="n">
        <f aca="false">IF(AND(Eingabe!$F$9&gt;0,Eingabe!$E$9&gt;=78),1,"")</f>
        <v>1</v>
      </c>
      <c r="B86" s="16" t="str">
        <f aca="false">IF(AND(Eingabe!$F$9&gt;0,Eingabe!$E$9&gt;=78),Eingabe!$B$9,"")</f>
        <v>KGS Buchenweg e.V.</v>
      </c>
      <c r="C86" s="16" t="str">
        <f aca="false">IF(AND(Eingabe!$F$9&gt;0,Eingabe!$E$9&gt;=78),Eingabe!$C$9&amp;"-Paz."&amp;TEXT(78,"000"),"")</f>
        <v>BW-Paz.078</v>
      </c>
      <c r="D86" s="16" t="n">
        <f aca="false">IF(AND(Eingabe!$F$9&gt;0,Eingabe!$E$9&gt;=78),78,"")</f>
        <v>78</v>
      </c>
      <c r="E86" s="16" t="n">
        <f aca="false">IF(AND(Eingabe!$F$9&gt;0,Eingabe!$E$9&gt;=78),IF((Eingabe!$G$9)&lt;=9,1000+(Eingabe!$G$9)*100,3000)+78,"")</f>
        <v>1178</v>
      </c>
      <c r="F86" s="16" t="str">
        <f aca="false">IF(AND(Eingabe!$F$9&gt;0,Eingabe!$E$9&gt;=78),"10."&amp;Eingabe!$D$9&amp;".78.0/24","")</f>
        <v>10.1.78.0/24</v>
      </c>
      <c r="G86" s="16" t="str">
        <f aca="false">IF(AND(Eingabe!$F$9&gt;0,Eingabe!$E$9&gt;=78),"10."&amp;Eingabe!$D$9&amp;".78.1","")</f>
        <v>10.1.78.1</v>
      </c>
      <c r="H86" s="16" t="str">
        <f aca="false">IF(AND(Eingabe!$F$9&gt;0,Eingabe!$E$9&gt;=78),"10."&amp;Eingabe!$D$9&amp;".78.10 – 10."&amp;Eingabe!$D$9&amp;".78.250","")</f>
        <v>10.1.78.10 – 10.1.78.250</v>
      </c>
      <c r="I86" s="16" t="str">
        <f aca="false">IF(AND(Eingabe!$F$9&gt;0,Eingabe!$E$9&gt;=78),Eingabe!$B$6&amp;"-"&amp;Eingabe!$C$9&amp;"-Pächter","")</f>
        <v>SparteNet.de-BW-Pächter</v>
      </c>
      <c r="J86" s="16" t="str">
        <f aca="false">IF(AND(Eingabe!$F$9&gt;0,Eingabe!$E$9&gt;=78),"PPSK: Passwort Parzelle 78","")</f>
        <v>PPSK: Passwort Parzelle 78</v>
      </c>
      <c r="K86" s="16" t="str">
        <f aca="false">IF(AND(Eingabe!$F$9&gt;0,Eingabe!$E$9&gt;=78),"1. Gerät: 10."&amp;Eingabe!$D$9&amp;".78.10, 2. Gerät: .11","")</f>
        <v>1. Gerät: 10.1.78.10, 2. Gerät: .11</v>
      </c>
    </row>
    <row r="87" customFormat="false" ht="15" hidden="false" customHeight="false" outlineLevel="0" collapsed="false">
      <c r="A87" s="16" t="n">
        <f aca="false">IF(AND(Eingabe!$F$9&gt;0,Eingabe!$E$9&gt;=79),1,"")</f>
        <v>1</v>
      </c>
      <c r="B87" s="16" t="str">
        <f aca="false">IF(AND(Eingabe!$F$9&gt;0,Eingabe!$E$9&gt;=79),Eingabe!$B$9,"")</f>
        <v>KGS Buchenweg e.V.</v>
      </c>
      <c r="C87" s="16" t="str">
        <f aca="false">IF(AND(Eingabe!$F$9&gt;0,Eingabe!$E$9&gt;=79),Eingabe!$C$9&amp;"-Paz."&amp;TEXT(79,"000"),"")</f>
        <v>BW-Paz.079</v>
      </c>
      <c r="D87" s="16" t="n">
        <f aca="false">IF(AND(Eingabe!$F$9&gt;0,Eingabe!$E$9&gt;=79),79,"")</f>
        <v>79</v>
      </c>
      <c r="E87" s="16" t="n">
        <f aca="false">IF(AND(Eingabe!$F$9&gt;0,Eingabe!$E$9&gt;=79),IF((Eingabe!$G$9)&lt;=9,1000+(Eingabe!$G$9)*100,3000)+79,"")</f>
        <v>1179</v>
      </c>
      <c r="F87" s="16" t="str">
        <f aca="false">IF(AND(Eingabe!$F$9&gt;0,Eingabe!$E$9&gt;=79),"10."&amp;Eingabe!$D$9&amp;".79.0/24","")</f>
        <v>10.1.79.0/24</v>
      </c>
      <c r="G87" s="16" t="str">
        <f aca="false">IF(AND(Eingabe!$F$9&gt;0,Eingabe!$E$9&gt;=79),"10."&amp;Eingabe!$D$9&amp;".79.1","")</f>
        <v>10.1.79.1</v>
      </c>
      <c r="H87" s="16" t="str">
        <f aca="false">IF(AND(Eingabe!$F$9&gt;0,Eingabe!$E$9&gt;=79),"10."&amp;Eingabe!$D$9&amp;".79.10 – 10."&amp;Eingabe!$D$9&amp;".79.250","")</f>
        <v>10.1.79.10 – 10.1.79.250</v>
      </c>
      <c r="I87" s="16" t="str">
        <f aca="false">IF(AND(Eingabe!$F$9&gt;0,Eingabe!$E$9&gt;=79),Eingabe!$B$6&amp;"-"&amp;Eingabe!$C$9&amp;"-Pächter","")</f>
        <v>SparteNet.de-BW-Pächter</v>
      </c>
      <c r="J87" s="16" t="str">
        <f aca="false">IF(AND(Eingabe!$F$9&gt;0,Eingabe!$E$9&gt;=79),"PPSK: Passwort Parzelle 79","")</f>
        <v>PPSK: Passwort Parzelle 79</v>
      </c>
      <c r="K87" s="16" t="str">
        <f aca="false">IF(AND(Eingabe!$F$9&gt;0,Eingabe!$E$9&gt;=79),"1. Gerät: 10."&amp;Eingabe!$D$9&amp;".79.10, 2. Gerät: .11","")</f>
        <v>1. Gerät: 10.1.79.10, 2. Gerät: .11</v>
      </c>
    </row>
    <row r="88" customFormat="false" ht="15" hidden="false" customHeight="false" outlineLevel="0" collapsed="false">
      <c r="A88" s="16" t="n">
        <f aca="false">IF(AND(Eingabe!$F$9&gt;0,Eingabe!$E$9&gt;=80),1,"")</f>
        <v>1</v>
      </c>
      <c r="B88" s="16" t="str">
        <f aca="false">IF(AND(Eingabe!$F$9&gt;0,Eingabe!$E$9&gt;=80),Eingabe!$B$9,"")</f>
        <v>KGS Buchenweg e.V.</v>
      </c>
      <c r="C88" s="16" t="str">
        <f aca="false">IF(AND(Eingabe!$F$9&gt;0,Eingabe!$E$9&gt;=80),Eingabe!$C$9&amp;"-Paz."&amp;TEXT(80,"000"),"")</f>
        <v>BW-Paz.080</v>
      </c>
      <c r="D88" s="16" t="n">
        <f aca="false">IF(AND(Eingabe!$F$9&gt;0,Eingabe!$E$9&gt;=80),80,"")</f>
        <v>80</v>
      </c>
      <c r="E88" s="16" t="n">
        <f aca="false">IF(AND(Eingabe!$F$9&gt;0,Eingabe!$E$9&gt;=80),IF((Eingabe!$G$9)&lt;=9,1000+(Eingabe!$G$9)*100,3000)+80,"")</f>
        <v>1180</v>
      </c>
      <c r="F88" s="16" t="str">
        <f aca="false">IF(AND(Eingabe!$F$9&gt;0,Eingabe!$E$9&gt;=80),"10."&amp;Eingabe!$D$9&amp;".80.0/24","")</f>
        <v>10.1.80.0/24</v>
      </c>
      <c r="G88" s="16" t="str">
        <f aca="false">IF(AND(Eingabe!$F$9&gt;0,Eingabe!$E$9&gt;=80),"10."&amp;Eingabe!$D$9&amp;".80.1","")</f>
        <v>10.1.80.1</v>
      </c>
      <c r="H88" s="16" t="str">
        <f aca="false">IF(AND(Eingabe!$F$9&gt;0,Eingabe!$E$9&gt;=80),"10."&amp;Eingabe!$D$9&amp;".80.10 – 10."&amp;Eingabe!$D$9&amp;".80.250","")</f>
        <v>10.1.80.10 – 10.1.80.250</v>
      </c>
      <c r="I88" s="16" t="str">
        <f aca="false">IF(AND(Eingabe!$F$9&gt;0,Eingabe!$E$9&gt;=80),Eingabe!$B$6&amp;"-"&amp;Eingabe!$C$9&amp;"-Pächter","")</f>
        <v>SparteNet.de-BW-Pächter</v>
      </c>
      <c r="J88" s="16" t="str">
        <f aca="false">IF(AND(Eingabe!$F$9&gt;0,Eingabe!$E$9&gt;=80),"PPSK: Passwort Parzelle 80","")</f>
        <v>PPSK: Passwort Parzelle 80</v>
      </c>
      <c r="K88" s="16" t="str">
        <f aca="false">IF(AND(Eingabe!$F$9&gt;0,Eingabe!$E$9&gt;=80),"1. Gerät: 10."&amp;Eingabe!$D$9&amp;".80.10, 2. Gerät: .11","")</f>
        <v>1. Gerät: 10.1.80.10, 2. Gerät: .11</v>
      </c>
    </row>
    <row r="89" customFormat="false" ht="15" hidden="false" customHeight="false" outlineLevel="0" collapsed="false">
      <c r="A89" s="16" t="n">
        <f aca="false">IF(AND(Eingabe!$F$9&gt;0,Eingabe!$E$9&gt;=81),1,"")</f>
        <v>1</v>
      </c>
      <c r="B89" s="16" t="str">
        <f aca="false">IF(AND(Eingabe!$F$9&gt;0,Eingabe!$E$9&gt;=81),Eingabe!$B$9,"")</f>
        <v>KGS Buchenweg e.V.</v>
      </c>
      <c r="C89" s="16" t="str">
        <f aca="false">IF(AND(Eingabe!$F$9&gt;0,Eingabe!$E$9&gt;=81),Eingabe!$C$9&amp;"-Paz."&amp;TEXT(81,"000"),"")</f>
        <v>BW-Paz.081</v>
      </c>
      <c r="D89" s="16" t="n">
        <f aca="false">IF(AND(Eingabe!$F$9&gt;0,Eingabe!$E$9&gt;=81),81,"")</f>
        <v>81</v>
      </c>
      <c r="E89" s="16" t="n">
        <f aca="false">IF(AND(Eingabe!$F$9&gt;0,Eingabe!$E$9&gt;=81),IF((Eingabe!$G$9)&lt;=9,1000+(Eingabe!$G$9)*100,3000)+81,"")</f>
        <v>1181</v>
      </c>
      <c r="F89" s="16" t="str">
        <f aca="false">IF(AND(Eingabe!$F$9&gt;0,Eingabe!$E$9&gt;=81),"10."&amp;Eingabe!$D$9&amp;".81.0/24","")</f>
        <v>10.1.81.0/24</v>
      </c>
      <c r="G89" s="16" t="str">
        <f aca="false">IF(AND(Eingabe!$F$9&gt;0,Eingabe!$E$9&gt;=81),"10."&amp;Eingabe!$D$9&amp;".81.1","")</f>
        <v>10.1.81.1</v>
      </c>
      <c r="H89" s="16" t="str">
        <f aca="false">IF(AND(Eingabe!$F$9&gt;0,Eingabe!$E$9&gt;=81),"10."&amp;Eingabe!$D$9&amp;".81.10 – 10."&amp;Eingabe!$D$9&amp;".81.250","")</f>
        <v>10.1.81.10 – 10.1.81.250</v>
      </c>
      <c r="I89" s="16" t="str">
        <f aca="false">IF(AND(Eingabe!$F$9&gt;0,Eingabe!$E$9&gt;=81),Eingabe!$B$6&amp;"-"&amp;Eingabe!$C$9&amp;"-Pächter","")</f>
        <v>SparteNet.de-BW-Pächter</v>
      </c>
      <c r="J89" s="16" t="str">
        <f aca="false">IF(AND(Eingabe!$F$9&gt;0,Eingabe!$E$9&gt;=81),"PPSK: Passwort Parzelle 81","")</f>
        <v>PPSK: Passwort Parzelle 81</v>
      </c>
      <c r="K89" s="16" t="str">
        <f aca="false">IF(AND(Eingabe!$F$9&gt;0,Eingabe!$E$9&gt;=81),"1. Gerät: 10."&amp;Eingabe!$D$9&amp;".81.10, 2. Gerät: .11","")</f>
        <v>1. Gerät: 10.1.81.10, 2. Gerät: .11</v>
      </c>
    </row>
    <row r="90" customFormat="false" ht="15" hidden="false" customHeight="false" outlineLevel="0" collapsed="false">
      <c r="A90" s="16" t="n">
        <f aca="false">IF(AND(Eingabe!$F$9&gt;0,Eingabe!$E$9&gt;=82),1,"")</f>
        <v>1</v>
      </c>
      <c r="B90" s="16" t="str">
        <f aca="false">IF(AND(Eingabe!$F$9&gt;0,Eingabe!$E$9&gt;=82),Eingabe!$B$9,"")</f>
        <v>KGS Buchenweg e.V.</v>
      </c>
      <c r="C90" s="16" t="str">
        <f aca="false">IF(AND(Eingabe!$F$9&gt;0,Eingabe!$E$9&gt;=82),Eingabe!$C$9&amp;"-Paz."&amp;TEXT(82,"000"),"")</f>
        <v>BW-Paz.082</v>
      </c>
      <c r="D90" s="16" t="n">
        <f aca="false">IF(AND(Eingabe!$F$9&gt;0,Eingabe!$E$9&gt;=82),82,"")</f>
        <v>82</v>
      </c>
      <c r="E90" s="16" t="n">
        <f aca="false">IF(AND(Eingabe!$F$9&gt;0,Eingabe!$E$9&gt;=82),IF((Eingabe!$G$9)&lt;=9,1000+(Eingabe!$G$9)*100,3000)+82,"")</f>
        <v>1182</v>
      </c>
      <c r="F90" s="16" t="str">
        <f aca="false">IF(AND(Eingabe!$F$9&gt;0,Eingabe!$E$9&gt;=82),"10."&amp;Eingabe!$D$9&amp;".82.0/24","")</f>
        <v>10.1.82.0/24</v>
      </c>
      <c r="G90" s="16" t="str">
        <f aca="false">IF(AND(Eingabe!$F$9&gt;0,Eingabe!$E$9&gt;=82),"10."&amp;Eingabe!$D$9&amp;".82.1","")</f>
        <v>10.1.82.1</v>
      </c>
      <c r="H90" s="16" t="str">
        <f aca="false">IF(AND(Eingabe!$F$9&gt;0,Eingabe!$E$9&gt;=82),"10."&amp;Eingabe!$D$9&amp;".82.10 – 10."&amp;Eingabe!$D$9&amp;".82.250","")</f>
        <v>10.1.82.10 – 10.1.82.250</v>
      </c>
      <c r="I90" s="16" t="str">
        <f aca="false">IF(AND(Eingabe!$F$9&gt;0,Eingabe!$E$9&gt;=82),Eingabe!$B$6&amp;"-"&amp;Eingabe!$C$9&amp;"-Pächter","")</f>
        <v>SparteNet.de-BW-Pächter</v>
      </c>
      <c r="J90" s="16" t="str">
        <f aca="false">IF(AND(Eingabe!$F$9&gt;0,Eingabe!$E$9&gt;=82),"PPSK: Passwort Parzelle 82","")</f>
        <v>PPSK: Passwort Parzelle 82</v>
      </c>
      <c r="K90" s="16" t="str">
        <f aca="false">IF(AND(Eingabe!$F$9&gt;0,Eingabe!$E$9&gt;=82),"1. Gerät: 10."&amp;Eingabe!$D$9&amp;".82.10, 2. Gerät: .11","")</f>
        <v>1. Gerät: 10.1.82.10, 2. Gerät: .11</v>
      </c>
    </row>
    <row r="91" customFormat="false" ht="15" hidden="false" customHeight="false" outlineLevel="0" collapsed="false">
      <c r="A91" s="16" t="n">
        <f aca="false">IF(AND(Eingabe!$F$9&gt;0,Eingabe!$E$9&gt;=83),1,"")</f>
        <v>1</v>
      </c>
      <c r="B91" s="16" t="str">
        <f aca="false">IF(AND(Eingabe!$F$9&gt;0,Eingabe!$E$9&gt;=83),Eingabe!$B$9,"")</f>
        <v>KGS Buchenweg e.V.</v>
      </c>
      <c r="C91" s="16" t="str">
        <f aca="false">IF(AND(Eingabe!$F$9&gt;0,Eingabe!$E$9&gt;=83),Eingabe!$C$9&amp;"-Paz."&amp;TEXT(83,"000"),"")</f>
        <v>BW-Paz.083</v>
      </c>
      <c r="D91" s="16" t="n">
        <f aca="false">IF(AND(Eingabe!$F$9&gt;0,Eingabe!$E$9&gt;=83),83,"")</f>
        <v>83</v>
      </c>
      <c r="E91" s="16" t="n">
        <f aca="false">IF(AND(Eingabe!$F$9&gt;0,Eingabe!$E$9&gt;=83),IF((Eingabe!$G$9)&lt;=9,1000+(Eingabe!$G$9)*100,3000)+83,"")</f>
        <v>1183</v>
      </c>
      <c r="F91" s="16" t="str">
        <f aca="false">IF(AND(Eingabe!$F$9&gt;0,Eingabe!$E$9&gt;=83),"10."&amp;Eingabe!$D$9&amp;".83.0/24","")</f>
        <v>10.1.83.0/24</v>
      </c>
      <c r="G91" s="16" t="str">
        <f aca="false">IF(AND(Eingabe!$F$9&gt;0,Eingabe!$E$9&gt;=83),"10."&amp;Eingabe!$D$9&amp;".83.1","")</f>
        <v>10.1.83.1</v>
      </c>
      <c r="H91" s="16" t="str">
        <f aca="false">IF(AND(Eingabe!$F$9&gt;0,Eingabe!$E$9&gt;=83),"10."&amp;Eingabe!$D$9&amp;".83.10 – 10."&amp;Eingabe!$D$9&amp;".83.250","")</f>
        <v>10.1.83.10 – 10.1.83.250</v>
      </c>
      <c r="I91" s="16" t="str">
        <f aca="false">IF(AND(Eingabe!$F$9&gt;0,Eingabe!$E$9&gt;=83),Eingabe!$B$6&amp;"-"&amp;Eingabe!$C$9&amp;"-Pächter","")</f>
        <v>SparteNet.de-BW-Pächter</v>
      </c>
      <c r="J91" s="16" t="str">
        <f aca="false">IF(AND(Eingabe!$F$9&gt;0,Eingabe!$E$9&gt;=83),"PPSK: Passwort Parzelle 83","")</f>
        <v>PPSK: Passwort Parzelle 83</v>
      </c>
      <c r="K91" s="16" t="str">
        <f aca="false">IF(AND(Eingabe!$F$9&gt;0,Eingabe!$E$9&gt;=83),"1. Gerät: 10."&amp;Eingabe!$D$9&amp;".83.10, 2. Gerät: .11","")</f>
        <v>1. Gerät: 10.1.83.10, 2. Gerät: .11</v>
      </c>
    </row>
    <row r="92" customFormat="false" ht="15" hidden="false" customHeight="false" outlineLevel="0" collapsed="false">
      <c r="A92" s="16" t="n">
        <f aca="false">IF(AND(Eingabe!$F$9&gt;0,Eingabe!$E$9&gt;=84),1,"")</f>
        <v>1</v>
      </c>
      <c r="B92" s="16" t="str">
        <f aca="false">IF(AND(Eingabe!$F$9&gt;0,Eingabe!$E$9&gt;=84),Eingabe!$B$9,"")</f>
        <v>KGS Buchenweg e.V.</v>
      </c>
      <c r="C92" s="16" t="str">
        <f aca="false">IF(AND(Eingabe!$F$9&gt;0,Eingabe!$E$9&gt;=84),Eingabe!$C$9&amp;"-Paz."&amp;TEXT(84,"000"),"")</f>
        <v>BW-Paz.084</v>
      </c>
      <c r="D92" s="16" t="n">
        <f aca="false">IF(AND(Eingabe!$F$9&gt;0,Eingabe!$E$9&gt;=84),84,"")</f>
        <v>84</v>
      </c>
      <c r="E92" s="16" t="n">
        <f aca="false">IF(AND(Eingabe!$F$9&gt;0,Eingabe!$E$9&gt;=84),IF((Eingabe!$G$9)&lt;=9,1000+(Eingabe!$G$9)*100,3000)+84,"")</f>
        <v>1184</v>
      </c>
      <c r="F92" s="16" t="str">
        <f aca="false">IF(AND(Eingabe!$F$9&gt;0,Eingabe!$E$9&gt;=84),"10."&amp;Eingabe!$D$9&amp;".84.0/24","")</f>
        <v>10.1.84.0/24</v>
      </c>
      <c r="G92" s="16" t="str">
        <f aca="false">IF(AND(Eingabe!$F$9&gt;0,Eingabe!$E$9&gt;=84),"10."&amp;Eingabe!$D$9&amp;".84.1","")</f>
        <v>10.1.84.1</v>
      </c>
      <c r="H92" s="16" t="str">
        <f aca="false">IF(AND(Eingabe!$F$9&gt;0,Eingabe!$E$9&gt;=84),"10."&amp;Eingabe!$D$9&amp;".84.10 – 10."&amp;Eingabe!$D$9&amp;".84.250","")</f>
        <v>10.1.84.10 – 10.1.84.250</v>
      </c>
      <c r="I92" s="16" t="str">
        <f aca="false">IF(AND(Eingabe!$F$9&gt;0,Eingabe!$E$9&gt;=84),Eingabe!$B$6&amp;"-"&amp;Eingabe!$C$9&amp;"-Pächter","")</f>
        <v>SparteNet.de-BW-Pächter</v>
      </c>
      <c r="J92" s="16" t="str">
        <f aca="false">IF(AND(Eingabe!$F$9&gt;0,Eingabe!$E$9&gt;=84),"PPSK: Passwort Parzelle 84","")</f>
        <v>PPSK: Passwort Parzelle 84</v>
      </c>
      <c r="K92" s="16" t="str">
        <f aca="false">IF(AND(Eingabe!$F$9&gt;0,Eingabe!$E$9&gt;=84),"1. Gerät: 10."&amp;Eingabe!$D$9&amp;".84.10, 2. Gerät: .11","")</f>
        <v>1. Gerät: 10.1.84.10, 2. Gerät: .11</v>
      </c>
    </row>
    <row r="93" customFormat="false" ht="15" hidden="false" customHeight="false" outlineLevel="0" collapsed="false">
      <c r="A93" s="16" t="n">
        <f aca="false">IF(AND(Eingabe!$F$9&gt;0,Eingabe!$E$9&gt;=85),1,"")</f>
        <v>1</v>
      </c>
      <c r="B93" s="16" t="str">
        <f aca="false">IF(AND(Eingabe!$F$9&gt;0,Eingabe!$E$9&gt;=85),Eingabe!$B$9,"")</f>
        <v>KGS Buchenweg e.V.</v>
      </c>
      <c r="C93" s="16" t="str">
        <f aca="false">IF(AND(Eingabe!$F$9&gt;0,Eingabe!$E$9&gt;=85),Eingabe!$C$9&amp;"-Paz."&amp;TEXT(85,"000"),"")</f>
        <v>BW-Paz.085</v>
      </c>
      <c r="D93" s="16" t="n">
        <f aca="false">IF(AND(Eingabe!$F$9&gt;0,Eingabe!$E$9&gt;=85),85,"")</f>
        <v>85</v>
      </c>
      <c r="E93" s="16" t="n">
        <f aca="false">IF(AND(Eingabe!$F$9&gt;0,Eingabe!$E$9&gt;=85),IF((Eingabe!$G$9)&lt;=9,1000+(Eingabe!$G$9)*100,3000)+85,"")</f>
        <v>1185</v>
      </c>
      <c r="F93" s="16" t="str">
        <f aca="false">IF(AND(Eingabe!$F$9&gt;0,Eingabe!$E$9&gt;=85),"10."&amp;Eingabe!$D$9&amp;".85.0/24","")</f>
        <v>10.1.85.0/24</v>
      </c>
      <c r="G93" s="16" t="str">
        <f aca="false">IF(AND(Eingabe!$F$9&gt;0,Eingabe!$E$9&gt;=85),"10."&amp;Eingabe!$D$9&amp;".85.1","")</f>
        <v>10.1.85.1</v>
      </c>
      <c r="H93" s="16" t="str">
        <f aca="false">IF(AND(Eingabe!$F$9&gt;0,Eingabe!$E$9&gt;=85),"10."&amp;Eingabe!$D$9&amp;".85.10 – 10."&amp;Eingabe!$D$9&amp;".85.250","")</f>
        <v>10.1.85.10 – 10.1.85.250</v>
      </c>
      <c r="I93" s="16" t="str">
        <f aca="false">IF(AND(Eingabe!$F$9&gt;0,Eingabe!$E$9&gt;=85),Eingabe!$B$6&amp;"-"&amp;Eingabe!$C$9&amp;"-Pächter","")</f>
        <v>SparteNet.de-BW-Pächter</v>
      </c>
      <c r="J93" s="16" t="str">
        <f aca="false">IF(AND(Eingabe!$F$9&gt;0,Eingabe!$E$9&gt;=85),"PPSK: Passwort Parzelle 85","")</f>
        <v>PPSK: Passwort Parzelle 85</v>
      </c>
      <c r="K93" s="16" t="str">
        <f aca="false">IF(AND(Eingabe!$F$9&gt;0,Eingabe!$E$9&gt;=85),"1. Gerät: 10."&amp;Eingabe!$D$9&amp;".85.10, 2. Gerät: .11","")</f>
        <v>1. Gerät: 10.1.85.10, 2. Gerät: .11</v>
      </c>
    </row>
    <row r="94" customFormat="false" ht="15" hidden="false" customHeight="false" outlineLevel="0" collapsed="false">
      <c r="A94" s="16" t="str">
        <f aca="false">IF(AND(Eingabe!$F$9&gt;0,Eingabe!$E$9&gt;=86),1,"")</f>
        <v/>
      </c>
      <c r="B94" s="16" t="str">
        <f aca="false">IF(AND(Eingabe!$F$9&gt;0,Eingabe!$E$9&gt;=86),Eingabe!$B$9,"")</f>
        <v/>
      </c>
      <c r="C94" s="16" t="str">
        <f aca="false">IF(AND(Eingabe!$F$9&gt;0,Eingabe!$E$9&gt;=86),Eingabe!$C$9&amp;"-Paz."&amp;TEXT(86,"000"),"")</f>
        <v/>
      </c>
      <c r="D94" s="16" t="str">
        <f aca="false">IF(AND(Eingabe!$F$9&gt;0,Eingabe!$E$9&gt;=86),86,"")</f>
        <v/>
      </c>
      <c r="E94" s="16" t="str">
        <f aca="false">IF(AND(Eingabe!$F$9&gt;0,Eingabe!$E$9&gt;=86),IF((Eingabe!$G$9)&lt;=9,1000+(Eingabe!$G$9)*100,3000)+86,"")</f>
        <v/>
      </c>
      <c r="F94" s="16" t="str">
        <f aca="false">IF(AND(Eingabe!$F$9&gt;0,Eingabe!$E$9&gt;=86),"10."&amp;Eingabe!$D$9&amp;".86.0/24","")</f>
        <v/>
      </c>
      <c r="G94" s="16" t="str">
        <f aca="false">IF(AND(Eingabe!$F$9&gt;0,Eingabe!$E$9&gt;=86),"10."&amp;Eingabe!$D$9&amp;".86.1","")</f>
        <v/>
      </c>
      <c r="H94" s="16" t="str">
        <f aca="false">IF(AND(Eingabe!$F$9&gt;0,Eingabe!$E$9&gt;=86),"10."&amp;Eingabe!$D$9&amp;".86.10 – 10."&amp;Eingabe!$D$9&amp;".86.250","")</f>
        <v/>
      </c>
      <c r="I94" s="16" t="str">
        <f aca="false">IF(AND(Eingabe!$F$9&gt;0,Eingabe!$E$9&gt;=86),Eingabe!$B$6&amp;"-"&amp;Eingabe!$C$9&amp;"-Pächter","")</f>
        <v/>
      </c>
      <c r="J94" s="16" t="str">
        <f aca="false">IF(AND(Eingabe!$F$9&gt;0,Eingabe!$E$9&gt;=86),"PPSK: Passwort Parzelle 86","")</f>
        <v/>
      </c>
      <c r="K94" s="16" t="str">
        <f aca="false">IF(AND(Eingabe!$F$9&gt;0,Eingabe!$E$9&gt;=86),"1. Gerät: 10."&amp;Eingabe!$D$9&amp;".86.10, 2. Gerät: .11","")</f>
        <v/>
      </c>
    </row>
    <row r="95" customFormat="false" ht="15" hidden="false" customHeight="false" outlineLevel="0" collapsed="false">
      <c r="A95" s="16" t="str">
        <f aca="false">IF(AND(Eingabe!$F$9&gt;0,Eingabe!$E$9&gt;=87),1,"")</f>
        <v/>
      </c>
      <c r="B95" s="16" t="str">
        <f aca="false">IF(AND(Eingabe!$F$9&gt;0,Eingabe!$E$9&gt;=87),Eingabe!$B$9,"")</f>
        <v/>
      </c>
      <c r="C95" s="16" t="str">
        <f aca="false">IF(AND(Eingabe!$F$9&gt;0,Eingabe!$E$9&gt;=87),Eingabe!$C$9&amp;"-Paz."&amp;TEXT(87,"000"),"")</f>
        <v/>
      </c>
      <c r="D95" s="16" t="str">
        <f aca="false">IF(AND(Eingabe!$F$9&gt;0,Eingabe!$E$9&gt;=87),87,"")</f>
        <v/>
      </c>
      <c r="E95" s="16" t="str">
        <f aca="false">IF(AND(Eingabe!$F$9&gt;0,Eingabe!$E$9&gt;=87),IF((Eingabe!$G$9)&lt;=9,1000+(Eingabe!$G$9)*100,3000)+87,"")</f>
        <v/>
      </c>
      <c r="F95" s="16" t="str">
        <f aca="false">IF(AND(Eingabe!$F$9&gt;0,Eingabe!$E$9&gt;=87),"10."&amp;Eingabe!$D$9&amp;".87.0/24","")</f>
        <v/>
      </c>
      <c r="G95" s="16" t="str">
        <f aca="false">IF(AND(Eingabe!$F$9&gt;0,Eingabe!$E$9&gt;=87),"10."&amp;Eingabe!$D$9&amp;".87.1","")</f>
        <v/>
      </c>
      <c r="H95" s="16" t="str">
        <f aca="false">IF(AND(Eingabe!$F$9&gt;0,Eingabe!$E$9&gt;=87),"10."&amp;Eingabe!$D$9&amp;".87.10 – 10."&amp;Eingabe!$D$9&amp;".87.250","")</f>
        <v/>
      </c>
      <c r="I95" s="16" t="str">
        <f aca="false">IF(AND(Eingabe!$F$9&gt;0,Eingabe!$E$9&gt;=87),Eingabe!$B$6&amp;"-"&amp;Eingabe!$C$9&amp;"-Pächter","")</f>
        <v/>
      </c>
      <c r="J95" s="16" t="str">
        <f aca="false">IF(AND(Eingabe!$F$9&gt;0,Eingabe!$E$9&gt;=87),"PPSK: Passwort Parzelle 87","")</f>
        <v/>
      </c>
      <c r="K95" s="16" t="str">
        <f aca="false">IF(AND(Eingabe!$F$9&gt;0,Eingabe!$E$9&gt;=87),"1. Gerät: 10."&amp;Eingabe!$D$9&amp;".87.10, 2. Gerät: .11","")</f>
        <v/>
      </c>
    </row>
    <row r="96" customFormat="false" ht="15" hidden="false" customHeight="false" outlineLevel="0" collapsed="false">
      <c r="A96" s="16" t="str">
        <f aca="false">IF(AND(Eingabe!$F$9&gt;0,Eingabe!$E$9&gt;=88),1,"")</f>
        <v/>
      </c>
      <c r="B96" s="16" t="str">
        <f aca="false">IF(AND(Eingabe!$F$9&gt;0,Eingabe!$E$9&gt;=88),Eingabe!$B$9,"")</f>
        <v/>
      </c>
      <c r="C96" s="16" t="str">
        <f aca="false">IF(AND(Eingabe!$F$9&gt;0,Eingabe!$E$9&gt;=88),Eingabe!$C$9&amp;"-Paz."&amp;TEXT(88,"000"),"")</f>
        <v/>
      </c>
      <c r="D96" s="16" t="str">
        <f aca="false">IF(AND(Eingabe!$F$9&gt;0,Eingabe!$E$9&gt;=88),88,"")</f>
        <v/>
      </c>
      <c r="E96" s="16" t="str">
        <f aca="false">IF(AND(Eingabe!$F$9&gt;0,Eingabe!$E$9&gt;=88),IF((Eingabe!$G$9)&lt;=9,1000+(Eingabe!$G$9)*100,3000)+88,"")</f>
        <v/>
      </c>
      <c r="F96" s="16" t="str">
        <f aca="false">IF(AND(Eingabe!$F$9&gt;0,Eingabe!$E$9&gt;=88),"10."&amp;Eingabe!$D$9&amp;".88.0/24","")</f>
        <v/>
      </c>
      <c r="G96" s="16" t="str">
        <f aca="false">IF(AND(Eingabe!$F$9&gt;0,Eingabe!$E$9&gt;=88),"10."&amp;Eingabe!$D$9&amp;".88.1","")</f>
        <v/>
      </c>
      <c r="H96" s="16" t="str">
        <f aca="false">IF(AND(Eingabe!$F$9&gt;0,Eingabe!$E$9&gt;=88),"10."&amp;Eingabe!$D$9&amp;".88.10 – 10."&amp;Eingabe!$D$9&amp;".88.250","")</f>
        <v/>
      </c>
      <c r="I96" s="16" t="str">
        <f aca="false">IF(AND(Eingabe!$F$9&gt;0,Eingabe!$E$9&gt;=88),Eingabe!$B$6&amp;"-"&amp;Eingabe!$C$9&amp;"-Pächter","")</f>
        <v/>
      </c>
      <c r="J96" s="16" t="str">
        <f aca="false">IF(AND(Eingabe!$F$9&gt;0,Eingabe!$E$9&gt;=88),"PPSK: Passwort Parzelle 88","")</f>
        <v/>
      </c>
      <c r="K96" s="16" t="str">
        <f aca="false">IF(AND(Eingabe!$F$9&gt;0,Eingabe!$E$9&gt;=88),"1. Gerät: 10."&amp;Eingabe!$D$9&amp;".88.10, 2. Gerät: .11","")</f>
        <v/>
      </c>
    </row>
    <row r="97" customFormat="false" ht="15" hidden="false" customHeight="false" outlineLevel="0" collapsed="false">
      <c r="A97" s="16" t="str">
        <f aca="false">IF(AND(Eingabe!$F$9&gt;0,Eingabe!$E$9&gt;=89),1,"")</f>
        <v/>
      </c>
      <c r="B97" s="16" t="str">
        <f aca="false">IF(AND(Eingabe!$F$9&gt;0,Eingabe!$E$9&gt;=89),Eingabe!$B$9,"")</f>
        <v/>
      </c>
      <c r="C97" s="16" t="str">
        <f aca="false">IF(AND(Eingabe!$F$9&gt;0,Eingabe!$E$9&gt;=89),Eingabe!$C$9&amp;"-Paz."&amp;TEXT(89,"000"),"")</f>
        <v/>
      </c>
      <c r="D97" s="16" t="str">
        <f aca="false">IF(AND(Eingabe!$F$9&gt;0,Eingabe!$E$9&gt;=89),89,"")</f>
        <v/>
      </c>
      <c r="E97" s="16" t="str">
        <f aca="false">IF(AND(Eingabe!$F$9&gt;0,Eingabe!$E$9&gt;=89),IF((Eingabe!$G$9)&lt;=9,1000+(Eingabe!$G$9)*100,3000)+89,"")</f>
        <v/>
      </c>
      <c r="F97" s="16" t="str">
        <f aca="false">IF(AND(Eingabe!$F$9&gt;0,Eingabe!$E$9&gt;=89),"10."&amp;Eingabe!$D$9&amp;".89.0/24","")</f>
        <v/>
      </c>
      <c r="G97" s="16" t="str">
        <f aca="false">IF(AND(Eingabe!$F$9&gt;0,Eingabe!$E$9&gt;=89),"10."&amp;Eingabe!$D$9&amp;".89.1","")</f>
        <v/>
      </c>
      <c r="H97" s="16" t="str">
        <f aca="false">IF(AND(Eingabe!$F$9&gt;0,Eingabe!$E$9&gt;=89),"10."&amp;Eingabe!$D$9&amp;".89.10 – 10."&amp;Eingabe!$D$9&amp;".89.250","")</f>
        <v/>
      </c>
      <c r="I97" s="16" t="str">
        <f aca="false">IF(AND(Eingabe!$F$9&gt;0,Eingabe!$E$9&gt;=89),Eingabe!$B$6&amp;"-"&amp;Eingabe!$C$9&amp;"-Pächter","")</f>
        <v/>
      </c>
      <c r="J97" s="16" t="str">
        <f aca="false">IF(AND(Eingabe!$F$9&gt;0,Eingabe!$E$9&gt;=89),"PPSK: Passwort Parzelle 89","")</f>
        <v/>
      </c>
      <c r="K97" s="16" t="str">
        <f aca="false">IF(AND(Eingabe!$F$9&gt;0,Eingabe!$E$9&gt;=89),"1. Gerät: 10."&amp;Eingabe!$D$9&amp;".89.10, 2. Gerät: .11","")</f>
        <v/>
      </c>
    </row>
    <row r="98" customFormat="false" ht="15" hidden="false" customHeight="false" outlineLevel="0" collapsed="false">
      <c r="A98" s="16" t="str">
        <f aca="false">IF(AND(Eingabe!$F$9&gt;0,Eingabe!$E$9&gt;=90),1,"")</f>
        <v/>
      </c>
      <c r="B98" s="16" t="str">
        <f aca="false">IF(AND(Eingabe!$F$9&gt;0,Eingabe!$E$9&gt;=90),Eingabe!$B$9,"")</f>
        <v/>
      </c>
      <c r="C98" s="16" t="str">
        <f aca="false">IF(AND(Eingabe!$F$9&gt;0,Eingabe!$E$9&gt;=90),Eingabe!$C$9&amp;"-Paz."&amp;TEXT(90,"000"),"")</f>
        <v/>
      </c>
      <c r="D98" s="16" t="str">
        <f aca="false">IF(AND(Eingabe!$F$9&gt;0,Eingabe!$E$9&gt;=90),90,"")</f>
        <v/>
      </c>
      <c r="E98" s="16" t="str">
        <f aca="false">IF(AND(Eingabe!$F$9&gt;0,Eingabe!$E$9&gt;=90),IF((Eingabe!$G$9)&lt;=9,1000+(Eingabe!$G$9)*100,3000)+90,"")</f>
        <v/>
      </c>
      <c r="F98" s="16" t="str">
        <f aca="false">IF(AND(Eingabe!$F$9&gt;0,Eingabe!$E$9&gt;=90),"10."&amp;Eingabe!$D$9&amp;".90.0/24","")</f>
        <v/>
      </c>
      <c r="G98" s="16" t="str">
        <f aca="false">IF(AND(Eingabe!$F$9&gt;0,Eingabe!$E$9&gt;=90),"10."&amp;Eingabe!$D$9&amp;".90.1","")</f>
        <v/>
      </c>
      <c r="H98" s="16" t="str">
        <f aca="false">IF(AND(Eingabe!$F$9&gt;0,Eingabe!$E$9&gt;=90),"10."&amp;Eingabe!$D$9&amp;".90.10 – 10."&amp;Eingabe!$D$9&amp;".90.250","")</f>
        <v/>
      </c>
      <c r="I98" s="16" t="str">
        <f aca="false">IF(AND(Eingabe!$F$9&gt;0,Eingabe!$E$9&gt;=90),Eingabe!$B$6&amp;"-"&amp;Eingabe!$C$9&amp;"-Pächter","")</f>
        <v/>
      </c>
      <c r="J98" s="16" t="str">
        <f aca="false">IF(AND(Eingabe!$F$9&gt;0,Eingabe!$E$9&gt;=90),"PPSK: Passwort Parzelle 90","")</f>
        <v/>
      </c>
      <c r="K98" s="16" t="str">
        <f aca="false">IF(AND(Eingabe!$F$9&gt;0,Eingabe!$E$9&gt;=90),"1. Gerät: 10."&amp;Eingabe!$D$9&amp;".90.10, 2. Gerät: .11","")</f>
        <v/>
      </c>
    </row>
    <row r="99" customFormat="false" ht="15" hidden="false" customHeight="false" outlineLevel="0" collapsed="false">
      <c r="A99" s="16" t="str">
        <f aca="false">IF(AND(Eingabe!$F$9&gt;0,Eingabe!$E$9&gt;=91),1,"")</f>
        <v/>
      </c>
      <c r="B99" s="16" t="str">
        <f aca="false">IF(AND(Eingabe!$F$9&gt;0,Eingabe!$E$9&gt;=91),Eingabe!$B$9,"")</f>
        <v/>
      </c>
      <c r="C99" s="16" t="str">
        <f aca="false">IF(AND(Eingabe!$F$9&gt;0,Eingabe!$E$9&gt;=91),Eingabe!$C$9&amp;"-Paz."&amp;TEXT(91,"000"),"")</f>
        <v/>
      </c>
      <c r="D99" s="16" t="str">
        <f aca="false">IF(AND(Eingabe!$F$9&gt;0,Eingabe!$E$9&gt;=91),91,"")</f>
        <v/>
      </c>
      <c r="E99" s="16" t="str">
        <f aca="false">IF(AND(Eingabe!$F$9&gt;0,Eingabe!$E$9&gt;=91),IF((Eingabe!$G$9)&lt;=9,1000+(Eingabe!$G$9)*100,3000)+91,"")</f>
        <v/>
      </c>
      <c r="F99" s="16" t="str">
        <f aca="false">IF(AND(Eingabe!$F$9&gt;0,Eingabe!$E$9&gt;=91),"10."&amp;Eingabe!$D$9&amp;".91.0/24","")</f>
        <v/>
      </c>
      <c r="G99" s="16" t="str">
        <f aca="false">IF(AND(Eingabe!$F$9&gt;0,Eingabe!$E$9&gt;=91),"10."&amp;Eingabe!$D$9&amp;".91.1","")</f>
        <v/>
      </c>
      <c r="H99" s="16" t="str">
        <f aca="false">IF(AND(Eingabe!$F$9&gt;0,Eingabe!$E$9&gt;=91),"10."&amp;Eingabe!$D$9&amp;".91.10 – 10."&amp;Eingabe!$D$9&amp;".91.250","")</f>
        <v/>
      </c>
      <c r="I99" s="16" t="str">
        <f aca="false">IF(AND(Eingabe!$F$9&gt;0,Eingabe!$E$9&gt;=91),Eingabe!$B$6&amp;"-"&amp;Eingabe!$C$9&amp;"-Pächter","")</f>
        <v/>
      </c>
      <c r="J99" s="16" t="str">
        <f aca="false">IF(AND(Eingabe!$F$9&gt;0,Eingabe!$E$9&gt;=91),"PPSK: Passwort Parzelle 91","")</f>
        <v/>
      </c>
      <c r="K99" s="16" t="str">
        <f aca="false">IF(AND(Eingabe!$F$9&gt;0,Eingabe!$E$9&gt;=91),"1. Gerät: 10."&amp;Eingabe!$D$9&amp;".91.10, 2. Gerät: .11","")</f>
        <v/>
      </c>
    </row>
    <row r="100" customFormat="false" ht="15" hidden="false" customHeight="false" outlineLevel="0" collapsed="false">
      <c r="A100" s="16" t="str">
        <f aca="false">IF(AND(Eingabe!$F$9&gt;0,Eingabe!$E$9&gt;=92),1,"")</f>
        <v/>
      </c>
      <c r="B100" s="16" t="str">
        <f aca="false">IF(AND(Eingabe!$F$9&gt;0,Eingabe!$E$9&gt;=92),Eingabe!$B$9,"")</f>
        <v/>
      </c>
      <c r="C100" s="16" t="str">
        <f aca="false">IF(AND(Eingabe!$F$9&gt;0,Eingabe!$E$9&gt;=92),Eingabe!$C$9&amp;"-Paz."&amp;TEXT(92,"000"),"")</f>
        <v/>
      </c>
      <c r="D100" s="16" t="str">
        <f aca="false">IF(AND(Eingabe!$F$9&gt;0,Eingabe!$E$9&gt;=92),92,"")</f>
        <v/>
      </c>
      <c r="E100" s="16" t="str">
        <f aca="false">IF(AND(Eingabe!$F$9&gt;0,Eingabe!$E$9&gt;=92),IF((Eingabe!$G$9)&lt;=9,1000+(Eingabe!$G$9)*100,3000)+92,"")</f>
        <v/>
      </c>
      <c r="F100" s="16" t="str">
        <f aca="false">IF(AND(Eingabe!$F$9&gt;0,Eingabe!$E$9&gt;=92),"10."&amp;Eingabe!$D$9&amp;".92.0/24","")</f>
        <v/>
      </c>
      <c r="G100" s="16" t="str">
        <f aca="false">IF(AND(Eingabe!$F$9&gt;0,Eingabe!$E$9&gt;=92),"10."&amp;Eingabe!$D$9&amp;".92.1","")</f>
        <v/>
      </c>
      <c r="H100" s="16" t="str">
        <f aca="false">IF(AND(Eingabe!$F$9&gt;0,Eingabe!$E$9&gt;=92),"10."&amp;Eingabe!$D$9&amp;".92.10 – 10."&amp;Eingabe!$D$9&amp;".92.250","")</f>
        <v/>
      </c>
      <c r="I100" s="16" t="str">
        <f aca="false">IF(AND(Eingabe!$F$9&gt;0,Eingabe!$E$9&gt;=92),Eingabe!$B$6&amp;"-"&amp;Eingabe!$C$9&amp;"-Pächter","")</f>
        <v/>
      </c>
      <c r="J100" s="16" t="str">
        <f aca="false">IF(AND(Eingabe!$F$9&gt;0,Eingabe!$E$9&gt;=92),"PPSK: Passwort Parzelle 92","")</f>
        <v/>
      </c>
      <c r="K100" s="16" t="str">
        <f aca="false">IF(AND(Eingabe!$F$9&gt;0,Eingabe!$E$9&gt;=92),"1. Gerät: 10."&amp;Eingabe!$D$9&amp;".92.10, 2. Gerät: .11","")</f>
        <v/>
      </c>
    </row>
    <row r="101" customFormat="false" ht="15" hidden="false" customHeight="false" outlineLevel="0" collapsed="false">
      <c r="A101" s="16" t="str">
        <f aca="false">IF(AND(Eingabe!$F$9&gt;0,Eingabe!$E$9&gt;=93),1,"")</f>
        <v/>
      </c>
      <c r="B101" s="16" t="str">
        <f aca="false">IF(AND(Eingabe!$F$9&gt;0,Eingabe!$E$9&gt;=93),Eingabe!$B$9,"")</f>
        <v/>
      </c>
      <c r="C101" s="16" t="str">
        <f aca="false">IF(AND(Eingabe!$F$9&gt;0,Eingabe!$E$9&gt;=93),Eingabe!$C$9&amp;"-Paz."&amp;TEXT(93,"000"),"")</f>
        <v/>
      </c>
      <c r="D101" s="16" t="str">
        <f aca="false">IF(AND(Eingabe!$F$9&gt;0,Eingabe!$E$9&gt;=93),93,"")</f>
        <v/>
      </c>
      <c r="E101" s="16" t="str">
        <f aca="false">IF(AND(Eingabe!$F$9&gt;0,Eingabe!$E$9&gt;=93),IF((Eingabe!$G$9)&lt;=9,1000+(Eingabe!$G$9)*100,3000)+93,"")</f>
        <v/>
      </c>
      <c r="F101" s="16" t="str">
        <f aca="false">IF(AND(Eingabe!$F$9&gt;0,Eingabe!$E$9&gt;=93),"10."&amp;Eingabe!$D$9&amp;".93.0/24","")</f>
        <v/>
      </c>
      <c r="G101" s="16" t="str">
        <f aca="false">IF(AND(Eingabe!$F$9&gt;0,Eingabe!$E$9&gt;=93),"10."&amp;Eingabe!$D$9&amp;".93.1","")</f>
        <v/>
      </c>
      <c r="H101" s="16" t="str">
        <f aca="false">IF(AND(Eingabe!$F$9&gt;0,Eingabe!$E$9&gt;=93),"10."&amp;Eingabe!$D$9&amp;".93.10 – 10."&amp;Eingabe!$D$9&amp;".93.250","")</f>
        <v/>
      </c>
      <c r="I101" s="16" t="str">
        <f aca="false">IF(AND(Eingabe!$F$9&gt;0,Eingabe!$E$9&gt;=93),Eingabe!$B$6&amp;"-"&amp;Eingabe!$C$9&amp;"-Pächter","")</f>
        <v/>
      </c>
      <c r="J101" s="16" t="str">
        <f aca="false">IF(AND(Eingabe!$F$9&gt;0,Eingabe!$E$9&gt;=93),"PPSK: Passwort Parzelle 93","")</f>
        <v/>
      </c>
      <c r="K101" s="16" t="str">
        <f aca="false">IF(AND(Eingabe!$F$9&gt;0,Eingabe!$E$9&gt;=93),"1. Gerät: 10."&amp;Eingabe!$D$9&amp;".93.10, 2. Gerät: .11","")</f>
        <v/>
      </c>
    </row>
    <row r="102" customFormat="false" ht="15" hidden="false" customHeight="false" outlineLevel="0" collapsed="false">
      <c r="A102" s="16" t="str">
        <f aca="false">IF(AND(Eingabe!$F$9&gt;0,Eingabe!$E$9&gt;=94),1,"")</f>
        <v/>
      </c>
      <c r="B102" s="16" t="str">
        <f aca="false">IF(AND(Eingabe!$F$9&gt;0,Eingabe!$E$9&gt;=94),Eingabe!$B$9,"")</f>
        <v/>
      </c>
      <c r="C102" s="16" t="str">
        <f aca="false">IF(AND(Eingabe!$F$9&gt;0,Eingabe!$E$9&gt;=94),Eingabe!$C$9&amp;"-Paz."&amp;TEXT(94,"000"),"")</f>
        <v/>
      </c>
      <c r="D102" s="16" t="str">
        <f aca="false">IF(AND(Eingabe!$F$9&gt;0,Eingabe!$E$9&gt;=94),94,"")</f>
        <v/>
      </c>
      <c r="E102" s="16" t="str">
        <f aca="false">IF(AND(Eingabe!$F$9&gt;0,Eingabe!$E$9&gt;=94),IF((Eingabe!$G$9)&lt;=9,1000+(Eingabe!$G$9)*100,3000)+94,"")</f>
        <v/>
      </c>
      <c r="F102" s="16" t="str">
        <f aca="false">IF(AND(Eingabe!$F$9&gt;0,Eingabe!$E$9&gt;=94),"10."&amp;Eingabe!$D$9&amp;".94.0/24","")</f>
        <v/>
      </c>
      <c r="G102" s="16" t="str">
        <f aca="false">IF(AND(Eingabe!$F$9&gt;0,Eingabe!$E$9&gt;=94),"10."&amp;Eingabe!$D$9&amp;".94.1","")</f>
        <v/>
      </c>
      <c r="H102" s="16" t="str">
        <f aca="false">IF(AND(Eingabe!$F$9&gt;0,Eingabe!$E$9&gt;=94),"10."&amp;Eingabe!$D$9&amp;".94.10 – 10."&amp;Eingabe!$D$9&amp;".94.250","")</f>
        <v/>
      </c>
      <c r="I102" s="16" t="str">
        <f aca="false">IF(AND(Eingabe!$F$9&gt;0,Eingabe!$E$9&gt;=94),Eingabe!$B$6&amp;"-"&amp;Eingabe!$C$9&amp;"-Pächter","")</f>
        <v/>
      </c>
      <c r="J102" s="16" t="str">
        <f aca="false">IF(AND(Eingabe!$F$9&gt;0,Eingabe!$E$9&gt;=94),"PPSK: Passwort Parzelle 94","")</f>
        <v/>
      </c>
      <c r="K102" s="16" t="str">
        <f aca="false">IF(AND(Eingabe!$F$9&gt;0,Eingabe!$E$9&gt;=94),"1. Gerät: 10."&amp;Eingabe!$D$9&amp;".94.10, 2. Gerät: .11","")</f>
        <v/>
      </c>
    </row>
    <row r="103" customFormat="false" ht="15" hidden="false" customHeight="false" outlineLevel="0" collapsed="false">
      <c r="A103" s="16" t="str">
        <f aca="false">IF(AND(Eingabe!$F$9&gt;0,Eingabe!$E$9&gt;=95),1,"")</f>
        <v/>
      </c>
      <c r="B103" s="16" t="str">
        <f aca="false">IF(AND(Eingabe!$F$9&gt;0,Eingabe!$E$9&gt;=95),Eingabe!$B$9,"")</f>
        <v/>
      </c>
      <c r="C103" s="16" t="str">
        <f aca="false">IF(AND(Eingabe!$F$9&gt;0,Eingabe!$E$9&gt;=95),Eingabe!$C$9&amp;"-Paz."&amp;TEXT(95,"000"),"")</f>
        <v/>
      </c>
      <c r="D103" s="16" t="str">
        <f aca="false">IF(AND(Eingabe!$F$9&gt;0,Eingabe!$E$9&gt;=95),95,"")</f>
        <v/>
      </c>
      <c r="E103" s="16" t="str">
        <f aca="false">IF(AND(Eingabe!$F$9&gt;0,Eingabe!$E$9&gt;=95),IF((Eingabe!$G$9)&lt;=9,1000+(Eingabe!$G$9)*100,3000)+95,"")</f>
        <v/>
      </c>
      <c r="F103" s="16" t="str">
        <f aca="false">IF(AND(Eingabe!$F$9&gt;0,Eingabe!$E$9&gt;=95),"10."&amp;Eingabe!$D$9&amp;".95.0/24","")</f>
        <v/>
      </c>
      <c r="G103" s="16" t="str">
        <f aca="false">IF(AND(Eingabe!$F$9&gt;0,Eingabe!$E$9&gt;=95),"10."&amp;Eingabe!$D$9&amp;".95.1","")</f>
        <v/>
      </c>
      <c r="H103" s="16" t="str">
        <f aca="false">IF(AND(Eingabe!$F$9&gt;0,Eingabe!$E$9&gt;=95),"10."&amp;Eingabe!$D$9&amp;".95.10 – 10."&amp;Eingabe!$D$9&amp;".95.250","")</f>
        <v/>
      </c>
      <c r="I103" s="16" t="str">
        <f aca="false">IF(AND(Eingabe!$F$9&gt;0,Eingabe!$E$9&gt;=95),Eingabe!$B$6&amp;"-"&amp;Eingabe!$C$9&amp;"-Pächter","")</f>
        <v/>
      </c>
      <c r="J103" s="16" t="str">
        <f aca="false">IF(AND(Eingabe!$F$9&gt;0,Eingabe!$E$9&gt;=95),"PPSK: Passwort Parzelle 95","")</f>
        <v/>
      </c>
      <c r="K103" s="16" t="str">
        <f aca="false">IF(AND(Eingabe!$F$9&gt;0,Eingabe!$E$9&gt;=95),"1. Gerät: 10."&amp;Eingabe!$D$9&amp;".95.10, 2. Gerät: .11","")</f>
        <v/>
      </c>
    </row>
    <row r="104" customFormat="false" ht="15" hidden="false" customHeight="false" outlineLevel="0" collapsed="false">
      <c r="A104" s="16" t="str">
        <f aca="false">IF(AND(Eingabe!$F$9&gt;0,Eingabe!$E$9&gt;=96),1,"")</f>
        <v/>
      </c>
      <c r="B104" s="16" t="str">
        <f aca="false">IF(AND(Eingabe!$F$9&gt;0,Eingabe!$E$9&gt;=96),Eingabe!$B$9,"")</f>
        <v/>
      </c>
      <c r="C104" s="16" t="str">
        <f aca="false">IF(AND(Eingabe!$F$9&gt;0,Eingabe!$E$9&gt;=96),Eingabe!$C$9&amp;"-Paz."&amp;TEXT(96,"000"),"")</f>
        <v/>
      </c>
      <c r="D104" s="16" t="str">
        <f aca="false">IF(AND(Eingabe!$F$9&gt;0,Eingabe!$E$9&gt;=96),96,"")</f>
        <v/>
      </c>
      <c r="E104" s="16" t="str">
        <f aca="false">IF(AND(Eingabe!$F$9&gt;0,Eingabe!$E$9&gt;=96),IF((Eingabe!$G$9)&lt;=9,1000+(Eingabe!$G$9)*100,3000)+96,"")</f>
        <v/>
      </c>
      <c r="F104" s="16" t="str">
        <f aca="false">IF(AND(Eingabe!$F$9&gt;0,Eingabe!$E$9&gt;=96),"10."&amp;Eingabe!$D$9&amp;".96.0/24","")</f>
        <v/>
      </c>
      <c r="G104" s="16" t="str">
        <f aca="false">IF(AND(Eingabe!$F$9&gt;0,Eingabe!$E$9&gt;=96),"10."&amp;Eingabe!$D$9&amp;".96.1","")</f>
        <v/>
      </c>
      <c r="H104" s="16" t="str">
        <f aca="false">IF(AND(Eingabe!$F$9&gt;0,Eingabe!$E$9&gt;=96),"10."&amp;Eingabe!$D$9&amp;".96.10 – 10."&amp;Eingabe!$D$9&amp;".96.250","")</f>
        <v/>
      </c>
      <c r="I104" s="16" t="str">
        <f aca="false">IF(AND(Eingabe!$F$9&gt;0,Eingabe!$E$9&gt;=96),Eingabe!$B$6&amp;"-"&amp;Eingabe!$C$9&amp;"-Pächter","")</f>
        <v/>
      </c>
      <c r="J104" s="16" t="str">
        <f aca="false">IF(AND(Eingabe!$F$9&gt;0,Eingabe!$E$9&gt;=96),"PPSK: Passwort Parzelle 96","")</f>
        <v/>
      </c>
      <c r="K104" s="16" t="str">
        <f aca="false">IF(AND(Eingabe!$F$9&gt;0,Eingabe!$E$9&gt;=96),"1. Gerät: 10."&amp;Eingabe!$D$9&amp;".96.10, 2. Gerät: .11","")</f>
        <v/>
      </c>
    </row>
    <row r="105" customFormat="false" ht="15" hidden="false" customHeight="false" outlineLevel="0" collapsed="false">
      <c r="A105" s="16" t="str">
        <f aca="false">IF(AND(Eingabe!$F$9&gt;0,Eingabe!$E$9&gt;=97),1,"")</f>
        <v/>
      </c>
      <c r="B105" s="16" t="str">
        <f aca="false">IF(AND(Eingabe!$F$9&gt;0,Eingabe!$E$9&gt;=97),Eingabe!$B$9,"")</f>
        <v/>
      </c>
      <c r="C105" s="16" t="str">
        <f aca="false">IF(AND(Eingabe!$F$9&gt;0,Eingabe!$E$9&gt;=97),Eingabe!$C$9&amp;"-Paz."&amp;TEXT(97,"000"),"")</f>
        <v/>
      </c>
      <c r="D105" s="16" t="str">
        <f aca="false">IF(AND(Eingabe!$F$9&gt;0,Eingabe!$E$9&gt;=97),97,"")</f>
        <v/>
      </c>
      <c r="E105" s="16" t="str">
        <f aca="false">IF(AND(Eingabe!$F$9&gt;0,Eingabe!$E$9&gt;=97),IF((Eingabe!$G$9)&lt;=9,1000+(Eingabe!$G$9)*100,3000)+97,"")</f>
        <v/>
      </c>
      <c r="F105" s="16" t="str">
        <f aca="false">IF(AND(Eingabe!$F$9&gt;0,Eingabe!$E$9&gt;=97),"10."&amp;Eingabe!$D$9&amp;".97.0/24","")</f>
        <v/>
      </c>
      <c r="G105" s="16" t="str">
        <f aca="false">IF(AND(Eingabe!$F$9&gt;0,Eingabe!$E$9&gt;=97),"10."&amp;Eingabe!$D$9&amp;".97.1","")</f>
        <v/>
      </c>
      <c r="H105" s="16" t="str">
        <f aca="false">IF(AND(Eingabe!$F$9&gt;0,Eingabe!$E$9&gt;=97),"10."&amp;Eingabe!$D$9&amp;".97.10 – 10."&amp;Eingabe!$D$9&amp;".97.250","")</f>
        <v/>
      </c>
      <c r="I105" s="16" t="str">
        <f aca="false">IF(AND(Eingabe!$F$9&gt;0,Eingabe!$E$9&gt;=97),Eingabe!$B$6&amp;"-"&amp;Eingabe!$C$9&amp;"-Pächter","")</f>
        <v/>
      </c>
      <c r="J105" s="16" t="str">
        <f aca="false">IF(AND(Eingabe!$F$9&gt;0,Eingabe!$E$9&gt;=97),"PPSK: Passwort Parzelle 97","")</f>
        <v/>
      </c>
      <c r="K105" s="16" t="str">
        <f aca="false">IF(AND(Eingabe!$F$9&gt;0,Eingabe!$E$9&gt;=97),"1. Gerät: 10."&amp;Eingabe!$D$9&amp;".97.10, 2. Gerät: .11","")</f>
        <v/>
      </c>
    </row>
    <row r="106" customFormat="false" ht="15" hidden="false" customHeight="false" outlineLevel="0" collapsed="false">
      <c r="A106" s="16" t="str">
        <f aca="false">IF(AND(Eingabe!$F$9&gt;0,Eingabe!$E$9&gt;=98),1,"")</f>
        <v/>
      </c>
      <c r="B106" s="16" t="str">
        <f aca="false">IF(AND(Eingabe!$F$9&gt;0,Eingabe!$E$9&gt;=98),Eingabe!$B$9,"")</f>
        <v/>
      </c>
      <c r="C106" s="16" t="str">
        <f aca="false">IF(AND(Eingabe!$F$9&gt;0,Eingabe!$E$9&gt;=98),Eingabe!$C$9&amp;"-Paz."&amp;TEXT(98,"000"),"")</f>
        <v/>
      </c>
      <c r="D106" s="16" t="str">
        <f aca="false">IF(AND(Eingabe!$F$9&gt;0,Eingabe!$E$9&gt;=98),98,"")</f>
        <v/>
      </c>
      <c r="E106" s="16" t="str">
        <f aca="false">IF(AND(Eingabe!$F$9&gt;0,Eingabe!$E$9&gt;=98),IF((Eingabe!$G$9)&lt;=9,1000+(Eingabe!$G$9)*100,3000)+98,"")</f>
        <v/>
      </c>
      <c r="F106" s="16" t="str">
        <f aca="false">IF(AND(Eingabe!$F$9&gt;0,Eingabe!$E$9&gt;=98),"10."&amp;Eingabe!$D$9&amp;".98.0/24","")</f>
        <v/>
      </c>
      <c r="G106" s="16" t="str">
        <f aca="false">IF(AND(Eingabe!$F$9&gt;0,Eingabe!$E$9&gt;=98),"10."&amp;Eingabe!$D$9&amp;".98.1","")</f>
        <v/>
      </c>
      <c r="H106" s="16" t="str">
        <f aca="false">IF(AND(Eingabe!$F$9&gt;0,Eingabe!$E$9&gt;=98),"10."&amp;Eingabe!$D$9&amp;".98.10 – 10."&amp;Eingabe!$D$9&amp;".98.250","")</f>
        <v/>
      </c>
      <c r="I106" s="16" t="str">
        <f aca="false">IF(AND(Eingabe!$F$9&gt;0,Eingabe!$E$9&gt;=98),Eingabe!$B$6&amp;"-"&amp;Eingabe!$C$9&amp;"-Pächter","")</f>
        <v/>
      </c>
      <c r="J106" s="16" t="str">
        <f aca="false">IF(AND(Eingabe!$F$9&gt;0,Eingabe!$E$9&gt;=98),"PPSK: Passwort Parzelle 98","")</f>
        <v/>
      </c>
      <c r="K106" s="16" t="str">
        <f aca="false">IF(AND(Eingabe!$F$9&gt;0,Eingabe!$E$9&gt;=98),"1. Gerät: 10."&amp;Eingabe!$D$9&amp;".98.10, 2. Gerät: .11","")</f>
        <v/>
      </c>
    </row>
    <row r="107" customFormat="false" ht="15" hidden="false" customHeight="false" outlineLevel="0" collapsed="false">
      <c r="A107" s="16" t="str">
        <f aca="false">IF(AND(Eingabe!$F$9&gt;0,Eingabe!$E$9&gt;=99),1,"")</f>
        <v/>
      </c>
      <c r="B107" s="16" t="str">
        <f aca="false">IF(AND(Eingabe!$F$9&gt;0,Eingabe!$E$9&gt;=99),Eingabe!$B$9,"")</f>
        <v/>
      </c>
      <c r="C107" s="16" t="str">
        <f aca="false">IF(AND(Eingabe!$F$9&gt;0,Eingabe!$E$9&gt;=99),Eingabe!$C$9&amp;"-Paz."&amp;TEXT(99,"000"),"")</f>
        <v/>
      </c>
      <c r="D107" s="16" t="str">
        <f aca="false">IF(AND(Eingabe!$F$9&gt;0,Eingabe!$E$9&gt;=99),99,"")</f>
        <v/>
      </c>
      <c r="E107" s="16" t="str">
        <f aca="false">IF(AND(Eingabe!$F$9&gt;0,Eingabe!$E$9&gt;=99),IF((Eingabe!$G$9)&lt;=9,1000+(Eingabe!$G$9)*100,3000)+99,"")</f>
        <v/>
      </c>
      <c r="F107" s="16" t="str">
        <f aca="false">IF(AND(Eingabe!$F$9&gt;0,Eingabe!$E$9&gt;=99),"10."&amp;Eingabe!$D$9&amp;".99.0/24","")</f>
        <v/>
      </c>
      <c r="G107" s="16" t="str">
        <f aca="false">IF(AND(Eingabe!$F$9&gt;0,Eingabe!$E$9&gt;=99),"10."&amp;Eingabe!$D$9&amp;".99.1","")</f>
        <v/>
      </c>
      <c r="H107" s="16" t="str">
        <f aca="false">IF(AND(Eingabe!$F$9&gt;0,Eingabe!$E$9&gt;=99),"10."&amp;Eingabe!$D$9&amp;".99.10 – 10."&amp;Eingabe!$D$9&amp;".99.250","")</f>
        <v/>
      </c>
      <c r="I107" s="16" t="str">
        <f aca="false">IF(AND(Eingabe!$F$9&gt;0,Eingabe!$E$9&gt;=99),Eingabe!$B$6&amp;"-"&amp;Eingabe!$C$9&amp;"-Pächter","")</f>
        <v/>
      </c>
      <c r="J107" s="16" t="str">
        <f aca="false">IF(AND(Eingabe!$F$9&gt;0,Eingabe!$E$9&gt;=99),"PPSK: Passwort Parzelle 99","")</f>
        <v/>
      </c>
      <c r="K107" s="16" t="str">
        <f aca="false">IF(AND(Eingabe!$F$9&gt;0,Eingabe!$E$9&gt;=99),"1. Gerät: 10."&amp;Eingabe!$D$9&amp;".99.10, 2. Gerät: .11","")</f>
        <v/>
      </c>
    </row>
    <row r="108" customFormat="false" ht="15" hidden="false" customHeight="false" outlineLevel="0" collapsed="false">
      <c r="A108" s="16" t="str">
        <f aca="false">IF(AND(Eingabe!$F$9&gt;0,Eingabe!$E$9&gt;=100),1,"")</f>
        <v/>
      </c>
      <c r="B108" s="16" t="str">
        <f aca="false">IF(AND(Eingabe!$F$9&gt;0,Eingabe!$E$9&gt;=100),Eingabe!$B$9,"")</f>
        <v/>
      </c>
      <c r="C108" s="16" t="str">
        <f aca="false">IF(AND(Eingabe!$F$9&gt;0,Eingabe!$E$9&gt;=100),Eingabe!$C$9&amp;"-Paz."&amp;TEXT(100,"000"),"")</f>
        <v/>
      </c>
      <c r="D108" s="16" t="str">
        <f aca="false">IF(AND(Eingabe!$F$9&gt;0,Eingabe!$E$9&gt;=100),100,"")</f>
        <v/>
      </c>
      <c r="E108" s="16" t="str">
        <f aca="false">IF(AND(Eingabe!$F$9&gt;0,Eingabe!$E$9&gt;=100),IF((Eingabe!$G$9+1)&lt;=9,1000+(Eingabe!$G$9+1)*100,3000)+0,"")</f>
        <v/>
      </c>
      <c r="F108" s="16" t="str">
        <f aca="false">IF(AND(Eingabe!$F$9&gt;0,Eingabe!$E$9&gt;=100),"10."&amp;Eingabe!$D$9&amp;".100.0/24","")</f>
        <v/>
      </c>
      <c r="G108" s="16" t="str">
        <f aca="false">IF(AND(Eingabe!$F$9&gt;0,Eingabe!$E$9&gt;=100),"10."&amp;Eingabe!$D$9&amp;".100.1","")</f>
        <v/>
      </c>
      <c r="H108" s="16" t="str">
        <f aca="false">IF(AND(Eingabe!$F$9&gt;0,Eingabe!$E$9&gt;=100),"10."&amp;Eingabe!$D$9&amp;".100.10 – 10."&amp;Eingabe!$D$9&amp;".100.250","")</f>
        <v/>
      </c>
      <c r="I108" s="16" t="str">
        <f aca="false">IF(AND(Eingabe!$F$9&gt;0,Eingabe!$E$9&gt;=100),Eingabe!$B$6&amp;"-"&amp;Eingabe!$C$9&amp;"-Pächter","")</f>
        <v/>
      </c>
      <c r="J108" s="16" t="str">
        <f aca="false">IF(AND(Eingabe!$F$9&gt;0,Eingabe!$E$9&gt;=100),"PPSK: Passwort Parzelle 100","")</f>
        <v/>
      </c>
      <c r="K108" s="16" t="str">
        <f aca="false">IF(AND(Eingabe!$F$9&gt;0,Eingabe!$E$9&gt;=100),"1. Gerät: 10."&amp;Eingabe!$D$9&amp;".100.10, 2. Gerät: .11","")</f>
        <v/>
      </c>
    </row>
    <row r="109" customFormat="false" ht="15" hidden="false" customHeight="false" outlineLevel="0" collapsed="false">
      <c r="A109" s="16" t="str">
        <f aca="false">IF(AND(Eingabe!$F$9&gt;0,Eingabe!$E$9&gt;=101),1,"")</f>
        <v/>
      </c>
      <c r="B109" s="16" t="str">
        <f aca="false">IF(AND(Eingabe!$F$9&gt;0,Eingabe!$E$9&gt;=101),Eingabe!$B$9,"")</f>
        <v/>
      </c>
      <c r="C109" s="16" t="str">
        <f aca="false">IF(AND(Eingabe!$F$9&gt;0,Eingabe!$E$9&gt;=101),Eingabe!$C$9&amp;"-Paz."&amp;TEXT(101,"000"),"")</f>
        <v/>
      </c>
      <c r="D109" s="16" t="str">
        <f aca="false">IF(AND(Eingabe!$F$9&gt;0,Eingabe!$E$9&gt;=101),101,"")</f>
        <v/>
      </c>
      <c r="E109" s="16" t="str">
        <f aca="false">IF(AND(Eingabe!$F$9&gt;0,Eingabe!$E$9&gt;=101),IF((Eingabe!$G$9+1)&lt;=9,1000+(Eingabe!$G$9+1)*100,3000)+1,"")</f>
        <v/>
      </c>
      <c r="F109" s="16" t="str">
        <f aca="false">IF(AND(Eingabe!$F$9&gt;0,Eingabe!$E$9&gt;=101),"10."&amp;Eingabe!$D$9&amp;".101.0/24","")</f>
        <v/>
      </c>
      <c r="G109" s="16" t="str">
        <f aca="false">IF(AND(Eingabe!$F$9&gt;0,Eingabe!$E$9&gt;=101),"10."&amp;Eingabe!$D$9&amp;".101.1","")</f>
        <v/>
      </c>
      <c r="H109" s="16" t="str">
        <f aca="false">IF(AND(Eingabe!$F$9&gt;0,Eingabe!$E$9&gt;=101),"10."&amp;Eingabe!$D$9&amp;".101.10 – 10."&amp;Eingabe!$D$9&amp;".101.250","")</f>
        <v/>
      </c>
      <c r="I109" s="16" t="str">
        <f aca="false">IF(AND(Eingabe!$F$9&gt;0,Eingabe!$E$9&gt;=101),Eingabe!$B$6&amp;"-"&amp;Eingabe!$C$9&amp;"-Pächter","")</f>
        <v/>
      </c>
      <c r="J109" s="16" t="str">
        <f aca="false">IF(AND(Eingabe!$F$9&gt;0,Eingabe!$E$9&gt;=101),"PPSK: Passwort Parzelle 101","")</f>
        <v/>
      </c>
      <c r="K109" s="16" t="str">
        <f aca="false">IF(AND(Eingabe!$F$9&gt;0,Eingabe!$E$9&gt;=101),"1. Gerät: 10."&amp;Eingabe!$D$9&amp;".101.10, 2. Gerät: .11","")</f>
        <v/>
      </c>
    </row>
    <row r="110" customFormat="false" ht="15" hidden="false" customHeight="false" outlineLevel="0" collapsed="false">
      <c r="A110" s="16" t="str">
        <f aca="false">IF(AND(Eingabe!$F$9&gt;0,Eingabe!$E$9&gt;=102),1,"")</f>
        <v/>
      </c>
      <c r="B110" s="16" t="str">
        <f aca="false">IF(AND(Eingabe!$F$9&gt;0,Eingabe!$E$9&gt;=102),Eingabe!$B$9,"")</f>
        <v/>
      </c>
      <c r="C110" s="16" t="str">
        <f aca="false">IF(AND(Eingabe!$F$9&gt;0,Eingabe!$E$9&gt;=102),Eingabe!$C$9&amp;"-Paz."&amp;TEXT(102,"000"),"")</f>
        <v/>
      </c>
      <c r="D110" s="16" t="str">
        <f aca="false">IF(AND(Eingabe!$F$9&gt;0,Eingabe!$E$9&gt;=102),102,"")</f>
        <v/>
      </c>
      <c r="E110" s="16" t="str">
        <f aca="false">IF(AND(Eingabe!$F$9&gt;0,Eingabe!$E$9&gt;=102),IF((Eingabe!$G$9+1)&lt;=9,1000+(Eingabe!$G$9+1)*100,3000)+2,"")</f>
        <v/>
      </c>
      <c r="F110" s="16" t="str">
        <f aca="false">IF(AND(Eingabe!$F$9&gt;0,Eingabe!$E$9&gt;=102),"10."&amp;Eingabe!$D$9&amp;".102.0/24","")</f>
        <v/>
      </c>
      <c r="G110" s="16" t="str">
        <f aca="false">IF(AND(Eingabe!$F$9&gt;0,Eingabe!$E$9&gt;=102),"10."&amp;Eingabe!$D$9&amp;".102.1","")</f>
        <v/>
      </c>
      <c r="H110" s="16" t="str">
        <f aca="false">IF(AND(Eingabe!$F$9&gt;0,Eingabe!$E$9&gt;=102),"10."&amp;Eingabe!$D$9&amp;".102.10 – 10."&amp;Eingabe!$D$9&amp;".102.250","")</f>
        <v/>
      </c>
      <c r="I110" s="16" t="str">
        <f aca="false">IF(AND(Eingabe!$F$9&gt;0,Eingabe!$E$9&gt;=102),Eingabe!$B$6&amp;"-"&amp;Eingabe!$C$9&amp;"-Pächter","")</f>
        <v/>
      </c>
      <c r="J110" s="16" t="str">
        <f aca="false">IF(AND(Eingabe!$F$9&gt;0,Eingabe!$E$9&gt;=102),"PPSK: Passwort Parzelle 102","")</f>
        <v/>
      </c>
      <c r="K110" s="16" t="str">
        <f aca="false">IF(AND(Eingabe!$F$9&gt;0,Eingabe!$E$9&gt;=102),"1. Gerät: 10."&amp;Eingabe!$D$9&amp;".102.10, 2. Gerät: .11","")</f>
        <v/>
      </c>
    </row>
    <row r="111" customFormat="false" ht="15" hidden="false" customHeight="false" outlineLevel="0" collapsed="false">
      <c r="A111" s="16" t="str">
        <f aca="false">IF(AND(Eingabe!$F$9&gt;0,Eingabe!$E$9&gt;=103),1,"")</f>
        <v/>
      </c>
      <c r="B111" s="16" t="str">
        <f aca="false">IF(AND(Eingabe!$F$9&gt;0,Eingabe!$E$9&gt;=103),Eingabe!$B$9,"")</f>
        <v/>
      </c>
      <c r="C111" s="16" t="str">
        <f aca="false">IF(AND(Eingabe!$F$9&gt;0,Eingabe!$E$9&gt;=103),Eingabe!$C$9&amp;"-Paz."&amp;TEXT(103,"000"),"")</f>
        <v/>
      </c>
      <c r="D111" s="16" t="str">
        <f aca="false">IF(AND(Eingabe!$F$9&gt;0,Eingabe!$E$9&gt;=103),103,"")</f>
        <v/>
      </c>
      <c r="E111" s="16" t="str">
        <f aca="false">IF(AND(Eingabe!$F$9&gt;0,Eingabe!$E$9&gt;=103),IF((Eingabe!$G$9+1)&lt;=9,1000+(Eingabe!$G$9+1)*100,3000)+3,"")</f>
        <v/>
      </c>
      <c r="F111" s="16" t="str">
        <f aca="false">IF(AND(Eingabe!$F$9&gt;0,Eingabe!$E$9&gt;=103),"10."&amp;Eingabe!$D$9&amp;".103.0/24","")</f>
        <v/>
      </c>
      <c r="G111" s="16" t="str">
        <f aca="false">IF(AND(Eingabe!$F$9&gt;0,Eingabe!$E$9&gt;=103),"10."&amp;Eingabe!$D$9&amp;".103.1","")</f>
        <v/>
      </c>
      <c r="H111" s="16" t="str">
        <f aca="false">IF(AND(Eingabe!$F$9&gt;0,Eingabe!$E$9&gt;=103),"10."&amp;Eingabe!$D$9&amp;".103.10 – 10."&amp;Eingabe!$D$9&amp;".103.250","")</f>
        <v/>
      </c>
      <c r="I111" s="16" t="str">
        <f aca="false">IF(AND(Eingabe!$F$9&gt;0,Eingabe!$E$9&gt;=103),Eingabe!$B$6&amp;"-"&amp;Eingabe!$C$9&amp;"-Pächter","")</f>
        <v/>
      </c>
      <c r="J111" s="16" t="str">
        <f aca="false">IF(AND(Eingabe!$F$9&gt;0,Eingabe!$E$9&gt;=103),"PPSK: Passwort Parzelle 103","")</f>
        <v/>
      </c>
      <c r="K111" s="16" t="str">
        <f aca="false">IF(AND(Eingabe!$F$9&gt;0,Eingabe!$E$9&gt;=103),"1. Gerät: 10."&amp;Eingabe!$D$9&amp;".103.10, 2. Gerät: .11","")</f>
        <v/>
      </c>
    </row>
    <row r="112" customFormat="false" ht="15" hidden="false" customHeight="false" outlineLevel="0" collapsed="false">
      <c r="A112" s="16" t="str">
        <f aca="false">IF(AND(Eingabe!$F$9&gt;0,Eingabe!$E$9&gt;=104),1,"")</f>
        <v/>
      </c>
      <c r="B112" s="16" t="str">
        <f aca="false">IF(AND(Eingabe!$F$9&gt;0,Eingabe!$E$9&gt;=104),Eingabe!$B$9,"")</f>
        <v/>
      </c>
      <c r="C112" s="16" t="str">
        <f aca="false">IF(AND(Eingabe!$F$9&gt;0,Eingabe!$E$9&gt;=104),Eingabe!$C$9&amp;"-Paz."&amp;TEXT(104,"000"),"")</f>
        <v/>
      </c>
      <c r="D112" s="16" t="str">
        <f aca="false">IF(AND(Eingabe!$F$9&gt;0,Eingabe!$E$9&gt;=104),104,"")</f>
        <v/>
      </c>
      <c r="E112" s="16" t="str">
        <f aca="false">IF(AND(Eingabe!$F$9&gt;0,Eingabe!$E$9&gt;=104),IF((Eingabe!$G$9+1)&lt;=9,1000+(Eingabe!$G$9+1)*100,3000)+4,"")</f>
        <v/>
      </c>
      <c r="F112" s="16" t="str">
        <f aca="false">IF(AND(Eingabe!$F$9&gt;0,Eingabe!$E$9&gt;=104),"10."&amp;Eingabe!$D$9&amp;".104.0/24","")</f>
        <v/>
      </c>
      <c r="G112" s="16" t="str">
        <f aca="false">IF(AND(Eingabe!$F$9&gt;0,Eingabe!$E$9&gt;=104),"10."&amp;Eingabe!$D$9&amp;".104.1","")</f>
        <v/>
      </c>
      <c r="H112" s="16" t="str">
        <f aca="false">IF(AND(Eingabe!$F$9&gt;0,Eingabe!$E$9&gt;=104),"10."&amp;Eingabe!$D$9&amp;".104.10 – 10."&amp;Eingabe!$D$9&amp;".104.250","")</f>
        <v/>
      </c>
      <c r="I112" s="16" t="str">
        <f aca="false">IF(AND(Eingabe!$F$9&gt;0,Eingabe!$E$9&gt;=104),Eingabe!$B$6&amp;"-"&amp;Eingabe!$C$9&amp;"-Pächter","")</f>
        <v/>
      </c>
      <c r="J112" s="16" t="str">
        <f aca="false">IF(AND(Eingabe!$F$9&gt;0,Eingabe!$E$9&gt;=104),"PPSK: Passwort Parzelle 104","")</f>
        <v/>
      </c>
      <c r="K112" s="16" t="str">
        <f aca="false">IF(AND(Eingabe!$F$9&gt;0,Eingabe!$E$9&gt;=104),"1. Gerät: 10."&amp;Eingabe!$D$9&amp;".104.10, 2. Gerät: .11","")</f>
        <v/>
      </c>
    </row>
    <row r="113" customFormat="false" ht="15" hidden="false" customHeight="false" outlineLevel="0" collapsed="false">
      <c r="A113" s="16" t="str">
        <f aca="false">IF(AND(Eingabe!$F$9&gt;0,Eingabe!$E$9&gt;=105),1,"")</f>
        <v/>
      </c>
      <c r="B113" s="16" t="str">
        <f aca="false">IF(AND(Eingabe!$F$9&gt;0,Eingabe!$E$9&gt;=105),Eingabe!$B$9,"")</f>
        <v/>
      </c>
      <c r="C113" s="16" t="str">
        <f aca="false">IF(AND(Eingabe!$F$9&gt;0,Eingabe!$E$9&gt;=105),Eingabe!$C$9&amp;"-Paz."&amp;TEXT(105,"000"),"")</f>
        <v/>
      </c>
      <c r="D113" s="16" t="str">
        <f aca="false">IF(AND(Eingabe!$F$9&gt;0,Eingabe!$E$9&gt;=105),105,"")</f>
        <v/>
      </c>
      <c r="E113" s="16" t="str">
        <f aca="false">IF(AND(Eingabe!$F$9&gt;0,Eingabe!$E$9&gt;=105),IF((Eingabe!$G$9+1)&lt;=9,1000+(Eingabe!$G$9+1)*100,3000)+5,"")</f>
        <v/>
      </c>
      <c r="F113" s="16" t="str">
        <f aca="false">IF(AND(Eingabe!$F$9&gt;0,Eingabe!$E$9&gt;=105),"10."&amp;Eingabe!$D$9&amp;".105.0/24","")</f>
        <v/>
      </c>
      <c r="G113" s="16" t="str">
        <f aca="false">IF(AND(Eingabe!$F$9&gt;0,Eingabe!$E$9&gt;=105),"10."&amp;Eingabe!$D$9&amp;".105.1","")</f>
        <v/>
      </c>
      <c r="H113" s="16" t="str">
        <f aca="false">IF(AND(Eingabe!$F$9&gt;0,Eingabe!$E$9&gt;=105),"10."&amp;Eingabe!$D$9&amp;".105.10 – 10."&amp;Eingabe!$D$9&amp;".105.250","")</f>
        <v/>
      </c>
      <c r="I113" s="16" t="str">
        <f aca="false">IF(AND(Eingabe!$F$9&gt;0,Eingabe!$E$9&gt;=105),Eingabe!$B$6&amp;"-"&amp;Eingabe!$C$9&amp;"-Pächter","")</f>
        <v/>
      </c>
      <c r="J113" s="16" t="str">
        <f aca="false">IF(AND(Eingabe!$F$9&gt;0,Eingabe!$E$9&gt;=105),"PPSK: Passwort Parzelle 105","")</f>
        <v/>
      </c>
      <c r="K113" s="16" t="str">
        <f aca="false">IF(AND(Eingabe!$F$9&gt;0,Eingabe!$E$9&gt;=105),"1. Gerät: 10."&amp;Eingabe!$D$9&amp;".105.10, 2. Gerät: .11","")</f>
        <v/>
      </c>
    </row>
    <row r="114" customFormat="false" ht="15" hidden="false" customHeight="false" outlineLevel="0" collapsed="false">
      <c r="A114" s="16" t="str">
        <f aca="false">IF(AND(Eingabe!$F$9&gt;0,Eingabe!$E$9&gt;=106),1,"")</f>
        <v/>
      </c>
      <c r="B114" s="16" t="str">
        <f aca="false">IF(AND(Eingabe!$F$9&gt;0,Eingabe!$E$9&gt;=106),Eingabe!$B$9,"")</f>
        <v/>
      </c>
      <c r="C114" s="16" t="str">
        <f aca="false">IF(AND(Eingabe!$F$9&gt;0,Eingabe!$E$9&gt;=106),Eingabe!$C$9&amp;"-Paz."&amp;TEXT(106,"000"),"")</f>
        <v/>
      </c>
      <c r="D114" s="16" t="str">
        <f aca="false">IF(AND(Eingabe!$F$9&gt;0,Eingabe!$E$9&gt;=106),106,"")</f>
        <v/>
      </c>
      <c r="E114" s="16" t="str">
        <f aca="false">IF(AND(Eingabe!$F$9&gt;0,Eingabe!$E$9&gt;=106),IF((Eingabe!$G$9+1)&lt;=9,1000+(Eingabe!$G$9+1)*100,3000)+6,"")</f>
        <v/>
      </c>
      <c r="F114" s="16" t="str">
        <f aca="false">IF(AND(Eingabe!$F$9&gt;0,Eingabe!$E$9&gt;=106),"10."&amp;Eingabe!$D$9&amp;".106.0/24","")</f>
        <v/>
      </c>
      <c r="G114" s="16" t="str">
        <f aca="false">IF(AND(Eingabe!$F$9&gt;0,Eingabe!$E$9&gt;=106),"10."&amp;Eingabe!$D$9&amp;".106.1","")</f>
        <v/>
      </c>
      <c r="H114" s="16" t="str">
        <f aca="false">IF(AND(Eingabe!$F$9&gt;0,Eingabe!$E$9&gt;=106),"10."&amp;Eingabe!$D$9&amp;".106.10 – 10."&amp;Eingabe!$D$9&amp;".106.250","")</f>
        <v/>
      </c>
      <c r="I114" s="16" t="str">
        <f aca="false">IF(AND(Eingabe!$F$9&gt;0,Eingabe!$E$9&gt;=106),Eingabe!$B$6&amp;"-"&amp;Eingabe!$C$9&amp;"-Pächter","")</f>
        <v/>
      </c>
      <c r="J114" s="16" t="str">
        <f aca="false">IF(AND(Eingabe!$F$9&gt;0,Eingabe!$E$9&gt;=106),"PPSK: Passwort Parzelle 106","")</f>
        <v/>
      </c>
      <c r="K114" s="16" t="str">
        <f aca="false">IF(AND(Eingabe!$F$9&gt;0,Eingabe!$E$9&gt;=106),"1. Gerät: 10."&amp;Eingabe!$D$9&amp;".106.10, 2. Gerät: .11","")</f>
        <v/>
      </c>
    </row>
    <row r="115" customFormat="false" ht="15" hidden="false" customHeight="false" outlineLevel="0" collapsed="false">
      <c r="A115" s="16" t="str">
        <f aca="false">IF(AND(Eingabe!$F$9&gt;0,Eingabe!$E$9&gt;=107),1,"")</f>
        <v/>
      </c>
      <c r="B115" s="16" t="str">
        <f aca="false">IF(AND(Eingabe!$F$9&gt;0,Eingabe!$E$9&gt;=107),Eingabe!$B$9,"")</f>
        <v/>
      </c>
      <c r="C115" s="16" t="str">
        <f aca="false">IF(AND(Eingabe!$F$9&gt;0,Eingabe!$E$9&gt;=107),Eingabe!$C$9&amp;"-Paz."&amp;TEXT(107,"000"),"")</f>
        <v/>
      </c>
      <c r="D115" s="16" t="str">
        <f aca="false">IF(AND(Eingabe!$F$9&gt;0,Eingabe!$E$9&gt;=107),107,"")</f>
        <v/>
      </c>
      <c r="E115" s="16" t="str">
        <f aca="false">IF(AND(Eingabe!$F$9&gt;0,Eingabe!$E$9&gt;=107),IF((Eingabe!$G$9+1)&lt;=9,1000+(Eingabe!$G$9+1)*100,3000)+7,"")</f>
        <v/>
      </c>
      <c r="F115" s="16" t="str">
        <f aca="false">IF(AND(Eingabe!$F$9&gt;0,Eingabe!$E$9&gt;=107),"10."&amp;Eingabe!$D$9&amp;".107.0/24","")</f>
        <v/>
      </c>
      <c r="G115" s="16" t="str">
        <f aca="false">IF(AND(Eingabe!$F$9&gt;0,Eingabe!$E$9&gt;=107),"10."&amp;Eingabe!$D$9&amp;".107.1","")</f>
        <v/>
      </c>
      <c r="H115" s="16" t="str">
        <f aca="false">IF(AND(Eingabe!$F$9&gt;0,Eingabe!$E$9&gt;=107),"10."&amp;Eingabe!$D$9&amp;".107.10 – 10."&amp;Eingabe!$D$9&amp;".107.250","")</f>
        <v/>
      </c>
      <c r="I115" s="16" t="str">
        <f aca="false">IF(AND(Eingabe!$F$9&gt;0,Eingabe!$E$9&gt;=107),Eingabe!$B$6&amp;"-"&amp;Eingabe!$C$9&amp;"-Pächter","")</f>
        <v/>
      </c>
      <c r="J115" s="16" t="str">
        <f aca="false">IF(AND(Eingabe!$F$9&gt;0,Eingabe!$E$9&gt;=107),"PPSK: Passwort Parzelle 107","")</f>
        <v/>
      </c>
      <c r="K115" s="16" t="str">
        <f aca="false">IF(AND(Eingabe!$F$9&gt;0,Eingabe!$E$9&gt;=107),"1. Gerät: 10."&amp;Eingabe!$D$9&amp;".107.10, 2. Gerät: .11","")</f>
        <v/>
      </c>
    </row>
    <row r="116" customFormat="false" ht="15" hidden="false" customHeight="false" outlineLevel="0" collapsed="false">
      <c r="A116" s="16" t="str">
        <f aca="false">IF(AND(Eingabe!$F$9&gt;0,Eingabe!$E$9&gt;=108),1,"")</f>
        <v/>
      </c>
      <c r="B116" s="16" t="str">
        <f aca="false">IF(AND(Eingabe!$F$9&gt;0,Eingabe!$E$9&gt;=108),Eingabe!$B$9,"")</f>
        <v/>
      </c>
      <c r="C116" s="16" t="str">
        <f aca="false">IF(AND(Eingabe!$F$9&gt;0,Eingabe!$E$9&gt;=108),Eingabe!$C$9&amp;"-Paz."&amp;TEXT(108,"000"),"")</f>
        <v/>
      </c>
      <c r="D116" s="16" t="str">
        <f aca="false">IF(AND(Eingabe!$F$9&gt;0,Eingabe!$E$9&gt;=108),108,"")</f>
        <v/>
      </c>
      <c r="E116" s="16" t="str">
        <f aca="false">IF(AND(Eingabe!$F$9&gt;0,Eingabe!$E$9&gt;=108),IF((Eingabe!$G$9+1)&lt;=9,1000+(Eingabe!$G$9+1)*100,3000)+8,"")</f>
        <v/>
      </c>
      <c r="F116" s="16" t="str">
        <f aca="false">IF(AND(Eingabe!$F$9&gt;0,Eingabe!$E$9&gt;=108),"10."&amp;Eingabe!$D$9&amp;".108.0/24","")</f>
        <v/>
      </c>
      <c r="G116" s="16" t="str">
        <f aca="false">IF(AND(Eingabe!$F$9&gt;0,Eingabe!$E$9&gt;=108),"10."&amp;Eingabe!$D$9&amp;".108.1","")</f>
        <v/>
      </c>
      <c r="H116" s="16" t="str">
        <f aca="false">IF(AND(Eingabe!$F$9&gt;0,Eingabe!$E$9&gt;=108),"10."&amp;Eingabe!$D$9&amp;".108.10 – 10."&amp;Eingabe!$D$9&amp;".108.250","")</f>
        <v/>
      </c>
      <c r="I116" s="16" t="str">
        <f aca="false">IF(AND(Eingabe!$F$9&gt;0,Eingabe!$E$9&gt;=108),Eingabe!$B$6&amp;"-"&amp;Eingabe!$C$9&amp;"-Pächter","")</f>
        <v/>
      </c>
      <c r="J116" s="16" t="str">
        <f aca="false">IF(AND(Eingabe!$F$9&gt;0,Eingabe!$E$9&gt;=108),"PPSK: Passwort Parzelle 108","")</f>
        <v/>
      </c>
      <c r="K116" s="16" t="str">
        <f aca="false">IF(AND(Eingabe!$F$9&gt;0,Eingabe!$E$9&gt;=108),"1. Gerät: 10."&amp;Eingabe!$D$9&amp;".108.10, 2. Gerät: .11","")</f>
        <v/>
      </c>
    </row>
    <row r="117" customFormat="false" ht="15" hidden="false" customHeight="false" outlineLevel="0" collapsed="false">
      <c r="A117" s="16" t="str">
        <f aca="false">IF(AND(Eingabe!$F$9&gt;0,Eingabe!$E$9&gt;=109),1,"")</f>
        <v/>
      </c>
      <c r="B117" s="16" t="str">
        <f aca="false">IF(AND(Eingabe!$F$9&gt;0,Eingabe!$E$9&gt;=109),Eingabe!$B$9,"")</f>
        <v/>
      </c>
      <c r="C117" s="16" t="str">
        <f aca="false">IF(AND(Eingabe!$F$9&gt;0,Eingabe!$E$9&gt;=109),Eingabe!$C$9&amp;"-Paz."&amp;TEXT(109,"000"),"")</f>
        <v/>
      </c>
      <c r="D117" s="16" t="str">
        <f aca="false">IF(AND(Eingabe!$F$9&gt;0,Eingabe!$E$9&gt;=109),109,"")</f>
        <v/>
      </c>
      <c r="E117" s="16" t="str">
        <f aca="false">IF(AND(Eingabe!$F$9&gt;0,Eingabe!$E$9&gt;=109),IF((Eingabe!$G$9+1)&lt;=9,1000+(Eingabe!$G$9+1)*100,3000)+9,"")</f>
        <v/>
      </c>
      <c r="F117" s="16" t="str">
        <f aca="false">IF(AND(Eingabe!$F$9&gt;0,Eingabe!$E$9&gt;=109),"10."&amp;Eingabe!$D$9&amp;".109.0/24","")</f>
        <v/>
      </c>
      <c r="G117" s="16" t="str">
        <f aca="false">IF(AND(Eingabe!$F$9&gt;0,Eingabe!$E$9&gt;=109),"10."&amp;Eingabe!$D$9&amp;".109.1","")</f>
        <v/>
      </c>
      <c r="H117" s="16" t="str">
        <f aca="false">IF(AND(Eingabe!$F$9&gt;0,Eingabe!$E$9&gt;=109),"10."&amp;Eingabe!$D$9&amp;".109.10 – 10."&amp;Eingabe!$D$9&amp;".109.250","")</f>
        <v/>
      </c>
      <c r="I117" s="16" t="str">
        <f aca="false">IF(AND(Eingabe!$F$9&gt;0,Eingabe!$E$9&gt;=109),Eingabe!$B$6&amp;"-"&amp;Eingabe!$C$9&amp;"-Pächter","")</f>
        <v/>
      </c>
      <c r="J117" s="16" t="str">
        <f aca="false">IF(AND(Eingabe!$F$9&gt;0,Eingabe!$E$9&gt;=109),"PPSK: Passwort Parzelle 109","")</f>
        <v/>
      </c>
      <c r="K117" s="16" t="str">
        <f aca="false">IF(AND(Eingabe!$F$9&gt;0,Eingabe!$E$9&gt;=109),"1. Gerät: 10."&amp;Eingabe!$D$9&amp;".109.10, 2. Gerät: .11","")</f>
        <v/>
      </c>
    </row>
    <row r="118" customFormat="false" ht="15" hidden="false" customHeight="false" outlineLevel="0" collapsed="false">
      <c r="A118" s="16" t="str">
        <f aca="false">IF(AND(Eingabe!$F$9&gt;0,Eingabe!$E$9&gt;=110),1,"")</f>
        <v/>
      </c>
      <c r="B118" s="16" t="str">
        <f aca="false">IF(AND(Eingabe!$F$9&gt;0,Eingabe!$E$9&gt;=110),Eingabe!$B$9,"")</f>
        <v/>
      </c>
      <c r="C118" s="16" t="str">
        <f aca="false">IF(AND(Eingabe!$F$9&gt;0,Eingabe!$E$9&gt;=110),Eingabe!$C$9&amp;"-Paz."&amp;TEXT(110,"000"),"")</f>
        <v/>
      </c>
      <c r="D118" s="16" t="str">
        <f aca="false">IF(AND(Eingabe!$F$9&gt;0,Eingabe!$E$9&gt;=110),110,"")</f>
        <v/>
      </c>
      <c r="E118" s="16" t="str">
        <f aca="false">IF(AND(Eingabe!$F$9&gt;0,Eingabe!$E$9&gt;=110),IF((Eingabe!$G$9+1)&lt;=9,1000+(Eingabe!$G$9+1)*100,3000)+10,"")</f>
        <v/>
      </c>
      <c r="F118" s="16" t="str">
        <f aca="false">IF(AND(Eingabe!$F$9&gt;0,Eingabe!$E$9&gt;=110),"10."&amp;Eingabe!$D$9&amp;".110.0/24","")</f>
        <v/>
      </c>
      <c r="G118" s="16" t="str">
        <f aca="false">IF(AND(Eingabe!$F$9&gt;0,Eingabe!$E$9&gt;=110),"10."&amp;Eingabe!$D$9&amp;".110.1","")</f>
        <v/>
      </c>
      <c r="H118" s="16" t="str">
        <f aca="false">IF(AND(Eingabe!$F$9&gt;0,Eingabe!$E$9&gt;=110),"10."&amp;Eingabe!$D$9&amp;".110.10 – 10."&amp;Eingabe!$D$9&amp;".110.250","")</f>
        <v/>
      </c>
      <c r="I118" s="16" t="str">
        <f aca="false">IF(AND(Eingabe!$F$9&gt;0,Eingabe!$E$9&gt;=110),Eingabe!$B$6&amp;"-"&amp;Eingabe!$C$9&amp;"-Pächter","")</f>
        <v/>
      </c>
      <c r="J118" s="16" t="str">
        <f aca="false">IF(AND(Eingabe!$F$9&gt;0,Eingabe!$E$9&gt;=110),"PPSK: Passwort Parzelle 110","")</f>
        <v/>
      </c>
      <c r="K118" s="16" t="str">
        <f aca="false">IF(AND(Eingabe!$F$9&gt;0,Eingabe!$E$9&gt;=110),"1. Gerät: 10."&amp;Eingabe!$D$9&amp;".110.10, 2. Gerät: .11","")</f>
        <v/>
      </c>
    </row>
    <row r="119" customFormat="false" ht="15" hidden="false" customHeight="false" outlineLevel="0" collapsed="false">
      <c r="A119" s="16" t="str">
        <f aca="false">IF(AND(Eingabe!$F$9&gt;0,Eingabe!$E$9&gt;=111),1,"")</f>
        <v/>
      </c>
      <c r="B119" s="16" t="str">
        <f aca="false">IF(AND(Eingabe!$F$9&gt;0,Eingabe!$E$9&gt;=111),Eingabe!$B$9,"")</f>
        <v/>
      </c>
      <c r="C119" s="16" t="str">
        <f aca="false">IF(AND(Eingabe!$F$9&gt;0,Eingabe!$E$9&gt;=111),Eingabe!$C$9&amp;"-Paz."&amp;TEXT(111,"000"),"")</f>
        <v/>
      </c>
      <c r="D119" s="16" t="str">
        <f aca="false">IF(AND(Eingabe!$F$9&gt;0,Eingabe!$E$9&gt;=111),111,"")</f>
        <v/>
      </c>
      <c r="E119" s="16" t="str">
        <f aca="false">IF(AND(Eingabe!$F$9&gt;0,Eingabe!$E$9&gt;=111),IF((Eingabe!$G$9+1)&lt;=9,1000+(Eingabe!$G$9+1)*100,3000)+11,"")</f>
        <v/>
      </c>
      <c r="F119" s="16" t="str">
        <f aca="false">IF(AND(Eingabe!$F$9&gt;0,Eingabe!$E$9&gt;=111),"10."&amp;Eingabe!$D$9&amp;".111.0/24","")</f>
        <v/>
      </c>
      <c r="G119" s="16" t="str">
        <f aca="false">IF(AND(Eingabe!$F$9&gt;0,Eingabe!$E$9&gt;=111),"10."&amp;Eingabe!$D$9&amp;".111.1","")</f>
        <v/>
      </c>
      <c r="H119" s="16" t="str">
        <f aca="false">IF(AND(Eingabe!$F$9&gt;0,Eingabe!$E$9&gt;=111),"10."&amp;Eingabe!$D$9&amp;".111.10 – 10."&amp;Eingabe!$D$9&amp;".111.250","")</f>
        <v/>
      </c>
      <c r="I119" s="16" t="str">
        <f aca="false">IF(AND(Eingabe!$F$9&gt;0,Eingabe!$E$9&gt;=111),Eingabe!$B$6&amp;"-"&amp;Eingabe!$C$9&amp;"-Pächter","")</f>
        <v/>
      </c>
      <c r="J119" s="16" t="str">
        <f aca="false">IF(AND(Eingabe!$F$9&gt;0,Eingabe!$E$9&gt;=111),"PPSK: Passwort Parzelle 111","")</f>
        <v/>
      </c>
      <c r="K119" s="16" t="str">
        <f aca="false">IF(AND(Eingabe!$F$9&gt;0,Eingabe!$E$9&gt;=111),"1. Gerät: 10."&amp;Eingabe!$D$9&amp;".111.10, 2. Gerät: .11","")</f>
        <v/>
      </c>
    </row>
    <row r="120" customFormat="false" ht="15" hidden="false" customHeight="false" outlineLevel="0" collapsed="false">
      <c r="A120" s="16" t="str">
        <f aca="false">IF(AND(Eingabe!$F$9&gt;0,Eingabe!$E$9&gt;=112),1,"")</f>
        <v/>
      </c>
      <c r="B120" s="16" t="str">
        <f aca="false">IF(AND(Eingabe!$F$9&gt;0,Eingabe!$E$9&gt;=112),Eingabe!$B$9,"")</f>
        <v/>
      </c>
      <c r="C120" s="16" t="str">
        <f aca="false">IF(AND(Eingabe!$F$9&gt;0,Eingabe!$E$9&gt;=112),Eingabe!$C$9&amp;"-Paz."&amp;TEXT(112,"000"),"")</f>
        <v/>
      </c>
      <c r="D120" s="16" t="str">
        <f aca="false">IF(AND(Eingabe!$F$9&gt;0,Eingabe!$E$9&gt;=112),112,"")</f>
        <v/>
      </c>
      <c r="E120" s="16" t="str">
        <f aca="false">IF(AND(Eingabe!$F$9&gt;0,Eingabe!$E$9&gt;=112),IF((Eingabe!$G$9+1)&lt;=9,1000+(Eingabe!$G$9+1)*100,3000)+12,"")</f>
        <v/>
      </c>
      <c r="F120" s="16" t="str">
        <f aca="false">IF(AND(Eingabe!$F$9&gt;0,Eingabe!$E$9&gt;=112),"10."&amp;Eingabe!$D$9&amp;".112.0/24","")</f>
        <v/>
      </c>
      <c r="G120" s="16" t="str">
        <f aca="false">IF(AND(Eingabe!$F$9&gt;0,Eingabe!$E$9&gt;=112),"10."&amp;Eingabe!$D$9&amp;".112.1","")</f>
        <v/>
      </c>
      <c r="H120" s="16" t="str">
        <f aca="false">IF(AND(Eingabe!$F$9&gt;0,Eingabe!$E$9&gt;=112),"10."&amp;Eingabe!$D$9&amp;".112.10 – 10."&amp;Eingabe!$D$9&amp;".112.250","")</f>
        <v/>
      </c>
      <c r="I120" s="16" t="str">
        <f aca="false">IF(AND(Eingabe!$F$9&gt;0,Eingabe!$E$9&gt;=112),Eingabe!$B$6&amp;"-"&amp;Eingabe!$C$9&amp;"-Pächter","")</f>
        <v/>
      </c>
      <c r="J120" s="16" t="str">
        <f aca="false">IF(AND(Eingabe!$F$9&gt;0,Eingabe!$E$9&gt;=112),"PPSK: Passwort Parzelle 112","")</f>
        <v/>
      </c>
      <c r="K120" s="16" t="str">
        <f aca="false">IF(AND(Eingabe!$F$9&gt;0,Eingabe!$E$9&gt;=112),"1. Gerät: 10."&amp;Eingabe!$D$9&amp;".112.10, 2. Gerät: .11","")</f>
        <v/>
      </c>
    </row>
    <row r="121" customFormat="false" ht="15" hidden="false" customHeight="false" outlineLevel="0" collapsed="false">
      <c r="A121" s="16" t="str">
        <f aca="false">IF(AND(Eingabe!$F$9&gt;0,Eingabe!$E$9&gt;=113),1,"")</f>
        <v/>
      </c>
      <c r="B121" s="16" t="str">
        <f aca="false">IF(AND(Eingabe!$F$9&gt;0,Eingabe!$E$9&gt;=113),Eingabe!$B$9,"")</f>
        <v/>
      </c>
      <c r="C121" s="16" t="str">
        <f aca="false">IF(AND(Eingabe!$F$9&gt;0,Eingabe!$E$9&gt;=113),Eingabe!$C$9&amp;"-Paz."&amp;TEXT(113,"000"),"")</f>
        <v/>
      </c>
      <c r="D121" s="16" t="str">
        <f aca="false">IF(AND(Eingabe!$F$9&gt;0,Eingabe!$E$9&gt;=113),113,"")</f>
        <v/>
      </c>
      <c r="E121" s="16" t="str">
        <f aca="false">IF(AND(Eingabe!$F$9&gt;0,Eingabe!$E$9&gt;=113),IF((Eingabe!$G$9+1)&lt;=9,1000+(Eingabe!$G$9+1)*100,3000)+13,"")</f>
        <v/>
      </c>
      <c r="F121" s="16" t="str">
        <f aca="false">IF(AND(Eingabe!$F$9&gt;0,Eingabe!$E$9&gt;=113),"10."&amp;Eingabe!$D$9&amp;".113.0/24","")</f>
        <v/>
      </c>
      <c r="G121" s="16" t="str">
        <f aca="false">IF(AND(Eingabe!$F$9&gt;0,Eingabe!$E$9&gt;=113),"10."&amp;Eingabe!$D$9&amp;".113.1","")</f>
        <v/>
      </c>
      <c r="H121" s="16" t="str">
        <f aca="false">IF(AND(Eingabe!$F$9&gt;0,Eingabe!$E$9&gt;=113),"10."&amp;Eingabe!$D$9&amp;".113.10 – 10."&amp;Eingabe!$D$9&amp;".113.250","")</f>
        <v/>
      </c>
      <c r="I121" s="16" t="str">
        <f aca="false">IF(AND(Eingabe!$F$9&gt;0,Eingabe!$E$9&gt;=113),Eingabe!$B$6&amp;"-"&amp;Eingabe!$C$9&amp;"-Pächter","")</f>
        <v/>
      </c>
      <c r="J121" s="16" t="str">
        <f aca="false">IF(AND(Eingabe!$F$9&gt;0,Eingabe!$E$9&gt;=113),"PPSK: Passwort Parzelle 113","")</f>
        <v/>
      </c>
      <c r="K121" s="16" t="str">
        <f aca="false">IF(AND(Eingabe!$F$9&gt;0,Eingabe!$E$9&gt;=113),"1. Gerät: 10."&amp;Eingabe!$D$9&amp;".113.10, 2. Gerät: .11","")</f>
        <v/>
      </c>
    </row>
    <row r="122" customFormat="false" ht="15" hidden="false" customHeight="false" outlineLevel="0" collapsed="false">
      <c r="A122" s="16" t="str">
        <f aca="false">IF(AND(Eingabe!$F$9&gt;0,Eingabe!$E$9&gt;=114),1,"")</f>
        <v/>
      </c>
      <c r="B122" s="16" t="str">
        <f aca="false">IF(AND(Eingabe!$F$9&gt;0,Eingabe!$E$9&gt;=114),Eingabe!$B$9,"")</f>
        <v/>
      </c>
      <c r="C122" s="16" t="str">
        <f aca="false">IF(AND(Eingabe!$F$9&gt;0,Eingabe!$E$9&gt;=114),Eingabe!$C$9&amp;"-Paz."&amp;TEXT(114,"000"),"")</f>
        <v/>
      </c>
      <c r="D122" s="16" t="str">
        <f aca="false">IF(AND(Eingabe!$F$9&gt;0,Eingabe!$E$9&gt;=114),114,"")</f>
        <v/>
      </c>
      <c r="E122" s="16" t="str">
        <f aca="false">IF(AND(Eingabe!$F$9&gt;0,Eingabe!$E$9&gt;=114),IF((Eingabe!$G$9+1)&lt;=9,1000+(Eingabe!$G$9+1)*100,3000)+14,"")</f>
        <v/>
      </c>
      <c r="F122" s="16" t="str">
        <f aca="false">IF(AND(Eingabe!$F$9&gt;0,Eingabe!$E$9&gt;=114),"10."&amp;Eingabe!$D$9&amp;".114.0/24","")</f>
        <v/>
      </c>
      <c r="G122" s="16" t="str">
        <f aca="false">IF(AND(Eingabe!$F$9&gt;0,Eingabe!$E$9&gt;=114),"10."&amp;Eingabe!$D$9&amp;".114.1","")</f>
        <v/>
      </c>
      <c r="H122" s="16" t="str">
        <f aca="false">IF(AND(Eingabe!$F$9&gt;0,Eingabe!$E$9&gt;=114),"10."&amp;Eingabe!$D$9&amp;".114.10 – 10."&amp;Eingabe!$D$9&amp;".114.250","")</f>
        <v/>
      </c>
      <c r="I122" s="16" t="str">
        <f aca="false">IF(AND(Eingabe!$F$9&gt;0,Eingabe!$E$9&gt;=114),Eingabe!$B$6&amp;"-"&amp;Eingabe!$C$9&amp;"-Pächter","")</f>
        <v/>
      </c>
      <c r="J122" s="16" t="str">
        <f aca="false">IF(AND(Eingabe!$F$9&gt;0,Eingabe!$E$9&gt;=114),"PPSK: Passwort Parzelle 114","")</f>
        <v/>
      </c>
      <c r="K122" s="16" t="str">
        <f aca="false">IF(AND(Eingabe!$F$9&gt;0,Eingabe!$E$9&gt;=114),"1. Gerät: 10."&amp;Eingabe!$D$9&amp;".114.10, 2. Gerät: .11","")</f>
        <v/>
      </c>
    </row>
    <row r="123" customFormat="false" ht="15" hidden="false" customHeight="false" outlineLevel="0" collapsed="false">
      <c r="A123" s="16" t="str">
        <f aca="false">IF(AND(Eingabe!$F$9&gt;0,Eingabe!$E$9&gt;=115),1,"")</f>
        <v/>
      </c>
      <c r="B123" s="16" t="str">
        <f aca="false">IF(AND(Eingabe!$F$9&gt;0,Eingabe!$E$9&gt;=115),Eingabe!$B$9,"")</f>
        <v/>
      </c>
      <c r="C123" s="16" t="str">
        <f aca="false">IF(AND(Eingabe!$F$9&gt;0,Eingabe!$E$9&gt;=115),Eingabe!$C$9&amp;"-Paz."&amp;TEXT(115,"000"),"")</f>
        <v/>
      </c>
      <c r="D123" s="16" t="str">
        <f aca="false">IF(AND(Eingabe!$F$9&gt;0,Eingabe!$E$9&gt;=115),115,"")</f>
        <v/>
      </c>
      <c r="E123" s="16" t="str">
        <f aca="false">IF(AND(Eingabe!$F$9&gt;0,Eingabe!$E$9&gt;=115),IF((Eingabe!$G$9+1)&lt;=9,1000+(Eingabe!$G$9+1)*100,3000)+15,"")</f>
        <v/>
      </c>
      <c r="F123" s="16" t="str">
        <f aca="false">IF(AND(Eingabe!$F$9&gt;0,Eingabe!$E$9&gt;=115),"10."&amp;Eingabe!$D$9&amp;".115.0/24","")</f>
        <v/>
      </c>
      <c r="G123" s="16" t="str">
        <f aca="false">IF(AND(Eingabe!$F$9&gt;0,Eingabe!$E$9&gt;=115),"10."&amp;Eingabe!$D$9&amp;".115.1","")</f>
        <v/>
      </c>
      <c r="H123" s="16" t="str">
        <f aca="false">IF(AND(Eingabe!$F$9&gt;0,Eingabe!$E$9&gt;=115),"10."&amp;Eingabe!$D$9&amp;".115.10 – 10."&amp;Eingabe!$D$9&amp;".115.250","")</f>
        <v/>
      </c>
      <c r="I123" s="16" t="str">
        <f aca="false">IF(AND(Eingabe!$F$9&gt;0,Eingabe!$E$9&gt;=115),Eingabe!$B$6&amp;"-"&amp;Eingabe!$C$9&amp;"-Pächter","")</f>
        <v/>
      </c>
      <c r="J123" s="16" t="str">
        <f aca="false">IF(AND(Eingabe!$F$9&gt;0,Eingabe!$E$9&gt;=115),"PPSK: Passwort Parzelle 115","")</f>
        <v/>
      </c>
      <c r="K123" s="16" t="str">
        <f aca="false">IF(AND(Eingabe!$F$9&gt;0,Eingabe!$E$9&gt;=115),"1. Gerät: 10."&amp;Eingabe!$D$9&amp;".115.10, 2. Gerät: .11","")</f>
        <v/>
      </c>
    </row>
    <row r="124" customFormat="false" ht="15" hidden="false" customHeight="false" outlineLevel="0" collapsed="false">
      <c r="A124" s="16" t="str">
        <f aca="false">IF(AND(Eingabe!$F$9&gt;0,Eingabe!$E$9&gt;=116),1,"")</f>
        <v/>
      </c>
      <c r="B124" s="16" t="str">
        <f aca="false">IF(AND(Eingabe!$F$9&gt;0,Eingabe!$E$9&gt;=116),Eingabe!$B$9,"")</f>
        <v/>
      </c>
      <c r="C124" s="16" t="str">
        <f aca="false">IF(AND(Eingabe!$F$9&gt;0,Eingabe!$E$9&gt;=116),Eingabe!$C$9&amp;"-Paz."&amp;TEXT(116,"000"),"")</f>
        <v/>
      </c>
      <c r="D124" s="16" t="str">
        <f aca="false">IF(AND(Eingabe!$F$9&gt;0,Eingabe!$E$9&gt;=116),116,"")</f>
        <v/>
      </c>
      <c r="E124" s="16" t="str">
        <f aca="false">IF(AND(Eingabe!$F$9&gt;0,Eingabe!$E$9&gt;=116),IF((Eingabe!$G$9+1)&lt;=9,1000+(Eingabe!$G$9+1)*100,3000)+16,"")</f>
        <v/>
      </c>
      <c r="F124" s="16" t="str">
        <f aca="false">IF(AND(Eingabe!$F$9&gt;0,Eingabe!$E$9&gt;=116),"10."&amp;Eingabe!$D$9&amp;".116.0/24","")</f>
        <v/>
      </c>
      <c r="G124" s="16" t="str">
        <f aca="false">IF(AND(Eingabe!$F$9&gt;0,Eingabe!$E$9&gt;=116),"10."&amp;Eingabe!$D$9&amp;".116.1","")</f>
        <v/>
      </c>
      <c r="H124" s="16" t="str">
        <f aca="false">IF(AND(Eingabe!$F$9&gt;0,Eingabe!$E$9&gt;=116),"10."&amp;Eingabe!$D$9&amp;".116.10 – 10."&amp;Eingabe!$D$9&amp;".116.250","")</f>
        <v/>
      </c>
      <c r="I124" s="16" t="str">
        <f aca="false">IF(AND(Eingabe!$F$9&gt;0,Eingabe!$E$9&gt;=116),Eingabe!$B$6&amp;"-"&amp;Eingabe!$C$9&amp;"-Pächter","")</f>
        <v/>
      </c>
      <c r="J124" s="16" t="str">
        <f aca="false">IF(AND(Eingabe!$F$9&gt;0,Eingabe!$E$9&gt;=116),"PPSK: Passwort Parzelle 116","")</f>
        <v/>
      </c>
      <c r="K124" s="16" t="str">
        <f aca="false">IF(AND(Eingabe!$F$9&gt;0,Eingabe!$E$9&gt;=116),"1. Gerät: 10."&amp;Eingabe!$D$9&amp;".116.10, 2. Gerät: .11","")</f>
        <v/>
      </c>
    </row>
    <row r="125" customFormat="false" ht="15" hidden="false" customHeight="false" outlineLevel="0" collapsed="false">
      <c r="A125" s="16" t="str">
        <f aca="false">IF(AND(Eingabe!$F$9&gt;0,Eingabe!$E$9&gt;=117),1,"")</f>
        <v/>
      </c>
      <c r="B125" s="16" t="str">
        <f aca="false">IF(AND(Eingabe!$F$9&gt;0,Eingabe!$E$9&gt;=117),Eingabe!$B$9,"")</f>
        <v/>
      </c>
      <c r="C125" s="16" t="str">
        <f aca="false">IF(AND(Eingabe!$F$9&gt;0,Eingabe!$E$9&gt;=117),Eingabe!$C$9&amp;"-Paz."&amp;TEXT(117,"000"),"")</f>
        <v/>
      </c>
      <c r="D125" s="16" t="str">
        <f aca="false">IF(AND(Eingabe!$F$9&gt;0,Eingabe!$E$9&gt;=117),117,"")</f>
        <v/>
      </c>
      <c r="E125" s="16" t="str">
        <f aca="false">IF(AND(Eingabe!$F$9&gt;0,Eingabe!$E$9&gt;=117),IF((Eingabe!$G$9+1)&lt;=9,1000+(Eingabe!$G$9+1)*100,3000)+17,"")</f>
        <v/>
      </c>
      <c r="F125" s="16" t="str">
        <f aca="false">IF(AND(Eingabe!$F$9&gt;0,Eingabe!$E$9&gt;=117),"10."&amp;Eingabe!$D$9&amp;".117.0/24","")</f>
        <v/>
      </c>
      <c r="G125" s="16" t="str">
        <f aca="false">IF(AND(Eingabe!$F$9&gt;0,Eingabe!$E$9&gt;=117),"10."&amp;Eingabe!$D$9&amp;".117.1","")</f>
        <v/>
      </c>
      <c r="H125" s="16" t="str">
        <f aca="false">IF(AND(Eingabe!$F$9&gt;0,Eingabe!$E$9&gt;=117),"10."&amp;Eingabe!$D$9&amp;".117.10 – 10."&amp;Eingabe!$D$9&amp;".117.250","")</f>
        <v/>
      </c>
      <c r="I125" s="16" t="str">
        <f aca="false">IF(AND(Eingabe!$F$9&gt;0,Eingabe!$E$9&gt;=117),Eingabe!$B$6&amp;"-"&amp;Eingabe!$C$9&amp;"-Pächter","")</f>
        <v/>
      </c>
      <c r="J125" s="16" t="str">
        <f aca="false">IF(AND(Eingabe!$F$9&gt;0,Eingabe!$E$9&gt;=117),"PPSK: Passwort Parzelle 117","")</f>
        <v/>
      </c>
      <c r="K125" s="16" t="str">
        <f aca="false">IF(AND(Eingabe!$F$9&gt;0,Eingabe!$E$9&gt;=117),"1. Gerät: 10."&amp;Eingabe!$D$9&amp;".117.10, 2. Gerät: .11","")</f>
        <v/>
      </c>
    </row>
    <row r="126" customFormat="false" ht="15" hidden="false" customHeight="false" outlineLevel="0" collapsed="false">
      <c r="A126" s="16" t="str">
        <f aca="false">IF(AND(Eingabe!$F$9&gt;0,Eingabe!$E$9&gt;=118),1,"")</f>
        <v/>
      </c>
      <c r="B126" s="16" t="str">
        <f aca="false">IF(AND(Eingabe!$F$9&gt;0,Eingabe!$E$9&gt;=118),Eingabe!$B$9,"")</f>
        <v/>
      </c>
      <c r="C126" s="16" t="str">
        <f aca="false">IF(AND(Eingabe!$F$9&gt;0,Eingabe!$E$9&gt;=118),Eingabe!$C$9&amp;"-Paz."&amp;TEXT(118,"000"),"")</f>
        <v/>
      </c>
      <c r="D126" s="16" t="str">
        <f aca="false">IF(AND(Eingabe!$F$9&gt;0,Eingabe!$E$9&gt;=118),118,"")</f>
        <v/>
      </c>
      <c r="E126" s="16" t="str">
        <f aca="false">IF(AND(Eingabe!$F$9&gt;0,Eingabe!$E$9&gt;=118),IF((Eingabe!$G$9+1)&lt;=9,1000+(Eingabe!$G$9+1)*100,3000)+18,"")</f>
        <v/>
      </c>
      <c r="F126" s="16" t="str">
        <f aca="false">IF(AND(Eingabe!$F$9&gt;0,Eingabe!$E$9&gt;=118),"10."&amp;Eingabe!$D$9&amp;".118.0/24","")</f>
        <v/>
      </c>
      <c r="G126" s="16" t="str">
        <f aca="false">IF(AND(Eingabe!$F$9&gt;0,Eingabe!$E$9&gt;=118),"10."&amp;Eingabe!$D$9&amp;".118.1","")</f>
        <v/>
      </c>
      <c r="H126" s="16" t="str">
        <f aca="false">IF(AND(Eingabe!$F$9&gt;0,Eingabe!$E$9&gt;=118),"10."&amp;Eingabe!$D$9&amp;".118.10 – 10."&amp;Eingabe!$D$9&amp;".118.250","")</f>
        <v/>
      </c>
      <c r="I126" s="16" t="str">
        <f aca="false">IF(AND(Eingabe!$F$9&gt;0,Eingabe!$E$9&gt;=118),Eingabe!$B$6&amp;"-"&amp;Eingabe!$C$9&amp;"-Pächter","")</f>
        <v/>
      </c>
      <c r="J126" s="16" t="str">
        <f aca="false">IF(AND(Eingabe!$F$9&gt;0,Eingabe!$E$9&gt;=118),"PPSK: Passwort Parzelle 118","")</f>
        <v/>
      </c>
      <c r="K126" s="16" t="str">
        <f aca="false">IF(AND(Eingabe!$F$9&gt;0,Eingabe!$E$9&gt;=118),"1. Gerät: 10."&amp;Eingabe!$D$9&amp;".118.10, 2. Gerät: .11","")</f>
        <v/>
      </c>
    </row>
    <row r="127" customFormat="false" ht="15" hidden="false" customHeight="false" outlineLevel="0" collapsed="false">
      <c r="A127" s="16" t="str">
        <f aca="false">IF(AND(Eingabe!$F$9&gt;0,Eingabe!$E$9&gt;=119),1,"")</f>
        <v/>
      </c>
      <c r="B127" s="16" t="str">
        <f aca="false">IF(AND(Eingabe!$F$9&gt;0,Eingabe!$E$9&gt;=119),Eingabe!$B$9,"")</f>
        <v/>
      </c>
      <c r="C127" s="16" t="str">
        <f aca="false">IF(AND(Eingabe!$F$9&gt;0,Eingabe!$E$9&gt;=119),Eingabe!$C$9&amp;"-Paz."&amp;TEXT(119,"000"),"")</f>
        <v/>
      </c>
      <c r="D127" s="16" t="str">
        <f aca="false">IF(AND(Eingabe!$F$9&gt;0,Eingabe!$E$9&gt;=119),119,"")</f>
        <v/>
      </c>
      <c r="E127" s="16" t="str">
        <f aca="false">IF(AND(Eingabe!$F$9&gt;0,Eingabe!$E$9&gt;=119),IF((Eingabe!$G$9+1)&lt;=9,1000+(Eingabe!$G$9+1)*100,3000)+19,"")</f>
        <v/>
      </c>
      <c r="F127" s="16" t="str">
        <f aca="false">IF(AND(Eingabe!$F$9&gt;0,Eingabe!$E$9&gt;=119),"10."&amp;Eingabe!$D$9&amp;".119.0/24","")</f>
        <v/>
      </c>
      <c r="G127" s="16" t="str">
        <f aca="false">IF(AND(Eingabe!$F$9&gt;0,Eingabe!$E$9&gt;=119),"10."&amp;Eingabe!$D$9&amp;".119.1","")</f>
        <v/>
      </c>
      <c r="H127" s="16" t="str">
        <f aca="false">IF(AND(Eingabe!$F$9&gt;0,Eingabe!$E$9&gt;=119),"10."&amp;Eingabe!$D$9&amp;".119.10 – 10."&amp;Eingabe!$D$9&amp;".119.250","")</f>
        <v/>
      </c>
      <c r="I127" s="16" t="str">
        <f aca="false">IF(AND(Eingabe!$F$9&gt;0,Eingabe!$E$9&gt;=119),Eingabe!$B$6&amp;"-"&amp;Eingabe!$C$9&amp;"-Pächter","")</f>
        <v/>
      </c>
      <c r="J127" s="16" t="str">
        <f aca="false">IF(AND(Eingabe!$F$9&gt;0,Eingabe!$E$9&gt;=119),"PPSK: Passwort Parzelle 119","")</f>
        <v/>
      </c>
      <c r="K127" s="16" t="str">
        <f aca="false">IF(AND(Eingabe!$F$9&gt;0,Eingabe!$E$9&gt;=119),"1. Gerät: 10."&amp;Eingabe!$D$9&amp;".119.10, 2. Gerät: .11","")</f>
        <v/>
      </c>
    </row>
    <row r="128" customFormat="false" ht="15" hidden="false" customHeight="false" outlineLevel="0" collapsed="false">
      <c r="A128" s="16" t="str">
        <f aca="false">IF(AND(Eingabe!$F$9&gt;0,Eingabe!$E$9&gt;=120),1,"")</f>
        <v/>
      </c>
      <c r="B128" s="16" t="str">
        <f aca="false">IF(AND(Eingabe!$F$9&gt;0,Eingabe!$E$9&gt;=120),Eingabe!$B$9,"")</f>
        <v/>
      </c>
      <c r="C128" s="16" t="str">
        <f aca="false">IF(AND(Eingabe!$F$9&gt;0,Eingabe!$E$9&gt;=120),Eingabe!$C$9&amp;"-Paz."&amp;TEXT(120,"000"),"")</f>
        <v/>
      </c>
      <c r="D128" s="16" t="str">
        <f aca="false">IF(AND(Eingabe!$F$9&gt;0,Eingabe!$E$9&gt;=120),120,"")</f>
        <v/>
      </c>
      <c r="E128" s="16" t="str">
        <f aca="false">IF(AND(Eingabe!$F$9&gt;0,Eingabe!$E$9&gt;=120),IF((Eingabe!$G$9+1)&lt;=9,1000+(Eingabe!$G$9+1)*100,3000)+20,"")</f>
        <v/>
      </c>
      <c r="F128" s="16" t="str">
        <f aca="false">IF(AND(Eingabe!$F$9&gt;0,Eingabe!$E$9&gt;=120),"10."&amp;Eingabe!$D$9&amp;".120.0/24","")</f>
        <v/>
      </c>
      <c r="G128" s="16" t="str">
        <f aca="false">IF(AND(Eingabe!$F$9&gt;0,Eingabe!$E$9&gt;=120),"10."&amp;Eingabe!$D$9&amp;".120.1","")</f>
        <v/>
      </c>
      <c r="H128" s="16" t="str">
        <f aca="false">IF(AND(Eingabe!$F$9&gt;0,Eingabe!$E$9&gt;=120),"10."&amp;Eingabe!$D$9&amp;".120.10 – 10."&amp;Eingabe!$D$9&amp;".120.250","")</f>
        <v/>
      </c>
      <c r="I128" s="16" t="str">
        <f aca="false">IF(AND(Eingabe!$F$9&gt;0,Eingabe!$E$9&gt;=120),Eingabe!$B$6&amp;"-"&amp;Eingabe!$C$9&amp;"-Pächter","")</f>
        <v/>
      </c>
      <c r="J128" s="16" t="str">
        <f aca="false">IF(AND(Eingabe!$F$9&gt;0,Eingabe!$E$9&gt;=120),"PPSK: Passwort Parzelle 120","")</f>
        <v/>
      </c>
      <c r="K128" s="16" t="str">
        <f aca="false">IF(AND(Eingabe!$F$9&gt;0,Eingabe!$E$9&gt;=120),"1. Gerät: 10."&amp;Eingabe!$D$9&amp;".120.10, 2. Gerät: .11","")</f>
        <v/>
      </c>
    </row>
    <row r="129" customFormat="false" ht="15" hidden="false" customHeight="false" outlineLevel="0" collapsed="false">
      <c r="A129" s="16" t="str">
        <f aca="false">IF(AND(Eingabe!$F$9&gt;0,Eingabe!$E$9&gt;=121),1,"")</f>
        <v/>
      </c>
      <c r="B129" s="16" t="str">
        <f aca="false">IF(AND(Eingabe!$F$9&gt;0,Eingabe!$E$9&gt;=121),Eingabe!$B$9,"")</f>
        <v/>
      </c>
      <c r="C129" s="16" t="str">
        <f aca="false">IF(AND(Eingabe!$F$9&gt;0,Eingabe!$E$9&gt;=121),Eingabe!$C$9&amp;"-Paz."&amp;TEXT(121,"000"),"")</f>
        <v/>
      </c>
      <c r="D129" s="16" t="str">
        <f aca="false">IF(AND(Eingabe!$F$9&gt;0,Eingabe!$E$9&gt;=121),121,"")</f>
        <v/>
      </c>
      <c r="E129" s="16" t="str">
        <f aca="false">IF(AND(Eingabe!$F$9&gt;0,Eingabe!$E$9&gt;=121),IF((Eingabe!$G$9+1)&lt;=9,1000+(Eingabe!$G$9+1)*100,3000)+21,"")</f>
        <v/>
      </c>
      <c r="F129" s="16" t="str">
        <f aca="false">IF(AND(Eingabe!$F$9&gt;0,Eingabe!$E$9&gt;=121),"10."&amp;Eingabe!$D$9&amp;".121.0/24","")</f>
        <v/>
      </c>
      <c r="G129" s="16" t="str">
        <f aca="false">IF(AND(Eingabe!$F$9&gt;0,Eingabe!$E$9&gt;=121),"10."&amp;Eingabe!$D$9&amp;".121.1","")</f>
        <v/>
      </c>
      <c r="H129" s="16" t="str">
        <f aca="false">IF(AND(Eingabe!$F$9&gt;0,Eingabe!$E$9&gt;=121),"10."&amp;Eingabe!$D$9&amp;".121.10 – 10."&amp;Eingabe!$D$9&amp;".121.250","")</f>
        <v/>
      </c>
      <c r="I129" s="16" t="str">
        <f aca="false">IF(AND(Eingabe!$F$9&gt;0,Eingabe!$E$9&gt;=121),Eingabe!$B$6&amp;"-"&amp;Eingabe!$C$9&amp;"-Pächter","")</f>
        <v/>
      </c>
      <c r="J129" s="16" t="str">
        <f aca="false">IF(AND(Eingabe!$F$9&gt;0,Eingabe!$E$9&gt;=121),"PPSK: Passwort Parzelle 121","")</f>
        <v/>
      </c>
      <c r="K129" s="16" t="str">
        <f aca="false">IF(AND(Eingabe!$F$9&gt;0,Eingabe!$E$9&gt;=121),"1. Gerät: 10."&amp;Eingabe!$D$9&amp;".121.10, 2. Gerät: .11","")</f>
        <v/>
      </c>
    </row>
    <row r="130" customFormat="false" ht="15" hidden="false" customHeight="false" outlineLevel="0" collapsed="false">
      <c r="A130" s="16" t="str">
        <f aca="false">IF(AND(Eingabe!$F$9&gt;0,Eingabe!$E$9&gt;=122),1,"")</f>
        <v/>
      </c>
      <c r="B130" s="16" t="str">
        <f aca="false">IF(AND(Eingabe!$F$9&gt;0,Eingabe!$E$9&gt;=122),Eingabe!$B$9,"")</f>
        <v/>
      </c>
      <c r="C130" s="16" t="str">
        <f aca="false">IF(AND(Eingabe!$F$9&gt;0,Eingabe!$E$9&gt;=122),Eingabe!$C$9&amp;"-Paz."&amp;TEXT(122,"000"),"")</f>
        <v/>
      </c>
      <c r="D130" s="16" t="str">
        <f aca="false">IF(AND(Eingabe!$F$9&gt;0,Eingabe!$E$9&gt;=122),122,"")</f>
        <v/>
      </c>
      <c r="E130" s="16" t="str">
        <f aca="false">IF(AND(Eingabe!$F$9&gt;0,Eingabe!$E$9&gt;=122),IF((Eingabe!$G$9+1)&lt;=9,1000+(Eingabe!$G$9+1)*100,3000)+22,"")</f>
        <v/>
      </c>
      <c r="F130" s="16" t="str">
        <f aca="false">IF(AND(Eingabe!$F$9&gt;0,Eingabe!$E$9&gt;=122),"10."&amp;Eingabe!$D$9&amp;".122.0/24","")</f>
        <v/>
      </c>
      <c r="G130" s="16" t="str">
        <f aca="false">IF(AND(Eingabe!$F$9&gt;0,Eingabe!$E$9&gt;=122),"10."&amp;Eingabe!$D$9&amp;".122.1","")</f>
        <v/>
      </c>
      <c r="H130" s="16" t="str">
        <f aca="false">IF(AND(Eingabe!$F$9&gt;0,Eingabe!$E$9&gt;=122),"10."&amp;Eingabe!$D$9&amp;".122.10 – 10."&amp;Eingabe!$D$9&amp;".122.250","")</f>
        <v/>
      </c>
      <c r="I130" s="16" t="str">
        <f aca="false">IF(AND(Eingabe!$F$9&gt;0,Eingabe!$E$9&gt;=122),Eingabe!$B$6&amp;"-"&amp;Eingabe!$C$9&amp;"-Pächter","")</f>
        <v/>
      </c>
      <c r="J130" s="16" t="str">
        <f aca="false">IF(AND(Eingabe!$F$9&gt;0,Eingabe!$E$9&gt;=122),"PPSK: Passwort Parzelle 122","")</f>
        <v/>
      </c>
      <c r="K130" s="16" t="str">
        <f aca="false">IF(AND(Eingabe!$F$9&gt;0,Eingabe!$E$9&gt;=122),"1. Gerät: 10."&amp;Eingabe!$D$9&amp;".122.10, 2. Gerät: .11","")</f>
        <v/>
      </c>
    </row>
    <row r="131" customFormat="false" ht="15" hidden="false" customHeight="false" outlineLevel="0" collapsed="false">
      <c r="A131" s="16" t="str">
        <f aca="false">IF(AND(Eingabe!$F$9&gt;0,Eingabe!$E$9&gt;=123),1,"")</f>
        <v/>
      </c>
      <c r="B131" s="16" t="str">
        <f aca="false">IF(AND(Eingabe!$F$9&gt;0,Eingabe!$E$9&gt;=123),Eingabe!$B$9,"")</f>
        <v/>
      </c>
      <c r="C131" s="16" t="str">
        <f aca="false">IF(AND(Eingabe!$F$9&gt;0,Eingabe!$E$9&gt;=123),Eingabe!$C$9&amp;"-Paz."&amp;TEXT(123,"000"),"")</f>
        <v/>
      </c>
      <c r="D131" s="16" t="str">
        <f aca="false">IF(AND(Eingabe!$F$9&gt;0,Eingabe!$E$9&gt;=123),123,"")</f>
        <v/>
      </c>
      <c r="E131" s="16" t="str">
        <f aca="false">IF(AND(Eingabe!$F$9&gt;0,Eingabe!$E$9&gt;=123),IF((Eingabe!$G$9+1)&lt;=9,1000+(Eingabe!$G$9+1)*100,3000)+23,"")</f>
        <v/>
      </c>
      <c r="F131" s="16" t="str">
        <f aca="false">IF(AND(Eingabe!$F$9&gt;0,Eingabe!$E$9&gt;=123),"10."&amp;Eingabe!$D$9&amp;".123.0/24","")</f>
        <v/>
      </c>
      <c r="G131" s="16" t="str">
        <f aca="false">IF(AND(Eingabe!$F$9&gt;0,Eingabe!$E$9&gt;=123),"10."&amp;Eingabe!$D$9&amp;".123.1","")</f>
        <v/>
      </c>
      <c r="H131" s="16" t="str">
        <f aca="false">IF(AND(Eingabe!$F$9&gt;0,Eingabe!$E$9&gt;=123),"10."&amp;Eingabe!$D$9&amp;".123.10 – 10."&amp;Eingabe!$D$9&amp;".123.250","")</f>
        <v/>
      </c>
      <c r="I131" s="16" t="str">
        <f aca="false">IF(AND(Eingabe!$F$9&gt;0,Eingabe!$E$9&gt;=123),Eingabe!$B$6&amp;"-"&amp;Eingabe!$C$9&amp;"-Pächter","")</f>
        <v/>
      </c>
      <c r="J131" s="16" t="str">
        <f aca="false">IF(AND(Eingabe!$F$9&gt;0,Eingabe!$E$9&gt;=123),"PPSK: Passwort Parzelle 123","")</f>
        <v/>
      </c>
      <c r="K131" s="16" t="str">
        <f aca="false">IF(AND(Eingabe!$F$9&gt;0,Eingabe!$E$9&gt;=123),"1. Gerät: 10."&amp;Eingabe!$D$9&amp;".123.10, 2. Gerät: .11","")</f>
        <v/>
      </c>
    </row>
    <row r="132" customFormat="false" ht="15" hidden="false" customHeight="false" outlineLevel="0" collapsed="false">
      <c r="A132" s="16" t="str">
        <f aca="false">IF(AND(Eingabe!$F$9&gt;0,Eingabe!$E$9&gt;=124),1,"")</f>
        <v/>
      </c>
      <c r="B132" s="16" t="str">
        <f aca="false">IF(AND(Eingabe!$F$9&gt;0,Eingabe!$E$9&gt;=124),Eingabe!$B$9,"")</f>
        <v/>
      </c>
      <c r="C132" s="16" t="str">
        <f aca="false">IF(AND(Eingabe!$F$9&gt;0,Eingabe!$E$9&gt;=124),Eingabe!$C$9&amp;"-Paz."&amp;TEXT(124,"000"),"")</f>
        <v/>
      </c>
      <c r="D132" s="16" t="str">
        <f aca="false">IF(AND(Eingabe!$F$9&gt;0,Eingabe!$E$9&gt;=124),124,"")</f>
        <v/>
      </c>
      <c r="E132" s="16" t="str">
        <f aca="false">IF(AND(Eingabe!$F$9&gt;0,Eingabe!$E$9&gt;=124),IF((Eingabe!$G$9+1)&lt;=9,1000+(Eingabe!$G$9+1)*100,3000)+24,"")</f>
        <v/>
      </c>
      <c r="F132" s="16" t="str">
        <f aca="false">IF(AND(Eingabe!$F$9&gt;0,Eingabe!$E$9&gt;=124),"10."&amp;Eingabe!$D$9&amp;".124.0/24","")</f>
        <v/>
      </c>
      <c r="G132" s="16" t="str">
        <f aca="false">IF(AND(Eingabe!$F$9&gt;0,Eingabe!$E$9&gt;=124),"10."&amp;Eingabe!$D$9&amp;".124.1","")</f>
        <v/>
      </c>
      <c r="H132" s="16" t="str">
        <f aca="false">IF(AND(Eingabe!$F$9&gt;0,Eingabe!$E$9&gt;=124),"10."&amp;Eingabe!$D$9&amp;".124.10 – 10."&amp;Eingabe!$D$9&amp;".124.250","")</f>
        <v/>
      </c>
      <c r="I132" s="16" t="str">
        <f aca="false">IF(AND(Eingabe!$F$9&gt;0,Eingabe!$E$9&gt;=124),Eingabe!$B$6&amp;"-"&amp;Eingabe!$C$9&amp;"-Pächter","")</f>
        <v/>
      </c>
      <c r="J132" s="16" t="str">
        <f aca="false">IF(AND(Eingabe!$F$9&gt;0,Eingabe!$E$9&gt;=124),"PPSK: Passwort Parzelle 124","")</f>
        <v/>
      </c>
      <c r="K132" s="16" t="str">
        <f aca="false">IF(AND(Eingabe!$F$9&gt;0,Eingabe!$E$9&gt;=124),"1. Gerät: 10."&amp;Eingabe!$D$9&amp;".124.10, 2. Gerät: .11","")</f>
        <v/>
      </c>
    </row>
    <row r="133" customFormat="false" ht="15" hidden="false" customHeight="false" outlineLevel="0" collapsed="false">
      <c r="A133" s="16" t="str">
        <f aca="false">IF(AND(Eingabe!$F$9&gt;0,Eingabe!$E$9&gt;=125),1,"")</f>
        <v/>
      </c>
      <c r="B133" s="16" t="str">
        <f aca="false">IF(AND(Eingabe!$F$9&gt;0,Eingabe!$E$9&gt;=125),Eingabe!$B$9,"")</f>
        <v/>
      </c>
      <c r="C133" s="16" t="str">
        <f aca="false">IF(AND(Eingabe!$F$9&gt;0,Eingabe!$E$9&gt;=125),Eingabe!$C$9&amp;"-Paz."&amp;TEXT(125,"000"),"")</f>
        <v/>
      </c>
      <c r="D133" s="16" t="str">
        <f aca="false">IF(AND(Eingabe!$F$9&gt;0,Eingabe!$E$9&gt;=125),125,"")</f>
        <v/>
      </c>
      <c r="E133" s="16" t="str">
        <f aca="false">IF(AND(Eingabe!$F$9&gt;0,Eingabe!$E$9&gt;=125),IF((Eingabe!$G$9+1)&lt;=9,1000+(Eingabe!$G$9+1)*100,3000)+25,"")</f>
        <v/>
      </c>
      <c r="F133" s="16" t="str">
        <f aca="false">IF(AND(Eingabe!$F$9&gt;0,Eingabe!$E$9&gt;=125),"10."&amp;Eingabe!$D$9&amp;".125.0/24","")</f>
        <v/>
      </c>
      <c r="G133" s="16" t="str">
        <f aca="false">IF(AND(Eingabe!$F$9&gt;0,Eingabe!$E$9&gt;=125),"10."&amp;Eingabe!$D$9&amp;".125.1","")</f>
        <v/>
      </c>
      <c r="H133" s="16" t="str">
        <f aca="false">IF(AND(Eingabe!$F$9&gt;0,Eingabe!$E$9&gt;=125),"10."&amp;Eingabe!$D$9&amp;".125.10 – 10."&amp;Eingabe!$D$9&amp;".125.250","")</f>
        <v/>
      </c>
      <c r="I133" s="16" t="str">
        <f aca="false">IF(AND(Eingabe!$F$9&gt;0,Eingabe!$E$9&gt;=125),Eingabe!$B$6&amp;"-"&amp;Eingabe!$C$9&amp;"-Pächter","")</f>
        <v/>
      </c>
      <c r="J133" s="16" t="str">
        <f aca="false">IF(AND(Eingabe!$F$9&gt;0,Eingabe!$E$9&gt;=125),"PPSK: Passwort Parzelle 125","")</f>
        <v/>
      </c>
      <c r="K133" s="16" t="str">
        <f aca="false">IF(AND(Eingabe!$F$9&gt;0,Eingabe!$E$9&gt;=125),"1. Gerät: 10."&amp;Eingabe!$D$9&amp;".125.10, 2. Gerät: .11","")</f>
        <v/>
      </c>
    </row>
    <row r="134" customFormat="false" ht="15" hidden="false" customHeight="false" outlineLevel="0" collapsed="false">
      <c r="A134" s="16" t="str">
        <f aca="false">IF(AND(Eingabe!$F$9&gt;0,Eingabe!$E$9&gt;=126),1,"")</f>
        <v/>
      </c>
      <c r="B134" s="16" t="str">
        <f aca="false">IF(AND(Eingabe!$F$9&gt;0,Eingabe!$E$9&gt;=126),Eingabe!$B$9,"")</f>
        <v/>
      </c>
      <c r="C134" s="16" t="str">
        <f aca="false">IF(AND(Eingabe!$F$9&gt;0,Eingabe!$E$9&gt;=126),Eingabe!$C$9&amp;"-Paz."&amp;TEXT(126,"000"),"")</f>
        <v/>
      </c>
      <c r="D134" s="16" t="str">
        <f aca="false">IF(AND(Eingabe!$F$9&gt;0,Eingabe!$E$9&gt;=126),126,"")</f>
        <v/>
      </c>
      <c r="E134" s="16" t="str">
        <f aca="false">IF(AND(Eingabe!$F$9&gt;0,Eingabe!$E$9&gt;=126),IF((Eingabe!$G$9+1)&lt;=9,1000+(Eingabe!$G$9+1)*100,3000)+26,"")</f>
        <v/>
      </c>
      <c r="F134" s="16" t="str">
        <f aca="false">IF(AND(Eingabe!$F$9&gt;0,Eingabe!$E$9&gt;=126),"10."&amp;Eingabe!$D$9&amp;".126.0/24","")</f>
        <v/>
      </c>
      <c r="G134" s="16" t="str">
        <f aca="false">IF(AND(Eingabe!$F$9&gt;0,Eingabe!$E$9&gt;=126),"10."&amp;Eingabe!$D$9&amp;".126.1","")</f>
        <v/>
      </c>
      <c r="H134" s="16" t="str">
        <f aca="false">IF(AND(Eingabe!$F$9&gt;0,Eingabe!$E$9&gt;=126),"10."&amp;Eingabe!$D$9&amp;".126.10 – 10."&amp;Eingabe!$D$9&amp;".126.250","")</f>
        <v/>
      </c>
      <c r="I134" s="16" t="str">
        <f aca="false">IF(AND(Eingabe!$F$9&gt;0,Eingabe!$E$9&gt;=126),Eingabe!$B$6&amp;"-"&amp;Eingabe!$C$9&amp;"-Pächter","")</f>
        <v/>
      </c>
      <c r="J134" s="16" t="str">
        <f aca="false">IF(AND(Eingabe!$F$9&gt;0,Eingabe!$E$9&gt;=126),"PPSK: Passwort Parzelle 126","")</f>
        <v/>
      </c>
      <c r="K134" s="16" t="str">
        <f aca="false">IF(AND(Eingabe!$F$9&gt;0,Eingabe!$E$9&gt;=126),"1. Gerät: 10."&amp;Eingabe!$D$9&amp;".126.10, 2. Gerät: .11","")</f>
        <v/>
      </c>
    </row>
    <row r="135" customFormat="false" ht="15" hidden="false" customHeight="false" outlineLevel="0" collapsed="false">
      <c r="A135" s="16" t="str">
        <f aca="false">IF(AND(Eingabe!$F$9&gt;0,Eingabe!$E$9&gt;=127),1,"")</f>
        <v/>
      </c>
      <c r="B135" s="16" t="str">
        <f aca="false">IF(AND(Eingabe!$F$9&gt;0,Eingabe!$E$9&gt;=127),Eingabe!$B$9,"")</f>
        <v/>
      </c>
      <c r="C135" s="16" t="str">
        <f aca="false">IF(AND(Eingabe!$F$9&gt;0,Eingabe!$E$9&gt;=127),Eingabe!$C$9&amp;"-Paz."&amp;TEXT(127,"000"),"")</f>
        <v/>
      </c>
      <c r="D135" s="16" t="str">
        <f aca="false">IF(AND(Eingabe!$F$9&gt;0,Eingabe!$E$9&gt;=127),127,"")</f>
        <v/>
      </c>
      <c r="E135" s="16" t="str">
        <f aca="false">IF(AND(Eingabe!$F$9&gt;0,Eingabe!$E$9&gt;=127),IF((Eingabe!$G$9+1)&lt;=9,1000+(Eingabe!$G$9+1)*100,3000)+27,"")</f>
        <v/>
      </c>
      <c r="F135" s="16" t="str">
        <f aca="false">IF(AND(Eingabe!$F$9&gt;0,Eingabe!$E$9&gt;=127),"10."&amp;Eingabe!$D$9&amp;".127.0/24","")</f>
        <v/>
      </c>
      <c r="G135" s="16" t="str">
        <f aca="false">IF(AND(Eingabe!$F$9&gt;0,Eingabe!$E$9&gt;=127),"10."&amp;Eingabe!$D$9&amp;".127.1","")</f>
        <v/>
      </c>
      <c r="H135" s="16" t="str">
        <f aca="false">IF(AND(Eingabe!$F$9&gt;0,Eingabe!$E$9&gt;=127),"10."&amp;Eingabe!$D$9&amp;".127.10 – 10."&amp;Eingabe!$D$9&amp;".127.250","")</f>
        <v/>
      </c>
      <c r="I135" s="16" t="str">
        <f aca="false">IF(AND(Eingabe!$F$9&gt;0,Eingabe!$E$9&gt;=127),Eingabe!$B$6&amp;"-"&amp;Eingabe!$C$9&amp;"-Pächter","")</f>
        <v/>
      </c>
      <c r="J135" s="16" t="str">
        <f aca="false">IF(AND(Eingabe!$F$9&gt;0,Eingabe!$E$9&gt;=127),"PPSK: Passwort Parzelle 127","")</f>
        <v/>
      </c>
      <c r="K135" s="16" t="str">
        <f aca="false">IF(AND(Eingabe!$F$9&gt;0,Eingabe!$E$9&gt;=127),"1. Gerät: 10."&amp;Eingabe!$D$9&amp;".127.10, 2. Gerät: .11","")</f>
        <v/>
      </c>
    </row>
    <row r="136" customFormat="false" ht="15" hidden="false" customHeight="false" outlineLevel="0" collapsed="false">
      <c r="A136" s="16" t="str">
        <f aca="false">IF(AND(Eingabe!$F$9&gt;0,Eingabe!$E$9&gt;=128),1,"")</f>
        <v/>
      </c>
      <c r="B136" s="16" t="str">
        <f aca="false">IF(AND(Eingabe!$F$9&gt;0,Eingabe!$E$9&gt;=128),Eingabe!$B$9,"")</f>
        <v/>
      </c>
      <c r="C136" s="16" t="str">
        <f aca="false">IF(AND(Eingabe!$F$9&gt;0,Eingabe!$E$9&gt;=128),Eingabe!$C$9&amp;"-Paz."&amp;TEXT(128,"000"),"")</f>
        <v/>
      </c>
      <c r="D136" s="16" t="str">
        <f aca="false">IF(AND(Eingabe!$F$9&gt;0,Eingabe!$E$9&gt;=128),128,"")</f>
        <v/>
      </c>
      <c r="E136" s="16" t="str">
        <f aca="false">IF(AND(Eingabe!$F$9&gt;0,Eingabe!$E$9&gt;=128),IF((Eingabe!$G$9+1)&lt;=9,1000+(Eingabe!$G$9+1)*100,3000)+28,"")</f>
        <v/>
      </c>
      <c r="F136" s="16" t="str">
        <f aca="false">IF(AND(Eingabe!$F$9&gt;0,Eingabe!$E$9&gt;=128),"10."&amp;Eingabe!$D$9&amp;".128.0/24","")</f>
        <v/>
      </c>
      <c r="G136" s="16" t="str">
        <f aca="false">IF(AND(Eingabe!$F$9&gt;0,Eingabe!$E$9&gt;=128),"10."&amp;Eingabe!$D$9&amp;".128.1","")</f>
        <v/>
      </c>
      <c r="H136" s="16" t="str">
        <f aca="false">IF(AND(Eingabe!$F$9&gt;0,Eingabe!$E$9&gt;=128),"10."&amp;Eingabe!$D$9&amp;".128.10 – 10."&amp;Eingabe!$D$9&amp;".128.250","")</f>
        <v/>
      </c>
      <c r="I136" s="16" t="str">
        <f aca="false">IF(AND(Eingabe!$F$9&gt;0,Eingabe!$E$9&gt;=128),Eingabe!$B$6&amp;"-"&amp;Eingabe!$C$9&amp;"-Pächter","")</f>
        <v/>
      </c>
      <c r="J136" s="16" t="str">
        <f aca="false">IF(AND(Eingabe!$F$9&gt;0,Eingabe!$E$9&gt;=128),"PPSK: Passwort Parzelle 128","")</f>
        <v/>
      </c>
      <c r="K136" s="16" t="str">
        <f aca="false">IF(AND(Eingabe!$F$9&gt;0,Eingabe!$E$9&gt;=128),"1. Gerät: 10."&amp;Eingabe!$D$9&amp;".128.10, 2. Gerät: .11","")</f>
        <v/>
      </c>
    </row>
    <row r="137" customFormat="false" ht="15" hidden="false" customHeight="false" outlineLevel="0" collapsed="false">
      <c r="A137" s="16" t="str">
        <f aca="false">IF(AND(Eingabe!$F$9&gt;0,Eingabe!$E$9&gt;=129),1,"")</f>
        <v/>
      </c>
      <c r="B137" s="16" t="str">
        <f aca="false">IF(AND(Eingabe!$F$9&gt;0,Eingabe!$E$9&gt;=129),Eingabe!$B$9,"")</f>
        <v/>
      </c>
      <c r="C137" s="16" t="str">
        <f aca="false">IF(AND(Eingabe!$F$9&gt;0,Eingabe!$E$9&gt;=129),Eingabe!$C$9&amp;"-Paz."&amp;TEXT(129,"000"),"")</f>
        <v/>
      </c>
      <c r="D137" s="16" t="str">
        <f aca="false">IF(AND(Eingabe!$F$9&gt;0,Eingabe!$E$9&gt;=129),129,"")</f>
        <v/>
      </c>
      <c r="E137" s="16" t="str">
        <f aca="false">IF(AND(Eingabe!$F$9&gt;0,Eingabe!$E$9&gt;=129),IF((Eingabe!$G$9+1)&lt;=9,1000+(Eingabe!$G$9+1)*100,3000)+29,"")</f>
        <v/>
      </c>
      <c r="F137" s="16" t="str">
        <f aca="false">IF(AND(Eingabe!$F$9&gt;0,Eingabe!$E$9&gt;=129),"10."&amp;Eingabe!$D$9&amp;".129.0/24","")</f>
        <v/>
      </c>
      <c r="G137" s="16" t="str">
        <f aca="false">IF(AND(Eingabe!$F$9&gt;0,Eingabe!$E$9&gt;=129),"10."&amp;Eingabe!$D$9&amp;".129.1","")</f>
        <v/>
      </c>
      <c r="H137" s="16" t="str">
        <f aca="false">IF(AND(Eingabe!$F$9&gt;0,Eingabe!$E$9&gt;=129),"10."&amp;Eingabe!$D$9&amp;".129.10 – 10."&amp;Eingabe!$D$9&amp;".129.250","")</f>
        <v/>
      </c>
      <c r="I137" s="16" t="str">
        <f aca="false">IF(AND(Eingabe!$F$9&gt;0,Eingabe!$E$9&gt;=129),Eingabe!$B$6&amp;"-"&amp;Eingabe!$C$9&amp;"-Pächter","")</f>
        <v/>
      </c>
      <c r="J137" s="16" t="str">
        <f aca="false">IF(AND(Eingabe!$F$9&gt;0,Eingabe!$E$9&gt;=129),"PPSK: Passwort Parzelle 129","")</f>
        <v/>
      </c>
      <c r="K137" s="16" t="str">
        <f aca="false">IF(AND(Eingabe!$F$9&gt;0,Eingabe!$E$9&gt;=129),"1. Gerät: 10."&amp;Eingabe!$D$9&amp;".129.10, 2. Gerät: .11","")</f>
        <v/>
      </c>
    </row>
    <row r="138" customFormat="false" ht="15" hidden="false" customHeight="false" outlineLevel="0" collapsed="false">
      <c r="A138" s="16" t="str">
        <f aca="false">IF(AND(Eingabe!$F$9&gt;0,Eingabe!$E$9&gt;=130),1,"")</f>
        <v/>
      </c>
      <c r="B138" s="16" t="str">
        <f aca="false">IF(AND(Eingabe!$F$9&gt;0,Eingabe!$E$9&gt;=130),Eingabe!$B$9,"")</f>
        <v/>
      </c>
      <c r="C138" s="16" t="str">
        <f aca="false">IF(AND(Eingabe!$F$9&gt;0,Eingabe!$E$9&gt;=130),Eingabe!$C$9&amp;"-Paz."&amp;TEXT(130,"000"),"")</f>
        <v/>
      </c>
      <c r="D138" s="16" t="str">
        <f aca="false">IF(AND(Eingabe!$F$9&gt;0,Eingabe!$E$9&gt;=130),130,"")</f>
        <v/>
      </c>
      <c r="E138" s="16" t="str">
        <f aca="false">IF(AND(Eingabe!$F$9&gt;0,Eingabe!$E$9&gt;=130),IF((Eingabe!$G$9+1)&lt;=9,1000+(Eingabe!$G$9+1)*100,3000)+30,"")</f>
        <v/>
      </c>
      <c r="F138" s="16" t="str">
        <f aca="false">IF(AND(Eingabe!$F$9&gt;0,Eingabe!$E$9&gt;=130),"10."&amp;Eingabe!$D$9&amp;".130.0/24","")</f>
        <v/>
      </c>
      <c r="G138" s="16" t="str">
        <f aca="false">IF(AND(Eingabe!$F$9&gt;0,Eingabe!$E$9&gt;=130),"10."&amp;Eingabe!$D$9&amp;".130.1","")</f>
        <v/>
      </c>
      <c r="H138" s="16" t="str">
        <f aca="false">IF(AND(Eingabe!$F$9&gt;0,Eingabe!$E$9&gt;=130),"10."&amp;Eingabe!$D$9&amp;".130.10 – 10."&amp;Eingabe!$D$9&amp;".130.250","")</f>
        <v/>
      </c>
      <c r="I138" s="16" t="str">
        <f aca="false">IF(AND(Eingabe!$F$9&gt;0,Eingabe!$E$9&gt;=130),Eingabe!$B$6&amp;"-"&amp;Eingabe!$C$9&amp;"-Pächter","")</f>
        <v/>
      </c>
      <c r="J138" s="16" t="str">
        <f aca="false">IF(AND(Eingabe!$F$9&gt;0,Eingabe!$E$9&gt;=130),"PPSK: Passwort Parzelle 130","")</f>
        <v/>
      </c>
      <c r="K138" s="16" t="str">
        <f aca="false">IF(AND(Eingabe!$F$9&gt;0,Eingabe!$E$9&gt;=130),"1. Gerät: 10."&amp;Eingabe!$D$9&amp;".130.10, 2. Gerät: .11","")</f>
        <v/>
      </c>
    </row>
    <row r="139" customFormat="false" ht="15" hidden="false" customHeight="false" outlineLevel="0" collapsed="false">
      <c r="A139" s="16" t="str">
        <f aca="false">IF(AND(Eingabe!$F$9&gt;0,Eingabe!$E$9&gt;=131),1,"")</f>
        <v/>
      </c>
      <c r="B139" s="16" t="str">
        <f aca="false">IF(AND(Eingabe!$F$9&gt;0,Eingabe!$E$9&gt;=131),Eingabe!$B$9,"")</f>
        <v/>
      </c>
      <c r="C139" s="16" t="str">
        <f aca="false">IF(AND(Eingabe!$F$9&gt;0,Eingabe!$E$9&gt;=131),Eingabe!$C$9&amp;"-Paz."&amp;TEXT(131,"000"),"")</f>
        <v/>
      </c>
      <c r="D139" s="16" t="str">
        <f aca="false">IF(AND(Eingabe!$F$9&gt;0,Eingabe!$E$9&gt;=131),131,"")</f>
        <v/>
      </c>
      <c r="E139" s="16" t="str">
        <f aca="false">IF(AND(Eingabe!$F$9&gt;0,Eingabe!$E$9&gt;=131),IF((Eingabe!$G$9+1)&lt;=9,1000+(Eingabe!$G$9+1)*100,3000)+31,"")</f>
        <v/>
      </c>
      <c r="F139" s="16" t="str">
        <f aca="false">IF(AND(Eingabe!$F$9&gt;0,Eingabe!$E$9&gt;=131),"10."&amp;Eingabe!$D$9&amp;".131.0/24","")</f>
        <v/>
      </c>
      <c r="G139" s="16" t="str">
        <f aca="false">IF(AND(Eingabe!$F$9&gt;0,Eingabe!$E$9&gt;=131),"10."&amp;Eingabe!$D$9&amp;".131.1","")</f>
        <v/>
      </c>
      <c r="H139" s="16" t="str">
        <f aca="false">IF(AND(Eingabe!$F$9&gt;0,Eingabe!$E$9&gt;=131),"10."&amp;Eingabe!$D$9&amp;".131.10 – 10."&amp;Eingabe!$D$9&amp;".131.250","")</f>
        <v/>
      </c>
      <c r="I139" s="16" t="str">
        <f aca="false">IF(AND(Eingabe!$F$9&gt;0,Eingabe!$E$9&gt;=131),Eingabe!$B$6&amp;"-"&amp;Eingabe!$C$9&amp;"-Pächter","")</f>
        <v/>
      </c>
      <c r="J139" s="16" t="str">
        <f aca="false">IF(AND(Eingabe!$F$9&gt;0,Eingabe!$E$9&gt;=131),"PPSK: Passwort Parzelle 131","")</f>
        <v/>
      </c>
      <c r="K139" s="16" t="str">
        <f aca="false">IF(AND(Eingabe!$F$9&gt;0,Eingabe!$E$9&gt;=131),"1. Gerät: 10."&amp;Eingabe!$D$9&amp;".131.10, 2. Gerät: .11","")</f>
        <v/>
      </c>
    </row>
    <row r="140" customFormat="false" ht="15" hidden="false" customHeight="false" outlineLevel="0" collapsed="false">
      <c r="A140" s="16" t="str">
        <f aca="false">IF(AND(Eingabe!$F$9&gt;0,Eingabe!$E$9&gt;=132),1,"")</f>
        <v/>
      </c>
      <c r="B140" s="16" t="str">
        <f aca="false">IF(AND(Eingabe!$F$9&gt;0,Eingabe!$E$9&gt;=132),Eingabe!$B$9,"")</f>
        <v/>
      </c>
      <c r="C140" s="16" t="str">
        <f aca="false">IF(AND(Eingabe!$F$9&gt;0,Eingabe!$E$9&gt;=132),Eingabe!$C$9&amp;"-Paz."&amp;TEXT(132,"000"),"")</f>
        <v/>
      </c>
      <c r="D140" s="16" t="str">
        <f aca="false">IF(AND(Eingabe!$F$9&gt;0,Eingabe!$E$9&gt;=132),132,"")</f>
        <v/>
      </c>
      <c r="E140" s="16" t="str">
        <f aca="false">IF(AND(Eingabe!$F$9&gt;0,Eingabe!$E$9&gt;=132),IF((Eingabe!$G$9+1)&lt;=9,1000+(Eingabe!$G$9+1)*100,3000)+32,"")</f>
        <v/>
      </c>
      <c r="F140" s="16" t="str">
        <f aca="false">IF(AND(Eingabe!$F$9&gt;0,Eingabe!$E$9&gt;=132),"10."&amp;Eingabe!$D$9&amp;".132.0/24","")</f>
        <v/>
      </c>
      <c r="G140" s="16" t="str">
        <f aca="false">IF(AND(Eingabe!$F$9&gt;0,Eingabe!$E$9&gt;=132),"10."&amp;Eingabe!$D$9&amp;".132.1","")</f>
        <v/>
      </c>
      <c r="H140" s="16" t="str">
        <f aca="false">IF(AND(Eingabe!$F$9&gt;0,Eingabe!$E$9&gt;=132),"10."&amp;Eingabe!$D$9&amp;".132.10 – 10."&amp;Eingabe!$D$9&amp;".132.250","")</f>
        <v/>
      </c>
      <c r="I140" s="16" t="str">
        <f aca="false">IF(AND(Eingabe!$F$9&gt;0,Eingabe!$E$9&gt;=132),Eingabe!$B$6&amp;"-"&amp;Eingabe!$C$9&amp;"-Pächter","")</f>
        <v/>
      </c>
      <c r="J140" s="16" t="str">
        <f aca="false">IF(AND(Eingabe!$F$9&gt;0,Eingabe!$E$9&gt;=132),"PPSK: Passwort Parzelle 132","")</f>
        <v/>
      </c>
      <c r="K140" s="16" t="str">
        <f aca="false">IF(AND(Eingabe!$F$9&gt;0,Eingabe!$E$9&gt;=132),"1. Gerät: 10."&amp;Eingabe!$D$9&amp;".132.10, 2. Gerät: .11","")</f>
        <v/>
      </c>
    </row>
    <row r="141" customFormat="false" ht="15" hidden="false" customHeight="false" outlineLevel="0" collapsed="false">
      <c r="A141" s="16" t="str">
        <f aca="false">IF(AND(Eingabe!$F$9&gt;0,Eingabe!$E$9&gt;=133),1,"")</f>
        <v/>
      </c>
      <c r="B141" s="16" t="str">
        <f aca="false">IF(AND(Eingabe!$F$9&gt;0,Eingabe!$E$9&gt;=133),Eingabe!$B$9,"")</f>
        <v/>
      </c>
      <c r="C141" s="16" t="str">
        <f aca="false">IF(AND(Eingabe!$F$9&gt;0,Eingabe!$E$9&gt;=133),Eingabe!$C$9&amp;"-Paz."&amp;TEXT(133,"000"),"")</f>
        <v/>
      </c>
      <c r="D141" s="16" t="str">
        <f aca="false">IF(AND(Eingabe!$F$9&gt;0,Eingabe!$E$9&gt;=133),133,"")</f>
        <v/>
      </c>
      <c r="E141" s="16" t="str">
        <f aca="false">IF(AND(Eingabe!$F$9&gt;0,Eingabe!$E$9&gt;=133),IF((Eingabe!$G$9+1)&lt;=9,1000+(Eingabe!$G$9+1)*100,3000)+33,"")</f>
        <v/>
      </c>
      <c r="F141" s="16" t="str">
        <f aca="false">IF(AND(Eingabe!$F$9&gt;0,Eingabe!$E$9&gt;=133),"10."&amp;Eingabe!$D$9&amp;".133.0/24","")</f>
        <v/>
      </c>
      <c r="G141" s="16" t="str">
        <f aca="false">IF(AND(Eingabe!$F$9&gt;0,Eingabe!$E$9&gt;=133),"10."&amp;Eingabe!$D$9&amp;".133.1","")</f>
        <v/>
      </c>
      <c r="H141" s="16" t="str">
        <f aca="false">IF(AND(Eingabe!$F$9&gt;0,Eingabe!$E$9&gt;=133),"10."&amp;Eingabe!$D$9&amp;".133.10 – 10."&amp;Eingabe!$D$9&amp;".133.250","")</f>
        <v/>
      </c>
      <c r="I141" s="16" t="str">
        <f aca="false">IF(AND(Eingabe!$F$9&gt;0,Eingabe!$E$9&gt;=133),Eingabe!$B$6&amp;"-"&amp;Eingabe!$C$9&amp;"-Pächter","")</f>
        <v/>
      </c>
      <c r="J141" s="16" t="str">
        <f aca="false">IF(AND(Eingabe!$F$9&gt;0,Eingabe!$E$9&gt;=133),"PPSK: Passwort Parzelle 133","")</f>
        <v/>
      </c>
      <c r="K141" s="16" t="str">
        <f aca="false">IF(AND(Eingabe!$F$9&gt;0,Eingabe!$E$9&gt;=133),"1. Gerät: 10."&amp;Eingabe!$D$9&amp;".133.10, 2. Gerät: .11","")</f>
        <v/>
      </c>
    </row>
    <row r="142" customFormat="false" ht="15" hidden="false" customHeight="false" outlineLevel="0" collapsed="false">
      <c r="A142" s="16" t="str">
        <f aca="false">IF(AND(Eingabe!$F$9&gt;0,Eingabe!$E$9&gt;=134),1,"")</f>
        <v/>
      </c>
      <c r="B142" s="16" t="str">
        <f aca="false">IF(AND(Eingabe!$F$9&gt;0,Eingabe!$E$9&gt;=134),Eingabe!$B$9,"")</f>
        <v/>
      </c>
      <c r="C142" s="16" t="str">
        <f aca="false">IF(AND(Eingabe!$F$9&gt;0,Eingabe!$E$9&gt;=134),Eingabe!$C$9&amp;"-Paz."&amp;TEXT(134,"000"),"")</f>
        <v/>
      </c>
      <c r="D142" s="16" t="str">
        <f aca="false">IF(AND(Eingabe!$F$9&gt;0,Eingabe!$E$9&gt;=134),134,"")</f>
        <v/>
      </c>
      <c r="E142" s="16" t="str">
        <f aca="false">IF(AND(Eingabe!$F$9&gt;0,Eingabe!$E$9&gt;=134),IF((Eingabe!$G$9+1)&lt;=9,1000+(Eingabe!$G$9+1)*100,3000)+34,"")</f>
        <v/>
      </c>
      <c r="F142" s="16" t="str">
        <f aca="false">IF(AND(Eingabe!$F$9&gt;0,Eingabe!$E$9&gt;=134),"10."&amp;Eingabe!$D$9&amp;".134.0/24","")</f>
        <v/>
      </c>
      <c r="G142" s="16" t="str">
        <f aca="false">IF(AND(Eingabe!$F$9&gt;0,Eingabe!$E$9&gt;=134),"10."&amp;Eingabe!$D$9&amp;".134.1","")</f>
        <v/>
      </c>
      <c r="H142" s="16" t="str">
        <f aca="false">IF(AND(Eingabe!$F$9&gt;0,Eingabe!$E$9&gt;=134),"10."&amp;Eingabe!$D$9&amp;".134.10 – 10."&amp;Eingabe!$D$9&amp;".134.250","")</f>
        <v/>
      </c>
      <c r="I142" s="16" t="str">
        <f aca="false">IF(AND(Eingabe!$F$9&gt;0,Eingabe!$E$9&gt;=134),Eingabe!$B$6&amp;"-"&amp;Eingabe!$C$9&amp;"-Pächter","")</f>
        <v/>
      </c>
      <c r="J142" s="16" t="str">
        <f aca="false">IF(AND(Eingabe!$F$9&gt;0,Eingabe!$E$9&gt;=134),"PPSK: Passwort Parzelle 134","")</f>
        <v/>
      </c>
      <c r="K142" s="16" t="str">
        <f aca="false">IF(AND(Eingabe!$F$9&gt;0,Eingabe!$E$9&gt;=134),"1. Gerät: 10."&amp;Eingabe!$D$9&amp;".134.10, 2. Gerät: .11","")</f>
        <v/>
      </c>
    </row>
    <row r="143" customFormat="false" ht="15" hidden="false" customHeight="false" outlineLevel="0" collapsed="false">
      <c r="A143" s="16" t="str">
        <f aca="false">IF(AND(Eingabe!$F$9&gt;0,Eingabe!$E$9&gt;=135),1,"")</f>
        <v/>
      </c>
      <c r="B143" s="16" t="str">
        <f aca="false">IF(AND(Eingabe!$F$9&gt;0,Eingabe!$E$9&gt;=135),Eingabe!$B$9,"")</f>
        <v/>
      </c>
      <c r="C143" s="16" t="str">
        <f aca="false">IF(AND(Eingabe!$F$9&gt;0,Eingabe!$E$9&gt;=135),Eingabe!$C$9&amp;"-Paz."&amp;TEXT(135,"000"),"")</f>
        <v/>
      </c>
      <c r="D143" s="16" t="str">
        <f aca="false">IF(AND(Eingabe!$F$9&gt;0,Eingabe!$E$9&gt;=135),135,"")</f>
        <v/>
      </c>
      <c r="E143" s="16" t="str">
        <f aca="false">IF(AND(Eingabe!$F$9&gt;0,Eingabe!$E$9&gt;=135),IF((Eingabe!$G$9+1)&lt;=9,1000+(Eingabe!$G$9+1)*100,3000)+35,"")</f>
        <v/>
      </c>
      <c r="F143" s="16" t="str">
        <f aca="false">IF(AND(Eingabe!$F$9&gt;0,Eingabe!$E$9&gt;=135),"10."&amp;Eingabe!$D$9&amp;".135.0/24","")</f>
        <v/>
      </c>
      <c r="G143" s="16" t="str">
        <f aca="false">IF(AND(Eingabe!$F$9&gt;0,Eingabe!$E$9&gt;=135),"10."&amp;Eingabe!$D$9&amp;".135.1","")</f>
        <v/>
      </c>
      <c r="H143" s="16" t="str">
        <f aca="false">IF(AND(Eingabe!$F$9&gt;0,Eingabe!$E$9&gt;=135),"10."&amp;Eingabe!$D$9&amp;".135.10 – 10."&amp;Eingabe!$D$9&amp;".135.250","")</f>
        <v/>
      </c>
      <c r="I143" s="16" t="str">
        <f aca="false">IF(AND(Eingabe!$F$9&gt;0,Eingabe!$E$9&gt;=135),Eingabe!$B$6&amp;"-"&amp;Eingabe!$C$9&amp;"-Pächter","")</f>
        <v/>
      </c>
      <c r="J143" s="16" t="str">
        <f aca="false">IF(AND(Eingabe!$F$9&gt;0,Eingabe!$E$9&gt;=135),"PPSK: Passwort Parzelle 135","")</f>
        <v/>
      </c>
      <c r="K143" s="16" t="str">
        <f aca="false">IF(AND(Eingabe!$F$9&gt;0,Eingabe!$E$9&gt;=135),"1. Gerät: 10."&amp;Eingabe!$D$9&amp;".135.10, 2. Gerät: .11","")</f>
        <v/>
      </c>
    </row>
    <row r="144" customFormat="false" ht="15" hidden="false" customHeight="false" outlineLevel="0" collapsed="false">
      <c r="A144" s="16" t="str">
        <f aca="false">IF(AND(Eingabe!$F$9&gt;0,Eingabe!$E$9&gt;=136),1,"")</f>
        <v/>
      </c>
      <c r="B144" s="16" t="str">
        <f aca="false">IF(AND(Eingabe!$F$9&gt;0,Eingabe!$E$9&gt;=136),Eingabe!$B$9,"")</f>
        <v/>
      </c>
      <c r="C144" s="16" t="str">
        <f aca="false">IF(AND(Eingabe!$F$9&gt;0,Eingabe!$E$9&gt;=136),Eingabe!$C$9&amp;"-Paz."&amp;TEXT(136,"000"),"")</f>
        <v/>
      </c>
      <c r="D144" s="16" t="str">
        <f aca="false">IF(AND(Eingabe!$F$9&gt;0,Eingabe!$E$9&gt;=136),136,"")</f>
        <v/>
      </c>
      <c r="E144" s="16" t="str">
        <f aca="false">IF(AND(Eingabe!$F$9&gt;0,Eingabe!$E$9&gt;=136),IF((Eingabe!$G$9+1)&lt;=9,1000+(Eingabe!$G$9+1)*100,3000)+36,"")</f>
        <v/>
      </c>
      <c r="F144" s="16" t="str">
        <f aca="false">IF(AND(Eingabe!$F$9&gt;0,Eingabe!$E$9&gt;=136),"10."&amp;Eingabe!$D$9&amp;".136.0/24","")</f>
        <v/>
      </c>
      <c r="G144" s="16" t="str">
        <f aca="false">IF(AND(Eingabe!$F$9&gt;0,Eingabe!$E$9&gt;=136),"10."&amp;Eingabe!$D$9&amp;".136.1","")</f>
        <v/>
      </c>
      <c r="H144" s="16" t="str">
        <f aca="false">IF(AND(Eingabe!$F$9&gt;0,Eingabe!$E$9&gt;=136),"10."&amp;Eingabe!$D$9&amp;".136.10 – 10."&amp;Eingabe!$D$9&amp;".136.250","")</f>
        <v/>
      </c>
      <c r="I144" s="16" t="str">
        <f aca="false">IF(AND(Eingabe!$F$9&gt;0,Eingabe!$E$9&gt;=136),Eingabe!$B$6&amp;"-"&amp;Eingabe!$C$9&amp;"-Pächter","")</f>
        <v/>
      </c>
      <c r="J144" s="16" t="str">
        <f aca="false">IF(AND(Eingabe!$F$9&gt;0,Eingabe!$E$9&gt;=136),"PPSK: Passwort Parzelle 136","")</f>
        <v/>
      </c>
      <c r="K144" s="16" t="str">
        <f aca="false">IF(AND(Eingabe!$F$9&gt;0,Eingabe!$E$9&gt;=136),"1. Gerät: 10."&amp;Eingabe!$D$9&amp;".136.10, 2. Gerät: .11","")</f>
        <v/>
      </c>
    </row>
    <row r="145" customFormat="false" ht="15" hidden="false" customHeight="false" outlineLevel="0" collapsed="false">
      <c r="A145" s="16" t="str">
        <f aca="false">IF(AND(Eingabe!$F$9&gt;0,Eingabe!$E$9&gt;=137),1,"")</f>
        <v/>
      </c>
      <c r="B145" s="16" t="str">
        <f aca="false">IF(AND(Eingabe!$F$9&gt;0,Eingabe!$E$9&gt;=137),Eingabe!$B$9,"")</f>
        <v/>
      </c>
      <c r="C145" s="16" t="str">
        <f aca="false">IF(AND(Eingabe!$F$9&gt;0,Eingabe!$E$9&gt;=137),Eingabe!$C$9&amp;"-Paz."&amp;TEXT(137,"000"),"")</f>
        <v/>
      </c>
      <c r="D145" s="16" t="str">
        <f aca="false">IF(AND(Eingabe!$F$9&gt;0,Eingabe!$E$9&gt;=137),137,"")</f>
        <v/>
      </c>
      <c r="E145" s="16" t="str">
        <f aca="false">IF(AND(Eingabe!$F$9&gt;0,Eingabe!$E$9&gt;=137),IF((Eingabe!$G$9+1)&lt;=9,1000+(Eingabe!$G$9+1)*100,3000)+37,"")</f>
        <v/>
      </c>
      <c r="F145" s="16" t="str">
        <f aca="false">IF(AND(Eingabe!$F$9&gt;0,Eingabe!$E$9&gt;=137),"10."&amp;Eingabe!$D$9&amp;".137.0/24","")</f>
        <v/>
      </c>
      <c r="G145" s="16" t="str">
        <f aca="false">IF(AND(Eingabe!$F$9&gt;0,Eingabe!$E$9&gt;=137),"10."&amp;Eingabe!$D$9&amp;".137.1","")</f>
        <v/>
      </c>
      <c r="H145" s="16" t="str">
        <f aca="false">IF(AND(Eingabe!$F$9&gt;0,Eingabe!$E$9&gt;=137),"10."&amp;Eingabe!$D$9&amp;".137.10 – 10."&amp;Eingabe!$D$9&amp;".137.250","")</f>
        <v/>
      </c>
      <c r="I145" s="16" t="str">
        <f aca="false">IF(AND(Eingabe!$F$9&gt;0,Eingabe!$E$9&gt;=137),Eingabe!$B$6&amp;"-"&amp;Eingabe!$C$9&amp;"-Pächter","")</f>
        <v/>
      </c>
      <c r="J145" s="16" t="str">
        <f aca="false">IF(AND(Eingabe!$F$9&gt;0,Eingabe!$E$9&gt;=137),"PPSK: Passwort Parzelle 137","")</f>
        <v/>
      </c>
      <c r="K145" s="16" t="str">
        <f aca="false">IF(AND(Eingabe!$F$9&gt;0,Eingabe!$E$9&gt;=137),"1. Gerät: 10."&amp;Eingabe!$D$9&amp;".137.10, 2. Gerät: .11","")</f>
        <v/>
      </c>
    </row>
    <row r="146" customFormat="false" ht="15" hidden="false" customHeight="false" outlineLevel="0" collapsed="false">
      <c r="A146" s="16" t="str">
        <f aca="false">IF(AND(Eingabe!$F$9&gt;0,Eingabe!$E$9&gt;=138),1,"")</f>
        <v/>
      </c>
      <c r="B146" s="16" t="str">
        <f aca="false">IF(AND(Eingabe!$F$9&gt;0,Eingabe!$E$9&gt;=138),Eingabe!$B$9,"")</f>
        <v/>
      </c>
      <c r="C146" s="16" t="str">
        <f aca="false">IF(AND(Eingabe!$F$9&gt;0,Eingabe!$E$9&gt;=138),Eingabe!$C$9&amp;"-Paz."&amp;TEXT(138,"000"),"")</f>
        <v/>
      </c>
      <c r="D146" s="16" t="str">
        <f aca="false">IF(AND(Eingabe!$F$9&gt;0,Eingabe!$E$9&gt;=138),138,"")</f>
        <v/>
      </c>
      <c r="E146" s="16" t="str">
        <f aca="false">IF(AND(Eingabe!$F$9&gt;0,Eingabe!$E$9&gt;=138),IF((Eingabe!$G$9+1)&lt;=9,1000+(Eingabe!$G$9+1)*100,3000)+38,"")</f>
        <v/>
      </c>
      <c r="F146" s="16" t="str">
        <f aca="false">IF(AND(Eingabe!$F$9&gt;0,Eingabe!$E$9&gt;=138),"10."&amp;Eingabe!$D$9&amp;".138.0/24","")</f>
        <v/>
      </c>
      <c r="G146" s="16" t="str">
        <f aca="false">IF(AND(Eingabe!$F$9&gt;0,Eingabe!$E$9&gt;=138),"10."&amp;Eingabe!$D$9&amp;".138.1","")</f>
        <v/>
      </c>
      <c r="H146" s="16" t="str">
        <f aca="false">IF(AND(Eingabe!$F$9&gt;0,Eingabe!$E$9&gt;=138),"10."&amp;Eingabe!$D$9&amp;".138.10 – 10."&amp;Eingabe!$D$9&amp;".138.250","")</f>
        <v/>
      </c>
      <c r="I146" s="16" t="str">
        <f aca="false">IF(AND(Eingabe!$F$9&gt;0,Eingabe!$E$9&gt;=138),Eingabe!$B$6&amp;"-"&amp;Eingabe!$C$9&amp;"-Pächter","")</f>
        <v/>
      </c>
      <c r="J146" s="16" t="str">
        <f aca="false">IF(AND(Eingabe!$F$9&gt;0,Eingabe!$E$9&gt;=138),"PPSK: Passwort Parzelle 138","")</f>
        <v/>
      </c>
      <c r="K146" s="16" t="str">
        <f aca="false">IF(AND(Eingabe!$F$9&gt;0,Eingabe!$E$9&gt;=138),"1. Gerät: 10."&amp;Eingabe!$D$9&amp;".138.10, 2. Gerät: .11","")</f>
        <v/>
      </c>
    </row>
    <row r="147" customFormat="false" ht="15" hidden="false" customHeight="false" outlineLevel="0" collapsed="false">
      <c r="A147" s="16" t="str">
        <f aca="false">IF(AND(Eingabe!$F$9&gt;0,Eingabe!$E$9&gt;=139),1,"")</f>
        <v/>
      </c>
      <c r="B147" s="16" t="str">
        <f aca="false">IF(AND(Eingabe!$F$9&gt;0,Eingabe!$E$9&gt;=139),Eingabe!$B$9,"")</f>
        <v/>
      </c>
      <c r="C147" s="16" t="str">
        <f aca="false">IF(AND(Eingabe!$F$9&gt;0,Eingabe!$E$9&gt;=139),Eingabe!$C$9&amp;"-Paz."&amp;TEXT(139,"000"),"")</f>
        <v/>
      </c>
      <c r="D147" s="16" t="str">
        <f aca="false">IF(AND(Eingabe!$F$9&gt;0,Eingabe!$E$9&gt;=139),139,"")</f>
        <v/>
      </c>
      <c r="E147" s="16" t="str">
        <f aca="false">IF(AND(Eingabe!$F$9&gt;0,Eingabe!$E$9&gt;=139),IF((Eingabe!$G$9+1)&lt;=9,1000+(Eingabe!$G$9+1)*100,3000)+39,"")</f>
        <v/>
      </c>
      <c r="F147" s="16" t="str">
        <f aca="false">IF(AND(Eingabe!$F$9&gt;0,Eingabe!$E$9&gt;=139),"10."&amp;Eingabe!$D$9&amp;".139.0/24","")</f>
        <v/>
      </c>
      <c r="G147" s="16" t="str">
        <f aca="false">IF(AND(Eingabe!$F$9&gt;0,Eingabe!$E$9&gt;=139),"10."&amp;Eingabe!$D$9&amp;".139.1","")</f>
        <v/>
      </c>
      <c r="H147" s="16" t="str">
        <f aca="false">IF(AND(Eingabe!$F$9&gt;0,Eingabe!$E$9&gt;=139),"10."&amp;Eingabe!$D$9&amp;".139.10 – 10."&amp;Eingabe!$D$9&amp;".139.250","")</f>
        <v/>
      </c>
      <c r="I147" s="16" t="str">
        <f aca="false">IF(AND(Eingabe!$F$9&gt;0,Eingabe!$E$9&gt;=139),Eingabe!$B$6&amp;"-"&amp;Eingabe!$C$9&amp;"-Pächter","")</f>
        <v/>
      </c>
      <c r="J147" s="16" t="str">
        <f aca="false">IF(AND(Eingabe!$F$9&gt;0,Eingabe!$E$9&gt;=139),"PPSK: Passwort Parzelle 139","")</f>
        <v/>
      </c>
      <c r="K147" s="16" t="str">
        <f aca="false">IF(AND(Eingabe!$F$9&gt;0,Eingabe!$E$9&gt;=139),"1. Gerät: 10."&amp;Eingabe!$D$9&amp;".139.10, 2. Gerät: .11","")</f>
        <v/>
      </c>
    </row>
    <row r="148" customFormat="false" ht="15" hidden="false" customHeight="false" outlineLevel="0" collapsed="false">
      <c r="A148" s="16" t="str">
        <f aca="false">IF(AND(Eingabe!$F$9&gt;0,Eingabe!$E$9&gt;=140),1,"")</f>
        <v/>
      </c>
      <c r="B148" s="16" t="str">
        <f aca="false">IF(AND(Eingabe!$F$9&gt;0,Eingabe!$E$9&gt;=140),Eingabe!$B$9,"")</f>
        <v/>
      </c>
      <c r="C148" s="16" t="str">
        <f aca="false">IF(AND(Eingabe!$F$9&gt;0,Eingabe!$E$9&gt;=140),Eingabe!$C$9&amp;"-Paz."&amp;TEXT(140,"000"),"")</f>
        <v/>
      </c>
      <c r="D148" s="16" t="str">
        <f aca="false">IF(AND(Eingabe!$F$9&gt;0,Eingabe!$E$9&gt;=140),140,"")</f>
        <v/>
      </c>
      <c r="E148" s="16" t="str">
        <f aca="false">IF(AND(Eingabe!$F$9&gt;0,Eingabe!$E$9&gt;=140),IF((Eingabe!$G$9+1)&lt;=9,1000+(Eingabe!$G$9+1)*100,3000)+40,"")</f>
        <v/>
      </c>
      <c r="F148" s="16" t="str">
        <f aca="false">IF(AND(Eingabe!$F$9&gt;0,Eingabe!$E$9&gt;=140),"10."&amp;Eingabe!$D$9&amp;".140.0/24","")</f>
        <v/>
      </c>
      <c r="G148" s="16" t="str">
        <f aca="false">IF(AND(Eingabe!$F$9&gt;0,Eingabe!$E$9&gt;=140),"10."&amp;Eingabe!$D$9&amp;".140.1","")</f>
        <v/>
      </c>
      <c r="H148" s="16" t="str">
        <f aca="false">IF(AND(Eingabe!$F$9&gt;0,Eingabe!$E$9&gt;=140),"10."&amp;Eingabe!$D$9&amp;".140.10 – 10."&amp;Eingabe!$D$9&amp;".140.250","")</f>
        <v/>
      </c>
      <c r="I148" s="16" t="str">
        <f aca="false">IF(AND(Eingabe!$F$9&gt;0,Eingabe!$E$9&gt;=140),Eingabe!$B$6&amp;"-"&amp;Eingabe!$C$9&amp;"-Pächter","")</f>
        <v/>
      </c>
      <c r="J148" s="16" t="str">
        <f aca="false">IF(AND(Eingabe!$F$9&gt;0,Eingabe!$E$9&gt;=140),"PPSK: Passwort Parzelle 140","")</f>
        <v/>
      </c>
      <c r="K148" s="16" t="str">
        <f aca="false">IF(AND(Eingabe!$F$9&gt;0,Eingabe!$E$9&gt;=140),"1. Gerät: 10."&amp;Eingabe!$D$9&amp;".140.10, 2. Gerät: .11","")</f>
        <v/>
      </c>
    </row>
    <row r="149" customFormat="false" ht="15" hidden="false" customHeight="false" outlineLevel="0" collapsed="false">
      <c r="A149" s="16" t="str">
        <f aca="false">IF(AND(Eingabe!$F$9&gt;0,Eingabe!$E$9&gt;=141),1,"")</f>
        <v/>
      </c>
      <c r="B149" s="16" t="str">
        <f aca="false">IF(AND(Eingabe!$F$9&gt;0,Eingabe!$E$9&gt;=141),Eingabe!$B$9,"")</f>
        <v/>
      </c>
      <c r="C149" s="16" t="str">
        <f aca="false">IF(AND(Eingabe!$F$9&gt;0,Eingabe!$E$9&gt;=141),Eingabe!$C$9&amp;"-Paz."&amp;TEXT(141,"000"),"")</f>
        <v/>
      </c>
      <c r="D149" s="16" t="str">
        <f aca="false">IF(AND(Eingabe!$F$9&gt;0,Eingabe!$E$9&gt;=141),141,"")</f>
        <v/>
      </c>
      <c r="E149" s="16" t="str">
        <f aca="false">IF(AND(Eingabe!$F$9&gt;0,Eingabe!$E$9&gt;=141),IF((Eingabe!$G$9+1)&lt;=9,1000+(Eingabe!$G$9+1)*100,3000)+41,"")</f>
        <v/>
      </c>
      <c r="F149" s="16" t="str">
        <f aca="false">IF(AND(Eingabe!$F$9&gt;0,Eingabe!$E$9&gt;=141),"10."&amp;Eingabe!$D$9&amp;".141.0/24","")</f>
        <v/>
      </c>
      <c r="G149" s="16" t="str">
        <f aca="false">IF(AND(Eingabe!$F$9&gt;0,Eingabe!$E$9&gt;=141),"10."&amp;Eingabe!$D$9&amp;".141.1","")</f>
        <v/>
      </c>
      <c r="H149" s="16" t="str">
        <f aca="false">IF(AND(Eingabe!$F$9&gt;0,Eingabe!$E$9&gt;=141),"10."&amp;Eingabe!$D$9&amp;".141.10 – 10."&amp;Eingabe!$D$9&amp;".141.250","")</f>
        <v/>
      </c>
      <c r="I149" s="16" t="str">
        <f aca="false">IF(AND(Eingabe!$F$9&gt;0,Eingabe!$E$9&gt;=141),Eingabe!$B$6&amp;"-"&amp;Eingabe!$C$9&amp;"-Pächter","")</f>
        <v/>
      </c>
      <c r="J149" s="16" t="str">
        <f aca="false">IF(AND(Eingabe!$F$9&gt;0,Eingabe!$E$9&gt;=141),"PPSK: Passwort Parzelle 141","")</f>
        <v/>
      </c>
      <c r="K149" s="16" t="str">
        <f aca="false">IF(AND(Eingabe!$F$9&gt;0,Eingabe!$E$9&gt;=141),"1. Gerät: 10."&amp;Eingabe!$D$9&amp;".141.10, 2. Gerät: .11","")</f>
        <v/>
      </c>
    </row>
    <row r="150" customFormat="false" ht="15" hidden="false" customHeight="false" outlineLevel="0" collapsed="false">
      <c r="A150" s="16" t="str">
        <f aca="false">IF(AND(Eingabe!$F$9&gt;0,Eingabe!$E$9&gt;=142),1,"")</f>
        <v/>
      </c>
      <c r="B150" s="16" t="str">
        <f aca="false">IF(AND(Eingabe!$F$9&gt;0,Eingabe!$E$9&gt;=142),Eingabe!$B$9,"")</f>
        <v/>
      </c>
      <c r="C150" s="16" t="str">
        <f aca="false">IF(AND(Eingabe!$F$9&gt;0,Eingabe!$E$9&gt;=142),Eingabe!$C$9&amp;"-Paz."&amp;TEXT(142,"000"),"")</f>
        <v/>
      </c>
      <c r="D150" s="16" t="str">
        <f aca="false">IF(AND(Eingabe!$F$9&gt;0,Eingabe!$E$9&gt;=142),142,"")</f>
        <v/>
      </c>
      <c r="E150" s="16" t="str">
        <f aca="false">IF(AND(Eingabe!$F$9&gt;0,Eingabe!$E$9&gt;=142),IF((Eingabe!$G$9+1)&lt;=9,1000+(Eingabe!$G$9+1)*100,3000)+42,"")</f>
        <v/>
      </c>
      <c r="F150" s="16" t="str">
        <f aca="false">IF(AND(Eingabe!$F$9&gt;0,Eingabe!$E$9&gt;=142),"10."&amp;Eingabe!$D$9&amp;".142.0/24","")</f>
        <v/>
      </c>
      <c r="G150" s="16" t="str">
        <f aca="false">IF(AND(Eingabe!$F$9&gt;0,Eingabe!$E$9&gt;=142),"10."&amp;Eingabe!$D$9&amp;".142.1","")</f>
        <v/>
      </c>
      <c r="H150" s="16" t="str">
        <f aca="false">IF(AND(Eingabe!$F$9&gt;0,Eingabe!$E$9&gt;=142),"10."&amp;Eingabe!$D$9&amp;".142.10 – 10."&amp;Eingabe!$D$9&amp;".142.250","")</f>
        <v/>
      </c>
      <c r="I150" s="16" t="str">
        <f aca="false">IF(AND(Eingabe!$F$9&gt;0,Eingabe!$E$9&gt;=142),Eingabe!$B$6&amp;"-"&amp;Eingabe!$C$9&amp;"-Pächter","")</f>
        <v/>
      </c>
      <c r="J150" s="16" t="str">
        <f aca="false">IF(AND(Eingabe!$F$9&gt;0,Eingabe!$E$9&gt;=142),"PPSK: Passwort Parzelle 142","")</f>
        <v/>
      </c>
      <c r="K150" s="16" t="str">
        <f aca="false">IF(AND(Eingabe!$F$9&gt;0,Eingabe!$E$9&gt;=142),"1. Gerät: 10."&amp;Eingabe!$D$9&amp;".142.10, 2. Gerät: .11","")</f>
        <v/>
      </c>
    </row>
    <row r="151" customFormat="false" ht="15" hidden="false" customHeight="false" outlineLevel="0" collapsed="false">
      <c r="A151" s="16" t="str">
        <f aca="false">IF(AND(Eingabe!$F$9&gt;0,Eingabe!$E$9&gt;=143),1,"")</f>
        <v/>
      </c>
      <c r="B151" s="16" t="str">
        <f aca="false">IF(AND(Eingabe!$F$9&gt;0,Eingabe!$E$9&gt;=143),Eingabe!$B$9,"")</f>
        <v/>
      </c>
      <c r="C151" s="16" t="str">
        <f aca="false">IF(AND(Eingabe!$F$9&gt;0,Eingabe!$E$9&gt;=143),Eingabe!$C$9&amp;"-Paz."&amp;TEXT(143,"000"),"")</f>
        <v/>
      </c>
      <c r="D151" s="16" t="str">
        <f aca="false">IF(AND(Eingabe!$F$9&gt;0,Eingabe!$E$9&gt;=143),143,"")</f>
        <v/>
      </c>
      <c r="E151" s="16" t="str">
        <f aca="false">IF(AND(Eingabe!$F$9&gt;0,Eingabe!$E$9&gt;=143),IF((Eingabe!$G$9+1)&lt;=9,1000+(Eingabe!$G$9+1)*100,3000)+43,"")</f>
        <v/>
      </c>
      <c r="F151" s="16" t="str">
        <f aca="false">IF(AND(Eingabe!$F$9&gt;0,Eingabe!$E$9&gt;=143),"10."&amp;Eingabe!$D$9&amp;".143.0/24","")</f>
        <v/>
      </c>
      <c r="G151" s="16" t="str">
        <f aca="false">IF(AND(Eingabe!$F$9&gt;0,Eingabe!$E$9&gt;=143),"10."&amp;Eingabe!$D$9&amp;".143.1","")</f>
        <v/>
      </c>
      <c r="H151" s="16" t="str">
        <f aca="false">IF(AND(Eingabe!$F$9&gt;0,Eingabe!$E$9&gt;=143),"10."&amp;Eingabe!$D$9&amp;".143.10 – 10."&amp;Eingabe!$D$9&amp;".143.250","")</f>
        <v/>
      </c>
      <c r="I151" s="16" t="str">
        <f aca="false">IF(AND(Eingabe!$F$9&gt;0,Eingabe!$E$9&gt;=143),Eingabe!$B$6&amp;"-"&amp;Eingabe!$C$9&amp;"-Pächter","")</f>
        <v/>
      </c>
      <c r="J151" s="16" t="str">
        <f aca="false">IF(AND(Eingabe!$F$9&gt;0,Eingabe!$E$9&gt;=143),"PPSK: Passwort Parzelle 143","")</f>
        <v/>
      </c>
      <c r="K151" s="16" t="str">
        <f aca="false">IF(AND(Eingabe!$F$9&gt;0,Eingabe!$E$9&gt;=143),"1. Gerät: 10."&amp;Eingabe!$D$9&amp;".143.10, 2. Gerät: .11","")</f>
        <v/>
      </c>
    </row>
    <row r="152" customFormat="false" ht="15" hidden="false" customHeight="false" outlineLevel="0" collapsed="false">
      <c r="A152" s="16" t="str">
        <f aca="false">IF(AND(Eingabe!$F$9&gt;0,Eingabe!$E$9&gt;=144),1,"")</f>
        <v/>
      </c>
      <c r="B152" s="16" t="str">
        <f aca="false">IF(AND(Eingabe!$F$9&gt;0,Eingabe!$E$9&gt;=144),Eingabe!$B$9,"")</f>
        <v/>
      </c>
      <c r="C152" s="16" t="str">
        <f aca="false">IF(AND(Eingabe!$F$9&gt;0,Eingabe!$E$9&gt;=144),Eingabe!$C$9&amp;"-Paz."&amp;TEXT(144,"000"),"")</f>
        <v/>
      </c>
      <c r="D152" s="16" t="str">
        <f aca="false">IF(AND(Eingabe!$F$9&gt;0,Eingabe!$E$9&gt;=144),144,"")</f>
        <v/>
      </c>
      <c r="E152" s="16" t="str">
        <f aca="false">IF(AND(Eingabe!$F$9&gt;0,Eingabe!$E$9&gt;=144),IF((Eingabe!$G$9+1)&lt;=9,1000+(Eingabe!$G$9+1)*100,3000)+44,"")</f>
        <v/>
      </c>
      <c r="F152" s="16" t="str">
        <f aca="false">IF(AND(Eingabe!$F$9&gt;0,Eingabe!$E$9&gt;=144),"10."&amp;Eingabe!$D$9&amp;".144.0/24","")</f>
        <v/>
      </c>
      <c r="G152" s="16" t="str">
        <f aca="false">IF(AND(Eingabe!$F$9&gt;0,Eingabe!$E$9&gt;=144),"10."&amp;Eingabe!$D$9&amp;".144.1","")</f>
        <v/>
      </c>
      <c r="H152" s="16" t="str">
        <f aca="false">IF(AND(Eingabe!$F$9&gt;0,Eingabe!$E$9&gt;=144),"10."&amp;Eingabe!$D$9&amp;".144.10 – 10."&amp;Eingabe!$D$9&amp;".144.250","")</f>
        <v/>
      </c>
      <c r="I152" s="16" t="str">
        <f aca="false">IF(AND(Eingabe!$F$9&gt;0,Eingabe!$E$9&gt;=144),Eingabe!$B$6&amp;"-"&amp;Eingabe!$C$9&amp;"-Pächter","")</f>
        <v/>
      </c>
      <c r="J152" s="16" t="str">
        <f aca="false">IF(AND(Eingabe!$F$9&gt;0,Eingabe!$E$9&gt;=144),"PPSK: Passwort Parzelle 144","")</f>
        <v/>
      </c>
      <c r="K152" s="16" t="str">
        <f aca="false">IF(AND(Eingabe!$F$9&gt;0,Eingabe!$E$9&gt;=144),"1. Gerät: 10."&amp;Eingabe!$D$9&amp;".144.10, 2. Gerät: .11","")</f>
        <v/>
      </c>
    </row>
    <row r="153" customFormat="false" ht="15" hidden="false" customHeight="false" outlineLevel="0" collapsed="false">
      <c r="A153" s="16" t="str">
        <f aca="false">IF(AND(Eingabe!$F$9&gt;0,Eingabe!$E$9&gt;=145),1,"")</f>
        <v/>
      </c>
      <c r="B153" s="16" t="str">
        <f aca="false">IF(AND(Eingabe!$F$9&gt;0,Eingabe!$E$9&gt;=145),Eingabe!$B$9,"")</f>
        <v/>
      </c>
      <c r="C153" s="16" t="str">
        <f aca="false">IF(AND(Eingabe!$F$9&gt;0,Eingabe!$E$9&gt;=145),Eingabe!$C$9&amp;"-Paz."&amp;TEXT(145,"000"),"")</f>
        <v/>
      </c>
      <c r="D153" s="16" t="str">
        <f aca="false">IF(AND(Eingabe!$F$9&gt;0,Eingabe!$E$9&gt;=145),145,"")</f>
        <v/>
      </c>
      <c r="E153" s="16" t="str">
        <f aca="false">IF(AND(Eingabe!$F$9&gt;0,Eingabe!$E$9&gt;=145),IF((Eingabe!$G$9+1)&lt;=9,1000+(Eingabe!$G$9+1)*100,3000)+45,"")</f>
        <v/>
      </c>
      <c r="F153" s="16" t="str">
        <f aca="false">IF(AND(Eingabe!$F$9&gt;0,Eingabe!$E$9&gt;=145),"10."&amp;Eingabe!$D$9&amp;".145.0/24","")</f>
        <v/>
      </c>
      <c r="G153" s="16" t="str">
        <f aca="false">IF(AND(Eingabe!$F$9&gt;0,Eingabe!$E$9&gt;=145),"10."&amp;Eingabe!$D$9&amp;".145.1","")</f>
        <v/>
      </c>
      <c r="H153" s="16" t="str">
        <f aca="false">IF(AND(Eingabe!$F$9&gt;0,Eingabe!$E$9&gt;=145),"10."&amp;Eingabe!$D$9&amp;".145.10 – 10."&amp;Eingabe!$D$9&amp;".145.250","")</f>
        <v/>
      </c>
      <c r="I153" s="16" t="str">
        <f aca="false">IF(AND(Eingabe!$F$9&gt;0,Eingabe!$E$9&gt;=145),Eingabe!$B$6&amp;"-"&amp;Eingabe!$C$9&amp;"-Pächter","")</f>
        <v/>
      </c>
      <c r="J153" s="16" t="str">
        <f aca="false">IF(AND(Eingabe!$F$9&gt;0,Eingabe!$E$9&gt;=145),"PPSK: Passwort Parzelle 145","")</f>
        <v/>
      </c>
      <c r="K153" s="16" t="str">
        <f aca="false">IF(AND(Eingabe!$F$9&gt;0,Eingabe!$E$9&gt;=145),"1. Gerät: 10."&amp;Eingabe!$D$9&amp;".145.10, 2. Gerät: .11","")</f>
        <v/>
      </c>
    </row>
    <row r="154" customFormat="false" ht="15" hidden="false" customHeight="false" outlineLevel="0" collapsed="false">
      <c r="A154" s="16" t="str">
        <f aca="false">IF(AND(Eingabe!$F$9&gt;0,Eingabe!$E$9&gt;=146),1,"")</f>
        <v/>
      </c>
      <c r="B154" s="16" t="str">
        <f aca="false">IF(AND(Eingabe!$F$9&gt;0,Eingabe!$E$9&gt;=146),Eingabe!$B$9,"")</f>
        <v/>
      </c>
      <c r="C154" s="16" t="str">
        <f aca="false">IF(AND(Eingabe!$F$9&gt;0,Eingabe!$E$9&gt;=146),Eingabe!$C$9&amp;"-Paz."&amp;TEXT(146,"000"),"")</f>
        <v/>
      </c>
      <c r="D154" s="16" t="str">
        <f aca="false">IF(AND(Eingabe!$F$9&gt;0,Eingabe!$E$9&gt;=146),146,"")</f>
        <v/>
      </c>
      <c r="E154" s="16" t="str">
        <f aca="false">IF(AND(Eingabe!$F$9&gt;0,Eingabe!$E$9&gt;=146),IF((Eingabe!$G$9+1)&lt;=9,1000+(Eingabe!$G$9+1)*100,3000)+46,"")</f>
        <v/>
      </c>
      <c r="F154" s="16" t="str">
        <f aca="false">IF(AND(Eingabe!$F$9&gt;0,Eingabe!$E$9&gt;=146),"10."&amp;Eingabe!$D$9&amp;".146.0/24","")</f>
        <v/>
      </c>
      <c r="G154" s="16" t="str">
        <f aca="false">IF(AND(Eingabe!$F$9&gt;0,Eingabe!$E$9&gt;=146),"10."&amp;Eingabe!$D$9&amp;".146.1","")</f>
        <v/>
      </c>
      <c r="H154" s="16" t="str">
        <f aca="false">IF(AND(Eingabe!$F$9&gt;0,Eingabe!$E$9&gt;=146),"10."&amp;Eingabe!$D$9&amp;".146.10 – 10."&amp;Eingabe!$D$9&amp;".146.250","")</f>
        <v/>
      </c>
      <c r="I154" s="16" t="str">
        <f aca="false">IF(AND(Eingabe!$F$9&gt;0,Eingabe!$E$9&gt;=146),Eingabe!$B$6&amp;"-"&amp;Eingabe!$C$9&amp;"-Pächter","")</f>
        <v/>
      </c>
      <c r="J154" s="16" t="str">
        <f aca="false">IF(AND(Eingabe!$F$9&gt;0,Eingabe!$E$9&gt;=146),"PPSK: Passwort Parzelle 146","")</f>
        <v/>
      </c>
      <c r="K154" s="16" t="str">
        <f aca="false">IF(AND(Eingabe!$F$9&gt;0,Eingabe!$E$9&gt;=146),"1. Gerät: 10."&amp;Eingabe!$D$9&amp;".146.10, 2. Gerät: .11","")</f>
        <v/>
      </c>
    </row>
    <row r="155" customFormat="false" ht="15" hidden="false" customHeight="false" outlineLevel="0" collapsed="false">
      <c r="A155" s="16" t="str">
        <f aca="false">IF(AND(Eingabe!$F$9&gt;0,Eingabe!$E$9&gt;=147),1,"")</f>
        <v/>
      </c>
      <c r="B155" s="16" t="str">
        <f aca="false">IF(AND(Eingabe!$F$9&gt;0,Eingabe!$E$9&gt;=147),Eingabe!$B$9,"")</f>
        <v/>
      </c>
      <c r="C155" s="16" t="str">
        <f aca="false">IF(AND(Eingabe!$F$9&gt;0,Eingabe!$E$9&gt;=147),Eingabe!$C$9&amp;"-Paz."&amp;TEXT(147,"000"),"")</f>
        <v/>
      </c>
      <c r="D155" s="16" t="str">
        <f aca="false">IF(AND(Eingabe!$F$9&gt;0,Eingabe!$E$9&gt;=147),147,"")</f>
        <v/>
      </c>
      <c r="E155" s="16" t="str">
        <f aca="false">IF(AND(Eingabe!$F$9&gt;0,Eingabe!$E$9&gt;=147),IF((Eingabe!$G$9+1)&lt;=9,1000+(Eingabe!$G$9+1)*100,3000)+47,"")</f>
        <v/>
      </c>
      <c r="F155" s="16" t="str">
        <f aca="false">IF(AND(Eingabe!$F$9&gt;0,Eingabe!$E$9&gt;=147),"10."&amp;Eingabe!$D$9&amp;".147.0/24","")</f>
        <v/>
      </c>
      <c r="G155" s="16" t="str">
        <f aca="false">IF(AND(Eingabe!$F$9&gt;0,Eingabe!$E$9&gt;=147),"10."&amp;Eingabe!$D$9&amp;".147.1","")</f>
        <v/>
      </c>
      <c r="H155" s="16" t="str">
        <f aca="false">IF(AND(Eingabe!$F$9&gt;0,Eingabe!$E$9&gt;=147),"10."&amp;Eingabe!$D$9&amp;".147.10 – 10."&amp;Eingabe!$D$9&amp;".147.250","")</f>
        <v/>
      </c>
      <c r="I155" s="16" t="str">
        <f aca="false">IF(AND(Eingabe!$F$9&gt;0,Eingabe!$E$9&gt;=147),Eingabe!$B$6&amp;"-"&amp;Eingabe!$C$9&amp;"-Pächter","")</f>
        <v/>
      </c>
      <c r="J155" s="16" t="str">
        <f aca="false">IF(AND(Eingabe!$F$9&gt;0,Eingabe!$E$9&gt;=147),"PPSK: Passwort Parzelle 147","")</f>
        <v/>
      </c>
      <c r="K155" s="16" t="str">
        <f aca="false">IF(AND(Eingabe!$F$9&gt;0,Eingabe!$E$9&gt;=147),"1. Gerät: 10."&amp;Eingabe!$D$9&amp;".147.10, 2. Gerät: .11","")</f>
        <v/>
      </c>
    </row>
    <row r="156" customFormat="false" ht="15" hidden="false" customHeight="false" outlineLevel="0" collapsed="false">
      <c r="A156" s="16" t="str">
        <f aca="false">IF(AND(Eingabe!$F$9&gt;0,Eingabe!$E$9&gt;=148),1,"")</f>
        <v/>
      </c>
      <c r="B156" s="16" t="str">
        <f aca="false">IF(AND(Eingabe!$F$9&gt;0,Eingabe!$E$9&gt;=148),Eingabe!$B$9,"")</f>
        <v/>
      </c>
      <c r="C156" s="16" t="str">
        <f aca="false">IF(AND(Eingabe!$F$9&gt;0,Eingabe!$E$9&gt;=148),Eingabe!$C$9&amp;"-Paz."&amp;TEXT(148,"000"),"")</f>
        <v/>
      </c>
      <c r="D156" s="16" t="str">
        <f aca="false">IF(AND(Eingabe!$F$9&gt;0,Eingabe!$E$9&gt;=148),148,"")</f>
        <v/>
      </c>
      <c r="E156" s="16" t="str">
        <f aca="false">IF(AND(Eingabe!$F$9&gt;0,Eingabe!$E$9&gt;=148),IF((Eingabe!$G$9+1)&lt;=9,1000+(Eingabe!$G$9+1)*100,3000)+48,"")</f>
        <v/>
      </c>
      <c r="F156" s="16" t="str">
        <f aca="false">IF(AND(Eingabe!$F$9&gt;0,Eingabe!$E$9&gt;=148),"10."&amp;Eingabe!$D$9&amp;".148.0/24","")</f>
        <v/>
      </c>
      <c r="G156" s="16" t="str">
        <f aca="false">IF(AND(Eingabe!$F$9&gt;0,Eingabe!$E$9&gt;=148),"10."&amp;Eingabe!$D$9&amp;".148.1","")</f>
        <v/>
      </c>
      <c r="H156" s="16" t="str">
        <f aca="false">IF(AND(Eingabe!$F$9&gt;0,Eingabe!$E$9&gt;=148),"10."&amp;Eingabe!$D$9&amp;".148.10 – 10."&amp;Eingabe!$D$9&amp;".148.250","")</f>
        <v/>
      </c>
      <c r="I156" s="16" t="str">
        <f aca="false">IF(AND(Eingabe!$F$9&gt;0,Eingabe!$E$9&gt;=148),Eingabe!$B$6&amp;"-"&amp;Eingabe!$C$9&amp;"-Pächter","")</f>
        <v/>
      </c>
      <c r="J156" s="16" t="str">
        <f aca="false">IF(AND(Eingabe!$F$9&gt;0,Eingabe!$E$9&gt;=148),"PPSK: Passwort Parzelle 148","")</f>
        <v/>
      </c>
      <c r="K156" s="16" t="str">
        <f aca="false">IF(AND(Eingabe!$F$9&gt;0,Eingabe!$E$9&gt;=148),"1. Gerät: 10."&amp;Eingabe!$D$9&amp;".148.10, 2. Gerät: .11","")</f>
        <v/>
      </c>
    </row>
    <row r="157" customFormat="false" ht="15" hidden="false" customHeight="false" outlineLevel="0" collapsed="false">
      <c r="A157" s="16" t="str">
        <f aca="false">IF(AND(Eingabe!$F$9&gt;0,Eingabe!$E$9&gt;=149),1,"")</f>
        <v/>
      </c>
      <c r="B157" s="16" t="str">
        <f aca="false">IF(AND(Eingabe!$F$9&gt;0,Eingabe!$E$9&gt;=149),Eingabe!$B$9,"")</f>
        <v/>
      </c>
      <c r="C157" s="16" t="str">
        <f aca="false">IF(AND(Eingabe!$F$9&gt;0,Eingabe!$E$9&gt;=149),Eingabe!$C$9&amp;"-Paz."&amp;TEXT(149,"000"),"")</f>
        <v/>
      </c>
      <c r="D157" s="16" t="str">
        <f aca="false">IF(AND(Eingabe!$F$9&gt;0,Eingabe!$E$9&gt;=149),149,"")</f>
        <v/>
      </c>
      <c r="E157" s="16" t="str">
        <f aca="false">IF(AND(Eingabe!$F$9&gt;0,Eingabe!$E$9&gt;=149),IF((Eingabe!$G$9+1)&lt;=9,1000+(Eingabe!$G$9+1)*100,3000)+49,"")</f>
        <v/>
      </c>
      <c r="F157" s="16" t="str">
        <f aca="false">IF(AND(Eingabe!$F$9&gt;0,Eingabe!$E$9&gt;=149),"10."&amp;Eingabe!$D$9&amp;".149.0/24","")</f>
        <v/>
      </c>
      <c r="G157" s="16" t="str">
        <f aca="false">IF(AND(Eingabe!$F$9&gt;0,Eingabe!$E$9&gt;=149),"10."&amp;Eingabe!$D$9&amp;".149.1","")</f>
        <v/>
      </c>
      <c r="H157" s="16" t="str">
        <f aca="false">IF(AND(Eingabe!$F$9&gt;0,Eingabe!$E$9&gt;=149),"10."&amp;Eingabe!$D$9&amp;".149.10 – 10."&amp;Eingabe!$D$9&amp;".149.250","")</f>
        <v/>
      </c>
      <c r="I157" s="16" t="str">
        <f aca="false">IF(AND(Eingabe!$F$9&gt;0,Eingabe!$E$9&gt;=149),Eingabe!$B$6&amp;"-"&amp;Eingabe!$C$9&amp;"-Pächter","")</f>
        <v/>
      </c>
      <c r="J157" s="16" t="str">
        <f aca="false">IF(AND(Eingabe!$F$9&gt;0,Eingabe!$E$9&gt;=149),"PPSK: Passwort Parzelle 149","")</f>
        <v/>
      </c>
      <c r="K157" s="16" t="str">
        <f aca="false">IF(AND(Eingabe!$F$9&gt;0,Eingabe!$E$9&gt;=149),"1. Gerät: 10."&amp;Eingabe!$D$9&amp;".149.10, 2. Gerät: .11","")</f>
        <v/>
      </c>
    </row>
    <row r="158" customFormat="false" ht="15" hidden="false" customHeight="false" outlineLevel="0" collapsed="false">
      <c r="A158" s="16" t="str">
        <f aca="false">IF(AND(Eingabe!$F$9&gt;0,Eingabe!$E$9&gt;=150),1,"")</f>
        <v/>
      </c>
      <c r="B158" s="16" t="str">
        <f aca="false">IF(AND(Eingabe!$F$9&gt;0,Eingabe!$E$9&gt;=150),Eingabe!$B$9,"")</f>
        <v/>
      </c>
      <c r="C158" s="16" t="str">
        <f aca="false">IF(AND(Eingabe!$F$9&gt;0,Eingabe!$E$9&gt;=150),Eingabe!$C$9&amp;"-Paz."&amp;TEXT(150,"000"),"")</f>
        <v/>
      </c>
      <c r="D158" s="16" t="str">
        <f aca="false">IF(AND(Eingabe!$F$9&gt;0,Eingabe!$E$9&gt;=150),150,"")</f>
        <v/>
      </c>
      <c r="E158" s="16" t="str">
        <f aca="false">IF(AND(Eingabe!$F$9&gt;0,Eingabe!$E$9&gt;=150),IF((Eingabe!$G$9+1)&lt;=9,1000+(Eingabe!$G$9+1)*100,3000)+50,"")</f>
        <v/>
      </c>
      <c r="F158" s="16" t="str">
        <f aca="false">IF(AND(Eingabe!$F$9&gt;0,Eingabe!$E$9&gt;=150),"10."&amp;Eingabe!$D$9&amp;".150.0/24","")</f>
        <v/>
      </c>
      <c r="G158" s="16" t="str">
        <f aca="false">IF(AND(Eingabe!$F$9&gt;0,Eingabe!$E$9&gt;=150),"10."&amp;Eingabe!$D$9&amp;".150.1","")</f>
        <v/>
      </c>
      <c r="H158" s="16" t="str">
        <f aca="false">IF(AND(Eingabe!$F$9&gt;0,Eingabe!$E$9&gt;=150),"10."&amp;Eingabe!$D$9&amp;".150.10 – 10."&amp;Eingabe!$D$9&amp;".150.250","")</f>
        <v/>
      </c>
      <c r="I158" s="16" t="str">
        <f aca="false">IF(AND(Eingabe!$F$9&gt;0,Eingabe!$E$9&gt;=150),Eingabe!$B$6&amp;"-"&amp;Eingabe!$C$9&amp;"-Pächter","")</f>
        <v/>
      </c>
      <c r="J158" s="16" t="str">
        <f aca="false">IF(AND(Eingabe!$F$9&gt;0,Eingabe!$E$9&gt;=150),"PPSK: Passwort Parzelle 150","")</f>
        <v/>
      </c>
      <c r="K158" s="16" t="str">
        <f aca="false">IF(AND(Eingabe!$F$9&gt;0,Eingabe!$E$9&gt;=150),"1. Gerät: 10."&amp;Eingabe!$D$9&amp;".150.10, 2. Gerät: .11","")</f>
        <v/>
      </c>
    </row>
    <row r="159" customFormat="false" ht="15" hidden="false" customHeight="false" outlineLevel="0" collapsed="false">
      <c r="A159" s="16" t="str">
        <f aca="false">IF(AND(Eingabe!$F$9&gt;0,Eingabe!$E$9&gt;=151),1,"")</f>
        <v/>
      </c>
      <c r="B159" s="16" t="str">
        <f aca="false">IF(AND(Eingabe!$F$9&gt;0,Eingabe!$E$9&gt;=151),Eingabe!$B$9,"")</f>
        <v/>
      </c>
      <c r="C159" s="16" t="str">
        <f aca="false">IF(AND(Eingabe!$F$9&gt;0,Eingabe!$E$9&gt;=151),Eingabe!$C$9&amp;"-Paz."&amp;TEXT(151,"000"),"")</f>
        <v/>
      </c>
      <c r="D159" s="16" t="str">
        <f aca="false">IF(AND(Eingabe!$F$9&gt;0,Eingabe!$E$9&gt;=151),151,"")</f>
        <v/>
      </c>
      <c r="E159" s="16" t="str">
        <f aca="false">IF(AND(Eingabe!$F$9&gt;0,Eingabe!$E$9&gt;=151),IF((Eingabe!$G$9+1)&lt;=9,1000+(Eingabe!$G$9+1)*100,3000)+51,"")</f>
        <v/>
      </c>
      <c r="F159" s="16" t="str">
        <f aca="false">IF(AND(Eingabe!$F$9&gt;0,Eingabe!$E$9&gt;=151),"10."&amp;Eingabe!$D$9&amp;".151.0/24","")</f>
        <v/>
      </c>
      <c r="G159" s="16" t="str">
        <f aca="false">IF(AND(Eingabe!$F$9&gt;0,Eingabe!$E$9&gt;=151),"10."&amp;Eingabe!$D$9&amp;".151.1","")</f>
        <v/>
      </c>
      <c r="H159" s="16" t="str">
        <f aca="false">IF(AND(Eingabe!$F$9&gt;0,Eingabe!$E$9&gt;=151),"10."&amp;Eingabe!$D$9&amp;".151.10 – 10."&amp;Eingabe!$D$9&amp;".151.250","")</f>
        <v/>
      </c>
      <c r="I159" s="16" t="str">
        <f aca="false">IF(AND(Eingabe!$F$9&gt;0,Eingabe!$E$9&gt;=151),Eingabe!$B$6&amp;"-"&amp;Eingabe!$C$9&amp;"-Pächter","")</f>
        <v/>
      </c>
      <c r="J159" s="16" t="str">
        <f aca="false">IF(AND(Eingabe!$F$9&gt;0,Eingabe!$E$9&gt;=151),"PPSK: Passwort Parzelle 151","")</f>
        <v/>
      </c>
      <c r="K159" s="16" t="str">
        <f aca="false">IF(AND(Eingabe!$F$9&gt;0,Eingabe!$E$9&gt;=151),"1. Gerät: 10."&amp;Eingabe!$D$9&amp;".151.10, 2. Gerät: .11","")</f>
        <v/>
      </c>
    </row>
    <row r="160" customFormat="false" ht="15" hidden="false" customHeight="false" outlineLevel="0" collapsed="false">
      <c r="A160" s="16" t="str">
        <f aca="false">IF(AND(Eingabe!$F$9&gt;0,Eingabe!$E$9&gt;=152),1,"")</f>
        <v/>
      </c>
      <c r="B160" s="16" t="str">
        <f aca="false">IF(AND(Eingabe!$F$9&gt;0,Eingabe!$E$9&gt;=152),Eingabe!$B$9,"")</f>
        <v/>
      </c>
      <c r="C160" s="16" t="str">
        <f aca="false">IF(AND(Eingabe!$F$9&gt;0,Eingabe!$E$9&gt;=152),Eingabe!$C$9&amp;"-Paz."&amp;TEXT(152,"000"),"")</f>
        <v/>
      </c>
      <c r="D160" s="16" t="str">
        <f aca="false">IF(AND(Eingabe!$F$9&gt;0,Eingabe!$E$9&gt;=152),152,"")</f>
        <v/>
      </c>
      <c r="E160" s="16" t="str">
        <f aca="false">IF(AND(Eingabe!$F$9&gt;0,Eingabe!$E$9&gt;=152),IF((Eingabe!$G$9+1)&lt;=9,1000+(Eingabe!$G$9+1)*100,3000)+52,"")</f>
        <v/>
      </c>
      <c r="F160" s="16" t="str">
        <f aca="false">IF(AND(Eingabe!$F$9&gt;0,Eingabe!$E$9&gt;=152),"10."&amp;Eingabe!$D$9&amp;".152.0/24","")</f>
        <v/>
      </c>
      <c r="G160" s="16" t="str">
        <f aca="false">IF(AND(Eingabe!$F$9&gt;0,Eingabe!$E$9&gt;=152),"10."&amp;Eingabe!$D$9&amp;".152.1","")</f>
        <v/>
      </c>
      <c r="H160" s="16" t="str">
        <f aca="false">IF(AND(Eingabe!$F$9&gt;0,Eingabe!$E$9&gt;=152),"10."&amp;Eingabe!$D$9&amp;".152.10 – 10."&amp;Eingabe!$D$9&amp;".152.250","")</f>
        <v/>
      </c>
      <c r="I160" s="16" t="str">
        <f aca="false">IF(AND(Eingabe!$F$9&gt;0,Eingabe!$E$9&gt;=152),Eingabe!$B$6&amp;"-"&amp;Eingabe!$C$9&amp;"-Pächter","")</f>
        <v/>
      </c>
      <c r="J160" s="16" t="str">
        <f aca="false">IF(AND(Eingabe!$F$9&gt;0,Eingabe!$E$9&gt;=152),"PPSK: Passwort Parzelle 152","")</f>
        <v/>
      </c>
      <c r="K160" s="16" t="str">
        <f aca="false">IF(AND(Eingabe!$F$9&gt;0,Eingabe!$E$9&gt;=152),"1. Gerät: 10."&amp;Eingabe!$D$9&amp;".152.10, 2. Gerät: .11","")</f>
        <v/>
      </c>
    </row>
    <row r="161" customFormat="false" ht="15" hidden="false" customHeight="false" outlineLevel="0" collapsed="false">
      <c r="A161" s="16" t="str">
        <f aca="false">IF(AND(Eingabe!$F$9&gt;0,Eingabe!$E$9&gt;=153),1,"")</f>
        <v/>
      </c>
      <c r="B161" s="16" t="str">
        <f aca="false">IF(AND(Eingabe!$F$9&gt;0,Eingabe!$E$9&gt;=153),Eingabe!$B$9,"")</f>
        <v/>
      </c>
      <c r="C161" s="16" t="str">
        <f aca="false">IF(AND(Eingabe!$F$9&gt;0,Eingabe!$E$9&gt;=153),Eingabe!$C$9&amp;"-Paz."&amp;TEXT(153,"000"),"")</f>
        <v/>
      </c>
      <c r="D161" s="16" t="str">
        <f aca="false">IF(AND(Eingabe!$F$9&gt;0,Eingabe!$E$9&gt;=153),153,"")</f>
        <v/>
      </c>
      <c r="E161" s="16" t="str">
        <f aca="false">IF(AND(Eingabe!$F$9&gt;0,Eingabe!$E$9&gt;=153),IF((Eingabe!$G$9+1)&lt;=9,1000+(Eingabe!$G$9+1)*100,3000)+53,"")</f>
        <v/>
      </c>
      <c r="F161" s="16" t="str">
        <f aca="false">IF(AND(Eingabe!$F$9&gt;0,Eingabe!$E$9&gt;=153),"10."&amp;Eingabe!$D$9&amp;".153.0/24","")</f>
        <v/>
      </c>
      <c r="G161" s="16" t="str">
        <f aca="false">IF(AND(Eingabe!$F$9&gt;0,Eingabe!$E$9&gt;=153),"10."&amp;Eingabe!$D$9&amp;".153.1","")</f>
        <v/>
      </c>
      <c r="H161" s="16" t="str">
        <f aca="false">IF(AND(Eingabe!$F$9&gt;0,Eingabe!$E$9&gt;=153),"10."&amp;Eingabe!$D$9&amp;".153.10 – 10."&amp;Eingabe!$D$9&amp;".153.250","")</f>
        <v/>
      </c>
      <c r="I161" s="16" t="str">
        <f aca="false">IF(AND(Eingabe!$F$9&gt;0,Eingabe!$E$9&gt;=153),Eingabe!$B$6&amp;"-"&amp;Eingabe!$C$9&amp;"-Pächter","")</f>
        <v/>
      </c>
      <c r="J161" s="16" t="str">
        <f aca="false">IF(AND(Eingabe!$F$9&gt;0,Eingabe!$E$9&gt;=153),"PPSK: Passwort Parzelle 153","")</f>
        <v/>
      </c>
      <c r="K161" s="16" t="str">
        <f aca="false">IF(AND(Eingabe!$F$9&gt;0,Eingabe!$E$9&gt;=153),"1. Gerät: 10."&amp;Eingabe!$D$9&amp;".153.10, 2. Gerät: .11","")</f>
        <v/>
      </c>
    </row>
    <row r="162" customFormat="false" ht="15" hidden="false" customHeight="false" outlineLevel="0" collapsed="false">
      <c r="A162" s="16" t="str">
        <f aca="false">IF(AND(Eingabe!$F$9&gt;0,Eingabe!$E$9&gt;=154),1,"")</f>
        <v/>
      </c>
      <c r="B162" s="16" t="str">
        <f aca="false">IF(AND(Eingabe!$F$9&gt;0,Eingabe!$E$9&gt;=154),Eingabe!$B$9,"")</f>
        <v/>
      </c>
      <c r="C162" s="16" t="str">
        <f aca="false">IF(AND(Eingabe!$F$9&gt;0,Eingabe!$E$9&gt;=154),Eingabe!$C$9&amp;"-Paz."&amp;TEXT(154,"000"),"")</f>
        <v/>
      </c>
      <c r="D162" s="16" t="str">
        <f aca="false">IF(AND(Eingabe!$F$9&gt;0,Eingabe!$E$9&gt;=154),154,"")</f>
        <v/>
      </c>
      <c r="E162" s="16" t="str">
        <f aca="false">IF(AND(Eingabe!$F$9&gt;0,Eingabe!$E$9&gt;=154),IF((Eingabe!$G$9+1)&lt;=9,1000+(Eingabe!$G$9+1)*100,3000)+54,"")</f>
        <v/>
      </c>
      <c r="F162" s="16" t="str">
        <f aca="false">IF(AND(Eingabe!$F$9&gt;0,Eingabe!$E$9&gt;=154),"10."&amp;Eingabe!$D$9&amp;".154.0/24","")</f>
        <v/>
      </c>
      <c r="G162" s="16" t="str">
        <f aca="false">IF(AND(Eingabe!$F$9&gt;0,Eingabe!$E$9&gt;=154),"10."&amp;Eingabe!$D$9&amp;".154.1","")</f>
        <v/>
      </c>
      <c r="H162" s="16" t="str">
        <f aca="false">IF(AND(Eingabe!$F$9&gt;0,Eingabe!$E$9&gt;=154),"10."&amp;Eingabe!$D$9&amp;".154.10 – 10."&amp;Eingabe!$D$9&amp;".154.250","")</f>
        <v/>
      </c>
      <c r="I162" s="16" t="str">
        <f aca="false">IF(AND(Eingabe!$F$9&gt;0,Eingabe!$E$9&gt;=154),Eingabe!$B$6&amp;"-"&amp;Eingabe!$C$9&amp;"-Pächter","")</f>
        <v/>
      </c>
      <c r="J162" s="16" t="str">
        <f aca="false">IF(AND(Eingabe!$F$9&gt;0,Eingabe!$E$9&gt;=154),"PPSK: Passwort Parzelle 154","")</f>
        <v/>
      </c>
      <c r="K162" s="16" t="str">
        <f aca="false">IF(AND(Eingabe!$F$9&gt;0,Eingabe!$E$9&gt;=154),"1. Gerät: 10."&amp;Eingabe!$D$9&amp;".154.10, 2. Gerät: .11","")</f>
        <v/>
      </c>
    </row>
    <row r="163" customFormat="false" ht="15" hidden="false" customHeight="false" outlineLevel="0" collapsed="false">
      <c r="A163" s="16" t="str">
        <f aca="false">IF(AND(Eingabe!$F$9&gt;0,Eingabe!$E$9&gt;=155),1,"")</f>
        <v/>
      </c>
      <c r="B163" s="16" t="str">
        <f aca="false">IF(AND(Eingabe!$F$9&gt;0,Eingabe!$E$9&gt;=155),Eingabe!$B$9,"")</f>
        <v/>
      </c>
      <c r="C163" s="16" t="str">
        <f aca="false">IF(AND(Eingabe!$F$9&gt;0,Eingabe!$E$9&gt;=155),Eingabe!$C$9&amp;"-Paz."&amp;TEXT(155,"000"),"")</f>
        <v/>
      </c>
      <c r="D163" s="16" t="str">
        <f aca="false">IF(AND(Eingabe!$F$9&gt;0,Eingabe!$E$9&gt;=155),155,"")</f>
        <v/>
      </c>
      <c r="E163" s="16" t="str">
        <f aca="false">IF(AND(Eingabe!$F$9&gt;0,Eingabe!$E$9&gt;=155),IF((Eingabe!$G$9+1)&lt;=9,1000+(Eingabe!$G$9+1)*100,3000)+55,"")</f>
        <v/>
      </c>
      <c r="F163" s="16" t="str">
        <f aca="false">IF(AND(Eingabe!$F$9&gt;0,Eingabe!$E$9&gt;=155),"10."&amp;Eingabe!$D$9&amp;".155.0/24","")</f>
        <v/>
      </c>
      <c r="G163" s="16" t="str">
        <f aca="false">IF(AND(Eingabe!$F$9&gt;0,Eingabe!$E$9&gt;=155),"10."&amp;Eingabe!$D$9&amp;".155.1","")</f>
        <v/>
      </c>
      <c r="H163" s="16" t="str">
        <f aca="false">IF(AND(Eingabe!$F$9&gt;0,Eingabe!$E$9&gt;=155),"10."&amp;Eingabe!$D$9&amp;".155.10 – 10."&amp;Eingabe!$D$9&amp;".155.250","")</f>
        <v/>
      </c>
      <c r="I163" s="16" t="str">
        <f aca="false">IF(AND(Eingabe!$F$9&gt;0,Eingabe!$E$9&gt;=155),Eingabe!$B$6&amp;"-"&amp;Eingabe!$C$9&amp;"-Pächter","")</f>
        <v/>
      </c>
      <c r="J163" s="16" t="str">
        <f aca="false">IF(AND(Eingabe!$F$9&gt;0,Eingabe!$E$9&gt;=155),"PPSK: Passwort Parzelle 155","")</f>
        <v/>
      </c>
      <c r="K163" s="16" t="str">
        <f aca="false">IF(AND(Eingabe!$F$9&gt;0,Eingabe!$E$9&gt;=155),"1. Gerät: 10."&amp;Eingabe!$D$9&amp;".155.10, 2. Gerät: .11","")</f>
        <v/>
      </c>
    </row>
    <row r="164" customFormat="false" ht="15" hidden="false" customHeight="false" outlineLevel="0" collapsed="false">
      <c r="A164" s="16" t="str">
        <f aca="false">IF(AND(Eingabe!$F$9&gt;0,Eingabe!$E$9&gt;=156),1,"")</f>
        <v/>
      </c>
      <c r="B164" s="16" t="str">
        <f aca="false">IF(AND(Eingabe!$F$9&gt;0,Eingabe!$E$9&gt;=156),Eingabe!$B$9,"")</f>
        <v/>
      </c>
      <c r="C164" s="16" t="str">
        <f aca="false">IF(AND(Eingabe!$F$9&gt;0,Eingabe!$E$9&gt;=156),Eingabe!$C$9&amp;"-Paz."&amp;TEXT(156,"000"),"")</f>
        <v/>
      </c>
      <c r="D164" s="16" t="str">
        <f aca="false">IF(AND(Eingabe!$F$9&gt;0,Eingabe!$E$9&gt;=156),156,"")</f>
        <v/>
      </c>
      <c r="E164" s="16" t="str">
        <f aca="false">IF(AND(Eingabe!$F$9&gt;0,Eingabe!$E$9&gt;=156),IF((Eingabe!$G$9+1)&lt;=9,1000+(Eingabe!$G$9+1)*100,3000)+56,"")</f>
        <v/>
      </c>
      <c r="F164" s="16" t="str">
        <f aca="false">IF(AND(Eingabe!$F$9&gt;0,Eingabe!$E$9&gt;=156),"10."&amp;Eingabe!$D$9&amp;".156.0/24","")</f>
        <v/>
      </c>
      <c r="G164" s="16" t="str">
        <f aca="false">IF(AND(Eingabe!$F$9&gt;0,Eingabe!$E$9&gt;=156),"10."&amp;Eingabe!$D$9&amp;".156.1","")</f>
        <v/>
      </c>
      <c r="H164" s="16" t="str">
        <f aca="false">IF(AND(Eingabe!$F$9&gt;0,Eingabe!$E$9&gt;=156),"10."&amp;Eingabe!$D$9&amp;".156.10 – 10."&amp;Eingabe!$D$9&amp;".156.250","")</f>
        <v/>
      </c>
      <c r="I164" s="16" t="str">
        <f aca="false">IF(AND(Eingabe!$F$9&gt;0,Eingabe!$E$9&gt;=156),Eingabe!$B$6&amp;"-"&amp;Eingabe!$C$9&amp;"-Pächter","")</f>
        <v/>
      </c>
      <c r="J164" s="16" t="str">
        <f aca="false">IF(AND(Eingabe!$F$9&gt;0,Eingabe!$E$9&gt;=156),"PPSK: Passwort Parzelle 156","")</f>
        <v/>
      </c>
      <c r="K164" s="16" t="str">
        <f aca="false">IF(AND(Eingabe!$F$9&gt;0,Eingabe!$E$9&gt;=156),"1. Gerät: 10."&amp;Eingabe!$D$9&amp;".156.10, 2. Gerät: .11","")</f>
        <v/>
      </c>
    </row>
    <row r="165" customFormat="false" ht="15" hidden="false" customHeight="false" outlineLevel="0" collapsed="false">
      <c r="A165" s="16" t="str">
        <f aca="false">IF(AND(Eingabe!$F$9&gt;0,Eingabe!$E$9&gt;=157),1,"")</f>
        <v/>
      </c>
      <c r="B165" s="16" t="str">
        <f aca="false">IF(AND(Eingabe!$F$9&gt;0,Eingabe!$E$9&gt;=157),Eingabe!$B$9,"")</f>
        <v/>
      </c>
      <c r="C165" s="16" t="str">
        <f aca="false">IF(AND(Eingabe!$F$9&gt;0,Eingabe!$E$9&gt;=157),Eingabe!$C$9&amp;"-Paz."&amp;TEXT(157,"000"),"")</f>
        <v/>
      </c>
      <c r="D165" s="16" t="str">
        <f aca="false">IF(AND(Eingabe!$F$9&gt;0,Eingabe!$E$9&gt;=157),157,"")</f>
        <v/>
      </c>
      <c r="E165" s="16" t="str">
        <f aca="false">IF(AND(Eingabe!$F$9&gt;0,Eingabe!$E$9&gt;=157),IF((Eingabe!$G$9+1)&lt;=9,1000+(Eingabe!$G$9+1)*100,3000)+57,"")</f>
        <v/>
      </c>
      <c r="F165" s="16" t="str">
        <f aca="false">IF(AND(Eingabe!$F$9&gt;0,Eingabe!$E$9&gt;=157),"10."&amp;Eingabe!$D$9&amp;".157.0/24","")</f>
        <v/>
      </c>
      <c r="G165" s="16" t="str">
        <f aca="false">IF(AND(Eingabe!$F$9&gt;0,Eingabe!$E$9&gt;=157),"10."&amp;Eingabe!$D$9&amp;".157.1","")</f>
        <v/>
      </c>
      <c r="H165" s="16" t="str">
        <f aca="false">IF(AND(Eingabe!$F$9&gt;0,Eingabe!$E$9&gt;=157),"10."&amp;Eingabe!$D$9&amp;".157.10 – 10."&amp;Eingabe!$D$9&amp;".157.250","")</f>
        <v/>
      </c>
      <c r="I165" s="16" t="str">
        <f aca="false">IF(AND(Eingabe!$F$9&gt;0,Eingabe!$E$9&gt;=157),Eingabe!$B$6&amp;"-"&amp;Eingabe!$C$9&amp;"-Pächter","")</f>
        <v/>
      </c>
      <c r="J165" s="16" t="str">
        <f aca="false">IF(AND(Eingabe!$F$9&gt;0,Eingabe!$E$9&gt;=157),"PPSK: Passwort Parzelle 157","")</f>
        <v/>
      </c>
      <c r="K165" s="16" t="str">
        <f aca="false">IF(AND(Eingabe!$F$9&gt;0,Eingabe!$E$9&gt;=157),"1. Gerät: 10."&amp;Eingabe!$D$9&amp;".157.10, 2. Gerät: .11","")</f>
        <v/>
      </c>
    </row>
    <row r="166" customFormat="false" ht="15" hidden="false" customHeight="false" outlineLevel="0" collapsed="false">
      <c r="A166" s="16" t="str">
        <f aca="false">IF(AND(Eingabe!$F$9&gt;0,Eingabe!$E$9&gt;=158),1,"")</f>
        <v/>
      </c>
      <c r="B166" s="16" t="str">
        <f aca="false">IF(AND(Eingabe!$F$9&gt;0,Eingabe!$E$9&gt;=158),Eingabe!$B$9,"")</f>
        <v/>
      </c>
      <c r="C166" s="16" t="str">
        <f aca="false">IF(AND(Eingabe!$F$9&gt;0,Eingabe!$E$9&gt;=158),Eingabe!$C$9&amp;"-Paz."&amp;TEXT(158,"000"),"")</f>
        <v/>
      </c>
      <c r="D166" s="16" t="str">
        <f aca="false">IF(AND(Eingabe!$F$9&gt;0,Eingabe!$E$9&gt;=158),158,"")</f>
        <v/>
      </c>
      <c r="E166" s="16" t="str">
        <f aca="false">IF(AND(Eingabe!$F$9&gt;0,Eingabe!$E$9&gt;=158),IF((Eingabe!$G$9+1)&lt;=9,1000+(Eingabe!$G$9+1)*100,3000)+58,"")</f>
        <v/>
      </c>
      <c r="F166" s="16" t="str">
        <f aca="false">IF(AND(Eingabe!$F$9&gt;0,Eingabe!$E$9&gt;=158),"10."&amp;Eingabe!$D$9&amp;".158.0/24","")</f>
        <v/>
      </c>
      <c r="G166" s="16" t="str">
        <f aca="false">IF(AND(Eingabe!$F$9&gt;0,Eingabe!$E$9&gt;=158),"10."&amp;Eingabe!$D$9&amp;".158.1","")</f>
        <v/>
      </c>
      <c r="H166" s="16" t="str">
        <f aca="false">IF(AND(Eingabe!$F$9&gt;0,Eingabe!$E$9&gt;=158),"10."&amp;Eingabe!$D$9&amp;".158.10 – 10."&amp;Eingabe!$D$9&amp;".158.250","")</f>
        <v/>
      </c>
      <c r="I166" s="16" t="str">
        <f aca="false">IF(AND(Eingabe!$F$9&gt;0,Eingabe!$E$9&gt;=158),Eingabe!$B$6&amp;"-"&amp;Eingabe!$C$9&amp;"-Pächter","")</f>
        <v/>
      </c>
      <c r="J166" s="16" t="str">
        <f aca="false">IF(AND(Eingabe!$F$9&gt;0,Eingabe!$E$9&gt;=158),"PPSK: Passwort Parzelle 158","")</f>
        <v/>
      </c>
      <c r="K166" s="16" t="str">
        <f aca="false">IF(AND(Eingabe!$F$9&gt;0,Eingabe!$E$9&gt;=158),"1. Gerät: 10."&amp;Eingabe!$D$9&amp;".158.10, 2. Gerät: .11","")</f>
        <v/>
      </c>
    </row>
    <row r="167" customFormat="false" ht="15" hidden="false" customHeight="false" outlineLevel="0" collapsed="false">
      <c r="A167" s="16" t="str">
        <f aca="false">IF(AND(Eingabe!$F$9&gt;0,Eingabe!$E$9&gt;=159),1,"")</f>
        <v/>
      </c>
      <c r="B167" s="16" t="str">
        <f aca="false">IF(AND(Eingabe!$F$9&gt;0,Eingabe!$E$9&gt;=159),Eingabe!$B$9,"")</f>
        <v/>
      </c>
      <c r="C167" s="16" t="str">
        <f aca="false">IF(AND(Eingabe!$F$9&gt;0,Eingabe!$E$9&gt;=159),Eingabe!$C$9&amp;"-Paz."&amp;TEXT(159,"000"),"")</f>
        <v/>
      </c>
      <c r="D167" s="16" t="str">
        <f aca="false">IF(AND(Eingabe!$F$9&gt;0,Eingabe!$E$9&gt;=159),159,"")</f>
        <v/>
      </c>
      <c r="E167" s="16" t="str">
        <f aca="false">IF(AND(Eingabe!$F$9&gt;0,Eingabe!$E$9&gt;=159),IF((Eingabe!$G$9+1)&lt;=9,1000+(Eingabe!$G$9+1)*100,3000)+59,"")</f>
        <v/>
      </c>
      <c r="F167" s="16" t="str">
        <f aca="false">IF(AND(Eingabe!$F$9&gt;0,Eingabe!$E$9&gt;=159),"10."&amp;Eingabe!$D$9&amp;".159.0/24","")</f>
        <v/>
      </c>
      <c r="G167" s="16" t="str">
        <f aca="false">IF(AND(Eingabe!$F$9&gt;0,Eingabe!$E$9&gt;=159),"10."&amp;Eingabe!$D$9&amp;".159.1","")</f>
        <v/>
      </c>
      <c r="H167" s="16" t="str">
        <f aca="false">IF(AND(Eingabe!$F$9&gt;0,Eingabe!$E$9&gt;=159),"10."&amp;Eingabe!$D$9&amp;".159.10 – 10."&amp;Eingabe!$D$9&amp;".159.250","")</f>
        <v/>
      </c>
      <c r="I167" s="16" t="str">
        <f aca="false">IF(AND(Eingabe!$F$9&gt;0,Eingabe!$E$9&gt;=159),Eingabe!$B$6&amp;"-"&amp;Eingabe!$C$9&amp;"-Pächter","")</f>
        <v/>
      </c>
      <c r="J167" s="16" t="str">
        <f aca="false">IF(AND(Eingabe!$F$9&gt;0,Eingabe!$E$9&gt;=159),"PPSK: Passwort Parzelle 159","")</f>
        <v/>
      </c>
      <c r="K167" s="16" t="str">
        <f aca="false">IF(AND(Eingabe!$F$9&gt;0,Eingabe!$E$9&gt;=159),"1. Gerät: 10."&amp;Eingabe!$D$9&amp;".159.10, 2. Gerät: .11","")</f>
        <v/>
      </c>
    </row>
    <row r="168" customFormat="false" ht="15" hidden="false" customHeight="false" outlineLevel="0" collapsed="false">
      <c r="A168" s="16" t="str">
        <f aca="false">IF(AND(Eingabe!$F$9&gt;0,Eingabe!$E$9&gt;=160),1,"")</f>
        <v/>
      </c>
      <c r="B168" s="16" t="str">
        <f aca="false">IF(AND(Eingabe!$F$9&gt;0,Eingabe!$E$9&gt;=160),Eingabe!$B$9,"")</f>
        <v/>
      </c>
      <c r="C168" s="16" t="str">
        <f aca="false">IF(AND(Eingabe!$F$9&gt;0,Eingabe!$E$9&gt;=160),Eingabe!$C$9&amp;"-Paz."&amp;TEXT(160,"000"),"")</f>
        <v/>
      </c>
      <c r="D168" s="16" t="str">
        <f aca="false">IF(AND(Eingabe!$F$9&gt;0,Eingabe!$E$9&gt;=160),160,"")</f>
        <v/>
      </c>
      <c r="E168" s="16" t="str">
        <f aca="false">IF(AND(Eingabe!$F$9&gt;0,Eingabe!$E$9&gt;=160),IF((Eingabe!$G$9+1)&lt;=9,1000+(Eingabe!$G$9+1)*100,3000)+60,"")</f>
        <v/>
      </c>
      <c r="F168" s="16" t="str">
        <f aca="false">IF(AND(Eingabe!$F$9&gt;0,Eingabe!$E$9&gt;=160),"10."&amp;Eingabe!$D$9&amp;".160.0/24","")</f>
        <v/>
      </c>
      <c r="G168" s="16" t="str">
        <f aca="false">IF(AND(Eingabe!$F$9&gt;0,Eingabe!$E$9&gt;=160),"10."&amp;Eingabe!$D$9&amp;".160.1","")</f>
        <v/>
      </c>
      <c r="H168" s="16" t="str">
        <f aca="false">IF(AND(Eingabe!$F$9&gt;0,Eingabe!$E$9&gt;=160),"10."&amp;Eingabe!$D$9&amp;".160.10 – 10."&amp;Eingabe!$D$9&amp;".160.250","")</f>
        <v/>
      </c>
      <c r="I168" s="16" t="str">
        <f aca="false">IF(AND(Eingabe!$F$9&gt;0,Eingabe!$E$9&gt;=160),Eingabe!$B$6&amp;"-"&amp;Eingabe!$C$9&amp;"-Pächter","")</f>
        <v/>
      </c>
      <c r="J168" s="16" t="str">
        <f aca="false">IF(AND(Eingabe!$F$9&gt;0,Eingabe!$E$9&gt;=160),"PPSK: Passwort Parzelle 160","")</f>
        <v/>
      </c>
      <c r="K168" s="16" t="str">
        <f aca="false">IF(AND(Eingabe!$F$9&gt;0,Eingabe!$E$9&gt;=160),"1. Gerät: 10."&amp;Eingabe!$D$9&amp;".160.10, 2. Gerät: .11","")</f>
        <v/>
      </c>
    </row>
    <row r="169" customFormat="false" ht="15" hidden="false" customHeight="false" outlineLevel="0" collapsed="false">
      <c r="A169" s="16" t="str">
        <f aca="false">IF(AND(Eingabe!$F$9&gt;0,Eingabe!$E$9&gt;=161),1,"")</f>
        <v/>
      </c>
      <c r="B169" s="16" t="str">
        <f aca="false">IF(AND(Eingabe!$F$9&gt;0,Eingabe!$E$9&gt;=161),Eingabe!$B$9,"")</f>
        <v/>
      </c>
      <c r="C169" s="16" t="str">
        <f aca="false">IF(AND(Eingabe!$F$9&gt;0,Eingabe!$E$9&gt;=161),Eingabe!$C$9&amp;"-Paz."&amp;TEXT(161,"000"),"")</f>
        <v/>
      </c>
      <c r="D169" s="16" t="str">
        <f aca="false">IF(AND(Eingabe!$F$9&gt;0,Eingabe!$E$9&gt;=161),161,"")</f>
        <v/>
      </c>
      <c r="E169" s="16" t="str">
        <f aca="false">IF(AND(Eingabe!$F$9&gt;0,Eingabe!$E$9&gt;=161),IF((Eingabe!$G$9+1)&lt;=9,1000+(Eingabe!$G$9+1)*100,3000)+61,"")</f>
        <v/>
      </c>
      <c r="F169" s="16" t="str">
        <f aca="false">IF(AND(Eingabe!$F$9&gt;0,Eingabe!$E$9&gt;=161),"10."&amp;Eingabe!$D$9&amp;".161.0/24","")</f>
        <v/>
      </c>
      <c r="G169" s="16" t="str">
        <f aca="false">IF(AND(Eingabe!$F$9&gt;0,Eingabe!$E$9&gt;=161),"10."&amp;Eingabe!$D$9&amp;".161.1","")</f>
        <v/>
      </c>
      <c r="H169" s="16" t="str">
        <f aca="false">IF(AND(Eingabe!$F$9&gt;0,Eingabe!$E$9&gt;=161),"10."&amp;Eingabe!$D$9&amp;".161.10 – 10."&amp;Eingabe!$D$9&amp;".161.250","")</f>
        <v/>
      </c>
      <c r="I169" s="16" t="str">
        <f aca="false">IF(AND(Eingabe!$F$9&gt;0,Eingabe!$E$9&gt;=161),Eingabe!$B$6&amp;"-"&amp;Eingabe!$C$9&amp;"-Pächter","")</f>
        <v/>
      </c>
      <c r="J169" s="16" t="str">
        <f aca="false">IF(AND(Eingabe!$F$9&gt;0,Eingabe!$E$9&gt;=161),"PPSK: Passwort Parzelle 161","")</f>
        <v/>
      </c>
      <c r="K169" s="16" t="str">
        <f aca="false">IF(AND(Eingabe!$F$9&gt;0,Eingabe!$E$9&gt;=161),"1. Gerät: 10."&amp;Eingabe!$D$9&amp;".161.10, 2. Gerät: .11","")</f>
        <v/>
      </c>
    </row>
    <row r="170" customFormat="false" ht="15" hidden="false" customHeight="false" outlineLevel="0" collapsed="false">
      <c r="A170" s="16" t="str">
        <f aca="false">IF(AND(Eingabe!$F$9&gt;0,Eingabe!$E$9&gt;=162),1,"")</f>
        <v/>
      </c>
      <c r="B170" s="16" t="str">
        <f aca="false">IF(AND(Eingabe!$F$9&gt;0,Eingabe!$E$9&gt;=162),Eingabe!$B$9,"")</f>
        <v/>
      </c>
      <c r="C170" s="16" t="str">
        <f aca="false">IF(AND(Eingabe!$F$9&gt;0,Eingabe!$E$9&gt;=162),Eingabe!$C$9&amp;"-Paz."&amp;TEXT(162,"000"),"")</f>
        <v/>
      </c>
      <c r="D170" s="16" t="str">
        <f aca="false">IF(AND(Eingabe!$F$9&gt;0,Eingabe!$E$9&gt;=162),162,"")</f>
        <v/>
      </c>
      <c r="E170" s="16" t="str">
        <f aca="false">IF(AND(Eingabe!$F$9&gt;0,Eingabe!$E$9&gt;=162),IF((Eingabe!$G$9+1)&lt;=9,1000+(Eingabe!$G$9+1)*100,3000)+62,"")</f>
        <v/>
      </c>
      <c r="F170" s="16" t="str">
        <f aca="false">IF(AND(Eingabe!$F$9&gt;0,Eingabe!$E$9&gt;=162),"10."&amp;Eingabe!$D$9&amp;".162.0/24","")</f>
        <v/>
      </c>
      <c r="G170" s="16" t="str">
        <f aca="false">IF(AND(Eingabe!$F$9&gt;0,Eingabe!$E$9&gt;=162),"10."&amp;Eingabe!$D$9&amp;".162.1","")</f>
        <v/>
      </c>
      <c r="H170" s="16" t="str">
        <f aca="false">IF(AND(Eingabe!$F$9&gt;0,Eingabe!$E$9&gt;=162),"10."&amp;Eingabe!$D$9&amp;".162.10 – 10."&amp;Eingabe!$D$9&amp;".162.250","")</f>
        <v/>
      </c>
      <c r="I170" s="16" t="str">
        <f aca="false">IF(AND(Eingabe!$F$9&gt;0,Eingabe!$E$9&gt;=162),Eingabe!$B$6&amp;"-"&amp;Eingabe!$C$9&amp;"-Pächter","")</f>
        <v/>
      </c>
      <c r="J170" s="16" t="str">
        <f aca="false">IF(AND(Eingabe!$F$9&gt;0,Eingabe!$E$9&gt;=162),"PPSK: Passwort Parzelle 162","")</f>
        <v/>
      </c>
      <c r="K170" s="16" t="str">
        <f aca="false">IF(AND(Eingabe!$F$9&gt;0,Eingabe!$E$9&gt;=162),"1. Gerät: 10."&amp;Eingabe!$D$9&amp;".162.10, 2. Gerät: .11","")</f>
        <v/>
      </c>
    </row>
    <row r="171" customFormat="false" ht="15" hidden="false" customHeight="false" outlineLevel="0" collapsed="false">
      <c r="A171" s="16" t="str">
        <f aca="false">IF(AND(Eingabe!$F$9&gt;0,Eingabe!$E$9&gt;=163),1,"")</f>
        <v/>
      </c>
      <c r="B171" s="16" t="str">
        <f aca="false">IF(AND(Eingabe!$F$9&gt;0,Eingabe!$E$9&gt;=163),Eingabe!$B$9,"")</f>
        <v/>
      </c>
      <c r="C171" s="16" t="str">
        <f aca="false">IF(AND(Eingabe!$F$9&gt;0,Eingabe!$E$9&gt;=163),Eingabe!$C$9&amp;"-Paz."&amp;TEXT(163,"000"),"")</f>
        <v/>
      </c>
      <c r="D171" s="16" t="str">
        <f aca="false">IF(AND(Eingabe!$F$9&gt;0,Eingabe!$E$9&gt;=163),163,"")</f>
        <v/>
      </c>
      <c r="E171" s="16" t="str">
        <f aca="false">IF(AND(Eingabe!$F$9&gt;0,Eingabe!$E$9&gt;=163),IF((Eingabe!$G$9+1)&lt;=9,1000+(Eingabe!$G$9+1)*100,3000)+63,"")</f>
        <v/>
      </c>
      <c r="F171" s="16" t="str">
        <f aca="false">IF(AND(Eingabe!$F$9&gt;0,Eingabe!$E$9&gt;=163),"10."&amp;Eingabe!$D$9&amp;".163.0/24","")</f>
        <v/>
      </c>
      <c r="G171" s="16" t="str">
        <f aca="false">IF(AND(Eingabe!$F$9&gt;0,Eingabe!$E$9&gt;=163),"10."&amp;Eingabe!$D$9&amp;".163.1","")</f>
        <v/>
      </c>
      <c r="H171" s="16" t="str">
        <f aca="false">IF(AND(Eingabe!$F$9&gt;0,Eingabe!$E$9&gt;=163),"10."&amp;Eingabe!$D$9&amp;".163.10 – 10."&amp;Eingabe!$D$9&amp;".163.250","")</f>
        <v/>
      </c>
      <c r="I171" s="16" t="str">
        <f aca="false">IF(AND(Eingabe!$F$9&gt;0,Eingabe!$E$9&gt;=163),Eingabe!$B$6&amp;"-"&amp;Eingabe!$C$9&amp;"-Pächter","")</f>
        <v/>
      </c>
      <c r="J171" s="16" t="str">
        <f aca="false">IF(AND(Eingabe!$F$9&gt;0,Eingabe!$E$9&gt;=163),"PPSK: Passwort Parzelle 163","")</f>
        <v/>
      </c>
      <c r="K171" s="16" t="str">
        <f aca="false">IF(AND(Eingabe!$F$9&gt;0,Eingabe!$E$9&gt;=163),"1. Gerät: 10."&amp;Eingabe!$D$9&amp;".163.10, 2. Gerät: .11","")</f>
        <v/>
      </c>
    </row>
    <row r="172" customFormat="false" ht="15" hidden="false" customHeight="false" outlineLevel="0" collapsed="false">
      <c r="A172" s="16" t="str">
        <f aca="false">IF(AND(Eingabe!$F$9&gt;0,Eingabe!$E$9&gt;=164),1,"")</f>
        <v/>
      </c>
      <c r="B172" s="16" t="str">
        <f aca="false">IF(AND(Eingabe!$F$9&gt;0,Eingabe!$E$9&gt;=164),Eingabe!$B$9,"")</f>
        <v/>
      </c>
      <c r="C172" s="16" t="str">
        <f aca="false">IF(AND(Eingabe!$F$9&gt;0,Eingabe!$E$9&gt;=164),Eingabe!$C$9&amp;"-Paz."&amp;TEXT(164,"000"),"")</f>
        <v/>
      </c>
      <c r="D172" s="16" t="str">
        <f aca="false">IF(AND(Eingabe!$F$9&gt;0,Eingabe!$E$9&gt;=164),164,"")</f>
        <v/>
      </c>
      <c r="E172" s="16" t="str">
        <f aca="false">IF(AND(Eingabe!$F$9&gt;0,Eingabe!$E$9&gt;=164),IF((Eingabe!$G$9+1)&lt;=9,1000+(Eingabe!$G$9+1)*100,3000)+64,"")</f>
        <v/>
      </c>
      <c r="F172" s="16" t="str">
        <f aca="false">IF(AND(Eingabe!$F$9&gt;0,Eingabe!$E$9&gt;=164),"10."&amp;Eingabe!$D$9&amp;".164.0/24","")</f>
        <v/>
      </c>
      <c r="G172" s="16" t="str">
        <f aca="false">IF(AND(Eingabe!$F$9&gt;0,Eingabe!$E$9&gt;=164),"10."&amp;Eingabe!$D$9&amp;".164.1","")</f>
        <v/>
      </c>
      <c r="H172" s="16" t="str">
        <f aca="false">IF(AND(Eingabe!$F$9&gt;0,Eingabe!$E$9&gt;=164),"10."&amp;Eingabe!$D$9&amp;".164.10 – 10."&amp;Eingabe!$D$9&amp;".164.250","")</f>
        <v/>
      </c>
      <c r="I172" s="16" t="str">
        <f aca="false">IF(AND(Eingabe!$F$9&gt;0,Eingabe!$E$9&gt;=164),Eingabe!$B$6&amp;"-"&amp;Eingabe!$C$9&amp;"-Pächter","")</f>
        <v/>
      </c>
      <c r="J172" s="16" t="str">
        <f aca="false">IF(AND(Eingabe!$F$9&gt;0,Eingabe!$E$9&gt;=164),"PPSK: Passwort Parzelle 164","")</f>
        <v/>
      </c>
      <c r="K172" s="16" t="str">
        <f aca="false">IF(AND(Eingabe!$F$9&gt;0,Eingabe!$E$9&gt;=164),"1. Gerät: 10."&amp;Eingabe!$D$9&amp;".164.10, 2. Gerät: .11","")</f>
        <v/>
      </c>
    </row>
    <row r="173" customFormat="false" ht="15" hidden="false" customHeight="false" outlineLevel="0" collapsed="false">
      <c r="A173" s="16" t="str">
        <f aca="false">IF(AND(Eingabe!$F$9&gt;0,Eingabe!$E$9&gt;=165),1,"")</f>
        <v/>
      </c>
      <c r="B173" s="16" t="str">
        <f aca="false">IF(AND(Eingabe!$F$9&gt;0,Eingabe!$E$9&gt;=165),Eingabe!$B$9,"")</f>
        <v/>
      </c>
      <c r="C173" s="16" t="str">
        <f aca="false">IF(AND(Eingabe!$F$9&gt;0,Eingabe!$E$9&gt;=165),Eingabe!$C$9&amp;"-Paz."&amp;TEXT(165,"000"),"")</f>
        <v/>
      </c>
      <c r="D173" s="16" t="str">
        <f aca="false">IF(AND(Eingabe!$F$9&gt;0,Eingabe!$E$9&gt;=165),165,"")</f>
        <v/>
      </c>
      <c r="E173" s="16" t="str">
        <f aca="false">IF(AND(Eingabe!$F$9&gt;0,Eingabe!$E$9&gt;=165),IF((Eingabe!$G$9+1)&lt;=9,1000+(Eingabe!$G$9+1)*100,3000)+65,"")</f>
        <v/>
      </c>
      <c r="F173" s="16" t="str">
        <f aca="false">IF(AND(Eingabe!$F$9&gt;0,Eingabe!$E$9&gt;=165),"10."&amp;Eingabe!$D$9&amp;".165.0/24","")</f>
        <v/>
      </c>
      <c r="G173" s="16" t="str">
        <f aca="false">IF(AND(Eingabe!$F$9&gt;0,Eingabe!$E$9&gt;=165),"10."&amp;Eingabe!$D$9&amp;".165.1","")</f>
        <v/>
      </c>
      <c r="H173" s="16" t="str">
        <f aca="false">IF(AND(Eingabe!$F$9&gt;0,Eingabe!$E$9&gt;=165),"10."&amp;Eingabe!$D$9&amp;".165.10 – 10."&amp;Eingabe!$D$9&amp;".165.250","")</f>
        <v/>
      </c>
      <c r="I173" s="16" t="str">
        <f aca="false">IF(AND(Eingabe!$F$9&gt;0,Eingabe!$E$9&gt;=165),Eingabe!$B$6&amp;"-"&amp;Eingabe!$C$9&amp;"-Pächter","")</f>
        <v/>
      </c>
      <c r="J173" s="16" t="str">
        <f aca="false">IF(AND(Eingabe!$F$9&gt;0,Eingabe!$E$9&gt;=165),"PPSK: Passwort Parzelle 165","")</f>
        <v/>
      </c>
      <c r="K173" s="16" t="str">
        <f aca="false">IF(AND(Eingabe!$F$9&gt;0,Eingabe!$E$9&gt;=165),"1. Gerät: 10."&amp;Eingabe!$D$9&amp;".165.10, 2. Gerät: .11","")</f>
        <v/>
      </c>
    </row>
    <row r="174" customFormat="false" ht="15" hidden="false" customHeight="false" outlineLevel="0" collapsed="false">
      <c r="A174" s="16" t="str">
        <f aca="false">IF(AND(Eingabe!$F$9&gt;0,Eingabe!$E$9&gt;=166),1,"")</f>
        <v/>
      </c>
      <c r="B174" s="16" t="str">
        <f aca="false">IF(AND(Eingabe!$F$9&gt;0,Eingabe!$E$9&gt;=166),Eingabe!$B$9,"")</f>
        <v/>
      </c>
      <c r="C174" s="16" t="str">
        <f aca="false">IF(AND(Eingabe!$F$9&gt;0,Eingabe!$E$9&gt;=166),Eingabe!$C$9&amp;"-Paz."&amp;TEXT(166,"000"),"")</f>
        <v/>
      </c>
      <c r="D174" s="16" t="str">
        <f aca="false">IF(AND(Eingabe!$F$9&gt;0,Eingabe!$E$9&gt;=166),166,"")</f>
        <v/>
      </c>
      <c r="E174" s="16" t="str">
        <f aca="false">IF(AND(Eingabe!$F$9&gt;0,Eingabe!$E$9&gt;=166),IF((Eingabe!$G$9+1)&lt;=9,1000+(Eingabe!$G$9+1)*100,3000)+66,"")</f>
        <v/>
      </c>
      <c r="F174" s="16" t="str">
        <f aca="false">IF(AND(Eingabe!$F$9&gt;0,Eingabe!$E$9&gt;=166),"10."&amp;Eingabe!$D$9&amp;".166.0/24","")</f>
        <v/>
      </c>
      <c r="G174" s="16" t="str">
        <f aca="false">IF(AND(Eingabe!$F$9&gt;0,Eingabe!$E$9&gt;=166),"10."&amp;Eingabe!$D$9&amp;".166.1","")</f>
        <v/>
      </c>
      <c r="H174" s="16" t="str">
        <f aca="false">IF(AND(Eingabe!$F$9&gt;0,Eingabe!$E$9&gt;=166),"10."&amp;Eingabe!$D$9&amp;".166.10 – 10."&amp;Eingabe!$D$9&amp;".166.250","")</f>
        <v/>
      </c>
      <c r="I174" s="16" t="str">
        <f aca="false">IF(AND(Eingabe!$F$9&gt;0,Eingabe!$E$9&gt;=166),Eingabe!$B$6&amp;"-"&amp;Eingabe!$C$9&amp;"-Pächter","")</f>
        <v/>
      </c>
      <c r="J174" s="16" t="str">
        <f aca="false">IF(AND(Eingabe!$F$9&gt;0,Eingabe!$E$9&gt;=166),"PPSK: Passwort Parzelle 166","")</f>
        <v/>
      </c>
      <c r="K174" s="16" t="str">
        <f aca="false">IF(AND(Eingabe!$F$9&gt;0,Eingabe!$E$9&gt;=166),"1. Gerät: 10."&amp;Eingabe!$D$9&amp;".166.10, 2. Gerät: .11","")</f>
        <v/>
      </c>
    </row>
    <row r="175" customFormat="false" ht="15" hidden="false" customHeight="false" outlineLevel="0" collapsed="false">
      <c r="A175" s="16" t="str">
        <f aca="false">IF(AND(Eingabe!$F$9&gt;0,Eingabe!$E$9&gt;=167),1,"")</f>
        <v/>
      </c>
      <c r="B175" s="16" t="str">
        <f aca="false">IF(AND(Eingabe!$F$9&gt;0,Eingabe!$E$9&gt;=167),Eingabe!$B$9,"")</f>
        <v/>
      </c>
      <c r="C175" s="16" t="str">
        <f aca="false">IF(AND(Eingabe!$F$9&gt;0,Eingabe!$E$9&gt;=167),Eingabe!$C$9&amp;"-Paz."&amp;TEXT(167,"000"),"")</f>
        <v/>
      </c>
      <c r="D175" s="16" t="str">
        <f aca="false">IF(AND(Eingabe!$F$9&gt;0,Eingabe!$E$9&gt;=167),167,"")</f>
        <v/>
      </c>
      <c r="E175" s="16" t="str">
        <f aca="false">IF(AND(Eingabe!$F$9&gt;0,Eingabe!$E$9&gt;=167),IF((Eingabe!$G$9+1)&lt;=9,1000+(Eingabe!$G$9+1)*100,3000)+67,"")</f>
        <v/>
      </c>
      <c r="F175" s="16" t="str">
        <f aca="false">IF(AND(Eingabe!$F$9&gt;0,Eingabe!$E$9&gt;=167),"10."&amp;Eingabe!$D$9&amp;".167.0/24","")</f>
        <v/>
      </c>
      <c r="G175" s="16" t="str">
        <f aca="false">IF(AND(Eingabe!$F$9&gt;0,Eingabe!$E$9&gt;=167),"10."&amp;Eingabe!$D$9&amp;".167.1","")</f>
        <v/>
      </c>
      <c r="H175" s="16" t="str">
        <f aca="false">IF(AND(Eingabe!$F$9&gt;0,Eingabe!$E$9&gt;=167),"10."&amp;Eingabe!$D$9&amp;".167.10 – 10."&amp;Eingabe!$D$9&amp;".167.250","")</f>
        <v/>
      </c>
      <c r="I175" s="16" t="str">
        <f aca="false">IF(AND(Eingabe!$F$9&gt;0,Eingabe!$E$9&gt;=167),Eingabe!$B$6&amp;"-"&amp;Eingabe!$C$9&amp;"-Pächter","")</f>
        <v/>
      </c>
      <c r="J175" s="16" t="str">
        <f aca="false">IF(AND(Eingabe!$F$9&gt;0,Eingabe!$E$9&gt;=167),"PPSK: Passwort Parzelle 167","")</f>
        <v/>
      </c>
      <c r="K175" s="16" t="str">
        <f aca="false">IF(AND(Eingabe!$F$9&gt;0,Eingabe!$E$9&gt;=167),"1. Gerät: 10."&amp;Eingabe!$D$9&amp;".167.10, 2. Gerät: .11","")</f>
        <v/>
      </c>
    </row>
    <row r="176" customFormat="false" ht="15" hidden="false" customHeight="false" outlineLevel="0" collapsed="false">
      <c r="A176" s="16" t="str">
        <f aca="false">IF(AND(Eingabe!$F$9&gt;0,Eingabe!$E$9&gt;=168),1,"")</f>
        <v/>
      </c>
      <c r="B176" s="16" t="str">
        <f aca="false">IF(AND(Eingabe!$F$9&gt;0,Eingabe!$E$9&gt;=168),Eingabe!$B$9,"")</f>
        <v/>
      </c>
      <c r="C176" s="16" t="str">
        <f aca="false">IF(AND(Eingabe!$F$9&gt;0,Eingabe!$E$9&gt;=168),Eingabe!$C$9&amp;"-Paz."&amp;TEXT(168,"000"),"")</f>
        <v/>
      </c>
      <c r="D176" s="16" t="str">
        <f aca="false">IF(AND(Eingabe!$F$9&gt;0,Eingabe!$E$9&gt;=168),168,"")</f>
        <v/>
      </c>
      <c r="E176" s="16" t="str">
        <f aca="false">IF(AND(Eingabe!$F$9&gt;0,Eingabe!$E$9&gt;=168),IF((Eingabe!$G$9+1)&lt;=9,1000+(Eingabe!$G$9+1)*100,3000)+68,"")</f>
        <v/>
      </c>
      <c r="F176" s="16" t="str">
        <f aca="false">IF(AND(Eingabe!$F$9&gt;0,Eingabe!$E$9&gt;=168),"10."&amp;Eingabe!$D$9&amp;".168.0/24","")</f>
        <v/>
      </c>
      <c r="G176" s="16" t="str">
        <f aca="false">IF(AND(Eingabe!$F$9&gt;0,Eingabe!$E$9&gt;=168),"10."&amp;Eingabe!$D$9&amp;".168.1","")</f>
        <v/>
      </c>
      <c r="H176" s="16" t="str">
        <f aca="false">IF(AND(Eingabe!$F$9&gt;0,Eingabe!$E$9&gt;=168),"10."&amp;Eingabe!$D$9&amp;".168.10 – 10."&amp;Eingabe!$D$9&amp;".168.250","")</f>
        <v/>
      </c>
      <c r="I176" s="16" t="str">
        <f aca="false">IF(AND(Eingabe!$F$9&gt;0,Eingabe!$E$9&gt;=168),Eingabe!$B$6&amp;"-"&amp;Eingabe!$C$9&amp;"-Pächter","")</f>
        <v/>
      </c>
      <c r="J176" s="16" t="str">
        <f aca="false">IF(AND(Eingabe!$F$9&gt;0,Eingabe!$E$9&gt;=168),"PPSK: Passwort Parzelle 168","")</f>
        <v/>
      </c>
      <c r="K176" s="16" t="str">
        <f aca="false">IF(AND(Eingabe!$F$9&gt;0,Eingabe!$E$9&gt;=168),"1. Gerät: 10."&amp;Eingabe!$D$9&amp;".168.10, 2. Gerät: .11","")</f>
        <v/>
      </c>
    </row>
    <row r="177" customFormat="false" ht="15" hidden="false" customHeight="false" outlineLevel="0" collapsed="false">
      <c r="A177" s="16" t="str">
        <f aca="false">IF(AND(Eingabe!$F$9&gt;0,Eingabe!$E$9&gt;=169),1,"")</f>
        <v/>
      </c>
      <c r="B177" s="16" t="str">
        <f aca="false">IF(AND(Eingabe!$F$9&gt;0,Eingabe!$E$9&gt;=169),Eingabe!$B$9,"")</f>
        <v/>
      </c>
      <c r="C177" s="16" t="str">
        <f aca="false">IF(AND(Eingabe!$F$9&gt;0,Eingabe!$E$9&gt;=169),Eingabe!$C$9&amp;"-Paz."&amp;TEXT(169,"000"),"")</f>
        <v/>
      </c>
      <c r="D177" s="16" t="str">
        <f aca="false">IF(AND(Eingabe!$F$9&gt;0,Eingabe!$E$9&gt;=169),169,"")</f>
        <v/>
      </c>
      <c r="E177" s="16" t="str">
        <f aca="false">IF(AND(Eingabe!$F$9&gt;0,Eingabe!$E$9&gt;=169),IF((Eingabe!$G$9+1)&lt;=9,1000+(Eingabe!$G$9+1)*100,3000)+69,"")</f>
        <v/>
      </c>
      <c r="F177" s="16" t="str">
        <f aca="false">IF(AND(Eingabe!$F$9&gt;0,Eingabe!$E$9&gt;=169),"10."&amp;Eingabe!$D$9&amp;".169.0/24","")</f>
        <v/>
      </c>
      <c r="G177" s="16" t="str">
        <f aca="false">IF(AND(Eingabe!$F$9&gt;0,Eingabe!$E$9&gt;=169),"10."&amp;Eingabe!$D$9&amp;".169.1","")</f>
        <v/>
      </c>
      <c r="H177" s="16" t="str">
        <f aca="false">IF(AND(Eingabe!$F$9&gt;0,Eingabe!$E$9&gt;=169),"10."&amp;Eingabe!$D$9&amp;".169.10 – 10."&amp;Eingabe!$D$9&amp;".169.250","")</f>
        <v/>
      </c>
      <c r="I177" s="16" t="str">
        <f aca="false">IF(AND(Eingabe!$F$9&gt;0,Eingabe!$E$9&gt;=169),Eingabe!$B$6&amp;"-"&amp;Eingabe!$C$9&amp;"-Pächter","")</f>
        <v/>
      </c>
      <c r="J177" s="16" t="str">
        <f aca="false">IF(AND(Eingabe!$F$9&gt;0,Eingabe!$E$9&gt;=169),"PPSK: Passwort Parzelle 169","")</f>
        <v/>
      </c>
      <c r="K177" s="16" t="str">
        <f aca="false">IF(AND(Eingabe!$F$9&gt;0,Eingabe!$E$9&gt;=169),"1. Gerät: 10."&amp;Eingabe!$D$9&amp;".169.10, 2. Gerät: .11","")</f>
        <v/>
      </c>
    </row>
    <row r="178" customFormat="false" ht="15" hidden="false" customHeight="false" outlineLevel="0" collapsed="false">
      <c r="A178" s="16" t="str">
        <f aca="false">IF(AND(Eingabe!$F$9&gt;0,Eingabe!$E$9&gt;=170),1,"")</f>
        <v/>
      </c>
      <c r="B178" s="16" t="str">
        <f aca="false">IF(AND(Eingabe!$F$9&gt;0,Eingabe!$E$9&gt;=170),Eingabe!$B$9,"")</f>
        <v/>
      </c>
      <c r="C178" s="16" t="str">
        <f aca="false">IF(AND(Eingabe!$F$9&gt;0,Eingabe!$E$9&gt;=170),Eingabe!$C$9&amp;"-Paz."&amp;TEXT(170,"000"),"")</f>
        <v/>
      </c>
      <c r="D178" s="16" t="str">
        <f aca="false">IF(AND(Eingabe!$F$9&gt;0,Eingabe!$E$9&gt;=170),170,"")</f>
        <v/>
      </c>
      <c r="E178" s="16" t="str">
        <f aca="false">IF(AND(Eingabe!$F$9&gt;0,Eingabe!$E$9&gt;=170),IF((Eingabe!$G$9+1)&lt;=9,1000+(Eingabe!$G$9+1)*100,3000)+70,"")</f>
        <v/>
      </c>
      <c r="F178" s="16" t="str">
        <f aca="false">IF(AND(Eingabe!$F$9&gt;0,Eingabe!$E$9&gt;=170),"10."&amp;Eingabe!$D$9&amp;".170.0/24","")</f>
        <v/>
      </c>
      <c r="G178" s="16" t="str">
        <f aca="false">IF(AND(Eingabe!$F$9&gt;0,Eingabe!$E$9&gt;=170),"10."&amp;Eingabe!$D$9&amp;".170.1","")</f>
        <v/>
      </c>
      <c r="H178" s="16" t="str">
        <f aca="false">IF(AND(Eingabe!$F$9&gt;0,Eingabe!$E$9&gt;=170),"10."&amp;Eingabe!$D$9&amp;".170.10 – 10."&amp;Eingabe!$D$9&amp;".170.250","")</f>
        <v/>
      </c>
      <c r="I178" s="16" t="str">
        <f aca="false">IF(AND(Eingabe!$F$9&gt;0,Eingabe!$E$9&gt;=170),Eingabe!$B$6&amp;"-"&amp;Eingabe!$C$9&amp;"-Pächter","")</f>
        <v/>
      </c>
      <c r="J178" s="16" t="str">
        <f aca="false">IF(AND(Eingabe!$F$9&gt;0,Eingabe!$E$9&gt;=170),"PPSK: Passwort Parzelle 170","")</f>
        <v/>
      </c>
      <c r="K178" s="16" t="str">
        <f aca="false">IF(AND(Eingabe!$F$9&gt;0,Eingabe!$E$9&gt;=170),"1. Gerät: 10."&amp;Eingabe!$D$9&amp;".170.10, 2. Gerät: .11","")</f>
        <v/>
      </c>
    </row>
    <row r="179" customFormat="false" ht="15" hidden="false" customHeight="false" outlineLevel="0" collapsed="false">
      <c r="A179" s="16" t="str">
        <f aca="false">IF(AND(Eingabe!$F$9&gt;0,Eingabe!$E$9&gt;=171),1,"")</f>
        <v/>
      </c>
      <c r="B179" s="16" t="str">
        <f aca="false">IF(AND(Eingabe!$F$9&gt;0,Eingabe!$E$9&gt;=171),Eingabe!$B$9,"")</f>
        <v/>
      </c>
      <c r="C179" s="16" t="str">
        <f aca="false">IF(AND(Eingabe!$F$9&gt;0,Eingabe!$E$9&gt;=171),Eingabe!$C$9&amp;"-Paz."&amp;TEXT(171,"000"),"")</f>
        <v/>
      </c>
      <c r="D179" s="16" t="str">
        <f aca="false">IF(AND(Eingabe!$F$9&gt;0,Eingabe!$E$9&gt;=171),171,"")</f>
        <v/>
      </c>
      <c r="E179" s="16" t="str">
        <f aca="false">IF(AND(Eingabe!$F$9&gt;0,Eingabe!$E$9&gt;=171),IF((Eingabe!$G$9+1)&lt;=9,1000+(Eingabe!$G$9+1)*100,3000)+71,"")</f>
        <v/>
      </c>
      <c r="F179" s="16" t="str">
        <f aca="false">IF(AND(Eingabe!$F$9&gt;0,Eingabe!$E$9&gt;=171),"10."&amp;Eingabe!$D$9&amp;".171.0/24","")</f>
        <v/>
      </c>
      <c r="G179" s="16" t="str">
        <f aca="false">IF(AND(Eingabe!$F$9&gt;0,Eingabe!$E$9&gt;=171),"10."&amp;Eingabe!$D$9&amp;".171.1","")</f>
        <v/>
      </c>
      <c r="H179" s="16" t="str">
        <f aca="false">IF(AND(Eingabe!$F$9&gt;0,Eingabe!$E$9&gt;=171),"10."&amp;Eingabe!$D$9&amp;".171.10 – 10."&amp;Eingabe!$D$9&amp;".171.250","")</f>
        <v/>
      </c>
      <c r="I179" s="16" t="str">
        <f aca="false">IF(AND(Eingabe!$F$9&gt;0,Eingabe!$E$9&gt;=171),Eingabe!$B$6&amp;"-"&amp;Eingabe!$C$9&amp;"-Pächter","")</f>
        <v/>
      </c>
      <c r="J179" s="16" t="str">
        <f aca="false">IF(AND(Eingabe!$F$9&gt;0,Eingabe!$E$9&gt;=171),"PPSK: Passwort Parzelle 171","")</f>
        <v/>
      </c>
      <c r="K179" s="16" t="str">
        <f aca="false">IF(AND(Eingabe!$F$9&gt;0,Eingabe!$E$9&gt;=171),"1. Gerät: 10."&amp;Eingabe!$D$9&amp;".171.10, 2. Gerät: .11","")</f>
        <v/>
      </c>
    </row>
    <row r="180" customFormat="false" ht="15" hidden="false" customHeight="false" outlineLevel="0" collapsed="false">
      <c r="A180" s="16" t="str">
        <f aca="false">IF(AND(Eingabe!$F$9&gt;0,Eingabe!$E$9&gt;=172),1,"")</f>
        <v/>
      </c>
      <c r="B180" s="16" t="str">
        <f aca="false">IF(AND(Eingabe!$F$9&gt;0,Eingabe!$E$9&gt;=172),Eingabe!$B$9,"")</f>
        <v/>
      </c>
      <c r="C180" s="16" t="str">
        <f aca="false">IF(AND(Eingabe!$F$9&gt;0,Eingabe!$E$9&gt;=172),Eingabe!$C$9&amp;"-Paz."&amp;TEXT(172,"000"),"")</f>
        <v/>
      </c>
      <c r="D180" s="16" t="str">
        <f aca="false">IF(AND(Eingabe!$F$9&gt;0,Eingabe!$E$9&gt;=172),172,"")</f>
        <v/>
      </c>
      <c r="E180" s="16" t="str">
        <f aca="false">IF(AND(Eingabe!$F$9&gt;0,Eingabe!$E$9&gt;=172),IF((Eingabe!$G$9+1)&lt;=9,1000+(Eingabe!$G$9+1)*100,3000)+72,"")</f>
        <v/>
      </c>
      <c r="F180" s="16" t="str">
        <f aca="false">IF(AND(Eingabe!$F$9&gt;0,Eingabe!$E$9&gt;=172),"10."&amp;Eingabe!$D$9&amp;".172.0/24","")</f>
        <v/>
      </c>
      <c r="G180" s="16" t="str">
        <f aca="false">IF(AND(Eingabe!$F$9&gt;0,Eingabe!$E$9&gt;=172),"10."&amp;Eingabe!$D$9&amp;".172.1","")</f>
        <v/>
      </c>
      <c r="H180" s="16" t="str">
        <f aca="false">IF(AND(Eingabe!$F$9&gt;0,Eingabe!$E$9&gt;=172),"10."&amp;Eingabe!$D$9&amp;".172.10 – 10."&amp;Eingabe!$D$9&amp;".172.250","")</f>
        <v/>
      </c>
      <c r="I180" s="16" t="str">
        <f aca="false">IF(AND(Eingabe!$F$9&gt;0,Eingabe!$E$9&gt;=172),Eingabe!$B$6&amp;"-"&amp;Eingabe!$C$9&amp;"-Pächter","")</f>
        <v/>
      </c>
      <c r="J180" s="16" t="str">
        <f aca="false">IF(AND(Eingabe!$F$9&gt;0,Eingabe!$E$9&gt;=172),"PPSK: Passwort Parzelle 172","")</f>
        <v/>
      </c>
      <c r="K180" s="16" t="str">
        <f aca="false">IF(AND(Eingabe!$F$9&gt;0,Eingabe!$E$9&gt;=172),"1. Gerät: 10."&amp;Eingabe!$D$9&amp;".172.10, 2. Gerät: .11","")</f>
        <v/>
      </c>
    </row>
    <row r="181" customFormat="false" ht="15" hidden="false" customHeight="false" outlineLevel="0" collapsed="false">
      <c r="A181" s="16" t="str">
        <f aca="false">IF(AND(Eingabe!$F$9&gt;0,Eingabe!$E$9&gt;=173),1,"")</f>
        <v/>
      </c>
      <c r="B181" s="16" t="str">
        <f aca="false">IF(AND(Eingabe!$F$9&gt;0,Eingabe!$E$9&gt;=173),Eingabe!$B$9,"")</f>
        <v/>
      </c>
      <c r="C181" s="16" t="str">
        <f aca="false">IF(AND(Eingabe!$F$9&gt;0,Eingabe!$E$9&gt;=173),Eingabe!$C$9&amp;"-Paz."&amp;TEXT(173,"000"),"")</f>
        <v/>
      </c>
      <c r="D181" s="16" t="str">
        <f aca="false">IF(AND(Eingabe!$F$9&gt;0,Eingabe!$E$9&gt;=173),173,"")</f>
        <v/>
      </c>
      <c r="E181" s="16" t="str">
        <f aca="false">IF(AND(Eingabe!$F$9&gt;0,Eingabe!$E$9&gt;=173),IF((Eingabe!$G$9+1)&lt;=9,1000+(Eingabe!$G$9+1)*100,3000)+73,"")</f>
        <v/>
      </c>
      <c r="F181" s="16" t="str">
        <f aca="false">IF(AND(Eingabe!$F$9&gt;0,Eingabe!$E$9&gt;=173),"10."&amp;Eingabe!$D$9&amp;".173.0/24","")</f>
        <v/>
      </c>
      <c r="G181" s="16" t="str">
        <f aca="false">IF(AND(Eingabe!$F$9&gt;0,Eingabe!$E$9&gt;=173),"10."&amp;Eingabe!$D$9&amp;".173.1","")</f>
        <v/>
      </c>
      <c r="H181" s="16" t="str">
        <f aca="false">IF(AND(Eingabe!$F$9&gt;0,Eingabe!$E$9&gt;=173),"10."&amp;Eingabe!$D$9&amp;".173.10 – 10."&amp;Eingabe!$D$9&amp;".173.250","")</f>
        <v/>
      </c>
      <c r="I181" s="16" t="str">
        <f aca="false">IF(AND(Eingabe!$F$9&gt;0,Eingabe!$E$9&gt;=173),Eingabe!$B$6&amp;"-"&amp;Eingabe!$C$9&amp;"-Pächter","")</f>
        <v/>
      </c>
      <c r="J181" s="16" t="str">
        <f aca="false">IF(AND(Eingabe!$F$9&gt;0,Eingabe!$E$9&gt;=173),"PPSK: Passwort Parzelle 173","")</f>
        <v/>
      </c>
      <c r="K181" s="16" t="str">
        <f aca="false">IF(AND(Eingabe!$F$9&gt;0,Eingabe!$E$9&gt;=173),"1. Gerät: 10."&amp;Eingabe!$D$9&amp;".173.10, 2. Gerät: .11","")</f>
        <v/>
      </c>
    </row>
    <row r="182" customFormat="false" ht="15" hidden="false" customHeight="false" outlineLevel="0" collapsed="false">
      <c r="A182" s="16" t="str">
        <f aca="false">IF(AND(Eingabe!$F$9&gt;0,Eingabe!$E$9&gt;=174),1,"")</f>
        <v/>
      </c>
      <c r="B182" s="16" t="str">
        <f aca="false">IF(AND(Eingabe!$F$9&gt;0,Eingabe!$E$9&gt;=174),Eingabe!$B$9,"")</f>
        <v/>
      </c>
      <c r="C182" s="16" t="str">
        <f aca="false">IF(AND(Eingabe!$F$9&gt;0,Eingabe!$E$9&gt;=174),Eingabe!$C$9&amp;"-Paz."&amp;TEXT(174,"000"),"")</f>
        <v/>
      </c>
      <c r="D182" s="16" t="str">
        <f aca="false">IF(AND(Eingabe!$F$9&gt;0,Eingabe!$E$9&gt;=174),174,"")</f>
        <v/>
      </c>
      <c r="E182" s="16" t="str">
        <f aca="false">IF(AND(Eingabe!$F$9&gt;0,Eingabe!$E$9&gt;=174),IF((Eingabe!$G$9+1)&lt;=9,1000+(Eingabe!$G$9+1)*100,3000)+74,"")</f>
        <v/>
      </c>
      <c r="F182" s="16" t="str">
        <f aca="false">IF(AND(Eingabe!$F$9&gt;0,Eingabe!$E$9&gt;=174),"10."&amp;Eingabe!$D$9&amp;".174.0/24","")</f>
        <v/>
      </c>
      <c r="G182" s="16" t="str">
        <f aca="false">IF(AND(Eingabe!$F$9&gt;0,Eingabe!$E$9&gt;=174),"10."&amp;Eingabe!$D$9&amp;".174.1","")</f>
        <v/>
      </c>
      <c r="H182" s="16" t="str">
        <f aca="false">IF(AND(Eingabe!$F$9&gt;0,Eingabe!$E$9&gt;=174),"10."&amp;Eingabe!$D$9&amp;".174.10 – 10."&amp;Eingabe!$D$9&amp;".174.250","")</f>
        <v/>
      </c>
      <c r="I182" s="16" t="str">
        <f aca="false">IF(AND(Eingabe!$F$9&gt;0,Eingabe!$E$9&gt;=174),Eingabe!$B$6&amp;"-"&amp;Eingabe!$C$9&amp;"-Pächter","")</f>
        <v/>
      </c>
      <c r="J182" s="16" t="str">
        <f aca="false">IF(AND(Eingabe!$F$9&gt;0,Eingabe!$E$9&gt;=174),"PPSK: Passwort Parzelle 174","")</f>
        <v/>
      </c>
      <c r="K182" s="16" t="str">
        <f aca="false">IF(AND(Eingabe!$F$9&gt;0,Eingabe!$E$9&gt;=174),"1. Gerät: 10."&amp;Eingabe!$D$9&amp;".174.10, 2. Gerät: .11","")</f>
        <v/>
      </c>
    </row>
    <row r="183" customFormat="false" ht="15" hidden="false" customHeight="false" outlineLevel="0" collapsed="false">
      <c r="A183" s="16" t="str">
        <f aca="false">IF(AND(Eingabe!$F$9&gt;0,Eingabe!$E$9&gt;=175),1,"")</f>
        <v/>
      </c>
      <c r="B183" s="16" t="str">
        <f aca="false">IF(AND(Eingabe!$F$9&gt;0,Eingabe!$E$9&gt;=175),Eingabe!$B$9,"")</f>
        <v/>
      </c>
      <c r="C183" s="16" t="str">
        <f aca="false">IF(AND(Eingabe!$F$9&gt;0,Eingabe!$E$9&gt;=175),Eingabe!$C$9&amp;"-Paz."&amp;TEXT(175,"000"),"")</f>
        <v/>
      </c>
      <c r="D183" s="16" t="str">
        <f aca="false">IF(AND(Eingabe!$F$9&gt;0,Eingabe!$E$9&gt;=175),175,"")</f>
        <v/>
      </c>
      <c r="E183" s="16" t="str">
        <f aca="false">IF(AND(Eingabe!$F$9&gt;0,Eingabe!$E$9&gt;=175),IF((Eingabe!$G$9+1)&lt;=9,1000+(Eingabe!$G$9+1)*100,3000)+75,"")</f>
        <v/>
      </c>
      <c r="F183" s="16" t="str">
        <f aca="false">IF(AND(Eingabe!$F$9&gt;0,Eingabe!$E$9&gt;=175),"10."&amp;Eingabe!$D$9&amp;".175.0/24","")</f>
        <v/>
      </c>
      <c r="G183" s="16" t="str">
        <f aca="false">IF(AND(Eingabe!$F$9&gt;0,Eingabe!$E$9&gt;=175),"10."&amp;Eingabe!$D$9&amp;".175.1","")</f>
        <v/>
      </c>
      <c r="H183" s="16" t="str">
        <f aca="false">IF(AND(Eingabe!$F$9&gt;0,Eingabe!$E$9&gt;=175),"10."&amp;Eingabe!$D$9&amp;".175.10 – 10."&amp;Eingabe!$D$9&amp;".175.250","")</f>
        <v/>
      </c>
      <c r="I183" s="16" t="str">
        <f aca="false">IF(AND(Eingabe!$F$9&gt;0,Eingabe!$E$9&gt;=175),Eingabe!$B$6&amp;"-"&amp;Eingabe!$C$9&amp;"-Pächter","")</f>
        <v/>
      </c>
      <c r="J183" s="16" t="str">
        <f aca="false">IF(AND(Eingabe!$F$9&gt;0,Eingabe!$E$9&gt;=175),"PPSK: Passwort Parzelle 175","")</f>
        <v/>
      </c>
      <c r="K183" s="16" t="str">
        <f aca="false">IF(AND(Eingabe!$F$9&gt;0,Eingabe!$E$9&gt;=175),"1. Gerät: 10."&amp;Eingabe!$D$9&amp;".175.10, 2. Gerät: .11","")</f>
        <v/>
      </c>
    </row>
    <row r="184" customFormat="false" ht="15" hidden="false" customHeight="false" outlineLevel="0" collapsed="false">
      <c r="A184" s="16" t="str">
        <f aca="false">IF(AND(Eingabe!$F$9&gt;0,Eingabe!$E$9&gt;=176),1,"")</f>
        <v/>
      </c>
      <c r="B184" s="16" t="str">
        <f aca="false">IF(AND(Eingabe!$F$9&gt;0,Eingabe!$E$9&gt;=176),Eingabe!$B$9,"")</f>
        <v/>
      </c>
      <c r="C184" s="16" t="str">
        <f aca="false">IF(AND(Eingabe!$F$9&gt;0,Eingabe!$E$9&gt;=176),Eingabe!$C$9&amp;"-Paz."&amp;TEXT(176,"000"),"")</f>
        <v/>
      </c>
      <c r="D184" s="16" t="str">
        <f aca="false">IF(AND(Eingabe!$F$9&gt;0,Eingabe!$E$9&gt;=176),176,"")</f>
        <v/>
      </c>
      <c r="E184" s="16" t="str">
        <f aca="false">IF(AND(Eingabe!$F$9&gt;0,Eingabe!$E$9&gt;=176),IF((Eingabe!$G$9+1)&lt;=9,1000+(Eingabe!$G$9+1)*100,3000)+76,"")</f>
        <v/>
      </c>
      <c r="F184" s="16" t="str">
        <f aca="false">IF(AND(Eingabe!$F$9&gt;0,Eingabe!$E$9&gt;=176),"10."&amp;Eingabe!$D$9&amp;".176.0/24","")</f>
        <v/>
      </c>
      <c r="G184" s="16" t="str">
        <f aca="false">IF(AND(Eingabe!$F$9&gt;0,Eingabe!$E$9&gt;=176),"10."&amp;Eingabe!$D$9&amp;".176.1","")</f>
        <v/>
      </c>
      <c r="H184" s="16" t="str">
        <f aca="false">IF(AND(Eingabe!$F$9&gt;0,Eingabe!$E$9&gt;=176),"10."&amp;Eingabe!$D$9&amp;".176.10 – 10."&amp;Eingabe!$D$9&amp;".176.250","")</f>
        <v/>
      </c>
      <c r="I184" s="16" t="str">
        <f aca="false">IF(AND(Eingabe!$F$9&gt;0,Eingabe!$E$9&gt;=176),Eingabe!$B$6&amp;"-"&amp;Eingabe!$C$9&amp;"-Pächter","")</f>
        <v/>
      </c>
      <c r="J184" s="16" t="str">
        <f aca="false">IF(AND(Eingabe!$F$9&gt;0,Eingabe!$E$9&gt;=176),"PPSK: Passwort Parzelle 176","")</f>
        <v/>
      </c>
      <c r="K184" s="16" t="str">
        <f aca="false">IF(AND(Eingabe!$F$9&gt;0,Eingabe!$E$9&gt;=176),"1. Gerät: 10."&amp;Eingabe!$D$9&amp;".176.10, 2. Gerät: .11","")</f>
        <v/>
      </c>
    </row>
    <row r="185" customFormat="false" ht="15" hidden="false" customHeight="false" outlineLevel="0" collapsed="false">
      <c r="A185" s="16" t="str">
        <f aca="false">IF(AND(Eingabe!$F$9&gt;0,Eingabe!$E$9&gt;=177),1,"")</f>
        <v/>
      </c>
      <c r="B185" s="16" t="str">
        <f aca="false">IF(AND(Eingabe!$F$9&gt;0,Eingabe!$E$9&gt;=177),Eingabe!$B$9,"")</f>
        <v/>
      </c>
      <c r="C185" s="16" t="str">
        <f aca="false">IF(AND(Eingabe!$F$9&gt;0,Eingabe!$E$9&gt;=177),Eingabe!$C$9&amp;"-Paz."&amp;TEXT(177,"000"),"")</f>
        <v/>
      </c>
      <c r="D185" s="16" t="str">
        <f aca="false">IF(AND(Eingabe!$F$9&gt;0,Eingabe!$E$9&gt;=177),177,"")</f>
        <v/>
      </c>
      <c r="E185" s="16" t="str">
        <f aca="false">IF(AND(Eingabe!$F$9&gt;0,Eingabe!$E$9&gt;=177),IF((Eingabe!$G$9+1)&lt;=9,1000+(Eingabe!$G$9+1)*100,3000)+77,"")</f>
        <v/>
      </c>
      <c r="F185" s="16" t="str">
        <f aca="false">IF(AND(Eingabe!$F$9&gt;0,Eingabe!$E$9&gt;=177),"10."&amp;Eingabe!$D$9&amp;".177.0/24","")</f>
        <v/>
      </c>
      <c r="G185" s="16" t="str">
        <f aca="false">IF(AND(Eingabe!$F$9&gt;0,Eingabe!$E$9&gt;=177),"10."&amp;Eingabe!$D$9&amp;".177.1","")</f>
        <v/>
      </c>
      <c r="H185" s="16" t="str">
        <f aca="false">IF(AND(Eingabe!$F$9&gt;0,Eingabe!$E$9&gt;=177),"10."&amp;Eingabe!$D$9&amp;".177.10 – 10."&amp;Eingabe!$D$9&amp;".177.250","")</f>
        <v/>
      </c>
      <c r="I185" s="16" t="str">
        <f aca="false">IF(AND(Eingabe!$F$9&gt;0,Eingabe!$E$9&gt;=177),Eingabe!$B$6&amp;"-"&amp;Eingabe!$C$9&amp;"-Pächter","")</f>
        <v/>
      </c>
      <c r="J185" s="16" t="str">
        <f aca="false">IF(AND(Eingabe!$F$9&gt;0,Eingabe!$E$9&gt;=177),"PPSK: Passwort Parzelle 177","")</f>
        <v/>
      </c>
      <c r="K185" s="16" t="str">
        <f aca="false">IF(AND(Eingabe!$F$9&gt;0,Eingabe!$E$9&gt;=177),"1. Gerät: 10."&amp;Eingabe!$D$9&amp;".177.10, 2. Gerät: .11","")</f>
        <v/>
      </c>
    </row>
    <row r="186" customFormat="false" ht="15" hidden="false" customHeight="false" outlineLevel="0" collapsed="false">
      <c r="A186" s="16" t="str">
        <f aca="false">IF(AND(Eingabe!$F$9&gt;0,Eingabe!$E$9&gt;=178),1,"")</f>
        <v/>
      </c>
      <c r="B186" s="16" t="str">
        <f aca="false">IF(AND(Eingabe!$F$9&gt;0,Eingabe!$E$9&gt;=178),Eingabe!$B$9,"")</f>
        <v/>
      </c>
      <c r="C186" s="16" t="str">
        <f aca="false">IF(AND(Eingabe!$F$9&gt;0,Eingabe!$E$9&gt;=178),Eingabe!$C$9&amp;"-Paz."&amp;TEXT(178,"000"),"")</f>
        <v/>
      </c>
      <c r="D186" s="16" t="str">
        <f aca="false">IF(AND(Eingabe!$F$9&gt;0,Eingabe!$E$9&gt;=178),178,"")</f>
        <v/>
      </c>
      <c r="E186" s="16" t="str">
        <f aca="false">IF(AND(Eingabe!$F$9&gt;0,Eingabe!$E$9&gt;=178),IF((Eingabe!$G$9+1)&lt;=9,1000+(Eingabe!$G$9+1)*100,3000)+78,"")</f>
        <v/>
      </c>
      <c r="F186" s="16" t="str">
        <f aca="false">IF(AND(Eingabe!$F$9&gt;0,Eingabe!$E$9&gt;=178),"10."&amp;Eingabe!$D$9&amp;".178.0/24","")</f>
        <v/>
      </c>
      <c r="G186" s="16" t="str">
        <f aca="false">IF(AND(Eingabe!$F$9&gt;0,Eingabe!$E$9&gt;=178),"10."&amp;Eingabe!$D$9&amp;".178.1","")</f>
        <v/>
      </c>
      <c r="H186" s="16" t="str">
        <f aca="false">IF(AND(Eingabe!$F$9&gt;0,Eingabe!$E$9&gt;=178),"10."&amp;Eingabe!$D$9&amp;".178.10 – 10."&amp;Eingabe!$D$9&amp;".178.250","")</f>
        <v/>
      </c>
      <c r="I186" s="16" t="str">
        <f aca="false">IF(AND(Eingabe!$F$9&gt;0,Eingabe!$E$9&gt;=178),Eingabe!$B$6&amp;"-"&amp;Eingabe!$C$9&amp;"-Pächter","")</f>
        <v/>
      </c>
      <c r="J186" s="16" t="str">
        <f aca="false">IF(AND(Eingabe!$F$9&gt;0,Eingabe!$E$9&gt;=178),"PPSK: Passwort Parzelle 178","")</f>
        <v/>
      </c>
      <c r="K186" s="16" t="str">
        <f aca="false">IF(AND(Eingabe!$F$9&gt;0,Eingabe!$E$9&gt;=178),"1. Gerät: 10."&amp;Eingabe!$D$9&amp;".178.10, 2. Gerät: .11","")</f>
        <v/>
      </c>
    </row>
    <row r="187" customFormat="false" ht="15" hidden="false" customHeight="false" outlineLevel="0" collapsed="false">
      <c r="A187" s="16" t="str">
        <f aca="false">IF(AND(Eingabe!$F$9&gt;0,Eingabe!$E$9&gt;=179),1,"")</f>
        <v/>
      </c>
      <c r="B187" s="16" t="str">
        <f aca="false">IF(AND(Eingabe!$F$9&gt;0,Eingabe!$E$9&gt;=179),Eingabe!$B$9,"")</f>
        <v/>
      </c>
      <c r="C187" s="16" t="str">
        <f aca="false">IF(AND(Eingabe!$F$9&gt;0,Eingabe!$E$9&gt;=179),Eingabe!$C$9&amp;"-Paz."&amp;TEXT(179,"000"),"")</f>
        <v/>
      </c>
      <c r="D187" s="16" t="str">
        <f aca="false">IF(AND(Eingabe!$F$9&gt;0,Eingabe!$E$9&gt;=179),179,"")</f>
        <v/>
      </c>
      <c r="E187" s="16" t="str">
        <f aca="false">IF(AND(Eingabe!$F$9&gt;0,Eingabe!$E$9&gt;=179),IF((Eingabe!$G$9+1)&lt;=9,1000+(Eingabe!$G$9+1)*100,3000)+79,"")</f>
        <v/>
      </c>
      <c r="F187" s="16" t="str">
        <f aca="false">IF(AND(Eingabe!$F$9&gt;0,Eingabe!$E$9&gt;=179),"10."&amp;Eingabe!$D$9&amp;".179.0/24","")</f>
        <v/>
      </c>
      <c r="G187" s="16" t="str">
        <f aca="false">IF(AND(Eingabe!$F$9&gt;0,Eingabe!$E$9&gt;=179),"10."&amp;Eingabe!$D$9&amp;".179.1","")</f>
        <v/>
      </c>
      <c r="H187" s="16" t="str">
        <f aca="false">IF(AND(Eingabe!$F$9&gt;0,Eingabe!$E$9&gt;=179),"10."&amp;Eingabe!$D$9&amp;".179.10 – 10."&amp;Eingabe!$D$9&amp;".179.250","")</f>
        <v/>
      </c>
      <c r="I187" s="16" t="str">
        <f aca="false">IF(AND(Eingabe!$F$9&gt;0,Eingabe!$E$9&gt;=179),Eingabe!$B$6&amp;"-"&amp;Eingabe!$C$9&amp;"-Pächter","")</f>
        <v/>
      </c>
      <c r="J187" s="16" t="str">
        <f aca="false">IF(AND(Eingabe!$F$9&gt;0,Eingabe!$E$9&gt;=179),"PPSK: Passwort Parzelle 179","")</f>
        <v/>
      </c>
      <c r="K187" s="16" t="str">
        <f aca="false">IF(AND(Eingabe!$F$9&gt;0,Eingabe!$E$9&gt;=179),"1. Gerät: 10."&amp;Eingabe!$D$9&amp;".179.10, 2. Gerät: .11","")</f>
        <v/>
      </c>
    </row>
    <row r="188" customFormat="false" ht="15" hidden="false" customHeight="false" outlineLevel="0" collapsed="false">
      <c r="A188" s="16" t="str">
        <f aca="false">IF(AND(Eingabe!$F$9&gt;0,Eingabe!$E$9&gt;=180),1,"")</f>
        <v/>
      </c>
      <c r="B188" s="16" t="str">
        <f aca="false">IF(AND(Eingabe!$F$9&gt;0,Eingabe!$E$9&gt;=180),Eingabe!$B$9,"")</f>
        <v/>
      </c>
      <c r="C188" s="16" t="str">
        <f aca="false">IF(AND(Eingabe!$F$9&gt;0,Eingabe!$E$9&gt;=180),Eingabe!$C$9&amp;"-Paz."&amp;TEXT(180,"000"),"")</f>
        <v/>
      </c>
      <c r="D188" s="16" t="str">
        <f aca="false">IF(AND(Eingabe!$F$9&gt;0,Eingabe!$E$9&gt;=180),180,"")</f>
        <v/>
      </c>
      <c r="E188" s="16" t="str">
        <f aca="false">IF(AND(Eingabe!$F$9&gt;0,Eingabe!$E$9&gt;=180),IF((Eingabe!$G$9+1)&lt;=9,1000+(Eingabe!$G$9+1)*100,3000)+80,"")</f>
        <v/>
      </c>
      <c r="F188" s="16" t="str">
        <f aca="false">IF(AND(Eingabe!$F$9&gt;0,Eingabe!$E$9&gt;=180),"10."&amp;Eingabe!$D$9&amp;".180.0/24","")</f>
        <v/>
      </c>
      <c r="G188" s="16" t="str">
        <f aca="false">IF(AND(Eingabe!$F$9&gt;0,Eingabe!$E$9&gt;=180),"10."&amp;Eingabe!$D$9&amp;".180.1","")</f>
        <v/>
      </c>
      <c r="H188" s="16" t="str">
        <f aca="false">IF(AND(Eingabe!$F$9&gt;0,Eingabe!$E$9&gt;=180),"10."&amp;Eingabe!$D$9&amp;".180.10 – 10."&amp;Eingabe!$D$9&amp;".180.250","")</f>
        <v/>
      </c>
      <c r="I188" s="16" t="str">
        <f aca="false">IF(AND(Eingabe!$F$9&gt;0,Eingabe!$E$9&gt;=180),Eingabe!$B$6&amp;"-"&amp;Eingabe!$C$9&amp;"-Pächter","")</f>
        <v/>
      </c>
      <c r="J188" s="16" t="str">
        <f aca="false">IF(AND(Eingabe!$F$9&gt;0,Eingabe!$E$9&gt;=180),"PPSK: Passwort Parzelle 180","")</f>
        <v/>
      </c>
      <c r="K188" s="16" t="str">
        <f aca="false">IF(AND(Eingabe!$F$9&gt;0,Eingabe!$E$9&gt;=180),"1. Gerät: 10."&amp;Eingabe!$D$9&amp;".180.10, 2. Gerät: .11","")</f>
        <v/>
      </c>
    </row>
    <row r="189" customFormat="false" ht="15" hidden="false" customHeight="false" outlineLevel="0" collapsed="false">
      <c r="A189" s="16" t="str">
        <f aca="false">IF(AND(Eingabe!$F$9&gt;0,Eingabe!$E$9&gt;=181),1,"")</f>
        <v/>
      </c>
      <c r="B189" s="16" t="str">
        <f aca="false">IF(AND(Eingabe!$F$9&gt;0,Eingabe!$E$9&gt;=181),Eingabe!$B$9,"")</f>
        <v/>
      </c>
      <c r="C189" s="16" t="str">
        <f aca="false">IF(AND(Eingabe!$F$9&gt;0,Eingabe!$E$9&gt;=181),Eingabe!$C$9&amp;"-Paz."&amp;TEXT(181,"000"),"")</f>
        <v/>
      </c>
      <c r="D189" s="16" t="str">
        <f aca="false">IF(AND(Eingabe!$F$9&gt;0,Eingabe!$E$9&gt;=181),181,"")</f>
        <v/>
      </c>
      <c r="E189" s="16" t="str">
        <f aca="false">IF(AND(Eingabe!$F$9&gt;0,Eingabe!$E$9&gt;=181),IF((Eingabe!$G$9+1)&lt;=9,1000+(Eingabe!$G$9+1)*100,3000)+81,"")</f>
        <v/>
      </c>
      <c r="F189" s="16" t="str">
        <f aca="false">IF(AND(Eingabe!$F$9&gt;0,Eingabe!$E$9&gt;=181),"10."&amp;Eingabe!$D$9&amp;".181.0/24","")</f>
        <v/>
      </c>
      <c r="G189" s="16" t="str">
        <f aca="false">IF(AND(Eingabe!$F$9&gt;0,Eingabe!$E$9&gt;=181),"10."&amp;Eingabe!$D$9&amp;".181.1","")</f>
        <v/>
      </c>
      <c r="H189" s="16" t="str">
        <f aca="false">IF(AND(Eingabe!$F$9&gt;0,Eingabe!$E$9&gt;=181),"10."&amp;Eingabe!$D$9&amp;".181.10 – 10."&amp;Eingabe!$D$9&amp;".181.250","")</f>
        <v/>
      </c>
      <c r="I189" s="16" t="str">
        <f aca="false">IF(AND(Eingabe!$F$9&gt;0,Eingabe!$E$9&gt;=181),Eingabe!$B$6&amp;"-"&amp;Eingabe!$C$9&amp;"-Pächter","")</f>
        <v/>
      </c>
      <c r="J189" s="16" t="str">
        <f aca="false">IF(AND(Eingabe!$F$9&gt;0,Eingabe!$E$9&gt;=181),"PPSK: Passwort Parzelle 181","")</f>
        <v/>
      </c>
      <c r="K189" s="16" t="str">
        <f aca="false">IF(AND(Eingabe!$F$9&gt;0,Eingabe!$E$9&gt;=181),"1. Gerät: 10."&amp;Eingabe!$D$9&amp;".181.10, 2. Gerät: .11","")</f>
        <v/>
      </c>
    </row>
    <row r="190" customFormat="false" ht="15" hidden="false" customHeight="false" outlineLevel="0" collapsed="false">
      <c r="A190" s="16" t="str">
        <f aca="false">IF(AND(Eingabe!$F$9&gt;0,Eingabe!$E$9&gt;=182),1,"")</f>
        <v/>
      </c>
      <c r="B190" s="16" t="str">
        <f aca="false">IF(AND(Eingabe!$F$9&gt;0,Eingabe!$E$9&gt;=182),Eingabe!$B$9,"")</f>
        <v/>
      </c>
      <c r="C190" s="16" t="str">
        <f aca="false">IF(AND(Eingabe!$F$9&gt;0,Eingabe!$E$9&gt;=182),Eingabe!$C$9&amp;"-Paz."&amp;TEXT(182,"000"),"")</f>
        <v/>
      </c>
      <c r="D190" s="16" t="str">
        <f aca="false">IF(AND(Eingabe!$F$9&gt;0,Eingabe!$E$9&gt;=182),182,"")</f>
        <v/>
      </c>
      <c r="E190" s="16" t="str">
        <f aca="false">IF(AND(Eingabe!$F$9&gt;0,Eingabe!$E$9&gt;=182),IF((Eingabe!$G$9+1)&lt;=9,1000+(Eingabe!$G$9+1)*100,3000)+82,"")</f>
        <v/>
      </c>
      <c r="F190" s="16" t="str">
        <f aca="false">IF(AND(Eingabe!$F$9&gt;0,Eingabe!$E$9&gt;=182),"10."&amp;Eingabe!$D$9&amp;".182.0/24","")</f>
        <v/>
      </c>
      <c r="G190" s="16" t="str">
        <f aca="false">IF(AND(Eingabe!$F$9&gt;0,Eingabe!$E$9&gt;=182),"10."&amp;Eingabe!$D$9&amp;".182.1","")</f>
        <v/>
      </c>
      <c r="H190" s="16" t="str">
        <f aca="false">IF(AND(Eingabe!$F$9&gt;0,Eingabe!$E$9&gt;=182),"10."&amp;Eingabe!$D$9&amp;".182.10 – 10."&amp;Eingabe!$D$9&amp;".182.250","")</f>
        <v/>
      </c>
      <c r="I190" s="16" t="str">
        <f aca="false">IF(AND(Eingabe!$F$9&gt;0,Eingabe!$E$9&gt;=182),Eingabe!$B$6&amp;"-"&amp;Eingabe!$C$9&amp;"-Pächter","")</f>
        <v/>
      </c>
      <c r="J190" s="16" t="str">
        <f aca="false">IF(AND(Eingabe!$F$9&gt;0,Eingabe!$E$9&gt;=182),"PPSK: Passwort Parzelle 182","")</f>
        <v/>
      </c>
      <c r="K190" s="16" t="str">
        <f aca="false">IF(AND(Eingabe!$F$9&gt;0,Eingabe!$E$9&gt;=182),"1. Gerät: 10."&amp;Eingabe!$D$9&amp;".182.10, 2. Gerät: .11","")</f>
        <v/>
      </c>
    </row>
    <row r="191" customFormat="false" ht="15" hidden="false" customHeight="false" outlineLevel="0" collapsed="false">
      <c r="A191" s="16" t="str">
        <f aca="false">IF(AND(Eingabe!$F$9&gt;0,Eingabe!$E$9&gt;=183),1,"")</f>
        <v/>
      </c>
      <c r="B191" s="16" t="str">
        <f aca="false">IF(AND(Eingabe!$F$9&gt;0,Eingabe!$E$9&gt;=183),Eingabe!$B$9,"")</f>
        <v/>
      </c>
      <c r="C191" s="16" t="str">
        <f aca="false">IF(AND(Eingabe!$F$9&gt;0,Eingabe!$E$9&gt;=183),Eingabe!$C$9&amp;"-Paz."&amp;TEXT(183,"000"),"")</f>
        <v/>
      </c>
      <c r="D191" s="16" t="str">
        <f aca="false">IF(AND(Eingabe!$F$9&gt;0,Eingabe!$E$9&gt;=183),183,"")</f>
        <v/>
      </c>
      <c r="E191" s="16" t="str">
        <f aca="false">IF(AND(Eingabe!$F$9&gt;0,Eingabe!$E$9&gt;=183),IF((Eingabe!$G$9+1)&lt;=9,1000+(Eingabe!$G$9+1)*100,3000)+83,"")</f>
        <v/>
      </c>
      <c r="F191" s="16" t="str">
        <f aca="false">IF(AND(Eingabe!$F$9&gt;0,Eingabe!$E$9&gt;=183),"10."&amp;Eingabe!$D$9&amp;".183.0/24","")</f>
        <v/>
      </c>
      <c r="G191" s="16" t="str">
        <f aca="false">IF(AND(Eingabe!$F$9&gt;0,Eingabe!$E$9&gt;=183),"10."&amp;Eingabe!$D$9&amp;".183.1","")</f>
        <v/>
      </c>
      <c r="H191" s="16" t="str">
        <f aca="false">IF(AND(Eingabe!$F$9&gt;0,Eingabe!$E$9&gt;=183),"10."&amp;Eingabe!$D$9&amp;".183.10 – 10."&amp;Eingabe!$D$9&amp;".183.250","")</f>
        <v/>
      </c>
      <c r="I191" s="16" t="str">
        <f aca="false">IF(AND(Eingabe!$F$9&gt;0,Eingabe!$E$9&gt;=183),Eingabe!$B$6&amp;"-"&amp;Eingabe!$C$9&amp;"-Pächter","")</f>
        <v/>
      </c>
      <c r="J191" s="16" t="str">
        <f aca="false">IF(AND(Eingabe!$F$9&gt;0,Eingabe!$E$9&gt;=183),"PPSK: Passwort Parzelle 183","")</f>
        <v/>
      </c>
      <c r="K191" s="16" t="str">
        <f aca="false">IF(AND(Eingabe!$F$9&gt;0,Eingabe!$E$9&gt;=183),"1. Gerät: 10."&amp;Eingabe!$D$9&amp;".183.10, 2. Gerät: .11","")</f>
        <v/>
      </c>
    </row>
    <row r="192" customFormat="false" ht="15" hidden="false" customHeight="false" outlineLevel="0" collapsed="false">
      <c r="A192" s="16" t="str">
        <f aca="false">IF(AND(Eingabe!$F$9&gt;0,Eingabe!$E$9&gt;=184),1,"")</f>
        <v/>
      </c>
      <c r="B192" s="16" t="str">
        <f aca="false">IF(AND(Eingabe!$F$9&gt;0,Eingabe!$E$9&gt;=184),Eingabe!$B$9,"")</f>
        <v/>
      </c>
      <c r="C192" s="16" t="str">
        <f aca="false">IF(AND(Eingabe!$F$9&gt;0,Eingabe!$E$9&gt;=184),Eingabe!$C$9&amp;"-Paz."&amp;TEXT(184,"000"),"")</f>
        <v/>
      </c>
      <c r="D192" s="16" t="str">
        <f aca="false">IF(AND(Eingabe!$F$9&gt;0,Eingabe!$E$9&gt;=184),184,"")</f>
        <v/>
      </c>
      <c r="E192" s="16" t="str">
        <f aca="false">IF(AND(Eingabe!$F$9&gt;0,Eingabe!$E$9&gt;=184),IF((Eingabe!$G$9+1)&lt;=9,1000+(Eingabe!$G$9+1)*100,3000)+84,"")</f>
        <v/>
      </c>
      <c r="F192" s="16" t="str">
        <f aca="false">IF(AND(Eingabe!$F$9&gt;0,Eingabe!$E$9&gt;=184),"10."&amp;Eingabe!$D$9&amp;".184.0/24","")</f>
        <v/>
      </c>
      <c r="G192" s="16" t="str">
        <f aca="false">IF(AND(Eingabe!$F$9&gt;0,Eingabe!$E$9&gt;=184),"10."&amp;Eingabe!$D$9&amp;".184.1","")</f>
        <v/>
      </c>
      <c r="H192" s="16" t="str">
        <f aca="false">IF(AND(Eingabe!$F$9&gt;0,Eingabe!$E$9&gt;=184),"10."&amp;Eingabe!$D$9&amp;".184.10 – 10."&amp;Eingabe!$D$9&amp;".184.250","")</f>
        <v/>
      </c>
      <c r="I192" s="16" t="str">
        <f aca="false">IF(AND(Eingabe!$F$9&gt;0,Eingabe!$E$9&gt;=184),Eingabe!$B$6&amp;"-"&amp;Eingabe!$C$9&amp;"-Pächter","")</f>
        <v/>
      </c>
      <c r="J192" s="16" t="str">
        <f aca="false">IF(AND(Eingabe!$F$9&gt;0,Eingabe!$E$9&gt;=184),"PPSK: Passwort Parzelle 184","")</f>
        <v/>
      </c>
      <c r="K192" s="16" t="str">
        <f aca="false">IF(AND(Eingabe!$F$9&gt;0,Eingabe!$E$9&gt;=184),"1. Gerät: 10."&amp;Eingabe!$D$9&amp;".184.10, 2. Gerät: .11","")</f>
        <v/>
      </c>
    </row>
    <row r="193" customFormat="false" ht="15" hidden="false" customHeight="false" outlineLevel="0" collapsed="false">
      <c r="A193" s="16" t="str">
        <f aca="false">IF(AND(Eingabe!$F$9&gt;0,Eingabe!$E$9&gt;=185),1,"")</f>
        <v/>
      </c>
      <c r="B193" s="16" t="str">
        <f aca="false">IF(AND(Eingabe!$F$9&gt;0,Eingabe!$E$9&gt;=185),Eingabe!$B$9,"")</f>
        <v/>
      </c>
      <c r="C193" s="16" t="str">
        <f aca="false">IF(AND(Eingabe!$F$9&gt;0,Eingabe!$E$9&gt;=185),Eingabe!$C$9&amp;"-Paz."&amp;TEXT(185,"000"),"")</f>
        <v/>
      </c>
      <c r="D193" s="16" t="str">
        <f aca="false">IF(AND(Eingabe!$F$9&gt;0,Eingabe!$E$9&gt;=185),185,"")</f>
        <v/>
      </c>
      <c r="E193" s="16" t="str">
        <f aca="false">IF(AND(Eingabe!$F$9&gt;0,Eingabe!$E$9&gt;=185),IF((Eingabe!$G$9+1)&lt;=9,1000+(Eingabe!$G$9+1)*100,3000)+85,"")</f>
        <v/>
      </c>
      <c r="F193" s="16" t="str">
        <f aca="false">IF(AND(Eingabe!$F$9&gt;0,Eingabe!$E$9&gt;=185),"10."&amp;Eingabe!$D$9&amp;".185.0/24","")</f>
        <v/>
      </c>
      <c r="G193" s="16" t="str">
        <f aca="false">IF(AND(Eingabe!$F$9&gt;0,Eingabe!$E$9&gt;=185),"10."&amp;Eingabe!$D$9&amp;".185.1","")</f>
        <v/>
      </c>
      <c r="H193" s="16" t="str">
        <f aca="false">IF(AND(Eingabe!$F$9&gt;0,Eingabe!$E$9&gt;=185),"10."&amp;Eingabe!$D$9&amp;".185.10 – 10."&amp;Eingabe!$D$9&amp;".185.250","")</f>
        <v/>
      </c>
      <c r="I193" s="16" t="str">
        <f aca="false">IF(AND(Eingabe!$F$9&gt;0,Eingabe!$E$9&gt;=185),Eingabe!$B$6&amp;"-"&amp;Eingabe!$C$9&amp;"-Pächter","")</f>
        <v/>
      </c>
      <c r="J193" s="16" t="str">
        <f aca="false">IF(AND(Eingabe!$F$9&gt;0,Eingabe!$E$9&gt;=185),"PPSK: Passwort Parzelle 185","")</f>
        <v/>
      </c>
      <c r="K193" s="16" t="str">
        <f aca="false">IF(AND(Eingabe!$F$9&gt;0,Eingabe!$E$9&gt;=185),"1. Gerät: 10."&amp;Eingabe!$D$9&amp;".185.10, 2. Gerät: .11","")</f>
        <v/>
      </c>
    </row>
    <row r="194" customFormat="false" ht="15" hidden="false" customHeight="false" outlineLevel="0" collapsed="false">
      <c r="A194" s="16" t="str">
        <f aca="false">IF(AND(Eingabe!$F$9&gt;0,Eingabe!$E$9&gt;=186),1,"")</f>
        <v/>
      </c>
      <c r="B194" s="16" t="str">
        <f aca="false">IF(AND(Eingabe!$F$9&gt;0,Eingabe!$E$9&gt;=186),Eingabe!$B$9,"")</f>
        <v/>
      </c>
      <c r="C194" s="16" t="str">
        <f aca="false">IF(AND(Eingabe!$F$9&gt;0,Eingabe!$E$9&gt;=186),Eingabe!$C$9&amp;"-Paz."&amp;TEXT(186,"000"),"")</f>
        <v/>
      </c>
      <c r="D194" s="16" t="str">
        <f aca="false">IF(AND(Eingabe!$F$9&gt;0,Eingabe!$E$9&gt;=186),186,"")</f>
        <v/>
      </c>
      <c r="E194" s="16" t="str">
        <f aca="false">IF(AND(Eingabe!$F$9&gt;0,Eingabe!$E$9&gt;=186),IF((Eingabe!$G$9+1)&lt;=9,1000+(Eingabe!$G$9+1)*100,3000)+86,"")</f>
        <v/>
      </c>
      <c r="F194" s="16" t="str">
        <f aca="false">IF(AND(Eingabe!$F$9&gt;0,Eingabe!$E$9&gt;=186),"10."&amp;Eingabe!$D$9&amp;".186.0/24","")</f>
        <v/>
      </c>
      <c r="G194" s="16" t="str">
        <f aca="false">IF(AND(Eingabe!$F$9&gt;0,Eingabe!$E$9&gt;=186),"10."&amp;Eingabe!$D$9&amp;".186.1","")</f>
        <v/>
      </c>
      <c r="H194" s="16" t="str">
        <f aca="false">IF(AND(Eingabe!$F$9&gt;0,Eingabe!$E$9&gt;=186),"10."&amp;Eingabe!$D$9&amp;".186.10 – 10."&amp;Eingabe!$D$9&amp;".186.250","")</f>
        <v/>
      </c>
      <c r="I194" s="16" t="str">
        <f aca="false">IF(AND(Eingabe!$F$9&gt;0,Eingabe!$E$9&gt;=186),Eingabe!$B$6&amp;"-"&amp;Eingabe!$C$9&amp;"-Pächter","")</f>
        <v/>
      </c>
      <c r="J194" s="16" t="str">
        <f aca="false">IF(AND(Eingabe!$F$9&gt;0,Eingabe!$E$9&gt;=186),"PPSK: Passwort Parzelle 186","")</f>
        <v/>
      </c>
      <c r="K194" s="16" t="str">
        <f aca="false">IF(AND(Eingabe!$F$9&gt;0,Eingabe!$E$9&gt;=186),"1. Gerät: 10."&amp;Eingabe!$D$9&amp;".186.10, 2. Gerät: .11","")</f>
        <v/>
      </c>
    </row>
    <row r="195" customFormat="false" ht="15" hidden="false" customHeight="false" outlineLevel="0" collapsed="false">
      <c r="A195" s="16" t="str">
        <f aca="false">IF(AND(Eingabe!$F$9&gt;0,Eingabe!$E$9&gt;=187),1,"")</f>
        <v/>
      </c>
      <c r="B195" s="16" t="str">
        <f aca="false">IF(AND(Eingabe!$F$9&gt;0,Eingabe!$E$9&gt;=187),Eingabe!$B$9,"")</f>
        <v/>
      </c>
      <c r="C195" s="16" t="str">
        <f aca="false">IF(AND(Eingabe!$F$9&gt;0,Eingabe!$E$9&gt;=187),Eingabe!$C$9&amp;"-Paz."&amp;TEXT(187,"000"),"")</f>
        <v/>
      </c>
      <c r="D195" s="16" t="str">
        <f aca="false">IF(AND(Eingabe!$F$9&gt;0,Eingabe!$E$9&gt;=187),187,"")</f>
        <v/>
      </c>
      <c r="E195" s="16" t="str">
        <f aca="false">IF(AND(Eingabe!$F$9&gt;0,Eingabe!$E$9&gt;=187),IF((Eingabe!$G$9+1)&lt;=9,1000+(Eingabe!$G$9+1)*100,3000)+87,"")</f>
        <v/>
      </c>
      <c r="F195" s="16" t="str">
        <f aca="false">IF(AND(Eingabe!$F$9&gt;0,Eingabe!$E$9&gt;=187),"10."&amp;Eingabe!$D$9&amp;".187.0/24","")</f>
        <v/>
      </c>
      <c r="G195" s="16" t="str">
        <f aca="false">IF(AND(Eingabe!$F$9&gt;0,Eingabe!$E$9&gt;=187),"10."&amp;Eingabe!$D$9&amp;".187.1","")</f>
        <v/>
      </c>
      <c r="H195" s="16" t="str">
        <f aca="false">IF(AND(Eingabe!$F$9&gt;0,Eingabe!$E$9&gt;=187),"10."&amp;Eingabe!$D$9&amp;".187.10 – 10."&amp;Eingabe!$D$9&amp;".187.250","")</f>
        <v/>
      </c>
      <c r="I195" s="16" t="str">
        <f aca="false">IF(AND(Eingabe!$F$9&gt;0,Eingabe!$E$9&gt;=187),Eingabe!$B$6&amp;"-"&amp;Eingabe!$C$9&amp;"-Pächter","")</f>
        <v/>
      </c>
      <c r="J195" s="16" t="str">
        <f aca="false">IF(AND(Eingabe!$F$9&gt;0,Eingabe!$E$9&gt;=187),"PPSK: Passwort Parzelle 187","")</f>
        <v/>
      </c>
      <c r="K195" s="16" t="str">
        <f aca="false">IF(AND(Eingabe!$F$9&gt;0,Eingabe!$E$9&gt;=187),"1. Gerät: 10."&amp;Eingabe!$D$9&amp;".187.10, 2. Gerät: .11","")</f>
        <v/>
      </c>
    </row>
    <row r="196" customFormat="false" ht="15" hidden="false" customHeight="false" outlineLevel="0" collapsed="false">
      <c r="A196" s="16" t="str">
        <f aca="false">IF(AND(Eingabe!$F$9&gt;0,Eingabe!$E$9&gt;=188),1,"")</f>
        <v/>
      </c>
      <c r="B196" s="16" t="str">
        <f aca="false">IF(AND(Eingabe!$F$9&gt;0,Eingabe!$E$9&gt;=188),Eingabe!$B$9,"")</f>
        <v/>
      </c>
      <c r="C196" s="16" t="str">
        <f aca="false">IF(AND(Eingabe!$F$9&gt;0,Eingabe!$E$9&gt;=188),Eingabe!$C$9&amp;"-Paz."&amp;TEXT(188,"000"),"")</f>
        <v/>
      </c>
      <c r="D196" s="16" t="str">
        <f aca="false">IF(AND(Eingabe!$F$9&gt;0,Eingabe!$E$9&gt;=188),188,"")</f>
        <v/>
      </c>
      <c r="E196" s="16" t="str">
        <f aca="false">IF(AND(Eingabe!$F$9&gt;0,Eingabe!$E$9&gt;=188),IF((Eingabe!$G$9+1)&lt;=9,1000+(Eingabe!$G$9+1)*100,3000)+88,"")</f>
        <v/>
      </c>
      <c r="F196" s="16" t="str">
        <f aca="false">IF(AND(Eingabe!$F$9&gt;0,Eingabe!$E$9&gt;=188),"10."&amp;Eingabe!$D$9&amp;".188.0/24","")</f>
        <v/>
      </c>
      <c r="G196" s="16" t="str">
        <f aca="false">IF(AND(Eingabe!$F$9&gt;0,Eingabe!$E$9&gt;=188),"10."&amp;Eingabe!$D$9&amp;".188.1","")</f>
        <v/>
      </c>
      <c r="H196" s="16" t="str">
        <f aca="false">IF(AND(Eingabe!$F$9&gt;0,Eingabe!$E$9&gt;=188),"10."&amp;Eingabe!$D$9&amp;".188.10 – 10."&amp;Eingabe!$D$9&amp;".188.250","")</f>
        <v/>
      </c>
      <c r="I196" s="16" t="str">
        <f aca="false">IF(AND(Eingabe!$F$9&gt;0,Eingabe!$E$9&gt;=188),Eingabe!$B$6&amp;"-"&amp;Eingabe!$C$9&amp;"-Pächter","")</f>
        <v/>
      </c>
      <c r="J196" s="16" t="str">
        <f aca="false">IF(AND(Eingabe!$F$9&gt;0,Eingabe!$E$9&gt;=188),"PPSK: Passwort Parzelle 188","")</f>
        <v/>
      </c>
      <c r="K196" s="16" t="str">
        <f aca="false">IF(AND(Eingabe!$F$9&gt;0,Eingabe!$E$9&gt;=188),"1. Gerät: 10."&amp;Eingabe!$D$9&amp;".188.10, 2. Gerät: .11","")</f>
        <v/>
      </c>
    </row>
    <row r="197" customFormat="false" ht="15" hidden="false" customHeight="false" outlineLevel="0" collapsed="false">
      <c r="A197" s="16" t="str">
        <f aca="false">IF(AND(Eingabe!$F$9&gt;0,Eingabe!$E$9&gt;=189),1,"")</f>
        <v/>
      </c>
      <c r="B197" s="16" t="str">
        <f aca="false">IF(AND(Eingabe!$F$9&gt;0,Eingabe!$E$9&gt;=189),Eingabe!$B$9,"")</f>
        <v/>
      </c>
      <c r="C197" s="16" t="str">
        <f aca="false">IF(AND(Eingabe!$F$9&gt;0,Eingabe!$E$9&gt;=189),Eingabe!$C$9&amp;"-Paz."&amp;TEXT(189,"000"),"")</f>
        <v/>
      </c>
      <c r="D197" s="16" t="str">
        <f aca="false">IF(AND(Eingabe!$F$9&gt;0,Eingabe!$E$9&gt;=189),189,"")</f>
        <v/>
      </c>
      <c r="E197" s="16" t="str">
        <f aca="false">IF(AND(Eingabe!$F$9&gt;0,Eingabe!$E$9&gt;=189),IF((Eingabe!$G$9+1)&lt;=9,1000+(Eingabe!$G$9+1)*100,3000)+89,"")</f>
        <v/>
      </c>
      <c r="F197" s="16" t="str">
        <f aca="false">IF(AND(Eingabe!$F$9&gt;0,Eingabe!$E$9&gt;=189),"10."&amp;Eingabe!$D$9&amp;".189.0/24","")</f>
        <v/>
      </c>
      <c r="G197" s="16" t="str">
        <f aca="false">IF(AND(Eingabe!$F$9&gt;0,Eingabe!$E$9&gt;=189),"10."&amp;Eingabe!$D$9&amp;".189.1","")</f>
        <v/>
      </c>
      <c r="H197" s="16" t="str">
        <f aca="false">IF(AND(Eingabe!$F$9&gt;0,Eingabe!$E$9&gt;=189),"10."&amp;Eingabe!$D$9&amp;".189.10 – 10."&amp;Eingabe!$D$9&amp;".189.250","")</f>
        <v/>
      </c>
      <c r="I197" s="16" t="str">
        <f aca="false">IF(AND(Eingabe!$F$9&gt;0,Eingabe!$E$9&gt;=189),Eingabe!$B$6&amp;"-"&amp;Eingabe!$C$9&amp;"-Pächter","")</f>
        <v/>
      </c>
      <c r="J197" s="16" t="str">
        <f aca="false">IF(AND(Eingabe!$F$9&gt;0,Eingabe!$E$9&gt;=189),"PPSK: Passwort Parzelle 189","")</f>
        <v/>
      </c>
      <c r="K197" s="16" t="str">
        <f aca="false">IF(AND(Eingabe!$F$9&gt;0,Eingabe!$E$9&gt;=189),"1. Gerät: 10."&amp;Eingabe!$D$9&amp;".189.10, 2. Gerät: .11","")</f>
        <v/>
      </c>
    </row>
    <row r="198" customFormat="false" ht="15" hidden="false" customHeight="false" outlineLevel="0" collapsed="false">
      <c r="A198" s="16" t="str">
        <f aca="false">IF(AND(Eingabe!$F$9&gt;0,Eingabe!$E$9&gt;=190),1,"")</f>
        <v/>
      </c>
      <c r="B198" s="16" t="str">
        <f aca="false">IF(AND(Eingabe!$F$9&gt;0,Eingabe!$E$9&gt;=190),Eingabe!$B$9,"")</f>
        <v/>
      </c>
      <c r="C198" s="16" t="str">
        <f aca="false">IF(AND(Eingabe!$F$9&gt;0,Eingabe!$E$9&gt;=190),Eingabe!$C$9&amp;"-Paz."&amp;TEXT(190,"000"),"")</f>
        <v/>
      </c>
      <c r="D198" s="16" t="str">
        <f aca="false">IF(AND(Eingabe!$F$9&gt;0,Eingabe!$E$9&gt;=190),190,"")</f>
        <v/>
      </c>
      <c r="E198" s="16" t="str">
        <f aca="false">IF(AND(Eingabe!$F$9&gt;0,Eingabe!$E$9&gt;=190),IF((Eingabe!$G$9+1)&lt;=9,1000+(Eingabe!$G$9+1)*100,3000)+90,"")</f>
        <v/>
      </c>
      <c r="F198" s="16" t="str">
        <f aca="false">IF(AND(Eingabe!$F$9&gt;0,Eingabe!$E$9&gt;=190),"10."&amp;Eingabe!$D$9&amp;".190.0/24","")</f>
        <v/>
      </c>
      <c r="G198" s="16" t="str">
        <f aca="false">IF(AND(Eingabe!$F$9&gt;0,Eingabe!$E$9&gt;=190),"10."&amp;Eingabe!$D$9&amp;".190.1","")</f>
        <v/>
      </c>
      <c r="H198" s="16" t="str">
        <f aca="false">IF(AND(Eingabe!$F$9&gt;0,Eingabe!$E$9&gt;=190),"10."&amp;Eingabe!$D$9&amp;".190.10 – 10."&amp;Eingabe!$D$9&amp;".190.250","")</f>
        <v/>
      </c>
      <c r="I198" s="16" t="str">
        <f aca="false">IF(AND(Eingabe!$F$9&gt;0,Eingabe!$E$9&gt;=190),Eingabe!$B$6&amp;"-"&amp;Eingabe!$C$9&amp;"-Pächter","")</f>
        <v/>
      </c>
      <c r="J198" s="16" t="str">
        <f aca="false">IF(AND(Eingabe!$F$9&gt;0,Eingabe!$E$9&gt;=190),"PPSK: Passwort Parzelle 190","")</f>
        <v/>
      </c>
      <c r="K198" s="16" t="str">
        <f aca="false">IF(AND(Eingabe!$F$9&gt;0,Eingabe!$E$9&gt;=190),"1. Gerät: 10."&amp;Eingabe!$D$9&amp;".190.10, 2. Gerät: .11","")</f>
        <v/>
      </c>
    </row>
    <row r="199" customFormat="false" ht="15" hidden="false" customHeight="false" outlineLevel="0" collapsed="false">
      <c r="A199" s="16" t="str">
        <f aca="false">IF(AND(Eingabe!$F$9&gt;0,Eingabe!$E$9&gt;=191),1,"")</f>
        <v/>
      </c>
      <c r="B199" s="16" t="str">
        <f aca="false">IF(AND(Eingabe!$F$9&gt;0,Eingabe!$E$9&gt;=191),Eingabe!$B$9,"")</f>
        <v/>
      </c>
      <c r="C199" s="16" t="str">
        <f aca="false">IF(AND(Eingabe!$F$9&gt;0,Eingabe!$E$9&gt;=191),Eingabe!$C$9&amp;"-Paz."&amp;TEXT(191,"000"),"")</f>
        <v/>
      </c>
      <c r="D199" s="16" t="str">
        <f aca="false">IF(AND(Eingabe!$F$9&gt;0,Eingabe!$E$9&gt;=191),191,"")</f>
        <v/>
      </c>
      <c r="E199" s="16" t="str">
        <f aca="false">IF(AND(Eingabe!$F$9&gt;0,Eingabe!$E$9&gt;=191),IF((Eingabe!$G$9+1)&lt;=9,1000+(Eingabe!$G$9+1)*100,3000)+91,"")</f>
        <v/>
      </c>
      <c r="F199" s="16" t="str">
        <f aca="false">IF(AND(Eingabe!$F$9&gt;0,Eingabe!$E$9&gt;=191),"10."&amp;Eingabe!$D$9&amp;".191.0/24","")</f>
        <v/>
      </c>
      <c r="G199" s="16" t="str">
        <f aca="false">IF(AND(Eingabe!$F$9&gt;0,Eingabe!$E$9&gt;=191),"10."&amp;Eingabe!$D$9&amp;".191.1","")</f>
        <v/>
      </c>
      <c r="H199" s="16" t="str">
        <f aca="false">IF(AND(Eingabe!$F$9&gt;0,Eingabe!$E$9&gt;=191),"10."&amp;Eingabe!$D$9&amp;".191.10 – 10."&amp;Eingabe!$D$9&amp;".191.250","")</f>
        <v/>
      </c>
      <c r="I199" s="16" t="str">
        <f aca="false">IF(AND(Eingabe!$F$9&gt;0,Eingabe!$E$9&gt;=191),Eingabe!$B$6&amp;"-"&amp;Eingabe!$C$9&amp;"-Pächter","")</f>
        <v/>
      </c>
      <c r="J199" s="16" t="str">
        <f aca="false">IF(AND(Eingabe!$F$9&gt;0,Eingabe!$E$9&gt;=191),"PPSK: Passwort Parzelle 191","")</f>
        <v/>
      </c>
      <c r="K199" s="16" t="str">
        <f aca="false">IF(AND(Eingabe!$F$9&gt;0,Eingabe!$E$9&gt;=191),"1. Gerät: 10."&amp;Eingabe!$D$9&amp;".191.10, 2. Gerät: .11","")</f>
        <v/>
      </c>
    </row>
    <row r="200" customFormat="false" ht="15" hidden="false" customHeight="false" outlineLevel="0" collapsed="false">
      <c r="A200" s="16" t="str">
        <f aca="false">IF(AND(Eingabe!$F$9&gt;0,Eingabe!$E$9&gt;=192),1,"")</f>
        <v/>
      </c>
      <c r="B200" s="16" t="str">
        <f aca="false">IF(AND(Eingabe!$F$9&gt;0,Eingabe!$E$9&gt;=192),Eingabe!$B$9,"")</f>
        <v/>
      </c>
      <c r="C200" s="16" t="str">
        <f aca="false">IF(AND(Eingabe!$F$9&gt;0,Eingabe!$E$9&gt;=192),Eingabe!$C$9&amp;"-Paz."&amp;TEXT(192,"000"),"")</f>
        <v/>
      </c>
      <c r="D200" s="16" t="str">
        <f aca="false">IF(AND(Eingabe!$F$9&gt;0,Eingabe!$E$9&gt;=192),192,"")</f>
        <v/>
      </c>
      <c r="E200" s="16" t="str">
        <f aca="false">IF(AND(Eingabe!$F$9&gt;0,Eingabe!$E$9&gt;=192),IF((Eingabe!$G$9+1)&lt;=9,1000+(Eingabe!$G$9+1)*100,3000)+92,"")</f>
        <v/>
      </c>
      <c r="F200" s="16" t="str">
        <f aca="false">IF(AND(Eingabe!$F$9&gt;0,Eingabe!$E$9&gt;=192),"10."&amp;Eingabe!$D$9&amp;".192.0/24","")</f>
        <v/>
      </c>
      <c r="G200" s="16" t="str">
        <f aca="false">IF(AND(Eingabe!$F$9&gt;0,Eingabe!$E$9&gt;=192),"10."&amp;Eingabe!$D$9&amp;".192.1","")</f>
        <v/>
      </c>
      <c r="H200" s="16" t="str">
        <f aca="false">IF(AND(Eingabe!$F$9&gt;0,Eingabe!$E$9&gt;=192),"10."&amp;Eingabe!$D$9&amp;".192.10 – 10."&amp;Eingabe!$D$9&amp;".192.250","")</f>
        <v/>
      </c>
      <c r="I200" s="16" t="str">
        <f aca="false">IF(AND(Eingabe!$F$9&gt;0,Eingabe!$E$9&gt;=192),Eingabe!$B$6&amp;"-"&amp;Eingabe!$C$9&amp;"-Pächter","")</f>
        <v/>
      </c>
      <c r="J200" s="16" t="str">
        <f aca="false">IF(AND(Eingabe!$F$9&gt;0,Eingabe!$E$9&gt;=192),"PPSK: Passwort Parzelle 192","")</f>
        <v/>
      </c>
      <c r="K200" s="16" t="str">
        <f aca="false">IF(AND(Eingabe!$F$9&gt;0,Eingabe!$E$9&gt;=192),"1. Gerät: 10."&amp;Eingabe!$D$9&amp;".192.10, 2. Gerät: .11","")</f>
        <v/>
      </c>
    </row>
    <row r="201" customFormat="false" ht="15" hidden="false" customHeight="false" outlineLevel="0" collapsed="false">
      <c r="A201" s="16" t="str">
        <f aca="false">IF(AND(Eingabe!$F$9&gt;0,Eingabe!$E$9&gt;=193),1,"")</f>
        <v/>
      </c>
      <c r="B201" s="16" t="str">
        <f aca="false">IF(AND(Eingabe!$F$9&gt;0,Eingabe!$E$9&gt;=193),Eingabe!$B$9,"")</f>
        <v/>
      </c>
      <c r="C201" s="16" t="str">
        <f aca="false">IF(AND(Eingabe!$F$9&gt;0,Eingabe!$E$9&gt;=193),Eingabe!$C$9&amp;"-Paz."&amp;TEXT(193,"000"),"")</f>
        <v/>
      </c>
      <c r="D201" s="16" t="str">
        <f aca="false">IF(AND(Eingabe!$F$9&gt;0,Eingabe!$E$9&gt;=193),193,"")</f>
        <v/>
      </c>
      <c r="E201" s="16" t="str">
        <f aca="false">IF(AND(Eingabe!$F$9&gt;0,Eingabe!$E$9&gt;=193),IF((Eingabe!$G$9+1)&lt;=9,1000+(Eingabe!$G$9+1)*100,3000)+93,"")</f>
        <v/>
      </c>
      <c r="F201" s="16" t="str">
        <f aca="false">IF(AND(Eingabe!$F$9&gt;0,Eingabe!$E$9&gt;=193),"10."&amp;Eingabe!$D$9&amp;".193.0/24","")</f>
        <v/>
      </c>
      <c r="G201" s="16" t="str">
        <f aca="false">IF(AND(Eingabe!$F$9&gt;0,Eingabe!$E$9&gt;=193),"10."&amp;Eingabe!$D$9&amp;".193.1","")</f>
        <v/>
      </c>
      <c r="H201" s="16" t="str">
        <f aca="false">IF(AND(Eingabe!$F$9&gt;0,Eingabe!$E$9&gt;=193),"10."&amp;Eingabe!$D$9&amp;".193.10 – 10."&amp;Eingabe!$D$9&amp;".193.250","")</f>
        <v/>
      </c>
      <c r="I201" s="16" t="str">
        <f aca="false">IF(AND(Eingabe!$F$9&gt;0,Eingabe!$E$9&gt;=193),Eingabe!$B$6&amp;"-"&amp;Eingabe!$C$9&amp;"-Pächter","")</f>
        <v/>
      </c>
      <c r="J201" s="16" t="str">
        <f aca="false">IF(AND(Eingabe!$F$9&gt;0,Eingabe!$E$9&gt;=193),"PPSK: Passwort Parzelle 193","")</f>
        <v/>
      </c>
      <c r="K201" s="16" t="str">
        <f aca="false">IF(AND(Eingabe!$F$9&gt;0,Eingabe!$E$9&gt;=193),"1. Gerät: 10."&amp;Eingabe!$D$9&amp;".193.10, 2. Gerät: .11","")</f>
        <v/>
      </c>
    </row>
    <row r="202" customFormat="false" ht="15" hidden="false" customHeight="false" outlineLevel="0" collapsed="false">
      <c r="A202" s="16" t="str">
        <f aca="false">IF(AND(Eingabe!$F$9&gt;0,Eingabe!$E$9&gt;=194),1,"")</f>
        <v/>
      </c>
      <c r="B202" s="16" t="str">
        <f aca="false">IF(AND(Eingabe!$F$9&gt;0,Eingabe!$E$9&gt;=194),Eingabe!$B$9,"")</f>
        <v/>
      </c>
      <c r="C202" s="16" t="str">
        <f aca="false">IF(AND(Eingabe!$F$9&gt;0,Eingabe!$E$9&gt;=194),Eingabe!$C$9&amp;"-Paz."&amp;TEXT(194,"000"),"")</f>
        <v/>
      </c>
      <c r="D202" s="16" t="str">
        <f aca="false">IF(AND(Eingabe!$F$9&gt;0,Eingabe!$E$9&gt;=194),194,"")</f>
        <v/>
      </c>
      <c r="E202" s="16" t="str">
        <f aca="false">IF(AND(Eingabe!$F$9&gt;0,Eingabe!$E$9&gt;=194),IF((Eingabe!$G$9+1)&lt;=9,1000+(Eingabe!$G$9+1)*100,3000)+94,"")</f>
        <v/>
      </c>
      <c r="F202" s="16" t="str">
        <f aca="false">IF(AND(Eingabe!$F$9&gt;0,Eingabe!$E$9&gt;=194),"10."&amp;Eingabe!$D$9&amp;".194.0/24","")</f>
        <v/>
      </c>
      <c r="G202" s="16" t="str">
        <f aca="false">IF(AND(Eingabe!$F$9&gt;0,Eingabe!$E$9&gt;=194),"10."&amp;Eingabe!$D$9&amp;".194.1","")</f>
        <v/>
      </c>
      <c r="H202" s="16" t="str">
        <f aca="false">IF(AND(Eingabe!$F$9&gt;0,Eingabe!$E$9&gt;=194),"10."&amp;Eingabe!$D$9&amp;".194.10 – 10."&amp;Eingabe!$D$9&amp;".194.250","")</f>
        <v/>
      </c>
      <c r="I202" s="16" t="str">
        <f aca="false">IF(AND(Eingabe!$F$9&gt;0,Eingabe!$E$9&gt;=194),Eingabe!$B$6&amp;"-"&amp;Eingabe!$C$9&amp;"-Pächter","")</f>
        <v/>
      </c>
      <c r="J202" s="16" t="str">
        <f aca="false">IF(AND(Eingabe!$F$9&gt;0,Eingabe!$E$9&gt;=194),"PPSK: Passwort Parzelle 194","")</f>
        <v/>
      </c>
      <c r="K202" s="16" t="str">
        <f aca="false">IF(AND(Eingabe!$F$9&gt;0,Eingabe!$E$9&gt;=194),"1. Gerät: 10."&amp;Eingabe!$D$9&amp;".194.10, 2. Gerät: .11","")</f>
        <v/>
      </c>
    </row>
    <row r="203" customFormat="false" ht="15" hidden="false" customHeight="false" outlineLevel="0" collapsed="false">
      <c r="A203" s="16" t="str">
        <f aca="false">IF(AND(Eingabe!$F$9&gt;0,Eingabe!$E$9&gt;=195),1,"")</f>
        <v/>
      </c>
      <c r="B203" s="16" t="str">
        <f aca="false">IF(AND(Eingabe!$F$9&gt;0,Eingabe!$E$9&gt;=195),Eingabe!$B$9,"")</f>
        <v/>
      </c>
      <c r="C203" s="16" t="str">
        <f aca="false">IF(AND(Eingabe!$F$9&gt;0,Eingabe!$E$9&gt;=195),Eingabe!$C$9&amp;"-Paz."&amp;TEXT(195,"000"),"")</f>
        <v/>
      </c>
      <c r="D203" s="16" t="str">
        <f aca="false">IF(AND(Eingabe!$F$9&gt;0,Eingabe!$E$9&gt;=195),195,"")</f>
        <v/>
      </c>
      <c r="E203" s="16" t="str">
        <f aca="false">IF(AND(Eingabe!$F$9&gt;0,Eingabe!$E$9&gt;=195),IF((Eingabe!$G$9+1)&lt;=9,1000+(Eingabe!$G$9+1)*100,3000)+95,"")</f>
        <v/>
      </c>
      <c r="F203" s="16" t="str">
        <f aca="false">IF(AND(Eingabe!$F$9&gt;0,Eingabe!$E$9&gt;=195),"10."&amp;Eingabe!$D$9&amp;".195.0/24","")</f>
        <v/>
      </c>
      <c r="G203" s="16" t="str">
        <f aca="false">IF(AND(Eingabe!$F$9&gt;0,Eingabe!$E$9&gt;=195),"10."&amp;Eingabe!$D$9&amp;".195.1","")</f>
        <v/>
      </c>
      <c r="H203" s="16" t="str">
        <f aca="false">IF(AND(Eingabe!$F$9&gt;0,Eingabe!$E$9&gt;=195),"10."&amp;Eingabe!$D$9&amp;".195.10 – 10."&amp;Eingabe!$D$9&amp;".195.250","")</f>
        <v/>
      </c>
      <c r="I203" s="16" t="str">
        <f aca="false">IF(AND(Eingabe!$F$9&gt;0,Eingabe!$E$9&gt;=195),Eingabe!$B$6&amp;"-"&amp;Eingabe!$C$9&amp;"-Pächter","")</f>
        <v/>
      </c>
      <c r="J203" s="16" t="str">
        <f aca="false">IF(AND(Eingabe!$F$9&gt;0,Eingabe!$E$9&gt;=195),"PPSK: Passwort Parzelle 195","")</f>
        <v/>
      </c>
      <c r="K203" s="16" t="str">
        <f aca="false">IF(AND(Eingabe!$F$9&gt;0,Eingabe!$E$9&gt;=195),"1. Gerät: 10."&amp;Eingabe!$D$9&amp;".195.10, 2. Gerät: .11","")</f>
        <v/>
      </c>
    </row>
    <row r="204" customFormat="false" ht="15" hidden="false" customHeight="false" outlineLevel="0" collapsed="false">
      <c r="A204" s="16" t="str">
        <f aca="false">IF(AND(Eingabe!$F$9&gt;0,Eingabe!$E$9&gt;=196),1,"")</f>
        <v/>
      </c>
      <c r="B204" s="16" t="str">
        <f aca="false">IF(AND(Eingabe!$F$9&gt;0,Eingabe!$E$9&gt;=196),Eingabe!$B$9,"")</f>
        <v/>
      </c>
      <c r="C204" s="16" t="str">
        <f aca="false">IF(AND(Eingabe!$F$9&gt;0,Eingabe!$E$9&gt;=196),Eingabe!$C$9&amp;"-Paz."&amp;TEXT(196,"000"),"")</f>
        <v/>
      </c>
      <c r="D204" s="16" t="str">
        <f aca="false">IF(AND(Eingabe!$F$9&gt;0,Eingabe!$E$9&gt;=196),196,"")</f>
        <v/>
      </c>
      <c r="E204" s="16" t="str">
        <f aca="false">IF(AND(Eingabe!$F$9&gt;0,Eingabe!$E$9&gt;=196),IF((Eingabe!$G$9+1)&lt;=9,1000+(Eingabe!$G$9+1)*100,3000)+96,"")</f>
        <v/>
      </c>
      <c r="F204" s="16" t="str">
        <f aca="false">IF(AND(Eingabe!$F$9&gt;0,Eingabe!$E$9&gt;=196),"10."&amp;Eingabe!$D$9&amp;".196.0/24","")</f>
        <v/>
      </c>
      <c r="G204" s="16" t="str">
        <f aca="false">IF(AND(Eingabe!$F$9&gt;0,Eingabe!$E$9&gt;=196),"10."&amp;Eingabe!$D$9&amp;".196.1","")</f>
        <v/>
      </c>
      <c r="H204" s="16" t="str">
        <f aca="false">IF(AND(Eingabe!$F$9&gt;0,Eingabe!$E$9&gt;=196),"10."&amp;Eingabe!$D$9&amp;".196.10 – 10."&amp;Eingabe!$D$9&amp;".196.250","")</f>
        <v/>
      </c>
      <c r="I204" s="16" t="str">
        <f aca="false">IF(AND(Eingabe!$F$9&gt;0,Eingabe!$E$9&gt;=196),Eingabe!$B$6&amp;"-"&amp;Eingabe!$C$9&amp;"-Pächter","")</f>
        <v/>
      </c>
      <c r="J204" s="16" t="str">
        <f aca="false">IF(AND(Eingabe!$F$9&gt;0,Eingabe!$E$9&gt;=196),"PPSK: Passwort Parzelle 196","")</f>
        <v/>
      </c>
      <c r="K204" s="16" t="str">
        <f aca="false">IF(AND(Eingabe!$F$9&gt;0,Eingabe!$E$9&gt;=196),"1. Gerät: 10."&amp;Eingabe!$D$9&amp;".196.10, 2. Gerät: .11","")</f>
        <v/>
      </c>
    </row>
    <row r="205" customFormat="false" ht="15" hidden="false" customHeight="false" outlineLevel="0" collapsed="false">
      <c r="A205" s="16" t="str">
        <f aca="false">IF(AND(Eingabe!$F$9&gt;0,Eingabe!$E$9&gt;=197),1,"")</f>
        <v/>
      </c>
      <c r="B205" s="16" t="str">
        <f aca="false">IF(AND(Eingabe!$F$9&gt;0,Eingabe!$E$9&gt;=197),Eingabe!$B$9,"")</f>
        <v/>
      </c>
      <c r="C205" s="16" t="str">
        <f aca="false">IF(AND(Eingabe!$F$9&gt;0,Eingabe!$E$9&gt;=197),Eingabe!$C$9&amp;"-Paz."&amp;TEXT(197,"000"),"")</f>
        <v/>
      </c>
      <c r="D205" s="16" t="str">
        <f aca="false">IF(AND(Eingabe!$F$9&gt;0,Eingabe!$E$9&gt;=197),197,"")</f>
        <v/>
      </c>
      <c r="E205" s="16" t="str">
        <f aca="false">IF(AND(Eingabe!$F$9&gt;0,Eingabe!$E$9&gt;=197),IF((Eingabe!$G$9+1)&lt;=9,1000+(Eingabe!$G$9+1)*100,3000)+97,"")</f>
        <v/>
      </c>
      <c r="F205" s="16" t="str">
        <f aca="false">IF(AND(Eingabe!$F$9&gt;0,Eingabe!$E$9&gt;=197),"10."&amp;Eingabe!$D$9&amp;".197.0/24","")</f>
        <v/>
      </c>
      <c r="G205" s="16" t="str">
        <f aca="false">IF(AND(Eingabe!$F$9&gt;0,Eingabe!$E$9&gt;=197),"10."&amp;Eingabe!$D$9&amp;".197.1","")</f>
        <v/>
      </c>
      <c r="H205" s="16" t="str">
        <f aca="false">IF(AND(Eingabe!$F$9&gt;0,Eingabe!$E$9&gt;=197),"10."&amp;Eingabe!$D$9&amp;".197.10 – 10."&amp;Eingabe!$D$9&amp;".197.250","")</f>
        <v/>
      </c>
      <c r="I205" s="16" t="str">
        <f aca="false">IF(AND(Eingabe!$F$9&gt;0,Eingabe!$E$9&gt;=197),Eingabe!$B$6&amp;"-"&amp;Eingabe!$C$9&amp;"-Pächter","")</f>
        <v/>
      </c>
      <c r="J205" s="16" t="str">
        <f aca="false">IF(AND(Eingabe!$F$9&gt;0,Eingabe!$E$9&gt;=197),"PPSK: Passwort Parzelle 197","")</f>
        <v/>
      </c>
      <c r="K205" s="16" t="str">
        <f aca="false">IF(AND(Eingabe!$F$9&gt;0,Eingabe!$E$9&gt;=197),"1. Gerät: 10."&amp;Eingabe!$D$9&amp;".197.10, 2. Gerät: .11","")</f>
        <v/>
      </c>
    </row>
    <row r="206" customFormat="false" ht="15" hidden="false" customHeight="false" outlineLevel="0" collapsed="false">
      <c r="A206" s="16" t="str">
        <f aca="false">IF(AND(Eingabe!$F$9&gt;0,Eingabe!$E$9&gt;=198),1,"")</f>
        <v/>
      </c>
      <c r="B206" s="16" t="str">
        <f aca="false">IF(AND(Eingabe!$F$9&gt;0,Eingabe!$E$9&gt;=198),Eingabe!$B$9,"")</f>
        <v/>
      </c>
      <c r="C206" s="16" t="str">
        <f aca="false">IF(AND(Eingabe!$F$9&gt;0,Eingabe!$E$9&gt;=198),Eingabe!$C$9&amp;"-Paz."&amp;TEXT(198,"000"),"")</f>
        <v/>
      </c>
      <c r="D206" s="16" t="str">
        <f aca="false">IF(AND(Eingabe!$F$9&gt;0,Eingabe!$E$9&gt;=198),198,"")</f>
        <v/>
      </c>
      <c r="E206" s="16" t="str">
        <f aca="false">IF(AND(Eingabe!$F$9&gt;0,Eingabe!$E$9&gt;=198),IF((Eingabe!$G$9+1)&lt;=9,1000+(Eingabe!$G$9+1)*100,3000)+98,"")</f>
        <v/>
      </c>
      <c r="F206" s="16" t="str">
        <f aca="false">IF(AND(Eingabe!$F$9&gt;0,Eingabe!$E$9&gt;=198),"10."&amp;Eingabe!$D$9&amp;".198.0/24","")</f>
        <v/>
      </c>
      <c r="G206" s="16" t="str">
        <f aca="false">IF(AND(Eingabe!$F$9&gt;0,Eingabe!$E$9&gt;=198),"10."&amp;Eingabe!$D$9&amp;".198.1","")</f>
        <v/>
      </c>
      <c r="H206" s="16" t="str">
        <f aca="false">IF(AND(Eingabe!$F$9&gt;0,Eingabe!$E$9&gt;=198),"10."&amp;Eingabe!$D$9&amp;".198.10 – 10."&amp;Eingabe!$D$9&amp;".198.250","")</f>
        <v/>
      </c>
      <c r="I206" s="16" t="str">
        <f aca="false">IF(AND(Eingabe!$F$9&gt;0,Eingabe!$E$9&gt;=198),Eingabe!$B$6&amp;"-"&amp;Eingabe!$C$9&amp;"-Pächter","")</f>
        <v/>
      </c>
      <c r="J206" s="16" t="str">
        <f aca="false">IF(AND(Eingabe!$F$9&gt;0,Eingabe!$E$9&gt;=198),"PPSK: Passwort Parzelle 198","")</f>
        <v/>
      </c>
      <c r="K206" s="16" t="str">
        <f aca="false">IF(AND(Eingabe!$F$9&gt;0,Eingabe!$E$9&gt;=198),"1. Gerät: 10."&amp;Eingabe!$D$9&amp;".198.10, 2. Gerät: .11","")</f>
        <v/>
      </c>
    </row>
    <row r="207" customFormat="false" ht="15" hidden="false" customHeight="false" outlineLevel="0" collapsed="false">
      <c r="A207" s="16" t="str">
        <f aca="false">IF(AND(Eingabe!$F$9&gt;0,Eingabe!$E$9&gt;=199),1,"")</f>
        <v/>
      </c>
      <c r="B207" s="16" t="str">
        <f aca="false">IF(AND(Eingabe!$F$9&gt;0,Eingabe!$E$9&gt;=199),Eingabe!$B$9,"")</f>
        <v/>
      </c>
      <c r="C207" s="16" t="str">
        <f aca="false">IF(AND(Eingabe!$F$9&gt;0,Eingabe!$E$9&gt;=199),Eingabe!$C$9&amp;"-Paz."&amp;TEXT(199,"000"),"")</f>
        <v/>
      </c>
      <c r="D207" s="16" t="str">
        <f aca="false">IF(AND(Eingabe!$F$9&gt;0,Eingabe!$E$9&gt;=199),199,"")</f>
        <v/>
      </c>
      <c r="E207" s="16" t="str">
        <f aca="false">IF(AND(Eingabe!$F$9&gt;0,Eingabe!$E$9&gt;=199),IF((Eingabe!$G$9+1)&lt;=9,1000+(Eingabe!$G$9+1)*100,3000)+99,"")</f>
        <v/>
      </c>
      <c r="F207" s="16" t="str">
        <f aca="false">IF(AND(Eingabe!$F$9&gt;0,Eingabe!$E$9&gt;=199),"10."&amp;Eingabe!$D$9&amp;".199.0/24","")</f>
        <v/>
      </c>
      <c r="G207" s="16" t="str">
        <f aca="false">IF(AND(Eingabe!$F$9&gt;0,Eingabe!$E$9&gt;=199),"10."&amp;Eingabe!$D$9&amp;".199.1","")</f>
        <v/>
      </c>
      <c r="H207" s="16" t="str">
        <f aca="false">IF(AND(Eingabe!$F$9&gt;0,Eingabe!$E$9&gt;=199),"10."&amp;Eingabe!$D$9&amp;".199.10 – 10."&amp;Eingabe!$D$9&amp;".199.250","")</f>
        <v/>
      </c>
      <c r="I207" s="16" t="str">
        <f aca="false">IF(AND(Eingabe!$F$9&gt;0,Eingabe!$E$9&gt;=199),Eingabe!$B$6&amp;"-"&amp;Eingabe!$C$9&amp;"-Pächter","")</f>
        <v/>
      </c>
      <c r="J207" s="16" t="str">
        <f aca="false">IF(AND(Eingabe!$F$9&gt;0,Eingabe!$E$9&gt;=199),"PPSK: Passwort Parzelle 199","")</f>
        <v/>
      </c>
      <c r="K207" s="16" t="str">
        <f aca="false">IF(AND(Eingabe!$F$9&gt;0,Eingabe!$E$9&gt;=199),"1. Gerät: 10."&amp;Eingabe!$D$9&amp;".199.10, 2. Gerät: .11","")</f>
        <v/>
      </c>
    </row>
    <row r="208" customFormat="false" ht="15" hidden="false" customHeight="false" outlineLevel="0" collapsed="false">
      <c r="A208" s="17" t="n">
        <f aca="false">IF(Eingabe!$F$10&gt;0,2,"")</f>
        <v>2</v>
      </c>
      <c r="B208" s="17" t="str">
        <f aca="false">IF(Eingabe!$F$10&gt;0,Eingabe!$B$10,"")</f>
        <v>Mittelweg</v>
      </c>
      <c r="C208" s="17" t="str">
        <f aca="false">IF(Eingabe!$F$10&gt;0,Eingabe!$C$10&amp;"-Vorstand","")</f>
        <v>MW-Vorstand</v>
      </c>
      <c r="D208" s="17"/>
      <c r="E208" s="17" t="n">
        <f aca="false">IF(Eingabe!$F$10&gt;0,2000+Eingabe!$G$10*10+1,"")</f>
        <v>2021</v>
      </c>
      <c r="F208" s="17" t="str">
        <f aca="false">IF(Eingabe!$F$10&gt;0,"10."&amp;Eingabe!$D$10&amp;".200.0/24","")</f>
        <v>10.2.200.0/24</v>
      </c>
      <c r="G208" s="17" t="str">
        <f aca="false">IF(Eingabe!$F$10&gt;0,"10."&amp;Eingabe!$D$10&amp;".200.1","")</f>
        <v>10.2.200.1</v>
      </c>
      <c r="H208" s="17" t="str">
        <f aca="false">IF(Eingabe!$F$10&gt;0,"10."&amp;Eingabe!$D$10&amp;".200.10 – "&amp;"10."&amp;Eingabe!$D$10&amp;".200.250","")</f>
        <v>10.2.200.10 – 10.2.200.250</v>
      </c>
      <c r="I208" s="17" t="str">
        <f aca="false">IF(Eingabe!$F$10&gt;0,Eingabe!$B$6&amp;"-"&amp;Eingabe!$C$10&amp;"-Vorstand","")</f>
        <v>SparteNet.de-MW-Vorstand</v>
      </c>
      <c r="J208" s="17" t="str">
        <f aca="false">IF(Eingabe!$F$10&gt;0,"eigenes WLAN Vorstand","")</f>
        <v>eigenes WLAN Vorstand</v>
      </c>
      <c r="K208" s="17" t="str">
        <f aca="false">IF(Eingabe!$F$10&gt;0,"Vorstand-Laptop: "&amp;"10."&amp;Eingabe!$D$10&amp;".200.10","")</f>
        <v>Vorstand-Laptop: 10.2.200.10</v>
      </c>
    </row>
    <row r="209" customFormat="false" ht="15" hidden="false" customHeight="false" outlineLevel="0" collapsed="false">
      <c r="A209" s="17" t="n">
        <f aca="false">IF(Eingabe!$F$10&gt;0,2,"")</f>
        <v>2</v>
      </c>
      <c r="B209" s="17" t="str">
        <f aca="false">IF(Eingabe!$F$10&gt;0,Eingabe!$B$10,"")</f>
        <v>Mittelweg</v>
      </c>
      <c r="C209" s="17" t="str">
        <f aca="false">IF(Eingabe!$F$10&gt;0,Eingabe!$C$10&amp;"-Gäste","")</f>
        <v>MW-Gäste</v>
      </c>
      <c r="D209" s="17"/>
      <c r="E209" s="17" t="n">
        <f aca="false">IF(Eingabe!$F$10&gt;0,2000+Eingabe!$G$10*10+2,"")</f>
        <v>2022</v>
      </c>
      <c r="F209" s="17" t="str">
        <f aca="false">IF(Eingabe!$F$10&gt;0,"10."&amp;Eingabe!$D$10&amp;".201.0/24","")</f>
        <v>10.2.201.0/24</v>
      </c>
      <c r="G209" s="17" t="str">
        <f aca="false">IF(Eingabe!$F$10&gt;0,"10."&amp;Eingabe!$D$10&amp;".201.1","")</f>
        <v>10.2.201.1</v>
      </c>
      <c r="H209" s="17" t="str">
        <f aca="false">IF(Eingabe!$F$10&gt;0,"10."&amp;Eingabe!$D$10&amp;".201.10 – "&amp;"10."&amp;Eingabe!$D$10&amp;".201.250","")</f>
        <v>10.2.201.10 – 10.2.201.250</v>
      </c>
      <c r="I209" s="17" t="str">
        <f aca="false">IF(Eingabe!$F$10&gt;0,Eingabe!$B$6&amp;"-"&amp;Eingabe!$C$10&amp;"-Gäste","")</f>
        <v>SparteNet.de-MW-Gäste</v>
      </c>
      <c r="J209" s="17" t="str">
        <f aca="false">IF(Eingabe!$F$10&gt;0,"Voucher-Portal, isoliert","")</f>
        <v>Voucher-Portal, isoliert</v>
      </c>
      <c r="K209" s="17" t="str">
        <f aca="false">IF(Eingabe!$F$10&gt;0,"Gast-Handy: "&amp;"10."&amp;Eingabe!$D$10&amp;".201.10","")</f>
        <v>Gast-Handy: 10.2.201.10</v>
      </c>
    </row>
    <row r="210" customFormat="false" ht="15" hidden="false" customHeight="false" outlineLevel="0" collapsed="false">
      <c r="A210" s="17" t="n">
        <f aca="false">IF(Eingabe!$F$10&gt;0,2,"")</f>
        <v>2</v>
      </c>
      <c r="B210" s="17" t="str">
        <f aca="false">IF(Eingabe!$F$10&gt;0,Eingabe!$B$10,"")</f>
        <v>Mittelweg</v>
      </c>
      <c r="C210" s="17" t="str">
        <f aca="false">IF(Eingabe!$F$10&gt;0,Eingabe!$C$10&amp;"-Technik","")</f>
        <v>MW-Technik</v>
      </c>
      <c r="D210" s="17"/>
      <c r="E210" s="17" t="n">
        <f aca="false">IF(Eingabe!$F$10&gt;0,2000+Eingabe!$G$10*10+9,"")</f>
        <v>2029</v>
      </c>
      <c r="F210" s="17" t="str">
        <f aca="false">IF(Eingabe!$F$10&gt;0,"10."&amp;Eingabe!$D$10&amp;".250.0/24","")</f>
        <v>10.2.250.0/24</v>
      </c>
      <c r="G210" s="17" t="str">
        <f aca="false">IF(Eingabe!$F$10&gt;0,"10."&amp;Eingabe!$D$10&amp;".250.1","")</f>
        <v>10.2.250.1</v>
      </c>
      <c r="H210" s="17" t="str">
        <f aca="false">IF(Eingabe!$F$10&gt;0,"10."&amp;Eingabe!$D$10&amp;".250.10 – "&amp;"10."&amp;Eingabe!$D$10&amp;".250.250","")</f>
        <v>10.2.250.10 – 10.2.250.250</v>
      </c>
      <c r="I210" s="17" t="str">
        <f aca="false">IF(Eingabe!$F$10&gt;0,"–","")</f>
        <v>–</v>
      </c>
      <c r="J210" s="17" t="str">
        <f aca="false">IF(Eingabe!$F$10&gt;0,"Mast-Switches und Access Points","")</f>
        <v>Mast-Switches und Access Points</v>
      </c>
      <c r="K210" s="17" t="str">
        <f aca="false">IF(Eingabe!$F$10&gt;0,"Access Point 1: "&amp;"10."&amp;Eingabe!$D$10&amp;".250.51","")</f>
        <v>Access Point 1: 10.2.250.51</v>
      </c>
    </row>
    <row r="211" customFormat="false" ht="15" hidden="false" customHeight="false" outlineLevel="0" collapsed="false">
      <c r="A211" s="17" t="n">
        <f aca="false">IF(AND(Eingabe!$F$10&gt;0,Eingabe!$E$10&gt;=1),2,"")</f>
        <v>2</v>
      </c>
      <c r="B211" s="17" t="str">
        <f aca="false">IF(AND(Eingabe!$F$10&gt;0,Eingabe!$E$10&gt;=1),Eingabe!$B$10,"")</f>
        <v>Mittelweg</v>
      </c>
      <c r="C211" s="17" t="str">
        <f aca="false">IF(AND(Eingabe!$F$10&gt;0,Eingabe!$E$10&gt;=1),Eingabe!$C$10&amp;"-Paz."&amp;TEXT(1,"000"),"")</f>
        <v>MW-Paz.001</v>
      </c>
      <c r="D211" s="17" t="n">
        <f aca="false">IF(AND(Eingabe!$F$10&gt;0,Eingabe!$E$10&gt;=1),1,"")</f>
        <v>1</v>
      </c>
      <c r="E211" s="17" t="n">
        <f aca="false">IF(AND(Eingabe!$F$10&gt;0,Eingabe!$E$10&gt;=1),IF((Eingabe!$G$10)&lt;=9,1000+(Eingabe!$G$10)*100,3000)+1,"")</f>
        <v>1201</v>
      </c>
      <c r="F211" s="17" t="str">
        <f aca="false">IF(AND(Eingabe!$F$10&gt;0,Eingabe!$E$10&gt;=1),"10."&amp;Eingabe!$D$10&amp;".1.0/24","")</f>
        <v>10.2.1.0/24</v>
      </c>
      <c r="G211" s="17" t="str">
        <f aca="false">IF(AND(Eingabe!$F$10&gt;0,Eingabe!$E$10&gt;=1),"10."&amp;Eingabe!$D$10&amp;".1.1","")</f>
        <v>10.2.1.1</v>
      </c>
      <c r="H211" s="17" t="str">
        <f aca="false">IF(AND(Eingabe!$F$10&gt;0,Eingabe!$E$10&gt;=1),"10."&amp;Eingabe!$D$10&amp;".1.10 – 10."&amp;Eingabe!$D$10&amp;".1.250","")</f>
        <v>10.2.1.10 – 10.2.1.250</v>
      </c>
      <c r="I211" s="17" t="str">
        <f aca="false">IF(AND(Eingabe!$F$10&gt;0,Eingabe!$E$10&gt;=1),Eingabe!$B$6&amp;"-"&amp;Eingabe!$C$10&amp;"-Pächter","")</f>
        <v>SparteNet.de-MW-Pächter</v>
      </c>
      <c r="J211" s="17" t="str">
        <f aca="false">IF(AND(Eingabe!$F$10&gt;0,Eingabe!$E$10&gt;=1),"PPSK: Passwort Parzelle 1","")</f>
        <v>PPSK: Passwort Parzelle 1</v>
      </c>
      <c r="K211" s="17" t="str">
        <f aca="false">IF(AND(Eingabe!$F$10&gt;0,Eingabe!$E$10&gt;=1),"1. Gerät: 10."&amp;Eingabe!$D$10&amp;".1.10, 2. Gerät: .11","")</f>
        <v>1. Gerät: 10.2.1.10, 2. Gerät: .11</v>
      </c>
    </row>
    <row r="212" customFormat="false" ht="15" hidden="false" customHeight="false" outlineLevel="0" collapsed="false">
      <c r="A212" s="17" t="n">
        <f aca="false">IF(AND(Eingabe!$F$10&gt;0,Eingabe!$E$10&gt;=2),2,"")</f>
        <v>2</v>
      </c>
      <c r="B212" s="17" t="str">
        <f aca="false">IF(AND(Eingabe!$F$10&gt;0,Eingabe!$E$10&gt;=2),Eingabe!$B$10,"")</f>
        <v>Mittelweg</v>
      </c>
      <c r="C212" s="17" t="str">
        <f aca="false">IF(AND(Eingabe!$F$10&gt;0,Eingabe!$E$10&gt;=2),Eingabe!$C$10&amp;"-Paz."&amp;TEXT(2,"000"),"")</f>
        <v>MW-Paz.002</v>
      </c>
      <c r="D212" s="17" t="n">
        <f aca="false">IF(AND(Eingabe!$F$10&gt;0,Eingabe!$E$10&gt;=2),2,"")</f>
        <v>2</v>
      </c>
      <c r="E212" s="17" t="n">
        <f aca="false">IF(AND(Eingabe!$F$10&gt;0,Eingabe!$E$10&gt;=2),IF((Eingabe!$G$10)&lt;=9,1000+(Eingabe!$G$10)*100,3000)+2,"")</f>
        <v>1202</v>
      </c>
      <c r="F212" s="17" t="str">
        <f aca="false">IF(AND(Eingabe!$F$10&gt;0,Eingabe!$E$10&gt;=2),"10."&amp;Eingabe!$D$10&amp;".2.0/24","")</f>
        <v>10.2.2.0/24</v>
      </c>
      <c r="G212" s="17" t="str">
        <f aca="false">IF(AND(Eingabe!$F$10&gt;0,Eingabe!$E$10&gt;=2),"10."&amp;Eingabe!$D$10&amp;".2.1","")</f>
        <v>10.2.2.1</v>
      </c>
      <c r="H212" s="17" t="str">
        <f aca="false">IF(AND(Eingabe!$F$10&gt;0,Eingabe!$E$10&gt;=2),"10."&amp;Eingabe!$D$10&amp;".2.10 – 10."&amp;Eingabe!$D$10&amp;".2.250","")</f>
        <v>10.2.2.10 – 10.2.2.250</v>
      </c>
      <c r="I212" s="17" t="str">
        <f aca="false">IF(AND(Eingabe!$F$10&gt;0,Eingabe!$E$10&gt;=2),Eingabe!$B$6&amp;"-"&amp;Eingabe!$C$10&amp;"-Pächter","")</f>
        <v>SparteNet.de-MW-Pächter</v>
      </c>
      <c r="J212" s="17" t="str">
        <f aca="false">IF(AND(Eingabe!$F$10&gt;0,Eingabe!$E$10&gt;=2),"PPSK: Passwort Parzelle 2","")</f>
        <v>PPSK: Passwort Parzelle 2</v>
      </c>
      <c r="K212" s="17" t="str">
        <f aca="false">IF(AND(Eingabe!$F$10&gt;0,Eingabe!$E$10&gt;=2),"1. Gerät: 10."&amp;Eingabe!$D$10&amp;".2.10, 2. Gerät: .11","")</f>
        <v>1. Gerät: 10.2.2.10, 2. Gerät: .11</v>
      </c>
    </row>
    <row r="213" customFormat="false" ht="15" hidden="false" customHeight="false" outlineLevel="0" collapsed="false">
      <c r="A213" s="17" t="n">
        <f aca="false">IF(AND(Eingabe!$F$10&gt;0,Eingabe!$E$10&gt;=3),2,"")</f>
        <v>2</v>
      </c>
      <c r="B213" s="17" t="str">
        <f aca="false">IF(AND(Eingabe!$F$10&gt;0,Eingabe!$E$10&gt;=3),Eingabe!$B$10,"")</f>
        <v>Mittelweg</v>
      </c>
      <c r="C213" s="17" t="str">
        <f aca="false">IF(AND(Eingabe!$F$10&gt;0,Eingabe!$E$10&gt;=3),Eingabe!$C$10&amp;"-Paz."&amp;TEXT(3,"000"),"")</f>
        <v>MW-Paz.003</v>
      </c>
      <c r="D213" s="17" t="n">
        <f aca="false">IF(AND(Eingabe!$F$10&gt;0,Eingabe!$E$10&gt;=3),3,"")</f>
        <v>3</v>
      </c>
      <c r="E213" s="17" t="n">
        <f aca="false">IF(AND(Eingabe!$F$10&gt;0,Eingabe!$E$10&gt;=3),IF((Eingabe!$G$10)&lt;=9,1000+(Eingabe!$G$10)*100,3000)+3,"")</f>
        <v>1203</v>
      </c>
      <c r="F213" s="17" t="str">
        <f aca="false">IF(AND(Eingabe!$F$10&gt;0,Eingabe!$E$10&gt;=3),"10."&amp;Eingabe!$D$10&amp;".3.0/24","")</f>
        <v>10.2.3.0/24</v>
      </c>
      <c r="G213" s="17" t="str">
        <f aca="false">IF(AND(Eingabe!$F$10&gt;0,Eingabe!$E$10&gt;=3),"10."&amp;Eingabe!$D$10&amp;".3.1","")</f>
        <v>10.2.3.1</v>
      </c>
      <c r="H213" s="17" t="str">
        <f aca="false">IF(AND(Eingabe!$F$10&gt;0,Eingabe!$E$10&gt;=3),"10."&amp;Eingabe!$D$10&amp;".3.10 – 10."&amp;Eingabe!$D$10&amp;".3.250","")</f>
        <v>10.2.3.10 – 10.2.3.250</v>
      </c>
      <c r="I213" s="17" t="str">
        <f aca="false">IF(AND(Eingabe!$F$10&gt;0,Eingabe!$E$10&gt;=3),Eingabe!$B$6&amp;"-"&amp;Eingabe!$C$10&amp;"-Pächter","")</f>
        <v>SparteNet.de-MW-Pächter</v>
      </c>
      <c r="J213" s="17" t="str">
        <f aca="false">IF(AND(Eingabe!$F$10&gt;0,Eingabe!$E$10&gt;=3),"PPSK: Passwort Parzelle 3","")</f>
        <v>PPSK: Passwort Parzelle 3</v>
      </c>
      <c r="K213" s="17" t="str">
        <f aca="false">IF(AND(Eingabe!$F$10&gt;0,Eingabe!$E$10&gt;=3),"1. Gerät: 10."&amp;Eingabe!$D$10&amp;".3.10, 2. Gerät: .11","")</f>
        <v>1. Gerät: 10.2.3.10, 2. Gerät: .11</v>
      </c>
    </row>
    <row r="214" customFormat="false" ht="15" hidden="false" customHeight="false" outlineLevel="0" collapsed="false">
      <c r="A214" s="17" t="n">
        <f aca="false">IF(AND(Eingabe!$F$10&gt;0,Eingabe!$E$10&gt;=4),2,"")</f>
        <v>2</v>
      </c>
      <c r="B214" s="17" t="str">
        <f aca="false">IF(AND(Eingabe!$F$10&gt;0,Eingabe!$E$10&gt;=4),Eingabe!$B$10,"")</f>
        <v>Mittelweg</v>
      </c>
      <c r="C214" s="17" t="str">
        <f aca="false">IF(AND(Eingabe!$F$10&gt;0,Eingabe!$E$10&gt;=4),Eingabe!$C$10&amp;"-Paz."&amp;TEXT(4,"000"),"")</f>
        <v>MW-Paz.004</v>
      </c>
      <c r="D214" s="17" t="n">
        <f aca="false">IF(AND(Eingabe!$F$10&gt;0,Eingabe!$E$10&gt;=4),4,"")</f>
        <v>4</v>
      </c>
      <c r="E214" s="17" t="n">
        <f aca="false">IF(AND(Eingabe!$F$10&gt;0,Eingabe!$E$10&gt;=4),IF((Eingabe!$G$10)&lt;=9,1000+(Eingabe!$G$10)*100,3000)+4,"")</f>
        <v>1204</v>
      </c>
      <c r="F214" s="17" t="str">
        <f aca="false">IF(AND(Eingabe!$F$10&gt;0,Eingabe!$E$10&gt;=4),"10."&amp;Eingabe!$D$10&amp;".4.0/24","")</f>
        <v>10.2.4.0/24</v>
      </c>
      <c r="G214" s="17" t="str">
        <f aca="false">IF(AND(Eingabe!$F$10&gt;0,Eingabe!$E$10&gt;=4),"10."&amp;Eingabe!$D$10&amp;".4.1","")</f>
        <v>10.2.4.1</v>
      </c>
      <c r="H214" s="17" t="str">
        <f aca="false">IF(AND(Eingabe!$F$10&gt;0,Eingabe!$E$10&gt;=4),"10."&amp;Eingabe!$D$10&amp;".4.10 – 10."&amp;Eingabe!$D$10&amp;".4.250","")</f>
        <v>10.2.4.10 – 10.2.4.250</v>
      </c>
      <c r="I214" s="17" t="str">
        <f aca="false">IF(AND(Eingabe!$F$10&gt;0,Eingabe!$E$10&gt;=4),Eingabe!$B$6&amp;"-"&amp;Eingabe!$C$10&amp;"-Pächter","")</f>
        <v>SparteNet.de-MW-Pächter</v>
      </c>
      <c r="J214" s="17" t="str">
        <f aca="false">IF(AND(Eingabe!$F$10&gt;0,Eingabe!$E$10&gt;=4),"PPSK: Passwort Parzelle 4","")</f>
        <v>PPSK: Passwort Parzelle 4</v>
      </c>
      <c r="K214" s="17" t="str">
        <f aca="false">IF(AND(Eingabe!$F$10&gt;0,Eingabe!$E$10&gt;=4),"1. Gerät: 10."&amp;Eingabe!$D$10&amp;".4.10, 2. Gerät: .11","")</f>
        <v>1. Gerät: 10.2.4.10, 2. Gerät: .11</v>
      </c>
    </row>
    <row r="215" customFormat="false" ht="15" hidden="false" customHeight="false" outlineLevel="0" collapsed="false">
      <c r="A215" s="17" t="n">
        <f aca="false">IF(AND(Eingabe!$F$10&gt;0,Eingabe!$E$10&gt;=5),2,"")</f>
        <v>2</v>
      </c>
      <c r="B215" s="17" t="str">
        <f aca="false">IF(AND(Eingabe!$F$10&gt;0,Eingabe!$E$10&gt;=5),Eingabe!$B$10,"")</f>
        <v>Mittelweg</v>
      </c>
      <c r="C215" s="17" t="str">
        <f aca="false">IF(AND(Eingabe!$F$10&gt;0,Eingabe!$E$10&gt;=5),Eingabe!$C$10&amp;"-Paz."&amp;TEXT(5,"000"),"")</f>
        <v>MW-Paz.005</v>
      </c>
      <c r="D215" s="17" t="n">
        <f aca="false">IF(AND(Eingabe!$F$10&gt;0,Eingabe!$E$10&gt;=5),5,"")</f>
        <v>5</v>
      </c>
      <c r="E215" s="17" t="n">
        <f aca="false">IF(AND(Eingabe!$F$10&gt;0,Eingabe!$E$10&gt;=5),IF((Eingabe!$G$10)&lt;=9,1000+(Eingabe!$G$10)*100,3000)+5,"")</f>
        <v>1205</v>
      </c>
      <c r="F215" s="17" t="str">
        <f aca="false">IF(AND(Eingabe!$F$10&gt;0,Eingabe!$E$10&gt;=5),"10."&amp;Eingabe!$D$10&amp;".5.0/24","")</f>
        <v>10.2.5.0/24</v>
      </c>
      <c r="G215" s="17" t="str">
        <f aca="false">IF(AND(Eingabe!$F$10&gt;0,Eingabe!$E$10&gt;=5),"10."&amp;Eingabe!$D$10&amp;".5.1","")</f>
        <v>10.2.5.1</v>
      </c>
      <c r="H215" s="17" t="str">
        <f aca="false">IF(AND(Eingabe!$F$10&gt;0,Eingabe!$E$10&gt;=5),"10."&amp;Eingabe!$D$10&amp;".5.10 – 10."&amp;Eingabe!$D$10&amp;".5.250","")</f>
        <v>10.2.5.10 – 10.2.5.250</v>
      </c>
      <c r="I215" s="17" t="str">
        <f aca="false">IF(AND(Eingabe!$F$10&gt;0,Eingabe!$E$10&gt;=5),Eingabe!$B$6&amp;"-"&amp;Eingabe!$C$10&amp;"-Pächter","")</f>
        <v>SparteNet.de-MW-Pächter</v>
      </c>
      <c r="J215" s="17" t="str">
        <f aca="false">IF(AND(Eingabe!$F$10&gt;0,Eingabe!$E$10&gt;=5),"PPSK: Passwort Parzelle 5","")</f>
        <v>PPSK: Passwort Parzelle 5</v>
      </c>
      <c r="K215" s="17" t="str">
        <f aca="false">IF(AND(Eingabe!$F$10&gt;0,Eingabe!$E$10&gt;=5),"1. Gerät: 10."&amp;Eingabe!$D$10&amp;".5.10, 2. Gerät: .11","")</f>
        <v>1. Gerät: 10.2.5.10, 2. Gerät: .11</v>
      </c>
    </row>
    <row r="216" customFormat="false" ht="15" hidden="false" customHeight="false" outlineLevel="0" collapsed="false">
      <c r="A216" s="17" t="n">
        <f aca="false">IF(AND(Eingabe!$F$10&gt;0,Eingabe!$E$10&gt;=6),2,"")</f>
        <v>2</v>
      </c>
      <c r="B216" s="17" t="str">
        <f aca="false">IF(AND(Eingabe!$F$10&gt;0,Eingabe!$E$10&gt;=6),Eingabe!$B$10,"")</f>
        <v>Mittelweg</v>
      </c>
      <c r="C216" s="17" t="str">
        <f aca="false">IF(AND(Eingabe!$F$10&gt;0,Eingabe!$E$10&gt;=6),Eingabe!$C$10&amp;"-Paz."&amp;TEXT(6,"000"),"")</f>
        <v>MW-Paz.006</v>
      </c>
      <c r="D216" s="17" t="n">
        <f aca="false">IF(AND(Eingabe!$F$10&gt;0,Eingabe!$E$10&gt;=6),6,"")</f>
        <v>6</v>
      </c>
      <c r="E216" s="17" t="n">
        <f aca="false">IF(AND(Eingabe!$F$10&gt;0,Eingabe!$E$10&gt;=6),IF((Eingabe!$G$10)&lt;=9,1000+(Eingabe!$G$10)*100,3000)+6,"")</f>
        <v>1206</v>
      </c>
      <c r="F216" s="17" t="str">
        <f aca="false">IF(AND(Eingabe!$F$10&gt;0,Eingabe!$E$10&gt;=6),"10."&amp;Eingabe!$D$10&amp;".6.0/24","")</f>
        <v>10.2.6.0/24</v>
      </c>
      <c r="G216" s="17" t="str">
        <f aca="false">IF(AND(Eingabe!$F$10&gt;0,Eingabe!$E$10&gt;=6),"10."&amp;Eingabe!$D$10&amp;".6.1","")</f>
        <v>10.2.6.1</v>
      </c>
      <c r="H216" s="17" t="str">
        <f aca="false">IF(AND(Eingabe!$F$10&gt;0,Eingabe!$E$10&gt;=6),"10."&amp;Eingabe!$D$10&amp;".6.10 – 10."&amp;Eingabe!$D$10&amp;".6.250","")</f>
        <v>10.2.6.10 – 10.2.6.250</v>
      </c>
      <c r="I216" s="17" t="str">
        <f aca="false">IF(AND(Eingabe!$F$10&gt;0,Eingabe!$E$10&gt;=6),Eingabe!$B$6&amp;"-"&amp;Eingabe!$C$10&amp;"-Pächter","")</f>
        <v>SparteNet.de-MW-Pächter</v>
      </c>
      <c r="J216" s="17" t="str">
        <f aca="false">IF(AND(Eingabe!$F$10&gt;0,Eingabe!$E$10&gt;=6),"PPSK: Passwort Parzelle 6","")</f>
        <v>PPSK: Passwort Parzelle 6</v>
      </c>
      <c r="K216" s="17" t="str">
        <f aca="false">IF(AND(Eingabe!$F$10&gt;0,Eingabe!$E$10&gt;=6),"1. Gerät: 10."&amp;Eingabe!$D$10&amp;".6.10, 2. Gerät: .11","")</f>
        <v>1. Gerät: 10.2.6.10, 2. Gerät: .11</v>
      </c>
    </row>
    <row r="217" customFormat="false" ht="15" hidden="false" customHeight="false" outlineLevel="0" collapsed="false">
      <c r="A217" s="17" t="n">
        <f aca="false">IF(AND(Eingabe!$F$10&gt;0,Eingabe!$E$10&gt;=7),2,"")</f>
        <v>2</v>
      </c>
      <c r="B217" s="17" t="str">
        <f aca="false">IF(AND(Eingabe!$F$10&gt;0,Eingabe!$E$10&gt;=7),Eingabe!$B$10,"")</f>
        <v>Mittelweg</v>
      </c>
      <c r="C217" s="17" t="str">
        <f aca="false">IF(AND(Eingabe!$F$10&gt;0,Eingabe!$E$10&gt;=7),Eingabe!$C$10&amp;"-Paz."&amp;TEXT(7,"000"),"")</f>
        <v>MW-Paz.007</v>
      </c>
      <c r="D217" s="17" t="n">
        <f aca="false">IF(AND(Eingabe!$F$10&gt;0,Eingabe!$E$10&gt;=7),7,"")</f>
        <v>7</v>
      </c>
      <c r="E217" s="17" t="n">
        <f aca="false">IF(AND(Eingabe!$F$10&gt;0,Eingabe!$E$10&gt;=7),IF((Eingabe!$G$10)&lt;=9,1000+(Eingabe!$G$10)*100,3000)+7,"")</f>
        <v>1207</v>
      </c>
      <c r="F217" s="17" t="str">
        <f aca="false">IF(AND(Eingabe!$F$10&gt;0,Eingabe!$E$10&gt;=7),"10."&amp;Eingabe!$D$10&amp;".7.0/24","")</f>
        <v>10.2.7.0/24</v>
      </c>
      <c r="G217" s="17" t="str">
        <f aca="false">IF(AND(Eingabe!$F$10&gt;0,Eingabe!$E$10&gt;=7),"10."&amp;Eingabe!$D$10&amp;".7.1","")</f>
        <v>10.2.7.1</v>
      </c>
      <c r="H217" s="17" t="str">
        <f aca="false">IF(AND(Eingabe!$F$10&gt;0,Eingabe!$E$10&gt;=7),"10."&amp;Eingabe!$D$10&amp;".7.10 – 10."&amp;Eingabe!$D$10&amp;".7.250","")</f>
        <v>10.2.7.10 – 10.2.7.250</v>
      </c>
      <c r="I217" s="17" t="str">
        <f aca="false">IF(AND(Eingabe!$F$10&gt;0,Eingabe!$E$10&gt;=7),Eingabe!$B$6&amp;"-"&amp;Eingabe!$C$10&amp;"-Pächter","")</f>
        <v>SparteNet.de-MW-Pächter</v>
      </c>
      <c r="J217" s="17" t="str">
        <f aca="false">IF(AND(Eingabe!$F$10&gt;0,Eingabe!$E$10&gt;=7),"PPSK: Passwort Parzelle 7","")</f>
        <v>PPSK: Passwort Parzelle 7</v>
      </c>
      <c r="K217" s="17" t="str">
        <f aca="false">IF(AND(Eingabe!$F$10&gt;0,Eingabe!$E$10&gt;=7),"1. Gerät: 10."&amp;Eingabe!$D$10&amp;".7.10, 2. Gerät: .11","")</f>
        <v>1. Gerät: 10.2.7.10, 2. Gerät: .11</v>
      </c>
    </row>
    <row r="218" customFormat="false" ht="15" hidden="false" customHeight="false" outlineLevel="0" collapsed="false">
      <c r="A218" s="17" t="n">
        <f aca="false">IF(AND(Eingabe!$F$10&gt;0,Eingabe!$E$10&gt;=8),2,"")</f>
        <v>2</v>
      </c>
      <c r="B218" s="17" t="str">
        <f aca="false">IF(AND(Eingabe!$F$10&gt;0,Eingabe!$E$10&gt;=8),Eingabe!$B$10,"")</f>
        <v>Mittelweg</v>
      </c>
      <c r="C218" s="17" t="str">
        <f aca="false">IF(AND(Eingabe!$F$10&gt;0,Eingabe!$E$10&gt;=8),Eingabe!$C$10&amp;"-Paz."&amp;TEXT(8,"000"),"")</f>
        <v>MW-Paz.008</v>
      </c>
      <c r="D218" s="17" t="n">
        <f aca="false">IF(AND(Eingabe!$F$10&gt;0,Eingabe!$E$10&gt;=8),8,"")</f>
        <v>8</v>
      </c>
      <c r="E218" s="17" t="n">
        <f aca="false">IF(AND(Eingabe!$F$10&gt;0,Eingabe!$E$10&gt;=8),IF((Eingabe!$G$10)&lt;=9,1000+(Eingabe!$G$10)*100,3000)+8,"")</f>
        <v>1208</v>
      </c>
      <c r="F218" s="17" t="str">
        <f aca="false">IF(AND(Eingabe!$F$10&gt;0,Eingabe!$E$10&gt;=8),"10."&amp;Eingabe!$D$10&amp;".8.0/24","")</f>
        <v>10.2.8.0/24</v>
      </c>
      <c r="G218" s="17" t="str">
        <f aca="false">IF(AND(Eingabe!$F$10&gt;0,Eingabe!$E$10&gt;=8),"10."&amp;Eingabe!$D$10&amp;".8.1","")</f>
        <v>10.2.8.1</v>
      </c>
      <c r="H218" s="17" t="str">
        <f aca="false">IF(AND(Eingabe!$F$10&gt;0,Eingabe!$E$10&gt;=8),"10."&amp;Eingabe!$D$10&amp;".8.10 – 10."&amp;Eingabe!$D$10&amp;".8.250","")</f>
        <v>10.2.8.10 – 10.2.8.250</v>
      </c>
      <c r="I218" s="17" t="str">
        <f aca="false">IF(AND(Eingabe!$F$10&gt;0,Eingabe!$E$10&gt;=8),Eingabe!$B$6&amp;"-"&amp;Eingabe!$C$10&amp;"-Pächter","")</f>
        <v>SparteNet.de-MW-Pächter</v>
      </c>
      <c r="J218" s="17" t="str">
        <f aca="false">IF(AND(Eingabe!$F$10&gt;0,Eingabe!$E$10&gt;=8),"PPSK: Passwort Parzelle 8","")</f>
        <v>PPSK: Passwort Parzelle 8</v>
      </c>
      <c r="K218" s="17" t="str">
        <f aca="false">IF(AND(Eingabe!$F$10&gt;0,Eingabe!$E$10&gt;=8),"1. Gerät: 10."&amp;Eingabe!$D$10&amp;".8.10, 2. Gerät: .11","")</f>
        <v>1. Gerät: 10.2.8.10, 2. Gerät: .11</v>
      </c>
    </row>
    <row r="219" customFormat="false" ht="15" hidden="false" customHeight="false" outlineLevel="0" collapsed="false">
      <c r="A219" s="17" t="n">
        <f aca="false">IF(AND(Eingabe!$F$10&gt;0,Eingabe!$E$10&gt;=9),2,"")</f>
        <v>2</v>
      </c>
      <c r="B219" s="17" t="str">
        <f aca="false">IF(AND(Eingabe!$F$10&gt;0,Eingabe!$E$10&gt;=9),Eingabe!$B$10,"")</f>
        <v>Mittelweg</v>
      </c>
      <c r="C219" s="17" t="str">
        <f aca="false">IF(AND(Eingabe!$F$10&gt;0,Eingabe!$E$10&gt;=9),Eingabe!$C$10&amp;"-Paz."&amp;TEXT(9,"000"),"")</f>
        <v>MW-Paz.009</v>
      </c>
      <c r="D219" s="17" t="n">
        <f aca="false">IF(AND(Eingabe!$F$10&gt;0,Eingabe!$E$10&gt;=9),9,"")</f>
        <v>9</v>
      </c>
      <c r="E219" s="17" t="n">
        <f aca="false">IF(AND(Eingabe!$F$10&gt;0,Eingabe!$E$10&gt;=9),IF((Eingabe!$G$10)&lt;=9,1000+(Eingabe!$G$10)*100,3000)+9,"")</f>
        <v>1209</v>
      </c>
      <c r="F219" s="17" t="str">
        <f aca="false">IF(AND(Eingabe!$F$10&gt;0,Eingabe!$E$10&gt;=9),"10."&amp;Eingabe!$D$10&amp;".9.0/24","")</f>
        <v>10.2.9.0/24</v>
      </c>
      <c r="G219" s="17" t="str">
        <f aca="false">IF(AND(Eingabe!$F$10&gt;0,Eingabe!$E$10&gt;=9),"10."&amp;Eingabe!$D$10&amp;".9.1","")</f>
        <v>10.2.9.1</v>
      </c>
      <c r="H219" s="17" t="str">
        <f aca="false">IF(AND(Eingabe!$F$10&gt;0,Eingabe!$E$10&gt;=9),"10."&amp;Eingabe!$D$10&amp;".9.10 – 10."&amp;Eingabe!$D$10&amp;".9.250","")</f>
        <v>10.2.9.10 – 10.2.9.250</v>
      </c>
      <c r="I219" s="17" t="str">
        <f aca="false">IF(AND(Eingabe!$F$10&gt;0,Eingabe!$E$10&gt;=9),Eingabe!$B$6&amp;"-"&amp;Eingabe!$C$10&amp;"-Pächter","")</f>
        <v>SparteNet.de-MW-Pächter</v>
      </c>
      <c r="J219" s="17" t="str">
        <f aca="false">IF(AND(Eingabe!$F$10&gt;0,Eingabe!$E$10&gt;=9),"PPSK: Passwort Parzelle 9","")</f>
        <v>PPSK: Passwort Parzelle 9</v>
      </c>
      <c r="K219" s="17" t="str">
        <f aca="false">IF(AND(Eingabe!$F$10&gt;0,Eingabe!$E$10&gt;=9),"1. Gerät: 10."&amp;Eingabe!$D$10&amp;".9.10, 2. Gerät: .11","")</f>
        <v>1. Gerät: 10.2.9.10, 2. Gerät: .11</v>
      </c>
    </row>
    <row r="220" customFormat="false" ht="15" hidden="false" customHeight="false" outlineLevel="0" collapsed="false">
      <c r="A220" s="17" t="n">
        <f aca="false">IF(AND(Eingabe!$F$10&gt;0,Eingabe!$E$10&gt;=10),2,"")</f>
        <v>2</v>
      </c>
      <c r="B220" s="17" t="str">
        <f aca="false">IF(AND(Eingabe!$F$10&gt;0,Eingabe!$E$10&gt;=10),Eingabe!$B$10,"")</f>
        <v>Mittelweg</v>
      </c>
      <c r="C220" s="17" t="str">
        <f aca="false">IF(AND(Eingabe!$F$10&gt;0,Eingabe!$E$10&gt;=10),Eingabe!$C$10&amp;"-Paz."&amp;TEXT(10,"000"),"")</f>
        <v>MW-Paz.010</v>
      </c>
      <c r="D220" s="17" t="n">
        <f aca="false">IF(AND(Eingabe!$F$10&gt;0,Eingabe!$E$10&gt;=10),10,"")</f>
        <v>10</v>
      </c>
      <c r="E220" s="17" t="n">
        <f aca="false">IF(AND(Eingabe!$F$10&gt;0,Eingabe!$E$10&gt;=10),IF((Eingabe!$G$10)&lt;=9,1000+(Eingabe!$G$10)*100,3000)+10,"")</f>
        <v>1210</v>
      </c>
      <c r="F220" s="17" t="str">
        <f aca="false">IF(AND(Eingabe!$F$10&gt;0,Eingabe!$E$10&gt;=10),"10."&amp;Eingabe!$D$10&amp;".10.0/24","")</f>
        <v>10.2.10.0/24</v>
      </c>
      <c r="G220" s="17" t="str">
        <f aca="false">IF(AND(Eingabe!$F$10&gt;0,Eingabe!$E$10&gt;=10),"10."&amp;Eingabe!$D$10&amp;".10.1","")</f>
        <v>10.2.10.1</v>
      </c>
      <c r="H220" s="17" t="str">
        <f aca="false">IF(AND(Eingabe!$F$10&gt;0,Eingabe!$E$10&gt;=10),"10."&amp;Eingabe!$D$10&amp;".10.10 – 10."&amp;Eingabe!$D$10&amp;".10.250","")</f>
        <v>10.2.10.10 – 10.2.10.250</v>
      </c>
      <c r="I220" s="17" t="str">
        <f aca="false">IF(AND(Eingabe!$F$10&gt;0,Eingabe!$E$10&gt;=10),Eingabe!$B$6&amp;"-"&amp;Eingabe!$C$10&amp;"-Pächter","")</f>
        <v>SparteNet.de-MW-Pächter</v>
      </c>
      <c r="J220" s="17" t="str">
        <f aca="false">IF(AND(Eingabe!$F$10&gt;0,Eingabe!$E$10&gt;=10),"PPSK: Passwort Parzelle 10","")</f>
        <v>PPSK: Passwort Parzelle 10</v>
      </c>
      <c r="K220" s="17" t="str">
        <f aca="false">IF(AND(Eingabe!$F$10&gt;0,Eingabe!$E$10&gt;=10),"1. Gerät: 10."&amp;Eingabe!$D$10&amp;".10.10, 2. Gerät: .11","")</f>
        <v>1. Gerät: 10.2.10.10, 2. Gerät: .11</v>
      </c>
    </row>
    <row r="221" customFormat="false" ht="15" hidden="false" customHeight="false" outlineLevel="0" collapsed="false">
      <c r="A221" s="17" t="n">
        <f aca="false">IF(AND(Eingabe!$F$10&gt;0,Eingabe!$E$10&gt;=11),2,"")</f>
        <v>2</v>
      </c>
      <c r="B221" s="17" t="str">
        <f aca="false">IF(AND(Eingabe!$F$10&gt;0,Eingabe!$E$10&gt;=11),Eingabe!$B$10,"")</f>
        <v>Mittelweg</v>
      </c>
      <c r="C221" s="17" t="str">
        <f aca="false">IF(AND(Eingabe!$F$10&gt;0,Eingabe!$E$10&gt;=11),Eingabe!$C$10&amp;"-Paz."&amp;TEXT(11,"000"),"")</f>
        <v>MW-Paz.011</v>
      </c>
      <c r="D221" s="17" t="n">
        <f aca="false">IF(AND(Eingabe!$F$10&gt;0,Eingabe!$E$10&gt;=11),11,"")</f>
        <v>11</v>
      </c>
      <c r="E221" s="17" t="n">
        <f aca="false">IF(AND(Eingabe!$F$10&gt;0,Eingabe!$E$10&gt;=11),IF((Eingabe!$G$10)&lt;=9,1000+(Eingabe!$G$10)*100,3000)+11,"")</f>
        <v>1211</v>
      </c>
      <c r="F221" s="17" t="str">
        <f aca="false">IF(AND(Eingabe!$F$10&gt;0,Eingabe!$E$10&gt;=11),"10."&amp;Eingabe!$D$10&amp;".11.0/24","")</f>
        <v>10.2.11.0/24</v>
      </c>
      <c r="G221" s="17" t="str">
        <f aca="false">IF(AND(Eingabe!$F$10&gt;0,Eingabe!$E$10&gt;=11),"10."&amp;Eingabe!$D$10&amp;".11.1","")</f>
        <v>10.2.11.1</v>
      </c>
      <c r="H221" s="17" t="str">
        <f aca="false">IF(AND(Eingabe!$F$10&gt;0,Eingabe!$E$10&gt;=11),"10."&amp;Eingabe!$D$10&amp;".11.10 – 10."&amp;Eingabe!$D$10&amp;".11.250","")</f>
        <v>10.2.11.10 – 10.2.11.250</v>
      </c>
      <c r="I221" s="17" t="str">
        <f aca="false">IF(AND(Eingabe!$F$10&gt;0,Eingabe!$E$10&gt;=11),Eingabe!$B$6&amp;"-"&amp;Eingabe!$C$10&amp;"-Pächter","")</f>
        <v>SparteNet.de-MW-Pächter</v>
      </c>
      <c r="J221" s="17" t="str">
        <f aca="false">IF(AND(Eingabe!$F$10&gt;0,Eingabe!$E$10&gt;=11),"PPSK: Passwort Parzelle 11","")</f>
        <v>PPSK: Passwort Parzelle 11</v>
      </c>
      <c r="K221" s="17" t="str">
        <f aca="false">IF(AND(Eingabe!$F$10&gt;0,Eingabe!$E$10&gt;=11),"1. Gerät: 10."&amp;Eingabe!$D$10&amp;".11.10, 2. Gerät: .11","")</f>
        <v>1. Gerät: 10.2.11.10, 2. Gerät: .11</v>
      </c>
    </row>
    <row r="222" customFormat="false" ht="15" hidden="false" customHeight="false" outlineLevel="0" collapsed="false">
      <c r="A222" s="17" t="n">
        <f aca="false">IF(AND(Eingabe!$F$10&gt;0,Eingabe!$E$10&gt;=12),2,"")</f>
        <v>2</v>
      </c>
      <c r="B222" s="17" t="str">
        <f aca="false">IF(AND(Eingabe!$F$10&gt;0,Eingabe!$E$10&gt;=12),Eingabe!$B$10,"")</f>
        <v>Mittelweg</v>
      </c>
      <c r="C222" s="17" t="str">
        <f aca="false">IF(AND(Eingabe!$F$10&gt;0,Eingabe!$E$10&gt;=12),Eingabe!$C$10&amp;"-Paz."&amp;TEXT(12,"000"),"")</f>
        <v>MW-Paz.012</v>
      </c>
      <c r="D222" s="17" t="n">
        <f aca="false">IF(AND(Eingabe!$F$10&gt;0,Eingabe!$E$10&gt;=12),12,"")</f>
        <v>12</v>
      </c>
      <c r="E222" s="17" t="n">
        <f aca="false">IF(AND(Eingabe!$F$10&gt;0,Eingabe!$E$10&gt;=12),IF((Eingabe!$G$10)&lt;=9,1000+(Eingabe!$G$10)*100,3000)+12,"")</f>
        <v>1212</v>
      </c>
      <c r="F222" s="17" t="str">
        <f aca="false">IF(AND(Eingabe!$F$10&gt;0,Eingabe!$E$10&gt;=12),"10."&amp;Eingabe!$D$10&amp;".12.0/24","")</f>
        <v>10.2.12.0/24</v>
      </c>
      <c r="G222" s="17" t="str">
        <f aca="false">IF(AND(Eingabe!$F$10&gt;0,Eingabe!$E$10&gt;=12),"10."&amp;Eingabe!$D$10&amp;".12.1","")</f>
        <v>10.2.12.1</v>
      </c>
      <c r="H222" s="17" t="str">
        <f aca="false">IF(AND(Eingabe!$F$10&gt;0,Eingabe!$E$10&gt;=12),"10."&amp;Eingabe!$D$10&amp;".12.10 – 10."&amp;Eingabe!$D$10&amp;".12.250","")</f>
        <v>10.2.12.10 – 10.2.12.250</v>
      </c>
      <c r="I222" s="17" t="str">
        <f aca="false">IF(AND(Eingabe!$F$10&gt;0,Eingabe!$E$10&gt;=12),Eingabe!$B$6&amp;"-"&amp;Eingabe!$C$10&amp;"-Pächter","")</f>
        <v>SparteNet.de-MW-Pächter</v>
      </c>
      <c r="J222" s="17" t="str">
        <f aca="false">IF(AND(Eingabe!$F$10&gt;0,Eingabe!$E$10&gt;=12),"PPSK: Passwort Parzelle 12","")</f>
        <v>PPSK: Passwort Parzelle 12</v>
      </c>
      <c r="K222" s="17" t="str">
        <f aca="false">IF(AND(Eingabe!$F$10&gt;0,Eingabe!$E$10&gt;=12),"1. Gerät: 10."&amp;Eingabe!$D$10&amp;".12.10, 2. Gerät: .11","")</f>
        <v>1. Gerät: 10.2.12.10, 2. Gerät: .11</v>
      </c>
    </row>
    <row r="223" customFormat="false" ht="15" hidden="false" customHeight="false" outlineLevel="0" collapsed="false">
      <c r="A223" s="17" t="n">
        <f aca="false">IF(AND(Eingabe!$F$10&gt;0,Eingabe!$E$10&gt;=13),2,"")</f>
        <v>2</v>
      </c>
      <c r="B223" s="17" t="str">
        <f aca="false">IF(AND(Eingabe!$F$10&gt;0,Eingabe!$E$10&gt;=13),Eingabe!$B$10,"")</f>
        <v>Mittelweg</v>
      </c>
      <c r="C223" s="17" t="str">
        <f aca="false">IF(AND(Eingabe!$F$10&gt;0,Eingabe!$E$10&gt;=13),Eingabe!$C$10&amp;"-Paz."&amp;TEXT(13,"000"),"")</f>
        <v>MW-Paz.013</v>
      </c>
      <c r="D223" s="17" t="n">
        <f aca="false">IF(AND(Eingabe!$F$10&gt;0,Eingabe!$E$10&gt;=13),13,"")</f>
        <v>13</v>
      </c>
      <c r="E223" s="17" t="n">
        <f aca="false">IF(AND(Eingabe!$F$10&gt;0,Eingabe!$E$10&gt;=13),IF((Eingabe!$G$10)&lt;=9,1000+(Eingabe!$G$10)*100,3000)+13,"")</f>
        <v>1213</v>
      </c>
      <c r="F223" s="17" t="str">
        <f aca="false">IF(AND(Eingabe!$F$10&gt;0,Eingabe!$E$10&gt;=13),"10."&amp;Eingabe!$D$10&amp;".13.0/24","")</f>
        <v>10.2.13.0/24</v>
      </c>
      <c r="G223" s="17" t="str">
        <f aca="false">IF(AND(Eingabe!$F$10&gt;0,Eingabe!$E$10&gt;=13),"10."&amp;Eingabe!$D$10&amp;".13.1","")</f>
        <v>10.2.13.1</v>
      </c>
      <c r="H223" s="17" t="str">
        <f aca="false">IF(AND(Eingabe!$F$10&gt;0,Eingabe!$E$10&gt;=13),"10."&amp;Eingabe!$D$10&amp;".13.10 – 10."&amp;Eingabe!$D$10&amp;".13.250","")</f>
        <v>10.2.13.10 – 10.2.13.250</v>
      </c>
      <c r="I223" s="17" t="str">
        <f aca="false">IF(AND(Eingabe!$F$10&gt;0,Eingabe!$E$10&gt;=13),Eingabe!$B$6&amp;"-"&amp;Eingabe!$C$10&amp;"-Pächter","")</f>
        <v>SparteNet.de-MW-Pächter</v>
      </c>
      <c r="J223" s="17" t="str">
        <f aca="false">IF(AND(Eingabe!$F$10&gt;0,Eingabe!$E$10&gt;=13),"PPSK: Passwort Parzelle 13","")</f>
        <v>PPSK: Passwort Parzelle 13</v>
      </c>
      <c r="K223" s="17" t="str">
        <f aca="false">IF(AND(Eingabe!$F$10&gt;0,Eingabe!$E$10&gt;=13),"1. Gerät: 10."&amp;Eingabe!$D$10&amp;".13.10, 2. Gerät: .11","")</f>
        <v>1. Gerät: 10.2.13.10, 2. Gerät: .11</v>
      </c>
    </row>
    <row r="224" customFormat="false" ht="15" hidden="false" customHeight="false" outlineLevel="0" collapsed="false">
      <c r="A224" s="17" t="n">
        <f aca="false">IF(AND(Eingabe!$F$10&gt;0,Eingabe!$E$10&gt;=14),2,"")</f>
        <v>2</v>
      </c>
      <c r="B224" s="17" t="str">
        <f aca="false">IF(AND(Eingabe!$F$10&gt;0,Eingabe!$E$10&gt;=14),Eingabe!$B$10,"")</f>
        <v>Mittelweg</v>
      </c>
      <c r="C224" s="17" t="str">
        <f aca="false">IF(AND(Eingabe!$F$10&gt;0,Eingabe!$E$10&gt;=14),Eingabe!$C$10&amp;"-Paz."&amp;TEXT(14,"000"),"")</f>
        <v>MW-Paz.014</v>
      </c>
      <c r="D224" s="17" t="n">
        <f aca="false">IF(AND(Eingabe!$F$10&gt;0,Eingabe!$E$10&gt;=14),14,"")</f>
        <v>14</v>
      </c>
      <c r="E224" s="17" t="n">
        <f aca="false">IF(AND(Eingabe!$F$10&gt;0,Eingabe!$E$10&gt;=14),IF((Eingabe!$G$10)&lt;=9,1000+(Eingabe!$G$10)*100,3000)+14,"")</f>
        <v>1214</v>
      </c>
      <c r="F224" s="17" t="str">
        <f aca="false">IF(AND(Eingabe!$F$10&gt;0,Eingabe!$E$10&gt;=14),"10."&amp;Eingabe!$D$10&amp;".14.0/24","")</f>
        <v>10.2.14.0/24</v>
      </c>
      <c r="G224" s="17" t="str">
        <f aca="false">IF(AND(Eingabe!$F$10&gt;0,Eingabe!$E$10&gt;=14),"10."&amp;Eingabe!$D$10&amp;".14.1","")</f>
        <v>10.2.14.1</v>
      </c>
      <c r="H224" s="17" t="str">
        <f aca="false">IF(AND(Eingabe!$F$10&gt;0,Eingabe!$E$10&gt;=14),"10."&amp;Eingabe!$D$10&amp;".14.10 – 10."&amp;Eingabe!$D$10&amp;".14.250","")</f>
        <v>10.2.14.10 – 10.2.14.250</v>
      </c>
      <c r="I224" s="17" t="str">
        <f aca="false">IF(AND(Eingabe!$F$10&gt;0,Eingabe!$E$10&gt;=14),Eingabe!$B$6&amp;"-"&amp;Eingabe!$C$10&amp;"-Pächter","")</f>
        <v>SparteNet.de-MW-Pächter</v>
      </c>
      <c r="J224" s="17" t="str">
        <f aca="false">IF(AND(Eingabe!$F$10&gt;0,Eingabe!$E$10&gt;=14),"PPSK: Passwort Parzelle 14","")</f>
        <v>PPSK: Passwort Parzelle 14</v>
      </c>
      <c r="K224" s="17" t="str">
        <f aca="false">IF(AND(Eingabe!$F$10&gt;0,Eingabe!$E$10&gt;=14),"1. Gerät: 10."&amp;Eingabe!$D$10&amp;".14.10, 2. Gerät: .11","")</f>
        <v>1. Gerät: 10.2.14.10, 2. Gerät: .11</v>
      </c>
    </row>
    <row r="225" customFormat="false" ht="15" hidden="false" customHeight="false" outlineLevel="0" collapsed="false">
      <c r="A225" s="17" t="n">
        <f aca="false">IF(AND(Eingabe!$F$10&gt;0,Eingabe!$E$10&gt;=15),2,"")</f>
        <v>2</v>
      </c>
      <c r="B225" s="17" t="str">
        <f aca="false">IF(AND(Eingabe!$F$10&gt;0,Eingabe!$E$10&gt;=15),Eingabe!$B$10,"")</f>
        <v>Mittelweg</v>
      </c>
      <c r="C225" s="17" t="str">
        <f aca="false">IF(AND(Eingabe!$F$10&gt;0,Eingabe!$E$10&gt;=15),Eingabe!$C$10&amp;"-Paz."&amp;TEXT(15,"000"),"")</f>
        <v>MW-Paz.015</v>
      </c>
      <c r="D225" s="17" t="n">
        <f aca="false">IF(AND(Eingabe!$F$10&gt;0,Eingabe!$E$10&gt;=15),15,"")</f>
        <v>15</v>
      </c>
      <c r="E225" s="17" t="n">
        <f aca="false">IF(AND(Eingabe!$F$10&gt;0,Eingabe!$E$10&gt;=15),IF((Eingabe!$G$10)&lt;=9,1000+(Eingabe!$G$10)*100,3000)+15,"")</f>
        <v>1215</v>
      </c>
      <c r="F225" s="17" t="str">
        <f aca="false">IF(AND(Eingabe!$F$10&gt;0,Eingabe!$E$10&gt;=15),"10."&amp;Eingabe!$D$10&amp;".15.0/24","")</f>
        <v>10.2.15.0/24</v>
      </c>
      <c r="G225" s="17" t="str">
        <f aca="false">IF(AND(Eingabe!$F$10&gt;0,Eingabe!$E$10&gt;=15),"10."&amp;Eingabe!$D$10&amp;".15.1","")</f>
        <v>10.2.15.1</v>
      </c>
      <c r="H225" s="17" t="str">
        <f aca="false">IF(AND(Eingabe!$F$10&gt;0,Eingabe!$E$10&gt;=15),"10."&amp;Eingabe!$D$10&amp;".15.10 – 10."&amp;Eingabe!$D$10&amp;".15.250","")</f>
        <v>10.2.15.10 – 10.2.15.250</v>
      </c>
      <c r="I225" s="17" t="str">
        <f aca="false">IF(AND(Eingabe!$F$10&gt;0,Eingabe!$E$10&gt;=15),Eingabe!$B$6&amp;"-"&amp;Eingabe!$C$10&amp;"-Pächter","")</f>
        <v>SparteNet.de-MW-Pächter</v>
      </c>
      <c r="J225" s="17" t="str">
        <f aca="false">IF(AND(Eingabe!$F$10&gt;0,Eingabe!$E$10&gt;=15),"PPSK: Passwort Parzelle 15","")</f>
        <v>PPSK: Passwort Parzelle 15</v>
      </c>
      <c r="K225" s="17" t="str">
        <f aca="false">IF(AND(Eingabe!$F$10&gt;0,Eingabe!$E$10&gt;=15),"1. Gerät: 10."&amp;Eingabe!$D$10&amp;".15.10, 2. Gerät: .11","")</f>
        <v>1. Gerät: 10.2.15.10, 2. Gerät: .11</v>
      </c>
    </row>
    <row r="226" customFormat="false" ht="15" hidden="false" customHeight="false" outlineLevel="0" collapsed="false">
      <c r="A226" s="17" t="n">
        <f aca="false">IF(AND(Eingabe!$F$10&gt;0,Eingabe!$E$10&gt;=16),2,"")</f>
        <v>2</v>
      </c>
      <c r="B226" s="17" t="str">
        <f aca="false">IF(AND(Eingabe!$F$10&gt;0,Eingabe!$E$10&gt;=16),Eingabe!$B$10,"")</f>
        <v>Mittelweg</v>
      </c>
      <c r="C226" s="17" t="str">
        <f aca="false">IF(AND(Eingabe!$F$10&gt;0,Eingabe!$E$10&gt;=16),Eingabe!$C$10&amp;"-Paz."&amp;TEXT(16,"000"),"")</f>
        <v>MW-Paz.016</v>
      </c>
      <c r="D226" s="17" t="n">
        <f aca="false">IF(AND(Eingabe!$F$10&gt;0,Eingabe!$E$10&gt;=16),16,"")</f>
        <v>16</v>
      </c>
      <c r="E226" s="17" t="n">
        <f aca="false">IF(AND(Eingabe!$F$10&gt;0,Eingabe!$E$10&gt;=16),IF((Eingabe!$G$10)&lt;=9,1000+(Eingabe!$G$10)*100,3000)+16,"")</f>
        <v>1216</v>
      </c>
      <c r="F226" s="17" t="str">
        <f aca="false">IF(AND(Eingabe!$F$10&gt;0,Eingabe!$E$10&gt;=16),"10."&amp;Eingabe!$D$10&amp;".16.0/24","")</f>
        <v>10.2.16.0/24</v>
      </c>
      <c r="G226" s="17" t="str">
        <f aca="false">IF(AND(Eingabe!$F$10&gt;0,Eingabe!$E$10&gt;=16),"10."&amp;Eingabe!$D$10&amp;".16.1","")</f>
        <v>10.2.16.1</v>
      </c>
      <c r="H226" s="17" t="str">
        <f aca="false">IF(AND(Eingabe!$F$10&gt;0,Eingabe!$E$10&gt;=16),"10."&amp;Eingabe!$D$10&amp;".16.10 – 10."&amp;Eingabe!$D$10&amp;".16.250","")</f>
        <v>10.2.16.10 – 10.2.16.250</v>
      </c>
      <c r="I226" s="17" t="str">
        <f aca="false">IF(AND(Eingabe!$F$10&gt;0,Eingabe!$E$10&gt;=16),Eingabe!$B$6&amp;"-"&amp;Eingabe!$C$10&amp;"-Pächter","")</f>
        <v>SparteNet.de-MW-Pächter</v>
      </c>
      <c r="J226" s="17" t="str">
        <f aca="false">IF(AND(Eingabe!$F$10&gt;0,Eingabe!$E$10&gt;=16),"PPSK: Passwort Parzelle 16","")</f>
        <v>PPSK: Passwort Parzelle 16</v>
      </c>
      <c r="K226" s="17" t="str">
        <f aca="false">IF(AND(Eingabe!$F$10&gt;0,Eingabe!$E$10&gt;=16),"1. Gerät: 10."&amp;Eingabe!$D$10&amp;".16.10, 2. Gerät: .11","")</f>
        <v>1. Gerät: 10.2.16.10, 2. Gerät: .11</v>
      </c>
    </row>
    <row r="227" customFormat="false" ht="15" hidden="false" customHeight="false" outlineLevel="0" collapsed="false">
      <c r="A227" s="17" t="n">
        <f aca="false">IF(AND(Eingabe!$F$10&gt;0,Eingabe!$E$10&gt;=17),2,"")</f>
        <v>2</v>
      </c>
      <c r="B227" s="17" t="str">
        <f aca="false">IF(AND(Eingabe!$F$10&gt;0,Eingabe!$E$10&gt;=17),Eingabe!$B$10,"")</f>
        <v>Mittelweg</v>
      </c>
      <c r="C227" s="17" t="str">
        <f aca="false">IF(AND(Eingabe!$F$10&gt;0,Eingabe!$E$10&gt;=17),Eingabe!$C$10&amp;"-Paz."&amp;TEXT(17,"000"),"")</f>
        <v>MW-Paz.017</v>
      </c>
      <c r="D227" s="17" t="n">
        <f aca="false">IF(AND(Eingabe!$F$10&gt;0,Eingabe!$E$10&gt;=17),17,"")</f>
        <v>17</v>
      </c>
      <c r="E227" s="17" t="n">
        <f aca="false">IF(AND(Eingabe!$F$10&gt;0,Eingabe!$E$10&gt;=17),IF((Eingabe!$G$10)&lt;=9,1000+(Eingabe!$G$10)*100,3000)+17,"")</f>
        <v>1217</v>
      </c>
      <c r="F227" s="17" t="str">
        <f aca="false">IF(AND(Eingabe!$F$10&gt;0,Eingabe!$E$10&gt;=17),"10."&amp;Eingabe!$D$10&amp;".17.0/24","")</f>
        <v>10.2.17.0/24</v>
      </c>
      <c r="G227" s="17" t="str">
        <f aca="false">IF(AND(Eingabe!$F$10&gt;0,Eingabe!$E$10&gt;=17),"10."&amp;Eingabe!$D$10&amp;".17.1","")</f>
        <v>10.2.17.1</v>
      </c>
      <c r="H227" s="17" t="str">
        <f aca="false">IF(AND(Eingabe!$F$10&gt;0,Eingabe!$E$10&gt;=17),"10."&amp;Eingabe!$D$10&amp;".17.10 – 10."&amp;Eingabe!$D$10&amp;".17.250","")</f>
        <v>10.2.17.10 – 10.2.17.250</v>
      </c>
      <c r="I227" s="17" t="str">
        <f aca="false">IF(AND(Eingabe!$F$10&gt;0,Eingabe!$E$10&gt;=17),Eingabe!$B$6&amp;"-"&amp;Eingabe!$C$10&amp;"-Pächter","")</f>
        <v>SparteNet.de-MW-Pächter</v>
      </c>
      <c r="J227" s="17" t="str">
        <f aca="false">IF(AND(Eingabe!$F$10&gt;0,Eingabe!$E$10&gt;=17),"PPSK: Passwort Parzelle 17","")</f>
        <v>PPSK: Passwort Parzelle 17</v>
      </c>
      <c r="K227" s="17" t="str">
        <f aca="false">IF(AND(Eingabe!$F$10&gt;0,Eingabe!$E$10&gt;=17),"1. Gerät: 10."&amp;Eingabe!$D$10&amp;".17.10, 2. Gerät: .11","")</f>
        <v>1. Gerät: 10.2.17.10, 2. Gerät: .11</v>
      </c>
    </row>
    <row r="228" customFormat="false" ht="15" hidden="false" customHeight="false" outlineLevel="0" collapsed="false">
      <c r="A228" s="17" t="n">
        <f aca="false">IF(AND(Eingabe!$F$10&gt;0,Eingabe!$E$10&gt;=18),2,"")</f>
        <v>2</v>
      </c>
      <c r="B228" s="17" t="str">
        <f aca="false">IF(AND(Eingabe!$F$10&gt;0,Eingabe!$E$10&gt;=18),Eingabe!$B$10,"")</f>
        <v>Mittelweg</v>
      </c>
      <c r="C228" s="17" t="str">
        <f aca="false">IF(AND(Eingabe!$F$10&gt;0,Eingabe!$E$10&gt;=18),Eingabe!$C$10&amp;"-Paz."&amp;TEXT(18,"000"),"")</f>
        <v>MW-Paz.018</v>
      </c>
      <c r="D228" s="17" t="n">
        <f aca="false">IF(AND(Eingabe!$F$10&gt;0,Eingabe!$E$10&gt;=18),18,"")</f>
        <v>18</v>
      </c>
      <c r="E228" s="17" t="n">
        <f aca="false">IF(AND(Eingabe!$F$10&gt;0,Eingabe!$E$10&gt;=18),IF((Eingabe!$G$10)&lt;=9,1000+(Eingabe!$G$10)*100,3000)+18,"")</f>
        <v>1218</v>
      </c>
      <c r="F228" s="17" t="str">
        <f aca="false">IF(AND(Eingabe!$F$10&gt;0,Eingabe!$E$10&gt;=18),"10."&amp;Eingabe!$D$10&amp;".18.0/24","")</f>
        <v>10.2.18.0/24</v>
      </c>
      <c r="G228" s="17" t="str">
        <f aca="false">IF(AND(Eingabe!$F$10&gt;0,Eingabe!$E$10&gt;=18),"10."&amp;Eingabe!$D$10&amp;".18.1","")</f>
        <v>10.2.18.1</v>
      </c>
      <c r="H228" s="17" t="str">
        <f aca="false">IF(AND(Eingabe!$F$10&gt;0,Eingabe!$E$10&gt;=18),"10."&amp;Eingabe!$D$10&amp;".18.10 – 10."&amp;Eingabe!$D$10&amp;".18.250","")</f>
        <v>10.2.18.10 – 10.2.18.250</v>
      </c>
      <c r="I228" s="17" t="str">
        <f aca="false">IF(AND(Eingabe!$F$10&gt;0,Eingabe!$E$10&gt;=18),Eingabe!$B$6&amp;"-"&amp;Eingabe!$C$10&amp;"-Pächter","")</f>
        <v>SparteNet.de-MW-Pächter</v>
      </c>
      <c r="J228" s="17" t="str">
        <f aca="false">IF(AND(Eingabe!$F$10&gt;0,Eingabe!$E$10&gt;=18),"PPSK: Passwort Parzelle 18","")</f>
        <v>PPSK: Passwort Parzelle 18</v>
      </c>
      <c r="K228" s="17" t="str">
        <f aca="false">IF(AND(Eingabe!$F$10&gt;0,Eingabe!$E$10&gt;=18),"1. Gerät: 10."&amp;Eingabe!$D$10&amp;".18.10, 2. Gerät: .11","")</f>
        <v>1. Gerät: 10.2.18.10, 2. Gerät: .11</v>
      </c>
    </row>
    <row r="229" customFormat="false" ht="15" hidden="false" customHeight="false" outlineLevel="0" collapsed="false">
      <c r="A229" s="17" t="n">
        <f aca="false">IF(AND(Eingabe!$F$10&gt;0,Eingabe!$E$10&gt;=19),2,"")</f>
        <v>2</v>
      </c>
      <c r="B229" s="17" t="str">
        <f aca="false">IF(AND(Eingabe!$F$10&gt;0,Eingabe!$E$10&gt;=19),Eingabe!$B$10,"")</f>
        <v>Mittelweg</v>
      </c>
      <c r="C229" s="17" t="str">
        <f aca="false">IF(AND(Eingabe!$F$10&gt;0,Eingabe!$E$10&gt;=19),Eingabe!$C$10&amp;"-Paz."&amp;TEXT(19,"000"),"")</f>
        <v>MW-Paz.019</v>
      </c>
      <c r="D229" s="17" t="n">
        <f aca="false">IF(AND(Eingabe!$F$10&gt;0,Eingabe!$E$10&gt;=19),19,"")</f>
        <v>19</v>
      </c>
      <c r="E229" s="17" t="n">
        <f aca="false">IF(AND(Eingabe!$F$10&gt;0,Eingabe!$E$10&gt;=19),IF((Eingabe!$G$10)&lt;=9,1000+(Eingabe!$G$10)*100,3000)+19,"")</f>
        <v>1219</v>
      </c>
      <c r="F229" s="17" t="str">
        <f aca="false">IF(AND(Eingabe!$F$10&gt;0,Eingabe!$E$10&gt;=19),"10."&amp;Eingabe!$D$10&amp;".19.0/24","")</f>
        <v>10.2.19.0/24</v>
      </c>
      <c r="G229" s="17" t="str">
        <f aca="false">IF(AND(Eingabe!$F$10&gt;0,Eingabe!$E$10&gt;=19),"10."&amp;Eingabe!$D$10&amp;".19.1","")</f>
        <v>10.2.19.1</v>
      </c>
      <c r="H229" s="17" t="str">
        <f aca="false">IF(AND(Eingabe!$F$10&gt;0,Eingabe!$E$10&gt;=19),"10."&amp;Eingabe!$D$10&amp;".19.10 – 10."&amp;Eingabe!$D$10&amp;".19.250","")</f>
        <v>10.2.19.10 – 10.2.19.250</v>
      </c>
      <c r="I229" s="17" t="str">
        <f aca="false">IF(AND(Eingabe!$F$10&gt;0,Eingabe!$E$10&gt;=19),Eingabe!$B$6&amp;"-"&amp;Eingabe!$C$10&amp;"-Pächter","")</f>
        <v>SparteNet.de-MW-Pächter</v>
      </c>
      <c r="J229" s="17" t="str">
        <f aca="false">IF(AND(Eingabe!$F$10&gt;0,Eingabe!$E$10&gt;=19),"PPSK: Passwort Parzelle 19","")</f>
        <v>PPSK: Passwort Parzelle 19</v>
      </c>
      <c r="K229" s="17" t="str">
        <f aca="false">IF(AND(Eingabe!$F$10&gt;0,Eingabe!$E$10&gt;=19),"1. Gerät: 10."&amp;Eingabe!$D$10&amp;".19.10, 2. Gerät: .11","")</f>
        <v>1. Gerät: 10.2.19.10, 2. Gerät: .11</v>
      </c>
    </row>
    <row r="230" customFormat="false" ht="15" hidden="false" customHeight="false" outlineLevel="0" collapsed="false">
      <c r="A230" s="17" t="n">
        <f aca="false">IF(AND(Eingabe!$F$10&gt;0,Eingabe!$E$10&gt;=20),2,"")</f>
        <v>2</v>
      </c>
      <c r="B230" s="17" t="str">
        <f aca="false">IF(AND(Eingabe!$F$10&gt;0,Eingabe!$E$10&gt;=20),Eingabe!$B$10,"")</f>
        <v>Mittelweg</v>
      </c>
      <c r="C230" s="17" t="str">
        <f aca="false">IF(AND(Eingabe!$F$10&gt;0,Eingabe!$E$10&gt;=20),Eingabe!$C$10&amp;"-Paz."&amp;TEXT(20,"000"),"")</f>
        <v>MW-Paz.020</v>
      </c>
      <c r="D230" s="17" t="n">
        <f aca="false">IF(AND(Eingabe!$F$10&gt;0,Eingabe!$E$10&gt;=20),20,"")</f>
        <v>20</v>
      </c>
      <c r="E230" s="17" t="n">
        <f aca="false">IF(AND(Eingabe!$F$10&gt;0,Eingabe!$E$10&gt;=20),IF((Eingabe!$G$10)&lt;=9,1000+(Eingabe!$G$10)*100,3000)+20,"")</f>
        <v>1220</v>
      </c>
      <c r="F230" s="17" t="str">
        <f aca="false">IF(AND(Eingabe!$F$10&gt;0,Eingabe!$E$10&gt;=20),"10."&amp;Eingabe!$D$10&amp;".20.0/24","")</f>
        <v>10.2.20.0/24</v>
      </c>
      <c r="G230" s="17" t="str">
        <f aca="false">IF(AND(Eingabe!$F$10&gt;0,Eingabe!$E$10&gt;=20),"10."&amp;Eingabe!$D$10&amp;".20.1","")</f>
        <v>10.2.20.1</v>
      </c>
      <c r="H230" s="17" t="str">
        <f aca="false">IF(AND(Eingabe!$F$10&gt;0,Eingabe!$E$10&gt;=20),"10."&amp;Eingabe!$D$10&amp;".20.10 – 10."&amp;Eingabe!$D$10&amp;".20.250","")</f>
        <v>10.2.20.10 – 10.2.20.250</v>
      </c>
      <c r="I230" s="17" t="str">
        <f aca="false">IF(AND(Eingabe!$F$10&gt;0,Eingabe!$E$10&gt;=20),Eingabe!$B$6&amp;"-"&amp;Eingabe!$C$10&amp;"-Pächter","")</f>
        <v>SparteNet.de-MW-Pächter</v>
      </c>
      <c r="J230" s="17" t="str">
        <f aca="false">IF(AND(Eingabe!$F$10&gt;0,Eingabe!$E$10&gt;=20),"PPSK: Passwort Parzelle 20","")</f>
        <v>PPSK: Passwort Parzelle 20</v>
      </c>
      <c r="K230" s="17" t="str">
        <f aca="false">IF(AND(Eingabe!$F$10&gt;0,Eingabe!$E$10&gt;=20),"1. Gerät: 10."&amp;Eingabe!$D$10&amp;".20.10, 2. Gerät: .11","")</f>
        <v>1. Gerät: 10.2.20.10, 2. Gerät: .11</v>
      </c>
    </row>
    <row r="231" customFormat="false" ht="15" hidden="false" customHeight="false" outlineLevel="0" collapsed="false">
      <c r="A231" s="17" t="n">
        <f aca="false">IF(AND(Eingabe!$F$10&gt;0,Eingabe!$E$10&gt;=21),2,"")</f>
        <v>2</v>
      </c>
      <c r="B231" s="17" t="str">
        <f aca="false">IF(AND(Eingabe!$F$10&gt;0,Eingabe!$E$10&gt;=21),Eingabe!$B$10,"")</f>
        <v>Mittelweg</v>
      </c>
      <c r="C231" s="17" t="str">
        <f aca="false">IF(AND(Eingabe!$F$10&gt;0,Eingabe!$E$10&gt;=21),Eingabe!$C$10&amp;"-Paz."&amp;TEXT(21,"000"),"")</f>
        <v>MW-Paz.021</v>
      </c>
      <c r="D231" s="17" t="n">
        <f aca="false">IF(AND(Eingabe!$F$10&gt;0,Eingabe!$E$10&gt;=21),21,"")</f>
        <v>21</v>
      </c>
      <c r="E231" s="17" t="n">
        <f aca="false">IF(AND(Eingabe!$F$10&gt;0,Eingabe!$E$10&gt;=21),IF((Eingabe!$G$10)&lt;=9,1000+(Eingabe!$G$10)*100,3000)+21,"")</f>
        <v>1221</v>
      </c>
      <c r="F231" s="17" t="str">
        <f aca="false">IF(AND(Eingabe!$F$10&gt;0,Eingabe!$E$10&gt;=21),"10."&amp;Eingabe!$D$10&amp;".21.0/24","")</f>
        <v>10.2.21.0/24</v>
      </c>
      <c r="G231" s="17" t="str">
        <f aca="false">IF(AND(Eingabe!$F$10&gt;0,Eingabe!$E$10&gt;=21),"10."&amp;Eingabe!$D$10&amp;".21.1","")</f>
        <v>10.2.21.1</v>
      </c>
      <c r="H231" s="17" t="str">
        <f aca="false">IF(AND(Eingabe!$F$10&gt;0,Eingabe!$E$10&gt;=21),"10."&amp;Eingabe!$D$10&amp;".21.10 – 10."&amp;Eingabe!$D$10&amp;".21.250","")</f>
        <v>10.2.21.10 – 10.2.21.250</v>
      </c>
      <c r="I231" s="17" t="str">
        <f aca="false">IF(AND(Eingabe!$F$10&gt;0,Eingabe!$E$10&gt;=21),Eingabe!$B$6&amp;"-"&amp;Eingabe!$C$10&amp;"-Pächter","")</f>
        <v>SparteNet.de-MW-Pächter</v>
      </c>
      <c r="J231" s="17" t="str">
        <f aca="false">IF(AND(Eingabe!$F$10&gt;0,Eingabe!$E$10&gt;=21),"PPSK: Passwort Parzelle 21","")</f>
        <v>PPSK: Passwort Parzelle 21</v>
      </c>
      <c r="K231" s="17" t="str">
        <f aca="false">IF(AND(Eingabe!$F$10&gt;0,Eingabe!$E$10&gt;=21),"1. Gerät: 10."&amp;Eingabe!$D$10&amp;".21.10, 2. Gerät: .11","")</f>
        <v>1. Gerät: 10.2.21.10, 2. Gerät: .11</v>
      </c>
    </row>
    <row r="232" customFormat="false" ht="15" hidden="false" customHeight="false" outlineLevel="0" collapsed="false">
      <c r="A232" s="17" t="n">
        <f aca="false">IF(AND(Eingabe!$F$10&gt;0,Eingabe!$E$10&gt;=22),2,"")</f>
        <v>2</v>
      </c>
      <c r="B232" s="17" t="str">
        <f aca="false">IF(AND(Eingabe!$F$10&gt;0,Eingabe!$E$10&gt;=22),Eingabe!$B$10,"")</f>
        <v>Mittelweg</v>
      </c>
      <c r="C232" s="17" t="str">
        <f aca="false">IF(AND(Eingabe!$F$10&gt;0,Eingabe!$E$10&gt;=22),Eingabe!$C$10&amp;"-Paz."&amp;TEXT(22,"000"),"")</f>
        <v>MW-Paz.022</v>
      </c>
      <c r="D232" s="17" t="n">
        <f aca="false">IF(AND(Eingabe!$F$10&gt;0,Eingabe!$E$10&gt;=22),22,"")</f>
        <v>22</v>
      </c>
      <c r="E232" s="17" t="n">
        <f aca="false">IF(AND(Eingabe!$F$10&gt;0,Eingabe!$E$10&gt;=22),IF((Eingabe!$G$10)&lt;=9,1000+(Eingabe!$G$10)*100,3000)+22,"")</f>
        <v>1222</v>
      </c>
      <c r="F232" s="17" t="str">
        <f aca="false">IF(AND(Eingabe!$F$10&gt;0,Eingabe!$E$10&gt;=22),"10."&amp;Eingabe!$D$10&amp;".22.0/24","")</f>
        <v>10.2.22.0/24</v>
      </c>
      <c r="G232" s="17" t="str">
        <f aca="false">IF(AND(Eingabe!$F$10&gt;0,Eingabe!$E$10&gt;=22),"10."&amp;Eingabe!$D$10&amp;".22.1","")</f>
        <v>10.2.22.1</v>
      </c>
      <c r="H232" s="17" t="str">
        <f aca="false">IF(AND(Eingabe!$F$10&gt;0,Eingabe!$E$10&gt;=22),"10."&amp;Eingabe!$D$10&amp;".22.10 – 10."&amp;Eingabe!$D$10&amp;".22.250","")</f>
        <v>10.2.22.10 – 10.2.22.250</v>
      </c>
      <c r="I232" s="17" t="str">
        <f aca="false">IF(AND(Eingabe!$F$10&gt;0,Eingabe!$E$10&gt;=22),Eingabe!$B$6&amp;"-"&amp;Eingabe!$C$10&amp;"-Pächter","")</f>
        <v>SparteNet.de-MW-Pächter</v>
      </c>
      <c r="J232" s="17" t="str">
        <f aca="false">IF(AND(Eingabe!$F$10&gt;0,Eingabe!$E$10&gt;=22),"PPSK: Passwort Parzelle 22","")</f>
        <v>PPSK: Passwort Parzelle 22</v>
      </c>
      <c r="K232" s="17" t="str">
        <f aca="false">IF(AND(Eingabe!$F$10&gt;0,Eingabe!$E$10&gt;=22),"1. Gerät: 10."&amp;Eingabe!$D$10&amp;".22.10, 2. Gerät: .11","")</f>
        <v>1. Gerät: 10.2.22.10, 2. Gerät: .11</v>
      </c>
    </row>
    <row r="233" customFormat="false" ht="15" hidden="false" customHeight="false" outlineLevel="0" collapsed="false">
      <c r="A233" s="17" t="n">
        <f aca="false">IF(AND(Eingabe!$F$10&gt;0,Eingabe!$E$10&gt;=23),2,"")</f>
        <v>2</v>
      </c>
      <c r="B233" s="17" t="str">
        <f aca="false">IF(AND(Eingabe!$F$10&gt;0,Eingabe!$E$10&gt;=23),Eingabe!$B$10,"")</f>
        <v>Mittelweg</v>
      </c>
      <c r="C233" s="17" t="str">
        <f aca="false">IF(AND(Eingabe!$F$10&gt;0,Eingabe!$E$10&gt;=23),Eingabe!$C$10&amp;"-Paz."&amp;TEXT(23,"000"),"")</f>
        <v>MW-Paz.023</v>
      </c>
      <c r="D233" s="17" t="n">
        <f aca="false">IF(AND(Eingabe!$F$10&gt;0,Eingabe!$E$10&gt;=23),23,"")</f>
        <v>23</v>
      </c>
      <c r="E233" s="17" t="n">
        <f aca="false">IF(AND(Eingabe!$F$10&gt;0,Eingabe!$E$10&gt;=23),IF((Eingabe!$G$10)&lt;=9,1000+(Eingabe!$G$10)*100,3000)+23,"")</f>
        <v>1223</v>
      </c>
      <c r="F233" s="17" t="str">
        <f aca="false">IF(AND(Eingabe!$F$10&gt;0,Eingabe!$E$10&gt;=23),"10."&amp;Eingabe!$D$10&amp;".23.0/24","")</f>
        <v>10.2.23.0/24</v>
      </c>
      <c r="G233" s="17" t="str">
        <f aca="false">IF(AND(Eingabe!$F$10&gt;0,Eingabe!$E$10&gt;=23),"10."&amp;Eingabe!$D$10&amp;".23.1","")</f>
        <v>10.2.23.1</v>
      </c>
      <c r="H233" s="17" t="str">
        <f aca="false">IF(AND(Eingabe!$F$10&gt;0,Eingabe!$E$10&gt;=23),"10."&amp;Eingabe!$D$10&amp;".23.10 – 10."&amp;Eingabe!$D$10&amp;".23.250","")</f>
        <v>10.2.23.10 – 10.2.23.250</v>
      </c>
      <c r="I233" s="17" t="str">
        <f aca="false">IF(AND(Eingabe!$F$10&gt;0,Eingabe!$E$10&gt;=23),Eingabe!$B$6&amp;"-"&amp;Eingabe!$C$10&amp;"-Pächter","")</f>
        <v>SparteNet.de-MW-Pächter</v>
      </c>
      <c r="J233" s="17" t="str">
        <f aca="false">IF(AND(Eingabe!$F$10&gt;0,Eingabe!$E$10&gt;=23),"PPSK: Passwort Parzelle 23","")</f>
        <v>PPSK: Passwort Parzelle 23</v>
      </c>
      <c r="K233" s="17" t="str">
        <f aca="false">IF(AND(Eingabe!$F$10&gt;0,Eingabe!$E$10&gt;=23),"1. Gerät: 10."&amp;Eingabe!$D$10&amp;".23.10, 2. Gerät: .11","")</f>
        <v>1. Gerät: 10.2.23.10, 2. Gerät: .11</v>
      </c>
    </row>
    <row r="234" customFormat="false" ht="15" hidden="false" customHeight="false" outlineLevel="0" collapsed="false">
      <c r="A234" s="17" t="n">
        <f aca="false">IF(AND(Eingabe!$F$10&gt;0,Eingabe!$E$10&gt;=24),2,"")</f>
        <v>2</v>
      </c>
      <c r="B234" s="17" t="str">
        <f aca="false">IF(AND(Eingabe!$F$10&gt;0,Eingabe!$E$10&gt;=24),Eingabe!$B$10,"")</f>
        <v>Mittelweg</v>
      </c>
      <c r="C234" s="17" t="str">
        <f aca="false">IF(AND(Eingabe!$F$10&gt;0,Eingabe!$E$10&gt;=24),Eingabe!$C$10&amp;"-Paz."&amp;TEXT(24,"000"),"")</f>
        <v>MW-Paz.024</v>
      </c>
      <c r="D234" s="17" t="n">
        <f aca="false">IF(AND(Eingabe!$F$10&gt;0,Eingabe!$E$10&gt;=24),24,"")</f>
        <v>24</v>
      </c>
      <c r="E234" s="17" t="n">
        <f aca="false">IF(AND(Eingabe!$F$10&gt;0,Eingabe!$E$10&gt;=24),IF((Eingabe!$G$10)&lt;=9,1000+(Eingabe!$G$10)*100,3000)+24,"")</f>
        <v>1224</v>
      </c>
      <c r="F234" s="17" t="str">
        <f aca="false">IF(AND(Eingabe!$F$10&gt;0,Eingabe!$E$10&gt;=24),"10."&amp;Eingabe!$D$10&amp;".24.0/24","")</f>
        <v>10.2.24.0/24</v>
      </c>
      <c r="G234" s="17" t="str">
        <f aca="false">IF(AND(Eingabe!$F$10&gt;0,Eingabe!$E$10&gt;=24),"10."&amp;Eingabe!$D$10&amp;".24.1","")</f>
        <v>10.2.24.1</v>
      </c>
      <c r="H234" s="17" t="str">
        <f aca="false">IF(AND(Eingabe!$F$10&gt;0,Eingabe!$E$10&gt;=24),"10."&amp;Eingabe!$D$10&amp;".24.10 – 10."&amp;Eingabe!$D$10&amp;".24.250","")</f>
        <v>10.2.24.10 – 10.2.24.250</v>
      </c>
      <c r="I234" s="17" t="str">
        <f aca="false">IF(AND(Eingabe!$F$10&gt;0,Eingabe!$E$10&gt;=24),Eingabe!$B$6&amp;"-"&amp;Eingabe!$C$10&amp;"-Pächter","")</f>
        <v>SparteNet.de-MW-Pächter</v>
      </c>
      <c r="J234" s="17" t="str">
        <f aca="false">IF(AND(Eingabe!$F$10&gt;0,Eingabe!$E$10&gt;=24),"PPSK: Passwort Parzelle 24","")</f>
        <v>PPSK: Passwort Parzelle 24</v>
      </c>
      <c r="K234" s="17" t="str">
        <f aca="false">IF(AND(Eingabe!$F$10&gt;0,Eingabe!$E$10&gt;=24),"1. Gerät: 10."&amp;Eingabe!$D$10&amp;".24.10, 2. Gerät: .11","")</f>
        <v>1. Gerät: 10.2.24.10, 2. Gerät: .11</v>
      </c>
    </row>
    <row r="235" customFormat="false" ht="15" hidden="false" customHeight="false" outlineLevel="0" collapsed="false">
      <c r="A235" s="17" t="n">
        <f aca="false">IF(AND(Eingabe!$F$10&gt;0,Eingabe!$E$10&gt;=25),2,"")</f>
        <v>2</v>
      </c>
      <c r="B235" s="17" t="str">
        <f aca="false">IF(AND(Eingabe!$F$10&gt;0,Eingabe!$E$10&gt;=25),Eingabe!$B$10,"")</f>
        <v>Mittelweg</v>
      </c>
      <c r="C235" s="17" t="str">
        <f aca="false">IF(AND(Eingabe!$F$10&gt;0,Eingabe!$E$10&gt;=25),Eingabe!$C$10&amp;"-Paz."&amp;TEXT(25,"000"),"")</f>
        <v>MW-Paz.025</v>
      </c>
      <c r="D235" s="17" t="n">
        <f aca="false">IF(AND(Eingabe!$F$10&gt;0,Eingabe!$E$10&gt;=25),25,"")</f>
        <v>25</v>
      </c>
      <c r="E235" s="17" t="n">
        <f aca="false">IF(AND(Eingabe!$F$10&gt;0,Eingabe!$E$10&gt;=25),IF((Eingabe!$G$10)&lt;=9,1000+(Eingabe!$G$10)*100,3000)+25,"")</f>
        <v>1225</v>
      </c>
      <c r="F235" s="17" t="str">
        <f aca="false">IF(AND(Eingabe!$F$10&gt;0,Eingabe!$E$10&gt;=25),"10."&amp;Eingabe!$D$10&amp;".25.0/24","")</f>
        <v>10.2.25.0/24</v>
      </c>
      <c r="G235" s="17" t="str">
        <f aca="false">IF(AND(Eingabe!$F$10&gt;0,Eingabe!$E$10&gt;=25),"10."&amp;Eingabe!$D$10&amp;".25.1","")</f>
        <v>10.2.25.1</v>
      </c>
      <c r="H235" s="17" t="str">
        <f aca="false">IF(AND(Eingabe!$F$10&gt;0,Eingabe!$E$10&gt;=25),"10."&amp;Eingabe!$D$10&amp;".25.10 – 10."&amp;Eingabe!$D$10&amp;".25.250","")</f>
        <v>10.2.25.10 – 10.2.25.250</v>
      </c>
      <c r="I235" s="17" t="str">
        <f aca="false">IF(AND(Eingabe!$F$10&gt;0,Eingabe!$E$10&gt;=25),Eingabe!$B$6&amp;"-"&amp;Eingabe!$C$10&amp;"-Pächter","")</f>
        <v>SparteNet.de-MW-Pächter</v>
      </c>
      <c r="J235" s="17" t="str">
        <f aca="false">IF(AND(Eingabe!$F$10&gt;0,Eingabe!$E$10&gt;=25),"PPSK: Passwort Parzelle 25","")</f>
        <v>PPSK: Passwort Parzelle 25</v>
      </c>
      <c r="K235" s="17" t="str">
        <f aca="false">IF(AND(Eingabe!$F$10&gt;0,Eingabe!$E$10&gt;=25),"1. Gerät: 10."&amp;Eingabe!$D$10&amp;".25.10, 2. Gerät: .11","")</f>
        <v>1. Gerät: 10.2.25.10, 2. Gerät: .11</v>
      </c>
    </row>
    <row r="236" customFormat="false" ht="15" hidden="false" customHeight="false" outlineLevel="0" collapsed="false">
      <c r="A236" s="17" t="n">
        <f aca="false">IF(AND(Eingabe!$F$10&gt;0,Eingabe!$E$10&gt;=26),2,"")</f>
        <v>2</v>
      </c>
      <c r="B236" s="17" t="str">
        <f aca="false">IF(AND(Eingabe!$F$10&gt;0,Eingabe!$E$10&gt;=26),Eingabe!$B$10,"")</f>
        <v>Mittelweg</v>
      </c>
      <c r="C236" s="17" t="str">
        <f aca="false">IF(AND(Eingabe!$F$10&gt;0,Eingabe!$E$10&gt;=26),Eingabe!$C$10&amp;"-Paz."&amp;TEXT(26,"000"),"")</f>
        <v>MW-Paz.026</v>
      </c>
      <c r="D236" s="17" t="n">
        <f aca="false">IF(AND(Eingabe!$F$10&gt;0,Eingabe!$E$10&gt;=26),26,"")</f>
        <v>26</v>
      </c>
      <c r="E236" s="17" t="n">
        <f aca="false">IF(AND(Eingabe!$F$10&gt;0,Eingabe!$E$10&gt;=26),IF((Eingabe!$G$10)&lt;=9,1000+(Eingabe!$G$10)*100,3000)+26,"")</f>
        <v>1226</v>
      </c>
      <c r="F236" s="17" t="str">
        <f aca="false">IF(AND(Eingabe!$F$10&gt;0,Eingabe!$E$10&gt;=26),"10."&amp;Eingabe!$D$10&amp;".26.0/24","")</f>
        <v>10.2.26.0/24</v>
      </c>
      <c r="G236" s="17" t="str">
        <f aca="false">IF(AND(Eingabe!$F$10&gt;0,Eingabe!$E$10&gt;=26),"10."&amp;Eingabe!$D$10&amp;".26.1","")</f>
        <v>10.2.26.1</v>
      </c>
      <c r="H236" s="17" t="str">
        <f aca="false">IF(AND(Eingabe!$F$10&gt;0,Eingabe!$E$10&gt;=26),"10."&amp;Eingabe!$D$10&amp;".26.10 – 10."&amp;Eingabe!$D$10&amp;".26.250","")</f>
        <v>10.2.26.10 – 10.2.26.250</v>
      </c>
      <c r="I236" s="17" t="str">
        <f aca="false">IF(AND(Eingabe!$F$10&gt;0,Eingabe!$E$10&gt;=26),Eingabe!$B$6&amp;"-"&amp;Eingabe!$C$10&amp;"-Pächter","")</f>
        <v>SparteNet.de-MW-Pächter</v>
      </c>
      <c r="J236" s="17" t="str">
        <f aca="false">IF(AND(Eingabe!$F$10&gt;0,Eingabe!$E$10&gt;=26),"PPSK: Passwort Parzelle 26","")</f>
        <v>PPSK: Passwort Parzelle 26</v>
      </c>
      <c r="K236" s="17" t="str">
        <f aca="false">IF(AND(Eingabe!$F$10&gt;0,Eingabe!$E$10&gt;=26),"1. Gerät: 10."&amp;Eingabe!$D$10&amp;".26.10, 2. Gerät: .11","")</f>
        <v>1. Gerät: 10.2.26.10, 2. Gerät: .11</v>
      </c>
    </row>
    <row r="237" customFormat="false" ht="15" hidden="false" customHeight="false" outlineLevel="0" collapsed="false">
      <c r="A237" s="17" t="n">
        <f aca="false">IF(AND(Eingabe!$F$10&gt;0,Eingabe!$E$10&gt;=27),2,"")</f>
        <v>2</v>
      </c>
      <c r="B237" s="17" t="str">
        <f aca="false">IF(AND(Eingabe!$F$10&gt;0,Eingabe!$E$10&gt;=27),Eingabe!$B$10,"")</f>
        <v>Mittelweg</v>
      </c>
      <c r="C237" s="17" t="str">
        <f aca="false">IF(AND(Eingabe!$F$10&gt;0,Eingabe!$E$10&gt;=27),Eingabe!$C$10&amp;"-Paz."&amp;TEXT(27,"000"),"")</f>
        <v>MW-Paz.027</v>
      </c>
      <c r="D237" s="17" t="n">
        <f aca="false">IF(AND(Eingabe!$F$10&gt;0,Eingabe!$E$10&gt;=27),27,"")</f>
        <v>27</v>
      </c>
      <c r="E237" s="17" t="n">
        <f aca="false">IF(AND(Eingabe!$F$10&gt;0,Eingabe!$E$10&gt;=27),IF((Eingabe!$G$10)&lt;=9,1000+(Eingabe!$G$10)*100,3000)+27,"")</f>
        <v>1227</v>
      </c>
      <c r="F237" s="17" t="str">
        <f aca="false">IF(AND(Eingabe!$F$10&gt;0,Eingabe!$E$10&gt;=27),"10."&amp;Eingabe!$D$10&amp;".27.0/24","")</f>
        <v>10.2.27.0/24</v>
      </c>
      <c r="G237" s="17" t="str">
        <f aca="false">IF(AND(Eingabe!$F$10&gt;0,Eingabe!$E$10&gt;=27),"10."&amp;Eingabe!$D$10&amp;".27.1","")</f>
        <v>10.2.27.1</v>
      </c>
      <c r="H237" s="17" t="str">
        <f aca="false">IF(AND(Eingabe!$F$10&gt;0,Eingabe!$E$10&gt;=27),"10."&amp;Eingabe!$D$10&amp;".27.10 – 10."&amp;Eingabe!$D$10&amp;".27.250","")</f>
        <v>10.2.27.10 – 10.2.27.250</v>
      </c>
      <c r="I237" s="17" t="str">
        <f aca="false">IF(AND(Eingabe!$F$10&gt;0,Eingabe!$E$10&gt;=27),Eingabe!$B$6&amp;"-"&amp;Eingabe!$C$10&amp;"-Pächter","")</f>
        <v>SparteNet.de-MW-Pächter</v>
      </c>
      <c r="J237" s="17" t="str">
        <f aca="false">IF(AND(Eingabe!$F$10&gt;0,Eingabe!$E$10&gt;=27),"PPSK: Passwort Parzelle 27","")</f>
        <v>PPSK: Passwort Parzelle 27</v>
      </c>
      <c r="K237" s="17" t="str">
        <f aca="false">IF(AND(Eingabe!$F$10&gt;0,Eingabe!$E$10&gt;=27),"1. Gerät: 10."&amp;Eingabe!$D$10&amp;".27.10, 2. Gerät: .11","")</f>
        <v>1. Gerät: 10.2.27.10, 2. Gerät: .11</v>
      </c>
    </row>
    <row r="238" customFormat="false" ht="15" hidden="false" customHeight="false" outlineLevel="0" collapsed="false">
      <c r="A238" s="17" t="n">
        <f aca="false">IF(AND(Eingabe!$F$10&gt;0,Eingabe!$E$10&gt;=28),2,"")</f>
        <v>2</v>
      </c>
      <c r="B238" s="17" t="str">
        <f aca="false">IF(AND(Eingabe!$F$10&gt;0,Eingabe!$E$10&gt;=28),Eingabe!$B$10,"")</f>
        <v>Mittelweg</v>
      </c>
      <c r="C238" s="17" t="str">
        <f aca="false">IF(AND(Eingabe!$F$10&gt;0,Eingabe!$E$10&gt;=28),Eingabe!$C$10&amp;"-Paz."&amp;TEXT(28,"000"),"")</f>
        <v>MW-Paz.028</v>
      </c>
      <c r="D238" s="17" t="n">
        <f aca="false">IF(AND(Eingabe!$F$10&gt;0,Eingabe!$E$10&gt;=28),28,"")</f>
        <v>28</v>
      </c>
      <c r="E238" s="17" t="n">
        <f aca="false">IF(AND(Eingabe!$F$10&gt;0,Eingabe!$E$10&gt;=28),IF((Eingabe!$G$10)&lt;=9,1000+(Eingabe!$G$10)*100,3000)+28,"")</f>
        <v>1228</v>
      </c>
      <c r="F238" s="17" t="str">
        <f aca="false">IF(AND(Eingabe!$F$10&gt;0,Eingabe!$E$10&gt;=28),"10."&amp;Eingabe!$D$10&amp;".28.0/24","")</f>
        <v>10.2.28.0/24</v>
      </c>
      <c r="G238" s="17" t="str">
        <f aca="false">IF(AND(Eingabe!$F$10&gt;0,Eingabe!$E$10&gt;=28),"10."&amp;Eingabe!$D$10&amp;".28.1","")</f>
        <v>10.2.28.1</v>
      </c>
      <c r="H238" s="17" t="str">
        <f aca="false">IF(AND(Eingabe!$F$10&gt;0,Eingabe!$E$10&gt;=28),"10."&amp;Eingabe!$D$10&amp;".28.10 – 10."&amp;Eingabe!$D$10&amp;".28.250","")</f>
        <v>10.2.28.10 – 10.2.28.250</v>
      </c>
      <c r="I238" s="17" t="str">
        <f aca="false">IF(AND(Eingabe!$F$10&gt;0,Eingabe!$E$10&gt;=28),Eingabe!$B$6&amp;"-"&amp;Eingabe!$C$10&amp;"-Pächter","")</f>
        <v>SparteNet.de-MW-Pächter</v>
      </c>
      <c r="J238" s="17" t="str">
        <f aca="false">IF(AND(Eingabe!$F$10&gt;0,Eingabe!$E$10&gt;=28),"PPSK: Passwort Parzelle 28","")</f>
        <v>PPSK: Passwort Parzelle 28</v>
      </c>
      <c r="K238" s="17" t="str">
        <f aca="false">IF(AND(Eingabe!$F$10&gt;0,Eingabe!$E$10&gt;=28),"1. Gerät: 10."&amp;Eingabe!$D$10&amp;".28.10, 2. Gerät: .11","")</f>
        <v>1. Gerät: 10.2.28.10, 2. Gerät: .11</v>
      </c>
    </row>
    <row r="239" customFormat="false" ht="15" hidden="false" customHeight="false" outlineLevel="0" collapsed="false">
      <c r="A239" s="17" t="n">
        <f aca="false">IF(AND(Eingabe!$F$10&gt;0,Eingabe!$E$10&gt;=29),2,"")</f>
        <v>2</v>
      </c>
      <c r="B239" s="17" t="str">
        <f aca="false">IF(AND(Eingabe!$F$10&gt;0,Eingabe!$E$10&gt;=29),Eingabe!$B$10,"")</f>
        <v>Mittelweg</v>
      </c>
      <c r="C239" s="17" t="str">
        <f aca="false">IF(AND(Eingabe!$F$10&gt;0,Eingabe!$E$10&gt;=29),Eingabe!$C$10&amp;"-Paz."&amp;TEXT(29,"000"),"")</f>
        <v>MW-Paz.029</v>
      </c>
      <c r="D239" s="17" t="n">
        <f aca="false">IF(AND(Eingabe!$F$10&gt;0,Eingabe!$E$10&gt;=29),29,"")</f>
        <v>29</v>
      </c>
      <c r="E239" s="17" t="n">
        <f aca="false">IF(AND(Eingabe!$F$10&gt;0,Eingabe!$E$10&gt;=29),IF((Eingabe!$G$10)&lt;=9,1000+(Eingabe!$G$10)*100,3000)+29,"")</f>
        <v>1229</v>
      </c>
      <c r="F239" s="17" t="str">
        <f aca="false">IF(AND(Eingabe!$F$10&gt;0,Eingabe!$E$10&gt;=29),"10."&amp;Eingabe!$D$10&amp;".29.0/24","")</f>
        <v>10.2.29.0/24</v>
      </c>
      <c r="G239" s="17" t="str">
        <f aca="false">IF(AND(Eingabe!$F$10&gt;0,Eingabe!$E$10&gt;=29),"10."&amp;Eingabe!$D$10&amp;".29.1","")</f>
        <v>10.2.29.1</v>
      </c>
      <c r="H239" s="17" t="str">
        <f aca="false">IF(AND(Eingabe!$F$10&gt;0,Eingabe!$E$10&gt;=29),"10."&amp;Eingabe!$D$10&amp;".29.10 – 10."&amp;Eingabe!$D$10&amp;".29.250","")</f>
        <v>10.2.29.10 – 10.2.29.250</v>
      </c>
      <c r="I239" s="17" t="str">
        <f aca="false">IF(AND(Eingabe!$F$10&gt;0,Eingabe!$E$10&gt;=29),Eingabe!$B$6&amp;"-"&amp;Eingabe!$C$10&amp;"-Pächter","")</f>
        <v>SparteNet.de-MW-Pächter</v>
      </c>
      <c r="J239" s="17" t="str">
        <f aca="false">IF(AND(Eingabe!$F$10&gt;0,Eingabe!$E$10&gt;=29),"PPSK: Passwort Parzelle 29","")</f>
        <v>PPSK: Passwort Parzelle 29</v>
      </c>
      <c r="K239" s="17" t="str">
        <f aca="false">IF(AND(Eingabe!$F$10&gt;0,Eingabe!$E$10&gt;=29),"1. Gerät: 10."&amp;Eingabe!$D$10&amp;".29.10, 2. Gerät: .11","")</f>
        <v>1. Gerät: 10.2.29.10, 2. Gerät: .11</v>
      </c>
    </row>
    <row r="240" customFormat="false" ht="15" hidden="false" customHeight="false" outlineLevel="0" collapsed="false">
      <c r="A240" s="17" t="n">
        <f aca="false">IF(AND(Eingabe!$F$10&gt;0,Eingabe!$E$10&gt;=30),2,"")</f>
        <v>2</v>
      </c>
      <c r="B240" s="17" t="str">
        <f aca="false">IF(AND(Eingabe!$F$10&gt;0,Eingabe!$E$10&gt;=30),Eingabe!$B$10,"")</f>
        <v>Mittelweg</v>
      </c>
      <c r="C240" s="17" t="str">
        <f aca="false">IF(AND(Eingabe!$F$10&gt;0,Eingabe!$E$10&gt;=30),Eingabe!$C$10&amp;"-Paz."&amp;TEXT(30,"000"),"")</f>
        <v>MW-Paz.030</v>
      </c>
      <c r="D240" s="17" t="n">
        <f aca="false">IF(AND(Eingabe!$F$10&gt;0,Eingabe!$E$10&gt;=30),30,"")</f>
        <v>30</v>
      </c>
      <c r="E240" s="17" t="n">
        <f aca="false">IF(AND(Eingabe!$F$10&gt;0,Eingabe!$E$10&gt;=30),IF((Eingabe!$G$10)&lt;=9,1000+(Eingabe!$G$10)*100,3000)+30,"")</f>
        <v>1230</v>
      </c>
      <c r="F240" s="17" t="str">
        <f aca="false">IF(AND(Eingabe!$F$10&gt;0,Eingabe!$E$10&gt;=30),"10."&amp;Eingabe!$D$10&amp;".30.0/24","")</f>
        <v>10.2.30.0/24</v>
      </c>
      <c r="G240" s="17" t="str">
        <f aca="false">IF(AND(Eingabe!$F$10&gt;0,Eingabe!$E$10&gt;=30),"10."&amp;Eingabe!$D$10&amp;".30.1","")</f>
        <v>10.2.30.1</v>
      </c>
      <c r="H240" s="17" t="str">
        <f aca="false">IF(AND(Eingabe!$F$10&gt;0,Eingabe!$E$10&gt;=30),"10."&amp;Eingabe!$D$10&amp;".30.10 – 10."&amp;Eingabe!$D$10&amp;".30.250","")</f>
        <v>10.2.30.10 – 10.2.30.250</v>
      </c>
      <c r="I240" s="17" t="str">
        <f aca="false">IF(AND(Eingabe!$F$10&gt;0,Eingabe!$E$10&gt;=30),Eingabe!$B$6&amp;"-"&amp;Eingabe!$C$10&amp;"-Pächter","")</f>
        <v>SparteNet.de-MW-Pächter</v>
      </c>
      <c r="J240" s="17" t="str">
        <f aca="false">IF(AND(Eingabe!$F$10&gt;0,Eingabe!$E$10&gt;=30),"PPSK: Passwort Parzelle 30","")</f>
        <v>PPSK: Passwort Parzelle 30</v>
      </c>
      <c r="K240" s="17" t="str">
        <f aca="false">IF(AND(Eingabe!$F$10&gt;0,Eingabe!$E$10&gt;=30),"1. Gerät: 10."&amp;Eingabe!$D$10&amp;".30.10, 2. Gerät: .11","")</f>
        <v>1. Gerät: 10.2.30.10, 2. Gerät: .11</v>
      </c>
    </row>
    <row r="241" customFormat="false" ht="15" hidden="false" customHeight="false" outlineLevel="0" collapsed="false">
      <c r="A241" s="17" t="n">
        <f aca="false">IF(AND(Eingabe!$F$10&gt;0,Eingabe!$E$10&gt;=31),2,"")</f>
        <v>2</v>
      </c>
      <c r="B241" s="17" t="str">
        <f aca="false">IF(AND(Eingabe!$F$10&gt;0,Eingabe!$E$10&gt;=31),Eingabe!$B$10,"")</f>
        <v>Mittelweg</v>
      </c>
      <c r="C241" s="17" t="str">
        <f aca="false">IF(AND(Eingabe!$F$10&gt;0,Eingabe!$E$10&gt;=31),Eingabe!$C$10&amp;"-Paz."&amp;TEXT(31,"000"),"")</f>
        <v>MW-Paz.031</v>
      </c>
      <c r="D241" s="17" t="n">
        <f aca="false">IF(AND(Eingabe!$F$10&gt;0,Eingabe!$E$10&gt;=31),31,"")</f>
        <v>31</v>
      </c>
      <c r="E241" s="17" t="n">
        <f aca="false">IF(AND(Eingabe!$F$10&gt;0,Eingabe!$E$10&gt;=31),IF((Eingabe!$G$10)&lt;=9,1000+(Eingabe!$G$10)*100,3000)+31,"")</f>
        <v>1231</v>
      </c>
      <c r="F241" s="17" t="str">
        <f aca="false">IF(AND(Eingabe!$F$10&gt;0,Eingabe!$E$10&gt;=31),"10."&amp;Eingabe!$D$10&amp;".31.0/24","")</f>
        <v>10.2.31.0/24</v>
      </c>
      <c r="G241" s="17" t="str">
        <f aca="false">IF(AND(Eingabe!$F$10&gt;0,Eingabe!$E$10&gt;=31),"10."&amp;Eingabe!$D$10&amp;".31.1","")</f>
        <v>10.2.31.1</v>
      </c>
      <c r="H241" s="17" t="str">
        <f aca="false">IF(AND(Eingabe!$F$10&gt;0,Eingabe!$E$10&gt;=31),"10."&amp;Eingabe!$D$10&amp;".31.10 – 10."&amp;Eingabe!$D$10&amp;".31.250","")</f>
        <v>10.2.31.10 – 10.2.31.250</v>
      </c>
      <c r="I241" s="17" t="str">
        <f aca="false">IF(AND(Eingabe!$F$10&gt;0,Eingabe!$E$10&gt;=31),Eingabe!$B$6&amp;"-"&amp;Eingabe!$C$10&amp;"-Pächter","")</f>
        <v>SparteNet.de-MW-Pächter</v>
      </c>
      <c r="J241" s="17" t="str">
        <f aca="false">IF(AND(Eingabe!$F$10&gt;0,Eingabe!$E$10&gt;=31),"PPSK: Passwort Parzelle 31","")</f>
        <v>PPSK: Passwort Parzelle 31</v>
      </c>
      <c r="K241" s="17" t="str">
        <f aca="false">IF(AND(Eingabe!$F$10&gt;0,Eingabe!$E$10&gt;=31),"1. Gerät: 10."&amp;Eingabe!$D$10&amp;".31.10, 2. Gerät: .11","")</f>
        <v>1. Gerät: 10.2.31.10, 2. Gerät: .11</v>
      </c>
    </row>
    <row r="242" customFormat="false" ht="15" hidden="false" customHeight="false" outlineLevel="0" collapsed="false">
      <c r="A242" s="17" t="n">
        <f aca="false">IF(AND(Eingabe!$F$10&gt;0,Eingabe!$E$10&gt;=32),2,"")</f>
        <v>2</v>
      </c>
      <c r="B242" s="17" t="str">
        <f aca="false">IF(AND(Eingabe!$F$10&gt;0,Eingabe!$E$10&gt;=32),Eingabe!$B$10,"")</f>
        <v>Mittelweg</v>
      </c>
      <c r="C242" s="17" t="str">
        <f aca="false">IF(AND(Eingabe!$F$10&gt;0,Eingabe!$E$10&gt;=32),Eingabe!$C$10&amp;"-Paz."&amp;TEXT(32,"000"),"")</f>
        <v>MW-Paz.032</v>
      </c>
      <c r="D242" s="17" t="n">
        <f aca="false">IF(AND(Eingabe!$F$10&gt;0,Eingabe!$E$10&gt;=32),32,"")</f>
        <v>32</v>
      </c>
      <c r="E242" s="17" t="n">
        <f aca="false">IF(AND(Eingabe!$F$10&gt;0,Eingabe!$E$10&gt;=32),IF((Eingabe!$G$10)&lt;=9,1000+(Eingabe!$G$10)*100,3000)+32,"")</f>
        <v>1232</v>
      </c>
      <c r="F242" s="17" t="str">
        <f aca="false">IF(AND(Eingabe!$F$10&gt;0,Eingabe!$E$10&gt;=32),"10."&amp;Eingabe!$D$10&amp;".32.0/24","")</f>
        <v>10.2.32.0/24</v>
      </c>
      <c r="G242" s="17" t="str">
        <f aca="false">IF(AND(Eingabe!$F$10&gt;0,Eingabe!$E$10&gt;=32),"10."&amp;Eingabe!$D$10&amp;".32.1","")</f>
        <v>10.2.32.1</v>
      </c>
      <c r="H242" s="17" t="str">
        <f aca="false">IF(AND(Eingabe!$F$10&gt;0,Eingabe!$E$10&gt;=32),"10."&amp;Eingabe!$D$10&amp;".32.10 – 10."&amp;Eingabe!$D$10&amp;".32.250","")</f>
        <v>10.2.32.10 – 10.2.32.250</v>
      </c>
      <c r="I242" s="17" t="str">
        <f aca="false">IF(AND(Eingabe!$F$10&gt;0,Eingabe!$E$10&gt;=32),Eingabe!$B$6&amp;"-"&amp;Eingabe!$C$10&amp;"-Pächter","")</f>
        <v>SparteNet.de-MW-Pächter</v>
      </c>
      <c r="J242" s="17" t="str">
        <f aca="false">IF(AND(Eingabe!$F$10&gt;0,Eingabe!$E$10&gt;=32),"PPSK: Passwort Parzelle 32","")</f>
        <v>PPSK: Passwort Parzelle 32</v>
      </c>
      <c r="K242" s="17" t="str">
        <f aca="false">IF(AND(Eingabe!$F$10&gt;0,Eingabe!$E$10&gt;=32),"1. Gerät: 10."&amp;Eingabe!$D$10&amp;".32.10, 2. Gerät: .11","")</f>
        <v>1. Gerät: 10.2.32.10, 2. Gerät: .11</v>
      </c>
    </row>
    <row r="243" customFormat="false" ht="15" hidden="false" customHeight="false" outlineLevel="0" collapsed="false">
      <c r="A243" s="17" t="n">
        <f aca="false">IF(AND(Eingabe!$F$10&gt;0,Eingabe!$E$10&gt;=33),2,"")</f>
        <v>2</v>
      </c>
      <c r="B243" s="17" t="str">
        <f aca="false">IF(AND(Eingabe!$F$10&gt;0,Eingabe!$E$10&gt;=33),Eingabe!$B$10,"")</f>
        <v>Mittelweg</v>
      </c>
      <c r="C243" s="17" t="str">
        <f aca="false">IF(AND(Eingabe!$F$10&gt;0,Eingabe!$E$10&gt;=33),Eingabe!$C$10&amp;"-Paz."&amp;TEXT(33,"000"),"")</f>
        <v>MW-Paz.033</v>
      </c>
      <c r="D243" s="17" t="n">
        <f aca="false">IF(AND(Eingabe!$F$10&gt;0,Eingabe!$E$10&gt;=33),33,"")</f>
        <v>33</v>
      </c>
      <c r="E243" s="17" t="n">
        <f aca="false">IF(AND(Eingabe!$F$10&gt;0,Eingabe!$E$10&gt;=33),IF((Eingabe!$G$10)&lt;=9,1000+(Eingabe!$G$10)*100,3000)+33,"")</f>
        <v>1233</v>
      </c>
      <c r="F243" s="17" t="str">
        <f aca="false">IF(AND(Eingabe!$F$10&gt;0,Eingabe!$E$10&gt;=33),"10."&amp;Eingabe!$D$10&amp;".33.0/24","")</f>
        <v>10.2.33.0/24</v>
      </c>
      <c r="G243" s="17" t="str">
        <f aca="false">IF(AND(Eingabe!$F$10&gt;0,Eingabe!$E$10&gt;=33),"10."&amp;Eingabe!$D$10&amp;".33.1","")</f>
        <v>10.2.33.1</v>
      </c>
      <c r="H243" s="17" t="str">
        <f aca="false">IF(AND(Eingabe!$F$10&gt;0,Eingabe!$E$10&gt;=33),"10."&amp;Eingabe!$D$10&amp;".33.10 – 10."&amp;Eingabe!$D$10&amp;".33.250","")</f>
        <v>10.2.33.10 – 10.2.33.250</v>
      </c>
      <c r="I243" s="17" t="str">
        <f aca="false">IF(AND(Eingabe!$F$10&gt;0,Eingabe!$E$10&gt;=33),Eingabe!$B$6&amp;"-"&amp;Eingabe!$C$10&amp;"-Pächter","")</f>
        <v>SparteNet.de-MW-Pächter</v>
      </c>
      <c r="J243" s="17" t="str">
        <f aca="false">IF(AND(Eingabe!$F$10&gt;0,Eingabe!$E$10&gt;=33),"PPSK: Passwort Parzelle 33","")</f>
        <v>PPSK: Passwort Parzelle 33</v>
      </c>
      <c r="K243" s="17" t="str">
        <f aca="false">IF(AND(Eingabe!$F$10&gt;0,Eingabe!$E$10&gt;=33),"1. Gerät: 10."&amp;Eingabe!$D$10&amp;".33.10, 2. Gerät: .11","")</f>
        <v>1. Gerät: 10.2.33.10, 2. Gerät: .11</v>
      </c>
    </row>
    <row r="244" customFormat="false" ht="15" hidden="false" customHeight="false" outlineLevel="0" collapsed="false">
      <c r="A244" s="17" t="n">
        <f aca="false">IF(AND(Eingabe!$F$10&gt;0,Eingabe!$E$10&gt;=34),2,"")</f>
        <v>2</v>
      </c>
      <c r="B244" s="17" t="str">
        <f aca="false">IF(AND(Eingabe!$F$10&gt;0,Eingabe!$E$10&gt;=34),Eingabe!$B$10,"")</f>
        <v>Mittelweg</v>
      </c>
      <c r="C244" s="17" t="str">
        <f aca="false">IF(AND(Eingabe!$F$10&gt;0,Eingabe!$E$10&gt;=34),Eingabe!$C$10&amp;"-Paz."&amp;TEXT(34,"000"),"")</f>
        <v>MW-Paz.034</v>
      </c>
      <c r="D244" s="17" t="n">
        <f aca="false">IF(AND(Eingabe!$F$10&gt;0,Eingabe!$E$10&gt;=34),34,"")</f>
        <v>34</v>
      </c>
      <c r="E244" s="17" t="n">
        <f aca="false">IF(AND(Eingabe!$F$10&gt;0,Eingabe!$E$10&gt;=34),IF((Eingabe!$G$10)&lt;=9,1000+(Eingabe!$G$10)*100,3000)+34,"")</f>
        <v>1234</v>
      </c>
      <c r="F244" s="17" t="str">
        <f aca="false">IF(AND(Eingabe!$F$10&gt;0,Eingabe!$E$10&gt;=34),"10."&amp;Eingabe!$D$10&amp;".34.0/24","")</f>
        <v>10.2.34.0/24</v>
      </c>
      <c r="G244" s="17" t="str">
        <f aca="false">IF(AND(Eingabe!$F$10&gt;0,Eingabe!$E$10&gt;=34),"10."&amp;Eingabe!$D$10&amp;".34.1","")</f>
        <v>10.2.34.1</v>
      </c>
      <c r="H244" s="17" t="str">
        <f aca="false">IF(AND(Eingabe!$F$10&gt;0,Eingabe!$E$10&gt;=34),"10."&amp;Eingabe!$D$10&amp;".34.10 – 10."&amp;Eingabe!$D$10&amp;".34.250","")</f>
        <v>10.2.34.10 – 10.2.34.250</v>
      </c>
      <c r="I244" s="17" t="str">
        <f aca="false">IF(AND(Eingabe!$F$10&gt;0,Eingabe!$E$10&gt;=34),Eingabe!$B$6&amp;"-"&amp;Eingabe!$C$10&amp;"-Pächter","")</f>
        <v>SparteNet.de-MW-Pächter</v>
      </c>
      <c r="J244" s="17" t="str">
        <f aca="false">IF(AND(Eingabe!$F$10&gt;0,Eingabe!$E$10&gt;=34),"PPSK: Passwort Parzelle 34","")</f>
        <v>PPSK: Passwort Parzelle 34</v>
      </c>
      <c r="K244" s="17" t="str">
        <f aca="false">IF(AND(Eingabe!$F$10&gt;0,Eingabe!$E$10&gt;=34),"1. Gerät: 10."&amp;Eingabe!$D$10&amp;".34.10, 2. Gerät: .11","")</f>
        <v>1. Gerät: 10.2.34.10, 2. Gerät: .11</v>
      </c>
    </row>
    <row r="245" customFormat="false" ht="15" hidden="false" customHeight="false" outlineLevel="0" collapsed="false">
      <c r="A245" s="17" t="n">
        <f aca="false">IF(AND(Eingabe!$F$10&gt;0,Eingabe!$E$10&gt;=35),2,"")</f>
        <v>2</v>
      </c>
      <c r="B245" s="17" t="str">
        <f aca="false">IF(AND(Eingabe!$F$10&gt;0,Eingabe!$E$10&gt;=35),Eingabe!$B$10,"")</f>
        <v>Mittelweg</v>
      </c>
      <c r="C245" s="17" t="str">
        <f aca="false">IF(AND(Eingabe!$F$10&gt;0,Eingabe!$E$10&gt;=35),Eingabe!$C$10&amp;"-Paz."&amp;TEXT(35,"000"),"")</f>
        <v>MW-Paz.035</v>
      </c>
      <c r="D245" s="17" t="n">
        <f aca="false">IF(AND(Eingabe!$F$10&gt;0,Eingabe!$E$10&gt;=35),35,"")</f>
        <v>35</v>
      </c>
      <c r="E245" s="17" t="n">
        <f aca="false">IF(AND(Eingabe!$F$10&gt;0,Eingabe!$E$10&gt;=35),IF((Eingabe!$G$10)&lt;=9,1000+(Eingabe!$G$10)*100,3000)+35,"")</f>
        <v>1235</v>
      </c>
      <c r="F245" s="17" t="str">
        <f aca="false">IF(AND(Eingabe!$F$10&gt;0,Eingabe!$E$10&gt;=35),"10."&amp;Eingabe!$D$10&amp;".35.0/24","")</f>
        <v>10.2.35.0/24</v>
      </c>
      <c r="G245" s="17" t="str">
        <f aca="false">IF(AND(Eingabe!$F$10&gt;0,Eingabe!$E$10&gt;=35),"10."&amp;Eingabe!$D$10&amp;".35.1","")</f>
        <v>10.2.35.1</v>
      </c>
      <c r="H245" s="17" t="str">
        <f aca="false">IF(AND(Eingabe!$F$10&gt;0,Eingabe!$E$10&gt;=35),"10."&amp;Eingabe!$D$10&amp;".35.10 – 10."&amp;Eingabe!$D$10&amp;".35.250","")</f>
        <v>10.2.35.10 – 10.2.35.250</v>
      </c>
      <c r="I245" s="17" t="str">
        <f aca="false">IF(AND(Eingabe!$F$10&gt;0,Eingabe!$E$10&gt;=35),Eingabe!$B$6&amp;"-"&amp;Eingabe!$C$10&amp;"-Pächter","")</f>
        <v>SparteNet.de-MW-Pächter</v>
      </c>
      <c r="J245" s="17" t="str">
        <f aca="false">IF(AND(Eingabe!$F$10&gt;0,Eingabe!$E$10&gt;=35),"PPSK: Passwort Parzelle 35","")</f>
        <v>PPSK: Passwort Parzelle 35</v>
      </c>
      <c r="K245" s="17" t="str">
        <f aca="false">IF(AND(Eingabe!$F$10&gt;0,Eingabe!$E$10&gt;=35),"1. Gerät: 10."&amp;Eingabe!$D$10&amp;".35.10, 2. Gerät: .11","")</f>
        <v>1. Gerät: 10.2.35.10, 2. Gerät: .11</v>
      </c>
    </row>
    <row r="246" customFormat="false" ht="15" hidden="false" customHeight="false" outlineLevel="0" collapsed="false">
      <c r="A246" s="17" t="n">
        <f aca="false">IF(AND(Eingabe!$F$10&gt;0,Eingabe!$E$10&gt;=36),2,"")</f>
        <v>2</v>
      </c>
      <c r="B246" s="17" t="str">
        <f aca="false">IF(AND(Eingabe!$F$10&gt;0,Eingabe!$E$10&gt;=36),Eingabe!$B$10,"")</f>
        <v>Mittelweg</v>
      </c>
      <c r="C246" s="17" t="str">
        <f aca="false">IF(AND(Eingabe!$F$10&gt;0,Eingabe!$E$10&gt;=36),Eingabe!$C$10&amp;"-Paz."&amp;TEXT(36,"000"),"")</f>
        <v>MW-Paz.036</v>
      </c>
      <c r="D246" s="17" t="n">
        <f aca="false">IF(AND(Eingabe!$F$10&gt;0,Eingabe!$E$10&gt;=36),36,"")</f>
        <v>36</v>
      </c>
      <c r="E246" s="17" t="n">
        <f aca="false">IF(AND(Eingabe!$F$10&gt;0,Eingabe!$E$10&gt;=36),IF((Eingabe!$G$10)&lt;=9,1000+(Eingabe!$G$10)*100,3000)+36,"")</f>
        <v>1236</v>
      </c>
      <c r="F246" s="17" t="str">
        <f aca="false">IF(AND(Eingabe!$F$10&gt;0,Eingabe!$E$10&gt;=36),"10."&amp;Eingabe!$D$10&amp;".36.0/24","")</f>
        <v>10.2.36.0/24</v>
      </c>
      <c r="G246" s="17" t="str">
        <f aca="false">IF(AND(Eingabe!$F$10&gt;0,Eingabe!$E$10&gt;=36),"10."&amp;Eingabe!$D$10&amp;".36.1","")</f>
        <v>10.2.36.1</v>
      </c>
      <c r="H246" s="17" t="str">
        <f aca="false">IF(AND(Eingabe!$F$10&gt;0,Eingabe!$E$10&gt;=36),"10."&amp;Eingabe!$D$10&amp;".36.10 – 10."&amp;Eingabe!$D$10&amp;".36.250","")</f>
        <v>10.2.36.10 – 10.2.36.250</v>
      </c>
      <c r="I246" s="17" t="str">
        <f aca="false">IF(AND(Eingabe!$F$10&gt;0,Eingabe!$E$10&gt;=36),Eingabe!$B$6&amp;"-"&amp;Eingabe!$C$10&amp;"-Pächter","")</f>
        <v>SparteNet.de-MW-Pächter</v>
      </c>
      <c r="J246" s="17" t="str">
        <f aca="false">IF(AND(Eingabe!$F$10&gt;0,Eingabe!$E$10&gt;=36),"PPSK: Passwort Parzelle 36","")</f>
        <v>PPSK: Passwort Parzelle 36</v>
      </c>
      <c r="K246" s="17" t="str">
        <f aca="false">IF(AND(Eingabe!$F$10&gt;0,Eingabe!$E$10&gt;=36),"1. Gerät: 10."&amp;Eingabe!$D$10&amp;".36.10, 2. Gerät: .11","")</f>
        <v>1. Gerät: 10.2.36.10, 2. Gerät: .11</v>
      </c>
    </row>
    <row r="247" customFormat="false" ht="15" hidden="false" customHeight="false" outlineLevel="0" collapsed="false">
      <c r="A247" s="17" t="n">
        <f aca="false">IF(AND(Eingabe!$F$10&gt;0,Eingabe!$E$10&gt;=37),2,"")</f>
        <v>2</v>
      </c>
      <c r="B247" s="17" t="str">
        <f aca="false">IF(AND(Eingabe!$F$10&gt;0,Eingabe!$E$10&gt;=37),Eingabe!$B$10,"")</f>
        <v>Mittelweg</v>
      </c>
      <c r="C247" s="17" t="str">
        <f aca="false">IF(AND(Eingabe!$F$10&gt;0,Eingabe!$E$10&gt;=37),Eingabe!$C$10&amp;"-Paz."&amp;TEXT(37,"000"),"")</f>
        <v>MW-Paz.037</v>
      </c>
      <c r="D247" s="17" t="n">
        <f aca="false">IF(AND(Eingabe!$F$10&gt;0,Eingabe!$E$10&gt;=37),37,"")</f>
        <v>37</v>
      </c>
      <c r="E247" s="17" t="n">
        <f aca="false">IF(AND(Eingabe!$F$10&gt;0,Eingabe!$E$10&gt;=37),IF((Eingabe!$G$10)&lt;=9,1000+(Eingabe!$G$10)*100,3000)+37,"")</f>
        <v>1237</v>
      </c>
      <c r="F247" s="17" t="str">
        <f aca="false">IF(AND(Eingabe!$F$10&gt;0,Eingabe!$E$10&gt;=37),"10."&amp;Eingabe!$D$10&amp;".37.0/24","")</f>
        <v>10.2.37.0/24</v>
      </c>
      <c r="G247" s="17" t="str">
        <f aca="false">IF(AND(Eingabe!$F$10&gt;0,Eingabe!$E$10&gt;=37),"10."&amp;Eingabe!$D$10&amp;".37.1","")</f>
        <v>10.2.37.1</v>
      </c>
      <c r="H247" s="17" t="str">
        <f aca="false">IF(AND(Eingabe!$F$10&gt;0,Eingabe!$E$10&gt;=37),"10."&amp;Eingabe!$D$10&amp;".37.10 – 10."&amp;Eingabe!$D$10&amp;".37.250","")</f>
        <v>10.2.37.10 – 10.2.37.250</v>
      </c>
      <c r="I247" s="17" t="str">
        <f aca="false">IF(AND(Eingabe!$F$10&gt;0,Eingabe!$E$10&gt;=37),Eingabe!$B$6&amp;"-"&amp;Eingabe!$C$10&amp;"-Pächter","")</f>
        <v>SparteNet.de-MW-Pächter</v>
      </c>
      <c r="J247" s="17" t="str">
        <f aca="false">IF(AND(Eingabe!$F$10&gt;0,Eingabe!$E$10&gt;=37),"PPSK: Passwort Parzelle 37","")</f>
        <v>PPSK: Passwort Parzelle 37</v>
      </c>
      <c r="K247" s="17" t="str">
        <f aca="false">IF(AND(Eingabe!$F$10&gt;0,Eingabe!$E$10&gt;=37),"1. Gerät: 10."&amp;Eingabe!$D$10&amp;".37.10, 2. Gerät: .11","")</f>
        <v>1. Gerät: 10.2.37.10, 2. Gerät: .11</v>
      </c>
    </row>
    <row r="248" customFormat="false" ht="15" hidden="false" customHeight="false" outlineLevel="0" collapsed="false">
      <c r="A248" s="17" t="n">
        <f aca="false">IF(AND(Eingabe!$F$10&gt;0,Eingabe!$E$10&gt;=38),2,"")</f>
        <v>2</v>
      </c>
      <c r="B248" s="17" t="str">
        <f aca="false">IF(AND(Eingabe!$F$10&gt;0,Eingabe!$E$10&gt;=38),Eingabe!$B$10,"")</f>
        <v>Mittelweg</v>
      </c>
      <c r="C248" s="17" t="str">
        <f aca="false">IF(AND(Eingabe!$F$10&gt;0,Eingabe!$E$10&gt;=38),Eingabe!$C$10&amp;"-Paz."&amp;TEXT(38,"000"),"")</f>
        <v>MW-Paz.038</v>
      </c>
      <c r="D248" s="17" t="n">
        <f aca="false">IF(AND(Eingabe!$F$10&gt;0,Eingabe!$E$10&gt;=38),38,"")</f>
        <v>38</v>
      </c>
      <c r="E248" s="17" t="n">
        <f aca="false">IF(AND(Eingabe!$F$10&gt;0,Eingabe!$E$10&gt;=38),IF((Eingabe!$G$10)&lt;=9,1000+(Eingabe!$G$10)*100,3000)+38,"")</f>
        <v>1238</v>
      </c>
      <c r="F248" s="17" t="str">
        <f aca="false">IF(AND(Eingabe!$F$10&gt;0,Eingabe!$E$10&gt;=38),"10."&amp;Eingabe!$D$10&amp;".38.0/24","")</f>
        <v>10.2.38.0/24</v>
      </c>
      <c r="G248" s="17" t="str">
        <f aca="false">IF(AND(Eingabe!$F$10&gt;0,Eingabe!$E$10&gt;=38),"10."&amp;Eingabe!$D$10&amp;".38.1","")</f>
        <v>10.2.38.1</v>
      </c>
      <c r="H248" s="17" t="str">
        <f aca="false">IF(AND(Eingabe!$F$10&gt;0,Eingabe!$E$10&gt;=38),"10."&amp;Eingabe!$D$10&amp;".38.10 – 10."&amp;Eingabe!$D$10&amp;".38.250","")</f>
        <v>10.2.38.10 – 10.2.38.250</v>
      </c>
      <c r="I248" s="17" t="str">
        <f aca="false">IF(AND(Eingabe!$F$10&gt;0,Eingabe!$E$10&gt;=38),Eingabe!$B$6&amp;"-"&amp;Eingabe!$C$10&amp;"-Pächter","")</f>
        <v>SparteNet.de-MW-Pächter</v>
      </c>
      <c r="J248" s="17" t="str">
        <f aca="false">IF(AND(Eingabe!$F$10&gt;0,Eingabe!$E$10&gt;=38),"PPSK: Passwort Parzelle 38","")</f>
        <v>PPSK: Passwort Parzelle 38</v>
      </c>
      <c r="K248" s="17" t="str">
        <f aca="false">IF(AND(Eingabe!$F$10&gt;0,Eingabe!$E$10&gt;=38),"1. Gerät: 10."&amp;Eingabe!$D$10&amp;".38.10, 2. Gerät: .11","")</f>
        <v>1. Gerät: 10.2.38.10, 2. Gerät: .11</v>
      </c>
    </row>
    <row r="249" customFormat="false" ht="15" hidden="false" customHeight="false" outlineLevel="0" collapsed="false">
      <c r="A249" s="17" t="n">
        <f aca="false">IF(AND(Eingabe!$F$10&gt;0,Eingabe!$E$10&gt;=39),2,"")</f>
        <v>2</v>
      </c>
      <c r="B249" s="17" t="str">
        <f aca="false">IF(AND(Eingabe!$F$10&gt;0,Eingabe!$E$10&gt;=39),Eingabe!$B$10,"")</f>
        <v>Mittelweg</v>
      </c>
      <c r="C249" s="17" t="str">
        <f aca="false">IF(AND(Eingabe!$F$10&gt;0,Eingabe!$E$10&gt;=39),Eingabe!$C$10&amp;"-Paz."&amp;TEXT(39,"000"),"")</f>
        <v>MW-Paz.039</v>
      </c>
      <c r="D249" s="17" t="n">
        <f aca="false">IF(AND(Eingabe!$F$10&gt;0,Eingabe!$E$10&gt;=39),39,"")</f>
        <v>39</v>
      </c>
      <c r="E249" s="17" t="n">
        <f aca="false">IF(AND(Eingabe!$F$10&gt;0,Eingabe!$E$10&gt;=39),IF((Eingabe!$G$10)&lt;=9,1000+(Eingabe!$G$10)*100,3000)+39,"")</f>
        <v>1239</v>
      </c>
      <c r="F249" s="17" t="str">
        <f aca="false">IF(AND(Eingabe!$F$10&gt;0,Eingabe!$E$10&gt;=39),"10."&amp;Eingabe!$D$10&amp;".39.0/24","")</f>
        <v>10.2.39.0/24</v>
      </c>
      <c r="G249" s="17" t="str">
        <f aca="false">IF(AND(Eingabe!$F$10&gt;0,Eingabe!$E$10&gt;=39),"10."&amp;Eingabe!$D$10&amp;".39.1","")</f>
        <v>10.2.39.1</v>
      </c>
      <c r="H249" s="17" t="str">
        <f aca="false">IF(AND(Eingabe!$F$10&gt;0,Eingabe!$E$10&gt;=39),"10."&amp;Eingabe!$D$10&amp;".39.10 – 10."&amp;Eingabe!$D$10&amp;".39.250","")</f>
        <v>10.2.39.10 – 10.2.39.250</v>
      </c>
      <c r="I249" s="17" t="str">
        <f aca="false">IF(AND(Eingabe!$F$10&gt;0,Eingabe!$E$10&gt;=39),Eingabe!$B$6&amp;"-"&amp;Eingabe!$C$10&amp;"-Pächter","")</f>
        <v>SparteNet.de-MW-Pächter</v>
      </c>
      <c r="J249" s="17" t="str">
        <f aca="false">IF(AND(Eingabe!$F$10&gt;0,Eingabe!$E$10&gt;=39),"PPSK: Passwort Parzelle 39","")</f>
        <v>PPSK: Passwort Parzelle 39</v>
      </c>
      <c r="K249" s="17" t="str">
        <f aca="false">IF(AND(Eingabe!$F$10&gt;0,Eingabe!$E$10&gt;=39),"1. Gerät: 10."&amp;Eingabe!$D$10&amp;".39.10, 2. Gerät: .11","")</f>
        <v>1. Gerät: 10.2.39.10, 2. Gerät: .11</v>
      </c>
    </row>
    <row r="250" customFormat="false" ht="15" hidden="false" customHeight="false" outlineLevel="0" collapsed="false">
      <c r="A250" s="17" t="n">
        <f aca="false">IF(AND(Eingabe!$F$10&gt;0,Eingabe!$E$10&gt;=40),2,"")</f>
        <v>2</v>
      </c>
      <c r="B250" s="17" t="str">
        <f aca="false">IF(AND(Eingabe!$F$10&gt;0,Eingabe!$E$10&gt;=40),Eingabe!$B$10,"")</f>
        <v>Mittelweg</v>
      </c>
      <c r="C250" s="17" t="str">
        <f aca="false">IF(AND(Eingabe!$F$10&gt;0,Eingabe!$E$10&gt;=40),Eingabe!$C$10&amp;"-Paz."&amp;TEXT(40,"000"),"")</f>
        <v>MW-Paz.040</v>
      </c>
      <c r="D250" s="17" t="n">
        <f aca="false">IF(AND(Eingabe!$F$10&gt;0,Eingabe!$E$10&gt;=40),40,"")</f>
        <v>40</v>
      </c>
      <c r="E250" s="17" t="n">
        <f aca="false">IF(AND(Eingabe!$F$10&gt;0,Eingabe!$E$10&gt;=40),IF((Eingabe!$G$10)&lt;=9,1000+(Eingabe!$G$10)*100,3000)+40,"")</f>
        <v>1240</v>
      </c>
      <c r="F250" s="17" t="str">
        <f aca="false">IF(AND(Eingabe!$F$10&gt;0,Eingabe!$E$10&gt;=40),"10."&amp;Eingabe!$D$10&amp;".40.0/24","")</f>
        <v>10.2.40.0/24</v>
      </c>
      <c r="G250" s="17" t="str">
        <f aca="false">IF(AND(Eingabe!$F$10&gt;0,Eingabe!$E$10&gt;=40),"10."&amp;Eingabe!$D$10&amp;".40.1","")</f>
        <v>10.2.40.1</v>
      </c>
      <c r="H250" s="17" t="str">
        <f aca="false">IF(AND(Eingabe!$F$10&gt;0,Eingabe!$E$10&gt;=40),"10."&amp;Eingabe!$D$10&amp;".40.10 – 10."&amp;Eingabe!$D$10&amp;".40.250","")</f>
        <v>10.2.40.10 – 10.2.40.250</v>
      </c>
      <c r="I250" s="17" t="str">
        <f aca="false">IF(AND(Eingabe!$F$10&gt;0,Eingabe!$E$10&gt;=40),Eingabe!$B$6&amp;"-"&amp;Eingabe!$C$10&amp;"-Pächter","")</f>
        <v>SparteNet.de-MW-Pächter</v>
      </c>
      <c r="J250" s="17" t="str">
        <f aca="false">IF(AND(Eingabe!$F$10&gt;0,Eingabe!$E$10&gt;=40),"PPSK: Passwort Parzelle 40","")</f>
        <v>PPSK: Passwort Parzelle 40</v>
      </c>
      <c r="K250" s="17" t="str">
        <f aca="false">IF(AND(Eingabe!$F$10&gt;0,Eingabe!$E$10&gt;=40),"1. Gerät: 10."&amp;Eingabe!$D$10&amp;".40.10, 2. Gerät: .11","")</f>
        <v>1. Gerät: 10.2.40.10, 2. Gerät: .11</v>
      </c>
    </row>
    <row r="251" customFormat="false" ht="15" hidden="false" customHeight="false" outlineLevel="0" collapsed="false">
      <c r="A251" s="17" t="n">
        <f aca="false">IF(AND(Eingabe!$F$10&gt;0,Eingabe!$E$10&gt;=41),2,"")</f>
        <v>2</v>
      </c>
      <c r="B251" s="17" t="str">
        <f aca="false">IF(AND(Eingabe!$F$10&gt;0,Eingabe!$E$10&gt;=41),Eingabe!$B$10,"")</f>
        <v>Mittelweg</v>
      </c>
      <c r="C251" s="17" t="str">
        <f aca="false">IF(AND(Eingabe!$F$10&gt;0,Eingabe!$E$10&gt;=41),Eingabe!$C$10&amp;"-Paz."&amp;TEXT(41,"000"),"")</f>
        <v>MW-Paz.041</v>
      </c>
      <c r="D251" s="17" t="n">
        <f aca="false">IF(AND(Eingabe!$F$10&gt;0,Eingabe!$E$10&gt;=41),41,"")</f>
        <v>41</v>
      </c>
      <c r="E251" s="17" t="n">
        <f aca="false">IF(AND(Eingabe!$F$10&gt;0,Eingabe!$E$10&gt;=41),IF((Eingabe!$G$10)&lt;=9,1000+(Eingabe!$G$10)*100,3000)+41,"")</f>
        <v>1241</v>
      </c>
      <c r="F251" s="17" t="str">
        <f aca="false">IF(AND(Eingabe!$F$10&gt;0,Eingabe!$E$10&gt;=41),"10."&amp;Eingabe!$D$10&amp;".41.0/24","")</f>
        <v>10.2.41.0/24</v>
      </c>
      <c r="G251" s="17" t="str">
        <f aca="false">IF(AND(Eingabe!$F$10&gt;0,Eingabe!$E$10&gt;=41),"10."&amp;Eingabe!$D$10&amp;".41.1","")</f>
        <v>10.2.41.1</v>
      </c>
      <c r="H251" s="17" t="str">
        <f aca="false">IF(AND(Eingabe!$F$10&gt;0,Eingabe!$E$10&gt;=41),"10."&amp;Eingabe!$D$10&amp;".41.10 – 10."&amp;Eingabe!$D$10&amp;".41.250","")</f>
        <v>10.2.41.10 – 10.2.41.250</v>
      </c>
      <c r="I251" s="17" t="str">
        <f aca="false">IF(AND(Eingabe!$F$10&gt;0,Eingabe!$E$10&gt;=41),Eingabe!$B$6&amp;"-"&amp;Eingabe!$C$10&amp;"-Pächter","")</f>
        <v>SparteNet.de-MW-Pächter</v>
      </c>
      <c r="J251" s="17" t="str">
        <f aca="false">IF(AND(Eingabe!$F$10&gt;0,Eingabe!$E$10&gt;=41),"PPSK: Passwort Parzelle 41","")</f>
        <v>PPSK: Passwort Parzelle 41</v>
      </c>
      <c r="K251" s="17" t="str">
        <f aca="false">IF(AND(Eingabe!$F$10&gt;0,Eingabe!$E$10&gt;=41),"1. Gerät: 10."&amp;Eingabe!$D$10&amp;".41.10, 2. Gerät: .11","")</f>
        <v>1. Gerät: 10.2.41.10, 2. Gerät: .11</v>
      </c>
    </row>
    <row r="252" customFormat="false" ht="15" hidden="false" customHeight="false" outlineLevel="0" collapsed="false">
      <c r="A252" s="17" t="n">
        <f aca="false">IF(AND(Eingabe!$F$10&gt;0,Eingabe!$E$10&gt;=42),2,"")</f>
        <v>2</v>
      </c>
      <c r="B252" s="17" t="str">
        <f aca="false">IF(AND(Eingabe!$F$10&gt;0,Eingabe!$E$10&gt;=42),Eingabe!$B$10,"")</f>
        <v>Mittelweg</v>
      </c>
      <c r="C252" s="17" t="str">
        <f aca="false">IF(AND(Eingabe!$F$10&gt;0,Eingabe!$E$10&gt;=42),Eingabe!$C$10&amp;"-Paz."&amp;TEXT(42,"000"),"")</f>
        <v>MW-Paz.042</v>
      </c>
      <c r="D252" s="17" t="n">
        <f aca="false">IF(AND(Eingabe!$F$10&gt;0,Eingabe!$E$10&gt;=42),42,"")</f>
        <v>42</v>
      </c>
      <c r="E252" s="17" t="n">
        <f aca="false">IF(AND(Eingabe!$F$10&gt;0,Eingabe!$E$10&gt;=42),IF((Eingabe!$G$10)&lt;=9,1000+(Eingabe!$G$10)*100,3000)+42,"")</f>
        <v>1242</v>
      </c>
      <c r="F252" s="17" t="str">
        <f aca="false">IF(AND(Eingabe!$F$10&gt;0,Eingabe!$E$10&gt;=42),"10."&amp;Eingabe!$D$10&amp;".42.0/24","")</f>
        <v>10.2.42.0/24</v>
      </c>
      <c r="G252" s="17" t="str">
        <f aca="false">IF(AND(Eingabe!$F$10&gt;0,Eingabe!$E$10&gt;=42),"10."&amp;Eingabe!$D$10&amp;".42.1","")</f>
        <v>10.2.42.1</v>
      </c>
      <c r="H252" s="17" t="str">
        <f aca="false">IF(AND(Eingabe!$F$10&gt;0,Eingabe!$E$10&gt;=42),"10."&amp;Eingabe!$D$10&amp;".42.10 – 10."&amp;Eingabe!$D$10&amp;".42.250","")</f>
        <v>10.2.42.10 – 10.2.42.250</v>
      </c>
      <c r="I252" s="17" t="str">
        <f aca="false">IF(AND(Eingabe!$F$10&gt;0,Eingabe!$E$10&gt;=42),Eingabe!$B$6&amp;"-"&amp;Eingabe!$C$10&amp;"-Pächter","")</f>
        <v>SparteNet.de-MW-Pächter</v>
      </c>
      <c r="J252" s="17" t="str">
        <f aca="false">IF(AND(Eingabe!$F$10&gt;0,Eingabe!$E$10&gt;=42),"PPSK: Passwort Parzelle 42","")</f>
        <v>PPSK: Passwort Parzelle 42</v>
      </c>
      <c r="K252" s="17" t="str">
        <f aca="false">IF(AND(Eingabe!$F$10&gt;0,Eingabe!$E$10&gt;=42),"1. Gerät: 10."&amp;Eingabe!$D$10&amp;".42.10, 2. Gerät: .11","")</f>
        <v>1. Gerät: 10.2.42.10, 2. Gerät: .11</v>
      </c>
    </row>
    <row r="253" customFormat="false" ht="15" hidden="false" customHeight="false" outlineLevel="0" collapsed="false">
      <c r="A253" s="17" t="n">
        <f aca="false">IF(AND(Eingabe!$F$10&gt;0,Eingabe!$E$10&gt;=43),2,"")</f>
        <v>2</v>
      </c>
      <c r="B253" s="17" t="str">
        <f aca="false">IF(AND(Eingabe!$F$10&gt;0,Eingabe!$E$10&gt;=43),Eingabe!$B$10,"")</f>
        <v>Mittelweg</v>
      </c>
      <c r="C253" s="17" t="str">
        <f aca="false">IF(AND(Eingabe!$F$10&gt;0,Eingabe!$E$10&gt;=43),Eingabe!$C$10&amp;"-Paz."&amp;TEXT(43,"000"),"")</f>
        <v>MW-Paz.043</v>
      </c>
      <c r="D253" s="17" t="n">
        <f aca="false">IF(AND(Eingabe!$F$10&gt;0,Eingabe!$E$10&gt;=43),43,"")</f>
        <v>43</v>
      </c>
      <c r="E253" s="17" t="n">
        <f aca="false">IF(AND(Eingabe!$F$10&gt;0,Eingabe!$E$10&gt;=43),IF((Eingabe!$G$10)&lt;=9,1000+(Eingabe!$G$10)*100,3000)+43,"")</f>
        <v>1243</v>
      </c>
      <c r="F253" s="17" t="str">
        <f aca="false">IF(AND(Eingabe!$F$10&gt;0,Eingabe!$E$10&gt;=43),"10."&amp;Eingabe!$D$10&amp;".43.0/24","")</f>
        <v>10.2.43.0/24</v>
      </c>
      <c r="G253" s="17" t="str">
        <f aca="false">IF(AND(Eingabe!$F$10&gt;0,Eingabe!$E$10&gt;=43),"10."&amp;Eingabe!$D$10&amp;".43.1","")</f>
        <v>10.2.43.1</v>
      </c>
      <c r="H253" s="17" t="str">
        <f aca="false">IF(AND(Eingabe!$F$10&gt;0,Eingabe!$E$10&gt;=43),"10."&amp;Eingabe!$D$10&amp;".43.10 – 10."&amp;Eingabe!$D$10&amp;".43.250","")</f>
        <v>10.2.43.10 – 10.2.43.250</v>
      </c>
      <c r="I253" s="17" t="str">
        <f aca="false">IF(AND(Eingabe!$F$10&gt;0,Eingabe!$E$10&gt;=43),Eingabe!$B$6&amp;"-"&amp;Eingabe!$C$10&amp;"-Pächter","")</f>
        <v>SparteNet.de-MW-Pächter</v>
      </c>
      <c r="J253" s="17" t="str">
        <f aca="false">IF(AND(Eingabe!$F$10&gt;0,Eingabe!$E$10&gt;=43),"PPSK: Passwort Parzelle 43","")</f>
        <v>PPSK: Passwort Parzelle 43</v>
      </c>
      <c r="K253" s="17" t="str">
        <f aca="false">IF(AND(Eingabe!$F$10&gt;0,Eingabe!$E$10&gt;=43),"1. Gerät: 10."&amp;Eingabe!$D$10&amp;".43.10, 2. Gerät: .11","")</f>
        <v>1. Gerät: 10.2.43.10, 2. Gerät: .11</v>
      </c>
    </row>
    <row r="254" customFormat="false" ht="15" hidden="false" customHeight="false" outlineLevel="0" collapsed="false">
      <c r="A254" s="17" t="n">
        <f aca="false">IF(AND(Eingabe!$F$10&gt;0,Eingabe!$E$10&gt;=44),2,"")</f>
        <v>2</v>
      </c>
      <c r="B254" s="17" t="str">
        <f aca="false">IF(AND(Eingabe!$F$10&gt;0,Eingabe!$E$10&gt;=44),Eingabe!$B$10,"")</f>
        <v>Mittelweg</v>
      </c>
      <c r="C254" s="17" t="str">
        <f aca="false">IF(AND(Eingabe!$F$10&gt;0,Eingabe!$E$10&gt;=44),Eingabe!$C$10&amp;"-Paz."&amp;TEXT(44,"000"),"")</f>
        <v>MW-Paz.044</v>
      </c>
      <c r="D254" s="17" t="n">
        <f aca="false">IF(AND(Eingabe!$F$10&gt;0,Eingabe!$E$10&gt;=44),44,"")</f>
        <v>44</v>
      </c>
      <c r="E254" s="17" t="n">
        <f aca="false">IF(AND(Eingabe!$F$10&gt;0,Eingabe!$E$10&gt;=44),IF((Eingabe!$G$10)&lt;=9,1000+(Eingabe!$G$10)*100,3000)+44,"")</f>
        <v>1244</v>
      </c>
      <c r="F254" s="17" t="str">
        <f aca="false">IF(AND(Eingabe!$F$10&gt;0,Eingabe!$E$10&gt;=44),"10."&amp;Eingabe!$D$10&amp;".44.0/24","")</f>
        <v>10.2.44.0/24</v>
      </c>
      <c r="G254" s="17" t="str">
        <f aca="false">IF(AND(Eingabe!$F$10&gt;0,Eingabe!$E$10&gt;=44),"10."&amp;Eingabe!$D$10&amp;".44.1","")</f>
        <v>10.2.44.1</v>
      </c>
      <c r="H254" s="17" t="str">
        <f aca="false">IF(AND(Eingabe!$F$10&gt;0,Eingabe!$E$10&gt;=44),"10."&amp;Eingabe!$D$10&amp;".44.10 – 10."&amp;Eingabe!$D$10&amp;".44.250","")</f>
        <v>10.2.44.10 – 10.2.44.250</v>
      </c>
      <c r="I254" s="17" t="str">
        <f aca="false">IF(AND(Eingabe!$F$10&gt;0,Eingabe!$E$10&gt;=44),Eingabe!$B$6&amp;"-"&amp;Eingabe!$C$10&amp;"-Pächter","")</f>
        <v>SparteNet.de-MW-Pächter</v>
      </c>
      <c r="J254" s="17" t="str">
        <f aca="false">IF(AND(Eingabe!$F$10&gt;0,Eingabe!$E$10&gt;=44),"PPSK: Passwort Parzelle 44","")</f>
        <v>PPSK: Passwort Parzelle 44</v>
      </c>
      <c r="K254" s="17" t="str">
        <f aca="false">IF(AND(Eingabe!$F$10&gt;0,Eingabe!$E$10&gt;=44),"1. Gerät: 10."&amp;Eingabe!$D$10&amp;".44.10, 2. Gerät: .11","")</f>
        <v>1. Gerät: 10.2.44.10, 2. Gerät: .11</v>
      </c>
    </row>
    <row r="255" customFormat="false" ht="15" hidden="false" customHeight="false" outlineLevel="0" collapsed="false">
      <c r="A255" s="17" t="n">
        <f aca="false">IF(AND(Eingabe!$F$10&gt;0,Eingabe!$E$10&gt;=45),2,"")</f>
        <v>2</v>
      </c>
      <c r="B255" s="17" t="str">
        <f aca="false">IF(AND(Eingabe!$F$10&gt;0,Eingabe!$E$10&gt;=45),Eingabe!$B$10,"")</f>
        <v>Mittelweg</v>
      </c>
      <c r="C255" s="17" t="str">
        <f aca="false">IF(AND(Eingabe!$F$10&gt;0,Eingabe!$E$10&gt;=45),Eingabe!$C$10&amp;"-Paz."&amp;TEXT(45,"000"),"")</f>
        <v>MW-Paz.045</v>
      </c>
      <c r="D255" s="17" t="n">
        <f aca="false">IF(AND(Eingabe!$F$10&gt;0,Eingabe!$E$10&gt;=45),45,"")</f>
        <v>45</v>
      </c>
      <c r="E255" s="17" t="n">
        <f aca="false">IF(AND(Eingabe!$F$10&gt;0,Eingabe!$E$10&gt;=45),IF((Eingabe!$G$10)&lt;=9,1000+(Eingabe!$G$10)*100,3000)+45,"")</f>
        <v>1245</v>
      </c>
      <c r="F255" s="17" t="str">
        <f aca="false">IF(AND(Eingabe!$F$10&gt;0,Eingabe!$E$10&gt;=45),"10."&amp;Eingabe!$D$10&amp;".45.0/24","")</f>
        <v>10.2.45.0/24</v>
      </c>
      <c r="G255" s="17" t="str">
        <f aca="false">IF(AND(Eingabe!$F$10&gt;0,Eingabe!$E$10&gt;=45),"10."&amp;Eingabe!$D$10&amp;".45.1","")</f>
        <v>10.2.45.1</v>
      </c>
      <c r="H255" s="17" t="str">
        <f aca="false">IF(AND(Eingabe!$F$10&gt;0,Eingabe!$E$10&gt;=45),"10."&amp;Eingabe!$D$10&amp;".45.10 – 10."&amp;Eingabe!$D$10&amp;".45.250","")</f>
        <v>10.2.45.10 – 10.2.45.250</v>
      </c>
      <c r="I255" s="17" t="str">
        <f aca="false">IF(AND(Eingabe!$F$10&gt;0,Eingabe!$E$10&gt;=45),Eingabe!$B$6&amp;"-"&amp;Eingabe!$C$10&amp;"-Pächter","")</f>
        <v>SparteNet.de-MW-Pächter</v>
      </c>
      <c r="J255" s="17" t="str">
        <f aca="false">IF(AND(Eingabe!$F$10&gt;0,Eingabe!$E$10&gt;=45),"PPSK: Passwort Parzelle 45","")</f>
        <v>PPSK: Passwort Parzelle 45</v>
      </c>
      <c r="K255" s="17" t="str">
        <f aca="false">IF(AND(Eingabe!$F$10&gt;0,Eingabe!$E$10&gt;=45),"1. Gerät: 10."&amp;Eingabe!$D$10&amp;".45.10, 2. Gerät: .11","")</f>
        <v>1. Gerät: 10.2.45.10, 2. Gerät: .11</v>
      </c>
    </row>
    <row r="256" customFormat="false" ht="15" hidden="false" customHeight="false" outlineLevel="0" collapsed="false">
      <c r="A256" s="17" t="n">
        <f aca="false">IF(AND(Eingabe!$F$10&gt;0,Eingabe!$E$10&gt;=46),2,"")</f>
        <v>2</v>
      </c>
      <c r="B256" s="17" t="str">
        <f aca="false">IF(AND(Eingabe!$F$10&gt;0,Eingabe!$E$10&gt;=46),Eingabe!$B$10,"")</f>
        <v>Mittelweg</v>
      </c>
      <c r="C256" s="17" t="str">
        <f aca="false">IF(AND(Eingabe!$F$10&gt;0,Eingabe!$E$10&gt;=46),Eingabe!$C$10&amp;"-Paz."&amp;TEXT(46,"000"),"")</f>
        <v>MW-Paz.046</v>
      </c>
      <c r="D256" s="17" t="n">
        <f aca="false">IF(AND(Eingabe!$F$10&gt;0,Eingabe!$E$10&gt;=46),46,"")</f>
        <v>46</v>
      </c>
      <c r="E256" s="17" t="n">
        <f aca="false">IF(AND(Eingabe!$F$10&gt;0,Eingabe!$E$10&gt;=46),IF((Eingabe!$G$10)&lt;=9,1000+(Eingabe!$G$10)*100,3000)+46,"")</f>
        <v>1246</v>
      </c>
      <c r="F256" s="17" t="str">
        <f aca="false">IF(AND(Eingabe!$F$10&gt;0,Eingabe!$E$10&gt;=46),"10."&amp;Eingabe!$D$10&amp;".46.0/24","")</f>
        <v>10.2.46.0/24</v>
      </c>
      <c r="G256" s="17" t="str">
        <f aca="false">IF(AND(Eingabe!$F$10&gt;0,Eingabe!$E$10&gt;=46),"10."&amp;Eingabe!$D$10&amp;".46.1","")</f>
        <v>10.2.46.1</v>
      </c>
      <c r="H256" s="17" t="str">
        <f aca="false">IF(AND(Eingabe!$F$10&gt;0,Eingabe!$E$10&gt;=46),"10."&amp;Eingabe!$D$10&amp;".46.10 – 10."&amp;Eingabe!$D$10&amp;".46.250","")</f>
        <v>10.2.46.10 – 10.2.46.250</v>
      </c>
      <c r="I256" s="17" t="str">
        <f aca="false">IF(AND(Eingabe!$F$10&gt;0,Eingabe!$E$10&gt;=46),Eingabe!$B$6&amp;"-"&amp;Eingabe!$C$10&amp;"-Pächter","")</f>
        <v>SparteNet.de-MW-Pächter</v>
      </c>
      <c r="J256" s="17" t="str">
        <f aca="false">IF(AND(Eingabe!$F$10&gt;0,Eingabe!$E$10&gt;=46),"PPSK: Passwort Parzelle 46","")</f>
        <v>PPSK: Passwort Parzelle 46</v>
      </c>
      <c r="K256" s="17" t="str">
        <f aca="false">IF(AND(Eingabe!$F$10&gt;0,Eingabe!$E$10&gt;=46),"1. Gerät: 10."&amp;Eingabe!$D$10&amp;".46.10, 2. Gerät: .11","")</f>
        <v>1. Gerät: 10.2.46.10, 2. Gerät: .11</v>
      </c>
    </row>
    <row r="257" customFormat="false" ht="15" hidden="false" customHeight="false" outlineLevel="0" collapsed="false">
      <c r="A257" s="17" t="n">
        <f aca="false">IF(AND(Eingabe!$F$10&gt;0,Eingabe!$E$10&gt;=47),2,"")</f>
        <v>2</v>
      </c>
      <c r="B257" s="17" t="str">
        <f aca="false">IF(AND(Eingabe!$F$10&gt;0,Eingabe!$E$10&gt;=47),Eingabe!$B$10,"")</f>
        <v>Mittelweg</v>
      </c>
      <c r="C257" s="17" t="str">
        <f aca="false">IF(AND(Eingabe!$F$10&gt;0,Eingabe!$E$10&gt;=47),Eingabe!$C$10&amp;"-Paz."&amp;TEXT(47,"000"),"")</f>
        <v>MW-Paz.047</v>
      </c>
      <c r="D257" s="17" t="n">
        <f aca="false">IF(AND(Eingabe!$F$10&gt;0,Eingabe!$E$10&gt;=47),47,"")</f>
        <v>47</v>
      </c>
      <c r="E257" s="17" t="n">
        <f aca="false">IF(AND(Eingabe!$F$10&gt;0,Eingabe!$E$10&gt;=47),IF((Eingabe!$G$10)&lt;=9,1000+(Eingabe!$G$10)*100,3000)+47,"")</f>
        <v>1247</v>
      </c>
      <c r="F257" s="17" t="str">
        <f aca="false">IF(AND(Eingabe!$F$10&gt;0,Eingabe!$E$10&gt;=47),"10."&amp;Eingabe!$D$10&amp;".47.0/24","")</f>
        <v>10.2.47.0/24</v>
      </c>
      <c r="G257" s="17" t="str">
        <f aca="false">IF(AND(Eingabe!$F$10&gt;0,Eingabe!$E$10&gt;=47),"10."&amp;Eingabe!$D$10&amp;".47.1","")</f>
        <v>10.2.47.1</v>
      </c>
      <c r="H257" s="17" t="str">
        <f aca="false">IF(AND(Eingabe!$F$10&gt;0,Eingabe!$E$10&gt;=47),"10."&amp;Eingabe!$D$10&amp;".47.10 – 10."&amp;Eingabe!$D$10&amp;".47.250","")</f>
        <v>10.2.47.10 – 10.2.47.250</v>
      </c>
      <c r="I257" s="17" t="str">
        <f aca="false">IF(AND(Eingabe!$F$10&gt;0,Eingabe!$E$10&gt;=47),Eingabe!$B$6&amp;"-"&amp;Eingabe!$C$10&amp;"-Pächter","")</f>
        <v>SparteNet.de-MW-Pächter</v>
      </c>
      <c r="J257" s="17" t="str">
        <f aca="false">IF(AND(Eingabe!$F$10&gt;0,Eingabe!$E$10&gt;=47),"PPSK: Passwort Parzelle 47","")</f>
        <v>PPSK: Passwort Parzelle 47</v>
      </c>
      <c r="K257" s="17" t="str">
        <f aca="false">IF(AND(Eingabe!$F$10&gt;0,Eingabe!$E$10&gt;=47),"1. Gerät: 10."&amp;Eingabe!$D$10&amp;".47.10, 2. Gerät: .11","")</f>
        <v>1. Gerät: 10.2.47.10, 2. Gerät: .11</v>
      </c>
    </row>
    <row r="258" customFormat="false" ht="15" hidden="false" customHeight="false" outlineLevel="0" collapsed="false">
      <c r="A258" s="17" t="n">
        <f aca="false">IF(AND(Eingabe!$F$10&gt;0,Eingabe!$E$10&gt;=48),2,"")</f>
        <v>2</v>
      </c>
      <c r="B258" s="17" t="str">
        <f aca="false">IF(AND(Eingabe!$F$10&gt;0,Eingabe!$E$10&gt;=48),Eingabe!$B$10,"")</f>
        <v>Mittelweg</v>
      </c>
      <c r="C258" s="17" t="str">
        <f aca="false">IF(AND(Eingabe!$F$10&gt;0,Eingabe!$E$10&gt;=48),Eingabe!$C$10&amp;"-Paz."&amp;TEXT(48,"000"),"")</f>
        <v>MW-Paz.048</v>
      </c>
      <c r="D258" s="17" t="n">
        <f aca="false">IF(AND(Eingabe!$F$10&gt;0,Eingabe!$E$10&gt;=48),48,"")</f>
        <v>48</v>
      </c>
      <c r="E258" s="17" t="n">
        <f aca="false">IF(AND(Eingabe!$F$10&gt;0,Eingabe!$E$10&gt;=48),IF((Eingabe!$G$10)&lt;=9,1000+(Eingabe!$G$10)*100,3000)+48,"")</f>
        <v>1248</v>
      </c>
      <c r="F258" s="17" t="str">
        <f aca="false">IF(AND(Eingabe!$F$10&gt;0,Eingabe!$E$10&gt;=48),"10."&amp;Eingabe!$D$10&amp;".48.0/24","")</f>
        <v>10.2.48.0/24</v>
      </c>
      <c r="G258" s="17" t="str">
        <f aca="false">IF(AND(Eingabe!$F$10&gt;0,Eingabe!$E$10&gt;=48),"10."&amp;Eingabe!$D$10&amp;".48.1","")</f>
        <v>10.2.48.1</v>
      </c>
      <c r="H258" s="17" t="str">
        <f aca="false">IF(AND(Eingabe!$F$10&gt;0,Eingabe!$E$10&gt;=48),"10."&amp;Eingabe!$D$10&amp;".48.10 – 10."&amp;Eingabe!$D$10&amp;".48.250","")</f>
        <v>10.2.48.10 – 10.2.48.250</v>
      </c>
      <c r="I258" s="17" t="str">
        <f aca="false">IF(AND(Eingabe!$F$10&gt;0,Eingabe!$E$10&gt;=48),Eingabe!$B$6&amp;"-"&amp;Eingabe!$C$10&amp;"-Pächter","")</f>
        <v>SparteNet.de-MW-Pächter</v>
      </c>
      <c r="J258" s="17" t="str">
        <f aca="false">IF(AND(Eingabe!$F$10&gt;0,Eingabe!$E$10&gt;=48),"PPSK: Passwort Parzelle 48","")</f>
        <v>PPSK: Passwort Parzelle 48</v>
      </c>
      <c r="K258" s="17" t="str">
        <f aca="false">IF(AND(Eingabe!$F$10&gt;0,Eingabe!$E$10&gt;=48),"1. Gerät: 10."&amp;Eingabe!$D$10&amp;".48.10, 2. Gerät: .11","")</f>
        <v>1. Gerät: 10.2.48.10, 2. Gerät: .11</v>
      </c>
    </row>
    <row r="259" customFormat="false" ht="15" hidden="false" customHeight="false" outlineLevel="0" collapsed="false">
      <c r="A259" s="17" t="n">
        <f aca="false">IF(AND(Eingabe!$F$10&gt;0,Eingabe!$E$10&gt;=49),2,"")</f>
        <v>2</v>
      </c>
      <c r="B259" s="17" t="str">
        <f aca="false">IF(AND(Eingabe!$F$10&gt;0,Eingabe!$E$10&gt;=49),Eingabe!$B$10,"")</f>
        <v>Mittelweg</v>
      </c>
      <c r="C259" s="17" t="str">
        <f aca="false">IF(AND(Eingabe!$F$10&gt;0,Eingabe!$E$10&gt;=49),Eingabe!$C$10&amp;"-Paz."&amp;TEXT(49,"000"),"")</f>
        <v>MW-Paz.049</v>
      </c>
      <c r="D259" s="17" t="n">
        <f aca="false">IF(AND(Eingabe!$F$10&gt;0,Eingabe!$E$10&gt;=49),49,"")</f>
        <v>49</v>
      </c>
      <c r="E259" s="17" t="n">
        <f aca="false">IF(AND(Eingabe!$F$10&gt;0,Eingabe!$E$10&gt;=49),IF((Eingabe!$G$10)&lt;=9,1000+(Eingabe!$G$10)*100,3000)+49,"")</f>
        <v>1249</v>
      </c>
      <c r="F259" s="17" t="str">
        <f aca="false">IF(AND(Eingabe!$F$10&gt;0,Eingabe!$E$10&gt;=49),"10."&amp;Eingabe!$D$10&amp;".49.0/24","")</f>
        <v>10.2.49.0/24</v>
      </c>
      <c r="G259" s="17" t="str">
        <f aca="false">IF(AND(Eingabe!$F$10&gt;0,Eingabe!$E$10&gt;=49),"10."&amp;Eingabe!$D$10&amp;".49.1","")</f>
        <v>10.2.49.1</v>
      </c>
      <c r="H259" s="17" t="str">
        <f aca="false">IF(AND(Eingabe!$F$10&gt;0,Eingabe!$E$10&gt;=49),"10."&amp;Eingabe!$D$10&amp;".49.10 – 10."&amp;Eingabe!$D$10&amp;".49.250","")</f>
        <v>10.2.49.10 – 10.2.49.250</v>
      </c>
      <c r="I259" s="17" t="str">
        <f aca="false">IF(AND(Eingabe!$F$10&gt;0,Eingabe!$E$10&gt;=49),Eingabe!$B$6&amp;"-"&amp;Eingabe!$C$10&amp;"-Pächter","")</f>
        <v>SparteNet.de-MW-Pächter</v>
      </c>
      <c r="J259" s="17" t="str">
        <f aca="false">IF(AND(Eingabe!$F$10&gt;0,Eingabe!$E$10&gt;=49),"PPSK: Passwort Parzelle 49","")</f>
        <v>PPSK: Passwort Parzelle 49</v>
      </c>
      <c r="K259" s="17" t="str">
        <f aca="false">IF(AND(Eingabe!$F$10&gt;0,Eingabe!$E$10&gt;=49),"1. Gerät: 10."&amp;Eingabe!$D$10&amp;".49.10, 2. Gerät: .11","")</f>
        <v>1. Gerät: 10.2.49.10, 2. Gerät: .11</v>
      </c>
    </row>
    <row r="260" customFormat="false" ht="15" hidden="false" customHeight="false" outlineLevel="0" collapsed="false">
      <c r="A260" s="17" t="n">
        <f aca="false">IF(AND(Eingabe!$F$10&gt;0,Eingabe!$E$10&gt;=50),2,"")</f>
        <v>2</v>
      </c>
      <c r="B260" s="17" t="str">
        <f aca="false">IF(AND(Eingabe!$F$10&gt;0,Eingabe!$E$10&gt;=50),Eingabe!$B$10,"")</f>
        <v>Mittelweg</v>
      </c>
      <c r="C260" s="17" t="str">
        <f aca="false">IF(AND(Eingabe!$F$10&gt;0,Eingabe!$E$10&gt;=50),Eingabe!$C$10&amp;"-Paz."&amp;TEXT(50,"000"),"")</f>
        <v>MW-Paz.050</v>
      </c>
      <c r="D260" s="17" t="n">
        <f aca="false">IF(AND(Eingabe!$F$10&gt;0,Eingabe!$E$10&gt;=50),50,"")</f>
        <v>50</v>
      </c>
      <c r="E260" s="17" t="n">
        <f aca="false">IF(AND(Eingabe!$F$10&gt;0,Eingabe!$E$10&gt;=50),IF((Eingabe!$G$10)&lt;=9,1000+(Eingabe!$G$10)*100,3000)+50,"")</f>
        <v>1250</v>
      </c>
      <c r="F260" s="17" t="str">
        <f aca="false">IF(AND(Eingabe!$F$10&gt;0,Eingabe!$E$10&gt;=50),"10."&amp;Eingabe!$D$10&amp;".50.0/24","")</f>
        <v>10.2.50.0/24</v>
      </c>
      <c r="G260" s="17" t="str">
        <f aca="false">IF(AND(Eingabe!$F$10&gt;0,Eingabe!$E$10&gt;=50),"10."&amp;Eingabe!$D$10&amp;".50.1","")</f>
        <v>10.2.50.1</v>
      </c>
      <c r="H260" s="17" t="str">
        <f aca="false">IF(AND(Eingabe!$F$10&gt;0,Eingabe!$E$10&gt;=50),"10."&amp;Eingabe!$D$10&amp;".50.10 – 10."&amp;Eingabe!$D$10&amp;".50.250","")</f>
        <v>10.2.50.10 – 10.2.50.250</v>
      </c>
      <c r="I260" s="17" t="str">
        <f aca="false">IF(AND(Eingabe!$F$10&gt;0,Eingabe!$E$10&gt;=50),Eingabe!$B$6&amp;"-"&amp;Eingabe!$C$10&amp;"-Pächter","")</f>
        <v>SparteNet.de-MW-Pächter</v>
      </c>
      <c r="J260" s="17" t="str">
        <f aca="false">IF(AND(Eingabe!$F$10&gt;0,Eingabe!$E$10&gt;=50),"PPSK: Passwort Parzelle 50","")</f>
        <v>PPSK: Passwort Parzelle 50</v>
      </c>
      <c r="K260" s="17" t="str">
        <f aca="false">IF(AND(Eingabe!$F$10&gt;0,Eingabe!$E$10&gt;=50),"1. Gerät: 10."&amp;Eingabe!$D$10&amp;".50.10, 2. Gerät: .11","")</f>
        <v>1. Gerät: 10.2.50.10, 2. Gerät: .11</v>
      </c>
    </row>
    <row r="261" customFormat="false" ht="15" hidden="false" customHeight="false" outlineLevel="0" collapsed="false">
      <c r="A261" s="17" t="n">
        <f aca="false">IF(AND(Eingabe!$F$10&gt;0,Eingabe!$E$10&gt;=51),2,"")</f>
        <v>2</v>
      </c>
      <c r="B261" s="17" t="str">
        <f aca="false">IF(AND(Eingabe!$F$10&gt;0,Eingabe!$E$10&gt;=51),Eingabe!$B$10,"")</f>
        <v>Mittelweg</v>
      </c>
      <c r="C261" s="17" t="str">
        <f aca="false">IF(AND(Eingabe!$F$10&gt;0,Eingabe!$E$10&gt;=51),Eingabe!$C$10&amp;"-Paz."&amp;TEXT(51,"000"),"")</f>
        <v>MW-Paz.051</v>
      </c>
      <c r="D261" s="17" t="n">
        <f aca="false">IF(AND(Eingabe!$F$10&gt;0,Eingabe!$E$10&gt;=51),51,"")</f>
        <v>51</v>
      </c>
      <c r="E261" s="17" t="n">
        <f aca="false">IF(AND(Eingabe!$F$10&gt;0,Eingabe!$E$10&gt;=51),IF((Eingabe!$G$10)&lt;=9,1000+(Eingabe!$G$10)*100,3000)+51,"")</f>
        <v>1251</v>
      </c>
      <c r="F261" s="17" t="str">
        <f aca="false">IF(AND(Eingabe!$F$10&gt;0,Eingabe!$E$10&gt;=51),"10."&amp;Eingabe!$D$10&amp;".51.0/24","")</f>
        <v>10.2.51.0/24</v>
      </c>
      <c r="G261" s="17" t="str">
        <f aca="false">IF(AND(Eingabe!$F$10&gt;0,Eingabe!$E$10&gt;=51),"10."&amp;Eingabe!$D$10&amp;".51.1","")</f>
        <v>10.2.51.1</v>
      </c>
      <c r="H261" s="17" t="str">
        <f aca="false">IF(AND(Eingabe!$F$10&gt;0,Eingabe!$E$10&gt;=51),"10."&amp;Eingabe!$D$10&amp;".51.10 – 10."&amp;Eingabe!$D$10&amp;".51.250","")</f>
        <v>10.2.51.10 – 10.2.51.250</v>
      </c>
      <c r="I261" s="17" t="str">
        <f aca="false">IF(AND(Eingabe!$F$10&gt;0,Eingabe!$E$10&gt;=51),Eingabe!$B$6&amp;"-"&amp;Eingabe!$C$10&amp;"-Pächter","")</f>
        <v>SparteNet.de-MW-Pächter</v>
      </c>
      <c r="J261" s="17" t="str">
        <f aca="false">IF(AND(Eingabe!$F$10&gt;0,Eingabe!$E$10&gt;=51),"PPSK: Passwort Parzelle 51","")</f>
        <v>PPSK: Passwort Parzelle 51</v>
      </c>
      <c r="K261" s="17" t="str">
        <f aca="false">IF(AND(Eingabe!$F$10&gt;0,Eingabe!$E$10&gt;=51),"1. Gerät: 10."&amp;Eingabe!$D$10&amp;".51.10, 2. Gerät: .11","")</f>
        <v>1. Gerät: 10.2.51.10, 2. Gerät: .11</v>
      </c>
    </row>
    <row r="262" customFormat="false" ht="15" hidden="false" customHeight="false" outlineLevel="0" collapsed="false">
      <c r="A262" s="17" t="n">
        <f aca="false">IF(AND(Eingabe!$F$10&gt;0,Eingabe!$E$10&gt;=52),2,"")</f>
        <v>2</v>
      </c>
      <c r="B262" s="17" t="str">
        <f aca="false">IF(AND(Eingabe!$F$10&gt;0,Eingabe!$E$10&gt;=52),Eingabe!$B$10,"")</f>
        <v>Mittelweg</v>
      </c>
      <c r="C262" s="17" t="str">
        <f aca="false">IF(AND(Eingabe!$F$10&gt;0,Eingabe!$E$10&gt;=52),Eingabe!$C$10&amp;"-Paz."&amp;TEXT(52,"000"),"")</f>
        <v>MW-Paz.052</v>
      </c>
      <c r="D262" s="17" t="n">
        <f aca="false">IF(AND(Eingabe!$F$10&gt;0,Eingabe!$E$10&gt;=52),52,"")</f>
        <v>52</v>
      </c>
      <c r="E262" s="17" t="n">
        <f aca="false">IF(AND(Eingabe!$F$10&gt;0,Eingabe!$E$10&gt;=52),IF((Eingabe!$G$10)&lt;=9,1000+(Eingabe!$G$10)*100,3000)+52,"")</f>
        <v>1252</v>
      </c>
      <c r="F262" s="17" t="str">
        <f aca="false">IF(AND(Eingabe!$F$10&gt;0,Eingabe!$E$10&gt;=52),"10."&amp;Eingabe!$D$10&amp;".52.0/24","")</f>
        <v>10.2.52.0/24</v>
      </c>
      <c r="G262" s="17" t="str">
        <f aca="false">IF(AND(Eingabe!$F$10&gt;0,Eingabe!$E$10&gt;=52),"10."&amp;Eingabe!$D$10&amp;".52.1","")</f>
        <v>10.2.52.1</v>
      </c>
      <c r="H262" s="17" t="str">
        <f aca="false">IF(AND(Eingabe!$F$10&gt;0,Eingabe!$E$10&gt;=52),"10."&amp;Eingabe!$D$10&amp;".52.10 – 10."&amp;Eingabe!$D$10&amp;".52.250","")</f>
        <v>10.2.52.10 – 10.2.52.250</v>
      </c>
      <c r="I262" s="17" t="str">
        <f aca="false">IF(AND(Eingabe!$F$10&gt;0,Eingabe!$E$10&gt;=52),Eingabe!$B$6&amp;"-"&amp;Eingabe!$C$10&amp;"-Pächter","")</f>
        <v>SparteNet.de-MW-Pächter</v>
      </c>
      <c r="J262" s="17" t="str">
        <f aca="false">IF(AND(Eingabe!$F$10&gt;0,Eingabe!$E$10&gt;=52),"PPSK: Passwort Parzelle 52","")</f>
        <v>PPSK: Passwort Parzelle 52</v>
      </c>
      <c r="K262" s="17" t="str">
        <f aca="false">IF(AND(Eingabe!$F$10&gt;0,Eingabe!$E$10&gt;=52),"1. Gerät: 10."&amp;Eingabe!$D$10&amp;".52.10, 2. Gerät: .11","")</f>
        <v>1. Gerät: 10.2.52.10, 2. Gerät: .11</v>
      </c>
    </row>
    <row r="263" customFormat="false" ht="15" hidden="false" customHeight="false" outlineLevel="0" collapsed="false">
      <c r="A263" s="17" t="n">
        <f aca="false">IF(AND(Eingabe!$F$10&gt;0,Eingabe!$E$10&gt;=53),2,"")</f>
        <v>2</v>
      </c>
      <c r="B263" s="17" t="str">
        <f aca="false">IF(AND(Eingabe!$F$10&gt;0,Eingabe!$E$10&gt;=53),Eingabe!$B$10,"")</f>
        <v>Mittelweg</v>
      </c>
      <c r="C263" s="17" t="str">
        <f aca="false">IF(AND(Eingabe!$F$10&gt;0,Eingabe!$E$10&gt;=53),Eingabe!$C$10&amp;"-Paz."&amp;TEXT(53,"000"),"")</f>
        <v>MW-Paz.053</v>
      </c>
      <c r="D263" s="17" t="n">
        <f aca="false">IF(AND(Eingabe!$F$10&gt;0,Eingabe!$E$10&gt;=53),53,"")</f>
        <v>53</v>
      </c>
      <c r="E263" s="17" t="n">
        <f aca="false">IF(AND(Eingabe!$F$10&gt;0,Eingabe!$E$10&gt;=53),IF((Eingabe!$G$10)&lt;=9,1000+(Eingabe!$G$10)*100,3000)+53,"")</f>
        <v>1253</v>
      </c>
      <c r="F263" s="17" t="str">
        <f aca="false">IF(AND(Eingabe!$F$10&gt;0,Eingabe!$E$10&gt;=53),"10."&amp;Eingabe!$D$10&amp;".53.0/24","")</f>
        <v>10.2.53.0/24</v>
      </c>
      <c r="G263" s="17" t="str">
        <f aca="false">IF(AND(Eingabe!$F$10&gt;0,Eingabe!$E$10&gt;=53),"10."&amp;Eingabe!$D$10&amp;".53.1","")</f>
        <v>10.2.53.1</v>
      </c>
      <c r="H263" s="17" t="str">
        <f aca="false">IF(AND(Eingabe!$F$10&gt;0,Eingabe!$E$10&gt;=53),"10."&amp;Eingabe!$D$10&amp;".53.10 – 10."&amp;Eingabe!$D$10&amp;".53.250","")</f>
        <v>10.2.53.10 – 10.2.53.250</v>
      </c>
      <c r="I263" s="17" t="str">
        <f aca="false">IF(AND(Eingabe!$F$10&gt;0,Eingabe!$E$10&gt;=53),Eingabe!$B$6&amp;"-"&amp;Eingabe!$C$10&amp;"-Pächter","")</f>
        <v>SparteNet.de-MW-Pächter</v>
      </c>
      <c r="J263" s="17" t="str">
        <f aca="false">IF(AND(Eingabe!$F$10&gt;0,Eingabe!$E$10&gt;=53),"PPSK: Passwort Parzelle 53","")</f>
        <v>PPSK: Passwort Parzelle 53</v>
      </c>
      <c r="K263" s="17" t="str">
        <f aca="false">IF(AND(Eingabe!$F$10&gt;0,Eingabe!$E$10&gt;=53),"1. Gerät: 10."&amp;Eingabe!$D$10&amp;".53.10, 2. Gerät: .11","")</f>
        <v>1. Gerät: 10.2.53.10, 2. Gerät: .11</v>
      </c>
    </row>
    <row r="264" customFormat="false" ht="15" hidden="false" customHeight="false" outlineLevel="0" collapsed="false">
      <c r="A264" s="17" t="str">
        <f aca="false">IF(AND(Eingabe!$F$10&gt;0,Eingabe!$E$10&gt;=54),2,"")</f>
        <v/>
      </c>
      <c r="B264" s="17" t="str">
        <f aca="false">IF(AND(Eingabe!$F$10&gt;0,Eingabe!$E$10&gt;=54),Eingabe!$B$10,"")</f>
        <v/>
      </c>
      <c r="C264" s="17" t="str">
        <f aca="false">IF(AND(Eingabe!$F$10&gt;0,Eingabe!$E$10&gt;=54),Eingabe!$C$10&amp;"-Paz."&amp;TEXT(54,"000"),"")</f>
        <v/>
      </c>
      <c r="D264" s="17" t="str">
        <f aca="false">IF(AND(Eingabe!$F$10&gt;0,Eingabe!$E$10&gt;=54),54,"")</f>
        <v/>
      </c>
      <c r="E264" s="17" t="str">
        <f aca="false">IF(AND(Eingabe!$F$10&gt;0,Eingabe!$E$10&gt;=54),IF((Eingabe!$G$10)&lt;=9,1000+(Eingabe!$G$10)*100,3000)+54,"")</f>
        <v/>
      </c>
      <c r="F264" s="17" t="str">
        <f aca="false">IF(AND(Eingabe!$F$10&gt;0,Eingabe!$E$10&gt;=54),"10."&amp;Eingabe!$D$10&amp;".54.0/24","")</f>
        <v/>
      </c>
      <c r="G264" s="17" t="str">
        <f aca="false">IF(AND(Eingabe!$F$10&gt;0,Eingabe!$E$10&gt;=54),"10."&amp;Eingabe!$D$10&amp;".54.1","")</f>
        <v/>
      </c>
      <c r="H264" s="17" t="str">
        <f aca="false">IF(AND(Eingabe!$F$10&gt;0,Eingabe!$E$10&gt;=54),"10."&amp;Eingabe!$D$10&amp;".54.10 – 10."&amp;Eingabe!$D$10&amp;".54.250","")</f>
        <v/>
      </c>
      <c r="I264" s="17" t="str">
        <f aca="false">IF(AND(Eingabe!$F$10&gt;0,Eingabe!$E$10&gt;=54),Eingabe!$B$6&amp;"-"&amp;Eingabe!$C$10&amp;"-Pächter","")</f>
        <v/>
      </c>
      <c r="J264" s="17" t="str">
        <f aca="false">IF(AND(Eingabe!$F$10&gt;0,Eingabe!$E$10&gt;=54),"PPSK: Passwort Parzelle 54","")</f>
        <v/>
      </c>
      <c r="K264" s="17" t="str">
        <f aca="false">IF(AND(Eingabe!$F$10&gt;0,Eingabe!$E$10&gt;=54),"1. Gerät: 10."&amp;Eingabe!$D$10&amp;".54.10, 2. Gerät: .11","")</f>
        <v/>
      </c>
    </row>
    <row r="265" customFormat="false" ht="15" hidden="false" customHeight="false" outlineLevel="0" collapsed="false">
      <c r="A265" s="17" t="str">
        <f aca="false">IF(AND(Eingabe!$F$10&gt;0,Eingabe!$E$10&gt;=55),2,"")</f>
        <v/>
      </c>
      <c r="B265" s="17" t="str">
        <f aca="false">IF(AND(Eingabe!$F$10&gt;0,Eingabe!$E$10&gt;=55),Eingabe!$B$10,"")</f>
        <v/>
      </c>
      <c r="C265" s="17" t="str">
        <f aca="false">IF(AND(Eingabe!$F$10&gt;0,Eingabe!$E$10&gt;=55),Eingabe!$C$10&amp;"-Paz."&amp;TEXT(55,"000"),"")</f>
        <v/>
      </c>
      <c r="D265" s="17" t="str">
        <f aca="false">IF(AND(Eingabe!$F$10&gt;0,Eingabe!$E$10&gt;=55),55,"")</f>
        <v/>
      </c>
      <c r="E265" s="17" t="str">
        <f aca="false">IF(AND(Eingabe!$F$10&gt;0,Eingabe!$E$10&gt;=55),IF((Eingabe!$G$10)&lt;=9,1000+(Eingabe!$G$10)*100,3000)+55,"")</f>
        <v/>
      </c>
      <c r="F265" s="17" t="str">
        <f aca="false">IF(AND(Eingabe!$F$10&gt;0,Eingabe!$E$10&gt;=55),"10."&amp;Eingabe!$D$10&amp;".55.0/24","")</f>
        <v/>
      </c>
      <c r="G265" s="17" t="str">
        <f aca="false">IF(AND(Eingabe!$F$10&gt;0,Eingabe!$E$10&gt;=55),"10."&amp;Eingabe!$D$10&amp;".55.1","")</f>
        <v/>
      </c>
      <c r="H265" s="17" t="str">
        <f aca="false">IF(AND(Eingabe!$F$10&gt;0,Eingabe!$E$10&gt;=55),"10."&amp;Eingabe!$D$10&amp;".55.10 – 10."&amp;Eingabe!$D$10&amp;".55.250","")</f>
        <v/>
      </c>
      <c r="I265" s="17" t="str">
        <f aca="false">IF(AND(Eingabe!$F$10&gt;0,Eingabe!$E$10&gt;=55),Eingabe!$B$6&amp;"-"&amp;Eingabe!$C$10&amp;"-Pächter","")</f>
        <v/>
      </c>
      <c r="J265" s="17" t="str">
        <f aca="false">IF(AND(Eingabe!$F$10&gt;0,Eingabe!$E$10&gt;=55),"PPSK: Passwort Parzelle 55","")</f>
        <v/>
      </c>
      <c r="K265" s="17" t="str">
        <f aca="false">IF(AND(Eingabe!$F$10&gt;0,Eingabe!$E$10&gt;=55),"1. Gerät: 10."&amp;Eingabe!$D$10&amp;".55.10, 2. Gerät: .11","")</f>
        <v/>
      </c>
    </row>
    <row r="266" customFormat="false" ht="15" hidden="false" customHeight="false" outlineLevel="0" collapsed="false">
      <c r="A266" s="17" t="str">
        <f aca="false">IF(AND(Eingabe!$F$10&gt;0,Eingabe!$E$10&gt;=56),2,"")</f>
        <v/>
      </c>
      <c r="B266" s="17" t="str">
        <f aca="false">IF(AND(Eingabe!$F$10&gt;0,Eingabe!$E$10&gt;=56),Eingabe!$B$10,"")</f>
        <v/>
      </c>
      <c r="C266" s="17" t="str">
        <f aca="false">IF(AND(Eingabe!$F$10&gt;0,Eingabe!$E$10&gt;=56),Eingabe!$C$10&amp;"-Paz."&amp;TEXT(56,"000"),"")</f>
        <v/>
      </c>
      <c r="D266" s="17" t="str">
        <f aca="false">IF(AND(Eingabe!$F$10&gt;0,Eingabe!$E$10&gt;=56),56,"")</f>
        <v/>
      </c>
      <c r="E266" s="17" t="str">
        <f aca="false">IF(AND(Eingabe!$F$10&gt;0,Eingabe!$E$10&gt;=56),IF((Eingabe!$G$10)&lt;=9,1000+(Eingabe!$G$10)*100,3000)+56,"")</f>
        <v/>
      </c>
      <c r="F266" s="17" t="str">
        <f aca="false">IF(AND(Eingabe!$F$10&gt;0,Eingabe!$E$10&gt;=56),"10."&amp;Eingabe!$D$10&amp;".56.0/24","")</f>
        <v/>
      </c>
      <c r="G266" s="17" t="str">
        <f aca="false">IF(AND(Eingabe!$F$10&gt;0,Eingabe!$E$10&gt;=56),"10."&amp;Eingabe!$D$10&amp;".56.1","")</f>
        <v/>
      </c>
      <c r="H266" s="17" t="str">
        <f aca="false">IF(AND(Eingabe!$F$10&gt;0,Eingabe!$E$10&gt;=56),"10."&amp;Eingabe!$D$10&amp;".56.10 – 10."&amp;Eingabe!$D$10&amp;".56.250","")</f>
        <v/>
      </c>
      <c r="I266" s="17" t="str">
        <f aca="false">IF(AND(Eingabe!$F$10&gt;0,Eingabe!$E$10&gt;=56),Eingabe!$B$6&amp;"-"&amp;Eingabe!$C$10&amp;"-Pächter","")</f>
        <v/>
      </c>
      <c r="J266" s="17" t="str">
        <f aca="false">IF(AND(Eingabe!$F$10&gt;0,Eingabe!$E$10&gt;=56),"PPSK: Passwort Parzelle 56","")</f>
        <v/>
      </c>
      <c r="K266" s="17" t="str">
        <f aca="false">IF(AND(Eingabe!$F$10&gt;0,Eingabe!$E$10&gt;=56),"1. Gerät: 10."&amp;Eingabe!$D$10&amp;".56.10, 2. Gerät: .11","")</f>
        <v/>
      </c>
    </row>
    <row r="267" customFormat="false" ht="15" hidden="false" customHeight="false" outlineLevel="0" collapsed="false">
      <c r="A267" s="17" t="str">
        <f aca="false">IF(AND(Eingabe!$F$10&gt;0,Eingabe!$E$10&gt;=57),2,"")</f>
        <v/>
      </c>
      <c r="B267" s="17" t="str">
        <f aca="false">IF(AND(Eingabe!$F$10&gt;0,Eingabe!$E$10&gt;=57),Eingabe!$B$10,"")</f>
        <v/>
      </c>
      <c r="C267" s="17" t="str">
        <f aca="false">IF(AND(Eingabe!$F$10&gt;0,Eingabe!$E$10&gt;=57),Eingabe!$C$10&amp;"-Paz."&amp;TEXT(57,"000"),"")</f>
        <v/>
      </c>
      <c r="D267" s="17" t="str">
        <f aca="false">IF(AND(Eingabe!$F$10&gt;0,Eingabe!$E$10&gt;=57),57,"")</f>
        <v/>
      </c>
      <c r="E267" s="17" t="str">
        <f aca="false">IF(AND(Eingabe!$F$10&gt;0,Eingabe!$E$10&gt;=57),IF((Eingabe!$G$10)&lt;=9,1000+(Eingabe!$G$10)*100,3000)+57,"")</f>
        <v/>
      </c>
      <c r="F267" s="17" t="str">
        <f aca="false">IF(AND(Eingabe!$F$10&gt;0,Eingabe!$E$10&gt;=57),"10."&amp;Eingabe!$D$10&amp;".57.0/24","")</f>
        <v/>
      </c>
      <c r="G267" s="17" t="str">
        <f aca="false">IF(AND(Eingabe!$F$10&gt;0,Eingabe!$E$10&gt;=57),"10."&amp;Eingabe!$D$10&amp;".57.1","")</f>
        <v/>
      </c>
      <c r="H267" s="17" t="str">
        <f aca="false">IF(AND(Eingabe!$F$10&gt;0,Eingabe!$E$10&gt;=57),"10."&amp;Eingabe!$D$10&amp;".57.10 – 10."&amp;Eingabe!$D$10&amp;".57.250","")</f>
        <v/>
      </c>
      <c r="I267" s="17" t="str">
        <f aca="false">IF(AND(Eingabe!$F$10&gt;0,Eingabe!$E$10&gt;=57),Eingabe!$B$6&amp;"-"&amp;Eingabe!$C$10&amp;"-Pächter","")</f>
        <v/>
      </c>
      <c r="J267" s="17" t="str">
        <f aca="false">IF(AND(Eingabe!$F$10&gt;0,Eingabe!$E$10&gt;=57),"PPSK: Passwort Parzelle 57","")</f>
        <v/>
      </c>
      <c r="K267" s="17" t="str">
        <f aca="false">IF(AND(Eingabe!$F$10&gt;0,Eingabe!$E$10&gt;=57),"1. Gerät: 10."&amp;Eingabe!$D$10&amp;".57.10, 2. Gerät: .11","")</f>
        <v/>
      </c>
    </row>
    <row r="268" customFormat="false" ht="15" hidden="false" customHeight="false" outlineLevel="0" collapsed="false">
      <c r="A268" s="17" t="str">
        <f aca="false">IF(AND(Eingabe!$F$10&gt;0,Eingabe!$E$10&gt;=58),2,"")</f>
        <v/>
      </c>
      <c r="B268" s="17" t="str">
        <f aca="false">IF(AND(Eingabe!$F$10&gt;0,Eingabe!$E$10&gt;=58),Eingabe!$B$10,"")</f>
        <v/>
      </c>
      <c r="C268" s="17" t="str">
        <f aca="false">IF(AND(Eingabe!$F$10&gt;0,Eingabe!$E$10&gt;=58),Eingabe!$C$10&amp;"-Paz."&amp;TEXT(58,"000"),"")</f>
        <v/>
      </c>
      <c r="D268" s="17" t="str">
        <f aca="false">IF(AND(Eingabe!$F$10&gt;0,Eingabe!$E$10&gt;=58),58,"")</f>
        <v/>
      </c>
      <c r="E268" s="17" t="str">
        <f aca="false">IF(AND(Eingabe!$F$10&gt;0,Eingabe!$E$10&gt;=58),IF((Eingabe!$G$10)&lt;=9,1000+(Eingabe!$G$10)*100,3000)+58,"")</f>
        <v/>
      </c>
      <c r="F268" s="17" t="str">
        <f aca="false">IF(AND(Eingabe!$F$10&gt;0,Eingabe!$E$10&gt;=58),"10."&amp;Eingabe!$D$10&amp;".58.0/24","")</f>
        <v/>
      </c>
      <c r="G268" s="17" t="str">
        <f aca="false">IF(AND(Eingabe!$F$10&gt;0,Eingabe!$E$10&gt;=58),"10."&amp;Eingabe!$D$10&amp;".58.1","")</f>
        <v/>
      </c>
      <c r="H268" s="17" t="str">
        <f aca="false">IF(AND(Eingabe!$F$10&gt;0,Eingabe!$E$10&gt;=58),"10."&amp;Eingabe!$D$10&amp;".58.10 – 10."&amp;Eingabe!$D$10&amp;".58.250","")</f>
        <v/>
      </c>
      <c r="I268" s="17" t="str">
        <f aca="false">IF(AND(Eingabe!$F$10&gt;0,Eingabe!$E$10&gt;=58),Eingabe!$B$6&amp;"-"&amp;Eingabe!$C$10&amp;"-Pächter","")</f>
        <v/>
      </c>
      <c r="J268" s="17" t="str">
        <f aca="false">IF(AND(Eingabe!$F$10&gt;0,Eingabe!$E$10&gt;=58),"PPSK: Passwort Parzelle 58","")</f>
        <v/>
      </c>
      <c r="K268" s="17" t="str">
        <f aca="false">IF(AND(Eingabe!$F$10&gt;0,Eingabe!$E$10&gt;=58),"1. Gerät: 10."&amp;Eingabe!$D$10&amp;".58.10, 2. Gerät: .11","")</f>
        <v/>
      </c>
    </row>
    <row r="269" customFormat="false" ht="15" hidden="false" customHeight="false" outlineLevel="0" collapsed="false">
      <c r="A269" s="17" t="str">
        <f aca="false">IF(AND(Eingabe!$F$10&gt;0,Eingabe!$E$10&gt;=59),2,"")</f>
        <v/>
      </c>
      <c r="B269" s="17" t="str">
        <f aca="false">IF(AND(Eingabe!$F$10&gt;0,Eingabe!$E$10&gt;=59),Eingabe!$B$10,"")</f>
        <v/>
      </c>
      <c r="C269" s="17" t="str">
        <f aca="false">IF(AND(Eingabe!$F$10&gt;0,Eingabe!$E$10&gt;=59),Eingabe!$C$10&amp;"-Paz."&amp;TEXT(59,"000"),"")</f>
        <v/>
      </c>
      <c r="D269" s="17" t="str">
        <f aca="false">IF(AND(Eingabe!$F$10&gt;0,Eingabe!$E$10&gt;=59),59,"")</f>
        <v/>
      </c>
      <c r="E269" s="17" t="str">
        <f aca="false">IF(AND(Eingabe!$F$10&gt;0,Eingabe!$E$10&gt;=59),IF((Eingabe!$G$10)&lt;=9,1000+(Eingabe!$G$10)*100,3000)+59,"")</f>
        <v/>
      </c>
      <c r="F269" s="17" t="str">
        <f aca="false">IF(AND(Eingabe!$F$10&gt;0,Eingabe!$E$10&gt;=59),"10."&amp;Eingabe!$D$10&amp;".59.0/24","")</f>
        <v/>
      </c>
      <c r="G269" s="17" t="str">
        <f aca="false">IF(AND(Eingabe!$F$10&gt;0,Eingabe!$E$10&gt;=59),"10."&amp;Eingabe!$D$10&amp;".59.1","")</f>
        <v/>
      </c>
      <c r="H269" s="17" t="str">
        <f aca="false">IF(AND(Eingabe!$F$10&gt;0,Eingabe!$E$10&gt;=59),"10."&amp;Eingabe!$D$10&amp;".59.10 – 10."&amp;Eingabe!$D$10&amp;".59.250","")</f>
        <v/>
      </c>
      <c r="I269" s="17" t="str">
        <f aca="false">IF(AND(Eingabe!$F$10&gt;0,Eingabe!$E$10&gt;=59),Eingabe!$B$6&amp;"-"&amp;Eingabe!$C$10&amp;"-Pächter","")</f>
        <v/>
      </c>
      <c r="J269" s="17" t="str">
        <f aca="false">IF(AND(Eingabe!$F$10&gt;0,Eingabe!$E$10&gt;=59),"PPSK: Passwort Parzelle 59","")</f>
        <v/>
      </c>
      <c r="K269" s="17" t="str">
        <f aca="false">IF(AND(Eingabe!$F$10&gt;0,Eingabe!$E$10&gt;=59),"1. Gerät: 10."&amp;Eingabe!$D$10&amp;".59.10, 2. Gerät: .11","")</f>
        <v/>
      </c>
    </row>
    <row r="270" customFormat="false" ht="15" hidden="false" customHeight="false" outlineLevel="0" collapsed="false">
      <c r="A270" s="17" t="str">
        <f aca="false">IF(AND(Eingabe!$F$10&gt;0,Eingabe!$E$10&gt;=60),2,"")</f>
        <v/>
      </c>
      <c r="B270" s="17" t="str">
        <f aca="false">IF(AND(Eingabe!$F$10&gt;0,Eingabe!$E$10&gt;=60),Eingabe!$B$10,"")</f>
        <v/>
      </c>
      <c r="C270" s="17" t="str">
        <f aca="false">IF(AND(Eingabe!$F$10&gt;0,Eingabe!$E$10&gt;=60),Eingabe!$C$10&amp;"-Paz."&amp;TEXT(60,"000"),"")</f>
        <v/>
      </c>
      <c r="D270" s="17" t="str">
        <f aca="false">IF(AND(Eingabe!$F$10&gt;0,Eingabe!$E$10&gt;=60),60,"")</f>
        <v/>
      </c>
      <c r="E270" s="17" t="str">
        <f aca="false">IF(AND(Eingabe!$F$10&gt;0,Eingabe!$E$10&gt;=60),IF((Eingabe!$G$10)&lt;=9,1000+(Eingabe!$G$10)*100,3000)+60,"")</f>
        <v/>
      </c>
      <c r="F270" s="17" t="str">
        <f aca="false">IF(AND(Eingabe!$F$10&gt;0,Eingabe!$E$10&gt;=60),"10."&amp;Eingabe!$D$10&amp;".60.0/24","")</f>
        <v/>
      </c>
      <c r="G270" s="17" t="str">
        <f aca="false">IF(AND(Eingabe!$F$10&gt;0,Eingabe!$E$10&gt;=60),"10."&amp;Eingabe!$D$10&amp;".60.1","")</f>
        <v/>
      </c>
      <c r="H270" s="17" t="str">
        <f aca="false">IF(AND(Eingabe!$F$10&gt;0,Eingabe!$E$10&gt;=60),"10."&amp;Eingabe!$D$10&amp;".60.10 – 10."&amp;Eingabe!$D$10&amp;".60.250","")</f>
        <v/>
      </c>
      <c r="I270" s="17" t="str">
        <f aca="false">IF(AND(Eingabe!$F$10&gt;0,Eingabe!$E$10&gt;=60),Eingabe!$B$6&amp;"-"&amp;Eingabe!$C$10&amp;"-Pächter","")</f>
        <v/>
      </c>
      <c r="J270" s="17" t="str">
        <f aca="false">IF(AND(Eingabe!$F$10&gt;0,Eingabe!$E$10&gt;=60),"PPSK: Passwort Parzelle 60","")</f>
        <v/>
      </c>
      <c r="K270" s="17" t="str">
        <f aca="false">IF(AND(Eingabe!$F$10&gt;0,Eingabe!$E$10&gt;=60),"1. Gerät: 10."&amp;Eingabe!$D$10&amp;".60.10, 2. Gerät: .11","")</f>
        <v/>
      </c>
    </row>
    <row r="271" customFormat="false" ht="15" hidden="false" customHeight="false" outlineLevel="0" collapsed="false">
      <c r="A271" s="17" t="str">
        <f aca="false">IF(AND(Eingabe!$F$10&gt;0,Eingabe!$E$10&gt;=61),2,"")</f>
        <v/>
      </c>
      <c r="B271" s="17" t="str">
        <f aca="false">IF(AND(Eingabe!$F$10&gt;0,Eingabe!$E$10&gt;=61),Eingabe!$B$10,"")</f>
        <v/>
      </c>
      <c r="C271" s="17" t="str">
        <f aca="false">IF(AND(Eingabe!$F$10&gt;0,Eingabe!$E$10&gt;=61),Eingabe!$C$10&amp;"-Paz."&amp;TEXT(61,"000"),"")</f>
        <v/>
      </c>
      <c r="D271" s="17" t="str">
        <f aca="false">IF(AND(Eingabe!$F$10&gt;0,Eingabe!$E$10&gt;=61),61,"")</f>
        <v/>
      </c>
      <c r="E271" s="17" t="str">
        <f aca="false">IF(AND(Eingabe!$F$10&gt;0,Eingabe!$E$10&gt;=61),IF((Eingabe!$G$10)&lt;=9,1000+(Eingabe!$G$10)*100,3000)+61,"")</f>
        <v/>
      </c>
      <c r="F271" s="17" t="str">
        <f aca="false">IF(AND(Eingabe!$F$10&gt;0,Eingabe!$E$10&gt;=61),"10."&amp;Eingabe!$D$10&amp;".61.0/24","")</f>
        <v/>
      </c>
      <c r="G271" s="17" t="str">
        <f aca="false">IF(AND(Eingabe!$F$10&gt;0,Eingabe!$E$10&gt;=61),"10."&amp;Eingabe!$D$10&amp;".61.1","")</f>
        <v/>
      </c>
      <c r="H271" s="17" t="str">
        <f aca="false">IF(AND(Eingabe!$F$10&gt;0,Eingabe!$E$10&gt;=61),"10."&amp;Eingabe!$D$10&amp;".61.10 – 10."&amp;Eingabe!$D$10&amp;".61.250","")</f>
        <v/>
      </c>
      <c r="I271" s="17" t="str">
        <f aca="false">IF(AND(Eingabe!$F$10&gt;0,Eingabe!$E$10&gt;=61),Eingabe!$B$6&amp;"-"&amp;Eingabe!$C$10&amp;"-Pächter","")</f>
        <v/>
      </c>
      <c r="J271" s="17" t="str">
        <f aca="false">IF(AND(Eingabe!$F$10&gt;0,Eingabe!$E$10&gt;=61),"PPSK: Passwort Parzelle 61","")</f>
        <v/>
      </c>
      <c r="K271" s="17" t="str">
        <f aca="false">IF(AND(Eingabe!$F$10&gt;0,Eingabe!$E$10&gt;=61),"1. Gerät: 10."&amp;Eingabe!$D$10&amp;".61.10, 2. Gerät: .11","")</f>
        <v/>
      </c>
    </row>
    <row r="272" customFormat="false" ht="15" hidden="false" customHeight="false" outlineLevel="0" collapsed="false">
      <c r="A272" s="17" t="str">
        <f aca="false">IF(AND(Eingabe!$F$10&gt;0,Eingabe!$E$10&gt;=62),2,"")</f>
        <v/>
      </c>
      <c r="B272" s="17" t="str">
        <f aca="false">IF(AND(Eingabe!$F$10&gt;0,Eingabe!$E$10&gt;=62),Eingabe!$B$10,"")</f>
        <v/>
      </c>
      <c r="C272" s="17" t="str">
        <f aca="false">IF(AND(Eingabe!$F$10&gt;0,Eingabe!$E$10&gt;=62),Eingabe!$C$10&amp;"-Paz."&amp;TEXT(62,"000"),"")</f>
        <v/>
      </c>
      <c r="D272" s="17" t="str">
        <f aca="false">IF(AND(Eingabe!$F$10&gt;0,Eingabe!$E$10&gt;=62),62,"")</f>
        <v/>
      </c>
      <c r="E272" s="17" t="str">
        <f aca="false">IF(AND(Eingabe!$F$10&gt;0,Eingabe!$E$10&gt;=62),IF((Eingabe!$G$10)&lt;=9,1000+(Eingabe!$G$10)*100,3000)+62,"")</f>
        <v/>
      </c>
      <c r="F272" s="17" t="str">
        <f aca="false">IF(AND(Eingabe!$F$10&gt;0,Eingabe!$E$10&gt;=62),"10."&amp;Eingabe!$D$10&amp;".62.0/24","")</f>
        <v/>
      </c>
      <c r="G272" s="17" t="str">
        <f aca="false">IF(AND(Eingabe!$F$10&gt;0,Eingabe!$E$10&gt;=62),"10."&amp;Eingabe!$D$10&amp;".62.1","")</f>
        <v/>
      </c>
      <c r="H272" s="17" t="str">
        <f aca="false">IF(AND(Eingabe!$F$10&gt;0,Eingabe!$E$10&gt;=62),"10."&amp;Eingabe!$D$10&amp;".62.10 – 10."&amp;Eingabe!$D$10&amp;".62.250","")</f>
        <v/>
      </c>
      <c r="I272" s="17" t="str">
        <f aca="false">IF(AND(Eingabe!$F$10&gt;0,Eingabe!$E$10&gt;=62),Eingabe!$B$6&amp;"-"&amp;Eingabe!$C$10&amp;"-Pächter","")</f>
        <v/>
      </c>
      <c r="J272" s="17" t="str">
        <f aca="false">IF(AND(Eingabe!$F$10&gt;0,Eingabe!$E$10&gt;=62),"PPSK: Passwort Parzelle 62","")</f>
        <v/>
      </c>
      <c r="K272" s="17" t="str">
        <f aca="false">IF(AND(Eingabe!$F$10&gt;0,Eingabe!$E$10&gt;=62),"1. Gerät: 10."&amp;Eingabe!$D$10&amp;".62.10, 2. Gerät: .11","")</f>
        <v/>
      </c>
    </row>
    <row r="273" customFormat="false" ht="15" hidden="false" customHeight="false" outlineLevel="0" collapsed="false">
      <c r="A273" s="17" t="str">
        <f aca="false">IF(AND(Eingabe!$F$10&gt;0,Eingabe!$E$10&gt;=63),2,"")</f>
        <v/>
      </c>
      <c r="B273" s="17" t="str">
        <f aca="false">IF(AND(Eingabe!$F$10&gt;0,Eingabe!$E$10&gt;=63),Eingabe!$B$10,"")</f>
        <v/>
      </c>
      <c r="C273" s="17" t="str">
        <f aca="false">IF(AND(Eingabe!$F$10&gt;0,Eingabe!$E$10&gt;=63),Eingabe!$C$10&amp;"-Paz."&amp;TEXT(63,"000"),"")</f>
        <v/>
      </c>
      <c r="D273" s="17" t="str">
        <f aca="false">IF(AND(Eingabe!$F$10&gt;0,Eingabe!$E$10&gt;=63),63,"")</f>
        <v/>
      </c>
      <c r="E273" s="17" t="str">
        <f aca="false">IF(AND(Eingabe!$F$10&gt;0,Eingabe!$E$10&gt;=63),IF((Eingabe!$G$10)&lt;=9,1000+(Eingabe!$G$10)*100,3000)+63,"")</f>
        <v/>
      </c>
      <c r="F273" s="17" t="str">
        <f aca="false">IF(AND(Eingabe!$F$10&gt;0,Eingabe!$E$10&gt;=63),"10."&amp;Eingabe!$D$10&amp;".63.0/24","")</f>
        <v/>
      </c>
      <c r="G273" s="17" t="str">
        <f aca="false">IF(AND(Eingabe!$F$10&gt;0,Eingabe!$E$10&gt;=63),"10."&amp;Eingabe!$D$10&amp;".63.1","")</f>
        <v/>
      </c>
      <c r="H273" s="17" t="str">
        <f aca="false">IF(AND(Eingabe!$F$10&gt;0,Eingabe!$E$10&gt;=63),"10."&amp;Eingabe!$D$10&amp;".63.10 – 10."&amp;Eingabe!$D$10&amp;".63.250","")</f>
        <v/>
      </c>
      <c r="I273" s="17" t="str">
        <f aca="false">IF(AND(Eingabe!$F$10&gt;0,Eingabe!$E$10&gt;=63),Eingabe!$B$6&amp;"-"&amp;Eingabe!$C$10&amp;"-Pächter","")</f>
        <v/>
      </c>
      <c r="J273" s="17" t="str">
        <f aca="false">IF(AND(Eingabe!$F$10&gt;0,Eingabe!$E$10&gt;=63),"PPSK: Passwort Parzelle 63","")</f>
        <v/>
      </c>
      <c r="K273" s="17" t="str">
        <f aca="false">IF(AND(Eingabe!$F$10&gt;0,Eingabe!$E$10&gt;=63),"1. Gerät: 10."&amp;Eingabe!$D$10&amp;".63.10, 2. Gerät: .11","")</f>
        <v/>
      </c>
    </row>
    <row r="274" customFormat="false" ht="15" hidden="false" customHeight="false" outlineLevel="0" collapsed="false">
      <c r="A274" s="17" t="str">
        <f aca="false">IF(AND(Eingabe!$F$10&gt;0,Eingabe!$E$10&gt;=64),2,"")</f>
        <v/>
      </c>
      <c r="B274" s="17" t="str">
        <f aca="false">IF(AND(Eingabe!$F$10&gt;0,Eingabe!$E$10&gt;=64),Eingabe!$B$10,"")</f>
        <v/>
      </c>
      <c r="C274" s="17" t="str">
        <f aca="false">IF(AND(Eingabe!$F$10&gt;0,Eingabe!$E$10&gt;=64),Eingabe!$C$10&amp;"-Paz."&amp;TEXT(64,"000"),"")</f>
        <v/>
      </c>
      <c r="D274" s="17" t="str">
        <f aca="false">IF(AND(Eingabe!$F$10&gt;0,Eingabe!$E$10&gt;=64),64,"")</f>
        <v/>
      </c>
      <c r="E274" s="17" t="str">
        <f aca="false">IF(AND(Eingabe!$F$10&gt;0,Eingabe!$E$10&gt;=64),IF((Eingabe!$G$10)&lt;=9,1000+(Eingabe!$G$10)*100,3000)+64,"")</f>
        <v/>
      </c>
      <c r="F274" s="17" t="str">
        <f aca="false">IF(AND(Eingabe!$F$10&gt;0,Eingabe!$E$10&gt;=64),"10."&amp;Eingabe!$D$10&amp;".64.0/24","")</f>
        <v/>
      </c>
      <c r="G274" s="17" t="str">
        <f aca="false">IF(AND(Eingabe!$F$10&gt;0,Eingabe!$E$10&gt;=64),"10."&amp;Eingabe!$D$10&amp;".64.1","")</f>
        <v/>
      </c>
      <c r="H274" s="17" t="str">
        <f aca="false">IF(AND(Eingabe!$F$10&gt;0,Eingabe!$E$10&gt;=64),"10."&amp;Eingabe!$D$10&amp;".64.10 – 10."&amp;Eingabe!$D$10&amp;".64.250","")</f>
        <v/>
      </c>
      <c r="I274" s="17" t="str">
        <f aca="false">IF(AND(Eingabe!$F$10&gt;0,Eingabe!$E$10&gt;=64),Eingabe!$B$6&amp;"-"&amp;Eingabe!$C$10&amp;"-Pächter","")</f>
        <v/>
      </c>
      <c r="J274" s="17" t="str">
        <f aca="false">IF(AND(Eingabe!$F$10&gt;0,Eingabe!$E$10&gt;=64),"PPSK: Passwort Parzelle 64","")</f>
        <v/>
      </c>
      <c r="K274" s="17" t="str">
        <f aca="false">IF(AND(Eingabe!$F$10&gt;0,Eingabe!$E$10&gt;=64),"1. Gerät: 10."&amp;Eingabe!$D$10&amp;".64.10, 2. Gerät: .11","")</f>
        <v/>
      </c>
    </row>
    <row r="275" customFormat="false" ht="15" hidden="false" customHeight="false" outlineLevel="0" collapsed="false">
      <c r="A275" s="17" t="str">
        <f aca="false">IF(AND(Eingabe!$F$10&gt;0,Eingabe!$E$10&gt;=65),2,"")</f>
        <v/>
      </c>
      <c r="B275" s="17" t="str">
        <f aca="false">IF(AND(Eingabe!$F$10&gt;0,Eingabe!$E$10&gt;=65),Eingabe!$B$10,"")</f>
        <v/>
      </c>
      <c r="C275" s="17" t="str">
        <f aca="false">IF(AND(Eingabe!$F$10&gt;0,Eingabe!$E$10&gt;=65),Eingabe!$C$10&amp;"-Paz."&amp;TEXT(65,"000"),"")</f>
        <v/>
      </c>
      <c r="D275" s="17" t="str">
        <f aca="false">IF(AND(Eingabe!$F$10&gt;0,Eingabe!$E$10&gt;=65),65,"")</f>
        <v/>
      </c>
      <c r="E275" s="17" t="str">
        <f aca="false">IF(AND(Eingabe!$F$10&gt;0,Eingabe!$E$10&gt;=65),IF((Eingabe!$G$10)&lt;=9,1000+(Eingabe!$G$10)*100,3000)+65,"")</f>
        <v/>
      </c>
      <c r="F275" s="17" t="str">
        <f aca="false">IF(AND(Eingabe!$F$10&gt;0,Eingabe!$E$10&gt;=65),"10."&amp;Eingabe!$D$10&amp;".65.0/24","")</f>
        <v/>
      </c>
      <c r="G275" s="17" t="str">
        <f aca="false">IF(AND(Eingabe!$F$10&gt;0,Eingabe!$E$10&gt;=65),"10."&amp;Eingabe!$D$10&amp;".65.1","")</f>
        <v/>
      </c>
      <c r="H275" s="17" t="str">
        <f aca="false">IF(AND(Eingabe!$F$10&gt;0,Eingabe!$E$10&gt;=65),"10."&amp;Eingabe!$D$10&amp;".65.10 – 10."&amp;Eingabe!$D$10&amp;".65.250","")</f>
        <v/>
      </c>
      <c r="I275" s="17" t="str">
        <f aca="false">IF(AND(Eingabe!$F$10&gt;0,Eingabe!$E$10&gt;=65),Eingabe!$B$6&amp;"-"&amp;Eingabe!$C$10&amp;"-Pächter","")</f>
        <v/>
      </c>
      <c r="J275" s="17" t="str">
        <f aca="false">IF(AND(Eingabe!$F$10&gt;0,Eingabe!$E$10&gt;=65),"PPSK: Passwort Parzelle 65","")</f>
        <v/>
      </c>
      <c r="K275" s="17" t="str">
        <f aca="false">IF(AND(Eingabe!$F$10&gt;0,Eingabe!$E$10&gt;=65),"1. Gerät: 10."&amp;Eingabe!$D$10&amp;".65.10, 2. Gerät: .11","")</f>
        <v/>
      </c>
    </row>
    <row r="276" customFormat="false" ht="15" hidden="false" customHeight="false" outlineLevel="0" collapsed="false">
      <c r="A276" s="17" t="str">
        <f aca="false">IF(AND(Eingabe!$F$10&gt;0,Eingabe!$E$10&gt;=66),2,"")</f>
        <v/>
      </c>
      <c r="B276" s="17" t="str">
        <f aca="false">IF(AND(Eingabe!$F$10&gt;0,Eingabe!$E$10&gt;=66),Eingabe!$B$10,"")</f>
        <v/>
      </c>
      <c r="C276" s="17" t="str">
        <f aca="false">IF(AND(Eingabe!$F$10&gt;0,Eingabe!$E$10&gt;=66),Eingabe!$C$10&amp;"-Paz."&amp;TEXT(66,"000"),"")</f>
        <v/>
      </c>
      <c r="D276" s="17" t="str">
        <f aca="false">IF(AND(Eingabe!$F$10&gt;0,Eingabe!$E$10&gt;=66),66,"")</f>
        <v/>
      </c>
      <c r="E276" s="17" t="str">
        <f aca="false">IF(AND(Eingabe!$F$10&gt;0,Eingabe!$E$10&gt;=66),IF((Eingabe!$G$10)&lt;=9,1000+(Eingabe!$G$10)*100,3000)+66,"")</f>
        <v/>
      </c>
      <c r="F276" s="17" t="str">
        <f aca="false">IF(AND(Eingabe!$F$10&gt;0,Eingabe!$E$10&gt;=66),"10."&amp;Eingabe!$D$10&amp;".66.0/24","")</f>
        <v/>
      </c>
      <c r="G276" s="17" t="str">
        <f aca="false">IF(AND(Eingabe!$F$10&gt;0,Eingabe!$E$10&gt;=66),"10."&amp;Eingabe!$D$10&amp;".66.1","")</f>
        <v/>
      </c>
      <c r="H276" s="17" t="str">
        <f aca="false">IF(AND(Eingabe!$F$10&gt;0,Eingabe!$E$10&gt;=66),"10."&amp;Eingabe!$D$10&amp;".66.10 – 10."&amp;Eingabe!$D$10&amp;".66.250","")</f>
        <v/>
      </c>
      <c r="I276" s="17" t="str">
        <f aca="false">IF(AND(Eingabe!$F$10&gt;0,Eingabe!$E$10&gt;=66),Eingabe!$B$6&amp;"-"&amp;Eingabe!$C$10&amp;"-Pächter","")</f>
        <v/>
      </c>
      <c r="J276" s="17" t="str">
        <f aca="false">IF(AND(Eingabe!$F$10&gt;0,Eingabe!$E$10&gt;=66),"PPSK: Passwort Parzelle 66","")</f>
        <v/>
      </c>
      <c r="K276" s="17" t="str">
        <f aca="false">IF(AND(Eingabe!$F$10&gt;0,Eingabe!$E$10&gt;=66),"1. Gerät: 10."&amp;Eingabe!$D$10&amp;".66.10, 2. Gerät: .11","")</f>
        <v/>
      </c>
    </row>
    <row r="277" customFormat="false" ht="15" hidden="false" customHeight="false" outlineLevel="0" collapsed="false">
      <c r="A277" s="17" t="str">
        <f aca="false">IF(AND(Eingabe!$F$10&gt;0,Eingabe!$E$10&gt;=67),2,"")</f>
        <v/>
      </c>
      <c r="B277" s="17" t="str">
        <f aca="false">IF(AND(Eingabe!$F$10&gt;0,Eingabe!$E$10&gt;=67),Eingabe!$B$10,"")</f>
        <v/>
      </c>
      <c r="C277" s="17" t="str">
        <f aca="false">IF(AND(Eingabe!$F$10&gt;0,Eingabe!$E$10&gt;=67),Eingabe!$C$10&amp;"-Paz."&amp;TEXT(67,"000"),"")</f>
        <v/>
      </c>
      <c r="D277" s="17" t="str">
        <f aca="false">IF(AND(Eingabe!$F$10&gt;0,Eingabe!$E$10&gt;=67),67,"")</f>
        <v/>
      </c>
      <c r="E277" s="17" t="str">
        <f aca="false">IF(AND(Eingabe!$F$10&gt;0,Eingabe!$E$10&gt;=67),IF((Eingabe!$G$10)&lt;=9,1000+(Eingabe!$G$10)*100,3000)+67,"")</f>
        <v/>
      </c>
      <c r="F277" s="17" t="str">
        <f aca="false">IF(AND(Eingabe!$F$10&gt;0,Eingabe!$E$10&gt;=67),"10."&amp;Eingabe!$D$10&amp;".67.0/24","")</f>
        <v/>
      </c>
      <c r="G277" s="17" t="str">
        <f aca="false">IF(AND(Eingabe!$F$10&gt;0,Eingabe!$E$10&gt;=67),"10."&amp;Eingabe!$D$10&amp;".67.1","")</f>
        <v/>
      </c>
      <c r="H277" s="17" t="str">
        <f aca="false">IF(AND(Eingabe!$F$10&gt;0,Eingabe!$E$10&gt;=67),"10."&amp;Eingabe!$D$10&amp;".67.10 – 10."&amp;Eingabe!$D$10&amp;".67.250","")</f>
        <v/>
      </c>
      <c r="I277" s="17" t="str">
        <f aca="false">IF(AND(Eingabe!$F$10&gt;0,Eingabe!$E$10&gt;=67),Eingabe!$B$6&amp;"-"&amp;Eingabe!$C$10&amp;"-Pächter","")</f>
        <v/>
      </c>
      <c r="J277" s="17" t="str">
        <f aca="false">IF(AND(Eingabe!$F$10&gt;0,Eingabe!$E$10&gt;=67),"PPSK: Passwort Parzelle 67","")</f>
        <v/>
      </c>
      <c r="K277" s="17" t="str">
        <f aca="false">IF(AND(Eingabe!$F$10&gt;0,Eingabe!$E$10&gt;=67),"1. Gerät: 10."&amp;Eingabe!$D$10&amp;".67.10, 2. Gerät: .11","")</f>
        <v/>
      </c>
    </row>
    <row r="278" customFormat="false" ht="15" hidden="false" customHeight="false" outlineLevel="0" collapsed="false">
      <c r="A278" s="17" t="str">
        <f aca="false">IF(AND(Eingabe!$F$10&gt;0,Eingabe!$E$10&gt;=68),2,"")</f>
        <v/>
      </c>
      <c r="B278" s="17" t="str">
        <f aca="false">IF(AND(Eingabe!$F$10&gt;0,Eingabe!$E$10&gt;=68),Eingabe!$B$10,"")</f>
        <v/>
      </c>
      <c r="C278" s="17" t="str">
        <f aca="false">IF(AND(Eingabe!$F$10&gt;0,Eingabe!$E$10&gt;=68),Eingabe!$C$10&amp;"-Paz."&amp;TEXT(68,"000"),"")</f>
        <v/>
      </c>
      <c r="D278" s="17" t="str">
        <f aca="false">IF(AND(Eingabe!$F$10&gt;0,Eingabe!$E$10&gt;=68),68,"")</f>
        <v/>
      </c>
      <c r="E278" s="17" t="str">
        <f aca="false">IF(AND(Eingabe!$F$10&gt;0,Eingabe!$E$10&gt;=68),IF((Eingabe!$G$10)&lt;=9,1000+(Eingabe!$G$10)*100,3000)+68,"")</f>
        <v/>
      </c>
      <c r="F278" s="17" t="str">
        <f aca="false">IF(AND(Eingabe!$F$10&gt;0,Eingabe!$E$10&gt;=68),"10."&amp;Eingabe!$D$10&amp;".68.0/24","")</f>
        <v/>
      </c>
      <c r="G278" s="17" t="str">
        <f aca="false">IF(AND(Eingabe!$F$10&gt;0,Eingabe!$E$10&gt;=68),"10."&amp;Eingabe!$D$10&amp;".68.1","")</f>
        <v/>
      </c>
      <c r="H278" s="17" t="str">
        <f aca="false">IF(AND(Eingabe!$F$10&gt;0,Eingabe!$E$10&gt;=68),"10."&amp;Eingabe!$D$10&amp;".68.10 – 10."&amp;Eingabe!$D$10&amp;".68.250","")</f>
        <v/>
      </c>
      <c r="I278" s="17" t="str">
        <f aca="false">IF(AND(Eingabe!$F$10&gt;0,Eingabe!$E$10&gt;=68),Eingabe!$B$6&amp;"-"&amp;Eingabe!$C$10&amp;"-Pächter","")</f>
        <v/>
      </c>
      <c r="J278" s="17" t="str">
        <f aca="false">IF(AND(Eingabe!$F$10&gt;0,Eingabe!$E$10&gt;=68),"PPSK: Passwort Parzelle 68","")</f>
        <v/>
      </c>
      <c r="K278" s="17" t="str">
        <f aca="false">IF(AND(Eingabe!$F$10&gt;0,Eingabe!$E$10&gt;=68),"1. Gerät: 10."&amp;Eingabe!$D$10&amp;".68.10, 2. Gerät: .11","")</f>
        <v/>
      </c>
    </row>
    <row r="279" customFormat="false" ht="15" hidden="false" customHeight="false" outlineLevel="0" collapsed="false">
      <c r="A279" s="17" t="str">
        <f aca="false">IF(AND(Eingabe!$F$10&gt;0,Eingabe!$E$10&gt;=69),2,"")</f>
        <v/>
      </c>
      <c r="B279" s="17" t="str">
        <f aca="false">IF(AND(Eingabe!$F$10&gt;0,Eingabe!$E$10&gt;=69),Eingabe!$B$10,"")</f>
        <v/>
      </c>
      <c r="C279" s="17" t="str">
        <f aca="false">IF(AND(Eingabe!$F$10&gt;0,Eingabe!$E$10&gt;=69),Eingabe!$C$10&amp;"-Paz."&amp;TEXT(69,"000"),"")</f>
        <v/>
      </c>
      <c r="D279" s="17" t="str">
        <f aca="false">IF(AND(Eingabe!$F$10&gt;0,Eingabe!$E$10&gt;=69),69,"")</f>
        <v/>
      </c>
      <c r="E279" s="17" t="str">
        <f aca="false">IF(AND(Eingabe!$F$10&gt;0,Eingabe!$E$10&gt;=69),IF((Eingabe!$G$10)&lt;=9,1000+(Eingabe!$G$10)*100,3000)+69,"")</f>
        <v/>
      </c>
      <c r="F279" s="17" t="str">
        <f aca="false">IF(AND(Eingabe!$F$10&gt;0,Eingabe!$E$10&gt;=69),"10."&amp;Eingabe!$D$10&amp;".69.0/24","")</f>
        <v/>
      </c>
      <c r="G279" s="17" t="str">
        <f aca="false">IF(AND(Eingabe!$F$10&gt;0,Eingabe!$E$10&gt;=69),"10."&amp;Eingabe!$D$10&amp;".69.1","")</f>
        <v/>
      </c>
      <c r="H279" s="17" t="str">
        <f aca="false">IF(AND(Eingabe!$F$10&gt;0,Eingabe!$E$10&gt;=69),"10."&amp;Eingabe!$D$10&amp;".69.10 – 10."&amp;Eingabe!$D$10&amp;".69.250","")</f>
        <v/>
      </c>
      <c r="I279" s="17" t="str">
        <f aca="false">IF(AND(Eingabe!$F$10&gt;0,Eingabe!$E$10&gt;=69),Eingabe!$B$6&amp;"-"&amp;Eingabe!$C$10&amp;"-Pächter","")</f>
        <v/>
      </c>
      <c r="J279" s="17" t="str">
        <f aca="false">IF(AND(Eingabe!$F$10&gt;0,Eingabe!$E$10&gt;=69),"PPSK: Passwort Parzelle 69","")</f>
        <v/>
      </c>
      <c r="K279" s="17" t="str">
        <f aca="false">IF(AND(Eingabe!$F$10&gt;0,Eingabe!$E$10&gt;=69),"1. Gerät: 10."&amp;Eingabe!$D$10&amp;".69.10, 2. Gerät: .11","")</f>
        <v/>
      </c>
    </row>
    <row r="280" customFormat="false" ht="15" hidden="false" customHeight="false" outlineLevel="0" collapsed="false">
      <c r="A280" s="17" t="str">
        <f aca="false">IF(AND(Eingabe!$F$10&gt;0,Eingabe!$E$10&gt;=70),2,"")</f>
        <v/>
      </c>
      <c r="B280" s="17" t="str">
        <f aca="false">IF(AND(Eingabe!$F$10&gt;0,Eingabe!$E$10&gt;=70),Eingabe!$B$10,"")</f>
        <v/>
      </c>
      <c r="C280" s="17" t="str">
        <f aca="false">IF(AND(Eingabe!$F$10&gt;0,Eingabe!$E$10&gt;=70),Eingabe!$C$10&amp;"-Paz."&amp;TEXT(70,"000"),"")</f>
        <v/>
      </c>
      <c r="D280" s="17" t="str">
        <f aca="false">IF(AND(Eingabe!$F$10&gt;0,Eingabe!$E$10&gt;=70),70,"")</f>
        <v/>
      </c>
      <c r="E280" s="17" t="str">
        <f aca="false">IF(AND(Eingabe!$F$10&gt;0,Eingabe!$E$10&gt;=70),IF((Eingabe!$G$10)&lt;=9,1000+(Eingabe!$G$10)*100,3000)+70,"")</f>
        <v/>
      </c>
      <c r="F280" s="17" t="str">
        <f aca="false">IF(AND(Eingabe!$F$10&gt;0,Eingabe!$E$10&gt;=70),"10."&amp;Eingabe!$D$10&amp;".70.0/24","")</f>
        <v/>
      </c>
      <c r="G280" s="17" t="str">
        <f aca="false">IF(AND(Eingabe!$F$10&gt;0,Eingabe!$E$10&gt;=70),"10."&amp;Eingabe!$D$10&amp;".70.1","")</f>
        <v/>
      </c>
      <c r="H280" s="17" t="str">
        <f aca="false">IF(AND(Eingabe!$F$10&gt;0,Eingabe!$E$10&gt;=70),"10."&amp;Eingabe!$D$10&amp;".70.10 – 10."&amp;Eingabe!$D$10&amp;".70.250","")</f>
        <v/>
      </c>
      <c r="I280" s="17" t="str">
        <f aca="false">IF(AND(Eingabe!$F$10&gt;0,Eingabe!$E$10&gt;=70),Eingabe!$B$6&amp;"-"&amp;Eingabe!$C$10&amp;"-Pächter","")</f>
        <v/>
      </c>
      <c r="J280" s="17" t="str">
        <f aca="false">IF(AND(Eingabe!$F$10&gt;0,Eingabe!$E$10&gt;=70),"PPSK: Passwort Parzelle 70","")</f>
        <v/>
      </c>
      <c r="K280" s="17" t="str">
        <f aca="false">IF(AND(Eingabe!$F$10&gt;0,Eingabe!$E$10&gt;=70),"1. Gerät: 10."&amp;Eingabe!$D$10&amp;".70.10, 2. Gerät: .11","")</f>
        <v/>
      </c>
    </row>
    <row r="281" customFormat="false" ht="15" hidden="false" customHeight="false" outlineLevel="0" collapsed="false">
      <c r="A281" s="17" t="str">
        <f aca="false">IF(AND(Eingabe!$F$10&gt;0,Eingabe!$E$10&gt;=71),2,"")</f>
        <v/>
      </c>
      <c r="B281" s="17" t="str">
        <f aca="false">IF(AND(Eingabe!$F$10&gt;0,Eingabe!$E$10&gt;=71),Eingabe!$B$10,"")</f>
        <v/>
      </c>
      <c r="C281" s="17" t="str">
        <f aca="false">IF(AND(Eingabe!$F$10&gt;0,Eingabe!$E$10&gt;=71),Eingabe!$C$10&amp;"-Paz."&amp;TEXT(71,"000"),"")</f>
        <v/>
      </c>
      <c r="D281" s="17" t="str">
        <f aca="false">IF(AND(Eingabe!$F$10&gt;0,Eingabe!$E$10&gt;=71),71,"")</f>
        <v/>
      </c>
      <c r="E281" s="17" t="str">
        <f aca="false">IF(AND(Eingabe!$F$10&gt;0,Eingabe!$E$10&gt;=71),IF((Eingabe!$G$10)&lt;=9,1000+(Eingabe!$G$10)*100,3000)+71,"")</f>
        <v/>
      </c>
      <c r="F281" s="17" t="str">
        <f aca="false">IF(AND(Eingabe!$F$10&gt;0,Eingabe!$E$10&gt;=71),"10."&amp;Eingabe!$D$10&amp;".71.0/24","")</f>
        <v/>
      </c>
      <c r="G281" s="17" t="str">
        <f aca="false">IF(AND(Eingabe!$F$10&gt;0,Eingabe!$E$10&gt;=71),"10."&amp;Eingabe!$D$10&amp;".71.1","")</f>
        <v/>
      </c>
      <c r="H281" s="17" t="str">
        <f aca="false">IF(AND(Eingabe!$F$10&gt;0,Eingabe!$E$10&gt;=71),"10."&amp;Eingabe!$D$10&amp;".71.10 – 10."&amp;Eingabe!$D$10&amp;".71.250","")</f>
        <v/>
      </c>
      <c r="I281" s="17" t="str">
        <f aca="false">IF(AND(Eingabe!$F$10&gt;0,Eingabe!$E$10&gt;=71),Eingabe!$B$6&amp;"-"&amp;Eingabe!$C$10&amp;"-Pächter","")</f>
        <v/>
      </c>
      <c r="J281" s="17" t="str">
        <f aca="false">IF(AND(Eingabe!$F$10&gt;0,Eingabe!$E$10&gt;=71),"PPSK: Passwort Parzelle 71","")</f>
        <v/>
      </c>
      <c r="K281" s="17" t="str">
        <f aca="false">IF(AND(Eingabe!$F$10&gt;0,Eingabe!$E$10&gt;=71),"1. Gerät: 10."&amp;Eingabe!$D$10&amp;".71.10, 2. Gerät: .11","")</f>
        <v/>
      </c>
    </row>
    <row r="282" customFormat="false" ht="15" hidden="false" customHeight="false" outlineLevel="0" collapsed="false">
      <c r="A282" s="17" t="str">
        <f aca="false">IF(AND(Eingabe!$F$10&gt;0,Eingabe!$E$10&gt;=72),2,"")</f>
        <v/>
      </c>
      <c r="B282" s="17" t="str">
        <f aca="false">IF(AND(Eingabe!$F$10&gt;0,Eingabe!$E$10&gt;=72),Eingabe!$B$10,"")</f>
        <v/>
      </c>
      <c r="C282" s="17" t="str">
        <f aca="false">IF(AND(Eingabe!$F$10&gt;0,Eingabe!$E$10&gt;=72),Eingabe!$C$10&amp;"-Paz."&amp;TEXT(72,"000"),"")</f>
        <v/>
      </c>
      <c r="D282" s="17" t="str">
        <f aca="false">IF(AND(Eingabe!$F$10&gt;0,Eingabe!$E$10&gt;=72),72,"")</f>
        <v/>
      </c>
      <c r="E282" s="17" t="str">
        <f aca="false">IF(AND(Eingabe!$F$10&gt;0,Eingabe!$E$10&gt;=72),IF((Eingabe!$G$10)&lt;=9,1000+(Eingabe!$G$10)*100,3000)+72,"")</f>
        <v/>
      </c>
      <c r="F282" s="17" t="str">
        <f aca="false">IF(AND(Eingabe!$F$10&gt;0,Eingabe!$E$10&gt;=72),"10."&amp;Eingabe!$D$10&amp;".72.0/24","")</f>
        <v/>
      </c>
      <c r="G282" s="17" t="str">
        <f aca="false">IF(AND(Eingabe!$F$10&gt;0,Eingabe!$E$10&gt;=72),"10."&amp;Eingabe!$D$10&amp;".72.1","")</f>
        <v/>
      </c>
      <c r="H282" s="17" t="str">
        <f aca="false">IF(AND(Eingabe!$F$10&gt;0,Eingabe!$E$10&gt;=72),"10."&amp;Eingabe!$D$10&amp;".72.10 – 10."&amp;Eingabe!$D$10&amp;".72.250","")</f>
        <v/>
      </c>
      <c r="I282" s="17" t="str">
        <f aca="false">IF(AND(Eingabe!$F$10&gt;0,Eingabe!$E$10&gt;=72),Eingabe!$B$6&amp;"-"&amp;Eingabe!$C$10&amp;"-Pächter","")</f>
        <v/>
      </c>
      <c r="J282" s="17" t="str">
        <f aca="false">IF(AND(Eingabe!$F$10&gt;0,Eingabe!$E$10&gt;=72),"PPSK: Passwort Parzelle 72","")</f>
        <v/>
      </c>
      <c r="K282" s="17" t="str">
        <f aca="false">IF(AND(Eingabe!$F$10&gt;0,Eingabe!$E$10&gt;=72),"1. Gerät: 10."&amp;Eingabe!$D$10&amp;".72.10, 2. Gerät: .11","")</f>
        <v/>
      </c>
    </row>
    <row r="283" customFormat="false" ht="15" hidden="false" customHeight="false" outlineLevel="0" collapsed="false">
      <c r="A283" s="17" t="str">
        <f aca="false">IF(AND(Eingabe!$F$10&gt;0,Eingabe!$E$10&gt;=73),2,"")</f>
        <v/>
      </c>
      <c r="B283" s="17" t="str">
        <f aca="false">IF(AND(Eingabe!$F$10&gt;0,Eingabe!$E$10&gt;=73),Eingabe!$B$10,"")</f>
        <v/>
      </c>
      <c r="C283" s="17" t="str">
        <f aca="false">IF(AND(Eingabe!$F$10&gt;0,Eingabe!$E$10&gt;=73),Eingabe!$C$10&amp;"-Paz."&amp;TEXT(73,"000"),"")</f>
        <v/>
      </c>
      <c r="D283" s="17" t="str">
        <f aca="false">IF(AND(Eingabe!$F$10&gt;0,Eingabe!$E$10&gt;=73),73,"")</f>
        <v/>
      </c>
      <c r="E283" s="17" t="str">
        <f aca="false">IF(AND(Eingabe!$F$10&gt;0,Eingabe!$E$10&gt;=73),IF((Eingabe!$G$10)&lt;=9,1000+(Eingabe!$G$10)*100,3000)+73,"")</f>
        <v/>
      </c>
      <c r="F283" s="17" t="str">
        <f aca="false">IF(AND(Eingabe!$F$10&gt;0,Eingabe!$E$10&gt;=73),"10."&amp;Eingabe!$D$10&amp;".73.0/24","")</f>
        <v/>
      </c>
      <c r="G283" s="17" t="str">
        <f aca="false">IF(AND(Eingabe!$F$10&gt;0,Eingabe!$E$10&gt;=73),"10."&amp;Eingabe!$D$10&amp;".73.1","")</f>
        <v/>
      </c>
      <c r="H283" s="17" t="str">
        <f aca="false">IF(AND(Eingabe!$F$10&gt;0,Eingabe!$E$10&gt;=73),"10."&amp;Eingabe!$D$10&amp;".73.10 – 10."&amp;Eingabe!$D$10&amp;".73.250","")</f>
        <v/>
      </c>
      <c r="I283" s="17" t="str">
        <f aca="false">IF(AND(Eingabe!$F$10&gt;0,Eingabe!$E$10&gt;=73),Eingabe!$B$6&amp;"-"&amp;Eingabe!$C$10&amp;"-Pächter","")</f>
        <v/>
      </c>
      <c r="J283" s="17" t="str">
        <f aca="false">IF(AND(Eingabe!$F$10&gt;0,Eingabe!$E$10&gt;=73),"PPSK: Passwort Parzelle 73","")</f>
        <v/>
      </c>
      <c r="K283" s="17" t="str">
        <f aca="false">IF(AND(Eingabe!$F$10&gt;0,Eingabe!$E$10&gt;=73),"1. Gerät: 10."&amp;Eingabe!$D$10&amp;".73.10, 2. Gerät: .11","")</f>
        <v/>
      </c>
    </row>
    <row r="284" customFormat="false" ht="15" hidden="false" customHeight="false" outlineLevel="0" collapsed="false">
      <c r="A284" s="17" t="str">
        <f aca="false">IF(AND(Eingabe!$F$10&gt;0,Eingabe!$E$10&gt;=74),2,"")</f>
        <v/>
      </c>
      <c r="B284" s="17" t="str">
        <f aca="false">IF(AND(Eingabe!$F$10&gt;0,Eingabe!$E$10&gt;=74),Eingabe!$B$10,"")</f>
        <v/>
      </c>
      <c r="C284" s="17" t="str">
        <f aca="false">IF(AND(Eingabe!$F$10&gt;0,Eingabe!$E$10&gt;=74),Eingabe!$C$10&amp;"-Paz."&amp;TEXT(74,"000"),"")</f>
        <v/>
      </c>
      <c r="D284" s="17" t="str">
        <f aca="false">IF(AND(Eingabe!$F$10&gt;0,Eingabe!$E$10&gt;=74),74,"")</f>
        <v/>
      </c>
      <c r="E284" s="17" t="str">
        <f aca="false">IF(AND(Eingabe!$F$10&gt;0,Eingabe!$E$10&gt;=74),IF((Eingabe!$G$10)&lt;=9,1000+(Eingabe!$G$10)*100,3000)+74,"")</f>
        <v/>
      </c>
      <c r="F284" s="17" t="str">
        <f aca="false">IF(AND(Eingabe!$F$10&gt;0,Eingabe!$E$10&gt;=74),"10."&amp;Eingabe!$D$10&amp;".74.0/24","")</f>
        <v/>
      </c>
      <c r="G284" s="17" t="str">
        <f aca="false">IF(AND(Eingabe!$F$10&gt;0,Eingabe!$E$10&gt;=74),"10."&amp;Eingabe!$D$10&amp;".74.1","")</f>
        <v/>
      </c>
      <c r="H284" s="17" t="str">
        <f aca="false">IF(AND(Eingabe!$F$10&gt;0,Eingabe!$E$10&gt;=74),"10."&amp;Eingabe!$D$10&amp;".74.10 – 10."&amp;Eingabe!$D$10&amp;".74.250","")</f>
        <v/>
      </c>
      <c r="I284" s="17" t="str">
        <f aca="false">IF(AND(Eingabe!$F$10&gt;0,Eingabe!$E$10&gt;=74),Eingabe!$B$6&amp;"-"&amp;Eingabe!$C$10&amp;"-Pächter","")</f>
        <v/>
      </c>
      <c r="J284" s="17" t="str">
        <f aca="false">IF(AND(Eingabe!$F$10&gt;0,Eingabe!$E$10&gt;=74),"PPSK: Passwort Parzelle 74","")</f>
        <v/>
      </c>
      <c r="K284" s="17" t="str">
        <f aca="false">IF(AND(Eingabe!$F$10&gt;0,Eingabe!$E$10&gt;=74),"1. Gerät: 10."&amp;Eingabe!$D$10&amp;".74.10, 2. Gerät: .11","")</f>
        <v/>
      </c>
    </row>
    <row r="285" customFormat="false" ht="15" hidden="false" customHeight="false" outlineLevel="0" collapsed="false">
      <c r="A285" s="17" t="str">
        <f aca="false">IF(AND(Eingabe!$F$10&gt;0,Eingabe!$E$10&gt;=75),2,"")</f>
        <v/>
      </c>
      <c r="B285" s="17" t="str">
        <f aca="false">IF(AND(Eingabe!$F$10&gt;0,Eingabe!$E$10&gt;=75),Eingabe!$B$10,"")</f>
        <v/>
      </c>
      <c r="C285" s="17" t="str">
        <f aca="false">IF(AND(Eingabe!$F$10&gt;0,Eingabe!$E$10&gt;=75),Eingabe!$C$10&amp;"-Paz."&amp;TEXT(75,"000"),"")</f>
        <v/>
      </c>
      <c r="D285" s="17" t="str">
        <f aca="false">IF(AND(Eingabe!$F$10&gt;0,Eingabe!$E$10&gt;=75),75,"")</f>
        <v/>
      </c>
      <c r="E285" s="17" t="str">
        <f aca="false">IF(AND(Eingabe!$F$10&gt;0,Eingabe!$E$10&gt;=75),IF((Eingabe!$G$10)&lt;=9,1000+(Eingabe!$G$10)*100,3000)+75,"")</f>
        <v/>
      </c>
      <c r="F285" s="17" t="str">
        <f aca="false">IF(AND(Eingabe!$F$10&gt;0,Eingabe!$E$10&gt;=75),"10."&amp;Eingabe!$D$10&amp;".75.0/24","")</f>
        <v/>
      </c>
      <c r="G285" s="17" t="str">
        <f aca="false">IF(AND(Eingabe!$F$10&gt;0,Eingabe!$E$10&gt;=75),"10."&amp;Eingabe!$D$10&amp;".75.1","")</f>
        <v/>
      </c>
      <c r="H285" s="17" t="str">
        <f aca="false">IF(AND(Eingabe!$F$10&gt;0,Eingabe!$E$10&gt;=75),"10."&amp;Eingabe!$D$10&amp;".75.10 – 10."&amp;Eingabe!$D$10&amp;".75.250","")</f>
        <v/>
      </c>
      <c r="I285" s="17" t="str">
        <f aca="false">IF(AND(Eingabe!$F$10&gt;0,Eingabe!$E$10&gt;=75),Eingabe!$B$6&amp;"-"&amp;Eingabe!$C$10&amp;"-Pächter","")</f>
        <v/>
      </c>
      <c r="J285" s="17" t="str">
        <f aca="false">IF(AND(Eingabe!$F$10&gt;0,Eingabe!$E$10&gt;=75),"PPSK: Passwort Parzelle 75","")</f>
        <v/>
      </c>
      <c r="K285" s="17" t="str">
        <f aca="false">IF(AND(Eingabe!$F$10&gt;0,Eingabe!$E$10&gt;=75),"1. Gerät: 10."&amp;Eingabe!$D$10&amp;".75.10, 2. Gerät: .11","")</f>
        <v/>
      </c>
    </row>
    <row r="286" customFormat="false" ht="15" hidden="false" customHeight="false" outlineLevel="0" collapsed="false">
      <c r="A286" s="17" t="str">
        <f aca="false">IF(AND(Eingabe!$F$10&gt;0,Eingabe!$E$10&gt;=76),2,"")</f>
        <v/>
      </c>
      <c r="B286" s="17" t="str">
        <f aca="false">IF(AND(Eingabe!$F$10&gt;0,Eingabe!$E$10&gt;=76),Eingabe!$B$10,"")</f>
        <v/>
      </c>
      <c r="C286" s="17" t="str">
        <f aca="false">IF(AND(Eingabe!$F$10&gt;0,Eingabe!$E$10&gt;=76),Eingabe!$C$10&amp;"-Paz."&amp;TEXT(76,"000"),"")</f>
        <v/>
      </c>
      <c r="D286" s="17" t="str">
        <f aca="false">IF(AND(Eingabe!$F$10&gt;0,Eingabe!$E$10&gt;=76),76,"")</f>
        <v/>
      </c>
      <c r="E286" s="17" t="str">
        <f aca="false">IF(AND(Eingabe!$F$10&gt;0,Eingabe!$E$10&gt;=76),IF((Eingabe!$G$10)&lt;=9,1000+(Eingabe!$G$10)*100,3000)+76,"")</f>
        <v/>
      </c>
      <c r="F286" s="17" t="str">
        <f aca="false">IF(AND(Eingabe!$F$10&gt;0,Eingabe!$E$10&gt;=76),"10."&amp;Eingabe!$D$10&amp;".76.0/24","")</f>
        <v/>
      </c>
      <c r="G286" s="17" t="str">
        <f aca="false">IF(AND(Eingabe!$F$10&gt;0,Eingabe!$E$10&gt;=76),"10."&amp;Eingabe!$D$10&amp;".76.1","")</f>
        <v/>
      </c>
      <c r="H286" s="17" t="str">
        <f aca="false">IF(AND(Eingabe!$F$10&gt;0,Eingabe!$E$10&gt;=76),"10."&amp;Eingabe!$D$10&amp;".76.10 – 10."&amp;Eingabe!$D$10&amp;".76.250","")</f>
        <v/>
      </c>
      <c r="I286" s="17" t="str">
        <f aca="false">IF(AND(Eingabe!$F$10&gt;0,Eingabe!$E$10&gt;=76),Eingabe!$B$6&amp;"-"&amp;Eingabe!$C$10&amp;"-Pächter","")</f>
        <v/>
      </c>
      <c r="J286" s="17" t="str">
        <f aca="false">IF(AND(Eingabe!$F$10&gt;0,Eingabe!$E$10&gt;=76),"PPSK: Passwort Parzelle 76","")</f>
        <v/>
      </c>
      <c r="K286" s="17" t="str">
        <f aca="false">IF(AND(Eingabe!$F$10&gt;0,Eingabe!$E$10&gt;=76),"1. Gerät: 10."&amp;Eingabe!$D$10&amp;".76.10, 2. Gerät: .11","")</f>
        <v/>
      </c>
    </row>
    <row r="287" customFormat="false" ht="15" hidden="false" customHeight="false" outlineLevel="0" collapsed="false">
      <c r="A287" s="17" t="str">
        <f aca="false">IF(AND(Eingabe!$F$10&gt;0,Eingabe!$E$10&gt;=77),2,"")</f>
        <v/>
      </c>
      <c r="B287" s="17" t="str">
        <f aca="false">IF(AND(Eingabe!$F$10&gt;0,Eingabe!$E$10&gt;=77),Eingabe!$B$10,"")</f>
        <v/>
      </c>
      <c r="C287" s="17" t="str">
        <f aca="false">IF(AND(Eingabe!$F$10&gt;0,Eingabe!$E$10&gt;=77),Eingabe!$C$10&amp;"-Paz."&amp;TEXT(77,"000"),"")</f>
        <v/>
      </c>
      <c r="D287" s="17" t="str">
        <f aca="false">IF(AND(Eingabe!$F$10&gt;0,Eingabe!$E$10&gt;=77),77,"")</f>
        <v/>
      </c>
      <c r="E287" s="17" t="str">
        <f aca="false">IF(AND(Eingabe!$F$10&gt;0,Eingabe!$E$10&gt;=77),IF((Eingabe!$G$10)&lt;=9,1000+(Eingabe!$G$10)*100,3000)+77,"")</f>
        <v/>
      </c>
      <c r="F287" s="17" t="str">
        <f aca="false">IF(AND(Eingabe!$F$10&gt;0,Eingabe!$E$10&gt;=77),"10."&amp;Eingabe!$D$10&amp;".77.0/24","")</f>
        <v/>
      </c>
      <c r="G287" s="17" t="str">
        <f aca="false">IF(AND(Eingabe!$F$10&gt;0,Eingabe!$E$10&gt;=77),"10."&amp;Eingabe!$D$10&amp;".77.1","")</f>
        <v/>
      </c>
      <c r="H287" s="17" t="str">
        <f aca="false">IF(AND(Eingabe!$F$10&gt;0,Eingabe!$E$10&gt;=77),"10."&amp;Eingabe!$D$10&amp;".77.10 – 10."&amp;Eingabe!$D$10&amp;".77.250","")</f>
        <v/>
      </c>
      <c r="I287" s="17" t="str">
        <f aca="false">IF(AND(Eingabe!$F$10&gt;0,Eingabe!$E$10&gt;=77),Eingabe!$B$6&amp;"-"&amp;Eingabe!$C$10&amp;"-Pächter","")</f>
        <v/>
      </c>
      <c r="J287" s="17" t="str">
        <f aca="false">IF(AND(Eingabe!$F$10&gt;0,Eingabe!$E$10&gt;=77),"PPSK: Passwort Parzelle 77","")</f>
        <v/>
      </c>
      <c r="K287" s="17" t="str">
        <f aca="false">IF(AND(Eingabe!$F$10&gt;0,Eingabe!$E$10&gt;=77),"1. Gerät: 10."&amp;Eingabe!$D$10&amp;".77.10, 2. Gerät: .11","")</f>
        <v/>
      </c>
    </row>
    <row r="288" customFormat="false" ht="15" hidden="false" customHeight="false" outlineLevel="0" collapsed="false">
      <c r="A288" s="17" t="str">
        <f aca="false">IF(AND(Eingabe!$F$10&gt;0,Eingabe!$E$10&gt;=78),2,"")</f>
        <v/>
      </c>
      <c r="B288" s="17" t="str">
        <f aca="false">IF(AND(Eingabe!$F$10&gt;0,Eingabe!$E$10&gt;=78),Eingabe!$B$10,"")</f>
        <v/>
      </c>
      <c r="C288" s="17" t="str">
        <f aca="false">IF(AND(Eingabe!$F$10&gt;0,Eingabe!$E$10&gt;=78),Eingabe!$C$10&amp;"-Paz."&amp;TEXT(78,"000"),"")</f>
        <v/>
      </c>
      <c r="D288" s="17" t="str">
        <f aca="false">IF(AND(Eingabe!$F$10&gt;0,Eingabe!$E$10&gt;=78),78,"")</f>
        <v/>
      </c>
      <c r="E288" s="17" t="str">
        <f aca="false">IF(AND(Eingabe!$F$10&gt;0,Eingabe!$E$10&gt;=78),IF((Eingabe!$G$10)&lt;=9,1000+(Eingabe!$G$10)*100,3000)+78,"")</f>
        <v/>
      </c>
      <c r="F288" s="17" t="str">
        <f aca="false">IF(AND(Eingabe!$F$10&gt;0,Eingabe!$E$10&gt;=78),"10."&amp;Eingabe!$D$10&amp;".78.0/24","")</f>
        <v/>
      </c>
      <c r="G288" s="17" t="str">
        <f aca="false">IF(AND(Eingabe!$F$10&gt;0,Eingabe!$E$10&gt;=78),"10."&amp;Eingabe!$D$10&amp;".78.1","")</f>
        <v/>
      </c>
      <c r="H288" s="17" t="str">
        <f aca="false">IF(AND(Eingabe!$F$10&gt;0,Eingabe!$E$10&gt;=78),"10."&amp;Eingabe!$D$10&amp;".78.10 – 10."&amp;Eingabe!$D$10&amp;".78.250","")</f>
        <v/>
      </c>
      <c r="I288" s="17" t="str">
        <f aca="false">IF(AND(Eingabe!$F$10&gt;0,Eingabe!$E$10&gt;=78),Eingabe!$B$6&amp;"-"&amp;Eingabe!$C$10&amp;"-Pächter","")</f>
        <v/>
      </c>
      <c r="J288" s="17" t="str">
        <f aca="false">IF(AND(Eingabe!$F$10&gt;0,Eingabe!$E$10&gt;=78),"PPSK: Passwort Parzelle 78","")</f>
        <v/>
      </c>
      <c r="K288" s="17" t="str">
        <f aca="false">IF(AND(Eingabe!$F$10&gt;0,Eingabe!$E$10&gt;=78),"1. Gerät: 10."&amp;Eingabe!$D$10&amp;".78.10, 2. Gerät: .11","")</f>
        <v/>
      </c>
    </row>
    <row r="289" customFormat="false" ht="15" hidden="false" customHeight="false" outlineLevel="0" collapsed="false">
      <c r="A289" s="17" t="str">
        <f aca="false">IF(AND(Eingabe!$F$10&gt;0,Eingabe!$E$10&gt;=79),2,"")</f>
        <v/>
      </c>
      <c r="B289" s="17" t="str">
        <f aca="false">IF(AND(Eingabe!$F$10&gt;0,Eingabe!$E$10&gt;=79),Eingabe!$B$10,"")</f>
        <v/>
      </c>
      <c r="C289" s="17" t="str">
        <f aca="false">IF(AND(Eingabe!$F$10&gt;0,Eingabe!$E$10&gt;=79),Eingabe!$C$10&amp;"-Paz."&amp;TEXT(79,"000"),"")</f>
        <v/>
      </c>
      <c r="D289" s="17" t="str">
        <f aca="false">IF(AND(Eingabe!$F$10&gt;0,Eingabe!$E$10&gt;=79),79,"")</f>
        <v/>
      </c>
      <c r="E289" s="17" t="str">
        <f aca="false">IF(AND(Eingabe!$F$10&gt;0,Eingabe!$E$10&gt;=79),IF((Eingabe!$G$10)&lt;=9,1000+(Eingabe!$G$10)*100,3000)+79,"")</f>
        <v/>
      </c>
      <c r="F289" s="17" t="str">
        <f aca="false">IF(AND(Eingabe!$F$10&gt;0,Eingabe!$E$10&gt;=79),"10."&amp;Eingabe!$D$10&amp;".79.0/24","")</f>
        <v/>
      </c>
      <c r="G289" s="17" t="str">
        <f aca="false">IF(AND(Eingabe!$F$10&gt;0,Eingabe!$E$10&gt;=79),"10."&amp;Eingabe!$D$10&amp;".79.1","")</f>
        <v/>
      </c>
      <c r="H289" s="17" t="str">
        <f aca="false">IF(AND(Eingabe!$F$10&gt;0,Eingabe!$E$10&gt;=79),"10."&amp;Eingabe!$D$10&amp;".79.10 – 10."&amp;Eingabe!$D$10&amp;".79.250","")</f>
        <v/>
      </c>
      <c r="I289" s="17" t="str">
        <f aca="false">IF(AND(Eingabe!$F$10&gt;0,Eingabe!$E$10&gt;=79),Eingabe!$B$6&amp;"-"&amp;Eingabe!$C$10&amp;"-Pächter","")</f>
        <v/>
      </c>
      <c r="J289" s="17" t="str">
        <f aca="false">IF(AND(Eingabe!$F$10&gt;0,Eingabe!$E$10&gt;=79),"PPSK: Passwort Parzelle 79","")</f>
        <v/>
      </c>
      <c r="K289" s="17" t="str">
        <f aca="false">IF(AND(Eingabe!$F$10&gt;0,Eingabe!$E$10&gt;=79),"1. Gerät: 10."&amp;Eingabe!$D$10&amp;".79.10, 2. Gerät: .11","")</f>
        <v/>
      </c>
    </row>
    <row r="290" customFormat="false" ht="15" hidden="false" customHeight="false" outlineLevel="0" collapsed="false">
      <c r="A290" s="17" t="str">
        <f aca="false">IF(AND(Eingabe!$F$10&gt;0,Eingabe!$E$10&gt;=80),2,"")</f>
        <v/>
      </c>
      <c r="B290" s="17" t="str">
        <f aca="false">IF(AND(Eingabe!$F$10&gt;0,Eingabe!$E$10&gt;=80),Eingabe!$B$10,"")</f>
        <v/>
      </c>
      <c r="C290" s="17" t="str">
        <f aca="false">IF(AND(Eingabe!$F$10&gt;0,Eingabe!$E$10&gt;=80),Eingabe!$C$10&amp;"-Paz."&amp;TEXT(80,"000"),"")</f>
        <v/>
      </c>
      <c r="D290" s="17" t="str">
        <f aca="false">IF(AND(Eingabe!$F$10&gt;0,Eingabe!$E$10&gt;=80),80,"")</f>
        <v/>
      </c>
      <c r="E290" s="17" t="str">
        <f aca="false">IF(AND(Eingabe!$F$10&gt;0,Eingabe!$E$10&gt;=80),IF((Eingabe!$G$10)&lt;=9,1000+(Eingabe!$G$10)*100,3000)+80,"")</f>
        <v/>
      </c>
      <c r="F290" s="17" t="str">
        <f aca="false">IF(AND(Eingabe!$F$10&gt;0,Eingabe!$E$10&gt;=80),"10."&amp;Eingabe!$D$10&amp;".80.0/24","")</f>
        <v/>
      </c>
      <c r="G290" s="17" t="str">
        <f aca="false">IF(AND(Eingabe!$F$10&gt;0,Eingabe!$E$10&gt;=80),"10."&amp;Eingabe!$D$10&amp;".80.1","")</f>
        <v/>
      </c>
      <c r="H290" s="17" t="str">
        <f aca="false">IF(AND(Eingabe!$F$10&gt;0,Eingabe!$E$10&gt;=80),"10."&amp;Eingabe!$D$10&amp;".80.10 – 10."&amp;Eingabe!$D$10&amp;".80.250","")</f>
        <v/>
      </c>
      <c r="I290" s="17" t="str">
        <f aca="false">IF(AND(Eingabe!$F$10&gt;0,Eingabe!$E$10&gt;=80),Eingabe!$B$6&amp;"-"&amp;Eingabe!$C$10&amp;"-Pächter","")</f>
        <v/>
      </c>
      <c r="J290" s="17" t="str">
        <f aca="false">IF(AND(Eingabe!$F$10&gt;0,Eingabe!$E$10&gt;=80),"PPSK: Passwort Parzelle 80","")</f>
        <v/>
      </c>
      <c r="K290" s="17" t="str">
        <f aca="false">IF(AND(Eingabe!$F$10&gt;0,Eingabe!$E$10&gt;=80),"1. Gerät: 10."&amp;Eingabe!$D$10&amp;".80.10, 2. Gerät: .11","")</f>
        <v/>
      </c>
    </row>
    <row r="291" customFormat="false" ht="15" hidden="false" customHeight="false" outlineLevel="0" collapsed="false">
      <c r="A291" s="17" t="str">
        <f aca="false">IF(AND(Eingabe!$F$10&gt;0,Eingabe!$E$10&gt;=81),2,"")</f>
        <v/>
      </c>
      <c r="B291" s="17" t="str">
        <f aca="false">IF(AND(Eingabe!$F$10&gt;0,Eingabe!$E$10&gt;=81),Eingabe!$B$10,"")</f>
        <v/>
      </c>
      <c r="C291" s="17" t="str">
        <f aca="false">IF(AND(Eingabe!$F$10&gt;0,Eingabe!$E$10&gt;=81),Eingabe!$C$10&amp;"-Paz."&amp;TEXT(81,"000"),"")</f>
        <v/>
      </c>
      <c r="D291" s="17" t="str">
        <f aca="false">IF(AND(Eingabe!$F$10&gt;0,Eingabe!$E$10&gt;=81),81,"")</f>
        <v/>
      </c>
      <c r="E291" s="17" t="str">
        <f aca="false">IF(AND(Eingabe!$F$10&gt;0,Eingabe!$E$10&gt;=81),IF((Eingabe!$G$10)&lt;=9,1000+(Eingabe!$G$10)*100,3000)+81,"")</f>
        <v/>
      </c>
      <c r="F291" s="17" t="str">
        <f aca="false">IF(AND(Eingabe!$F$10&gt;0,Eingabe!$E$10&gt;=81),"10."&amp;Eingabe!$D$10&amp;".81.0/24","")</f>
        <v/>
      </c>
      <c r="G291" s="17" t="str">
        <f aca="false">IF(AND(Eingabe!$F$10&gt;0,Eingabe!$E$10&gt;=81),"10."&amp;Eingabe!$D$10&amp;".81.1","")</f>
        <v/>
      </c>
      <c r="H291" s="17" t="str">
        <f aca="false">IF(AND(Eingabe!$F$10&gt;0,Eingabe!$E$10&gt;=81),"10."&amp;Eingabe!$D$10&amp;".81.10 – 10."&amp;Eingabe!$D$10&amp;".81.250","")</f>
        <v/>
      </c>
      <c r="I291" s="17" t="str">
        <f aca="false">IF(AND(Eingabe!$F$10&gt;0,Eingabe!$E$10&gt;=81),Eingabe!$B$6&amp;"-"&amp;Eingabe!$C$10&amp;"-Pächter","")</f>
        <v/>
      </c>
      <c r="J291" s="17" t="str">
        <f aca="false">IF(AND(Eingabe!$F$10&gt;0,Eingabe!$E$10&gt;=81),"PPSK: Passwort Parzelle 81","")</f>
        <v/>
      </c>
      <c r="K291" s="17" t="str">
        <f aca="false">IF(AND(Eingabe!$F$10&gt;0,Eingabe!$E$10&gt;=81),"1. Gerät: 10."&amp;Eingabe!$D$10&amp;".81.10, 2. Gerät: .11","")</f>
        <v/>
      </c>
    </row>
    <row r="292" customFormat="false" ht="15" hidden="false" customHeight="false" outlineLevel="0" collapsed="false">
      <c r="A292" s="17" t="str">
        <f aca="false">IF(AND(Eingabe!$F$10&gt;0,Eingabe!$E$10&gt;=82),2,"")</f>
        <v/>
      </c>
      <c r="B292" s="17" t="str">
        <f aca="false">IF(AND(Eingabe!$F$10&gt;0,Eingabe!$E$10&gt;=82),Eingabe!$B$10,"")</f>
        <v/>
      </c>
      <c r="C292" s="17" t="str">
        <f aca="false">IF(AND(Eingabe!$F$10&gt;0,Eingabe!$E$10&gt;=82),Eingabe!$C$10&amp;"-Paz."&amp;TEXT(82,"000"),"")</f>
        <v/>
      </c>
      <c r="D292" s="17" t="str">
        <f aca="false">IF(AND(Eingabe!$F$10&gt;0,Eingabe!$E$10&gt;=82),82,"")</f>
        <v/>
      </c>
      <c r="E292" s="17" t="str">
        <f aca="false">IF(AND(Eingabe!$F$10&gt;0,Eingabe!$E$10&gt;=82),IF((Eingabe!$G$10)&lt;=9,1000+(Eingabe!$G$10)*100,3000)+82,"")</f>
        <v/>
      </c>
      <c r="F292" s="17" t="str">
        <f aca="false">IF(AND(Eingabe!$F$10&gt;0,Eingabe!$E$10&gt;=82),"10."&amp;Eingabe!$D$10&amp;".82.0/24","")</f>
        <v/>
      </c>
      <c r="G292" s="17" t="str">
        <f aca="false">IF(AND(Eingabe!$F$10&gt;0,Eingabe!$E$10&gt;=82),"10."&amp;Eingabe!$D$10&amp;".82.1","")</f>
        <v/>
      </c>
      <c r="H292" s="17" t="str">
        <f aca="false">IF(AND(Eingabe!$F$10&gt;0,Eingabe!$E$10&gt;=82),"10."&amp;Eingabe!$D$10&amp;".82.10 – 10."&amp;Eingabe!$D$10&amp;".82.250","")</f>
        <v/>
      </c>
      <c r="I292" s="17" t="str">
        <f aca="false">IF(AND(Eingabe!$F$10&gt;0,Eingabe!$E$10&gt;=82),Eingabe!$B$6&amp;"-"&amp;Eingabe!$C$10&amp;"-Pächter","")</f>
        <v/>
      </c>
      <c r="J292" s="17" t="str">
        <f aca="false">IF(AND(Eingabe!$F$10&gt;0,Eingabe!$E$10&gt;=82),"PPSK: Passwort Parzelle 82","")</f>
        <v/>
      </c>
      <c r="K292" s="17" t="str">
        <f aca="false">IF(AND(Eingabe!$F$10&gt;0,Eingabe!$E$10&gt;=82),"1. Gerät: 10."&amp;Eingabe!$D$10&amp;".82.10, 2. Gerät: .11","")</f>
        <v/>
      </c>
    </row>
    <row r="293" customFormat="false" ht="15" hidden="false" customHeight="false" outlineLevel="0" collapsed="false">
      <c r="A293" s="17" t="str">
        <f aca="false">IF(AND(Eingabe!$F$10&gt;0,Eingabe!$E$10&gt;=83),2,"")</f>
        <v/>
      </c>
      <c r="B293" s="17" t="str">
        <f aca="false">IF(AND(Eingabe!$F$10&gt;0,Eingabe!$E$10&gt;=83),Eingabe!$B$10,"")</f>
        <v/>
      </c>
      <c r="C293" s="17" t="str">
        <f aca="false">IF(AND(Eingabe!$F$10&gt;0,Eingabe!$E$10&gt;=83),Eingabe!$C$10&amp;"-Paz."&amp;TEXT(83,"000"),"")</f>
        <v/>
      </c>
      <c r="D293" s="17" t="str">
        <f aca="false">IF(AND(Eingabe!$F$10&gt;0,Eingabe!$E$10&gt;=83),83,"")</f>
        <v/>
      </c>
      <c r="E293" s="17" t="str">
        <f aca="false">IF(AND(Eingabe!$F$10&gt;0,Eingabe!$E$10&gt;=83),IF((Eingabe!$G$10)&lt;=9,1000+(Eingabe!$G$10)*100,3000)+83,"")</f>
        <v/>
      </c>
      <c r="F293" s="17" t="str">
        <f aca="false">IF(AND(Eingabe!$F$10&gt;0,Eingabe!$E$10&gt;=83),"10."&amp;Eingabe!$D$10&amp;".83.0/24","")</f>
        <v/>
      </c>
      <c r="G293" s="17" t="str">
        <f aca="false">IF(AND(Eingabe!$F$10&gt;0,Eingabe!$E$10&gt;=83),"10."&amp;Eingabe!$D$10&amp;".83.1","")</f>
        <v/>
      </c>
      <c r="H293" s="17" t="str">
        <f aca="false">IF(AND(Eingabe!$F$10&gt;0,Eingabe!$E$10&gt;=83),"10."&amp;Eingabe!$D$10&amp;".83.10 – 10."&amp;Eingabe!$D$10&amp;".83.250","")</f>
        <v/>
      </c>
      <c r="I293" s="17" t="str">
        <f aca="false">IF(AND(Eingabe!$F$10&gt;0,Eingabe!$E$10&gt;=83),Eingabe!$B$6&amp;"-"&amp;Eingabe!$C$10&amp;"-Pächter","")</f>
        <v/>
      </c>
      <c r="J293" s="17" t="str">
        <f aca="false">IF(AND(Eingabe!$F$10&gt;0,Eingabe!$E$10&gt;=83),"PPSK: Passwort Parzelle 83","")</f>
        <v/>
      </c>
      <c r="K293" s="17" t="str">
        <f aca="false">IF(AND(Eingabe!$F$10&gt;0,Eingabe!$E$10&gt;=83),"1. Gerät: 10."&amp;Eingabe!$D$10&amp;".83.10, 2. Gerät: .11","")</f>
        <v/>
      </c>
    </row>
    <row r="294" customFormat="false" ht="15" hidden="false" customHeight="false" outlineLevel="0" collapsed="false">
      <c r="A294" s="17" t="str">
        <f aca="false">IF(AND(Eingabe!$F$10&gt;0,Eingabe!$E$10&gt;=84),2,"")</f>
        <v/>
      </c>
      <c r="B294" s="17" t="str">
        <f aca="false">IF(AND(Eingabe!$F$10&gt;0,Eingabe!$E$10&gt;=84),Eingabe!$B$10,"")</f>
        <v/>
      </c>
      <c r="C294" s="17" t="str">
        <f aca="false">IF(AND(Eingabe!$F$10&gt;0,Eingabe!$E$10&gt;=84),Eingabe!$C$10&amp;"-Paz."&amp;TEXT(84,"000"),"")</f>
        <v/>
      </c>
      <c r="D294" s="17" t="str">
        <f aca="false">IF(AND(Eingabe!$F$10&gt;0,Eingabe!$E$10&gt;=84),84,"")</f>
        <v/>
      </c>
      <c r="E294" s="17" t="str">
        <f aca="false">IF(AND(Eingabe!$F$10&gt;0,Eingabe!$E$10&gt;=84),IF((Eingabe!$G$10)&lt;=9,1000+(Eingabe!$G$10)*100,3000)+84,"")</f>
        <v/>
      </c>
      <c r="F294" s="17" t="str">
        <f aca="false">IF(AND(Eingabe!$F$10&gt;0,Eingabe!$E$10&gt;=84),"10."&amp;Eingabe!$D$10&amp;".84.0/24","")</f>
        <v/>
      </c>
      <c r="G294" s="17" t="str">
        <f aca="false">IF(AND(Eingabe!$F$10&gt;0,Eingabe!$E$10&gt;=84),"10."&amp;Eingabe!$D$10&amp;".84.1","")</f>
        <v/>
      </c>
      <c r="H294" s="17" t="str">
        <f aca="false">IF(AND(Eingabe!$F$10&gt;0,Eingabe!$E$10&gt;=84),"10."&amp;Eingabe!$D$10&amp;".84.10 – 10."&amp;Eingabe!$D$10&amp;".84.250","")</f>
        <v/>
      </c>
      <c r="I294" s="17" t="str">
        <f aca="false">IF(AND(Eingabe!$F$10&gt;0,Eingabe!$E$10&gt;=84),Eingabe!$B$6&amp;"-"&amp;Eingabe!$C$10&amp;"-Pächter","")</f>
        <v/>
      </c>
      <c r="J294" s="17" t="str">
        <f aca="false">IF(AND(Eingabe!$F$10&gt;0,Eingabe!$E$10&gt;=84),"PPSK: Passwort Parzelle 84","")</f>
        <v/>
      </c>
      <c r="K294" s="17" t="str">
        <f aca="false">IF(AND(Eingabe!$F$10&gt;0,Eingabe!$E$10&gt;=84),"1. Gerät: 10."&amp;Eingabe!$D$10&amp;".84.10, 2. Gerät: .11","")</f>
        <v/>
      </c>
    </row>
    <row r="295" customFormat="false" ht="15" hidden="false" customHeight="false" outlineLevel="0" collapsed="false">
      <c r="A295" s="17" t="str">
        <f aca="false">IF(AND(Eingabe!$F$10&gt;0,Eingabe!$E$10&gt;=85),2,"")</f>
        <v/>
      </c>
      <c r="B295" s="17" t="str">
        <f aca="false">IF(AND(Eingabe!$F$10&gt;0,Eingabe!$E$10&gt;=85),Eingabe!$B$10,"")</f>
        <v/>
      </c>
      <c r="C295" s="17" t="str">
        <f aca="false">IF(AND(Eingabe!$F$10&gt;0,Eingabe!$E$10&gt;=85),Eingabe!$C$10&amp;"-Paz."&amp;TEXT(85,"000"),"")</f>
        <v/>
      </c>
      <c r="D295" s="17" t="str">
        <f aca="false">IF(AND(Eingabe!$F$10&gt;0,Eingabe!$E$10&gt;=85),85,"")</f>
        <v/>
      </c>
      <c r="E295" s="17" t="str">
        <f aca="false">IF(AND(Eingabe!$F$10&gt;0,Eingabe!$E$10&gt;=85),IF((Eingabe!$G$10)&lt;=9,1000+(Eingabe!$G$10)*100,3000)+85,"")</f>
        <v/>
      </c>
      <c r="F295" s="17" t="str">
        <f aca="false">IF(AND(Eingabe!$F$10&gt;0,Eingabe!$E$10&gt;=85),"10."&amp;Eingabe!$D$10&amp;".85.0/24","")</f>
        <v/>
      </c>
      <c r="G295" s="17" t="str">
        <f aca="false">IF(AND(Eingabe!$F$10&gt;0,Eingabe!$E$10&gt;=85),"10."&amp;Eingabe!$D$10&amp;".85.1","")</f>
        <v/>
      </c>
      <c r="H295" s="17" t="str">
        <f aca="false">IF(AND(Eingabe!$F$10&gt;0,Eingabe!$E$10&gt;=85),"10."&amp;Eingabe!$D$10&amp;".85.10 – 10."&amp;Eingabe!$D$10&amp;".85.250","")</f>
        <v/>
      </c>
      <c r="I295" s="17" t="str">
        <f aca="false">IF(AND(Eingabe!$F$10&gt;0,Eingabe!$E$10&gt;=85),Eingabe!$B$6&amp;"-"&amp;Eingabe!$C$10&amp;"-Pächter","")</f>
        <v/>
      </c>
      <c r="J295" s="17" t="str">
        <f aca="false">IF(AND(Eingabe!$F$10&gt;0,Eingabe!$E$10&gt;=85),"PPSK: Passwort Parzelle 85","")</f>
        <v/>
      </c>
      <c r="K295" s="17" t="str">
        <f aca="false">IF(AND(Eingabe!$F$10&gt;0,Eingabe!$E$10&gt;=85),"1. Gerät: 10."&amp;Eingabe!$D$10&amp;".85.10, 2. Gerät: .11","")</f>
        <v/>
      </c>
    </row>
    <row r="296" customFormat="false" ht="15" hidden="false" customHeight="false" outlineLevel="0" collapsed="false">
      <c r="A296" s="17" t="str">
        <f aca="false">IF(AND(Eingabe!$F$10&gt;0,Eingabe!$E$10&gt;=86),2,"")</f>
        <v/>
      </c>
      <c r="B296" s="17" t="str">
        <f aca="false">IF(AND(Eingabe!$F$10&gt;0,Eingabe!$E$10&gt;=86),Eingabe!$B$10,"")</f>
        <v/>
      </c>
      <c r="C296" s="17" t="str">
        <f aca="false">IF(AND(Eingabe!$F$10&gt;0,Eingabe!$E$10&gt;=86),Eingabe!$C$10&amp;"-Paz."&amp;TEXT(86,"000"),"")</f>
        <v/>
      </c>
      <c r="D296" s="17" t="str">
        <f aca="false">IF(AND(Eingabe!$F$10&gt;0,Eingabe!$E$10&gt;=86),86,"")</f>
        <v/>
      </c>
      <c r="E296" s="17" t="str">
        <f aca="false">IF(AND(Eingabe!$F$10&gt;0,Eingabe!$E$10&gt;=86),IF((Eingabe!$G$10)&lt;=9,1000+(Eingabe!$G$10)*100,3000)+86,"")</f>
        <v/>
      </c>
      <c r="F296" s="17" t="str">
        <f aca="false">IF(AND(Eingabe!$F$10&gt;0,Eingabe!$E$10&gt;=86),"10."&amp;Eingabe!$D$10&amp;".86.0/24","")</f>
        <v/>
      </c>
      <c r="G296" s="17" t="str">
        <f aca="false">IF(AND(Eingabe!$F$10&gt;0,Eingabe!$E$10&gt;=86),"10."&amp;Eingabe!$D$10&amp;".86.1","")</f>
        <v/>
      </c>
      <c r="H296" s="17" t="str">
        <f aca="false">IF(AND(Eingabe!$F$10&gt;0,Eingabe!$E$10&gt;=86),"10."&amp;Eingabe!$D$10&amp;".86.10 – 10."&amp;Eingabe!$D$10&amp;".86.250","")</f>
        <v/>
      </c>
      <c r="I296" s="17" t="str">
        <f aca="false">IF(AND(Eingabe!$F$10&gt;0,Eingabe!$E$10&gt;=86),Eingabe!$B$6&amp;"-"&amp;Eingabe!$C$10&amp;"-Pächter","")</f>
        <v/>
      </c>
      <c r="J296" s="17" t="str">
        <f aca="false">IF(AND(Eingabe!$F$10&gt;0,Eingabe!$E$10&gt;=86),"PPSK: Passwort Parzelle 86","")</f>
        <v/>
      </c>
      <c r="K296" s="17" t="str">
        <f aca="false">IF(AND(Eingabe!$F$10&gt;0,Eingabe!$E$10&gt;=86),"1. Gerät: 10."&amp;Eingabe!$D$10&amp;".86.10, 2. Gerät: .11","")</f>
        <v/>
      </c>
    </row>
    <row r="297" customFormat="false" ht="15" hidden="false" customHeight="false" outlineLevel="0" collapsed="false">
      <c r="A297" s="17" t="str">
        <f aca="false">IF(AND(Eingabe!$F$10&gt;0,Eingabe!$E$10&gt;=87),2,"")</f>
        <v/>
      </c>
      <c r="B297" s="17" t="str">
        <f aca="false">IF(AND(Eingabe!$F$10&gt;0,Eingabe!$E$10&gt;=87),Eingabe!$B$10,"")</f>
        <v/>
      </c>
      <c r="C297" s="17" t="str">
        <f aca="false">IF(AND(Eingabe!$F$10&gt;0,Eingabe!$E$10&gt;=87),Eingabe!$C$10&amp;"-Paz."&amp;TEXT(87,"000"),"")</f>
        <v/>
      </c>
      <c r="D297" s="17" t="str">
        <f aca="false">IF(AND(Eingabe!$F$10&gt;0,Eingabe!$E$10&gt;=87),87,"")</f>
        <v/>
      </c>
      <c r="E297" s="17" t="str">
        <f aca="false">IF(AND(Eingabe!$F$10&gt;0,Eingabe!$E$10&gt;=87),IF((Eingabe!$G$10)&lt;=9,1000+(Eingabe!$G$10)*100,3000)+87,"")</f>
        <v/>
      </c>
      <c r="F297" s="17" t="str">
        <f aca="false">IF(AND(Eingabe!$F$10&gt;0,Eingabe!$E$10&gt;=87),"10."&amp;Eingabe!$D$10&amp;".87.0/24","")</f>
        <v/>
      </c>
      <c r="G297" s="17" t="str">
        <f aca="false">IF(AND(Eingabe!$F$10&gt;0,Eingabe!$E$10&gt;=87),"10."&amp;Eingabe!$D$10&amp;".87.1","")</f>
        <v/>
      </c>
      <c r="H297" s="17" t="str">
        <f aca="false">IF(AND(Eingabe!$F$10&gt;0,Eingabe!$E$10&gt;=87),"10."&amp;Eingabe!$D$10&amp;".87.10 – 10."&amp;Eingabe!$D$10&amp;".87.250","")</f>
        <v/>
      </c>
      <c r="I297" s="17" t="str">
        <f aca="false">IF(AND(Eingabe!$F$10&gt;0,Eingabe!$E$10&gt;=87),Eingabe!$B$6&amp;"-"&amp;Eingabe!$C$10&amp;"-Pächter","")</f>
        <v/>
      </c>
      <c r="J297" s="17" t="str">
        <f aca="false">IF(AND(Eingabe!$F$10&gt;0,Eingabe!$E$10&gt;=87),"PPSK: Passwort Parzelle 87","")</f>
        <v/>
      </c>
      <c r="K297" s="17" t="str">
        <f aca="false">IF(AND(Eingabe!$F$10&gt;0,Eingabe!$E$10&gt;=87),"1. Gerät: 10."&amp;Eingabe!$D$10&amp;".87.10, 2. Gerät: .11","")</f>
        <v/>
      </c>
    </row>
    <row r="298" customFormat="false" ht="15" hidden="false" customHeight="false" outlineLevel="0" collapsed="false">
      <c r="A298" s="17" t="str">
        <f aca="false">IF(AND(Eingabe!$F$10&gt;0,Eingabe!$E$10&gt;=88),2,"")</f>
        <v/>
      </c>
      <c r="B298" s="17" t="str">
        <f aca="false">IF(AND(Eingabe!$F$10&gt;0,Eingabe!$E$10&gt;=88),Eingabe!$B$10,"")</f>
        <v/>
      </c>
      <c r="C298" s="17" t="str">
        <f aca="false">IF(AND(Eingabe!$F$10&gt;0,Eingabe!$E$10&gt;=88),Eingabe!$C$10&amp;"-Paz."&amp;TEXT(88,"000"),"")</f>
        <v/>
      </c>
      <c r="D298" s="17" t="str">
        <f aca="false">IF(AND(Eingabe!$F$10&gt;0,Eingabe!$E$10&gt;=88),88,"")</f>
        <v/>
      </c>
      <c r="E298" s="17" t="str">
        <f aca="false">IF(AND(Eingabe!$F$10&gt;0,Eingabe!$E$10&gt;=88),IF((Eingabe!$G$10)&lt;=9,1000+(Eingabe!$G$10)*100,3000)+88,"")</f>
        <v/>
      </c>
      <c r="F298" s="17" t="str">
        <f aca="false">IF(AND(Eingabe!$F$10&gt;0,Eingabe!$E$10&gt;=88),"10."&amp;Eingabe!$D$10&amp;".88.0/24","")</f>
        <v/>
      </c>
      <c r="G298" s="17" t="str">
        <f aca="false">IF(AND(Eingabe!$F$10&gt;0,Eingabe!$E$10&gt;=88),"10."&amp;Eingabe!$D$10&amp;".88.1","")</f>
        <v/>
      </c>
      <c r="H298" s="17" t="str">
        <f aca="false">IF(AND(Eingabe!$F$10&gt;0,Eingabe!$E$10&gt;=88),"10."&amp;Eingabe!$D$10&amp;".88.10 – 10."&amp;Eingabe!$D$10&amp;".88.250","")</f>
        <v/>
      </c>
      <c r="I298" s="17" t="str">
        <f aca="false">IF(AND(Eingabe!$F$10&gt;0,Eingabe!$E$10&gt;=88),Eingabe!$B$6&amp;"-"&amp;Eingabe!$C$10&amp;"-Pächter","")</f>
        <v/>
      </c>
      <c r="J298" s="17" t="str">
        <f aca="false">IF(AND(Eingabe!$F$10&gt;0,Eingabe!$E$10&gt;=88),"PPSK: Passwort Parzelle 88","")</f>
        <v/>
      </c>
      <c r="K298" s="17" t="str">
        <f aca="false">IF(AND(Eingabe!$F$10&gt;0,Eingabe!$E$10&gt;=88),"1. Gerät: 10."&amp;Eingabe!$D$10&amp;".88.10, 2. Gerät: .11","")</f>
        <v/>
      </c>
    </row>
    <row r="299" customFormat="false" ht="15" hidden="false" customHeight="false" outlineLevel="0" collapsed="false">
      <c r="A299" s="17" t="str">
        <f aca="false">IF(AND(Eingabe!$F$10&gt;0,Eingabe!$E$10&gt;=89),2,"")</f>
        <v/>
      </c>
      <c r="B299" s="17" t="str">
        <f aca="false">IF(AND(Eingabe!$F$10&gt;0,Eingabe!$E$10&gt;=89),Eingabe!$B$10,"")</f>
        <v/>
      </c>
      <c r="C299" s="17" t="str">
        <f aca="false">IF(AND(Eingabe!$F$10&gt;0,Eingabe!$E$10&gt;=89),Eingabe!$C$10&amp;"-Paz."&amp;TEXT(89,"000"),"")</f>
        <v/>
      </c>
      <c r="D299" s="17" t="str">
        <f aca="false">IF(AND(Eingabe!$F$10&gt;0,Eingabe!$E$10&gt;=89),89,"")</f>
        <v/>
      </c>
      <c r="E299" s="17" t="str">
        <f aca="false">IF(AND(Eingabe!$F$10&gt;0,Eingabe!$E$10&gt;=89),IF((Eingabe!$G$10)&lt;=9,1000+(Eingabe!$G$10)*100,3000)+89,"")</f>
        <v/>
      </c>
      <c r="F299" s="17" t="str">
        <f aca="false">IF(AND(Eingabe!$F$10&gt;0,Eingabe!$E$10&gt;=89),"10."&amp;Eingabe!$D$10&amp;".89.0/24","")</f>
        <v/>
      </c>
      <c r="G299" s="17" t="str">
        <f aca="false">IF(AND(Eingabe!$F$10&gt;0,Eingabe!$E$10&gt;=89),"10."&amp;Eingabe!$D$10&amp;".89.1","")</f>
        <v/>
      </c>
      <c r="H299" s="17" t="str">
        <f aca="false">IF(AND(Eingabe!$F$10&gt;0,Eingabe!$E$10&gt;=89),"10."&amp;Eingabe!$D$10&amp;".89.10 – 10."&amp;Eingabe!$D$10&amp;".89.250","")</f>
        <v/>
      </c>
      <c r="I299" s="17" t="str">
        <f aca="false">IF(AND(Eingabe!$F$10&gt;0,Eingabe!$E$10&gt;=89),Eingabe!$B$6&amp;"-"&amp;Eingabe!$C$10&amp;"-Pächter","")</f>
        <v/>
      </c>
      <c r="J299" s="17" t="str">
        <f aca="false">IF(AND(Eingabe!$F$10&gt;0,Eingabe!$E$10&gt;=89),"PPSK: Passwort Parzelle 89","")</f>
        <v/>
      </c>
      <c r="K299" s="17" t="str">
        <f aca="false">IF(AND(Eingabe!$F$10&gt;0,Eingabe!$E$10&gt;=89),"1. Gerät: 10."&amp;Eingabe!$D$10&amp;".89.10, 2. Gerät: .11","")</f>
        <v/>
      </c>
    </row>
    <row r="300" customFormat="false" ht="15" hidden="false" customHeight="false" outlineLevel="0" collapsed="false">
      <c r="A300" s="17" t="str">
        <f aca="false">IF(AND(Eingabe!$F$10&gt;0,Eingabe!$E$10&gt;=90),2,"")</f>
        <v/>
      </c>
      <c r="B300" s="17" t="str">
        <f aca="false">IF(AND(Eingabe!$F$10&gt;0,Eingabe!$E$10&gt;=90),Eingabe!$B$10,"")</f>
        <v/>
      </c>
      <c r="C300" s="17" t="str">
        <f aca="false">IF(AND(Eingabe!$F$10&gt;0,Eingabe!$E$10&gt;=90),Eingabe!$C$10&amp;"-Paz."&amp;TEXT(90,"000"),"")</f>
        <v/>
      </c>
      <c r="D300" s="17" t="str">
        <f aca="false">IF(AND(Eingabe!$F$10&gt;0,Eingabe!$E$10&gt;=90),90,"")</f>
        <v/>
      </c>
      <c r="E300" s="17" t="str">
        <f aca="false">IF(AND(Eingabe!$F$10&gt;0,Eingabe!$E$10&gt;=90),IF((Eingabe!$G$10)&lt;=9,1000+(Eingabe!$G$10)*100,3000)+90,"")</f>
        <v/>
      </c>
      <c r="F300" s="17" t="str">
        <f aca="false">IF(AND(Eingabe!$F$10&gt;0,Eingabe!$E$10&gt;=90),"10."&amp;Eingabe!$D$10&amp;".90.0/24","")</f>
        <v/>
      </c>
      <c r="G300" s="17" t="str">
        <f aca="false">IF(AND(Eingabe!$F$10&gt;0,Eingabe!$E$10&gt;=90),"10."&amp;Eingabe!$D$10&amp;".90.1","")</f>
        <v/>
      </c>
      <c r="H300" s="17" t="str">
        <f aca="false">IF(AND(Eingabe!$F$10&gt;0,Eingabe!$E$10&gt;=90),"10."&amp;Eingabe!$D$10&amp;".90.10 – 10."&amp;Eingabe!$D$10&amp;".90.250","")</f>
        <v/>
      </c>
      <c r="I300" s="17" t="str">
        <f aca="false">IF(AND(Eingabe!$F$10&gt;0,Eingabe!$E$10&gt;=90),Eingabe!$B$6&amp;"-"&amp;Eingabe!$C$10&amp;"-Pächter","")</f>
        <v/>
      </c>
      <c r="J300" s="17" t="str">
        <f aca="false">IF(AND(Eingabe!$F$10&gt;0,Eingabe!$E$10&gt;=90),"PPSK: Passwort Parzelle 90","")</f>
        <v/>
      </c>
      <c r="K300" s="17" t="str">
        <f aca="false">IF(AND(Eingabe!$F$10&gt;0,Eingabe!$E$10&gt;=90),"1. Gerät: 10."&amp;Eingabe!$D$10&amp;".90.10, 2. Gerät: .11","")</f>
        <v/>
      </c>
    </row>
    <row r="301" customFormat="false" ht="15" hidden="false" customHeight="false" outlineLevel="0" collapsed="false">
      <c r="A301" s="17" t="str">
        <f aca="false">IF(AND(Eingabe!$F$10&gt;0,Eingabe!$E$10&gt;=91),2,"")</f>
        <v/>
      </c>
      <c r="B301" s="17" t="str">
        <f aca="false">IF(AND(Eingabe!$F$10&gt;0,Eingabe!$E$10&gt;=91),Eingabe!$B$10,"")</f>
        <v/>
      </c>
      <c r="C301" s="17" t="str">
        <f aca="false">IF(AND(Eingabe!$F$10&gt;0,Eingabe!$E$10&gt;=91),Eingabe!$C$10&amp;"-Paz."&amp;TEXT(91,"000"),"")</f>
        <v/>
      </c>
      <c r="D301" s="17" t="str">
        <f aca="false">IF(AND(Eingabe!$F$10&gt;0,Eingabe!$E$10&gt;=91),91,"")</f>
        <v/>
      </c>
      <c r="E301" s="17" t="str">
        <f aca="false">IF(AND(Eingabe!$F$10&gt;0,Eingabe!$E$10&gt;=91),IF((Eingabe!$G$10)&lt;=9,1000+(Eingabe!$G$10)*100,3000)+91,"")</f>
        <v/>
      </c>
      <c r="F301" s="17" t="str">
        <f aca="false">IF(AND(Eingabe!$F$10&gt;0,Eingabe!$E$10&gt;=91),"10."&amp;Eingabe!$D$10&amp;".91.0/24","")</f>
        <v/>
      </c>
      <c r="G301" s="17" t="str">
        <f aca="false">IF(AND(Eingabe!$F$10&gt;0,Eingabe!$E$10&gt;=91),"10."&amp;Eingabe!$D$10&amp;".91.1","")</f>
        <v/>
      </c>
      <c r="H301" s="17" t="str">
        <f aca="false">IF(AND(Eingabe!$F$10&gt;0,Eingabe!$E$10&gt;=91),"10."&amp;Eingabe!$D$10&amp;".91.10 – 10."&amp;Eingabe!$D$10&amp;".91.250","")</f>
        <v/>
      </c>
      <c r="I301" s="17" t="str">
        <f aca="false">IF(AND(Eingabe!$F$10&gt;0,Eingabe!$E$10&gt;=91),Eingabe!$B$6&amp;"-"&amp;Eingabe!$C$10&amp;"-Pächter","")</f>
        <v/>
      </c>
      <c r="J301" s="17" t="str">
        <f aca="false">IF(AND(Eingabe!$F$10&gt;0,Eingabe!$E$10&gt;=91),"PPSK: Passwort Parzelle 91","")</f>
        <v/>
      </c>
      <c r="K301" s="17" t="str">
        <f aca="false">IF(AND(Eingabe!$F$10&gt;0,Eingabe!$E$10&gt;=91),"1. Gerät: 10."&amp;Eingabe!$D$10&amp;".91.10, 2. Gerät: .11","")</f>
        <v/>
      </c>
    </row>
    <row r="302" customFormat="false" ht="15" hidden="false" customHeight="false" outlineLevel="0" collapsed="false">
      <c r="A302" s="17" t="str">
        <f aca="false">IF(AND(Eingabe!$F$10&gt;0,Eingabe!$E$10&gt;=92),2,"")</f>
        <v/>
      </c>
      <c r="B302" s="17" t="str">
        <f aca="false">IF(AND(Eingabe!$F$10&gt;0,Eingabe!$E$10&gt;=92),Eingabe!$B$10,"")</f>
        <v/>
      </c>
      <c r="C302" s="17" t="str">
        <f aca="false">IF(AND(Eingabe!$F$10&gt;0,Eingabe!$E$10&gt;=92),Eingabe!$C$10&amp;"-Paz."&amp;TEXT(92,"000"),"")</f>
        <v/>
      </c>
      <c r="D302" s="17" t="str">
        <f aca="false">IF(AND(Eingabe!$F$10&gt;0,Eingabe!$E$10&gt;=92),92,"")</f>
        <v/>
      </c>
      <c r="E302" s="17" t="str">
        <f aca="false">IF(AND(Eingabe!$F$10&gt;0,Eingabe!$E$10&gt;=92),IF((Eingabe!$G$10)&lt;=9,1000+(Eingabe!$G$10)*100,3000)+92,"")</f>
        <v/>
      </c>
      <c r="F302" s="17" t="str">
        <f aca="false">IF(AND(Eingabe!$F$10&gt;0,Eingabe!$E$10&gt;=92),"10."&amp;Eingabe!$D$10&amp;".92.0/24","")</f>
        <v/>
      </c>
      <c r="G302" s="17" t="str">
        <f aca="false">IF(AND(Eingabe!$F$10&gt;0,Eingabe!$E$10&gt;=92),"10."&amp;Eingabe!$D$10&amp;".92.1","")</f>
        <v/>
      </c>
      <c r="H302" s="17" t="str">
        <f aca="false">IF(AND(Eingabe!$F$10&gt;0,Eingabe!$E$10&gt;=92),"10."&amp;Eingabe!$D$10&amp;".92.10 – 10."&amp;Eingabe!$D$10&amp;".92.250","")</f>
        <v/>
      </c>
      <c r="I302" s="17" t="str">
        <f aca="false">IF(AND(Eingabe!$F$10&gt;0,Eingabe!$E$10&gt;=92),Eingabe!$B$6&amp;"-"&amp;Eingabe!$C$10&amp;"-Pächter","")</f>
        <v/>
      </c>
      <c r="J302" s="17" t="str">
        <f aca="false">IF(AND(Eingabe!$F$10&gt;0,Eingabe!$E$10&gt;=92),"PPSK: Passwort Parzelle 92","")</f>
        <v/>
      </c>
      <c r="K302" s="17" t="str">
        <f aca="false">IF(AND(Eingabe!$F$10&gt;0,Eingabe!$E$10&gt;=92),"1. Gerät: 10."&amp;Eingabe!$D$10&amp;".92.10, 2. Gerät: .11","")</f>
        <v/>
      </c>
    </row>
    <row r="303" customFormat="false" ht="15" hidden="false" customHeight="false" outlineLevel="0" collapsed="false">
      <c r="A303" s="17" t="str">
        <f aca="false">IF(AND(Eingabe!$F$10&gt;0,Eingabe!$E$10&gt;=93),2,"")</f>
        <v/>
      </c>
      <c r="B303" s="17" t="str">
        <f aca="false">IF(AND(Eingabe!$F$10&gt;0,Eingabe!$E$10&gt;=93),Eingabe!$B$10,"")</f>
        <v/>
      </c>
      <c r="C303" s="17" t="str">
        <f aca="false">IF(AND(Eingabe!$F$10&gt;0,Eingabe!$E$10&gt;=93),Eingabe!$C$10&amp;"-Paz."&amp;TEXT(93,"000"),"")</f>
        <v/>
      </c>
      <c r="D303" s="17" t="str">
        <f aca="false">IF(AND(Eingabe!$F$10&gt;0,Eingabe!$E$10&gt;=93),93,"")</f>
        <v/>
      </c>
      <c r="E303" s="17" t="str">
        <f aca="false">IF(AND(Eingabe!$F$10&gt;0,Eingabe!$E$10&gt;=93),IF((Eingabe!$G$10)&lt;=9,1000+(Eingabe!$G$10)*100,3000)+93,"")</f>
        <v/>
      </c>
      <c r="F303" s="17" t="str">
        <f aca="false">IF(AND(Eingabe!$F$10&gt;0,Eingabe!$E$10&gt;=93),"10."&amp;Eingabe!$D$10&amp;".93.0/24","")</f>
        <v/>
      </c>
      <c r="G303" s="17" t="str">
        <f aca="false">IF(AND(Eingabe!$F$10&gt;0,Eingabe!$E$10&gt;=93),"10."&amp;Eingabe!$D$10&amp;".93.1","")</f>
        <v/>
      </c>
      <c r="H303" s="17" t="str">
        <f aca="false">IF(AND(Eingabe!$F$10&gt;0,Eingabe!$E$10&gt;=93),"10."&amp;Eingabe!$D$10&amp;".93.10 – 10."&amp;Eingabe!$D$10&amp;".93.250","")</f>
        <v/>
      </c>
      <c r="I303" s="17" t="str">
        <f aca="false">IF(AND(Eingabe!$F$10&gt;0,Eingabe!$E$10&gt;=93),Eingabe!$B$6&amp;"-"&amp;Eingabe!$C$10&amp;"-Pächter","")</f>
        <v/>
      </c>
      <c r="J303" s="17" t="str">
        <f aca="false">IF(AND(Eingabe!$F$10&gt;0,Eingabe!$E$10&gt;=93),"PPSK: Passwort Parzelle 93","")</f>
        <v/>
      </c>
      <c r="K303" s="17" t="str">
        <f aca="false">IF(AND(Eingabe!$F$10&gt;0,Eingabe!$E$10&gt;=93),"1. Gerät: 10."&amp;Eingabe!$D$10&amp;".93.10, 2. Gerät: .11","")</f>
        <v/>
      </c>
    </row>
    <row r="304" customFormat="false" ht="15" hidden="false" customHeight="false" outlineLevel="0" collapsed="false">
      <c r="A304" s="17" t="str">
        <f aca="false">IF(AND(Eingabe!$F$10&gt;0,Eingabe!$E$10&gt;=94),2,"")</f>
        <v/>
      </c>
      <c r="B304" s="17" t="str">
        <f aca="false">IF(AND(Eingabe!$F$10&gt;0,Eingabe!$E$10&gt;=94),Eingabe!$B$10,"")</f>
        <v/>
      </c>
      <c r="C304" s="17" t="str">
        <f aca="false">IF(AND(Eingabe!$F$10&gt;0,Eingabe!$E$10&gt;=94),Eingabe!$C$10&amp;"-Paz."&amp;TEXT(94,"000"),"")</f>
        <v/>
      </c>
      <c r="D304" s="17" t="str">
        <f aca="false">IF(AND(Eingabe!$F$10&gt;0,Eingabe!$E$10&gt;=94),94,"")</f>
        <v/>
      </c>
      <c r="E304" s="17" t="str">
        <f aca="false">IF(AND(Eingabe!$F$10&gt;0,Eingabe!$E$10&gt;=94),IF((Eingabe!$G$10)&lt;=9,1000+(Eingabe!$G$10)*100,3000)+94,"")</f>
        <v/>
      </c>
      <c r="F304" s="17" t="str">
        <f aca="false">IF(AND(Eingabe!$F$10&gt;0,Eingabe!$E$10&gt;=94),"10."&amp;Eingabe!$D$10&amp;".94.0/24","")</f>
        <v/>
      </c>
      <c r="G304" s="17" t="str">
        <f aca="false">IF(AND(Eingabe!$F$10&gt;0,Eingabe!$E$10&gt;=94),"10."&amp;Eingabe!$D$10&amp;".94.1","")</f>
        <v/>
      </c>
      <c r="H304" s="17" t="str">
        <f aca="false">IF(AND(Eingabe!$F$10&gt;0,Eingabe!$E$10&gt;=94),"10."&amp;Eingabe!$D$10&amp;".94.10 – 10."&amp;Eingabe!$D$10&amp;".94.250","")</f>
        <v/>
      </c>
      <c r="I304" s="17" t="str">
        <f aca="false">IF(AND(Eingabe!$F$10&gt;0,Eingabe!$E$10&gt;=94),Eingabe!$B$6&amp;"-"&amp;Eingabe!$C$10&amp;"-Pächter","")</f>
        <v/>
      </c>
      <c r="J304" s="17" t="str">
        <f aca="false">IF(AND(Eingabe!$F$10&gt;0,Eingabe!$E$10&gt;=94),"PPSK: Passwort Parzelle 94","")</f>
        <v/>
      </c>
      <c r="K304" s="17" t="str">
        <f aca="false">IF(AND(Eingabe!$F$10&gt;0,Eingabe!$E$10&gt;=94),"1. Gerät: 10."&amp;Eingabe!$D$10&amp;".94.10, 2. Gerät: .11","")</f>
        <v/>
      </c>
    </row>
    <row r="305" customFormat="false" ht="15" hidden="false" customHeight="false" outlineLevel="0" collapsed="false">
      <c r="A305" s="17" t="str">
        <f aca="false">IF(AND(Eingabe!$F$10&gt;0,Eingabe!$E$10&gt;=95),2,"")</f>
        <v/>
      </c>
      <c r="B305" s="17" t="str">
        <f aca="false">IF(AND(Eingabe!$F$10&gt;0,Eingabe!$E$10&gt;=95),Eingabe!$B$10,"")</f>
        <v/>
      </c>
      <c r="C305" s="17" t="str">
        <f aca="false">IF(AND(Eingabe!$F$10&gt;0,Eingabe!$E$10&gt;=95),Eingabe!$C$10&amp;"-Paz."&amp;TEXT(95,"000"),"")</f>
        <v/>
      </c>
      <c r="D305" s="17" t="str">
        <f aca="false">IF(AND(Eingabe!$F$10&gt;0,Eingabe!$E$10&gt;=95),95,"")</f>
        <v/>
      </c>
      <c r="E305" s="17" t="str">
        <f aca="false">IF(AND(Eingabe!$F$10&gt;0,Eingabe!$E$10&gt;=95),IF((Eingabe!$G$10)&lt;=9,1000+(Eingabe!$G$10)*100,3000)+95,"")</f>
        <v/>
      </c>
      <c r="F305" s="17" t="str">
        <f aca="false">IF(AND(Eingabe!$F$10&gt;0,Eingabe!$E$10&gt;=95),"10."&amp;Eingabe!$D$10&amp;".95.0/24","")</f>
        <v/>
      </c>
      <c r="G305" s="17" t="str">
        <f aca="false">IF(AND(Eingabe!$F$10&gt;0,Eingabe!$E$10&gt;=95),"10."&amp;Eingabe!$D$10&amp;".95.1","")</f>
        <v/>
      </c>
      <c r="H305" s="17" t="str">
        <f aca="false">IF(AND(Eingabe!$F$10&gt;0,Eingabe!$E$10&gt;=95),"10."&amp;Eingabe!$D$10&amp;".95.10 – 10."&amp;Eingabe!$D$10&amp;".95.250","")</f>
        <v/>
      </c>
      <c r="I305" s="17" t="str">
        <f aca="false">IF(AND(Eingabe!$F$10&gt;0,Eingabe!$E$10&gt;=95),Eingabe!$B$6&amp;"-"&amp;Eingabe!$C$10&amp;"-Pächter","")</f>
        <v/>
      </c>
      <c r="J305" s="17" t="str">
        <f aca="false">IF(AND(Eingabe!$F$10&gt;0,Eingabe!$E$10&gt;=95),"PPSK: Passwort Parzelle 95","")</f>
        <v/>
      </c>
      <c r="K305" s="17" t="str">
        <f aca="false">IF(AND(Eingabe!$F$10&gt;0,Eingabe!$E$10&gt;=95),"1. Gerät: 10."&amp;Eingabe!$D$10&amp;".95.10, 2. Gerät: .11","")</f>
        <v/>
      </c>
    </row>
    <row r="306" customFormat="false" ht="15" hidden="false" customHeight="false" outlineLevel="0" collapsed="false">
      <c r="A306" s="17" t="str">
        <f aca="false">IF(AND(Eingabe!$F$10&gt;0,Eingabe!$E$10&gt;=96),2,"")</f>
        <v/>
      </c>
      <c r="B306" s="17" t="str">
        <f aca="false">IF(AND(Eingabe!$F$10&gt;0,Eingabe!$E$10&gt;=96),Eingabe!$B$10,"")</f>
        <v/>
      </c>
      <c r="C306" s="17" t="str">
        <f aca="false">IF(AND(Eingabe!$F$10&gt;0,Eingabe!$E$10&gt;=96),Eingabe!$C$10&amp;"-Paz."&amp;TEXT(96,"000"),"")</f>
        <v/>
      </c>
      <c r="D306" s="17" t="str">
        <f aca="false">IF(AND(Eingabe!$F$10&gt;0,Eingabe!$E$10&gt;=96),96,"")</f>
        <v/>
      </c>
      <c r="E306" s="17" t="str">
        <f aca="false">IF(AND(Eingabe!$F$10&gt;0,Eingabe!$E$10&gt;=96),IF((Eingabe!$G$10)&lt;=9,1000+(Eingabe!$G$10)*100,3000)+96,"")</f>
        <v/>
      </c>
      <c r="F306" s="17" t="str">
        <f aca="false">IF(AND(Eingabe!$F$10&gt;0,Eingabe!$E$10&gt;=96),"10."&amp;Eingabe!$D$10&amp;".96.0/24","")</f>
        <v/>
      </c>
      <c r="G306" s="17" t="str">
        <f aca="false">IF(AND(Eingabe!$F$10&gt;0,Eingabe!$E$10&gt;=96),"10."&amp;Eingabe!$D$10&amp;".96.1","")</f>
        <v/>
      </c>
      <c r="H306" s="17" t="str">
        <f aca="false">IF(AND(Eingabe!$F$10&gt;0,Eingabe!$E$10&gt;=96),"10."&amp;Eingabe!$D$10&amp;".96.10 – 10."&amp;Eingabe!$D$10&amp;".96.250","")</f>
        <v/>
      </c>
      <c r="I306" s="17" t="str">
        <f aca="false">IF(AND(Eingabe!$F$10&gt;0,Eingabe!$E$10&gt;=96),Eingabe!$B$6&amp;"-"&amp;Eingabe!$C$10&amp;"-Pächter","")</f>
        <v/>
      </c>
      <c r="J306" s="17" t="str">
        <f aca="false">IF(AND(Eingabe!$F$10&gt;0,Eingabe!$E$10&gt;=96),"PPSK: Passwort Parzelle 96","")</f>
        <v/>
      </c>
      <c r="K306" s="17" t="str">
        <f aca="false">IF(AND(Eingabe!$F$10&gt;0,Eingabe!$E$10&gt;=96),"1. Gerät: 10."&amp;Eingabe!$D$10&amp;".96.10, 2. Gerät: .11","")</f>
        <v/>
      </c>
    </row>
    <row r="307" customFormat="false" ht="15" hidden="false" customHeight="false" outlineLevel="0" collapsed="false">
      <c r="A307" s="17" t="str">
        <f aca="false">IF(AND(Eingabe!$F$10&gt;0,Eingabe!$E$10&gt;=97),2,"")</f>
        <v/>
      </c>
      <c r="B307" s="17" t="str">
        <f aca="false">IF(AND(Eingabe!$F$10&gt;0,Eingabe!$E$10&gt;=97),Eingabe!$B$10,"")</f>
        <v/>
      </c>
      <c r="C307" s="17" t="str">
        <f aca="false">IF(AND(Eingabe!$F$10&gt;0,Eingabe!$E$10&gt;=97),Eingabe!$C$10&amp;"-Paz."&amp;TEXT(97,"000"),"")</f>
        <v/>
      </c>
      <c r="D307" s="17" t="str">
        <f aca="false">IF(AND(Eingabe!$F$10&gt;0,Eingabe!$E$10&gt;=97),97,"")</f>
        <v/>
      </c>
      <c r="E307" s="17" t="str">
        <f aca="false">IF(AND(Eingabe!$F$10&gt;0,Eingabe!$E$10&gt;=97),IF((Eingabe!$G$10)&lt;=9,1000+(Eingabe!$G$10)*100,3000)+97,"")</f>
        <v/>
      </c>
      <c r="F307" s="17" t="str">
        <f aca="false">IF(AND(Eingabe!$F$10&gt;0,Eingabe!$E$10&gt;=97),"10."&amp;Eingabe!$D$10&amp;".97.0/24","")</f>
        <v/>
      </c>
      <c r="G307" s="17" t="str">
        <f aca="false">IF(AND(Eingabe!$F$10&gt;0,Eingabe!$E$10&gt;=97),"10."&amp;Eingabe!$D$10&amp;".97.1","")</f>
        <v/>
      </c>
      <c r="H307" s="17" t="str">
        <f aca="false">IF(AND(Eingabe!$F$10&gt;0,Eingabe!$E$10&gt;=97),"10."&amp;Eingabe!$D$10&amp;".97.10 – 10."&amp;Eingabe!$D$10&amp;".97.250","")</f>
        <v/>
      </c>
      <c r="I307" s="17" t="str">
        <f aca="false">IF(AND(Eingabe!$F$10&gt;0,Eingabe!$E$10&gt;=97),Eingabe!$B$6&amp;"-"&amp;Eingabe!$C$10&amp;"-Pächter","")</f>
        <v/>
      </c>
      <c r="J307" s="17" t="str">
        <f aca="false">IF(AND(Eingabe!$F$10&gt;0,Eingabe!$E$10&gt;=97),"PPSK: Passwort Parzelle 97","")</f>
        <v/>
      </c>
      <c r="K307" s="17" t="str">
        <f aca="false">IF(AND(Eingabe!$F$10&gt;0,Eingabe!$E$10&gt;=97),"1. Gerät: 10."&amp;Eingabe!$D$10&amp;".97.10, 2. Gerät: .11","")</f>
        <v/>
      </c>
    </row>
    <row r="308" customFormat="false" ht="15" hidden="false" customHeight="false" outlineLevel="0" collapsed="false">
      <c r="A308" s="17" t="str">
        <f aca="false">IF(AND(Eingabe!$F$10&gt;0,Eingabe!$E$10&gt;=98),2,"")</f>
        <v/>
      </c>
      <c r="B308" s="17" t="str">
        <f aca="false">IF(AND(Eingabe!$F$10&gt;0,Eingabe!$E$10&gt;=98),Eingabe!$B$10,"")</f>
        <v/>
      </c>
      <c r="C308" s="17" t="str">
        <f aca="false">IF(AND(Eingabe!$F$10&gt;0,Eingabe!$E$10&gt;=98),Eingabe!$C$10&amp;"-Paz."&amp;TEXT(98,"000"),"")</f>
        <v/>
      </c>
      <c r="D308" s="17" t="str">
        <f aca="false">IF(AND(Eingabe!$F$10&gt;0,Eingabe!$E$10&gt;=98),98,"")</f>
        <v/>
      </c>
      <c r="E308" s="17" t="str">
        <f aca="false">IF(AND(Eingabe!$F$10&gt;0,Eingabe!$E$10&gt;=98),IF((Eingabe!$G$10)&lt;=9,1000+(Eingabe!$G$10)*100,3000)+98,"")</f>
        <v/>
      </c>
      <c r="F308" s="17" t="str">
        <f aca="false">IF(AND(Eingabe!$F$10&gt;0,Eingabe!$E$10&gt;=98),"10."&amp;Eingabe!$D$10&amp;".98.0/24","")</f>
        <v/>
      </c>
      <c r="G308" s="17" t="str">
        <f aca="false">IF(AND(Eingabe!$F$10&gt;0,Eingabe!$E$10&gt;=98),"10."&amp;Eingabe!$D$10&amp;".98.1","")</f>
        <v/>
      </c>
      <c r="H308" s="17" t="str">
        <f aca="false">IF(AND(Eingabe!$F$10&gt;0,Eingabe!$E$10&gt;=98),"10."&amp;Eingabe!$D$10&amp;".98.10 – 10."&amp;Eingabe!$D$10&amp;".98.250","")</f>
        <v/>
      </c>
      <c r="I308" s="17" t="str">
        <f aca="false">IF(AND(Eingabe!$F$10&gt;0,Eingabe!$E$10&gt;=98),Eingabe!$B$6&amp;"-"&amp;Eingabe!$C$10&amp;"-Pächter","")</f>
        <v/>
      </c>
      <c r="J308" s="17" t="str">
        <f aca="false">IF(AND(Eingabe!$F$10&gt;0,Eingabe!$E$10&gt;=98),"PPSK: Passwort Parzelle 98","")</f>
        <v/>
      </c>
      <c r="K308" s="17" t="str">
        <f aca="false">IF(AND(Eingabe!$F$10&gt;0,Eingabe!$E$10&gt;=98),"1. Gerät: 10."&amp;Eingabe!$D$10&amp;".98.10, 2. Gerät: .11","")</f>
        <v/>
      </c>
    </row>
    <row r="309" customFormat="false" ht="15" hidden="false" customHeight="false" outlineLevel="0" collapsed="false">
      <c r="A309" s="17" t="str">
        <f aca="false">IF(AND(Eingabe!$F$10&gt;0,Eingabe!$E$10&gt;=99),2,"")</f>
        <v/>
      </c>
      <c r="B309" s="17" t="str">
        <f aca="false">IF(AND(Eingabe!$F$10&gt;0,Eingabe!$E$10&gt;=99),Eingabe!$B$10,"")</f>
        <v/>
      </c>
      <c r="C309" s="17" t="str">
        <f aca="false">IF(AND(Eingabe!$F$10&gt;0,Eingabe!$E$10&gt;=99),Eingabe!$C$10&amp;"-Paz."&amp;TEXT(99,"000"),"")</f>
        <v/>
      </c>
      <c r="D309" s="17" t="str">
        <f aca="false">IF(AND(Eingabe!$F$10&gt;0,Eingabe!$E$10&gt;=99),99,"")</f>
        <v/>
      </c>
      <c r="E309" s="17" t="str">
        <f aca="false">IF(AND(Eingabe!$F$10&gt;0,Eingabe!$E$10&gt;=99),IF((Eingabe!$G$10)&lt;=9,1000+(Eingabe!$G$10)*100,3000)+99,"")</f>
        <v/>
      </c>
      <c r="F309" s="17" t="str">
        <f aca="false">IF(AND(Eingabe!$F$10&gt;0,Eingabe!$E$10&gt;=99),"10."&amp;Eingabe!$D$10&amp;".99.0/24","")</f>
        <v/>
      </c>
      <c r="G309" s="17" t="str">
        <f aca="false">IF(AND(Eingabe!$F$10&gt;0,Eingabe!$E$10&gt;=99),"10."&amp;Eingabe!$D$10&amp;".99.1","")</f>
        <v/>
      </c>
      <c r="H309" s="17" t="str">
        <f aca="false">IF(AND(Eingabe!$F$10&gt;0,Eingabe!$E$10&gt;=99),"10."&amp;Eingabe!$D$10&amp;".99.10 – 10."&amp;Eingabe!$D$10&amp;".99.250","")</f>
        <v/>
      </c>
      <c r="I309" s="17" t="str">
        <f aca="false">IF(AND(Eingabe!$F$10&gt;0,Eingabe!$E$10&gt;=99),Eingabe!$B$6&amp;"-"&amp;Eingabe!$C$10&amp;"-Pächter","")</f>
        <v/>
      </c>
      <c r="J309" s="17" t="str">
        <f aca="false">IF(AND(Eingabe!$F$10&gt;0,Eingabe!$E$10&gt;=99),"PPSK: Passwort Parzelle 99","")</f>
        <v/>
      </c>
      <c r="K309" s="17" t="str">
        <f aca="false">IF(AND(Eingabe!$F$10&gt;0,Eingabe!$E$10&gt;=99),"1. Gerät: 10."&amp;Eingabe!$D$10&amp;".99.10, 2. Gerät: .11","")</f>
        <v/>
      </c>
    </row>
    <row r="310" customFormat="false" ht="15" hidden="false" customHeight="false" outlineLevel="0" collapsed="false">
      <c r="A310" s="17" t="str">
        <f aca="false">IF(AND(Eingabe!$F$10&gt;0,Eingabe!$E$10&gt;=100),2,"")</f>
        <v/>
      </c>
      <c r="B310" s="17" t="str">
        <f aca="false">IF(AND(Eingabe!$F$10&gt;0,Eingabe!$E$10&gt;=100),Eingabe!$B$10,"")</f>
        <v/>
      </c>
      <c r="C310" s="17" t="str">
        <f aca="false">IF(AND(Eingabe!$F$10&gt;0,Eingabe!$E$10&gt;=100),Eingabe!$C$10&amp;"-Paz."&amp;TEXT(100,"000"),"")</f>
        <v/>
      </c>
      <c r="D310" s="17" t="str">
        <f aca="false">IF(AND(Eingabe!$F$10&gt;0,Eingabe!$E$10&gt;=100),100,"")</f>
        <v/>
      </c>
      <c r="E310" s="17" t="str">
        <f aca="false">IF(AND(Eingabe!$F$10&gt;0,Eingabe!$E$10&gt;=100),IF((Eingabe!$G$10+1)&lt;=9,1000+(Eingabe!$G$10+1)*100,3000)+0,"")</f>
        <v/>
      </c>
      <c r="F310" s="17" t="str">
        <f aca="false">IF(AND(Eingabe!$F$10&gt;0,Eingabe!$E$10&gt;=100),"10."&amp;Eingabe!$D$10&amp;".100.0/24","")</f>
        <v/>
      </c>
      <c r="G310" s="17" t="str">
        <f aca="false">IF(AND(Eingabe!$F$10&gt;0,Eingabe!$E$10&gt;=100),"10."&amp;Eingabe!$D$10&amp;".100.1","")</f>
        <v/>
      </c>
      <c r="H310" s="17" t="str">
        <f aca="false">IF(AND(Eingabe!$F$10&gt;0,Eingabe!$E$10&gt;=100),"10."&amp;Eingabe!$D$10&amp;".100.10 – 10."&amp;Eingabe!$D$10&amp;".100.250","")</f>
        <v/>
      </c>
      <c r="I310" s="17" t="str">
        <f aca="false">IF(AND(Eingabe!$F$10&gt;0,Eingabe!$E$10&gt;=100),Eingabe!$B$6&amp;"-"&amp;Eingabe!$C$10&amp;"-Pächter","")</f>
        <v/>
      </c>
      <c r="J310" s="17" t="str">
        <f aca="false">IF(AND(Eingabe!$F$10&gt;0,Eingabe!$E$10&gt;=100),"PPSK: Passwort Parzelle 100","")</f>
        <v/>
      </c>
      <c r="K310" s="17" t="str">
        <f aca="false">IF(AND(Eingabe!$F$10&gt;0,Eingabe!$E$10&gt;=100),"1. Gerät: 10."&amp;Eingabe!$D$10&amp;".100.10, 2. Gerät: .11","")</f>
        <v/>
      </c>
    </row>
    <row r="311" customFormat="false" ht="15" hidden="false" customHeight="false" outlineLevel="0" collapsed="false">
      <c r="A311" s="17" t="str">
        <f aca="false">IF(AND(Eingabe!$F$10&gt;0,Eingabe!$E$10&gt;=101),2,"")</f>
        <v/>
      </c>
      <c r="B311" s="17" t="str">
        <f aca="false">IF(AND(Eingabe!$F$10&gt;0,Eingabe!$E$10&gt;=101),Eingabe!$B$10,"")</f>
        <v/>
      </c>
      <c r="C311" s="17" t="str">
        <f aca="false">IF(AND(Eingabe!$F$10&gt;0,Eingabe!$E$10&gt;=101),Eingabe!$C$10&amp;"-Paz."&amp;TEXT(101,"000"),"")</f>
        <v/>
      </c>
      <c r="D311" s="17" t="str">
        <f aca="false">IF(AND(Eingabe!$F$10&gt;0,Eingabe!$E$10&gt;=101),101,"")</f>
        <v/>
      </c>
      <c r="E311" s="17" t="str">
        <f aca="false">IF(AND(Eingabe!$F$10&gt;0,Eingabe!$E$10&gt;=101),IF((Eingabe!$G$10+1)&lt;=9,1000+(Eingabe!$G$10+1)*100,3000)+1,"")</f>
        <v/>
      </c>
      <c r="F311" s="17" t="str">
        <f aca="false">IF(AND(Eingabe!$F$10&gt;0,Eingabe!$E$10&gt;=101),"10."&amp;Eingabe!$D$10&amp;".101.0/24","")</f>
        <v/>
      </c>
      <c r="G311" s="17" t="str">
        <f aca="false">IF(AND(Eingabe!$F$10&gt;0,Eingabe!$E$10&gt;=101),"10."&amp;Eingabe!$D$10&amp;".101.1","")</f>
        <v/>
      </c>
      <c r="H311" s="17" t="str">
        <f aca="false">IF(AND(Eingabe!$F$10&gt;0,Eingabe!$E$10&gt;=101),"10."&amp;Eingabe!$D$10&amp;".101.10 – 10."&amp;Eingabe!$D$10&amp;".101.250","")</f>
        <v/>
      </c>
      <c r="I311" s="17" t="str">
        <f aca="false">IF(AND(Eingabe!$F$10&gt;0,Eingabe!$E$10&gt;=101),Eingabe!$B$6&amp;"-"&amp;Eingabe!$C$10&amp;"-Pächter","")</f>
        <v/>
      </c>
      <c r="J311" s="17" t="str">
        <f aca="false">IF(AND(Eingabe!$F$10&gt;0,Eingabe!$E$10&gt;=101),"PPSK: Passwort Parzelle 101","")</f>
        <v/>
      </c>
      <c r="K311" s="17" t="str">
        <f aca="false">IF(AND(Eingabe!$F$10&gt;0,Eingabe!$E$10&gt;=101),"1. Gerät: 10."&amp;Eingabe!$D$10&amp;".101.10, 2. Gerät: .11","")</f>
        <v/>
      </c>
    </row>
    <row r="312" customFormat="false" ht="15" hidden="false" customHeight="false" outlineLevel="0" collapsed="false">
      <c r="A312" s="17" t="str">
        <f aca="false">IF(AND(Eingabe!$F$10&gt;0,Eingabe!$E$10&gt;=102),2,"")</f>
        <v/>
      </c>
      <c r="B312" s="17" t="str">
        <f aca="false">IF(AND(Eingabe!$F$10&gt;0,Eingabe!$E$10&gt;=102),Eingabe!$B$10,"")</f>
        <v/>
      </c>
      <c r="C312" s="17" t="str">
        <f aca="false">IF(AND(Eingabe!$F$10&gt;0,Eingabe!$E$10&gt;=102),Eingabe!$C$10&amp;"-Paz."&amp;TEXT(102,"000"),"")</f>
        <v/>
      </c>
      <c r="D312" s="17" t="str">
        <f aca="false">IF(AND(Eingabe!$F$10&gt;0,Eingabe!$E$10&gt;=102),102,"")</f>
        <v/>
      </c>
      <c r="E312" s="17" t="str">
        <f aca="false">IF(AND(Eingabe!$F$10&gt;0,Eingabe!$E$10&gt;=102),IF((Eingabe!$G$10+1)&lt;=9,1000+(Eingabe!$G$10+1)*100,3000)+2,"")</f>
        <v/>
      </c>
      <c r="F312" s="17" t="str">
        <f aca="false">IF(AND(Eingabe!$F$10&gt;0,Eingabe!$E$10&gt;=102),"10."&amp;Eingabe!$D$10&amp;".102.0/24","")</f>
        <v/>
      </c>
      <c r="G312" s="17" t="str">
        <f aca="false">IF(AND(Eingabe!$F$10&gt;0,Eingabe!$E$10&gt;=102),"10."&amp;Eingabe!$D$10&amp;".102.1","")</f>
        <v/>
      </c>
      <c r="H312" s="17" t="str">
        <f aca="false">IF(AND(Eingabe!$F$10&gt;0,Eingabe!$E$10&gt;=102),"10."&amp;Eingabe!$D$10&amp;".102.10 – 10."&amp;Eingabe!$D$10&amp;".102.250","")</f>
        <v/>
      </c>
      <c r="I312" s="17" t="str">
        <f aca="false">IF(AND(Eingabe!$F$10&gt;0,Eingabe!$E$10&gt;=102),Eingabe!$B$6&amp;"-"&amp;Eingabe!$C$10&amp;"-Pächter","")</f>
        <v/>
      </c>
      <c r="J312" s="17" t="str">
        <f aca="false">IF(AND(Eingabe!$F$10&gt;0,Eingabe!$E$10&gt;=102),"PPSK: Passwort Parzelle 102","")</f>
        <v/>
      </c>
      <c r="K312" s="17" t="str">
        <f aca="false">IF(AND(Eingabe!$F$10&gt;0,Eingabe!$E$10&gt;=102),"1. Gerät: 10."&amp;Eingabe!$D$10&amp;".102.10, 2. Gerät: .11","")</f>
        <v/>
      </c>
    </row>
    <row r="313" customFormat="false" ht="15" hidden="false" customHeight="false" outlineLevel="0" collapsed="false">
      <c r="A313" s="17" t="str">
        <f aca="false">IF(AND(Eingabe!$F$10&gt;0,Eingabe!$E$10&gt;=103),2,"")</f>
        <v/>
      </c>
      <c r="B313" s="17" t="str">
        <f aca="false">IF(AND(Eingabe!$F$10&gt;0,Eingabe!$E$10&gt;=103),Eingabe!$B$10,"")</f>
        <v/>
      </c>
      <c r="C313" s="17" t="str">
        <f aca="false">IF(AND(Eingabe!$F$10&gt;0,Eingabe!$E$10&gt;=103),Eingabe!$C$10&amp;"-Paz."&amp;TEXT(103,"000"),"")</f>
        <v/>
      </c>
      <c r="D313" s="17" t="str">
        <f aca="false">IF(AND(Eingabe!$F$10&gt;0,Eingabe!$E$10&gt;=103),103,"")</f>
        <v/>
      </c>
      <c r="E313" s="17" t="str">
        <f aca="false">IF(AND(Eingabe!$F$10&gt;0,Eingabe!$E$10&gt;=103),IF((Eingabe!$G$10+1)&lt;=9,1000+(Eingabe!$G$10+1)*100,3000)+3,"")</f>
        <v/>
      </c>
      <c r="F313" s="17" t="str">
        <f aca="false">IF(AND(Eingabe!$F$10&gt;0,Eingabe!$E$10&gt;=103),"10."&amp;Eingabe!$D$10&amp;".103.0/24","")</f>
        <v/>
      </c>
      <c r="G313" s="17" t="str">
        <f aca="false">IF(AND(Eingabe!$F$10&gt;0,Eingabe!$E$10&gt;=103),"10."&amp;Eingabe!$D$10&amp;".103.1","")</f>
        <v/>
      </c>
      <c r="H313" s="17" t="str">
        <f aca="false">IF(AND(Eingabe!$F$10&gt;0,Eingabe!$E$10&gt;=103),"10."&amp;Eingabe!$D$10&amp;".103.10 – 10."&amp;Eingabe!$D$10&amp;".103.250","")</f>
        <v/>
      </c>
      <c r="I313" s="17" t="str">
        <f aca="false">IF(AND(Eingabe!$F$10&gt;0,Eingabe!$E$10&gt;=103),Eingabe!$B$6&amp;"-"&amp;Eingabe!$C$10&amp;"-Pächter","")</f>
        <v/>
      </c>
      <c r="J313" s="17" t="str">
        <f aca="false">IF(AND(Eingabe!$F$10&gt;0,Eingabe!$E$10&gt;=103),"PPSK: Passwort Parzelle 103","")</f>
        <v/>
      </c>
      <c r="K313" s="17" t="str">
        <f aca="false">IF(AND(Eingabe!$F$10&gt;0,Eingabe!$E$10&gt;=103),"1. Gerät: 10."&amp;Eingabe!$D$10&amp;".103.10, 2. Gerät: .11","")</f>
        <v/>
      </c>
    </row>
    <row r="314" customFormat="false" ht="15" hidden="false" customHeight="false" outlineLevel="0" collapsed="false">
      <c r="A314" s="17" t="str">
        <f aca="false">IF(AND(Eingabe!$F$10&gt;0,Eingabe!$E$10&gt;=104),2,"")</f>
        <v/>
      </c>
      <c r="B314" s="17" t="str">
        <f aca="false">IF(AND(Eingabe!$F$10&gt;0,Eingabe!$E$10&gt;=104),Eingabe!$B$10,"")</f>
        <v/>
      </c>
      <c r="C314" s="17" t="str">
        <f aca="false">IF(AND(Eingabe!$F$10&gt;0,Eingabe!$E$10&gt;=104),Eingabe!$C$10&amp;"-Paz."&amp;TEXT(104,"000"),"")</f>
        <v/>
      </c>
      <c r="D314" s="17" t="str">
        <f aca="false">IF(AND(Eingabe!$F$10&gt;0,Eingabe!$E$10&gt;=104),104,"")</f>
        <v/>
      </c>
      <c r="E314" s="17" t="str">
        <f aca="false">IF(AND(Eingabe!$F$10&gt;0,Eingabe!$E$10&gt;=104),IF((Eingabe!$G$10+1)&lt;=9,1000+(Eingabe!$G$10+1)*100,3000)+4,"")</f>
        <v/>
      </c>
      <c r="F314" s="17" t="str">
        <f aca="false">IF(AND(Eingabe!$F$10&gt;0,Eingabe!$E$10&gt;=104),"10."&amp;Eingabe!$D$10&amp;".104.0/24","")</f>
        <v/>
      </c>
      <c r="G314" s="17" t="str">
        <f aca="false">IF(AND(Eingabe!$F$10&gt;0,Eingabe!$E$10&gt;=104),"10."&amp;Eingabe!$D$10&amp;".104.1","")</f>
        <v/>
      </c>
      <c r="H314" s="17" t="str">
        <f aca="false">IF(AND(Eingabe!$F$10&gt;0,Eingabe!$E$10&gt;=104),"10."&amp;Eingabe!$D$10&amp;".104.10 – 10."&amp;Eingabe!$D$10&amp;".104.250","")</f>
        <v/>
      </c>
      <c r="I314" s="17" t="str">
        <f aca="false">IF(AND(Eingabe!$F$10&gt;0,Eingabe!$E$10&gt;=104),Eingabe!$B$6&amp;"-"&amp;Eingabe!$C$10&amp;"-Pächter","")</f>
        <v/>
      </c>
      <c r="J314" s="17" t="str">
        <f aca="false">IF(AND(Eingabe!$F$10&gt;0,Eingabe!$E$10&gt;=104),"PPSK: Passwort Parzelle 104","")</f>
        <v/>
      </c>
      <c r="K314" s="17" t="str">
        <f aca="false">IF(AND(Eingabe!$F$10&gt;0,Eingabe!$E$10&gt;=104),"1. Gerät: 10."&amp;Eingabe!$D$10&amp;".104.10, 2. Gerät: .11","")</f>
        <v/>
      </c>
    </row>
    <row r="315" customFormat="false" ht="15" hidden="false" customHeight="false" outlineLevel="0" collapsed="false">
      <c r="A315" s="17" t="str">
        <f aca="false">IF(AND(Eingabe!$F$10&gt;0,Eingabe!$E$10&gt;=105),2,"")</f>
        <v/>
      </c>
      <c r="B315" s="17" t="str">
        <f aca="false">IF(AND(Eingabe!$F$10&gt;0,Eingabe!$E$10&gt;=105),Eingabe!$B$10,"")</f>
        <v/>
      </c>
      <c r="C315" s="17" t="str">
        <f aca="false">IF(AND(Eingabe!$F$10&gt;0,Eingabe!$E$10&gt;=105),Eingabe!$C$10&amp;"-Paz."&amp;TEXT(105,"000"),"")</f>
        <v/>
      </c>
      <c r="D315" s="17" t="str">
        <f aca="false">IF(AND(Eingabe!$F$10&gt;0,Eingabe!$E$10&gt;=105),105,"")</f>
        <v/>
      </c>
      <c r="E315" s="17" t="str">
        <f aca="false">IF(AND(Eingabe!$F$10&gt;0,Eingabe!$E$10&gt;=105),IF((Eingabe!$G$10+1)&lt;=9,1000+(Eingabe!$G$10+1)*100,3000)+5,"")</f>
        <v/>
      </c>
      <c r="F315" s="17" t="str">
        <f aca="false">IF(AND(Eingabe!$F$10&gt;0,Eingabe!$E$10&gt;=105),"10."&amp;Eingabe!$D$10&amp;".105.0/24","")</f>
        <v/>
      </c>
      <c r="G315" s="17" t="str">
        <f aca="false">IF(AND(Eingabe!$F$10&gt;0,Eingabe!$E$10&gt;=105),"10."&amp;Eingabe!$D$10&amp;".105.1","")</f>
        <v/>
      </c>
      <c r="H315" s="17" t="str">
        <f aca="false">IF(AND(Eingabe!$F$10&gt;0,Eingabe!$E$10&gt;=105),"10."&amp;Eingabe!$D$10&amp;".105.10 – 10."&amp;Eingabe!$D$10&amp;".105.250","")</f>
        <v/>
      </c>
      <c r="I315" s="17" t="str">
        <f aca="false">IF(AND(Eingabe!$F$10&gt;0,Eingabe!$E$10&gt;=105),Eingabe!$B$6&amp;"-"&amp;Eingabe!$C$10&amp;"-Pächter","")</f>
        <v/>
      </c>
      <c r="J315" s="17" t="str">
        <f aca="false">IF(AND(Eingabe!$F$10&gt;0,Eingabe!$E$10&gt;=105),"PPSK: Passwort Parzelle 105","")</f>
        <v/>
      </c>
      <c r="K315" s="17" t="str">
        <f aca="false">IF(AND(Eingabe!$F$10&gt;0,Eingabe!$E$10&gt;=105),"1. Gerät: 10."&amp;Eingabe!$D$10&amp;".105.10, 2. Gerät: .11","")</f>
        <v/>
      </c>
    </row>
    <row r="316" customFormat="false" ht="15" hidden="false" customHeight="false" outlineLevel="0" collapsed="false">
      <c r="A316" s="17" t="str">
        <f aca="false">IF(AND(Eingabe!$F$10&gt;0,Eingabe!$E$10&gt;=106),2,"")</f>
        <v/>
      </c>
      <c r="B316" s="17" t="str">
        <f aca="false">IF(AND(Eingabe!$F$10&gt;0,Eingabe!$E$10&gt;=106),Eingabe!$B$10,"")</f>
        <v/>
      </c>
      <c r="C316" s="17" t="str">
        <f aca="false">IF(AND(Eingabe!$F$10&gt;0,Eingabe!$E$10&gt;=106),Eingabe!$C$10&amp;"-Paz."&amp;TEXT(106,"000"),"")</f>
        <v/>
      </c>
      <c r="D316" s="17" t="str">
        <f aca="false">IF(AND(Eingabe!$F$10&gt;0,Eingabe!$E$10&gt;=106),106,"")</f>
        <v/>
      </c>
      <c r="E316" s="17" t="str">
        <f aca="false">IF(AND(Eingabe!$F$10&gt;0,Eingabe!$E$10&gt;=106),IF((Eingabe!$G$10+1)&lt;=9,1000+(Eingabe!$G$10+1)*100,3000)+6,"")</f>
        <v/>
      </c>
      <c r="F316" s="17" t="str">
        <f aca="false">IF(AND(Eingabe!$F$10&gt;0,Eingabe!$E$10&gt;=106),"10."&amp;Eingabe!$D$10&amp;".106.0/24","")</f>
        <v/>
      </c>
      <c r="G316" s="17" t="str">
        <f aca="false">IF(AND(Eingabe!$F$10&gt;0,Eingabe!$E$10&gt;=106),"10."&amp;Eingabe!$D$10&amp;".106.1","")</f>
        <v/>
      </c>
      <c r="H316" s="17" t="str">
        <f aca="false">IF(AND(Eingabe!$F$10&gt;0,Eingabe!$E$10&gt;=106),"10."&amp;Eingabe!$D$10&amp;".106.10 – 10."&amp;Eingabe!$D$10&amp;".106.250","")</f>
        <v/>
      </c>
      <c r="I316" s="17" t="str">
        <f aca="false">IF(AND(Eingabe!$F$10&gt;0,Eingabe!$E$10&gt;=106),Eingabe!$B$6&amp;"-"&amp;Eingabe!$C$10&amp;"-Pächter","")</f>
        <v/>
      </c>
      <c r="J316" s="17" t="str">
        <f aca="false">IF(AND(Eingabe!$F$10&gt;0,Eingabe!$E$10&gt;=106),"PPSK: Passwort Parzelle 106","")</f>
        <v/>
      </c>
      <c r="K316" s="17" t="str">
        <f aca="false">IF(AND(Eingabe!$F$10&gt;0,Eingabe!$E$10&gt;=106),"1. Gerät: 10."&amp;Eingabe!$D$10&amp;".106.10, 2. Gerät: .11","")</f>
        <v/>
      </c>
    </row>
    <row r="317" customFormat="false" ht="15" hidden="false" customHeight="false" outlineLevel="0" collapsed="false">
      <c r="A317" s="17" t="str">
        <f aca="false">IF(AND(Eingabe!$F$10&gt;0,Eingabe!$E$10&gt;=107),2,"")</f>
        <v/>
      </c>
      <c r="B317" s="17" t="str">
        <f aca="false">IF(AND(Eingabe!$F$10&gt;0,Eingabe!$E$10&gt;=107),Eingabe!$B$10,"")</f>
        <v/>
      </c>
      <c r="C317" s="17" t="str">
        <f aca="false">IF(AND(Eingabe!$F$10&gt;0,Eingabe!$E$10&gt;=107),Eingabe!$C$10&amp;"-Paz."&amp;TEXT(107,"000"),"")</f>
        <v/>
      </c>
      <c r="D317" s="17" t="str">
        <f aca="false">IF(AND(Eingabe!$F$10&gt;0,Eingabe!$E$10&gt;=107),107,"")</f>
        <v/>
      </c>
      <c r="E317" s="17" t="str">
        <f aca="false">IF(AND(Eingabe!$F$10&gt;0,Eingabe!$E$10&gt;=107),IF((Eingabe!$G$10+1)&lt;=9,1000+(Eingabe!$G$10+1)*100,3000)+7,"")</f>
        <v/>
      </c>
      <c r="F317" s="17" t="str">
        <f aca="false">IF(AND(Eingabe!$F$10&gt;0,Eingabe!$E$10&gt;=107),"10."&amp;Eingabe!$D$10&amp;".107.0/24","")</f>
        <v/>
      </c>
      <c r="G317" s="17" t="str">
        <f aca="false">IF(AND(Eingabe!$F$10&gt;0,Eingabe!$E$10&gt;=107),"10."&amp;Eingabe!$D$10&amp;".107.1","")</f>
        <v/>
      </c>
      <c r="H317" s="17" t="str">
        <f aca="false">IF(AND(Eingabe!$F$10&gt;0,Eingabe!$E$10&gt;=107),"10."&amp;Eingabe!$D$10&amp;".107.10 – 10."&amp;Eingabe!$D$10&amp;".107.250","")</f>
        <v/>
      </c>
      <c r="I317" s="17" t="str">
        <f aca="false">IF(AND(Eingabe!$F$10&gt;0,Eingabe!$E$10&gt;=107),Eingabe!$B$6&amp;"-"&amp;Eingabe!$C$10&amp;"-Pächter","")</f>
        <v/>
      </c>
      <c r="J317" s="17" t="str">
        <f aca="false">IF(AND(Eingabe!$F$10&gt;0,Eingabe!$E$10&gt;=107),"PPSK: Passwort Parzelle 107","")</f>
        <v/>
      </c>
      <c r="K317" s="17" t="str">
        <f aca="false">IF(AND(Eingabe!$F$10&gt;0,Eingabe!$E$10&gt;=107),"1. Gerät: 10."&amp;Eingabe!$D$10&amp;".107.10, 2. Gerät: .11","")</f>
        <v/>
      </c>
    </row>
    <row r="318" customFormat="false" ht="15" hidden="false" customHeight="false" outlineLevel="0" collapsed="false">
      <c r="A318" s="17" t="str">
        <f aca="false">IF(AND(Eingabe!$F$10&gt;0,Eingabe!$E$10&gt;=108),2,"")</f>
        <v/>
      </c>
      <c r="B318" s="17" t="str">
        <f aca="false">IF(AND(Eingabe!$F$10&gt;0,Eingabe!$E$10&gt;=108),Eingabe!$B$10,"")</f>
        <v/>
      </c>
      <c r="C318" s="17" t="str">
        <f aca="false">IF(AND(Eingabe!$F$10&gt;0,Eingabe!$E$10&gt;=108),Eingabe!$C$10&amp;"-Paz."&amp;TEXT(108,"000"),"")</f>
        <v/>
      </c>
      <c r="D318" s="17" t="str">
        <f aca="false">IF(AND(Eingabe!$F$10&gt;0,Eingabe!$E$10&gt;=108),108,"")</f>
        <v/>
      </c>
      <c r="E318" s="17" t="str">
        <f aca="false">IF(AND(Eingabe!$F$10&gt;0,Eingabe!$E$10&gt;=108),IF((Eingabe!$G$10+1)&lt;=9,1000+(Eingabe!$G$10+1)*100,3000)+8,"")</f>
        <v/>
      </c>
      <c r="F318" s="17" t="str">
        <f aca="false">IF(AND(Eingabe!$F$10&gt;0,Eingabe!$E$10&gt;=108),"10."&amp;Eingabe!$D$10&amp;".108.0/24","")</f>
        <v/>
      </c>
      <c r="G318" s="17" t="str">
        <f aca="false">IF(AND(Eingabe!$F$10&gt;0,Eingabe!$E$10&gt;=108),"10."&amp;Eingabe!$D$10&amp;".108.1","")</f>
        <v/>
      </c>
      <c r="H318" s="17" t="str">
        <f aca="false">IF(AND(Eingabe!$F$10&gt;0,Eingabe!$E$10&gt;=108),"10."&amp;Eingabe!$D$10&amp;".108.10 – 10."&amp;Eingabe!$D$10&amp;".108.250","")</f>
        <v/>
      </c>
      <c r="I318" s="17" t="str">
        <f aca="false">IF(AND(Eingabe!$F$10&gt;0,Eingabe!$E$10&gt;=108),Eingabe!$B$6&amp;"-"&amp;Eingabe!$C$10&amp;"-Pächter","")</f>
        <v/>
      </c>
      <c r="J318" s="17" t="str">
        <f aca="false">IF(AND(Eingabe!$F$10&gt;0,Eingabe!$E$10&gt;=108),"PPSK: Passwort Parzelle 108","")</f>
        <v/>
      </c>
      <c r="K318" s="17" t="str">
        <f aca="false">IF(AND(Eingabe!$F$10&gt;0,Eingabe!$E$10&gt;=108),"1. Gerät: 10."&amp;Eingabe!$D$10&amp;".108.10, 2. Gerät: .11","")</f>
        <v/>
      </c>
    </row>
    <row r="319" customFormat="false" ht="15" hidden="false" customHeight="false" outlineLevel="0" collapsed="false">
      <c r="A319" s="17" t="str">
        <f aca="false">IF(AND(Eingabe!$F$10&gt;0,Eingabe!$E$10&gt;=109),2,"")</f>
        <v/>
      </c>
      <c r="B319" s="17" t="str">
        <f aca="false">IF(AND(Eingabe!$F$10&gt;0,Eingabe!$E$10&gt;=109),Eingabe!$B$10,"")</f>
        <v/>
      </c>
      <c r="C319" s="17" t="str">
        <f aca="false">IF(AND(Eingabe!$F$10&gt;0,Eingabe!$E$10&gt;=109),Eingabe!$C$10&amp;"-Paz."&amp;TEXT(109,"000"),"")</f>
        <v/>
      </c>
      <c r="D319" s="17" t="str">
        <f aca="false">IF(AND(Eingabe!$F$10&gt;0,Eingabe!$E$10&gt;=109),109,"")</f>
        <v/>
      </c>
      <c r="E319" s="17" t="str">
        <f aca="false">IF(AND(Eingabe!$F$10&gt;0,Eingabe!$E$10&gt;=109),IF((Eingabe!$G$10+1)&lt;=9,1000+(Eingabe!$G$10+1)*100,3000)+9,"")</f>
        <v/>
      </c>
      <c r="F319" s="17" t="str">
        <f aca="false">IF(AND(Eingabe!$F$10&gt;0,Eingabe!$E$10&gt;=109),"10."&amp;Eingabe!$D$10&amp;".109.0/24","")</f>
        <v/>
      </c>
      <c r="G319" s="17" t="str">
        <f aca="false">IF(AND(Eingabe!$F$10&gt;0,Eingabe!$E$10&gt;=109),"10."&amp;Eingabe!$D$10&amp;".109.1","")</f>
        <v/>
      </c>
      <c r="H319" s="17" t="str">
        <f aca="false">IF(AND(Eingabe!$F$10&gt;0,Eingabe!$E$10&gt;=109),"10."&amp;Eingabe!$D$10&amp;".109.10 – 10."&amp;Eingabe!$D$10&amp;".109.250","")</f>
        <v/>
      </c>
      <c r="I319" s="17" t="str">
        <f aca="false">IF(AND(Eingabe!$F$10&gt;0,Eingabe!$E$10&gt;=109),Eingabe!$B$6&amp;"-"&amp;Eingabe!$C$10&amp;"-Pächter","")</f>
        <v/>
      </c>
      <c r="J319" s="17" t="str">
        <f aca="false">IF(AND(Eingabe!$F$10&gt;0,Eingabe!$E$10&gt;=109),"PPSK: Passwort Parzelle 109","")</f>
        <v/>
      </c>
      <c r="K319" s="17" t="str">
        <f aca="false">IF(AND(Eingabe!$F$10&gt;0,Eingabe!$E$10&gt;=109),"1. Gerät: 10."&amp;Eingabe!$D$10&amp;".109.10, 2. Gerät: .11","")</f>
        <v/>
      </c>
    </row>
    <row r="320" customFormat="false" ht="15" hidden="false" customHeight="false" outlineLevel="0" collapsed="false">
      <c r="A320" s="17" t="str">
        <f aca="false">IF(AND(Eingabe!$F$10&gt;0,Eingabe!$E$10&gt;=110),2,"")</f>
        <v/>
      </c>
      <c r="B320" s="17" t="str">
        <f aca="false">IF(AND(Eingabe!$F$10&gt;0,Eingabe!$E$10&gt;=110),Eingabe!$B$10,"")</f>
        <v/>
      </c>
      <c r="C320" s="17" t="str">
        <f aca="false">IF(AND(Eingabe!$F$10&gt;0,Eingabe!$E$10&gt;=110),Eingabe!$C$10&amp;"-Paz."&amp;TEXT(110,"000"),"")</f>
        <v/>
      </c>
      <c r="D320" s="17" t="str">
        <f aca="false">IF(AND(Eingabe!$F$10&gt;0,Eingabe!$E$10&gt;=110),110,"")</f>
        <v/>
      </c>
      <c r="E320" s="17" t="str">
        <f aca="false">IF(AND(Eingabe!$F$10&gt;0,Eingabe!$E$10&gt;=110),IF((Eingabe!$G$10+1)&lt;=9,1000+(Eingabe!$G$10+1)*100,3000)+10,"")</f>
        <v/>
      </c>
      <c r="F320" s="17" t="str">
        <f aca="false">IF(AND(Eingabe!$F$10&gt;0,Eingabe!$E$10&gt;=110),"10."&amp;Eingabe!$D$10&amp;".110.0/24","")</f>
        <v/>
      </c>
      <c r="G320" s="17" t="str">
        <f aca="false">IF(AND(Eingabe!$F$10&gt;0,Eingabe!$E$10&gt;=110),"10."&amp;Eingabe!$D$10&amp;".110.1","")</f>
        <v/>
      </c>
      <c r="H320" s="17" t="str">
        <f aca="false">IF(AND(Eingabe!$F$10&gt;0,Eingabe!$E$10&gt;=110),"10."&amp;Eingabe!$D$10&amp;".110.10 – 10."&amp;Eingabe!$D$10&amp;".110.250","")</f>
        <v/>
      </c>
      <c r="I320" s="17" t="str">
        <f aca="false">IF(AND(Eingabe!$F$10&gt;0,Eingabe!$E$10&gt;=110),Eingabe!$B$6&amp;"-"&amp;Eingabe!$C$10&amp;"-Pächter","")</f>
        <v/>
      </c>
      <c r="J320" s="17" t="str">
        <f aca="false">IF(AND(Eingabe!$F$10&gt;0,Eingabe!$E$10&gt;=110),"PPSK: Passwort Parzelle 110","")</f>
        <v/>
      </c>
      <c r="K320" s="17" t="str">
        <f aca="false">IF(AND(Eingabe!$F$10&gt;0,Eingabe!$E$10&gt;=110),"1. Gerät: 10."&amp;Eingabe!$D$10&amp;".110.10, 2. Gerät: .11","")</f>
        <v/>
      </c>
    </row>
    <row r="321" customFormat="false" ht="15" hidden="false" customHeight="false" outlineLevel="0" collapsed="false">
      <c r="A321" s="17" t="str">
        <f aca="false">IF(AND(Eingabe!$F$10&gt;0,Eingabe!$E$10&gt;=111),2,"")</f>
        <v/>
      </c>
      <c r="B321" s="17" t="str">
        <f aca="false">IF(AND(Eingabe!$F$10&gt;0,Eingabe!$E$10&gt;=111),Eingabe!$B$10,"")</f>
        <v/>
      </c>
      <c r="C321" s="17" t="str">
        <f aca="false">IF(AND(Eingabe!$F$10&gt;0,Eingabe!$E$10&gt;=111),Eingabe!$C$10&amp;"-Paz."&amp;TEXT(111,"000"),"")</f>
        <v/>
      </c>
      <c r="D321" s="17" t="str">
        <f aca="false">IF(AND(Eingabe!$F$10&gt;0,Eingabe!$E$10&gt;=111),111,"")</f>
        <v/>
      </c>
      <c r="E321" s="17" t="str">
        <f aca="false">IF(AND(Eingabe!$F$10&gt;0,Eingabe!$E$10&gt;=111),IF((Eingabe!$G$10+1)&lt;=9,1000+(Eingabe!$G$10+1)*100,3000)+11,"")</f>
        <v/>
      </c>
      <c r="F321" s="17" t="str">
        <f aca="false">IF(AND(Eingabe!$F$10&gt;0,Eingabe!$E$10&gt;=111),"10."&amp;Eingabe!$D$10&amp;".111.0/24","")</f>
        <v/>
      </c>
      <c r="G321" s="17" t="str">
        <f aca="false">IF(AND(Eingabe!$F$10&gt;0,Eingabe!$E$10&gt;=111),"10."&amp;Eingabe!$D$10&amp;".111.1","")</f>
        <v/>
      </c>
      <c r="H321" s="17" t="str">
        <f aca="false">IF(AND(Eingabe!$F$10&gt;0,Eingabe!$E$10&gt;=111),"10."&amp;Eingabe!$D$10&amp;".111.10 – 10."&amp;Eingabe!$D$10&amp;".111.250","")</f>
        <v/>
      </c>
      <c r="I321" s="17" t="str">
        <f aca="false">IF(AND(Eingabe!$F$10&gt;0,Eingabe!$E$10&gt;=111),Eingabe!$B$6&amp;"-"&amp;Eingabe!$C$10&amp;"-Pächter","")</f>
        <v/>
      </c>
      <c r="J321" s="17" t="str">
        <f aca="false">IF(AND(Eingabe!$F$10&gt;0,Eingabe!$E$10&gt;=111),"PPSK: Passwort Parzelle 111","")</f>
        <v/>
      </c>
      <c r="K321" s="17" t="str">
        <f aca="false">IF(AND(Eingabe!$F$10&gt;0,Eingabe!$E$10&gt;=111),"1. Gerät: 10."&amp;Eingabe!$D$10&amp;".111.10, 2. Gerät: .11","")</f>
        <v/>
      </c>
    </row>
    <row r="322" customFormat="false" ht="15" hidden="false" customHeight="false" outlineLevel="0" collapsed="false">
      <c r="A322" s="17" t="str">
        <f aca="false">IF(AND(Eingabe!$F$10&gt;0,Eingabe!$E$10&gt;=112),2,"")</f>
        <v/>
      </c>
      <c r="B322" s="17" t="str">
        <f aca="false">IF(AND(Eingabe!$F$10&gt;0,Eingabe!$E$10&gt;=112),Eingabe!$B$10,"")</f>
        <v/>
      </c>
      <c r="C322" s="17" t="str">
        <f aca="false">IF(AND(Eingabe!$F$10&gt;0,Eingabe!$E$10&gt;=112),Eingabe!$C$10&amp;"-Paz."&amp;TEXT(112,"000"),"")</f>
        <v/>
      </c>
      <c r="D322" s="17" t="str">
        <f aca="false">IF(AND(Eingabe!$F$10&gt;0,Eingabe!$E$10&gt;=112),112,"")</f>
        <v/>
      </c>
      <c r="E322" s="17" t="str">
        <f aca="false">IF(AND(Eingabe!$F$10&gt;0,Eingabe!$E$10&gt;=112),IF((Eingabe!$G$10+1)&lt;=9,1000+(Eingabe!$G$10+1)*100,3000)+12,"")</f>
        <v/>
      </c>
      <c r="F322" s="17" t="str">
        <f aca="false">IF(AND(Eingabe!$F$10&gt;0,Eingabe!$E$10&gt;=112),"10."&amp;Eingabe!$D$10&amp;".112.0/24","")</f>
        <v/>
      </c>
      <c r="G322" s="17" t="str">
        <f aca="false">IF(AND(Eingabe!$F$10&gt;0,Eingabe!$E$10&gt;=112),"10."&amp;Eingabe!$D$10&amp;".112.1","")</f>
        <v/>
      </c>
      <c r="H322" s="17" t="str">
        <f aca="false">IF(AND(Eingabe!$F$10&gt;0,Eingabe!$E$10&gt;=112),"10."&amp;Eingabe!$D$10&amp;".112.10 – 10."&amp;Eingabe!$D$10&amp;".112.250","")</f>
        <v/>
      </c>
      <c r="I322" s="17" t="str">
        <f aca="false">IF(AND(Eingabe!$F$10&gt;0,Eingabe!$E$10&gt;=112),Eingabe!$B$6&amp;"-"&amp;Eingabe!$C$10&amp;"-Pächter","")</f>
        <v/>
      </c>
      <c r="J322" s="17" t="str">
        <f aca="false">IF(AND(Eingabe!$F$10&gt;0,Eingabe!$E$10&gt;=112),"PPSK: Passwort Parzelle 112","")</f>
        <v/>
      </c>
      <c r="K322" s="17" t="str">
        <f aca="false">IF(AND(Eingabe!$F$10&gt;0,Eingabe!$E$10&gt;=112),"1. Gerät: 10."&amp;Eingabe!$D$10&amp;".112.10, 2. Gerät: .11","")</f>
        <v/>
      </c>
    </row>
    <row r="323" customFormat="false" ht="15" hidden="false" customHeight="false" outlineLevel="0" collapsed="false">
      <c r="A323" s="17" t="str">
        <f aca="false">IF(AND(Eingabe!$F$10&gt;0,Eingabe!$E$10&gt;=113),2,"")</f>
        <v/>
      </c>
      <c r="B323" s="17" t="str">
        <f aca="false">IF(AND(Eingabe!$F$10&gt;0,Eingabe!$E$10&gt;=113),Eingabe!$B$10,"")</f>
        <v/>
      </c>
      <c r="C323" s="17" t="str">
        <f aca="false">IF(AND(Eingabe!$F$10&gt;0,Eingabe!$E$10&gt;=113),Eingabe!$C$10&amp;"-Paz."&amp;TEXT(113,"000"),"")</f>
        <v/>
      </c>
      <c r="D323" s="17" t="str">
        <f aca="false">IF(AND(Eingabe!$F$10&gt;0,Eingabe!$E$10&gt;=113),113,"")</f>
        <v/>
      </c>
      <c r="E323" s="17" t="str">
        <f aca="false">IF(AND(Eingabe!$F$10&gt;0,Eingabe!$E$10&gt;=113),IF((Eingabe!$G$10+1)&lt;=9,1000+(Eingabe!$G$10+1)*100,3000)+13,"")</f>
        <v/>
      </c>
      <c r="F323" s="17" t="str">
        <f aca="false">IF(AND(Eingabe!$F$10&gt;0,Eingabe!$E$10&gt;=113),"10."&amp;Eingabe!$D$10&amp;".113.0/24","")</f>
        <v/>
      </c>
      <c r="G323" s="17" t="str">
        <f aca="false">IF(AND(Eingabe!$F$10&gt;0,Eingabe!$E$10&gt;=113),"10."&amp;Eingabe!$D$10&amp;".113.1","")</f>
        <v/>
      </c>
      <c r="H323" s="17" t="str">
        <f aca="false">IF(AND(Eingabe!$F$10&gt;0,Eingabe!$E$10&gt;=113),"10."&amp;Eingabe!$D$10&amp;".113.10 – 10."&amp;Eingabe!$D$10&amp;".113.250","")</f>
        <v/>
      </c>
      <c r="I323" s="17" t="str">
        <f aca="false">IF(AND(Eingabe!$F$10&gt;0,Eingabe!$E$10&gt;=113),Eingabe!$B$6&amp;"-"&amp;Eingabe!$C$10&amp;"-Pächter","")</f>
        <v/>
      </c>
      <c r="J323" s="17" t="str">
        <f aca="false">IF(AND(Eingabe!$F$10&gt;0,Eingabe!$E$10&gt;=113),"PPSK: Passwort Parzelle 113","")</f>
        <v/>
      </c>
      <c r="K323" s="17" t="str">
        <f aca="false">IF(AND(Eingabe!$F$10&gt;0,Eingabe!$E$10&gt;=113),"1. Gerät: 10."&amp;Eingabe!$D$10&amp;".113.10, 2. Gerät: .11","")</f>
        <v/>
      </c>
    </row>
    <row r="324" customFormat="false" ht="15" hidden="false" customHeight="false" outlineLevel="0" collapsed="false">
      <c r="A324" s="17" t="str">
        <f aca="false">IF(AND(Eingabe!$F$10&gt;0,Eingabe!$E$10&gt;=114),2,"")</f>
        <v/>
      </c>
      <c r="B324" s="17" t="str">
        <f aca="false">IF(AND(Eingabe!$F$10&gt;0,Eingabe!$E$10&gt;=114),Eingabe!$B$10,"")</f>
        <v/>
      </c>
      <c r="C324" s="17" t="str">
        <f aca="false">IF(AND(Eingabe!$F$10&gt;0,Eingabe!$E$10&gt;=114),Eingabe!$C$10&amp;"-Paz."&amp;TEXT(114,"000"),"")</f>
        <v/>
      </c>
      <c r="D324" s="17" t="str">
        <f aca="false">IF(AND(Eingabe!$F$10&gt;0,Eingabe!$E$10&gt;=114),114,"")</f>
        <v/>
      </c>
      <c r="E324" s="17" t="str">
        <f aca="false">IF(AND(Eingabe!$F$10&gt;0,Eingabe!$E$10&gt;=114),IF((Eingabe!$G$10+1)&lt;=9,1000+(Eingabe!$G$10+1)*100,3000)+14,"")</f>
        <v/>
      </c>
      <c r="F324" s="17" t="str">
        <f aca="false">IF(AND(Eingabe!$F$10&gt;0,Eingabe!$E$10&gt;=114),"10."&amp;Eingabe!$D$10&amp;".114.0/24","")</f>
        <v/>
      </c>
      <c r="G324" s="17" t="str">
        <f aca="false">IF(AND(Eingabe!$F$10&gt;0,Eingabe!$E$10&gt;=114),"10."&amp;Eingabe!$D$10&amp;".114.1","")</f>
        <v/>
      </c>
      <c r="H324" s="17" t="str">
        <f aca="false">IF(AND(Eingabe!$F$10&gt;0,Eingabe!$E$10&gt;=114),"10."&amp;Eingabe!$D$10&amp;".114.10 – 10."&amp;Eingabe!$D$10&amp;".114.250","")</f>
        <v/>
      </c>
      <c r="I324" s="17" t="str">
        <f aca="false">IF(AND(Eingabe!$F$10&gt;0,Eingabe!$E$10&gt;=114),Eingabe!$B$6&amp;"-"&amp;Eingabe!$C$10&amp;"-Pächter","")</f>
        <v/>
      </c>
      <c r="J324" s="17" t="str">
        <f aca="false">IF(AND(Eingabe!$F$10&gt;0,Eingabe!$E$10&gt;=114),"PPSK: Passwort Parzelle 114","")</f>
        <v/>
      </c>
      <c r="K324" s="17" t="str">
        <f aca="false">IF(AND(Eingabe!$F$10&gt;0,Eingabe!$E$10&gt;=114),"1. Gerät: 10."&amp;Eingabe!$D$10&amp;".114.10, 2. Gerät: .11","")</f>
        <v/>
      </c>
    </row>
    <row r="325" customFormat="false" ht="15" hidden="false" customHeight="false" outlineLevel="0" collapsed="false">
      <c r="A325" s="17" t="str">
        <f aca="false">IF(AND(Eingabe!$F$10&gt;0,Eingabe!$E$10&gt;=115),2,"")</f>
        <v/>
      </c>
      <c r="B325" s="17" t="str">
        <f aca="false">IF(AND(Eingabe!$F$10&gt;0,Eingabe!$E$10&gt;=115),Eingabe!$B$10,"")</f>
        <v/>
      </c>
      <c r="C325" s="17" t="str">
        <f aca="false">IF(AND(Eingabe!$F$10&gt;0,Eingabe!$E$10&gt;=115),Eingabe!$C$10&amp;"-Paz."&amp;TEXT(115,"000"),"")</f>
        <v/>
      </c>
      <c r="D325" s="17" t="str">
        <f aca="false">IF(AND(Eingabe!$F$10&gt;0,Eingabe!$E$10&gt;=115),115,"")</f>
        <v/>
      </c>
      <c r="E325" s="17" t="str">
        <f aca="false">IF(AND(Eingabe!$F$10&gt;0,Eingabe!$E$10&gt;=115),IF((Eingabe!$G$10+1)&lt;=9,1000+(Eingabe!$G$10+1)*100,3000)+15,"")</f>
        <v/>
      </c>
      <c r="F325" s="17" t="str">
        <f aca="false">IF(AND(Eingabe!$F$10&gt;0,Eingabe!$E$10&gt;=115),"10."&amp;Eingabe!$D$10&amp;".115.0/24","")</f>
        <v/>
      </c>
      <c r="G325" s="17" t="str">
        <f aca="false">IF(AND(Eingabe!$F$10&gt;0,Eingabe!$E$10&gt;=115),"10."&amp;Eingabe!$D$10&amp;".115.1","")</f>
        <v/>
      </c>
      <c r="H325" s="17" t="str">
        <f aca="false">IF(AND(Eingabe!$F$10&gt;0,Eingabe!$E$10&gt;=115),"10."&amp;Eingabe!$D$10&amp;".115.10 – 10."&amp;Eingabe!$D$10&amp;".115.250","")</f>
        <v/>
      </c>
      <c r="I325" s="17" t="str">
        <f aca="false">IF(AND(Eingabe!$F$10&gt;0,Eingabe!$E$10&gt;=115),Eingabe!$B$6&amp;"-"&amp;Eingabe!$C$10&amp;"-Pächter","")</f>
        <v/>
      </c>
      <c r="J325" s="17" t="str">
        <f aca="false">IF(AND(Eingabe!$F$10&gt;0,Eingabe!$E$10&gt;=115),"PPSK: Passwort Parzelle 115","")</f>
        <v/>
      </c>
      <c r="K325" s="17" t="str">
        <f aca="false">IF(AND(Eingabe!$F$10&gt;0,Eingabe!$E$10&gt;=115),"1. Gerät: 10."&amp;Eingabe!$D$10&amp;".115.10, 2. Gerät: .11","")</f>
        <v/>
      </c>
    </row>
    <row r="326" customFormat="false" ht="15" hidden="false" customHeight="false" outlineLevel="0" collapsed="false">
      <c r="A326" s="17" t="str">
        <f aca="false">IF(AND(Eingabe!$F$10&gt;0,Eingabe!$E$10&gt;=116),2,"")</f>
        <v/>
      </c>
      <c r="B326" s="17" t="str">
        <f aca="false">IF(AND(Eingabe!$F$10&gt;0,Eingabe!$E$10&gt;=116),Eingabe!$B$10,"")</f>
        <v/>
      </c>
      <c r="C326" s="17" t="str">
        <f aca="false">IF(AND(Eingabe!$F$10&gt;0,Eingabe!$E$10&gt;=116),Eingabe!$C$10&amp;"-Paz."&amp;TEXT(116,"000"),"")</f>
        <v/>
      </c>
      <c r="D326" s="17" t="str">
        <f aca="false">IF(AND(Eingabe!$F$10&gt;0,Eingabe!$E$10&gt;=116),116,"")</f>
        <v/>
      </c>
      <c r="E326" s="17" t="str">
        <f aca="false">IF(AND(Eingabe!$F$10&gt;0,Eingabe!$E$10&gt;=116),IF((Eingabe!$G$10+1)&lt;=9,1000+(Eingabe!$G$10+1)*100,3000)+16,"")</f>
        <v/>
      </c>
      <c r="F326" s="17" t="str">
        <f aca="false">IF(AND(Eingabe!$F$10&gt;0,Eingabe!$E$10&gt;=116),"10."&amp;Eingabe!$D$10&amp;".116.0/24","")</f>
        <v/>
      </c>
      <c r="G326" s="17" t="str">
        <f aca="false">IF(AND(Eingabe!$F$10&gt;0,Eingabe!$E$10&gt;=116),"10."&amp;Eingabe!$D$10&amp;".116.1","")</f>
        <v/>
      </c>
      <c r="H326" s="17" t="str">
        <f aca="false">IF(AND(Eingabe!$F$10&gt;0,Eingabe!$E$10&gt;=116),"10."&amp;Eingabe!$D$10&amp;".116.10 – 10."&amp;Eingabe!$D$10&amp;".116.250","")</f>
        <v/>
      </c>
      <c r="I326" s="17" t="str">
        <f aca="false">IF(AND(Eingabe!$F$10&gt;0,Eingabe!$E$10&gt;=116),Eingabe!$B$6&amp;"-"&amp;Eingabe!$C$10&amp;"-Pächter","")</f>
        <v/>
      </c>
      <c r="J326" s="17" t="str">
        <f aca="false">IF(AND(Eingabe!$F$10&gt;0,Eingabe!$E$10&gt;=116),"PPSK: Passwort Parzelle 116","")</f>
        <v/>
      </c>
      <c r="K326" s="17" t="str">
        <f aca="false">IF(AND(Eingabe!$F$10&gt;0,Eingabe!$E$10&gt;=116),"1. Gerät: 10."&amp;Eingabe!$D$10&amp;".116.10, 2. Gerät: .11","")</f>
        <v/>
      </c>
    </row>
    <row r="327" customFormat="false" ht="15" hidden="false" customHeight="false" outlineLevel="0" collapsed="false">
      <c r="A327" s="17" t="str">
        <f aca="false">IF(AND(Eingabe!$F$10&gt;0,Eingabe!$E$10&gt;=117),2,"")</f>
        <v/>
      </c>
      <c r="B327" s="17" t="str">
        <f aca="false">IF(AND(Eingabe!$F$10&gt;0,Eingabe!$E$10&gt;=117),Eingabe!$B$10,"")</f>
        <v/>
      </c>
      <c r="C327" s="17" t="str">
        <f aca="false">IF(AND(Eingabe!$F$10&gt;0,Eingabe!$E$10&gt;=117),Eingabe!$C$10&amp;"-Paz."&amp;TEXT(117,"000"),"")</f>
        <v/>
      </c>
      <c r="D327" s="17" t="str">
        <f aca="false">IF(AND(Eingabe!$F$10&gt;0,Eingabe!$E$10&gt;=117),117,"")</f>
        <v/>
      </c>
      <c r="E327" s="17" t="str">
        <f aca="false">IF(AND(Eingabe!$F$10&gt;0,Eingabe!$E$10&gt;=117),IF((Eingabe!$G$10+1)&lt;=9,1000+(Eingabe!$G$10+1)*100,3000)+17,"")</f>
        <v/>
      </c>
      <c r="F327" s="17" t="str">
        <f aca="false">IF(AND(Eingabe!$F$10&gt;0,Eingabe!$E$10&gt;=117),"10."&amp;Eingabe!$D$10&amp;".117.0/24","")</f>
        <v/>
      </c>
      <c r="G327" s="17" t="str">
        <f aca="false">IF(AND(Eingabe!$F$10&gt;0,Eingabe!$E$10&gt;=117),"10."&amp;Eingabe!$D$10&amp;".117.1","")</f>
        <v/>
      </c>
      <c r="H327" s="17" t="str">
        <f aca="false">IF(AND(Eingabe!$F$10&gt;0,Eingabe!$E$10&gt;=117),"10."&amp;Eingabe!$D$10&amp;".117.10 – 10."&amp;Eingabe!$D$10&amp;".117.250","")</f>
        <v/>
      </c>
      <c r="I327" s="17" t="str">
        <f aca="false">IF(AND(Eingabe!$F$10&gt;0,Eingabe!$E$10&gt;=117),Eingabe!$B$6&amp;"-"&amp;Eingabe!$C$10&amp;"-Pächter","")</f>
        <v/>
      </c>
      <c r="J327" s="17" t="str">
        <f aca="false">IF(AND(Eingabe!$F$10&gt;0,Eingabe!$E$10&gt;=117),"PPSK: Passwort Parzelle 117","")</f>
        <v/>
      </c>
      <c r="K327" s="17" t="str">
        <f aca="false">IF(AND(Eingabe!$F$10&gt;0,Eingabe!$E$10&gt;=117),"1. Gerät: 10."&amp;Eingabe!$D$10&amp;".117.10, 2. Gerät: .11","")</f>
        <v/>
      </c>
    </row>
    <row r="328" customFormat="false" ht="15" hidden="false" customHeight="false" outlineLevel="0" collapsed="false">
      <c r="A328" s="17" t="str">
        <f aca="false">IF(AND(Eingabe!$F$10&gt;0,Eingabe!$E$10&gt;=118),2,"")</f>
        <v/>
      </c>
      <c r="B328" s="17" t="str">
        <f aca="false">IF(AND(Eingabe!$F$10&gt;0,Eingabe!$E$10&gt;=118),Eingabe!$B$10,"")</f>
        <v/>
      </c>
      <c r="C328" s="17" t="str">
        <f aca="false">IF(AND(Eingabe!$F$10&gt;0,Eingabe!$E$10&gt;=118),Eingabe!$C$10&amp;"-Paz."&amp;TEXT(118,"000"),"")</f>
        <v/>
      </c>
      <c r="D328" s="17" t="str">
        <f aca="false">IF(AND(Eingabe!$F$10&gt;0,Eingabe!$E$10&gt;=118),118,"")</f>
        <v/>
      </c>
      <c r="E328" s="17" t="str">
        <f aca="false">IF(AND(Eingabe!$F$10&gt;0,Eingabe!$E$10&gt;=118),IF((Eingabe!$G$10+1)&lt;=9,1000+(Eingabe!$G$10+1)*100,3000)+18,"")</f>
        <v/>
      </c>
      <c r="F328" s="17" t="str">
        <f aca="false">IF(AND(Eingabe!$F$10&gt;0,Eingabe!$E$10&gt;=118),"10."&amp;Eingabe!$D$10&amp;".118.0/24","")</f>
        <v/>
      </c>
      <c r="G328" s="17" t="str">
        <f aca="false">IF(AND(Eingabe!$F$10&gt;0,Eingabe!$E$10&gt;=118),"10."&amp;Eingabe!$D$10&amp;".118.1","")</f>
        <v/>
      </c>
      <c r="H328" s="17" t="str">
        <f aca="false">IF(AND(Eingabe!$F$10&gt;0,Eingabe!$E$10&gt;=118),"10."&amp;Eingabe!$D$10&amp;".118.10 – 10."&amp;Eingabe!$D$10&amp;".118.250","")</f>
        <v/>
      </c>
      <c r="I328" s="17" t="str">
        <f aca="false">IF(AND(Eingabe!$F$10&gt;0,Eingabe!$E$10&gt;=118),Eingabe!$B$6&amp;"-"&amp;Eingabe!$C$10&amp;"-Pächter","")</f>
        <v/>
      </c>
      <c r="J328" s="17" t="str">
        <f aca="false">IF(AND(Eingabe!$F$10&gt;0,Eingabe!$E$10&gt;=118),"PPSK: Passwort Parzelle 118","")</f>
        <v/>
      </c>
      <c r="K328" s="17" t="str">
        <f aca="false">IF(AND(Eingabe!$F$10&gt;0,Eingabe!$E$10&gt;=118),"1. Gerät: 10."&amp;Eingabe!$D$10&amp;".118.10, 2. Gerät: .11","")</f>
        <v/>
      </c>
    </row>
    <row r="329" customFormat="false" ht="15" hidden="false" customHeight="false" outlineLevel="0" collapsed="false">
      <c r="A329" s="17" t="str">
        <f aca="false">IF(AND(Eingabe!$F$10&gt;0,Eingabe!$E$10&gt;=119),2,"")</f>
        <v/>
      </c>
      <c r="B329" s="17" t="str">
        <f aca="false">IF(AND(Eingabe!$F$10&gt;0,Eingabe!$E$10&gt;=119),Eingabe!$B$10,"")</f>
        <v/>
      </c>
      <c r="C329" s="17" t="str">
        <f aca="false">IF(AND(Eingabe!$F$10&gt;0,Eingabe!$E$10&gt;=119),Eingabe!$C$10&amp;"-Paz."&amp;TEXT(119,"000"),"")</f>
        <v/>
      </c>
      <c r="D329" s="17" t="str">
        <f aca="false">IF(AND(Eingabe!$F$10&gt;0,Eingabe!$E$10&gt;=119),119,"")</f>
        <v/>
      </c>
      <c r="E329" s="17" t="str">
        <f aca="false">IF(AND(Eingabe!$F$10&gt;0,Eingabe!$E$10&gt;=119),IF((Eingabe!$G$10+1)&lt;=9,1000+(Eingabe!$G$10+1)*100,3000)+19,"")</f>
        <v/>
      </c>
      <c r="F329" s="17" t="str">
        <f aca="false">IF(AND(Eingabe!$F$10&gt;0,Eingabe!$E$10&gt;=119),"10."&amp;Eingabe!$D$10&amp;".119.0/24","")</f>
        <v/>
      </c>
      <c r="G329" s="17" t="str">
        <f aca="false">IF(AND(Eingabe!$F$10&gt;0,Eingabe!$E$10&gt;=119),"10."&amp;Eingabe!$D$10&amp;".119.1","")</f>
        <v/>
      </c>
      <c r="H329" s="17" t="str">
        <f aca="false">IF(AND(Eingabe!$F$10&gt;0,Eingabe!$E$10&gt;=119),"10."&amp;Eingabe!$D$10&amp;".119.10 – 10."&amp;Eingabe!$D$10&amp;".119.250","")</f>
        <v/>
      </c>
      <c r="I329" s="17" t="str">
        <f aca="false">IF(AND(Eingabe!$F$10&gt;0,Eingabe!$E$10&gt;=119),Eingabe!$B$6&amp;"-"&amp;Eingabe!$C$10&amp;"-Pächter","")</f>
        <v/>
      </c>
      <c r="J329" s="17" t="str">
        <f aca="false">IF(AND(Eingabe!$F$10&gt;0,Eingabe!$E$10&gt;=119),"PPSK: Passwort Parzelle 119","")</f>
        <v/>
      </c>
      <c r="K329" s="17" t="str">
        <f aca="false">IF(AND(Eingabe!$F$10&gt;0,Eingabe!$E$10&gt;=119),"1. Gerät: 10."&amp;Eingabe!$D$10&amp;".119.10, 2. Gerät: .11","")</f>
        <v/>
      </c>
    </row>
    <row r="330" customFormat="false" ht="15" hidden="false" customHeight="false" outlineLevel="0" collapsed="false">
      <c r="A330" s="17" t="str">
        <f aca="false">IF(AND(Eingabe!$F$10&gt;0,Eingabe!$E$10&gt;=120),2,"")</f>
        <v/>
      </c>
      <c r="B330" s="17" t="str">
        <f aca="false">IF(AND(Eingabe!$F$10&gt;0,Eingabe!$E$10&gt;=120),Eingabe!$B$10,"")</f>
        <v/>
      </c>
      <c r="C330" s="17" t="str">
        <f aca="false">IF(AND(Eingabe!$F$10&gt;0,Eingabe!$E$10&gt;=120),Eingabe!$C$10&amp;"-Paz."&amp;TEXT(120,"000"),"")</f>
        <v/>
      </c>
      <c r="D330" s="17" t="str">
        <f aca="false">IF(AND(Eingabe!$F$10&gt;0,Eingabe!$E$10&gt;=120),120,"")</f>
        <v/>
      </c>
      <c r="E330" s="17" t="str">
        <f aca="false">IF(AND(Eingabe!$F$10&gt;0,Eingabe!$E$10&gt;=120),IF((Eingabe!$G$10+1)&lt;=9,1000+(Eingabe!$G$10+1)*100,3000)+20,"")</f>
        <v/>
      </c>
      <c r="F330" s="17" t="str">
        <f aca="false">IF(AND(Eingabe!$F$10&gt;0,Eingabe!$E$10&gt;=120),"10."&amp;Eingabe!$D$10&amp;".120.0/24","")</f>
        <v/>
      </c>
      <c r="G330" s="17" t="str">
        <f aca="false">IF(AND(Eingabe!$F$10&gt;0,Eingabe!$E$10&gt;=120),"10."&amp;Eingabe!$D$10&amp;".120.1","")</f>
        <v/>
      </c>
      <c r="H330" s="17" t="str">
        <f aca="false">IF(AND(Eingabe!$F$10&gt;0,Eingabe!$E$10&gt;=120),"10."&amp;Eingabe!$D$10&amp;".120.10 – 10."&amp;Eingabe!$D$10&amp;".120.250","")</f>
        <v/>
      </c>
      <c r="I330" s="17" t="str">
        <f aca="false">IF(AND(Eingabe!$F$10&gt;0,Eingabe!$E$10&gt;=120),Eingabe!$B$6&amp;"-"&amp;Eingabe!$C$10&amp;"-Pächter","")</f>
        <v/>
      </c>
      <c r="J330" s="17" t="str">
        <f aca="false">IF(AND(Eingabe!$F$10&gt;0,Eingabe!$E$10&gt;=120),"PPSK: Passwort Parzelle 120","")</f>
        <v/>
      </c>
      <c r="K330" s="17" t="str">
        <f aca="false">IF(AND(Eingabe!$F$10&gt;0,Eingabe!$E$10&gt;=120),"1. Gerät: 10."&amp;Eingabe!$D$10&amp;".120.10, 2. Gerät: .11","")</f>
        <v/>
      </c>
    </row>
    <row r="331" customFormat="false" ht="15" hidden="false" customHeight="false" outlineLevel="0" collapsed="false">
      <c r="A331" s="17" t="str">
        <f aca="false">IF(AND(Eingabe!$F$10&gt;0,Eingabe!$E$10&gt;=121),2,"")</f>
        <v/>
      </c>
      <c r="B331" s="17" t="str">
        <f aca="false">IF(AND(Eingabe!$F$10&gt;0,Eingabe!$E$10&gt;=121),Eingabe!$B$10,"")</f>
        <v/>
      </c>
      <c r="C331" s="17" t="str">
        <f aca="false">IF(AND(Eingabe!$F$10&gt;0,Eingabe!$E$10&gt;=121),Eingabe!$C$10&amp;"-Paz."&amp;TEXT(121,"000"),"")</f>
        <v/>
      </c>
      <c r="D331" s="17" t="str">
        <f aca="false">IF(AND(Eingabe!$F$10&gt;0,Eingabe!$E$10&gt;=121),121,"")</f>
        <v/>
      </c>
      <c r="E331" s="17" t="str">
        <f aca="false">IF(AND(Eingabe!$F$10&gt;0,Eingabe!$E$10&gt;=121),IF((Eingabe!$G$10+1)&lt;=9,1000+(Eingabe!$G$10+1)*100,3000)+21,"")</f>
        <v/>
      </c>
      <c r="F331" s="17" t="str">
        <f aca="false">IF(AND(Eingabe!$F$10&gt;0,Eingabe!$E$10&gt;=121),"10."&amp;Eingabe!$D$10&amp;".121.0/24","")</f>
        <v/>
      </c>
      <c r="G331" s="17" t="str">
        <f aca="false">IF(AND(Eingabe!$F$10&gt;0,Eingabe!$E$10&gt;=121),"10."&amp;Eingabe!$D$10&amp;".121.1","")</f>
        <v/>
      </c>
      <c r="H331" s="17" t="str">
        <f aca="false">IF(AND(Eingabe!$F$10&gt;0,Eingabe!$E$10&gt;=121),"10."&amp;Eingabe!$D$10&amp;".121.10 – 10."&amp;Eingabe!$D$10&amp;".121.250","")</f>
        <v/>
      </c>
      <c r="I331" s="17" t="str">
        <f aca="false">IF(AND(Eingabe!$F$10&gt;0,Eingabe!$E$10&gt;=121),Eingabe!$B$6&amp;"-"&amp;Eingabe!$C$10&amp;"-Pächter","")</f>
        <v/>
      </c>
      <c r="J331" s="17" t="str">
        <f aca="false">IF(AND(Eingabe!$F$10&gt;0,Eingabe!$E$10&gt;=121),"PPSK: Passwort Parzelle 121","")</f>
        <v/>
      </c>
      <c r="K331" s="17" t="str">
        <f aca="false">IF(AND(Eingabe!$F$10&gt;0,Eingabe!$E$10&gt;=121),"1. Gerät: 10."&amp;Eingabe!$D$10&amp;".121.10, 2. Gerät: .11","")</f>
        <v/>
      </c>
    </row>
    <row r="332" customFormat="false" ht="15" hidden="false" customHeight="false" outlineLevel="0" collapsed="false">
      <c r="A332" s="17" t="str">
        <f aca="false">IF(AND(Eingabe!$F$10&gt;0,Eingabe!$E$10&gt;=122),2,"")</f>
        <v/>
      </c>
      <c r="B332" s="17" t="str">
        <f aca="false">IF(AND(Eingabe!$F$10&gt;0,Eingabe!$E$10&gt;=122),Eingabe!$B$10,"")</f>
        <v/>
      </c>
      <c r="C332" s="17" t="str">
        <f aca="false">IF(AND(Eingabe!$F$10&gt;0,Eingabe!$E$10&gt;=122),Eingabe!$C$10&amp;"-Paz."&amp;TEXT(122,"000"),"")</f>
        <v/>
      </c>
      <c r="D332" s="17" t="str">
        <f aca="false">IF(AND(Eingabe!$F$10&gt;0,Eingabe!$E$10&gt;=122),122,"")</f>
        <v/>
      </c>
      <c r="E332" s="17" t="str">
        <f aca="false">IF(AND(Eingabe!$F$10&gt;0,Eingabe!$E$10&gt;=122),IF((Eingabe!$G$10+1)&lt;=9,1000+(Eingabe!$G$10+1)*100,3000)+22,"")</f>
        <v/>
      </c>
      <c r="F332" s="17" t="str">
        <f aca="false">IF(AND(Eingabe!$F$10&gt;0,Eingabe!$E$10&gt;=122),"10."&amp;Eingabe!$D$10&amp;".122.0/24","")</f>
        <v/>
      </c>
      <c r="G332" s="17" t="str">
        <f aca="false">IF(AND(Eingabe!$F$10&gt;0,Eingabe!$E$10&gt;=122),"10."&amp;Eingabe!$D$10&amp;".122.1","")</f>
        <v/>
      </c>
      <c r="H332" s="17" t="str">
        <f aca="false">IF(AND(Eingabe!$F$10&gt;0,Eingabe!$E$10&gt;=122),"10."&amp;Eingabe!$D$10&amp;".122.10 – 10."&amp;Eingabe!$D$10&amp;".122.250","")</f>
        <v/>
      </c>
      <c r="I332" s="17" t="str">
        <f aca="false">IF(AND(Eingabe!$F$10&gt;0,Eingabe!$E$10&gt;=122),Eingabe!$B$6&amp;"-"&amp;Eingabe!$C$10&amp;"-Pächter","")</f>
        <v/>
      </c>
      <c r="J332" s="17" t="str">
        <f aca="false">IF(AND(Eingabe!$F$10&gt;0,Eingabe!$E$10&gt;=122),"PPSK: Passwort Parzelle 122","")</f>
        <v/>
      </c>
      <c r="K332" s="17" t="str">
        <f aca="false">IF(AND(Eingabe!$F$10&gt;0,Eingabe!$E$10&gt;=122),"1. Gerät: 10."&amp;Eingabe!$D$10&amp;".122.10, 2. Gerät: .11","")</f>
        <v/>
      </c>
    </row>
    <row r="333" customFormat="false" ht="15" hidden="false" customHeight="false" outlineLevel="0" collapsed="false">
      <c r="A333" s="17" t="str">
        <f aca="false">IF(AND(Eingabe!$F$10&gt;0,Eingabe!$E$10&gt;=123),2,"")</f>
        <v/>
      </c>
      <c r="B333" s="17" t="str">
        <f aca="false">IF(AND(Eingabe!$F$10&gt;0,Eingabe!$E$10&gt;=123),Eingabe!$B$10,"")</f>
        <v/>
      </c>
      <c r="C333" s="17" t="str">
        <f aca="false">IF(AND(Eingabe!$F$10&gt;0,Eingabe!$E$10&gt;=123),Eingabe!$C$10&amp;"-Paz."&amp;TEXT(123,"000"),"")</f>
        <v/>
      </c>
      <c r="D333" s="17" t="str">
        <f aca="false">IF(AND(Eingabe!$F$10&gt;0,Eingabe!$E$10&gt;=123),123,"")</f>
        <v/>
      </c>
      <c r="E333" s="17" t="str">
        <f aca="false">IF(AND(Eingabe!$F$10&gt;0,Eingabe!$E$10&gt;=123),IF((Eingabe!$G$10+1)&lt;=9,1000+(Eingabe!$G$10+1)*100,3000)+23,"")</f>
        <v/>
      </c>
      <c r="F333" s="17" t="str">
        <f aca="false">IF(AND(Eingabe!$F$10&gt;0,Eingabe!$E$10&gt;=123),"10."&amp;Eingabe!$D$10&amp;".123.0/24","")</f>
        <v/>
      </c>
      <c r="G333" s="17" t="str">
        <f aca="false">IF(AND(Eingabe!$F$10&gt;0,Eingabe!$E$10&gt;=123),"10."&amp;Eingabe!$D$10&amp;".123.1","")</f>
        <v/>
      </c>
      <c r="H333" s="17" t="str">
        <f aca="false">IF(AND(Eingabe!$F$10&gt;0,Eingabe!$E$10&gt;=123),"10."&amp;Eingabe!$D$10&amp;".123.10 – 10."&amp;Eingabe!$D$10&amp;".123.250","")</f>
        <v/>
      </c>
      <c r="I333" s="17" t="str">
        <f aca="false">IF(AND(Eingabe!$F$10&gt;0,Eingabe!$E$10&gt;=123),Eingabe!$B$6&amp;"-"&amp;Eingabe!$C$10&amp;"-Pächter","")</f>
        <v/>
      </c>
      <c r="J333" s="17" t="str">
        <f aca="false">IF(AND(Eingabe!$F$10&gt;0,Eingabe!$E$10&gt;=123),"PPSK: Passwort Parzelle 123","")</f>
        <v/>
      </c>
      <c r="K333" s="17" t="str">
        <f aca="false">IF(AND(Eingabe!$F$10&gt;0,Eingabe!$E$10&gt;=123),"1. Gerät: 10."&amp;Eingabe!$D$10&amp;".123.10, 2. Gerät: .11","")</f>
        <v/>
      </c>
    </row>
    <row r="334" customFormat="false" ht="15" hidden="false" customHeight="false" outlineLevel="0" collapsed="false">
      <c r="A334" s="17" t="str">
        <f aca="false">IF(AND(Eingabe!$F$10&gt;0,Eingabe!$E$10&gt;=124),2,"")</f>
        <v/>
      </c>
      <c r="B334" s="17" t="str">
        <f aca="false">IF(AND(Eingabe!$F$10&gt;0,Eingabe!$E$10&gt;=124),Eingabe!$B$10,"")</f>
        <v/>
      </c>
      <c r="C334" s="17" t="str">
        <f aca="false">IF(AND(Eingabe!$F$10&gt;0,Eingabe!$E$10&gt;=124),Eingabe!$C$10&amp;"-Paz."&amp;TEXT(124,"000"),"")</f>
        <v/>
      </c>
      <c r="D334" s="17" t="str">
        <f aca="false">IF(AND(Eingabe!$F$10&gt;0,Eingabe!$E$10&gt;=124),124,"")</f>
        <v/>
      </c>
      <c r="E334" s="17" t="str">
        <f aca="false">IF(AND(Eingabe!$F$10&gt;0,Eingabe!$E$10&gt;=124),IF((Eingabe!$G$10+1)&lt;=9,1000+(Eingabe!$G$10+1)*100,3000)+24,"")</f>
        <v/>
      </c>
      <c r="F334" s="17" t="str">
        <f aca="false">IF(AND(Eingabe!$F$10&gt;0,Eingabe!$E$10&gt;=124),"10."&amp;Eingabe!$D$10&amp;".124.0/24","")</f>
        <v/>
      </c>
      <c r="G334" s="17" t="str">
        <f aca="false">IF(AND(Eingabe!$F$10&gt;0,Eingabe!$E$10&gt;=124),"10."&amp;Eingabe!$D$10&amp;".124.1","")</f>
        <v/>
      </c>
      <c r="H334" s="17" t="str">
        <f aca="false">IF(AND(Eingabe!$F$10&gt;0,Eingabe!$E$10&gt;=124),"10."&amp;Eingabe!$D$10&amp;".124.10 – 10."&amp;Eingabe!$D$10&amp;".124.250","")</f>
        <v/>
      </c>
      <c r="I334" s="17" t="str">
        <f aca="false">IF(AND(Eingabe!$F$10&gt;0,Eingabe!$E$10&gt;=124),Eingabe!$B$6&amp;"-"&amp;Eingabe!$C$10&amp;"-Pächter","")</f>
        <v/>
      </c>
      <c r="J334" s="17" t="str">
        <f aca="false">IF(AND(Eingabe!$F$10&gt;0,Eingabe!$E$10&gt;=124),"PPSK: Passwort Parzelle 124","")</f>
        <v/>
      </c>
      <c r="K334" s="17" t="str">
        <f aca="false">IF(AND(Eingabe!$F$10&gt;0,Eingabe!$E$10&gt;=124),"1. Gerät: 10."&amp;Eingabe!$D$10&amp;".124.10, 2. Gerät: .11","")</f>
        <v/>
      </c>
    </row>
    <row r="335" customFormat="false" ht="15" hidden="false" customHeight="false" outlineLevel="0" collapsed="false">
      <c r="A335" s="17" t="str">
        <f aca="false">IF(AND(Eingabe!$F$10&gt;0,Eingabe!$E$10&gt;=125),2,"")</f>
        <v/>
      </c>
      <c r="B335" s="17" t="str">
        <f aca="false">IF(AND(Eingabe!$F$10&gt;0,Eingabe!$E$10&gt;=125),Eingabe!$B$10,"")</f>
        <v/>
      </c>
      <c r="C335" s="17" t="str">
        <f aca="false">IF(AND(Eingabe!$F$10&gt;0,Eingabe!$E$10&gt;=125),Eingabe!$C$10&amp;"-Paz."&amp;TEXT(125,"000"),"")</f>
        <v/>
      </c>
      <c r="D335" s="17" t="str">
        <f aca="false">IF(AND(Eingabe!$F$10&gt;0,Eingabe!$E$10&gt;=125),125,"")</f>
        <v/>
      </c>
      <c r="E335" s="17" t="str">
        <f aca="false">IF(AND(Eingabe!$F$10&gt;0,Eingabe!$E$10&gt;=125),IF((Eingabe!$G$10+1)&lt;=9,1000+(Eingabe!$G$10+1)*100,3000)+25,"")</f>
        <v/>
      </c>
      <c r="F335" s="17" t="str">
        <f aca="false">IF(AND(Eingabe!$F$10&gt;0,Eingabe!$E$10&gt;=125),"10."&amp;Eingabe!$D$10&amp;".125.0/24","")</f>
        <v/>
      </c>
      <c r="G335" s="17" t="str">
        <f aca="false">IF(AND(Eingabe!$F$10&gt;0,Eingabe!$E$10&gt;=125),"10."&amp;Eingabe!$D$10&amp;".125.1","")</f>
        <v/>
      </c>
      <c r="H335" s="17" t="str">
        <f aca="false">IF(AND(Eingabe!$F$10&gt;0,Eingabe!$E$10&gt;=125),"10."&amp;Eingabe!$D$10&amp;".125.10 – 10."&amp;Eingabe!$D$10&amp;".125.250","")</f>
        <v/>
      </c>
      <c r="I335" s="17" t="str">
        <f aca="false">IF(AND(Eingabe!$F$10&gt;0,Eingabe!$E$10&gt;=125),Eingabe!$B$6&amp;"-"&amp;Eingabe!$C$10&amp;"-Pächter","")</f>
        <v/>
      </c>
      <c r="J335" s="17" t="str">
        <f aca="false">IF(AND(Eingabe!$F$10&gt;0,Eingabe!$E$10&gt;=125),"PPSK: Passwort Parzelle 125","")</f>
        <v/>
      </c>
      <c r="K335" s="17" t="str">
        <f aca="false">IF(AND(Eingabe!$F$10&gt;0,Eingabe!$E$10&gt;=125),"1. Gerät: 10."&amp;Eingabe!$D$10&amp;".125.10, 2. Gerät: .11","")</f>
        <v/>
      </c>
    </row>
    <row r="336" customFormat="false" ht="15" hidden="false" customHeight="false" outlineLevel="0" collapsed="false">
      <c r="A336" s="17" t="str">
        <f aca="false">IF(AND(Eingabe!$F$10&gt;0,Eingabe!$E$10&gt;=126),2,"")</f>
        <v/>
      </c>
      <c r="B336" s="17" t="str">
        <f aca="false">IF(AND(Eingabe!$F$10&gt;0,Eingabe!$E$10&gt;=126),Eingabe!$B$10,"")</f>
        <v/>
      </c>
      <c r="C336" s="17" t="str">
        <f aca="false">IF(AND(Eingabe!$F$10&gt;0,Eingabe!$E$10&gt;=126),Eingabe!$C$10&amp;"-Paz."&amp;TEXT(126,"000"),"")</f>
        <v/>
      </c>
      <c r="D336" s="17" t="str">
        <f aca="false">IF(AND(Eingabe!$F$10&gt;0,Eingabe!$E$10&gt;=126),126,"")</f>
        <v/>
      </c>
      <c r="E336" s="17" t="str">
        <f aca="false">IF(AND(Eingabe!$F$10&gt;0,Eingabe!$E$10&gt;=126),IF((Eingabe!$G$10+1)&lt;=9,1000+(Eingabe!$G$10+1)*100,3000)+26,"")</f>
        <v/>
      </c>
      <c r="F336" s="17" t="str">
        <f aca="false">IF(AND(Eingabe!$F$10&gt;0,Eingabe!$E$10&gt;=126),"10."&amp;Eingabe!$D$10&amp;".126.0/24","")</f>
        <v/>
      </c>
      <c r="G336" s="17" t="str">
        <f aca="false">IF(AND(Eingabe!$F$10&gt;0,Eingabe!$E$10&gt;=126),"10."&amp;Eingabe!$D$10&amp;".126.1","")</f>
        <v/>
      </c>
      <c r="H336" s="17" t="str">
        <f aca="false">IF(AND(Eingabe!$F$10&gt;0,Eingabe!$E$10&gt;=126),"10."&amp;Eingabe!$D$10&amp;".126.10 – 10."&amp;Eingabe!$D$10&amp;".126.250","")</f>
        <v/>
      </c>
      <c r="I336" s="17" t="str">
        <f aca="false">IF(AND(Eingabe!$F$10&gt;0,Eingabe!$E$10&gt;=126),Eingabe!$B$6&amp;"-"&amp;Eingabe!$C$10&amp;"-Pächter","")</f>
        <v/>
      </c>
      <c r="J336" s="17" t="str">
        <f aca="false">IF(AND(Eingabe!$F$10&gt;0,Eingabe!$E$10&gt;=126),"PPSK: Passwort Parzelle 126","")</f>
        <v/>
      </c>
      <c r="K336" s="17" t="str">
        <f aca="false">IF(AND(Eingabe!$F$10&gt;0,Eingabe!$E$10&gt;=126),"1. Gerät: 10."&amp;Eingabe!$D$10&amp;".126.10, 2. Gerät: .11","")</f>
        <v/>
      </c>
    </row>
    <row r="337" customFormat="false" ht="15" hidden="false" customHeight="false" outlineLevel="0" collapsed="false">
      <c r="A337" s="17" t="str">
        <f aca="false">IF(AND(Eingabe!$F$10&gt;0,Eingabe!$E$10&gt;=127),2,"")</f>
        <v/>
      </c>
      <c r="B337" s="17" t="str">
        <f aca="false">IF(AND(Eingabe!$F$10&gt;0,Eingabe!$E$10&gt;=127),Eingabe!$B$10,"")</f>
        <v/>
      </c>
      <c r="C337" s="17" t="str">
        <f aca="false">IF(AND(Eingabe!$F$10&gt;0,Eingabe!$E$10&gt;=127),Eingabe!$C$10&amp;"-Paz."&amp;TEXT(127,"000"),"")</f>
        <v/>
      </c>
      <c r="D337" s="17" t="str">
        <f aca="false">IF(AND(Eingabe!$F$10&gt;0,Eingabe!$E$10&gt;=127),127,"")</f>
        <v/>
      </c>
      <c r="E337" s="17" t="str">
        <f aca="false">IF(AND(Eingabe!$F$10&gt;0,Eingabe!$E$10&gt;=127),IF((Eingabe!$G$10+1)&lt;=9,1000+(Eingabe!$G$10+1)*100,3000)+27,"")</f>
        <v/>
      </c>
      <c r="F337" s="17" t="str">
        <f aca="false">IF(AND(Eingabe!$F$10&gt;0,Eingabe!$E$10&gt;=127),"10."&amp;Eingabe!$D$10&amp;".127.0/24","")</f>
        <v/>
      </c>
      <c r="G337" s="17" t="str">
        <f aca="false">IF(AND(Eingabe!$F$10&gt;0,Eingabe!$E$10&gt;=127),"10."&amp;Eingabe!$D$10&amp;".127.1","")</f>
        <v/>
      </c>
      <c r="H337" s="17" t="str">
        <f aca="false">IF(AND(Eingabe!$F$10&gt;0,Eingabe!$E$10&gt;=127),"10."&amp;Eingabe!$D$10&amp;".127.10 – 10."&amp;Eingabe!$D$10&amp;".127.250","")</f>
        <v/>
      </c>
      <c r="I337" s="17" t="str">
        <f aca="false">IF(AND(Eingabe!$F$10&gt;0,Eingabe!$E$10&gt;=127),Eingabe!$B$6&amp;"-"&amp;Eingabe!$C$10&amp;"-Pächter","")</f>
        <v/>
      </c>
      <c r="J337" s="17" t="str">
        <f aca="false">IF(AND(Eingabe!$F$10&gt;0,Eingabe!$E$10&gt;=127),"PPSK: Passwort Parzelle 127","")</f>
        <v/>
      </c>
      <c r="K337" s="17" t="str">
        <f aca="false">IF(AND(Eingabe!$F$10&gt;0,Eingabe!$E$10&gt;=127),"1. Gerät: 10."&amp;Eingabe!$D$10&amp;".127.10, 2. Gerät: .11","")</f>
        <v/>
      </c>
    </row>
    <row r="338" customFormat="false" ht="15" hidden="false" customHeight="false" outlineLevel="0" collapsed="false">
      <c r="A338" s="17" t="str">
        <f aca="false">IF(AND(Eingabe!$F$10&gt;0,Eingabe!$E$10&gt;=128),2,"")</f>
        <v/>
      </c>
      <c r="B338" s="17" t="str">
        <f aca="false">IF(AND(Eingabe!$F$10&gt;0,Eingabe!$E$10&gt;=128),Eingabe!$B$10,"")</f>
        <v/>
      </c>
      <c r="C338" s="17" t="str">
        <f aca="false">IF(AND(Eingabe!$F$10&gt;0,Eingabe!$E$10&gt;=128),Eingabe!$C$10&amp;"-Paz."&amp;TEXT(128,"000"),"")</f>
        <v/>
      </c>
      <c r="D338" s="17" t="str">
        <f aca="false">IF(AND(Eingabe!$F$10&gt;0,Eingabe!$E$10&gt;=128),128,"")</f>
        <v/>
      </c>
      <c r="E338" s="17" t="str">
        <f aca="false">IF(AND(Eingabe!$F$10&gt;0,Eingabe!$E$10&gt;=128),IF((Eingabe!$G$10+1)&lt;=9,1000+(Eingabe!$G$10+1)*100,3000)+28,"")</f>
        <v/>
      </c>
      <c r="F338" s="17" t="str">
        <f aca="false">IF(AND(Eingabe!$F$10&gt;0,Eingabe!$E$10&gt;=128),"10."&amp;Eingabe!$D$10&amp;".128.0/24","")</f>
        <v/>
      </c>
      <c r="G338" s="17" t="str">
        <f aca="false">IF(AND(Eingabe!$F$10&gt;0,Eingabe!$E$10&gt;=128),"10."&amp;Eingabe!$D$10&amp;".128.1","")</f>
        <v/>
      </c>
      <c r="H338" s="17" t="str">
        <f aca="false">IF(AND(Eingabe!$F$10&gt;0,Eingabe!$E$10&gt;=128),"10."&amp;Eingabe!$D$10&amp;".128.10 – 10."&amp;Eingabe!$D$10&amp;".128.250","")</f>
        <v/>
      </c>
      <c r="I338" s="17" t="str">
        <f aca="false">IF(AND(Eingabe!$F$10&gt;0,Eingabe!$E$10&gt;=128),Eingabe!$B$6&amp;"-"&amp;Eingabe!$C$10&amp;"-Pächter","")</f>
        <v/>
      </c>
      <c r="J338" s="17" t="str">
        <f aca="false">IF(AND(Eingabe!$F$10&gt;0,Eingabe!$E$10&gt;=128),"PPSK: Passwort Parzelle 128","")</f>
        <v/>
      </c>
      <c r="K338" s="17" t="str">
        <f aca="false">IF(AND(Eingabe!$F$10&gt;0,Eingabe!$E$10&gt;=128),"1. Gerät: 10."&amp;Eingabe!$D$10&amp;".128.10, 2. Gerät: .11","")</f>
        <v/>
      </c>
    </row>
    <row r="339" customFormat="false" ht="15" hidden="false" customHeight="false" outlineLevel="0" collapsed="false">
      <c r="A339" s="17" t="str">
        <f aca="false">IF(AND(Eingabe!$F$10&gt;0,Eingabe!$E$10&gt;=129),2,"")</f>
        <v/>
      </c>
      <c r="B339" s="17" t="str">
        <f aca="false">IF(AND(Eingabe!$F$10&gt;0,Eingabe!$E$10&gt;=129),Eingabe!$B$10,"")</f>
        <v/>
      </c>
      <c r="C339" s="17" t="str">
        <f aca="false">IF(AND(Eingabe!$F$10&gt;0,Eingabe!$E$10&gt;=129),Eingabe!$C$10&amp;"-Paz."&amp;TEXT(129,"000"),"")</f>
        <v/>
      </c>
      <c r="D339" s="17" t="str">
        <f aca="false">IF(AND(Eingabe!$F$10&gt;0,Eingabe!$E$10&gt;=129),129,"")</f>
        <v/>
      </c>
      <c r="E339" s="17" t="str">
        <f aca="false">IF(AND(Eingabe!$F$10&gt;0,Eingabe!$E$10&gt;=129),IF((Eingabe!$G$10+1)&lt;=9,1000+(Eingabe!$G$10+1)*100,3000)+29,"")</f>
        <v/>
      </c>
      <c r="F339" s="17" t="str">
        <f aca="false">IF(AND(Eingabe!$F$10&gt;0,Eingabe!$E$10&gt;=129),"10."&amp;Eingabe!$D$10&amp;".129.0/24","")</f>
        <v/>
      </c>
      <c r="G339" s="17" t="str">
        <f aca="false">IF(AND(Eingabe!$F$10&gt;0,Eingabe!$E$10&gt;=129),"10."&amp;Eingabe!$D$10&amp;".129.1","")</f>
        <v/>
      </c>
      <c r="H339" s="17" t="str">
        <f aca="false">IF(AND(Eingabe!$F$10&gt;0,Eingabe!$E$10&gt;=129),"10."&amp;Eingabe!$D$10&amp;".129.10 – 10."&amp;Eingabe!$D$10&amp;".129.250","")</f>
        <v/>
      </c>
      <c r="I339" s="17" t="str">
        <f aca="false">IF(AND(Eingabe!$F$10&gt;0,Eingabe!$E$10&gt;=129),Eingabe!$B$6&amp;"-"&amp;Eingabe!$C$10&amp;"-Pächter","")</f>
        <v/>
      </c>
      <c r="J339" s="17" t="str">
        <f aca="false">IF(AND(Eingabe!$F$10&gt;0,Eingabe!$E$10&gt;=129),"PPSK: Passwort Parzelle 129","")</f>
        <v/>
      </c>
      <c r="K339" s="17" t="str">
        <f aca="false">IF(AND(Eingabe!$F$10&gt;0,Eingabe!$E$10&gt;=129),"1. Gerät: 10."&amp;Eingabe!$D$10&amp;".129.10, 2. Gerät: .11","")</f>
        <v/>
      </c>
    </row>
    <row r="340" customFormat="false" ht="15" hidden="false" customHeight="false" outlineLevel="0" collapsed="false">
      <c r="A340" s="17" t="str">
        <f aca="false">IF(AND(Eingabe!$F$10&gt;0,Eingabe!$E$10&gt;=130),2,"")</f>
        <v/>
      </c>
      <c r="B340" s="17" t="str">
        <f aca="false">IF(AND(Eingabe!$F$10&gt;0,Eingabe!$E$10&gt;=130),Eingabe!$B$10,"")</f>
        <v/>
      </c>
      <c r="C340" s="17" t="str">
        <f aca="false">IF(AND(Eingabe!$F$10&gt;0,Eingabe!$E$10&gt;=130),Eingabe!$C$10&amp;"-Paz."&amp;TEXT(130,"000"),"")</f>
        <v/>
      </c>
      <c r="D340" s="17" t="str">
        <f aca="false">IF(AND(Eingabe!$F$10&gt;0,Eingabe!$E$10&gt;=130),130,"")</f>
        <v/>
      </c>
      <c r="E340" s="17" t="str">
        <f aca="false">IF(AND(Eingabe!$F$10&gt;0,Eingabe!$E$10&gt;=130),IF((Eingabe!$G$10+1)&lt;=9,1000+(Eingabe!$G$10+1)*100,3000)+30,"")</f>
        <v/>
      </c>
      <c r="F340" s="17" t="str">
        <f aca="false">IF(AND(Eingabe!$F$10&gt;0,Eingabe!$E$10&gt;=130),"10."&amp;Eingabe!$D$10&amp;".130.0/24","")</f>
        <v/>
      </c>
      <c r="G340" s="17" t="str">
        <f aca="false">IF(AND(Eingabe!$F$10&gt;0,Eingabe!$E$10&gt;=130),"10."&amp;Eingabe!$D$10&amp;".130.1","")</f>
        <v/>
      </c>
      <c r="H340" s="17" t="str">
        <f aca="false">IF(AND(Eingabe!$F$10&gt;0,Eingabe!$E$10&gt;=130),"10."&amp;Eingabe!$D$10&amp;".130.10 – 10."&amp;Eingabe!$D$10&amp;".130.250","")</f>
        <v/>
      </c>
      <c r="I340" s="17" t="str">
        <f aca="false">IF(AND(Eingabe!$F$10&gt;0,Eingabe!$E$10&gt;=130),Eingabe!$B$6&amp;"-"&amp;Eingabe!$C$10&amp;"-Pächter","")</f>
        <v/>
      </c>
      <c r="J340" s="17" t="str">
        <f aca="false">IF(AND(Eingabe!$F$10&gt;0,Eingabe!$E$10&gt;=130),"PPSK: Passwort Parzelle 130","")</f>
        <v/>
      </c>
      <c r="K340" s="17" t="str">
        <f aca="false">IF(AND(Eingabe!$F$10&gt;0,Eingabe!$E$10&gt;=130),"1. Gerät: 10."&amp;Eingabe!$D$10&amp;".130.10, 2. Gerät: .11","")</f>
        <v/>
      </c>
    </row>
    <row r="341" customFormat="false" ht="15" hidden="false" customHeight="false" outlineLevel="0" collapsed="false">
      <c r="A341" s="17" t="str">
        <f aca="false">IF(AND(Eingabe!$F$10&gt;0,Eingabe!$E$10&gt;=131),2,"")</f>
        <v/>
      </c>
      <c r="B341" s="17" t="str">
        <f aca="false">IF(AND(Eingabe!$F$10&gt;0,Eingabe!$E$10&gt;=131),Eingabe!$B$10,"")</f>
        <v/>
      </c>
      <c r="C341" s="17" t="str">
        <f aca="false">IF(AND(Eingabe!$F$10&gt;0,Eingabe!$E$10&gt;=131),Eingabe!$C$10&amp;"-Paz."&amp;TEXT(131,"000"),"")</f>
        <v/>
      </c>
      <c r="D341" s="17" t="str">
        <f aca="false">IF(AND(Eingabe!$F$10&gt;0,Eingabe!$E$10&gt;=131),131,"")</f>
        <v/>
      </c>
      <c r="E341" s="17" t="str">
        <f aca="false">IF(AND(Eingabe!$F$10&gt;0,Eingabe!$E$10&gt;=131),IF((Eingabe!$G$10+1)&lt;=9,1000+(Eingabe!$G$10+1)*100,3000)+31,"")</f>
        <v/>
      </c>
      <c r="F341" s="17" t="str">
        <f aca="false">IF(AND(Eingabe!$F$10&gt;0,Eingabe!$E$10&gt;=131),"10."&amp;Eingabe!$D$10&amp;".131.0/24","")</f>
        <v/>
      </c>
      <c r="G341" s="17" t="str">
        <f aca="false">IF(AND(Eingabe!$F$10&gt;0,Eingabe!$E$10&gt;=131),"10."&amp;Eingabe!$D$10&amp;".131.1","")</f>
        <v/>
      </c>
      <c r="H341" s="17" t="str">
        <f aca="false">IF(AND(Eingabe!$F$10&gt;0,Eingabe!$E$10&gt;=131),"10."&amp;Eingabe!$D$10&amp;".131.10 – 10."&amp;Eingabe!$D$10&amp;".131.250","")</f>
        <v/>
      </c>
      <c r="I341" s="17" t="str">
        <f aca="false">IF(AND(Eingabe!$F$10&gt;0,Eingabe!$E$10&gt;=131),Eingabe!$B$6&amp;"-"&amp;Eingabe!$C$10&amp;"-Pächter","")</f>
        <v/>
      </c>
      <c r="J341" s="17" t="str">
        <f aca="false">IF(AND(Eingabe!$F$10&gt;0,Eingabe!$E$10&gt;=131),"PPSK: Passwort Parzelle 131","")</f>
        <v/>
      </c>
      <c r="K341" s="17" t="str">
        <f aca="false">IF(AND(Eingabe!$F$10&gt;0,Eingabe!$E$10&gt;=131),"1. Gerät: 10."&amp;Eingabe!$D$10&amp;".131.10, 2. Gerät: .11","")</f>
        <v/>
      </c>
    </row>
    <row r="342" customFormat="false" ht="15" hidden="false" customHeight="false" outlineLevel="0" collapsed="false">
      <c r="A342" s="17" t="str">
        <f aca="false">IF(AND(Eingabe!$F$10&gt;0,Eingabe!$E$10&gt;=132),2,"")</f>
        <v/>
      </c>
      <c r="B342" s="17" t="str">
        <f aca="false">IF(AND(Eingabe!$F$10&gt;0,Eingabe!$E$10&gt;=132),Eingabe!$B$10,"")</f>
        <v/>
      </c>
      <c r="C342" s="17" t="str">
        <f aca="false">IF(AND(Eingabe!$F$10&gt;0,Eingabe!$E$10&gt;=132),Eingabe!$C$10&amp;"-Paz."&amp;TEXT(132,"000"),"")</f>
        <v/>
      </c>
      <c r="D342" s="17" t="str">
        <f aca="false">IF(AND(Eingabe!$F$10&gt;0,Eingabe!$E$10&gt;=132),132,"")</f>
        <v/>
      </c>
      <c r="E342" s="17" t="str">
        <f aca="false">IF(AND(Eingabe!$F$10&gt;0,Eingabe!$E$10&gt;=132),IF((Eingabe!$G$10+1)&lt;=9,1000+(Eingabe!$G$10+1)*100,3000)+32,"")</f>
        <v/>
      </c>
      <c r="F342" s="17" t="str">
        <f aca="false">IF(AND(Eingabe!$F$10&gt;0,Eingabe!$E$10&gt;=132),"10."&amp;Eingabe!$D$10&amp;".132.0/24","")</f>
        <v/>
      </c>
      <c r="G342" s="17" t="str">
        <f aca="false">IF(AND(Eingabe!$F$10&gt;0,Eingabe!$E$10&gt;=132),"10."&amp;Eingabe!$D$10&amp;".132.1","")</f>
        <v/>
      </c>
      <c r="H342" s="17" t="str">
        <f aca="false">IF(AND(Eingabe!$F$10&gt;0,Eingabe!$E$10&gt;=132),"10."&amp;Eingabe!$D$10&amp;".132.10 – 10."&amp;Eingabe!$D$10&amp;".132.250","")</f>
        <v/>
      </c>
      <c r="I342" s="17" t="str">
        <f aca="false">IF(AND(Eingabe!$F$10&gt;0,Eingabe!$E$10&gt;=132),Eingabe!$B$6&amp;"-"&amp;Eingabe!$C$10&amp;"-Pächter","")</f>
        <v/>
      </c>
      <c r="J342" s="17" t="str">
        <f aca="false">IF(AND(Eingabe!$F$10&gt;0,Eingabe!$E$10&gt;=132),"PPSK: Passwort Parzelle 132","")</f>
        <v/>
      </c>
      <c r="K342" s="17" t="str">
        <f aca="false">IF(AND(Eingabe!$F$10&gt;0,Eingabe!$E$10&gt;=132),"1. Gerät: 10."&amp;Eingabe!$D$10&amp;".132.10, 2. Gerät: .11","")</f>
        <v/>
      </c>
    </row>
    <row r="343" customFormat="false" ht="15" hidden="false" customHeight="false" outlineLevel="0" collapsed="false">
      <c r="A343" s="17" t="str">
        <f aca="false">IF(AND(Eingabe!$F$10&gt;0,Eingabe!$E$10&gt;=133),2,"")</f>
        <v/>
      </c>
      <c r="B343" s="17" t="str">
        <f aca="false">IF(AND(Eingabe!$F$10&gt;0,Eingabe!$E$10&gt;=133),Eingabe!$B$10,"")</f>
        <v/>
      </c>
      <c r="C343" s="17" t="str">
        <f aca="false">IF(AND(Eingabe!$F$10&gt;0,Eingabe!$E$10&gt;=133),Eingabe!$C$10&amp;"-Paz."&amp;TEXT(133,"000"),"")</f>
        <v/>
      </c>
      <c r="D343" s="17" t="str">
        <f aca="false">IF(AND(Eingabe!$F$10&gt;0,Eingabe!$E$10&gt;=133),133,"")</f>
        <v/>
      </c>
      <c r="E343" s="17" t="str">
        <f aca="false">IF(AND(Eingabe!$F$10&gt;0,Eingabe!$E$10&gt;=133),IF((Eingabe!$G$10+1)&lt;=9,1000+(Eingabe!$G$10+1)*100,3000)+33,"")</f>
        <v/>
      </c>
      <c r="F343" s="17" t="str">
        <f aca="false">IF(AND(Eingabe!$F$10&gt;0,Eingabe!$E$10&gt;=133),"10."&amp;Eingabe!$D$10&amp;".133.0/24","")</f>
        <v/>
      </c>
      <c r="G343" s="17" t="str">
        <f aca="false">IF(AND(Eingabe!$F$10&gt;0,Eingabe!$E$10&gt;=133),"10."&amp;Eingabe!$D$10&amp;".133.1","")</f>
        <v/>
      </c>
      <c r="H343" s="17" t="str">
        <f aca="false">IF(AND(Eingabe!$F$10&gt;0,Eingabe!$E$10&gt;=133),"10."&amp;Eingabe!$D$10&amp;".133.10 – 10."&amp;Eingabe!$D$10&amp;".133.250","")</f>
        <v/>
      </c>
      <c r="I343" s="17" t="str">
        <f aca="false">IF(AND(Eingabe!$F$10&gt;0,Eingabe!$E$10&gt;=133),Eingabe!$B$6&amp;"-"&amp;Eingabe!$C$10&amp;"-Pächter","")</f>
        <v/>
      </c>
      <c r="J343" s="17" t="str">
        <f aca="false">IF(AND(Eingabe!$F$10&gt;0,Eingabe!$E$10&gt;=133),"PPSK: Passwort Parzelle 133","")</f>
        <v/>
      </c>
      <c r="K343" s="17" t="str">
        <f aca="false">IF(AND(Eingabe!$F$10&gt;0,Eingabe!$E$10&gt;=133),"1. Gerät: 10."&amp;Eingabe!$D$10&amp;".133.10, 2. Gerät: .11","")</f>
        <v/>
      </c>
    </row>
    <row r="344" customFormat="false" ht="15" hidden="false" customHeight="false" outlineLevel="0" collapsed="false">
      <c r="A344" s="17" t="str">
        <f aca="false">IF(AND(Eingabe!$F$10&gt;0,Eingabe!$E$10&gt;=134),2,"")</f>
        <v/>
      </c>
      <c r="B344" s="17" t="str">
        <f aca="false">IF(AND(Eingabe!$F$10&gt;0,Eingabe!$E$10&gt;=134),Eingabe!$B$10,"")</f>
        <v/>
      </c>
      <c r="C344" s="17" t="str">
        <f aca="false">IF(AND(Eingabe!$F$10&gt;0,Eingabe!$E$10&gt;=134),Eingabe!$C$10&amp;"-Paz."&amp;TEXT(134,"000"),"")</f>
        <v/>
      </c>
      <c r="D344" s="17" t="str">
        <f aca="false">IF(AND(Eingabe!$F$10&gt;0,Eingabe!$E$10&gt;=134),134,"")</f>
        <v/>
      </c>
      <c r="E344" s="17" t="str">
        <f aca="false">IF(AND(Eingabe!$F$10&gt;0,Eingabe!$E$10&gt;=134),IF((Eingabe!$G$10+1)&lt;=9,1000+(Eingabe!$G$10+1)*100,3000)+34,"")</f>
        <v/>
      </c>
      <c r="F344" s="17" t="str">
        <f aca="false">IF(AND(Eingabe!$F$10&gt;0,Eingabe!$E$10&gt;=134),"10."&amp;Eingabe!$D$10&amp;".134.0/24","")</f>
        <v/>
      </c>
      <c r="G344" s="17" t="str">
        <f aca="false">IF(AND(Eingabe!$F$10&gt;0,Eingabe!$E$10&gt;=134),"10."&amp;Eingabe!$D$10&amp;".134.1","")</f>
        <v/>
      </c>
      <c r="H344" s="17" t="str">
        <f aca="false">IF(AND(Eingabe!$F$10&gt;0,Eingabe!$E$10&gt;=134),"10."&amp;Eingabe!$D$10&amp;".134.10 – 10."&amp;Eingabe!$D$10&amp;".134.250","")</f>
        <v/>
      </c>
      <c r="I344" s="17" t="str">
        <f aca="false">IF(AND(Eingabe!$F$10&gt;0,Eingabe!$E$10&gt;=134),Eingabe!$B$6&amp;"-"&amp;Eingabe!$C$10&amp;"-Pächter","")</f>
        <v/>
      </c>
      <c r="J344" s="17" t="str">
        <f aca="false">IF(AND(Eingabe!$F$10&gt;0,Eingabe!$E$10&gt;=134),"PPSK: Passwort Parzelle 134","")</f>
        <v/>
      </c>
      <c r="K344" s="17" t="str">
        <f aca="false">IF(AND(Eingabe!$F$10&gt;0,Eingabe!$E$10&gt;=134),"1. Gerät: 10."&amp;Eingabe!$D$10&amp;".134.10, 2. Gerät: .11","")</f>
        <v/>
      </c>
    </row>
    <row r="345" customFormat="false" ht="15" hidden="false" customHeight="false" outlineLevel="0" collapsed="false">
      <c r="A345" s="17" t="str">
        <f aca="false">IF(AND(Eingabe!$F$10&gt;0,Eingabe!$E$10&gt;=135),2,"")</f>
        <v/>
      </c>
      <c r="B345" s="17" t="str">
        <f aca="false">IF(AND(Eingabe!$F$10&gt;0,Eingabe!$E$10&gt;=135),Eingabe!$B$10,"")</f>
        <v/>
      </c>
      <c r="C345" s="17" t="str">
        <f aca="false">IF(AND(Eingabe!$F$10&gt;0,Eingabe!$E$10&gt;=135),Eingabe!$C$10&amp;"-Paz."&amp;TEXT(135,"000"),"")</f>
        <v/>
      </c>
      <c r="D345" s="17" t="str">
        <f aca="false">IF(AND(Eingabe!$F$10&gt;0,Eingabe!$E$10&gt;=135),135,"")</f>
        <v/>
      </c>
      <c r="E345" s="17" t="str">
        <f aca="false">IF(AND(Eingabe!$F$10&gt;0,Eingabe!$E$10&gt;=135),IF((Eingabe!$G$10+1)&lt;=9,1000+(Eingabe!$G$10+1)*100,3000)+35,"")</f>
        <v/>
      </c>
      <c r="F345" s="17" t="str">
        <f aca="false">IF(AND(Eingabe!$F$10&gt;0,Eingabe!$E$10&gt;=135),"10."&amp;Eingabe!$D$10&amp;".135.0/24","")</f>
        <v/>
      </c>
      <c r="G345" s="17" t="str">
        <f aca="false">IF(AND(Eingabe!$F$10&gt;0,Eingabe!$E$10&gt;=135),"10."&amp;Eingabe!$D$10&amp;".135.1","")</f>
        <v/>
      </c>
      <c r="H345" s="17" t="str">
        <f aca="false">IF(AND(Eingabe!$F$10&gt;0,Eingabe!$E$10&gt;=135),"10."&amp;Eingabe!$D$10&amp;".135.10 – 10."&amp;Eingabe!$D$10&amp;".135.250","")</f>
        <v/>
      </c>
      <c r="I345" s="17" t="str">
        <f aca="false">IF(AND(Eingabe!$F$10&gt;0,Eingabe!$E$10&gt;=135),Eingabe!$B$6&amp;"-"&amp;Eingabe!$C$10&amp;"-Pächter","")</f>
        <v/>
      </c>
      <c r="J345" s="17" t="str">
        <f aca="false">IF(AND(Eingabe!$F$10&gt;0,Eingabe!$E$10&gt;=135),"PPSK: Passwort Parzelle 135","")</f>
        <v/>
      </c>
      <c r="K345" s="17" t="str">
        <f aca="false">IF(AND(Eingabe!$F$10&gt;0,Eingabe!$E$10&gt;=135),"1. Gerät: 10."&amp;Eingabe!$D$10&amp;".135.10, 2. Gerät: .11","")</f>
        <v/>
      </c>
    </row>
    <row r="346" customFormat="false" ht="15" hidden="false" customHeight="false" outlineLevel="0" collapsed="false">
      <c r="A346" s="17" t="str">
        <f aca="false">IF(AND(Eingabe!$F$10&gt;0,Eingabe!$E$10&gt;=136),2,"")</f>
        <v/>
      </c>
      <c r="B346" s="17" t="str">
        <f aca="false">IF(AND(Eingabe!$F$10&gt;0,Eingabe!$E$10&gt;=136),Eingabe!$B$10,"")</f>
        <v/>
      </c>
      <c r="C346" s="17" t="str">
        <f aca="false">IF(AND(Eingabe!$F$10&gt;0,Eingabe!$E$10&gt;=136),Eingabe!$C$10&amp;"-Paz."&amp;TEXT(136,"000"),"")</f>
        <v/>
      </c>
      <c r="D346" s="17" t="str">
        <f aca="false">IF(AND(Eingabe!$F$10&gt;0,Eingabe!$E$10&gt;=136),136,"")</f>
        <v/>
      </c>
      <c r="E346" s="17" t="str">
        <f aca="false">IF(AND(Eingabe!$F$10&gt;0,Eingabe!$E$10&gt;=136),IF((Eingabe!$G$10+1)&lt;=9,1000+(Eingabe!$G$10+1)*100,3000)+36,"")</f>
        <v/>
      </c>
      <c r="F346" s="17" t="str">
        <f aca="false">IF(AND(Eingabe!$F$10&gt;0,Eingabe!$E$10&gt;=136),"10."&amp;Eingabe!$D$10&amp;".136.0/24","")</f>
        <v/>
      </c>
      <c r="G346" s="17" t="str">
        <f aca="false">IF(AND(Eingabe!$F$10&gt;0,Eingabe!$E$10&gt;=136),"10."&amp;Eingabe!$D$10&amp;".136.1","")</f>
        <v/>
      </c>
      <c r="H346" s="17" t="str">
        <f aca="false">IF(AND(Eingabe!$F$10&gt;0,Eingabe!$E$10&gt;=136),"10."&amp;Eingabe!$D$10&amp;".136.10 – 10."&amp;Eingabe!$D$10&amp;".136.250","")</f>
        <v/>
      </c>
      <c r="I346" s="17" t="str">
        <f aca="false">IF(AND(Eingabe!$F$10&gt;0,Eingabe!$E$10&gt;=136),Eingabe!$B$6&amp;"-"&amp;Eingabe!$C$10&amp;"-Pächter","")</f>
        <v/>
      </c>
      <c r="J346" s="17" t="str">
        <f aca="false">IF(AND(Eingabe!$F$10&gt;0,Eingabe!$E$10&gt;=136),"PPSK: Passwort Parzelle 136","")</f>
        <v/>
      </c>
      <c r="K346" s="17" t="str">
        <f aca="false">IF(AND(Eingabe!$F$10&gt;0,Eingabe!$E$10&gt;=136),"1. Gerät: 10."&amp;Eingabe!$D$10&amp;".136.10, 2. Gerät: .11","")</f>
        <v/>
      </c>
    </row>
    <row r="347" customFormat="false" ht="15" hidden="false" customHeight="false" outlineLevel="0" collapsed="false">
      <c r="A347" s="17" t="str">
        <f aca="false">IF(AND(Eingabe!$F$10&gt;0,Eingabe!$E$10&gt;=137),2,"")</f>
        <v/>
      </c>
      <c r="B347" s="17" t="str">
        <f aca="false">IF(AND(Eingabe!$F$10&gt;0,Eingabe!$E$10&gt;=137),Eingabe!$B$10,"")</f>
        <v/>
      </c>
      <c r="C347" s="17" t="str">
        <f aca="false">IF(AND(Eingabe!$F$10&gt;0,Eingabe!$E$10&gt;=137),Eingabe!$C$10&amp;"-Paz."&amp;TEXT(137,"000"),"")</f>
        <v/>
      </c>
      <c r="D347" s="17" t="str">
        <f aca="false">IF(AND(Eingabe!$F$10&gt;0,Eingabe!$E$10&gt;=137),137,"")</f>
        <v/>
      </c>
      <c r="E347" s="17" t="str">
        <f aca="false">IF(AND(Eingabe!$F$10&gt;0,Eingabe!$E$10&gt;=137),IF((Eingabe!$G$10+1)&lt;=9,1000+(Eingabe!$G$10+1)*100,3000)+37,"")</f>
        <v/>
      </c>
      <c r="F347" s="17" t="str">
        <f aca="false">IF(AND(Eingabe!$F$10&gt;0,Eingabe!$E$10&gt;=137),"10."&amp;Eingabe!$D$10&amp;".137.0/24","")</f>
        <v/>
      </c>
      <c r="G347" s="17" t="str">
        <f aca="false">IF(AND(Eingabe!$F$10&gt;0,Eingabe!$E$10&gt;=137),"10."&amp;Eingabe!$D$10&amp;".137.1","")</f>
        <v/>
      </c>
      <c r="H347" s="17" t="str">
        <f aca="false">IF(AND(Eingabe!$F$10&gt;0,Eingabe!$E$10&gt;=137),"10."&amp;Eingabe!$D$10&amp;".137.10 – 10."&amp;Eingabe!$D$10&amp;".137.250","")</f>
        <v/>
      </c>
      <c r="I347" s="17" t="str">
        <f aca="false">IF(AND(Eingabe!$F$10&gt;0,Eingabe!$E$10&gt;=137),Eingabe!$B$6&amp;"-"&amp;Eingabe!$C$10&amp;"-Pächter","")</f>
        <v/>
      </c>
      <c r="J347" s="17" t="str">
        <f aca="false">IF(AND(Eingabe!$F$10&gt;0,Eingabe!$E$10&gt;=137),"PPSK: Passwort Parzelle 137","")</f>
        <v/>
      </c>
      <c r="K347" s="17" t="str">
        <f aca="false">IF(AND(Eingabe!$F$10&gt;0,Eingabe!$E$10&gt;=137),"1. Gerät: 10."&amp;Eingabe!$D$10&amp;".137.10, 2. Gerät: .11","")</f>
        <v/>
      </c>
    </row>
    <row r="348" customFormat="false" ht="15" hidden="false" customHeight="false" outlineLevel="0" collapsed="false">
      <c r="A348" s="17" t="str">
        <f aca="false">IF(AND(Eingabe!$F$10&gt;0,Eingabe!$E$10&gt;=138),2,"")</f>
        <v/>
      </c>
      <c r="B348" s="17" t="str">
        <f aca="false">IF(AND(Eingabe!$F$10&gt;0,Eingabe!$E$10&gt;=138),Eingabe!$B$10,"")</f>
        <v/>
      </c>
      <c r="C348" s="17" t="str">
        <f aca="false">IF(AND(Eingabe!$F$10&gt;0,Eingabe!$E$10&gt;=138),Eingabe!$C$10&amp;"-Paz."&amp;TEXT(138,"000"),"")</f>
        <v/>
      </c>
      <c r="D348" s="17" t="str">
        <f aca="false">IF(AND(Eingabe!$F$10&gt;0,Eingabe!$E$10&gt;=138),138,"")</f>
        <v/>
      </c>
      <c r="E348" s="17" t="str">
        <f aca="false">IF(AND(Eingabe!$F$10&gt;0,Eingabe!$E$10&gt;=138),IF((Eingabe!$G$10+1)&lt;=9,1000+(Eingabe!$G$10+1)*100,3000)+38,"")</f>
        <v/>
      </c>
      <c r="F348" s="17" t="str">
        <f aca="false">IF(AND(Eingabe!$F$10&gt;0,Eingabe!$E$10&gt;=138),"10."&amp;Eingabe!$D$10&amp;".138.0/24","")</f>
        <v/>
      </c>
      <c r="G348" s="17" t="str">
        <f aca="false">IF(AND(Eingabe!$F$10&gt;0,Eingabe!$E$10&gt;=138),"10."&amp;Eingabe!$D$10&amp;".138.1","")</f>
        <v/>
      </c>
      <c r="H348" s="17" t="str">
        <f aca="false">IF(AND(Eingabe!$F$10&gt;0,Eingabe!$E$10&gt;=138),"10."&amp;Eingabe!$D$10&amp;".138.10 – 10."&amp;Eingabe!$D$10&amp;".138.250","")</f>
        <v/>
      </c>
      <c r="I348" s="17" t="str">
        <f aca="false">IF(AND(Eingabe!$F$10&gt;0,Eingabe!$E$10&gt;=138),Eingabe!$B$6&amp;"-"&amp;Eingabe!$C$10&amp;"-Pächter","")</f>
        <v/>
      </c>
      <c r="J348" s="17" t="str">
        <f aca="false">IF(AND(Eingabe!$F$10&gt;0,Eingabe!$E$10&gt;=138),"PPSK: Passwort Parzelle 138","")</f>
        <v/>
      </c>
      <c r="K348" s="17" t="str">
        <f aca="false">IF(AND(Eingabe!$F$10&gt;0,Eingabe!$E$10&gt;=138),"1. Gerät: 10."&amp;Eingabe!$D$10&amp;".138.10, 2. Gerät: .11","")</f>
        <v/>
      </c>
    </row>
    <row r="349" customFormat="false" ht="15" hidden="false" customHeight="false" outlineLevel="0" collapsed="false">
      <c r="A349" s="17" t="str">
        <f aca="false">IF(AND(Eingabe!$F$10&gt;0,Eingabe!$E$10&gt;=139),2,"")</f>
        <v/>
      </c>
      <c r="B349" s="17" t="str">
        <f aca="false">IF(AND(Eingabe!$F$10&gt;0,Eingabe!$E$10&gt;=139),Eingabe!$B$10,"")</f>
        <v/>
      </c>
      <c r="C349" s="17" t="str">
        <f aca="false">IF(AND(Eingabe!$F$10&gt;0,Eingabe!$E$10&gt;=139),Eingabe!$C$10&amp;"-Paz."&amp;TEXT(139,"000"),"")</f>
        <v/>
      </c>
      <c r="D349" s="17" t="str">
        <f aca="false">IF(AND(Eingabe!$F$10&gt;0,Eingabe!$E$10&gt;=139),139,"")</f>
        <v/>
      </c>
      <c r="E349" s="17" t="str">
        <f aca="false">IF(AND(Eingabe!$F$10&gt;0,Eingabe!$E$10&gt;=139),IF((Eingabe!$G$10+1)&lt;=9,1000+(Eingabe!$G$10+1)*100,3000)+39,"")</f>
        <v/>
      </c>
      <c r="F349" s="17" t="str">
        <f aca="false">IF(AND(Eingabe!$F$10&gt;0,Eingabe!$E$10&gt;=139),"10."&amp;Eingabe!$D$10&amp;".139.0/24","")</f>
        <v/>
      </c>
      <c r="G349" s="17" t="str">
        <f aca="false">IF(AND(Eingabe!$F$10&gt;0,Eingabe!$E$10&gt;=139),"10."&amp;Eingabe!$D$10&amp;".139.1","")</f>
        <v/>
      </c>
      <c r="H349" s="17" t="str">
        <f aca="false">IF(AND(Eingabe!$F$10&gt;0,Eingabe!$E$10&gt;=139),"10."&amp;Eingabe!$D$10&amp;".139.10 – 10."&amp;Eingabe!$D$10&amp;".139.250","")</f>
        <v/>
      </c>
      <c r="I349" s="17" t="str">
        <f aca="false">IF(AND(Eingabe!$F$10&gt;0,Eingabe!$E$10&gt;=139),Eingabe!$B$6&amp;"-"&amp;Eingabe!$C$10&amp;"-Pächter","")</f>
        <v/>
      </c>
      <c r="J349" s="17" t="str">
        <f aca="false">IF(AND(Eingabe!$F$10&gt;0,Eingabe!$E$10&gt;=139),"PPSK: Passwort Parzelle 139","")</f>
        <v/>
      </c>
      <c r="K349" s="17" t="str">
        <f aca="false">IF(AND(Eingabe!$F$10&gt;0,Eingabe!$E$10&gt;=139),"1. Gerät: 10."&amp;Eingabe!$D$10&amp;".139.10, 2. Gerät: .11","")</f>
        <v/>
      </c>
    </row>
    <row r="350" customFormat="false" ht="15" hidden="false" customHeight="false" outlineLevel="0" collapsed="false">
      <c r="A350" s="17" t="str">
        <f aca="false">IF(AND(Eingabe!$F$10&gt;0,Eingabe!$E$10&gt;=140),2,"")</f>
        <v/>
      </c>
      <c r="B350" s="17" t="str">
        <f aca="false">IF(AND(Eingabe!$F$10&gt;0,Eingabe!$E$10&gt;=140),Eingabe!$B$10,"")</f>
        <v/>
      </c>
      <c r="C350" s="17" t="str">
        <f aca="false">IF(AND(Eingabe!$F$10&gt;0,Eingabe!$E$10&gt;=140),Eingabe!$C$10&amp;"-Paz."&amp;TEXT(140,"000"),"")</f>
        <v/>
      </c>
      <c r="D350" s="17" t="str">
        <f aca="false">IF(AND(Eingabe!$F$10&gt;0,Eingabe!$E$10&gt;=140),140,"")</f>
        <v/>
      </c>
      <c r="E350" s="17" t="str">
        <f aca="false">IF(AND(Eingabe!$F$10&gt;0,Eingabe!$E$10&gt;=140),IF((Eingabe!$G$10+1)&lt;=9,1000+(Eingabe!$G$10+1)*100,3000)+40,"")</f>
        <v/>
      </c>
      <c r="F350" s="17" t="str">
        <f aca="false">IF(AND(Eingabe!$F$10&gt;0,Eingabe!$E$10&gt;=140),"10."&amp;Eingabe!$D$10&amp;".140.0/24","")</f>
        <v/>
      </c>
      <c r="G350" s="17" t="str">
        <f aca="false">IF(AND(Eingabe!$F$10&gt;0,Eingabe!$E$10&gt;=140),"10."&amp;Eingabe!$D$10&amp;".140.1","")</f>
        <v/>
      </c>
      <c r="H350" s="17" t="str">
        <f aca="false">IF(AND(Eingabe!$F$10&gt;0,Eingabe!$E$10&gt;=140),"10."&amp;Eingabe!$D$10&amp;".140.10 – 10."&amp;Eingabe!$D$10&amp;".140.250","")</f>
        <v/>
      </c>
      <c r="I350" s="17" t="str">
        <f aca="false">IF(AND(Eingabe!$F$10&gt;0,Eingabe!$E$10&gt;=140),Eingabe!$B$6&amp;"-"&amp;Eingabe!$C$10&amp;"-Pächter","")</f>
        <v/>
      </c>
      <c r="J350" s="17" t="str">
        <f aca="false">IF(AND(Eingabe!$F$10&gt;0,Eingabe!$E$10&gt;=140),"PPSK: Passwort Parzelle 140","")</f>
        <v/>
      </c>
      <c r="K350" s="17" t="str">
        <f aca="false">IF(AND(Eingabe!$F$10&gt;0,Eingabe!$E$10&gt;=140),"1. Gerät: 10."&amp;Eingabe!$D$10&amp;".140.10, 2. Gerät: .11","")</f>
        <v/>
      </c>
    </row>
    <row r="351" customFormat="false" ht="15" hidden="false" customHeight="false" outlineLevel="0" collapsed="false">
      <c r="A351" s="17" t="str">
        <f aca="false">IF(AND(Eingabe!$F$10&gt;0,Eingabe!$E$10&gt;=141),2,"")</f>
        <v/>
      </c>
      <c r="B351" s="17" t="str">
        <f aca="false">IF(AND(Eingabe!$F$10&gt;0,Eingabe!$E$10&gt;=141),Eingabe!$B$10,"")</f>
        <v/>
      </c>
      <c r="C351" s="17" t="str">
        <f aca="false">IF(AND(Eingabe!$F$10&gt;0,Eingabe!$E$10&gt;=141),Eingabe!$C$10&amp;"-Paz."&amp;TEXT(141,"000"),"")</f>
        <v/>
      </c>
      <c r="D351" s="17" t="str">
        <f aca="false">IF(AND(Eingabe!$F$10&gt;0,Eingabe!$E$10&gt;=141),141,"")</f>
        <v/>
      </c>
      <c r="E351" s="17" t="str">
        <f aca="false">IF(AND(Eingabe!$F$10&gt;0,Eingabe!$E$10&gt;=141),IF((Eingabe!$G$10+1)&lt;=9,1000+(Eingabe!$G$10+1)*100,3000)+41,"")</f>
        <v/>
      </c>
      <c r="F351" s="17" t="str">
        <f aca="false">IF(AND(Eingabe!$F$10&gt;0,Eingabe!$E$10&gt;=141),"10."&amp;Eingabe!$D$10&amp;".141.0/24","")</f>
        <v/>
      </c>
      <c r="G351" s="17" t="str">
        <f aca="false">IF(AND(Eingabe!$F$10&gt;0,Eingabe!$E$10&gt;=141),"10."&amp;Eingabe!$D$10&amp;".141.1","")</f>
        <v/>
      </c>
      <c r="H351" s="17" t="str">
        <f aca="false">IF(AND(Eingabe!$F$10&gt;0,Eingabe!$E$10&gt;=141),"10."&amp;Eingabe!$D$10&amp;".141.10 – 10."&amp;Eingabe!$D$10&amp;".141.250","")</f>
        <v/>
      </c>
      <c r="I351" s="17" t="str">
        <f aca="false">IF(AND(Eingabe!$F$10&gt;0,Eingabe!$E$10&gt;=141),Eingabe!$B$6&amp;"-"&amp;Eingabe!$C$10&amp;"-Pächter","")</f>
        <v/>
      </c>
      <c r="J351" s="17" t="str">
        <f aca="false">IF(AND(Eingabe!$F$10&gt;0,Eingabe!$E$10&gt;=141),"PPSK: Passwort Parzelle 141","")</f>
        <v/>
      </c>
      <c r="K351" s="17" t="str">
        <f aca="false">IF(AND(Eingabe!$F$10&gt;0,Eingabe!$E$10&gt;=141),"1. Gerät: 10."&amp;Eingabe!$D$10&amp;".141.10, 2. Gerät: .11","")</f>
        <v/>
      </c>
    </row>
    <row r="352" customFormat="false" ht="15" hidden="false" customHeight="false" outlineLevel="0" collapsed="false">
      <c r="A352" s="17" t="str">
        <f aca="false">IF(AND(Eingabe!$F$10&gt;0,Eingabe!$E$10&gt;=142),2,"")</f>
        <v/>
      </c>
      <c r="B352" s="17" t="str">
        <f aca="false">IF(AND(Eingabe!$F$10&gt;0,Eingabe!$E$10&gt;=142),Eingabe!$B$10,"")</f>
        <v/>
      </c>
      <c r="C352" s="17" t="str">
        <f aca="false">IF(AND(Eingabe!$F$10&gt;0,Eingabe!$E$10&gt;=142),Eingabe!$C$10&amp;"-Paz."&amp;TEXT(142,"000"),"")</f>
        <v/>
      </c>
      <c r="D352" s="17" t="str">
        <f aca="false">IF(AND(Eingabe!$F$10&gt;0,Eingabe!$E$10&gt;=142),142,"")</f>
        <v/>
      </c>
      <c r="E352" s="17" t="str">
        <f aca="false">IF(AND(Eingabe!$F$10&gt;0,Eingabe!$E$10&gt;=142),IF((Eingabe!$G$10+1)&lt;=9,1000+(Eingabe!$G$10+1)*100,3000)+42,"")</f>
        <v/>
      </c>
      <c r="F352" s="17" t="str">
        <f aca="false">IF(AND(Eingabe!$F$10&gt;0,Eingabe!$E$10&gt;=142),"10."&amp;Eingabe!$D$10&amp;".142.0/24","")</f>
        <v/>
      </c>
      <c r="G352" s="17" t="str">
        <f aca="false">IF(AND(Eingabe!$F$10&gt;0,Eingabe!$E$10&gt;=142),"10."&amp;Eingabe!$D$10&amp;".142.1","")</f>
        <v/>
      </c>
      <c r="H352" s="17" t="str">
        <f aca="false">IF(AND(Eingabe!$F$10&gt;0,Eingabe!$E$10&gt;=142),"10."&amp;Eingabe!$D$10&amp;".142.10 – 10."&amp;Eingabe!$D$10&amp;".142.250","")</f>
        <v/>
      </c>
      <c r="I352" s="17" t="str">
        <f aca="false">IF(AND(Eingabe!$F$10&gt;0,Eingabe!$E$10&gt;=142),Eingabe!$B$6&amp;"-"&amp;Eingabe!$C$10&amp;"-Pächter","")</f>
        <v/>
      </c>
      <c r="J352" s="17" t="str">
        <f aca="false">IF(AND(Eingabe!$F$10&gt;0,Eingabe!$E$10&gt;=142),"PPSK: Passwort Parzelle 142","")</f>
        <v/>
      </c>
      <c r="K352" s="17" t="str">
        <f aca="false">IF(AND(Eingabe!$F$10&gt;0,Eingabe!$E$10&gt;=142),"1. Gerät: 10."&amp;Eingabe!$D$10&amp;".142.10, 2. Gerät: .11","")</f>
        <v/>
      </c>
    </row>
    <row r="353" customFormat="false" ht="15" hidden="false" customHeight="false" outlineLevel="0" collapsed="false">
      <c r="A353" s="17" t="str">
        <f aca="false">IF(AND(Eingabe!$F$10&gt;0,Eingabe!$E$10&gt;=143),2,"")</f>
        <v/>
      </c>
      <c r="B353" s="17" t="str">
        <f aca="false">IF(AND(Eingabe!$F$10&gt;0,Eingabe!$E$10&gt;=143),Eingabe!$B$10,"")</f>
        <v/>
      </c>
      <c r="C353" s="17" t="str">
        <f aca="false">IF(AND(Eingabe!$F$10&gt;0,Eingabe!$E$10&gt;=143),Eingabe!$C$10&amp;"-Paz."&amp;TEXT(143,"000"),"")</f>
        <v/>
      </c>
      <c r="D353" s="17" t="str">
        <f aca="false">IF(AND(Eingabe!$F$10&gt;0,Eingabe!$E$10&gt;=143),143,"")</f>
        <v/>
      </c>
      <c r="E353" s="17" t="str">
        <f aca="false">IF(AND(Eingabe!$F$10&gt;0,Eingabe!$E$10&gt;=143),IF((Eingabe!$G$10+1)&lt;=9,1000+(Eingabe!$G$10+1)*100,3000)+43,"")</f>
        <v/>
      </c>
      <c r="F353" s="17" t="str">
        <f aca="false">IF(AND(Eingabe!$F$10&gt;0,Eingabe!$E$10&gt;=143),"10."&amp;Eingabe!$D$10&amp;".143.0/24","")</f>
        <v/>
      </c>
      <c r="G353" s="17" t="str">
        <f aca="false">IF(AND(Eingabe!$F$10&gt;0,Eingabe!$E$10&gt;=143),"10."&amp;Eingabe!$D$10&amp;".143.1","")</f>
        <v/>
      </c>
      <c r="H353" s="17" t="str">
        <f aca="false">IF(AND(Eingabe!$F$10&gt;0,Eingabe!$E$10&gt;=143),"10."&amp;Eingabe!$D$10&amp;".143.10 – 10."&amp;Eingabe!$D$10&amp;".143.250","")</f>
        <v/>
      </c>
      <c r="I353" s="17" t="str">
        <f aca="false">IF(AND(Eingabe!$F$10&gt;0,Eingabe!$E$10&gt;=143),Eingabe!$B$6&amp;"-"&amp;Eingabe!$C$10&amp;"-Pächter","")</f>
        <v/>
      </c>
      <c r="J353" s="17" t="str">
        <f aca="false">IF(AND(Eingabe!$F$10&gt;0,Eingabe!$E$10&gt;=143),"PPSK: Passwort Parzelle 143","")</f>
        <v/>
      </c>
      <c r="K353" s="17" t="str">
        <f aca="false">IF(AND(Eingabe!$F$10&gt;0,Eingabe!$E$10&gt;=143),"1. Gerät: 10."&amp;Eingabe!$D$10&amp;".143.10, 2. Gerät: .11","")</f>
        <v/>
      </c>
    </row>
    <row r="354" customFormat="false" ht="15" hidden="false" customHeight="false" outlineLevel="0" collapsed="false">
      <c r="A354" s="17" t="str">
        <f aca="false">IF(AND(Eingabe!$F$10&gt;0,Eingabe!$E$10&gt;=144),2,"")</f>
        <v/>
      </c>
      <c r="B354" s="17" t="str">
        <f aca="false">IF(AND(Eingabe!$F$10&gt;0,Eingabe!$E$10&gt;=144),Eingabe!$B$10,"")</f>
        <v/>
      </c>
      <c r="C354" s="17" t="str">
        <f aca="false">IF(AND(Eingabe!$F$10&gt;0,Eingabe!$E$10&gt;=144),Eingabe!$C$10&amp;"-Paz."&amp;TEXT(144,"000"),"")</f>
        <v/>
      </c>
      <c r="D354" s="17" t="str">
        <f aca="false">IF(AND(Eingabe!$F$10&gt;0,Eingabe!$E$10&gt;=144),144,"")</f>
        <v/>
      </c>
      <c r="E354" s="17" t="str">
        <f aca="false">IF(AND(Eingabe!$F$10&gt;0,Eingabe!$E$10&gt;=144),IF((Eingabe!$G$10+1)&lt;=9,1000+(Eingabe!$G$10+1)*100,3000)+44,"")</f>
        <v/>
      </c>
      <c r="F354" s="17" t="str">
        <f aca="false">IF(AND(Eingabe!$F$10&gt;0,Eingabe!$E$10&gt;=144),"10."&amp;Eingabe!$D$10&amp;".144.0/24","")</f>
        <v/>
      </c>
      <c r="G354" s="17" t="str">
        <f aca="false">IF(AND(Eingabe!$F$10&gt;0,Eingabe!$E$10&gt;=144),"10."&amp;Eingabe!$D$10&amp;".144.1","")</f>
        <v/>
      </c>
      <c r="H354" s="17" t="str">
        <f aca="false">IF(AND(Eingabe!$F$10&gt;0,Eingabe!$E$10&gt;=144),"10."&amp;Eingabe!$D$10&amp;".144.10 – 10."&amp;Eingabe!$D$10&amp;".144.250","")</f>
        <v/>
      </c>
      <c r="I354" s="17" t="str">
        <f aca="false">IF(AND(Eingabe!$F$10&gt;0,Eingabe!$E$10&gt;=144),Eingabe!$B$6&amp;"-"&amp;Eingabe!$C$10&amp;"-Pächter","")</f>
        <v/>
      </c>
      <c r="J354" s="17" t="str">
        <f aca="false">IF(AND(Eingabe!$F$10&gt;0,Eingabe!$E$10&gt;=144),"PPSK: Passwort Parzelle 144","")</f>
        <v/>
      </c>
      <c r="K354" s="17" t="str">
        <f aca="false">IF(AND(Eingabe!$F$10&gt;0,Eingabe!$E$10&gt;=144),"1. Gerät: 10."&amp;Eingabe!$D$10&amp;".144.10, 2. Gerät: .11","")</f>
        <v/>
      </c>
    </row>
    <row r="355" customFormat="false" ht="15" hidden="false" customHeight="false" outlineLevel="0" collapsed="false">
      <c r="A355" s="17" t="str">
        <f aca="false">IF(AND(Eingabe!$F$10&gt;0,Eingabe!$E$10&gt;=145),2,"")</f>
        <v/>
      </c>
      <c r="B355" s="17" t="str">
        <f aca="false">IF(AND(Eingabe!$F$10&gt;0,Eingabe!$E$10&gt;=145),Eingabe!$B$10,"")</f>
        <v/>
      </c>
      <c r="C355" s="17" t="str">
        <f aca="false">IF(AND(Eingabe!$F$10&gt;0,Eingabe!$E$10&gt;=145),Eingabe!$C$10&amp;"-Paz."&amp;TEXT(145,"000"),"")</f>
        <v/>
      </c>
      <c r="D355" s="17" t="str">
        <f aca="false">IF(AND(Eingabe!$F$10&gt;0,Eingabe!$E$10&gt;=145),145,"")</f>
        <v/>
      </c>
      <c r="E355" s="17" t="str">
        <f aca="false">IF(AND(Eingabe!$F$10&gt;0,Eingabe!$E$10&gt;=145),IF((Eingabe!$G$10+1)&lt;=9,1000+(Eingabe!$G$10+1)*100,3000)+45,"")</f>
        <v/>
      </c>
      <c r="F355" s="17" t="str">
        <f aca="false">IF(AND(Eingabe!$F$10&gt;0,Eingabe!$E$10&gt;=145),"10."&amp;Eingabe!$D$10&amp;".145.0/24","")</f>
        <v/>
      </c>
      <c r="G355" s="17" t="str">
        <f aca="false">IF(AND(Eingabe!$F$10&gt;0,Eingabe!$E$10&gt;=145),"10."&amp;Eingabe!$D$10&amp;".145.1","")</f>
        <v/>
      </c>
      <c r="H355" s="17" t="str">
        <f aca="false">IF(AND(Eingabe!$F$10&gt;0,Eingabe!$E$10&gt;=145),"10."&amp;Eingabe!$D$10&amp;".145.10 – 10."&amp;Eingabe!$D$10&amp;".145.250","")</f>
        <v/>
      </c>
      <c r="I355" s="17" t="str">
        <f aca="false">IF(AND(Eingabe!$F$10&gt;0,Eingabe!$E$10&gt;=145),Eingabe!$B$6&amp;"-"&amp;Eingabe!$C$10&amp;"-Pächter","")</f>
        <v/>
      </c>
      <c r="J355" s="17" t="str">
        <f aca="false">IF(AND(Eingabe!$F$10&gt;0,Eingabe!$E$10&gt;=145),"PPSK: Passwort Parzelle 145","")</f>
        <v/>
      </c>
      <c r="K355" s="17" t="str">
        <f aca="false">IF(AND(Eingabe!$F$10&gt;0,Eingabe!$E$10&gt;=145),"1. Gerät: 10."&amp;Eingabe!$D$10&amp;".145.10, 2. Gerät: .11","")</f>
        <v/>
      </c>
    </row>
    <row r="356" customFormat="false" ht="15" hidden="false" customHeight="false" outlineLevel="0" collapsed="false">
      <c r="A356" s="17" t="str">
        <f aca="false">IF(AND(Eingabe!$F$10&gt;0,Eingabe!$E$10&gt;=146),2,"")</f>
        <v/>
      </c>
      <c r="B356" s="17" t="str">
        <f aca="false">IF(AND(Eingabe!$F$10&gt;0,Eingabe!$E$10&gt;=146),Eingabe!$B$10,"")</f>
        <v/>
      </c>
      <c r="C356" s="17" t="str">
        <f aca="false">IF(AND(Eingabe!$F$10&gt;0,Eingabe!$E$10&gt;=146),Eingabe!$C$10&amp;"-Paz."&amp;TEXT(146,"000"),"")</f>
        <v/>
      </c>
      <c r="D356" s="17" t="str">
        <f aca="false">IF(AND(Eingabe!$F$10&gt;0,Eingabe!$E$10&gt;=146),146,"")</f>
        <v/>
      </c>
      <c r="E356" s="17" t="str">
        <f aca="false">IF(AND(Eingabe!$F$10&gt;0,Eingabe!$E$10&gt;=146),IF((Eingabe!$G$10+1)&lt;=9,1000+(Eingabe!$G$10+1)*100,3000)+46,"")</f>
        <v/>
      </c>
      <c r="F356" s="17" t="str">
        <f aca="false">IF(AND(Eingabe!$F$10&gt;0,Eingabe!$E$10&gt;=146),"10."&amp;Eingabe!$D$10&amp;".146.0/24","")</f>
        <v/>
      </c>
      <c r="G356" s="17" t="str">
        <f aca="false">IF(AND(Eingabe!$F$10&gt;0,Eingabe!$E$10&gt;=146),"10."&amp;Eingabe!$D$10&amp;".146.1","")</f>
        <v/>
      </c>
      <c r="H356" s="17" t="str">
        <f aca="false">IF(AND(Eingabe!$F$10&gt;0,Eingabe!$E$10&gt;=146),"10."&amp;Eingabe!$D$10&amp;".146.10 – 10."&amp;Eingabe!$D$10&amp;".146.250","")</f>
        <v/>
      </c>
      <c r="I356" s="17" t="str">
        <f aca="false">IF(AND(Eingabe!$F$10&gt;0,Eingabe!$E$10&gt;=146),Eingabe!$B$6&amp;"-"&amp;Eingabe!$C$10&amp;"-Pächter","")</f>
        <v/>
      </c>
      <c r="J356" s="17" t="str">
        <f aca="false">IF(AND(Eingabe!$F$10&gt;0,Eingabe!$E$10&gt;=146),"PPSK: Passwort Parzelle 146","")</f>
        <v/>
      </c>
      <c r="K356" s="17" t="str">
        <f aca="false">IF(AND(Eingabe!$F$10&gt;0,Eingabe!$E$10&gt;=146),"1. Gerät: 10."&amp;Eingabe!$D$10&amp;".146.10, 2. Gerät: .11","")</f>
        <v/>
      </c>
    </row>
    <row r="357" customFormat="false" ht="15" hidden="false" customHeight="false" outlineLevel="0" collapsed="false">
      <c r="A357" s="17" t="str">
        <f aca="false">IF(AND(Eingabe!$F$10&gt;0,Eingabe!$E$10&gt;=147),2,"")</f>
        <v/>
      </c>
      <c r="B357" s="17" t="str">
        <f aca="false">IF(AND(Eingabe!$F$10&gt;0,Eingabe!$E$10&gt;=147),Eingabe!$B$10,"")</f>
        <v/>
      </c>
      <c r="C357" s="17" t="str">
        <f aca="false">IF(AND(Eingabe!$F$10&gt;0,Eingabe!$E$10&gt;=147),Eingabe!$C$10&amp;"-Paz."&amp;TEXT(147,"000"),"")</f>
        <v/>
      </c>
      <c r="D357" s="17" t="str">
        <f aca="false">IF(AND(Eingabe!$F$10&gt;0,Eingabe!$E$10&gt;=147),147,"")</f>
        <v/>
      </c>
      <c r="E357" s="17" t="str">
        <f aca="false">IF(AND(Eingabe!$F$10&gt;0,Eingabe!$E$10&gt;=147),IF((Eingabe!$G$10+1)&lt;=9,1000+(Eingabe!$G$10+1)*100,3000)+47,"")</f>
        <v/>
      </c>
      <c r="F357" s="17" t="str">
        <f aca="false">IF(AND(Eingabe!$F$10&gt;0,Eingabe!$E$10&gt;=147),"10."&amp;Eingabe!$D$10&amp;".147.0/24","")</f>
        <v/>
      </c>
      <c r="G357" s="17" t="str">
        <f aca="false">IF(AND(Eingabe!$F$10&gt;0,Eingabe!$E$10&gt;=147),"10."&amp;Eingabe!$D$10&amp;".147.1","")</f>
        <v/>
      </c>
      <c r="H357" s="17" t="str">
        <f aca="false">IF(AND(Eingabe!$F$10&gt;0,Eingabe!$E$10&gt;=147),"10."&amp;Eingabe!$D$10&amp;".147.10 – 10."&amp;Eingabe!$D$10&amp;".147.250","")</f>
        <v/>
      </c>
      <c r="I357" s="17" t="str">
        <f aca="false">IF(AND(Eingabe!$F$10&gt;0,Eingabe!$E$10&gt;=147),Eingabe!$B$6&amp;"-"&amp;Eingabe!$C$10&amp;"-Pächter","")</f>
        <v/>
      </c>
      <c r="J357" s="17" t="str">
        <f aca="false">IF(AND(Eingabe!$F$10&gt;0,Eingabe!$E$10&gt;=147),"PPSK: Passwort Parzelle 147","")</f>
        <v/>
      </c>
      <c r="K357" s="17" t="str">
        <f aca="false">IF(AND(Eingabe!$F$10&gt;0,Eingabe!$E$10&gt;=147),"1. Gerät: 10."&amp;Eingabe!$D$10&amp;".147.10, 2. Gerät: .11","")</f>
        <v/>
      </c>
    </row>
    <row r="358" customFormat="false" ht="15" hidden="false" customHeight="false" outlineLevel="0" collapsed="false">
      <c r="A358" s="17" t="str">
        <f aca="false">IF(AND(Eingabe!$F$10&gt;0,Eingabe!$E$10&gt;=148),2,"")</f>
        <v/>
      </c>
      <c r="B358" s="17" t="str">
        <f aca="false">IF(AND(Eingabe!$F$10&gt;0,Eingabe!$E$10&gt;=148),Eingabe!$B$10,"")</f>
        <v/>
      </c>
      <c r="C358" s="17" t="str">
        <f aca="false">IF(AND(Eingabe!$F$10&gt;0,Eingabe!$E$10&gt;=148),Eingabe!$C$10&amp;"-Paz."&amp;TEXT(148,"000"),"")</f>
        <v/>
      </c>
      <c r="D358" s="17" t="str">
        <f aca="false">IF(AND(Eingabe!$F$10&gt;0,Eingabe!$E$10&gt;=148),148,"")</f>
        <v/>
      </c>
      <c r="E358" s="17" t="str">
        <f aca="false">IF(AND(Eingabe!$F$10&gt;0,Eingabe!$E$10&gt;=148),IF((Eingabe!$G$10+1)&lt;=9,1000+(Eingabe!$G$10+1)*100,3000)+48,"")</f>
        <v/>
      </c>
      <c r="F358" s="17" t="str">
        <f aca="false">IF(AND(Eingabe!$F$10&gt;0,Eingabe!$E$10&gt;=148),"10."&amp;Eingabe!$D$10&amp;".148.0/24","")</f>
        <v/>
      </c>
      <c r="G358" s="17" t="str">
        <f aca="false">IF(AND(Eingabe!$F$10&gt;0,Eingabe!$E$10&gt;=148),"10."&amp;Eingabe!$D$10&amp;".148.1","")</f>
        <v/>
      </c>
      <c r="H358" s="17" t="str">
        <f aca="false">IF(AND(Eingabe!$F$10&gt;0,Eingabe!$E$10&gt;=148),"10."&amp;Eingabe!$D$10&amp;".148.10 – 10."&amp;Eingabe!$D$10&amp;".148.250","")</f>
        <v/>
      </c>
      <c r="I358" s="17" t="str">
        <f aca="false">IF(AND(Eingabe!$F$10&gt;0,Eingabe!$E$10&gt;=148),Eingabe!$B$6&amp;"-"&amp;Eingabe!$C$10&amp;"-Pächter","")</f>
        <v/>
      </c>
      <c r="J358" s="17" t="str">
        <f aca="false">IF(AND(Eingabe!$F$10&gt;0,Eingabe!$E$10&gt;=148),"PPSK: Passwort Parzelle 148","")</f>
        <v/>
      </c>
      <c r="K358" s="17" t="str">
        <f aca="false">IF(AND(Eingabe!$F$10&gt;0,Eingabe!$E$10&gt;=148),"1. Gerät: 10."&amp;Eingabe!$D$10&amp;".148.10, 2. Gerät: .11","")</f>
        <v/>
      </c>
    </row>
    <row r="359" customFormat="false" ht="15" hidden="false" customHeight="false" outlineLevel="0" collapsed="false">
      <c r="A359" s="17" t="str">
        <f aca="false">IF(AND(Eingabe!$F$10&gt;0,Eingabe!$E$10&gt;=149),2,"")</f>
        <v/>
      </c>
      <c r="B359" s="17" t="str">
        <f aca="false">IF(AND(Eingabe!$F$10&gt;0,Eingabe!$E$10&gt;=149),Eingabe!$B$10,"")</f>
        <v/>
      </c>
      <c r="C359" s="17" t="str">
        <f aca="false">IF(AND(Eingabe!$F$10&gt;0,Eingabe!$E$10&gt;=149),Eingabe!$C$10&amp;"-Paz."&amp;TEXT(149,"000"),"")</f>
        <v/>
      </c>
      <c r="D359" s="17" t="str">
        <f aca="false">IF(AND(Eingabe!$F$10&gt;0,Eingabe!$E$10&gt;=149),149,"")</f>
        <v/>
      </c>
      <c r="E359" s="17" t="str">
        <f aca="false">IF(AND(Eingabe!$F$10&gt;0,Eingabe!$E$10&gt;=149),IF((Eingabe!$G$10+1)&lt;=9,1000+(Eingabe!$G$10+1)*100,3000)+49,"")</f>
        <v/>
      </c>
      <c r="F359" s="17" t="str">
        <f aca="false">IF(AND(Eingabe!$F$10&gt;0,Eingabe!$E$10&gt;=149),"10."&amp;Eingabe!$D$10&amp;".149.0/24","")</f>
        <v/>
      </c>
      <c r="G359" s="17" t="str">
        <f aca="false">IF(AND(Eingabe!$F$10&gt;0,Eingabe!$E$10&gt;=149),"10."&amp;Eingabe!$D$10&amp;".149.1","")</f>
        <v/>
      </c>
      <c r="H359" s="17" t="str">
        <f aca="false">IF(AND(Eingabe!$F$10&gt;0,Eingabe!$E$10&gt;=149),"10."&amp;Eingabe!$D$10&amp;".149.10 – 10."&amp;Eingabe!$D$10&amp;".149.250","")</f>
        <v/>
      </c>
      <c r="I359" s="17" t="str">
        <f aca="false">IF(AND(Eingabe!$F$10&gt;0,Eingabe!$E$10&gt;=149),Eingabe!$B$6&amp;"-"&amp;Eingabe!$C$10&amp;"-Pächter","")</f>
        <v/>
      </c>
      <c r="J359" s="17" t="str">
        <f aca="false">IF(AND(Eingabe!$F$10&gt;0,Eingabe!$E$10&gt;=149),"PPSK: Passwort Parzelle 149","")</f>
        <v/>
      </c>
      <c r="K359" s="17" t="str">
        <f aca="false">IF(AND(Eingabe!$F$10&gt;0,Eingabe!$E$10&gt;=149),"1. Gerät: 10."&amp;Eingabe!$D$10&amp;".149.10, 2. Gerät: .11","")</f>
        <v/>
      </c>
    </row>
    <row r="360" customFormat="false" ht="15" hidden="false" customHeight="false" outlineLevel="0" collapsed="false">
      <c r="A360" s="17" t="str">
        <f aca="false">IF(AND(Eingabe!$F$10&gt;0,Eingabe!$E$10&gt;=150),2,"")</f>
        <v/>
      </c>
      <c r="B360" s="17" t="str">
        <f aca="false">IF(AND(Eingabe!$F$10&gt;0,Eingabe!$E$10&gt;=150),Eingabe!$B$10,"")</f>
        <v/>
      </c>
      <c r="C360" s="17" t="str">
        <f aca="false">IF(AND(Eingabe!$F$10&gt;0,Eingabe!$E$10&gt;=150),Eingabe!$C$10&amp;"-Paz."&amp;TEXT(150,"000"),"")</f>
        <v/>
      </c>
      <c r="D360" s="17" t="str">
        <f aca="false">IF(AND(Eingabe!$F$10&gt;0,Eingabe!$E$10&gt;=150),150,"")</f>
        <v/>
      </c>
      <c r="E360" s="17" t="str">
        <f aca="false">IF(AND(Eingabe!$F$10&gt;0,Eingabe!$E$10&gt;=150),IF((Eingabe!$G$10+1)&lt;=9,1000+(Eingabe!$G$10+1)*100,3000)+50,"")</f>
        <v/>
      </c>
      <c r="F360" s="17" t="str">
        <f aca="false">IF(AND(Eingabe!$F$10&gt;0,Eingabe!$E$10&gt;=150),"10."&amp;Eingabe!$D$10&amp;".150.0/24","")</f>
        <v/>
      </c>
      <c r="G360" s="17" t="str">
        <f aca="false">IF(AND(Eingabe!$F$10&gt;0,Eingabe!$E$10&gt;=150),"10."&amp;Eingabe!$D$10&amp;".150.1","")</f>
        <v/>
      </c>
      <c r="H360" s="17" t="str">
        <f aca="false">IF(AND(Eingabe!$F$10&gt;0,Eingabe!$E$10&gt;=150),"10."&amp;Eingabe!$D$10&amp;".150.10 – 10."&amp;Eingabe!$D$10&amp;".150.250","")</f>
        <v/>
      </c>
      <c r="I360" s="17" t="str">
        <f aca="false">IF(AND(Eingabe!$F$10&gt;0,Eingabe!$E$10&gt;=150),Eingabe!$B$6&amp;"-"&amp;Eingabe!$C$10&amp;"-Pächter","")</f>
        <v/>
      </c>
      <c r="J360" s="17" t="str">
        <f aca="false">IF(AND(Eingabe!$F$10&gt;0,Eingabe!$E$10&gt;=150),"PPSK: Passwort Parzelle 150","")</f>
        <v/>
      </c>
      <c r="K360" s="17" t="str">
        <f aca="false">IF(AND(Eingabe!$F$10&gt;0,Eingabe!$E$10&gt;=150),"1. Gerät: 10."&amp;Eingabe!$D$10&amp;".150.10, 2. Gerät: .11","")</f>
        <v/>
      </c>
    </row>
    <row r="361" customFormat="false" ht="15" hidden="false" customHeight="false" outlineLevel="0" collapsed="false">
      <c r="A361" s="17" t="str">
        <f aca="false">IF(AND(Eingabe!$F$10&gt;0,Eingabe!$E$10&gt;=151),2,"")</f>
        <v/>
      </c>
      <c r="B361" s="17" t="str">
        <f aca="false">IF(AND(Eingabe!$F$10&gt;0,Eingabe!$E$10&gt;=151),Eingabe!$B$10,"")</f>
        <v/>
      </c>
      <c r="C361" s="17" t="str">
        <f aca="false">IF(AND(Eingabe!$F$10&gt;0,Eingabe!$E$10&gt;=151),Eingabe!$C$10&amp;"-Paz."&amp;TEXT(151,"000"),"")</f>
        <v/>
      </c>
      <c r="D361" s="17" t="str">
        <f aca="false">IF(AND(Eingabe!$F$10&gt;0,Eingabe!$E$10&gt;=151),151,"")</f>
        <v/>
      </c>
      <c r="E361" s="17" t="str">
        <f aca="false">IF(AND(Eingabe!$F$10&gt;0,Eingabe!$E$10&gt;=151),IF((Eingabe!$G$10+1)&lt;=9,1000+(Eingabe!$G$10+1)*100,3000)+51,"")</f>
        <v/>
      </c>
      <c r="F361" s="17" t="str">
        <f aca="false">IF(AND(Eingabe!$F$10&gt;0,Eingabe!$E$10&gt;=151),"10."&amp;Eingabe!$D$10&amp;".151.0/24","")</f>
        <v/>
      </c>
      <c r="G361" s="17" t="str">
        <f aca="false">IF(AND(Eingabe!$F$10&gt;0,Eingabe!$E$10&gt;=151),"10."&amp;Eingabe!$D$10&amp;".151.1","")</f>
        <v/>
      </c>
      <c r="H361" s="17" t="str">
        <f aca="false">IF(AND(Eingabe!$F$10&gt;0,Eingabe!$E$10&gt;=151),"10."&amp;Eingabe!$D$10&amp;".151.10 – 10."&amp;Eingabe!$D$10&amp;".151.250","")</f>
        <v/>
      </c>
      <c r="I361" s="17" t="str">
        <f aca="false">IF(AND(Eingabe!$F$10&gt;0,Eingabe!$E$10&gt;=151),Eingabe!$B$6&amp;"-"&amp;Eingabe!$C$10&amp;"-Pächter","")</f>
        <v/>
      </c>
      <c r="J361" s="17" t="str">
        <f aca="false">IF(AND(Eingabe!$F$10&gt;0,Eingabe!$E$10&gt;=151),"PPSK: Passwort Parzelle 151","")</f>
        <v/>
      </c>
      <c r="K361" s="17" t="str">
        <f aca="false">IF(AND(Eingabe!$F$10&gt;0,Eingabe!$E$10&gt;=151),"1. Gerät: 10."&amp;Eingabe!$D$10&amp;".151.10, 2. Gerät: .11","")</f>
        <v/>
      </c>
    </row>
    <row r="362" customFormat="false" ht="15" hidden="false" customHeight="false" outlineLevel="0" collapsed="false">
      <c r="A362" s="17" t="str">
        <f aca="false">IF(AND(Eingabe!$F$10&gt;0,Eingabe!$E$10&gt;=152),2,"")</f>
        <v/>
      </c>
      <c r="B362" s="17" t="str">
        <f aca="false">IF(AND(Eingabe!$F$10&gt;0,Eingabe!$E$10&gt;=152),Eingabe!$B$10,"")</f>
        <v/>
      </c>
      <c r="C362" s="17" t="str">
        <f aca="false">IF(AND(Eingabe!$F$10&gt;0,Eingabe!$E$10&gt;=152),Eingabe!$C$10&amp;"-Paz."&amp;TEXT(152,"000"),"")</f>
        <v/>
      </c>
      <c r="D362" s="17" t="str">
        <f aca="false">IF(AND(Eingabe!$F$10&gt;0,Eingabe!$E$10&gt;=152),152,"")</f>
        <v/>
      </c>
      <c r="E362" s="17" t="str">
        <f aca="false">IF(AND(Eingabe!$F$10&gt;0,Eingabe!$E$10&gt;=152),IF((Eingabe!$G$10+1)&lt;=9,1000+(Eingabe!$G$10+1)*100,3000)+52,"")</f>
        <v/>
      </c>
      <c r="F362" s="17" t="str">
        <f aca="false">IF(AND(Eingabe!$F$10&gt;0,Eingabe!$E$10&gt;=152),"10."&amp;Eingabe!$D$10&amp;".152.0/24","")</f>
        <v/>
      </c>
      <c r="G362" s="17" t="str">
        <f aca="false">IF(AND(Eingabe!$F$10&gt;0,Eingabe!$E$10&gt;=152),"10."&amp;Eingabe!$D$10&amp;".152.1","")</f>
        <v/>
      </c>
      <c r="H362" s="17" t="str">
        <f aca="false">IF(AND(Eingabe!$F$10&gt;0,Eingabe!$E$10&gt;=152),"10."&amp;Eingabe!$D$10&amp;".152.10 – 10."&amp;Eingabe!$D$10&amp;".152.250","")</f>
        <v/>
      </c>
      <c r="I362" s="17" t="str">
        <f aca="false">IF(AND(Eingabe!$F$10&gt;0,Eingabe!$E$10&gt;=152),Eingabe!$B$6&amp;"-"&amp;Eingabe!$C$10&amp;"-Pächter","")</f>
        <v/>
      </c>
      <c r="J362" s="17" t="str">
        <f aca="false">IF(AND(Eingabe!$F$10&gt;0,Eingabe!$E$10&gt;=152),"PPSK: Passwort Parzelle 152","")</f>
        <v/>
      </c>
      <c r="K362" s="17" t="str">
        <f aca="false">IF(AND(Eingabe!$F$10&gt;0,Eingabe!$E$10&gt;=152),"1. Gerät: 10."&amp;Eingabe!$D$10&amp;".152.10, 2. Gerät: .11","")</f>
        <v/>
      </c>
    </row>
    <row r="363" customFormat="false" ht="15" hidden="false" customHeight="false" outlineLevel="0" collapsed="false">
      <c r="A363" s="17" t="str">
        <f aca="false">IF(AND(Eingabe!$F$10&gt;0,Eingabe!$E$10&gt;=153),2,"")</f>
        <v/>
      </c>
      <c r="B363" s="17" t="str">
        <f aca="false">IF(AND(Eingabe!$F$10&gt;0,Eingabe!$E$10&gt;=153),Eingabe!$B$10,"")</f>
        <v/>
      </c>
      <c r="C363" s="17" t="str">
        <f aca="false">IF(AND(Eingabe!$F$10&gt;0,Eingabe!$E$10&gt;=153),Eingabe!$C$10&amp;"-Paz."&amp;TEXT(153,"000"),"")</f>
        <v/>
      </c>
      <c r="D363" s="17" t="str">
        <f aca="false">IF(AND(Eingabe!$F$10&gt;0,Eingabe!$E$10&gt;=153),153,"")</f>
        <v/>
      </c>
      <c r="E363" s="17" t="str">
        <f aca="false">IF(AND(Eingabe!$F$10&gt;0,Eingabe!$E$10&gt;=153),IF((Eingabe!$G$10+1)&lt;=9,1000+(Eingabe!$G$10+1)*100,3000)+53,"")</f>
        <v/>
      </c>
      <c r="F363" s="17" t="str">
        <f aca="false">IF(AND(Eingabe!$F$10&gt;0,Eingabe!$E$10&gt;=153),"10."&amp;Eingabe!$D$10&amp;".153.0/24","")</f>
        <v/>
      </c>
      <c r="G363" s="17" t="str">
        <f aca="false">IF(AND(Eingabe!$F$10&gt;0,Eingabe!$E$10&gt;=153),"10."&amp;Eingabe!$D$10&amp;".153.1","")</f>
        <v/>
      </c>
      <c r="H363" s="17" t="str">
        <f aca="false">IF(AND(Eingabe!$F$10&gt;0,Eingabe!$E$10&gt;=153),"10."&amp;Eingabe!$D$10&amp;".153.10 – 10."&amp;Eingabe!$D$10&amp;".153.250","")</f>
        <v/>
      </c>
      <c r="I363" s="17" t="str">
        <f aca="false">IF(AND(Eingabe!$F$10&gt;0,Eingabe!$E$10&gt;=153),Eingabe!$B$6&amp;"-"&amp;Eingabe!$C$10&amp;"-Pächter","")</f>
        <v/>
      </c>
      <c r="J363" s="17" t="str">
        <f aca="false">IF(AND(Eingabe!$F$10&gt;0,Eingabe!$E$10&gt;=153),"PPSK: Passwort Parzelle 153","")</f>
        <v/>
      </c>
      <c r="K363" s="17" t="str">
        <f aca="false">IF(AND(Eingabe!$F$10&gt;0,Eingabe!$E$10&gt;=153),"1. Gerät: 10."&amp;Eingabe!$D$10&amp;".153.10, 2. Gerät: .11","")</f>
        <v/>
      </c>
    </row>
    <row r="364" customFormat="false" ht="15" hidden="false" customHeight="false" outlineLevel="0" collapsed="false">
      <c r="A364" s="17" t="str">
        <f aca="false">IF(AND(Eingabe!$F$10&gt;0,Eingabe!$E$10&gt;=154),2,"")</f>
        <v/>
      </c>
      <c r="B364" s="17" t="str">
        <f aca="false">IF(AND(Eingabe!$F$10&gt;0,Eingabe!$E$10&gt;=154),Eingabe!$B$10,"")</f>
        <v/>
      </c>
      <c r="C364" s="17" t="str">
        <f aca="false">IF(AND(Eingabe!$F$10&gt;0,Eingabe!$E$10&gt;=154),Eingabe!$C$10&amp;"-Paz."&amp;TEXT(154,"000"),"")</f>
        <v/>
      </c>
      <c r="D364" s="17" t="str">
        <f aca="false">IF(AND(Eingabe!$F$10&gt;0,Eingabe!$E$10&gt;=154),154,"")</f>
        <v/>
      </c>
      <c r="E364" s="17" t="str">
        <f aca="false">IF(AND(Eingabe!$F$10&gt;0,Eingabe!$E$10&gt;=154),IF((Eingabe!$G$10+1)&lt;=9,1000+(Eingabe!$G$10+1)*100,3000)+54,"")</f>
        <v/>
      </c>
      <c r="F364" s="17" t="str">
        <f aca="false">IF(AND(Eingabe!$F$10&gt;0,Eingabe!$E$10&gt;=154),"10."&amp;Eingabe!$D$10&amp;".154.0/24","")</f>
        <v/>
      </c>
      <c r="G364" s="17" t="str">
        <f aca="false">IF(AND(Eingabe!$F$10&gt;0,Eingabe!$E$10&gt;=154),"10."&amp;Eingabe!$D$10&amp;".154.1","")</f>
        <v/>
      </c>
      <c r="H364" s="17" t="str">
        <f aca="false">IF(AND(Eingabe!$F$10&gt;0,Eingabe!$E$10&gt;=154),"10."&amp;Eingabe!$D$10&amp;".154.10 – 10."&amp;Eingabe!$D$10&amp;".154.250","")</f>
        <v/>
      </c>
      <c r="I364" s="17" t="str">
        <f aca="false">IF(AND(Eingabe!$F$10&gt;0,Eingabe!$E$10&gt;=154),Eingabe!$B$6&amp;"-"&amp;Eingabe!$C$10&amp;"-Pächter","")</f>
        <v/>
      </c>
      <c r="J364" s="17" t="str">
        <f aca="false">IF(AND(Eingabe!$F$10&gt;0,Eingabe!$E$10&gt;=154),"PPSK: Passwort Parzelle 154","")</f>
        <v/>
      </c>
      <c r="K364" s="17" t="str">
        <f aca="false">IF(AND(Eingabe!$F$10&gt;0,Eingabe!$E$10&gt;=154),"1. Gerät: 10."&amp;Eingabe!$D$10&amp;".154.10, 2. Gerät: .11","")</f>
        <v/>
      </c>
    </row>
    <row r="365" customFormat="false" ht="15" hidden="false" customHeight="false" outlineLevel="0" collapsed="false">
      <c r="A365" s="17" t="str">
        <f aca="false">IF(AND(Eingabe!$F$10&gt;0,Eingabe!$E$10&gt;=155),2,"")</f>
        <v/>
      </c>
      <c r="B365" s="17" t="str">
        <f aca="false">IF(AND(Eingabe!$F$10&gt;0,Eingabe!$E$10&gt;=155),Eingabe!$B$10,"")</f>
        <v/>
      </c>
      <c r="C365" s="17" t="str">
        <f aca="false">IF(AND(Eingabe!$F$10&gt;0,Eingabe!$E$10&gt;=155),Eingabe!$C$10&amp;"-Paz."&amp;TEXT(155,"000"),"")</f>
        <v/>
      </c>
      <c r="D365" s="17" t="str">
        <f aca="false">IF(AND(Eingabe!$F$10&gt;0,Eingabe!$E$10&gt;=155),155,"")</f>
        <v/>
      </c>
      <c r="E365" s="17" t="str">
        <f aca="false">IF(AND(Eingabe!$F$10&gt;0,Eingabe!$E$10&gt;=155),IF((Eingabe!$G$10+1)&lt;=9,1000+(Eingabe!$G$10+1)*100,3000)+55,"")</f>
        <v/>
      </c>
      <c r="F365" s="17" t="str">
        <f aca="false">IF(AND(Eingabe!$F$10&gt;0,Eingabe!$E$10&gt;=155),"10."&amp;Eingabe!$D$10&amp;".155.0/24","")</f>
        <v/>
      </c>
      <c r="G365" s="17" t="str">
        <f aca="false">IF(AND(Eingabe!$F$10&gt;0,Eingabe!$E$10&gt;=155),"10."&amp;Eingabe!$D$10&amp;".155.1","")</f>
        <v/>
      </c>
      <c r="H365" s="17" t="str">
        <f aca="false">IF(AND(Eingabe!$F$10&gt;0,Eingabe!$E$10&gt;=155),"10."&amp;Eingabe!$D$10&amp;".155.10 – 10."&amp;Eingabe!$D$10&amp;".155.250","")</f>
        <v/>
      </c>
      <c r="I365" s="17" t="str">
        <f aca="false">IF(AND(Eingabe!$F$10&gt;0,Eingabe!$E$10&gt;=155),Eingabe!$B$6&amp;"-"&amp;Eingabe!$C$10&amp;"-Pächter","")</f>
        <v/>
      </c>
      <c r="J365" s="17" t="str">
        <f aca="false">IF(AND(Eingabe!$F$10&gt;0,Eingabe!$E$10&gt;=155),"PPSK: Passwort Parzelle 155","")</f>
        <v/>
      </c>
      <c r="K365" s="17" t="str">
        <f aca="false">IF(AND(Eingabe!$F$10&gt;0,Eingabe!$E$10&gt;=155),"1. Gerät: 10."&amp;Eingabe!$D$10&amp;".155.10, 2. Gerät: .11","")</f>
        <v/>
      </c>
    </row>
    <row r="366" customFormat="false" ht="15" hidden="false" customHeight="false" outlineLevel="0" collapsed="false">
      <c r="A366" s="17" t="str">
        <f aca="false">IF(AND(Eingabe!$F$10&gt;0,Eingabe!$E$10&gt;=156),2,"")</f>
        <v/>
      </c>
      <c r="B366" s="17" t="str">
        <f aca="false">IF(AND(Eingabe!$F$10&gt;0,Eingabe!$E$10&gt;=156),Eingabe!$B$10,"")</f>
        <v/>
      </c>
      <c r="C366" s="17" t="str">
        <f aca="false">IF(AND(Eingabe!$F$10&gt;0,Eingabe!$E$10&gt;=156),Eingabe!$C$10&amp;"-Paz."&amp;TEXT(156,"000"),"")</f>
        <v/>
      </c>
      <c r="D366" s="17" t="str">
        <f aca="false">IF(AND(Eingabe!$F$10&gt;0,Eingabe!$E$10&gt;=156),156,"")</f>
        <v/>
      </c>
      <c r="E366" s="17" t="str">
        <f aca="false">IF(AND(Eingabe!$F$10&gt;0,Eingabe!$E$10&gt;=156),IF((Eingabe!$G$10+1)&lt;=9,1000+(Eingabe!$G$10+1)*100,3000)+56,"")</f>
        <v/>
      </c>
      <c r="F366" s="17" t="str">
        <f aca="false">IF(AND(Eingabe!$F$10&gt;0,Eingabe!$E$10&gt;=156),"10."&amp;Eingabe!$D$10&amp;".156.0/24","")</f>
        <v/>
      </c>
      <c r="G366" s="17" t="str">
        <f aca="false">IF(AND(Eingabe!$F$10&gt;0,Eingabe!$E$10&gt;=156),"10."&amp;Eingabe!$D$10&amp;".156.1","")</f>
        <v/>
      </c>
      <c r="H366" s="17" t="str">
        <f aca="false">IF(AND(Eingabe!$F$10&gt;0,Eingabe!$E$10&gt;=156),"10."&amp;Eingabe!$D$10&amp;".156.10 – 10."&amp;Eingabe!$D$10&amp;".156.250","")</f>
        <v/>
      </c>
      <c r="I366" s="17" t="str">
        <f aca="false">IF(AND(Eingabe!$F$10&gt;0,Eingabe!$E$10&gt;=156),Eingabe!$B$6&amp;"-"&amp;Eingabe!$C$10&amp;"-Pächter","")</f>
        <v/>
      </c>
      <c r="J366" s="17" t="str">
        <f aca="false">IF(AND(Eingabe!$F$10&gt;0,Eingabe!$E$10&gt;=156),"PPSK: Passwort Parzelle 156","")</f>
        <v/>
      </c>
      <c r="K366" s="17" t="str">
        <f aca="false">IF(AND(Eingabe!$F$10&gt;0,Eingabe!$E$10&gt;=156),"1. Gerät: 10."&amp;Eingabe!$D$10&amp;".156.10, 2. Gerät: .11","")</f>
        <v/>
      </c>
    </row>
    <row r="367" customFormat="false" ht="15" hidden="false" customHeight="false" outlineLevel="0" collapsed="false">
      <c r="A367" s="17" t="str">
        <f aca="false">IF(AND(Eingabe!$F$10&gt;0,Eingabe!$E$10&gt;=157),2,"")</f>
        <v/>
      </c>
      <c r="B367" s="17" t="str">
        <f aca="false">IF(AND(Eingabe!$F$10&gt;0,Eingabe!$E$10&gt;=157),Eingabe!$B$10,"")</f>
        <v/>
      </c>
      <c r="C367" s="17" t="str">
        <f aca="false">IF(AND(Eingabe!$F$10&gt;0,Eingabe!$E$10&gt;=157),Eingabe!$C$10&amp;"-Paz."&amp;TEXT(157,"000"),"")</f>
        <v/>
      </c>
      <c r="D367" s="17" t="str">
        <f aca="false">IF(AND(Eingabe!$F$10&gt;0,Eingabe!$E$10&gt;=157),157,"")</f>
        <v/>
      </c>
      <c r="E367" s="17" t="str">
        <f aca="false">IF(AND(Eingabe!$F$10&gt;0,Eingabe!$E$10&gt;=157),IF((Eingabe!$G$10+1)&lt;=9,1000+(Eingabe!$G$10+1)*100,3000)+57,"")</f>
        <v/>
      </c>
      <c r="F367" s="17" t="str">
        <f aca="false">IF(AND(Eingabe!$F$10&gt;0,Eingabe!$E$10&gt;=157),"10."&amp;Eingabe!$D$10&amp;".157.0/24","")</f>
        <v/>
      </c>
      <c r="G367" s="17" t="str">
        <f aca="false">IF(AND(Eingabe!$F$10&gt;0,Eingabe!$E$10&gt;=157),"10."&amp;Eingabe!$D$10&amp;".157.1","")</f>
        <v/>
      </c>
      <c r="H367" s="17" t="str">
        <f aca="false">IF(AND(Eingabe!$F$10&gt;0,Eingabe!$E$10&gt;=157),"10."&amp;Eingabe!$D$10&amp;".157.10 – 10."&amp;Eingabe!$D$10&amp;".157.250","")</f>
        <v/>
      </c>
      <c r="I367" s="17" t="str">
        <f aca="false">IF(AND(Eingabe!$F$10&gt;0,Eingabe!$E$10&gt;=157),Eingabe!$B$6&amp;"-"&amp;Eingabe!$C$10&amp;"-Pächter","")</f>
        <v/>
      </c>
      <c r="J367" s="17" t="str">
        <f aca="false">IF(AND(Eingabe!$F$10&gt;0,Eingabe!$E$10&gt;=157),"PPSK: Passwort Parzelle 157","")</f>
        <v/>
      </c>
      <c r="K367" s="17" t="str">
        <f aca="false">IF(AND(Eingabe!$F$10&gt;0,Eingabe!$E$10&gt;=157),"1. Gerät: 10."&amp;Eingabe!$D$10&amp;".157.10, 2. Gerät: .11","")</f>
        <v/>
      </c>
    </row>
    <row r="368" customFormat="false" ht="15" hidden="false" customHeight="false" outlineLevel="0" collapsed="false">
      <c r="A368" s="17" t="str">
        <f aca="false">IF(AND(Eingabe!$F$10&gt;0,Eingabe!$E$10&gt;=158),2,"")</f>
        <v/>
      </c>
      <c r="B368" s="17" t="str">
        <f aca="false">IF(AND(Eingabe!$F$10&gt;0,Eingabe!$E$10&gt;=158),Eingabe!$B$10,"")</f>
        <v/>
      </c>
      <c r="C368" s="17" t="str">
        <f aca="false">IF(AND(Eingabe!$F$10&gt;0,Eingabe!$E$10&gt;=158),Eingabe!$C$10&amp;"-Paz."&amp;TEXT(158,"000"),"")</f>
        <v/>
      </c>
      <c r="D368" s="17" t="str">
        <f aca="false">IF(AND(Eingabe!$F$10&gt;0,Eingabe!$E$10&gt;=158),158,"")</f>
        <v/>
      </c>
      <c r="E368" s="17" t="str">
        <f aca="false">IF(AND(Eingabe!$F$10&gt;0,Eingabe!$E$10&gt;=158),IF((Eingabe!$G$10+1)&lt;=9,1000+(Eingabe!$G$10+1)*100,3000)+58,"")</f>
        <v/>
      </c>
      <c r="F368" s="17" t="str">
        <f aca="false">IF(AND(Eingabe!$F$10&gt;0,Eingabe!$E$10&gt;=158),"10."&amp;Eingabe!$D$10&amp;".158.0/24","")</f>
        <v/>
      </c>
      <c r="G368" s="17" t="str">
        <f aca="false">IF(AND(Eingabe!$F$10&gt;0,Eingabe!$E$10&gt;=158),"10."&amp;Eingabe!$D$10&amp;".158.1","")</f>
        <v/>
      </c>
      <c r="H368" s="17" t="str">
        <f aca="false">IF(AND(Eingabe!$F$10&gt;0,Eingabe!$E$10&gt;=158),"10."&amp;Eingabe!$D$10&amp;".158.10 – 10."&amp;Eingabe!$D$10&amp;".158.250","")</f>
        <v/>
      </c>
      <c r="I368" s="17" t="str">
        <f aca="false">IF(AND(Eingabe!$F$10&gt;0,Eingabe!$E$10&gt;=158),Eingabe!$B$6&amp;"-"&amp;Eingabe!$C$10&amp;"-Pächter","")</f>
        <v/>
      </c>
      <c r="J368" s="17" t="str">
        <f aca="false">IF(AND(Eingabe!$F$10&gt;0,Eingabe!$E$10&gt;=158),"PPSK: Passwort Parzelle 158","")</f>
        <v/>
      </c>
      <c r="K368" s="17" t="str">
        <f aca="false">IF(AND(Eingabe!$F$10&gt;0,Eingabe!$E$10&gt;=158),"1. Gerät: 10."&amp;Eingabe!$D$10&amp;".158.10, 2. Gerät: .11","")</f>
        <v/>
      </c>
    </row>
    <row r="369" customFormat="false" ht="15" hidden="false" customHeight="false" outlineLevel="0" collapsed="false">
      <c r="A369" s="17" t="str">
        <f aca="false">IF(AND(Eingabe!$F$10&gt;0,Eingabe!$E$10&gt;=159),2,"")</f>
        <v/>
      </c>
      <c r="B369" s="17" t="str">
        <f aca="false">IF(AND(Eingabe!$F$10&gt;0,Eingabe!$E$10&gt;=159),Eingabe!$B$10,"")</f>
        <v/>
      </c>
      <c r="C369" s="17" t="str">
        <f aca="false">IF(AND(Eingabe!$F$10&gt;0,Eingabe!$E$10&gt;=159),Eingabe!$C$10&amp;"-Paz."&amp;TEXT(159,"000"),"")</f>
        <v/>
      </c>
      <c r="D369" s="17" t="str">
        <f aca="false">IF(AND(Eingabe!$F$10&gt;0,Eingabe!$E$10&gt;=159),159,"")</f>
        <v/>
      </c>
      <c r="E369" s="17" t="str">
        <f aca="false">IF(AND(Eingabe!$F$10&gt;0,Eingabe!$E$10&gt;=159),IF((Eingabe!$G$10+1)&lt;=9,1000+(Eingabe!$G$10+1)*100,3000)+59,"")</f>
        <v/>
      </c>
      <c r="F369" s="17" t="str">
        <f aca="false">IF(AND(Eingabe!$F$10&gt;0,Eingabe!$E$10&gt;=159),"10."&amp;Eingabe!$D$10&amp;".159.0/24","")</f>
        <v/>
      </c>
      <c r="G369" s="17" t="str">
        <f aca="false">IF(AND(Eingabe!$F$10&gt;0,Eingabe!$E$10&gt;=159),"10."&amp;Eingabe!$D$10&amp;".159.1","")</f>
        <v/>
      </c>
      <c r="H369" s="17" t="str">
        <f aca="false">IF(AND(Eingabe!$F$10&gt;0,Eingabe!$E$10&gt;=159),"10."&amp;Eingabe!$D$10&amp;".159.10 – 10."&amp;Eingabe!$D$10&amp;".159.250","")</f>
        <v/>
      </c>
      <c r="I369" s="17" t="str">
        <f aca="false">IF(AND(Eingabe!$F$10&gt;0,Eingabe!$E$10&gt;=159),Eingabe!$B$6&amp;"-"&amp;Eingabe!$C$10&amp;"-Pächter","")</f>
        <v/>
      </c>
      <c r="J369" s="17" t="str">
        <f aca="false">IF(AND(Eingabe!$F$10&gt;0,Eingabe!$E$10&gt;=159),"PPSK: Passwort Parzelle 159","")</f>
        <v/>
      </c>
      <c r="K369" s="17" t="str">
        <f aca="false">IF(AND(Eingabe!$F$10&gt;0,Eingabe!$E$10&gt;=159),"1. Gerät: 10."&amp;Eingabe!$D$10&amp;".159.10, 2. Gerät: .11","")</f>
        <v/>
      </c>
    </row>
    <row r="370" customFormat="false" ht="15" hidden="false" customHeight="false" outlineLevel="0" collapsed="false">
      <c r="A370" s="17" t="str">
        <f aca="false">IF(AND(Eingabe!$F$10&gt;0,Eingabe!$E$10&gt;=160),2,"")</f>
        <v/>
      </c>
      <c r="B370" s="17" t="str">
        <f aca="false">IF(AND(Eingabe!$F$10&gt;0,Eingabe!$E$10&gt;=160),Eingabe!$B$10,"")</f>
        <v/>
      </c>
      <c r="C370" s="17" t="str">
        <f aca="false">IF(AND(Eingabe!$F$10&gt;0,Eingabe!$E$10&gt;=160),Eingabe!$C$10&amp;"-Paz."&amp;TEXT(160,"000"),"")</f>
        <v/>
      </c>
      <c r="D370" s="17" t="str">
        <f aca="false">IF(AND(Eingabe!$F$10&gt;0,Eingabe!$E$10&gt;=160),160,"")</f>
        <v/>
      </c>
      <c r="E370" s="17" t="str">
        <f aca="false">IF(AND(Eingabe!$F$10&gt;0,Eingabe!$E$10&gt;=160),IF((Eingabe!$G$10+1)&lt;=9,1000+(Eingabe!$G$10+1)*100,3000)+60,"")</f>
        <v/>
      </c>
      <c r="F370" s="17" t="str">
        <f aca="false">IF(AND(Eingabe!$F$10&gt;0,Eingabe!$E$10&gt;=160),"10."&amp;Eingabe!$D$10&amp;".160.0/24","")</f>
        <v/>
      </c>
      <c r="G370" s="17" t="str">
        <f aca="false">IF(AND(Eingabe!$F$10&gt;0,Eingabe!$E$10&gt;=160),"10."&amp;Eingabe!$D$10&amp;".160.1","")</f>
        <v/>
      </c>
      <c r="H370" s="17" t="str">
        <f aca="false">IF(AND(Eingabe!$F$10&gt;0,Eingabe!$E$10&gt;=160),"10."&amp;Eingabe!$D$10&amp;".160.10 – 10."&amp;Eingabe!$D$10&amp;".160.250","")</f>
        <v/>
      </c>
      <c r="I370" s="17" t="str">
        <f aca="false">IF(AND(Eingabe!$F$10&gt;0,Eingabe!$E$10&gt;=160),Eingabe!$B$6&amp;"-"&amp;Eingabe!$C$10&amp;"-Pächter","")</f>
        <v/>
      </c>
      <c r="J370" s="17" t="str">
        <f aca="false">IF(AND(Eingabe!$F$10&gt;0,Eingabe!$E$10&gt;=160),"PPSK: Passwort Parzelle 160","")</f>
        <v/>
      </c>
      <c r="K370" s="17" t="str">
        <f aca="false">IF(AND(Eingabe!$F$10&gt;0,Eingabe!$E$10&gt;=160),"1. Gerät: 10."&amp;Eingabe!$D$10&amp;".160.10, 2. Gerät: .11","")</f>
        <v/>
      </c>
    </row>
    <row r="371" customFormat="false" ht="15" hidden="false" customHeight="false" outlineLevel="0" collapsed="false">
      <c r="A371" s="17" t="str">
        <f aca="false">IF(AND(Eingabe!$F$10&gt;0,Eingabe!$E$10&gt;=161),2,"")</f>
        <v/>
      </c>
      <c r="B371" s="17" t="str">
        <f aca="false">IF(AND(Eingabe!$F$10&gt;0,Eingabe!$E$10&gt;=161),Eingabe!$B$10,"")</f>
        <v/>
      </c>
      <c r="C371" s="17" t="str">
        <f aca="false">IF(AND(Eingabe!$F$10&gt;0,Eingabe!$E$10&gt;=161),Eingabe!$C$10&amp;"-Paz."&amp;TEXT(161,"000"),"")</f>
        <v/>
      </c>
      <c r="D371" s="17" t="str">
        <f aca="false">IF(AND(Eingabe!$F$10&gt;0,Eingabe!$E$10&gt;=161),161,"")</f>
        <v/>
      </c>
      <c r="E371" s="17" t="str">
        <f aca="false">IF(AND(Eingabe!$F$10&gt;0,Eingabe!$E$10&gt;=161),IF((Eingabe!$G$10+1)&lt;=9,1000+(Eingabe!$G$10+1)*100,3000)+61,"")</f>
        <v/>
      </c>
      <c r="F371" s="17" t="str">
        <f aca="false">IF(AND(Eingabe!$F$10&gt;0,Eingabe!$E$10&gt;=161),"10."&amp;Eingabe!$D$10&amp;".161.0/24","")</f>
        <v/>
      </c>
      <c r="G371" s="17" t="str">
        <f aca="false">IF(AND(Eingabe!$F$10&gt;0,Eingabe!$E$10&gt;=161),"10."&amp;Eingabe!$D$10&amp;".161.1","")</f>
        <v/>
      </c>
      <c r="H371" s="17" t="str">
        <f aca="false">IF(AND(Eingabe!$F$10&gt;0,Eingabe!$E$10&gt;=161),"10."&amp;Eingabe!$D$10&amp;".161.10 – 10."&amp;Eingabe!$D$10&amp;".161.250","")</f>
        <v/>
      </c>
      <c r="I371" s="17" t="str">
        <f aca="false">IF(AND(Eingabe!$F$10&gt;0,Eingabe!$E$10&gt;=161),Eingabe!$B$6&amp;"-"&amp;Eingabe!$C$10&amp;"-Pächter","")</f>
        <v/>
      </c>
      <c r="J371" s="17" t="str">
        <f aca="false">IF(AND(Eingabe!$F$10&gt;0,Eingabe!$E$10&gt;=161),"PPSK: Passwort Parzelle 161","")</f>
        <v/>
      </c>
      <c r="K371" s="17" t="str">
        <f aca="false">IF(AND(Eingabe!$F$10&gt;0,Eingabe!$E$10&gt;=161),"1. Gerät: 10."&amp;Eingabe!$D$10&amp;".161.10, 2. Gerät: .11","")</f>
        <v/>
      </c>
    </row>
    <row r="372" customFormat="false" ht="15" hidden="false" customHeight="false" outlineLevel="0" collapsed="false">
      <c r="A372" s="17" t="str">
        <f aca="false">IF(AND(Eingabe!$F$10&gt;0,Eingabe!$E$10&gt;=162),2,"")</f>
        <v/>
      </c>
      <c r="B372" s="17" t="str">
        <f aca="false">IF(AND(Eingabe!$F$10&gt;0,Eingabe!$E$10&gt;=162),Eingabe!$B$10,"")</f>
        <v/>
      </c>
      <c r="C372" s="17" t="str">
        <f aca="false">IF(AND(Eingabe!$F$10&gt;0,Eingabe!$E$10&gt;=162),Eingabe!$C$10&amp;"-Paz."&amp;TEXT(162,"000"),"")</f>
        <v/>
      </c>
      <c r="D372" s="17" t="str">
        <f aca="false">IF(AND(Eingabe!$F$10&gt;0,Eingabe!$E$10&gt;=162),162,"")</f>
        <v/>
      </c>
      <c r="E372" s="17" t="str">
        <f aca="false">IF(AND(Eingabe!$F$10&gt;0,Eingabe!$E$10&gt;=162),IF((Eingabe!$G$10+1)&lt;=9,1000+(Eingabe!$G$10+1)*100,3000)+62,"")</f>
        <v/>
      </c>
      <c r="F372" s="17" t="str">
        <f aca="false">IF(AND(Eingabe!$F$10&gt;0,Eingabe!$E$10&gt;=162),"10."&amp;Eingabe!$D$10&amp;".162.0/24","")</f>
        <v/>
      </c>
      <c r="G372" s="17" t="str">
        <f aca="false">IF(AND(Eingabe!$F$10&gt;0,Eingabe!$E$10&gt;=162),"10."&amp;Eingabe!$D$10&amp;".162.1","")</f>
        <v/>
      </c>
      <c r="H372" s="17" t="str">
        <f aca="false">IF(AND(Eingabe!$F$10&gt;0,Eingabe!$E$10&gt;=162),"10."&amp;Eingabe!$D$10&amp;".162.10 – 10."&amp;Eingabe!$D$10&amp;".162.250","")</f>
        <v/>
      </c>
      <c r="I372" s="17" t="str">
        <f aca="false">IF(AND(Eingabe!$F$10&gt;0,Eingabe!$E$10&gt;=162),Eingabe!$B$6&amp;"-"&amp;Eingabe!$C$10&amp;"-Pächter","")</f>
        <v/>
      </c>
      <c r="J372" s="17" t="str">
        <f aca="false">IF(AND(Eingabe!$F$10&gt;0,Eingabe!$E$10&gt;=162),"PPSK: Passwort Parzelle 162","")</f>
        <v/>
      </c>
      <c r="K372" s="17" t="str">
        <f aca="false">IF(AND(Eingabe!$F$10&gt;0,Eingabe!$E$10&gt;=162),"1. Gerät: 10."&amp;Eingabe!$D$10&amp;".162.10, 2. Gerät: .11","")</f>
        <v/>
      </c>
    </row>
    <row r="373" customFormat="false" ht="15" hidden="false" customHeight="false" outlineLevel="0" collapsed="false">
      <c r="A373" s="17" t="str">
        <f aca="false">IF(AND(Eingabe!$F$10&gt;0,Eingabe!$E$10&gt;=163),2,"")</f>
        <v/>
      </c>
      <c r="B373" s="17" t="str">
        <f aca="false">IF(AND(Eingabe!$F$10&gt;0,Eingabe!$E$10&gt;=163),Eingabe!$B$10,"")</f>
        <v/>
      </c>
      <c r="C373" s="17" t="str">
        <f aca="false">IF(AND(Eingabe!$F$10&gt;0,Eingabe!$E$10&gt;=163),Eingabe!$C$10&amp;"-Paz."&amp;TEXT(163,"000"),"")</f>
        <v/>
      </c>
      <c r="D373" s="17" t="str">
        <f aca="false">IF(AND(Eingabe!$F$10&gt;0,Eingabe!$E$10&gt;=163),163,"")</f>
        <v/>
      </c>
      <c r="E373" s="17" t="str">
        <f aca="false">IF(AND(Eingabe!$F$10&gt;0,Eingabe!$E$10&gt;=163),IF((Eingabe!$G$10+1)&lt;=9,1000+(Eingabe!$G$10+1)*100,3000)+63,"")</f>
        <v/>
      </c>
      <c r="F373" s="17" t="str">
        <f aca="false">IF(AND(Eingabe!$F$10&gt;0,Eingabe!$E$10&gt;=163),"10."&amp;Eingabe!$D$10&amp;".163.0/24","")</f>
        <v/>
      </c>
      <c r="G373" s="17" t="str">
        <f aca="false">IF(AND(Eingabe!$F$10&gt;0,Eingabe!$E$10&gt;=163),"10."&amp;Eingabe!$D$10&amp;".163.1","")</f>
        <v/>
      </c>
      <c r="H373" s="17" t="str">
        <f aca="false">IF(AND(Eingabe!$F$10&gt;0,Eingabe!$E$10&gt;=163),"10."&amp;Eingabe!$D$10&amp;".163.10 – 10."&amp;Eingabe!$D$10&amp;".163.250","")</f>
        <v/>
      </c>
      <c r="I373" s="17" t="str">
        <f aca="false">IF(AND(Eingabe!$F$10&gt;0,Eingabe!$E$10&gt;=163),Eingabe!$B$6&amp;"-"&amp;Eingabe!$C$10&amp;"-Pächter","")</f>
        <v/>
      </c>
      <c r="J373" s="17" t="str">
        <f aca="false">IF(AND(Eingabe!$F$10&gt;0,Eingabe!$E$10&gt;=163),"PPSK: Passwort Parzelle 163","")</f>
        <v/>
      </c>
      <c r="K373" s="17" t="str">
        <f aca="false">IF(AND(Eingabe!$F$10&gt;0,Eingabe!$E$10&gt;=163),"1. Gerät: 10."&amp;Eingabe!$D$10&amp;".163.10, 2. Gerät: .11","")</f>
        <v/>
      </c>
    </row>
    <row r="374" customFormat="false" ht="15" hidden="false" customHeight="false" outlineLevel="0" collapsed="false">
      <c r="A374" s="17" t="str">
        <f aca="false">IF(AND(Eingabe!$F$10&gt;0,Eingabe!$E$10&gt;=164),2,"")</f>
        <v/>
      </c>
      <c r="B374" s="17" t="str">
        <f aca="false">IF(AND(Eingabe!$F$10&gt;0,Eingabe!$E$10&gt;=164),Eingabe!$B$10,"")</f>
        <v/>
      </c>
      <c r="C374" s="17" t="str">
        <f aca="false">IF(AND(Eingabe!$F$10&gt;0,Eingabe!$E$10&gt;=164),Eingabe!$C$10&amp;"-Paz."&amp;TEXT(164,"000"),"")</f>
        <v/>
      </c>
      <c r="D374" s="17" t="str">
        <f aca="false">IF(AND(Eingabe!$F$10&gt;0,Eingabe!$E$10&gt;=164),164,"")</f>
        <v/>
      </c>
      <c r="E374" s="17" t="str">
        <f aca="false">IF(AND(Eingabe!$F$10&gt;0,Eingabe!$E$10&gt;=164),IF((Eingabe!$G$10+1)&lt;=9,1000+(Eingabe!$G$10+1)*100,3000)+64,"")</f>
        <v/>
      </c>
      <c r="F374" s="17" t="str">
        <f aca="false">IF(AND(Eingabe!$F$10&gt;0,Eingabe!$E$10&gt;=164),"10."&amp;Eingabe!$D$10&amp;".164.0/24","")</f>
        <v/>
      </c>
      <c r="G374" s="17" t="str">
        <f aca="false">IF(AND(Eingabe!$F$10&gt;0,Eingabe!$E$10&gt;=164),"10."&amp;Eingabe!$D$10&amp;".164.1","")</f>
        <v/>
      </c>
      <c r="H374" s="17" t="str">
        <f aca="false">IF(AND(Eingabe!$F$10&gt;0,Eingabe!$E$10&gt;=164),"10."&amp;Eingabe!$D$10&amp;".164.10 – 10."&amp;Eingabe!$D$10&amp;".164.250","")</f>
        <v/>
      </c>
      <c r="I374" s="17" t="str">
        <f aca="false">IF(AND(Eingabe!$F$10&gt;0,Eingabe!$E$10&gt;=164),Eingabe!$B$6&amp;"-"&amp;Eingabe!$C$10&amp;"-Pächter","")</f>
        <v/>
      </c>
      <c r="J374" s="17" t="str">
        <f aca="false">IF(AND(Eingabe!$F$10&gt;0,Eingabe!$E$10&gt;=164),"PPSK: Passwort Parzelle 164","")</f>
        <v/>
      </c>
      <c r="K374" s="17" t="str">
        <f aca="false">IF(AND(Eingabe!$F$10&gt;0,Eingabe!$E$10&gt;=164),"1. Gerät: 10."&amp;Eingabe!$D$10&amp;".164.10, 2. Gerät: .11","")</f>
        <v/>
      </c>
    </row>
    <row r="375" customFormat="false" ht="15" hidden="false" customHeight="false" outlineLevel="0" collapsed="false">
      <c r="A375" s="17" t="str">
        <f aca="false">IF(AND(Eingabe!$F$10&gt;0,Eingabe!$E$10&gt;=165),2,"")</f>
        <v/>
      </c>
      <c r="B375" s="17" t="str">
        <f aca="false">IF(AND(Eingabe!$F$10&gt;0,Eingabe!$E$10&gt;=165),Eingabe!$B$10,"")</f>
        <v/>
      </c>
      <c r="C375" s="17" t="str">
        <f aca="false">IF(AND(Eingabe!$F$10&gt;0,Eingabe!$E$10&gt;=165),Eingabe!$C$10&amp;"-Paz."&amp;TEXT(165,"000"),"")</f>
        <v/>
      </c>
      <c r="D375" s="17" t="str">
        <f aca="false">IF(AND(Eingabe!$F$10&gt;0,Eingabe!$E$10&gt;=165),165,"")</f>
        <v/>
      </c>
      <c r="E375" s="17" t="str">
        <f aca="false">IF(AND(Eingabe!$F$10&gt;0,Eingabe!$E$10&gt;=165),IF((Eingabe!$G$10+1)&lt;=9,1000+(Eingabe!$G$10+1)*100,3000)+65,"")</f>
        <v/>
      </c>
      <c r="F375" s="17" t="str">
        <f aca="false">IF(AND(Eingabe!$F$10&gt;0,Eingabe!$E$10&gt;=165),"10."&amp;Eingabe!$D$10&amp;".165.0/24","")</f>
        <v/>
      </c>
      <c r="G375" s="17" t="str">
        <f aca="false">IF(AND(Eingabe!$F$10&gt;0,Eingabe!$E$10&gt;=165),"10."&amp;Eingabe!$D$10&amp;".165.1","")</f>
        <v/>
      </c>
      <c r="H375" s="17" t="str">
        <f aca="false">IF(AND(Eingabe!$F$10&gt;0,Eingabe!$E$10&gt;=165),"10."&amp;Eingabe!$D$10&amp;".165.10 – 10."&amp;Eingabe!$D$10&amp;".165.250","")</f>
        <v/>
      </c>
      <c r="I375" s="17" t="str">
        <f aca="false">IF(AND(Eingabe!$F$10&gt;0,Eingabe!$E$10&gt;=165),Eingabe!$B$6&amp;"-"&amp;Eingabe!$C$10&amp;"-Pächter","")</f>
        <v/>
      </c>
      <c r="J375" s="17" t="str">
        <f aca="false">IF(AND(Eingabe!$F$10&gt;0,Eingabe!$E$10&gt;=165),"PPSK: Passwort Parzelle 165","")</f>
        <v/>
      </c>
      <c r="K375" s="17" t="str">
        <f aca="false">IF(AND(Eingabe!$F$10&gt;0,Eingabe!$E$10&gt;=165),"1. Gerät: 10."&amp;Eingabe!$D$10&amp;".165.10, 2. Gerät: .11","")</f>
        <v/>
      </c>
    </row>
    <row r="376" customFormat="false" ht="15" hidden="false" customHeight="false" outlineLevel="0" collapsed="false">
      <c r="A376" s="17" t="str">
        <f aca="false">IF(AND(Eingabe!$F$10&gt;0,Eingabe!$E$10&gt;=166),2,"")</f>
        <v/>
      </c>
      <c r="B376" s="17" t="str">
        <f aca="false">IF(AND(Eingabe!$F$10&gt;0,Eingabe!$E$10&gt;=166),Eingabe!$B$10,"")</f>
        <v/>
      </c>
      <c r="C376" s="17" t="str">
        <f aca="false">IF(AND(Eingabe!$F$10&gt;0,Eingabe!$E$10&gt;=166),Eingabe!$C$10&amp;"-Paz."&amp;TEXT(166,"000"),"")</f>
        <v/>
      </c>
      <c r="D376" s="17" t="str">
        <f aca="false">IF(AND(Eingabe!$F$10&gt;0,Eingabe!$E$10&gt;=166),166,"")</f>
        <v/>
      </c>
      <c r="E376" s="17" t="str">
        <f aca="false">IF(AND(Eingabe!$F$10&gt;0,Eingabe!$E$10&gt;=166),IF((Eingabe!$G$10+1)&lt;=9,1000+(Eingabe!$G$10+1)*100,3000)+66,"")</f>
        <v/>
      </c>
      <c r="F376" s="17" t="str">
        <f aca="false">IF(AND(Eingabe!$F$10&gt;0,Eingabe!$E$10&gt;=166),"10."&amp;Eingabe!$D$10&amp;".166.0/24","")</f>
        <v/>
      </c>
      <c r="G376" s="17" t="str">
        <f aca="false">IF(AND(Eingabe!$F$10&gt;0,Eingabe!$E$10&gt;=166),"10."&amp;Eingabe!$D$10&amp;".166.1","")</f>
        <v/>
      </c>
      <c r="H376" s="17" t="str">
        <f aca="false">IF(AND(Eingabe!$F$10&gt;0,Eingabe!$E$10&gt;=166),"10."&amp;Eingabe!$D$10&amp;".166.10 – 10."&amp;Eingabe!$D$10&amp;".166.250","")</f>
        <v/>
      </c>
      <c r="I376" s="17" t="str">
        <f aca="false">IF(AND(Eingabe!$F$10&gt;0,Eingabe!$E$10&gt;=166),Eingabe!$B$6&amp;"-"&amp;Eingabe!$C$10&amp;"-Pächter","")</f>
        <v/>
      </c>
      <c r="J376" s="17" t="str">
        <f aca="false">IF(AND(Eingabe!$F$10&gt;0,Eingabe!$E$10&gt;=166),"PPSK: Passwort Parzelle 166","")</f>
        <v/>
      </c>
      <c r="K376" s="17" t="str">
        <f aca="false">IF(AND(Eingabe!$F$10&gt;0,Eingabe!$E$10&gt;=166),"1. Gerät: 10."&amp;Eingabe!$D$10&amp;".166.10, 2. Gerät: .11","")</f>
        <v/>
      </c>
    </row>
    <row r="377" customFormat="false" ht="15" hidden="false" customHeight="false" outlineLevel="0" collapsed="false">
      <c r="A377" s="17" t="str">
        <f aca="false">IF(AND(Eingabe!$F$10&gt;0,Eingabe!$E$10&gt;=167),2,"")</f>
        <v/>
      </c>
      <c r="B377" s="17" t="str">
        <f aca="false">IF(AND(Eingabe!$F$10&gt;0,Eingabe!$E$10&gt;=167),Eingabe!$B$10,"")</f>
        <v/>
      </c>
      <c r="C377" s="17" t="str">
        <f aca="false">IF(AND(Eingabe!$F$10&gt;0,Eingabe!$E$10&gt;=167),Eingabe!$C$10&amp;"-Paz."&amp;TEXT(167,"000"),"")</f>
        <v/>
      </c>
      <c r="D377" s="17" t="str">
        <f aca="false">IF(AND(Eingabe!$F$10&gt;0,Eingabe!$E$10&gt;=167),167,"")</f>
        <v/>
      </c>
      <c r="E377" s="17" t="str">
        <f aca="false">IF(AND(Eingabe!$F$10&gt;0,Eingabe!$E$10&gt;=167),IF((Eingabe!$G$10+1)&lt;=9,1000+(Eingabe!$G$10+1)*100,3000)+67,"")</f>
        <v/>
      </c>
      <c r="F377" s="17" t="str">
        <f aca="false">IF(AND(Eingabe!$F$10&gt;0,Eingabe!$E$10&gt;=167),"10."&amp;Eingabe!$D$10&amp;".167.0/24","")</f>
        <v/>
      </c>
      <c r="G377" s="17" t="str">
        <f aca="false">IF(AND(Eingabe!$F$10&gt;0,Eingabe!$E$10&gt;=167),"10."&amp;Eingabe!$D$10&amp;".167.1","")</f>
        <v/>
      </c>
      <c r="H377" s="17" t="str">
        <f aca="false">IF(AND(Eingabe!$F$10&gt;0,Eingabe!$E$10&gt;=167),"10."&amp;Eingabe!$D$10&amp;".167.10 – 10."&amp;Eingabe!$D$10&amp;".167.250","")</f>
        <v/>
      </c>
      <c r="I377" s="17" t="str">
        <f aca="false">IF(AND(Eingabe!$F$10&gt;0,Eingabe!$E$10&gt;=167),Eingabe!$B$6&amp;"-"&amp;Eingabe!$C$10&amp;"-Pächter","")</f>
        <v/>
      </c>
      <c r="J377" s="17" t="str">
        <f aca="false">IF(AND(Eingabe!$F$10&gt;0,Eingabe!$E$10&gt;=167),"PPSK: Passwort Parzelle 167","")</f>
        <v/>
      </c>
      <c r="K377" s="17" t="str">
        <f aca="false">IF(AND(Eingabe!$F$10&gt;0,Eingabe!$E$10&gt;=167),"1. Gerät: 10."&amp;Eingabe!$D$10&amp;".167.10, 2. Gerät: .11","")</f>
        <v/>
      </c>
    </row>
    <row r="378" customFormat="false" ht="15" hidden="false" customHeight="false" outlineLevel="0" collapsed="false">
      <c r="A378" s="17" t="str">
        <f aca="false">IF(AND(Eingabe!$F$10&gt;0,Eingabe!$E$10&gt;=168),2,"")</f>
        <v/>
      </c>
      <c r="B378" s="17" t="str">
        <f aca="false">IF(AND(Eingabe!$F$10&gt;0,Eingabe!$E$10&gt;=168),Eingabe!$B$10,"")</f>
        <v/>
      </c>
      <c r="C378" s="17" t="str">
        <f aca="false">IF(AND(Eingabe!$F$10&gt;0,Eingabe!$E$10&gt;=168),Eingabe!$C$10&amp;"-Paz."&amp;TEXT(168,"000"),"")</f>
        <v/>
      </c>
      <c r="D378" s="17" t="str">
        <f aca="false">IF(AND(Eingabe!$F$10&gt;0,Eingabe!$E$10&gt;=168),168,"")</f>
        <v/>
      </c>
      <c r="E378" s="17" t="str">
        <f aca="false">IF(AND(Eingabe!$F$10&gt;0,Eingabe!$E$10&gt;=168),IF((Eingabe!$G$10+1)&lt;=9,1000+(Eingabe!$G$10+1)*100,3000)+68,"")</f>
        <v/>
      </c>
      <c r="F378" s="17" t="str">
        <f aca="false">IF(AND(Eingabe!$F$10&gt;0,Eingabe!$E$10&gt;=168),"10."&amp;Eingabe!$D$10&amp;".168.0/24","")</f>
        <v/>
      </c>
      <c r="G378" s="17" t="str">
        <f aca="false">IF(AND(Eingabe!$F$10&gt;0,Eingabe!$E$10&gt;=168),"10."&amp;Eingabe!$D$10&amp;".168.1","")</f>
        <v/>
      </c>
      <c r="H378" s="17" t="str">
        <f aca="false">IF(AND(Eingabe!$F$10&gt;0,Eingabe!$E$10&gt;=168),"10."&amp;Eingabe!$D$10&amp;".168.10 – 10."&amp;Eingabe!$D$10&amp;".168.250","")</f>
        <v/>
      </c>
      <c r="I378" s="17" t="str">
        <f aca="false">IF(AND(Eingabe!$F$10&gt;0,Eingabe!$E$10&gt;=168),Eingabe!$B$6&amp;"-"&amp;Eingabe!$C$10&amp;"-Pächter","")</f>
        <v/>
      </c>
      <c r="J378" s="17" t="str">
        <f aca="false">IF(AND(Eingabe!$F$10&gt;0,Eingabe!$E$10&gt;=168),"PPSK: Passwort Parzelle 168","")</f>
        <v/>
      </c>
      <c r="K378" s="17" t="str">
        <f aca="false">IF(AND(Eingabe!$F$10&gt;0,Eingabe!$E$10&gt;=168),"1. Gerät: 10."&amp;Eingabe!$D$10&amp;".168.10, 2. Gerät: .11","")</f>
        <v/>
      </c>
    </row>
    <row r="379" customFormat="false" ht="15" hidden="false" customHeight="false" outlineLevel="0" collapsed="false">
      <c r="A379" s="17" t="str">
        <f aca="false">IF(AND(Eingabe!$F$10&gt;0,Eingabe!$E$10&gt;=169),2,"")</f>
        <v/>
      </c>
      <c r="B379" s="17" t="str">
        <f aca="false">IF(AND(Eingabe!$F$10&gt;0,Eingabe!$E$10&gt;=169),Eingabe!$B$10,"")</f>
        <v/>
      </c>
      <c r="C379" s="17" t="str">
        <f aca="false">IF(AND(Eingabe!$F$10&gt;0,Eingabe!$E$10&gt;=169),Eingabe!$C$10&amp;"-Paz."&amp;TEXT(169,"000"),"")</f>
        <v/>
      </c>
      <c r="D379" s="17" t="str">
        <f aca="false">IF(AND(Eingabe!$F$10&gt;0,Eingabe!$E$10&gt;=169),169,"")</f>
        <v/>
      </c>
      <c r="E379" s="17" t="str">
        <f aca="false">IF(AND(Eingabe!$F$10&gt;0,Eingabe!$E$10&gt;=169),IF((Eingabe!$G$10+1)&lt;=9,1000+(Eingabe!$G$10+1)*100,3000)+69,"")</f>
        <v/>
      </c>
      <c r="F379" s="17" t="str">
        <f aca="false">IF(AND(Eingabe!$F$10&gt;0,Eingabe!$E$10&gt;=169),"10."&amp;Eingabe!$D$10&amp;".169.0/24","")</f>
        <v/>
      </c>
      <c r="G379" s="17" t="str">
        <f aca="false">IF(AND(Eingabe!$F$10&gt;0,Eingabe!$E$10&gt;=169),"10."&amp;Eingabe!$D$10&amp;".169.1","")</f>
        <v/>
      </c>
      <c r="H379" s="17" t="str">
        <f aca="false">IF(AND(Eingabe!$F$10&gt;0,Eingabe!$E$10&gt;=169),"10."&amp;Eingabe!$D$10&amp;".169.10 – 10."&amp;Eingabe!$D$10&amp;".169.250","")</f>
        <v/>
      </c>
      <c r="I379" s="17" t="str">
        <f aca="false">IF(AND(Eingabe!$F$10&gt;0,Eingabe!$E$10&gt;=169),Eingabe!$B$6&amp;"-"&amp;Eingabe!$C$10&amp;"-Pächter","")</f>
        <v/>
      </c>
      <c r="J379" s="17" t="str">
        <f aca="false">IF(AND(Eingabe!$F$10&gt;0,Eingabe!$E$10&gt;=169),"PPSK: Passwort Parzelle 169","")</f>
        <v/>
      </c>
      <c r="K379" s="17" t="str">
        <f aca="false">IF(AND(Eingabe!$F$10&gt;0,Eingabe!$E$10&gt;=169),"1. Gerät: 10."&amp;Eingabe!$D$10&amp;".169.10, 2. Gerät: .11","")</f>
        <v/>
      </c>
    </row>
    <row r="380" customFormat="false" ht="15" hidden="false" customHeight="false" outlineLevel="0" collapsed="false">
      <c r="A380" s="17" t="str">
        <f aca="false">IF(AND(Eingabe!$F$10&gt;0,Eingabe!$E$10&gt;=170),2,"")</f>
        <v/>
      </c>
      <c r="B380" s="17" t="str">
        <f aca="false">IF(AND(Eingabe!$F$10&gt;0,Eingabe!$E$10&gt;=170),Eingabe!$B$10,"")</f>
        <v/>
      </c>
      <c r="C380" s="17" t="str">
        <f aca="false">IF(AND(Eingabe!$F$10&gt;0,Eingabe!$E$10&gt;=170),Eingabe!$C$10&amp;"-Paz."&amp;TEXT(170,"000"),"")</f>
        <v/>
      </c>
      <c r="D380" s="17" t="str">
        <f aca="false">IF(AND(Eingabe!$F$10&gt;0,Eingabe!$E$10&gt;=170),170,"")</f>
        <v/>
      </c>
      <c r="E380" s="17" t="str">
        <f aca="false">IF(AND(Eingabe!$F$10&gt;0,Eingabe!$E$10&gt;=170),IF((Eingabe!$G$10+1)&lt;=9,1000+(Eingabe!$G$10+1)*100,3000)+70,"")</f>
        <v/>
      </c>
      <c r="F380" s="17" t="str">
        <f aca="false">IF(AND(Eingabe!$F$10&gt;0,Eingabe!$E$10&gt;=170),"10."&amp;Eingabe!$D$10&amp;".170.0/24","")</f>
        <v/>
      </c>
      <c r="G380" s="17" t="str">
        <f aca="false">IF(AND(Eingabe!$F$10&gt;0,Eingabe!$E$10&gt;=170),"10."&amp;Eingabe!$D$10&amp;".170.1","")</f>
        <v/>
      </c>
      <c r="H380" s="17" t="str">
        <f aca="false">IF(AND(Eingabe!$F$10&gt;0,Eingabe!$E$10&gt;=170),"10."&amp;Eingabe!$D$10&amp;".170.10 – 10."&amp;Eingabe!$D$10&amp;".170.250","")</f>
        <v/>
      </c>
      <c r="I380" s="17" t="str">
        <f aca="false">IF(AND(Eingabe!$F$10&gt;0,Eingabe!$E$10&gt;=170),Eingabe!$B$6&amp;"-"&amp;Eingabe!$C$10&amp;"-Pächter","")</f>
        <v/>
      </c>
      <c r="J380" s="17" t="str">
        <f aca="false">IF(AND(Eingabe!$F$10&gt;0,Eingabe!$E$10&gt;=170),"PPSK: Passwort Parzelle 170","")</f>
        <v/>
      </c>
      <c r="K380" s="17" t="str">
        <f aca="false">IF(AND(Eingabe!$F$10&gt;0,Eingabe!$E$10&gt;=170),"1. Gerät: 10."&amp;Eingabe!$D$10&amp;".170.10, 2. Gerät: .11","")</f>
        <v/>
      </c>
    </row>
    <row r="381" customFormat="false" ht="15" hidden="false" customHeight="false" outlineLevel="0" collapsed="false">
      <c r="A381" s="17" t="str">
        <f aca="false">IF(AND(Eingabe!$F$10&gt;0,Eingabe!$E$10&gt;=171),2,"")</f>
        <v/>
      </c>
      <c r="B381" s="17" t="str">
        <f aca="false">IF(AND(Eingabe!$F$10&gt;0,Eingabe!$E$10&gt;=171),Eingabe!$B$10,"")</f>
        <v/>
      </c>
      <c r="C381" s="17" t="str">
        <f aca="false">IF(AND(Eingabe!$F$10&gt;0,Eingabe!$E$10&gt;=171),Eingabe!$C$10&amp;"-Paz."&amp;TEXT(171,"000"),"")</f>
        <v/>
      </c>
      <c r="D381" s="17" t="str">
        <f aca="false">IF(AND(Eingabe!$F$10&gt;0,Eingabe!$E$10&gt;=171),171,"")</f>
        <v/>
      </c>
      <c r="E381" s="17" t="str">
        <f aca="false">IF(AND(Eingabe!$F$10&gt;0,Eingabe!$E$10&gt;=171),IF((Eingabe!$G$10+1)&lt;=9,1000+(Eingabe!$G$10+1)*100,3000)+71,"")</f>
        <v/>
      </c>
      <c r="F381" s="17" t="str">
        <f aca="false">IF(AND(Eingabe!$F$10&gt;0,Eingabe!$E$10&gt;=171),"10."&amp;Eingabe!$D$10&amp;".171.0/24","")</f>
        <v/>
      </c>
      <c r="G381" s="17" t="str">
        <f aca="false">IF(AND(Eingabe!$F$10&gt;0,Eingabe!$E$10&gt;=171),"10."&amp;Eingabe!$D$10&amp;".171.1","")</f>
        <v/>
      </c>
      <c r="H381" s="17" t="str">
        <f aca="false">IF(AND(Eingabe!$F$10&gt;0,Eingabe!$E$10&gt;=171),"10."&amp;Eingabe!$D$10&amp;".171.10 – 10."&amp;Eingabe!$D$10&amp;".171.250","")</f>
        <v/>
      </c>
      <c r="I381" s="17" t="str">
        <f aca="false">IF(AND(Eingabe!$F$10&gt;0,Eingabe!$E$10&gt;=171),Eingabe!$B$6&amp;"-"&amp;Eingabe!$C$10&amp;"-Pächter","")</f>
        <v/>
      </c>
      <c r="J381" s="17" t="str">
        <f aca="false">IF(AND(Eingabe!$F$10&gt;0,Eingabe!$E$10&gt;=171),"PPSK: Passwort Parzelle 171","")</f>
        <v/>
      </c>
      <c r="K381" s="17" t="str">
        <f aca="false">IF(AND(Eingabe!$F$10&gt;0,Eingabe!$E$10&gt;=171),"1. Gerät: 10."&amp;Eingabe!$D$10&amp;".171.10, 2. Gerät: .11","")</f>
        <v/>
      </c>
    </row>
    <row r="382" customFormat="false" ht="15" hidden="false" customHeight="false" outlineLevel="0" collapsed="false">
      <c r="A382" s="17" t="str">
        <f aca="false">IF(AND(Eingabe!$F$10&gt;0,Eingabe!$E$10&gt;=172),2,"")</f>
        <v/>
      </c>
      <c r="B382" s="17" t="str">
        <f aca="false">IF(AND(Eingabe!$F$10&gt;0,Eingabe!$E$10&gt;=172),Eingabe!$B$10,"")</f>
        <v/>
      </c>
      <c r="C382" s="17" t="str">
        <f aca="false">IF(AND(Eingabe!$F$10&gt;0,Eingabe!$E$10&gt;=172),Eingabe!$C$10&amp;"-Paz."&amp;TEXT(172,"000"),"")</f>
        <v/>
      </c>
      <c r="D382" s="17" t="str">
        <f aca="false">IF(AND(Eingabe!$F$10&gt;0,Eingabe!$E$10&gt;=172),172,"")</f>
        <v/>
      </c>
      <c r="E382" s="17" t="str">
        <f aca="false">IF(AND(Eingabe!$F$10&gt;0,Eingabe!$E$10&gt;=172),IF((Eingabe!$G$10+1)&lt;=9,1000+(Eingabe!$G$10+1)*100,3000)+72,"")</f>
        <v/>
      </c>
      <c r="F382" s="17" t="str">
        <f aca="false">IF(AND(Eingabe!$F$10&gt;0,Eingabe!$E$10&gt;=172),"10."&amp;Eingabe!$D$10&amp;".172.0/24","")</f>
        <v/>
      </c>
      <c r="G382" s="17" t="str">
        <f aca="false">IF(AND(Eingabe!$F$10&gt;0,Eingabe!$E$10&gt;=172),"10."&amp;Eingabe!$D$10&amp;".172.1","")</f>
        <v/>
      </c>
      <c r="H382" s="17" t="str">
        <f aca="false">IF(AND(Eingabe!$F$10&gt;0,Eingabe!$E$10&gt;=172),"10."&amp;Eingabe!$D$10&amp;".172.10 – 10."&amp;Eingabe!$D$10&amp;".172.250","")</f>
        <v/>
      </c>
      <c r="I382" s="17" t="str">
        <f aca="false">IF(AND(Eingabe!$F$10&gt;0,Eingabe!$E$10&gt;=172),Eingabe!$B$6&amp;"-"&amp;Eingabe!$C$10&amp;"-Pächter","")</f>
        <v/>
      </c>
      <c r="J382" s="17" t="str">
        <f aca="false">IF(AND(Eingabe!$F$10&gt;0,Eingabe!$E$10&gt;=172),"PPSK: Passwort Parzelle 172","")</f>
        <v/>
      </c>
      <c r="K382" s="17" t="str">
        <f aca="false">IF(AND(Eingabe!$F$10&gt;0,Eingabe!$E$10&gt;=172),"1. Gerät: 10."&amp;Eingabe!$D$10&amp;".172.10, 2. Gerät: .11","")</f>
        <v/>
      </c>
    </row>
    <row r="383" customFormat="false" ht="15" hidden="false" customHeight="false" outlineLevel="0" collapsed="false">
      <c r="A383" s="17" t="str">
        <f aca="false">IF(AND(Eingabe!$F$10&gt;0,Eingabe!$E$10&gt;=173),2,"")</f>
        <v/>
      </c>
      <c r="B383" s="17" t="str">
        <f aca="false">IF(AND(Eingabe!$F$10&gt;0,Eingabe!$E$10&gt;=173),Eingabe!$B$10,"")</f>
        <v/>
      </c>
      <c r="C383" s="17" t="str">
        <f aca="false">IF(AND(Eingabe!$F$10&gt;0,Eingabe!$E$10&gt;=173),Eingabe!$C$10&amp;"-Paz."&amp;TEXT(173,"000"),"")</f>
        <v/>
      </c>
      <c r="D383" s="17" t="str">
        <f aca="false">IF(AND(Eingabe!$F$10&gt;0,Eingabe!$E$10&gt;=173),173,"")</f>
        <v/>
      </c>
      <c r="E383" s="17" t="str">
        <f aca="false">IF(AND(Eingabe!$F$10&gt;0,Eingabe!$E$10&gt;=173),IF((Eingabe!$G$10+1)&lt;=9,1000+(Eingabe!$G$10+1)*100,3000)+73,"")</f>
        <v/>
      </c>
      <c r="F383" s="17" t="str">
        <f aca="false">IF(AND(Eingabe!$F$10&gt;0,Eingabe!$E$10&gt;=173),"10."&amp;Eingabe!$D$10&amp;".173.0/24","")</f>
        <v/>
      </c>
      <c r="G383" s="17" t="str">
        <f aca="false">IF(AND(Eingabe!$F$10&gt;0,Eingabe!$E$10&gt;=173),"10."&amp;Eingabe!$D$10&amp;".173.1","")</f>
        <v/>
      </c>
      <c r="H383" s="17" t="str">
        <f aca="false">IF(AND(Eingabe!$F$10&gt;0,Eingabe!$E$10&gt;=173),"10."&amp;Eingabe!$D$10&amp;".173.10 – 10."&amp;Eingabe!$D$10&amp;".173.250","")</f>
        <v/>
      </c>
      <c r="I383" s="17" t="str">
        <f aca="false">IF(AND(Eingabe!$F$10&gt;0,Eingabe!$E$10&gt;=173),Eingabe!$B$6&amp;"-"&amp;Eingabe!$C$10&amp;"-Pächter","")</f>
        <v/>
      </c>
      <c r="J383" s="17" t="str">
        <f aca="false">IF(AND(Eingabe!$F$10&gt;0,Eingabe!$E$10&gt;=173),"PPSK: Passwort Parzelle 173","")</f>
        <v/>
      </c>
      <c r="K383" s="17" t="str">
        <f aca="false">IF(AND(Eingabe!$F$10&gt;0,Eingabe!$E$10&gt;=173),"1. Gerät: 10."&amp;Eingabe!$D$10&amp;".173.10, 2. Gerät: .11","")</f>
        <v/>
      </c>
    </row>
    <row r="384" customFormat="false" ht="15" hidden="false" customHeight="false" outlineLevel="0" collapsed="false">
      <c r="A384" s="17" t="str">
        <f aca="false">IF(AND(Eingabe!$F$10&gt;0,Eingabe!$E$10&gt;=174),2,"")</f>
        <v/>
      </c>
      <c r="B384" s="17" t="str">
        <f aca="false">IF(AND(Eingabe!$F$10&gt;0,Eingabe!$E$10&gt;=174),Eingabe!$B$10,"")</f>
        <v/>
      </c>
      <c r="C384" s="17" t="str">
        <f aca="false">IF(AND(Eingabe!$F$10&gt;0,Eingabe!$E$10&gt;=174),Eingabe!$C$10&amp;"-Paz."&amp;TEXT(174,"000"),"")</f>
        <v/>
      </c>
      <c r="D384" s="17" t="str">
        <f aca="false">IF(AND(Eingabe!$F$10&gt;0,Eingabe!$E$10&gt;=174),174,"")</f>
        <v/>
      </c>
      <c r="E384" s="17" t="str">
        <f aca="false">IF(AND(Eingabe!$F$10&gt;0,Eingabe!$E$10&gt;=174),IF((Eingabe!$G$10+1)&lt;=9,1000+(Eingabe!$G$10+1)*100,3000)+74,"")</f>
        <v/>
      </c>
      <c r="F384" s="17" t="str">
        <f aca="false">IF(AND(Eingabe!$F$10&gt;0,Eingabe!$E$10&gt;=174),"10."&amp;Eingabe!$D$10&amp;".174.0/24","")</f>
        <v/>
      </c>
      <c r="G384" s="17" t="str">
        <f aca="false">IF(AND(Eingabe!$F$10&gt;0,Eingabe!$E$10&gt;=174),"10."&amp;Eingabe!$D$10&amp;".174.1","")</f>
        <v/>
      </c>
      <c r="H384" s="17" t="str">
        <f aca="false">IF(AND(Eingabe!$F$10&gt;0,Eingabe!$E$10&gt;=174),"10."&amp;Eingabe!$D$10&amp;".174.10 – 10."&amp;Eingabe!$D$10&amp;".174.250","")</f>
        <v/>
      </c>
      <c r="I384" s="17" t="str">
        <f aca="false">IF(AND(Eingabe!$F$10&gt;0,Eingabe!$E$10&gt;=174),Eingabe!$B$6&amp;"-"&amp;Eingabe!$C$10&amp;"-Pächter","")</f>
        <v/>
      </c>
      <c r="J384" s="17" t="str">
        <f aca="false">IF(AND(Eingabe!$F$10&gt;0,Eingabe!$E$10&gt;=174),"PPSK: Passwort Parzelle 174","")</f>
        <v/>
      </c>
      <c r="K384" s="17" t="str">
        <f aca="false">IF(AND(Eingabe!$F$10&gt;0,Eingabe!$E$10&gt;=174),"1. Gerät: 10."&amp;Eingabe!$D$10&amp;".174.10, 2. Gerät: .11","")</f>
        <v/>
      </c>
    </row>
    <row r="385" customFormat="false" ht="15" hidden="false" customHeight="false" outlineLevel="0" collapsed="false">
      <c r="A385" s="17" t="str">
        <f aca="false">IF(AND(Eingabe!$F$10&gt;0,Eingabe!$E$10&gt;=175),2,"")</f>
        <v/>
      </c>
      <c r="B385" s="17" t="str">
        <f aca="false">IF(AND(Eingabe!$F$10&gt;0,Eingabe!$E$10&gt;=175),Eingabe!$B$10,"")</f>
        <v/>
      </c>
      <c r="C385" s="17" t="str">
        <f aca="false">IF(AND(Eingabe!$F$10&gt;0,Eingabe!$E$10&gt;=175),Eingabe!$C$10&amp;"-Paz."&amp;TEXT(175,"000"),"")</f>
        <v/>
      </c>
      <c r="D385" s="17" t="str">
        <f aca="false">IF(AND(Eingabe!$F$10&gt;0,Eingabe!$E$10&gt;=175),175,"")</f>
        <v/>
      </c>
      <c r="E385" s="17" t="str">
        <f aca="false">IF(AND(Eingabe!$F$10&gt;0,Eingabe!$E$10&gt;=175),IF((Eingabe!$G$10+1)&lt;=9,1000+(Eingabe!$G$10+1)*100,3000)+75,"")</f>
        <v/>
      </c>
      <c r="F385" s="17" t="str">
        <f aca="false">IF(AND(Eingabe!$F$10&gt;0,Eingabe!$E$10&gt;=175),"10."&amp;Eingabe!$D$10&amp;".175.0/24","")</f>
        <v/>
      </c>
      <c r="G385" s="17" t="str">
        <f aca="false">IF(AND(Eingabe!$F$10&gt;0,Eingabe!$E$10&gt;=175),"10."&amp;Eingabe!$D$10&amp;".175.1","")</f>
        <v/>
      </c>
      <c r="H385" s="17" t="str">
        <f aca="false">IF(AND(Eingabe!$F$10&gt;0,Eingabe!$E$10&gt;=175),"10."&amp;Eingabe!$D$10&amp;".175.10 – 10."&amp;Eingabe!$D$10&amp;".175.250","")</f>
        <v/>
      </c>
      <c r="I385" s="17" t="str">
        <f aca="false">IF(AND(Eingabe!$F$10&gt;0,Eingabe!$E$10&gt;=175),Eingabe!$B$6&amp;"-"&amp;Eingabe!$C$10&amp;"-Pächter","")</f>
        <v/>
      </c>
      <c r="J385" s="17" t="str">
        <f aca="false">IF(AND(Eingabe!$F$10&gt;0,Eingabe!$E$10&gt;=175),"PPSK: Passwort Parzelle 175","")</f>
        <v/>
      </c>
      <c r="K385" s="17" t="str">
        <f aca="false">IF(AND(Eingabe!$F$10&gt;0,Eingabe!$E$10&gt;=175),"1. Gerät: 10."&amp;Eingabe!$D$10&amp;".175.10, 2. Gerät: .11","")</f>
        <v/>
      </c>
    </row>
    <row r="386" customFormat="false" ht="15" hidden="false" customHeight="false" outlineLevel="0" collapsed="false">
      <c r="A386" s="17" t="str">
        <f aca="false">IF(AND(Eingabe!$F$10&gt;0,Eingabe!$E$10&gt;=176),2,"")</f>
        <v/>
      </c>
      <c r="B386" s="17" t="str">
        <f aca="false">IF(AND(Eingabe!$F$10&gt;0,Eingabe!$E$10&gt;=176),Eingabe!$B$10,"")</f>
        <v/>
      </c>
      <c r="C386" s="17" t="str">
        <f aca="false">IF(AND(Eingabe!$F$10&gt;0,Eingabe!$E$10&gt;=176),Eingabe!$C$10&amp;"-Paz."&amp;TEXT(176,"000"),"")</f>
        <v/>
      </c>
      <c r="D386" s="17" t="str">
        <f aca="false">IF(AND(Eingabe!$F$10&gt;0,Eingabe!$E$10&gt;=176),176,"")</f>
        <v/>
      </c>
      <c r="E386" s="17" t="str">
        <f aca="false">IF(AND(Eingabe!$F$10&gt;0,Eingabe!$E$10&gt;=176),IF((Eingabe!$G$10+1)&lt;=9,1000+(Eingabe!$G$10+1)*100,3000)+76,"")</f>
        <v/>
      </c>
      <c r="F386" s="17" t="str">
        <f aca="false">IF(AND(Eingabe!$F$10&gt;0,Eingabe!$E$10&gt;=176),"10."&amp;Eingabe!$D$10&amp;".176.0/24","")</f>
        <v/>
      </c>
      <c r="G386" s="17" t="str">
        <f aca="false">IF(AND(Eingabe!$F$10&gt;0,Eingabe!$E$10&gt;=176),"10."&amp;Eingabe!$D$10&amp;".176.1","")</f>
        <v/>
      </c>
      <c r="H386" s="17" t="str">
        <f aca="false">IF(AND(Eingabe!$F$10&gt;0,Eingabe!$E$10&gt;=176),"10."&amp;Eingabe!$D$10&amp;".176.10 – 10."&amp;Eingabe!$D$10&amp;".176.250","")</f>
        <v/>
      </c>
      <c r="I386" s="17" t="str">
        <f aca="false">IF(AND(Eingabe!$F$10&gt;0,Eingabe!$E$10&gt;=176),Eingabe!$B$6&amp;"-"&amp;Eingabe!$C$10&amp;"-Pächter","")</f>
        <v/>
      </c>
      <c r="J386" s="17" t="str">
        <f aca="false">IF(AND(Eingabe!$F$10&gt;0,Eingabe!$E$10&gt;=176),"PPSK: Passwort Parzelle 176","")</f>
        <v/>
      </c>
      <c r="K386" s="17" t="str">
        <f aca="false">IF(AND(Eingabe!$F$10&gt;0,Eingabe!$E$10&gt;=176),"1. Gerät: 10."&amp;Eingabe!$D$10&amp;".176.10, 2. Gerät: .11","")</f>
        <v/>
      </c>
    </row>
    <row r="387" customFormat="false" ht="15" hidden="false" customHeight="false" outlineLevel="0" collapsed="false">
      <c r="A387" s="17" t="str">
        <f aca="false">IF(AND(Eingabe!$F$10&gt;0,Eingabe!$E$10&gt;=177),2,"")</f>
        <v/>
      </c>
      <c r="B387" s="17" t="str">
        <f aca="false">IF(AND(Eingabe!$F$10&gt;0,Eingabe!$E$10&gt;=177),Eingabe!$B$10,"")</f>
        <v/>
      </c>
      <c r="C387" s="17" t="str">
        <f aca="false">IF(AND(Eingabe!$F$10&gt;0,Eingabe!$E$10&gt;=177),Eingabe!$C$10&amp;"-Paz."&amp;TEXT(177,"000"),"")</f>
        <v/>
      </c>
      <c r="D387" s="17" t="str">
        <f aca="false">IF(AND(Eingabe!$F$10&gt;0,Eingabe!$E$10&gt;=177),177,"")</f>
        <v/>
      </c>
      <c r="E387" s="17" t="str">
        <f aca="false">IF(AND(Eingabe!$F$10&gt;0,Eingabe!$E$10&gt;=177),IF((Eingabe!$G$10+1)&lt;=9,1000+(Eingabe!$G$10+1)*100,3000)+77,"")</f>
        <v/>
      </c>
      <c r="F387" s="17" t="str">
        <f aca="false">IF(AND(Eingabe!$F$10&gt;0,Eingabe!$E$10&gt;=177),"10."&amp;Eingabe!$D$10&amp;".177.0/24","")</f>
        <v/>
      </c>
      <c r="G387" s="17" t="str">
        <f aca="false">IF(AND(Eingabe!$F$10&gt;0,Eingabe!$E$10&gt;=177),"10."&amp;Eingabe!$D$10&amp;".177.1","")</f>
        <v/>
      </c>
      <c r="H387" s="17" t="str">
        <f aca="false">IF(AND(Eingabe!$F$10&gt;0,Eingabe!$E$10&gt;=177),"10."&amp;Eingabe!$D$10&amp;".177.10 – 10."&amp;Eingabe!$D$10&amp;".177.250","")</f>
        <v/>
      </c>
      <c r="I387" s="17" t="str">
        <f aca="false">IF(AND(Eingabe!$F$10&gt;0,Eingabe!$E$10&gt;=177),Eingabe!$B$6&amp;"-"&amp;Eingabe!$C$10&amp;"-Pächter","")</f>
        <v/>
      </c>
      <c r="J387" s="17" t="str">
        <f aca="false">IF(AND(Eingabe!$F$10&gt;0,Eingabe!$E$10&gt;=177),"PPSK: Passwort Parzelle 177","")</f>
        <v/>
      </c>
      <c r="K387" s="17" t="str">
        <f aca="false">IF(AND(Eingabe!$F$10&gt;0,Eingabe!$E$10&gt;=177),"1. Gerät: 10."&amp;Eingabe!$D$10&amp;".177.10, 2. Gerät: .11","")</f>
        <v/>
      </c>
    </row>
    <row r="388" customFormat="false" ht="15" hidden="false" customHeight="false" outlineLevel="0" collapsed="false">
      <c r="A388" s="17" t="str">
        <f aca="false">IF(AND(Eingabe!$F$10&gt;0,Eingabe!$E$10&gt;=178),2,"")</f>
        <v/>
      </c>
      <c r="B388" s="17" t="str">
        <f aca="false">IF(AND(Eingabe!$F$10&gt;0,Eingabe!$E$10&gt;=178),Eingabe!$B$10,"")</f>
        <v/>
      </c>
      <c r="C388" s="17" t="str">
        <f aca="false">IF(AND(Eingabe!$F$10&gt;0,Eingabe!$E$10&gt;=178),Eingabe!$C$10&amp;"-Paz."&amp;TEXT(178,"000"),"")</f>
        <v/>
      </c>
      <c r="D388" s="17" t="str">
        <f aca="false">IF(AND(Eingabe!$F$10&gt;0,Eingabe!$E$10&gt;=178),178,"")</f>
        <v/>
      </c>
      <c r="E388" s="17" t="str">
        <f aca="false">IF(AND(Eingabe!$F$10&gt;0,Eingabe!$E$10&gt;=178),IF((Eingabe!$G$10+1)&lt;=9,1000+(Eingabe!$G$10+1)*100,3000)+78,"")</f>
        <v/>
      </c>
      <c r="F388" s="17" t="str">
        <f aca="false">IF(AND(Eingabe!$F$10&gt;0,Eingabe!$E$10&gt;=178),"10."&amp;Eingabe!$D$10&amp;".178.0/24","")</f>
        <v/>
      </c>
      <c r="G388" s="17" t="str">
        <f aca="false">IF(AND(Eingabe!$F$10&gt;0,Eingabe!$E$10&gt;=178),"10."&amp;Eingabe!$D$10&amp;".178.1","")</f>
        <v/>
      </c>
      <c r="H388" s="17" t="str">
        <f aca="false">IF(AND(Eingabe!$F$10&gt;0,Eingabe!$E$10&gt;=178),"10."&amp;Eingabe!$D$10&amp;".178.10 – 10."&amp;Eingabe!$D$10&amp;".178.250","")</f>
        <v/>
      </c>
      <c r="I388" s="17" t="str">
        <f aca="false">IF(AND(Eingabe!$F$10&gt;0,Eingabe!$E$10&gt;=178),Eingabe!$B$6&amp;"-"&amp;Eingabe!$C$10&amp;"-Pächter","")</f>
        <v/>
      </c>
      <c r="J388" s="17" t="str">
        <f aca="false">IF(AND(Eingabe!$F$10&gt;0,Eingabe!$E$10&gt;=178),"PPSK: Passwort Parzelle 178","")</f>
        <v/>
      </c>
      <c r="K388" s="17" t="str">
        <f aca="false">IF(AND(Eingabe!$F$10&gt;0,Eingabe!$E$10&gt;=178),"1. Gerät: 10."&amp;Eingabe!$D$10&amp;".178.10, 2. Gerät: .11","")</f>
        <v/>
      </c>
    </row>
    <row r="389" customFormat="false" ht="15" hidden="false" customHeight="false" outlineLevel="0" collapsed="false">
      <c r="A389" s="17" t="str">
        <f aca="false">IF(AND(Eingabe!$F$10&gt;0,Eingabe!$E$10&gt;=179),2,"")</f>
        <v/>
      </c>
      <c r="B389" s="17" t="str">
        <f aca="false">IF(AND(Eingabe!$F$10&gt;0,Eingabe!$E$10&gt;=179),Eingabe!$B$10,"")</f>
        <v/>
      </c>
      <c r="C389" s="17" t="str">
        <f aca="false">IF(AND(Eingabe!$F$10&gt;0,Eingabe!$E$10&gt;=179),Eingabe!$C$10&amp;"-Paz."&amp;TEXT(179,"000"),"")</f>
        <v/>
      </c>
      <c r="D389" s="17" t="str">
        <f aca="false">IF(AND(Eingabe!$F$10&gt;0,Eingabe!$E$10&gt;=179),179,"")</f>
        <v/>
      </c>
      <c r="E389" s="17" t="str">
        <f aca="false">IF(AND(Eingabe!$F$10&gt;0,Eingabe!$E$10&gt;=179),IF((Eingabe!$G$10+1)&lt;=9,1000+(Eingabe!$G$10+1)*100,3000)+79,"")</f>
        <v/>
      </c>
      <c r="F389" s="17" t="str">
        <f aca="false">IF(AND(Eingabe!$F$10&gt;0,Eingabe!$E$10&gt;=179),"10."&amp;Eingabe!$D$10&amp;".179.0/24","")</f>
        <v/>
      </c>
      <c r="G389" s="17" t="str">
        <f aca="false">IF(AND(Eingabe!$F$10&gt;0,Eingabe!$E$10&gt;=179),"10."&amp;Eingabe!$D$10&amp;".179.1","")</f>
        <v/>
      </c>
      <c r="H389" s="17" t="str">
        <f aca="false">IF(AND(Eingabe!$F$10&gt;0,Eingabe!$E$10&gt;=179),"10."&amp;Eingabe!$D$10&amp;".179.10 – 10."&amp;Eingabe!$D$10&amp;".179.250","")</f>
        <v/>
      </c>
      <c r="I389" s="17" t="str">
        <f aca="false">IF(AND(Eingabe!$F$10&gt;0,Eingabe!$E$10&gt;=179),Eingabe!$B$6&amp;"-"&amp;Eingabe!$C$10&amp;"-Pächter","")</f>
        <v/>
      </c>
      <c r="J389" s="17" t="str">
        <f aca="false">IF(AND(Eingabe!$F$10&gt;0,Eingabe!$E$10&gt;=179),"PPSK: Passwort Parzelle 179","")</f>
        <v/>
      </c>
      <c r="K389" s="17" t="str">
        <f aca="false">IF(AND(Eingabe!$F$10&gt;0,Eingabe!$E$10&gt;=179),"1. Gerät: 10."&amp;Eingabe!$D$10&amp;".179.10, 2. Gerät: .11","")</f>
        <v/>
      </c>
    </row>
    <row r="390" customFormat="false" ht="15" hidden="false" customHeight="false" outlineLevel="0" collapsed="false">
      <c r="A390" s="17" t="str">
        <f aca="false">IF(AND(Eingabe!$F$10&gt;0,Eingabe!$E$10&gt;=180),2,"")</f>
        <v/>
      </c>
      <c r="B390" s="17" t="str">
        <f aca="false">IF(AND(Eingabe!$F$10&gt;0,Eingabe!$E$10&gt;=180),Eingabe!$B$10,"")</f>
        <v/>
      </c>
      <c r="C390" s="17" t="str">
        <f aca="false">IF(AND(Eingabe!$F$10&gt;0,Eingabe!$E$10&gt;=180),Eingabe!$C$10&amp;"-Paz."&amp;TEXT(180,"000"),"")</f>
        <v/>
      </c>
      <c r="D390" s="17" t="str">
        <f aca="false">IF(AND(Eingabe!$F$10&gt;0,Eingabe!$E$10&gt;=180),180,"")</f>
        <v/>
      </c>
      <c r="E390" s="17" t="str">
        <f aca="false">IF(AND(Eingabe!$F$10&gt;0,Eingabe!$E$10&gt;=180),IF((Eingabe!$G$10+1)&lt;=9,1000+(Eingabe!$G$10+1)*100,3000)+80,"")</f>
        <v/>
      </c>
      <c r="F390" s="17" t="str">
        <f aca="false">IF(AND(Eingabe!$F$10&gt;0,Eingabe!$E$10&gt;=180),"10."&amp;Eingabe!$D$10&amp;".180.0/24","")</f>
        <v/>
      </c>
      <c r="G390" s="17" t="str">
        <f aca="false">IF(AND(Eingabe!$F$10&gt;0,Eingabe!$E$10&gt;=180),"10."&amp;Eingabe!$D$10&amp;".180.1","")</f>
        <v/>
      </c>
      <c r="H390" s="17" t="str">
        <f aca="false">IF(AND(Eingabe!$F$10&gt;0,Eingabe!$E$10&gt;=180),"10."&amp;Eingabe!$D$10&amp;".180.10 – 10."&amp;Eingabe!$D$10&amp;".180.250","")</f>
        <v/>
      </c>
      <c r="I390" s="17" t="str">
        <f aca="false">IF(AND(Eingabe!$F$10&gt;0,Eingabe!$E$10&gt;=180),Eingabe!$B$6&amp;"-"&amp;Eingabe!$C$10&amp;"-Pächter","")</f>
        <v/>
      </c>
      <c r="J390" s="17" t="str">
        <f aca="false">IF(AND(Eingabe!$F$10&gt;0,Eingabe!$E$10&gt;=180),"PPSK: Passwort Parzelle 180","")</f>
        <v/>
      </c>
      <c r="K390" s="17" t="str">
        <f aca="false">IF(AND(Eingabe!$F$10&gt;0,Eingabe!$E$10&gt;=180),"1. Gerät: 10."&amp;Eingabe!$D$10&amp;".180.10, 2. Gerät: .11","")</f>
        <v/>
      </c>
    </row>
    <row r="391" customFormat="false" ht="15" hidden="false" customHeight="false" outlineLevel="0" collapsed="false">
      <c r="A391" s="17" t="str">
        <f aca="false">IF(AND(Eingabe!$F$10&gt;0,Eingabe!$E$10&gt;=181),2,"")</f>
        <v/>
      </c>
      <c r="B391" s="17" t="str">
        <f aca="false">IF(AND(Eingabe!$F$10&gt;0,Eingabe!$E$10&gt;=181),Eingabe!$B$10,"")</f>
        <v/>
      </c>
      <c r="C391" s="17" t="str">
        <f aca="false">IF(AND(Eingabe!$F$10&gt;0,Eingabe!$E$10&gt;=181),Eingabe!$C$10&amp;"-Paz."&amp;TEXT(181,"000"),"")</f>
        <v/>
      </c>
      <c r="D391" s="17" t="str">
        <f aca="false">IF(AND(Eingabe!$F$10&gt;0,Eingabe!$E$10&gt;=181),181,"")</f>
        <v/>
      </c>
      <c r="E391" s="17" t="str">
        <f aca="false">IF(AND(Eingabe!$F$10&gt;0,Eingabe!$E$10&gt;=181),IF((Eingabe!$G$10+1)&lt;=9,1000+(Eingabe!$G$10+1)*100,3000)+81,"")</f>
        <v/>
      </c>
      <c r="F391" s="17" t="str">
        <f aca="false">IF(AND(Eingabe!$F$10&gt;0,Eingabe!$E$10&gt;=181),"10."&amp;Eingabe!$D$10&amp;".181.0/24","")</f>
        <v/>
      </c>
      <c r="G391" s="17" t="str">
        <f aca="false">IF(AND(Eingabe!$F$10&gt;0,Eingabe!$E$10&gt;=181),"10."&amp;Eingabe!$D$10&amp;".181.1","")</f>
        <v/>
      </c>
      <c r="H391" s="17" t="str">
        <f aca="false">IF(AND(Eingabe!$F$10&gt;0,Eingabe!$E$10&gt;=181),"10."&amp;Eingabe!$D$10&amp;".181.10 – 10."&amp;Eingabe!$D$10&amp;".181.250","")</f>
        <v/>
      </c>
      <c r="I391" s="17" t="str">
        <f aca="false">IF(AND(Eingabe!$F$10&gt;0,Eingabe!$E$10&gt;=181),Eingabe!$B$6&amp;"-"&amp;Eingabe!$C$10&amp;"-Pächter","")</f>
        <v/>
      </c>
      <c r="J391" s="17" t="str">
        <f aca="false">IF(AND(Eingabe!$F$10&gt;0,Eingabe!$E$10&gt;=181),"PPSK: Passwort Parzelle 181","")</f>
        <v/>
      </c>
      <c r="K391" s="17" t="str">
        <f aca="false">IF(AND(Eingabe!$F$10&gt;0,Eingabe!$E$10&gt;=181),"1. Gerät: 10."&amp;Eingabe!$D$10&amp;".181.10, 2. Gerät: .11","")</f>
        <v/>
      </c>
    </row>
    <row r="392" customFormat="false" ht="15" hidden="false" customHeight="false" outlineLevel="0" collapsed="false">
      <c r="A392" s="17" t="str">
        <f aca="false">IF(AND(Eingabe!$F$10&gt;0,Eingabe!$E$10&gt;=182),2,"")</f>
        <v/>
      </c>
      <c r="B392" s="17" t="str">
        <f aca="false">IF(AND(Eingabe!$F$10&gt;0,Eingabe!$E$10&gt;=182),Eingabe!$B$10,"")</f>
        <v/>
      </c>
      <c r="C392" s="17" t="str">
        <f aca="false">IF(AND(Eingabe!$F$10&gt;0,Eingabe!$E$10&gt;=182),Eingabe!$C$10&amp;"-Paz."&amp;TEXT(182,"000"),"")</f>
        <v/>
      </c>
      <c r="D392" s="17" t="str">
        <f aca="false">IF(AND(Eingabe!$F$10&gt;0,Eingabe!$E$10&gt;=182),182,"")</f>
        <v/>
      </c>
      <c r="E392" s="17" t="str">
        <f aca="false">IF(AND(Eingabe!$F$10&gt;0,Eingabe!$E$10&gt;=182),IF((Eingabe!$G$10+1)&lt;=9,1000+(Eingabe!$G$10+1)*100,3000)+82,"")</f>
        <v/>
      </c>
      <c r="F392" s="17" t="str">
        <f aca="false">IF(AND(Eingabe!$F$10&gt;0,Eingabe!$E$10&gt;=182),"10."&amp;Eingabe!$D$10&amp;".182.0/24","")</f>
        <v/>
      </c>
      <c r="G392" s="17" t="str">
        <f aca="false">IF(AND(Eingabe!$F$10&gt;0,Eingabe!$E$10&gt;=182),"10."&amp;Eingabe!$D$10&amp;".182.1","")</f>
        <v/>
      </c>
      <c r="H392" s="17" t="str">
        <f aca="false">IF(AND(Eingabe!$F$10&gt;0,Eingabe!$E$10&gt;=182),"10."&amp;Eingabe!$D$10&amp;".182.10 – 10."&amp;Eingabe!$D$10&amp;".182.250","")</f>
        <v/>
      </c>
      <c r="I392" s="17" t="str">
        <f aca="false">IF(AND(Eingabe!$F$10&gt;0,Eingabe!$E$10&gt;=182),Eingabe!$B$6&amp;"-"&amp;Eingabe!$C$10&amp;"-Pächter","")</f>
        <v/>
      </c>
      <c r="J392" s="17" t="str">
        <f aca="false">IF(AND(Eingabe!$F$10&gt;0,Eingabe!$E$10&gt;=182),"PPSK: Passwort Parzelle 182","")</f>
        <v/>
      </c>
      <c r="K392" s="17" t="str">
        <f aca="false">IF(AND(Eingabe!$F$10&gt;0,Eingabe!$E$10&gt;=182),"1. Gerät: 10."&amp;Eingabe!$D$10&amp;".182.10, 2. Gerät: .11","")</f>
        <v/>
      </c>
    </row>
    <row r="393" customFormat="false" ht="15" hidden="false" customHeight="false" outlineLevel="0" collapsed="false">
      <c r="A393" s="17" t="str">
        <f aca="false">IF(AND(Eingabe!$F$10&gt;0,Eingabe!$E$10&gt;=183),2,"")</f>
        <v/>
      </c>
      <c r="B393" s="17" t="str">
        <f aca="false">IF(AND(Eingabe!$F$10&gt;0,Eingabe!$E$10&gt;=183),Eingabe!$B$10,"")</f>
        <v/>
      </c>
      <c r="C393" s="17" t="str">
        <f aca="false">IF(AND(Eingabe!$F$10&gt;0,Eingabe!$E$10&gt;=183),Eingabe!$C$10&amp;"-Paz."&amp;TEXT(183,"000"),"")</f>
        <v/>
      </c>
      <c r="D393" s="17" t="str">
        <f aca="false">IF(AND(Eingabe!$F$10&gt;0,Eingabe!$E$10&gt;=183),183,"")</f>
        <v/>
      </c>
      <c r="E393" s="17" t="str">
        <f aca="false">IF(AND(Eingabe!$F$10&gt;0,Eingabe!$E$10&gt;=183),IF((Eingabe!$G$10+1)&lt;=9,1000+(Eingabe!$G$10+1)*100,3000)+83,"")</f>
        <v/>
      </c>
      <c r="F393" s="17" t="str">
        <f aca="false">IF(AND(Eingabe!$F$10&gt;0,Eingabe!$E$10&gt;=183),"10."&amp;Eingabe!$D$10&amp;".183.0/24","")</f>
        <v/>
      </c>
      <c r="G393" s="17" t="str">
        <f aca="false">IF(AND(Eingabe!$F$10&gt;0,Eingabe!$E$10&gt;=183),"10."&amp;Eingabe!$D$10&amp;".183.1","")</f>
        <v/>
      </c>
      <c r="H393" s="17" t="str">
        <f aca="false">IF(AND(Eingabe!$F$10&gt;0,Eingabe!$E$10&gt;=183),"10."&amp;Eingabe!$D$10&amp;".183.10 – 10."&amp;Eingabe!$D$10&amp;".183.250","")</f>
        <v/>
      </c>
      <c r="I393" s="17" t="str">
        <f aca="false">IF(AND(Eingabe!$F$10&gt;0,Eingabe!$E$10&gt;=183),Eingabe!$B$6&amp;"-"&amp;Eingabe!$C$10&amp;"-Pächter","")</f>
        <v/>
      </c>
      <c r="J393" s="17" t="str">
        <f aca="false">IF(AND(Eingabe!$F$10&gt;0,Eingabe!$E$10&gt;=183),"PPSK: Passwort Parzelle 183","")</f>
        <v/>
      </c>
      <c r="K393" s="17" t="str">
        <f aca="false">IF(AND(Eingabe!$F$10&gt;0,Eingabe!$E$10&gt;=183),"1. Gerät: 10."&amp;Eingabe!$D$10&amp;".183.10, 2. Gerät: .11","")</f>
        <v/>
      </c>
    </row>
    <row r="394" customFormat="false" ht="15" hidden="false" customHeight="false" outlineLevel="0" collapsed="false">
      <c r="A394" s="17" t="str">
        <f aca="false">IF(AND(Eingabe!$F$10&gt;0,Eingabe!$E$10&gt;=184),2,"")</f>
        <v/>
      </c>
      <c r="B394" s="17" t="str">
        <f aca="false">IF(AND(Eingabe!$F$10&gt;0,Eingabe!$E$10&gt;=184),Eingabe!$B$10,"")</f>
        <v/>
      </c>
      <c r="C394" s="17" t="str">
        <f aca="false">IF(AND(Eingabe!$F$10&gt;0,Eingabe!$E$10&gt;=184),Eingabe!$C$10&amp;"-Paz."&amp;TEXT(184,"000"),"")</f>
        <v/>
      </c>
      <c r="D394" s="17" t="str">
        <f aca="false">IF(AND(Eingabe!$F$10&gt;0,Eingabe!$E$10&gt;=184),184,"")</f>
        <v/>
      </c>
      <c r="E394" s="17" t="str">
        <f aca="false">IF(AND(Eingabe!$F$10&gt;0,Eingabe!$E$10&gt;=184),IF((Eingabe!$G$10+1)&lt;=9,1000+(Eingabe!$G$10+1)*100,3000)+84,"")</f>
        <v/>
      </c>
      <c r="F394" s="17" t="str">
        <f aca="false">IF(AND(Eingabe!$F$10&gt;0,Eingabe!$E$10&gt;=184),"10."&amp;Eingabe!$D$10&amp;".184.0/24","")</f>
        <v/>
      </c>
      <c r="G394" s="17" t="str">
        <f aca="false">IF(AND(Eingabe!$F$10&gt;0,Eingabe!$E$10&gt;=184),"10."&amp;Eingabe!$D$10&amp;".184.1","")</f>
        <v/>
      </c>
      <c r="H394" s="17" t="str">
        <f aca="false">IF(AND(Eingabe!$F$10&gt;0,Eingabe!$E$10&gt;=184),"10."&amp;Eingabe!$D$10&amp;".184.10 – 10."&amp;Eingabe!$D$10&amp;".184.250","")</f>
        <v/>
      </c>
      <c r="I394" s="17" t="str">
        <f aca="false">IF(AND(Eingabe!$F$10&gt;0,Eingabe!$E$10&gt;=184),Eingabe!$B$6&amp;"-"&amp;Eingabe!$C$10&amp;"-Pächter","")</f>
        <v/>
      </c>
      <c r="J394" s="17" t="str">
        <f aca="false">IF(AND(Eingabe!$F$10&gt;0,Eingabe!$E$10&gt;=184),"PPSK: Passwort Parzelle 184","")</f>
        <v/>
      </c>
      <c r="K394" s="17" t="str">
        <f aca="false">IF(AND(Eingabe!$F$10&gt;0,Eingabe!$E$10&gt;=184),"1. Gerät: 10."&amp;Eingabe!$D$10&amp;".184.10, 2. Gerät: .11","")</f>
        <v/>
      </c>
    </row>
    <row r="395" customFormat="false" ht="15" hidden="false" customHeight="false" outlineLevel="0" collapsed="false">
      <c r="A395" s="17" t="str">
        <f aca="false">IF(AND(Eingabe!$F$10&gt;0,Eingabe!$E$10&gt;=185),2,"")</f>
        <v/>
      </c>
      <c r="B395" s="17" t="str">
        <f aca="false">IF(AND(Eingabe!$F$10&gt;0,Eingabe!$E$10&gt;=185),Eingabe!$B$10,"")</f>
        <v/>
      </c>
      <c r="C395" s="17" t="str">
        <f aca="false">IF(AND(Eingabe!$F$10&gt;0,Eingabe!$E$10&gt;=185),Eingabe!$C$10&amp;"-Paz."&amp;TEXT(185,"000"),"")</f>
        <v/>
      </c>
      <c r="D395" s="17" t="str">
        <f aca="false">IF(AND(Eingabe!$F$10&gt;0,Eingabe!$E$10&gt;=185),185,"")</f>
        <v/>
      </c>
      <c r="E395" s="17" t="str">
        <f aca="false">IF(AND(Eingabe!$F$10&gt;0,Eingabe!$E$10&gt;=185),IF((Eingabe!$G$10+1)&lt;=9,1000+(Eingabe!$G$10+1)*100,3000)+85,"")</f>
        <v/>
      </c>
      <c r="F395" s="17" t="str">
        <f aca="false">IF(AND(Eingabe!$F$10&gt;0,Eingabe!$E$10&gt;=185),"10."&amp;Eingabe!$D$10&amp;".185.0/24","")</f>
        <v/>
      </c>
      <c r="G395" s="17" t="str">
        <f aca="false">IF(AND(Eingabe!$F$10&gt;0,Eingabe!$E$10&gt;=185),"10."&amp;Eingabe!$D$10&amp;".185.1","")</f>
        <v/>
      </c>
      <c r="H395" s="17" t="str">
        <f aca="false">IF(AND(Eingabe!$F$10&gt;0,Eingabe!$E$10&gt;=185),"10."&amp;Eingabe!$D$10&amp;".185.10 – 10."&amp;Eingabe!$D$10&amp;".185.250","")</f>
        <v/>
      </c>
      <c r="I395" s="17" t="str">
        <f aca="false">IF(AND(Eingabe!$F$10&gt;0,Eingabe!$E$10&gt;=185),Eingabe!$B$6&amp;"-"&amp;Eingabe!$C$10&amp;"-Pächter","")</f>
        <v/>
      </c>
      <c r="J395" s="17" t="str">
        <f aca="false">IF(AND(Eingabe!$F$10&gt;0,Eingabe!$E$10&gt;=185),"PPSK: Passwort Parzelle 185","")</f>
        <v/>
      </c>
      <c r="K395" s="17" t="str">
        <f aca="false">IF(AND(Eingabe!$F$10&gt;0,Eingabe!$E$10&gt;=185),"1. Gerät: 10."&amp;Eingabe!$D$10&amp;".185.10, 2. Gerät: .11","")</f>
        <v/>
      </c>
    </row>
    <row r="396" customFormat="false" ht="15" hidden="false" customHeight="false" outlineLevel="0" collapsed="false">
      <c r="A396" s="17" t="str">
        <f aca="false">IF(AND(Eingabe!$F$10&gt;0,Eingabe!$E$10&gt;=186),2,"")</f>
        <v/>
      </c>
      <c r="B396" s="17" t="str">
        <f aca="false">IF(AND(Eingabe!$F$10&gt;0,Eingabe!$E$10&gt;=186),Eingabe!$B$10,"")</f>
        <v/>
      </c>
      <c r="C396" s="17" t="str">
        <f aca="false">IF(AND(Eingabe!$F$10&gt;0,Eingabe!$E$10&gt;=186),Eingabe!$C$10&amp;"-Paz."&amp;TEXT(186,"000"),"")</f>
        <v/>
      </c>
      <c r="D396" s="17" t="str">
        <f aca="false">IF(AND(Eingabe!$F$10&gt;0,Eingabe!$E$10&gt;=186),186,"")</f>
        <v/>
      </c>
      <c r="E396" s="17" t="str">
        <f aca="false">IF(AND(Eingabe!$F$10&gt;0,Eingabe!$E$10&gt;=186),IF((Eingabe!$G$10+1)&lt;=9,1000+(Eingabe!$G$10+1)*100,3000)+86,"")</f>
        <v/>
      </c>
      <c r="F396" s="17" t="str">
        <f aca="false">IF(AND(Eingabe!$F$10&gt;0,Eingabe!$E$10&gt;=186),"10."&amp;Eingabe!$D$10&amp;".186.0/24","")</f>
        <v/>
      </c>
      <c r="G396" s="17" t="str">
        <f aca="false">IF(AND(Eingabe!$F$10&gt;0,Eingabe!$E$10&gt;=186),"10."&amp;Eingabe!$D$10&amp;".186.1","")</f>
        <v/>
      </c>
      <c r="H396" s="17" t="str">
        <f aca="false">IF(AND(Eingabe!$F$10&gt;0,Eingabe!$E$10&gt;=186),"10."&amp;Eingabe!$D$10&amp;".186.10 – 10."&amp;Eingabe!$D$10&amp;".186.250","")</f>
        <v/>
      </c>
      <c r="I396" s="17" t="str">
        <f aca="false">IF(AND(Eingabe!$F$10&gt;0,Eingabe!$E$10&gt;=186),Eingabe!$B$6&amp;"-"&amp;Eingabe!$C$10&amp;"-Pächter","")</f>
        <v/>
      </c>
      <c r="J396" s="17" t="str">
        <f aca="false">IF(AND(Eingabe!$F$10&gt;0,Eingabe!$E$10&gt;=186),"PPSK: Passwort Parzelle 186","")</f>
        <v/>
      </c>
      <c r="K396" s="17" t="str">
        <f aca="false">IF(AND(Eingabe!$F$10&gt;0,Eingabe!$E$10&gt;=186),"1. Gerät: 10."&amp;Eingabe!$D$10&amp;".186.10, 2. Gerät: .11","")</f>
        <v/>
      </c>
    </row>
    <row r="397" customFormat="false" ht="15" hidden="false" customHeight="false" outlineLevel="0" collapsed="false">
      <c r="A397" s="17" t="str">
        <f aca="false">IF(AND(Eingabe!$F$10&gt;0,Eingabe!$E$10&gt;=187),2,"")</f>
        <v/>
      </c>
      <c r="B397" s="17" t="str">
        <f aca="false">IF(AND(Eingabe!$F$10&gt;0,Eingabe!$E$10&gt;=187),Eingabe!$B$10,"")</f>
        <v/>
      </c>
      <c r="C397" s="17" t="str">
        <f aca="false">IF(AND(Eingabe!$F$10&gt;0,Eingabe!$E$10&gt;=187),Eingabe!$C$10&amp;"-Paz."&amp;TEXT(187,"000"),"")</f>
        <v/>
      </c>
      <c r="D397" s="17" t="str">
        <f aca="false">IF(AND(Eingabe!$F$10&gt;0,Eingabe!$E$10&gt;=187),187,"")</f>
        <v/>
      </c>
      <c r="E397" s="17" t="str">
        <f aca="false">IF(AND(Eingabe!$F$10&gt;0,Eingabe!$E$10&gt;=187),IF((Eingabe!$G$10+1)&lt;=9,1000+(Eingabe!$G$10+1)*100,3000)+87,"")</f>
        <v/>
      </c>
      <c r="F397" s="17" t="str">
        <f aca="false">IF(AND(Eingabe!$F$10&gt;0,Eingabe!$E$10&gt;=187),"10."&amp;Eingabe!$D$10&amp;".187.0/24","")</f>
        <v/>
      </c>
      <c r="G397" s="17" t="str">
        <f aca="false">IF(AND(Eingabe!$F$10&gt;0,Eingabe!$E$10&gt;=187),"10."&amp;Eingabe!$D$10&amp;".187.1","")</f>
        <v/>
      </c>
      <c r="H397" s="17" t="str">
        <f aca="false">IF(AND(Eingabe!$F$10&gt;0,Eingabe!$E$10&gt;=187),"10."&amp;Eingabe!$D$10&amp;".187.10 – 10."&amp;Eingabe!$D$10&amp;".187.250","")</f>
        <v/>
      </c>
      <c r="I397" s="17" t="str">
        <f aca="false">IF(AND(Eingabe!$F$10&gt;0,Eingabe!$E$10&gt;=187),Eingabe!$B$6&amp;"-"&amp;Eingabe!$C$10&amp;"-Pächter","")</f>
        <v/>
      </c>
      <c r="J397" s="17" t="str">
        <f aca="false">IF(AND(Eingabe!$F$10&gt;0,Eingabe!$E$10&gt;=187),"PPSK: Passwort Parzelle 187","")</f>
        <v/>
      </c>
      <c r="K397" s="17" t="str">
        <f aca="false">IF(AND(Eingabe!$F$10&gt;0,Eingabe!$E$10&gt;=187),"1. Gerät: 10."&amp;Eingabe!$D$10&amp;".187.10, 2. Gerät: .11","")</f>
        <v/>
      </c>
    </row>
    <row r="398" customFormat="false" ht="15" hidden="false" customHeight="false" outlineLevel="0" collapsed="false">
      <c r="A398" s="17" t="str">
        <f aca="false">IF(AND(Eingabe!$F$10&gt;0,Eingabe!$E$10&gt;=188),2,"")</f>
        <v/>
      </c>
      <c r="B398" s="17" t="str">
        <f aca="false">IF(AND(Eingabe!$F$10&gt;0,Eingabe!$E$10&gt;=188),Eingabe!$B$10,"")</f>
        <v/>
      </c>
      <c r="C398" s="17" t="str">
        <f aca="false">IF(AND(Eingabe!$F$10&gt;0,Eingabe!$E$10&gt;=188),Eingabe!$C$10&amp;"-Paz."&amp;TEXT(188,"000"),"")</f>
        <v/>
      </c>
      <c r="D398" s="17" t="str">
        <f aca="false">IF(AND(Eingabe!$F$10&gt;0,Eingabe!$E$10&gt;=188),188,"")</f>
        <v/>
      </c>
      <c r="E398" s="17" t="str">
        <f aca="false">IF(AND(Eingabe!$F$10&gt;0,Eingabe!$E$10&gt;=188),IF((Eingabe!$G$10+1)&lt;=9,1000+(Eingabe!$G$10+1)*100,3000)+88,"")</f>
        <v/>
      </c>
      <c r="F398" s="17" t="str">
        <f aca="false">IF(AND(Eingabe!$F$10&gt;0,Eingabe!$E$10&gt;=188),"10."&amp;Eingabe!$D$10&amp;".188.0/24","")</f>
        <v/>
      </c>
      <c r="G398" s="17" t="str">
        <f aca="false">IF(AND(Eingabe!$F$10&gt;0,Eingabe!$E$10&gt;=188),"10."&amp;Eingabe!$D$10&amp;".188.1","")</f>
        <v/>
      </c>
      <c r="H398" s="17" t="str">
        <f aca="false">IF(AND(Eingabe!$F$10&gt;0,Eingabe!$E$10&gt;=188),"10."&amp;Eingabe!$D$10&amp;".188.10 – 10."&amp;Eingabe!$D$10&amp;".188.250","")</f>
        <v/>
      </c>
      <c r="I398" s="17" t="str">
        <f aca="false">IF(AND(Eingabe!$F$10&gt;0,Eingabe!$E$10&gt;=188),Eingabe!$B$6&amp;"-"&amp;Eingabe!$C$10&amp;"-Pächter","")</f>
        <v/>
      </c>
      <c r="J398" s="17" t="str">
        <f aca="false">IF(AND(Eingabe!$F$10&gt;0,Eingabe!$E$10&gt;=188),"PPSK: Passwort Parzelle 188","")</f>
        <v/>
      </c>
      <c r="K398" s="17" t="str">
        <f aca="false">IF(AND(Eingabe!$F$10&gt;0,Eingabe!$E$10&gt;=188),"1. Gerät: 10."&amp;Eingabe!$D$10&amp;".188.10, 2. Gerät: .11","")</f>
        <v/>
      </c>
    </row>
    <row r="399" customFormat="false" ht="15" hidden="false" customHeight="false" outlineLevel="0" collapsed="false">
      <c r="A399" s="17" t="str">
        <f aca="false">IF(AND(Eingabe!$F$10&gt;0,Eingabe!$E$10&gt;=189),2,"")</f>
        <v/>
      </c>
      <c r="B399" s="17" t="str">
        <f aca="false">IF(AND(Eingabe!$F$10&gt;0,Eingabe!$E$10&gt;=189),Eingabe!$B$10,"")</f>
        <v/>
      </c>
      <c r="C399" s="17" t="str">
        <f aca="false">IF(AND(Eingabe!$F$10&gt;0,Eingabe!$E$10&gt;=189),Eingabe!$C$10&amp;"-Paz."&amp;TEXT(189,"000"),"")</f>
        <v/>
      </c>
      <c r="D399" s="17" t="str">
        <f aca="false">IF(AND(Eingabe!$F$10&gt;0,Eingabe!$E$10&gt;=189),189,"")</f>
        <v/>
      </c>
      <c r="E399" s="17" t="str">
        <f aca="false">IF(AND(Eingabe!$F$10&gt;0,Eingabe!$E$10&gt;=189),IF((Eingabe!$G$10+1)&lt;=9,1000+(Eingabe!$G$10+1)*100,3000)+89,"")</f>
        <v/>
      </c>
      <c r="F399" s="17" t="str">
        <f aca="false">IF(AND(Eingabe!$F$10&gt;0,Eingabe!$E$10&gt;=189),"10."&amp;Eingabe!$D$10&amp;".189.0/24","")</f>
        <v/>
      </c>
      <c r="G399" s="17" t="str">
        <f aca="false">IF(AND(Eingabe!$F$10&gt;0,Eingabe!$E$10&gt;=189),"10."&amp;Eingabe!$D$10&amp;".189.1","")</f>
        <v/>
      </c>
      <c r="H399" s="17" t="str">
        <f aca="false">IF(AND(Eingabe!$F$10&gt;0,Eingabe!$E$10&gt;=189),"10."&amp;Eingabe!$D$10&amp;".189.10 – 10."&amp;Eingabe!$D$10&amp;".189.250","")</f>
        <v/>
      </c>
      <c r="I399" s="17" t="str">
        <f aca="false">IF(AND(Eingabe!$F$10&gt;0,Eingabe!$E$10&gt;=189),Eingabe!$B$6&amp;"-"&amp;Eingabe!$C$10&amp;"-Pächter","")</f>
        <v/>
      </c>
      <c r="J399" s="17" t="str">
        <f aca="false">IF(AND(Eingabe!$F$10&gt;0,Eingabe!$E$10&gt;=189),"PPSK: Passwort Parzelle 189","")</f>
        <v/>
      </c>
      <c r="K399" s="17" t="str">
        <f aca="false">IF(AND(Eingabe!$F$10&gt;0,Eingabe!$E$10&gt;=189),"1. Gerät: 10."&amp;Eingabe!$D$10&amp;".189.10, 2. Gerät: .11","")</f>
        <v/>
      </c>
    </row>
    <row r="400" customFormat="false" ht="15" hidden="false" customHeight="false" outlineLevel="0" collapsed="false">
      <c r="A400" s="17" t="str">
        <f aca="false">IF(AND(Eingabe!$F$10&gt;0,Eingabe!$E$10&gt;=190),2,"")</f>
        <v/>
      </c>
      <c r="B400" s="17" t="str">
        <f aca="false">IF(AND(Eingabe!$F$10&gt;0,Eingabe!$E$10&gt;=190),Eingabe!$B$10,"")</f>
        <v/>
      </c>
      <c r="C400" s="17" t="str">
        <f aca="false">IF(AND(Eingabe!$F$10&gt;0,Eingabe!$E$10&gt;=190),Eingabe!$C$10&amp;"-Paz."&amp;TEXT(190,"000"),"")</f>
        <v/>
      </c>
      <c r="D400" s="17" t="str">
        <f aca="false">IF(AND(Eingabe!$F$10&gt;0,Eingabe!$E$10&gt;=190),190,"")</f>
        <v/>
      </c>
      <c r="E400" s="17" t="str">
        <f aca="false">IF(AND(Eingabe!$F$10&gt;0,Eingabe!$E$10&gt;=190),IF((Eingabe!$G$10+1)&lt;=9,1000+(Eingabe!$G$10+1)*100,3000)+90,"")</f>
        <v/>
      </c>
      <c r="F400" s="17" t="str">
        <f aca="false">IF(AND(Eingabe!$F$10&gt;0,Eingabe!$E$10&gt;=190),"10."&amp;Eingabe!$D$10&amp;".190.0/24","")</f>
        <v/>
      </c>
      <c r="G400" s="17" t="str">
        <f aca="false">IF(AND(Eingabe!$F$10&gt;0,Eingabe!$E$10&gt;=190),"10."&amp;Eingabe!$D$10&amp;".190.1","")</f>
        <v/>
      </c>
      <c r="H400" s="17" t="str">
        <f aca="false">IF(AND(Eingabe!$F$10&gt;0,Eingabe!$E$10&gt;=190),"10."&amp;Eingabe!$D$10&amp;".190.10 – 10."&amp;Eingabe!$D$10&amp;".190.250","")</f>
        <v/>
      </c>
      <c r="I400" s="17" t="str">
        <f aca="false">IF(AND(Eingabe!$F$10&gt;0,Eingabe!$E$10&gt;=190),Eingabe!$B$6&amp;"-"&amp;Eingabe!$C$10&amp;"-Pächter","")</f>
        <v/>
      </c>
      <c r="J400" s="17" t="str">
        <f aca="false">IF(AND(Eingabe!$F$10&gt;0,Eingabe!$E$10&gt;=190),"PPSK: Passwort Parzelle 190","")</f>
        <v/>
      </c>
      <c r="K400" s="17" t="str">
        <f aca="false">IF(AND(Eingabe!$F$10&gt;0,Eingabe!$E$10&gt;=190),"1. Gerät: 10."&amp;Eingabe!$D$10&amp;".190.10, 2. Gerät: .11","")</f>
        <v/>
      </c>
    </row>
    <row r="401" customFormat="false" ht="15" hidden="false" customHeight="false" outlineLevel="0" collapsed="false">
      <c r="A401" s="17" t="str">
        <f aca="false">IF(AND(Eingabe!$F$10&gt;0,Eingabe!$E$10&gt;=191),2,"")</f>
        <v/>
      </c>
      <c r="B401" s="17" t="str">
        <f aca="false">IF(AND(Eingabe!$F$10&gt;0,Eingabe!$E$10&gt;=191),Eingabe!$B$10,"")</f>
        <v/>
      </c>
      <c r="C401" s="17" t="str">
        <f aca="false">IF(AND(Eingabe!$F$10&gt;0,Eingabe!$E$10&gt;=191),Eingabe!$C$10&amp;"-Paz."&amp;TEXT(191,"000"),"")</f>
        <v/>
      </c>
      <c r="D401" s="17" t="str">
        <f aca="false">IF(AND(Eingabe!$F$10&gt;0,Eingabe!$E$10&gt;=191),191,"")</f>
        <v/>
      </c>
      <c r="E401" s="17" t="str">
        <f aca="false">IF(AND(Eingabe!$F$10&gt;0,Eingabe!$E$10&gt;=191),IF((Eingabe!$G$10+1)&lt;=9,1000+(Eingabe!$G$10+1)*100,3000)+91,"")</f>
        <v/>
      </c>
      <c r="F401" s="17" t="str">
        <f aca="false">IF(AND(Eingabe!$F$10&gt;0,Eingabe!$E$10&gt;=191),"10."&amp;Eingabe!$D$10&amp;".191.0/24","")</f>
        <v/>
      </c>
      <c r="G401" s="17" t="str">
        <f aca="false">IF(AND(Eingabe!$F$10&gt;0,Eingabe!$E$10&gt;=191),"10."&amp;Eingabe!$D$10&amp;".191.1","")</f>
        <v/>
      </c>
      <c r="H401" s="17" t="str">
        <f aca="false">IF(AND(Eingabe!$F$10&gt;0,Eingabe!$E$10&gt;=191),"10."&amp;Eingabe!$D$10&amp;".191.10 – 10."&amp;Eingabe!$D$10&amp;".191.250","")</f>
        <v/>
      </c>
      <c r="I401" s="17" t="str">
        <f aca="false">IF(AND(Eingabe!$F$10&gt;0,Eingabe!$E$10&gt;=191),Eingabe!$B$6&amp;"-"&amp;Eingabe!$C$10&amp;"-Pächter","")</f>
        <v/>
      </c>
      <c r="J401" s="17" t="str">
        <f aca="false">IF(AND(Eingabe!$F$10&gt;0,Eingabe!$E$10&gt;=191),"PPSK: Passwort Parzelle 191","")</f>
        <v/>
      </c>
      <c r="K401" s="17" t="str">
        <f aca="false">IF(AND(Eingabe!$F$10&gt;0,Eingabe!$E$10&gt;=191),"1. Gerät: 10."&amp;Eingabe!$D$10&amp;".191.10, 2. Gerät: .11","")</f>
        <v/>
      </c>
    </row>
    <row r="402" customFormat="false" ht="15" hidden="false" customHeight="false" outlineLevel="0" collapsed="false">
      <c r="A402" s="17" t="str">
        <f aca="false">IF(AND(Eingabe!$F$10&gt;0,Eingabe!$E$10&gt;=192),2,"")</f>
        <v/>
      </c>
      <c r="B402" s="17" t="str">
        <f aca="false">IF(AND(Eingabe!$F$10&gt;0,Eingabe!$E$10&gt;=192),Eingabe!$B$10,"")</f>
        <v/>
      </c>
      <c r="C402" s="17" t="str">
        <f aca="false">IF(AND(Eingabe!$F$10&gt;0,Eingabe!$E$10&gt;=192),Eingabe!$C$10&amp;"-Paz."&amp;TEXT(192,"000"),"")</f>
        <v/>
      </c>
      <c r="D402" s="17" t="str">
        <f aca="false">IF(AND(Eingabe!$F$10&gt;0,Eingabe!$E$10&gt;=192),192,"")</f>
        <v/>
      </c>
      <c r="E402" s="17" t="str">
        <f aca="false">IF(AND(Eingabe!$F$10&gt;0,Eingabe!$E$10&gt;=192),IF((Eingabe!$G$10+1)&lt;=9,1000+(Eingabe!$G$10+1)*100,3000)+92,"")</f>
        <v/>
      </c>
      <c r="F402" s="17" t="str">
        <f aca="false">IF(AND(Eingabe!$F$10&gt;0,Eingabe!$E$10&gt;=192),"10."&amp;Eingabe!$D$10&amp;".192.0/24","")</f>
        <v/>
      </c>
      <c r="G402" s="17" t="str">
        <f aca="false">IF(AND(Eingabe!$F$10&gt;0,Eingabe!$E$10&gt;=192),"10."&amp;Eingabe!$D$10&amp;".192.1","")</f>
        <v/>
      </c>
      <c r="H402" s="17" t="str">
        <f aca="false">IF(AND(Eingabe!$F$10&gt;0,Eingabe!$E$10&gt;=192),"10."&amp;Eingabe!$D$10&amp;".192.10 – 10."&amp;Eingabe!$D$10&amp;".192.250","")</f>
        <v/>
      </c>
      <c r="I402" s="17" t="str">
        <f aca="false">IF(AND(Eingabe!$F$10&gt;0,Eingabe!$E$10&gt;=192),Eingabe!$B$6&amp;"-"&amp;Eingabe!$C$10&amp;"-Pächter","")</f>
        <v/>
      </c>
      <c r="J402" s="17" t="str">
        <f aca="false">IF(AND(Eingabe!$F$10&gt;0,Eingabe!$E$10&gt;=192),"PPSK: Passwort Parzelle 192","")</f>
        <v/>
      </c>
      <c r="K402" s="17" t="str">
        <f aca="false">IF(AND(Eingabe!$F$10&gt;0,Eingabe!$E$10&gt;=192),"1. Gerät: 10."&amp;Eingabe!$D$10&amp;".192.10, 2. Gerät: .11","")</f>
        <v/>
      </c>
    </row>
    <row r="403" customFormat="false" ht="15" hidden="false" customHeight="false" outlineLevel="0" collapsed="false">
      <c r="A403" s="17" t="str">
        <f aca="false">IF(AND(Eingabe!$F$10&gt;0,Eingabe!$E$10&gt;=193),2,"")</f>
        <v/>
      </c>
      <c r="B403" s="17" t="str">
        <f aca="false">IF(AND(Eingabe!$F$10&gt;0,Eingabe!$E$10&gt;=193),Eingabe!$B$10,"")</f>
        <v/>
      </c>
      <c r="C403" s="17" t="str">
        <f aca="false">IF(AND(Eingabe!$F$10&gt;0,Eingabe!$E$10&gt;=193),Eingabe!$C$10&amp;"-Paz."&amp;TEXT(193,"000"),"")</f>
        <v/>
      </c>
      <c r="D403" s="17" t="str">
        <f aca="false">IF(AND(Eingabe!$F$10&gt;0,Eingabe!$E$10&gt;=193),193,"")</f>
        <v/>
      </c>
      <c r="E403" s="17" t="str">
        <f aca="false">IF(AND(Eingabe!$F$10&gt;0,Eingabe!$E$10&gt;=193),IF((Eingabe!$G$10+1)&lt;=9,1000+(Eingabe!$G$10+1)*100,3000)+93,"")</f>
        <v/>
      </c>
      <c r="F403" s="17" t="str">
        <f aca="false">IF(AND(Eingabe!$F$10&gt;0,Eingabe!$E$10&gt;=193),"10."&amp;Eingabe!$D$10&amp;".193.0/24","")</f>
        <v/>
      </c>
      <c r="G403" s="17" t="str">
        <f aca="false">IF(AND(Eingabe!$F$10&gt;0,Eingabe!$E$10&gt;=193),"10."&amp;Eingabe!$D$10&amp;".193.1","")</f>
        <v/>
      </c>
      <c r="H403" s="17" t="str">
        <f aca="false">IF(AND(Eingabe!$F$10&gt;0,Eingabe!$E$10&gt;=193),"10."&amp;Eingabe!$D$10&amp;".193.10 – 10."&amp;Eingabe!$D$10&amp;".193.250","")</f>
        <v/>
      </c>
      <c r="I403" s="17" t="str">
        <f aca="false">IF(AND(Eingabe!$F$10&gt;0,Eingabe!$E$10&gt;=193),Eingabe!$B$6&amp;"-"&amp;Eingabe!$C$10&amp;"-Pächter","")</f>
        <v/>
      </c>
      <c r="J403" s="17" t="str">
        <f aca="false">IF(AND(Eingabe!$F$10&gt;0,Eingabe!$E$10&gt;=193),"PPSK: Passwort Parzelle 193","")</f>
        <v/>
      </c>
      <c r="K403" s="17" t="str">
        <f aca="false">IF(AND(Eingabe!$F$10&gt;0,Eingabe!$E$10&gt;=193),"1. Gerät: 10."&amp;Eingabe!$D$10&amp;".193.10, 2. Gerät: .11","")</f>
        <v/>
      </c>
    </row>
    <row r="404" customFormat="false" ht="15" hidden="false" customHeight="false" outlineLevel="0" collapsed="false">
      <c r="A404" s="17" t="str">
        <f aca="false">IF(AND(Eingabe!$F$10&gt;0,Eingabe!$E$10&gt;=194),2,"")</f>
        <v/>
      </c>
      <c r="B404" s="17" t="str">
        <f aca="false">IF(AND(Eingabe!$F$10&gt;0,Eingabe!$E$10&gt;=194),Eingabe!$B$10,"")</f>
        <v/>
      </c>
      <c r="C404" s="17" t="str">
        <f aca="false">IF(AND(Eingabe!$F$10&gt;0,Eingabe!$E$10&gt;=194),Eingabe!$C$10&amp;"-Paz."&amp;TEXT(194,"000"),"")</f>
        <v/>
      </c>
      <c r="D404" s="17" t="str">
        <f aca="false">IF(AND(Eingabe!$F$10&gt;0,Eingabe!$E$10&gt;=194),194,"")</f>
        <v/>
      </c>
      <c r="E404" s="17" t="str">
        <f aca="false">IF(AND(Eingabe!$F$10&gt;0,Eingabe!$E$10&gt;=194),IF((Eingabe!$G$10+1)&lt;=9,1000+(Eingabe!$G$10+1)*100,3000)+94,"")</f>
        <v/>
      </c>
      <c r="F404" s="17" t="str">
        <f aca="false">IF(AND(Eingabe!$F$10&gt;0,Eingabe!$E$10&gt;=194),"10."&amp;Eingabe!$D$10&amp;".194.0/24","")</f>
        <v/>
      </c>
      <c r="G404" s="17" t="str">
        <f aca="false">IF(AND(Eingabe!$F$10&gt;0,Eingabe!$E$10&gt;=194),"10."&amp;Eingabe!$D$10&amp;".194.1","")</f>
        <v/>
      </c>
      <c r="H404" s="17" t="str">
        <f aca="false">IF(AND(Eingabe!$F$10&gt;0,Eingabe!$E$10&gt;=194),"10."&amp;Eingabe!$D$10&amp;".194.10 – 10."&amp;Eingabe!$D$10&amp;".194.250","")</f>
        <v/>
      </c>
      <c r="I404" s="17" t="str">
        <f aca="false">IF(AND(Eingabe!$F$10&gt;0,Eingabe!$E$10&gt;=194),Eingabe!$B$6&amp;"-"&amp;Eingabe!$C$10&amp;"-Pächter","")</f>
        <v/>
      </c>
      <c r="J404" s="17" t="str">
        <f aca="false">IF(AND(Eingabe!$F$10&gt;0,Eingabe!$E$10&gt;=194),"PPSK: Passwort Parzelle 194","")</f>
        <v/>
      </c>
      <c r="K404" s="17" t="str">
        <f aca="false">IF(AND(Eingabe!$F$10&gt;0,Eingabe!$E$10&gt;=194),"1. Gerät: 10."&amp;Eingabe!$D$10&amp;".194.10, 2. Gerät: .11","")</f>
        <v/>
      </c>
    </row>
    <row r="405" customFormat="false" ht="15" hidden="false" customHeight="false" outlineLevel="0" collapsed="false">
      <c r="A405" s="17" t="str">
        <f aca="false">IF(AND(Eingabe!$F$10&gt;0,Eingabe!$E$10&gt;=195),2,"")</f>
        <v/>
      </c>
      <c r="B405" s="17" t="str">
        <f aca="false">IF(AND(Eingabe!$F$10&gt;0,Eingabe!$E$10&gt;=195),Eingabe!$B$10,"")</f>
        <v/>
      </c>
      <c r="C405" s="17" t="str">
        <f aca="false">IF(AND(Eingabe!$F$10&gt;0,Eingabe!$E$10&gt;=195),Eingabe!$C$10&amp;"-Paz."&amp;TEXT(195,"000"),"")</f>
        <v/>
      </c>
      <c r="D405" s="17" t="str">
        <f aca="false">IF(AND(Eingabe!$F$10&gt;0,Eingabe!$E$10&gt;=195),195,"")</f>
        <v/>
      </c>
      <c r="E405" s="17" t="str">
        <f aca="false">IF(AND(Eingabe!$F$10&gt;0,Eingabe!$E$10&gt;=195),IF((Eingabe!$G$10+1)&lt;=9,1000+(Eingabe!$G$10+1)*100,3000)+95,"")</f>
        <v/>
      </c>
      <c r="F405" s="17" t="str">
        <f aca="false">IF(AND(Eingabe!$F$10&gt;0,Eingabe!$E$10&gt;=195),"10."&amp;Eingabe!$D$10&amp;".195.0/24","")</f>
        <v/>
      </c>
      <c r="G405" s="17" t="str">
        <f aca="false">IF(AND(Eingabe!$F$10&gt;0,Eingabe!$E$10&gt;=195),"10."&amp;Eingabe!$D$10&amp;".195.1","")</f>
        <v/>
      </c>
      <c r="H405" s="17" t="str">
        <f aca="false">IF(AND(Eingabe!$F$10&gt;0,Eingabe!$E$10&gt;=195),"10."&amp;Eingabe!$D$10&amp;".195.10 – 10."&amp;Eingabe!$D$10&amp;".195.250","")</f>
        <v/>
      </c>
      <c r="I405" s="17" t="str">
        <f aca="false">IF(AND(Eingabe!$F$10&gt;0,Eingabe!$E$10&gt;=195),Eingabe!$B$6&amp;"-"&amp;Eingabe!$C$10&amp;"-Pächter","")</f>
        <v/>
      </c>
      <c r="J405" s="17" t="str">
        <f aca="false">IF(AND(Eingabe!$F$10&gt;0,Eingabe!$E$10&gt;=195),"PPSK: Passwort Parzelle 195","")</f>
        <v/>
      </c>
      <c r="K405" s="17" t="str">
        <f aca="false">IF(AND(Eingabe!$F$10&gt;0,Eingabe!$E$10&gt;=195),"1. Gerät: 10."&amp;Eingabe!$D$10&amp;".195.10, 2. Gerät: .11","")</f>
        <v/>
      </c>
    </row>
    <row r="406" customFormat="false" ht="15" hidden="false" customHeight="false" outlineLevel="0" collapsed="false">
      <c r="A406" s="17" t="str">
        <f aca="false">IF(AND(Eingabe!$F$10&gt;0,Eingabe!$E$10&gt;=196),2,"")</f>
        <v/>
      </c>
      <c r="B406" s="17" t="str">
        <f aca="false">IF(AND(Eingabe!$F$10&gt;0,Eingabe!$E$10&gt;=196),Eingabe!$B$10,"")</f>
        <v/>
      </c>
      <c r="C406" s="17" t="str">
        <f aca="false">IF(AND(Eingabe!$F$10&gt;0,Eingabe!$E$10&gt;=196),Eingabe!$C$10&amp;"-Paz."&amp;TEXT(196,"000"),"")</f>
        <v/>
      </c>
      <c r="D406" s="17" t="str">
        <f aca="false">IF(AND(Eingabe!$F$10&gt;0,Eingabe!$E$10&gt;=196),196,"")</f>
        <v/>
      </c>
      <c r="E406" s="17" t="str">
        <f aca="false">IF(AND(Eingabe!$F$10&gt;0,Eingabe!$E$10&gt;=196),IF((Eingabe!$G$10+1)&lt;=9,1000+(Eingabe!$G$10+1)*100,3000)+96,"")</f>
        <v/>
      </c>
      <c r="F406" s="17" t="str">
        <f aca="false">IF(AND(Eingabe!$F$10&gt;0,Eingabe!$E$10&gt;=196),"10."&amp;Eingabe!$D$10&amp;".196.0/24","")</f>
        <v/>
      </c>
      <c r="G406" s="17" t="str">
        <f aca="false">IF(AND(Eingabe!$F$10&gt;0,Eingabe!$E$10&gt;=196),"10."&amp;Eingabe!$D$10&amp;".196.1","")</f>
        <v/>
      </c>
      <c r="H406" s="17" t="str">
        <f aca="false">IF(AND(Eingabe!$F$10&gt;0,Eingabe!$E$10&gt;=196),"10."&amp;Eingabe!$D$10&amp;".196.10 – 10."&amp;Eingabe!$D$10&amp;".196.250","")</f>
        <v/>
      </c>
      <c r="I406" s="17" t="str">
        <f aca="false">IF(AND(Eingabe!$F$10&gt;0,Eingabe!$E$10&gt;=196),Eingabe!$B$6&amp;"-"&amp;Eingabe!$C$10&amp;"-Pächter","")</f>
        <v/>
      </c>
      <c r="J406" s="17" t="str">
        <f aca="false">IF(AND(Eingabe!$F$10&gt;0,Eingabe!$E$10&gt;=196),"PPSK: Passwort Parzelle 196","")</f>
        <v/>
      </c>
      <c r="K406" s="17" t="str">
        <f aca="false">IF(AND(Eingabe!$F$10&gt;0,Eingabe!$E$10&gt;=196),"1. Gerät: 10."&amp;Eingabe!$D$10&amp;".196.10, 2. Gerät: .11","")</f>
        <v/>
      </c>
    </row>
    <row r="407" customFormat="false" ht="15" hidden="false" customHeight="false" outlineLevel="0" collapsed="false">
      <c r="A407" s="17" t="str">
        <f aca="false">IF(AND(Eingabe!$F$10&gt;0,Eingabe!$E$10&gt;=197),2,"")</f>
        <v/>
      </c>
      <c r="B407" s="17" t="str">
        <f aca="false">IF(AND(Eingabe!$F$10&gt;0,Eingabe!$E$10&gt;=197),Eingabe!$B$10,"")</f>
        <v/>
      </c>
      <c r="C407" s="17" t="str">
        <f aca="false">IF(AND(Eingabe!$F$10&gt;0,Eingabe!$E$10&gt;=197),Eingabe!$C$10&amp;"-Paz."&amp;TEXT(197,"000"),"")</f>
        <v/>
      </c>
      <c r="D407" s="17" t="str">
        <f aca="false">IF(AND(Eingabe!$F$10&gt;0,Eingabe!$E$10&gt;=197),197,"")</f>
        <v/>
      </c>
      <c r="E407" s="17" t="str">
        <f aca="false">IF(AND(Eingabe!$F$10&gt;0,Eingabe!$E$10&gt;=197),IF((Eingabe!$G$10+1)&lt;=9,1000+(Eingabe!$G$10+1)*100,3000)+97,"")</f>
        <v/>
      </c>
      <c r="F407" s="17" t="str">
        <f aca="false">IF(AND(Eingabe!$F$10&gt;0,Eingabe!$E$10&gt;=197),"10."&amp;Eingabe!$D$10&amp;".197.0/24","")</f>
        <v/>
      </c>
      <c r="G407" s="17" t="str">
        <f aca="false">IF(AND(Eingabe!$F$10&gt;0,Eingabe!$E$10&gt;=197),"10."&amp;Eingabe!$D$10&amp;".197.1","")</f>
        <v/>
      </c>
      <c r="H407" s="17" t="str">
        <f aca="false">IF(AND(Eingabe!$F$10&gt;0,Eingabe!$E$10&gt;=197),"10."&amp;Eingabe!$D$10&amp;".197.10 – 10."&amp;Eingabe!$D$10&amp;".197.250","")</f>
        <v/>
      </c>
      <c r="I407" s="17" t="str">
        <f aca="false">IF(AND(Eingabe!$F$10&gt;0,Eingabe!$E$10&gt;=197),Eingabe!$B$6&amp;"-"&amp;Eingabe!$C$10&amp;"-Pächter","")</f>
        <v/>
      </c>
      <c r="J407" s="17" t="str">
        <f aca="false">IF(AND(Eingabe!$F$10&gt;0,Eingabe!$E$10&gt;=197),"PPSK: Passwort Parzelle 197","")</f>
        <v/>
      </c>
      <c r="K407" s="17" t="str">
        <f aca="false">IF(AND(Eingabe!$F$10&gt;0,Eingabe!$E$10&gt;=197),"1. Gerät: 10."&amp;Eingabe!$D$10&amp;".197.10, 2. Gerät: .11","")</f>
        <v/>
      </c>
    </row>
    <row r="408" customFormat="false" ht="15" hidden="false" customHeight="false" outlineLevel="0" collapsed="false">
      <c r="A408" s="17" t="str">
        <f aca="false">IF(AND(Eingabe!$F$10&gt;0,Eingabe!$E$10&gt;=198),2,"")</f>
        <v/>
      </c>
      <c r="B408" s="17" t="str">
        <f aca="false">IF(AND(Eingabe!$F$10&gt;0,Eingabe!$E$10&gt;=198),Eingabe!$B$10,"")</f>
        <v/>
      </c>
      <c r="C408" s="17" t="str">
        <f aca="false">IF(AND(Eingabe!$F$10&gt;0,Eingabe!$E$10&gt;=198),Eingabe!$C$10&amp;"-Paz."&amp;TEXT(198,"000"),"")</f>
        <v/>
      </c>
      <c r="D408" s="17" t="str">
        <f aca="false">IF(AND(Eingabe!$F$10&gt;0,Eingabe!$E$10&gt;=198),198,"")</f>
        <v/>
      </c>
      <c r="E408" s="17" t="str">
        <f aca="false">IF(AND(Eingabe!$F$10&gt;0,Eingabe!$E$10&gt;=198),IF((Eingabe!$G$10+1)&lt;=9,1000+(Eingabe!$G$10+1)*100,3000)+98,"")</f>
        <v/>
      </c>
      <c r="F408" s="17" t="str">
        <f aca="false">IF(AND(Eingabe!$F$10&gt;0,Eingabe!$E$10&gt;=198),"10."&amp;Eingabe!$D$10&amp;".198.0/24","")</f>
        <v/>
      </c>
      <c r="G408" s="17" t="str">
        <f aca="false">IF(AND(Eingabe!$F$10&gt;0,Eingabe!$E$10&gt;=198),"10."&amp;Eingabe!$D$10&amp;".198.1","")</f>
        <v/>
      </c>
      <c r="H408" s="17" t="str">
        <f aca="false">IF(AND(Eingabe!$F$10&gt;0,Eingabe!$E$10&gt;=198),"10."&amp;Eingabe!$D$10&amp;".198.10 – 10."&amp;Eingabe!$D$10&amp;".198.250","")</f>
        <v/>
      </c>
      <c r="I408" s="17" t="str">
        <f aca="false">IF(AND(Eingabe!$F$10&gt;0,Eingabe!$E$10&gt;=198),Eingabe!$B$6&amp;"-"&amp;Eingabe!$C$10&amp;"-Pächter","")</f>
        <v/>
      </c>
      <c r="J408" s="17" t="str">
        <f aca="false">IF(AND(Eingabe!$F$10&gt;0,Eingabe!$E$10&gt;=198),"PPSK: Passwort Parzelle 198","")</f>
        <v/>
      </c>
      <c r="K408" s="17" t="str">
        <f aca="false">IF(AND(Eingabe!$F$10&gt;0,Eingabe!$E$10&gt;=198),"1. Gerät: 10."&amp;Eingabe!$D$10&amp;".198.10, 2. Gerät: .11","")</f>
        <v/>
      </c>
    </row>
    <row r="409" customFormat="false" ht="15" hidden="false" customHeight="false" outlineLevel="0" collapsed="false">
      <c r="A409" s="17" t="str">
        <f aca="false">IF(AND(Eingabe!$F$10&gt;0,Eingabe!$E$10&gt;=199),2,"")</f>
        <v/>
      </c>
      <c r="B409" s="17" t="str">
        <f aca="false">IF(AND(Eingabe!$F$10&gt;0,Eingabe!$E$10&gt;=199),Eingabe!$B$10,"")</f>
        <v/>
      </c>
      <c r="C409" s="17" t="str">
        <f aca="false">IF(AND(Eingabe!$F$10&gt;0,Eingabe!$E$10&gt;=199),Eingabe!$C$10&amp;"-Paz."&amp;TEXT(199,"000"),"")</f>
        <v/>
      </c>
      <c r="D409" s="17" t="str">
        <f aca="false">IF(AND(Eingabe!$F$10&gt;0,Eingabe!$E$10&gt;=199),199,"")</f>
        <v/>
      </c>
      <c r="E409" s="17" t="str">
        <f aca="false">IF(AND(Eingabe!$F$10&gt;0,Eingabe!$E$10&gt;=199),IF((Eingabe!$G$10+1)&lt;=9,1000+(Eingabe!$G$10+1)*100,3000)+99,"")</f>
        <v/>
      </c>
      <c r="F409" s="17" t="str">
        <f aca="false">IF(AND(Eingabe!$F$10&gt;0,Eingabe!$E$10&gt;=199),"10."&amp;Eingabe!$D$10&amp;".199.0/24","")</f>
        <v/>
      </c>
      <c r="G409" s="17" t="str">
        <f aca="false">IF(AND(Eingabe!$F$10&gt;0,Eingabe!$E$10&gt;=199),"10."&amp;Eingabe!$D$10&amp;".199.1","")</f>
        <v/>
      </c>
      <c r="H409" s="17" t="str">
        <f aca="false">IF(AND(Eingabe!$F$10&gt;0,Eingabe!$E$10&gt;=199),"10."&amp;Eingabe!$D$10&amp;".199.10 – 10."&amp;Eingabe!$D$10&amp;".199.250","")</f>
        <v/>
      </c>
      <c r="I409" s="17" t="str">
        <f aca="false">IF(AND(Eingabe!$F$10&gt;0,Eingabe!$E$10&gt;=199),Eingabe!$B$6&amp;"-"&amp;Eingabe!$C$10&amp;"-Pächter","")</f>
        <v/>
      </c>
      <c r="J409" s="17" t="str">
        <f aca="false">IF(AND(Eingabe!$F$10&gt;0,Eingabe!$E$10&gt;=199),"PPSK: Passwort Parzelle 199","")</f>
        <v/>
      </c>
      <c r="K409" s="17" t="str">
        <f aca="false">IF(AND(Eingabe!$F$10&gt;0,Eingabe!$E$10&gt;=199),"1. Gerät: 10."&amp;Eingabe!$D$10&amp;".199.10, 2. Gerät: .11","")</f>
        <v/>
      </c>
    </row>
    <row r="410" customFormat="false" ht="15" hidden="false" customHeight="false" outlineLevel="0" collapsed="false">
      <c r="A410" s="19" t="n">
        <f aca="false">IF(Eingabe!$F$11&gt;0,3,"")</f>
        <v>3</v>
      </c>
      <c r="B410" s="19" t="str">
        <f aca="false">IF(Eingabe!$F$11&gt;0,Eingabe!$B$11,"")</f>
        <v>Sonnenwinkel</v>
      </c>
      <c r="C410" s="19" t="str">
        <f aca="false">IF(Eingabe!$F$11&gt;0,Eingabe!$C$11&amp;"-Vorstand","")</f>
        <v>SW-Vorstand</v>
      </c>
      <c r="D410" s="19"/>
      <c r="E410" s="19" t="n">
        <f aca="false">IF(Eingabe!$F$11&gt;0,2000+Eingabe!$G$11*10+1,"")</f>
        <v>2031</v>
      </c>
      <c r="F410" s="19" t="str">
        <f aca="false">IF(Eingabe!$F$11&gt;0,"10."&amp;Eingabe!$D$11&amp;".200.0/24","")</f>
        <v>10.3.200.0/24</v>
      </c>
      <c r="G410" s="19" t="str">
        <f aca="false">IF(Eingabe!$F$11&gt;0,"10."&amp;Eingabe!$D$11&amp;".200.1","")</f>
        <v>10.3.200.1</v>
      </c>
      <c r="H410" s="19" t="str">
        <f aca="false">IF(Eingabe!$F$11&gt;0,"10."&amp;Eingabe!$D$11&amp;".200.10 – "&amp;"10."&amp;Eingabe!$D$11&amp;".200.250","")</f>
        <v>10.3.200.10 – 10.3.200.250</v>
      </c>
      <c r="I410" s="19" t="str">
        <f aca="false">IF(Eingabe!$F$11&gt;0,Eingabe!$B$6&amp;"-"&amp;Eingabe!$C$11&amp;"-Vorstand","")</f>
        <v>SparteNet.de-SW-Vorstand</v>
      </c>
      <c r="J410" s="19" t="str">
        <f aca="false">IF(Eingabe!$F$11&gt;0,"eigenes WLAN Vorstand","")</f>
        <v>eigenes WLAN Vorstand</v>
      </c>
      <c r="K410" s="19" t="str">
        <f aca="false">IF(Eingabe!$F$11&gt;0,"Vorstand-Laptop: "&amp;"10."&amp;Eingabe!$D$11&amp;".200.10","")</f>
        <v>Vorstand-Laptop: 10.3.200.10</v>
      </c>
    </row>
    <row r="411" customFormat="false" ht="15" hidden="false" customHeight="false" outlineLevel="0" collapsed="false">
      <c r="A411" s="19" t="n">
        <f aca="false">IF(Eingabe!$F$11&gt;0,3,"")</f>
        <v>3</v>
      </c>
      <c r="B411" s="19" t="str">
        <f aca="false">IF(Eingabe!$F$11&gt;0,Eingabe!$B$11,"")</f>
        <v>Sonnenwinkel</v>
      </c>
      <c r="C411" s="19" t="str">
        <f aca="false">IF(Eingabe!$F$11&gt;0,Eingabe!$C$11&amp;"-Gäste","")</f>
        <v>SW-Gäste</v>
      </c>
      <c r="D411" s="19"/>
      <c r="E411" s="19" t="n">
        <f aca="false">IF(Eingabe!$F$11&gt;0,2000+Eingabe!$G$11*10+2,"")</f>
        <v>2032</v>
      </c>
      <c r="F411" s="19" t="str">
        <f aca="false">IF(Eingabe!$F$11&gt;0,"10."&amp;Eingabe!$D$11&amp;".201.0/24","")</f>
        <v>10.3.201.0/24</v>
      </c>
      <c r="G411" s="19" t="str">
        <f aca="false">IF(Eingabe!$F$11&gt;0,"10."&amp;Eingabe!$D$11&amp;".201.1","")</f>
        <v>10.3.201.1</v>
      </c>
      <c r="H411" s="19" t="str">
        <f aca="false">IF(Eingabe!$F$11&gt;0,"10."&amp;Eingabe!$D$11&amp;".201.10 – "&amp;"10."&amp;Eingabe!$D$11&amp;".201.250","")</f>
        <v>10.3.201.10 – 10.3.201.250</v>
      </c>
      <c r="I411" s="19" t="str">
        <f aca="false">IF(Eingabe!$F$11&gt;0,Eingabe!$B$6&amp;"-"&amp;Eingabe!$C$11&amp;"-Gäste","")</f>
        <v>SparteNet.de-SW-Gäste</v>
      </c>
      <c r="J411" s="19" t="str">
        <f aca="false">IF(Eingabe!$F$11&gt;0,"Voucher-Portal, isoliert","")</f>
        <v>Voucher-Portal, isoliert</v>
      </c>
      <c r="K411" s="19" t="str">
        <f aca="false">IF(Eingabe!$F$11&gt;0,"Gast-Handy: "&amp;"10."&amp;Eingabe!$D$11&amp;".201.10","")</f>
        <v>Gast-Handy: 10.3.201.10</v>
      </c>
    </row>
    <row r="412" customFormat="false" ht="15" hidden="false" customHeight="false" outlineLevel="0" collapsed="false">
      <c r="A412" s="19" t="n">
        <f aca="false">IF(Eingabe!$F$11&gt;0,3,"")</f>
        <v>3</v>
      </c>
      <c r="B412" s="19" t="str">
        <f aca="false">IF(Eingabe!$F$11&gt;0,Eingabe!$B$11,"")</f>
        <v>Sonnenwinkel</v>
      </c>
      <c r="C412" s="19" t="str">
        <f aca="false">IF(Eingabe!$F$11&gt;0,Eingabe!$C$11&amp;"-Technik","")</f>
        <v>SW-Technik</v>
      </c>
      <c r="D412" s="19"/>
      <c r="E412" s="19" t="n">
        <f aca="false">IF(Eingabe!$F$11&gt;0,2000+Eingabe!$G$11*10+9,"")</f>
        <v>2039</v>
      </c>
      <c r="F412" s="19" t="str">
        <f aca="false">IF(Eingabe!$F$11&gt;0,"10."&amp;Eingabe!$D$11&amp;".250.0/24","")</f>
        <v>10.3.250.0/24</v>
      </c>
      <c r="G412" s="19" t="str">
        <f aca="false">IF(Eingabe!$F$11&gt;0,"10."&amp;Eingabe!$D$11&amp;".250.1","")</f>
        <v>10.3.250.1</v>
      </c>
      <c r="H412" s="19" t="str">
        <f aca="false">IF(Eingabe!$F$11&gt;0,"10."&amp;Eingabe!$D$11&amp;".250.10 – "&amp;"10."&amp;Eingabe!$D$11&amp;".250.250","")</f>
        <v>10.3.250.10 – 10.3.250.250</v>
      </c>
      <c r="I412" s="19" t="str">
        <f aca="false">IF(Eingabe!$F$11&gt;0,"–","")</f>
        <v>–</v>
      </c>
      <c r="J412" s="19" t="str">
        <f aca="false">IF(Eingabe!$F$11&gt;0,"Mast-Switches und Access Points","")</f>
        <v>Mast-Switches und Access Points</v>
      </c>
      <c r="K412" s="19" t="str">
        <f aca="false">IF(Eingabe!$F$11&gt;0,"Access Point 1: "&amp;"10."&amp;Eingabe!$D$11&amp;".250.51","")</f>
        <v>Access Point 1: 10.3.250.51</v>
      </c>
    </row>
    <row r="413" customFormat="false" ht="15" hidden="false" customHeight="false" outlineLevel="0" collapsed="false">
      <c r="A413" s="19" t="n">
        <f aca="false">IF(AND(Eingabe!$F$11&gt;0,Eingabe!$E$11&gt;=1),3,"")</f>
        <v>3</v>
      </c>
      <c r="B413" s="19" t="str">
        <f aca="false">IF(AND(Eingabe!$F$11&gt;0,Eingabe!$E$11&gt;=1),Eingabe!$B$11,"")</f>
        <v>Sonnenwinkel</v>
      </c>
      <c r="C413" s="19" t="str">
        <f aca="false">IF(AND(Eingabe!$F$11&gt;0,Eingabe!$E$11&gt;=1),Eingabe!$C$11&amp;"-Paz."&amp;TEXT(1,"000"),"")</f>
        <v>SW-Paz.001</v>
      </c>
      <c r="D413" s="19" t="n">
        <f aca="false">IF(AND(Eingabe!$F$11&gt;0,Eingabe!$E$11&gt;=1),1,"")</f>
        <v>1</v>
      </c>
      <c r="E413" s="19" t="n">
        <f aca="false">IF(AND(Eingabe!$F$11&gt;0,Eingabe!$E$11&gt;=1),IF((Eingabe!$G$11)&lt;=9,1000+(Eingabe!$G$11)*100,3000)+1,"")</f>
        <v>1301</v>
      </c>
      <c r="F413" s="19" t="str">
        <f aca="false">IF(AND(Eingabe!$F$11&gt;0,Eingabe!$E$11&gt;=1),"10."&amp;Eingabe!$D$11&amp;".1.0/24","")</f>
        <v>10.3.1.0/24</v>
      </c>
      <c r="G413" s="19" t="str">
        <f aca="false">IF(AND(Eingabe!$F$11&gt;0,Eingabe!$E$11&gt;=1),"10."&amp;Eingabe!$D$11&amp;".1.1","")</f>
        <v>10.3.1.1</v>
      </c>
      <c r="H413" s="19" t="str">
        <f aca="false">IF(AND(Eingabe!$F$11&gt;0,Eingabe!$E$11&gt;=1),"10."&amp;Eingabe!$D$11&amp;".1.10 – 10."&amp;Eingabe!$D$11&amp;".1.250","")</f>
        <v>10.3.1.10 – 10.3.1.250</v>
      </c>
      <c r="I413" s="19" t="str">
        <f aca="false">IF(AND(Eingabe!$F$11&gt;0,Eingabe!$E$11&gt;=1),Eingabe!$B$6&amp;"-"&amp;Eingabe!$C$11&amp;"-Pächter","")</f>
        <v>SparteNet.de-SW-Pächter</v>
      </c>
      <c r="J413" s="19" t="str">
        <f aca="false">IF(AND(Eingabe!$F$11&gt;0,Eingabe!$E$11&gt;=1),"PPSK: Passwort Parzelle 1","")</f>
        <v>PPSK: Passwort Parzelle 1</v>
      </c>
      <c r="K413" s="19" t="str">
        <f aca="false">IF(AND(Eingabe!$F$11&gt;0,Eingabe!$E$11&gt;=1),"1. Gerät: 10."&amp;Eingabe!$D$11&amp;".1.10, 2. Gerät: .11","")</f>
        <v>1. Gerät: 10.3.1.10, 2. Gerät: .11</v>
      </c>
    </row>
    <row r="414" customFormat="false" ht="15" hidden="false" customHeight="false" outlineLevel="0" collapsed="false">
      <c r="A414" s="19" t="n">
        <f aca="false">IF(AND(Eingabe!$F$11&gt;0,Eingabe!$E$11&gt;=2),3,"")</f>
        <v>3</v>
      </c>
      <c r="B414" s="19" t="str">
        <f aca="false">IF(AND(Eingabe!$F$11&gt;0,Eingabe!$E$11&gt;=2),Eingabe!$B$11,"")</f>
        <v>Sonnenwinkel</v>
      </c>
      <c r="C414" s="19" t="str">
        <f aca="false">IF(AND(Eingabe!$F$11&gt;0,Eingabe!$E$11&gt;=2),Eingabe!$C$11&amp;"-Paz."&amp;TEXT(2,"000"),"")</f>
        <v>SW-Paz.002</v>
      </c>
      <c r="D414" s="19" t="n">
        <f aca="false">IF(AND(Eingabe!$F$11&gt;0,Eingabe!$E$11&gt;=2),2,"")</f>
        <v>2</v>
      </c>
      <c r="E414" s="19" t="n">
        <f aca="false">IF(AND(Eingabe!$F$11&gt;0,Eingabe!$E$11&gt;=2),IF((Eingabe!$G$11)&lt;=9,1000+(Eingabe!$G$11)*100,3000)+2,"")</f>
        <v>1302</v>
      </c>
      <c r="F414" s="19" t="str">
        <f aca="false">IF(AND(Eingabe!$F$11&gt;0,Eingabe!$E$11&gt;=2),"10."&amp;Eingabe!$D$11&amp;".2.0/24","")</f>
        <v>10.3.2.0/24</v>
      </c>
      <c r="G414" s="19" t="str">
        <f aca="false">IF(AND(Eingabe!$F$11&gt;0,Eingabe!$E$11&gt;=2),"10."&amp;Eingabe!$D$11&amp;".2.1","")</f>
        <v>10.3.2.1</v>
      </c>
      <c r="H414" s="19" t="str">
        <f aca="false">IF(AND(Eingabe!$F$11&gt;0,Eingabe!$E$11&gt;=2),"10."&amp;Eingabe!$D$11&amp;".2.10 – 10."&amp;Eingabe!$D$11&amp;".2.250","")</f>
        <v>10.3.2.10 – 10.3.2.250</v>
      </c>
      <c r="I414" s="19" t="str">
        <f aca="false">IF(AND(Eingabe!$F$11&gt;0,Eingabe!$E$11&gt;=2),Eingabe!$B$6&amp;"-"&amp;Eingabe!$C$11&amp;"-Pächter","")</f>
        <v>SparteNet.de-SW-Pächter</v>
      </c>
      <c r="J414" s="19" t="str">
        <f aca="false">IF(AND(Eingabe!$F$11&gt;0,Eingabe!$E$11&gt;=2),"PPSK: Passwort Parzelle 2","")</f>
        <v>PPSK: Passwort Parzelle 2</v>
      </c>
      <c r="K414" s="19" t="str">
        <f aca="false">IF(AND(Eingabe!$F$11&gt;0,Eingabe!$E$11&gt;=2),"1. Gerät: 10."&amp;Eingabe!$D$11&amp;".2.10, 2. Gerät: .11","")</f>
        <v>1. Gerät: 10.3.2.10, 2. Gerät: .11</v>
      </c>
    </row>
    <row r="415" customFormat="false" ht="15" hidden="false" customHeight="false" outlineLevel="0" collapsed="false">
      <c r="A415" s="19" t="n">
        <f aca="false">IF(AND(Eingabe!$F$11&gt;0,Eingabe!$E$11&gt;=3),3,"")</f>
        <v>3</v>
      </c>
      <c r="B415" s="19" t="str">
        <f aca="false">IF(AND(Eingabe!$F$11&gt;0,Eingabe!$E$11&gt;=3),Eingabe!$B$11,"")</f>
        <v>Sonnenwinkel</v>
      </c>
      <c r="C415" s="19" t="str">
        <f aca="false">IF(AND(Eingabe!$F$11&gt;0,Eingabe!$E$11&gt;=3),Eingabe!$C$11&amp;"-Paz."&amp;TEXT(3,"000"),"")</f>
        <v>SW-Paz.003</v>
      </c>
      <c r="D415" s="19" t="n">
        <f aca="false">IF(AND(Eingabe!$F$11&gt;0,Eingabe!$E$11&gt;=3),3,"")</f>
        <v>3</v>
      </c>
      <c r="E415" s="19" t="n">
        <f aca="false">IF(AND(Eingabe!$F$11&gt;0,Eingabe!$E$11&gt;=3),IF((Eingabe!$G$11)&lt;=9,1000+(Eingabe!$G$11)*100,3000)+3,"")</f>
        <v>1303</v>
      </c>
      <c r="F415" s="19" t="str">
        <f aca="false">IF(AND(Eingabe!$F$11&gt;0,Eingabe!$E$11&gt;=3),"10."&amp;Eingabe!$D$11&amp;".3.0/24","")</f>
        <v>10.3.3.0/24</v>
      </c>
      <c r="G415" s="19" t="str">
        <f aca="false">IF(AND(Eingabe!$F$11&gt;0,Eingabe!$E$11&gt;=3),"10."&amp;Eingabe!$D$11&amp;".3.1","")</f>
        <v>10.3.3.1</v>
      </c>
      <c r="H415" s="19" t="str">
        <f aca="false">IF(AND(Eingabe!$F$11&gt;0,Eingabe!$E$11&gt;=3),"10."&amp;Eingabe!$D$11&amp;".3.10 – 10."&amp;Eingabe!$D$11&amp;".3.250","")</f>
        <v>10.3.3.10 – 10.3.3.250</v>
      </c>
      <c r="I415" s="19" t="str">
        <f aca="false">IF(AND(Eingabe!$F$11&gt;0,Eingabe!$E$11&gt;=3),Eingabe!$B$6&amp;"-"&amp;Eingabe!$C$11&amp;"-Pächter","")</f>
        <v>SparteNet.de-SW-Pächter</v>
      </c>
      <c r="J415" s="19" t="str">
        <f aca="false">IF(AND(Eingabe!$F$11&gt;0,Eingabe!$E$11&gt;=3),"PPSK: Passwort Parzelle 3","")</f>
        <v>PPSK: Passwort Parzelle 3</v>
      </c>
      <c r="K415" s="19" t="str">
        <f aca="false">IF(AND(Eingabe!$F$11&gt;0,Eingabe!$E$11&gt;=3),"1. Gerät: 10."&amp;Eingabe!$D$11&amp;".3.10, 2. Gerät: .11","")</f>
        <v>1. Gerät: 10.3.3.10, 2. Gerät: .11</v>
      </c>
    </row>
    <row r="416" customFormat="false" ht="15" hidden="false" customHeight="false" outlineLevel="0" collapsed="false">
      <c r="A416" s="19" t="n">
        <f aca="false">IF(AND(Eingabe!$F$11&gt;0,Eingabe!$E$11&gt;=4),3,"")</f>
        <v>3</v>
      </c>
      <c r="B416" s="19" t="str">
        <f aca="false">IF(AND(Eingabe!$F$11&gt;0,Eingabe!$E$11&gt;=4),Eingabe!$B$11,"")</f>
        <v>Sonnenwinkel</v>
      </c>
      <c r="C416" s="19" t="str">
        <f aca="false">IF(AND(Eingabe!$F$11&gt;0,Eingabe!$E$11&gt;=4),Eingabe!$C$11&amp;"-Paz."&amp;TEXT(4,"000"),"")</f>
        <v>SW-Paz.004</v>
      </c>
      <c r="D416" s="19" t="n">
        <f aca="false">IF(AND(Eingabe!$F$11&gt;0,Eingabe!$E$11&gt;=4),4,"")</f>
        <v>4</v>
      </c>
      <c r="E416" s="19" t="n">
        <f aca="false">IF(AND(Eingabe!$F$11&gt;0,Eingabe!$E$11&gt;=4),IF((Eingabe!$G$11)&lt;=9,1000+(Eingabe!$G$11)*100,3000)+4,"")</f>
        <v>1304</v>
      </c>
      <c r="F416" s="19" t="str">
        <f aca="false">IF(AND(Eingabe!$F$11&gt;0,Eingabe!$E$11&gt;=4),"10."&amp;Eingabe!$D$11&amp;".4.0/24","")</f>
        <v>10.3.4.0/24</v>
      </c>
      <c r="G416" s="19" t="str">
        <f aca="false">IF(AND(Eingabe!$F$11&gt;0,Eingabe!$E$11&gt;=4),"10."&amp;Eingabe!$D$11&amp;".4.1","")</f>
        <v>10.3.4.1</v>
      </c>
      <c r="H416" s="19" t="str">
        <f aca="false">IF(AND(Eingabe!$F$11&gt;0,Eingabe!$E$11&gt;=4),"10."&amp;Eingabe!$D$11&amp;".4.10 – 10."&amp;Eingabe!$D$11&amp;".4.250","")</f>
        <v>10.3.4.10 – 10.3.4.250</v>
      </c>
      <c r="I416" s="19" t="str">
        <f aca="false">IF(AND(Eingabe!$F$11&gt;0,Eingabe!$E$11&gt;=4),Eingabe!$B$6&amp;"-"&amp;Eingabe!$C$11&amp;"-Pächter","")</f>
        <v>SparteNet.de-SW-Pächter</v>
      </c>
      <c r="J416" s="19" t="str">
        <f aca="false">IF(AND(Eingabe!$F$11&gt;0,Eingabe!$E$11&gt;=4),"PPSK: Passwort Parzelle 4","")</f>
        <v>PPSK: Passwort Parzelle 4</v>
      </c>
      <c r="K416" s="19" t="str">
        <f aca="false">IF(AND(Eingabe!$F$11&gt;0,Eingabe!$E$11&gt;=4),"1. Gerät: 10."&amp;Eingabe!$D$11&amp;".4.10, 2. Gerät: .11","")</f>
        <v>1. Gerät: 10.3.4.10, 2. Gerät: .11</v>
      </c>
    </row>
    <row r="417" customFormat="false" ht="15" hidden="false" customHeight="false" outlineLevel="0" collapsed="false">
      <c r="A417" s="19" t="n">
        <f aca="false">IF(AND(Eingabe!$F$11&gt;0,Eingabe!$E$11&gt;=5),3,"")</f>
        <v>3</v>
      </c>
      <c r="B417" s="19" t="str">
        <f aca="false">IF(AND(Eingabe!$F$11&gt;0,Eingabe!$E$11&gt;=5),Eingabe!$B$11,"")</f>
        <v>Sonnenwinkel</v>
      </c>
      <c r="C417" s="19" t="str">
        <f aca="false">IF(AND(Eingabe!$F$11&gt;0,Eingabe!$E$11&gt;=5),Eingabe!$C$11&amp;"-Paz."&amp;TEXT(5,"000"),"")</f>
        <v>SW-Paz.005</v>
      </c>
      <c r="D417" s="19" t="n">
        <f aca="false">IF(AND(Eingabe!$F$11&gt;0,Eingabe!$E$11&gt;=5),5,"")</f>
        <v>5</v>
      </c>
      <c r="E417" s="19" t="n">
        <f aca="false">IF(AND(Eingabe!$F$11&gt;0,Eingabe!$E$11&gt;=5),IF((Eingabe!$G$11)&lt;=9,1000+(Eingabe!$G$11)*100,3000)+5,"")</f>
        <v>1305</v>
      </c>
      <c r="F417" s="19" t="str">
        <f aca="false">IF(AND(Eingabe!$F$11&gt;0,Eingabe!$E$11&gt;=5),"10."&amp;Eingabe!$D$11&amp;".5.0/24","")</f>
        <v>10.3.5.0/24</v>
      </c>
      <c r="G417" s="19" t="str">
        <f aca="false">IF(AND(Eingabe!$F$11&gt;0,Eingabe!$E$11&gt;=5),"10."&amp;Eingabe!$D$11&amp;".5.1","")</f>
        <v>10.3.5.1</v>
      </c>
      <c r="H417" s="19" t="str">
        <f aca="false">IF(AND(Eingabe!$F$11&gt;0,Eingabe!$E$11&gt;=5),"10."&amp;Eingabe!$D$11&amp;".5.10 – 10."&amp;Eingabe!$D$11&amp;".5.250","")</f>
        <v>10.3.5.10 – 10.3.5.250</v>
      </c>
      <c r="I417" s="19" t="str">
        <f aca="false">IF(AND(Eingabe!$F$11&gt;0,Eingabe!$E$11&gt;=5),Eingabe!$B$6&amp;"-"&amp;Eingabe!$C$11&amp;"-Pächter","")</f>
        <v>SparteNet.de-SW-Pächter</v>
      </c>
      <c r="J417" s="19" t="str">
        <f aca="false">IF(AND(Eingabe!$F$11&gt;0,Eingabe!$E$11&gt;=5),"PPSK: Passwort Parzelle 5","")</f>
        <v>PPSK: Passwort Parzelle 5</v>
      </c>
      <c r="K417" s="19" t="str">
        <f aca="false">IF(AND(Eingabe!$F$11&gt;0,Eingabe!$E$11&gt;=5),"1. Gerät: 10."&amp;Eingabe!$D$11&amp;".5.10, 2. Gerät: .11","")</f>
        <v>1. Gerät: 10.3.5.10, 2. Gerät: .11</v>
      </c>
    </row>
    <row r="418" customFormat="false" ht="15" hidden="false" customHeight="false" outlineLevel="0" collapsed="false">
      <c r="A418" s="19" t="n">
        <f aca="false">IF(AND(Eingabe!$F$11&gt;0,Eingabe!$E$11&gt;=6),3,"")</f>
        <v>3</v>
      </c>
      <c r="B418" s="19" t="str">
        <f aca="false">IF(AND(Eingabe!$F$11&gt;0,Eingabe!$E$11&gt;=6),Eingabe!$B$11,"")</f>
        <v>Sonnenwinkel</v>
      </c>
      <c r="C418" s="19" t="str">
        <f aca="false">IF(AND(Eingabe!$F$11&gt;0,Eingabe!$E$11&gt;=6),Eingabe!$C$11&amp;"-Paz."&amp;TEXT(6,"000"),"")</f>
        <v>SW-Paz.006</v>
      </c>
      <c r="D418" s="19" t="n">
        <f aca="false">IF(AND(Eingabe!$F$11&gt;0,Eingabe!$E$11&gt;=6),6,"")</f>
        <v>6</v>
      </c>
      <c r="E418" s="19" t="n">
        <f aca="false">IF(AND(Eingabe!$F$11&gt;0,Eingabe!$E$11&gt;=6),IF((Eingabe!$G$11)&lt;=9,1000+(Eingabe!$G$11)*100,3000)+6,"")</f>
        <v>1306</v>
      </c>
      <c r="F418" s="19" t="str">
        <f aca="false">IF(AND(Eingabe!$F$11&gt;0,Eingabe!$E$11&gt;=6),"10."&amp;Eingabe!$D$11&amp;".6.0/24","")</f>
        <v>10.3.6.0/24</v>
      </c>
      <c r="G418" s="19" t="str">
        <f aca="false">IF(AND(Eingabe!$F$11&gt;0,Eingabe!$E$11&gt;=6),"10."&amp;Eingabe!$D$11&amp;".6.1","")</f>
        <v>10.3.6.1</v>
      </c>
      <c r="H418" s="19" t="str">
        <f aca="false">IF(AND(Eingabe!$F$11&gt;0,Eingabe!$E$11&gt;=6),"10."&amp;Eingabe!$D$11&amp;".6.10 – 10."&amp;Eingabe!$D$11&amp;".6.250","")</f>
        <v>10.3.6.10 – 10.3.6.250</v>
      </c>
      <c r="I418" s="19" t="str">
        <f aca="false">IF(AND(Eingabe!$F$11&gt;0,Eingabe!$E$11&gt;=6),Eingabe!$B$6&amp;"-"&amp;Eingabe!$C$11&amp;"-Pächter","")</f>
        <v>SparteNet.de-SW-Pächter</v>
      </c>
      <c r="J418" s="19" t="str">
        <f aca="false">IF(AND(Eingabe!$F$11&gt;0,Eingabe!$E$11&gt;=6),"PPSK: Passwort Parzelle 6","")</f>
        <v>PPSK: Passwort Parzelle 6</v>
      </c>
      <c r="K418" s="19" t="str">
        <f aca="false">IF(AND(Eingabe!$F$11&gt;0,Eingabe!$E$11&gt;=6),"1. Gerät: 10."&amp;Eingabe!$D$11&amp;".6.10, 2. Gerät: .11","")</f>
        <v>1. Gerät: 10.3.6.10, 2. Gerät: .11</v>
      </c>
    </row>
    <row r="419" customFormat="false" ht="15" hidden="false" customHeight="false" outlineLevel="0" collapsed="false">
      <c r="A419" s="19" t="n">
        <f aca="false">IF(AND(Eingabe!$F$11&gt;0,Eingabe!$E$11&gt;=7),3,"")</f>
        <v>3</v>
      </c>
      <c r="B419" s="19" t="str">
        <f aca="false">IF(AND(Eingabe!$F$11&gt;0,Eingabe!$E$11&gt;=7),Eingabe!$B$11,"")</f>
        <v>Sonnenwinkel</v>
      </c>
      <c r="C419" s="19" t="str">
        <f aca="false">IF(AND(Eingabe!$F$11&gt;0,Eingabe!$E$11&gt;=7),Eingabe!$C$11&amp;"-Paz."&amp;TEXT(7,"000"),"")</f>
        <v>SW-Paz.007</v>
      </c>
      <c r="D419" s="19" t="n">
        <f aca="false">IF(AND(Eingabe!$F$11&gt;0,Eingabe!$E$11&gt;=7),7,"")</f>
        <v>7</v>
      </c>
      <c r="E419" s="19" t="n">
        <f aca="false">IF(AND(Eingabe!$F$11&gt;0,Eingabe!$E$11&gt;=7),IF((Eingabe!$G$11)&lt;=9,1000+(Eingabe!$G$11)*100,3000)+7,"")</f>
        <v>1307</v>
      </c>
      <c r="F419" s="19" t="str">
        <f aca="false">IF(AND(Eingabe!$F$11&gt;0,Eingabe!$E$11&gt;=7),"10."&amp;Eingabe!$D$11&amp;".7.0/24","")</f>
        <v>10.3.7.0/24</v>
      </c>
      <c r="G419" s="19" t="str">
        <f aca="false">IF(AND(Eingabe!$F$11&gt;0,Eingabe!$E$11&gt;=7),"10."&amp;Eingabe!$D$11&amp;".7.1","")</f>
        <v>10.3.7.1</v>
      </c>
      <c r="H419" s="19" t="str">
        <f aca="false">IF(AND(Eingabe!$F$11&gt;0,Eingabe!$E$11&gt;=7),"10."&amp;Eingabe!$D$11&amp;".7.10 – 10."&amp;Eingabe!$D$11&amp;".7.250","")</f>
        <v>10.3.7.10 – 10.3.7.250</v>
      </c>
      <c r="I419" s="19" t="str">
        <f aca="false">IF(AND(Eingabe!$F$11&gt;0,Eingabe!$E$11&gt;=7),Eingabe!$B$6&amp;"-"&amp;Eingabe!$C$11&amp;"-Pächter","")</f>
        <v>SparteNet.de-SW-Pächter</v>
      </c>
      <c r="J419" s="19" t="str">
        <f aca="false">IF(AND(Eingabe!$F$11&gt;0,Eingabe!$E$11&gt;=7),"PPSK: Passwort Parzelle 7","")</f>
        <v>PPSK: Passwort Parzelle 7</v>
      </c>
      <c r="K419" s="19" t="str">
        <f aca="false">IF(AND(Eingabe!$F$11&gt;0,Eingabe!$E$11&gt;=7),"1. Gerät: 10."&amp;Eingabe!$D$11&amp;".7.10, 2. Gerät: .11","")</f>
        <v>1. Gerät: 10.3.7.10, 2. Gerät: .11</v>
      </c>
    </row>
    <row r="420" customFormat="false" ht="15" hidden="false" customHeight="false" outlineLevel="0" collapsed="false">
      <c r="A420" s="19" t="n">
        <f aca="false">IF(AND(Eingabe!$F$11&gt;0,Eingabe!$E$11&gt;=8),3,"")</f>
        <v>3</v>
      </c>
      <c r="B420" s="19" t="str">
        <f aca="false">IF(AND(Eingabe!$F$11&gt;0,Eingabe!$E$11&gt;=8),Eingabe!$B$11,"")</f>
        <v>Sonnenwinkel</v>
      </c>
      <c r="C420" s="19" t="str">
        <f aca="false">IF(AND(Eingabe!$F$11&gt;0,Eingabe!$E$11&gt;=8),Eingabe!$C$11&amp;"-Paz."&amp;TEXT(8,"000"),"")</f>
        <v>SW-Paz.008</v>
      </c>
      <c r="D420" s="19" t="n">
        <f aca="false">IF(AND(Eingabe!$F$11&gt;0,Eingabe!$E$11&gt;=8),8,"")</f>
        <v>8</v>
      </c>
      <c r="E420" s="19" t="n">
        <f aca="false">IF(AND(Eingabe!$F$11&gt;0,Eingabe!$E$11&gt;=8),IF((Eingabe!$G$11)&lt;=9,1000+(Eingabe!$G$11)*100,3000)+8,"")</f>
        <v>1308</v>
      </c>
      <c r="F420" s="19" t="str">
        <f aca="false">IF(AND(Eingabe!$F$11&gt;0,Eingabe!$E$11&gt;=8),"10."&amp;Eingabe!$D$11&amp;".8.0/24","")</f>
        <v>10.3.8.0/24</v>
      </c>
      <c r="G420" s="19" t="str">
        <f aca="false">IF(AND(Eingabe!$F$11&gt;0,Eingabe!$E$11&gt;=8),"10."&amp;Eingabe!$D$11&amp;".8.1","")</f>
        <v>10.3.8.1</v>
      </c>
      <c r="H420" s="19" t="str">
        <f aca="false">IF(AND(Eingabe!$F$11&gt;0,Eingabe!$E$11&gt;=8),"10."&amp;Eingabe!$D$11&amp;".8.10 – 10."&amp;Eingabe!$D$11&amp;".8.250","")</f>
        <v>10.3.8.10 – 10.3.8.250</v>
      </c>
      <c r="I420" s="19" t="str">
        <f aca="false">IF(AND(Eingabe!$F$11&gt;0,Eingabe!$E$11&gt;=8),Eingabe!$B$6&amp;"-"&amp;Eingabe!$C$11&amp;"-Pächter","")</f>
        <v>SparteNet.de-SW-Pächter</v>
      </c>
      <c r="J420" s="19" t="str">
        <f aca="false">IF(AND(Eingabe!$F$11&gt;0,Eingabe!$E$11&gt;=8),"PPSK: Passwort Parzelle 8","")</f>
        <v>PPSK: Passwort Parzelle 8</v>
      </c>
      <c r="K420" s="19" t="str">
        <f aca="false">IF(AND(Eingabe!$F$11&gt;0,Eingabe!$E$11&gt;=8),"1. Gerät: 10."&amp;Eingabe!$D$11&amp;".8.10, 2. Gerät: .11","")</f>
        <v>1. Gerät: 10.3.8.10, 2. Gerät: .11</v>
      </c>
    </row>
    <row r="421" customFormat="false" ht="15" hidden="false" customHeight="false" outlineLevel="0" collapsed="false">
      <c r="A421" s="19" t="n">
        <f aca="false">IF(AND(Eingabe!$F$11&gt;0,Eingabe!$E$11&gt;=9),3,"")</f>
        <v>3</v>
      </c>
      <c r="B421" s="19" t="str">
        <f aca="false">IF(AND(Eingabe!$F$11&gt;0,Eingabe!$E$11&gt;=9),Eingabe!$B$11,"")</f>
        <v>Sonnenwinkel</v>
      </c>
      <c r="C421" s="19" t="str">
        <f aca="false">IF(AND(Eingabe!$F$11&gt;0,Eingabe!$E$11&gt;=9),Eingabe!$C$11&amp;"-Paz."&amp;TEXT(9,"000"),"")</f>
        <v>SW-Paz.009</v>
      </c>
      <c r="D421" s="19" t="n">
        <f aca="false">IF(AND(Eingabe!$F$11&gt;0,Eingabe!$E$11&gt;=9),9,"")</f>
        <v>9</v>
      </c>
      <c r="E421" s="19" t="n">
        <f aca="false">IF(AND(Eingabe!$F$11&gt;0,Eingabe!$E$11&gt;=9),IF((Eingabe!$G$11)&lt;=9,1000+(Eingabe!$G$11)*100,3000)+9,"")</f>
        <v>1309</v>
      </c>
      <c r="F421" s="19" t="str">
        <f aca="false">IF(AND(Eingabe!$F$11&gt;0,Eingabe!$E$11&gt;=9),"10."&amp;Eingabe!$D$11&amp;".9.0/24","")</f>
        <v>10.3.9.0/24</v>
      </c>
      <c r="G421" s="19" t="str">
        <f aca="false">IF(AND(Eingabe!$F$11&gt;0,Eingabe!$E$11&gt;=9),"10."&amp;Eingabe!$D$11&amp;".9.1","")</f>
        <v>10.3.9.1</v>
      </c>
      <c r="H421" s="19" t="str">
        <f aca="false">IF(AND(Eingabe!$F$11&gt;0,Eingabe!$E$11&gt;=9),"10."&amp;Eingabe!$D$11&amp;".9.10 – 10."&amp;Eingabe!$D$11&amp;".9.250","")</f>
        <v>10.3.9.10 – 10.3.9.250</v>
      </c>
      <c r="I421" s="19" t="str">
        <f aca="false">IF(AND(Eingabe!$F$11&gt;0,Eingabe!$E$11&gt;=9),Eingabe!$B$6&amp;"-"&amp;Eingabe!$C$11&amp;"-Pächter","")</f>
        <v>SparteNet.de-SW-Pächter</v>
      </c>
      <c r="J421" s="19" t="str">
        <f aca="false">IF(AND(Eingabe!$F$11&gt;0,Eingabe!$E$11&gt;=9),"PPSK: Passwort Parzelle 9","")</f>
        <v>PPSK: Passwort Parzelle 9</v>
      </c>
      <c r="K421" s="19" t="str">
        <f aca="false">IF(AND(Eingabe!$F$11&gt;0,Eingabe!$E$11&gt;=9),"1. Gerät: 10."&amp;Eingabe!$D$11&amp;".9.10, 2. Gerät: .11","")</f>
        <v>1. Gerät: 10.3.9.10, 2. Gerät: .11</v>
      </c>
    </row>
    <row r="422" customFormat="false" ht="15" hidden="false" customHeight="false" outlineLevel="0" collapsed="false">
      <c r="A422" s="19" t="n">
        <f aca="false">IF(AND(Eingabe!$F$11&gt;0,Eingabe!$E$11&gt;=10),3,"")</f>
        <v>3</v>
      </c>
      <c r="B422" s="19" t="str">
        <f aca="false">IF(AND(Eingabe!$F$11&gt;0,Eingabe!$E$11&gt;=10),Eingabe!$B$11,"")</f>
        <v>Sonnenwinkel</v>
      </c>
      <c r="C422" s="19" t="str">
        <f aca="false">IF(AND(Eingabe!$F$11&gt;0,Eingabe!$E$11&gt;=10),Eingabe!$C$11&amp;"-Paz."&amp;TEXT(10,"000"),"")</f>
        <v>SW-Paz.010</v>
      </c>
      <c r="D422" s="19" t="n">
        <f aca="false">IF(AND(Eingabe!$F$11&gt;0,Eingabe!$E$11&gt;=10),10,"")</f>
        <v>10</v>
      </c>
      <c r="E422" s="19" t="n">
        <f aca="false">IF(AND(Eingabe!$F$11&gt;0,Eingabe!$E$11&gt;=10),IF((Eingabe!$G$11)&lt;=9,1000+(Eingabe!$G$11)*100,3000)+10,"")</f>
        <v>1310</v>
      </c>
      <c r="F422" s="19" t="str">
        <f aca="false">IF(AND(Eingabe!$F$11&gt;0,Eingabe!$E$11&gt;=10),"10."&amp;Eingabe!$D$11&amp;".10.0/24","")</f>
        <v>10.3.10.0/24</v>
      </c>
      <c r="G422" s="19" t="str">
        <f aca="false">IF(AND(Eingabe!$F$11&gt;0,Eingabe!$E$11&gt;=10),"10."&amp;Eingabe!$D$11&amp;".10.1","")</f>
        <v>10.3.10.1</v>
      </c>
      <c r="H422" s="19" t="str">
        <f aca="false">IF(AND(Eingabe!$F$11&gt;0,Eingabe!$E$11&gt;=10),"10."&amp;Eingabe!$D$11&amp;".10.10 – 10."&amp;Eingabe!$D$11&amp;".10.250","")</f>
        <v>10.3.10.10 – 10.3.10.250</v>
      </c>
      <c r="I422" s="19" t="str">
        <f aca="false">IF(AND(Eingabe!$F$11&gt;0,Eingabe!$E$11&gt;=10),Eingabe!$B$6&amp;"-"&amp;Eingabe!$C$11&amp;"-Pächter","")</f>
        <v>SparteNet.de-SW-Pächter</v>
      </c>
      <c r="J422" s="19" t="str">
        <f aca="false">IF(AND(Eingabe!$F$11&gt;0,Eingabe!$E$11&gt;=10),"PPSK: Passwort Parzelle 10","")</f>
        <v>PPSK: Passwort Parzelle 10</v>
      </c>
      <c r="K422" s="19" t="str">
        <f aca="false">IF(AND(Eingabe!$F$11&gt;0,Eingabe!$E$11&gt;=10),"1. Gerät: 10."&amp;Eingabe!$D$11&amp;".10.10, 2. Gerät: .11","")</f>
        <v>1. Gerät: 10.3.10.10, 2. Gerät: .11</v>
      </c>
    </row>
    <row r="423" customFormat="false" ht="15" hidden="false" customHeight="false" outlineLevel="0" collapsed="false">
      <c r="A423" s="19" t="n">
        <f aca="false">IF(AND(Eingabe!$F$11&gt;0,Eingabe!$E$11&gt;=11),3,"")</f>
        <v>3</v>
      </c>
      <c r="B423" s="19" t="str">
        <f aca="false">IF(AND(Eingabe!$F$11&gt;0,Eingabe!$E$11&gt;=11),Eingabe!$B$11,"")</f>
        <v>Sonnenwinkel</v>
      </c>
      <c r="C423" s="19" t="str">
        <f aca="false">IF(AND(Eingabe!$F$11&gt;0,Eingabe!$E$11&gt;=11),Eingabe!$C$11&amp;"-Paz."&amp;TEXT(11,"000"),"")</f>
        <v>SW-Paz.011</v>
      </c>
      <c r="D423" s="19" t="n">
        <f aca="false">IF(AND(Eingabe!$F$11&gt;0,Eingabe!$E$11&gt;=11),11,"")</f>
        <v>11</v>
      </c>
      <c r="E423" s="19" t="n">
        <f aca="false">IF(AND(Eingabe!$F$11&gt;0,Eingabe!$E$11&gt;=11),IF((Eingabe!$G$11)&lt;=9,1000+(Eingabe!$G$11)*100,3000)+11,"")</f>
        <v>1311</v>
      </c>
      <c r="F423" s="19" t="str">
        <f aca="false">IF(AND(Eingabe!$F$11&gt;0,Eingabe!$E$11&gt;=11),"10."&amp;Eingabe!$D$11&amp;".11.0/24","")</f>
        <v>10.3.11.0/24</v>
      </c>
      <c r="G423" s="19" t="str">
        <f aca="false">IF(AND(Eingabe!$F$11&gt;0,Eingabe!$E$11&gt;=11),"10."&amp;Eingabe!$D$11&amp;".11.1","")</f>
        <v>10.3.11.1</v>
      </c>
      <c r="H423" s="19" t="str">
        <f aca="false">IF(AND(Eingabe!$F$11&gt;0,Eingabe!$E$11&gt;=11),"10."&amp;Eingabe!$D$11&amp;".11.10 – 10."&amp;Eingabe!$D$11&amp;".11.250","")</f>
        <v>10.3.11.10 – 10.3.11.250</v>
      </c>
      <c r="I423" s="19" t="str">
        <f aca="false">IF(AND(Eingabe!$F$11&gt;0,Eingabe!$E$11&gt;=11),Eingabe!$B$6&amp;"-"&amp;Eingabe!$C$11&amp;"-Pächter","")</f>
        <v>SparteNet.de-SW-Pächter</v>
      </c>
      <c r="J423" s="19" t="str">
        <f aca="false">IF(AND(Eingabe!$F$11&gt;0,Eingabe!$E$11&gt;=11),"PPSK: Passwort Parzelle 11","")</f>
        <v>PPSK: Passwort Parzelle 11</v>
      </c>
      <c r="K423" s="19" t="str">
        <f aca="false">IF(AND(Eingabe!$F$11&gt;0,Eingabe!$E$11&gt;=11),"1. Gerät: 10."&amp;Eingabe!$D$11&amp;".11.10, 2. Gerät: .11","")</f>
        <v>1. Gerät: 10.3.11.10, 2. Gerät: .11</v>
      </c>
    </row>
    <row r="424" customFormat="false" ht="15" hidden="false" customHeight="false" outlineLevel="0" collapsed="false">
      <c r="A424" s="19" t="n">
        <f aca="false">IF(AND(Eingabe!$F$11&gt;0,Eingabe!$E$11&gt;=12),3,"")</f>
        <v>3</v>
      </c>
      <c r="B424" s="19" t="str">
        <f aca="false">IF(AND(Eingabe!$F$11&gt;0,Eingabe!$E$11&gt;=12),Eingabe!$B$11,"")</f>
        <v>Sonnenwinkel</v>
      </c>
      <c r="C424" s="19" t="str">
        <f aca="false">IF(AND(Eingabe!$F$11&gt;0,Eingabe!$E$11&gt;=12),Eingabe!$C$11&amp;"-Paz."&amp;TEXT(12,"000"),"")</f>
        <v>SW-Paz.012</v>
      </c>
      <c r="D424" s="19" t="n">
        <f aca="false">IF(AND(Eingabe!$F$11&gt;0,Eingabe!$E$11&gt;=12),12,"")</f>
        <v>12</v>
      </c>
      <c r="E424" s="19" t="n">
        <f aca="false">IF(AND(Eingabe!$F$11&gt;0,Eingabe!$E$11&gt;=12),IF((Eingabe!$G$11)&lt;=9,1000+(Eingabe!$G$11)*100,3000)+12,"")</f>
        <v>1312</v>
      </c>
      <c r="F424" s="19" t="str">
        <f aca="false">IF(AND(Eingabe!$F$11&gt;0,Eingabe!$E$11&gt;=12),"10."&amp;Eingabe!$D$11&amp;".12.0/24","")</f>
        <v>10.3.12.0/24</v>
      </c>
      <c r="G424" s="19" t="str">
        <f aca="false">IF(AND(Eingabe!$F$11&gt;0,Eingabe!$E$11&gt;=12),"10."&amp;Eingabe!$D$11&amp;".12.1","")</f>
        <v>10.3.12.1</v>
      </c>
      <c r="H424" s="19" t="str">
        <f aca="false">IF(AND(Eingabe!$F$11&gt;0,Eingabe!$E$11&gt;=12),"10."&amp;Eingabe!$D$11&amp;".12.10 – 10."&amp;Eingabe!$D$11&amp;".12.250","")</f>
        <v>10.3.12.10 – 10.3.12.250</v>
      </c>
      <c r="I424" s="19" t="str">
        <f aca="false">IF(AND(Eingabe!$F$11&gt;0,Eingabe!$E$11&gt;=12),Eingabe!$B$6&amp;"-"&amp;Eingabe!$C$11&amp;"-Pächter","")</f>
        <v>SparteNet.de-SW-Pächter</v>
      </c>
      <c r="J424" s="19" t="str">
        <f aca="false">IF(AND(Eingabe!$F$11&gt;0,Eingabe!$E$11&gt;=12),"PPSK: Passwort Parzelle 12","")</f>
        <v>PPSK: Passwort Parzelle 12</v>
      </c>
      <c r="K424" s="19" t="str">
        <f aca="false">IF(AND(Eingabe!$F$11&gt;0,Eingabe!$E$11&gt;=12),"1. Gerät: 10."&amp;Eingabe!$D$11&amp;".12.10, 2. Gerät: .11","")</f>
        <v>1. Gerät: 10.3.12.10, 2. Gerät: .11</v>
      </c>
    </row>
    <row r="425" customFormat="false" ht="15" hidden="false" customHeight="false" outlineLevel="0" collapsed="false">
      <c r="A425" s="19" t="n">
        <f aca="false">IF(AND(Eingabe!$F$11&gt;0,Eingabe!$E$11&gt;=13),3,"")</f>
        <v>3</v>
      </c>
      <c r="B425" s="19" t="str">
        <f aca="false">IF(AND(Eingabe!$F$11&gt;0,Eingabe!$E$11&gt;=13),Eingabe!$B$11,"")</f>
        <v>Sonnenwinkel</v>
      </c>
      <c r="C425" s="19" t="str">
        <f aca="false">IF(AND(Eingabe!$F$11&gt;0,Eingabe!$E$11&gt;=13),Eingabe!$C$11&amp;"-Paz."&amp;TEXT(13,"000"),"")</f>
        <v>SW-Paz.013</v>
      </c>
      <c r="D425" s="19" t="n">
        <f aca="false">IF(AND(Eingabe!$F$11&gt;0,Eingabe!$E$11&gt;=13),13,"")</f>
        <v>13</v>
      </c>
      <c r="E425" s="19" t="n">
        <f aca="false">IF(AND(Eingabe!$F$11&gt;0,Eingabe!$E$11&gt;=13),IF((Eingabe!$G$11)&lt;=9,1000+(Eingabe!$G$11)*100,3000)+13,"")</f>
        <v>1313</v>
      </c>
      <c r="F425" s="19" t="str">
        <f aca="false">IF(AND(Eingabe!$F$11&gt;0,Eingabe!$E$11&gt;=13),"10."&amp;Eingabe!$D$11&amp;".13.0/24","")</f>
        <v>10.3.13.0/24</v>
      </c>
      <c r="G425" s="19" t="str">
        <f aca="false">IF(AND(Eingabe!$F$11&gt;0,Eingabe!$E$11&gt;=13),"10."&amp;Eingabe!$D$11&amp;".13.1","")</f>
        <v>10.3.13.1</v>
      </c>
      <c r="H425" s="19" t="str">
        <f aca="false">IF(AND(Eingabe!$F$11&gt;0,Eingabe!$E$11&gt;=13),"10."&amp;Eingabe!$D$11&amp;".13.10 – 10."&amp;Eingabe!$D$11&amp;".13.250","")</f>
        <v>10.3.13.10 – 10.3.13.250</v>
      </c>
      <c r="I425" s="19" t="str">
        <f aca="false">IF(AND(Eingabe!$F$11&gt;0,Eingabe!$E$11&gt;=13),Eingabe!$B$6&amp;"-"&amp;Eingabe!$C$11&amp;"-Pächter","")</f>
        <v>SparteNet.de-SW-Pächter</v>
      </c>
      <c r="J425" s="19" t="str">
        <f aca="false">IF(AND(Eingabe!$F$11&gt;0,Eingabe!$E$11&gt;=13),"PPSK: Passwort Parzelle 13","")</f>
        <v>PPSK: Passwort Parzelle 13</v>
      </c>
      <c r="K425" s="19" t="str">
        <f aca="false">IF(AND(Eingabe!$F$11&gt;0,Eingabe!$E$11&gt;=13),"1. Gerät: 10."&amp;Eingabe!$D$11&amp;".13.10, 2. Gerät: .11","")</f>
        <v>1. Gerät: 10.3.13.10, 2. Gerät: .11</v>
      </c>
    </row>
    <row r="426" customFormat="false" ht="15" hidden="false" customHeight="false" outlineLevel="0" collapsed="false">
      <c r="A426" s="19" t="n">
        <f aca="false">IF(AND(Eingabe!$F$11&gt;0,Eingabe!$E$11&gt;=14),3,"")</f>
        <v>3</v>
      </c>
      <c r="B426" s="19" t="str">
        <f aca="false">IF(AND(Eingabe!$F$11&gt;0,Eingabe!$E$11&gt;=14),Eingabe!$B$11,"")</f>
        <v>Sonnenwinkel</v>
      </c>
      <c r="C426" s="19" t="str">
        <f aca="false">IF(AND(Eingabe!$F$11&gt;0,Eingabe!$E$11&gt;=14),Eingabe!$C$11&amp;"-Paz."&amp;TEXT(14,"000"),"")</f>
        <v>SW-Paz.014</v>
      </c>
      <c r="D426" s="19" t="n">
        <f aca="false">IF(AND(Eingabe!$F$11&gt;0,Eingabe!$E$11&gt;=14),14,"")</f>
        <v>14</v>
      </c>
      <c r="E426" s="19" t="n">
        <f aca="false">IF(AND(Eingabe!$F$11&gt;0,Eingabe!$E$11&gt;=14),IF((Eingabe!$G$11)&lt;=9,1000+(Eingabe!$G$11)*100,3000)+14,"")</f>
        <v>1314</v>
      </c>
      <c r="F426" s="19" t="str">
        <f aca="false">IF(AND(Eingabe!$F$11&gt;0,Eingabe!$E$11&gt;=14),"10."&amp;Eingabe!$D$11&amp;".14.0/24","")</f>
        <v>10.3.14.0/24</v>
      </c>
      <c r="G426" s="19" t="str">
        <f aca="false">IF(AND(Eingabe!$F$11&gt;0,Eingabe!$E$11&gt;=14),"10."&amp;Eingabe!$D$11&amp;".14.1","")</f>
        <v>10.3.14.1</v>
      </c>
      <c r="H426" s="19" t="str">
        <f aca="false">IF(AND(Eingabe!$F$11&gt;0,Eingabe!$E$11&gt;=14),"10."&amp;Eingabe!$D$11&amp;".14.10 – 10."&amp;Eingabe!$D$11&amp;".14.250","")</f>
        <v>10.3.14.10 – 10.3.14.250</v>
      </c>
      <c r="I426" s="19" t="str">
        <f aca="false">IF(AND(Eingabe!$F$11&gt;0,Eingabe!$E$11&gt;=14),Eingabe!$B$6&amp;"-"&amp;Eingabe!$C$11&amp;"-Pächter","")</f>
        <v>SparteNet.de-SW-Pächter</v>
      </c>
      <c r="J426" s="19" t="str">
        <f aca="false">IF(AND(Eingabe!$F$11&gt;0,Eingabe!$E$11&gt;=14),"PPSK: Passwort Parzelle 14","")</f>
        <v>PPSK: Passwort Parzelle 14</v>
      </c>
      <c r="K426" s="19" t="str">
        <f aca="false">IF(AND(Eingabe!$F$11&gt;0,Eingabe!$E$11&gt;=14),"1. Gerät: 10."&amp;Eingabe!$D$11&amp;".14.10, 2. Gerät: .11","")</f>
        <v>1. Gerät: 10.3.14.10, 2. Gerät: .11</v>
      </c>
    </row>
    <row r="427" customFormat="false" ht="15" hidden="false" customHeight="false" outlineLevel="0" collapsed="false">
      <c r="A427" s="19" t="n">
        <f aca="false">IF(AND(Eingabe!$F$11&gt;0,Eingabe!$E$11&gt;=15),3,"")</f>
        <v>3</v>
      </c>
      <c r="B427" s="19" t="str">
        <f aca="false">IF(AND(Eingabe!$F$11&gt;0,Eingabe!$E$11&gt;=15),Eingabe!$B$11,"")</f>
        <v>Sonnenwinkel</v>
      </c>
      <c r="C427" s="19" t="str">
        <f aca="false">IF(AND(Eingabe!$F$11&gt;0,Eingabe!$E$11&gt;=15),Eingabe!$C$11&amp;"-Paz."&amp;TEXT(15,"000"),"")</f>
        <v>SW-Paz.015</v>
      </c>
      <c r="D427" s="19" t="n">
        <f aca="false">IF(AND(Eingabe!$F$11&gt;0,Eingabe!$E$11&gt;=15),15,"")</f>
        <v>15</v>
      </c>
      <c r="E427" s="19" t="n">
        <f aca="false">IF(AND(Eingabe!$F$11&gt;0,Eingabe!$E$11&gt;=15),IF((Eingabe!$G$11)&lt;=9,1000+(Eingabe!$G$11)*100,3000)+15,"")</f>
        <v>1315</v>
      </c>
      <c r="F427" s="19" t="str">
        <f aca="false">IF(AND(Eingabe!$F$11&gt;0,Eingabe!$E$11&gt;=15),"10."&amp;Eingabe!$D$11&amp;".15.0/24","")</f>
        <v>10.3.15.0/24</v>
      </c>
      <c r="G427" s="19" t="str">
        <f aca="false">IF(AND(Eingabe!$F$11&gt;0,Eingabe!$E$11&gt;=15),"10."&amp;Eingabe!$D$11&amp;".15.1","")</f>
        <v>10.3.15.1</v>
      </c>
      <c r="H427" s="19" t="str">
        <f aca="false">IF(AND(Eingabe!$F$11&gt;0,Eingabe!$E$11&gt;=15),"10."&amp;Eingabe!$D$11&amp;".15.10 – 10."&amp;Eingabe!$D$11&amp;".15.250","")</f>
        <v>10.3.15.10 – 10.3.15.250</v>
      </c>
      <c r="I427" s="19" t="str">
        <f aca="false">IF(AND(Eingabe!$F$11&gt;0,Eingabe!$E$11&gt;=15),Eingabe!$B$6&amp;"-"&amp;Eingabe!$C$11&amp;"-Pächter","")</f>
        <v>SparteNet.de-SW-Pächter</v>
      </c>
      <c r="J427" s="19" t="str">
        <f aca="false">IF(AND(Eingabe!$F$11&gt;0,Eingabe!$E$11&gt;=15),"PPSK: Passwort Parzelle 15","")</f>
        <v>PPSK: Passwort Parzelle 15</v>
      </c>
      <c r="K427" s="19" t="str">
        <f aca="false">IF(AND(Eingabe!$F$11&gt;0,Eingabe!$E$11&gt;=15),"1. Gerät: 10."&amp;Eingabe!$D$11&amp;".15.10, 2. Gerät: .11","")</f>
        <v>1. Gerät: 10.3.15.10, 2. Gerät: .11</v>
      </c>
    </row>
    <row r="428" customFormat="false" ht="15" hidden="false" customHeight="false" outlineLevel="0" collapsed="false">
      <c r="A428" s="19" t="n">
        <f aca="false">IF(AND(Eingabe!$F$11&gt;0,Eingabe!$E$11&gt;=16),3,"")</f>
        <v>3</v>
      </c>
      <c r="B428" s="19" t="str">
        <f aca="false">IF(AND(Eingabe!$F$11&gt;0,Eingabe!$E$11&gt;=16),Eingabe!$B$11,"")</f>
        <v>Sonnenwinkel</v>
      </c>
      <c r="C428" s="19" t="str">
        <f aca="false">IF(AND(Eingabe!$F$11&gt;0,Eingabe!$E$11&gt;=16),Eingabe!$C$11&amp;"-Paz."&amp;TEXT(16,"000"),"")</f>
        <v>SW-Paz.016</v>
      </c>
      <c r="D428" s="19" t="n">
        <f aca="false">IF(AND(Eingabe!$F$11&gt;0,Eingabe!$E$11&gt;=16),16,"")</f>
        <v>16</v>
      </c>
      <c r="E428" s="19" t="n">
        <f aca="false">IF(AND(Eingabe!$F$11&gt;0,Eingabe!$E$11&gt;=16),IF((Eingabe!$G$11)&lt;=9,1000+(Eingabe!$G$11)*100,3000)+16,"")</f>
        <v>1316</v>
      </c>
      <c r="F428" s="19" t="str">
        <f aca="false">IF(AND(Eingabe!$F$11&gt;0,Eingabe!$E$11&gt;=16),"10."&amp;Eingabe!$D$11&amp;".16.0/24","")</f>
        <v>10.3.16.0/24</v>
      </c>
      <c r="G428" s="19" t="str">
        <f aca="false">IF(AND(Eingabe!$F$11&gt;0,Eingabe!$E$11&gt;=16),"10."&amp;Eingabe!$D$11&amp;".16.1","")</f>
        <v>10.3.16.1</v>
      </c>
      <c r="H428" s="19" t="str">
        <f aca="false">IF(AND(Eingabe!$F$11&gt;0,Eingabe!$E$11&gt;=16),"10."&amp;Eingabe!$D$11&amp;".16.10 – 10."&amp;Eingabe!$D$11&amp;".16.250","")</f>
        <v>10.3.16.10 – 10.3.16.250</v>
      </c>
      <c r="I428" s="19" t="str">
        <f aca="false">IF(AND(Eingabe!$F$11&gt;0,Eingabe!$E$11&gt;=16),Eingabe!$B$6&amp;"-"&amp;Eingabe!$C$11&amp;"-Pächter","")</f>
        <v>SparteNet.de-SW-Pächter</v>
      </c>
      <c r="J428" s="19" t="str">
        <f aca="false">IF(AND(Eingabe!$F$11&gt;0,Eingabe!$E$11&gt;=16),"PPSK: Passwort Parzelle 16","")</f>
        <v>PPSK: Passwort Parzelle 16</v>
      </c>
      <c r="K428" s="19" t="str">
        <f aca="false">IF(AND(Eingabe!$F$11&gt;0,Eingabe!$E$11&gt;=16),"1. Gerät: 10."&amp;Eingabe!$D$11&amp;".16.10, 2. Gerät: .11","")</f>
        <v>1. Gerät: 10.3.16.10, 2. Gerät: .11</v>
      </c>
    </row>
    <row r="429" customFormat="false" ht="15" hidden="false" customHeight="false" outlineLevel="0" collapsed="false">
      <c r="A429" s="19" t="n">
        <f aca="false">IF(AND(Eingabe!$F$11&gt;0,Eingabe!$E$11&gt;=17),3,"")</f>
        <v>3</v>
      </c>
      <c r="B429" s="19" t="str">
        <f aca="false">IF(AND(Eingabe!$F$11&gt;0,Eingabe!$E$11&gt;=17),Eingabe!$B$11,"")</f>
        <v>Sonnenwinkel</v>
      </c>
      <c r="C429" s="19" t="str">
        <f aca="false">IF(AND(Eingabe!$F$11&gt;0,Eingabe!$E$11&gt;=17),Eingabe!$C$11&amp;"-Paz."&amp;TEXT(17,"000"),"")</f>
        <v>SW-Paz.017</v>
      </c>
      <c r="D429" s="19" t="n">
        <f aca="false">IF(AND(Eingabe!$F$11&gt;0,Eingabe!$E$11&gt;=17),17,"")</f>
        <v>17</v>
      </c>
      <c r="E429" s="19" t="n">
        <f aca="false">IF(AND(Eingabe!$F$11&gt;0,Eingabe!$E$11&gt;=17),IF((Eingabe!$G$11)&lt;=9,1000+(Eingabe!$G$11)*100,3000)+17,"")</f>
        <v>1317</v>
      </c>
      <c r="F429" s="19" t="str">
        <f aca="false">IF(AND(Eingabe!$F$11&gt;0,Eingabe!$E$11&gt;=17),"10."&amp;Eingabe!$D$11&amp;".17.0/24","")</f>
        <v>10.3.17.0/24</v>
      </c>
      <c r="G429" s="19" t="str">
        <f aca="false">IF(AND(Eingabe!$F$11&gt;0,Eingabe!$E$11&gt;=17),"10."&amp;Eingabe!$D$11&amp;".17.1","")</f>
        <v>10.3.17.1</v>
      </c>
      <c r="H429" s="19" t="str">
        <f aca="false">IF(AND(Eingabe!$F$11&gt;0,Eingabe!$E$11&gt;=17),"10."&amp;Eingabe!$D$11&amp;".17.10 – 10."&amp;Eingabe!$D$11&amp;".17.250","")</f>
        <v>10.3.17.10 – 10.3.17.250</v>
      </c>
      <c r="I429" s="19" t="str">
        <f aca="false">IF(AND(Eingabe!$F$11&gt;0,Eingabe!$E$11&gt;=17),Eingabe!$B$6&amp;"-"&amp;Eingabe!$C$11&amp;"-Pächter","")</f>
        <v>SparteNet.de-SW-Pächter</v>
      </c>
      <c r="J429" s="19" t="str">
        <f aca="false">IF(AND(Eingabe!$F$11&gt;0,Eingabe!$E$11&gt;=17),"PPSK: Passwort Parzelle 17","")</f>
        <v>PPSK: Passwort Parzelle 17</v>
      </c>
      <c r="K429" s="19" t="str">
        <f aca="false">IF(AND(Eingabe!$F$11&gt;0,Eingabe!$E$11&gt;=17),"1. Gerät: 10."&amp;Eingabe!$D$11&amp;".17.10, 2. Gerät: .11","")</f>
        <v>1. Gerät: 10.3.17.10, 2. Gerät: .11</v>
      </c>
    </row>
    <row r="430" customFormat="false" ht="15" hidden="false" customHeight="false" outlineLevel="0" collapsed="false">
      <c r="A430" s="19" t="n">
        <f aca="false">IF(AND(Eingabe!$F$11&gt;0,Eingabe!$E$11&gt;=18),3,"")</f>
        <v>3</v>
      </c>
      <c r="B430" s="19" t="str">
        <f aca="false">IF(AND(Eingabe!$F$11&gt;0,Eingabe!$E$11&gt;=18),Eingabe!$B$11,"")</f>
        <v>Sonnenwinkel</v>
      </c>
      <c r="C430" s="19" t="str">
        <f aca="false">IF(AND(Eingabe!$F$11&gt;0,Eingabe!$E$11&gt;=18),Eingabe!$C$11&amp;"-Paz."&amp;TEXT(18,"000"),"")</f>
        <v>SW-Paz.018</v>
      </c>
      <c r="D430" s="19" t="n">
        <f aca="false">IF(AND(Eingabe!$F$11&gt;0,Eingabe!$E$11&gt;=18),18,"")</f>
        <v>18</v>
      </c>
      <c r="E430" s="19" t="n">
        <f aca="false">IF(AND(Eingabe!$F$11&gt;0,Eingabe!$E$11&gt;=18),IF((Eingabe!$G$11)&lt;=9,1000+(Eingabe!$G$11)*100,3000)+18,"")</f>
        <v>1318</v>
      </c>
      <c r="F430" s="19" t="str">
        <f aca="false">IF(AND(Eingabe!$F$11&gt;0,Eingabe!$E$11&gt;=18),"10."&amp;Eingabe!$D$11&amp;".18.0/24","")</f>
        <v>10.3.18.0/24</v>
      </c>
      <c r="G430" s="19" t="str">
        <f aca="false">IF(AND(Eingabe!$F$11&gt;0,Eingabe!$E$11&gt;=18),"10."&amp;Eingabe!$D$11&amp;".18.1","")</f>
        <v>10.3.18.1</v>
      </c>
      <c r="H430" s="19" t="str">
        <f aca="false">IF(AND(Eingabe!$F$11&gt;0,Eingabe!$E$11&gt;=18),"10."&amp;Eingabe!$D$11&amp;".18.10 – 10."&amp;Eingabe!$D$11&amp;".18.250","")</f>
        <v>10.3.18.10 – 10.3.18.250</v>
      </c>
      <c r="I430" s="19" t="str">
        <f aca="false">IF(AND(Eingabe!$F$11&gt;0,Eingabe!$E$11&gt;=18),Eingabe!$B$6&amp;"-"&amp;Eingabe!$C$11&amp;"-Pächter","")</f>
        <v>SparteNet.de-SW-Pächter</v>
      </c>
      <c r="J430" s="19" t="str">
        <f aca="false">IF(AND(Eingabe!$F$11&gt;0,Eingabe!$E$11&gt;=18),"PPSK: Passwort Parzelle 18","")</f>
        <v>PPSK: Passwort Parzelle 18</v>
      </c>
      <c r="K430" s="19" t="str">
        <f aca="false">IF(AND(Eingabe!$F$11&gt;0,Eingabe!$E$11&gt;=18),"1. Gerät: 10."&amp;Eingabe!$D$11&amp;".18.10, 2. Gerät: .11","")</f>
        <v>1. Gerät: 10.3.18.10, 2. Gerät: .11</v>
      </c>
    </row>
    <row r="431" customFormat="false" ht="15" hidden="false" customHeight="false" outlineLevel="0" collapsed="false">
      <c r="A431" s="19" t="n">
        <f aca="false">IF(AND(Eingabe!$F$11&gt;0,Eingabe!$E$11&gt;=19),3,"")</f>
        <v>3</v>
      </c>
      <c r="B431" s="19" t="str">
        <f aca="false">IF(AND(Eingabe!$F$11&gt;0,Eingabe!$E$11&gt;=19),Eingabe!$B$11,"")</f>
        <v>Sonnenwinkel</v>
      </c>
      <c r="C431" s="19" t="str">
        <f aca="false">IF(AND(Eingabe!$F$11&gt;0,Eingabe!$E$11&gt;=19),Eingabe!$C$11&amp;"-Paz."&amp;TEXT(19,"000"),"")</f>
        <v>SW-Paz.019</v>
      </c>
      <c r="D431" s="19" t="n">
        <f aca="false">IF(AND(Eingabe!$F$11&gt;0,Eingabe!$E$11&gt;=19),19,"")</f>
        <v>19</v>
      </c>
      <c r="E431" s="19" t="n">
        <f aca="false">IF(AND(Eingabe!$F$11&gt;0,Eingabe!$E$11&gt;=19),IF((Eingabe!$G$11)&lt;=9,1000+(Eingabe!$G$11)*100,3000)+19,"")</f>
        <v>1319</v>
      </c>
      <c r="F431" s="19" t="str">
        <f aca="false">IF(AND(Eingabe!$F$11&gt;0,Eingabe!$E$11&gt;=19),"10."&amp;Eingabe!$D$11&amp;".19.0/24","")</f>
        <v>10.3.19.0/24</v>
      </c>
      <c r="G431" s="19" t="str">
        <f aca="false">IF(AND(Eingabe!$F$11&gt;0,Eingabe!$E$11&gt;=19),"10."&amp;Eingabe!$D$11&amp;".19.1","")</f>
        <v>10.3.19.1</v>
      </c>
      <c r="H431" s="19" t="str">
        <f aca="false">IF(AND(Eingabe!$F$11&gt;0,Eingabe!$E$11&gt;=19),"10."&amp;Eingabe!$D$11&amp;".19.10 – 10."&amp;Eingabe!$D$11&amp;".19.250","")</f>
        <v>10.3.19.10 – 10.3.19.250</v>
      </c>
      <c r="I431" s="19" t="str">
        <f aca="false">IF(AND(Eingabe!$F$11&gt;0,Eingabe!$E$11&gt;=19),Eingabe!$B$6&amp;"-"&amp;Eingabe!$C$11&amp;"-Pächter","")</f>
        <v>SparteNet.de-SW-Pächter</v>
      </c>
      <c r="J431" s="19" t="str">
        <f aca="false">IF(AND(Eingabe!$F$11&gt;0,Eingabe!$E$11&gt;=19),"PPSK: Passwort Parzelle 19","")</f>
        <v>PPSK: Passwort Parzelle 19</v>
      </c>
      <c r="K431" s="19" t="str">
        <f aca="false">IF(AND(Eingabe!$F$11&gt;0,Eingabe!$E$11&gt;=19),"1. Gerät: 10."&amp;Eingabe!$D$11&amp;".19.10, 2. Gerät: .11","")</f>
        <v>1. Gerät: 10.3.19.10, 2. Gerät: .11</v>
      </c>
    </row>
    <row r="432" customFormat="false" ht="15" hidden="false" customHeight="false" outlineLevel="0" collapsed="false">
      <c r="A432" s="19" t="n">
        <f aca="false">IF(AND(Eingabe!$F$11&gt;0,Eingabe!$E$11&gt;=20),3,"")</f>
        <v>3</v>
      </c>
      <c r="B432" s="19" t="str">
        <f aca="false">IF(AND(Eingabe!$F$11&gt;0,Eingabe!$E$11&gt;=20),Eingabe!$B$11,"")</f>
        <v>Sonnenwinkel</v>
      </c>
      <c r="C432" s="19" t="str">
        <f aca="false">IF(AND(Eingabe!$F$11&gt;0,Eingabe!$E$11&gt;=20),Eingabe!$C$11&amp;"-Paz."&amp;TEXT(20,"000"),"")</f>
        <v>SW-Paz.020</v>
      </c>
      <c r="D432" s="19" t="n">
        <f aca="false">IF(AND(Eingabe!$F$11&gt;0,Eingabe!$E$11&gt;=20),20,"")</f>
        <v>20</v>
      </c>
      <c r="E432" s="19" t="n">
        <f aca="false">IF(AND(Eingabe!$F$11&gt;0,Eingabe!$E$11&gt;=20),IF((Eingabe!$G$11)&lt;=9,1000+(Eingabe!$G$11)*100,3000)+20,"")</f>
        <v>1320</v>
      </c>
      <c r="F432" s="19" t="str">
        <f aca="false">IF(AND(Eingabe!$F$11&gt;0,Eingabe!$E$11&gt;=20),"10."&amp;Eingabe!$D$11&amp;".20.0/24","")</f>
        <v>10.3.20.0/24</v>
      </c>
      <c r="G432" s="19" t="str">
        <f aca="false">IF(AND(Eingabe!$F$11&gt;0,Eingabe!$E$11&gt;=20),"10."&amp;Eingabe!$D$11&amp;".20.1","")</f>
        <v>10.3.20.1</v>
      </c>
      <c r="H432" s="19" t="str">
        <f aca="false">IF(AND(Eingabe!$F$11&gt;0,Eingabe!$E$11&gt;=20),"10."&amp;Eingabe!$D$11&amp;".20.10 – 10."&amp;Eingabe!$D$11&amp;".20.250","")</f>
        <v>10.3.20.10 – 10.3.20.250</v>
      </c>
      <c r="I432" s="19" t="str">
        <f aca="false">IF(AND(Eingabe!$F$11&gt;0,Eingabe!$E$11&gt;=20),Eingabe!$B$6&amp;"-"&amp;Eingabe!$C$11&amp;"-Pächter","")</f>
        <v>SparteNet.de-SW-Pächter</v>
      </c>
      <c r="J432" s="19" t="str">
        <f aca="false">IF(AND(Eingabe!$F$11&gt;0,Eingabe!$E$11&gt;=20),"PPSK: Passwort Parzelle 20","")</f>
        <v>PPSK: Passwort Parzelle 20</v>
      </c>
      <c r="K432" s="19" t="str">
        <f aca="false">IF(AND(Eingabe!$F$11&gt;0,Eingabe!$E$11&gt;=20),"1. Gerät: 10."&amp;Eingabe!$D$11&amp;".20.10, 2. Gerät: .11","")</f>
        <v>1. Gerät: 10.3.20.10, 2. Gerät: .11</v>
      </c>
    </row>
    <row r="433" customFormat="false" ht="15" hidden="false" customHeight="false" outlineLevel="0" collapsed="false">
      <c r="A433" s="19" t="n">
        <f aca="false">IF(AND(Eingabe!$F$11&gt;0,Eingabe!$E$11&gt;=21),3,"")</f>
        <v>3</v>
      </c>
      <c r="B433" s="19" t="str">
        <f aca="false">IF(AND(Eingabe!$F$11&gt;0,Eingabe!$E$11&gt;=21),Eingabe!$B$11,"")</f>
        <v>Sonnenwinkel</v>
      </c>
      <c r="C433" s="19" t="str">
        <f aca="false">IF(AND(Eingabe!$F$11&gt;0,Eingabe!$E$11&gt;=21),Eingabe!$C$11&amp;"-Paz."&amp;TEXT(21,"000"),"")</f>
        <v>SW-Paz.021</v>
      </c>
      <c r="D433" s="19" t="n">
        <f aca="false">IF(AND(Eingabe!$F$11&gt;0,Eingabe!$E$11&gt;=21),21,"")</f>
        <v>21</v>
      </c>
      <c r="E433" s="19" t="n">
        <f aca="false">IF(AND(Eingabe!$F$11&gt;0,Eingabe!$E$11&gt;=21),IF((Eingabe!$G$11)&lt;=9,1000+(Eingabe!$G$11)*100,3000)+21,"")</f>
        <v>1321</v>
      </c>
      <c r="F433" s="19" t="str">
        <f aca="false">IF(AND(Eingabe!$F$11&gt;0,Eingabe!$E$11&gt;=21),"10."&amp;Eingabe!$D$11&amp;".21.0/24","")</f>
        <v>10.3.21.0/24</v>
      </c>
      <c r="G433" s="19" t="str">
        <f aca="false">IF(AND(Eingabe!$F$11&gt;0,Eingabe!$E$11&gt;=21),"10."&amp;Eingabe!$D$11&amp;".21.1","")</f>
        <v>10.3.21.1</v>
      </c>
      <c r="H433" s="19" t="str">
        <f aca="false">IF(AND(Eingabe!$F$11&gt;0,Eingabe!$E$11&gt;=21),"10."&amp;Eingabe!$D$11&amp;".21.10 – 10."&amp;Eingabe!$D$11&amp;".21.250","")</f>
        <v>10.3.21.10 – 10.3.21.250</v>
      </c>
      <c r="I433" s="19" t="str">
        <f aca="false">IF(AND(Eingabe!$F$11&gt;0,Eingabe!$E$11&gt;=21),Eingabe!$B$6&amp;"-"&amp;Eingabe!$C$11&amp;"-Pächter","")</f>
        <v>SparteNet.de-SW-Pächter</v>
      </c>
      <c r="J433" s="19" t="str">
        <f aca="false">IF(AND(Eingabe!$F$11&gt;0,Eingabe!$E$11&gt;=21),"PPSK: Passwort Parzelle 21","")</f>
        <v>PPSK: Passwort Parzelle 21</v>
      </c>
      <c r="K433" s="19" t="str">
        <f aca="false">IF(AND(Eingabe!$F$11&gt;0,Eingabe!$E$11&gt;=21),"1. Gerät: 10."&amp;Eingabe!$D$11&amp;".21.10, 2. Gerät: .11","")</f>
        <v>1. Gerät: 10.3.21.10, 2. Gerät: .11</v>
      </c>
    </row>
    <row r="434" customFormat="false" ht="15" hidden="false" customHeight="false" outlineLevel="0" collapsed="false">
      <c r="A434" s="19" t="n">
        <f aca="false">IF(AND(Eingabe!$F$11&gt;0,Eingabe!$E$11&gt;=22),3,"")</f>
        <v>3</v>
      </c>
      <c r="B434" s="19" t="str">
        <f aca="false">IF(AND(Eingabe!$F$11&gt;0,Eingabe!$E$11&gt;=22),Eingabe!$B$11,"")</f>
        <v>Sonnenwinkel</v>
      </c>
      <c r="C434" s="19" t="str">
        <f aca="false">IF(AND(Eingabe!$F$11&gt;0,Eingabe!$E$11&gt;=22),Eingabe!$C$11&amp;"-Paz."&amp;TEXT(22,"000"),"")</f>
        <v>SW-Paz.022</v>
      </c>
      <c r="D434" s="19" t="n">
        <f aca="false">IF(AND(Eingabe!$F$11&gt;0,Eingabe!$E$11&gt;=22),22,"")</f>
        <v>22</v>
      </c>
      <c r="E434" s="19" t="n">
        <f aca="false">IF(AND(Eingabe!$F$11&gt;0,Eingabe!$E$11&gt;=22),IF((Eingabe!$G$11)&lt;=9,1000+(Eingabe!$G$11)*100,3000)+22,"")</f>
        <v>1322</v>
      </c>
      <c r="F434" s="19" t="str">
        <f aca="false">IF(AND(Eingabe!$F$11&gt;0,Eingabe!$E$11&gt;=22),"10."&amp;Eingabe!$D$11&amp;".22.0/24","")</f>
        <v>10.3.22.0/24</v>
      </c>
      <c r="G434" s="19" t="str">
        <f aca="false">IF(AND(Eingabe!$F$11&gt;0,Eingabe!$E$11&gt;=22),"10."&amp;Eingabe!$D$11&amp;".22.1","")</f>
        <v>10.3.22.1</v>
      </c>
      <c r="H434" s="19" t="str">
        <f aca="false">IF(AND(Eingabe!$F$11&gt;0,Eingabe!$E$11&gt;=22),"10."&amp;Eingabe!$D$11&amp;".22.10 – 10."&amp;Eingabe!$D$11&amp;".22.250","")</f>
        <v>10.3.22.10 – 10.3.22.250</v>
      </c>
      <c r="I434" s="19" t="str">
        <f aca="false">IF(AND(Eingabe!$F$11&gt;0,Eingabe!$E$11&gt;=22),Eingabe!$B$6&amp;"-"&amp;Eingabe!$C$11&amp;"-Pächter","")</f>
        <v>SparteNet.de-SW-Pächter</v>
      </c>
      <c r="J434" s="19" t="str">
        <f aca="false">IF(AND(Eingabe!$F$11&gt;0,Eingabe!$E$11&gt;=22),"PPSK: Passwort Parzelle 22","")</f>
        <v>PPSK: Passwort Parzelle 22</v>
      </c>
      <c r="K434" s="19" t="str">
        <f aca="false">IF(AND(Eingabe!$F$11&gt;0,Eingabe!$E$11&gt;=22),"1. Gerät: 10."&amp;Eingabe!$D$11&amp;".22.10, 2. Gerät: .11","")</f>
        <v>1. Gerät: 10.3.22.10, 2. Gerät: .11</v>
      </c>
    </row>
    <row r="435" customFormat="false" ht="15" hidden="false" customHeight="false" outlineLevel="0" collapsed="false">
      <c r="A435" s="19" t="n">
        <f aca="false">IF(AND(Eingabe!$F$11&gt;0,Eingabe!$E$11&gt;=23),3,"")</f>
        <v>3</v>
      </c>
      <c r="B435" s="19" t="str">
        <f aca="false">IF(AND(Eingabe!$F$11&gt;0,Eingabe!$E$11&gt;=23),Eingabe!$B$11,"")</f>
        <v>Sonnenwinkel</v>
      </c>
      <c r="C435" s="19" t="str">
        <f aca="false">IF(AND(Eingabe!$F$11&gt;0,Eingabe!$E$11&gt;=23),Eingabe!$C$11&amp;"-Paz."&amp;TEXT(23,"000"),"")</f>
        <v>SW-Paz.023</v>
      </c>
      <c r="D435" s="19" t="n">
        <f aca="false">IF(AND(Eingabe!$F$11&gt;0,Eingabe!$E$11&gt;=23),23,"")</f>
        <v>23</v>
      </c>
      <c r="E435" s="19" t="n">
        <f aca="false">IF(AND(Eingabe!$F$11&gt;0,Eingabe!$E$11&gt;=23),IF((Eingabe!$G$11)&lt;=9,1000+(Eingabe!$G$11)*100,3000)+23,"")</f>
        <v>1323</v>
      </c>
      <c r="F435" s="19" t="str">
        <f aca="false">IF(AND(Eingabe!$F$11&gt;0,Eingabe!$E$11&gt;=23),"10."&amp;Eingabe!$D$11&amp;".23.0/24","")</f>
        <v>10.3.23.0/24</v>
      </c>
      <c r="G435" s="19" t="str">
        <f aca="false">IF(AND(Eingabe!$F$11&gt;0,Eingabe!$E$11&gt;=23),"10."&amp;Eingabe!$D$11&amp;".23.1","")</f>
        <v>10.3.23.1</v>
      </c>
      <c r="H435" s="19" t="str">
        <f aca="false">IF(AND(Eingabe!$F$11&gt;0,Eingabe!$E$11&gt;=23),"10."&amp;Eingabe!$D$11&amp;".23.10 – 10."&amp;Eingabe!$D$11&amp;".23.250","")</f>
        <v>10.3.23.10 – 10.3.23.250</v>
      </c>
      <c r="I435" s="19" t="str">
        <f aca="false">IF(AND(Eingabe!$F$11&gt;0,Eingabe!$E$11&gt;=23),Eingabe!$B$6&amp;"-"&amp;Eingabe!$C$11&amp;"-Pächter","")</f>
        <v>SparteNet.de-SW-Pächter</v>
      </c>
      <c r="J435" s="19" t="str">
        <f aca="false">IF(AND(Eingabe!$F$11&gt;0,Eingabe!$E$11&gt;=23),"PPSK: Passwort Parzelle 23","")</f>
        <v>PPSK: Passwort Parzelle 23</v>
      </c>
      <c r="K435" s="19" t="str">
        <f aca="false">IF(AND(Eingabe!$F$11&gt;0,Eingabe!$E$11&gt;=23),"1. Gerät: 10."&amp;Eingabe!$D$11&amp;".23.10, 2. Gerät: .11","")</f>
        <v>1. Gerät: 10.3.23.10, 2. Gerät: .11</v>
      </c>
    </row>
    <row r="436" customFormat="false" ht="15" hidden="false" customHeight="false" outlineLevel="0" collapsed="false">
      <c r="A436" s="19" t="n">
        <f aca="false">IF(AND(Eingabe!$F$11&gt;0,Eingabe!$E$11&gt;=24),3,"")</f>
        <v>3</v>
      </c>
      <c r="B436" s="19" t="str">
        <f aca="false">IF(AND(Eingabe!$F$11&gt;0,Eingabe!$E$11&gt;=24),Eingabe!$B$11,"")</f>
        <v>Sonnenwinkel</v>
      </c>
      <c r="C436" s="19" t="str">
        <f aca="false">IF(AND(Eingabe!$F$11&gt;0,Eingabe!$E$11&gt;=24),Eingabe!$C$11&amp;"-Paz."&amp;TEXT(24,"000"),"")</f>
        <v>SW-Paz.024</v>
      </c>
      <c r="D436" s="19" t="n">
        <f aca="false">IF(AND(Eingabe!$F$11&gt;0,Eingabe!$E$11&gt;=24),24,"")</f>
        <v>24</v>
      </c>
      <c r="E436" s="19" t="n">
        <f aca="false">IF(AND(Eingabe!$F$11&gt;0,Eingabe!$E$11&gt;=24),IF((Eingabe!$G$11)&lt;=9,1000+(Eingabe!$G$11)*100,3000)+24,"")</f>
        <v>1324</v>
      </c>
      <c r="F436" s="19" t="str">
        <f aca="false">IF(AND(Eingabe!$F$11&gt;0,Eingabe!$E$11&gt;=24),"10."&amp;Eingabe!$D$11&amp;".24.0/24","")</f>
        <v>10.3.24.0/24</v>
      </c>
      <c r="G436" s="19" t="str">
        <f aca="false">IF(AND(Eingabe!$F$11&gt;0,Eingabe!$E$11&gt;=24),"10."&amp;Eingabe!$D$11&amp;".24.1","")</f>
        <v>10.3.24.1</v>
      </c>
      <c r="H436" s="19" t="str">
        <f aca="false">IF(AND(Eingabe!$F$11&gt;0,Eingabe!$E$11&gt;=24),"10."&amp;Eingabe!$D$11&amp;".24.10 – 10."&amp;Eingabe!$D$11&amp;".24.250","")</f>
        <v>10.3.24.10 – 10.3.24.250</v>
      </c>
      <c r="I436" s="19" t="str">
        <f aca="false">IF(AND(Eingabe!$F$11&gt;0,Eingabe!$E$11&gt;=24),Eingabe!$B$6&amp;"-"&amp;Eingabe!$C$11&amp;"-Pächter","")</f>
        <v>SparteNet.de-SW-Pächter</v>
      </c>
      <c r="J436" s="19" t="str">
        <f aca="false">IF(AND(Eingabe!$F$11&gt;0,Eingabe!$E$11&gt;=24),"PPSK: Passwort Parzelle 24","")</f>
        <v>PPSK: Passwort Parzelle 24</v>
      </c>
      <c r="K436" s="19" t="str">
        <f aca="false">IF(AND(Eingabe!$F$11&gt;0,Eingabe!$E$11&gt;=24),"1. Gerät: 10."&amp;Eingabe!$D$11&amp;".24.10, 2. Gerät: .11","")</f>
        <v>1. Gerät: 10.3.24.10, 2. Gerät: .11</v>
      </c>
    </row>
    <row r="437" customFormat="false" ht="15" hidden="false" customHeight="false" outlineLevel="0" collapsed="false">
      <c r="A437" s="19" t="n">
        <f aca="false">IF(AND(Eingabe!$F$11&gt;0,Eingabe!$E$11&gt;=25),3,"")</f>
        <v>3</v>
      </c>
      <c r="B437" s="19" t="str">
        <f aca="false">IF(AND(Eingabe!$F$11&gt;0,Eingabe!$E$11&gt;=25),Eingabe!$B$11,"")</f>
        <v>Sonnenwinkel</v>
      </c>
      <c r="C437" s="19" t="str">
        <f aca="false">IF(AND(Eingabe!$F$11&gt;0,Eingabe!$E$11&gt;=25),Eingabe!$C$11&amp;"-Paz."&amp;TEXT(25,"000"),"")</f>
        <v>SW-Paz.025</v>
      </c>
      <c r="D437" s="19" t="n">
        <f aca="false">IF(AND(Eingabe!$F$11&gt;0,Eingabe!$E$11&gt;=25),25,"")</f>
        <v>25</v>
      </c>
      <c r="E437" s="19" t="n">
        <f aca="false">IF(AND(Eingabe!$F$11&gt;0,Eingabe!$E$11&gt;=25),IF((Eingabe!$G$11)&lt;=9,1000+(Eingabe!$G$11)*100,3000)+25,"")</f>
        <v>1325</v>
      </c>
      <c r="F437" s="19" t="str">
        <f aca="false">IF(AND(Eingabe!$F$11&gt;0,Eingabe!$E$11&gt;=25),"10."&amp;Eingabe!$D$11&amp;".25.0/24","")</f>
        <v>10.3.25.0/24</v>
      </c>
      <c r="G437" s="19" t="str">
        <f aca="false">IF(AND(Eingabe!$F$11&gt;0,Eingabe!$E$11&gt;=25),"10."&amp;Eingabe!$D$11&amp;".25.1","")</f>
        <v>10.3.25.1</v>
      </c>
      <c r="H437" s="19" t="str">
        <f aca="false">IF(AND(Eingabe!$F$11&gt;0,Eingabe!$E$11&gt;=25),"10."&amp;Eingabe!$D$11&amp;".25.10 – 10."&amp;Eingabe!$D$11&amp;".25.250","")</f>
        <v>10.3.25.10 – 10.3.25.250</v>
      </c>
      <c r="I437" s="19" t="str">
        <f aca="false">IF(AND(Eingabe!$F$11&gt;0,Eingabe!$E$11&gt;=25),Eingabe!$B$6&amp;"-"&amp;Eingabe!$C$11&amp;"-Pächter","")</f>
        <v>SparteNet.de-SW-Pächter</v>
      </c>
      <c r="J437" s="19" t="str">
        <f aca="false">IF(AND(Eingabe!$F$11&gt;0,Eingabe!$E$11&gt;=25),"PPSK: Passwort Parzelle 25","")</f>
        <v>PPSK: Passwort Parzelle 25</v>
      </c>
      <c r="K437" s="19" t="str">
        <f aca="false">IF(AND(Eingabe!$F$11&gt;0,Eingabe!$E$11&gt;=25),"1. Gerät: 10."&amp;Eingabe!$D$11&amp;".25.10, 2. Gerät: .11","")</f>
        <v>1. Gerät: 10.3.25.10, 2. Gerät: .11</v>
      </c>
    </row>
    <row r="438" customFormat="false" ht="15" hidden="false" customHeight="false" outlineLevel="0" collapsed="false">
      <c r="A438" s="19" t="n">
        <f aca="false">IF(AND(Eingabe!$F$11&gt;0,Eingabe!$E$11&gt;=26),3,"")</f>
        <v>3</v>
      </c>
      <c r="B438" s="19" t="str">
        <f aca="false">IF(AND(Eingabe!$F$11&gt;0,Eingabe!$E$11&gt;=26),Eingabe!$B$11,"")</f>
        <v>Sonnenwinkel</v>
      </c>
      <c r="C438" s="19" t="str">
        <f aca="false">IF(AND(Eingabe!$F$11&gt;0,Eingabe!$E$11&gt;=26),Eingabe!$C$11&amp;"-Paz."&amp;TEXT(26,"000"),"")</f>
        <v>SW-Paz.026</v>
      </c>
      <c r="D438" s="19" t="n">
        <f aca="false">IF(AND(Eingabe!$F$11&gt;0,Eingabe!$E$11&gt;=26),26,"")</f>
        <v>26</v>
      </c>
      <c r="E438" s="19" t="n">
        <f aca="false">IF(AND(Eingabe!$F$11&gt;0,Eingabe!$E$11&gt;=26),IF((Eingabe!$G$11)&lt;=9,1000+(Eingabe!$G$11)*100,3000)+26,"")</f>
        <v>1326</v>
      </c>
      <c r="F438" s="19" t="str">
        <f aca="false">IF(AND(Eingabe!$F$11&gt;0,Eingabe!$E$11&gt;=26),"10."&amp;Eingabe!$D$11&amp;".26.0/24","")</f>
        <v>10.3.26.0/24</v>
      </c>
      <c r="G438" s="19" t="str">
        <f aca="false">IF(AND(Eingabe!$F$11&gt;0,Eingabe!$E$11&gt;=26),"10."&amp;Eingabe!$D$11&amp;".26.1","")</f>
        <v>10.3.26.1</v>
      </c>
      <c r="H438" s="19" t="str">
        <f aca="false">IF(AND(Eingabe!$F$11&gt;0,Eingabe!$E$11&gt;=26),"10."&amp;Eingabe!$D$11&amp;".26.10 – 10."&amp;Eingabe!$D$11&amp;".26.250","")</f>
        <v>10.3.26.10 – 10.3.26.250</v>
      </c>
      <c r="I438" s="19" t="str">
        <f aca="false">IF(AND(Eingabe!$F$11&gt;0,Eingabe!$E$11&gt;=26),Eingabe!$B$6&amp;"-"&amp;Eingabe!$C$11&amp;"-Pächter","")</f>
        <v>SparteNet.de-SW-Pächter</v>
      </c>
      <c r="J438" s="19" t="str">
        <f aca="false">IF(AND(Eingabe!$F$11&gt;0,Eingabe!$E$11&gt;=26),"PPSK: Passwort Parzelle 26","")</f>
        <v>PPSK: Passwort Parzelle 26</v>
      </c>
      <c r="K438" s="19" t="str">
        <f aca="false">IF(AND(Eingabe!$F$11&gt;0,Eingabe!$E$11&gt;=26),"1. Gerät: 10."&amp;Eingabe!$D$11&amp;".26.10, 2. Gerät: .11","")</f>
        <v>1. Gerät: 10.3.26.10, 2. Gerät: .11</v>
      </c>
    </row>
    <row r="439" customFormat="false" ht="15" hidden="false" customHeight="false" outlineLevel="0" collapsed="false">
      <c r="A439" s="19" t="n">
        <f aca="false">IF(AND(Eingabe!$F$11&gt;0,Eingabe!$E$11&gt;=27),3,"")</f>
        <v>3</v>
      </c>
      <c r="B439" s="19" t="str">
        <f aca="false">IF(AND(Eingabe!$F$11&gt;0,Eingabe!$E$11&gt;=27),Eingabe!$B$11,"")</f>
        <v>Sonnenwinkel</v>
      </c>
      <c r="C439" s="19" t="str">
        <f aca="false">IF(AND(Eingabe!$F$11&gt;0,Eingabe!$E$11&gt;=27),Eingabe!$C$11&amp;"-Paz."&amp;TEXT(27,"000"),"")</f>
        <v>SW-Paz.027</v>
      </c>
      <c r="D439" s="19" t="n">
        <f aca="false">IF(AND(Eingabe!$F$11&gt;0,Eingabe!$E$11&gt;=27),27,"")</f>
        <v>27</v>
      </c>
      <c r="E439" s="19" t="n">
        <f aca="false">IF(AND(Eingabe!$F$11&gt;0,Eingabe!$E$11&gt;=27),IF((Eingabe!$G$11)&lt;=9,1000+(Eingabe!$G$11)*100,3000)+27,"")</f>
        <v>1327</v>
      </c>
      <c r="F439" s="19" t="str">
        <f aca="false">IF(AND(Eingabe!$F$11&gt;0,Eingabe!$E$11&gt;=27),"10."&amp;Eingabe!$D$11&amp;".27.0/24","")</f>
        <v>10.3.27.0/24</v>
      </c>
      <c r="G439" s="19" t="str">
        <f aca="false">IF(AND(Eingabe!$F$11&gt;0,Eingabe!$E$11&gt;=27),"10."&amp;Eingabe!$D$11&amp;".27.1","")</f>
        <v>10.3.27.1</v>
      </c>
      <c r="H439" s="19" t="str">
        <f aca="false">IF(AND(Eingabe!$F$11&gt;0,Eingabe!$E$11&gt;=27),"10."&amp;Eingabe!$D$11&amp;".27.10 – 10."&amp;Eingabe!$D$11&amp;".27.250","")</f>
        <v>10.3.27.10 – 10.3.27.250</v>
      </c>
      <c r="I439" s="19" t="str">
        <f aca="false">IF(AND(Eingabe!$F$11&gt;0,Eingabe!$E$11&gt;=27),Eingabe!$B$6&amp;"-"&amp;Eingabe!$C$11&amp;"-Pächter","")</f>
        <v>SparteNet.de-SW-Pächter</v>
      </c>
      <c r="J439" s="19" t="str">
        <f aca="false">IF(AND(Eingabe!$F$11&gt;0,Eingabe!$E$11&gt;=27),"PPSK: Passwort Parzelle 27","")</f>
        <v>PPSK: Passwort Parzelle 27</v>
      </c>
      <c r="K439" s="19" t="str">
        <f aca="false">IF(AND(Eingabe!$F$11&gt;0,Eingabe!$E$11&gt;=27),"1. Gerät: 10."&amp;Eingabe!$D$11&amp;".27.10, 2. Gerät: .11","")</f>
        <v>1. Gerät: 10.3.27.10, 2. Gerät: .11</v>
      </c>
    </row>
    <row r="440" customFormat="false" ht="15" hidden="false" customHeight="false" outlineLevel="0" collapsed="false">
      <c r="A440" s="19" t="n">
        <f aca="false">IF(AND(Eingabe!$F$11&gt;0,Eingabe!$E$11&gt;=28),3,"")</f>
        <v>3</v>
      </c>
      <c r="B440" s="19" t="str">
        <f aca="false">IF(AND(Eingabe!$F$11&gt;0,Eingabe!$E$11&gt;=28),Eingabe!$B$11,"")</f>
        <v>Sonnenwinkel</v>
      </c>
      <c r="C440" s="19" t="str">
        <f aca="false">IF(AND(Eingabe!$F$11&gt;0,Eingabe!$E$11&gt;=28),Eingabe!$C$11&amp;"-Paz."&amp;TEXT(28,"000"),"")</f>
        <v>SW-Paz.028</v>
      </c>
      <c r="D440" s="19" t="n">
        <f aca="false">IF(AND(Eingabe!$F$11&gt;0,Eingabe!$E$11&gt;=28),28,"")</f>
        <v>28</v>
      </c>
      <c r="E440" s="19" t="n">
        <f aca="false">IF(AND(Eingabe!$F$11&gt;0,Eingabe!$E$11&gt;=28),IF((Eingabe!$G$11)&lt;=9,1000+(Eingabe!$G$11)*100,3000)+28,"")</f>
        <v>1328</v>
      </c>
      <c r="F440" s="19" t="str">
        <f aca="false">IF(AND(Eingabe!$F$11&gt;0,Eingabe!$E$11&gt;=28),"10."&amp;Eingabe!$D$11&amp;".28.0/24","")</f>
        <v>10.3.28.0/24</v>
      </c>
      <c r="G440" s="19" t="str">
        <f aca="false">IF(AND(Eingabe!$F$11&gt;0,Eingabe!$E$11&gt;=28),"10."&amp;Eingabe!$D$11&amp;".28.1","")</f>
        <v>10.3.28.1</v>
      </c>
      <c r="H440" s="19" t="str">
        <f aca="false">IF(AND(Eingabe!$F$11&gt;0,Eingabe!$E$11&gt;=28),"10."&amp;Eingabe!$D$11&amp;".28.10 – 10."&amp;Eingabe!$D$11&amp;".28.250","")</f>
        <v>10.3.28.10 – 10.3.28.250</v>
      </c>
      <c r="I440" s="19" t="str">
        <f aca="false">IF(AND(Eingabe!$F$11&gt;0,Eingabe!$E$11&gt;=28),Eingabe!$B$6&amp;"-"&amp;Eingabe!$C$11&amp;"-Pächter","")</f>
        <v>SparteNet.de-SW-Pächter</v>
      </c>
      <c r="J440" s="19" t="str">
        <f aca="false">IF(AND(Eingabe!$F$11&gt;0,Eingabe!$E$11&gt;=28),"PPSK: Passwort Parzelle 28","")</f>
        <v>PPSK: Passwort Parzelle 28</v>
      </c>
      <c r="K440" s="19" t="str">
        <f aca="false">IF(AND(Eingabe!$F$11&gt;0,Eingabe!$E$11&gt;=28),"1. Gerät: 10."&amp;Eingabe!$D$11&amp;".28.10, 2. Gerät: .11","")</f>
        <v>1. Gerät: 10.3.28.10, 2. Gerät: .11</v>
      </c>
    </row>
    <row r="441" customFormat="false" ht="15" hidden="false" customHeight="false" outlineLevel="0" collapsed="false">
      <c r="A441" s="19" t="n">
        <f aca="false">IF(AND(Eingabe!$F$11&gt;0,Eingabe!$E$11&gt;=29),3,"")</f>
        <v>3</v>
      </c>
      <c r="B441" s="19" t="str">
        <f aca="false">IF(AND(Eingabe!$F$11&gt;0,Eingabe!$E$11&gt;=29),Eingabe!$B$11,"")</f>
        <v>Sonnenwinkel</v>
      </c>
      <c r="C441" s="19" t="str">
        <f aca="false">IF(AND(Eingabe!$F$11&gt;0,Eingabe!$E$11&gt;=29),Eingabe!$C$11&amp;"-Paz."&amp;TEXT(29,"000"),"")</f>
        <v>SW-Paz.029</v>
      </c>
      <c r="D441" s="19" t="n">
        <f aca="false">IF(AND(Eingabe!$F$11&gt;0,Eingabe!$E$11&gt;=29),29,"")</f>
        <v>29</v>
      </c>
      <c r="E441" s="19" t="n">
        <f aca="false">IF(AND(Eingabe!$F$11&gt;0,Eingabe!$E$11&gt;=29),IF((Eingabe!$G$11)&lt;=9,1000+(Eingabe!$G$11)*100,3000)+29,"")</f>
        <v>1329</v>
      </c>
      <c r="F441" s="19" t="str">
        <f aca="false">IF(AND(Eingabe!$F$11&gt;0,Eingabe!$E$11&gt;=29),"10."&amp;Eingabe!$D$11&amp;".29.0/24","")</f>
        <v>10.3.29.0/24</v>
      </c>
      <c r="G441" s="19" t="str">
        <f aca="false">IF(AND(Eingabe!$F$11&gt;0,Eingabe!$E$11&gt;=29),"10."&amp;Eingabe!$D$11&amp;".29.1","")</f>
        <v>10.3.29.1</v>
      </c>
      <c r="H441" s="19" t="str">
        <f aca="false">IF(AND(Eingabe!$F$11&gt;0,Eingabe!$E$11&gt;=29),"10."&amp;Eingabe!$D$11&amp;".29.10 – 10."&amp;Eingabe!$D$11&amp;".29.250","")</f>
        <v>10.3.29.10 – 10.3.29.250</v>
      </c>
      <c r="I441" s="19" t="str">
        <f aca="false">IF(AND(Eingabe!$F$11&gt;0,Eingabe!$E$11&gt;=29),Eingabe!$B$6&amp;"-"&amp;Eingabe!$C$11&amp;"-Pächter","")</f>
        <v>SparteNet.de-SW-Pächter</v>
      </c>
      <c r="J441" s="19" t="str">
        <f aca="false">IF(AND(Eingabe!$F$11&gt;0,Eingabe!$E$11&gt;=29),"PPSK: Passwort Parzelle 29","")</f>
        <v>PPSK: Passwort Parzelle 29</v>
      </c>
      <c r="K441" s="19" t="str">
        <f aca="false">IF(AND(Eingabe!$F$11&gt;0,Eingabe!$E$11&gt;=29),"1. Gerät: 10."&amp;Eingabe!$D$11&amp;".29.10, 2. Gerät: .11","")</f>
        <v>1. Gerät: 10.3.29.10, 2. Gerät: .11</v>
      </c>
    </row>
    <row r="442" customFormat="false" ht="15" hidden="false" customHeight="false" outlineLevel="0" collapsed="false">
      <c r="A442" s="19" t="n">
        <f aca="false">IF(AND(Eingabe!$F$11&gt;0,Eingabe!$E$11&gt;=30),3,"")</f>
        <v>3</v>
      </c>
      <c r="B442" s="19" t="str">
        <f aca="false">IF(AND(Eingabe!$F$11&gt;0,Eingabe!$E$11&gt;=30),Eingabe!$B$11,"")</f>
        <v>Sonnenwinkel</v>
      </c>
      <c r="C442" s="19" t="str">
        <f aca="false">IF(AND(Eingabe!$F$11&gt;0,Eingabe!$E$11&gt;=30),Eingabe!$C$11&amp;"-Paz."&amp;TEXT(30,"000"),"")</f>
        <v>SW-Paz.030</v>
      </c>
      <c r="D442" s="19" t="n">
        <f aca="false">IF(AND(Eingabe!$F$11&gt;0,Eingabe!$E$11&gt;=30),30,"")</f>
        <v>30</v>
      </c>
      <c r="E442" s="19" t="n">
        <f aca="false">IF(AND(Eingabe!$F$11&gt;0,Eingabe!$E$11&gt;=30),IF((Eingabe!$G$11)&lt;=9,1000+(Eingabe!$G$11)*100,3000)+30,"")</f>
        <v>1330</v>
      </c>
      <c r="F442" s="19" t="str">
        <f aca="false">IF(AND(Eingabe!$F$11&gt;0,Eingabe!$E$11&gt;=30),"10."&amp;Eingabe!$D$11&amp;".30.0/24","")</f>
        <v>10.3.30.0/24</v>
      </c>
      <c r="G442" s="19" t="str">
        <f aca="false">IF(AND(Eingabe!$F$11&gt;0,Eingabe!$E$11&gt;=30),"10."&amp;Eingabe!$D$11&amp;".30.1","")</f>
        <v>10.3.30.1</v>
      </c>
      <c r="H442" s="19" t="str">
        <f aca="false">IF(AND(Eingabe!$F$11&gt;0,Eingabe!$E$11&gt;=30),"10."&amp;Eingabe!$D$11&amp;".30.10 – 10."&amp;Eingabe!$D$11&amp;".30.250","")</f>
        <v>10.3.30.10 – 10.3.30.250</v>
      </c>
      <c r="I442" s="19" t="str">
        <f aca="false">IF(AND(Eingabe!$F$11&gt;0,Eingabe!$E$11&gt;=30),Eingabe!$B$6&amp;"-"&amp;Eingabe!$C$11&amp;"-Pächter","")</f>
        <v>SparteNet.de-SW-Pächter</v>
      </c>
      <c r="J442" s="19" t="str">
        <f aca="false">IF(AND(Eingabe!$F$11&gt;0,Eingabe!$E$11&gt;=30),"PPSK: Passwort Parzelle 30","")</f>
        <v>PPSK: Passwort Parzelle 30</v>
      </c>
      <c r="K442" s="19" t="str">
        <f aca="false">IF(AND(Eingabe!$F$11&gt;0,Eingabe!$E$11&gt;=30),"1. Gerät: 10."&amp;Eingabe!$D$11&amp;".30.10, 2. Gerät: .11","")</f>
        <v>1. Gerät: 10.3.30.10, 2. Gerät: .11</v>
      </c>
    </row>
    <row r="443" customFormat="false" ht="15" hidden="false" customHeight="false" outlineLevel="0" collapsed="false">
      <c r="A443" s="19" t="n">
        <f aca="false">IF(AND(Eingabe!$F$11&gt;0,Eingabe!$E$11&gt;=31),3,"")</f>
        <v>3</v>
      </c>
      <c r="B443" s="19" t="str">
        <f aca="false">IF(AND(Eingabe!$F$11&gt;0,Eingabe!$E$11&gt;=31),Eingabe!$B$11,"")</f>
        <v>Sonnenwinkel</v>
      </c>
      <c r="C443" s="19" t="str">
        <f aca="false">IF(AND(Eingabe!$F$11&gt;0,Eingabe!$E$11&gt;=31),Eingabe!$C$11&amp;"-Paz."&amp;TEXT(31,"000"),"")</f>
        <v>SW-Paz.031</v>
      </c>
      <c r="D443" s="19" t="n">
        <f aca="false">IF(AND(Eingabe!$F$11&gt;0,Eingabe!$E$11&gt;=31),31,"")</f>
        <v>31</v>
      </c>
      <c r="E443" s="19" t="n">
        <f aca="false">IF(AND(Eingabe!$F$11&gt;0,Eingabe!$E$11&gt;=31),IF((Eingabe!$G$11)&lt;=9,1000+(Eingabe!$G$11)*100,3000)+31,"")</f>
        <v>1331</v>
      </c>
      <c r="F443" s="19" t="str">
        <f aca="false">IF(AND(Eingabe!$F$11&gt;0,Eingabe!$E$11&gt;=31),"10."&amp;Eingabe!$D$11&amp;".31.0/24","")</f>
        <v>10.3.31.0/24</v>
      </c>
      <c r="G443" s="19" t="str">
        <f aca="false">IF(AND(Eingabe!$F$11&gt;0,Eingabe!$E$11&gt;=31),"10."&amp;Eingabe!$D$11&amp;".31.1","")</f>
        <v>10.3.31.1</v>
      </c>
      <c r="H443" s="19" t="str">
        <f aca="false">IF(AND(Eingabe!$F$11&gt;0,Eingabe!$E$11&gt;=31),"10."&amp;Eingabe!$D$11&amp;".31.10 – 10."&amp;Eingabe!$D$11&amp;".31.250","")</f>
        <v>10.3.31.10 – 10.3.31.250</v>
      </c>
      <c r="I443" s="19" t="str">
        <f aca="false">IF(AND(Eingabe!$F$11&gt;0,Eingabe!$E$11&gt;=31),Eingabe!$B$6&amp;"-"&amp;Eingabe!$C$11&amp;"-Pächter","")</f>
        <v>SparteNet.de-SW-Pächter</v>
      </c>
      <c r="J443" s="19" t="str">
        <f aca="false">IF(AND(Eingabe!$F$11&gt;0,Eingabe!$E$11&gt;=31),"PPSK: Passwort Parzelle 31","")</f>
        <v>PPSK: Passwort Parzelle 31</v>
      </c>
      <c r="K443" s="19" t="str">
        <f aca="false">IF(AND(Eingabe!$F$11&gt;0,Eingabe!$E$11&gt;=31),"1. Gerät: 10."&amp;Eingabe!$D$11&amp;".31.10, 2. Gerät: .11","")</f>
        <v>1. Gerät: 10.3.31.10, 2. Gerät: .11</v>
      </c>
    </row>
    <row r="444" customFormat="false" ht="15" hidden="false" customHeight="false" outlineLevel="0" collapsed="false">
      <c r="A444" s="19" t="n">
        <f aca="false">IF(AND(Eingabe!$F$11&gt;0,Eingabe!$E$11&gt;=32),3,"")</f>
        <v>3</v>
      </c>
      <c r="B444" s="19" t="str">
        <f aca="false">IF(AND(Eingabe!$F$11&gt;0,Eingabe!$E$11&gt;=32),Eingabe!$B$11,"")</f>
        <v>Sonnenwinkel</v>
      </c>
      <c r="C444" s="19" t="str">
        <f aca="false">IF(AND(Eingabe!$F$11&gt;0,Eingabe!$E$11&gt;=32),Eingabe!$C$11&amp;"-Paz."&amp;TEXT(32,"000"),"")</f>
        <v>SW-Paz.032</v>
      </c>
      <c r="D444" s="19" t="n">
        <f aca="false">IF(AND(Eingabe!$F$11&gt;0,Eingabe!$E$11&gt;=32),32,"")</f>
        <v>32</v>
      </c>
      <c r="E444" s="19" t="n">
        <f aca="false">IF(AND(Eingabe!$F$11&gt;0,Eingabe!$E$11&gt;=32),IF((Eingabe!$G$11)&lt;=9,1000+(Eingabe!$G$11)*100,3000)+32,"")</f>
        <v>1332</v>
      </c>
      <c r="F444" s="19" t="str">
        <f aca="false">IF(AND(Eingabe!$F$11&gt;0,Eingabe!$E$11&gt;=32),"10."&amp;Eingabe!$D$11&amp;".32.0/24","")</f>
        <v>10.3.32.0/24</v>
      </c>
      <c r="G444" s="19" t="str">
        <f aca="false">IF(AND(Eingabe!$F$11&gt;0,Eingabe!$E$11&gt;=32),"10."&amp;Eingabe!$D$11&amp;".32.1","")</f>
        <v>10.3.32.1</v>
      </c>
      <c r="H444" s="19" t="str">
        <f aca="false">IF(AND(Eingabe!$F$11&gt;0,Eingabe!$E$11&gt;=32),"10."&amp;Eingabe!$D$11&amp;".32.10 – 10."&amp;Eingabe!$D$11&amp;".32.250","")</f>
        <v>10.3.32.10 – 10.3.32.250</v>
      </c>
      <c r="I444" s="19" t="str">
        <f aca="false">IF(AND(Eingabe!$F$11&gt;0,Eingabe!$E$11&gt;=32),Eingabe!$B$6&amp;"-"&amp;Eingabe!$C$11&amp;"-Pächter","")</f>
        <v>SparteNet.de-SW-Pächter</v>
      </c>
      <c r="J444" s="19" t="str">
        <f aca="false">IF(AND(Eingabe!$F$11&gt;0,Eingabe!$E$11&gt;=32),"PPSK: Passwort Parzelle 32","")</f>
        <v>PPSK: Passwort Parzelle 32</v>
      </c>
      <c r="K444" s="19" t="str">
        <f aca="false">IF(AND(Eingabe!$F$11&gt;0,Eingabe!$E$11&gt;=32),"1. Gerät: 10."&amp;Eingabe!$D$11&amp;".32.10, 2. Gerät: .11","")</f>
        <v>1. Gerät: 10.3.32.10, 2. Gerät: .11</v>
      </c>
    </row>
    <row r="445" customFormat="false" ht="15" hidden="false" customHeight="false" outlineLevel="0" collapsed="false">
      <c r="A445" s="19" t="n">
        <f aca="false">IF(AND(Eingabe!$F$11&gt;0,Eingabe!$E$11&gt;=33),3,"")</f>
        <v>3</v>
      </c>
      <c r="B445" s="19" t="str">
        <f aca="false">IF(AND(Eingabe!$F$11&gt;0,Eingabe!$E$11&gt;=33),Eingabe!$B$11,"")</f>
        <v>Sonnenwinkel</v>
      </c>
      <c r="C445" s="19" t="str">
        <f aca="false">IF(AND(Eingabe!$F$11&gt;0,Eingabe!$E$11&gt;=33),Eingabe!$C$11&amp;"-Paz."&amp;TEXT(33,"000"),"")</f>
        <v>SW-Paz.033</v>
      </c>
      <c r="D445" s="19" t="n">
        <f aca="false">IF(AND(Eingabe!$F$11&gt;0,Eingabe!$E$11&gt;=33),33,"")</f>
        <v>33</v>
      </c>
      <c r="E445" s="19" t="n">
        <f aca="false">IF(AND(Eingabe!$F$11&gt;0,Eingabe!$E$11&gt;=33),IF((Eingabe!$G$11)&lt;=9,1000+(Eingabe!$G$11)*100,3000)+33,"")</f>
        <v>1333</v>
      </c>
      <c r="F445" s="19" t="str">
        <f aca="false">IF(AND(Eingabe!$F$11&gt;0,Eingabe!$E$11&gt;=33),"10."&amp;Eingabe!$D$11&amp;".33.0/24","")</f>
        <v>10.3.33.0/24</v>
      </c>
      <c r="G445" s="19" t="str">
        <f aca="false">IF(AND(Eingabe!$F$11&gt;0,Eingabe!$E$11&gt;=33),"10."&amp;Eingabe!$D$11&amp;".33.1","")</f>
        <v>10.3.33.1</v>
      </c>
      <c r="H445" s="19" t="str">
        <f aca="false">IF(AND(Eingabe!$F$11&gt;0,Eingabe!$E$11&gt;=33),"10."&amp;Eingabe!$D$11&amp;".33.10 – 10."&amp;Eingabe!$D$11&amp;".33.250","")</f>
        <v>10.3.33.10 – 10.3.33.250</v>
      </c>
      <c r="I445" s="19" t="str">
        <f aca="false">IF(AND(Eingabe!$F$11&gt;0,Eingabe!$E$11&gt;=33),Eingabe!$B$6&amp;"-"&amp;Eingabe!$C$11&amp;"-Pächter","")</f>
        <v>SparteNet.de-SW-Pächter</v>
      </c>
      <c r="J445" s="19" t="str">
        <f aca="false">IF(AND(Eingabe!$F$11&gt;0,Eingabe!$E$11&gt;=33),"PPSK: Passwort Parzelle 33","")</f>
        <v>PPSK: Passwort Parzelle 33</v>
      </c>
      <c r="K445" s="19" t="str">
        <f aca="false">IF(AND(Eingabe!$F$11&gt;0,Eingabe!$E$11&gt;=33),"1. Gerät: 10."&amp;Eingabe!$D$11&amp;".33.10, 2. Gerät: .11","")</f>
        <v>1. Gerät: 10.3.33.10, 2. Gerät: .11</v>
      </c>
    </row>
    <row r="446" customFormat="false" ht="15" hidden="false" customHeight="false" outlineLevel="0" collapsed="false">
      <c r="A446" s="19" t="n">
        <f aca="false">IF(AND(Eingabe!$F$11&gt;0,Eingabe!$E$11&gt;=34),3,"")</f>
        <v>3</v>
      </c>
      <c r="B446" s="19" t="str">
        <f aca="false">IF(AND(Eingabe!$F$11&gt;0,Eingabe!$E$11&gt;=34),Eingabe!$B$11,"")</f>
        <v>Sonnenwinkel</v>
      </c>
      <c r="C446" s="19" t="str">
        <f aca="false">IF(AND(Eingabe!$F$11&gt;0,Eingabe!$E$11&gt;=34),Eingabe!$C$11&amp;"-Paz."&amp;TEXT(34,"000"),"")</f>
        <v>SW-Paz.034</v>
      </c>
      <c r="D446" s="19" t="n">
        <f aca="false">IF(AND(Eingabe!$F$11&gt;0,Eingabe!$E$11&gt;=34),34,"")</f>
        <v>34</v>
      </c>
      <c r="E446" s="19" t="n">
        <f aca="false">IF(AND(Eingabe!$F$11&gt;0,Eingabe!$E$11&gt;=34),IF((Eingabe!$G$11)&lt;=9,1000+(Eingabe!$G$11)*100,3000)+34,"")</f>
        <v>1334</v>
      </c>
      <c r="F446" s="19" t="str">
        <f aca="false">IF(AND(Eingabe!$F$11&gt;0,Eingabe!$E$11&gt;=34),"10."&amp;Eingabe!$D$11&amp;".34.0/24","")</f>
        <v>10.3.34.0/24</v>
      </c>
      <c r="G446" s="19" t="str">
        <f aca="false">IF(AND(Eingabe!$F$11&gt;0,Eingabe!$E$11&gt;=34),"10."&amp;Eingabe!$D$11&amp;".34.1","")</f>
        <v>10.3.34.1</v>
      </c>
      <c r="H446" s="19" t="str">
        <f aca="false">IF(AND(Eingabe!$F$11&gt;0,Eingabe!$E$11&gt;=34),"10."&amp;Eingabe!$D$11&amp;".34.10 – 10."&amp;Eingabe!$D$11&amp;".34.250","")</f>
        <v>10.3.34.10 – 10.3.34.250</v>
      </c>
      <c r="I446" s="19" t="str">
        <f aca="false">IF(AND(Eingabe!$F$11&gt;0,Eingabe!$E$11&gt;=34),Eingabe!$B$6&amp;"-"&amp;Eingabe!$C$11&amp;"-Pächter","")</f>
        <v>SparteNet.de-SW-Pächter</v>
      </c>
      <c r="J446" s="19" t="str">
        <f aca="false">IF(AND(Eingabe!$F$11&gt;0,Eingabe!$E$11&gt;=34),"PPSK: Passwort Parzelle 34","")</f>
        <v>PPSK: Passwort Parzelle 34</v>
      </c>
      <c r="K446" s="19" t="str">
        <f aca="false">IF(AND(Eingabe!$F$11&gt;0,Eingabe!$E$11&gt;=34),"1. Gerät: 10."&amp;Eingabe!$D$11&amp;".34.10, 2. Gerät: .11","")</f>
        <v>1. Gerät: 10.3.34.10, 2. Gerät: .11</v>
      </c>
    </row>
    <row r="447" customFormat="false" ht="15" hidden="false" customHeight="false" outlineLevel="0" collapsed="false">
      <c r="A447" s="19" t="n">
        <f aca="false">IF(AND(Eingabe!$F$11&gt;0,Eingabe!$E$11&gt;=35),3,"")</f>
        <v>3</v>
      </c>
      <c r="B447" s="19" t="str">
        <f aca="false">IF(AND(Eingabe!$F$11&gt;0,Eingabe!$E$11&gt;=35),Eingabe!$B$11,"")</f>
        <v>Sonnenwinkel</v>
      </c>
      <c r="C447" s="19" t="str">
        <f aca="false">IF(AND(Eingabe!$F$11&gt;0,Eingabe!$E$11&gt;=35),Eingabe!$C$11&amp;"-Paz."&amp;TEXT(35,"000"),"")</f>
        <v>SW-Paz.035</v>
      </c>
      <c r="D447" s="19" t="n">
        <f aca="false">IF(AND(Eingabe!$F$11&gt;0,Eingabe!$E$11&gt;=35),35,"")</f>
        <v>35</v>
      </c>
      <c r="E447" s="19" t="n">
        <f aca="false">IF(AND(Eingabe!$F$11&gt;0,Eingabe!$E$11&gt;=35),IF((Eingabe!$G$11)&lt;=9,1000+(Eingabe!$G$11)*100,3000)+35,"")</f>
        <v>1335</v>
      </c>
      <c r="F447" s="19" t="str">
        <f aca="false">IF(AND(Eingabe!$F$11&gt;0,Eingabe!$E$11&gt;=35),"10."&amp;Eingabe!$D$11&amp;".35.0/24","")</f>
        <v>10.3.35.0/24</v>
      </c>
      <c r="G447" s="19" t="str">
        <f aca="false">IF(AND(Eingabe!$F$11&gt;0,Eingabe!$E$11&gt;=35),"10."&amp;Eingabe!$D$11&amp;".35.1","")</f>
        <v>10.3.35.1</v>
      </c>
      <c r="H447" s="19" t="str">
        <f aca="false">IF(AND(Eingabe!$F$11&gt;0,Eingabe!$E$11&gt;=35),"10."&amp;Eingabe!$D$11&amp;".35.10 – 10."&amp;Eingabe!$D$11&amp;".35.250","")</f>
        <v>10.3.35.10 – 10.3.35.250</v>
      </c>
      <c r="I447" s="19" t="str">
        <f aca="false">IF(AND(Eingabe!$F$11&gt;0,Eingabe!$E$11&gt;=35),Eingabe!$B$6&amp;"-"&amp;Eingabe!$C$11&amp;"-Pächter","")</f>
        <v>SparteNet.de-SW-Pächter</v>
      </c>
      <c r="J447" s="19" t="str">
        <f aca="false">IF(AND(Eingabe!$F$11&gt;0,Eingabe!$E$11&gt;=35),"PPSK: Passwort Parzelle 35","")</f>
        <v>PPSK: Passwort Parzelle 35</v>
      </c>
      <c r="K447" s="19" t="str">
        <f aca="false">IF(AND(Eingabe!$F$11&gt;0,Eingabe!$E$11&gt;=35),"1. Gerät: 10."&amp;Eingabe!$D$11&amp;".35.10, 2. Gerät: .11","")</f>
        <v>1. Gerät: 10.3.35.10, 2. Gerät: .11</v>
      </c>
    </row>
    <row r="448" customFormat="false" ht="15" hidden="false" customHeight="false" outlineLevel="0" collapsed="false">
      <c r="A448" s="19" t="n">
        <f aca="false">IF(AND(Eingabe!$F$11&gt;0,Eingabe!$E$11&gt;=36),3,"")</f>
        <v>3</v>
      </c>
      <c r="B448" s="19" t="str">
        <f aca="false">IF(AND(Eingabe!$F$11&gt;0,Eingabe!$E$11&gt;=36),Eingabe!$B$11,"")</f>
        <v>Sonnenwinkel</v>
      </c>
      <c r="C448" s="19" t="str">
        <f aca="false">IF(AND(Eingabe!$F$11&gt;0,Eingabe!$E$11&gt;=36),Eingabe!$C$11&amp;"-Paz."&amp;TEXT(36,"000"),"")</f>
        <v>SW-Paz.036</v>
      </c>
      <c r="D448" s="19" t="n">
        <f aca="false">IF(AND(Eingabe!$F$11&gt;0,Eingabe!$E$11&gt;=36),36,"")</f>
        <v>36</v>
      </c>
      <c r="E448" s="19" t="n">
        <f aca="false">IF(AND(Eingabe!$F$11&gt;0,Eingabe!$E$11&gt;=36),IF((Eingabe!$G$11)&lt;=9,1000+(Eingabe!$G$11)*100,3000)+36,"")</f>
        <v>1336</v>
      </c>
      <c r="F448" s="19" t="str">
        <f aca="false">IF(AND(Eingabe!$F$11&gt;0,Eingabe!$E$11&gt;=36),"10."&amp;Eingabe!$D$11&amp;".36.0/24","")</f>
        <v>10.3.36.0/24</v>
      </c>
      <c r="G448" s="19" t="str">
        <f aca="false">IF(AND(Eingabe!$F$11&gt;0,Eingabe!$E$11&gt;=36),"10."&amp;Eingabe!$D$11&amp;".36.1","")</f>
        <v>10.3.36.1</v>
      </c>
      <c r="H448" s="19" t="str">
        <f aca="false">IF(AND(Eingabe!$F$11&gt;0,Eingabe!$E$11&gt;=36),"10."&amp;Eingabe!$D$11&amp;".36.10 – 10."&amp;Eingabe!$D$11&amp;".36.250","")</f>
        <v>10.3.36.10 – 10.3.36.250</v>
      </c>
      <c r="I448" s="19" t="str">
        <f aca="false">IF(AND(Eingabe!$F$11&gt;0,Eingabe!$E$11&gt;=36),Eingabe!$B$6&amp;"-"&amp;Eingabe!$C$11&amp;"-Pächter","")</f>
        <v>SparteNet.de-SW-Pächter</v>
      </c>
      <c r="J448" s="19" t="str">
        <f aca="false">IF(AND(Eingabe!$F$11&gt;0,Eingabe!$E$11&gt;=36),"PPSK: Passwort Parzelle 36","")</f>
        <v>PPSK: Passwort Parzelle 36</v>
      </c>
      <c r="K448" s="19" t="str">
        <f aca="false">IF(AND(Eingabe!$F$11&gt;0,Eingabe!$E$11&gt;=36),"1. Gerät: 10."&amp;Eingabe!$D$11&amp;".36.10, 2. Gerät: .11","")</f>
        <v>1. Gerät: 10.3.36.10, 2. Gerät: .11</v>
      </c>
    </row>
    <row r="449" customFormat="false" ht="15" hidden="false" customHeight="false" outlineLevel="0" collapsed="false">
      <c r="A449" s="19" t="n">
        <f aca="false">IF(AND(Eingabe!$F$11&gt;0,Eingabe!$E$11&gt;=37),3,"")</f>
        <v>3</v>
      </c>
      <c r="B449" s="19" t="str">
        <f aca="false">IF(AND(Eingabe!$F$11&gt;0,Eingabe!$E$11&gt;=37),Eingabe!$B$11,"")</f>
        <v>Sonnenwinkel</v>
      </c>
      <c r="C449" s="19" t="str">
        <f aca="false">IF(AND(Eingabe!$F$11&gt;0,Eingabe!$E$11&gt;=37),Eingabe!$C$11&amp;"-Paz."&amp;TEXT(37,"000"),"")</f>
        <v>SW-Paz.037</v>
      </c>
      <c r="D449" s="19" t="n">
        <f aca="false">IF(AND(Eingabe!$F$11&gt;0,Eingabe!$E$11&gt;=37),37,"")</f>
        <v>37</v>
      </c>
      <c r="E449" s="19" t="n">
        <f aca="false">IF(AND(Eingabe!$F$11&gt;0,Eingabe!$E$11&gt;=37),IF((Eingabe!$G$11)&lt;=9,1000+(Eingabe!$G$11)*100,3000)+37,"")</f>
        <v>1337</v>
      </c>
      <c r="F449" s="19" t="str">
        <f aca="false">IF(AND(Eingabe!$F$11&gt;0,Eingabe!$E$11&gt;=37),"10."&amp;Eingabe!$D$11&amp;".37.0/24","")</f>
        <v>10.3.37.0/24</v>
      </c>
      <c r="G449" s="19" t="str">
        <f aca="false">IF(AND(Eingabe!$F$11&gt;0,Eingabe!$E$11&gt;=37),"10."&amp;Eingabe!$D$11&amp;".37.1","")</f>
        <v>10.3.37.1</v>
      </c>
      <c r="H449" s="19" t="str">
        <f aca="false">IF(AND(Eingabe!$F$11&gt;0,Eingabe!$E$11&gt;=37),"10."&amp;Eingabe!$D$11&amp;".37.10 – 10."&amp;Eingabe!$D$11&amp;".37.250","")</f>
        <v>10.3.37.10 – 10.3.37.250</v>
      </c>
      <c r="I449" s="19" t="str">
        <f aca="false">IF(AND(Eingabe!$F$11&gt;0,Eingabe!$E$11&gt;=37),Eingabe!$B$6&amp;"-"&amp;Eingabe!$C$11&amp;"-Pächter","")</f>
        <v>SparteNet.de-SW-Pächter</v>
      </c>
      <c r="J449" s="19" t="str">
        <f aca="false">IF(AND(Eingabe!$F$11&gt;0,Eingabe!$E$11&gt;=37),"PPSK: Passwort Parzelle 37","")</f>
        <v>PPSK: Passwort Parzelle 37</v>
      </c>
      <c r="K449" s="19" t="str">
        <f aca="false">IF(AND(Eingabe!$F$11&gt;0,Eingabe!$E$11&gt;=37),"1. Gerät: 10."&amp;Eingabe!$D$11&amp;".37.10, 2. Gerät: .11","")</f>
        <v>1. Gerät: 10.3.37.10, 2. Gerät: .11</v>
      </c>
    </row>
    <row r="450" customFormat="false" ht="15" hidden="false" customHeight="false" outlineLevel="0" collapsed="false">
      <c r="A450" s="19" t="n">
        <f aca="false">IF(AND(Eingabe!$F$11&gt;0,Eingabe!$E$11&gt;=38),3,"")</f>
        <v>3</v>
      </c>
      <c r="B450" s="19" t="str">
        <f aca="false">IF(AND(Eingabe!$F$11&gt;0,Eingabe!$E$11&gt;=38),Eingabe!$B$11,"")</f>
        <v>Sonnenwinkel</v>
      </c>
      <c r="C450" s="19" t="str">
        <f aca="false">IF(AND(Eingabe!$F$11&gt;0,Eingabe!$E$11&gt;=38),Eingabe!$C$11&amp;"-Paz."&amp;TEXT(38,"000"),"")</f>
        <v>SW-Paz.038</v>
      </c>
      <c r="D450" s="19" t="n">
        <f aca="false">IF(AND(Eingabe!$F$11&gt;0,Eingabe!$E$11&gt;=38),38,"")</f>
        <v>38</v>
      </c>
      <c r="E450" s="19" t="n">
        <f aca="false">IF(AND(Eingabe!$F$11&gt;0,Eingabe!$E$11&gt;=38),IF((Eingabe!$G$11)&lt;=9,1000+(Eingabe!$G$11)*100,3000)+38,"")</f>
        <v>1338</v>
      </c>
      <c r="F450" s="19" t="str">
        <f aca="false">IF(AND(Eingabe!$F$11&gt;0,Eingabe!$E$11&gt;=38),"10."&amp;Eingabe!$D$11&amp;".38.0/24","")</f>
        <v>10.3.38.0/24</v>
      </c>
      <c r="G450" s="19" t="str">
        <f aca="false">IF(AND(Eingabe!$F$11&gt;0,Eingabe!$E$11&gt;=38),"10."&amp;Eingabe!$D$11&amp;".38.1","")</f>
        <v>10.3.38.1</v>
      </c>
      <c r="H450" s="19" t="str">
        <f aca="false">IF(AND(Eingabe!$F$11&gt;0,Eingabe!$E$11&gt;=38),"10."&amp;Eingabe!$D$11&amp;".38.10 – 10."&amp;Eingabe!$D$11&amp;".38.250","")</f>
        <v>10.3.38.10 – 10.3.38.250</v>
      </c>
      <c r="I450" s="19" t="str">
        <f aca="false">IF(AND(Eingabe!$F$11&gt;0,Eingabe!$E$11&gt;=38),Eingabe!$B$6&amp;"-"&amp;Eingabe!$C$11&amp;"-Pächter","")</f>
        <v>SparteNet.de-SW-Pächter</v>
      </c>
      <c r="J450" s="19" t="str">
        <f aca="false">IF(AND(Eingabe!$F$11&gt;0,Eingabe!$E$11&gt;=38),"PPSK: Passwort Parzelle 38","")</f>
        <v>PPSK: Passwort Parzelle 38</v>
      </c>
      <c r="K450" s="19" t="str">
        <f aca="false">IF(AND(Eingabe!$F$11&gt;0,Eingabe!$E$11&gt;=38),"1. Gerät: 10."&amp;Eingabe!$D$11&amp;".38.10, 2. Gerät: .11","")</f>
        <v>1. Gerät: 10.3.38.10, 2. Gerät: .11</v>
      </c>
    </row>
    <row r="451" customFormat="false" ht="15" hidden="false" customHeight="false" outlineLevel="0" collapsed="false">
      <c r="A451" s="19" t="n">
        <f aca="false">IF(AND(Eingabe!$F$11&gt;0,Eingabe!$E$11&gt;=39),3,"")</f>
        <v>3</v>
      </c>
      <c r="B451" s="19" t="str">
        <f aca="false">IF(AND(Eingabe!$F$11&gt;0,Eingabe!$E$11&gt;=39),Eingabe!$B$11,"")</f>
        <v>Sonnenwinkel</v>
      </c>
      <c r="C451" s="19" t="str">
        <f aca="false">IF(AND(Eingabe!$F$11&gt;0,Eingabe!$E$11&gt;=39),Eingabe!$C$11&amp;"-Paz."&amp;TEXT(39,"000"),"")</f>
        <v>SW-Paz.039</v>
      </c>
      <c r="D451" s="19" t="n">
        <f aca="false">IF(AND(Eingabe!$F$11&gt;0,Eingabe!$E$11&gt;=39),39,"")</f>
        <v>39</v>
      </c>
      <c r="E451" s="19" t="n">
        <f aca="false">IF(AND(Eingabe!$F$11&gt;0,Eingabe!$E$11&gt;=39),IF((Eingabe!$G$11)&lt;=9,1000+(Eingabe!$G$11)*100,3000)+39,"")</f>
        <v>1339</v>
      </c>
      <c r="F451" s="19" t="str">
        <f aca="false">IF(AND(Eingabe!$F$11&gt;0,Eingabe!$E$11&gt;=39),"10."&amp;Eingabe!$D$11&amp;".39.0/24","")</f>
        <v>10.3.39.0/24</v>
      </c>
      <c r="G451" s="19" t="str">
        <f aca="false">IF(AND(Eingabe!$F$11&gt;0,Eingabe!$E$11&gt;=39),"10."&amp;Eingabe!$D$11&amp;".39.1","")</f>
        <v>10.3.39.1</v>
      </c>
      <c r="H451" s="19" t="str">
        <f aca="false">IF(AND(Eingabe!$F$11&gt;0,Eingabe!$E$11&gt;=39),"10."&amp;Eingabe!$D$11&amp;".39.10 – 10."&amp;Eingabe!$D$11&amp;".39.250","")</f>
        <v>10.3.39.10 – 10.3.39.250</v>
      </c>
      <c r="I451" s="19" t="str">
        <f aca="false">IF(AND(Eingabe!$F$11&gt;0,Eingabe!$E$11&gt;=39),Eingabe!$B$6&amp;"-"&amp;Eingabe!$C$11&amp;"-Pächter","")</f>
        <v>SparteNet.de-SW-Pächter</v>
      </c>
      <c r="J451" s="19" t="str">
        <f aca="false">IF(AND(Eingabe!$F$11&gt;0,Eingabe!$E$11&gt;=39),"PPSK: Passwort Parzelle 39","")</f>
        <v>PPSK: Passwort Parzelle 39</v>
      </c>
      <c r="K451" s="19" t="str">
        <f aca="false">IF(AND(Eingabe!$F$11&gt;0,Eingabe!$E$11&gt;=39),"1. Gerät: 10."&amp;Eingabe!$D$11&amp;".39.10, 2. Gerät: .11","")</f>
        <v>1. Gerät: 10.3.39.10, 2. Gerät: .11</v>
      </c>
    </row>
    <row r="452" customFormat="false" ht="15" hidden="false" customHeight="false" outlineLevel="0" collapsed="false">
      <c r="A452" s="19" t="n">
        <f aca="false">IF(AND(Eingabe!$F$11&gt;0,Eingabe!$E$11&gt;=40),3,"")</f>
        <v>3</v>
      </c>
      <c r="B452" s="19" t="str">
        <f aca="false">IF(AND(Eingabe!$F$11&gt;0,Eingabe!$E$11&gt;=40),Eingabe!$B$11,"")</f>
        <v>Sonnenwinkel</v>
      </c>
      <c r="C452" s="19" t="str">
        <f aca="false">IF(AND(Eingabe!$F$11&gt;0,Eingabe!$E$11&gt;=40),Eingabe!$C$11&amp;"-Paz."&amp;TEXT(40,"000"),"")</f>
        <v>SW-Paz.040</v>
      </c>
      <c r="D452" s="19" t="n">
        <f aca="false">IF(AND(Eingabe!$F$11&gt;0,Eingabe!$E$11&gt;=40),40,"")</f>
        <v>40</v>
      </c>
      <c r="E452" s="19" t="n">
        <f aca="false">IF(AND(Eingabe!$F$11&gt;0,Eingabe!$E$11&gt;=40),IF((Eingabe!$G$11)&lt;=9,1000+(Eingabe!$G$11)*100,3000)+40,"")</f>
        <v>1340</v>
      </c>
      <c r="F452" s="19" t="str">
        <f aca="false">IF(AND(Eingabe!$F$11&gt;0,Eingabe!$E$11&gt;=40),"10."&amp;Eingabe!$D$11&amp;".40.0/24","")</f>
        <v>10.3.40.0/24</v>
      </c>
      <c r="G452" s="19" t="str">
        <f aca="false">IF(AND(Eingabe!$F$11&gt;0,Eingabe!$E$11&gt;=40),"10."&amp;Eingabe!$D$11&amp;".40.1","")</f>
        <v>10.3.40.1</v>
      </c>
      <c r="H452" s="19" t="str">
        <f aca="false">IF(AND(Eingabe!$F$11&gt;0,Eingabe!$E$11&gt;=40),"10."&amp;Eingabe!$D$11&amp;".40.10 – 10."&amp;Eingabe!$D$11&amp;".40.250","")</f>
        <v>10.3.40.10 – 10.3.40.250</v>
      </c>
      <c r="I452" s="19" t="str">
        <f aca="false">IF(AND(Eingabe!$F$11&gt;0,Eingabe!$E$11&gt;=40),Eingabe!$B$6&amp;"-"&amp;Eingabe!$C$11&amp;"-Pächter","")</f>
        <v>SparteNet.de-SW-Pächter</v>
      </c>
      <c r="J452" s="19" t="str">
        <f aca="false">IF(AND(Eingabe!$F$11&gt;0,Eingabe!$E$11&gt;=40),"PPSK: Passwort Parzelle 40","")</f>
        <v>PPSK: Passwort Parzelle 40</v>
      </c>
      <c r="K452" s="19" t="str">
        <f aca="false">IF(AND(Eingabe!$F$11&gt;0,Eingabe!$E$11&gt;=40),"1. Gerät: 10."&amp;Eingabe!$D$11&amp;".40.10, 2. Gerät: .11","")</f>
        <v>1. Gerät: 10.3.40.10, 2. Gerät: .11</v>
      </c>
    </row>
    <row r="453" customFormat="false" ht="15" hidden="false" customHeight="false" outlineLevel="0" collapsed="false">
      <c r="A453" s="19" t="n">
        <f aca="false">IF(AND(Eingabe!$F$11&gt;0,Eingabe!$E$11&gt;=41),3,"")</f>
        <v>3</v>
      </c>
      <c r="B453" s="19" t="str">
        <f aca="false">IF(AND(Eingabe!$F$11&gt;0,Eingabe!$E$11&gt;=41),Eingabe!$B$11,"")</f>
        <v>Sonnenwinkel</v>
      </c>
      <c r="C453" s="19" t="str">
        <f aca="false">IF(AND(Eingabe!$F$11&gt;0,Eingabe!$E$11&gt;=41),Eingabe!$C$11&amp;"-Paz."&amp;TEXT(41,"000"),"")</f>
        <v>SW-Paz.041</v>
      </c>
      <c r="D453" s="19" t="n">
        <f aca="false">IF(AND(Eingabe!$F$11&gt;0,Eingabe!$E$11&gt;=41),41,"")</f>
        <v>41</v>
      </c>
      <c r="E453" s="19" t="n">
        <f aca="false">IF(AND(Eingabe!$F$11&gt;0,Eingabe!$E$11&gt;=41),IF((Eingabe!$G$11)&lt;=9,1000+(Eingabe!$G$11)*100,3000)+41,"")</f>
        <v>1341</v>
      </c>
      <c r="F453" s="19" t="str">
        <f aca="false">IF(AND(Eingabe!$F$11&gt;0,Eingabe!$E$11&gt;=41),"10."&amp;Eingabe!$D$11&amp;".41.0/24","")</f>
        <v>10.3.41.0/24</v>
      </c>
      <c r="G453" s="19" t="str">
        <f aca="false">IF(AND(Eingabe!$F$11&gt;0,Eingabe!$E$11&gt;=41),"10."&amp;Eingabe!$D$11&amp;".41.1","")</f>
        <v>10.3.41.1</v>
      </c>
      <c r="H453" s="19" t="str">
        <f aca="false">IF(AND(Eingabe!$F$11&gt;0,Eingabe!$E$11&gt;=41),"10."&amp;Eingabe!$D$11&amp;".41.10 – 10."&amp;Eingabe!$D$11&amp;".41.250","")</f>
        <v>10.3.41.10 – 10.3.41.250</v>
      </c>
      <c r="I453" s="19" t="str">
        <f aca="false">IF(AND(Eingabe!$F$11&gt;0,Eingabe!$E$11&gt;=41),Eingabe!$B$6&amp;"-"&amp;Eingabe!$C$11&amp;"-Pächter","")</f>
        <v>SparteNet.de-SW-Pächter</v>
      </c>
      <c r="J453" s="19" t="str">
        <f aca="false">IF(AND(Eingabe!$F$11&gt;0,Eingabe!$E$11&gt;=41),"PPSK: Passwort Parzelle 41","")</f>
        <v>PPSK: Passwort Parzelle 41</v>
      </c>
      <c r="K453" s="19" t="str">
        <f aca="false">IF(AND(Eingabe!$F$11&gt;0,Eingabe!$E$11&gt;=41),"1. Gerät: 10."&amp;Eingabe!$D$11&amp;".41.10, 2. Gerät: .11","")</f>
        <v>1. Gerät: 10.3.41.10, 2. Gerät: .11</v>
      </c>
    </row>
    <row r="454" customFormat="false" ht="15" hidden="false" customHeight="false" outlineLevel="0" collapsed="false">
      <c r="A454" s="19" t="n">
        <f aca="false">IF(AND(Eingabe!$F$11&gt;0,Eingabe!$E$11&gt;=42),3,"")</f>
        <v>3</v>
      </c>
      <c r="B454" s="19" t="str">
        <f aca="false">IF(AND(Eingabe!$F$11&gt;0,Eingabe!$E$11&gt;=42),Eingabe!$B$11,"")</f>
        <v>Sonnenwinkel</v>
      </c>
      <c r="C454" s="19" t="str">
        <f aca="false">IF(AND(Eingabe!$F$11&gt;0,Eingabe!$E$11&gt;=42),Eingabe!$C$11&amp;"-Paz."&amp;TEXT(42,"000"),"")</f>
        <v>SW-Paz.042</v>
      </c>
      <c r="D454" s="19" t="n">
        <f aca="false">IF(AND(Eingabe!$F$11&gt;0,Eingabe!$E$11&gt;=42),42,"")</f>
        <v>42</v>
      </c>
      <c r="E454" s="19" t="n">
        <f aca="false">IF(AND(Eingabe!$F$11&gt;0,Eingabe!$E$11&gt;=42),IF((Eingabe!$G$11)&lt;=9,1000+(Eingabe!$G$11)*100,3000)+42,"")</f>
        <v>1342</v>
      </c>
      <c r="F454" s="19" t="str">
        <f aca="false">IF(AND(Eingabe!$F$11&gt;0,Eingabe!$E$11&gt;=42),"10."&amp;Eingabe!$D$11&amp;".42.0/24","")</f>
        <v>10.3.42.0/24</v>
      </c>
      <c r="G454" s="19" t="str">
        <f aca="false">IF(AND(Eingabe!$F$11&gt;0,Eingabe!$E$11&gt;=42),"10."&amp;Eingabe!$D$11&amp;".42.1","")</f>
        <v>10.3.42.1</v>
      </c>
      <c r="H454" s="19" t="str">
        <f aca="false">IF(AND(Eingabe!$F$11&gt;0,Eingabe!$E$11&gt;=42),"10."&amp;Eingabe!$D$11&amp;".42.10 – 10."&amp;Eingabe!$D$11&amp;".42.250","")</f>
        <v>10.3.42.10 – 10.3.42.250</v>
      </c>
      <c r="I454" s="19" t="str">
        <f aca="false">IF(AND(Eingabe!$F$11&gt;0,Eingabe!$E$11&gt;=42),Eingabe!$B$6&amp;"-"&amp;Eingabe!$C$11&amp;"-Pächter","")</f>
        <v>SparteNet.de-SW-Pächter</v>
      </c>
      <c r="J454" s="19" t="str">
        <f aca="false">IF(AND(Eingabe!$F$11&gt;0,Eingabe!$E$11&gt;=42),"PPSK: Passwort Parzelle 42","")</f>
        <v>PPSK: Passwort Parzelle 42</v>
      </c>
      <c r="K454" s="19" t="str">
        <f aca="false">IF(AND(Eingabe!$F$11&gt;0,Eingabe!$E$11&gt;=42),"1. Gerät: 10."&amp;Eingabe!$D$11&amp;".42.10, 2. Gerät: .11","")</f>
        <v>1. Gerät: 10.3.42.10, 2. Gerät: .11</v>
      </c>
    </row>
    <row r="455" customFormat="false" ht="15" hidden="false" customHeight="false" outlineLevel="0" collapsed="false">
      <c r="A455" s="19" t="n">
        <f aca="false">IF(AND(Eingabe!$F$11&gt;0,Eingabe!$E$11&gt;=43),3,"")</f>
        <v>3</v>
      </c>
      <c r="B455" s="19" t="str">
        <f aca="false">IF(AND(Eingabe!$F$11&gt;0,Eingabe!$E$11&gt;=43),Eingabe!$B$11,"")</f>
        <v>Sonnenwinkel</v>
      </c>
      <c r="C455" s="19" t="str">
        <f aca="false">IF(AND(Eingabe!$F$11&gt;0,Eingabe!$E$11&gt;=43),Eingabe!$C$11&amp;"-Paz."&amp;TEXT(43,"000"),"")</f>
        <v>SW-Paz.043</v>
      </c>
      <c r="D455" s="19" t="n">
        <f aca="false">IF(AND(Eingabe!$F$11&gt;0,Eingabe!$E$11&gt;=43),43,"")</f>
        <v>43</v>
      </c>
      <c r="E455" s="19" t="n">
        <f aca="false">IF(AND(Eingabe!$F$11&gt;0,Eingabe!$E$11&gt;=43),IF((Eingabe!$G$11)&lt;=9,1000+(Eingabe!$G$11)*100,3000)+43,"")</f>
        <v>1343</v>
      </c>
      <c r="F455" s="19" t="str">
        <f aca="false">IF(AND(Eingabe!$F$11&gt;0,Eingabe!$E$11&gt;=43),"10."&amp;Eingabe!$D$11&amp;".43.0/24","")</f>
        <v>10.3.43.0/24</v>
      </c>
      <c r="G455" s="19" t="str">
        <f aca="false">IF(AND(Eingabe!$F$11&gt;0,Eingabe!$E$11&gt;=43),"10."&amp;Eingabe!$D$11&amp;".43.1","")</f>
        <v>10.3.43.1</v>
      </c>
      <c r="H455" s="19" t="str">
        <f aca="false">IF(AND(Eingabe!$F$11&gt;0,Eingabe!$E$11&gt;=43),"10."&amp;Eingabe!$D$11&amp;".43.10 – 10."&amp;Eingabe!$D$11&amp;".43.250","")</f>
        <v>10.3.43.10 – 10.3.43.250</v>
      </c>
      <c r="I455" s="19" t="str">
        <f aca="false">IF(AND(Eingabe!$F$11&gt;0,Eingabe!$E$11&gt;=43),Eingabe!$B$6&amp;"-"&amp;Eingabe!$C$11&amp;"-Pächter","")</f>
        <v>SparteNet.de-SW-Pächter</v>
      </c>
      <c r="J455" s="19" t="str">
        <f aca="false">IF(AND(Eingabe!$F$11&gt;0,Eingabe!$E$11&gt;=43),"PPSK: Passwort Parzelle 43","")</f>
        <v>PPSK: Passwort Parzelle 43</v>
      </c>
      <c r="K455" s="19" t="str">
        <f aca="false">IF(AND(Eingabe!$F$11&gt;0,Eingabe!$E$11&gt;=43),"1. Gerät: 10."&amp;Eingabe!$D$11&amp;".43.10, 2. Gerät: .11","")</f>
        <v>1. Gerät: 10.3.43.10, 2. Gerät: .11</v>
      </c>
    </row>
    <row r="456" customFormat="false" ht="15" hidden="false" customHeight="false" outlineLevel="0" collapsed="false">
      <c r="A456" s="19" t="n">
        <f aca="false">IF(AND(Eingabe!$F$11&gt;0,Eingabe!$E$11&gt;=44),3,"")</f>
        <v>3</v>
      </c>
      <c r="B456" s="19" t="str">
        <f aca="false">IF(AND(Eingabe!$F$11&gt;0,Eingabe!$E$11&gt;=44),Eingabe!$B$11,"")</f>
        <v>Sonnenwinkel</v>
      </c>
      <c r="C456" s="19" t="str">
        <f aca="false">IF(AND(Eingabe!$F$11&gt;0,Eingabe!$E$11&gt;=44),Eingabe!$C$11&amp;"-Paz."&amp;TEXT(44,"000"),"")</f>
        <v>SW-Paz.044</v>
      </c>
      <c r="D456" s="19" t="n">
        <f aca="false">IF(AND(Eingabe!$F$11&gt;0,Eingabe!$E$11&gt;=44),44,"")</f>
        <v>44</v>
      </c>
      <c r="E456" s="19" t="n">
        <f aca="false">IF(AND(Eingabe!$F$11&gt;0,Eingabe!$E$11&gt;=44),IF((Eingabe!$G$11)&lt;=9,1000+(Eingabe!$G$11)*100,3000)+44,"")</f>
        <v>1344</v>
      </c>
      <c r="F456" s="19" t="str">
        <f aca="false">IF(AND(Eingabe!$F$11&gt;0,Eingabe!$E$11&gt;=44),"10."&amp;Eingabe!$D$11&amp;".44.0/24","")</f>
        <v>10.3.44.0/24</v>
      </c>
      <c r="G456" s="19" t="str">
        <f aca="false">IF(AND(Eingabe!$F$11&gt;0,Eingabe!$E$11&gt;=44),"10."&amp;Eingabe!$D$11&amp;".44.1","")</f>
        <v>10.3.44.1</v>
      </c>
      <c r="H456" s="19" t="str">
        <f aca="false">IF(AND(Eingabe!$F$11&gt;0,Eingabe!$E$11&gt;=44),"10."&amp;Eingabe!$D$11&amp;".44.10 – 10."&amp;Eingabe!$D$11&amp;".44.250","")</f>
        <v>10.3.44.10 – 10.3.44.250</v>
      </c>
      <c r="I456" s="19" t="str">
        <f aca="false">IF(AND(Eingabe!$F$11&gt;0,Eingabe!$E$11&gt;=44),Eingabe!$B$6&amp;"-"&amp;Eingabe!$C$11&amp;"-Pächter","")</f>
        <v>SparteNet.de-SW-Pächter</v>
      </c>
      <c r="J456" s="19" t="str">
        <f aca="false">IF(AND(Eingabe!$F$11&gt;0,Eingabe!$E$11&gt;=44),"PPSK: Passwort Parzelle 44","")</f>
        <v>PPSK: Passwort Parzelle 44</v>
      </c>
      <c r="K456" s="19" t="str">
        <f aca="false">IF(AND(Eingabe!$F$11&gt;0,Eingabe!$E$11&gt;=44),"1. Gerät: 10."&amp;Eingabe!$D$11&amp;".44.10, 2. Gerät: .11","")</f>
        <v>1. Gerät: 10.3.44.10, 2. Gerät: .11</v>
      </c>
    </row>
    <row r="457" customFormat="false" ht="15" hidden="false" customHeight="false" outlineLevel="0" collapsed="false">
      <c r="A457" s="19" t="n">
        <f aca="false">IF(AND(Eingabe!$F$11&gt;0,Eingabe!$E$11&gt;=45),3,"")</f>
        <v>3</v>
      </c>
      <c r="B457" s="19" t="str">
        <f aca="false">IF(AND(Eingabe!$F$11&gt;0,Eingabe!$E$11&gt;=45),Eingabe!$B$11,"")</f>
        <v>Sonnenwinkel</v>
      </c>
      <c r="C457" s="19" t="str">
        <f aca="false">IF(AND(Eingabe!$F$11&gt;0,Eingabe!$E$11&gt;=45),Eingabe!$C$11&amp;"-Paz."&amp;TEXT(45,"000"),"")</f>
        <v>SW-Paz.045</v>
      </c>
      <c r="D457" s="19" t="n">
        <f aca="false">IF(AND(Eingabe!$F$11&gt;0,Eingabe!$E$11&gt;=45),45,"")</f>
        <v>45</v>
      </c>
      <c r="E457" s="19" t="n">
        <f aca="false">IF(AND(Eingabe!$F$11&gt;0,Eingabe!$E$11&gt;=45),IF((Eingabe!$G$11)&lt;=9,1000+(Eingabe!$G$11)*100,3000)+45,"")</f>
        <v>1345</v>
      </c>
      <c r="F457" s="19" t="str">
        <f aca="false">IF(AND(Eingabe!$F$11&gt;0,Eingabe!$E$11&gt;=45),"10."&amp;Eingabe!$D$11&amp;".45.0/24","")</f>
        <v>10.3.45.0/24</v>
      </c>
      <c r="G457" s="19" t="str">
        <f aca="false">IF(AND(Eingabe!$F$11&gt;0,Eingabe!$E$11&gt;=45),"10."&amp;Eingabe!$D$11&amp;".45.1","")</f>
        <v>10.3.45.1</v>
      </c>
      <c r="H457" s="19" t="str">
        <f aca="false">IF(AND(Eingabe!$F$11&gt;0,Eingabe!$E$11&gt;=45),"10."&amp;Eingabe!$D$11&amp;".45.10 – 10."&amp;Eingabe!$D$11&amp;".45.250","")</f>
        <v>10.3.45.10 – 10.3.45.250</v>
      </c>
      <c r="I457" s="19" t="str">
        <f aca="false">IF(AND(Eingabe!$F$11&gt;0,Eingabe!$E$11&gt;=45),Eingabe!$B$6&amp;"-"&amp;Eingabe!$C$11&amp;"-Pächter","")</f>
        <v>SparteNet.de-SW-Pächter</v>
      </c>
      <c r="J457" s="19" t="str">
        <f aca="false">IF(AND(Eingabe!$F$11&gt;0,Eingabe!$E$11&gt;=45),"PPSK: Passwort Parzelle 45","")</f>
        <v>PPSK: Passwort Parzelle 45</v>
      </c>
      <c r="K457" s="19" t="str">
        <f aca="false">IF(AND(Eingabe!$F$11&gt;0,Eingabe!$E$11&gt;=45),"1. Gerät: 10."&amp;Eingabe!$D$11&amp;".45.10, 2. Gerät: .11","")</f>
        <v>1. Gerät: 10.3.45.10, 2. Gerät: .11</v>
      </c>
    </row>
    <row r="458" customFormat="false" ht="15" hidden="false" customHeight="false" outlineLevel="0" collapsed="false">
      <c r="A458" s="19" t="n">
        <f aca="false">IF(AND(Eingabe!$F$11&gt;0,Eingabe!$E$11&gt;=46),3,"")</f>
        <v>3</v>
      </c>
      <c r="B458" s="19" t="str">
        <f aca="false">IF(AND(Eingabe!$F$11&gt;0,Eingabe!$E$11&gt;=46),Eingabe!$B$11,"")</f>
        <v>Sonnenwinkel</v>
      </c>
      <c r="C458" s="19" t="str">
        <f aca="false">IF(AND(Eingabe!$F$11&gt;0,Eingabe!$E$11&gt;=46),Eingabe!$C$11&amp;"-Paz."&amp;TEXT(46,"000"),"")</f>
        <v>SW-Paz.046</v>
      </c>
      <c r="D458" s="19" t="n">
        <f aca="false">IF(AND(Eingabe!$F$11&gt;0,Eingabe!$E$11&gt;=46),46,"")</f>
        <v>46</v>
      </c>
      <c r="E458" s="19" t="n">
        <f aca="false">IF(AND(Eingabe!$F$11&gt;0,Eingabe!$E$11&gt;=46),IF((Eingabe!$G$11)&lt;=9,1000+(Eingabe!$G$11)*100,3000)+46,"")</f>
        <v>1346</v>
      </c>
      <c r="F458" s="19" t="str">
        <f aca="false">IF(AND(Eingabe!$F$11&gt;0,Eingabe!$E$11&gt;=46),"10."&amp;Eingabe!$D$11&amp;".46.0/24","")</f>
        <v>10.3.46.0/24</v>
      </c>
      <c r="G458" s="19" t="str">
        <f aca="false">IF(AND(Eingabe!$F$11&gt;0,Eingabe!$E$11&gt;=46),"10."&amp;Eingabe!$D$11&amp;".46.1","")</f>
        <v>10.3.46.1</v>
      </c>
      <c r="H458" s="19" t="str">
        <f aca="false">IF(AND(Eingabe!$F$11&gt;0,Eingabe!$E$11&gt;=46),"10."&amp;Eingabe!$D$11&amp;".46.10 – 10."&amp;Eingabe!$D$11&amp;".46.250","")</f>
        <v>10.3.46.10 – 10.3.46.250</v>
      </c>
      <c r="I458" s="19" t="str">
        <f aca="false">IF(AND(Eingabe!$F$11&gt;0,Eingabe!$E$11&gt;=46),Eingabe!$B$6&amp;"-"&amp;Eingabe!$C$11&amp;"-Pächter","")</f>
        <v>SparteNet.de-SW-Pächter</v>
      </c>
      <c r="J458" s="19" t="str">
        <f aca="false">IF(AND(Eingabe!$F$11&gt;0,Eingabe!$E$11&gt;=46),"PPSK: Passwort Parzelle 46","")</f>
        <v>PPSK: Passwort Parzelle 46</v>
      </c>
      <c r="K458" s="19" t="str">
        <f aca="false">IF(AND(Eingabe!$F$11&gt;0,Eingabe!$E$11&gt;=46),"1. Gerät: 10."&amp;Eingabe!$D$11&amp;".46.10, 2. Gerät: .11","")</f>
        <v>1. Gerät: 10.3.46.10, 2. Gerät: .11</v>
      </c>
    </row>
    <row r="459" customFormat="false" ht="15" hidden="false" customHeight="false" outlineLevel="0" collapsed="false">
      <c r="A459" s="19" t="n">
        <f aca="false">IF(AND(Eingabe!$F$11&gt;0,Eingabe!$E$11&gt;=47),3,"")</f>
        <v>3</v>
      </c>
      <c r="B459" s="19" t="str">
        <f aca="false">IF(AND(Eingabe!$F$11&gt;0,Eingabe!$E$11&gt;=47),Eingabe!$B$11,"")</f>
        <v>Sonnenwinkel</v>
      </c>
      <c r="C459" s="19" t="str">
        <f aca="false">IF(AND(Eingabe!$F$11&gt;0,Eingabe!$E$11&gt;=47),Eingabe!$C$11&amp;"-Paz."&amp;TEXT(47,"000"),"")</f>
        <v>SW-Paz.047</v>
      </c>
      <c r="D459" s="19" t="n">
        <f aca="false">IF(AND(Eingabe!$F$11&gt;0,Eingabe!$E$11&gt;=47),47,"")</f>
        <v>47</v>
      </c>
      <c r="E459" s="19" t="n">
        <f aca="false">IF(AND(Eingabe!$F$11&gt;0,Eingabe!$E$11&gt;=47),IF((Eingabe!$G$11)&lt;=9,1000+(Eingabe!$G$11)*100,3000)+47,"")</f>
        <v>1347</v>
      </c>
      <c r="F459" s="19" t="str">
        <f aca="false">IF(AND(Eingabe!$F$11&gt;0,Eingabe!$E$11&gt;=47),"10."&amp;Eingabe!$D$11&amp;".47.0/24","")</f>
        <v>10.3.47.0/24</v>
      </c>
      <c r="G459" s="19" t="str">
        <f aca="false">IF(AND(Eingabe!$F$11&gt;0,Eingabe!$E$11&gt;=47),"10."&amp;Eingabe!$D$11&amp;".47.1","")</f>
        <v>10.3.47.1</v>
      </c>
      <c r="H459" s="19" t="str">
        <f aca="false">IF(AND(Eingabe!$F$11&gt;0,Eingabe!$E$11&gt;=47),"10."&amp;Eingabe!$D$11&amp;".47.10 – 10."&amp;Eingabe!$D$11&amp;".47.250","")</f>
        <v>10.3.47.10 – 10.3.47.250</v>
      </c>
      <c r="I459" s="19" t="str">
        <f aca="false">IF(AND(Eingabe!$F$11&gt;0,Eingabe!$E$11&gt;=47),Eingabe!$B$6&amp;"-"&amp;Eingabe!$C$11&amp;"-Pächter","")</f>
        <v>SparteNet.de-SW-Pächter</v>
      </c>
      <c r="J459" s="19" t="str">
        <f aca="false">IF(AND(Eingabe!$F$11&gt;0,Eingabe!$E$11&gt;=47),"PPSK: Passwort Parzelle 47","")</f>
        <v>PPSK: Passwort Parzelle 47</v>
      </c>
      <c r="K459" s="19" t="str">
        <f aca="false">IF(AND(Eingabe!$F$11&gt;0,Eingabe!$E$11&gt;=47),"1. Gerät: 10."&amp;Eingabe!$D$11&amp;".47.10, 2. Gerät: .11","")</f>
        <v>1. Gerät: 10.3.47.10, 2. Gerät: .11</v>
      </c>
    </row>
    <row r="460" customFormat="false" ht="15" hidden="false" customHeight="false" outlineLevel="0" collapsed="false">
      <c r="A460" s="19" t="n">
        <f aca="false">IF(AND(Eingabe!$F$11&gt;0,Eingabe!$E$11&gt;=48),3,"")</f>
        <v>3</v>
      </c>
      <c r="B460" s="19" t="str">
        <f aca="false">IF(AND(Eingabe!$F$11&gt;0,Eingabe!$E$11&gt;=48),Eingabe!$B$11,"")</f>
        <v>Sonnenwinkel</v>
      </c>
      <c r="C460" s="19" t="str">
        <f aca="false">IF(AND(Eingabe!$F$11&gt;0,Eingabe!$E$11&gt;=48),Eingabe!$C$11&amp;"-Paz."&amp;TEXT(48,"000"),"")</f>
        <v>SW-Paz.048</v>
      </c>
      <c r="D460" s="19" t="n">
        <f aca="false">IF(AND(Eingabe!$F$11&gt;0,Eingabe!$E$11&gt;=48),48,"")</f>
        <v>48</v>
      </c>
      <c r="E460" s="19" t="n">
        <f aca="false">IF(AND(Eingabe!$F$11&gt;0,Eingabe!$E$11&gt;=48),IF((Eingabe!$G$11)&lt;=9,1000+(Eingabe!$G$11)*100,3000)+48,"")</f>
        <v>1348</v>
      </c>
      <c r="F460" s="19" t="str">
        <f aca="false">IF(AND(Eingabe!$F$11&gt;0,Eingabe!$E$11&gt;=48),"10."&amp;Eingabe!$D$11&amp;".48.0/24","")</f>
        <v>10.3.48.0/24</v>
      </c>
      <c r="G460" s="19" t="str">
        <f aca="false">IF(AND(Eingabe!$F$11&gt;0,Eingabe!$E$11&gt;=48),"10."&amp;Eingabe!$D$11&amp;".48.1","")</f>
        <v>10.3.48.1</v>
      </c>
      <c r="H460" s="19" t="str">
        <f aca="false">IF(AND(Eingabe!$F$11&gt;0,Eingabe!$E$11&gt;=48),"10."&amp;Eingabe!$D$11&amp;".48.10 – 10."&amp;Eingabe!$D$11&amp;".48.250","")</f>
        <v>10.3.48.10 – 10.3.48.250</v>
      </c>
      <c r="I460" s="19" t="str">
        <f aca="false">IF(AND(Eingabe!$F$11&gt;0,Eingabe!$E$11&gt;=48),Eingabe!$B$6&amp;"-"&amp;Eingabe!$C$11&amp;"-Pächter","")</f>
        <v>SparteNet.de-SW-Pächter</v>
      </c>
      <c r="J460" s="19" t="str">
        <f aca="false">IF(AND(Eingabe!$F$11&gt;0,Eingabe!$E$11&gt;=48),"PPSK: Passwort Parzelle 48","")</f>
        <v>PPSK: Passwort Parzelle 48</v>
      </c>
      <c r="K460" s="19" t="str">
        <f aca="false">IF(AND(Eingabe!$F$11&gt;0,Eingabe!$E$11&gt;=48),"1. Gerät: 10."&amp;Eingabe!$D$11&amp;".48.10, 2. Gerät: .11","")</f>
        <v>1. Gerät: 10.3.48.10, 2. Gerät: .11</v>
      </c>
    </row>
    <row r="461" customFormat="false" ht="15" hidden="false" customHeight="false" outlineLevel="0" collapsed="false">
      <c r="A461" s="19" t="n">
        <f aca="false">IF(AND(Eingabe!$F$11&gt;0,Eingabe!$E$11&gt;=49),3,"")</f>
        <v>3</v>
      </c>
      <c r="B461" s="19" t="str">
        <f aca="false">IF(AND(Eingabe!$F$11&gt;0,Eingabe!$E$11&gt;=49),Eingabe!$B$11,"")</f>
        <v>Sonnenwinkel</v>
      </c>
      <c r="C461" s="19" t="str">
        <f aca="false">IF(AND(Eingabe!$F$11&gt;0,Eingabe!$E$11&gt;=49),Eingabe!$C$11&amp;"-Paz."&amp;TEXT(49,"000"),"")</f>
        <v>SW-Paz.049</v>
      </c>
      <c r="D461" s="19" t="n">
        <f aca="false">IF(AND(Eingabe!$F$11&gt;0,Eingabe!$E$11&gt;=49),49,"")</f>
        <v>49</v>
      </c>
      <c r="E461" s="19" t="n">
        <f aca="false">IF(AND(Eingabe!$F$11&gt;0,Eingabe!$E$11&gt;=49),IF((Eingabe!$G$11)&lt;=9,1000+(Eingabe!$G$11)*100,3000)+49,"")</f>
        <v>1349</v>
      </c>
      <c r="F461" s="19" t="str">
        <f aca="false">IF(AND(Eingabe!$F$11&gt;0,Eingabe!$E$11&gt;=49),"10."&amp;Eingabe!$D$11&amp;".49.0/24","")</f>
        <v>10.3.49.0/24</v>
      </c>
      <c r="G461" s="19" t="str">
        <f aca="false">IF(AND(Eingabe!$F$11&gt;0,Eingabe!$E$11&gt;=49),"10."&amp;Eingabe!$D$11&amp;".49.1","")</f>
        <v>10.3.49.1</v>
      </c>
      <c r="H461" s="19" t="str">
        <f aca="false">IF(AND(Eingabe!$F$11&gt;0,Eingabe!$E$11&gt;=49),"10."&amp;Eingabe!$D$11&amp;".49.10 – 10."&amp;Eingabe!$D$11&amp;".49.250","")</f>
        <v>10.3.49.10 – 10.3.49.250</v>
      </c>
      <c r="I461" s="19" t="str">
        <f aca="false">IF(AND(Eingabe!$F$11&gt;0,Eingabe!$E$11&gt;=49),Eingabe!$B$6&amp;"-"&amp;Eingabe!$C$11&amp;"-Pächter","")</f>
        <v>SparteNet.de-SW-Pächter</v>
      </c>
      <c r="J461" s="19" t="str">
        <f aca="false">IF(AND(Eingabe!$F$11&gt;0,Eingabe!$E$11&gt;=49),"PPSK: Passwort Parzelle 49","")</f>
        <v>PPSK: Passwort Parzelle 49</v>
      </c>
      <c r="K461" s="19" t="str">
        <f aca="false">IF(AND(Eingabe!$F$11&gt;0,Eingabe!$E$11&gt;=49),"1. Gerät: 10."&amp;Eingabe!$D$11&amp;".49.10, 2. Gerät: .11","")</f>
        <v>1. Gerät: 10.3.49.10, 2. Gerät: .11</v>
      </c>
    </row>
    <row r="462" customFormat="false" ht="15" hidden="false" customHeight="false" outlineLevel="0" collapsed="false">
      <c r="A462" s="19" t="n">
        <f aca="false">IF(AND(Eingabe!$F$11&gt;0,Eingabe!$E$11&gt;=50),3,"")</f>
        <v>3</v>
      </c>
      <c r="B462" s="19" t="str">
        <f aca="false">IF(AND(Eingabe!$F$11&gt;0,Eingabe!$E$11&gt;=50),Eingabe!$B$11,"")</f>
        <v>Sonnenwinkel</v>
      </c>
      <c r="C462" s="19" t="str">
        <f aca="false">IF(AND(Eingabe!$F$11&gt;0,Eingabe!$E$11&gt;=50),Eingabe!$C$11&amp;"-Paz."&amp;TEXT(50,"000"),"")</f>
        <v>SW-Paz.050</v>
      </c>
      <c r="D462" s="19" t="n">
        <f aca="false">IF(AND(Eingabe!$F$11&gt;0,Eingabe!$E$11&gt;=50),50,"")</f>
        <v>50</v>
      </c>
      <c r="E462" s="19" t="n">
        <f aca="false">IF(AND(Eingabe!$F$11&gt;0,Eingabe!$E$11&gt;=50),IF((Eingabe!$G$11)&lt;=9,1000+(Eingabe!$G$11)*100,3000)+50,"")</f>
        <v>1350</v>
      </c>
      <c r="F462" s="19" t="str">
        <f aca="false">IF(AND(Eingabe!$F$11&gt;0,Eingabe!$E$11&gt;=50),"10."&amp;Eingabe!$D$11&amp;".50.0/24","")</f>
        <v>10.3.50.0/24</v>
      </c>
      <c r="G462" s="19" t="str">
        <f aca="false">IF(AND(Eingabe!$F$11&gt;0,Eingabe!$E$11&gt;=50),"10."&amp;Eingabe!$D$11&amp;".50.1","")</f>
        <v>10.3.50.1</v>
      </c>
      <c r="H462" s="19" t="str">
        <f aca="false">IF(AND(Eingabe!$F$11&gt;0,Eingabe!$E$11&gt;=50),"10."&amp;Eingabe!$D$11&amp;".50.10 – 10."&amp;Eingabe!$D$11&amp;".50.250","")</f>
        <v>10.3.50.10 – 10.3.50.250</v>
      </c>
      <c r="I462" s="19" t="str">
        <f aca="false">IF(AND(Eingabe!$F$11&gt;0,Eingabe!$E$11&gt;=50),Eingabe!$B$6&amp;"-"&amp;Eingabe!$C$11&amp;"-Pächter","")</f>
        <v>SparteNet.de-SW-Pächter</v>
      </c>
      <c r="J462" s="19" t="str">
        <f aca="false">IF(AND(Eingabe!$F$11&gt;0,Eingabe!$E$11&gt;=50),"PPSK: Passwort Parzelle 50","")</f>
        <v>PPSK: Passwort Parzelle 50</v>
      </c>
      <c r="K462" s="19" t="str">
        <f aca="false">IF(AND(Eingabe!$F$11&gt;0,Eingabe!$E$11&gt;=50),"1. Gerät: 10."&amp;Eingabe!$D$11&amp;".50.10, 2. Gerät: .11","")</f>
        <v>1. Gerät: 10.3.50.10, 2. Gerät: .11</v>
      </c>
    </row>
    <row r="463" customFormat="false" ht="15" hidden="false" customHeight="false" outlineLevel="0" collapsed="false">
      <c r="A463" s="19" t="n">
        <f aca="false">IF(AND(Eingabe!$F$11&gt;0,Eingabe!$E$11&gt;=51),3,"")</f>
        <v>3</v>
      </c>
      <c r="B463" s="19" t="str">
        <f aca="false">IF(AND(Eingabe!$F$11&gt;0,Eingabe!$E$11&gt;=51),Eingabe!$B$11,"")</f>
        <v>Sonnenwinkel</v>
      </c>
      <c r="C463" s="19" t="str">
        <f aca="false">IF(AND(Eingabe!$F$11&gt;0,Eingabe!$E$11&gt;=51),Eingabe!$C$11&amp;"-Paz."&amp;TEXT(51,"000"),"")</f>
        <v>SW-Paz.051</v>
      </c>
      <c r="D463" s="19" t="n">
        <f aca="false">IF(AND(Eingabe!$F$11&gt;0,Eingabe!$E$11&gt;=51),51,"")</f>
        <v>51</v>
      </c>
      <c r="E463" s="19" t="n">
        <f aca="false">IF(AND(Eingabe!$F$11&gt;0,Eingabe!$E$11&gt;=51),IF((Eingabe!$G$11)&lt;=9,1000+(Eingabe!$G$11)*100,3000)+51,"")</f>
        <v>1351</v>
      </c>
      <c r="F463" s="19" t="str">
        <f aca="false">IF(AND(Eingabe!$F$11&gt;0,Eingabe!$E$11&gt;=51),"10."&amp;Eingabe!$D$11&amp;".51.0/24","")</f>
        <v>10.3.51.0/24</v>
      </c>
      <c r="G463" s="19" t="str">
        <f aca="false">IF(AND(Eingabe!$F$11&gt;0,Eingabe!$E$11&gt;=51),"10."&amp;Eingabe!$D$11&amp;".51.1","")</f>
        <v>10.3.51.1</v>
      </c>
      <c r="H463" s="19" t="str">
        <f aca="false">IF(AND(Eingabe!$F$11&gt;0,Eingabe!$E$11&gt;=51),"10."&amp;Eingabe!$D$11&amp;".51.10 – 10."&amp;Eingabe!$D$11&amp;".51.250","")</f>
        <v>10.3.51.10 – 10.3.51.250</v>
      </c>
      <c r="I463" s="19" t="str">
        <f aca="false">IF(AND(Eingabe!$F$11&gt;0,Eingabe!$E$11&gt;=51),Eingabe!$B$6&amp;"-"&amp;Eingabe!$C$11&amp;"-Pächter","")</f>
        <v>SparteNet.de-SW-Pächter</v>
      </c>
      <c r="J463" s="19" t="str">
        <f aca="false">IF(AND(Eingabe!$F$11&gt;0,Eingabe!$E$11&gt;=51),"PPSK: Passwort Parzelle 51","")</f>
        <v>PPSK: Passwort Parzelle 51</v>
      </c>
      <c r="K463" s="19" t="str">
        <f aca="false">IF(AND(Eingabe!$F$11&gt;0,Eingabe!$E$11&gt;=51),"1. Gerät: 10."&amp;Eingabe!$D$11&amp;".51.10, 2. Gerät: .11","")</f>
        <v>1. Gerät: 10.3.51.10, 2. Gerät: .11</v>
      </c>
    </row>
    <row r="464" customFormat="false" ht="15" hidden="false" customHeight="false" outlineLevel="0" collapsed="false">
      <c r="A464" s="19" t="n">
        <f aca="false">IF(AND(Eingabe!$F$11&gt;0,Eingabe!$E$11&gt;=52),3,"")</f>
        <v>3</v>
      </c>
      <c r="B464" s="19" t="str">
        <f aca="false">IF(AND(Eingabe!$F$11&gt;0,Eingabe!$E$11&gt;=52),Eingabe!$B$11,"")</f>
        <v>Sonnenwinkel</v>
      </c>
      <c r="C464" s="19" t="str">
        <f aca="false">IF(AND(Eingabe!$F$11&gt;0,Eingabe!$E$11&gt;=52),Eingabe!$C$11&amp;"-Paz."&amp;TEXT(52,"000"),"")</f>
        <v>SW-Paz.052</v>
      </c>
      <c r="D464" s="19" t="n">
        <f aca="false">IF(AND(Eingabe!$F$11&gt;0,Eingabe!$E$11&gt;=52),52,"")</f>
        <v>52</v>
      </c>
      <c r="E464" s="19" t="n">
        <f aca="false">IF(AND(Eingabe!$F$11&gt;0,Eingabe!$E$11&gt;=52),IF((Eingabe!$G$11)&lt;=9,1000+(Eingabe!$G$11)*100,3000)+52,"")</f>
        <v>1352</v>
      </c>
      <c r="F464" s="19" t="str">
        <f aca="false">IF(AND(Eingabe!$F$11&gt;0,Eingabe!$E$11&gt;=52),"10."&amp;Eingabe!$D$11&amp;".52.0/24","")</f>
        <v>10.3.52.0/24</v>
      </c>
      <c r="G464" s="19" t="str">
        <f aca="false">IF(AND(Eingabe!$F$11&gt;0,Eingabe!$E$11&gt;=52),"10."&amp;Eingabe!$D$11&amp;".52.1","")</f>
        <v>10.3.52.1</v>
      </c>
      <c r="H464" s="19" t="str">
        <f aca="false">IF(AND(Eingabe!$F$11&gt;0,Eingabe!$E$11&gt;=52),"10."&amp;Eingabe!$D$11&amp;".52.10 – 10."&amp;Eingabe!$D$11&amp;".52.250","")</f>
        <v>10.3.52.10 – 10.3.52.250</v>
      </c>
      <c r="I464" s="19" t="str">
        <f aca="false">IF(AND(Eingabe!$F$11&gt;0,Eingabe!$E$11&gt;=52),Eingabe!$B$6&amp;"-"&amp;Eingabe!$C$11&amp;"-Pächter","")</f>
        <v>SparteNet.de-SW-Pächter</v>
      </c>
      <c r="J464" s="19" t="str">
        <f aca="false">IF(AND(Eingabe!$F$11&gt;0,Eingabe!$E$11&gt;=52),"PPSK: Passwort Parzelle 52","")</f>
        <v>PPSK: Passwort Parzelle 52</v>
      </c>
      <c r="K464" s="19" t="str">
        <f aca="false">IF(AND(Eingabe!$F$11&gt;0,Eingabe!$E$11&gt;=52),"1. Gerät: 10."&amp;Eingabe!$D$11&amp;".52.10, 2. Gerät: .11","")</f>
        <v>1. Gerät: 10.3.52.10, 2. Gerät: .11</v>
      </c>
    </row>
    <row r="465" customFormat="false" ht="15" hidden="false" customHeight="false" outlineLevel="0" collapsed="false">
      <c r="A465" s="19" t="n">
        <f aca="false">IF(AND(Eingabe!$F$11&gt;0,Eingabe!$E$11&gt;=53),3,"")</f>
        <v>3</v>
      </c>
      <c r="B465" s="19" t="str">
        <f aca="false">IF(AND(Eingabe!$F$11&gt;0,Eingabe!$E$11&gt;=53),Eingabe!$B$11,"")</f>
        <v>Sonnenwinkel</v>
      </c>
      <c r="C465" s="19" t="str">
        <f aca="false">IF(AND(Eingabe!$F$11&gt;0,Eingabe!$E$11&gt;=53),Eingabe!$C$11&amp;"-Paz."&amp;TEXT(53,"000"),"")</f>
        <v>SW-Paz.053</v>
      </c>
      <c r="D465" s="19" t="n">
        <f aca="false">IF(AND(Eingabe!$F$11&gt;0,Eingabe!$E$11&gt;=53),53,"")</f>
        <v>53</v>
      </c>
      <c r="E465" s="19" t="n">
        <f aca="false">IF(AND(Eingabe!$F$11&gt;0,Eingabe!$E$11&gt;=53),IF((Eingabe!$G$11)&lt;=9,1000+(Eingabe!$G$11)*100,3000)+53,"")</f>
        <v>1353</v>
      </c>
      <c r="F465" s="19" t="str">
        <f aca="false">IF(AND(Eingabe!$F$11&gt;0,Eingabe!$E$11&gt;=53),"10."&amp;Eingabe!$D$11&amp;".53.0/24","")</f>
        <v>10.3.53.0/24</v>
      </c>
      <c r="G465" s="19" t="str">
        <f aca="false">IF(AND(Eingabe!$F$11&gt;0,Eingabe!$E$11&gt;=53),"10."&amp;Eingabe!$D$11&amp;".53.1","")</f>
        <v>10.3.53.1</v>
      </c>
      <c r="H465" s="19" t="str">
        <f aca="false">IF(AND(Eingabe!$F$11&gt;0,Eingabe!$E$11&gt;=53),"10."&amp;Eingabe!$D$11&amp;".53.10 – 10."&amp;Eingabe!$D$11&amp;".53.250","")</f>
        <v>10.3.53.10 – 10.3.53.250</v>
      </c>
      <c r="I465" s="19" t="str">
        <f aca="false">IF(AND(Eingabe!$F$11&gt;0,Eingabe!$E$11&gt;=53),Eingabe!$B$6&amp;"-"&amp;Eingabe!$C$11&amp;"-Pächter","")</f>
        <v>SparteNet.de-SW-Pächter</v>
      </c>
      <c r="J465" s="19" t="str">
        <f aca="false">IF(AND(Eingabe!$F$11&gt;0,Eingabe!$E$11&gt;=53),"PPSK: Passwort Parzelle 53","")</f>
        <v>PPSK: Passwort Parzelle 53</v>
      </c>
      <c r="K465" s="19" t="str">
        <f aca="false">IF(AND(Eingabe!$F$11&gt;0,Eingabe!$E$11&gt;=53),"1. Gerät: 10."&amp;Eingabe!$D$11&amp;".53.10, 2. Gerät: .11","")</f>
        <v>1. Gerät: 10.3.53.10, 2. Gerät: .11</v>
      </c>
    </row>
    <row r="466" customFormat="false" ht="15" hidden="false" customHeight="false" outlineLevel="0" collapsed="false">
      <c r="A466" s="19" t="str">
        <f aca="false">IF(AND(Eingabe!$F$11&gt;0,Eingabe!$E$11&gt;=54),3,"")</f>
        <v/>
      </c>
      <c r="B466" s="19" t="str">
        <f aca="false">IF(AND(Eingabe!$F$11&gt;0,Eingabe!$E$11&gt;=54),Eingabe!$B$11,"")</f>
        <v/>
      </c>
      <c r="C466" s="19" t="str">
        <f aca="false">IF(AND(Eingabe!$F$11&gt;0,Eingabe!$E$11&gt;=54),Eingabe!$C$11&amp;"-Paz."&amp;TEXT(54,"000"),"")</f>
        <v/>
      </c>
      <c r="D466" s="19" t="str">
        <f aca="false">IF(AND(Eingabe!$F$11&gt;0,Eingabe!$E$11&gt;=54),54,"")</f>
        <v/>
      </c>
      <c r="E466" s="19" t="str">
        <f aca="false">IF(AND(Eingabe!$F$11&gt;0,Eingabe!$E$11&gt;=54),IF((Eingabe!$G$11)&lt;=9,1000+(Eingabe!$G$11)*100,3000)+54,"")</f>
        <v/>
      </c>
      <c r="F466" s="19" t="str">
        <f aca="false">IF(AND(Eingabe!$F$11&gt;0,Eingabe!$E$11&gt;=54),"10."&amp;Eingabe!$D$11&amp;".54.0/24","")</f>
        <v/>
      </c>
      <c r="G466" s="19" t="str">
        <f aca="false">IF(AND(Eingabe!$F$11&gt;0,Eingabe!$E$11&gt;=54),"10."&amp;Eingabe!$D$11&amp;".54.1","")</f>
        <v/>
      </c>
      <c r="H466" s="19" t="str">
        <f aca="false">IF(AND(Eingabe!$F$11&gt;0,Eingabe!$E$11&gt;=54),"10."&amp;Eingabe!$D$11&amp;".54.10 – 10."&amp;Eingabe!$D$11&amp;".54.250","")</f>
        <v/>
      </c>
      <c r="I466" s="19" t="str">
        <f aca="false">IF(AND(Eingabe!$F$11&gt;0,Eingabe!$E$11&gt;=54),Eingabe!$B$6&amp;"-"&amp;Eingabe!$C$11&amp;"-Pächter","")</f>
        <v/>
      </c>
      <c r="J466" s="19" t="str">
        <f aca="false">IF(AND(Eingabe!$F$11&gt;0,Eingabe!$E$11&gt;=54),"PPSK: Passwort Parzelle 54","")</f>
        <v/>
      </c>
      <c r="K466" s="19" t="str">
        <f aca="false">IF(AND(Eingabe!$F$11&gt;0,Eingabe!$E$11&gt;=54),"1. Gerät: 10."&amp;Eingabe!$D$11&amp;".54.10, 2. Gerät: .11","")</f>
        <v/>
      </c>
    </row>
    <row r="467" customFormat="false" ht="15" hidden="false" customHeight="false" outlineLevel="0" collapsed="false">
      <c r="A467" s="19" t="str">
        <f aca="false">IF(AND(Eingabe!$F$11&gt;0,Eingabe!$E$11&gt;=55),3,"")</f>
        <v/>
      </c>
      <c r="B467" s="19" t="str">
        <f aca="false">IF(AND(Eingabe!$F$11&gt;0,Eingabe!$E$11&gt;=55),Eingabe!$B$11,"")</f>
        <v/>
      </c>
      <c r="C467" s="19" t="str">
        <f aca="false">IF(AND(Eingabe!$F$11&gt;0,Eingabe!$E$11&gt;=55),Eingabe!$C$11&amp;"-Paz."&amp;TEXT(55,"000"),"")</f>
        <v/>
      </c>
      <c r="D467" s="19" t="str">
        <f aca="false">IF(AND(Eingabe!$F$11&gt;0,Eingabe!$E$11&gt;=55),55,"")</f>
        <v/>
      </c>
      <c r="E467" s="19" t="str">
        <f aca="false">IF(AND(Eingabe!$F$11&gt;0,Eingabe!$E$11&gt;=55),IF((Eingabe!$G$11)&lt;=9,1000+(Eingabe!$G$11)*100,3000)+55,"")</f>
        <v/>
      </c>
      <c r="F467" s="19" t="str">
        <f aca="false">IF(AND(Eingabe!$F$11&gt;0,Eingabe!$E$11&gt;=55),"10."&amp;Eingabe!$D$11&amp;".55.0/24","")</f>
        <v/>
      </c>
      <c r="G467" s="19" t="str">
        <f aca="false">IF(AND(Eingabe!$F$11&gt;0,Eingabe!$E$11&gt;=55),"10."&amp;Eingabe!$D$11&amp;".55.1","")</f>
        <v/>
      </c>
      <c r="H467" s="19" t="str">
        <f aca="false">IF(AND(Eingabe!$F$11&gt;0,Eingabe!$E$11&gt;=55),"10."&amp;Eingabe!$D$11&amp;".55.10 – 10."&amp;Eingabe!$D$11&amp;".55.250","")</f>
        <v/>
      </c>
      <c r="I467" s="19" t="str">
        <f aca="false">IF(AND(Eingabe!$F$11&gt;0,Eingabe!$E$11&gt;=55),Eingabe!$B$6&amp;"-"&amp;Eingabe!$C$11&amp;"-Pächter","")</f>
        <v/>
      </c>
      <c r="J467" s="19" t="str">
        <f aca="false">IF(AND(Eingabe!$F$11&gt;0,Eingabe!$E$11&gt;=55),"PPSK: Passwort Parzelle 55","")</f>
        <v/>
      </c>
      <c r="K467" s="19" t="str">
        <f aca="false">IF(AND(Eingabe!$F$11&gt;0,Eingabe!$E$11&gt;=55),"1. Gerät: 10."&amp;Eingabe!$D$11&amp;".55.10, 2. Gerät: .11","")</f>
        <v/>
      </c>
    </row>
    <row r="468" customFormat="false" ht="15" hidden="false" customHeight="false" outlineLevel="0" collapsed="false">
      <c r="A468" s="19" t="str">
        <f aca="false">IF(AND(Eingabe!$F$11&gt;0,Eingabe!$E$11&gt;=56),3,"")</f>
        <v/>
      </c>
      <c r="B468" s="19" t="str">
        <f aca="false">IF(AND(Eingabe!$F$11&gt;0,Eingabe!$E$11&gt;=56),Eingabe!$B$11,"")</f>
        <v/>
      </c>
      <c r="C468" s="19" t="str">
        <f aca="false">IF(AND(Eingabe!$F$11&gt;0,Eingabe!$E$11&gt;=56),Eingabe!$C$11&amp;"-Paz."&amp;TEXT(56,"000"),"")</f>
        <v/>
      </c>
      <c r="D468" s="19" t="str">
        <f aca="false">IF(AND(Eingabe!$F$11&gt;0,Eingabe!$E$11&gt;=56),56,"")</f>
        <v/>
      </c>
      <c r="E468" s="19" t="str">
        <f aca="false">IF(AND(Eingabe!$F$11&gt;0,Eingabe!$E$11&gt;=56),IF((Eingabe!$G$11)&lt;=9,1000+(Eingabe!$G$11)*100,3000)+56,"")</f>
        <v/>
      </c>
      <c r="F468" s="19" t="str">
        <f aca="false">IF(AND(Eingabe!$F$11&gt;0,Eingabe!$E$11&gt;=56),"10."&amp;Eingabe!$D$11&amp;".56.0/24","")</f>
        <v/>
      </c>
      <c r="G468" s="19" t="str">
        <f aca="false">IF(AND(Eingabe!$F$11&gt;0,Eingabe!$E$11&gt;=56),"10."&amp;Eingabe!$D$11&amp;".56.1","")</f>
        <v/>
      </c>
      <c r="H468" s="19" t="str">
        <f aca="false">IF(AND(Eingabe!$F$11&gt;0,Eingabe!$E$11&gt;=56),"10."&amp;Eingabe!$D$11&amp;".56.10 – 10."&amp;Eingabe!$D$11&amp;".56.250","")</f>
        <v/>
      </c>
      <c r="I468" s="19" t="str">
        <f aca="false">IF(AND(Eingabe!$F$11&gt;0,Eingabe!$E$11&gt;=56),Eingabe!$B$6&amp;"-"&amp;Eingabe!$C$11&amp;"-Pächter","")</f>
        <v/>
      </c>
      <c r="J468" s="19" t="str">
        <f aca="false">IF(AND(Eingabe!$F$11&gt;0,Eingabe!$E$11&gt;=56),"PPSK: Passwort Parzelle 56","")</f>
        <v/>
      </c>
      <c r="K468" s="19" t="str">
        <f aca="false">IF(AND(Eingabe!$F$11&gt;0,Eingabe!$E$11&gt;=56),"1. Gerät: 10."&amp;Eingabe!$D$11&amp;".56.10, 2. Gerät: .11","")</f>
        <v/>
      </c>
    </row>
    <row r="469" customFormat="false" ht="15" hidden="false" customHeight="false" outlineLevel="0" collapsed="false">
      <c r="A469" s="19" t="str">
        <f aca="false">IF(AND(Eingabe!$F$11&gt;0,Eingabe!$E$11&gt;=57),3,"")</f>
        <v/>
      </c>
      <c r="B469" s="19" t="str">
        <f aca="false">IF(AND(Eingabe!$F$11&gt;0,Eingabe!$E$11&gt;=57),Eingabe!$B$11,"")</f>
        <v/>
      </c>
      <c r="C469" s="19" t="str">
        <f aca="false">IF(AND(Eingabe!$F$11&gt;0,Eingabe!$E$11&gt;=57),Eingabe!$C$11&amp;"-Paz."&amp;TEXT(57,"000"),"")</f>
        <v/>
      </c>
      <c r="D469" s="19" t="str">
        <f aca="false">IF(AND(Eingabe!$F$11&gt;0,Eingabe!$E$11&gt;=57),57,"")</f>
        <v/>
      </c>
      <c r="E469" s="19" t="str">
        <f aca="false">IF(AND(Eingabe!$F$11&gt;0,Eingabe!$E$11&gt;=57),IF((Eingabe!$G$11)&lt;=9,1000+(Eingabe!$G$11)*100,3000)+57,"")</f>
        <v/>
      </c>
      <c r="F469" s="19" t="str">
        <f aca="false">IF(AND(Eingabe!$F$11&gt;0,Eingabe!$E$11&gt;=57),"10."&amp;Eingabe!$D$11&amp;".57.0/24","")</f>
        <v/>
      </c>
      <c r="G469" s="19" t="str">
        <f aca="false">IF(AND(Eingabe!$F$11&gt;0,Eingabe!$E$11&gt;=57),"10."&amp;Eingabe!$D$11&amp;".57.1","")</f>
        <v/>
      </c>
      <c r="H469" s="19" t="str">
        <f aca="false">IF(AND(Eingabe!$F$11&gt;0,Eingabe!$E$11&gt;=57),"10."&amp;Eingabe!$D$11&amp;".57.10 – 10."&amp;Eingabe!$D$11&amp;".57.250","")</f>
        <v/>
      </c>
      <c r="I469" s="19" t="str">
        <f aca="false">IF(AND(Eingabe!$F$11&gt;0,Eingabe!$E$11&gt;=57),Eingabe!$B$6&amp;"-"&amp;Eingabe!$C$11&amp;"-Pächter","")</f>
        <v/>
      </c>
      <c r="J469" s="19" t="str">
        <f aca="false">IF(AND(Eingabe!$F$11&gt;0,Eingabe!$E$11&gt;=57),"PPSK: Passwort Parzelle 57","")</f>
        <v/>
      </c>
      <c r="K469" s="19" t="str">
        <f aca="false">IF(AND(Eingabe!$F$11&gt;0,Eingabe!$E$11&gt;=57),"1. Gerät: 10."&amp;Eingabe!$D$11&amp;".57.10, 2. Gerät: .11","")</f>
        <v/>
      </c>
    </row>
    <row r="470" customFormat="false" ht="15" hidden="false" customHeight="false" outlineLevel="0" collapsed="false">
      <c r="A470" s="19" t="str">
        <f aca="false">IF(AND(Eingabe!$F$11&gt;0,Eingabe!$E$11&gt;=58),3,"")</f>
        <v/>
      </c>
      <c r="B470" s="19" t="str">
        <f aca="false">IF(AND(Eingabe!$F$11&gt;0,Eingabe!$E$11&gt;=58),Eingabe!$B$11,"")</f>
        <v/>
      </c>
      <c r="C470" s="19" t="str">
        <f aca="false">IF(AND(Eingabe!$F$11&gt;0,Eingabe!$E$11&gt;=58),Eingabe!$C$11&amp;"-Paz."&amp;TEXT(58,"000"),"")</f>
        <v/>
      </c>
      <c r="D470" s="19" t="str">
        <f aca="false">IF(AND(Eingabe!$F$11&gt;0,Eingabe!$E$11&gt;=58),58,"")</f>
        <v/>
      </c>
      <c r="E470" s="19" t="str">
        <f aca="false">IF(AND(Eingabe!$F$11&gt;0,Eingabe!$E$11&gt;=58),IF((Eingabe!$G$11)&lt;=9,1000+(Eingabe!$G$11)*100,3000)+58,"")</f>
        <v/>
      </c>
      <c r="F470" s="19" t="str">
        <f aca="false">IF(AND(Eingabe!$F$11&gt;0,Eingabe!$E$11&gt;=58),"10."&amp;Eingabe!$D$11&amp;".58.0/24","")</f>
        <v/>
      </c>
      <c r="G470" s="19" t="str">
        <f aca="false">IF(AND(Eingabe!$F$11&gt;0,Eingabe!$E$11&gt;=58),"10."&amp;Eingabe!$D$11&amp;".58.1","")</f>
        <v/>
      </c>
      <c r="H470" s="19" t="str">
        <f aca="false">IF(AND(Eingabe!$F$11&gt;0,Eingabe!$E$11&gt;=58),"10."&amp;Eingabe!$D$11&amp;".58.10 – 10."&amp;Eingabe!$D$11&amp;".58.250","")</f>
        <v/>
      </c>
      <c r="I470" s="19" t="str">
        <f aca="false">IF(AND(Eingabe!$F$11&gt;0,Eingabe!$E$11&gt;=58),Eingabe!$B$6&amp;"-"&amp;Eingabe!$C$11&amp;"-Pächter","")</f>
        <v/>
      </c>
      <c r="J470" s="19" t="str">
        <f aca="false">IF(AND(Eingabe!$F$11&gt;0,Eingabe!$E$11&gt;=58),"PPSK: Passwort Parzelle 58","")</f>
        <v/>
      </c>
      <c r="K470" s="19" t="str">
        <f aca="false">IF(AND(Eingabe!$F$11&gt;0,Eingabe!$E$11&gt;=58),"1. Gerät: 10."&amp;Eingabe!$D$11&amp;".58.10, 2. Gerät: .11","")</f>
        <v/>
      </c>
    </row>
    <row r="471" customFormat="false" ht="15" hidden="false" customHeight="false" outlineLevel="0" collapsed="false">
      <c r="A471" s="19" t="str">
        <f aca="false">IF(AND(Eingabe!$F$11&gt;0,Eingabe!$E$11&gt;=59),3,"")</f>
        <v/>
      </c>
      <c r="B471" s="19" t="str">
        <f aca="false">IF(AND(Eingabe!$F$11&gt;0,Eingabe!$E$11&gt;=59),Eingabe!$B$11,"")</f>
        <v/>
      </c>
      <c r="C471" s="19" t="str">
        <f aca="false">IF(AND(Eingabe!$F$11&gt;0,Eingabe!$E$11&gt;=59),Eingabe!$C$11&amp;"-Paz."&amp;TEXT(59,"000"),"")</f>
        <v/>
      </c>
      <c r="D471" s="19" t="str">
        <f aca="false">IF(AND(Eingabe!$F$11&gt;0,Eingabe!$E$11&gt;=59),59,"")</f>
        <v/>
      </c>
      <c r="E471" s="19" t="str">
        <f aca="false">IF(AND(Eingabe!$F$11&gt;0,Eingabe!$E$11&gt;=59),IF((Eingabe!$G$11)&lt;=9,1000+(Eingabe!$G$11)*100,3000)+59,"")</f>
        <v/>
      </c>
      <c r="F471" s="19" t="str">
        <f aca="false">IF(AND(Eingabe!$F$11&gt;0,Eingabe!$E$11&gt;=59),"10."&amp;Eingabe!$D$11&amp;".59.0/24","")</f>
        <v/>
      </c>
      <c r="G471" s="19" t="str">
        <f aca="false">IF(AND(Eingabe!$F$11&gt;0,Eingabe!$E$11&gt;=59),"10."&amp;Eingabe!$D$11&amp;".59.1","")</f>
        <v/>
      </c>
      <c r="H471" s="19" t="str">
        <f aca="false">IF(AND(Eingabe!$F$11&gt;0,Eingabe!$E$11&gt;=59),"10."&amp;Eingabe!$D$11&amp;".59.10 – 10."&amp;Eingabe!$D$11&amp;".59.250","")</f>
        <v/>
      </c>
      <c r="I471" s="19" t="str">
        <f aca="false">IF(AND(Eingabe!$F$11&gt;0,Eingabe!$E$11&gt;=59),Eingabe!$B$6&amp;"-"&amp;Eingabe!$C$11&amp;"-Pächter","")</f>
        <v/>
      </c>
      <c r="J471" s="19" t="str">
        <f aca="false">IF(AND(Eingabe!$F$11&gt;0,Eingabe!$E$11&gt;=59),"PPSK: Passwort Parzelle 59","")</f>
        <v/>
      </c>
      <c r="K471" s="19" t="str">
        <f aca="false">IF(AND(Eingabe!$F$11&gt;0,Eingabe!$E$11&gt;=59),"1. Gerät: 10."&amp;Eingabe!$D$11&amp;".59.10, 2. Gerät: .11","")</f>
        <v/>
      </c>
    </row>
    <row r="472" customFormat="false" ht="15" hidden="false" customHeight="false" outlineLevel="0" collapsed="false">
      <c r="A472" s="19" t="str">
        <f aca="false">IF(AND(Eingabe!$F$11&gt;0,Eingabe!$E$11&gt;=60),3,"")</f>
        <v/>
      </c>
      <c r="B472" s="19" t="str">
        <f aca="false">IF(AND(Eingabe!$F$11&gt;0,Eingabe!$E$11&gt;=60),Eingabe!$B$11,"")</f>
        <v/>
      </c>
      <c r="C472" s="19" t="str">
        <f aca="false">IF(AND(Eingabe!$F$11&gt;0,Eingabe!$E$11&gt;=60),Eingabe!$C$11&amp;"-Paz."&amp;TEXT(60,"000"),"")</f>
        <v/>
      </c>
      <c r="D472" s="19" t="str">
        <f aca="false">IF(AND(Eingabe!$F$11&gt;0,Eingabe!$E$11&gt;=60),60,"")</f>
        <v/>
      </c>
      <c r="E472" s="19" t="str">
        <f aca="false">IF(AND(Eingabe!$F$11&gt;0,Eingabe!$E$11&gt;=60),IF((Eingabe!$G$11)&lt;=9,1000+(Eingabe!$G$11)*100,3000)+60,"")</f>
        <v/>
      </c>
      <c r="F472" s="19" t="str">
        <f aca="false">IF(AND(Eingabe!$F$11&gt;0,Eingabe!$E$11&gt;=60),"10."&amp;Eingabe!$D$11&amp;".60.0/24","")</f>
        <v/>
      </c>
      <c r="G472" s="19" t="str">
        <f aca="false">IF(AND(Eingabe!$F$11&gt;0,Eingabe!$E$11&gt;=60),"10."&amp;Eingabe!$D$11&amp;".60.1","")</f>
        <v/>
      </c>
      <c r="H472" s="19" t="str">
        <f aca="false">IF(AND(Eingabe!$F$11&gt;0,Eingabe!$E$11&gt;=60),"10."&amp;Eingabe!$D$11&amp;".60.10 – 10."&amp;Eingabe!$D$11&amp;".60.250","")</f>
        <v/>
      </c>
      <c r="I472" s="19" t="str">
        <f aca="false">IF(AND(Eingabe!$F$11&gt;0,Eingabe!$E$11&gt;=60),Eingabe!$B$6&amp;"-"&amp;Eingabe!$C$11&amp;"-Pächter","")</f>
        <v/>
      </c>
      <c r="J472" s="19" t="str">
        <f aca="false">IF(AND(Eingabe!$F$11&gt;0,Eingabe!$E$11&gt;=60),"PPSK: Passwort Parzelle 60","")</f>
        <v/>
      </c>
      <c r="K472" s="19" t="str">
        <f aca="false">IF(AND(Eingabe!$F$11&gt;0,Eingabe!$E$11&gt;=60),"1. Gerät: 10."&amp;Eingabe!$D$11&amp;".60.10, 2. Gerät: .11","")</f>
        <v/>
      </c>
    </row>
    <row r="473" customFormat="false" ht="15" hidden="false" customHeight="false" outlineLevel="0" collapsed="false">
      <c r="A473" s="19" t="str">
        <f aca="false">IF(AND(Eingabe!$F$11&gt;0,Eingabe!$E$11&gt;=61),3,"")</f>
        <v/>
      </c>
      <c r="B473" s="19" t="str">
        <f aca="false">IF(AND(Eingabe!$F$11&gt;0,Eingabe!$E$11&gt;=61),Eingabe!$B$11,"")</f>
        <v/>
      </c>
      <c r="C473" s="19" t="str">
        <f aca="false">IF(AND(Eingabe!$F$11&gt;0,Eingabe!$E$11&gt;=61),Eingabe!$C$11&amp;"-Paz."&amp;TEXT(61,"000"),"")</f>
        <v/>
      </c>
      <c r="D473" s="19" t="str">
        <f aca="false">IF(AND(Eingabe!$F$11&gt;0,Eingabe!$E$11&gt;=61),61,"")</f>
        <v/>
      </c>
      <c r="E473" s="19" t="str">
        <f aca="false">IF(AND(Eingabe!$F$11&gt;0,Eingabe!$E$11&gt;=61),IF((Eingabe!$G$11)&lt;=9,1000+(Eingabe!$G$11)*100,3000)+61,"")</f>
        <v/>
      </c>
      <c r="F473" s="19" t="str">
        <f aca="false">IF(AND(Eingabe!$F$11&gt;0,Eingabe!$E$11&gt;=61),"10."&amp;Eingabe!$D$11&amp;".61.0/24","")</f>
        <v/>
      </c>
      <c r="G473" s="19" t="str">
        <f aca="false">IF(AND(Eingabe!$F$11&gt;0,Eingabe!$E$11&gt;=61),"10."&amp;Eingabe!$D$11&amp;".61.1","")</f>
        <v/>
      </c>
      <c r="H473" s="19" t="str">
        <f aca="false">IF(AND(Eingabe!$F$11&gt;0,Eingabe!$E$11&gt;=61),"10."&amp;Eingabe!$D$11&amp;".61.10 – 10."&amp;Eingabe!$D$11&amp;".61.250","")</f>
        <v/>
      </c>
      <c r="I473" s="19" t="str">
        <f aca="false">IF(AND(Eingabe!$F$11&gt;0,Eingabe!$E$11&gt;=61),Eingabe!$B$6&amp;"-"&amp;Eingabe!$C$11&amp;"-Pächter","")</f>
        <v/>
      </c>
      <c r="J473" s="19" t="str">
        <f aca="false">IF(AND(Eingabe!$F$11&gt;0,Eingabe!$E$11&gt;=61),"PPSK: Passwort Parzelle 61","")</f>
        <v/>
      </c>
      <c r="K473" s="19" t="str">
        <f aca="false">IF(AND(Eingabe!$F$11&gt;0,Eingabe!$E$11&gt;=61),"1. Gerät: 10."&amp;Eingabe!$D$11&amp;".61.10, 2. Gerät: .11","")</f>
        <v/>
      </c>
    </row>
    <row r="474" customFormat="false" ht="15" hidden="false" customHeight="false" outlineLevel="0" collapsed="false">
      <c r="A474" s="19" t="str">
        <f aca="false">IF(AND(Eingabe!$F$11&gt;0,Eingabe!$E$11&gt;=62),3,"")</f>
        <v/>
      </c>
      <c r="B474" s="19" t="str">
        <f aca="false">IF(AND(Eingabe!$F$11&gt;0,Eingabe!$E$11&gt;=62),Eingabe!$B$11,"")</f>
        <v/>
      </c>
      <c r="C474" s="19" t="str">
        <f aca="false">IF(AND(Eingabe!$F$11&gt;0,Eingabe!$E$11&gt;=62),Eingabe!$C$11&amp;"-Paz."&amp;TEXT(62,"000"),"")</f>
        <v/>
      </c>
      <c r="D474" s="19" t="str">
        <f aca="false">IF(AND(Eingabe!$F$11&gt;0,Eingabe!$E$11&gt;=62),62,"")</f>
        <v/>
      </c>
      <c r="E474" s="19" t="str">
        <f aca="false">IF(AND(Eingabe!$F$11&gt;0,Eingabe!$E$11&gt;=62),IF((Eingabe!$G$11)&lt;=9,1000+(Eingabe!$G$11)*100,3000)+62,"")</f>
        <v/>
      </c>
      <c r="F474" s="19" t="str">
        <f aca="false">IF(AND(Eingabe!$F$11&gt;0,Eingabe!$E$11&gt;=62),"10."&amp;Eingabe!$D$11&amp;".62.0/24","")</f>
        <v/>
      </c>
      <c r="G474" s="19" t="str">
        <f aca="false">IF(AND(Eingabe!$F$11&gt;0,Eingabe!$E$11&gt;=62),"10."&amp;Eingabe!$D$11&amp;".62.1","")</f>
        <v/>
      </c>
      <c r="H474" s="19" t="str">
        <f aca="false">IF(AND(Eingabe!$F$11&gt;0,Eingabe!$E$11&gt;=62),"10."&amp;Eingabe!$D$11&amp;".62.10 – 10."&amp;Eingabe!$D$11&amp;".62.250","")</f>
        <v/>
      </c>
      <c r="I474" s="19" t="str">
        <f aca="false">IF(AND(Eingabe!$F$11&gt;0,Eingabe!$E$11&gt;=62),Eingabe!$B$6&amp;"-"&amp;Eingabe!$C$11&amp;"-Pächter","")</f>
        <v/>
      </c>
      <c r="J474" s="19" t="str">
        <f aca="false">IF(AND(Eingabe!$F$11&gt;0,Eingabe!$E$11&gt;=62),"PPSK: Passwort Parzelle 62","")</f>
        <v/>
      </c>
      <c r="K474" s="19" t="str">
        <f aca="false">IF(AND(Eingabe!$F$11&gt;0,Eingabe!$E$11&gt;=62),"1. Gerät: 10."&amp;Eingabe!$D$11&amp;".62.10, 2. Gerät: .11","")</f>
        <v/>
      </c>
    </row>
    <row r="475" customFormat="false" ht="15" hidden="false" customHeight="false" outlineLevel="0" collapsed="false">
      <c r="A475" s="19" t="str">
        <f aca="false">IF(AND(Eingabe!$F$11&gt;0,Eingabe!$E$11&gt;=63),3,"")</f>
        <v/>
      </c>
      <c r="B475" s="19" t="str">
        <f aca="false">IF(AND(Eingabe!$F$11&gt;0,Eingabe!$E$11&gt;=63),Eingabe!$B$11,"")</f>
        <v/>
      </c>
      <c r="C475" s="19" t="str">
        <f aca="false">IF(AND(Eingabe!$F$11&gt;0,Eingabe!$E$11&gt;=63),Eingabe!$C$11&amp;"-Paz."&amp;TEXT(63,"000"),"")</f>
        <v/>
      </c>
      <c r="D475" s="19" t="str">
        <f aca="false">IF(AND(Eingabe!$F$11&gt;0,Eingabe!$E$11&gt;=63),63,"")</f>
        <v/>
      </c>
      <c r="E475" s="19" t="str">
        <f aca="false">IF(AND(Eingabe!$F$11&gt;0,Eingabe!$E$11&gt;=63),IF((Eingabe!$G$11)&lt;=9,1000+(Eingabe!$G$11)*100,3000)+63,"")</f>
        <v/>
      </c>
      <c r="F475" s="19" t="str">
        <f aca="false">IF(AND(Eingabe!$F$11&gt;0,Eingabe!$E$11&gt;=63),"10."&amp;Eingabe!$D$11&amp;".63.0/24","")</f>
        <v/>
      </c>
      <c r="G475" s="19" t="str">
        <f aca="false">IF(AND(Eingabe!$F$11&gt;0,Eingabe!$E$11&gt;=63),"10."&amp;Eingabe!$D$11&amp;".63.1","")</f>
        <v/>
      </c>
      <c r="H475" s="19" t="str">
        <f aca="false">IF(AND(Eingabe!$F$11&gt;0,Eingabe!$E$11&gt;=63),"10."&amp;Eingabe!$D$11&amp;".63.10 – 10."&amp;Eingabe!$D$11&amp;".63.250","")</f>
        <v/>
      </c>
      <c r="I475" s="19" t="str">
        <f aca="false">IF(AND(Eingabe!$F$11&gt;0,Eingabe!$E$11&gt;=63),Eingabe!$B$6&amp;"-"&amp;Eingabe!$C$11&amp;"-Pächter","")</f>
        <v/>
      </c>
      <c r="J475" s="19" t="str">
        <f aca="false">IF(AND(Eingabe!$F$11&gt;0,Eingabe!$E$11&gt;=63),"PPSK: Passwort Parzelle 63","")</f>
        <v/>
      </c>
      <c r="K475" s="19" t="str">
        <f aca="false">IF(AND(Eingabe!$F$11&gt;0,Eingabe!$E$11&gt;=63),"1. Gerät: 10."&amp;Eingabe!$D$11&amp;".63.10, 2. Gerät: .11","")</f>
        <v/>
      </c>
    </row>
    <row r="476" customFormat="false" ht="15" hidden="false" customHeight="false" outlineLevel="0" collapsed="false">
      <c r="A476" s="19" t="str">
        <f aca="false">IF(AND(Eingabe!$F$11&gt;0,Eingabe!$E$11&gt;=64),3,"")</f>
        <v/>
      </c>
      <c r="B476" s="19" t="str">
        <f aca="false">IF(AND(Eingabe!$F$11&gt;0,Eingabe!$E$11&gt;=64),Eingabe!$B$11,"")</f>
        <v/>
      </c>
      <c r="C476" s="19" t="str">
        <f aca="false">IF(AND(Eingabe!$F$11&gt;0,Eingabe!$E$11&gt;=64),Eingabe!$C$11&amp;"-Paz."&amp;TEXT(64,"000"),"")</f>
        <v/>
      </c>
      <c r="D476" s="19" t="str">
        <f aca="false">IF(AND(Eingabe!$F$11&gt;0,Eingabe!$E$11&gt;=64),64,"")</f>
        <v/>
      </c>
      <c r="E476" s="19" t="str">
        <f aca="false">IF(AND(Eingabe!$F$11&gt;0,Eingabe!$E$11&gt;=64),IF((Eingabe!$G$11)&lt;=9,1000+(Eingabe!$G$11)*100,3000)+64,"")</f>
        <v/>
      </c>
      <c r="F476" s="19" t="str">
        <f aca="false">IF(AND(Eingabe!$F$11&gt;0,Eingabe!$E$11&gt;=64),"10."&amp;Eingabe!$D$11&amp;".64.0/24","")</f>
        <v/>
      </c>
      <c r="G476" s="19" t="str">
        <f aca="false">IF(AND(Eingabe!$F$11&gt;0,Eingabe!$E$11&gt;=64),"10."&amp;Eingabe!$D$11&amp;".64.1","")</f>
        <v/>
      </c>
      <c r="H476" s="19" t="str">
        <f aca="false">IF(AND(Eingabe!$F$11&gt;0,Eingabe!$E$11&gt;=64),"10."&amp;Eingabe!$D$11&amp;".64.10 – 10."&amp;Eingabe!$D$11&amp;".64.250","")</f>
        <v/>
      </c>
      <c r="I476" s="19" t="str">
        <f aca="false">IF(AND(Eingabe!$F$11&gt;0,Eingabe!$E$11&gt;=64),Eingabe!$B$6&amp;"-"&amp;Eingabe!$C$11&amp;"-Pächter","")</f>
        <v/>
      </c>
      <c r="J476" s="19" t="str">
        <f aca="false">IF(AND(Eingabe!$F$11&gt;0,Eingabe!$E$11&gt;=64),"PPSK: Passwort Parzelle 64","")</f>
        <v/>
      </c>
      <c r="K476" s="19" t="str">
        <f aca="false">IF(AND(Eingabe!$F$11&gt;0,Eingabe!$E$11&gt;=64),"1. Gerät: 10."&amp;Eingabe!$D$11&amp;".64.10, 2. Gerät: .11","")</f>
        <v/>
      </c>
    </row>
    <row r="477" customFormat="false" ht="15" hidden="false" customHeight="false" outlineLevel="0" collapsed="false">
      <c r="A477" s="19" t="str">
        <f aca="false">IF(AND(Eingabe!$F$11&gt;0,Eingabe!$E$11&gt;=65),3,"")</f>
        <v/>
      </c>
      <c r="B477" s="19" t="str">
        <f aca="false">IF(AND(Eingabe!$F$11&gt;0,Eingabe!$E$11&gt;=65),Eingabe!$B$11,"")</f>
        <v/>
      </c>
      <c r="C477" s="19" t="str">
        <f aca="false">IF(AND(Eingabe!$F$11&gt;0,Eingabe!$E$11&gt;=65),Eingabe!$C$11&amp;"-Paz."&amp;TEXT(65,"000"),"")</f>
        <v/>
      </c>
      <c r="D477" s="19" t="str">
        <f aca="false">IF(AND(Eingabe!$F$11&gt;0,Eingabe!$E$11&gt;=65),65,"")</f>
        <v/>
      </c>
      <c r="E477" s="19" t="str">
        <f aca="false">IF(AND(Eingabe!$F$11&gt;0,Eingabe!$E$11&gt;=65),IF((Eingabe!$G$11)&lt;=9,1000+(Eingabe!$G$11)*100,3000)+65,"")</f>
        <v/>
      </c>
      <c r="F477" s="19" t="str">
        <f aca="false">IF(AND(Eingabe!$F$11&gt;0,Eingabe!$E$11&gt;=65),"10."&amp;Eingabe!$D$11&amp;".65.0/24","")</f>
        <v/>
      </c>
      <c r="G477" s="19" t="str">
        <f aca="false">IF(AND(Eingabe!$F$11&gt;0,Eingabe!$E$11&gt;=65),"10."&amp;Eingabe!$D$11&amp;".65.1","")</f>
        <v/>
      </c>
      <c r="H477" s="19" t="str">
        <f aca="false">IF(AND(Eingabe!$F$11&gt;0,Eingabe!$E$11&gt;=65),"10."&amp;Eingabe!$D$11&amp;".65.10 – 10."&amp;Eingabe!$D$11&amp;".65.250","")</f>
        <v/>
      </c>
      <c r="I477" s="19" t="str">
        <f aca="false">IF(AND(Eingabe!$F$11&gt;0,Eingabe!$E$11&gt;=65),Eingabe!$B$6&amp;"-"&amp;Eingabe!$C$11&amp;"-Pächter","")</f>
        <v/>
      </c>
      <c r="J477" s="19" t="str">
        <f aca="false">IF(AND(Eingabe!$F$11&gt;0,Eingabe!$E$11&gt;=65),"PPSK: Passwort Parzelle 65","")</f>
        <v/>
      </c>
      <c r="K477" s="19" t="str">
        <f aca="false">IF(AND(Eingabe!$F$11&gt;0,Eingabe!$E$11&gt;=65),"1. Gerät: 10."&amp;Eingabe!$D$11&amp;".65.10, 2. Gerät: .11","")</f>
        <v/>
      </c>
    </row>
    <row r="478" customFormat="false" ht="15" hidden="false" customHeight="false" outlineLevel="0" collapsed="false">
      <c r="A478" s="19" t="str">
        <f aca="false">IF(AND(Eingabe!$F$11&gt;0,Eingabe!$E$11&gt;=66),3,"")</f>
        <v/>
      </c>
      <c r="B478" s="19" t="str">
        <f aca="false">IF(AND(Eingabe!$F$11&gt;0,Eingabe!$E$11&gt;=66),Eingabe!$B$11,"")</f>
        <v/>
      </c>
      <c r="C478" s="19" t="str">
        <f aca="false">IF(AND(Eingabe!$F$11&gt;0,Eingabe!$E$11&gt;=66),Eingabe!$C$11&amp;"-Paz."&amp;TEXT(66,"000"),"")</f>
        <v/>
      </c>
      <c r="D478" s="19" t="str">
        <f aca="false">IF(AND(Eingabe!$F$11&gt;0,Eingabe!$E$11&gt;=66),66,"")</f>
        <v/>
      </c>
      <c r="E478" s="19" t="str">
        <f aca="false">IF(AND(Eingabe!$F$11&gt;0,Eingabe!$E$11&gt;=66),IF((Eingabe!$G$11)&lt;=9,1000+(Eingabe!$G$11)*100,3000)+66,"")</f>
        <v/>
      </c>
      <c r="F478" s="19" t="str">
        <f aca="false">IF(AND(Eingabe!$F$11&gt;0,Eingabe!$E$11&gt;=66),"10."&amp;Eingabe!$D$11&amp;".66.0/24","")</f>
        <v/>
      </c>
      <c r="G478" s="19" t="str">
        <f aca="false">IF(AND(Eingabe!$F$11&gt;0,Eingabe!$E$11&gt;=66),"10."&amp;Eingabe!$D$11&amp;".66.1","")</f>
        <v/>
      </c>
      <c r="H478" s="19" t="str">
        <f aca="false">IF(AND(Eingabe!$F$11&gt;0,Eingabe!$E$11&gt;=66),"10."&amp;Eingabe!$D$11&amp;".66.10 – 10."&amp;Eingabe!$D$11&amp;".66.250","")</f>
        <v/>
      </c>
      <c r="I478" s="19" t="str">
        <f aca="false">IF(AND(Eingabe!$F$11&gt;0,Eingabe!$E$11&gt;=66),Eingabe!$B$6&amp;"-"&amp;Eingabe!$C$11&amp;"-Pächter","")</f>
        <v/>
      </c>
      <c r="J478" s="19" t="str">
        <f aca="false">IF(AND(Eingabe!$F$11&gt;0,Eingabe!$E$11&gt;=66),"PPSK: Passwort Parzelle 66","")</f>
        <v/>
      </c>
      <c r="K478" s="19" t="str">
        <f aca="false">IF(AND(Eingabe!$F$11&gt;0,Eingabe!$E$11&gt;=66),"1. Gerät: 10."&amp;Eingabe!$D$11&amp;".66.10, 2. Gerät: .11","")</f>
        <v/>
      </c>
    </row>
    <row r="479" customFormat="false" ht="15" hidden="false" customHeight="false" outlineLevel="0" collapsed="false">
      <c r="A479" s="19" t="str">
        <f aca="false">IF(AND(Eingabe!$F$11&gt;0,Eingabe!$E$11&gt;=67),3,"")</f>
        <v/>
      </c>
      <c r="B479" s="19" t="str">
        <f aca="false">IF(AND(Eingabe!$F$11&gt;0,Eingabe!$E$11&gt;=67),Eingabe!$B$11,"")</f>
        <v/>
      </c>
      <c r="C479" s="19" t="str">
        <f aca="false">IF(AND(Eingabe!$F$11&gt;0,Eingabe!$E$11&gt;=67),Eingabe!$C$11&amp;"-Paz."&amp;TEXT(67,"000"),"")</f>
        <v/>
      </c>
      <c r="D479" s="19" t="str">
        <f aca="false">IF(AND(Eingabe!$F$11&gt;0,Eingabe!$E$11&gt;=67),67,"")</f>
        <v/>
      </c>
      <c r="E479" s="19" t="str">
        <f aca="false">IF(AND(Eingabe!$F$11&gt;0,Eingabe!$E$11&gt;=67),IF((Eingabe!$G$11)&lt;=9,1000+(Eingabe!$G$11)*100,3000)+67,"")</f>
        <v/>
      </c>
      <c r="F479" s="19" t="str">
        <f aca="false">IF(AND(Eingabe!$F$11&gt;0,Eingabe!$E$11&gt;=67),"10."&amp;Eingabe!$D$11&amp;".67.0/24","")</f>
        <v/>
      </c>
      <c r="G479" s="19" t="str">
        <f aca="false">IF(AND(Eingabe!$F$11&gt;0,Eingabe!$E$11&gt;=67),"10."&amp;Eingabe!$D$11&amp;".67.1","")</f>
        <v/>
      </c>
      <c r="H479" s="19" t="str">
        <f aca="false">IF(AND(Eingabe!$F$11&gt;0,Eingabe!$E$11&gt;=67),"10."&amp;Eingabe!$D$11&amp;".67.10 – 10."&amp;Eingabe!$D$11&amp;".67.250","")</f>
        <v/>
      </c>
      <c r="I479" s="19" t="str">
        <f aca="false">IF(AND(Eingabe!$F$11&gt;0,Eingabe!$E$11&gt;=67),Eingabe!$B$6&amp;"-"&amp;Eingabe!$C$11&amp;"-Pächter","")</f>
        <v/>
      </c>
      <c r="J479" s="19" t="str">
        <f aca="false">IF(AND(Eingabe!$F$11&gt;0,Eingabe!$E$11&gt;=67),"PPSK: Passwort Parzelle 67","")</f>
        <v/>
      </c>
      <c r="K479" s="19" t="str">
        <f aca="false">IF(AND(Eingabe!$F$11&gt;0,Eingabe!$E$11&gt;=67),"1. Gerät: 10."&amp;Eingabe!$D$11&amp;".67.10, 2. Gerät: .11","")</f>
        <v/>
      </c>
    </row>
    <row r="480" customFormat="false" ht="15" hidden="false" customHeight="false" outlineLevel="0" collapsed="false">
      <c r="A480" s="19" t="str">
        <f aca="false">IF(AND(Eingabe!$F$11&gt;0,Eingabe!$E$11&gt;=68),3,"")</f>
        <v/>
      </c>
      <c r="B480" s="19" t="str">
        <f aca="false">IF(AND(Eingabe!$F$11&gt;0,Eingabe!$E$11&gt;=68),Eingabe!$B$11,"")</f>
        <v/>
      </c>
      <c r="C480" s="19" t="str">
        <f aca="false">IF(AND(Eingabe!$F$11&gt;0,Eingabe!$E$11&gt;=68),Eingabe!$C$11&amp;"-Paz."&amp;TEXT(68,"000"),"")</f>
        <v/>
      </c>
      <c r="D480" s="19" t="str">
        <f aca="false">IF(AND(Eingabe!$F$11&gt;0,Eingabe!$E$11&gt;=68),68,"")</f>
        <v/>
      </c>
      <c r="E480" s="19" t="str">
        <f aca="false">IF(AND(Eingabe!$F$11&gt;0,Eingabe!$E$11&gt;=68),IF((Eingabe!$G$11)&lt;=9,1000+(Eingabe!$G$11)*100,3000)+68,"")</f>
        <v/>
      </c>
      <c r="F480" s="19" t="str">
        <f aca="false">IF(AND(Eingabe!$F$11&gt;0,Eingabe!$E$11&gt;=68),"10."&amp;Eingabe!$D$11&amp;".68.0/24","")</f>
        <v/>
      </c>
      <c r="G480" s="19" t="str">
        <f aca="false">IF(AND(Eingabe!$F$11&gt;0,Eingabe!$E$11&gt;=68),"10."&amp;Eingabe!$D$11&amp;".68.1","")</f>
        <v/>
      </c>
      <c r="H480" s="19" t="str">
        <f aca="false">IF(AND(Eingabe!$F$11&gt;0,Eingabe!$E$11&gt;=68),"10."&amp;Eingabe!$D$11&amp;".68.10 – 10."&amp;Eingabe!$D$11&amp;".68.250","")</f>
        <v/>
      </c>
      <c r="I480" s="19" t="str">
        <f aca="false">IF(AND(Eingabe!$F$11&gt;0,Eingabe!$E$11&gt;=68),Eingabe!$B$6&amp;"-"&amp;Eingabe!$C$11&amp;"-Pächter","")</f>
        <v/>
      </c>
      <c r="J480" s="19" t="str">
        <f aca="false">IF(AND(Eingabe!$F$11&gt;0,Eingabe!$E$11&gt;=68),"PPSK: Passwort Parzelle 68","")</f>
        <v/>
      </c>
      <c r="K480" s="19" t="str">
        <f aca="false">IF(AND(Eingabe!$F$11&gt;0,Eingabe!$E$11&gt;=68),"1. Gerät: 10."&amp;Eingabe!$D$11&amp;".68.10, 2. Gerät: .11","")</f>
        <v/>
      </c>
    </row>
    <row r="481" customFormat="false" ht="15" hidden="false" customHeight="false" outlineLevel="0" collapsed="false">
      <c r="A481" s="19" t="str">
        <f aca="false">IF(AND(Eingabe!$F$11&gt;0,Eingabe!$E$11&gt;=69),3,"")</f>
        <v/>
      </c>
      <c r="B481" s="19" t="str">
        <f aca="false">IF(AND(Eingabe!$F$11&gt;0,Eingabe!$E$11&gt;=69),Eingabe!$B$11,"")</f>
        <v/>
      </c>
      <c r="C481" s="19" t="str">
        <f aca="false">IF(AND(Eingabe!$F$11&gt;0,Eingabe!$E$11&gt;=69),Eingabe!$C$11&amp;"-Paz."&amp;TEXT(69,"000"),"")</f>
        <v/>
      </c>
      <c r="D481" s="19" t="str">
        <f aca="false">IF(AND(Eingabe!$F$11&gt;0,Eingabe!$E$11&gt;=69),69,"")</f>
        <v/>
      </c>
      <c r="E481" s="19" t="str">
        <f aca="false">IF(AND(Eingabe!$F$11&gt;0,Eingabe!$E$11&gt;=69),IF((Eingabe!$G$11)&lt;=9,1000+(Eingabe!$G$11)*100,3000)+69,"")</f>
        <v/>
      </c>
      <c r="F481" s="19" t="str">
        <f aca="false">IF(AND(Eingabe!$F$11&gt;0,Eingabe!$E$11&gt;=69),"10."&amp;Eingabe!$D$11&amp;".69.0/24","")</f>
        <v/>
      </c>
      <c r="G481" s="19" t="str">
        <f aca="false">IF(AND(Eingabe!$F$11&gt;0,Eingabe!$E$11&gt;=69),"10."&amp;Eingabe!$D$11&amp;".69.1","")</f>
        <v/>
      </c>
      <c r="H481" s="19" t="str">
        <f aca="false">IF(AND(Eingabe!$F$11&gt;0,Eingabe!$E$11&gt;=69),"10."&amp;Eingabe!$D$11&amp;".69.10 – 10."&amp;Eingabe!$D$11&amp;".69.250","")</f>
        <v/>
      </c>
      <c r="I481" s="19" t="str">
        <f aca="false">IF(AND(Eingabe!$F$11&gt;0,Eingabe!$E$11&gt;=69),Eingabe!$B$6&amp;"-"&amp;Eingabe!$C$11&amp;"-Pächter","")</f>
        <v/>
      </c>
      <c r="J481" s="19" t="str">
        <f aca="false">IF(AND(Eingabe!$F$11&gt;0,Eingabe!$E$11&gt;=69),"PPSK: Passwort Parzelle 69","")</f>
        <v/>
      </c>
      <c r="K481" s="19" t="str">
        <f aca="false">IF(AND(Eingabe!$F$11&gt;0,Eingabe!$E$11&gt;=69),"1. Gerät: 10."&amp;Eingabe!$D$11&amp;".69.10, 2. Gerät: .11","")</f>
        <v/>
      </c>
    </row>
    <row r="482" customFormat="false" ht="15" hidden="false" customHeight="false" outlineLevel="0" collapsed="false">
      <c r="A482" s="19" t="str">
        <f aca="false">IF(AND(Eingabe!$F$11&gt;0,Eingabe!$E$11&gt;=70),3,"")</f>
        <v/>
      </c>
      <c r="B482" s="19" t="str">
        <f aca="false">IF(AND(Eingabe!$F$11&gt;0,Eingabe!$E$11&gt;=70),Eingabe!$B$11,"")</f>
        <v/>
      </c>
      <c r="C482" s="19" t="str">
        <f aca="false">IF(AND(Eingabe!$F$11&gt;0,Eingabe!$E$11&gt;=70),Eingabe!$C$11&amp;"-Paz."&amp;TEXT(70,"000"),"")</f>
        <v/>
      </c>
      <c r="D482" s="19" t="str">
        <f aca="false">IF(AND(Eingabe!$F$11&gt;0,Eingabe!$E$11&gt;=70),70,"")</f>
        <v/>
      </c>
      <c r="E482" s="19" t="str">
        <f aca="false">IF(AND(Eingabe!$F$11&gt;0,Eingabe!$E$11&gt;=70),IF((Eingabe!$G$11)&lt;=9,1000+(Eingabe!$G$11)*100,3000)+70,"")</f>
        <v/>
      </c>
      <c r="F482" s="19" t="str">
        <f aca="false">IF(AND(Eingabe!$F$11&gt;0,Eingabe!$E$11&gt;=70),"10."&amp;Eingabe!$D$11&amp;".70.0/24","")</f>
        <v/>
      </c>
      <c r="G482" s="19" t="str">
        <f aca="false">IF(AND(Eingabe!$F$11&gt;0,Eingabe!$E$11&gt;=70),"10."&amp;Eingabe!$D$11&amp;".70.1","")</f>
        <v/>
      </c>
      <c r="H482" s="19" t="str">
        <f aca="false">IF(AND(Eingabe!$F$11&gt;0,Eingabe!$E$11&gt;=70),"10."&amp;Eingabe!$D$11&amp;".70.10 – 10."&amp;Eingabe!$D$11&amp;".70.250","")</f>
        <v/>
      </c>
      <c r="I482" s="19" t="str">
        <f aca="false">IF(AND(Eingabe!$F$11&gt;0,Eingabe!$E$11&gt;=70),Eingabe!$B$6&amp;"-"&amp;Eingabe!$C$11&amp;"-Pächter","")</f>
        <v/>
      </c>
      <c r="J482" s="19" t="str">
        <f aca="false">IF(AND(Eingabe!$F$11&gt;0,Eingabe!$E$11&gt;=70),"PPSK: Passwort Parzelle 70","")</f>
        <v/>
      </c>
      <c r="K482" s="19" t="str">
        <f aca="false">IF(AND(Eingabe!$F$11&gt;0,Eingabe!$E$11&gt;=70),"1. Gerät: 10."&amp;Eingabe!$D$11&amp;".70.10, 2. Gerät: .11","")</f>
        <v/>
      </c>
    </row>
    <row r="483" customFormat="false" ht="15" hidden="false" customHeight="false" outlineLevel="0" collapsed="false">
      <c r="A483" s="19" t="str">
        <f aca="false">IF(AND(Eingabe!$F$11&gt;0,Eingabe!$E$11&gt;=71),3,"")</f>
        <v/>
      </c>
      <c r="B483" s="19" t="str">
        <f aca="false">IF(AND(Eingabe!$F$11&gt;0,Eingabe!$E$11&gt;=71),Eingabe!$B$11,"")</f>
        <v/>
      </c>
      <c r="C483" s="19" t="str">
        <f aca="false">IF(AND(Eingabe!$F$11&gt;0,Eingabe!$E$11&gt;=71),Eingabe!$C$11&amp;"-Paz."&amp;TEXT(71,"000"),"")</f>
        <v/>
      </c>
      <c r="D483" s="19" t="str">
        <f aca="false">IF(AND(Eingabe!$F$11&gt;0,Eingabe!$E$11&gt;=71),71,"")</f>
        <v/>
      </c>
      <c r="E483" s="19" t="str">
        <f aca="false">IF(AND(Eingabe!$F$11&gt;0,Eingabe!$E$11&gt;=71),IF((Eingabe!$G$11)&lt;=9,1000+(Eingabe!$G$11)*100,3000)+71,"")</f>
        <v/>
      </c>
      <c r="F483" s="19" t="str">
        <f aca="false">IF(AND(Eingabe!$F$11&gt;0,Eingabe!$E$11&gt;=71),"10."&amp;Eingabe!$D$11&amp;".71.0/24","")</f>
        <v/>
      </c>
      <c r="G483" s="19" t="str">
        <f aca="false">IF(AND(Eingabe!$F$11&gt;0,Eingabe!$E$11&gt;=71),"10."&amp;Eingabe!$D$11&amp;".71.1","")</f>
        <v/>
      </c>
      <c r="H483" s="19" t="str">
        <f aca="false">IF(AND(Eingabe!$F$11&gt;0,Eingabe!$E$11&gt;=71),"10."&amp;Eingabe!$D$11&amp;".71.10 – 10."&amp;Eingabe!$D$11&amp;".71.250","")</f>
        <v/>
      </c>
      <c r="I483" s="19" t="str">
        <f aca="false">IF(AND(Eingabe!$F$11&gt;0,Eingabe!$E$11&gt;=71),Eingabe!$B$6&amp;"-"&amp;Eingabe!$C$11&amp;"-Pächter","")</f>
        <v/>
      </c>
      <c r="J483" s="19" t="str">
        <f aca="false">IF(AND(Eingabe!$F$11&gt;0,Eingabe!$E$11&gt;=71),"PPSK: Passwort Parzelle 71","")</f>
        <v/>
      </c>
      <c r="K483" s="19" t="str">
        <f aca="false">IF(AND(Eingabe!$F$11&gt;0,Eingabe!$E$11&gt;=71),"1. Gerät: 10."&amp;Eingabe!$D$11&amp;".71.10, 2. Gerät: .11","")</f>
        <v/>
      </c>
    </row>
    <row r="484" customFormat="false" ht="15" hidden="false" customHeight="false" outlineLevel="0" collapsed="false">
      <c r="A484" s="19" t="str">
        <f aca="false">IF(AND(Eingabe!$F$11&gt;0,Eingabe!$E$11&gt;=72),3,"")</f>
        <v/>
      </c>
      <c r="B484" s="19" t="str">
        <f aca="false">IF(AND(Eingabe!$F$11&gt;0,Eingabe!$E$11&gt;=72),Eingabe!$B$11,"")</f>
        <v/>
      </c>
      <c r="C484" s="19" t="str">
        <f aca="false">IF(AND(Eingabe!$F$11&gt;0,Eingabe!$E$11&gt;=72),Eingabe!$C$11&amp;"-Paz."&amp;TEXT(72,"000"),"")</f>
        <v/>
      </c>
      <c r="D484" s="19" t="str">
        <f aca="false">IF(AND(Eingabe!$F$11&gt;0,Eingabe!$E$11&gt;=72),72,"")</f>
        <v/>
      </c>
      <c r="E484" s="19" t="str">
        <f aca="false">IF(AND(Eingabe!$F$11&gt;0,Eingabe!$E$11&gt;=72),IF((Eingabe!$G$11)&lt;=9,1000+(Eingabe!$G$11)*100,3000)+72,"")</f>
        <v/>
      </c>
      <c r="F484" s="19" t="str">
        <f aca="false">IF(AND(Eingabe!$F$11&gt;0,Eingabe!$E$11&gt;=72),"10."&amp;Eingabe!$D$11&amp;".72.0/24","")</f>
        <v/>
      </c>
      <c r="G484" s="19" t="str">
        <f aca="false">IF(AND(Eingabe!$F$11&gt;0,Eingabe!$E$11&gt;=72),"10."&amp;Eingabe!$D$11&amp;".72.1","")</f>
        <v/>
      </c>
      <c r="H484" s="19" t="str">
        <f aca="false">IF(AND(Eingabe!$F$11&gt;0,Eingabe!$E$11&gt;=72),"10."&amp;Eingabe!$D$11&amp;".72.10 – 10."&amp;Eingabe!$D$11&amp;".72.250","")</f>
        <v/>
      </c>
      <c r="I484" s="19" t="str">
        <f aca="false">IF(AND(Eingabe!$F$11&gt;0,Eingabe!$E$11&gt;=72),Eingabe!$B$6&amp;"-"&amp;Eingabe!$C$11&amp;"-Pächter","")</f>
        <v/>
      </c>
      <c r="J484" s="19" t="str">
        <f aca="false">IF(AND(Eingabe!$F$11&gt;0,Eingabe!$E$11&gt;=72),"PPSK: Passwort Parzelle 72","")</f>
        <v/>
      </c>
      <c r="K484" s="19" t="str">
        <f aca="false">IF(AND(Eingabe!$F$11&gt;0,Eingabe!$E$11&gt;=72),"1. Gerät: 10."&amp;Eingabe!$D$11&amp;".72.10, 2. Gerät: .11","")</f>
        <v/>
      </c>
    </row>
    <row r="485" customFormat="false" ht="15" hidden="false" customHeight="false" outlineLevel="0" collapsed="false">
      <c r="A485" s="19" t="str">
        <f aca="false">IF(AND(Eingabe!$F$11&gt;0,Eingabe!$E$11&gt;=73),3,"")</f>
        <v/>
      </c>
      <c r="B485" s="19" t="str">
        <f aca="false">IF(AND(Eingabe!$F$11&gt;0,Eingabe!$E$11&gt;=73),Eingabe!$B$11,"")</f>
        <v/>
      </c>
      <c r="C485" s="19" t="str">
        <f aca="false">IF(AND(Eingabe!$F$11&gt;0,Eingabe!$E$11&gt;=73),Eingabe!$C$11&amp;"-Paz."&amp;TEXT(73,"000"),"")</f>
        <v/>
      </c>
      <c r="D485" s="19" t="str">
        <f aca="false">IF(AND(Eingabe!$F$11&gt;0,Eingabe!$E$11&gt;=73),73,"")</f>
        <v/>
      </c>
      <c r="E485" s="19" t="str">
        <f aca="false">IF(AND(Eingabe!$F$11&gt;0,Eingabe!$E$11&gt;=73),IF((Eingabe!$G$11)&lt;=9,1000+(Eingabe!$G$11)*100,3000)+73,"")</f>
        <v/>
      </c>
      <c r="F485" s="19" t="str">
        <f aca="false">IF(AND(Eingabe!$F$11&gt;0,Eingabe!$E$11&gt;=73),"10."&amp;Eingabe!$D$11&amp;".73.0/24","")</f>
        <v/>
      </c>
      <c r="G485" s="19" t="str">
        <f aca="false">IF(AND(Eingabe!$F$11&gt;0,Eingabe!$E$11&gt;=73),"10."&amp;Eingabe!$D$11&amp;".73.1","")</f>
        <v/>
      </c>
      <c r="H485" s="19" t="str">
        <f aca="false">IF(AND(Eingabe!$F$11&gt;0,Eingabe!$E$11&gt;=73),"10."&amp;Eingabe!$D$11&amp;".73.10 – 10."&amp;Eingabe!$D$11&amp;".73.250","")</f>
        <v/>
      </c>
      <c r="I485" s="19" t="str">
        <f aca="false">IF(AND(Eingabe!$F$11&gt;0,Eingabe!$E$11&gt;=73),Eingabe!$B$6&amp;"-"&amp;Eingabe!$C$11&amp;"-Pächter","")</f>
        <v/>
      </c>
      <c r="J485" s="19" t="str">
        <f aca="false">IF(AND(Eingabe!$F$11&gt;0,Eingabe!$E$11&gt;=73),"PPSK: Passwort Parzelle 73","")</f>
        <v/>
      </c>
      <c r="K485" s="19" t="str">
        <f aca="false">IF(AND(Eingabe!$F$11&gt;0,Eingabe!$E$11&gt;=73),"1. Gerät: 10."&amp;Eingabe!$D$11&amp;".73.10, 2. Gerät: .11","")</f>
        <v/>
      </c>
    </row>
    <row r="486" customFormat="false" ht="15" hidden="false" customHeight="false" outlineLevel="0" collapsed="false">
      <c r="A486" s="19" t="str">
        <f aca="false">IF(AND(Eingabe!$F$11&gt;0,Eingabe!$E$11&gt;=74),3,"")</f>
        <v/>
      </c>
      <c r="B486" s="19" t="str">
        <f aca="false">IF(AND(Eingabe!$F$11&gt;0,Eingabe!$E$11&gt;=74),Eingabe!$B$11,"")</f>
        <v/>
      </c>
      <c r="C486" s="19" t="str">
        <f aca="false">IF(AND(Eingabe!$F$11&gt;0,Eingabe!$E$11&gt;=74),Eingabe!$C$11&amp;"-Paz."&amp;TEXT(74,"000"),"")</f>
        <v/>
      </c>
      <c r="D486" s="19" t="str">
        <f aca="false">IF(AND(Eingabe!$F$11&gt;0,Eingabe!$E$11&gt;=74),74,"")</f>
        <v/>
      </c>
      <c r="E486" s="19" t="str">
        <f aca="false">IF(AND(Eingabe!$F$11&gt;0,Eingabe!$E$11&gt;=74),IF((Eingabe!$G$11)&lt;=9,1000+(Eingabe!$G$11)*100,3000)+74,"")</f>
        <v/>
      </c>
      <c r="F486" s="19" t="str">
        <f aca="false">IF(AND(Eingabe!$F$11&gt;0,Eingabe!$E$11&gt;=74),"10."&amp;Eingabe!$D$11&amp;".74.0/24","")</f>
        <v/>
      </c>
      <c r="G486" s="19" t="str">
        <f aca="false">IF(AND(Eingabe!$F$11&gt;0,Eingabe!$E$11&gt;=74),"10."&amp;Eingabe!$D$11&amp;".74.1","")</f>
        <v/>
      </c>
      <c r="H486" s="19" t="str">
        <f aca="false">IF(AND(Eingabe!$F$11&gt;0,Eingabe!$E$11&gt;=74),"10."&amp;Eingabe!$D$11&amp;".74.10 – 10."&amp;Eingabe!$D$11&amp;".74.250","")</f>
        <v/>
      </c>
      <c r="I486" s="19" t="str">
        <f aca="false">IF(AND(Eingabe!$F$11&gt;0,Eingabe!$E$11&gt;=74),Eingabe!$B$6&amp;"-"&amp;Eingabe!$C$11&amp;"-Pächter","")</f>
        <v/>
      </c>
      <c r="J486" s="19" t="str">
        <f aca="false">IF(AND(Eingabe!$F$11&gt;0,Eingabe!$E$11&gt;=74),"PPSK: Passwort Parzelle 74","")</f>
        <v/>
      </c>
      <c r="K486" s="19" t="str">
        <f aca="false">IF(AND(Eingabe!$F$11&gt;0,Eingabe!$E$11&gt;=74),"1. Gerät: 10."&amp;Eingabe!$D$11&amp;".74.10, 2. Gerät: .11","")</f>
        <v/>
      </c>
    </row>
    <row r="487" customFormat="false" ht="15" hidden="false" customHeight="false" outlineLevel="0" collapsed="false">
      <c r="A487" s="19" t="str">
        <f aca="false">IF(AND(Eingabe!$F$11&gt;0,Eingabe!$E$11&gt;=75),3,"")</f>
        <v/>
      </c>
      <c r="B487" s="19" t="str">
        <f aca="false">IF(AND(Eingabe!$F$11&gt;0,Eingabe!$E$11&gt;=75),Eingabe!$B$11,"")</f>
        <v/>
      </c>
      <c r="C487" s="19" t="str">
        <f aca="false">IF(AND(Eingabe!$F$11&gt;0,Eingabe!$E$11&gt;=75),Eingabe!$C$11&amp;"-Paz."&amp;TEXT(75,"000"),"")</f>
        <v/>
      </c>
      <c r="D487" s="19" t="str">
        <f aca="false">IF(AND(Eingabe!$F$11&gt;0,Eingabe!$E$11&gt;=75),75,"")</f>
        <v/>
      </c>
      <c r="E487" s="19" t="str">
        <f aca="false">IF(AND(Eingabe!$F$11&gt;0,Eingabe!$E$11&gt;=75),IF((Eingabe!$G$11)&lt;=9,1000+(Eingabe!$G$11)*100,3000)+75,"")</f>
        <v/>
      </c>
      <c r="F487" s="19" t="str">
        <f aca="false">IF(AND(Eingabe!$F$11&gt;0,Eingabe!$E$11&gt;=75),"10."&amp;Eingabe!$D$11&amp;".75.0/24","")</f>
        <v/>
      </c>
      <c r="G487" s="19" t="str">
        <f aca="false">IF(AND(Eingabe!$F$11&gt;0,Eingabe!$E$11&gt;=75),"10."&amp;Eingabe!$D$11&amp;".75.1","")</f>
        <v/>
      </c>
      <c r="H487" s="19" t="str">
        <f aca="false">IF(AND(Eingabe!$F$11&gt;0,Eingabe!$E$11&gt;=75),"10."&amp;Eingabe!$D$11&amp;".75.10 – 10."&amp;Eingabe!$D$11&amp;".75.250","")</f>
        <v/>
      </c>
      <c r="I487" s="19" t="str">
        <f aca="false">IF(AND(Eingabe!$F$11&gt;0,Eingabe!$E$11&gt;=75),Eingabe!$B$6&amp;"-"&amp;Eingabe!$C$11&amp;"-Pächter","")</f>
        <v/>
      </c>
      <c r="J487" s="19" t="str">
        <f aca="false">IF(AND(Eingabe!$F$11&gt;0,Eingabe!$E$11&gt;=75),"PPSK: Passwort Parzelle 75","")</f>
        <v/>
      </c>
      <c r="K487" s="19" t="str">
        <f aca="false">IF(AND(Eingabe!$F$11&gt;0,Eingabe!$E$11&gt;=75),"1. Gerät: 10."&amp;Eingabe!$D$11&amp;".75.10, 2. Gerät: .11","")</f>
        <v/>
      </c>
    </row>
    <row r="488" customFormat="false" ht="15" hidden="false" customHeight="false" outlineLevel="0" collapsed="false">
      <c r="A488" s="19" t="str">
        <f aca="false">IF(AND(Eingabe!$F$11&gt;0,Eingabe!$E$11&gt;=76),3,"")</f>
        <v/>
      </c>
      <c r="B488" s="19" t="str">
        <f aca="false">IF(AND(Eingabe!$F$11&gt;0,Eingabe!$E$11&gt;=76),Eingabe!$B$11,"")</f>
        <v/>
      </c>
      <c r="C488" s="19" t="str">
        <f aca="false">IF(AND(Eingabe!$F$11&gt;0,Eingabe!$E$11&gt;=76),Eingabe!$C$11&amp;"-Paz."&amp;TEXT(76,"000"),"")</f>
        <v/>
      </c>
      <c r="D488" s="19" t="str">
        <f aca="false">IF(AND(Eingabe!$F$11&gt;0,Eingabe!$E$11&gt;=76),76,"")</f>
        <v/>
      </c>
      <c r="E488" s="19" t="str">
        <f aca="false">IF(AND(Eingabe!$F$11&gt;0,Eingabe!$E$11&gt;=76),IF((Eingabe!$G$11)&lt;=9,1000+(Eingabe!$G$11)*100,3000)+76,"")</f>
        <v/>
      </c>
      <c r="F488" s="19" t="str">
        <f aca="false">IF(AND(Eingabe!$F$11&gt;0,Eingabe!$E$11&gt;=76),"10."&amp;Eingabe!$D$11&amp;".76.0/24","")</f>
        <v/>
      </c>
      <c r="G488" s="19" t="str">
        <f aca="false">IF(AND(Eingabe!$F$11&gt;0,Eingabe!$E$11&gt;=76),"10."&amp;Eingabe!$D$11&amp;".76.1","")</f>
        <v/>
      </c>
      <c r="H488" s="19" t="str">
        <f aca="false">IF(AND(Eingabe!$F$11&gt;0,Eingabe!$E$11&gt;=76),"10."&amp;Eingabe!$D$11&amp;".76.10 – 10."&amp;Eingabe!$D$11&amp;".76.250","")</f>
        <v/>
      </c>
      <c r="I488" s="19" t="str">
        <f aca="false">IF(AND(Eingabe!$F$11&gt;0,Eingabe!$E$11&gt;=76),Eingabe!$B$6&amp;"-"&amp;Eingabe!$C$11&amp;"-Pächter","")</f>
        <v/>
      </c>
      <c r="J488" s="19" t="str">
        <f aca="false">IF(AND(Eingabe!$F$11&gt;0,Eingabe!$E$11&gt;=76),"PPSK: Passwort Parzelle 76","")</f>
        <v/>
      </c>
      <c r="K488" s="19" t="str">
        <f aca="false">IF(AND(Eingabe!$F$11&gt;0,Eingabe!$E$11&gt;=76),"1. Gerät: 10."&amp;Eingabe!$D$11&amp;".76.10, 2. Gerät: .11","")</f>
        <v/>
      </c>
    </row>
    <row r="489" customFormat="false" ht="15" hidden="false" customHeight="false" outlineLevel="0" collapsed="false">
      <c r="A489" s="19" t="str">
        <f aca="false">IF(AND(Eingabe!$F$11&gt;0,Eingabe!$E$11&gt;=77),3,"")</f>
        <v/>
      </c>
      <c r="B489" s="19" t="str">
        <f aca="false">IF(AND(Eingabe!$F$11&gt;0,Eingabe!$E$11&gt;=77),Eingabe!$B$11,"")</f>
        <v/>
      </c>
      <c r="C489" s="19" t="str">
        <f aca="false">IF(AND(Eingabe!$F$11&gt;0,Eingabe!$E$11&gt;=77),Eingabe!$C$11&amp;"-Paz."&amp;TEXT(77,"000"),"")</f>
        <v/>
      </c>
      <c r="D489" s="19" t="str">
        <f aca="false">IF(AND(Eingabe!$F$11&gt;0,Eingabe!$E$11&gt;=77),77,"")</f>
        <v/>
      </c>
      <c r="E489" s="19" t="str">
        <f aca="false">IF(AND(Eingabe!$F$11&gt;0,Eingabe!$E$11&gt;=77),IF((Eingabe!$G$11)&lt;=9,1000+(Eingabe!$G$11)*100,3000)+77,"")</f>
        <v/>
      </c>
      <c r="F489" s="19" t="str">
        <f aca="false">IF(AND(Eingabe!$F$11&gt;0,Eingabe!$E$11&gt;=77),"10."&amp;Eingabe!$D$11&amp;".77.0/24","")</f>
        <v/>
      </c>
      <c r="G489" s="19" t="str">
        <f aca="false">IF(AND(Eingabe!$F$11&gt;0,Eingabe!$E$11&gt;=77),"10."&amp;Eingabe!$D$11&amp;".77.1","")</f>
        <v/>
      </c>
      <c r="H489" s="19" t="str">
        <f aca="false">IF(AND(Eingabe!$F$11&gt;0,Eingabe!$E$11&gt;=77),"10."&amp;Eingabe!$D$11&amp;".77.10 – 10."&amp;Eingabe!$D$11&amp;".77.250","")</f>
        <v/>
      </c>
      <c r="I489" s="19" t="str">
        <f aca="false">IF(AND(Eingabe!$F$11&gt;0,Eingabe!$E$11&gt;=77),Eingabe!$B$6&amp;"-"&amp;Eingabe!$C$11&amp;"-Pächter","")</f>
        <v/>
      </c>
      <c r="J489" s="19" t="str">
        <f aca="false">IF(AND(Eingabe!$F$11&gt;0,Eingabe!$E$11&gt;=77),"PPSK: Passwort Parzelle 77","")</f>
        <v/>
      </c>
      <c r="K489" s="19" t="str">
        <f aca="false">IF(AND(Eingabe!$F$11&gt;0,Eingabe!$E$11&gt;=77),"1. Gerät: 10."&amp;Eingabe!$D$11&amp;".77.10, 2. Gerät: .11","")</f>
        <v/>
      </c>
    </row>
    <row r="490" customFormat="false" ht="15" hidden="false" customHeight="false" outlineLevel="0" collapsed="false">
      <c r="A490" s="19" t="str">
        <f aca="false">IF(AND(Eingabe!$F$11&gt;0,Eingabe!$E$11&gt;=78),3,"")</f>
        <v/>
      </c>
      <c r="B490" s="19" t="str">
        <f aca="false">IF(AND(Eingabe!$F$11&gt;0,Eingabe!$E$11&gt;=78),Eingabe!$B$11,"")</f>
        <v/>
      </c>
      <c r="C490" s="19" t="str">
        <f aca="false">IF(AND(Eingabe!$F$11&gt;0,Eingabe!$E$11&gt;=78),Eingabe!$C$11&amp;"-Paz."&amp;TEXT(78,"000"),"")</f>
        <v/>
      </c>
      <c r="D490" s="19" t="str">
        <f aca="false">IF(AND(Eingabe!$F$11&gt;0,Eingabe!$E$11&gt;=78),78,"")</f>
        <v/>
      </c>
      <c r="E490" s="19" t="str">
        <f aca="false">IF(AND(Eingabe!$F$11&gt;0,Eingabe!$E$11&gt;=78),IF((Eingabe!$G$11)&lt;=9,1000+(Eingabe!$G$11)*100,3000)+78,"")</f>
        <v/>
      </c>
      <c r="F490" s="19" t="str">
        <f aca="false">IF(AND(Eingabe!$F$11&gt;0,Eingabe!$E$11&gt;=78),"10."&amp;Eingabe!$D$11&amp;".78.0/24","")</f>
        <v/>
      </c>
      <c r="G490" s="19" t="str">
        <f aca="false">IF(AND(Eingabe!$F$11&gt;0,Eingabe!$E$11&gt;=78),"10."&amp;Eingabe!$D$11&amp;".78.1","")</f>
        <v/>
      </c>
      <c r="H490" s="19" t="str">
        <f aca="false">IF(AND(Eingabe!$F$11&gt;0,Eingabe!$E$11&gt;=78),"10."&amp;Eingabe!$D$11&amp;".78.10 – 10."&amp;Eingabe!$D$11&amp;".78.250","")</f>
        <v/>
      </c>
      <c r="I490" s="19" t="str">
        <f aca="false">IF(AND(Eingabe!$F$11&gt;0,Eingabe!$E$11&gt;=78),Eingabe!$B$6&amp;"-"&amp;Eingabe!$C$11&amp;"-Pächter","")</f>
        <v/>
      </c>
      <c r="J490" s="19" t="str">
        <f aca="false">IF(AND(Eingabe!$F$11&gt;0,Eingabe!$E$11&gt;=78),"PPSK: Passwort Parzelle 78","")</f>
        <v/>
      </c>
      <c r="K490" s="19" t="str">
        <f aca="false">IF(AND(Eingabe!$F$11&gt;0,Eingabe!$E$11&gt;=78),"1. Gerät: 10."&amp;Eingabe!$D$11&amp;".78.10, 2. Gerät: .11","")</f>
        <v/>
      </c>
    </row>
    <row r="491" customFormat="false" ht="15" hidden="false" customHeight="false" outlineLevel="0" collapsed="false">
      <c r="A491" s="19" t="str">
        <f aca="false">IF(AND(Eingabe!$F$11&gt;0,Eingabe!$E$11&gt;=79),3,"")</f>
        <v/>
      </c>
      <c r="B491" s="19" t="str">
        <f aca="false">IF(AND(Eingabe!$F$11&gt;0,Eingabe!$E$11&gt;=79),Eingabe!$B$11,"")</f>
        <v/>
      </c>
      <c r="C491" s="19" t="str">
        <f aca="false">IF(AND(Eingabe!$F$11&gt;0,Eingabe!$E$11&gt;=79),Eingabe!$C$11&amp;"-Paz."&amp;TEXT(79,"000"),"")</f>
        <v/>
      </c>
      <c r="D491" s="19" t="str">
        <f aca="false">IF(AND(Eingabe!$F$11&gt;0,Eingabe!$E$11&gt;=79),79,"")</f>
        <v/>
      </c>
      <c r="E491" s="19" t="str">
        <f aca="false">IF(AND(Eingabe!$F$11&gt;0,Eingabe!$E$11&gt;=79),IF((Eingabe!$G$11)&lt;=9,1000+(Eingabe!$G$11)*100,3000)+79,"")</f>
        <v/>
      </c>
      <c r="F491" s="19" t="str">
        <f aca="false">IF(AND(Eingabe!$F$11&gt;0,Eingabe!$E$11&gt;=79),"10."&amp;Eingabe!$D$11&amp;".79.0/24","")</f>
        <v/>
      </c>
      <c r="G491" s="19" t="str">
        <f aca="false">IF(AND(Eingabe!$F$11&gt;0,Eingabe!$E$11&gt;=79),"10."&amp;Eingabe!$D$11&amp;".79.1","")</f>
        <v/>
      </c>
      <c r="H491" s="19" t="str">
        <f aca="false">IF(AND(Eingabe!$F$11&gt;0,Eingabe!$E$11&gt;=79),"10."&amp;Eingabe!$D$11&amp;".79.10 – 10."&amp;Eingabe!$D$11&amp;".79.250","")</f>
        <v/>
      </c>
      <c r="I491" s="19" t="str">
        <f aca="false">IF(AND(Eingabe!$F$11&gt;0,Eingabe!$E$11&gt;=79),Eingabe!$B$6&amp;"-"&amp;Eingabe!$C$11&amp;"-Pächter","")</f>
        <v/>
      </c>
      <c r="J491" s="19" t="str">
        <f aca="false">IF(AND(Eingabe!$F$11&gt;0,Eingabe!$E$11&gt;=79),"PPSK: Passwort Parzelle 79","")</f>
        <v/>
      </c>
      <c r="K491" s="19" t="str">
        <f aca="false">IF(AND(Eingabe!$F$11&gt;0,Eingabe!$E$11&gt;=79),"1. Gerät: 10."&amp;Eingabe!$D$11&amp;".79.10, 2. Gerät: .11","")</f>
        <v/>
      </c>
    </row>
    <row r="492" customFormat="false" ht="15" hidden="false" customHeight="false" outlineLevel="0" collapsed="false">
      <c r="A492" s="19" t="str">
        <f aca="false">IF(AND(Eingabe!$F$11&gt;0,Eingabe!$E$11&gt;=80),3,"")</f>
        <v/>
      </c>
      <c r="B492" s="19" t="str">
        <f aca="false">IF(AND(Eingabe!$F$11&gt;0,Eingabe!$E$11&gt;=80),Eingabe!$B$11,"")</f>
        <v/>
      </c>
      <c r="C492" s="19" t="str">
        <f aca="false">IF(AND(Eingabe!$F$11&gt;0,Eingabe!$E$11&gt;=80),Eingabe!$C$11&amp;"-Paz."&amp;TEXT(80,"000"),"")</f>
        <v/>
      </c>
      <c r="D492" s="19" t="str">
        <f aca="false">IF(AND(Eingabe!$F$11&gt;0,Eingabe!$E$11&gt;=80),80,"")</f>
        <v/>
      </c>
      <c r="E492" s="19" t="str">
        <f aca="false">IF(AND(Eingabe!$F$11&gt;0,Eingabe!$E$11&gt;=80),IF((Eingabe!$G$11)&lt;=9,1000+(Eingabe!$G$11)*100,3000)+80,"")</f>
        <v/>
      </c>
      <c r="F492" s="19" t="str">
        <f aca="false">IF(AND(Eingabe!$F$11&gt;0,Eingabe!$E$11&gt;=80),"10."&amp;Eingabe!$D$11&amp;".80.0/24","")</f>
        <v/>
      </c>
      <c r="G492" s="19" t="str">
        <f aca="false">IF(AND(Eingabe!$F$11&gt;0,Eingabe!$E$11&gt;=80),"10."&amp;Eingabe!$D$11&amp;".80.1","")</f>
        <v/>
      </c>
      <c r="H492" s="19" t="str">
        <f aca="false">IF(AND(Eingabe!$F$11&gt;0,Eingabe!$E$11&gt;=80),"10."&amp;Eingabe!$D$11&amp;".80.10 – 10."&amp;Eingabe!$D$11&amp;".80.250","")</f>
        <v/>
      </c>
      <c r="I492" s="19" t="str">
        <f aca="false">IF(AND(Eingabe!$F$11&gt;0,Eingabe!$E$11&gt;=80),Eingabe!$B$6&amp;"-"&amp;Eingabe!$C$11&amp;"-Pächter","")</f>
        <v/>
      </c>
      <c r="J492" s="19" t="str">
        <f aca="false">IF(AND(Eingabe!$F$11&gt;0,Eingabe!$E$11&gt;=80),"PPSK: Passwort Parzelle 80","")</f>
        <v/>
      </c>
      <c r="K492" s="19" t="str">
        <f aca="false">IF(AND(Eingabe!$F$11&gt;0,Eingabe!$E$11&gt;=80),"1. Gerät: 10."&amp;Eingabe!$D$11&amp;".80.10, 2. Gerät: .11","")</f>
        <v/>
      </c>
    </row>
    <row r="493" customFormat="false" ht="15" hidden="false" customHeight="false" outlineLevel="0" collapsed="false">
      <c r="A493" s="19" t="str">
        <f aca="false">IF(AND(Eingabe!$F$11&gt;0,Eingabe!$E$11&gt;=81),3,"")</f>
        <v/>
      </c>
      <c r="B493" s="19" t="str">
        <f aca="false">IF(AND(Eingabe!$F$11&gt;0,Eingabe!$E$11&gt;=81),Eingabe!$B$11,"")</f>
        <v/>
      </c>
      <c r="C493" s="19" t="str">
        <f aca="false">IF(AND(Eingabe!$F$11&gt;0,Eingabe!$E$11&gt;=81),Eingabe!$C$11&amp;"-Paz."&amp;TEXT(81,"000"),"")</f>
        <v/>
      </c>
      <c r="D493" s="19" t="str">
        <f aca="false">IF(AND(Eingabe!$F$11&gt;0,Eingabe!$E$11&gt;=81),81,"")</f>
        <v/>
      </c>
      <c r="E493" s="19" t="str">
        <f aca="false">IF(AND(Eingabe!$F$11&gt;0,Eingabe!$E$11&gt;=81),IF((Eingabe!$G$11)&lt;=9,1000+(Eingabe!$G$11)*100,3000)+81,"")</f>
        <v/>
      </c>
      <c r="F493" s="19" t="str">
        <f aca="false">IF(AND(Eingabe!$F$11&gt;0,Eingabe!$E$11&gt;=81),"10."&amp;Eingabe!$D$11&amp;".81.0/24","")</f>
        <v/>
      </c>
      <c r="G493" s="19" t="str">
        <f aca="false">IF(AND(Eingabe!$F$11&gt;0,Eingabe!$E$11&gt;=81),"10."&amp;Eingabe!$D$11&amp;".81.1","")</f>
        <v/>
      </c>
      <c r="H493" s="19" t="str">
        <f aca="false">IF(AND(Eingabe!$F$11&gt;0,Eingabe!$E$11&gt;=81),"10."&amp;Eingabe!$D$11&amp;".81.10 – 10."&amp;Eingabe!$D$11&amp;".81.250","")</f>
        <v/>
      </c>
      <c r="I493" s="19" t="str">
        <f aca="false">IF(AND(Eingabe!$F$11&gt;0,Eingabe!$E$11&gt;=81),Eingabe!$B$6&amp;"-"&amp;Eingabe!$C$11&amp;"-Pächter","")</f>
        <v/>
      </c>
      <c r="J493" s="19" t="str">
        <f aca="false">IF(AND(Eingabe!$F$11&gt;0,Eingabe!$E$11&gt;=81),"PPSK: Passwort Parzelle 81","")</f>
        <v/>
      </c>
      <c r="K493" s="19" t="str">
        <f aca="false">IF(AND(Eingabe!$F$11&gt;0,Eingabe!$E$11&gt;=81),"1. Gerät: 10."&amp;Eingabe!$D$11&amp;".81.10, 2. Gerät: .11","")</f>
        <v/>
      </c>
    </row>
    <row r="494" customFormat="false" ht="15" hidden="false" customHeight="false" outlineLevel="0" collapsed="false">
      <c r="A494" s="19" t="str">
        <f aca="false">IF(AND(Eingabe!$F$11&gt;0,Eingabe!$E$11&gt;=82),3,"")</f>
        <v/>
      </c>
      <c r="B494" s="19" t="str">
        <f aca="false">IF(AND(Eingabe!$F$11&gt;0,Eingabe!$E$11&gt;=82),Eingabe!$B$11,"")</f>
        <v/>
      </c>
      <c r="C494" s="19" t="str">
        <f aca="false">IF(AND(Eingabe!$F$11&gt;0,Eingabe!$E$11&gt;=82),Eingabe!$C$11&amp;"-Paz."&amp;TEXT(82,"000"),"")</f>
        <v/>
      </c>
      <c r="D494" s="19" t="str">
        <f aca="false">IF(AND(Eingabe!$F$11&gt;0,Eingabe!$E$11&gt;=82),82,"")</f>
        <v/>
      </c>
      <c r="E494" s="19" t="str">
        <f aca="false">IF(AND(Eingabe!$F$11&gt;0,Eingabe!$E$11&gt;=82),IF((Eingabe!$G$11)&lt;=9,1000+(Eingabe!$G$11)*100,3000)+82,"")</f>
        <v/>
      </c>
      <c r="F494" s="19" t="str">
        <f aca="false">IF(AND(Eingabe!$F$11&gt;0,Eingabe!$E$11&gt;=82),"10."&amp;Eingabe!$D$11&amp;".82.0/24","")</f>
        <v/>
      </c>
      <c r="G494" s="19" t="str">
        <f aca="false">IF(AND(Eingabe!$F$11&gt;0,Eingabe!$E$11&gt;=82),"10."&amp;Eingabe!$D$11&amp;".82.1","")</f>
        <v/>
      </c>
      <c r="H494" s="19" t="str">
        <f aca="false">IF(AND(Eingabe!$F$11&gt;0,Eingabe!$E$11&gt;=82),"10."&amp;Eingabe!$D$11&amp;".82.10 – 10."&amp;Eingabe!$D$11&amp;".82.250","")</f>
        <v/>
      </c>
      <c r="I494" s="19" t="str">
        <f aca="false">IF(AND(Eingabe!$F$11&gt;0,Eingabe!$E$11&gt;=82),Eingabe!$B$6&amp;"-"&amp;Eingabe!$C$11&amp;"-Pächter","")</f>
        <v/>
      </c>
      <c r="J494" s="19" t="str">
        <f aca="false">IF(AND(Eingabe!$F$11&gt;0,Eingabe!$E$11&gt;=82),"PPSK: Passwort Parzelle 82","")</f>
        <v/>
      </c>
      <c r="K494" s="19" t="str">
        <f aca="false">IF(AND(Eingabe!$F$11&gt;0,Eingabe!$E$11&gt;=82),"1. Gerät: 10."&amp;Eingabe!$D$11&amp;".82.10, 2. Gerät: .11","")</f>
        <v/>
      </c>
    </row>
    <row r="495" customFormat="false" ht="15" hidden="false" customHeight="false" outlineLevel="0" collapsed="false">
      <c r="A495" s="19" t="str">
        <f aca="false">IF(AND(Eingabe!$F$11&gt;0,Eingabe!$E$11&gt;=83),3,"")</f>
        <v/>
      </c>
      <c r="B495" s="19" t="str">
        <f aca="false">IF(AND(Eingabe!$F$11&gt;0,Eingabe!$E$11&gt;=83),Eingabe!$B$11,"")</f>
        <v/>
      </c>
      <c r="C495" s="19" t="str">
        <f aca="false">IF(AND(Eingabe!$F$11&gt;0,Eingabe!$E$11&gt;=83),Eingabe!$C$11&amp;"-Paz."&amp;TEXT(83,"000"),"")</f>
        <v/>
      </c>
      <c r="D495" s="19" t="str">
        <f aca="false">IF(AND(Eingabe!$F$11&gt;0,Eingabe!$E$11&gt;=83),83,"")</f>
        <v/>
      </c>
      <c r="E495" s="19" t="str">
        <f aca="false">IF(AND(Eingabe!$F$11&gt;0,Eingabe!$E$11&gt;=83),IF((Eingabe!$G$11)&lt;=9,1000+(Eingabe!$G$11)*100,3000)+83,"")</f>
        <v/>
      </c>
      <c r="F495" s="19" t="str">
        <f aca="false">IF(AND(Eingabe!$F$11&gt;0,Eingabe!$E$11&gt;=83),"10."&amp;Eingabe!$D$11&amp;".83.0/24","")</f>
        <v/>
      </c>
      <c r="G495" s="19" t="str">
        <f aca="false">IF(AND(Eingabe!$F$11&gt;0,Eingabe!$E$11&gt;=83),"10."&amp;Eingabe!$D$11&amp;".83.1","")</f>
        <v/>
      </c>
      <c r="H495" s="19" t="str">
        <f aca="false">IF(AND(Eingabe!$F$11&gt;0,Eingabe!$E$11&gt;=83),"10."&amp;Eingabe!$D$11&amp;".83.10 – 10."&amp;Eingabe!$D$11&amp;".83.250","")</f>
        <v/>
      </c>
      <c r="I495" s="19" t="str">
        <f aca="false">IF(AND(Eingabe!$F$11&gt;0,Eingabe!$E$11&gt;=83),Eingabe!$B$6&amp;"-"&amp;Eingabe!$C$11&amp;"-Pächter","")</f>
        <v/>
      </c>
      <c r="J495" s="19" t="str">
        <f aca="false">IF(AND(Eingabe!$F$11&gt;0,Eingabe!$E$11&gt;=83),"PPSK: Passwort Parzelle 83","")</f>
        <v/>
      </c>
      <c r="K495" s="19" t="str">
        <f aca="false">IF(AND(Eingabe!$F$11&gt;0,Eingabe!$E$11&gt;=83),"1. Gerät: 10."&amp;Eingabe!$D$11&amp;".83.10, 2. Gerät: .11","")</f>
        <v/>
      </c>
    </row>
    <row r="496" customFormat="false" ht="15" hidden="false" customHeight="false" outlineLevel="0" collapsed="false">
      <c r="A496" s="19" t="str">
        <f aca="false">IF(AND(Eingabe!$F$11&gt;0,Eingabe!$E$11&gt;=84),3,"")</f>
        <v/>
      </c>
      <c r="B496" s="19" t="str">
        <f aca="false">IF(AND(Eingabe!$F$11&gt;0,Eingabe!$E$11&gt;=84),Eingabe!$B$11,"")</f>
        <v/>
      </c>
      <c r="C496" s="19" t="str">
        <f aca="false">IF(AND(Eingabe!$F$11&gt;0,Eingabe!$E$11&gt;=84),Eingabe!$C$11&amp;"-Paz."&amp;TEXT(84,"000"),"")</f>
        <v/>
      </c>
      <c r="D496" s="19" t="str">
        <f aca="false">IF(AND(Eingabe!$F$11&gt;0,Eingabe!$E$11&gt;=84),84,"")</f>
        <v/>
      </c>
      <c r="E496" s="19" t="str">
        <f aca="false">IF(AND(Eingabe!$F$11&gt;0,Eingabe!$E$11&gt;=84),IF((Eingabe!$G$11)&lt;=9,1000+(Eingabe!$G$11)*100,3000)+84,"")</f>
        <v/>
      </c>
      <c r="F496" s="19" t="str">
        <f aca="false">IF(AND(Eingabe!$F$11&gt;0,Eingabe!$E$11&gt;=84),"10."&amp;Eingabe!$D$11&amp;".84.0/24","")</f>
        <v/>
      </c>
      <c r="G496" s="19" t="str">
        <f aca="false">IF(AND(Eingabe!$F$11&gt;0,Eingabe!$E$11&gt;=84),"10."&amp;Eingabe!$D$11&amp;".84.1","")</f>
        <v/>
      </c>
      <c r="H496" s="19" t="str">
        <f aca="false">IF(AND(Eingabe!$F$11&gt;0,Eingabe!$E$11&gt;=84),"10."&amp;Eingabe!$D$11&amp;".84.10 – 10."&amp;Eingabe!$D$11&amp;".84.250","")</f>
        <v/>
      </c>
      <c r="I496" s="19" t="str">
        <f aca="false">IF(AND(Eingabe!$F$11&gt;0,Eingabe!$E$11&gt;=84),Eingabe!$B$6&amp;"-"&amp;Eingabe!$C$11&amp;"-Pächter","")</f>
        <v/>
      </c>
      <c r="J496" s="19" t="str">
        <f aca="false">IF(AND(Eingabe!$F$11&gt;0,Eingabe!$E$11&gt;=84),"PPSK: Passwort Parzelle 84","")</f>
        <v/>
      </c>
      <c r="K496" s="19" t="str">
        <f aca="false">IF(AND(Eingabe!$F$11&gt;0,Eingabe!$E$11&gt;=84),"1. Gerät: 10."&amp;Eingabe!$D$11&amp;".84.10, 2. Gerät: .11","")</f>
        <v/>
      </c>
    </row>
    <row r="497" customFormat="false" ht="15" hidden="false" customHeight="false" outlineLevel="0" collapsed="false">
      <c r="A497" s="19" t="str">
        <f aca="false">IF(AND(Eingabe!$F$11&gt;0,Eingabe!$E$11&gt;=85),3,"")</f>
        <v/>
      </c>
      <c r="B497" s="19" t="str">
        <f aca="false">IF(AND(Eingabe!$F$11&gt;0,Eingabe!$E$11&gt;=85),Eingabe!$B$11,"")</f>
        <v/>
      </c>
      <c r="C497" s="19" t="str">
        <f aca="false">IF(AND(Eingabe!$F$11&gt;0,Eingabe!$E$11&gt;=85),Eingabe!$C$11&amp;"-Paz."&amp;TEXT(85,"000"),"")</f>
        <v/>
      </c>
      <c r="D497" s="19" t="str">
        <f aca="false">IF(AND(Eingabe!$F$11&gt;0,Eingabe!$E$11&gt;=85),85,"")</f>
        <v/>
      </c>
      <c r="E497" s="19" t="str">
        <f aca="false">IF(AND(Eingabe!$F$11&gt;0,Eingabe!$E$11&gt;=85),IF((Eingabe!$G$11)&lt;=9,1000+(Eingabe!$G$11)*100,3000)+85,"")</f>
        <v/>
      </c>
      <c r="F497" s="19" t="str">
        <f aca="false">IF(AND(Eingabe!$F$11&gt;0,Eingabe!$E$11&gt;=85),"10."&amp;Eingabe!$D$11&amp;".85.0/24","")</f>
        <v/>
      </c>
      <c r="G497" s="19" t="str">
        <f aca="false">IF(AND(Eingabe!$F$11&gt;0,Eingabe!$E$11&gt;=85),"10."&amp;Eingabe!$D$11&amp;".85.1","")</f>
        <v/>
      </c>
      <c r="H497" s="19" t="str">
        <f aca="false">IF(AND(Eingabe!$F$11&gt;0,Eingabe!$E$11&gt;=85),"10."&amp;Eingabe!$D$11&amp;".85.10 – 10."&amp;Eingabe!$D$11&amp;".85.250","")</f>
        <v/>
      </c>
      <c r="I497" s="19" t="str">
        <f aca="false">IF(AND(Eingabe!$F$11&gt;0,Eingabe!$E$11&gt;=85),Eingabe!$B$6&amp;"-"&amp;Eingabe!$C$11&amp;"-Pächter","")</f>
        <v/>
      </c>
      <c r="J497" s="19" t="str">
        <f aca="false">IF(AND(Eingabe!$F$11&gt;0,Eingabe!$E$11&gt;=85),"PPSK: Passwort Parzelle 85","")</f>
        <v/>
      </c>
      <c r="K497" s="19" t="str">
        <f aca="false">IF(AND(Eingabe!$F$11&gt;0,Eingabe!$E$11&gt;=85),"1. Gerät: 10."&amp;Eingabe!$D$11&amp;".85.10, 2. Gerät: .11","")</f>
        <v/>
      </c>
    </row>
    <row r="498" customFormat="false" ht="15" hidden="false" customHeight="false" outlineLevel="0" collapsed="false">
      <c r="A498" s="19" t="str">
        <f aca="false">IF(AND(Eingabe!$F$11&gt;0,Eingabe!$E$11&gt;=86),3,"")</f>
        <v/>
      </c>
      <c r="B498" s="19" t="str">
        <f aca="false">IF(AND(Eingabe!$F$11&gt;0,Eingabe!$E$11&gt;=86),Eingabe!$B$11,"")</f>
        <v/>
      </c>
      <c r="C498" s="19" t="str">
        <f aca="false">IF(AND(Eingabe!$F$11&gt;0,Eingabe!$E$11&gt;=86),Eingabe!$C$11&amp;"-Paz."&amp;TEXT(86,"000"),"")</f>
        <v/>
      </c>
      <c r="D498" s="19" t="str">
        <f aca="false">IF(AND(Eingabe!$F$11&gt;0,Eingabe!$E$11&gt;=86),86,"")</f>
        <v/>
      </c>
      <c r="E498" s="19" t="str">
        <f aca="false">IF(AND(Eingabe!$F$11&gt;0,Eingabe!$E$11&gt;=86),IF((Eingabe!$G$11)&lt;=9,1000+(Eingabe!$G$11)*100,3000)+86,"")</f>
        <v/>
      </c>
      <c r="F498" s="19" t="str">
        <f aca="false">IF(AND(Eingabe!$F$11&gt;0,Eingabe!$E$11&gt;=86),"10."&amp;Eingabe!$D$11&amp;".86.0/24","")</f>
        <v/>
      </c>
      <c r="G498" s="19" t="str">
        <f aca="false">IF(AND(Eingabe!$F$11&gt;0,Eingabe!$E$11&gt;=86),"10."&amp;Eingabe!$D$11&amp;".86.1","")</f>
        <v/>
      </c>
      <c r="H498" s="19" t="str">
        <f aca="false">IF(AND(Eingabe!$F$11&gt;0,Eingabe!$E$11&gt;=86),"10."&amp;Eingabe!$D$11&amp;".86.10 – 10."&amp;Eingabe!$D$11&amp;".86.250","")</f>
        <v/>
      </c>
      <c r="I498" s="19" t="str">
        <f aca="false">IF(AND(Eingabe!$F$11&gt;0,Eingabe!$E$11&gt;=86),Eingabe!$B$6&amp;"-"&amp;Eingabe!$C$11&amp;"-Pächter","")</f>
        <v/>
      </c>
      <c r="J498" s="19" t="str">
        <f aca="false">IF(AND(Eingabe!$F$11&gt;0,Eingabe!$E$11&gt;=86),"PPSK: Passwort Parzelle 86","")</f>
        <v/>
      </c>
      <c r="K498" s="19" t="str">
        <f aca="false">IF(AND(Eingabe!$F$11&gt;0,Eingabe!$E$11&gt;=86),"1. Gerät: 10."&amp;Eingabe!$D$11&amp;".86.10, 2. Gerät: .11","")</f>
        <v/>
      </c>
    </row>
    <row r="499" customFormat="false" ht="15" hidden="false" customHeight="false" outlineLevel="0" collapsed="false">
      <c r="A499" s="19" t="str">
        <f aca="false">IF(AND(Eingabe!$F$11&gt;0,Eingabe!$E$11&gt;=87),3,"")</f>
        <v/>
      </c>
      <c r="B499" s="19" t="str">
        <f aca="false">IF(AND(Eingabe!$F$11&gt;0,Eingabe!$E$11&gt;=87),Eingabe!$B$11,"")</f>
        <v/>
      </c>
      <c r="C499" s="19" t="str">
        <f aca="false">IF(AND(Eingabe!$F$11&gt;0,Eingabe!$E$11&gt;=87),Eingabe!$C$11&amp;"-Paz."&amp;TEXT(87,"000"),"")</f>
        <v/>
      </c>
      <c r="D499" s="19" t="str">
        <f aca="false">IF(AND(Eingabe!$F$11&gt;0,Eingabe!$E$11&gt;=87),87,"")</f>
        <v/>
      </c>
      <c r="E499" s="19" t="str">
        <f aca="false">IF(AND(Eingabe!$F$11&gt;0,Eingabe!$E$11&gt;=87),IF((Eingabe!$G$11)&lt;=9,1000+(Eingabe!$G$11)*100,3000)+87,"")</f>
        <v/>
      </c>
      <c r="F499" s="19" t="str">
        <f aca="false">IF(AND(Eingabe!$F$11&gt;0,Eingabe!$E$11&gt;=87),"10."&amp;Eingabe!$D$11&amp;".87.0/24","")</f>
        <v/>
      </c>
      <c r="G499" s="19" t="str">
        <f aca="false">IF(AND(Eingabe!$F$11&gt;0,Eingabe!$E$11&gt;=87),"10."&amp;Eingabe!$D$11&amp;".87.1","")</f>
        <v/>
      </c>
      <c r="H499" s="19" t="str">
        <f aca="false">IF(AND(Eingabe!$F$11&gt;0,Eingabe!$E$11&gt;=87),"10."&amp;Eingabe!$D$11&amp;".87.10 – 10."&amp;Eingabe!$D$11&amp;".87.250","")</f>
        <v/>
      </c>
      <c r="I499" s="19" t="str">
        <f aca="false">IF(AND(Eingabe!$F$11&gt;0,Eingabe!$E$11&gt;=87),Eingabe!$B$6&amp;"-"&amp;Eingabe!$C$11&amp;"-Pächter","")</f>
        <v/>
      </c>
      <c r="J499" s="19" t="str">
        <f aca="false">IF(AND(Eingabe!$F$11&gt;0,Eingabe!$E$11&gt;=87),"PPSK: Passwort Parzelle 87","")</f>
        <v/>
      </c>
      <c r="K499" s="19" t="str">
        <f aca="false">IF(AND(Eingabe!$F$11&gt;0,Eingabe!$E$11&gt;=87),"1. Gerät: 10."&amp;Eingabe!$D$11&amp;".87.10, 2. Gerät: .11","")</f>
        <v/>
      </c>
    </row>
    <row r="500" customFormat="false" ht="15" hidden="false" customHeight="false" outlineLevel="0" collapsed="false">
      <c r="A500" s="19" t="str">
        <f aca="false">IF(AND(Eingabe!$F$11&gt;0,Eingabe!$E$11&gt;=88),3,"")</f>
        <v/>
      </c>
      <c r="B500" s="19" t="str">
        <f aca="false">IF(AND(Eingabe!$F$11&gt;0,Eingabe!$E$11&gt;=88),Eingabe!$B$11,"")</f>
        <v/>
      </c>
      <c r="C500" s="19" t="str">
        <f aca="false">IF(AND(Eingabe!$F$11&gt;0,Eingabe!$E$11&gt;=88),Eingabe!$C$11&amp;"-Paz."&amp;TEXT(88,"000"),"")</f>
        <v/>
      </c>
      <c r="D500" s="19" t="str">
        <f aca="false">IF(AND(Eingabe!$F$11&gt;0,Eingabe!$E$11&gt;=88),88,"")</f>
        <v/>
      </c>
      <c r="E500" s="19" t="str">
        <f aca="false">IF(AND(Eingabe!$F$11&gt;0,Eingabe!$E$11&gt;=88),IF((Eingabe!$G$11)&lt;=9,1000+(Eingabe!$G$11)*100,3000)+88,"")</f>
        <v/>
      </c>
      <c r="F500" s="19" t="str">
        <f aca="false">IF(AND(Eingabe!$F$11&gt;0,Eingabe!$E$11&gt;=88),"10."&amp;Eingabe!$D$11&amp;".88.0/24","")</f>
        <v/>
      </c>
      <c r="G500" s="19" t="str">
        <f aca="false">IF(AND(Eingabe!$F$11&gt;0,Eingabe!$E$11&gt;=88),"10."&amp;Eingabe!$D$11&amp;".88.1","")</f>
        <v/>
      </c>
      <c r="H500" s="19" t="str">
        <f aca="false">IF(AND(Eingabe!$F$11&gt;0,Eingabe!$E$11&gt;=88),"10."&amp;Eingabe!$D$11&amp;".88.10 – 10."&amp;Eingabe!$D$11&amp;".88.250","")</f>
        <v/>
      </c>
      <c r="I500" s="19" t="str">
        <f aca="false">IF(AND(Eingabe!$F$11&gt;0,Eingabe!$E$11&gt;=88),Eingabe!$B$6&amp;"-"&amp;Eingabe!$C$11&amp;"-Pächter","")</f>
        <v/>
      </c>
      <c r="J500" s="19" t="str">
        <f aca="false">IF(AND(Eingabe!$F$11&gt;0,Eingabe!$E$11&gt;=88),"PPSK: Passwort Parzelle 88","")</f>
        <v/>
      </c>
      <c r="K500" s="19" t="str">
        <f aca="false">IF(AND(Eingabe!$F$11&gt;0,Eingabe!$E$11&gt;=88),"1. Gerät: 10."&amp;Eingabe!$D$11&amp;".88.10, 2. Gerät: .11","")</f>
        <v/>
      </c>
    </row>
    <row r="501" customFormat="false" ht="15" hidden="false" customHeight="false" outlineLevel="0" collapsed="false">
      <c r="A501" s="19" t="str">
        <f aca="false">IF(AND(Eingabe!$F$11&gt;0,Eingabe!$E$11&gt;=89),3,"")</f>
        <v/>
      </c>
      <c r="B501" s="19" t="str">
        <f aca="false">IF(AND(Eingabe!$F$11&gt;0,Eingabe!$E$11&gt;=89),Eingabe!$B$11,"")</f>
        <v/>
      </c>
      <c r="C501" s="19" t="str">
        <f aca="false">IF(AND(Eingabe!$F$11&gt;0,Eingabe!$E$11&gt;=89),Eingabe!$C$11&amp;"-Paz."&amp;TEXT(89,"000"),"")</f>
        <v/>
      </c>
      <c r="D501" s="19" t="str">
        <f aca="false">IF(AND(Eingabe!$F$11&gt;0,Eingabe!$E$11&gt;=89),89,"")</f>
        <v/>
      </c>
      <c r="E501" s="19" t="str">
        <f aca="false">IF(AND(Eingabe!$F$11&gt;0,Eingabe!$E$11&gt;=89),IF((Eingabe!$G$11)&lt;=9,1000+(Eingabe!$G$11)*100,3000)+89,"")</f>
        <v/>
      </c>
      <c r="F501" s="19" t="str">
        <f aca="false">IF(AND(Eingabe!$F$11&gt;0,Eingabe!$E$11&gt;=89),"10."&amp;Eingabe!$D$11&amp;".89.0/24","")</f>
        <v/>
      </c>
      <c r="G501" s="19" t="str">
        <f aca="false">IF(AND(Eingabe!$F$11&gt;0,Eingabe!$E$11&gt;=89),"10."&amp;Eingabe!$D$11&amp;".89.1","")</f>
        <v/>
      </c>
      <c r="H501" s="19" t="str">
        <f aca="false">IF(AND(Eingabe!$F$11&gt;0,Eingabe!$E$11&gt;=89),"10."&amp;Eingabe!$D$11&amp;".89.10 – 10."&amp;Eingabe!$D$11&amp;".89.250","")</f>
        <v/>
      </c>
      <c r="I501" s="19" t="str">
        <f aca="false">IF(AND(Eingabe!$F$11&gt;0,Eingabe!$E$11&gt;=89),Eingabe!$B$6&amp;"-"&amp;Eingabe!$C$11&amp;"-Pächter","")</f>
        <v/>
      </c>
      <c r="J501" s="19" t="str">
        <f aca="false">IF(AND(Eingabe!$F$11&gt;0,Eingabe!$E$11&gt;=89),"PPSK: Passwort Parzelle 89","")</f>
        <v/>
      </c>
      <c r="K501" s="19" t="str">
        <f aca="false">IF(AND(Eingabe!$F$11&gt;0,Eingabe!$E$11&gt;=89),"1. Gerät: 10."&amp;Eingabe!$D$11&amp;".89.10, 2. Gerät: .11","")</f>
        <v/>
      </c>
    </row>
    <row r="502" customFormat="false" ht="15" hidden="false" customHeight="false" outlineLevel="0" collapsed="false">
      <c r="A502" s="19" t="str">
        <f aca="false">IF(AND(Eingabe!$F$11&gt;0,Eingabe!$E$11&gt;=90),3,"")</f>
        <v/>
      </c>
      <c r="B502" s="19" t="str">
        <f aca="false">IF(AND(Eingabe!$F$11&gt;0,Eingabe!$E$11&gt;=90),Eingabe!$B$11,"")</f>
        <v/>
      </c>
      <c r="C502" s="19" t="str">
        <f aca="false">IF(AND(Eingabe!$F$11&gt;0,Eingabe!$E$11&gt;=90),Eingabe!$C$11&amp;"-Paz."&amp;TEXT(90,"000"),"")</f>
        <v/>
      </c>
      <c r="D502" s="19" t="str">
        <f aca="false">IF(AND(Eingabe!$F$11&gt;0,Eingabe!$E$11&gt;=90),90,"")</f>
        <v/>
      </c>
      <c r="E502" s="19" t="str">
        <f aca="false">IF(AND(Eingabe!$F$11&gt;0,Eingabe!$E$11&gt;=90),IF((Eingabe!$G$11)&lt;=9,1000+(Eingabe!$G$11)*100,3000)+90,"")</f>
        <v/>
      </c>
      <c r="F502" s="19" t="str">
        <f aca="false">IF(AND(Eingabe!$F$11&gt;0,Eingabe!$E$11&gt;=90),"10."&amp;Eingabe!$D$11&amp;".90.0/24","")</f>
        <v/>
      </c>
      <c r="G502" s="19" t="str">
        <f aca="false">IF(AND(Eingabe!$F$11&gt;0,Eingabe!$E$11&gt;=90),"10."&amp;Eingabe!$D$11&amp;".90.1","")</f>
        <v/>
      </c>
      <c r="H502" s="19" t="str">
        <f aca="false">IF(AND(Eingabe!$F$11&gt;0,Eingabe!$E$11&gt;=90),"10."&amp;Eingabe!$D$11&amp;".90.10 – 10."&amp;Eingabe!$D$11&amp;".90.250","")</f>
        <v/>
      </c>
      <c r="I502" s="19" t="str">
        <f aca="false">IF(AND(Eingabe!$F$11&gt;0,Eingabe!$E$11&gt;=90),Eingabe!$B$6&amp;"-"&amp;Eingabe!$C$11&amp;"-Pächter","")</f>
        <v/>
      </c>
      <c r="J502" s="19" t="str">
        <f aca="false">IF(AND(Eingabe!$F$11&gt;0,Eingabe!$E$11&gt;=90),"PPSK: Passwort Parzelle 90","")</f>
        <v/>
      </c>
      <c r="K502" s="19" t="str">
        <f aca="false">IF(AND(Eingabe!$F$11&gt;0,Eingabe!$E$11&gt;=90),"1. Gerät: 10."&amp;Eingabe!$D$11&amp;".90.10, 2. Gerät: .11","")</f>
        <v/>
      </c>
    </row>
    <row r="503" customFormat="false" ht="15" hidden="false" customHeight="false" outlineLevel="0" collapsed="false">
      <c r="A503" s="19" t="str">
        <f aca="false">IF(AND(Eingabe!$F$11&gt;0,Eingabe!$E$11&gt;=91),3,"")</f>
        <v/>
      </c>
      <c r="B503" s="19" t="str">
        <f aca="false">IF(AND(Eingabe!$F$11&gt;0,Eingabe!$E$11&gt;=91),Eingabe!$B$11,"")</f>
        <v/>
      </c>
      <c r="C503" s="19" t="str">
        <f aca="false">IF(AND(Eingabe!$F$11&gt;0,Eingabe!$E$11&gt;=91),Eingabe!$C$11&amp;"-Paz."&amp;TEXT(91,"000"),"")</f>
        <v/>
      </c>
      <c r="D503" s="19" t="str">
        <f aca="false">IF(AND(Eingabe!$F$11&gt;0,Eingabe!$E$11&gt;=91),91,"")</f>
        <v/>
      </c>
      <c r="E503" s="19" t="str">
        <f aca="false">IF(AND(Eingabe!$F$11&gt;0,Eingabe!$E$11&gt;=91),IF((Eingabe!$G$11)&lt;=9,1000+(Eingabe!$G$11)*100,3000)+91,"")</f>
        <v/>
      </c>
      <c r="F503" s="19" t="str">
        <f aca="false">IF(AND(Eingabe!$F$11&gt;0,Eingabe!$E$11&gt;=91),"10."&amp;Eingabe!$D$11&amp;".91.0/24","")</f>
        <v/>
      </c>
      <c r="G503" s="19" t="str">
        <f aca="false">IF(AND(Eingabe!$F$11&gt;0,Eingabe!$E$11&gt;=91),"10."&amp;Eingabe!$D$11&amp;".91.1","")</f>
        <v/>
      </c>
      <c r="H503" s="19" t="str">
        <f aca="false">IF(AND(Eingabe!$F$11&gt;0,Eingabe!$E$11&gt;=91),"10."&amp;Eingabe!$D$11&amp;".91.10 – 10."&amp;Eingabe!$D$11&amp;".91.250","")</f>
        <v/>
      </c>
      <c r="I503" s="19" t="str">
        <f aca="false">IF(AND(Eingabe!$F$11&gt;0,Eingabe!$E$11&gt;=91),Eingabe!$B$6&amp;"-"&amp;Eingabe!$C$11&amp;"-Pächter","")</f>
        <v/>
      </c>
      <c r="J503" s="19" t="str">
        <f aca="false">IF(AND(Eingabe!$F$11&gt;0,Eingabe!$E$11&gt;=91),"PPSK: Passwort Parzelle 91","")</f>
        <v/>
      </c>
      <c r="K503" s="19" t="str">
        <f aca="false">IF(AND(Eingabe!$F$11&gt;0,Eingabe!$E$11&gt;=91),"1. Gerät: 10."&amp;Eingabe!$D$11&amp;".91.10, 2. Gerät: .11","")</f>
        <v/>
      </c>
    </row>
    <row r="504" customFormat="false" ht="15" hidden="false" customHeight="false" outlineLevel="0" collapsed="false">
      <c r="A504" s="19" t="str">
        <f aca="false">IF(AND(Eingabe!$F$11&gt;0,Eingabe!$E$11&gt;=92),3,"")</f>
        <v/>
      </c>
      <c r="B504" s="19" t="str">
        <f aca="false">IF(AND(Eingabe!$F$11&gt;0,Eingabe!$E$11&gt;=92),Eingabe!$B$11,"")</f>
        <v/>
      </c>
      <c r="C504" s="19" t="str">
        <f aca="false">IF(AND(Eingabe!$F$11&gt;0,Eingabe!$E$11&gt;=92),Eingabe!$C$11&amp;"-Paz."&amp;TEXT(92,"000"),"")</f>
        <v/>
      </c>
      <c r="D504" s="19" t="str">
        <f aca="false">IF(AND(Eingabe!$F$11&gt;0,Eingabe!$E$11&gt;=92),92,"")</f>
        <v/>
      </c>
      <c r="E504" s="19" t="str">
        <f aca="false">IF(AND(Eingabe!$F$11&gt;0,Eingabe!$E$11&gt;=92),IF((Eingabe!$G$11)&lt;=9,1000+(Eingabe!$G$11)*100,3000)+92,"")</f>
        <v/>
      </c>
      <c r="F504" s="19" t="str">
        <f aca="false">IF(AND(Eingabe!$F$11&gt;0,Eingabe!$E$11&gt;=92),"10."&amp;Eingabe!$D$11&amp;".92.0/24","")</f>
        <v/>
      </c>
      <c r="G504" s="19" t="str">
        <f aca="false">IF(AND(Eingabe!$F$11&gt;0,Eingabe!$E$11&gt;=92),"10."&amp;Eingabe!$D$11&amp;".92.1","")</f>
        <v/>
      </c>
      <c r="H504" s="19" t="str">
        <f aca="false">IF(AND(Eingabe!$F$11&gt;0,Eingabe!$E$11&gt;=92),"10."&amp;Eingabe!$D$11&amp;".92.10 – 10."&amp;Eingabe!$D$11&amp;".92.250","")</f>
        <v/>
      </c>
      <c r="I504" s="19" t="str">
        <f aca="false">IF(AND(Eingabe!$F$11&gt;0,Eingabe!$E$11&gt;=92),Eingabe!$B$6&amp;"-"&amp;Eingabe!$C$11&amp;"-Pächter","")</f>
        <v/>
      </c>
      <c r="J504" s="19" t="str">
        <f aca="false">IF(AND(Eingabe!$F$11&gt;0,Eingabe!$E$11&gt;=92),"PPSK: Passwort Parzelle 92","")</f>
        <v/>
      </c>
      <c r="K504" s="19" t="str">
        <f aca="false">IF(AND(Eingabe!$F$11&gt;0,Eingabe!$E$11&gt;=92),"1. Gerät: 10."&amp;Eingabe!$D$11&amp;".92.10, 2. Gerät: .11","")</f>
        <v/>
      </c>
    </row>
    <row r="505" customFormat="false" ht="15" hidden="false" customHeight="false" outlineLevel="0" collapsed="false">
      <c r="A505" s="19" t="str">
        <f aca="false">IF(AND(Eingabe!$F$11&gt;0,Eingabe!$E$11&gt;=93),3,"")</f>
        <v/>
      </c>
      <c r="B505" s="19" t="str">
        <f aca="false">IF(AND(Eingabe!$F$11&gt;0,Eingabe!$E$11&gt;=93),Eingabe!$B$11,"")</f>
        <v/>
      </c>
      <c r="C505" s="19" t="str">
        <f aca="false">IF(AND(Eingabe!$F$11&gt;0,Eingabe!$E$11&gt;=93),Eingabe!$C$11&amp;"-Paz."&amp;TEXT(93,"000"),"")</f>
        <v/>
      </c>
      <c r="D505" s="19" t="str">
        <f aca="false">IF(AND(Eingabe!$F$11&gt;0,Eingabe!$E$11&gt;=93),93,"")</f>
        <v/>
      </c>
      <c r="E505" s="19" t="str">
        <f aca="false">IF(AND(Eingabe!$F$11&gt;0,Eingabe!$E$11&gt;=93),IF((Eingabe!$G$11)&lt;=9,1000+(Eingabe!$G$11)*100,3000)+93,"")</f>
        <v/>
      </c>
      <c r="F505" s="19" t="str">
        <f aca="false">IF(AND(Eingabe!$F$11&gt;0,Eingabe!$E$11&gt;=93),"10."&amp;Eingabe!$D$11&amp;".93.0/24","")</f>
        <v/>
      </c>
      <c r="G505" s="19" t="str">
        <f aca="false">IF(AND(Eingabe!$F$11&gt;0,Eingabe!$E$11&gt;=93),"10."&amp;Eingabe!$D$11&amp;".93.1","")</f>
        <v/>
      </c>
      <c r="H505" s="19" t="str">
        <f aca="false">IF(AND(Eingabe!$F$11&gt;0,Eingabe!$E$11&gt;=93),"10."&amp;Eingabe!$D$11&amp;".93.10 – 10."&amp;Eingabe!$D$11&amp;".93.250","")</f>
        <v/>
      </c>
      <c r="I505" s="19" t="str">
        <f aca="false">IF(AND(Eingabe!$F$11&gt;0,Eingabe!$E$11&gt;=93),Eingabe!$B$6&amp;"-"&amp;Eingabe!$C$11&amp;"-Pächter","")</f>
        <v/>
      </c>
      <c r="J505" s="19" t="str">
        <f aca="false">IF(AND(Eingabe!$F$11&gt;0,Eingabe!$E$11&gt;=93),"PPSK: Passwort Parzelle 93","")</f>
        <v/>
      </c>
      <c r="K505" s="19" t="str">
        <f aca="false">IF(AND(Eingabe!$F$11&gt;0,Eingabe!$E$11&gt;=93),"1. Gerät: 10."&amp;Eingabe!$D$11&amp;".93.10, 2. Gerät: .11","")</f>
        <v/>
      </c>
    </row>
    <row r="506" customFormat="false" ht="15" hidden="false" customHeight="false" outlineLevel="0" collapsed="false">
      <c r="A506" s="19" t="str">
        <f aca="false">IF(AND(Eingabe!$F$11&gt;0,Eingabe!$E$11&gt;=94),3,"")</f>
        <v/>
      </c>
      <c r="B506" s="19" t="str">
        <f aca="false">IF(AND(Eingabe!$F$11&gt;0,Eingabe!$E$11&gt;=94),Eingabe!$B$11,"")</f>
        <v/>
      </c>
      <c r="C506" s="19" t="str">
        <f aca="false">IF(AND(Eingabe!$F$11&gt;0,Eingabe!$E$11&gt;=94),Eingabe!$C$11&amp;"-Paz."&amp;TEXT(94,"000"),"")</f>
        <v/>
      </c>
      <c r="D506" s="19" t="str">
        <f aca="false">IF(AND(Eingabe!$F$11&gt;0,Eingabe!$E$11&gt;=94),94,"")</f>
        <v/>
      </c>
      <c r="E506" s="19" t="str">
        <f aca="false">IF(AND(Eingabe!$F$11&gt;0,Eingabe!$E$11&gt;=94),IF((Eingabe!$G$11)&lt;=9,1000+(Eingabe!$G$11)*100,3000)+94,"")</f>
        <v/>
      </c>
      <c r="F506" s="19" t="str">
        <f aca="false">IF(AND(Eingabe!$F$11&gt;0,Eingabe!$E$11&gt;=94),"10."&amp;Eingabe!$D$11&amp;".94.0/24","")</f>
        <v/>
      </c>
      <c r="G506" s="19" t="str">
        <f aca="false">IF(AND(Eingabe!$F$11&gt;0,Eingabe!$E$11&gt;=94),"10."&amp;Eingabe!$D$11&amp;".94.1","")</f>
        <v/>
      </c>
      <c r="H506" s="19" t="str">
        <f aca="false">IF(AND(Eingabe!$F$11&gt;0,Eingabe!$E$11&gt;=94),"10."&amp;Eingabe!$D$11&amp;".94.10 – 10."&amp;Eingabe!$D$11&amp;".94.250","")</f>
        <v/>
      </c>
      <c r="I506" s="19" t="str">
        <f aca="false">IF(AND(Eingabe!$F$11&gt;0,Eingabe!$E$11&gt;=94),Eingabe!$B$6&amp;"-"&amp;Eingabe!$C$11&amp;"-Pächter","")</f>
        <v/>
      </c>
      <c r="J506" s="19" t="str">
        <f aca="false">IF(AND(Eingabe!$F$11&gt;0,Eingabe!$E$11&gt;=94),"PPSK: Passwort Parzelle 94","")</f>
        <v/>
      </c>
      <c r="K506" s="19" t="str">
        <f aca="false">IF(AND(Eingabe!$F$11&gt;0,Eingabe!$E$11&gt;=94),"1. Gerät: 10."&amp;Eingabe!$D$11&amp;".94.10, 2. Gerät: .11","")</f>
        <v/>
      </c>
    </row>
    <row r="507" customFormat="false" ht="15" hidden="false" customHeight="false" outlineLevel="0" collapsed="false">
      <c r="A507" s="19" t="str">
        <f aca="false">IF(AND(Eingabe!$F$11&gt;0,Eingabe!$E$11&gt;=95),3,"")</f>
        <v/>
      </c>
      <c r="B507" s="19" t="str">
        <f aca="false">IF(AND(Eingabe!$F$11&gt;0,Eingabe!$E$11&gt;=95),Eingabe!$B$11,"")</f>
        <v/>
      </c>
      <c r="C507" s="19" t="str">
        <f aca="false">IF(AND(Eingabe!$F$11&gt;0,Eingabe!$E$11&gt;=95),Eingabe!$C$11&amp;"-Paz."&amp;TEXT(95,"000"),"")</f>
        <v/>
      </c>
      <c r="D507" s="19" t="str">
        <f aca="false">IF(AND(Eingabe!$F$11&gt;0,Eingabe!$E$11&gt;=95),95,"")</f>
        <v/>
      </c>
      <c r="E507" s="19" t="str">
        <f aca="false">IF(AND(Eingabe!$F$11&gt;0,Eingabe!$E$11&gt;=95),IF((Eingabe!$G$11)&lt;=9,1000+(Eingabe!$G$11)*100,3000)+95,"")</f>
        <v/>
      </c>
      <c r="F507" s="19" t="str">
        <f aca="false">IF(AND(Eingabe!$F$11&gt;0,Eingabe!$E$11&gt;=95),"10."&amp;Eingabe!$D$11&amp;".95.0/24","")</f>
        <v/>
      </c>
      <c r="G507" s="19" t="str">
        <f aca="false">IF(AND(Eingabe!$F$11&gt;0,Eingabe!$E$11&gt;=95),"10."&amp;Eingabe!$D$11&amp;".95.1","")</f>
        <v/>
      </c>
      <c r="H507" s="19" t="str">
        <f aca="false">IF(AND(Eingabe!$F$11&gt;0,Eingabe!$E$11&gt;=95),"10."&amp;Eingabe!$D$11&amp;".95.10 – 10."&amp;Eingabe!$D$11&amp;".95.250","")</f>
        <v/>
      </c>
      <c r="I507" s="19" t="str">
        <f aca="false">IF(AND(Eingabe!$F$11&gt;0,Eingabe!$E$11&gt;=95),Eingabe!$B$6&amp;"-"&amp;Eingabe!$C$11&amp;"-Pächter","")</f>
        <v/>
      </c>
      <c r="J507" s="19" t="str">
        <f aca="false">IF(AND(Eingabe!$F$11&gt;0,Eingabe!$E$11&gt;=95),"PPSK: Passwort Parzelle 95","")</f>
        <v/>
      </c>
      <c r="K507" s="19" t="str">
        <f aca="false">IF(AND(Eingabe!$F$11&gt;0,Eingabe!$E$11&gt;=95),"1. Gerät: 10."&amp;Eingabe!$D$11&amp;".95.10, 2. Gerät: .11","")</f>
        <v/>
      </c>
    </row>
    <row r="508" customFormat="false" ht="15" hidden="false" customHeight="false" outlineLevel="0" collapsed="false">
      <c r="A508" s="19" t="str">
        <f aca="false">IF(AND(Eingabe!$F$11&gt;0,Eingabe!$E$11&gt;=96),3,"")</f>
        <v/>
      </c>
      <c r="B508" s="19" t="str">
        <f aca="false">IF(AND(Eingabe!$F$11&gt;0,Eingabe!$E$11&gt;=96),Eingabe!$B$11,"")</f>
        <v/>
      </c>
      <c r="C508" s="19" t="str">
        <f aca="false">IF(AND(Eingabe!$F$11&gt;0,Eingabe!$E$11&gt;=96),Eingabe!$C$11&amp;"-Paz."&amp;TEXT(96,"000"),"")</f>
        <v/>
      </c>
      <c r="D508" s="19" t="str">
        <f aca="false">IF(AND(Eingabe!$F$11&gt;0,Eingabe!$E$11&gt;=96),96,"")</f>
        <v/>
      </c>
      <c r="E508" s="19" t="str">
        <f aca="false">IF(AND(Eingabe!$F$11&gt;0,Eingabe!$E$11&gt;=96),IF((Eingabe!$G$11)&lt;=9,1000+(Eingabe!$G$11)*100,3000)+96,"")</f>
        <v/>
      </c>
      <c r="F508" s="19" t="str">
        <f aca="false">IF(AND(Eingabe!$F$11&gt;0,Eingabe!$E$11&gt;=96),"10."&amp;Eingabe!$D$11&amp;".96.0/24","")</f>
        <v/>
      </c>
      <c r="G508" s="19" t="str">
        <f aca="false">IF(AND(Eingabe!$F$11&gt;0,Eingabe!$E$11&gt;=96),"10."&amp;Eingabe!$D$11&amp;".96.1","")</f>
        <v/>
      </c>
      <c r="H508" s="19" t="str">
        <f aca="false">IF(AND(Eingabe!$F$11&gt;0,Eingabe!$E$11&gt;=96),"10."&amp;Eingabe!$D$11&amp;".96.10 – 10."&amp;Eingabe!$D$11&amp;".96.250","")</f>
        <v/>
      </c>
      <c r="I508" s="19" t="str">
        <f aca="false">IF(AND(Eingabe!$F$11&gt;0,Eingabe!$E$11&gt;=96),Eingabe!$B$6&amp;"-"&amp;Eingabe!$C$11&amp;"-Pächter","")</f>
        <v/>
      </c>
      <c r="J508" s="19" t="str">
        <f aca="false">IF(AND(Eingabe!$F$11&gt;0,Eingabe!$E$11&gt;=96),"PPSK: Passwort Parzelle 96","")</f>
        <v/>
      </c>
      <c r="K508" s="19" t="str">
        <f aca="false">IF(AND(Eingabe!$F$11&gt;0,Eingabe!$E$11&gt;=96),"1. Gerät: 10."&amp;Eingabe!$D$11&amp;".96.10, 2. Gerät: .11","")</f>
        <v/>
      </c>
    </row>
    <row r="509" customFormat="false" ht="15" hidden="false" customHeight="false" outlineLevel="0" collapsed="false">
      <c r="A509" s="19" t="str">
        <f aca="false">IF(AND(Eingabe!$F$11&gt;0,Eingabe!$E$11&gt;=97),3,"")</f>
        <v/>
      </c>
      <c r="B509" s="19" t="str">
        <f aca="false">IF(AND(Eingabe!$F$11&gt;0,Eingabe!$E$11&gt;=97),Eingabe!$B$11,"")</f>
        <v/>
      </c>
      <c r="C509" s="19" t="str">
        <f aca="false">IF(AND(Eingabe!$F$11&gt;0,Eingabe!$E$11&gt;=97),Eingabe!$C$11&amp;"-Paz."&amp;TEXT(97,"000"),"")</f>
        <v/>
      </c>
      <c r="D509" s="19" t="str">
        <f aca="false">IF(AND(Eingabe!$F$11&gt;0,Eingabe!$E$11&gt;=97),97,"")</f>
        <v/>
      </c>
      <c r="E509" s="19" t="str">
        <f aca="false">IF(AND(Eingabe!$F$11&gt;0,Eingabe!$E$11&gt;=97),IF((Eingabe!$G$11)&lt;=9,1000+(Eingabe!$G$11)*100,3000)+97,"")</f>
        <v/>
      </c>
      <c r="F509" s="19" t="str">
        <f aca="false">IF(AND(Eingabe!$F$11&gt;0,Eingabe!$E$11&gt;=97),"10."&amp;Eingabe!$D$11&amp;".97.0/24","")</f>
        <v/>
      </c>
      <c r="G509" s="19" t="str">
        <f aca="false">IF(AND(Eingabe!$F$11&gt;0,Eingabe!$E$11&gt;=97),"10."&amp;Eingabe!$D$11&amp;".97.1","")</f>
        <v/>
      </c>
      <c r="H509" s="19" t="str">
        <f aca="false">IF(AND(Eingabe!$F$11&gt;0,Eingabe!$E$11&gt;=97),"10."&amp;Eingabe!$D$11&amp;".97.10 – 10."&amp;Eingabe!$D$11&amp;".97.250","")</f>
        <v/>
      </c>
      <c r="I509" s="19" t="str">
        <f aca="false">IF(AND(Eingabe!$F$11&gt;0,Eingabe!$E$11&gt;=97),Eingabe!$B$6&amp;"-"&amp;Eingabe!$C$11&amp;"-Pächter","")</f>
        <v/>
      </c>
      <c r="J509" s="19" t="str">
        <f aca="false">IF(AND(Eingabe!$F$11&gt;0,Eingabe!$E$11&gt;=97),"PPSK: Passwort Parzelle 97","")</f>
        <v/>
      </c>
      <c r="K509" s="19" t="str">
        <f aca="false">IF(AND(Eingabe!$F$11&gt;0,Eingabe!$E$11&gt;=97),"1. Gerät: 10."&amp;Eingabe!$D$11&amp;".97.10, 2. Gerät: .11","")</f>
        <v/>
      </c>
    </row>
    <row r="510" customFormat="false" ht="15" hidden="false" customHeight="false" outlineLevel="0" collapsed="false">
      <c r="A510" s="19" t="str">
        <f aca="false">IF(AND(Eingabe!$F$11&gt;0,Eingabe!$E$11&gt;=98),3,"")</f>
        <v/>
      </c>
      <c r="B510" s="19" t="str">
        <f aca="false">IF(AND(Eingabe!$F$11&gt;0,Eingabe!$E$11&gt;=98),Eingabe!$B$11,"")</f>
        <v/>
      </c>
      <c r="C510" s="19" t="str">
        <f aca="false">IF(AND(Eingabe!$F$11&gt;0,Eingabe!$E$11&gt;=98),Eingabe!$C$11&amp;"-Paz."&amp;TEXT(98,"000"),"")</f>
        <v/>
      </c>
      <c r="D510" s="19" t="str">
        <f aca="false">IF(AND(Eingabe!$F$11&gt;0,Eingabe!$E$11&gt;=98),98,"")</f>
        <v/>
      </c>
      <c r="E510" s="19" t="str">
        <f aca="false">IF(AND(Eingabe!$F$11&gt;0,Eingabe!$E$11&gt;=98),IF((Eingabe!$G$11)&lt;=9,1000+(Eingabe!$G$11)*100,3000)+98,"")</f>
        <v/>
      </c>
      <c r="F510" s="19" t="str">
        <f aca="false">IF(AND(Eingabe!$F$11&gt;0,Eingabe!$E$11&gt;=98),"10."&amp;Eingabe!$D$11&amp;".98.0/24","")</f>
        <v/>
      </c>
      <c r="G510" s="19" t="str">
        <f aca="false">IF(AND(Eingabe!$F$11&gt;0,Eingabe!$E$11&gt;=98),"10."&amp;Eingabe!$D$11&amp;".98.1","")</f>
        <v/>
      </c>
      <c r="H510" s="19" t="str">
        <f aca="false">IF(AND(Eingabe!$F$11&gt;0,Eingabe!$E$11&gt;=98),"10."&amp;Eingabe!$D$11&amp;".98.10 – 10."&amp;Eingabe!$D$11&amp;".98.250","")</f>
        <v/>
      </c>
      <c r="I510" s="19" t="str">
        <f aca="false">IF(AND(Eingabe!$F$11&gt;0,Eingabe!$E$11&gt;=98),Eingabe!$B$6&amp;"-"&amp;Eingabe!$C$11&amp;"-Pächter","")</f>
        <v/>
      </c>
      <c r="J510" s="19" t="str">
        <f aca="false">IF(AND(Eingabe!$F$11&gt;0,Eingabe!$E$11&gt;=98),"PPSK: Passwort Parzelle 98","")</f>
        <v/>
      </c>
      <c r="K510" s="19" t="str">
        <f aca="false">IF(AND(Eingabe!$F$11&gt;0,Eingabe!$E$11&gt;=98),"1. Gerät: 10."&amp;Eingabe!$D$11&amp;".98.10, 2. Gerät: .11","")</f>
        <v/>
      </c>
    </row>
    <row r="511" customFormat="false" ht="15" hidden="false" customHeight="false" outlineLevel="0" collapsed="false">
      <c r="A511" s="19" t="str">
        <f aca="false">IF(AND(Eingabe!$F$11&gt;0,Eingabe!$E$11&gt;=99),3,"")</f>
        <v/>
      </c>
      <c r="B511" s="19" t="str">
        <f aca="false">IF(AND(Eingabe!$F$11&gt;0,Eingabe!$E$11&gt;=99),Eingabe!$B$11,"")</f>
        <v/>
      </c>
      <c r="C511" s="19" t="str">
        <f aca="false">IF(AND(Eingabe!$F$11&gt;0,Eingabe!$E$11&gt;=99),Eingabe!$C$11&amp;"-Paz."&amp;TEXT(99,"000"),"")</f>
        <v/>
      </c>
      <c r="D511" s="19" t="str">
        <f aca="false">IF(AND(Eingabe!$F$11&gt;0,Eingabe!$E$11&gt;=99),99,"")</f>
        <v/>
      </c>
      <c r="E511" s="19" t="str">
        <f aca="false">IF(AND(Eingabe!$F$11&gt;0,Eingabe!$E$11&gt;=99),IF((Eingabe!$G$11)&lt;=9,1000+(Eingabe!$G$11)*100,3000)+99,"")</f>
        <v/>
      </c>
      <c r="F511" s="19" t="str">
        <f aca="false">IF(AND(Eingabe!$F$11&gt;0,Eingabe!$E$11&gt;=99),"10."&amp;Eingabe!$D$11&amp;".99.0/24","")</f>
        <v/>
      </c>
      <c r="G511" s="19" t="str">
        <f aca="false">IF(AND(Eingabe!$F$11&gt;0,Eingabe!$E$11&gt;=99),"10."&amp;Eingabe!$D$11&amp;".99.1","")</f>
        <v/>
      </c>
      <c r="H511" s="19" t="str">
        <f aca="false">IF(AND(Eingabe!$F$11&gt;0,Eingabe!$E$11&gt;=99),"10."&amp;Eingabe!$D$11&amp;".99.10 – 10."&amp;Eingabe!$D$11&amp;".99.250","")</f>
        <v/>
      </c>
      <c r="I511" s="19" t="str">
        <f aca="false">IF(AND(Eingabe!$F$11&gt;0,Eingabe!$E$11&gt;=99),Eingabe!$B$6&amp;"-"&amp;Eingabe!$C$11&amp;"-Pächter","")</f>
        <v/>
      </c>
      <c r="J511" s="19" t="str">
        <f aca="false">IF(AND(Eingabe!$F$11&gt;0,Eingabe!$E$11&gt;=99),"PPSK: Passwort Parzelle 99","")</f>
        <v/>
      </c>
      <c r="K511" s="19" t="str">
        <f aca="false">IF(AND(Eingabe!$F$11&gt;0,Eingabe!$E$11&gt;=99),"1. Gerät: 10."&amp;Eingabe!$D$11&amp;".99.10, 2. Gerät: .11","")</f>
        <v/>
      </c>
    </row>
    <row r="512" customFormat="false" ht="15" hidden="false" customHeight="false" outlineLevel="0" collapsed="false">
      <c r="A512" s="19" t="str">
        <f aca="false">IF(AND(Eingabe!$F$11&gt;0,Eingabe!$E$11&gt;=100),3,"")</f>
        <v/>
      </c>
      <c r="B512" s="19" t="str">
        <f aca="false">IF(AND(Eingabe!$F$11&gt;0,Eingabe!$E$11&gt;=100),Eingabe!$B$11,"")</f>
        <v/>
      </c>
      <c r="C512" s="19" t="str">
        <f aca="false">IF(AND(Eingabe!$F$11&gt;0,Eingabe!$E$11&gt;=100),Eingabe!$C$11&amp;"-Paz."&amp;TEXT(100,"000"),"")</f>
        <v/>
      </c>
      <c r="D512" s="19" t="str">
        <f aca="false">IF(AND(Eingabe!$F$11&gt;0,Eingabe!$E$11&gt;=100),100,"")</f>
        <v/>
      </c>
      <c r="E512" s="19" t="str">
        <f aca="false">IF(AND(Eingabe!$F$11&gt;0,Eingabe!$E$11&gt;=100),IF((Eingabe!$G$11+1)&lt;=9,1000+(Eingabe!$G$11+1)*100,3000)+0,"")</f>
        <v/>
      </c>
      <c r="F512" s="19" t="str">
        <f aca="false">IF(AND(Eingabe!$F$11&gt;0,Eingabe!$E$11&gt;=100),"10."&amp;Eingabe!$D$11&amp;".100.0/24","")</f>
        <v/>
      </c>
      <c r="G512" s="19" t="str">
        <f aca="false">IF(AND(Eingabe!$F$11&gt;0,Eingabe!$E$11&gt;=100),"10."&amp;Eingabe!$D$11&amp;".100.1","")</f>
        <v/>
      </c>
      <c r="H512" s="19" t="str">
        <f aca="false">IF(AND(Eingabe!$F$11&gt;0,Eingabe!$E$11&gt;=100),"10."&amp;Eingabe!$D$11&amp;".100.10 – 10."&amp;Eingabe!$D$11&amp;".100.250","")</f>
        <v/>
      </c>
      <c r="I512" s="19" t="str">
        <f aca="false">IF(AND(Eingabe!$F$11&gt;0,Eingabe!$E$11&gt;=100),Eingabe!$B$6&amp;"-"&amp;Eingabe!$C$11&amp;"-Pächter","")</f>
        <v/>
      </c>
      <c r="J512" s="19" t="str">
        <f aca="false">IF(AND(Eingabe!$F$11&gt;0,Eingabe!$E$11&gt;=100),"PPSK: Passwort Parzelle 100","")</f>
        <v/>
      </c>
      <c r="K512" s="19" t="str">
        <f aca="false">IF(AND(Eingabe!$F$11&gt;0,Eingabe!$E$11&gt;=100),"1. Gerät: 10."&amp;Eingabe!$D$11&amp;".100.10, 2. Gerät: .11","")</f>
        <v/>
      </c>
    </row>
    <row r="513" customFormat="false" ht="15" hidden="false" customHeight="false" outlineLevel="0" collapsed="false">
      <c r="A513" s="19" t="str">
        <f aca="false">IF(AND(Eingabe!$F$11&gt;0,Eingabe!$E$11&gt;=101),3,"")</f>
        <v/>
      </c>
      <c r="B513" s="19" t="str">
        <f aca="false">IF(AND(Eingabe!$F$11&gt;0,Eingabe!$E$11&gt;=101),Eingabe!$B$11,"")</f>
        <v/>
      </c>
      <c r="C513" s="19" t="str">
        <f aca="false">IF(AND(Eingabe!$F$11&gt;0,Eingabe!$E$11&gt;=101),Eingabe!$C$11&amp;"-Paz."&amp;TEXT(101,"000"),"")</f>
        <v/>
      </c>
      <c r="D513" s="19" t="str">
        <f aca="false">IF(AND(Eingabe!$F$11&gt;0,Eingabe!$E$11&gt;=101),101,"")</f>
        <v/>
      </c>
      <c r="E513" s="19" t="str">
        <f aca="false">IF(AND(Eingabe!$F$11&gt;0,Eingabe!$E$11&gt;=101),IF((Eingabe!$G$11+1)&lt;=9,1000+(Eingabe!$G$11+1)*100,3000)+1,"")</f>
        <v/>
      </c>
      <c r="F513" s="19" t="str">
        <f aca="false">IF(AND(Eingabe!$F$11&gt;0,Eingabe!$E$11&gt;=101),"10."&amp;Eingabe!$D$11&amp;".101.0/24","")</f>
        <v/>
      </c>
      <c r="G513" s="19" t="str">
        <f aca="false">IF(AND(Eingabe!$F$11&gt;0,Eingabe!$E$11&gt;=101),"10."&amp;Eingabe!$D$11&amp;".101.1","")</f>
        <v/>
      </c>
      <c r="H513" s="19" t="str">
        <f aca="false">IF(AND(Eingabe!$F$11&gt;0,Eingabe!$E$11&gt;=101),"10."&amp;Eingabe!$D$11&amp;".101.10 – 10."&amp;Eingabe!$D$11&amp;".101.250","")</f>
        <v/>
      </c>
      <c r="I513" s="19" t="str">
        <f aca="false">IF(AND(Eingabe!$F$11&gt;0,Eingabe!$E$11&gt;=101),Eingabe!$B$6&amp;"-"&amp;Eingabe!$C$11&amp;"-Pächter","")</f>
        <v/>
      </c>
      <c r="J513" s="19" t="str">
        <f aca="false">IF(AND(Eingabe!$F$11&gt;0,Eingabe!$E$11&gt;=101),"PPSK: Passwort Parzelle 101","")</f>
        <v/>
      </c>
      <c r="K513" s="19" t="str">
        <f aca="false">IF(AND(Eingabe!$F$11&gt;0,Eingabe!$E$11&gt;=101),"1. Gerät: 10."&amp;Eingabe!$D$11&amp;".101.10, 2. Gerät: .11","")</f>
        <v/>
      </c>
    </row>
    <row r="514" customFormat="false" ht="15" hidden="false" customHeight="false" outlineLevel="0" collapsed="false">
      <c r="A514" s="19" t="str">
        <f aca="false">IF(AND(Eingabe!$F$11&gt;0,Eingabe!$E$11&gt;=102),3,"")</f>
        <v/>
      </c>
      <c r="B514" s="19" t="str">
        <f aca="false">IF(AND(Eingabe!$F$11&gt;0,Eingabe!$E$11&gt;=102),Eingabe!$B$11,"")</f>
        <v/>
      </c>
      <c r="C514" s="19" t="str">
        <f aca="false">IF(AND(Eingabe!$F$11&gt;0,Eingabe!$E$11&gt;=102),Eingabe!$C$11&amp;"-Paz."&amp;TEXT(102,"000"),"")</f>
        <v/>
      </c>
      <c r="D514" s="19" t="str">
        <f aca="false">IF(AND(Eingabe!$F$11&gt;0,Eingabe!$E$11&gt;=102),102,"")</f>
        <v/>
      </c>
      <c r="E514" s="19" t="str">
        <f aca="false">IF(AND(Eingabe!$F$11&gt;0,Eingabe!$E$11&gt;=102),IF((Eingabe!$G$11+1)&lt;=9,1000+(Eingabe!$G$11+1)*100,3000)+2,"")</f>
        <v/>
      </c>
      <c r="F514" s="19" t="str">
        <f aca="false">IF(AND(Eingabe!$F$11&gt;0,Eingabe!$E$11&gt;=102),"10."&amp;Eingabe!$D$11&amp;".102.0/24","")</f>
        <v/>
      </c>
      <c r="G514" s="19" t="str">
        <f aca="false">IF(AND(Eingabe!$F$11&gt;0,Eingabe!$E$11&gt;=102),"10."&amp;Eingabe!$D$11&amp;".102.1","")</f>
        <v/>
      </c>
      <c r="H514" s="19" t="str">
        <f aca="false">IF(AND(Eingabe!$F$11&gt;0,Eingabe!$E$11&gt;=102),"10."&amp;Eingabe!$D$11&amp;".102.10 – 10."&amp;Eingabe!$D$11&amp;".102.250","")</f>
        <v/>
      </c>
      <c r="I514" s="19" t="str">
        <f aca="false">IF(AND(Eingabe!$F$11&gt;0,Eingabe!$E$11&gt;=102),Eingabe!$B$6&amp;"-"&amp;Eingabe!$C$11&amp;"-Pächter","")</f>
        <v/>
      </c>
      <c r="J514" s="19" t="str">
        <f aca="false">IF(AND(Eingabe!$F$11&gt;0,Eingabe!$E$11&gt;=102),"PPSK: Passwort Parzelle 102","")</f>
        <v/>
      </c>
      <c r="K514" s="19" t="str">
        <f aca="false">IF(AND(Eingabe!$F$11&gt;0,Eingabe!$E$11&gt;=102),"1. Gerät: 10."&amp;Eingabe!$D$11&amp;".102.10, 2. Gerät: .11","")</f>
        <v/>
      </c>
    </row>
    <row r="515" customFormat="false" ht="15" hidden="false" customHeight="false" outlineLevel="0" collapsed="false">
      <c r="A515" s="19" t="str">
        <f aca="false">IF(AND(Eingabe!$F$11&gt;0,Eingabe!$E$11&gt;=103),3,"")</f>
        <v/>
      </c>
      <c r="B515" s="19" t="str">
        <f aca="false">IF(AND(Eingabe!$F$11&gt;0,Eingabe!$E$11&gt;=103),Eingabe!$B$11,"")</f>
        <v/>
      </c>
      <c r="C515" s="19" t="str">
        <f aca="false">IF(AND(Eingabe!$F$11&gt;0,Eingabe!$E$11&gt;=103),Eingabe!$C$11&amp;"-Paz."&amp;TEXT(103,"000"),"")</f>
        <v/>
      </c>
      <c r="D515" s="19" t="str">
        <f aca="false">IF(AND(Eingabe!$F$11&gt;0,Eingabe!$E$11&gt;=103),103,"")</f>
        <v/>
      </c>
      <c r="E515" s="19" t="str">
        <f aca="false">IF(AND(Eingabe!$F$11&gt;0,Eingabe!$E$11&gt;=103),IF((Eingabe!$G$11+1)&lt;=9,1000+(Eingabe!$G$11+1)*100,3000)+3,"")</f>
        <v/>
      </c>
      <c r="F515" s="19" t="str">
        <f aca="false">IF(AND(Eingabe!$F$11&gt;0,Eingabe!$E$11&gt;=103),"10."&amp;Eingabe!$D$11&amp;".103.0/24","")</f>
        <v/>
      </c>
      <c r="G515" s="19" t="str">
        <f aca="false">IF(AND(Eingabe!$F$11&gt;0,Eingabe!$E$11&gt;=103),"10."&amp;Eingabe!$D$11&amp;".103.1","")</f>
        <v/>
      </c>
      <c r="H515" s="19" t="str">
        <f aca="false">IF(AND(Eingabe!$F$11&gt;0,Eingabe!$E$11&gt;=103),"10."&amp;Eingabe!$D$11&amp;".103.10 – 10."&amp;Eingabe!$D$11&amp;".103.250","")</f>
        <v/>
      </c>
      <c r="I515" s="19" t="str">
        <f aca="false">IF(AND(Eingabe!$F$11&gt;0,Eingabe!$E$11&gt;=103),Eingabe!$B$6&amp;"-"&amp;Eingabe!$C$11&amp;"-Pächter","")</f>
        <v/>
      </c>
      <c r="J515" s="19" t="str">
        <f aca="false">IF(AND(Eingabe!$F$11&gt;0,Eingabe!$E$11&gt;=103),"PPSK: Passwort Parzelle 103","")</f>
        <v/>
      </c>
      <c r="K515" s="19" t="str">
        <f aca="false">IF(AND(Eingabe!$F$11&gt;0,Eingabe!$E$11&gt;=103),"1. Gerät: 10."&amp;Eingabe!$D$11&amp;".103.10, 2. Gerät: .11","")</f>
        <v/>
      </c>
    </row>
    <row r="516" customFormat="false" ht="15" hidden="false" customHeight="false" outlineLevel="0" collapsed="false">
      <c r="A516" s="19" t="str">
        <f aca="false">IF(AND(Eingabe!$F$11&gt;0,Eingabe!$E$11&gt;=104),3,"")</f>
        <v/>
      </c>
      <c r="B516" s="19" t="str">
        <f aca="false">IF(AND(Eingabe!$F$11&gt;0,Eingabe!$E$11&gt;=104),Eingabe!$B$11,"")</f>
        <v/>
      </c>
      <c r="C516" s="19" t="str">
        <f aca="false">IF(AND(Eingabe!$F$11&gt;0,Eingabe!$E$11&gt;=104),Eingabe!$C$11&amp;"-Paz."&amp;TEXT(104,"000"),"")</f>
        <v/>
      </c>
      <c r="D516" s="19" t="str">
        <f aca="false">IF(AND(Eingabe!$F$11&gt;0,Eingabe!$E$11&gt;=104),104,"")</f>
        <v/>
      </c>
      <c r="E516" s="19" t="str">
        <f aca="false">IF(AND(Eingabe!$F$11&gt;0,Eingabe!$E$11&gt;=104),IF((Eingabe!$G$11+1)&lt;=9,1000+(Eingabe!$G$11+1)*100,3000)+4,"")</f>
        <v/>
      </c>
      <c r="F516" s="19" t="str">
        <f aca="false">IF(AND(Eingabe!$F$11&gt;0,Eingabe!$E$11&gt;=104),"10."&amp;Eingabe!$D$11&amp;".104.0/24","")</f>
        <v/>
      </c>
      <c r="G516" s="19" t="str">
        <f aca="false">IF(AND(Eingabe!$F$11&gt;0,Eingabe!$E$11&gt;=104),"10."&amp;Eingabe!$D$11&amp;".104.1","")</f>
        <v/>
      </c>
      <c r="H516" s="19" t="str">
        <f aca="false">IF(AND(Eingabe!$F$11&gt;0,Eingabe!$E$11&gt;=104),"10."&amp;Eingabe!$D$11&amp;".104.10 – 10."&amp;Eingabe!$D$11&amp;".104.250","")</f>
        <v/>
      </c>
      <c r="I516" s="19" t="str">
        <f aca="false">IF(AND(Eingabe!$F$11&gt;0,Eingabe!$E$11&gt;=104),Eingabe!$B$6&amp;"-"&amp;Eingabe!$C$11&amp;"-Pächter","")</f>
        <v/>
      </c>
      <c r="J516" s="19" t="str">
        <f aca="false">IF(AND(Eingabe!$F$11&gt;0,Eingabe!$E$11&gt;=104),"PPSK: Passwort Parzelle 104","")</f>
        <v/>
      </c>
      <c r="K516" s="19" t="str">
        <f aca="false">IF(AND(Eingabe!$F$11&gt;0,Eingabe!$E$11&gt;=104),"1. Gerät: 10."&amp;Eingabe!$D$11&amp;".104.10, 2. Gerät: .11","")</f>
        <v/>
      </c>
    </row>
    <row r="517" customFormat="false" ht="15" hidden="false" customHeight="false" outlineLevel="0" collapsed="false">
      <c r="A517" s="19" t="str">
        <f aca="false">IF(AND(Eingabe!$F$11&gt;0,Eingabe!$E$11&gt;=105),3,"")</f>
        <v/>
      </c>
      <c r="B517" s="19" t="str">
        <f aca="false">IF(AND(Eingabe!$F$11&gt;0,Eingabe!$E$11&gt;=105),Eingabe!$B$11,"")</f>
        <v/>
      </c>
      <c r="C517" s="19" t="str">
        <f aca="false">IF(AND(Eingabe!$F$11&gt;0,Eingabe!$E$11&gt;=105),Eingabe!$C$11&amp;"-Paz."&amp;TEXT(105,"000"),"")</f>
        <v/>
      </c>
      <c r="D517" s="19" t="str">
        <f aca="false">IF(AND(Eingabe!$F$11&gt;0,Eingabe!$E$11&gt;=105),105,"")</f>
        <v/>
      </c>
      <c r="E517" s="19" t="str">
        <f aca="false">IF(AND(Eingabe!$F$11&gt;0,Eingabe!$E$11&gt;=105),IF((Eingabe!$G$11+1)&lt;=9,1000+(Eingabe!$G$11+1)*100,3000)+5,"")</f>
        <v/>
      </c>
      <c r="F517" s="19" t="str">
        <f aca="false">IF(AND(Eingabe!$F$11&gt;0,Eingabe!$E$11&gt;=105),"10."&amp;Eingabe!$D$11&amp;".105.0/24","")</f>
        <v/>
      </c>
      <c r="G517" s="19" t="str">
        <f aca="false">IF(AND(Eingabe!$F$11&gt;0,Eingabe!$E$11&gt;=105),"10."&amp;Eingabe!$D$11&amp;".105.1","")</f>
        <v/>
      </c>
      <c r="H517" s="19" t="str">
        <f aca="false">IF(AND(Eingabe!$F$11&gt;0,Eingabe!$E$11&gt;=105),"10."&amp;Eingabe!$D$11&amp;".105.10 – 10."&amp;Eingabe!$D$11&amp;".105.250","")</f>
        <v/>
      </c>
      <c r="I517" s="19" t="str">
        <f aca="false">IF(AND(Eingabe!$F$11&gt;0,Eingabe!$E$11&gt;=105),Eingabe!$B$6&amp;"-"&amp;Eingabe!$C$11&amp;"-Pächter","")</f>
        <v/>
      </c>
      <c r="J517" s="19" t="str">
        <f aca="false">IF(AND(Eingabe!$F$11&gt;0,Eingabe!$E$11&gt;=105),"PPSK: Passwort Parzelle 105","")</f>
        <v/>
      </c>
      <c r="K517" s="19" t="str">
        <f aca="false">IF(AND(Eingabe!$F$11&gt;0,Eingabe!$E$11&gt;=105),"1. Gerät: 10."&amp;Eingabe!$D$11&amp;".105.10, 2. Gerät: .11","")</f>
        <v/>
      </c>
    </row>
    <row r="518" customFormat="false" ht="15" hidden="false" customHeight="false" outlineLevel="0" collapsed="false">
      <c r="A518" s="19" t="str">
        <f aca="false">IF(AND(Eingabe!$F$11&gt;0,Eingabe!$E$11&gt;=106),3,"")</f>
        <v/>
      </c>
      <c r="B518" s="19" t="str">
        <f aca="false">IF(AND(Eingabe!$F$11&gt;0,Eingabe!$E$11&gt;=106),Eingabe!$B$11,"")</f>
        <v/>
      </c>
      <c r="C518" s="19" t="str">
        <f aca="false">IF(AND(Eingabe!$F$11&gt;0,Eingabe!$E$11&gt;=106),Eingabe!$C$11&amp;"-Paz."&amp;TEXT(106,"000"),"")</f>
        <v/>
      </c>
      <c r="D518" s="19" t="str">
        <f aca="false">IF(AND(Eingabe!$F$11&gt;0,Eingabe!$E$11&gt;=106),106,"")</f>
        <v/>
      </c>
      <c r="E518" s="19" t="str">
        <f aca="false">IF(AND(Eingabe!$F$11&gt;0,Eingabe!$E$11&gt;=106),IF((Eingabe!$G$11+1)&lt;=9,1000+(Eingabe!$G$11+1)*100,3000)+6,"")</f>
        <v/>
      </c>
      <c r="F518" s="19" t="str">
        <f aca="false">IF(AND(Eingabe!$F$11&gt;0,Eingabe!$E$11&gt;=106),"10."&amp;Eingabe!$D$11&amp;".106.0/24","")</f>
        <v/>
      </c>
      <c r="G518" s="19" t="str">
        <f aca="false">IF(AND(Eingabe!$F$11&gt;0,Eingabe!$E$11&gt;=106),"10."&amp;Eingabe!$D$11&amp;".106.1","")</f>
        <v/>
      </c>
      <c r="H518" s="19" t="str">
        <f aca="false">IF(AND(Eingabe!$F$11&gt;0,Eingabe!$E$11&gt;=106),"10."&amp;Eingabe!$D$11&amp;".106.10 – 10."&amp;Eingabe!$D$11&amp;".106.250","")</f>
        <v/>
      </c>
      <c r="I518" s="19" t="str">
        <f aca="false">IF(AND(Eingabe!$F$11&gt;0,Eingabe!$E$11&gt;=106),Eingabe!$B$6&amp;"-"&amp;Eingabe!$C$11&amp;"-Pächter","")</f>
        <v/>
      </c>
      <c r="J518" s="19" t="str">
        <f aca="false">IF(AND(Eingabe!$F$11&gt;0,Eingabe!$E$11&gt;=106),"PPSK: Passwort Parzelle 106","")</f>
        <v/>
      </c>
      <c r="K518" s="19" t="str">
        <f aca="false">IF(AND(Eingabe!$F$11&gt;0,Eingabe!$E$11&gt;=106),"1. Gerät: 10."&amp;Eingabe!$D$11&amp;".106.10, 2. Gerät: .11","")</f>
        <v/>
      </c>
    </row>
    <row r="519" customFormat="false" ht="15" hidden="false" customHeight="false" outlineLevel="0" collapsed="false">
      <c r="A519" s="19" t="str">
        <f aca="false">IF(AND(Eingabe!$F$11&gt;0,Eingabe!$E$11&gt;=107),3,"")</f>
        <v/>
      </c>
      <c r="B519" s="19" t="str">
        <f aca="false">IF(AND(Eingabe!$F$11&gt;0,Eingabe!$E$11&gt;=107),Eingabe!$B$11,"")</f>
        <v/>
      </c>
      <c r="C519" s="19" t="str">
        <f aca="false">IF(AND(Eingabe!$F$11&gt;0,Eingabe!$E$11&gt;=107),Eingabe!$C$11&amp;"-Paz."&amp;TEXT(107,"000"),"")</f>
        <v/>
      </c>
      <c r="D519" s="19" t="str">
        <f aca="false">IF(AND(Eingabe!$F$11&gt;0,Eingabe!$E$11&gt;=107),107,"")</f>
        <v/>
      </c>
      <c r="E519" s="19" t="str">
        <f aca="false">IF(AND(Eingabe!$F$11&gt;0,Eingabe!$E$11&gt;=107),IF((Eingabe!$G$11+1)&lt;=9,1000+(Eingabe!$G$11+1)*100,3000)+7,"")</f>
        <v/>
      </c>
      <c r="F519" s="19" t="str">
        <f aca="false">IF(AND(Eingabe!$F$11&gt;0,Eingabe!$E$11&gt;=107),"10."&amp;Eingabe!$D$11&amp;".107.0/24","")</f>
        <v/>
      </c>
      <c r="G519" s="19" t="str">
        <f aca="false">IF(AND(Eingabe!$F$11&gt;0,Eingabe!$E$11&gt;=107),"10."&amp;Eingabe!$D$11&amp;".107.1","")</f>
        <v/>
      </c>
      <c r="H519" s="19" t="str">
        <f aca="false">IF(AND(Eingabe!$F$11&gt;0,Eingabe!$E$11&gt;=107),"10."&amp;Eingabe!$D$11&amp;".107.10 – 10."&amp;Eingabe!$D$11&amp;".107.250","")</f>
        <v/>
      </c>
      <c r="I519" s="19" t="str">
        <f aca="false">IF(AND(Eingabe!$F$11&gt;0,Eingabe!$E$11&gt;=107),Eingabe!$B$6&amp;"-"&amp;Eingabe!$C$11&amp;"-Pächter","")</f>
        <v/>
      </c>
      <c r="J519" s="19" t="str">
        <f aca="false">IF(AND(Eingabe!$F$11&gt;0,Eingabe!$E$11&gt;=107),"PPSK: Passwort Parzelle 107","")</f>
        <v/>
      </c>
      <c r="K519" s="19" t="str">
        <f aca="false">IF(AND(Eingabe!$F$11&gt;0,Eingabe!$E$11&gt;=107),"1. Gerät: 10."&amp;Eingabe!$D$11&amp;".107.10, 2. Gerät: .11","")</f>
        <v/>
      </c>
    </row>
    <row r="520" customFormat="false" ht="15" hidden="false" customHeight="false" outlineLevel="0" collapsed="false">
      <c r="A520" s="19" t="str">
        <f aca="false">IF(AND(Eingabe!$F$11&gt;0,Eingabe!$E$11&gt;=108),3,"")</f>
        <v/>
      </c>
      <c r="B520" s="19" t="str">
        <f aca="false">IF(AND(Eingabe!$F$11&gt;0,Eingabe!$E$11&gt;=108),Eingabe!$B$11,"")</f>
        <v/>
      </c>
      <c r="C520" s="19" t="str">
        <f aca="false">IF(AND(Eingabe!$F$11&gt;0,Eingabe!$E$11&gt;=108),Eingabe!$C$11&amp;"-Paz."&amp;TEXT(108,"000"),"")</f>
        <v/>
      </c>
      <c r="D520" s="19" t="str">
        <f aca="false">IF(AND(Eingabe!$F$11&gt;0,Eingabe!$E$11&gt;=108),108,"")</f>
        <v/>
      </c>
      <c r="E520" s="19" t="str">
        <f aca="false">IF(AND(Eingabe!$F$11&gt;0,Eingabe!$E$11&gt;=108),IF((Eingabe!$G$11+1)&lt;=9,1000+(Eingabe!$G$11+1)*100,3000)+8,"")</f>
        <v/>
      </c>
      <c r="F520" s="19" t="str">
        <f aca="false">IF(AND(Eingabe!$F$11&gt;0,Eingabe!$E$11&gt;=108),"10."&amp;Eingabe!$D$11&amp;".108.0/24","")</f>
        <v/>
      </c>
      <c r="G520" s="19" t="str">
        <f aca="false">IF(AND(Eingabe!$F$11&gt;0,Eingabe!$E$11&gt;=108),"10."&amp;Eingabe!$D$11&amp;".108.1","")</f>
        <v/>
      </c>
      <c r="H520" s="19" t="str">
        <f aca="false">IF(AND(Eingabe!$F$11&gt;0,Eingabe!$E$11&gt;=108),"10."&amp;Eingabe!$D$11&amp;".108.10 – 10."&amp;Eingabe!$D$11&amp;".108.250","")</f>
        <v/>
      </c>
      <c r="I520" s="19" t="str">
        <f aca="false">IF(AND(Eingabe!$F$11&gt;0,Eingabe!$E$11&gt;=108),Eingabe!$B$6&amp;"-"&amp;Eingabe!$C$11&amp;"-Pächter","")</f>
        <v/>
      </c>
      <c r="J520" s="19" t="str">
        <f aca="false">IF(AND(Eingabe!$F$11&gt;0,Eingabe!$E$11&gt;=108),"PPSK: Passwort Parzelle 108","")</f>
        <v/>
      </c>
      <c r="K520" s="19" t="str">
        <f aca="false">IF(AND(Eingabe!$F$11&gt;0,Eingabe!$E$11&gt;=108),"1. Gerät: 10."&amp;Eingabe!$D$11&amp;".108.10, 2. Gerät: .11","")</f>
        <v/>
      </c>
    </row>
    <row r="521" customFormat="false" ht="15" hidden="false" customHeight="false" outlineLevel="0" collapsed="false">
      <c r="A521" s="19" t="str">
        <f aca="false">IF(AND(Eingabe!$F$11&gt;0,Eingabe!$E$11&gt;=109),3,"")</f>
        <v/>
      </c>
      <c r="B521" s="19" t="str">
        <f aca="false">IF(AND(Eingabe!$F$11&gt;0,Eingabe!$E$11&gt;=109),Eingabe!$B$11,"")</f>
        <v/>
      </c>
      <c r="C521" s="19" t="str">
        <f aca="false">IF(AND(Eingabe!$F$11&gt;0,Eingabe!$E$11&gt;=109),Eingabe!$C$11&amp;"-Paz."&amp;TEXT(109,"000"),"")</f>
        <v/>
      </c>
      <c r="D521" s="19" t="str">
        <f aca="false">IF(AND(Eingabe!$F$11&gt;0,Eingabe!$E$11&gt;=109),109,"")</f>
        <v/>
      </c>
      <c r="E521" s="19" t="str">
        <f aca="false">IF(AND(Eingabe!$F$11&gt;0,Eingabe!$E$11&gt;=109),IF((Eingabe!$G$11+1)&lt;=9,1000+(Eingabe!$G$11+1)*100,3000)+9,"")</f>
        <v/>
      </c>
      <c r="F521" s="19" t="str">
        <f aca="false">IF(AND(Eingabe!$F$11&gt;0,Eingabe!$E$11&gt;=109),"10."&amp;Eingabe!$D$11&amp;".109.0/24","")</f>
        <v/>
      </c>
      <c r="G521" s="19" t="str">
        <f aca="false">IF(AND(Eingabe!$F$11&gt;0,Eingabe!$E$11&gt;=109),"10."&amp;Eingabe!$D$11&amp;".109.1","")</f>
        <v/>
      </c>
      <c r="H521" s="19" t="str">
        <f aca="false">IF(AND(Eingabe!$F$11&gt;0,Eingabe!$E$11&gt;=109),"10."&amp;Eingabe!$D$11&amp;".109.10 – 10."&amp;Eingabe!$D$11&amp;".109.250","")</f>
        <v/>
      </c>
      <c r="I521" s="19" t="str">
        <f aca="false">IF(AND(Eingabe!$F$11&gt;0,Eingabe!$E$11&gt;=109),Eingabe!$B$6&amp;"-"&amp;Eingabe!$C$11&amp;"-Pächter","")</f>
        <v/>
      </c>
      <c r="J521" s="19" t="str">
        <f aca="false">IF(AND(Eingabe!$F$11&gt;0,Eingabe!$E$11&gt;=109),"PPSK: Passwort Parzelle 109","")</f>
        <v/>
      </c>
      <c r="K521" s="19" t="str">
        <f aca="false">IF(AND(Eingabe!$F$11&gt;0,Eingabe!$E$11&gt;=109),"1. Gerät: 10."&amp;Eingabe!$D$11&amp;".109.10, 2. Gerät: .11","")</f>
        <v/>
      </c>
    </row>
    <row r="522" customFormat="false" ht="15" hidden="false" customHeight="false" outlineLevel="0" collapsed="false">
      <c r="A522" s="19" t="str">
        <f aca="false">IF(AND(Eingabe!$F$11&gt;0,Eingabe!$E$11&gt;=110),3,"")</f>
        <v/>
      </c>
      <c r="B522" s="19" t="str">
        <f aca="false">IF(AND(Eingabe!$F$11&gt;0,Eingabe!$E$11&gt;=110),Eingabe!$B$11,"")</f>
        <v/>
      </c>
      <c r="C522" s="19" t="str">
        <f aca="false">IF(AND(Eingabe!$F$11&gt;0,Eingabe!$E$11&gt;=110),Eingabe!$C$11&amp;"-Paz."&amp;TEXT(110,"000"),"")</f>
        <v/>
      </c>
      <c r="D522" s="19" t="str">
        <f aca="false">IF(AND(Eingabe!$F$11&gt;0,Eingabe!$E$11&gt;=110),110,"")</f>
        <v/>
      </c>
      <c r="E522" s="19" t="str">
        <f aca="false">IF(AND(Eingabe!$F$11&gt;0,Eingabe!$E$11&gt;=110),IF((Eingabe!$G$11+1)&lt;=9,1000+(Eingabe!$G$11+1)*100,3000)+10,"")</f>
        <v/>
      </c>
      <c r="F522" s="19" t="str">
        <f aca="false">IF(AND(Eingabe!$F$11&gt;0,Eingabe!$E$11&gt;=110),"10."&amp;Eingabe!$D$11&amp;".110.0/24","")</f>
        <v/>
      </c>
      <c r="G522" s="19" t="str">
        <f aca="false">IF(AND(Eingabe!$F$11&gt;0,Eingabe!$E$11&gt;=110),"10."&amp;Eingabe!$D$11&amp;".110.1","")</f>
        <v/>
      </c>
      <c r="H522" s="19" t="str">
        <f aca="false">IF(AND(Eingabe!$F$11&gt;0,Eingabe!$E$11&gt;=110),"10."&amp;Eingabe!$D$11&amp;".110.10 – 10."&amp;Eingabe!$D$11&amp;".110.250","")</f>
        <v/>
      </c>
      <c r="I522" s="19" t="str">
        <f aca="false">IF(AND(Eingabe!$F$11&gt;0,Eingabe!$E$11&gt;=110),Eingabe!$B$6&amp;"-"&amp;Eingabe!$C$11&amp;"-Pächter","")</f>
        <v/>
      </c>
      <c r="J522" s="19" t="str">
        <f aca="false">IF(AND(Eingabe!$F$11&gt;0,Eingabe!$E$11&gt;=110),"PPSK: Passwort Parzelle 110","")</f>
        <v/>
      </c>
      <c r="K522" s="19" t="str">
        <f aca="false">IF(AND(Eingabe!$F$11&gt;0,Eingabe!$E$11&gt;=110),"1. Gerät: 10."&amp;Eingabe!$D$11&amp;".110.10, 2. Gerät: .11","")</f>
        <v/>
      </c>
    </row>
    <row r="523" customFormat="false" ht="15" hidden="false" customHeight="false" outlineLevel="0" collapsed="false">
      <c r="A523" s="19" t="str">
        <f aca="false">IF(AND(Eingabe!$F$11&gt;0,Eingabe!$E$11&gt;=111),3,"")</f>
        <v/>
      </c>
      <c r="B523" s="19" t="str">
        <f aca="false">IF(AND(Eingabe!$F$11&gt;0,Eingabe!$E$11&gt;=111),Eingabe!$B$11,"")</f>
        <v/>
      </c>
      <c r="C523" s="19" t="str">
        <f aca="false">IF(AND(Eingabe!$F$11&gt;0,Eingabe!$E$11&gt;=111),Eingabe!$C$11&amp;"-Paz."&amp;TEXT(111,"000"),"")</f>
        <v/>
      </c>
      <c r="D523" s="19" t="str">
        <f aca="false">IF(AND(Eingabe!$F$11&gt;0,Eingabe!$E$11&gt;=111),111,"")</f>
        <v/>
      </c>
      <c r="E523" s="19" t="str">
        <f aca="false">IF(AND(Eingabe!$F$11&gt;0,Eingabe!$E$11&gt;=111),IF((Eingabe!$G$11+1)&lt;=9,1000+(Eingabe!$G$11+1)*100,3000)+11,"")</f>
        <v/>
      </c>
      <c r="F523" s="19" t="str">
        <f aca="false">IF(AND(Eingabe!$F$11&gt;0,Eingabe!$E$11&gt;=111),"10."&amp;Eingabe!$D$11&amp;".111.0/24","")</f>
        <v/>
      </c>
      <c r="G523" s="19" t="str">
        <f aca="false">IF(AND(Eingabe!$F$11&gt;0,Eingabe!$E$11&gt;=111),"10."&amp;Eingabe!$D$11&amp;".111.1","")</f>
        <v/>
      </c>
      <c r="H523" s="19" t="str">
        <f aca="false">IF(AND(Eingabe!$F$11&gt;0,Eingabe!$E$11&gt;=111),"10."&amp;Eingabe!$D$11&amp;".111.10 – 10."&amp;Eingabe!$D$11&amp;".111.250","")</f>
        <v/>
      </c>
      <c r="I523" s="19" t="str">
        <f aca="false">IF(AND(Eingabe!$F$11&gt;0,Eingabe!$E$11&gt;=111),Eingabe!$B$6&amp;"-"&amp;Eingabe!$C$11&amp;"-Pächter","")</f>
        <v/>
      </c>
      <c r="J523" s="19" t="str">
        <f aca="false">IF(AND(Eingabe!$F$11&gt;0,Eingabe!$E$11&gt;=111),"PPSK: Passwort Parzelle 111","")</f>
        <v/>
      </c>
      <c r="K523" s="19" t="str">
        <f aca="false">IF(AND(Eingabe!$F$11&gt;0,Eingabe!$E$11&gt;=111),"1. Gerät: 10."&amp;Eingabe!$D$11&amp;".111.10, 2. Gerät: .11","")</f>
        <v/>
      </c>
    </row>
    <row r="524" customFormat="false" ht="15" hidden="false" customHeight="false" outlineLevel="0" collapsed="false">
      <c r="A524" s="19" t="str">
        <f aca="false">IF(AND(Eingabe!$F$11&gt;0,Eingabe!$E$11&gt;=112),3,"")</f>
        <v/>
      </c>
      <c r="B524" s="19" t="str">
        <f aca="false">IF(AND(Eingabe!$F$11&gt;0,Eingabe!$E$11&gt;=112),Eingabe!$B$11,"")</f>
        <v/>
      </c>
      <c r="C524" s="19" t="str">
        <f aca="false">IF(AND(Eingabe!$F$11&gt;0,Eingabe!$E$11&gt;=112),Eingabe!$C$11&amp;"-Paz."&amp;TEXT(112,"000"),"")</f>
        <v/>
      </c>
      <c r="D524" s="19" t="str">
        <f aca="false">IF(AND(Eingabe!$F$11&gt;0,Eingabe!$E$11&gt;=112),112,"")</f>
        <v/>
      </c>
      <c r="E524" s="19" t="str">
        <f aca="false">IF(AND(Eingabe!$F$11&gt;0,Eingabe!$E$11&gt;=112),IF((Eingabe!$G$11+1)&lt;=9,1000+(Eingabe!$G$11+1)*100,3000)+12,"")</f>
        <v/>
      </c>
      <c r="F524" s="19" t="str">
        <f aca="false">IF(AND(Eingabe!$F$11&gt;0,Eingabe!$E$11&gt;=112),"10."&amp;Eingabe!$D$11&amp;".112.0/24","")</f>
        <v/>
      </c>
      <c r="G524" s="19" t="str">
        <f aca="false">IF(AND(Eingabe!$F$11&gt;0,Eingabe!$E$11&gt;=112),"10."&amp;Eingabe!$D$11&amp;".112.1","")</f>
        <v/>
      </c>
      <c r="H524" s="19" t="str">
        <f aca="false">IF(AND(Eingabe!$F$11&gt;0,Eingabe!$E$11&gt;=112),"10."&amp;Eingabe!$D$11&amp;".112.10 – 10."&amp;Eingabe!$D$11&amp;".112.250","")</f>
        <v/>
      </c>
      <c r="I524" s="19" t="str">
        <f aca="false">IF(AND(Eingabe!$F$11&gt;0,Eingabe!$E$11&gt;=112),Eingabe!$B$6&amp;"-"&amp;Eingabe!$C$11&amp;"-Pächter","")</f>
        <v/>
      </c>
      <c r="J524" s="19" t="str">
        <f aca="false">IF(AND(Eingabe!$F$11&gt;0,Eingabe!$E$11&gt;=112),"PPSK: Passwort Parzelle 112","")</f>
        <v/>
      </c>
      <c r="K524" s="19" t="str">
        <f aca="false">IF(AND(Eingabe!$F$11&gt;0,Eingabe!$E$11&gt;=112),"1. Gerät: 10."&amp;Eingabe!$D$11&amp;".112.10, 2. Gerät: .11","")</f>
        <v/>
      </c>
    </row>
    <row r="525" customFormat="false" ht="15" hidden="false" customHeight="false" outlineLevel="0" collapsed="false">
      <c r="A525" s="19" t="str">
        <f aca="false">IF(AND(Eingabe!$F$11&gt;0,Eingabe!$E$11&gt;=113),3,"")</f>
        <v/>
      </c>
      <c r="B525" s="19" t="str">
        <f aca="false">IF(AND(Eingabe!$F$11&gt;0,Eingabe!$E$11&gt;=113),Eingabe!$B$11,"")</f>
        <v/>
      </c>
      <c r="C525" s="19" t="str">
        <f aca="false">IF(AND(Eingabe!$F$11&gt;0,Eingabe!$E$11&gt;=113),Eingabe!$C$11&amp;"-Paz."&amp;TEXT(113,"000"),"")</f>
        <v/>
      </c>
      <c r="D525" s="19" t="str">
        <f aca="false">IF(AND(Eingabe!$F$11&gt;0,Eingabe!$E$11&gt;=113),113,"")</f>
        <v/>
      </c>
      <c r="E525" s="19" t="str">
        <f aca="false">IF(AND(Eingabe!$F$11&gt;0,Eingabe!$E$11&gt;=113),IF((Eingabe!$G$11+1)&lt;=9,1000+(Eingabe!$G$11+1)*100,3000)+13,"")</f>
        <v/>
      </c>
      <c r="F525" s="19" t="str">
        <f aca="false">IF(AND(Eingabe!$F$11&gt;0,Eingabe!$E$11&gt;=113),"10."&amp;Eingabe!$D$11&amp;".113.0/24","")</f>
        <v/>
      </c>
      <c r="G525" s="19" t="str">
        <f aca="false">IF(AND(Eingabe!$F$11&gt;0,Eingabe!$E$11&gt;=113),"10."&amp;Eingabe!$D$11&amp;".113.1","")</f>
        <v/>
      </c>
      <c r="H525" s="19" t="str">
        <f aca="false">IF(AND(Eingabe!$F$11&gt;0,Eingabe!$E$11&gt;=113),"10."&amp;Eingabe!$D$11&amp;".113.10 – 10."&amp;Eingabe!$D$11&amp;".113.250","")</f>
        <v/>
      </c>
      <c r="I525" s="19" t="str">
        <f aca="false">IF(AND(Eingabe!$F$11&gt;0,Eingabe!$E$11&gt;=113),Eingabe!$B$6&amp;"-"&amp;Eingabe!$C$11&amp;"-Pächter","")</f>
        <v/>
      </c>
      <c r="J525" s="19" t="str">
        <f aca="false">IF(AND(Eingabe!$F$11&gt;0,Eingabe!$E$11&gt;=113),"PPSK: Passwort Parzelle 113","")</f>
        <v/>
      </c>
      <c r="K525" s="19" t="str">
        <f aca="false">IF(AND(Eingabe!$F$11&gt;0,Eingabe!$E$11&gt;=113),"1. Gerät: 10."&amp;Eingabe!$D$11&amp;".113.10, 2. Gerät: .11","")</f>
        <v/>
      </c>
    </row>
    <row r="526" customFormat="false" ht="15" hidden="false" customHeight="false" outlineLevel="0" collapsed="false">
      <c r="A526" s="19" t="str">
        <f aca="false">IF(AND(Eingabe!$F$11&gt;0,Eingabe!$E$11&gt;=114),3,"")</f>
        <v/>
      </c>
      <c r="B526" s="19" t="str">
        <f aca="false">IF(AND(Eingabe!$F$11&gt;0,Eingabe!$E$11&gt;=114),Eingabe!$B$11,"")</f>
        <v/>
      </c>
      <c r="C526" s="19" t="str">
        <f aca="false">IF(AND(Eingabe!$F$11&gt;0,Eingabe!$E$11&gt;=114),Eingabe!$C$11&amp;"-Paz."&amp;TEXT(114,"000"),"")</f>
        <v/>
      </c>
      <c r="D526" s="19" t="str">
        <f aca="false">IF(AND(Eingabe!$F$11&gt;0,Eingabe!$E$11&gt;=114),114,"")</f>
        <v/>
      </c>
      <c r="E526" s="19" t="str">
        <f aca="false">IF(AND(Eingabe!$F$11&gt;0,Eingabe!$E$11&gt;=114),IF((Eingabe!$G$11+1)&lt;=9,1000+(Eingabe!$G$11+1)*100,3000)+14,"")</f>
        <v/>
      </c>
      <c r="F526" s="19" t="str">
        <f aca="false">IF(AND(Eingabe!$F$11&gt;0,Eingabe!$E$11&gt;=114),"10."&amp;Eingabe!$D$11&amp;".114.0/24","")</f>
        <v/>
      </c>
      <c r="G526" s="19" t="str">
        <f aca="false">IF(AND(Eingabe!$F$11&gt;0,Eingabe!$E$11&gt;=114),"10."&amp;Eingabe!$D$11&amp;".114.1","")</f>
        <v/>
      </c>
      <c r="H526" s="19" t="str">
        <f aca="false">IF(AND(Eingabe!$F$11&gt;0,Eingabe!$E$11&gt;=114),"10."&amp;Eingabe!$D$11&amp;".114.10 – 10."&amp;Eingabe!$D$11&amp;".114.250","")</f>
        <v/>
      </c>
      <c r="I526" s="19" t="str">
        <f aca="false">IF(AND(Eingabe!$F$11&gt;0,Eingabe!$E$11&gt;=114),Eingabe!$B$6&amp;"-"&amp;Eingabe!$C$11&amp;"-Pächter","")</f>
        <v/>
      </c>
      <c r="J526" s="19" t="str">
        <f aca="false">IF(AND(Eingabe!$F$11&gt;0,Eingabe!$E$11&gt;=114),"PPSK: Passwort Parzelle 114","")</f>
        <v/>
      </c>
      <c r="K526" s="19" t="str">
        <f aca="false">IF(AND(Eingabe!$F$11&gt;0,Eingabe!$E$11&gt;=114),"1. Gerät: 10."&amp;Eingabe!$D$11&amp;".114.10, 2. Gerät: .11","")</f>
        <v/>
      </c>
    </row>
    <row r="527" customFormat="false" ht="15" hidden="false" customHeight="false" outlineLevel="0" collapsed="false">
      <c r="A527" s="19" t="str">
        <f aca="false">IF(AND(Eingabe!$F$11&gt;0,Eingabe!$E$11&gt;=115),3,"")</f>
        <v/>
      </c>
      <c r="B527" s="19" t="str">
        <f aca="false">IF(AND(Eingabe!$F$11&gt;0,Eingabe!$E$11&gt;=115),Eingabe!$B$11,"")</f>
        <v/>
      </c>
      <c r="C527" s="19" t="str">
        <f aca="false">IF(AND(Eingabe!$F$11&gt;0,Eingabe!$E$11&gt;=115),Eingabe!$C$11&amp;"-Paz."&amp;TEXT(115,"000"),"")</f>
        <v/>
      </c>
      <c r="D527" s="19" t="str">
        <f aca="false">IF(AND(Eingabe!$F$11&gt;0,Eingabe!$E$11&gt;=115),115,"")</f>
        <v/>
      </c>
      <c r="E527" s="19" t="str">
        <f aca="false">IF(AND(Eingabe!$F$11&gt;0,Eingabe!$E$11&gt;=115),IF((Eingabe!$G$11+1)&lt;=9,1000+(Eingabe!$G$11+1)*100,3000)+15,"")</f>
        <v/>
      </c>
      <c r="F527" s="19" t="str">
        <f aca="false">IF(AND(Eingabe!$F$11&gt;0,Eingabe!$E$11&gt;=115),"10."&amp;Eingabe!$D$11&amp;".115.0/24","")</f>
        <v/>
      </c>
      <c r="G527" s="19" t="str">
        <f aca="false">IF(AND(Eingabe!$F$11&gt;0,Eingabe!$E$11&gt;=115),"10."&amp;Eingabe!$D$11&amp;".115.1","")</f>
        <v/>
      </c>
      <c r="H527" s="19" t="str">
        <f aca="false">IF(AND(Eingabe!$F$11&gt;0,Eingabe!$E$11&gt;=115),"10."&amp;Eingabe!$D$11&amp;".115.10 – 10."&amp;Eingabe!$D$11&amp;".115.250","")</f>
        <v/>
      </c>
      <c r="I527" s="19" t="str">
        <f aca="false">IF(AND(Eingabe!$F$11&gt;0,Eingabe!$E$11&gt;=115),Eingabe!$B$6&amp;"-"&amp;Eingabe!$C$11&amp;"-Pächter","")</f>
        <v/>
      </c>
      <c r="J527" s="19" t="str">
        <f aca="false">IF(AND(Eingabe!$F$11&gt;0,Eingabe!$E$11&gt;=115),"PPSK: Passwort Parzelle 115","")</f>
        <v/>
      </c>
      <c r="K527" s="19" t="str">
        <f aca="false">IF(AND(Eingabe!$F$11&gt;0,Eingabe!$E$11&gt;=115),"1. Gerät: 10."&amp;Eingabe!$D$11&amp;".115.10, 2. Gerät: .11","")</f>
        <v/>
      </c>
    </row>
    <row r="528" customFormat="false" ht="15" hidden="false" customHeight="false" outlineLevel="0" collapsed="false">
      <c r="A528" s="19" t="str">
        <f aca="false">IF(AND(Eingabe!$F$11&gt;0,Eingabe!$E$11&gt;=116),3,"")</f>
        <v/>
      </c>
      <c r="B528" s="19" t="str">
        <f aca="false">IF(AND(Eingabe!$F$11&gt;0,Eingabe!$E$11&gt;=116),Eingabe!$B$11,"")</f>
        <v/>
      </c>
      <c r="C528" s="19" t="str">
        <f aca="false">IF(AND(Eingabe!$F$11&gt;0,Eingabe!$E$11&gt;=116),Eingabe!$C$11&amp;"-Paz."&amp;TEXT(116,"000"),"")</f>
        <v/>
      </c>
      <c r="D528" s="19" t="str">
        <f aca="false">IF(AND(Eingabe!$F$11&gt;0,Eingabe!$E$11&gt;=116),116,"")</f>
        <v/>
      </c>
      <c r="E528" s="19" t="str">
        <f aca="false">IF(AND(Eingabe!$F$11&gt;0,Eingabe!$E$11&gt;=116),IF((Eingabe!$G$11+1)&lt;=9,1000+(Eingabe!$G$11+1)*100,3000)+16,"")</f>
        <v/>
      </c>
      <c r="F528" s="19" t="str">
        <f aca="false">IF(AND(Eingabe!$F$11&gt;0,Eingabe!$E$11&gt;=116),"10."&amp;Eingabe!$D$11&amp;".116.0/24","")</f>
        <v/>
      </c>
      <c r="G528" s="19" t="str">
        <f aca="false">IF(AND(Eingabe!$F$11&gt;0,Eingabe!$E$11&gt;=116),"10."&amp;Eingabe!$D$11&amp;".116.1","")</f>
        <v/>
      </c>
      <c r="H528" s="19" t="str">
        <f aca="false">IF(AND(Eingabe!$F$11&gt;0,Eingabe!$E$11&gt;=116),"10."&amp;Eingabe!$D$11&amp;".116.10 – 10."&amp;Eingabe!$D$11&amp;".116.250","")</f>
        <v/>
      </c>
      <c r="I528" s="19" t="str">
        <f aca="false">IF(AND(Eingabe!$F$11&gt;0,Eingabe!$E$11&gt;=116),Eingabe!$B$6&amp;"-"&amp;Eingabe!$C$11&amp;"-Pächter","")</f>
        <v/>
      </c>
      <c r="J528" s="19" t="str">
        <f aca="false">IF(AND(Eingabe!$F$11&gt;0,Eingabe!$E$11&gt;=116),"PPSK: Passwort Parzelle 116","")</f>
        <v/>
      </c>
      <c r="K528" s="19" t="str">
        <f aca="false">IF(AND(Eingabe!$F$11&gt;0,Eingabe!$E$11&gt;=116),"1. Gerät: 10."&amp;Eingabe!$D$11&amp;".116.10, 2. Gerät: .11","")</f>
        <v/>
      </c>
    </row>
    <row r="529" customFormat="false" ht="15" hidden="false" customHeight="false" outlineLevel="0" collapsed="false">
      <c r="A529" s="19" t="str">
        <f aca="false">IF(AND(Eingabe!$F$11&gt;0,Eingabe!$E$11&gt;=117),3,"")</f>
        <v/>
      </c>
      <c r="B529" s="19" t="str">
        <f aca="false">IF(AND(Eingabe!$F$11&gt;0,Eingabe!$E$11&gt;=117),Eingabe!$B$11,"")</f>
        <v/>
      </c>
      <c r="C529" s="19" t="str">
        <f aca="false">IF(AND(Eingabe!$F$11&gt;0,Eingabe!$E$11&gt;=117),Eingabe!$C$11&amp;"-Paz."&amp;TEXT(117,"000"),"")</f>
        <v/>
      </c>
      <c r="D529" s="19" t="str">
        <f aca="false">IF(AND(Eingabe!$F$11&gt;0,Eingabe!$E$11&gt;=117),117,"")</f>
        <v/>
      </c>
      <c r="E529" s="19" t="str">
        <f aca="false">IF(AND(Eingabe!$F$11&gt;0,Eingabe!$E$11&gt;=117),IF((Eingabe!$G$11+1)&lt;=9,1000+(Eingabe!$G$11+1)*100,3000)+17,"")</f>
        <v/>
      </c>
      <c r="F529" s="19" t="str">
        <f aca="false">IF(AND(Eingabe!$F$11&gt;0,Eingabe!$E$11&gt;=117),"10."&amp;Eingabe!$D$11&amp;".117.0/24","")</f>
        <v/>
      </c>
      <c r="G529" s="19" t="str">
        <f aca="false">IF(AND(Eingabe!$F$11&gt;0,Eingabe!$E$11&gt;=117),"10."&amp;Eingabe!$D$11&amp;".117.1","")</f>
        <v/>
      </c>
      <c r="H529" s="19" t="str">
        <f aca="false">IF(AND(Eingabe!$F$11&gt;0,Eingabe!$E$11&gt;=117),"10."&amp;Eingabe!$D$11&amp;".117.10 – 10."&amp;Eingabe!$D$11&amp;".117.250","")</f>
        <v/>
      </c>
      <c r="I529" s="19" t="str">
        <f aca="false">IF(AND(Eingabe!$F$11&gt;0,Eingabe!$E$11&gt;=117),Eingabe!$B$6&amp;"-"&amp;Eingabe!$C$11&amp;"-Pächter","")</f>
        <v/>
      </c>
      <c r="J529" s="19" t="str">
        <f aca="false">IF(AND(Eingabe!$F$11&gt;0,Eingabe!$E$11&gt;=117),"PPSK: Passwort Parzelle 117","")</f>
        <v/>
      </c>
      <c r="K529" s="19" t="str">
        <f aca="false">IF(AND(Eingabe!$F$11&gt;0,Eingabe!$E$11&gt;=117),"1. Gerät: 10."&amp;Eingabe!$D$11&amp;".117.10, 2. Gerät: .11","")</f>
        <v/>
      </c>
    </row>
    <row r="530" customFormat="false" ht="15" hidden="false" customHeight="false" outlineLevel="0" collapsed="false">
      <c r="A530" s="19" t="str">
        <f aca="false">IF(AND(Eingabe!$F$11&gt;0,Eingabe!$E$11&gt;=118),3,"")</f>
        <v/>
      </c>
      <c r="B530" s="19" t="str">
        <f aca="false">IF(AND(Eingabe!$F$11&gt;0,Eingabe!$E$11&gt;=118),Eingabe!$B$11,"")</f>
        <v/>
      </c>
      <c r="C530" s="19" t="str">
        <f aca="false">IF(AND(Eingabe!$F$11&gt;0,Eingabe!$E$11&gt;=118),Eingabe!$C$11&amp;"-Paz."&amp;TEXT(118,"000"),"")</f>
        <v/>
      </c>
      <c r="D530" s="19" t="str">
        <f aca="false">IF(AND(Eingabe!$F$11&gt;0,Eingabe!$E$11&gt;=118),118,"")</f>
        <v/>
      </c>
      <c r="E530" s="19" t="str">
        <f aca="false">IF(AND(Eingabe!$F$11&gt;0,Eingabe!$E$11&gt;=118),IF((Eingabe!$G$11+1)&lt;=9,1000+(Eingabe!$G$11+1)*100,3000)+18,"")</f>
        <v/>
      </c>
      <c r="F530" s="19" t="str">
        <f aca="false">IF(AND(Eingabe!$F$11&gt;0,Eingabe!$E$11&gt;=118),"10."&amp;Eingabe!$D$11&amp;".118.0/24","")</f>
        <v/>
      </c>
      <c r="G530" s="19" t="str">
        <f aca="false">IF(AND(Eingabe!$F$11&gt;0,Eingabe!$E$11&gt;=118),"10."&amp;Eingabe!$D$11&amp;".118.1","")</f>
        <v/>
      </c>
      <c r="H530" s="19" t="str">
        <f aca="false">IF(AND(Eingabe!$F$11&gt;0,Eingabe!$E$11&gt;=118),"10."&amp;Eingabe!$D$11&amp;".118.10 – 10."&amp;Eingabe!$D$11&amp;".118.250","")</f>
        <v/>
      </c>
      <c r="I530" s="19" t="str">
        <f aca="false">IF(AND(Eingabe!$F$11&gt;0,Eingabe!$E$11&gt;=118),Eingabe!$B$6&amp;"-"&amp;Eingabe!$C$11&amp;"-Pächter","")</f>
        <v/>
      </c>
      <c r="J530" s="19" t="str">
        <f aca="false">IF(AND(Eingabe!$F$11&gt;0,Eingabe!$E$11&gt;=118),"PPSK: Passwort Parzelle 118","")</f>
        <v/>
      </c>
      <c r="K530" s="19" t="str">
        <f aca="false">IF(AND(Eingabe!$F$11&gt;0,Eingabe!$E$11&gt;=118),"1. Gerät: 10."&amp;Eingabe!$D$11&amp;".118.10, 2. Gerät: .11","")</f>
        <v/>
      </c>
    </row>
    <row r="531" customFormat="false" ht="15" hidden="false" customHeight="false" outlineLevel="0" collapsed="false">
      <c r="A531" s="19" t="str">
        <f aca="false">IF(AND(Eingabe!$F$11&gt;0,Eingabe!$E$11&gt;=119),3,"")</f>
        <v/>
      </c>
      <c r="B531" s="19" t="str">
        <f aca="false">IF(AND(Eingabe!$F$11&gt;0,Eingabe!$E$11&gt;=119),Eingabe!$B$11,"")</f>
        <v/>
      </c>
      <c r="C531" s="19" t="str">
        <f aca="false">IF(AND(Eingabe!$F$11&gt;0,Eingabe!$E$11&gt;=119),Eingabe!$C$11&amp;"-Paz."&amp;TEXT(119,"000"),"")</f>
        <v/>
      </c>
      <c r="D531" s="19" t="str">
        <f aca="false">IF(AND(Eingabe!$F$11&gt;0,Eingabe!$E$11&gt;=119),119,"")</f>
        <v/>
      </c>
      <c r="E531" s="19" t="str">
        <f aca="false">IF(AND(Eingabe!$F$11&gt;0,Eingabe!$E$11&gt;=119),IF((Eingabe!$G$11+1)&lt;=9,1000+(Eingabe!$G$11+1)*100,3000)+19,"")</f>
        <v/>
      </c>
      <c r="F531" s="19" t="str">
        <f aca="false">IF(AND(Eingabe!$F$11&gt;0,Eingabe!$E$11&gt;=119),"10."&amp;Eingabe!$D$11&amp;".119.0/24","")</f>
        <v/>
      </c>
      <c r="G531" s="19" t="str">
        <f aca="false">IF(AND(Eingabe!$F$11&gt;0,Eingabe!$E$11&gt;=119),"10."&amp;Eingabe!$D$11&amp;".119.1","")</f>
        <v/>
      </c>
      <c r="H531" s="19" t="str">
        <f aca="false">IF(AND(Eingabe!$F$11&gt;0,Eingabe!$E$11&gt;=119),"10."&amp;Eingabe!$D$11&amp;".119.10 – 10."&amp;Eingabe!$D$11&amp;".119.250","")</f>
        <v/>
      </c>
      <c r="I531" s="19" t="str">
        <f aca="false">IF(AND(Eingabe!$F$11&gt;0,Eingabe!$E$11&gt;=119),Eingabe!$B$6&amp;"-"&amp;Eingabe!$C$11&amp;"-Pächter","")</f>
        <v/>
      </c>
      <c r="J531" s="19" t="str">
        <f aca="false">IF(AND(Eingabe!$F$11&gt;0,Eingabe!$E$11&gt;=119),"PPSK: Passwort Parzelle 119","")</f>
        <v/>
      </c>
      <c r="K531" s="19" t="str">
        <f aca="false">IF(AND(Eingabe!$F$11&gt;0,Eingabe!$E$11&gt;=119),"1. Gerät: 10."&amp;Eingabe!$D$11&amp;".119.10, 2. Gerät: .11","")</f>
        <v/>
      </c>
    </row>
    <row r="532" customFormat="false" ht="15" hidden="false" customHeight="false" outlineLevel="0" collapsed="false">
      <c r="A532" s="19" t="str">
        <f aca="false">IF(AND(Eingabe!$F$11&gt;0,Eingabe!$E$11&gt;=120),3,"")</f>
        <v/>
      </c>
      <c r="B532" s="19" t="str">
        <f aca="false">IF(AND(Eingabe!$F$11&gt;0,Eingabe!$E$11&gt;=120),Eingabe!$B$11,"")</f>
        <v/>
      </c>
      <c r="C532" s="19" t="str">
        <f aca="false">IF(AND(Eingabe!$F$11&gt;0,Eingabe!$E$11&gt;=120),Eingabe!$C$11&amp;"-Paz."&amp;TEXT(120,"000"),"")</f>
        <v/>
      </c>
      <c r="D532" s="19" t="str">
        <f aca="false">IF(AND(Eingabe!$F$11&gt;0,Eingabe!$E$11&gt;=120),120,"")</f>
        <v/>
      </c>
      <c r="E532" s="19" t="str">
        <f aca="false">IF(AND(Eingabe!$F$11&gt;0,Eingabe!$E$11&gt;=120),IF((Eingabe!$G$11+1)&lt;=9,1000+(Eingabe!$G$11+1)*100,3000)+20,"")</f>
        <v/>
      </c>
      <c r="F532" s="19" t="str">
        <f aca="false">IF(AND(Eingabe!$F$11&gt;0,Eingabe!$E$11&gt;=120),"10."&amp;Eingabe!$D$11&amp;".120.0/24","")</f>
        <v/>
      </c>
      <c r="G532" s="19" t="str">
        <f aca="false">IF(AND(Eingabe!$F$11&gt;0,Eingabe!$E$11&gt;=120),"10."&amp;Eingabe!$D$11&amp;".120.1","")</f>
        <v/>
      </c>
      <c r="H532" s="19" t="str">
        <f aca="false">IF(AND(Eingabe!$F$11&gt;0,Eingabe!$E$11&gt;=120),"10."&amp;Eingabe!$D$11&amp;".120.10 – 10."&amp;Eingabe!$D$11&amp;".120.250","")</f>
        <v/>
      </c>
      <c r="I532" s="19" t="str">
        <f aca="false">IF(AND(Eingabe!$F$11&gt;0,Eingabe!$E$11&gt;=120),Eingabe!$B$6&amp;"-"&amp;Eingabe!$C$11&amp;"-Pächter","")</f>
        <v/>
      </c>
      <c r="J532" s="19" t="str">
        <f aca="false">IF(AND(Eingabe!$F$11&gt;0,Eingabe!$E$11&gt;=120),"PPSK: Passwort Parzelle 120","")</f>
        <v/>
      </c>
      <c r="K532" s="19" t="str">
        <f aca="false">IF(AND(Eingabe!$F$11&gt;0,Eingabe!$E$11&gt;=120),"1. Gerät: 10."&amp;Eingabe!$D$11&amp;".120.10, 2. Gerät: .11","")</f>
        <v/>
      </c>
    </row>
    <row r="533" customFormat="false" ht="15" hidden="false" customHeight="false" outlineLevel="0" collapsed="false">
      <c r="A533" s="19" t="str">
        <f aca="false">IF(AND(Eingabe!$F$11&gt;0,Eingabe!$E$11&gt;=121),3,"")</f>
        <v/>
      </c>
      <c r="B533" s="19" t="str">
        <f aca="false">IF(AND(Eingabe!$F$11&gt;0,Eingabe!$E$11&gt;=121),Eingabe!$B$11,"")</f>
        <v/>
      </c>
      <c r="C533" s="19" t="str">
        <f aca="false">IF(AND(Eingabe!$F$11&gt;0,Eingabe!$E$11&gt;=121),Eingabe!$C$11&amp;"-Paz."&amp;TEXT(121,"000"),"")</f>
        <v/>
      </c>
      <c r="D533" s="19" t="str">
        <f aca="false">IF(AND(Eingabe!$F$11&gt;0,Eingabe!$E$11&gt;=121),121,"")</f>
        <v/>
      </c>
      <c r="E533" s="19" t="str">
        <f aca="false">IF(AND(Eingabe!$F$11&gt;0,Eingabe!$E$11&gt;=121),IF((Eingabe!$G$11+1)&lt;=9,1000+(Eingabe!$G$11+1)*100,3000)+21,"")</f>
        <v/>
      </c>
      <c r="F533" s="19" t="str">
        <f aca="false">IF(AND(Eingabe!$F$11&gt;0,Eingabe!$E$11&gt;=121),"10."&amp;Eingabe!$D$11&amp;".121.0/24","")</f>
        <v/>
      </c>
      <c r="G533" s="19" t="str">
        <f aca="false">IF(AND(Eingabe!$F$11&gt;0,Eingabe!$E$11&gt;=121),"10."&amp;Eingabe!$D$11&amp;".121.1","")</f>
        <v/>
      </c>
      <c r="H533" s="19" t="str">
        <f aca="false">IF(AND(Eingabe!$F$11&gt;0,Eingabe!$E$11&gt;=121),"10."&amp;Eingabe!$D$11&amp;".121.10 – 10."&amp;Eingabe!$D$11&amp;".121.250","")</f>
        <v/>
      </c>
      <c r="I533" s="19" t="str">
        <f aca="false">IF(AND(Eingabe!$F$11&gt;0,Eingabe!$E$11&gt;=121),Eingabe!$B$6&amp;"-"&amp;Eingabe!$C$11&amp;"-Pächter","")</f>
        <v/>
      </c>
      <c r="J533" s="19" t="str">
        <f aca="false">IF(AND(Eingabe!$F$11&gt;0,Eingabe!$E$11&gt;=121),"PPSK: Passwort Parzelle 121","")</f>
        <v/>
      </c>
      <c r="K533" s="19" t="str">
        <f aca="false">IF(AND(Eingabe!$F$11&gt;0,Eingabe!$E$11&gt;=121),"1. Gerät: 10."&amp;Eingabe!$D$11&amp;".121.10, 2. Gerät: .11","")</f>
        <v/>
      </c>
    </row>
    <row r="534" customFormat="false" ht="15" hidden="false" customHeight="false" outlineLevel="0" collapsed="false">
      <c r="A534" s="19" t="str">
        <f aca="false">IF(AND(Eingabe!$F$11&gt;0,Eingabe!$E$11&gt;=122),3,"")</f>
        <v/>
      </c>
      <c r="B534" s="19" t="str">
        <f aca="false">IF(AND(Eingabe!$F$11&gt;0,Eingabe!$E$11&gt;=122),Eingabe!$B$11,"")</f>
        <v/>
      </c>
      <c r="C534" s="19" t="str">
        <f aca="false">IF(AND(Eingabe!$F$11&gt;0,Eingabe!$E$11&gt;=122),Eingabe!$C$11&amp;"-Paz."&amp;TEXT(122,"000"),"")</f>
        <v/>
      </c>
      <c r="D534" s="19" t="str">
        <f aca="false">IF(AND(Eingabe!$F$11&gt;0,Eingabe!$E$11&gt;=122),122,"")</f>
        <v/>
      </c>
      <c r="E534" s="19" t="str">
        <f aca="false">IF(AND(Eingabe!$F$11&gt;0,Eingabe!$E$11&gt;=122),IF((Eingabe!$G$11+1)&lt;=9,1000+(Eingabe!$G$11+1)*100,3000)+22,"")</f>
        <v/>
      </c>
      <c r="F534" s="19" t="str">
        <f aca="false">IF(AND(Eingabe!$F$11&gt;0,Eingabe!$E$11&gt;=122),"10."&amp;Eingabe!$D$11&amp;".122.0/24","")</f>
        <v/>
      </c>
      <c r="G534" s="19" t="str">
        <f aca="false">IF(AND(Eingabe!$F$11&gt;0,Eingabe!$E$11&gt;=122),"10."&amp;Eingabe!$D$11&amp;".122.1","")</f>
        <v/>
      </c>
      <c r="H534" s="19" t="str">
        <f aca="false">IF(AND(Eingabe!$F$11&gt;0,Eingabe!$E$11&gt;=122),"10."&amp;Eingabe!$D$11&amp;".122.10 – 10."&amp;Eingabe!$D$11&amp;".122.250","")</f>
        <v/>
      </c>
      <c r="I534" s="19" t="str">
        <f aca="false">IF(AND(Eingabe!$F$11&gt;0,Eingabe!$E$11&gt;=122),Eingabe!$B$6&amp;"-"&amp;Eingabe!$C$11&amp;"-Pächter","")</f>
        <v/>
      </c>
      <c r="J534" s="19" t="str">
        <f aca="false">IF(AND(Eingabe!$F$11&gt;0,Eingabe!$E$11&gt;=122),"PPSK: Passwort Parzelle 122","")</f>
        <v/>
      </c>
      <c r="K534" s="19" t="str">
        <f aca="false">IF(AND(Eingabe!$F$11&gt;0,Eingabe!$E$11&gt;=122),"1. Gerät: 10."&amp;Eingabe!$D$11&amp;".122.10, 2. Gerät: .11","")</f>
        <v/>
      </c>
    </row>
    <row r="535" customFormat="false" ht="15" hidden="false" customHeight="false" outlineLevel="0" collapsed="false">
      <c r="A535" s="19" t="str">
        <f aca="false">IF(AND(Eingabe!$F$11&gt;0,Eingabe!$E$11&gt;=123),3,"")</f>
        <v/>
      </c>
      <c r="B535" s="19" t="str">
        <f aca="false">IF(AND(Eingabe!$F$11&gt;0,Eingabe!$E$11&gt;=123),Eingabe!$B$11,"")</f>
        <v/>
      </c>
      <c r="C535" s="19" t="str">
        <f aca="false">IF(AND(Eingabe!$F$11&gt;0,Eingabe!$E$11&gt;=123),Eingabe!$C$11&amp;"-Paz."&amp;TEXT(123,"000"),"")</f>
        <v/>
      </c>
      <c r="D535" s="19" t="str">
        <f aca="false">IF(AND(Eingabe!$F$11&gt;0,Eingabe!$E$11&gt;=123),123,"")</f>
        <v/>
      </c>
      <c r="E535" s="19" t="str">
        <f aca="false">IF(AND(Eingabe!$F$11&gt;0,Eingabe!$E$11&gt;=123),IF((Eingabe!$G$11+1)&lt;=9,1000+(Eingabe!$G$11+1)*100,3000)+23,"")</f>
        <v/>
      </c>
      <c r="F535" s="19" t="str">
        <f aca="false">IF(AND(Eingabe!$F$11&gt;0,Eingabe!$E$11&gt;=123),"10."&amp;Eingabe!$D$11&amp;".123.0/24","")</f>
        <v/>
      </c>
      <c r="G535" s="19" t="str">
        <f aca="false">IF(AND(Eingabe!$F$11&gt;0,Eingabe!$E$11&gt;=123),"10."&amp;Eingabe!$D$11&amp;".123.1","")</f>
        <v/>
      </c>
      <c r="H535" s="19" t="str">
        <f aca="false">IF(AND(Eingabe!$F$11&gt;0,Eingabe!$E$11&gt;=123),"10."&amp;Eingabe!$D$11&amp;".123.10 – 10."&amp;Eingabe!$D$11&amp;".123.250","")</f>
        <v/>
      </c>
      <c r="I535" s="19" t="str">
        <f aca="false">IF(AND(Eingabe!$F$11&gt;0,Eingabe!$E$11&gt;=123),Eingabe!$B$6&amp;"-"&amp;Eingabe!$C$11&amp;"-Pächter","")</f>
        <v/>
      </c>
      <c r="J535" s="19" t="str">
        <f aca="false">IF(AND(Eingabe!$F$11&gt;0,Eingabe!$E$11&gt;=123),"PPSK: Passwort Parzelle 123","")</f>
        <v/>
      </c>
      <c r="K535" s="19" t="str">
        <f aca="false">IF(AND(Eingabe!$F$11&gt;0,Eingabe!$E$11&gt;=123),"1. Gerät: 10."&amp;Eingabe!$D$11&amp;".123.10, 2. Gerät: .11","")</f>
        <v/>
      </c>
    </row>
    <row r="536" customFormat="false" ht="15" hidden="false" customHeight="false" outlineLevel="0" collapsed="false">
      <c r="A536" s="19" t="str">
        <f aca="false">IF(AND(Eingabe!$F$11&gt;0,Eingabe!$E$11&gt;=124),3,"")</f>
        <v/>
      </c>
      <c r="B536" s="19" t="str">
        <f aca="false">IF(AND(Eingabe!$F$11&gt;0,Eingabe!$E$11&gt;=124),Eingabe!$B$11,"")</f>
        <v/>
      </c>
      <c r="C536" s="19" t="str">
        <f aca="false">IF(AND(Eingabe!$F$11&gt;0,Eingabe!$E$11&gt;=124),Eingabe!$C$11&amp;"-Paz."&amp;TEXT(124,"000"),"")</f>
        <v/>
      </c>
      <c r="D536" s="19" t="str">
        <f aca="false">IF(AND(Eingabe!$F$11&gt;0,Eingabe!$E$11&gt;=124),124,"")</f>
        <v/>
      </c>
      <c r="E536" s="19" t="str">
        <f aca="false">IF(AND(Eingabe!$F$11&gt;0,Eingabe!$E$11&gt;=124),IF((Eingabe!$G$11+1)&lt;=9,1000+(Eingabe!$G$11+1)*100,3000)+24,"")</f>
        <v/>
      </c>
      <c r="F536" s="19" t="str">
        <f aca="false">IF(AND(Eingabe!$F$11&gt;0,Eingabe!$E$11&gt;=124),"10."&amp;Eingabe!$D$11&amp;".124.0/24","")</f>
        <v/>
      </c>
      <c r="G536" s="19" t="str">
        <f aca="false">IF(AND(Eingabe!$F$11&gt;0,Eingabe!$E$11&gt;=124),"10."&amp;Eingabe!$D$11&amp;".124.1","")</f>
        <v/>
      </c>
      <c r="H536" s="19" t="str">
        <f aca="false">IF(AND(Eingabe!$F$11&gt;0,Eingabe!$E$11&gt;=124),"10."&amp;Eingabe!$D$11&amp;".124.10 – 10."&amp;Eingabe!$D$11&amp;".124.250","")</f>
        <v/>
      </c>
      <c r="I536" s="19" t="str">
        <f aca="false">IF(AND(Eingabe!$F$11&gt;0,Eingabe!$E$11&gt;=124),Eingabe!$B$6&amp;"-"&amp;Eingabe!$C$11&amp;"-Pächter","")</f>
        <v/>
      </c>
      <c r="J536" s="19" t="str">
        <f aca="false">IF(AND(Eingabe!$F$11&gt;0,Eingabe!$E$11&gt;=124),"PPSK: Passwort Parzelle 124","")</f>
        <v/>
      </c>
      <c r="K536" s="19" t="str">
        <f aca="false">IF(AND(Eingabe!$F$11&gt;0,Eingabe!$E$11&gt;=124),"1. Gerät: 10."&amp;Eingabe!$D$11&amp;".124.10, 2. Gerät: .11","")</f>
        <v/>
      </c>
    </row>
    <row r="537" customFormat="false" ht="15" hidden="false" customHeight="false" outlineLevel="0" collapsed="false">
      <c r="A537" s="19" t="str">
        <f aca="false">IF(AND(Eingabe!$F$11&gt;0,Eingabe!$E$11&gt;=125),3,"")</f>
        <v/>
      </c>
      <c r="B537" s="19" t="str">
        <f aca="false">IF(AND(Eingabe!$F$11&gt;0,Eingabe!$E$11&gt;=125),Eingabe!$B$11,"")</f>
        <v/>
      </c>
      <c r="C537" s="19" t="str">
        <f aca="false">IF(AND(Eingabe!$F$11&gt;0,Eingabe!$E$11&gt;=125),Eingabe!$C$11&amp;"-Paz."&amp;TEXT(125,"000"),"")</f>
        <v/>
      </c>
      <c r="D537" s="19" t="str">
        <f aca="false">IF(AND(Eingabe!$F$11&gt;0,Eingabe!$E$11&gt;=125),125,"")</f>
        <v/>
      </c>
      <c r="E537" s="19" t="str">
        <f aca="false">IF(AND(Eingabe!$F$11&gt;0,Eingabe!$E$11&gt;=125),IF((Eingabe!$G$11+1)&lt;=9,1000+(Eingabe!$G$11+1)*100,3000)+25,"")</f>
        <v/>
      </c>
      <c r="F537" s="19" t="str">
        <f aca="false">IF(AND(Eingabe!$F$11&gt;0,Eingabe!$E$11&gt;=125),"10."&amp;Eingabe!$D$11&amp;".125.0/24","")</f>
        <v/>
      </c>
      <c r="G537" s="19" t="str">
        <f aca="false">IF(AND(Eingabe!$F$11&gt;0,Eingabe!$E$11&gt;=125),"10."&amp;Eingabe!$D$11&amp;".125.1","")</f>
        <v/>
      </c>
      <c r="H537" s="19" t="str">
        <f aca="false">IF(AND(Eingabe!$F$11&gt;0,Eingabe!$E$11&gt;=125),"10."&amp;Eingabe!$D$11&amp;".125.10 – 10."&amp;Eingabe!$D$11&amp;".125.250","")</f>
        <v/>
      </c>
      <c r="I537" s="19" t="str">
        <f aca="false">IF(AND(Eingabe!$F$11&gt;0,Eingabe!$E$11&gt;=125),Eingabe!$B$6&amp;"-"&amp;Eingabe!$C$11&amp;"-Pächter","")</f>
        <v/>
      </c>
      <c r="J537" s="19" t="str">
        <f aca="false">IF(AND(Eingabe!$F$11&gt;0,Eingabe!$E$11&gt;=125),"PPSK: Passwort Parzelle 125","")</f>
        <v/>
      </c>
      <c r="K537" s="19" t="str">
        <f aca="false">IF(AND(Eingabe!$F$11&gt;0,Eingabe!$E$11&gt;=125),"1. Gerät: 10."&amp;Eingabe!$D$11&amp;".125.10, 2. Gerät: .11","")</f>
        <v/>
      </c>
    </row>
    <row r="538" customFormat="false" ht="15" hidden="false" customHeight="false" outlineLevel="0" collapsed="false">
      <c r="A538" s="19" t="str">
        <f aca="false">IF(AND(Eingabe!$F$11&gt;0,Eingabe!$E$11&gt;=126),3,"")</f>
        <v/>
      </c>
      <c r="B538" s="19" t="str">
        <f aca="false">IF(AND(Eingabe!$F$11&gt;0,Eingabe!$E$11&gt;=126),Eingabe!$B$11,"")</f>
        <v/>
      </c>
      <c r="C538" s="19" t="str">
        <f aca="false">IF(AND(Eingabe!$F$11&gt;0,Eingabe!$E$11&gt;=126),Eingabe!$C$11&amp;"-Paz."&amp;TEXT(126,"000"),"")</f>
        <v/>
      </c>
      <c r="D538" s="19" t="str">
        <f aca="false">IF(AND(Eingabe!$F$11&gt;0,Eingabe!$E$11&gt;=126),126,"")</f>
        <v/>
      </c>
      <c r="E538" s="19" t="str">
        <f aca="false">IF(AND(Eingabe!$F$11&gt;0,Eingabe!$E$11&gt;=126),IF((Eingabe!$G$11+1)&lt;=9,1000+(Eingabe!$G$11+1)*100,3000)+26,"")</f>
        <v/>
      </c>
      <c r="F538" s="19" t="str">
        <f aca="false">IF(AND(Eingabe!$F$11&gt;0,Eingabe!$E$11&gt;=126),"10."&amp;Eingabe!$D$11&amp;".126.0/24","")</f>
        <v/>
      </c>
      <c r="G538" s="19" t="str">
        <f aca="false">IF(AND(Eingabe!$F$11&gt;0,Eingabe!$E$11&gt;=126),"10."&amp;Eingabe!$D$11&amp;".126.1","")</f>
        <v/>
      </c>
      <c r="H538" s="19" t="str">
        <f aca="false">IF(AND(Eingabe!$F$11&gt;0,Eingabe!$E$11&gt;=126),"10."&amp;Eingabe!$D$11&amp;".126.10 – 10."&amp;Eingabe!$D$11&amp;".126.250","")</f>
        <v/>
      </c>
      <c r="I538" s="19" t="str">
        <f aca="false">IF(AND(Eingabe!$F$11&gt;0,Eingabe!$E$11&gt;=126),Eingabe!$B$6&amp;"-"&amp;Eingabe!$C$11&amp;"-Pächter","")</f>
        <v/>
      </c>
      <c r="J538" s="19" t="str">
        <f aca="false">IF(AND(Eingabe!$F$11&gt;0,Eingabe!$E$11&gt;=126),"PPSK: Passwort Parzelle 126","")</f>
        <v/>
      </c>
      <c r="K538" s="19" t="str">
        <f aca="false">IF(AND(Eingabe!$F$11&gt;0,Eingabe!$E$11&gt;=126),"1. Gerät: 10."&amp;Eingabe!$D$11&amp;".126.10, 2. Gerät: .11","")</f>
        <v/>
      </c>
    </row>
    <row r="539" customFormat="false" ht="15" hidden="false" customHeight="false" outlineLevel="0" collapsed="false">
      <c r="A539" s="19" t="str">
        <f aca="false">IF(AND(Eingabe!$F$11&gt;0,Eingabe!$E$11&gt;=127),3,"")</f>
        <v/>
      </c>
      <c r="B539" s="19" t="str">
        <f aca="false">IF(AND(Eingabe!$F$11&gt;0,Eingabe!$E$11&gt;=127),Eingabe!$B$11,"")</f>
        <v/>
      </c>
      <c r="C539" s="19" t="str">
        <f aca="false">IF(AND(Eingabe!$F$11&gt;0,Eingabe!$E$11&gt;=127),Eingabe!$C$11&amp;"-Paz."&amp;TEXT(127,"000"),"")</f>
        <v/>
      </c>
      <c r="D539" s="19" t="str">
        <f aca="false">IF(AND(Eingabe!$F$11&gt;0,Eingabe!$E$11&gt;=127),127,"")</f>
        <v/>
      </c>
      <c r="E539" s="19" t="str">
        <f aca="false">IF(AND(Eingabe!$F$11&gt;0,Eingabe!$E$11&gt;=127),IF((Eingabe!$G$11+1)&lt;=9,1000+(Eingabe!$G$11+1)*100,3000)+27,"")</f>
        <v/>
      </c>
      <c r="F539" s="19" t="str">
        <f aca="false">IF(AND(Eingabe!$F$11&gt;0,Eingabe!$E$11&gt;=127),"10."&amp;Eingabe!$D$11&amp;".127.0/24","")</f>
        <v/>
      </c>
      <c r="G539" s="19" t="str">
        <f aca="false">IF(AND(Eingabe!$F$11&gt;0,Eingabe!$E$11&gt;=127),"10."&amp;Eingabe!$D$11&amp;".127.1","")</f>
        <v/>
      </c>
      <c r="H539" s="19" t="str">
        <f aca="false">IF(AND(Eingabe!$F$11&gt;0,Eingabe!$E$11&gt;=127),"10."&amp;Eingabe!$D$11&amp;".127.10 – 10."&amp;Eingabe!$D$11&amp;".127.250","")</f>
        <v/>
      </c>
      <c r="I539" s="19" t="str">
        <f aca="false">IF(AND(Eingabe!$F$11&gt;0,Eingabe!$E$11&gt;=127),Eingabe!$B$6&amp;"-"&amp;Eingabe!$C$11&amp;"-Pächter","")</f>
        <v/>
      </c>
      <c r="J539" s="19" t="str">
        <f aca="false">IF(AND(Eingabe!$F$11&gt;0,Eingabe!$E$11&gt;=127),"PPSK: Passwort Parzelle 127","")</f>
        <v/>
      </c>
      <c r="K539" s="19" t="str">
        <f aca="false">IF(AND(Eingabe!$F$11&gt;0,Eingabe!$E$11&gt;=127),"1. Gerät: 10."&amp;Eingabe!$D$11&amp;".127.10, 2. Gerät: .11","")</f>
        <v/>
      </c>
    </row>
    <row r="540" customFormat="false" ht="15" hidden="false" customHeight="false" outlineLevel="0" collapsed="false">
      <c r="A540" s="19" t="str">
        <f aca="false">IF(AND(Eingabe!$F$11&gt;0,Eingabe!$E$11&gt;=128),3,"")</f>
        <v/>
      </c>
      <c r="B540" s="19" t="str">
        <f aca="false">IF(AND(Eingabe!$F$11&gt;0,Eingabe!$E$11&gt;=128),Eingabe!$B$11,"")</f>
        <v/>
      </c>
      <c r="C540" s="19" t="str">
        <f aca="false">IF(AND(Eingabe!$F$11&gt;0,Eingabe!$E$11&gt;=128),Eingabe!$C$11&amp;"-Paz."&amp;TEXT(128,"000"),"")</f>
        <v/>
      </c>
      <c r="D540" s="19" t="str">
        <f aca="false">IF(AND(Eingabe!$F$11&gt;0,Eingabe!$E$11&gt;=128),128,"")</f>
        <v/>
      </c>
      <c r="E540" s="19" t="str">
        <f aca="false">IF(AND(Eingabe!$F$11&gt;0,Eingabe!$E$11&gt;=128),IF((Eingabe!$G$11+1)&lt;=9,1000+(Eingabe!$G$11+1)*100,3000)+28,"")</f>
        <v/>
      </c>
      <c r="F540" s="19" t="str">
        <f aca="false">IF(AND(Eingabe!$F$11&gt;0,Eingabe!$E$11&gt;=128),"10."&amp;Eingabe!$D$11&amp;".128.0/24","")</f>
        <v/>
      </c>
      <c r="G540" s="19" t="str">
        <f aca="false">IF(AND(Eingabe!$F$11&gt;0,Eingabe!$E$11&gt;=128),"10."&amp;Eingabe!$D$11&amp;".128.1","")</f>
        <v/>
      </c>
      <c r="H540" s="19" t="str">
        <f aca="false">IF(AND(Eingabe!$F$11&gt;0,Eingabe!$E$11&gt;=128),"10."&amp;Eingabe!$D$11&amp;".128.10 – 10."&amp;Eingabe!$D$11&amp;".128.250","")</f>
        <v/>
      </c>
      <c r="I540" s="19" t="str">
        <f aca="false">IF(AND(Eingabe!$F$11&gt;0,Eingabe!$E$11&gt;=128),Eingabe!$B$6&amp;"-"&amp;Eingabe!$C$11&amp;"-Pächter","")</f>
        <v/>
      </c>
      <c r="J540" s="19" t="str">
        <f aca="false">IF(AND(Eingabe!$F$11&gt;0,Eingabe!$E$11&gt;=128),"PPSK: Passwort Parzelle 128","")</f>
        <v/>
      </c>
      <c r="K540" s="19" t="str">
        <f aca="false">IF(AND(Eingabe!$F$11&gt;0,Eingabe!$E$11&gt;=128),"1. Gerät: 10."&amp;Eingabe!$D$11&amp;".128.10, 2. Gerät: .11","")</f>
        <v/>
      </c>
    </row>
    <row r="541" customFormat="false" ht="15" hidden="false" customHeight="false" outlineLevel="0" collapsed="false">
      <c r="A541" s="19" t="str">
        <f aca="false">IF(AND(Eingabe!$F$11&gt;0,Eingabe!$E$11&gt;=129),3,"")</f>
        <v/>
      </c>
      <c r="B541" s="19" t="str">
        <f aca="false">IF(AND(Eingabe!$F$11&gt;0,Eingabe!$E$11&gt;=129),Eingabe!$B$11,"")</f>
        <v/>
      </c>
      <c r="C541" s="19" t="str">
        <f aca="false">IF(AND(Eingabe!$F$11&gt;0,Eingabe!$E$11&gt;=129),Eingabe!$C$11&amp;"-Paz."&amp;TEXT(129,"000"),"")</f>
        <v/>
      </c>
      <c r="D541" s="19" t="str">
        <f aca="false">IF(AND(Eingabe!$F$11&gt;0,Eingabe!$E$11&gt;=129),129,"")</f>
        <v/>
      </c>
      <c r="E541" s="19" t="str">
        <f aca="false">IF(AND(Eingabe!$F$11&gt;0,Eingabe!$E$11&gt;=129),IF((Eingabe!$G$11+1)&lt;=9,1000+(Eingabe!$G$11+1)*100,3000)+29,"")</f>
        <v/>
      </c>
      <c r="F541" s="19" t="str">
        <f aca="false">IF(AND(Eingabe!$F$11&gt;0,Eingabe!$E$11&gt;=129),"10."&amp;Eingabe!$D$11&amp;".129.0/24","")</f>
        <v/>
      </c>
      <c r="G541" s="19" t="str">
        <f aca="false">IF(AND(Eingabe!$F$11&gt;0,Eingabe!$E$11&gt;=129),"10."&amp;Eingabe!$D$11&amp;".129.1","")</f>
        <v/>
      </c>
      <c r="H541" s="19" t="str">
        <f aca="false">IF(AND(Eingabe!$F$11&gt;0,Eingabe!$E$11&gt;=129),"10."&amp;Eingabe!$D$11&amp;".129.10 – 10."&amp;Eingabe!$D$11&amp;".129.250","")</f>
        <v/>
      </c>
      <c r="I541" s="19" t="str">
        <f aca="false">IF(AND(Eingabe!$F$11&gt;0,Eingabe!$E$11&gt;=129),Eingabe!$B$6&amp;"-"&amp;Eingabe!$C$11&amp;"-Pächter","")</f>
        <v/>
      </c>
      <c r="J541" s="19" t="str">
        <f aca="false">IF(AND(Eingabe!$F$11&gt;0,Eingabe!$E$11&gt;=129),"PPSK: Passwort Parzelle 129","")</f>
        <v/>
      </c>
      <c r="K541" s="19" t="str">
        <f aca="false">IF(AND(Eingabe!$F$11&gt;0,Eingabe!$E$11&gt;=129),"1. Gerät: 10."&amp;Eingabe!$D$11&amp;".129.10, 2. Gerät: .11","")</f>
        <v/>
      </c>
    </row>
    <row r="542" customFormat="false" ht="15" hidden="false" customHeight="false" outlineLevel="0" collapsed="false">
      <c r="A542" s="19" t="str">
        <f aca="false">IF(AND(Eingabe!$F$11&gt;0,Eingabe!$E$11&gt;=130),3,"")</f>
        <v/>
      </c>
      <c r="B542" s="19" t="str">
        <f aca="false">IF(AND(Eingabe!$F$11&gt;0,Eingabe!$E$11&gt;=130),Eingabe!$B$11,"")</f>
        <v/>
      </c>
      <c r="C542" s="19" t="str">
        <f aca="false">IF(AND(Eingabe!$F$11&gt;0,Eingabe!$E$11&gt;=130),Eingabe!$C$11&amp;"-Paz."&amp;TEXT(130,"000"),"")</f>
        <v/>
      </c>
      <c r="D542" s="19" t="str">
        <f aca="false">IF(AND(Eingabe!$F$11&gt;0,Eingabe!$E$11&gt;=130),130,"")</f>
        <v/>
      </c>
      <c r="E542" s="19" t="str">
        <f aca="false">IF(AND(Eingabe!$F$11&gt;0,Eingabe!$E$11&gt;=130),IF((Eingabe!$G$11+1)&lt;=9,1000+(Eingabe!$G$11+1)*100,3000)+30,"")</f>
        <v/>
      </c>
      <c r="F542" s="19" t="str">
        <f aca="false">IF(AND(Eingabe!$F$11&gt;0,Eingabe!$E$11&gt;=130),"10."&amp;Eingabe!$D$11&amp;".130.0/24","")</f>
        <v/>
      </c>
      <c r="G542" s="19" t="str">
        <f aca="false">IF(AND(Eingabe!$F$11&gt;0,Eingabe!$E$11&gt;=130),"10."&amp;Eingabe!$D$11&amp;".130.1","")</f>
        <v/>
      </c>
      <c r="H542" s="19" t="str">
        <f aca="false">IF(AND(Eingabe!$F$11&gt;0,Eingabe!$E$11&gt;=130),"10."&amp;Eingabe!$D$11&amp;".130.10 – 10."&amp;Eingabe!$D$11&amp;".130.250","")</f>
        <v/>
      </c>
      <c r="I542" s="19" t="str">
        <f aca="false">IF(AND(Eingabe!$F$11&gt;0,Eingabe!$E$11&gt;=130),Eingabe!$B$6&amp;"-"&amp;Eingabe!$C$11&amp;"-Pächter","")</f>
        <v/>
      </c>
      <c r="J542" s="19" t="str">
        <f aca="false">IF(AND(Eingabe!$F$11&gt;0,Eingabe!$E$11&gt;=130),"PPSK: Passwort Parzelle 130","")</f>
        <v/>
      </c>
      <c r="K542" s="19" t="str">
        <f aca="false">IF(AND(Eingabe!$F$11&gt;0,Eingabe!$E$11&gt;=130),"1. Gerät: 10."&amp;Eingabe!$D$11&amp;".130.10, 2. Gerät: .11","")</f>
        <v/>
      </c>
    </row>
    <row r="543" customFormat="false" ht="15" hidden="false" customHeight="false" outlineLevel="0" collapsed="false">
      <c r="A543" s="19" t="str">
        <f aca="false">IF(AND(Eingabe!$F$11&gt;0,Eingabe!$E$11&gt;=131),3,"")</f>
        <v/>
      </c>
      <c r="B543" s="19" t="str">
        <f aca="false">IF(AND(Eingabe!$F$11&gt;0,Eingabe!$E$11&gt;=131),Eingabe!$B$11,"")</f>
        <v/>
      </c>
      <c r="C543" s="19" t="str">
        <f aca="false">IF(AND(Eingabe!$F$11&gt;0,Eingabe!$E$11&gt;=131),Eingabe!$C$11&amp;"-Paz."&amp;TEXT(131,"000"),"")</f>
        <v/>
      </c>
      <c r="D543" s="19" t="str">
        <f aca="false">IF(AND(Eingabe!$F$11&gt;0,Eingabe!$E$11&gt;=131),131,"")</f>
        <v/>
      </c>
      <c r="E543" s="19" t="str">
        <f aca="false">IF(AND(Eingabe!$F$11&gt;0,Eingabe!$E$11&gt;=131),IF((Eingabe!$G$11+1)&lt;=9,1000+(Eingabe!$G$11+1)*100,3000)+31,"")</f>
        <v/>
      </c>
      <c r="F543" s="19" t="str">
        <f aca="false">IF(AND(Eingabe!$F$11&gt;0,Eingabe!$E$11&gt;=131),"10."&amp;Eingabe!$D$11&amp;".131.0/24","")</f>
        <v/>
      </c>
      <c r="G543" s="19" t="str">
        <f aca="false">IF(AND(Eingabe!$F$11&gt;0,Eingabe!$E$11&gt;=131),"10."&amp;Eingabe!$D$11&amp;".131.1","")</f>
        <v/>
      </c>
      <c r="H543" s="19" t="str">
        <f aca="false">IF(AND(Eingabe!$F$11&gt;0,Eingabe!$E$11&gt;=131),"10."&amp;Eingabe!$D$11&amp;".131.10 – 10."&amp;Eingabe!$D$11&amp;".131.250","")</f>
        <v/>
      </c>
      <c r="I543" s="19" t="str">
        <f aca="false">IF(AND(Eingabe!$F$11&gt;0,Eingabe!$E$11&gt;=131),Eingabe!$B$6&amp;"-"&amp;Eingabe!$C$11&amp;"-Pächter","")</f>
        <v/>
      </c>
      <c r="J543" s="19" t="str">
        <f aca="false">IF(AND(Eingabe!$F$11&gt;0,Eingabe!$E$11&gt;=131),"PPSK: Passwort Parzelle 131","")</f>
        <v/>
      </c>
      <c r="K543" s="19" t="str">
        <f aca="false">IF(AND(Eingabe!$F$11&gt;0,Eingabe!$E$11&gt;=131),"1. Gerät: 10."&amp;Eingabe!$D$11&amp;".131.10, 2. Gerät: .11","")</f>
        <v/>
      </c>
    </row>
    <row r="544" customFormat="false" ht="15" hidden="false" customHeight="false" outlineLevel="0" collapsed="false">
      <c r="A544" s="19" t="str">
        <f aca="false">IF(AND(Eingabe!$F$11&gt;0,Eingabe!$E$11&gt;=132),3,"")</f>
        <v/>
      </c>
      <c r="B544" s="19" t="str">
        <f aca="false">IF(AND(Eingabe!$F$11&gt;0,Eingabe!$E$11&gt;=132),Eingabe!$B$11,"")</f>
        <v/>
      </c>
      <c r="C544" s="19" t="str">
        <f aca="false">IF(AND(Eingabe!$F$11&gt;0,Eingabe!$E$11&gt;=132),Eingabe!$C$11&amp;"-Paz."&amp;TEXT(132,"000"),"")</f>
        <v/>
      </c>
      <c r="D544" s="19" t="str">
        <f aca="false">IF(AND(Eingabe!$F$11&gt;0,Eingabe!$E$11&gt;=132),132,"")</f>
        <v/>
      </c>
      <c r="E544" s="19" t="str">
        <f aca="false">IF(AND(Eingabe!$F$11&gt;0,Eingabe!$E$11&gt;=132),IF((Eingabe!$G$11+1)&lt;=9,1000+(Eingabe!$G$11+1)*100,3000)+32,"")</f>
        <v/>
      </c>
      <c r="F544" s="19" t="str">
        <f aca="false">IF(AND(Eingabe!$F$11&gt;0,Eingabe!$E$11&gt;=132),"10."&amp;Eingabe!$D$11&amp;".132.0/24","")</f>
        <v/>
      </c>
      <c r="G544" s="19" t="str">
        <f aca="false">IF(AND(Eingabe!$F$11&gt;0,Eingabe!$E$11&gt;=132),"10."&amp;Eingabe!$D$11&amp;".132.1","")</f>
        <v/>
      </c>
      <c r="H544" s="19" t="str">
        <f aca="false">IF(AND(Eingabe!$F$11&gt;0,Eingabe!$E$11&gt;=132),"10."&amp;Eingabe!$D$11&amp;".132.10 – 10."&amp;Eingabe!$D$11&amp;".132.250","")</f>
        <v/>
      </c>
      <c r="I544" s="19" t="str">
        <f aca="false">IF(AND(Eingabe!$F$11&gt;0,Eingabe!$E$11&gt;=132),Eingabe!$B$6&amp;"-"&amp;Eingabe!$C$11&amp;"-Pächter","")</f>
        <v/>
      </c>
      <c r="J544" s="19" t="str">
        <f aca="false">IF(AND(Eingabe!$F$11&gt;0,Eingabe!$E$11&gt;=132),"PPSK: Passwort Parzelle 132","")</f>
        <v/>
      </c>
      <c r="K544" s="19" t="str">
        <f aca="false">IF(AND(Eingabe!$F$11&gt;0,Eingabe!$E$11&gt;=132),"1. Gerät: 10."&amp;Eingabe!$D$11&amp;".132.10, 2. Gerät: .11","")</f>
        <v/>
      </c>
    </row>
    <row r="545" customFormat="false" ht="15" hidden="false" customHeight="false" outlineLevel="0" collapsed="false">
      <c r="A545" s="19" t="str">
        <f aca="false">IF(AND(Eingabe!$F$11&gt;0,Eingabe!$E$11&gt;=133),3,"")</f>
        <v/>
      </c>
      <c r="B545" s="19" t="str">
        <f aca="false">IF(AND(Eingabe!$F$11&gt;0,Eingabe!$E$11&gt;=133),Eingabe!$B$11,"")</f>
        <v/>
      </c>
      <c r="C545" s="19" t="str">
        <f aca="false">IF(AND(Eingabe!$F$11&gt;0,Eingabe!$E$11&gt;=133),Eingabe!$C$11&amp;"-Paz."&amp;TEXT(133,"000"),"")</f>
        <v/>
      </c>
      <c r="D545" s="19" t="str">
        <f aca="false">IF(AND(Eingabe!$F$11&gt;0,Eingabe!$E$11&gt;=133),133,"")</f>
        <v/>
      </c>
      <c r="E545" s="19" t="str">
        <f aca="false">IF(AND(Eingabe!$F$11&gt;0,Eingabe!$E$11&gt;=133),IF((Eingabe!$G$11+1)&lt;=9,1000+(Eingabe!$G$11+1)*100,3000)+33,"")</f>
        <v/>
      </c>
      <c r="F545" s="19" t="str">
        <f aca="false">IF(AND(Eingabe!$F$11&gt;0,Eingabe!$E$11&gt;=133),"10."&amp;Eingabe!$D$11&amp;".133.0/24","")</f>
        <v/>
      </c>
      <c r="G545" s="19" t="str">
        <f aca="false">IF(AND(Eingabe!$F$11&gt;0,Eingabe!$E$11&gt;=133),"10."&amp;Eingabe!$D$11&amp;".133.1","")</f>
        <v/>
      </c>
      <c r="H545" s="19" t="str">
        <f aca="false">IF(AND(Eingabe!$F$11&gt;0,Eingabe!$E$11&gt;=133),"10."&amp;Eingabe!$D$11&amp;".133.10 – 10."&amp;Eingabe!$D$11&amp;".133.250","")</f>
        <v/>
      </c>
      <c r="I545" s="19" t="str">
        <f aca="false">IF(AND(Eingabe!$F$11&gt;0,Eingabe!$E$11&gt;=133),Eingabe!$B$6&amp;"-"&amp;Eingabe!$C$11&amp;"-Pächter","")</f>
        <v/>
      </c>
      <c r="J545" s="19" t="str">
        <f aca="false">IF(AND(Eingabe!$F$11&gt;0,Eingabe!$E$11&gt;=133),"PPSK: Passwort Parzelle 133","")</f>
        <v/>
      </c>
      <c r="K545" s="19" t="str">
        <f aca="false">IF(AND(Eingabe!$F$11&gt;0,Eingabe!$E$11&gt;=133),"1. Gerät: 10."&amp;Eingabe!$D$11&amp;".133.10, 2. Gerät: .11","")</f>
        <v/>
      </c>
    </row>
    <row r="546" customFormat="false" ht="15" hidden="false" customHeight="false" outlineLevel="0" collapsed="false">
      <c r="A546" s="19" t="str">
        <f aca="false">IF(AND(Eingabe!$F$11&gt;0,Eingabe!$E$11&gt;=134),3,"")</f>
        <v/>
      </c>
      <c r="B546" s="19" t="str">
        <f aca="false">IF(AND(Eingabe!$F$11&gt;0,Eingabe!$E$11&gt;=134),Eingabe!$B$11,"")</f>
        <v/>
      </c>
      <c r="C546" s="19" t="str">
        <f aca="false">IF(AND(Eingabe!$F$11&gt;0,Eingabe!$E$11&gt;=134),Eingabe!$C$11&amp;"-Paz."&amp;TEXT(134,"000"),"")</f>
        <v/>
      </c>
      <c r="D546" s="19" t="str">
        <f aca="false">IF(AND(Eingabe!$F$11&gt;0,Eingabe!$E$11&gt;=134),134,"")</f>
        <v/>
      </c>
      <c r="E546" s="19" t="str">
        <f aca="false">IF(AND(Eingabe!$F$11&gt;0,Eingabe!$E$11&gt;=134),IF((Eingabe!$G$11+1)&lt;=9,1000+(Eingabe!$G$11+1)*100,3000)+34,"")</f>
        <v/>
      </c>
      <c r="F546" s="19" t="str">
        <f aca="false">IF(AND(Eingabe!$F$11&gt;0,Eingabe!$E$11&gt;=134),"10."&amp;Eingabe!$D$11&amp;".134.0/24","")</f>
        <v/>
      </c>
      <c r="G546" s="19" t="str">
        <f aca="false">IF(AND(Eingabe!$F$11&gt;0,Eingabe!$E$11&gt;=134),"10."&amp;Eingabe!$D$11&amp;".134.1","")</f>
        <v/>
      </c>
      <c r="H546" s="19" t="str">
        <f aca="false">IF(AND(Eingabe!$F$11&gt;0,Eingabe!$E$11&gt;=134),"10."&amp;Eingabe!$D$11&amp;".134.10 – 10."&amp;Eingabe!$D$11&amp;".134.250","")</f>
        <v/>
      </c>
      <c r="I546" s="19" t="str">
        <f aca="false">IF(AND(Eingabe!$F$11&gt;0,Eingabe!$E$11&gt;=134),Eingabe!$B$6&amp;"-"&amp;Eingabe!$C$11&amp;"-Pächter","")</f>
        <v/>
      </c>
      <c r="J546" s="19" t="str">
        <f aca="false">IF(AND(Eingabe!$F$11&gt;0,Eingabe!$E$11&gt;=134),"PPSK: Passwort Parzelle 134","")</f>
        <v/>
      </c>
      <c r="K546" s="19" t="str">
        <f aca="false">IF(AND(Eingabe!$F$11&gt;0,Eingabe!$E$11&gt;=134),"1. Gerät: 10."&amp;Eingabe!$D$11&amp;".134.10, 2. Gerät: .11","")</f>
        <v/>
      </c>
    </row>
    <row r="547" customFormat="false" ht="15" hidden="false" customHeight="false" outlineLevel="0" collapsed="false">
      <c r="A547" s="19" t="str">
        <f aca="false">IF(AND(Eingabe!$F$11&gt;0,Eingabe!$E$11&gt;=135),3,"")</f>
        <v/>
      </c>
      <c r="B547" s="19" t="str">
        <f aca="false">IF(AND(Eingabe!$F$11&gt;0,Eingabe!$E$11&gt;=135),Eingabe!$B$11,"")</f>
        <v/>
      </c>
      <c r="C547" s="19" t="str">
        <f aca="false">IF(AND(Eingabe!$F$11&gt;0,Eingabe!$E$11&gt;=135),Eingabe!$C$11&amp;"-Paz."&amp;TEXT(135,"000"),"")</f>
        <v/>
      </c>
      <c r="D547" s="19" t="str">
        <f aca="false">IF(AND(Eingabe!$F$11&gt;0,Eingabe!$E$11&gt;=135),135,"")</f>
        <v/>
      </c>
      <c r="E547" s="19" t="str">
        <f aca="false">IF(AND(Eingabe!$F$11&gt;0,Eingabe!$E$11&gt;=135),IF((Eingabe!$G$11+1)&lt;=9,1000+(Eingabe!$G$11+1)*100,3000)+35,"")</f>
        <v/>
      </c>
      <c r="F547" s="19" t="str">
        <f aca="false">IF(AND(Eingabe!$F$11&gt;0,Eingabe!$E$11&gt;=135),"10."&amp;Eingabe!$D$11&amp;".135.0/24","")</f>
        <v/>
      </c>
      <c r="G547" s="19" t="str">
        <f aca="false">IF(AND(Eingabe!$F$11&gt;0,Eingabe!$E$11&gt;=135),"10."&amp;Eingabe!$D$11&amp;".135.1","")</f>
        <v/>
      </c>
      <c r="H547" s="19" t="str">
        <f aca="false">IF(AND(Eingabe!$F$11&gt;0,Eingabe!$E$11&gt;=135),"10."&amp;Eingabe!$D$11&amp;".135.10 – 10."&amp;Eingabe!$D$11&amp;".135.250","")</f>
        <v/>
      </c>
      <c r="I547" s="19" t="str">
        <f aca="false">IF(AND(Eingabe!$F$11&gt;0,Eingabe!$E$11&gt;=135),Eingabe!$B$6&amp;"-"&amp;Eingabe!$C$11&amp;"-Pächter","")</f>
        <v/>
      </c>
      <c r="J547" s="19" t="str">
        <f aca="false">IF(AND(Eingabe!$F$11&gt;0,Eingabe!$E$11&gt;=135),"PPSK: Passwort Parzelle 135","")</f>
        <v/>
      </c>
      <c r="K547" s="19" t="str">
        <f aca="false">IF(AND(Eingabe!$F$11&gt;0,Eingabe!$E$11&gt;=135),"1. Gerät: 10."&amp;Eingabe!$D$11&amp;".135.10, 2. Gerät: .11","")</f>
        <v/>
      </c>
    </row>
    <row r="548" customFormat="false" ht="15" hidden="false" customHeight="false" outlineLevel="0" collapsed="false">
      <c r="A548" s="19" t="str">
        <f aca="false">IF(AND(Eingabe!$F$11&gt;0,Eingabe!$E$11&gt;=136),3,"")</f>
        <v/>
      </c>
      <c r="B548" s="19" t="str">
        <f aca="false">IF(AND(Eingabe!$F$11&gt;0,Eingabe!$E$11&gt;=136),Eingabe!$B$11,"")</f>
        <v/>
      </c>
      <c r="C548" s="19" t="str">
        <f aca="false">IF(AND(Eingabe!$F$11&gt;0,Eingabe!$E$11&gt;=136),Eingabe!$C$11&amp;"-Paz."&amp;TEXT(136,"000"),"")</f>
        <v/>
      </c>
      <c r="D548" s="19" t="str">
        <f aca="false">IF(AND(Eingabe!$F$11&gt;0,Eingabe!$E$11&gt;=136),136,"")</f>
        <v/>
      </c>
      <c r="E548" s="19" t="str">
        <f aca="false">IF(AND(Eingabe!$F$11&gt;0,Eingabe!$E$11&gt;=136),IF((Eingabe!$G$11+1)&lt;=9,1000+(Eingabe!$G$11+1)*100,3000)+36,"")</f>
        <v/>
      </c>
      <c r="F548" s="19" t="str">
        <f aca="false">IF(AND(Eingabe!$F$11&gt;0,Eingabe!$E$11&gt;=136),"10."&amp;Eingabe!$D$11&amp;".136.0/24","")</f>
        <v/>
      </c>
      <c r="G548" s="19" t="str">
        <f aca="false">IF(AND(Eingabe!$F$11&gt;0,Eingabe!$E$11&gt;=136),"10."&amp;Eingabe!$D$11&amp;".136.1","")</f>
        <v/>
      </c>
      <c r="H548" s="19" t="str">
        <f aca="false">IF(AND(Eingabe!$F$11&gt;0,Eingabe!$E$11&gt;=136),"10."&amp;Eingabe!$D$11&amp;".136.10 – 10."&amp;Eingabe!$D$11&amp;".136.250","")</f>
        <v/>
      </c>
      <c r="I548" s="19" t="str">
        <f aca="false">IF(AND(Eingabe!$F$11&gt;0,Eingabe!$E$11&gt;=136),Eingabe!$B$6&amp;"-"&amp;Eingabe!$C$11&amp;"-Pächter","")</f>
        <v/>
      </c>
      <c r="J548" s="19" t="str">
        <f aca="false">IF(AND(Eingabe!$F$11&gt;0,Eingabe!$E$11&gt;=136),"PPSK: Passwort Parzelle 136","")</f>
        <v/>
      </c>
      <c r="K548" s="19" t="str">
        <f aca="false">IF(AND(Eingabe!$F$11&gt;0,Eingabe!$E$11&gt;=136),"1. Gerät: 10."&amp;Eingabe!$D$11&amp;".136.10, 2. Gerät: .11","")</f>
        <v/>
      </c>
    </row>
    <row r="549" customFormat="false" ht="15" hidden="false" customHeight="false" outlineLevel="0" collapsed="false">
      <c r="A549" s="19" t="str">
        <f aca="false">IF(AND(Eingabe!$F$11&gt;0,Eingabe!$E$11&gt;=137),3,"")</f>
        <v/>
      </c>
      <c r="B549" s="19" t="str">
        <f aca="false">IF(AND(Eingabe!$F$11&gt;0,Eingabe!$E$11&gt;=137),Eingabe!$B$11,"")</f>
        <v/>
      </c>
      <c r="C549" s="19" t="str">
        <f aca="false">IF(AND(Eingabe!$F$11&gt;0,Eingabe!$E$11&gt;=137),Eingabe!$C$11&amp;"-Paz."&amp;TEXT(137,"000"),"")</f>
        <v/>
      </c>
      <c r="D549" s="19" t="str">
        <f aca="false">IF(AND(Eingabe!$F$11&gt;0,Eingabe!$E$11&gt;=137),137,"")</f>
        <v/>
      </c>
      <c r="E549" s="19" t="str">
        <f aca="false">IF(AND(Eingabe!$F$11&gt;0,Eingabe!$E$11&gt;=137),IF((Eingabe!$G$11+1)&lt;=9,1000+(Eingabe!$G$11+1)*100,3000)+37,"")</f>
        <v/>
      </c>
      <c r="F549" s="19" t="str">
        <f aca="false">IF(AND(Eingabe!$F$11&gt;0,Eingabe!$E$11&gt;=137),"10."&amp;Eingabe!$D$11&amp;".137.0/24","")</f>
        <v/>
      </c>
      <c r="G549" s="19" t="str">
        <f aca="false">IF(AND(Eingabe!$F$11&gt;0,Eingabe!$E$11&gt;=137),"10."&amp;Eingabe!$D$11&amp;".137.1","")</f>
        <v/>
      </c>
      <c r="H549" s="19" t="str">
        <f aca="false">IF(AND(Eingabe!$F$11&gt;0,Eingabe!$E$11&gt;=137),"10."&amp;Eingabe!$D$11&amp;".137.10 – 10."&amp;Eingabe!$D$11&amp;".137.250","")</f>
        <v/>
      </c>
      <c r="I549" s="19" t="str">
        <f aca="false">IF(AND(Eingabe!$F$11&gt;0,Eingabe!$E$11&gt;=137),Eingabe!$B$6&amp;"-"&amp;Eingabe!$C$11&amp;"-Pächter","")</f>
        <v/>
      </c>
      <c r="J549" s="19" t="str">
        <f aca="false">IF(AND(Eingabe!$F$11&gt;0,Eingabe!$E$11&gt;=137),"PPSK: Passwort Parzelle 137","")</f>
        <v/>
      </c>
      <c r="K549" s="19" t="str">
        <f aca="false">IF(AND(Eingabe!$F$11&gt;0,Eingabe!$E$11&gt;=137),"1. Gerät: 10."&amp;Eingabe!$D$11&amp;".137.10, 2. Gerät: .11","")</f>
        <v/>
      </c>
    </row>
    <row r="550" customFormat="false" ht="15" hidden="false" customHeight="false" outlineLevel="0" collapsed="false">
      <c r="A550" s="19" t="str">
        <f aca="false">IF(AND(Eingabe!$F$11&gt;0,Eingabe!$E$11&gt;=138),3,"")</f>
        <v/>
      </c>
      <c r="B550" s="19" t="str">
        <f aca="false">IF(AND(Eingabe!$F$11&gt;0,Eingabe!$E$11&gt;=138),Eingabe!$B$11,"")</f>
        <v/>
      </c>
      <c r="C550" s="19" t="str">
        <f aca="false">IF(AND(Eingabe!$F$11&gt;0,Eingabe!$E$11&gt;=138),Eingabe!$C$11&amp;"-Paz."&amp;TEXT(138,"000"),"")</f>
        <v/>
      </c>
      <c r="D550" s="19" t="str">
        <f aca="false">IF(AND(Eingabe!$F$11&gt;0,Eingabe!$E$11&gt;=138),138,"")</f>
        <v/>
      </c>
      <c r="E550" s="19" t="str">
        <f aca="false">IF(AND(Eingabe!$F$11&gt;0,Eingabe!$E$11&gt;=138),IF((Eingabe!$G$11+1)&lt;=9,1000+(Eingabe!$G$11+1)*100,3000)+38,"")</f>
        <v/>
      </c>
      <c r="F550" s="19" t="str">
        <f aca="false">IF(AND(Eingabe!$F$11&gt;0,Eingabe!$E$11&gt;=138),"10."&amp;Eingabe!$D$11&amp;".138.0/24","")</f>
        <v/>
      </c>
      <c r="G550" s="19" t="str">
        <f aca="false">IF(AND(Eingabe!$F$11&gt;0,Eingabe!$E$11&gt;=138),"10."&amp;Eingabe!$D$11&amp;".138.1","")</f>
        <v/>
      </c>
      <c r="H550" s="19" t="str">
        <f aca="false">IF(AND(Eingabe!$F$11&gt;0,Eingabe!$E$11&gt;=138),"10."&amp;Eingabe!$D$11&amp;".138.10 – 10."&amp;Eingabe!$D$11&amp;".138.250","")</f>
        <v/>
      </c>
      <c r="I550" s="19" t="str">
        <f aca="false">IF(AND(Eingabe!$F$11&gt;0,Eingabe!$E$11&gt;=138),Eingabe!$B$6&amp;"-"&amp;Eingabe!$C$11&amp;"-Pächter","")</f>
        <v/>
      </c>
      <c r="J550" s="19" t="str">
        <f aca="false">IF(AND(Eingabe!$F$11&gt;0,Eingabe!$E$11&gt;=138),"PPSK: Passwort Parzelle 138","")</f>
        <v/>
      </c>
      <c r="K550" s="19" t="str">
        <f aca="false">IF(AND(Eingabe!$F$11&gt;0,Eingabe!$E$11&gt;=138),"1. Gerät: 10."&amp;Eingabe!$D$11&amp;".138.10, 2. Gerät: .11","")</f>
        <v/>
      </c>
    </row>
    <row r="551" customFormat="false" ht="15" hidden="false" customHeight="false" outlineLevel="0" collapsed="false">
      <c r="A551" s="19" t="str">
        <f aca="false">IF(AND(Eingabe!$F$11&gt;0,Eingabe!$E$11&gt;=139),3,"")</f>
        <v/>
      </c>
      <c r="B551" s="19" t="str">
        <f aca="false">IF(AND(Eingabe!$F$11&gt;0,Eingabe!$E$11&gt;=139),Eingabe!$B$11,"")</f>
        <v/>
      </c>
      <c r="C551" s="19" t="str">
        <f aca="false">IF(AND(Eingabe!$F$11&gt;0,Eingabe!$E$11&gt;=139),Eingabe!$C$11&amp;"-Paz."&amp;TEXT(139,"000"),"")</f>
        <v/>
      </c>
      <c r="D551" s="19" t="str">
        <f aca="false">IF(AND(Eingabe!$F$11&gt;0,Eingabe!$E$11&gt;=139),139,"")</f>
        <v/>
      </c>
      <c r="E551" s="19" t="str">
        <f aca="false">IF(AND(Eingabe!$F$11&gt;0,Eingabe!$E$11&gt;=139),IF((Eingabe!$G$11+1)&lt;=9,1000+(Eingabe!$G$11+1)*100,3000)+39,"")</f>
        <v/>
      </c>
      <c r="F551" s="19" t="str">
        <f aca="false">IF(AND(Eingabe!$F$11&gt;0,Eingabe!$E$11&gt;=139),"10."&amp;Eingabe!$D$11&amp;".139.0/24","")</f>
        <v/>
      </c>
      <c r="G551" s="19" t="str">
        <f aca="false">IF(AND(Eingabe!$F$11&gt;0,Eingabe!$E$11&gt;=139),"10."&amp;Eingabe!$D$11&amp;".139.1","")</f>
        <v/>
      </c>
      <c r="H551" s="19" t="str">
        <f aca="false">IF(AND(Eingabe!$F$11&gt;0,Eingabe!$E$11&gt;=139),"10."&amp;Eingabe!$D$11&amp;".139.10 – 10."&amp;Eingabe!$D$11&amp;".139.250","")</f>
        <v/>
      </c>
      <c r="I551" s="19" t="str">
        <f aca="false">IF(AND(Eingabe!$F$11&gt;0,Eingabe!$E$11&gt;=139),Eingabe!$B$6&amp;"-"&amp;Eingabe!$C$11&amp;"-Pächter","")</f>
        <v/>
      </c>
      <c r="J551" s="19" t="str">
        <f aca="false">IF(AND(Eingabe!$F$11&gt;0,Eingabe!$E$11&gt;=139),"PPSK: Passwort Parzelle 139","")</f>
        <v/>
      </c>
      <c r="K551" s="19" t="str">
        <f aca="false">IF(AND(Eingabe!$F$11&gt;0,Eingabe!$E$11&gt;=139),"1. Gerät: 10."&amp;Eingabe!$D$11&amp;".139.10, 2. Gerät: .11","")</f>
        <v/>
      </c>
    </row>
    <row r="552" customFormat="false" ht="15" hidden="false" customHeight="false" outlineLevel="0" collapsed="false">
      <c r="A552" s="19" t="str">
        <f aca="false">IF(AND(Eingabe!$F$11&gt;0,Eingabe!$E$11&gt;=140),3,"")</f>
        <v/>
      </c>
      <c r="B552" s="19" t="str">
        <f aca="false">IF(AND(Eingabe!$F$11&gt;0,Eingabe!$E$11&gt;=140),Eingabe!$B$11,"")</f>
        <v/>
      </c>
      <c r="C552" s="19" t="str">
        <f aca="false">IF(AND(Eingabe!$F$11&gt;0,Eingabe!$E$11&gt;=140),Eingabe!$C$11&amp;"-Paz."&amp;TEXT(140,"000"),"")</f>
        <v/>
      </c>
      <c r="D552" s="19" t="str">
        <f aca="false">IF(AND(Eingabe!$F$11&gt;0,Eingabe!$E$11&gt;=140),140,"")</f>
        <v/>
      </c>
      <c r="E552" s="19" t="str">
        <f aca="false">IF(AND(Eingabe!$F$11&gt;0,Eingabe!$E$11&gt;=140),IF((Eingabe!$G$11+1)&lt;=9,1000+(Eingabe!$G$11+1)*100,3000)+40,"")</f>
        <v/>
      </c>
      <c r="F552" s="19" t="str">
        <f aca="false">IF(AND(Eingabe!$F$11&gt;0,Eingabe!$E$11&gt;=140),"10."&amp;Eingabe!$D$11&amp;".140.0/24","")</f>
        <v/>
      </c>
      <c r="G552" s="19" t="str">
        <f aca="false">IF(AND(Eingabe!$F$11&gt;0,Eingabe!$E$11&gt;=140),"10."&amp;Eingabe!$D$11&amp;".140.1","")</f>
        <v/>
      </c>
      <c r="H552" s="19" t="str">
        <f aca="false">IF(AND(Eingabe!$F$11&gt;0,Eingabe!$E$11&gt;=140),"10."&amp;Eingabe!$D$11&amp;".140.10 – 10."&amp;Eingabe!$D$11&amp;".140.250","")</f>
        <v/>
      </c>
      <c r="I552" s="19" t="str">
        <f aca="false">IF(AND(Eingabe!$F$11&gt;0,Eingabe!$E$11&gt;=140),Eingabe!$B$6&amp;"-"&amp;Eingabe!$C$11&amp;"-Pächter","")</f>
        <v/>
      </c>
      <c r="J552" s="19" t="str">
        <f aca="false">IF(AND(Eingabe!$F$11&gt;0,Eingabe!$E$11&gt;=140),"PPSK: Passwort Parzelle 140","")</f>
        <v/>
      </c>
      <c r="K552" s="19" t="str">
        <f aca="false">IF(AND(Eingabe!$F$11&gt;0,Eingabe!$E$11&gt;=140),"1. Gerät: 10."&amp;Eingabe!$D$11&amp;".140.10, 2. Gerät: .11","")</f>
        <v/>
      </c>
    </row>
    <row r="553" customFormat="false" ht="15" hidden="false" customHeight="false" outlineLevel="0" collapsed="false">
      <c r="A553" s="19" t="str">
        <f aca="false">IF(AND(Eingabe!$F$11&gt;0,Eingabe!$E$11&gt;=141),3,"")</f>
        <v/>
      </c>
      <c r="B553" s="19" t="str">
        <f aca="false">IF(AND(Eingabe!$F$11&gt;0,Eingabe!$E$11&gt;=141),Eingabe!$B$11,"")</f>
        <v/>
      </c>
      <c r="C553" s="19" t="str">
        <f aca="false">IF(AND(Eingabe!$F$11&gt;0,Eingabe!$E$11&gt;=141),Eingabe!$C$11&amp;"-Paz."&amp;TEXT(141,"000"),"")</f>
        <v/>
      </c>
      <c r="D553" s="19" t="str">
        <f aca="false">IF(AND(Eingabe!$F$11&gt;0,Eingabe!$E$11&gt;=141),141,"")</f>
        <v/>
      </c>
      <c r="E553" s="19" t="str">
        <f aca="false">IF(AND(Eingabe!$F$11&gt;0,Eingabe!$E$11&gt;=141),IF((Eingabe!$G$11+1)&lt;=9,1000+(Eingabe!$G$11+1)*100,3000)+41,"")</f>
        <v/>
      </c>
      <c r="F553" s="19" t="str">
        <f aca="false">IF(AND(Eingabe!$F$11&gt;0,Eingabe!$E$11&gt;=141),"10."&amp;Eingabe!$D$11&amp;".141.0/24","")</f>
        <v/>
      </c>
      <c r="G553" s="19" t="str">
        <f aca="false">IF(AND(Eingabe!$F$11&gt;0,Eingabe!$E$11&gt;=141),"10."&amp;Eingabe!$D$11&amp;".141.1","")</f>
        <v/>
      </c>
      <c r="H553" s="19" t="str">
        <f aca="false">IF(AND(Eingabe!$F$11&gt;0,Eingabe!$E$11&gt;=141),"10."&amp;Eingabe!$D$11&amp;".141.10 – 10."&amp;Eingabe!$D$11&amp;".141.250","")</f>
        <v/>
      </c>
      <c r="I553" s="19" t="str">
        <f aca="false">IF(AND(Eingabe!$F$11&gt;0,Eingabe!$E$11&gt;=141),Eingabe!$B$6&amp;"-"&amp;Eingabe!$C$11&amp;"-Pächter","")</f>
        <v/>
      </c>
      <c r="J553" s="19" t="str">
        <f aca="false">IF(AND(Eingabe!$F$11&gt;0,Eingabe!$E$11&gt;=141),"PPSK: Passwort Parzelle 141","")</f>
        <v/>
      </c>
      <c r="K553" s="19" t="str">
        <f aca="false">IF(AND(Eingabe!$F$11&gt;0,Eingabe!$E$11&gt;=141),"1. Gerät: 10."&amp;Eingabe!$D$11&amp;".141.10, 2. Gerät: .11","")</f>
        <v/>
      </c>
    </row>
    <row r="554" customFormat="false" ht="15" hidden="false" customHeight="false" outlineLevel="0" collapsed="false">
      <c r="A554" s="19" t="str">
        <f aca="false">IF(AND(Eingabe!$F$11&gt;0,Eingabe!$E$11&gt;=142),3,"")</f>
        <v/>
      </c>
      <c r="B554" s="19" t="str">
        <f aca="false">IF(AND(Eingabe!$F$11&gt;0,Eingabe!$E$11&gt;=142),Eingabe!$B$11,"")</f>
        <v/>
      </c>
      <c r="C554" s="19" t="str">
        <f aca="false">IF(AND(Eingabe!$F$11&gt;0,Eingabe!$E$11&gt;=142),Eingabe!$C$11&amp;"-Paz."&amp;TEXT(142,"000"),"")</f>
        <v/>
      </c>
      <c r="D554" s="19" t="str">
        <f aca="false">IF(AND(Eingabe!$F$11&gt;0,Eingabe!$E$11&gt;=142),142,"")</f>
        <v/>
      </c>
      <c r="E554" s="19" t="str">
        <f aca="false">IF(AND(Eingabe!$F$11&gt;0,Eingabe!$E$11&gt;=142),IF((Eingabe!$G$11+1)&lt;=9,1000+(Eingabe!$G$11+1)*100,3000)+42,"")</f>
        <v/>
      </c>
      <c r="F554" s="19" t="str">
        <f aca="false">IF(AND(Eingabe!$F$11&gt;0,Eingabe!$E$11&gt;=142),"10."&amp;Eingabe!$D$11&amp;".142.0/24","")</f>
        <v/>
      </c>
      <c r="G554" s="19" t="str">
        <f aca="false">IF(AND(Eingabe!$F$11&gt;0,Eingabe!$E$11&gt;=142),"10."&amp;Eingabe!$D$11&amp;".142.1","")</f>
        <v/>
      </c>
      <c r="H554" s="19" t="str">
        <f aca="false">IF(AND(Eingabe!$F$11&gt;0,Eingabe!$E$11&gt;=142),"10."&amp;Eingabe!$D$11&amp;".142.10 – 10."&amp;Eingabe!$D$11&amp;".142.250","")</f>
        <v/>
      </c>
      <c r="I554" s="19" t="str">
        <f aca="false">IF(AND(Eingabe!$F$11&gt;0,Eingabe!$E$11&gt;=142),Eingabe!$B$6&amp;"-"&amp;Eingabe!$C$11&amp;"-Pächter","")</f>
        <v/>
      </c>
      <c r="J554" s="19" t="str">
        <f aca="false">IF(AND(Eingabe!$F$11&gt;0,Eingabe!$E$11&gt;=142),"PPSK: Passwort Parzelle 142","")</f>
        <v/>
      </c>
      <c r="K554" s="19" t="str">
        <f aca="false">IF(AND(Eingabe!$F$11&gt;0,Eingabe!$E$11&gt;=142),"1. Gerät: 10."&amp;Eingabe!$D$11&amp;".142.10, 2. Gerät: .11","")</f>
        <v/>
      </c>
    </row>
    <row r="555" customFormat="false" ht="15" hidden="false" customHeight="false" outlineLevel="0" collapsed="false">
      <c r="A555" s="19" t="str">
        <f aca="false">IF(AND(Eingabe!$F$11&gt;0,Eingabe!$E$11&gt;=143),3,"")</f>
        <v/>
      </c>
      <c r="B555" s="19" t="str">
        <f aca="false">IF(AND(Eingabe!$F$11&gt;0,Eingabe!$E$11&gt;=143),Eingabe!$B$11,"")</f>
        <v/>
      </c>
      <c r="C555" s="19" t="str">
        <f aca="false">IF(AND(Eingabe!$F$11&gt;0,Eingabe!$E$11&gt;=143),Eingabe!$C$11&amp;"-Paz."&amp;TEXT(143,"000"),"")</f>
        <v/>
      </c>
      <c r="D555" s="19" t="str">
        <f aca="false">IF(AND(Eingabe!$F$11&gt;0,Eingabe!$E$11&gt;=143),143,"")</f>
        <v/>
      </c>
      <c r="E555" s="19" t="str">
        <f aca="false">IF(AND(Eingabe!$F$11&gt;0,Eingabe!$E$11&gt;=143),IF((Eingabe!$G$11+1)&lt;=9,1000+(Eingabe!$G$11+1)*100,3000)+43,"")</f>
        <v/>
      </c>
      <c r="F555" s="19" t="str">
        <f aca="false">IF(AND(Eingabe!$F$11&gt;0,Eingabe!$E$11&gt;=143),"10."&amp;Eingabe!$D$11&amp;".143.0/24","")</f>
        <v/>
      </c>
      <c r="G555" s="19" t="str">
        <f aca="false">IF(AND(Eingabe!$F$11&gt;0,Eingabe!$E$11&gt;=143),"10."&amp;Eingabe!$D$11&amp;".143.1","")</f>
        <v/>
      </c>
      <c r="H555" s="19" t="str">
        <f aca="false">IF(AND(Eingabe!$F$11&gt;0,Eingabe!$E$11&gt;=143),"10."&amp;Eingabe!$D$11&amp;".143.10 – 10."&amp;Eingabe!$D$11&amp;".143.250","")</f>
        <v/>
      </c>
      <c r="I555" s="19" t="str">
        <f aca="false">IF(AND(Eingabe!$F$11&gt;0,Eingabe!$E$11&gt;=143),Eingabe!$B$6&amp;"-"&amp;Eingabe!$C$11&amp;"-Pächter","")</f>
        <v/>
      </c>
      <c r="J555" s="19" t="str">
        <f aca="false">IF(AND(Eingabe!$F$11&gt;0,Eingabe!$E$11&gt;=143),"PPSK: Passwort Parzelle 143","")</f>
        <v/>
      </c>
      <c r="K555" s="19" t="str">
        <f aca="false">IF(AND(Eingabe!$F$11&gt;0,Eingabe!$E$11&gt;=143),"1. Gerät: 10."&amp;Eingabe!$D$11&amp;".143.10, 2. Gerät: .11","")</f>
        <v/>
      </c>
    </row>
    <row r="556" customFormat="false" ht="15" hidden="false" customHeight="false" outlineLevel="0" collapsed="false">
      <c r="A556" s="19" t="str">
        <f aca="false">IF(AND(Eingabe!$F$11&gt;0,Eingabe!$E$11&gt;=144),3,"")</f>
        <v/>
      </c>
      <c r="B556" s="19" t="str">
        <f aca="false">IF(AND(Eingabe!$F$11&gt;0,Eingabe!$E$11&gt;=144),Eingabe!$B$11,"")</f>
        <v/>
      </c>
      <c r="C556" s="19" t="str">
        <f aca="false">IF(AND(Eingabe!$F$11&gt;0,Eingabe!$E$11&gt;=144),Eingabe!$C$11&amp;"-Paz."&amp;TEXT(144,"000"),"")</f>
        <v/>
      </c>
      <c r="D556" s="19" t="str">
        <f aca="false">IF(AND(Eingabe!$F$11&gt;0,Eingabe!$E$11&gt;=144),144,"")</f>
        <v/>
      </c>
      <c r="E556" s="19" t="str">
        <f aca="false">IF(AND(Eingabe!$F$11&gt;0,Eingabe!$E$11&gt;=144),IF((Eingabe!$G$11+1)&lt;=9,1000+(Eingabe!$G$11+1)*100,3000)+44,"")</f>
        <v/>
      </c>
      <c r="F556" s="19" t="str">
        <f aca="false">IF(AND(Eingabe!$F$11&gt;0,Eingabe!$E$11&gt;=144),"10."&amp;Eingabe!$D$11&amp;".144.0/24","")</f>
        <v/>
      </c>
      <c r="G556" s="19" t="str">
        <f aca="false">IF(AND(Eingabe!$F$11&gt;0,Eingabe!$E$11&gt;=144),"10."&amp;Eingabe!$D$11&amp;".144.1","")</f>
        <v/>
      </c>
      <c r="H556" s="19" t="str">
        <f aca="false">IF(AND(Eingabe!$F$11&gt;0,Eingabe!$E$11&gt;=144),"10."&amp;Eingabe!$D$11&amp;".144.10 – 10."&amp;Eingabe!$D$11&amp;".144.250","")</f>
        <v/>
      </c>
      <c r="I556" s="19" t="str">
        <f aca="false">IF(AND(Eingabe!$F$11&gt;0,Eingabe!$E$11&gt;=144),Eingabe!$B$6&amp;"-"&amp;Eingabe!$C$11&amp;"-Pächter","")</f>
        <v/>
      </c>
      <c r="J556" s="19" t="str">
        <f aca="false">IF(AND(Eingabe!$F$11&gt;0,Eingabe!$E$11&gt;=144),"PPSK: Passwort Parzelle 144","")</f>
        <v/>
      </c>
      <c r="K556" s="19" t="str">
        <f aca="false">IF(AND(Eingabe!$F$11&gt;0,Eingabe!$E$11&gt;=144),"1. Gerät: 10."&amp;Eingabe!$D$11&amp;".144.10, 2. Gerät: .11","")</f>
        <v/>
      </c>
    </row>
    <row r="557" customFormat="false" ht="15" hidden="false" customHeight="false" outlineLevel="0" collapsed="false">
      <c r="A557" s="19" t="str">
        <f aca="false">IF(AND(Eingabe!$F$11&gt;0,Eingabe!$E$11&gt;=145),3,"")</f>
        <v/>
      </c>
      <c r="B557" s="19" t="str">
        <f aca="false">IF(AND(Eingabe!$F$11&gt;0,Eingabe!$E$11&gt;=145),Eingabe!$B$11,"")</f>
        <v/>
      </c>
      <c r="C557" s="19" t="str">
        <f aca="false">IF(AND(Eingabe!$F$11&gt;0,Eingabe!$E$11&gt;=145),Eingabe!$C$11&amp;"-Paz."&amp;TEXT(145,"000"),"")</f>
        <v/>
      </c>
      <c r="D557" s="19" t="str">
        <f aca="false">IF(AND(Eingabe!$F$11&gt;0,Eingabe!$E$11&gt;=145),145,"")</f>
        <v/>
      </c>
      <c r="E557" s="19" t="str">
        <f aca="false">IF(AND(Eingabe!$F$11&gt;0,Eingabe!$E$11&gt;=145),IF((Eingabe!$G$11+1)&lt;=9,1000+(Eingabe!$G$11+1)*100,3000)+45,"")</f>
        <v/>
      </c>
      <c r="F557" s="19" t="str">
        <f aca="false">IF(AND(Eingabe!$F$11&gt;0,Eingabe!$E$11&gt;=145),"10."&amp;Eingabe!$D$11&amp;".145.0/24","")</f>
        <v/>
      </c>
      <c r="G557" s="19" t="str">
        <f aca="false">IF(AND(Eingabe!$F$11&gt;0,Eingabe!$E$11&gt;=145),"10."&amp;Eingabe!$D$11&amp;".145.1","")</f>
        <v/>
      </c>
      <c r="H557" s="19" t="str">
        <f aca="false">IF(AND(Eingabe!$F$11&gt;0,Eingabe!$E$11&gt;=145),"10."&amp;Eingabe!$D$11&amp;".145.10 – 10."&amp;Eingabe!$D$11&amp;".145.250","")</f>
        <v/>
      </c>
      <c r="I557" s="19" t="str">
        <f aca="false">IF(AND(Eingabe!$F$11&gt;0,Eingabe!$E$11&gt;=145),Eingabe!$B$6&amp;"-"&amp;Eingabe!$C$11&amp;"-Pächter","")</f>
        <v/>
      </c>
      <c r="J557" s="19" t="str">
        <f aca="false">IF(AND(Eingabe!$F$11&gt;0,Eingabe!$E$11&gt;=145),"PPSK: Passwort Parzelle 145","")</f>
        <v/>
      </c>
      <c r="K557" s="19" t="str">
        <f aca="false">IF(AND(Eingabe!$F$11&gt;0,Eingabe!$E$11&gt;=145),"1. Gerät: 10."&amp;Eingabe!$D$11&amp;".145.10, 2. Gerät: .11","")</f>
        <v/>
      </c>
    </row>
    <row r="558" customFormat="false" ht="15" hidden="false" customHeight="false" outlineLevel="0" collapsed="false">
      <c r="A558" s="19" t="str">
        <f aca="false">IF(AND(Eingabe!$F$11&gt;0,Eingabe!$E$11&gt;=146),3,"")</f>
        <v/>
      </c>
      <c r="B558" s="19" t="str">
        <f aca="false">IF(AND(Eingabe!$F$11&gt;0,Eingabe!$E$11&gt;=146),Eingabe!$B$11,"")</f>
        <v/>
      </c>
      <c r="C558" s="19" t="str">
        <f aca="false">IF(AND(Eingabe!$F$11&gt;0,Eingabe!$E$11&gt;=146),Eingabe!$C$11&amp;"-Paz."&amp;TEXT(146,"000"),"")</f>
        <v/>
      </c>
      <c r="D558" s="19" t="str">
        <f aca="false">IF(AND(Eingabe!$F$11&gt;0,Eingabe!$E$11&gt;=146),146,"")</f>
        <v/>
      </c>
      <c r="E558" s="19" t="str">
        <f aca="false">IF(AND(Eingabe!$F$11&gt;0,Eingabe!$E$11&gt;=146),IF((Eingabe!$G$11+1)&lt;=9,1000+(Eingabe!$G$11+1)*100,3000)+46,"")</f>
        <v/>
      </c>
      <c r="F558" s="19" t="str">
        <f aca="false">IF(AND(Eingabe!$F$11&gt;0,Eingabe!$E$11&gt;=146),"10."&amp;Eingabe!$D$11&amp;".146.0/24","")</f>
        <v/>
      </c>
      <c r="G558" s="19" t="str">
        <f aca="false">IF(AND(Eingabe!$F$11&gt;0,Eingabe!$E$11&gt;=146),"10."&amp;Eingabe!$D$11&amp;".146.1","")</f>
        <v/>
      </c>
      <c r="H558" s="19" t="str">
        <f aca="false">IF(AND(Eingabe!$F$11&gt;0,Eingabe!$E$11&gt;=146),"10."&amp;Eingabe!$D$11&amp;".146.10 – 10."&amp;Eingabe!$D$11&amp;".146.250","")</f>
        <v/>
      </c>
      <c r="I558" s="19" t="str">
        <f aca="false">IF(AND(Eingabe!$F$11&gt;0,Eingabe!$E$11&gt;=146),Eingabe!$B$6&amp;"-"&amp;Eingabe!$C$11&amp;"-Pächter","")</f>
        <v/>
      </c>
      <c r="J558" s="19" t="str">
        <f aca="false">IF(AND(Eingabe!$F$11&gt;0,Eingabe!$E$11&gt;=146),"PPSK: Passwort Parzelle 146","")</f>
        <v/>
      </c>
      <c r="K558" s="19" t="str">
        <f aca="false">IF(AND(Eingabe!$F$11&gt;0,Eingabe!$E$11&gt;=146),"1. Gerät: 10."&amp;Eingabe!$D$11&amp;".146.10, 2. Gerät: .11","")</f>
        <v/>
      </c>
    </row>
    <row r="559" customFormat="false" ht="15" hidden="false" customHeight="false" outlineLevel="0" collapsed="false">
      <c r="A559" s="19" t="str">
        <f aca="false">IF(AND(Eingabe!$F$11&gt;0,Eingabe!$E$11&gt;=147),3,"")</f>
        <v/>
      </c>
      <c r="B559" s="19" t="str">
        <f aca="false">IF(AND(Eingabe!$F$11&gt;0,Eingabe!$E$11&gt;=147),Eingabe!$B$11,"")</f>
        <v/>
      </c>
      <c r="C559" s="19" t="str">
        <f aca="false">IF(AND(Eingabe!$F$11&gt;0,Eingabe!$E$11&gt;=147),Eingabe!$C$11&amp;"-Paz."&amp;TEXT(147,"000"),"")</f>
        <v/>
      </c>
      <c r="D559" s="19" t="str">
        <f aca="false">IF(AND(Eingabe!$F$11&gt;0,Eingabe!$E$11&gt;=147),147,"")</f>
        <v/>
      </c>
      <c r="E559" s="19" t="str">
        <f aca="false">IF(AND(Eingabe!$F$11&gt;0,Eingabe!$E$11&gt;=147),IF((Eingabe!$G$11+1)&lt;=9,1000+(Eingabe!$G$11+1)*100,3000)+47,"")</f>
        <v/>
      </c>
      <c r="F559" s="19" t="str">
        <f aca="false">IF(AND(Eingabe!$F$11&gt;0,Eingabe!$E$11&gt;=147),"10."&amp;Eingabe!$D$11&amp;".147.0/24","")</f>
        <v/>
      </c>
      <c r="G559" s="19" t="str">
        <f aca="false">IF(AND(Eingabe!$F$11&gt;0,Eingabe!$E$11&gt;=147),"10."&amp;Eingabe!$D$11&amp;".147.1","")</f>
        <v/>
      </c>
      <c r="H559" s="19" t="str">
        <f aca="false">IF(AND(Eingabe!$F$11&gt;0,Eingabe!$E$11&gt;=147),"10."&amp;Eingabe!$D$11&amp;".147.10 – 10."&amp;Eingabe!$D$11&amp;".147.250","")</f>
        <v/>
      </c>
      <c r="I559" s="19" t="str">
        <f aca="false">IF(AND(Eingabe!$F$11&gt;0,Eingabe!$E$11&gt;=147),Eingabe!$B$6&amp;"-"&amp;Eingabe!$C$11&amp;"-Pächter","")</f>
        <v/>
      </c>
      <c r="J559" s="19" t="str">
        <f aca="false">IF(AND(Eingabe!$F$11&gt;0,Eingabe!$E$11&gt;=147),"PPSK: Passwort Parzelle 147","")</f>
        <v/>
      </c>
      <c r="K559" s="19" t="str">
        <f aca="false">IF(AND(Eingabe!$F$11&gt;0,Eingabe!$E$11&gt;=147),"1. Gerät: 10."&amp;Eingabe!$D$11&amp;".147.10, 2. Gerät: .11","")</f>
        <v/>
      </c>
    </row>
    <row r="560" customFormat="false" ht="15" hidden="false" customHeight="false" outlineLevel="0" collapsed="false">
      <c r="A560" s="19" t="str">
        <f aca="false">IF(AND(Eingabe!$F$11&gt;0,Eingabe!$E$11&gt;=148),3,"")</f>
        <v/>
      </c>
      <c r="B560" s="19" t="str">
        <f aca="false">IF(AND(Eingabe!$F$11&gt;0,Eingabe!$E$11&gt;=148),Eingabe!$B$11,"")</f>
        <v/>
      </c>
      <c r="C560" s="19" t="str">
        <f aca="false">IF(AND(Eingabe!$F$11&gt;0,Eingabe!$E$11&gt;=148),Eingabe!$C$11&amp;"-Paz."&amp;TEXT(148,"000"),"")</f>
        <v/>
      </c>
      <c r="D560" s="19" t="str">
        <f aca="false">IF(AND(Eingabe!$F$11&gt;0,Eingabe!$E$11&gt;=148),148,"")</f>
        <v/>
      </c>
      <c r="E560" s="19" t="str">
        <f aca="false">IF(AND(Eingabe!$F$11&gt;0,Eingabe!$E$11&gt;=148),IF((Eingabe!$G$11+1)&lt;=9,1000+(Eingabe!$G$11+1)*100,3000)+48,"")</f>
        <v/>
      </c>
      <c r="F560" s="19" t="str">
        <f aca="false">IF(AND(Eingabe!$F$11&gt;0,Eingabe!$E$11&gt;=148),"10."&amp;Eingabe!$D$11&amp;".148.0/24","")</f>
        <v/>
      </c>
      <c r="G560" s="19" t="str">
        <f aca="false">IF(AND(Eingabe!$F$11&gt;0,Eingabe!$E$11&gt;=148),"10."&amp;Eingabe!$D$11&amp;".148.1","")</f>
        <v/>
      </c>
      <c r="H560" s="19" t="str">
        <f aca="false">IF(AND(Eingabe!$F$11&gt;0,Eingabe!$E$11&gt;=148),"10."&amp;Eingabe!$D$11&amp;".148.10 – 10."&amp;Eingabe!$D$11&amp;".148.250","")</f>
        <v/>
      </c>
      <c r="I560" s="19" t="str">
        <f aca="false">IF(AND(Eingabe!$F$11&gt;0,Eingabe!$E$11&gt;=148),Eingabe!$B$6&amp;"-"&amp;Eingabe!$C$11&amp;"-Pächter","")</f>
        <v/>
      </c>
      <c r="J560" s="19" t="str">
        <f aca="false">IF(AND(Eingabe!$F$11&gt;0,Eingabe!$E$11&gt;=148),"PPSK: Passwort Parzelle 148","")</f>
        <v/>
      </c>
      <c r="K560" s="19" t="str">
        <f aca="false">IF(AND(Eingabe!$F$11&gt;0,Eingabe!$E$11&gt;=148),"1. Gerät: 10."&amp;Eingabe!$D$11&amp;".148.10, 2. Gerät: .11","")</f>
        <v/>
      </c>
    </row>
    <row r="561" customFormat="false" ht="15" hidden="false" customHeight="false" outlineLevel="0" collapsed="false">
      <c r="A561" s="19" t="str">
        <f aca="false">IF(AND(Eingabe!$F$11&gt;0,Eingabe!$E$11&gt;=149),3,"")</f>
        <v/>
      </c>
      <c r="B561" s="19" t="str">
        <f aca="false">IF(AND(Eingabe!$F$11&gt;0,Eingabe!$E$11&gt;=149),Eingabe!$B$11,"")</f>
        <v/>
      </c>
      <c r="C561" s="19" t="str">
        <f aca="false">IF(AND(Eingabe!$F$11&gt;0,Eingabe!$E$11&gt;=149),Eingabe!$C$11&amp;"-Paz."&amp;TEXT(149,"000"),"")</f>
        <v/>
      </c>
      <c r="D561" s="19" t="str">
        <f aca="false">IF(AND(Eingabe!$F$11&gt;0,Eingabe!$E$11&gt;=149),149,"")</f>
        <v/>
      </c>
      <c r="E561" s="19" t="str">
        <f aca="false">IF(AND(Eingabe!$F$11&gt;0,Eingabe!$E$11&gt;=149),IF((Eingabe!$G$11+1)&lt;=9,1000+(Eingabe!$G$11+1)*100,3000)+49,"")</f>
        <v/>
      </c>
      <c r="F561" s="19" t="str">
        <f aca="false">IF(AND(Eingabe!$F$11&gt;0,Eingabe!$E$11&gt;=149),"10."&amp;Eingabe!$D$11&amp;".149.0/24","")</f>
        <v/>
      </c>
      <c r="G561" s="19" t="str">
        <f aca="false">IF(AND(Eingabe!$F$11&gt;0,Eingabe!$E$11&gt;=149),"10."&amp;Eingabe!$D$11&amp;".149.1","")</f>
        <v/>
      </c>
      <c r="H561" s="19" t="str">
        <f aca="false">IF(AND(Eingabe!$F$11&gt;0,Eingabe!$E$11&gt;=149),"10."&amp;Eingabe!$D$11&amp;".149.10 – 10."&amp;Eingabe!$D$11&amp;".149.250","")</f>
        <v/>
      </c>
      <c r="I561" s="19" t="str">
        <f aca="false">IF(AND(Eingabe!$F$11&gt;0,Eingabe!$E$11&gt;=149),Eingabe!$B$6&amp;"-"&amp;Eingabe!$C$11&amp;"-Pächter","")</f>
        <v/>
      </c>
      <c r="J561" s="19" t="str">
        <f aca="false">IF(AND(Eingabe!$F$11&gt;0,Eingabe!$E$11&gt;=149),"PPSK: Passwort Parzelle 149","")</f>
        <v/>
      </c>
      <c r="K561" s="19" t="str">
        <f aca="false">IF(AND(Eingabe!$F$11&gt;0,Eingabe!$E$11&gt;=149),"1. Gerät: 10."&amp;Eingabe!$D$11&amp;".149.10, 2. Gerät: .11","")</f>
        <v/>
      </c>
    </row>
    <row r="562" customFormat="false" ht="15" hidden="false" customHeight="false" outlineLevel="0" collapsed="false">
      <c r="A562" s="19" t="str">
        <f aca="false">IF(AND(Eingabe!$F$11&gt;0,Eingabe!$E$11&gt;=150),3,"")</f>
        <v/>
      </c>
      <c r="B562" s="19" t="str">
        <f aca="false">IF(AND(Eingabe!$F$11&gt;0,Eingabe!$E$11&gt;=150),Eingabe!$B$11,"")</f>
        <v/>
      </c>
      <c r="C562" s="19" t="str">
        <f aca="false">IF(AND(Eingabe!$F$11&gt;0,Eingabe!$E$11&gt;=150),Eingabe!$C$11&amp;"-Paz."&amp;TEXT(150,"000"),"")</f>
        <v/>
      </c>
      <c r="D562" s="19" t="str">
        <f aca="false">IF(AND(Eingabe!$F$11&gt;0,Eingabe!$E$11&gt;=150),150,"")</f>
        <v/>
      </c>
      <c r="E562" s="19" t="str">
        <f aca="false">IF(AND(Eingabe!$F$11&gt;0,Eingabe!$E$11&gt;=150),IF((Eingabe!$G$11+1)&lt;=9,1000+(Eingabe!$G$11+1)*100,3000)+50,"")</f>
        <v/>
      </c>
      <c r="F562" s="19" t="str">
        <f aca="false">IF(AND(Eingabe!$F$11&gt;0,Eingabe!$E$11&gt;=150),"10."&amp;Eingabe!$D$11&amp;".150.0/24","")</f>
        <v/>
      </c>
      <c r="G562" s="19" t="str">
        <f aca="false">IF(AND(Eingabe!$F$11&gt;0,Eingabe!$E$11&gt;=150),"10."&amp;Eingabe!$D$11&amp;".150.1","")</f>
        <v/>
      </c>
      <c r="H562" s="19" t="str">
        <f aca="false">IF(AND(Eingabe!$F$11&gt;0,Eingabe!$E$11&gt;=150),"10."&amp;Eingabe!$D$11&amp;".150.10 – 10."&amp;Eingabe!$D$11&amp;".150.250","")</f>
        <v/>
      </c>
      <c r="I562" s="19" t="str">
        <f aca="false">IF(AND(Eingabe!$F$11&gt;0,Eingabe!$E$11&gt;=150),Eingabe!$B$6&amp;"-"&amp;Eingabe!$C$11&amp;"-Pächter","")</f>
        <v/>
      </c>
      <c r="J562" s="19" t="str">
        <f aca="false">IF(AND(Eingabe!$F$11&gt;0,Eingabe!$E$11&gt;=150),"PPSK: Passwort Parzelle 150","")</f>
        <v/>
      </c>
      <c r="K562" s="19" t="str">
        <f aca="false">IF(AND(Eingabe!$F$11&gt;0,Eingabe!$E$11&gt;=150),"1. Gerät: 10."&amp;Eingabe!$D$11&amp;".150.10, 2. Gerät: .11","")</f>
        <v/>
      </c>
    </row>
    <row r="563" customFormat="false" ht="15" hidden="false" customHeight="false" outlineLevel="0" collapsed="false">
      <c r="A563" s="19" t="str">
        <f aca="false">IF(AND(Eingabe!$F$11&gt;0,Eingabe!$E$11&gt;=151),3,"")</f>
        <v/>
      </c>
      <c r="B563" s="19" t="str">
        <f aca="false">IF(AND(Eingabe!$F$11&gt;0,Eingabe!$E$11&gt;=151),Eingabe!$B$11,"")</f>
        <v/>
      </c>
      <c r="C563" s="19" t="str">
        <f aca="false">IF(AND(Eingabe!$F$11&gt;0,Eingabe!$E$11&gt;=151),Eingabe!$C$11&amp;"-Paz."&amp;TEXT(151,"000"),"")</f>
        <v/>
      </c>
      <c r="D563" s="19" t="str">
        <f aca="false">IF(AND(Eingabe!$F$11&gt;0,Eingabe!$E$11&gt;=151),151,"")</f>
        <v/>
      </c>
      <c r="E563" s="19" t="str">
        <f aca="false">IF(AND(Eingabe!$F$11&gt;0,Eingabe!$E$11&gt;=151),IF((Eingabe!$G$11+1)&lt;=9,1000+(Eingabe!$G$11+1)*100,3000)+51,"")</f>
        <v/>
      </c>
      <c r="F563" s="19" t="str">
        <f aca="false">IF(AND(Eingabe!$F$11&gt;0,Eingabe!$E$11&gt;=151),"10."&amp;Eingabe!$D$11&amp;".151.0/24","")</f>
        <v/>
      </c>
      <c r="G563" s="19" t="str">
        <f aca="false">IF(AND(Eingabe!$F$11&gt;0,Eingabe!$E$11&gt;=151),"10."&amp;Eingabe!$D$11&amp;".151.1","")</f>
        <v/>
      </c>
      <c r="H563" s="19" t="str">
        <f aca="false">IF(AND(Eingabe!$F$11&gt;0,Eingabe!$E$11&gt;=151),"10."&amp;Eingabe!$D$11&amp;".151.10 – 10."&amp;Eingabe!$D$11&amp;".151.250","")</f>
        <v/>
      </c>
      <c r="I563" s="19" t="str">
        <f aca="false">IF(AND(Eingabe!$F$11&gt;0,Eingabe!$E$11&gt;=151),Eingabe!$B$6&amp;"-"&amp;Eingabe!$C$11&amp;"-Pächter","")</f>
        <v/>
      </c>
      <c r="J563" s="19" t="str">
        <f aca="false">IF(AND(Eingabe!$F$11&gt;0,Eingabe!$E$11&gt;=151),"PPSK: Passwort Parzelle 151","")</f>
        <v/>
      </c>
      <c r="K563" s="19" t="str">
        <f aca="false">IF(AND(Eingabe!$F$11&gt;0,Eingabe!$E$11&gt;=151),"1. Gerät: 10."&amp;Eingabe!$D$11&amp;".151.10, 2. Gerät: .11","")</f>
        <v/>
      </c>
    </row>
    <row r="564" customFormat="false" ht="15" hidden="false" customHeight="false" outlineLevel="0" collapsed="false">
      <c r="A564" s="19" t="str">
        <f aca="false">IF(AND(Eingabe!$F$11&gt;0,Eingabe!$E$11&gt;=152),3,"")</f>
        <v/>
      </c>
      <c r="B564" s="19" t="str">
        <f aca="false">IF(AND(Eingabe!$F$11&gt;0,Eingabe!$E$11&gt;=152),Eingabe!$B$11,"")</f>
        <v/>
      </c>
      <c r="C564" s="19" t="str">
        <f aca="false">IF(AND(Eingabe!$F$11&gt;0,Eingabe!$E$11&gt;=152),Eingabe!$C$11&amp;"-Paz."&amp;TEXT(152,"000"),"")</f>
        <v/>
      </c>
      <c r="D564" s="19" t="str">
        <f aca="false">IF(AND(Eingabe!$F$11&gt;0,Eingabe!$E$11&gt;=152),152,"")</f>
        <v/>
      </c>
      <c r="E564" s="19" t="str">
        <f aca="false">IF(AND(Eingabe!$F$11&gt;0,Eingabe!$E$11&gt;=152),IF((Eingabe!$G$11+1)&lt;=9,1000+(Eingabe!$G$11+1)*100,3000)+52,"")</f>
        <v/>
      </c>
      <c r="F564" s="19" t="str">
        <f aca="false">IF(AND(Eingabe!$F$11&gt;0,Eingabe!$E$11&gt;=152),"10."&amp;Eingabe!$D$11&amp;".152.0/24","")</f>
        <v/>
      </c>
      <c r="G564" s="19" t="str">
        <f aca="false">IF(AND(Eingabe!$F$11&gt;0,Eingabe!$E$11&gt;=152),"10."&amp;Eingabe!$D$11&amp;".152.1","")</f>
        <v/>
      </c>
      <c r="H564" s="19" t="str">
        <f aca="false">IF(AND(Eingabe!$F$11&gt;0,Eingabe!$E$11&gt;=152),"10."&amp;Eingabe!$D$11&amp;".152.10 – 10."&amp;Eingabe!$D$11&amp;".152.250","")</f>
        <v/>
      </c>
      <c r="I564" s="19" t="str">
        <f aca="false">IF(AND(Eingabe!$F$11&gt;0,Eingabe!$E$11&gt;=152),Eingabe!$B$6&amp;"-"&amp;Eingabe!$C$11&amp;"-Pächter","")</f>
        <v/>
      </c>
      <c r="J564" s="19" t="str">
        <f aca="false">IF(AND(Eingabe!$F$11&gt;0,Eingabe!$E$11&gt;=152),"PPSK: Passwort Parzelle 152","")</f>
        <v/>
      </c>
      <c r="K564" s="19" t="str">
        <f aca="false">IF(AND(Eingabe!$F$11&gt;0,Eingabe!$E$11&gt;=152),"1. Gerät: 10."&amp;Eingabe!$D$11&amp;".152.10, 2. Gerät: .11","")</f>
        <v/>
      </c>
    </row>
    <row r="565" customFormat="false" ht="15" hidden="false" customHeight="false" outlineLevel="0" collapsed="false">
      <c r="A565" s="19" t="str">
        <f aca="false">IF(AND(Eingabe!$F$11&gt;0,Eingabe!$E$11&gt;=153),3,"")</f>
        <v/>
      </c>
      <c r="B565" s="19" t="str">
        <f aca="false">IF(AND(Eingabe!$F$11&gt;0,Eingabe!$E$11&gt;=153),Eingabe!$B$11,"")</f>
        <v/>
      </c>
      <c r="C565" s="19" t="str">
        <f aca="false">IF(AND(Eingabe!$F$11&gt;0,Eingabe!$E$11&gt;=153),Eingabe!$C$11&amp;"-Paz."&amp;TEXT(153,"000"),"")</f>
        <v/>
      </c>
      <c r="D565" s="19" t="str">
        <f aca="false">IF(AND(Eingabe!$F$11&gt;0,Eingabe!$E$11&gt;=153),153,"")</f>
        <v/>
      </c>
      <c r="E565" s="19" t="str">
        <f aca="false">IF(AND(Eingabe!$F$11&gt;0,Eingabe!$E$11&gt;=153),IF((Eingabe!$G$11+1)&lt;=9,1000+(Eingabe!$G$11+1)*100,3000)+53,"")</f>
        <v/>
      </c>
      <c r="F565" s="19" t="str">
        <f aca="false">IF(AND(Eingabe!$F$11&gt;0,Eingabe!$E$11&gt;=153),"10."&amp;Eingabe!$D$11&amp;".153.0/24","")</f>
        <v/>
      </c>
      <c r="G565" s="19" t="str">
        <f aca="false">IF(AND(Eingabe!$F$11&gt;0,Eingabe!$E$11&gt;=153),"10."&amp;Eingabe!$D$11&amp;".153.1","")</f>
        <v/>
      </c>
      <c r="H565" s="19" t="str">
        <f aca="false">IF(AND(Eingabe!$F$11&gt;0,Eingabe!$E$11&gt;=153),"10."&amp;Eingabe!$D$11&amp;".153.10 – 10."&amp;Eingabe!$D$11&amp;".153.250","")</f>
        <v/>
      </c>
      <c r="I565" s="19" t="str">
        <f aca="false">IF(AND(Eingabe!$F$11&gt;0,Eingabe!$E$11&gt;=153),Eingabe!$B$6&amp;"-"&amp;Eingabe!$C$11&amp;"-Pächter","")</f>
        <v/>
      </c>
      <c r="J565" s="19" t="str">
        <f aca="false">IF(AND(Eingabe!$F$11&gt;0,Eingabe!$E$11&gt;=153),"PPSK: Passwort Parzelle 153","")</f>
        <v/>
      </c>
      <c r="K565" s="19" t="str">
        <f aca="false">IF(AND(Eingabe!$F$11&gt;0,Eingabe!$E$11&gt;=153),"1. Gerät: 10."&amp;Eingabe!$D$11&amp;".153.10, 2. Gerät: .11","")</f>
        <v/>
      </c>
    </row>
    <row r="566" customFormat="false" ht="15" hidden="false" customHeight="false" outlineLevel="0" collapsed="false">
      <c r="A566" s="19" t="str">
        <f aca="false">IF(AND(Eingabe!$F$11&gt;0,Eingabe!$E$11&gt;=154),3,"")</f>
        <v/>
      </c>
      <c r="B566" s="19" t="str">
        <f aca="false">IF(AND(Eingabe!$F$11&gt;0,Eingabe!$E$11&gt;=154),Eingabe!$B$11,"")</f>
        <v/>
      </c>
      <c r="C566" s="19" t="str">
        <f aca="false">IF(AND(Eingabe!$F$11&gt;0,Eingabe!$E$11&gt;=154),Eingabe!$C$11&amp;"-Paz."&amp;TEXT(154,"000"),"")</f>
        <v/>
      </c>
      <c r="D566" s="19" t="str">
        <f aca="false">IF(AND(Eingabe!$F$11&gt;0,Eingabe!$E$11&gt;=154),154,"")</f>
        <v/>
      </c>
      <c r="E566" s="19" t="str">
        <f aca="false">IF(AND(Eingabe!$F$11&gt;0,Eingabe!$E$11&gt;=154),IF((Eingabe!$G$11+1)&lt;=9,1000+(Eingabe!$G$11+1)*100,3000)+54,"")</f>
        <v/>
      </c>
      <c r="F566" s="19" t="str">
        <f aca="false">IF(AND(Eingabe!$F$11&gt;0,Eingabe!$E$11&gt;=154),"10."&amp;Eingabe!$D$11&amp;".154.0/24","")</f>
        <v/>
      </c>
      <c r="G566" s="19" t="str">
        <f aca="false">IF(AND(Eingabe!$F$11&gt;0,Eingabe!$E$11&gt;=154),"10."&amp;Eingabe!$D$11&amp;".154.1","")</f>
        <v/>
      </c>
      <c r="H566" s="19" t="str">
        <f aca="false">IF(AND(Eingabe!$F$11&gt;0,Eingabe!$E$11&gt;=154),"10."&amp;Eingabe!$D$11&amp;".154.10 – 10."&amp;Eingabe!$D$11&amp;".154.250","")</f>
        <v/>
      </c>
      <c r="I566" s="19" t="str">
        <f aca="false">IF(AND(Eingabe!$F$11&gt;0,Eingabe!$E$11&gt;=154),Eingabe!$B$6&amp;"-"&amp;Eingabe!$C$11&amp;"-Pächter","")</f>
        <v/>
      </c>
      <c r="J566" s="19" t="str">
        <f aca="false">IF(AND(Eingabe!$F$11&gt;0,Eingabe!$E$11&gt;=154),"PPSK: Passwort Parzelle 154","")</f>
        <v/>
      </c>
      <c r="K566" s="19" t="str">
        <f aca="false">IF(AND(Eingabe!$F$11&gt;0,Eingabe!$E$11&gt;=154),"1. Gerät: 10."&amp;Eingabe!$D$11&amp;".154.10, 2. Gerät: .11","")</f>
        <v/>
      </c>
    </row>
    <row r="567" customFormat="false" ht="15" hidden="false" customHeight="false" outlineLevel="0" collapsed="false">
      <c r="A567" s="19" t="str">
        <f aca="false">IF(AND(Eingabe!$F$11&gt;0,Eingabe!$E$11&gt;=155),3,"")</f>
        <v/>
      </c>
      <c r="B567" s="19" t="str">
        <f aca="false">IF(AND(Eingabe!$F$11&gt;0,Eingabe!$E$11&gt;=155),Eingabe!$B$11,"")</f>
        <v/>
      </c>
      <c r="C567" s="19" t="str">
        <f aca="false">IF(AND(Eingabe!$F$11&gt;0,Eingabe!$E$11&gt;=155),Eingabe!$C$11&amp;"-Paz."&amp;TEXT(155,"000"),"")</f>
        <v/>
      </c>
      <c r="D567" s="19" t="str">
        <f aca="false">IF(AND(Eingabe!$F$11&gt;0,Eingabe!$E$11&gt;=155),155,"")</f>
        <v/>
      </c>
      <c r="E567" s="19" t="str">
        <f aca="false">IF(AND(Eingabe!$F$11&gt;0,Eingabe!$E$11&gt;=155),IF((Eingabe!$G$11+1)&lt;=9,1000+(Eingabe!$G$11+1)*100,3000)+55,"")</f>
        <v/>
      </c>
      <c r="F567" s="19" t="str">
        <f aca="false">IF(AND(Eingabe!$F$11&gt;0,Eingabe!$E$11&gt;=155),"10."&amp;Eingabe!$D$11&amp;".155.0/24","")</f>
        <v/>
      </c>
      <c r="G567" s="19" t="str">
        <f aca="false">IF(AND(Eingabe!$F$11&gt;0,Eingabe!$E$11&gt;=155),"10."&amp;Eingabe!$D$11&amp;".155.1","")</f>
        <v/>
      </c>
      <c r="H567" s="19" t="str">
        <f aca="false">IF(AND(Eingabe!$F$11&gt;0,Eingabe!$E$11&gt;=155),"10."&amp;Eingabe!$D$11&amp;".155.10 – 10."&amp;Eingabe!$D$11&amp;".155.250","")</f>
        <v/>
      </c>
      <c r="I567" s="19" t="str">
        <f aca="false">IF(AND(Eingabe!$F$11&gt;0,Eingabe!$E$11&gt;=155),Eingabe!$B$6&amp;"-"&amp;Eingabe!$C$11&amp;"-Pächter","")</f>
        <v/>
      </c>
      <c r="J567" s="19" t="str">
        <f aca="false">IF(AND(Eingabe!$F$11&gt;0,Eingabe!$E$11&gt;=155),"PPSK: Passwort Parzelle 155","")</f>
        <v/>
      </c>
      <c r="K567" s="19" t="str">
        <f aca="false">IF(AND(Eingabe!$F$11&gt;0,Eingabe!$E$11&gt;=155),"1. Gerät: 10."&amp;Eingabe!$D$11&amp;".155.10, 2. Gerät: .11","")</f>
        <v/>
      </c>
    </row>
    <row r="568" customFormat="false" ht="15" hidden="false" customHeight="false" outlineLevel="0" collapsed="false">
      <c r="A568" s="19" t="str">
        <f aca="false">IF(AND(Eingabe!$F$11&gt;0,Eingabe!$E$11&gt;=156),3,"")</f>
        <v/>
      </c>
      <c r="B568" s="19" t="str">
        <f aca="false">IF(AND(Eingabe!$F$11&gt;0,Eingabe!$E$11&gt;=156),Eingabe!$B$11,"")</f>
        <v/>
      </c>
      <c r="C568" s="19" t="str">
        <f aca="false">IF(AND(Eingabe!$F$11&gt;0,Eingabe!$E$11&gt;=156),Eingabe!$C$11&amp;"-Paz."&amp;TEXT(156,"000"),"")</f>
        <v/>
      </c>
      <c r="D568" s="19" t="str">
        <f aca="false">IF(AND(Eingabe!$F$11&gt;0,Eingabe!$E$11&gt;=156),156,"")</f>
        <v/>
      </c>
      <c r="E568" s="19" t="str">
        <f aca="false">IF(AND(Eingabe!$F$11&gt;0,Eingabe!$E$11&gt;=156),IF((Eingabe!$G$11+1)&lt;=9,1000+(Eingabe!$G$11+1)*100,3000)+56,"")</f>
        <v/>
      </c>
      <c r="F568" s="19" t="str">
        <f aca="false">IF(AND(Eingabe!$F$11&gt;0,Eingabe!$E$11&gt;=156),"10."&amp;Eingabe!$D$11&amp;".156.0/24","")</f>
        <v/>
      </c>
      <c r="G568" s="19" t="str">
        <f aca="false">IF(AND(Eingabe!$F$11&gt;0,Eingabe!$E$11&gt;=156),"10."&amp;Eingabe!$D$11&amp;".156.1","")</f>
        <v/>
      </c>
      <c r="H568" s="19" t="str">
        <f aca="false">IF(AND(Eingabe!$F$11&gt;0,Eingabe!$E$11&gt;=156),"10."&amp;Eingabe!$D$11&amp;".156.10 – 10."&amp;Eingabe!$D$11&amp;".156.250","")</f>
        <v/>
      </c>
      <c r="I568" s="19" t="str">
        <f aca="false">IF(AND(Eingabe!$F$11&gt;0,Eingabe!$E$11&gt;=156),Eingabe!$B$6&amp;"-"&amp;Eingabe!$C$11&amp;"-Pächter","")</f>
        <v/>
      </c>
      <c r="J568" s="19" t="str">
        <f aca="false">IF(AND(Eingabe!$F$11&gt;0,Eingabe!$E$11&gt;=156),"PPSK: Passwort Parzelle 156","")</f>
        <v/>
      </c>
      <c r="K568" s="19" t="str">
        <f aca="false">IF(AND(Eingabe!$F$11&gt;0,Eingabe!$E$11&gt;=156),"1. Gerät: 10."&amp;Eingabe!$D$11&amp;".156.10, 2. Gerät: .11","")</f>
        <v/>
      </c>
    </row>
    <row r="569" customFormat="false" ht="15" hidden="false" customHeight="false" outlineLevel="0" collapsed="false">
      <c r="A569" s="19" t="str">
        <f aca="false">IF(AND(Eingabe!$F$11&gt;0,Eingabe!$E$11&gt;=157),3,"")</f>
        <v/>
      </c>
      <c r="B569" s="19" t="str">
        <f aca="false">IF(AND(Eingabe!$F$11&gt;0,Eingabe!$E$11&gt;=157),Eingabe!$B$11,"")</f>
        <v/>
      </c>
      <c r="C569" s="19" t="str">
        <f aca="false">IF(AND(Eingabe!$F$11&gt;0,Eingabe!$E$11&gt;=157),Eingabe!$C$11&amp;"-Paz."&amp;TEXT(157,"000"),"")</f>
        <v/>
      </c>
      <c r="D569" s="19" t="str">
        <f aca="false">IF(AND(Eingabe!$F$11&gt;0,Eingabe!$E$11&gt;=157),157,"")</f>
        <v/>
      </c>
      <c r="E569" s="19" t="str">
        <f aca="false">IF(AND(Eingabe!$F$11&gt;0,Eingabe!$E$11&gt;=157),IF((Eingabe!$G$11+1)&lt;=9,1000+(Eingabe!$G$11+1)*100,3000)+57,"")</f>
        <v/>
      </c>
      <c r="F569" s="19" t="str">
        <f aca="false">IF(AND(Eingabe!$F$11&gt;0,Eingabe!$E$11&gt;=157),"10."&amp;Eingabe!$D$11&amp;".157.0/24","")</f>
        <v/>
      </c>
      <c r="G569" s="19" t="str">
        <f aca="false">IF(AND(Eingabe!$F$11&gt;0,Eingabe!$E$11&gt;=157),"10."&amp;Eingabe!$D$11&amp;".157.1","")</f>
        <v/>
      </c>
      <c r="H569" s="19" t="str">
        <f aca="false">IF(AND(Eingabe!$F$11&gt;0,Eingabe!$E$11&gt;=157),"10."&amp;Eingabe!$D$11&amp;".157.10 – 10."&amp;Eingabe!$D$11&amp;".157.250","")</f>
        <v/>
      </c>
      <c r="I569" s="19" t="str">
        <f aca="false">IF(AND(Eingabe!$F$11&gt;0,Eingabe!$E$11&gt;=157),Eingabe!$B$6&amp;"-"&amp;Eingabe!$C$11&amp;"-Pächter","")</f>
        <v/>
      </c>
      <c r="J569" s="19" t="str">
        <f aca="false">IF(AND(Eingabe!$F$11&gt;0,Eingabe!$E$11&gt;=157),"PPSK: Passwort Parzelle 157","")</f>
        <v/>
      </c>
      <c r="K569" s="19" t="str">
        <f aca="false">IF(AND(Eingabe!$F$11&gt;0,Eingabe!$E$11&gt;=157),"1. Gerät: 10."&amp;Eingabe!$D$11&amp;".157.10, 2. Gerät: .11","")</f>
        <v/>
      </c>
    </row>
    <row r="570" customFormat="false" ht="15" hidden="false" customHeight="false" outlineLevel="0" collapsed="false">
      <c r="A570" s="19" t="str">
        <f aca="false">IF(AND(Eingabe!$F$11&gt;0,Eingabe!$E$11&gt;=158),3,"")</f>
        <v/>
      </c>
      <c r="B570" s="19" t="str">
        <f aca="false">IF(AND(Eingabe!$F$11&gt;0,Eingabe!$E$11&gt;=158),Eingabe!$B$11,"")</f>
        <v/>
      </c>
      <c r="C570" s="19" t="str">
        <f aca="false">IF(AND(Eingabe!$F$11&gt;0,Eingabe!$E$11&gt;=158),Eingabe!$C$11&amp;"-Paz."&amp;TEXT(158,"000"),"")</f>
        <v/>
      </c>
      <c r="D570" s="19" t="str">
        <f aca="false">IF(AND(Eingabe!$F$11&gt;0,Eingabe!$E$11&gt;=158),158,"")</f>
        <v/>
      </c>
      <c r="E570" s="19" t="str">
        <f aca="false">IF(AND(Eingabe!$F$11&gt;0,Eingabe!$E$11&gt;=158),IF((Eingabe!$G$11+1)&lt;=9,1000+(Eingabe!$G$11+1)*100,3000)+58,"")</f>
        <v/>
      </c>
      <c r="F570" s="19" t="str">
        <f aca="false">IF(AND(Eingabe!$F$11&gt;0,Eingabe!$E$11&gt;=158),"10."&amp;Eingabe!$D$11&amp;".158.0/24","")</f>
        <v/>
      </c>
      <c r="G570" s="19" t="str">
        <f aca="false">IF(AND(Eingabe!$F$11&gt;0,Eingabe!$E$11&gt;=158),"10."&amp;Eingabe!$D$11&amp;".158.1","")</f>
        <v/>
      </c>
      <c r="H570" s="19" t="str">
        <f aca="false">IF(AND(Eingabe!$F$11&gt;0,Eingabe!$E$11&gt;=158),"10."&amp;Eingabe!$D$11&amp;".158.10 – 10."&amp;Eingabe!$D$11&amp;".158.250","")</f>
        <v/>
      </c>
      <c r="I570" s="19" t="str">
        <f aca="false">IF(AND(Eingabe!$F$11&gt;0,Eingabe!$E$11&gt;=158),Eingabe!$B$6&amp;"-"&amp;Eingabe!$C$11&amp;"-Pächter","")</f>
        <v/>
      </c>
      <c r="J570" s="19" t="str">
        <f aca="false">IF(AND(Eingabe!$F$11&gt;0,Eingabe!$E$11&gt;=158),"PPSK: Passwort Parzelle 158","")</f>
        <v/>
      </c>
      <c r="K570" s="19" t="str">
        <f aca="false">IF(AND(Eingabe!$F$11&gt;0,Eingabe!$E$11&gt;=158),"1. Gerät: 10."&amp;Eingabe!$D$11&amp;".158.10, 2. Gerät: .11","")</f>
        <v/>
      </c>
    </row>
    <row r="571" customFormat="false" ht="15" hidden="false" customHeight="false" outlineLevel="0" collapsed="false">
      <c r="A571" s="19" t="str">
        <f aca="false">IF(AND(Eingabe!$F$11&gt;0,Eingabe!$E$11&gt;=159),3,"")</f>
        <v/>
      </c>
      <c r="B571" s="19" t="str">
        <f aca="false">IF(AND(Eingabe!$F$11&gt;0,Eingabe!$E$11&gt;=159),Eingabe!$B$11,"")</f>
        <v/>
      </c>
      <c r="C571" s="19" t="str">
        <f aca="false">IF(AND(Eingabe!$F$11&gt;0,Eingabe!$E$11&gt;=159),Eingabe!$C$11&amp;"-Paz."&amp;TEXT(159,"000"),"")</f>
        <v/>
      </c>
      <c r="D571" s="19" t="str">
        <f aca="false">IF(AND(Eingabe!$F$11&gt;0,Eingabe!$E$11&gt;=159),159,"")</f>
        <v/>
      </c>
      <c r="E571" s="19" t="str">
        <f aca="false">IF(AND(Eingabe!$F$11&gt;0,Eingabe!$E$11&gt;=159),IF((Eingabe!$G$11+1)&lt;=9,1000+(Eingabe!$G$11+1)*100,3000)+59,"")</f>
        <v/>
      </c>
      <c r="F571" s="19" t="str">
        <f aca="false">IF(AND(Eingabe!$F$11&gt;0,Eingabe!$E$11&gt;=159),"10."&amp;Eingabe!$D$11&amp;".159.0/24","")</f>
        <v/>
      </c>
      <c r="G571" s="19" t="str">
        <f aca="false">IF(AND(Eingabe!$F$11&gt;0,Eingabe!$E$11&gt;=159),"10."&amp;Eingabe!$D$11&amp;".159.1","")</f>
        <v/>
      </c>
      <c r="H571" s="19" t="str">
        <f aca="false">IF(AND(Eingabe!$F$11&gt;0,Eingabe!$E$11&gt;=159),"10."&amp;Eingabe!$D$11&amp;".159.10 – 10."&amp;Eingabe!$D$11&amp;".159.250","")</f>
        <v/>
      </c>
      <c r="I571" s="19" t="str">
        <f aca="false">IF(AND(Eingabe!$F$11&gt;0,Eingabe!$E$11&gt;=159),Eingabe!$B$6&amp;"-"&amp;Eingabe!$C$11&amp;"-Pächter","")</f>
        <v/>
      </c>
      <c r="J571" s="19" t="str">
        <f aca="false">IF(AND(Eingabe!$F$11&gt;0,Eingabe!$E$11&gt;=159),"PPSK: Passwort Parzelle 159","")</f>
        <v/>
      </c>
      <c r="K571" s="19" t="str">
        <f aca="false">IF(AND(Eingabe!$F$11&gt;0,Eingabe!$E$11&gt;=159),"1. Gerät: 10."&amp;Eingabe!$D$11&amp;".159.10, 2. Gerät: .11","")</f>
        <v/>
      </c>
    </row>
    <row r="572" customFormat="false" ht="15" hidden="false" customHeight="false" outlineLevel="0" collapsed="false">
      <c r="A572" s="19" t="str">
        <f aca="false">IF(AND(Eingabe!$F$11&gt;0,Eingabe!$E$11&gt;=160),3,"")</f>
        <v/>
      </c>
      <c r="B572" s="19" t="str">
        <f aca="false">IF(AND(Eingabe!$F$11&gt;0,Eingabe!$E$11&gt;=160),Eingabe!$B$11,"")</f>
        <v/>
      </c>
      <c r="C572" s="19" t="str">
        <f aca="false">IF(AND(Eingabe!$F$11&gt;0,Eingabe!$E$11&gt;=160),Eingabe!$C$11&amp;"-Paz."&amp;TEXT(160,"000"),"")</f>
        <v/>
      </c>
      <c r="D572" s="19" t="str">
        <f aca="false">IF(AND(Eingabe!$F$11&gt;0,Eingabe!$E$11&gt;=160),160,"")</f>
        <v/>
      </c>
      <c r="E572" s="19" t="str">
        <f aca="false">IF(AND(Eingabe!$F$11&gt;0,Eingabe!$E$11&gt;=160),IF((Eingabe!$G$11+1)&lt;=9,1000+(Eingabe!$G$11+1)*100,3000)+60,"")</f>
        <v/>
      </c>
      <c r="F572" s="19" t="str">
        <f aca="false">IF(AND(Eingabe!$F$11&gt;0,Eingabe!$E$11&gt;=160),"10."&amp;Eingabe!$D$11&amp;".160.0/24","")</f>
        <v/>
      </c>
      <c r="G572" s="19" t="str">
        <f aca="false">IF(AND(Eingabe!$F$11&gt;0,Eingabe!$E$11&gt;=160),"10."&amp;Eingabe!$D$11&amp;".160.1","")</f>
        <v/>
      </c>
      <c r="H572" s="19" t="str">
        <f aca="false">IF(AND(Eingabe!$F$11&gt;0,Eingabe!$E$11&gt;=160),"10."&amp;Eingabe!$D$11&amp;".160.10 – 10."&amp;Eingabe!$D$11&amp;".160.250","")</f>
        <v/>
      </c>
      <c r="I572" s="19" t="str">
        <f aca="false">IF(AND(Eingabe!$F$11&gt;0,Eingabe!$E$11&gt;=160),Eingabe!$B$6&amp;"-"&amp;Eingabe!$C$11&amp;"-Pächter","")</f>
        <v/>
      </c>
      <c r="J572" s="19" t="str">
        <f aca="false">IF(AND(Eingabe!$F$11&gt;0,Eingabe!$E$11&gt;=160),"PPSK: Passwort Parzelle 160","")</f>
        <v/>
      </c>
      <c r="K572" s="19" t="str">
        <f aca="false">IF(AND(Eingabe!$F$11&gt;0,Eingabe!$E$11&gt;=160),"1. Gerät: 10."&amp;Eingabe!$D$11&amp;".160.10, 2. Gerät: .11","")</f>
        <v/>
      </c>
    </row>
    <row r="573" customFormat="false" ht="15" hidden="false" customHeight="false" outlineLevel="0" collapsed="false">
      <c r="A573" s="19" t="str">
        <f aca="false">IF(AND(Eingabe!$F$11&gt;0,Eingabe!$E$11&gt;=161),3,"")</f>
        <v/>
      </c>
      <c r="B573" s="19" t="str">
        <f aca="false">IF(AND(Eingabe!$F$11&gt;0,Eingabe!$E$11&gt;=161),Eingabe!$B$11,"")</f>
        <v/>
      </c>
      <c r="C573" s="19" t="str">
        <f aca="false">IF(AND(Eingabe!$F$11&gt;0,Eingabe!$E$11&gt;=161),Eingabe!$C$11&amp;"-Paz."&amp;TEXT(161,"000"),"")</f>
        <v/>
      </c>
      <c r="D573" s="19" t="str">
        <f aca="false">IF(AND(Eingabe!$F$11&gt;0,Eingabe!$E$11&gt;=161),161,"")</f>
        <v/>
      </c>
      <c r="E573" s="19" t="str">
        <f aca="false">IF(AND(Eingabe!$F$11&gt;0,Eingabe!$E$11&gt;=161),IF((Eingabe!$G$11+1)&lt;=9,1000+(Eingabe!$G$11+1)*100,3000)+61,"")</f>
        <v/>
      </c>
      <c r="F573" s="19" t="str">
        <f aca="false">IF(AND(Eingabe!$F$11&gt;0,Eingabe!$E$11&gt;=161),"10."&amp;Eingabe!$D$11&amp;".161.0/24","")</f>
        <v/>
      </c>
      <c r="G573" s="19" t="str">
        <f aca="false">IF(AND(Eingabe!$F$11&gt;0,Eingabe!$E$11&gt;=161),"10."&amp;Eingabe!$D$11&amp;".161.1","")</f>
        <v/>
      </c>
      <c r="H573" s="19" t="str">
        <f aca="false">IF(AND(Eingabe!$F$11&gt;0,Eingabe!$E$11&gt;=161),"10."&amp;Eingabe!$D$11&amp;".161.10 – 10."&amp;Eingabe!$D$11&amp;".161.250","")</f>
        <v/>
      </c>
      <c r="I573" s="19" t="str">
        <f aca="false">IF(AND(Eingabe!$F$11&gt;0,Eingabe!$E$11&gt;=161),Eingabe!$B$6&amp;"-"&amp;Eingabe!$C$11&amp;"-Pächter","")</f>
        <v/>
      </c>
      <c r="J573" s="19" t="str">
        <f aca="false">IF(AND(Eingabe!$F$11&gt;0,Eingabe!$E$11&gt;=161),"PPSK: Passwort Parzelle 161","")</f>
        <v/>
      </c>
      <c r="K573" s="19" t="str">
        <f aca="false">IF(AND(Eingabe!$F$11&gt;0,Eingabe!$E$11&gt;=161),"1. Gerät: 10."&amp;Eingabe!$D$11&amp;".161.10, 2. Gerät: .11","")</f>
        <v/>
      </c>
    </row>
    <row r="574" customFormat="false" ht="15" hidden="false" customHeight="false" outlineLevel="0" collapsed="false">
      <c r="A574" s="19" t="str">
        <f aca="false">IF(AND(Eingabe!$F$11&gt;0,Eingabe!$E$11&gt;=162),3,"")</f>
        <v/>
      </c>
      <c r="B574" s="19" t="str">
        <f aca="false">IF(AND(Eingabe!$F$11&gt;0,Eingabe!$E$11&gt;=162),Eingabe!$B$11,"")</f>
        <v/>
      </c>
      <c r="C574" s="19" t="str">
        <f aca="false">IF(AND(Eingabe!$F$11&gt;0,Eingabe!$E$11&gt;=162),Eingabe!$C$11&amp;"-Paz."&amp;TEXT(162,"000"),"")</f>
        <v/>
      </c>
      <c r="D574" s="19" t="str">
        <f aca="false">IF(AND(Eingabe!$F$11&gt;0,Eingabe!$E$11&gt;=162),162,"")</f>
        <v/>
      </c>
      <c r="E574" s="19" t="str">
        <f aca="false">IF(AND(Eingabe!$F$11&gt;0,Eingabe!$E$11&gt;=162),IF((Eingabe!$G$11+1)&lt;=9,1000+(Eingabe!$G$11+1)*100,3000)+62,"")</f>
        <v/>
      </c>
      <c r="F574" s="19" t="str">
        <f aca="false">IF(AND(Eingabe!$F$11&gt;0,Eingabe!$E$11&gt;=162),"10."&amp;Eingabe!$D$11&amp;".162.0/24","")</f>
        <v/>
      </c>
      <c r="G574" s="19" t="str">
        <f aca="false">IF(AND(Eingabe!$F$11&gt;0,Eingabe!$E$11&gt;=162),"10."&amp;Eingabe!$D$11&amp;".162.1","")</f>
        <v/>
      </c>
      <c r="H574" s="19" t="str">
        <f aca="false">IF(AND(Eingabe!$F$11&gt;0,Eingabe!$E$11&gt;=162),"10."&amp;Eingabe!$D$11&amp;".162.10 – 10."&amp;Eingabe!$D$11&amp;".162.250","")</f>
        <v/>
      </c>
      <c r="I574" s="19" t="str">
        <f aca="false">IF(AND(Eingabe!$F$11&gt;0,Eingabe!$E$11&gt;=162),Eingabe!$B$6&amp;"-"&amp;Eingabe!$C$11&amp;"-Pächter","")</f>
        <v/>
      </c>
      <c r="J574" s="19" t="str">
        <f aca="false">IF(AND(Eingabe!$F$11&gt;0,Eingabe!$E$11&gt;=162),"PPSK: Passwort Parzelle 162","")</f>
        <v/>
      </c>
      <c r="K574" s="19" t="str">
        <f aca="false">IF(AND(Eingabe!$F$11&gt;0,Eingabe!$E$11&gt;=162),"1. Gerät: 10."&amp;Eingabe!$D$11&amp;".162.10, 2. Gerät: .11","")</f>
        <v/>
      </c>
    </row>
    <row r="575" customFormat="false" ht="15" hidden="false" customHeight="false" outlineLevel="0" collapsed="false">
      <c r="A575" s="19" t="str">
        <f aca="false">IF(AND(Eingabe!$F$11&gt;0,Eingabe!$E$11&gt;=163),3,"")</f>
        <v/>
      </c>
      <c r="B575" s="19" t="str">
        <f aca="false">IF(AND(Eingabe!$F$11&gt;0,Eingabe!$E$11&gt;=163),Eingabe!$B$11,"")</f>
        <v/>
      </c>
      <c r="C575" s="19" t="str">
        <f aca="false">IF(AND(Eingabe!$F$11&gt;0,Eingabe!$E$11&gt;=163),Eingabe!$C$11&amp;"-Paz."&amp;TEXT(163,"000"),"")</f>
        <v/>
      </c>
      <c r="D575" s="19" t="str">
        <f aca="false">IF(AND(Eingabe!$F$11&gt;0,Eingabe!$E$11&gt;=163),163,"")</f>
        <v/>
      </c>
      <c r="E575" s="19" t="str">
        <f aca="false">IF(AND(Eingabe!$F$11&gt;0,Eingabe!$E$11&gt;=163),IF((Eingabe!$G$11+1)&lt;=9,1000+(Eingabe!$G$11+1)*100,3000)+63,"")</f>
        <v/>
      </c>
      <c r="F575" s="19" t="str">
        <f aca="false">IF(AND(Eingabe!$F$11&gt;0,Eingabe!$E$11&gt;=163),"10."&amp;Eingabe!$D$11&amp;".163.0/24","")</f>
        <v/>
      </c>
      <c r="G575" s="19" t="str">
        <f aca="false">IF(AND(Eingabe!$F$11&gt;0,Eingabe!$E$11&gt;=163),"10."&amp;Eingabe!$D$11&amp;".163.1","")</f>
        <v/>
      </c>
      <c r="H575" s="19" t="str">
        <f aca="false">IF(AND(Eingabe!$F$11&gt;0,Eingabe!$E$11&gt;=163),"10."&amp;Eingabe!$D$11&amp;".163.10 – 10."&amp;Eingabe!$D$11&amp;".163.250","")</f>
        <v/>
      </c>
      <c r="I575" s="19" t="str">
        <f aca="false">IF(AND(Eingabe!$F$11&gt;0,Eingabe!$E$11&gt;=163),Eingabe!$B$6&amp;"-"&amp;Eingabe!$C$11&amp;"-Pächter","")</f>
        <v/>
      </c>
      <c r="J575" s="19" t="str">
        <f aca="false">IF(AND(Eingabe!$F$11&gt;0,Eingabe!$E$11&gt;=163),"PPSK: Passwort Parzelle 163","")</f>
        <v/>
      </c>
      <c r="K575" s="19" t="str">
        <f aca="false">IF(AND(Eingabe!$F$11&gt;0,Eingabe!$E$11&gt;=163),"1. Gerät: 10."&amp;Eingabe!$D$11&amp;".163.10, 2. Gerät: .11","")</f>
        <v/>
      </c>
    </row>
    <row r="576" customFormat="false" ht="15" hidden="false" customHeight="false" outlineLevel="0" collapsed="false">
      <c r="A576" s="19" t="str">
        <f aca="false">IF(AND(Eingabe!$F$11&gt;0,Eingabe!$E$11&gt;=164),3,"")</f>
        <v/>
      </c>
      <c r="B576" s="19" t="str">
        <f aca="false">IF(AND(Eingabe!$F$11&gt;0,Eingabe!$E$11&gt;=164),Eingabe!$B$11,"")</f>
        <v/>
      </c>
      <c r="C576" s="19" t="str">
        <f aca="false">IF(AND(Eingabe!$F$11&gt;0,Eingabe!$E$11&gt;=164),Eingabe!$C$11&amp;"-Paz."&amp;TEXT(164,"000"),"")</f>
        <v/>
      </c>
      <c r="D576" s="19" t="str">
        <f aca="false">IF(AND(Eingabe!$F$11&gt;0,Eingabe!$E$11&gt;=164),164,"")</f>
        <v/>
      </c>
      <c r="E576" s="19" t="str">
        <f aca="false">IF(AND(Eingabe!$F$11&gt;0,Eingabe!$E$11&gt;=164),IF((Eingabe!$G$11+1)&lt;=9,1000+(Eingabe!$G$11+1)*100,3000)+64,"")</f>
        <v/>
      </c>
      <c r="F576" s="19" t="str">
        <f aca="false">IF(AND(Eingabe!$F$11&gt;0,Eingabe!$E$11&gt;=164),"10."&amp;Eingabe!$D$11&amp;".164.0/24","")</f>
        <v/>
      </c>
      <c r="G576" s="19" t="str">
        <f aca="false">IF(AND(Eingabe!$F$11&gt;0,Eingabe!$E$11&gt;=164),"10."&amp;Eingabe!$D$11&amp;".164.1","")</f>
        <v/>
      </c>
      <c r="H576" s="19" t="str">
        <f aca="false">IF(AND(Eingabe!$F$11&gt;0,Eingabe!$E$11&gt;=164),"10."&amp;Eingabe!$D$11&amp;".164.10 – 10."&amp;Eingabe!$D$11&amp;".164.250","")</f>
        <v/>
      </c>
      <c r="I576" s="19" t="str">
        <f aca="false">IF(AND(Eingabe!$F$11&gt;0,Eingabe!$E$11&gt;=164),Eingabe!$B$6&amp;"-"&amp;Eingabe!$C$11&amp;"-Pächter","")</f>
        <v/>
      </c>
      <c r="J576" s="19" t="str">
        <f aca="false">IF(AND(Eingabe!$F$11&gt;0,Eingabe!$E$11&gt;=164),"PPSK: Passwort Parzelle 164","")</f>
        <v/>
      </c>
      <c r="K576" s="19" t="str">
        <f aca="false">IF(AND(Eingabe!$F$11&gt;0,Eingabe!$E$11&gt;=164),"1. Gerät: 10."&amp;Eingabe!$D$11&amp;".164.10, 2. Gerät: .11","")</f>
        <v/>
      </c>
    </row>
    <row r="577" customFormat="false" ht="15" hidden="false" customHeight="false" outlineLevel="0" collapsed="false">
      <c r="A577" s="19" t="str">
        <f aca="false">IF(AND(Eingabe!$F$11&gt;0,Eingabe!$E$11&gt;=165),3,"")</f>
        <v/>
      </c>
      <c r="B577" s="19" t="str">
        <f aca="false">IF(AND(Eingabe!$F$11&gt;0,Eingabe!$E$11&gt;=165),Eingabe!$B$11,"")</f>
        <v/>
      </c>
      <c r="C577" s="19" t="str">
        <f aca="false">IF(AND(Eingabe!$F$11&gt;0,Eingabe!$E$11&gt;=165),Eingabe!$C$11&amp;"-Paz."&amp;TEXT(165,"000"),"")</f>
        <v/>
      </c>
      <c r="D577" s="19" t="str">
        <f aca="false">IF(AND(Eingabe!$F$11&gt;0,Eingabe!$E$11&gt;=165),165,"")</f>
        <v/>
      </c>
      <c r="E577" s="19" t="str">
        <f aca="false">IF(AND(Eingabe!$F$11&gt;0,Eingabe!$E$11&gt;=165),IF((Eingabe!$G$11+1)&lt;=9,1000+(Eingabe!$G$11+1)*100,3000)+65,"")</f>
        <v/>
      </c>
      <c r="F577" s="19" t="str">
        <f aca="false">IF(AND(Eingabe!$F$11&gt;0,Eingabe!$E$11&gt;=165),"10."&amp;Eingabe!$D$11&amp;".165.0/24","")</f>
        <v/>
      </c>
      <c r="G577" s="19" t="str">
        <f aca="false">IF(AND(Eingabe!$F$11&gt;0,Eingabe!$E$11&gt;=165),"10."&amp;Eingabe!$D$11&amp;".165.1","")</f>
        <v/>
      </c>
      <c r="H577" s="19" t="str">
        <f aca="false">IF(AND(Eingabe!$F$11&gt;0,Eingabe!$E$11&gt;=165),"10."&amp;Eingabe!$D$11&amp;".165.10 – 10."&amp;Eingabe!$D$11&amp;".165.250","")</f>
        <v/>
      </c>
      <c r="I577" s="19" t="str">
        <f aca="false">IF(AND(Eingabe!$F$11&gt;0,Eingabe!$E$11&gt;=165),Eingabe!$B$6&amp;"-"&amp;Eingabe!$C$11&amp;"-Pächter","")</f>
        <v/>
      </c>
      <c r="J577" s="19" t="str">
        <f aca="false">IF(AND(Eingabe!$F$11&gt;0,Eingabe!$E$11&gt;=165),"PPSK: Passwort Parzelle 165","")</f>
        <v/>
      </c>
      <c r="K577" s="19" t="str">
        <f aca="false">IF(AND(Eingabe!$F$11&gt;0,Eingabe!$E$11&gt;=165),"1. Gerät: 10."&amp;Eingabe!$D$11&amp;".165.10, 2. Gerät: .11","")</f>
        <v/>
      </c>
    </row>
    <row r="578" customFormat="false" ht="15" hidden="false" customHeight="false" outlineLevel="0" collapsed="false">
      <c r="A578" s="19" t="str">
        <f aca="false">IF(AND(Eingabe!$F$11&gt;0,Eingabe!$E$11&gt;=166),3,"")</f>
        <v/>
      </c>
      <c r="B578" s="19" t="str">
        <f aca="false">IF(AND(Eingabe!$F$11&gt;0,Eingabe!$E$11&gt;=166),Eingabe!$B$11,"")</f>
        <v/>
      </c>
      <c r="C578" s="19" t="str">
        <f aca="false">IF(AND(Eingabe!$F$11&gt;0,Eingabe!$E$11&gt;=166),Eingabe!$C$11&amp;"-Paz."&amp;TEXT(166,"000"),"")</f>
        <v/>
      </c>
      <c r="D578" s="19" t="str">
        <f aca="false">IF(AND(Eingabe!$F$11&gt;0,Eingabe!$E$11&gt;=166),166,"")</f>
        <v/>
      </c>
      <c r="E578" s="19" t="str">
        <f aca="false">IF(AND(Eingabe!$F$11&gt;0,Eingabe!$E$11&gt;=166),IF((Eingabe!$G$11+1)&lt;=9,1000+(Eingabe!$G$11+1)*100,3000)+66,"")</f>
        <v/>
      </c>
      <c r="F578" s="19" t="str">
        <f aca="false">IF(AND(Eingabe!$F$11&gt;0,Eingabe!$E$11&gt;=166),"10."&amp;Eingabe!$D$11&amp;".166.0/24","")</f>
        <v/>
      </c>
      <c r="G578" s="19" t="str">
        <f aca="false">IF(AND(Eingabe!$F$11&gt;0,Eingabe!$E$11&gt;=166),"10."&amp;Eingabe!$D$11&amp;".166.1","")</f>
        <v/>
      </c>
      <c r="H578" s="19" t="str">
        <f aca="false">IF(AND(Eingabe!$F$11&gt;0,Eingabe!$E$11&gt;=166),"10."&amp;Eingabe!$D$11&amp;".166.10 – 10."&amp;Eingabe!$D$11&amp;".166.250","")</f>
        <v/>
      </c>
      <c r="I578" s="19" t="str">
        <f aca="false">IF(AND(Eingabe!$F$11&gt;0,Eingabe!$E$11&gt;=166),Eingabe!$B$6&amp;"-"&amp;Eingabe!$C$11&amp;"-Pächter","")</f>
        <v/>
      </c>
      <c r="J578" s="19" t="str">
        <f aca="false">IF(AND(Eingabe!$F$11&gt;0,Eingabe!$E$11&gt;=166),"PPSK: Passwort Parzelle 166","")</f>
        <v/>
      </c>
      <c r="K578" s="19" t="str">
        <f aca="false">IF(AND(Eingabe!$F$11&gt;0,Eingabe!$E$11&gt;=166),"1. Gerät: 10."&amp;Eingabe!$D$11&amp;".166.10, 2. Gerät: .11","")</f>
        <v/>
      </c>
    </row>
    <row r="579" customFormat="false" ht="15" hidden="false" customHeight="false" outlineLevel="0" collapsed="false">
      <c r="A579" s="19" t="str">
        <f aca="false">IF(AND(Eingabe!$F$11&gt;0,Eingabe!$E$11&gt;=167),3,"")</f>
        <v/>
      </c>
      <c r="B579" s="19" t="str">
        <f aca="false">IF(AND(Eingabe!$F$11&gt;0,Eingabe!$E$11&gt;=167),Eingabe!$B$11,"")</f>
        <v/>
      </c>
      <c r="C579" s="19" t="str">
        <f aca="false">IF(AND(Eingabe!$F$11&gt;0,Eingabe!$E$11&gt;=167),Eingabe!$C$11&amp;"-Paz."&amp;TEXT(167,"000"),"")</f>
        <v/>
      </c>
      <c r="D579" s="19" t="str">
        <f aca="false">IF(AND(Eingabe!$F$11&gt;0,Eingabe!$E$11&gt;=167),167,"")</f>
        <v/>
      </c>
      <c r="E579" s="19" t="str">
        <f aca="false">IF(AND(Eingabe!$F$11&gt;0,Eingabe!$E$11&gt;=167),IF((Eingabe!$G$11+1)&lt;=9,1000+(Eingabe!$G$11+1)*100,3000)+67,"")</f>
        <v/>
      </c>
      <c r="F579" s="19" t="str">
        <f aca="false">IF(AND(Eingabe!$F$11&gt;0,Eingabe!$E$11&gt;=167),"10."&amp;Eingabe!$D$11&amp;".167.0/24","")</f>
        <v/>
      </c>
      <c r="G579" s="19" t="str">
        <f aca="false">IF(AND(Eingabe!$F$11&gt;0,Eingabe!$E$11&gt;=167),"10."&amp;Eingabe!$D$11&amp;".167.1","")</f>
        <v/>
      </c>
      <c r="H579" s="19" t="str">
        <f aca="false">IF(AND(Eingabe!$F$11&gt;0,Eingabe!$E$11&gt;=167),"10."&amp;Eingabe!$D$11&amp;".167.10 – 10."&amp;Eingabe!$D$11&amp;".167.250","")</f>
        <v/>
      </c>
      <c r="I579" s="19" t="str">
        <f aca="false">IF(AND(Eingabe!$F$11&gt;0,Eingabe!$E$11&gt;=167),Eingabe!$B$6&amp;"-"&amp;Eingabe!$C$11&amp;"-Pächter","")</f>
        <v/>
      </c>
      <c r="J579" s="19" t="str">
        <f aca="false">IF(AND(Eingabe!$F$11&gt;0,Eingabe!$E$11&gt;=167),"PPSK: Passwort Parzelle 167","")</f>
        <v/>
      </c>
      <c r="K579" s="19" t="str">
        <f aca="false">IF(AND(Eingabe!$F$11&gt;0,Eingabe!$E$11&gt;=167),"1. Gerät: 10."&amp;Eingabe!$D$11&amp;".167.10, 2. Gerät: .11","")</f>
        <v/>
      </c>
    </row>
    <row r="580" customFormat="false" ht="15" hidden="false" customHeight="false" outlineLevel="0" collapsed="false">
      <c r="A580" s="19" t="str">
        <f aca="false">IF(AND(Eingabe!$F$11&gt;0,Eingabe!$E$11&gt;=168),3,"")</f>
        <v/>
      </c>
      <c r="B580" s="19" t="str">
        <f aca="false">IF(AND(Eingabe!$F$11&gt;0,Eingabe!$E$11&gt;=168),Eingabe!$B$11,"")</f>
        <v/>
      </c>
      <c r="C580" s="19" t="str">
        <f aca="false">IF(AND(Eingabe!$F$11&gt;0,Eingabe!$E$11&gt;=168),Eingabe!$C$11&amp;"-Paz."&amp;TEXT(168,"000"),"")</f>
        <v/>
      </c>
      <c r="D580" s="19" t="str">
        <f aca="false">IF(AND(Eingabe!$F$11&gt;0,Eingabe!$E$11&gt;=168),168,"")</f>
        <v/>
      </c>
      <c r="E580" s="19" t="str">
        <f aca="false">IF(AND(Eingabe!$F$11&gt;0,Eingabe!$E$11&gt;=168),IF((Eingabe!$G$11+1)&lt;=9,1000+(Eingabe!$G$11+1)*100,3000)+68,"")</f>
        <v/>
      </c>
      <c r="F580" s="19" t="str">
        <f aca="false">IF(AND(Eingabe!$F$11&gt;0,Eingabe!$E$11&gt;=168),"10."&amp;Eingabe!$D$11&amp;".168.0/24","")</f>
        <v/>
      </c>
      <c r="G580" s="19" t="str">
        <f aca="false">IF(AND(Eingabe!$F$11&gt;0,Eingabe!$E$11&gt;=168),"10."&amp;Eingabe!$D$11&amp;".168.1","")</f>
        <v/>
      </c>
      <c r="H580" s="19" t="str">
        <f aca="false">IF(AND(Eingabe!$F$11&gt;0,Eingabe!$E$11&gt;=168),"10."&amp;Eingabe!$D$11&amp;".168.10 – 10."&amp;Eingabe!$D$11&amp;".168.250","")</f>
        <v/>
      </c>
      <c r="I580" s="19" t="str">
        <f aca="false">IF(AND(Eingabe!$F$11&gt;0,Eingabe!$E$11&gt;=168),Eingabe!$B$6&amp;"-"&amp;Eingabe!$C$11&amp;"-Pächter","")</f>
        <v/>
      </c>
      <c r="J580" s="19" t="str">
        <f aca="false">IF(AND(Eingabe!$F$11&gt;0,Eingabe!$E$11&gt;=168),"PPSK: Passwort Parzelle 168","")</f>
        <v/>
      </c>
      <c r="K580" s="19" t="str">
        <f aca="false">IF(AND(Eingabe!$F$11&gt;0,Eingabe!$E$11&gt;=168),"1. Gerät: 10."&amp;Eingabe!$D$11&amp;".168.10, 2. Gerät: .11","")</f>
        <v/>
      </c>
    </row>
    <row r="581" customFormat="false" ht="15" hidden="false" customHeight="false" outlineLevel="0" collapsed="false">
      <c r="A581" s="19" t="str">
        <f aca="false">IF(AND(Eingabe!$F$11&gt;0,Eingabe!$E$11&gt;=169),3,"")</f>
        <v/>
      </c>
      <c r="B581" s="19" t="str">
        <f aca="false">IF(AND(Eingabe!$F$11&gt;0,Eingabe!$E$11&gt;=169),Eingabe!$B$11,"")</f>
        <v/>
      </c>
      <c r="C581" s="19" t="str">
        <f aca="false">IF(AND(Eingabe!$F$11&gt;0,Eingabe!$E$11&gt;=169),Eingabe!$C$11&amp;"-Paz."&amp;TEXT(169,"000"),"")</f>
        <v/>
      </c>
      <c r="D581" s="19" t="str">
        <f aca="false">IF(AND(Eingabe!$F$11&gt;0,Eingabe!$E$11&gt;=169),169,"")</f>
        <v/>
      </c>
      <c r="E581" s="19" t="str">
        <f aca="false">IF(AND(Eingabe!$F$11&gt;0,Eingabe!$E$11&gt;=169),IF((Eingabe!$G$11+1)&lt;=9,1000+(Eingabe!$G$11+1)*100,3000)+69,"")</f>
        <v/>
      </c>
      <c r="F581" s="19" t="str">
        <f aca="false">IF(AND(Eingabe!$F$11&gt;0,Eingabe!$E$11&gt;=169),"10."&amp;Eingabe!$D$11&amp;".169.0/24","")</f>
        <v/>
      </c>
      <c r="G581" s="19" t="str">
        <f aca="false">IF(AND(Eingabe!$F$11&gt;0,Eingabe!$E$11&gt;=169),"10."&amp;Eingabe!$D$11&amp;".169.1","")</f>
        <v/>
      </c>
      <c r="H581" s="19" t="str">
        <f aca="false">IF(AND(Eingabe!$F$11&gt;0,Eingabe!$E$11&gt;=169),"10."&amp;Eingabe!$D$11&amp;".169.10 – 10."&amp;Eingabe!$D$11&amp;".169.250","")</f>
        <v/>
      </c>
      <c r="I581" s="19" t="str">
        <f aca="false">IF(AND(Eingabe!$F$11&gt;0,Eingabe!$E$11&gt;=169),Eingabe!$B$6&amp;"-"&amp;Eingabe!$C$11&amp;"-Pächter","")</f>
        <v/>
      </c>
      <c r="J581" s="19" t="str">
        <f aca="false">IF(AND(Eingabe!$F$11&gt;0,Eingabe!$E$11&gt;=169),"PPSK: Passwort Parzelle 169","")</f>
        <v/>
      </c>
      <c r="K581" s="19" t="str">
        <f aca="false">IF(AND(Eingabe!$F$11&gt;0,Eingabe!$E$11&gt;=169),"1. Gerät: 10."&amp;Eingabe!$D$11&amp;".169.10, 2. Gerät: .11","")</f>
        <v/>
      </c>
    </row>
    <row r="582" customFormat="false" ht="15" hidden="false" customHeight="false" outlineLevel="0" collapsed="false">
      <c r="A582" s="19" t="str">
        <f aca="false">IF(AND(Eingabe!$F$11&gt;0,Eingabe!$E$11&gt;=170),3,"")</f>
        <v/>
      </c>
      <c r="B582" s="19" t="str">
        <f aca="false">IF(AND(Eingabe!$F$11&gt;0,Eingabe!$E$11&gt;=170),Eingabe!$B$11,"")</f>
        <v/>
      </c>
      <c r="C582" s="19" t="str">
        <f aca="false">IF(AND(Eingabe!$F$11&gt;0,Eingabe!$E$11&gt;=170),Eingabe!$C$11&amp;"-Paz."&amp;TEXT(170,"000"),"")</f>
        <v/>
      </c>
      <c r="D582" s="19" t="str">
        <f aca="false">IF(AND(Eingabe!$F$11&gt;0,Eingabe!$E$11&gt;=170),170,"")</f>
        <v/>
      </c>
      <c r="E582" s="19" t="str">
        <f aca="false">IF(AND(Eingabe!$F$11&gt;0,Eingabe!$E$11&gt;=170),IF((Eingabe!$G$11+1)&lt;=9,1000+(Eingabe!$G$11+1)*100,3000)+70,"")</f>
        <v/>
      </c>
      <c r="F582" s="19" t="str">
        <f aca="false">IF(AND(Eingabe!$F$11&gt;0,Eingabe!$E$11&gt;=170),"10."&amp;Eingabe!$D$11&amp;".170.0/24","")</f>
        <v/>
      </c>
      <c r="G582" s="19" t="str">
        <f aca="false">IF(AND(Eingabe!$F$11&gt;0,Eingabe!$E$11&gt;=170),"10."&amp;Eingabe!$D$11&amp;".170.1","")</f>
        <v/>
      </c>
      <c r="H582" s="19" t="str">
        <f aca="false">IF(AND(Eingabe!$F$11&gt;0,Eingabe!$E$11&gt;=170),"10."&amp;Eingabe!$D$11&amp;".170.10 – 10."&amp;Eingabe!$D$11&amp;".170.250","")</f>
        <v/>
      </c>
      <c r="I582" s="19" t="str">
        <f aca="false">IF(AND(Eingabe!$F$11&gt;0,Eingabe!$E$11&gt;=170),Eingabe!$B$6&amp;"-"&amp;Eingabe!$C$11&amp;"-Pächter","")</f>
        <v/>
      </c>
      <c r="J582" s="19" t="str">
        <f aca="false">IF(AND(Eingabe!$F$11&gt;0,Eingabe!$E$11&gt;=170),"PPSK: Passwort Parzelle 170","")</f>
        <v/>
      </c>
      <c r="K582" s="19" t="str">
        <f aca="false">IF(AND(Eingabe!$F$11&gt;0,Eingabe!$E$11&gt;=170),"1. Gerät: 10."&amp;Eingabe!$D$11&amp;".170.10, 2. Gerät: .11","")</f>
        <v/>
      </c>
    </row>
    <row r="583" customFormat="false" ht="15" hidden="false" customHeight="false" outlineLevel="0" collapsed="false">
      <c r="A583" s="19" t="str">
        <f aca="false">IF(AND(Eingabe!$F$11&gt;0,Eingabe!$E$11&gt;=171),3,"")</f>
        <v/>
      </c>
      <c r="B583" s="19" t="str">
        <f aca="false">IF(AND(Eingabe!$F$11&gt;0,Eingabe!$E$11&gt;=171),Eingabe!$B$11,"")</f>
        <v/>
      </c>
      <c r="C583" s="19" t="str">
        <f aca="false">IF(AND(Eingabe!$F$11&gt;0,Eingabe!$E$11&gt;=171),Eingabe!$C$11&amp;"-Paz."&amp;TEXT(171,"000"),"")</f>
        <v/>
      </c>
      <c r="D583" s="19" t="str">
        <f aca="false">IF(AND(Eingabe!$F$11&gt;0,Eingabe!$E$11&gt;=171),171,"")</f>
        <v/>
      </c>
      <c r="E583" s="19" t="str">
        <f aca="false">IF(AND(Eingabe!$F$11&gt;0,Eingabe!$E$11&gt;=171),IF((Eingabe!$G$11+1)&lt;=9,1000+(Eingabe!$G$11+1)*100,3000)+71,"")</f>
        <v/>
      </c>
      <c r="F583" s="19" t="str">
        <f aca="false">IF(AND(Eingabe!$F$11&gt;0,Eingabe!$E$11&gt;=171),"10."&amp;Eingabe!$D$11&amp;".171.0/24","")</f>
        <v/>
      </c>
      <c r="G583" s="19" t="str">
        <f aca="false">IF(AND(Eingabe!$F$11&gt;0,Eingabe!$E$11&gt;=171),"10."&amp;Eingabe!$D$11&amp;".171.1","")</f>
        <v/>
      </c>
      <c r="H583" s="19" t="str">
        <f aca="false">IF(AND(Eingabe!$F$11&gt;0,Eingabe!$E$11&gt;=171),"10."&amp;Eingabe!$D$11&amp;".171.10 – 10."&amp;Eingabe!$D$11&amp;".171.250","")</f>
        <v/>
      </c>
      <c r="I583" s="19" t="str">
        <f aca="false">IF(AND(Eingabe!$F$11&gt;0,Eingabe!$E$11&gt;=171),Eingabe!$B$6&amp;"-"&amp;Eingabe!$C$11&amp;"-Pächter","")</f>
        <v/>
      </c>
      <c r="J583" s="19" t="str">
        <f aca="false">IF(AND(Eingabe!$F$11&gt;0,Eingabe!$E$11&gt;=171),"PPSK: Passwort Parzelle 171","")</f>
        <v/>
      </c>
      <c r="K583" s="19" t="str">
        <f aca="false">IF(AND(Eingabe!$F$11&gt;0,Eingabe!$E$11&gt;=171),"1. Gerät: 10."&amp;Eingabe!$D$11&amp;".171.10, 2. Gerät: .11","")</f>
        <v/>
      </c>
    </row>
    <row r="584" customFormat="false" ht="15" hidden="false" customHeight="false" outlineLevel="0" collapsed="false">
      <c r="A584" s="19" t="str">
        <f aca="false">IF(AND(Eingabe!$F$11&gt;0,Eingabe!$E$11&gt;=172),3,"")</f>
        <v/>
      </c>
      <c r="B584" s="19" t="str">
        <f aca="false">IF(AND(Eingabe!$F$11&gt;0,Eingabe!$E$11&gt;=172),Eingabe!$B$11,"")</f>
        <v/>
      </c>
      <c r="C584" s="19" t="str">
        <f aca="false">IF(AND(Eingabe!$F$11&gt;0,Eingabe!$E$11&gt;=172),Eingabe!$C$11&amp;"-Paz."&amp;TEXT(172,"000"),"")</f>
        <v/>
      </c>
      <c r="D584" s="19" t="str">
        <f aca="false">IF(AND(Eingabe!$F$11&gt;0,Eingabe!$E$11&gt;=172),172,"")</f>
        <v/>
      </c>
      <c r="E584" s="19" t="str">
        <f aca="false">IF(AND(Eingabe!$F$11&gt;0,Eingabe!$E$11&gt;=172),IF((Eingabe!$G$11+1)&lt;=9,1000+(Eingabe!$G$11+1)*100,3000)+72,"")</f>
        <v/>
      </c>
      <c r="F584" s="19" t="str">
        <f aca="false">IF(AND(Eingabe!$F$11&gt;0,Eingabe!$E$11&gt;=172),"10."&amp;Eingabe!$D$11&amp;".172.0/24","")</f>
        <v/>
      </c>
      <c r="G584" s="19" t="str">
        <f aca="false">IF(AND(Eingabe!$F$11&gt;0,Eingabe!$E$11&gt;=172),"10."&amp;Eingabe!$D$11&amp;".172.1","")</f>
        <v/>
      </c>
      <c r="H584" s="19" t="str">
        <f aca="false">IF(AND(Eingabe!$F$11&gt;0,Eingabe!$E$11&gt;=172),"10."&amp;Eingabe!$D$11&amp;".172.10 – 10."&amp;Eingabe!$D$11&amp;".172.250","")</f>
        <v/>
      </c>
      <c r="I584" s="19" t="str">
        <f aca="false">IF(AND(Eingabe!$F$11&gt;0,Eingabe!$E$11&gt;=172),Eingabe!$B$6&amp;"-"&amp;Eingabe!$C$11&amp;"-Pächter","")</f>
        <v/>
      </c>
      <c r="J584" s="19" t="str">
        <f aca="false">IF(AND(Eingabe!$F$11&gt;0,Eingabe!$E$11&gt;=172),"PPSK: Passwort Parzelle 172","")</f>
        <v/>
      </c>
      <c r="K584" s="19" t="str">
        <f aca="false">IF(AND(Eingabe!$F$11&gt;0,Eingabe!$E$11&gt;=172),"1. Gerät: 10."&amp;Eingabe!$D$11&amp;".172.10, 2. Gerät: .11","")</f>
        <v/>
      </c>
    </row>
    <row r="585" customFormat="false" ht="15" hidden="false" customHeight="false" outlineLevel="0" collapsed="false">
      <c r="A585" s="19" t="str">
        <f aca="false">IF(AND(Eingabe!$F$11&gt;0,Eingabe!$E$11&gt;=173),3,"")</f>
        <v/>
      </c>
      <c r="B585" s="19" t="str">
        <f aca="false">IF(AND(Eingabe!$F$11&gt;0,Eingabe!$E$11&gt;=173),Eingabe!$B$11,"")</f>
        <v/>
      </c>
      <c r="C585" s="19" t="str">
        <f aca="false">IF(AND(Eingabe!$F$11&gt;0,Eingabe!$E$11&gt;=173),Eingabe!$C$11&amp;"-Paz."&amp;TEXT(173,"000"),"")</f>
        <v/>
      </c>
      <c r="D585" s="19" t="str">
        <f aca="false">IF(AND(Eingabe!$F$11&gt;0,Eingabe!$E$11&gt;=173),173,"")</f>
        <v/>
      </c>
      <c r="E585" s="19" t="str">
        <f aca="false">IF(AND(Eingabe!$F$11&gt;0,Eingabe!$E$11&gt;=173),IF((Eingabe!$G$11+1)&lt;=9,1000+(Eingabe!$G$11+1)*100,3000)+73,"")</f>
        <v/>
      </c>
      <c r="F585" s="19" t="str">
        <f aca="false">IF(AND(Eingabe!$F$11&gt;0,Eingabe!$E$11&gt;=173),"10."&amp;Eingabe!$D$11&amp;".173.0/24","")</f>
        <v/>
      </c>
      <c r="G585" s="19" t="str">
        <f aca="false">IF(AND(Eingabe!$F$11&gt;0,Eingabe!$E$11&gt;=173),"10."&amp;Eingabe!$D$11&amp;".173.1","")</f>
        <v/>
      </c>
      <c r="H585" s="19" t="str">
        <f aca="false">IF(AND(Eingabe!$F$11&gt;0,Eingabe!$E$11&gt;=173),"10."&amp;Eingabe!$D$11&amp;".173.10 – 10."&amp;Eingabe!$D$11&amp;".173.250","")</f>
        <v/>
      </c>
      <c r="I585" s="19" t="str">
        <f aca="false">IF(AND(Eingabe!$F$11&gt;0,Eingabe!$E$11&gt;=173),Eingabe!$B$6&amp;"-"&amp;Eingabe!$C$11&amp;"-Pächter","")</f>
        <v/>
      </c>
      <c r="J585" s="19" t="str">
        <f aca="false">IF(AND(Eingabe!$F$11&gt;0,Eingabe!$E$11&gt;=173),"PPSK: Passwort Parzelle 173","")</f>
        <v/>
      </c>
      <c r="K585" s="19" t="str">
        <f aca="false">IF(AND(Eingabe!$F$11&gt;0,Eingabe!$E$11&gt;=173),"1. Gerät: 10."&amp;Eingabe!$D$11&amp;".173.10, 2. Gerät: .11","")</f>
        <v/>
      </c>
    </row>
    <row r="586" customFormat="false" ht="15" hidden="false" customHeight="false" outlineLevel="0" collapsed="false">
      <c r="A586" s="19" t="str">
        <f aca="false">IF(AND(Eingabe!$F$11&gt;0,Eingabe!$E$11&gt;=174),3,"")</f>
        <v/>
      </c>
      <c r="B586" s="19" t="str">
        <f aca="false">IF(AND(Eingabe!$F$11&gt;0,Eingabe!$E$11&gt;=174),Eingabe!$B$11,"")</f>
        <v/>
      </c>
      <c r="C586" s="19" t="str">
        <f aca="false">IF(AND(Eingabe!$F$11&gt;0,Eingabe!$E$11&gt;=174),Eingabe!$C$11&amp;"-Paz."&amp;TEXT(174,"000"),"")</f>
        <v/>
      </c>
      <c r="D586" s="19" t="str">
        <f aca="false">IF(AND(Eingabe!$F$11&gt;0,Eingabe!$E$11&gt;=174),174,"")</f>
        <v/>
      </c>
      <c r="E586" s="19" t="str">
        <f aca="false">IF(AND(Eingabe!$F$11&gt;0,Eingabe!$E$11&gt;=174),IF((Eingabe!$G$11+1)&lt;=9,1000+(Eingabe!$G$11+1)*100,3000)+74,"")</f>
        <v/>
      </c>
      <c r="F586" s="19" t="str">
        <f aca="false">IF(AND(Eingabe!$F$11&gt;0,Eingabe!$E$11&gt;=174),"10."&amp;Eingabe!$D$11&amp;".174.0/24","")</f>
        <v/>
      </c>
      <c r="G586" s="19" t="str">
        <f aca="false">IF(AND(Eingabe!$F$11&gt;0,Eingabe!$E$11&gt;=174),"10."&amp;Eingabe!$D$11&amp;".174.1","")</f>
        <v/>
      </c>
      <c r="H586" s="19" t="str">
        <f aca="false">IF(AND(Eingabe!$F$11&gt;0,Eingabe!$E$11&gt;=174),"10."&amp;Eingabe!$D$11&amp;".174.10 – 10."&amp;Eingabe!$D$11&amp;".174.250","")</f>
        <v/>
      </c>
      <c r="I586" s="19" t="str">
        <f aca="false">IF(AND(Eingabe!$F$11&gt;0,Eingabe!$E$11&gt;=174),Eingabe!$B$6&amp;"-"&amp;Eingabe!$C$11&amp;"-Pächter","")</f>
        <v/>
      </c>
      <c r="J586" s="19" t="str">
        <f aca="false">IF(AND(Eingabe!$F$11&gt;0,Eingabe!$E$11&gt;=174),"PPSK: Passwort Parzelle 174","")</f>
        <v/>
      </c>
      <c r="K586" s="19" t="str">
        <f aca="false">IF(AND(Eingabe!$F$11&gt;0,Eingabe!$E$11&gt;=174),"1. Gerät: 10."&amp;Eingabe!$D$11&amp;".174.10, 2. Gerät: .11","")</f>
        <v/>
      </c>
    </row>
    <row r="587" customFormat="false" ht="15" hidden="false" customHeight="false" outlineLevel="0" collapsed="false">
      <c r="A587" s="19" t="str">
        <f aca="false">IF(AND(Eingabe!$F$11&gt;0,Eingabe!$E$11&gt;=175),3,"")</f>
        <v/>
      </c>
      <c r="B587" s="19" t="str">
        <f aca="false">IF(AND(Eingabe!$F$11&gt;0,Eingabe!$E$11&gt;=175),Eingabe!$B$11,"")</f>
        <v/>
      </c>
      <c r="C587" s="19" t="str">
        <f aca="false">IF(AND(Eingabe!$F$11&gt;0,Eingabe!$E$11&gt;=175),Eingabe!$C$11&amp;"-Paz."&amp;TEXT(175,"000"),"")</f>
        <v/>
      </c>
      <c r="D587" s="19" t="str">
        <f aca="false">IF(AND(Eingabe!$F$11&gt;0,Eingabe!$E$11&gt;=175),175,"")</f>
        <v/>
      </c>
      <c r="E587" s="19" t="str">
        <f aca="false">IF(AND(Eingabe!$F$11&gt;0,Eingabe!$E$11&gt;=175),IF((Eingabe!$G$11+1)&lt;=9,1000+(Eingabe!$G$11+1)*100,3000)+75,"")</f>
        <v/>
      </c>
      <c r="F587" s="19" t="str">
        <f aca="false">IF(AND(Eingabe!$F$11&gt;0,Eingabe!$E$11&gt;=175),"10."&amp;Eingabe!$D$11&amp;".175.0/24","")</f>
        <v/>
      </c>
      <c r="G587" s="19" t="str">
        <f aca="false">IF(AND(Eingabe!$F$11&gt;0,Eingabe!$E$11&gt;=175),"10."&amp;Eingabe!$D$11&amp;".175.1","")</f>
        <v/>
      </c>
      <c r="H587" s="19" t="str">
        <f aca="false">IF(AND(Eingabe!$F$11&gt;0,Eingabe!$E$11&gt;=175),"10."&amp;Eingabe!$D$11&amp;".175.10 – 10."&amp;Eingabe!$D$11&amp;".175.250","")</f>
        <v/>
      </c>
      <c r="I587" s="19" t="str">
        <f aca="false">IF(AND(Eingabe!$F$11&gt;0,Eingabe!$E$11&gt;=175),Eingabe!$B$6&amp;"-"&amp;Eingabe!$C$11&amp;"-Pächter","")</f>
        <v/>
      </c>
      <c r="J587" s="19" t="str">
        <f aca="false">IF(AND(Eingabe!$F$11&gt;0,Eingabe!$E$11&gt;=175),"PPSK: Passwort Parzelle 175","")</f>
        <v/>
      </c>
      <c r="K587" s="19" t="str">
        <f aca="false">IF(AND(Eingabe!$F$11&gt;0,Eingabe!$E$11&gt;=175),"1. Gerät: 10."&amp;Eingabe!$D$11&amp;".175.10, 2. Gerät: .11","")</f>
        <v/>
      </c>
    </row>
    <row r="588" customFormat="false" ht="15" hidden="false" customHeight="false" outlineLevel="0" collapsed="false">
      <c r="A588" s="19" t="str">
        <f aca="false">IF(AND(Eingabe!$F$11&gt;0,Eingabe!$E$11&gt;=176),3,"")</f>
        <v/>
      </c>
      <c r="B588" s="19" t="str">
        <f aca="false">IF(AND(Eingabe!$F$11&gt;0,Eingabe!$E$11&gt;=176),Eingabe!$B$11,"")</f>
        <v/>
      </c>
      <c r="C588" s="19" t="str">
        <f aca="false">IF(AND(Eingabe!$F$11&gt;0,Eingabe!$E$11&gt;=176),Eingabe!$C$11&amp;"-Paz."&amp;TEXT(176,"000"),"")</f>
        <v/>
      </c>
      <c r="D588" s="19" t="str">
        <f aca="false">IF(AND(Eingabe!$F$11&gt;0,Eingabe!$E$11&gt;=176),176,"")</f>
        <v/>
      </c>
      <c r="E588" s="19" t="str">
        <f aca="false">IF(AND(Eingabe!$F$11&gt;0,Eingabe!$E$11&gt;=176),IF((Eingabe!$G$11+1)&lt;=9,1000+(Eingabe!$G$11+1)*100,3000)+76,"")</f>
        <v/>
      </c>
      <c r="F588" s="19" t="str">
        <f aca="false">IF(AND(Eingabe!$F$11&gt;0,Eingabe!$E$11&gt;=176),"10."&amp;Eingabe!$D$11&amp;".176.0/24","")</f>
        <v/>
      </c>
      <c r="G588" s="19" t="str">
        <f aca="false">IF(AND(Eingabe!$F$11&gt;0,Eingabe!$E$11&gt;=176),"10."&amp;Eingabe!$D$11&amp;".176.1","")</f>
        <v/>
      </c>
      <c r="H588" s="19" t="str">
        <f aca="false">IF(AND(Eingabe!$F$11&gt;0,Eingabe!$E$11&gt;=176),"10."&amp;Eingabe!$D$11&amp;".176.10 – 10."&amp;Eingabe!$D$11&amp;".176.250","")</f>
        <v/>
      </c>
      <c r="I588" s="19" t="str">
        <f aca="false">IF(AND(Eingabe!$F$11&gt;0,Eingabe!$E$11&gt;=176),Eingabe!$B$6&amp;"-"&amp;Eingabe!$C$11&amp;"-Pächter","")</f>
        <v/>
      </c>
      <c r="J588" s="19" t="str">
        <f aca="false">IF(AND(Eingabe!$F$11&gt;0,Eingabe!$E$11&gt;=176),"PPSK: Passwort Parzelle 176","")</f>
        <v/>
      </c>
      <c r="K588" s="19" t="str">
        <f aca="false">IF(AND(Eingabe!$F$11&gt;0,Eingabe!$E$11&gt;=176),"1. Gerät: 10."&amp;Eingabe!$D$11&amp;".176.10, 2. Gerät: .11","")</f>
        <v/>
      </c>
    </row>
    <row r="589" customFormat="false" ht="15" hidden="false" customHeight="false" outlineLevel="0" collapsed="false">
      <c r="A589" s="19" t="str">
        <f aca="false">IF(AND(Eingabe!$F$11&gt;0,Eingabe!$E$11&gt;=177),3,"")</f>
        <v/>
      </c>
      <c r="B589" s="19" t="str">
        <f aca="false">IF(AND(Eingabe!$F$11&gt;0,Eingabe!$E$11&gt;=177),Eingabe!$B$11,"")</f>
        <v/>
      </c>
      <c r="C589" s="19" t="str">
        <f aca="false">IF(AND(Eingabe!$F$11&gt;0,Eingabe!$E$11&gt;=177),Eingabe!$C$11&amp;"-Paz."&amp;TEXT(177,"000"),"")</f>
        <v/>
      </c>
      <c r="D589" s="19" t="str">
        <f aca="false">IF(AND(Eingabe!$F$11&gt;0,Eingabe!$E$11&gt;=177),177,"")</f>
        <v/>
      </c>
      <c r="E589" s="19" t="str">
        <f aca="false">IF(AND(Eingabe!$F$11&gt;0,Eingabe!$E$11&gt;=177),IF((Eingabe!$G$11+1)&lt;=9,1000+(Eingabe!$G$11+1)*100,3000)+77,"")</f>
        <v/>
      </c>
      <c r="F589" s="19" t="str">
        <f aca="false">IF(AND(Eingabe!$F$11&gt;0,Eingabe!$E$11&gt;=177),"10."&amp;Eingabe!$D$11&amp;".177.0/24","")</f>
        <v/>
      </c>
      <c r="G589" s="19" t="str">
        <f aca="false">IF(AND(Eingabe!$F$11&gt;0,Eingabe!$E$11&gt;=177),"10."&amp;Eingabe!$D$11&amp;".177.1","")</f>
        <v/>
      </c>
      <c r="H589" s="19" t="str">
        <f aca="false">IF(AND(Eingabe!$F$11&gt;0,Eingabe!$E$11&gt;=177),"10."&amp;Eingabe!$D$11&amp;".177.10 – 10."&amp;Eingabe!$D$11&amp;".177.250","")</f>
        <v/>
      </c>
      <c r="I589" s="19" t="str">
        <f aca="false">IF(AND(Eingabe!$F$11&gt;0,Eingabe!$E$11&gt;=177),Eingabe!$B$6&amp;"-"&amp;Eingabe!$C$11&amp;"-Pächter","")</f>
        <v/>
      </c>
      <c r="J589" s="19" t="str">
        <f aca="false">IF(AND(Eingabe!$F$11&gt;0,Eingabe!$E$11&gt;=177),"PPSK: Passwort Parzelle 177","")</f>
        <v/>
      </c>
      <c r="K589" s="19" t="str">
        <f aca="false">IF(AND(Eingabe!$F$11&gt;0,Eingabe!$E$11&gt;=177),"1. Gerät: 10."&amp;Eingabe!$D$11&amp;".177.10, 2. Gerät: .11","")</f>
        <v/>
      </c>
    </row>
    <row r="590" customFormat="false" ht="15" hidden="false" customHeight="false" outlineLevel="0" collapsed="false">
      <c r="A590" s="19" t="str">
        <f aca="false">IF(AND(Eingabe!$F$11&gt;0,Eingabe!$E$11&gt;=178),3,"")</f>
        <v/>
      </c>
      <c r="B590" s="19" t="str">
        <f aca="false">IF(AND(Eingabe!$F$11&gt;0,Eingabe!$E$11&gt;=178),Eingabe!$B$11,"")</f>
        <v/>
      </c>
      <c r="C590" s="19" t="str">
        <f aca="false">IF(AND(Eingabe!$F$11&gt;0,Eingabe!$E$11&gt;=178),Eingabe!$C$11&amp;"-Paz."&amp;TEXT(178,"000"),"")</f>
        <v/>
      </c>
      <c r="D590" s="19" t="str">
        <f aca="false">IF(AND(Eingabe!$F$11&gt;0,Eingabe!$E$11&gt;=178),178,"")</f>
        <v/>
      </c>
      <c r="E590" s="19" t="str">
        <f aca="false">IF(AND(Eingabe!$F$11&gt;0,Eingabe!$E$11&gt;=178),IF((Eingabe!$G$11+1)&lt;=9,1000+(Eingabe!$G$11+1)*100,3000)+78,"")</f>
        <v/>
      </c>
      <c r="F590" s="19" t="str">
        <f aca="false">IF(AND(Eingabe!$F$11&gt;0,Eingabe!$E$11&gt;=178),"10."&amp;Eingabe!$D$11&amp;".178.0/24","")</f>
        <v/>
      </c>
      <c r="G590" s="19" t="str">
        <f aca="false">IF(AND(Eingabe!$F$11&gt;0,Eingabe!$E$11&gt;=178),"10."&amp;Eingabe!$D$11&amp;".178.1","")</f>
        <v/>
      </c>
      <c r="H590" s="19" t="str">
        <f aca="false">IF(AND(Eingabe!$F$11&gt;0,Eingabe!$E$11&gt;=178),"10."&amp;Eingabe!$D$11&amp;".178.10 – 10."&amp;Eingabe!$D$11&amp;".178.250","")</f>
        <v/>
      </c>
      <c r="I590" s="19" t="str">
        <f aca="false">IF(AND(Eingabe!$F$11&gt;0,Eingabe!$E$11&gt;=178),Eingabe!$B$6&amp;"-"&amp;Eingabe!$C$11&amp;"-Pächter","")</f>
        <v/>
      </c>
      <c r="J590" s="19" t="str">
        <f aca="false">IF(AND(Eingabe!$F$11&gt;0,Eingabe!$E$11&gt;=178),"PPSK: Passwort Parzelle 178","")</f>
        <v/>
      </c>
      <c r="K590" s="19" t="str">
        <f aca="false">IF(AND(Eingabe!$F$11&gt;0,Eingabe!$E$11&gt;=178),"1. Gerät: 10."&amp;Eingabe!$D$11&amp;".178.10, 2. Gerät: .11","")</f>
        <v/>
      </c>
    </row>
    <row r="591" customFormat="false" ht="15" hidden="false" customHeight="false" outlineLevel="0" collapsed="false">
      <c r="A591" s="19" t="str">
        <f aca="false">IF(AND(Eingabe!$F$11&gt;0,Eingabe!$E$11&gt;=179),3,"")</f>
        <v/>
      </c>
      <c r="B591" s="19" t="str">
        <f aca="false">IF(AND(Eingabe!$F$11&gt;0,Eingabe!$E$11&gt;=179),Eingabe!$B$11,"")</f>
        <v/>
      </c>
      <c r="C591" s="19" t="str">
        <f aca="false">IF(AND(Eingabe!$F$11&gt;0,Eingabe!$E$11&gt;=179),Eingabe!$C$11&amp;"-Paz."&amp;TEXT(179,"000"),"")</f>
        <v/>
      </c>
      <c r="D591" s="19" t="str">
        <f aca="false">IF(AND(Eingabe!$F$11&gt;0,Eingabe!$E$11&gt;=179),179,"")</f>
        <v/>
      </c>
      <c r="E591" s="19" t="str">
        <f aca="false">IF(AND(Eingabe!$F$11&gt;0,Eingabe!$E$11&gt;=179),IF((Eingabe!$G$11+1)&lt;=9,1000+(Eingabe!$G$11+1)*100,3000)+79,"")</f>
        <v/>
      </c>
      <c r="F591" s="19" t="str">
        <f aca="false">IF(AND(Eingabe!$F$11&gt;0,Eingabe!$E$11&gt;=179),"10."&amp;Eingabe!$D$11&amp;".179.0/24","")</f>
        <v/>
      </c>
      <c r="G591" s="19" t="str">
        <f aca="false">IF(AND(Eingabe!$F$11&gt;0,Eingabe!$E$11&gt;=179),"10."&amp;Eingabe!$D$11&amp;".179.1","")</f>
        <v/>
      </c>
      <c r="H591" s="19" t="str">
        <f aca="false">IF(AND(Eingabe!$F$11&gt;0,Eingabe!$E$11&gt;=179),"10."&amp;Eingabe!$D$11&amp;".179.10 – 10."&amp;Eingabe!$D$11&amp;".179.250","")</f>
        <v/>
      </c>
      <c r="I591" s="19" t="str">
        <f aca="false">IF(AND(Eingabe!$F$11&gt;0,Eingabe!$E$11&gt;=179),Eingabe!$B$6&amp;"-"&amp;Eingabe!$C$11&amp;"-Pächter","")</f>
        <v/>
      </c>
      <c r="J591" s="19" t="str">
        <f aca="false">IF(AND(Eingabe!$F$11&gt;0,Eingabe!$E$11&gt;=179),"PPSK: Passwort Parzelle 179","")</f>
        <v/>
      </c>
      <c r="K591" s="19" t="str">
        <f aca="false">IF(AND(Eingabe!$F$11&gt;0,Eingabe!$E$11&gt;=179),"1. Gerät: 10."&amp;Eingabe!$D$11&amp;".179.10, 2. Gerät: .11","")</f>
        <v/>
      </c>
    </row>
    <row r="592" customFormat="false" ht="15" hidden="false" customHeight="false" outlineLevel="0" collapsed="false">
      <c r="A592" s="19" t="str">
        <f aca="false">IF(AND(Eingabe!$F$11&gt;0,Eingabe!$E$11&gt;=180),3,"")</f>
        <v/>
      </c>
      <c r="B592" s="19" t="str">
        <f aca="false">IF(AND(Eingabe!$F$11&gt;0,Eingabe!$E$11&gt;=180),Eingabe!$B$11,"")</f>
        <v/>
      </c>
      <c r="C592" s="19" t="str">
        <f aca="false">IF(AND(Eingabe!$F$11&gt;0,Eingabe!$E$11&gt;=180),Eingabe!$C$11&amp;"-Paz."&amp;TEXT(180,"000"),"")</f>
        <v/>
      </c>
      <c r="D592" s="19" t="str">
        <f aca="false">IF(AND(Eingabe!$F$11&gt;0,Eingabe!$E$11&gt;=180),180,"")</f>
        <v/>
      </c>
      <c r="E592" s="19" t="str">
        <f aca="false">IF(AND(Eingabe!$F$11&gt;0,Eingabe!$E$11&gt;=180),IF((Eingabe!$G$11+1)&lt;=9,1000+(Eingabe!$G$11+1)*100,3000)+80,"")</f>
        <v/>
      </c>
      <c r="F592" s="19" t="str">
        <f aca="false">IF(AND(Eingabe!$F$11&gt;0,Eingabe!$E$11&gt;=180),"10."&amp;Eingabe!$D$11&amp;".180.0/24","")</f>
        <v/>
      </c>
      <c r="G592" s="19" t="str">
        <f aca="false">IF(AND(Eingabe!$F$11&gt;0,Eingabe!$E$11&gt;=180),"10."&amp;Eingabe!$D$11&amp;".180.1","")</f>
        <v/>
      </c>
      <c r="H592" s="19" t="str">
        <f aca="false">IF(AND(Eingabe!$F$11&gt;0,Eingabe!$E$11&gt;=180),"10."&amp;Eingabe!$D$11&amp;".180.10 – 10."&amp;Eingabe!$D$11&amp;".180.250","")</f>
        <v/>
      </c>
      <c r="I592" s="19" t="str">
        <f aca="false">IF(AND(Eingabe!$F$11&gt;0,Eingabe!$E$11&gt;=180),Eingabe!$B$6&amp;"-"&amp;Eingabe!$C$11&amp;"-Pächter","")</f>
        <v/>
      </c>
      <c r="J592" s="19" t="str">
        <f aca="false">IF(AND(Eingabe!$F$11&gt;0,Eingabe!$E$11&gt;=180),"PPSK: Passwort Parzelle 180","")</f>
        <v/>
      </c>
      <c r="K592" s="19" t="str">
        <f aca="false">IF(AND(Eingabe!$F$11&gt;0,Eingabe!$E$11&gt;=180),"1. Gerät: 10."&amp;Eingabe!$D$11&amp;".180.10, 2. Gerät: .11","")</f>
        <v/>
      </c>
    </row>
    <row r="593" customFormat="false" ht="15" hidden="false" customHeight="false" outlineLevel="0" collapsed="false">
      <c r="A593" s="19" t="str">
        <f aca="false">IF(AND(Eingabe!$F$11&gt;0,Eingabe!$E$11&gt;=181),3,"")</f>
        <v/>
      </c>
      <c r="B593" s="19" t="str">
        <f aca="false">IF(AND(Eingabe!$F$11&gt;0,Eingabe!$E$11&gt;=181),Eingabe!$B$11,"")</f>
        <v/>
      </c>
      <c r="C593" s="19" t="str">
        <f aca="false">IF(AND(Eingabe!$F$11&gt;0,Eingabe!$E$11&gt;=181),Eingabe!$C$11&amp;"-Paz."&amp;TEXT(181,"000"),"")</f>
        <v/>
      </c>
      <c r="D593" s="19" t="str">
        <f aca="false">IF(AND(Eingabe!$F$11&gt;0,Eingabe!$E$11&gt;=181),181,"")</f>
        <v/>
      </c>
      <c r="E593" s="19" t="str">
        <f aca="false">IF(AND(Eingabe!$F$11&gt;0,Eingabe!$E$11&gt;=181),IF((Eingabe!$G$11+1)&lt;=9,1000+(Eingabe!$G$11+1)*100,3000)+81,"")</f>
        <v/>
      </c>
      <c r="F593" s="19" t="str">
        <f aca="false">IF(AND(Eingabe!$F$11&gt;0,Eingabe!$E$11&gt;=181),"10."&amp;Eingabe!$D$11&amp;".181.0/24","")</f>
        <v/>
      </c>
      <c r="G593" s="19" t="str">
        <f aca="false">IF(AND(Eingabe!$F$11&gt;0,Eingabe!$E$11&gt;=181),"10."&amp;Eingabe!$D$11&amp;".181.1","")</f>
        <v/>
      </c>
      <c r="H593" s="19" t="str">
        <f aca="false">IF(AND(Eingabe!$F$11&gt;0,Eingabe!$E$11&gt;=181),"10."&amp;Eingabe!$D$11&amp;".181.10 – 10."&amp;Eingabe!$D$11&amp;".181.250","")</f>
        <v/>
      </c>
      <c r="I593" s="19" t="str">
        <f aca="false">IF(AND(Eingabe!$F$11&gt;0,Eingabe!$E$11&gt;=181),Eingabe!$B$6&amp;"-"&amp;Eingabe!$C$11&amp;"-Pächter","")</f>
        <v/>
      </c>
      <c r="J593" s="19" t="str">
        <f aca="false">IF(AND(Eingabe!$F$11&gt;0,Eingabe!$E$11&gt;=181),"PPSK: Passwort Parzelle 181","")</f>
        <v/>
      </c>
      <c r="K593" s="19" t="str">
        <f aca="false">IF(AND(Eingabe!$F$11&gt;0,Eingabe!$E$11&gt;=181),"1. Gerät: 10."&amp;Eingabe!$D$11&amp;".181.10, 2. Gerät: .11","")</f>
        <v/>
      </c>
    </row>
    <row r="594" customFormat="false" ht="15" hidden="false" customHeight="false" outlineLevel="0" collapsed="false">
      <c r="A594" s="19" t="str">
        <f aca="false">IF(AND(Eingabe!$F$11&gt;0,Eingabe!$E$11&gt;=182),3,"")</f>
        <v/>
      </c>
      <c r="B594" s="19" t="str">
        <f aca="false">IF(AND(Eingabe!$F$11&gt;0,Eingabe!$E$11&gt;=182),Eingabe!$B$11,"")</f>
        <v/>
      </c>
      <c r="C594" s="19" t="str">
        <f aca="false">IF(AND(Eingabe!$F$11&gt;0,Eingabe!$E$11&gt;=182),Eingabe!$C$11&amp;"-Paz."&amp;TEXT(182,"000"),"")</f>
        <v/>
      </c>
      <c r="D594" s="19" t="str">
        <f aca="false">IF(AND(Eingabe!$F$11&gt;0,Eingabe!$E$11&gt;=182),182,"")</f>
        <v/>
      </c>
      <c r="E594" s="19" t="str">
        <f aca="false">IF(AND(Eingabe!$F$11&gt;0,Eingabe!$E$11&gt;=182),IF((Eingabe!$G$11+1)&lt;=9,1000+(Eingabe!$G$11+1)*100,3000)+82,"")</f>
        <v/>
      </c>
      <c r="F594" s="19" t="str">
        <f aca="false">IF(AND(Eingabe!$F$11&gt;0,Eingabe!$E$11&gt;=182),"10."&amp;Eingabe!$D$11&amp;".182.0/24","")</f>
        <v/>
      </c>
      <c r="G594" s="19" t="str">
        <f aca="false">IF(AND(Eingabe!$F$11&gt;0,Eingabe!$E$11&gt;=182),"10."&amp;Eingabe!$D$11&amp;".182.1","")</f>
        <v/>
      </c>
      <c r="H594" s="19" t="str">
        <f aca="false">IF(AND(Eingabe!$F$11&gt;0,Eingabe!$E$11&gt;=182),"10."&amp;Eingabe!$D$11&amp;".182.10 – 10."&amp;Eingabe!$D$11&amp;".182.250","")</f>
        <v/>
      </c>
      <c r="I594" s="19" t="str">
        <f aca="false">IF(AND(Eingabe!$F$11&gt;0,Eingabe!$E$11&gt;=182),Eingabe!$B$6&amp;"-"&amp;Eingabe!$C$11&amp;"-Pächter","")</f>
        <v/>
      </c>
      <c r="J594" s="19" t="str">
        <f aca="false">IF(AND(Eingabe!$F$11&gt;0,Eingabe!$E$11&gt;=182),"PPSK: Passwort Parzelle 182","")</f>
        <v/>
      </c>
      <c r="K594" s="19" t="str">
        <f aca="false">IF(AND(Eingabe!$F$11&gt;0,Eingabe!$E$11&gt;=182),"1. Gerät: 10."&amp;Eingabe!$D$11&amp;".182.10, 2. Gerät: .11","")</f>
        <v/>
      </c>
    </row>
    <row r="595" customFormat="false" ht="15" hidden="false" customHeight="false" outlineLevel="0" collapsed="false">
      <c r="A595" s="19" t="str">
        <f aca="false">IF(AND(Eingabe!$F$11&gt;0,Eingabe!$E$11&gt;=183),3,"")</f>
        <v/>
      </c>
      <c r="B595" s="19" t="str">
        <f aca="false">IF(AND(Eingabe!$F$11&gt;0,Eingabe!$E$11&gt;=183),Eingabe!$B$11,"")</f>
        <v/>
      </c>
      <c r="C595" s="19" t="str">
        <f aca="false">IF(AND(Eingabe!$F$11&gt;0,Eingabe!$E$11&gt;=183),Eingabe!$C$11&amp;"-Paz."&amp;TEXT(183,"000"),"")</f>
        <v/>
      </c>
      <c r="D595" s="19" t="str">
        <f aca="false">IF(AND(Eingabe!$F$11&gt;0,Eingabe!$E$11&gt;=183),183,"")</f>
        <v/>
      </c>
      <c r="E595" s="19" t="str">
        <f aca="false">IF(AND(Eingabe!$F$11&gt;0,Eingabe!$E$11&gt;=183),IF((Eingabe!$G$11+1)&lt;=9,1000+(Eingabe!$G$11+1)*100,3000)+83,"")</f>
        <v/>
      </c>
      <c r="F595" s="19" t="str">
        <f aca="false">IF(AND(Eingabe!$F$11&gt;0,Eingabe!$E$11&gt;=183),"10."&amp;Eingabe!$D$11&amp;".183.0/24","")</f>
        <v/>
      </c>
      <c r="G595" s="19" t="str">
        <f aca="false">IF(AND(Eingabe!$F$11&gt;0,Eingabe!$E$11&gt;=183),"10."&amp;Eingabe!$D$11&amp;".183.1","")</f>
        <v/>
      </c>
      <c r="H595" s="19" t="str">
        <f aca="false">IF(AND(Eingabe!$F$11&gt;0,Eingabe!$E$11&gt;=183),"10."&amp;Eingabe!$D$11&amp;".183.10 – 10."&amp;Eingabe!$D$11&amp;".183.250","")</f>
        <v/>
      </c>
      <c r="I595" s="19" t="str">
        <f aca="false">IF(AND(Eingabe!$F$11&gt;0,Eingabe!$E$11&gt;=183),Eingabe!$B$6&amp;"-"&amp;Eingabe!$C$11&amp;"-Pächter","")</f>
        <v/>
      </c>
      <c r="J595" s="19" t="str">
        <f aca="false">IF(AND(Eingabe!$F$11&gt;0,Eingabe!$E$11&gt;=183),"PPSK: Passwort Parzelle 183","")</f>
        <v/>
      </c>
      <c r="K595" s="19" t="str">
        <f aca="false">IF(AND(Eingabe!$F$11&gt;0,Eingabe!$E$11&gt;=183),"1. Gerät: 10."&amp;Eingabe!$D$11&amp;".183.10, 2. Gerät: .11","")</f>
        <v/>
      </c>
    </row>
    <row r="596" customFormat="false" ht="15" hidden="false" customHeight="false" outlineLevel="0" collapsed="false">
      <c r="A596" s="19" t="str">
        <f aca="false">IF(AND(Eingabe!$F$11&gt;0,Eingabe!$E$11&gt;=184),3,"")</f>
        <v/>
      </c>
      <c r="B596" s="19" t="str">
        <f aca="false">IF(AND(Eingabe!$F$11&gt;0,Eingabe!$E$11&gt;=184),Eingabe!$B$11,"")</f>
        <v/>
      </c>
      <c r="C596" s="19" t="str">
        <f aca="false">IF(AND(Eingabe!$F$11&gt;0,Eingabe!$E$11&gt;=184),Eingabe!$C$11&amp;"-Paz."&amp;TEXT(184,"000"),"")</f>
        <v/>
      </c>
      <c r="D596" s="19" t="str">
        <f aca="false">IF(AND(Eingabe!$F$11&gt;0,Eingabe!$E$11&gt;=184),184,"")</f>
        <v/>
      </c>
      <c r="E596" s="19" t="str">
        <f aca="false">IF(AND(Eingabe!$F$11&gt;0,Eingabe!$E$11&gt;=184),IF((Eingabe!$G$11+1)&lt;=9,1000+(Eingabe!$G$11+1)*100,3000)+84,"")</f>
        <v/>
      </c>
      <c r="F596" s="19" t="str">
        <f aca="false">IF(AND(Eingabe!$F$11&gt;0,Eingabe!$E$11&gt;=184),"10."&amp;Eingabe!$D$11&amp;".184.0/24","")</f>
        <v/>
      </c>
      <c r="G596" s="19" t="str">
        <f aca="false">IF(AND(Eingabe!$F$11&gt;0,Eingabe!$E$11&gt;=184),"10."&amp;Eingabe!$D$11&amp;".184.1","")</f>
        <v/>
      </c>
      <c r="H596" s="19" t="str">
        <f aca="false">IF(AND(Eingabe!$F$11&gt;0,Eingabe!$E$11&gt;=184),"10."&amp;Eingabe!$D$11&amp;".184.10 – 10."&amp;Eingabe!$D$11&amp;".184.250","")</f>
        <v/>
      </c>
      <c r="I596" s="19" t="str">
        <f aca="false">IF(AND(Eingabe!$F$11&gt;0,Eingabe!$E$11&gt;=184),Eingabe!$B$6&amp;"-"&amp;Eingabe!$C$11&amp;"-Pächter","")</f>
        <v/>
      </c>
      <c r="J596" s="19" t="str">
        <f aca="false">IF(AND(Eingabe!$F$11&gt;0,Eingabe!$E$11&gt;=184),"PPSK: Passwort Parzelle 184","")</f>
        <v/>
      </c>
      <c r="K596" s="19" t="str">
        <f aca="false">IF(AND(Eingabe!$F$11&gt;0,Eingabe!$E$11&gt;=184),"1. Gerät: 10."&amp;Eingabe!$D$11&amp;".184.10, 2. Gerät: .11","")</f>
        <v/>
      </c>
    </row>
    <row r="597" customFormat="false" ht="15" hidden="false" customHeight="false" outlineLevel="0" collapsed="false">
      <c r="A597" s="19" t="str">
        <f aca="false">IF(AND(Eingabe!$F$11&gt;0,Eingabe!$E$11&gt;=185),3,"")</f>
        <v/>
      </c>
      <c r="B597" s="19" t="str">
        <f aca="false">IF(AND(Eingabe!$F$11&gt;0,Eingabe!$E$11&gt;=185),Eingabe!$B$11,"")</f>
        <v/>
      </c>
      <c r="C597" s="19" t="str">
        <f aca="false">IF(AND(Eingabe!$F$11&gt;0,Eingabe!$E$11&gt;=185),Eingabe!$C$11&amp;"-Paz."&amp;TEXT(185,"000"),"")</f>
        <v/>
      </c>
      <c r="D597" s="19" t="str">
        <f aca="false">IF(AND(Eingabe!$F$11&gt;0,Eingabe!$E$11&gt;=185),185,"")</f>
        <v/>
      </c>
      <c r="E597" s="19" t="str">
        <f aca="false">IF(AND(Eingabe!$F$11&gt;0,Eingabe!$E$11&gt;=185),IF((Eingabe!$G$11+1)&lt;=9,1000+(Eingabe!$G$11+1)*100,3000)+85,"")</f>
        <v/>
      </c>
      <c r="F597" s="19" t="str">
        <f aca="false">IF(AND(Eingabe!$F$11&gt;0,Eingabe!$E$11&gt;=185),"10."&amp;Eingabe!$D$11&amp;".185.0/24","")</f>
        <v/>
      </c>
      <c r="G597" s="19" t="str">
        <f aca="false">IF(AND(Eingabe!$F$11&gt;0,Eingabe!$E$11&gt;=185),"10."&amp;Eingabe!$D$11&amp;".185.1","")</f>
        <v/>
      </c>
      <c r="H597" s="19" t="str">
        <f aca="false">IF(AND(Eingabe!$F$11&gt;0,Eingabe!$E$11&gt;=185),"10."&amp;Eingabe!$D$11&amp;".185.10 – 10."&amp;Eingabe!$D$11&amp;".185.250","")</f>
        <v/>
      </c>
      <c r="I597" s="19" t="str">
        <f aca="false">IF(AND(Eingabe!$F$11&gt;0,Eingabe!$E$11&gt;=185),Eingabe!$B$6&amp;"-"&amp;Eingabe!$C$11&amp;"-Pächter","")</f>
        <v/>
      </c>
      <c r="J597" s="19" t="str">
        <f aca="false">IF(AND(Eingabe!$F$11&gt;0,Eingabe!$E$11&gt;=185),"PPSK: Passwort Parzelle 185","")</f>
        <v/>
      </c>
      <c r="K597" s="19" t="str">
        <f aca="false">IF(AND(Eingabe!$F$11&gt;0,Eingabe!$E$11&gt;=185),"1. Gerät: 10."&amp;Eingabe!$D$11&amp;".185.10, 2. Gerät: .11","")</f>
        <v/>
      </c>
    </row>
    <row r="598" customFormat="false" ht="15" hidden="false" customHeight="false" outlineLevel="0" collapsed="false">
      <c r="A598" s="19" t="str">
        <f aca="false">IF(AND(Eingabe!$F$11&gt;0,Eingabe!$E$11&gt;=186),3,"")</f>
        <v/>
      </c>
      <c r="B598" s="19" t="str">
        <f aca="false">IF(AND(Eingabe!$F$11&gt;0,Eingabe!$E$11&gt;=186),Eingabe!$B$11,"")</f>
        <v/>
      </c>
      <c r="C598" s="19" t="str">
        <f aca="false">IF(AND(Eingabe!$F$11&gt;0,Eingabe!$E$11&gt;=186),Eingabe!$C$11&amp;"-Paz."&amp;TEXT(186,"000"),"")</f>
        <v/>
      </c>
      <c r="D598" s="19" t="str">
        <f aca="false">IF(AND(Eingabe!$F$11&gt;0,Eingabe!$E$11&gt;=186),186,"")</f>
        <v/>
      </c>
      <c r="E598" s="19" t="str">
        <f aca="false">IF(AND(Eingabe!$F$11&gt;0,Eingabe!$E$11&gt;=186),IF((Eingabe!$G$11+1)&lt;=9,1000+(Eingabe!$G$11+1)*100,3000)+86,"")</f>
        <v/>
      </c>
      <c r="F598" s="19" t="str">
        <f aca="false">IF(AND(Eingabe!$F$11&gt;0,Eingabe!$E$11&gt;=186),"10."&amp;Eingabe!$D$11&amp;".186.0/24","")</f>
        <v/>
      </c>
      <c r="G598" s="19" t="str">
        <f aca="false">IF(AND(Eingabe!$F$11&gt;0,Eingabe!$E$11&gt;=186),"10."&amp;Eingabe!$D$11&amp;".186.1","")</f>
        <v/>
      </c>
      <c r="H598" s="19" t="str">
        <f aca="false">IF(AND(Eingabe!$F$11&gt;0,Eingabe!$E$11&gt;=186),"10."&amp;Eingabe!$D$11&amp;".186.10 – 10."&amp;Eingabe!$D$11&amp;".186.250","")</f>
        <v/>
      </c>
      <c r="I598" s="19" t="str">
        <f aca="false">IF(AND(Eingabe!$F$11&gt;0,Eingabe!$E$11&gt;=186),Eingabe!$B$6&amp;"-"&amp;Eingabe!$C$11&amp;"-Pächter","")</f>
        <v/>
      </c>
      <c r="J598" s="19" t="str">
        <f aca="false">IF(AND(Eingabe!$F$11&gt;0,Eingabe!$E$11&gt;=186),"PPSK: Passwort Parzelle 186","")</f>
        <v/>
      </c>
      <c r="K598" s="19" t="str">
        <f aca="false">IF(AND(Eingabe!$F$11&gt;0,Eingabe!$E$11&gt;=186),"1. Gerät: 10."&amp;Eingabe!$D$11&amp;".186.10, 2. Gerät: .11","")</f>
        <v/>
      </c>
    </row>
    <row r="599" customFormat="false" ht="15" hidden="false" customHeight="false" outlineLevel="0" collapsed="false">
      <c r="A599" s="19" t="str">
        <f aca="false">IF(AND(Eingabe!$F$11&gt;0,Eingabe!$E$11&gt;=187),3,"")</f>
        <v/>
      </c>
      <c r="B599" s="19" t="str">
        <f aca="false">IF(AND(Eingabe!$F$11&gt;0,Eingabe!$E$11&gt;=187),Eingabe!$B$11,"")</f>
        <v/>
      </c>
      <c r="C599" s="19" t="str">
        <f aca="false">IF(AND(Eingabe!$F$11&gt;0,Eingabe!$E$11&gt;=187),Eingabe!$C$11&amp;"-Paz."&amp;TEXT(187,"000"),"")</f>
        <v/>
      </c>
      <c r="D599" s="19" t="str">
        <f aca="false">IF(AND(Eingabe!$F$11&gt;0,Eingabe!$E$11&gt;=187),187,"")</f>
        <v/>
      </c>
      <c r="E599" s="19" t="str">
        <f aca="false">IF(AND(Eingabe!$F$11&gt;0,Eingabe!$E$11&gt;=187),IF((Eingabe!$G$11+1)&lt;=9,1000+(Eingabe!$G$11+1)*100,3000)+87,"")</f>
        <v/>
      </c>
      <c r="F599" s="19" t="str">
        <f aca="false">IF(AND(Eingabe!$F$11&gt;0,Eingabe!$E$11&gt;=187),"10."&amp;Eingabe!$D$11&amp;".187.0/24","")</f>
        <v/>
      </c>
      <c r="G599" s="19" t="str">
        <f aca="false">IF(AND(Eingabe!$F$11&gt;0,Eingabe!$E$11&gt;=187),"10."&amp;Eingabe!$D$11&amp;".187.1","")</f>
        <v/>
      </c>
      <c r="H599" s="19" t="str">
        <f aca="false">IF(AND(Eingabe!$F$11&gt;0,Eingabe!$E$11&gt;=187),"10."&amp;Eingabe!$D$11&amp;".187.10 – 10."&amp;Eingabe!$D$11&amp;".187.250","")</f>
        <v/>
      </c>
      <c r="I599" s="19" t="str">
        <f aca="false">IF(AND(Eingabe!$F$11&gt;0,Eingabe!$E$11&gt;=187),Eingabe!$B$6&amp;"-"&amp;Eingabe!$C$11&amp;"-Pächter","")</f>
        <v/>
      </c>
      <c r="J599" s="19" t="str">
        <f aca="false">IF(AND(Eingabe!$F$11&gt;0,Eingabe!$E$11&gt;=187),"PPSK: Passwort Parzelle 187","")</f>
        <v/>
      </c>
      <c r="K599" s="19" t="str">
        <f aca="false">IF(AND(Eingabe!$F$11&gt;0,Eingabe!$E$11&gt;=187),"1. Gerät: 10."&amp;Eingabe!$D$11&amp;".187.10, 2. Gerät: .11","")</f>
        <v/>
      </c>
    </row>
    <row r="600" customFormat="false" ht="15" hidden="false" customHeight="false" outlineLevel="0" collapsed="false">
      <c r="A600" s="19" t="str">
        <f aca="false">IF(AND(Eingabe!$F$11&gt;0,Eingabe!$E$11&gt;=188),3,"")</f>
        <v/>
      </c>
      <c r="B600" s="19" t="str">
        <f aca="false">IF(AND(Eingabe!$F$11&gt;0,Eingabe!$E$11&gt;=188),Eingabe!$B$11,"")</f>
        <v/>
      </c>
      <c r="C600" s="19" t="str">
        <f aca="false">IF(AND(Eingabe!$F$11&gt;0,Eingabe!$E$11&gt;=188),Eingabe!$C$11&amp;"-Paz."&amp;TEXT(188,"000"),"")</f>
        <v/>
      </c>
      <c r="D600" s="19" t="str">
        <f aca="false">IF(AND(Eingabe!$F$11&gt;0,Eingabe!$E$11&gt;=188),188,"")</f>
        <v/>
      </c>
      <c r="E600" s="19" t="str">
        <f aca="false">IF(AND(Eingabe!$F$11&gt;0,Eingabe!$E$11&gt;=188),IF((Eingabe!$G$11+1)&lt;=9,1000+(Eingabe!$G$11+1)*100,3000)+88,"")</f>
        <v/>
      </c>
      <c r="F600" s="19" t="str">
        <f aca="false">IF(AND(Eingabe!$F$11&gt;0,Eingabe!$E$11&gt;=188),"10."&amp;Eingabe!$D$11&amp;".188.0/24","")</f>
        <v/>
      </c>
      <c r="G600" s="19" t="str">
        <f aca="false">IF(AND(Eingabe!$F$11&gt;0,Eingabe!$E$11&gt;=188),"10."&amp;Eingabe!$D$11&amp;".188.1","")</f>
        <v/>
      </c>
      <c r="H600" s="19" t="str">
        <f aca="false">IF(AND(Eingabe!$F$11&gt;0,Eingabe!$E$11&gt;=188),"10."&amp;Eingabe!$D$11&amp;".188.10 – 10."&amp;Eingabe!$D$11&amp;".188.250","")</f>
        <v/>
      </c>
      <c r="I600" s="19" t="str">
        <f aca="false">IF(AND(Eingabe!$F$11&gt;0,Eingabe!$E$11&gt;=188),Eingabe!$B$6&amp;"-"&amp;Eingabe!$C$11&amp;"-Pächter","")</f>
        <v/>
      </c>
      <c r="J600" s="19" t="str">
        <f aca="false">IF(AND(Eingabe!$F$11&gt;0,Eingabe!$E$11&gt;=188),"PPSK: Passwort Parzelle 188","")</f>
        <v/>
      </c>
      <c r="K600" s="19" t="str">
        <f aca="false">IF(AND(Eingabe!$F$11&gt;0,Eingabe!$E$11&gt;=188),"1. Gerät: 10."&amp;Eingabe!$D$11&amp;".188.10, 2. Gerät: .11","")</f>
        <v/>
      </c>
    </row>
    <row r="601" customFormat="false" ht="15" hidden="false" customHeight="false" outlineLevel="0" collapsed="false">
      <c r="A601" s="19" t="str">
        <f aca="false">IF(AND(Eingabe!$F$11&gt;0,Eingabe!$E$11&gt;=189),3,"")</f>
        <v/>
      </c>
      <c r="B601" s="19" t="str">
        <f aca="false">IF(AND(Eingabe!$F$11&gt;0,Eingabe!$E$11&gt;=189),Eingabe!$B$11,"")</f>
        <v/>
      </c>
      <c r="C601" s="19" t="str">
        <f aca="false">IF(AND(Eingabe!$F$11&gt;0,Eingabe!$E$11&gt;=189),Eingabe!$C$11&amp;"-Paz."&amp;TEXT(189,"000"),"")</f>
        <v/>
      </c>
      <c r="D601" s="19" t="str">
        <f aca="false">IF(AND(Eingabe!$F$11&gt;0,Eingabe!$E$11&gt;=189),189,"")</f>
        <v/>
      </c>
      <c r="E601" s="19" t="str">
        <f aca="false">IF(AND(Eingabe!$F$11&gt;0,Eingabe!$E$11&gt;=189),IF((Eingabe!$G$11+1)&lt;=9,1000+(Eingabe!$G$11+1)*100,3000)+89,"")</f>
        <v/>
      </c>
      <c r="F601" s="19" t="str">
        <f aca="false">IF(AND(Eingabe!$F$11&gt;0,Eingabe!$E$11&gt;=189),"10."&amp;Eingabe!$D$11&amp;".189.0/24","")</f>
        <v/>
      </c>
      <c r="G601" s="19" t="str">
        <f aca="false">IF(AND(Eingabe!$F$11&gt;0,Eingabe!$E$11&gt;=189),"10."&amp;Eingabe!$D$11&amp;".189.1","")</f>
        <v/>
      </c>
      <c r="H601" s="19" t="str">
        <f aca="false">IF(AND(Eingabe!$F$11&gt;0,Eingabe!$E$11&gt;=189),"10."&amp;Eingabe!$D$11&amp;".189.10 – 10."&amp;Eingabe!$D$11&amp;".189.250","")</f>
        <v/>
      </c>
      <c r="I601" s="19" t="str">
        <f aca="false">IF(AND(Eingabe!$F$11&gt;0,Eingabe!$E$11&gt;=189),Eingabe!$B$6&amp;"-"&amp;Eingabe!$C$11&amp;"-Pächter","")</f>
        <v/>
      </c>
      <c r="J601" s="19" t="str">
        <f aca="false">IF(AND(Eingabe!$F$11&gt;0,Eingabe!$E$11&gt;=189),"PPSK: Passwort Parzelle 189","")</f>
        <v/>
      </c>
      <c r="K601" s="19" t="str">
        <f aca="false">IF(AND(Eingabe!$F$11&gt;0,Eingabe!$E$11&gt;=189),"1. Gerät: 10."&amp;Eingabe!$D$11&amp;".189.10, 2. Gerät: .11","")</f>
        <v/>
      </c>
    </row>
    <row r="602" customFormat="false" ht="15" hidden="false" customHeight="false" outlineLevel="0" collapsed="false">
      <c r="A602" s="19" t="str">
        <f aca="false">IF(AND(Eingabe!$F$11&gt;0,Eingabe!$E$11&gt;=190),3,"")</f>
        <v/>
      </c>
      <c r="B602" s="19" t="str">
        <f aca="false">IF(AND(Eingabe!$F$11&gt;0,Eingabe!$E$11&gt;=190),Eingabe!$B$11,"")</f>
        <v/>
      </c>
      <c r="C602" s="19" t="str">
        <f aca="false">IF(AND(Eingabe!$F$11&gt;0,Eingabe!$E$11&gt;=190),Eingabe!$C$11&amp;"-Paz."&amp;TEXT(190,"000"),"")</f>
        <v/>
      </c>
      <c r="D602" s="19" t="str">
        <f aca="false">IF(AND(Eingabe!$F$11&gt;0,Eingabe!$E$11&gt;=190),190,"")</f>
        <v/>
      </c>
      <c r="E602" s="19" t="str">
        <f aca="false">IF(AND(Eingabe!$F$11&gt;0,Eingabe!$E$11&gt;=190),IF((Eingabe!$G$11+1)&lt;=9,1000+(Eingabe!$G$11+1)*100,3000)+90,"")</f>
        <v/>
      </c>
      <c r="F602" s="19" t="str">
        <f aca="false">IF(AND(Eingabe!$F$11&gt;0,Eingabe!$E$11&gt;=190),"10."&amp;Eingabe!$D$11&amp;".190.0/24","")</f>
        <v/>
      </c>
      <c r="G602" s="19" t="str">
        <f aca="false">IF(AND(Eingabe!$F$11&gt;0,Eingabe!$E$11&gt;=190),"10."&amp;Eingabe!$D$11&amp;".190.1","")</f>
        <v/>
      </c>
      <c r="H602" s="19" t="str">
        <f aca="false">IF(AND(Eingabe!$F$11&gt;0,Eingabe!$E$11&gt;=190),"10."&amp;Eingabe!$D$11&amp;".190.10 – 10."&amp;Eingabe!$D$11&amp;".190.250","")</f>
        <v/>
      </c>
      <c r="I602" s="19" t="str">
        <f aca="false">IF(AND(Eingabe!$F$11&gt;0,Eingabe!$E$11&gt;=190),Eingabe!$B$6&amp;"-"&amp;Eingabe!$C$11&amp;"-Pächter","")</f>
        <v/>
      </c>
      <c r="J602" s="19" t="str">
        <f aca="false">IF(AND(Eingabe!$F$11&gt;0,Eingabe!$E$11&gt;=190),"PPSK: Passwort Parzelle 190","")</f>
        <v/>
      </c>
      <c r="K602" s="19" t="str">
        <f aca="false">IF(AND(Eingabe!$F$11&gt;0,Eingabe!$E$11&gt;=190),"1. Gerät: 10."&amp;Eingabe!$D$11&amp;".190.10, 2. Gerät: .11","")</f>
        <v/>
      </c>
    </row>
    <row r="603" customFormat="false" ht="15" hidden="false" customHeight="false" outlineLevel="0" collapsed="false">
      <c r="A603" s="19" t="str">
        <f aca="false">IF(AND(Eingabe!$F$11&gt;0,Eingabe!$E$11&gt;=191),3,"")</f>
        <v/>
      </c>
      <c r="B603" s="19" t="str">
        <f aca="false">IF(AND(Eingabe!$F$11&gt;0,Eingabe!$E$11&gt;=191),Eingabe!$B$11,"")</f>
        <v/>
      </c>
      <c r="C603" s="19" t="str">
        <f aca="false">IF(AND(Eingabe!$F$11&gt;0,Eingabe!$E$11&gt;=191),Eingabe!$C$11&amp;"-Paz."&amp;TEXT(191,"000"),"")</f>
        <v/>
      </c>
      <c r="D603" s="19" t="str">
        <f aca="false">IF(AND(Eingabe!$F$11&gt;0,Eingabe!$E$11&gt;=191),191,"")</f>
        <v/>
      </c>
      <c r="E603" s="19" t="str">
        <f aca="false">IF(AND(Eingabe!$F$11&gt;0,Eingabe!$E$11&gt;=191),IF((Eingabe!$G$11+1)&lt;=9,1000+(Eingabe!$G$11+1)*100,3000)+91,"")</f>
        <v/>
      </c>
      <c r="F603" s="19" t="str">
        <f aca="false">IF(AND(Eingabe!$F$11&gt;0,Eingabe!$E$11&gt;=191),"10."&amp;Eingabe!$D$11&amp;".191.0/24","")</f>
        <v/>
      </c>
      <c r="G603" s="19" t="str">
        <f aca="false">IF(AND(Eingabe!$F$11&gt;0,Eingabe!$E$11&gt;=191),"10."&amp;Eingabe!$D$11&amp;".191.1","")</f>
        <v/>
      </c>
      <c r="H603" s="19" t="str">
        <f aca="false">IF(AND(Eingabe!$F$11&gt;0,Eingabe!$E$11&gt;=191),"10."&amp;Eingabe!$D$11&amp;".191.10 – 10."&amp;Eingabe!$D$11&amp;".191.250","")</f>
        <v/>
      </c>
      <c r="I603" s="19" t="str">
        <f aca="false">IF(AND(Eingabe!$F$11&gt;0,Eingabe!$E$11&gt;=191),Eingabe!$B$6&amp;"-"&amp;Eingabe!$C$11&amp;"-Pächter","")</f>
        <v/>
      </c>
      <c r="J603" s="19" t="str">
        <f aca="false">IF(AND(Eingabe!$F$11&gt;0,Eingabe!$E$11&gt;=191),"PPSK: Passwort Parzelle 191","")</f>
        <v/>
      </c>
      <c r="K603" s="19" t="str">
        <f aca="false">IF(AND(Eingabe!$F$11&gt;0,Eingabe!$E$11&gt;=191),"1. Gerät: 10."&amp;Eingabe!$D$11&amp;".191.10, 2. Gerät: .11","")</f>
        <v/>
      </c>
    </row>
    <row r="604" customFormat="false" ht="15" hidden="false" customHeight="false" outlineLevel="0" collapsed="false">
      <c r="A604" s="19" t="str">
        <f aca="false">IF(AND(Eingabe!$F$11&gt;0,Eingabe!$E$11&gt;=192),3,"")</f>
        <v/>
      </c>
      <c r="B604" s="19" t="str">
        <f aca="false">IF(AND(Eingabe!$F$11&gt;0,Eingabe!$E$11&gt;=192),Eingabe!$B$11,"")</f>
        <v/>
      </c>
      <c r="C604" s="19" t="str">
        <f aca="false">IF(AND(Eingabe!$F$11&gt;0,Eingabe!$E$11&gt;=192),Eingabe!$C$11&amp;"-Paz."&amp;TEXT(192,"000"),"")</f>
        <v/>
      </c>
      <c r="D604" s="19" t="str">
        <f aca="false">IF(AND(Eingabe!$F$11&gt;0,Eingabe!$E$11&gt;=192),192,"")</f>
        <v/>
      </c>
      <c r="E604" s="19" t="str">
        <f aca="false">IF(AND(Eingabe!$F$11&gt;0,Eingabe!$E$11&gt;=192),IF((Eingabe!$G$11+1)&lt;=9,1000+(Eingabe!$G$11+1)*100,3000)+92,"")</f>
        <v/>
      </c>
      <c r="F604" s="19" t="str">
        <f aca="false">IF(AND(Eingabe!$F$11&gt;0,Eingabe!$E$11&gt;=192),"10."&amp;Eingabe!$D$11&amp;".192.0/24","")</f>
        <v/>
      </c>
      <c r="G604" s="19" t="str">
        <f aca="false">IF(AND(Eingabe!$F$11&gt;0,Eingabe!$E$11&gt;=192),"10."&amp;Eingabe!$D$11&amp;".192.1","")</f>
        <v/>
      </c>
      <c r="H604" s="19" t="str">
        <f aca="false">IF(AND(Eingabe!$F$11&gt;0,Eingabe!$E$11&gt;=192),"10."&amp;Eingabe!$D$11&amp;".192.10 – 10."&amp;Eingabe!$D$11&amp;".192.250","")</f>
        <v/>
      </c>
      <c r="I604" s="19" t="str">
        <f aca="false">IF(AND(Eingabe!$F$11&gt;0,Eingabe!$E$11&gt;=192),Eingabe!$B$6&amp;"-"&amp;Eingabe!$C$11&amp;"-Pächter","")</f>
        <v/>
      </c>
      <c r="J604" s="19" t="str">
        <f aca="false">IF(AND(Eingabe!$F$11&gt;0,Eingabe!$E$11&gt;=192),"PPSK: Passwort Parzelle 192","")</f>
        <v/>
      </c>
      <c r="K604" s="19" t="str">
        <f aca="false">IF(AND(Eingabe!$F$11&gt;0,Eingabe!$E$11&gt;=192),"1. Gerät: 10."&amp;Eingabe!$D$11&amp;".192.10, 2. Gerät: .11","")</f>
        <v/>
      </c>
    </row>
    <row r="605" customFormat="false" ht="15" hidden="false" customHeight="false" outlineLevel="0" collapsed="false">
      <c r="A605" s="19" t="str">
        <f aca="false">IF(AND(Eingabe!$F$11&gt;0,Eingabe!$E$11&gt;=193),3,"")</f>
        <v/>
      </c>
      <c r="B605" s="19" t="str">
        <f aca="false">IF(AND(Eingabe!$F$11&gt;0,Eingabe!$E$11&gt;=193),Eingabe!$B$11,"")</f>
        <v/>
      </c>
      <c r="C605" s="19" t="str">
        <f aca="false">IF(AND(Eingabe!$F$11&gt;0,Eingabe!$E$11&gt;=193),Eingabe!$C$11&amp;"-Paz."&amp;TEXT(193,"000"),"")</f>
        <v/>
      </c>
      <c r="D605" s="19" t="str">
        <f aca="false">IF(AND(Eingabe!$F$11&gt;0,Eingabe!$E$11&gt;=193),193,"")</f>
        <v/>
      </c>
      <c r="E605" s="19" t="str">
        <f aca="false">IF(AND(Eingabe!$F$11&gt;0,Eingabe!$E$11&gt;=193),IF((Eingabe!$G$11+1)&lt;=9,1000+(Eingabe!$G$11+1)*100,3000)+93,"")</f>
        <v/>
      </c>
      <c r="F605" s="19" t="str">
        <f aca="false">IF(AND(Eingabe!$F$11&gt;0,Eingabe!$E$11&gt;=193),"10."&amp;Eingabe!$D$11&amp;".193.0/24","")</f>
        <v/>
      </c>
      <c r="G605" s="19" t="str">
        <f aca="false">IF(AND(Eingabe!$F$11&gt;0,Eingabe!$E$11&gt;=193),"10."&amp;Eingabe!$D$11&amp;".193.1","")</f>
        <v/>
      </c>
      <c r="H605" s="19" t="str">
        <f aca="false">IF(AND(Eingabe!$F$11&gt;0,Eingabe!$E$11&gt;=193),"10."&amp;Eingabe!$D$11&amp;".193.10 – 10."&amp;Eingabe!$D$11&amp;".193.250","")</f>
        <v/>
      </c>
      <c r="I605" s="19" t="str">
        <f aca="false">IF(AND(Eingabe!$F$11&gt;0,Eingabe!$E$11&gt;=193),Eingabe!$B$6&amp;"-"&amp;Eingabe!$C$11&amp;"-Pächter","")</f>
        <v/>
      </c>
      <c r="J605" s="19" t="str">
        <f aca="false">IF(AND(Eingabe!$F$11&gt;0,Eingabe!$E$11&gt;=193),"PPSK: Passwort Parzelle 193","")</f>
        <v/>
      </c>
      <c r="K605" s="19" t="str">
        <f aca="false">IF(AND(Eingabe!$F$11&gt;0,Eingabe!$E$11&gt;=193),"1. Gerät: 10."&amp;Eingabe!$D$11&amp;".193.10, 2. Gerät: .11","")</f>
        <v/>
      </c>
    </row>
    <row r="606" customFormat="false" ht="15" hidden="false" customHeight="false" outlineLevel="0" collapsed="false">
      <c r="A606" s="19" t="str">
        <f aca="false">IF(AND(Eingabe!$F$11&gt;0,Eingabe!$E$11&gt;=194),3,"")</f>
        <v/>
      </c>
      <c r="B606" s="19" t="str">
        <f aca="false">IF(AND(Eingabe!$F$11&gt;0,Eingabe!$E$11&gt;=194),Eingabe!$B$11,"")</f>
        <v/>
      </c>
      <c r="C606" s="19" t="str">
        <f aca="false">IF(AND(Eingabe!$F$11&gt;0,Eingabe!$E$11&gt;=194),Eingabe!$C$11&amp;"-Paz."&amp;TEXT(194,"000"),"")</f>
        <v/>
      </c>
      <c r="D606" s="19" t="str">
        <f aca="false">IF(AND(Eingabe!$F$11&gt;0,Eingabe!$E$11&gt;=194),194,"")</f>
        <v/>
      </c>
      <c r="E606" s="19" t="str">
        <f aca="false">IF(AND(Eingabe!$F$11&gt;0,Eingabe!$E$11&gt;=194),IF((Eingabe!$G$11+1)&lt;=9,1000+(Eingabe!$G$11+1)*100,3000)+94,"")</f>
        <v/>
      </c>
      <c r="F606" s="19" t="str">
        <f aca="false">IF(AND(Eingabe!$F$11&gt;0,Eingabe!$E$11&gt;=194),"10."&amp;Eingabe!$D$11&amp;".194.0/24","")</f>
        <v/>
      </c>
      <c r="G606" s="19" t="str">
        <f aca="false">IF(AND(Eingabe!$F$11&gt;0,Eingabe!$E$11&gt;=194),"10."&amp;Eingabe!$D$11&amp;".194.1","")</f>
        <v/>
      </c>
      <c r="H606" s="19" t="str">
        <f aca="false">IF(AND(Eingabe!$F$11&gt;0,Eingabe!$E$11&gt;=194),"10."&amp;Eingabe!$D$11&amp;".194.10 – 10."&amp;Eingabe!$D$11&amp;".194.250","")</f>
        <v/>
      </c>
      <c r="I606" s="19" t="str">
        <f aca="false">IF(AND(Eingabe!$F$11&gt;0,Eingabe!$E$11&gt;=194),Eingabe!$B$6&amp;"-"&amp;Eingabe!$C$11&amp;"-Pächter","")</f>
        <v/>
      </c>
      <c r="J606" s="19" t="str">
        <f aca="false">IF(AND(Eingabe!$F$11&gt;0,Eingabe!$E$11&gt;=194),"PPSK: Passwort Parzelle 194","")</f>
        <v/>
      </c>
      <c r="K606" s="19" t="str">
        <f aca="false">IF(AND(Eingabe!$F$11&gt;0,Eingabe!$E$11&gt;=194),"1. Gerät: 10."&amp;Eingabe!$D$11&amp;".194.10, 2. Gerät: .11","")</f>
        <v/>
      </c>
    </row>
    <row r="607" customFormat="false" ht="15" hidden="false" customHeight="false" outlineLevel="0" collapsed="false">
      <c r="A607" s="19" t="str">
        <f aca="false">IF(AND(Eingabe!$F$11&gt;0,Eingabe!$E$11&gt;=195),3,"")</f>
        <v/>
      </c>
      <c r="B607" s="19" t="str">
        <f aca="false">IF(AND(Eingabe!$F$11&gt;0,Eingabe!$E$11&gt;=195),Eingabe!$B$11,"")</f>
        <v/>
      </c>
      <c r="C607" s="19" t="str">
        <f aca="false">IF(AND(Eingabe!$F$11&gt;0,Eingabe!$E$11&gt;=195),Eingabe!$C$11&amp;"-Paz."&amp;TEXT(195,"000"),"")</f>
        <v/>
      </c>
      <c r="D607" s="19" t="str">
        <f aca="false">IF(AND(Eingabe!$F$11&gt;0,Eingabe!$E$11&gt;=195),195,"")</f>
        <v/>
      </c>
      <c r="E607" s="19" t="str">
        <f aca="false">IF(AND(Eingabe!$F$11&gt;0,Eingabe!$E$11&gt;=195),IF((Eingabe!$G$11+1)&lt;=9,1000+(Eingabe!$G$11+1)*100,3000)+95,"")</f>
        <v/>
      </c>
      <c r="F607" s="19" t="str">
        <f aca="false">IF(AND(Eingabe!$F$11&gt;0,Eingabe!$E$11&gt;=195),"10."&amp;Eingabe!$D$11&amp;".195.0/24","")</f>
        <v/>
      </c>
      <c r="G607" s="19" t="str">
        <f aca="false">IF(AND(Eingabe!$F$11&gt;0,Eingabe!$E$11&gt;=195),"10."&amp;Eingabe!$D$11&amp;".195.1","")</f>
        <v/>
      </c>
      <c r="H607" s="19" t="str">
        <f aca="false">IF(AND(Eingabe!$F$11&gt;0,Eingabe!$E$11&gt;=195),"10."&amp;Eingabe!$D$11&amp;".195.10 – 10."&amp;Eingabe!$D$11&amp;".195.250","")</f>
        <v/>
      </c>
      <c r="I607" s="19" t="str">
        <f aca="false">IF(AND(Eingabe!$F$11&gt;0,Eingabe!$E$11&gt;=195),Eingabe!$B$6&amp;"-"&amp;Eingabe!$C$11&amp;"-Pächter","")</f>
        <v/>
      </c>
      <c r="J607" s="19" t="str">
        <f aca="false">IF(AND(Eingabe!$F$11&gt;0,Eingabe!$E$11&gt;=195),"PPSK: Passwort Parzelle 195","")</f>
        <v/>
      </c>
      <c r="K607" s="19" t="str">
        <f aca="false">IF(AND(Eingabe!$F$11&gt;0,Eingabe!$E$11&gt;=195),"1. Gerät: 10."&amp;Eingabe!$D$11&amp;".195.10, 2. Gerät: .11","")</f>
        <v/>
      </c>
    </row>
    <row r="608" customFormat="false" ht="15" hidden="false" customHeight="false" outlineLevel="0" collapsed="false">
      <c r="A608" s="19" t="str">
        <f aca="false">IF(AND(Eingabe!$F$11&gt;0,Eingabe!$E$11&gt;=196),3,"")</f>
        <v/>
      </c>
      <c r="B608" s="19" t="str">
        <f aca="false">IF(AND(Eingabe!$F$11&gt;0,Eingabe!$E$11&gt;=196),Eingabe!$B$11,"")</f>
        <v/>
      </c>
      <c r="C608" s="19" t="str">
        <f aca="false">IF(AND(Eingabe!$F$11&gt;0,Eingabe!$E$11&gt;=196),Eingabe!$C$11&amp;"-Paz."&amp;TEXT(196,"000"),"")</f>
        <v/>
      </c>
      <c r="D608" s="19" t="str">
        <f aca="false">IF(AND(Eingabe!$F$11&gt;0,Eingabe!$E$11&gt;=196),196,"")</f>
        <v/>
      </c>
      <c r="E608" s="19" t="str">
        <f aca="false">IF(AND(Eingabe!$F$11&gt;0,Eingabe!$E$11&gt;=196),IF((Eingabe!$G$11+1)&lt;=9,1000+(Eingabe!$G$11+1)*100,3000)+96,"")</f>
        <v/>
      </c>
      <c r="F608" s="19" t="str">
        <f aca="false">IF(AND(Eingabe!$F$11&gt;0,Eingabe!$E$11&gt;=196),"10."&amp;Eingabe!$D$11&amp;".196.0/24","")</f>
        <v/>
      </c>
      <c r="G608" s="19" t="str">
        <f aca="false">IF(AND(Eingabe!$F$11&gt;0,Eingabe!$E$11&gt;=196),"10."&amp;Eingabe!$D$11&amp;".196.1","")</f>
        <v/>
      </c>
      <c r="H608" s="19" t="str">
        <f aca="false">IF(AND(Eingabe!$F$11&gt;0,Eingabe!$E$11&gt;=196),"10."&amp;Eingabe!$D$11&amp;".196.10 – 10."&amp;Eingabe!$D$11&amp;".196.250","")</f>
        <v/>
      </c>
      <c r="I608" s="19" t="str">
        <f aca="false">IF(AND(Eingabe!$F$11&gt;0,Eingabe!$E$11&gt;=196),Eingabe!$B$6&amp;"-"&amp;Eingabe!$C$11&amp;"-Pächter","")</f>
        <v/>
      </c>
      <c r="J608" s="19" t="str">
        <f aca="false">IF(AND(Eingabe!$F$11&gt;0,Eingabe!$E$11&gt;=196),"PPSK: Passwort Parzelle 196","")</f>
        <v/>
      </c>
      <c r="K608" s="19" t="str">
        <f aca="false">IF(AND(Eingabe!$F$11&gt;0,Eingabe!$E$11&gt;=196),"1. Gerät: 10."&amp;Eingabe!$D$11&amp;".196.10, 2. Gerät: .11","")</f>
        <v/>
      </c>
    </row>
    <row r="609" customFormat="false" ht="15" hidden="false" customHeight="false" outlineLevel="0" collapsed="false">
      <c r="A609" s="19" t="str">
        <f aca="false">IF(AND(Eingabe!$F$11&gt;0,Eingabe!$E$11&gt;=197),3,"")</f>
        <v/>
      </c>
      <c r="B609" s="19" t="str">
        <f aca="false">IF(AND(Eingabe!$F$11&gt;0,Eingabe!$E$11&gt;=197),Eingabe!$B$11,"")</f>
        <v/>
      </c>
      <c r="C609" s="19" t="str">
        <f aca="false">IF(AND(Eingabe!$F$11&gt;0,Eingabe!$E$11&gt;=197),Eingabe!$C$11&amp;"-Paz."&amp;TEXT(197,"000"),"")</f>
        <v/>
      </c>
      <c r="D609" s="19" t="str">
        <f aca="false">IF(AND(Eingabe!$F$11&gt;0,Eingabe!$E$11&gt;=197),197,"")</f>
        <v/>
      </c>
      <c r="E609" s="19" t="str">
        <f aca="false">IF(AND(Eingabe!$F$11&gt;0,Eingabe!$E$11&gt;=197),IF((Eingabe!$G$11+1)&lt;=9,1000+(Eingabe!$G$11+1)*100,3000)+97,"")</f>
        <v/>
      </c>
      <c r="F609" s="19" t="str">
        <f aca="false">IF(AND(Eingabe!$F$11&gt;0,Eingabe!$E$11&gt;=197),"10."&amp;Eingabe!$D$11&amp;".197.0/24","")</f>
        <v/>
      </c>
      <c r="G609" s="19" t="str">
        <f aca="false">IF(AND(Eingabe!$F$11&gt;0,Eingabe!$E$11&gt;=197),"10."&amp;Eingabe!$D$11&amp;".197.1","")</f>
        <v/>
      </c>
      <c r="H609" s="19" t="str">
        <f aca="false">IF(AND(Eingabe!$F$11&gt;0,Eingabe!$E$11&gt;=197),"10."&amp;Eingabe!$D$11&amp;".197.10 – 10."&amp;Eingabe!$D$11&amp;".197.250","")</f>
        <v/>
      </c>
      <c r="I609" s="19" t="str">
        <f aca="false">IF(AND(Eingabe!$F$11&gt;0,Eingabe!$E$11&gt;=197),Eingabe!$B$6&amp;"-"&amp;Eingabe!$C$11&amp;"-Pächter","")</f>
        <v/>
      </c>
      <c r="J609" s="19" t="str">
        <f aca="false">IF(AND(Eingabe!$F$11&gt;0,Eingabe!$E$11&gt;=197),"PPSK: Passwort Parzelle 197","")</f>
        <v/>
      </c>
      <c r="K609" s="19" t="str">
        <f aca="false">IF(AND(Eingabe!$F$11&gt;0,Eingabe!$E$11&gt;=197),"1. Gerät: 10."&amp;Eingabe!$D$11&amp;".197.10, 2. Gerät: .11","")</f>
        <v/>
      </c>
    </row>
    <row r="610" customFormat="false" ht="15" hidden="false" customHeight="false" outlineLevel="0" collapsed="false">
      <c r="A610" s="19" t="str">
        <f aca="false">IF(AND(Eingabe!$F$11&gt;0,Eingabe!$E$11&gt;=198),3,"")</f>
        <v/>
      </c>
      <c r="B610" s="19" t="str">
        <f aca="false">IF(AND(Eingabe!$F$11&gt;0,Eingabe!$E$11&gt;=198),Eingabe!$B$11,"")</f>
        <v/>
      </c>
      <c r="C610" s="19" t="str">
        <f aca="false">IF(AND(Eingabe!$F$11&gt;0,Eingabe!$E$11&gt;=198),Eingabe!$C$11&amp;"-Paz."&amp;TEXT(198,"000"),"")</f>
        <v/>
      </c>
      <c r="D610" s="19" t="str">
        <f aca="false">IF(AND(Eingabe!$F$11&gt;0,Eingabe!$E$11&gt;=198),198,"")</f>
        <v/>
      </c>
      <c r="E610" s="19" t="str">
        <f aca="false">IF(AND(Eingabe!$F$11&gt;0,Eingabe!$E$11&gt;=198),IF((Eingabe!$G$11+1)&lt;=9,1000+(Eingabe!$G$11+1)*100,3000)+98,"")</f>
        <v/>
      </c>
      <c r="F610" s="19" t="str">
        <f aca="false">IF(AND(Eingabe!$F$11&gt;0,Eingabe!$E$11&gt;=198),"10."&amp;Eingabe!$D$11&amp;".198.0/24","")</f>
        <v/>
      </c>
      <c r="G610" s="19" t="str">
        <f aca="false">IF(AND(Eingabe!$F$11&gt;0,Eingabe!$E$11&gt;=198),"10."&amp;Eingabe!$D$11&amp;".198.1","")</f>
        <v/>
      </c>
      <c r="H610" s="19" t="str">
        <f aca="false">IF(AND(Eingabe!$F$11&gt;0,Eingabe!$E$11&gt;=198),"10."&amp;Eingabe!$D$11&amp;".198.10 – 10."&amp;Eingabe!$D$11&amp;".198.250","")</f>
        <v/>
      </c>
      <c r="I610" s="19" t="str">
        <f aca="false">IF(AND(Eingabe!$F$11&gt;0,Eingabe!$E$11&gt;=198),Eingabe!$B$6&amp;"-"&amp;Eingabe!$C$11&amp;"-Pächter","")</f>
        <v/>
      </c>
      <c r="J610" s="19" t="str">
        <f aca="false">IF(AND(Eingabe!$F$11&gt;0,Eingabe!$E$11&gt;=198),"PPSK: Passwort Parzelle 198","")</f>
        <v/>
      </c>
      <c r="K610" s="19" t="str">
        <f aca="false">IF(AND(Eingabe!$F$11&gt;0,Eingabe!$E$11&gt;=198),"1. Gerät: 10."&amp;Eingabe!$D$11&amp;".198.10, 2. Gerät: .11","")</f>
        <v/>
      </c>
    </row>
    <row r="611" customFormat="false" ht="15" hidden="false" customHeight="false" outlineLevel="0" collapsed="false">
      <c r="A611" s="19" t="str">
        <f aca="false">IF(AND(Eingabe!$F$11&gt;0,Eingabe!$E$11&gt;=199),3,"")</f>
        <v/>
      </c>
      <c r="B611" s="19" t="str">
        <f aca="false">IF(AND(Eingabe!$F$11&gt;0,Eingabe!$E$11&gt;=199),Eingabe!$B$11,"")</f>
        <v/>
      </c>
      <c r="C611" s="19" t="str">
        <f aca="false">IF(AND(Eingabe!$F$11&gt;0,Eingabe!$E$11&gt;=199),Eingabe!$C$11&amp;"-Paz."&amp;TEXT(199,"000"),"")</f>
        <v/>
      </c>
      <c r="D611" s="19" t="str">
        <f aca="false">IF(AND(Eingabe!$F$11&gt;0,Eingabe!$E$11&gt;=199),199,"")</f>
        <v/>
      </c>
      <c r="E611" s="19" t="str">
        <f aca="false">IF(AND(Eingabe!$F$11&gt;0,Eingabe!$E$11&gt;=199),IF((Eingabe!$G$11+1)&lt;=9,1000+(Eingabe!$G$11+1)*100,3000)+99,"")</f>
        <v/>
      </c>
      <c r="F611" s="19" t="str">
        <f aca="false">IF(AND(Eingabe!$F$11&gt;0,Eingabe!$E$11&gt;=199),"10."&amp;Eingabe!$D$11&amp;".199.0/24","")</f>
        <v/>
      </c>
      <c r="G611" s="19" t="str">
        <f aca="false">IF(AND(Eingabe!$F$11&gt;0,Eingabe!$E$11&gt;=199),"10."&amp;Eingabe!$D$11&amp;".199.1","")</f>
        <v/>
      </c>
      <c r="H611" s="19" t="str">
        <f aca="false">IF(AND(Eingabe!$F$11&gt;0,Eingabe!$E$11&gt;=199),"10."&amp;Eingabe!$D$11&amp;".199.10 – 10."&amp;Eingabe!$D$11&amp;".199.250","")</f>
        <v/>
      </c>
      <c r="I611" s="19" t="str">
        <f aca="false">IF(AND(Eingabe!$F$11&gt;0,Eingabe!$E$11&gt;=199),Eingabe!$B$6&amp;"-"&amp;Eingabe!$C$11&amp;"-Pächter","")</f>
        <v/>
      </c>
      <c r="J611" s="19" t="str">
        <f aca="false">IF(AND(Eingabe!$F$11&gt;0,Eingabe!$E$11&gt;=199),"PPSK: Passwort Parzelle 199","")</f>
        <v/>
      </c>
      <c r="K611" s="19" t="str">
        <f aca="false">IF(AND(Eingabe!$F$11&gt;0,Eingabe!$E$11&gt;=199),"1. Gerät: 10."&amp;Eingabe!$D$11&amp;".199.10, 2. Gerät: .11","")</f>
        <v/>
      </c>
    </row>
    <row r="612" customFormat="false" ht="15" hidden="false" customHeight="false" outlineLevel="0" collapsed="false">
      <c r="A612" s="20" t="n">
        <f aca="false">IF(Eingabe!$F$12&gt;0,4,"")</f>
        <v>4</v>
      </c>
      <c r="B612" s="20" t="str">
        <f aca="false">IF(Eingabe!$F$12&gt;0,Eingabe!$B$12,"")</f>
        <v>Sorgenfrei II</v>
      </c>
      <c r="C612" s="20" t="str">
        <f aca="false">IF(Eingabe!$F$12&gt;0,Eingabe!$C$12&amp;"-Vorstand","")</f>
        <v>SF2-Vorstand</v>
      </c>
      <c r="D612" s="20"/>
      <c r="E612" s="20" t="n">
        <f aca="false">IF(Eingabe!$F$12&gt;0,2000+Eingabe!$G$12*10+1,"")</f>
        <v>2041</v>
      </c>
      <c r="F612" s="20" t="str">
        <f aca="false">IF(Eingabe!$F$12&gt;0,"10."&amp;Eingabe!$D$12&amp;".200.0/24","")</f>
        <v>10.4.200.0/24</v>
      </c>
      <c r="G612" s="20" t="str">
        <f aca="false">IF(Eingabe!$F$12&gt;0,"10."&amp;Eingabe!$D$12&amp;".200.1","")</f>
        <v>10.4.200.1</v>
      </c>
      <c r="H612" s="20" t="str">
        <f aca="false">IF(Eingabe!$F$12&gt;0,"10."&amp;Eingabe!$D$12&amp;".200.10 – "&amp;"10."&amp;Eingabe!$D$12&amp;".200.250","")</f>
        <v>10.4.200.10 – 10.4.200.250</v>
      </c>
      <c r="I612" s="20" t="str">
        <f aca="false">IF(Eingabe!$F$12&gt;0,Eingabe!$B$6&amp;"-"&amp;Eingabe!$C$12&amp;"-Vorstand","")</f>
        <v>SparteNet.de-SF2-Vorstand</v>
      </c>
      <c r="J612" s="20" t="str">
        <f aca="false">IF(Eingabe!$F$12&gt;0,"eigenes WLAN Vorstand","")</f>
        <v>eigenes WLAN Vorstand</v>
      </c>
      <c r="K612" s="20" t="str">
        <f aca="false">IF(Eingabe!$F$12&gt;0,"Vorstand-Laptop: "&amp;"10."&amp;Eingabe!$D$12&amp;".200.10","")</f>
        <v>Vorstand-Laptop: 10.4.200.10</v>
      </c>
    </row>
    <row r="613" customFormat="false" ht="15" hidden="false" customHeight="false" outlineLevel="0" collapsed="false">
      <c r="A613" s="20" t="n">
        <f aca="false">IF(Eingabe!$F$12&gt;0,4,"")</f>
        <v>4</v>
      </c>
      <c r="B613" s="20" t="str">
        <f aca="false">IF(Eingabe!$F$12&gt;0,Eingabe!$B$12,"")</f>
        <v>Sorgenfrei II</v>
      </c>
      <c r="C613" s="20" t="str">
        <f aca="false">IF(Eingabe!$F$12&gt;0,Eingabe!$C$12&amp;"-Gäste","")</f>
        <v>SF2-Gäste</v>
      </c>
      <c r="D613" s="20"/>
      <c r="E613" s="20" t="n">
        <f aca="false">IF(Eingabe!$F$12&gt;0,2000+Eingabe!$G$12*10+2,"")</f>
        <v>2042</v>
      </c>
      <c r="F613" s="20" t="str">
        <f aca="false">IF(Eingabe!$F$12&gt;0,"10."&amp;Eingabe!$D$12&amp;".201.0/24","")</f>
        <v>10.4.201.0/24</v>
      </c>
      <c r="G613" s="20" t="str">
        <f aca="false">IF(Eingabe!$F$12&gt;0,"10."&amp;Eingabe!$D$12&amp;".201.1","")</f>
        <v>10.4.201.1</v>
      </c>
      <c r="H613" s="20" t="str">
        <f aca="false">IF(Eingabe!$F$12&gt;0,"10."&amp;Eingabe!$D$12&amp;".201.10 – "&amp;"10."&amp;Eingabe!$D$12&amp;".201.250","")</f>
        <v>10.4.201.10 – 10.4.201.250</v>
      </c>
      <c r="I613" s="20" t="str">
        <f aca="false">IF(Eingabe!$F$12&gt;0,Eingabe!$B$6&amp;"-"&amp;Eingabe!$C$12&amp;"-Gäste","")</f>
        <v>SparteNet.de-SF2-Gäste</v>
      </c>
      <c r="J613" s="20" t="str">
        <f aca="false">IF(Eingabe!$F$12&gt;0,"Voucher-Portal, isoliert","")</f>
        <v>Voucher-Portal, isoliert</v>
      </c>
      <c r="K613" s="20" t="str">
        <f aca="false">IF(Eingabe!$F$12&gt;0,"Gast-Handy: "&amp;"10."&amp;Eingabe!$D$12&amp;".201.10","")</f>
        <v>Gast-Handy: 10.4.201.10</v>
      </c>
    </row>
    <row r="614" customFormat="false" ht="15" hidden="false" customHeight="false" outlineLevel="0" collapsed="false">
      <c r="A614" s="20" t="n">
        <f aca="false">IF(Eingabe!$F$12&gt;0,4,"")</f>
        <v>4</v>
      </c>
      <c r="B614" s="20" t="str">
        <f aca="false">IF(Eingabe!$F$12&gt;0,Eingabe!$B$12,"")</f>
        <v>Sorgenfrei II</v>
      </c>
      <c r="C614" s="20" t="str">
        <f aca="false">IF(Eingabe!$F$12&gt;0,Eingabe!$C$12&amp;"-Technik","")</f>
        <v>SF2-Technik</v>
      </c>
      <c r="D614" s="20"/>
      <c r="E614" s="20" t="n">
        <f aca="false">IF(Eingabe!$F$12&gt;0,2000+Eingabe!$G$12*10+9,"")</f>
        <v>2049</v>
      </c>
      <c r="F614" s="20" t="str">
        <f aca="false">IF(Eingabe!$F$12&gt;0,"10."&amp;Eingabe!$D$12&amp;".250.0/24","")</f>
        <v>10.4.250.0/24</v>
      </c>
      <c r="G614" s="20" t="str">
        <f aca="false">IF(Eingabe!$F$12&gt;0,"10."&amp;Eingabe!$D$12&amp;".250.1","")</f>
        <v>10.4.250.1</v>
      </c>
      <c r="H614" s="20" t="str">
        <f aca="false">IF(Eingabe!$F$12&gt;0,"10."&amp;Eingabe!$D$12&amp;".250.10 – "&amp;"10."&amp;Eingabe!$D$12&amp;".250.250","")</f>
        <v>10.4.250.10 – 10.4.250.250</v>
      </c>
      <c r="I614" s="20" t="str">
        <f aca="false">IF(Eingabe!$F$12&gt;0,"–","")</f>
        <v>–</v>
      </c>
      <c r="J614" s="20" t="str">
        <f aca="false">IF(Eingabe!$F$12&gt;0,"Mast-Switches und Access Points","")</f>
        <v>Mast-Switches und Access Points</v>
      </c>
      <c r="K614" s="20" t="str">
        <f aca="false">IF(Eingabe!$F$12&gt;0,"Access Point 1: "&amp;"10."&amp;Eingabe!$D$12&amp;".250.51","")</f>
        <v>Access Point 1: 10.4.250.51</v>
      </c>
    </row>
    <row r="615" customFormat="false" ht="15" hidden="false" customHeight="false" outlineLevel="0" collapsed="false">
      <c r="A615" s="20" t="n">
        <f aca="false">IF(AND(Eingabe!$F$12&gt;0,Eingabe!$E$12&gt;=1),4,"")</f>
        <v>4</v>
      </c>
      <c r="B615" s="20" t="str">
        <f aca="false">IF(AND(Eingabe!$F$12&gt;0,Eingabe!$E$12&gt;=1),Eingabe!$B$12,"")</f>
        <v>Sorgenfrei II</v>
      </c>
      <c r="C615" s="20" t="str">
        <f aca="false">IF(AND(Eingabe!$F$12&gt;0,Eingabe!$E$12&gt;=1),Eingabe!$C$12&amp;"-Paz."&amp;TEXT(1,"000"),"")</f>
        <v>SF2-Paz.001</v>
      </c>
      <c r="D615" s="20" t="n">
        <f aca="false">IF(AND(Eingabe!$F$12&gt;0,Eingabe!$E$12&gt;=1),1,"")</f>
        <v>1</v>
      </c>
      <c r="E615" s="20" t="n">
        <f aca="false">IF(AND(Eingabe!$F$12&gt;0,Eingabe!$E$12&gt;=1),IF((Eingabe!$G$12)&lt;=9,1000+(Eingabe!$G$12)*100,3000)+1,"")</f>
        <v>1401</v>
      </c>
      <c r="F615" s="20" t="str">
        <f aca="false">IF(AND(Eingabe!$F$12&gt;0,Eingabe!$E$12&gt;=1),"10."&amp;Eingabe!$D$12&amp;".1.0/24","")</f>
        <v>10.4.1.0/24</v>
      </c>
      <c r="G615" s="20" t="str">
        <f aca="false">IF(AND(Eingabe!$F$12&gt;0,Eingabe!$E$12&gt;=1),"10."&amp;Eingabe!$D$12&amp;".1.1","")</f>
        <v>10.4.1.1</v>
      </c>
      <c r="H615" s="20" t="str">
        <f aca="false">IF(AND(Eingabe!$F$12&gt;0,Eingabe!$E$12&gt;=1),"10."&amp;Eingabe!$D$12&amp;".1.10 – 10."&amp;Eingabe!$D$12&amp;".1.250","")</f>
        <v>10.4.1.10 – 10.4.1.250</v>
      </c>
      <c r="I615" s="20" t="str">
        <f aca="false">IF(AND(Eingabe!$F$12&gt;0,Eingabe!$E$12&gt;=1),Eingabe!$B$6&amp;"-"&amp;Eingabe!$C$12&amp;"-Pächter","")</f>
        <v>SparteNet.de-SF2-Pächter</v>
      </c>
      <c r="J615" s="20" t="str">
        <f aca="false">IF(AND(Eingabe!$F$12&gt;0,Eingabe!$E$12&gt;=1),"PPSK: Passwort Parzelle 1","")</f>
        <v>PPSK: Passwort Parzelle 1</v>
      </c>
      <c r="K615" s="20" t="str">
        <f aca="false">IF(AND(Eingabe!$F$12&gt;0,Eingabe!$E$12&gt;=1),"1. Gerät: 10."&amp;Eingabe!$D$12&amp;".1.10, 2. Gerät: .11","")</f>
        <v>1. Gerät: 10.4.1.10, 2. Gerät: .11</v>
      </c>
    </row>
    <row r="616" customFormat="false" ht="15" hidden="false" customHeight="false" outlineLevel="0" collapsed="false">
      <c r="A616" s="20" t="n">
        <f aca="false">IF(AND(Eingabe!$F$12&gt;0,Eingabe!$E$12&gt;=2),4,"")</f>
        <v>4</v>
      </c>
      <c r="B616" s="20" t="str">
        <f aca="false">IF(AND(Eingabe!$F$12&gt;0,Eingabe!$E$12&gt;=2),Eingabe!$B$12,"")</f>
        <v>Sorgenfrei II</v>
      </c>
      <c r="C616" s="20" t="str">
        <f aca="false">IF(AND(Eingabe!$F$12&gt;0,Eingabe!$E$12&gt;=2),Eingabe!$C$12&amp;"-Paz."&amp;TEXT(2,"000"),"")</f>
        <v>SF2-Paz.002</v>
      </c>
      <c r="D616" s="20" t="n">
        <f aca="false">IF(AND(Eingabe!$F$12&gt;0,Eingabe!$E$12&gt;=2),2,"")</f>
        <v>2</v>
      </c>
      <c r="E616" s="20" t="n">
        <f aca="false">IF(AND(Eingabe!$F$12&gt;0,Eingabe!$E$12&gt;=2),IF((Eingabe!$G$12)&lt;=9,1000+(Eingabe!$G$12)*100,3000)+2,"")</f>
        <v>1402</v>
      </c>
      <c r="F616" s="20" t="str">
        <f aca="false">IF(AND(Eingabe!$F$12&gt;0,Eingabe!$E$12&gt;=2),"10."&amp;Eingabe!$D$12&amp;".2.0/24","")</f>
        <v>10.4.2.0/24</v>
      </c>
      <c r="G616" s="20" t="str">
        <f aca="false">IF(AND(Eingabe!$F$12&gt;0,Eingabe!$E$12&gt;=2),"10."&amp;Eingabe!$D$12&amp;".2.1","")</f>
        <v>10.4.2.1</v>
      </c>
      <c r="H616" s="20" t="str">
        <f aca="false">IF(AND(Eingabe!$F$12&gt;0,Eingabe!$E$12&gt;=2),"10."&amp;Eingabe!$D$12&amp;".2.10 – 10."&amp;Eingabe!$D$12&amp;".2.250","")</f>
        <v>10.4.2.10 – 10.4.2.250</v>
      </c>
      <c r="I616" s="20" t="str">
        <f aca="false">IF(AND(Eingabe!$F$12&gt;0,Eingabe!$E$12&gt;=2),Eingabe!$B$6&amp;"-"&amp;Eingabe!$C$12&amp;"-Pächter","")</f>
        <v>SparteNet.de-SF2-Pächter</v>
      </c>
      <c r="J616" s="20" t="str">
        <f aca="false">IF(AND(Eingabe!$F$12&gt;0,Eingabe!$E$12&gt;=2),"PPSK: Passwort Parzelle 2","")</f>
        <v>PPSK: Passwort Parzelle 2</v>
      </c>
      <c r="K616" s="20" t="str">
        <f aca="false">IF(AND(Eingabe!$F$12&gt;0,Eingabe!$E$12&gt;=2),"1. Gerät: 10."&amp;Eingabe!$D$12&amp;".2.10, 2. Gerät: .11","")</f>
        <v>1. Gerät: 10.4.2.10, 2. Gerät: .11</v>
      </c>
    </row>
    <row r="617" customFormat="false" ht="15" hidden="false" customHeight="false" outlineLevel="0" collapsed="false">
      <c r="A617" s="20" t="n">
        <f aca="false">IF(AND(Eingabe!$F$12&gt;0,Eingabe!$E$12&gt;=3),4,"")</f>
        <v>4</v>
      </c>
      <c r="B617" s="20" t="str">
        <f aca="false">IF(AND(Eingabe!$F$12&gt;0,Eingabe!$E$12&gt;=3),Eingabe!$B$12,"")</f>
        <v>Sorgenfrei II</v>
      </c>
      <c r="C617" s="20" t="str">
        <f aca="false">IF(AND(Eingabe!$F$12&gt;0,Eingabe!$E$12&gt;=3),Eingabe!$C$12&amp;"-Paz."&amp;TEXT(3,"000"),"")</f>
        <v>SF2-Paz.003</v>
      </c>
      <c r="D617" s="20" t="n">
        <f aca="false">IF(AND(Eingabe!$F$12&gt;0,Eingabe!$E$12&gt;=3),3,"")</f>
        <v>3</v>
      </c>
      <c r="E617" s="20" t="n">
        <f aca="false">IF(AND(Eingabe!$F$12&gt;0,Eingabe!$E$12&gt;=3),IF((Eingabe!$G$12)&lt;=9,1000+(Eingabe!$G$12)*100,3000)+3,"")</f>
        <v>1403</v>
      </c>
      <c r="F617" s="20" t="str">
        <f aca="false">IF(AND(Eingabe!$F$12&gt;0,Eingabe!$E$12&gt;=3),"10."&amp;Eingabe!$D$12&amp;".3.0/24","")</f>
        <v>10.4.3.0/24</v>
      </c>
      <c r="G617" s="20" t="str">
        <f aca="false">IF(AND(Eingabe!$F$12&gt;0,Eingabe!$E$12&gt;=3),"10."&amp;Eingabe!$D$12&amp;".3.1","")</f>
        <v>10.4.3.1</v>
      </c>
      <c r="H617" s="20" t="str">
        <f aca="false">IF(AND(Eingabe!$F$12&gt;0,Eingabe!$E$12&gt;=3),"10."&amp;Eingabe!$D$12&amp;".3.10 – 10."&amp;Eingabe!$D$12&amp;".3.250","")</f>
        <v>10.4.3.10 – 10.4.3.250</v>
      </c>
      <c r="I617" s="20" t="str">
        <f aca="false">IF(AND(Eingabe!$F$12&gt;0,Eingabe!$E$12&gt;=3),Eingabe!$B$6&amp;"-"&amp;Eingabe!$C$12&amp;"-Pächter","")</f>
        <v>SparteNet.de-SF2-Pächter</v>
      </c>
      <c r="J617" s="20" t="str">
        <f aca="false">IF(AND(Eingabe!$F$12&gt;0,Eingabe!$E$12&gt;=3),"PPSK: Passwort Parzelle 3","")</f>
        <v>PPSK: Passwort Parzelle 3</v>
      </c>
      <c r="K617" s="20" t="str">
        <f aca="false">IF(AND(Eingabe!$F$12&gt;0,Eingabe!$E$12&gt;=3),"1. Gerät: 10."&amp;Eingabe!$D$12&amp;".3.10, 2. Gerät: .11","")</f>
        <v>1. Gerät: 10.4.3.10, 2. Gerät: .11</v>
      </c>
    </row>
    <row r="618" customFormat="false" ht="15" hidden="false" customHeight="false" outlineLevel="0" collapsed="false">
      <c r="A618" s="20" t="n">
        <f aca="false">IF(AND(Eingabe!$F$12&gt;0,Eingabe!$E$12&gt;=4),4,"")</f>
        <v>4</v>
      </c>
      <c r="B618" s="20" t="str">
        <f aca="false">IF(AND(Eingabe!$F$12&gt;0,Eingabe!$E$12&gt;=4),Eingabe!$B$12,"")</f>
        <v>Sorgenfrei II</v>
      </c>
      <c r="C618" s="20" t="str">
        <f aca="false">IF(AND(Eingabe!$F$12&gt;0,Eingabe!$E$12&gt;=4),Eingabe!$C$12&amp;"-Paz."&amp;TEXT(4,"000"),"")</f>
        <v>SF2-Paz.004</v>
      </c>
      <c r="D618" s="20" t="n">
        <f aca="false">IF(AND(Eingabe!$F$12&gt;0,Eingabe!$E$12&gt;=4),4,"")</f>
        <v>4</v>
      </c>
      <c r="E618" s="20" t="n">
        <f aca="false">IF(AND(Eingabe!$F$12&gt;0,Eingabe!$E$12&gt;=4),IF((Eingabe!$G$12)&lt;=9,1000+(Eingabe!$G$12)*100,3000)+4,"")</f>
        <v>1404</v>
      </c>
      <c r="F618" s="20" t="str">
        <f aca="false">IF(AND(Eingabe!$F$12&gt;0,Eingabe!$E$12&gt;=4),"10."&amp;Eingabe!$D$12&amp;".4.0/24","")</f>
        <v>10.4.4.0/24</v>
      </c>
      <c r="G618" s="20" t="str">
        <f aca="false">IF(AND(Eingabe!$F$12&gt;0,Eingabe!$E$12&gt;=4),"10."&amp;Eingabe!$D$12&amp;".4.1","")</f>
        <v>10.4.4.1</v>
      </c>
      <c r="H618" s="20" t="str">
        <f aca="false">IF(AND(Eingabe!$F$12&gt;0,Eingabe!$E$12&gt;=4),"10."&amp;Eingabe!$D$12&amp;".4.10 – 10."&amp;Eingabe!$D$12&amp;".4.250","")</f>
        <v>10.4.4.10 – 10.4.4.250</v>
      </c>
      <c r="I618" s="20" t="str">
        <f aca="false">IF(AND(Eingabe!$F$12&gt;0,Eingabe!$E$12&gt;=4),Eingabe!$B$6&amp;"-"&amp;Eingabe!$C$12&amp;"-Pächter","")</f>
        <v>SparteNet.de-SF2-Pächter</v>
      </c>
      <c r="J618" s="20" t="str">
        <f aca="false">IF(AND(Eingabe!$F$12&gt;0,Eingabe!$E$12&gt;=4),"PPSK: Passwort Parzelle 4","")</f>
        <v>PPSK: Passwort Parzelle 4</v>
      </c>
      <c r="K618" s="20" t="str">
        <f aca="false">IF(AND(Eingabe!$F$12&gt;0,Eingabe!$E$12&gt;=4),"1. Gerät: 10."&amp;Eingabe!$D$12&amp;".4.10, 2. Gerät: .11","")</f>
        <v>1. Gerät: 10.4.4.10, 2. Gerät: .11</v>
      </c>
    </row>
    <row r="619" customFormat="false" ht="15" hidden="false" customHeight="false" outlineLevel="0" collapsed="false">
      <c r="A619" s="20" t="n">
        <f aca="false">IF(AND(Eingabe!$F$12&gt;0,Eingabe!$E$12&gt;=5),4,"")</f>
        <v>4</v>
      </c>
      <c r="B619" s="20" t="str">
        <f aca="false">IF(AND(Eingabe!$F$12&gt;0,Eingabe!$E$12&gt;=5),Eingabe!$B$12,"")</f>
        <v>Sorgenfrei II</v>
      </c>
      <c r="C619" s="20" t="str">
        <f aca="false">IF(AND(Eingabe!$F$12&gt;0,Eingabe!$E$12&gt;=5),Eingabe!$C$12&amp;"-Paz."&amp;TEXT(5,"000"),"")</f>
        <v>SF2-Paz.005</v>
      </c>
      <c r="D619" s="20" t="n">
        <f aca="false">IF(AND(Eingabe!$F$12&gt;0,Eingabe!$E$12&gt;=5),5,"")</f>
        <v>5</v>
      </c>
      <c r="E619" s="20" t="n">
        <f aca="false">IF(AND(Eingabe!$F$12&gt;0,Eingabe!$E$12&gt;=5),IF((Eingabe!$G$12)&lt;=9,1000+(Eingabe!$G$12)*100,3000)+5,"")</f>
        <v>1405</v>
      </c>
      <c r="F619" s="20" t="str">
        <f aca="false">IF(AND(Eingabe!$F$12&gt;0,Eingabe!$E$12&gt;=5),"10."&amp;Eingabe!$D$12&amp;".5.0/24","")</f>
        <v>10.4.5.0/24</v>
      </c>
      <c r="G619" s="20" t="str">
        <f aca="false">IF(AND(Eingabe!$F$12&gt;0,Eingabe!$E$12&gt;=5),"10."&amp;Eingabe!$D$12&amp;".5.1","")</f>
        <v>10.4.5.1</v>
      </c>
      <c r="H619" s="20" t="str">
        <f aca="false">IF(AND(Eingabe!$F$12&gt;0,Eingabe!$E$12&gt;=5),"10."&amp;Eingabe!$D$12&amp;".5.10 – 10."&amp;Eingabe!$D$12&amp;".5.250","")</f>
        <v>10.4.5.10 – 10.4.5.250</v>
      </c>
      <c r="I619" s="20" t="str">
        <f aca="false">IF(AND(Eingabe!$F$12&gt;0,Eingabe!$E$12&gt;=5),Eingabe!$B$6&amp;"-"&amp;Eingabe!$C$12&amp;"-Pächter","")</f>
        <v>SparteNet.de-SF2-Pächter</v>
      </c>
      <c r="J619" s="20" t="str">
        <f aca="false">IF(AND(Eingabe!$F$12&gt;0,Eingabe!$E$12&gt;=5),"PPSK: Passwort Parzelle 5","")</f>
        <v>PPSK: Passwort Parzelle 5</v>
      </c>
      <c r="K619" s="20" t="str">
        <f aca="false">IF(AND(Eingabe!$F$12&gt;0,Eingabe!$E$12&gt;=5),"1. Gerät: 10."&amp;Eingabe!$D$12&amp;".5.10, 2. Gerät: .11","")</f>
        <v>1. Gerät: 10.4.5.10, 2. Gerät: .11</v>
      </c>
    </row>
    <row r="620" customFormat="false" ht="15" hidden="false" customHeight="false" outlineLevel="0" collapsed="false">
      <c r="A620" s="20" t="n">
        <f aca="false">IF(AND(Eingabe!$F$12&gt;0,Eingabe!$E$12&gt;=6),4,"")</f>
        <v>4</v>
      </c>
      <c r="B620" s="20" t="str">
        <f aca="false">IF(AND(Eingabe!$F$12&gt;0,Eingabe!$E$12&gt;=6),Eingabe!$B$12,"")</f>
        <v>Sorgenfrei II</v>
      </c>
      <c r="C620" s="20" t="str">
        <f aca="false">IF(AND(Eingabe!$F$12&gt;0,Eingabe!$E$12&gt;=6),Eingabe!$C$12&amp;"-Paz."&amp;TEXT(6,"000"),"")</f>
        <v>SF2-Paz.006</v>
      </c>
      <c r="D620" s="20" t="n">
        <f aca="false">IF(AND(Eingabe!$F$12&gt;0,Eingabe!$E$12&gt;=6),6,"")</f>
        <v>6</v>
      </c>
      <c r="E620" s="20" t="n">
        <f aca="false">IF(AND(Eingabe!$F$12&gt;0,Eingabe!$E$12&gt;=6),IF((Eingabe!$G$12)&lt;=9,1000+(Eingabe!$G$12)*100,3000)+6,"")</f>
        <v>1406</v>
      </c>
      <c r="F620" s="20" t="str">
        <f aca="false">IF(AND(Eingabe!$F$12&gt;0,Eingabe!$E$12&gt;=6),"10."&amp;Eingabe!$D$12&amp;".6.0/24","")</f>
        <v>10.4.6.0/24</v>
      </c>
      <c r="G620" s="20" t="str">
        <f aca="false">IF(AND(Eingabe!$F$12&gt;0,Eingabe!$E$12&gt;=6),"10."&amp;Eingabe!$D$12&amp;".6.1","")</f>
        <v>10.4.6.1</v>
      </c>
      <c r="H620" s="20" t="str">
        <f aca="false">IF(AND(Eingabe!$F$12&gt;0,Eingabe!$E$12&gt;=6),"10."&amp;Eingabe!$D$12&amp;".6.10 – 10."&amp;Eingabe!$D$12&amp;".6.250","")</f>
        <v>10.4.6.10 – 10.4.6.250</v>
      </c>
      <c r="I620" s="20" t="str">
        <f aca="false">IF(AND(Eingabe!$F$12&gt;0,Eingabe!$E$12&gt;=6),Eingabe!$B$6&amp;"-"&amp;Eingabe!$C$12&amp;"-Pächter","")</f>
        <v>SparteNet.de-SF2-Pächter</v>
      </c>
      <c r="J620" s="20" t="str">
        <f aca="false">IF(AND(Eingabe!$F$12&gt;0,Eingabe!$E$12&gt;=6),"PPSK: Passwort Parzelle 6","")</f>
        <v>PPSK: Passwort Parzelle 6</v>
      </c>
      <c r="K620" s="20" t="str">
        <f aca="false">IF(AND(Eingabe!$F$12&gt;0,Eingabe!$E$12&gt;=6),"1. Gerät: 10."&amp;Eingabe!$D$12&amp;".6.10, 2. Gerät: .11","")</f>
        <v>1. Gerät: 10.4.6.10, 2. Gerät: .11</v>
      </c>
    </row>
    <row r="621" customFormat="false" ht="15" hidden="false" customHeight="false" outlineLevel="0" collapsed="false">
      <c r="A621" s="20" t="n">
        <f aca="false">IF(AND(Eingabe!$F$12&gt;0,Eingabe!$E$12&gt;=7),4,"")</f>
        <v>4</v>
      </c>
      <c r="B621" s="20" t="str">
        <f aca="false">IF(AND(Eingabe!$F$12&gt;0,Eingabe!$E$12&gt;=7),Eingabe!$B$12,"")</f>
        <v>Sorgenfrei II</v>
      </c>
      <c r="C621" s="20" t="str">
        <f aca="false">IF(AND(Eingabe!$F$12&gt;0,Eingabe!$E$12&gt;=7),Eingabe!$C$12&amp;"-Paz."&amp;TEXT(7,"000"),"")</f>
        <v>SF2-Paz.007</v>
      </c>
      <c r="D621" s="20" t="n">
        <f aca="false">IF(AND(Eingabe!$F$12&gt;0,Eingabe!$E$12&gt;=7),7,"")</f>
        <v>7</v>
      </c>
      <c r="E621" s="20" t="n">
        <f aca="false">IF(AND(Eingabe!$F$12&gt;0,Eingabe!$E$12&gt;=7),IF((Eingabe!$G$12)&lt;=9,1000+(Eingabe!$G$12)*100,3000)+7,"")</f>
        <v>1407</v>
      </c>
      <c r="F621" s="20" t="str">
        <f aca="false">IF(AND(Eingabe!$F$12&gt;0,Eingabe!$E$12&gt;=7),"10."&amp;Eingabe!$D$12&amp;".7.0/24","")</f>
        <v>10.4.7.0/24</v>
      </c>
      <c r="G621" s="20" t="str">
        <f aca="false">IF(AND(Eingabe!$F$12&gt;0,Eingabe!$E$12&gt;=7),"10."&amp;Eingabe!$D$12&amp;".7.1","")</f>
        <v>10.4.7.1</v>
      </c>
      <c r="H621" s="20" t="str">
        <f aca="false">IF(AND(Eingabe!$F$12&gt;0,Eingabe!$E$12&gt;=7),"10."&amp;Eingabe!$D$12&amp;".7.10 – 10."&amp;Eingabe!$D$12&amp;".7.250","")</f>
        <v>10.4.7.10 – 10.4.7.250</v>
      </c>
      <c r="I621" s="20" t="str">
        <f aca="false">IF(AND(Eingabe!$F$12&gt;0,Eingabe!$E$12&gt;=7),Eingabe!$B$6&amp;"-"&amp;Eingabe!$C$12&amp;"-Pächter","")</f>
        <v>SparteNet.de-SF2-Pächter</v>
      </c>
      <c r="J621" s="20" t="str">
        <f aca="false">IF(AND(Eingabe!$F$12&gt;0,Eingabe!$E$12&gt;=7),"PPSK: Passwort Parzelle 7","")</f>
        <v>PPSK: Passwort Parzelle 7</v>
      </c>
      <c r="K621" s="20" t="str">
        <f aca="false">IF(AND(Eingabe!$F$12&gt;0,Eingabe!$E$12&gt;=7),"1. Gerät: 10."&amp;Eingabe!$D$12&amp;".7.10, 2. Gerät: .11","")</f>
        <v>1. Gerät: 10.4.7.10, 2. Gerät: .11</v>
      </c>
    </row>
    <row r="622" customFormat="false" ht="15" hidden="false" customHeight="false" outlineLevel="0" collapsed="false">
      <c r="A622" s="20" t="n">
        <f aca="false">IF(AND(Eingabe!$F$12&gt;0,Eingabe!$E$12&gt;=8),4,"")</f>
        <v>4</v>
      </c>
      <c r="B622" s="20" t="str">
        <f aca="false">IF(AND(Eingabe!$F$12&gt;0,Eingabe!$E$12&gt;=8),Eingabe!$B$12,"")</f>
        <v>Sorgenfrei II</v>
      </c>
      <c r="C622" s="20" t="str">
        <f aca="false">IF(AND(Eingabe!$F$12&gt;0,Eingabe!$E$12&gt;=8),Eingabe!$C$12&amp;"-Paz."&amp;TEXT(8,"000"),"")</f>
        <v>SF2-Paz.008</v>
      </c>
      <c r="D622" s="20" t="n">
        <f aca="false">IF(AND(Eingabe!$F$12&gt;0,Eingabe!$E$12&gt;=8),8,"")</f>
        <v>8</v>
      </c>
      <c r="E622" s="20" t="n">
        <f aca="false">IF(AND(Eingabe!$F$12&gt;0,Eingabe!$E$12&gt;=8),IF((Eingabe!$G$12)&lt;=9,1000+(Eingabe!$G$12)*100,3000)+8,"")</f>
        <v>1408</v>
      </c>
      <c r="F622" s="20" t="str">
        <f aca="false">IF(AND(Eingabe!$F$12&gt;0,Eingabe!$E$12&gt;=8),"10."&amp;Eingabe!$D$12&amp;".8.0/24","")</f>
        <v>10.4.8.0/24</v>
      </c>
      <c r="G622" s="20" t="str">
        <f aca="false">IF(AND(Eingabe!$F$12&gt;0,Eingabe!$E$12&gt;=8),"10."&amp;Eingabe!$D$12&amp;".8.1","")</f>
        <v>10.4.8.1</v>
      </c>
      <c r="H622" s="20" t="str">
        <f aca="false">IF(AND(Eingabe!$F$12&gt;0,Eingabe!$E$12&gt;=8),"10."&amp;Eingabe!$D$12&amp;".8.10 – 10."&amp;Eingabe!$D$12&amp;".8.250","")</f>
        <v>10.4.8.10 – 10.4.8.250</v>
      </c>
      <c r="I622" s="20" t="str">
        <f aca="false">IF(AND(Eingabe!$F$12&gt;0,Eingabe!$E$12&gt;=8),Eingabe!$B$6&amp;"-"&amp;Eingabe!$C$12&amp;"-Pächter","")</f>
        <v>SparteNet.de-SF2-Pächter</v>
      </c>
      <c r="J622" s="20" t="str">
        <f aca="false">IF(AND(Eingabe!$F$12&gt;0,Eingabe!$E$12&gt;=8),"PPSK: Passwort Parzelle 8","")</f>
        <v>PPSK: Passwort Parzelle 8</v>
      </c>
      <c r="K622" s="20" t="str">
        <f aca="false">IF(AND(Eingabe!$F$12&gt;0,Eingabe!$E$12&gt;=8),"1. Gerät: 10."&amp;Eingabe!$D$12&amp;".8.10, 2. Gerät: .11","")</f>
        <v>1. Gerät: 10.4.8.10, 2. Gerät: .11</v>
      </c>
    </row>
    <row r="623" customFormat="false" ht="15" hidden="false" customHeight="false" outlineLevel="0" collapsed="false">
      <c r="A623" s="20" t="n">
        <f aca="false">IF(AND(Eingabe!$F$12&gt;0,Eingabe!$E$12&gt;=9),4,"")</f>
        <v>4</v>
      </c>
      <c r="B623" s="20" t="str">
        <f aca="false">IF(AND(Eingabe!$F$12&gt;0,Eingabe!$E$12&gt;=9),Eingabe!$B$12,"")</f>
        <v>Sorgenfrei II</v>
      </c>
      <c r="C623" s="20" t="str">
        <f aca="false">IF(AND(Eingabe!$F$12&gt;0,Eingabe!$E$12&gt;=9),Eingabe!$C$12&amp;"-Paz."&amp;TEXT(9,"000"),"")</f>
        <v>SF2-Paz.009</v>
      </c>
      <c r="D623" s="20" t="n">
        <f aca="false">IF(AND(Eingabe!$F$12&gt;0,Eingabe!$E$12&gt;=9),9,"")</f>
        <v>9</v>
      </c>
      <c r="E623" s="20" t="n">
        <f aca="false">IF(AND(Eingabe!$F$12&gt;0,Eingabe!$E$12&gt;=9),IF((Eingabe!$G$12)&lt;=9,1000+(Eingabe!$G$12)*100,3000)+9,"")</f>
        <v>1409</v>
      </c>
      <c r="F623" s="20" t="str">
        <f aca="false">IF(AND(Eingabe!$F$12&gt;0,Eingabe!$E$12&gt;=9),"10."&amp;Eingabe!$D$12&amp;".9.0/24","")</f>
        <v>10.4.9.0/24</v>
      </c>
      <c r="G623" s="20" t="str">
        <f aca="false">IF(AND(Eingabe!$F$12&gt;0,Eingabe!$E$12&gt;=9),"10."&amp;Eingabe!$D$12&amp;".9.1","")</f>
        <v>10.4.9.1</v>
      </c>
      <c r="H623" s="20" t="str">
        <f aca="false">IF(AND(Eingabe!$F$12&gt;0,Eingabe!$E$12&gt;=9),"10."&amp;Eingabe!$D$12&amp;".9.10 – 10."&amp;Eingabe!$D$12&amp;".9.250","")</f>
        <v>10.4.9.10 – 10.4.9.250</v>
      </c>
      <c r="I623" s="20" t="str">
        <f aca="false">IF(AND(Eingabe!$F$12&gt;0,Eingabe!$E$12&gt;=9),Eingabe!$B$6&amp;"-"&amp;Eingabe!$C$12&amp;"-Pächter","")</f>
        <v>SparteNet.de-SF2-Pächter</v>
      </c>
      <c r="J623" s="20" t="str">
        <f aca="false">IF(AND(Eingabe!$F$12&gt;0,Eingabe!$E$12&gt;=9),"PPSK: Passwort Parzelle 9","")</f>
        <v>PPSK: Passwort Parzelle 9</v>
      </c>
      <c r="K623" s="20" t="str">
        <f aca="false">IF(AND(Eingabe!$F$12&gt;0,Eingabe!$E$12&gt;=9),"1. Gerät: 10."&amp;Eingabe!$D$12&amp;".9.10, 2. Gerät: .11","")</f>
        <v>1. Gerät: 10.4.9.10, 2. Gerät: .11</v>
      </c>
    </row>
    <row r="624" customFormat="false" ht="15" hidden="false" customHeight="false" outlineLevel="0" collapsed="false">
      <c r="A624" s="20" t="n">
        <f aca="false">IF(AND(Eingabe!$F$12&gt;0,Eingabe!$E$12&gt;=10),4,"")</f>
        <v>4</v>
      </c>
      <c r="B624" s="20" t="str">
        <f aca="false">IF(AND(Eingabe!$F$12&gt;0,Eingabe!$E$12&gt;=10),Eingabe!$B$12,"")</f>
        <v>Sorgenfrei II</v>
      </c>
      <c r="C624" s="20" t="str">
        <f aca="false">IF(AND(Eingabe!$F$12&gt;0,Eingabe!$E$12&gt;=10),Eingabe!$C$12&amp;"-Paz."&amp;TEXT(10,"000"),"")</f>
        <v>SF2-Paz.010</v>
      </c>
      <c r="D624" s="20" t="n">
        <f aca="false">IF(AND(Eingabe!$F$12&gt;0,Eingabe!$E$12&gt;=10),10,"")</f>
        <v>10</v>
      </c>
      <c r="E624" s="20" t="n">
        <f aca="false">IF(AND(Eingabe!$F$12&gt;0,Eingabe!$E$12&gt;=10),IF((Eingabe!$G$12)&lt;=9,1000+(Eingabe!$G$12)*100,3000)+10,"")</f>
        <v>1410</v>
      </c>
      <c r="F624" s="20" t="str">
        <f aca="false">IF(AND(Eingabe!$F$12&gt;0,Eingabe!$E$12&gt;=10),"10."&amp;Eingabe!$D$12&amp;".10.0/24","")</f>
        <v>10.4.10.0/24</v>
      </c>
      <c r="G624" s="20" t="str">
        <f aca="false">IF(AND(Eingabe!$F$12&gt;0,Eingabe!$E$12&gt;=10),"10."&amp;Eingabe!$D$12&amp;".10.1","")</f>
        <v>10.4.10.1</v>
      </c>
      <c r="H624" s="20" t="str">
        <f aca="false">IF(AND(Eingabe!$F$12&gt;0,Eingabe!$E$12&gt;=10),"10."&amp;Eingabe!$D$12&amp;".10.10 – 10."&amp;Eingabe!$D$12&amp;".10.250","")</f>
        <v>10.4.10.10 – 10.4.10.250</v>
      </c>
      <c r="I624" s="20" t="str">
        <f aca="false">IF(AND(Eingabe!$F$12&gt;0,Eingabe!$E$12&gt;=10),Eingabe!$B$6&amp;"-"&amp;Eingabe!$C$12&amp;"-Pächter","")</f>
        <v>SparteNet.de-SF2-Pächter</v>
      </c>
      <c r="J624" s="20" t="str">
        <f aca="false">IF(AND(Eingabe!$F$12&gt;0,Eingabe!$E$12&gt;=10),"PPSK: Passwort Parzelle 10","")</f>
        <v>PPSK: Passwort Parzelle 10</v>
      </c>
      <c r="K624" s="20" t="str">
        <f aca="false">IF(AND(Eingabe!$F$12&gt;0,Eingabe!$E$12&gt;=10),"1. Gerät: 10."&amp;Eingabe!$D$12&amp;".10.10, 2. Gerät: .11","")</f>
        <v>1. Gerät: 10.4.10.10, 2. Gerät: .11</v>
      </c>
    </row>
    <row r="625" customFormat="false" ht="15" hidden="false" customHeight="false" outlineLevel="0" collapsed="false">
      <c r="A625" s="20" t="n">
        <f aca="false">IF(AND(Eingabe!$F$12&gt;0,Eingabe!$E$12&gt;=11),4,"")</f>
        <v>4</v>
      </c>
      <c r="B625" s="20" t="str">
        <f aca="false">IF(AND(Eingabe!$F$12&gt;0,Eingabe!$E$12&gt;=11),Eingabe!$B$12,"")</f>
        <v>Sorgenfrei II</v>
      </c>
      <c r="C625" s="20" t="str">
        <f aca="false">IF(AND(Eingabe!$F$12&gt;0,Eingabe!$E$12&gt;=11),Eingabe!$C$12&amp;"-Paz."&amp;TEXT(11,"000"),"")</f>
        <v>SF2-Paz.011</v>
      </c>
      <c r="D625" s="20" t="n">
        <f aca="false">IF(AND(Eingabe!$F$12&gt;0,Eingabe!$E$12&gt;=11),11,"")</f>
        <v>11</v>
      </c>
      <c r="E625" s="20" t="n">
        <f aca="false">IF(AND(Eingabe!$F$12&gt;0,Eingabe!$E$12&gt;=11),IF((Eingabe!$G$12)&lt;=9,1000+(Eingabe!$G$12)*100,3000)+11,"")</f>
        <v>1411</v>
      </c>
      <c r="F625" s="20" t="str">
        <f aca="false">IF(AND(Eingabe!$F$12&gt;0,Eingabe!$E$12&gt;=11),"10."&amp;Eingabe!$D$12&amp;".11.0/24","")</f>
        <v>10.4.11.0/24</v>
      </c>
      <c r="G625" s="20" t="str">
        <f aca="false">IF(AND(Eingabe!$F$12&gt;0,Eingabe!$E$12&gt;=11),"10."&amp;Eingabe!$D$12&amp;".11.1","")</f>
        <v>10.4.11.1</v>
      </c>
      <c r="H625" s="20" t="str">
        <f aca="false">IF(AND(Eingabe!$F$12&gt;0,Eingabe!$E$12&gt;=11),"10."&amp;Eingabe!$D$12&amp;".11.10 – 10."&amp;Eingabe!$D$12&amp;".11.250","")</f>
        <v>10.4.11.10 – 10.4.11.250</v>
      </c>
      <c r="I625" s="20" t="str">
        <f aca="false">IF(AND(Eingabe!$F$12&gt;0,Eingabe!$E$12&gt;=11),Eingabe!$B$6&amp;"-"&amp;Eingabe!$C$12&amp;"-Pächter","")</f>
        <v>SparteNet.de-SF2-Pächter</v>
      </c>
      <c r="J625" s="20" t="str">
        <f aca="false">IF(AND(Eingabe!$F$12&gt;0,Eingabe!$E$12&gt;=11),"PPSK: Passwort Parzelle 11","")</f>
        <v>PPSK: Passwort Parzelle 11</v>
      </c>
      <c r="K625" s="20" t="str">
        <f aca="false">IF(AND(Eingabe!$F$12&gt;0,Eingabe!$E$12&gt;=11),"1. Gerät: 10."&amp;Eingabe!$D$12&amp;".11.10, 2. Gerät: .11","")</f>
        <v>1. Gerät: 10.4.11.10, 2. Gerät: .11</v>
      </c>
    </row>
    <row r="626" customFormat="false" ht="15" hidden="false" customHeight="false" outlineLevel="0" collapsed="false">
      <c r="A626" s="20" t="n">
        <f aca="false">IF(AND(Eingabe!$F$12&gt;0,Eingabe!$E$12&gt;=12),4,"")</f>
        <v>4</v>
      </c>
      <c r="B626" s="20" t="str">
        <f aca="false">IF(AND(Eingabe!$F$12&gt;0,Eingabe!$E$12&gt;=12),Eingabe!$B$12,"")</f>
        <v>Sorgenfrei II</v>
      </c>
      <c r="C626" s="20" t="str">
        <f aca="false">IF(AND(Eingabe!$F$12&gt;0,Eingabe!$E$12&gt;=12),Eingabe!$C$12&amp;"-Paz."&amp;TEXT(12,"000"),"")</f>
        <v>SF2-Paz.012</v>
      </c>
      <c r="D626" s="20" t="n">
        <f aca="false">IF(AND(Eingabe!$F$12&gt;0,Eingabe!$E$12&gt;=12),12,"")</f>
        <v>12</v>
      </c>
      <c r="E626" s="20" t="n">
        <f aca="false">IF(AND(Eingabe!$F$12&gt;0,Eingabe!$E$12&gt;=12),IF((Eingabe!$G$12)&lt;=9,1000+(Eingabe!$G$12)*100,3000)+12,"")</f>
        <v>1412</v>
      </c>
      <c r="F626" s="20" t="str">
        <f aca="false">IF(AND(Eingabe!$F$12&gt;0,Eingabe!$E$12&gt;=12),"10."&amp;Eingabe!$D$12&amp;".12.0/24","")</f>
        <v>10.4.12.0/24</v>
      </c>
      <c r="G626" s="20" t="str">
        <f aca="false">IF(AND(Eingabe!$F$12&gt;0,Eingabe!$E$12&gt;=12),"10."&amp;Eingabe!$D$12&amp;".12.1","")</f>
        <v>10.4.12.1</v>
      </c>
      <c r="H626" s="20" t="str">
        <f aca="false">IF(AND(Eingabe!$F$12&gt;0,Eingabe!$E$12&gt;=12),"10."&amp;Eingabe!$D$12&amp;".12.10 – 10."&amp;Eingabe!$D$12&amp;".12.250","")</f>
        <v>10.4.12.10 – 10.4.12.250</v>
      </c>
      <c r="I626" s="20" t="str">
        <f aca="false">IF(AND(Eingabe!$F$12&gt;0,Eingabe!$E$12&gt;=12),Eingabe!$B$6&amp;"-"&amp;Eingabe!$C$12&amp;"-Pächter","")</f>
        <v>SparteNet.de-SF2-Pächter</v>
      </c>
      <c r="J626" s="20" t="str">
        <f aca="false">IF(AND(Eingabe!$F$12&gt;0,Eingabe!$E$12&gt;=12),"PPSK: Passwort Parzelle 12","")</f>
        <v>PPSK: Passwort Parzelle 12</v>
      </c>
      <c r="K626" s="20" t="str">
        <f aca="false">IF(AND(Eingabe!$F$12&gt;0,Eingabe!$E$12&gt;=12),"1. Gerät: 10."&amp;Eingabe!$D$12&amp;".12.10, 2. Gerät: .11","")</f>
        <v>1. Gerät: 10.4.12.10, 2. Gerät: .11</v>
      </c>
    </row>
    <row r="627" customFormat="false" ht="15" hidden="false" customHeight="false" outlineLevel="0" collapsed="false">
      <c r="A627" s="20" t="n">
        <f aca="false">IF(AND(Eingabe!$F$12&gt;0,Eingabe!$E$12&gt;=13),4,"")</f>
        <v>4</v>
      </c>
      <c r="B627" s="20" t="str">
        <f aca="false">IF(AND(Eingabe!$F$12&gt;0,Eingabe!$E$12&gt;=13),Eingabe!$B$12,"")</f>
        <v>Sorgenfrei II</v>
      </c>
      <c r="C627" s="20" t="str">
        <f aca="false">IF(AND(Eingabe!$F$12&gt;0,Eingabe!$E$12&gt;=13),Eingabe!$C$12&amp;"-Paz."&amp;TEXT(13,"000"),"")</f>
        <v>SF2-Paz.013</v>
      </c>
      <c r="D627" s="20" t="n">
        <f aca="false">IF(AND(Eingabe!$F$12&gt;0,Eingabe!$E$12&gt;=13),13,"")</f>
        <v>13</v>
      </c>
      <c r="E627" s="20" t="n">
        <f aca="false">IF(AND(Eingabe!$F$12&gt;0,Eingabe!$E$12&gt;=13),IF((Eingabe!$G$12)&lt;=9,1000+(Eingabe!$G$12)*100,3000)+13,"")</f>
        <v>1413</v>
      </c>
      <c r="F627" s="20" t="str">
        <f aca="false">IF(AND(Eingabe!$F$12&gt;0,Eingabe!$E$12&gt;=13),"10."&amp;Eingabe!$D$12&amp;".13.0/24","")</f>
        <v>10.4.13.0/24</v>
      </c>
      <c r="G627" s="20" t="str">
        <f aca="false">IF(AND(Eingabe!$F$12&gt;0,Eingabe!$E$12&gt;=13),"10."&amp;Eingabe!$D$12&amp;".13.1","")</f>
        <v>10.4.13.1</v>
      </c>
      <c r="H627" s="20" t="str">
        <f aca="false">IF(AND(Eingabe!$F$12&gt;0,Eingabe!$E$12&gt;=13),"10."&amp;Eingabe!$D$12&amp;".13.10 – 10."&amp;Eingabe!$D$12&amp;".13.250","")</f>
        <v>10.4.13.10 – 10.4.13.250</v>
      </c>
      <c r="I627" s="20" t="str">
        <f aca="false">IF(AND(Eingabe!$F$12&gt;0,Eingabe!$E$12&gt;=13),Eingabe!$B$6&amp;"-"&amp;Eingabe!$C$12&amp;"-Pächter","")</f>
        <v>SparteNet.de-SF2-Pächter</v>
      </c>
      <c r="J627" s="20" t="str">
        <f aca="false">IF(AND(Eingabe!$F$12&gt;0,Eingabe!$E$12&gt;=13),"PPSK: Passwort Parzelle 13","")</f>
        <v>PPSK: Passwort Parzelle 13</v>
      </c>
      <c r="K627" s="20" t="str">
        <f aca="false">IF(AND(Eingabe!$F$12&gt;0,Eingabe!$E$12&gt;=13),"1. Gerät: 10."&amp;Eingabe!$D$12&amp;".13.10, 2. Gerät: .11","")</f>
        <v>1. Gerät: 10.4.13.10, 2. Gerät: .11</v>
      </c>
    </row>
    <row r="628" customFormat="false" ht="15" hidden="false" customHeight="false" outlineLevel="0" collapsed="false">
      <c r="A628" s="20" t="n">
        <f aca="false">IF(AND(Eingabe!$F$12&gt;0,Eingabe!$E$12&gt;=14),4,"")</f>
        <v>4</v>
      </c>
      <c r="B628" s="20" t="str">
        <f aca="false">IF(AND(Eingabe!$F$12&gt;0,Eingabe!$E$12&gt;=14),Eingabe!$B$12,"")</f>
        <v>Sorgenfrei II</v>
      </c>
      <c r="C628" s="20" t="str">
        <f aca="false">IF(AND(Eingabe!$F$12&gt;0,Eingabe!$E$12&gt;=14),Eingabe!$C$12&amp;"-Paz."&amp;TEXT(14,"000"),"")</f>
        <v>SF2-Paz.014</v>
      </c>
      <c r="D628" s="20" t="n">
        <f aca="false">IF(AND(Eingabe!$F$12&gt;0,Eingabe!$E$12&gt;=14),14,"")</f>
        <v>14</v>
      </c>
      <c r="E628" s="20" t="n">
        <f aca="false">IF(AND(Eingabe!$F$12&gt;0,Eingabe!$E$12&gt;=14),IF((Eingabe!$G$12)&lt;=9,1000+(Eingabe!$G$12)*100,3000)+14,"")</f>
        <v>1414</v>
      </c>
      <c r="F628" s="20" t="str">
        <f aca="false">IF(AND(Eingabe!$F$12&gt;0,Eingabe!$E$12&gt;=14),"10."&amp;Eingabe!$D$12&amp;".14.0/24","")</f>
        <v>10.4.14.0/24</v>
      </c>
      <c r="G628" s="20" t="str">
        <f aca="false">IF(AND(Eingabe!$F$12&gt;0,Eingabe!$E$12&gt;=14),"10."&amp;Eingabe!$D$12&amp;".14.1","")</f>
        <v>10.4.14.1</v>
      </c>
      <c r="H628" s="20" t="str">
        <f aca="false">IF(AND(Eingabe!$F$12&gt;0,Eingabe!$E$12&gt;=14),"10."&amp;Eingabe!$D$12&amp;".14.10 – 10."&amp;Eingabe!$D$12&amp;".14.250","")</f>
        <v>10.4.14.10 – 10.4.14.250</v>
      </c>
      <c r="I628" s="20" t="str">
        <f aca="false">IF(AND(Eingabe!$F$12&gt;0,Eingabe!$E$12&gt;=14),Eingabe!$B$6&amp;"-"&amp;Eingabe!$C$12&amp;"-Pächter","")</f>
        <v>SparteNet.de-SF2-Pächter</v>
      </c>
      <c r="J628" s="20" t="str">
        <f aca="false">IF(AND(Eingabe!$F$12&gt;0,Eingabe!$E$12&gt;=14),"PPSK: Passwort Parzelle 14","")</f>
        <v>PPSK: Passwort Parzelle 14</v>
      </c>
      <c r="K628" s="20" t="str">
        <f aca="false">IF(AND(Eingabe!$F$12&gt;0,Eingabe!$E$12&gt;=14),"1. Gerät: 10."&amp;Eingabe!$D$12&amp;".14.10, 2. Gerät: .11","")</f>
        <v>1. Gerät: 10.4.14.10, 2. Gerät: .11</v>
      </c>
    </row>
    <row r="629" customFormat="false" ht="15" hidden="false" customHeight="false" outlineLevel="0" collapsed="false">
      <c r="A629" s="20" t="n">
        <f aca="false">IF(AND(Eingabe!$F$12&gt;0,Eingabe!$E$12&gt;=15),4,"")</f>
        <v>4</v>
      </c>
      <c r="B629" s="20" t="str">
        <f aca="false">IF(AND(Eingabe!$F$12&gt;0,Eingabe!$E$12&gt;=15),Eingabe!$B$12,"")</f>
        <v>Sorgenfrei II</v>
      </c>
      <c r="C629" s="20" t="str">
        <f aca="false">IF(AND(Eingabe!$F$12&gt;0,Eingabe!$E$12&gt;=15),Eingabe!$C$12&amp;"-Paz."&amp;TEXT(15,"000"),"")</f>
        <v>SF2-Paz.015</v>
      </c>
      <c r="D629" s="20" t="n">
        <f aca="false">IF(AND(Eingabe!$F$12&gt;0,Eingabe!$E$12&gt;=15),15,"")</f>
        <v>15</v>
      </c>
      <c r="E629" s="20" t="n">
        <f aca="false">IF(AND(Eingabe!$F$12&gt;0,Eingabe!$E$12&gt;=15),IF((Eingabe!$G$12)&lt;=9,1000+(Eingabe!$G$12)*100,3000)+15,"")</f>
        <v>1415</v>
      </c>
      <c r="F629" s="20" t="str">
        <f aca="false">IF(AND(Eingabe!$F$12&gt;0,Eingabe!$E$12&gt;=15),"10."&amp;Eingabe!$D$12&amp;".15.0/24","")</f>
        <v>10.4.15.0/24</v>
      </c>
      <c r="G629" s="20" t="str">
        <f aca="false">IF(AND(Eingabe!$F$12&gt;0,Eingabe!$E$12&gt;=15),"10."&amp;Eingabe!$D$12&amp;".15.1","")</f>
        <v>10.4.15.1</v>
      </c>
      <c r="H629" s="20" t="str">
        <f aca="false">IF(AND(Eingabe!$F$12&gt;0,Eingabe!$E$12&gt;=15),"10."&amp;Eingabe!$D$12&amp;".15.10 – 10."&amp;Eingabe!$D$12&amp;".15.250","")</f>
        <v>10.4.15.10 – 10.4.15.250</v>
      </c>
      <c r="I629" s="20" t="str">
        <f aca="false">IF(AND(Eingabe!$F$12&gt;0,Eingabe!$E$12&gt;=15),Eingabe!$B$6&amp;"-"&amp;Eingabe!$C$12&amp;"-Pächter","")</f>
        <v>SparteNet.de-SF2-Pächter</v>
      </c>
      <c r="J629" s="20" t="str">
        <f aca="false">IF(AND(Eingabe!$F$12&gt;0,Eingabe!$E$12&gt;=15),"PPSK: Passwort Parzelle 15","")</f>
        <v>PPSK: Passwort Parzelle 15</v>
      </c>
      <c r="K629" s="20" t="str">
        <f aca="false">IF(AND(Eingabe!$F$12&gt;0,Eingabe!$E$12&gt;=15),"1. Gerät: 10."&amp;Eingabe!$D$12&amp;".15.10, 2. Gerät: .11","")</f>
        <v>1. Gerät: 10.4.15.10, 2. Gerät: .11</v>
      </c>
    </row>
    <row r="630" customFormat="false" ht="15" hidden="false" customHeight="false" outlineLevel="0" collapsed="false">
      <c r="A630" s="20" t="n">
        <f aca="false">IF(AND(Eingabe!$F$12&gt;0,Eingabe!$E$12&gt;=16),4,"")</f>
        <v>4</v>
      </c>
      <c r="B630" s="20" t="str">
        <f aca="false">IF(AND(Eingabe!$F$12&gt;0,Eingabe!$E$12&gt;=16),Eingabe!$B$12,"")</f>
        <v>Sorgenfrei II</v>
      </c>
      <c r="C630" s="20" t="str">
        <f aca="false">IF(AND(Eingabe!$F$12&gt;0,Eingabe!$E$12&gt;=16),Eingabe!$C$12&amp;"-Paz."&amp;TEXT(16,"000"),"")</f>
        <v>SF2-Paz.016</v>
      </c>
      <c r="D630" s="20" t="n">
        <f aca="false">IF(AND(Eingabe!$F$12&gt;0,Eingabe!$E$12&gt;=16),16,"")</f>
        <v>16</v>
      </c>
      <c r="E630" s="20" t="n">
        <f aca="false">IF(AND(Eingabe!$F$12&gt;0,Eingabe!$E$12&gt;=16),IF((Eingabe!$G$12)&lt;=9,1000+(Eingabe!$G$12)*100,3000)+16,"")</f>
        <v>1416</v>
      </c>
      <c r="F630" s="20" t="str">
        <f aca="false">IF(AND(Eingabe!$F$12&gt;0,Eingabe!$E$12&gt;=16),"10."&amp;Eingabe!$D$12&amp;".16.0/24","")</f>
        <v>10.4.16.0/24</v>
      </c>
      <c r="G630" s="20" t="str">
        <f aca="false">IF(AND(Eingabe!$F$12&gt;0,Eingabe!$E$12&gt;=16),"10."&amp;Eingabe!$D$12&amp;".16.1","")</f>
        <v>10.4.16.1</v>
      </c>
      <c r="H630" s="20" t="str">
        <f aca="false">IF(AND(Eingabe!$F$12&gt;0,Eingabe!$E$12&gt;=16),"10."&amp;Eingabe!$D$12&amp;".16.10 – 10."&amp;Eingabe!$D$12&amp;".16.250","")</f>
        <v>10.4.16.10 – 10.4.16.250</v>
      </c>
      <c r="I630" s="20" t="str">
        <f aca="false">IF(AND(Eingabe!$F$12&gt;0,Eingabe!$E$12&gt;=16),Eingabe!$B$6&amp;"-"&amp;Eingabe!$C$12&amp;"-Pächter","")</f>
        <v>SparteNet.de-SF2-Pächter</v>
      </c>
      <c r="J630" s="20" t="str">
        <f aca="false">IF(AND(Eingabe!$F$12&gt;0,Eingabe!$E$12&gt;=16),"PPSK: Passwort Parzelle 16","")</f>
        <v>PPSK: Passwort Parzelle 16</v>
      </c>
      <c r="K630" s="20" t="str">
        <f aca="false">IF(AND(Eingabe!$F$12&gt;0,Eingabe!$E$12&gt;=16),"1. Gerät: 10."&amp;Eingabe!$D$12&amp;".16.10, 2. Gerät: .11","")</f>
        <v>1. Gerät: 10.4.16.10, 2. Gerät: .11</v>
      </c>
    </row>
    <row r="631" customFormat="false" ht="15" hidden="false" customHeight="false" outlineLevel="0" collapsed="false">
      <c r="A631" s="20" t="n">
        <f aca="false">IF(AND(Eingabe!$F$12&gt;0,Eingabe!$E$12&gt;=17),4,"")</f>
        <v>4</v>
      </c>
      <c r="B631" s="20" t="str">
        <f aca="false">IF(AND(Eingabe!$F$12&gt;0,Eingabe!$E$12&gt;=17),Eingabe!$B$12,"")</f>
        <v>Sorgenfrei II</v>
      </c>
      <c r="C631" s="20" t="str">
        <f aca="false">IF(AND(Eingabe!$F$12&gt;0,Eingabe!$E$12&gt;=17),Eingabe!$C$12&amp;"-Paz."&amp;TEXT(17,"000"),"")</f>
        <v>SF2-Paz.017</v>
      </c>
      <c r="D631" s="20" t="n">
        <f aca="false">IF(AND(Eingabe!$F$12&gt;0,Eingabe!$E$12&gt;=17),17,"")</f>
        <v>17</v>
      </c>
      <c r="E631" s="20" t="n">
        <f aca="false">IF(AND(Eingabe!$F$12&gt;0,Eingabe!$E$12&gt;=17),IF((Eingabe!$G$12)&lt;=9,1000+(Eingabe!$G$12)*100,3000)+17,"")</f>
        <v>1417</v>
      </c>
      <c r="F631" s="20" t="str">
        <f aca="false">IF(AND(Eingabe!$F$12&gt;0,Eingabe!$E$12&gt;=17),"10."&amp;Eingabe!$D$12&amp;".17.0/24","")</f>
        <v>10.4.17.0/24</v>
      </c>
      <c r="G631" s="20" t="str">
        <f aca="false">IF(AND(Eingabe!$F$12&gt;0,Eingabe!$E$12&gt;=17),"10."&amp;Eingabe!$D$12&amp;".17.1","")</f>
        <v>10.4.17.1</v>
      </c>
      <c r="H631" s="20" t="str">
        <f aca="false">IF(AND(Eingabe!$F$12&gt;0,Eingabe!$E$12&gt;=17),"10."&amp;Eingabe!$D$12&amp;".17.10 – 10."&amp;Eingabe!$D$12&amp;".17.250","")</f>
        <v>10.4.17.10 – 10.4.17.250</v>
      </c>
      <c r="I631" s="20" t="str">
        <f aca="false">IF(AND(Eingabe!$F$12&gt;0,Eingabe!$E$12&gt;=17),Eingabe!$B$6&amp;"-"&amp;Eingabe!$C$12&amp;"-Pächter","")</f>
        <v>SparteNet.de-SF2-Pächter</v>
      </c>
      <c r="J631" s="20" t="str">
        <f aca="false">IF(AND(Eingabe!$F$12&gt;0,Eingabe!$E$12&gt;=17),"PPSK: Passwort Parzelle 17","")</f>
        <v>PPSK: Passwort Parzelle 17</v>
      </c>
      <c r="K631" s="20" t="str">
        <f aca="false">IF(AND(Eingabe!$F$12&gt;0,Eingabe!$E$12&gt;=17),"1. Gerät: 10."&amp;Eingabe!$D$12&amp;".17.10, 2. Gerät: .11","")</f>
        <v>1. Gerät: 10.4.17.10, 2. Gerät: .11</v>
      </c>
    </row>
    <row r="632" customFormat="false" ht="15" hidden="false" customHeight="false" outlineLevel="0" collapsed="false">
      <c r="A632" s="20" t="n">
        <f aca="false">IF(AND(Eingabe!$F$12&gt;0,Eingabe!$E$12&gt;=18),4,"")</f>
        <v>4</v>
      </c>
      <c r="B632" s="20" t="str">
        <f aca="false">IF(AND(Eingabe!$F$12&gt;0,Eingabe!$E$12&gt;=18),Eingabe!$B$12,"")</f>
        <v>Sorgenfrei II</v>
      </c>
      <c r="C632" s="20" t="str">
        <f aca="false">IF(AND(Eingabe!$F$12&gt;0,Eingabe!$E$12&gt;=18),Eingabe!$C$12&amp;"-Paz."&amp;TEXT(18,"000"),"")</f>
        <v>SF2-Paz.018</v>
      </c>
      <c r="D632" s="20" t="n">
        <f aca="false">IF(AND(Eingabe!$F$12&gt;0,Eingabe!$E$12&gt;=18),18,"")</f>
        <v>18</v>
      </c>
      <c r="E632" s="20" t="n">
        <f aca="false">IF(AND(Eingabe!$F$12&gt;0,Eingabe!$E$12&gt;=18),IF((Eingabe!$G$12)&lt;=9,1000+(Eingabe!$G$12)*100,3000)+18,"")</f>
        <v>1418</v>
      </c>
      <c r="F632" s="20" t="str">
        <f aca="false">IF(AND(Eingabe!$F$12&gt;0,Eingabe!$E$12&gt;=18),"10."&amp;Eingabe!$D$12&amp;".18.0/24","")</f>
        <v>10.4.18.0/24</v>
      </c>
      <c r="G632" s="20" t="str">
        <f aca="false">IF(AND(Eingabe!$F$12&gt;0,Eingabe!$E$12&gt;=18),"10."&amp;Eingabe!$D$12&amp;".18.1","")</f>
        <v>10.4.18.1</v>
      </c>
      <c r="H632" s="20" t="str">
        <f aca="false">IF(AND(Eingabe!$F$12&gt;0,Eingabe!$E$12&gt;=18),"10."&amp;Eingabe!$D$12&amp;".18.10 – 10."&amp;Eingabe!$D$12&amp;".18.250","")</f>
        <v>10.4.18.10 – 10.4.18.250</v>
      </c>
      <c r="I632" s="20" t="str">
        <f aca="false">IF(AND(Eingabe!$F$12&gt;0,Eingabe!$E$12&gt;=18),Eingabe!$B$6&amp;"-"&amp;Eingabe!$C$12&amp;"-Pächter","")</f>
        <v>SparteNet.de-SF2-Pächter</v>
      </c>
      <c r="J632" s="20" t="str">
        <f aca="false">IF(AND(Eingabe!$F$12&gt;0,Eingabe!$E$12&gt;=18),"PPSK: Passwort Parzelle 18","")</f>
        <v>PPSK: Passwort Parzelle 18</v>
      </c>
      <c r="K632" s="20" t="str">
        <f aca="false">IF(AND(Eingabe!$F$12&gt;0,Eingabe!$E$12&gt;=18),"1. Gerät: 10."&amp;Eingabe!$D$12&amp;".18.10, 2. Gerät: .11","")</f>
        <v>1. Gerät: 10.4.18.10, 2. Gerät: .11</v>
      </c>
    </row>
    <row r="633" customFormat="false" ht="15" hidden="false" customHeight="false" outlineLevel="0" collapsed="false">
      <c r="A633" s="20" t="n">
        <f aca="false">IF(AND(Eingabe!$F$12&gt;0,Eingabe!$E$12&gt;=19),4,"")</f>
        <v>4</v>
      </c>
      <c r="B633" s="20" t="str">
        <f aca="false">IF(AND(Eingabe!$F$12&gt;0,Eingabe!$E$12&gt;=19),Eingabe!$B$12,"")</f>
        <v>Sorgenfrei II</v>
      </c>
      <c r="C633" s="20" t="str">
        <f aca="false">IF(AND(Eingabe!$F$12&gt;0,Eingabe!$E$12&gt;=19),Eingabe!$C$12&amp;"-Paz."&amp;TEXT(19,"000"),"")</f>
        <v>SF2-Paz.019</v>
      </c>
      <c r="D633" s="20" t="n">
        <f aca="false">IF(AND(Eingabe!$F$12&gt;0,Eingabe!$E$12&gt;=19),19,"")</f>
        <v>19</v>
      </c>
      <c r="E633" s="20" t="n">
        <f aca="false">IF(AND(Eingabe!$F$12&gt;0,Eingabe!$E$12&gt;=19),IF((Eingabe!$G$12)&lt;=9,1000+(Eingabe!$G$12)*100,3000)+19,"")</f>
        <v>1419</v>
      </c>
      <c r="F633" s="20" t="str">
        <f aca="false">IF(AND(Eingabe!$F$12&gt;0,Eingabe!$E$12&gt;=19),"10."&amp;Eingabe!$D$12&amp;".19.0/24","")</f>
        <v>10.4.19.0/24</v>
      </c>
      <c r="G633" s="20" t="str">
        <f aca="false">IF(AND(Eingabe!$F$12&gt;0,Eingabe!$E$12&gt;=19),"10."&amp;Eingabe!$D$12&amp;".19.1","")</f>
        <v>10.4.19.1</v>
      </c>
      <c r="H633" s="20" t="str">
        <f aca="false">IF(AND(Eingabe!$F$12&gt;0,Eingabe!$E$12&gt;=19),"10."&amp;Eingabe!$D$12&amp;".19.10 – 10."&amp;Eingabe!$D$12&amp;".19.250","")</f>
        <v>10.4.19.10 – 10.4.19.250</v>
      </c>
      <c r="I633" s="20" t="str">
        <f aca="false">IF(AND(Eingabe!$F$12&gt;0,Eingabe!$E$12&gt;=19),Eingabe!$B$6&amp;"-"&amp;Eingabe!$C$12&amp;"-Pächter","")</f>
        <v>SparteNet.de-SF2-Pächter</v>
      </c>
      <c r="J633" s="20" t="str">
        <f aca="false">IF(AND(Eingabe!$F$12&gt;0,Eingabe!$E$12&gt;=19),"PPSK: Passwort Parzelle 19","")</f>
        <v>PPSK: Passwort Parzelle 19</v>
      </c>
      <c r="K633" s="20" t="str">
        <f aca="false">IF(AND(Eingabe!$F$12&gt;0,Eingabe!$E$12&gt;=19),"1. Gerät: 10."&amp;Eingabe!$D$12&amp;".19.10, 2. Gerät: .11","")</f>
        <v>1. Gerät: 10.4.19.10, 2. Gerät: .11</v>
      </c>
    </row>
    <row r="634" customFormat="false" ht="15" hidden="false" customHeight="false" outlineLevel="0" collapsed="false">
      <c r="A634" s="20" t="n">
        <f aca="false">IF(AND(Eingabe!$F$12&gt;0,Eingabe!$E$12&gt;=20),4,"")</f>
        <v>4</v>
      </c>
      <c r="B634" s="20" t="str">
        <f aca="false">IF(AND(Eingabe!$F$12&gt;0,Eingabe!$E$12&gt;=20),Eingabe!$B$12,"")</f>
        <v>Sorgenfrei II</v>
      </c>
      <c r="C634" s="20" t="str">
        <f aca="false">IF(AND(Eingabe!$F$12&gt;0,Eingabe!$E$12&gt;=20),Eingabe!$C$12&amp;"-Paz."&amp;TEXT(20,"000"),"")</f>
        <v>SF2-Paz.020</v>
      </c>
      <c r="D634" s="20" t="n">
        <f aca="false">IF(AND(Eingabe!$F$12&gt;0,Eingabe!$E$12&gt;=20),20,"")</f>
        <v>20</v>
      </c>
      <c r="E634" s="20" t="n">
        <f aca="false">IF(AND(Eingabe!$F$12&gt;0,Eingabe!$E$12&gt;=20),IF((Eingabe!$G$12)&lt;=9,1000+(Eingabe!$G$12)*100,3000)+20,"")</f>
        <v>1420</v>
      </c>
      <c r="F634" s="20" t="str">
        <f aca="false">IF(AND(Eingabe!$F$12&gt;0,Eingabe!$E$12&gt;=20),"10."&amp;Eingabe!$D$12&amp;".20.0/24","")</f>
        <v>10.4.20.0/24</v>
      </c>
      <c r="G634" s="20" t="str">
        <f aca="false">IF(AND(Eingabe!$F$12&gt;0,Eingabe!$E$12&gt;=20),"10."&amp;Eingabe!$D$12&amp;".20.1","")</f>
        <v>10.4.20.1</v>
      </c>
      <c r="H634" s="20" t="str">
        <f aca="false">IF(AND(Eingabe!$F$12&gt;0,Eingabe!$E$12&gt;=20),"10."&amp;Eingabe!$D$12&amp;".20.10 – 10."&amp;Eingabe!$D$12&amp;".20.250","")</f>
        <v>10.4.20.10 – 10.4.20.250</v>
      </c>
      <c r="I634" s="20" t="str">
        <f aca="false">IF(AND(Eingabe!$F$12&gt;0,Eingabe!$E$12&gt;=20),Eingabe!$B$6&amp;"-"&amp;Eingabe!$C$12&amp;"-Pächter","")</f>
        <v>SparteNet.de-SF2-Pächter</v>
      </c>
      <c r="J634" s="20" t="str">
        <f aca="false">IF(AND(Eingabe!$F$12&gt;0,Eingabe!$E$12&gt;=20),"PPSK: Passwort Parzelle 20","")</f>
        <v>PPSK: Passwort Parzelle 20</v>
      </c>
      <c r="K634" s="20" t="str">
        <f aca="false">IF(AND(Eingabe!$F$12&gt;0,Eingabe!$E$12&gt;=20),"1. Gerät: 10."&amp;Eingabe!$D$12&amp;".20.10, 2. Gerät: .11","")</f>
        <v>1. Gerät: 10.4.20.10, 2. Gerät: .11</v>
      </c>
    </row>
    <row r="635" customFormat="false" ht="15" hidden="false" customHeight="false" outlineLevel="0" collapsed="false">
      <c r="A635" s="20" t="n">
        <f aca="false">IF(AND(Eingabe!$F$12&gt;0,Eingabe!$E$12&gt;=21),4,"")</f>
        <v>4</v>
      </c>
      <c r="B635" s="20" t="str">
        <f aca="false">IF(AND(Eingabe!$F$12&gt;0,Eingabe!$E$12&gt;=21),Eingabe!$B$12,"")</f>
        <v>Sorgenfrei II</v>
      </c>
      <c r="C635" s="20" t="str">
        <f aca="false">IF(AND(Eingabe!$F$12&gt;0,Eingabe!$E$12&gt;=21),Eingabe!$C$12&amp;"-Paz."&amp;TEXT(21,"000"),"")</f>
        <v>SF2-Paz.021</v>
      </c>
      <c r="D635" s="20" t="n">
        <f aca="false">IF(AND(Eingabe!$F$12&gt;0,Eingabe!$E$12&gt;=21),21,"")</f>
        <v>21</v>
      </c>
      <c r="E635" s="20" t="n">
        <f aca="false">IF(AND(Eingabe!$F$12&gt;0,Eingabe!$E$12&gt;=21),IF((Eingabe!$G$12)&lt;=9,1000+(Eingabe!$G$12)*100,3000)+21,"")</f>
        <v>1421</v>
      </c>
      <c r="F635" s="20" t="str">
        <f aca="false">IF(AND(Eingabe!$F$12&gt;0,Eingabe!$E$12&gt;=21),"10."&amp;Eingabe!$D$12&amp;".21.0/24","")</f>
        <v>10.4.21.0/24</v>
      </c>
      <c r="G635" s="20" t="str">
        <f aca="false">IF(AND(Eingabe!$F$12&gt;0,Eingabe!$E$12&gt;=21),"10."&amp;Eingabe!$D$12&amp;".21.1","")</f>
        <v>10.4.21.1</v>
      </c>
      <c r="H635" s="20" t="str">
        <f aca="false">IF(AND(Eingabe!$F$12&gt;0,Eingabe!$E$12&gt;=21),"10."&amp;Eingabe!$D$12&amp;".21.10 – 10."&amp;Eingabe!$D$12&amp;".21.250","")</f>
        <v>10.4.21.10 – 10.4.21.250</v>
      </c>
      <c r="I635" s="20" t="str">
        <f aca="false">IF(AND(Eingabe!$F$12&gt;0,Eingabe!$E$12&gt;=21),Eingabe!$B$6&amp;"-"&amp;Eingabe!$C$12&amp;"-Pächter","")</f>
        <v>SparteNet.de-SF2-Pächter</v>
      </c>
      <c r="J635" s="20" t="str">
        <f aca="false">IF(AND(Eingabe!$F$12&gt;0,Eingabe!$E$12&gt;=21),"PPSK: Passwort Parzelle 21","")</f>
        <v>PPSK: Passwort Parzelle 21</v>
      </c>
      <c r="K635" s="20" t="str">
        <f aca="false">IF(AND(Eingabe!$F$12&gt;0,Eingabe!$E$12&gt;=21),"1. Gerät: 10."&amp;Eingabe!$D$12&amp;".21.10, 2. Gerät: .11","")</f>
        <v>1. Gerät: 10.4.21.10, 2. Gerät: .11</v>
      </c>
    </row>
    <row r="636" customFormat="false" ht="15" hidden="false" customHeight="false" outlineLevel="0" collapsed="false">
      <c r="A636" s="20" t="n">
        <f aca="false">IF(AND(Eingabe!$F$12&gt;0,Eingabe!$E$12&gt;=22),4,"")</f>
        <v>4</v>
      </c>
      <c r="B636" s="20" t="str">
        <f aca="false">IF(AND(Eingabe!$F$12&gt;0,Eingabe!$E$12&gt;=22),Eingabe!$B$12,"")</f>
        <v>Sorgenfrei II</v>
      </c>
      <c r="C636" s="20" t="str">
        <f aca="false">IF(AND(Eingabe!$F$12&gt;0,Eingabe!$E$12&gt;=22),Eingabe!$C$12&amp;"-Paz."&amp;TEXT(22,"000"),"")</f>
        <v>SF2-Paz.022</v>
      </c>
      <c r="D636" s="20" t="n">
        <f aca="false">IF(AND(Eingabe!$F$12&gt;0,Eingabe!$E$12&gt;=22),22,"")</f>
        <v>22</v>
      </c>
      <c r="E636" s="20" t="n">
        <f aca="false">IF(AND(Eingabe!$F$12&gt;0,Eingabe!$E$12&gt;=22),IF((Eingabe!$G$12)&lt;=9,1000+(Eingabe!$G$12)*100,3000)+22,"")</f>
        <v>1422</v>
      </c>
      <c r="F636" s="20" t="str">
        <f aca="false">IF(AND(Eingabe!$F$12&gt;0,Eingabe!$E$12&gt;=22),"10."&amp;Eingabe!$D$12&amp;".22.0/24","")</f>
        <v>10.4.22.0/24</v>
      </c>
      <c r="G636" s="20" t="str">
        <f aca="false">IF(AND(Eingabe!$F$12&gt;0,Eingabe!$E$12&gt;=22),"10."&amp;Eingabe!$D$12&amp;".22.1","")</f>
        <v>10.4.22.1</v>
      </c>
      <c r="H636" s="20" t="str">
        <f aca="false">IF(AND(Eingabe!$F$12&gt;0,Eingabe!$E$12&gt;=22),"10."&amp;Eingabe!$D$12&amp;".22.10 – 10."&amp;Eingabe!$D$12&amp;".22.250","")</f>
        <v>10.4.22.10 – 10.4.22.250</v>
      </c>
      <c r="I636" s="20" t="str">
        <f aca="false">IF(AND(Eingabe!$F$12&gt;0,Eingabe!$E$12&gt;=22),Eingabe!$B$6&amp;"-"&amp;Eingabe!$C$12&amp;"-Pächter","")</f>
        <v>SparteNet.de-SF2-Pächter</v>
      </c>
      <c r="J636" s="20" t="str">
        <f aca="false">IF(AND(Eingabe!$F$12&gt;0,Eingabe!$E$12&gt;=22),"PPSK: Passwort Parzelle 22","")</f>
        <v>PPSK: Passwort Parzelle 22</v>
      </c>
      <c r="K636" s="20" t="str">
        <f aca="false">IF(AND(Eingabe!$F$12&gt;0,Eingabe!$E$12&gt;=22),"1. Gerät: 10."&amp;Eingabe!$D$12&amp;".22.10, 2. Gerät: .11","")</f>
        <v>1. Gerät: 10.4.22.10, 2. Gerät: .11</v>
      </c>
    </row>
    <row r="637" customFormat="false" ht="15" hidden="false" customHeight="false" outlineLevel="0" collapsed="false">
      <c r="A637" s="20" t="n">
        <f aca="false">IF(AND(Eingabe!$F$12&gt;0,Eingabe!$E$12&gt;=23),4,"")</f>
        <v>4</v>
      </c>
      <c r="B637" s="20" t="str">
        <f aca="false">IF(AND(Eingabe!$F$12&gt;0,Eingabe!$E$12&gt;=23),Eingabe!$B$12,"")</f>
        <v>Sorgenfrei II</v>
      </c>
      <c r="C637" s="20" t="str">
        <f aca="false">IF(AND(Eingabe!$F$12&gt;0,Eingabe!$E$12&gt;=23),Eingabe!$C$12&amp;"-Paz."&amp;TEXT(23,"000"),"")</f>
        <v>SF2-Paz.023</v>
      </c>
      <c r="D637" s="20" t="n">
        <f aca="false">IF(AND(Eingabe!$F$12&gt;0,Eingabe!$E$12&gt;=23),23,"")</f>
        <v>23</v>
      </c>
      <c r="E637" s="20" t="n">
        <f aca="false">IF(AND(Eingabe!$F$12&gt;0,Eingabe!$E$12&gt;=23),IF((Eingabe!$G$12)&lt;=9,1000+(Eingabe!$G$12)*100,3000)+23,"")</f>
        <v>1423</v>
      </c>
      <c r="F637" s="20" t="str">
        <f aca="false">IF(AND(Eingabe!$F$12&gt;0,Eingabe!$E$12&gt;=23),"10."&amp;Eingabe!$D$12&amp;".23.0/24","")</f>
        <v>10.4.23.0/24</v>
      </c>
      <c r="G637" s="20" t="str">
        <f aca="false">IF(AND(Eingabe!$F$12&gt;0,Eingabe!$E$12&gt;=23),"10."&amp;Eingabe!$D$12&amp;".23.1","")</f>
        <v>10.4.23.1</v>
      </c>
      <c r="H637" s="20" t="str">
        <f aca="false">IF(AND(Eingabe!$F$12&gt;0,Eingabe!$E$12&gt;=23),"10."&amp;Eingabe!$D$12&amp;".23.10 – 10."&amp;Eingabe!$D$12&amp;".23.250","")</f>
        <v>10.4.23.10 – 10.4.23.250</v>
      </c>
      <c r="I637" s="20" t="str">
        <f aca="false">IF(AND(Eingabe!$F$12&gt;0,Eingabe!$E$12&gt;=23),Eingabe!$B$6&amp;"-"&amp;Eingabe!$C$12&amp;"-Pächter","")</f>
        <v>SparteNet.de-SF2-Pächter</v>
      </c>
      <c r="J637" s="20" t="str">
        <f aca="false">IF(AND(Eingabe!$F$12&gt;0,Eingabe!$E$12&gt;=23),"PPSK: Passwort Parzelle 23","")</f>
        <v>PPSK: Passwort Parzelle 23</v>
      </c>
      <c r="K637" s="20" t="str">
        <f aca="false">IF(AND(Eingabe!$F$12&gt;0,Eingabe!$E$12&gt;=23),"1. Gerät: 10."&amp;Eingabe!$D$12&amp;".23.10, 2. Gerät: .11","")</f>
        <v>1. Gerät: 10.4.23.10, 2. Gerät: .11</v>
      </c>
    </row>
    <row r="638" customFormat="false" ht="15" hidden="false" customHeight="false" outlineLevel="0" collapsed="false">
      <c r="A638" s="20" t="n">
        <f aca="false">IF(AND(Eingabe!$F$12&gt;0,Eingabe!$E$12&gt;=24),4,"")</f>
        <v>4</v>
      </c>
      <c r="B638" s="20" t="str">
        <f aca="false">IF(AND(Eingabe!$F$12&gt;0,Eingabe!$E$12&gt;=24),Eingabe!$B$12,"")</f>
        <v>Sorgenfrei II</v>
      </c>
      <c r="C638" s="20" t="str">
        <f aca="false">IF(AND(Eingabe!$F$12&gt;0,Eingabe!$E$12&gt;=24),Eingabe!$C$12&amp;"-Paz."&amp;TEXT(24,"000"),"")</f>
        <v>SF2-Paz.024</v>
      </c>
      <c r="D638" s="20" t="n">
        <f aca="false">IF(AND(Eingabe!$F$12&gt;0,Eingabe!$E$12&gt;=24),24,"")</f>
        <v>24</v>
      </c>
      <c r="E638" s="20" t="n">
        <f aca="false">IF(AND(Eingabe!$F$12&gt;0,Eingabe!$E$12&gt;=24),IF((Eingabe!$G$12)&lt;=9,1000+(Eingabe!$G$12)*100,3000)+24,"")</f>
        <v>1424</v>
      </c>
      <c r="F638" s="20" t="str">
        <f aca="false">IF(AND(Eingabe!$F$12&gt;0,Eingabe!$E$12&gt;=24),"10."&amp;Eingabe!$D$12&amp;".24.0/24","")</f>
        <v>10.4.24.0/24</v>
      </c>
      <c r="G638" s="20" t="str">
        <f aca="false">IF(AND(Eingabe!$F$12&gt;0,Eingabe!$E$12&gt;=24),"10."&amp;Eingabe!$D$12&amp;".24.1","")</f>
        <v>10.4.24.1</v>
      </c>
      <c r="H638" s="20" t="str">
        <f aca="false">IF(AND(Eingabe!$F$12&gt;0,Eingabe!$E$12&gt;=24),"10."&amp;Eingabe!$D$12&amp;".24.10 – 10."&amp;Eingabe!$D$12&amp;".24.250","")</f>
        <v>10.4.24.10 – 10.4.24.250</v>
      </c>
      <c r="I638" s="20" t="str">
        <f aca="false">IF(AND(Eingabe!$F$12&gt;0,Eingabe!$E$12&gt;=24),Eingabe!$B$6&amp;"-"&amp;Eingabe!$C$12&amp;"-Pächter","")</f>
        <v>SparteNet.de-SF2-Pächter</v>
      </c>
      <c r="J638" s="20" t="str">
        <f aca="false">IF(AND(Eingabe!$F$12&gt;0,Eingabe!$E$12&gt;=24),"PPSK: Passwort Parzelle 24","")</f>
        <v>PPSK: Passwort Parzelle 24</v>
      </c>
      <c r="K638" s="20" t="str">
        <f aca="false">IF(AND(Eingabe!$F$12&gt;0,Eingabe!$E$12&gt;=24),"1. Gerät: 10."&amp;Eingabe!$D$12&amp;".24.10, 2. Gerät: .11","")</f>
        <v>1. Gerät: 10.4.24.10, 2. Gerät: .11</v>
      </c>
    </row>
    <row r="639" customFormat="false" ht="15" hidden="false" customHeight="false" outlineLevel="0" collapsed="false">
      <c r="A639" s="20" t="n">
        <f aca="false">IF(AND(Eingabe!$F$12&gt;0,Eingabe!$E$12&gt;=25),4,"")</f>
        <v>4</v>
      </c>
      <c r="B639" s="20" t="str">
        <f aca="false">IF(AND(Eingabe!$F$12&gt;0,Eingabe!$E$12&gt;=25),Eingabe!$B$12,"")</f>
        <v>Sorgenfrei II</v>
      </c>
      <c r="C639" s="20" t="str">
        <f aca="false">IF(AND(Eingabe!$F$12&gt;0,Eingabe!$E$12&gt;=25),Eingabe!$C$12&amp;"-Paz."&amp;TEXT(25,"000"),"")</f>
        <v>SF2-Paz.025</v>
      </c>
      <c r="D639" s="20" t="n">
        <f aca="false">IF(AND(Eingabe!$F$12&gt;0,Eingabe!$E$12&gt;=25),25,"")</f>
        <v>25</v>
      </c>
      <c r="E639" s="20" t="n">
        <f aca="false">IF(AND(Eingabe!$F$12&gt;0,Eingabe!$E$12&gt;=25),IF((Eingabe!$G$12)&lt;=9,1000+(Eingabe!$G$12)*100,3000)+25,"")</f>
        <v>1425</v>
      </c>
      <c r="F639" s="20" t="str">
        <f aca="false">IF(AND(Eingabe!$F$12&gt;0,Eingabe!$E$12&gt;=25),"10."&amp;Eingabe!$D$12&amp;".25.0/24","")</f>
        <v>10.4.25.0/24</v>
      </c>
      <c r="G639" s="20" t="str">
        <f aca="false">IF(AND(Eingabe!$F$12&gt;0,Eingabe!$E$12&gt;=25),"10."&amp;Eingabe!$D$12&amp;".25.1","")</f>
        <v>10.4.25.1</v>
      </c>
      <c r="H639" s="20" t="str">
        <f aca="false">IF(AND(Eingabe!$F$12&gt;0,Eingabe!$E$12&gt;=25),"10."&amp;Eingabe!$D$12&amp;".25.10 – 10."&amp;Eingabe!$D$12&amp;".25.250","")</f>
        <v>10.4.25.10 – 10.4.25.250</v>
      </c>
      <c r="I639" s="20" t="str">
        <f aca="false">IF(AND(Eingabe!$F$12&gt;0,Eingabe!$E$12&gt;=25),Eingabe!$B$6&amp;"-"&amp;Eingabe!$C$12&amp;"-Pächter","")</f>
        <v>SparteNet.de-SF2-Pächter</v>
      </c>
      <c r="J639" s="20" t="str">
        <f aca="false">IF(AND(Eingabe!$F$12&gt;0,Eingabe!$E$12&gt;=25),"PPSK: Passwort Parzelle 25","")</f>
        <v>PPSK: Passwort Parzelle 25</v>
      </c>
      <c r="K639" s="20" t="str">
        <f aca="false">IF(AND(Eingabe!$F$12&gt;0,Eingabe!$E$12&gt;=25),"1. Gerät: 10."&amp;Eingabe!$D$12&amp;".25.10, 2. Gerät: .11","")</f>
        <v>1. Gerät: 10.4.25.10, 2. Gerät: .11</v>
      </c>
    </row>
    <row r="640" customFormat="false" ht="15" hidden="false" customHeight="false" outlineLevel="0" collapsed="false">
      <c r="A640" s="20" t="n">
        <f aca="false">IF(AND(Eingabe!$F$12&gt;0,Eingabe!$E$12&gt;=26),4,"")</f>
        <v>4</v>
      </c>
      <c r="B640" s="20" t="str">
        <f aca="false">IF(AND(Eingabe!$F$12&gt;0,Eingabe!$E$12&gt;=26),Eingabe!$B$12,"")</f>
        <v>Sorgenfrei II</v>
      </c>
      <c r="C640" s="20" t="str">
        <f aca="false">IF(AND(Eingabe!$F$12&gt;0,Eingabe!$E$12&gt;=26),Eingabe!$C$12&amp;"-Paz."&amp;TEXT(26,"000"),"")</f>
        <v>SF2-Paz.026</v>
      </c>
      <c r="D640" s="20" t="n">
        <f aca="false">IF(AND(Eingabe!$F$12&gt;0,Eingabe!$E$12&gt;=26),26,"")</f>
        <v>26</v>
      </c>
      <c r="E640" s="20" t="n">
        <f aca="false">IF(AND(Eingabe!$F$12&gt;0,Eingabe!$E$12&gt;=26),IF((Eingabe!$G$12)&lt;=9,1000+(Eingabe!$G$12)*100,3000)+26,"")</f>
        <v>1426</v>
      </c>
      <c r="F640" s="20" t="str">
        <f aca="false">IF(AND(Eingabe!$F$12&gt;0,Eingabe!$E$12&gt;=26),"10."&amp;Eingabe!$D$12&amp;".26.0/24","")</f>
        <v>10.4.26.0/24</v>
      </c>
      <c r="G640" s="20" t="str">
        <f aca="false">IF(AND(Eingabe!$F$12&gt;0,Eingabe!$E$12&gt;=26),"10."&amp;Eingabe!$D$12&amp;".26.1","")</f>
        <v>10.4.26.1</v>
      </c>
      <c r="H640" s="20" t="str">
        <f aca="false">IF(AND(Eingabe!$F$12&gt;0,Eingabe!$E$12&gt;=26),"10."&amp;Eingabe!$D$12&amp;".26.10 – 10."&amp;Eingabe!$D$12&amp;".26.250","")</f>
        <v>10.4.26.10 – 10.4.26.250</v>
      </c>
      <c r="I640" s="20" t="str">
        <f aca="false">IF(AND(Eingabe!$F$12&gt;0,Eingabe!$E$12&gt;=26),Eingabe!$B$6&amp;"-"&amp;Eingabe!$C$12&amp;"-Pächter","")</f>
        <v>SparteNet.de-SF2-Pächter</v>
      </c>
      <c r="J640" s="20" t="str">
        <f aca="false">IF(AND(Eingabe!$F$12&gt;0,Eingabe!$E$12&gt;=26),"PPSK: Passwort Parzelle 26","")</f>
        <v>PPSK: Passwort Parzelle 26</v>
      </c>
      <c r="K640" s="20" t="str">
        <f aca="false">IF(AND(Eingabe!$F$12&gt;0,Eingabe!$E$12&gt;=26),"1. Gerät: 10."&amp;Eingabe!$D$12&amp;".26.10, 2. Gerät: .11","")</f>
        <v>1. Gerät: 10.4.26.10, 2. Gerät: .11</v>
      </c>
    </row>
    <row r="641" customFormat="false" ht="15" hidden="false" customHeight="false" outlineLevel="0" collapsed="false">
      <c r="A641" s="20" t="n">
        <f aca="false">IF(AND(Eingabe!$F$12&gt;0,Eingabe!$E$12&gt;=27),4,"")</f>
        <v>4</v>
      </c>
      <c r="B641" s="20" t="str">
        <f aca="false">IF(AND(Eingabe!$F$12&gt;0,Eingabe!$E$12&gt;=27),Eingabe!$B$12,"")</f>
        <v>Sorgenfrei II</v>
      </c>
      <c r="C641" s="20" t="str">
        <f aca="false">IF(AND(Eingabe!$F$12&gt;0,Eingabe!$E$12&gt;=27),Eingabe!$C$12&amp;"-Paz."&amp;TEXT(27,"000"),"")</f>
        <v>SF2-Paz.027</v>
      </c>
      <c r="D641" s="20" t="n">
        <f aca="false">IF(AND(Eingabe!$F$12&gt;0,Eingabe!$E$12&gt;=27),27,"")</f>
        <v>27</v>
      </c>
      <c r="E641" s="20" t="n">
        <f aca="false">IF(AND(Eingabe!$F$12&gt;0,Eingabe!$E$12&gt;=27),IF((Eingabe!$G$12)&lt;=9,1000+(Eingabe!$G$12)*100,3000)+27,"")</f>
        <v>1427</v>
      </c>
      <c r="F641" s="20" t="str">
        <f aca="false">IF(AND(Eingabe!$F$12&gt;0,Eingabe!$E$12&gt;=27),"10."&amp;Eingabe!$D$12&amp;".27.0/24","")</f>
        <v>10.4.27.0/24</v>
      </c>
      <c r="G641" s="20" t="str">
        <f aca="false">IF(AND(Eingabe!$F$12&gt;0,Eingabe!$E$12&gt;=27),"10."&amp;Eingabe!$D$12&amp;".27.1","")</f>
        <v>10.4.27.1</v>
      </c>
      <c r="H641" s="20" t="str">
        <f aca="false">IF(AND(Eingabe!$F$12&gt;0,Eingabe!$E$12&gt;=27),"10."&amp;Eingabe!$D$12&amp;".27.10 – 10."&amp;Eingabe!$D$12&amp;".27.250","")</f>
        <v>10.4.27.10 – 10.4.27.250</v>
      </c>
      <c r="I641" s="20" t="str">
        <f aca="false">IF(AND(Eingabe!$F$12&gt;0,Eingabe!$E$12&gt;=27),Eingabe!$B$6&amp;"-"&amp;Eingabe!$C$12&amp;"-Pächter","")</f>
        <v>SparteNet.de-SF2-Pächter</v>
      </c>
      <c r="J641" s="20" t="str">
        <f aca="false">IF(AND(Eingabe!$F$12&gt;0,Eingabe!$E$12&gt;=27),"PPSK: Passwort Parzelle 27","")</f>
        <v>PPSK: Passwort Parzelle 27</v>
      </c>
      <c r="K641" s="20" t="str">
        <f aca="false">IF(AND(Eingabe!$F$12&gt;0,Eingabe!$E$12&gt;=27),"1. Gerät: 10."&amp;Eingabe!$D$12&amp;".27.10, 2. Gerät: .11","")</f>
        <v>1. Gerät: 10.4.27.10, 2. Gerät: .11</v>
      </c>
    </row>
    <row r="642" customFormat="false" ht="15" hidden="false" customHeight="false" outlineLevel="0" collapsed="false">
      <c r="A642" s="20" t="n">
        <f aca="false">IF(AND(Eingabe!$F$12&gt;0,Eingabe!$E$12&gt;=28),4,"")</f>
        <v>4</v>
      </c>
      <c r="B642" s="20" t="str">
        <f aca="false">IF(AND(Eingabe!$F$12&gt;0,Eingabe!$E$12&gt;=28),Eingabe!$B$12,"")</f>
        <v>Sorgenfrei II</v>
      </c>
      <c r="C642" s="20" t="str">
        <f aca="false">IF(AND(Eingabe!$F$12&gt;0,Eingabe!$E$12&gt;=28),Eingabe!$C$12&amp;"-Paz."&amp;TEXT(28,"000"),"")</f>
        <v>SF2-Paz.028</v>
      </c>
      <c r="D642" s="20" t="n">
        <f aca="false">IF(AND(Eingabe!$F$12&gt;0,Eingabe!$E$12&gt;=28),28,"")</f>
        <v>28</v>
      </c>
      <c r="E642" s="20" t="n">
        <f aca="false">IF(AND(Eingabe!$F$12&gt;0,Eingabe!$E$12&gt;=28),IF((Eingabe!$G$12)&lt;=9,1000+(Eingabe!$G$12)*100,3000)+28,"")</f>
        <v>1428</v>
      </c>
      <c r="F642" s="20" t="str">
        <f aca="false">IF(AND(Eingabe!$F$12&gt;0,Eingabe!$E$12&gt;=28),"10."&amp;Eingabe!$D$12&amp;".28.0/24","")</f>
        <v>10.4.28.0/24</v>
      </c>
      <c r="G642" s="20" t="str">
        <f aca="false">IF(AND(Eingabe!$F$12&gt;0,Eingabe!$E$12&gt;=28),"10."&amp;Eingabe!$D$12&amp;".28.1","")</f>
        <v>10.4.28.1</v>
      </c>
      <c r="H642" s="20" t="str">
        <f aca="false">IF(AND(Eingabe!$F$12&gt;0,Eingabe!$E$12&gt;=28),"10."&amp;Eingabe!$D$12&amp;".28.10 – 10."&amp;Eingabe!$D$12&amp;".28.250","")</f>
        <v>10.4.28.10 – 10.4.28.250</v>
      </c>
      <c r="I642" s="20" t="str">
        <f aca="false">IF(AND(Eingabe!$F$12&gt;0,Eingabe!$E$12&gt;=28),Eingabe!$B$6&amp;"-"&amp;Eingabe!$C$12&amp;"-Pächter","")</f>
        <v>SparteNet.de-SF2-Pächter</v>
      </c>
      <c r="J642" s="20" t="str">
        <f aca="false">IF(AND(Eingabe!$F$12&gt;0,Eingabe!$E$12&gt;=28),"PPSK: Passwort Parzelle 28","")</f>
        <v>PPSK: Passwort Parzelle 28</v>
      </c>
      <c r="K642" s="20" t="str">
        <f aca="false">IF(AND(Eingabe!$F$12&gt;0,Eingabe!$E$12&gt;=28),"1. Gerät: 10."&amp;Eingabe!$D$12&amp;".28.10, 2. Gerät: .11","")</f>
        <v>1. Gerät: 10.4.28.10, 2. Gerät: .11</v>
      </c>
    </row>
    <row r="643" customFormat="false" ht="15" hidden="false" customHeight="false" outlineLevel="0" collapsed="false">
      <c r="A643" s="20" t="n">
        <f aca="false">IF(AND(Eingabe!$F$12&gt;0,Eingabe!$E$12&gt;=29),4,"")</f>
        <v>4</v>
      </c>
      <c r="B643" s="20" t="str">
        <f aca="false">IF(AND(Eingabe!$F$12&gt;0,Eingabe!$E$12&gt;=29),Eingabe!$B$12,"")</f>
        <v>Sorgenfrei II</v>
      </c>
      <c r="C643" s="20" t="str">
        <f aca="false">IF(AND(Eingabe!$F$12&gt;0,Eingabe!$E$12&gt;=29),Eingabe!$C$12&amp;"-Paz."&amp;TEXT(29,"000"),"")</f>
        <v>SF2-Paz.029</v>
      </c>
      <c r="D643" s="20" t="n">
        <f aca="false">IF(AND(Eingabe!$F$12&gt;0,Eingabe!$E$12&gt;=29),29,"")</f>
        <v>29</v>
      </c>
      <c r="E643" s="20" t="n">
        <f aca="false">IF(AND(Eingabe!$F$12&gt;0,Eingabe!$E$12&gt;=29),IF((Eingabe!$G$12)&lt;=9,1000+(Eingabe!$G$12)*100,3000)+29,"")</f>
        <v>1429</v>
      </c>
      <c r="F643" s="20" t="str">
        <f aca="false">IF(AND(Eingabe!$F$12&gt;0,Eingabe!$E$12&gt;=29),"10."&amp;Eingabe!$D$12&amp;".29.0/24","")</f>
        <v>10.4.29.0/24</v>
      </c>
      <c r="G643" s="20" t="str">
        <f aca="false">IF(AND(Eingabe!$F$12&gt;0,Eingabe!$E$12&gt;=29),"10."&amp;Eingabe!$D$12&amp;".29.1","")</f>
        <v>10.4.29.1</v>
      </c>
      <c r="H643" s="20" t="str">
        <f aca="false">IF(AND(Eingabe!$F$12&gt;0,Eingabe!$E$12&gt;=29),"10."&amp;Eingabe!$D$12&amp;".29.10 – 10."&amp;Eingabe!$D$12&amp;".29.250","")</f>
        <v>10.4.29.10 – 10.4.29.250</v>
      </c>
      <c r="I643" s="20" t="str">
        <f aca="false">IF(AND(Eingabe!$F$12&gt;0,Eingabe!$E$12&gt;=29),Eingabe!$B$6&amp;"-"&amp;Eingabe!$C$12&amp;"-Pächter","")</f>
        <v>SparteNet.de-SF2-Pächter</v>
      </c>
      <c r="J643" s="20" t="str">
        <f aca="false">IF(AND(Eingabe!$F$12&gt;0,Eingabe!$E$12&gt;=29),"PPSK: Passwort Parzelle 29","")</f>
        <v>PPSK: Passwort Parzelle 29</v>
      </c>
      <c r="K643" s="20" t="str">
        <f aca="false">IF(AND(Eingabe!$F$12&gt;0,Eingabe!$E$12&gt;=29),"1. Gerät: 10."&amp;Eingabe!$D$12&amp;".29.10, 2. Gerät: .11","")</f>
        <v>1. Gerät: 10.4.29.10, 2. Gerät: .11</v>
      </c>
    </row>
    <row r="644" customFormat="false" ht="15" hidden="false" customHeight="false" outlineLevel="0" collapsed="false">
      <c r="A644" s="20" t="n">
        <f aca="false">IF(AND(Eingabe!$F$12&gt;0,Eingabe!$E$12&gt;=30),4,"")</f>
        <v>4</v>
      </c>
      <c r="B644" s="20" t="str">
        <f aca="false">IF(AND(Eingabe!$F$12&gt;0,Eingabe!$E$12&gt;=30),Eingabe!$B$12,"")</f>
        <v>Sorgenfrei II</v>
      </c>
      <c r="C644" s="20" t="str">
        <f aca="false">IF(AND(Eingabe!$F$12&gt;0,Eingabe!$E$12&gt;=30),Eingabe!$C$12&amp;"-Paz."&amp;TEXT(30,"000"),"")</f>
        <v>SF2-Paz.030</v>
      </c>
      <c r="D644" s="20" t="n">
        <f aca="false">IF(AND(Eingabe!$F$12&gt;0,Eingabe!$E$12&gt;=30),30,"")</f>
        <v>30</v>
      </c>
      <c r="E644" s="20" t="n">
        <f aca="false">IF(AND(Eingabe!$F$12&gt;0,Eingabe!$E$12&gt;=30),IF((Eingabe!$G$12)&lt;=9,1000+(Eingabe!$G$12)*100,3000)+30,"")</f>
        <v>1430</v>
      </c>
      <c r="F644" s="20" t="str">
        <f aca="false">IF(AND(Eingabe!$F$12&gt;0,Eingabe!$E$12&gt;=30),"10."&amp;Eingabe!$D$12&amp;".30.0/24","")</f>
        <v>10.4.30.0/24</v>
      </c>
      <c r="G644" s="20" t="str">
        <f aca="false">IF(AND(Eingabe!$F$12&gt;0,Eingabe!$E$12&gt;=30),"10."&amp;Eingabe!$D$12&amp;".30.1","")</f>
        <v>10.4.30.1</v>
      </c>
      <c r="H644" s="20" t="str">
        <f aca="false">IF(AND(Eingabe!$F$12&gt;0,Eingabe!$E$12&gt;=30),"10."&amp;Eingabe!$D$12&amp;".30.10 – 10."&amp;Eingabe!$D$12&amp;".30.250","")</f>
        <v>10.4.30.10 – 10.4.30.250</v>
      </c>
      <c r="I644" s="20" t="str">
        <f aca="false">IF(AND(Eingabe!$F$12&gt;0,Eingabe!$E$12&gt;=30),Eingabe!$B$6&amp;"-"&amp;Eingabe!$C$12&amp;"-Pächter","")</f>
        <v>SparteNet.de-SF2-Pächter</v>
      </c>
      <c r="J644" s="20" t="str">
        <f aca="false">IF(AND(Eingabe!$F$12&gt;0,Eingabe!$E$12&gt;=30),"PPSK: Passwort Parzelle 30","")</f>
        <v>PPSK: Passwort Parzelle 30</v>
      </c>
      <c r="K644" s="20" t="str">
        <f aca="false">IF(AND(Eingabe!$F$12&gt;0,Eingabe!$E$12&gt;=30),"1. Gerät: 10."&amp;Eingabe!$D$12&amp;".30.10, 2. Gerät: .11","")</f>
        <v>1. Gerät: 10.4.30.10, 2. Gerät: .11</v>
      </c>
    </row>
    <row r="645" customFormat="false" ht="15" hidden="false" customHeight="false" outlineLevel="0" collapsed="false">
      <c r="A645" s="20" t="n">
        <f aca="false">IF(AND(Eingabe!$F$12&gt;0,Eingabe!$E$12&gt;=31),4,"")</f>
        <v>4</v>
      </c>
      <c r="B645" s="20" t="str">
        <f aca="false">IF(AND(Eingabe!$F$12&gt;0,Eingabe!$E$12&gt;=31),Eingabe!$B$12,"")</f>
        <v>Sorgenfrei II</v>
      </c>
      <c r="C645" s="20" t="str">
        <f aca="false">IF(AND(Eingabe!$F$12&gt;0,Eingabe!$E$12&gt;=31),Eingabe!$C$12&amp;"-Paz."&amp;TEXT(31,"000"),"")</f>
        <v>SF2-Paz.031</v>
      </c>
      <c r="D645" s="20" t="n">
        <f aca="false">IF(AND(Eingabe!$F$12&gt;0,Eingabe!$E$12&gt;=31),31,"")</f>
        <v>31</v>
      </c>
      <c r="E645" s="20" t="n">
        <f aca="false">IF(AND(Eingabe!$F$12&gt;0,Eingabe!$E$12&gt;=31),IF((Eingabe!$G$12)&lt;=9,1000+(Eingabe!$G$12)*100,3000)+31,"")</f>
        <v>1431</v>
      </c>
      <c r="F645" s="20" t="str">
        <f aca="false">IF(AND(Eingabe!$F$12&gt;0,Eingabe!$E$12&gt;=31),"10."&amp;Eingabe!$D$12&amp;".31.0/24","")</f>
        <v>10.4.31.0/24</v>
      </c>
      <c r="G645" s="20" t="str">
        <f aca="false">IF(AND(Eingabe!$F$12&gt;0,Eingabe!$E$12&gt;=31),"10."&amp;Eingabe!$D$12&amp;".31.1","")</f>
        <v>10.4.31.1</v>
      </c>
      <c r="H645" s="20" t="str">
        <f aca="false">IF(AND(Eingabe!$F$12&gt;0,Eingabe!$E$12&gt;=31),"10."&amp;Eingabe!$D$12&amp;".31.10 – 10."&amp;Eingabe!$D$12&amp;".31.250","")</f>
        <v>10.4.31.10 – 10.4.31.250</v>
      </c>
      <c r="I645" s="20" t="str">
        <f aca="false">IF(AND(Eingabe!$F$12&gt;0,Eingabe!$E$12&gt;=31),Eingabe!$B$6&amp;"-"&amp;Eingabe!$C$12&amp;"-Pächter","")</f>
        <v>SparteNet.de-SF2-Pächter</v>
      </c>
      <c r="J645" s="20" t="str">
        <f aca="false">IF(AND(Eingabe!$F$12&gt;0,Eingabe!$E$12&gt;=31),"PPSK: Passwort Parzelle 31","")</f>
        <v>PPSK: Passwort Parzelle 31</v>
      </c>
      <c r="K645" s="20" t="str">
        <f aca="false">IF(AND(Eingabe!$F$12&gt;0,Eingabe!$E$12&gt;=31),"1. Gerät: 10."&amp;Eingabe!$D$12&amp;".31.10, 2. Gerät: .11","")</f>
        <v>1. Gerät: 10.4.31.10, 2. Gerät: .11</v>
      </c>
    </row>
    <row r="646" customFormat="false" ht="15" hidden="false" customHeight="false" outlineLevel="0" collapsed="false">
      <c r="A646" s="20" t="n">
        <f aca="false">IF(AND(Eingabe!$F$12&gt;0,Eingabe!$E$12&gt;=32),4,"")</f>
        <v>4</v>
      </c>
      <c r="B646" s="20" t="str">
        <f aca="false">IF(AND(Eingabe!$F$12&gt;0,Eingabe!$E$12&gt;=32),Eingabe!$B$12,"")</f>
        <v>Sorgenfrei II</v>
      </c>
      <c r="C646" s="20" t="str">
        <f aca="false">IF(AND(Eingabe!$F$12&gt;0,Eingabe!$E$12&gt;=32),Eingabe!$C$12&amp;"-Paz."&amp;TEXT(32,"000"),"")</f>
        <v>SF2-Paz.032</v>
      </c>
      <c r="D646" s="20" t="n">
        <f aca="false">IF(AND(Eingabe!$F$12&gt;0,Eingabe!$E$12&gt;=32),32,"")</f>
        <v>32</v>
      </c>
      <c r="E646" s="20" t="n">
        <f aca="false">IF(AND(Eingabe!$F$12&gt;0,Eingabe!$E$12&gt;=32),IF((Eingabe!$G$12)&lt;=9,1000+(Eingabe!$G$12)*100,3000)+32,"")</f>
        <v>1432</v>
      </c>
      <c r="F646" s="20" t="str">
        <f aca="false">IF(AND(Eingabe!$F$12&gt;0,Eingabe!$E$12&gt;=32),"10."&amp;Eingabe!$D$12&amp;".32.0/24","")</f>
        <v>10.4.32.0/24</v>
      </c>
      <c r="G646" s="20" t="str">
        <f aca="false">IF(AND(Eingabe!$F$12&gt;0,Eingabe!$E$12&gt;=32),"10."&amp;Eingabe!$D$12&amp;".32.1","")</f>
        <v>10.4.32.1</v>
      </c>
      <c r="H646" s="20" t="str">
        <f aca="false">IF(AND(Eingabe!$F$12&gt;0,Eingabe!$E$12&gt;=32),"10."&amp;Eingabe!$D$12&amp;".32.10 – 10."&amp;Eingabe!$D$12&amp;".32.250","")</f>
        <v>10.4.32.10 – 10.4.32.250</v>
      </c>
      <c r="I646" s="20" t="str">
        <f aca="false">IF(AND(Eingabe!$F$12&gt;0,Eingabe!$E$12&gt;=32),Eingabe!$B$6&amp;"-"&amp;Eingabe!$C$12&amp;"-Pächter","")</f>
        <v>SparteNet.de-SF2-Pächter</v>
      </c>
      <c r="J646" s="20" t="str">
        <f aca="false">IF(AND(Eingabe!$F$12&gt;0,Eingabe!$E$12&gt;=32),"PPSK: Passwort Parzelle 32","")</f>
        <v>PPSK: Passwort Parzelle 32</v>
      </c>
      <c r="K646" s="20" t="str">
        <f aca="false">IF(AND(Eingabe!$F$12&gt;0,Eingabe!$E$12&gt;=32),"1. Gerät: 10."&amp;Eingabe!$D$12&amp;".32.10, 2. Gerät: .11","")</f>
        <v>1. Gerät: 10.4.32.10, 2. Gerät: .11</v>
      </c>
    </row>
    <row r="647" customFormat="false" ht="15" hidden="false" customHeight="false" outlineLevel="0" collapsed="false">
      <c r="A647" s="20" t="n">
        <f aca="false">IF(AND(Eingabe!$F$12&gt;0,Eingabe!$E$12&gt;=33),4,"")</f>
        <v>4</v>
      </c>
      <c r="B647" s="20" t="str">
        <f aca="false">IF(AND(Eingabe!$F$12&gt;0,Eingabe!$E$12&gt;=33),Eingabe!$B$12,"")</f>
        <v>Sorgenfrei II</v>
      </c>
      <c r="C647" s="20" t="str">
        <f aca="false">IF(AND(Eingabe!$F$12&gt;0,Eingabe!$E$12&gt;=33),Eingabe!$C$12&amp;"-Paz."&amp;TEXT(33,"000"),"")</f>
        <v>SF2-Paz.033</v>
      </c>
      <c r="D647" s="20" t="n">
        <f aca="false">IF(AND(Eingabe!$F$12&gt;0,Eingabe!$E$12&gt;=33),33,"")</f>
        <v>33</v>
      </c>
      <c r="E647" s="20" t="n">
        <f aca="false">IF(AND(Eingabe!$F$12&gt;0,Eingabe!$E$12&gt;=33),IF((Eingabe!$G$12)&lt;=9,1000+(Eingabe!$G$12)*100,3000)+33,"")</f>
        <v>1433</v>
      </c>
      <c r="F647" s="20" t="str">
        <f aca="false">IF(AND(Eingabe!$F$12&gt;0,Eingabe!$E$12&gt;=33),"10."&amp;Eingabe!$D$12&amp;".33.0/24","")</f>
        <v>10.4.33.0/24</v>
      </c>
      <c r="G647" s="20" t="str">
        <f aca="false">IF(AND(Eingabe!$F$12&gt;0,Eingabe!$E$12&gt;=33),"10."&amp;Eingabe!$D$12&amp;".33.1","")</f>
        <v>10.4.33.1</v>
      </c>
      <c r="H647" s="20" t="str">
        <f aca="false">IF(AND(Eingabe!$F$12&gt;0,Eingabe!$E$12&gt;=33),"10."&amp;Eingabe!$D$12&amp;".33.10 – 10."&amp;Eingabe!$D$12&amp;".33.250","")</f>
        <v>10.4.33.10 – 10.4.33.250</v>
      </c>
      <c r="I647" s="20" t="str">
        <f aca="false">IF(AND(Eingabe!$F$12&gt;0,Eingabe!$E$12&gt;=33),Eingabe!$B$6&amp;"-"&amp;Eingabe!$C$12&amp;"-Pächter","")</f>
        <v>SparteNet.de-SF2-Pächter</v>
      </c>
      <c r="J647" s="20" t="str">
        <f aca="false">IF(AND(Eingabe!$F$12&gt;0,Eingabe!$E$12&gt;=33),"PPSK: Passwort Parzelle 33","")</f>
        <v>PPSK: Passwort Parzelle 33</v>
      </c>
      <c r="K647" s="20" t="str">
        <f aca="false">IF(AND(Eingabe!$F$12&gt;0,Eingabe!$E$12&gt;=33),"1. Gerät: 10."&amp;Eingabe!$D$12&amp;".33.10, 2. Gerät: .11","")</f>
        <v>1. Gerät: 10.4.33.10, 2. Gerät: .11</v>
      </c>
    </row>
    <row r="648" customFormat="false" ht="15" hidden="false" customHeight="false" outlineLevel="0" collapsed="false">
      <c r="A648" s="20" t="n">
        <f aca="false">IF(AND(Eingabe!$F$12&gt;0,Eingabe!$E$12&gt;=34),4,"")</f>
        <v>4</v>
      </c>
      <c r="B648" s="20" t="str">
        <f aca="false">IF(AND(Eingabe!$F$12&gt;0,Eingabe!$E$12&gt;=34),Eingabe!$B$12,"")</f>
        <v>Sorgenfrei II</v>
      </c>
      <c r="C648" s="20" t="str">
        <f aca="false">IF(AND(Eingabe!$F$12&gt;0,Eingabe!$E$12&gt;=34),Eingabe!$C$12&amp;"-Paz."&amp;TEXT(34,"000"),"")</f>
        <v>SF2-Paz.034</v>
      </c>
      <c r="D648" s="20" t="n">
        <f aca="false">IF(AND(Eingabe!$F$12&gt;0,Eingabe!$E$12&gt;=34),34,"")</f>
        <v>34</v>
      </c>
      <c r="E648" s="20" t="n">
        <f aca="false">IF(AND(Eingabe!$F$12&gt;0,Eingabe!$E$12&gt;=34),IF((Eingabe!$G$12)&lt;=9,1000+(Eingabe!$G$12)*100,3000)+34,"")</f>
        <v>1434</v>
      </c>
      <c r="F648" s="20" t="str">
        <f aca="false">IF(AND(Eingabe!$F$12&gt;0,Eingabe!$E$12&gt;=34),"10."&amp;Eingabe!$D$12&amp;".34.0/24","")</f>
        <v>10.4.34.0/24</v>
      </c>
      <c r="G648" s="20" t="str">
        <f aca="false">IF(AND(Eingabe!$F$12&gt;0,Eingabe!$E$12&gt;=34),"10."&amp;Eingabe!$D$12&amp;".34.1","")</f>
        <v>10.4.34.1</v>
      </c>
      <c r="H648" s="20" t="str">
        <f aca="false">IF(AND(Eingabe!$F$12&gt;0,Eingabe!$E$12&gt;=34),"10."&amp;Eingabe!$D$12&amp;".34.10 – 10."&amp;Eingabe!$D$12&amp;".34.250","")</f>
        <v>10.4.34.10 – 10.4.34.250</v>
      </c>
      <c r="I648" s="20" t="str">
        <f aca="false">IF(AND(Eingabe!$F$12&gt;0,Eingabe!$E$12&gt;=34),Eingabe!$B$6&amp;"-"&amp;Eingabe!$C$12&amp;"-Pächter","")</f>
        <v>SparteNet.de-SF2-Pächter</v>
      </c>
      <c r="J648" s="20" t="str">
        <f aca="false">IF(AND(Eingabe!$F$12&gt;0,Eingabe!$E$12&gt;=34),"PPSK: Passwort Parzelle 34","")</f>
        <v>PPSK: Passwort Parzelle 34</v>
      </c>
      <c r="K648" s="20" t="str">
        <f aca="false">IF(AND(Eingabe!$F$12&gt;0,Eingabe!$E$12&gt;=34),"1. Gerät: 10."&amp;Eingabe!$D$12&amp;".34.10, 2. Gerät: .11","")</f>
        <v>1. Gerät: 10.4.34.10, 2. Gerät: .11</v>
      </c>
    </row>
    <row r="649" customFormat="false" ht="15" hidden="false" customHeight="false" outlineLevel="0" collapsed="false">
      <c r="A649" s="20" t="n">
        <f aca="false">IF(AND(Eingabe!$F$12&gt;0,Eingabe!$E$12&gt;=35),4,"")</f>
        <v>4</v>
      </c>
      <c r="B649" s="20" t="str">
        <f aca="false">IF(AND(Eingabe!$F$12&gt;0,Eingabe!$E$12&gt;=35),Eingabe!$B$12,"")</f>
        <v>Sorgenfrei II</v>
      </c>
      <c r="C649" s="20" t="str">
        <f aca="false">IF(AND(Eingabe!$F$12&gt;0,Eingabe!$E$12&gt;=35),Eingabe!$C$12&amp;"-Paz."&amp;TEXT(35,"000"),"")</f>
        <v>SF2-Paz.035</v>
      </c>
      <c r="D649" s="20" t="n">
        <f aca="false">IF(AND(Eingabe!$F$12&gt;0,Eingabe!$E$12&gt;=35),35,"")</f>
        <v>35</v>
      </c>
      <c r="E649" s="20" t="n">
        <f aca="false">IF(AND(Eingabe!$F$12&gt;0,Eingabe!$E$12&gt;=35),IF((Eingabe!$G$12)&lt;=9,1000+(Eingabe!$G$12)*100,3000)+35,"")</f>
        <v>1435</v>
      </c>
      <c r="F649" s="20" t="str">
        <f aca="false">IF(AND(Eingabe!$F$12&gt;0,Eingabe!$E$12&gt;=35),"10."&amp;Eingabe!$D$12&amp;".35.0/24","")</f>
        <v>10.4.35.0/24</v>
      </c>
      <c r="G649" s="20" t="str">
        <f aca="false">IF(AND(Eingabe!$F$12&gt;0,Eingabe!$E$12&gt;=35),"10."&amp;Eingabe!$D$12&amp;".35.1","")</f>
        <v>10.4.35.1</v>
      </c>
      <c r="H649" s="20" t="str">
        <f aca="false">IF(AND(Eingabe!$F$12&gt;0,Eingabe!$E$12&gt;=35),"10."&amp;Eingabe!$D$12&amp;".35.10 – 10."&amp;Eingabe!$D$12&amp;".35.250","")</f>
        <v>10.4.35.10 – 10.4.35.250</v>
      </c>
      <c r="I649" s="20" t="str">
        <f aca="false">IF(AND(Eingabe!$F$12&gt;0,Eingabe!$E$12&gt;=35),Eingabe!$B$6&amp;"-"&amp;Eingabe!$C$12&amp;"-Pächter","")</f>
        <v>SparteNet.de-SF2-Pächter</v>
      </c>
      <c r="J649" s="20" t="str">
        <f aca="false">IF(AND(Eingabe!$F$12&gt;0,Eingabe!$E$12&gt;=35),"PPSK: Passwort Parzelle 35","")</f>
        <v>PPSK: Passwort Parzelle 35</v>
      </c>
      <c r="K649" s="20" t="str">
        <f aca="false">IF(AND(Eingabe!$F$12&gt;0,Eingabe!$E$12&gt;=35),"1. Gerät: 10."&amp;Eingabe!$D$12&amp;".35.10, 2. Gerät: .11","")</f>
        <v>1. Gerät: 10.4.35.10, 2. Gerät: .11</v>
      </c>
    </row>
    <row r="650" customFormat="false" ht="15" hidden="false" customHeight="false" outlineLevel="0" collapsed="false">
      <c r="A650" s="20" t="n">
        <f aca="false">IF(AND(Eingabe!$F$12&gt;0,Eingabe!$E$12&gt;=36),4,"")</f>
        <v>4</v>
      </c>
      <c r="B650" s="20" t="str">
        <f aca="false">IF(AND(Eingabe!$F$12&gt;0,Eingabe!$E$12&gt;=36),Eingabe!$B$12,"")</f>
        <v>Sorgenfrei II</v>
      </c>
      <c r="C650" s="20" t="str">
        <f aca="false">IF(AND(Eingabe!$F$12&gt;0,Eingabe!$E$12&gt;=36),Eingabe!$C$12&amp;"-Paz."&amp;TEXT(36,"000"),"")</f>
        <v>SF2-Paz.036</v>
      </c>
      <c r="D650" s="20" t="n">
        <f aca="false">IF(AND(Eingabe!$F$12&gt;0,Eingabe!$E$12&gt;=36),36,"")</f>
        <v>36</v>
      </c>
      <c r="E650" s="20" t="n">
        <f aca="false">IF(AND(Eingabe!$F$12&gt;0,Eingabe!$E$12&gt;=36),IF((Eingabe!$G$12)&lt;=9,1000+(Eingabe!$G$12)*100,3000)+36,"")</f>
        <v>1436</v>
      </c>
      <c r="F650" s="20" t="str">
        <f aca="false">IF(AND(Eingabe!$F$12&gt;0,Eingabe!$E$12&gt;=36),"10."&amp;Eingabe!$D$12&amp;".36.0/24","")</f>
        <v>10.4.36.0/24</v>
      </c>
      <c r="G650" s="20" t="str">
        <f aca="false">IF(AND(Eingabe!$F$12&gt;0,Eingabe!$E$12&gt;=36),"10."&amp;Eingabe!$D$12&amp;".36.1","")</f>
        <v>10.4.36.1</v>
      </c>
      <c r="H650" s="20" t="str">
        <f aca="false">IF(AND(Eingabe!$F$12&gt;0,Eingabe!$E$12&gt;=36),"10."&amp;Eingabe!$D$12&amp;".36.10 – 10."&amp;Eingabe!$D$12&amp;".36.250","")</f>
        <v>10.4.36.10 – 10.4.36.250</v>
      </c>
      <c r="I650" s="20" t="str">
        <f aca="false">IF(AND(Eingabe!$F$12&gt;0,Eingabe!$E$12&gt;=36),Eingabe!$B$6&amp;"-"&amp;Eingabe!$C$12&amp;"-Pächter","")</f>
        <v>SparteNet.de-SF2-Pächter</v>
      </c>
      <c r="J650" s="20" t="str">
        <f aca="false">IF(AND(Eingabe!$F$12&gt;0,Eingabe!$E$12&gt;=36),"PPSK: Passwort Parzelle 36","")</f>
        <v>PPSK: Passwort Parzelle 36</v>
      </c>
      <c r="K650" s="20" t="str">
        <f aca="false">IF(AND(Eingabe!$F$12&gt;0,Eingabe!$E$12&gt;=36),"1. Gerät: 10."&amp;Eingabe!$D$12&amp;".36.10, 2. Gerät: .11","")</f>
        <v>1. Gerät: 10.4.36.10, 2. Gerät: .11</v>
      </c>
    </row>
    <row r="651" customFormat="false" ht="15" hidden="false" customHeight="false" outlineLevel="0" collapsed="false">
      <c r="A651" s="20" t="n">
        <f aca="false">IF(AND(Eingabe!$F$12&gt;0,Eingabe!$E$12&gt;=37),4,"")</f>
        <v>4</v>
      </c>
      <c r="B651" s="20" t="str">
        <f aca="false">IF(AND(Eingabe!$F$12&gt;0,Eingabe!$E$12&gt;=37),Eingabe!$B$12,"")</f>
        <v>Sorgenfrei II</v>
      </c>
      <c r="C651" s="20" t="str">
        <f aca="false">IF(AND(Eingabe!$F$12&gt;0,Eingabe!$E$12&gt;=37),Eingabe!$C$12&amp;"-Paz."&amp;TEXT(37,"000"),"")</f>
        <v>SF2-Paz.037</v>
      </c>
      <c r="D651" s="20" t="n">
        <f aca="false">IF(AND(Eingabe!$F$12&gt;0,Eingabe!$E$12&gt;=37),37,"")</f>
        <v>37</v>
      </c>
      <c r="E651" s="20" t="n">
        <f aca="false">IF(AND(Eingabe!$F$12&gt;0,Eingabe!$E$12&gt;=37),IF((Eingabe!$G$12)&lt;=9,1000+(Eingabe!$G$12)*100,3000)+37,"")</f>
        <v>1437</v>
      </c>
      <c r="F651" s="20" t="str">
        <f aca="false">IF(AND(Eingabe!$F$12&gt;0,Eingabe!$E$12&gt;=37),"10."&amp;Eingabe!$D$12&amp;".37.0/24","")</f>
        <v>10.4.37.0/24</v>
      </c>
      <c r="G651" s="20" t="str">
        <f aca="false">IF(AND(Eingabe!$F$12&gt;0,Eingabe!$E$12&gt;=37),"10."&amp;Eingabe!$D$12&amp;".37.1","")</f>
        <v>10.4.37.1</v>
      </c>
      <c r="H651" s="20" t="str">
        <f aca="false">IF(AND(Eingabe!$F$12&gt;0,Eingabe!$E$12&gt;=37),"10."&amp;Eingabe!$D$12&amp;".37.10 – 10."&amp;Eingabe!$D$12&amp;".37.250","")</f>
        <v>10.4.37.10 – 10.4.37.250</v>
      </c>
      <c r="I651" s="20" t="str">
        <f aca="false">IF(AND(Eingabe!$F$12&gt;0,Eingabe!$E$12&gt;=37),Eingabe!$B$6&amp;"-"&amp;Eingabe!$C$12&amp;"-Pächter","")</f>
        <v>SparteNet.de-SF2-Pächter</v>
      </c>
      <c r="J651" s="20" t="str">
        <f aca="false">IF(AND(Eingabe!$F$12&gt;0,Eingabe!$E$12&gt;=37),"PPSK: Passwort Parzelle 37","")</f>
        <v>PPSK: Passwort Parzelle 37</v>
      </c>
      <c r="K651" s="20" t="str">
        <f aca="false">IF(AND(Eingabe!$F$12&gt;0,Eingabe!$E$12&gt;=37),"1. Gerät: 10."&amp;Eingabe!$D$12&amp;".37.10, 2. Gerät: .11","")</f>
        <v>1. Gerät: 10.4.37.10, 2. Gerät: .11</v>
      </c>
    </row>
    <row r="652" customFormat="false" ht="15" hidden="false" customHeight="false" outlineLevel="0" collapsed="false">
      <c r="A652" s="20" t="n">
        <f aca="false">IF(AND(Eingabe!$F$12&gt;0,Eingabe!$E$12&gt;=38),4,"")</f>
        <v>4</v>
      </c>
      <c r="B652" s="20" t="str">
        <f aca="false">IF(AND(Eingabe!$F$12&gt;0,Eingabe!$E$12&gt;=38),Eingabe!$B$12,"")</f>
        <v>Sorgenfrei II</v>
      </c>
      <c r="C652" s="20" t="str">
        <f aca="false">IF(AND(Eingabe!$F$12&gt;0,Eingabe!$E$12&gt;=38),Eingabe!$C$12&amp;"-Paz."&amp;TEXT(38,"000"),"")</f>
        <v>SF2-Paz.038</v>
      </c>
      <c r="D652" s="20" t="n">
        <f aca="false">IF(AND(Eingabe!$F$12&gt;0,Eingabe!$E$12&gt;=38),38,"")</f>
        <v>38</v>
      </c>
      <c r="E652" s="20" t="n">
        <f aca="false">IF(AND(Eingabe!$F$12&gt;0,Eingabe!$E$12&gt;=38),IF((Eingabe!$G$12)&lt;=9,1000+(Eingabe!$G$12)*100,3000)+38,"")</f>
        <v>1438</v>
      </c>
      <c r="F652" s="20" t="str">
        <f aca="false">IF(AND(Eingabe!$F$12&gt;0,Eingabe!$E$12&gt;=38),"10."&amp;Eingabe!$D$12&amp;".38.0/24","")</f>
        <v>10.4.38.0/24</v>
      </c>
      <c r="G652" s="20" t="str">
        <f aca="false">IF(AND(Eingabe!$F$12&gt;0,Eingabe!$E$12&gt;=38),"10."&amp;Eingabe!$D$12&amp;".38.1","")</f>
        <v>10.4.38.1</v>
      </c>
      <c r="H652" s="20" t="str">
        <f aca="false">IF(AND(Eingabe!$F$12&gt;0,Eingabe!$E$12&gt;=38),"10."&amp;Eingabe!$D$12&amp;".38.10 – 10."&amp;Eingabe!$D$12&amp;".38.250","")</f>
        <v>10.4.38.10 – 10.4.38.250</v>
      </c>
      <c r="I652" s="20" t="str">
        <f aca="false">IF(AND(Eingabe!$F$12&gt;0,Eingabe!$E$12&gt;=38),Eingabe!$B$6&amp;"-"&amp;Eingabe!$C$12&amp;"-Pächter","")</f>
        <v>SparteNet.de-SF2-Pächter</v>
      </c>
      <c r="J652" s="20" t="str">
        <f aca="false">IF(AND(Eingabe!$F$12&gt;0,Eingabe!$E$12&gt;=38),"PPSK: Passwort Parzelle 38","")</f>
        <v>PPSK: Passwort Parzelle 38</v>
      </c>
      <c r="K652" s="20" t="str">
        <f aca="false">IF(AND(Eingabe!$F$12&gt;0,Eingabe!$E$12&gt;=38),"1. Gerät: 10."&amp;Eingabe!$D$12&amp;".38.10, 2. Gerät: .11","")</f>
        <v>1. Gerät: 10.4.38.10, 2. Gerät: .11</v>
      </c>
    </row>
    <row r="653" customFormat="false" ht="15" hidden="false" customHeight="false" outlineLevel="0" collapsed="false">
      <c r="A653" s="20" t="n">
        <f aca="false">IF(AND(Eingabe!$F$12&gt;0,Eingabe!$E$12&gt;=39),4,"")</f>
        <v>4</v>
      </c>
      <c r="B653" s="20" t="str">
        <f aca="false">IF(AND(Eingabe!$F$12&gt;0,Eingabe!$E$12&gt;=39),Eingabe!$B$12,"")</f>
        <v>Sorgenfrei II</v>
      </c>
      <c r="C653" s="20" t="str">
        <f aca="false">IF(AND(Eingabe!$F$12&gt;0,Eingabe!$E$12&gt;=39),Eingabe!$C$12&amp;"-Paz."&amp;TEXT(39,"000"),"")</f>
        <v>SF2-Paz.039</v>
      </c>
      <c r="D653" s="20" t="n">
        <f aca="false">IF(AND(Eingabe!$F$12&gt;0,Eingabe!$E$12&gt;=39),39,"")</f>
        <v>39</v>
      </c>
      <c r="E653" s="20" t="n">
        <f aca="false">IF(AND(Eingabe!$F$12&gt;0,Eingabe!$E$12&gt;=39),IF((Eingabe!$G$12)&lt;=9,1000+(Eingabe!$G$12)*100,3000)+39,"")</f>
        <v>1439</v>
      </c>
      <c r="F653" s="20" t="str">
        <f aca="false">IF(AND(Eingabe!$F$12&gt;0,Eingabe!$E$12&gt;=39),"10."&amp;Eingabe!$D$12&amp;".39.0/24","")</f>
        <v>10.4.39.0/24</v>
      </c>
      <c r="G653" s="20" t="str">
        <f aca="false">IF(AND(Eingabe!$F$12&gt;0,Eingabe!$E$12&gt;=39),"10."&amp;Eingabe!$D$12&amp;".39.1","")</f>
        <v>10.4.39.1</v>
      </c>
      <c r="H653" s="20" t="str">
        <f aca="false">IF(AND(Eingabe!$F$12&gt;0,Eingabe!$E$12&gt;=39),"10."&amp;Eingabe!$D$12&amp;".39.10 – 10."&amp;Eingabe!$D$12&amp;".39.250","")</f>
        <v>10.4.39.10 – 10.4.39.250</v>
      </c>
      <c r="I653" s="20" t="str">
        <f aca="false">IF(AND(Eingabe!$F$12&gt;0,Eingabe!$E$12&gt;=39),Eingabe!$B$6&amp;"-"&amp;Eingabe!$C$12&amp;"-Pächter","")</f>
        <v>SparteNet.de-SF2-Pächter</v>
      </c>
      <c r="J653" s="20" t="str">
        <f aca="false">IF(AND(Eingabe!$F$12&gt;0,Eingabe!$E$12&gt;=39),"PPSK: Passwort Parzelle 39","")</f>
        <v>PPSK: Passwort Parzelle 39</v>
      </c>
      <c r="K653" s="20" t="str">
        <f aca="false">IF(AND(Eingabe!$F$12&gt;0,Eingabe!$E$12&gt;=39),"1. Gerät: 10."&amp;Eingabe!$D$12&amp;".39.10, 2. Gerät: .11","")</f>
        <v>1. Gerät: 10.4.39.10, 2. Gerät: .11</v>
      </c>
    </row>
    <row r="654" customFormat="false" ht="15" hidden="false" customHeight="false" outlineLevel="0" collapsed="false">
      <c r="A654" s="20" t="n">
        <f aca="false">IF(AND(Eingabe!$F$12&gt;0,Eingabe!$E$12&gt;=40),4,"")</f>
        <v>4</v>
      </c>
      <c r="B654" s="20" t="str">
        <f aca="false">IF(AND(Eingabe!$F$12&gt;0,Eingabe!$E$12&gt;=40),Eingabe!$B$12,"")</f>
        <v>Sorgenfrei II</v>
      </c>
      <c r="C654" s="20" t="str">
        <f aca="false">IF(AND(Eingabe!$F$12&gt;0,Eingabe!$E$12&gt;=40),Eingabe!$C$12&amp;"-Paz."&amp;TEXT(40,"000"),"")</f>
        <v>SF2-Paz.040</v>
      </c>
      <c r="D654" s="20" t="n">
        <f aca="false">IF(AND(Eingabe!$F$12&gt;0,Eingabe!$E$12&gt;=40),40,"")</f>
        <v>40</v>
      </c>
      <c r="E654" s="20" t="n">
        <f aca="false">IF(AND(Eingabe!$F$12&gt;0,Eingabe!$E$12&gt;=40),IF((Eingabe!$G$12)&lt;=9,1000+(Eingabe!$G$12)*100,3000)+40,"")</f>
        <v>1440</v>
      </c>
      <c r="F654" s="20" t="str">
        <f aca="false">IF(AND(Eingabe!$F$12&gt;0,Eingabe!$E$12&gt;=40),"10."&amp;Eingabe!$D$12&amp;".40.0/24","")</f>
        <v>10.4.40.0/24</v>
      </c>
      <c r="G654" s="20" t="str">
        <f aca="false">IF(AND(Eingabe!$F$12&gt;0,Eingabe!$E$12&gt;=40),"10."&amp;Eingabe!$D$12&amp;".40.1","")</f>
        <v>10.4.40.1</v>
      </c>
      <c r="H654" s="20" t="str">
        <f aca="false">IF(AND(Eingabe!$F$12&gt;0,Eingabe!$E$12&gt;=40),"10."&amp;Eingabe!$D$12&amp;".40.10 – 10."&amp;Eingabe!$D$12&amp;".40.250","")</f>
        <v>10.4.40.10 – 10.4.40.250</v>
      </c>
      <c r="I654" s="20" t="str">
        <f aca="false">IF(AND(Eingabe!$F$12&gt;0,Eingabe!$E$12&gt;=40),Eingabe!$B$6&amp;"-"&amp;Eingabe!$C$12&amp;"-Pächter","")</f>
        <v>SparteNet.de-SF2-Pächter</v>
      </c>
      <c r="J654" s="20" t="str">
        <f aca="false">IF(AND(Eingabe!$F$12&gt;0,Eingabe!$E$12&gt;=40),"PPSK: Passwort Parzelle 40","")</f>
        <v>PPSK: Passwort Parzelle 40</v>
      </c>
      <c r="K654" s="20" t="str">
        <f aca="false">IF(AND(Eingabe!$F$12&gt;0,Eingabe!$E$12&gt;=40),"1. Gerät: 10."&amp;Eingabe!$D$12&amp;".40.10, 2. Gerät: .11","")</f>
        <v>1. Gerät: 10.4.40.10, 2. Gerät: .11</v>
      </c>
    </row>
    <row r="655" customFormat="false" ht="15" hidden="false" customHeight="false" outlineLevel="0" collapsed="false">
      <c r="A655" s="20" t="n">
        <f aca="false">IF(AND(Eingabe!$F$12&gt;0,Eingabe!$E$12&gt;=41),4,"")</f>
        <v>4</v>
      </c>
      <c r="B655" s="20" t="str">
        <f aca="false">IF(AND(Eingabe!$F$12&gt;0,Eingabe!$E$12&gt;=41),Eingabe!$B$12,"")</f>
        <v>Sorgenfrei II</v>
      </c>
      <c r="C655" s="20" t="str">
        <f aca="false">IF(AND(Eingabe!$F$12&gt;0,Eingabe!$E$12&gt;=41),Eingabe!$C$12&amp;"-Paz."&amp;TEXT(41,"000"),"")</f>
        <v>SF2-Paz.041</v>
      </c>
      <c r="D655" s="20" t="n">
        <f aca="false">IF(AND(Eingabe!$F$12&gt;0,Eingabe!$E$12&gt;=41),41,"")</f>
        <v>41</v>
      </c>
      <c r="E655" s="20" t="n">
        <f aca="false">IF(AND(Eingabe!$F$12&gt;0,Eingabe!$E$12&gt;=41),IF((Eingabe!$G$12)&lt;=9,1000+(Eingabe!$G$12)*100,3000)+41,"")</f>
        <v>1441</v>
      </c>
      <c r="F655" s="20" t="str">
        <f aca="false">IF(AND(Eingabe!$F$12&gt;0,Eingabe!$E$12&gt;=41),"10."&amp;Eingabe!$D$12&amp;".41.0/24","")</f>
        <v>10.4.41.0/24</v>
      </c>
      <c r="G655" s="20" t="str">
        <f aca="false">IF(AND(Eingabe!$F$12&gt;0,Eingabe!$E$12&gt;=41),"10."&amp;Eingabe!$D$12&amp;".41.1","")</f>
        <v>10.4.41.1</v>
      </c>
      <c r="H655" s="20" t="str">
        <f aca="false">IF(AND(Eingabe!$F$12&gt;0,Eingabe!$E$12&gt;=41),"10."&amp;Eingabe!$D$12&amp;".41.10 – 10."&amp;Eingabe!$D$12&amp;".41.250","")</f>
        <v>10.4.41.10 – 10.4.41.250</v>
      </c>
      <c r="I655" s="20" t="str">
        <f aca="false">IF(AND(Eingabe!$F$12&gt;0,Eingabe!$E$12&gt;=41),Eingabe!$B$6&amp;"-"&amp;Eingabe!$C$12&amp;"-Pächter","")</f>
        <v>SparteNet.de-SF2-Pächter</v>
      </c>
      <c r="J655" s="20" t="str">
        <f aca="false">IF(AND(Eingabe!$F$12&gt;0,Eingabe!$E$12&gt;=41),"PPSK: Passwort Parzelle 41","")</f>
        <v>PPSK: Passwort Parzelle 41</v>
      </c>
      <c r="K655" s="20" t="str">
        <f aca="false">IF(AND(Eingabe!$F$12&gt;0,Eingabe!$E$12&gt;=41),"1. Gerät: 10."&amp;Eingabe!$D$12&amp;".41.10, 2. Gerät: .11","")</f>
        <v>1. Gerät: 10.4.41.10, 2. Gerät: .11</v>
      </c>
    </row>
    <row r="656" customFormat="false" ht="15" hidden="false" customHeight="false" outlineLevel="0" collapsed="false">
      <c r="A656" s="20" t="n">
        <f aca="false">IF(AND(Eingabe!$F$12&gt;0,Eingabe!$E$12&gt;=42),4,"")</f>
        <v>4</v>
      </c>
      <c r="B656" s="20" t="str">
        <f aca="false">IF(AND(Eingabe!$F$12&gt;0,Eingabe!$E$12&gt;=42),Eingabe!$B$12,"")</f>
        <v>Sorgenfrei II</v>
      </c>
      <c r="C656" s="20" t="str">
        <f aca="false">IF(AND(Eingabe!$F$12&gt;0,Eingabe!$E$12&gt;=42),Eingabe!$C$12&amp;"-Paz."&amp;TEXT(42,"000"),"")</f>
        <v>SF2-Paz.042</v>
      </c>
      <c r="D656" s="20" t="n">
        <f aca="false">IF(AND(Eingabe!$F$12&gt;0,Eingabe!$E$12&gt;=42),42,"")</f>
        <v>42</v>
      </c>
      <c r="E656" s="20" t="n">
        <f aca="false">IF(AND(Eingabe!$F$12&gt;0,Eingabe!$E$12&gt;=42),IF((Eingabe!$G$12)&lt;=9,1000+(Eingabe!$G$12)*100,3000)+42,"")</f>
        <v>1442</v>
      </c>
      <c r="F656" s="20" t="str">
        <f aca="false">IF(AND(Eingabe!$F$12&gt;0,Eingabe!$E$12&gt;=42),"10."&amp;Eingabe!$D$12&amp;".42.0/24","")</f>
        <v>10.4.42.0/24</v>
      </c>
      <c r="G656" s="20" t="str">
        <f aca="false">IF(AND(Eingabe!$F$12&gt;0,Eingabe!$E$12&gt;=42),"10."&amp;Eingabe!$D$12&amp;".42.1","")</f>
        <v>10.4.42.1</v>
      </c>
      <c r="H656" s="20" t="str">
        <f aca="false">IF(AND(Eingabe!$F$12&gt;0,Eingabe!$E$12&gt;=42),"10."&amp;Eingabe!$D$12&amp;".42.10 – 10."&amp;Eingabe!$D$12&amp;".42.250","")</f>
        <v>10.4.42.10 – 10.4.42.250</v>
      </c>
      <c r="I656" s="20" t="str">
        <f aca="false">IF(AND(Eingabe!$F$12&gt;0,Eingabe!$E$12&gt;=42),Eingabe!$B$6&amp;"-"&amp;Eingabe!$C$12&amp;"-Pächter","")</f>
        <v>SparteNet.de-SF2-Pächter</v>
      </c>
      <c r="J656" s="20" t="str">
        <f aca="false">IF(AND(Eingabe!$F$12&gt;0,Eingabe!$E$12&gt;=42),"PPSK: Passwort Parzelle 42","")</f>
        <v>PPSK: Passwort Parzelle 42</v>
      </c>
      <c r="K656" s="20" t="str">
        <f aca="false">IF(AND(Eingabe!$F$12&gt;0,Eingabe!$E$12&gt;=42),"1. Gerät: 10."&amp;Eingabe!$D$12&amp;".42.10, 2. Gerät: .11","")</f>
        <v>1. Gerät: 10.4.42.10, 2. Gerät: .11</v>
      </c>
    </row>
    <row r="657" customFormat="false" ht="15" hidden="false" customHeight="false" outlineLevel="0" collapsed="false">
      <c r="A657" s="20" t="n">
        <f aca="false">IF(AND(Eingabe!$F$12&gt;0,Eingabe!$E$12&gt;=43),4,"")</f>
        <v>4</v>
      </c>
      <c r="B657" s="20" t="str">
        <f aca="false">IF(AND(Eingabe!$F$12&gt;0,Eingabe!$E$12&gt;=43),Eingabe!$B$12,"")</f>
        <v>Sorgenfrei II</v>
      </c>
      <c r="C657" s="20" t="str">
        <f aca="false">IF(AND(Eingabe!$F$12&gt;0,Eingabe!$E$12&gt;=43),Eingabe!$C$12&amp;"-Paz."&amp;TEXT(43,"000"),"")</f>
        <v>SF2-Paz.043</v>
      </c>
      <c r="D657" s="20" t="n">
        <f aca="false">IF(AND(Eingabe!$F$12&gt;0,Eingabe!$E$12&gt;=43),43,"")</f>
        <v>43</v>
      </c>
      <c r="E657" s="20" t="n">
        <f aca="false">IF(AND(Eingabe!$F$12&gt;0,Eingabe!$E$12&gt;=43),IF((Eingabe!$G$12)&lt;=9,1000+(Eingabe!$G$12)*100,3000)+43,"")</f>
        <v>1443</v>
      </c>
      <c r="F657" s="20" t="str">
        <f aca="false">IF(AND(Eingabe!$F$12&gt;0,Eingabe!$E$12&gt;=43),"10."&amp;Eingabe!$D$12&amp;".43.0/24","")</f>
        <v>10.4.43.0/24</v>
      </c>
      <c r="G657" s="20" t="str">
        <f aca="false">IF(AND(Eingabe!$F$12&gt;0,Eingabe!$E$12&gt;=43),"10."&amp;Eingabe!$D$12&amp;".43.1","")</f>
        <v>10.4.43.1</v>
      </c>
      <c r="H657" s="20" t="str">
        <f aca="false">IF(AND(Eingabe!$F$12&gt;0,Eingabe!$E$12&gt;=43),"10."&amp;Eingabe!$D$12&amp;".43.10 – 10."&amp;Eingabe!$D$12&amp;".43.250","")</f>
        <v>10.4.43.10 – 10.4.43.250</v>
      </c>
      <c r="I657" s="20" t="str">
        <f aca="false">IF(AND(Eingabe!$F$12&gt;0,Eingabe!$E$12&gt;=43),Eingabe!$B$6&amp;"-"&amp;Eingabe!$C$12&amp;"-Pächter","")</f>
        <v>SparteNet.de-SF2-Pächter</v>
      </c>
      <c r="J657" s="20" t="str">
        <f aca="false">IF(AND(Eingabe!$F$12&gt;0,Eingabe!$E$12&gt;=43),"PPSK: Passwort Parzelle 43","")</f>
        <v>PPSK: Passwort Parzelle 43</v>
      </c>
      <c r="K657" s="20" t="str">
        <f aca="false">IF(AND(Eingabe!$F$12&gt;0,Eingabe!$E$12&gt;=43),"1. Gerät: 10."&amp;Eingabe!$D$12&amp;".43.10, 2. Gerät: .11","")</f>
        <v>1. Gerät: 10.4.43.10, 2. Gerät: .11</v>
      </c>
    </row>
    <row r="658" customFormat="false" ht="15" hidden="false" customHeight="false" outlineLevel="0" collapsed="false">
      <c r="A658" s="20" t="n">
        <f aca="false">IF(AND(Eingabe!$F$12&gt;0,Eingabe!$E$12&gt;=44),4,"")</f>
        <v>4</v>
      </c>
      <c r="B658" s="20" t="str">
        <f aca="false">IF(AND(Eingabe!$F$12&gt;0,Eingabe!$E$12&gt;=44),Eingabe!$B$12,"")</f>
        <v>Sorgenfrei II</v>
      </c>
      <c r="C658" s="20" t="str">
        <f aca="false">IF(AND(Eingabe!$F$12&gt;0,Eingabe!$E$12&gt;=44),Eingabe!$C$12&amp;"-Paz."&amp;TEXT(44,"000"),"")</f>
        <v>SF2-Paz.044</v>
      </c>
      <c r="D658" s="20" t="n">
        <f aca="false">IF(AND(Eingabe!$F$12&gt;0,Eingabe!$E$12&gt;=44),44,"")</f>
        <v>44</v>
      </c>
      <c r="E658" s="20" t="n">
        <f aca="false">IF(AND(Eingabe!$F$12&gt;0,Eingabe!$E$12&gt;=44),IF((Eingabe!$G$12)&lt;=9,1000+(Eingabe!$G$12)*100,3000)+44,"")</f>
        <v>1444</v>
      </c>
      <c r="F658" s="20" t="str">
        <f aca="false">IF(AND(Eingabe!$F$12&gt;0,Eingabe!$E$12&gt;=44),"10."&amp;Eingabe!$D$12&amp;".44.0/24","")</f>
        <v>10.4.44.0/24</v>
      </c>
      <c r="G658" s="20" t="str">
        <f aca="false">IF(AND(Eingabe!$F$12&gt;0,Eingabe!$E$12&gt;=44),"10."&amp;Eingabe!$D$12&amp;".44.1","")</f>
        <v>10.4.44.1</v>
      </c>
      <c r="H658" s="20" t="str">
        <f aca="false">IF(AND(Eingabe!$F$12&gt;0,Eingabe!$E$12&gt;=44),"10."&amp;Eingabe!$D$12&amp;".44.10 – 10."&amp;Eingabe!$D$12&amp;".44.250","")</f>
        <v>10.4.44.10 – 10.4.44.250</v>
      </c>
      <c r="I658" s="20" t="str">
        <f aca="false">IF(AND(Eingabe!$F$12&gt;0,Eingabe!$E$12&gt;=44),Eingabe!$B$6&amp;"-"&amp;Eingabe!$C$12&amp;"-Pächter","")</f>
        <v>SparteNet.de-SF2-Pächter</v>
      </c>
      <c r="J658" s="20" t="str">
        <f aca="false">IF(AND(Eingabe!$F$12&gt;0,Eingabe!$E$12&gt;=44),"PPSK: Passwort Parzelle 44","")</f>
        <v>PPSK: Passwort Parzelle 44</v>
      </c>
      <c r="K658" s="20" t="str">
        <f aca="false">IF(AND(Eingabe!$F$12&gt;0,Eingabe!$E$12&gt;=44),"1. Gerät: 10."&amp;Eingabe!$D$12&amp;".44.10, 2. Gerät: .11","")</f>
        <v>1. Gerät: 10.4.44.10, 2. Gerät: .11</v>
      </c>
    </row>
    <row r="659" customFormat="false" ht="15" hidden="false" customHeight="false" outlineLevel="0" collapsed="false">
      <c r="A659" s="20" t="n">
        <f aca="false">IF(AND(Eingabe!$F$12&gt;0,Eingabe!$E$12&gt;=45),4,"")</f>
        <v>4</v>
      </c>
      <c r="B659" s="20" t="str">
        <f aca="false">IF(AND(Eingabe!$F$12&gt;0,Eingabe!$E$12&gt;=45),Eingabe!$B$12,"")</f>
        <v>Sorgenfrei II</v>
      </c>
      <c r="C659" s="20" t="str">
        <f aca="false">IF(AND(Eingabe!$F$12&gt;0,Eingabe!$E$12&gt;=45),Eingabe!$C$12&amp;"-Paz."&amp;TEXT(45,"000"),"")</f>
        <v>SF2-Paz.045</v>
      </c>
      <c r="D659" s="20" t="n">
        <f aca="false">IF(AND(Eingabe!$F$12&gt;0,Eingabe!$E$12&gt;=45),45,"")</f>
        <v>45</v>
      </c>
      <c r="E659" s="20" t="n">
        <f aca="false">IF(AND(Eingabe!$F$12&gt;0,Eingabe!$E$12&gt;=45),IF((Eingabe!$G$12)&lt;=9,1000+(Eingabe!$G$12)*100,3000)+45,"")</f>
        <v>1445</v>
      </c>
      <c r="F659" s="20" t="str">
        <f aca="false">IF(AND(Eingabe!$F$12&gt;0,Eingabe!$E$12&gt;=45),"10."&amp;Eingabe!$D$12&amp;".45.0/24","")</f>
        <v>10.4.45.0/24</v>
      </c>
      <c r="G659" s="20" t="str">
        <f aca="false">IF(AND(Eingabe!$F$12&gt;0,Eingabe!$E$12&gt;=45),"10."&amp;Eingabe!$D$12&amp;".45.1","")</f>
        <v>10.4.45.1</v>
      </c>
      <c r="H659" s="20" t="str">
        <f aca="false">IF(AND(Eingabe!$F$12&gt;0,Eingabe!$E$12&gt;=45),"10."&amp;Eingabe!$D$12&amp;".45.10 – 10."&amp;Eingabe!$D$12&amp;".45.250","")</f>
        <v>10.4.45.10 – 10.4.45.250</v>
      </c>
      <c r="I659" s="20" t="str">
        <f aca="false">IF(AND(Eingabe!$F$12&gt;0,Eingabe!$E$12&gt;=45),Eingabe!$B$6&amp;"-"&amp;Eingabe!$C$12&amp;"-Pächter","")</f>
        <v>SparteNet.de-SF2-Pächter</v>
      </c>
      <c r="J659" s="20" t="str">
        <f aca="false">IF(AND(Eingabe!$F$12&gt;0,Eingabe!$E$12&gt;=45),"PPSK: Passwort Parzelle 45","")</f>
        <v>PPSK: Passwort Parzelle 45</v>
      </c>
      <c r="K659" s="20" t="str">
        <f aca="false">IF(AND(Eingabe!$F$12&gt;0,Eingabe!$E$12&gt;=45),"1. Gerät: 10."&amp;Eingabe!$D$12&amp;".45.10, 2. Gerät: .11","")</f>
        <v>1. Gerät: 10.4.45.10, 2. Gerät: .11</v>
      </c>
    </row>
    <row r="660" customFormat="false" ht="15" hidden="false" customHeight="false" outlineLevel="0" collapsed="false">
      <c r="A660" s="20" t="n">
        <f aca="false">IF(AND(Eingabe!$F$12&gt;0,Eingabe!$E$12&gt;=46),4,"")</f>
        <v>4</v>
      </c>
      <c r="B660" s="20" t="str">
        <f aca="false">IF(AND(Eingabe!$F$12&gt;0,Eingabe!$E$12&gt;=46),Eingabe!$B$12,"")</f>
        <v>Sorgenfrei II</v>
      </c>
      <c r="C660" s="20" t="str">
        <f aca="false">IF(AND(Eingabe!$F$12&gt;0,Eingabe!$E$12&gt;=46),Eingabe!$C$12&amp;"-Paz."&amp;TEXT(46,"000"),"")</f>
        <v>SF2-Paz.046</v>
      </c>
      <c r="D660" s="20" t="n">
        <f aca="false">IF(AND(Eingabe!$F$12&gt;0,Eingabe!$E$12&gt;=46),46,"")</f>
        <v>46</v>
      </c>
      <c r="E660" s="20" t="n">
        <f aca="false">IF(AND(Eingabe!$F$12&gt;0,Eingabe!$E$12&gt;=46),IF((Eingabe!$G$12)&lt;=9,1000+(Eingabe!$G$12)*100,3000)+46,"")</f>
        <v>1446</v>
      </c>
      <c r="F660" s="20" t="str">
        <f aca="false">IF(AND(Eingabe!$F$12&gt;0,Eingabe!$E$12&gt;=46),"10."&amp;Eingabe!$D$12&amp;".46.0/24","")</f>
        <v>10.4.46.0/24</v>
      </c>
      <c r="G660" s="20" t="str">
        <f aca="false">IF(AND(Eingabe!$F$12&gt;0,Eingabe!$E$12&gt;=46),"10."&amp;Eingabe!$D$12&amp;".46.1","")</f>
        <v>10.4.46.1</v>
      </c>
      <c r="H660" s="20" t="str">
        <f aca="false">IF(AND(Eingabe!$F$12&gt;0,Eingabe!$E$12&gt;=46),"10."&amp;Eingabe!$D$12&amp;".46.10 – 10."&amp;Eingabe!$D$12&amp;".46.250","")</f>
        <v>10.4.46.10 – 10.4.46.250</v>
      </c>
      <c r="I660" s="20" t="str">
        <f aca="false">IF(AND(Eingabe!$F$12&gt;0,Eingabe!$E$12&gt;=46),Eingabe!$B$6&amp;"-"&amp;Eingabe!$C$12&amp;"-Pächter","")</f>
        <v>SparteNet.de-SF2-Pächter</v>
      </c>
      <c r="J660" s="20" t="str">
        <f aca="false">IF(AND(Eingabe!$F$12&gt;0,Eingabe!$E$12&gt;=46),"PPSK: Passwort Parzelle 46","")</f>
        <v>PPSK: Passwort Parzelle 46</v>
      </c>
      <c r="K660" s="20" t="str">
        <f aca="false">IF(AND(Eingabe!$F$12&gt;0,Eingabe!$E$12&gt;=46),"1. Gerät: 10."&amp;Eingabe!$D$12&amp;".46.10, 2. Gerät: .11","")</f>
        <v>1. Gerät: 10.4.46.10, 2. Gerät: .11</v>
      </c>
    </row>
    <row r="661" customFormat="false" ht="15" hidden="false" customHeight="false" outlineLevel="0" collapsed="false">
      <c r="A661" s="20" t="n">
        <f aca="false">IF(AND(Eingabe!$F$12&gt;0,Eingabe!$E$12&gt;=47),4,"")</f>
        <v>4</v>
      </c>
      <c r="B661" s="20" t="str">
        <f aca="false">IF(AND(Eingabe!$F$12&gt;0,Eingabe!$E$12&gt;=47),Eingabe!$B$12,"")</f>
        <v>Sorgenfrei II</v>
      </c>
      <c r="C661" s="20" t="str">
        <f aca="false">IF(AND(Eingabe!$F$12&gt;0,Eingabe!$E$12&gt;=47),Eingabe!$C$12&amp;"-Paz."&amp;TEXT(47,"000"),"")</f>
        <v>SF2-Paz.047</v>
      </c>
      <c r="D661" s="20" t="n">
        <f aca="false">IF(AND(Eingabe!$F$12&gt;0,Eingabe!$E$12&gt;=47),47,"")</f>
        <v>47</v>
      </c>
      <c r="E661" s="20" t="n">
        <f aca="false">IF(AND(Eingabe!$F$12&gt;0,Eingabe!$E$12&gt;=47),IF((Eingabe!$G$12)&lt;=9,1000+(Eingabe!$G$12)*100,3000)+47,"")</f>
        <v>1447</v>
      </c>
      <c r="F661" s="20" t="str">
        <f aca="false">IF(AND(Eingabe!$F$12&gt;0,Eingabe!$E$12&gt;=47),"10."&amp;Eingabe!$D$12&amp;".47.0/24","")</f>
        <v>10.4.47.0/24</v>
      </c>
      <c r="G661" s="20" t="str">
        <f aca="false">IF(AND(Eingabe!$F$12&gt;0,Eingabe!$E$12&gt;=47),"10."&amp;Eingabe!$D$12&amp;".47.1","")</f>
        <v>10.4.47.1</v>
      </c>
      <c r="H661" s="20" t="str">
        <f aca="false">IF(AND(Eingabe!$F$12&gt;0,Eingabe!$E$12&gt;=47),"10."&amp;Eingabe!$D$12&amp;".47.10 – 10."&amp;Eingabe!$D$12&amp;".47.250","")</f>
        <v>10.4.47.10 – 10.4.47.250</v>
      </c>
      <c r="I661" s="20" t="str">
        <f aca="false">IF(AND(Eingabe!$F$12&gt;0,Eingabe!$E$12&gt;=47),Eingabe!$B$6&amp;"-"&amp;Eingabe!$C$12&amp;"-Pächter","")</f>
        <v>SparteNet.de-SF2-Pächter</v>
      </c>
      <c r="J661" s="20" t="str">
        <f aca="false">IF(AND(Eingabe!$F$12&gt;0,Eingabe!$E$12&gt;=47),"PPSK: Passwort Parzelle 47","")</f>
        <v>PPSK: Passwort Parzelle 47</v>
      </c>
      <c r="K661" s="20" t="str">
        <f aca="false">IF(AND(Eingabe!$F$12&gt;0,Eingabe!$E$12&gt;=47),"1. Gerät: 10."&amp;Eingabe!$D$12&amp;".47.10, 2. Gerät: .11","")</f>
        <v>1. Gerät: 10.4.47.10, 2. Gerät: .11</v>
      </c>
    </row>
    <row r="662" customFormat="false" ht="15" hidden="false" customHeight="false" outlineLevel="0" collapsed="false">
      <c r="A662" s="20" t="n">
        <f aca="false">IF(AND(Eingabe!$F$12&gt;0,Eingabe!$E$12&gt;=48),4,"")</f>
        <v>4</v>
      </c>
      <c r="B662" s="20" t="str">
        <f aca="false">IF(AND(Eingabe!$F$12&gt;0,Eingabe!$E$12&gt;=48),Eingabe!$B$12,"")</f>
        <v>Sorgenfrei II</v>
      </c>
      <c r="C662" s="20" t="str">
        <f aca="false">IF(AND(Eingabe!$F$12&gt;0,Eingabe!$E$12&gt;=48),Eingabe!$C$12&amp;"-Paz."&amp;TEXT(48,"000"),"")</f>
        <v>SF2-Paz.048</v>
      </c>
      <c r="D662" s="20" t="n">
        <f aca="false">IF(AND(Eingabe!$F$12&gt;0,Eingabe!$E$12&gt;=48),48,"")</f>
        <v>48</v>
      </c>
      <c r="E662" s="20" t="n">
        <f aca="false">IF(AND(Eingabe!$F$12&gt;0,Eingabe!$E$12&gt;=48),IF((Eingabe!$G$12)&lt;=9,1000+(Eingabe!$G$12)*100,3000)+48,"")</f>
        <v>1448</v>
      </c>
      <c r="F662" s="20" t="str">
        <f aca="false">IF(AND(Eingabe!$F$12&gt;0,Eingabe!$E$12&gt;=48),"10."&amp;Eingabe!$D$12&amp;".48.0/24","")</f>
        <v>10.4.48.0/24</v>
      </c>
      <c r="G662" s="20" t="str">
        <f aca="false">IF(AND(Eingabe!$F$12&gt;0,Eingabe!$E$12&gt;=48),"10."&amp;Eingabe!$D$12&amp;".48.1","")</f>
        <v>10.4.48.1</v>
      </c>
      <c r="H662" s="20" t="str">
        <f aca="false">IF(AND(Eingabe!$F$12&gt;0,Eingabe!$E$12&gt;=48),"10."&amp;Eingabe!$D$12&amp;".48.10 – 10."&amp;Eingabe!$D$12&amp;".48.250","")</f>
        <v>10.4.48.10 – 10.4.48.250</v>
      </c>
      <c r="I662" s="20" t="str">
        <f aca="false">IF(AND(Eingabe!$F$12&gt;0,Eingabe!$E$12&gt;=48),Eingabe!$B$6&amp;"-"&amp;Eingabe!$C$12&amp;"-Pächter","")</f>
        <v>SparteNet.de-SF2-Pächter</v>
      </c>
      <c r="J662" s="20" t="str">
        <f aca="false">IF(AND(Eingabe!$F$12&gt;0,Eingabe!$E$12&gt;=48),"PPSK: Passwort Parzelle 48","")</f>
        <v>PPSK: Passwort Parzelle 48</v>
      </c>
      <c r="K662" s="20" t="str">
        <f aca="false">IF(AND(Eingabe!$F$12&gt;0,Eingabe!$E$12&gt;=48),"1. Gerät: 10."&amp;Eingabe!$D$12&amp;".48.10, 2. Gerät: .11","")</f>
        <v>1. Gerät: 10.4.48.10, 2. Gerät: .11</v>
      </c>
    </row>
    <row r="663" customFormat="false" ht="15" hidden="false" customHeight="false" outlineLevel="0" collapsed="false">
      <c r="A663" s="20" t="n">
        <f aca="false">IF(AND(Eingabe!$F$12&gt;0,Eingabe!$E$12&gt;=49),4,"")</f>
        <v>4</v>
      </c>
      <c r="B663" s="20" t="str">
        <f aca="false">IF(AND(Eingabe!$F$12&gt;0,Eingabe!$E$12&gt;=49),Eingabe!$B$12,"")</f>
        <v>Sorgenfrei II</v>
      </c>
      <c r="C663" s="20" t="str">
        <f aca="false">IF(AND(Eingabe!$F$12&gt;0,Eingabe!$E$12&gt;=49),Eingabe!$C$12&amp;"-Paz."&amp;TEXT(49,"000"),"")</f>
        <v>SF2-Paz.049</v>
      </c>
      <c r="D663" s="20" t="n">
        <f aca="false">IF(AND(Eingabe!$F$12&gt;0,Eingabe!$E$12&gt;=49),49,"")</f>
        <v>49</v>
      </c>
      <c r="E663" s="20" t="n">
        <f aca="false">IF(AND(Eingabe!$F$12&gt;0,Eingabe!$E$12&gt;=49),IF((Eingabe!$G$12)&lt;=9,1000+(Eingabe!$G$12)*100,3000)+49,"")</f>
        <v>1449</v>
      </c>
      <c r="F663" s="20" t="str">
        <f aca="false">IF(AND(Eingabe!$F$12&gt;0,Eingabe!$E$12&gt;=49),"10."&amp;Eingabe!$D$12&amp;".49.0/24","")</f>
        <v>10.4.49.0/24</v>
      </c>
      <c r="G663" s="20" t="str">
        <f aca="false">IF(AND(Eingabe!$F$12&gt;0,Eingabe!$E$12&gt;=49),"10."&amp;Eingabe!$D$12&amp;".49.1","")</f>
        <v>10.4.49.1</v>
      </c>
      <c r="H663" s="20" t="str">
        <f aca="false">IF(AND(Eingabe!$F$12&gt;0,Eingabe!$E$12&gt;=49),"10."&amp;Eingabe!$D$12&amp;".49.10 – 10."&amp;Eingabe!$D$12&amp;".49.250","")</f>
        <v>10.4.49.10 – 10.4.49.250</v>
      </c>
      <c r="I663" s="20" t="str">
        <f aca="false">IF(AND(Eingabe!$F$12&gt;0,Eingabe!$E$12&gt;=49),Eingabe!$B$6&amp;"-"&amp;Eingabe!$C$12&amp;"-Pächter","")</f>
        <v>SparteNet.de-SF2-Pächter</v>
      </c>
      <c r="J663" s="20" t="str">
        <f aca="false">IF(AND(Eingabe!$F$12&gt;0,Eingabe!$E$12&gt;=49),"PPSK: Passwort Parzelle 49","")</f>
        <v>PPSK: Passwort Parzelle 49</v>
      </c>
      <c r="K663" s="20" t="str">
        <f aca="false">IF(AND(Eingabe!$F$12&gt;0,Eingabe!$E$12&gt;=49),"1. Gerät: 10."&amp;Eingabe!$D$12&amp;".49.10, 2. Gerät: .11","")</f>
        <v>1. Gerät: 10.4.49.10, 2. Gerät: .11</v>
      </c>
    </row>
    <row r="664" customFormat="false" ht="15" hidden="false" customHeight="false" outlineLevel="0" collapsed="false">
      <c r="A664" s="20" t="n">
        <f aca="false">IF(AND(Eingabe!$F$12&gt;0,Eingabe!$E$12&gt;=50),4,"")</f>
        <v>4</v>
      </c>
      <c r="B664" s="20" t="str">
        <f aca="false">IF(AND(Eingabe!$F$12&gt;0,Eingabe!$E$12&gt;=50),Eingabe!$B$12,"")</f>
        <v>Sorgenfrei II</v>
      </c>
      <c r="C664" s="20" t="str">
        <f aca="false">IF(AND(Eingabe!$F$12&gt;0,Eingabe!$E$12&gt;=50),Eingabe!$C$12&amp;"-Paz."&amp;TEXT(50,"000"),"")</f>
        <v>SF2-Paz.050</v>
      </c>
      <c r="D664" s="20" t="n">
        <f aca="false">IF(AND(Eingabe!$F$12&gt;0,Eingabe!$E$12&gt;=50),50,"")</f>
        <v>50</v>
      </c>
      <c r="E664" s="20" t="n">
        <f aca="false">IF(AND(Eingabe!$F$12&gt;0,Eingabe!$E$12&gt;=50),IF((Eingabe!$G$12)&lt;=9,1000+(Eingabe!$G$12)*100,3000)+50,"")</f>
        <v>1450</v>
      </c>
      <c r="F664" s="20" t="str">
        <f aca="false">IF(AND(Eingabe!$F$12&gt;0,Eingabe!$E$12&gt;=50),"10."&amp;Eingabe!$D$12&amp;".50.0/24","")</f>
        <v>10.4.50.0/24</v>
      </c>
      <c r="G664" s="20" t="str">
        <f aca="false">IF(AND(Eingabe!$F$12&gt;0,Eingabe!$E$12&gt;=50),"10."&amp;Eingabe!$D$12&amp;".50.1","")</f>
        <v>10.4.50.1</v>
      </c>
      <c r="H664" s="20" t="str">
        <f aca="false">IF(AND(Eingabe!$F$12&gt;0,Eingabe!$E$12&gt;=50),"10."&amp;Eingabe!$D$12&amp;".50.10 – 10."&amp;Eingabe!$D$12&amp;".50.250","")</f>
        <v>10.4.50.10 – 10.4.50.250</v>
      </c>
      <c r="I664" s="20" t="str">
        <f aca="false">IF(AND(Eingabe!$F$12&gt;0,Eingabe!$E$12&gt;=50),Eingabe!$B$6&amp;"-"&amp;Eingabe!$C$12&amp;"-Pächter","")</f>
        <v>SparteNet.de-SF2-Pächter</v>
      </c>
      <c r="J664" s="20" t="str">
        <f aca="false">IF(AND(Eingabe!$F$12&gt;0,Eingabe!$E$12&gt;=50),"PPSK: Passwort Parzelle 50","")</f>
        <v>PPSK: Passwort Parzelle 50</v>
      </c>
      <c r="K664" s="20" t="str">
        <f aca="false">IF(AND(Eingabe!$F$12&gt;0,Eingabe!$E$12&gt;=50),"1. Gerät: 10."&amp;Eingabe!$D$12&amp;".50.10, 2. Gerät: .11","")</f>
        <v>1. Gerät: 10.4.50.10, 2. Gerät: .11</v>
      </c>
    </row>
    <row r="665" customFormat="false" ht="15" hidden="false" customHeight="false" outlineLevel="0" collapsed="false">
      <c r="A665" s="20" t="n">
        <f aca="false">IF(AND(Eingabe!$F$12&gt;0,Eingabe!$E$12&gt;=51),4,"")</f>
        <v>4</v>
      </c>
      <c r="B665" s="20" t="str">
        <f aca="false">IF(AND(Eingabe!$F$12&gt;0,Eingabe!$E$12&gt;=51),Eingabe!$B$12,"")</f>
        <v>Sorgenfrei II</v>
      </c>
      <c r="C665" s="20" t="str">
        <f aca="false">IF(AND(Eingabe!$F$12&gt;0,Eingabe!$E$12&gt;=51),Eingabe!$C$12&amp;"-Paz."&amp;TEXT(51,"000"),"")</f>
        <v>SF2-Paz.051</v>
      </c>
      <c r="D665" s="20" t="n">
        <f aca="false">IF(AND(Eingabe!$F$12&gt;0,Eingabe!$E$12&gt;=51),51,"")</f>
        <v>51</v>
      </c>
      <c r="E665" s="20" t="n">
        <f aca="false">IF(AND(Eingabe!$F$12&gt;0,Eingabe!$E$12&gt;=51),IF((Eingabe!$G$12)&lt;=9,1000+(Eingabe!$G$12)*100,3000)+51,"")</f>
        <v>1451</v>
      </c>
      <c r="F665" s="20" t="str">
        <f aca="false">IF(AND(Eingabe!$F$12&gt;0,Eingabe!$E$12&gt;=51),"10."&amp;Eingabe!$D$12&amp;".51.0/24","")</f>
        <v>10.4.51.0/24</v>
      </c>
      <c r="G665" s="20" t="str">
        <f aca="false">IF(AND(Eingabe!$F$12&gt;0,Eingabe!$E$12&gt;=51),"10."&amp;Eingabe!$D$12&amp;".51.1","")</f>
        <v>10.4.51.1</v>
      </c>
      <c r="H665" s="20" t="str">
        <f aca="false">IF(AND(Eingabe!$F$12&gt;0,Eingabe!$E$12&gt;=51),"10."&amp;Eingabe!$D$12&amp;".51.10 – 10."&amp;Eingabe!$D$12&amp;".51.250","")</f>
        <v>10.4.51.10 – 10.4.51.250</v>
      </c>
      <c r="I665" s="20" t="str">
        <f aca="false">IF(AND(Eingabe!$F$12&gt;0,Eingabe!$E$12&gt;=51),Eingabe!$B$6&amp;"-"&amp;Eingabe!$C$12&amp;"-Pächter","")</f>
        <v>SparteNet.de-SF2-Pächter</v>
      </c>
      <c r="J665" s="20" t="str">
        <f aca="false">IF(AND(Eingabe!$F$12&gt;0,Eingabe!$E$12&gt;=51),"PPSK: Passwort Parzelle 51","")</f>
        <v>PPSK: Passwort Parzelle 51</v>
      </c>
      <c r="K665" s="20" t="str">
        <f aca="false">IF(AND(Eingabe!$F$12&gt;0,Eingabe!$E$12&gt;=51),"1. Gerät: 10."&amp;Eingabe!$D$12&amp;".51.10, 2. Gerät: .11","")</f>
        <v>1. Gerät: 10.4.51.10, 2. Gerät: .11</v>
      </c>
    </row>
    <row r="666" customFormat="false" ht="15" hidden="false" customHeight="false" outlineLevel="0" collapsed="false">
      <c r="A666" s="20" t="n">
        <f aca="false">IF(AND(Eingabe!$F$12&gt;0,Eingabe!$E$12&gt;=52),4,"")</f>
        <v>4</v>
      </c>
      <c r="B666" s="20" t="str">
        <f aca="false">IF(AND(Eingabe!$F$12&gt;0,Eingabe!$E$12&gt;=52),Eingabe!$B$12,"")</f>
        <v>Sorgenfrei II</v>
      </c>
      <c r="C666" s="20" t="str">
        <f aca="false">IF(AND(Eingabe!$F$12&gt;0,Eingabe!$E$12&gt;=52),Eingabe!$C$12&amp;"-Paz."&amp;TEXT(52,"000"),"")</f>
        <v>SF2-Paz.052</v>
      </c>
      <c r="D666" s="20" t="n">
        <f aca="false">IF(AND(Eingabe!$F$12&gt;0,Eingabe!$E$12&gt;=52),52,"")</f>
        <v>52</v>
      </c>
      <c r="E666" s="20" t="n">
        <f aca="false">IF(AND(Eingabe!$F$12&gt;0,Eingabe!$E$12&gt;=52),IF((Eingabe!$G$12)&lt;=9,1000+(Eingabe!$G$12)*100,3000)+52,"")</f>
        <v>1452</v>
      </c>
      <c r="F666" s="20" t="str">
        <f aca="false">IF(AND(Eingabe!$F$12&gt;0,Eingabe!$E$12&gt;=52),"10."&amp;Eingabe!$D$12&amp;".52.0/24","")</f>
        <v>10.4.52.0/24</v>
      </c>
      <c r="G666" s="20" t="str">
        <f aca="false">IF(AND(Eingabe!$F$12&gt;0,Eingabe!$E$12&gt;=52),"10."&amp;Eingabe!$D$12&amp;".52.1","")</f>
        <v>10.4.52.1</v>
      </c>
      <c r="H666" s="20" t="str">
        <f aca="false">IF(AND(Eingabe!$F$12&gt;0,Eingabe!$E$12&gt;=52),"10."&amp;Eingabe!$D$12&amp;".52.10 – 10."&amp;Eingabe!$D$12&amp;".52.250","")</f>
        <v>10.4.52.10 – 10.4.52.250</v>
      </c>
      <c r="I666" s="20" t="str">
        <f aca="false">IF(AND(Eingabe!$F$12&gt;0,Eingabe!$E$12&gt;=52),Eingabe!$B$6&amp;"-"&amp;Eingabe!$C$12&amp;"-Pächter","")</f>
        <v>SparteNet.de-SF2-Pächter</v>
      </c>
      <c r="J666" s="20" t="str">
        <f aca="false">IF(AND(Eingabe!$F$12&gt;0,Eingabe!$E$12&gt;=52),"PPSK: Passwort Parzelle 52","")</f>
        <v>PPSK: Passwort Parzelle 52</v>
      </c>
      <c r="K666" s="20" t="str">
        <f aca="false">IF(AND(Eingabe!$F$12&gt;0,Eingabe!$E$12&gt;=52),"1. Gerät: 10."&amp;Eingabe!$D$12&amp;".52.10, 2. Gerät: .11","")</f>
        <v>1. Gerät: 10.4.52.10, 2. Gerät: .11</v>
      </c>
    </row>
    <row r="667" customFormat="false" ht="15" hidden="false" customHeight="false" outlineLevel="0" collapsed="false">
      <c r="A667" s="20" t="n">
        <f aca="false">IF(AND(Eingabe!$F$12&gt;0,Eingabe!$E$12&gt;=53),4,"")</f>
        <v>4</v>
      </c>
      <c r="B667" s="20" t="str">
        <f aca="false">IF(AND(Eingabe!$F$12&gt;0,Eingabe!$E$12&gt;=53),Eingabe!$B$12,"")</f>
        <v>Sorgenfrei II</v>
      </c>
      <c r="C667" s="20" t="str">
        <f aca="false">IF(AND(Eingabe!$F$12&gt;0,Eingabe!$E$12&gt;=53),Eingabe!$C$12&amp;"-Paz."&amp;TEXT(53,"000"),"")</f>
        <v>SF2-Paz.053</v>
      </c>
      <c r="D667" s="20" t="n">
        <f aca="false">IF(AND(Eingabe!$F$12&gt;0,Eingabe!$E$12&gt;=53),53,"")</f>
        <v>53</v>
      </c>
      <c r="E667" s="20" t="n">
        <f aca="false">IF(AND(Eingabe!$F$12&gt;0,Eingabe!$E$12&gt;=53),IF((Eingabe!$G$12)&lt;=9,1000+(Eingabe!$G$12)*100,3000)+53,"")</f>
        <v>1453</v>
      </c>
      <c r="F667" s="20" t="str">
        <f aca="false">IF(AND(Eingabe!$F$12&gt;0,Eingabe!$E$12&gt;=53),"10."&amp;Eingabe!$D$12&amp;".53.0/24","")</f>
        <v>10.4.53.0/24</v>
      </c>
      <c r="G667" s="20" t="str">
        <f aca="false">IF(AND(Eingabe!$F$12&gt;0,Eingabe!$E$12&gt;=53),"10."&amp;Eingabe!$D$12&amp;".53.1","")</f>
        <v>10.4.53.1</v>
      </c>
      <c r="H667" s="20" t="str">
        <f aca="false">IF(AND(Eingabe!$F$12&gt;0,Eingabe!$E$12&gt;=53),"10."&amp;Eingabe!$D$12&amp;".53.10 – 10."&amp;Eingabe!$D$12&amp;".53.250","")</f>
        <v>10.4.53.10 – 10.4.53.250</v>
      </c>
      <c r="I667" s="20" t="str">
        <f aca="false">IF(AND(Eingabe!$F$12&gt;0,Eingabe!$E$12&gt;=53),Eingabe!$B$6&amp;"-"&amp;Eingabe!$C$12&amp;"-Pächter","")</f>
        <v>SparteNet.de-SF2-Pächter</v>
      </c>
      <c r="J667" s="20" t="str">
        <f aca="false">IF(AND(Eingabe!$F$12&gt;0,Eingabe!$E$12&gt;=53),"PPSK: Passwort Parzelle 53","")</f>
        <v>PPSK: Passwort Parzelle 53</v>
      </c>
      <c r="K667" s="20" t="str">
        <f aca="false">IF(AND(Eingabe!$F$12&gt;0,Eingabe!$E$12&gt;=53),"1. Gerät: 10."&amp;Eingabe!$D$12&amp;".53.10, 2. Gerät: .11","")</f>
        <v>1. Gerät: 10.4.53.10, 2. Gerät: .11</v>
      </c>
    </row>
    <row r="668" customFormat="false" ht="15" hidden="false" customHeight="false" outlineLevel="0" collapsed="false">
      <c r="A668" s="20" t="str">
        <f aca="false">IF(AND(Eingabe!$F$12&gt;0,Eingabe!$E$12&gt;=54),4,"")</f>
        <v/>
      </c>
      <c r="B668" s="20" t="str">
        <f aca="false">IF(AND(Eingabe!$F$12&gt;0,Eingabe!$E$12&gt;=54),Eingabe!$B$12,"")</f>
        <v/>
      </c>
      <c r="C668" s="20" t="str">
        <f aca="false">IF(AND(Eingabe!$F$12&gt;0,Eingabe!$E$12&gt;=54),Eingabe!$C$12&amp;"-Paz."&amp;TEXT(54,"000"),"")</f>
        <v/>
      </c>
      <c r="D668" s="20" t="str">
        <f aca="false">IF(AND(Eingabe!$F$12&gt;0,Eingabe!$E$12&gt;=54),54,"")</f>
        <v/>
      </c>
      <c r="E668" s="20" t="str">
        <f aca="false">IF(AND(Eingabe!$F$12&gt;0,Eingabe!$E$12&gt;=54),IF((Eingabe!$G$12)&lt;=9,1000+(Eingabe!$G$12)*100,3000)+54,"")</f>
        <v/>
      </c>
      <c r="F668" s="20" t="str">
        <f aca="false">IF(AND(Eingabe!$F$12&gt;0,Eingabe!$E$12&gt;=54),"10."&amp;Eingabe!$D$12&amp;".54.0/24","")</f>
        <v/>
      </c>
      <c r="G668" s="20" t="str">
        <f aca="false">IF(AND(Eingabe!$F$12&gt;0,Eingabe!$E$12&gt;=54),"10."&amp;Eingabe!$D$12&amp;".54.1","")</f>
        <v/>
      </c>
      <c r="H668" s="20" t="str">
        <f aca="false">IF(AND(Eingabe!$F$12&gt;0,Eingabe!$E$12&gt;=54),"10."&amp;Eingabe!$D$12&amp;".54.10 – 10."&amp;Eingabe!$D$12&amp;".54.250","")</f>
        <v/>
      </c>
      <c r="I668" s="20" t="str">
        <f aca="false">IF(AND(Eingabe!$F$12&gt;0,Eingabe!$E$12&gt;=54),Eingabe!$B$6&amp;"-"&amp;Eingabe!$C$12&amp;"-Pächter","")</f>
        <v/>
      </c>
      <c r="J668" s="20" t="str">
        <f aca="false">IF(AND(Eingabe!$F$12&gt;0,Eingabe!$E$12&gt;=54),"PPSK: Passwort Parzelle 54","")</f>
        <v/>
      </c>
      <c r="K668" s="20" t="str">
        <f aca="false">IF(AND(Eingabe!$F$12&gt;0,Eingabe!$E$12&gt;=54),"1. Gerät: 10."&amp;Eingabe!$D$12&amp;".54.10, 2. Gerät: .11","")</f>
        <v/>
      </c>
    </row>
    <row r="669" customFormat="false" ht="15" hidden="false" customHeight="false" outlineLevel="0" collapsed="false">
      <c r="A669" s="20" t="str">
        <f aca="false">IF(AND(Eingabe!$F$12&gt;0,Eingabe!$E$12&gt;=55),4,"")</f>
        <v/>
      </c>
      <c r="B669" s="20" t="str">
        <f aca="false">IF(AND(Eingabe!$F$12&gt;0,Eingabe!$E$12&gt;=55),Eingabe!$B$12,"")</f>
        <v/>
      </c>
      <c r="C669" s="20" t="str">
        <f aca="false">IF(AND(Eingabe!$F$12&gt;0,Eingabe!$E$12&gt;=55),Eingabe!$C$12&amp;"-Paz."&amp;TEXT(55,"000"),"")</f>
        <v/>
      </c>
      <c r="D669" s="20" t="str">
        <f aca="false">IF(AND(Eingabe!$F$12&gt;0,Eingabe!$E$12&gt;=55),55,"")</f>
        <v/>
      </c>
      <c r="E669" s="20" t="str">
        <f aca="false">IF(AND(Eingabe!$F$12&gt;0,Eingabe!$E$12&gt;=55),IF((Eingabe!$G$12)&lt;=9,1000+(Eingabe!$G$12)*100,3000)+55,"")</f>
        <v/>
      </c>
      <c r="F669" s="20" t="str">
        <f aca="false">IF(AND(Eingabe!$F$12&gt;0,Eingabe!$E$12&gt;=55),"10."&amp;Eingabe!$D$12&amp;".55.0/24","")</f>
        <v/>
      </c>
      <c r="G669" s="20" t="str">
        <f aca="false">IF(AND(Eingabe!$F$12&gt;0,Eingabe!$E$12&gt;=55),"10."&amp;Eingabe!$D$12&amp;".55.1","")</f>
        <v/>
      </c>
      <c r="H669" s="20" t="str">
        <f aca="false">IF(AND(Eingabe!$F$12&gt;0,Eingabe!$E$12&gt;=55),"10."&amp;Eingabe!$D$12&amp;".55.10 – 10."&amp;Eingabe!$D$12&amp;".55.250","")</f>
        <v/>
      </c>
      <c r="I669" s="20" t="str">
        <f aca="false">IF(AND(Eingabe!$F$12&gt;0,Eingabe!$E$12&gt;=55),Eingabe!$B$6&amp;"-"&amp;Eingabe!$C$12&amp;"-Pächter","")</f>
        <v/>
      </c>
      <c r="J669" s="20" t="str">
        <f aca="false">IF(AND(Eingabe!$F$12&gt;0,Eingabe!$E$12&gt;=55),"PPSK: Passwort Parzelle 55","")</f>
        <v/>
      </c>
      <c r="K669" s="20" t="str">
        <f aca="false">IF(AND(Eingabe!$F$12&gt;0,Eingabe!$E$12&gt;=55),"1. Gerät: 10."&amp;Eingabe!$D$12&amp;".55.10, 2. Gerät: .11","")</f>
        <v/>
      </c>
    </row>
    <row r="670" customFormat="false" ht="15" hidden="false" customHeight="false" outlineLevel="0" collapsed="false">
      <c r="A670" s="20" t="str">
        <f aca="false">IF(AND(Eingabe!$F$12&gt;0,Eingabe!$E$12&gt;=56),4,"")</f>
        <v/>
      </c>
      <c r="B670" s="20" t="str">
        <f aca="false">IF(AND(Eingabe!$F$12&gt;0,Eingabe!$E$12&gt;=56),Eingabe!$B$12,"")</f>
        <v/>
      </c>
      <c r="C670" s="20" t="str">
        <f aca="false">IF(AND(Eingabe!$F$12&gt;0,Eingabe!$E$12&gt;=56),Eingabe!$C$12&amp;"-Paz."&amp;TEXT(56,"000"),"")</f>
        <v/>
      </c>
      <c r="D670" s="20" t="str">
        <f aca="false">IF(AND(Eingabe!$F$12&gt;0,Eingabe!$E$12&gt;=56),56,"")</f>
        <v/>
      </c>
      <c r="E670" s="20" t="str">
        <f aca="false">IF(AND(Eingabe!$F$12&gt;0,Eingabe!$E$12&gt;=56),IF((Eingabe!$G$12)&lt;=9,1000+(Eingabe!$G$12)*100,3000)+56,"")</f>
        <v/>
      </c>
      <c r="F670" s="20" t="str">
        <f aca="false">IF(AND(Eingabe!$F$12&gt;0,Eingabe!$E$12&gt;=56),"10."&amp;Eingabe!$D$12&amp;".56.0/24","")</f>
        <v/>
      </c>
      <c r="G670" s="20" t="str">
        <f aca="false">IF(AND(Eingabe!$F$12&gt;0,Eingabe!$E$12&gt;=56),"10."&amp;Eingabe!$D$12&amp;".56.1","")</f>
        <v/>
      </c>
      <c r="H670" s="20" t="str">
        <f aca="false">IF(AND(Eingabe!$F$12&gt;0,Eingabe!$E$12&gt;=56),"10."&amp;Eingabe!$D$12&amp;".56.10 – 10."&amp;Eingabe!$D$12&amp;".56.250","")</f>
        <v/>
      </c>
      <c r="I670" s="20" t="str">
        <f aca="false">IF(AND(Eingabe!$F$12&gt;0,Eingabe!$E$12&gt;=56),Eingabe!$B$6&amp;"-"&amp;Eingabe!$C$12&amp;"-Pächter","")</f>
        <v/>
      </c>
      <c r="J670" s="20" t="str">
        <f aca="false">IF(AND(Eingabe!$F$12&gt;0,Eingabe!$E$12&gt;=56),"PPSK: Passwort Parzelle 56","")</f>
        <v/>
      </c>
      <c r="K670" s="20" t="str">
        <f aca="false">IF(AND(Eingabe!$F$12&gt;0,Eingabe!$E$12&gt;=56),"1. Gerät: 10."&amp;Eingabe!$D$12&amp;".56.10, 2. Gerät: .11","")</f>
        <v/>
      </c>
    </row>
    <row r="671" customFormat="false" ht="15" hidden="false" customHeight="false" outlineLevel="0" collapsed="false">
      <c r="A671" s="20" t="str">
        <f aca="false">IF(AND(Eingabe!$F$12&gt;0,Eingabe!$E$12&gt;=57),4,"")</f>
        <v/>
      </c>
      <c r="B671" s="20" t="str">
        <f aca="false">IF(AND(Eingabe!$F$12&gt;0,Eingabe!$E$12&gt;=57),Eingabe!$B$12,"")</f>
        <v/>
      </c>
      <c r="C671" s="20" t="str">
        <f aca="false">IF(AND(Eingabe!$F$12&gt;0,Eingabe!$E$12&gt;=57),Eingabe!$C$12&amp;"-Paz."&amp;TEXT(57,"000"),"")</f>
        <v/>
      </c>
      <c r="D671" s="20" t="str">
        <f aca="false">IF(AND(Eingabe!$F$12&gt;0,Eingabe!$E$12&gt;=57),57,"")</f>
        <v/>
      </c>
      <c r="E671" s="20" t="str">
        <f aca="false">IF(AND(Eingabe!$F$12&gt;0,Eingabe!$E$12&gt;=57),IF((Eingabe!$G$12)&lt;=9,1000+(Eingabe!$G$12)*100,3000)+57,"")</f>
        <v/>
      </c>
      <c r="F671" s="20" t="str">
        <f aca="false">IF(AND(Eingabe!$F$12&gt;0,Eingabe!$E$12&gt;=57),"10."&amp;Eingabe!$D$12&amp;".57.0/24","")</f>
        <v/>
      </c>
      <c r="G671" s="20" t="str">
        <f aca="false">IF(AND(Eingabe!$F$12&gt;0,Eingabe!$E$12&gt;=57),"10."&amp;Eingabe!$D$12&amp;".57.1","")</f>
        <v/>
      </c>
      <c r="H671" s="20" t="str">
        <f aca="false">IF(AND(Eingabe!$F$12&gt;0,Eingabe!$E$12&gt;=57),"10."&amp;Eingabe!$D$12&amp;".57.10 – 10."&amp;Eingabe!$D$12&amp;".57.250","")</f>
        <v/>
      </c>
      <c r="I671" s="20" t="str">
        <f aca="false">IF(AND(Eingabe!$F$12&gt;0,Eingabe!$E$12&gt;=57),Eingabe!$B$6&amp;"-"&amp;Eingabe!$C$12&amp;"-Pächter","")</f>
        <v/>
      </c>
      <c r="J671" s="20" t="str">
        <f aca="false">IF(AND(Eingabe!$F$12&gt;0,Eingabe!$E$12&gt;=57),"PPSK: Passwort Parzelle 57","")</f>
        <v/>
      </c>
      <c r="K671" s="20" t="str">
        <f aca="false">IF(AND(Eingabe!$F$12&gt;0,Eingabe!$E$12&gt;=57),"1. Gerät: 10."&amp;Eingabe!$D$12&amp;".57.10, 2. Gerät: .11","")</f>
        <v/>
      </c>
    </row>
    <row r="672" customFormat="false" ht="15" hidden="false" customHeight="false" outlineLevel="0" collapsed="false">
      <c r="A672" s="20" t="str">
        <f aca="false">IF(AND(Eingabe!$F$12&gt;0,Eingabe!$E$12&gt;=58),4,"")</f>
        <v/>
      </c>
      <c r="B672" s="20" t="str">
        <f aca="false">IF(AND(Eingabe!$F$12&gt;0,Eingabe!$E$12&gt;=58),Eingabe!$B$12,"")</f>
        <v/>
      </c>
      <c r="C672" s="20" t="str">
        <f aca="false">IF(AND(Eingabe!$F$12&gt;0,Eingabe!$E$12&gt;=58),Eingabe!$C$12&amp;"-Paz."&amp;TEXT(58,"000"),"")</f>
        <v/>
      </c>
      <c r="D672" s="20" t="str">
        <f aca="false">IF(AND(Eingabe!$F$12&gt;0,Eingabe!$E$12&gt;=58),58,"")</f>
        <v/>
      </c>
      <c r="E672" s="20" t="str">
        <f aca="false">IF(AND(Eingabe!$F$12&gt;0,Eingabe!$E$12&gt;=58),IF((Eingabe!$G$12)&lt;=9,1000+(Eingabe!$G$12)*100,3000)+58,"")</f>
        <v/>
      </c>
      <c r="F672" s="20" t="str">
        <f aca="false">IF(AND(Eingabe!$F$12&gt;0,Eingabe!$E$12&gt;=58),"10."&amp;Eingabe!$D$12&amp;".58.0/24","")</f>
        <v/>
      </c>
      <c r="G672" s="20" t="str">
        <f aca="false">IF(AND(Eingabe!$F$12&gt;0,Eingabe!$E$12&gt;=58),"10."&amp;Eingabe!$D$12&amp;".58.1","")</f>
        <v/>
      </c>
      <c r="H672" s="20" t="str">
        <f aca="false">IF(AND(Eingabe!$F$12&gt;0,Eingabe!$E$12&gt;=58),"10."&amp;Eingabe!$D$12&amp;".58.10 – 10."&amp;Eingabe!$D$12&amp;".58.250","")</f>
        <v/>
      </c>
      <c r="I672" s="20" t="str">
        <f aca="false">IF(AND(Eingabe!$F$12&gt;0,Eingabe!$E$12&gt;=58),Eingabe!$B$6&amp;"-"&amp;Eingabe!$C$12&amp;"-Pächter","")</f>
        <v/>
      </c>
      <c r="J672" s="20" t="str">
        <f aca="false">IF(AND(Eingabe!$F$12&gt;0,Eingabe!$E$12&gt;=58),"PPSK: Passwort Parzelle 58","")</f>
        <v/>
      </c>
      <c r="K672" s="20" t="str">
        <f aca="false">IF(AND(Eingabe!$F$12&gt;0,Eingabe!$E$12&gt;=58),"1. Gerät: 10."&amp;Eingabe!$D$12&amp;".58.10, 2. Gerät: .11","")</f>
        <v/>
      </c>
    </row>
    <row r="673" customFormat="false" ht="15" hidden="false" customHeight="false" outlineLevel="0" collapsed="false">
      <c r="A673" s="20" t="str">
        <f aca="false">IF(AND(Eingabe!$F$12&gt;0,Eingabe!$E$12&gt;=59),4,"")</f>
        <v/>
      </c>
      <c r="B673" s="20" t="str">
        <f aca="false">IF(AND(Eingabe!$F$12&gt;0,Eingabe!$E$12&gt;=59),Eingabe!$B$12,"")</f>
        <v/>
      </c>
      <c r="C673" s="20" t="str">
        <f aca="false">IF(AND(Eingabe!$F$12&gt;0,Eingabe!$E$12&gt;=59),Eingabe!$C$12&amp;"-Paz."&amp;TEXT(59,"000"),"")</f>
        <v/>
      </c>
      <c r="D673" s="20" t="str">
        <f aca="false">IF(AND(Eingabe!$F$12&gt;0,Eingabe!$E$12&gt;=59),59,"")</f>
        <v/>
      </c>
      <c r="E673" s="20" t="str">
        <f aca="false">IF(AND(Eingabe!$F$12&gt;0,Eingabe!$E$12&gt;=59),IF((Eingabe!$G$12)&lt;=9,1000+(Eingabe!$G$12)*100,3000)+59,"")</f>
        <v/>
      </c>
      <c r="F673" s="20" t="str">
        <f aca="false">IF(AND(Eingabe!$F$12&gt;0,Eingabe!$E$12&gt;=59),"10."&amp;Eingabe!$D$12&amp;".59.0/24","")</f>
        <v/>
      </c>
      <c r="G673" s="20" t="str">
        <f aca="false">IF(AND(Eingabe!$F$12&gt;0,Eingabe!$E$12&gt;=59),"10."&amp;Eingabe!$D$12&amp;".59.1","")</f>
        <v/>
      </c>
      <c r="H673" s="20" t="str">
        <f aca="false">IF(AND(Eingabe!$F$12&gt;0,Eingabe!$E$12&gt;=59),"10."&amp;Eingabe!$D$12&amp;".59.10 – 10."&amp;Eingabe!$D$12&amp;".59.250","")</f>
        <v/>
      </c>
      <c r="I673" s="20" t="str">
        <f aca="false">IF(AND(Eingabe!$F$12&gt;0,Eingabe!$E$12&gt;=59),Eingabe!$B$6&amp;"-"&amp;Eingabe!$C$12&amp;"-Pächter","")</f>
        <v/>
      </c>
      <c r="J673" s="20" t="str">
        <f aca="false">IF(AND(Eingabe!$F$12&gt;0,Eingabe!$E$12&gt;=59),"PPSK: Passwort Parzelle 59","")</f>
        <v/>
      </c>
      <c r="K673" s="20" t="str">
        <f aca="false">IF(AND(Eingabe!$F$12&gt;0,Eingabe!$E$12&gt;=59),"1. Gerät: 10."&amp;Eingabe!$D$12&amp;".59.10, 2. Gerät: .11","")</f>
        <v/>
      </c>
    </row>
    <row r="674" customFormat="false" ht="15" hidden="false" customHeight="false" outlineLevel="0" collapsed="false">
      <c r="A674" s="20" t="str">
        <f aca="false">IF(AND(Eingabe!$F$12&gt;0,Eingabe!$E$12&gt;=60),4,"")</f>
        <v/>
      </c>
      <c r="B674" s="20" t="str">
        <f aca="false">IF(AND(Eingabe!$F$12&gt;0,Eingabe!$E$12&gt;=60),Eingabe!$B$12,"")</f>
        <v/>
      </c>
      <c r="C674" s="20" t="str">
        <f aca="false">IF(AND(Eingabe!$F$12&gt;0,Eingabe!$E$12&gt;=60),Eingabe!$C$12&amp;"-Paz."&amp;TEXT(60,"000"),"")</f>
        <v/>
      </c>
      <c r="D674" s="20" t="str">
        <f aca="false">IF(AND(Eingabe!$F$12&gt;0,Eingabe!$E$12&gt;=60),60,"")</f>
        <v/>
      </c>
      <c r="E674" s="20" t="str">
        <f aca="false">IF(AND(Eingabe!$F$12&gt;0,Eingabe!$E$12&gt;=60),IF((Eingabe!$G$12)&lt;=9,1000+(Eingabe!$G$12)*100,3000)+60,"")</f>
        <v/>
      </c>
      <c r="F674" s="20" t="str">
        <f aca="false">IF(AND(Eingabe!$F$12&gt;0,Eingabe!$E$12&gt;=60),"10."&amp;Eingabe!$D$12&amp;".60.0/24","")</f>
        <v/>
      </c>
      <c r="G674" s="20" t="str">
        <f aca="false">IF(AND(Eingabe!$F$12&gt;0,Eingabe!$E$12&gt;=60),"10."&amp;Eingabe!$D$12&amp;".60.1","")</f>
        <v/>
      </c>
      <c r="H674" s="20" t="str">
        <f aca="false">IF(AND(Eingabe!$F$12&gt;0,Eingabe!$E$12&gt;=60),"10."&amp;Eingabe!$D$12&amp;".60.10 – 10."&amp;Eingabe!$D$12&amp;".60.250","")</f>
        <v/>
      </c>
      <c r="I674" s="20" t="str">
        <f aca="false">IF(AND(Eingabe!$F$12&gt;0,Eingabe!$E$12&gt;=60),Eingabe!$B$6&amp;"-"&amp;Eingabe!$C$12&amp;"-Pächter","")</f>
        <v/>
      </c>
      <c r="J674" s="20" t="str">
        <f aca="false">IF(AND(Eingabe!$F$12&gt;0,Eingabe!$E$12&gt;=60),"PPSK: Passwort Parzelle 60","")</f>
        <v/>
      </c>
      <c r="K674" s="20" t="str">
        <f aca="false">IF(AND(Eingabe!$F$12&gt;0,Eingabe!$E$12&gt;=60),"1. Gerät: 10."&amp;Eingabe!$D$12&amp;".60.10, 2. Gerät: .11","")</f>
        <v/>
      </c>
    </row>
    <row r="675" customFormat="false" ht="15" hidden="false" customHeight="false" outlineLevel="0" collapsed="false">
      <c r="A675" s="20" t="str">
        <f aca="false">IF(AND(Eingabe!$F$12&gt;0,Eingabe!$E$12&gt;=61),4,"")</f>
        <v/>
      </c>
      <c r="B675" s="20" t="str">
        <f aca="false">IF(AND(Eingabe!$F$12&gt;0,Eingabe!$E$12&gt;=61),Eingabe!$B$12,"")</f>
        <v/>
      </c>
      <c r="C675" s="20" t="str">
        <f aca="false">IF(AND(Eingabe!$F$12&gt;0,Eingabe!$E$12&gt;=61),Eingabe!$C$12&amp;"-Paz."&amp;TEXT(61,"000"),"")</f>
        <v/>
      </c>
      <c r="D675" s="20" t="str">
        <f aca="false">IF(AND(Eingabe!$F$12&gt;0,Eingabe!$E$12&gt;=61),61,"")</f>
        <v/>
      </c>
      <c r="E675" s="20" t="str">
        <f aca="false">IF(AND(Eingabe!$F$12&gt;0,Eingabe!$E$12&gt;=61),IF((Eingabe!$G$12)&lt;=9,1000+(Eingabe!$G$12)*100,3000)+61,"")</f>
        <v/>
      </c>
      <c r="F675" s="20" t="str">
        <f aca="false">IF(AND(Eingabe!$F$12&gt;0,Eingabe!$E$12&gt;=61),"10."&amp;Eingabe!$D$12&amp;".61.0/24","")</f>
        <v/>
      </c>
      <c r="G675" s="20" t="str">
        <f aca="false">IF(AND(Eingabe!$F$12&gt;0,Eingabe!$E$12&gt;=61),"10."&amp;Eingabe!$D$12&amp;".61.1","")</f>
        <v/>
      </c>
      <c r="H675" s="20" t="str">
        <f aca="false">IF(AND(Eingabe!$F$12&gt;0,Eingabe!$E$12&gt;=61),"10."&amp;Eingabe!$D$12&amp;".61.10 – 10."&amp;Eingabe!$D$12&amp;".61.250","")</f>
        <v/>
      </c>
      <c r="I675" s="20" t="str">
        <f aca="false">IF(AND(Eingabe!$F$12&gt;0,Eingabe!$E$12&gt;=61),Eingabe!$B$6&amp;"-"&amp;Eingabe!$C$12&amp;"-Pächter","")</f>
        <v/>
      </c>
      <c r="J675" s="20" t="str">
        <f aca="false">IF(AND(Eingabe!$F$12&gt;0,Eingabe!$E$12&gt;=61),"PPSK: Passwort Parzelle 61","")</f>
        <v/>
      </c>
      <c r="K675" s="20" t="str">
        <f aca="false">IF(AND(Eingabe!$F$12&gt;0,Eingabe!$E$12&gt;=61),"1. Gerät: 10."&amp;Eingabe!$D$12&amp;".61.10, 2. Gerät: .11","")</f>
        <v/>
      </c>
    </row>
    <row r="676" customFormat="false" ht="15" hidden="false" customHeight="false" outlineLevel="0" collapsed="false">
      <c r="A676" s="20" t="str">
        <f aca="false">IF(AND(Eingabe!$F$12&gt;0,Eingabe!$E$12&gt;=62),4,"")</f>
        <v/>
      </c>
      <c r="B676" s="20" t="str">
        <f aca="false">IF(AND(Eingabe!$F$12&gt;0,Eingabe!$E$12&gt;=62),Eingabe!$B$12,"")</f>
        <v/>
      </c>
      <c r="C676" s="20" t="str">
        <f aca="false">IF(AND(Eingabe!$F$12&gt;0,Eingabe!$E$12&gt;=62),Eingabe!$C$12&amp;"-Paz."&amp;TEXT(62,"000"),"")</f>
        <v/>
      </c>
      <c r="D676" s="20" t="str">
        <f aca="false">IF(AND(Eingabe!$F$12&gt;0,Eingabe!$E$12&gt;=62),62,"")</f>
        <v/>
      </c>
      <c r="E676" s="20" t="str">
        <f aca="false">IF(AND(Eingabe!$F$12&gt;0,Eingabe!$E$12&gt;=62),IF((Eingabe!$G$12)&lt;=9,1000+(Eingabe!$G$12)*100,3000)+62,"")</f>
        <v/>
      </c>
      <c r="F676" s="20" t="str">
        <f aca="false">IF(AND(Eingabe!$F$12&gt;0,Eingabe!$E$12&gt;=62),"10."&amp;Eingabe!$D$12&amp;".62.0/24","")</f>
        <v/>
      </c>
      <c r="G676" s="20" t="str">
        <f aca="false">IF(AND(Eingabe!$F$12&gt;0,Eingabe!$E$12&gt;=62),"10."&amp;Eingabe!$D$12&amp;".62.1","")</f>
        <v/>
      </c>
      <c r="H676" s="20" t="str">
        <f aca="false">IF(AND(Eingabe!$F$12&gt;0,Eingabe!$E$12&gt;=62),"10."&amp;Eingabe!$D$12&amp;".62.10 – 10."&amp;Eingabe!$D$12&amp;".62.250","")</f>
        <v/>
      </c>
      <c r="I676" s="20" t="str">
        <f aca="false">IF(AND(Eingabe!$F$12&gt;0,Eingabe!$E$12&gt;=62),Eingabe!$B$6&amp;"-"&amp;Eingabe!$C$12&amp;"-Pächter","")</f>
        <v/>
      </c>
      <c r="J676" s="20" t="str">
        <f aca="false">IF(AND(Eingabe!$F$12&gt;0,Eingabe!$E$12&gt;=62),"PPSK: Passwort Parzelle 62","")</f>
        <v/>
      </c>
      <c r="K676" s="20" t="str">
        <f aca="false">IF(AND(Eingabe!$F$12&gt;0,Eingabe!$E$12&gt;=62),"1. Gerät: 10."&amp;Eingabe!$D$12&amp;".62.10, 2. Gerät: .11","")</f>
        <v/>
      </c>
    </row>
    <row r="677" customFormat="false" ht="15" hidden="false" customHeight="false" outlineLevel="0" collapsed="false">
      <c r="A677" s="20" t="str">
        <f aca="false">IF(AND(Eingabe!$F$12&gt;0,Eingabe!$E$12&gt;=63),4,"")</f>
        <v/>
      </c>
      <c r="B677" s="20" t="str">
        <f aca="false">IF(AND(Eingabe!$F$12&gt;0,Eingabe!$E$12&gt;=63),Eingabe!$B$12,"")</f>
        <v/>
      </c>
      <c r="C677" s="20" t="str">
        <f aca="false">IF(AND(Eingabe!$F$12&gt;0,Eingabe!$E$12&gt;=63),Eingabe!$C$12&amp;"-Paz."&amp;TEXT(63,"000"),"")</f>
        <v/>
      </c>
      <c r="D677" s="20" t="str">
        <f aca="false">IF(AND(Eingabe!$F$12&gt;0,Eingabe!$E$12&gt;=63),63,"")</f>
        <v/>
      </c>
      <c r="E677" s="20" t="str">
        <f aca="false">IF(AND(Eingabe!$F$12&gt;0,Eingabe!$E$12&gt;=63),IF((Eingabe!$G$12)&lt;=9,1000+(Eingabe!$G$12)*100,3000)+63,"")</f>
        <v/>
      </c>
      <c r="F677" s="20" t="str">
        <f aca="false">IF(AND(Eingabe!$F$12&gt;0,Eingabe!$E$12&gt;=63),"10."&amp;Eingabe!$D$12&amp;".63.0/24","")</f>
        <v/>
      </c>
      <c r="G677" s="20" t="str">
        <f aca="false">IF(AND(Eingabe!$F$12&gt;0,Eingabe!$E$12&gt;=63),"10."&amp;Eingabe!$D$12&amp;".63.1","")</f>
        <v/>
      </c>
      <c r="H677" s="20" t="str">
        <f aca="false">IF(AND(Eingabe!$F$12&gt;0,Eingabe!$E$12&gt;=63),"10."&amp;Eingabe!$D$12&amp;".63.10 – 10."&amp;Eingabe!$D$12&amp;".63.250","")</f>
        <v/>
      </c>
      <c r="I677" s="20" t="str">
        <f aca="false">IF(AND(Eingabe!$F$12&gt;0,Eingabe!$E$12&gt;=63),Eingabe!$B$6&amp;"-"&amp;Eingabe!$C$12&amp;"-Pächter","")</f>
        <v/>
      </c>
      <c r="J677" s="20" t="str">
        <f aca="false">IF(AND(Eingabe!$F$12&gt;0,Eingabe!$E$12&gt;=63),"PPSK: Passwort Parzelle 63","")</f>
        <v/>
      </c>
      <c r="K677" s="20" t="str">
        <f aca="false">IF(AND(Eingabe!$F$12&gt;0,Eingabe!$E$12&gt;=63),"1. Gerät: 10."&amp;Eingabe!$D$12&amp;".63.10, 2. Gerät: .11","")</f>
        <v/>
      </c>
    </row>
    <row r="678" customFormat="false" ht="15" hidden="false" customHeight="false" outlineLevel="0" collapsed="false">
      <c r="A678" s="20" t="str">
        <f aca="false">IF(AND(Eingabe!$F$12&gt;0,Eingabe!$E$12&gt;=64),4,"")</f>
        <v/>
      </c>
      <c r="B678" s="20" t="str">
        <f aca="false">IF(AND(Eingabe!$F$12&gt;0,Eingabe!$E$12&gt;=64),Eingabe!$B$12,"")</f>
        <v/>
      </c>
      <c r="C678" s="20" t="str">
        <f aca="false">IF(AND(Eingabe!$F$12&gt;0,Eingabe!$E$12&gt;=64),Eingabe!$C$12&amp;"-Paz."&amp;TEXT(64,"000"),"")</f>
        <v/>
      </c>
      <c r="D678" s="20" t="str">
        <f aca="false">IF(AND(Eingabe!$F$12&gt;0,Eingabe!$E$12&gt;=64),64,"")</f>
        <v/>
      </c>
      <c r="E678" s="20" t="str">
        <f aca="false">IF(AND(Eingabe!$F$12&gt;0,Eingabe!$E$12&gt;=64),IF((Eingabe!$G$12)&lt;=9,1000+(Eingabe!$G$12)*100,3000)+64,"")</f>
        <v/>
      </c>
      <c r="F678" s="20" t="str">
        <f aca="false">IF(AND(Eingabe!$F$12&gt;0,Eingabe!$E$12&gt;=64),"10."&amp;Eingabe!$D$12&amp;".64.0/24","")</f>
        <v/>
      </c>
      <c r="G678" s="20" t="str">
        <f aca="false">IF(AND(Eingabe!$F$12&gt;0,Eingabe!$E$12&gt;=64),"10."&amp;Eingabe!$D$12&amp;".64.1","")</f>
        <v/>
      </c>
      <c r="H678" s="20" t="str">
        <f aca="false">IF(AND(Eingabe!$F$12&gt;0,Eingabe!$E$12&gt;=64),"10."&amp;Eingabe!$D$12&amp;".64.10 – 10."&amp;Eingabe!$D$12&amp;".64.250","")</f>
        <v/>
      </c>
      <c r="I678" s="20" t="str">
        <f aca="false">IF(AND(Eingabe!$F$12&gt;0,Eingabe!$E$12&gt;=64),Eingabe!$B$6&amp;"-"&amp;Eingabe!$C$12&amp;"-Pächter","")</f>
        <v/>
      </c>
      <c r="J678" s="20" t="str">
        <f aca="false">IF(AND(Eingabe!$F$12&gt;0,Eingabe!$E$12&gt;=64),"PPSK: Passwort Parzelle 64","")</f>
        <v/>
      </c>
      <c r="K678" s="20" t="str">
        <f aca="false">IF(AND(Eingabe!$F$12&gt;0,Eingabe!$E$12&gt;=64),"1. Gerät: 10."&amp;Eingabe!$D$12&amp;".64.10, 2. Gerät: .11","")</f>
        <v/>
      </c>
    </row>
    <row r="679" customFormat="false" ht="15" hidden="false" customHeight="false" outlineLevel="0" collapsed="false">
      <c r="A679" s="20" t="str">
        <f aca="false">IF(AND(Eingabe!$F$12&gt;0,Eingabe!$E$12&gt;=65),4,"")</f>
        <v/>
      </c>
      <c r="B679" s="20" t="str">
        <f aca="false">IF(AND(Eingabe!$F$12&gt;0,Eingabe!$E$12&gt;=65),Eingabe!$B$12,"")</f>
        <v/>
      </c>
      <c r="C679" s="20" t="str">
        <f aca="false">IF(AND(Eingabe!$F$12&gt;0,Eingabe!$E$12&gt;=65),Eingabe!$C$12&amp;"-Paz."&amp;TEXT(65,"000"),"")</f>
        <v/>
      </c>
      <c r="D679" s="20" t="str">
        <f aca="false">IF(AND(Eingabe!$F$12&gt;0,Eingabe!$E$12&gt;=65),65,"")</f>
        <v/>
      </c>
      <c r="E679" s="20" t="str">
        <f aca="false">IF(AND(Eingabe!$F$12&gt;0,Eingabe!$E$12&gt;=65),IF((Eingabe!$G$12)&lt;=9,1000+(Eingabe!$G$12)*100,3000)+65,"")</f>
        <v/>
      </c>
      <c r="F679" s="20" t="str">
        <f aca="false">IF(AND(Eingabe!$F$12&gt;0,Eingabe!$E$12&gt;=65),"10."&amp;Eingabe!$D$12&amp;".65.0/24","")</f>
        <v/>
      </c>
      <c r="G679" s="20" t="str">
        <f aca="false">IF(AND(Eingabe!$F$12&gt;0,Eingabe!$E$12&gt;=65),"10."&amp;Eingabe!$D$12&amp;".65.1","")</f>
        <v/>
      </c>
      <c r="H679" s="20" t="str">
        <f aca="false">IF(AND(Eingabe!$F$12&gt;0,Eingabe!$E$12&gt;=65),"10."&amp;Eingabe!$D$12&amp;".65.10 – 10."&amp;Eingabe!$D$12&amp;".65.250","")</f>
        <v/>
      </c>
      <c r="I679" s="20" t="str">
        <f aca="false">IF(AND(Eingabe!$F$12&gt;0,Eingabe!$E$12&gt;=65),Eingabe!$B$6&amp;"-"&amp;Eingabe!$C$12&amp;"-Pächter","")</f>
        <v/>
      </c>
      <c r="J679" s="20" t="str">
        <f aca="false">IF(AND(Eingabe!$F$12&gt;0,Eingabe!$E$12&gt;=65),"PPSK: Passwort Parzelle 65","")</f>
        <v/>
      </c>
      <c r="K679" s="20" t="str">
        <f aca="false">IF(AND(Eingabe!$F$12&gt;0,Eingabe!$E$12&gt;=65),"1. Gerät: 10."&amp;Eingabe!$D$12&amp;".65.10, 2. Gerät: .11","")</f>
        <v/>
      </c>
    </row>
    <row r="680" customFormat="false" ht="15" hidden="false" customHeight="false" outlineLevel="0" collapsed="false">
      <c r="A680" s="20" t="str">
        <f aca="false">IF(AND(Eingabe!$F$12&gt;0,Eingabe!$E$12&gt;=66),4,"")</f>
        <v/>
      </c>
      <c r="B680" s="20" t="str">
        <f aca="false">IF(AND(Eingabe!$F$12&gt;0,Eingabe!$E$12&gt;=66),Eingabe!$B$12,"")</f>
        <v/>
      </c>
      <c r="C680" s="20" t="str">
        <f aca="false">IF(AND(Eingabe!$F$12&gt;0,Eingabe!$E$12&gt;=66),Eingabe!$C$12&amp;"-Paz."&amp;TEXT(66,"000"),"")</f>
        <v/>
      </c>
      <c r="D680" s="20" t="str">
        <f aca="false">IF(AND(Eingabe!$F$12&gt;0,Eingabe!$E$12&gt;=66),66,"")</f>
        <v/>
      </c>
      <c r="E680" s="20" t="str">
        <f aca="false">IF(AND(Eingabe!$F$12&gt;0,Eingabe!$E$12&gt;=66),IF((Eingabe!$G$12)&lt;=9,1000+(Eingabe!$G$12)*100,3000)+66,"")</f>
        <v/>
      </c>
      <c r="F680" s="20" t="str">
        <f aca="false">IF(AND(Eingabe!$F$12&gt;0,Eingabe!$E$12&gt;=66),"10."&amp;Eingabe!$D$12&amp;".66.0/24","")</f>
        <v/>
      </c>
      <c r="G680" s="20" t="str">
        <f aca="false">IF(AND(Eingabe!$F$12&gt;0,Eingabe!$E$12&gt;=66),"10."&amp;Eingabe!$D$12&amp;".66.1","")</f>
        <v/>
      </c>
      <c r="H680" s="20" t="str">
        <f aca="false">IF(AND(Eingabe!$F$12&gt;0,Eingabe!$E$12&gt;=66),"10."&amp;Eingabe!$D$12&amp;".66.10 – 10."&amp;Eingabe!$D$12&amp;".66.250","")</f>
        <v/>
      </c>
      <c r="I680" s="20" t="str">
        <f aca="false">IF(AND(Eingabe!$F$12&gt;0,Eingabe!$E$12&gt;=66),Eingabe!$B$6&amp;"-"&amp;Eingabe!$C$12&amp;"-Pächter","")</f>
        <v/>
      </c>
      <c r="J680" s="20" t="str">
        <f aca="false">IF(AND(Eingabe!$F$12&gt;0,Eingabe!$E$12&gt;=66),"PPSK: Passwort Parzelle 66","")</f>
        <v/>
      </c>
      <c r="K680" s="20" t="str">
        <f aca="false">IF(AND(Eingabe!$F$12&gt;0,Eingabe!$E$12&gt;=66),"1. Gerät: 10."&amp;Eingabe!$D$12&amp;".66.10, 2. Gerät: .11","")</f>
        <v/>
      </c>
    </row>
    <row r="681" customFormat="false" ht="15" hidden="false" customHeight="false" outlineLevel="0" collapsed="false">
      <c r="A681" s="20" t="str">
        <f aca="false">IF(AND(Eingabe!$F$12&gt;0,Eingabe!$E$12&gt;=67),4,"")</f>
        <v/>
      </c>
      <c r="B681" s="20" t="str">
        <f aca="false">IF(AND(Eingabe!$F$12&gt;0,Eingabe!$E$12&gt;=67),Eingabe!$B$12,"")</f>
        <v/>
      </c>
      <c r="C681" s="20" t="str">
        <f aca="false">IF(AND(Eingabe!$F$12&gt;0,Eingabe!$E$12&gt;=67),Eingabe!$C$12&amp;"-Paz."&amp;TEXT(67,"000"),"")</f>
        <v/>
      </c>
      <c r="D681" s="20" t="str">
        <f aca="false">IF(AND(Eingabe!$F$12&gt;0,Eingabe!$E$12&gt;=67),67,"")</f>
        <v/>
      </c>
      <c r="E681" s="20" t="str">
        <f aca="false">IF(AND(Eingabe!$F$12&gt;0,Eingabe!$E$12&gt;=67),IF((Eingabe!$G$12)&lt;=9,1000+(Eingabe!$G$12)*100,3000)+67,"")</f>
        <v/>
      </c>
      <c r="F681" s="20" t="str">
        <f aca="false">IF(AND(Eingabe!$F$12&gt;0,Eingabe!$E$12&gt;=67),"10."&amp;Eingabe!$D$12&amp;".67.0/24","")</f>
        <v/>
      </c>
      <c r="G681" s="20" t="str">
        <f aca="false">IF(AND(Eingabe!$F$12&gt;0,Eingabe!$E$12&gt;=67),"10."&amp;Eingabe!$D$12&amp;".67.1","")</f>
        <v/>
      </c>
      <c r="H681" s="20" t="str">
        <f aca="false">IF(AND(Eingabe!$F$12&gt;0,Eingabe!$E$12&gt;=67),"10."&amp;Eingabe!$D$12&amp;".67.10 – 10."&amp;Eingabe!$D$12&amp;".67.250","")</f>
        <v/>
      </c>
      <c r="I681" s="20" t="str">
        <f aca="false">IF(AND(Eingabe!$F$12&gt;0,Eingabe!$E$12&gt;=67),Eingabe!$B$6&amp;"-"&amp;Eingabe!$C$12&amp;"-Pächter","")</f>
        <v/>
      </c>
      <c r="J681" s="20" t="str">
        <f aca="false">IF(AND(Eingabe!$F$12&gt;0,Eingabe!$E$12&gt;=67),"PPSK: Passwort Parzelle 67","")</f>
        <v/>
      </c>
      <c r="K681" s="20" t="str">
        <f aca="false">IF(AND(Eingabe!$F$12&gt;0,Eingabe!$E$12&gt;=67),"1. Gerät: 10."&amp;Eingabe!$D$12&amp;".67.10, 2. Gerät: .11","")</f>
        <v/>
      </c>
    </row>
    <row r="682" customFormat="false" ht="15" hidden="false" customHeight="false" outlineLevel="0" collapsed="false">
      <c r="A682" s="20" t="str">
        <f aca="false">IF(AND(Eingabe!$F$12&gt;0,Eingabe!$E$12&gt;=68),4,"")</f>
        <v/>
      </c>
      <c r="B682" s="20" t="str">
        <f aca="false">IF(AND(Eingabe!$F$12&gt;0,Eingabe!$E$12&gt;=68),Eingabe!$B$12,"")</f>
        <v/>
      </c>
      <c r="C682" s="20" t="str">
        <f aca="false">IF(AND(Eingabe!$F$12&gt;0,Eingabe!$E$12&gt;=68),Eingabe!$C$12&amp;"-Paz."&amp;TEXT(68,"000"),"")</f>
        <v/>
      </c>
      <c r="D682" s="20" t="str">
        <f aca="false">IF(AND(Eingabe!$F$12&gt;0,Eingabe!$E$12&gt;=68),68,"")</f>
        <v/>
      </c>
      <c r="E682" s="20" t="str">
        <f aca="false">IF(AND(Eingabe!$F$12&gt;0,Eingabe!$E$12&gt;=68),IF((Eingabe!$G$12)&lt;=9,1000+(Eingabe!$G$12)*100,3000)+68,"")</f>
        <v/>
      </c>
      <c r="F682" s="20" t="str">
        <f aca="false">IF(AND(Eingabe!$F$12&gt;0,Eingabe!$E$12&gt;=68),"10."&amp;Eingabe!$D$12&amp;".68.0/24","")</f>
        <v/>
      </c>
      <c r="G682" s="20" t="str">
        <f aca="false">IF(AND(Eingabe!$F$12&gt;0,Eingabe!$E$12&gt;=68),"10."&amp;Eingabe!$D$12&amp;".68.1","")</f>
        <v/>
      </c>
      <c r="H682" s="20" t="str">
        <f aca="false">IF(AND(Eingabe!$F$12&gt;0,Eingabe!$E$12&gt;=68),"10."&amp;Eingabe!$D$12&amp;".68.10 – 10."&amp;Eingabe!$D$12&amp;".68.250","")</f>
        <v/>
      </c>
      <c r="I682" s="20" t="str">
        <f aca="false">IF(AND(Eingabe!$F$12&gt;0,Eingabe!$E$12&gt;=68),Eingabe!$B$6&amp;"-"&amp;Eingabe!$C$12&amp;"-Pächter","")</f>
        <v/>
      </c>
      <c r="J682" s="20" t="str">
        <f aca="false">IF(AND(Eingabe!$F$12&gt;0,Eingabe!$E$12&gt;=68),"PPSK: Passwort Parzelle 68","")</f>
        <v/>
      </c>
      <c r="K682" s="20" t="str">
        <f aca="false">IF(AND(Eingabe!$F$12&gt;0,Eingabe!$E$12&gt;=68),"1. Gerät: 10."&amp;Eingabe!$D$12&amp;".68.10, 2. Gerät: .11","")</f>
        <v/>
      </c>
    </row>
    <row r="683" customFormat="false" ht="15" hidden="false" customHeight="false" outlineLevel="0" collapsed="false">
      <c r="A683" s="20" t="str">
        <f aca="false">IF(AND(Eingabe!$F$12&gt;0,Eingabe!$E$12&gt;=69),4,"")</f>
        <v/>
      </c>
      <c r="B683" s="20" t="str">
        <f aca="false">IF(AND(Eingabe!$F$12&gt;0,Eingabe!$E$12&gt;=69),Eingabe!$B$12,"")</f>
        <v/>
      </c>
      <c r="C683" s="20" t="str">
        <f aca="false">IF(AND(Eingabe!$F$12&gt;0,Eingabe!$E$12&gt;=69),Eingabe!$C$12&amp;"-Paz."&amp;TEXT(69,"000"),"")</f>
        <v/>
      </c>
      <c r="D683" s="20" t="str">
        <f aca="false">IF(AND(Eingabe!$F$12&gt;0,Eingabe!$E$12&gt;=69),69,"")</f>
        <v/>
      </c>
      <c r="E683" s="20" t="str">
        <f aca="false">IF(AND(Eingabe!$F$12&gt;0,Eingabe!$E$12&gt;=69),IF((Eingabe!$G$12)&lt;=9,1000+(Eingabe!$G$12)*100,3000)+69,"")</f>
        <v/>
      </c>
      <c r="F683" s="20" t="str">
        <f aca="false">IF(AND(Eingabe!$F$12&gt;0,Eingabe!$E$12&gt;=69),"10."&amp;Eingabe!$D$12&amp;".69.0/24","")</f>
        <v/>
      </c>
      <c r="G683" s="20" t="str">
        <f aca="false">IF(AND(Eingabe!$F$12&gt;0,Eingabe!$E$12&gt;=69),"10."&amp;Eingabe!$D$12&amp;".69.1","")</f>
        <v/>
      </c>
      <c r="H683" s="20" t="str">
        <f aca="false">IF(AND(Eingabe!$F$12&gt;0,Eingabe!$E$12&gt;=69),"10."&amp;Eingabe!$D$12&amp;".69.10 – 10."&amp;Eingabe!$D$12&amp;".69.250","")</f>
        <v/>
      </c>
      <c r="I683" s="20" t="str">
        <f aca="false">IF(AND(Eingabe!$F$12&gt;0,Eingabe!$E$12&gt;=69),Eingabe!$B$6&amp;"-"&amp;Eingabe!$C$12&amp;"-Pächter","")</f>
        <v/>
      </c>
      <c r="J683" s="20" t="str">
        <f aca="false">IF(AND(Eingabe!$F$12&gt;0,Eingabe!$E$12&gt;=69),"PPSK: Passwort Parzelle 69","")</f>
        <v/>
      </c>
      <c r="K683" s="20" t="str">
        <f aca="false">IF(AND(Eingabe!$F$12&gt;0,Eingabe!$E$12&gt;=69),"1. Gerät: 10."&amp;Eingabe!$D$12&amp;".69.10, 2. Gerät: .11","")</f>
        <v/>
      </c>
    </row>
    <row r="684" customFormat="false" ht="15" hidden="false" customHeight="false" outlineLevel="0" collapsed="false">
      <c r="A684" s="20" t="str">
        <f aca="false">IF(AND(Eingabe!$F$12&gt;0,Eingabe!$E$12&gt;=70),4,"")</f>
        <v/>
      </c>
      <c r="B684" s="20" t="str">
        <f aca="false">IF(AND(Eingabe!$F$12&gt;0,Eingabe!$E$12&gt;=70),Eingabe!$B$12,"")</f>
        <v/>
      </c>
      <c r="C684" s="20" t="str">
        <f aca="false">IF(AND(Eingabe!$F$12&gt;0,Eingabe!$E$12&gt;=70),Eingabe!$C$12&amp;"-Paz."&amp;TEXT(70,"000"),"")</f>
        <v/>
      </c>
      <c r="D684" s="20" t="str">
        <f aca="false">IF(AND(Eingabe!$F$12&gt;0,Eingabe!$E$12&gt;=70),70,"")</f>
        <v/>
      </c>
      <c r="E684" s="20" t="str">
        <f aca="false">IF(AND(Eingabe!$F$12&gt;0,Eingabe!$E$12&gt;=70),IF((Eingabe!$G$12)&lt;=9,1000+(Eingabe!$G$12)*100,3000)+70,"")</f>
        <v/>
      </c>
      <c r="F684" s="20" t="str">
        <f aca="false">IF(AND(Eingabe!$F$12&gt;0,Eingabe!$E$12&gt;=70),"10."&amp;Eingabe!$D$12&amp;".70.0/24","")</f>
        <v/>
      </c>
      <c r="G684" s="20" t="str">
        <f aca="false">IF(AND(Eingabe!$F$12&gt;0,Eingabe!$E$12&gt;=70),"10."&amp;Eingabe!$D$12&amp;".70.1","")</f>
        <v/>
      </c>
      <c r="H684" s="20" t="str">
        <f aca="false">IF(AND(Eingabe!$F$12&gt;0,Eingabe!$E$12&gt;=70),"10."&amp;Eingabe!$D$12&amp;".70.10 – 10."&amp;Eingabe!$D$12&amp;".70.250","")</f>
        <v/>
      </c>
      <c r="I684" s="20" t="str">
        <f aca="false">IF(AND(Eingabe!$F$12&gt;0,Eingabe!$E$12&gt;=70),Eingabe!$B$6&amp;"-"&amp;Eingabe!$C$12&amp;"-Pächter","")</f>
        <v/>
      </c>
      <c r="J684" s="20" t="str">
        <f aca="false">IF(AND(Eingabe!$F$12&gt;0,Eingabe!$E$12&gt;=70),"PPSK: Passwort Parzelle 70","")</f>
        <v/>
      </c>
      <c r="K684" s="20" t="str">
        <f aca="false">IF(AND(Eingabe!$F$12&gt;0,Eingabe!$E$12&gt;=70),"1. Gerät: 10."&amp;Eingabe!$D$12&amp;".70.10, 2. Gerät: .11","")</f>
        <v/>
      </c>
    </row>
    <row r="685" customFormat="false" ht="15" hidden="false" customHeight="false" outlineLevel="0" collapsed="false">
      <c r="A685" s="20" t="str">
        <f aca="false">IF(AND(Eingabe!$F$12&gt;0,Eingabe!$E$12&gt;=71),4,"")</f>
        <v/>
      </c>
      <c r="B685" s="20" t="str">
        <f aca="false">IF(AND(Eingabe!$F$12&gt;0,Eingabe!$E$12&gt;=71),Eingabe!$B$12,"")</f>
        <v/>
      </c>
      <c r="C685" s="20" t="str">
        <f aca="false">IF(AND(Eingabe!$F$12&gt;0,Eingabe!$E$12&gt;=71),Eingabe!$C$12&amp;"-Paz."&amp;TEXT(71,"000"),"")</f>
        <v/>
      </c>
      <c r="D685" s="20" t="str">
        <f aca="false">IF(AND(Eingabe!$F$12&gt;0,Eingabe!$E$12&gt;=71),71,"")</f>
        <v/>
      </c>
      <c r="E685" s="20" t="str">
        <f aca="false">IF(AND(Eingabe!$F$12&gt;0,Eingabe!$E$12&gt;=71),IF((Eingabe!$G$12)&lt;=9,1000+(Eingabe!$G$12)*100,3000)+71,"")</f>
        <v/>
      </c>
      <c r="F685" s="20" t="str">
        <f aca="false">IF(AND(Eingabe!$F$12&gt;0,Eingabe!$E$12&gt;=71),"10."&amp;Eingabe!$D$12&amp;".71.0/24","")</f>
        <v/>
      </c>
      <c r="G685" s="20" t="str">
        <f aca="false">IF(AND(Eingabe!$F$12&gt;0,Eingabe!$E$12&gt;=71),"10."&amp;Eingabe!$D$12&amp;".71.1","")</f>
        <v/>
      </c>
      <c r="H685" s="20" t="str">
        <f aca="false">IF(AND(Eingabe!$F$12&gt;0,Eingabe!$E$12&gt;=71),"10."&amp;Eingabe!$D$12&amp;".71.10 – 10."&amp;Eingabe!$D$12&amp;".71.250","")</f>
        <v/>
      </c>
      <c r="I685" s="20" t="str">
        <f aca="false">IF(AND(Eingabe!$F$12&gt;0,Eingabe!$E$12&gt;=71),Eingabe!$B$6&amp;"-"&amp;Eingabe!$C$12&amp;"-Pächter","")</f>
        <v/>
      </c>
      <c r="J685" s="20" t="str">
        <f aca="false">IF(AND(Eingabe!$F$12&gt;0,Eingabe!$E$12&gt;=71),"PPSK: Passwort Parzelle 71","")</f>
        <v/>
      </c>
      <c r="K685" s="20" t="str">
        <f aca="false">IF(AND(Eingabe!$F$12&gt;0,Eingabe!$E$12&gt;=71),"1. Gerät: 10."&amp;Eingabe!$D$12&amp;".71.10, 2. Gerät: .11","")</f>
        <v/>
      </c>
    </row>
    <row r="686" customFormat="false" ht="15" hidden="false" customHeight="false" outlineLevel="0" collapsed="false">
      <c r="A686" s="20" t="str">
        <f aca="false">IF(AND(Eingabe!$F$12&gt;0,Eingabe!$E$12&gt;=72),4,"")</f>
        <v/>
      </c>
      <c r="B686" s="20" t="str">
        <f aca="false">IF(AND(Eingabe!$F$12&gt;0,Eingabe!$E$12&gt;=72),Eingabe!$B$12,"")</f>
        <v/>
      </c>
      <c r="C686" s="20" t="str">
        <f aca="false">IF(AND(Eingabe!$F$12&gt;0,Eingabe!$E$12&gt;=72),Eingabe!$C$12&amp;"-Paz."&amp;TEXT(72,"000"),"")</f>
        <v/>
      </c>
      <c r="D686" s="20" t="str">
        <f aca="false">IF(AND(Eingabe!$F$12&gt;0,Eingabe!$E$12&gt;=72),72,"")</f>
        <v/>
      </c>
      <c r="E686" s="20" t="str">
        <f aca="false">IF(AND(Eingabe!$F$12&gt;0,Eingabe!$E$12&gt;=72),IF((Eingabe!$G$12)&lt;=9,1000+(Eingabe!$G$12)*100,3000)+72,"")</f>
        <v/>
      </c>
      <c r="F686" s="20" t="str">
        <f aca="false">IF(AND(Eingabe!$F$12&gt;0,Eingabe!$E$12&gt;=72),"10."&amp;Eingabe!$D$12&amp;".72.0/24","")</f>
        <v/>
      </c>
      <c r="G686" s="20" t="str">
        <f aca="false">IF(AND(Eingabe!$F$12&gt;0,Eingabe!$E$12&gt;=72),"10."&amp;Eingabe!$D$12&amp;".72.1","")</f>
        <v/>
      </c>
      <c r="H686" s="20" t="str">
        <f aca="false">IF(AND(Eingabe!$F$12&gt;0,Eingabe!$E$12&gt;=72),"10."&amp;Eingabe!$D$12&amp;".72.10 – 10."&amp;Eingabe!$D$12&amp;".72.250","")</f>
        <v/>
      </c>
      <c r="I686" s="20" t="str">
        <f aca="false">IF(AND(Eingabe!$F$12&gt;0,Eingabe!$E$12&gt;=72),Eingabe!$B$6&amp;"-"&amp;Eingabe!$C$12&amp;"-Pächter","")</f>
        <v/>
      </c>
      <c r="J686" s="20" t="str">
        <f aca="false">IF(AND(Eingabe!$F$12&gt;0,Eingabe!$E$12&gt;=72),"PPSK: Passwort Parzelle 72","")</f>
        <v/>
      </c>
      <c r="K686" s="20" t="str">
        <f aca="false">IF(AND(Eingabe!$F$12&gt;0,Eingabe!$E$12&gt;=72),"1. Gerät: 10."&amp;Eingabe!$D$12&amp;".72.10, 2. Gerät: .11","")</f>
        <v/>
      </c>
    </row>
    <row r="687" customFormat="false" ht="15" hidden="false" customHeight="false" outlineLevel="0" collapsed="false">
      <c r="A687" s="20" t="str">
        <f aca="false">IF(AND(Eingabe!$F$12&gt;0,Eingabe!$E$12&gt;=73),4,"")</f>
        <v/>
      </c>
      <c r="B687" s="20" t="str">
        <f aca="false">IF(AND(Eingabe!$F$12&gt;0,Eingabe!$E$12&gt;=73),Eingabe!$B$12,"")</f>
        <v/>
      </c>
      <c r="C687" s="20" t="str">
        <f aca="false">IF(AND(Eingabe!$F$12&gt;0,Eingabe!$E$12&gt;=73),Eingabe!$C$12&amp;"-Paz."&amp;TEXT(73,"000"),"")</f>
        <v/>
      </c>
      <c r="D687" s="20" t="str">
        <f aca="false">IF(AND(Eingabe!$F$12&gt;0,Eingabe!$E$12&gt;=73),73,"")</f>
        <v/>
      </c>
      <c r="E687" s="20" t="str">
        <f aca="false">IF(AND(Eingabe!$F$12&gt;0,Eingabe!$E$12&gt;=73),IF((Eingabe!$G$12)&lt;=9,1000+(Eingabe!$G$12)*100,3000)+73,"")</f>
        <v/>
      </c>
      <c r="F687" s="20" t="str">
        <f aca="false">IF(AND(Eingabe!$F$12&gt;0,Eingabe!$E$12&gt;=73),"10."&amp;Eingabe!$D$12&amp;".73.0/24","")</f>
        <v/>
      </c>
      <c r="G687" s="20" t="str">
        <f aca="false">IF(AND(Eingabe!$F$12&gt;0,Eingabe!$E$12&gt;=73),"10."&amp;Eingabe!$D$12&amp;".73.1","")</f>
        <v/>
      </c>
      <c r="H687" s="20" t="str">
        <f aca="false">IF(AND(Eingabe!$F$12&gt;0,Eingabe!$E$12&gt;=73),"10."&amp;Eingabe!$D$12&amp;".73.10 – 10."&amp;Eingabe!$D$12&amp;".73.250","")</f>
        <v/>
      </c>
      <c r="I687" s="20" t="str">
        <f aca="false">IF(AND(Eingabe!$F$12&gt;0,Eingabe!$E$12&gt;=73),Eingabe!$B$6&amp;"-"&amp;Eingabe!$C$12&amp;"-Pächter","")</f>
        <v/>
      </c>
      <c r="J687" s="20" t="str">
        <f aca="false">IF(AND(Eingabe!$F$12&gt;0,Eingabe!$E$12&gt;=73),"PPSK: Passwort Parzelle 73","")</f>
        <v/>
      </c>
      <c r="K687" s="20" t="str">
        <f aca="false">IF(AND(Eingabe!$F$12&gt;0,Eingabe!$E$12&gt;=73),"1. Gerät: 10."&amp;Eingabe!$D$12&amp;".73.10, 2. Gerät: .11","")</f>
        <v/>
      </c>
    </row>
    <row r="688" customFormat="false" ht="15" hidden="false" customHeight="false" outlineLevel="0" collapsed="false">
      <c r="A688" s="20" t="str">
        <f aca="false">IF(AND(Eingabe!$F$12&gt;0,Eingabe!$E$12&gt;=74),4,"")</f>
        <v/>
      </c>
      <c r="B688" s="20" t="str">
        <f aca="false">IF(AND(Eingabe!$F$12&gt;0,Eingabe!$E$12&gt;=74),Eingabe!$B$12,"")</f>
        <v/>
      </c>
      <c r="C688" s="20" t="str">
        <f aca="false">IF(AND(Eingabe!$F$12&gt;0,Eingabe!$E$12&gt;=74),Eingabe!$C$12&amp;"-Paz."&amp;TEXT(74,"000"),"")</f>
        <v/>
      </c>
      <c r="D688" s="20" t="str">
        <f aca="false">IF(AND(Eingabe!$F$12&gt;0,Eingabe!$E$12&gt;=74),74,"")</f>
        <v/>
      </c>
      <c r="E688" s="20" t="str">
        <f aca="false">IF(AND(Eingabe!$F$12&gt;0,Eingabe!$E$12&gt;=74),IF((Eingabe!$G$12)&lt;=9,1000+(Eingabe!$G$12)*100,3000)+74,"")</f>
        <v/>
      </c>
      <c r="F688" s="20" t="str">
        <f aca="false">IF(AND(Eingabe!$F$12&gt;0,Eingabe!$E$12&gt;=74),"10."&amp;Eingabe!$D$12&amp;".74.0/24","")</f>
        <v/>
      </c>
      <c r="G688" s="20" t="str">
        <f aca="false">IF(AND(Eingabe!$F$12&gt;0,Eingabe!$E$12&gt;=74),"10."&amp;Eingabe!$D$12&amp;".74.1","")</f>
        <v/>
      </c>
      <c r="H688" s="20" t="str">
        <f aca="false">IF(AND(Eingabe!$F$12&gt;0,Eingabe!$E$12&gt;=74),"10."&amp;Eingabe!$D$12&amp;".74.10 – 10."&amp;Eingabe!$D$12&amp;".74.250","")</f>
        <v/>
      </c>
      <c r="I688" s="20" t="str">
        <f aca="false">IF(AND(Eingabe!$F$12&gt;0,Eingabe!$E$12&gt;=74),Eingabe!$B$6&amp;"-"&amp;Eingabe!$C$12&amp;"-Pächter","")</f>
        <v/>
      </c>
      <c r="J688" s="20" t="str">
        <f aca="false">IF(AND(Eingabe!$F$12&gt;0,Eingabe!$E$12&gt;=74),"PPSK: Passwort Parzelle 74","")</f>
        <v/>
      </c>
      <c r="K688" s="20" t="str">
        <f aca="false">IF(AND(Eingabe!$F$12&gt;0,Eingabe!$E$12&gt;=74),"1. Gerät: 10."&amp;Eingabe!$D$12&amp;".74.10, 2. Gerät: .11","")</f>
        <v/>
      </c>
    </row>
    <row r="689" customFormat="false" ht="15" hidden="false" customHeight="false" outlineLevel="0" collapsed="false">
      <c r="A689" s="20" t="str">
        <f aca="false">IF(AND(Eingabe!$F$12&gt;0,Eingabe!$E$12&gt;=75),4,"")</f>
        <v/>
      </c>
      <c r="B689" s="20" t="str">
        <f aca="false">IF(AND(Eingabe!$F$12&gt;0,Eingabe!$E$12&gt;=75),Eingabe!$B$12,"")</f>
        <v/>
      </c>
      <c r="C689" s="20" t="str">
        <f aca="false">IF(AND(Eingabe!$F$12&gt;0,Eingabe!$E$12&gt;=75),Eingabe!$C$12&amp;"-Paz."&amp;TEXT(75,"000"),"")</f>
        <v/>
      </c>
      <c r="D689" s="20" t="str">
        <f aca="false">IF(AND(Eingabe!$F$12&gt;0,Eingabe!$E$12&gt;=75),75,"")</f>
        <v/>
      </c>
      <c r="E689" s="20" t="str">
        <f aca="false">IF(AND(Eingabe!$F$12&gt;0,Eingabe!$E$12&gt;=75),IF((Eingabe!$G$12)&lt;=9,1000+(Eingabe!$G$12)*100,3000)+75,"")</f>
        <v/>
      </c>
      <c r="F689" s="20" t="str">
        <f aca="false">IF(AND(Eingabe!$F$12&gt;0,Eingabe!$E$12&gt;=75),"10."&amp;Eingabe!$D$12&amp;".75.0/24","")</f>
        <v/>
      </c>
      <c r="G689" s="20" t="str">
        <f aca="false">IF(AND(Eingabe!$F$12&gt;0,Eingabe!$E$12&gt;=75),"10."&amp;Eingabe!$D$12&amp;".75.1","")</f>
        <v/>
      </c>
      <c r="H689" s="20" t="str">
        <f aca="false">IF(AND(Eingabe!$F$12&gt;0,Eingabe!$E$12&gt;=75),"10."&amp;Eingabe!$D$12&amp;".75.10 – 10."&amp;Eingabe!$D$12&amp;".75.250","")</f>
        <v/>
      </c>
      <c r="I689" s="20" t="str">
        <f aca="false">IF(AND(Eingabe!$F$12&gt;0,Eingabe!$E$12&gt;=75),Eingabe!$B$6&amp;"-"&amp;Eingabe!$C$12&amp;"-Pächter","")</f>
        <v/>
      </c>
      <c r="J689" s="20" t="str">
        <f aca="false">IF(AND(Eingabe!$F$12&gt;0,Eingabe!$E$12&gt;=75),"PPSK: Passwort Parzelle 75","")</f>
        <v/>
      </c>
      <c r="K689" s="20" t="str">
        <f aca="false">IF(AND(Eingabe!$F$12&gt;0,Eingabe!$E$12&gt;=75),"1. Gerät: 10."&amp;Eingabe!$D$12&amp;".75.10, 2. Gerät: .11","")</f>
        <v/>
      </c>
    </row>
    <row r="690" customFormat="false" ht="15" hidden="false" customHeight="false" outlineLevel="0" collapsed="false">
      <c r="A690" s="20" t="str">
        <f aca="false">IF(AND(Eingabe!$F$12&gt;0,Eingabe!$E$12&gt;=76),4,"")</f>
        <v/>
      </c>
      <c r="B690" s="20" t="str">
        <f aca="false">IF(AND(Eingabe!$F$12&gt;0,Eingabe!$E$12&gt;=76),Eingabe!$B$12,"")</f>
        <v/>
      </c>
      <c r="C690" s="20" t="str">
        <f aca="false">IF(AND(Eingabe!$F$12&gt;0,Eingabe!$E$12&gt;=76),Eingabe!$C$12&amp;"-Paz."&amp;TEXT(76,"000"),"")</f>
        <v/>
      </c>
      <c r="D690" s="20" t="str">
        <f aca="false">IF(AND(Eingabe!$F$12&gt;0,Eingabe!$E$12&gt;=76),76,"")</f>
        <v/>
      </c>
      <c r="E690" s="20" t="str">
        <f aca="false">IF(AND(Eingabe!$F$12&gt;0,Eingabe!$E$12&gt;=76),IF((Eingabe!$G$12)&lt;=9,1000+(Eingabe!$G$12)*100,3000)+76,"")</f>
        <v/>
      </c>
      <c r="F690" s="20" t="str">
        <f aca="false">IF(AND(Eingabe!$F$12&gt;0,Eingabe!$E$12&gt;=76),"10."&amp;Eingabe!$D$12&amp;".76.0/24","")</f>
        <v/>
      </c>
      <c r="G690" s="20" t="str">
        <f aca="false">IF(AND(Eingabe!$F$12&gt;0,Eingabe!$E$12&gt;=76),"10."&amp;Eingabe!$D$12&amp;".76.1","")</f>
        <v/>
      </c>
      <c r="H690" s="20" t="str">
        <f aca="false">IF(AND(Eingabe!$F$12&gt;0,Eingabe!$E$12&gt;=76),"10."&amp;Eingabe!$D$12&amp;".76.10 – 10."&amp;Eingabe!$D$12&amp;".76.250","")</f>
        <v/>
      </c>
      <c r="I690" s="20" t="str">
        <f aca="false">IF(AND(Eingabe!$F$12&gt;0,Eingabe!$E$12&gt;=76),Eingabe!$B$6&amp;"-"&amp;Eingabe!$C$12&amp;"-Pächter","")</f>
        <v/>
      </c>
      <c r="J690" s="20" t="str">
        <f aca="false">IF(AND(Eingabe!$F$12&gt;0,Eingabe!$E$12&gt;=76),"PPSK: Passwort Parzelle 76","")</f>
        <v/>
      </c>
      <c r="K690" s="20" t="str">
        <f aca="false">IF(AND(Eingabe!$F$12&gt;0,Eingabe!$E$12&gt;=76),"1. Gerät: 10."&amp;Eingabe!$D$12&amp;".76.10, 2. Gerät: .11","")</f>
        <v/>
      </c>
    </row>
    <row r="691" customFormat="false" ht="15" hidden="false" customHeight="false" outlineLevel="0" collapsed="false">
      <c r="A691" s="20" t="str">
        <f aca="false">IF(AND(Eingabe!$F$12&gt;0,Eingabe!$E$12&gt;=77),4,"")</f>
        <v/>
      </c>
      <c r="B691" s="20" t="str">
        <f aca="false">IF(AND(Eingabe!$F$12&gt;0,Eingabe!$E$12&gt;=77),Eingabe!$B$12,"")</f>
        <v/>
      </c>
      <c r="C691" s="20" t="str">
        <f aca="false">IF(AND(Eingabe!$F$12&gt;0,Eingabe!$E$12&gt;=77),Eingabe!$C$12&amp;"-Paz."&amp;TEXT(77,"000"),"")</f>
        <v/>
      </c>
      <c r="D691" s="20" t="str">
        <f aca="false">IF(AND(Eingabe!$F$12&gt;0,Eingabe!$E$12&gt;=77),77,"")</f>
        <v/>
      </c>
      <c r="E691" s="20" t="str">
        <f aca="false">IF(AND(Eingabe!$F$12&gt;0,Eingabe!$E$12&gt;=77),IF((Eingabe!$G$12)&lt;=9,1000+(Eingabe!$G$12)*100,3000)+77,"")</f>
        <v/>
      </c>
      <c r="F691" s="20" t="str">
        <f aca="false">IF(AND(Eingabe!$F$12&gt;0,Eingabe!$E$12&gt;=77),"10."&amp;Eingabe!$D$12&amp;".77.0/24","")</f>
        <v/>
      </c>
      <c r="G691" s="20" t="str">
        <f aca="false">IF(AND(Eingabe!$F$12&gt;0,Eingabe!$E$12&gt;=77),"10."&amp;Eingabe!$D$12&amp;".77.1","")</f>
        <v/>
      </c>
      <c r="H691" s="20" t="str">
        <f aca="false">IF(AND(Eingabe!$F$12&gt;0,Eingabe!$E$12&gt;=77),"10."&amp;Eingabe!$D$12&amp;".77.10 – 10."&amp;Eingabe!$D$12&amp;".77.250","")</f>
        <v/>
      </c>
      <c r="I691" s="20" t="str">
        <f aca="false">IF(AND(Eingabe!$F$12&gt;0,Eingabe!$E$12&gt;=77),Eingabe!$B$6&amp;"-"&amp;Eingabe!$C$12&amp;"-Pächter","")</f>
        <v/>
      </c>
      <c r="J691" s="20" t="str">
        <f aca="false">IF(AND(Eingabe!$F$12&gt;0,Eingabe!$E$12&gt;=77),"PPSK: Passwort Parzelle 77","")</f>
        <v/>
      </c>
      <c r="K691" s="20" t="str">
        <f aca="false">IF(AND(Eingabe!$F$12&gt;0,Eingabe!$E$12&gt;=77),"1. Gerät: 10."&amp;Eingabe!$D$12&amp;".77.10, 2. Gerät: .11","")</f>
        <v/>
      </c>
    </row>
    <row r="692" customFormat="false" ht="15" hidden="false" customHeight="false" outlineLevel="0" collapsed="false">
      <c r="A692" s="20" t="str">
        <f aca="false">IF(AND(Eingabe!$F$12&gt;0,Eingabe!$E$12&gt;=78),4,"")</f>
        <v/>
      </c>
      <c r="B692" s="20" t="str">
        <f aca="false">IF(AND(Eingabe!$F$12&gt;0,Eingabe!$E$12&gt;=78),Eingabe!$B$12,"")</f>
        <v/>
      </c>
      <c r="C692" s="20" t="str">
        <f aca="false">IF(AND(Eingabe!$F$12&gt;0,Eingabe!$E$12&gt;=78),Eingabe!$C$12&amp;"-Paz."&amp;TEXT(78,"000"),"")</f>
        <v/>
      </c>
      <c r="D692" s="20" t="str">
        <f aca="false">IF(AND(Eingabe!$F$12&gt;0,Eingabe!$E$12&gt;=78),78,"")</f>
        <v/>
      </c>
      <c r="E692" s="20" t="str">
        <f aca="false">IF(AND(Eingabe!$F$12&gt;0,Eingabe!$E$12&gt;=78),IF((Eingabe!$G$12)&lt;=9,1000+(Eingabe!$G$12)*100,3000)+78,"")</f>
        <v/>
      </c>
      <c r="F692" s="20" t="str">
        <f aca="false">IF(AND(Eingabe!$F$12&gt;0,Eingabe!$E$12&gt;=78),"10."&amp;Eingabe!$D$12&amp;".78.0/24","")</f>
        <v/>
      </c>
      <c r="G692" s="20" t="str">
        <f aca="false">IF(AND(Eingabe!$F$12&gt;0,Eingabe!$E$12&gt;=78),"10."&amp;Eingabe!$D$12&amp;".78.1","")</f>
        <v/>
      </c>
      <c r="H692" s="20" t="str">
        <f aca="false">IF(AND(Eingabe!$F$12&gt;0,Eingabe!$E$12&gt;=78),"10."&amp;Eingabe!$D$12&amp;".78.10 – 10."&amp;Eingabe!$D$12&amp;".78.250","")</f>
        <v/>
      </c>
      <c r="I692" s="20" t="str">
        <f aca="false">IF(AND(Eingabe!$F$12&gt;0,Eingabe!$E$12&gt;=78),Eingabe!$B$6&amp;"-"&amp;Eingabe!$C$12&amp;"-Pächter","")</f>
        <v/>
      </c>
      <c r="J692" s="20" t="str">
        <f aca="false">IF(AND(Eingabe!$F$12&gt;0,Eingabe!$E$12&gt;=78),"PPSK: Passwort Parzelle 78","")</f>
        <v/>
      </c>
      <c r="K692" s="20" t="str">
        <f aca="false">IF(AND(Eingabe!$F$12&gt;0,Eingabe!$E$12&gt;=78),"1. Gerät: 10."&amp;Eingabe!$D$12&amp;".78.10, 2. Gerät: .11","")</f>
        <v/>
      </c>
    </row>
    <row r="693" customFormat="false" ht="15" hidden="false" customHeight="false" outlineLevel="0" collapsed="false">
      <c r="A693" s="20" t="str">
        <f aca="false">IF(AND(Eingabe!$F$12&gt;0,Eingabe!$E$12&gt;=79),4,"")</f>
        <v/>
      </c>
      <c r="B693" s="20" t="str">
        <f aca="false">IF(AND(Eingabe!$F$12&gt;0,Eingabe!$E$12&gt;=79),Eingabe!$B$12,"")</f>
        <v/>
      </c>
      <c r="C693" s="20" t="str">
        <f aca="false">IF(AND(Eingabe!$F$12&gt;0,Eingabe!$E$12&gt;=79),Eingabe!$C$12&amp;"-Paz."&amp;TEXT(79,"000"),"")</f>
        <v/>
      </c>
      <c r="D693" s="20" t="str">
        <f aca="false">IF(AND(Eingabe!$F$12&gt;0,Eingabe!$E$12&gt;=79),79,"")</f>
        <v/>
      </c>
      <c r="E693" s="20" t="str">
        <f aca="false">IF(AND(Eingabe!$F$12&gt;0,Eingabe!$E$12&gt;=79),IF((Eingabe!$G$12)&lt;=9,1000+(Eingabe!$G$12)*100,3000)+79,"")</f>
        <v/>
      </c>
      <c r="F693" s="20" t="str">
        <f aca="false">IF(AND(Eingabe!$F$12&gt;0,Eingabe!$E$12&gt;=79),"10."&amp;Eingabe!$D$12&amp;".79.0/24","")</f>
        <v/>
      </c>
      <c r="G693" s="20" t="str">
        <f aca="false">IF(AND(Eingabe!$F$12&gt;0,Eingabe!$E$12&gt;=79),"10."&amp;Eingabe!$D$12&amp;".79.1","")</f>
        <v/>
      </c>
      <c r="H693" s="20" t="str">
        <f aca="false">IF(AND(Eingabe!$F$12&gt;0,Eingabe!$E$12&gt;=79),"10."&amp;Eingabe!$D$12&amp;".79.10 – 10."&amp;Eingabe!$D$12&amp;".79.250","")</f>
        <v/>
      </c>
      <c r="I693" s="20" t="str">
        <f aca="false">IF(AND(Eingabe!$F$12&gt;0,Eingabe!$E$12&gt;=79),Eingabe!$B$6&amp;"-"&amp;Eingabe!$C$12&amp;"-Pächter","")</f>
        <v/>
      </c>
      <c r="J693" s="20" t="str">
        <f aca="false">IF(AND(Eingabe!$F$12&gt;0,Eingabe!$E$12&gt;=79),"PPSK: Passwort Parzelle 79","")</f>
        <v/>
      </c>
      <c r="K693" s="20" t="str">
        <f aca="false">IF(AND(Eingabe!$F$12&gt;0,Eingabe!$E$12&gt;=79),"1. Gerät: 10."&amp;Eingabe!$D$12&amp;".79.10, 2. Gerät: .11","")</f>
        <v/>
      </c>
    </row>
    <row r="694" customFormat="false" ht="15" hidden="false" customHeight="false" outlineLevel="0" collapsed="false">
      <c r="A694" s="20" t="str">
        <f aca="false">IF(AND(Eingabe!$F$12&gt;0,Eingabe!$E$12&gt;=80),4,"")</f>
        <v/>
      </c>
      <c r="B694" s="20" t="str">
        <f aca="false">IF(AND(Eingabe!$F$12&gt;0,Eingabe!$E$12&gt;=80),Eingabe!$B$12,"")</f>
        <v/>
      </c>
      <c r="C694" s="20" t="str">
        <f aca="false">IF(AND(Eingabe!$F$12&gt;0,Eingabe!$E$12&gt;=80),Eingabe!$C$12&amp;"-Paz."&amp;TEXT(80,"000"),"")</f>
        <v/>
      </c>
      <c r="D694" s="20" t="str">
        <f aca="false">IF(AND(Eingabe!$F$12&gt;0,Eingabe!$E$12&gt;=80),80,"")</f>
        <v/>
      </c>
      <c r="E694" s="20" t="str">
        <f aca="false">IF(AND(Eingabe!$F$12&gt;0,Eingabe!$E$12&gt;=80),IF((Eingabe!$G$12)&lt;=9,1000+(Eingabe!$G$12)*100,3000)+80,"")</f>
        <v/>
      </c>
      <c r="F694" s="20" t="str">
        <f aca="false">IF(AND(Eingabe!$F$12&gt;0,Eingabe!$E$12&gt;=80),"10."&amp;Eingabe!$D$12&amp;".80.0/24","")</f>
        <v/>
      </c>
      <c r="G694" s="20" t="str">
        <f aca="false">IF(AND(Eingabe!$F$12&gt;0,Eingabe!$E$12&gt;=80),"10."&amp;Eingabe!$D$12&amp;".80.1","")</f>
        <v/>
      </c>
      <c r="H694" s="20" t="str">
        <f aca="false">IF(AND(Eingabe!$F$12&gt;0,Eingabe!$E$12&gt;=80),"10."&amp;Eingabe!$D$12&amp;".80.10 – 10."&amp;Eingabe!$D$12&amp;".80.250","")</f>
        <v/>
      </c>
      <c r="I694" s="20" t="str">
        <f aca="false">IF(AND(Eingabe!$F$12&gt;0,Eingabe!$E$12&gt;=80),Eingabe!$B$6&amp;"-"&amp;Eingabe!$C$12&amp;"-Pächter","")</f>
        <v/>
      </c>
      <c r="J694" s="20" t="str">
        <f aca="false">IF(AND(Eingabe!$F$12&gt;0,Eingabe!$E$12&gt;=80),"PPSK: Passwort Parzelle 80","")</f>
        <v/>
      </c>
      <c r="K694" s="20" t="str">
        <f aca="false">IF(AND(Eingabe!$F$12&gt;0,Eingabe!$E$12&gt;=80),"1. Gerät: 10."&amp;Eingabe!$D$12&amp;".80.10, 2. Gerät: .11","")</f>
        <v/>
      </c>
    </row>
    <row r="695" customFormat="false" ht="15" hidden="false" customHeight="false" outlineLevel="0" collapsed="false">
      <c r="A695" s="20" t="str">
        <f aca="false">IF(AND(Eingabe!$F$12&gt;0,Eingabe!$E$12&gt;=81),4,"")</f>
        <v/>
      </c>
      <c r="B695" s="20" t="str">
        <f aca="false">IF(AND(Eingabe!$F$12&gt;0,Eingabe!$E$12&gt;=81),Eingabe!$B$12,"")</f>
        <v/>
      </c>
      <c r="C695" s="20" t="str">
        <f aca="false">IF(AND(Eingabe!$F$12&gt;0,Eingabe!$E$12&gt;=81),Eingabe!$C$12&amp;"-Paz."&amp;TEXT(81,"000"),"")</f>
        <v/>
      </c>
      <c r="D695" s="20" t="str">
        <f aca="false">IF(AND(Eingabe!$F$12&gt;0,Eingabe!$E$12&gt;=81),81,"")</f>
        <v/>
      </c>
      <c r="E695" s="20" t="str">
        <f aca="false">IF(AND(Eingabe!$F$12&gt;0,Eingabe!$E$12&gt;=81),IF((Eingabe!$G$12)&lt;=9,1000+(Eingabe!$G$12)*100,3000)+81,"")</f>
        <v/>
      </c>
      <c r="F695" s="20" t="str">
        <f aca="false">IF(AND(Eingabe!$F$12&gt;0,Eingabe!$E$12&gt;=81),"10."&amp;Eingabe!$D$12&amp;".81.0/24","")</f>
        <v/>
      </c>
      <c r="G695" s="20" t="str">
        <f aca="false">IF(AND(Eingabe!$F$12&gt;0,Eingabe!$E$12&gt;=81),"10."&amp;Eingabe!$D$12&amp;".81.1","")</f>
        <v/>
      </c>
      <c r="H695" s="20" t="str">
        <f aca="false">IF(AND(Eingabe!$F$12&gt;0,Eingabe!$E$12&gt;=81),"10."&amp;Eingabe!$D$12&amp;".81.10 – 10."&amp;Eingabe!$D$12&amp;".81.250","")</f>
        <v/>
      </c>
      <c r="I695" s="20" t="str">
        <f aca="false">IF(AND(Eingabe!$F$12&gt;0,Eingabe!$E$12&gt;=81),Eingabe!$B$6&amp;"-"&amp;Eingabe!$C$12&amp;"-Pächter","")</f>
        <v/>
      </c>
      <c r="J695" s="20" t="str">
        <f aca="false">IF(AND(Eingabe!$F$12&gt;0,Eingabe!$E$12&gt;=81),"PPSK: Passwort Parzelle 81","")</f>
        <v/>
      </c>
      <c r="K695" s="20" t="str">
        <f aca="false">IF(AND(Eingabe!$F$12&gt;0,Eingabe!$E$12&gt;=81),"1. Gerät: 10."&amp;Eingabe!$D$12&amp;".81.10, 2. Gerät: .11","")</f>
        <v/>
      </c>
    </row>
    <row r="696" customFormat="false" ht="15" hidden="false" customHeight="false" outlineLevel="0" collapsed="false">
      <c r="A696" s="20" t="str">
        <f aca="false">IF(AND(Eingabe!$F$12&gt;0,Eingabe!$E$12&gt;=82),4,"")</f>
        <v/>
      </c>
      <c r="B696" s="20" t="str">
        <f aca="false">IF(AND(Eingabe!$F$12&gt;0,Eingabe!$E$12&gt;=82),Eingabe!$B$12,"")</f>
        <v/>
      </c>
      <c r="C696" s="20" t="str">
        <f aca="false">IF(AND(Eingabe!$F$12&gt;0,Eingabe!$E$12&gt;=82),Eingabe!$C$12&amp;"-Paz."&amp;TEXT(82,"000"),"")</f>
        <v/>
      </c>
      <c r="D696" s="20" t="str">
        <f aca="false">IF(AND(Eingabe!$F$12&gt;0,Eingabe!$E$12&gt;=82),82,"")</f>
        <v/>
      </c>
      <c r="E696" s="20" t="str">
        <f aca="false">IF(AND(Eingabe!$F$12&gt;0,Eingabe!$E$12&gt;=82),IF((Eingabe!$G$12)&lt;=9,1000+(Eingabe!$G$12)*100,3000)+82,"")</f>
        <v/>
      </c>
      <c r="F696" s="20" t="str">
        <f aca="false">IF(AND(Eingabe!$F$12&gt;0,Eingabe!$E$12&gt;=82),"10."&amp;Eingabe!$D$12&amp;".82.0/24","")</f>
        <v/>
      </c>
      <c r="G696" s="20" t="str">
        <f aca="false">IF(AND(Eingabe!$F$12&gt;0,Eingabe!$E$12&gt;=82),"10."&amp;Eingabe!$D$12&amp;".82.1","")</f>
        <v/>
      </c>
      <c r="H696" s="20" t="str">
        <f aca="false">IF(AND(Eingabe!$F$12&gt;0,Eingabe!$E$12&gt;=82),"10."&amp;Eingabe!$D$12&amp;".82.10 – 10."&amp;Eingabe!$D$12&amp;".82.250","")</f>
        <v/>
      </c>
      <c r="I696" s="20" t="str">
        <f aca="false">IF(AND(Eingabe!$F$12&gt;0,Eingabe!$E$12&gt;=82),Eingabe!$B$6&amp;"-"&amp;Eingabe!$C$12&amp;"-Pächter","")</f>
        <v/>
      </c>
      <c r="J696" s="20" t="str">
        <f aca="false">IF(AND(Eingabe!$F$12&gt;0,Eingabe!$E$12&gt;=82),"PPSK: Passwort Parzelle 82","")</f>
        <v/>
      </c>
      <c r="K696" s="20" t="str">
        <f aca="false">IF(AND(Eingabe!$F$12&gt;0,Eingabe!$E$12&gt;=82),"1. Gerät: 10."&amp;Eingabe!$D$12&amp;".82.10, 2. Gerät: .11","")</f>
        <v/>
      </c>
    </row>
    <row r="697" customFormat="false" ht="15" hidden="false" customHeight="false" outlineLevel="0" collapsed="false">
      <c r="A697" s="20" t="str">
        <f aca="false">IF(AND(Eingabe!$F$12&gt;0,Eingabe!$E$12&gt;=83),4,"")</f>
        <v/>
      </c>
      <c r="B697" s="20" t="str">
        <f aca="false">IF(AND(Eingabe!$F$12&gt;0,Eingabe!$E$12&gt;=83),Eingabe!$B$12,"")</f>
        <v/>
      </c>
      <c r="C697" s="20" t="str">
        <f aca="false">IF(AND(Eingabe!$F$12&gt;0,Eingabe!$E$12&gt;=83),Eingabe!$C$12&amp;"-Paz."&amp;TEXT(83,"000"),"")</f>
        <v/>
      </c>
      <c r="D697" s="20" t="str">
        <f aca="false">IF(AND(Eingabe!$F$12&gt;0,Eingabe!$E$12&gt;=83),83,"")</f>
        <v/>
      </c>
      <c r="E697" s="20" t="str">
        <f aca="false">IF(AND(Eingabe!$F$12&gt;0,Eingabe!$E$12&gt;=83),IF((Eingabe!$G$12)&lt;=9,1000+(Eingabe!$G$12)*100,3000)+83,"")</f>
        <v/>
      </c>
      <c r="F697" s="20" t="str">
        <f aca="false">IF(AND(Eingabe!$F$12&gt;0,Eingabe!$E$12&gt;=83),"10."&amp;Eingabe!$D$12&amp;".83.0/24","")</f>
        <v/>
      </c>
      <c r="G697" s="20" t="str">
        <f aca="false">IF(AND(Eingabe!$F$12&gt;0,Eingabe!$E$12&gt;=83),"10."&amp;Eingabe!$D$12&amp;".83.1","")</f>
        <v/>
      </c>
      <c r="H697" s="20" t="str">
        <f aca="false">IF(AND(Eingabe!$F$12&gt;0,Eingabe!$E$12&gt;=83),"10."&amp;Eingabe!$D$12&amp;".83.10 – 10."&amp;Eingabe!$D$12&amp;".83.250","")</f>
        <v/>
      </c>
      <c r="I697" s="20" t="str">
        <f aca="false">IF(AND(Eingabe!$F$12&gt;0,Eingabe!$E$12&gt;=83),Eingabe!$B$6&amp;"-"&amp;Eingabe!$C$12&amp;"-Pächter","")</f>
        <v/>
      </c>
      <c r="J697" s="20" t="str">
        <f aca="false">IF(AND(Eingabe!$F$12&gt;0,Eingabe!$E$12&gt;=83),"PPSK: Passwort Parzelle 83","")</f>
        <v/>
      </c>
      <c r="K697" s="20" t="str">
        <f aca="false">IF(AND(Eingabe!$F$12&gt;0,Eingabe!$E$12&gt;=83),"1. Gerät: 10."&amp;Eingabe!$D$12&amp;".83.10, 2. Gerät: .11","")</f>
        <v/>
      </c>
    </row>
    <row r="698" customFormat="false" ht="15" hidden="false" customHeight="false" outlineLevel="0" collapsed="false">
      <c r="A698" s="20" t="str">
        <f aca="false">IF(AND(Eingabe!$F$12&gt;0,Eingabe!$E$12&gt;=84),4,"")</f>
        <v/>
      </c>
      <c r="B698" s="20" t="str">
        <f aca="false">IF(AND(Eingabe!$F$12&gt;0,Eingabe!$E$12&gt;=84),Eingabe!$B$12,"")</f>
        <v/>
      </c>
      <c r="C698" s="20" t="str">
        <f aca="false">IF(AND(Eingabe!$F$12&gt;0,Eingabe!$E$12&gt;=84),Eingabe!$C$12&amp;"-Paz."&amp;TEXT(84,"000"),"")</f>
        <v/>
      </c>
      <c r="D698" s="20" t="str">
        <f aca="false">IF(AND(Eingabe!$F$12&gt;0,Eingabe!$E$12&gt;=84),84,"")</f>
        <v/>
      </c>
      <c r="E698" s="20" t="str">
        <f aca="false">IF(AND(Eingabe!$F$12&gt;0,Eingabe!$E$12&gt;=84),IF((Eingabe!$G$12)&lt;=9,1000+(Eingabe!$G$12)*100,3000)+84,"")</f>
        <v/>
      </c>
      <c r="F698" s="20" t="str">
        <f aca="false">IF(AND(Eingabe!$F$12&gt;0,Eingabe!$E$12&gt;=84),"10."&amp;Eingabe!$D$12&amp;".84.0/24","")</f>
        <v/>
      </c>
      <c r="G698" s="20" t="str">
        <f aca="false">IF(AND(Eingabe!$F$12&gt;0,Eingabe!$E$12&gt;=84),"10."&amp;Eingabe!$D$12&amp;".84.1","")</f>
        <v/>
      </c>
      <c r="H698" s="20" t="str">
        <f aca="false">IF(AND(Eingabe!$F$12&gt;0,Eingabe!$E$12&gt;=84),"10."&amp;Eingabe!$D$12&amp;".84.10 – 10."&amp;Eingabe!$D$12&amp;".84.250","")</f>
        <v/>
      </c>
      <c r="I698" s="20" t="str">
        <f aca="false">IF(AND(Eingabe!$F$12&gt;0,Eingabe!$E$12&gt;=84),Eingabe!$B$6&amp;"-"&amp;Eingabe!$C$12&amp;"-Pächter","")</f>
        <v/>
      </c>
      <c r="J698" s="20" t="str">
        <f aca="false">IF(AND(Eingabe!$F$12&gt;0,Eingabe!$E$12&gt;=84),"PPSK: Passwort Parzelle 84","")</f>
        <v/>
      </c>
      <c r="K698" s="20" t="str">
        <f aca="false">IF(AND(Eingabe!$F$12&gt;0,Eingabe!$E$12&gt;=84),"1. Gerät: 10."&amp;Eingabe!$D$12&amp;".84.10, 2. Gerät: .11","")</f>
        <v/>
      </c>
    </row>
    <row r="699" customFormat="false" ht="15" hidden="false" customHeight="false" outlineLevel="0" collapsed="false">
      <c r="A699" s="20" t="str">
        <f aca="false">IF(AND(Eingabe!$F$12&gt;0,Eingabe!$E$12&gt;=85),4,"")</f>
        <v/>
      </c>
      <c r="B699" s="20" t="str">
        <f aca="false">IF(AND(Eingabe!$F$12&gt;0,Eingabe!$E$12&gt;=85),Eingabe!$B$12,"")</f>
        <v/>
      </c>
      <c r="C699" s="20" t="str">
        <f aca="false">IF(AND(Eingabe!$F$12&gt;0,Eingabe!$E$12&gt;=85),Eingabe!$C$12&amp;"-Paz."&amp;TEXT(85,"000"),"")</f>
        <v/>
      </c>
      <c r="D699" s="20" t="str">
        <f aca="false">IF(AND(Eingabe!$F$12&gt;0,Eingabe!$E$12&gt;=85),85,"")</f>
        <v/>
      </c>
      <c r="E699" s="20" t="str">
        <f aca="false">IF(AND(Eingabe!$F$12&gt;0,Eingabe!$E$12&gt;=85),IF((Eingabe!$G$12)&lt;=9,1000+(Eingabe!$G$12)*100,3000)+85,"")</f>
        <v/>
      </c>
      <c r="F699" s="20" t="str">
        <f aca="false">IF(AND(Eingabe!$F$12&gt;0,Eingabe!$E$12&gt;=85),"10."&amp;Eingabe!$D$12&amp;".85.0/24","")</f>
        <v/>
      </c>
      <c r="G699" s="20" t="str">
        <f aca="false">IF(AND(Eingabe!$F$12&gt;0,Eingabe!$E$12&gt;=85),"10."&amp;Eingabe!$D$12&amp;".85.1","")</f>
        <v/>
      </c>
      <c r="H699" s="20" t="str">
        <f aca="false">IF(AND(Eingabe!$F$12&gt;0,Eingabe!$E$12&gt;=85),"10."&amp;Eingabe!$D$12&amp;".85.10 – 10."&amp;Eingabe!$D$12&amp;".85.250","")</f>
        <v/>
      </c>
      <c r="I699" s="20" t="str">
        <f aca="false">IF(AND(Eingabe!$F$12&gt;0,Eingabe!$E$12&gt;=85),Eingabe!$B$6&amp;"-"&amp;Eingabe!$C$12&amp;"-Pächter","")</f>
        <v/>
      </c>
      <c r="J699" s="20" t="str">
        <f aca="false">IF(AND(Eingabe!$F$12&gt;0,Eingabe!$E$12&gt;=85),"PPSK: Passwort Parzelle 85","")</f>
        <v/>
      </c>
      <c r="K699" s="20" t="str">
        <f aca="false">IF(AND(Eingabe!$F$12&gt;0,Eingabe!$E$12&gt;=85),"1. Gerät: 10."&amp;Eingabe!$D$12&amp;".85.10, 2. Gerät: .11","")</f>
        <v/>
      </c>
    </row>
    <row r="700" customFormat="false" ht="15" hidden="false" customHeight="false" outlineLevel="0" collapsed="false">
      <c r="A700" s="20" t="str">
        <f aca="false">IF(AND(Eingabe!$F$12&gt;0,Eingabe!$E$12&gt;=86),4,"")</f>
        <v/>
      </c>
      <c r="B700" s="20" t="str">
        <f aca="false">IF(AND(Eingabe!$F$12&gt;0,Eingabe!$E$12&gt;=86),Eingabe!$B$12,"")</f>
        <v/>
      </c>
      <c r="C700" s="20" t="str">
        <f aca="false">IF(AND(Eingabe!$F$12&gt;0,Eingabe!$E$12&gt;=86),Eingabe!$C$12&amp;"-Paz."&amp;TEXT(86,"000"),"")</f>
        <v/>
      </c>
      <c r="D700" s="20" t="str">
        <f aca="false">IF(AND(Eingabe!$F$12&gt;0,Eingabe!$E$12&gt;=86),86,"")</f>
        <v/>
      </c>
      <c r="E700" s="20" t="str">
        <f aca="false">IF(AND(Eingabe!$F$12&gt;0,Eingabe!$E$12&gt;=86),IF((Eingabe!$G$12)&lt;=9,1000+(Eingabe!$G$12)*100,3000)+86,"")</f>
        <v/>
      </c>
      <c r="F700" s="20" t="str">
        <f aca="false">IF(AND(Eingabe!$F$12&gt;0,Eingabe!$E$12&gt;=86),"10."&amp;Eingabe!$D$12&amp;".86.0/24","")</f>
        <v/>
      </c>
      <c r="G700" s="20" t="str">
        <f aca="false">IF(AND(Eingabe!$F$12&gt;0,Eingabe!$E$12&gt;=86),"10."&amp;Eingabe!$D$12&amp;".86.1","")</f>
        <v/>
      </c>
      <c r="H700" s="20" t="str">
        <f aca="false">IF(AND(Eingabe!$F$12&gt;0,Eingabe!$E$12&gt;=86),"10."&amp;Eingabe!$D$12&amp;".86.10 – 10."&amp;Eingabe!$D$12&amp;".86.250","")</f>
        <v/>
      </c>
      <c r="I700" s="20" t="str">
        <f aca="false">IF(AND(Eingabe!$F$12&gt;0,Eingabe!$E$12&gt;=86),Eingabe!$B$6&amp;"-"&amp;Eingabe!$C$12&amp;"-Pächter","")</f>
        <v/>
      </c>
      <c r="J700" s="20" t="str">
        <f aca="false">IF(AND(Eingabe!$F$12&gt;0,Eingabe!$E$12&gt;=86),"PPSK: Passwort Parzelle 86","")</f>
        <v/>
      </c>
      <c r="K700" s="20" t="str">
        <f aca="false">IF(AND(Eingabe!$F$12&gt;0,Eingabe!$E$12&gt;=86),"1. Gerät: 10."&amp;Eingabe!$D$12&amp;".86.10, 2. Gerät: .11","")</f>
        <v/>
      </c>
    </row>
    <row r="701" customFormat="false" ht="15" hidden="false" customHeight="false" outlineLevel="0" collapsed="false">
      <c r="A701" s="20" t="str">
        <f aca="false">IF(AND(Eingabe!$F$12&gt;0,Eingabe!$E$12&gt;=87),4,"")</f>
        <v/>
      </c>
      <c r="B701" s="20" t="str">
        <f aca="false">IF(AND(Eingabe!$F$12&gt;0,Eingabe!$E$12&gt;=87),Eingabe!$B$12,"")</f>
        <v/>
      </c>
      <c r="C701" s="20" t="str">
        <f aca="false">IF(AND(Eingabe!$F$12&gt;0,Eingabe!$E$12&gt;=87),Eingabe!$C$12&amp;"-Paz."&amp;TEXT(87,"000"),"")</f>
        <v/>
      </c>
      <c r="D701" s="20" t="str">
        <f aca="false">IF(AND(Eingabe!$F$12&gt;0,Eingabe!$E$12&gt;=87),87,"")</f>
        <v/>
      </c>
      <c r="E701" s="20" t="str">
        <f aca="false">IF(AND(Eingabe!$F$12&gt;0,Eingabe!$E$12&gt;=87),IF((Eingabe!$G$12)&lt;=9,1000+(Eingabe!$G$12)*100,3000)+87,"")</f>
        <v/>
      </c>
      <c r="F701" s="20" t="str">
        <f aca="false">IF(AND(Eingabe!$F$12&gt;0,Eingabe!$E$12&gt;=87),"10."&amp;Eingabe!$D$12&amp;".87.0/24","")</f>
        <v/>
      </c>
      <c r="G701" s="20" t="str">
        <f aca="false">IF(AND(Eingabe!$F$12&gt;0,Eingabe!$E$12&gt;=87),"10."&amp;Eingabe!$D$12&amp;".87.1","")</f>
        <v/>
      </c>
      <c r="H701" s="20" t="str">
        <f aca="false">IF(AND(Eingabe!$F$12&gt;0,Eingabe!$E$12&gt;=87),"10."&amp;Eingabe!$D$12&amp;".87.10 – 10."&amp;Eingabe!$D$12&amp;".87.250","")</f>
        <v/>
      </c>
      <c r="I701" s="20" t="str">
        <f aca="false">IF(AND(Eingabe!$F$12&gt;0,Eingabe!$E$12&gt;=87),Eingabe!$B$6&amp;"-"&amp;Eingabe!$C$12&amp;"-Pächter","")</f>
        <v/>
      </c>
      <c r="J701" s="20" t="str">
        <f aca="false">IF(AND(Eingabe!$F$12&gt;0,Eingabe!$E$12&gt;=87),"PPSK: Passwort Parzelle 87","")</f>
        <v/>
      </c>
      <c r="K701" s="20" t="str">
        <f aca="false">IF(AND(Eingabe!$F$12&gt;0,Eingabe!$E$12&gt;=87),"1. Gerät: 10."&amp;Eingabe!$D$12&amp;".87.10, 2. Gerät: .11","")</f>
        <v/>
      </c>
    </row>
    <row r="702" customFormat="false" ht="15" hidden="false" customHeight="false" outlineLevel="0" collapsed="false">
      <c r="A702" s="20" t="str">
        <f aca="false">IF(AND(Eingabe!$F$12&gt;0,Eingabe!$E$12&gt;=88),4,"")</f>
        <v/>
      </c>
      <c r="B702" s="20" t="str">
        <f aca="false">IF(AND(Eingabe!$F$12&gt;0,Eingabe!$E$12&gt;=88),Eingabe!$B$12,"")</f>
        <v/>
      </c>
      <c r="C702" s="20" t="str">
        <f aca="false">IF(AND(Eingabe!$F$12&gt;0,Eingabe!$E$12&gt;=88),Eingabe!$C$12&amp;"-Paz."&amp;TEXT(88,"000"),"")</f>
        <v/>
      </c>
      <c r="D702" s="20" t="str">
        <f aca="false">IF(AND(Eingabe!$F$12&gt;0,Eingabe!$E$12&gt;=88),88,"")</f>
        <v/>
      </c>
      <c r="E702" s="20" t="str">
        <f aca="false">IF(AND(Eingabe!$F$12&gt;0,Eingabe!$E$12&gt;=88),IF((Eingabe!$G$12)&lt;=9,1000+(Eingabe!$G$12)*100,3000)+88,"")</f>
        <v/>
      </c>
      <c r="F702" s="20" t="str">
        <f aca="false">IF(AND(Eingabe!$F$12&gt;0,Eingabe!$E$12&gt;=88),"10."&amp;Eingabe!$D$12&amp;".88.0/24","")</f>
        <v/>
      </c>
      <c r="G702" s="20" t="str">
        <f aca="false">IF(AND(Eingabe!$F$12&gt;0,Eingabe!$E$12&gt;=88),"10."&amp;Eingabe!$D$12&amp;".88.1","")</f>
        <v/>
      </c>
      <c r="H702" s="20" t="str">
        <f aca="false">IF(AND(Eingabe!$F$12&gt;0,Eingabe!$E$12&gt;=88),"10."&amp;Eingabe!$D$12&amp;".88.10 – 10."&amp;Eingabe!$D$12&amp;".88.250","")</f>
        <v/>
      </c>
      <c r="I702" s="20" t="str">
        <f aca="false">IF(AND(Eingabe!$F$12&gt;0,Eingabe!$E$12&gt;=88),Eingabe!$B$6&amp;"-"&amp;Eingabe!$C$12&amp;"-Pächter","")</f>
        <v/>
      </c>
      <c r="J702" s="20" t="str">
        <f aca="false">IF(AND(Eingabe!$F$12&gt;0,Eingabe!$E$12&gt;=88),"PPSK: Passwort Parzelle 88","")</f>
        <v/>
      </c>
      <c r="K702" s="20" t="str">
        <f aca="false">IF(AND(Eingabe!$F$12&gt;0,Eingabe!$E$12&gt;=88),"1. Gerät: 10."&amp;Eingabe!$D$12&amp;".88.10, 2. Gerät: .11","")</f>
        <v/>
      </c>
    </row>
    <row r="703" customFormat="false" ht="15" hidden="false" customHeight="false" outlineLevel="0" collapsed="false">
      <c r="A703" s="20" t="str">
        <f aca="false">IF(AND(Eingabe!$F$12&gt;0,Eingabe!$E$12&gt;=89),4,"")</f>
        <v/>
      </c>
      <c r="B703" s="20" t="str">
        <f aca="false">IF(AND(Eingabe!$F$12&gt;0,Eingabe!$E$12&gt;=89),Eingabe!$B$12,"")</f>
        <v/>
      </c>
      <c r="C703" s="20" t="str">
        <f aca="false">IF(AND(Eingabe!$F$12&gt;0,Eingabe!$E$12&gt;=89),Eingabe!$C$12&amp;"-Paz."&amp;TEXT(89,"000"),"")</f>
        <v/>
      </c>
      <c r="D703" s="20" t="str">
        <f aca="false">IF(AND(Eingabe!$F$12&gt;0,Eingabe!$E$12&gt;=89),89,"")</f>
        <v/>
      </c>
      <c r="E703" s="20" t="str">
        <f aca="false">IF(AND(Eingabe!$F$12&gt;0,Eingabe!$E$12&gt;=89),IF((Eingabe!$G$12)&lt;=9,1000+(Eingabe!$G$12)*100,3000)+89,"")</f>
        <v/>
      </c>
      <c r="F703" s="20" t="str">
        <f aca="false">IF(AND(Eingabe!$F$12&gt;0,Eingabe!$E$12&gt;=89),"10."&amp;Eingabe!$D$12&amp;".89.0/24","")</f>
        <v/>
      </c>
      <c r="G703" s="20" t="str">
        <f aca="false">IF(AND(Eingabe!$F$12&gt;0,Eingabe!$E$12&gt;=89),"10."&amp;Eingabe!$D$12&amp;".89.1","")</f>
        <v/>
      </c>
      <c r="H703" s="20" t="str">
        <f aca="false">IF(AND(Eingabe!$F$12&gt;0,Eingabe!$E$12&gt;=89),"10."&amp;Eingabe!$D$12&amp;".89.10 – 10."&amp;Eingabe!$D$12&amp;".89.250","")</f>
        <v/>
      </c>
      <c r="I703" s="20" t="str">
        <f aca="false">IF(AND(Eingabe!$F$12&gt;0,Eingabe!$E$12&gt;=89),Eingabe!$B$6&amp;"-"&amp;Eingabe!$C$12&amp;"-Pächter","")</f>
        <v/>
      </c>
      <c r="J703" s="20" t="str">
        <f aca="false">IF(AND(Eingabe!$F$12&gt;0,Eingabe!$E$12&gt;=89),"PPSK: Passwort Parzelle 89","")</f>
        <v/>
      </c>
      <c r="K703" s="20" t="str">
        <f aca="false">IF(AND(Eingabe!$F$12&gt;0,Eingabe!$E$12&gt;=89),"1. Gerät: 10."&amp;Eingabe!$D$12&amp;".89.10, 2. Gerät: .11","")</f>
        <v/>
      </c>
    </row>
    <row r="704" customFormat="false" ht="15" hidden="false" customHeight="false" outlineLevel="0" collapsed="false">
      <c r="A704" s="20" t="str">
        <f aca="false">IF(AND(Eingabe!$F$12&gt;0,Eingabe!$E$12&gt;=90),4,"")</f>
        <v/>
      </c>
      <c r="B704" s="20" t="str">
        <f aca="false">IF(AND(Eingabe!$F$12&gt;0,Eingabe!$E$12&gt;=90),Eingabe!$B$12,"")</f>
        <v/>
      </c>
      <c r="C704" s="20" t="str">
        <f aca="false">IF(AND(Eingabe!$F$12&gt;0,Eingabe!$E$12&gt;=90),Eingabe!$C$12&amp;"-Paz."&amp;TEXT(90,"000"),"")</f>
        <v/>
      </c>
      <c r="D704" s="20" t="str">
        <f aca="false">IF(AND(Eingabe!$F$12&gt;0,Eingabe!$E$12&gt;=90),90,"")</f>
        <v/>
      </c>
      <c r="E704" s="20" t="str">
        <f aca="false">IF(AND(Eingabe!$F$12&gt;0,Eingabe!$E$12&gt;=90),IF((Eingabe!$G$12)&lt;=9,1000+(Eingabe!$G$12)*100,3000)+90,"")</f>
        <v/>
      </c>
      <c r="F704" s="20" t="str">
        <f aca="false">IF(AND(Eingabe!$F$12&gt;0,Eingabe!$E$12&gt;=90),"10."&amp;Eingabe!$D$12&amp;".90.0/24","")</f>
        <v/>
      </c>
      <c r="G704" s="20" t="str">
        <f aca="false">IF(AND(Eingabe!$F$12&gt;0,Eingabe!$E$12&gt;=90),"10."&amp;Eingabe!$D$12&amp;".90.1","")</f>
        <v/>
      </c>
      <c r="H704" s="20" t="str">
        <f aca="false">IF(AND(Eingabe!$F$12&gt;0,Eingabe!$E$12&gt;=90),"10."&amp;Eingabe!$D$12&amp;".90.10 – 10."&amp;Eingabe!$D$12&amp;".90.250","")</f>
        <v/>
      </c>
      <c r="I704" s="20" t="str">
        <f aca="false">IF(AND(Eingabe!$F$12&gt;0,Eingabe!$E$12&gt;=90),Eingabe!$B$6&amp;"-"&amp;Eingabe!$C$12&amp;"-Pächter","")</f>
        <v/>
      </c>
      <c r="J704" s="20" t="str">
        <f aca="false">IF(AND(Eingabe!$F$12&gt;0,Eingabe!$E$12&gt;=90),"PPSK: Passwort Parzelle 90","")</f>
        <v/>
      </c>
      <c r="K704" s="20" t="str">
        <f aca="false">IF(AND(Eingabe!$F$12&gt;0,Eingabe!$E$12&gt;=90),"1. Gerät: 10."&amp;Eingabe!$D$12&amp;".90.10, 2. Gerät: .11","")</f>
        <v/>
      </c>
    </row>
    <row r="705" customFormat="false" ht="15" hidden="false" customHeight="false" outlineLevel="0" collapsed="false">
      <c r="A705" s="20" t="str">
        <f aca="false">IF(AND(Eingabe!$F$12&gt;0,Eingabe!$E$12&gt;=91),4,"")</f>
        <v/>
      </c>
      <c r="B705" s="20" t="str">
        <f aca="false">IF(AND(Eingabe!$F$12&gt;0,Eingabe!$E$12&gt;=91),Eingabe!$B$12,"")</f>
        <v/>
      </c>
      <c r="C705" s="20" t="str">
        <f aca="false">IF(AND(Eingabe!$F$12&gt;0,Eingabe!$E$12&gt;=91),Eingabe!$C$12&amp;"-Paz."&amp;TEXT(91,"000"),"")</f>
        <v/>
      </c>
      <c r="D705" s="20" t="str">
        <f aca="false">IF(AND(Eingabe!$F$12&gt;0,Eingabe!$E$12&gt;=91),91,"")</f>
        <v/>
      </c>
      <c r="E705" s="20" t="str">
        <f aca="false">IF(AND(Eingabe!$F$12&gt;0,Eingabe!$E$12&gt;=91),IF((Eingabe!$G$12)&lt;=9,1000+(Eingabe!$G$12)*100,3000)+91,"")</f>
        <v/>
      </c>
      <c r="F705" s="20" t="str">
        <f aca="false">IF(AND(Eingabe!$F$12&gt;0,Eingabe!$E$12&gt;=91),"10."&amp;Eingabe!$D$12&amp;".91.0/24","")</f>
        <v/>
      </c>
      <c r="G705" s="20" t="str">
        <f aca="false">IF(AND(Eingabe!$F$12&gt;0,Eingabe!$E$12&gt;=91),"10."&amp;Eingabe!$D$12&amp;".91.1","")</f>
        <v/>
      </c>
      <c r="H705" s="20" t="str">
        <f aca="false">IF(AND(Eingabe!$F$12&gt;0,Eingabe!$E$12&gt;=91),"10."&amp;Eingabe!$D$12&amp;".91.10 – 10."&amp;Eingabe!$D$12&amp;".91.250","")</f>
        <v/>
      </c>
      <c r="I705" s="20" t="str">
        <f aca="false">IF(AND(Eingabe!$F$12&gt;0,Eingabe!$E$12&gt;=91),Eingabe!$B$6&amp;"-"&amp;Eingabe!$C$12&amp;"-Pächter","")</f>
        <v/>
      </c>
      <c r="J705" s="20" t="str">
        <f aca="false">IF(AND(Eingabe!$F$12&gt;0,Eingabe!$E$12&gt;=91),"PPSK: Passwort Parzelle 91","")</f>
        <v/>
      </c>
      <c r="K705" s="20" t="str">
        <f aca="false">IF(AND(Eingabe!$F$12&gt;0,Eingabe!$E$12&gt;=91),"1. Gerät: 10."&amp;Eingabe!$D$12&amp;".91.10, 2. Gerät: .11","")</f>
        <v/>
      </c>
    </row>
    <row r="706" customFormat="false" ht="15" hidden="false" customHeight="false" outlineLevel="0" collapsed="false">
      <c r="A706" s="20" t="str">
        <f aca="false">IF(AND(Eingabe!$F$12&gt;0,Eingabe!$E$12&gt;=92),4,"")</f>
        <v/>
      </c>
      <c r="B706" s="20" t="str">
        <f aca="false">IF(AND(Eingabe!$F$12&gt;0,Eingabe!$E$12&gt;=92),Eingabe!$B$12,"")</f>
        <v/>
      </c>
      <c r="C706" s="20" t="str">
        <f aca="false">IF(AND(Eingabe!$F$12&gt;0,Eingabe!$E$12&gt;=92),Eingabe!$C$12&amp;"-Paz."&amp;TEXT(92,"000"),"")</f>
        <v/>
      </c>
      <c r="D706" s="20" t="str">
        <f aca="false">IF(AND(Eingabe!$F$12&gt;0,Eingabe!$E$12&gt;=92),92,"")</f>
        <v/>
      </c>
      <c r="E706" s="20" t="str">
        <f aca="false">IF(AND(Eingabe!$F$12&gt;0,Eingabe!$E$12&gt;=92),IF((Eingabe!$G$12)&lt;=9,1000+(Eingabe!$G$12)*100,3000)+92,"")</f>
        <v/>
      </c>
      <c r="F706" s="20" t="str">
        <f aca="false">IF(AND(Eingabe!$F$12&gt;0,Eingabe!$E$12&gt;=92),"10."&amp;Eingabe!$D$12&amp;".92.0/24","")</f>
        <v/>
      </c>
      <c r="G706" s="20" t="str">
        <f aca="false">IF(AND(Eingabe!$F$12&gt;0,Eingabe!$E$12&gt;=92),"10."&amp;Eingabe!$D$12&amp;".92.1","")</f>
        <v/>
      </c>
      <c r="H706" s="20" t="str">
        <f aca="false">IF(AND(Eingabe!$F$12&gt;0,Eingabe!$E$12&gt;=92),"10."&amp;Eingabe!$D$12&amp;".92.10 – 10."&amp;Eingabe!$D$12&amp;".92.250","")</f>
        <v/>
      </c>
      <c r="I706" s="20" t="str">
        <f aca="false">IF(AND(Eingabe!$F$12&gt;0,Eingabe!$E$12&gt;=92),Eingabe!$B$6&amp;"-"&amp;Eingabe!$C$12&amp;"-Pächter","")</f>
        <v/>
      </c>
      <c r="J706" s="20" t="str">
        <f aca="false">IF(AND(Eingabe!$F$12&gt;0,Eingabe!$E$12&gt;=92),"PPSK: Passwort Parzelle 92","")</f>
        <v/>
      </c>
      <c r="K706" s="20" t="str">
        <f aca="false">IF(AND(Eingabe!$F$12&gt;0,Eingabe!$E$12&gt;=92),"1. Gerät: 10."&amp;Eingabe!$D$12&amp;".92.10, 2. Gerät: .11","")</f>
        <v/>
      </c>
    </row>
    <row r="707" customFormat="false" ht="15" hidden="false" customHeight="false" outlineLevel="0" collapsed="false">
      <c r="A707" s="20" t="str">
        <f aca="false">IF(AND(Eingabe!$F$12&gt;0,Eingabe!$E$12&gt;=93),4,"")</f>
        <v/>
      </c>
      <c r="B707" s="20" t="str">
        <f aca="false">IF(AND(Eingabe!$F$12&gt;0,Eingabe!$E$12&gt;=93),Eingabe!$B$12,"")</f>
        <v/>
      </c>
      <c r="C707" s="20" t="str">
        <f aca="false">IF(AND(Eingabe!$F$12&gt;0,Eingabe!$E$12&gt;=93),Eingabe!$C$12&amp;"-Paz."&amp;TEXT(93,"000"),"")</f>
        <v/>
      </c>
      <c r="D707" s="20" t="str">
        <f aca="false">IF(AND(Eingabe!$F$12&gt;0,Eingabe!$E$12&gt;=93),93,"")</f>
        <v/>
      </c>
      <c r="E707" s="20" t="str">
        <f aca="false">IF(AND(Eingabe!$F$12&gt;0,Eingabe!$E$12&gt;=93),IF((Eingabe!$G$12)&lt;=9,1000+(Eingabe!$G$12)*100,3000)+93,"")</f>
        <v/>
      </c>
      <c r="F707" s="20" t="str">
        <f aca="false">IF(AND(Eingabe!$F$12&gt;0,Eingabe!$E$12&gt;=93),"10."&amp;Eingabe!$D$12&amp;".93.0/24","")</f>
        <v/>
      </c>
      <c r="G707" s="20" t="str">
        <f aca="false">IF(AND(Eingabe!$F$12&gt;0,Eingabe!$E$12&gt;=93),"10."&amp;Eingabe!$D$12&amp;".93.1","")</f>
        <v/>
      </c>
      <c r="H707" s="20" t="str">
        <f aca="false">IF(AND(Eingabe!$F$12&gt;0,Eingabe!$E$12&gt;=93),"10."&amp;Eingabe!$D$12&amp;".93.10 – 10."&amp;Eingabe!$D$12&amp;".93.250","")</f>
        <v/>
      </c>
      <c r="I707" s="20" t="str">
        <f aca="false">IF(AND(Eingabe!$F$12&gt;0,Eingabe!$E$12&gt;=93),Eingabe!$B$6&amp;"-"&amp;Eingabe!$C$12&amp;"-Pächter","")</f>
        <v/>
      </c>
      <c r="J707" s="20" t="str">
        <f aca="false">IF(AND(Eingabe!$F$12&gt;0,Eingabe!$E$12&gt;=93),"PPSK: Passwort Parzelle 93","")</f>
        <v/>
      </c>
      <c r="K707" s="20" t="str">
        <f aca="false">IF(AND(Eingabe!$F$12&gt;0,Eingabe!$E$12&gt;=93),"1. Gerät: 10."&amp;Eingabe!$D$12&amp;".93.10, 2. Gerät: .11","")</f>
        <v/>
      </c>
    </row>
    <row r="708" customFormat="false" ht="15" hidden="false" customHeight="false" outlineLevel="0" collapsed="false">
      <c r="A708" s="20" t="str">
        <f aca="false">IF(AND(Eingabe!$F$12&gt;0,Eingabe!$E$12&gt;=94),4,"")</f>
        <v/>
      </c>
      <c r="B708" s="20" t="str">
        <f aca="false">IF(AND(Eingabe!$F$12&gt;0,Eingabe!$E$12&gt;=94),Eingabe!$B$12,"")</f>
        <v/>
      </c>
      <c r="C708" s="20" t="str">
        <f aca="false">IF(AND(Eingabe!$F$12&gt;0,Eingabe!$E$12&gt;=94),Eingabe!$C$12&amp;"-Paz."&amp;TEXT(94,"000"),"")</f>
        <v/>
      </c>
      <c r="D708" s="20" t="str">
        <f aca="false">IF(AND(Eingabe!$F$12&gt;0,Eingabe!$E$12&gt;=94),94,"")</f>
        <v/>
      </c>
      <c r="E708" s="20" t="str">
        <f aca="false">IF(AND(Eingabe!$F$12&gt;0,Eingabe!$E$12&gt;=94),IF((Eingabe!$G$12)&lt;=9,1000+(Eingabe!$G$12)*100,3000)+94,"")</f>
        <v/>
      </c>
      <c r="F708" s="20" t="str">
        <f aca="false">IF(AND(Eingabe!$F$12&gt;0,Eingabe!$E$12&gt;=94),"10."&amp;Eingabe!$D$12&amp;".94.0/24","")</f>
        <v/>
      </c>
      <c r="G708" s="20" t="str">
        <f aca="false">IF(AND(Eingabe!$F$12&gt;0,Eingabe!$E$12&gt;=94),"10."&amp;Eingabe!$D$12&amp;".94.1","")</f>
        <v/>
      </c>
      <c r="H708" s="20" t="str">
        <f aca="false">IF(AND(Eingabe!$F$12&gt;0,Eingabe!$E$12&gt;=94),"10."&amp;Eingabe!$D$12&amp;".94.10 – 10."&amp;Eingabe!$D$12&amp;".94.250","")</f>
        <v/>
      </c>
      <c r="I708" s="20" t="str">
        <f aca="false">IF(AND(Eingabe!$F$12&gt;0,Eingabe!$E$12&gt;=94),Eingabe!$B$6&amp;"-"&amp;Eingabe!$C$12&amp;"-Pächter","")</f>
        <v/>
      </c>
      <c r="J708" s="20" t="str">
        <f aca="false">IF(AND(Eingabe!$F$12&gt;0,Eingabe!$E$12&gt;=94),"PPSK: Passwort Parzelle 94","")</f>
        <v/>
      </c>
      <c r="K708" s="20" t="str">
        <f aca="false">IF(AND(Eingabe!$F$12&gt;0,Eingabe!$E$12&gt;=94),"1. Gerät: 10."&amp;Eingabe!$D$12&amp;".94.10, 2. Gerät: .11","")</f>
        <v/>
      </c>
    </row>
    <row r="709" customFormat="false" ht="15" hidden="false" customHeight="false" outlineLevel="0" collapsed="false">
      <c r="A709" s="20" t="str">
        <f aca="false">IF(AND(Eingabe!$F$12&gt;0,Eingabe!$E$12&gt;=95),4,"")</f>
        <v/>
      </c>
      <c r="B709" s="20" t="str">
        <f aca="false">IF(AND(Eingabe!$F$12&gt;0,Eingabe!$E$12&gt;=95),Eingabe!$B$12,"")</f>
        <v/>
      </c>
      <c r="C709" s="20" t="str">
        <f aca="false">IF(AND(Eingabe!$F$12&gt;0,Eingabe!$E$12&gt;=95),Eingabe!$C$12&amp;"-Paz."&amp;TEXT(95,"000"),"")</f>
        <v/>
      </c>
      <c r="D709" s="20" t="str">
        <f aca="false">IF(AND(Eingabe!$F$12&gt;0,Eingabe!$E$12&gt;=95),95,"")</f>
        <v/>
      </c>
      <c r="E709" s="20" t="str">
        <f aca="false">IF(AND(Eingabe!$F$12&gt;0,Eingabe!$E$12&gt;=95),IF((Eingabe!$G$12)&lt;=9,1000+(Eingabe!$G$12)*100,3000)+95,"")</f>
        <v/>
      </c>
      <c r="F709" s="20" t="str">
        <f aca="false">IF(AND(Eingabe!$F$12&gt;0,Eingabe!$E$12&gt;=95),"10."&amp;Eingabe!$D$12&amp;".95.0/24","")</f>
        <v/>
      </c>
      <c r="G709" s="20" t="str">
        <f aca="false">IF(AND(Eingabe!$F$12&gt;0,Eingabe!$E$12&gt;=95),"10."&amp;Eingabe!$D$12&amp;".95.1","")</f>
        <v/>
      </c>
      <c r="H709" s="20" t="str">
        <f aca="false">IF(AND(Eingabe!$F$12&gt;0,Eingabe!$E$12&gt;=95),"10."&amp;Eingabe!$D$12&amp;".95.10 – 10."&amp;Eingabe!$D$12&amp;".95.250","")</f>
        <v/>
      </c>
      <c r="I709" s="20" t="str">
        <f aca="false">IF(AND(Eingabe!$F$12&gt;0,Eingabe!$E$12&gt;=95),Eingabe!$B$6&amp;"-"&amp;Eingabe!$C$12&amp;"-Pächter","")</f>
        <v/>
      </c>
      <c r="J709" s="20" t="str">
        <f aca="false">IF(AND(Eingabe!$F$12&gt;0,Eingabe!$E$12&gt;=95),"PPSK: Passwort Parzelle 95","")</f>
        <v/>
      </c>
      <c r="K709" s="20" t="str">
        <f aca="false">IF(AND(Eingabe!$F$12&gt;0,Eingabe!$E$12&gt;=95),"1. Gerät: 10."&amp;Eingabe!$D$12&amp;".95.10, 2. Gerät: .11","")</f>
        <v/>
      </c>
    </row>
    <row r="710" customFormat="false" ht="15" hidden="false" customHeight="false" outlineLevel="0" collapsed="false">
      <c r="A710" s="20" t="str">
        <f aca="false">IF(AND(Eingabe!$F$12&gt;0,Eingabe!$E$12&gt;=96),4,"")</f>
        <v/>
      </c>
      <c r="B710" s="20" t="str">
        <f aca="false">IF(AND(Eingabe!$F$12&gt;0,Eingabe!$E$12&gt;=96),Eingabe!$B$12,"")</f>
        <v/>
      </c>
      <c r="C710" s="20" t="str">
        <f aca="false">IF(AND(Eingabe!$F$12&gt;0,Eingabe!$E$12&gt;=96),Eingabe!$C$12&amp;"-Paz."&amp;TEXT(96,"000"),"")</f>
        <v/>
      </c>
      <c r="D710" s="20" t="str">
        <f aca="false">IF(AND(Eingabe!$F$12&gt;0,Eingabe!$E$12&gt;=96),96,"")</f>
        <v/>
      </c>
      <c r="E710" s="20" t="str">
        <f aca="false">IF(AND(Eingabe!$F$12&gt;0,Eingabe!$E$12&gt;=96),IF((Eingabe!$G$12)&lt;=9,1000+(Eingabe!$G$12)*100,3000)+96,"")</f>
        <v/>
      </c>
      <c r="F710" s="20" t="str">
        <f aca="false">IF(AND(Eingabe!$F$12&gt;0,Eingabe!$E$12&gt;=96),"10."&amp;Eingabe!$D$12&amp;".96.0/24","")</f>
        <v/>
      </c>
      <c r="G710" s="20" t="str">
        <f aca="false">IF(AND(Eingabe!$F$12&gt;0,Eingabe!$E$12&gt;=96),"10."&amp;Eingabe!$D$12&amp;".96.1","")</f>
        <v/>
      </c>
      <c r="H710" s="20" t="str">
        <f aca="false">IF(AND(Eingabe!$F$12&gt;0,Eingabe!$E$12&gt;=96),"10."&amp;Eingabe!$D$12&amp;".96.10 – 10."&amp;Eingabe!$D$12&amp;".96.250","")</f>
        <v/>
      </c>
      <c r="I710" s="20" t="str">
        <f aca="false">IF(AND(Eingabe!$F$12&gt;0,Eingabe!$E$12&gt;=96),Eingabe!$B$6&amp;"-"&amp;Eingabe!$C$12&amp;"-Pächter","")</f>
        <v/>
      </c>
      <c r="J710" s="20" t="str">
        <f aca="false">IF(AND(Eingabe!$F$12&gt;0,Eingabe!$E$12&gt;=96),"PPSK: Passwort Parzelle 96","")</f>
        <v/>
      </c>
      <c r="K710" s="20" t="str">
        <f aca="false">IF(AND(Eingabe!$F$12&gt;0,Eingabe!$E$12&gt;=96),"1. Gerät: 10."&amp;Eingabe!$D$12&amp;".96.10, 2. Gerät: .11","")</f>
        <v/>
      </c>
    </row>
    <row r="711" customFormat="false" ht="15" hidden="false" customHeight="false" outlineLevel="0" collapsed="false">
      <c r="A711" s="20" t="str">
        <f aca="false">IF(AND(Eingabe!$F$12&gt;0,Eingabe!$E$12&gt;=97),4,"")</f>
        <v/>
      </c>
      <c r="B711" s="20" t="str">
        <f aca="false">IF(AND(Eingabe!$F$12&gt;0,Eingabe!$E$12&gt;=97),Eingabe!$B$12,"")</f>
        <v/>
      </c>
      <c r="C711" s="20" t="str">
        <f aca="false">IF(AND(Eingabe!$F$12&gt;0,Eingabe!$E$12&gt;=97),Eingabe!$C$12&amp;"-Paz."&amp;TEXT(97,"000"),"")</f>
        <v/>
      </c>
      <c r="D711" s="20" t="str">
        <f aca="false">IF(AND(Eingabe!$F$12&gt;0,Eingabe!$E$12&gt;=97),97,"")</f>
        <v/>
      </c>
      <c r="E711" s="20" t="str">
        <f aca="false">IF(AND(Eingabe!$F$12&gt;0,Eingabe!$E$12&gt;=97),IF((Eingabe!$G$12)&lt;=9,1000+(Eingabe!$G$12)*100,3000)+97,"")</f>
        <v/>
      </c>
      <c r="F711" s="20" t="str">
        <f aca="false">IF(AND(Eingabe!$F$12&gt;0,Eingabe!$E$12&gt;=97),"10."&amp;Eingabe!$D$12&amp;".97.0/24","")</f>
        <v/>
      </c>
      <c r="G711" s="20" t="str">
        <f aca="false">IF(AND(Eingabe!$F$12&gt;0,Eingabe!$E$12&gt;=97),"10."&amp;Eingabe!$D$12&amp;".97.1","")</f>
        <v/>
      </c>
      <c r="H711" s="20" t="str">
        <f aca="false">IF(AND(Eingabe!$F$12&gt;0,Eingabe!$E$12&gt;=97),"10."&amp;Eingabe!$D$12&amp;".97.10 – 10."&amp;Eingabe!$D$12&amp;".97.250","")</f>
        <v/>
      </c>
      <c r="I711" s="20" t="str">
        <f aca="false">IF(AND(Eingabe!$F$12&gt;0,Eingabe!$E$12&gt;=97),Eingabe!$B$6&amp;"-"&amp;Eingabe!$C$12&amp;"-Pächter","")</f>
        <v/>
      </c>
      <c r="J711" s="20" t="str">
        <f aca="false">IF(AND(Eingabe!$F$12&gt;0,Eingabe!$E$12&gt;=97),"PPSK: Passwort Parzelle 97","")</f>
        <v/>
      </c>
      <c r="K711" s="20" t="str">
        <f aca="false">IF(AND(Eingabe!$F$12&gt;0,Eingabe!$E$12&gt;=97),"1. Gerät: 10."&amp;Eingabe!$D$12&amp;".97.10, 2. Gerät: .11","")</f>
        <v/>
      </c>
    </row>
    <row r="712" customFormat="false" ht="15" hidden="false" customHeight="false" outlineLevel="0" collapsed="false">
      <c r="A712" s="20" t="str">
        <f aca="false">IF(AND(Eingabe!$F$12&gt;0,Eingabe!$E$12&gt;=98),4,"")</f>
        <v/>
      </c>
      <c r="B712" s="20" t="str">
        <f aca="false">IF(AND(Eingabe!$F$12&gt;0,Eingabe!$E$12&gt;=98),Eingabe!$B$12,"")</f>
        <v/>
      </c>
      <c r="C712" s="20" t="str">
        <f aca="false">IF(AND(Eingabe!$F$12&gt;0,Eingabe!$E$12&gt;=98),Eingabe!$C$12&amp;"-Paz."&amp;TEXT(98,"000"),"")</f>
        <v/>
      </c>
      <c r="D712" s="20" t="str">
        <f aca="false">IF(AND(Eingabe!$F$12&gt;0,Eingabe!$E$12&gt;=98),98,"")</f>
        <v/>
      </c>
      <c r="E712" s="20" t="str">
        <f aca="false">IF(AND(Eingabe!$F$12&gt;0,Eingabe!$E$12&gt;=98),IF((Eingabe!$G$12)&lt;=9,1000+(Eingabe!$G$12)*100,3000)+98,"")</f>
        <v/>
      </c>
      <c r="F712" s="20" t="str">
        <f aca="false">IF(AND(Eingabe!$F$12&gt;0,Eingabe!$E$12&gt;=98),"10."&amp;Eingabe!$D$12&amp;".98.0/24","")</f>
        <v/>
      </c>
      <c r="G712" s="20" t="str">
        <f aca="false">IF(AND(Eingabe!$F$12&gt;0,Eingabe!$E$12&gt;=98),"10."&amp;Eingabe!$D$12&amp;".98.1","")</f>
        <v/>
      </c>
      <c r="H712" s="20" t="str">
        <f aca="false">IF(AND(Eingabe!$F$12&gt;0,Eingabe!$E$12&gt;=98),"10."&amp;Eingabe!$D$12&amp;".98.10 – 10."&amp;Eingabe!$D$12&amp;".98.250","")</f>
        <v/>
      </c>
      <c r="I712" s="20" t="str">
        <f aca="false">IF(AND(Eingabe!$F$12&gt;0,Eingabe!$E$12&gt;=98),Eingabe!$B$6&amp;"-"&amp;Eingabe!$C$12&amp;"-Pächter","")</f>
        <v/>
      </c>
      <c r="J712" s="20" t="str">
        <f aca="false">IF(AND(Eingabe!$F$12&gt;0,Eingabe!$E$12&gt;=98),"PPSK: Passwort Parzelle 98","")</f>
        <v/>
      </c>
      <c r="K712" s="20" t="str">
        <f aca="false">IF(AND(Eingabe!$F$12&gt;0,Eingabe!$E$12&gt;=98),"1. Gerät: 10."&amp;Eingabe!$D$12&amp;".98.10, 2. Gerät: .11","")</f>
        <v/>
      </c>
    </row>
    <row r="713" customFormat="false" ht="15" hidden="false" customHeight="false" outlineLevel="0" collapsed="false">
      <c r="A713" s="20" t="str">
        <f aca="false">IF(AND(Eingabe!$F$12&gt;0,Eingabe!$E$12&gt;=99),4,"")</f>
        <v/>
      </c>
      <c r="B713" s="20" t="str">
        <f aca="false">IF(AND(Eingabe!$F$12&gt;0,Eingabe!$E$12&gt;=99),Eingabe!$B$12,"")</f>
        <v/>
      </c>
      <c r="C713" s="20" t="str">
        <f aca="false">IF(AND(Eingabe!$F$12&gt;0,Eingabe!$E$12&gt;=99),Eingabe!$C$12&amp;"-Paz."&amp;TEXT(99,"000"),"")</f>
        <v/>
      </c>
      <c r="D713" s="20" t="str">
        <f aca="false">IF(AND(Eingabe!$F$12&gt;0,Eingabe!$E$12&gt;=99),99,"")</f>
        <v/>
      </c>
      <c r="E713" s="20" t="str">
        <f aca="false">IF(AND(Eingabe!$F$12&gt;0,Eingabe!$E$12&gt;=99),IF((Eingabe!$G$12)&lt;=9,1000+(Eingabe!$G$12)*100,3000)+99,"")</f>
        <v/>
      </c>
      <c r="F713" s="20" t="str">
        <f aca="false">IF(AND(Eingabe!$F$12&gt;0,Eingabe!$E$12&gt;=99),"10."&amp;Eingabe!$D$12&amp;".99.0/24","")</f>
        <v/>
      </c>
      <c r="G713" s="20" t="str">
        <f aca="false">IF(AND(Eingabe!$F$12&gt;0,Eingabe!$E$12&gt;=99),"10."&amp;Eingabe!$D$12&amp;".99.1","")</f>
        <v/>
      </c>
      <c r="H713" s="20" t="str">
        <f aca="false">IF(AND(Eingabe!$F$12&gt;0,Eingabe!$E$12&gt;=99),"10."&amp;Eingabe!$D$12&amp;".99.10 – 10."&amp;Eingabe!$D$12&amp;".99.250","")</f>
        <v/>
      </c>
      <c r="I713" s="20" t="str">
        <f aca="false">IF(AND(Eingabe!$F$12&gt;0,Eingabe!$E$12&gt;=99),Eingabe!$B$6&amp;"-"&amp;Eingabe!$C$12&amp;"-Pächter","")</f>
        <v/>
      </c>
      <c r="J713" s="20" t="str">
        <f aca="false">IF(AND(Eingabe!$F$12&gt;0,Eingabe!$E$12&gt;=99),"PPSK: Passwort Parzelle 99","")</f>
        <v/>
      </c>
      <c r="K713" s="20" t="str">
        <f aca="false">IF(AND(Eingabe!$F$12&gt;0,Eingabe!$E$12&gt;=99),"1. Gerät: 10."&amp;Eingabe!$D$12&amp;".99.10, 2. Gerät: .11","")</f>
        <v/>
      </c>
    </row>
    <row r="714" customFormat="false" ht="15" hidden="false" customHeight="false" outlineLevel="0" collapsed="false">
      <c r="A714" s="20" t="str">
        <f aca="false">IF(AND(Eingabe!$F$12&gt;0,Eingabe!$E$12&gt;=100),4,"")</f>
        <v/>
      </c>
      <c r="B714" s="20" t="str">
        <f aca="false">IF(AND(Eingabe!$F$12&gt;0,Eingabe!$E$12&gt;=100),Eingabe!$B$12,"")</f>
        <v/>
      </c>
      <c r="C714" s="20" t="str">
        <f aca="false">IF(AND(Eingabe!$F$12&gt;0,Eingabe!$E$12&gt;=100),Eingabe!$C$12&amp;"-Paz."&amp;TEXT(100,"000"),"")</f>
        <v/>
      </c>
      <c r="D714" s="20" t="str">
        <f aca="false">IF(AND(Eingabe!$F$12&gt;0,Eingabe!$E$12&gt;=100),100,"")</f>
        <v/>
      </c>
      <c r="E714" s="20" t="str">
        <f aca="false">IF(AND(Eingabe!$F$12&gt;0,Eingabe!$E$12&gt;=100),IF((Eingabe!$G$12+1)&lt;=9,1000+(Eingabe!$G$12+1)*100,3000)+0,"")</f>
        <v/>
      </c>
      <c r="F714" s="20" t="str">
        <f aca="false">IF(AND(Eingabe!$F$12&gt;0,Eingabe!$E$12&gt;=100),"10."&amp;Eingabe!$D$12&amp;".100.0/24","")</f>
        <v/>
      </c>
      <c r="G714" s="20" t="str">
        <f aca="false">IF(AND(Eingabe!$F$12&gt;0,Eingabe!$E$12&gt;=100),"10."&amp;Eingabe!$D$12&amp;".100.1","")</f>
        <v/>
      </c>
      <c r="H714" s="20" t="str">
        <f aca="false">IF(AND(Eingabe!$F$12&gt;0,Eingabe!$E$12&gt;=100),"10."&amp;Eingabe!$D$12&amp;".100.10 – 10."&amp;Eingabe!$D$12&amp;".100.250","")</f>
        <v/>
      </c>
      <c r="I714" s="20" t="str">
        <f aca="false">IF(AND(Eingabe!$F$12&gt;0,Eingabe!$E$12&gt;=100),Eingabe!$B$6&amp;"-"&amp;Eingabe!$C$12&amp;"-Pächter","")</f>
        <v/>
      </c>
      <c r="J714" s="20" t="str">
        <f aca="false">IF(AND(Eingabe!$F$12&gt;0,Eingabe!$E$12&gt;=100),"PPSK: Passwort Parzelle 100","")</f>
        <v/>
      </c>
      <c r="K714" s="20" t="str">
        <f aca="false">IF(AND(Eingabe!$F$12&gt;0,Eingabe!$E$12&gt;=100),"1. Gerät: 10."&amp;Eingabe!$D$12&amp;".100.10, 2. Gerät: .11","")</f>
        <v/>
      </c>
    </row>
    <row r="715" customFormat="false" ht="15" hidden="false" customHeight="false" outlineLevel="0" collapsed="false">
      <c r="A715" s="20" t="str">
        <f aca="false">IF(AND(Eingabe!$F$12&gt;0,Eingabe!$E$12&gt;=101),4,"")</f>
        <v/>
      </c>
      <c r="B715" s="20" t="str">
        <f aca="false">IF(AND(Eingabe!$F$12&gt;0,Eingabe!$E$12&gt;=101),Eingabe!$B$12,"")</f>
        <v/>
      </c>
      <c r="C715" s="20" t="str">
        <f aca="false">IF(AND(Eingabe!$F$12&gt;0,Eingabe!$E$12&gt;=101),Eingabe!$C$12&amp;"-Paz."&amp;TEXT(101,"000"),"")</f>
        <v/>
      </c>
      <c r="D715" s="20" t="str">
        <f aca="false">IF(AND(Eingabe!$F$12&gt;0,Eingabe!$E$12&gt;=101),101,"")</f>
        <v/>
      </c>
      <c r="E715" s="20" t="str">
        <f aca="false">IF(AND(Eingabe!$F$12&gt;0,Eingabe!$E$12&gt;=101),IF((Eingabe!$G$12+1)&lt;=9,1000+(Eingabe!$G$12+1)*100,3000)+1,"")</f>
        <v/>
      </c>
      <c r="F715" s="20" t="str">
        <f aca="false">IF(AND(Eingabe!$F$12&gt;0,Eingabe!$E$12&gt;=101),"10."&amp;Eingabe!$D$12&amp;".101.0/24","")</f>
        <v/>
      </c>
      <c r="G715" s="20" t="str">
        <f aca="false">IF(AND(Eingabe!$F$12&gt;0,Eingabe!$E$12&gt;=101),"10."&amp;Eingabe!$D$12&amp;".101.1","")</f>
        <v/>
      </c>
      <c r="H715" s="20" t="str">
        <f aca="false">IF(AND(Eingabe!$F$12&gt;0,Eingabe!$E$12&gt;=101),"10."&amp;Eingabe!$D$12&amp;".101.10 – 10."&amp;Eingabe!$D$12&amp;".101.250","")</f>
        <v/>
      </c>
      <c r="I715" s="20" t="str">
        <f aca="false">IF(AND(Eingabe!$F$12&gt;0,Eingabe!$E$12&gt;=101),Eingabe!$B$6&amp;"-"&amp;Eingabe!$C$12&amp;"-Pächter","")</f>
        <v/>
      </c>
      <c r="J715" s="20" t="str">
        <f aca="false">IF(AND(Eingabe!$F$12&gt;0,Eingabe!$E$12&gt;=101),"PPSK: Passwort Parzelle 101","")</f>
        <v/>
      </c>
      <c r="K715" s="20" t="str">
        <f aca="false">IF(AND(Eingabe!$F$12&gt;0,Eingabe!$E$12&gt;=101),"1. Gerät: 10."&amp;Eingabe!$D$12&amp;".101.10, 2. Gerät: .11","")</f>
        <v/>
      </c>
    </row>
    <row r="716" customFormat="false" ht="15" hidden="false" customHeight="false" outlineLevel="0" collapsed="false">
      <c r="A716" s="20" t="str">
        <f aca="false">IF(AND(Eingabe!$F$12&gt;0,Eingabe!$E$12&gt;=102),4,"")</f>
        <v/>
      </c>
      <c r="B716" s="20" t="str">
        <f aca="false">IF(AND(Eingabe!$F$12&gt;0,Eingabe!$E$12&gt;=102),Eingabe!$B$12,"")</f>
        <v/>
      </c>
      <c r="C716" s="20" t="str">
        <f aca="false">IF(AND(Eingabe!$F$12&gt;0,Eingabe!$E$12&gt;=102),Eingabe!$C$12&amp;"-Paz."&amp;TEXT(102,"000"),"")</f>
        <v/>
      </c>
      <c r="D716" s="20" t="str">
        <f aca="false">IF(AND(Eingabe!$F$12&gt;0,Eingabe!$E$12&gt;=102),102,"")</f>
        <v/>
      </c>
      <c r="E716" s="20" t="str">
        <f aca="false">IF(AND(Eingabe!$F$12&gt;0,Eingabe!$E$12&gt;=102),IF((Eingabe!$G$12+1)&lt;=9,1000+(Eingabe!$G$12+1)*100,3000)+2,"")</f>
        <v/>
      </c>
      <c r="F716" s="20" t="str">
        <f aca="false">IF(AND(Eingabe!$F$12&gt;0,Eingabe!$E$12&gt;=102),"10."&amp;Eingabe!$D$12&amp;".102.0/24","")</f>
        <v/>
      </c>
      <c r="G716" s="20" t="str">
        <f aca="false">IF(AND(Eingabe!$F$12&gt;0,Eingabe!$E$12&gt;=102),"10."&amp;Eingabe!$D$12&amp;".102.1","")</f>
        <v/>
      </c>
      <c r="H716" s="20" t="str">
        <f aca="false">IF(AND(Eingabe!$F$12&gt;0,Eingabe!$E$12&gt;=102),"10."&amp;Eingabe!$D$12&amp;".102.10 – 10."&amp;Eingabe!$D$12&amp;".102.250","")</f>
        <v/>
      </c>
      <c r="I716" s="20" t="str">
        <f aca="false">IF(AND(Eingabe!$F$12&gt;0,Eingabe!$E$12&gt;=102),Eingabe!$B$6&amp;"-"&amp;Eingabe!$C$12&amp;"-Pächter","")</f>
        <v/>
      </c>
      <c r="J716" s="20" t="str">
        <f aca="false">IF(AND(Eingabe!$F$12&gt;0,Eingabe!$E$12&gt;=102),"PPSK: Passwort Parzelle 102","")</f>
        <v/>
      </c>
      <c r="K716" s="20" t="str">
        <f aca="false">IF(AND(Eingabe!$F$12&gt;0,Eingabe!$E$12&gt;=102),"1. Gerät: 10."&amp;Eingabe!$D$12&amp;".102.10, 2. Gerät: .11","")</f>
        <v/>
      </c>
    </row>
    <row r="717" customFormat="false" ht="15" hidden="false" customHeight="false" outlineLevel="0" collapsed="false">
      <c r="A717" s="20" t="str">
        <f aca="false">IF(AND(Eingabe!$F$12&gt;0,Eingabe!$E$12&gt;=103),4,"")</f>
        <v/>
      </c>
      <c r="B717" s="20" t="str">
        <f aca="false">IF(AND(Eingabe!$F$12&gt;0,Eingabe!$E$12&gt;=103),Eingabe!$B$12,"")</f>
        <v/>
      </c>
      <c r="C717" s="20" t="str">
        <f aca="false">IF(AND(Eingabe!$F$12&gt;0,Eingabe!$E$12&gt;=103),Eingabe!$C$12&amp;"-Paz."&amp;TEXT(103,"000"),"")</f>
        <v/>
      </c>
      <c r="D717" s="20" t="str">
        <f aca="false">IF(AND(Eingabe!$F$12&gt;0,Eingabe!$E$12&gt;=103),103,"")</f>
        <v/>
      </c>
      <c r="E717" s="20" t="str">
        <f aca="false">IF(AND(Eingabe!$F$12&gt;0,Eingabe!$E$12&gt;=103),IF((Eingabe!$G$12+1)&lt;=9,1000+(Eingabe!$G$12+1)*100,3000)+3,"")</f>
        <v/>
      </c>
      <c r="F717" s="20" t="str">
        <f aca="false">IF(AND(Eingabe!$F$12&gt;0,Eingabe!$E$12&gt;=103),"10."&amp;Eingabe!$D$12&amp;".103.0/24","")</f>
        <v/>
      </c>
      <c r="G717" s="20" t="str">
        <f aca="false">IF(AND(Eingabe!$F$12&gt;0,Eingabe!$E$12&gt;=103),"10."&amp;Eingabe!$D$12&amp;".103.1","")</f>
        <v/>
      </c>
      <c r="H717" s="20" t="str">
        <f aca="false">IF(AND(Eingabe!$F$12&gt;0,Eingabe!$E$12&gt;=103),"10."&amp;Eingabe!$D$12&amp;".103.10 – 10."&amp;Eingabe!$D$12&amp;".103.250","")</f>
        <v/>
      </c>
      <c r="I717" s="20" t="str">
        <f aca="false">IF(AND(Eingabe!$F$12&gt;0,Eingabe!$E$12&gt;=103),Eingabe!$B$6&amp;"-"&amp;Eingabe!$C$12&amp;"-Pächter","")</f>
        <v/>
      </c>
      <c r="J717" s="20" t="str">
        <f aca="false">IF(AND(Eingabe!$F$12&gt;0,Eingabe!$E$12&gt;=103),"PPSK: Passwort Parzelle 103","")</f>
        <v/>
      </c>
      <c r="K717" s="20" t="str">
        <f aca="false">IF(AND(Eingabe!$F$12&gt;0,Eingabe!$E$12&gt;=103),"1. Gerät: 10."&amp;Eingabe!$D$12&amp;".103.10, 2. Gerät: .11","")</f>
        <v/>
      </c>
    </row>
    <row r="718" customFormat="false" ht="15" hidden="false" customHeight="false" outlineLevel="0" collapsed="false">
      <c r="A718" s="20" t="str">
        <f aca="false">IF(AND(Eingabe!$F$12&gt;0,Eingabe!$E$12&gt;=104),4,"")</f>
        <v/>
      </c>
      <c r="B718" s="20" t="str">
        <f aca="false">IF(AND(Eingabe!$F$12&gt;0,Eingabe!$E$12&gt;=104),Eingabe!$B$12,"")</f>
        <v/>
      </c>
      <c r="C718" s="20" t="str">
        <f aca="false">IF(AND(Eingabe!$F$12&gt;0,Eingabe!$E$12&gt;=104),Eingabe!$C$12&amp;"-Paz."&amp;TEXT(104,"000"),"")</f>
        <v/>
      </c>
      <c r="D718" s="20" t="str">
        <f aca="false">IF(AND(Eingabe!$F$12&gt;0,Eingabe!$E$12&gt;=104),104,"")</f>
        <v/>
      </c>
      <c r="E718" s="20" t="str">
        <f aca="false">IF(AND(Eingabe!$F$12&gt;0,Eingabe!$E$12&gt;=104),IF((Eingabe!$G$12+1)&lt;=9,1000+(Eingabe!$G$12+1)*100,3000)+4,"")</f>
        <v/>
      </c>
      <c r="F718" s="20" t="str">
        <f aca="false">IF(AND(Eingabe!$F$12&gt;0,Eingabe!$E$12&gt;=104),"10."&amp;Eingabe!$D$12&amp;".104.0/24","")</f>
        <v/>
      </c>
      <c r="G718" s="20" t="str">
        <f aca="false">IF(AND(Eingabe!$F$12&gt;0,Eingabe!$E$12&gt;=104),"10."&amp;Eingabe!$D$12&amp;".104.1","")</f>
        <v/>
      </c>
      <c r="H718" s="20" t="str">
        <f aca="false">IF(AND(Eingabe!$F$12&gt;0,Eingabe!$E$12&gt;=104),"10."&amp;Eingabe!$D$12&amp;".104.10 – 10."&amp;Eingabe!$D$12&amp;".104.250","")</f>
        <v/>
      </c>
      <c r="I718" s="20" t="str">
        <f aca="false">IF(AND(Eingabe!$F$12&gt;0,Eingabe!$E$12&gt;=104),Eingabe!$B$6&amp;"-"&amp;Eingabe!$C$12&amp;"-Pächter","")</f>
        <v/>
      </c>
      <c r="J718" s="20" t="str">
        <f aca="false">IF(AND(Eingabe!$F$12&gt;0,Eingabe!$E$12&gt;=104),"PPSK: Passwort Parzelle 104","")</f>
        <v/>
      </c>
      <c r="K718" s="20" t="str">
        <f aca="false">IF(AND(Eingabe!$F$12&gt;0,Eingabe!$E$12&gt;=104),"1. Gerät: 10."&amp;Eingabe!$D$12&amp;".104.10, 2. Gerät: .11","")</f>
        <v/>
      </c>
    </row>
    <row r="719" customFormat="false" ht="15" hidden="false" customHeight="false" outlineLevel="0" collapsed="false">
      <c r="A719" s="20" t="str">
        <f aca="false">IF(AND(Eingabe!$F$12&gt;0,Eingabe!$E$12&gt;=105),4,"")</f>
        <v/>
      </c>
      <c r="B719" s="20" t="str">
        <f aca="false">IF(AND(Eingabe!$F$12&gt;0,Eingabe!$E$12&gt;=105),Eingabe!$B$12,"")</f>
        <v/>
      </c>
      <c r="C719" s="20" t="str">
        <f aca="false">IF(AND(Eingabe!$F$12&gt;0,Eingabe!$E$12&gt;=105),Eingabe!$C$12&amp;"-Paz."&amp;TEXT(105,"000"),"")</f>
        <v/>
      </c>
      <c r="D719" s="20" t="str">
        <f aca="false">IF(AND(Eingabe!$F$12&gt;0,Eingabe!$E$12&gt;=105),105,"")</f>
        <v/>
      </c>
      <c r="E719" s="20" t="str">
        <f aca="false">IF(AND(Eingabe!$F$12&gt;0,Eingabe!$E$12&gt;=105),IF((Eingabe!$G$12+1)&lt;=9,1000+(Eingabe!$G$12+1)*100,3000)+5,"")</f>
        <v/>
      </c>
      <c r="F719" s="20" t="str">
        <f aca="false">IF(AND(Eingabe!$F$12&gt;0,Eingabe!$E$12&gt;=105),"10."&amp;Eingabe!$D$12&amp;".105.0/24","")</f>
        <v/>
      </c>
      <c r="G719" s="20" t="str">
        <f aca="false">IF(AND(Eingabe!$F$12&gt;0,Eingabe!$E$12&gt;=105),"10."&amp;Eingabe!$D$12&amp;".105.1","")</f>
        <v/>
      </c>
      <c r="H719" s="20" t="str">
        <f aca="false">IF(AND(Eingabe!$F$12&gt;0,Eingabe!$E$12&gt;=105),"10."&amp;Eingabe!$D$12&amp;".105.10 – 10."&amp;Eingabe!$D$12&amp;".105.250","")</f>
        <v/>
      </c>
      <c r="I719" s="20" t="str">
        <f aca="false">IF(AND(Eingabe!$F$12&gt;0,Eingabe!$E$12&gt;=105),Eingabe!$B$6&amp;"-"&amp;Eingabe!$C$12&amp;"-Pächter","")</f>
        <v/>
      </c>
      <c r="J719" s="20" t="str">
        <f aca="false">IF(AND(Eingabe!$F$12&gt;0,Eingabe!$E$12&gt;=105),"PPSK: Passwort Parzelle 105","")</f>
        <v/>
      </c>
      <c r="K719" s="20" t="str">
        <f aca="false">IF(AND(Eingabe!$F$12&gt;0,Eingabe!$E$12&gt;=105),"1. Gerät: 10."&amp;Eingabe!$D$12&amp;".105.10, 2. Gerät: .11","")</f>
        <v/>
      </c>
    </row>
    <row r="720" customFormat="false" ht="15" hidden="false" customHeight="false" outlineLevel="0" collapsed="false">
      <c r="A720" s="20" t="str">
        <f aca="false">IF(AND(Eingabe!$F$12&gt;0,Eingabe!$E$12&gt;=106),4,"")</f>
        <v/>
      </c>
      <c r="B720" s="20" t="str">
        <f aca="false">IF(AND(Eingabe!$F$12&gt;0,Eingabe!$E$12&gt;=106),Eingabe!$B$12,"")</f>
        <v/>
      </c>
      <c r="C720" s="20" t="str">
        <f aca="false">IF(AND(Eingabe!$F$12&gt;0,Eingabe!$E$12&gt;=106),Eingabe!$C$12&amp;"-Paz."&amp;TEXT(106,"000"),"")</f>
        <v/>
      </c>
      <c r="D720" s="20" t="str">
        <f aca="false">IF(AND(Eingabe!$F$12&gt;0,Eingabe!$E$12&gt;=106),106,"")</f>
        <v/>
      </c>
      <c r="E720" s="20" t="str">
        <f aca="false">IF(AND(Eingabe!$F$12&gt;0,Eingabe!$E$12&gt;=106),IF((Eingabe!$G$12+1)&lt;=9,1000+(Eingabe!$G$12+1)*100,3000)+6,"")</f>
        <v/>
      </c>
      <c r="F720" s="20" t="str">
        <f aca="false">IF(AND(Eingabe!$F$12&gt;0,Eingabe!$E$12&gt;=106),"10."&amp;Eingabe!$D$12&amp;".106.0/24","")</f>
        <v/>
      </c>
      <c r="G720" s="20" t="str">
        <f aca="false">IF(AND(Eingabe!$F$12&gt;0,Eingabe!$E$12&gt;=106),"10."&amp;Eingabe!$D$12&amp;".106.1","")</f>
        <v/>
      </c>
      <c r="H720" s="20" t="str">
        <f aca="false">IF(AND(Eingabe!$F$12&gt;0,Eingabe!$E$12&gt;=106),"10."&amp;Eingabe!$D$12&amp;".106.10 – 10."&amp;Eingabe!$D$12&amp;".106.250","")</f>
        <v/>
      </c>
      <c r="I720" s="20" t="str">
        <f aca="false">IF(AND(Eingabe!$F$12&gt;0,Eingabe!$E$12&gt;=106),Eingabe!$B$6&amp;"-"&amp;Eingabe!$C$12&amp;"-Pächter","")</f>
        <v/>
      </c>
      <c r="J720" s="20" t="str">
        <f aca="false">IF(AND(Eingabe!$F$12&gt;0,Eingabe!$E$12&gt;=106),"PPSK: Passwort Parzelle 106","")</f>
        <v/>
      </c>
      <c r="K720" s="20" t="str">
        <f aca="false">IF(AND(Eingabe!$F$12&gt;0,Eingabe!$E$12&gt;=106),"1. Gerät: 10."&amp;Eingabe!$D$12&amp;".106.10, 2. Gerät: .11","")</f>
        <v/>
      </c>
    </row>
    <row r="721" customFormat="false" ht="15" hidden="false" customHeight="false" outlineLevel="0" collapsed="false">
      <c r="A721" s="20" t="str">
        <f aca="false">IF(AND(Eingabe!$F$12&gt;0,Eingabe!$E$12&gt;=107),4,"")</f>
        <v/>
      </c>
      <c r="B721" s="20" t="str">
        <f aca="false">IF(AND(Eingabe!$F$12&gt;0,Eingabe!$E$12&gt;=107),Eingabe!$B$12,"")</f>
        <v/>
      </c>
      <c r="C721" s="20" t="str">
        <f aca="false">IF(AND(Eingabe!$F$12&gt;0,Eingabe!$E$12&gt;=107),Eingabe!$C$12&amp;"-Paz."&amp;TEXT(107,"000"),"")</f>
        <v/>
      </c>
      <c r="D721" s="20" t="str">
        <f aca="false">IF(AND(Eingabe!$F$12&gt;0,Eingabe!$E$12&gt;=107),107,"")</f>
        <v/>
      </c>
      <c r="E721" s="20" t="str">
        <f aca="false">IF(AND(Eingabe!$F$12&gt;0,Eingabe!$E$12&gt;=107),IF((Eingabe!$G$12+1)&lt;=9,1000+(Eingabe!$G$12+1)*100,3000)+7,"")</f>
        <v/>
      </c>
      <c r="F721" s="20" t="str">
        <f aca="false">IF(AND(Eingabe!$F$12&gt;0,Eingabe!$E$12&gt;=107),"10."&amp;Eingabe!$D$12&amp;".107.0/24","")</f>
        <v/>
      </c>
      <c r="G721" s="20" t="str">
        <f aca="false">IF(AND(Eingabe!$F$12&gt;0,Eingabe!$E$12&gt;=107),"10."&amp;Eingabe!$D$12&amp;".107.1","")</f>
        <v/>
      </c>
      <c r="H721" s="20" t="str">
        <f aca="false">IF(AND(Eingabe!$F$12&gt;0,Eingabe!$E$12&gt;=107),"10."&amp;Eingabe!$D$12&amp;".107.10 – 10."&amp;Eingabe!$D$12&amp;".107.250","")</f>
        <v/>
      </c>
      <c r="I721" s="20" t="str">
        <f aca="false">IF(AND(Eingabe!$F$12&gt;0,Eingabe!$E$12&gt;=107),Eingabe!$B$6&amp;"-"&amp;Eingabe!$C$12&amp;"-Pächter","")</f>
        <v/>
      </c>
      <c r="J721" s="20" t="str">
        <f aca="false">IF(AND(Eingabe!$F$12&gt;0,Eingabe!$E$12&gt;=107),"PPSK: Passwort Parzelle 107","")</f>
        <v/>
      </c>
      <c r="K721" s="20" t="str">
        <f aca="false">IF(AND(Eingabe!$F$12&gt;0,Eingabe!$E$12&gt;=107),"1. Gerät: 10."&amp;Eingabe!$D$12&amp;".107.10, 2. Gerät: .11","")</f>
        <v/>
      </c>
    </row>
    <row r="722" customFormat="false" ht="15" hidden="false" customHeight="false" outlineLevel="0" collapsed="false">
      <c r="A722" s="20" t="str">
        <f aca="false">IF(AND(Eingabe!$F$12&gt;0,Eingabe!$E$12&gt;=108),4,"")</f>
        <v/>
      </c>
      <c r="B722" s="20" t="str">
        <f aca="false">IF(AND(Eingabe!$F$12&gt;0,Eingabe!$E$12&gt;=108),Eingabe!$B$12,"")</f>
        <v/>
      </c>
      <c r="C722" s="20" t="str">
        <f aca="false">IF(AND(Eingabe!$F$12&gt;0,Eingabe!$E$12&gt;=108),Eingabe!$C$12&amp;"-Paz."&amp;TEXT(108,"000"),"")</f>
        <v/>
      </c>
      <c r="D722" s="20" t="str">
        <f aca="false">IF(AND(Eingabe!$F$12&gt;0,Eingabe!$E$12&gt;=108),108,"")</f>
        <v/>
      </c>
      <c r="E722" s="20" t="str">
        <f aca="false">IF(AND(Eingabe!$F$12&gt;0,Eingabe!$E$12&gt;=108),IF((Eingabe!$G$12+1)&lt;=9,1000+(Eingabe!$G$12+1)*100,3000)+8,"")</f>
        <v/>
      </c>
      <c r="F722" s="20" t="str">
        <f aca="false">IF(AND(Eingabe!$F$12&gt;0,Eingabe!$E$12&gt;=108),"10."&amp;Eingabe!$D$12&amp;".108.0/24","")</f>
        <v/>
      </c>
      <c r="G722" s="20" t="str">
        <f aca="false">IF(AND(Eingabe!$F$12&gt;0,Eingabe!$E$12&gt;=108),"10."&amp;Eingabe!$D$12&amp;".108.1","")</f>
        <v/>
      </c>
      <c r="H722" s="20" t="str">
        <f aca="false">IF(AND(Eingabe!$F$12&gt;0,Eingabe!$E$12&gt;=108),"10."&amp;Eingabe!$D$12&amp;".108.10 – 10."&amp;Eingabe!$D$12&amp;".108.250","")</f>
        <v/>
      </c>
      <c r="I722" s="20" t="str">
        <f aca="false">IF(AND(Eingabe!$F$12&gt;0,Eingabe!$E$12&gt;=108),Eingabe!$B$6&amp;"-"&amp;Eingabe!$C$12&amp;"-Pächter","")</f>
        <v/>
      </c>
      <c r="J722" s="20" t="str">
        <f aca="false">IF(AND(Eingabe!$F$12&gt;0,Eingabe!$E$12&gt;=108),"PPSK: Passwort Parzelle 108","")</f>
        <v/>
      </c>
      <c r="K722" s="20" t="str">
        <f aca="false">IF(AND(Eingabe!$F$12&gt;0,Eingabe!$E$12&gt;=108),"1. Gerät: 10."&amp;Eingabe!$D$12&amp;".108.10, 2. Gerät: .11","")</f>
        <v/>
      </c>
    </row>
    <row r="723" customFormat="false" ht="15" hidden="false" customHeight="false" outlineLevel="0" collapsed="false">
      <c r="A723" s="20" t="str">
        <f aca="false">IF(AND(Eingabe!$F$12&gt;0,Eingabe!$E$12&gt;=109),4,"")</f>
        <v/>
      </c>
      <c r="B723" s="20" t="str">
        <f aca="false">IF(AND(Eingabe!$F$12&gt;0,Eingabe!$E$12&gt;=109),Eingabe!$B$12,"")</f>
        <v/>
      </c>
      <c r="C723" s="20" t="str">
        <f aca="false">IF(AND(Eingabe!$F$12&gt;0,Eingabe!$E$12&gt;=109),Eingabe!$C$12&amp;"-Paz."&amp;TEXT(109,"000"),"")</f>
        <v/>
      </c>
      <c r="D723" s="20" t="str">
        <f aca="false">IF(AND(Eingabe!$F$12&gt;0,Eingabe!$E$12&gt;=109),109,"")</f>
        <v/>
      </c>
      <c r="E723" s="20" t="str">
        <f aca="false">IF(AND(Eingabe!$F$12&gt;0,Eingabe!$E$12&gt;=109),IF((Eingabe!$G$12+1)&lt;=9,1000+(Eingabe!$G$12+1)*100,3000)+9,"")</f>
        <v/>
      </c>
      <c r="F723" s="20" t="str">
        <f aca="false">IF(AND(Eingabe!$F$12&gt;0,Eingabe!$E$12&gt;=109),"10."&amp;Eingabe!$D$12&amp;".109.0/24","")</f>
        <v/>
      </c>
      <c r="G723" s="20" t="str">
        <f aca="false">IF(AND(Eingabe!$F$12&gt;0,Eingabe!$E$12&gt;=109),"10."&amp;Eingabe!$D$12&amp;".109.1","")</f>
        <v/>
      </c>
      <c r="H723" s="20" t="str">
        <f aca="false">IF(AND(Eingabe!$F$12&gt;0,Eingabe!$E$12&gt;=109),"10."&amp;Eingabe!$D$12&amp;".109.10 – 10."&amp;Eingabe!$D$12&amp;".109.250","")</f>
        <v/>
      </c>
      <c r="I723" s="20" t="str">
        <f aca="false">IF(AND(Eingabe!$F$12&gt;0,Eingabe!$E$12&gt;=109),Eingabe!$B$6&amp;"-"&amp;Eingabe!$C$12&amp;"-Pächter","")</f>
        <v/>
      </c>
      <c r="J723" s="20" t="str">
        <f aca="false">IF(AND(Eingabe!$F$12&gt;0,Eingabe!$E$12&gt;=109),"PPSK: Passwort Parzelle 109","")</f>
        <v/>
      </c>
      <c r="K723" s="20" t="str">
        <f aca="false">IF(AND(Eingabe!$F$12&gt;0,Eingabe!$E$12&gt;=109),"1. Gerät: 10."&amp;Eingabe!$D$12&amp;".109.10, 2. Gerät: .11","")</f>
        <v/>
      </c>
    </row>
    <row r="724" customFormat="false" ht="15" hidden="false" customHeight="false" outlineLevel="0" collapsed="false">
      <c r="A724" s="20" t="str">
        <f aca="false">IF(AND(Eingabe!$F$12&gt;0,Eingabe!$E$12&gt;=110),4,"")</f>
        <v/>
      </c>
      <c r="B724" s="20" t="str">
        <f aca="false">IF(AND(Eingabe!$F$12&gt;0,Eingabe!$E$12&gt;=110),Eingabe!$B$12,"")</f>
        <v/>
      </c>
      <c r="C724" s="20" t="str">
        <f aca="false">IF(AND(Eingabe!$F$12&gt;0,Eingabe!$E$12&gt;=110),Eingabe!$C$12&amp;"-Paz."&amp;TEXT(110,"000"),"")</f>
        <v/>
      </c>
      <c r="D724" s="20" t="str">
        <f aca="false">IF(AND(Eingabe!$F$12&gt;0,Eingabe!$E$12&gt;=110),110,"")</f>
        <v/>
      </c>
      <c r="E724" s="20" t="str">
        <f aca="false">IF(AND(Eingabe!$F$12&gt;0,Eingabe!$E$12&gt;=110),IF((Eingabe!$G$12+1)&lt;=9,1000+(Eingabe!$G$12+1)*100,3000)+10,"")</f>
        <v/>
      </c>
      <c r="F724" s="20" t="str">
        <f aca="false">IF(AND(Eingabe!$F$12&gt;0,Eingabe!$E$12&gt;=110),"10."&amp;Eingabe!$D$12&amp;".110.0/24","")</f>
        <v/>
      </c>
      <c r="G724" s="20" t="str">
        <f aca="false">IF(AND(Eingabe!$F$12&gt;0,Eingabe!$E$12&gt;=110),"10."&amp;Eingabe!$D$12&amp;".110.1","")</f>
        <v/>
      </c>
      <c r="H724" s="20" t="str">
        <f aca="false">IF(AND(Eingabe!$F$12&gt;0,Eingabe!$E$12&gt;=110),"10."&amp;Eingabe!$D$12&amp;".110.10 – 10."&amp;Eingabe!$D$12&amp;".110.250","")</f>
        <v/>
      </c>
      <c r="I724" s="20" t="str">
        <f aca="false">IF(AND(Eingabe!$F$12&gt;0,Eingabe!$E$12&gt;=110),Eingabe!$B$6&amp;"-"&amp;Eingabe!$C$12&amp;"-Pächter","")</f>
        <v/>
      </c>
      <c r="J724" s="20" t="str">
        <f aca="false">IF(AND(Eingabe!$F$12&gt;0,Eingabe!$E$12&gt;=110),"PPSK: Passwort Parzelle 110","")</f>
        <v/>
      </c>
      <c r="K724" s="20" t="str">
        <f aca="false">IF(AND(Eingabe!$F$12&gt;0,Eingabe!$E$12&gt;=110),"1. Gerät: 10."&amp;Eingabe!$D$12&amp;".110.10, 2. Gerät: .11","")</f>
        <v/>
      </c>
    </row>
    <row r="725" customFormat="false" ht="15" hidden="false" customHeight="false" outlineLevel="0" collapsed="false">
      <c r="A725" s="20" t="str">
        <f aca="false">IF(AND(Eingabe!$F$12&gt;0,Eingabe!$E$12&gt;=111),4,"")</f>
        <v/>
      </c>
      <c r="B725" s="20" t="str">
        <f aca="false">IF(AND(Eingabe!$F$12&gt;0,Eingabe!$E$12&gt;=111),Eingabe!$B$12,"")</f>
        <v/>
      </c>
      <c r="C725" s="20" t="str">
        <f aca="false">IF(AND(Eingabe!$F$12&gt;0,Eingabe!$E$12&gt;=111),Eingabe!$C$12&amp;"-Paz."&amp;TEXT(111,"000"),"")</f>
        <v/>
      </c>
      <c r="D725" s="20" t="str">
        <f aca="false">IF(AND(Eingabe!$F$12&gt;0,Eingabe!$E$12&gt;=111),111,"")</f>
        <v/>
      </c>
      <c r="E725" s="20" t="str">
        <f aca="false">IF(AND(Eingabe!$F$12&gt;0,Eingabe!$E$12&gt;=111),IF((Eingabe!$G$12+1)&lt;=9,1000+(Eingabe!$G$12+1)*100,3000)+11,"")</f>
        <v/>
      </c>
      <c r="F725" s="20" t="str">
        <f aca="false">IF(AND(Eingabe!$F$12&gt;0,Eingabe!$E$12&gt;=111),"10."&amp;Eingabe!$D$12&amp;".111.0/24","")</f>
        <v/>
      </c>
      <c r="G725" s="20" t="str">
        <f aca="false">IF(AND(Eingabe!$F$12&gt;0,Eingabe!$E$12&gt;=111),"10."&amp;Eingabe!$D$12&amp;".111.1","")</f>
        <v/>
      </c>
      <c r="H725" s="20" t="str">
        <f aca="false">IF(AND(Eingabe!$F$12&gt;0,Eingabe!$E$12&gt;=111),"10."&amp;Eingabe!$D$12&amp;".111.10 – 10."&amp;Eingabe!$D$12&amp;".111.250","")</f>
        <v/>
      </c>
      <c r="I725" s="20" t="str">
        <f aca="false">IF(AND(Eingabe!$F$12&gt;0,Eingabe!$E$12&gt;=111),Eingabe!$B$6&amp;"-"&amp;Eingabe!$C$12&amp;"-Pächter","")</f>
        <v/>
      </c>
      <c r="J725" s="20" t="str">
        <f aca="false">IF(AND(Eingabe!$F$12&gt;0,Eingabe!$E$12&gt;=111),"PPSK: Passwort Parzelle 111","")</f>
        <v/>
      </c>
      <c r="K725" s="20" t="str">
        <f aca="false">IF(AND(Eingabe!$F$12&gt;0,Eingabe!$E$12&gt;=111),"1. Gerät: 10."&amp;Eingabe!$D$12&amp;".111.10, 2. Gerät: .11","")</f>
        <v/>
      </c>
    </row>
    <row r="726" customFormat="false" ht="15" hidden="false" customHeight="false" outlineLevel="0" collapsed="false">
      <c r="A726" s="20" t="str">
        <f aca="false">IF(AND(Eingabe!$F$12&gt;0,Eingabe!$E$12&gt;=112),4,"")</f>
        <v/>
      </c>
      <c r="B726" s="20" t="str">
        <f aca="false">IF(AND(Eingabe!$F$12&gt;0,Eingabe!$E$12&gt;=112),Eingabe!$B$12,"")</f>
        <v/>
      </c>
      <c r="C726" s="20" t="str">
        <f aca="false">IF(AND(Eingabe!$F$12&gt;0,Eingabe!$E$12&gt;=112),Eingabe!$C$12&amp;"-Paz."&amp;TEXT(112,"000"),"")</f>
        <v/>
      </c>
      <c r="D726" s="20" t="str">
        <f aca="false">IF(AND(Eingabe!$F$12&gt;0,Eingabe!$E$12&gt;=112),112,"")</f>
        <v/>
      </c>
      <c r="E726" s="20" t="str">
        <f aca="false">IF(AND(Eingabe!$F$12&gt;0,Eingabe!$E$12&gt;=112),IF((Eingabe!$G$12+1)&lt;=9,1000+(Eingabe!$G$12+1)*100,3000)+12,"")</f>
        <v/>
      </c>
      <c r="F726" s="20" t="str">
        <f aca="false">IF(AND(Eingabe!$F$12&gt;0,Eingabe!$E$12&gt;=112),"10."&amp;Eingabe!$D$12&amp;".112.0/24","")</f>
        <v/>
      </c>
      <c r="G726" s="20" t="str">
        <f aca="false">IF(AND(Eingabe!$F$12&gt;0,Eingabe!$E$12&gt;=112),"10."&amp;Eingabe!$D$12&amp;".112.1","")</f>
        <v/>
      </c>
      <c r="H726" s="20" t="str">
        <f aca="false">IF(AND(Eingabe!$F$12&gt;0,Eingabe!$E$12&gt;=112),"10."&amp;Eingabe!$D$12&amp;".112.10 – 10."&amp;Eingabe!$D$12&amp;".112.250","")</f>
        <v/>
      </c>
      <c r="I726" s="20" t="str">
        <f aca="false">IF(AND(Eingabe!$F$12&gt;0,Eingabe!$E$12&gt;=112),Eingabe!$B$6&amp;"-"&amp;Eingabe!$C$12&amp;"-Pächter","")</f>
        <v/>
      </c>
      <c r="J726" s="20" t="str">
        <f aca="false">IF(AND(Eingabe!$F$12&gt;0,Eingabe!$E$12&gt;=112),"PPSK: Passwort Parzelle 112","")</f>
        <v/>
      </c>
      <c r="K726" s="20" t="str">
        <f aca="false">IF(AND(Eingabe!$F$12&gt;0,Eingabe!$E$12&gt;=112),"1. Gerät: 10."&amp;Eingabe!$D$12&amp;".112.10, 2. Gerät: .11","")</f>
        <v/>
      </c>
    </row>
    <row r="727" customFormat="false" ht="15" hidden="false" customHeight="false" outlineLevel="0" collapsed="false">
      <c r="A727" s="20" t="str">
        <f aca="false">IF(AND(Eingabe!$F$12&gt;0,Eingabe!$E$12&gt;=113),4,"")</f>
        <v/>
      </c>
      <c r="B727" s="20" t="str">
        <f aca="false">IF(AND(Eingabe!$F$12&gt;0,Eingabe!$E$12&gt;=113),Eingabe!$B$12,"")</f>
        <v/>
      </c>
      <c r="C727" s="20" t="str">
        <f aca="false">IF(AND(Eingabe!$F$12&gt;0,Eingabe!$E$12&gt;=113),Eingabe!$C$12&amp;"-Paz."&amp;TEXT(113,"000"),"")</f>
        <v/>
      </c>
      <c r="D727" s="20" t="str">
        <f aca="false">IF(AND(Eingabe!$F$12&gt;0,Eingabe!$E$12&gt;=113),113,"")</f>
        <v/>
      </c>
      <c r="E727" s="20" t="str">
        <f aca="false">IF(AND(Eingabe!$F$12&gt;0,Eingabe!$E$12&gt;=113),IF((Eingabe!$G$12+1)&lt;=9,1000+(Eingabe!$G$12+1)*100,3000)+13,"")</f>
        <v/>
      </c>
      <c r="F727" s="20" t="str">
        <f aca="false">IF(AND(Eingabe!$F$12&gt;0,Eingabe!$E$12&gt;=113),"10."&amp;Eingabe!$D$12&amp;".113.0/24","")</f>
        <v/>
      </c>
      <c r="G727" s="20" t="str">
        <f aca="false">IF(AND(Eingabe!$F$12&gt;0,Eingabe!$E$12&gt;=113),"10."&amp;Eingabe!$D$12&amp;".113.1","")</f>
        <v/>
      </c>
      <c r="H727" s="20" t="str">
        <f aca="false">IF(AND(Eingabe!$F$12&gt;0,Eingabe!$E$12&gt;=113),"10."&amp;Eingabe!$D$12&amp;".113.10 – 10."&amp;Eingabe!$D$12&amp;".113.250","")</f>
        <v/>
      </c>
      <c r="I727" s="20" t="str">
        <f aca="false">IF(AND(Eingabe!$F$12&gt;0,Eingabe!$E$12&gt;=113),Eingabe!$B$6&amp;"-"&amp;Eingabe!$C$12&amp;"-Pächter","")</f>
        <v/>
      </c>
      <c r="J727" s="20" t="str">
        <f aca="false">IF(AND(Eingabe!$F$12&gt;0,Eingabe!$E$12&gt;=113),"PPSK: Passwort Parzelle 113","")</f>
        <v/>
      </c>
      <c r="K727" s="20" t="str">
        <f aca="false">IF(AND(Eingabe!$F$12&gt;0,Eingabe!$E$12&gt;=113),"1. Gerät: 10."&amp;Eingabe!$D$12&amp;".113.10, 2. Gerät: .11","")</f>
        <v/>
      </c>
    </row>
    <row r="728" customFormat="false" ht="15" hidden="false" customHeight="false" outlineLevel="0" collapsed="false">
      <c r="A728" s="20" t="str">
        <f aca="false">IF(AND(Eingabe!$F$12&gt;0,Eingabe!$E$12&gt;=114),4,"")</f>
        <v/>
      </c>
      <c r="B728" s="20" t="str">
        <f aca="false">IF(AND(Eingabe!$F$12&gt;0,Eingabe!$E$12&gt;=114),Eingabe!$B$12,"")</f>
        <v/>
      </c>
      <c r="C728" s="20" t="str">
        <f aca="false">IF(AND(Eingabe!$F$12&gt;0,Eingabe!$E$12&gt;=114),Eingabe!$C$12&amp;"-Paz."&amp;TEXT(114,"000"),"")</f>
        <v/>
      </c>
      <c r="D728" s="20" t="str">
        <f aca="false">IF(AND(Eingabe!$F$12&gt;0,Eingabe!$E$12&gt;=114),114,"")</f>
        <v/>
      </c>
      <c r="E728" s="20" t="str">
        <f aca="false">IF(AND(Eingabe!$F$12&gt;0,Eingabe!$E$12&gt;=114),IF((Eingabe!$G$12+1)&lt;=9,1000+(Eingabe!$G$12+1)*100,3000)+14,"")</f>
        <v/>
      </c>
      <c r="F728" s="20" t="str">
        <f aca="false">IF(AND(Eingabe!$F$12&gt;0,Eingabe!$E$12&gt;=114),"10."&amp;Eingabe!$D$12&amp;".114.0/24","")</f>
        <v/>
      </c>
      <c r="G728" s="20" t="str">
        <f aca="false">IF(AND(Eingabe!$F$12&gt;0,Eingabe!$E$12&gt;=114),"10."&amp;Eingabe!$D$12&amp;".114.1","")</f>
        <v/>
      </c>
      <c r="H728" s="20" t="str">
        <f aca="false">IF(AND(Eingabe!$F$12&gt;0,Eingabe!$E$12&gt;=114),"10."&amp;Eingabe!$D$12&amp;".114.10 – 10."&amp;Eingabe!$D$12&amp;".114.250","")</f>
        <v/>
      </c>
      <c r="I728" s="20" t="str">
        <f aca="false">IF(AND(Eingabe!$F$12&gt;0,Eingabe!$E$12&gt;=114),Eingabe!$B$6&amp;"-"&amp;Eingabe!$C$12&amp;"-Pächter","")</f>
        <v/>
      </c>
      <c r="J728" s="20" t="str">
        <f aca="false">IF(AND(Eingabe!$F$12&gt;0,Eingabe!$E$12&gt;=114),"PPSK: Passwort Parzelle 114","")</f>
        <v/>
      </c>
      <c r="K728" s="20" t="str">
        <f aca="false">IF(AND(Eingabe!$F$12&gt;0,Eingabe!$E$12&gt;=114),"1. Gerät: 10."&amp;Eingabe!$D$12&amp;".114.10, 2. Gerät: .11","")</f>
        <v/>
      </c>
    </row>
    <row r="729" customFormat="false" ht="15" hidden="false" customHeight="false" outlineLevel="0" collapsed="false">
      <c r="A729" s="20" t="str">
        <f aca="false">IF(AND(Eingabe!$F$12&gt;0,Eingabe!$E$12&gt;=115),4,"")</f>
        <v/>
      </c>
      <c r="B729" s="20" t="str">
        <f aca="false">IF(AND(Eingabe!$F$12&gt;0,Eingabe!$E$12&gt;=115),Eingabe!$B$12,"")</f>
        <v/>
      </c>
      <c r="C729" s="20" t="str">
        <f aca="false">IF(AND(Eingabe!$F$12&gt;0,Eingabe!$E$12&gt;=115),Eingabe!$C$12&amp;"-Paz."&amp;TEXT(115,"000"),"")</f>
        <v/>
      </c>
      <c r="D729" s="20" t="str">
        <f aca="false">IF(AND(Eingabe!$F$12&gt;0,Eingabe!$E$12&gt;=115),115,"")</f>
        <v/>
      </c>
      <c r="E729" s="20" t="str">
        <f aca="false">IF(AND(Eingabe!$F$12&gt;0,Eingabe!$E$12&gt;=115),IF((Eingabe!$G$12+1)&lt;=9,1000+(Eingabe!$G$12+1)*100,3000)+15,"")</f>
        <v/>
      </c>
      <c r="F729" s="20" t="str">
        <f aca="false">IF(AND(Eingabe!$F$12&gt;0,Eingabe!$E$12&gt;=115),"10."&amp;Eingabe!$D$12&amp;".115.0/24","")</f>
        <v/>
      </c>
      <c r="G729" s="20" t="str">
        <f aca="false">IF(AND(Eingabe!$F$12&gt;0,Eingabe!$E$12&gt;=115),"10."&amp;Eingabe!$D$12&amp;".115.1","")</f>
        <v/>
      </c>
      <c r="H729" s="20" t="str">
        <f aca="false">IF(AND(Eingabe!$F$12&gt;0,Eingabe!$E$12&gt;=115),"10."&amp;Eingabe!$D$12&amp;".115.10 – 10."&amp;Eingabe!$D$12&amp;".115.250","")</f>
        <v/>
      </c>
      <c r="I729" s="20" t="str">
        <f aca="false">IF(AND(Eingabe!$F$12&gt;0,Eingabe!$E$12&gt;=115),Eingabe!$B$6&amp;"-"&amp;Eingabe!$C$12&amp;"-Pächter","")</f>
        <v/>
      </c>
      <c r="J729" s="20" t="str">
        <f aca="false">IF(AND(Eingabe!$F$12&gt;0,Eingabe!$E$12&gt;=115),"PPSK: Passwort Parzelle 115","")</f>
        <v/>
      </c>
      <c r="K729" s="20" t="str">
        <f aca="false">IF(AND(Eingabe!$F$12&gt;0,Eingabe!$E$12&gt;=115),"1. Gerät: 10."&amp;Eingabe!$D$12&amp;".115.10, 2. Gerät: .11","")</f>
        <v/>
      </c>
    </row>
    <row r="730" customFormat="false" ht="15" hidden="false" customHeight="false" outlineLevel="0" collapsed="false">
      <c r="A730" s="20" t="str">
        <f aca="false">IF(AND(Eingabe!$F$12&gt;0,Eingabe!$E$12&gt;=116),4,"")</f>
        <v/>
      </c>
      <c r="B730" s="20" t="str">
        <f aca="false">IF(AND(Eingabe!$F$12&gt;0,Eingabe!$E$12&gt;=116),Eingabe!$B$12,"")</f>
        <v/>
      </c>
      <c r="C730" s="20" t="str">
        <f aca="false">IF(AND(Eingabe!$F$12&gt;0,Eingabe!$E$12&gt;=116),Eingabe!$C$12&amp;"-Paz."&amp;TEXT(116,"000"),"")</f>
        <v/>
      </c>
      <c r="D730" s="20" t="str">
        <f aca="false">IF(AND(Eingabe!$F$12&gt;0,Eingabe!$E$12&gt;=116),116,"")</f>
        <v/>
      </c>
      <c r="E730" s="20" t="str">
        <f aca="false">IF(AND(Eingabe!$F$12&gt;0,Eingabe!$E$12&gt;=116),IF((Eingabe!$G$12+1)&lt;=9,1000+(Eingabe!$G$12+1)*100,3000)+16,"")</f>
        <v/>
      </c>
      <c r="F730" s="20" t="str">
        <f aca="false">IF(AND(Eingabe!$F$12&gt;0,Eingabe!$E$12&gt;=116),"10."&amp;Eingabe!$D$12&amp;".116.0/24","")</f>
        <v/>
      </c>
      <c r="G730" s="20" t="str">
        <f aca="false">IF(AND(Eingabe!$F$12&gt;0,Eingabe!$E$12&gt;=116),"10."&amp;Eingabe!$D$12&amp;".116.1","")</f>
        <v/>
      </c>
      <c r="H730" s="20" t="str">
        <f aca="false">IF(AND(Eingabe!$F$12&gt;0,Eingabe!$E$12&gt;=116),"10."&amp;Eingabe!$D$12&amp;".116.10 – 10."&amp;Eingabe!$D$12&amp;".116.250","")</f>
        <v/>
      </c>
      <c r="I730" s="20" t="str">
        <f aca="false">IF(AND(Eingabe!$F$12&gt;0,Eingabe!$E$12&gt;=116),Eingabe!$B$6&amp;"-"&amp;Eingabe!$C$12&amp;"-Pächter","")</f>
        <v/>
      </c>
      <c r="J730" s="20" t="str">
        <f aca="false">IF(AND(Eingabe!$F$12&gt;0,Eingabe!$E$12&gt;=116),"PPSK: Passwort Parzelle 116","")</f>
        <v/>
      </c>
      <c r="K730" s="20" t="str">
        <f aca="false">IF(AND(Eingabe!$F$12&gt;0,Eingabe!$E$12&gt;=116),"1. Gerät: 10."&amp;Eingabe!$D$12&amp;".116.10, 2. Gerät: .11","")</f>
        <v/>
      </c>
    </row>
    <row r="731" customFormat="false" ht="15" hidden="false" customHeight="false" outlineLevel="0" collapsed="false">
      <c r="A731" s="20" t="str">
        <f aca="false">IF(AND(Eingabe!$F$12&gt;0,Eingabe!$E$12&gt;=117),4,"")</f>
        <v/>
      </c>
      <c r="B731" s="20" t="str">
        <f aca="false">IF(AND(Eingabe!$F$12&gt;0,Eingabe!$E$12&gt;=117),Eingabe!$B$12,"")</f>
        <v/>
      </c>
      <c r="C731" s="20" t="str">
        <f aca="false">IF(AND(Eingabe!$F$12&gt;0,Eingabe!$E$12&gt;=117),Eingabe!$C$12&amp;"-Paz."&amp;TEXT(117,"000"),"")</f>
        <v/>
      </c>
      <c r="D731" s="20" t="str">
        <f aca="false">IF(AND(Eingabe!$F$12&gt;0,Eingabe!$E$12&gt;=117),117,"")</f>
        <v/>
      </c>
      <c r="E731" s="20" t="str">
        <f aca="false">IF(AND(Eingabe!$F$12&gt;0,Eingabe!$E$12&gt;=117),IF((Eingabe!$G$12+1)&lt;=9,1000+(Eingabe!$G$12+1)*100,3000)+17,"")</f>
        <v/>
      </c>
      <c r="F731" s="20" t="str">
        <f aca="false">IF(AND(Eingabe!$F$12&gt;0,Eingabe!$E$12&gt;=117),"10."&amp;Eingabe!$D$12&amp;".117.0/24","")</f>
        <v/>
      </c>
      <c r="G731" s="20" t="str">
        <f aca="false">IF(AND(Eingabe!$F$12&gt;0,Eingabe!$E$12&gt;=117),"10."&amp;Eingabe!$D$12&amp;".117.1","")</f>
        <v/>
      </c>
      <c r="H731" s="20" t="str">
        <f aca="false">IF(AND(Eingabe!$F$12&gt;0,Eingabe!$E$12&gt;=117),"10."&amp;Eingabe!$D$12&amp;".117.10 – 10."&amp;Eingabe!$D$12&amp;".117.250","")</f>
        <v/>
      </c>
      <c r="I731" s="20" t="str">
        <f aca="false">IF(AND(Eingabe!$F$12&gt;0,Eingabe!$E$12&gt;=117),Eingabe!$B$6&amp;"-"&amp;Eingabe!$C$12&amp;"-Pächter","")</f>
        <v/>
      </c>
      <c r="J731" s="20" t="str">
        <f aca="false">IF(AND(Eingabe!$F$12&gt;0,Eingabe!$E$12&gt;=117),"PPSK: Passwort Parzelle 117","")</f>
        <v/>
      </c>
      <c r="K731" s="20" t="str">
        <f aca="false">IF(AND(Eingabe!$F$12&gt;0,Eingabe!$E$12&gt;=117),"1. Gerät: 10."&amp;Eingabe!$D$12&amp;".117.10, 2. Gerät: .11","")</f>
        <v/>
      </c>
    </row>
    <row r="732" customFormat="false" ht="15" hidden="false" customHeight="false" outlineLevel="0" collapsed="false">
      <c r="A732" s="20" t="str">
        <f aca="false">IF(AND(Eingabe!$F$12&gt;0,Eingabe!$E$12&gt;=118),4,"")</f>
        <v/>
      </c>
      <c r="B732" s="20" t="str">
        <f aca="false">IF(AND(Eingabe!$F$12&gt;0,Eingabe!$E$12&gt;=118),Eingabe!$B$12,"")</f>
        <v/>
      </c>
      <c r="C732" s="20" t="str">
        <f aca="false">IF(AND(Eingabe!$F$12&gt;0,Eingabe!$E$12&gt;=118),Eingabe!$C$12&amp;"-Paz."&amp;TEXT(118,"000"),"")</f>
        <v/>
      </c>
      <c r="D732" s="20" t="str">
        <f aca="false">IF(AND(Eingabe!$F$12&gt;0,Eingabe!$E$12&gt;=118),118,"")</f>
        <v/>
      </c>
      <c r="E732" s="20" t="str">
        <f aca="false">IF(AND(Eingabe!$F$12&gt;0,Eingabe!$E$12&gt;=118),IF((Eingabe!$G$12+1)&lt;=9,1000+(Eingabe!$G$12+1)*100,3000)+18,"")</f>
        <v/>
      </c>
      <c r="F732" s="20" t="str">
        <f aca="false">IF(AND(Eingabe!$F$12&gt;0,Eingabe!$E$12&gt;=118),"10."&amp;Eingabe!$D$12&amp;".118.0/24","")</f>
        <v/>
      </c>
      <c r="G732" s="20" t="str">
        <f aca="false">IF(AND(Eingabe!$F$12&gt;0,Eingabe!$E$12&gt;=118),"10."&amp;Eingabe!$D$12&amp;".118.1","")</f>
        <v/>
      </c>
      <c r="H732" s="20" t="str">
        <f aca="false">IF(AND(Eingabe!$F$12&gt;0,Eingabe!$E$12&gt;=118),"10."&amp;Eingabe!$D$12&amp;".118.10 – 10."&amp;Eingabe!$D$12&amp;".118.250","")</f>
        <v/>
      </c>
      <c r="I732" s="20" t="str">
        <f aca="false">IF(AND(Eingabe!$F$12&gt;0,Eingabe!$E$12&gt;=118),Eingabe!$B$6&amp;"-"&amp;Eingabe!$C$12&amp;"-Pächter","")</f>
        <v/>
      </c>
      <c r="J732" s="20" t="str">
        <f aca="false">IF(AND(Eingabe!$F$12&gt;0,Eingabe!$E$12&gt;=118),"PPSK: Passwort Parzelle 118","")</f>
        <v/>
      </c>
      <c r="K732" s="20" t="str">
        <f aca="false">IF(AND(Eingabe!$F$12&gt;0,Eingabe!$E$12&gt;=118),"1. Gerät: 10."&amp;Eingabe!$D$12&amp;".118.10, 2. Gerät: .11","")</f>
        <v/>
      </c>
    </row>
    <row r="733" customFormat="false" ht="15" hidden="false" customHeight="false" outlineLevel="0" collapsed="false">
      <c r="A733" s="20" t="str">
        <f aca="false">IF(AND(Eingabe!$F$12&gt;0,Eingabe!$E$12&gt;=119),4,"")</f>
        <v/>
      </c>
      <c r="B733" s="20" t="str">
        <f aca="false">IF(AND(Eingabe!$F$12&gt;0,Eingabe!$E$12&gt;=119),Eingabe!$B$12,"")</f>
        <v/>
      </c>
      <c r="C733" s="20" t="str">
        <f aca="false">IF(AND(Eingabe!$F$12&gt;0,Eingabe!$E$12&gt;=119),Eingabe!$C$12&amp;"-Paz."&amp;TEXT(119,"000"),"")</f>
        <v/>
      </c>
      <c r="D733" s="20" t="str">
        <f aca="false">IF(AND(Eingabe!$F$12&gt;0,Eingabe!$E$12&gt;=119),119,"")</f>
        <v/>
      </c>
      <c r="E733" s="20" t="str">
        <f aca="false">IF(AND(Eingabe!$F$12&gt;0,Eingabe!$E$12&gt;=119),IF((Eingabe!$G$12+1)&lt;=9,1000+(Eingabe!$G$12+1)*100,3000)+19,"")</f>
        <v/>
      </c>
      <c r="F733" s="20" t="str">
        <f aca="false">IF(AND(Eingabe!$F$12&gt;0,Eingabe!$E$12&gt;=119),"10."&amp;Eingabe!$D$12&amp;".119.0/24","")</f>
        <v/>
      </c>
      <c r="G733" s="20" t="str">
        <f aca="false">IF(AND(Eingabe!$F$12&gt;0,Eingabe!$E$12&gt;=119),"10."&amp;Eingabe!$D$12&amp;".119.1","")</f>
        <v/>
      </c>
      <c r="H733" s="20" t="str">
        <f aca="false">IF(AND(Eingabe!$F$12&gt;0,Eingabe!$E$12&gt;=119),"10."&amp;Eingabe!$D$12&amp;".119.10 – 10."&amp;Eingabe!$D$12&amp;".119.250","")</f>
        <v/>
      </c>
      <c r="I733" s="20" t="str">
        <f aca="false">IF(AND(Eingabe!$F$12&gt;0,Eingabe!$E$12&gt;=119),Eingabe!$B$6&amp;"-"&amp;Eingabe!$C$12&amp;"-Pächter","")</f>
        <v/>
      </c>
      <c r="J733" s="20" t="str">
        <f aca="false">IF(AND(Eingabe!$F$12&gt;0,Eingabe!$E$12&gt;=119),"PPSK: Passwort Parzelle 119","")</f>
        <v/>
      </c>
      <c r="K733" s="20" t="str">
        <f aca="false">IF(AND(Eingabe!$F$12&gt;0,Eingabe!$E$12&gt;=119),"1. Gerät: 10."&amp;Eingabe!$D$12&amp;".119.10, 2. Gerät: .11","")</f>
        <v/>
      </c>
    </row>
    <row r="734" customFormat="false" ht="15" hidden="false" customHeight="false" outlineLevel="0" collapsed="false">
      <c r="A734" s="20" t="str">
        <f aca="false">IF(AND(Eingabe!$F$12&gt;0,Eingabe!$E$12&gt;=120),4,"")</f>
        <v/>
      </c>
      <c r="B734" s="20" t="str">
        <f aca="false">IF(AND(Eingabe!$F$12&gt;0,Eingabe!$E$12&gt;=120),Eingabe!$B$12,"")</f>
        <v/>
      </c>
      <c r="C734" s="20" t="str">
        <f aca="false">IF(AND(Eingabe!$F$12&gt;0,Eingabe!$E$12&gt;=120),Eingabe!$C$12&amp;"-Paz."&amp;TEXT(120,"000"),"")</f>
        <v/>
      </c>
      <c r="D734" s="20" t="str">
        <f aca="false">IF(AND(Eingabe!$F$12&gt;0,Eingabe!$E$12&gt;=120),120,"")</f>
        <v/>
      </c>
      <c r="E734" s="20" t="str">
        <f aca="false">IF(AND(Eingabe!$F$12&gt;0,Eingabe!$E$12&gt;=120),IF((Eingabe!$G$12+1)&lt;=9,1000+(Eingabe!$G$12+1)*100,3000)+20,"")</f>
        <v/>
      </c>
      <c r="F734" s="20" t="str">
        <f aca="false">IF(AND(Eingabe!$F$12&gt;0,Eingabe!$E$12&gt;=120),"10."&amp;Eingabe!$D$12&amp;".120.0/24","")</f>
        <v/>
      </c>
      <c r="G734" s="20" t="str">
        <f aca="false">IF(AND(Eingabe!$F$12&gt;0,Eingabe!$E$12&gt;=120),"10."&amp;Eingabe!$D$12&amp;".120.1","")</f>
        <v/>
      </c>
      <c r="H734" s="20" t="str">
        <f aca="false">IF(AND(Eingabe!$F$12&gt;0,Eingabe!$E$12&gt;=120),"10."&amp;Eingabe!$D$12&amp;".120.10 – 10."&amp;Eingabe!$D$12&amp;".120.250","")</f>
        <v/>
      </c>
      <c r="I734" s="20" t="str">
        <f aca="false">IF(AND(Eingabe!$F$12&gt;0,Eingabe!$E$12&gt;=120),Eingabe!$B$6&amp;"-"&amp;Eingabe!$C$12&amp;"-Pächter","")</f>
        <v/>
      </c>
      <c r="J734" s="20" t="str">
        <f aca="false">IF(AND(Eingabe!$F$12&gt;0,Eingabe!$E$12&gt;=120),"PPSK: Passwort Parzelle 120","")</f>
        <v/>
      </c>
      <c r="K734" s="20" t="str">
        <f aca="false">IF(AND(Eingabe!$F$12&gt;0,Eingabe!$E$12&gt;=120),"1. Gerät: 10."&amp;Eingabe!$D$12&amp;".120.10, 2. Gerät: .11","")</f>
        <v/>
      </c>
    </row>
    <row r="735" customFormat="false" ht="15" hidden="false" customHeight="false" outlineLevel="0" collapsed="false">
      <c r="A735" s="20" t="str">
        <f aca="false">IF(AND(Eingabe!$F$12&gt;0,Eingabe!$E$12&gt;=121),4,"")</f>
        <v/>
      </c>
      <c r="B735" s="20" t="str">
        <f aca="false">IF(AND(Eingabe!$F$12&gt;0,Eingabe!$E$12&gt;=121),Eingabe!$B$12,"")</f>
        <v/>
      </c>
      <c r="C735" s="20" t="str">
        <f aca="false">IF(AND(Eingabe!$F$12&gt;0,Eingabe!$E$12&gt;=121),Eingabe!$C$12&amp;"-Paz."&amp;TEXT(121,"000"),"")</f>
        <v/>
      </c>
      <c r="D735" s="20" t="str">
        <f aca="false">IF(AND(Eingabe!$F$12&gt;0,Eingabe!$E$12&gt;=121),121,"")</f>
        <v/>
      </c>
      <c r="E735" s="20" t="str">
        <f aca="false">IF(AND(Eingabe!$F$12&gt;0,Eingabe!$E$12&gt;=121),IF((Eingabe!$G$12+1)&lt;=9,1000+(Eingabe!$G$12+1)*100,3000)+21,"")</f>
        <v/>
      </c>
      <c r="F735" s="20" t="str">
        <f aca="false">IF(AND(Eingabe!$F$12&gt;0,Eingabe!$E$12&gt;=121),"10."&amp;Eingabe!$D$12&amp;".121.0/24","")</f>
        <v/>
      </c>
      <c r="G735" s="20" t="str">
        <f aca="false">IF(AND(Eingabe!$F$12&gt;0,Eingabe!$E$12&gt;=121),"10."&amp;Eingabe!$D$12&amp;".121.1","")</f>
        <v/>
      </c>
      <c r="H735" s="20" t="str">
        <f aca="false">IF(AND(Eingabe!$F$12&gt;0,Eingabe!$E$12&gt;=121),"10."&amp;Eingabe!$D$12&amp;".121.10 – 10."&amp;Eingabe!$D$12&amp;".121.250","")</f>
        <v/>
      </c>
      <c r="I735" s="20" t="str">
        <f aca="false">IF(AND(Eingabe!$F$12&gt;0,Eingabe!$E$12&gt;=121),Eingabe!$B$6&amp;"-"&amp;Eingabe!$C$12&amp;"-Pächter","")</f>
        <v/>
      </c>
      <c r="J735" s="20" t="str">
        <f aca="false">IF(AND(Eingabe!$F$12&gt;0,Eingabe!$E$12&gt;=121),"PPSK: Passwort Parzelle 121","")</f>
        <v/>
      </c>
      <c r="K735" s="20" t="str">
        <f aca="false">IF(AND(Eingabe!$F$12&gt;0,Eingabe!$E$12&gt;=121),"1. Gerät: 10."&amp;Eingabe!$D$12&amp;".121.10, 2. Gerät: .11","")</f>
        <v/>
      </c>
    </row>
    <row r="736" customFormat="false" ht="15" hidden="false" customHeight="false" outlineLevel="0" collapsed="false">
      <c r="A736" s="20" t="str">
        <f aca="false">IF(AND(Eingabe!$F$12&gt;0,Eingabe!$E$12&gt;=122),4,"")</f>
        <v/>
      </c>
      <c r="B736" s="20" t="str">
        <f aca="false">IF(AND(Eingabe!$F$12&gt;0,Eingabe!$E$12&gt;=122),Eingabe!$B$12,"")</f>
        <v/>
      </c>
      <c r="C736" s="20" t="str">
        <f aca="false">IF(AND(Eingabe!$F$12&gt;0,Eingabe!$E$12&gt;=122),Eingabe!$C$12&amp;"-Paz."&amp;TEXT(122,"000"),"")</f>
        <v/>
      </c>
      <c r="D736" s="20" t="str">
        <f aca="false">IF(AND(Eingabe!$F$12&gt;0,Eingabe!$E$12&gt;=122),122,"")</f>
        <v/>
      </c>
      <c r="E736" s="20" t="str">
        <f aca="false">IF(AND(Eingabe!$F$12&gt;0,Eingabe!$E$12&gt;=122),IF((Eingabe!$G$12+1)&lt;=9,1000+(Eingabe!$G$12+1)*100,3000)+22,"")</f>
        <v/>
      </c>
      <c r="F736" s="20" t="str">
        <f aca="false">IF(AND(Eingabe!$F$12&gt;0,Eingabe!$E$12&gt;=122),"10."&amp;Eingabe!$D$12&amp;".122.0/24","")</f>
        <v/>
      </c>
      <c r="G736" s="20" t="str">
        <f aca="false">IF(AND(Eingabe!$F$12&gt;0,Eingabe!$E$12&gt;=122),"10."&amp;Eingabe!$D$12&amp;".122.1","")</f>
        <v/>
      </c>
      <c r="H736" s="20" t="str">
        <f aca="false">IF(AND(Eingabe!$F$12&gt;0,Eingabe!$E$12&gt;=122),"10."&amp;Eingabe!$D$12&amp;".122.10 – 10."&amp;Eingabe!$D$12&amp;".122.250","")</f>
        <v/>
      </c>
      <c r="I736" s="20" t="str">
        <f aca="false">IF(AND(Eingabe!$F$12&gt;0,Eingabe!$E$12&gt;=122),Eingabe!$B$6&amp;"-"&amp;Eingabe!$C$12&amp;"-Pächter","")</f>
        <v/>
      </c>
      <c r="J736" s="20" t="str">
        <f aca="false">IF(AND(Eingabe!$F$12&gt;0,Eingabe!$E$12&gt;=122),"PPSK: Passwort Parzelle 122","")</f>
        <v/>
      </c>
      <c r="K736" s="20" t="str">
        <f aca="false">IF(AND(Eingabe!$F$12&gt;0,Eingabe!$E$12&gt;=122),"1. Gerät: 10."&amp;Eingabe!$D$12&amp;".122.10, 2. Gerät: .11","")</f>
        <v/>
      </c>
    </row>
    <row r="737" customFormat="false" ht="15" hidden="false" customHeight="false" outlineLevel="0" collapsed="false">
      <c r="A737" s="20" t="str">
        <f aca="false">IF(AND(Eingabe!$F$12&gt;0,Eingabe!$E$12&gt;=123),4,"")</f>
        <v/>
      </c>
      <c r="B737" s="20" t="str">
        <f aca="false">IF(AND(Eingabe!$F$12&gt;0,Eingabe!$E$12&gt;=123),Eingabe!$B$12,"")</f>
        <v/>
      </c>
      <c r="C737" s="20" t="str">
        <f aca="false">IF(AND(Eingabe!$F$12&gt;0,Eingabe!$E$12&gt;=123),Eingabe!$C$12&amp;"-Paz."&amp;TEXT(123,"000"),"")</f>
        <v/>
      </c>
      <c r="D737" s="20" t="str">
        <f aca="false">IF(AND(Eingabe!$F$12&gt;0,Eingabe!$E$12&gt;=123),123,"")</f>
        <v/>
      </c>
      <c r="E737" s="20" t="str">
        <f aca="false">IF(AND(Eingabe!$F$12&gt;0,Eingabe!$E$12&gt;=123),IF((Eingabe!$G$12+1)&lt;=9,1000+(Eingabe!$G$12+1)*100,3000)+23,"")</f>
        <v/>
      </c>
      <c r="F737" s="20" t="str">
        <f aca="false">IF(AND(Eingabe!$F$12&gt;0,Eingabe!$E$12&gt;=123),"10."&amp;Eingabe!$D$12&amp;".123.0/24","")</f>
        <v/>
      </c>
      <c r="G737" s="20" t="str">
        <f aca="false">IF(AND(Eingabe!$F$12&gt;0,Eingabe!$E$12&gt;=123),"10."&amp;Eingabe!$D$12&amp;".123.1","")</f>
        <v/>
      </c>
      <c r="H737" s="20" t="str">
        <f aca="false">IF(AND(Eingabe!$F$12&gt;0,Eingabe!$E$12&gt;=123),"10."&amp;Eingabe!$D$12&amp;".123.10 – 10."&amp;Eingabe!$D$12&amp;".123.250","")</f>
        <v/>
      </c>
      <c r="I737" s="20" t="str">
        <f aca="false">IF(AND(Eingabe!$F$12&gt;0,Eingabe!$E$12&gt;=123),Eingabe!$B$6&amp;"-"&amp;Eingabe!$C$12&amp;"-Pächter","")</f>
        <v/>
      </c>
      <c r="J737" s="20" t="str">
        <f aca="false">IF(AND(Eingabe!$F$12&gt;0,Eingabe!$E$12&gt;=123),"PPSK: Passwort Parzelle 123","")</f>
        <v/>
      </c>
      <c r="K737" s="20" t="str">
        <f aca="false">IF(AND(Eingabe!$F$12&gt;0,Eingabe!$E$12&gt;=123),"1. Gerät: 10."&amp;Eingabe!$D$12&amp;".123.10, 2. Gerät: .11","")</f>
        <v/>
      </c>
    </row>
    <row r="738" customFormat="false" ht="15" hidden="false" customHeight="false" outlineLevel="0" collapsed="false">
      <c r="A738" s="20" t="str">
        <f aca="false">IF(AND(Eingabe!$F$12&gt;0,Eingabe!$E$12&gt;=124),4,"")</f>
        <v/>
      </c>
      <c r="B738" s="20" t="str">
        <f aca="false">IF(AND(Eingabe!$F$12&gt;0,Eingabe!$E$12&gt;=124),Eingabe!$B$12,"")</f>
        <v/>
      </c>
      <c r="C738" s="20" t="str">
        <f aca="false">IF(AND(Eingabe!$F$12&gt;0,Eingabe!$E$12&gt;=124),Eingabe!$C$12&amp;"-Paz."&amp;TEXT(124,"000"),"")</f>
        <v/>
      </c>
      <c r="D738" s="20" t="str">
        <f aca="false">IF(AND(Eingabe!$F$12&gt;0,Eingabe!$E$12&gt;=124),124,"")</f>
        <v/>
      </c>
      <c r="E738" s="20" t="str">
        <f aca="false">IF(AND(Eingabe!$F$12&gt;0,Eingabe!$E$12&gt;=124),IF((Eingabe!$G$12+1)&lt;=9,1000+(Eingabe!$G$12+1)*100,3000)+24,"")</f>
        <v/>
      </c>
      <c r="F738" s="20" t="str">
        <f aca="false">IF(AND(Eingabe!$F$12&gt;0,Eingabe!$E$12&gt;=124),"10."&amp;Eingabe!$D$12&amp;".124.0/24","")</f>
        <v/>
      </c>
      <c r="G738" s="20" t="str">
        <f aca="false">IF(AND(Eingabe!$F$12&gt;0,Eingabe!$E$12&gt;=124),"10."&amp;Eingabe!$D$12&amp;".124.1","")</f>
        <v/>
      </c>
      <c r="H738" s="20" t="str">
        <f aca="false">IF(AND(Eingabe!$F$12&gt;0,Eingabe!$E$12&gt;=124),"10."&amp;Eingabe!$D$12&amp;".124.10 – 10."&amp;Eingabe!$D$12&amp;".124.250","")</f>
        <v/>
      </c>
      <c r="I738" s="20" t="str">
        <f aca="false">IF(AND(Eingabe!$F$12&gt;0,Eingabe!$E$12&gt;=124),Eingabe!$B$6&amp;"-"&amp;Eingabe!$C$12&amp;"-Pächter","")</f>
        <v/>
      </c>
      <c r="J738" s="20" t="str">
        <f aca="false">IF(AND(Eingabe!$F$12&gt;0,Eingabe!$E$12&gt;=124),"PPSK: Passwort Parzelle 124","")</f>
        <v/>
      </c>
      <c r="K738" s="20" t="str">
        <f aca="false">IF(AND(Eingabe!$F$12&gt;0,Eingabe!$E$12&gt;=124),"1. Gerät: 10."&amp;Eingabe!$D$12&amp;".124.10, 2. Gerät: .11","")</f>
        <v/>
      </c>
    </row>
    <row r="739" customFormat="false" ht="15" hidden="false" customHeight="false" outlineLevel="0" collapsed="false">
      <c r="A739" s="20" t="str">
        <f aca="false">IF(AND(Eingabe!$F$12&gt;0,Eingabe!$E$12&gt;=125),4,"")</f>
        <v/>
      </c>
      <c r="B739" s="20" t="str">
        <f aca="false">IF(AND(Eingabe!$F$12&gt;0,Eingabe!$E$12&gt;=125),Eingabe!$B$12,"")</f>
        <v/>
      </c>
      <c r="C739" s="20" t="str">
        <f aca="false">IF(AND(Eingabe!$F$12&gt;0,Eingabe!$E$12&gt;=125),Eingabe!$C$12&amp;"-Paz."&amp;TEXT(125,"000"),"")</f>
        <v/>
      </c>
      <c r="D739" s="20" t="str">
        <f aca="false">IF(AND(Eingabe!$F$12&gt;0,Eingabe!$E$12&gt;=125),125,"")</f>
        <v/>
      </c>
      <c r="E739" s="20" t="str">
        <f aca="false">IF(AND(Eingabe!$F$12&gt;0,Eingabe!$E$12&gt;=125),IF((Eingabe!$G$12+1)&lt;=9,1000+(Eingabe!$G$12+1)*100,3000)+25,"")</f>
        <v/>
      </c>
      <c r="F739" s="20" t="str">
        <f aca="false">IF(AND(Eingabe!$F$12&gt;0,Eingabe!$E$12&gt;=125),"10."&amp;Eingabe!$D$12&amp;".125.0/24","")</f>
        <v/>
      </c>
      <c r="G739" s="20" t="str">
        <f aca="false">IF(AND(Eingabe!$F$12&gt;0,Eingabe!$E$12&gt;=125),"10."&amp;Eingabe!$D$12&amp;".125.1","")</f>
        <v/>
      </c>
      <c r="H739" s="20" t="str">
        <f aca="false">IF(AND(Eingabe!$F$12&gt;0,Eingabe!$E$12&gt;=125),"10."&amp;Eingabe!$D$12&amp;".125.10 – 10."&amp;Eingabe!$D$12&amp;".125.250","")</f>
        <v/>
      </c>
      <c r="I739" s="20" t="str">
        <f aca="false">IF(AND(Eingabe!$F$12&gt;0,Eingabe!$E$12&gt;=125),Eingabe!$B$6&amp;"-"&amp;Eingabe!$C$12&amp;"-Pächter","")</f>
        <v/>
      </c>
      <c r="J739" s="20" t="str">
        <f aca="false">IF(AND(Eingabe!$F$12&gt;0,Eingabe!$E$12&gt;=125),"PPSK: Passwort Parzelle 125","")</f>
        <v/>
      </c>
      <c r="K739" s="20" t="str">
        <f aca="false">IF(AND(Eingabe!$F$12&gt;0,Eingabe!$E$12&gt;=125),"1. Gerät: 10."&amp;Eingabe!$D$12&amp;".125.10, 2. Gerät: .11","")</f>
        <v/>
      </c>
    </row>
    <row r="740" customFormat="false" ht="15" hidden="false" customHeight="false" outlineLevel="0" collapsed="false">
      <c r="A740" s="20" t="str">
        <f aca="false">IF(AND(Eingabe!$F$12&gt;0,Eingabe!$E$12&gt;=126),4,"")</f>
        <v/>
      </c>
      <c r="B740" s="20" t="str">
        <f aca="false">IF(AND(Eingabe!$F$12&gt;0,Eingabe!$E$12&gt;=126),Eingabe!$B$12,"")</f>
        <v/>
      </c>
      <c r="C740" s="20" t="str">
        <f aca="false">IF(AND(Eingabe!$F$12&gt;0,Eingabe!$E$12&gt;=126),Eingabe!$C$12&amp;"-Paz."&amp;TEXT(126,"000"),"")</f>
        <v/>
      </c>
      <c r="D740" s="20" t="str">
        <f aca="false">IF(AND(Eingabe!$F$12&gt;0,Eingabe!$E$12&gt;=126),126,"")</f>
        <v/>
      </c>
      <c r="E740" s="20" t="str">
        <f aca="false">IF(AND(Eingabe!$F$12&gt;0,Eingabe!$E$12&gt;=126),IF((Eingabe!$G$12+1)&lt;=9,1000+(Eingabe!$G$12+1)*100,3000)+26,"")</f>
        <v/>
      </c>
      <c r="F740" s="20" t="str">
        <f aca="false">IF(AND(Eingabe!$F$12&gt;0,Eingabe!$E$12&gt;=126),"10."&amp;Eingabe!$D$12&amp;".126.0/24","")</f>
        <v/>
      </c>
      <c r="G740" s="20" t="str">
        <f aca="false">IF(AND(Eingabe!$F$12&gt;0,Eingabe!$E$12&gt;=126),"10."&amp;Eingabe!$D$12&amp;".126.1","")</f>
        <v/>
      </c>
      <c r="H740" s="20" t="str">
        <f aca="false">IF(AND(Eingabe!$F$12&gt;0,Eingabe!$E$12&gt;=126),"10."&amp;Eingabe!$D$12&amp;".126.10 – 10."&amp;Eingabe!$D$12&amp;".126.250","")</f>
        <v/>
      </c>
      <c r="I740" s="20" t="str">
        <f aca="false">IF(AND(Eingabe!$F$12&gt;0,Eingabe!$E$12&gt;=126),Eingabe!$B$6&amp;"-"&amp;Eingabe!$C$12&amp;"-Pächter","")</f>
        <v/>
      </c>
      <c r="J740" s="20" t="str">
        <f aca="false">IF(AND(Eingabe!$F$12&gt;0,Eingabe!$E$12&gt;=126),"PPSK: Passwort Parzelle 126","")</f>
        <v/>
      </c>
      <c r="K740" s="20" t="str">
        <f aca="false">IF(AND(Eingabe!$F$12&gt;0,Eingabe!$E$12&gt;=126),"1. Gerät: 10."&amp;Eingabe!$D$12&amp;".126.10, 2. Gerät: .11","")</f>
        <v/>
      </c>
    </row>
    <row r="741" customFormat="false" ht="15" hidden="false" customHeight="false" outlineLevel="0" collapsed="false">
      <c r="A741" s="20" t="str">
        <f aca="false">IF(AND(Eingabe!$F$12&gt;0,Eingabe!$E$12&gt;=127),4,"")</f>
        <v/>
      </c>
      <c r="B741" s="20" t="str">
        <f aca="false">IF(AND(Eingabe!$F$12&gt;0,Eingabe!$E$12&gt;=127),Eingabe!$B$12,"")</f>
        <v/>
      </c>
      <c r="C741" s="20" t="str">
        <f aca="false">IF(AND(Eingabe!$F$12&gt;0,Eingabe!$E$12&gt;=127),Eingabe!$C$12&amp;"-Paz."&amp;TEXT(127,"000"),"")</f>
        <v/>
      </c>
      <c r="D741" s="20" t="str">
        <f aca="false">IF(AND(Eingabe!$F$12&gt;0,Eingabe!$E$12&gt;=127),127,"")</f>
        <v/>
      </c>
      <c r="E741" s="20" t="str">
        <f aca="false">IF(AND(Eingabe!$F$12&gt;0,Eingabe!$E$12&gt;=127),IF((Eingabe!$G$12+1)&lt;=9,1000+(Eingabe!$G$12+1)*100,3000)+27,"")</f>
        <v/>
      </c>
      <c r="F741" s="20" t="str">
        <f aca="false">IF(AND(Eingabe!$F$12&gt;0,Eingabe!$E$12&gt;=127),"10."&amp;Eingabe!$D$12&amp;".127.0/24","")</f>
        <v/>
      </c>
      <c r="G741" s="20" t="str">
        <f aca="false">IF(AND(Eingabe!$F$12&gt;0,Eingabe!$E$12&gt;=127),"10."&amp;Eingabe!$D$12&amp;".127.1","")</f>
        <v/>
      </c>
      <c r="H741" s="20" t="str">
        <f aca="false">IF(AND(Eingabe!$F$12&gt;0,Eingabe!$E$12&gt;=127),"10."&amp;Eingabe!$D$12&amp;".127.10 – 10."&amp;Eingabe!$D$12&amp;".127.250","")</f>
        <v/>
      </c>
      <c r="I741" s="20" t="str">
        <f aca="false">IF(AND(Eingabe!$F$12&gt;0,Eingabe!$E$12&gt;=127),Eingabe!$B$6&amp;"-"&amp;Eingabe!$C$12&amp;"-Pächter","")</f>
        <v/>
      </c>
      <c r="J741" s="20" t="str">
        <f aca="false">IF(AND(Eingabe!$F$12&gt;0,Eingabe!$E$12&gt;=127),"PPSK: Passwort Parzelle 127","")</f>
        <v/>
      </c>
      <c r="K741" s="20" t="str">
        <f aca="false">IF(AND(Eingabe!$F$12&gt;0,Eingabe!$E$12&gt;=127),"1. Gerät: 10."&amp;Eingabe!$D$12&amp;".127.10, 2. Gerät: .11","")</f>
        <v/>
      </c>
    </row>
    <row r="742" customFormat="false" ht="15" hidden="false" customHeight="false" outlineLevel="0" collapsed="false">
      <c r="A742" s="20" t="str">
        <f aca="false">IF(AND(Eingabe!$F$12&gt;0,Eingabe!$E$12&gt;=128),4,"")</f>
        <v/>
      </c>
      <c r="B742" s="20" t="str">
        <f aca="false">IF(AND(Eingabe!$F$12&gt;0,Eingabe!$E$12&gt;=128),Eingabe!$B$12,"")</f>
        <v/>
      </c>
      <c r="C742" s="20" t="str">
        <f aca="false">IF(AND(Eingabe!$F$12&gt;0,Eingabe!$E$12&gt;=128),Eingabe!$C$12&amp;"-Paz."&amp;TEXT(128,"000"),"")</f>
        <v/>
      </c>
      <c r="D742" s="20" t="str">
        <f aca="false">IF(AND(Eingabe!$F$12&gt;0,Eingabe!$E$12&gt;=128),128,"")</f>
        <v/>
      </c>
      <c r="E742" s="20" t="str">
        <f aca="false">IF(AND(Eingabe!$F$12&gt;0,Eingabe!$E$12&gt;=128),IF((Eingabe!$G$12+1)&lt;=9,1000+(Eingabe!$G$12+1)*100,3000)+28,"")</f>
        <v/>
      </c>
      <c r="F742" s="20" t="str">
        <f aca="false">IF(AND(Eingabe!$F$12&gt;0,Eingabe!$E$12&gt;=128),"10."&amp;Eingabe!$D$12&amp;".128.0/24","")</f>
        <v/>
      </c>
      <c r="G742" s="20" t="str">
        <f aca="false">IF(AND(Eingabe!$F$12&gt;0,Eingabe!$E$12&gt;=128),"10."&amp;Eingabe!$D$12&amp;".128.1","")</f>
        <v/>
      </c>
      <c r="H742" s="20" t="str">
        <f aca="false">IF(AND(Eingabe!$F$12&gt;0,Eingabe!$E$12&gt;=128),"10."&amp;Eingabe!$D$12&amp;".128.10 – 10."&amp;Eingabe!$D$12&amp;".128.250","")</f>
        <v/>
      </c>
      <c r="I742" s="20" t="str">
        <f aca="false">IF(AND(Eingabe!$F$12&gt;0,Eingabe!$E$12&gt;=128),Eingabe!$B$6&amp;"-"&amp;Eingabe!$C$12&amp;"-Pächter","")</f>
        <v/>
      </c>
      <c r="J742" s="20" t="str">
        <f aca="false">IF(AND(Eingabe!$F$12&gt;0,Eingabe!$E$12&gt;=128),"PPSK: Passwort Parzelle 128","")</f>
        <v/>
      </c>
      <c r="K742" s="20" t="str">
        <f aca="false">IF(AND(Eingabe!$F$12&gt;0,Eingabe!$E$12&gt;=128),"1. Gerät: 10."&amp;Eingabe!$D$12&amp;".128.10, 2. Gerät: .11","")</f>
        <v/>
      </c>
    </row>
    <row r="743" customFormat="false" ht="15" hidden="false" customHeight="false" outlineLevel="0" collapsed="false">
      <c r="A743" s="20" t="str">
        <f aca="false">IF(AND(Eingabe!$F$12&gt;0,Eingabe!$E$12&gt;=129),4,"")</f>
        <v/>
      </c>
      <c r="B743" s="20" t="str">
        <f aca="false">IF(AND(Eingabe!$F$12&gt;0,Eingabe!$E$12&gt;=129),Eingabe!$B$12,"")</f>
        <v/>
      </c>
      <c r="C743" s="20" t="str">
        <f aca="false">IF(AND(Eingabe!$F$12&gt;0,Eingabe!$E$12&gt;=129),Eingabe!$C$12&amp;"-Paz."&amp;TEXT(129,"000"),"")</f>
        <v/>
      </c>
      <c r="D743" s="20" t="str">
        <f aca="false">IF(AND(Eingabe!$F$12&gt;0,Eingabe!$E$12&gt;=129),129,"")</f>
        <v/>
      </c>
      <c r="E743" s="20" t="str">
        <f aca="false">IF(AND(Eingabe!$F$12&gt;0,Eingabe!$E$12&gt;=129),IF((Eingabe!$G$12+1)&lt;=9,1000+(Eingabe!$G$12+1)*100,3000)+29,"")</f>
        <v/>
      </c>
      <c r="F743" s="20" t="str">
        <f aca="false">IF(AND(Eingabe!$F$12&gt;0,Eingabe!$E$12&gt;=129),"10."&amp;Eingabe!$D$12&amp;".129.0/24","")</f>
        <v/>
      </c>
      <c r="G743" s="20" t="str">
        <f aca="false">IF(AND(Eingabe!$F$12&gt;0,Eingabe!$E$12&gt;=129),"10."&amp;Eingabe!$D$12&amp;".129.1","")</f>
        <v/>
      </c>
      <c r="H743" s="20" t="str">
        <f aca="false">IF(AND(Eingabe!$F$12&gt;0,Eingabe!$E$12&gt;=129),"10."&amp;Eingabe!$D$12&amp;".129.10 – 10."&amp;Eingabe!$D$12&amp;".129.250","")</f>
        <v/>
      </c>
      <c r="I743" s="20" t="str">
        <f aca="false">IF(AND(Eingabe!$F$12&gt;0,Eingabe!$E$12&gt;=129),Eingabe!$B$6&amp;"-"&amp;Eingabe!$C$12&amp;"-Pächter","")</f>
        <v/>
      </c>
      <c r="J743" s="20" t="str">
        <f aca="false">IF(AND(Eingabe!$F$12&gt;0,Eingabe!$E$12&gt;=129),"PPSK: Passwort Parzelle 129","")</f>
        <v/>
      </c>
      <c r="K743" s="20" t="str">
        <f aca="false">IF(AND(Eingabe!$F$12&gt;0,Eingabe!$E$12&gt;=129),"1. Gerät: 10."&amp;Eingabe!$D$12&amp;".129.10, 2. Gerät: .11","")</f>
        <v/>
      </c>
    </row>
    <row r="744" customFormat="false" ht="15" hidden="false" customHeight="false" outlineLevel="0" collapsed="false">
      <c r="A744" s="20" t="str">
        <f aca="false">IF(AND(Eingabe!$F$12&gt;0,Eingabe!$E$12&gt;=130),4,"")</f>
        <v/>
      </c>
      <c r="B744" s="20" t="str">
        <f aca="false">IF(AND(Eingabe!$F$12&gt;0,Eingabe!$E$12&gt;=130),Eingabe!$B$12,"")</f>
        <v/>
      </c>
      <c r="C744" s="20" t="str">
        <f aca="false">IF(AND(Eingabe!$F$12&gt;0,Eingabe!$E$12&gt;=130),Eingabe!$C$12&amp;"-Paz."&amp;TEXT(130,"000"),"")</f>
        <v/>
      </c>
      <c r="D744" s="20" t="str">
        <f aca="false">IF(AND(Eingabe!$F$12&gt;0,Eingabe!$E$12&gt;=130),130,"")</f>
        <v/>
      </c>
      <c r="E744" s="20" t="str">
        <f aca="false">IF(AND(Eingabe!$F$12&gt;0,Eingabe!$E$12&gt;=130),IF((Eingabe!$G$12+1)&lt;=9,1000+(Eingabe!$G$12+1)*100,3000)+30,"")</f>
        <v/>
      </c>
      <c r="F744" s="20" t="str">
        <f aca="false">IF(AND(Eingabe!$F$12&gt;0,Eingabe!$E$12&gt;=130),"10."&amp;Eingabe!$D$12&amp;".130.0/24","")</f>
        <v/>
      </c>
      <c r="G744" s="20" t="str">
        <f aca="false">IF(AND(Eingabe!$F$12&gt;0,Eingabe!$E$12&gt;=130),"10."&amp;Eingabe!$D$12&amp;".130.1","")</f>
        <v/>
      </c>
      <c r="H744" s="20" t="str">
        <f aca="false">IF(AND(Eingabe!$F$12&gt;0,Eingabe!$E$12&gt;=130),"10."&amp;Eingabe!$D$12&amp;".130.10 – 10."&amp;Eingabe!$D$12&amp;".130.250","")</f>
        <v/>
      </c>
      <c r="I744" s="20" t="str">
        <f aca="false">IF(AND(Eingabe!$F$12&gt;0,Eingabe!$E$12&gt;=130),Eingabe!$B$6&amp;"-"&amp;Eingabe!$C$12&amp;"-Pächter","")</f>
        <v/>
      </c>
      <c r="J744" s="20" t="str">
        <f aca="false">IF(AND(Eingabe!$F$12&gt;0,Eingabe!$E$12&gt;=130),"PPSK: Passwort Parzelle 130","")</f>
        <v/>
      </c>
      <c r="K744" s="20" t="str">
        <f aca="false">IF(AND(Eingabe!$F$12&gt;0,Eingabe!$E$12&gt;=130),"1. Gerät: 10."&amp;Eingabe!$D$12&amp;".130.10, 2. Gerät: .11","")</f>
        <v/>
      </c>
    </row>
    <row r="745" customFormat="false" ht="15" hidden="false" customHeight="false" outlineLevel="0" collapsed="false">
      <c r="A745" s="20" t="str">
        <f aca="false">IF(AND(Eingabe!$F$12&gt;0,Eingabe!$E$12&gt;=131),4,"")</f>
        <v/>
      </c>
      <c r="B745" s="20" t="str">
        <f aca="false">IF(AND(Eingabe!$F$12&gt;0,Eingabe!$E$12&gt;=131),Eingabe!$B$12,"")</f>
        <v/>
      </c>
      <c r="C745" s="20" t="str">
        <f aca="false">IF(AND(Eingabe!$F$12&gt;0,Eingabe!$E$12&gt;=131),Eingabe!$C$12&amp;"-Paz."&amp;TEXT(131,"000"),"")</f>
        <v/>
      </c>
      <c r="D745" s="20" t="str">
        <f aca="false">IF(AND(Eingabe!$F$12&gt;0,Eingabe!$E$12&gt;=131),131,"")</f>
        <v/>
      </c>
      <c r="E745" s="20" t="str">
        <f aca="false">IF(AND(Eingabe!$F$12&gt;0,Eingabe!$E$12&gt;=131),IF((Eingabe!$G$12+1)&lt;=9,1000+(Eingabe!$G$12+1)*100,3000)+31,"")</f>
        <v/>
      </c>
      <c r="F745" s="20" t="str">
        <f aca="false">IF(AND(Eingabe!$F$12&gt;0,Eingabe!$E$12&gt;=131),"10."&amp;Eingabe!$D$12&amp;".131.0/24","")</f>
        <v/>
      </c>
      <c r="G745" s="20" t="str">
        <f aca="false">IF(AND(Eingabe!$F$12&gt;0,Eingabe!$E$12&gt;=131),"10."&amp;Eingabe!$D$12&amp;".131.1","")</f>
        <v/>
      </c>
      <c r="H745" s="20" t="str">
        <f aca="false">IF(AND(Eingabe!$F$12&gt;0,Eingabe!$E$12&gt;=131),"10."&amp;Eingabe!$D$12&amp;".131.10 – 10."&amp;Eingabe!$D$12&amp;".131.250","")</f>
        <v/>
      </c>
      <c r="I745" s="20" t="str">
        <f aca="false">IF(AND(Eingabe!$F$12&gt;0,Eingabe!$E$12&gt;=131),Eingabe!$B$6&amp;"-"&amp;Eingabe!$C$12&amp;"-Pächter","")</f>
        <v/>
      </c>
      <c r="J745" s="20" t="str">
        <f aca="false">IF(AND(Eingabe!$F$12&gt;0,Eingabe!$E$12&gt;=131),"PPSK: Passwort Parzelle 131","")</f>
        <v/>
      </c>
      <c r="K745" s="20" t="str">
        <f aca="false">IF(AND(Eingabe!$F$12&gt;0,Eingabe!$E$12&gt;=131),"1. Gerät: 10."&amp;Eingabe!$D$12&amp;".131.10, 2. Gerät: .11","")</f>
        <v/>
      </c>
    </row>
    <row r="746" customFormat="false" ht="15" hidden="false" customHeight="false" outlineLevel="0" collapsed="false">
      <c r="A746" s="20" t="str">
        <f aca="false">IF(AND(Eingabe!$F$12&gt;0,Eingabe!$E$12&gt;=132),4,"")</f>
        <v/>
      </c>
      <c r="B746" s="20" t="str">
        <f aca="false">IF(AND(Eingabe!$F$12&gt;0,Eingabe!$E$12&gt;=132),Eingabe!$B$12,"")</f>
        <v/>
      </c>
      <c r="C746" s="20" t="str">
        <f aca="false">IF(AND(Eingabe!$F$12&gt;0,Eingabe!$E$12&gt;=132),Eingabe!$C$12&amp;"-Paz."&amp;TEXT(132,"000"),"")</f>
        <v/>
      </c>
      <c r="D746" s="20" t="str">
        <f aca="false">IF(AND(Eingabe!$F$12&gt;0,Eingabe!$E$12&gt;=132),132,"")</f>
        <v/>
      </c>
      <c r="E746" s="20" t="str">
        <f aca="false">IF(AND(Eingabe!$F$12&gt;0,Eingabe!$E$12&gt;=132),IF((Eingabe!$G$12+1)&lt;=9,1000+(Eingabe!$G$12+1)*100,3000)+32,"")</f>
        <v/>
      </c>
      <c r="F746" s="20" t="str">
        <f aca="false">IF(AND(Eingabe!$F$12&gt;0,Eingabe!$E$12&gt;=132),"10."&amp;Eingabe!$D$12&amp;".132.0/24","")</f>
        <v/>
      </c>
      <c r="G746" s="20" t="str">
        <f aca="false">IF(AND(Eingabe!$F$12&gt;0,Eingabe!$E$12&gt;=132),"10."&amp;Eingabe!$D$12&amp;".132.1","")</f>
        <v/>
      </c>
      <c r="H746" s="20" t="str">
        <f aca="false">IF(AND(Eingabe!$F$12&gt;0,Eingabe!$E$12&gt;=132),"10."&amp;Eingabe!$D$12&amp;".132.10 – 10."&amp;Eingabe!$D$12&amp;".132.250","")</f>
        <v/>
      </c>
      <c r="I746" s="20" t="str">
        <f aca="false">IF(AND(Eingabe!$F$12&gt;0,Eingabe!$E$12&gt;=132),Eingabe!$B$6&amp;"-"&amp;Eingabe!$C$12&amp;"-Pächter","")</f>
        <v/>
      </c>
      <c r="J746" s="20" t="str">
        <f aca="false">IF(AND(Eingabe!$F$12&gt;0,Eingabe!$E$12&gt;=132),"PPSK: Passwort Parzelle 132","")</f>
        <v/>
      </c>
      <c r="K746" s="20" t="str">
        <f aca="false">IF(AND(Eingabe!$F$12&gt;0,Eingabe!$E$12&gt;=132),"1. Gerät: 10."&amp;Eingabe!$D$12&amp;".132.10, 2. Gerät: .11","")</f>
        <v/>
      </c>
    </row>
    <row r="747" customFormat="false" ht="15" hidden="false" customHeight="false" outlineLevel="0" collapsed="false">
      <c r="A747" s="20" t="str">
        <f aca="false">IF(AND(Eingabe!$F$12&gt;0,Eingabe!$E$12&gt;=133),4,"")</f>
        <v/>
      </c>
      <c r="B747" s="20" t="str">
        <f aca="false">IF(AND(Eingabe!$F$12&gt;0,Eingabe!$E$12&gt;=133),Eingabe!$B$12,"")</f>
        <v/>
      </c>
      <c r="C747" s="20" t="str">
        <f aca="false">IF(AND(Eingabe!$F$12&gt;0,Eingabe!$E$12&gt;=133),Eingabe!$C$12&amp;"-Paz."&amp;TEXT(133,"000"),"")</f>
        <v/>
      </c>
      <c r="D747" s="20" t="str">
        <f aca="false">IF(AND(Eingabe!$F$12&gt;0,Eingabe!$E$12&gt;=133),133,"")</f>
        <v/>
      </c>
      <c r="E747" s="20" t="str">
        <f aca="false">IF(AND(Eingabe!$F$12&gt;0,Eingabe!$E$12&gt;=133),IF((Eingabe!$G$12+1)&lt;=9,1000+(Eingabe!$G$12+1)*100,3000)+33,"")</f>
        <v/>
      </c>
      <c r="F747" s="20" t="str">
        <f aca="false">IF(AND(Eingabe!$F$12&gt;0,Eingabe!$E$12&gt;=133),"10."&amp;Eingabe!$D$12&amp;".133.0/24","")</f>
        <v/>
      </c>
      <c r="G747" s="20" t="str">
        <f aca="false">IF(AND(Eingabe!$F$12&gt;0,Eingabe!$E$12&gt;=133),"10."&amp;Eingabe!$D$12&amp;".133.1","")</f>
        <v/>
      </c>
      <c r="H747" s="20" t="str">
        <f aca="false">IF(AND(Eingabe!$F$12&gt;0,Eingabe!$E$12&gt;=133),"10."&amp;Eingabe!$D$12&amp;".133.10 – 10."&amp;Eingabe!$D$12&amp;".133.250","")</f>
        <v/>
      </c>
      <c r="I747" s="20" t="str">
        <f aca="false">IF(AND(Eingabe!$F$12&gt;0,Eingabe!$E$12&gt;=133),Eingabe!$B$6&amp;"-"&amp;Eingabe!$C$12&amp;"-Pächter","")</f>
        <v/>
      </c>
      <c r="J747" s="20" t="str">
        <f aca="false">IF(AND(Eingabe!$F$12&gt;0,Eingabe!$E$12&gt;=133),"PPSK: Passwort Parzelle 133","")</f>
        <v/>
      </c>
      <c r="K747" s="20" t="str">
        <f aca="false">IF(AND(Eingabe!$F$12&gt;0,Eingabe!$E$12&gt;=133),"1. Gerät: 10."&amp;Eingabe!$D$12&amp;".133.10, 2. Gerät: .11","")</f>
        <v/>
      </c>
    </row>
    <row r="748" customFormat="false" ht="15" hidden="false" customHeight="false" outlineLevel="0" collapsed="false">
      <c r="A748" s="20" t="str">
        <f aca="false">IF(AND(Eingabe!$F$12&gt;0,Eingabe!$E$12&gt;=134),4,"")</f>
        <v/>
      </c>
      <c r="B748" s="20" t="str">
        <f aca="false">IF(AND(Eingabe!$F$12&gt;0,Eingabe!$E$12&gt;=134),Eingabe!$B$12,"")</f>
        <v/>
      </c>
      <c r="C748" s="20" t="str">
        <f aca="false">IF(AND(Eingabe!$F$12&gt;0,Eingabe!$E$12&gt;=134),Eingabe!$C$12&amp;"-Paz."&amp;TEXT(134,"000"),"")</f>
        <v/>
      </c>
      <c r="D748" s="20" t="str">
        <f aca="false">IF(AND(Eingabe!$F$12&gt;0,Eingabe!$E$12&gt;=134),134,"")</f>
        <v/>
      </c>
      <c r="E748" s="20" t="str">
        <f aca="false">IF(AND(Eingabe!$F$12&gt;0,Eingabe!$E$12&gt;=134),IF((Eingabe!$G$12+1)&lt;=9,1000+(Eingabe!$G$12+1)*100,3000)+34,"")</f>
        <v/>
      </c>
      <c r="F748" s="20" t="str">
        <f aca="false">IF(AND(Eingabe!$F$12&gt;0,Eingabe!$E$12&gt;=134),"10."&amp;Eingabe!$D$12&amp;".134.0/24","")</f>
        <v/>
      </c>
      <c r="G748" s="20" t="str">
        <f aca="false">IF(AND(Eingabe!$F$12&gt;0,Eingabe!$E$12&gt;=134),"10."&amp;Eingabe!$D$12&amp;".134.1","")</f>
        <v/>
      </c>
      <c r="H748" s="20" t="str">
        <f aca="false">IF(AND(Eingabe!$F$12&gt;0,Eingabe!$E$12&gt;=134),"10."&amp;Eingabe!$D$12&amp;".134.10 – 10."&amp;Eingabe!$D$12&amp;".134.250","")</f>
        <v/>
      </c>
      <c r="I748" s="20" t="str">
        <f aca="false">IF(AND(Eingabe!$F$12&gt;0,Eingabe!$E$12&gt;=134),Eingabe!$B$6&amp;"-"&amp;Eingabe!$C$12&amp;"-Pächter","")</f>
        <v/>
      </c>
      <c r="J748" s="20" t="str">
        <f aca="false">IF(AND(Eingabe!$F$12&gt;0,Eingabe!$E$12&gt;=134),"PPSK: Passwort Parzelle 134","")</f>
        <v/>
      </c>
      <c r="K748" s="20" t="str">
        <f aca="false">IF(AND(Eingabe!$F$12&gt;0,Eingabe!$E$12&gt;=134),"1. Gerät: 10."&amp;Eingabe!$D$12&amp;".134.10, 2. Gerät: .11","")</f>
        <v/>
      </c>
    </row>
    <row r="749" customFormat="false" ht="15" hidden="false" customHeight="false" outlineLevel="0" collapsed="false">
      <c r="A749" s="20" t="str">
        <f aca="false">IF(AND(Eingabe!$F$12&gt;0,Eingabe!$E$12&gt;=135),4,"")</f>
        <v/>
      </c>
      <c r="B749" s="20" t="str">
        <f aca="false">IF(AND(Eingabe!$F$12&gt;0,Eingabe!$E$12&gt;=135),Eingabe!$B$12,"")</f>
        <v/>
      </c>
      <c r="C749" s="20" t="str">
        <f aca="false">IF(AND(Eingabe!$F$12&gt;0,Eingabe!$E$12&gt;=135),Eingabe!$C$12&amp;"-Paz."&amp;TEXT(135,"000"),"")</f>
        <v/>
      </c>
      <c r="D749" s="20" t="str">
        <f aca="false">IF(AND(Eingabe!$F$12&gt;0,Eingabe!$E$12&gt;=135),135,"")</f>
        <v/>
      </c>
      <c r="E749" s="20" t="str">
        <f aca="false">IF(AND(Eingabe!$F$12&gt;0,Eingabe!$E$12&gt;=135),IF((Eingabe!$G$12+1)&lt;=9,1000+(Eingabe!$G$12+1)*100,3000)+35,"")</f>
        <v/>
      </c>
      <c r="F749" s="20" t="str">
        <f aca="false">IF(AND(Eingabe!$F$12&gt;0,Eingabe!$E$12&gt;=135),"10."&amp;Eingabe!$D$12&amp;".135.0/24","")</f>
        <v/>
      </c>
      <c r="G749" s="20" t="str">
        <f aca="false">IF(AND(Eingabe!$F$12&gt;0,Eingabe!$E$12&gt;=135),"10."&amp;Eingabe!$D$12&amp;".135.1","")</f>
        <v/>
      </c>
      <c r="H749" s="20" t="str">
        <f aca="false">IF(AND(Eingabe!$F$12&gt;0,Eingabe!$E$12&gt;=135),"10."&amp;Eingabe!$D$12&amp;".135.10 – 10."&amp;Eingabe!$D$12&amp;".135.250","")</f>
        <v/>
      </c>
      <c r="I749" s="20" t="str">
        <f aca="false">IF(AND(Eingabe!$F$12&gt;0,Eingabe!$E$12&gt;=135),Eingabe!$B$6&amp;"-"&amp;Eingabe!$C$12&amp;"-Pächter","")</f>
        <v/>
      </c>
      <c r="J749" s="20" t="str">
        <f aca="false">IF(AND(Eingabe!$F$12&gt;0,Eingabe!$E$12&gt;=135),"PPSK: Passwort Parzelle 135","")</f>
        <v/>
      </c>
      <c r="K749" s="20" t="str">
        <f aca="false">IF(AND(Eingabe!$F$12&gt;0,Eingabe!$E$12&gt;=135),"1. Gerät: 10."&amp;Eingabe!$D$12&amp;".135.10, 2. Gerät: .11","")</f>
        <v/>
      </c>
    </row>
    <row r="750" customFormat="false" ht="15" hidden="false" customHeight="false" outlineLevel="0" collapsed="false">
      <c r="A750" s="20" t="str">
        <f aca="false">IF(AND(Eingabe!$F$12&gt;0,Eingabe!$E$12&gt;=136),4,"")</f>
        <v/>
      </c>
      <c r="B750" s="20" t="str">
        <f aca="false">IF(AND(Eingabe!$F$12&gt;0,Eingabe!$E$12&gt;=136),Eingabe!$B$12,"")</f>
        <v/>
      </c>
      <c r="C750" s="20" t="str">
        <f aca="false">IF(AND(Eingabe!$F$12&gt;0,Eingabe!$E$12&gt;=136),Eingabe!$C$12&amp;"-Paz."&amp;TEXT(136,"000"),"")</f>
        <v/>
      </c>
      <c r="D750" s="20" t="str">
        <f aca="false">IF(AND(Eingabe!$F$12&gt;0,Eingabe!$E$12&gt;=136),136,"")</f>
        <v/>
      </c>
      <c r="E750" s="20" t="str">
        <f aca="false">IF(AND(Eingabe!$F$12&gt;0,Eingabe!$E$12&gt;=136),IF((Eingabe!$G$12+1)&lt;=9,1000+(Eingabe!$G$12+1)*100,3000)+36,"")</f>
        <v/>
      </c>
      <c r="F750" s="20" t="str">
        <f aca="false">IF(AND(Eingabe!$F$12&gt;0,Eingabe!$E$12&gt;=136),"10."&amp;Eingabe!$D$12&amp;".136.0/24","")</f>
        <v/>
      </c>
      <c r="G750" s="20" t="str">
        <f aca="false">IF(AND(Eingabe!$F$12&gt;0,Eingabe!$E$12&gt;=136),"10."&amp;Eingabe!$D$12&amp;".136.1","")</f>
        <v/>
      </c>
      <c r="H750" s="20" t="str">
        <f aca="false">IF(AND(Eingabe!$F$12&gt;0,Eingabe!$E$12&gt;=136),"10."&amp;Eingabe!$D$12&amp;".136.10 – 10."&amp;Eingabe!$D$12&amp;".136.250","")</f>
        <v/>
      </c>
      <c r="I750" s="20" t="str">
        <f aca="false">IF(AND(Eingabe!$F$12&gt;0,Eingabe!$E$12&gt;=136),Eingabe!$B$6&amp;"-"&amp;Eingabe!$C$12&amp;"-Pächter","")</f>
        <v/>
      </c>
      <c r="J750" s="20" t="str">
        <f aca="false">IF(AND(Eingabe!$F$12&gt;0,Eingabe!$E$12&gt;=136),"PPSK: Passwort Parzelle 136","")</f>
        <v/>
      </c>
      <c r="K750" s="20" t="str">
        <f aca="false">IF(AND(Eingabe!$F$12&gt;0,Eingabe!$E$12&gt;=136),"1. Gerät: 10."&amp;Eingabe!$D$12&amp;".136.10, 2. Gerät: .11","")</f>
        <v/>
      </c>
    </row>
    <row r="751" customFormat="false" ht="15" hidden="false" customHeight="false" outlineLevel="0" collapsed="false">
      <c r="A751" s="20" t="str">
        <f aca="false">IF(AND(Eingabe!$F$12&gt;0,Eingabe!$E$12&gt;=137),4,"")</f>
        <v/>
      </c>
      <c r="B751" s="20" t="str">
        <f aca="false">IF(AND(Eingabe!$F$12&gt;0,Eingabe!$E$12&gt;=137),Eingabe!$B$12,"")</f>
        <v/>
      </c>
      <c r="C751" s="20" t="str">
        <f aca="false">IF(AND(Eingabe!$F$12&gt;0,Eingabe!$E$12&gt;=137),Eingabe!$C$12&amp;"-Paz."&amp;TEXT(137,"000"),"")</f>
        <v/>
      </c>
      <c r="D751" s="20" t="str">
        <f aca="false">IF(AND(Eingabe!$F$12&gt;0,Eingabe!$E$12&gt;=137),137,"")</f>
        <v/>
      </c>
      <c r="E751" s="20" t="str">
        <f aca="false">IF(AND(Eingabe!$F$12&gt;0,Eingabe!$E$12&gt;=137),IF((Eingabe!$G$12+1)&lt;=9,1000+(Eingabe!$G$12+1)*100,3000)+37,"")</f>
        <v/>
      </c>
      <c r="F751" s="20" t="str">
        <f aca="false">IF(AND(Eingabe!$F$12&gt;0,Eingabe!$E$12&gt;=137),"10."&amp;Eingabe!$D$12&amp;".137.0/24","")</f>
        <v/>
      </c>
      <c r="G751" s="20" t="str">
        <f aca="false">IF(AND(Eingabe!$F$12&gt;0,Eingabe!$E$12&gt;=137),"10."&amp;Eingabe!$D$12&amp;".137.1","")</f>
        <v/>
      </c>
      <c r="H751" s="20" t="str">
        <f aca="false">IF(AND(Eingabe!$F$12&gt;0,Eingabe!$E$12&gt;=137),"10."&amp;Eingabe!$D$12&amp;".137.10 – 10."&amp;Eingabe!$D$12&amp;".137.250","")</f>
        <v/>
      </c>
      <c r="I751" s="20" t="str">
        <f aca="false">IF(AND(Eingabe!$F$12&gt;0,Eingabe!$E$12&gt;=137),Eingabe!$B$6&amp;"-"&amp;Eingabe!$C$12&amp;"-Pächter","")</f>
        <v/>
      </c>
      <c r="J751" s="20" t="str">
        <f aca="false">IF(AND(Eingabe!$F$12&gt;0,Eingabe!$E$12&gt;=137),"PPSK: Passwort Parzelle 137","")</f>
        <v/>
      </c>
      <c r="K751" s="20" t="str">
        <f aca="false">IF(AND(Eingabe!$F$12&gt;0,Eingabe!$E$12&gt;=137),"1. Gerät: 10."&amp;Eingabe!$D$12&amp;".137.10, 2. Gerät: .11","")</f>
        <v/>
      </c>
    </row>
    <row r="752" customFormat="false" ht="15" hidden="false" customHeight="false" outlineLevel="0" collapsed="false">
      <c r="A752" s="20" t="str">
        <f aca="false">IF(AND(Eingabe!$F$12&gt;0,Eingabe!$E$12&gt;=138),4,"")</f>
        <v/>
      </c>
      <c r="B752" s="20" t="str">
        <f aca="false">IF(AND(Eingabe!$F$12&gt;0,Eingabe!$E$12&gt;=138),Eingabe!$B$12,"")</f>
        <v/>
      </c>
      <c r="C752" s="20" t="str">
        <f aca="false">IF(AND(Eingabe!$F$12&gt;0,Eingabe!$E$12&gt;=138),Eingabe!$C$12&amp;"-Paz."&amp;TEXT(138,"000"),"")</f>
        <v/>
      </c>
      <c r="D752" s="20" t="str">
        <f aca="false">IF(AND(Eingabe!$F$12&gt;0,Eingabe!$E$12&gt;=138),138,"")</f>
        <v/>
      </c>
      <c r="E752" s="20" t="str">
        <f aca="false">IF(AND(Eingabe!$F$12&gt;0,Eingabe!$E$12&gt;=138),IF((Eingabe!$G$12+1)&lt;=9,1000+(Eingabe!$G$12+1)*100,3000)+38,"")</f>
        <v/>
      </c>
      <c r="F752" s="20" t="str">
        <f aca="false">IF(AND(Eingabe!$F$12&gt;0,Eingabe!$E$12&gt;=138),"10."&amp;Eingabe!$D$12&amp;".138.0/24","")</f>
        <v/>
      </c>
      <c r="G752" s="20" t="str">
        <f aca="false">IF(AND(Eingabe!$F$12&gt;0,Eingabe!$E$12&gt;=138),"10."&amp;Eingabe!$D$12&amp;".138.1","")</f>
        <v/>
      </c>
      <c r="H752" s="20" t="str">
        <f aca="false">IF(AND(Eingabe!$F$12&gt;0,Eingabe!$E$12&gt;=138),"10."&amp;Eingabe!$D$12&amp;".138.10 – 10."&amp;Eingabe!$D$12&amp;".138.250","")</f>
        <v/>
      </c>
      <c r="I752" s="20" t="str">
        <f aca="false">IF(AND(Eingabe!$F$12&gt;0,Eingabe!$E$12&gt;=138),Eingabe!$B$6&amp;"-"&amp;Eingabe!$C$12&amp;"-Pächter","")</f>
        <v/>
      </c>
      <c r="J752" s="20" t="str">
        <f aca="false">IF(AND(Eingabe!$F$12&gt;0,Eingabe!$E$12&gt;=138),"PPSK: Passwort Parzelle 138","")</f>
        <v/>
      </c>
      <c r="K752" s="20" t="str">
        <f aca="false">IF(AND(Eingabe!$F$12&gt;0,Eingabe!$E$12&gt;=138),"1. Gerät: 10."&amp;Eingabe!$D$12&amp;".138.10, 2. Gerät: .11","")</f>
        <v/>
      </c>
    </row>
    <row r="753" customFormat="false" ht="15" hidden="false" customHeight="false" outlineLevel="0" collapsed="false">
      <c r="A753" s="20" t="str">
        <f aca="false">IF(AND(Eingabe!$F$12&gt;0,Eingabe!$E$12&gt;=139),4,"")</f>
        <v/>
      </c>
      <c r="B753" s="20" t="str">
        <f aca="false">IF(AND(Eingabe!$F$12&gt;0,Eingabe!$E$12&gt;=139),Eingabe!$B$12,"")</f>
        <v/>
      </c>
      <c r="C753" s="20" t="str">
        <f aca="false">IF(AND(Eingabe!$F$12&gt;0,Eingabe!$E$12&gt;=139),Eingabe!$C$12&amp;"-Paz."&amp;TEXT(139,"000"),"")</f>
        <v/>
      </c>
      <c r="D753" s="20" t="str">
        <f aca="false">IF(AND(Eingabe!$F$12&gt;0,Eingabe!$E$12&gt;=139),139,"")</f>
        <v/>
      </c>
      <c r="E753" s="20" t="str">
        <f aca="false">IF(AND(Eingabe!$F$12&gt;0,Eingabe!$E$12&gt;=139),IF((Eingabe!$G$12+1)&lt;=9,1000+(Eingabe!$G$12+1)*100,3000)+39,"")</f>
        <v/>
      </c>
      <c r="F753" s="20" t="str">
        <f aca="false">IF(AND(Eingabe!$F$12&gt;0,Eingabe!$E$12&gt;=139),"10."&amp;Eingabe!$D$12&amp;".139.0/24","")</f>
        <v/>
      </c>
      <c r="G753" s="20" t="str">
        <f aca="false">IF(AND(Eingabe!$F$12&gt;0,Eingabe!$E$12&gt;=139),"10."&amp;Eingabe!$D$12&amp;".139.1","")</f>
        <v/>
      </c>
      <c r="H753" s="20" t="str">
        <f aca="false">IF(AND(Eingabe!$F$12&gt;0,Eingabe!$E$12&gt;=139),"10."&amp;Eingabe!$D$12&amp;".139.10 – 10."&amp;Eingabe!$D$12&amp;".139.250","")</f>
        <v/>
      </c>
      <c r="I753" s="20" t="str">
        <f aca="false">IF(AND(Eingabe!$F$12&gt;0,Eingabe!$E$12&gt;=139),Eingabe!$B$6&amp;"-"&amp;Eingabe!$C$12&amp;"-Pächter","")</f>
        <v/>
      </c>
      <c r="J753" s="20" t="str">
        <f aca="false">IF(AND(Eingabe!$F$12&gt;0,Eingabe!$E$12&gt;=139),"PPSK: Passwort Parzelle 139","")</f>
        <v/>
      </c>
      <c r="K753" s="20" t="str">
        <f aca="false">IF(AND(Eingabe!$F$12&gt;0,Eingabe!$E$12&gt;=139),"1. Gerät: 10."&amp;Eingabe!$D$12&amp;".139.10, 2. Gerät: .11","")</f>
        <v/>
      </c>
    </row>
    <row r="754" customFormat="false" ht="15" hidden="false" customHeight="false" outlineLevel="0" collapsed="false">
      <c r="A754" s="20" t="str">
        <f aca="false">IF(AND(Eingabe!$F$12&gt;0,Eingabe!$E$12&gt;=140),4,"")</f>
        <v/>
      </c>
      <c r="B754" s="20" t="str">
        <f aca="false">IF(AND(Eingabe!$F$12&gt;0,Eingabe!$E$12&gt;=140),Eingabe!$B$12,"")</f>
        <v/>
      </c>
      <c r="C754" s="20" t="str">
        <f aca="false">IF(AND(Eingabe!$F$12&gt;0,Eingabe!$E$12&gt;=140),Eingabe!$C$12&amp;"-Paz."&amp;TEXT(140,"000"),"")</f>
        <v/>
      </c>
      <c r="D754" s="20" t="str">
        <f aca="false">IF(AND(Eingabe!$F$12&gt;0,Eingabe!$E$12&gt;=140),140,"")</f>
        <v/>
      </c>
      <c r="E754" s="20" t="str">
        <f aca="false">IF(AND(Eingabe!$F$12&gt;0,Eingabe!$E$12&gt;=140),IF((Eingabe!$G$12+1)&lt;=9,1000+(Eingabe!$G$12+1)*100,3000)+40,"")</f>
        <v/>
      </c>
      <c r="F754" s="20" t="str">
        <f aca="false">IF(AND(Eingabe!$F$12&gt;0,Eingabe!$E$12&gt;=140),"10."&amp;Eingabe!$D$12&amp;".140.0/24","")</f>
        <v/>
      </c>
      <c r="G754" s="20" t="str">
        <f aca="false">IF(AND(Eingabe!$F$12&gt;0,Eingabe!$E$12&gt;=140),"10."&amp;Eingabe!$D$12&amp;".140.1","")</f>
        <v/>
      </c>
      <c r="H754" s="20" t="str">
        <f aca="false">IF(AND(Eingabe!$F$12&gt;0,Eingabe!$E$12&gt;=140),"10."&amp;Eingabe!$D$12&amp;".140.10 – 10."&amp;Eingabe!$D$12&amp;".140.250","")</f>
        <v/>
      </c>
      <c r="I754" s="20" t="str">
        <f aca="false">IF(AND(Eingabe!$F$12&gt;0,Eingabe!$E$12&gt;=140),Eingabe!$B$6&amp;"-"&amp;Eingabe!$C$12&amp;"-Pächter","")</f>
        <v/>
      </c>
      <c r="J754" s="20" t="str">
        <f aca="false">IF(AND(Eingabe!$F$12&gt;0,Eingabe!$E$12&gt;=140),"PPSK: Passwort Parzelle 140","")</f>
        <v/>
      </c>
      <c r="K754" s="20" t="str">
        <f aca="false">IF(AND(Eingabe!$F$12&gt;0,Eingabe!$E$12&gt;=140),"1. Gerät: 10."&amp;Eingabe!$D$12&amp;".140.10, 2. Gerät: .11","")</f>
        <v/>
      </c>
    </row>
    <row r="755" customFormat="false" ht="15" hidden="false" customHeight="false" outlineLevel="0" collapsed="false">
      <c r="A755" s="20" t="str">
        <f aca="false">IF(AND(Eingabe!$F$12&gt;0,Eingabe!$E$12&gt;=141),4,"")</f>
        <v/>
      </c>
      <c r="B755" s="20" t="str">
        <f aca="false">IF(AND(Eingabe!$F$12&gt;0,Eingabe!$E$12&gt;=141),Eingabe!$B$12,"")</f>
        <v/>
      </c>
      <c r="C755" s="20" t="str">
        <f aca="false">IF(AND(Eingabe!$F$12&gt;0,Eingabe!$E$12&gt;=141),Eingabe!$C$12&amp;"-Paz."&amp;TEXT(141,"000"),"")</f>
        <v/>
      </c>
      <c r="D755" s="20" t="str">
        <f aca="false">IF(AND(Eingabe!$F$12&gt;0,Eingabe!$E$12&gt;=141),141,"")</f>
        <v/>
      </c>
      <c r="E755" s="20" t="str">
        <f aca="false">IF(AND(Eingabe!$F$12&gt;0,Eingabe!$E$12&gt;=141),IF((Eingabe!$G$12+1)&lt;=9,1000+(Eingabe!$G$12+1)*100,3000)+41,"")</f>
        <v/>
      </c>
      <c r="F755" s="20" t="str">
        <f aca="false">IF(AND(Eingabe!$F$12&gt;0,Eingabe!$E$12&gt;=141),"10."&amp;Eingabe!$D$12&amp;".141.0/24","")</f>
        <v/>
      </c>
      <c r="G755" s="20" t="str">
        <f aca="false">IF(AND(Eingabe!$F$12&gt;0,Eingabe!$E$12&gt;=141),"10."&amp;Eingabe!$D$12&amp;".141.1","")</f>
        <v/>
      </c>
      <c r="H755" s="20" t="str">
        <f aca="false">IF(AND(Eingabe!$F$12&gt;0,Eingabe!$E$12&gt;=141),"10."&amp;Eingabe!$D$12&amp;".141.10 – 10."&amp;Eingabe!$D$12&amp;".141.250","")</f>
        <v/>
      </c>
      <c r="I755" s="20" t="str">
        <f aca="false">IF(AND(Eingabe!$F$12&gt;0,Eingabe!$E$12&gt;=141),Eingabe!$B$6&amp;"-"&amp;Eingabe!$C$12&amp;"-Pächter","")</f>
        <v/>
      </c>
      <c r="J755" s="20" t="str">
        <f aca="false">IF(AND(Eingabe!$F$12&gt;0,Eingabe!$E$12&gt;=141),"PPSK: Passwort Parzelle 141","")</f>
        <v/>
      </c>
      <c r="K755" s="20" t="str">
        <f aca="false">IF(AND(Eingabe!$F$12&gt;0,Eingabe!$E$12&gt;=141),"1. Gerät: 10."&amp;Eingabe!$D$12&amp;".141.10, 2. Gerät: .11","")</f>
        <v/>
      </c>
    </row>
    <row r="756" customFormat="false" ht="15" hidden="false" customHeight="false" outlineLevel="0" collapsed="false">
      <c r="A756" s="20" t="str">
        <f aca="false">IF(AND(Eingabe!$F$12&gt;0,Eingabe!$E$12&gt;=142),4,"")</f>
        <v/>
      </c>
      <c r="B756" s="20" t="str">
        <f aca="false">IF(AND(Eingabe!$F$12&gt;0,Eingabe!$E$12&gt;=142),Eingabe!$B$12,"")</f>
        <v/>
      </c>
      <c r="C756" s="20" t="str">
        <f aca="false">IF(AND(Eingabe!$F$12&gt;0,Eingabe!$E$12&gt;=142),Eingabe!$C$12&amp;"-Paz."&amp;TEXT(142,"000"),"")</f>
        <v/>
      </c>
      <c r="D756" s="20" t="str">
        <f aca="false">IF(AND(Eingabe!$F$12&gt;0,Eingabe!$E$12&gt;=142),142,"")</f>
        <v/>
      </c>
      <c r="E756" s="20" t="str">
        <f aca="false">IF(AND(Eingabe!$F$12&gt;0,Eingabe!$E$12&gt;=142),IF((Eingabe!$G$12+1)&lt;=9,1000+(Eingabe!$G$12+1)*100,3000)+42,"")</f>
        <v/>
      </c>
      <c r="F756" s="20" t="str">
        <f aca="false">IF(AND(Eingabe!$F$12&gt;0,Eingabe!$E$12&gt;=142),"10."&amp;Eingabe!$D$12&amp;".142.0/24","")</f>
        <v/>
      </c>
      <c r="G756" s="20" t="str">
        <f aca="false">IF(AND(Eingabe!$F$12&gt;0,Eingabe!$E$12&gt;=142),"10."&amp;Eingabe!$D$12&amp;".142.1","")</f>
        <v/>
      </c>
      <c r="H756" s="20" t="str">
        <f aca="false">IF(AND(Eingabe!$F$12&gt;0,Eingabe!$E$12&gt;=142),"10."&amp;Eingabe!$D$12&amp;".142.10 – 10."&amp;Eingabe!$D$12&amp;".142.250","")</f>
        <v/>
      </c>
      <c r="I756" s="20" t="str">
        <f aca="false">IF(AND(Eingabe!$F$12&gt;0,Eingabe!$E$12&gt;=142),Eingabe!$B$6&amp;"-"&amp;Eingabe!$C$12&amp;"-Pächter","")</f>
        <v/>
      </c>
      <c r="J756" s="20" t="str">
        <f aca="false">IF(AND(Eingabe!$F$12&gt;0,Eingabe!$E$12&gt;=142),"PPSK: Passwort Parzelle 142","")</f>
        <v/>
      </c>
      <c r="K756" s="20" t="str">
        <f aca="false">IF(AND(Eingabe!$F$12&gt;0,Eingabe!$E$12&gt;=142),"1. Gerät: 10."&amp;Eingabe!$D$12&amp;".142.10, 2. Gerät: .11","")</f>
        <v/>
      </c>
    </row>
    <row r="757" customFormat="false" ht="15" hidden="false" customHeight="false" outlineLevel="0" collapsed="false">
      <c r="A757" s="20" t="str">
        <f aca="false">IF(AND(Eingabe!$F$12&gt;0,Eingabe!$E$12&gt;=143),4,"")</f>
        <v/>
      </c>
      <c r="B757" s="20" t="str">
        <f aca="false">IF(AND(Eingabe!$F$12&gt;0,Eingabe!$E$12&gt;=143),Eingabe!$B$12,"")</f>
        <v/>
      </c>
      <c r="C757" s="20" t="str">
        <f aca="false">IF(AND(Eingabe!$F$12&gt;0,Eingabe!$E$12&gt;=143),Eingabe!$C$12&amp;"-Paz."&amp;TEXT(143,"000"),"")</f>
        <v/>
      </c>
      <c r="D757" s="20" t="str">
        <f aca="false">IF(AND(Eingabe!$F$12&gt;0,Eingabe!$E$12&gt;=143),143,"")</f>
        <v/>
      </c>
      <c r="E757" s="20" t="str">
        <f aca="false">IF(AND(Eingabe!$F$12&gt;0,Eingabe!$E$12&gt;=143),IF((Eingabe!$G$12+1)&lt;=9,1000+(Eingabe!$G$12+1)*100,3000)+43,"")</f>
        <v/>
      </c>
      <c r="F757" s="20" t="str">
        <f aca="false">IF(AND(Eingabe!$F$12&gt;0,Eingabe!$E$12&gt;=143),"10."&amp;Eingabe!$D$12&amp;".143.0/24","")</f>
        <v/>
      </c>
      <c r="G757" s="20" t="str">
        <f aca="false">IF(AND(Eingabe!$F$12&gt;0,Eingabe!$E$12&gt;=143),"10."&amp;Eingabe!$D$12&amp;".143.1","")</f>
        <v/>
      </c>
      <c r="H757" s="20" t="str">
        <f aca="false">IF(AND(Eingabe!$F$12&gt;0,Eingabe!$E$12&gt;=143),"10."&amp;Eingabe!$D$12&amp;".143.10 – 10."&amp;Eingabe!$D$12&amp;".143.250","")</f>
        <v/>
      </c>
      <c r="I757" s="20" t="str">
        <f aca="false">IF(AND(Eingabe!$F$12&gt;0,Eingabe!$E$12&gt;=143),Eingabe!$B$6&amp;"-"&amp;Eingabe!$C$12&amp;"-Pächter","")</f>
        <v/>
      </c>
      <c r="J757" s="20" t="str">
        <f aca="false">IF(AND(Eingabe!$F$12&gt;0,Eingabe!$E$12&gt;=143),"PPSK: Passwort Parzelle 143","")</f>
        <v/>
      </c>
      <c r="K757" s="20" t="str">
        <f aca="false">IF(AND(Eingabe!$F$12&gt;0,Eingabe!$E$12&gt;=143),"1. Gerät: 10."&amp;Eingabe!$D$12&amp;".143.10, 2. Gerät: .11","")</f>
        <v/>
      </c>
    </row>
    <row r="758" customFormat="false" ht="15" hidden="false" customHeight="false" outlineLevel="0" collapsed="false">
      <c r="A758" s="20" t="str">
        <f aca="false">IF(AND(Eingabe!$F$12&gt;0,Eingabe!$E$12&gt;=144),4,"")</f>
        <v/>
      </c>
      <c r="B758" s="20" t="str">
        <f aca="false">IF(AND(Eingabe!$F$12&gt;0,Eingabe!$E$12&gt;=144),Eingabe!$B$12,"")</f>
        <v/>
      </c>
      <c r="C758" s="20" t="str">
        <f aca="false">IF(AND(Eingabe!$F$12&gt;0,Eingabe!$E$12&gt;=144),Eingabe!$C$12&amp;"-Paz."&amp;TEXT(144,"000"),"")</f>
        <v/>
      </c>
      <c r="D758" s="20" t="str">
        <f aca="false">IF(AND(Eingabe!$F$12&gt;0,Eingabe!$E$12&gt;=144),144,"")</f>
        <v/>
      </c>
      <c r="E758" s="20" t="str">
        <f aca="false">IF(AND(Eingabe!$F$12&gt;0,Eingabe!$E$12&gt;=144),IF((Eingabe!$G$12+1)&lt;=9,1000+(Eingabe!$G$12+1)*100,3000)+44,"")</f>
        <v/>
      </c>
      <c r="F758" s="20" t="str">
        <f aca="false">IF(AND(Eingabe!$F$12&gt;0,Eingabe!$E$12&gt;=144),"10."&amp;Eingabe!$D$12&amp;".144.0/24","")</f>
        <v/>
      </c>
      <c r="G758" s="20" t="str">
        <f aca="false">IF(AND(Eingabe!$F$12&gt;0,Eingabe!$E$12&gt;=144),"10."&amp;Eingabe!$D$12&amp;".144.1","")</f>
        <v/>
      </c>
      <c r="H758" s="20" t="str">
        <f aca="false">IF(AND(Eingabe!$F$12&gt;0,Eingabe!$E$12&gt;=144),"10."&amp;Eingabe!$D$12&amp;".144.10 – 10."&amp;Eingabe!$D$12&amp;".144.250","")</f>
        <v/>
      </c>
      <c r="I758" s="20" t="str">
        <f aca="false">IF(AND(Eingabe!$F$12&gt;0,Eingabe!$E$12&gt;=144),Eingabe!$B$6&amp;"-"&amp;Eingabe!$C$12&amp;"-Pächter","")</f>
        <v/>
      </c>
      <c r="J758" s="20" t="str">
        <f aca="false">IF(AND(Eingabe!$F$12&gt;0,Eingabe!$E$12&gt;=144),"PPSK: Passwort Parzelle 144","")</f>
        <v/>
      </c>
      <c r="K758" s="20" t="str">
        <f aca="false">IF(AND(Eingabe!$F$12&gt;0,Eingabe!$E$12&gt;=144),"1. Gerät: 10."&amp;Eingabe!$D$12&amp;".144.10, 2. Gerät: .11","")</f>
        <v/>
      </c>
    </row>
    <row r="759" customFormat="false" ht="15" hidden="false" customHeight="false" outlineLevel="0" collapsed="false">
      <c r="A759" s="20" t="str">
        <f aca="false">IF(AND(Eingabe!$F$12&gt;0,Eingabe!$E$12&gt;=145),4,"")</f>
        <v/>
      </c>
      <c r="B759" s="20" t="str">
        <f aca="false">IF(AND(Eingabe!$F$12&gt;0,Eingabe!$E$12&gt;=145),Eingabe!$B$12,"")</f>
        <v/>
      </c>
      <c r="C759" s="20" t="str">
        <f aca="false">IF(AND(Eingabe!$F$12&gt;0,Eingabe!$E$12&gt;=145),Eingabe!$C$12&amp;"-Paz."&amp;TEXT(145,"000"),"")</f>
        <v/>
      </c>
      <c r="D759" s="20" t="str">
        <f aca="false">IF(AND(Eingabe!$F$12&gt;0,Eingabe!$E$12&gt;=145),145,"")</f>
        <v/>
      </c>
      <c r="E759" s="20" t="str">
        <f aca="false">IF(AND(Eingabe!$F$12&gt;0,Eingabe!$E$12&gt;=145),IF((Eingabe!$G$12+1)&lt;=9,1000+(Eingabe!$G$12+1)*100,3000)+45,"")</f>
        <v/>
      </c>
      <c r="F759" s="20" t="str">
        <f aca="false">IF(AND(Eingabe!$F$12&gt;0,Eingabe!$E$12&gt;=145),"10."&amp;Eingabe!$D$12&amp;".145.0/24","")</f>
        <v/>
      </c>
      <c r="G759" s="20" t="str">
        <f aca="false">IF(AND(Eingabe!$F$12&gt;0,Eingabe!$E$12&gt;=145),"10."&amp;Eingabe!$D$12&amp;".145.1","")</f>
        <v/>
      </c>
      <c r="H759" s="20" t="str">
        <f aca="false">IF(AND(Eingabe!$F$12&gt;0,Eingabe!$E$12&gt;=145),"10."&amp;Eingabe!$D$12&amp;".145.10 – 10."&amp;Eingabe!$D$12&amp;".145.250","")</f>
        <v/>
      </c>
      <c r="I759" s="20" t="str">
        <f aca="false">IF(AND(Eingabe!$F$12&gt;0,Eingabe!$E$12&gt;=145),Eingabe!$B$6&amp;"-"&amp;Eingabe!$C$12&amp;"-Pächter","")</f>
        <v/>
      </c>
      <c r="J759" s="20" t="str">
        <f aca="false">IF(AND(Eingabe!$F$12&gt;0,Eingabe!$E$12&gt;=145),"PPSK: Passwort Parzelle 145","")</f>
        <v/>
      </c>
      <c r="K759" s="20" t="str">
        <f aca="false">IF(AND(Eingabe!$F$12&gt;0,Eingabe!$E$12&gt;=145),"1. Gerät: 10."&amp;Eingabe!$D$12&amp;".145.10, 2. Gerät: .11","")</f>
        <v/>
      </c>
    </row>
    <row r="760" customFormat="false" ht="15" hidden="false" customHeight="false" outlineLevel="0" collapsed="false">
      <c r="A760" s="20" t="str">
        <f aca="false">IF(AND(Eingabe!$F$12&gt;0,Eingabe!$E$12&gt;=146),4,"")</f>
        <v/>
      </c>
      <c r="B760" s="20" t="str">
        <f aca="false">IF(AND(Eingabe!$F$12&gt;0,Eingabe!$E$12&gt;=146),Eingabe!$B$12,"")</f>
        <v/>
      </c>
      <c r="C760" s="20" t="str">
        <f aca="false">IF(AND(Eingabe!$F$12&gt;0,Eingabe!$E$12&gt;=146),Eingabe!$C$12&amp;"-Paz."&amp;TEXT(146,"000"),"")</f>
        <v/>
      </c>
      <c r="D760" s="20" t="str">
        <f aca="false">IF(AND(Eingabe!$F$12&gt;0,Eingabe!$E$12&gt;=146),146,"")</f>
        <v/>
      </c>
      <c r="E760" s="20" t="str">
        <f aca="false">IF(AND(Eingabe!$F$12&gt;0,Eingabe!$E$12&gt;=146),IF((Eingabe!$G$12+1)&lt;=9,1000+(Eingabe!$G$12+1)*100,3000)+46,"")</f>
        <v/>
      </c>
      <c r="F760" s="20" t="str">
        <f aca="false">IF(AND(Eingabe!$F$12&gt;0,Eingabe!$E$12&gt;=146),"10."&amp;Eingabe!$D$12&amp;".146.0/24","")</f>
        <v/>
      </c>
      <c r="G760" s="20" t="str">
        <f aca="false">IF(AND(Eingabe!$F$12&gt;0,Eingabe!$E$12&gt;=146),"10."&amp;Eingabe!$D$12&amp;".146.1","")</f>
        <v/>
      </c>
      <c r="H760" s="20" t="str">
        <f aca="false">IF(AND(Eingabe!$F$12&gt;0,Eingabe!$E$12&gt;=146),"10."&amp;Eingabe!$D$12&amp;".146.10 – 10."&amp;Eingabe!$D$12&amp;".146.250","")</f>
        <v/>
      </c>
      <c r="I760" s="20" t="str">
        <f aca="false">IF(AND(Eingabe!$F$12&gt;0,Eingabe!$E$12&gt;=146),Eingabe!$B$6&amp;"-"&amp;Eingabe!$C$12&amp;"-Pächter","")</f>
        <v/>
      </c>
      <c r="J760" s="20" t="str">
        <f aca="false">IF(AND(Eingabe!$F$12&gt;0,Eingabe!$E$12&gt;=146),"PPSK: Passwort Parzelle 146","")</f>
        <v/>
      </c>
      <c r="K760" s="20" t="str">
        <f aca="false">IF(AND(Eingabe!$F$12&gt;0,Eingabe!$E$12&gt;=146),"1. Gerät: 10."&amp;Eingabe!$D$12&amp;".146.10, 2. Gerät: .11","")</f>
        <v/>
      </c>
    </row>
    <row r="761" customFormat="false" ht="15" hidden="false" customHeight="false" outlineLevel="0" collapsed="false">
      <c r="A761" s="20" t="str">
        <f aca="false">IF(AND(Eingabe!$F$12&gt;0,Eingabe!$E$12&gt;=147),4,"")</f>
        <v/>
      </c>
      <c r="B761" s="20" t="str">
        <f aca="false">IF(AND(Eingabe!$F$12&gt;0,Eingabe!$E$12&gt;=147),Eingabe!$B$12,"")</f>
        <v/>
      </c>
      <c r="C761" s="20" t="str">
        <f aca="false">IF(AND(Eingabe!$F$12&gt;0,Eingabe!$E$12&gt;=147),Eingabe!$C$12&amp;"-Paz."&amp;TEXT(147,"000"),"")</f>
        <v/>
      </c>
      <c r="D761" s="20" t="str">
        <f aca="false">IF(AND(Eingabe!$F$12&gt;0,Eingabe!$E$12&gt;=147),147,"")</f>
        <v/>
      </c>
      <c r="E761" s="20" t="str">
        <f aca="false">IF(AND(Eingabe!$F$12&gt;0,Eingabe!$E$12&gt;=147),IF((Eingabe!$G$12+1)&lt;=9,1000+(Eingabe!$G$12+1)*100,3000)+47,"")</f>
        <v/>
      </c>
      <c r="F761" s="20" t="str">
        <f aca="false">IF(AND(Eingabe!$F$12&gt;0,Eingabe!$E$12&gt;=147),"10."&amp;Eingabe!$D$12&amp;".147.0/24","")</f>
        <v/>
      </c>
      <c r="G761" s="20" t="str">
        <f aca="false">IF(AND(Eingabe!$F$12&gt;0,Eingabe!$E$12&gt;=147),"10."&amp;Eingabe!$D$12&amp;".147.1","")</f>
        <v/>
      </c>
      <c r="H761" s="20" t="str">
        <f aca="false">IF(AND(Eingabe!$F$12&gt;0,Eingabe!$E$12&gt;=147),"10."&amp;Eingabe!$D$12&amp;".147.10 – 10."&amp;Eingabe!$D$12&amp;".147.250","")</f>
        <v/>
      </c>
      <c r="I761" s="20" t="str">
        <f aca="false">IF(AND(Eingabe!$F$12&gt;0,Eingabe!$E$12&gt;=147),Eingabe!$B$6&amp;"-"&amp;Eingabe!$C$12&amp;"-Pächter","")</f>
        <v/>
      </c>
      <c r="J761" s="20" t="str">
        <f aca="false">IF(AND(Eingabe!$F$12&gt;0,Eingabe!$E$12&gt;=147),"PPSK: Passwort Parzelle 147","")</f>
        <v/>
      </c>
      <c r="K761" s="20" t="str">
        <f aca="false">IF(AND(Eingabe!$F$12&gt;0,Eingabe!$E$12&gt;=147),"1. Gerät: 10."&amp;Eingabe!$D$12&amp;".147.10, 2. Gerät: .11","")</f>
        <v/>
      </c>
    </row>
    <row r="762" customFormat="false" ht="15" hidden="false" customHeight="false" outlineLevel="0" collapsed="false">
      <c r="A762" s="20" t="str">
        <f aca="false">IF(AND(Eingabe!$F$12&gt;0,Eingabe!$E$12&gt;=148),4,"")</f>
        <v/>
      </c>
      <c r="B762" s="20" t="str">
        <f aca="false">IF(AND(Eingabe!$F$12&gt;0,Eingabe!$E$12&gt;=148),Eingabe!$B$12,"")</f>
        <v/>
      </c>
      <c r="C762" s="20" t="str">
        <f aca="false">IF(AND(Eingabe!$F$12&gt;0,Eingabe!$E$12&gt;=148),Eingabe!$C$12&amp;"-Paz."&amp;TEXT(148,"000"),"")</f>
        <v/>
      </c>
      <c r="D762" s="20" t="str">
        <f aca="false">IF(AND(Eingabe!$F$12&gt;0,Eingabe!$E$12&gt;=148),148,"")</f>
        <v/>
      </c>
      <c r="E762" s="20" t="str">
        <f aca="false">IF(AND(Eingabe!$F$12&gt;0,Eingabe!$E$12&gt;=148),IF((Eingabe!$G$12+1)&lt;=9,1000+(Eingabe!$G$12+1)*100,3000)+48,"")</f>
        <v/>
      </c>
      <c r="F762" s="20" t="str">
        <f aca="false">IF(AND(Eingabe!$F$12&gt;0,Eingabe!$E$12&gt;=148),"10."&amp;Eingabe!$D$12&amp;".148.0/24","")</f>
        <v/>
      </c>
      <c r="G762" s="20" t="str">
        <f aca="false">IF(AND(Eingabe!$F$12&gt;0,Eingabe!$E$12&gt;=148),"10."&amp;Eingabe!$D$12&amp;".148.1","")</f>
        <v/>
      </c>
      <c r="H762" s="20" t="str">
        <f aca="false">IF(AND(Eingabe!$F$12&gt;0,Eingabe!$E$12&gt;=148),"10."&amp;Eingabe!$D$12&amp;".148.10 – 10."&amp;Eingabe!$D$12&amp;".148.250","")</f>
        <v/>
      </c>
      <c r="I762" s="20" t="str">
        <f aca="false">IF(AND(Eingabe!$F$12&gt;0,Eingabe!$E$12&gt;=148),Eingabe!$B$6&amp;"-"&amp;Eingabe!$C$12&amp;"-Pächter","")</f>
        <v/>
      </c>
      <c r="J762" s="20" t="str">
        <f aca="false">IF(AND(Eingabe!$F$12&gt;0,Eingabe!$E$12&gt;=148),"PPSK: Passwort Parzelle 148","")</f>
        <v/>
      </c>
      <c r="K762" s="20" t="str">
        <f aca="false">IF(AND(Eingabe!$F$12&gt;0,Eingabe!$E$12&gt;=148),"1. Gerät: 10."&amp;Eingabe!$D$12&amp;".148.10, 2. Gerät: .11","")</f>
        <v/>
      </c>
    </row>
    <row r="763" customFormat="false" ht="15" hidden="false" customHeight="false" outlineLevel="0" collapsed="false">
      <c r="A763" s="20" t="str">
        <f aca="false">IF(AND(Eingabe!$F$12&gt;0,Eingabe!$E$12&gt;=149),4,"")</f>
        <v/>
      </c>
      <c r="B763" s="20" t="str">
        <f aca="false">IF(AND(Eingabe!$F$12&gt;0,Eingabe!$E$12&gt;=149),Eingabe!$B$12,"")</f>
        <v/>
      </c>
      <c r="C763" s="20" t="str">
        <f aca="false">IF(AND(Eingabe!$F$12&gt;0,Eingabe!$E$12&gt;=149),Eingabe!$C$12&amp;"-Paz."&amp;TEXT(149,"000"),"")</f>
        <v/>
      </c>
      <c r="D763" s="20" t="str">
        <f aca="false">IF(AND(Eingabe!$F$12&gt;0,Eingabe!$E$12&gt;=149),149,"")</f>
        <v/>
      </c>
      <c r="E763" s="20" t="str">
        <f aca="false">IF(AND(Eingabe!$F$12&gt;0,Eingabe!$E$12&gt;=149),IF((Eingabe!$G$12+1)&lt;=9,1000+(Eingabe!$G$12+1)*100,3000)+49,"")</f>
        <v/>
      </c>
      <c r="F763" s="20" t="str">
        <f aca="false">IF(AND(Eingabe!$F$12&gt;0,Eingabe!$E$12&gt;=149),"10."&amp;Eingabe!$D$12&amp;".149.0/24","")</f>
        <v/>
      </c>
      <c r="G763" s="20" t="str">
        <f aca="false">IF(AND(Eingabe!$F$12&gt;0,Eingabe!$E$12&gt;=149),"10."&amp;Eingabe!$D$12&amp;".149.1","")</f>
        <v/>
      </c>
      <c r="H763" s="20" t="str">
        <f aca="false">IF(AND(Eingabe!$F$12&gt;0,Eingabe!$E$12&gt;=149),"10."&amp;Eingabe!$D$12&amp;".149.10 – 10."&amp;Eingabe!$D$12&amp;".149.250","")</f>
        <v/>
      </c>
      <c r="I763" s="20" t="str">
        <f aca="false">IF(AND(Eingabe!$F$12&gt;0,Eingabe!$E$12&gt;=149),Eingabe!$B$6&amp;"-"&amp;Eingabe!$C$12&amp;"-Pächter","")</f>
        <v/>
      </c>
      <c r="J763" s="20" t="str">
        <f aca="false">IF(AND(Eingabe!$F$12&gt;0,Eingabe!$E$12&gt;=149),"PPSK: Passwort Parzelle 149","")</f>
        <v/>
      </c>
      <c r="K763" s="20" t="str">
        <f aca="false">IF(AND(Eingabe!$F$12&gt;0,Eingabe!$E$12&gt;=149),"1. Gerät: 10."&amp;Eingabe!$D$12&amp;".149.10, 2. Gerät: .11","")</f>
        <v/>
      </c>
    </row>
    <row r="764" customFormat="false" ht="15" hidden="false" customHeight="false" outlineLevel="0" collapsed="false">
      <c r="A764" s="20" t="str">
        <f aca="false">IF(AND(Eingabe!$F$12&gt;0,Eingabe!$E$12&gt;=150),4,"")</f>
        <v/>
      </c>
      <c r="B764" s="20" t="str">
        <f aca="false">IF(AND(Eingabe!$F$12&gt;0,Eingabe!$E$12&gt;=150),Eingabe!$B$12,"")</f>
        <v/>
      </c>
      <c r="C764" s="20" t="str">
        <f aca="false">IF(AND(Eingabe!$F$12&gt;0,Eingabe!$E$12&gt;=150),Eingabe!$C$12&amp;"-Paz."&amp;TEXT(150,"000"),"")</f>
        <v/>
      </c>
      <c r="D764" s="20" t="str">
        <f aca="false">IF(AND(Eingabe!$F$12&gt;0,Eingabe!$E$12&gt;=150),150,"")</f>
        <v/>
      </c>
      <c r="E764" s="20" t="str">
        <f aca="false">IF(AND(Eingabe!$F$12&gt;0,Eingabe!$E$12&gt;=150),IF((Eingabe!$G$12+1)&lt;=9,1000+(Eingabe!$G$12+1)*100,3000)+50,"")</f>
        <v/>
      </c>
      <c r="F764" s="20" t="str">
        <f aca="false">IF(AND(Eingabe!$F$12&gt;0,Eingabe!$E$12&gt;=150),"10."&amp;Eingabe!$D$12&amp;".150.0/24","")</f>
        <v/>
      </c>
      <c r="G764" s="20" t="str">
        <f aca="false">IF(AND(Eingabe!$F$12&gt;0,Eingabe!$E$12&gt;=150),"10."&amp;Eingabe!$D$12&amp;".150.1","")</f>
        <v/>
      </c>
      <c r="H764" s="20" t="str">
        <f aca="false">IF(AND(Eingabe!$F$12&gt;0,Eingabe!$E$12&gt;=150),"10."&amp;Eingabe!$D$12&amp;".150.10 – 10."&amp;Eingabe!$D$12&amp;".150.250","")</f>
        <v/>
      </c>
      <c r="I764" s="20" t="str">
        <f aca="false">IF(AND(Eingabe!$F$12&gt;0,Eingabe!$E$12&gt;=150),Eingabe!$B$6&amp;"-"&amp;Eingabe!$C$12&amp;"-Pächter","")</f>
        <v/>
      </c>
      <c r="J764" s="20" t="str">
        <f aca="false">IF(AND(Eingabe!$F$12&gt;0,Eingabe!$E$12&gt;=150),"PPSK: Passwort Parzelle 150","")</f>
        <v/>
      </c>
      <c r="K764" s="20" t="str">
        <f aca="false">IF(AND(Eingabe!$F$12&gt;0,Eingabe!$E$12&gt;=150),"1. Gerät: 10."&amp;Eingabe!$D$12&amp;".150.10, 2. Gerät: .11","")</f>
        <v/>
      </c>
    </row>
    <row r="765" customFormat="false" ht="15" hidden="false" customHeight="false" outlineLevel="0" collapsed="false">
      <c r="A765" s="20" t="str">
        <f aca="false">IF(AND(Eingabe!$F$12&gt;0,Eingabe!$E$12&gt;=151),4,"")</f>
        <v/>
      </c>
      <c r="B765" s="20" t="str">
        <f aca="false">IF(AND(Eingabe!$F$12&gt;0,Eingabe!$E$12&gt;=151),Eingabe!$B$12,"")</f>
        <v/>
      </c>
      <c r="C765" s="20" t="str">
        <f aca="false">IF(AND(Eingabe!$F$12&gt;0,Eingabe!$E$12&gt;=151),Eingabe!$C$12&amp;"-Paz."&amp;TEXT(151,"000"),"")</f>
        <v/>
      </c>
      <c r="D765" s="20" t="str">
        <f aca="false">IF(AND(Eingabe!$F$12&gt;0,Eingabe!$E$12&gt;=151),151,"")</f>
        <v/>
      </c>
      <c r="E765" s="20" t="str">
        <f aca="false">IF(AND(Eingabe!$F$12&gt;0,Eingabe!$E$12&gt;=151),IF((Eingabe!$G$12+1)&lt;=9,1000+(Eingabe!$G$12+1)*100,3000)+51,"")</f>
        <v/>
      </c>
      <c r="F765" s="20" t="str">
        <f aca="false">IF(AND(Eingabe!$F$12&gt;0,Eingabe!$E$12&gt;=151),"10."&amp;Eingabe!$D$12&amp;".151.0/24","")</f>
        <v/>
      </c>
      <c r="G765" s="20" t="str">
        <f aca="false">IF(AND(Eingabe!$F$12&gt;0,Eingabe!$E$12&gt;=151),"10."&amp;Eingabe!$D$12&amp;".151.1","")</f>
        <v/>
      </c>
      <c r="H765" s="20" t="str">
        <f aca="false">IF(AND(Eingabe!$F$12&gt;0,Eingabe!$E$12&gt;=151),"10."&amp;Eingabe!$D$12&amp;".151.10 – 10."&amp;Eingabe!$D$12&amp;".151.250","")</f>
        <v/>
      </c>
      <c r="I765" s="20" t="str">
        <f aca="false">IF(AND(Eingabe!$F$12&gt;0,Eingabe!$E$12&gt;=151),Eingabe!$B$6&amp;"-"&amp;Eingabe!$C$12&amp;"-Pächter","")</f>
        <v/>
      </c>
      <c r="J765" s="20" t="str">
        <f aca="false">IF(AND(Eingabe!$F$12&gt;0,Eingabe!$E$12&gt;=151),"PPSK: Passwort Parzelle 151","")</f>
        <v/>
      </c>
      <c r="K765" s="20" t="str">
        <f aca="false">IF(AND(Eingabe!$F$12&gt;0,Eingabe!$E$12&gt;=151),"1. Gerät: 10."&amp;Eingabe!$D$12&amp;".151.10, 2. Gerät: .11","")</f>
        <v/>
      </c>
    </row>
    <row r="766" customFormat="false" ht="15" hidden="false" customHeight="false" outlineLevel="0" collapsed="false">
      <c r="A766" s="20" t="str">
        <f aca="false">IF(AND(Eingabe!$F$12&gt;0,Eingabe!$E$12&gt;=152),4,"")</f>
        <v/>
      </c>
      <c r="B766" s="20" t="str">
        <f aca="false">IF(AND(Eingabe!$F$12&gt;0,Eingabe!$E$12&gt;=152),Eingabe!$B$12,"")</f>
        <v/>
      </c>
      <c r="C766" s="20" t="str">
        <f aca="false">IF(AND(Eingabe!$F$12&gt;0,Eingabe!$E$12&gt;=152),Eingabe!$C$12&amp;"-Paz."&amp;TEXT(152,"000"),"")</f>
        <v/>
      </c>
      <c r="D766" s="20" t="str">
        <f aca="false">IF(AND(Eingabe!$F$12&gt;0,Eingabe!$E$12&gt;=152),152,"")</f>
        <v/>
      </c>
      <c r="E766" s="20" t="str">
        <f aca="false">IF(AND(Eingabe!$F$12&gt;0,Eingabe!$E$12&gt;=152),IF((Eingabe!$G$12+1)&lt;=9,1000+(Eingabe!$G$12+1)*100,3000)+52,"")</f>
        <v/>
      </c>
      <c r="F766" s="20" t="str">
        <f aca="false">IF(AND(Eingabe!$F$12&gt;0,Eingabe!$E$12&gt;=152),"10."&amp;Eingabe!$D$12&amp;".152.0/24","")</f>
        <v/>
      </c>
      <c r="G766" s="20" t="str">
        <f aca="false">IF(AND(Eingabe!$F$12&gt;0,Eingabe!$E$12&gt;=152),"10."&amp;Eingabe!$D$12&amp;".152.1","")</f>
        <v/>
      </c>
      <c r="H766" s="20" t="str">
        <f aca="false">IF(AND(Eingabe!$F$12&gt;0,Eingabe!$E$12&gt;=152),"10."&amp;Eingabe!$D$12&amp;".152.10 – 10."&amp;Eingabe!$D$12&amp;".152.250","")</f>
        <v/>
      </c>
      <c r="I766" s="20" t="str">
        <f aca="false">IF(AND(Eingabe!$F$12&gt;0,Eingabe!$E$12&gt;=152),Eingabe!$B$6&amp;"-"&amp;Eingabe!$C$12&amp;"-Pächter","")</f>
        <v/>
      </c>
      <c r="J766" s="20" t="str">
        <f aca="false">IF(AND(Eingabe!$F$12&gt;0,Eingabe!$E$12&gt;=152),"PPSK: Passwort Parzelle 152","")</f>
        <v/>
      </c>
      <c r="K766" s="20" t="str">
        <f aca="false">IF(AND(Eingabe!$F$12&gt;0,Eingabe!$E$12&gt;=152),"1. Gerät: 10."&amp;Eingabe!$D$12&amp;".152.10, 2. Gerät: .11","")</f>
        <v/>
      </c>
    </row>
    <row r="767" customFormat="false" ht="15" hidden="false" customHeight="false" outlineLevel="0" collapsed="false">
      <c r="A767" s="20" t="str">
        <f aca="false">IF(AND(Eingabe!$F$12&gt;0,Eingabe!$E$12&gt;=153),4,"")</f>
        <v/>
      </c>
      <c r="B767" s="20" t="str">
        <f aca="false">IF(AND(Eingabe!$F$12&gt;0,Eingabe!$E$12&gt;=153),Eingabe!$B$12,"")</f>
        <v/>
      </c>
      <c r="C767" s="20" t="str">
        <f aca="false">IF(AND(Eingabe!$F$12&gt;0,Eingabe!$E$12&gt;=153),Eingabe!$C$12&amp;"-Paz."&amp;TEXT(153,"000"),"")</f>
        <v/>
      </c>
      <c r="D767" s="20" t="str">
        <f aca="false">IF(AND(Eingabe!$F$12&gt;0,Eingabe!$E$12&gt;=153),153,"")</f>
        <v/>
      </c>
      <c r="E767" s="20" t="str">
        <f aca="false">IF(AND(Eingabe!$F$12&gt;0,Eingabe!$E$12&gt;=153),IF((Eingabe!$G$12+1)&lt;=9,1000+(Eingabe!$G$12+1)*100,3000)+53,"")</f>
        <v/>
      </c>
      <c r="F767" s="20" t="str">
        <f aca="false">IF(AND(Eingabe!$F$12&gt;0,Eingabe!$E$12&gt;=153),"10."&amp;Eingabe!$D$12&amp;".153.0/24","")</f>
        <v/>
      </c>
      <c r="G767" s="20" t="str">
        <f aca="false">IF(AND(Eingabe!$F$12&gt;0,Eingabe!$E$12&gt;=153),"10."&amp;Eingabe!$D$12&amp;".153.1","")</f>
        <v/>
      </c>
      <c r="H767" s="20" t="str">
        <f aca="false">IF(AND(Eingabe!$F$12&gt;0,Eingabe!$E$12&gt;=153),"10."&amp;Eingabe!$D$12&amp;".153.10 – 10."&amp;Eingabe!$D$12&amp;".153.250","")</f>
        <v/>
      </c>
      <c r="I767" s="20" t="str">
        <f aca="false">IF(AND(Eingabe!$F$12&gt;0,Eingabe!$E$12&gt;=153),Eingabe!$B$6&amp;"-"&amp;Eingabe!$C$12&amp;"-Pächter","")</f>
        <v/>
      </c>
      <c r="J767" s="20" t="str">
        <f aca="false">IF(AND(Eingabe!$F$12&gt;0,Eingabe!$E$12&gt;=153),"PPSK: Passwort Parzelle 153","")</f>
        <v/>
      </c>
      <c r="K767" s="20" t="str">
        <f aca="false">IF(AND(Eingabe!$F$12&gt;0,Eingabe!$E$12&gt;=153),"1. Gerät: 10."&amp;Eingabe!$D$12&amp;".153.10, 2. Gerät: .11","")</f>
        <v/>
      </c>
    </row>
    <row r="768" customFormat="false" ht="15" hidden="false" customHeight="false" outlineLevel="0" collapsed="false">
      <c r="A768" s="20" t="str">
        <f aca="false">IF(AND(Eingabe!$F$12&gt;0,Eingabe!$E$12&gt;=154),4,"")</f>
        <v/>
      </c>
      <c r="B768" s="20" t="str">
        <f aca="false">IF(AND(Eingabe!$F$12&gt;0,Eingabe!$E$12&gt;=154),Eingabe!$B$12,"")</f>
        <v/>
      </c>
      <c r="C768" s="20" t="str">
        <f aca="false">IF(AND(Eingabe!$F$12&gt;0,Eingabe!$E$12&gt;=154),Eingabe!$C$12&amp;"-Paz."&amp;TEXT(154,"000"),"")</f>
        <v/>
      </c>
      <c r="D768" s="20" t="str">
        <f aca="false">IF(AND(Eingabe!$F$12&gt;0,Eingabe!$E$12&gt;=154),154,"")</f>
        <v/>
      </c>
      <c r="E768" s="20" t="str">
        <f aca="false">IF(AND(Eingabe!$F$12&gt;0,Eingabe!$E$12&gt;=154),IF((Eingabe!$G$12+1)&lt;=9,1000+(Eingabe!$G$12+1)*100,3000)+54,"")</f>
        <v/>
      </c>
      <c r="F768" s="20" t="str">
        <f aca="false">IF(AND(Eingabe!$F$12&gt;0,Eingabe!$E$12&gt;=154),"10."&amp;Eingabe!$D$12&amp;".154.0/24","")</f>
        <v/>
      </c>
      <c r="G768" s="20" t="str">
        <f aca="false">IF(AND(Eingabe!$F$12&gt;0,Eingabe!$E$12&gt;=154),"10."&amp;Eingabe!$D$12&amp;".154.1","")</f>
        <v/>
      </c>
      <c r="H768" s="20" t="str">
        <f aca="false">IF(AND(Eingabe!$F$12&gt;0,Eingabe!$E$12&gt;=154),"10."&amp;Eingabe!$D$12&amp;".154.10 – 10."&amp;Eingabe!$D$12&amp;".154.250","")</f>
        <v/>
      </c>
      <c r="I768" s="20" t="str">
        <f aca="false">IF(AND(Eingabe!$F$12&gt;0,Eingabe!$E$12&gt;=154),Eingabe!$B$6&amp;"-"&amp;Eingabe!$C$12&amp;"-Pächter","")</f>
        <v/>
      </c>
      <c r="J768" s="20" t="str">
        <f aca="false">IF(AND(Eingabe!$F$12&gt;0,Eingabe!$E$12&gt;=154),"PPSK: Passwort Parzelle 154","")</f>
        <v/>
      </c>
      <c r="K768" s="20" t="str">
        <f aca="false">IF(AND(Eingabe!$F$12&gt;0,Eingabe!$E$12&gt;=154),"1. Gerät: 10."&amp;Eingabe!$D$12&amp;".154.10, 2. Gerät: .11","")</f>
        <v/>
      </c>
    </row>
    <row r="769" customFormat="false" ht="15" hidden="false" customHeight="false" outlineLevel="0" collapsed="false">
      <c r="A769" s="20" t="str">
        <f aca="false">IF(AND(Eingabe!$F$12&gt;0,Eingabe!$E$12&gt;=155),4,"")</f>
        <v/>
      </c>
      <c r="B769" s="20" t="str">
        <f aca="false">IF(AND(Eingabe!$F$12&gt;0,Eingabe!$E$12&gt;=155),Eingabe!$B$12,"")</f>
        <v/>
      </c>
      <c r="C769" s="20" t="str">
        <f aca="false">IF(AND(Eingabe!$F$12&gt;0,Eingabe!$E$12&gt;=155),Eingabe!$C$12&amp;"-Paz."&amp;TEXT(155,"000"),"")</f>
        <v/>
      </c>
      <c r="D769" s="20" t="str">
        <f aca="false">IF(AND(Eingabe!$F$12&gt;0,Eingabe!$E$12&gt;=155),155,"")</f>
        <v/>
      </c>
      <c r="E769" s="20" t="str">
        <f aca="false">IF(AND(Eingabe!$F$12&gt;0,Eingabe!$E$12&gt;=155),IF((Eingabe!$G$12+1)&lt;=9,1000+(Eingabe!$G$12+1)*100,3000)+55,"")</f>
        <v/>
      </c>
      <c r="F769" s="20" t="str">
        <f aca="false">IF(AND(Eingabe!$F$12&gt;0,Eingabe!$E$12&gt;=155),"10."&amp;Eingabe!$D$12&amp;".155.0/24","")</f>
        <v/>
      </c>
      <c r="G769" s="20" t="str">
        <f aca="false">IF(AND(Eingabe!$F$12&gt;0,Eingabe!$E$12&gt;=155),"10."&amp;Eingabe!$D$12&amp;".155.1","")</f>
        <v/>
      </c>
      <c r="H769" s="20" t="str">
        <f aca="false">IF(AND(Eingabe!$F$12&gt;0,Eingabe!$E$12&gt;=155),"10."&amp;Eingabe!$D$12&amp;".155.10 – 10."&amp;Eingabe!$D$12&amp;".155.250","")</f>
        <v/>
      </c>
      <c r="I769" s="20" t="str">
        <f aca="false">IF(AND(Eingabe!$F$12&gt;0,Eingabe!$E$12&gt;=155),Eingabe!$B$6&amp;"-"&amp;Eingabe!$C$12&amp;"-Pächter","")</f>
        <v/>
      </c>
      <c r="J769" s="20" t="str">
        <f aca="false">IF(AND(Eingabe!$F$12&gt;0,Eingabe!$E$12&gt;=155),"PPSK: Passwort Parzelle 155","")</f>
        <v/>
      </c>
      <c r="K769" s="20" t="str">
        <f aca="false">IF(AND(Eingabe!$F$12&gt;0,Eingabe!$E$12&gt;=155),"1. Gerät: 10."&amp;Eingabe!$D$12&amp;".155.10, 2. Gerät: .11","")</f>
        <v/>
      </c>
    </row>
    <row r="770" customFormat="false" ht="15" hidden="false" customHeight="false" outlineLevel="0" collapsed="false">
      <c r="A770" s="20" t="str">
        <f aca="false">IF(AND(Eingabe!$F$12&gt;0,Eingabe!$E$12&gt;=156),4,"")</f>
        <v/>
      </c>
      <c r="B770" s="20" t="str">
        <f aca="false">IF(AND(Eingabe!$F$12&gt;0,Eingabe!$E$12&gt;=156),Eingabe!$B$12,"")</f>
        <v/>
      </c>
      <c r="C770" s="20" t="str">
        <f aca="false">IF(AND(Eingabe!$F$12&gt;0,Eingabe!$E$12&gt;=156),Eingabe!$C$12&amp;"-Paz."&amp;TEXT(156,"000"),"")</f>
        <v/>
      </c>
      <c r="D770" s="20" t="str">
        <f aca="false">IF(AND(Eingabe!$F$12&gt;0,Eingabe!$E$12&gt;=156),156,"")</f>
        <v/>
      </c>
      <c r="E770" s="20" t="str">
        <f aca="false">IF(AND(Eingabe!$F$12&gt;0,Eingabe!$E$12&gt;=156),IF((Eingabe!$G$12+1)&lt;=9,1000+(Eingabe!$G$12+1)*100,3000)+56,"")</f>
        <v/>
      </c>
      <c r="F770" s="20" t="str">
        <f aca="false">IF(AND(Eingabe!$F$12&gt;0,Eingabe!$E$12&gt;=156),"10."&amp;Eingabe!$D$12&amp;".156.0/24","")</f>
        <v/>
      </c>
      <c r="G770" s="20" t="str">
        <f aca="false">IF(AND(Eingabe!$F$12&gt;0,Eingabe!$E$12&gt;=156),"10."&amp;Eingabe!$D$12&amp;".156.1","")</f>
        <v/>
      </c>
      <c r="H770" s="20" t="str">
        <f aca="false">IF(AND(Eingabe!$F$12&gt;0,Eingabe!$E$12&gt;=156),"10."&amp;Eingabe!$D$12&amp;".156.10 – 10."&amp;Eingabe!$D$12&amp;".156.250","")</f>
        <v/>
      </c>
      <c r="I770" s="20" t="str">
        <f aca="false">IF(AND(Eingabe!$F$12&gt;0,Eingabe!$E$12&gt;=156),Eingabe!$B$6&amp;"-"&amp;Eingabe!$C$12&amp;"-Pächter","")</f>
        <v/>
      </c>
      <c r="J770" s="20" t="str">
        <f aca="false">IF(AND(Eingabe!$F$12&gt;0,Eingabe!$E$12&gt;=156),"PPSK: Passwort Parzelle 156","")</f>
        <v/>
      </c>
      <c r="K770" s="20" t="str">
        <f aca="false">IF(AND(Eingabe!$F$12&gt;0,Eingabe!$E$12&gt;=156),"1. Gerät: 10."&amp;Eingabe!$D$12&amp;".156.10, 2. Gerät: .11","")</f>
        <v/>
      </c>
    </row>
    <row r="771" customFormat="false" ht="15" hidden="false" customHeight="false" outlineLevel="0" collapsed="false">
      <c r="A771" s="20" t="str">
        <f aca="false">IF(AND(Eingabe!$F$12&gt;0,Eingabe!$E$12&gt;=157),4,"")</f>
        <v/>
      </c>
      <c r="B771" s="20" t="str">
        <f aca="false">IF(AND(Eingabe!$F$12&gt;0,Eingabe!$E$12&gt;=157),Eingabe!$B$12,"")</f>
        <v/>
      </c>
      <c r="C771" s="20" t="str">
        <f aca="false">IF(AND(Eingabe!$F$12&gt;0,Eingabe!$E$12&gt;=157),Eingabe!$C$12&amp;"-Paz."&amp;TEXT(157,"000"),"")</f>
        <v/>
      </c>
      <c r="D771" s="20" t="str">
        <f aca="false">IF(AND(Eingabe!$F$12&gt;0,Eingabe!$E$12&gt;=157),157,"")</f>
        <v/>
      </c>
      <c r="E771" s="20" t="str">
        <f aca="false">IF(AND(Eingabe!$F$12&gt;0,Eingabe!$E$12&gt;=157),IF((Eingabe!$G$12+1)&lt;=9,1000+(Eingabe!$G$12+1)*100,3000)+57,"")</f>
        <v/>
      </c>
      <c r="F771" s="20" t="str">
        <f aca="false">IF(AND(Eingabe!$F$12&gt;0,Eingabe!$E$12&gt;=157),"10."&amp;Eingabe!$D$12&amp;".157.0/24","")</f>
        <v/>
      </c>
      <c r="G771" s="20" t="str">
        <f aca="false">IF(AND(Eingabe!$F$12&gt;0,Eingabe!$E$12&gt;=157),"10."&amp;Eingabe!$D$12&amp;".157.1","")</f>
        <v/>
      </c>
      <c r="H771" s="20" t="str">
        <f aca="false">IF(AND(Eingabe!$F$12&gt;0,Eingabe!$E$12&gt;=157),"10."&amp;Eingabe!$D$12&amp;".157.10 – 10."&amp;Eingabe!$D$12&amp;".157.250","")</f>
        <v/>
      </c>
      <c r="I771" s="20" t="str">
        <f aca="false">IF(AND(Eingabe!$F$12&gt;0,Eingabe!$E$12&gt;=157),Eingabe!$B$6&amp;"-"&amp;Eingabe!$C$12&amp;"-Pächter","")</f>
        <v/>
      </c>
      <c r="J771" s="20" t="str">
        <f aca="false">IF(AND(Eingabe!$F$12&gt;0,Eingabe!$E$12&gt;=157),"PPSK: Passwort Parzelle 157","")</f>
        <v/>
      </c>
      <c r="K771" s="20" t="str">
        <f aca="false">IF(AND(Eingabe!$F$12&gt;0,Eingabe!$E$12&gt;=157),"1. Gerät: 10."&amp;Eingabe!$D$12&amp;".157.10, 2. Gerät: .11","")</f>
        <v/>
      </c>
    </row>
    <row r="772" customFormat="false" ht="15" hidden="false" customHeight="false" outlineLevel="0" collapsed="false">
      <c r="A772" s="20" t="str">
        <f aca="false">IF(AND(Eingabe!$F$12&gt;0,Eingabe!$E$12&gt;=158),4,"")</f>
        <v/>
      </c>
      <c r="B772" s="20" t="str">
        <f aca="false">IF(AND(Eingabe!$F$12&gt;0,Eingabe!$E$12&gt;=158),Eingabe!$B$12,"")</f>
        <v/>
      </c>
      <c r="C772" s="20" t="str">
        <f aca="false">IF(AND(Eingabe!$F$12&gt;0,Eingabe!$E$12&gt;=158),Eingabe!$C$12&amp;"-Paz."&amp;TEXT(158,"000"),"")</f>
        <v/>
      </c>
      <c r="D772" s="20" t="str">
        <f aca="false">IF(AND(Eingabe!$F$12&gt;0,Eingabe!$E$12&gt;=158),158,"")</f>
        <v/>
      </c>
      <c r="E772" s="20" t="str">
        <f aca="false">IF(AND(Eingabe!$F$12&gt;0,Eingabe!$E$12&gt;=158),IF((Eingabe!$G$12+1)&lt;=9,1000+(Eingabe!$G$12+1)*100,3000)+58,"")</f>
        <v/>
      </c>
      <c r="F772" s="20" t="str">
        <f aca="false">IF(AND(Eingabe!$F$12&gt;0,Eingabe!$E$12&gt;=158),"10."&amp;Eingabe!$D$12&amp;".158.0/24","")</f>
        <v/>
      </c>
      <c r="G772" s="20" t="str">
        <f aca="false">IF(AND(Eingabe!$F$12&gt;0,Eingabe!$E$12&gt;=158),"10."&amp;Eingabe!$D$12&amp;".158.1","")</f>
        <v/>
      </c>
      <c r="H772" s="20" t="str">
        <f aca="false">IF(AND(Eingabe!$F$12&gt;0,Eingabe!$E$12&gt;=158),"10."&amp;Eingabe!$D$12&amp;".158.10 – 10."&amp;Eingabe!$D$12&amp;".158.250","")</f>
        <v/>
      </c>
      <c r="I772" s="20" t="str">
        <f aca="false">IF(AND(Eingabe!$F$12&gt;0,Eingabe!$E$12&gt;=158),Eingabe!$B$6&amp;"-"&amp;Eingabe!$C$12&amp;"-Pächter","")</f>
        <v/>
      </c>
      <c r="J772" s="20" t="str">
        <f aca="false">IF(AND(Eingabe!$F$12&gt;0,Eingabe!$E$12&gt;=158),"PPSK: Passwort Parzelle 158","")</f>
        <v/>
      </c>
      <c r="K772" s="20" t="str">
        <f aca="false">IF(AND(Eingabe!$F$12&gt;0,Eingabe!$E$12&gt;=158),"1. Gerät: 10."&amp;Eingabe!$D$12&amp;".158.10, 2. Gerät: .11","")</f>
        <v/>
      </c>
    </row>
    <row r="773" customFormat="false" ht="15" hidden="false" customHeight="false" outlineLevel="0" collapsed="false">
      <c r="A773" s="20" t="str">
        <f aca="false">IF(AND(Eingabe!$F$12&gt;0,Eingabe!$E$12&gt;=159),4,"")</f>
        <v/>
      </c>
      <c r="B773" s="20" t="str">
        <f aca="false">IF(AND(Eingabe!$F$12&gt;0,Eingabe!$E$12&gt;=159),Eingabe!$B$12,"")</f>
        <v/>
      </c>
      <c r="C773" s="20" t="str">
        <f aca="false">IF(AND(Eingabe!$F$12&gt;0,Eingabe!$E$12&gt;=159),Eingabe!$C$12&amp;"-Paz."&amp;TEXT(159,"000"),"")</f>
        <v/>
      </c>
      <c r="D773" s="20" t="str">
        <f aca="false">IF(AND(Eingabe!$F$12&gt;0,Eingabe!$E$12&gt;=159),159,"")</f>
        <v/>
      </c>
      <c r="E773" s="20" t="str">
        <f aca="false">IF(AND(Eingabe!$F$12&gt;0,Eingabe!$E$12&gt;=159),IF((Eingabe!$G$12+1)&lt;=9,1000+(Eingabe!$G$12+1)*100,3000)+59,"")</f>
        <v/>
      </c>
      <c r="F773" s="20" t="str">
        <f aca="false">IF(AND(Eingabe!$F$12&gt;0,Eingabe!$E$12&gt;=159),"10."&amp;Eingabe!$D$12&amp;".159.0/24","")</f>
        <v/>
      </c>
      <c r="G773" s="20" t="str">
        <f aca="false">IF(AND(Eingabe!$F$12&gt;0,Eingabe!$E$12&gt;=159),"10."&amp;Eingabe!$D$12&amp;".159.1","")</f>
        <v/>
      </c>
      <c r="H773" s="20" t="str">
        <f aca="false">IF(AND(Eingabe!$F$12&gt;0,Eingabe!$E$12&gt;=159),"10."&amp;Eingabe!$D$12&amp;".159.10 – 10."&amp;Eingabe!$D$12&amp;".159.250","")</f>
        <v/>
      </c>
      <c r="I773" s="20" t="str">
        <f aca="false">IF(AND(Eingabe!$F$12&gt;0,Eingabe!$E$12&gt;=159),Eingabe!$B$6&amp;"-"&amp;Eingabe!$C$12&amp;"-Pächter","")</f>
        <v/>
      </c>
      <c r="J773" s="20" t="str">
        <f aca="false">IF(AND(Eingabe!$F$12&gt;0,Eingabe!$E$12&gt;=159),"PPSK: Passwort Parzelle 159","")</f>
        <v/>
      </c>
      <c r="K773" s="20" t="str">
        <f aca="false">IF(AND(Eingabe!$F$12&gt;0,Eingabe!$E$12&gt;=159),"1. Gerät: 10."&amp;Eingabe!$D$12&amp;".159.10, 2. Gerät: .11","")</f>
        <v/>
      </c>
    </row>
    <row r="774" customFormat="false" ht="15" hidden="false" customHeight="false" outlineLevel="0" collapsed="false">
      <c r="A774" s="20" t="str">
        <f aca="false">IF(AND(Eingabe!$F$12&gt;0,Eingabe!$E$12&gt;=160),4,"")</f>
        <v/>
      </c>
      <c r="B774" s="20" t="str">
        <f aca="false">IF(AND(Eingabe!$F$12&gt;0,Eingabe!$E$12&gt;=160),Eingabe!$B$12,"")</f>
        <v/>
      </c>
      <c r="C774" s="20" t="str">
        <f aca="false">IF(AND(Eingabe!$F$12&gt;0,Eingabe!$E$12&gt;=160),Eingabe!$C$12&amp;"-Paz."&amp;TEXT(160,"000"),"")</f>
        <v/>
      </c>
      <c r="D774" s="20" t="str">
        <f aca="false">IF(AND(Eingabe!$F$12&gt;0,Eingabe!$E$12&gt;=160),160,"")</f>
        <v/>
      </c>
      <c r="E774" s="20" t="str">
        <f aca="false">IF(AND(Eingabe!$F$12&gt;0,Eingabe!$E$12&gt;=160),IF((Eingabe!$G$12+1)&lt;=9,1000+(Eingabe!$G$12+1)*100,3000)+60,"")</f>
        <v/>
      </c>
      <c r="F774" s="20" t="str">
        <f aca="false">IF(AND(Eingabe!$F$12&gt;0,Eingabe!$E$12&gt;=160),"10."&amp;Eingabe!$D$12&amp;".160.0/24","")</f>
        <v/>
      </c>
      <c r="G774" s="20" t="str">
        <f aca="false">IF(AND(Eingabe!$F$12&gt;0,Eingabe!$E$12&gt;=160),"10."&amp;Eingabe!$D$12&amp;".160.1","")</f>
        <v/>
      </c>
      <c r="H774" s="20" t="str">
        <f aca="false">IF(AND(Eingabe!$F$12&gt;0,Eingabe!$E$12&gt;=160),"10."&amp;Eingabe!$D$12&amp;".160.10 – 10."&amp;Eingabe!$D$12&amp;".160.250","")</f>
        <v/>
      </c>
      <c r="I774" s="20" t="str">
        <f aca="false">IF(AND(Eingabe!$F$12&gt;0,Eingabe!$E$12&gt;=160),Eingabe!$B$6&amp;"-"&amp;Eingabe!$C$12&amp;"-Pächter","")</f>
        <v/>
      </c>
      <c r="J774" s="20" t="str">
        <f aca="false">IF(AND(Eingabe!$F$12&gt;0,Eingabe!$E$12&gt;=160),"PPSK: Passwort Parzelle 160","")</f>
        <v/>
      </c>
      <c r="K774" s="20" t="str">
        <f aca="false">IF(AND(Eingabe!$F$12&gt;0,Eingabe!$E$12&gt;=160),"1. Gerät: 10."&amp;Eingabe!$D$12&amp;".160.10, 2. Gerät: .11","")</f>
        <v/>
      </c>
    </row>
    <row r="775" customFormat="false" ht="15" hidden="false" customHeight="false" outlineLevel="0" collapsed="false">
      <c r="A775" s="20" t="str">
        <f aca="false">IF(AND(Eingabe!$F$12&gt;0,Eingabe!$E$12&gt;=161),4,"")</f>
        <v/>
      </c>
      <c r="B775" s="20" t="str">
        <f aca="false">IF(AND(Eingabe!$F$12&gt;0,Eingabe!$E$12&gt;=161),Eingabe!$B$12,"")</f>
        <v/>
      </c>
      <c r="C775" s="20" t="str">
        <f aca="false">IF(AND(Eingabe!$F$12&gt;0,Eingabe!$E$12&gt;=161),Eingabe!$C$12&amp;"-Paz."&amp;TEXT(161,"000"),"")</f>
        <v/>
      </c>
      <c r="D775" s="20" t="str">
        <f aca="false">IF(AND(Eingabe!$F$12&gt;0,Eingabe!$E$12&gt;=161),161,"")</f>
        <v/>
      </c>
      <c r="E775" s="20" t="str">
        <f aca="false">IF(AND(Eingabe!$F$12&gt;0,Eingabe!$E$12&gt;=161),IF((Eingabe!$G$12+1)&lt;=9,1000+(Eingabe!$G$12+1)*100,3000)+61,"")</f>
        <v/>
      </c>
      <c r="F775" s="20" t="str">
        <f aca="false">IF(AND(Eingabe!$F$12&gt;0,Eingabe!$E$12&gt;=161),"10."&amp;Eingabe!$D$12&amp;".161.0/24","")</f>
        <v/>
      </c>
      <c r="G775" s="20" t="str">
        <f aca="false">IF(AND(Eingabe!$F$12&gt;0,Eingabe!$E$12&gt;=161),"10."&amp;Eingabe!$D$12&amp;".161.1","")</f>
        <v/>
      </c>
      <c r="H775" s="20" t="str">
        <f aca="false">IF(AND(Eingabe!$F$12&gt;0,Eingabe!$E$12&gt;=161),"10."&amp;Eingabe!$D$12&amp;".161.10 – 10."&amp;Eingabe!$D$12&amp;".161.250","")</f>
        <v/>
      </c>
      <c r="I775" s="20" t="str">
        <f aca="false">IF(AND(Eingabe!$F$12&gt;0,Eingabe!$E$12&gt;=161),Eingabe!$B$6&amp;"-"&amp;Eingabe!$C$12&amp;"-Pächter","")</f>
        <v/>
      </c>
      <c r="J775" s="20" t="str">
        <f aca="false">IF(AND(Eingabe!$F$12&gt;0,Eingabe!$E$12&gt;=161),"PPSK: Passwort Parzelle 161","")</f>
        <v/>
      </c>
      <c r="K775" s="20" t="str">
        <f aca="false">IF(AND(Eingabe!$F$12&gt;0,Eingabe!$E$12&gt;=161),"1. Gerät: 10."&amp;Eingabe!$D$12&amp;".161.10, 2. Gerät: .11","")</f>
        <v/>
      </c>
    </row>
    <row r="776" customFormat="false" ht="15" hidden="false" customHeight="false" outlineLevel="0" collapsed="false">
      <c r="A776" s="20" t="str">
        <f aca="false">IF(AND(Eingabe!$F$12&gt;0,Eingabe!$E$12&gt;=162),4,"")</f>
        <v/>
      </c>
      <c r="B776" s="20" t="str">
        <f aca="false">IF(AND(Eingabe!$F$12&gt;0,Eingabe!$E$12&gt;=162),Eingabe!$B$12,"")</f>
        <v/>
      </c>
      <c r="C776" s="20" t="str">
        <f aca="false">IF(AND(Eingabe!$F$12&gt;0,Eingabe!$E$12&gt;=162),Eingabe!$C$12&amp;"-Paz."&amp;TEXT(162,"000"),"")</f>
        <v/>
      </c>
      <c r="D776" s="20" t="str">
        <f aca="false">IF(AND(Eingabe!$F$12&gt;0,Eingabe!$E$12&gt;=162),162,"")</f>
        <v/>
      </c>
      <c r="E776" s="20" t="str">
        <f aca="false">IF(AND(Eingabe!$F$12&gt;0,Eingabe!$E$12&gt;=162),IF((Eingabe!$G$12+1)&lt;=9,1000+(Eingabe!$G$12+1)*100,3000)+62,"")</f>
        <v/>
      </c>
      <c r="F776" s="20" t="str">
        <f aca="false">IF(AND(Eingabe!$F$12&gt;0,Eingabe!$E$12&gt;=162),"10."&amp;Eingabe!$D$12&amp;".162.0/24","")</f>
        <v/>
      </c>
      <c r="G776" s="20" t="str">
        <f aca="false">IF(AND(Eingabe!$F$12&gt;0,Eingabe!$E$12&gt;=162),"10."&amp;Eingabe!$D$12&amp;".162.1","")</f>
        <v/>
      </c>
      <c r="H776" s="20" t="str">
        <f aca="false">IF(AND(Eingabe!$F$12&gt;0,Eingabe!$E$12&gt;=162),"10."&amp;Eingabe!$D$12&amp;".162.10 – 10."&amp;Eingabe!$D$12&amp;".162.250","")</f>
        <v/>
      </c>
      <c r="I776" s="20" t="str">
        <f aca="false">IF(AND(Eingabe!$F$12&gt;0,Eingabe!$E$12&gt;=162),Eingabe!$B$6&amp;"-"&amp;Eingabe!$C$12&amp;"-Pächter","")</f>
        <v/>
      </c>
      <c r="J776" s="20" t="str">
        <f aca="false">IF(AND(Eingabe!$F$12&gt;0,Eingabe!$E$12&gt;=162),"PPSK: Passwort Parzelle 162","")</f>
        <v/>
      </c>
      <c r="K776" s="20" t="str">
        <f aca="false">IF(AND(Eingabe!$F$12&gt;0,Eingabe!$E$12&gt;=162),"1. Gerät: 10."&amp;Eingabe!$D$12&amp;".162.10, 2. Gerät: .11","")</f>
        <v/>
      </c>
    </row>
    <row r="777" customFormat="false" ht="15" hidden="false" customHeight="false" outlineLevel="0" collapsed="false">
      <c r="A777" s="20" t="str">
        <f aca="false">IF(AND(Eingabe!$F$12&gt;0,Eingabe!$E$12&gt;=163),4,"")</f>
        <v/>
      </c>
      <c r="B777" s="20" t="str">
        <f aca="false">IF(AND(Eingabe!$F$12&gt;0,Eingabe!$E$12&gt;=163),Eingabe!$B$12,"")</f>
        <v/>
      </c>
      <c r="C777" s="20" t="str">
        <f aca="false">IF(AND(Eingabe!$F$12&gt;0,Eingabe!$E$12&gt;=163),Eingabe!$C$12&amp;"-Paz."&amp;TEXT(163,"000"),"")</f>
        <v/>
      </c>
      <c r="D777" s="20" t="str">
        <f aca="false">IF(AND(Eingabe!$F$12&gt;0,Eingabe!$E$12&gt;=163),163,"")</f>
        <v/>
      </c>
      <c r="E777" s="20" t="str">
        <f aca="false">IF(AND(Eingabe!$F$12&gt;0,Eingabe!$E$12&gt;=163),IF((Eingabe!$G$12+1)&lt;=9,1000+(Eingabe!$G$12+1)*100,3000)+63,"")</f>
        <v/>
      </c>
      <c r="F777" s="20" t="str">
        <f aca="false">IF(AND(Eingabe!$F$12&gt;0,Eingabe!$E$12&gt;=163),"10."&amp;Eingabe!$D$12&amp;".163.0/24","")</f>
        <v/>
      </c>
      <c r="G777" s="20" t="str">
        <f aca="false">IF(AND(Eingabe!$F$12&gt;0,Eingabe!$E$12&gt;=163),"10."&amp;Eingabe!$D$12&amp;".163.1","")</f>
        <v/>
      </c>
      <c r="H777" s="20" t="str">
        <f aca="false">IF(AND(Eingabe!$F$12&gt;0,Eingabe!$E$12&gt;=163),"10."&amp;Eingabe!$D$12&amp;".163.10 – 10."&amp;Eingabe!$D$12&amp;".163.250","")</f>
        <v/>
      </c>
      <c r="I777" s="20" t="str">
        <f aca="false">IF(AND(Eingabe!$F$12&gt;0,Eingabe!$E$12&gt;=163),Eingabe!$B$6&amp;"-"&amp;Eingabe!$C$12&amp;"-Pächter","")</f>
        <v/>
      </c>
      <c r="J777" s="20" t="str">
        <f aca="false">IF(AND(Eingabe!$F$12&gt;0,Eingabe!$E$12&gt;=163),"PPSK: Passwort Parzelle 163","")</f>
        <v/>
      </c>
      <c r="K777" s="20" t="str">
        <f aca="false">IF(AND(Eingabe!$F$12&gt;0,Eingabe!$E$12&gt;=163),"1. Gerät: 10."&amp;Eingabe!$D$12&amp;".163.10, 2. Gerät: .11","")</f>
        <v/>
      </c>
    </row>
    <row r="778" customFormat="false" ht="15" hidden="false" customHeight="false" outlineLevel="0" collapsed="false">
      <c r="A778" s="20" t="str">
        <f aca="false">IF(AND(Eingabe!$F$12&gt;0,Eingabe!$E$12&gt;=164),4,"")</f>
        <v/>
      </c>
      <c r="B778" s="20" t="str">
        <f aca="false">IF(AND(Eingabe!$F$12&gt;0,Eingabe!$E$12&gt;=164),Eingabe!$B$12,"")</f>
        <v/>
      </c>
      <c r="C778" s="20" t="str">
        <f aca="false">IF(AND(Eingabe!$F$12&gt;0,Eingabe!$E$12&gt;=164),Eingabe!$C$12&amp;"-Paz."&amp;TEXT(164,"000"),"")</f>
        <v/>
      </c>
      <c r="D778" s="20" t="str">
        <f aca="false">IF(AND(Eingabe!$F$12&gt;0,Eingabe!$E$12&gt;=164),164,"")</f>
        <v/>
      </c>
      <c r="E778" s="20" t="str">
        <f aca="false">IF(AND(Eingabe!$F$12&gt;0,Eingabe!$E$12&gt;=164),IF((Eingabe!$G$12+1)&lt;=9,1000+(Eingabe!$G$12+1)*100,3000)+64,"")</f>
        <v/>
      </c>
      <c r="F778" s="20" t="str">
        <f aca="false">IF(AND(Eingabe!$F$12&gt;0,Eingabe!$E$12&gt;=164),"10."&amp;Eingabe!$D$12&amp;".164.0/24","")</f>
        <v/>
      </c>
      <c r="G778" s="20" t="str">
        <f aca="false">IF(AND(Eingabe!$F$12&gt;0,Eingabe!$E$12&gt;=164),"10."&amp;Eingabe!$D$12&amp;".164.1","")</f>
        <v/>
      </c>
      <c r="H778" s="20" t="str">
        <f aca="false">IF(AND(Eingabe!$F$12&gt;0,Eingabe!$E$12&gt;=164),"10."&amp;Eingabe!$D$12&amp;".164.10 – 10."&amp;Eingabe!$D$12&amp;".164.250","")</f>
        <v/>
      </c>
      <c r="I778" s="20" t="str">
        <f aca="false">IF(AND(Eingabe!$F$12&gt;0,Eingabe!$E$12&gt;=164),Eingabe!$B$6&amp;"-"&amp;Eingabe!$C$12&amp;"-Pächter","")</f>
        <v/>
      </c>
      <c r="J778" s="20" t="str">
        <f aca="false">IF(AND(Eingabe!$F$12&gt;0,Eingabe!$E$12&gt;=164),"PPSK: Passwort Parzelle 164","")</f>
        <v/>
      </c>
      <c r="K778" s="20" t="str">
        <f aca="false">IF(AND(Eingabe!$F$12&gt;0,Eingabe!$E$12&gt;=164),"1. Gerät: 10."&amp;Eingabe!$D$12&amp;".164.10, 2. Gerät: .11","")</f>
        <v/>
      </c>
    </row>
    <row r="779" customFormat="false" ht="15" hidden="false" customHeight="false" outlineLevel="0" collapsed="false">
      <c r="A779" s="20" t="str">
        <f aca="false">IF(AND(Eingabe!$F$12&gt;0,Eingabe!$E$12&gt;=165),4,"")</f>
        <v/>
      </c>
      <c r="B779" s="20" t="str">
        <f aca="false">IF(AND(Eingabe!$F$12&gt;0,Eingabe!$E$12&gt;=165),Eingabe!$B$12,"")</f>
        <v/>
      </c>
      <c r="C779" s="20" t="str">
        <f aca="false">IF(AND(Eingabe!$F$12&gt;0,Eingabe!$E$12&gt;=165),Eingabe!$C$12&amp;"-Paz."&amp;TEXT(165,"000"),"")</f>
        <v/>
      </c>
      <c r="D779" s="20" t="str">
        <f aca="false">IF(AND(Eingabe!$F$12&gt;0,Eingabe!$E$12&gt;=165),165,"")</f>
        <v/>
      </c>
      <c r="E779" s="20" t="str">
        <f aca="false">IF(AND(Eingabe!$F$12&gt;0,Eingabe!$E$12&gt;=165),IF((Eingabe!$G$12+1)&lt;=9,1000+(Eingabe!$G$12+1)*100,3000)+65,"")</f>
        <v/>
      </c>
      <c r="F779" s="20" t="str">
        <f aca="false">IF(AND(Eingabe!$F$12&gt;0,Eingabe!$E$12&gt;=165),"10."&amp;Eingabe!$D$12&amp;".165.0/24","")</f>
        <v/>
      </c>
      <c r="G779" s="20" t="str">
        <f aca="false">IF(AND(Eingabe!$F$12&gt;0,Eingabe!$E$12&gt;=165),"10."&amp;Eingabe!$D$12&amp;".165.1","")</f>
        <v/>
      </c>
      <c r="H779" s="20" t="str">
        <f aca="false">IF(AND(Eingabe!$F$12&gt;0,Eingabe!$E$12&gt;=165),"10."&amp;Eingabe!$D$12&amp;".165.10 – 10."&amp;Eingabe!$D$12&amp;".165.250","")</f>
        <v/>
      </c>
      <c r="I779" s="20" t="str">
        <f aca="false">IF(AND(Eingabe!$F$12&gt;0,Eingabe!$E$12&gt;=165),Eingabe!$B$6&amp;"-"&amp;Eingabe!$C$12&amp;"-Pächter","")</f>
        <v/>
      </c>
      <c r="J779" s="20" t="str">
        <f aca="false">IF(AND(Eingabe!$F$12&gt;0,Eingabe!$E$12&gt;=165),"PPSK: Passwort Parzelle 165","")</f>
        <v/>
      </c>
      <c r="K779" s="20" t="str">
        <f aca="false">IF(AND(Eingabe!$F$12&gt;0,Eingabe!$E$12&gt;=165),"1. Gerät: 10."&amp;Eingabe!$D$12&amp;".165.10, 2. Gerät: .11","")</f>
        <v/>
      </c>
    </row>
    <row r="780" customFormat="false" ht="15" hidden="false" customHeight="false" outlineLevel="0" collapsed="false">
      <c r="A780" s="20" t="str">
        <f aca="false">IF(AND(Eingabe!$F$12&gt;0,Eingabe!$E$12&gt;=166),4,"")</f>
        <v/>
      </c>
      <c r="B780" s="20" t="str">
        <f aca="false">IF(AND(Eingabe!$F$12&gt;0,Eingabe!$E$12&gt;=166),Eingabe!$B$12,"")</f>
        <v/>
      </c>
      <c r="C780" s="20" t="str">
        <f aca="false">IF(AND(Eingabe!$F$12&gt;0,Eingabe!$E$12&gt;=166),Eingabe!$C$12&amp;"-Paz."&amp;TEXT(166,"000"),"")</f>
        <v/>
      </c>
      <c r="D780" s="20" t="str">
        <f aca="false">IF(AND(Eingabe!$F$12&gt;0,Eingabe!$E$12&gt;=166),166,"")</f>
        <v/>
      </c>
      <c r="E780" s="20" t="str">
        <f aca="false">IF(AND(Eingabe!$F$12&gt;0,Eingabe!$E$12&gt;=166),IF((Eingabe!$G$12+1)&lt;=9,1000+(Eingabe!$G$12+1)*100,3000)+66,"")</f>
        <v/>
      </c>
      <c r="F780" s="20" t="str">
        <f aca="false">IF(AND(Eingabe!$F$12&gt;0,Eingabe!$E$12&gt;=166),"10."&amp;Eingabe!$D$12&amp;".166.0/24","")</f>
        <v/>
      </c>
      <c r="G780" s="20" t="str">
        <f aca="false">IF(AND(Eingabe!$F$12&gt;0,Eingabe!$E$12&gt;=166),"10."&amp;Eingabe!$D$12&amp;".166.1","")</f>
        <v/>
      </c>
      <c r="H780" s="20" t="str">
        <f aca="false">IF(AND(Eingabe!$F$12&gt;0,Eingabe!$E$12&gt;=166),"10."&amp;Eingabe!$D$12&amp;".166.10 – 10."&amp;Eingabe!$D$12&amp;".166.250","")</f>
        <v/>
      </c>
      <c r="I780" s="20" t="str">
        <f aca="false">IF(AND(Eingabe!$F$12&gt;0,Eingabe!$E$12&gt;=166),Eingabe!$B$6&amp;"-"&amp;Eingabe!$C$12&amp;"-Pächter","")</f>
        <v/>
      </c>
      <c r="J780" s="20" t="str">
        <f aca="false">IF(AND(Eingabe!$F$12&gt;0,Eingabe!$E$12&gt;=166),"PPSK: Passwort Parzelle 166","")</f>
        <v/>
      </c>
      <c r="K780" s="20" t="str">
        <f aca="false">IF(AND(Eingabe!$F$12&gt;0,Eingabe!$E$12&gt;=166),"1. Gerät: 10."&amp;Eingabe!$D$12&amp;".166.10, 2. Gerät: .11","")</f>
        <v/>
      </c>
    </row>
    <row r="781" customFormat="false" ht="15" hidden="false" customHeight="false" outlineLevel="0" collapsed="false">
      <c r="A781" s="20" t="str">
        <f aca="false">IF(AND(Eingabe!$F$12&gt;0,Eingabe!$E$12&gt;=167),4,"")</f>
        <v/>
      </c>
      <c r="B781" s="20" t="str">
        <f aca="false">IF(AND(Eingabe!$F$12&gt;0,Eingabe!$E$12&gt;=167),Eingabe!$B$12,"")</f>
        <v/>
      </c>
      <c r="C781" s="20" t="str">
        <f aca="false">IF(AND(Eingabe!$F$12&gt;0,Eingabe!$E$12&gt;=167),Eingabe!$C$12&amp;"-Paz."&amp;TEXT(167,"000"),"")</f>
        <v/>
      </c>
      <c r="D781" s="20" t="str">
        <f aca="false">IF(AND(Eingabe!$F$12&gt;0,Eingabe!$E$12&gt;=167),167,"")</f>
        <v/>
      </c>
      <c r="E781" s="20" t="str">
        <f aca="false">IF(AND(Eingabe!$F$12&gt;0,Eingabe!$E$12&gt;=167),IF((Eingabe!$G$12+1)&lt;=9,1000+(Eingabe!$G$12+1)*100,3000)+67,"")</f>
        <v/>
      </c>
      <c r="F781" s="20" t="str">
        <f aca="false">IF(AND(Eingabe!$F$12&gt;0,Eingabe!$E$12&gt;=167),"10."&amp;Eingabe!$D$12&amp;".167.0/24","")</f>
        <v/>
      </c>
      <c r="G781" s="20" t="str">
        <f aca="false">IF(AND(Eingabe!$F$12&gt;0,Eingabe!$E$12&gt;=167),"10."&amp;Eingabe!$D$12&amp;".167.1","")</f>
        <v/>
      </c>
      <c r="H781" s="20" t="str">
        <f aca="false">IF(AND(Eingabe!$F$12&gt;0,Eingabe!$E$12&gt;=167),"10."&amp;Eingabe!$D$12&amp;".167.10 – 10."&amp;Eingabe!$D$12&amp;".167.250","")</f>
        <v/>
      </c>
      <c r="I781" s="20" t="str">
        <f aca="false">IF(AND(Eingabe!$F$12&gt;0,Eingabe!$E$12&gt;=167),Eingabe!$B$6&amp;"-"&amp;Eingabe!$C$12&amp;"-Pächter","")</f>
        <v/>
      </c>
      <c r="J781" s="20" t="str">
        <f aca="false">IF(AND(Eingabe!$F$12&gt;0,Eingabe!$E$12&gt;=167),"PPSK: Passwort Parzelle 167","")</f>
        <v/>
      </c>
      <c r="K781" s="20" t="str">
        <f aca="false">IF(AND(Eingabe!$F$12&gt;0,Eingabe!$E$12&gt;=167),"1. Gerät: 10."&amp;Eingabe!$D$12&amp;".167.10, 2. Gerät: .11","")</f>
        <v/>
      </c>
    </row>
    <row r="782" customFormat="false" ht="15" hidden="false" customHeight="false" outlineLevel="0" collapsed="false">
      <c r="A782" s="20" t="str">
        <f aca="false">IF(AND(Eingabe!$F$12&gt;0,Eingabe!$E$12&gt;=168),4,"")</f>
        <v/>
      </c>
      <c r="B782" s="20" t="str">
        <f aca="false">IF(AND(Eingabe!$F$12&gt;0,Eingabe!$E$12&gt;=168),Eingabe!$B$12,"")</f>
        <v/>
      </c>
      <c r="C782" s="20" t="str">
        <f aca="false">IF(AND(Eingabe!$F$12&gt;0,Eingabe!$E$12&gt;=168),Eingabe!$C$12&amp;"-Paz."&amp;TEXT(168,"000"),"")</f>
        <v/>
      </c>
      <c r="D782" s="20" t="str">
        <f aca="false">IF(AND(Eingabe!$F$12&gt;0,Eingabe!$E$12&gt;=168),168,"")</f>
        <v/>
      </c>
      <c r="E782" s="20" t="str">
        <f aca="false">IF(AND(Eingabe!$F$12&gt;0,Eingabe!$E$12&gt;=168),IF((Eingabe!$G$12+1)&lt;=9,1000+(Eingabe!$G$12+1)*100,3000)+68,"")</f>
        <v/>
      </c>
      <c r="F782" s="20" t="str">
        <f aca="false">IF(AND(Eingabe!$F$12&gt;0,Eingabe!$E$12&gt;=168),"10."&amp;Eingabe!$D$12&amp;".168.0/24","")</f>
        <v/>
      </c>
      <c r="G782" s="20" t="str">
        <f aca="false">IF(AND(Eingabe!$F$12&gt;0,Eingabe!$E$12&gt;=168),"10."&amp;Eingabe!$D$12&amp;".168.1","")</f>
        <v/>
      </c>
      <c r="H782" s="20" t="str">
        <f aca="false">IF(AND(Eingabe!$F$12&gt;0,Eingabe!$E$12&gt;=168),"10."&amp;Eingabe!$D$12&amp;".168.10 – 10."&amp;Eingabe!$D$12&amp;".168.250","")</f>
        <v/>
      </c>
      <c r="I782" s="20" t="str">
        <f aca="false">IF(AND(Eingabe!$F$12&gt;0,Eingabe!$E$12&gt;=168),Eingabe!$B$6&amp;"-"&amp;Eingabe!$C$12&amp;"-Pächter","")</f>
        <v/>
      </c>
      <c r="J782" s="20" t="str">
        <f aca="false">IF(AND(Eingabe!$F$12&gt;0,Eingabe!$E$12&gt;=168),"PPSK: Passwort Parzelle 168","")</f>
        <v/>
      </c>
      <c r="K782" s="20" t="str">
        <f aca="false">IF(AND(Eingabe!$F$12&gt;0,Eingabe!$E$12&gt;=168),"1. Gerät: 10."&amp;Eingabe!$D$12&amp;".168.10, 2. Gerät: .11","")</f>
        <v/>
      </c>
    </row>
    <row r="783" customFormat="false" ht="15" hidden="false" customHeight="false" outlineLevel="0" collapsed="false">
      <c r="A783" s="20" t="str">
        <f aca="false">IF(AND(Eingabe!$F$12&gt;0,Eingabe!$E$12&gt;=169),4,"")</f>
        <v/>
      </c>
      <c r="B783" s="20" t="str">
        <f aca="false">IF(AND(Eingabe!$F$12&gt;0,Eingabe!$E$12&gt;=169),Eingabe!$B$12,"")</f>
        <v/>
      </c>
      <c r="C783" s="20" t="str">
        <f aca="false">IF(AND(Eingabe!$F$12&gt;0,Eingabe!$E$12&gt;=169),Eingabe!$C$12&amp;"-Paz."&amp;TEXT(169,"000"),"")</f>
        <v/>
      </c>
      <c r="D783" s="20" t="str">
        <f aca="false">IF(AND(Eingabe!$F$12&gt;0,Eingabe!$E$12&gt;=169),169,"")</f>
        <v/>
      </c>
      <c r="E783" s="20" t="str">
        <f aca="false">IF(AND(Eingabe!$F$12&gt;0,Eingabe!$E$12&gt;=169),IF((Eingabe!$G$12+1)&lt;=9,1000+(Eingabe!$G$12+1)*100,3000)+69,"")</f>
        <v/>
      </c>
      <c r="F783" s="20" t="str">
        <f aca="false">IF(AND(Eingabe!$F$12&gt;0,Eingabe!$E$12&gt;=169),"10."&amp;Eingabe!$D$12&amp;".169.0/24","")</f>
        <v/>
      </c>
      <c r="G783" s="20" t="str">
        <f aca="false">IF(AND(Eingabe!$F$12&gt;0,Eingabe!$E$12&gt;=169),"10."&amp;Eingabe!$D$12&amp;".169.1","")</f>
        <v/>
      </c>
      <c r="H783" s="20" t="str">
        <f aca="false">IF(AND(Eingabe!$F$12&gt;0,Eingabe!$E$12&gt;=169),"10."&amp;Eingabe!$D$12&amp;".169.10 – 10."&amp;Eingabe!$D$12&amp;".169.250","")</f>
        <v/>
      </c>
      <c r="I783" s="20" t="str">
        <f aca="false">IF(AND(Eingabe!$F$12&gt;0,Eingabe!$E$12&gt;=169),Eingabe!$B$6&amp;"-"&amp;Eingabe!$C$12&amp;"-Pächter","")</f>
        <v/>
      </c>
      <c r="J783" s="20" t="str">
        <f aca="false">IF(AND(Eingabe!$F$12&gt;0,Eingabe!$E$12&gt;=169),"PPSK: Passwort Parzelle 169","")</f>
        <v/>
      </c>
      <c r="K783" s="20" t="str">
        <f aca="false">IF(AND(Eingabe!$F$12&gt;0,Eingabe!$E$12&gt;=169),"1. Gerät: 10."&amp;Eingabe!$D$12&amp;".169.10, 2. Gerät: .11","")</f>
        <v/>
      </c>
    </row>
    <row r="784" customFormat="false" ht="15" hidden="false" customHeight="false" outlineLevel="0" collapsed="false">
      <c r="A784" s="20" t="str">
        <f aca="false">IF(AND(Eingabe!$F$12&gt;0,Eingabe!$E$12&gt;=170),4,"")</f>
        <v/>
      </c>
      <c r="B784" s="20" t="str">
        <f aca="false">IF(AND(Eingabe!$F$12&gt;0,Eingabe!$E$12&gt;=170),Eingabe!$B$12,"")</f>
        <v/>
      </c>
      <c r="C784" s="20" t="str">
        <f aca="false">IF(AND(Eingabe!$F$12&gt;0,Eingabe!$E$12&gt;=170),Eingabe!$C$12&amp;"-Paz."&amp;TEXT(170,"000"),"")</f>
        <v/>
      </c>
      <c r="D784" s="20" t="str">
        <f aca="false">IF(AND(Eingabe!$F$12&gt;0,Eingabe!$E$12&gt;=170),170,"")</f>
        <v/>
      </c>
      <c r="E784" s="20" t="str">
        <f aca="false">IF(AND(Eingabe!$F$12&gt;0,Eingabe!$E$12&gt;=170),IF((Eingabe!$G$12+1)&lt;=9,1000+(Eingabe!$G$12+1)*100,3000)+70,"")</f>
        <v/>
      </c>
      <c r="F784" s="20" t="str">
        <f aca="false">IF(AND(Eingabe!$F$12&gt;0,Eingabe!$E$12&gt;=170),"10."&amp;Eingabe!$D$12&amp;".170.0/24","")</f>
        <v/>
      </c>
      <c r="G784" s="20" t="str">
        <f aca="false">IF(AND(Eingabe!$F$12&gt;0,Eingabe!$E$12&gt;=170),"10."&amp;Eingabe!$D$12&amp;".170.1","")</f>
        <v/>
      </c>
      <c r="H784" s="20" t="str">
        <f aca="false">IF(AND(Eingabe!$F$12&gt;0,Eingabe!$E$12&gt;=170),"10."&amp;Eingabe!$D$12&amp;".170.10 – 10."&amp;Eingabe!$D$12&amp;".170.250","")</f>
        <v/>
      </c>
      <c r="I784" s="20" t="str">
        <f aca="false">IF(AND(Eingabe!$F$12&gt;0,Eingabe!$E$12&gt;=170),Eingabe!$B$6&amp;"-"&amp;Eingabe!$C$12&amp;"-Pächter","")</f>
        <v/>
      </c>
      <c r="J784" s="20" t="str">
        <f aca="false">IF(AND(Eingabe!$F$12&gt;0,Eingabe!$E$12&gt;=170),"PPSK: Passwort Parzelle 170","")</f>
        <v/>
      </c>
      <c r="K784" s="20" t="str">
        <f aca="false">IF(AND(Eingabe!$F$12&gt;0,Eingabe!$E$12&gt;=170),"1. Gerät: 10."&amp;Eingabe!$D$12&amp;".170.10, 2. Gerät: .11","")</f>
        <v/>
      </c>
    </row>
    <row r="785" customFormat="false" ht="15" hidden="false" customHeight="false" outlineLevel="0" collapsed="false">
      <c r="A785" s="20" t="str">
        <f aca="false">IF(AND(Eingabe!$F$12&gt;0,Eingabe!$E$12&gt;=171),4,"")</f>
        <v/>
      </c>
      <c r="B785" s="20" t="str">
        <f aca="false">IF(AND(Eingabe!$F$12&gt;0,Eingabe!$E$12&gt;=171),Eingabe!$B$12,"")</f>
        <v/>
      </c>
      <c r="C785" s="20" t="str">
        <f aca="false">IF(AND(Eingabe!$F$12&gt;0,Eingabe!$E$12&gt;=171),Eingabe!$C$12&amp;"-Paz."&amp;TEXT(171,"000"),"")</f>
        <v/>
      </c>
      <c r="D785" s="20" t="str">
        <f aca="false">IF(AND(Eingabe!$F$12&gt;0,Eingabe!$E$12&gt;=171),171,"")</f>
        <v/>
      </c>
      <c r="E785" s="20" t="str">
        <f aca="false">IF(AND(Eingabe!$F$12&gt;0,Eingabe!$E$12&gt;=171),IF((Eingabe!$G$12+1)&lt;=9,1000+(Eingabe!$G$12+1)*100,3000)+71,"")</f>
        <v/>
      </c>
      <c r="F785" s="20" t="str">
        <f aca="false">IF(AND(Eingabe!$F$12&gt;0,Eingabe!$E$12&gt;=171),"10."&amp;Eingabe!$D$12&amp;".171.0/24","")</f>
        <v/>
      </c>
      <c r="G785" s="20" t="str">
        <f aca="false">IF(AND(Eingabe!$F$12&gt;0,Eingabe!$E$12&gt;=171),"10."&amp;Eingabe!$D$12&amp;".171.1","")</f>
        <v/>
      </c>
      <c r="H785" s="20" t="str">
        <f aca="false">IF(AND(Eingabe!$F$12&gt;0,Eingabe!$E$12&gt;=171),"10."&amp;Eingabe!$D$12&amp;".171.10 – 10."&amp;Eingabe!$D$12&amp;".171.250","")</f>
        <v/>
      </c>
      <c r="I785" s="20" t="str">
        <f aca="false">IF(AND(Eingabe!$F$12&gt;0,Eingabe!$E$12&gt;=171),Eingabe!$B$6&amp;"-"&amp;Eingabe!$C$12&amp;"-Pächter","")</f>
        <v/>
      </c>
      <c r="J785" s="20" t="str">
        <f aca="false">IF(AND(Eingabe!$F$12&gt;0,Eingabe!$E$12&gt;=171),"PPSK: Passwort Parzelle 171","")</f>
        <v/>
      </c>
      <c r="K785" s="20" t="str">
        <f aca="false">IF(AND(Eingabe!$F$12&gt;0,Eingabe!$E$12&gt;=171),"1. Gerät: 10."&amp;Eingabe!$D$12&amp;".171.10, 2. Gerät: .11","")</f>
        <v/>
      </c>
    </row>
    <row r="786" customFormat="false" ht="15" hidden="false" customHeight="false" outlineLevel="0" collapsed="false">
      <c r="A786" s="20" t="str">
        <f aca="false">IF(AND(Eingabe!$F$12&gt;0,Eingabe!$E$12&gt;=172),4,"")</f>
        <v/>
      </c>
      <c r="B786" s="20" t="str">
        <f aca="false">IF(AND(Eingabe!$F$12&gt;0,Eingabe!$E$12&gt;=172),Eingabe!$B$12,"")</f>
        <v/>
      </c>
      <c r="C786" s="20" t="str">
        <f aca="false">IF(AND(Eingabe!$F$12&gt;0,Eingabe!$E$12&gt;=172),Eingabe!$C$12&amp;"-Paz."&amp;TEXT(172,"000"),"")</f>
        <v/>
      </c>
      <c r="D786" s="20" t="str">
        <f aca="false">IF(AND(Eingabe!$F$12&gt;0,Eingabe!$E$12&gt;=172),172,"")</f>
        <v/>
      </c>
      <c r="E786" s="20" t="str">
        <f aca="false">IF(AND(Eingabe!$F$12&gt;0,Eingabe!$E$12&gt;=172),IF((Eingabe!$G$12+1)&lt;=9,1000+(Eingabe!$G$12+1)*100,3000)+72,"")</f>
        <v/>
      </c>
      <c r="F786" s="20" t="str">
        <f aca="false">IF(AND(Eingabe!$F$12&gt;0,Eingabe!$E$12&gt;=172),"10."&amp;Eingabe!$D$12&amp;".172.0/24","")</f>
        <v/>
      </c>
      <c r="G786" s="20" t="str">
        <f aca="false">IF(AND(Eingabe!$F$12&gt;0,Eingabe!$E$12&gt;=172),"10."&amp;Eingabe!$D$12&amp;".172.1","")</f>
        <v/>
      </c>
      <c r="H786" s="20" t="str">
        <f aca="false">IF(AND(Eingabe!$F$12&gt;0,Eingabe!$E$12&gt;=172),"10."&amp;Eingabe!$D$12&amp;".172.10 – 10."&amp;Eingabe!$D$12&amp;".172.250","")</f>
        <v/>
      </c>
      <c r="I786" s="20" t="str">
        <f aca="false">IF(AND(Eingabe!$F$12&gt;0,Eingabe!$E$12&gt;=172),Eingabe!$B$6&amp;"-"&amp;Eingabe!$C$12&amp;"-Pächter","")</f>
        <v/>
      </c>
      <c r="J786" s="20" t="str">
        <f aca="false">IF(AND(Eingabe!$F$12&gt;0,Eingabe!$E$12&gt;=172),"PPSK: Passwort Parzelle 172","")</f>
        <v/>
      </c>
      <c r="K786" s="20" t="str">
        <f aca="false">IF(AND(Eingabe!$F$12&gt;0,Eingabe!$E$12&gt;=172),"1. Gerät: 10."&amp;Eingabe!$D$12&amp;".172.10, 2. Gerät: .11","")</f>
        <v/>
      </c>
    </row>
    <row r="787" customFormat="false" ht="15" hidden="false" customHeight="false" outlineLevel="0" collapsed="false">
      <c r="A787" s="20" t="str">
        <f aca="false">IF(AND(Eingabe!$F$12&gt;0,Eingabe!$E$12&gt;=173),4,"")</f>
        <v/>
      </c>
      <c r="B787" s="20" t="str">
        <f aca="false">IF(AND(Eingabe!$F$12&gt;0,Eingabe!$E$12&gt;=173),Eingabe!$B$12,"")</f>
        <v/>
      </c>
      <c r="C787" s="20" t="str">
        <f aca="false">IF(AND(Eingabe!$F$12&gt;0,Eingabe!$E$12&gt;=173),Eingabe!$C$12&amp;"-Paz."&amp;TEXT(173,"000"),"")</f>
        <v/>
      </c>
      <c r="D787" s="20" t="str">
        <f aca="false">IF(AND(Eingabe!$F$12&gt;0,Eingabe!$E$12&gt;=173),173,"")</f>
        <v/>
      </c>
      <c r="E787" s="20" t="str">
        <f aca="false">IF(AND(Eingabe!$F$12&gt;0,Eingabe!$E$12&gt;=173),IF((Eingabe!$G$12+1)&lt;=9,1000+(Eingabe!$G$12+1)*100,3000)+73,"")</f>
        <v/>
      </c>
      <c r="F787" s="20" t="str">
        <f aca="false">IF(AND(Eingabe!$F$12&gt;0,Eingabe!$E$12&gt;=173),"10."&amp;Eingabe!$D$12&amp;".173.0/24","")</f>
        <v/>
      </c>
      <c r="G787" s="20" t="str">
        <f aca="false">IF(AND(Eingabe!$F$12&gt;0,Eingabe!$E$12&gt;=173),"10."&amp;Eingabe!$D$12&amp;".173.1","")</f>
        <v/>
      </c>
      <c r="H787" s="20" t="str">
        <f aca="false">IF(AND(Eingabe!$F$12&gt;0,Eingabe!$E$12&gt;=173),"10."&amp;Eingabe!$D$12&amp;".173.10 – 10."&amp;Eingabe!$D$12&amp;".173.250","")</f>
        <v/>
      </c>
      <c r="I787" s="20" t="str">
        <f aca="false">IF(AND(Eingabe!$F$12&gt;0,Eingabe!$E$12&gt;=173),Eingabe!$B$6&amp;"-"&amp;Eingabe!$C$12&amp;"-Pächter","")</f>
        <v/>
      </c>
      <c r="J787" s="20" t="str">
        <f aca="false">IF(AND(Eingabe!$F$12&gt;0,Eingabe!$E$12&gt;=173),"PPSK: Passwort Parzelle 173","")</f>
        <v/>
      </c>
      <c r="K787" s="20" t="str">
        <f aca="false">IF(AND(Eingabe!$F$12&gt;0,Eingabe!$E$12&gt;=173),"1. Gerät: 10."&amp;Eingabe!$D$12&amp;".173.10, 2. Gerät: .11","")</f>
        <v/>
      </c>
    </row>
    <row r="788" customFormat="false" ht="15" hidden="false" customHeight="false" outlineLevel="0" collapsed="false">
      <c r="A788" s="20" t="str">
        <f aca="false">IF(AND(Eingabe!$F$12&gt;0,Eingabe!$E$12&gt;=174),4,"")</f>
        <v/>
      </c>
      <c r="B788" s="20" t="str">
        <f aca="false">IF(AND(Eingabe!$F$12&gt;0,Eingabe!$E$12&gt;=174),Eingabe!$B$12,"")</f>
        <v/>
      </c>
      <c r="C788" s="20" t="str">
        <f aca="false">IF(AND(Eingabe!$F$12&gt;0,Eingabe!$E$12&gt;=174),Eingabe!$C$12&amp;"-Paz."&amp;TEXT(174,"000"),"")</f>
        <v/>
      </c>
      <c r="D788" s="20" t="str">
        <f aca="false">IF(AND(Eingabe!$F$12&gt;0,Eingabe!$E$12&gt;=174),174,"")</f>
        <v/>
      </c>
      <c r="E788" s="20" t="str">
        <f aca="false">IF(AND(Eingabe!$F$12&gt;0,Eingabe!$E$12&gt;=174),IF((Eingabe!$G$12+1)&lt;=9,1000+(Eingabe!$G$12+1)*100,3000)+74,"")</f>
        <v/>
      </c>
      <c r="F788" s="20" t="str">
        <f aca="false">IF(AND(Eingabe!$F$12&gt;0,Eingabe!$E$12&gt;=174),"10."&amp;Eingabe!$D$12&amp;".174.0/24","")</f>
        <v/>
      </c>
      <c r="G788" s="20" t="str">
        <f aca="false">IF(AND(Eingabe!$F$12&gt;0,Eingabe!$E$12&gt;=174),"10."&amp;Eingabe!$D$12&amp;".174.1","")</f>
        <v/>
      </c>
      <c r="H788" s="20" t="str">
        <f aca="false">IF(AND(Eingabe!$F$12&gt;0,Eingabe!$E$12&gt;=174),"10."&amp;Eingabe!$D$12&amp;".174.10 – 10."&amp;Eingabe!$D$12&amp;".174.250","")</f>
        <v/>
      </c>
      <c r="I788" s="20" t="str">
        <f aca="false">IF(AND(Eingabe!$F$12&gt;0,Eingabe!$E$12&gt;=174),Eingabe!$B$6&amp;"-"&amp;Eingabe!$C$12&amp;"-Pächter","")</f>
        <v/>
      </c>
      <c r="J788" s="20" t="str">
        <f aca="false">IF(AND(Eingabe!$F$12&gt;0,Eingabe!$E$12&gt;=174),"PPSK: Passwort Parzelle 174","")</f>
        <v/>
      </c>
      <c r="K788" s="20" t="str">
        <f aca="false">IF(AND(Eingabe!$F$12&gt;0,Eingabe!$E$12&gt;=174),"1. Gerät: 10."&amp;Eingabe!$D$12&amp;".174.10, 2. Gerät: .11","")</f>
        <v/>
      </c>
    </row>
    <row r="789" customFormat="false" ht="15" hidden="false" customHeight="false" outlineLevel="0" collapsed="false">
      <c r="A789" s="20" t="str">
        <f aca="false">IF(AND(Eingabe!$F$12&gt;0,Eingabe!$E$12&gt;=175),4,"")</f>
        <v/>
      </c>
      <c r="B789" s="20" t="str">
        <f aca="false">IF(AND(Eingabe!$F$12&gt;0,Eingabe!$E$12&gt;=175),Eingabe!$B$12,"")</f>
        <v/>
      </c>
      <c r="C789" s="20" t="str">
        <f aca="false">IF(AND(Eingabe!$F$12&gt;0,Eingabe!$E$12&gt;=175),Eingabe!$C$12&amp;"-Paz."&amp;TEXT(175,"000"),"")</f>
        <v/>
      </c>
      <c r="D789" s="20" t="str">
        <f aca="false">IF(AND(Eingabe!$F$12&gt;0,Eingabe!$E$12&gt;=175),175,"")</f>
        <v/>
      </c>
      <c r="E789" s="20" t="str">
        <f aca="false">IF(AND(Eingabe!$F$12&gt;0,Eingabe!$E$12&gt;=175),IF((Eingabe!$G$12+1)&lt;=9,1000+(Eingabe!$G$12+1)*100,3000)+75,"")</f>
        <v/>
      </c>
      <c r="F789" s="20" t="str">
        <f aca="false">IF(AND(Eingabe!$F$12&gt;0,Eingabe!$E$12&gt;=175),"10."&amp;Eingabe!$D$12&amp;".175.0/24","")</f>
        <v/>
      </c>
      <c r="G789" s="20" t="str">
        <f aca="false">IF(AND(Eingabe!$F$12&gt;0,Eingabe!$E$12&gt;=175),"10."&amp;Eingabe!$D$12&amp;".175.1","")</f>
        <v/>
      </c>
      <c r="H789" s="20" t="str">
        <f aca="false">IF(AND(Eingabe!$F$12&gt;0,Eingabe!$E$12&gt;=175),"10."&amp;Eingabe!$D$12&amp;".175.10 – 10."&amp;Eingabe!$D$12&amp;".175.250","")</f>
        <v/>
      </c>
      <c r="I789" s="20" t="str">
        <f aca="false">IF(AND(Eingabe!$F$12&gt;0,Eingabe!$E$12&gt;=175),Eingabe!$B$6&amp;"-"&amp;Eingabe!$C$12&amp;"-Pächter","")</f>
        <v/>
      </c>
      <c r="J789" s="20" t="str">
        <f aca="false">IF(AND(Eingabe!$F$12&gt;0,Eingabe!$E$12&gt;=175),"PPSK: Passwort Parzelle 175","")</f>
        <v/>
      </c>
      <c r="K789" s="20" t="str">
        <f aca="false">IF(AND(Eingabe!$F$12&gt;0,Eingabe!$E$12&gt;=175),"1. Gerät: 10."&amp;Eingabe!$D$12&amp;".175.10, 2. Gerät: .11","")</f>
        <v/>
      </c>
    </row>
    <row r="790" customFormat="false" ht="15" hidden="false" customHeight="false" outlineLevel="0" collapsed="false">
      <c r="A790" s="20" t="str">
        <f aca="false">IF(AND(Eingabe!$F$12&gt;0,Eingabe!$E$12&gt;=176),4,"")</f>
        <v/>
      </c>
      <c r="B790" s="20" t="str">
        <f aca="false">IF(AND(Eingabe!$F$12&gt;0,Eingabe!$E$12&gt;=176),Eingabe!$B$12,"")</f>
        <v/>
      </c>
      <c r="C790" s="20" t="str">
        <f aca="false">IF(AND(Eingabe!$F$12&gt;0,Eingabe!$E$12&gt;=176),Eingabe!$C$12&amp;"-Paz."&amp;TEXT(176,"000"),"")</f>
        <v/>
      </c>
      <c r="D790" s="20" t="str">
        <f aca="false">IF(AND(Eingabe!$F$12&gt;0,Eingabe!$E$12&gt;=176),176,"")</f>
        <v/>
      </c>
      <c r="E790" s="20" t="str">
        <f aca="false">IF(AND(Eingabe!$F$12&gt;0,Eingabe!$E$12&gt;=176),IF((Eingabe!$G$12+1)&lt;=9,1000+(Eingabe!$G$12+1)*100,3000)+76,"")</f>
        <v/>
      </c>
      <c r="F790" s="20" t="str">
        <f aca="false">IF(AND(Eingabe!$F$12&gt;0,Eingabe!$E$12&gt;=176),"10."&amp;Eingabe!$D$12&amp;".176.0/24","")</f>
        <v/>
      </c>
      <c r="G790" s="20" t="str">
        <f aca="false">IF(AND(Eingabe!$F$12&gt;0,Eingabe!$E$12&gt;=176),"10."&amp;Eingabe!$D$12&amp;".176.1","")</f>
        <v/>
      </c>
      <c r="H790" s="20" t="str">
        <f aca="false">IF(AND(Eingabe!$F$12&gt;0,Eingabe!$E$12&gt;=176),"10."&amp;Eingabe!$D$12&amp;".176.10 – 10."&amp;Eingabe!$D$12&amp;".176.250","")</f>
        <v/>
      </c>
      <c r="I790" s="20" t="str">
        <f aca="false">IF(AND(Eingabe!$F$12&gt;0,Eingabe!$E$12&gt;=176),Eingabe!$B$6&amp;"-"&amp;Eingabe!$C$12&amp;"-Pächter","")</f>
        <v/>
      </c>
      <c r="J790" s="20" t="str">
        <f aca="false">IF(AND(Eingabe!$F$12&gt;0,Eingabe!$E$12&gt;=176),"PPSK: Passwort Parzelle 176","")</f>
        <v/>
      </c>
      <c r="K790" s="20" t="str">
        <f aca="false">IF(AND(Eingabe!$F$12&gt;0,Eingabe!$E$12&gt;=176),"1. Gerät: 10."&amp;Eingabe!$D$12&amp;".176.10, 2. Gerät: .11","")</f>
        <v/>
      </c>
    </row>
    <row r="791" customFormat="false" ht="15" hidden="false" customHeight="false" outlineLevel="0" collapsed="false">
      <c r="A791" s="20" t="str">
        <f aca="false">IF(AND(Eingabe!$F$12&gt;0,Eingabe!$E$12&gt;=177),4,"")</f>
        <v/>
      </c>
      <c r="B791" s="20" t="str">
        <f aca="false">IF(AND(Eingabe!$F$12&gt;0,Eingabe!$E$12&gt;=177),Eingabe!$B$12,"")</f>
        <v/>
      </c>
      <c r="C791" s="20" t="str">
        <f aca="false">IF(AND(Eingabe!$F$12&gt;0,Eingabe!$E$12&gt;=177),Eingabe!$C$12&amp;"-Paz."&amp;TEXT(177,"000"),"")</f>
        <v/>
      </c>
      <c r="D791" s="20" t="str">
        <f aca="false">IF(AND(Eingabe!$F$12&gt;0,Eingabe!$E$12&gt;=177),177,"")</f>
        <v/>
      </c>
      <c r="E791" s="20" t="str">
        <f aca="false">IF(AND(Eingabe!$F$12&gt;0,Eingabe!$E$12&gt;=177),IF((Eingabe!$G$12+1)&lt;=9,1000+(Eingabe!$G$12+1)*100,3000)+77,"")</f>
        <v/>
      </c>
      <c r="F791" s="20" t="str">
        <f aca="false">IF(AND(Eingabe!$F$12&gt;0,Eingabe!$E$12&gt;=177),"10."&amp;Eingabe!$D$12&amp;".177.0/24","")</f>
        <v/>
      </c>
      <c r="G791" s="20" t="str">
        <f aca="false">IF(AND(Eingabe!$F$12&gt;0,Eingabe!$E$12&gt;=177),"10."&amp;Eingabe!$D$12&amp;".177.1","")</f>
        <v/>
      </c>
      <c r="H791" s="20" t="str">
        <f aca="false">IF(AND(Eingabe!$F$12&gt;0,Eingabe!$E$12&gt;=177),"10."&amp;Eingabe!$D$12&amp;".177.10 – 10."&amp;Eingabe!$D$12&amp;".177.250","")</f>
        <v/>
      </c>
      <c r="I791" s="20" t="str">
        <f aca="false">IF(AND(Eingabe!$F$12&gt;0,Eingabe!$E$12&gt;=177),Eingabe!$B$6&amp;"-"&amp;Eingabe!$C$12&amp;"-Pächter","")</f>
        <v/>
      </c>
      <c r="J791" s="20" t="str">
        <f aca="false">IF(AND(Eingabe!$F$12&gt;0,Eingabe!$E$12&gt;=177),"PPSK: Passwort Parzelle 177","")</f>
        <v/>
      </c>
      <c r="K791" s="20" t="str">
        <f aca="false">IF(AND(Eingabe!$F$12&gt;0,Eingabe!$E$12&gt;=177),"1. Gerät: 10."&amp;Eingabe!$D$12&amp;".177.10, 2. Gerät: .11","")</f>
        <v/>
      </c>
    </row>
    <row r="792" customFormat="false" ht="15" hidden="false" customHeight="false" outlineLevel="0" collapsed="false">
      <c r="A792" s="20" t="str">
        <f aca="false">IF(AND(Eingabe!$F$12&gt;0,Eingabe!$E$12&gt;=178),4,"")</f>
        <v/>
      </c>
      <c r="B792" s="20" t="str">
        <f aca="false">IF(AND(Eingabe!$F$12&gt;0,Eingabe!$E$12&gt;=178),Eingabe!$B$12,"")</f>
        <v/>
      </c>
      <c r="C792" s="20" t="str">
        <f aca="false">IF(AND(Eingabe!$F$12&gt;0,Eingabe!$E$12&gt;=178),Eingabe!$C$12&amp;"-Paz."&amp;TEXT(178,"000"),"")</f>
        <v/>
      </c>
      <c r="D792" s="20" t="str">
        <f aca="false">IF(AND(Eingabe!$F$12&gt;0,Eingabe!$E$12&gt;=178),178,"")</f>
        <v/>
      </c>
      <c r="E792" s="20" t="str">
        <f aca="false">IF(AND(Eingabe!$F$12&gt;0,Eingabe!$E$12&gt;=178),IF((Eingabe!$G$12+1)&lt;=9,1000+(Eingabe!$G$12+1)*100,3000)+78,"")</f>
        <v/>
      </c>
      <c r="F792" s="20" t="str">
        <f aca="false">IF(AND(Eingabe!$F$12&gt;0,Eingabe!$E$12&gt;=178),"10."&amp;Eingabe!$D$12&amp;".178.0/24","")</f>
        <v/>
      </c>
      <c r="G792" s="20" t="str">
        <f aca="false">IF(AND(Eingabe!$F$12&gt;0,Eingabe!$E$12&gt;=178),"10."&amp;Eingabe!$D$12&amp;".178.1","")</f>
        <v/>
      </c>
      <c r="H792" s="20" t="str">
        <f aca="false">IF(AND(Eingabe!$F$12&gt;0,Eingabe!$E$12&gt;=178),"10."&amp;Eingabe!$D$12&amp;".178.10 – 10."&amp;Eingabe!$D$12&amp;".178.250","")</f>
        <v/>
      </c>
      <c r="I792" s="20" t="str">
        <f aca="false">IF(AND(Eingabe!$F$12&gt;0,Eingabe!$E$12&gt;=178),Eingabe!$B$6&amp;"-"&amp;Eingabe!$C$12&amp;"-Pächter","")</f>
        <v/>
      </c>
      <c r="J792" s="20" t="str">
        <f aca="false">IF(AND(Eingabe!$F$12&gt;0,Eingabe!$E$12&gt;=178),"PPSK: Passwort Parzelle 178","")</f>
        <v/>
      </c>
      <c r="K792" s="20" t="str">
        <f aca="false">IF(AND(Eingabe!$F$12&gt;0,Eingabe!$E$12&gt;=178),"1. Gerät: 10."&amp;Eingabe!$D$12&amp;".178.10, 2. Gerät: .11","")</f>
        <v/>
      </c>
    </row>
    <row r="793" customFormat="false" ht="15" hidden="false" customHeight="false" outlineLevel="0" collapsed="false">
      <c r="A793" s="20" t="str">
        <f aca="false">IF(AND(Eingabe!$F$12&gt;0,Eingabe!$E$12&gt;=179),4,"")</f>
        <v/>
      </c>
      <c r="B793" s="20" t="str">
        <f aca="false">IF(AND(Eingabe!$F$12&gt;0,Eingabe!$E$12&gt;=179),Eingabe!$B$12,"")</f>
        <v/>
      </c>
      <c r="C793" s="20" t="str">
        <f aca="false">IF(AND(Eingabe!$F$12&gt;0,Eingabe!$E$12&gt;=179),Eingabe!$C$12&amp;"-Paz."&amp;TEXT(179,"000"),"")</f>
        <v/>
      </c>
      <c r="D793" s="20" t="str">
        <f aca="false">IF(AND(Eingabe!$F$12&gt;0,Eingabe!$E$12&gt;=179),179,"")</f>
        <v/>
      </c>
      <c r="E793" s="20" t="str">
        <f aca="false">IF(AND(Eingabe!$F$12&gt;0,Eingabe!$E$12&gt;=179),IF((Eingabe!$G$12+1)&lt;=9,1000+(Eingabe!$G$12+1)*100,3000)+79,"")</f>
        <v/>
      </c>
      <c r="F793" s="20" t="str">
        <f aca="false">IF(AND(Eingabe!$F$12&gt;0,Eingabe!$E$12&gt;=179),"10."&amp;Eingabe!$D$12&amp;".179.0/24","")</f>
        <v/>
      </c>
      <c r="G793" s="20" t="str">
        <f aca="false">IF(AND(Eingabe!$F$12&gt;0,Eingabe!$E$12&gt;=179),"10."&amp;Eingabe!$D$12&amp;".179.1","")</f>
        <v/>
      </c>
      <c r="H793" s="20" t="str">
        <f aca="false">IF(AND(Eingabe!$F$12&gt;0,Eingabe!$E$12&gt;=179),"10."&amp;Eingabe!$D$12&amp;".179.10 – 10."&amp;Eingabe!$D$12&amp;".179.250","")</f>
        <v/>
      </c>
      <c r="I793" s="20" t="str">
        <f aca="false">IF(AND(Eingabe!$F$12&gt;0,Eingabe!$E$12&gt;=179),Eingabe!$B$6&amp;"-"&amp;Eingabe!$C$12&amp;"-Pächter","")</f>
        <v/>
      </c>
      <c r="J793" s="20" t="str">
        <f aca="false">IF(AND(Eingabe!$F$12&gt;0,Eingabe!$E$12&gt;=179),"PPSK: Passwort Parzelle 179","")</f>
        <v/>
      </c>
      <c r="K793" s="20" t="str">
        <f aca="false">IF(AND(Eingabe!$F$12&gt;0,Eingabe!$E$12&gt;=179),"1. Gerät: 10."&amp;Eingabe!$D$12&amp;".179.10, 2. Gerät: .11","")</f>
        <v/>
      </c>
    </row>
    <row r="794" customFormat="false" ht="15" hidden="false" customHeight="false" outlineLevel="0" collapsed="false">
      <c r="A794" s="20" t="str">
        <f aca="false">IF(AND(Eingabe!$F$12&gt;0,Eingabe!$E$12&gt;=180),4,"")</f>
        <v/>
      </c>
      <c r="B794" s="20" t="str">
        <f aca="false">IF(AND(Eingabe!$F$12&gt;0,Eingabe!$E$12&gt;=180),Eingabe!$B$12,"")</f>
        <v/>
      </c>
      <c r="C794" s="20" t="str">
        <f aca="false">IF(AND(Eingabe!$F$12&gt;0,Eingabe!$E$12&gt;=180),Eingabe!$C$12&amp;"-Paz."&amp;TEXT(180,"000"),"")</f>
        <v/>
      </c>
      <c r="D794" s="20" t="str">
        <f aca="false">IF(AND(Eingabe!$F$12&gt;0,Eingabe!$E$12&gt;=180),180,"")</f>
        <v/>
      </c>
      <c r="E794" s="20" t="str">
        <f aca="false">IF(AND(Eingabe!$F$12&gt;0,Eingabe!$E$12&gt;=180),IF((Eingabe!$G$12+1)&lt;=9,1000+(Eingabe!$G$12+1)*100,3000)+80,"")</f>
        <v/>
      </c>
      <c r="F794" s="20" t="str">
        <f aca="false">IF(AND(Eingabe!$F$12&gt;0,Eingabe!$E$12&gt;=180),"10."&amp;Eingabe!$D$12&amp;".180.0/24","")</f>
        <v/>
      </c>
      <c r="G794" s="20" t="str">
        <f aca="false">IF(AND(Eingabe!$F$12&gt;0,Eingabe!$E$12&gt;=180),"10."&amp;Eingabe!$D$12&amp;".180.1","")</f>
        <v/>
      </c>
      <c r="H794" s="20" t="str">
        <f aca="false">IF(AND(Eingabe!$F$12&gt;0,Eingabe!$E$12&gt;=180),"10."&amp;Eingabe!$D$12&amp;".180.10 – 10."&amp;Eingabe!$D$12&amp;".180.250","")</f>
        <v/>
      </c>
      <c r="I794" s="20" t="str">
        <f aca="false">IF(AND(Eingabe!$F$12&gt;0,Eingabe!$E$12&gt;=180),Eingabe!$B$6&amp;"-"&amp;Eingabe!$C$12&amp;"-Pächter","")</f>
        <v/>
      </c>
      <c r="J794" s="20" t="str">
        <f aca="false">IF(AND(Eingabe!$F$12&gt;0,Eingabe!$E$12&gt;=180),"PPSK: Passwort Parzelle 180","")</f>
        <v/>
      </c>
      <c r="K794" s="20" t="str">
        <f aca="false">IF(AND(Eingabe!$F$12&gt;0,Eingabe!$E$12&gt;=180),"1. Gerät: 10."&amp;Eingabe!$D$12&amp;".180.10, 2. Gerät: .11","")</f>
        <v/>
      </c>
    </row>
    <row r="795" customFormat="false" ht="15" hidden="false" customHeight="false" outlineLevel="0" collapsed="false">
      <c r="A795" s="20" t="str">
        <f aca="false">IF(AND(Eingabe!$F$12&gt;0,Eingabe!$E$12&gt;=181),4,"")</f>
        <v/>
      </c>
      <c r="B795" s="20" t="str">
        <f aca="false">IF(AND(Eingabe!$F$12&gt;0,Eingabe!$E$12&gt;=181),Eingabe!$B$12,"")</f>
        <v/>
      </c>
      <c r="C795" s="20" t="str">
        <f aca="false">IF(AND(Eingabe!$F$12&gt;0,Eingabe!$E$12&gt;=181),Eingabe!$C$12&amp;"-Paz."&amp;TEXT(181,"000"),"")</f>
        <v/>
      </c>
      <c r="D795" s="20" t="str">
        <f aca="false">IF(AND(Eingabe!$F$12&gt;0,Eingabe!$E$12&gt;=181),181,"")</f>
        <v/>
      </c>
      <c r="E795" s="20" t="str">
        <f aca="false">IF(AND(Eingabe!$F$12&gt;0,Eingabe!$E$12&gt;=181),IF((Eingabe!$G$12+1)&lt;=9,1000+(Eingabe!$G$12+1)*100,3000)+81,"")</f>
        <v/>
      </c>
      <c r="F795" s="20" t="str">
        <f aca="false">IF(AND(Eingabe!$F$12&gt;0,Eingabe!$E$12&gt;=181),"10."&amp;Eingabe!$D$12&amp;".181.0/24","")</f>
        <v/>
      </c>
      <c r="G795" s="20" t="str">
        <f aca="false">IF(AND(Eingabe!$F$12&gt;0,Eingabe!$E$12&gt;=181),"10."&amp;Eingabe!$D$12&amp;".181.1","")</f>
        <v/>
      </c>
      <c r="H795" s="20" t="str">
        <f aca="false">IF(AND(Eingabe!$F$12&gt;0,Eingabe!$E$12&gt;=181),"10."&amp;Eingabe!$D$12&amp;".181.10 – 10."&amp;Eingabe!$D$12&amp;".181.250","")</f>
        <v/>
      </c>
      <c r="I795" s="20" t="str">
        <f aca="false">IF(AND(Eingabe!$F$12&gt;0,Eingabe!$E$12&gt;=181),Eingabe!$B$6&amp;"-"&amp;Eingabe!$C$12&amp;"-Pächter","")</f>
        <v/>
      </c>
      <c r="J795" s="20" t="str">
        <f aca="false">IF(AND(Eingabe!$F$12&gt;0,Eingabe!$E$12&gt;=181),"PPSK: Passwort Parzelle 181","")</f>
        <v/>
      </c>
      <c r="K795" s="20" t="str">
        <f aca="false">IF(AND(Eingabe!$F$12&gt;0,Eingabe!$E$12&gt;=181),"1. Gerät: 10."&amp;Eingabe!$D$12&amp;".181.10, 2. Gerät: .11","")</f>
        <v/>
      </c>
    </row>
    <row r="796" customFormat="false" ht="15" hidden="false" customHeight="false" outlineLevel="0" collapsed="false">
      <c r="A796" s="20" t="str">
        <f aca="false">IF(AND(Eingabe!$F$12&gt;0,Eingabe!$E$12&gt;=182),4,"")</f>
        <v/>
      </c>
      <c r="B796" s="20" t="str">
        <f aca="false">IF(AND(Eingabe!$F$12&gt;0,Eingabe!$E$12&gt;=182),Eingabe!$B$12,"")</f>
        <v/>
      </c>
      <c r="C796" s="20" t="str">
        <f aca="false">IF(AND(Eingabe!$F$12&gt;0,Eingabe!$E$12&gt;=182),Eingabe!$C$12&amp;"-Paz."&amp;TEXT(182,"000"),"")</f>
        <v/>
      </c>
      <c r="D796" s="20" t="str">
        <f aca="false">IF(AND(Eingabe!$F$12&gt;0,Eingabe!$E$12&gt;=182),182,"")</f>
        <v/>
      </c>
      <c r="E796" s="20" t="str">
        <f aca="false">IF(AND(Eingabe!$F$12&gt;0,Eingabe!$E$12&gt;=182),IF((Eingabe!$G$12+1)&lt;=9,1000+(Eingabe!$G$12+1)*100,3000)+82,"")</f>
        <v/>
      </c>
      <c r="F796" s="20" t="str">
        <f aca="false">IF(AND(Eingabe!$F$12&gt;0,Eingabe!$E$12&gt;=182),"10."&amp;Eingabe!$D$12&amp;".182.0/24","")</f>
        <v/>
      </c>
      <c r="G796" s="20" t="str">
        <f aca="false">IF(AND(Eingabe!$F$12&gt;0,Eingabe!$E$12&gt;=182),"10."&amp;Eingabe!$D$12&amp;".182.1","")</f>
        <v/>
      </c>
      <c r="H796" s="20" t="str">
        <f aca="false">IF(AND(Eingabe!$F$12&gt;0,Eingabe!$E$12&gt;=182),"10."&amp;Eingabe!$D$12&amp;".182.10 – 10."&amp;Eingabe!$D$12&amp;".182.250","")</f>
        <v/>
      </c>
      <c r="I796" s="20" t="str">
        <f aca="false">IF(AND(Eingabe!$F$12&gt;0,Eingabe!$E$12&gt;=182),Eingabe!$B$6&amp;"-"&amp;Eingabe!$C$12&amp;"-Pächter","")</f>
        <v/>
      </c>
      <c r="J796" s="20" t="str">
        <f aca="false">IF(AND(Eingabe!$F$12&gt;0,Eingabe!$E$12&gt;=182),"PPSK: Passwort Parzelle 182","")</f>
        <v/>
      </c>
      <c r="K796" s="20" t="str">
        <f aca="false">IF(AND(Eingabe!$F$12&gt;0,Eingabe!$E$12&gt;=182),"1. Gerät: 10."&amp;Eingabe!$D$12&amp;".182.10, 2. Gerät: .11","")</f>
        <v/>
      </c>
    </row>
    <row r="797" customFormat="false" ht="15" hidden="false" customHeight="false" outlineLevel="0" collapsed="false">
      <c r="A797" s="20" t="str">
        <f aca="false">IF(AND(Eingabe!$F$12&gt;0,Eingabe!$E$12&gt;=183),4,"")</f>
        <v/>
      </c>
      <c r="B797" s="20" t="str">
        <f aca="false">IF(AND(Eingabe!$F$12&gt;0,Eingabe!$E$12&gt;=183),Eingabe!$B$12,"")</f>
        <v/>
      </c>
      <c r="C797" s="20" t="str">
        <f aca="false">IF(AND(Eingabe!$F$12&gt;0,Eingabe!$E$12&gt;=183),Eingabe!$C$12&amp;"-Paz."&amp;TEXT(183,"000"),"")</f>
        <v/>
      </c>
      <c r="D797" s="20" t="str">
        <f aca="false">IF(AND(Eingabe!$F$12&gt;0,Eingabe!$E$12&gt;=183),183,"")</f>
        <v/>
      </c>
      <c r="E797" s="20" t="str">
        <f aca="false">IF(AND(Eingabe!$F$12&gt;0,Eingabe!$E$12&gt;=183),IF((Eingabe!$G$12+1)&lt;=9,1000+(Eingabe!$G$12+1)*100,3000)+83,"")</f>
        <v/>
      </c>
      <c r="F797" s="20" t="str">
        <f aca="false">IF(AND(Eingabe!$F$12&gt;0,Eingabe!$E$12&gt;=183),"10."&amp;Eingabe!$D$12&amp;".183.0/24","")</f>
        <v/>
      </c>
      <c r="G797" s="20" t="str">
        <f aca="false">IF(AND(Eingabe!$F$12&gt;0,Eingabe!$E$12&gt;=183),"10."&amp;Eingabe!$D$12&amp;".183.1","")</f>
        <v/>
      </c>
      <c r="H797" s="20" t="str">
        <f aca="false">IF(AND(Eingabe!$F$12&gt;0,Eingabe!$E$12&gt;=183),"10."&amp;Eingabe!$D$12&amp;".183.10 – 10."&amp;Eingabe!$D$12&amp;".183.250","")</f>
        <v/>
      </c>
      <c r="I797" s="20" t="str">
        <f aca="false">IF(AND(Eingabe!$F$12&gt;0,Eingabe!$E$12&gt;=183),Eingabe!$B$6&amp;"-"&amp;Eingabe!$C$12&amp;"-Pächter","")</f>
        <v/>
      </c>
      <c r="J797" s="20" t="str">
        <f aca="false">IF(AND(Eingabe!$F$12&gt;0,Eingabe!$E$12&gt;=183),"PPSK: Passwort Parzelle 183","")</f>
        <v/>
      </c>
      <c r="K797" s="20" t="str">
        <f aca="false">IF(AND(Eingabe!$F$12&gt;0,Eingabe!$E$12&gt;=183),"1. Gerät: 10."&amp;Eingabe!$D$12&amp;".183.10, 2. Gerät: .11","")</f>
        <v/>
      </c>
    </row>
    <row r="798" customFormat="false" ht="15" hidden="false" customHeight="false" outlineLevel="0" collapsed="false">
      <c r="A798" s="20" t="str">
        <f aca="false">IF(AND(Eingabe!$F$12&gt;0,Eingabe!$E$12&gt;=184),4,"")</f>
        <v/>
      </c>
      <c r="B798" s="20" t="str">
        <f aca="false">IF(AND(Eingabe!$F$12&gt;0,Eingabe!$E$12&gt;=184),Eingabe!$B$12,"")</f>
        <v/>
      </c>
      <c r="C798" s="20" t="str">
        <f aca="false">IF(AND(Eingabe!$F$12&gt;0,Eingabe!$E$12&gt;=184),Eingabe!$C$12&amp;"-Paz."&amp;TEXT(184,"000"),"")</f>
        <v/>
      </c>
      <c r="D798" s="20" t="str">
        <f aca="false">IF(AND(Eingabe!$F$12&gt;0,Eingabe!$E$12&gt;=184),184,"")</f>
        <v/>
      </c>
      <c r="E798" s="20" t="str">
        <f aca="false">IF(AND(Eingabe!$F$12&gt;0,Eingabe!$E$12&gt;=184),IF((Eingabe!$G$12+1)&lt;=9,1000+(Eingabe!$G$12+1)*100,3000)+84,"")</f>
        <v/>
      </c>
      <c r="F798" s="20" t="str">
        <f aca="false">IF(AND(Eingabe!$F$12&gt;0,Eingabe!$E$12&gt;=184),"10."&amp;Eingabe!$D$12&amp;".184.0/24","")</f>
        <v/>
      </c>
      <c r="G798" s="20" t="str">
        <f aca="false">IF(AND(Eingabe!$F$12&gt;0,Eingabe!$E$12&gt;=184),"10."&amp;Eingabe!$D$12&amp;".184.1","")</f>
        <v/>
      </c>
      <c r="H798" s="20" t="str">
        <f aca="false">IF(AND(Eingabe!$F$12&gt;0,Eingabe!$E$12&gt;=184),"10."&amp;Eingabe!$D$12&amp;".184.10 – 10."&amp;Eingabe!$D$12&amp;".184.250","")</f>
        <v/>
      </c>
      <c r="I798" s="20" t="str">
        <f aca="false">IF(AND(Eingabe!$F$12&gt;0,Eingabe!$E$12&gt;=184),Eingabe!$B$6&amp;"-"&amp;Eingabe!$C$12&amp;"-Pächter","")</f>
        <v/>
      </c>
      <c r="J798" s="20" t="str">
        <f aca="false">IF(AND(Eingabe!$F$12&gt;0,Eingabe!$E$12&gt;=184),"PPSK: Passwort Parzelle 184","")</f>
        <v/>
      </c>
      <c r="K798" s="20" t="str">
        <f aca="false">IF(AND(Eingabe!$F$12&gt;0,Eingabe!$E$12&gt;=184),"1. Gerät: 10."&amp;Eingabe!$D$12&amp;".184.10, 2. Gerät: .11","")</f>
        <v/>
      </c>
    </row>
    <row r="799" customFormat="false" ht="15" hidden="false" customHeight="false" outlineLevel="0" collapsed="false">
      <c r="A799" s="20" t="str">
        <f aca="false">IF(AND(Eingabe!$F$12&gt;0,Eingabe!$E$12&gt;=185),4,"")</f>
        <v/>
      </c>
      <c r="B799" s="20" t="str">
        <f aca="false">IF(AND(Eingabe!$F$12&gt;0,Eingabe!$E$12&gt;=185),Eingabe!$B$12,"")</f>
        <v/>
      </c>
      <c r="C799" s="20" t="str">
        <f aca="false">IF(AND(Eingabe!$F$12&gt;0,Eingabe!$E$12&gt;=185),Eingabe!$C$12&amp;"-Paz."&amp;TEXT(185,"000"),"")</f>
        <v/>
      </c>
      <c r="D799" s="20" t="str">
        <f aca="false">IF(AND(Eingabe!$F$12&gt;0,Eingabe!$E$12&gt;=185),185,"")</f>
        <v/>
      </c>
      <c r="E799" s="20" t="str">
        <f aca="false">IF(AND(Eingabe!$F$12&gt;0,Eingabe!$E$12&gt;=185),IF((Eingabe!$G$12+1)&lt;=9,1000+(Eingabe!$G$12+1)*100,3000)+85,"")</f>
        <v/>
      </c>
      <c r="F799" s="20" t="str">
        <f aca="false">IF(AND(Eingabe!$F$12&gt;0,Eingabe!$E$12&gt;=185),"10."&amp;Eingabe!$D$12&amp;".185.0/24","")</f>
        <v/>
      </c>
      <c r="G799" s="20" t="str">
        <f aca="false">IF(AND(Eingabe!$F$12&gt;0,Eingabe!$E$12&gt;=185),"10."&amp;Eingabe!$D$12&amp;".185.1","")</f>
        <v/>
      </c>
      <c r="H799" s="20" t="str">
        <f aca="false">IF(AND(Eingabe!$F$12&gt;0,Eingabe!$E$12&gt;=185),"10."&amp;Eingabe!$D$12&amp;".185.10 – 10."&amp;Eingabe!$D$12&amp;".185.250","")</f>
        <v/>
      </c>
      <c r="I799" s="20" t="str">
        <f aca="false">IF(AND(Eingabe!$F$12&gt;0,Eingabe!$E$12&gt;=185),Eingabe!$B$6&amp;"-"&amp;Eingabe!$C$12&amp;"-Pächter","")</f>
        <v/>
      </c>
      <c r="J799" s="20" t="str">
        <f aca="false">IF(AND(Eingabe!$F$12&gt;0,Eingabe!$E$12&gt;=185),"PPSK: Passwort Parzelle 185","")</f>
        <v/>
      </c>
      <c r="K799" s="20" t="str">
        <f aca="false">IF(AND(Eingabe!$F$12&gt;0,Eingabe!$E$12&gt;=185),"1. Gerät: 10."&amp;Eingabe!$D$12&amp;".185.10, 2. Gerät: .11","")</f>
        <v/>
      </c>
    </row>
    <row r="800" customFormat="false" ht="15" hidden="false" customHeight="false" outlineLevel="0" collapsed="false">
      <c r="A800" s="20" t="str">
        <f aca="false">IF(AND(Eingabe!$F$12&gt;0,Eingabe!$E$12&gt;=186),4,"")</f>
        <v/>
      </c>
      <c r="B800" s="20" t="str">
        <f aca="false">IF(AND(Eingabe!$F$12&gt;0,Eingabe!$E$12&gt;=186),Eingabe!$B$12,"")</f>
        <v/>
      </c>
      <c r="C800" s="20" t="str">
        <f aca="false">IF(AND(Eingabe!$F$12&gt;0,Eingabe!$E$12&gt;=186),Eingabe!$C$12&amp;"-Paz."&amp;TEXT(186,"000"),"")</f>
        <v/>
      </c>
      <c r="D800" s="20" t="str">
        <f aca="false">IF(AND(Eingabe!$F$12&gt;0,Eingabe!$E$12&gt;=186),186,"")</f>
        <v/>
      </c>
      <c r="E800" s="20" t="str">
        <f aca="false">IF(AND(Eingabe!$F$12&gt;0,Eingabe!$E$12&gt;=186),IF((Eingabe!$G$12+1)&lt;=9,1000+(Eingabe!$G$12+1)*100,3000)+86,"")</f>
        <v/>
      </c>
      <c r="F800" s="20" t="str">
        <f aca="false">IF(AND(Eingabe!$F$12&gt;0,Eingabe!$E$12&gt;=186),"10."&amp;Eingabe!$D$12&amp;".186.0/24","")</f>
        <v/>
      </c>
      <c r="G800" s="20" t="str">
        <f aca="false">IF(AND(Eingabe!$F$12&gt;0,Eingabe!$E$12&gt;=186),"10."&amp;Eingabe!$D$12&amp;".186.1","")</f>
        <v/>
      </c>
      <c r="H800" s="20" t="str">
        <f aca="false">IF(AND(Eingabe!$F$12&gt;0,Eingabe!$E$12&gt;=186),"10."&amp;Eingabe!$D$12&amp;".186.10 – 10."&amp;Eingabe!$D$12&amp;".186.250","")</f>
        <v/>
      </c>
      <c r="I800" s="20" t="str">
        <f aca="false">IF(AND(Eingabe!$F$12&gt;0,Eingabe!$E$12&gt;=186),Eingabe!$B$6&amp;"-"&amp;Eingabe!$C$12&amp;"-Pächter","")</f>
        <v/>
      </c>
      <c r="J800" s="20" t="str">
        <f aca="false">IF(AND(Eingabe!$F$12&gt;0,Eingabe!$E$12&gt;=186),"PPSK: Passwort Parzelle 186","")</f>
        <v/>
      </c>
      <c r="K800" s="20" t="str">
        <f aca="false">IF(AND(Eingabe!$F$12&gt;0,Eingabe!$E$12&gt;=186),"1. Gerät: 10."&amp;Eingabe!$D$12&amp;".186.10, 2. Gerät: .11","")</f>
        <v/>
      </c>
    </row>
    <row r="801" customFormat="false" ht="15" hidden="false" customHeight="false" outlineLevel="0" collapsed="false">
      <c r="A801" s="20" t="str">
        <f aca="false">IF(AND(Eingabe!$F$12&gt;0,Eingabe!$E$12&gt;=187),4,"")</f>
        <v/>
      </c>
      <c r="B801" s="20" t="str">
        <f aca="false">IF(AND(Eingabe!$F$12&gt;0,Eingabe!$E$12&gt;=187),Eingabe!$B$12,"")</f>
        <v/>
      </c>
      <c r="C801" s="20" t="str">
        <f aca="false">IF(AND(Eingabe!$F$12&gt;0,Eingabe!$E$12&gt;=187),Eingabe!$C$12&amp;"-Paz."&amp;TEXT(187,"000"),"")</f>
        <v/>
      </c>
      <c r="D801" s="20" t="str">
        <f aca="false">IF(AND(Eingabe!$F$12&gt;0,Eingabe!$E$12&gt;=187),187,"")</f>
        <v/>
      </c>
      <c r="E801" s="20" t="str">
        <f aca="false">IF(AND(Eingabe!$F$12&gt;0,Eingabe!$E$12&gt;=187),IF((Eingabe!$G$12+1)&lt;=9,1000+(Eingabe!$G$12+1)*100,3000)+87,"")</f>
        <v/>
      </c>
      <c r="F801" s="20" t="str">
        <f aca="false">IF(AND(Eingabe!$F$12&gt;0,Eingabe!$E$12&gt;=187),"10."&amp;Eingabe!$D$12&amp;".187.0/24","")</f>
        <v/>
      </c>
      <c r="G801" s="20" t="str">
        <f aca="false">IF(AND(Eingabe!$F$12&gt;0,Eingabe!$E$12&gt;=187),"10."&amp;Eingabe!$D$12&amp;".187.1","")</f>
        <v/>
      </c>
      <c r="H801" s="20" t="str">
        <f aca="false">IF(AND(Eingabe!$F$12&gt;0,Eingabe!$E$12&gt;=187),"10."&amp;Eingabe!$D$12&amp;".187.10 – 10."&amp;Eingabe!$D$12&amp;".187.250","")</f>
        <v/>
      </c>
      <c r="I801" s="20" t="str">
        <f aca="false">IF(AND(Eingabe!$F$12&gt;0,Eingabe!$E$12&gt;=187),Eingabe!$B$6&amp;"-"&amp;Eingabe!$C$12&amp;"-Pächter","")</f>
        <v/>
      </c>
      <c r="J801" s="20" t="str">
        <f aca="false">IF(AND(Eingabe!$F$12&gt;0,Eingabe!$E$12&gt;=187),"PPSK: Passwort Parzelle 187","")</f>
        <v/>
      </c>
      <c r="K801" s="20" t="str">
        <f aca="false">IF(AND(Eingabe!$F$12&gt;0,Eingabe!$E$12&gt;=187),"1. Gerät: 10."&amp;Eingabe!$D$12&amp;".187.10, 2. Gerät: .11","")</f>
        <v/>
      </c>
    </row>
    <row r="802" customFormat="false" ht="15" hidden="false" customHeight="false" outlineLevel="0" collapsed="false">
      <c r="A802" s="20" t="str">
        <f aca="false">IF(AND(Eingabe!$F$12&gt;0,Eingabe!$E$12&gt;=188),4,"")</f>
        <v/>
      </c>
      <c r="B802" s="20" t="str">
        <f aca="false">IF(AND(Eingabe!$F$12&gt;0,Eingabe!$E$12&gt;=188),Eingabe!$B$12,"")</f>
        <v/>
      </c>
      <c r="C802" s="20" t="str">
        <f aca="false">IF(AND(Eingabe!$F$12&gt;0,Eingabe!$E$12&gt;=188),Eingabe!$C$12&amp;"-Paz."&amp;TEXT(188,"000"),"")</f>
        <v/>
      </c>
      <c r="D802" s="20" t="str">
        <f aca="false">IF(AND(Eingabe!$F$12&gt;0,Eingabe!$E$12&gt;=188),188,"")</f>
        <v/>
      </c>
      <c r="E802" s="20" t="str">
        <f aca="false">IF(AND(Eingabe!$F$12&gt;0,Eingabe!$E$12&gt;=188),IF((Eingabe!$G$12+1)&lt;=9,1000+(Eingabe!$G$12+1)*100,3000)+88,"")</f>
        <v/>
      </c>
      <c r="F802" s="20" t="str">
        <f aca="false">IF(AND(Eingabe!$F$12&gt;0,Eingabe!$E$12&gt;=188),"10."&amp;Eingabe!$D$12&amp;".188.0/24","")</f>
        <v/>
      </c>
      <c r="G802" s="20" t="str">
        <f aca="false">IF(AND(Eingabe!$F$12&gt;0,Eingabe!$E$12&gt;=188),"10."&amp;Eingabe!$D$12&amp;".188.1","")</f>
        <v/>
      </c>
      <c r="H802" s="20" t="str">
        <f aca="false">IF(AND(Eingabe!$F$12&gt;0,Eingabe!$E$12&gt;=188),"10."&amp;Eingabe!$D$12&amp;".188.10 – 10."&amp;Eingabe!$D$12&amp;".188.250","")</f>
        <v/>
      </c>
      <c r="I802" s="20" t="str">
        <f aca="false">IF(AND(Eingabe!$F$12&gt;0,Eingabe!$E$12&gt;=188),Eingabe!$B$6&amp;"-"&amp;Eingabe!$C$12&amp;"-Pächter","")</f>
        <v/>
      </c>
      <c r="J802" s="20" t="str">
        <f aca="false">IF(AND(Eingabe!$F$12&gt;0,Eingabe!$E$12&gt;=188),"PPSK: Passwort Parzelle 188","")</f>
        <v/>
      </c>
      <c r="K802" s="20" t="str">
        <f aca="false">IF(AND(Eingabe!$F$12&gt;0,Eingabe!$E$12&gt;=188),"1. Gerät: 10."&amp;Eingabe!$D$12&amp;".188.10, 2. Gerät: .11","")</f>
        <v/>
      </c>
    </row>
    <row r="803" customFormat="false" ht="15" hidden="false" customHeight="false" outlineLevel="0" collapsed="false">
      <c r="A803" s="20" t="str">
        <f aca="false">IF(AND(Eingabe!$F$12&gt;0,Eingabe!$E$12&gt;=189),4,"")</f>
        <v/>
      </c>
      <c r="B803" s="20" t="str">
        <f aca="false">IF(AND(Eingabe!$F$12&gt;0,Eingabe!$E$12&gt;=189),Eingabe!$B$12,"")</f>
        <v/>
      </c>
      <c r="C803" s="20" t="str">
        <f aca="false">IF(AND(Eingabe!$F$12&gt;0,Eingabe!$E$12&gt;=189),Eingabe!$C$12&amp;"-Paz."&amp;TEXT(189,"000"),"")</f>
        <v/>
      </c>
      <c r="D803" s="20" t="str">
        <f aca="false">IF(AND(Eingabe!$F$12&gt;0,Eingabe!$E$12&gt;=189),189,"")</f>
        <v/>
      </c>
      <c r="E803" s="20" t="str">
        <f aca="false">IF(AND(Eingabe!$F$12&gt;0,Eingabe!$E$12&gt;=189),IF((Eingabe!$G$12+1)&lt;=9,1000+(Eingabe!$G$12+1)*100,3000)+89,"")</f>
        <v/>
      </c>
      <c r="F803" s="20" t="str">
        <f aca="false">IF(AND(Eingabe!$F$12&gt;0,Eingabe!$E$12&gt;=189),"10."&amp;Eingabe!$D$12&amp;".189.0/24","")</f>
        <v/>
      </c>
      <c r="G803" s="20" t="str">
        <f aca="false">IF(AND(Eingabe!$F$12&gt;0,Eingabe!$E$12&gt;=189),"10."&amp;Eingabe!$D$12&amp;".189.1","")</f>
        <v/>
      </c>
      <c r="H803" s="20" t="str">
        <f aca="false">IF(AND(Eingabe!$F$12&gt;0,Eingabe!$E$12&gt;=189),"10."&amp;Eingabe!$D$12&amp;".189.10 – 10."&amp;Eingabe!$D$12&amp;".189.250","")</f>
        <v/>
      </c>
      <c r="I803" s="20" t="str">
        <f aca="false">IF(AND(Eingabe!$F$12&gt;0,Eingabe!$E$12&gt;=189),Eingabe!$B$6&amp;"-"&amp;Eingabe!$C$12&amp;"-Pächter","")</f>
        <v/>
      </c>
      <c r="J803" s="20" t="str">
        <f aca="false">IF(AND(Eingabe!$F$12&gt;0,Eingabe!$E$12&gt;=189),"PPSK: Passwort Parzelle 189","")</f>
        <v/>
      </c>
      <c r="K803" s="20" t="str">
        <f aca="false">IF(AND(Eingabe!$F$12&gt;0,Eingabe!$E$12&gt;=189),"1. Gerät: 10."&amp;Eingabe!$D$12&amp;".189.10, 2. Gerät: .11","")</f>
        <v/>
      </c>
    </row>
    <row r="804" customFormat="false" ht="15" hidden="false" customHeight="false" outlineLevel="0" collapsed="false">
      <c r="A804" s="20" t="str">
        <f aca="false">IF(AND(Eingabe!$F$12&gt;0,Eingabe!$E$12&gt;=190),4,"")</f>
        <v/>
      </c>
      <c r="B804" s="20" t="str">
        <f aca="false">IF(AND(Eingabe!$F$12&gt;0,Eingabe!$E$12&gt;=190),Eingabe!$B$12,"")</f>
        <v/>
      </c>
      <c r="C804" s="20" t="str">
        <f aca="false">IF(AND(Eingabe!$F$12&gt;0,Eingabe!$E$12&gt;=190),Eingabe!$C$12&amp;"-Paz."&amp;TEXT(190,"000"),"")</f>
        <v/>
      </c>
      <c r="D804" s="20" t="str">
        <f aca="false">IF(AND(Eingabe!$F$12&gt;0,Eingabe!$E$12&gt;=190),190,"")</f>
        <v/>
      </c>
      <c r="E804" s="20" t="str">
        <f aca="false">IF(AND(Eingabe!$F$12&gt;0,Eingabe!$E$12&gt;=190),IF((Eingabe!$G$12+1)&lt;=9,1000+(Eingabe!$G$12+1)*100,3000)+90,"")</f>
        <v/>
      </c>
      <c r="F804" s="20" t="str">
        <f aca="false">IF(AND(Eingabe!$F$12&gt;0,Eingabe!$E$12&gt;=190),"10."&amp;Eingabe!$D$12&amp;".190.0/24","")</f>
        <v/>
      </c>
      <c r="G804" s="20" t="str">
        <f aca="false">IF(AND(Eingabe!$F$12&gt;0,Eingabe!$E$12&gt;=190),"10."&amp;Eingabe!$D$12&amp;".190.1","")</f>
        <v/>
      </c>
      <c r="H804" s="20" t="str">
        <f aca="false">IF(AND(Eingabe!$F$12&gt;0,Eingabe!$E$12&gt;=190),"10."&amp;Eingabe!$D$12&amp;".190.10 – 10."&amp;Eingabe!$D$12&amp;".190.250","")</f>
        <v/>
      </c>
      <c r="I804" s="20" t="str">
        <f aca="false">IF(AND(Eingabe!$F$12&gt;0,Eingabe!$E$12&gt;=190),Eingabe!$B$6&amp;"-"&amp;Eingabe!$C$12&amp;"-Pächter","")</f>
        <v/>
      </c>
      <c r="J804" s="20" t="str">
        <f aca="false">IF(AND(Eingabe!$F$12&gt;0,Eingabe!$E$12&gt;=190),"PPSK: Passwort Parzelle 190","")</f>
        <v/>
      </c>
      <c r="K804" s="20" t="str">
        <f aca="false">IF(AND(Eingabe!$F$12&gt;0,Eingabe!$E$12&gt;=190),"1. Gerät: 10."&amp;Eingabe!$D$12&amp;".190.10, 2. Gerät: .11","")</f>
        <v/>
      </c>
    </row>
    <row r="805" customFormat="false" ht="15" hidden="false" customHeight="false" outlineLevel="0" collapsed="false">
      <c r="A805" s="20" t="str">
        <f aca="false">IF(AND(Eingabe!$F$12&gt;0,Eingabe!$E$12&gt;=191),4,"")</f>
        <v/>
      </c>
      <c r="B805" s="20" t="str">
        <f aca="false">IF(AND(Eingabe!$F$12&gt;0,Eingabe!$E$12&gt;=191),Eingabe!$B$12,"")</f>
        <v/>
      </c>
      <c r="C805" s="20" t="str">
        <f aca="false">IF(AND(Eingabe!$F$12&gt;0,Eingabe!$E$12&gt;=191),Eingabe!$C$12&amp;"-Paz."&amp;TEXT(191,"000"),"")</f>
        <v/>
      </c>
      <c r="D805" s="20" t="str">
        <f aca="false">IF(AND(Eingabe!$F$12&gt;0,Eingabe!$E$12&gt;=191),191,"")</f>
        <v/>
      </c>
      <c r="E805" s="20" t="str">
        <f aca="false">IF(AND(Eingabe!$F$12&gt;0,Eingabe!$E$12&gt;=191),IF((Eingabe!$G$12+1)&lt;=9,1000+(Eingabe!$G$12+1)*100,3000)+91,"")</f>
        <v/>
      </c>
      <c r="F805" s="20" t="str">
        <f aca="false">IF(AND(Eingabe!$F$12&gt;0,Eingabe!$E$12&gt;=191),"10."&amp;Eingabe!$D$12&amp;".191.0/24","")</f>
        <v/>
      </c>
      <c r="G805" s="20" t="str">
        <f aca="false">IF(AND(Eingabe!$F$12&gt;0,Eingabe!$E$12&gt;=191),"10."&amp;Eingabe!$D$12&amp;".191.1","")</f>
        <v/>
      </c>
      <c r="H805" s="20" t="str">
        <f aca="false">IF(AND(Eingabe!$F$12&gt;0,Eingabe!$E$12&gt;=191),"10."&amp;Eingabe!$D$12&amp;".191.10 – 10."&amp;Eingabe!$D$12&amp;".191.250","")</f>
        <v/>
      </c>
      <c r="I805" s="20" t="str">
        <f aca="false">IF(AND(Eingabe!$F$12&gt;0,Eingabe!$E$12&gt;=191),Eingabe!$B$6&amp;"-"&amp;Eingabe!$C$12&amp;"-Pächter","")</f>
        <v/>
      </c>
      <c r="J805" s="20" t="str">
        <f aca="false">IF(AND(Eingabe!$F$12&gt;0,Eingabe!$E$12&gt;=191),"PPSK: Passwort Parzelle 191","")</f>
        <v/>
      </c>
      <c r="K805" s="20" t="str">
        <f aca="false">IF(AND(Eingabe!$F$12&gt;0,Eingabe!$E$12&gt;=191),"1. Gerät: 10."&amp;Eingabe!$D$12&amp;".191.10, 2. Gerät: .11","")</f>
        <v/>
      </c>
    </row>
    <row r="806" customFormat="false" ht="15" hidden="false" customHeight="false" outlineLevel="0" collapsed="false">
      <c r="A806" s="20" t="str">
        <f aca="false">IF(AND(Eingabe!$F$12&gt;0,Eingabe!$E$12&gt;=192),4,"")</f>
        <v/>
      </c>
      <c r="B806" s="20" t="str">
        <f aca="false">IF(AND(Eingabe!$F$12&gt;0,Eingabe!$E$12&gt;=192),Eingabe!$B$12,"")</f>
        <v/>
      </c>
      <c r="C806" s="20" t="str">
        <f aca="false">IF(AND(Eingabe!$F$12&gt;0,Eingabe!$E$12&gt;=192),Eingabe!$C$12&amp;"-Paz."&amp;TEXT(192,"000"),"")</f>
        <v/>
      </c>
      <c r="D806" s="20" t="str">
        <f aca="false">IF(AND(Eingabe!$F$12&gt;0,Eingabe!$E$12&gt;=192),192,"")</f>
        <v/>
      </c>
      <c r="E806" s="20" t="str">
        <f aca="false">IF(AND(Eingabe!$F$12&gt;0,Eingabe!$E$12&gt;=192),IF((Eingabe!$G$12+1)&lt;=9,1000+(Eingabe!$G$12+1)*100,3000)+92,"")</f>
        <v/>
      </c>
      <c r="F806" s="20" t="str">
        <f aca="false">IF(AND(Eingabe!$F$12&gt;0,Eingabe!$E$12&gt;=192),"10."&amp;Eingabe!$D$12&amp;".192.0/24","")</f>
        <v/>
      </c>
      <c r="G806" s="20" t="str">
        <f aca="false">IF(AND(Eingabe!$F$12&gt;0,Eingabe!$E$12&gt;=192),"10."&amp;Eingabe!$D$12&amp;".192.1","")</f>
        <v/>
      </c>
      <c r="H806" s="20" t="str">
        <f aca="false">IF(AND(Eingabe!$F$12&gt;0,Eingabe!$E$12&gt;=192),"10."&amp;Eingabe!$D$12&amp;".192.10 – 10."&amp;Eingabe!$D$12&amp;".192.250","")</f>
        <v/>
      </c>
      <c r="I806" s="20" t="str">
        <f aca="false">IF(AND(Eingabe!$F$12&gt;0,Eingabe!$E$12&gt;=192),Eingabe!$B$6&amp;"-"&amp;Eingabe!$C$12&amp;"-Pächter","")</f>
        <v/>
      </c>
      <c r="J806" s="20" t="str">
        <f aca="false">IF(AND(Eingabe!$F$12&gt;0,Eingabe!$E$12&gt;=192),"PPSK: Passwort Parzelle 192","")</f>
        <v/>
      </c>
      <c r="K806" s="20" t="str">
        <f aca="false">IF(AND(Eingabe!$F$12&gt;0,Eingabe!$E$12&gt;=192),"1. Gerät: 10."&amp;Eingabe!$D$12&amp;".192.10, 2. Gerät: .11","")</f>
        <v/>
      </c>
    </row>
    <row r="807" customFormat="false" ht="15" hidden="false" customHeight="false" outlineLevel="0" collapsed="false">
      <c r="A807" s="20" t="str">
        <f aca="false">IF(AND(Eingabe!$F$12&gt;0,Eingabe!$E$12&gt;=193),4,"")</f>
        <v/>
      </c>
      <c r="B807" s="20" t="str">
        <f aca="false">IF(AND(Eingabe!$F$12&gt;0,Eingabe!$E$12&gt;=193),Eingabe!$B$12,"")</f>
        <v/>
      </c>
      <c r="C807" s="20" t="str">
        <f aca="false">IF(AND(Eingabe!$F$12&gt;0,Eingabe!$E$12&gt;=193),Eingabe!$C$12&amp;"-Paz."&amp;TEXT(193,"000"),"")</f>
        <v/>
      </c>
      <c r="D807" s="20" t="str">
        <f aca="false">IF(AND(Eingabe!$F$12&gt;0,Eingabe!$E$12&gt;=193),193,"")</f>
        <v/>
      </c>
      <c r="E807" s="20" t="str">
        <f aca="false">IF(AND(Eingabe!$F$12&gt;0,Eingabe!$E$12&gt;=193),IF((Eingabe!$G$12+1)&lt;=9,1000+(Eingabe!$G$12+1)*100,3000)+93,"")</f>
        <v/>
      </c>
      <c r="F807" s="20" t="str">
        <f aca="false">IF(AND(Eingabe!$F$12&gt;0,Eingabe!$E$12&gt;=193),"10."&amp;Eingabe!$D$12&amp;".193.0/24","")</f>
        <v/>
      </c>
      <c r="G807" s="20" t="str">
        <f aca="false">IF(AND(Eingabe!$F$12&gt;0,Eingabe!$E$12&gt;=193),"10."&amp;Eingabe!$D$12&amp;".193.1","")</f>
        <v/>
      </c>
      <c r="H807" s="20" t="str">
        <f aca="false">IF(AND(Eingabe!$F$12&gt;0,Eingabe!$E$12&gt;=193),"10."&amp;Eingabe!$D$12&amp;".193.10 – 10."&amp;Eingabe!$D$12&amp;".193.250","")</f>
        <v/>
      </c>
      <c r="I807" s="20" t="str">
        <f aca="false">IF(AND(Eingabe!$F$12&gt;0,Eingabe!$E$12&gt;=193),Eingabe!$B$6&amp;"-"&amp;Eingabe!$C$12&amp;"-Pächter","")</f>
        <v/>
      </c>
      <c r="J807" s="20" t="str">
        <f aca="false">IF(AND(Eingabe!$F$12&gt;0,Eingabe!$E$12&gt;=193),"PPSK: Passwort Parzelle 193","")</f>
        <v/>
      </c>
      <c r="K807" s="20" t="str">
        <f aca="false">IF(AND(Eingabe!$F$12&gt;0,Eingabe!$E$12&gt;=193),"1. Gerät: 10."&amp;Eingabe!$D$12&amp;".193.10, 2. Gerät: .11","")</f>
        <v/>
      </c>
    </row>
    <row r="808" customFormat="false" ht="15" hidden="false" customHeight="false" outlineLevel="0" collapsed="false">
      <c r="A808" s="20" t="str">
        <f aca="false">IF(AND(Eingabe!$F$12&gt;0,Eingabe!$E$12&gt;=194),4,"")</f>
        <v/>
      </c>
      <c r="B808" s="20" t="str">
        <f aca="false">IF(AND(Eingabe!$F$12&gt;0,Eingabe!$E$12&gt;=194),Eingabe!$B$12,"")</f>
        <v/>
      </c>
      <c r="C808" s="20" t="str">
        <f aca="false">IF(AND(Eingabe!$F$12&gt;0,Eingabe!$E$12&gt;=194),Eingabe!$C$12&amp;"-Paz."&amp;TEXT(194,"000"),"")</f>
        <v/>
      </c>
      <c r="D808" s="20" t="str">
        <f aca="false">IF(AND(Eingabe!$F$12&gt;0,Eingabe!$E$12&gt;=194),194,"")</f>
        <v/>
      </c>
      <c r="E808" s="20" t="str">
        <f aca="false">IF(AND(Eingabe!$F$12&gt;0,Eingabe!$E$12&gt;=194),IF((Eingabe!$G$12+1)&lt;=9,1000+(Eingabe!$G$12+1)*100,3000)+94,"")</f>
        <v/>
      </c>
      <c r="F808" s="20" t="str">
        <f aca="false">IF(AND(Eingabe!$F$12&gt;0,Eingabe!$E$12&gt;=194),"10."&amp;Eingabe!$D$12&amp;".194.0/24","")</f>
        <v/>
      </c>
      <c r="G808" s="20" t="str">
        <f aca="false">IF(AND(Eingabe!$F$12&gt;0,Eingabe!$E$12&gt;=194),"10."&amp;Eingabe!$D$12&amp;".194.1","")</f>
        <v/>
      </c>
      <c r="H808" s="20" t="str">
        <f aca="false">IF(AND(Eingabe!$F$12&gt;0,Eingabe!$E$12&gt;=194),"10."&amp;Eingabe!$D$12&amp;".194.10 – 10."&amp;Eingabe!$D$12&amp;".194.250","")</f>
        <v/>
      </c>
      <c r="I808" s="20" t="str">
        <f aca="false">IF(AND(Eingabe!$F$12&gt;0,Eingabe!$E$12&gt;=194),Eingabe!$B$6&amp;"-"&amp;Eingabe!$C$12&amp;"-Pächter","")</f>
        <v/>
      </c>
      <c r="J808" s="20" t="str">
        <f aca="false">IF(AND(Eingabe!$F$12&gt;0,Eingabe!$E$12&gt;=194),"PPSK: Passwort Parzelle 194","")</f>
        <v/>
      </c>
      <c r="K808" s="20" t="str">
        <f aca="false">IF(AND(Eingabe!$F$12&gt;0,Eingabe!$E$12&gt;=194),"1. Gerät: 10."&amp;Eingabe!$D$12&amp;".194.10, 2. Gerät: .11","")</f>
        <v/>
      </c>
    </row>
    <row r="809" customFormat="false" ht="15" hidden="false" customHeight="false" outlineLevel="0" collapsed="false">
      <c r="A809" s="20" t="str">
        <f aca="false">IF(AND(Eingabe!$F$12&gt;0,Eingabe!$E$12&gt;=195),4,"")</f>
        <v/>
      </c>
      <c r="B809" s="20" t="str">
        <f aca="false">IF(AND(Eingabe!$F$12&gt;0,Eingabe!$E$12&gt;=195),Eingabe!$B$12,"")</f>
        <v/>
      </c>
      <c r="C809" s="20" t="str">
        <f aca="false">IF(AND(Eingabe!$F$12&gt;0,Eingabe!$E$12&gt;=195),Eingabe!$C$12&amp;"-Paz."&amp;TEXT(195,"000"),"")</f>
        <v/>
      </c>
      <c r="D809" s="20" t="str">
        <f aca="false">IF(AND(Eingabe!$F$12&gt;0,Eingabe!$E$12&gt;=195),195,"")</f>
        <v/>
      </c>
      <c r="E809" s="20" t="str">
        <f aca="false">IF(AND(Eingabe!$F$12&gt;0,Eingabe!$E$12&gt;=195),IF((Eingabe!$G$12+1)&lt;=9,1000+(Eingabe!$G$12+1)*100,3000)+95,"")</f>
        <v/>
      </c>
      <c r="F809" s="20" t="str">
        <f aca="false">IF(AND(Eingabe!$F$12&gt;0,Eingabe!$E$12&gt;=195),"10."&amp;Eingabe!$D$12&amp;".195.0/24","")</f>
        <v/>
      </c>
      <c r="G809" s="20" t="str">
        <f aca="false">IF(AND(Eingabe!$F$12&gt;0,Eingabe!$E$12&gt;=195),"10."&amp;Eingabe!$D$12&amp;".195.1","")</f>
        <v/>
      </c>
      <c r="H809" s="20" t="str">
        <f aca="false">IF(AND(Eingabe!$F$12&gt;0,Eingabe!$E$12&gt;=195),"10."&amp;Eingabe!$D$12&amp;".195.10 – 10."&amp;Eingabe!$D$12&amp;".195.250","")</f>
        <v/>
      </c>
      <c r="I809" s="20" t="str">
        <f aca="false">IF(AND(Eingabe!$F$12&gt;0,Eingabe!$E$12&gt;=195),Eingabe!$B$6&amp;"-"&amp;Eingabe!$C$12&amp;"-Pächter","")</f>
        <v/>
      </c>
      <c r="J809" s="20" t="str">
        <f aca="false">IF(AND(Eingabe!$F$12&gt;0,Eingabe!$E$12&gt;=195),"PPSK: Passwort Parzelle 195","")</f>
        <v/>
      </c>
      <c r="K809" s="20" t="str">
        <f aca="false">IF(AND(Eingabe!$F$12&gt;0,Eingabe!$E$12&gt;=195),"1. Gerät: 10."&amp;Eingabe!$D$12&amp;".195.10, 2. Gerät: .11","")</f>
        <v/>
      </c>
    </row>
    <row r="810" customFormat="false" ht="15" hidden="false" customHeight="false" outlineLevel="0" collapsed="false">
      <c r="A810" s="20" t="str">
        <f aca="false">IF(AND(Eingabe!$F$12&gt;0,Eingabe!$E$12&gt;=196),4,"")</f>
        <v/>
      </c>
      <c r="B810" s="20" t="str">
        <f aca="false">IF(AND(Eingabe!$F$12&gt;0,Eingabe!$E$12&gt;=196),Eingabe!$B$12,"")</f>
        <v/>
      </c>
      <c r="C810" s="20" t="str">
        <f aca="false">IF(AND(Eingabe!$F$12&gt;0,Eingabe!$E$12&gt;=196),Eingabe!$C$12&amp;"-Paz."&amp;TEXT(196,"000"),"")</f>
        <v/>
      </c>
      <c r="D810" s="20" t="str">
        <f aca="false">IF(AND(Eingabe!$F$12&gt;0,Eingabe!$E$12&gt;=196),196,"")</f>
        <v/>
      </c>
      <c r="E810" s="20" t="str">
        <f aca="false">IF(AND(Eingabe!$F$12&gt;0,Eingabe!$E$12&gt;=196),IF((Eingabe!$G$12+1)&lt;=9,1000+(Eingabe!$G$12+1)*100,3000)+96,"")</f>
        <v/>
      </c>
      <c r="F810" s="20" t="str">
        <f aca="false">IF(AND(Eingabe!$F$12&gt;0,Eingabe!$E$12&gt;=196),"10."&amp;Eingabe!$D$12&amp;".196.0/24","")</f>
        <v/>
      </c>
      <c r="G810" s="20" t="str">
        <f aca="false">IF(AND(Eingabe!$F$12&gt;0,Eingabe!$E$12&gt;=196),"10."&amp;Eingabe!$D$12&amp;".196.1","")</f>
        <v/>
      </c>
      <c r="H810" s="20" t="str">
        <f aca="false">IF(AND(Eingabe!$F$12&gt;0,Eingabe!$E$12&gt;=196),"10."&amp;Eingabe!$D$12&amp;".196.10 – 10."&amp;Eingabe!$D$12&amp;".196.250","")</f>
        <v/>
      </c>
      <c r="I810" s="20" t="str">
        <f aca="false">IF(AND(Eingabe!$F$12&gt;0,Eingabe!$E$12&gt;=196),Eingabe!$B$6&amp;"-"&amp;Eingabe!$C$12&amp;"-Pächter","")</f>
        <v/>
      </c>
      <c r="J810" s="20" t="str">
        <f aca="false">IF(AND(Eingabe!$F$12&gt;0,Eingabe!$E$12&gt;=196),"PPSK: Passwort Parzelle 196","")</f>
        <v/>
      </c>
      <c r="K810" s="20" t="str">
        <f aca="false">IF(AND(Eingabe!$F$12&gt;0,Eingabe!$E$12&gt;=196),"1. Gerät: 10."&amp;Eingabe!$D$12&amp;".196.10, 2. Gerät: .11","")</f>
        <v/>
      </c>
    </row>
    <row r="811" customFormat="false" ht="15" hidden="false" customHeight="false" outlineLevel="0" collapsed="false">
      <c r="A811" s="20" t="str">
        <f aca="false">IF(AND(Eingabe!$F$12&gt;0,Eingabe!$E$12&gt;=197),4,"")</f>
        <v/>
      </c>
      <c r="B811" s="20" t="str">
        <f aca="false">IF(AND(Eingabe!$F$12&gt;0,Eingabe!$E$12&gt;=197),Eingabe!$B$12,"")</f>
        <v/>
      </c>
      <c r="C811" s="20" t="str">
        <f aca="false">IF(AND(Eingabe!$F$12&gt;0,Eingabe!$E$12&gt;=197),Eingabe!$C$12&amp;"-Paz."&amp;TEXT(197,"000"),"")</f>
        <v/>
      </c>
      <c r="D811" s="20" t="str">
        <f aca="false">IF(AND(Eingabe!$F$12&gt;0,Eingabe!$E$12&gt;=197),197,"")</f>
        <v/>
      </c>
      <c r="E811" s="20" t="str">
        <f aca="false">IF(AND(Eingabe!$F$12&gt;0,Eingabe!$E$12&gt;=197),IF((Eingabe!$G$12+1)&lt;=9,1000+(Eingabe!$G$12+1)*100,3000)+97,"")</f>
        <v/>
      </c>
      <c r="F811" s="20" t="str">
        <f aca="false">IF(AND(Eingabe!$F$12&gt;0,Eingabe!$E$12&gt;=197),"10."&amp;Eingabe!$D$12&amp;".197.0/24","")</f>
        <v/>
      </c>
      <c r="G811" s="20" t="str">
        <f aca="false">IF(AND(Eingabe!$F$12&gt;0,Eingabe!$E$12&gt;=197),"10."&amp;Eingabe!$D$12&amp;".197.1","")</f>
        <v/>
      </c>
      <c r="H811" s="20" t="str">
        <f aca="false">IF(AND(Eingabe!$F$12&gt;0,Eingabe!$E$12&gt;=197),"10."&amp;Eingabe!$D$12&amp;".197.10 – 10."&amp;Eingabe!$D$12&amp;".197.250","")</f>
        <v/>
      </c>
      <c r="I811" s="20" t="str">
        <f aca="false">IF(AND(Eingabe!$F$12&gt;0,Eingabe!$E$12&gt;=197),Eingabe!$B$6&amp;"-"&amp;Eingabe!$C$12&amp;"-Pächter","")</f>
        <v/>
      </c>
      <c r="J811" s="20" t="str">
        <f aca="false">IF(AND(Eingabe!$F$12&gt;0,Eingabe!$E$12&gt;=197),"PPSK: Passwort Parzelle 197","")</f>
        <v/>
      </c>
      <c r="K811" s="20" t="str">
        <f aca="false">IF(AND(Eingabe!$F$12&gt;0,Eingabe!$E$12&gt;=197),"1. Gerät: 10."&amp;Eingabe!$D$12&amp;".197.10, 2. Gerät: .11","")</f>
        <v/>
      </c>
    </row>
    <row r="812" customFormat="false" ht="15" hidden="false" customHeight="false" outlineLevel="0" collapsed="false">
      <c r="A812" s="20" t="str">
        <f aca="false">IF(AND(Eingabe!$F$12&gt;0,Eingabe!$E$12&gt;=198),4,"")</f>
        <v/>
      </c>
      <c r="B812" s="20" t="str">
        <f aca="false">IF(AND(Eingabe!$F$12&gt;0,Eingabe!$E$12&gt;=198),Eingabe!$B$12,"")</f>
        <v/>
      </c>
      <c r="C812" s="20" t="str">
        <f aca="false">IF(AND(Eingabe!$F$12&gt;0,Eingabe!$E$12&gt;=198),Eingabe!$C$12&amp;"-Paz."&amp;TEXT(198,"000"),"")</f>
        <v/>
      </c>
      <c r="D812" s="20" t="str">
        <f aca="false">IF(AND(Eingabe!$F$12&gt;0,Eingabe!$E$12&gt;=198),198,"")</f>
        <v/>
      </c>
      <c r="E812" s="20" t="str">
        <f aca="false">IF(AND(Eingabe!$F$12&gt;0,Eingabe!$E$12&gt;=198),IF((Eingabe!$G$12+1)&lt;=9,1000+(Eingabe!$G$12+1)*100,3000)+98,"")</f>
        <v/>
      </c>
      <c r="F812" s="20" t="str">
        <f aca="false">IF(AND(Eingabe!$F$12&gt;0,Eingabe!$E$12&gt;=198),"10."&amp;Eingabe!$D$12&amp;".198.0/24","")</f>
        <v/>
      </c>
      <c r="G812" s="20" t="str">
        <f aca="false">IF(AND(Eingabe!$F$12&gt;0,Eingabe!$E$12&gt;=198),"10."&amp;Eingabe!$D$12&amp;".198.1","")</f>
        <v/>
      </c>
      <c r="H812" s="20" t="str">
        <f aca="false">IF(AND(Eingabe!$F$12&gt;0,Eingabe!$E$12&gt;=198),"10."&amp;Eingabe!$D$12&amp;".198.10 – 10."&amp;Eingabe!$D$12&amp;".198.250","")</f>
        <v/>
      </c>
      <c r="I812" s="20" t="str">
        <f aca="false">IF(AND(Eingabe!$F$12&gt;0,Eingabe!$E$12&gt;=198),Eingabe!$B$6&amp;"-"&amp;Eingabe!$C$12&amp;"-Pächter","")</f>
        <v/>
      </c>
      <c r="J812" s="20" t="str">
        <f aca="false">IF(AND(Eingabe!$F$12&gt;0,Eingabe!$E$12&gt;=198),"PPSK: Passwort Parzelle 198","")</f>
        <v/>
      </c>
      <c r="K812" s="20" t="str">
        <f aca="false">IF(AND(Eingabe!$F$12&gt;0,Eingabe!$E$12&gt;=198),"1. Gerät: 10."&amp;Eingabe!$D$12&amp;".198.10, 2. Gerät: .11","")</f>
        <v/>
      </c>
    </row>
    <row r="813" customFormat="false" ht="15" hidden="false" customHeight="false" outlineLevel="0" collapsed="false">
      <c r="A813" s="20" t="str">
        <f aca="false">IF(AND(Eingabe!$F$12&gt;0,Eingabe!$E$12&gt;=199),4,"")</f>
        <v/>
      </c>
      <c r="B813" s="20" t="str">
        <f aca="false">IF(AND(Eingabe!$F$12&gt;0,Eingabe!$E$12&gt;=199),Eingabe!$B$12,"")</f>
        <v/>
      </c>
      <c r="C813" s="20" t="str">
        <f aca="false">IF(AND(Eingabe!$F$12&gt;0,Eingabe!$E$12&gt;=199),Eingabe!$C$12&amp;"-Paz."&amp;TEXT(199,"000"),"")</f>
        <v/>
      </c>
      <c r="D813" s="20" t="str">
        <f aca="false">IF(AND(Eingabe!$F$12&gt;0,Eingabe!$E$12&gt;=199),199,"")</f>
        <v/>
      </c>
      <c r="E813" s="20" t="str">
        <f aca="false">IF(AND(Eingabe!$F$12&gt;0,Eingabe!$E$12&gt;=199),IF((Eingabe!$G$12+1)&lt;=9,1000+(Eingabe!$G$12+1)*100,3000)+99,"")</f>
        <v/>
      </c>
      <c r="F813" s="20" t="str">
        <f aca="false">IF(AND(Eingabe!$F$12&gt;0,Eingabe!$E$12&gt;=199),"10."&amp;Eingabe!$D$12&amp;".199.0/24","")</f>
        <v/>
      </c>
      <c r="G813" s="20" t="str">
        <f aca="false">IF(AND(Eingabe!$F$12&gt;0,Eingabe!$E$12&gt;=199),"10."&amp;Eingabe!$D$12&amp;".199.1","")</f>
        <v/>
      </c>
      <c r="H813" s="20" t="str">
        <f aca="false">IF(AND(Eingabe!$F$12&gt;0,Eingabe!$E$12&gt;=199),"10."&amp;Eingabe!$D$12&amp;".199.10 – 10."&amp;Eingabe!$D$12&amp;".199.250","")</f>
        <v/>
      </c>
      <c r="I813" s="20" t="str">
        <f aca="false">IF(AND(Eingabe!$F$12&gt;0,Eingabe!$E$12&gt;=199),Eingabe!$B$6&amp;"-"&amp;Eingabe!$C$12&amp;"-Pächter","")</f>
        <v/>
      </c>
      <c r="J813" s="20" t="str">
        <f aca="false">IF(AND(Eingabe!$F$12&gt;0,Eingabe!$E$12&gt;=199),"PPSK: Passwort Parzelle 199","")</f>
        <v/>
      </c>
      <c r="K813" s="20" t="str">
        <f aca="false">IF(AND(Eingabe!$F$12&gt;0,Eingabe!$E$12&gt;=199),"1. Gerät: 10."&amp;Eingabe!$D$12&amp;".199.10, 2. Gerät: .11","")</f>
        <v/>
      </c>
    </row>
    <row r="814" customFormat="false" ht="15" hidden="false" customHeight="false" outlineLevel="0" collapsed="false">
      <c r="A814" s="21" t="str">
        <f aca="false">IF(Eingabe!$F$13&gt;0,5,"")</f>
        <v/>
      </c>
      <c r="B814" s="21" t="str">
        <f aca="false">IF(Eingabe!$F$13&gt;0,Eingabe!$B$13,"")</f>
        <v/>
      </c>
      <c r="C814" s="21" t="str">
        <f aca="false">IF(Eingabe!$F$13&gt;0,Eingabe!$C$13&amp;"-Vorstand","")</f>
        <v/>
      </c>
      <c r="D814" s="21"/>
      <c r="E814" s="21" t="str">
        <f aca="false">IF(Eingabe!$F$13&gt;0,2000+Eingabe!$G$13*10+1,"")</f>
        <v/>
      </c>
      <c r="F814" s="21" t="str">
        <f aca="false">IF(Eingabe!$F$13&gt;0,"10."&amp;Eingabe!$D$13&amp;".200.0/24","")</f>
        <v/>
      </c>
      <c r="G814" s="21" t="str">
        <f aca="false">IF(Eingabe!$F$13&gt;0,"10."&amp;Eingabe!$D$13&amp;".200.1","")</f>
        <v/>
      </c>
      <c r="H814" s="21" t="str">
        <f aca="false">IF(Eingabe!$F$13&gt;0,"10."&amp;Eingabe!$D$13&amp;".200.10 – "&amp;"10."&amp;Eingabe!$D$13&amp;".200.250","")</f>
        <v/>
      </c>
      <c r="I814" s="21" t="str">
        <f aca="false">IF(Eingabe!$F$13&gt;0,Eingabe!$B$6&amp;"-"&amp;Eingabe!$C$13&amp;"-Vorstand","")</f>
        <v/>
      </c>
      <c r="J814" s="21" t="str">
        <f aca="false">IF(Eingabe!$F$13&gt;0,"eigenes WLAN Vorstand","")</f>
        <v/>
      </c>
      <c r="K814" s="21" t="str">
        <f aca="false">IF(Eingabe!$F$13&gt;0,"Vorstand-Laptop: "&amp;"10."&amp;Eingabe!$D$13&amp;".200.10","")</f>
        <v/>
      </c>
    </row>
    <row r="815" customFormat="false" ht="15" hidden="false" customHeight="false" outlineLevel="0" collapsed="false">
      <c r="A815" s="21" t="str">
        <f aca="false">IF(Eingabe!$F$13&gt;0,5,"")</f>
        <v/>
      </c>
      <c r="B815" s="21" t="str">
        <f aca="false">IF(Eingabe!$F$13&gt;0,Eingabe!$B$13,"")</f>
        <v/>
      </c>
      <c r="C815" s="21" t="str">
        <f aca="false">IF(Eingabe!$F$13&gt;0,Eingabe!$C$13&amp;"-Gäste","")</f>
        <v/>
      </c>
      <c r="D815" s="21"/>
      <c r="E815" s="21" t="str">
        <f aca="false">IF(Eingabe!$F$13&gt;0,2000+Eingabe!$G$13*10+2,"")</f>
        <v/>
      </c>
      <c r="F815" s="21" t="str">
        <f aca="false">IF(Eingabe!$F$13&gt;0,"10."&amp;Eingabe!$D$13&amp;".201.0/24","")</f>
        <v/>
      </c>
      <c r="G815" s="21" t="str">
        <f aca="false">IF(Eingabe!$F$13&gt;0,"10."&amp;Eingabe!$D$13&amp;".201.1","")</f>
        <v/>
      </c>
      <c r="H815" s="21" t="str">
        <f aca="false">IF(Eingabe!$F$13&gt;0,"10."&amp;Eingabe!$D$13&amp;".201.10 – "&amp;"10."&amp;Eingabe!$D$13&amp;".201.250","")</f>
        <v/>
      </c>
      <c r="I815" s="21" t="str">
        <f aca="false">IF(Eingabe!$F$13&gt;0,Eingabe!$B$6&amp;"-"&amp;Eingabe!$C$13&amp;"-Gäste","")</f>
        <v/>
      </c>
      <c r="J815" s="21" t="str">
        <f aca="false">IF(Eingabe!$F$13&gt;0,"Voucher-Portal, isoliert","")</f>
        <v/>
      </c>
      <c r="K815" s="21" t="str">
        <f aca="false">IF(Eingabe!$F$13&gt;0,"Gast-Handy: "&amp;"10."&amp;Eingabe!$D$13&amp;".201.10","")</f>
        <v/>
      </c>
    </row>
    <row r="816" customFormat="false" ht="15" hidden="false" customHeight="false" outlineLevel="0" collapsed="false">
      <c r="A816" s="21" t="str">
        <f aca="false">IF(Eingabe!$F$13&gt;0,5,"")</f>
        <v/>
      </c>
      <c r="B816" s="21" t="str">
        <f aca="false">IF(Eingabe!$F$13&gt;0,Eingabe!$B$13,"")</f>
        <v/>
      </c>
      <c r="C816" s="21" t="str">
        <f aca="false">IF(Eingabe!$F$13&gt;0,Eingabe!$C$13&amp;"-Technik","")</f>
        <v/>
      </c>
      <c r="D816" s="21"/>
      <c r="E816" s="21" t="str">
        <f aca="false">IF(Eingabe!$F$13&gt;0,2000+Eingabe!$G$13*10+9,"")</f>
        <v/>
      </c>
      <c r="F816" s="21" t="str">
        <f aca="false">IF(Eingabe!$F$13&gt;0,"10."&amp;Eingabe!$D$13&amp;".250.0/24","")</f>
        <v/>
      </c>
      <c r="G816" s="21" t="str">
        <f aca="false">IF(Eingabe!$F$13&gt;0,"10."&amp;Eingabe!$D$13&amp;".250.1","")</f>
        <v/>
      </c>
      <c r="H816" s="21" t="str">
        <f aca="false">IF(Eingabe!$F$13&gt;0,"10."&amp;Eingabe!$D$13&amp;".250.10 – "&amp;"10."&amp;Eingabe!$D$13&amp;".250.250","")</f>
        <v/>
      </c>
      <c r="I816" s="21" t="str">
        <f aca="false">IF(Eingabe!$F$13&gt;0,"–","")</f>
        <v/>
      </c>
      <c r="J816" s="21" t="str">
        <f aca="false">IF(Eingabe!$F$13&gt;0,"Mast-Switches und Access Points","")</f>
        <v/>
      </c>
      <c r="K816" s="21" t="str">
        <f aca="false">IF(Eingabe!$F$13&gt;0,"Access Point 1: "&amp;"10."&amp;Eingabe!$D$13&amp;".250.51","")</f>
        <v/>
      </c>
    </row>
    <row r="817" customFormat="false" ht="15" hidden="false" customHeight="false" outlineLevel="0" collapsed="false">
      <c r="A817" s="21" t="str">
        <f aca="false">IF(AND(Eingabe!$F$13&gt;0,Eingabe!$E$13&gt;=1),5,"")</f>
        <v/>
      </c>
      <c r="B817" s="21" t="str">
        <f aca="false">IF(AND(Eingabe!$F$13&gt;0,Eingabe!$E$13&gt;=1),Eingabe!$B$13,"")</f>
        <v/>
      </c>
      <c r="C817" s="21" t="str">
        <f aca="false">IF(AND(Eingabe!$F$13&gt;0,Eingabe!$E$13&gt;=1),Eingabe!$C$13&amp;"-Paz."&amp;TEXT(1,"000"),"")</f>
        <v/>
      </c>
      <c r="D817" s="21" t="str">
        <f aca="false">IF(AND(Eingabe!$F$13&gt;0,Eingabe!$E$13&gt;=1),1,"")</f>
        <v/>
      </c>
      <c r="E817" s="21" t="str">
        <f aca="false">IF(AND(Eingabe!$F$13&gt;0,Eingabe!$E$13&gt;=1),IF((Eingabe!$G$13)&lt;=9,1000+(Eingabe!$G$13)*100,3000)+1,"")</f>
        <v/>
      </c>
      <c r="F817" s="21" t="str">
        <f aca="false">IF(AND(Eingabe!$F$13&gt;0,Eingabe!$E$13&gt;=1),"10."&amp;Eingabe!$D$13&amp;".1.0/24","")</f>
        <v/>
      </c>
      <c r="G817" s="21" t="str">
        <f aca="false">IF(AND(Eingabe!$F$13&gt;0,Eingabe!$E$13&gt;=1),"10."&amp;Eingabe!$D$13&amp;".1.1","")</f>
        <v/>
      </c>
      <c r="H817" s="21" t="str">
        <f aca="false">IF(AND(Eingabe!$F$13&gt;0,Eingabe!$E$13&gt;=1),"10."&amp;Eingabe!$D$13&amp;".1.10 – 10."&amp;Eingabe!$D$13&amp;".1.250","")</f>
        <v/>
      </c>
      <c r="I817" s="21" t="str">
        <f aca="false">IF(AND(Eingabe!$F$13&gt;0,Eingabe!$E$13&gt;=1),Eingabe!$B$6&amp;"-"&amp;Eingabe!$C$13&amp;"-Pächter","")</f>
        <v/>
      </c>
      <c r="J817" s="21" t="str">
        <f aca="false">IF(AND(Eingabe!$F$13&gt;0,Eingabe!$E$13&gt;=1),"PPSK: Passwort Parzelle 1","")</f>
        <v/>
      </c>
      <c r="K817" s="21" t="str">
        <f aca="false">IF(AND(Eingabe!$F$13&gt;0,Eingabe!$E$13&gt;=1),"1. Gerät: 10."&amp;Eingabe!$D$13&amp;".1.10, 2. Gerät: .11","")</f>
        <v/>
      </c>
    </row>
    <row r="818" customFormat="false" ht="15" hidden="false" customHeight="false" outlineLevel="0" collapsed="false">
      <c r="A818" s="21" t="str">
        <f aca="false">IF(AND(Eingabe!$F$13&gt;0,Eingabe!$E$13&gt;=2),5,"")</f>
        <v/>
      </c>
      <c r="B818" s="21" t="str">
        <f aca="false">IF(AND(Eingabe!$F$13&gt;0,Eingabe!$E$13&gt;=2),Eingabe!$B$13,"")</f>
        <v/>
      </c>
      <c r="C818" s="21" t="str">
        <f aca="false">IF(AND(Eingabe!$F$13&gt;0,Eingabe!$E$13&gt;=2),Eingabe!$C$13&amp;"-Paz."&amp;TEXT(2,"000"),"")</f>
        <v/>
      </c>
      <c r="D818" s="21" t="str">
        <f aca="false">IF(AND(Eingabe!$F$13&gt;0,Eingabe!$E$13&gt;=2),2,"")</f>
        <v/>
      </c>
      <c r="E818" s="21" t="str">
        <f aca="false">IF(AND(Eingabe!$F$13&gt;0,Eingabe!$E$13&gt;=2),IF((Eingabe!$G$13)&lt;=9,1000+(Eingabe!$G$13)*100,3000)+2,"")</f>
        <v/>
      </c>
      <c r="F818" s="21" t="str">
        <f aca="false">IF(AND(Eingabe!$F$13&gt;0,Eingabe!$E$13&gt;=2),"10."&amp;Eingabe!$D$13&amp;".2.0/24","")</f>
        <v/>
      </c>
      <c r="G818" s="21" t="str">
        <f aca="false">IF(AND(Eingabe!$F$13&gt;0,Eingabe!$E$13&gt;=2),"10."&amp;Eingabe!$D$13&amp;".2.1","")</f>
        <v/>
      </c>
      <c r="H818" s="21" t="str">
        <f aca="false">IF(AND(Eingabe!$F$13&gt;0,Eingabe!$E$13&gt;=2),"10."&amp;Eingabe!$D$13&amp;".2.10 – 10."&amp;Eingabe!$D$13&amp;".2.250","")</f>
        <v/>
      </c>
      <c r="I818" s="21" t="str">
        <f aca="false">IF(AND(Eingabe!$F$13&gt;0,Eingabe!$E$13&gt;=2),Eingabe!$B$6&amp;"-"&amp;Eingabe!$C$13&amp;"-Pächter","")</f>
        <v/>
      </c>
      <c r="J818" s="21" t="str">
        <f aca="false">IF(AND(Eingabe!$F$13&gt;0,Eingabe!$E$13&gt;=2),"PPSK: Passwort Parzelle 2","")</f>
        <v/>
      </c>
      <c r="K818" s="21" t="str">
        <f aca="false">IF(AND(Eingabe!$F$13&gt;0,Eingabe!$E$13&gt;=2),"1. Gerät: 10."&amp;Eingabe!$D$13&amp;".2.10, 2. Gerät: .11","")</f>
        <v/>
      </c>
    </row>
    <row r="819" customFormat="false" ht="15" hidden="false" customHeight="false" outlineLevel="0" collapsed="false">
      <c r="A819" s="21" t="str">
        <f aca="false">IF(AND(Eingabe!$F$13&gt;0,Eingabe!$E$13&gt;=3),5,"")</f>
        <v/>
      </c>
      <c r="B819" s="21" t="str">
        <f aca="false">IF(AND(Eingabe!$F$13&gt;0,Eingabe!$E$13&gt;=3),Eingabe!$B$13,"")</f>
        <v/>
      </c>
      <c r="C819" s="21" t="str">
        <f aca="false">IF(AND(Eingabe!$F$13&gt;0,Eingabe!$E$13&gt;=3),Eingabe!$C$13&amp;"-Paz."&amp;TEXT(3,"000"),"")</f>
        <v/>
      </c>
      <c r="D819" s="21" t="str">
        <f aca="false">IF(AND(Eingabe!$F$13&gt;0,Eingabe!$E$13&gt;=3),3,"")</f>
        <v/>
      </c>
      <c r="E819" s="21" t="str">
        <f aca="false">IF(AND(Eingabe!$F$13&gt;0,Eingabe!$E$13&gt;=3),IF((Eingabe!$G$13)&lt;=9,1000+(Eingabe!$G$13)*100,3000)+3,"")</f>
        <v/>
      </c>
      <c r="F819" s="21" t="str">
        <f aca="false">IF(AND(Eingabe!$F$13&gt;0,Eingabe!$E$13&gt;=3),"10."&amp;Eingabe!$D$13&amp;".3.0/24","")</f>
        <v/>
      </c>
      <c r="G819" s="21" t="str">
        <f aca="false">IF(AND(Eingabe!$F$13&gt;0,Eingabe!$E$13&gt;=3),"10."&amp;Eingabe!$D$13&amp;".3.1","")</f>
        <v/>
      </c>
      <c r="H819" s="21" t="str">
        <f aca="false">IF(AND(Eingabe!$F$13&gt;0,Eingabe!$E$13&gt;=3),"10."&amp;Eingabe!$D$13&amp;".3.10 – 10."&amp;Eingabe!$D$13&amp;".3.250","")</f>
        <v/>
      </c>
      <c r="I819" s="21" t="str">
        <f aca="false">IF(AND(Eingabe!$F$13&gt;0,Eingabe!$E$13&gt;=3),Eingabe!$B$6&amp;"-"&amp;Eingabe!$C$13&amp;"-Pächter","")</f>
        <v/>
      </c>
      <c r="J819" s="21" t="str">
        <f aca="false">IF(AND(Eingabe!$F$13&gt;0,Eingabe!$E$13&gt;=3),"PPSK: Passwort Parzelle 3","")</f>
        <v/>
      </c>
      <c r="K819" s="21" t="str">
        <f aca="false">IF(AND(Eingabe!$F$13&gt;0,Eingabe!$E$13&gt;=3),"1. Gerät: 10."&amp;Eingabe!$D$13&amp;".3.10, 2. Gerät: .11","")</f>
        <v/>
      </c>
    </row>
    <row r="820" customFormat="false" ht="15" hidden="false" customHeight="false" outlineLevel="0" collapsed="false">
      <c r="A820" s="21" t="str">
        <f aca="false">IF(AND(Eingabe!$F$13&gt;0,Eingabe!$E$13&gt;=4),5,"")</f>
        <v/>
      </c>
      <c r="B820" s="21" t="str">
        <f aca="false">IF(AND(Eingabe!$F$13&gt;0,Eingabe!$E$13&gt;=4),Eingabe!$B$13,"")</f>
        <v/>
      </c>
      <c r="C820" s="21" t="str">
        <f aca="false">IF(AND(Eingabe!$F$13&gt;0,Eingabe!$E$13&gt;=4),Eingabe!$C$13&amp;"-Paz."&amp;TEXT(4,"000"),"")</f>
        <v/>
      </c>
      <c r="D820" s="21" t="str">
        <f aca="false">IF(AND(Eingabe!$F$13&gt;0,Eingabe!$E$13&gt;=4),4,"")</f>
        <v/>
      </c>
      <c r="E820" s="21" t="str">
        <f aca="false">IF(AND(Eingabe!$F$13&gt;0,Eingabe!$E$13&gt;=4),IF((Eingabe!$G$13)&lt;=9,1000+(Eingabe!$G$13)*100,3000)+4,"")</f>
        <v/>
      </c>
      <c r="F820" s="21" t="str">
        <f aca="false">IF(AND(Eingabe!$F$13&gt;0,Eingabe!$E$13&gt;=4),"10."&amp;Eingabe!$D$13&amp;".4.0/24","")</f>
        <v/>
      </c>
      <c r="G820" s="21" t="str">
        <f aca="false">IF(AND(Eingabe!$F$13&gt;0,Eingabe!$E$13&gt;=4),"10."&amp;Eingabe!$D$13&amp;".4.1","")</f>
        <v/>
      </c>
      <c r="H820" s="21" t="str">
        <f aca="false">IF(AND(Eingabe!$F$13&gt;0,Eingabe!$E$13&gt;=4),"10."&amp;Eingabe!$D$13&amp;".4.10 – 10."&amp;Eingabe!$D$13&amp;".4.250","")</f>
        <v/>
      </c>
      <c r="I820" s="21" t="str">
        <f aca="false">IF(AND(Eingabe!$F$13&gt;0,Eingabe!$E$13&gt;=4),Eingabe!$B$6&amp;"-"&amp;Eingabe!$C$13&amp;"-Pächter","")</f>
        <v/>
      </c>
      <c r="J820" s="21" t="str">
        <f aca="false">IF(AND(Eingabe!$F$13&gt;0,Eingabe!$E$13&gt;=4),"PPSK: Passwort Parzelle 4","")</f>
        <v/>
      </c>
      <c r="K820" s="21" t="str">
        <f aca="false">IF(AND(Eingabe!$F$13&gt;0,Eingabe!$E$13&gt;=4),"1. Gerät: 10."&amp;Eingabe!$D$13&amp;".4.10, 2. Gerät: .11","")</f>
        <v/>
      </c>
    </row>
    <row r="821" customFormat="false" ht="15" hidden="false" customHeight="false" outlineLevel="0" collapsed="false">
      <c r="A821" s="21" t="str">
        <f aca="false">IF(AND(Eingabe!$F$13&gt;0,Eingabe!$E$13&gt;=5),5,"")</f>
        <v/>
      </c>
      <c r="B821" s="21" t="str">
        <f aca="false">IF(AND(Eingabe!$F$13&gt;0,Eingabe!$E$13&gt;=5),Eingabe!$B$13,"")</f>
        <v/>
      </c>
      <c r="C821" s="21" t="str">
        <f aca="false">IF(AND(Eingabe!$F$13&gt;0,Eingabe!$E$13&gt;=5),Eingabe!$C$13&amp;"-Paz."&amp;TEXT(5,"000"),"")</f>
        <v/>
      </c>
      <c r="D821" s="21" t="str">
        <f aca="false">IF(AND(Eingabe!$F$13&gt;0,Eingabe!$E$13&gt;=5),5,"")</f>
        <v/>
      </c>
      <c r="E821" s="21" t="str">
        <f aca="false">IF(AND(Eingabe!$F$13&gt;0,Eingabe!$E$13&gt;=5),IF((Eingabe!$G$13)&lt;=9,1000+(Eingabe!$G$13)*100,3000)+5,"")</f>
        <v/>
      </c>
      <c r="F821" s="21" t="str">
        <f aca="false">IF(AND(Eingabe!$F$13&gt;0,Eingabe!$E$13&gt;=5),"10."&amp;Eingabe!$D$13&amp;".5.0/24","")</f>
        <v/>
      </c>
      <c r="G821" s="21" t="str">
        <f aca="false">IF(AND(Eingabe!$F$13&gt;0,Eingabe!$E$13&gt;=5),"10."&amp;Eingabe!$D$13&amp;".5.1","")</f>
        <v/>
      </c>
      <c r="H821" s="21" t="str">
        <f aca="false">IF(AND(Eingabe!$F$13&gt;0,Eingabe!$E$13&gt;=5),"10."&amp;Eingabe!$D$13&amp;".5.10 – 10."&amp;Eingabe!$D$13&amp;".5.250","")</f>
        <v/>
      </c>
      <c r="I821" s="21" t="str">
        <f aca="false">IF(AND(Eingabe!$F$13&gt;0,Eingabe!$E$13&gt;=5),Eingabe!$B$6&amp;"-"&amp;Eingabe!$C$13&amp;"-Pächter","")</f>
        <v/>
      </c>
      <c r="J821" s="21" t="str">
        <f aca="false">IF(AND(Eingabe!$F$13&gt;0,Eingabe!$E$13&gt;=5),"PPSK: Passwort Parzelle 5","")</f>
        <v/>
      </c>
      <c r="K821" s="21" t="str">
        <f aca="false">IF(AND(Eingabe!$F$13&gt;0,Eingabe!$E$13&gt;=5),"1. Gerät: 10."&amp;Eingabe!$D$13&amp;".5.10, 2. Gerät: .11","")</f>
        <v/>
      </c>
    </row>
    <row r="822" customFormat="false" ht="15" hidden="false" customHeight="false" outlineLevel="0" collapsed="false">
      <c r="A822" s="21" t="str">
        <f aca="false">IF(AND(Eingabe!$F$13&gt;0,Eingabe!$E$13&gt;=6),5,"")</f>
        <v/>
      </c>
      <c r="B822" s="21" t="str">
        <f aca="false">IF(AND(Eingabe!$F$13&gt;0,Eingabe!$E$13&gt;=6),Eingabe!$B$13,"")</f>
        <v/>
      </c>
      <c r="C822" s="21" t="str">
        <f aca="false">IF(AND(Eingabe!$F$13&gt;0,Eingabe!$E$13&gt;=6),Eingabe!$C$13&amp;"-Paz."&amp;TEXT(6,"000"),"")</f>
        <v/>
      </c>
      <c r="D822" s="21" t="str">
        <f aca="false">IF(AND(Eingabe!$F$13&gt;0,Eingabe!$E$13&gt;=6),6,"")</f>
        <v/>
      </c>
      <c r="E822" s="21" t="str">
        <f aca="false">IF(AND(Eingabe!$F$13&gt;0,Eingabe!$E$13&gt;=6),IF((Eingabe!$G$13)&lt;=9,1000+(Eingabe!$G$13)*100,3000)+6,"")</f>
        <v/>
      </c>
      <c r="F822" s="21" t="str">
        <f aca="false">IF(AND(Eingabe!$F$13&gt;0,Eingabe!$E$13&gt;=6),"10."&amp;Eingabe!$D$13&amp;".6.0/24","")</f>
        <v/>
      </c>
      <c r="G822" s="21" t="str">
        <f aca="false">IF(AND(Eingabe!$F$13&gt;0,Eingabe!$E$13&gt;=6),"10."&amp;Eingabe!$D$13&amp;".6.1","")</f>
        <v/>
      </c>
      <c r="H822" s="21" t="str">
        <f aca="false">IF(AND(Eingabe!$F$13&gt;0,Eingabe!$E$13&gt;=6),"10."&amp;Eingabe!$D$13&amp;".6.10 – 10."&amp;Eingabe!$D$13&amp;".6.250","")</f>
        <v/>
      </c>
      <c r="I822" s="21" t="str">
        <f aca="false">IF(AND(Eingabe!$F$13&gt;0,Eingabe!$E$13&gt;=6),Eingabe!$B$6&amp;"-"&amp;Eingabe!$C$13&amp;"-Pächter","")</f>
        <v/>
      </c>
      <c r="J822" s="21" t="str">
        <f aca="false">IF(AND(Eingabe!$F$13&gt;0,Eingabe!$E$13&gt;=6),"PPSK: Passwort Parzelle 6","")</f>
        <v/>
      </c>
      <c r="K822" s="21" t="str">
        <f aca="false">IF(AND(Eingabe!$F$13&gt;0,Eingabe!$E$13&gt;=6),"1. Gerät: 10."&amp;Eingabe!$D$13&amp;".6.10, 2. Gerät: .11","")</f>
        <v/>
      </c>
    </row>
    <row r="823" customFormat="false" ht="15" hidden="false" customHeight="false" outlineLevel="0" collapsed="false">
      <c r="A823" s="21" t="str">
        <f aca="false">IF(AND(Eingabe!$F$13&gt;0,Eingabe!$E$13&gt;=7),5,"")</f>
        <v/>
      </c>
      <c r="B823" s="21" t="str">
        <f aca="false">IF(AND(Eingabe!$F$13&gt;0,Eingabe!$E$13&gt;=7),Eingabe!$B$13,"")</f>
        <v/>
      </c>
      <c r="C823" s="21" t="str">
        <f aca="false">IF(AND(Eingabe!$F$13&gt;0,Eingabe!$E$13&gt;=7),Eingabe!$C$13&amp;"-Paz."&amp;TEXT(7,"000"),"")</f>
        <v/>
      </c>
      <c r="D823" s="21" t="str">
        <f aca="false">IF(AND(Eingabe!$F$13&gt;0,Eingabe!$E$13&gt;=7),7,"")</f>
        <v/>
      </c>
      <c r="E823" s="21" t="str">
        <f aca="false">IF(AND(Eingabe!$F$13&gt;0,Eingabe!$E$13&gt;=7),IF((Eingabe!$G$13)&lt;=9,1000+(Eingabe!$G$13)*100,3000)+7,"")</f>
        <v/>
      </c>
      <c r="F823" s="21" t="str">
        <f aca="false">IF(AND(Eingabe!$F$13&gt;0,Eingabe!$E$13&gt;=7),"10."&amp;Eingabe!$D$13&amp;".7.0/24","")</f>
        <v/>
      </c>
      <c r="G823" s="21" t="str">
        <f aca="false">IF(AND(Eingabe!$F$13&gt;0,Eingabe!$E$13&gt;=7),"10."&amp;Eingabe!$D$13&amp;".7.1","")</f>
        <v/>
      </c>
      <c r="H823" s="21" t="str">
        <f aca="false">IF(AND(Eingabe!$F$13&gt;0,Eingabe!$E$13&gt;=7),"10."&amp;Eingabe!$D$13&amp;".7.10 – 10."&amp;Eingabe!$D$13&amp;".7.250","")</f>
        <v/>
      </c>
      <c r="I823" s="21" t="str">
        <f aca="false">IF(AND(Eingabe!$F$13&gt;0,Eingabe!$E$13&gt;=7),Eingabe!$B$6&amp;"-"&amp;Eingabe!$C$13&amp;"-Pächter","")</f>
        <v/>
      </c>
      <c r="J823" s="21" t="str">
        <f aca="false">IF(AND(Eingabe!$F$13&gt;0,Eingabe!$E$13&gt;=7),"PPSK: Passwort Parzelle 7","")</f>
        <v/>
      </c>
      <c r="K823" s="21" t="str">
        <f aca="false">IF(AND(Eingabe!$F$13&gt;0,Eingabe!$E$13&gt;=7),"1. Gerät: 10."&amp;Eingabe!$D$13&amp;".7.10, 2. Gerät: .11","")</f>
        <v/>
      </c>
    </row>
    <row r="824" customFormat="false" ht="15" hidden="false" customHeight="false" outlineLevel="0" collapsed="false">
      <c r="A824" s="21" t="str">
        <f aca="false">IF(AND(Eingabe!$F$13&gt;0,Eingabe!$E$13&gt;=8),5,"")</f>
        <v/>
      </c>
      <c r="B824" s="21" t="str">
        <f aca="false">IF(AND(Eingabe!$F$13&gt;0,Eingabe!$E$13&gt;=8),Eingabe!$B$13,"")</f>
        <v/>
      </c>
      <c r="C824" s="21" t="str">
        <f aca="false">IF(AND(Eingabe!$F$13&gt;0,Eingabe!$E$13&gt;=8),Eingabe!$C$13&amp;"-Paz."&amp;TEXT(8,"000"),"")</f>
        <v/>
      </c>
      <c r="D824" s="21" t="str">
        <f aca="false">IF(AND(Eingabe!$F$13&gt;0,Eingabe!$E$13&gt;=8),8,"")</f>
        <v/>
      </c>
      <c r="E824" s="21" t="str">
        <f aca="false">IF(AND(Eingabe!$F$13&gt;0,Eingabe!$E$13&gt;=8),IF((Eingabe!$G$13)&lt;=9,1000+(Eingabe!$G$13)*100,3000)+8,"")</f>
        <v/>
      </c>
      <c r="F824" s="21" t="str">
        <f aca="false">IF(AND(Eingabe!$F$13&gt;0,Eingabe!$E$13&gt;=8),"10."&amp;Eingabe!$D$13&amp;".8.0/24","")</f>
        <v/>
      </c>
      <c r="G824" s="21" t="str">
        <f aca="false">IF(AND(Eingabe!$F$13&gt;0,Eingabe!$E$13&gt;=8),"10."&amp;Eingabe!$D$13&amp;".8.1","")</f>
        <v/>
      </c>
      <c r="H824" s="21" t="str">
        <f aca="false">IF(AND(Eingabe!$F$13&gt;0,Eingabe!$E$13&gt;=8),"10."&amp;Eingabe!$D$13&amp;".8.10 – 10."&amp;Eingabe!$D$13&amp;".8.250","")</f>
        <v/>
      </c>
      <c r="I824" s="21" t="str">
        <f aca="false">IF(AND(Eingabe!$F$13&gt;0,Eingabe!$E$13&gt;=8),Eingabe!$B$6&amp;"-"&amp;Eingabe!$C$13&amp;"-Pächter","")</f>
        <v/>
      </c>
      <c r="J824" s="21" t="str">
        <f aca="false">IF(AND(Eingabe!$F$13&gt;0,Eingabe!$E$13&gt;=8),"PPSK: Passwort Parzelle 8","")</f>
        <v/>
      </c>
      <c r="K824" s="21" t="str">
        <f aca="false">IF(AND(Eingabe!$F$13&gt;0,Eingabe!$E$13&gt;=8),"1. Gerät: 10."&amp;Eingabe!$D$13&amp;".8.10, 2. Gerät: .11","")</f>
        <v/>
      </c>
    </row>
    <row r="825" customFormat="false" ht="15" hidden="false" customHeight="false" outlineLevel="0" collapsed="false">
      <c r="A825" s="21" t="str">
        <f aca="false">IF(AND(Eingabe!$F$13&gt;0,Eingabe!$E$13&gt;=9),5,"")</f>
        <v/>
      </c>
      <c r="B825" s="21" t="str">
        <f aca="false">IF(AND(Eingabe!$F$13&gt;0,Eingabe!$E$13&gt;=9),Eingabe!$B$13,"")</f>
        <v/>
      </c>
      <c r="C825" s="21" t="str">
        <f aca="false">IF(AND(Eingabe!$F$13&gt;0,Eingabe!$E$13&gt;=9),Eingabe!$C$13&amp;"-Paz."&amp;TEXT(9,"000"),"")</f>
        <v/>
      </c>
      <c r="D825" s="21" t="str">
        <f aca="false">IF(AND(Eingabe!$F$13&gt;0,Eingabe!$E$13&gt;=9),9,"")</f>
        <v/>
      </c>
      <c r="E825" s="21" t="str">
        <f aca="false">IF(AND(Eingabe!$F$13&gt;0,Eingabe!$E$13&gt;=9),IF((Eingabe!$G$13)&lt;=9,1000+(Eingabe!$G$13)*100,3000)+9,"")</f>
        <v/>
      </c>
      <c r="F825" s="21" t="str">
        <f aca="false">IF(AND(Eingabe!$F$13&gt;0,Eingabe!$E$13&gt;=9),"10."&amp;Eingabe!$D$13&amp;".9.0/24","")</f>
        <v/>
      </c>
      <c r="G825" s="21" t="str">
        <f aca="false">IF(AND(Eingabe!$F$13&gt;0,Eingabe!$E$13&gt;=9),"10."&amp;Eingabe!$D$13&amp;".9.1","")</f>
        <v/>
      </c>
      <c r="H825" s="21" t="str">
        <f aca="false">IF(AND(Eingabe!$F$13&gt;0,Eingabe!$E$13&gt;=9),"10."&amp;Eingabe!$D$13&amp;".9.10 – 10."&amp;Eingabe!$D$13&amp;".9.250","")</f>
        <v/>
      </c>
      <c r="I825" s="21" t="str">
        <f aca="false">IF(AND(Eingabe!$F$13&gt;0,Eingabe!$E$13&gt;=9),Eingabe!$B$6&amp;"-"&amp;Eingabe!$C$13&amp;"-Pächter","")</f>
        <v/>
      </c>
      <c r="J825" s="21" t="str">
        <f aca="false">IF(AND(Eingabe!$F$13&gt;0,Eingabe!$E$13&gt;=9),"PPSK: Passwort Parzelle 9","")</f>
        <v/>
      </c>
      <c r="K825" s="21" t="str">
        <f aca="false">IF(AND(Eingabe!$F$13&gt;0,Eingabe!$E$13&gt;=9),"1. Gerät: 10."&amp;Eingabe!$D$13&amp;".9.10, 2. Gerät: .11","")</f>
        <v/>
      </c>
    </row>
    <row r="826" customFormat="false" ht="15" hidden="false" customHeight="false" outlineLevel="0" collapsed="false">
      <c r="A826" s="21" t="str">
        <f aca="false">IF(AND(Eingabe!$F$13&gt;0,Eingabe!$E$13&gt;=10),5,"")</f>
        <v/>
      </c>
      <c r="B826" s="21" t="str">
        <f aca="false">IF(AND(Eingabe!$F$13&gt;0,Eingabe!$E$13&gt;=10),Eingabe!$B$13,"")</f>
        <v/>
      </c>
      <c r="C826" s="21" t="str">
        <f aca="false">IF(AND(Eingabe!$F$13&gt;0,Eingabe!$E$13&gt;=10),Eingabe!$C$13&amp;"-Paz."&amp;TEXT(10,"000"),"")</f>
        <v/>
      </c>
      <c r="D826" s="21" t="str">
        <f aca="false">IF(AND(Eingabe!$F$13&gt;0,Eingabe!$E$13&gt;=10),10,"")</f>
        <v/>
      </c>
      <c r="E826" s="21" t="str">
        <f aca="false">IF(AND(Eingabe!$F$13&gt;0,Eingabe!$E$13&gt;=10),IF((Eingabe!$G$13)&lt;=9,1000+(Eingabe!$G$13)*100,3000)+10,"")</f>
        <v/>
      </c>
      <c r="F826" s="21" t="str">
        <f aca="false">IF(AND(Eingabe!$F$13&gt;0,Eingabe!$E$13&gt;=10),"10."&amp;Eingabe!$D$13&amp;".10.0/24","")</f>
        <v/>
      </c>
      <c r="G826" s="21" t="str">
        <f aca="false">IF(AND(Eingabe!$F$13&gt;0,Eingabe!$E$13&gt;=10),"10."&amp;Eingabe!$D$13&amp;".10.1","")</f>
        <v/>
      </c>
      <c r="H826" s="21" t="str">
        <f aca="false">IF(AND(Eingabe!$F$13&gt;0,Eingabe!$E$13&gt;=10),"10."&amp;Eingabe!$D$13&amp;".10.10 – 10."&amp;Eingabe!$D$13&amp;".10.250","")</f>
        <v/>
      </c>
      <c r="I826" s="21" t="str">
        <f aca="false">IF(AND(Eingabe!$F$13&gt;0,Eingabe!$E$13&gt;=10),Eingabe!$B$6&amp;"-"&amp;Eingabe!$C$13&amp;"-Pächter","")</f>
        <v/>
      </c>
      <c r="J826" s="21" t="str">
        <f aca="false">IF(AND(Eingabe!$F$13&gt;0,Eingabe!$E$13&gt;=10),"PPSK: Passwort Parzelle 10","")</f>
        <v/>
      </c>
      <c r="K826" s="21" t="str">
        <f aca="false">IF(AND(Eingabe!$F$13&gt;0,Eingabe!$E$13&gt;=10),"1. Gerät: 10."&amp;Eingabe!$D$13&amp;".10.10, 2. Gerät: .11","")</f>
        <v/>
      </c>
    </row>
    <row r="827" customFormat="false" ht="15" hidden="false" customHeight="false" outlineLevel="0" collapsed="false">
      <c r="A827" s="21" t="str">
        <f aca="false">IF(AND(Eingabe!$F$13&gt;0,Eingabe!$E$13&gt;=11),5,"")</f>
        <v/>
      </c>
      <c r="B827" s="21" t="str">
        <f aca="false">IF(AND(Eingabe!$F$13&gt;0,Eingabe!$E$13&gt;=11),Eingabe!$B$13,"")</f>
        <v/>
      </c>
      <c r="C827" s="21" t="str">
        <f aca="false">IF(AND(Eingabe!$F$13&gt;0,Eingabe!$E$13&gt;=11),Eingabe!$C$13&amp;"-Paz."&amp;TEXT(11,"000"),"")</f>
        <v/>
      </c>
      <c r="D827" s="21" t="str">
        <f aca="false">IF(AND(Eingabe!$F$13&gt;0,Eingabe!$E$13&gt;=11),11,"")</f>
        <v/>
      </c>
      <c r="E827" s="21" t="str">
        <f aca="false">IF(AND(Eingabe!$F$13&gt;0,Eingabe!$E$13&gt;=11),IF((Eingabe!$G$13)&lt;=9,1000+(Eingabe!$G$13)*100,3000)+11,"")</f>
        <v/>
      </c>
      <c r="F827" s="21" t="str">
        <f aca="false">IF(AND(Eingabe!$F$13&gt;0,Eingabe!$E$13&gt;=11),"10."&amp;Eingabe!$D$13&amp;".11.0/24","")</f>
        <v/>
      </c>
      <c r="G827" s="21" t="str">
        <f aca="false">IF(AND(Eingabe!$F$13&gt;0,Eingabe!$E$13&gt;=11),"10."&amp;Eingabe!$D$13&amp;".11.1","")</f>
        <v/>
      </c>
      <c r="H827" s="21" t="str">
        <f aca="false">IF(AND(Eingabe!$F$13&gt;0,Eingabe!$E$13&gt;=11),"10."&amp;Eingabe!$D$13&amp;".11.10 – 10."&amp;Eingabe!$D$13&amp;".11.250","")</f>
        <v/>
      </c>
      <c r="I827" s="21" t="str">
        <f aca="false">IF(AND(Eingabe!$F$13&gt;0,Eingabe!$E$13&gt;=11),Eingabe!$B$6&amp;"-"&amp;Eingabe!$C$13&amp;"-Pächter","")</f>
        <v/>
      </c>
      <c r="J827" s="21" t="str">
        <f aca="false">IF(AND(Eingabe!$F$13&gt;0,Eingabe!$E$13&gt;=11),"PPSK: Passwort Parzelle 11","")</f>
        <v/>
      </c>
      <c r="K827" s="21" t="str">
        <f aca="false">IF(AND(Eingabe!$F$13&gt;0,Eingabe!$E$13&gt;=11),"1. Gerät: 10."&amp;Eingabe!$D$13&amp;".11.10, 2. Gerät: .11","")</f>
        <v/>
      </c>
    </row>
    <row r="828" customFormat="false" ht="15" hidden="false" customHeight="false" outlineLevel="0" collapsed="false">
      <c r="A828" s="21" t="str">
        <f aca="false">IF(AND(Eingabe!$F$13&gt;0,Eingabe!$E$13&gt;=12),5,"")</f>
        <v/>
      </c>
      <c r="B828" s="21" t="str">
        <f aca="false">IF(AND(Eingabe!$F$13&gt;0,Eingabe!$E$13&gt;=12),Eingabe!$B$13,"")</f>
        <v/>
      </c>
      <c r="C828" s="21" t="str">
        <f aca="false">IF(AND(Eingabe!$F$13&gt;0,Eingabe!$E$13&gt;=12),Eingabe!$C$13&amp;"-Paz."&amp;TEXT(12,"000"),"")</f>
        <v/>
      </c>
      <c r="D828" s="21" t="str">
        <f aca="false">IF(AND(Eingabe!$F$13&gt;0,Eingabe!$E$13&gt;=12),12,"")</f>
        <v/>
      </c>
      <c r="E828" s="21" t="str">
        <f aca="false">IF(AND(Eingabe!$F$13&gt;0,Eingabe!$E$13&gt;=12),IF((Eingabe!$G$13)&lt;=9,1000+(Eingabe!$G$13)*100,3000)+12,"")</f>
        <v/>
      </c>
      <c r="F828" s="21" t="str">
        <f aca="false">IF(AND(Eingabe!$F$13&gt;0,Eingabe!$E$13&gt;=12),"10."&amp;Eingabe!$D$13&amp;".12.0/24","")</f>
        <v/>
      </c>
      <c r="G828" s="21" t="str">
        <f aca="false">IF(AND(Eingabe!$F$13&gt;0,Eingabe!$E$13&gt;=12),"10."&amp;Eingabe!$D$13&amp;".12.1","")</f>
        <v/>
      </c>
      <c r="H828" s="21" t="str">
        <f aca="false">IF(AND(Eingabe!$F$13&gt;0,Eingabe!$E$13&gt;=12),"10."&amp;Eingabe!$D$13&amp;".12.10 – 10."&amp;Eingabe!$D$13&amp;".12.250","")</f>
        <v/>
      </c>
      <c r="I828" s="21" t="str">
        <f aca="false">IF(AND(Eingabe!$F$13&gt;0,Eingabe!$E$13&gt;=12),Eingabe!$B$6&amp;"-"&amp;Eingabe!$C$13&amp;"-Pächter","")</f>
        <v/>
      </c>
      <c r="J828" s="21" t="str">
        <f aca="false">IF(AND(Eingabe!$F$13&gt;0,Eingabe!$E$13&gt;=12),"PPSK: Passwort Parzelle 12","")</f>
        <v/>
      </c>
      <c r="K828" s="21" t="str">
        <f aca="false">IF(AND(Eingabe!$F$13&gt;0,Eingabe!$E$13&gt;=12),"1. Gerät: 10."&amp;Eingabe!$D$13&amp;".12.10, 2. Gerät: .11","")</f>
        <v/>
      </c>
    </row>
    <row r="829" customFormat="false" ht="15" hidden="false" customHeight="false" outlineLevel="0" collapsed="false">
      <c r="A829" s="21" t="str">
        <f aca="false">IF(AND(Eingabe!$F$13&gt;0,Eingabe!$E$13&gt;=13),5,"")</f>
        <v/>
      </c>
      <c r="B829" s="21" t="str">
        <f aca="false">IF(AND(Eingabe!$F$13&gt;0,Eingabe!$E$13&gt;=13),Eingabe!$B$13,"")</f>
        <v/>
      </c>
      <c r="C829" s="21" t="str">
        <f aca="false">IF(AND(Eingabe!$F$13&gt;0,Eingabe!$E$13&gt;=13),Eingabe!$C$13&amp;"-Paz."&amp;TEXT(13,"000"),"")</f>
        <v/>
      </c>
      <c r="D829" s="21" t="str">
        <f aca="false">IF(AND(Eingabe!$F$13&gt;0,Eingabe!$E$13&gt;=13),13,"")</f>
        <v/>
      </c>
      <c r="E829" s="21" t="str">
        <f aca="false">IF(AND(Eingabe!$F$13&gt;0,Eingabe!$E$13&gt;=13),IF((Eingabe!$G$13)&lt;=9,1000+(Eingabe!$G$13)*100,3000)+13,"")</f>
        <v/>
      </c>
      <c r="F829" s="21" t="str">
        <f aca="false">IF(AND(Eingabe!$F$13&gt;0,Eingabe!$E$13&gt;=13),"10."&amp;Eingabe!$D$13&amp;".13.0/24","")</f>
        <v/>
      </c>
      <c r="G829" s="21" t="str">
        <f aca="false">IF(AND(Eingabe!$F$13&gt;0,Eingabe!$E$13&gt;=13),"10."&amp;Eingabe!$D$13&amp;".13.1","")</f>
        <v/>
      </c>
      <c r="H829" s="21" t="str">
        <f aca="false">IF(AND(Eingabe!$F$13&gt;0,Eingabe!$E$13&gt;=13),"10."&amp;Eingabe!$D$13&amp;".13.10 – 10."&amp;Eingabe!$D$13&amp;".13.250","")</f>
        <v/>
      </c>
      <c r="I829" s="21" t="str">
        <f aca="false">IF(AND(Eingabe!$F$13&gt;0,Eingabe!$E$13&gt;=13),Eingabe!$B$6&amp;"-"&amp;Eingabe!$C$13&amp;"-Pächter","")</f>
        <v/>
      </c>
      <c r="J829" s="21" t="str">
        <f aca="false">IF(AND(Eingabe!$F$13&gt;0,Eingabe!$E$13&gt;=13),"PPSK: Passwort Parzelle 13","")</f>
        <v/>
      </c>
      <c r="K829" s="21" t="str">
        <f aca="false">IF(AND(Eingabe!$F$13&gt;0,Eingabe!$E$13&gt;=13),"1. Gerät: 10."&amp;Eingabe!$D$13&amp;".13.10, 2. Gerät: .11","")</f>
        <v/>
      </c>
    </row>
    <row r="830" customFormat="false" ht="15" hidden="false" customHeight="false" outlineLevel="0" collapsed="false">
      <c r="A830" s="21" t="str">
        <f aca="false">IF(AND(Eingabe!$F$13&gt;0,Eingabe!$E$13&gt;=14),5,"")</f>
        <v/>
      </c>
      <c r="B830" s="21" t="str">
        <f aca="false">IF(AND(Eingabe!$F$13&gt;0,Eingabe!$E$13&gt;=14),Eingabe!$B$13,"")</f>
        <v/>
      </c>
      <c r="C830" s="21" t="str">
        <f aca="false">IF(AND(Eingabe!$F$13&gt;0,Eingabe!$E$13&gt;=14),Eingabe!$C$13&amp;"-Paz."&amp;TEXT(14,"000"),"")</f>
        <v/>
      </c>
      <c r="D830" s="21" t="str">
        <f aca="false">IF(AND(Eingabe!$F$13&gt;0,Eingabe!$E$13&gt;=14),14,"")</f>
        <v/>
      </c>
      <c r="E830" s="21" t="str">
        <f aca="false">IF(AND(Eingabe!$F$13&gt;0,Eingabe!$E$13&gt;=14),IF((Eingabe!$G$13)&lt;=9,1000+(Eingabe!$G$13)*100,3000)+14,"")</f>
        <v/>
      </c>
      <c r="F830" s="21" t="str">
        <f aca="false">IF(AND(Eingabe!$F$13&gt;0,Eingabe!$E$13&gt;=14),"10."&amp;Eingabe!$D$13&amp;".14.0/24","")</f>
        <v/>
      </c>
      <c r="G830" s="21" t="str">
        <f aca="false">IF(AND(Eingabe!$F$13&gt;0,Eingabe!$E$13&gt;=14),"10."&amp;Eingabe!$D$13&amp;".14.1","")</f>
        <v/>
      </c>
      <c r="H830" s="21" t="str">
        <f aca="false">IF(AND(Eingabe!$F$13&gt;0,Eingabe!$E$13&gt;=14),"10."&amp;Eingabe!$D$13&amp;".14.10 – 10."&amp;Eingabe!$D$13&amp;".14.250","")</f>
        <v/>
      </c>
      <c r="I830" s="21" t="str">
        <f aca="false">IF(AND(Eingabe!$F$13&gt;0,Eingabe!$E$13&gt;=14),Eingabe!$B$6&amp;"-"&amp;Eingabe!$C$13&amp;"-Pächter","")</f>
        <v/>
      </c>
      <c r="J830" s="21" t="str">
        <f aca="false">IF(AND(Eingabe!$F$13&gt;0,Eingabe!$E$13&gt;=14),"PPSK: Passwort Parzelle 14","")</f>
        <v/>
      </c>
      <c r="K830" s="21" t="str">
        <f aca="false">IF(AND(Eingabe!$F$13&gt;0,Eingabe!$E$13&gt;=14),"1. Gerät: 10."&amp;Eingabe!$D$13&amp;".14.10, 2. Gerät: .11","")</f>
        <v/>
      </c>
    </row>
    <row r="831" customFormat="false" ht="15" hidden="false" customHeight="false" outlineLevel="0" collapsed="false">
      <c r="A831" s="21" t="str">
        <f aca="false">IF(AND(Eingabe!$F$13&gt;0,Eingabe!$E$13&gt;=15),5,"")</f>
        <v/>
      </c>
      <c r="B831" s="21" t="str">
        <f aca="false">IF(AND(Eingabe!$F$13&gt;0,Eingabe!$E$13&gt;=15),Eingabe!$B$13,"")</f>
        <v/>
      </c>
      <c r="C831" s="21" t="str">
        <f aca="false">IF(AND(Eingabe!$F$13&gt;0,Eingabe!$E$13&gt;=15),Eingabe!$C$13&amp;"-Paz."&amp;TEXT(15,"000"),"")</f>
        <v/>
      </c>
      <c r="D831" s="21" t="str">
        <f aca="false">IF(AND(Eingabe!$F$13&gt;0,Eingabe!$E$13&gt;=15),15,"")</f>
        <v/>
      </c>
      <c r="E831" s="21" t="str">
        <f aca="false">IF(AND(Eingabe!$F$13&gt;0,Eingabe!$E$13&gt;=15),IF((Eingabe!$G$13)&lt;=9,1000+(Eingabe!$G$13)*100,3000)+15,"")</f>
        <v/>
      </c>
      <c r="F831" s="21" t="str">
        <f aca="false">IF(AND(Eingabe!$F$13&gt;0,Eingabe!$E$13&gt;=15),"10."&amp;Eingabe!$D$13&amp;".15.0/24","")</f>
        <v/>
      </c>
      <c r="G831" s="21" t="str">
        <f aca="false">IF(AND(Eingabe!$F$13&gt;0,Eingabe!$E$13&gt;=15),"10."&amp;Eingabe!$D$13&amp;".15.1","")</f>
        <v/>
      </c>
      <c r="H831" s="21" t="str">
        <f aca="false">IF(AND(Eingabe!$F$13&gt;0,Eingabe!$E$13&gt;=15),"10."&amp;Eingabe!$D$13&amp;".15.10 – 10."&amp;Eingabe!$D$13&amp;".15.250","")</f>
        <v/>
      </c>
      <c r="I831" s="21" t="str">
        <f aca="false">IF(AND(Eingabe!$F$13&gt;0,Eingabe!$E$13&gt;=15),Eingabe!$B$6&amp;"-"&amp;Eingabe!$C$13&amp;"-Pächter","")</f>
        <v/>
      </c>
      <c r="J831" s="21" t="str">
        <f aca="false">IF(AND(Eingabe!$F$13&gt;0,Eingabe!$E$13&gt;=15),"PPSK: Passwort Parzelle 15","")</f>
        <v/>
      </c>
      <c r="K831" s="21" t="str">
        <f aca="false">IF(AND(Eingabe!$F$13&gt;0,Eingabe!$E$13&gt;=15),"1. Gerät: 10."&amp;Eingabe!$D$13&amp;".15.10, 2. Gerät: .11","")</f>
        <v/>
      </c>
    </row>
    <row r="832" customFormat="false" ht="15" hidden="false" customHeight="false" outlineLevel="0" collapsed="false">
      <c r="A832" s="21" t="str">
        <f aca="false">IF(AND(Eingabe!$F$13&gt;0,Eingabe!$E$13&gt;=16),5,"")</f>
        <v/>
      </c>
      <c r="B832" s="21" t="str">
        <f aca="false">IF(AND(Eingabe!$F$13&gt;0,Eingabe!$E$13&gt;=16),Eingabe!$B$13,"")</f>
        <v/>
      </c>
      <c r="C832" s="21" t="str">
        <f aca="false">IF(AND(Eingabe!$F$13&gt;0,Eingabe!$E$13&gt;=16),Eingabe!$C$13&amp;"-Paz."&amp;TEXT(16,"000"),"")</f>
        <v/>
      </c>
      <c r="D832" s="21" t="str">
        <f aca="false">IF(AND(Eingabe!$F$13&gt;0,Eingabe!$E$13&gt;=16),16,"")</f>
        <v/>
      </c>
      <c r="E832" s="21" t="str">
        <f aca="false">IF(AND(Eingabe!$F$13&gt;0,Eingabe!$E$13&gt;=16),IF((Eingabe!$G$13)&lt;=9,1000+(Eingabe!$G$13)*100,3000)+16,"")</f>
        <v/>
      </c>
      <c r="F832" s="21" t="str">
        <f aca="false">IF(AND(Eingabe!$F$13&gt;0,Eingabe!$E$13&gt;=16),"10."&amp;Eingabe!$D$13&amp;".16.0/24","")</f>
        <v/>
      </c>
      <c r="G832" s="21" t="str">
        <f aca="false">IF(AND(Eingabe!$F$13&gt;0,Eingabe!$E$13&gt;=16),"10."&amp;Eingabe!$D$13&amp;".16.1","")</f>
        <v/>
      </c>
      <c r="H832" s="21" t="str">
        <f aca="false">IF(AND(Eingabe!$F$13&gt;0,Eingabe!$E$13&gt;=16),"10."&amp;Eingabe!$D$13&amp;".16.10 – 10."&amp;Eingabe!$D$13&amp;".16.250","")</f>
        <v/>
      </c>
      <c r="I832" s="21" t="str">
        <f aca="false">IF(AND(Eingabe!$F$13&gt;0,Eingabe!$E$13&gt;=16),Eingabe!$B$6&amp;"-"&amp;Eingabe!$C$13&amp;"-Pächter","")</f>
        <v/>
      </c>
      <c r="J832" s="21" t="str">
        <f aca="false">IF(AND(Eingabe!$F$13&gt;0,Eingabe!$E$13&gt;=16),"PPSK: Passwort Parzelle 16","")</f>
        <v/>
      </c>
      <c r="K832" s="21" t="str">
        <f aca="false">IF(AND(Eingabe!$F$13&gt;0,Eingabe!$E$13&gt;=16),"1. Gerät: 10."&amp;Eingabe!$D$13&amp;".16.10, 2. Gerät: .11","")</f>
        <v/>
      </c>
    </row>
    <row r="833" customFormat="false" ht="15" hidden="false" customHeight="false" outlineLevel="0" collapsed="false">
      <c r="A833" s="21" t="str">
        <f aca="false">IF(AND(Eingabe!$F$13&gt;0,Eingabe!$E$13&gt;=17),5,"")</f>
        <v/>
      </c>
      <c r="B833" s="21" t="str">
        <f aca="false">IF(AND(Eingabe!$F$13&gt;0,Eingabe!$E$13&gt;=17),Eingabe!$B$13,"")</f>
        <v/>
      </c>
      <c r="C833" s="21" t="str">
        <f aca="false">IF(AND(Eingabe!$F$13&gt;0,Eingabe!$E$13&gt;=17),Eingabe!$C$13&amp;"-Paz."&amp;TEXT(17,"000"),"")</f>
        <v/>
      </c>
      <c r="D833" s="21" t="str">
        <f aca="false">IF(AND(Eingabe!$F$13&gt;0,Eingabe!$E$13&gt;=17),17,"")</f>
        <v/>
      </c>
      <c r="E833" s="21" t="str">
        <f aca="false">IF(AND(Eingabe!$F$13&gt;0,Eingabe!$E$13&gt;=17),IF((Eingabe!$G$13)&lt;=9,1000+(Eingabe!$G$13)*100,3000)+17,"")</f>
        <v/>
      </c>
      <c r="F833" s="21" t="str">
        <f aca="false">IF(AND(Eingabe!$F$13&gt;0,Eingabe!$E$13&gt;=17),"10."&amp;Eingabe!$D$13&amp;".17.0/24","")</f>
        <v/>
      </c>
      <c r="G833" s="21" t="str">
        <f aca="false">IF(AND(Eingabe!$F$13&gt;0,Eingabe!$E$13&gt;=17),"10."&amp;Eingabe!$D$13&amp;".17.1","")</f>
        <v/>
      </c>
      <c r="H833" s="21" t="str">
        <f aca="false">IF(AND(Eingabe!$F$13&gt;0,Eingabe!$E$13&gt;=17),"10."&amp;Eingabe!$D$13&amp;".17.10 – 10."&amp;Eingabe!$D$13&amp;".17.250","")</f>
        <v/>
      </c>
      <c r="I833" s="21" t="str">
        <f aca="false">IF(AND(Eingabe!$F$13&gt;0,Eingabe!$E$13&gt;=17),Eingabe!$B$6&amp;"-"&amp;Eingabe!$C$13&amp;"-Pächter","")</f>
        <v/>
      </c>
      <c r="J833" s="21" t="str">
        <f aca="false">IF(AND(Eingabe!$F$13&gt;0,Eingabe!$E$13&gt;=17),"PPSK: Passwort Parzelle 17","")</f>
        <v/>
      </c>
      <c r="K833" s="21" t="str">
        <f aca="false">IF(AND(Eingabe!$F$13&gt;0,Eingabe!$E$13&gt;=17),"1. Gerät: 10."&amp;Eingabe!$D$13&amp;".17.10, 2. Gerät: .11","")</f>
        <v/>
      </c>
    </row>
    <row r="834" customFormat="false" ht="15" hidden="false" customHeight="false" outlineLevel="0" collapsed="false">
      <c r="A834" s="21" t="str">
        <f aca="false">IF(AND(Eingabe!$F$13&gt;0,Eingabe!$E$13&gt;=18),5,"")</f>
        <v/>
      </c>
      <c r="B834" s="21" t="str">
        <f aca="false">IF(AND(Eingabe!$F$13&gt;0,Eingabe!$E$13&gt;=18),Eingabe!$B$13,"")</f>
        <v/>
      </c>
      <c r="C834" s="21" t="str">
        <f aca="false">IF(AND(Eingabe!$F$13&gt;0,Eingabe!$E$13&gt;=18),Eingabe!$C$13&amp;"-Paz."&amp;TEXT(18,"000"),"")</f>
        <v/>
      </c>
      <c r="D834" s="21" t="str">
        <f aca="false">IF(AND(Eingabe!$F$13&gt;0,Eingabe!$E$13&gt;=18),18,"")</f>
        <v/>
      </c>
      <c r="E834" s="21" t="str">
        <f aca="false">IF(AND(Eingabe!$F$13&gt;0,Eingabe!$E$13&gt;=18),IF((Eingabe!$G$13)&lt;=9,1000+(Eingabe!$G$13)*100,3000)+18,"")</f>
        <v/>
      </c>
      <c r="F834" s="21" t="str">
        <f aca="false">IF(AND(Eingabe!$F$13&gt;0,Eingabe!$E$13&gt;=18),"10."&amp;Eingabe!$D$13&amp;".18.0/24","")</f>
        <v/>
      </c>
      <c r="G834" s="21" t="str">
        <f aca="false">IF(AND(Eingabe!$F$13&gt;0,Eingabe!$E$13&gt;=18),"10."&amp;Eingabe!$D$13&amp;".18.1","")</f>
        <v/>
      </c>
      <c r="H834" s="21" t="str">
        <f aca="false">IF(AND(Eingabe!$F$13&gt;0,Eingabe!$E$13&gt;=18),"10."&amp;Eingabe!$D$13&amp;".18.10 – 10."&amp;Eingabe!$D$13&amp;".18.250","")</f>
        <v/>
      </c>
      <c r="I834" s="21" t="str">
        <f aca="false">IF(AND(Eingabe!$F$13&gt;0,Eingabe!$E$13&gt;=18),Eingabe!$B$6&amp;"-"&amp;Eingabe!$C$13&amp;"-Pächter","")</f>
        <v/>
      </c>
      <c r="J834" s="21" t="str">
        <f aca="false">IF(AND(Eingabe!$F$13&gt;0,Eingabe!$E$13&gt;=18),"PPSK: Passwort Parzelle 18","")</f>
        <v/>
      </c>
      <c r="K834" s="21" t="str">
        <f aca="false">IF(AND(Eingabe!$F$13&gt;0,Eingabe!$E$13&gt;=18),"1. Gerät: 10."&amp;Eingabe!$D$13&amp;".18.10, 2. Gerät: .11","")</f>
        <v/>
      </c>
    </row>
    <row r="835" customFormat="false" ht="15" hidden="false" customHeight="false" outlineLevel="0" collapsed="false">
      <c r="A835" s="21" t="str">
        <f aca="false">IF(AND(Eingabe!$F$13&gt;0,Eingabe!$E$13&gt;=19),5,"")</f>
        <v/>
      </c>
      <c r="B835" s="21" t="str">
        <f aca="false">IF(AND(Eingabe!$F$13&gt;0,Eingabe!$E$13&gt;=19),Eingabe!$B$13,"")</f>
        <v/>
      </c>
      <c r="C835" s="21" t="str">
        <f aca="false">IF(AND(Eingabe!$F$13&gt;0,Eingabe!$E$13&gt;=19),Eingabe!$C$13&amp;"-Paz."&amp;TEXT(19,"000"),"")</f>
        <v/>
      </c>
      <c r="D835" s="21" t="str">
        <f aca="false">IF(AND(Eingabe!$F$13&gt;0,Eingabe!$E$13&gt;=19),19,"")</f>
        <v/>
      </c>
      <c r="E835" s="21" t="str">
        <f aca="false">IF(AND(Eingabe!$F$13&gt;0,Eingabe!$E$13&gt;=19),IF((Eingabe!$G$13)&lt;=9,1000+(Eingabe!$G$13)*100,3000)+19,"")</f>
        <v/>
      </c>
      <c r="F835" s="21" t="str">
        <f aca="false">IF(AND(Eingabe!$F$13&gt;0,Eingabe!$E$13&gt;=19),"10."&amp;Eingabe!$D$13&amp;".19.0/24","")</f>
        <v/>
      </c>
      <c r="G835" s="21" t="str">
        <f aca="false">IF(AND(Eingabe!$F$13&gt;0,Eingabe!$E$13&gt;=19),"10."&amp;Eingabe!$D$13&amp;".19.1","")</f>
        <v/>
      </c>
      <c r="H835" s="21" t="str">
        <f aca="false">IF(AND(Eingabe!$F$13&gt;0,Eingabe!$E$13&gt;=19),"10."&amp;Eingabe!$D$13&amp;".19.10 – 10."&amp;Eingabe!$D$13&amp;".19.250","")</f>
        <v/>
      </c>
      <c r="I835" s="21" t="str">
        <f aca="false">IF(AND(Eingabe!$F$13&gt;0,Eingabe!$E$13&gt;=19),Eingabe!$B$6&amp;"-"&amp;Eingabe!$C$13&amp;"-Pächter","")</f>
        <v/>
      </c>
      <c r="J835" s="21" t="str">
        <f aca="false">IF(AND(Eingabe!$F$13&gt;0,Eingabe!$E$13&gt;=19),"PPSK: Passwort Parzelle 19","")</f>
        <v/>
      </c>
      <c r="K835" s="21" t="str">
        <f aca="false">IF(AND(Eingabe!$F$13&gt;0,Eingabe!$E$13&gt;=19),"1. Gerät: 10."&amp;Eingabe!$D$13&amp;".19.10, 2. Gerät: .11","")</f>
        <v/>
      </c>
    </row>
    <row r="836" customFormat="false" ht="15" hidden="false" customHeight="false" outlineLevel="0" collapsed="false">
      <c r="A836" s="21" t="str">
        <f aca="false">IF(AND(Eingabe!$F$13&gt;0,Eingabe!$E$13&gt;=20),5,"")</f>
        <v/>
      </c>
      <c r="B836" s="21" t="str">
        <f aca="false">IF(AND(Eingabe!$F$13&gt;0,Eingabe!$E$13&gt;=20),Eingabe!$B$13,"")</f>
        <v/>
      </c>
      <c r="C836" s="21" t="str">
        <f aca="false">IF(AND(Eingabe!$F$13&gt;0,Eingabe!$E$13&gt;=20),Eingabe!$C$13&amp;"-Paz."&amp;TEXT(20,"000"),"")</f>
        <v/>
      </c>
      <c r="D836" s="21" t="str">
        <f aca="false">IF(AND(Eingabe!$F$13&gt;0,Eingabe!$E$13&gt;=20),20,"")</f>
        <v/>
      </c>
      <c r="E836" s="21" t="str">
        <f aca="false">IF(AND(Eingabe!$F$13&gt;0,Eingabe!$E$13&gt;=20),IF((Eingabe!$G$13)&lt;=9,1000+(Eingabe!$G$13)*100,3000)+20,"")</f>
        <v/>
      </c>
      <c r="F836" s="21" t="str">
        <f aca="false">IF(AND(Eingabe!$F$13&gt;0,Eingabe!$E$13&gt;=20),"10."&amp;Eingabe!$D$13&amp;".20.0/24","")</f>
        <v/>
      </c>
      <c r="G836" s="21" t="str">
        <f aca="false">IF(AND(Eingabe!$F$13&gt;0,Eingabe!$E$13&gt;=20),"10."&amp;Eingabe!$D$13&amp;".20.1","")</f>
        <v/>
      </c>
      <c r="H836" s="21" t="str">
        <f aca="false">IF(AND(Eingabe!$F$13&gt;0,Eingabe!$E$13&gt;=20),"10."&amp;Eingabe!$D$13&amp;".20.10 – 10."&amp;Eingabe!$D$13&amp;".20.250","")</f>
        <v/>
      </c>
      <c r="I836" s="21" t="str">
        <f aca="false">IF(AND(Eingabe!$F$13&gt;0,Eingabe!$E$13&gt;=20),Eingabe!$B$6&amp;"-"&amp;Eingabe!$C$13&amp;"-Pächter","")</f>
        <v/>
      </c>
      <c r="J836" s="21" t="str">
        <f aca="false">IF(AND(Eingabe!$F$13&gt;0,Eingabe!$E$13&gt;=20),"PPSK: Passwort Parzelle 20","")</f>
        <v/>
      </c>
      <c r="K836" s="21" t="str">
        <f aca="false">IF(AND(Eingabe!$F$13&gt;0,Eingabe!$E$13&gt;=20),"1. Gerät: 10."&amp;Eingabe!$D$13&amp;".20.10, 2. Gerät: .11","")</f>
        <v/>
      </c>
    </row>
    <row r="837" customFormat="false" ht="15" hidden="false" customHeight="false" outlineLevel="0" collapsed="false">
      <c r="A837" s="21" t="str">
        <f aca="false">IF(AND(Eingabe!$F$13&gt;0,Eingabe!$E$13&gt;=21),5,"")</f>
        <v/>
      </c>
      <c r="B837" s="21" t="str">
        <f aca="false">IF(AND(Eingabe!$F$13&gt;0,Eingabe!$E$13&gt;=21),Eingabe!$B$13,"")</f>
        <v/>
      </c>
      <c r="C837" s="21" t="str">
        <f aca="false">IF(AND(Eingabe!$F$13&gt;0,Eingabe!$E$13&gt;=21),Eingabe!$C$13&amp;"-Paz."&amp;TEXT(21,"000"),"")</f>
        <v/>
      </c>
      <c r="D837" s="21" t="str">
        <f aca="false">IF(AND(Eingabe!$F$13&gt;0,Eingabe!$E$13&gt;=21),21,"")</f>
        <v/>
      </c>
      <c r="E837" s="21" t="str">
        <f aca="false">IF(AND(Eingabe!$F$13&gt;0,Eingabe!$E$13&gt;=21),IF((Eingabe!$G$13)&lt;=9,1000+(Eingabe!$G$13)*100,3000)+21,"")</f>
        <v/>
      </c>
      <c r="F837" s="21" t="str">
        <f aca="false">IF(AND(Eingabe!$F$13&gt;0,Eingabe!$E$13&gt;=21),"10."&amp;Eingabe!$D$13&amp;".21.0/24","")</f>
        <v/>
      </c>
      <c r="G837" s="21" t="str">
        <f aca="false">IF(AND(Eingabe!$F$13&gt;0,Eingabe!$E$13&gt;=21),"10."&amp;Eingabe!$D$13&amp;".21.1","")</f>
        <v/>
      </c>
      <c r="H837" s="21" t="str">
        <f aca="false">IF(AND(Eingabe!$F$13&gt;0,Eingabe!$E$13&gt;=21),"10."&amp;Eingabe!$D$13&amp;".21.10 – 10."&amp;Eingabe!$D$13&amp;".21.250","")</f>
        <v/>
      </c>
      <c r="I837" s="21" t="str">
        <f aca="false">IF(AND(Eingabe!$F$13&gt;0,Eingabe!$E$13&gt;=21),Eingabe!$B$6&amp;"-"&amp;Eingabe!$C$13&amp;"-Pächter","")</f>
        <v/>
      </c>
      <c r="J837" s="21" t="str">
        <f aca="false">IF(AND(Eingabe!$F$13&gt;0,Eingabe!$E$13&gt;=21),"PPSK: Passwort Parzelle 21","")</f>
        <v/>
      </c>
      <c r="K837" s="21" t="str">
        <f aca="false">IF(AND(Eingabe!$F$13&gt;0,Eingabe!$E$13&gt;=21),"1. Gerät: 10."&amp;Eingabe!$D$13&amp;".21.10, 2. Gerät: .11","")</f>
        <v/>
      </c>
    </row>
    <row r="838" customFormat="false" ht="15" hidden="false" customHeight="false" outlineLevel="0" collapsed="false">
      <c r="A838" s="21" t="str">
        <f aca="false">IF(AND(Eingabe!$F$13&gt;0,Eingabe!$E$13&gt;=22),5,"")</f>
        <v/>
      </c>
      <c r="B838" s="21" t="str">
        <f aca="false">IF(AND(Eingabe!$F$13&gt;0,Eingabe!$E$13&gt;=22),Eingabe!$B$13,"")</f>
        <v/>
      </c>
      <c r="C838" s="21" t="str">
        <f aca="false">IF(AND(Eingabe!$F$13&gt;0,Eingabe!$E$13&gt;=22),Eingabe!$C$13&amp;"-Paz."&amp;TEXT(22,"000"),"")</f>
        <v/>
      </c>
      <c r="D838" s="21" t="str">
        <f aca="false">IF(AND(Eingabe!$F$13&gt;0,Eingabe!$E$13&gt;=22),22,"")</f>
        <v/>
      </c>
      <c r="E838" s="21" t="str">
        <f aca="false">IF(AND(Eingabe!$F$13&gt;0,Eingabe!$E$13&gt;=22),IF((Eingabe!$G$13)&lt;=9,1000+(Eingabe!$G$13)*100,3000)+22,"")</f>
        <v/>
      </c>
      <c r="F838" s="21" t="str">
        <f aca="false">IF(AND(Eingabe!$F$13&gt;0,Eingabe!$E$13&gt;=22),"10."&amp;Eingabe!$D$13&amp;".22.0/24","")</f>
        <v/>
      </c>
      <c r="G838" s="21" t="str">
        <f aca="false">IF(AND(Eingabe!$F$13&gt;0,Eingabe!$E$13&gt;=22),"10."&amp;Eingabe!$D$13&amp;".22.1","")</f>
        <v/>
      </c>
      <c r="H838" s="21" t="str">
        <f aca="false">IF(AND(Eingabe!$F$13&gt;0,Eingabe!$E$13&gt;=22),"10."&amp;Eingabe!$D$13&amp;".22.10 – 10."&amp;Eingabe!$D$13&amp;".22.250","")</f>
        <v/>
      </c>
      <c r="I838" s="21" t="str">
        <f aca="false">IF(AND(Eingabe!$F$13&gt;0,Eingabe!$E$13&gt;=22),Eingabe!$B$6&amp;"-"&amp;Eingabe!$C$13&amp;"-Pächter","")</f>
        <v/>
      </c>
      <c r="J838" s="21" t="str">
        <f aca="false">IF(AND(Eingabe!$F$13&gt;0,Eingabe!$E$13&gt;=22),"PPSK: Passwort Parzelle 22","")</f>
        <v/>
      </c>
      <c r="K838" s="21" t="str">
        <f aca="false">IF(AND(Eingabe!$F$13&gt;0,Eingabe!$E$13&gt;=22),"1. Gerät: 10."&amp;Eingabe!$D$13&amp;".22.10, 2. Gerät: .11","")</f>
        <v/>
      </c>
    </row>
    <row r="839" customFormat="false" ht="15" hidden="false" customHeight="false" outlineLevel="0" collapsed="false">
      <c r="A839" s="21" t="str">
        <f aca="false">IF(AND(Eingabe!$F$13&gt;0,Eingabe!$E$13&gt;=23),5,"")</f>
        <v/>
      </c>
      <c r="B839" s="21" t="str">
        <f aca="false">IF(AND(Eingabe!$F$13&gt;0,Eingabe!$E$13&gt;=23),Eingabe!$B$13,"")</f>
        <v/>
      </c>
      <c r="C839" s="21" t="str">
        <f aca="false">IF(AND(Eingabe!$F$13&gt;0,Eingabe!$E$13&gt;=23),Eingabe!$C$13&amp;"-Paz."&amp;TEXT(23,"000"),"")</f>
        <v/>
      </c>
      <c r="D839" s="21" t="str">
        <f aca="false">IF(AND(Eingabe!$F$13&gt;0,Eingabe!$E$13&gt;=23),23,"")</f>
        <v/>
      </c>
      <c r="E839" s="21" t="str">
        <f aca="false">IF(AND(Eingabe!$F$13&gt;0,Eingabe!$E$13&gt;=23),IF((Eingabe!$G$13)&lt;=9,1000+(Eingabe!$G$13)*100,3000)+23,"")</f>
        <v/>
      </c>
      <c r="F839" s="21" t="str">
        <f aca="false">IF(AND(Eingabe!$F$13&gt;0,Eingabe!$E$13&gt;=23),"10."&amp;Eingabe!$D$13&amp;".23.0/24","")</f>
        <v/>
      </c>
      <c r="G839" s="21" t="str">
        <f aca="false">IF(AND(Eingabe!$F$13&gt;0,Eingabe!$E$13&gt;=23),"10."&amp;Eingabe!$D$13&amp;".23.1","")</f>
        <v/>
      </c>
      <c r="H839" s="21" t="str">
        <f aca="false">IF(AND(Eingabe!$F$13&gt;0,Eingabe!$E$13&gt;=23),"10."&amp;Eingabe!$D$13&amp;".23.10 – 10."&amp;Eingabe!$D$13&amp;".23.250","")</f>
        <v/>
      </c>
      <c r="I839" s="21" t="str">
        <f aca="false">IF(AND(Eingabe!$F$13&gt;0,Eingabe!$E$13&gt;=23),Eingabe!$B$6&amp;"-"&amp;Eingabe!$C$13&amp;"-Pächter","")</f>
        <v/>
      </c>
      <c r="J839" s="21" t="str">
        <f aca="false">IF(AND(Eingabe!$F$13&gt;0,Eingabe!$E$13&gt;=23),"PPSK: Passwort Parzelle 23","")</f>
        <v/>
      </c>
      <c r="K839" s="21" t="str">
        <f aca="false">IF(AND(Eingabe!$F$13&gt;0,Eingabe!$E$13&gt;=23),"1. Gerät: 10."&amp;Eingabe!$D$13&amp;".23.10, 2. Gerät: .11","")</f>
        <v/>
      </c>
    </row>
    <row r="840" customFormat="false" ht="15" hidden="false" customHeight="false" outlineLevel="0" collapsed="false">
      <c r="A840" s="21" t="str">
        <f aca="false">IF(AND(Eingabe!$F$13&gt;0,Eingabe!$E$13&gt;=24),5,"")</f>
        <v/>
      </c>
      <c r="B840" s="21" t="str">
        <f aca="false">IF(AND(Eingabe!$F$13&gt;0,Eingabe!$E$13&gt;=24),Eingabe!$B$13,"")</f>
        <v/>
      </c>
      <c r="C840" s="21" t="str">
        <f aca="false">IF(AND(Eingabe!$F$13&gt;0,Eingabe!$E$13&gt;=24),Eingabe!$C$13&amp;"-Paz."&amp;TEXT(24,"000"),"")</f>
        <v/>
      </c>
      <c r="D840" s="21" t="str">
        <f aca="false">IF(AND(Eingabe!$F$13&gt;0,Eingabe!$E$13&gt;=24),24,"")</f>
        <v/>
      </c>
      <c r="E840" s="21" t="str">
        <f aca="false">IF(AND(Eingabe!$F$13&gt;0,Eingabe!$E$13&gt;=24),IF((Eingabe!$G$13)&lt;=9,1000+(Eingabe!$G$13)*100,3000)+24,"")</f>
        <v/>
      </c>
      <c r="F840" s="21" t="str">
        <f aca="false">IF(AND(Eingabe!$F$13&gt;0,Eingabe!$E$13&gt;=24),"10."&amp;Eingabe!$D$13&amp;".24.0/24","")</f>
        <v/>
      </c>
      <c r="G840" s="21" t="str">
        <f aca="false">IF(AND(Eingabe!$F$13&gt;0,Eingabe!$E$13&gt;=24),"10."&amp;Eingabe!$D$13&amp;".24.1","")</f>
        <v/>
      </c>
      <c r="H840" s="21" t="str">
        <f aca="false">IF(AND(Eingabe!$F$13&gt;0,Eingabe!$E$13&gt;=24),"10."&amp;Eingabe!$D$13&amp;".24.10 – 10."&amp;Eingabe!$D$13&amp;".24.250","")</f>
        <v/>
      </c>
      <c r="I840" s="21" t="str">
        <f aca="false">IF(AND(Eingabe!$F$13&gt;0,Eingabe!$E$13&gt;=24),Eingabe!$B$6&amp;"-"&amp;Eingabe!$C$13&amp;"-Pächter","")</f>
        <v/>
      </c>
      <c r="J840" s="21" t="str">
        <f aca="false">IF(AND(Eingabe!$F$13&gt;0,Eingabe!$E$13&gt;=24),"PPSK: Passwort Parzelle 24","")</f>
        <v/>
      </c>
      <c r="K840" s="21" t="str">
        <f aca="false">IF(AND(Eingabe!$F$13&gt;0,Eingabe!$E$13&gt;=24),"1. Gerät: 10."&amp;Eingabe!$D$13&amp;".24.10, 2. Gerät: .11","")</f>
        <v/>
      </c>
    </row>
    <row r="841" customFormat="false" ht="15" hidden="false" customHeight="false" outlineLevel="0" collapsed="false">
      <c r="A841" s="21" t="str">
        <f aca="false">IF(AND(Eingabe!$F$13&gt;0,Eingabe!$E$13&gt;=25),5,"")</f>
        <v/>
      </c>
      <c r="B841" s="21" t="str">
        <f aca="false">IF(AND(Eingabe!$F$13&gt;0,Eingabe!$E$13&gt;=25),Eingabe!$B$13,"")</f>
        <v/>
      </c>
      <c r="C841" s="21" t="str">
        <f aca="false">IF(AND(Eingabe!$F$13&gt;0,Eingabe!$E$13&gt;=25),Eingabe!$C$13&amp;"-Paz."&amp;TEXT(25,"000"),"")</f>
        <v/>
      </c>
      <c r="D841" s="21" t="str">
        <f aca="false">IF(AND(Eingabe!$F$13&gt;0,Eingabe!$E$13&gt;=25),25,"")</f>
        <v/>
      </c>
      <c r="E841" s="21" t="str">
        <f aca="false">IF(AND(Eingabe!$F$13&gt;0,Eingabe!$E$13&gt;=25),IF((Eingabe!$G$13)&lt;=9,1000+(Eingabe!$G$13)*100,3000)+25,"")</f>
        <v/>
      </c>
      <c r="F841" s="21" t="str">
        <f aca="false">IF(AND(Eingabe!$F$13&gt;0,Eingabe!$E$13&gt;=25),"10."&amp;Eingabe!$D$13&amp;".25.0/24","")</f>
        <v/>
      </c>
      <c r="G841" s="21" t="str">
        <f aca="false">IF(AND(Eingabe!$F$13&gt;0,Eingabe!$E$13&gt;=25),"10."&amp;Eingabe!$D$13&amp;".25.1","")</f>
        <v/>
      </c>
      <c r="H841" s="21" t="str">
        <f aca="false">IF(AND(Eingabe!$F$13&gt;0,Eingabe!$E$13&gt;=25),"10."&amp;Eingabe!$D$13&amp;".25.10 – 10."&amp;Eingabe!$D$13&amp;".25.250","")</f>
        <v/>
      </c>
      <c r="I841" s="21" t="str">
        <f aca="false">IF(AND(Eingabe!$F$13&gt;0,Eingabe!$E$13&gt;=25),Eingabe!$B$6&amp;"-"&amp;Eingabe!$C$13&amp;"-Pächter","")</f>
        <v/>
      </c>
      <c r="J841" s="21" t="str">
        <f aca="false">IF(AND(Eingabe!$F$13&gt;0,Eingabe!$E$13&gt;=25),"PPSK: Passwort Parzelle 25","")</f>
        <v/>
      </c>
      <c r="K841" s="21" t="str">
        <f aca="false">IF(AND(Eingabe!$F$13&gt;0,Eingabe!$E$13&gt;=25),"1. Gerät: 10."&amp;Eingabe!$D$13&amp;".25.10, 2. Gerät: .11","")</f>
        <v/>
      </c>
    </row>
    <row r="842" customFormat="false" ht="15" hidden="false" customHeight="false" outlineLevel="0" collapsed="false">
      <c r="A842" s="21" t="str">
        <f aca="false">IF(AND(Eingabe!$F$13&gt;0,Eingabe!$E$13&gt;=26),5,"")</f>
        <v/>
      </c>
      <c r="B842" s="21" t="str">
        <f aca="false">IF(AND(Eingabe!$F$13&gt;0,Eingabe!$E$13&gt;=26),Eingabe!$B$13,"")</f>
        <v/>
      </c>
      <c r="C842" s="21" t="str">
        <f aca="false">IF(AND(Eingabe!$F$13&gt;0,Eingabe!$E$13&gt;=26),Eingabe!$C$13&amp;"-Paz."&amp;TEXT(26,"000"),"")</f>
        <v/>
      </c>
      <c r="D842" s="21" t="str">
        <f aca="false">IF(AND(Eingabe!$F$13&gt;0,Eingabe!$E$13&gt;=26),26,"")</f>
        <v/>
      </c>
      <c r="E842" s="21" t="str">
        <f aca="false">IF(AND(Eingabe!$F$13&gt;0,Eingabe!$E$13&gt;=26),IF((Eingabe!$G$13)&lt;=9,1000+(Eingabe!$G$13)*100,3000)+26,"")</f>
        <v/>
      </c>
      <c r="F842" s="21" t="str">
        <f aca="false">IF(AND(Eingabe!$F$13&gt;0,Eingabe!$E$13&gt;=26),"10."&amp;Eingabe!$D$13&amp;".26.0/24","")</f>
        <v/>
      </c>
      <c r="G842" s="21" t="str">
        <f aca="false">IF(AND(Eingabe!$F$13&gt;0,Eingabe!$E$13&gt;=26),"10."&amp;Eingabe!$D$13&amp;".26.1","")</f>
        <v/>
      </c>
      <c r="H842" s="21" t="str">
        <f aca="false">IF(AND(Eingabe!$F$13&gt;0,Eingabe!$E$13&gt;=26),"10."&amp;Eingabe!$D$13&amp;".26.10 – 10."&amp;Eingabe!$D$13&amp;".26.250","")</f>
        <v/>
      </c>
      <c r="I842" s="21" t="str">
        <f aca="false">IF(AND(Eingabe!$F$13&gt;0,Eingabe!$E$13&gt;=26),Eingabe!$B$6&amp;"-"&amp;Eingabe!$C$13&amp;"-Pächter","")</f>
        <v/>
      </c>
      <c r="J842" s="21" t="str">
        <f aca="false">IF(AND(Eingabe!$F$13&gt;0,Eingabe!$E$13&gt;=26),"PPSK: Passwort Parzelle 26","")</f>
        <v/>
      </c>
      <c r="K842" s="21" t="str">
        <f aca="false">IF(AND(Eingabe!$F$13&gt;0,Eingabe!$E$13&gt;=26),"1. Gerät: 10."&amp;Eingabe!$D$13&amp;".26.10, 2. Gerät: .11","")</f>
        <v/>
      </c>
    </row>
    <row r="843" customFormat="false" ht="15" hidden="false" customHeight="false" outlineLevel="0" collapsed="false">
      <c r="A843" s="21" t="str">
        <f aca="false">IF(AND(Eingabe!$F$13&gt;0,Eingabe!$E$13&gt;=27),5,"")</f>
        <v/>
      </c>
      <c r="B843" s="21" t="str">
        <f aca="false">IF(AND(Eingabe!$F$13&gt;0,Eingabe!$E$13&gt;=27),Eingabe!$B$13,"")</f>
        <v/>
      </c>
      <c r="C843" s="21" t="str">
        <f aca="false">IF(AND(Eingabe!$F$13&gt;0,Eingabe!$E$13&gt;=27),Eingabe!$C$13&amp;"-Paz."&amp;TEXT(27,"000"),"")</f>
        <v/>
      </c>
      <c r="D843" s="21" t="str">
        <f aca="false">IF(AND(Eingabe!$F$13&gt;0,Eingabe!$E$13&gt;=27),27,"")</f>
        <v/>
      </c>
      <c r="E843" s="21" t="str">
        <f aca="false">IF(AND(Eingabe!$F$13&gt;0,Eingabe!$E$13&gt;=27),IF((Eingabe!$G$13)&lt;=9,1000+(Eingabe!$G$13)*100,3000)+27,"")</f>
        <v/>
      </c>
      <c r="F843" s="21" t="str">
        <f aca="false">IF(AND(Eingabe!$F$13&gt;0,Eingabe!$E$13&gt;=27),"10."&amp;Eingabe!$D$13&amp;".27.0/24","")</f>
        <v/>
      </c>
      <c r="G843" s="21" t="str">
        <f aca="false">IF(AND(Eingabe!$F$13&gt;0,Eingabe!$E$13&gt;=27),"10."&amp;Eingabe!$D$13&amp;".27.1","")</f>
        <v/>
      </c>
      <c r="H843" s="21" t="str">
        <f aca="false">IF(AND(Eingabe!$F$13&gt;0,Eingabe!$E$13&gt;=27),"10."&amp;Eingabe!$D$13&amp;".27.10 – 10."&amp;Eingabe!$D$13&amp;".27.250","")</f>
        <v/>
      </c>
      <c r="I843" s="21" t="str">
        <f aca="false">IF(AND(Eingabe!$F$13&gt;0,Eingabe!$E$13&gt;=27),Eingabe!$B$6&amp;"-"&amp;Eingabe!$C$13&amp;"-Pächter","")</f>
        <v/>
      </c>
      <c r="J843" s="21" t="str">
        <f aca="false">IF(AND(Eingabe!$F$13&gt;0,Eingabe!$E$13&gt;=27),"PPSK: Passwort Parzelle 27","")</f>
        <v/>
      </c>
      <c r="K843" s="21" t="str">
        <f aca="false">IF(AND(Eingabe!$F$13&gt;0,Eingabe!$E$13&gt;=27),"1. Gerät: 10."&amp;Eingabe!$D$13&amp;".27.10, 2. Gerät: .11","")</f>
        <v/>
      </c>
    </row>
    <row r="844" customFormat="false" ht="15" hidden="false" customHeight="false" outlineLevel="0" collapsed="false">
      <c r="A844" s="21" t="str">
        <f aca="false">IF(AND(Eingabe!$F$13&gt;0,Eingabe!$E$13&gt;=28),5,"")</f>
        <v/>
      </c>
      <c r="B844" s="21" t="str">
        <f aca="false">IF(AND(Eingabe!$F$13&gt;0,Eingabe!$E$13&gt;=28),Eingabe!$B$13,"")</f>
        <v/>
      </c>
      <c r="C844" s="21" t="str">
        <f aca="false">IF(AND(Eingabe!$F$13&gt;0,Eingabe!$E$13&gt;=28),Eingabe!$C$13&amp;"-Paz."&amp;TEXT(28,"000"),"")</f>
        <v/>
      </c>
      <c r="D844" s="21" t="str">
        <f aca="false">IF(AND(Eingabe!$F$13&gt;0,Eingabe!$E$13&gt;=28),28,"")</f>
        <v/>
      </c>
      <c r="E844" s="21" t="str">
        <f aca="false">IF(AND(Eingabe!$F$13&gt;0,Eingabe!$E$13&gt;=28),IF((Eingabe!$G$13)&lt;=9,1000+(Eingabe!$G$13)*100,3000)+28,"")</f>
        <v/>
      </c>
      <c r="F844" s="21" t="str">
        <f aca="false">IF(AND(Eingabe!$F$13&gt;0,Eingabe!$E$13&gt;=28),"10."&amp;Eingabe!$D$13&amp;".28.0/24","")</f>
        <v/>
      </c>
      <c r="G844" s="21" t="str">
        <f aca="false">IF(AND(Eingabe!$F$13&gt;0,Eingabe!$E$13&gt;=28),"10."&amp;Eingabe!$D$13&amp;".28.1","")</f>
        <v/>
      </c>
      <c r="H844" s="21" t="str">
        <f aca="false">IF(AND(Eingabe!$F$13&gt;0,Eingabe!$E$13&gt;=28),"10."&amp;Eingabe!$D$13&amp;".28.10 – 10."&amp;Eingabe!$D$13&amp;".28.250","")</f>
        <v/>
      </c>
      <c r="I844" s="21" t="str">
        <f aca="false">IF(AND(Eingabe!$F$13&gt;0,Eingabe!$E$13&gt;=28),Eingabe!$B$6&amp;"-"&amp;Eingabe!$C$13&amp;"-Pächter","")</f>
        <v/>
      </c>
      <c r="J844" s="21" t="str">
        <f aca="false">IF(AND(Eingabe!$F$13&gt;0,Eingabe!$E$13&gt;=28),"PPSK: Passwort Parzelle 28","")</f>
        <v/>
      </c>
      <c r="K844" s="21" t="str">
        <f aca="false">IF(AND(Eingabe!$F$13&gt;0,Eingabe!$E$13&gt;=28),"1. Gerät: 10."&amp;Eingabe!$D$13&amp;".28.10, 2. Gerät: .11","")</f>
        <v/>
      </c>
    </row>
    <row r="845" customFormat="false" ht="15" hidden="false" customHeight="false" outlineLevel="0" collapsed="false">
      <c r="A845" s="21" t="str">
        <f aca="false">IF(AND(Eingabe!$F$13&gt;0,Eingabe!$E$13&gt;=29),5,"")</f>
        <v/>
      </c>
      <c r="B845" s="21" t="str">
        <f aca="false">IF(AND(Eingabe!$F$13&gt;0,Eingabe!$E$13&gt;=29),Eingabe!$B$13,"")</f>
        <v/>
      </c>
      <c r="C845" s="21" t="str">
        <f aca="false">IF(AND(Eingabe!$F$13&gt;0,Eingabe!$E$13&gt;=29),Eingabe!$C$13&amp;"-Paz."&amp;TEXT(29,"000"),"")</f>
        <v/>
      </c>
      <c r="D845" s="21" t="str">
        <f aca="false">IF(AND(Eingabe!$F$13&gt;0,Eingabe!$E$13&gt;=29),29,"")</f>
        <v/>
      </c>
      <c r="E845" s="21" t="str">
        <f aca="false">IF(AND(Eingabe!$F$13&gt;0,Eingabe!$E$13&gt;=29),IF((Eingabe!$G$13)&lt;=9,1000+(Eingabe!$G$13)*100,3000)+29,"")</f>
        <v/>
      </c>
      <c r="F845" s="21" t="str">
        <f aca="false">IF(AND(Eingabe!$F$13&gt;0,Eingabe!$E$13&gt;=29),"10."&amp;Eingabe!$D$13&amp;".29.0/24","")</f>
        <v/>
      </c>
      <c r="G845" s="21" t="str">
        <f aca="false">IF(AND(Eingabe!$F$13&gt;0,Eingabe!$E$13&gt;=29),"10."&amp;Eingabe!$D$13&amp;".29.1","")</f>
        <v/>
      </c>
      <c r="H845" s="21" t="str">
        <f aca="false">IF(AND(Eingabe!$F$13&gt;0,Eingabe!$E$13&gt;=29),"10."&amp;Eingabe!$D$13&amp;".29.10 – 10."&amp;Eingabe!$D$13&amp;".29.250","")</f>
        <v/>
      </c>
      <c r="I845" s="21" t="str">
        <f aca="false">IF(AND(Eingabe!$F$13&gt;0,Eingabe!$E$13&gt;=29),Eingabe!$B$6&amp;"-"&amp;Eingabe!$C$13&amp;"-Pächter","")</f>
        <v/>
      </c>
      <c r="J845" s="21" t="str">
        <f aca="false">IF(AND(Eingabe!$F$13&gt;0,Eingabe!$E$13&gt;=29),"PPSK: Passwort Parzelle 29","")</f>
        <v/>
      </c>
      <c r="K845" s="21" t="str">
        <f aca="false">IF(AND(Eingabe!$F$13&gt;0,Eingabe!$E$13&gt;=29),"1. Gerät: 10."&amp;Eingabe!$D$13&amp;".29.10, 2. Gerät: .11","")</f>
        <v/>
      </c>
    </row>
    <row r="846" customFormat="false" ht="15" hidden="false" customHeight="false" outlineLevel="0" collapsed="false">
      <c r="A846" s="21" t="str">
        <f aca="false">IF(AND(Eingabe!$F$13&gt;0,Eingabe!$E$13&gt;=30),5,"")</f>
        <v/>
      </c>
      <c r="B846" s="21" t="str">
        <f aca="false">IF(AND(Eingabe!$F$13&gt;0,Eingabe!$E$13&gt;=30),Eingabe!$B$13,"")</f>
        <v/>
      </c>
      <c r="C846" s="21" t="str">
        <f aca="false">IF(AND(Eingabe!$F$13&gt;0,Eingabe!$E$13&gt;=30),Eingabe!$C$13&amp;"-Paz."&amp;TEXT(30,"000"),"")</f>
        <v/>
      </c>
      <c r="D846" s="21" t="str">
        <f aca="false">IF(AND(Eingabe!$F$13&gt;0,Eingabe!$E$13&gt;=30),30,"")</f>
        <v/>
      </c>
      <c r="E846" s="21" t="str">
        <f aca="false">IF(AND(Eingabe!$F$13&gt;0,Eingabe!$E$13&gt;=30),IF((Eingabe!$G$13)&lt;=9,1000+(Eingabe!$G$13)*100,3000)+30,"")</f>
        <v/>
      </c>
      <c r="F846" s="21" t="str">
        <f aca="false">IF(AND(Eingabe!$F$13&gt;0,Eingabe!$E$13&gt;=30),"10."&amp;Eingabe!$D$13&amp;".30.0/24","")</f>
        <v/>
      </c>
      <c r="G846" s="21" t="str">
        <f aca="false">IF(AND(Eingabe!$F$13&gt;0,Eingabe!$E$13&gt;=30),"10."&amp;Eingabe!$D$13&amp;".30.1","")</f>
        <v/>
      </c>
      <c r="H846" s="21" t="str">
        <f aca="false">IF(AND(Eingabe!$F$13&gt;0,Eingabe!$E$13&gt;=30),"10."&amp;Eingabe!$D$13&amp;".30.10 – 10."&amp;Eingabe!$D$13&amp;".30.250","")</f>
        <v/>
      </c>
      <c r="I846" s="21" t="str">
        <f aca="false">IF(AND(Eingabe!$F$13&gt;0,Eingabe!$E$13&gt;=30),Eingabe!$B$6&amp;"-"&amp;Eingabe!$C$13&amp;"-Pächter","")</f>
        <v/>
      </c>
      <c r="J846" s="21" t="str">
        <f aca="false">IF(AND(Eingabe!$F$13&gt;0,Eingabe!$E$13&gt;=30),"PPSK: Passwort Parzelle 30","")</f>
        <v/>
      </c>
      <c r="K846" s="21" t="str">
        <f aca="false">IF(AND(Eingabe!$F$13&gt;0,Eingabe!$E$13&gt;=30),"1. Gerät: 10."&amp;Eingabe!$D$13&amp;".30.10, 2. Gerät: .11","")</f>
        <v/>
      </c>
    </row>
    <row r="847" customFormat="false" ht="15" hidden="false" customHeight="false" outlineLevel="0" collapsed="false">
      <c r="A847" s="21" t="str">
        <f aca="false">IF(AND(Eingabe!$F$13&gt;0,Eingabe!$E$13&gt;=31),5,"")</f>
        <v/>
      </c>
      <c r="B847" s="21" t="str">
        <f aca="false">IF(AND(Eingabe!$F$13&gt;0,Eingabe!$E$13&gt;=31),Eingabe!$B$13,"")</f>
        <v/>
      </c>
      <c r="C847" s="21" t="str">
        <f aca="false">IF(AND(Eingabe!$F$13&gt;0,Eingabe!$E$13&gt;=31),Eingabe!$C$13&amp;"-Paz."&amp;TEXT(31,"000"),"")</f>
        <v/>
      </c>
      <c r="D847" s="21" t="str">
        <f aca="false">IF(AND(Eingabe!$F$13&gt;0,Eingabe!$E$13&gt;=31),31,"")</f>
        <v/>
      </c>
      <c r="E847" s="21" t="str">
        <f aca="false">IF(AND(Eingabe!$F$13&gt;0,Eingabe!$E$13&gt;=31),IF((Eingabe!$G$13)&lt;=9,1000+(Eingabe!$G$13)*100,3000)+31,"")</f>
        <v/>
      </c>
      <c r="F847" s="21" t="str">
        <f aca="false">IF(AND(Eingabe!$F$13&gt;0,Eingabe!$E$13&gt;=31),"10."&amp;Eingabe!$D$13&amp;".31.0/24","")</f>
        <v/>
      </c>
      <c r="G847" s="21" t="str">
        <f aca="false">IF(AND(Eingabe!$F$13&gt;0,Eingabe!$E$13&gt;=31),"10."&amp;Eingabe!$D$13&amp;".31.1","")</f>
        <v/>
      </c>
      <c r="H847" s="21" t="str">
        <f aca="false">IF(AND(Eingabe!$F$13&gt;0,Eingabe!$E$13&gt;=31),"10."&amp;Eingabe!$D$13&amp;".31.10 – 10."&amp;Eingabe!$D$13&amp;".31.250","")</f>
        <v/>
      </c>
      <c r="I847" s="21" t="str">
        <f aca="false">IF(AND(Eingabe!$F$13&gt;0,Eingabe!$E$13&gt;=31),Eingabe!$B$6&amp;"-"&amp;Eingabe!$C$13&amp;"-Pächter","")</f>
        <v/>
      </c>
      <c r="J847" s="21" t="str">
        <f aca="false">IF(AND(Eingabe!$F$13&gt;0,Eingabe!$E$13&gt;=31),"PPSK: Passwort Parzelle 31","")</f>
        <v/>
      </c>
      <c r="K847" s="21" t="str">
        <f aca="false">IF(AND(Eingabe!$F$13&gt;0,Eingabe!$E$13&gt;=31),"1. Gerät: 10."&amp;Eingabe!$D$13&amp;".31.10, 2. Gerät: .11","")</f>
        <v/>
      </c>
    </row>
    <row r="848" customFormat="false" ht="15" hidden="false" customHeight="false" outlineLevel="0" collapsed="false">
      <c r="A848" s="21" t="str">
        <f aca="false">IF(AND(Eingabe!$F$13&gt;0,Eingabe!$E$13&gt;=32),5,"")</f>
        <v/>
      </c>
      <c r="B848" s="21" t="str">
        <f aca="false">IF(AND(Eingabe!$F$13&gt;0,Eingabe!$E$13&gt;=32),Eingabe!$B$13,"")</f>
        <v/>
      </c>
      <c r="C848" s="21" t="str">
        <f aca="false">IF(AND(Eingabe!$F$13&gt;0,Eingabe!$E$13&gt;=32),Eingabe!$C$13&amp;"-Paz."&amp;TEXT(32,"000"),"")</f>
        <v/>
      </c>
      <c r="D848" s="21" t="str">
        <f aca="false">IF(AND(Eingabe!$F$13&gt;0,Eingabe!$E$13&gt;=32),32,"")</f>
        <v/>
      </c>
      <c r="E848" s="21" t="str">
        <f aca="false">IF(AND(Eingabe!$F$13&gt;0,Eingabe!$E$13&gt;=32),IF((Eingabe!$G$13)&lt;=9,1000+(Eingabe!$G$13)*100,3000)+32,"")</f>
        <v/>
      </c>
      <c r="F848" s="21" t="str">
        <f aca="false">IF(AND(Eingabe!$F$13&gt;0,Eingabe!$E$13&gt;=32),"10."&amp;Eingabe!$D$13&amp;".32.0/24","")</f>
        <v/>
      </c>
      <c r="G848" s="21" t="str">
        <f aca="false">IF(AND(Eingabe!$F$13&gt;0,Eingabe!$E$13&gt;=32),"10."&amp;Eingabe!$D$13&amp;".32.1","")</f>
        <v/>
      </c>
      <c r="H848" s="21" t="str">
        <f aca="false">IF(AND(Eingabe!$F$13&gt;0,Eingabe!$E$13&gt;=32),"10."&amp;Eingabe!$D$13&amp;".32.10 – 10."&amp;Eingabe!$D$13&amp;".32.250","")</f>
        <v/>
      </c>
      <c r="I848" s="21" t="str">
        <f aca="false">IF(AND(Eingabe!$F$13&gt;0,Eingabe!$E$13&gt;=32),Eingabe!$B$6&amp;"-"&amp;Eingabe!$C$13&amp;"-Pächter","")</f>
        <v/>
      </c>
      <c r="J848" s="21" t="str">
        <f aca="false">IF(AND(Eingabe!$F$13&gt;0,Eingabe!$E$13&gt;=32),"PPSK: Passwort Parzelle 32","")</f>
        <v/>
      </c>
      <c r="K848" s="21" t="str">
        <f aca="false">IF(AND(Eingabe!$F$13&gt;0,Eingabe!$E$13&gt;=32),"1. Gerät: 10."&amp;Eingabe!$D$13&amp;".32.10, 2. Gerät: .11","")</f>
        <v/>
      </c>
    </row>
    <row r="849" customFormat="false" ht="15" hidden="false" customHeight="false" outlineLevel="0" collapsed="false">
      <c r="A849" s="21" t="str">
        <f aca="false">IF(AND(Eingabe!$F$13&gt;0,Eingabe!$E$13&gt;=33),5,"")</f>
        <v/>
      </c>
      <c r="B849" s="21" t="str">
        <f aca="false">IF(AND(Eingabe!$F$13&gt;0,Eingabe!$E$13&gt;=33),Eingabe!$B$13,"")</f>
        <v/>
      </c>
      <c r="C849" s="21" t="str">
        <f aca="false">IF(AND(Eingabe!$F$13&gt;0,Eingabe!$E$13&gt;=33),Eingabe!$C$13&amp;"-Paz."&amp;TEXT(33,"000"),"")</f>
        <v/>
      </c>
      <c r="D849" s="21" t="str">
        <f aca="false">IF(AND(Eingabe!$F$13&gt;0,Eingabe!$E$13&gt;=33),33,"")</f>
        <v/>
      </c>
      <c r="E849" s="21" t="str">
        <f aca="false">IF(AND(Eingabe!$F$13&gt;0,Eingabe!$E$13&gt;=33),IF((Eingabe!$G$13)&lt;=9,1000+(Eingabe!$G$13)*100,3000)+33,"")</f>
        <v/>
      </c>
      <c r="F849" s="21" t="str">
        <f aca="false">IF(AND(Eingabe!$F$13&gt;0,Eingabe!$E$13&gt;=33),"10."&amp;Eingabe!$D$13&amp;".33.0/24","")</f>
        <v/>
      </c>
      <c r="G849" s="21" t="str">
        <f aca="false">IF(AND(Eingabe!$F$13&gt;0,Eingabe!$E$13&gt;=33),"10."&amp;Eingabe!$D$13&amp;".33.1","")</f>
        <v/>
      </c>
      <c r="H849" s="21" t="str">
        <f aca="false">IF(AND(Eingabe!$F$13&gt;0,Eingabe!$E$13&gt;=33),"10."&amp;Eingabe!$D$13&amp;".33.10 – 10."&amp;Eingabe!$D$13&amp;".33.250","")</f>
        <v/>
      </c>
      <c r="I849" s="21" t="str">
        <f aca="false">IF(AND(Eingabe!$F$13&gt;0,Eingabe!$E$13&gt;=33),Eingabe!$B$6&amp;"-"&amp;Eingabe!$C$13&amp;"-Pächter","")</f>
        <v/>
      </c>
      <c r="J849" s="21" t="str">
        <f aca="false">IF(AND(Eingabe!$F$13&gt;0,Eingabe!$E$13&gt;=33),"PPSK: Passwort Parzelle 33","")</f>
        <v/>
      </c>
      <c r="K849" s="21" t="str">
        <f aca="false">IF(AND(Eingabe!$F$13&gt;0,Eingabe!$E$13&gt;=33),"1. Gerät: 10."&amp;Eingabe!$D$13&amp;".33.10, 2. Gerät: .11","")</f>
        <v/>
      </c>
    </row>
    <row r="850" customFormat="false" ht="15" hidden="false" customHeight="false" outlineLevel="0" collapsed="false">
      <c r="A850" s="21" t="str">
        <f aca="false">IF(AND(Eingabe!$F$13&gt;0,Eingabe!$E$13&gt;=34),5,"")</f>
        <v/>
      </c>
      <c r="B850" s="21" t="str">
        <f aca="false">IF(AND(Eingabe!$F$13&gt;0,Eingabe!$E$13&gt;=34),Eingabe!$B$13,"")</f>
        <v/>
      </c>
      <c r="C850" s="21" t="str">
        <f aca="false">IF(AND(Eingabe!$F$13&gt;0,Eingabe!$E$13&gt;=34),Eingabe!$C$13&amp;"-Paz."&amp;TEXT(34,"000"),"")</f>
        <v/>
      </c>
      <c r="D850" s="21" t="str">
        <f aca="false">IF(AND(Eingabe!$F$13&gt;0,Eingabe!$E$13&gt;=34),34,"")</f>
        <v/>
      </c>
      <c r="E850" s="21" t="str">
        <f aca="false">IF(AND(Eingabe!$F$13&gt;0,Eingabe!$E$13&gt;=34),IF((Eingabe!$G$13)&lt;=9,1000+(Eingabe!$G$13)*100,3000)+34,"")</f>
        <v/>
      </c>
      <c r="F850" s="21" t="str">
        <f aca="false">IF(AND(Eingabe!$F$13&gt;0,Eingabe!$E$13&gt;=34),"10."&amp;Eingabe!$D$13&amp;".34.0/24","")</f>
        <v/>
      </c>
      <c r="G850" s="21" t="str">
        <f aca="false">IF(AND(Eingabe!$F$13&gt;0,Eingabe!$E$13&gt;=34),"10."&amp;Eingabe!$D$13&amp;".34.1","")</f>
        <v/>
      </c>
      <c r="H850" s="21" t="str">
        <f aca="false">IF(AND(Eingabe!$F$13&gt;0,Eingabe!$E$13&gt;=34),"10."&amp;Eingabe!$D$13&amp;".34.10 – 10."&amp;Eingabe!$D$13&amp;".34.250","")</f>
        <v/>
      </c>
      <c r="I850" s="21" t="str">
        <f aca="false">IF(AND(Eingabe!$F$13&gt;0,Eingabe!$E$13&gt;=34),Eingabe!$B$6&amp;"-"&amp;Eingabe!$C$13&amp;"-Pächter","")</f>
        <v/>
      </c>
      <c r="J850" s="21" t="str">
        <f aca="false">IF(AND(Eingabe!$F$13&gt;0,Eingabe!$E$13&gt;=34),"PPSK: Passwort Parzelle 34","")</f>
        <v/>
      </c>
      <c r="K850" s="21" t="str">
        <f aca="false">IF(AND(Eingabe!$F$13&gt;0,Eingabe!$E$13&gt;=34),"1. Gerät: 10."&amp;Eingabe!$D$13&amp;".34.10, 2. Gerät: .11","")</f>
        <v/>
      </c>
    </row>
    <row r="851" customFormat="false" ht="15" hidden="false" customHeight="false" outlineLevel="0" collapsed="false">
      <c r="A851" s="21" t="str">
        <f aca="false">IF(AND(Eingabe!$F$13&gt;0,Eingabe!$E$13&gt;=35),5,"")</f>
        <v/>
      </c>
      <c r="B851" s="21" t="str">
        <f aca="false">IF(AND(Eingabe!$F$13&gt;0,Eingabe!$E$13&gt;=35),Eingabe!$B$13,"")</f>
        <v/>
      </c>
      <c r="C851" s="21" t="str">
        <f aca="false">IF(AND(Eingabe!$F$13&gt;0,Eingabe!$E$13&gt;=35),Eingabe!$C$13&amp;"-Paz."&amp;TEXT(35,"000"),"")</f>
        <v/>
      </c>
      <c r="D851" s="21" t="str">
        <f aca="false">IF(AND(Eingabe!$F$13&gt;0,Eingabe!$E$13&gt;=35),35,"")</f>
        <v/>
      </c>
      <c r="E851" s="21" t="str">
        <f aca="false">IF(AND(Eingabe!$F$13&gt;0,Eingabe!$E$13&gt;=35),IF((Eingabe!$G$13)&lt;=9,1000+(Eingabe!$G$13)*100,3000)+35,"")</f>
        <v/>
      </c>
      <c r="F851" s="21" t="str">
        <f aca="false">IF(AND(Eingabe!$F$13&gt;0,Eingabe!$E$13&gt;=35),"10."&amp;Eingabe!$D$13&amp;".35.0/24","")</f>
        <v/>
      </c>
      <c r="G851" s="21" t="str">
        <f aca="false">IF(AND(Eingabe!$F$13&gt;0,Eingabe!$E$13&gt;=35),"10."&amp;Eingabe!$D$13&amp;".35.1","")</f>
        <v/>
      </c>
      <c r="H851" s="21" t="str">
        <f aca="false">IF(AND(Eingabe!$F$13&gt;0,Eingabe!$E$13&gt;=35),"10."&amp;Eingabe!$D$13&amp;".35.10 – 10."&amp;Eingabe!$D$13&amp;".35.250","")</f>
        <v/>
      </c>
      <c r="I851" s="21" t="str">
        <f aca="false">IF(AND(Eingabe!$F$13&gt;0,Eingabe!$E$13&gt;=35),Eingabe!$B$6&amp;"-"&amp;Eingabe!$C$13&amp;"-Pächter","")</f>
        <v/>
      </c>
      <c r="J851" s="21" t="str">
        <f aca="false">IF(AND(Eingabe!$F$13&gt;0,Eingabe!$E$13&gt;=35),"PPSK: Passwort Parzelle 35","")</f>
        <v/>
      </c>
      <c r="K851" s="21" t="str">
        <f aca="false">IF(AND(Eingabe!$F$13&gt;0,Eingabe!$E$13&gt;=35),"1. Gerät: 10."&amp;Eingabe!$D$13&amp;".35.10, 2. Gerät: .11","")</f>
        <v/>
      </c>
    </row>
    <row r="852" customFormat="false" ht="15" hidden="false" customHeight="false" outlineLevel="0" collapsed="false">
      <c r="A852" s="21" t="str">
        <f aca="false">IF(AND(Eingabe!$F$13&gt;0,Eingabe!$E$13&gt;=36),5,"")</f>
        <v/>
      </c>
      <c r="B852" s="21" t="str">
        <f aca="false">IF(AND(Eingabe!$F$13&gt;0,Eingabe!$E$13&gt;=36),Eingabe!$B$13,"")</f>
        <v/>
      </c>
      <c r="C852" s="21" t="str">
        <f aca="false">IF(AND(Eingabe!$F$13&gt;0,Eingabe!$E$13&gt;=36),Eingabe!$C$13&amp;"-Paz."&amp;TEXT(36,"000"),"")</f>
        <v/>
      </c>
      <c r="D852" s="21" t="str">
        <f aca="false">IF(AND(Eingabe!$F$13&gt;0,Eingabe!$E$13&gt;=36),36,"")</f>
        <v/>
      </c>
      <c r="E852" s="21" t="str">
        <f aca="false">IF(AND(Eingabe!$F$13&gt;0,Eingabe!$E$13&gt;=36),IF((Eingabe!$G$13)&lt;=9,1000+(Eingabe!$G$13)*100,3000)+36,"")</f>
        <v/>
      </c>
      <c r="F852" s="21" t="str">
        <f aca="false">IF(AND(Eingabe!$F$13&gt;0,Eingabe!$E$13&gt;=36),"10."&amp;Eingabe!$D$13&amp;".36.0/24","")</f>
        <v/>
      </c>
      <c r="G852" s="21" t="str">
        <f aca="false">IF(AND(Eingabe!$F$13&gt;0,Eingabe!$E$13&gt;=36),"10."&amp;Eingabe!$D$13&amp;".36.1","")</f>
        <v/>
      </c>
      <c r="H852" s="21" t="str">
        <f aca="false">IF(AND(Eingabe!$F$13&gt;0,Eingabe!$E$13&gt;=36),"10."&amp;Eingabe!$D$13&amp;".36.10 – 10."&amp;Eingabe!$D$13&amp;".36.250","")</f>
        <v/>
      </c>
      <c r="I852" s="21" t="str">
        <f aca="false">IF(AND(Eingabe!$F$13&gt;0,Eingabe!$E$13&gt;=36),Eingabe!$B$6&amp;"-"&amp;Eingabe!$C$13&amp;"-Pächter","")</f>
        <v/>
      </c>
      <c r="J852" s="21" t="str">
        <f aca="false">IF(AND(Eingabe!$F$13&gt;0,Eingabe!$E$13&gt;=36),"PPSK: Passwort Parzelle 36","")</f>
        <v/>
      </c>
      <c r="K852" s="21" t="str">
        <f aca="false">IF(AND(Eingabe!$F$13&gt;0,Eingabe!$E$13&gt;=36),"1. Gerät: 10."&amp;Eingabe!$D$13&amp;".36.10, 2. Gerät: .11","")</f>
        <v/>
      </c>
    </row>
    <row r="853" customFormat="false" ht="15" hidden="false" customHeight="false" outlineLevel="0" collapsed="false">
      <c r="A853" s="21" t="str">
        <f aca="false">IF(AND(Eingabe!$F$13&gt;0,Eingabe!$E$13&gt;=37),5,"")</f>
        <v/>
      </c>
      <c r="B853" s="21" t="str">
        <f aca="false">IF(AND(Eingabe!$F$13&gt;0,Eingabe!$E$13&gt;=37),Eingabe!$B$13,"")</f>
        <v/>
      </c>
      <c r="C853" s="21" t="str">
        <f aca="false">IF(AND(Eingabe!$F$13&gt;0,Eingabe!$E$13&gt;=37),Eingabe!$C$13&amp;"-Paz."&amp;TEXT(37,"000"),"")</f>
        <v/>
      </c>
      <c r="D853" s="21" t="str">
        <f aca="false">IF(AND(Eingabe!$F$13&gt;0,Eingabe!$E$13&gt;=37),37,"")</f>
        <v/>
      </c>
      <c r="E853" s="21" t="str">
        <f aca="false">IF(AND(Eingabe!$F$13&gt;0,Eingabe!$E$13&gt;=37),IF((Eingabe!$G$13)&lt;=9,1000+(Eingabe!$G$13)*100,3000)+37,"")</f>
        <v/>
      </c>
      <c r="F853" s="21" t="str">
        <f aca="false">IF(AND(Eingabe!$F$13&gt;0,Eingabe!$E$13&gt;=37),"10."&amp;Eingabe!$D$13&amp;".37.0/24","")</f>
        <v/>
      </c>
      <c r="G853" s="21" t="str">
        <f aca="false">IF(AND(Eingabe!$F$13&gt;0,Eingabe!$E$13&gt;=37),"10."&amp;Eingabe!$D$13&amp;".37.1","")</f>
        <v/>
      </c>
      <c r="H853" s="21" t="str">
        <f aca="false">IF(AND(Eingabe!$F$13&gt;0,Eingabe!$E$13&gt;=37),"10."&amp;Eingabe!$D$13&amp;".37.10 – 10."&amp;Eingabe!$D$13&amp;".37.250","")</f>
        <v/>
      </c>
      <c r="I853" s="21" t="str">
        <f aca="false">IF(AND(Eingabe!$F$13&gt;0,Eingabe!$E$13&gt;=37),Eingabe!$B$6&amp;"-"&amp;Eingabe!$C$13&amp;"-Pächter","")</f>
        <v/>
      </c>
      <c r="J853" s="21" t="str">
        <f aca="false">IF(AND(Eingabe!$F$13&gt;0,Eingabe!$E$13&gt;=37),"PPSK: Passwort Parzelle 37","")</f>
        <v/>
      </c>
      <c r="K853" s="21" t="str">
        <f aca="false">IF(AND(Eingabe!$F$13&gt;0,Eingabe!$E$13&gt;=37),"1. Gerät: 10."&amp;Eingabe!$D$13&amp;".37.10, 2. Gerät: .11","")</f>
        <v/>
      </c>
    </row>
    <row r="854" customFormat="false" ht="15" hidden="false" customHeight="false" outlineLevel="0" collapsed="false">
      <c r="A854" s="21" t="str">
        <f aca="false">IF(AND(Eingabe!$F$13&gt;0,Eingabe!$E$13&gt;=38),5,"")</f>
        <v/>
      </c>
      <c r="B854" s="21" t="str">
        <f aca="false">IF(AND(Eingabe!$F$13&gt;0,Eingabe!$E$13&gt;=38),Eingabe!$B$13,"")</f>
        <v/>
      </c>
      <c r="C854" s="21" t="str">
        <f aca="false">IF(AND(Eingabe!$F$13&gt;0,Eingabe!$E$13&gt;=38),Eingabe!$C$13&amp;"-Paz."&amp;TEXT(38,"000"),"")</f>
        <v/>
      </c>
      <c r="D854" s="21" t="str">
        <f aca="false">IF(AND(Eingabe!$F$13&gt;0,Eingabe!$E$13&gt;=38),38,"")</f>
        <v/>
      </c>
      <c r="E854" s="21" t="str">
        <f aca="false">IF(AND(Eingabe!$F$13&gt;0,Eingabe!$E$13&gt;=38),IF((Eingabe!$G$13)&lt;=9,1000+(Eingabe!$G$13)*100,3000)+38,"")</f>
        <v/>
      </c>
      <c r="F854" s="21" t="str">
        <f aca="false">IF(AND(Eingabe!$F$13&gt;0,Eingabe!$E$13&gt;=38),"10."&amp;Eingabe!$D$13&amp;".38.0/24","")</f>
        <v/>
      </c>
      <c r="G854" s="21" t="str">
        <f aca="false">IF(AND(Eingabe!$F$13&gt;0,Eingabe!$E$13&gt;=38),"10."&amp;Eingabe!$D$13&amp;".38.1","")</f>
        <v/>
      </c>
      <c r="H854" s="21" t="str">
        <f aca="false">IF(AND(Eingabe!$F$13&gt;0,Eingabe!$E$13&gt;=38),"10."&amp;Eingabe!$D$13&amp;".38.10 – 10."&amp;Eingabe!$D$13&amp;".38.250","")</f>
        <v/>
      </c>
      <c r="I854" s="21" t="str">
        <f aca="false">IF(AND(Eingabe!$F$13&gt;0,Eingabe!$E$13&gt;=38),Eingabe!$B$6&amp;"-"&amp;Eingabe!$C$13&amp;"-Pächter","")</f>
        <v/>
      </c>
      <c r="J854" s="21" t="str">
        <f aca="false">IF(AND(Eingabe!$F$13&gt;0,Eingabe!$E$13&gt;=38),"PPSK: Passwort Parzelle 38","")</f>
        <v/>
      </c>
      <c r="K854" s="21" t="str">
        <f aca="false">IF(AND(Eingabe!$F$13&gt;0,Eingabe!$E$13&gt;=38),"1. Gerät: 10."&amp;Eingabe!$D$13&amp;".38.10, 2. Gerät: .11","")</f>
        <v/>
      </c>
    </row>
    <row r="855" customFormat="false" ht="15" hidden="false" customHeight="false" outlineLevel="0" collapsed="false">
      <c r="A855" s="21" t="str">
        <f aca="false">IF(AND(Eingabe!$F$13&gt;0,Eingabe!$E$13&gt;=39),5,"")</f>
        <v/>
      </c>
      <c r="B855" s="21" t="str">
        <f aca="false">IF(AND(Eingabe!$F$13&gt;0,Eingabe!$E$13&gt;=39),Eingabe!$B$13,"")</f>
        <v/>
      </c>
      <c r="C855" s="21" t="str">
        <f aca="false">IF(AND(Eingabe!$F$13&gt;0,Eingabe!$E$13&gt;=39),Eingabe!$C$13&amp;"-Paz."&amp;TEXT(39,"000"),"")</f>
        <v/>
      </c>
      <c r="D855" s="21" t="str">
        <f aca="false">IF(AND(Eingabe!$F$13&gt;0,Eingabe!$E$13&gt;=39),39,"")</f>
        <v/>
      </c>
      <c r="E855" s="21" t="str">
        <f aca="false">IF(AND(Eingabe!$F$13&gt;0,Eingabe!$E$13&gt;=39),IF((Eingabe!$G$13)&lt;=9,1000+(Eingabe!$G$13)*100,3000)+39,"")</f>
        <v/>
      </c>
      <c r="F855" s="21" t="str">
        <f aca="false">IF(AND(Eingabe!$F$13&gt;0,Eingabe!$E$13&gt;=39),"10."&amp;Eingabe!$D$13&amp;".39.0/24","")</f>
        <v/>
      </c>
      <c r="G855" s="21" t="str">
        <f aca="false">IF(AND(Eingabe!$F$13&gt;0,Eingabe!$E$13&gt;=39),"10."&amp;Eingabe!$D$13&amp;".39.1","")</f>
        <v/>
      </c>
      <c r="H855" s="21" t="str">
        <f aca="false">IF(AND(Eingabe!$F$13&gt;0,Eingabe!$E$13&gt;=39),"10."&amp;Eingabe!$D$13&amp;".39.10 – 10."&amp;Eingabe!$D$13&amp;".39.250","")</f>
        <v/>
      </c>
      <c r="I855" s="21" t="str">
        <f aca="false">IF(AND(Eingabe!$F$13&gt;0,Eingabe!$E$13&gt;=39),Eingabe!$B$6&amp;"-"&amp;Eingabe!$C$13&amp;"-Pächter","")</f>
        <v/>
      </c>
      <c r="J855" s="21" t="str">
        <f aca="false">IF(AND(Eingabe!$F$13&gt;0,Eingabe!$E$13&gt;=39),"PPSK: Passwort Parzelle 39","")</f>
        <v/>
      </c>
      <c r="K855" s="21" t="str">
        <f aca="false">IF(AND(Eingabe!$F$13&gt;0,Eingabe!$E$13&gt;=39),"1. Gerät: 10."&amp;Eingabe!$D$13&amp;".39.10, 2. Gerät: .11","")</f>
        <v/>
      </c>
    </row>
    <row r="856" customFormat="false" ht="15" hidden="false" customHeight="false" outlineLevel="0" collapsed="false">
      <c r="A856" s="21" t="str">
        <f aca="false">IF(AND(Eingabe!$F$13&gt;0,Eingabe!$E$13&gt;=40),5,"")</f>
        <v/>
      </c>
      <c r="B856" s="21" t="str">
        <f aca="false">IF(AND(Eingabe!$F$13&gt;0,Eingabe!$E$13&gt;=40),Eingabe!$B$13,"")</f>
        <v/>
      </c>
      <c r="C856" s="21" t="str">
        <f aca="false">IF(AND(Eingabe!$F$13&gt;0,Eingabe!$E$13&gt;=40),Eingabe!$C$13&amp;"-Paz."&amp;TEXT(40,"000"),"")</f>
        <v/>
      </c>
      <c r="D856" s="21" t="str">
        <f aca="false">IF(AND(Eingabe!$F$13&gt;0,Eingabe!$E$13&gt;=40),40,"")</f>
        <v/>
      </c>
      <c r="E856" s="21" t="str">
        <f aca="false">IF(AND(Eingabe!$F$13&gt;0,Eingabe!$E$13&gt;=40),IF((Eingabe!$G$13)&lt;=9,1000+(Eingabe!$G$13)*100,3000)+40,"")</f>
        <v/>
      </c>
      <c r="F856" s="21" t="str">
        <f aca="false">IF(AND(Eingabe!$F$13&gt;0,Eingabe!$E$13&gt;=40),"10."&amp;Eingabe!$D$13&amp;".40.0/24","")</f>
        <v/>
      </c>
      <c r="G856" s="21" t="str">
        <f aca="false">IF(AND(Eingabe!$F$13&gt;0,Eingabe!$E$13&gt;=40),"10."&amp;Eingabe!$D$13&amp;".40.1","")</f>
        <v/>
      </c>
      <c r="H856" s="21" t="str">
        <f aca="false">IF(AND(Eingabe!$F$13&gt;0,Eingabe!$E$13&gt;=40),"10."&amp;Eingabe!$D$13&amp;".40.10 – 10."&amp;Eingabe!$D$13&amp;".40.250","")</f>
        <v/>
      </c>
      <c r="I856" s="21" t="str">
        <f aca="false">IF(AND(Eingabe!$F$13&gt;0,Eingabe!$E$13&gt;=40),Eingabe!$B$6&amp;"-"&amp;Eingabe!$C$13&amp;"-Pächter","")</f>
        <v/>
      </c>
      <c r="J856" s="21" t="str">
        <f aca="false">IF(AND(Eingabe!$F$13&gt;0,Eingabe!$E$13&gt;=40),"PPSK: Passwort Parzelle 40","")</f>
        <v/>
      </c>
      <c r="K856" s="21" t="str">
        <f aca="false">IF(AND(Eingabe!$F$13&gt;0,Eingabe!$E$13&gt;=40),"1. Gerät: 10."&amp;Eingabe!$D$13&amp;".40.10, 2. Gerät: .11","")</f>
        <v/>
      </c>
    </row>
    <row r="857" customFormat="false" ht="15" hidden="false" customHeight="false" outlineLevel="0" collapsed="false">
      <c r="A857" s="21" t="str">
        <f aca="false">IF(AND(Eingabe!$F$13&gt;0,Eingabe!$E$13&gt;=41),5,"")</f>
        <v/>
      </c>
      <c r="B857" s="21" t="str">
        <f aca="false">IF(AND(Eingabe!$F$13&gt;0,Eingabe!$E$13&gt;=41),Eingabe!$B$13,"")</f>
        <v/>
      </c>
      <c r="C857" s="21" t="str">
        <f aca="false">IF(AND(Eingabe!$F$13&gt;0,Eingabe!$E$13&gt;=41),Eingabe!$C$13&amp;"-Paz."&amp;TEXT(41,"000"),"")</f>
        <v/>
      </c>
      <c r="D857" s="21" t="str">
        <f aca="false">IF(AND(Eingabe!$F$13&gt;0,Eingabe!$E$13&gt;=41),41,"")</f>
        <v/>
      </c>
      <c r="E857" s="21" t="str">
        <f aca="false">IF(AND(Eingabe!$F$13&gt;0,Eingabe!$E$13&gt;=41),IF((Eingabe!$G$13)&lt;=9,1000+(Eingabe!$G$13)*100,3000)+41,"")</f>
        <v/>
      </c>
      <c r="F857" s="21" t="str">
        <f aca="false">IF(AND(Eingabe!$F$13&gt;0,Eingabe!$E$13&gt;=41),"10."&amp;Eingabe!$D$13&amp;".41.0/24","")</f>
        <v/>
      </c>
      <c r="G857" s="21" t="str">
        <f aca="false">IF(AND(Eingabe!$F$13&gt;0,Eingabe!$E$13&gt;=41),"10."&amp;Eingabe!$D$13&amp;".41.1","")</f>
        <v/>
      </c>
      <c r="H857" s="21" t="str">
        <f aca="false">IF(AND(Eingabe!$F$13&gt;0,Eingabe!$E$13&gt;=41),"10."&amp;Eingabe!$D$13&amp;".41.10 – 10."&amp;Eingabe!$D$13&amp;".41.250","")</f>
        <v/>
      </c>
      <c r="I857" s="21" t="str">
        <f aca="false">IF(AND(Eingabe!$F$13&gt;0,Eingabe!$E$13&gt;=41),Eingabe!$B$6&amp;"-"&amp;Eingabe!$C$13&amp;"-Pächter","")</f>
        <v/>
      </c>
      <c r="J857" s="21" t="str">
        <f aca="false">IF(AND(Eingabe!$F$13&gt;0,Eingabe!$E$13&gt;=41),"PPSK: Passwort Parzelle 41","")</f>
        <v/>
      </c>
      <c r="K857" s="21" t="str">
        <f aca="false">IF(AND(Eingabe!$F$13&gt;0,Eingabe!$E$13&gt;=41),"1. Gerät: 10."&amp;Eingabe!$D$13&amp;".41.10, 2. Gerät: .11","")</f>
        <v/>
      </c>
    </row>
    <row r="858" customFormat="false" ht="15" hidden="false" customHeight="false" outlineLevel="0" collapsed="false">
      <c r="A858" s="21" t="str">
        <f aca="false">IF(AND(Eingabe!$F$13&gt;0,Eingabe!$E$13&gt;=42),5,"")</f>
        <v/>
      </c>
      <c r="B858" s="21" t="str">
        <f aca="false">IF(AND(Eingabe!$F$13&gt;0,Eingabe!$E$13&gt;=42),Eingabe!$B$13,"")</f>
        <v/>
      </c>
      <c r="C858" s="21" t="str">
        <f aca="false">IF(AND(Eingabe!$F$13&gt;0,Eingabe!$E$13&gt;=42),Eingabe!$C$13&amp;"-Paz."&amp;TEXT(42,"000"),"")</f>
        <v/>
      </c>
      <c r="D858" s="21" t="str">
        <f aca="false">IF(AND(Eingabe!$F$13&gt;0,Eingabe!$E$13&gt;=42),42,"")</f>
        <v/>
      </c>
      <c r="E858" s="21" t="str">
        <f aca="false">IF(AND(Eingabe!$F$13&gt;0,Eingabe!$E$13&gt;=42),IF((Eingabe!$G$13)&lt;=9,1000+(Eingabe!$G$13)*100,3000)+42,"")</f>
        <v/>
      </c>
      <c r="F858" s="21" t="str">
        <f aca="false">IF(AND(Eingabe!$F$13&gt;0,Eingabe!$E$13&gt;=42),"10."&amp;Eingabe!$D$13&amp;".42.0/24","")</f>
        <v/>
      </c>
      <c r="G858" s="21" t="str">
        <f aca="false">IF(AND(Eingabe!$F$13&gt;0,Eingabe!$E$13&gt;=42),"10."&amp;Eingabe!$D$13&amp;".42.1","")</f>
        <v/>
      </c>
      <c r="H858" s="21" t="str">
        <f aca="false">IF(AND(Eingabe!$F$13&gt;0,Eingabe!$E$13&gt;=42),"10."&amp;Eingabe!$D$13&amp;".42.10 – 10."&amp;Eingabe!$D$13&amp;".42.250","")</f>
        <v/>
      </c>
      <c r="I858" s="21" t="str">
        <f aca="false">IF(AND(Eingabe!$F$13&gt;0,Eingabe!$E$13&gt;=42),Eingabe!$B$6&amp;"-"&amp;Eingabe!$C$13&amp;"-Pächter","")</f>
        <v/>
      </c>
      <c r="J858" s="21" t="str">
        <f aca="false">IF(AND(Eingabe!$F$13&gt;0,Eingabe!$E$13&gt;=42),"PPSK: Passwort Parzelle 42","")</f>
        <v/>
      </c>
      <c r="K858" s="21" t="str">
        <f aca="false">IF(AND(Eingabe!$F$13&gt;0,Eingabe!$E$13&gt;=42),"1. Gerät: 10."&amp;Eingabe!$D$13&amp;".42.10, 2. Gerät: .11","")</f>
        <v/>
      </c>
    </row>
    <row r="859" customFormat="false" ht="15" hidden="false" customHeight="false" outlineLevel="0" collapsed="false">
      <c r="A859" s="21" t="str">
        <f aca="false">IF(AND(Eingabe!$F$13&gt;0,Eingabe!$E$13&gt;=43),5,"")</f>
        <v/>
      </c>
      <c r="B859" s="21" t="str">
        <f aca="false">IF(AND(Eingabe!$F$13&gt;0,Eingabe!$E$13&gt;=43),Eingabe!$B$13,"")</f>
        <v/>
      </c>
      <c r="C859" s="21" t="str">
        <f aca="false">IF(AND(Eingabe!$F$13&gt;0,Eingabe!$E$13&gt;=43),Eingabe!$C$13&amp;"-Paz."&amp;TEXT(43,"000"),"")</f>
        <v/>
      </c>
      <c r="D859" s="21" t="str">
        <f aca="false">IF(AND(Eingabe!$F$13&gt;0,Eingabe!$E$13&gt;=43),43,"")</f>
        <v/>
      </c>
      <c r="E859" s="21" t="str">
        <f aca="false">IF(AND(Eingabe!$F$13&gt;0,Eingabe!$E$13&gt;=43),IF((Eingabe!$G$13)&lt;=9,1000+(Eingabe!$G$13)*100,3000)+43,"")</f>
        <v/>
      </c>
      <c r="F859" s="21" t="str">
        <f aca="false">IF(AND(Eingabe!$F$13&gt;0,Eingabe!$E$13&gt;=43),"10."&amp;Eingabe!$D$13&amp;".43.0/24","")</f>
        <v/>
      </c>
      <c r="G859" s="21" t="str">
        <f aca="false">IF(AND(Eingabe!$F$13&gt;0,Eingabe!$E$13&gt;=43),"10."&amp;Eingabe!$D$13&amp;".43.1","")</f>
        <v/>
      </c>
      <c r="H859" s="21" t="str">
        <f aca="false">IF(AND(Eingabe!$F$13&gt;0,Eingabe!$E$13&gt;=43),"10."&amp;Eingabe!$D$13&amp;".43.10 – 10."&amp;Eingabe!$D$13&amp;".43.250","")</f>
        <v/>
      </c>
      <c r="I859" s="21" t="str">
        <f aca="false">IF(AND(Eingabe!$F$13&gt;0,Eingabe!$E$13&gt;=43),Eingabe!$B$6&amp;"-"&amp;Eingabe!$C$13&amp;"-Pächter","")</f>
        <v/>
      </c>
      <c r="J859" s="21" t="str">
        <f aca="false">IF(AND(Eingabe!$F$13&gt;0,Eingabe!$E$13&gt;=43),"PPSK: Passwort Parzelle 43","")</f>
        <v/>
      </c>
      <c r="K859" s="21" t="str">
        <f aca="false">IF(AND(Eingabe!$F$13&gt;0,Eingabe!$E$13&gt;=43),"1. Gerät: 10."&amp;Eingabe!$D$13&amp;".43.10, 2. Gerät: .11","")</f>
        <v/>
      </c>
    </row>
    <row r="860" customFormat="false" ht="15" hidden="false" customHeight="false" outlineLevel="0" collapsed="false">
      <c r="A860" s="21" t="str">
        <f aca="false">IF(AND(Eingabe!$F$13&gt;0,Eingabe!$E$13&gt;=44),5,"")</f>
        <v/>
      </c>
      <c r="B860" s="21" t="str">
        <f aca="false">IF(AND(Eingabe!$F$13&gt;0,Eingabe!$E$13&gt;=44),Eingabe!$B$13,"")</f>
        <v/>
      </c>
      <c r="C860" s="21" t="str">
        <f aca="false">IF(AND(Eingabe!$F$13&gt;0,Eingabe!$E$13&gt;=44),Eingabe!$C$13&amp;"-Paz."&amp;TEXT(44,"000"),"")</f>
        <v/>
      </c>
      <c r="D860" s="21" t="str">
        <f aca="false">IF(AND(Eingabe!$F$13&gt;0,Eingabe!$E$13&gt;=44),44,"")</f>
        <v/>
      </c>
      <c r="E860" s="21" t="str">
        <f aca="false">IF(AND(Eingabe!$F$13&gt;0,Eingabe!$E$13&gt;=44),IF((Eingabe!$G$13)&lt;=9,1000+(Eingabe!$G$13)*100,3000)+44,"")</f>
        <v/>
      </c>
      <c r="F860" s="21" t="str">
        <f aca="false">IF(AND(Eingabe!$F$13&gt;0,Eingabe!$E$13&gt;=44),"10."&amp;Eingabe!$D$13&amp;".44.0/24","")</f>
        <v/>
      </c>
      <c r="G860" s="21" t="str">
        <f aca="false">IF(AND(Eingabe!$F$13&gt;0,Eingabe!$E$13&gt;=44),"10."&amp;Eingabe!$D$13&amp;".44.1","")</f>
        <v/>
      </c>
      <c r="H860" s="21" t="str">
        <f aca="false">IF(AND(Eingabe!$F$13&gt;0,Eingabe!$E$13&gt;=44),"10."&amp;Eingabe!$D$13&amp;".44.10 – 10."&amp;Eingabe!$D$13&amp;".44.250","")</f>
        <v/>
      </c>
      <c r="I860" s="21" t="str">
        <f aca="false">IF(AND(Eingabe!$F$13&gt;0,Eingabe!$E$13&gt;=44),Eingabe!$B$6&amp;"-"&amp;Eingabe!$C$13&amp;"-Pächter","")</f>
        <v/>
      </c>
      <c r="J860" s="21" t="str">
        <f aca="false">IF(AND(Eingabe!$F$13&gt;0,Eingabe!$E$13&gt;=44),"PPSK: Passwort Parzelle 44","")</f>
        <v/>
      </c>
      <c r="K860" s="21" t="str">
        <f aca="false">IF(AND(Eingabe!$F$13&gt;0,Eingabe!$E$13&gt;=44),"1. Gerät: 10."&amp;Eingabe!$D$13&amp;".44.10, 2. Gerät: .11","")</f>
        <v/>
      </c>
    </row>
    <row r="861" customFormat="false" ht="15" hidden="false" customHeight="false" outlineLevel="0" collapsed="false">
      <c r="A861" s="21" t="str">
        <f aca="false">IF(AND(Eingabe!$F$13&gt;0,Eingabe!$E$13&gt;=45),5,"")</f>
        <v/>
      </c>
      <c r="B861" s="21" t="str">
        <f aca="false">IF(AND(Eingabe!$F$13&gt;0,Eingabe!$E$13&gt;=45),Eingabe!$B$13,"")</f>
        <v/>
      </c>
      <c r="C861" s="21" t="str">
        <f aca="false">IF(AND(Eingabe!$F$13&gt;0,Eingabe!$E$13&gt;=45),Eingabe!$C$13&amp;"-Paz."&amp;TEXT(45,"000"),"")</f>
        <v/>
      </c>
      <c r="D861" s="21" t="str">
        <f aca="false">IF(AND(Eingabe!$F$13&gt;0,Eingabe!$E$13&gt;=45),45,"")</f>
        <v/>
      </c>
      <c r="E861" s="21" t="str">
        <f aca="false">IF(AND(Eingabe!$F$13&gt;0,Eingabe!$E$13&gt;=45),IF((Eingabe!$G$13)&lt;=9,1000+(Eingabe!$G$13)*100,3000)+45,"")</f>
        <v/>
      </c>
      <c r="F861" s="21" t="str">
        <f aca="false">IF(AND(Eingabe!$F$13&gt;0,Eingabe!$E$13&gt;=45),"10."&amp;Eingabe!$D$13&amp;".45.0/24","")</f>
        <v/>
      </c>
      <c r="G861" s="21" t="str">
        <f aca="false">IF(AND(Eingabe!$F$13&gt;0,Eingabe!$E$13&gt;=45),"10."&amp;Eingabe!$D$13&amp;".45.1","")</f>
        <v/>
      </c>
      <c r="H861" s="21" t="str">
        <f aca="false">IF(AND(Eingabe!$F$13&gt;0,Eingabe!$E$13&gt;=45),"10."&amp;Eingabe!$D$13&amp;".45.10 – 10."&amp;Eingabe!$D$13&amp;".45.250","")</f>
        <v/>
      </c>
      <c r="I861" s="21" t="str">
        <f aca="false">IF(AND(Eingabe!$F$13&gt;0,Eingabe!$E$13&gt;=45),Eingabe!$B$6&amp;"-"&amp;Eingabe!$C$13&amp;"-Pächter","")</f>
        <v/>
      </c>
      <c r="J861" s="21" t="str">
        <f aca="false">IF(AND(Eingabe!$F$13&gt;0,Eingabe!$E$13&gt;=45),"PPSK: Passwort Parzelle 45","")</f>
        <v/>
      </c>
      <c r="K861" s="21" t="str">
        <f aca="false">IF(AND(Eingabe!$F$13&gt;0,Eingabe!$E$13&gt;=45),"1. Gerät: 10."&amp;Eingabe!$D$13&amp;".45.10, 2. Gerät: .11","")</f>
        <v/>
      </c>
    </row>
    <row r="862" customFormat="false" ht="15" hidden="false" customHeight="false" outlineLevel="0" collapsed="false">
      <c r="A862" s="21" t="str">
        <f aca="false">IF(AND(Eingabe!$F$13&gt;0,Eingabe!$E$13&gt;=46),5,"")</f>
        <v/>
      </c>
      <c r="B862" s="21" t="str">
        <f aca="false">IF(AND(Eingabe!$F$13&gt;0,Eingabe!$E$13&gt;=46),Eingabe!$B$13,"")</f>
        <v/>
      </c>
      <c r="C862" s="21" t="str">
        <f aca="false">IF(AND(Eingabe!$F$13&gt;0,Eingabe!$E$13&gt;=46),Eingabe!$C$13&amp;"-Paz."&amp;TEXT(46,"000"),"")</f>
        <v/>
      </c>
      <c r="D862" s="21" t="str">
        <f aca="false">IF(AND(Eingabe!$F$13&gt;0,Eingabe!$E$13&gt;=46),46,"")</f>
        <v/>
      </c>
      <c r="E862" s="21" t="str">
        <f aca="false">IF(AND(Eingabe!$F$13&gt;0,Eingabe!$E$13&gt;=46),IF((Eingabe!$G$13)&lt;=9,1000+(Eingabe!$G$13)*100,3000)+46,"")</f>
        <v/>
      </c>
      <c r="F862" s="21" t="str">
        <f aca="false">IF(AND(Eingabe!$F$13&gt;0,Eingabe!$E$13&gt;=46),"10."&amp;Eingabe!$D$13&amp;".46.0/24","")</f>
        <v/>
      </c>
      <c r="G862" s="21" t="str">
        <f aca="false">IF(AND(Eingabe!$F$13&gt;0,Eingabe!$E$13&gt;=46),"10."&amp;Eingabe!$D$13&amp;".46.1","")</f>
        <v/>
      </c>
      <c r="H862" s="21" t="str">
        <f aca="false">IF(AND(Eingabe!$F$13&gt;0,Eingabe!$E$13&gt;=46),"10."&amp;Eingabe!$D$13&amp;".46.10 – 10."&amp;Eingabe!$D$13&amp;".46.250","")</f>
        <v/>
      </c>
      <c r="I862" s="21" t="str">
        <f aca="false">IF(AND(Eingabe!$F$13&gt;0,Eingabe!$E$13&gt;=46),Eingabe!$B$6&amp;"-"&amp;Eingabe!$C$13&amp;"-Pächter","")</f>
        <v/>
      </c>
      <c r="J862" s="21" t="str">
        <f aca="false">IF(AND(Eingabe!$F$13&gt;0,Eingabe!$E$13&gt;=46),"PPSK: Passwort Parzelle 46","")</f>
        <v/>
      </c>
      <c r="K862" s="21" t="str">
        <f aca="false">IF(AND(Eingabe!$F$13&gt;0,Eingabe!$E$13&gt;=46),"1. Gerät: 10."&amp;Eingabe!$D$13&amp;".46.10, 2. Gerät: .11","")</f>
        <v/>
      </c>
    </row>
    <row r="863" customFormat="false" ht="15" hidden="false" customHeight="false" outlineLevel="0" collapsed="false">
      <c r="A863" s="21" t="str">
        <f aca="false">IF(AND(Eingabe!$F$13&gt;0,Eingabe!$E$13&gt;=47),5,"")</f>
        <v/>
      </c>
      <c r="B863" s="21" t="str">
        <f aca="false">IF(AND(Eingabe!$F$13&gt;0,Eingabe!$E$13&gt;=47),Eingabe!$B$13,"")</f>
        <v/>
      </c>
      <c r="C863" s="21" t="str">
        <f aca="false">IF(AND(Eingabe!$F$13&gt;0,Eingabe!$E$13&gt;=47),Eingabe!$C$13&amp;"-Paz."&amp;TEXT(47,"000"),"")</f>
        <v/>
      </c>
      <c r="D863" s="21" t="str">
        <f aca="false">IF(AND(Eingabe!$F$13&gt;0,Eingabe!$E$13&gt;=47),47,"")</f>
        <v/>
      </c>
      <c r="E863" s="21" t="str">
        <f aca="false">IF(AND(Eingabe!$F$13&gt;0,Eingabe!$E$13&gt;=47),IF((Eingabe!$G$13)&lt;=9,1000+(Eingabe!$G$13)*100,3000)+47,"")</f>
        <v/>
      </c>
      <c r="F863" s="21" t="str">
        <f aca="false">IF(AND(Eingabe!$F$13&gt;0,Eingabe!$E$13&gt;=47),"10."&amp;Eingabe!$D$13&amp;".47.0/24","")</f>
        <v/>
      </c>
      <c r="G863" s="21" t="str">
        <f aca="false">IF(AND(Eingabe!$F$13&gt;0,Eingabe!$E$13&gt;=47),"10."&amp;Eingabe!$D$13&amp;".47.1","")</f>
        <v/>
      </c>
      <c r="H863" s="21" t="str">
        <f aca="false">IF(AND(Eingabe!$F$13&gt;0,Eingabe!$E$13&gt;=47),"10."&amp;Eingabe!$D$13&amp;".47.10 – 10."&amp;Eingabe!$D$13&amp;".47.250","")</f>
        <v/>
      </c>
      <c r="I863" s="21" t="str">
        <f aca="false">IF(AND(Eingabe!$F$13&gt;0,Eingabe!$E$13&gt;=47),Eingabe!$B$6&amp;"-"&amp;Eingabe!$C$13&amp;"-Pächter","")</f>
        <v/>
      </c>
      <c r="J863" s="21" t="str">
        <f aca="false">IF(AND(Eingabe!$F$13&gt;0,Eingabe!$E$13&gt;=47),"PPSK: Passwort Parzelle 47","")</f>
        <v/>
      </c>
      <c r="K863" s="21" t="str">
        <f aca="false">IF(AND(Eingabe!$F$13&gt;0,Eingabe!$E$13&gt;=47),"1. Gerät: 10."&amp;Eingabe!$D$13&amp;".47.10, 2. Gerät: .11","")</f>
        <v/>
      </c>
    </row>
    <row r="864" customFormat="false" ht="15" hidden="false" customHeight="false" outlineLevel="0" collapsed="false">
      <c r="A864" s="21" t="str">
        <f aca="false">IF(AND(Eingabe!$F$13&gt;0,Eingabe!$E$13&gt;=48),5,"")</f>
        <v/>
      </c>
      <c r="B864" s="21" t="str">
        <f aca="false">IF(AND(Eingabe!$F$13&gt;0,Eingabe!$E$13&gt;=48),Eingabe!$B$13,"")</f>
        <v/>
      </c>
      <c r="C864" s="21" t="str">
        <f aca="false">IF(AND(Eingabe!$F$13&gt;0,Eingabe!$E$13&gt;=48),Eingabe!$C$13&amp;"-Paz."&amp;TEXT(48,"000"),"")</f>
        <v/>
      </c>
      <c r="D864" s="21" t="str">
        <f aca="false">IF(AND(Eingabe!$F$13&gt;0,Eingabe!$E$13&gt;=48),48,"")</f>
        <v/>
      </c>
      <c r="E864" s="21" t="str">
        <f aca="false">IF(AND(Eingabe!$F$13&gt;0,Eingabe!$E$13&gt;=48),IF((Eingabe!$G$13)&lt;=9,1000+(Eingabe!$G$13)*100,3000)+48,"")</f>
        <v/>
      </c>
      <c r="F864" s="21" t="str">
        <f aca="false">IF(AND(Eingabe!$F$13&gt;0,Eingabe!$E$13&gt;=48),"10."&amp;Eingabe!$D$13&amp;".48.0/24","")</f>
        <v/>
      </c>
      <c r="G864" s="21" t="str">
        <f aca="false">IF(AND(Eingabe!$F$13&gt;0,Eingabe!$E$13&gt;=48),"10."&amp;Eingabe!$D$13&amp;".48.1","")</f>
        <v/>
      </c>
      <c r="H864" s="21" t="str">
        <f aca="false">IF(AND(Eingabe!$F$13&gt;0,Eingabe!$E$13&gt;=48),"10."&amp;Eingabe!$D$13&amp;".48.10 – 10."&amp;Eingabe!$D$13&amp;".48.250","")</f>
        <v/>
      </c>
      <c r="I864" s="21" t="str">
        <f aca="false">IF(AND(Eingabe!$F$13&gt;0,Eingabe!$E$13&gt;=48),Eingabe!$B$6&amp;"-"&amp;Eingabe!$C$13&amp;"-Pächter","")</f>
        <v/>
      </c>
      <c r="J864" s="21" t="str">
        <f aca="false">IF(AND(Eingabe!$F$13&gt;0,Eingabe!$E$13&gt;=48),"PPSK: Passwort Parzelle 48","")</f>
        <v/>
      </c>
      <c r="K864" s="21" t="str">
        <f aca="false">IF(AND(Eingabe!$F$13&gt;0,Eingabe!$E$13&gt;=48),"1. Gerät: 10."&amp;Eingabe!$D$13&amp;".48.10, 2. Gerät: .11","")</f>
        <v/>
      </c>
    </row>
    <row r="865" customFormat="false" ht="15" hidden="false" customHeight="false" outlineLevel="0" collapsed="false">
      <c r="A865" s="21" t="str">
        <f aca="false">IF(AND(Eingabe!$F$13&gt;0,Eingabe!$E$13&gt;=49),5,"")</f>
        <v/>
      </c>
      <c r="B865" s="21" t="str">
        <f aca="false">IF(AND(Eingabe!$F$13&gt;0,Eingabe!$E$13&gt;=49),Eingabe!$B$13,"")</f>
        <v/>
      </c>
      <c r="C865" s="21" t="str">
        <f aca="false">IF(AND(Eingabe!$F$13&gt;0,Eingabe!$E$13&gt;=49),Eingabe!$C$13&amp;"-Paz."&amp;TEXT(49,"000"),"")</f>
        <v/>
      </c>
      <c r="D865" s="21" t="str">
        <f aca="false">IF(AND(Eingabe!$F$13&gt;0,Eingabe!$E$13&gt;=49),49,"")</f>
        <v/>
      </c>
      <c r="E865" s="21" t="str">
        <f aca="false">IF(AND(Eingabe!$F$13&gt;0,Eingabe!$E$13&gt;=49),IF((Eingabe!$G$13)&lt;=9,1000+(Eingabe!$G$13)*100,3000)+49,"")</f>
        <v/>
      </c>
      <c r="F865" s="21" t="str">
        <f aca="false">IF(AND(Eingabe!$F$13&gt;0,Eingabe!$E$13&gt;=49),"10."&amp;Eingabe!$D$13&amp;".49.0/24","")</f>
        <v/>
      </c>
      <c r="G865" s="21" t="str">
        <f aca="false">IF(AND(Eingabe!$F$13&gt;0,Eingabe!$E$13&gt;=49),"10."&amp;Eingabe!$D$13&amp;".49.1","")</f>
        <v/>
      </c>
      <c r="H865" s="21" t="str">
        <f aca="false">IF(AND(Eingabe!$F$13&gt;0,Eingabe!$E$13&gt;=49),"10."&amp;Eingabe!$D$13&amp;".49.10 – 10."&amp;Eingabe!$D$13&amp;".49.250","")</f>
        <v/>
      </c>
      <c r="I865" s="21" t="str">
        <f aca="false">IF(AND(Eingabe!$F$13&gt;0,Eingabe!$E$13&gt;=49),Eingabe!$B$6&amp;"-"&amp;Eingabe!$C$13&amp;"-Pächter","")</f>
        <v/>
      </c>
      <c r="J865" s="21" t="str">
        <f aca="false">IF(AND(Eingabe!$F$13&gt;0,Eingabe!$E$13&gt;=49),"PPSK: Passwort Parzelle 49","")</f>
        <v/>
      </c>
      <c r="K865" s="21" t="str">
        <f aca="false">IF(AND(Eingabe!$F$13&gt;0,Eingabe!$E$13&gt;=49),"1. Gerät: 10."&amp;Eingabe!$D$13&amp;".49.10, 2. Gerät: .11","")</f>
        <v/>
      </c>
    </row>
    <row r="866" customFormat="false" ht="15" hidden="false" customHeight="false" outlineLevel="0" collapsed="false">
      <c r="A866" s="21" t="str">
        <f aca="false">IF(AND(Eingabe!$F$13&gt;0,Eingabe!$E$13&gt;=50),5,"")</f>
        <v/>
      </c>
      <c r="B866" s="21" t="str">
        <f aca="false">IF(AND(Eingabe!$F$13&gt;0,Eingabe!$E$13&gt;=50),Eingabe!$B$13,"")</f>
        <v/>
      </c>
      <c r="C866" s="21" t="str">
        <f aca="false">IF(AND(Eingabe!$F$13&gt;0,Eingabe!$E$13&gt;=50),Eingabe!$C$13&amp;"-Paz."&amp;TEXT(50,"000"),"")</f>
        <v/>
      </c>
      <c r="D866" s="21" t="str">
        <f aca="false">IF(AND(Eingabe!$F$13&gt;0,Eingabe!$E$13&gt;=50),50,"")</f>
        <v/>
      </c>
      <c r="E866" s="21" t="str">
        <f aca="false">IF(AND(Eingabe!$F$13&gt;0,Eingabe!$E$13&gt;=50),IF((Eingabe!$G$13)&lt;=9,1000+(Eingabe!$G$13)*100,3000)+50,"")</f>
        <v/>
      </c>
      <c r="F866" s="21" t="str">
        <f aca="false">IF(AND(Eingabe!$F$13&gt;0,Eingabe!$E$13&gt;=50),"10."&amp;Eingabe!$D$13&amp;".50.0/24","")</f>
        <v/>
      </c>
      <c r="G866" s="21" t="str">
        <f aca="false">IF(AND(Eingabe!$F$13&gt;0,Eingabe!$E$13&gt;=50),"10."&amp;Eingabe!$D$13&amp;".50.1","")</f>
        <v/>
      </c>
      <c r="H866" s="21" t="str">
        <f aca="false">IF(AND(Eingabe!$F$13&gt;0,Eingabe!$E$13&gt;=50),"10."&amp;Eingabe!$D$13&amp;".50.10 – 10."&amp;Eingabe!$D$13&amp;".50.250","")</f>
        <v/>
      </c>
      <c r="I866" s="21" t="str">
        <f aca="false">IF(AND(Eingabe!$F$13&gt;0,Eingabe!$E$13&gt;=50),Eingabe!$B$6&amp;"-"&amp;Eingabe!$C$13&amp;"-Pächter","")</f>
        <v/>
      </c>
      <c r="J866" s="21" t="str">
        <f aca="false">IF(AND(Eingabe!$F$13&gt;0,Eingabe!$E$13&gt;=50),"PPSK: Passwort Parzelle 50","")</f>
        <v/>
      </c>
      <c r="K866" s="21" t="str">
        <f aca="false">IF(AND(Eingabe!$F$13&gt;0,Eingabe!$E$13&gt;=50),"1. Gerät: 10."&amp;Eingabe!$D$13&amp;".50.10, 2. Gerät: .11","")</f>
        <v/>
      </c>
    </row>
    <row r="867" customFormat="false" ht="15" hidden="false" customHeight="false" outlineLevel="0" collapsed="false">
      <c r="A867" s="21" t="str">
        <f aca="false">IF(AND(Eingabe!$F$13&gt;0,Eingabe!$E$13&gt;=51),5,"")</f>
        <v/>
      </c>
      <c r="B867" s="21" t="str">
        <f aca="false">IF(AND(Eingabe!$F$13&gt;0,Eingabe!$E$13&gt;=51),Eingabe!$B$13,"")</f>
        <v/>
      </c>
      <c r="C867" s="21" t="str">
        <f aca="false">IF(AND(Eingabe!$F$13&gt;0,Eingabe!$E$13&gt;=51),Eingabe!$C$13&amp;"-Paz."&amp;TEXT(51,"000"),"")</f>
        <v/>
      </c>
      <c r="D867" s="21" t="str">
        <f aca="false">IF(AND(Eingabe!$F$13&gt;0,Eingabe!$E$13&gt;=51),51,"")</f>
        <v/>
      </c>
      <c r="E867" s="21" t="str">
        <f aca="false">IF(AND(Eingabe!$F$13&gt;0,Eingabe!$E$13&gt;=51),IF((Eingabe!$G$13)&lt;=9,1000+(Eingabe!$G$13)*100,3000)+51,"")</f>
        <v/>
      </c>
      <c r="F867" s="21" t="str">
        <f aca="false">IF(AND(Eingabe!$F$13&gt;0,Eingabe!$E$13&gt;=51),"10."&amp;Eingabe!$D$13&amp;".51.0/24","")</f>
        <v/>
      </c>
      <c r="G867" s="21" t="str">
        <f aca="false">IF(AND(Eingabe!$F$13&gt;0,Eingabe!$E$13&gt;=51),"10."&amp;Eingabe!$D$13&amp;".51.1","")</f>
        <v/>
      </c>
      <c r="H867" s="21" t="str">
        <f aca="false">IF(AND(Eingabe!$F$13&gt;0,Eingabe!$E$13&gt;=51),"10."&amp;Eingabe!$D$13&amp;".51.10 – 10."&amp;Eingabe!$D$13&amp;".51.250","")</f>
        <v/>
      </c>
      <c r="I867" s="21" t="str">
        <f aca="false">IF(AND(Eingabe!$F$13&gt;0,Eingabe!$E$13&gt;=51),Eingabe!$B$6&amp;"-"&amp;Eingabe!$C$13&amp;"-Pächter","")</f>
        <v/>
      </c>
      <c r="J867" s="21" t="str">
        <f aca="false">IF(AND(Eingabe!$F$13&gt;0,Eingabe!$E$13&gt;=51),"PPSK: Passwort Parzelle 51","")</f>
        <v/>
      </c>
      <c r="K867" s="21" t="str">
        <f aca="false">IF(AND(Eingabe!$F$13&gt;0,Eingabe!$E$13&gt;=51),"1. Gerät: 10."&amp;Eingabe!$D$13&amp;".51.10, 2. Gerät: .11","")</f>
        <v/>
      </c>
    </row>
    <row r="868" customFormat="false" ht="15" hidden="false" customHeight="false" outlineLevel="0" collapsed="false">
      <c r="A868" s="21" t="str">
        <f aca="false">IF(AND(Eingabe!$F$13&gt;0,Eingabe!$E$13&gt;=52),5,"")</f>
        <v/>
      </c>
      <c r="B868" s="21" t="str">
        <f aca="false">IF(AND(Eingabe!$F$13&gt;0,Eingabe!$E$13&gt;=52),Eingabe!$B$13,"")</f>
        <v/>
      </c>
      <c r="C868" s="21" t="str">
        <f aca="false">IF(AND(Eingabe!$F$13&gt;0,Eingabe!$E$13&gt;=52),Eingabe!$C$13&amp;"-Paz."&amp;TEXT(52,"000"),"")</f>
        <v/>
      </c>
      <c r="D868" s="21" t="str">
        <f aca="false">IF(AND(Eingabe!$F$13&gt;0,Eingabe!$E$13&gt;=52),52,"")</f>
        <v/>
      </c>
      <c r="E868" s="21" t="str">
        <f aca="false">IF(AND(Eingabe!$F$13&gt;0,Eingabe!$E$13&gt;=52),IF((Eingabe!$G$13)&lt;=9,1000+(Eingabe!$G$13)*100,3000)+52,"")</f>
        <v/>
      </c>
      <c r="F868" s="21" t="str">
        <f aca="false">IF(AND(Eingabe!$F$13&gt;0,Eingabe!$E$13&gt;=52),"10."&amp;Eingabe!$D$13&amp;".52.0/24","")</f>
        <v/>
      </c>
      <c r="G868" s="21" t="str">
        <f aca="false">IF(AND(Eingabe!$F$13&gt;0,Eingabe!$E$13&gt;=52),"10."&amp;Eingabe!$D$13&amp;".52.1","")</f>
        <v/>
      </c>
      <c r="H868" s="21" t="str">
        <f aca="false">IF(AND(Eingabe!$F$13&gt;0,Eingabe!$E$13&gt;=52),"10."&amp;Eingabe!$D$13&amp;".52.10 – 10."&amp;Eingabe!$D$13&amp;".52.250","")</f>
        <v/>
      </c>
      <c r="I868" s="21" t="str">
        <f aca="false">IF(AND(Eingabe!$F$13&gt;0,Eingabe!$E$13&gt;=52),Eingabe!$B$6&amp;"-"&amp;Eingabe!$C$13&amp;"-Pächter","")</f>
        <v/>
      </c>
      <c r="J868" s="21" t="str">
        <f aca="false">IF(AND(Eingabe!$F$13&gt;0,Eingabe!$E$13&gt;=52),"PPSK: Passwort Parzelle 52","")</f>
        <v/>
      </c>
      <c r="K868" s="21" t="str">
        <f aca="false">IF(AND(Eingabe!$F$13&gt;0,Eingabe!$E$13&gt;=52),"1. Gerät: 10."&amp;Eingabe!$D$13&amp;".52.10, 2. Gerät: .11","")</f>
        <v/>
      </c>
    </row>
    <row r="869" customFormat="false" ht="15" hidden="false" customHeight="false" outlineLevel="0" collapsed="false">
      <c r="A869" s="21" t="str">
        <f aca="false">IF(AND(Eingabe!$F$13&gt;0,Eingabe!$E$13&gt;=53),5,"")</f>
        <v/>
      </c>
      <c r="B869" s="21" t="str">
        <f aca="false">IF(AND(Eingabe!$F$13&gt;0,Eingabe!$E$13&gt;=53),Eingabe!$B$13,"")</f>
        <v/>
      </c>
      <c r="C869" s="21" t="str">
        <f aca="false">IF(AND(Eingabe!$F$13&gt;0,Eingabe!$E$13&gt;=53),Eingabe!$C$13&amp;"-Paz."&amp;TEXT(53,"000"),"")</f>
        <v/>
      </c>
      <c r="D869" s="21" t="str">
        <f aca="false">IF(AND(Eingabe!$F$13&gt;0,Eingabe!$E$13&gt;=53),53,"")</f>
        <v/>
      </c>
      <c r="E869" s="21" t="str">
        <f aca="false">IF(AND(Eingabe!$F$13&gt;0,Eingabe!$E$13&gt;=53),IF((Eingabe!$G$13)&lt;=9,1000+(Eingabe!$G$13)*100,3000)+53,"")</f>
        <v/>
      </c>
      <c r="F869" s="21" t="str">
        <f aca="false">IF(AND(Eingabe!$F$13&gt;0,Eingabe!$E$13&gt;=53),"10."&amp;Eingabe!$D$13&amp;".53.0/24","")</f>
        <v/>
      </c>
      <c r="G869" s="21" t="str">
        <f aca="false">IF(AND(Eingabe!$F$13&gt;0,Eingabe!$E$13&gt;=53),"10."&amp;Eingabe!$D$13&amp;".53.1","")</f>
        <v/>
      </c>
      <c r="H869" s="21" t="str">
        <f aca="false">IF(AND(Eingabe!$F$13&gt;0,Eingabe!$E$13&gt;=53),"10."&amp;Eingabe!$D$13&amp;".53.10 – 10."&amp;Eingabe!$D$13&amp;".53.250","")</f>
        <v/>
      </c>
      <c r="I869" s="21" t="str">
        <f aca="false">IF(AND(Eingabe!$F$13&gt;0,Eingabe!$E$13&gt;=53),Eingabe!$B$6&amp;"-"&amp;Eingabe!$C$13&amp;"-Pächter","")</f>
        <v/>
      </c>
      <c r="J869" s="21" t="str">
        <f aca="false">IF(AND(Eingabe!$F$13&gt;0,Eingabe!$E$13&gt;=53),"PPSK: Passwort Parzelle 53","")</f>
        <v/>
      </c>
      <c r="K869" s="21" t="str">
        <f aca="false">IF(AND(Eingabe!$F$13&gt;0,Eingabe!$E$13&gt;=53),"1. Gerät: 10."&amp;Eingabe!$D$13&amp;".53.10, 2. Gerät: .11","")</f>
        <v/>
      </c>
    </row>
    <row r="870" customFormat="false" ht="15" hidden="false" customHeight="false" outlineLevel="0" collapsed="false">
      <c r="A870" s="21" t="str">
        <f aca="false">IF(AND(Eingabe!$F$13&gt;0,Eingabe!$E$13&gt;=54),5,"")</f>
        <v/>
      </c>
      <c r="B870" s="21" t="str">
        <f aca="false">IF(AND(Eingabe!$F$13&gt;0,Eingabe!$E$13&gt;=54),Eingabe!$B$13,"")</f>
        <v/>
      </c>
      <c r="C870" s="21" t="str">
        <f aca="false">IF(AND(Eingabe!$F$13&gt;0,Eingabe!$E$13&gt;=54),Eingabe!$C$13&amp;"-Paz."&amp;TEXT(54,"000"),"")</f>
        <v/>
      </c>
      <c r="D870" s="21" t="str">
        <f aca="false">IF(AND(Eingabe!$F$13&gt;0,Eingabe!$E$13&gt;=54),54,"")</f>
        <v/>
      </c>
      <c r="E870" s="21" t="str">
        <f aca="false">IF(AND(Eingabe!$F$13&gt;0,Eingabe!$E$13&gt;=54),IF((Eingabe!$G$13)&lt;=9,1000+(Eingabe!$G$13)*100,3000)+54,"")</f>
        <v/>
      </c>
      <c r="F870" s="21" t="str">
        <f aca="false">IF(AND(Eingabe!$F$13&gt;0,Eingabe!$E$13&gt;=54),"10."&amp;Eingabe!$D$13&amp;".54.0/24","")</f>
        <v/>
      </c>
      <c r="G870" s="21" t="str">
        <f aca="false">IF(AND(Eingabe!$F$13&gt;0,Eingabe!$E$13&gt;=54),"10."&amp;Eingabe!$D$13&amp;".54.1","")</f>
        <v/>
      </c>
      <c r="H870" s="21" t="str">
        <f aca="false">IF(AND(Eingabe!$F$13&gt;0,Eingabe!$E$13&gt;=54),"10."&amp;Eingabe!$D$13&amp;".54.10 – 10."&amp;Eingabe!$D$13&amp;".54.250","")</f>
        <v/>
      </c>
      <c r="I870" s="21" t="str">
        <f aca="false">IF(AND(Eingabe!$F$13&gt;0,Eingabe!$E$13&gt;=54),Eingabe!$B$6&amp;"-"&amp;Eingabe!$C$13&amp;"-Pächter","")</f>
        <v/>
      </c>
      <c r="J870" s="21" t="str">
        <f aca="false">IF(AND(Eingabe!$F$13&gt;0,Eingabe!$E$13&gt;=54),"PPSK: Passwort Parzelle 54","")</f>
        <v/>
      </c>
      <c r="K870" s="21" t="str">
        <f aca="false">IF(AND(Eingabe!$F$13&gt;0,Eingabe!$E$13&gt;=54),"1. Gerät: 10."&amp;Eingabe!$D$13&amp;".54.10, 2. Gerät: .11","")</f>
        <v/>
      </c>
    </row>
    <row r="871" customFormat="false" ht="15" hidden="false" customHeight="false" outlineLevel="0" collapsed="false">
      <c r="A871" s="21" t="str">
        <f aca="false">IF(AND(Eingabe!$F$13&gt;0,Eingabe!$E$13&gt;=55),5,"")</f>
        <v/>
      </c>
      <c r="B871" s="21" t="str">
        <f aca="false">IF(AND(Eingabe!$F$13&gt;0,Eingabe!$E$13&gt;=55),Eingabe!$B$13,"")</f>
        <v/>
      </c>
      <c r="C871" s="21" t="str">
        <f aca="false">IF(AND(Eingabe!$F$13&gt;0,Eingabe!$E$13&gt;=55),Eingabe!$C$13&amp;"-Paz."&amp;TEXT(55,"000"),"")</f>
        <v/>
      </c>
      <c r="D871" s="21" t="str">
        <f aca="false">IF(AND(Eingabe!$F$13&gt;0,Eingabe!$E$13&gt;=55),55,"")</f>
        <v/>
      </c>
      <c r="E871" s="21" t="str">
        <f aca="false">IF(AND(Eingabe!$F$13&gt;0,Eingabe!$E$13&gt;=55),IF((Eingabe!$G$13)&lt;=9,1000+(Eingabe!$G$13)*100,3000)+55,"")</f>
        <v/>
      </c>
      <c r="F871" s="21" t="str">
        <f aca="false">IF(AND(Eingabe!$F$13&gt;0,Eingabe!$E$13&gt;=55),"10."&amp;Eingabe!$D$13&amp;".55.0/24","")</f>
        <v/>
      </c>
      <c r="G871" s="21" t="str">
        <f aca="false">IF(AND(Eingabe!$F$13&gt;0,Eingabe!$E$13&gt;=55),"10."&amp;Eingabe!$D$13&amp;".55.1","")</f>
        <v/>
      </c>
      <c r="H871" s="21" t="str">
        <f aca="false">IF(AND(Eingabe!$F$13&gt;0,Eingabe!$E$13&gt;=55),"10."&amp;Eingabe!$D$13&amp;".55.10 – 10."&amp;Eingabe!$D$13&amp;".55.250","")</f>
        <v/>
      </c>
      <c r="I871" s="21" t="str">
        <f aca="false">IF(AND(Eingabe!$F$13&gt;0,Eingabe!$E$13&gt;=55),Eingabe!$B$6&amp;"-"&amp;Eingabe!$C$13&amp;"-Pächter","")</f>
        <v/>
      </c>
      <c r="J871" s="21" t="str">
        <f aca="false">IF(AND(Eingabe!$F$13&gt;0,Eingabe!$E$13&gt;=55),"PPSK: Passwort Parzelle 55","")</f>
        <v/>
      </c>
      <c r="K871" s="21" t="str">
        <f aca="false">IF(AND(Eingabe!$F$13&gt;0,Eingabe!$E$13&gt;=55),"1. Gerät: 10."&amp;Eingabe!$D$13&amp;".55.10, 2. Gerät: .11","")</f>
        <v/>
      </c>
    </row>
    <row r="872" customFormat="false" ht="15" hidden="false" customHeight="false" outlineLevel="0" collapsed="false">
      <c r="A872" s="21" t="str">
        <f aca="false">IF(AND(Eingabe!$F$13&gt;0,Eingabe!$E$13&gt;=56),5,"")</f>
        <v/>
      </c>
      <c r="B872" s="21" t="str">
        <f aca="false">IF(AND(Eingabe!$F$13&gt;0,Eingabe!$E$13&gt;=56),Eingabe!$B$13,"")</f>
        <v/>
      </c>
      <c r="C872" s="21" t="str">
        <f aca="false">IF(AND(Eingabe!$F$13&gt;0,Eingabe!$E$13&gt;=56),Eingabe!$C$13&amp;"-Paz."&amp;TEXT(56,"000"),"")</f>
        <v/>
      </c>
      <c r="D872" s="21" t="str">
        <f aca="false">IF(AND(Eingabe!$F$13&gt;0,Eingabe!$E$13&gt;=56),56,"")</f>
        <v/>
      </c>
      <c r="E872" s="21" t="str">
        <f aca="false">IF(AND(Eingabe!$F$13&gt;0,Eingabe!$E$13&gt;=56),IF((Eingabe!$G$13)&lt;=9,1000+(Eingabe!$G$13)*100,3000)+56,"")</f>
        <v/>
      </c>
      <c r="F872" s="21" t="str">
        <f aca="false">IF(AND(Eingabe!$F$13&gt;0,Eingabe!$E$13&gt;=56),"10."&amp;Eingabe!$D$13&amp;".56.0/24","")</f>
        <v/>
      </c>
      <c r="G872" s="21" t="str">
        <f aca="false">IF(AND(Eingabe!$F$13&gt;0,Eingabe!$E$13&gt;=56),"10."&amp;Eingabe!$D$13&amp;".56.1","")</f>
        <v/>
      </c>
      <c r="H872" s="21" t="str">
        <f aca="false">IF(AND(Eingabe!$F$13&gt;0,Eingabe!$E$13&gt;=56),"10."&amp;Eingabe!$D$13&amp;".56.10 – 10."&amp;Eingabe!$D$13&amp;".56.250","")</f>
        <v/>
      </c>
      <c r="I872" s="21" t="str">
        <f aca="false">IF(AND(Eingabe!$F$13&gt;0,Eingabe!$E$13&gt;=56),Eingabe!$B$6&amp;"-"&amp;Eingabe!$C$13&amp;"-Pächter","")</f>
        <v/>
      </c>
      <c r="J872" s="21" t="str">
        <f aca="false">IF(AND(Eingabe!$F$13&gt;0,Eingabe!$E$13&gt;=56),"PPSK: Passwort Parzelle 56","")</f>
        <v/>
      </c>
      <c r="K872" s="21" t="str">
        <f aca="false">IF(AND(Eingabe!$F$13&gt;0,Eingabe!$E$13&gt;=56),"1. Gerät: 10."&amp;Eingabe!$D$13&amp;".56.10, 2. Gerät: .11","")</f>
        <v/>
      </c>
    </row>
    <row r="873" customFormat="false" ht="15" hidden="false" customHeight="false" outlineLevel="0" collapsed="false">
      <c r="A873" s="21" t="str">
        <f aca="false">IF(AND(Eingabe!$F$13&gt;0,Eingabe!$E$13&gt;=57),5,"")</f>
        <v/>
      </c>
      <c r="B873" s="21" t="str">
        <f aca="false">IF(AND(Eingabe!$F$13&gt;0,Eingabe!$E$13&gt;=57),Eingabe!$B$13,"")</f>
        <v/>
      </c>
      <c r="C873" s="21" t="str">
        <f aca="false">IF(AND(Eingabe!$F$13&gt;0,Eingabe!$E$13&gt;=57),Eingabe!$C$13&amp;"-Paz."&amp;TEXT(57,"000"),"")</f>
        <v/>
      </c>
      <c r="D873" s="21" t="str">
        <f aca="false">IF(AND(Eingabe!$F$13&gt;0,Eingabe!$E$13&gt;=57),57,"")</f>
        <v/>
      </c>
      <c r="E873" s="21" t="str">
        <f aca="false">IF(AND(Eingabe!$F$13&gt;0,Eingabe!$E$13&gt;=57),IF((Eingabe!$G$13)&lt;=9,1000+(Eingabe!$G$13)*100,3000)+57,"")</f>
        <v/>
      </c>
      <c r="F873" s="21" t="str">
        <f aca="false">IF(AND(Eingabe!$F$13&gt;0,Eingabe!$E$13&gt;=57),"10."&amp;Eingabe!$D$13&amp;".57.0/24","")</f>
        <v/>
      </c>
      <c r="G873" s="21" t="str">
        <f aca="false">IF(AND(Eingabe!$F$13&gt;0,Eingabe!$E$13&gt;=57),"10."&amp;Eingabe!$D$13&amp;".57.1","")</f>
        <v/>
      </c>
      <c r="H873" s="21" t="str">
        <f aca="false">IF(AND(Eingabe!$F$13&gt;0,Eingabe!$E$13&gt;=57),"10."&amp;Eingabe!$D$13&amp;".57.10 – 10."&amp;Eingabe!$D$13&amp;".57.250","")</f>
        <v/>
      </c>
      <c r="I873" s="21" t="str">
        <f aca="false">IF(AND(Eingabe!$F$13&gt;0,Eingabe!$E$13&gt;=57),Eingabe!$B$6&amp;"-"&amp;Eingabe!$C$13&amp;"-Pächter","")</f>
        <v/>
      </c>
      <c r="J873" s="21" t="str">
        <f aca="false">IF(AND(Eingabe!$F$13&gt;0,Eingabe!$E$13&gt;=57),"PPSK: Passwort Parzelle 57","")</f>
        <v/>
      </c>
      <c r="K873" s="21" t="str">
        <f aca="false">IF(AND(Eingabe!$F$13&gt;0,Eingabe!$E$13&gt;=57),"1. Gerät: 10."&amp;Eingabe!$D$13&amp;".57.10, 2. Gerät: .11","")</f>
        <v/>
      </c>
    </row>
    <row r="874" customFormat="false" ht="15" hidden="false" customHeight="false" outlineLevel="0" collapsed="false">
      <c r="A874" s="21" t="str">
        <f aca="false">IF(AND(Eingabe!$F$13&gt;0,Eingabe!$E$13&gt;=58),5,"")</f>
        <v/>
      </c>
      <c r="B874" s="21" t="str">
        <f aca="false">IF(AND(Eingabe!$F$13&gt;0,Eingabe!$E$13&gt;=58),Eingabe!$B$13,"")</f>
        <v/>
      </c>
      <c r="C874" s="21" t="str">
        <f aca="false">IF(AND(Eingabe!$F$13&gt;0,Eingabe!$E$13&gt;=58),Eingabe!$C$13&amp;"-Paz."&amp;TEXT(58,"000"),"")</f>
        <v/>
      </c>
      <c r="D874" s="21" t="str">
        <f aca="false">IF(AND(Eingabe!$F$13&gt;0,Eingabe!$E$13&gt;=58),58,"")</f>
        <v/>
      </c>
      <c r="E874" s="21" t="str">
        <f aca="false">IF(AND(Eingabe!$F$13&gt;0,Eingabe!$E$13&gt;=58),IF((Eingabe!$G$13)&lt;=9,1000+(Eingabe!$G$13)*100,3000)+58,"")</f>
        <v/>
      </c>
      <c r="F874" s="21" t="str">
        <f aca="false">IF(AND(Eingabe!$F$13&gt;0,Eingabe!$E$13&gt;=58),"10."&amp;Eingabe!$D$13&amp;".58.0/24","")</f>
        <v/>
      </c>
      <c r="G874" s="21" t="str">
        <f aca="false">IF(AND(Eingabe!$F$13&gt;0,Eingabe!$E$13&gt;=58),"10."&amp;Eingabe!$D$13&amp;".58.1","")</f>
        <v/>
      </c>
      <c r="H874" s="21" t="str">
        <f aca="false">IF(AND(Eingabe!$F$13&gt;0,Eingabe!$E$13&gt;=58),"10."&amp;Eingabe!$D$13&amp;".58.10 – 10."&amp;Eingabe!$D$13&amp;".58.250","")</f>
        <v/>
      </c>
      <c r="I874" s="21" t="str">
        <f aca="false">IF(AND(Eingabe!$F$13&gt;0,Eingabe!$E$13&gt;=58),Eingabe!$B$6&amp;"-"&amp;Eingabe!$C$13&amp;"-Pächter","")</f>
        <v/>
      </c>
      <c r="J874" s="21" t="str">
        <f aca="false">IF(AND(Eingabe!$F$13&gt;0,Eingabe!$E$13&gt;=58),"PPSK: Passwort Parzelle 58","")</f>
        <v/>
      </c>
      <c r="K874" s="21" t="str">
        <f aca="false">IF(AND(Eingabe!$F$13&gt;0,Eingabe!$E$13&gt;=58),"1. Gerät: 10."&amp;Eingabe!$D$13&amp;".58.10, 2. Gerät: .11","")</f>
        <v/>
      </c>
    </row>
    <row r="875" customFormat="false" ht="15" hidden="false" customHeight="false" outlineLevel="0" collapsed="false">
      <c r="A875" s="21" t="str">
        <f aca="false">IF(AND(Eingabe!$F$13&gt;0,Eingabe!$E$13&gt;=59),5,"")</f>
        <v/>
      </c>
      <c r="B875" s="21" t="str">
        <f aca="false">IF(AND(Eingabe!$F$13&gt;0,Eingabe!$E$13&gt;=59),Eingabe!$B$13,"")</f>
        <v/>
      </c>
      <c r="C875" s="21" t="str">
        <f aca="false">IF(AND(Eingabe!$F$13&gt;0,Eingabe!$E$13&gt;=59),Eingabe!$C$13&amp;"-Paz."&amp;TEXT(59,"000"),"")</f>
        <v/>
      </c>
      <c r="D875" s="21" t="str">
        <f aca="false">IF(AND(Eingabe!$F$13&gt;0,Eingabe!$E$13&gt;=59),59,"")</f>
        <v/>
      </c>
      <c r="E875" s="21" t="str">
        <f aca="false">IF(AND(Eingabe!$F$13&gt;0,Eingabe!$E$13&gt;=59),IF((Eingabe!$G$13)&lt;=9,1000+(Eingabe!$G$13)*100,3000)+59,"")</f>
        <v/>
      </c>
      <c r="F875" s="21" t="str">
        <f aca="false">IF(AND(Eingabe!$F$13&gt;0,Eingabe!$E$13&gt;=59),"10."&amp;Eingabe!$D$13&amp;".59.0/24","")</f>
        <v/>
      </c>
      <c r="G875" s="21" t="str">
        <f aca="false">IF(AND(Eingabe!$F$13&gt;0,Eingabe!$E$13&gt;=59),"10."&amp;Eingabe!$D$13&amp;".59.1","")</f>
        <v/>
      </c>
      <c r="H875" s="21" t="str">
        <f aca="false">IF(AND(Eingabe!$F$13&gt;0,Eingabe!$E$13&gt;=59),"10."&amp;Eingabe!$D$13&amp;".59.10 – 10."&amp;Eingabe!$D$13&amp;".59.250","")</f>
        <v/>
      </c>
      <c r="I875" s="21" t="str">
        <f aca="false">IF(AND(Eingabe!$F$13&gt;0,Eingabe!$E$13&gt;=59),Eingabe!$B$6&amp;"-"&amp;Eingabe!$C$13&amp;"-Pächter","")</f>
        <v/>
      </c>
      <c r="J875" s="21" t="str">
        <f aca="false">IF(AND(Eingabe!$F$13&gt;0,Eingabe!$E$13&gt;=59),"PPSK: Passwort Parzelle 59","")</f>
        <v/>
      </c>
      <c r="K875" s="21" t="str">
        <f aca="false">IF(AND(Eingabe!$F$13&gt;0,Eingabe!$E$13&gt;=59),"1. Gerät: 10."&amp;Eingabe!$D$13&amp;".59.10, 2. Gerät: .11","")</f>
        <v/>
      </c>
    </row>
    <row r="876" customFormat="false" ht="15" hidden="false" customHeight="false" outlineLevel="0" collapsed="false">
      <c r="A876" s="21" t="str">
        <f aca="false">IF(AND(Eingabe!$F$13&gt;0,Eingabe!$E$13&gt;=60),5,"")</f>
        <v/>
      </c>
      <c r="B876" s="21" t="str">
        <f aca="false">IF(AND(Eingabe!$F$13&gt;0,Eingabe!$E$13&gt;=60),Eingabe!$B$13,"")</f>
        <v/>
      </c>
      <c r="C876" s="21" t="str">
        <f aca="false">IF(AND(Eingabe!$F$13&gt;0,Eingabe!$E$13&gt;=60),Eingabe!$C$13&amp;"-Paz."&amp;TEXT(60,"000"),"")</f>
        <v/>
      </c>
      <c r="D876" s="21" t="str">
        <f aca="false">IF(AND(Eingabe!$F$13&gt;0,Eingabe!$E$13&gt;=60),60,"")</f>
        <v/>
      </c>
      <c r="E876" s="21" t="str">
        <f aca="false">IF(AND(Eingabe!$F$13&gt;0,Eingabe!$E$13&gt;=60),IF((Eingabe!$G$13)&lt;=9,1000+(Eingabe!$G$13)*100,3000)+60,"")</f>
        <v/>
      </c>
      <c r="F876" s="21" t="str">
        <f aca="false">IF(AND(Eingabe!$F$13&gt;0,Eingabe!$E$13&gt;=60),"10."&amp;Eingabe!$D$13&amp;".60.0/24","")</f>
        <v/>
      </c>
      <c r="G876" s="21" t="str">
        <f aca="false">IF(AND(Eingabe!$F$13&gt;0,Eingabe!$E$13&gt;=60),"10."&amp;Eingabe!$D$13&amp;".60.1","")</f>
        <v/>
      </c>
      <c r="H876" s="21" t="str">
        <f aca="false">IF(AND(Eingabe!$F$13&gt;0,Eingabe!$E$13&gt;=60),"10."&amp;Eingabe!$D$13&amp;".60.10 – 10."&amp;Eingabe!$D$13&amp;".60.250","")</f>
        <v/>
      </c>
      <c r="I876" s="21" t="str">
        <f aca="false">IF(AND(Eingabe!$F$13&gt;0,Eingabe!$E$13&gt;=60),Eingabe!$B$6&amp;"-"&amp;Eingabe!$C$13&amp;"-Pächter","")</f>
        <v/>
      </c>
      <c r="J876" s="21" t="str">
        <f aca="false">IF(AND(Eingabe!$F$13&gt;0,Eingabe!$E$13&gt;=60),"PPSK: Passwort Parzelle 60","")</f>
        <v/>
      </c>
      <c r="K876" s="21" t="str">
        <f aca="false">IF(AND(Eingabe!$F$13&gt;0,Eingabe!$E$13&gt;=60),"1. Gerät: 10."&amp;Eingabe!$D$13&amp;".60.10, 2. Gerät: .11","")</f>
        <v/>
      </c>
    </row>
    <row r="877" customFormat="false" ht="15" hidden="false" customHeight="false" outlineLevel="0" collapsed="false">
      <c r="A877" s="21" t="str">
        <f aca="false">IF(AND(Eingabe!$F$13&gt;0,Eingabe!$E$13&gt;=61),5,"")</f>
        <v/>
      </c>
      <c r="B877" s="21" t="str">
        <f aca="false">IF(AND(Eingabe!$F$13&gt;0,Eingabe!$E$13&gt;=61),Eingabe!$B$13,"")</f>
        <v/>
      </c>
      <c r="C877" s="21" t="str">
        <f aca="false">IF(AND(Eingabe!$F$13&gt;0,Eingabe!$E$13&gt;=61),Eingabe!$C$13&amp;"-Paz."&amp;TEXT(61,"000"),"")</f>
        <v/>
      </c>
      <c r="D877" s="21" t="str">
        <f aca="false">IF(AND(Eingabe!$F$13&gt;0,Eingabe!$E$13&gt;=61),61,"")</f>
        <v/>
      </c>
      <c r="E877" s="21" t="str">
        <f aca="false">IF(AND(Eingabe!$F$13&gt;0,Eingabe!$E$13&gt;=61),IF((Eingabe!$G$13)&lt;=9,1000+(Eingabe!$G$13)*100,3000)+61,"")</f>
        <v/>
      </c>
      <c r="F877" s="21" t="str">
        <f aca="false">IF(AND(Eingabe!$F$13&gt;0,Eingabe!$E$13&gt;=61),"10."&amp;Eingabe!$D$13&amp;".61.0/24","")</f>
        <v/>
      </c>
      <c r="G877" s="21" t="str">
        <f aca="false">IF(AND(Eingabe!$F$13&gt;0,Eingabe!$E$13&gt;=61),"10."&amp;Eingabe!$D$13&amp;".61.1","")</f>
        <v/>
      </c>
      <c r="H877" s="21" t="str">
        <f aca="false">IF(AND(Eingabe!$F$13&gt;0,Eingabe!$E$13&gt;=61),"10."&amp;Eingabe!$D$13&amp;".61.10 – 10."&amp;Eingabe!$D$13&amp;".61.250","")</f>
        <v/>
      </c>
      <c r="I877" s="21" t="str">
        <f aca="false">IF(AND(Eingabe!$F$13&gt;0,Eingabe!$E$13&gt;=61),Eingabe!$B$6&amp;"-"&amp;Eingabe!$C$13&amp;"-Pächter","")</f>
        <v/>
      </c>
      <c r="J877" s="21" t="str">
        <f aca="false">IF(AND(Eingabe!$F$13&gt;0,Eingabe!$E$13&gt;=61),"PPSK: Passwort Parzelle 61","")</f>
        <v/>
      </c>
      <c r="K877" s="21" t="str">
        <f aca="false">IF(AND(Eingabe!$F$13&gt;0,Eingabe!$E$13&gt;=61),"1. Gerät: 10."&amp;Eingabe!$D$13&amp;".61.10, 2. Gerät: .11","")</f>
        <v/>
      </c>
    </row>
    <row r="878" customFormat="false" ht="15" hidden="false" customHeight="false" outlineLevel="0" collapsed="false">
      <c r="A878" s="21" t="str">
        <f aca="false">IF(AND(Eingabe!$F$13&gt;0,Eingabe!$E$13&gt;=62),5,"")</f>
        <v/>
      </c>
      <c r="B878" s="21" t="str">
        <f aca="false">IF(AND(Eingabe!$F$13&gt;0,Eingabe!$E$13&gt;=62),Eingabe!$B$13,"")</f>
        <v/>
      </c>
      <c r="C878" s="21" t="str">
        <f aca="false">IF(AND(Eingabe!$F$13&gt;0,Eingabe!$E$13&gt;=62),Eingabe!$C$13&amp;"-Paz."&amp;TEXT(62,"000"),"")</f>
        <v/>
      </c>
      <c r="D878" s="21" t="str">
        <f aca="false">IF(AND(Eingabe!$F$13&gt;0,Eingabe!$E$13&gt;=62),62,"")</f>
        <v/>
      </c>
      <c r="E878" s="21" t="str">
        <f aca="false">IF(AND(Eingabe!$F$13&gt;0,Eingabe!$E$13&gt;=62),IF((Eingabe!$G$13)&lt;=9,1000+(Eingabe!$G$13)*100,3000)+62,"")</f>
        <v/>
      </c>
      <c r="F878" s="21" t="str">
        <f aca="false">IF(AND(Eingabe!$F$13&gt;0,Eingabe!$E$13&gt;=62),"10."&amp;Eingabe!$D$13&amp;".62.0/24","")</f>
        <v/>
      </c>
      <c r="G878" s="21" t="str">
        <f aca="false">IF(AND(Eingabe!$F$13&gt;0,Eingabe!$E$13&gt;=62),"10."&amp;Eingabe!$D$13&amp;".62.1","")</f>
        <v/>
      </c>
      <c r="H878" s="21" t="str">
        <f aca="false">IF(AND(Eingabe!$F$13&gt;0,Eingabe!$E$13&gt;=62),"10."&amp;Eingabe!$D$13&amp;".62.10 – 10."&amp;Eingabe!$D$13&amp;".62.250","")</f>
        <v/>
      </c>
      <c r="I878" s="21" t="str">
        <f aca="false">IF(AND(Eingabe!$F$13&gt;0,Eingabe!$E$13&gt;=62),Eingabe!$B$6&amp;"-"&amp;Eingabe!$C$13&amp;"-Pächter","")</f>
        <v/>
      </c>
      <c r="J878" s="21" t="str">
        <f aca="false">IF(AND(Eingabe!$F$13&gt;0,Eingabe!$E$13&gt;=62),"PPSK: Passwort Parzelle 62","")</f>
        <v/>
      </c>
      <c r="K878" s="21" t="str">
        <f aca="false">IF(AND(Eingabe!$F$13&gt;0,Eingabe!$E$13&gt;=62),"1. Gerät: 10."&amp;Eingabe!$D$13&amp;".62.10, 2. Gerät: .11","")</f>
        <v/>
      </c>
    </row>
    <row r="879" customFormat="false" ht="15" hidden="false" customHeight="false" outlineLevel="0" collapsed="false">
      <c r="A879" s="21" t="str">
        <f aca="false">IF(AND(Eingabe!$F$13&gt;0,Eingabe!$E$13&gt;=63),5,"")</f>
        <v/>
      </c>
      <c r="B879" s="21" t="str">
        <f aca="false">IF(AND(Eingabe!$F$13&gt;0,Eingabe!$E$13&gt;=63),Eingabe!$B$13,"")</f>
        <v/>
      </c>
      <c r="C879" s="21" t="str">
        <f aca="false">IF(AND(Eingabe!$F$13&gt;0,Eingabe!$E$13&gt;=63),Eingabe!$C$13&amp;"-Paz."&amp;TEXT(63,"000"),"")</f>
        <v/>
      </c>
      <c r="D879" s="21" t="str">
        <f aca="false">IF(AND(Eingabe!$F$13&gt;0,Eingabe!$E$13&gt;=63),63,"")</f>
        <v/>
      </c>
      <c r="E879" s="21" t="str">
        <f aca="false">IF(AND(Eingabe!$F$13&gt;0,Eingabe!$E$13&gt;=63),IF((Eingabe!$G$13)&lt;=9,1000+(Eingabe!$G$13)*100,3000)+63,"")</f>
        <v/>
      </c>
      <c r="F879" s="21" t="str">
        <f aca="false">IF(AND(Eingabe!$F$13&gt;0,Eingabe!$E$13&gt;=63),"10."&amp;Eingabe!$D$13&amp;".63.0/24","")</f>
        <v/>
      </c>
      <c r="G879" s="21" t="str">
        <f aca="false">IF(AND(Eingabe!$F$13&gt;0,Eingabe!$E$13&gt;=63),"10."&amp;Eingabe!$D$13&amp;".63.1","")</f>
        <v/>
      </c>
      <c r="H879" s="21" t="str">
        <f aca="false">IF(AND(Eingabe!$F$13&gt;0,Eingabe!$E$13&gt;=63),"10."&amp;Eingabe!$D$13&amp;".63.10 – 10."&amp;Eingabe!$D$13&amp;".63.250","")</f>
        <v/>
      </c>
      <c r="I879" s="21" t="str">
        <f aca="false">IF(AND(Eingabe!$F$13&gt;0,Eingabe!$E$13&gt;=63),Eingabe!$B$6&amp;"-"&amp;Eingabe!$C$13&amp;"-Pächter","")</f>
        <v/>
      </c>
      <c r="J879" s="21" t="str">
        <f aca="false">IF(AND(Eingabe!$F$13&gt;0,Eingabe!$E$13&gt;=63),"PPSK: Passwort Parzelle 63","")</f>
        <v/>
      </c>
      <c r="K879" s="21" t="str">
        <f aca="false">IF(AND(Eingabe!$F$13&gt;0,Eingabe!$E$13&gt;=63),"1. Gerät: 10."&amp;Eingabe!$D$13&amp;".63.10, 2. Gerät: .11","")</f>
        <v/>
      </c>
    </row>
    <row r="880" customFormat="false" ht="15" hidden="false" customHeight="false" outlineLevel="0" collapsed="false">
      <c r="A880" s="21" t="str">
        <f aca="false">IF(AND(Eingabe!$F$13&gt;0,Eingabe!$E$13&gt;=64),5,"")</f>
        <v/>
      </c>
      <c r="B880" s="21" t="str">
        <f aca="false">IF(AND(Eingabe!$F$13&gt;0,Eingabe!$E$13&gt;=64),Eingabe!$B$13,"")</f>
        <v/>
      </c>
      <c r="C880" s="21" t="str">
        <f aca="false">IF(AND(Eingabe!$F$13&gt;0,Eingabe!$E$13&gt;=64),Eingabe!$C$13&amp;"-Paz."&amp;TEXT(64,"000"),"")</f>
        <v/>
      </c>
      <c r="D880" s="21" t="str">
        <f aca="false">IF(AND(Eingabe!$F$13&gt;0,Eingabe!$E$13&gt;=64),64,"")</f>
        <v/>
      </c>
      <c r="E880" s="21" t="str">
        <f aca="false">IF(AND(Eingabe!$F$13&gt;0,Eingabe!$E$13&gt;=64),IF((Eingabe!$G$13)&lt;=9,1000+(Eingabe!$G$13)*100,3000)+64,"")</f>
        <v/>
      </c>
      <c r="F880" s="21" t="str">
        <f aca="false">IF(AND(Eingabe!$F$13&gt;0,Eingabe!$E$13&gt;=64),"10."&amp;Eingabe!$D$13&amp;".64.0/24","")</f>
        <v/>
      </c>
      <c r="G880" s="21" t="str">
        <f aca="false">IF(AND(Eingabe!$F$13&gt;0,Eingabe!$E$13&gt;=64),"10."&amp;Eingabe!$D$13&amp;".64.1","")</f>
        <v/>
      </c>
      <c r="H880" s="21" t="str">
        <f aca="false">IF(AND(Eingabe!$F$13&gt;0,Eingabe!$E$13&gt;=64),"10."&amp;Eingabe!$D$13&amp;".64.10 – 10."&amp;Eingabe!$D$13&amp;".64.250","")</f>
        <v/>
      </c>
      <c r="I880" s="21" t="str">
        <f aca="false">IF(AND(Eingabe!$F$13&gt;0,Eingabe!$E$13&gt;=64),Eingabe!$B$6&amp;"-"&amp;Eingabe!$C$13&amp;"-Pächter","")</f>
        <v/>
      </c>
      <c r="J880" s="21" t="str">
        <f aca="false">IF(AND(Eingabe!$F$13&gt;0,Eingabe!$E$13&gt;=64),"PPSK: Passwort Parzelle 64","")</f>
        <v/>
      </c>
      <c r="K880" s="21" t="str">
        <f aca="false">IF(AND(Eingabe!$F$13&gt;0,Eingabe!$E$13&gt;=64),"1. Gerät: 10."&amp;Eingabe!$D$13&amp;".64.10, 2. Gerät: .11","")</f>
        <v/>
      </c>
    </row>
    <row r="881" customFormat="false" ht="15" hidden="false" customHeight="false" outlineLevel="0" collapsed="false">
      <c r="A881" s="21" t="str">
        <f aca="false">IF(AND(Eingabe!$F$13&gt;0,Eingabe!$E$13&gt;=65),5,"")</f>
        <v/>
      </c>
      <c r="B881" s="21" t="str">
        <f aca="false">IF(AND(Eingabe!$F$13&gt;0,Eingabe!$E$13&gt;=65),Eingabe!$B$13,"")</f>
        <v/>
      </c>
      <c r="C881" s="21" t="str">
        <f aca="false">IF(AND(Eingabe!$F$13&gt;0,Eingabe!$E$13&gt;=65),Eingabe!$C$13&amp;"-Paz."&amp;TEXT(65,"000"),"")</f>
        <v/>
      </c>
      <c r="D881" s="21" t="str">
        <f aca="false">IF(AND(Eingabe!$F$13&gt;0,Eingabe!$E$13&gt;=65),65,"")</f>
        <v/>
      </c>
      <c r="E881" s="21" t="str">
        <f aca="false">IF(AND(Eingabe!$F$13&gt;0,Eingabe!$E$13&gt;=65),IF((Eingabe!$G$13)&lt;=9,1000+(Eingabe!$G$13)*100,3000)+65,"")</f>
        <v/>
      </c>
      <c r="F881" s="21" t="str">
        <f aca="false">IF(AND(Eingabe!$F$13&gt;0,Eingabe!$E$13&gt;=65),"10."&amp;Eingabe!$D$13&amp;".65.0/24","")</f>
        <v/>
      </c>
      <c r="G881" s="21" t="str">
        <f aca="false">IF(AND(Eingabe!$F$13&gt;0,Eingabe!$E$13&gt;=65),"10."&amp;Eingabe!$D$13&amp;".65.1","")</f>
        <v/>
      </c>
      <c r="H881" s="21" t="str">
        <f aca="false">IF(AND(Eingabe!$F$13&gt;0,Eingabe!$E$13&gt;=65),"10."&amp;Eingabe!$D$13&amp;".65.10 – 10."&amp;Eingabe!$D$13&amp;".65.250","")</f>
        <v/>
      </c>
      <c r="I881" s="21" t="str">
        <f aca="false">IF(AND(Eingabe!$F$13&gt;0,Eingabe!$E$13&gt;=65),Eingabe!$B$6&amp;"-"&amp;Eingabe!$C$13&amp;"-Pächter","")</f>
        <v/>
      </c>
      <c r="J881" s="21" t="str">
        <f aca="false">IF(AND(Eingabe!$F$13&gt;0,Eingabe!$E$13&gt;=65),"PPSK: Passwort Parzelle 65","")</f>
        <v/>
      </c>
      <c r="K881" s="21" t="str">
        <f aca="false">IF(AND(Eingabe!$F$13&gt;0,Eingabe!$E$13&gt;=65),"1. Gerät: 10."&amp;Eingabe!$D$13&amp;".65.10, 2. Gerät: .11","")</f>
        <v/>
      </c>
    </row>
    <row r="882" customFormat="false" ht="15" hidden="false" customHeight="false" outlineLevel="0" collapsed="false">
      <c r="A882" s="21" t="str">
        <f aca="false">IF(AND(Eingabe!$F$13&gt;0,Eingabe!$E$13&gt;=66),5,"")</f>
        <v/>
      </c>
      <c r="B882" s="21" t="str">
        <f aca="false">IF(AND(Eingabe!$F$13&gt;0,Eingabe!$E$13&gt;=66),Eingabe!$B$13,"")</f>
        <v/>
      </c>
      <c r="C882" s="21" t="str">
        <f aca="false">IF(AND(Eingabe!$F$13&gt;0,Eingabe!$E$13&gt;=66),Eingabe!$C$13&amp;"-Paz."&amp;TEXT(66,"000"),"")</f>
        <v/>
      </c>
      <c r="D882" s="21" t="str">
        <f aca="false">IF(AND(Eingabe!$F$13&gt;0,Eingabe!$E$13&gt;=66),66,"")</f>
        <v/>
      </c>
      <c r="E882" s="21" t="str">
        <f aca="false">IF(AND(Eingabe!$F$13&gt;0,Eingabe!$E$13&gt;=66),IF((Eingabe!$G$13)&lt;=9,1000+(Eingabe!$G$13)*100,3000)+66,"")</f>
        <v/>
      </c>
      <c r="F882" s="21" t="str">
        <f aca="false">IF(AND(Eingabe!$F$13&gt;0,Eingabe!$E$13&gt;=66),"10."&amp;Eingabe!$D$13&amp;".66.0/24","")</f>
        <v/>
      </c>
      <c r="G882" s="21" t="str">
        <f aca="false">IF(AND(Eingabe!$F$13&gt;0,Eingabe!$E$13&gt;=66),"10."&amp;Eingabe!$D$13&amp;".66.1","")</f>
        <v/>
      </c>
      <c r="H882" s="21" t="str">
        <f aca="false">IF(AND(Eingabe!$F$13&gt;0,Eingabe!$E$13&gt;=66),"10."&amp;Eingabe!$D$13&amp;".66.10 – 10."&amp;Eingabe!$D$13&amp;".66.250","")</f>
        <v/>
      </c>
      <c r="I882" s="21" t="str">
        <f aca="false">IF(AND(Eingabe!$F$13&gt;0,Eingabe!$E$13&gt;=66),Eingabe!$B$6&amp;"-"&amp;Eingabe!$C$13&amp;"-Pächter","")</f>
        <v/>
      </c>
      <c r="J882" s="21" t="str">
        <f aca="false">IF(AND(Eingabe!$F$13&gt;0,Eingabe!$E$13&gt;=66),"PPSK: Passwort Parzelle 66","")</f>
        <v/>
      </c>
      <c r="K882" s="21" t="str">
        <f aca="false">IF(AND(Eingabe!$F$13&gt;0,Eingabe!$E$13&gt;=66),"1. Gerät: 10."&amp;Eingabe!$D$13&amp;".66.10, 2. Gerät: .11","")</f>
        <v/>
      </c>
    </row>
    <row r="883" customFormat="false" ht="15" hidden="false" customHeight="false" outlineLevel="0" collapsed="false">
      <c r="A883" s="21" t="str">
        <f aca="false">IF(AND(Eingabe!$F$13&gt;0,Eingabe!$E$13&gt;=67),5,"")</f>
        <v/>
      </c>
      <c r="B883" s="21" t="str">
        <f aca="false">IF(AND(Eingabe!$F$13&gt;0,Eingabe!$E$13&gt;=67),Eingabe!$B$13,"")</f>
        <v/>
      </c>
      <c r="C883" s="21" t="str">
        <f aca="false">IF(AND(Eingabe!$F$13&gt;0,Eingabe!$E$13&gt;=67),Eingabe!$C$13&amp;"-Paz."&amp;TEXT(67,"000"),"")</f>
        <v/>
      </c>
      <c r="D883" s="21" t="str">
        <f aca="false">IF(AND(Eingabe!$F$13&gt;0,Eingabe!$E$13&gt;=67),67,"")</f>
        <v/>
      </c>
      <c r="E883" s="21" t="str">
        <f aca="false">IF(AND(Eingabe!$F$13&gt;0,Eingabe!$E$13&gt;=67),IF((Eingabe!$G$13)&lt;=9,1000+(Eingabe!$G$13)*100,3000)+67,"")</f>
        <v/>
      </c>
      <c r="F883" s="21" t="str">
        <f aca="false">IF(AND(Eingabe!$F$13&gt;0,Eingabe!$E$13&gt;=67),"10."&amp;Eingabe!$D$13&amp;".67.0/24","")</f>
        <v/>
      </c>
      <c r="G883" s="21" t="str">
        <f aca="false">IF(AND(Eingabe!$F$13&gt;0,Eingabe!$E$13&gt;=67),"10."&amp;Eingabe!$D$13&amp;".67.1","")</f>
        <v/>
      </c>
      <c r="H883" s="21" t="str">
        <f aca="false">IF(AND(Eingabe!$F$13&gt;0,Eingabe!$E$13&gt;=67),"10."&amp;Eingabe!$D$13&amp;".67.10 – 10."&amp;Eingabe!$D$13&amp;".67.250","")</f>
        <v/>
      </c>
      <c r="I883" s="21" t="str">
        <f aca="false">IF(AND(Eingabe!$F$13&gt;0,Eingabe!$E$13&gt;=67),Eingabe!$B$6&amp;"-"&amp;Eingabe!$C$13&amp;"-Pächter","")</f>
        <v/>
      </c>
      <c r="J883" s="21" t="str">
        <f aca="false">IF(AND(Eingabe!$F$13&gt;0,Eingabe!$E$13&gt;=67),"PPSK: Passwort Parzelle 67","")</f>
        <v/>
      </c>
      <c r="K883" s="21" t="str">
        <f aca="false">IF(AND(Eingabe!$F$13&gt;0,Eingabe!$E$13&gt;=67),"1. Gerät: 10."&amp;Eingabe!$D$13&amp;".67.10, 2. Gerät: .11","")</f>
        <v/>
      </c>
    </row>
    <row r="884" customFormat="false" ht="15" hidden="false" customHeight="false" outlineLevel="0" collapsed="false">
      <c r="A884" s="21" t="str">
        <f aca="false">IF(AND(Eingabe!$F$13&gt;0,Eingabe!$E$13&gt;=68),5,"")</f>
        <v/>
      </c>
      <c r="B884" s="21" t="str">
        <f aca="false">IF(AND(Eingabe!$F$13&gt;0,Eingabe!$E$13&gt;=68),Eingabe!$B$13,"")</f>
        <v/>
      </c>
      <c r="C884" s="21" t="str">
        <f aca="false">IF(AND(Eingabe!$F$13&gt;0,Eingabe!$E$13&gt;=68),Eingabe!$C$13&amp;"-Paz."&amp;TEXT(68,"000"),"")</f>
        <v/>
      </c>
      <c r="D884" s="21" t="str">
        <f aca="false">IF(AND(Eingabe!$F$13&gt;0,Eingabe!$E$13&gt;=68),68,"")</f>
        <v/>
      </c>
      <c r="E884" s="21" t="str">
        <f aca="false">IF(AND(Eingabe!$F$13&gt;0,Eingabe!$E$13&gt;=68),IF((Eingabe!$G$13)&lt;=9,1000+(Eingabe!$G$13)*100,3000)+68,"")</f>
        <v/>
      </c>
      <c r="F884" s="21" t="str">
        <f aca="false">IF(AND(Eingabe!$F$13&gt;0,Eingabe!$E$13&gt;=68),"10."&amp;Eingabe!$D$13&amp;".68.0/24","")</f>
        <v/>
      </c>
      <c r="G884" s="21" t="str">
        <f aca="false">IF(AND(Eingabe!$F$13&gt;0,Eingabe!$E$13&gt;=68),"10."&amp;Eingabe!$D$13&amp;".68.1","")</f>
        <v/>
      </c>
      <c r="H884" s="21" t="str">
        <f aca="false">IF(AND(Eingabe!$F$13&gt;0,Eingabe!$E$13&gt;=68),"10."&amp;Eingabe!$D$13&amp;".68.10 – 10."&amp;Eingabe!$D$13&amp;".68.250","")</f>
        <v/>
      </c>
      <c r="I884" s="21" t="str">
        <f aca="false">IF(AND(Eingabe!$F$13&gt;0,Eingabe!$E$13&gt;=68),Eingabe!$B$6&amp;"-"&amp;Eingabe!$C$13&amp;"-Pächter","")</f>
        <v/>
      </c>
      <c r="J884" s="21" t="str">
        <f aca="false">IF(AND(Eingabe!$F$13&gt;0,Eingabe!$E$13&gt;=68),"PPSK: Passwort Parzelle 68","")</f>
        <v/>
      </c>
      <c r="K884" s="21" t="str">
        <f aca="false">IF(AND(Eingabe!$F$13&gt;0,Eingabe!$E$13&gt;=68),"1. Gerät: 10."&amp;Eingabe!$D$13&amp;".68.10, 2. Gerät: .11","")</f>
        <v/>
      </c>
    </row>
    <row r="885" customFormat="false" ht="15" hidden="false" customHeight="false" outlineLevel="0" collapsed="false">
      <c r="A885" s="21" t="str">
        <f aca="false">IF(AND(Eingabe!$F$13&gt;0,Eingabe!$E$13&gt;=69),5,"")</f>
        <v/>
      </c>
      <c r="B885" s="21" t="str">
        <f aca="false">IF(AND(Eingabe!$F$13&gt;0,Eingabe!$E$13&gt;=69),Eingabe!$B$13,"")</f>
        <v/>
      </c>
      <c r="C885" s="21" t="str">
        <f aca="false">IF(AND(Eingabe!$F$13&gt;0,Eingabe!$E$13&gt;=69),Eingabe!$C$13&amp;"-Paz."&amp;TEXT(69,"000"),"")</f>
        <v/>
      </c>
      <c r="D885" s="21" t="str">
        <f aca="false">IF(AND(Eingabe!$F$13&gt;0,Eingabe!$E$13&gt;=69),69,"")</f>
        <v/>
      </c>
      <c r="E885" s="21" t="str">
        <f aca="false">IF(AND(Eingabe!$F$13&gt;0,Eingabe!$E$13&gt;=69),IF((Eingabe!$G$13)&lt;=9,1000+(Eingabe!$G$13)*100,3000)+69,"")</f>
        <v/>
      </c>
      <c r="F885" s="21" t="str">
        <f aca="false">IF(AND(Eingabe!$F$13&gt;0,Eingabe!$E$13&gt;=69),"10."&amp;Eingabe!$D$13&amp;".69.0/24","")</f>
        <v/>
      </c>
      <c r="G885" s="21" t="str">
        <f aca="false">IF(AND(Eingabe!$F$13&gt;0,Eingabe!$E$13&gt;=69),"10."&amp;Eingabe!$D$13&amp;".69.1","")</f>
        <v/>
      </c>
      <c r="H885" s="21" t="str">
        <f aca="false">IF(AND(Eingabe!$F$13&gt;0,Eingabe!$E$13&gt;=69),"10."&amp;Eingabe!$D$13&amp;".69.10 – 10."&amp;Eingabe!$D$13&amp;".69.250","")</f>
        <v/>
      </c>
      <c r="I885" s="21" t="str">
        <f aca="false">IF(AND(Eingabe!$F$13&gt;0,Eingabe!$E$13&gt;=69),Eingabe!$B$6&amp;"-"&amp;Eingabe!$C$13&amp;"-Pächter","")</f>
        <v/>
      </c>
      <c r="J885" s="21" t="str">
        <f aca="false">IF(AND(Eingabe!$F$13&gt;0,Eingabe!$E$13&gt;=69),"PPSK: Passwort Parzelle 69","")</f>
        <v/>
      </c>
      <c r="K885" s="21" t="str">
        <f aca="false">IF(AND(Eingabe!$F$13&gt;0,Eingabe!$E$13&gt;=69),"1. Gerät: 10."&amp;Eingabe!$D$13&amp;".69.10, 2. Gerät: .11","")</f>
        <v/>
      </c>
    </row>
    <row r="886" customFormat="false" ht="15" hidden="false" customHeight="false" outlineLevel="0" collapsed="false">
      <c r="A886" s="21" t="str">
        <f aca="false">IF(AND(Eingabe!$F$13&gt;0,Eingabe!$E$13&gt;=70),5,"")</f>
        <v/>
      </c>
      <c r="B886" s="21" t="str">
        <f aca="false">IF(AND(Eingabe!$F$13&gt;0,Eingabe!$E$13&gt;=70),Eingabe!$B$13,"")</f>
        <v/>
      </c>
      <c r="C886" s="21" t="str">
        <f aca="false">IF(AND(Eingabe!$F$13&gt;0,Eingabe!$E$13&gt;=70),Eingabe!$C$13&amp;"-Paz."&amp;TEXT(70,"000"),"")</f>
        <v/>
      </c>
      <c r="D886" s="21" t="str">
        <f aca="false">IF(AND(Eingabe!$F$13&gt;0,Eingabe!$E$13&gt;=70),70,"")</f>
        <v/>
      </c>
      <c r="E886" s="21" t="str">
        <f aca="false">IF(AND(Eingabe!$F$13&gt;0,Eingabe!$E$13&gt;=70),IF((Eingabe!$G$13)&lt;=9,1000+(Eingabe!$G$13)*100,3000)+70,"")</f>
        <v/>
      </c>
      <c r="F886" s="21" t="str">
        <f aca="false">IF(AND(Eingabe!$F$13&gt;0,Eingabe!$E$13&gt;=70),"10."&amp;Eingabe!$D$13&amp;".70.0/24","")</f>
        <v/>
      </c>
      <c r="G886" s="21" t="str">
        <f aca="false">IF(AND(Eingabe!$F$13&gt;0,Eingabe!$E$13&gt;=70),"10."&amp;Eingabe!$D$13&amp;".70.1","")</f>
        <v/>
      </c>
      <c r="H886" s="21" t="str">
        <f aca="false">IF(AND(Eingabe!$F$13&gt;0,Eingabe!$E$13&gt;=70),"10."&amp;Eingabe!$D$13&amp;".70.10 – 10."&amp;Eingabe!$D$13&amp;".70.250","")</f>
        <v/>
      </c>
      <c r="I886" s="21" t="str">
        <f aca="false">IF(AND(Eingabe!$F$13&gt;0,Eingabe!$E$13&gt;=70),Eingabe!$B$6&amp;"-"&amp;Eingabe!$C$13&amp;"-Pächter","")</f>
        <v/>
      </c>
      <c r="J886" s="21" t="str">
        <f aca="false">IF(AND(Eingabe!$F$13&gt;0,Eingabe!$E$13&gt;=70),"PPSK: Passwort Parzelle 70","")</f>
        <v/>
      </c>
      <c r="K886" s="21" t="str">
        <f aca="false">IF(AND(Eingabe!$F$13&gt;0,Eingabe!$E$13&gt;=70),"1. Gerät: 10."&amp;Eingabe!$D$13&amp;".70.10, 2. Gerät: .11","")</f>
        <v/>
      </c>
    </row>
    <row r="887" customFormat="false" ht="15" hidden="false" customHeight="false" outlineLevel="0" collapsed="false">
      <c r="A887" s="21" t="str">
        <f aca="false">IF(AND(Eingabe!$F$13&gt;0,Eingabe!$E$13&gt;=71),5,"")</f>
        <v/>
      </c>
      <c r="B887" s="21" t="str">
        <f aca="false">IF(AND(Eingabe!$F$13&gt;0,Eingabe!$E$13&gt;=71),Eingabe!$B$13,"")</f>
        <v/>
      </c>
      <c r="C887" s="21" t="str">
        <f aca="false">IF(AND(Eingabe!$F$13&gt;0,Eingabe!$E$13&gt;=71),Eingabe!$C$13&amp;"-Paz."&amp;TEXT(71,"000"),"")</f>
        <v/>
      </c>
      <c r="D887" s="21" t="str">
        <f aca="false">IF(AND(Eingabe!$F$13&gt;0,Eingabe!$E$13&gt;=71),71,"")</f>
        <v/>
      </c>
      <c r="E887" s="21" t="str">
        <f aca="false">IF(AND(Eingabe!$F$13&gt;0,Eingabe!$E$13&gt;=71),IF((Eingabe!$G$13)&lt;=9,1000+(Eingabe!$G$13)*100,3000)+71,"")</f>
        <v/>
      </c>
      <c r="F887" s="21" t="str">
        <f aca="false">IF(AND(Eingabe!$F$13&gt;0,Eingabe!$E$13&gt;=71),"10."&amp;Eingabe!$D$13&amp;".71.0/24","")</f>
        <v/>
      </c>
      <c r="G887" s="21" t="str">
        <f aca="false">IF(AND(Eingabe!$F$13&gt;0,Eingabe!$E$13&gt;=71),"10."&amp;Eingabe!$D$13&amp;".71.1","")</f>
        <v/>
      </c>
      <c r="H887" s="21" t="str">
        <f aca="false">IF(AND(Eingabe!$F$13&gt;0,Eingabe!$E$13&gt;=71),"10."&amp;Eingabe!$D$13&amp;".71.10 – 10."&amp;Eingabe!$D$13&amp;".71.250","")</f>
        <v/>
      </c>
      <c r="I887" s="21" t="str">
        <f aca="false">IF(AND(Eingabe!$F$13&gt;0,Eingabe!$E$13&gt;=71),Eingabe!$B$6&amp;"-"&amp;Eingabe!$C$13&amp;"-Pächter","")</f>
        <v/>
      </c>
      <c r="J887" s="21" t="str">
        <f aca="false">IF(AND(Eingabe!$F$13&gt;0,Eingabe!$E$13&gt;=71),"PPSK: Passwort Parzelle 71","")</f>
        <v/>
      </c>
      <c r="K887" s="21" t="str">
        <f aca="false">IF(AND(Eingabe!$F$13&gt;0,Eingabe!$E$13&gt;=71),"1. Gerät: 10."&amp;Eingabe!$D$13&amp;".71.10, 2. Gerät: .11","")</f>
        <v/>
      </c>
    </row>
    <row r="888" customFormat="false" ht="15" hidden="false" customHeight="false" outlineLevel="0" collapsed="false">
      <c r="A888" s="21" t="str">
        <f aca="false">IF(AND(Eingabe!$F$13&gt;0,Eingabe!$E$13&gt;=72),5,"")</f>
        <v/>
      </c>
      <c r="B888" s="21" t="str">
        <f aca="false">IF(AND(Eingabe!$F$13&gt;0,Eingabe!$E$13&gt;=72),Eingabe!$B$13,"")</f>
        <v/>
      </c>
      <c r="C888" s="21" t="str">
        <f aca="false">IF(AND(Eingabe!$F$13&gt;0,Eingabe!$E$13&gt;=72),Eingabe!$C$13&amp;"-Paz."&amp;TEXT(72,"000"),"")</f>
        <v/>
      </c>
      <c r="D888" s="21" t="str">
        <f aca="false">IF(AND(Eingabe!$F$13&gt;0,Eingabe!$E$13&gt;=72),72,"")</f>
        <v/>
      </c>
      <c r="E888" s="21" t="str">
        <f aca="false">IF(AND(Eingabe!$F$13&gt;0,Eingabe!$E$13&gt;=72),IF((Eingabe!$G$13)&lt;=9,1000+(Eingabe!$G$13)*100,3000)+72,"")</f>
        <v/>
      </c>
      <c r="F888" s="21" t="str">
        <f aca="false">IF(AND(Eingabe!$F$13&gt;0,Eingabe!$E$13&gt;=72),"10."&amp;Eingabe!$D$13&amp;".72.0/24","")</f>
        <v/>
      </c>
      <c r="G888" s="21" t="str">
        <f aca="false">IF(AND(Eingabe!$F$13&gt;0,Eingabe!$E$13&gt;=72),"10."&amp;Eingabe!$D$13&amp;".72.1","")</f>
        <v/>
      </c>
      <c r="H888" s="21" t="str">
        <f aca="false">IF(AND(Eingabe!$F$13&gt;0,Eingabe!$E$13&gt;=72),"10."&amp;Eingabe!$D$13&amp;".72.10 – 10."&amp;Eingabe!$D$13&amp;".72.250","")</f>
        <v/>
      </c>
      <c r="I888" s="21" t="str">
        <f aca="false">IF(AND(Eingabe!$F$13&gt;0,Eingabe!$E$13&gt;=72),Eingabe!$B$6&amp;"-"&amp;Eingabe!$C$13&amp;"-Pächter","")</f>
        <v/>
      </c>
      <c r="J888" s="21" t="str">
        <f aca="false">IF(AND(Eingabe!$F$13&gt;0,Eingabe!$E$13&gt;=72),"PPSK: Passwort Parzelle 72","")</f>
        <v/>
      </c>
      <c r="K888" s="21" t="str">
        <f aca="false">IF(AND(Eingabe!$F$13&gt;0,Eingabe!$E$13&gt;=72),"1. Gerät: 10."&amp;Eingabe!$D$13&amp;".72.10, 2. Gerät: .11","")</f>
        <v/>
      </c>
    </row>
    <row r="889" customFormat="false" ht="15" hidden="false" customHeight="false" outlineLevel="0" collapsed="false">
      <c r="A889" s="21" t="str">
        <f aca="false">IF(AND(Eingabe!$F$13&gt;0,Eingabe!$E$13&gt;=73),5,"")</f>
        <v/>
      </c>
      <c r="B889" s="21" t="str">
        <f aca="false">IF(AND(Eingabe!$F$13&gt;0,Eingabe!$E$13&gt;=73),Eingabe!$B$13,"")</f>
        <v/>
      </c>
      <c r="C889" s="21" t="str">
        <f aca="false">IF(AND(Eingabe!$F$13&gt;0,Eingabe!$E$13&gt;=73),Eingabe!$C$13&amp;"-Paz."&amp;TEXT(73,"000"),"")</f>
        <v/>
      </c>
      <c r="D889" s="21" t="str">
        <f aca="false">IF(AND(Eingabe!$F$13&gt;0,Eingabe!$E$13&gt;=73),73,"")</f>
        <v/>
      </c>
      <c r="E889" s="21" t="str">
        <f aca="false">IF(AND(Eingabe!$F$13&gt;0,Eingabe!$E$13&gt;=73),IF((Eingabe!$G$13)&lt;=9,1000+(Eingabe!$G$13)*100,3000)+73,"")</f>
        <v/>
      </c>
      <c r="F889" s="21" t="str">
        <f aca="false">IF(AND(Eingabe!$F$13&gt;0,Eingabe!$E$13&gt;=73),"10."&amp;Eingabe!$D$13&amp;".73.0/24","")</f>
        <v/>
      </c>
      <c r="G889" s="21" t="str">
        <f aca="false">IF(AND(Eingabe!$F$13&gt;0,Eingabe!$E$13&gt;=73),"10."&amp;Eingabe!$D$13&amp;".73.1","")</f>
        <v/>
      </c>
      <c r="H889" s="21" t="str">
        <f aca="false">IF(AND(Eingabe!$F$13&gt;0,Eingabe!$E$13&gt;=73),"10."&amp;Eingabe!$D$13&amp;".73.10 – 10."&amp;Eingabe!$D$13&amp;".73.250","")</f>
        <v/>
      </c>
      <c r="I889" s="21" t="str">
        <f aca="false">IF(AND(Eingabe!$F$13&gt;0,Eingabe!$E$13&gt;=73),Eingabe!$B$6&amp;"-"&amp;Eingabe!$C$13&amp;"-Pächter","")</f>
        <v/>
      </c>
      <c r="J889" s="21" t="str">
        <f aca="false">IF(AND(Eingabe!$F$13&gt;0,Eingabe!$E$13&gt;=73),"PPSK: Passwort Parzelle 73","")</f>
        <v/>
      </c>
      <c r="K889" s="21" t="str">
        <f aca="false">IF(AND(Eingabe!$F$13&gt;0,Eingabe!$E$13&gt;=73),"1. Gerät: 10."&amp;Eingabe!$D$13&amp;".73.10, 2. Gerät: .11","")</f>
        <v/>
      </c>
    </row>
    <row r="890" customFormat="false" ht="15" hidden="false" customHeight="false" outlineLevel="0" collapsed="false">
      <c r="A890" s="21" t="str">
        <f aca="false">IF(AND(Eingabe!$F$13&gt;0,Eingabe!$E$13&gt;=74),5,"")</f>
        <v/>
      </c>
      <c r="B890" s="21" t="str">
        <f aca="false">IF(AND(Eingabe!$F$13&gt;0,Eingabe!$E$13&gt;=74),Eingabe!$B$13,"")</f>
        <v/>
      </c>
      <c r="C890" s="21" t="str">
        <f aca="false">IF(AND(Eingabe!$F$13&gt;0,Eingabe!$E$13&gt;=74),Eingabe!$C$13&amp;"-Paz."&amp;TEXT(74,"000"),"")</f>
        <v/>
      </c>
      <c r="D890" s="21" t="str">
        <f aca="false">IF(AND(Eingabe!$F$13&gt;0,Eingabe!$E$13&gt;=74),74,"")</f>
        <v/>
      </c>
      <c r="E890" s="21" t="str">
        <f aca="false">IF(AND(Eingabe!$F$13&gt;0,Eingabe!$E$13&gt;=74),IF((Eingabe!$G$13)&lt;=9,1000+(Eingabe!$G$13)*100,3000)+74,"")</f>
        <v/>
      </c>
      <c r="F890" s="21" t="str">
        <f aca="false">IF(AND(Eingabe!$F$13&gt;0,Eingabe!$E$13&gt;=74),"10."&amp;Eingabe!$D$13&amp;".74.0/24","")</f>
        <v/>
      </c>
      <c r="G890" s="21" t="str">
        <f aca="false">IF(AND(Eingabe!$F$13&gt;0,Eingabe!$E$13&gt;=74),"10."&amp;Eingabe!$D$13&amp;".74.1","")</f>
        <v/>
      </c>
      <c r="H890" s="21" t="str">
        <f aca="false">IF(AND(Eingabe!$F$13&gt;0,Eingabe!$E$13&gt;=74),"10."&amp;Eingabe!$D$13&amp;".74.10 – 10."&amp;Eingabe!$D$13&amp;".74.250","")</f>
        <v/>
      </c>
      <c r="I890" s="21" t="str">
        <f aca="false">IF(AND(Eingabe!$F$13&gt;0,Eingabe!$E$13&gt;=74),Eingabe!$B$6&amp;"-"&amp;Eingabe!$C$13&amp;"-Pächter","")</f>
        <v/>
      </c>
      <c r="J890" s="21" t="str">
        <f aca="false">IF(AND(Eingabe!$F$13&gt;0,Eingabe!$E$13&gt;=74),"PPSK: Passwort Parzelle 74","")</f>
        <v/>
      </c>
      <c r="K890" s="21" t="str">
        <f aca="false">IF(AND(Eingabe!$F$13&gt;0,Eingabe!$E$13&gt;=74),"1. Gerät: 10."&amp;Eingabe!$D$13&amp;".74.10, 2. Gerät: .11","")</f>
        <v/>
      </c>
    </row>
    <row r="891" customFormat="false" ht="15" hidden="false" customHeight="false" outlineLevel="0" collapsed="false">
      <c r="A891" s="21" t="str">
        <f aca="false">IF(AND(Eingabe!$F$13&gt;0,Eingabe!$E$13&gt;=75),5,"")</f>
        <v/>
      </c>
      <c r="B891" s="21" t="str">
        <f aca="false">IF(AND(Eingabe!$F$13&gt;0,Eingabe!$E$13&gt;=75),Eingabe!$B$13,"")</f>
        <v/>
      </c>
      <c r="C891" s="21" t="str">
        <f aca="false">IF(AND(Eingabe!$F$13&gt;0,Eingabe!$E$13&gt;=75),Eingabe!$C$13&amp;"-Paz."&amp;TEXT(75,"000"),"")</f>
        <v/>
      </c>
      <c r="D891" s="21" t="str">
        <f aca="false">IF(AND(Eingabe!$F$13&gt;0,Eingabe!$E$13&gt;=75),75,"")</f>
        <v/>
      </c>
      <c r="E891" s="21" t="str">
        <f aca="false">IF(AND(Eingabe!$F$13&gt;0,Eingabe!$E$13&gt;=75),IF((Eingabe!$G$13)&lt;=9,1000+(Eingabe!$G$13)*100,3000)+75,"")</f>
        <v/>
      </c>
      <c r="F891" s="21" t="str">
        <f aca="false">IF(AND(Eingabe!$F$13&gt;0,Eingabe!$E$13&gt;=75),"10."&amp;Eingabe!$D$13&amp;".75.0/24","")</f>
        <v/>
      </c>
      <c r="G891" s="21" t="str">
        <f aca="false">IF(AND(Eingabe!$F$13&gt;0,Eingabe!$E$13&gt;=75),"10."&amp;Eingabe!$D$13&amp;".75.1","")</f>
        <v/>
      </c>
      <c r="H891" s="21" t="str">
        <f aca="false">IF(AND(Eingabe!$F$13&gt;0,Eingabe!$E$13&gt;=75),"10."&amp;Eingabe!$D$13&amp;".75.10 – 10."&amp;Eingabe!$D$13&amp;".75.250","")</f>
        <v/>
      </c>
      <c r="I891" s="21" t="str">
        <f aca="false">IF(AND(Eingabe!$F$13&gt;0,Eingabe!$E$13&gt;=75),Eingabe!$B$6&amp;"-"&amp;Eingabe!$C$13&amp;"-Pächter","")</f>
        <v/>
      </c>
      <c r="J891" s="21" t="str">
        <f aca="false">IF(AND(Eingabe!$F$13&gt;0,Eingabe!$E$13&gt;=75),"PPSK: Passwort Parzelle 75","")</f>
        <v/>
      </c>
      <c r="K891" s="21" t="str">
        <f aca="false">IF(AND(Eingabe!$F$13&gt;0,Eingabe!$E$13&gt;=75),"1. Gerät: 10."&amp;Eingabe!$D$13&amp;".75.10, 2. Gerät: .11","")</f>
        <v/>
      </c>
    </row>
    <row r="892" customFormat="false" ht="15" hidden="false" customHeight="false" outlineLevel="0" collapsed="false">
      <c r="A892" s="21" t="str">
        <f aca="false">IF(AND(Eingabe!$F$13&gt;0,Eingabe!$E$13&gt;=76),5,"")</f>
        <v/>
      </c>
      <c r="B892" s="21" t="str">
        <f aca="false">IF(AND(Eingabe!$F$13&gt;0,Eingabe!$E$13&gt;=76),Eingabe!$B$13,"")</f>
        <v/>
      </c>
      <c r="C892" s="21" t="str">
        <f aca="false">IF(AND(Eingabe!$F$13&gt;0,Eingabe!$E$13&gt;=76),Eingabe!$C$13&amp;"-Paz."&amp;TEXT(76,"000"),"")</f>
        <v/>
      </c>
      <c r="D892" s="21" t="str">
        <f aca="false">IF(AND(Eingabe!$F$13&gt;0,Eingabe!$E$13&gt;=76),76,"")</f>
        <v/>
      </c>
      <c r="E892" s="21" t="str">
        <f aca="false">IF(AND(Eingabe!$F$13&gt;0,Eingabe!$E$13&gt;=76),IF((Eingabe!$G$13)&lt;=9,1000+(Eingabe!$G$13)*100,3000)+76,"")</f>
        <v/>
      </c>
      <c r="F892" s="21" t="str">
        <f aca="false">IF(AND(Eingabe!$F$13&gt;0,Eingabe!$E$13&gt;=76),"10."&amp;Eingabe!$D$13&amp;".76.0/24","")</f>
        <v/>
      </c>
      <c r="G892" s="21" t="str">
        <f aca="false">IF(AND(Eingabe!$F$13&gt;0,Eingabe!$E$13&gt;=76),"10."&amp;Eingabe!$D$13&amp;".76.1","")</f>
        <v/>
      </c>
      <c r="H892" s="21" t="str">
        <f aca="false">IF(AND(Eingabe!$F$13&gt;0,Eingabe!$E$13&gt;=76),"10."&amp;Eingabe!$D$13&amp;".76.10 – 10."&amp;Eingabe!$D$13&amp;".76.250","")</f>
        <v/>
      </c>
      <c r="I892" s="21" t="str">
        <f aca="false">IF(AND(Eingabe!$F$13&gt;0,Eingabe!$E$13&gt;=76),Eingabe!$B$6&amp;"-"&amp;Eingabe!$C$13&amp;"-Pächter","")</f>
        <v/>
      </c>
      <c r="J892" s="21" t="str">
        <f aca="false">IF(AND(Eingabe!$F$13&gt;0,Eingabe!$E$13&gt;=76),"PPSK: Passwort Parzelle 76","")</f>
        <v/>
      </c>
      <c r="K892" s="21" t="str">
        <f aca="false">IF(AND(Eingabe!$F$13&gt;0,Eingabe!$E$13&gt;=76),"1. Gerät: 10."&amp;Eingabe!$D$13&amp;".76.10, 2. Gerät: .11","")</f>
        <v/>
      </c>
    </row>
    <row r="893" customFormat="false" ht="15" hidden="false" customHeight="false" outlineLevel="0" collapsed="false">
      <c r="A893" s="21" t="str">
        <f aca="false">IF(AND(Eingabe!$F$13&gt;0,Eingabe!$E$13&gt;=77),5,"")</f>
        <v/>
      </c>
      <c r="B893" s="21" t="str">
        <f aca="false">IF(AND(Eingabe!$F$13&gt;0,Eingabe!$E$13&gt;=77),Eingabe!$B$13,"")</f>
        <v/>
      </c>
      <c r="C893" s="21" t="str">
        <f aca="false">IF(AND(Eingabe!$F$13&gt;0,Eingabe!$E$13&gt;=77),Eingabe!$C$13&amp;"-Paz."&amp;TEXT(77,"000"),"")</f>
        <v/>
      </c>
      <c r="D893" s="21" t="str">
        <f aca="false">IF(AND(Eingabe!$F$13&gt;0,Eingabe!$E$13&gt;=77),77,"")</f>
        <v/>
      </c>
      <c r="E893" s="21" t="str">
        <f aca="false">IF(AND(Eingabe!$F$13&gt;0,Eingabe!$E$13&gt;=77),IF((Eingabe!$G$13)&lt;=9,1000+(Eingabe!$G$13)*100,3000)+77,"")</f>
        <v/>
      </c>
      <c r="F893" s="21" t="str">
        <f aca="false">IF(AND(Eingabe!$F$13&gt;0,Eingabe!$E$13&gt;=77),"10."&amp;Eingabe!$D$13&amp;".77.0/24","")</f>
        <v/>
      </c>
      <c r="G893" s="21" t="str">
        <f aca="false">IF(AND(Eingabe!$F$13&gt;0,Eingabe!$E$13&gt;=77),"10."&amp;Eingabe!$D$13&amp;".77.1","")</f>
        <v/>
      </c>
      <c r="H893" s="21" t="str">
        <f aca="false">IF(AND(Eingabe!$F$13&gt;0,Eingabe!$E$13&gt;=77),"10."&amp;Eingabe!$D$13&amp;".77.10 – 10."&amp;Eingabe!$D$13&amp;".77.250","")</f>
        <v/>
      </c>
      <c r="I893" s="21" t="str">
        <f aca="false">IF(AND(Eingabe!$F$13&gt;0,Eingabe!$E$13&gt;=77),Eingabe!$B$6&amp;"-"&amp;Eingabe!$C$13&amp;"-Pächter","")</f>
        <v/>
      </c>
      <c r="J893" s="21" t="str">
        <f aca="false">IF(AND(Eingabe!$F$13&gt;0,Eingabe!$E$13&gt;=77),"PPSK: Passwort Parzelle 77","")</f>
        <v/>
      </c>
      <c r="K893" s="21" t="str">
        <f aca="false">IF(AND(Eingabe!$F$13&gt;0,Eingabe!$E$13&gt;=77),"1. Gerät: 10."&amp;Eingabe!$D$13&amp;".77.10, 2. Gerät: .11","")</f>
        <v/>
      </c>
    </row>
    <row r="894" customFormat="false" ht="15" hidden="false" customHeight="false" outlineLevel="0" collapsed="false">
      <c r="A894" s="21" t="str">
        <f aca="false">IF(AND(Eingabe!$F$13&gt;0,Eingabe!$E$13&gt;=78),5,"")</f>
        <v/>
      </c>
      <c r="B894" s="21" t="str">
        <f aca="false">IF(AND(Eingabe!$F$13&gt;0,Eingabe!$E$13&gt;=78),Eingabe!$B$13,"")</f>
        <v/>
      </c>
      <c r="C894" s="21" t="str">
        <f aca="false">IF(AND(Eingabe!$F$13&gt;0,Eingabe!$E$13&gt;=78),Eingabe!$C$13&amp;"-Paz."&amp;TEXT(78,"000"),"")</f>
        <v/>
      </c>
      <c r="D894" s="21" t="str">
        <f aca="false">IF(AND(Eingabe!$F$13&gt;0,Eingabe!$E$13&gt;=78),78,"")</f>
        <v/>
      </c>
      <c r="E894" s="21" t="str">
        <f aca="false">IF(AND(Eingabe!$F$13&gt;0,Eingabe!$E$13&gt;=78),IF((Eingabe!$G$13)&lt;=9,1000+(Eingabe!$G$13)*100,3000)+78,"")</f>
        <v/>
      </c>
      <c r="F894" s="21" t="str">
        <f aca="false">IF(AND(Eingabe!$F$13&gt;0,Eingabe!$E$13&gt;=78),"10."&amp;Eingabe!$D$13&amp;".78.0/24","")</f>
        <v/>
      </c>
      <c r="G894" s="21" t="str">
        <f aca="false">IF(AND(Eingabe!$F$13&gt;0,Eingabe!$E$13&gt;=78),"10."&amp;Eingabe!$D$13&amp;".78.1","")</f>
        <v/>
      </c>
      <c r="H894" s="21" t="str">
        <f aca="false">IF(AND(Eingabe!$F$13&gt;0,Eingabe!$E$13&gt;=78),"10."&amp;Eingabe!$D$13&amp;".78.10 – 10."&amp;Eingabe!$D$13&amp;".78.250","")</f>
        <v/>
      </c>
      <c r="I894" s="21" t="str">
        <f aca="false">IF(AND(Eingabe!$F$13&gt;0,Eingabe!$E$13&gt;=78),Eingabe!$B$6&amp;"-"&amp;Eingabe!$C$13&amp;"-Pächter","")</f>
        <v/>
      </c>
      <c r="J894" s="21" t="str">
        <f aca="false">IF(AND(Eingabe!$F$13&gt;0,Eingabe!$E$13&gt;=78),"PPSK: Passwort Parzelle 78","")</f>
        <v/>
      </c>
      <c r="K894" s="21" t="str">
        <f aca="false">IF(AND(Eingabe!$F$13&gt;0,Eingabe!$E$13&gt;=78),"1. Gerät: 10."&amp;Eingabe!$D$13&amp;".78.10, 2. Gerät: .11","")</f>
        <v/>
      </c>
    </row>
    <row r="895" customFormat="false" ht="15" hidden="false" customHeight="false" outlineLevel="0" collapsed="false">
      <c r="A895" s="21" t="str">
        <f aca="false">IF(AND(Eingabe!$F$13&gt;0,Eingabe!$E$13&gt;=79),5,"")</f>
        <v/>
      </c>
      <c r="B895" s="21" t="str">
        <f aca="false">IF(AND(Eingabe!$F$13&gt;0,Eingabe!$E$13&gt;=79),Eingabe!$B$13,"")</f>
        <v/>
      </c>
      <c r="C895" s="21" t="str">
        <f aca="false">IF(AND(Eingabe!$F$13&gt;0,Eingabe!$E$13&gt;=79),Eingabe!$C$13&amp;"-Paz."&amp;TEXT(79,"000"),"")</f>
        <v/>
      </c>
      <c r="D895" s="21" t="str">
        <f aca="false">IF(AND(Eingabe!$F$13&gt;0,Eingabe!$E$13&gt;=79),79,"")</f>
        <v/>
      </c>
      <c r="E895" s="21" t="str">
        <f aca="false">IF(AND(Eingabe!$F$13&gt;0,Eingabe!$E$13&gt;=79),IF((Eingabe!$G$13)&lt;=9,1000+(Eingabe!$G$13)*100,3000)+79,"")</f>
        <v/>
      </c>
      <c r="F895" s="21" t="str">
        <f aca="false">IF(AND(Eingabe!$F$13&gt;0,Eingabe!$E$13&gt;=79),"10."&amp;Eingabe!$D$13&amp;".79.0/24","")</f>
        <v/>
      </c>
      <c r="G895" s="21" t="str">
        <f aca="false">IF(AND(Eingabe!$F$13&gt;0,Eingabe!$E$13&gt;=79),"10."&amp;Eingabe!$D$13&amp;".79.1","")</f>
        <v/>
      </c>
      <c r="H895" s="21" t="str">
        <f aca="false">IF(AND(Eingabe!$F$13&gt;0,Eingabe!$E$13&gt;=79),"10."&amp;Eingabe!$D$13&amp;".79.10 – 10."&amp;Eingabe!$D$13&amp;".79.250","")</f>
        <v/>
      </c>
      <c r="I895" s="21" t="str">
        <f aca="false">IF(AND(Eingabe!$F$13&gt;0,Eingabe!$E$13&gt;=79),Eingabe!$B$6&amp;"-"&amp;Eingabe!$C$13&amp;"-Pächter","")</f>
        <v/>
      </c>
      <c r="J895" s="21" t="str">
        <f aca="false">IF(AND(Eingabe!$F$13&gt;0,Eingabe!$E$13&gt;=79),"PPSK: Passwort Parzelle 79","")</f>
        <v/>
      </c>
      <c r="K895" s="21" t="str">
        <f aca="false">IF(AND(Eingabe!$F$13&gt;0,Eingabe!$E$13&gt;=79),"1. Gerät: 10."&amp;Eingabe!$D$13&amp;".79.10, 2. Gerät: .11","")</f>
        <v/>
      </c>
    </row>
    <row r="896" customFormat="false" ht="15" hidden="false" customHeight="false" outlineLevel="0" collapsed="false">
      <c r="A896" s="21" t="str">
        <f aca="false">IF(AND(Eingabe!$F$13&gt;0,Eingabe!$E$13&gt;=80),5,"")</f>
        <v/>
      </c>
      <c r="B896" s="21" t="str">
        <f aca="false">IF(AND(Eingabe!$F$13&gt;0,Eingabe!$E$13&gt;=80),Eingabe!$B$13,"")</f>
        <v/>
      </c>
      <c r="C896" s="21" t="str">
        <f aca="false">IF(AND(Eingabe!$F$13&gt;0,Eingabe!$E$13&gt;=80),Eingabe!$C$13&amp;"-Paz."&amp;TEXT(80,"000"),"")</f>
        <v/>
      </c>
      <c r="D896" s="21" t="str">
        <f aca="false">IF(AND(Eingabe!$F$13&gt;0,Eingabe!$E$13&gt;=80),80,"")</f>
        <v/>
      </c>
      <c r="E896" s="21" t="str">
        <f aca="false">IF(AND(Eingabe!$F$13&gt;0,Eingabe!$E$13&gt;=80),IF((Eingabe!$G$13)&lt;=9,1000+(Eingabe!$G$13)*100,3000)+80,"")</f>
        <v/>
      </c>
      <c r="F896" s="21" t="str">
        <f aca="false">IF(AND(Eingabe!$F$13&gt;0,Eingabe!$E$13&gt;=80),"10."&amp;Eingabe!$D$13&amp;".80.0/24","")</f>
        <v/>
      </c>
      <c r="G896" s="21" t="str">
        <f aca="false">IF(AND(Eingabe!$F$13&gt;0,Eingabe!$E$13&gt;=80),"10."&amp;Eingabe!$D$13&amp;".80.1","")</f>
        <v/>
      </c>
      <c r="H896" s="21" t="str">
        <f aca="false">IF(AND(Eingabe!$F$13&gt;0,Eingabe!$E$13&gt;=80),"10."&amp;Eingabe!$D$13&amp;".80.10 – 10."&amp;Eingabe!$D$13&amp;".80.250","")</f>
        <v/>
      </c>
      <c r="I896" s="21" t="str">
        <f aca="false">IF(AND(Eingabe!$F$13&gt;0,Eingabe!$E$13&gt;=80),Eingabe!$B$6&amp;"-"&amp;Eingabe!$C$13&amp;"-Pächter","")</f>
        <v/>
      </c>
      <c r="J896" s="21" t="str">
        <f aca="false">IF(AND(Eingabe!$F$13&gt;0,Eingabe!$E$13&gt;=80),"PPSK: Passwort Parzelle 80","")</f>
        <v/>
      </c>
      <c r="K896" s="21" t="str">
        <f aca="false">IF(AND(Eingabe!$F$13&gt;0,Eingabe!$E$13&gt;=80),"1. Gerät: 10."&amp;Eingabe!$D$13&amp;".80.10, 2. Gerät: .11","")</f>
        <v/>
      </c>
    </row>
    <row r="897" customFormat="false" ht="15" hidden="false" customHeight="false" outlineLevel="0" collapsed="false">
      <c r="A897" s="21" t="str">
        <f aca="false">IF(AND(Eingabe!$F$13&gt;0,Eingabe!$E$13&gt;=81),5,"")</f>
        <v/>
      </c>
      <c r="B897" s="21" t="str">
        <f aca="false">IF(AND(Eingabe!$F$13&gt;0,Eingabe!$E$13&gt;=81),Eingabe!$B$13,"")</f>
        <v/>
      </c>
      <c r="C897" s="21" t="str">
        <f aca="false">IF(AND(Eingabe!$F$13&gt;0,Eingabe!$E$13&gt;=81),Eingabe!$C$13&amp;"-Paz."&amp;TEXT(81,"000"),"")</f>
        <v/>
      </c>
      <c r="D897" s="21" t="str">
        <f aca="false">IF(AND(Eingabe!$F$13&gt;0,Eingabe!$E$13&gt;=81),81,"")</f>
        <v/>
      </c>
      <c r="E897" s="21" t="str">
        <f aca="false">IF(AND(Eingabe!$F$13&gt;0,Eingabe!$E$13&gt;=81),IF((Eingabe!$G$13)&lt;=9,1000+(Eingabe!$G$13)*100,3000)+81,"")</f>
        <v/>
      </c>
      <c r="F897" s="21" t="str">
        <f aca="false">IF(AND(Eingabe!$F$13&gt;0,Eingabe!$E$13&gt;=81),"10."&amp;Eingabe!$D$13&amp;".81.0/24","")</f>
        <v/>
      </c>
      <c r="G897" s="21" t="str">
        <f aca="false">IF(AND(Eingabe!$F$13&gt;0,Eingabe!$E$13&gt;=81),"10."&amp;Eingabe!$D$13&amp;".81.1","")</f>
        <v/>
      </c>
      <c r="H897" s="21" t="str">
        <f aca="false">IF(AND(Eingabe!$F$13&gt;0,Eingabe!$E$13&gt;=81),"10."&amp;Eingabe!$D$13&amp;".81.10 – 10."&amp;Eingabe!$D$13&amp;".81.250","")</f>
        <v/>
      </c>
      <c r="I897" s="21" t="str">
        <f aca="false">IF(AND(Eingabe!$F$13&gt;0,Eingabe!$E$13&gt;=81),Eingabe!$B$6&amp;"-"&amp;Eingabe!$C$13&amp;"-Pächter","")</f>
        <v/>
      </c>
      <c r="J897" s="21" t="str">
        <f aca="false">IF(AND(Eingabe!$F$13&gt;0,Eingabe!$E$13&gt;=81),"PPSK: Passwort Parzelle 81","")</f>
        <v/>
      </c>
      <c r="K897" s="21" t="str">
        <f aca="false">IF(AND(Eingabe!$F$13&gt;0,Eingabe!$E$13&gt;=81),"1. Gerät: 10."&amp;Eingabe!$D$13&amp;".81.10, 2. Gerät: .11","")</f>
        <v/>
      </c>
    </row>
    <row r="898" customFormat="false" ht="15" hidden="false" customHeight="false" outlineLevel="0" collapsed="false">
      <c r="A898" s="21" t="str">
        <f aca="false">IF(AND(Eingabe!$F$13&gt;0,Eingabe!$E$13&gt;=82),5,"")</f>
        <v/>
      </c>
      <c r="B898" s="21" t="str">
        <f aca="false">IF(AND(Eingabe!$F$13&gt;0,Eingabe!$E$13&gt;=82),Eingabe!$B$13,"")</f>
        <v/>
      </c>
      <c r="C898" s="21" t="str">
        <f aca="false">IF(AND(Eingabe!$F$13&gt;0,Eingabe!$E$13&gt;=82),Eingabe!$C$13&amp;"-Paz."&amp;TEXT(82,"000"),"")</f>
        <v/>
      </c>
      <c r="D898" s="21" t="str">
        <f aca="false">IF(AND(Eingabe!$F$13&gt;0,Eingabe!$E$13&gt;=82),82,"")</f>
        <v/>
      </c>
      <c r="E898" s="21" t="str">
        <f aca="false">IF(AND(Eingabe!$F$13&gt;0,Eingabe!$E$13&gt;=82),IF((Eingabe!$G$13)&lt;=9,1000+(Eingabe!$G$13)*100,3000)+82,"")</f>
        <v/>
      </c>
      <c r="F898" s="21" t="str">
        <f aca="false">IF(AND(Eingabe!$F$13&gt;0,Eingabe!$E$13&gt;=82),"10."&amp;Eingabe!$D$13&amp;".82.0/24","")</f>
        <v/>
      </c>
      <c r="G898" s="21" t="str">
        <f aca="false">IF(AND(Eingabe!$F$13&gt;0,Eingabe!$E$13&gt;=82),"10."&amp;Eingabe!$D$13&amp;".82.1","")</f>
        <v/>
      </c>
      <c r="H898" s="21" t="str">
        <f aca="false">IF(AND(Eingabe!$F$13&gt;0,Eingabe!$E$13&gt;=82),"10."&amp;Eingabe!$D$13&amp;".82.10 – 10."&amp;Eingabe!$D$13&amp;".82.250","")</f>
        <v/>
      </c>
      <c r="I898" s="21" t="str">
        <f aca="false">IF(AND(Eingabe!$F$13&gt;0,Eingabe!$E$13&gt;=82),Eingabe!$B$6&amp;"-"&amp;Eingabe!$C$13&amp;"-Pächter","")</f>
        <v/>
      </c>
      <c r="J898" s="21" t="str">
        <f aca="false">IF(AND(Eingabe!$F$13&gt;0,Eingabe!$E$13&gt;=82),"PPSK: Passwort Parzelle 82","")</f>
        <v/>
      </c>
      <c r="K898" s="21" t="str">
        <f aca="false">IF(AND(Eingabe!$F$13&gt;0,Eingabe!$E$13&gt;=82),"1. Gerät: 10."&amp;Eingabe!$D$13&amp;".82.10, 2. Gerät: .11","")</f>
        <v/>
      </c>
    </row>
    <row r="899" customFormat="false" ht="15" hidden="false" customHeight="false" outlineLevel="0" collapsed="false">
      <c r="A899" s="21" t="str">
        <f aca="false">IF(AND(Eingabe!$F$13&gt;0,Eingabe!$E$13&gt;=83),5,"")</f>
        <v/>
      </c>
      <c r="B899" s="21" t="str">
        <f aca="false">IF(AND(Eingabe!$F$13&gt;0,Eingabe!$E$13&gt;=83),Eingabe!$B$13,"")</f>
        <v/>
      </c>
      <c r="C899" s="21" t="str">
        <f aca="false">IF(AND(Eingabe!$F$13&gt;0,Eingabe!$E$13&gt;=83),Eingabe!$C$13&amp;"-Paz."&amp;TEXT(83,"000"),"")</f>
        <v/>
      </c>
      <c r="D899" s="21" t="str">
        <f aca="false">IF(AND(Eingabe!$F$13&gt;0,Eingabe!$E$13&gt;=83),83,"")</f>
        <v/>
      </c>
      <c r="E899" s="21" t="str">
        <f aca="false">IF(AND(Eingabe!$F$13&gt;0,Eingabe!$E$13&gt;=83),IF((Eingabe!$G$13)&lt;=9,1000+(Eingabe!$G$13)*100,3000)+83,"")</f>
        <v/>
      </c>
      <c r="F899" s="21" t="str">
        <f aca="false">IF(AND(Eingabe!$F$13&gt;0,Eingabe!$E$13&gt;=83),"10."&amp;Eingabe!$D$13&amp;".83.0/24","")</f>
        <v/>
      </c>
      <c r="G899" s="21" t="str">
        <f aca="false">IF(AND(Eingabe!$F$13&gt;0,Eingabe!$E$13&gt;=83),"10."&amp;Eingabe!$D$13&amp;".83.1","")</f>
        <v/>
      </c>
      <c r="H899" s="21" t="str">
        <f aca="false">IF(AND(Eingabe!$F$13&gt;0,Eingabe!$E$13&gt;=83),"10."&amp;Eingabe!$D$13&amp;".83.10 – 10."&amp;Eingabe!$D$13&amp;".83.250","")</f>
        <v/>
      </c>
      <c r="I899" s="21" t="str">
        <f aca="false">IF(AND(Eingabe!$F$13&gt;0,Eingabe!$E$13&gt;=83),Eingabe!$B$6&amp;"-"&amp;Eingabe!$C$13&amp;"-Pächter","")</f>
        <v/>
      </c>
      <c r="J899" s="21" t="str">
        <f aca="false">IF(AND(Eingabe!$F$13&gt;0,Eingabe!$E$13&gt;=83),"PPSK: Passwort Parzelle 83","")</f>
        <v/>
      </c>
      <c r="K899" s="21" t="str">
        <f aca="false">IF(AND(Eingabe!$F$13&gt;0,Eingabe!$E$13&gt;=83),"1. Gerät: 10."&amp;Eingabe!$D$13&amp;".83.10, 2. Gerät: .11","")</f>
        <v/>
      </c>
    </row>
    <row r="900" customFormat="false" ht="15" hidden="false" customHeight="false" outlineLevel="0" collapsed="false">
      <c r="A900" s="21" t="str">
        <f aca="false">IF(AND(Eingabe!$F$13&gt;0,Eingabe!$E$13&gt;=84),5,"")</f>
        <v/>
      </c>
      <c r="B900" s="21" t="str">
        <f aca="false">IF(AND(Eingabe!$F$13&gt;0,Eingabe!$E$13&gt;=84),Eingabe!$B$13,"")</f>
        <v/>
      </c>
      <c r="C900" s="21" t="str">
        <f aca="false">IF(AND(Eingabe!$F$13&gt;0,Eingabe!$E$13&gt;=84),Eingabe!$C$13&amp;"-Paz."&amp;TEXT(84,"000"),"")</f>
        <v/>
      </c>
      <c r="D900" s="21" t="str">
        <f aca="false">IF(AND(Eingabe!$F$13&gt;0,Eingabe!$E$13&gt;=84),84,"")</f>
        <v/>
      </c>
      <c r="E900" s="21" t="str">
        <f aca="false">IF(AND(Eingabe!$F$13&gt;0,Eingabe!$E$13&gt;=84),IF((Eingabe!$G$13)&lt;=9,1000+(Eingabe!$G$13)*100,3000)+84,"")</f>
        <v/>
      </c>
      <c r="F900" s="21" t="str">
        <f aca="false">IF(AND(Eingabe!$F$13&gt;0,Eingabe!$E$13&gt;=84),"10."&amp;Eingabe!$D$13&amp;".84.0/24","")</f>
        <v/>
      </c>
      <c r="G900" s="21" t="str">
        <f aca="false">IF(AND(Eingabe!$F$13&gt;0,Eingabe!$E$13&gt;=84),"10."&amp;Eingabe!$D$13&amp;".84.1","")</f>
        <v/>
      </c>
      <c r="H900" s="21" t="str">
        <f aca="false">IF(AND(Eingabe!$F$13&gt;0,Eingabe!$E$13&gt;=84),"10."&amp;Eingabe!$D$13&amp;".84.10 – 10."&amp;Eingabe!$D$13&amp;".84.250","")</f>
        <v/>
      </c>
      <c r="I900" s="21" t="str">
        <f aca="false">IF(AND(Eingabe!$F$13&gt;0,Eingabe!$E$13&gt;=84),Eingabe!$B$6&amp;"-"&amp;Eingabe!$C$13&amp;"-Pächter","")</f>
        <v/>
      </c>
      <c r="J900" s="21" t="str">
        <f aca="false">IF(AND(Eingabe!$F$13&gt;0,Eingabe!$E$13&gt;=84),"PPSK: Passwort Parzelle 84","")</f>
        <v/>
      </c>
      <c r="K900" s="21" t="str">
        <f aca="false">IF(AND(Eingabe!$F$13&gt;0,Eingabe!$E$13&gt;=84),"1. Gerät: 10."&amp;Eingabe!$D$13&amp;".84.10, 2. Gerät: .11","")</f>
        <v/>
      </c>
    </row>
    <row r="901" customFormat="false" ht="15" hidden="false" customHeight="false" outlineLevel="0" collapsed="false">
      <c r="A901" s="21" t="str">
        <f aca="false">IF(AND(Eingabe!$F$13&gt;0,Eingabe!$E$13&gt;=85),5,"")</f>
        <v/>
      </c>
      <c r="B901" s="21" t="str">
        <f aca="false">IF(AND(Eingabe!$F$13&gt;0,Eingabe!$E$13&gt;=85),Eingabe!$B$13,"")</f>
        <v/>
      </c>
      <c r="C901" s="21" t="str">
        <f aca="false">IF(AND(Eingabe!$F$13&gt;0,Eingabe!$E$13&gt;=85),Eingabe!$C$13&amp;"-Paz."&amp;TEXT(85,"000"),"")</f>
        <v/>
      </c>
      <c r="D901" s="21" t="str">
        <f aca="false">IF(AND(Eingabe!$F$13&gt;0,Eingabe!$E$13&gt;=85),85,"")</f>
        <v/>
      </c>
      <c r="E901" s="21" t="str">
        <f aca="false">IF(AND(Eingabe!$F$13&gt;0,Eingabe!$E$13&gt;=85),IF((Eingabe!$G$13)&lt;=9,1000+(Eingabe!$G$13)*100,3000)+85,"")</f>
        <v/>
      </c>
      <c r="F901" s="21" t="str">
        <f aca="false">IF(AND(Eingabe!$F$13&gt;0,Eingabe!$E$13&gt;=85),"10."&amp;Eingabe!$D$13&amp;".85.0/24","")</f>
        <v/>
      </c>
      <c r="G901" s="21" t="str">
        <f aca="false">IF(AND(Eingabe!$F$13&gt;0,Eingabe!$E$13&gt;=85),"10."&amp;Eingabe!$D$13&amp;".85.1","")</f>
        <v/>
      </c>
      <c r="H901" s="21" t="str">
        <f aca="false">IF(AND(Eingabe!$F$13&gt;0,Eingabe!$E$13&gt;=85),"10."&amp;Eingabe!$D$13&amp;".85.10 – 10."&amp;Eingabe!$D$13&amp;".85.250","")</f>
        <v/>
      </c>
      <c r="I901" s="21" t="str">
        <f aca="false">IF(AND(Eingabe!$F$13&gt;0,Eingabe!$E$13&gt;=85),Eingabe!$B$6&amp;"-"&amp;Eingabe!$C$13&amp;"-Pächter","")</f>
        <v/>
      </c>
      <c r="J901" s="21" t="str">
        <f aca="false">IF(AND(Eingabe!$F$13&gt;0,Eingabe!$E$13&gt;=85),"PPSK: Passwort Parzelle 85","")</f>
        <v/>
      </c>
      <c r="K901" s="21" t="str">
        <f aca="false">IF(AND(Eingabe!$F$13&gt;0,Eingabe!$E$13&gt;=85),"1. Gerät: 10."&amp;Eingabe!$D$13&amp;".85.10, 2. Gerät: .11","")</f>
        <v/>
      </c>
    </row>
    <row r="902" customFormat="false" ht="15" hidden="false" customHeight="false" outlineLevel="0" collapsed="false">
      <c r="A902" s="21" t="str">
        <f aca="false">IF(AND(Eingabe!$F$13&gt;0,Eingabe!$E$13&gt;=86),5,"")</f>
        <v/>
      </c>
      <c r="B902" s="21" t="str">
        <f aca="false">IF(AND(Eingabe!$F$13&gt;0,Eingabe!$E$13&gt;=86),Eingabe!$B$13,"")</f>
        <v/>
      </c>
      <c r="C902" s="21" t="str">
        <f aca="false">IF(AND(Eingabe!$F$13&gt;0,Eingabe!$E$13&gt;=86),Eingabe!$C$13&amp;"-Paz."&amp;TEXT(86,"000"),"")</f>
        <v/>
      </c>
      <c r="D902" s="21" t="str">
        <f aca="false">IF(AND(Eingabe!$F$13&gt;0,Eingabe!$E$13&gt;=86),86,"")</f>
        <v/>
      </c>
      <c r="E902" s="21" t="str">
        <f aca="false">IF(AND(Eingabe!$F$13&gt;0,Eingabe!$E$13&gt;=86),IF((Eingabe!$G$13)&lt;=9,1000+(Eingabe!$G$13)*100,3000)+86,"")</f>
        <v/>
      </c>
      <c r="F902" s="21" t="str">
        <f aca="false">IF(AND(Eingabe!$F$13&gt;0,Eingabe!$E$13&gt;=86),"10."&amp;Eingabe!$D$13&amp;".86.0/24","")</f>
        <v/>
      </c>
      <c r="G902" s="21" t="str">
        <f aca="false">IF(AND(Eingabe!$F$13&gt;0,Eingabe!$E$13&gt;=86),"10."&amp;Eingabe!$D$13&amp;".86.1","")</f>
        <v/>
      </c>
      <c r="H902" s="21" t="str">
        <f aca="false">IF(AND(Eingabe!$F$13&gt;0,Eingabe!$E$13&gt;=86),"10."&amp;Eingabe!$D$13&amp;".86.10 – 10."&amp;Eingabe!$D$13&amp;".86.250","")</f>
        <v/>
      </c>
      <c r="I902" s="21" t="str">
        <f aca="false">IF(AND(Eingabe!$F$13&gt;0,Eingabe!$E$13&gt;=86),Eingabe!$B$6&amp;"-"&amp;Eingabe!$C$13&amp;"-Pächter","")</f>
        <v/>
      </c>
      <c r="J902" s="21" t="str">
        <f aca="false">IF(AND(Eingabe!$F$13&gt;0,Eingabe!$E$13&gt;=86),"PPSK: Passwort Parzelle 86","")</f>
        <v/>
      </c>
      <c r="K902" s="21" t="str">
        <f aca="false">IF(AND(Eingabe!$F$13&gt;0,Eingabe!$E$13&gt;=86),"1. Gerät: 10."&amp;Eingabe!$D$13&amp;".86.10, 2. Gerät: .11","")</f>
        <v/>
      </c>
    </row>
    <row r="903" customFormat="false" ht="15" hidden="false" customHeight="false" outlineLevel="0" collapsed="false">
      <c r="A903" s="21" t="str">
        <f aca="false">IF(AND(Eingabe!$F$13&gt;0,Eingabe!$E$13&gt;=87),5,"")</f>
        <v/>
      </c>
      <c r="B903" s="21" t="str">
        <f aca="false">IF(AND(Eingabe!$F$13&gt;0,Eingabe!$E$13&gt;=87),Eingabe!$B$13,"")</f>
        <v/>
      </c>
      <c r="C903" s="21" t="str">
        <f aca="false">IF(AND(Eingabe!$F$13&gt;0,Eingabe!$E$13&gt;=87),Eingabe!$C$13&amp;"-Paz."&amp;TEXT(87,"000"),"")</f>
        <v/>
      </c>
      <c r="D903" s="21" t="str">
        <f aca="false">IF(AND(Eingabe!$F$13&gt;0,Eingabe!$E$13&gt;=87),87,"")</f>
        <v/>
      </c>
      <c r="E903" s="21" t="str">
        <f aca="false">IF(AND(Eingabe!$F$13&gt;0,Eingabe!$E$13&gt;=87),IF((Eingabe!$G$13)&lt;=9,1000+(Eingabe!$G$13)*100,3000)+87,"")</f>
        <v/>
      </c>
      <c r="F903" s="21" t="str">
        <f aca="false">IF(AND(Eingabe!$F$13&gt;0,Eingabe!$E$13&gt;=87),"10."&amp;Eingabe!$D$13&amp;".87.0/24","")</f>
        <v/>
      </c>
      <c r="G903" s="21" t="str">
        <f aca="false">IF(AND(Eingabe!$F$13&gt;0,Eingabe!$E$13&gt;=87),"10."&amp;Eingabe!$D$13&amp;".87.1","")</f>
        <v/>
      </c>
      <c r="H903" s="21" t="str">
        <f aca="false">IF(AND(Eingabe!$F$13&gt;0,Eingabe!$E$13&gt;=87),"10."&amp;Eingabe!$D$13&amp;".87.10 – 10."&amp;Eingabe!$D$13&amp;".87.250","")</f>
        <v/>
      </c>
      <c r="I903" s="21" t="str">
        <f aca="false">IF(AND(Eingabe!$F$13&gt;0,Eingabe!$E$13&gt;=87),Eingabe!$B$6&amp;"-"&amp;Eingabe!$C$13&amp;"-Pächter","")</f>
        <v/>
      </c>
      <c r="J903" s="21" t="str">
        <f aca="false">IF(AND(Eingabe!$F$13&gt;0,Eingabe!$E$13&gt;=87),"PPSK: Passwort Parzelle 87","")</f>
        <v/>
      </c>
      <c r="K903" s="21" t="str">
        <f aca="false">IF(AND(Eingabe!$F$13&gt;0,Eingabe!$E$13&gt;=87),"1. Gerät: 10."&amp;Eingabe!$D$13&amp;".87.10, 2. Gerät: .11","")</f>
        <v/>
      </c>
    </row>
    <row r="904" customFormat="false" ht="15" hidden="false" customHeight="false" outlineLevel="0" collapsed="false">
      <c r="A904" s="21" t="str">
        <f aca="false">IF(AND(Eingabe!$F$13&gt;0,Eingabe!$E$13&gt;=88),5,"")</f>
        <v/>
      </c>
      <c r="B904" s="21" t="str">
        <f aca="false">IF(AND(Eingabe!$F$13&gt;0,Eingabe!$E$13&gt;=88),Eingabe!$B$13,"")</f>
        <v/>
      </c>
      <c r="C904" s="21" t="str">
        <f aca="false">IF(AND(Eingabe!$F$13&gt;0,Eingabe!$E$13&gt;=88),Eingabe!$C$13&amp;"-Paz."&amp;TEXT(88,"000"),"")</f>
        <v/>
      </c>
      <c r="D904" s="21" t="str">
        <f aca="false">IF(AND(Eingabe!$F$13&gt;0,Eingabe!$E$13&gt;=88),88,"")</f>
        <v/>
      </c>
      <c r="E904" s="21" t="str">
        <f aca="false">IF(AND(Eingabe!$F$13&gt;0,Eingabe!$E$13&gt;=88),IF((Eingabe!$G$13)&lt;=9,1000+(Eingabe!$G$13)*100,3000)+88,"")</f>
        <v/>
      </c>
      <c r="F904" s="21" t="str">
        <f aca="false">IF(AND(Eingabe!$F$13&gt;0,Eingabe!$E$13&gt;=88),"10."&amp;Eingabe!$D$13&amp;".88.0/24","")</f>
        <v/>
      </c>
      <c r="G904" s="21" t="str">
        <f aca="false">IF(AND(Eingabe!$F$13&gt;0,Eingabe!$E$13&gt;=88),"10."&amp;Eingabe!$D$13&amp;".88.1","")</f>
        <v/>
      </c>
      <c r="H904" s="21" t="str">
        <f aca="false">IF(AND(Eingabe!$F$13&gt;0,Eingabe!$E$13&gt;=88),"10."&amp;Eingabe!$D$13&amp;".88.10 – 10."&amp;Eingabe!$D$13&amp;".88.250","")</f>
        <v/>
      </c>
      <c r="I904" s="21" t="str">
        <f aca="false">IF(AND(Eingabe!$F$13&gt;0,Eingabe!$E$13&gt;=88),Eingabe!$B$6&amp;"-"&amp;Eingabe!$C$13&amp;"-Pächter","")</f>
        <v/>
      </c>
      <c r="J904" s="21" t="str">
        <f aca="false">IF(AND(Eingabe!$F$13&gt;0,Eingabe!$E$13&gt;=88),"PPSK: Passwort Parzelle 88","")</f>
        <v/>
      </c>
      <c r="K904" s="21" t="str">
        <f aca="false">IF(AND(Eingabe!$F$13&gt;0,Eingabe!$E$13&gt;=88),"1. Gerät: 10."&amp;Eingabe!$D$13&amp;".88.10, 2. Gerät: .11","")</f>
        <v/>
      </c>
    </row>
    <row r="905" customFormat="false" ht="15" hidden="false" customHeight="false" outlineLevel="0" collapsed="false">
      <c r="A905" s="21" t="str">
        <f aca="false">IF(AND(Eingabe!$F$13&gt;0,Eingabe!$E$13&gt;=89),5,"")</f>
        <v/>
      </c>
      <c r="B905" s="21" t="str">
        <f aca="false">IF(AND(Eingabe!$F$13&gt;0,Eingabe!$E$13&gt;=89),Eingabe!$B$13,"")</f>
        <v/>
      </c>
      <c r="C905" s="21" t="str">
        <f aca="false">IF(AND(Eingabe!$F$13&gt;0,Eingabe!$E$13&gt;=89),Eingabe!$C$13&amp;"-Paz."&amp;TEXT(89,"000"),"")</f>
        <v/>
      </c>
      <c r="D905" s="21" t="str">
        <f aca="false">IF(AND(Eingabe!$F$13&gt;0,Eingabe!$E$13&gt;=89),89,"")</f>
        <v/>
      </c>
      <c r="E905" s="21" t="str">
        <f aca="false">IF(AND(Eingabe!$F$13&gt;0,Eingabe!$E$13&gt;=89),IF((Eingabe!$G$13)&lt;=9,1000+(Eingabe!$G$13)*100,3000)+89,"")</f>
        <v/>
      </c>
      <c r="F905" s="21" t="str">
        <f aca="false">IF(AND(Eingabe!$F$13&gt;0,Eingabe!$E$13&gt;=89),"10."&amp;Eingabe!$D$13&amp;".89.0/24","")</f>
        <v/>
      </c>
      <c r="G905" s="21" t="str">
        <f aca="false">IF(AND(Eingabe!$F$13&gt;0,Eingabe!$E$13&gt;=89),"10."&amp;Eingabe!$D$13&amp;".89.1","")</f>
        <v/>
      </c>
      <c r="H905" s="21" t="str">
        <f aca="false">IF(AND(Eingabe!$F$13&gt;0,Eingabe!$E$13&gt;=89),"10."&amp;Eingabe!$D$13&amp;".89.10 – 10."&amp;Eingabe!$D$13&amp;".89.250","")</f>
        <v/>
      </c>
      <c r="I905" s="21" t="str">
        <f aca="false">IF(AND(Eingabe!$F$13&gt;0,Eingabe!$E$13&gt;=89),Eingabe!$B$6&amp;"-"&amp;Eingabe!$C$13&amp;"-Pächter","")</f>
        <v/>
      </c>
      <c r="J905" s="21" t="str">
        <f aca="false">IF(AND(Eingabe!$F$13&gt;0,Eingabe!$E$13&gt;=89),"PPSK: Passwort Parzelle 89","")</f>
        <v/>
      </c>
      <c r="K905" s="21" t="str">
        <f aca="false">IF(AND(Eingabe!$F$13&gt;0,Eingabe!$E$13&gt;=89),"1. Gerät: 10."&amp;Eingabe!$D$13&amp;".89.10, 2. Gerät: .11","")</f>
        <v/>
      </c>
    </row>
    <row r="906" customFormat="false" ht="15" hidden="false" customHeight="false" outlineLevel="0" collapsed="false">
      <c r="A906" s="21" t="str">
        <f aca="false">IF(AND(Eingabe!$F$13&gt;0,Eingabe!$E$13&gt;=90),5,"")</f>
        <v/>
      </c>
      <c r="B906" s="21" t="str">
        <f aca="false">IF(AND(Eingabe!$F$13&gt;0,Eingabe!$E$13&gt;=90),Eingabe!$B$13,"")</f>
        <v/>
      </c>
      <c r="C906" s="21" t="str">
        <f aca="false">IF(AND(Eingabe!$F$13&gt;0,Eingabe!$E$13&gt;=90),Eingabe!$C$13&amp;"-Paz."&amp;TEXT(90,"000"),"")</f>
        <v/>
      </c>
      <c r="D906" s="21" t="str">
        <f aca="false">IF(AND(Eingabe!$F$13&gt;0,Eingabe!$E$13&gt;=90),90,"")</f>
        <v/>
      </c>
      <c r="E906" s="21" t="str">
        <f aca="false">IF(AND(Eingabe!$F$13&gt;0,Eingabe!$E$13&gt;=90),IF((Eingabe!$G$13)&lt;=9,1000+(Eingabe!$G$13)*100,3000)+90,"")</f>
        <v/>
      </c>
      <c r="F906" s="21" t="str">
        <f aca="false">IF(AND(Eingabe!$F$13&gt;0,Eingabe!$E$13&gt;=90),"10."&amp;Eingabe!$D$13&amp;".90.0/24","")</f>
        <v/>
      </c>
      <c r="G906" s="21" t="str">
        <f aca="false">IF(AND(Eingabe!$F$13&gt;0,Eingabe!$E$13&gt;=90),"10."&amp;Eingabe!$D$13&amp;".90.1","")</f>
        <v/>
      </c>
      <c r="H906" s="21" t="str">
        <f aca="false">IF(AND(Eingabe!$F$13&gt;0,Eingabe!$E$13&gt;=90),"10."&amp;Eingabe!$D$13&amp;".90.10 – 10."&amp;Eingabe!$D$13&amp;".90.250","")</f>
        <v/>
      </c>
      <c r="I906" s="21" t="str">
        <f aca="false">IF(AND(Eingabe!$F$13&gt;0,Eingabe!$E$13&gt;=90),Eingabe!$B$6&amp;"-"&amp;Eingabe!$C$13&amp;"-Pächter","")</f>
        <v/>
      </c>
      <c r="J906" s="21" t="str">
        <f aca="false">IF(AND(Eingabe!$F$13&gt;0,Eingabe!$E$13&gt;=90),"PPSK: Passwort Parzelle 90","")</f>
        <v/>
      </c>
      <c r="K906" s="21" t="str">
        <f aca="false">IF(AND(Eingabe!$F$13&gt;0,Eingabe!$E$13&gt;=90),"1. Gerät: 10."&amp;Eingabe!$D$13&amp;".90.10, 2. Gerät: .11","")</f>
        <v/>
      </c>
    </row>
    <row r="907" customFormat="false" ht="15" hidden="false" customHeight="false" outlineLevel="0" collapsed="false">
      <c r="A907" s="21" t="str">
        <f aca="false">IF(AND(Eingabe!$F$13&gt;0,Eingabe!$E$13&gt;=91),5,"")</f>
        <v/>
      </c>
      <c r="B907" s="21" t="str">
        <f aca="false">IF(AND(Eingabe!$F$13&gt;0,Eingabe!$E$13&gt;=91),Eingabe!$B$13,"")</f>
        <v/>
      </c>
      <c r="C907" s="21" t="str">
        <f aca="false">IF(AND(Eingabe!$F$13&gt;0,Eingabe!$E$13&gt;=91),Eingabe!$C$13&amp;"-Paz."&amp;TEXT(91,"000"),"")</f>
        <v/>
      </c>
      <c r="D907" s="21" t="str">
        <f aca="false">IF(AND(Eingabe!$F$13&gt;0,Eingabe!$E$13&gt;=91),91,"")</f>
        <v/>
      </c>
      <c r="E907" s="21" t="str">
        <f aca="false">IF(AND(Eingabe!$F$13&gt;0,Eingabe!$E$13&gt;=91),IF((Eingabe!$G$13)&lt;=9,1000+(Eingabe!$G$13)*100,3000)+91,"")</f>
        <v/>
      </c>
      <c r="F907" s="21" t="str">
        <f aca="false">IF(AND(Eingabe!$F$13&gt;0,Eingabe!$E$13&gt;=91),"10."&amp;Eingabe!$D$13&amp;".91.0/24","")</f>
        <v/>
      </c>
      <c r="G907" s="21" t="str">
        <f aca="false">IF(AND(Eingabe!$F$13&gt;0,Eingabe!$E$13&gt;=91),"10."&amp;Eingabe!$D$13&amp;".91.1","")</f>
        <v/>
      </c>
      <c r="H907" s="21" t="str">
        <f aca="false">IF(AND(Eingabe!$F$13&gt;0,Eingabe!$E$13&gt;=91),"10."&amp;Eingabe!$D$13&amp;".91.10 – 10."&amp;Eingabe!$D$13&amp;".91.250","")</f>
        <v/>
      </c>
      <c r="I907" s="21" t="str">
        <f aca="false">IF(AND(Eingabe!$F$13&gt;0,Eingabe!$E$13&gt;=91),Eingabe!$B$6&amp;"-"&amp;Eingabe!$C$13&amp;"-Pächter","")</f>
        <v/>
      </c>
      <c r="J907" s="21" t="str">
        <f aca="false">IF(AND(Eingabe!$F$13&gt;0,Eingabe!$E$13&gt;=91),"PPSK: Passwort Parzelle 91","")</f>
        <v/>
      </c>
      <c r="K907" s="21" t="str">
        <f aca="false">IF(AND(Eingabe!$F$13&gt;0,Eingabe!$E$13&gt;=91),"1. Gerät: 10."&amp;Eingabe!$D$13&amp;".91.10, 2. Gerät: .11","")</f>
        <v/>
      </c>
    </row>
    <row r="908" customFormat="false" ht="15" hidden="false" customHeight="false" outlineLevel="0" collapsed="false">
      <c r="A908" s="21" t="str">
        <f aca="false">IF(AND(Eingabe!$F$13&gt;0,Eingabe!$E$13&gt;=92),5,"")</f>
        <v/>
      </c>
      <c r="B908" s="21" t="str">
        <f aca="false">IF(AND(Eingabe!$F$13&gt;0,Eingabe!$E$13&gt;=92),Eingabe!$B$13,"")</f>
        <v/>
      </c>
      <c r="C908" s="21" t="str">
        <f aca="false">IF(AND(Eingabe!$F$13&gt;0,Eingabe!$E$13&gt;=92),Eingabe!$C$13&amp;"-Paz."&amp;TEXT(92,"000"),"")</f>
        <v/>
      </c>
      <c r="D908" s="21" t="str">
        <f aca="false">IF(AND(Eingabe!$F$13&gt;0,Eingabe!$E$13&gt;=92),92,"")</f>
        <v/>
      </c>
      <c r="E908" s="21" t="str">
        <f aca="false">IF(AND(Eingabe!$F$13&gt;0,Eingabe!$E$13&gt;=92),IF((Eingabe!$G$13)&lt;=9,1000+(Eingabe!$G$13)*100,3000)+92,"")</f>
        <v/>
      </c>
      <c r="F908" s="21" t="str">
        <f aca="false">IF(AND(Eingabe!$F$13&gt;0,Eingabe!$E$13&gt;=92),"10."&amp;Eingabe!$D$13&amp;".92.0/24","")</f>
        <v/>
      </c>
      <c r="G908" s="21" t="str">
        <f aca="false">IF(AND(Eingabe!$F$13&gt;0,Eingabe!$E$13&gt;=92),"10."&amp;Eingabe!$D$13&amp;".92.1","")</f>
        <v/>
      </c>
      <c r="H908" s="21" t="str">
        <f aca="false">IF(AND(Eingabe!$F$13&gt;0,Eingabe!$E$13&gt;=92),"10."&amp;Eingabe!$D$13&amp;".92.10 – 10."&amp;Eingabe!$D$13&amp;".92.250","")</f>
        <v/>
      </c>
      <c r="I908" s="21" t="str">
        <f aca="false">IF(AND(Eingabe!$F$13&gt;0,Eingabe!$E$13&gt;=92),Eingabe!$B$6&amp;"-"&amp;Eingabe!$C$13&amp;"-Pächter","")</f>
        <v/>
      </c>
      <c r="J908" s="21" t="str">
        <f aca="false">IF(AND(Eingabe!$F$13&gt;0,Eingabe!$E$13&gt;=92),"PPSK: Passwort Parzelle 92","")</f>
        <v/>
      </c>
      <c r="K908" s="21" t="str">
        <f aca="false">IF(AND(Eingabe!$F$13&gt;0,Eingabe!$E$13&gt;=92),"1. Gerät: 10."&amp;Eingabe!$D$13&amp;".92.10, 2. Gerät: .11","")</f>
        <v/>
      </c>
    </row>
    <row r="909" customFormat="false" ht="15" hidden="false" customHeight="false" outlineLevel="0" collapsed="false">
      <c r="A909" s="21" t="str">
        <f aca="false">IF(AND(Eingabe!$F$13&gt;0,Eingabe!$E$13&gt;=93),5,"")</f>
        <v/>
      </c>
      <c r="B909" s="21" t="str">
        <f aca="false">IF(AND(Eingabe!$F$13&gt;0,Eingabe!$E$13&gt;=93),Eingabe!$B$13,"")</f>
        <v/>
      </c>
      <c r="C909" s="21" t="str">
        <f aca="false">IF(AND(Eingabe!$F$13&gt;0,Eingabe!$E$13&gt;=93),Eingabe!$C$13&amp;"-Paz."&amp;TEXT(93,"000"),"")</f>
        <v/>
      </c>
      <c r="D909" s="21" t="str">
        <f aca="false">IF(AND(Eingabe!$F$13&gt;0,Eingabe!$E$13&gt;=93),93,"")</f>
        <v/>
      </c>
      <c r="E909" s="21" t="str">
        <f aca="false">IF(AND(Eingabe!$F$13&gt;0,Eingabe!$E$13&gt;=93),IF((Eingabe!$G$13)&lt;=9,1000+(Eingabe!$G$13)*100,3000)+93,"")</f>
        <v/>
      </c>
      <c r="F909" s="21" t="str">
        <f aca="false">IF(AND(Eingabe!$F$13&gt;0,Eingabe!$E$13&gt;=93),"10."&amp;Eingabe!$D$13&amp;".93.0/24","")</f>
        <v/>
      </c>
      <c r="G909" s="21" t="str">
        <f aca="false">IF(AND(Eingabe!$F$13&gt;0,Eingabe!$E$13&gt;=93),"10."&amp;Eingabe!$D$13&amp;".93.1","")</f>
        <v/>
      </c>
      <c r="H909" s="21" t="str">
        <f aca="false">IF(AND(Eingabe!$F$13&gt;0,Eingabe!$E$13&gt;=93),"10."&amp;Eingabe!$D$13&amp;".93.10 – 10."&amp;Eingabe!$D$13&amp;".93.250","")</f>
        <v/>
      </c>
      <c r="I909" s="21" t="str">
        <f aca="false">IF(AND(Eingabe!$F$13&gt;0,Eingabe!$E$13&gt;=93),Eingabe!$B$6&amp;"-"&amp;Eingabe!$C$13&amp;"-Pächter","")</f>
        <v/>
      </c>
      <c r="J909" s="21" t="str">
        <f aca="false">IF(AND(Eingabe!$F$13&gt;0,Eingabe!$E$13&gt;=93),"PPSK: Passwort Parzelle 93","")</f>
        <v/>
      </c>
      <c r="K909" s="21" t="str">
        <f aca="false">IF(AND(Eingabe!$F$13&gt;0,Eingabe!$E$13&gt;=93),"1. Gerät: 10."&amp;Eingabe!$D$13&amp;".93.10, 2. Gerät: .11","")</f>
        <v/>
      </c>
    </row>
    <row r="910" customFormat="false" ht="15" hidden="false" customHeight="false" outlineLevel="0" collapsed="false">
      <c r="A910" s="21" t="str">
        <f aca="false">IF(AND(Eingabe!$F$13&gt;0,Eingabe!$E$13&gt;=94),5,"")</f>
        <v/>
      </c>
      <c r="B910" s="21" t="str">
        <f aca="false">IF(AND(Eingabe!$F$13&gt;0,Eingabe!$E$13&gt;=94),Eingabe!$B$13,"")</f>
        <v/>
      </c>
      <c r="C910" s="21" t="str">
        <f aca="false">IF(AND(Eingabe!$F$13&gt;0,Eingabe!$E$13&gt;=94),Eingabe!$C$13&amp;"-Paz."&amp;TEXT(94,"000"),"")</f>
        <v/>
      </c>
      <c r="D910" s="21" t="str">
        <f aca="false">IF(AND(Eingabe!$F$13&gt;0,Eingabe!$E$13&gt;=94),94,"")</f>
        <v/>
      </c>
      <c r="E910" s="21" t="str">
        <f aca="false">IF(AND(Eingabe!$F$13&gt;0,Eingabe!$E$13&gt;=94),IF((Eingabe!$G$13)&lt;=9,1000+(Eingabe!$G$13)*100,3000)+94,"")</f>
        <v/>
      </c>
      <c r="F910" s="21" t="str">
        <f aca="false">IF(AND(Eingabe!$F$13&gt;0,Eingabe!$E$13&gt;=94),"10."&amp;Eingabe!$D$13&amp;".94.0/24","")</f>
        <v/>
      </c>
      <c r="G910" s="21" t="str">
        <f aca="false">IF(AND(Eingabe!$F$13&gt;0,Eingabe!$E$13&gt;=94),"10."&amp;Eingabe!$D$13&amp;".94.1","")</f>
        <v/>
      </c>
      <c r="H910" s="21" t="str">
        <f aca="false">IF(AND(Eingabe!$F$13&gt;0,Eingabe!$E$13&gt;=94),"10."&amp;Eingabe!$D$13&amp;".94.10 – 10."&amp;Eingabe!$D$13&amp;".94.250","")</f>
        <v/>
      </c>
      <c r="I910" s="21" t="str">
        <f aca="false">IF(AND(Eingabe!$F$13&gt;0,Eingabe!$E$13&gt;=94),Eingabe!$B$6&amp;"-"&amp;Eingabe!$C$13&amp;"-Pächter","")</f>
        <v/>
      </c>
      <c r="J910" s="21" t="str">
        <f aca="false">IF(AND(Eingabe!$F$13&gt;0,Eingabe!$E$13&gt;=94),"PPSK: Passwort Parzelle 94","")</f>
        <v/>
      </c>
      <c r="K910" s="21" t="str">
        <f aca="false">IF(AND(Eingabe!$F$13&gt;0,Eingabe!$E$13&gt;=94),"1. Gerät: 10."&amp;Eingabe!$D$13&amp;".94.10, 2. Gerät: .11","")</f>
        <v/>
      </c>
    </row>
    <row r="911" customFormat="false" ht="15" hidden="false" customHeight="false" outlineLevel="0" collapsed="false">
      <c r="A911" s="21" t="str">
        <f aca="false">IF(AND(Eingabe!$F$13&gt;0,Eingabe!$E$13&gt;=95),5,"")</f>
        <v/>
      </c>
      <c r="B911" s="21" t="str">
        <f aca="false">IF(AND(Eingabe!$F$13&gt;0,Eingabe!$E$13&gt;=95),Eingabe!$B$13,"")</f>
        <v/>
      </c>
      <c r="C911" s="21" t="str">
        <f aca="false">IF(AND(Eingabe!$F$13&gt;0,Eingabe!$E$13&gt;=95),Eingabe!$C$13&amp;"-Paz."&amp;TEXT(95,"000"),"")</f>
        <v/>
      </c>
      <c r="D911" s="21" t="str">
        <f aca="false">IF(AND(Eingabe!$F$13&gt;0,Eingabe!$E$13&gt;=95),95,"")</f>
        <v/>
      </c>
      <c r="E911" s="21" t="str">
        <f aca="false">IF(AND(Eingabe!$F$13&gt;0,Eingabe!$E$13&gt;=95),IF((Eingabe!$G$13)&lt;=9,1000+(Eingabe!$G$13)*100,3000)+95,"")</f>
        <v/>
      </c>
      <c r="F911" s="21" t="str">
        <f aca="false">IF(AND(Eingabe!$F$13&gt;0,Eingabe!$E$13&gt;=95),"10."&amp;Eingabe!$D$13&amp;".95.0/24","")</f>
        <v/>
      </c>
      <c r="G911" s="21" t="str">
        <f aca="false">IF(AND(Eingabe!$F$13&gt;0,Eingabe!$E$13&gt;=95),"10."&amp;Eingabe!$D$13&amp;".95.1","")</f>
        <v/>
      </c>
      <c r="H911" s="21" t="str">
        <f aca="false">IF(AND(Eingabe!$F$13&gt;0,Eingabe!$E$13&gt;=95),"10."&amp;Eingabe!$D$13&amp;".95.10 – 10."&amp;Eingabe!$D$13&amp;".95.250","")</f>
        <v/>
      </c>
      <c r="I911" s="21" t="str">
        <f aca="false">IF(AND(Eingabe!$F$13&gt;0,Eingabe!$E$13&gt;=95),Eingabe!$B$6&amp;"-"&amp;Eingabe!$C$13&amp;"-Pächter","")</f>
        <v/>
      </c>
      <c r="J911" s="21" t="str">
        <f aca="false">IF(AND(Eingabe!$F$13&gt;0,Eingabe!$E$13&gt;=95),"PPSK: Passwort Parzelle 95","")</f>
        <v/>
      </c>
      <c r="K911" s="21" t="str">
        <f aca="false">IF(AND(Eingabe!$F$13&gt;0,Eingabe!$E$13&gt;=95),"1. Gerät: 10."&amp;Eingabe!$D$13&amp;".95.10, 2. Gerät: .11","")</f>
        <v/>
      </c>
    </row>
    <row r="912" customFormat="false" ht="15" hidden="false" customHeight="false" outlineLevel="0" collapsed="false">
      <c r="A912" s="21" t="str">
        <f aca="false">IF(AND(Eingabe!$F$13&gt;0,Eingabe!$E$13&gt;=96),5,"")</f>
        <v/>
      </c>
      <c r="B912" s="21" t="str">
        <f aca="false">IF(AND(Eingabe!$F$13&gt;0,Eingabe!$E$13&gt;=96),Eingabe!$B$13,"")</f>
        <v/>
      </c>
      <c r="C912" s="21" t="str">
        <f aca="false">IF(AND(Eingabe!$F$13&gt;0,Eingabe!$E$13&gt;=96),Eingabe!$C$13&amp;"-Paz."&amp;TEXT(96,"000"),"")</f>
        <v/>
      </c>
      <c r="D912" s="21" t="str">
        <f aca="false">IF(AND(Eingabe!$F$13&gt;0,Eingabe!$E$13&gt;=96),96,"")</f>
        <v/>
      </c>
      <c r="E912" s="21" t="str">
        <f aca="false">IF(AND(Eingabe!$F$13&gt;0,Eingabe!$E$13&gt;=96),IF((Eingabe!$G$13)&lt;=9,1000+(Eingabe!$G$13)*100,3000)+96,"")</f>
        <v/>
      </c>
      <c r="F912" s="21" t="str">
        <f aca="false">IF(AND(Eingabe!$F$13&gt;0,Eingabe!$E$13&gt;=96),"10."&amp;Eingabe!$D$13&amp;".96.0/24","")</f>
        <v/>
      </c>
      <c r="G912" s="21" t="str">
        <f aca="false">IF(AND(Eingabe!$F$13&gt;0,Eingabe!$E$13&gt;=96),"10."&amp;Eingabe!$D$13&amp;".96.1","")</f>
        <v/>
      </c>
      <c r="H912" s="21" t="str">
        <f aca="false">IF(AND(Eingabe!$F$13&gt;0,Eingabe!$E$13&gt;=96),"10."&amp;Eingabe!$D$13&amp;".96.10 – 10."&amp;Eingabe!$D$13&amp;".96.250","")</f>
        <v/>
      </c>
      <c r="I912" s="21" t="str">
        <f aca="false">IF(AND(Eingabe!$F$13&gt;0,Eingabe!$E$13&gt;=96),Eingabe!$B$6&amp;"-"&amp;Eingabe!$C$13&amp;"-Pächter","")</f>
        <v/>
      </c>
      <c r="J912" s="21" t="str">
        <f aca="false">IF(AND(Eingabe!$F$13&gt;0,Eingabe!$E$13&gt;=96),"PPSK: Passwort Parzelle 96","")</f>
        <v/>
      </c>
      <c r="K912" s="21" t="str">
        <f aca="false">IF(AND(Eingabe!$F$13&gt;0,Eingabe!$E$13&gt;=96),"1. Gerät: 10."&amp;Eingabe!$D$13&amp;".96.10, 2. Gerät: .11","")</f>
        <v/>
      </c>
    </row>
    <row r="913" customFormat="false" ht="15" hidden="false" customHeight="false" outlineLevel="0" collapsed="false">
      <c r="A913" s="21" t="str">
        <f aca="false">IF(AND(Eingabe!$F$13&gt;0,Eingabe!$E$13&gt;=97),5,"")</f>
        <v/>
      </c>
      <c r="B913" s="21" t="str">
        <f aca="false">IF(AND(Eingabe!$F$13&gt;0,Eingabe!$E$13&gt;=97),Eingabe!$B$13,"")</f>
        <v/>
      </c>
      <c r="C913" s="21" t="str">
        <f aca="false">IF(AND(Eingabe!$F$13&gt;0,Eingabe!$E$13&gt;=97),Eingabe!$C$13&amp;"-Paz."&amp;TEXT(97,"000"),"")</f>
        <v/>
      </c>
      <c r="D913" s="21" t="str">
        <f aca="false">IF(AND(Eingabe!$F$13&gt;0,Eingabe!$E$13&gt;=97),97,"")</f>
        <v/>
      </c>
      <c r="E913" s="21" t="str">
        <f aca="false">IF(AND(Eingabe!$F$13&gt;0,Eingabe!$E$13&gt;=97),IF((Eingabe!$G$13)&lt;=9,1000+(Eingabe!$G$13)*100,3000)+97,"")</f>
        <v/>
      </c>
      <c r="F913" s="21" t="str">
        <f aca="false">IF(AND(Eingabe!$F$13&gt;0,Eingabe!$E$13&gt;=97),"10."&amp;Eingabe!$D$13&amp;".97.0/24","")</f>
        <v/>
      </c>
      <c r="G913" s="21" t="str">
        <f aca="false">IF(AND(Eingabe!$F$13&gt;0,Eingabe!$E$13&gt;=97),"10."&amp;Eingabe!$D$13&amp;".97.1","")</f>
        <v/>
      </c>
      <c r="H913" s="21" t="str">
        <f aca="false">IF(AND(Eingabe!$F$13&gt;0,Eingabe!$E$13&gt;=97),"10."&amp;Eingabe!$D$13&amp;".97.10 – 10."&amp;Eingabe!$D$13&amp;".97.250","")</f>
        <v/>
      </c>
      <c r="I913" s="21" t="str">
        <f aca="false">IF(AND(Eingabe!$F$13&gt;0,Eingabe!$E$13&gt;=97),Eingabe!$B$6&amp;"-"&amp;Eingabe!$C$13&amp;"-Pächter","")</f>
        <v/>
      </c>
      <c r="J913" s="21" t="str">
        <f aca="false">IF(AND(Eingabe!$F$13&gt;0,Eingabe!$E$13&gt;=97),"PPSK: Passwort Parzelle 97","")</f>
        <v/>
      </c>
      <c r="K913" s="21" t="str">
        <f aca="false">IF(AND(Eingabe!$F$13&gt;0,Eingabe!$E$13&gt;=97),"1. Gerät: 10."&amp;Eingabe!$D$13&amp;".97.10, 2. Gerät: .11","")</f>
        <v/>
      </c>
    </row>
    <row r="914" customFormat="false" ht="15" hidden="false" customHeight="false" outlineLevel="0" collapsed="false">
      <c r="A914" s="21" t="str">
        <f aca="false">IF(AND(Eingabe!$F$13&gt;0,Eingabe!$E$13&gt;=98),5,"")</f>
        <v/>
      </c>
      <c r="B914" s="21" t="str">
        <f aca="false">IF(AND(Eingabe!$F$13&gt;0,Eingabe!$E$13&gt;=98),Eingabe!$B$13,"")</f>
        <v/>
      </c>
      <c r="C914" s="21" t="str">
        <f aca="false">IF(AND(Eingabe!$F$13&gt;0,Eingabe!$E$13&gt;=98),Eingabe!$C$13&amp;"-Paz."&amp;TEXT(98,"000"),"")</f>
        <v/>
      </c>
      <c r="D914" s="21" t="str">
        <f aca="false">IF(AND(Eingabe!$F$13&gt;0,Eingabe!$E$13&gt;=98),98,"")</f>
        <v/>
      </c>
      <c r="E914" s="21" t="str">
        <f aca="false">IF(AND(Eingabe!$F$13&gt;0,Eingabe!$E$13&gt;=98),IF((Eingabe!$G$13)&lt;=9,1000+(Eingabe!$G$13)*100,3000)+98,"")</f>
        <v/>
      </c>
      <c r="F914" s="21" t="str">
        <f aca="false">IF(AND(Eingabe!$F$13&gt;0,Eingabe!$E$13&gt;=98),"10."&amp;Eingabe!$D$13&amp;".98.0/24","")</f>
        <v/>
      </c>
      <c r="G914" s="21" t="str">
        <f aca="false">IF(AND(Eingabe!$F$13&gt;0,Eingabe!$E$13&gt;=98),"10."&amp;Eingabe!$D$13&amp;".98.1","")</f>
        <v/>
      </c>
      <c r="H914" s="21" t="str">
        <f aca="false">IF(AND(Eingabe!$F$13&gt;0,Eingabe!$E$13&gt;=98),"10."&amp;Eingabe!$D$13&amp;".98.10 – 10."&amp;Eingabe!$D$13&amp;".98.250","")</f>
        <v/>
      </c>
      <c r="I914" s="21" t="str">
        <f aca="false">IF(AND(Eingabe!$F$13&gt;0,Eingabe!$E$13&gt;=98),Eingabe!$B$6&amp;"-"&amp;Eingabe!$C$13&amp;"-Pächter","")</f>
        <v/>
      </c>
      <c r="J914" s="21" t="str">
        <f aca="false">IF(AND(Eingabe!$F$13&gt;0,Eingabe!$E$13&gt;=98),"PPSK: Passwort Parzelle 98","")</f>
        <v/>
      </c>
      <c r="K914" s="21" t="str">
        <f aca="false">IF(AND(Eingabe!$F$13&gt;0,Eingabe!$E$13&gt;=98),"1. Gerät: 10."&amp;Eingabe!$D$13&amp;".98.10, 2. Gerät: .11","")</f>
        <v/>
      </c>
    </row>
    <row r="915" customFormat="false" ht="15" hidden="false" customHeight="false" outlineLevel="0" collapsed="false">
      <c r="A915" s="21" t="str">
        <f aca="false">IF(AND(Eingabe!$F$13&gt;0,Eingabe!$E$13&gt;=99),5,"")</f>
        <v/>
      </c>
      <c r="B915" s="21" t="str">
        <f aca="false">IF(AND(Eingabe!$F$13&gt;0,Eingabe!$E$13&gt;=99),Eingabe!$B$13,"")</f>
        <v/>
      </c>
      <c r="C915" s="21" t="str">
        <f aca="false">IF(AND(Eingabe!$F$13&gt;0,Eingabe!$E$13&gt;=99),Eingabe!$C$13&amp;"-Paz."&amp;TEXT(99,"000"),"")</f>
        <v/>
      </c>
      <c r="D915" s="21" t="str">
        <f aca="false">IF(AND(Eingabe!$F$13&gt;0,Eingabe!$E$13&gt;=99),99,"")</f>
        <v/>
      </c>
      <c r="E915" s="21" t="str">
        <f aca="false">IF(AND(Eingabe!$F$13&gt;0,Eingabe!$E$13&gt;=99),IF((Eingabe!$G$13)&lt;=9,1000+(Eingabe!$G$13)*100,3000)+99,"")</f>
        <v/>
      </c>
      <c r="F915" s="21" t="str">
        <f aca="false">IF(AND(Eingabe!$F$13&gt;0,Eingabe!$E$13&gt;=99),"10."&amp;Eingabe!$D$13&amp;".99.0/24","")</f>
        <v/>
      </c>
      <c r="G915" s="21" t="str">
        <f aca="false">IF(AND(Eingabe!$F$13&gt;0,Eingabe!$E$13&gt;=99),"10."&amp;Eingabe!$D$13&amp;".99.1","")</f>
        <v/>
      </c>
      <c r="H915" s="21" t="str">
        <f aca="false">IF(AND(Eingabe!$F$13&gt;0,Eingabe!$E$13&gt;=99),"10."&amp;Eingabe!$D$13&amp;".99.10 – 10."&amp;Eingabe!$D$13&amp;".99.250","")</f>
        <v/>
      </c>
      <c r="I915" s="21" t="str">
        <f aca="false">IF(AND(Eingabe!$F$13&gt;0,Eingabe!$E$13&gt;=99),Eingabe!$B$6&amp;"-"&amp;Eingabe!$C$13&amp;"-Pächter","")</f>
        <v/>
      </c>
      <c r="J915" s="21" t="str">
        <f aca="false">IF(AND(Eingabe!$F$13&gt;0,Eingabe!$E$13&gt;=99),"PPSK: Passwort Parzelle 99","")</f>
        <v/>
      </c>
      <c r="K915" s="21" t="str">
        <f aca="false">IF(AND(Eingabe!$F$13&gt;0,Eingabe!$E$13&gt;=99),"1. Gerät: 10."&amp;Eingabe!$D$13&amp;".99.10, 2. Gerät: .11","")</f>
        <v/>
      </c>
    </row>
    <row r="916" customFormat="false" ht="15" hidden="false" customHeight="false" outlineLevel="0" collapsed="false">
      <c r="A916" s="21" t="str">
        <f aca="false">IF(AND(Eingabe!$F$13&gt;0,Eingabe!$E$13&gt;=100),5,"")</f>
        <v/>
      </c>
      <c r="B916" s="21" t="str">
        <f aca="false">IF(AND(Eingabe!$F$13&gt;0,Eingabe!$E$13&gt;=100),Eingabe!$B$13,"")</f>
        <v/>
      </c>
      <c r="C916" s="21" t="str">
        <f aca="false">IF(AND(Eingabe!$F$13&gt;0,Eingabe!$E$13&gt;=100),Eingabe!$C$13&amp;"-Paz."&amp;TEXT(100,"000"),"")</f>
        <v/>
      </c>
      <c r="D916" s="21" t="str">
        <f aca="false">IF(AND(Eingabe!$F$13&gt;0,Eingabe!$E$13&gt;=100),100,"")</f>
        <v/>
      </c>
      <c r="E916" s="21" t="str">
        <f aca="false">IF(AND(Eingabe!$F$13&gt;0,Eingabe!$E$13&gt;=100),IF((Eingabe!$G$13+1)&lt;=9,1000+(Eingabe!$G$13+1)*100,3000)+0,"")</f>
        <v/>
      </c>
      <c r="F916" s="21" t="str">
        <f aca="false">IF(AND(Eingabe!$F$13&gt;0,Eingabe!$E$13&gt;=100),"10."&amp;Eingabe!$D$13&amp;".100.0/24","")</f>
        <v/>
      </c>
      <c r="G916" s="21" t="str">
        <f aca="false">IF(AND(Eingabe!$F$13&gt;0,Eingabe!$E$13&gt;=100),"10."&amp;Eingabe!$D$13&amp;".100.1","")</f>
        <v/>
      </c>
      <c r="H916" s="21" t="str">
        <f aca="false">IF(AND(Eingabe!$F$13&gt;0,Eingabe!$E$13&gt;=100),"10."&amp;Eingabe!$D$13&amp;".100.10 – 10."&amp;Eingabe!$D$13&amp;".100.250","")</f>
        <v/>
      </c>
      <c r="I916" s="21" t="str">
        <f aca="false">IF(AND(Eingabe!$F$13&gt;0,Eingabe!$E$13&gt;=100),Eingabe!$B$6&amp;"-"&amp;Eingabe!$C$13&amp;"-Pächter","")</f>
        <v/>
      </c>
      <c r="J916" s="21" t="str">
        <f aca="false">IF(AND(Eingabe!$F$13&gt;0,Eingabe!$E$13&gt;=100),"PPSK: Passwort Parzelle 100","")</f>
        <v/>
      </c>
      <c r="K916" s="21" t="str">
        <f aca="false">IF(AND(Eingabe!$F$13&gt;0,Eingabe!$E$13&gt;=100),"1. Gerät: 10."&amp;Eingabe!$D$13&amp;".100.10, 2. Gerät: .11","")</f>
        <v/>
      </c>
    </row>
    <row r="917" customFormat="false" ht="15" hidden="false" customHeight="false" outlineLevel="0" collapsed="false">
      <c r="A917" s="21" t="str">
        <f aca="false">IF(AND(Eingabe!$F$13&gt;0,Eingabe!$E$13&gt;=101),5,"")</f>
        <v/>
      </c>
      <c r="B917" s="21" t="str">
        <f aca="false">IF(AND(Eingabe!$F$13&gt;0,Eingabe!$E$13&gt;=101),Eingabe!$B$13,"")</f>
        <v/>
      </c>
      <c r="C917" s="21" t="str">
        <f aca="false">IF(AND(Eingabe!$F$13&gt;0,Eingabe!$E$13&gt;=101),Eingabe!$C$13&amp;"-Paz."&amp;TEXT(101,"000"),"")</f>
        <v/>
      </c>
      <c r="D917" s="21" t="str">
        <f aca="false">IF(AND(Eingabe!$F$13&gt;0,Eingabe!$E$13&gt;=101),101,"")</f>
        <v/>
      </c>
      <c r="E917" s="21" t="str">
        <f aca="false">IF(AND(Eingabe!$F$13&gt;0,Eingabe!$E$13&gt;=101),IF((Eingabe!$G$13+1)&lt;=9,1000+(Eingabe!$G$13+1)*100,3000)+1,"")</f>
        <v/>
      </c>
      <c r="F917" s="21" t="str">
        <f aca="false">IF(AND(Eingabe!$F$13&gt;0,Eingabe!$E$13&gt;=101),"10."&amp;Eingabe!$D$13&amp;".101.0/24","")</f>
        <v/>
      </c>
      <c r="G917" s="21" t="str">
        <f aca="false">IF(AND(Eingabe!$F$13&gt;0,Eingabe!$E$13&gt;=101),"10."&amp;Eingabe!$D$13&amp;".101.1","")</f>
        <v/>
      </c>
      <c r="H917" s="21" t="str">
        <f aca="false">IF(AND(Eingabe!$F$13&gt;0,Eingabe!$E$13&gt;=101),"10."&amp;Eingabe!$D$13&amp;".101.10 – 10."&amp;Eingabe!$D$13&amp;".101.250","")</f>
        <v/>
      </c>
      <c r="I917" s="21" t="str">
        <f aca="false">IF(AND(Eingabe!$F$13&gt;0,Eingabe!$E$13&gt;=101),Eingabe!$B$6&amp;"-"&amp;Eingabe!$C$13&amp;"-Pächter","")</f>
        <v/>
      </c>
      <c r="J917" s="21" t="str">
        <f aca="false">IF(AND(Eingabe!$F$13&gt;0,Eingabe!$E$13&gt;=101),"PPSK: Passwort Parzelle 101","")</f>
        <v/>
      </c>
      <c r="K917" s="21" t="str">
        <f aca="false">IF(AND(Eingabe!$F$13&gt;0,Eingabe!$E$13&gt;=101),"1. Gerät: 10."&amp;Eingabe!$D$13&amp;".101.10, 2. Gerät: .11","")</f>
        <v/>
      </c>
    </row>
    <row r="918" customFormat="false" ht="15" hidden="false" customHeight="false" outlineLevel="0" collapsed="false">
      <c r="A918" s="21" t="str">
        <f aca="false">IF(AND(Eingabe!$F$13&gt;0,Eingabe!$E$13&gt;=102),5,"")</f>
        <v/>
      </c>
      <c r="B918" s="21" t="str">
        <f aca="false">IF(AND(Eingabe!$F$13&gt;0,Eingabe!$E$13&gt;=102),Eingabe!$B$13,"")</f>
        <v/>
      </c>
      <c r="C918" s="21" t="str">
        <f aca="false">IF(AND(Eingabe!$F$13&gt;0,Eingabe!$E$13&gt;=102),Eingabe!$C$13&amp;"-Paz."&amp;TEXT(102,"000"),"")</f>
        <v/>
      </c>
      <c r="D918" s="21" t="str">
        <f aca="false">IF(AND(Eingabe!$F$13&gt;0,Eingabe!$E$13&gt;=102),102,"")</f>
        <v/>
      </c>
      <c r="E918" s="21" t="str">
        <f aca="false">IF(AND(Eingabe!$F$13&gt;0,Eingabe!$E$13&gt;=102),IF((Eingabe!$G$13+1)&lt;=9,1000+(Eingabe!$G$13+1)*100,3000)+2,"")</f>
        <v/>
      </c>
      <c r="F918" s="21" t="str">
        <f aca="false">IF(AND(Eingabe!$F$13&gt;0,Eingabe!$E$13&gt;=102),"10."&amp;Eingabe!$D$13&amp;".102.0/24","")</f>
        <v/>
      </c>
      <c r="G918" s="21" t="str">
        <f aca="false">IF(AND(Eingabe!$F$13&gt;0,Eingabe!$E$13&gt;=102),"10."&amp;Eingabe!$D$13&amp;".102.1","")</f>
        <v/>
      </c>
      <c r="H918" s="21" t="str">
        <f aca="false">IF(AND(Eingabe!$F$13&gt;0,Eingabe!$E$13&gt;=102),"10."&amp;Eingabe!$D$13&amp;".102.10 – 10."&amp;Eingabe!$D$13&amp;".102.250","")</f>
        <v/>
      </c>
      <c r="I918" s="21" t="str">
        <f aca="false">IF(AND(Eingabe!$F$13&gt;0,Eingabe!$E$13&gt;=102),Eingabe!$B$6&amp;"-"&amp;Eingabe!$C$13&amp;"-Pächter","")</f>
        <v/>
      </c>
      <c r="J918" s="21" t="str">
        <f aca="false">IF(AND(Eingabe!$F$13&gt;0,Eingabe!$E$13&gt;=102),"PPSK: Passwort Parzelle 102","")</f>
        <v/>
      </c>
      <c r="K918" s="21" t="str">
        <f aca="false">IF(AND(Eingabe!$F$13&gt;0,Eingabe!$E$13&gt;=102),"1. Gerät: 10."&amp;Eingabe!$D$13&amp;".102.10, 2. Gerät: .11","")</f>
        <v/>
      </c>
    </row>
    <row r="919" customFormat="false" ht="15" hidden="false" customHeight="false" outlineLevel="0" collapsed="false">
      <c r="A919" s="21" t="str">
        <f aca="false">IF(AND(Eingabe!$F$13&gt;0,Eingabe!$E$13&gt;=103),5,"")</f>
        <v/>
      </c>
      <c r="B919" s="21" t="str">
        <f aca="false">IF(AND(Eingabe!$F$13&gt;0,Eingabe!$E$13&gt;=103),Eingabe!$B$13,"")</f>
        <v/>
      </c>
      <c r="C919" s="21" t="str">
        <f aca="false">IF(AND(Eingabe!$F$13&gt;0,Eingabe!$E$13&gt;=103),Eingabe!$C$13&amp;"-Paz."&amp;TEXT(103,"000"),"")</f>
        <v/>
      </c>
      <c r="D919" s="21" t="str">
        <f aca="false">IF(AND(Eingabe!$F$13&gt;0,Eingabe!$E$13&gt;=103),103,"")</f>
        <v/>
      </c>
      <c r="E919" s="21" t="str">
        <f aca="false">IF(AND(Eingabe!$F$13&gt;0,Eingabe!$E$13&gt;=103),IF((Eingabe!$G$13+1)&lt;=9,1000+(Eingabe!$G$13+1)*100,3000)+3,"")</f>
        <v/>
      </c>
      <c r="F919" s="21" t="str">
        <f aca="false">IF(AND(Eingabe!$F$13&gt;0,Eingabe!$E$13&gt;=103),"10."&amp;Eingabe!$D$13&amp;".103.0/24","")</f>
        <v/>
      </c>
      <c r="G919" s="21" t="str">
        <f aca="false">IF(AND(Eingabe!$F$13&gt;0,Eingabe!$E$13&gt;=103),"10."&amp;Eingabe!$D$13&amp;".103.1","")</f>
        <v/>
      </c>
      <c r="H919" s="21" t="str">
        <f aca="false">IF(AND(Eingabe!$F$13&gt;0,Eingabe!$E$13&gt;=103),"10."&amp;Eingabe!$D$13&amp;".103.10 – 10."&amp;Eingabe!$D$13&amp;".103.250","")</f>
        <v/>
      </c>
      <c r="I919" s="21" t="str">
        <f aca="false">IF(AND(Eingabe!$F$13&gt;0,Eingabe!$E$13&gt;=103),Eingabe!$B$6&amp;"-"&amp;Eingabe!$C$13&amp;"-Pächter","")</f>
        <v/>
      </c>
      <c r="J919" s="21" t="str">
        <f aca="false">IF(AND(Eingabe!$F$13&gt;0,Eingabe!$E$13&gt;=103),"PPSK: Passwort Parzelle 103","")</f>
        <v/>
      </c>
      <c r="K919" s="21" t="str">
        <f aca="false">IF(AND(Eingabe!$F$13&gt;0,Eingabe!$E$13&gt;=103),"1. Gerät: 10."&amp;Eingabe!$D$13&amp;".103.10, 2. Gerät: .11","")</f>
        <v/>
      </c>
    </row>
    <row r="920" customFormat="false" ht="15" hidden="false" customHeight="false" outlineLevel="0" collapsed="false">
      <c r="A920" s="21" t="str">
        <f aca="false">IF(AND(Eingabe!$F$13&gt;0,Eingabe!$E$13&gt;=104),5,"")</f>
        <v/>
      </c>
      <c r="B920" s="21" t="str">
        <f aca="false">IF(AND(Eingabe!$F$13&gt;0,Eingabe!$E$13&gt;=104),Eingabe!$B$13,"")</f>
        <v/>
      </c>
      <c r="C920" s="21" t="str">
        <f aca="false">IF(AND(Eingabe!$F$13&gt;0,Eingabe!$E$13&gt;=104),Eingabe!$C$13&amp;"-Paz."&amp;TEXT(104,"000"),"")</f>
        <v/>
      </c>
      <c r="D920" s="21" t="str">
        <f aca="false">IF(AND(Eingabe!$F$13&gt;0,Eingabe!$E$13&gt;=104),104,"")</f>
        <v/>
      </c>
      <c r="E920" s="21" t="str">
        <f aca="false">IF(AND(Eingabe!$F$13&gt;0,Eingabe!$E$13&gt;=104),IF((Eingabe!$G$13+1)&lt;=9,1000+(Eingabe!$G$13+1)*100,3000)+4,"")</f>
        <v/>
      </c>
      <c r="F920" s="21" t="str">
        <f aca="false">IF(AND(Eingabe!$F$13&gt;0,Eingabe!$E$13&gt;=104),"10."&amp;Eingabe!$D$13&amp;".104.0/24","")</f>
        <v/>
      </c>
      <c r="G920" s="21" t="str">
        <f aca="false">IF(AND(Eingabe!$F$13&gt;0,Eingabe!$E$13&gt;=104),"10."&amp;Eingabe!$D$13&amp;".104.1","")</f>
        <v/>
      </c>
      <c r="H920" s="21" t="str">
        <f aca="false">IF(AND(Eingabe!$F$13&gt;0,Eingabe!$E$13&gt;=104),"10."&amp;Eingabe!$D$13&amp;".104.10 – 10."&amp;Eingabe!$D$13&amp;".104.250","")</f>
        <v/>
      </c>
      <c r="I920" s="21" t="str">
        <f aca="false">IF(AND(Eingabe!$F$13&gt;0,Eingabe!$E$13&gt;=104),Eingabe!$B$6&amp;"-"&amp;Eingabe!$C$13&amp;"-Pächter","")</f>
        <v/>
      </c>
      <c r="J920" s="21" t="str">
        <f aca="false">IF(AND(Eingabe!$F$13&gt;0,Eingabe!$E$13&gt;=104),"PPSK: Passwort Parzelle 104","")</f>
        <v/>
      </c>
      <c r="K920" s="21" t="str">
        <f aca="false">IF(AND(Eingabe!$F$13&gt;0,Eingabe!$E$13&gt;=104),"1. Gerät: 10."&amp;Eingabe!$D$13&amp;".104.10, 2. Gerät: .11","")</f>
        <v/>
      </c>
    </row>
    <row r="921" customFormat="false" ht="15" hidden="false" customHeight="false" outlineLevel="0" collapsed="false">
      <c r="A921" s="21" t="str">
        <f aca="false">IF(AND(Eingabe!$F$13&gt;0,Eingabe!$E$13&gt;=105),5,"")</f>
        <v/>
      </c>
      <c r="B921" s="21" t="str">
        <f aca="false">IF(AND(Eingabe!$F$13&gt;0,Eingabe!$E$13&gt;=105),Eingabe!$B$13,"")</f>
        <v/>
      </c>
      <c r="C921" s="21" t="str">
        <f aca="false">IF(AND(Eingabe!$F$13&gt;0,Eingabe!$E$13&gt;=105),Eingabe!$C$13&amp;"-Paz."&amp;TEXT(105,"000"),"")</f>
        <v/>
      </c>
      <c r="D921" s="21" t="str">
        <f aca="false">IF(AND(Eingabe!$F$13&gt;0,Eingabe!$E$13&gt;=105),105,"")</f>
        <v/>
      </c>
      <c r="E921" s="21" t="str">
        <f aca="false">IF(AND(Eingabe!$F$13&gt;0,Eingabe!$E$13&gt;=105),IF((Eingabe!$G$13+1)&lt;=9,1000+(Eingabe!$G$13+1)*100,3000)+5,"")</f>
        <v/>
      </c>
      <c r="F921" s="21" t="str">
        <f aca="false">IF(AND(Eingabe!$F$13&gt;0,Eingabe!$E$13&gt;=105),"10."&amp;Eingabe!$D$13&amp;".105.0/24","")</f>
        <v/>
      </c>
      <c r="G921" s="21" t="str">
        <f aca="false">IF(AND(Eingabe!$F$13&gt;0,Eingabe!$E$13&gt;=105),"10."&amp;Eingabe!$D$13&amp;".105.1","")</f>
        <v/>
      </c>
      <c r="H921" s="21" t="str">
        <f aca="false">IF(AND(Eingabe!$F$13&gt;0,Eingabe!$E$13&gt;=105),"10."&amp;Eingabe!$D$13&amp;".105.10 – 10."&amp;Eingabe!$D$13&amp;".105.250","")</f>
        <v/>
      </c>
      <c r="I921" s="21" t="str">
        <f aca="false">IF(AND(Eingabe!$F$13&gt;0,Eingabe!$E$13&gt;=105),Eingabe!$B$6&amp;"-"&amp;Eingabe!$C$13&amp;"-Pächter","")</f>
        <v/>
      </c>
      <c r="J921" s="21" t="str">
        <f aca="false">IF(AND(Eingabe!$F$13&gt;0,Eingabe!$E$13&gt;=105),"PPSK: Passwort Parzelle 105","")</f>
        <v/>
      </c>
      <c r="K921" s="21" t="str">
        <f aca="false">IF(AND(Eingabe!$F$13&gt;0,Eingabe!$E$13&gt;=105),"1. Gerät: 10."&amp;Eingabe!$D$13&amp;".105.10, 2. Gerät: .11","")</f>
        <v/>
      </c>
    </row>
    <row r="922" customFormat="false" ht="15" hidden="false" customHeight="false" outlineLevel="0" collapsed="false">
      <c r="A922" s="21" t="str">
        <f aca="false">IF(AND(Eingabe!$F$13&gt;0,Eingabe!$E$13&gt;=106),5,"")</f>
        <v/>
      </c>
      <c r="B922" s="21" t="str">
        <f aca="false">IF(AND(Eingabe!$F$13&gt;0,Eingabe!$E$13&gt;=106),Eingabe!$B$13,"")</f>
        <v/>
      </c>
      <c r="C922" s="21" t="str">
        <f aca="false">IF(AND(Eingabe!$F$13&gt;0,Eingabe!$E$13&gt;=106),Eingabe!$C$13&amp;"-Paz."&amp;TEXT(106,"000"),"")</f>
        <v/>
      </c>
      <c r="D922" s="21" t="str">
        <f aca="false">IF(AND(Eingabe!$F$13&gt;0,Eingabe!$E$13&gt;=106),106,"")</f>
        <v/>
      </c>
      <c r="E922" s="21" t="str">
        <f aca="false">IF(AND(Eingabe!$F$13&gt;0,Eingabe!$E$13&gt;=106),IF((Eingabe!$G$13+1)&lt;=9,1000+(Eingabe!$G$13+1)*100,3000)+6,"")</f>
        <v/>
      </c>
      <c r="F922" s="21" t="str">
        <f aca="false">IF(AND(Eingabe!$F$13&gt;0,Eingabe!$E$13&gt;=106),"10."&amp;Eingabe!$D$13&amp;".106.0/24","")</f>
        <v/>
      </c>
      <c r="G922" s="21" t="str">
        <f aca="false">IF(AND(Eingabe!$F$13&gt;0,Eingabe!$E$13&gt;=106),"10."&amp;Eingabe!$D$13&amp;".106.1","")</f>
        <v/>
      </c>
      <c r="H922" s="21" t="str">
        <f aca="false">IF(AND(Eingabe!$F$13&gt;0,Eingabe!$E$13&gt;=106),"10."&amp;Eingabe!$D$13&amp;".106.10 – 10."&amp;Eingabe!$D$13&amp;".106.250","")</f>
        <v/>
      </c>
      <c r="I922" s="21" t="str">
        <f aca="false">IF(AND(Eingabe!$F$13&gt;0,Eingabe!$E$13&gt;=106),Eingabe!$B$6&amp;"-"&amp;Eingabe!$C$13&amp;"-Pächter","")</f>
        <v/>
      </c>
      <c r="J922" s="21" t="str">
        <f aca="false">IF(AND(Eingabe!$F$13&gt;0,Eingabe!$E$13&gt;=106),"PPSK: Passwort Parzelle 106","")</f>
        <v/>
      </c>
      <c r="K922" s="21" t="str">
        <f aca="false">IF(AND(Eingabe!$F$13&gt;0,Eingabe!$E$13&gt;=106),"1. Gerät: 10."&amp;Eingabe!$D$13&amp;".106.10, 2. Gerät: .11","")</f>
        <v/>
      </c>
    </row>
    <row r="923" customFormat="false" ht="15" hidden="false" customHeight="false" outlineLevel="0" collapsed="false">
      <c r="A923" s="21" t="str">
        <f aca="false">IF(AND(Eingabe!$F$13&gt;0,Eingabe!$E$13&gt;=107),5,"")</f>
        <v/>
      </c>
      <c r="B923" s="21" t="str">
        <f aca="false">IF(AND(Eingabe!$F$13&gt;0,Eingabe!$E$13&gt;=107),Eingabe!$B$13,"")</f>
        <v/>
      </c>
      <c r="C923" s="21" t="str">
        <f aca="false">IF(AND(Eingabe!$F$13&gt;0,Eingabe!$E$13&gt;=107),Eingabe!$C$13&amp;"-Paz."&amp;TEXT(107,"000"),"")</f>
        <v/>
      </c>
      <c r="D923" s="21" t="str">
        <f aca="false">IF(AND(Eingabe!$F$13&gt;0,Eingabe!$E$13&gt;=107),107,"")</f>
        <v/>
      </c>
      <c r="E923" s="21" t="str">
        <f aca="false">IF(AND(Eingabe!$F$13&gt;0,Eingabe!$E$13&gt;=107),IF((Eingabe!$G$13+1)&lt;=9,1000+(Eingabe!$G$13+1)*100,3000)+7,"")</f>
        <v/>
      </c>
      <c r="F923" s="21" t="str">
        <f aca="false">IF(AND(Eingabe!$F$13&gt;0,Eingabe!$E$13&gt;=107),"10."&amp;Eingabe!$D$13&amp;".107.0/24","")</f>
        <v/>
      </c>
      <c r="G923" s="21" t="str">
        <f aca="false">IF(AND(Eingabe!$F$13&gt;0,Eingabe!$E$13&gt;=107),"10."&amp;Eingabe!$D$13&amp;".107.1","")</f>
        <v/>
      </c>
      <c r="H923" s="21" t="str">
        <f aca="false">IF(AND(Eingabe!$F$13&gt;0,Eingabe!$E$13&gt;=107),"10."&amp;Eingabe!$D$13&amp;".107.10 – 10."&amp;Eingabe!$D$13&amp;".107.250","")</f>
        <v/>
      </c>
      <c r="I923" s="21" t="str">
        <f aca="false">IF(AND(Eingabe!$F$13&gt;0,Eingabe!$E$13&gt;=107),Eingabe!$B$6&amp;"-"&amp;Eingabe!$C$13&amp;"-Pächter","")</f>
        <v/>
      </c>
      <c r="J923" s="21" t="str">
        <f aca="false">IF(AND(Eingabe!$F$13&gt;0,Eingabe!$E$13&gt;=107),"PPSK: Passwort Parzelle 107","")</f>
        <v/>
      </c>
      <c r="K923" s="21" t="str">
        <f aca="false">IF(AND(Eingabe!$F$13&gt;0,Eingabe!$E$13&gt;=107),"1. Gerät: 10."&amp;Eingabe!$D$13&amp;".107.10, 2. Gerät: .11","")</f>
        <v/>
      </c>
    </row>
    <row r="924" customFormat="false" ht="15" hidden="false" customHeight="false" outlineLevel="0" collapsed="false">
      <c r="A924" s="21" t="str">
        <f aca="false">IF(AND(Eingabe!$F$13&gt;0,Eingabe!$E$13&gt;=108),5,"")</f>
        <v/>
      </c>
      <c r="B924" s="21" t="str">
        <f aca="false">IF(AND(Eingabe!$F$13&gt;0,Eingabe!$E$13&gt;=108),Eingabe!$B$13,"")</f>
        <v/>
      </c>
      <c r="C924" s="21" t="str">
        <f aca="false">IF(AND(Eingabe!$F$13&gt;0,Eingabe!$E$13&gt;=108),Eingabe!$C$13&amp;"-Paz."&amp;TEXT(108,"000"),"")</f>
        <v/>
      </c>
      <c r="D924" s="21" t="str">
        <f aca="false">IF(AND(Eingabe!$F$13&gt;0,Eingabe!$E$13&gt;=108),108,"")</f>
        <v/>
      </c>
      <c r="E924" s="21" t="str">
        <f aca="false">IF(AND(Eingabe!$F$13&gt;0,Eingabe!$E$13&gt;=108),IF((Eingabe!$G$13+1)&lt;=9,1000+(Eingabe!$G$13+1)*100,3000)+8,"")</f>
        <v/>
      </c>
      <c r="F924" s="21" t="str">
        <f aca="false">IF(AND(Eingabe!$F$13&gt;0,Eingabe!$E$13&gt;=108),"10."&amp;Eingabe!$D$13&amp;".108.0/24","")</f>
        <v/>
      </c>
      <c r="G924" s="21" t="str">
        <f aca="false">IF(AND(Eingabe!$F$13&gt;0,Eingabe!$E$13&gt;=108),"10."&amp;Eingabe!$D$13&amp;".108.1","")</f>
        <v/>
      </c>
      <c r="H924" s="21" t="str">
        <f aca="false">IF(AND(Eingabe!$F$13&gt;0,Eingabe!$E$13&gt;=108),"10."&amp;Eingabe!$D$13&amp;".108.10 – 10."&amp;Eingabe!$D$13&amp;".108.250","")</f>
        <v/>
      </c>
      <c r="I924" s="21" t="str">
        <f aca="false">IF(AND(Eingabe!$F$13&gt;0,Eingabe!$E$13&gt;=108),Eingabe!$B$6&amp;"-"&amp;Eingabe!$C$13&amp;"-Pächter","")</f>
        <v/>
      </c>
      <c r="J924" s="21" t="str">
        <f aca="false">IF(AND(Eingabe!$F$13&gt;0,Eingabe!$E$13&gt;=108),"PPSK: Passwort Parzelle 108","")</f>
        <v/>
      </c>
      <c r="K924" s="21" t="str">
        <f aca="false">IF(AND(Eingabe!$F$13&gt;0,Eingabe!$E$13&gt;=108),"1. Gerät: 10."&amp;Eingabe!$D$13&amp;".108.10, 2. Gerät: .11","")</f>
        <v/>
      </c>
    </row>
    <row r="925" customFormat="false" ht="15" hidden="false" customHeight="false" outlineLevel="0" collapsed="false">
      <c r="A925" s="21" t="str">
        <f aca="false">IF(AND(Eingabe!$F$13&gt;0,Eingabe!$E$13&gt;=109),5,"")</f>
        <v/>
      </c>
      <c r="B925" s="21" t="str">
        <f aca="false">IF(AND(Eingabe!$F$13&gt;0,Eingabe!$E$13&gt;=109),Eingabe!$B$13,"")</f>
        <v/>
      </c>
      <c r="C925" s="21" t="str">
        <f aca="false">IF(AND(Eingabe!$F$13&gt;0,Eingabe!$E$13&gt;=109),Eingabe!$C$13&amp;"-Paz."&amp;TEXT(109,"000"),"")</f>
        <v/>
      </c>
      <c r="D925" s="21" t="str">
        <f aca="false">IF(AND(Eingabe!$F$13&gt;0,Eingabe!$E$13&gt;=109),109,"")</f>
        <v/>
      </c>
      <c r="E925" s="21" t="str">
        <f aca="false">IF(AND(Eingabe!$F$13&gt;0,Eingabe!$E$13&gt;=109),IF((Eingabe!$G$13+1)&lt;=9,1000+(Eingabe!$G$13+1)*100,3000)+9,"")</f>
        <v/>
      </c>
      <c r="F925" s="21" t="str">
        <f aca="false">IF(AND(Eingabe!$F$13&gt;0,Eingabe!$E$13&gt;=109),"10."&amp;Eingabe!$D$13&amp;".109.0/24","")</f>
        <v/>
      </c>
      <c r="G925" s="21" t="str">
        <f aca="false">IF(AND(Eingabe!$F$13&gt;0,Eingabe!$E$13&gt;=109),"10."&amp;Eingabe!$D$13&amp;".109.1","")</f>
        <v/>
      </c>
      <c r="H925" s="21" t="str">
        <f aca="false">IF(AND(Eingabe!$F$13&gt;0,Eingabe!$E$13&gt;=109),"10."&amp;Eingabe!$D$13&amp;".109.10 – 10."&amp;Eingabe!$D$13&amp;".109.250","")</f>
        <v/>
      </c>
      <c r="I925" s="21" t="str">
        <f aca="false">IF(AND(Eingabe!$F$13&gt;0,Eingabe!$E$13&gt;=109),Eingabe!$B$6&amp;"-"&amp;Eingabe!$C$13&amp;"-Pächter","")</f>
        <v/>
      </c>
      <c r="J925" s="21" t="str">
        <f aca="false">IF(AND(Eingabe!$F$13&gt;0,Eingabe!$E$13&gt;=109),"PPSK: Passwort Parzelle 109","")</f>
        <v/>
      </c>
      <c r="K925" s="21" t="str">
        <f aca="false">IF(AND(Eingabe!$F$13&gt;0,Eingabe!$E$13&gt;=109),"1. Gerät: 10."&amp;Eingabe!$D$13&amp;".109.10, 2. Gerät: .11","")</f>
        <v/>
      </c>
    </row>
    <row r="926" customFormat="false" ht="15" hidden="false" customHeight="false" outlineLevel="0" collapsed="false">
      <c r="A926" s="21" t="str">
        <f aca="false">IF(AND(Eingabe!$F$13&gt;0,Eingabe!$E$13&gt;=110),5,"")</f>
        <v/>
      </c>
      <c r="B926" s="21" t="str">
        <f aca="false">IF(AND(Eingabe!$F$13&gt;0,Eingabe!$E$13&gt;=110),Eingabe!$B$13,"")</f>
        <v/>
      </c>
      <c r="C926" s="21" t="str">
        <f aca="false">IF(AND(Eingabe!$F$13&gt;0,Eingabe!$E$13&gt;=110),Eingabe!$C$13&amp;"-Paz."&amp;TEXT(110,"000"),"")</f>
        <v/>
      </c>
      <c r="D926" s="21" t="str">
        <f aca="false">IF(AND(Eingabe!$F$13&gt;0,Eingabe!$E$13&gt;=110),110,"")</f>
        <v/>
      </c>
      <c r="E926" s="21" t="str">
        <f aca="false">IF(AND(Eingabe!$F$13&gt;0,Eingabe!$E$13&gt;=110),IF((Eingabe!$G$13+1)&lt;=9,1000+(Eingabe!$G$13+1)*100,3000)+10,"")</f>
        <v/>
      </c>
      <c r="F926" s="21" t="str">
        <f aca="false">IF(AND(Eingabe!$F$13&gt;0,Eingabe!$E$13&gt;=110),"10."&amp;Eingabe!$D$13&amp;".110.0/24","")</f>
        <v/>
      </c>
      <c r="G926" s="21" t="str">
        <f aca="false">IF(AND(Eingabe!$F$13&gt;0,Eingabe!$E$13&gt;=110),"10."&amp;Eingabe!$D$13&amp;".110.1","")</f>
        <v/>
      </c>
      <c r="H926" s="21" t="str">
        <f aca="false">IF(AND(Eingabe!$F$13&gt;0,Eingabe!$E$13&gt;=110),"10."&amp;Eingabe!$D$13&amp;".110.10 – 10."&amp;Eingabe!$D$13&amp;".110.250","")</f>
        <v/>
      </c>
      <c r="I926" s="21" t="str">
        <f aca="false">IF(AND(Eingabe!$F$13&gt;0,Eingabe!$E$13&gt;=110),Eingabe!$B$6&amp;"-"&amp;Eingabe!$C$13&amp;"-Pächter","")</f>
        <v/>
      </c>
      <c r="J926" s="21" t="str">
        <f aca="false">IF(AND(Eingabe!$F$13&gt;0,Eingabe!$E$13&gt;=110),"PPSK: Passwort Parzelle 110","")</f>
        <v/>
      </c>
      <c r="K926" s="21" t="str">
        <f aca="false">IF(AND(Eingabe!$F$13&gt;0,Eingabe!$E$13&gt;=110),"1. Gerät: 10."&amp;Eingabe!$D$13&amp;".110.10, 2. Gerät: .11","")</f>
        <v/>
      </c>
    </row>
    <row r="927" customFormat="false" ht="15" hidden="false" customHeight="false" outlineLevel="0" collapsed="false">
      <c r="A927" s="21" t="str">
        <f aca="false">IF(AND(Eingabe!$F$13&gt;0,Eingabe!$E$13&gt;=111),5,"")</f>
        <v/>
      </c>
      <c r="B927" s="21" t="str">
        <f aca="false">IF(AND(Eingabe!$F$13&gt;0,Eingabe!$E$13&gt;=111),Eingabe!$B$13,"")</f>
        <v/>
      </c>
      <c r="C927" s="21" t="str">
        <f aca="false">IF(AND(Eingabe!$F$13&gt;0,Eingabe!$E$13&gt;=111),Eingabe!$C$13&amp;"-Paz."&amp;TEXT(111,"000"),"")</f>
        <v/>
      </c>
      <c r="D927" s="21" t="str">
        <f aca="false">IF(AND(Eingabe!$F$13&gt;0,Eingabe!$E$13&gt;=111),111,"")</f>
        <v/>
      </c>
      <c r="E927" s="21" t="str">
        <f aca="false">IF(AND(Eingabe!$F$13&gt;0,Eingabe!$E$13&gt;=111),IF((Eingabe!$G$13+1)&lt;=9,1000+(Eingabe!$G$13+1)*100,3000)+11,"")</f>
        <v/>
      </c>
      <c r="F927" s="21" t="str">
        <f aca="false">IF(AND(Eingabe!$F$13&gt;0,Eingabe!$E$13&gt;=111),"10."&amp;Eingabe!$D$13&amp;".111.0/24","")</f>
        <v/>
      </c>
      <c r="G927" s="21" t="str">
        <f aca="false">IF(AND(Eingabe!$F$13&gt;0,Eingabe!$E$13&gt;=111),"10."&amp;Eingabe!$D$13&amp;".111.1","")</f>
        <v/>
      </c>
      <c r="H927" s="21" t="str">
        <f aca="false">IF(AND(Eingabe!$F$13&gt;0,Eingabe!$E$13&gt;=111),"10."&amp;Eingabe!$D$13&amp;".111.10 – 10."&amp;Eingabe!$D$13&amp;".111.250","")</f>
        <v/>
      </c>
      <c r="I927" s="21" t="str">
        <f aca="false">IF(AND(Eingabe!$F$13&gt;0,Eingabe!$E$13&gt;=111),Eingabe!$B$6&amp;"-"&amp;Eingabe!$C$13&amp;"-Pächter","")</f>
        <v/>
      </c>
      <c r="J927" s="21" t="str">
        <f aca="false">IF(AND(Eingabe!$F$13&gt;0,Eingabe!$E$13&gt;=111),"PPSK: Passwort Parzelle 111","")</f>
        <v/>
      </c>
      <c r="K927" s="21" t="str">
        <f aca="false">IF(AND(Eingabe!$F$13&gt;0,Eingabe!$E$13&gt;=111),"1. Gerät: 10."&amp;Eingabe!$D$13&amp;".111.10, 2. Gerät: .11","")</f>
        <v/>
      </c>
    </row>
    <row r="928" customFormat="false" ht="15" hidden="false" customHeight="false" outlineLevel="0" collapsed="false">
      <c r="A928" s="21" t="str">
        <f aca="false">IF(AND(Eingabe!$F$13&gt;0,Eingabe!$E$13&gt;=112),5,"")</f>
        <v/>
      </c>
      <c r="B928" s="21" t="str">
        <f aca="false">IF(AND(Eingabe!$F$13&gt;0,Eingabe!$E$13&gt;=112),Eingabe!$B$13,"")</f>
        <v/>
      </c>
      <c r="C928" s="21" t="str">
        <f aca="false">IF(AND(Eingabe!$F$13&gt;0,Eingabe!$E$13&gt;=112),Eingabe!$C$13&amp;"-Paz."&amp;TEXT(112,"000"),"")</f>
        <v/>
      </c>
      <c r="D928" s="21" t="str">
        <f aca="false">IF(AND(Eingabe!$F$13&gt;0,Eingabe!$E$13&gt;=112),112,"")</f>
        <v/>
      </c>
      <c r="E928" s="21" t="str">
        <f aca="false">IF(AND(Eingabe!$F$13&gt;0,Eingabe!$E$13&gt;=112),IF((Eingabe!$G$13+1)&lt;=9,1000+(Eingabe!$G$13+1)*100,3000)+12,"")</f>
        <v/>
      </c>
      <c r="F928" s="21" t="str">
        <f aca="false">IF(AND(Eingabe!$F$13&gt;0,Eingabe!$E$13&gt;=112),"10."&amp;Eingabe!$D$13&amp;".112.0/24","")</f>
        <v/>
      </c>
      <c r="G928" s="21" t="str">
        <f aca="false">IF(AND(Eingabe!$F$13&gt;0,Eingabe!$E$13&gt;=112),"10."&amp;Eingabe!$D$13&amp;".112.1","")</f>
        <v/>
      </c>
      <c r="H928" s="21" t="str">
        <f aca="false">IF(AND(Eingabe!$F$13&gt;0,Eingabe!$E$13&gt;=112),"10."&amp;Eingabe!$D$13&amp;".112.10 – 10."&amp;Eingabe!$D$13&amp;".112.250","")</f>
        <v/>
      </c>
      <c r="I928" s="21" t="str">
        <f aca="false">IF(AND(Eingabe!$F$13&gt;0,Eingabe!$E$13&gt;=112),Eingabe!$B$6&amp;"-"&amp;Eingabe!$C$13&amp;"-Pächter","")</f>
        <v/>
      </c>
      <c r="J928" s="21" t="str">
        <f aca="false">IF(AND(Eingabe!$F$13&gt;0,Eingabe!$E$13&gt;=112),"PPSK: Passwort Parzelle 112","")</f>
        <v/>
      </c>
      <c r="K928" s="21" t="str">
        <f aca="false">IF(AND(Eingabe!$F$13&gt;0,Eingabe!$E$13&gt;=112),"1. Gerät: 10."&amp;Eingabe!$D$13&amp;".112.10, 2. Gerät: .11","")</f>
        <v/>
      </c>
    </row>
    <row r="929" customFormat="false" ht="15" hidden="false" customHeight="false" outlineLevel="0" collapsed="false">
      <c r="A929" s="21" t="str">
        <f aca="false">IF(AND(Eingabe!$F$13&gt;0,Eingabe!$E$13&gt;=113),5,"")</f>
        <v/>
      </c>
      <c r="B929" s="21" t="str">
        <f aca="false">IF(AND(Eingabe!$F$13&gt;0,Eingabe!$E$13&gt;=113),Eingabe!$B$13,"")</f>
        <v/>
      </c>
      <c r="C929" s="21" t="str">
        <f aca="false">IF(AND(Eingabe!$F$13&gt;0,Eingabe!$E$13&gt;=113),Eingabe!$C$13&amp;"-Paz."&amp;TEXT(113,"000"),"")</f>
        <v/>
      </c>
      <c r="D929" s="21" t="str">
        <f aca="false">IF(AND(Eingabe!$F$13&gt;0,Eingabe!$E$13&gt;=113),113,"")</f>
        <v/>
      </c>
      <c r="E929" s="21" t="str">
        <f aca="false">IF(AND(Eingabe!$F$13&gt;0,Eingabe!$E$13&gt;=113),IF((Eingabe!$G$13+1)&lt;=9,1000+(Eingabe!$G$13+1)*100,3000)+13,"")</f>
        <v/>
      </c>
      <c r="F929" s="21" t="str">
        <f aca="false">IF(AND(Eingabe!$F$13&gt;0,Eingabe!$E$13&gt;=113),"10."&amp;Eingabe!$D$13&amp;".113.0/24","")</f>
        <v/>
      </c>
      <c r="G929" s="21" t="str">
        <f aca="false">IF(AND(Eingabe!$F$13&gt;0,Eingabe!$E$13&gt;=113),"10."&amp;Eingabe!$D$13&amp;".113.1","")</f>
        <v/>
      </c>
      <c r="H929" s="21" t="str">
        <f aca="false">IF(AND(Eingabe!$F$13&gt;0,Eingabe!$E$13&gt;=113),"10."&amp;Eingabe!$D$13&amp;".113.10 – 10."&amp;Eingabe!$D$13&amp;".113.250","")</f>
        <v/>
      </c>
      <c r="I929" s="21" t="str">
        <f aca="false">IF(AND(Eingabe!$F$13&gt;0,Eingabe!$E$13&gt;=113),Eingabe!$B$6&amp;"-"&amp;Eingabe!$C$13&amp;"-Pächter","")</f>
        <v/>
      </c>
      <c r="J929" s="21" t="str">
        <f aca="false">IF(AND(Eingabe!$F$13&gt;0,Eingabe!$E$13&gt;=113),"PPSK: Passwort Parzelle 113","")</f>
        <v/>
      </c>
      <c r="K929" s="21" t="str">
        <f aca="false">IF(AND(Eingabe!$F$13&gt;0,Eingabe!$E$13&gt;=113),"1. Gerät: 10."&amp;Eingabe!$D$13&amp;".113.10, 2. Gerät: .11","")</f>
        <v/>
      </c>
    </row>
    <row r="930" customFormat="false" ht="15" hidden="false" customHeight="false" outlineLevel="0" collapsed="false">
      <c r="A930" s="21" t="str">
        <f aca="false">IF(AND(Eingabe!$F$13&gt;0,Eingabe!$E$13&gt;=114),5,"")</f>
        <v/>
      </c>
      <c r="B930" s="21" t="str">
        <f aca="false">IF(AND(Eingabe!$F$13&gt;0,Eingabe!$E$13&gt;=114),Eingabe!$B$13,"")</f>
        <v/>
      </c>
      <c r="C930" s="21" t="str">
        <f aca="false">IF(AND(Eingabe!$F$13&gt;0,Eingabe!$E$13&gt;=114),Eingabe!$C$13&amp;"-Paz."&amp;TEXT(114,"000"),"")</f>
        <v/>
      </c>
      <c r="D930" s="21" t="str">
        <f aca="false">IF(AND(Eingabe!$F$13&gt;0,Eingabe!$E$13&gt;=114),114,"")</f>
        <v/>
      </c>
      <c r="E930" s="21" t="str">
        <f aca="false">IF(AND(Eingabe!$F$13&gt;0,Eingabe!$E$13&gt;=114),IF((Eingabe!$G$13+1)&lt;=9,1000+(Eingabe!$G$13+1)*100,3000)+14,"")</f>
        <v/>
      </c>
      <c r="F930" s="21" t="str">
        <f aca="false">IF(AND(Eingabe!$F$13&gt;0,Eingabe!$E$13&gt;=114),"10."&amp;Eingabe!$D$13&amp;".114.0/24","")</f>
        <v/>
      </c>
      <c r="G930" s="21" t="str">
        <f aca="false">IF(AND(Eingabe!$F$13&gt;0,Eingabe!$E$13&gt;=114),"10."&amp;Eingabe!$D$13&amp;".114.1","")</f>
        <v/>
      </c>
      <c r="H930" s="21" t="str">
        <f aca="false">IF(AND(Eingabe!$F$13&gt;0,Eingabe!$E$13&gt;=114),"10."&amp;Eingabe!$D$13&amp;".114.10 – 10."&amp;Eingabe!$D$13&amp;".114.250","")</f>
        <v/>
      </c>
      <c r="I930" s="21" t="str">
        <f aca="false">IF(AND(Eingabe!$F$13&gt;0,Eingabe!$E$13&gt;=114),Eingabe!$B$6&amp;"-"&amp;Eingabe!$C$13&amp;"-Pächter","")</f>
        <v/>
      </c>
      <c r="J930" s="21" t="str">
        <f aca="false">IF(AND(Eingabe!$F$13&gt;0,Eingabe!$E$13&gt;=114),"PPSK: Passwort Parzelle 114","")</f>
        <v/>
      </c>
      <c r="K930" s="21" t="str">
        <f aca="false">IF(AND(Eingabe!$F$13&gt;0,Eingabe!$E$13&gt;=114),"1. Gerät: 10."&amp;Eingabe!$D$13&amp;".114.10, 2. Gerät: .11","")</f>
        <v/>
      </c>
    </row>
    <row r="931" customFormat="false" ht="15" hidden="false" customHeight="false" outlineLevel="0" collapsed="false">
      <c r="A931" s="21" t="str">
        <f aca="false">IF(AND(Eingabe!$F$13&gt;0,Eingabe!$E$13&gt;=115),5,"")</f>
        <v/>
      </c>
      <c r="B931" s="21" t="str">
        <f aca="false">IF(AND(Eingabe!$F$13&gt;0,Eingabe!$E$13&gt;=115),Eingabe!$B$13,"")</f>
        <v/>
      </c>
      <c r="C931" s="21" t="str">
        <f aca="false">IF(AND(Eingabe!$F$13&gt;0,Eingabe!$E$13&gt;=115),Eingabe!$C$13&amp;"-Paz."&amp;TEXT(115,"000"),"")</f>
        <v/>
      </c>
      <c r="D931" s="21" t="str">
        <f aca="false">IF(AND(Eingabe!$F$13&gt;0,Eingabe!$E$13&gt;=115),115,"")</f>
        <v/>
      </c>
      <c r="E931" s="21" t="str">
        <f aca="false">IF(AND(Eingabe!$F$13&gt;0,Eingabe!$E$13&gt;=115),IF((Eingabe!$G$13+1)&lt;=9,1000+(Eingabe!$G$13+1)*100,3000)+15,"")</f>
        <v/>
      </c>
      <c r="F931" s="21" t="str">
        <f aca="false">IF(AND(Eingabe!$F$13&gt;0,Eingabe!$E$13&gt;=115),"10."&amp;Eingabe!$D$13&amp;".115.0/24","")</f>
        <v/>
      </c>
      <c r="G931" s="21" t="str">
        <f aca="false">IF(AND(Eingabe!$F$13&gt;0,Eingabe!$E$13&gt;=115),"10."&amp;Eingabe!$D$13&amp;".115.1","")</f>
        <v/>
      </c>
      <c r="H931" s="21" t="str">
        <f aca="false">IF(AND(Eingabe!$F$13&gt;0,Eingabe!$E$13&gt;=115),"10."&amp;Eingabe!$D$13&amp;".115.10 – 10."&amp;Eingabe!$D$13&amp;".115.250","")</f>
        <v/>
      </c>
      <c r="I931" s="21" t="str">
        <f aca="false">IF(AND(Eingabe!$F$13&gt;0,Eingabe!$E$13&gt;=115),Eingabe!$B$6&amp;"-"&amp;Eingabe!$C$13&amp;"-Pächter","")</f>
        <v/>
      </c>
      <c r="J931" s="21" t="str">
        <f aca="false">IF(AND(Eingabe!$F$13&gt;0,Eingabe!$E$13&gt;=115),"PPSK: Passwort Parzelle 115","")</f>
        <v/>
      </c>
      <c r="K931" s="21" t="str">
        <f aca="false">IF(AND(Eingabe!$F$13&gt;0,Eingabe!$E$13&gt;=115),"1. Gerät: 10."&amp;Eingabe!$D$13&amp;".115.10, 2. Gerät: .11","")</f>
        <v/>
      </c>
    </row>
    <row r="932" customFormat="false" ht="15" hidden="false" customHeight="false" outlineLevel="0" collapsed="false">
      <c r="A932" s="21" t="str">
        <f aca="false">IF(AND(Eingabe!$F$13&gt;0,Eingabe!$E$13&gt;=116),5,"")</f>
        <v/>
      </c>
      <c r="B932" s="21" t="str">
        <f aca="false">IF(AND(Eingabe!$F$13&gt;0,Eingabe!$E$13&gt;=116),Eingabe!$B$13,"")</f>
        <v/>
      </c>
      <c r="C932" s="21" t="str">
        <f aca="false">IF(AND(Eingabe!$F$13&gt;0,Eingabe!$E$13&gt;=116),Eingabe!$C$13&amp;"-Paz."&amp;TEXT(116,"000"),"")</f>
        <v/>
      </c>
      <c r="D932" s="21" t="str">
        <f aca="false">IF(AND(Eingabe!$F$13&gt;0,Eingabe!$E$13&gt;=116),116,"")</f>
        <v/>
      </c>
      <c r="E932" s="21" t="str">
        <f aca="false">IF(AND(Eingabe!$F$13&gt;0,Eingabe!$E$13&gt;=116),IF((Eingabe!$G$13+1)&lt;=9,1000+(Eingabe!$G$13+1)*100,3000)+16,"")</f>
        <v/>
      </c>
      <c r="F932" s="21" t="str">
        <f aca="false">IF(AND(Eingabe!$F$13&gt;0,Eingabe!$E$13&gt;=116),"10."&amp;Eingabe!$D$13&amp;".116.0/24","")</f>
        <v/>
      </c>
      <c r="G932" s="21" t="str">
        <f aca="false">IF(AND(Eingabe!$F$13&gt;0,Eingabe!$E$13&gt;=116),"10."&amp;Eingabe!$D$13&amp;".116.1","")</f>
        <v/>
      </c>
      <c r="H932" s="21" t="str">
        <f aca="false">IF(AND(Eingabe!$F$13&gt;0,Eingabe!$E$13&gt;=116),"10."&amp;Eingabe!$D$13&amp;".116.10 – 10."&amp;Eingabe!$D$13&amp;".116.250","")</f>
        <v/>
      </c>
      <c r="I932" s="21" t="str">
        <f aca="false">IF(AND(Eingabe!$F$13&gt;0,Eingabe!$E$13&gt;=116),Eingabe!$B$6&amp;"-"&amp;Eingabe!$C$13&amp;"-Pächter","")</f>
        <v/>
      </c>
      <c r="J932" s="21" t="str">
        <f aca="false">IF(AND(Eingabe!$F$13&gt;0,Eingabe!$E$13&gt;=116),"PPSK: Passwort Parzelle 116","")</f>
        <v/>
      </c>
      <c r="K932" s="21" t="str">
        <f aca="false">IF(AND(Eingabe!$F$13&gt;0,Eingabe!$E$13&gt;=116),"1. Gerät: 10."&amp;Eingabe!$D$13&amp;".116.10, 2. Gerät: .11","")</f>
        <v/>
      </c>
    </row>
    <row r="933" customFormat="false" ht="15" hidden="false" customHeight="false" outlineLevel="0" collapsed="false">
      <c r="A933" s="21" t="str">
        <f aca="false">IF(AND(Eingabe!$F$13&gt;0,Eingabe!$E$13&gt;=117),5,"")</f>
        <v/>
      </c>
      <c r="B933" s="21" t="str">
        <f aca="false">IF(AND(Eingabe!$F$13&gt;0,Eingabe!$E$13&gt;=117),Eingabe!$B$13,"")</f>
        <v/>
      </c>
      <c r="C933" s="21" t="str">
        <f aca="false">IF(AND(Eingabe!$F$13&gt;0,Eingabe!$E$13&gt;=117),Eingabe!$C$13&amp;"-Paz."&amp;TEXT(117,"000"),"")</f>
        <v/>
      </c>
      <c r="D933" s="21" t="str">
        <f aca="false">IF(AND(Eingabe!$F$13&gt;0,Eingabe!$E$13&gt;=117),117,"")</f>
        <v/>
      </c>
      <c r="E933" s="21" t="str">
        <f aca="false">IF(AND(Eingabe!$F$13&gt;0,Eingabe!$E$13&gt;=117),IF((Eingabe!$G$13+1)&lt;=9,1000+(Eingabe!$G$13+1)*100,3000)+17,"")</f>
        <v/>
      </c>
      <c r="F933" s="21" t="str">
        <f aca="false">IF(AND(Eingabe!$F$13&gt;0,Eingabe!$E$13&gt;=117),"10."&amp;Eingabe!$D$13&amp;".117.0/24","")</f>
        <v/>
      </c>
      <c r="G933" s="21" t="str">
        <f aca="false">IF(AND(Eingabe!$F$13&gt;0,Eingabe!$E$13&gt;=117),"10."&amp;Eingabe!$D$13&amp;".117.1","")</f>
        <v/>
      </c>
      <c r="H933" s="21" t="str">
        <f aca="false">IF(AND(Eingabe!$F$13&gt;0,Eingabe!$E$13&gt;=117),"10."&amp;Eingabe!$D$13&amp;".117.10 – 10."&amp;Eingabe!$D$13&amp;".117.250","")</f>
        <v/>
      </c>
      <c r="I933" s="21" t="str">
        <f aca="false">IF(AND(Eingabe!$F$13&gt;0,Eingabe!$E$13&gt;=117),Eingabe!$B$6&amp;"-"&amp;Eingabe!$C$13&amp;"-Pächter","")</f>
        <v/>
      </c>
      <c r="J933" s="21" t="str">
        <f aca="false">IF(AND(Eingabe!$F$13&gt;0,Eingabe!$E$13&gt;=117),"PPSK: Passwort Parzelle 117","")</f>
        <v/>
      </c>
      <c r="K933" s="21" t="str">
        <f aca="false">IF(AND(Eingabe!$F$13&gt;0,Eingabe!$E$13&gt;=117),"1. Gerät: 10."&amp;Eingabe!$D$13&amp;".117.10, 2. Gerät: .11","")</f>
        <v/>
      </c>
    </row>
    <row r="934" customFormat="false" ht="15" hidden="false" customHeight="false" outlineLevel="0" collapsed="false">
      <c r="A934" s="21" t="str">
        <f aca="false">IF(AND(Eingabe!$F$13&gt;0,Eingabe!$E$13&gt;=118),5,"")</f>
        <v/>
      </c>
      <c r="B934" s="21" t="str">
        <f aca="false">IF(AND(Eingabe!$F$13&gt;0,Eingabe!$E$13&gt;=118),Eingabe!$B$13,"")</f>
        <v/>
      </c>
      <c r="C934" s="21" t="str">
        <f aca="false">IF(AND(Eingabe!$F$13&gt;0,Eingabe!$E$13&gt;=118),Eingabe!$C$13&amp;"-Paz."&amp;TEXT(118,"000"),"")</f>
        <v/>
      </c>
      <c r="D934" s="21" t="str">
        <f aca="false">IF(AND(Eingabe!$F$13&gt;0,Eingabe!$E$13&gt;=118),118,"")</f>
        <v/>
      </c>
      <c r="E934" s="21" t="str">
        <f aca="false">IF(AND(Eingabe!$F$13&gt;0,Eingabe!$E$13&gt;=118),IF((Eingabe!$G$13+1)&lt;=9,1000+(Eingabe!$G$13+1)*100,3000)+18,"")</f>
        <v/>
      </c>
      <c r="F934" s="21" t="str">
        <f aca="false">IF(AND(Eingabe!$F$13&gt;0,Eingabe!$E$13&gt;=118),"10."&amp;Eingabe!$D$13&amp;".118.0/24","")</f>
        <v/>
      </c>
      <c r="G934" s="21" t="str">
        <f aca="false">IF(AND(Eingabe!$F$13&gt;0,Eingabe!$E$13&gt;=118),"10."&amp;Eingabe!$D$13&amp;".118.1","")</f>
        <v/>
      </c>
      <c r="H934" s="21" t="str">
        <f aca="false">IF(AND(Eingabe!$F$13&gt;0,Eingabe!$E$13&gt;=118),"10."&amp;Eingabe!$D$13&amp;".118.10 – 10."&amp;Eingabe!$D$13&amp;".118.250","")</f>
        <v/>
      </c>
      <c r="I934" s="21" t="str">
        <f aca="false">IF(AND(Eingabe!$F$13&gt;0,Eingabe!$E$13&gt;=118),Eingabe!$B$6&amp;"-"&amp;Eingabe!$C$13&amp;"-Pächter","")</f>
        <v/>
      </c>
      <c r="J934" s="21" t="str">
        <f aca="false">IF(AND(Eingabe!$F$13&gt;0,Eingabe!$E$13&gt;=118),"PPSK: Passwort Parzelle 118","")</f>
        <v/>
      </c>
      <c r="K934" s="21" t="str">
        <f aca="false">IF(AND(Eingabe!$F$13&gt;0,Eingabe!$E$13&gt;=118),"1. Gerät: 10."&amp;Eingabe!$D$13&amp;".118.10, 2. Gerät: .11","")</f>
        <v/>
      </c>
    </row>
    <row r="935" customFormat="false" ht="15" hidden="false" customHeight="false" outlineLevel="0" collapsed="false">
      <c r="A935" s="21" t="str">
        <f aca="false">IF(AND(Eingabe!$F$13&gt;0,Eingabe!$E$13&gt;=119),5,"")</f>
        <v/>
      </c>
      <c r="B935" s="21" t="str">
        <f aca="false">IF(AND(Eingabe!$F$13&gt;0,Eingabe!$E$13&gt;=119),Eingabe!$B$13,"")</f>
        <v/>
      </c>
      <c r="C935" s="21" t="str">
        <f aca="false">IF(AND(Eingabe!$F$13&gt;0,Eingabe!$E$13&gt;=119),Eingabe!$C$13&amp;"-Paz."&amp;TEXT(119,"000"),"")</f>
        <v/>
      </c>
      <c r="D935" s="21" t="str">
        <f aca="false">IF(AND(Eingabe!$F$13&gt;0,Eingabe!$E$13&gt;=119),119,"")</f>
        <v/>
      </c>
      <c r="E935" s="21" t="str">
        <f aca="false">IF(AND(Eingabe!$F$13&gt;0,Eingabe!$E$13&gt;=119),IF((Eingabe!$G$13+1)&lt;=9,1000+(Eingabe!$G$13+1)*100,3000)+19,"")</f>
        <v/>
      </c>
      <c r="F935" s="21" t="str">
        <f aca="false">IF(AND(Eingabe!$F$13&gt;0,Eingabe!$E$13&gt;=119),"10."&amp;Eingabe!$D$13&amp;".119.0/24","")</f>
        <v/>
      </c>
      <c r="G935" s="21" t="str">
        <f aca="false">IF(AND(Eingabe!$F$13&gt;0,Eingabe!$E$13&gt;=119),"10."&amp;Eingabe!$D$13&amp;".119.1","")</f>
        <v/>
      </c>
      <c r="H935" s="21" t="str">
        <f aca="false">IF(AND(Eingabe!$F$13&gt;0,Eingabe!$E$13&gt;=119),"10."&amp;Eingabe!$D$13&amp;".119.10 – 10."&amp;Eingabe!$D$13&amp;".119.250","")</f>
        <v/>
      </c>
      <c r="I935" s="21" t="str">
        <f aca="false">IF(AND(Eingabe!$F$13&gt;0,Eingabe!$E$13&gt;=119),Eingabe!$B$6&amp;"-"&amp;Eingabe!$C$13&amp;"-Pächter","")</f>
        <v/>
      </c>
      <c r="J935" s="21" t="str">
        <f aca="false">IF(AND(Eingabe!$F$13&gt;0,Eingabe!$E$13&gt;=119),"PPSK: Passwort Parzelle 119","")</f>
        <v/>
      </c>
      <c r="K935" s="21" t="str">
        <f aca="false">IF(AND(Eingabe!$F$13&gt;0,Eingabe!$E$13&gt;=119),"1. Gerät: 10."&amp;Eingabe!$D$13&amp;".119.10, 2. Gerät: .11","")</f>
        <v/>
      </c>
    </row>
    <row r="936" customFormat="false" ht="15" hidden="false" customHeight="false" outlineLevel="0" collapsed="false">
      <c r="A936" s="21" t="str">
        <f aca="false">IF(AND(Eingabe!$F$13&gt;0,Eingabe!$E$13&gt;=120),5,"")</f>
        <v/>
      </c>
      <c r="B936" s="21" t="str">
        <f aca="false">IF(AND(Eingabe!$F$13&gt;0,Eingabe!$E$13&gt;=120),Eingabe!$B$13,"")</f>
        <v/>
      </c>
      <c r="C936" s="21" t="str">
        <f aca="false">IF(AND(Eingabe!$F$13&gt;0,Eingabe!$E$13&gt;=120),Eingabe!$C$13&amp;"-Paz."&amp;TEXT(120,"000"),"")</f>
        <v/>
      </c>
      <c r="D936" s="21" t="str">
        <f aca="false">IF(AND(Eingabe!$F$13&gt;0,Eingabe!$E$13&gt;=120),120,"")</f>
        <v/>
      </c>
      <c r="E936" s="21" t="str">
        <f aca="false">IF(AND(Eingabe!$F$13&gt;0,Eingabe!$E$13&gt;=120),IF((Eingabe!$G$13+1)&lt;=9,1000+(Eingabe!$G$13+1)*100,3000)+20,"")</f>
        <v/>
      </c>
      <c r="F936" s="21" t="str">
        <f aca="false">IF(AND(Eingabe!$F$13&gt;0,Eingabe!$E$13&gt;=120),"10."&amp;Eingabe!$D$13&amp;".120.0/24","")</f>
        <v/>
      </c>
      <c r="G936" s="21" t="str">
        <f aca="false">IF(AND(Eingabe!$F$13&gt;0,Eingabe!$E$13&gt;=120),"10."&amp;Eingabe!$D$13&amp;".120.1","")</f>
        <v/>
      </c>
      <c r="H936" s="21" t="str">
        <f aca="false">IF(AND(Eingabe!$F$13&gt;0,Eingabe!$E$13&gt;=120),"10."&amp;Eingabe!$D$13&amp;".120.10 – 10."&amp;Eingabe!$D$13&amp;".120.250","")</f>
        <v/>
      </c>
      <c r="I936" s="21" t="str">
        <f aca="false">IF(AND(Eingabe!$F$13&gt;0,Eingabe!$E$13&gt;=120),Eingabe!$B$6&amp;"-"&amp;Eingabe!$C$13&amp;"-Pächter","")</f>
        <v/>
      </c>
      <c r="J936" s="21" t="str">
        <f aca="false">IF(AND(Eingabe!$F$13&gt;0,Eingabe!$E$13&gt;=120),"PPSK: Passwort Parzelle 120","")</f>
        <v/>
      </c>
      <c r="K936" s="21" t="str">
        <f aca="false">IF(AND(Eingabe!$F$13&gt;0,Eingabe!$E$13&gt;=120),"1. Gerät: 10."&amp;Eingabe!$D$13&amp;".120.10, 2. Gerät: .11","")</f>
        <v/>
      </c>
    </row>
    <row r="937" customFormat="false" ht="15" hidden="false" customHeight="false" outlineLevel="0" collapsed="false">
      <c r="A937" s="21" t="str">
        <f aca="false">IF(AND(Eingabe!$F$13&gt;0,Eingabe!$E$13&gt;=121),5,"")</f>
        <v/>
      </c>
      <c r="B937" s="21" t="str">
        <f aca="false">IF(AND(Eingabe!$F$13&gt;0,Eingabe!$E$13&gt;=121),Eingabe!$B$13,"")</f>
        <v/>
      </c>
      <c r="C937" s="21" t="str">
        <f aca="false">IF(AND(Eingabe!$F$13&gt;0,Eingabe!$E$13&gt;=121),Eingabe!$C$13&amp;"-Paz."&amp;TEXT(121,"000"),"")</f>
        <v/>
      </c>
      <c r="D937" s="21" t="str">
        <f aca="false">IF(AND(Eingabe!$F$13&gt;0,Eingabe!$E$13&gt;=121),121,"")</f>
        <v/>
      </c>
      <c r="E937" s="21" t="str">
        <f aca="false">IF(AND(Eingabe!$F$13&gt;0,Eingabe!$E$13&gt;=121),IF((Eingabe!$G$13+1)&lt;=9,1000+(Eingabe!$G$13+1)*100,3000)+21,"")</f>
        <v/>
      </c>
      <c r="F937" s="21" t="str">
        <f aca="false">IF(AND(Eingabe!$F$13&gt;0,Eingabe!$E$13&gt;=121),"10."&amp;Eingabe!$D$13&amp;".121.0/24","")</f>
        <v/>
      </c>
      <c r="G937" s="21" t="str">
        <f aca="false">IF(AND(Eingabe!$F$13&gt;0,Eingabe!$E$13&gt;=121),"10."&amp;Eingabe!$D$13&amp;".121.1","")</f>
        <v/>
      </c>
      <c r="H937" s="21" t="str">
        <f aca="false">IF(AND(Eingabe!$F$13&gt;0,Eingabe!$E$13&gt;=121),"10."&amp;Eingabe!$D$13&amp;".121.10 – 10."&amp;Eingabe!$D$13&amp;".121.250","")</f>
        <v/>
      </c>
      <c r="I937" s="21" t="str">
        <f aca="false">IF(AND(Eingabe!$F$13&gt;0,Eingabe!$E$13&gt;=121),Eingabe!$B$6&amp;"-"&amp;Eingabe!$C$13&amp;"-Pächter","")</f>
        <v/>
      </c>
      <c r="J937" s="21" t="str">
        <f aca="false">IF(AND(Eingabe!$F$13&gt;0,Eingabe!$E$13&gt;=121),"PPSK: Passwort Parzelle 121","")</f>
        <v/>
      </c>
      <c r="K937" s="21" t="str">
        <f aca="false">IF(AND(Eingabe!$F$13&gt;0,Eingabe!$E$13&gt;=121),"1. Gerät: 10."&amp;Eingabe!$D$13&amp;".121.10, 2. Gerät: .11","")</f>
        <v/>
      </c>
    </row>
    <row r="938" customFormat="false" ht="15" hidden="false" customHeight="false" outlineLevel="0" collapsed="false">
      <c r="A938" s="21" t="str">
        <f aca="false">IF(AND(Eingabe!$F$13&gt;0,Eingabe!$E$13&gt;=122),5,"")</f>
        <v/>
      </c>
      <c r="B938" s="21" t="str">
        <f aca="false">IF(AND(Eingabe!$F$13&gt;0,Eingabe!$E$13&gt;=122),Eingabe!$B$13,"")</f>
        <v/>
      </c>
      <c r="C938" s="21" t="str">
        <f aca="false">IF(AND(Eingabe!$F$13&gt;0,Eingabe!$E$13&gt;=122),Eingabe!$C$13&amp;"-Paz."&amp;TEXT(122,"000"),"")</f>
        <v/>
      </c>
      <c r="D938" s="21" t="str">
        <f aca="false">IF(AND(Eingabe!$F$13&gt;0,Eingabe!$E$13&gt;=122),122,"")</f>
        <v/>
      </c>
      <c r="E938" s="21" t="str">
        <f aca="false">IF(AND(Eingabe!$F$13&gt;0,Eingabe!$E$13&gt;=122),IF((Eingabe!$G$13+1)&lt;=9,1000+(Eingabe!$G$13+1)*100,3000)+22,"")</f>
        <v/>
      </c>
      <c r="F938" s="21" t="str">
        <f aca="false">IF(AND(Eingabe!$F$13&gt;0,Eingabe!$E$13&gt;=122),"10."&amp;Eingabe!$D$13&amp;".122.0/24","")</f>
        <v/>
      </c>
      <c r="G938" s="21" t="str">
        <f aca="false">IF(AND(Eingabe!$F$13&gt;0,Eingabe!$E$13&gt;=122),"10."&amp;Eingabe!$D$13&amp;".122.1","")</f>
        <v/>
      </c>
      <c r="H938" s="21" t="str">
        <f aca="false">IF(AND(Eingabe!$F$13&gt;0,Eingabe!$E$13&gt;=122),"10."&amp;Eingabe!$D$13&amp;".122.10 – 10."&amp;Eingabe!$D$13&amp;".122.250","")</f>
        <v/>
      </c>
      <c r="I938" s="21" t="str">
        <f aca="false">IF(AND(Eingabe!$F$13&gt;0,Eingabe!$E$13&gt;=122),Eingabe!$B$6&amp;"-"&amp;Eingabe!$C$13&amp;"-Pächter","")</f>
        <v/>
      </c>
      <c r="J938" s="21" t="str">
        <f aca="false">IF(AND(Eingabe!$F$13&gt;0,Eingabe!$E$13&gt;=122),"PPSK: Passwort Parzelle 122","")</f>
        <v/>
      </c>
      <c r="K938" s="21" t="str">
        <f aca="false">IF(AND(Eingabe!$F$13&gt;0,Eingabe!$E$13&gt;=122),"1. Gerät: 10."&amp;Eingabe!$D$13&amp;".122.10, 2. Gerät: .11","")</f>
        <v/>
      </c>
    </row>
    <row r="939" customFormat="false" ht="15" hidden="false" customHeight="false" outlineLevel="0" collapsed="false">
      <c r="A939" s="21" t="str">
        <f aca="false">IF(AND(Eingabe!$F$13&gt;0,Eingabe!$E$13&gt;=123),5,"")</f>
        <v/>
      </c>
      <c r="B939" s="21" t="str">
        <f aca="false">IF(AND(Eingabe!$F$13&gt;0,Eingabe!$E$13&gt;=123),Eingabe!$B$13,"")</f>
        <v/>
      </c>
      <c r="C939" s="21" t="str">
        <f aca="false">IF(AND(Eingabe!$F$13&gt;0,Eingabe!$E$13&gt;=123),Eingabe!$C$13&amp;"-Paz."&amp;TEXT(123,"000"),"")</f>
        <v/>
      </c>
      <c r="D939" s="21" t="str">
        <f aca="false">IF(AND(Eingabe!$F$13&gt;0,Eingabe!$E$13&gt;=123),123,"")</f>
        <v/>
      </c>
      <c r="E939" s="21" t="str">
        <f aca="false">IF(AND(Eingabe!$F$13&gt;0,Eingabe!$E$13&gt;=123),IF((Eingabe!$G$13+1)&lt;=9,1000+(Eingabe!$G$13+1)*100,3000)+23,"")</f>
        <v/>
      </c>
      <c r="F939" s="21" t="str">
        <f aca="false">IF(AND(Eingabe!$F$13&gt;0,Eingabe!$E$13&gt;=123),"10."&amp;Eingabe!$D$13&amp;".123.0/24","")</f>
        <v/>
      </c>
      <c r="G939" s="21" t="str">
        <f aca="false">IF(AND(Eingabe!$F$13&gt;0,Eingabe!$E$13&gt;=123),"10."&amp;Eingabe!$D$13&amp;".123.1","")</f>
        <v/>
      </c>
      <c r="H939" s="21" t="str">
        <f aca="false">IF(AND(Eingabe!$F$13&gt;0,Eingabe!$E$13&gt;=123),"10."&amp;Eingabe!$D$13&amp;".123.10 – 10."&amp;Eingabe!$D$13&amp;".123.250","")</f>
        <v/>
      </c>
      <c r="I939" s="21" t="str">
        <f aca="false">IF(AND(Eingabe!$F$13&gt;0,Eingabe!$E$13&gt;=123),Eingabe!$B$6&amp;"-"&amp;Eingabe!$C$13&amp;"-Pächter","")</f>
        <v/>
      </c>
      <c r="J939" s="21" t="str">
        <f aca="false">IF(AND(Eingabe!$F$13&gt;0,Eingabe!$E$13&gt;=123),"PPSK: Passwort Parzelle 123","")</f>
        <v/>
      </c>
      <c r="K939" s="21" t="str">
        <f aca="false">IF(AND(Eingabe!$F$13&gt;0,Eingabe!$E$13&gt;=123),"1. Gerät: 10."&amp;Eingabe!$D$13&amp;".123.10, 2. Gerät: .11","")</f>
        <v/>
      </c>
    </row>
    <row r="940" customFormat="false" ht="15" hidden="false" customHeight="false" outlineLevel="0" collapsed="false">
      <c r="A940" s="21" t="str">
        <f aca="false">IF(AND(Eingabe!$F$13&gt;0,Eingabe!$E$13&gt;=124),5,"")</f>
        <v/>
      </c>
      <c r="B940" s="21" t="str">
        <f aca="false">IF(AND(Eingabe!$F$13&gt;0,Eingabe!$E$13&gt;=124),Eingabe!$B$13,"")</f>
        <v/>
      </c>
      <c r="C940" s="21" t="str">
        <f aca="false">IF(AND(Eingabe!$F$13&gt;0,Eingabe!$E$13&gt;=124),Eingabe!$C$13&amp;"-Paz."&amp;TEXT(124,"000"),"")</f>
        <v/>
      </c>
      <c r="D940" s="21" t="str">
        <f aca="false">IF(AND(Eingabe!$F$13&gt;0,Eingabe!$E$13&gt;=124),124,"")</f>
        <v/>
      </c>
      <c r="E940" s="21" t="str">
        <f aca="false">IF(AND(Eingabe!$F$13&gt;0,Eingabe!$E$13&gt;=124),IF((Eingabe!$G$13+1)&lt;=9,1000+(Eingabe!$G$13+1)*100,3000)+24,"")</f>
        <v/>
      </c>
      <c r="F940" s="21" t="str">
        <f aca="false">IF(AND(Eingabe!$F$13&gt;0,Eingabe!$E$13&gt;=124),"10."&amp;Eingabe!$D$13&amp;".124.0/24","")</f>
        <v/>
      </c>
      <c r="G940" s="21" t="str">
        <f aca="false">IF(AND(Eingabe!$F$13&gt;0,Eingabe!$E$13&gt;=124),"10."&amp;Eingabe!$D$13&amp;".124.1","")</f>
        <v/>
      </c>
      <c r="H940" s="21" t="str">
        <f aca="false">IF(AND(Eingabe!$F$13&gt;0,Eingabe!$E$13&gt;=124),"10."&amp;Eingabe!$D$13&amp;".124.10 – 10."&amp;Eingabe!$D$13&amp;".124.250","")</f>
        <v/>
      </c>
      <c r="I940" s="21" t="str">
        <f aca="false">IF(AND(Eingabe!$F$13&gt;0,Eingabe!$E$13&gt;=124),Eingabe!$B$6&amp;"-"&amp;Eingabe!$C$13&amp;"-Pächter","")</f>
        <v/>
      </c>
      <c r="J940" s="21" t="str">
        <f aca="false">IF(AND(Eingabe!$F$13&gt;0,Eingabe!$E$13&gt;=124),"PPSK: Passwort Parzelle 124","")</f>
        <v/>
      </c>
      <c r="K940" s="21" t="str">
        <f aca="false">IF(AND(Eingabe!$F$13&gt;0,Eingabe!$E$13&gt;=124),"1. Gerät: 10."&amp;Eingabe!$D$13&amp;".124.10, 2. Gerät: .11","")</f>
        <v/>
      </c>
    </row>
    <row r="941" customFormat="false" ht="15" hidden="false" customHeight="false" outlineLevel="0" collapsed="false">
      <c r="A941" s="21" t="str">
        <f aca="false">IF(AND(Eingabe!$F$13&gt;0,Eingabe!$E$13&gt;=125),5,"")</f>
        <v/>
      </c>
      <c r="B941" s="21" t="str">
        <f aca="false">IF(AND(Eingabe!$F$13&gt;0,Eingabe!$E$13&gt;=125),Eingabe!$B$13,"")</f>
        <v/>
      </c>
      <c r="C941" s="21" t="str">
        <f aca="false">IF(AND(Eingabe!$F$13&gt;0,Eingabe!$E$13&gt;=125),Eingabe!$C$13&amp;"-Paz."&amp;TEXT(125,"000"),"")</f>
        <v/>
      </c>
      <c r="D941" s="21" t="str">
        <f aca="false">IF(AND(Eingabe!$F$13&gt;0,Eingabe!$E$13&gt;=125),125,"")</f>
        <v/>
      </c>
      <c r="E941" s="21" t="str">
        <f aca="false">IF(AND(Eingabe!$F$13&gt;0,Eingabe!$E$13&gt;=125),IF((Eingabe!$G$13+1)&lt;=9,1000+(Eingabe!$G$13+1)*100,3000)+25,"")</f>
        <v/>
      </c>
      <c r="F941" s="21" t="str">
        <f aca="false">IF(AND(Eingabe!$F$13&gt;0,Eingabe!$E$13&gt;=125),"10."&amp;Eingabe!$D$13&amp;".125.0/24","")</f>
        <v/>
      </c>
      <c r="G941" s="21" t="str">
        <f aca="false">IF(AND(Eingabe!$F$13&gt;0,Eingabe!$E$13&gt;=125),"10."&amp;Eingabe!$D$13&amp;".125.1","")</f>
        <v/>
      </c>
      <c r="H941" s="21" t="str">
        <f aca="false">IF(AND(Eingabe!$F$13&gt;0,Eingabe!$E$13&gt;=125),"10."&amp;Eingabe!$D$13&amp;".125.10 – 10."&amp;Eingabe!$D$13&amp;".125.250","")</f>
        <v/>
      </c>
      <c r="I941" s="21" t="str">
        <f aca="false">IF(AND(Eingabe!$F$13&gt;0,Eingabe!$E$13&gt;=125),Eingabe!$B$6&amp;"-"&amp;Eingabe!$C$13&amp;"-Pächter","")</f>
        <v/>
      </c>
      <c r="J941" s="21" t="str">
        <f aca="false">IF(AND(Eingabe!$F$13&gt;0,Eingabe!$E$13&gt;=125),"PPSK: Passwort Parzelle 125","")</f>
        <v/>
      </c>
      <c r="K941" s="21" t="str">
        <f aca="false">IF(AND(Eingabe!$F$13&gt;0,Eingabe!$E$13&gt;=125),"1. Gerät: 10."&amp;Eingabe!$D$13&amp;".125.10, 2. Gerät: .11","")</f>
        <v/>
      </c>
    </row>
    <row r="942" customFormat="false" ht="15" hidden="false" customHeight="false" outlineLevel="0" collapsed="false">
      <c r="A942" s="21" t="str">
        <f aca="false">IF(AND(Eingabe!$F$13&gt;0,Eingabe!$E$13&gt;=126),5,"")</f>
        <v/>
      </c>
      <c r="B942" s="21" t="str">
        <f aca="false">IF(AND(Eingabe!$F$13&gt;0,Eingabe!$E$13&gt;=126),Eingabe!$B$13,"")</f>
        <v/>
      </c>
      <c r="C942" s="21" t="str">
        <f aca="false">IF(AND(Eingabe!$F$13&gt;0,Eingabe!$E$13&gt;=126),Eingabe!$C$13&amp;"-Paz."&amp;TEXT(126,"000"),"")</f>
        <v/>
      </c>
      <c r="D942" s="21" t="str">
        <f aca="false">IF(AND(Eingabe!$F$13&gt;0,Eingabe!$E$13&gt;=126),126,"")</f>
        <v/>
      </c>
      <c r="E942" s="21" t="str">
        <f aca="false">IF(AND(Eingabe!$F$13&gt;0,Eingabe!$E$13&gt;=126),IF((Eingabe!$G$13+1)&lt;=9,1000+(Eingabe!$G$13+1)*100,3000)+26,"")</f>
        <v/>
      </c>
      <c r="F942" s="21" t="str">
        <f aca="false">IF(AND(Eingabe!$F$13&gt;0,Eingabe!$E$13&gt;=126),"10."&amp;Eingabe!$D$13&amp;".126.0/24","")</f>
        <v/>
      </c>
      <c r="G942" s="21" t="str">
        <f aca="false">IF(AND(Eingabe!$F$13&gt;0,Eingabe!$E$13&gt;=126),"10."&amp;Eingabe!$D$13&amp;".126.1","")</f>
        <v/>
      </c>
      <c r="H942" s="21" t="str">
        <f aca="false">IF(AND(Eingabe!$F$13&gt;0,Eingabe!$E$13&gt;=126),"10."&amp;Eingabe!$D$13&amp;".126.10 – 10."&amp;Eingabe!$D$13&amp;".126.250","")</f>
        <v/>
      </c>
      <c r="I942" s="21" t="str">
        <f aca="false">IF(AND(Eingabe!$F$13&gt;0,Eingabe!$E$13&gt;=126),Eingabe!$B$6&amp;"-"&amp;Eingabe!$C$13&amp;"-Pächter","")</f>
        <v/>
      </c>
      <c r="J942" s="21" t="str">
        <f aca="false">IF(AND(Eingabe!$F$13&gt;0,Eingabe!$E$13&gt;=126),"PPSK: Passwort Parzelle 126","")</f>
        <v/>
      </c>
      <c r="K942" s="21" t="str">
        <f aca="false">IF(AND(Eingabe!$F$13&gt;0,Eingabe!$E$13&gt;=126),"1. Gerät: 10."&amp;Eingabe!$D$13&amp;".126.10, 2. Gerät: .11","")</f>
        <v/>
      </c>
    </row>
    <row r="943" customFormat="false" ht="15" hidden="false" customHeight="false" outlineLevel="0" collapsed="false">
      <c r="A943" s="21" t="str">
        <f aca="false">IF(AND(Eingabe!$F$13&gt;0,Eingabe!$E$13&gt;=127),5,"")</f>
        <v/>
      </c>
      <c r="B943" s="21" t="str">
        <f aca="false">IF(AND(Eingabe!$F$13&gt;0,Eingabe!$E$13&gt;=127),Eingabe!$B$13,"")</f>
        <v/>
      </c>
      <c r="C943" s="21" t="str">
        <f aca="false">IF(AND(Eingabe!$F$13&gt;0,Eingabe!$E$13&gt;=127),Eingabe!$C$13&amp;"-Paz."&amp;TEXT(127,"000"),"")</f>
        <v/>
      </c>
      <c r="D943" s="21" t="str">
        <f aca="false">IF(AND(Eingabe!$F$13&gt;0,Eingabe!$E$13&gt;=127),127,"")</f>
        <v/>
      </c>
      <c r="E943" s="21" t="str">
        <f aca="false">IF(AND(Eingabe!$F$13&gt;0,Eingabe!$E$13&gt;=127),IF((Eingabe!$G$13+1)&lt;=9,1000+(Eingabe!$G$13+1)*100,3000)+27,"")</f>
        <v/>
      </c>
      <c r="F943" s="21" t="str">
        <f aca="false">IF(AND(Eingabe!$F$13&gt;0,Eingabe!$E$13&gt;=127),"10."&amp;Eingabe!$D$13&amp;".127.0/24","")</f>
        <v/>
      </c>
      <c r="G943" s="21" t="str">
        <f aca="false">IF(AND(Eingabe!$F$13&gt;0,Eingabe!$E$13&gt;=127),"10."&amp;Eingabe!$D$13&amp;".127.1","")</f>
        <v/>
      </c>
      <c r="H943" s="21" t="str">
        <f aca="false">IF(AND(Eingabe!$F$13&gt;0,Eingabe!$E$13&gt;=127),"10."&amp;Eingabe!$D$13&amp;".127.10 – 10."&amp;Eingabe!$D$13&amp;".127.250","")</f>
        <v/>
      </c>
      <c r="I943" s="21" t="str">
        <f aca="false">IF(AND(Eingabe!$F$13&gt;0,Eingabe!$E$13&gt;=127),Eingabe!$B$6&amp;"-"&amp;Eingabe!$C$13&amp;"-Pächter","")</f>
        <v/>
      </c>
      <c r="J943" s="21" t="str">
        <f aca="false">IF(AND(Eingabe!$F$13&gt;0,Eingabe!$E$13&gt;=127),"PPSK: Passwort Parzelle 127","")</f>
        <v/>
      </c>
      <c r="K943" s="21" t="str">
        <f aca="false">IF(AND(Eingabe!$F$13&gt;0,Eingabe!$E$13&gt;=127),"1. Gerät: 10."&amp;Eingabe!$D$13&amp;".127.10, 2. Gerät: .11","")</f>
        <v/>
      </c>
    </row>
    <row r="944" customFormat="false" ht="15" hidden="false" customHeight="false" outlineLevel="0" collapsed="false">
      <c r="A944" s="21" t="str">
        <f aca="false">IF(AND(Eingabe!$F$13&gt;0,Eingabe!$E$13&gt;=128),5,"")</f>
        <v/>
      </c>
      <c r="B944" s="21" t="str">
        <f aca="false">IF(AND(Eingabe!$F$13&gt;0,Eingabe!$E$13&gt;=128),Eingabe!$B$13,"")</f>
        <v/>
      </c>
      <c r="C944" s="21" t="str">
        <f aca="false">IF(AND(Eingabe!$F$13&gt;0,Eingabe!$E$13&gt;=128),Eingabe!$C$13&amp;"-Paz."&amp;TEXT(128,"000"),"")</f>
        <v/>
      </c>
      <c r="D944" s="21" t="str">
        <f aca="false">IF(AND(Eingabe!$F$13&gt;0,Eingabe!$E$13&gt;=128),128,"")</f>
        <v/>
      </c>
      <c r="E944" s="21" t="str">
        <f aca="false">IF(AND(Eingabe!$F$13&gt;0,Eingabe!$E$13&gt;=128),IF((Eingabe!$G$13+1)&lt;=9,1000+(Eingabe!$G$13+1)*100,3000)+28,"")</f>
        <v/>
      </c>
      <c r="F944" s="21" t="str">
        <f aca="false">IF(AND(Eingabe!$F$13&gt;0,Eingabe!$E$13&gt;=128),"10."&amp;Eingabe!$D$13&amp;".128.0/24","")</f>
        <v/>
      </c>
      <c r="G944" s="21" t="str">
        <f aca="false">IF(AND(Eingabe!$F$13&gt;0,Eingabe!$E$13&gt;=128),"10."&amp;Eingabe!$D$13&amp;".128.1","")</f>
        <v/>
      </c>
      <c r="H944" s="21" t="str">
        <f aca="false">IF(AND(Eingabe!$F$13&gt;0,Eingabe!$E$13&gt;=128),"10."&amp;Eingabe!$D$13&amp;".128.10 – 10."&amp;Eingabe!$D$13&amp;".128.250","")</f>
        <v/>
      </c>
      <c r="I944" s="21" t="str">
        <f aca="false">IF(AND(Eingabe!$F$13&gt;0,Eingabe!$E$13&gt;=128),Eingabe!$B$6&amp;"-"&amp;Eingabe!$C$13&amp;"-Pächter","")</f>
        <v/>
      </c>
      <c r="J944" s="21" t="str">
        <f aca="false">IF(AND(Eingabe!$F$13&gt;0,Eingabe!$E$13&gt;=128),"PPSK: Passwort Parzelle 128","")</f>
        <v/>
      </c>
      <c r="K944" s="21" t="str">
        <f aca="false">IF(AND(Eingabe!$F$13&gt;0,Eingabe!$E$13&gt;=128),"1. Gerät: 10."&amp;Eingabe!$D$13&amp;".128.10, 2. Gerät: .11","")</f>
        <v/>
      </c>
    </row>
    <row r="945" customFormat="false" ht="15" hidden="false" customHeight="false" outlineLevel="0" collapsed="false">
      <c r="A945" s="21" t="str">
        <f aca="false">IF(AND(Eingabe!$F$13&gt;0,Eingabe!$E$13&gt;=129),5,"")</f>
        <v/>
      </c>
      <c r="B945" s="21" t="str">
        <f aca="false">IF(AND(Eingabe!$F$13&gt;0,Eingabe!$E$13&gt;=129),Eingabe!$B$13,"")</f>
        <v/>
      </c>
      <c r="C945" s="21" t="str">
        <f aca="false">IF(AND(Eingabe!$F$13&gt;0,Eingabe!$E$13&gt;=129),Eingabe!$C$13&amp;"-Paz."&amp;TEXT(129,"000"),"")</f>
        <v/>
      </c>
      <c r="D945" s="21" t="str">
        <f aca="false">IF(AND(Eingabe!$F$13&gt;0,Eingabe!$E$13&gt;=129),129,"")</f>
        <v/>
      </c>
      <c r="E945" s="21" t="str">
        <f aca="false">IF(AND(Eingabe!$F$13&gt;0,Eingabe!$E$13&gt;=129),IF((Eingabe!$G$13+1)&lt;=9,1000+(Eingabe!$G$13+1)*100,3000)+29,"")</f>
        <v/>
      </c>
      <c r="F945" s="21" t="str">
        <f aca="false">IF(AND(Eingabe!$F$13&gt;0,Eingabe!$E$13&gt;=129),"10."&amp;Eingabe!$D$13&amp;".129.0/24","")</f>
        <v/>
      </c>
      <c r="G945" s="21" t="str">
        <f aca="false">IF(AND(Eingabe!$F$13&gt;0,Eingabe!$E$13&gt;=129),"10."&amp;Eingabe!$D$13&amp;".129.1","")</f>
        <v/>
      </c>
      <c r="H945" s="21" t="str">
        <f aca="false">IF(AND(Eingabe!$F$13&gt;0,Eingabe!$E$13&gt;=129),"10."&amp;Eingabe!$D$13&amp;".129.10 – 10."&amp;Eingabe!$D$13&amp;".129.250","")</f>
        <v/>
      </c>
      <c r="I945" s="21" t="str">
        <f aca="false">IF(AND(Eingabe!$F$13&gt;0,Eingabe!$E$13&gt;=129),Eingabe!$B$6&amp;"-"&amp;Eingabe!$C$13&amp;"-Pächter","")</f>
        <v/>
      </c>
      <c r="J945" s="21" t="str">
        <f aca="false">IF(AND(Eingabe!$F$13&gt;0,Eingabe!$E$13&gt;=129),"PPSK: Passwort Parzelle 129","")</f>
        <v/>
      </c>
      <c r="K945" s="21" t="str">
        <f aca="false">IF(AND(Eingabe!$F$13&gt;0,Eingabe!$E$13&gt;=129),"1. Gerät: 10."&amp;Eingabe!$D$13&amp;".129.10, 2. Gerät: .11","")</f>
        <v/>
      </c>
    </row>
    <row r="946" customFormat="false" ht="15" hidden="false" customHeight="false" outlineLevel="0" collapsed="false">
      <c r="A946" s="21" t="str">
        <f aca="false">IF(AND(Eingabe!$F$13&gt;0,Eingabe!$E$13&gt;=130),5,"")</f>
        <v/>
      </c>
      <c r="B946" s="21" t="str">
        <f aca="false">IF(AND(Eingabe!$F$13&gt;0,Eingabe!$E$13&gt;=130),Eingabe!$B$13,"")</f>
        <v/>
      </c>
      <c r="C946" s="21" t="str">
        <f aca="false">IF(AND(Eingabe!$F$13&gt;0,Eingabe!$E$13&gt;=130),Eingabe!$C$13&amp;"-Paz."&amp;TEXT(130,"000"),"")</f>
        <v/>
      </c>
      <c r="D946" s="21" t="str">
        <f aca="false">IF(AND(Eingabe!$F$13&gt;0,Eingabe!$E$13&gt;=130),130,"")</f>
        <v/>
      </c>
      <c r="E946" s="21" t="str">
        <f aca="false">IF(AND(Eingabe!$F$13&gt;0,Eingabe!$E$13&gt;=130),IF((Eingabe!$G$13+1)&lt;=9,1000+(Eingabe!$G$13+1)*100,3000)+30,"")</f>
        <v/>
      </c>
      <c r="F946" s="21" t="str">
        <f aca="false">IF(AND(Eingabe!$F$13&gt;0,Eingabe!$E$13&gt;=130),"10."&amp;Eingabe!$D$13&amp;".130.0/24","")</f>
        <v/>
      </c>
      <c r="G946" s="21" t="str">
        <f aca="false">IF(AND(Eingabe!$F$13&gt;0,Eingabe!$E$13&gt;=130),"10."&amp;Eingabe!$D$13&amp;".130.1","")</f>
        <v/>
      </c>
      <c r="H946" s="21" t="str">
        <f aca="false">IF(AND(Eingabe!$F$13&gt;0,Eingabe!$E$13&gt;=130),"10."&amp;Eingabe!$D$13&amp;".130.10 – 10."&amp;Eingabe!$D$13&amp;".130.250","")</f>
        <v/>
      </c>
      <c r="I946" s="21" t="str">
        <f aca="false">IF(AND(Eingabe!$F$13&gt;0,Eingabe!$E$13&gt;=130),Eingabe!$B$6&amp;"-"&amp;Eingabe!$C$13&amp;"-Pächter","")</f>
        <v/>
      </c>
      <c r="J946" s="21" t="str">
        <f aca="false">IF(AND(Eingabe!$F$13&gt;0,Eingabe!$E$13&gt;=130),"PPSK: Passwort Parzelle 130","")</f>
        <v/>
      </c>
      <c r="K946" s="21" t="str">
        <f aca="false">IF(AND(Eingabe!$F$13&gt;0,Eingabe!$E$13&gt;=130),"1. Gerät: 10."&amp;Eingabe!$D$13&amp;".130.10, 2. Gerät: .11","")</f>
        <v/>
      </c>
    </row>
    <row r="947" customFormat="false" ht="15" hidden="false" customHeight="false" outlineLevel="0" collapsed="false">
      <c r="A947" s="21" t="str">
        <f aca="false">IF(AND(Eingabe!$F$13&gt;0,Eingabe!$E$13&gt;=131),5,"")</f>
        <v/>
      </c>
      <c r="B947" s="21" t="str">
        <f aca="false">IF(AND(Eingabe!$F$13&gt;0,Eingabe!$E$13&gt;=131),Eingabe!$B$13,"")</f>
        <v/>
      </c>
      <c r="C947" s="21" t="str">
        <f aca="false">IF(AND(Eingabe!$F$13&gt;0,Eingabe!$E$13&gt;=131),Eingabe!$C$13&amp;"-Paz."&amp;TEXT(131,"000"),"")</f>
        <v/>
      </c>
      <c r="D947" s="21" t="str">
        <f aca="false">IF(AND(Eingabe!$F$13&gt;0,Eingabe!$E$13&gt;=131),131,"")</f>
        <v/>
      </c>
      <c r="E947" s="21" t="str">
        <f aca="false">IF(AND(Eingabe!$F$13&gt;0,Eingabe!$E$13&gt;=131),IF((Eingabe!$G$13+1)&lt;=9,1000+(Eingabe!$G$13+1)*100,3000)+31,"")</f>
        <v/>
      </c>
      <c r="F947" s="21" t="str">
        <f aca="false">IF(AND(Eingabe!$F$13&gt;0,Eingabe!$E$13&gt;=131),"10."&amp;Eingabe!$D$13&amp;".131.0/24","")</f>
        <v/>
      </c>
      <c r="G947" s="21" t="str">
        <f aca="false">IF(AND(Eingabe!$F$13&gt;0,Eingabe!$E$13&gt;=131),"10."&amp;Eingabe!$D$13&amp;".131.1","")</f>
        <v/>
      </c>
      <c r="H947" s="21" t="str">
        <f aca="false">IF(AND(Eingabe!$F$13&gt;0,Eingabe!$E$13&gt;=131),"10."&amp;Eingabe!$D$13&amp;".131.10 – 10."&amp;Eingabe!$D$13&amp;".131.250","")</f>
        <v/>
      </c>
      <c r="I947" s="21" t="str">
        <f aca="false">IF(AND(Eingabe!$F$13&gt;0,Eingabe!$E$13&gt;=131),Eingabe!$B$6&amp;"-"&amp;Eingabe!$C$13&amp;"-Pächter","")</f>
        <v/>
      </c>
      <c r="J947" s="21" t="str">
        <f aca="false">IF(AND(Eingabe!$F$13&gt;0,Eingabe!$E$13&gt;=131),"PPSK: Passwort Parzelle 131","")</f>
        <v/>
      </c>
      <c r="K947" s="21" t="str">
        <f aca="false">IF(AND(Eingabe!$F$13&gt;0,Eingabe!$E$13&gt;=131),"1. Gerät: 10."&amp;Eingabe!$D$13&amp;".131.10, 2. Gerät: .11","")</f>
        <v/>
      </c>
    </row>
    <row r="948" customFormat="false" ht="15" hidden="false" customHeight="false" outlineLevel="0" collapsed="false">
      <c r="A948" s="21" t="str">
        <f aca="false">IF(AND(Eingabe!$F$13&gt;0,Eingabe!$E$13&gt;=132),5,"")</f>
        <v/>
      </c>
      <c r="B948" s="21" t="str">
        <f aca="false">IF(AND(Eingabe!$F$13&gt;0,Eingabe!$E$13&gt;=132),Eingabe!$B$13,"")</f>
        <v/>
      </c>
      <c r="C948" s="21" t="str">
        <f aca="false">IF(AND(Eingabe!$F$13&gt;0,Eingabe!$E$13&gt;=132),Eingabe!$C$13&amp;"-Paz."&amp;TEXT(132,"000"),"")</f>
        <v/>
      </c>
      <c r="D948" s="21" t="str">
        <f aca="false">IF(AND(Eingabe!$F$13&gt;0,Eingabe!$E$13&gt;=132),132,"")</f>
        <v/>
      </c>
      <c r="E948" s="21" t="str">
        <f aca="false">IF(AND(Eingabe!$F$13&gt;0,Eingabe!$E$13&gt;=132),IF((Eingabe!$G$13+1)&lt;=9,1000+(Eingabe!$G$13+1)*100,3000)+32,"")</f>
        <v/>
      </c>
      <c r="F948" s="21" t="str">
        <f aca="false">IF(AND(Eingabe!$F$13&gt;0,Eingabe!$E$13&gt;=132),"10."&amp;Eingabe!$D$13&amp;".132.0/24","")</f>
        <v/>
      </c>
      <c r="G948" s="21" t="str">
        <f aca="false">IF(AND(Eingabe!$F$13&gt;0,Eingabe!$E$13&gt;=132),"10."&amp;Eingabe!$D$13&amp;".132.1","")</f>
        <v/>
      </c>
      <c r="H948" s="21" t="str">
        <f aca="false">IF(AND(Eingabe!$F$13&gt;0,Eingabe!$E$13&gt;=132),"10."&amp;Eingabe!$D$13&amp;".132.10 – 10."&amp;Eingabe!$D$13&amp;".132.250","")</f>
        <v/>
      </c>
      <c r="I948" s="21" t="str">
        <f aca="false">IF(AND(Eingabe!$F$13&gt;0,Eingabe!$E$13&gt;=132),Eingabe!$B$6&amp;"-"&amp;Eingabe!$C$13&amp;"-Pächter","")</f>
        <v/>
      </c>
      <c r="J948" s="21" t="str">
        <f aca="false">IF(AND(Eingabe!$F$13&gt;0,Eingabe!$E$13&gt;=132),"PPSK: Passwort Parzelle 132","")</f>
        <v/>
      </c>
      <c r="K948" s="21" t="str">
        <f aca="false">IF(AND(Eingabe!$F$13&gt;0,Eingabe!$E$13&gt;=132),"1. Gerät: 10."&amp;Eingabe!$D$13&amp;".132.10, 2. Gerät: .11","")</f>
        <v/>
      </c>
    </row>
    <row r="949" customFormat="false" ht="15" hidden="false" customHeight="false" outlineLevel="0" collapsed="false">
      <c r="A949" s="21" t="str">
        <f aca="false">IF(AND(Eingabe!$F$13&gt;0,Eingabe!$E$13&gt;=133),5,"")</f>
        <v/>
      </c>
      <c r="B949" s="21" t="str">
        <f aca="false">IF(AND(Eingabe!$F$13&gt;0,Eingabe!$E$13&gt;=133),Eingabe!$B$13,"")</f>
        <v/>
      </c>
      <c r="C949" s="21" t="str">
        <f aca="false">IF(AND(Eingabe!$F$13&gt;0,Eingabe!$E$13&gt;=133),Eingabe!$C$13&amp;"-Paz."&amp;TEXT(133,"000"),"")</f>
        <v/>
      </c>
      <c r="D949" s="21" t="str">
        <f aca="false">IF(AND(Eingabe!$F$13&gt;0,Eingabe!$E$13&gt;=133),133,"")</f>
        <v/>
      </c>
      <c r="E949" s="21" t="str">
        <f aca="false">IF(AND(Eingabe!$F$13&gt;0,Eingabe!$E$13&gt;=133),IF((Eingabe!$G$13+1)&lt;=9,1000+(Eingabe!$G$13+1)*100,3000)+33,"")</f>
        <v/>
      </c>
      <c r="F949" s="21" t="str">
        <f aca="false">IF(AND(Eingabe!$F$13&gt;0,Eingabe!$E$13&gt;=133),"10."&amp;Eingabe!$D$13&amp;".133.0/24","")</f>
        <v/>
      </c>
      <c r="G949" s="21" t="str">
        <f aca="false">IF(AND(Eingabe!$F$13&gt;0,Eingabe!$E$13&gt;=133),"10."&amp;Eingabe!$D$13&amp;".133.1","")</f>
        <v/>
      </c>
      <c r="H949" s="21" t="str">
        <f aca="false">IF(AND(Eingabe!$F$13&gt;0,Eingabe!$E$13&gt;=133),"10."&amp;Eingabe!$D$13&amp;".133.10 – 10."&amp;Eingabe!$D$13&amp;".133.250","")</f>
        <v/>
      </c>
      <c r="I949" s="21" t="str">
        <f aca="false">IF(AND(Eingabe!$F$13&gt;0,Eingabe!$E$13&gt;=133),Eingabe!$B$6&amp;"-"&amp;Eingabe!$C$13&amp;"-Pächter","")</f>
        <v/>
      </c>
      <c r="J949" s="21" t="str">
        <f aca="false">IF(AND(Eingabe!$F$13&gt;0,Eingabe!$E$13&gt;=133),"PPSK: Passwort Parzelle 133","")</f>
        <v/>
      </c>
      <c r="K949" s="21" t="str">
        <f aca="false">IF(AND(Eingabe!$F$13&gt;0,Eingabe!$E$13&gt;=133),"1. Gerät: 10."&amp;Eingabe!$D$13&amp;".133.10, 2. Gerät: .11","")</f>
        <v/>
      </c>
    </row>
    <row r="950" customFormat="false" ht="15" hidden="false" customHeight="false" outlineLevel="0" collapsed="false">
      <c r="A950" s="21" t="str">
        <f aca="false">IF(AND(Eingabe!$F$13&gt;0,Eingabe!$E$13&gt;=134),5,"")</f>
        <v/>
      </c>
      <c r="B950" s="21" t="str">
        <f aca="false">IF(AND(Eingabe!$F$13&gt;0,Eingabe!$E$13&gt;=134),Eingabe!$B$13,"")</f>
        <v/>
      </c>
      <c r="C950" s="21" t="str">
        <f aca="false">IF(AND(Eingabe!$F$13&gt;0,Eingabe!$E$13&gt;=134),Eingabe!$C$13&amp;"-Paz."&amp;TEXT(134,"000"),"")</f>
        <v/>
      </c>
      <c r="D950" s="21" t="str">
        <f aca="false">IF(AND(Eingabe!$F$13&gt;0,Eingabe!$E$13&gt;=134),134,"")</f>
        <v/>
      </c>
      <c r="E950" s="21" t="str">
        <f aca="false">IF(AND(Eingabe!$F$13&gt;0,Eingabe!$E$13&gt;=134),IF((Eingabe!$G$13+1)&lt;=9,1000+(Eingabe!$G$13+1)*100,3000)+34,"")</f>
        <v/>
      </c>
      <c r="F950" s="21" t="str">
        <f aca="false">IF(AND(Eingabe!$F$13&gt;0,Eingabe!$E$13&gt;=134),"10."&amp;Eingabe!$D$13&amp;".134.0/24","")</f>
        <v/>
      </c>
      <c r="G950" s="21" t="str">
        <f aca="false">IF(AND(Eingabe!$F$13&gt;0,Eingabe!$E$13&gt;=134),"10."&amp;Eingabe!$D$13&amp;".134.1","")</f>
        <v/>
      </c>
      <c r="H950" s="21" t="str">
        <f aca="false">IF(AND(Eingabe!$F$13&gt;0,Eingabe!$E$13&gt;=134),"10."&amp;Eingabe!$D$13&amp;".134.10 – 10."&amp;Eingabe!$D$13&amp;".134.250","")</f>
        <v/>
      </c>
      <c r="I950" s="21" t="str">
        <f aca="false">IF(AND(Eingabe!$F$13&gt;0,Eingabe!$E$13&gt;=134),Eingabe!$B$6&amp;"-"&amp;Eingabe!$C$13&amp;"-Pächter","")</f>
        <v/>
      </c>
      <c r="J950" s="21" t="str">
        <f aca="false">IF(AND(Eingabe!$F$13&gt;0,Eingabe!$E$13&gt;=134),"PPSK: Passwort Parzelle 134","")</f>
        <v/>
      </c>
      <c r="K950" s="21" t="str">
        <f aca="false">IF(AND(Eingabe!$F$13&gt;0,Eingabe!$E$13&gt;=134),"1. Gerät: 10."&amp;Eingabe!$D$13&amp;".134.10, 2. Gerät: .11","")</f>
        <v/>
      </c>
    </row>
    <row r="951" customFormat="false" ht="15" hidden="false" customHeight="false" outlineLevel="0" collapsed="false">
      <c r="A951" s="21" t="str">
        <f aca="false">IF(AND(Eingabe!$F$13&gt;0,Eingabe!$E$13&gt;=135),5,"")</f>
        <v/>
      </c>
      <c r="B951" s="21" t="str">
        <f aca="false">IF(AND(Eingabe!$F$13&gt;0,Eingabe!$E$13&gt;=135),Eingabe!$B$13,"")</f>
        <v/>
      </c>
      <c r="C951" s="21" t="str">
        <f aca="false">IF(AND(Eingabe!$F$13&gt;0,Eingabe!$E$13&gt;=135),Eingabe!$C$13&amp;"-Paz."&amp;TEXT(135,"000"),"")</f>
        <v/>
      </c>
      <c r="D951" s="21" t="str">
        <f aca="false">IF(AND(Eingabe!$F$13&gt;0,Eingabe!$E$13&gt;=135),135,"")</f>
        <v/>
      </c>
      <c r="E951" s="21" t="str">
        <f aca="false">IF(AND(Eingabe!$F$13&gt;0,Eingabe!$E$13&gt;=135),IF((Eingabe!$G$13+1)&lt;=9,1000+(Eingabe!$G$13+1)*100,3000)+35,"")</f>
        <v/>
      </c>
      <c r="F951" s="21" t="str">
        <f aca="false">IF(AND(Eingabe!$F$13&gt;0,Eingabe!$E$13&gt;=135),"10."&amp;Eingabe!$D$13&amp;".135.0/24","")</f>
        <v/>
      </c>
      <c r="G951" s="21" t="str">
        <f aca="false">IF(AND(Eingabe!$F$13&gt;0,Eingabe!$E$13&gt;=135),"10."&amp;Eingabe!$D$13&amp;".135.1","")</f>
        <v/>
      </c>
      <c r="H951" s="21" t="str">
        <f aca="false">IF(AND(Eingabe!$F$13&gt;0,Eingabe!$E$13&gt;=135),"10."&amp;Eingabe!$D$13&amp;".135.10 – 10."&amp;Eingabe!$D$13&amp;".135.250","")</f>
        <v/>
      </c>
      <c r="I951" s="21" t="str">
        <f aca="false">IF(AND(Eingabe!$F$13&gt;0,Eingabe!$E$13&gt;=135),Eingabe!$B$6&amp;"-"&amp;Eingabe!$C$13&amp;"-Pächter","")</f>
        <v/>
      </c>
      <c r="J951" s="21" t="str">
        <f aca="false">IF(AND(Eingabe!$F$13&gt;0,Eingabe!$E$13&gt;=135),"PPSK: Passwort Parzelle 135","")</f>
        <v/>
      </c>
      <c r="K951" s="21" t="str">
        <f aca="false">IF(AND(Eingabe!$F$13&gt;0,Eingabe!$E$13&gt;=135),"1. Gerät: 10."&amp;Eingabe!$D$13&amp;".135.10, 2. Gerät: .11","")</f>
        <v/>
      </c>
    </row>
    <row r="952" customFormat="false" ht="15" hidden="false" customHeight="false" outlineLevel="0" collapsed="false">
      <c r="A952" s="21" t="str">
        <f aca="false">IF(AND(Eingabe!$F$13&gt;0,Eingabe!$E$13&gt;=136),5,"")</f>
        <v/>
      </c>
      <c r="B952" s="21" t="str">
        <f aca="false">IF(AND(Eingabe!$F$13&gt;0,Eingabe!$E$13&gt;=136),Eingabe!$B$13,"")</f>
        <v/>
      </c>
      <c r="C952" s="21" t="str">
        <f aca="false">IF(AND(Eingabe!$F$13&gt;0,Eingabe!$E$13&gt;=136),Eingabe!$C$13&amp;"-Paz."&amp;TEXT(136,"000"),"")</f>
        <v/>
      </c>
      <c r="D952" s="21" t="str">
        <f aca="false">IF(AND(Eingabe!$F$13&gt;0,Eingabe!$E$13&gt;=136),136,"")</f>
        <v/>
      </c>
      <c r="E952" s="21" t="str">
        <f aca="false">IF(AND(Eingabe!$F$13&gt;0,Eingabe!$E$13&gt;=136),IF((Eingabe!$G$13+1)&lt;=9,1000+(Eingabe!$G$13+1)*100,3000)+36,"")</f>
        <v/>
      </c>
      <c r="F952" s="21" t="str">
        <f aca="false">IF(AND(Eingabe!$F$13&gt;0,Eingabe!$E$13&gt;=136),"10."&amp;Eingabe!$D$13&amp;".136.0/24","")</f>
        <v/>
      </c>
      <c r="G952" s="21" t="str">
        <f aca="false">IF(AND(Eingabe!$F$13&gt;0,Eingabe!$E$13&gt;=136),"10."&amp;Eingabe!$D$13&amp;".136.1","")</f>
        <v/>
      </c>
      <c r="H952" s="21" t="str">
        <f aca="false">IF(AND(Eingabe!$F$13&gt;0,Eingabe!$E$13&gt;=136),"10."&amp;Eingabe!$D$13&amp;".136.10 – 10."&amp;Eingabe!$D$13&amp;".136.250","")</f>
        <v/>
      </c>
      <c r="I952" s="21" t="str">
        <f aca="false">IF(AND(Eingabe!$F$13&gt;0,Eingabe!$E$13&gt;=136),Eingabe!$B$6&amp;"-"&amp;Eingabe!$C$13&amp;"-Pächter","")</f>
        <v/>
      </c>
      <c r="J952" s="21" t="str">
        <f aca="false">IF(AND(Eingabe!$F$13&gt;0,Eingabe!$E$13&gt;=136),"PPSK: Passwort Parzelle 136","")</f>
        <v/>
      </c>
      <c r="K952" s="21" t="str">
        <f aca="false">IF(AND(Eingabe!$F$13&gt;0,Eingabe!$E$13&gt;=136),"1. Gerät: 10."&amp;Eingabe!$D$13&amp;".136.10, 2. Gerät: .11","")</f>
        <v/>
      </c>
    </row>
    <row r="953" customFormat="false" ht="15" hidden="false" customHeight="false" outlineLevel="0" collapsed="false">
      <c r="A953" s="21" t="str">
        <f aca="false">IF(AND(Eingabe!$F$13&gt;0,Eingabe!$E$13&gt;=137),5,"")</f>
        <v/>
      </c>
      <c r="B953" s="21" t="str">
        <f aca="false">IF(AND(Eingabe!$F$13&gt;0,Eingabe!$E$13&gt;=137),Eingabe!$B$13,"")</f>
        <v/>
      </c>
      <c r="C953" s="21" t="str">
        <f aca="false">IF(AND(Eingabe!$F$13&gt;0,Eingabe!$E$13&gt;=137),Eingabe!$C$13&amp;"-Paz."&amp;TEXT(137,"000"),"")</f>
        <v/>
      </c>
      <c r="D953" s="21" t="str">
        <f aca="false">IF(AND(Eingabe!$F$13&gt;0,Eingabe!$E$13&gt;=137),137,"")</f>
        <v/>
      </c>
      <c r="E953" s="21" t="str">
        <f aca="false">IF(AND(Eingabe!$F$13&gt;0,Eingabe!$E$13&gt;=137),IF((Eingabe!$G$13+1)&lt;=9,1000+(Eingabe!$G$13+1)*100,3000)+37,"")</f>
        <v/>
      </c>
      <c r="F953" s="21" t="str">
        <f aca="false">IF(AND(Eingabe!$F$13&gt;0,Eingabe!$E$13&gt;=137),"10."&amp;Eingabe!$D$13&amp;".137.0/24","")</f>
        <v/>
      </c>
      <c r="G953" s="21" t="str">
        <f aca="false">IF(AND(Eingabe!$F$13&gt;0,Eingabe!$E$13&gt;=137),"10."&amp;Eingabe!$D$13&amp;".137.1","")</f>
        <v/>
      </c>
      <c r="H953" s="21" t="str">
        <f aca="false">IF(AND(Eingabe!$F$13&gt;0,Eingabe!$E$13&gt;=137),"10."&amp;Eingabe!$D$13&amp;".137.10 – 10."&amp;Eingabe!$D$13&amp;".137.250","")</f>
        <v/>
      </c>
      <c r="I953" s="21" t="str">
        <f aca="false">IF(AND(Eingabe!$F$13&gt;0,Eingabe!$E$13&gt;=137),Eingabe!$B$6&amp;"-"&amp;Eingabe!$C$13&amp;"-Pächter","")</f>
        <v/>
      </c>
      <c r="J953" s="21" t="str">
        <f aca="false">IF(AND(Eingabe!$F$13&gt;0,Eingabe!$E$13&gt;=137),"PPSK: Passwort Parzelle 137","")</f>
        <v/>
      </c>
      <c r="K953" s="21" t="str">
        <f aca="false">IF(AND(Eingabe!$F$13&gt;0,Eingabe!$E$13&gt;=137),"1. Gerät: 10."&amp;Eingabe!$D$13&amp;".137.10, 2. Gerät: .11","")</f>
        <v/>
      </c>
    </row>
    <row r="954" customFormat="false" ht="15" hidden="false" customHeight="false" outlineLevel="0" collapsed="false">
      <c r="A954" s="21" t="str">
        <f aca="false">IF(AND(Eingabe!$F$13&gt;0,Eingabe!$E$13&gt;=138),5,"")</f>
        <v/>
      </c>
      <c r="B954" s="21" t="str">
        <f aca="false">IF(AND(Eingabe!$F$13&gt;0,Eingabe!$E$13&gt;=138),Eingabe!$B$13,"")</f>
        <v/>
      </c>
      <c r="C954" s="21" t="str">
        <f aca="false">IF(AND(Eingabe!$F$13&gt;0,Eingabe!$E$13&gt;=138),Eingabe!$C$13&amp;"-Paz."&amp;TEXT(138,"000"),"")</f>
        <v/>
      </c>
      <c r="D954" s="21" t="str">
        <f aca="false">IF(AND(Eingabe!$F$13&gt;0,Eingabe!$E$13&gt;=138),138,"")</f>
        <v/>
      </c>
      <c r="E954" s="21" t="str">
        <f aca="false">IF(AND(Eingabe!$F$13&gt;0,Eingabe!$E$13&gt;=138),IF((Eingabe!$G$13+1)&lt;=9,1000+(Eingabe!$G$13+1)*100,3000)+38,"")</f>
        <v/>
      </c>
      <c r="F954" s="21" t="str">
        <f aca="false">IF(AND(Eingabe!$F$13&gt;0,Eingabe!$E$13&gt;=138),"10."&amp;Eingabe!$D$13&amp;".138.0/24","")</f>
        <v/>
      </c>
      <c r="G954" s="21" t="str">
        <f aca="false">IF(AND(Eingabe!$F$13&gt;0,Eingabe!$E$13&gt;=138),"10."&amp;Eingabe!$D$13&amp;".138.1","")</f>
        <v/>
      </c>
      <c r="H954" s="21" t="str">
        <f aca="false">IF(AND(Eingabe!$F$13&gt;0,Eingabe!$E$13&gt;=138),"10."&amp;Eingabe!$D$13&amp;".138.10 – 10."&amp;Eingabe!$D$13&amp;".138.250","")</f>
        <v/>
      </c>
      <c r="I954" s="21" t="str">
        <f aca="false">IF(AND(Eingabe!$F$13&gt;0,Eingabe!$E$13&gt;=138),Eingabe!$B$6&amp;"-"&amp;Eingabe!$C$13&amp;"-Pächter","")</f>
        <v/>
      </c>
      <c r="J954" s="21" t="str">
        <f aca="false">IF(AND(Eingabe!$F$13&gt;0,Eingabe!$E$13&gt;=138),"PPSK: Passwort Parzelle 138","")</f>
        <v/>
      </c>
      <c r="K954" s="21" t="str">
        <f aca="false">IF(AND(Eingabe!$F$13&gt;0,Eingabe!$E$13&gt;=138),"1. Gerät: 10."&amp;Eingabe!$D$13&amp;".138.10, 2. Gerät: .11","")</f>
        <v/>
      </c>
    </row>
    <row r="955" customFormat="false" ht="15" hidden="false" customHeight="false" outlineLevel="0" collapsed="false">
      <c r="A955" s="21" t="str">
        <f aca="false">IF(AND(Eingabe!$F$13&gt;0,Eingabe!$E$13&gt;=139),5,"")</f>
        <v/>
      </c>
      <c r="B955" s="21" t="str">
        <f aca="false">IF(AND(Eingabe!$F$13&gt;0,Eingabe!$E$13&gt;=139),Eingabe!$B$13,"")</f>
        <v/>
      </c>
      <c r="C955" s="21" t="str">
        <f aca="false">IF(AND(Eingabe!$F$13&gt;0,Eingabe!$E$13&gt;=139),Eingabe!$C$13&amp;"-Paz."&amp;TEXT(139,"000"),"")</f>
        <v/>
      </c>
      <c r="D955" s="21" t="str">
        <f aca="false">IF(AND(Eingabe!$F$13&gt;0,Eingabe!$E$13&gt;=139),139,"")</f>
        <v/>
      </c>
      <c r="E955" s="21" t="str">
        <f aca="false">IF(AND(Eingabe!$F$13&gt;0,Eingabe!$E$13&gt;=139),IF((Eingabe!$G$13+1)&lt;=9,1000+(Eingabe!$G$13+1)*100,3000)+39,"")</f>
        <v/>
      </c>
      <c r="F955" s="21" t="str">
        <f aca="false">IF(AND(Eingabe!$F$13&gt;0,Eingabe!$E$13&gt;=139),"10."&amp;Eingabe!$D$13&amp;".139.0/24","")</f>
        <v/>
      </c>
      <c r="G955" s="21" t="str">
        <f aca="false">IF(AND(Eingabe!$F$13&gt;0,Eingabe!$E$13&gt;=139),"10."&amp;Eingabe!$D$13&amp;".139.1","")</f>
        <v/>
      </c>
      <c r="H955" s="21" t="str">
        <f aca="false">IF(AND(Eingabe!$F$13&gt;0,Eingabe!$E$13&gt;=139),"10."&amp;Eingabe!$D$13&amp;".139.10 – 10."&amp;Eingabe!$D$13&amp;".139.250","")</f>
        <v/>
      </c>
      <c r="I955" s="21" t="str">
        <f aca="false">IF(AND(Eingabe!$F$13&gt;0,Eingabe!$E$13&gt;=139),Eingabe!$B$6&amp;"-"&amp;Eingabe!$C$13&amp;"-Pächter","")</f>
        <v/>
      </c>
      <c r="J955" s="21" t="str">
        <f aca="false">IF(AND(Eingabe!$F$13&gt;0,Eingabe!$E$13&gt;=139),"PPSK: Passwort Parzelle 139","")</f>
        <v/>
      </c>
      <c r="K955" s="21" t="str">
        <f aca="false">IF(AND(Eingabe!$F$13&gt;0,Eingabe!$E$13&gt;=139),"1. Gerät: 10."&amp;Eingabe!$D$13&amp;".139.10, 2. Gerät: .11","")</f>
        <v/>
      </c>
    </row>
    <row r="956" customFormat="false" ht="15" hidden="false" customHeight="false" outlineLevel="0" collapsed="false">
      <c r="A956" s="21" t="str">
        <f aca="false">IF(AND(Eingabe!$F$13&gt;0,Eingabe!$E$13&gt;=140),5,"")</f>
        <v/>
      </c>
      <c r="B956" s="21" t="str">
        <f aca="false">IF(AND(Eingabe!$F$13&gt;0,Eingabe!$E$13&gt;=140),Eingabe!$B$13,"")</f>
        <v/>
      </c>
      <c r="C956" s="21" t="str">
        <f aca="false">IF(AND(Eingabe!$F$13&gt;0,Eingabe!$E$13&gt;=140),Eingabe!$C$13&amp;"-Paz."&amp;TEXT(140,"000"),"")</f>
        <v/>
      </c>
      <c r="D956" s="21" t="str">
        <f aca="false">IF(AND(Eingabe!$F$13&gt;0,Eingabe!$E$13&gt;=140),140,"")</f>
        <v/>
      </c>
      <c r="E956" s="21" t="str">
        <f aca="false">IF(AND(Eingabe!$F$13&gt;0,Eingabe!$E$13&gt;=140),IF((Eingabe!$G$13+1)&lt;=9,1000+(Eingabe!$G$13+1)*100,3000)+40,"")</f>
        <v/>
      </c>
      <c r="F956" s="21" t="str">
        <f aca="false">IF(AND(Eingabe!$F$13&gt;0,Eingabe!$E$13&gt;=140),"10."&amp;Eingabe!$D$13&amp;".140.0/24","")</f>
        <v/>
      </c>
      <c r="G956" s="21" t="str">
        <f aca="false">IF(AND(Eingabe!$F$13&gt;0,Eingabe!$E$13&gt;=140),"10."&amp;Eingabe!$D$13&amp;".140.1","")</f>
        <v/>
      </c>
      <c r="H956" s="21" t="str">
        <f aca="false">IF(AND(Eingabe!$F$13&gt;0,Eingabe!$E$13&gt;=140),"10."&amp;Eingabe!$D$13&amp;".140.10 – 10."&amp;Eingabe!$D$13&amp;".140.250","")</f>
        <v/>
      </c>
      <c r="I956" s="21" t="str">
        <f aca="false">IF(AND(Eingabe!$F$13&gt;0,Eingabe!$E$13&gt;=140),Eingabe!$B$6&amp;"-"&amp;Eingabe!$C$13&amp;"-Pächter","")</f>
        <v/>
      </c>
      <c r="J956" s="21" t="str">
        <f aca="false">IF(AND(Eingabe!$F$13&gt;0,Eingabe!$E$13&gt;=140),"PPSK: Passwort Parzelle 140","")</f>
        <v/>
      </c>
      <c r="K956" s="21" t="str">
        <f aca="false">IF(AND(Eingabe!$F$13&gt;0,Eingabe!$E$13&gt;=140),"1. Gerät: 10."&amp;Eingabe!$D$13&amp;".140.10, 2. Gerät: .11","")</f>
        <v/>
      </c>
    </row>
    <row r="957" customFormat="false" ht="15" hidden="false" customHeight="false" outlineLevel="0" collapsed="false">
      <c r="A957" s="21" t="str">
        <f aca="false">IF(AND(Eingabe!$F$13&gt;0,Eingabe!$E$13&gt;=141),5,"")</f>
        <v/>
      </c>
      <c r="B957" s="21" t="str">
        <f aca="false">IF(AND(Eingabe!$F$13&gt;0,Eingabe!$E$13&gt;=141),Eingabe!$B$13,"")</f>
        <v/>
      </c>
      <c r="C957" s="21" t="str">
        <f aca="false">IF(AND(Eingabe!$F$13&gt;0,Eingabe!$E$13&gt;=141),Eingabe!$C$13&amp;"-Paz."&amp;TEXT(141,"000"),"")</f>
        <v/>
      </c>
      <c r="D957" s="21" t="str">
        <f aca="false">IF(AND(Eingabe!$F$13&gt;0,Eingabe!$E$13&gt;=141),141,"")</f>
        <v/>
      </c>
      <c r="E957" s="21" t="str">
        <f aca="false">IF(AND(Eingabe!$F$13&gt;0,Eingabe!$E$13&gt;=141),IF((Eingabe!$G$13+1)&lt;=9,1000+(Eingabe!$G$13+1)*100,3000)+41,"")</f>
        <v/>
      </c>
      <c r="F957" s="21" t="str">
        <f aca="false">IF(AND(Eingabe!$F$13&gt;0,Eingabe!$E$13&gt;=141),"10."&amp;Eingabe!$D$13&amp;".141.0/24","")</f>
        <v/>
      </c>
      <c r="G957" s="21" t="str">
        <f aca="false">IF(AND(Eingabe!$F$13&gt;0,Eingabe!$E$13&gt;=141),"10."&amp;Eingabe!$D$13&amp;".141.1","")</f>
        <v/>
      </c>
      <c r="H957" s="21" t="str">
        <f aca="false">IF(AND(Eingabe!$F$13&gt;0,Eingabe!$E$13&gt;=141),"10."&amp;Eingabe!$D$13&amp;".141.10 – 10."&amp;Eingabe!$D$13&amp;".141.250","")</f>
        <v/>
      </c>
      <c r="I957" s="21" t="str">
        <f aca="false">IF(AND(Eingabe!$F$13&gt;0,Eingabe!$E$13&gt;=141),Eingabe!$B$6&amp;"-"&amp;Eingabe!$C$13&amp;"-Pächter","")</f>
        <v/>
      </c>
      <c r="J957" s="21" t="str">
        <f aca="false">IF(AND(Eingabe!$F$13&gt;0,Eingabe!$E$13&gt;=141),"PPSK: Passwort Parzelle 141","")</f>
        <v/>
      </c>
      <c r="K957" s="21" t="str">
        <f aca="false">IF(AND(Eingabe!$F$13&gt;0,Eingabe!$E$13&gt;=141),"1. Gerät: 10."&amp;Eingabe!$D$13&amp;".141.10, 2. Gerät: .11","")</f>
        <v/>
      </c>
    </row>
    <row r="958" customFormat="false" ht="15" hidden="false" customHeight="false" outlineLevel="0" collapsed="false">
      <c r="A958" s="21" t="str">
        <f aca="false">IF(AND(Eingabe!$F$13&gt;0,Eingabe!$E$13&gt;=142),5,"")</f>
        <v/>
      </c>
      <c r="B958" s="21" t="str">
        <f aca="false">IF(AND(Eingabe!$F$13&gt;0,Eingabe!$E$13&gt;=142),Eingabe!$B$13,"")</f>
        <v/>
      </c>
      <c r="C958" s="21" t="str">
        <f aca="false">IF(AND(Eingabe!$F$13&gt;0,Eingabe!$E$13&gt;=142),Eingabe!$C$13&amp;"-Paz."&amp;TEXT(142,"000"),"")</f>
        <v/>
      </c>
      <c r="D958" s="21" t="str">
        <f aca="false">IF(AND(Eingabe!$F$13&gt;0,Eingabe!$E$13&gt;=142),142,"")</f>
        <v/>
      </c>
      <c r="E958" s="21" t="str">
        <f aca="false">IF(AND(Eingabe!$F$13&gt;0,Eingabe!$E$13&gt;=142),IF((Eingabe!$G$13+1)&lt;=9,1000+(Eingabe!$G$13+1)*100,3000)+42,"")</f>
        <v/>
      </c>
      <c r="F958" s="21" t="str">
        <f aca="false">IF(AND(Eingabe!$F$13&gt;0,Eingabe!$E$13&gt;=142),"10."&amp;Eingabe!$D$13&amp;".142.0/24","")</f>
        <v/>
      </c>
      <c r="G958" s="21" t="str">
        <f aca="false">IF(AND(Eingabe!$F$13&gt;0,Eingabe!$E$13&gt;=142),"10."&amp;Eingabe!$D$13&amp;".142.1","")</f>
        <v/>
      </c>
      <c r="H958" s="21" t="str">
        <f aca="false">IF(AND(Eingabe!$F$13&gt;0,Eingabe!$E$13&gt;=142),"10."&amp;Eingabe!$D$13&amp;".142.10 – 10."&amp;Eingabe!$D$13&amp;".142.250","")</f>
        <v/>
      </c>
      <c r="I958" s="21" t="str">
        <f aca="false">IF(AND(Eingabe!$F$13&gt;0,Eingabe!$E$13&gt;=142),Eingabe!$B$6&amp;"-"&amp;Eingabe!$C$13&amp;"-Pächter","")</f>
        <v/>
      </c>
      <c r="J958" s="21" t="str">
        <f aca="false">IF(AND(Eingabe!$F$13&gt;0,Eingabe!$E$13&gt;=142),"PPSK: Passwort Parzelle 142","")</f>
        <v/>
      </c>
      <c r="K958" s="21" t="str">
        <f aca="false">IF(AND(Eingabe!$F$13&gt;0,Eingabe!$E$13&gt;=142),"1. Gerät: 10."&amp;Eingabe!$D$13&amp;".142.10, 2. Gerät: .11","")</f>
        <v/>
      </c>
    </row>
    <row r="959" customFormat="false" ht="15" hidden="false" customHeight="false" outlineLevel="0" collapsed="false">
      <c r="A959" s="21" t="str">
        <f aca="false">IF(AND(Eingabe!$F$13&gt;0,Eingabe!$E$13&gt;=143),5,"")</f>
        <v/>
      </c>
      <c r="B959" s="21" t="str">
        <f aca="false">IF(AND(Eingabe!$F$13&gt;0,Eingabe!$E$13&gt;=143),Eingabe!$B$13,"")</f>
        <v/>
      </c>
      <c r="C959" s="21" t="str">
        <f aca="false">IF(AND(Eingabe!$F$13&gt;0,Eingabe!$E$13&gt;=143),Eingabe!$C$13&amp;"-Paz."&amp;TEXT(143,"000"),"")</f>
        <v/>
      </c>
      <c r="D959" s="21" t="str">
        <f aca="false">IF(AND(Eingabe!$F$13&gt;0,Eingabe!$E$13&gt;=143),143,"")</f>
        <v/>
      </c>
      <c r="E959" s="21" t="str">
        <f aca="false">IF(AND(Eingabe!$F$13&gt;0,Eingabe!$E$13&gt;=143),IF((Eingabe!$G$13+1)&lt;=9,1000+(Eingabe!$G$13+1)*100,3000)+43,"")</f>
        <v/>
      </c>
      <c r="F959" s="21" t="str">
        <f aca="false">IF(AND(Eingabe!$F$13&gt;0,Eingabe!$E$13&gt;=143),"10."&amp;Eingabe!$D$13&amp;".143.0/24","")</f>
        <v/>
      </c>
      <c r="G959" s="21" t="str">
        <f aca="false">IF(AND(Eingabe!$F$13&gt;0,Eingabe!$E$13&gt;=143),"10."&amp;Eingabe!$D$13&amp;".143.1","")</f>
        <v/>
      </c>
      <c r="H959" s="21" t="str">
        <f aca="false">IF(AND(Eingabe!$F$13&gt;0,Eingabe!$E$13&gt;=143),"10."&amp;Eingabe!$D$13&amp;".143.10 – 10."&amp;Eingabe!$D$13&amp;".143.250","")</f>
        <v/>
      </c>
      <c r="I959" s="21" t="str">
        <f aca="false">IF(AND(Eingabe!$F$13&gt;0,Eingabe!$E$13&gt;=143),Eingabe!$B$6&amp;"-"&amp;Eingabe!$C$13&amp;"-Pächter","")</f>
        <v/>
      </c>
      <c r="J959" s="21" t="str">
        <f aca="false">IF(AND(Eingabe!$F$13&gt;0,Eingabe!$E$13&gt;=143),"PPSK: Passwort Parzelle 143","")</f>
        <v/>
      </c>
      <c r="K959" s="21" t="str">
        <f aca="false">IF(AND(Eingabe!$F$13&gt;0,Eingabe!$E$13&gt;=143),"1. Gerät: 10."&amp;Eingabe!$D$13&amp;".143.10, 2. Gerät: .11","")</f>
        <v/>
      </c>
    </row>
    <row r="960" customFormat="false" ht="15" hidden="false" customHeight="false" outlineLevel="0" collapsed="false">
      <c r="A960" s="21" t="str">
        <f aca="false">IF(AND(Eingabe!$F$13&gt;0,Eingabe!$E$13&gt;=144),5,"")</f>
        <v/>
      </c>
      <c r="B960" s="21" t="str">
        <f aca="false">IF(AND(Eingabe!$F$13&gt;0,Eingabe!$E$13&gt;=144),Eingabe!$B$13,"")</f>
        <v/>
      </c>
      <c r="C960" s="21" t="str">
        <f aca="false">IF(AND(Eingabe!$F$13&gt;0,Eingabe!$E$13&gt;=144),Eingabe!$C$13&amp;"-Paz."&amp;TEXT(144,"000"),"")</f>
        <v/>
      </c>
      <c r="D960" s="21" t="str">
        <f aca="false">IF(AND(Eingabe!$F$13&gt;0,Eingabe!$E$13&gt;=144),144,"")</f>
        <v/>
      </c>
      <c r="E960" s="21" t="str">
        <f aca="false">IF(AND(Eingabe!$F$13&gt;0,Eingabe!$E$13&gt;=144),IF((Eingabe!$G$13+1)&lt;=9,1000+(Eingabe!$G$13+1)*100,3000)+44,"")</f>
        <v/>
      </c>
      <c r="F960" s="21" t="str">
        <f aca="false">IF(AND(Eingabe!$F$13&gt;0,Eingabe!$E$13&gt;=144),"10."&amp;Eingabe!$D$13&amp;".144.0/24","")</f>
        <v/>
      </c>
      <c r="G960" s="21" t="str">
        <f aca="false">IF(AND(Eingabe!$F$13&gt;0,Eingabe!$E$13&gt;=144),"10."&amp;Eingabe!$D$13&amp;".144.1","")</f>
        <v/>
      </c>
      <c r="H960" s="21" t="str">
        <f aca="false">IF(AND(Eingabe!$F$13&gt;0,Eingabe!$E$13&gt;=144),"10."&amp;Eingabe!$D$13&amp;".144.10 – 10."&amp;Eingabe!$D$13&amp;".144.250","")</f>
        <v/>
      </c>
      <c r="I960" s="21" t="str">
        <f aca="false">IF(AND(Eingabe!$F$13&gt;0,Eingabe!$E$13&gt;=144),Eingabe!$B$6&amp;"-"&amp;Eingabe!$C$13&amp;"-Pächter","")</f>
        <v/>
      </c>
      <c r="J960" s="21" t="str">
        <f aca="false">IF(AND(Eingabe!$F$13&gt;0,Eingabe!$E$13&gt;=144),"PPSK: Passwort Parzelle 144","")</f>
        <v/>
      </c>
      <c r="K960" s="21" t="str">
        <f aca="false">IF(AND(Eingabe!$F$13&gt;0,Eingabe!$E$13&gt;=144),"1. Gerät: 10."&amp;Eingabe!$D$13&amp;".144.10, 2. Gerät: .11","")</f>
        <v/>
      </c>
    </row>
    <row r="961" customFormat="false" ht="15" hidden="false" customHeight="false" outlineLevel="0" collapsed="false">
      <c r="A961" s="21" t="str">
        <f aca="false">IF(AND(Eingabe!$F$13&gt;0,Eingabe!$E$13&gt;=145),5,"")</f>
        <v/>
      </c>
      <c r="B961" s="21" t="str">
        <f aca="false">IF(AND(Eingabe!$F$13&gt;0,Eingabe!$E$13&gt;=145),Eingabe!$B$13,"")</f>
        <v/>
      </c>
      <c r="C961" s="21" t="str">
        <f aca="false">IF(AND(Eingabe!$F$13&gt;0,Eingabe!$E$13&gt;=145),Eingabe!$C$13&amp;"-Paz."&amp;TEXT(145,"000"),"")</f>
        <v/>
      </c>
      <c r="D961" s="21" t="str">
        <f aca="false">IF(AND(Eingabe!$F$13&gt;0,Eingabe!$E$13&gt;=145),145,"")</f>
        <v/>
      </c>
      <c r="E961" s="21" t="str">
        <f aca="false">IF(AND(Eingabe!$F$13&gt;0,Eingabe!$E$13&gt;=145),IF((Eingabe!$G$13+1)&lt;=9,1000+(Eingabe!$G$13+1)*100,3000)+45,"")</f>
        <v/>
      </c>
      <c r="F961" s="21" t="str">
        <f aca="false">IF(AND(Eingabe!$F$13&gt;0,Eingabe!$E$13&gt;=145),"10."&amp;Eingabe!$D$13&amp;".145.0/24","")</f>
        <v/>
      </c>
      <c r="G961" s="21" t="str">
        <f aca="false">IF(AND(Eingabe!$F$13&gt;0,Eingabe!$E$13&gt;=145),"10."&amp;Eingabe!$D$13&amp;".145.1","")</f>
        <v/>
      </c>
      <c r="H961" s="21" t="str">
        <f aca="false">IF(AND(Eingabe!$F$13&gt;0,Eingabe!$E$13&gt;=145),"10."&amp;Eingabe!$D$13&amp;".145.10 – 10."&amp;Eingabe!$D$13&amp;".145.250","")</f>
        <v/>
      </c>
      <c r="I961" s="21" t="str">
        <f aca="false">IF(AND(Eingabe!$F$13&gt;0,Eingabe!$E$13&gt;=145),Eingabe!$B$6&amp;"-"&amp;Eingabe!$C$13&amp;"-Pächter","")</f>
        <v/>
      </c>
      <c r="J961" s="21" t="str">
        <f aca="false">IF(AND(Eingabe!$F$13&gt;0,Eingabe!$E$13&gt;=145),"PPSK: Passwort Parzelle 145","")</f>
        <v/>
      </c>
      <c r="K961" s="21" t="str">
        <f aca="false">IF(AND(Eingabe!$F$13&gt;0,Eingabe!$E$13&gt;=145),"1. Gerät: 10."&amp;Eingabe!$D$13&amp;".145.10, 2. Gerät: .11","")</f>
        <v/>
      </c>
    </row>
    <row r="962" customFormat="false" ht="15" hidden="false" customHeight="false" outlineLevel="0" collapsed="false">
      <c r="A962" s="21" t="str">
        <f aca="false">IF(AND(Eingabe!$F$13&gt;0,Eingabe!$E$13&gt;=146),5,"")</f>
        <v/>
      </c>
      <c r="B962" s="21" t="str">
        <f aca="false">IF(AND(Eingabe!$F$13&gt;0,Eingabe!$E$13&gt;=146),Eingabe!$B$13,"")</f>
        <v/>
      </c>
      <c r="C962" s="21" t="str">
        <f aca="false">IF(AND(Eingabe!$F$13&gt;0,Eingabe!$E$13&gt;=146),Eingabe!$C$13&amp;"-Paz."&amp;TEXT(146,"000"),"")</f>
        <v/>
      </c>
      <c r="D962" s="21" t="str">
        <f aca="false">IF(AND(Eingabe!$F$13&gt;0,Eingabe!$E$13&gt;=146),146,"")</f>
        <v/>
      </c>
      <c r="E962" s="21" t="str">
        <f aca="false">IF(AND(Eingabe!$F$13&gt;0,Eingabe!$E$13&gt;=146),IF((Eingabe!$G$13+1)&lt;=9,1000+(Eingabe!$G$13+1)*100,3000)+46,"")</f>
        <v/>
      </c>
      <c r="F962" s="21" t="str">
        <f aca="false">IF(AND(Eingabe!$F$13&gt;0,Eingabe!$E$13&gt;=146),"10."&amp;Eingabe!$D$13&amp;".146.0/24","")</f>
        <v/>
      </c>
      <c r="G962" s="21" t="str">
        <f aca="false">IF(AND(Eingabe!$F$13&gt;0,Eingabe!$E$13&gt;=146),"10."&amp;Eingabe!$D$13&amp;".146.1","")</f>
        <v/>
      </c>
      <c r="H962" s="21" t="str">
        <f aca="false">IF(AND(Eingabe!$F$13&gt;0,Eingabe!$E$13&gt;=146),"10."&amp;Eingabe!$D$13&amp;".146.10 – 10."&amp;Eingabe!$D$13&amp;".146.250","")</f>
        <v/>
      </c>
      <c r="I962" s="21" t="str">
        <f aca="false">IF(AND(Eingabe!$F$13&gt;0,Eingabe!$E$13&gt;=146),Eingabe!$B$6&amp;"-"&amp;Eingabe!$C$13&amp;"-Pächter","")</f>
        <v/>
      </c>
      <c r="J962" s="21" t="str">
        <f aca="false">IF(AND(Eingabe!$F$13&gt;0,Eingabe!$E$13&gt;=146),"PPSK: Passwort Parzelle 146","")</f>
        <v/>
      </c>
      <c r="K962" s="21" t="str">
        <f aca="false">IF(AND(Eingabe!$F$13&gt;0,Eingabe!$E$13&gt;=146),"1. Gerät: 10."&amp;Eingabe!$D$13&amp;".146.10, 2. Gerät: .11","")</f>
        <v/>
      </c>
    </row>
    <row r="963" customFormat="false" ht="15" hidden="false" customHeight="false" outlineLevel="0" collapsed="false">
      <c r="A963" s="21" t="str">
        <f aca="false">IF(AND(Eingabe!$F$13&gt;0,Eingabe!$E$13&gt;=147),5,"")</f>
        <v/>
      </c>
      <c r="B963" s="21" t="str">
        <f aca="false">IF(AND(Eingabe!$F$13&gt;0,Eingabe!$E$13&gt;=147),Eingabe!$B$13,"")</f>
        <v/>
      </c>
      <c r="C963" s="21" t="str">
        <f aca="false">IF(AND(Eingabe!$F$13&gt;0,Eingabe!$E$13&gt;=147),Eingabe!$C$13&amp;"-Paz."&amp;TEXT(147,"000"),"")</f>
        <v/>
      </c>
      <c r="D963" s="21" t="str">
        <f aca="false">IF(AND(Eingabe!$F$13&gt;0,Eingabe!$E$13&gt;=147),147,"")</f>
        <v/>
      </c>
      <c r="E963" s="21" t="str">
        <f aca="false">IF(AND(Eingabe!$F$13&gt;0,Eingabe!$E$13&gt;=147),IF((Eingabe!$G$13+1)&lt;=9,1000+(Eingabe!$G$13+1)*100,3000)+47,"")</f>
        <v/>
      </c>
      <c r="F963" s="21" t="str">
        <f aca="false">IF(AND(Eingabe!$F$13&gt;0,Eingabe!$E$13&gt;=147),"10."&amp;Eingabe!$D$13&amp;".147.0/24","")</f>
        <v/>
      </c>
      <c r="G963" s="21" t="str">
        <f aca="false">IF(AND(Eingabe!$F$13&gt;0,Eingabe!$E$13&gt;=147),"10."&amp;Eingabe!$D$13&amp;".147.1","")</f>
        <v/>
      </c>
      <c r="H963" s="21" t="str">
        <f aca="false">IF(AND(Eingabe!$F$13&gt;0,Eingabe!$E$13&gt;=147),"10."&amp;Eingabe!$D$13&amp;".147.10 – 10."&amp;Eingabe!$D$13&amp;".147.250","")</f>
        <v/>
      </c>
      <c r="I963" s="21" t="str">
        <f aca="false">IF(AND(Eingabe!$F$13&gt;0,Eingabe!$E$13&gt;=147),Eingabe!$B$6&amp;"-"&amp;Eingabe!$C$13&amp;"-Pächter","")</f>
        <v/>
      </c>
      <c r="J963" s="21" t="str">
        <f aca="false">IF(AND(Eingabe!$F$13&gt;0,Eingabe!$E$13&gt;=147),"PPSK: Passwort Parzelle 147","")</f>
        <v/>
      </c>
      <c r="K963" s="21" t="str">
        <f aca="false">IF(AND(Eingabe!$F$13&gt;0,Eingabe!$E$13&gt;=147),"1. Gerät: 10."&amp;Eingabe!$D$13&amp;".147.10, 2. Gerät: .11","")</f>
        <v/>
      </c>
    </row>
    <row r="964" customFormat="false" ht="15" hidden="false" customHeight="false" outlineLevel="0" collapsed="false">
      <c r="A964" s="21" t="str">
        <f aca="false">IF(AND(Eingabe!$F$13&gt;0,Eingabe!$E$13&gt;=148),5,"")</f>
        <v/>
      </c>
      <c r="B964" s="21" t="str">
        <f aca="false">IF(AND(Eingabe!$F$13&gt;0,Eingabe!$E$13&gt;=148),Eingabe!$B$13,"")</f>
        <v/>
      </c>
      <c r="C964" s="21" t="str">
        <f aca="false">IF(AND(Eingabe!$F$13&gt;0,Eingabe!$E$13&gt;=148),Eingabe!$C$13&amp;"-Paz."&amp;TEXT(148,"000"),"")</f>
        <v/>
      </c>
      <c r="D964" s="21" t="str">
        <f aca="false">IF(AND(Eingabe!$F$13&gt;0,Eingabe!$E$13&gt;=148),148,"")</f>
        <v/>
      </c>
      <c r="E964" s="21" t="str">
        <f aca="false">IF(AND(Eingabe!$F$13&gt;0,Eingabe!$E$13&gt;=148),IF((Eingabe!$G$13+1)&lt;=9,1000+(Eingabe!$G$13+1)*100,3000)+48,"")</f>
        <v/>
      </c>
      <c r="F964" s="21" t="str">
        <f aca="false">IF(AND(Eingabe!$F$13&gt;0,Eingabe!$E$13&gt;=148),"10."&amp;Eingabe!$D$13&amp;".148.0/24","")</f>
        <v/>
      </c>
      <c r="G964" s="21" t="str">
        <f aca="false">IF(AND(Eingabe!$F$13&gt;0,Eingabe!$E$13&gt;=148),"10."&amp;Eingabe!$D$13&amp;".148.1","")</f>
        <v/>
      </c>
      <c r="H964" s="21" t="str">
        <f aca="false">IF(AND(Eingabe!$F$13&gt;0,Eingabe!$E$13&gt;=148),"10."&amp;Eingabe!$D$13&amp;".148.10 – 10."&amp;Eingabe!$D$13&amp;".148.250","")</f>
        <v/>
      </c>
      <c r="I964" s="21" t="str">
        <f aca="false">IF(AND(Eingabe!$F$13&gt;0,Eingabe!$E$13&gt;=148),Eingabe!$B$6&amp;"-"&amp;Eingabe!$C$13&amp;"-Pächter","")</f>
        <v/>
      </c>
      <c r="J964" s="21" t="str">
        <f aca="false">IF(AND(Eingabe!$F$13&gt;0,Eingabe!$E$13&gt;=148),"PPSK: Passwort Parzelle 148","")</f>
        <v/>
      </c>
      <c r="K964" s="21" t="str">
        <f aca="false">IF(AND(Eingabe!$F$13&gt;0,Eingabe!$E$13&gt;=148),"1. Gerät: 10."&amp;Eingabe!$D$13&amp;".148.10, 2. Gerät: .11","")</f>
        <v/>
      </c>
    </row>
    <row r="965" customFormat="false" ht="15" hidden="false" customHeight="false" outlineLevel="0" collapsed="false">
      <c r="A965" s="21" t="str">
        <f aca="false">IF(AND(Eingabe!$F$13&gt;0,Eingabe!$E$13&gt;=149),5,"")</f>
        <v/>
      </c>
      <c r="B965" s="21" t="str">
        <f aca="false">IF(AND(Eingabe!$F$13&gt;0,Eingabe!$E$13&gt;=149),Eingabe!$B$13,"")</f>
        <v/>
      </c>
      <c r="C965" s="21" t="str">
        <f aca="false">IF(AND(Eingabe!$F$13&gt;0,Eingabe!$E$13&gt;=149),Eingabe!$C$13&amp;"-Paz."&amp;TEXT(149,"000"),"")</f>
        <v/>
      </c>
      <c r="D965" s="21" t="str">
        <f aca="false">IF(AND(Eingabe!$F$13&gt;0,Eingabe!$E$13&gt;=149),149,"")</f>
        <v/>
      </c>
      <c r="E965" s="21" t="str">
        <f aca="false">IF(AND(Eingabe!$F$13&gt;0,Eingabe!$E$13&gt;=149),IF((Eingabe!$G$13+1)&lt;=9,1000+(Eingabe!$G$13+1)*100,3000)+49,"")</f>
        <v/>
      </c>
      <c r="F965" s="21" t="str">
        <f aca="false">IF(AND(Eingabe!$F$13&gt;0,Eingabe!$E$13&gt;=149),"10."&amp;Eingabe!$D$13&amp;".149.0/24","")</f>
        <v/>
      </c>
      <c r="G965" s="21" t="str">
        <f aca="false">IF(AND(Eingabe!$F$13&gt;0,Eingabe!$E$13&gt;=149),"10."&amp;Eingabe!$D$13&amp;".149.1","")</f>
        <v/>
      </c>
      <c r="H965" s="21" t="str">
        <f aca="false">IF(AND(Eingabe!$F$13&gt;0,Eingabe!$E$13&gt;=149),"10."&amp;Eingabe!$D$13&amp;".149.10 – 10."&amp;Eingabe!$D$13&amp;".149.250","")</f>
        <v/>
      </c>
      <c r="I965" s="21" t="str">
        <f aca="false">IF(AND(Eingabe!$F$13&gt;0,Eingabe!$E$13&gt;=149),Eingabe!$B$6&amp;"-"&amp;Eingabe!$C$13&amp;"-Pächter","")</f>
        <v/>
      </c>
      <c r="J965" s="21" t="str">
        <f aca="false">IF(AND(Eingabe!$F$13&gt;0,Eingabe!$E$13&gt;=149),"PPSK: Passwort Parzelle 149","")</f>
        <v/>
      </c>
      <c r="K965" s="21" t="str">
        <f aca="false">IF(AND(Eingabe!$F$13&gt;0,Eingabe!$E$13&gt;=149),"1. Gerät: 10."&amp;Eingabe!$D$13&amp;".149.10, 2. Gerät: .11","")</f>
        <v/>
      </c>
    </row>
    <row r="966" customFormat="false" ht="15" hidden="false" customHeight="false" outlineLevel="0" collapsed="false">
      <c r="A966" s="21" t="str">
        <f aca="false">IF(AND(Eingabe!$F$13&gt;0,Eingabe!$E$13&gt;=150),5,"")</f>
        <v/>
      </c>
      <c r="B966" s="21" t="str">
        <f aca="false">IF(AND(Eingabe!$F$13&gt;0,Eingabe!$E$13&gt;=150),Eingabe!$B$13,"")</f>
        <v/>
      </c>
      <c r="C966" s="21" t="str">
        <f aca="false">IF(AND(Eingabe!$F$13&gt;0,Eingabe!$E$13&gt;=150),Eingabe!$C$13&amp;"-Paz."&amp;TEXT(150,"000"),"")</f>
        <v/>
      </c>
      <c r="D966" s="21" t="str">
        <f aca="false">IF(AND(Eingabe!$F$13&gt;0,Eingabe!$E$13&gt;=150),150,"")</f>
        <v/>
      </c>
      <c r="E966" s="21" t="str">
        <f aca="false">IF(AND(Eingabe!$F$13&gt;0,Eingabe!$E$13&gt;=150),IF((Eingabe!$G$13+1)&lt;=9,1000+(Eingabe!$G$13+1)*100,3000)+50,"")</f>
        <v/>
      </c>
      <c r="F966" s="21" t="str">
        <f aca="false">IF(AND(Eingabe!$F$13&gt;0,Eingabe!$E$13&gt;=150),"10."&amp;Eingabe!$D$13&amp;".150.0/24","")</f>
        <v/>
      </c>
      <c r="G966" s="21" t="str">
        <f aca="false">IF(AND(Eingabe!$F$13&gt;0,Eingabe!$E$13&gt;=150),"10."&amp;Eingabe!$D$13&amp;".150.1","")</f>
        <v/>
      </c>
      <c r="H966" s="21" t="str">
        <f aca="false">IF(AND(Eingabe!$F$13&gt;0,Eingabe!$E$13&gt;=150),"10."&amp;Eingabe!$D$13&amp;".150.10 – 10."&amp;Eingabe!$D$13&amp;".150.250","")</f>
        <v/>
      </c>
      <c r="I966" s="21" t="str">
        <f aca="false">IF(AND(Eingabe!$F$13&gt;0,Eingabe!$E$13&gt;=150),Eingabe!$B$6&amp;"-"&amp;Eingabe!$C$13&amp;"-Pächter","")</f>
        <v/>
      </c>
      <c r="J966" s="21" t="str">
        <f aca="false">IF(AND(Eingabe!$F$13&gt;0,Eingabe!$E$13&gt;=150),"PPSK: Passwort Parzelle 150","")</f>
        <v/>
      </c>
      <c r="K966" s="21" t="str">
        <f aca="false">IF(AND(Eingabe!$F$13&gt;0,Eingabe!$E$13&gt;=150),"1. Gerät: 10."&amp;Eingabe!$D$13&amp;".150.10, 2. Gerät: .11","")</f>
        <v/>
      </c>
    </row>
    <row r="967" customFormat="false" ht="15" hidden="false" customHeight="false" outlineLevel="0" collapsed="false">
      <c r="A967" s="21" t="str">
        <f aca="false">IF(AND(Eingabe!$F$13&gt;0,Eingabe!$E$13&gt;=151),5,"")</f>
        <v/>
      </c>
      <c r="B967" s="21" t="str">
        <f aca="false">IF(AND(Eingabe!$F$13&gt;0,Eingabe!$E$13&gt;=151),Eingabe!$B$13,"")</f>
        <v/>
      </c>
      <c r="C967" s="21" t="str">
        <f aca="false">IF(AND(Eingabe!$F$13&gt;0,Eingabe!$E$13&gt;=151),Eingabe!$C$13&amp;"-Paz."&amp;TEXT(151,"000"),"")</f>
        <v/>
      </c>
      <c r="D967" s="21" t="str">
        <f aca="false">IF(AND(Eingabe!$F$13&gt;0,Eingabe!$E$13&gt;=151),151,"")</f>
        <v/>
      </c>
      <c r="E967" s="21" t="str">
        <f aca="false">IF(AND(Eingabe!$F$13&gt;0,Eingabe!$E$13&gt;=151),IF((Eingabe!$G$13+1)&lt;=9,1000+(Eingabe!$G$13+1)*100,3000)+51,"")</f>
        <v/>
      </c>
      <c r="F967" s="21" t="str">
        <f aca="false">IF(AND(Eingabe!$F$13&gt;0,Eingabe!$E$13&gt;=151),"10."&amp;Eingabe!$D$13&amp;".151.0/24","")</f>
        <v/>
      </c>
      <c r="G967" s="21" t="str">
        <f aca="false">IF(AND(Eingabe!$F$13&gt;0,Eingabe!$E$13&gt;=151),"10."&amp;Eingabe!$D$13&amp;".151.1","")</f>
        <v/>
      </c>
      <c r="H967" s="21" t="str">
        <f aca="false">IF(AND(Eingabe!$F$13&gt;0,Eingabe!$E$13&gt;=151),"10."&amp;Eingabe!$D$13&amp;".151.10 – 10."&amp;Eingabe!$D$13&amp;".151.250","")</f>
        <v/>
      </c>
      <c r="I967" s="21" t="str">
        <f aca="false">IF(AND(Eingabe!$F$13&gt;0,Eingabe!$E$13&gt;=151),Eingabe!$B$6&amp;"-"&amp;Eingabe!$C$13&amp;"-Pächter","")</f>
        <v/>
      </c>
      <c r="J967" s="21" t="str">
        <f aca="false">IF(AND(Eingabe!$F$13&gt;0,Eingabe!$E$13&gt;=151),"PPSK: Passwort Parzelle 151","")</f>
        <v/>
      </c>
      <c r="K967" s="21" t="str">
        <f aca="false">IF(AND(Eingabe!$F$13&gt;0,Eingabe!$E$13&gt;=151),"1. Gerät: 10."&amp;Eingabe!$D$13&amp;".151.10, 2. Gerät: .11","")</f>
        <v/>
      </c>
    </row>
    <row r="968" customFormat="false" ht="15" hidden="false" customHeight="false" outlineLevel="0" collapsed="false">
      <c r="A968" s="21" t="str">
        <f aca="false">IF(AND(Eingabe!$F$13&gt;0,Eingabe!$E$13&gt;=152),5,"")</f>
        <v/>
      </c>
      <c r="B968" s="21" t="str">
        <f aca="false">IF(AND(Eingabe!$F$13&gt;0,Eingabe!$E$13&gt;=152),Eingabe!$B$13,"")</f>
        <v/>
      </c>
      <c r="C968" s="21" t="str">
        <f aca="false">IF(AND(Eingabe!$F$13&gt;0,Eingabe!$E$13&gt;=152),Eingabe!$C$13&amp;"-Paz."&amp;TEXT(152,"000"),"")</f>
        <v/>
      </c>
      <c r="D968" s="21" t="str">
        <f aca="false">IF(AND(Eingabe!$F$13&gt;0,Eingabe!$E$13&gt;=152),152,"")</f>
        <v/>
      </c>
      <c r="E968" s="21" t="str">
        <f aca="false">IF(AND(Eingabe!$F$13&gt;0,Eingabe!$E$13&gt;=152),IF((Eingabe!$G$13+1)&lt;=9,1000+(Eingabe!$G$13+1)*100,3000)+52,"")</f>
        <v/>
      </c>
      <c r="F968" s="21" t="str">
        <f aca="false">IF(AND(Eingabe!$F$13&gt;0,Eingabe!$E$13&gt;=152),"10."&amp;Eingabe!$D$13&amp;".152.0/24","")</f>
        <v/>
      </c>
      <c r="G968" s="21" t="str">
        <f aca="false">IF(AND(Eingabe!$F$13&gt;0,Eingabe!$E$13&gt;=152),"10."&amp;Eingabe!$D$13&amp;".152.1","")</f>
        <v/>
      </c>
      <c r="H968" s="21" t="str">
        <f aca="false">IF(AND(Eingabe!$F$13&gt;0,Eingabe!$E$13&gt;=152),"10."&amp;Eingabe!$D$13&amp;".152.10 – 10."&amp;Eingabe!$D$13&amp;".152.250","")</f>
        <v/>
      </c>
      <c r="I968" s="21" t="str">
        <f aca="false">IF(AND(Eingabe!$F$13&gt;0,Eingabe!$E$13&gt;=152),Eingabe!$B$6&amp;"-"&amp;Eingabe!$C$13&amp;"-Pächter","")</f>
        <v/>
      </c>
      <c r="J968" s="21" t="str">
        <f aca="false">IF(AND(Eingabe!$F$13&gt;0,Eingabe!$E$13&gt;=152),"PPSK: Passwort Parzelle 152","")</f>
        <v/>
      </c>
      <c r="K968" s="21" t="str">
        <f aca="false">IF(AND(Eingabe!$F$13&gt;0,Eingabe!$E$13&gt;=152),"1. Gerät: 10."&amp;Eingabe!$D$13&amp;".152.10, 2. Gerät: .11","")</f>
        <v/>
      </c>
    </row>
    <row r="969" customFormat="false" ht="15" hidden="false" customHeight="false" outlineLevel="0" collapsed="false">
      <c r="A969" s="21" t="str">
        <f aca="false">IF(AND(Eingabe!$F$13&gt;0,Eingabe!$E$13&gt;=153),5,"")</f>
        <v/>
      </c>
      <c r="B969" s="21" t="str">
        <f aca="false">IF(AND(Eingabe!$F$13&gt;0,Eingabe!$E$13&gt;=153),Eingabe!$B$13,"")</f>
        <v/>
      </c>
      <c r="C969" s="21" t="str">
        <f aca="false">IF(AND(Eingabe!$F$13&gt;0,Eingabe!$E$13&gt;=153),Eingabe!$C$13&amp;"-Paz."&amp;TEXT(153,"000"),"")</f>
        <v/>
      </c>
      <c r="D969" s="21" t="str">
        <f aca="false">IF(AND(Eingabe!$F$13&gt;0,Eingabe!$E$13&gt;=153),153,"")</f>
        <v/>
      </c>
      <c r="E969" s="21" t="str">
        <f aca="false">IF(AND(Eingabe!$F$13&gt;0,Eingabe!$E$13&gt;=153),IF((Eingabe!$G$13+1)&lt;=9,1000+(Eingabe!$G$13+1)*100,3000)+53,"")</f>
        <v/>
      </c>
      <c r="F969" s="21" t="str">
        <f aca="false">IF(AND(Eingabe!$F$13&gt;0,Eingabe!$E$13&gt;=153),"10."&amp;Eingabe!$D$13&amp;".153.0/24","")</f>
        <v/>
      </c>
      <c r="G969" s="21" t="str">
        <f aca="false">IF(AND(Eingabe!$F$13&gt;0,Eingabe!$E$13&gt;=153),"10."&amp;Eingabe!$D$13&amp;".153.1","")</f>
        <v/>
      </c>
      <c r="H969" s="21" t="str">
        <f aca="false">IF(AND(Eingabe!$F$13&gt;0,Eingabe!$E$13&gt;=153),"10."&amp;Eingabe!$D$13&amp;".153.10 – 10."&amp;Eingabe!$D$13&amp;".153.250","")</f>
        <v/>
      </c>
      <c r="I969" s="21" t="str">
        <f aca="false">IF(AND(Eingabe!$F$13&gt;0,Eingabe!$E$13&gt;=153),Eingabe!$B$6&amp;"-"&amp;Eingabe!$C$13&amp;"-Pächter","")</f>
        <v/>
      </c>
      <c r="J969" s="21" t="str">
        <f aca="false">IF(AND(Eingabe!$F$13&gt;0,Eingabe!$E$13&gt;=153),"PPSK: Passwort Parzelle 153","")</f>
        <v/>
      </c>
      <c r="K969" s="21" t="str">
        <f aca="false">IF(AND(Eingabe!$F$13&gt;0,Eingabe!$E$13&gt;=153),"1. Gerät: 10."&amp;Eingabe!$D$13&amp;".153.10, 2. Gerät: .11","")</f>
        <v/>
      </c>
    </row>
    <row r="970" customFormat="false" ht="15" hidden="false" customHeight="false" outlineLevel="0" collapsed="false">
      <c r="A970" s="21" t="str">
        <f aca="false">IF(AND(Eingabe!$F$13&gt;0,Eingabe!$E$13&gt;=154),5,"")</f>
        <v/>
      </c>
      <c r="B970" s="21" t="str">
        <f aca="false">IF(AND(Eingabe!$F$13&gt;0,Eingabe!$E$13&gt;=154),Eingabe!$B$13,"")</f>
        <v/>
      </c>
      <c r="C970" s="21" t="str">
        <f aca="false">IF(AND(Eingabe!$F$13&gt;0,Eingabe!$E$13&gt;=154),Eingabe!$C$13&amp;"-Paz."&amp;TEXT(154,"000"),"")</f>
        <v/>
      </c>
      <c r="D970" s="21" t="str">
        <f aca="false">IF(AND(Eingabe!$F$13&gt;0,Eingabe!$E$13&gt;=154),154,"")</f>
        <v/>
      </c>
      <c r="E970" s="21" t="str">
        <f aca="false">IF(AND(Eingabe!$F$13&gt;0,Eingabe!$E$13&gt;=154),IF((Eingabe!$G$13+1)&lt;=9,1000+(Eingabe!$G$13+1)*100,3000)+54,"")</f>
        <v/>
      </c>
      <c r="F970" s="21" t="str">
        <f aca="false">IF(AND(Eingabe!$F$13&gt;0,Eingabe!$E$13&gt;=154),"10."&amp;Eingabe!$D$13&amp;".154.0/24","")</f>
        <v/>
      </c>
      <c r="G970" s="21" t="str">
        <f aca="false">IF(AND(Eingabe!$F$13&gt;0,Eingabe!$E$13&gt;=154),"10."&amp;Eingabe!$D$13&amp;".154.1","")</f>
        <v/>
      </c>
      <c r="H970" s="21" t="str">
        <f aca="false">IF(AND(Eingabe!$F$13&gt;0,Eingabe!$E$13&gt;=154),"10."&amp;Eingabe!$D$13&amp;".154.10 – 10."&amp;Eingabe!$D$13&amp;".154.250","")</f>
        <v/>
      </c>
      <c r="I970" s="21" t="str">
        <f aca="false">IF(AND(Eingabe!$F$13&gt;0,Eingabe!$E$13&gt;=154),Eingabe!$B$6&amp;"-"&amp;Eingabe!$C$13&amp;"-Pächter","")</f>
        <v/>
      </c>
      <c r="J970" s="21" t="str">
        <f aca="false">IF(AND(Eingabe!$F$13&gt;0,Eingabe!$E$13&gt;=154),"PPSK: Passwort Parzelle 154","")</f>
        <v/>
      </c>
      <c r="K970" s="21" t="str">
        <f aca="false">IF(AND(Eingabe!$F$13&gt;0,Eingabe!$E$13&gt;=154),"1. Gerät: 10."&amp;Eingabe!$D$13&amp;".154.10, 2. Gerät: .11","")</f>
        <v/>
      </c>
    </row>
    <row r="971" customFormat="false" ht="15" hidden="false" customHeight="false" outlineLevel="0" collapsed="false">
      <c r="A971" s="21" t="str">
        <f aca="false">IF(AND(Eingabe!$F$13&gt;0,Eingabe!$E$13&gt;=155),5,"")</f>
        <v/>
      </c>
      <c r="B971" s="21" t="str">
        <f aca="false">IF(AND(Eingabe!$F$13&gt;0,Eingabe!$E$13&gt;=155),Eingabe!$B$13,"")</f>
        <v/>
      </c>
      <c r="C971" s="21" t="str">
        <f aca="false">IF(AND(Eingabe!$F$13&gt;0,Eingabe!$E$13&gt;=155),Eingabe!$C$13&amp;"-Paz."&amp;TEXT(155,"000"),"")</f>
        <v/>
      </c>
      <c r="D971" s="21" t="str">
        <f aca="false">IF(AND(Eingabe!$F$13&gt;0,Eingabe!$E$13&gt;=155),155,"")</f>
        <v/>
      </c>
      <c r="E971" s="21" t="str">
        <f aca="false">IF(AND(Eingabe!$F$13&gt;0,Eingabe!$E$13&gt;=155),IF((Eingabe!$G$13+1)&lt;=9,1000+(Eingabe!$G$13+1)*100,3000)+55,"")</f>
        <v/>
      </c>
      <c r="F971" s="21" t="str">
        <f aca="false">IF(AND(Eingabe!$F$13&gt;0,Eingabe!$E$13&gt;=155),"10."&amp;Eingabe!$D$13&amp;".155.0/24","")</f>
        <v/>
      </c>
      <c r="G971" s="21" t="str">
        <f aca="false">IF(AND(Eingabe!$F$13&gt;0,Eingabe!$E$13&gt;=155),"10."&amp;Eingabe!$D$13&amp;".155.1","")</f>
        <v/>
      </c>
      <c r="H971" s="21" t="str">
        <f aca="false">IF(AND(Eingabe!$F$13&gt;0,Eingabe!$E$13&gt;=155),"10."&amp;Eingabe!$D$13&amp;".155.10 – 10."&amp;Eingabe!$D$13&amp;".155.250","")</f>
        <v/>
      </c>
      <c r="I971" s="21" t="str">
        <f aca="false">IF(AND(Eingabe!$F$13&gt;0,Eingabe!$E$13&gt;=155),Eingabe!$B$6&amp;"-"&amp;Eingabe!$C$13&amp;"-Pächter","")</f>
        <v/>
      </c>
      <c r="J971" s="21" t="str">
        <f aca="false">IF(AND(Eingabe!$F$13&gt;0,Eingabe!$E$13&gt;=155),"PPSK: Passwort Parzelle 155","")</f>
        <v/>
      </c>
      <c r="K971" s="21" t="str">
        <f aca="false">IF(AND(Eingabe!$F$13&gt;0,Eingabe!$E$13&gt;=155),"1. Gerät: 10."&amp;Eingabe!$D$13&amp;".155.10, 2. Gerät: .11","")</f>
        <v/>
      </c>
    </row>
    <row r="972" customFormat="false" ht="15" hidden="false" customHeight="false" outlineLevel="0" collapsed="false">
      <c r="A972" s="21" t="str">
        <f aca="false">IF(AND(Eingabe!$F$13&gt;0,Eingabe!$E$13&gt;=156),5,"")</f>
        <v/>
      </c>
      <c r="B972" s="21" t="str">
        <f aca="false">IF(AND(Eingabe!$F$13&gt;0,Eingabe!$E$13&gt;=156),Eingabe!$B$13,"")</f>
        <v/>
      </c>
      <c r="C972" s="21" t="str">
        <f aca="false">IF(AND(Eingabe!$F$13&gt;0,Eingabe!$E$13&gt;=156),Eingabe!$C$13&amp;"-Paz."&amp;TEXT(156,"000"),"")</f>
        <v/>
      </c>
      <c r="D972" s="21" t="str">
        <f aca="false">IF(AND(Eingabe!$F$13&gt;0,Eingabe!$E$13&gt;=156),156,"")</f>
        <v/>
      </c>
      <c r="E972" s="21" t="str">
        <f aca="false">IF(AND(Eingabe!$F$13&gt;0,Eingabe!$E$13&gt;=156),IF((Eingabe!$G$13+1)&lt;=9,1000+(Eingabe!$G$13+1)*100,3000)+56,"")</f>
        <v/>
      </c>
      <c r="F972" s="21" t="str">
        <f aca="false">IF(AND(Eingabe!$F$13&gt;0,Eingabe!$E$13&gt;=156),"10."&amp;Eingabe!$D$13&amp;".156.0/24","")</f>
        <v/>
      </c>
      <c r="G972" s="21" t="str">
        <f aca="false">IF(AND(Eingabe!$F$13&gt;0,Eingabe!$E$13&gt;=156),"10."&amp;Eingabe!$D$13&amp;".156.1","")</f>
        <v/>
      </c>
      <c r="H972" s="21" t="str">
        <f aca="false">IF(AND(Eingabe!$F$13&gt;0,Eingabe!$E$13&gt;=156),"10."&amp;Eingabe!$D$13&amp;".156.10 – 10."&amp;Eingabe!$D$13&amp;".156.250","")</f>
        <v/>
      </c>
      <c r="I972" s="21" t="str">
        <f aca="false">IF(AND(Eingabe!$F$13&gt;0,Eingabe!$E$13&gt;=156),Eingabe!$B$6&amp;"-"&amp;Eingabe!$C$13&amp;"-Pächter","")</f>
        <v/>
      </c>
      <c r="J972" s="21" t="str">
        <f aca="false">IF(AND(Eingabe!$F$13&gt;0,Eingabe!$E$13&gt;=156),"PPSK: Passwort Parzelle 156","")</f>
        <v/>
      </c>
      <c r="K972" s="21" t="str">
        <f aca="false">IF(AND(Eingabe!$F$13&gt;0,Eingabe!$E$13&gt;=156),"1. Gerät: 10."&amp;Eingabe!$D$13&amp;".156.10, 2. Gerät: .11","")</f>
        <v/>
      </c>
    </row>
    <row r="973" customFormat="false" ht="15" hidden="false" customHeight="false" outlineLevel="0" collapsed="false">
      <c r="A973" s="21" t="str">
        <f aca="false">IF(AND(Eingabe!$F$13&gt;0,Eingabe!$E$13&gt;=157),5,"")</f>
        <v/>
      </c>
      <c r="B973" s="21" t="str">
        <f aca="false">IF(AND(Eingabe!$F$13&gt;0,Eingabe!$E$13&gt;=157),Eingabe!$B$13,"")</f>
        <v/>
      </c>
      <c r="C973" s="21" t="str">
        <f aca="false">IF(AND(Eingabe!$F$13&gt;0,Eingabe!$E$13&gt;=157),Eingabe!$C$13&amp;"-Paz."&amp;TEXT(157,"000"),"")</f>
        <v/>
      </c>
      <c r="D973" s="21" t="str">
        <f aca="false">IF(AND(Eingabe!$F$13&gt;0,Eingabe!$E$13&gt;=157),157,"")</f>
        <v/>
      </c>
      <c r="E973" s="21" t="str">
        <f aca="false">IF(AND(Eingabe!$F$13&gt;0,Eingabe!$E$13&gt;=157),IF((Eingabe!$G$13+1)&lt;=9,1000+(Eingabe!$G$13+1)*100,3000)+57,"")</f>
        <v/>
      </c>
      <c r="F973" s="21" t="str">
        <f aca="false">IF(AND(Eingabe!$F$13&gt;0,Eingabe!$E$13&gt;=157),"10."&amp;Eingabe!$D$13&amp;".157.0/24","")</f>
        <v/>
      </c>
      <c r="G973" s="21" t="str">
        <f aca="false">IF(AND(Eingabe!$F$13&gt;0,Eingabe!$E$13&gt;=157),"10."&amp;Eingabe!$D$13&amp;".157.1","")</f>
        <v/>
      </c>
      <c r="H973" s="21" t="str">
        <f aca="false">IF(AND(Eingabe!$F$13&gt;0,Eingabe!$E$13&gt;=157),"10."&amp;Eingabe!$D$13&amp;".157.10 – 10."&amp;Eingabe!$D$13&amp;".157.250","")</f>
        <v/>
      </c>
      <c r="I973" s="21" t="str">
        <f aca="false">IF(AND(Eingabe!$F$13&gt;0,Eingabe!$E$13&gt;=157),Eingabe!$B$6&amp;"-"&amp;Eingabe!$C$13&amp;"-Pächter","")</f>
        <v/>
      </c>
      <c r="J973" s="21" t="str">
        <f aca="false">IF(AND(Eingabe!$F$13&gt;0,Eingabe!$E$13&gt;=157),"PPSK: Passwort Parzelle 157","")</f>
        <v/>
      </c>
      <c r="K973" s="21" t="str">
        <f aca="false">IF(AND(Eingabe!$F$13&gt;0,Eingabe!$E$13&gt;=157),"1. Gerät: 10."&amp;Eingabe!$D$13&amp;".157.10, 2. Gerät: .11","")</f>
        <v/>
      </c>
    </row>
    <row r="974" customFormat="false" ht="15" hidden="false" customHeight="false" outlineLevel="0" collapsed="false">
      <c r="A974" s="21" t="str">
        <f aca="false">IF(AND(Eingabe!$F$13&gt;0,Eingabe!$E$13&gt;=158),5,"")</f>
        <v/>
      </c>
      <c r="B974" s="21" t="str">
        <f aca="false">IF(AND(Eingabe!$F$13&gt;0,Eingabe!$E$13&gt;=158),Eingabe!$B$13,"")</f>
        <v/>
      </c>
      <c r="C974" s="21" t="str">
        <f aca="false">IF(AND(Eingabe!$F$13&gt;0,Eingabe!$E$13&gt;=158),Eingabe!$C$13&amp;"-Paz."&amp;TEXT(158,"000"),"")</f>
        <v/>
      </c>
      <c r="D974" s="21" t="str">
        <f aca="false">IF(AND(Eingabe!$F$13&gt;0,Eingabe!$E$13&gt;=158),158,"")</f>
        <v/>
      </c>
      <c r="E974" s="21" t="str">
        <f aca="false">IF(AND(Eingabe!$F$13&gt;0,Eingabe!$E$13&gt;=158),IF((Eingabe!$G$13+1)&lt;=9,1000+(Eingabe!$G$13+1)*100,3000)+58,"")</f>
        <v/>
      </c>
      <c r="F974" s="21" t="str">
        <f aca="false">IF(AND(Eingabe!$F$13&gt;0,Eingabe!$E$13&gt;=158),"10."&amp;Eingabe!$D$13&amp;".158.0/24","")</f>
        <v/>
      </c>
      <c r="G974" s="21" t="str">
        <f aca="false">IF(AND(Eingabe!$F$13&gt;0,Eingabe!$E$13&gt;=158),"10."&amp;Eingabe!$D$13&amp;".158.1","")</f>
        <v/>
      </c>
      <c r="H974" s="21" t="str">
        <f aca="false">IF(AND(Eingabe!$F$13&gt;0,Eingabe!$E$13&gt;=158),"10."&amp;Eingabe!$D$13&amp;".158.10 – 10."&amp;Eingabe!$D$13&amp;".158.250","")</f>
        <v/>
      </c>
      <c r="I974" s="21" t="str">
        <f aca="false">IF(AND(Eingabe!$F$13&gt;0,Eingabe!$E$13&gt;=158),Eingabe!$B$6&amp;"-"&amp;Eingabe!$C$13&amp;"-Pächter","")</f>
        <v/>
      </c>
      <c r="J974" s="21" t="str">
        <f aca="false">IF(AND(Eingabe!$F$13&gt;0,Eingabe!$E$13&gt;=158),"PPSK: Passwort Parzelle 158","")</f>
        <v/>
      </c>
      <c r="K974" s="21" t="str">
        <f aca="false">IF(AND(Eingabe!$F$13&gt;0,Eingabe!$E$13&gt;=158),"1. Gerät: 10."&amp;Eingabe!$D$13&amp;".158.10, 2. Gerät: .11","")</f>
        <v/>
      </c>
    </row>
    <row r="975" customFormat="false" ht="15" hidden="false" customHeight="false" outlineLevel="0" collapsed="false">
      <c r="A975" s="21" t="str">
        <f aca="false">IF(AND(Eingabe!$F$13&gt;0,Eingabe!$E$13&gt;=159),5,"")</f>
        <v/>
      </c>
      <c r="B975" s="21" t="str">
        <f aca="false">IF(AND(Eingabe!$F$13&gt;0,Eingabe!$E$13&gt;=159),Eingabe!$B$13,"")</f>
        <v/>
      </c>
      <c r="C975" s="21" t="str">
        <f aca="false">IF(AND(Eingabe!$F$13&gt;0,Eingabe!$E$13&gt;=159),Eingabe!$C$13&amp;"-Paz."&amp;TEXT(159,"000"),"")</f>
        <v/>
      </c>
      <c r="D975" s="21" t="str">
        <f aca="false">IF(AND(Eingabe!$F$13&gt;0,Eingabe!$E$13&gt;=159),159,"")</f>
        <v/>
      </c>
      <c r="E975" s="21" t="str">
        <f aca="false">IF(AND(Eingabe!$F$13&gt;0,Eingabe!$E$13&gt;=159),IF((Eingabe!$G$13+1)&lt;=9,1000+(Eingabe!$G$13+1)*100,3000)+59,"")</f>
        <v/>
      </c>
      <c r="F975" s="21" t="str">
        <f aca="false">IF(AND(Eingabe!$F$13&gt;0,Eingabe!$E$13&gt;=159),"10."&amp;Eingabe!$D$13&amp;".159.0/24","")</f>
        <v/>
      </c>
      <c r="G975" s="21" t="str">
        <f aca="false">IF(AND(Eingabe!$F$13&gt;0,Eingabe!$E$13&gt;=159),"10."&amp;Eingabe!$D$13&amp;".159.1","")</f>
        <v/>
      </c>
      <c r="H975" s="21" t="str">
        <f aca="false">IF(AND(Eingabe!$F$13&gt;0,Eingabe!$E$13&gt;=159),"10."&amp;Eingabe!$D$13&amp;".159.10 – 10."&amp;Eingabe!$D$13&amp;".159.250","")</f>
        <v/>
      </c>
      <c r="I975" s="21" t="str">
        <f aca="false">IF(AND(Eingabe!$F$13&gt;0,Eingabe!$E$13&gt;=159),Eingabe!$B$6&amp;"-"&amp;Eingabe!$C$13&amp;"-Pächter","")</f>
        <v/>
      </c>
      <c r="J975" s="21" t="str">
        <f aca="false">IF(AND(Eingabe!$F$13&gt;0,Eingabe!$E$13&gt;=159),"PPSK: Passwort Parzelle 159","")</f>
        <v/>
      </c>
      <c r="K975" s="21" t="str">
        <f aca="false">IF(AND(Eingabe!$F$13&gt;0,Eingabe!$E$13&gt;=159),"1. Gerät: 10."&amp;Eingabe!$D$13&amp;".159.10, 2. Gerät: .11","")</f>
        <v/>
      </c>
    </row>
    <row r="976" customFormat="false" ht="15" hidden="false" customHeight="false" outlineLevel="0" collapsed="false">
      <c r="A976" s="21" t="str">
        <f aca="false">IF(AND(Eingabe!$F$13&gt;0,Eingabe!$E$13&gt;=160),5,"")</f>
        <v/>
      </c>
      <c r="B976" s="21" t="str">
        <f aca="false">IF(AND(Eingabe!$F$13&gt;0,Eingabe!$E$13&gt;=160),Eingabe!$B$13,"")</f>
        <v/>
      </c>
      <c r="C976" s="21" t="str">
        <f aca="false">IF(AND(Eingabe!$F$13&gt;0,Eingabe!$E$13&gt;=160),Eingabe!$C$13&amp;"-Paz."&amp;TEXT(160,"000"),"")</f>
        <v/>
      </c>
      <c r="D976" s="21" t="str">
        <f aca="false">IF(AND(Eingabe!$F$13&gt;0,Eingabe!$E$13&gt;=160),160,"")</f>
        <v/>
      </c>
      <c r="E976" s="21" t="str">
        <f aca="false">IF(AND(Eingabe!$F$13&gt;0,Eingabe!$E$13&gt;=160),IF((Eingabe!$G$13+1)&lt;=9,1000+(Eingabe!$G$13+1)*100,3000)+60,"")</f>
        <v/>
      </c>
      <c r="F976" s="21" t="str">
        <f aca="false">IF(AND(Eingabe!$F$13&gt;0,Eingabe!$E$13&gt;=160),"10."&amp;Eingabe!$D$13&amp;".160.0/24","")</f>
        <v/>
      </c>
      <c r="G976" s="21" t="str">
        <f aca="false">IF(AND(Eingabe!$F$13&gt;0,Eingabe!$E$13&gt;=160),"10."&amp;Eingabe!$D$13&amp;".160.1","")</f>
        <v/>
      </c>
      <c r="H976" s="21" t="str">
        <f aca="false">IF(AND(Eingabe!$F$13&gt;0,Eingabe!$E$13&gt;=160),"10."&amp;Eingabe!$D$13&amp;".160.10 – 10."&amp;Eingabe!$D$13&amp;".160.250","")</f>
        <v/>
      </c>
      <c r="I976" s="21" t="str">
        <f aca="false">IF(AND(Eingabe!$F$13&gt;0,Eingabe!$E$13&gt;=160),Eingabe!$B$6&amp;"-"&amp;Eingabe!$C$13&amp;"-Pächter","")</f>
        <v/>
      </c>
      <c r="J976" s="21" t="str">
        <f aca="false">IF(AND(Eingabe!$F$13&gt;0,Eingabe!$E$13&gt;=160),"PPSK: Passwort Parzelle 160","")</f>
        <v/>
      </c>
      <c r="K976" s="21" t="str">
        <f aca="false">IF(AND(Eingabe!$F$13&gt;0,Eingabe!$E$13&gt;=160),"1. Gerät: 10."&amp;Eingabe!$D$13&amp;".160.10, 2. Gerät: .11","")</f>
        <v/>
      </c>
    </row>
    <row r="977" customFormat="false" ht="15" hidden="false" customHeight="false" outlineLevel="0" collapsed="false">
      <c r="A977" s="21" t="str">
        <f aca="false">IF(AND(Eingabe!$F$13&gt;0,Eingabe!$E$13&gt;=161),5,"")</f>
        <v/>
      </c>
      <c r="B977" s="21" t="str">
        <f aca="false">IF(AND(Eingabe!$F$13&gt;0,Eingabe!$E$13&gt;=161),Eingabe!$B$13,"")</f>
        <v/>
      </c>
      <c r="C977" s="21" t="str">
        <f aca="false">IF(AND(Eingabe!$F$13&gt;0,Eingabe!$E$13&gt;=161),Eingabe!$C$13&amp;"-Paz."&amp;TEXT(161,"000"),"")</f>
        <v/>
      </c>
      <c r="D977" s="21" t="str">
        <f aca="false">IF(AND(Eingabe!$F$13&gt;0,Eingabe!$E$13&gt;=161),161,"")</f>
        <v/>
      </c>
      <c r="E977" s="21" t="str">
        <f aca="false">IF(AND(Eingabe!$F$13&gt;0,Eingabe!$E$13&gt;=161),IF((Eingabe!$G$13+1)&lt;=9,1000+(Eingabe!$G$13+1)*100,3000)+61,"")</f>
        <v/>
      </c>
      <c r="F977" s="21" t="str">
        <f aca="false">IF(AND(Eingabe!$F$13&gt;0,Eingabe!$E$13&gt;=161),"10."&amp;Eingabe!$D$13&amp;".161.0/24","")</f>
        <v/>
      </c>
      <c r="G977" s="21" t="str">
        <f aca="false">IF(AND(Eingabe!$F$13&gt;0,Eingabe!$E$13&gt;=161),"10."&amp;Eingabe!$D$13&amp;".161.1","")</f>
        <v/>
      </c>
      <c r="H977" s="21" t="str">
        <f aca="false">IF(AND(Eingabe!$F$13&gt;0,Eingabe!$E$13&gt;=161),"10."&amp;Eingabe!$D$13&amp;".161.10 – 10."&amp;Eingabe!$D$13&amp;".161.250","")</f>
        <v/>
      </c>
      <c r="I977" s="21" t="str">
        <f aca="false">IF(AND(Eingabe!$F$13&gt;0,Eingabe!$E$13&gt;=161),Eingabe!$B$6&amp;"-"&amp;Eingabe!$C$13&amp;"-Pächter","")</f>
        <v/>
      </c>
      <c r="J977" s="21" t="str">
        <f aca="false">IF(AND(Eingabe!$F$13&gt;0,Eingabe!$E$13&gt;=161),"PPSK: Passwort Parzelle 161","")</f>
        <v/>
      </c>
      <c r="K977" s="21" t="str">
        <f aca="false">IF(AND(Eingabe!$F$13&gt;0,Eingabe!$E$13&gt;=161),"1. Gerät: 10."&amp;Eingabe!$D$13&amp;".161.10, 2. Gerät: .11","")</f>
        <v/>
      </c>
    </row>
    <row r="978" customFormat="false" ht="15" hidden="false" customHeight="false" outlineLevel="0" collapsed="false">
      <c r="A978" s="21" t="str">
        <f aca="false">IF(AND(Eingabe!$F$13&gt;0,Eingabe!$E$13&gt;=162),5,"")</f>
        <v/>
      </c>
      <c r="B978" s="21" t="str">
        <f aca="false">IF(AND(Eingabe!$F$13&gt;0,Eingabe!$E$13&gt;=162),Eingabe!$B$13,"")</f>
        <v/>
      </c>
      <c r="C978" s="21" t="str">
        <f aca="false">IF(AND(Eingabe!$F$13&gt;0,Eingabe!$E$13&gt;=162),Eingabe!$C$13&amp;"-Paz."&amp;TEXT(162,"000"),"")</f>
        <v/>
      </c>
      <c r="D978" s="21" t="str">
        <f aca="false">IF(AND(Eingabe!$F$13&gt;0,Eingabe!$E$13&gt;=162),162,"")</f>
        <v/>
      </c>
      <c r="E978" s="21" t="str">
        <f aca="false">IF(AND(Eingabe!$F$13&gt;0,Eingabe!$E$13&gt;=162),IF((Eingabe!$G$13+1)&lt;=9,1000+(Eingabe!$G$13+1)*100,3000)+62,"")</f>
        <v/>
      </c>
      <c r="F978" s="21" t="str">
        <f aca="false">IF(AND(Eingabe!$F$13&gt;0,Eingabe!$E$13&gt;=162),"10."&amp;Eingabe!$D$13&amp;".162.0/24","")</f>
        <v/>
      </c>
      <c r="G978" s="21" t="str">
        <f aca="false">IF(AND(Eingabe!$F$13&gt;0,Eingabe!$E$13&gt;=162),"10."&amp;Eingabe!$D$13&amp;".162.1","")</f>
        <v/>
      </c>
      <c r="H978" s="21" t="str">
        <f aca="false">IF(AND(Eingabe!$F$13&gt;0,Eingabe!$E$13&gt;=162),"10."&amp;Eingabe!$D$13&amp;".162.10 – 10."&amp;Eingabe!$D$13&amp;".162.250","")</f>
        <v/>
      </c>
      <c r="I978" s="21" t="str">
        <f aca="false">IF(AND(Eingabe!$F$13&gt;0,Eingabe!$E$13&gt;=162),Eingabe!$B$6&amp;"-"&amp;Eingabe!$C$13&amp;"-Pächter","")</f>
        <v/>
      </c>
      <c r="J978" s="21" t="str">
        <f aca="false">IF(AND(Eingabe!$F$13&gt;0,Eingabe!$E$13&gt;=162),"PPSK: Passwort Parzelle 162","")</f>
        <v/>
      </c>
      <c r="K978" s="21" t="str">
        <f aca="false">IF(AND(Eingabe!$F$13&gt;0,Eingabe!$E$13&gt;=162),"1. Gerät: 10."&amp;Eingabe!$D$13&amp;".162.10, 2. Gerät: .11","")</f>
        <v/>
      </c>
    </row>
    <row r="979" customFormat="false" ht="15" hidden="false" customHeight="false" outlineLevel="0" collapsed="false">
      <c r="A979" s="21" t="str">
        <f aca="false">IF(AND(Eingabe!$F$13&gt;0,Eingabe!$E$13&gt;=163),5,"")</f>
        <v/>
      </c>
      <c r="B979" s="21" t="str">
        <f aca="false">IF(AND(Eingabe!$F$13&gt;0,Eingabe!$E$13&gt;=163),Eingabe!$B$13,"")</f>
        <v/>
      </c>
      <c r="C979" s="21" t="str">
        <f aca="false">IF(AND(Eingabe!$F$13&gt;0,Eingabe!$E$13&gt;=163),Eingabe!$C$13&amp;"-Paz."&amp;TEXT(163,"000"),"")</f>
        <v/>
      </c>
      <c r="D979" s="21" t="str">
        <f aca="false">IF(AND(Eingabe!$F$13&gt;0,Eingabe!$E$13&gt;=163),163,"")</f>
        <v/>
      </c>
      <c r="E979" s="21" t="str">
        <f aca="false">IF(AND(Eingabe!$F$13&gt;0,Eingabe!$E$13&gt;=163),IF((Eingabe!$G$13+1)&lt;=9,1000+(Eingabe!$G$13+1)*100,3000)+63,"")</f>
        <v/>
      </c>
      <c r="F979" s="21" t="str">
        <f aca="false">IF(AND(Eingabe!$F$13&gt;0,Eingabe!$E$13&gt;=163),"10."&amp;Eingabe!$D$13&amp;".163.0/24","")</f>
        <v/>
      </c>
      <c r="G979" s="21" t="str">
        <f aca="false">IF(AND(Eingabe!$F$13&gt;0,Eingabe!$E$13&gt;=163),"10."&amp;Eingabe!$D$13&amp;".163.1","")</f>
        <v/>
      </c>
      <c r="H979" s="21" t="str">
        <f aca="false">IF(AND(Eingabe!$F$13&gt;0,Eingabe!$E$13&gt;=163),"10."&amp;Eingabe!$D$13&amp;".163.10 – 10."&amp;Eingabe!$D$13&amp;".163.250","")</f>
        <v/>
      </c>
      <c r="I979" s="21" t="str">
        <f aca="false">IF(AND(Eingabe!$F$13&gt;0,Eingabe!$E$13&gt;=163),Eingabe!$B$6&amp;"-"&amp;Eingabe!$C$13&amp;"-Pächter","")</f>
        <v/>
      </c>
      <c r="J979" s="21" t="str">
        <f aca="false">IF(AND(Eingabe!$F$13&gt;0,Eingabe!$E$13&gt;=163),"PPSK: Passwort Parzelle 163","")</f>
        <v/>
      </c>
      <c r="K979" s="21" t="str">
        <f aca="false">IF(AND(Eingabe!$F$13&gt;0,Eingabe!$E$13&gt;=163),"1. Gerät: 10."&amp;Eingabe!$D$13&amp;".163.10, 2. Gerät: .11","")</f>
        <v/>
      </c>
    </row>
    <row r="980" customFormat="false" ht="15" hidden="false" customHeight="false" outlineLevel="0" collapsed="false">
      <c r="A980" s="21" t="str">
        <f aca="false">IF(AND(Eingabe!$F$13&gt;0,Eingabe!$E$13&gt;=164),5,"")</f>
        <v/>
      </c>
      <c r="B980" s="21" t="str">
        <f aca="false">IF(AND(Eingabe!$F$13&gt;0,Eingabe!$E$13&gt;=164),Eingabe!$B$13,"")</f>
        <v/>
      </c>
      <c r="C980" s="21" t="str">
        <f aca="false">IF(AND(Eingabe!$F$13&gt;0,Eingabe!$E$13&gt;=164),Eingabe!$C$13&amp;"-Paz."&amp;TEXT(164,"000"),"")</f>
        <v/>
      </c>
      <c r="D980" s="21" t="str">
        <f aca="false">IF(AND(Eingabe!$F$13&gt;0,Eingabe!$E$13&gt;=164),164,"")</f>
        <v/>
      </c>
      <c r="E980" s="21" t="str">
        <f aca="false">IF(AND(Eingabe!$F$13&gt;0,Eingabe!$E$13&gt;=164),IF((Eingabe!$G$13+1)&lt;=9,1000+(Eingabe!$G$13+1)*100,3000)+64,"")</f>
        <v/>
      </c>
      <c r="F980" s="21" t="str">
        <f aca="false">IF(AND(Eingabe!$F$13&gt;0,Eingabe!$E$13&gt;=164),"10."&amp;Eingabe!$D$13&amp;".164.0/24","")</f>
        <v/>
      </c>
      <c r="G980" s="21" t="str">
        <f aca="false">IF(AND(Eingabe!$F$13&gt;0,Eingabe!$E$13&gt;=164),"10."&amp;Eingabe!$D$13&amp;".164.1","")</f>
        <v/>
      </c>
      <c r="H980" s="21" t="str">
        <f aca="false">IF(AND(Eingabe!$F$13&gt;0,Eingabe!$E$13&gt;=164),"10."&amp;Eingabe!$D$13&amp;".164.10 – 10."&amp;Eingabe!$D$13&amp;".164.250","")</f>
        <v/>
      </c>
      <c r="I980" s="21" t="str">
        <f aca="false">IF(AND(Eingabe!$F$13&gt;0,Eingabe!$E$13&gt;=164),Eingabe!$B$6&amp;"-"&amp;Eingabe!$C$13&amp;"-Pächter","")</f>
        <v/>
      </c>
      <c r="J980" s="21" t="str">
        <f aca="false">IF(AND(Eingabe!$F$13&gt;0,Eingabe!$E$13&gt;=164),"PPSK: Passwort Parzelle 164","")</f>
        <v/>
      </c>
      <c r="K980" s="21" t="str">
        <f aca="false">IF(AND(Eingabe!$F$13&gt;0,Eingabe!$E$13&gt;=164),"1. Gerät: 10."&amp;Eingabe!$D$13&amp;".164.10, 2. Gerät: .11","")</f>
        <v/>
      </c>
    </row>
    <row r="981" customFormat="false" ht="15" hidden="false" customHeight="false" outlineLevel="0" collapsed="false">
      <c r="A981" s="21" t="str">
        <f aca="false">IF(AND(Eingabe!$F$13&gt;0,Eingabe!$E$13&gt;=165),5,"")</f>
        <v/>
      </c>
      <c r="B981" s="21" t="str">
        <f aca="false">IF(AND(Eingabe!$F$13&gt;0,Eingabe!$E$13&gt;=165),Eingabe!$B$13,"")</f>
        <v/>
      </c>
      <c r="C981" s="21" t="str">
        <f aca="false">IF(AND(Eingabe!$F$13&gt;0,Eingabe!$E$13&gt;=165),Eingabe!$C$13&amp;"-Paz."&amp;TEXT(165,"000"),"")</f>
        <v/>
      </c>
      <c r="D981" s="21" t="str">
        <f aca="false">IF(AND(Eingabe!$F$13&gt;0,Eingabe!$E$13&gt;=165),165,"")</f>
        <v/>
      </c>
      <c r="E981" s="21" t="str">
        <f aca="false">IF(AND(Eingabe!$F$13&gt;0,Eingabe!$E$13&gt;=165),IF((Eingabe!$G$13+1)&lt;=9,1000+(Eingabe!$G$13+1)*100,3000)+65,"")</f>
        <v/>
      </c>
      <c r="F981" s="21" t="str">
        <f aca="false">IF(AND(Eingabe!$F$13&gt;0,Eingabe!$E$13&gt;=165),"10."&amp;Eingabe!$D$13&amp;".165.0/24","")</f>
        <v/>
      </c>
      <c r="G981" s="21" t="str">
        <f aca="false">IF(AND(Eingabe!$F$13&gt;0,Eingabe!$E$13&gt;=165),"10."&amp;Eingabe!$D$13&amp;".165.1","")</f>
        <v/>
      </c>
      <c r="H981" s="21" t="str">
        <f aca="false">IF(AND(Eingabe!$F$13&gt;0,Eingabe!$E$13&gt;=165),"10."&amp;Eingabe!$D$13&amp;".165.10 – 10."&amp;Eingabe!$D$13&amp;".165.250","")</f>
        <v/>
      </c>
      <c r="I981" s="21" t="str">
        <f aca="false">IF(AND(Eingabe!$F$13&gt;0,Eingabe!$E$13&gt;=165),Eingabe!$B$6&amp;"-"&amp;Eingabe!$C$13&amp;"-Pächter","")</f>
        <v/>
      </c>
      <c r="J981" s="21" t="str">
        <f aca="false">IF(AND(Eingabe!$F$13&gt;0,Eingabe!$E$13&gt;=165),"PPSK: Passwort Parzelle 165","")</f>
        <v/>
      </c>
      <c r="K981" s="21" t="str">
        <f aca="false">IF(AND(Eingabe!$F$13&gt;0,Eingabe!$E$13&gt;=165),"1. Gerät: 10."&amp;Eingabe!$D$13&amp;".165.10, 2. Gerät: .11","")</f>
        <v/>
      </c>
    </row>
    <row r="982" customFormat="false" ht="15" hidden="false" customHeight="false" outlineLevel="0" collapsed="false">
      <c r="A982" s="21" t="str">
        <f aca="false">IF(AND(Eingabe!$F$13&gt;0,Eingabe!$E$13&gt;=166),5,"")</f>
        <v/>
      </c>
      <c r="B982" s="21" t="str">
        <f aca="false">IF(AND(Eingabe!$F$13&gt;0,Eingabe!$E$13&gt;=166),Eingabe!$B$13,"")</f>
        <v/>
      </c>
      <c r="C982" s="21" t="str">
        <f aca="false">IF(AND(Eingabe!$F$13&gt;0,Eingabe!$E$13&gt;=166),Eingabe!$C$13&amp;"-Paz."&amp;TEXT(166,"000"),"")</f>
        <v/>
      </c>
      <c r="D982" s="21" t="str">
        <f aca="false">IF(AND(Eingabe!$F$13&gt;0,Eingabe!$E$13&gt;=166),166,"")</f>
        <v/>
      </c>
      <c r="E982" s="21" t="str">
        <f aca="false">IF(AND(Eingabe!$F$13&gt;0,Eingabe!$E$13&gt;=166),IF((Eingabe!$G$13+1)&lt;=9,1000+(Eingabe!$G$13+1)*100,3000)+66,"")</f>
        <v/>
      </c>
      <c r="F982" s="21" t="str">
        <f aca="false">IF(AND(Eingabe!$F$13&gt;0,Eingabe!$E$13&gt;=166),"10."&amp;Eingabe!$D$13&amp;".166.0/24","")</f>
        <v/>
      </c>
      <c r="G982" s="21" t="str">
        <f aca="false">IF(AND(Eingabe!$F$13&gt;0,Eingabe!$E$13&gt;=166),"10."&amp;Eingabe!$D$13&amp;".166.1","")</f>
        <v/>
      </c>
      <c r="H982" s="21" t="str">
        <f aca="false">IF(AND(Eingabe!$F$13&gt;0,Eingabe!$E$13&gt;=166),"10."&amp;Eingabe!$D$13&amp;".166.10 – 10."&amp;Eingabe!$D$13&amp;".166.250","")</f>
        <v/>
      </c>
      <c r="I982" s="21" t="str">
        <f aca="false">IF(AND(Eingabe!$F$13&gt;0,Eingabe!$E$13&gt;=166),Eingabe!$B$6&amp;"-"&amp;Eingabe!$C$13&amp;"-Pächter","")</f>
        <v/>
      </c>
      <c r="J982" s="21" t="str">
        <f aca="false">IF(AND(Eingabe!$F$13&gt;0,Eingabe!$E$13&gt;=166),"PPSK: Passwort Parzelle 166","")</f>
        <v/>
      </c>
      <c r="K982" s="21" t="str">
        <f aca="false">IF(AND(Eingabe!$F$13&gt;0,Eingabe!$E$13&gt;=166),"1. Gerät: 10."&amp;Eingabe!$D$13&amp;".166.10, 2. Gerät: .11","")</f>
        <v/>
      </c>
    </row>
    <row r="983" customFormat="false" ht="15" hidden="false" customHeight="false" outlineLevel="0" collapsed="false">
      <c r="A983" s="21" t="str">
        <f aca="false">IF(AND(Eingabe!$F$13&gt;0,Eingabe!$E$13&gt;=167),5,"")</f>
        <v/>
      </c>
      <c r="B983" s="21" t="str">
        <f aca="false">IF(AND(Eingabe!$F$13&gt;0,Eingabe!$E$13&gt;=167),Eingabe!$B$13,"")</f>
        <v/>
      </c>
      <c r="C983" s="21" t="str">
        <f aca="false">IF(AND(Eingabe!$F$13&gt;0,Eingabe!$E$13&gt;=167),Eingabe!$C$13&amp;"-Paz."&amp;TEXT(167,"000"),"")</f>
        <v/>
      </c>
      <c r="D983" s="21" t="str">
        <f aca="false">IF(AND(Eingabe!$F$13&gt;0,Eingabe!$E$13&gt;=167),167,"")</f>
        <v/>
      </c>
      <c r="E983" s="21" t="str">
        <f aca="false">IF(AND(Eingabe!$F$13&gt;0,Eingabe!$E$13&gt;=167),IF((Eingabe!$G$13+1)&lt;=9,1000+(Eingabe!$G$13+1)*100,3000)+67,"")</f>
        <v/>
      </c>
      <c r="F983" s="21" t="str">
        <f aca="false">IF(AND(Eingabe!$F$13&gt;0,Eingabe!$E$13&gt;=167),"10."&amp;Eingabe!$D$13&amp;".167.0/24","")</f>
        <v/>
      </c>
      <c r="G983" s="21" t="str">
        <f aca="false">IF(AND(Eingabe!$F$13&gt;0,Eingabe!$E$13&gt;=167),"10."&amp;Eingabe!$D$13&amp;".167.1","")</f>
        <v/>
      </c>
      <c r="H983" s="21" t="str">
        <f aca="false">IF(AND(Eingabe!$F$13&gt;0,Eingabe!$E$13&gt;=167),"10."&amp;Eingabe!$D$13&amp;".167.10 – 10."&amp;Eingabe!$D$13&amp;".167.250","")</f>
        <v/>
      </c>
      <c r="I983" s="21" t="str">
        <f aca="false">IF(AND(Eingabe!$F$13&gt;0,Eingabe!$E$13&gt;=167),Eingabe!$B$6&amp;"-"&amp;Eingabe!$C$13&amp;"-Pächter","")</f>
        <v/>
      </c>
      <c r="J983" s="21" t="str">
        <f aca="false">IF(AND(Eingabe!$F$13&gt;0,Eingabe!$E$13&gt;=167),"PPSK: Passwort Parzelle 167","")</f>
        <v/>
      </c>
      <c r="K983" s="21" t="str">
        <f aca="false">IF(AND(Eingabe!$F$13&gt;0,Eingabe!$E$13&gt;=167),"1. Gerät: 10."&amp;Eingabe!$D$13&amp;".167.10, 2. Gerät: .11","")</f>
        <v/>
      </c>
    </row>
    <row r="984" customFormat="false" ht="15" hidden="false" customHeight="false" outlineLevel="0" collapsed="false">
      <c r="A984" s="21" t="str">
        <f aca="false">IF(AND(Eingabe!$F$13&gt;0,Eingabe!$E$13&gt;=168),5,"")</f>
        <v/>
      </c>
      <c r="B984" s="21" t="str">
        <f aca="false">IF(AND(Eingabe!$F$13&gt;0,Eingabe!$E$13&gt;=168),Eingabe!$B$13,"")</f>
        <v/>
      </c>
      <c r="C984" s="21" t="str">
        <f aca="false">IF(AND(Eingabe!$F$13&gt;0,Eingabe!$E$13&gt;=168),Eingabe!$C$13&amp;"-Paz."&amp;TEXT(168,"000"),"")</f>
        <v/>
      </c>
      <c r="D984" s="21" t="str">
        <f aca="false">IF(AND(Eingabe!$F$13&gt;0,Eingabe!$E$13&gt;=168),168,"")</f>
        <v/>
      </c>
      <c r="E984" s="21" t="str">
        <f aca="false">IF(AND(Eingabe!$F$13&gt;0,Eingabe!$E$13&gt;=168),IF((Eingabe!$G$13+1)&lt;=9,1000+(Eingabe!$G$13+1)*100,3000)+68,"")</f>
        <v/>
      </c>
      <c r="F984" s="21" t="str">
        <f aca="false">IF(AND(Eingabe!$F$13&gt;0,Eingabe!$E$13&gt;=168),"10."&amp;Eingabe!$D$13&amp;".168.0/24","")</f>
        <v/>
      </c>
      <c r="G984" s="21" t="str">
        <f aca="false">IF(AND(Eingabe!$F$13&gt;0,Eingabe!$E$13&gt;=168),"10."&amp;Eingabe!$D$13&amp;".168.1","")</f>
        <v/>
      </c>
      <c r="H984" s="21" t="str">
        <f aca="false">IF(AND(Eingabe!$F$13&gt;0,Eingabe!$E$13&gt;=168),"10."&amp;Eingabe!$D$13&amp;".168.10 – 10."&amp;Eingabe!$D$13&amp;".168.250","")</f>
        <v/>
      </c>
      <c r="I984" s="21" t="str">
        <f aca="false">IF(AND(Eingabe!$F$13&gt;0,Eingabe!$E$13&gt;=168),Eingabe!$B$6&amp;"-"&amp;Eingabe!$C$13&amp;"-Pächter","")</f>
        <v/>
      </c>
      <c r="J984" s="21" t="str">
        <f aca="false">IF(AND(Eingabe!$F$13&gt;0,Eingabe!$E$13&gt;=168),"PPSK: Passwort Parzelle 168","")</f>
        <v/>
      </c>
      <c r="K984" s="21" t="str">
        <f aca="false">IF(AND(Eingabe!$F$13&gt;0,Eingabe!$E$13&gt;=168),"1. Gerät: 10."&amp;Eingabe!$D$13&amp;".168.10, 2. Gerät: .11","")</f>
        <v/>
      </c>
    </row>
    <row r="985" customFormat="false" ht="15" hidden="false" customHeight="false" outlineLevel="0" collapsed="false">
      <c r="A985" s="21" t="str">
        <f aca="false">IF(AND(Eingabe!$F$13&gt;0,Eingabe!$E$13&gt;=169),5,"")</f>
        <v/>
      </c>
      <c r="B985" s="21" t="str">
        <f aca="false">IF(AND(Eingabe!$F$13&gt;0,Eingabe!$E$13&gt;=169),Eingabe!$B$13,"")</f>
        <v/>
      </c>
      <c r="C985" s="21" t="str">
        <f aca="false">IF(AND(Eingabe!$F$13&gt;0,Eingabe!$E$13&gt;=169),Eingabe!$C$13&amp;"-Paz."&amp;TEXT(169,"000"),"")</f>
        <v/>
      </c>
      <c r="D985" s="21" t="str">
        <f aca="false">IF(AND(Eingabe!$F$13&gt;0,Eingabe!$E$13&gt;=169),169,"")</f>
        <v/>
      </c>
      <c r="E985" s="21" t="str">
        <f aca="false">IF(AND(Eingabe!$F$13&gt;0,Eingabe!$E$13&gt;=169),IF((Eingabe!$G$13+1)&lt;=9,1000+(Eingabe!$G$13+1)*100,3000)+69,"")</f>
        <v/>
      </c>
      <c r="F985" s="21" t="str">
        <f aca="false">IF(AND(Eingabe!$F$13&gt;0,Eingabe!$E$13&gt;=169),"10."&amp;Eingabe!$D$13&amp;".169.0/24","")</f>
        <v/>
      </c>
      <c r="G985" s="21" t="str">
        <f aca="false">IF(AND(Eingabe!$F$13&gt;0,Eingabe!$E$13&gt;=169),"10."&amp;Eingabe!$D$13&amp;".169.1","")</f>
        <v/>
      </c>
      <c r="H985" s="21" t="str">
        <f aca="false">IF(AND(Eingabe!$F$13&gt;0,Eingabe!$E$13&gt;=169),"10."&amp;Eingabe!$D$13&amp;".169.10 – 10."&amp;Eingabe!$D$13&amp;".169.250","")</f>
        <v/>
      </c>
      <c r="I985" s="21" t="str">
        <f aca="false">IF(AND(Eingabe!$F$13&gt;0,Eingabe!$E$13&gt;=169),Eingabe!$B$6&amp;"-"&amp;Eingabe!$C$13&amp;"-Pächter","")</f>
        <v/>
      </c>
      <c r="J985" s="21" t="str">
        <f aca="false">IF(AND(Eingabe!$F$13&gt;0,Eingabe!$E$13&gt;=169),"PPSK: Passwort Parzelle 169","")</f>
        <v/>
      </c>
      <c r="K985" s="21" t="str">
        <f aca="false">IF(AND(Eingabe!$F$13&gt;0,Eingabe!$E$13&gt;=169),"1. Gerät: 10."&amp;Eingabe!$D$13&amp;".169.10, 2. Gerät: .11","")</f>
        <v/>
      </c>
    </row>
    <row r="986" customFormat="false" ht="15" hidden="false" customHeight="false" outlineLevel="0" collapsed="false">
      <c r="A986" s="21" t="str">
        <f aca="false">IF(AND(Eingabe!$F$13&gt;0,Eingabe!$E$13&gt;=170),5,"")</f>
        <v/>
      </c>
      <c r="B986" s="21" t="str">
        <f aca="false">IF(AND(Eingabe!$F$13&gt;0,Eingabe!$E$13&gt;=170),Eingabe!$B$13,"")</f>
        <v/>
      </c>
      <c r="C986" s="21" t="str">
        <f aca="false">IF(AND(Eingabe!$F$13&gt;0,Eingabe!$E$13&gt;=170),Eingabe!$C$13&amp;"-Paz."&amp;TEXT(170,"000"),"")</f>
        <v/>
      </c>
      <c r="D986" s="21" t="str">
        <f aca="false">IF(AND(Eingabe!$F$13&gt;0,Eingabe!$E$13&gt;=170),170,"")</f>
        <v/>
      </c>
      <c r="E986" s="21" t="str">
        <f aca="false">IF(AND(Eingabe!$F$13&gt;0,Eingabe!$E$13&gt;=170),IF((Eingabe!$G$13+1)&lt;=9,1000+(Eingabe!$G$13+1)*100,3000)+70,"")</f>
        <v/>
      </c>
      <c r="F986" s="21" t="str">
        <f aca="false">IF(AND(Eingabe!$F$13&gt;0,Eingabe!$E$13&gt;=170),"10."&amp;Eingabe!$D$13&amp;".170.0/24","")</f>
        <v/>
      </c>
      <c r="G986" s="21" t="str">
        <f aca="false">IF(AND(Eingabe!$F$13&gt;0,Eingabe!$E$13&gt;=170),"10."&amp;Eingabe!$D$13&amp;".170.1","")</f>
        <v/>
      </c>
      <c r="H986" s="21" t="str">
        <f aca="false">IF(AND(Eingabe!$F$13&gt;0,Eingabe!$E$13&gt;=170),"10."&amp;Eingabe!$D$13&amp;".170.10 – 10."&amp;Eingabe!$D$13&amp;".170.250","")</f>
        <v/>
      </c>
      <c r="I986" s="21" t="str">
        <f aca="false">IF(AND(Eingabe!$F$13&gt;0,Eingabe!$E$13&gt;=170),Eingabe!$B$6&amp;"-"&amp;Eingabe!$C$13&amp;"-Pächter","")</f>
        <v/>
      </c>
      <c r="J986" s="21" t="str">
        <f aca="false">IF(AND(Eingabe!$F$13&gt;0,Eingabe!$E$13&gt;=170),"PPSK: Passwort Parzelle 170","")</f>
        <v/>
      </c>
      <c r="K986" s="21" t="str">
        <f aca="false">IF(AND(Eingabe!$F$13&gt;0,Eingabe!$E$13&gt;=170),"1. Gerät: 10."&amp;Eingabe!$D$13&amp;".170.10, 2. Gerät: .11","")</f>
        <v/>
      </c>
    </row>
    <row r="987" customFormat="false" ht="15" hidden="false" customHeight="false" outlineLevel="0" collapsed="false">
      <c r="A987" s="21" t="str">
        <f aca="false">IF(AND(Eingabe!$F$13&gt;0,Eingabe!$E$13&gt;=171),5,"")</f>
        <v/>
      </c>
      <c r="B987" s="21" t="str">
        <f aca="false">IF(AND(Eingabe!$F$13&gt;0,Eingabe!$E$13&gt;=171),Eingabe!$B$13,"")</f>
        <v/>
      </c>
      <c r="C987" s="21" t="str">
        <f aca="false">IF(AND(Eingabe!$F$13&gt;0,Eingabe!$E$13&gt;=171),Eingabe!$C$13&amp;"-Paz."&amp;TEXT(171,"000"),"")</f>
        <v/>
      </c>
      <c r="D987" s="21" t="str">
        <f aca="false">IF(AND(Eingabe!$F$13&gt;0,Eingabe!$E$13&gt;=171),171,"")</f>
        <v/>
      </c>
      <c r="E987" s="21" t="str">
        <f aca="false">IF(AND(Eingabe!$F$13&gt;0,Eingabe!$E$13&gt;=171),IF((Eingabe!$G$13+1)&lt;=9,1000+(Eingabe!$G$13+1)*100,3000)+71,"")</f>
        <v/>
      </c>
      <c r="F987" s="21" t="str">
        <f aca="false">IF(AND(Eingabe!$F$13&gt;0,Eingabe!$E$13&gt;=171),"10."&amp;Eingabe!$D$13&amp;".171.0/24","")</f>
        <v/>
      </c>
      <c r="G987" s="21" t="str">
        <f aca="false">IF(AND(Eingabe!$F$13&gt;0,Eingabe!$E$13&gt;=171),"10."&amp;Eingabe!$D$13&amp;".171.1","")</f>
        <v/>
      </c>
      <c r="H987" s="21" t="str">
        <f aca="false">IF(AND(Eingabe!$F$13&gt;0,Eingabe!$E$13&gt;=171),"10."&amp;Eingabe!$D$13&amp;".171.10 – 10."&amp;Eingabe!$D$13&amp;".171.250","")</f>
        <v/>
      </c>
      <c r="I987" s="21" t="str">
        <f aca="false">IF(AND(Eingabe!$F$13&gt;0,Eingabe!$E$13&gt;=171),Eingabe!$B$6&amp;"-"&amp;Eingabe!$C$13&amp;"-Pächter","")</f>
        <v/>
      </c>
      <c r="J987" s="21" t="str">
        <f aca="false">IF(AND(Eingabe!$F$13&gt;0,Eingabe!$E$13&gt;=171),"PPSK: Passwort Parzelle 171","")</f>
        <v/>
      </c>
      <c r="K987" s="21" t="str">
        <f aca="false">IF(AND(Eingabe!$F$13&gt;0,Eingabe!$E$13&gt;=171),"1. Gerät: 10."&amp;Eingabe!$D$13&amp;".171.10, 2. Gerät: .11","")</f>
        <v/>
      </c>
    </row>
    <row r="988" customFormat="false" ht="15" hidden="false" customHeight="false" outlineLevel="0" collapsed="false">
      <c r="A988" s="21" t="str">
        <f aca="false">IF(AND(Eingabe!$F$13&gt;0,Eingabe!$E$13&gt;=172),5,"")</f>
        <v/>
      </c>
      <c r="B988" s="21" t="str">
        <f aca="false">IF(AND(Eingabe!$F$13&gt;0,Eingabe!$E$13&gt;=172),Eingabe!$B$13,"")</f>
        <v/>
      </c>
      <c r="C988" s="21" t="str">
        <f aca="false">IF(AND(Eingabe!$F$13&gt;0,Eingabe!$E$13&gt;=172),Eingabe!$C$13&amp;"-Paz."&amp;TEXT(172,"000"),"")</f>
        <v/>
      </c>
      <c r="D988" s="21" t="str">
        <f aca="false">IF(AND(Eingabe!$F$13&gt;0,Eingabe!$E$13&gt;=172),172,"")</f>
        <v/>
      </c>
      <c r="E988" s="21" t="str">
        <f aca="false">IF(AND(Eingabe!$F$13&gt;0,Eingabe!$E$13&gt;=172),IF((Eingabe!$G$13+1)&lt;=9,1000+(Eingabe!$G$13+1)*100,3000)+72,"")</f>
        <v/>
      </c>
      <c r="F988" s="21" t="str">
        <f aca="false">IF(AND(Eingabe!$F$13&gt;0,Eingabe!$E$13&gt;=172),"10."&amp;Eingabe!$D$13&amp;".172.0/24","")</f>
        <v/>
      </c>
      <c r="G988" s="21" t="str">
        <f aca="false">IF(AND(Eingabe!$F$13&gt;0,Eingabe!$E$13&gt;=172),"10."&amp;Eingabe!$D$13&amp;".172.1","")</f>
        <v/>
      </c>
      <c r="H988" s="21" t="str">
        <f aca="false">IF(AND(Eingabe!$F$13&gt;0,Eingabe!$E$13&gt;=172),"10."&amp;Eingabe!$D$13&amp;".172.10 – 10."&amp;Eingabe!$D$13&amp;".172.250","")</f>
        <v/>
      </c>
      <c r="I988" s="21" t="str">
        <f aca="false">IF(AND(Eingabe!$F$13&gt;0,Eingabe!$E$13&gt;=172),Eingabe!$B$6&amp;"-"&amp;Eingabe!$C$13&amp;"-Pächter","")</f>
        <v/>
      </c>
      <c r="J988" s="21" t="str">
        <f aca="false">IF(AND(Eingabe!$F$13&gt;0,Eingabe!$E$13&gt;=172),"PPSK: Passwort Parzelle 172","")</f>
        <v/>
      </c>
      <c r="K988" s="21" t="str">
        <f aca="false">IF(AND(Eingabe!$F$13&gt;0,Eingabe!$E$13&gt;=172),"1. Gerät: 10."&amp;Eingabe!$D$13&amp;".172.10, 2. Gerät: .11","")</f>
        <v/>
      </c>
    </row>
    <row r="989" customFormat="false" ht="15" hidden="false" customHeight="false" outlineLevel="0" collapsed="false">
      <c r="A989" s="21" t="str">
        <f aca="false">IF(AND(Eingabe!$F$13&gt;0,Eingabe!$E$13&gt;=173),5,"")</f>
        <v/>
      </c>
      <c r="B989" s="21" t="str">
        <f aca="false">IF(AND(Eingabe!$F$13&gt;0,Eingabe!$E$13&gt;=173),Eingabe!$B$13,"")</f>
        <v/>
      </c>
      <c r="C989" s="21" t="str">
        <f aca="false">IF(AND(Eingabe!$F$13&gt;0,Eingabe!$E$13&gt;=173),Eingabe!$C$13&amp;"-Paz."&amp;TEXT(173,"000"),"")</f>
        <v/>
      </c>
      <c r="D989" s="21" t="str">
        <f aca="false">IF(AND(Eingabe!$F$13&gt;0,Eingabe!$E$13&gt;=173),173,"")</f>
        <v/>
      </c>
      <c r="E989" s="21" t="str">
        <f aca="false">IF(AND(Eingabe!$F$13&gt;0,Eingabe!$E$13&gt;=173),IF((Eingabe!$G$13+1)&lt;=9,1000+(Eingabe!$G$13+1)*100,3000)+73,"")</f>
        <v/>
      </c>
      <c r="F989" s="21" t="str">
        <f aca="false">IF(AND(Eingabe!$F$13&gt;0,Eingabe!$E$13&gt;=173),"10."&amp;Eingabe!$D$13&amp;".173.0/24","")</f>
        <v/>
      </c>
      <c r="G989" s="21" t="str">
        <f aca="false">IF(AND(Eingabe!$F$13&gt;0,Eingabe!$E$13&gt;=173),"10."&amp;Eingabe!$D$13&amp;".173.1","")</f>
        <v/>
      </c>
      <c r="H989" s="21" t="str">
        <f aca="false">IF(AND(Eingabe!$F$13&gt;0,Eingabe!$E$13&gt;=173),"10."&amp;Eingabe!$D$13&amp;".173.10 – 10."&amp;Eingabe!$D$13&amp;".173.250","")</f>
        <v/>
      </c>
      <c r="I989" s="21" t="str">
        <f aca="false">IF(AND(Eingabe!$F$13&gt;0,Eingabe!$E$13&gt;=173),Eingabe!$B$6&amp;"-"&amp;Eingabe!$C$13&amp;"-Pächter","")</f>
        <v/>
      </c>
      <c r="J989" s="21" t="str">
        <f aca="false">IF(AND(Eingabe!$F$13&gt;0,Eingabe!$E$13&gt;=173),"PPSK: Passwort Parzelle 173","")</f>
        <v/>
      </c>
      <c r="K989" s="21" t="str">
        <f aca="false">IF(AND(Eingabe!$F$13&gt;0,Eingabe!$E$13&gt;=173),"1. Gerät: 10."&amp;Eingabe!$D$13&amp;".173.10, 2. Gerät: .11","")</f>
        <v/>
      </c>
    </row>
    <row r="990" customFormat="false" ht="15" hidden="false" customHeight="false" outlineLevel="0" collapsed="false">
      <c r="A990" s="21" t="str">
        <f aca="false">IF(AND(Eingabe!$F$13&gt;0,Eingabe!$E$13&gt;=174),5,"")</f>
        <v/>
      </c>
      <c r="B990" s="21" t="str">
        <f aca="false">IF(AND(Eingabe!$F$13&gt;0,Eingabe!$E$13&gt;=174),Eingabe!$B$13,"")</f>
        <v/>
      </c>
      <c r="C990" s="21" t="str">
        <f aca="false">IF(AND(Eingabe!$F$13&gt;0,Eingabe!$E$13&gt;=174),Eingabe!$C$13&amp;"-Paz."&amp;TEXT(174,"000"),"")</f>
        <v/>
      </c>
      <c r="D990" s="21" t="str">
        <f aca="false">IF(AND(Eingabe!$F$13&gt;0,Eingabe!$E$13&gt;=174),174,"")</f>
        <v/>
      </c>
      <c r="E990" s="21" t="str">
        <f aca="false">IF(AND(Eingabe!$F$13&gt;0,Eingabe!$E$13&gt;=174),IF((Eingabe!$G$13+1)&lt;=9,1000+(Eingabe!$G$13+1)*100,3000)+74,"")</f>
        <v/>
      </c>
      <c r="F990" s="21" t="str">
        <f aca="false">IF(AND(Eingabe!$F$13&gt;0,Eingabe!$E$13&gt;=174),"10."&amp;Eingabe!$D$13&amp;".174.0/24","")</f>
        <v/>
      </c>
      <c r="G990" s="21" t="str">
        <f aca="false">IF(AND(Eingabe!$F$13&gt;0,Eingabe!$E$13&gt;=174),"10."&amp;Eingabe!$D$13&amp;".174.1","")</f>
        <v/>
      </c>
      <c r="H990" s="21" t="str">
        <f aca="false">IF(AND(Eingabe!$F$13&gt;0,Eingabe!$E$13&gt;=174),"10."&amp;Eingabe!$D$13&amp;".174.10 – 10."&amp;Eingabe!$D$13&amp;".174.250","")</f>
        <v/>
      </c>
      <c r="I990" s="21" t="str">
        <f aca="false">IF(AND(Eingabe!$F$13&gt;0,Eingabe!$E$13&gt;=174),Eingabe!$B$6&amp;"-"&amp;Eingabe!$C$13&amp;"-Pächter","")</f>
        <v/>
      </c>
      <c r="J990" s="21" t="str">
        <f aca="false">IF(AND(Eingabe!$F$13&gt;0,Eingabe!$E$13&gt;=174),"PPSK: Passwort Parzelle 174","")</f>
        <v/>
      </c>
      <c r="K990" s="21" t="str">
        <f aca="false">IF(AND(Eingabe!$F$13&gt;0,Eingabe!$E$13&gt;=174),"1. Gerät: 10."&amp;Eingabe!$D$13&amp;".174.10, 2. Gerät: .11","")</f>
        <v/>
      </c>
    </row>
    <row r="991" customFormat="false" ht="15" hidden="false" customHeight="false" outlineLevel="0" collapsed="false">
      <c r="A991" s="21" t="str">
        <f aca="false">IF(AND(Eingabe!$F$13&gt;0,Eingabe!$E$13&gt;=175),5,"")</f>
        <v/>
      </c>
      <c r="B991" s="21" t="str">
        <f aca="false">IF(AND(Eingabe!$F$13&gt;0,Eingabe!$E$13&gt;=175),Eingabe!$B$13,"")</f>
        <v/>
      </c>
      <c r="C991" s="21" t="str">
        <f aca="false">IF(AND(Eingabe!$F$13&gt;0,Eingabe!$E$13&gt;=175),Eingabe!$C$13&amp;"-Paz."&amp;TEXT(175,"000"),"")</f>
        <v/>
      </c>
      <c r="D991" s="21" t="str">
        <f aca="false">IF(AND(Eingabe!$F$13&gt;0,Eingabe!$E$13&gt;=175),175,"")</f>
        <v/>
      </c>
      <c r="E991" s="21" t="str">
        <f aca="false">IF(AND(Eingabe!$F$13&gt;0,Eingabe!$E$13&gt;=175),IF((Eingabe!$G$13+1)&lt;=9,1000+(Eingabe!$G$13+1)*100,3000)+75,"")</f>
        <v/>
      </c>
      <c r="F991" s="21" t="str">
        <f aca="false">IF(AND(Eingabe!$F$13&gt;0,Eingabe!$E$13&gt;=175),"10."&amp;Eingabe!$D$13&amp;".175.0/24","")</f>
        <v/>
      </c>
      <c r="G991" s="21" t="str">
        <f aca="false">IF(AND(Eingabe!$F$13&gt;0,Eingabe!$E$13&gt;=175),"10."&amp;Eingabe!$D$13&amp;".175.1","")</f>
        <v/>
      </c>
      <c r="H991" s="21" t="str">
        <f aca="false">IF(AND(Eingabe!$F$13&gt;0,Eingabe!$E$13&gt;=175),"10."&amp;Eingabe!$D$13&amp;".175.10 – 10."&amp;Eingabe!$D$13&amp;".175.250","")</f>
        <v/>
      </c>
      <c r="I991" s="21" t="str">
        <f aca="false">IF(AND(Eingabe!$F$13&gt;0,Eingabe!$E$13&gt;=175),Eingabe!$B$6&amp;"-"&amp;Eingabe!$C$13&amp;"-Pächter","")</f>
        <v/>
      </c>
      <c r="J991" s="21" t="str">
        <f aca="false">IF(AND(Eingabe!$F$13&gt;0,Eingabe!$E$13&gt;=175),"PPSK: Passwort Parzelle 175","")</f>
        <v/>
      </c>
      <c r="K991" s="21" t="str">
        <f aca="false">IF(AND(Eingabe!$F$13&gt;0,Eingabe!$E$13&gt;=175),"1. Gerät: 10."&amp;Eingabe!$D$13&amp;".175.10, 2. Gerät: .11","")</f>
        <v/>
      </c>
    </row>
    <row r="992" customFormat="false" ht="15" hidden="false" customHeight="false" outlineLevel="0" collapsed="false">
      <c r="A992" s="21" t="str">
        <f aca="false">IF(AND(Eingabe!$F$13&gt;0,Eingabe!$E$13&gt;=176),5,"")</f>
        <v/>
      </c>
      <c r="B992" s="21" t="str">
        <f aca="false">IF(AND(Eingabe!$F$13&gt;0,Eingabe!$E$13&gt;=176),Eingabe!$B$13,"")</f>
        <v/>
      </c>
      <c r="C992" s="21" t="str">
        <f aca="false">IF(AND(Eingabe!$F$13&gt;0,Eingabe!$E$13&gt;=176),Eingabe!$C$13&amp;"-Paz."&amp;TEXT(176,"000"),"")</f>
        <v/>
      </c>
      <c r="D992" s="21" t="str">
        <f aca="false">IF(AND(Eingabe!$F$13&gt;0,Eingabe!$E$13&gt;=176),176,"")</f>
        <v/>
      </c>
      <c r="E992" s="21" t="str">
        <f aca="false">IF(AND(Eingabe!$F$13&gt;0,Eingabe!$E$13&gt;=176),IF((Eingabe!$G$13+1)&lt;=9,1000+(Eingabe!$G$13+1)*100,3000)+76,"")</f>
        <v/>
      </c>
      <c r="F992" s="21" t="str">
        <f aca="false">IF(AND(Eingabe!$F$13&gt;0,Eingabe!$E$13&gt;=176),"10."&amp;Eingabe!$D$13&amp;".176.0/24","")</f>
        <v/>
      </c>
      <c r="G992" s="21" t="str">
        <f aca="false">IF(AND(Eingabe!$F$13&gt;0,Eingabe!$E$13&gt;=176),"10."&amp;Eingabe!$D$13&amp;".176.1","")</f>
        <v/>
      </c>
      <c r="H992" s="21" t="str">
        <f aca="false">IF(AND(Eingabe!$F$13&gt;0,Eingabe!$E$13&gt;=176),"10."&amp;Eingabe!$D$13&amp;".176.10 – 10."&amp;Eingabe!$D$13&amp;".176.250","")</f>
        <v/>
      </c>
      <c r="I992" s="21" t="str">
        <f aca="false">IF(AND(Eingabe!$F$13&gt;0,Eingabe!$E$13&gt;=176),Eingabe!$B$6&amp;"-"&amp;Eingabe!$C$13&amp;"-Pächter","")</f>
        <v/>
      </c>
      <c r="J992" s="21" t="str">
        <f aca="false">IF(AND(Eingabe!$F$13&gt;0,Eingabe!$E$13&gt;=176),"PPSK: Passwort Parzelle 176","")</f>
        <v/>
      </c>
      <c r="K992" s="21" t="str">
        <f aca="false">IF(AND(Eingabe!$F$13&gt;0,Eingabe!$E$13&gt;=176),"1. Gerät: 10."&amp;Eingabe!$D$13&amp;".176.10, 2. Gerät: .11","")</f>
        <v/>
      </c>
    </row>
    <row r="993" customFormat="false" ht="15" hidden="false" customHeight="false" outlineLevel="0" collapsed="false">
      <c r="A993" s="21" t="str">
        <f aca="false">IF(AND(Eingabe!$F$13&gt;0,Eingabe!$E$13&gt;=177),5,"")</f>
        <v/>
      </c>
      <c r="B993" s="21" t="str">
        <f aca="false">IF(AND(Eingabe!$F$13&gt;0,Eingabe!$E$13&gt;=177),Eingabe!$B$13,"")</f>
        <v/>
      </c>
      <c r="C993" s="21" t="str">
        <f aca="false">IF(AND(Eingabe!$F$13&gt;0,Eingabe!$E$13&gt;=177),Eingabe!$C$13&amp;"-Paz."&amp;TEXT(177,"000"),"")</f>
        <v/>
      </c>
      <c r="D993" s="21" t="str">
        <f aca="false">IF(AND(Eingabe!$F$13&gt;0,Eingabe!$E$13&gt;=177),177,"")</f>
        <v/>
      </c>
      <c r="E993" s="21" t="str">
        <f aca="false">IF(AND(Eingabe!$F$13&gt;0,Eingabe!$E$13&gt;=177),IF((Eingabe!$G$13+1)&lt;=9,1000+(Eingabe!$G$13+1)*100,3000)+77,"")</f>
        <v/>
      </c>
      <c r="F993" s="21" t="str">
        <f aca="false">IF(AND(Eingabe!$F$13&gt;0,Eingabe!$E$13&gt;=177),"10."&amp;Eingabe!$D$13&amp;".177.0/24","")</f>
        <v/>
      </c>
      <c r="G993" s="21" t="str">
        <f aca="false">IF(AND(Eingabe!$F$13&gt;0,Eingabe!$E$13&gt;=177),"10."&amp;Eingabe!$D$13&amp;".177.1","")</f>
        <v/>
      </c>
      <c r="H993" s="21" t="str">
        <f aca="false">IF(AND(Eingabe!$F$13&gt;0,Eingabe!$E$13&gt;=177),"10."&amp;Eingabe!$D$13&amp;".177.10 – 10."&amp;Eingabe!$D$13&amp;".177.250","")</f>
        <v/>
      </c>
      <c r="I993" s="21" t="str">
        <f aca="false">IF(AND(Eingabe!$F$13&gt;0,Eingabe!$E$13&gt;=177),Eingabe!$B$6&amp;"-"&amp;Eingabe!$C$13&amp;"-Pächter","")</f>
        <v/>
      </c>
      <c r="J993" s="21" t="str">
        <f aca="false">IF(AND(Eingabe!$F$13&gt;0,Eingabe!$E$13&gt;=177),"PPSK: Passwort Parzelle 177","")</f>
        <v/>
      </c>
      <c r="K993" s="21" t="str">
        <f aca="false">IF(AND(Eingabe!$F$13&gt;0,Eingabe!$E$13&gt;=177),"1. Gerät: 10."&amp;Eingabe!$D$13&amp;".177.10, 2. Gerät: .11","")</f>
        <v/>
      </c>
    </row>
    <row r="994" customFormat="false" ht="15" hidden="false" customHeight="false" outlineLevel="0" collapsed="false">
      <c r="A994" s="21" t="str">
        <f aca="false">IF(AND(Eingabe!$F$13&gt;0,Eingabe!$E$13&gt;=178),5,"")</f>
        <v/>
      </c>
      <c r="B994" s="21" t="str">
        <f aca="false">IF(AND(Eingabe!$F$13&gt;0,Eingabe!$E$13&gt;=178),Eingabe!$B$13,"")</f>
        <v/>
      </c>
      <c r="C994" s="21" t="str">
        <f aca="false">IF(AND(Eingabe!$F$13&gt;0,Eingabe!$E$13&gt;=178),Eingabe!$C$13&amp;"-Paz."&amp;TEXT(178,"000"),"")</f>
        <v/>
      </c>
      <c r="D994" s="21" t="str">
        <f aca="false">IF(AND(Eingabe!$F$13&gt;0,Eingabe!$E$13&gt;=178),178,"")</f>
        <v/>
      </c>
      <c r="E994" s="21" t="str">
        <f aca="false">IF(AND(Eingabe!$F$13&gt;0,Eingabe!$E$13&gt;=178),IF((Eingabe!$G$13+1)&lt;=9,1000+(Eingabe!$G$13+1)*100,3000)+78,"")</f>
        <v/>
      </c>
      <c r="F994" s="21" t="str">
        <f aca="false">IF(AND(Eingabe!$F$13&gt;0,Eingabe!$E$13&gt;=178),"10."&amp;Eingabe!$D$13&amp;".178.0/24","")</f>
        <v/>
      </c>
      <c r="G994" s="21" t="str">
        <f aca="false">IF(AND(Eingabe!$F$13&gt;0,Eingabe!$E$13&gt;=178),"10."&amp;Eingabe!$D$13&amp;".178.1","")</f>
        <v/>
      </c>
      <c r="H994" s="21" t="str">
        <f aca="false">IF(AND(Eingabe!$F$13&gt;0,Eingabe!$E$13&gt;=178),"10."&amp;Eingabe!$D$13&amp;".178.10 – 10."&amp;Eingabe!$D$13&amp;".178.250","")</f>
        <v/>
      </c>
      <c r="I994" s="21" t="str">
        <f aca="false">IF(AND(Eingabe!$F$13&gt;0,Eingabe!$E$13&gt;=178),Eingabe!$B$6&amp;"-"&amp;Eingabe!$C$13&amp;"-Pächter","")</f>
        <v/>
      </c>
      <c r="J994" s="21" t="str">
        <f aca="false">IF(AND(Eingabe!$F$13&gt;0,Eingabe!$E$13&gt;=178),"PPSK: Passwort Parzelle 178","")</f>
        <v/>
      </c>
      <c r="K994" s="21" t="str">
        <f aca="false">IF(AND(Eingabe!$F$13&gt;0,Eingabe!$E$13&gt;=178),"1. Gerät: 10."&amp;Eingabe!$D$13&amp;".178.10, 2. Gerät: .11","")</f>
        <v/>
      </c>
    </row>
    <row r="995" customFormat="false" ht="15" hidden="false" customHeight="false" outlineLevel="0" collapsed="false">
      <c r="A995" s="21" t="str">
        <f aca="false">IF(AND(Eingabe!$F$13&gt;0,Eingabe!$E$13&gt;=179),5,"")</f>
        <v/>
      </c>
      <c r="B995" s="21" t="str">
        <f aca="false">IF(AND(Eingabe!$F$13&gt;0,Eingabe!$E$13&gt;=179),Eingabe!$B$13,"")</f>
        <v/>
      </c>
      <c r="C995" s="21" t="str">
        <f aca="false">IF(AND(Eingabe!$F$13&gt;0,Eingabe!$E$13&gt;=179),Eingabe!$C$13&amp;"-Paz."&amp;TEXT(179,"000"),"")</f>
        <v/>
      </c>
      <c r="D995" s="21" t="str">
        <f aca="false">IF(AND(Eingabe!$F$13&gt;0,Eingabe!$E$13&gt;=179),179,"")</f>
        <v/>
      </c>
      <c r="E995" s="21" t="str">
        <f aca="false">IF(AND(Eingabe!$F$13&gt;0,Eingabe!$E$13&gt;=179),IF((Eingabe!$G$13+1)&lt;=9,1000+(Eingabe!$G$13+1)*100,3000)+79,"")</f>
        <v/>
      </c>
      <c r="F995" s="21" t="str">
        <f aca="false">IF(AND(Eingabe!$F$13&gt;0,Eingabe!$E$13&gt;=179),"10."&amp;Eingabe!$D$13&amp;".179.0/24","")</f>
        <v/>
      </c>
      <c r="G995" s="21" t="str">
        <f aca="false">IF(AND(Eingabe!$F$13&gt;0,Eingabe!$E$13&gt;=179),"10."&amp;Eingabe!$D$13&amp;".179.1","")</f>
        <v/>
      </c>
      <c r="H995" s="21" t="str">
        <f aca="false">IF(AND(Eingabe!$F$13&gt;0,Eingabe!$E$13&gt;=179),"10."&amp;Eingabe!$D$13&amp;".179.10 – 10."&amp;Eingabe!$D$13&amp;".179.250","")</f>
        <v/>
      </c>
      <c r="I995" s="21" t="str">
        <f aca="false">IF(AND(Eingabe!$F$13&gt;0,Eingabe!$E$13&gt;=179),Eingabe!$B$6&amp;"-"&amp;Eingabe!$C$13&amp;"-Pächter","")</f>
        <v/>
      </c>
      <c r="J995" s="21" t="str">
        <f aca="false">IF(AND(Eingabe!$F$13&gt;0,Eingabe!$E$13&gt;=179),"PPSK: Passwort Parzelle 179","")</f>
        <v/>
      </c>
      <c r="K995" s="21" t="str">
        <f aca="false">IF(AND(Eingabe!$F$13&gt;0,Eingabe!$E$13&gt;=179),"1. Gerät: 10."&amp;Eingabe!$D$13&amp;".179.10, 2. Gerät: .11","")</f>
        <v/>
      </c>
    </row>
    <row r="996" customFormat="false" ht="15" hidden="false" customHeight="false" outlineLevel="0" collapsed="false">
      <c r="A996" s="21" t="str">
        <f aca="false">IF(AND(Eingabe!$F$13&gt;0,Eingabe!$E$13&gt;=180),5,"")</f>
        <v/>
      </c>
      <c r="B996" s="21" t="str">
        <f aca="false">IF(AND(Eingabe!$F$13&gt;0,Eingabe!$E$13&gt;=180),Eingabe!$B$13,"")</f>
        <v/>
      </c>
      <c r="C996" s="21" t="str">
        <f aca="false">IF(AND(Eingabe!$F$13&gt;0,Eingabe!$E$13&gt;=180),Eingabe!$C$13&amp;"-Paz."&amp;TEXT(180,"000"),"")</f>
        <v/>
      </c>
      <c r="D996" s="21" t="str">
        <f aca="false">IF(AND(Eingabe!$F$13&gt;0,Eingabe!$E$13&gt;=180),180,"")</f>
        <v/>
      </c>
      <c r="E996" s="21" t="str">
        <f aca="false">IF(AND(Eingabe!$F$13&gt;0,Eingabe!$E$13&gt;=180),IF((Eingabe!$G$13+1)&lt;=9,1000+(Eingabe!$G$13+1)*100,3000)+80,"")</f>
        <v/>
      </c>
      <c r="F996" s="21" t="str">
        <f aca="false">IF(AND(Eingabe!$F$13&gt;0,Eingabe!$E$13&gt;=180),"10."&amp;Eingabe!$D$13&amp;".180.0/24","")</f>
        <v/>
      </c>
      <c r="G996" s="21" t="str">
        <f aca="false">IF(AND(Eingabe!$F$13&gt;0,Eingabe!$E$13&gt;=180),"10."&amp;Eingabe!$D$13&amp;".180.1","")</f>
        <v/>
      </c>
      <c r="H996" s="21" t="str">
        <f aca="false">IF(AND(Eingabe!$F$13&gt;0,Eingabe!$E$13&gt;=180),"10."&amp;Eingabe!$D$13&amp;".180.10 – 10."&amp;Eingabe!$D$13&amp;".180.250","")</f>
        <v/>
      </c>
      <c r="I996" s="21" t="str">
        <f aca="false">IF(AND(Eingabe!$F$13&gt;0,Eingabe!$E$13&gt;=180),Eingabe!$B$6&amp;"-"&amp;Eingabe!$C$13&amp;"-Pächter","")</f>
        <v/>
      </c>
      <c r="J996" s="21" t="str">
        <f aca="false">IF(AND(Eingabe!$F$13&gt;0,Eingabe!$E$13&gt;=180),"PPSK: Passwort Parzelle 180","")</f>
        <v/>
      </c>
      <c r="K996" s="21" t="str">
        <f aca="false">IF(AND(Eingabe!$F$13&gt;0,Eingabe!$E$13&gt;=180),"1. Gerät: 10."&amp;Eingabe!$D$13&amp;".180.10, 2. Gerät: .11","")</f>
        <v/>
      </c>
    </row>
    <row r="997" customFormat="false" ht="15" hidden="false" customHeight="false" outlineLevel="0" collapsed="false">
      <c r="A997" s="21" t="str">
        <f aca="false">IF(AND(Eingabe!$F$13&gt;0,Eingabe!$E$13&gt;=181),5,"")</f>
        <v/>
      </c>
      <c r="B997" s="21" t="str">
        <f aca="false">IF(AND(Eingabe!$F$13&gt;0,Eingabe!$E$13&gt;=181),Eingabe!$B$13,"")</f>
        <v/>
      </c>
      <c r="C997" s="21" t="str">
        <f aca="false">IF(AND(Eingabe!$F$13&gt;0,Eingabe!$E$13&gt;=181),Eingabe!$C$13&amp;"-Paz."&amp;TEXT(181,"000"),"")</f>
        <v/>
      </c>
      <c r="D997" s="21" t="str">
        <f aca="false">IF(AND(Eingabe!$F$13&gt;0,Eingabe!$E$13&gt;=181),181,"")</f>
        <v/>
      </c>
      <c r="E997" s="21" t="str">
        <f aca="false">IF(AND(Eingabe!$F$13&gt;0,Eingabe!$E$13&gt;=181),IF((Eingabe!$G$13+1)&lt;=9,1000+(Eingabe!$G$13+1)*100,3000)+81,"")</f>
        <v/>
      </c>
      <c r="F997" s="21" t="str">
        <f aca="false">IF(AND(Eingabe!$F$13&gt;0,Eingabe!$E$13&gt;=181),"10."&amp;Eingabe!$D$13&amp;".181.0/24","")</f>
        <v/>
      </c>
      <c r="G997" s="21" t="str">
        <f aca="false">IF(AND(Eingabe!$F$13&gt;0,Eingabe!$E$13&gt;=181),"10."&amp;Eingabe!$D$13&amp;".181.1","")</f>
        <v/>
      </c>
      <c r="H997" s="21" t="str">
        <f aca="false">IF(AND(Eingabe!$F$13&gt;0,Eingabe!$E$13&gt;=181),"10."&amp;Eingabe!$D$13&amp;".181.10 – 10."&amp;Eingabe!$D$13&amp;".181.250","")</f>
        <v/>
      </c>
      <c r="I997" s="21" t="str">
        <f aca="false">IF(AND(Eingabe!$F$13&gt;0,Eingabe!$E$13&gt;=181),Eingabe!$B$6&amp;"-"&amp;Eingabe!$C$13&amp;"-Pächter","")</f>
        <v/>
      </c>
      <c r="J997" s="21" t="str">
        <f aca="false">IF(AND(Eingabe!$F$13&gt;0,Eingabe!$E$13&gt;=181),"PPSK: Passwort Parzelle 181","")</f>
        <v/>
      </c>
      <c r="K997" s="21" t="str">
        <f aca="false">IF(AND(Eingabe!$F$13&gt;0,Eingabe!$E$13&gt;=181),"1. Gerät: 10."&amp;Eingabe!$D$13&amp;".181.10, 2. Gerät: .11","")</f>
        <v/>
      </c>
    </row>
    <row r="998" customFormat="false" ht="15" hidden="false" customHeight="false" outlineLevel="0" collapsed="false">
      <c r="A998" s="21" t="str">
        <f aca="false">IF(AND(Eingabe!$F$13&gt;0,Eingabe!$E$13&gt;=182),5,"")</f>
        <v/>
      </c>
      <c r="B998" s="21" t="str">
        <f aca="false">IF(AND(Eingabe!$F$13&gt;0,Eingabe!$E$13&gt;=182),Eingabe!$B$13,"")</f>
        <v/>
      </c>
      <c r="C998" s="21" t="str">
        <f aca="false">IF(AND(Eingabe!$F$13&gt;0,Eingabe!$E$13&gt;=182),Eingabe!$C$13&amp;"-Paz."&amp;TEXT(182,"000"),"")</f>
        <v/>
      </c>
      <c r="D998" s="21" t="str">
        <f aca="false">IF(AND(Eingabe!$F$13&gt;0,Eingabe!$E$13&gt;=182),182,"")</f>
        <v/>
      </c>
      <c r="E998" s="21" t="str">
        <f aca="false">IF(AND(Eingabe!$F$13&gt;0,Eingabe!$E$13&gt;=182),IF((Eingabe!$G$13+1)&lt;=9,1000+(Eingabe!$G$13+1)*100,3000)+82,"")</f>
        <v/>
      </c>
      <c r="F998" s="21" t="str">
        <f aca="false">IF(AND(Eingabe!$F$13&gt;0,Eingabe!$E$13&gt;=182),"10."&amp;Eingabe!$D$13&amp;".182.0/24","")</f>
        <v/>
      </c>
      <c r="G998" s="21" t="str">
        <f aca="false">IF(AND(Eingabe!$F$13&gt;0,Eingabe!$E$13&gt;=182),"10."&amp;Eingabe!$D$13&amp;".182.1","")</f>
        <v/>
      </c>
      <c r="H998" s="21" t="str">
        <f aca="false">IF(AND(Eingabe!$F$13&gt;0,Eingabe!$E$13&gt;=182),"10."&amp;Eingabe!$D$13&amp;".182.10 – 10."&amp;Eingabe!$D$13&amp;".182.250","")</f>
        <v/>
      </c>
      <c r="I998" s="21" t="str">
        <f aca="false">IF(AND(Eingabe!$F$13&gt;0,Eingabe!$E$13&gt;=182),Eingabe!$B$6&amp;"-"&amp;Eingabe!$C$13&amp;"-Pächter","")</f>
        <v/>
      </c>
      <c r="J998" s="21" t="str">
        <f aca="false">IF(AND(Eingabe!$F$13&gt;0,Eingabe!$E$13&gt;=182),"PPSK: Passwort Parzelle 182","")</f>
        <v/>
      </c>
      <c r="K998" s="21" t="str">
        <f aca="false">IF(AND(Eingabe!$F$13&gt;0,Eingabe!$E$13&gt;=182),"1. Gerät: 10."&amp;Eingabe!$D$13&amp;".182.10, 2. Gerät: .11","")</f>
        <v/>
      </c>
    </row>
    <row r="999" customFormat="false" ht="15" hidden="false" customHeight="false" outlineLevel="0" collapsed="false">
      <c r="A999" s="21" t="str">
        <f aca="false">IF(AND(Eingabe!$F$13&gt;0,Eingabe!$E$13&gt;=183),5,"")</f>
        <v/>
      </c>
      <c r="B999" s="21" t="str">
        <f aca="false">IF(AND(Eingabe!$F$13&gt;0,Eingabe!$E$13&gt;=183),Eingabe!$B$13,"")</f>
        <v/>
      </c>
      <c r="C999" s="21" t="str">
        <f aca="false">IF(AND(Eingabe!$F$13&gt;0,Eingabe!$E$13&gt;=183),Eingabe!$C$13&amp;"-Paz."&amp;TEXT(183,"000"),"")</f>
        <v/>
      </c>
      <c r="D999" s="21" t="str">
        <f aca="false">IF(AND(Eingabe!$F$13&gt;0,Eingabe!$E$13&gt;=183),183,"")</f>
        <v/>
      </c>
      <c r="E999" s="21" t="str">
        <f aca="false">IF(AND(Eingabe!$F$13&gt;0,Eingabe!$E$13&gt;=183),IF((Eingabe!$G$13+1)&lt;=9,1000+(Eingabe!$G$13+1)*100,3000)+83,"")</f>
        <v/>
      </c>
      <c r="F999" s="21" t="str">
        <f aca="false">IF(AND(Eingabe!$F$13&gt;0,Eingabe!$E$13&gt;=183),"10."&amp;Eingabe!$D$13&amp;".183.0/24","")</f>
        <v/>
      </c>
      <c r="G999" s="21" t="str">
        <f aca="false">IF(AND(Eingabe!$F$13&gt;0,Eingabe!$E$13&gt;=183),"10."&amp;Eingabe!$D$13&amp;".183.1","")</f>
        <v/>
      </c>
      <c r="H999" s="21" t="str">
        <f aca="false">IF(AND(Eingabe!$F$13&gt;0,Eingabe!$E$13&gt;=183),"10."&amp;Eingabe!$D$13&amp;".183.10 – 10."&amp;Eingabe!$D$13&amp;".183.250","")</f>
        <v/>
      </c>
      <c r="I999" s="21" t="str">
        <f aca="false">IF(AND(Eingabe!$F$13&gt;0,Eingabe!$E$13&gt;=183),Eingabe!$B$6&amp;"-"&amp;Eingabe!$C$13&amp;"-Pächter","")</f>
        <v/>
      </c>
      <c r="J999" s="21" t="str">
        <f aca="false">IF(AND(Eingabe!$F$13&gt;0,Eingabe!$E$13&gt;=183),"PPSK: Passwort Parzelle 183","")</f>
        <v/>
      </c>
      <c r="K999" s="21" t="str">
        <f aca="false">IF(AND(Eingabe!$F$13&gt;0,Eingabe!$E$13&gt;=183),"1. Gerät: 10."&amp;Eingabe!$D$13&amp;".183.10, 2. Gerät: .11","")</f>
        <v/>
      </c>
    </row>
    <row r="1000" customFormat="false" ht="15" hidden="false" customHeight="false" outlineLevel="0" collapsed="false">
      <c r="A1000" s="21" t="str">
        <f aca="false">IF(AND(Eingabe!$F$13&gt;0,Eingabe!$E$13&gt;=184),5,"")</f>
        <v/>
      </c>
      <c r="B1000" s="21" t="str">
        <f aca="false">IF(AND(Eingabe!$F$13&gt;0,Eingabe!$E$13&gt;=184),Eingabe!$B$13,"")</f>
        <v/>
      </c>
      <c r="C1000" s="21" t="str">
        <f aca="false">IF(AND(Eingabe!$F$13&gt;0,Eingabe!$E$13&gt;=184),Eingabe!$C$13&amp;"-Paz."&amp;TEXT(184,"000"),"")</f>
        <v/>
      </c>
      <c r="D1000" s="21" t="str">
        <f aca="false">IF(AND(Eingabe!$F$13&gt;0,Eingabe!$E$13&gt;=184),184,"")</f>
        <v/>
      </c>
      <c r="E1000" s="21" t="str">
        <f aca="false">IF(AND(Eingabe!$F$13&gt;0,Eingabe!$E$13&gt;=184),IF((Eingabe!$G$13+1)&lt;=9,1000+(Eingabe!$G$13+1)*100,3000)+84,"")</f>
        <v/>
      </c>
      <c r="F1000" s="21" t="str">
        <f aca="false">IF(AND(Eingabe!$F$13&gt;0,Eingabe!$E$13&gt;=184),"10."&amp;Eingabe!$D$13&amp;".184.0/24","")</f>
        <v/>
      </c>
      <c r="G1000" s="21" t="str">
        <f aca="false">IF(AND(Eingabe!$F$13&gt;0,Eingabe!$E$13&gt;=184),"10."&amp;Eingabe!$D$13&amp;".184.1","")</f>
        <v/>
      </c>
      <c r="H1000" s="21" t="str">
        <f aca="false">IF(AND(Eingabe!$F$13&gt;0,Eingabe!$E$13&gt;=184),"10."&amp;Eingabe!$D$13&amp;".184.10 – 10."&amp;Eingabe!$D$13&amp;".184.250","")</f>
        <v/>
      </c>
      <c r="I1000" s="21" t="str">
        <f aca="false">IF(AND(Eingabe!$F$13&gt;0,Eingabe!$E$13&gt;=184),Eingabe!$B$6&amp;"-"&amp;Eingabe!$C$13&amp;"-Pächter","")</f>
        <v/>
      </c>
      <c r="J1000" s="21" t="str">
        <f aca="false">IF(AND(Eingabe!$F$13&gt;0,Eingabe!$E$13&gt;=184),"PPSK: Passwort Parzelle 184","")</f>
        <v/>
      </c>
      <c r="K1000" s="21" t="str">
        <f aca="false">IF(AND(Eingabe!$F$13&gt;0,Eingabe!$E$13&gt;=184),"1. Gerät: 10."&amp;Eingabe!$D$13&amp;".184.10, 2. Gerät: .11","")</f>
        <v/>
      </c>
    </row>
    <row r="1001" customFormat="false" ht="15" hidden="false" customHeight="false" outlineLevel="0" collapsed="false">
      <c r="A1001" s="21" t="str">
        <f aca="false">IF(AND(Eingabe!$F$13&gt;0,Eingabe!$E$13&gt;=185),5,"")</f>
        <v/>
      </c>
      <c r="B1001" s="21" t="str">
        <f aca="false">IF(AND(Eingabe!$F$13&gt;0,Eingabe!$E$13&gt;=185),Eingabe!$B$13,"")</f>
        <v/>
      </c>
      <c r="C1001" s="21" t="str">
        <f aca="false">IF(AND(Eingabe!$F$13&gt;0,Eingabe!$E$13&gt;=185),Eingabe!$C$13&amp;"-Paz."&amp;TEXT(185,"000"),"")</f>
        <v/>
      </c>
      <c r="D1001" s="21" t="str">
        <f aca="false">IF(AND(Eingabe!$F$13&gt;0,Eingabe!$E$13&gt;=185),185,"")</f>
        <v/>
      </c>
      <c r="E1001" s="21" t="str">
        <f aca="false">IF(AND(Eingabe!$F$13&gt;0,Eingabe!$E$13&gt;=185),IF((Eingabe!$G$13+1)&lt;=9,1000+(Eingabe!$G$13+1)*100,3000)+85,"")</f>
        <v/>
      </c>
      <c r="F1001" s="21" t="str">
        <f aca="false">IF(AND(Eingabe!$F$13&gt;0,Eingabe!$E$13&gt;=185),"10."&amp;Eingabe!$D$13&amp;".185.0/24","")</f>
        <v/>
      </c>
      <c r="G1001" s="21" t="str">
        <f aca="false">IF(AND(Eingabe!$F$13&gt;0,Eingabe!$E$13&gt;=185),"10."&amp;Eingabe!$D$13&amp;".185.1","")</f>
        <v/>
      </c>
      <c r="H1001" s="21" t="str">
        <f aca="false">IF(AND(Eingabe!$F$13&gt;0,Eingabe!$E$13&gt;=185),"10."&amp;Eingabe!$D$13&amp;".185.10 – 10."&amp;Eingabe!$D$13&amp;".185.250","")</f>
        <v/>
      </c>
      <c r="I1001" s="21" t="str">
        <f aca="false">IF(AND(Eingabe!$F$13&gt;0,Eingabe!$E$13&gt;=185),Eingabe!$B$6&amp;"-"&amp;Eingabe!$C$13&amp;"-Pächter","")</f>
        <v/>
      </c>
      <c r="J1001" s="21" t="str">
        <f aca="false">IF(AND(Eingabe!$F$13&gt;0,Eingabe!$E$13&gt;=185),"PPSK: Passwort Parzelle 185","")</f>
        <v/>
      </c>
      <c r="K1001" s="21" t="str">
        <f aca="false">IF(AND(Eingabe!$F$13&gt;0,Eingabe!$E$13&gt;=185),"1. Gerät: 10."&amp;Eingabe!$D$13&amp;".185.10, 2. Gerät: .11","")</f>
        <v/>
      </c>
    </row>
    <row r="1002" customFormat="false" ht="15" hidden="false" customHeight="false" outlineLevel="0" collapsed="false">
      <c r="A1002" s="21" t="str">
        <f aca="false">IF(AND(Eingabe!$F$13&gt;0,Eingabe!$E$13&gt;=186),5,"")</f>
        <v/>
      </c>
      <c r="B1002" s="21" t="str">
        <f aca="false">IF(AND(Eingabe!$F$13&gt;0,Eingabe!$E$13&gt;=186),Eingabe!$B$13,"")</f>
        <v/>
      </c>
      <c r="C1002" s="21" t="str">
        <f aca="false">IF(AND(Eingabe!$F$13&gt;0,Eingabe!$E$13&gt;=186),Eingabe!$C$13&amp;"-Paz."&amp;TEXT(186,"000"),"")</f>
        <v/>
      </c>
      <c r="D1002" s="21" t="str">
        <f aca="false">IF(AND(Eingabe!$F$13&gt;0,Eingabe!$E$13&gt;=186),186,"")</f>
        <v/>
      </c>
      <c r="E1002" s="21" t="str">
        <f aca="false">IF(AND(Eingabe!$F$13&gt;0,Eingabe!$E$13&gt;=186),IF((Eingabe!$G$13+1)&lt;=9,1000+(Eingabe!$G$13+1)*100,3000)+86,"")</f>
        <v/>
      </c>
      <c r="F1002" s="21" t="str">
        <f aca="false">IF(AND(Eingabe!$F$13&gt;0,Eingabe!$E$13&gt;=186),"10."&amp;Eingabe!$D$13&amp;".186.0/24","")</f>
        <v/>
      </c>
      <c r="G1002" s="21" t="str">
        <f aca="false">IF(AND(Eingabe!$F$13&gt;0,Eingabe!$E$13&gt;=186),"10."&amp;Eingabe!$D$13&amp;".186.1","")</f>
        <v/>
      </c>
      <c r="H1002" s="21" t="str">
        <f aca="false">IF(AND(Eingabe!$F$13&gt;0,Eingabe!$E$13&gt;=186),"10."&amp;Eingabe!$D$13&amp;".186.10 – 10."&amp;Eingabe!$D$13&amp;".186.250","")</f>
        <v/>
      </c>
      <c r="I1002" s="21" t="str">
        <f aca="false">IF(AND(Eingabe!$F$13&gt;0,Eingabe!$E$13&gt;=186),Eingabe!$B$6&amp;"-"&amp;Eingabe!$C$13&amp;"-Pächter","")</f>
        <v/>
      </c>
      <c r="J1002" s="21" t="str">
        <f aca="false">IF(AND(Eingabe!$F$13&gt;0,Eingabe!$E$13&gt;=186),"PPSK: Passwort Parzelle 186","")</f>
        <v/>
      </c>
      <c r="K1002" s="21" t="str">
        <f aca="false">IF(AND(Eingabe!$F$13&gt;0,Eingabe!$E$13&gt;=186),"1. Gerät: 10."&amp;Eingabe!$D$13&amp;".186.10, 2. Gerät: .11","")</f>
        <v/>
      </c>
    </row>
    <row r="1003" customFormat="false" ht="15" hidden="false" customHeight="false" outlineLevel="0" collapsed="false">
      <c r="A1003" s="21" t="str">
        <f aca="false">IF(AND(Eingabe!$F$13&gt;0,Eingabe!$E$13&gt;=187),5,"")</f>
        <v/>
      </c>
      <c r="B1003" s="21" t="str">
        <f aca="false">IF(AND(Eingabe!$F$13&gt;0,Eingabe!$E$13&gt;=187),Eingabe!$B$13,"")</f>
        <v/>
      </c>
      <c r="C1003" s="21" t="str">
        <f aca="false">IF(AND(Eingabe!$F$13&gt;0,Eingabe!$E$13&gt;=187),Eingabe!$C$13&amp;"-Paz."&amp;TEXT(187,"000"),"")</f>
        <v/>
      </c>
      <c r="D1003" s="21" t="str">
        <f aca="false">IF(AND(Eingabe!$F$13&gt;0,Eingabe!$E$13&gt;=187),187,"")</f>
        <v/>
      </c>
      <c r="E1003" s="21" t="str">
        <f aca="false">IF(AND(Eingabe!$F$13&gt;0,Eingabe!$E$13&gt;=187),IF((Eingabe!$G$13+1)&lt;=9,1000+(Eingabe!$G$13+1)*100,3000)+87,"")</f>
        <v/>
      </c>
      <c r="F1003" s="21" t="str">
        <f aca="false">IF(AND(Eingabe!$F$13&gt;0,Eingabe!$E$13&gt;=187),"10."&amp;Eingabe!$D$13&amp;".187.0/24","")</f>
        <v/>
      </c>
      <c r="G1003" s="21" t="str">
        <f aca="false">IF(AND(Eingabe!$F$13&gt;0,Eingabe!$E$13&gt;=187),"10."&amp;Eingabe!$D$13&amp;".187.1","")</f>
        <v/>
      </c>
      <c r="H1003" s="21" t="str">
        <f aca="false">IF(AND(Eingabe!$F$13&gt;0,Eingabe!$E$13&gt;=187),"10."&amp;Eingabe!$D$13&amp;".187.10 – 10."&amp;Eingabe!$D$13&amp;".187.250","")</f>
        <v/>
      </c>
      <c r="I1003" s="21" t="str">
        <f aca="false">IF(AND(Eingabe!$F$13&gt;0,Eingabe!$E$13&gt;=187),Eingabe!$B$6&amp;"-"&amp;Eingabe!$C$13&amp;"-Pächter","")</f>
        <v/>
      </c>
      <c r="J1003" s="21" t="str">
        <f aca="false">IF(AND(Eingabe!$F$13&gt;0,Eingabe!$E$13&gt;=187),"PPSK: Passwort Parzelle 187","")</f>
        <v/>
      </c>
      <c r="K1003" s="21" t="str">
        <f aca="false">IF(AND(Eingabe!$F$13&gt;0,Eingabe!$E$13&gt;=187),"1. Gerät: 10."&amp;Eingabe!$D$13&amp;".187.10, 2. Gerät: .11","")</f>
        <v/>
      </c>
    </row>
    <row r="1004" customFormat="false" ht="15" hidden="false" customHeight="false" outlineLevel="0" collapsed="false">
      <c r="A1004" s="21" t="str">
        <f aca="false">IF(AND(Eingabe!$F$13&gt;0,Eingabe!$E$13&gt;=188),5,"")</f>
        <v/>
      </c>
      <c r="B1004" s="21" t="str">
        <f aca="false">IF(AND(Eingabe!$F$13&gt;0,Eingabe!$E$13&gt;=188),Eingabe!$B$13,"")</f>
        <v/>
      </c>
      <c r="C1004" s="21" t="str">
        <f aca="false">IF(AND(Eingabe!$F$13&gt;0,Eingabe!$E$13&gt;=188),Eingabe!$C$13&amp;"-Paz."&amp;TEXT(188,"000"),"")</f>
        <v/>
      </c>
      <c r="D1004" s="21" t="str">
        <f aca="false">IF(AND(Eingabe!$F$13&gt;0,Eingabe!$E$13&gt;=188),188,"")</f>
        <v/>
      </c>
      <c r="E1004" s="21" t="str">
        <f aca="false">IF(AND(Eingabe!$F$13&gt;0,Eingabe!$E$13&gt;=188),IF((Eingabe!$G$13+1)&lt;=9,1000+(Eingabe!$G$13+1)*100,3000)+88,"")</f>
        <v/>
      </c>
      <c r="F1004" s="21" t="str">
        <f aca="false">IF(AND(Eingabe!$F$13&gt;0,Eingabe!$E$13&gt;=188),"10."&amp;Eingabe!$D$13&amp;".188.0/24","")</f>
        <v/>
      </c>
      <c r="G1004" s="21" t="str">
        <f aca="false">IF(AND(Eingabe!$F$13&gt;0,Eingabe!$E$13&gt;=188),"10."&amp;Eingabe!$D$13&amp;".188.1","")</f>
        <v/>
      </c>
      <c r="H1004" s="21" t="str">
        <f aca="false">IF(AND(Eingabe!$F$13&gt;0,Eingabe!$E$13&gt;=188),"10."&amp;Eingabe!$D$13&amp;".188.10 – 10."&amp;Eingabe!$D$13&amp;".188.250","")</f>
        <v/>
      </c>
      <c r="I1004" s="21" t="str">
        <f aca="false">IF(AND(Eingabe!$F$13&gt;0,Eingabe!$E$13&gt;=188),Eingabe!$B$6&amp;"-"&amp;Eingabe!$C$13&amp;"-Pächter","")</f>
        <v/>
      </c>
      <c r="J1004" s="21" t="str">
        <f aca="false">IF(AND(Eingabe!$F$13&gt;0,Eingabe!$E$13&gt;=188),"PPSK: Passwort Parzelle 188","")</f>
        <v/>
      </c>
      <c r="K1004" s="21" t="str">
        <f aca="false">IF(AND(Eingabe!$F$13&gt;0,Eingabe!$E$13&gt;=188),"1. Gerät: 10."&amp;Eingabe!$D$13&amp;".188.10, 2. Gerät: .11","")</f>
        <v/>
      </c>
    </row>
    <row r="1005" customFormat="false" ht="15" hidden="false" customHeight="false" outlineLevel="0" collapsed="false">
      <c r="A1005" s="21" t="str">
        <f aca="false">IF(AND(Eingabe!$F$13&gt;0,Eingabe!$E$13&gt;=189),5,"")</f>
        <v/>
      </c>
      <c r="B1005" s="21" t="str">
        <f aca="false">IF(AND(Eingabe!$F$13&gt;0,Eingabe!$E$13&gt;=189),Eingabe!$B$13,"")</f>
        <v/>
      </c>
      <c r="C1005" s="21" t="str">
        <f aca="false">IF(AND(Eingabe!$F$13&gt;0,Eingabe!$E$13&gt;=189),Eingabe!$C$13&amp;"-Paz."&amp;TEXT(189,"000"),"")</f>
        <v/>
      </c>
      <c r="D1005" s="21" t="str">
        <f aca="false">IF(AND(Eingabe!$F$13&gt;0,Eingabe!$E$13&gt;=189),189,"")</f>
        <v/>
      </c>
      <c r="E1005" s="21" t="str">
        <f aca="false">IF(AND(Eingabe!$F$13&gt;0,Eingabe!$E$13&gt;=189),IF((Eingabe!$G$13+1)&lt;=9,1000+(Eingabe!$G$13+1)*100,3000)+89,"")</f>
        <v/>
      </c>
      <c r="F1005" s="21" t="str">
        <f aca="false">IF(AND(Eingabe!$F$13&gt;0,Eingabe!$E$13&gt;=189),"10."&amp;Eingabe!$D$13&amp;".189.0/24","")</f>
        <v/>
      </c>
      <c r="G1005" s="21" t="str">
        <f aca="false">IF(AND(Eingabe!$F$13&gt;0,Eingabe!$E$13&gt;=189),"10."&amp;Eingabe!$D$13&amp;".189.1","")</f>
        <v/>
      </c>
      <c r="H1005" s="21" t="str">
        <f aca="false">IF(AND(Eingabe!$F$13&gt;0,Eingabe!$E$13&gt;=189),"10."&amp;Eingabe!$D$13&amp;".189.10 – 10."&amp;Eingabe!$D$13&amp;".189.250","")</f>
        <v/>
      </c>
      <c r="I1005" s="21" t="str">
        <f aca="false">IF(AND(Eingabe!$F$13&gt;0,Eingabe!$E$13&gt;=189),Eingabe!$B$6&amp;"-"&amp;Eingabe!$C$13&amp;"-Pächter","")</f>
        <v/>
      </c>
      <c r="J1005" s="21" t="str">
        <f aca="false">IF(AND(Eingabe!$F$13&gt;0,Eingabe!$E$13&gt;=189),"PPSK: Passwort Parzelle 189","")</f>
        <v/>
      </c>
      <c r="K1005" s="21" t="str">
        <f aca="false">IF(AND(Eingabe!$F$13&gt;0,Eingabe!$E$13&gt;=189),"1. Gerät: 10."&amp;Eingabe!$D$13&amp;".189.10, 2. Gerät: .11","")</f>
        <v/>
      </c>
    </row>
    <row r="1006" customFormat="false" ht="15" hidden="false" customHeight="false" outlineLevel="0" collapsed="false">
      <c r="A1006" s="21" t="str">
        <f aca="false">IF(AND(Eingabe!$F$13&gt;0,Eingabe!$E$13&gt;=190),5,"")</f>
        <v/>
      </c>
      <c r="B1006" s="21" t="str">
        <f aca="false">IF(AND(Eingabe!$F$13&gt;0,Eingabe!$E$13&gt;=190),Eingabe!$B$13,"")</f>
        <v/>
      </c>
      <c r="C1006" s="21" t="str">
        <f aca="false">IF(AND(Eingabe!$F$13&gt;0,Eingabe!$E$13&gt;=190),Eingabe!$C$13&amp;"-Paz."&amp;TEXT(190,"000"),"")</f>
        <v/>
      </c>
      <c r="D1006" s="21" t="str">
        <f aca="false">IF(AND(Eingabe!$F$13&gt;0,Eingabe!$E$13&gt;=190),190,"")</f>
        <v/>
      </c>
      <c r="E1006" s="21" t="str">
        <f aca="false">IF(AND(Eingabe!$F$13&gt;0,Eingabe!$E$13&gt;=190),IF((Eingabe!$G$13+1)&lt;=9,1000+(Eingabe!$G$13+1)*100,3000)+90,"")</f>
        <v/>
      </c>
      <c r="F1006" s="21" t="str">
        <f aca="false">IF(AND(Eingabe!$F$13&gt;0,Eingabe!$E$13&gt;=190),"10."&amp;Eingabe!$D$13&amp;".190.0/24","")</f>
        <v/>
      </c>
      <c r="G1006" s="21" t="str">
        <f aca="false">IF(AND(Eingabe!$F$13&gt;0,Eingabe!$E$13&gt;=190),"10."&amp;Eingabe!$D$13&amp;".190.1","")</f>
        <v/>
      </c>
      <c r="H1006" s="21" t="str">
        <f aca="false">IF(AND(Eingabe!$F$13&gt;0,Eingabe!$E$13&gt;=190),"10."&amp;Eingabe!$D$13&amp;".190.10 – 10."&amp;Eingabe!$D$13&amp;".190.250","")</f>
        <v/>
      </c>
      <c r="I1006" s="21" t="str">
        <f aca="false">IF(AND(Eingabe!$F$13&gt;0,Eingabe!$E$13&gt;=190),Eingabe!$B$6&amp;"-"&amp;Eingabe!$C$13&amp;"-Pächter","")</f>
        <v/>
      </c>
      <c r="J1006" s="21" t="str">
        <f aca="false">IF(AND(Eingabe!$F$13&gt;0,Eingabe!$E$13&gt;=190),"PPSK: Passwort Parzelle 190","")</f>
        <v/>
      </c>
      <c r="K1006" s="21" t="str">
        <f aca="false">IF(AND(Eingabe!$F$13&gt;0,Eingabe!$E$13&gt;=190),"1. Gerät: 10."&amp;Eingabe!$D$13&amp;".190.10, 2. Gerät: .11","")</f>
        <v/>
      </c>
    </row>
    <row r="1007" customFormat="false" ht="15" hidden="false" customHeight="false" outlineLevel="0" collapsed="false">
      <c r="A1007" s="21" t="str">
        <f aca="false">IF(AND(Eingabe!$F$13&gt;0,Eingabe!$E$13&gt;=191),5,"")</f>
        <v/>
      </c>
      <c r="B1007" s="21" t="str">
        <f aca="false">IF(AND(Eingabe!$F$13&gt;0,Eingabe!$E$13&gt;=191),Eingabe!$B$13,"")</f>
        <v/>
      </c>
      <c r="C1007" s="21" t="str">
        <f aca="false">IF(AND(Eingabe!$F$13&gt;0,Eingabe!$E$13&gt;=191),Eingabe!$C$13&amp;"-Paz."&amp;TEXT(191,"000"),"")</f>
        <v/>
      </c>
      <c r="D1007" s="21" t="str">
        <f aca="false">IF(AND(Eingabe!$F$13&gt;0,Eingabe!$E$13&gt;=191),191,"")</f>
        <v/>
      </c>
      <c r="E1007" s="21" t="str">
        <f aca="false">IF(AND(Eingabe!$F$13&gt;0,Eingabe!$E$13&gt;=191),IF((Eingabe!$G$13+1)&lt;=9,1000+(Eingabe!$G$13+1)*100,3000)+91,"")</f>
        <v/>
      </c>
      <c r="F1007" s="21" t="str">
        <f aca="false">IF(AND(Eingabe!$F$13&gt;0,Eingabe!$E$13&gt;=191),"10."&amp;Eingabe!$D$13&amp;".191.0/24","")</f>
        <v/>
      </c>
      <c r="G1007" s="21" t="str">
        <f aca="false">IF(AND(Eingabe!$F$13&gt;0,Eingabe!$E$13&gt;=191),"10."&amp;Eingabe!$D$13&amp;".191.1","")</f>
        <v/>
      </c>
      <c r="H1007" s="21" t="str">
        <f aca="false">IF(AND(Eingabe!$F$13&gt;0,Eingabe!$E$13&gt;=191),"10."&amp;Eingabe!$D$13&amp;".191.10 – 10."&amp;Eingabe!$D$13&amp;".191.250","")</f>
        <v/>
      </c>
      <c r="I1007" s="21" t="str">
        <f aca="false">IF(AND(Eingabe!$F$13&gt;0,Eingabe!$E$13&gt;=191),Eingabe!$B$6&amp;"-"&amp;Eingabe!$C$13&amp;"-Pächter","")</f>
        <v/>
      </c>
      <c r="J1007" s="21" t="str">
        <f aca="false">IF(AND(Eingabe!$F$13&gt;0,Eingabe!$E$13&gt;=191),"PPSK: Passwort Parzelle 191","")</f>
        <v/>
      </c>
      <c r="K1007" s="21" t="str">
        <f aca="false">IF(AND(Eingabe!$F$13&gt;0,Eingabe!$E$13&gt;=191),"1. Gerät: 10."&amp;Eingabe!$D$13&amp;".191.10, 2. Gerät: .11","")</f>
        <v/>
      </c>
    </row>
    <row r="1008" customFormat="false" ht="15" hidden="false" customHeight="false" outlineLevel="0" collapsed="false">
      <c r="A1008" s="21" t="str">
        <f aca="false">IF(AND(Eingabe!$F$13&gt;0,Eingabe!$E$13&gt;=192),5,"")</f>
        <v/>
      </c>
      <c r="B1008" s="21" t="str">
        <f aca="false">IF(AND(Eingabe!$F$13&gt;0,Eingabe!$E$13&gt;=192),Eingabe!$B$13,"")</f>
        <v/>
      </c>
      <c r="C1008" s="21" t="str">
        <f aca="false">IF(AND(Eingabe!$F$13&gt;0,Eingabe!$E$13&gt;=192),Eingabe!$C$13&amp;"-Paz."&amp;TEXT(192,"000"),"")</f>
        <v/>
      </c>
      <c r="D1008" s="21" t="str">
        <f aca="false">IF(AND(Eingabe!$F$13&gt;0,Eingabe!$E$13&gt;=192),192,"")</f>
        <v/>
      </c>
      <c r="E1008" s="21" t="str">
        <f aca="false">IF(AND(Eingabe!$F$13&gt;0,Eingabe!$E$13&gt;=192),IF((Eingabe!$G$13+1)&lt;=9,1000+(Eingabe!$G$13+1)*100,3000)+92,"")</f>
        <v/>
      </c>
      <c r="F1008" s="21" t="str">
        <f aca="false">IF(AND(Eingabe!$F$13&gt;0,Eingabe!$E$13&gt;=192),"10."&amp;Eingabe!$D$13&amp;".192.0/24","")</f>
        <v/>
      </c>
      <c r="G1008" s="21" t="str">
        <f aca="false">IF(AND(Eingabe!$F$13&gt;0,Eingabe!$E$13&gt;=192),"10."&amp;Eingabe!$D$13&amp;".192.1","")</f>
        <v/>
      </c>
      <c r="H1008" s="21" t="str">
        <f aca="false">IF(AND(Eingabe!$F$13&gt;0,Eingabe!$E$13&gt;=192),"10."&amp;Eingabe!$D$13&amp;".192.10 – 10."&amp;Eingabe!$D$13&amp;".192.250","")</f>
        <v/>
      </c>
      <c r="I1008" s="21" t="str">
        <f aca="false">IF(AND(Eingabe!$F$13&gt;0,Eingabe!$E$13&gt;=192),Eingabe!$B$6&amp;"-"&amp;Eingabe!$C$13&amp;"-Pächter","")</f>
        <v/>
      </c>
      <c r="J1008" s="21" t="str">
        <f aca="false">IF(AND(Eingabe!$F$13&gt;0,Eingabe!$E$13&gt;=192),"PPSK: Passwort Parzelle 192","")</f>
        <v/>
      </c>
      <c r="K1008" s="21" t="str">
        <f aca="false">IF(AND(Eingabe!$F$13&gt;0,Eingabe!$E$13&gt;=192),"1. Gerät: 10."&amp;Eingabe!$D$13&amp;".192.10, 2. Gerät: .11","")</f>
        <v/>
      </c>
    </row>
    <row r="1009" customFormat="false" ht="15" hidden="false" customHeight="false" outlineLevel="0" collapsed="false">
      <c r="A1009" s="21" t="str">
        <f aca="false">IF(AND(Eingabe!$F$13&gt;0,Eingabe!$E$13&gt;=193),5,"")</f>
        <v/>
      </c>
      <c r="B1009" s="21" t="str">
        <f aca="false">IF(AND(Eingabe!$F$13&gt;0,Eingabe!$E$13&gt;=193),Eingabe!$B$13,"")</f>
        <v/>
      </c>
      <c r="C1009" s="21" t="str">
        <f aca="false">IF(AND(Eingabe!$F$13&gt;0,Eingabe!$E$13&gt;=193),Eingabe!$C$13&amp;"-Paz."&amp;TEXT(193,"000"),"")</f>
        <v/>
      </c>
      <c r="D1009" s="21" t="str">
        <f aca="false">IF(AND(Eingabe!$F$13&gt;0,Eingabe!$E$13&gt;=193),193,"")</f>
        <v/>
      </c>
      <c r="E1009" s="21" t="str">
        <f aca="false">IF(AND(Eingabe!$F$13&gt;0,Eingabe!$E$13&gt;=193),IF((Eingabe!$G$13+1)&lt;=9,1000+(Eingabe!$G$13+1)*100,3000)+93,"")</f>
        <v/>
      </c>
      <c r="F1009" s="21" t="str">
        <f aca="false">IF(AND(Eingabe!$F$13&gt;0,Eingabe!$E$13&gt;=193),"10."&amp;Eingabe!$D$13&amp;".193.0/24","")</f>
        <v/>
      </c>
      <c r="G1009" s="21" t="str">
        <f aca="false">IF(AND(Eingabe!$F$13&gt;0,Eingabe!$E$13&gt;=193),"10."&amp;Eingabe!$D$13&amp;".193.1","")</f>
        <v/>
      </c>
      <c r="H1009" s="21" t="str">
        <f aca="false">IF(AND(Eingabe!$F$13&gt;0,Eingabe!$E$13&gt;=193),"10."&amp;Eingabe!$D$13&amp;".193.10 – 10."&amp;Eingabe!$D$13&amp;".193.250","")</f>
        <v/>
      </c>
      <c r="I1009" s="21" t="str">
        <f aca="false">IF(AND(Eingabe!$F$13&gt;0,Eingabe!$E$13&gt;=193),Eingabe!$B$6&amp;"-"&amp;Eingabe!$C$13&amp;"-Pächter","")</f>
        <v/>
      </c>
      <c r="J1009" s="21" t="str">
        <f aca="false">IF(AND(Eingabe!$F$13&gt;0,Eingabe!$E$13&gt;=193),"PPSK: Passwort Parzelle 193","")</f>
        <v/>
      </c>
      <c r="K1009" s="21" t="str">
        <f aca="false">IF(AND(Eingabe!$F$13&gt;0,Eingabe!$E$13&gt;=193),"1. Gerät: 10."&amp;Eingabe!$D$13&amp;".193.10, 2. Gerät: .11","")</f>
        <v/>
      </c>
    </row>
    <row r="1010" customFormat="false" ht="15" hidden="false" customHeight="false" outlineLevel="0" collapsed="false">
      <c r="A1010" s="21" t="str">
        <f aca="false">IF(AND(Eingabe!$F$13&gt;0,Eingabe!$E$13&gt;=194),5,"")</f>
        <v/>
      </c>
      <c r="B1010" s="21" t="str">
        <f aca="false">IF(AND(Eingabe!$F$13&gt;0,Eingabe!$E$13&gt;=194),Eingabe!$B$13,"")</f>
        <v/>
      </c>
      <c r="C1010" s="21" t="str">
        <f aca="false">IF(AND(Eingabe!$F$13&gt;0,Eingabe!$E$13&gt;=194),Eingabe!$C$13&amp;"-Paz."&amp;TEXT(194,"000"),"")</f>
        <v/>
      </c>
      <c r="D1010" s="21" t="str">
        <f aca="false">IF(AND(Eingabe!$F$13&gt;0,Eingabe!$E$13&gt;=194),194,"")</f>
        <v/>
      </c>
      <c r="E1010" s="21" t="str">
        <f aca="false">IF(AND(Eingabe!$F$13&gt;0,Eingabe!$E$13&gt;=194),IF((Eingabe!$G$13+1)&lt;=9,1000+(Eingabe!$G$13+1)*100,3000)+94,"")</f>
        <v/>
      </c>
      <c r="F1010" s="21" t="str">
        <f aca="false">IF(AND(Eingabe!$F$13&gt;0,Eingabe!$E$13&gt;=194),"10."&amp;Eingabe!$D$13&amp;".194.0/24","")</f>
        <v/>
      </c>
      <c r="G1010" s="21" t="str">
        <f aca="false">IF(AND(Eingabe!$F$13&gt;0,Eingabe!$E$13&gt;=194),"10."&amp;Eingabe!$D$13&amp;".194.1","")</f>
        <v/>
      </c>
      <c r="H1010" s="21" t="str">
        <f aca="false">IF(AND(Eingabe!$F$13&gt;0,Eingabe!$E$13&gt;=194),"10."&amp;Eingabe!$D$13&amp;".194.10 – 10."&amp;Eingabe!$D$13&amp;".194.250","")</f>
        <v/>
      </c>
      <c r="I1010" s="21" t="str">
        <f aca="false">IF(AND(Eingabe!$F$13&gt;0,Eingabe!$E$13&gt;=194),Eingabe!$B$6&amp;"-"&amp;Eingabe!$C$13&amp;"-Pächter","")</f>
        <v/>
      </c>
      <c r="J1010" s="21" t="str">
        <f aca="false">IF(AND(Eingabe!$F$13&gt;0,Eingabe!$E$13&gt;=194),"PPSK: Passwort Parzelle 194","")</f>
        <v/>
      </c>
      <c r="K1010" s="21" t="str">
        <f aca="false">IF(AND(Eingabe!$F$13&gt;0,Eingabe!$E$13&gt;=194),"1. Gerät: 10."&amp;Eingabe!$D$13&amp;".194.10, 2. Gerät: .11","")</f>
        <v/>
      </c>
    </row>
    <row r="1011" customFormat="false" ht="15" hidden="false" customHeight="false" outlineLevel="0" collapsed="false">
      <c r="A1011" s="21" t="str">
        <f aca="false">IF(AND(Eingabe!$F$13&gt;0,Eingabe!$E$13&gt;=195),5,"")</f>
        <v/>
      </c>
      <c r="B1011" s="21" t="str">
        <f aca="false">IF(AND(Eingabe!$F$13&gt;0,Eingabe!$E$13&gt;=195),Eingabe!$B$13,"")</f>
        <v/>
      </c>
      <c r="C1011" s="21" t="str">
        <f aca="false">IF(AND(Eingabe!$F$13&gt;0,Eingabe!$E$13&gt;=195),Eingabe!$C$13&amp;"-Paz."&amp;TEXT(195,"000"),"")</f>
        <v/>
      </c>
      <c r="D1011" s="21" t="str">
        <f aca="false">IF(AND(Eingabe!$F$13&gt;0,Eingabe!$E$13&gt;=195),195,"")</f>
        <v/>
      </c>
      <c r="E1011" s="21" t="str">
        <f aca="false">IF(AND(Eingabe!$F$13&gt;0,Eingabe!$E$13&gt;=195),IF((Eingabe!$G$13+1)&lt;=9,1000+(Eingabe!$G$13+1)*100,3000)+95,"")</f>
        <v/>
      </c>
      <c r="F1011" s="21" t="str">
        <f aca="false">IF(AND(Eingabe!$F$13&gt;0,Eingabe!$E$13&gt;=195),"10."&amp;Eingabe!$D$13&amp;".195.0/24","")</f>
        <v/>
      </c>
      <c r="G1011" s="21" t="str">
        <f aca="false">IF(AND(Eingabe!$F$13&gt;0,Eingabe!$E$13&gt;=195),"10."&amp;Eingabe!$D$13&amp;".195.1","")</f>
        <v/>
      </c>
      <c r="H1011" s="21" t="str">
        <f aca="false">IF(AND(Eingabe!$F$13&gt;0,Eingabe!$E$13&gt;=195),"10."&amp;Eingabe!$D$13&amp;".195.10 – 10."&amp;Eingabe!$D$13&amp;".195.250","")</f>
        <v/>
      </c>
      <c r="I1011" s="21" t="str">
        <f aca="false">IF(AND(Eingabe!$F$13&gt;0,Eingabe!$E$13&gt;=195),Eingabe!$B$6&amp;"-"&amp;Eingabe!$C$13&amp;"-Pächter","")</f>
        <v/>
      </c>
      <c r="J1011" s="21" t="str">
        <f aca="false">IF(AND(Eingabe!$F$13&gt;0,Eingabe!$E$13&gt;=195),"PPSK: Passwort Parzelle 195","")</f>
        <v/>
      </c>
      <c r="K1011" s="21" t="str">
        <f aca="false">IF(AND(Eingabe!$F$13&gt;0,Eingabe!$E$13&gt;=195),"1. Gerät: 10."&amp;Eingabe!$D$13&amp;".195.10, 2. Gerät: .11","")</f>
        <v/>
      </c>
    </row>
    <row r="1012" customFormat="false" ht="15" hidden="false" customHeight="false" outlineLevel="0" collapsed="false">
      <c r="A1012" s="21" t="str">
        <f aca="false">IF(AND(Eingabe!$F$13&gt;0,Eingabe!$E$13&gt;=196),5,"")</f>
        <v/>
      </c>
      <c r="B1012" s="21" t="str">
        <f aca="false">IF(AND(Eingabe!$F$13&gt;0,Eingabe!$E$13&gt;=196),Eingabe!$B$13,"")</f>
        <v/>
      </c>
      <c r="C1012" s="21" t="str">
        <f aca="false">IF(AND(Eingabe!$F$13&gt;0,Eingabe!$E$13&gt;=196),Eingabe!$C$13&amp;"-Paz."&amp;TEXT(196,"000"),"")</f>
        <v/>
      </c>
      <c r="D1012" s="21" t="str">
        <f aca="false">IF(AND(Eingabe!$F$13&gt;0,Eingabe!$E$13&gt;=196),196,"")</f>
        <v/>
      </c>
      <c r="E1012" s="21" t="str">
        <f aca="false">IF(AND(Eingabe!$F$13&gt;0,Eingabe!$E$13&gt;=196),IF((Eingabe!$G$13+1)&lt;=9,1000+(Eingabe!$G$13+1)*100,3000)+96,"")</f>
        <v/>
      </c>
      <c r="F1012" s="21" t="str">
        <f aca="false">IF(AND(Eingabe!$F$13&gt;0,Eingabe!$E$13&gt;=196),"10."&amp;Eingabe!$D$13&amp;".196.0/24","")</f>
        <v/>
      </c>
      <c r="G1012" s="21" t="str">
        <f aca="false">IF(AND(Eingabe!$F$13&gt;0,Eingabe!$E$13&gt;=196),"10."&amp;Eingabe!$D$13&amp;".196.1","")</f>
        <v/>
      </c>
      <c r="H1012" s="21" t="str">
        <f aca="false">IF(AND(Eingabe!$F$13&gt;0,Eingabe!$E$13&gt;=196),"10."&amp;Eingabe!$D$13&amp;".196.10 – 10."&amp;Eingabe!$D$13&amp;".196.250","")</f>
        <v/>
      </c>
      <c r="I1012" s="21" t="str">
        <f aca="false">IF(AND(Eingabe!$F$13&gt;0,Eingabe!$E$13&gt;=196),Eingabe!$B$6&amp;"-"&amp;Eingabe!$C$13&amp;"-Pächter","")</f>
        <v/>
      </c>
      <c r="J1012" s="21" t="str">
        <f aca="false">IF(AND(Eingabe!$F$13&gt;0,Eingabe!$E$13&gt;=196),"PPSK: Passwort Parzelle 196","")</f>
        <v/>
      </c>
      <c r="K1012" s="21" t="str">
        <f aca="false">IF(AND(Eingabe!$F$13&gt;0,Eingabe!$E$13&gt;=196),"1. Gerät: 10."&amp;Eingabe!$D$13&amp;".196.10, 2. Gerät: .11","")</f>
        <v/>
      </c>
    </row>
    <row r="1013" customFormat="false" ht="15" hidden="false" customHeight="false" outlineLevel="0" collapsed="false">
      <c r="A1013" s="21" t="str">
        <f aca="false">IF(AND(Eingabe!$F$13&gt;0,Eingabe!$E$13&gt;=197),5,"")</f>
        <v/>
      </c>
      <c r="B1013" s="21" t="str">
        <f aca="false">IF(AND(Eingabe!$F$13&gt;0,Eingabe!$E$13&gt;=197),Eingabe!$B$13,"")</f>
        <v/>
      </c>
      <c r="C1013" s="21" t="str">
        <f aca="false">IF(AND(Eingabe!$F$13&gt;0,Eingabe!$E$13&gt;=197),Eingabe!$C$13&amp;"-Paz."&amp;TEXT(197,"000"),"")</f>
        <v/>
      </c>
      <c r="D1013" s="21" t="str">
        <f aca="false">IF(AND(Eingabe!$F$13&gt;0,Eingabe!$E$13&gt;=197),197,"")</f>
        <v/>
      </c>
      <c r="E1013" s="21" t="str">
        <f aca="false">IF(AND(Eingabe!$F$13&gt;0,Eingabe!$E$13&gt;=197),IF((Eingabe!$G$13+1)&lt;=9,1000+(Eingabe!$G$13+1)*100,3000)+97,"")</f>
        <v/>
      </c>
      <c r="F1013" s="21" t="str">
        <f aca="false">IF(AND(Eingabe!$F$13&gt;0,Eingabe!$E$13&gt;=197),"10."&amp;Eingabe!$D$13&amp;".197.0/24","")</f>
        <v/>
      </c>
      <c r="G1013" s="21" t="str">
        <f aca="false">IF(AND(Eingabe!$F$13&gt;0,Eingabe!$E$13&gt;=197),"10."&amp;Eingabe!$D$13&amp;".197.1","")</f>
        <v/>
      </c>
      <c r="H1013" s="21" t="str">
        <f aca="false">IF(AND(Eingabe!$F$13&gt;0,Eingabe!$E$13&gt;=197),"10."&amp;Eingabe!$D$13&amp;".197.10 – 10."&amp;Eingabe!$D$13&amp;".197.250","")</f>
        <v/>
      </c>
      <c r="I1013" s="21" t="str">
        <f aca="false">IF(AND(Eingabe!$F$13&gt;0,Eingabe!$E$13&gt;=197),Eingabe!$B$6&amp;"-"&amp;Eingabe!$C$13&amp;"-Pächter","")</f>
        <v/>
      </c>
      <c r="J1013" s="21" t="str">
        <f aca="false">IF(AND(Eingabe!$F$13&gt;0,Eingabe!$E$13&gt;=197),"PPSK: Passwort Parzelle 197","")</f>
        <v/>
      </c>
      <c r="K1013" s="21" t="str">
        <f aca="false">IF(AND(Eingabe!$F$13&gt;0,Eingabe!$E$13&gt;=197),"1. Gerät: 10."&amp;Eingabe!$D$13&amp;".197.10, 2. Gerät: .11","")</f>
        <v/>
      </c>
    </row>
    <row r="1014" customFormat="false" ht="15" hidden="false" customHeight="false" outlineLevel="0" collapsed="false">
      <c r="A1014" s="21" t="str">
        <f aca="false">IF(AND(Eingabe!$F$13&gt;0,Eingabe!$E$13&gt;=198),5,"")</f>
        <v/>
      </c>
      <c r="B1014" s="21" t="str">
        <f aca="false">IF(AND(Eingabe!$F$13&gt;0,Eingabe!$E$13&gt;=198),Eingabe!$B$13,"")</f>
        <v/>
      </c>
      <c r="C1014" s="21" t="str">
        <f aca="false">IF(AND(Eingabe!$F$13&gt;0,Eingabe!$E$13&gt;=198),Eingabe!$C$13&amp;"-Paz."&amp;TEXT(198,"000"),"")</f>
        <v/>
      </c>
      <c r="D1014" s="21" t="str">
        <f aca="false">IF(AND(Eingabe!$F$13&gt;0,Eingabe!$E$13&gt;=198),198,"")</f>
        <v/>
      </c>
      <c r="E1014" s="21" t="str">
        <f aca="false">IF(AND(Eingabe!$F$13&gt;0,Eingabe!$E$13&gt;=198),IF((Eingabe!$G$13+1)&lt;=9,1000+(Eingabe!$G$13+1)*100,3000)+98,"")</f>
        <v/>
      </c>
      <c r="F1014" s="21" t="str">
        <f aca="false">IF(AND(Eingabe!$F$13&gt;0,Eingabe!$E$13&gt;=198),"10."&amp;Eingabe!$D$13&amp;".198.0/24","")</f>
        <v/>
      </c>
      <c r="G1014" s="21" t="str">
        <f aca="false">IF(AND(Eingabe!$F$13&gt;0,Eingabe!$E$13&gt;=198),"10."&amp;Eingabe!$D$13&amp;".198.1","")</f>
        <v/>
      </c>
      <c r="H1014" s="21" t="str">
        <f aca="false">IF(AND(Eingabe!$F$13&gt;0,Eingabe!$E$13&gt;=198),"10."&amp;Eingabe!$D$13&amp;".198.10 – 10."&amp;Eingabe!$D$13&amp;".198.250","")</f>
        <v/>
      </c>
      <c r="I1014" s="21" t="str">
        <f aca="false">IF(AND(Eingabe!$F$13&gt;0,Eingabe!$E$13&gt;=198),Eingabe!$B$6&amp;"-"&amp;Eingabe!$C$13&amp;"-Pächter","")</f>
        <v/>
      </c>
      <c r="J1014" s="21" t="str">
        <f aca="false">IF(AND(Eingabe!$F$13&gt;0,Eingabe!$E$13&gt;=198),"PPSK: Passwort Parzelle 198","")</f>
        <v/>
      </c>
      <c r="K1014" s="21" t="str">
        <f aca="false">IF(AND(Eingabe!$F$13&gt;0,Eingabe!$E$13&gt;=198),"1. Gerät: 10."&amp;Eingabe!$D$13&amp;".198.10, 2. Gerät: .11","")</f>
        <v/>
      </c>
    </row>
    <row r="1015" customFormat="false" ht="15" hidden="false" customHeight="false" outlineLevel="0" collapsed="false">
      <c r="A1015" s="21" t="str">
        <f aca="false">IF(AND(Eingabe!$F$13&gt;0,Eingabe!$E$13&gt;=199),5,"")</f>
        <v/>
      </c>
      <c r="B1015" s="21" t="str">
        <f aca="false">IF(AND(Eingabe!$F$13&gt;0,Eingabe!$E$13&gt;=199),Eingabe!$B$13,"")</f>
        <v/>
      </c>
      <c r="C1015" s="21" t="str">
        <f aca="false">IF(AND(Eingabe!$F$13&gt;0,Eingabe!$E$13&gt;=199),Eingabe!$C$13&amp;"-Paz."&amp;TEXT(199,"000"),"")</f>
        <v/>
      </c>
      <c r="D1015" s="21" t="str">
        <f aca="false">IF(AND(Eingabe!$F$13&gt;0,Eingabe!$E$13&gt;=199),199,"")</f>
        <v/>
      </c>
      <c r="E1015" s="21" t="str">
        <f aca="false">IF(AND(Eingabe!$F$13&gt;0,Eingabe!$E$13&gt;=199),IF((Eingabe!$G$13+1)&lt;=9,1000+(Eingabe!$G$13+1)*100,3000)+99,"")</f>
        <v/>
      </c>
      <c r="F1015" s="21" t="str">
        <f aca="false">IF(AND(Eingabe!$F$13&gt;0,Eingabe!$E$13&gt;=199),"10."&amp;Eingabe!$D$13&amp;".199.0/24","")</f>
        <v/>
      </c>
      <c r="G1015" s="21" t="str">
        <f aca="false">IF(AND(Eingabe!$F$13&gt;0,Eingabe!$E$13&gt;=199),"10."&amp;Eingabe!$D$13&amp;".199.1","")</f>
        <v/>
      </c>
      <c r="H1015" s="21" t="str">
        <f aca="false">IF(AND(Eingabe!$F$13&gt;0,Eingabe!$E$13&gt;=199),"10."&amp;Eingabe!$D$13&amp;".199.10 – 10."&amp;Eingabe!$D$13&amp;".199.250","")</f>
        <v/>
      </c>
      <c r="I1015" s="21" t="str">
        <f aca="false">IF(AND(Eingabe!$F$13&gt;0,Eingabe!$E$13&gt;=199),Eingabe!$B$6&amp;"-"&amp;Eingabe!$C$13&amp;"-Pächter","")</f>
        <v/>
      </c>
      <c r="J1015" s="21" t="str">
        <f aca="false">IF(AND(Eingabe!$F$13&gt;0,Eingabe!$E$13&gt;=199),"PPSK: Passwort Parzelle 199","")</f>
        <v/>
      </c>
      <c r="K1015" s="21" t="str">
        <f aca="false">IF(AND(Eingabe!$F$13&gt;0,Eingabe!$E$13&gt;=199),"1. Gerät: 10."&amp;Eingabe!$D$13&amp;".199.10, 2. Gerät: .11","")</f>
        <v/>
      </c>
    </row>
    <row r="1016" customFormat="false" ht="15" hidden="false" customHeight="false" outlineLevel="0" collapsed="false">
      <c r="A1016" s="16" t="str">
        <f aca="false">IF(Eingabe!$F$14&gt;0,6,"")</f>
        <v/>
      </c>
      <c r="B1016" s="16" t="str">
        <f aca="false">IF(Eingabe!$F$14&gt;0,Eingabe!$B$14,"")</f>
        <v/>
      </c>
      <c r="C1016" s="16" t="str">
        <f aca="false">IF(Eingabe!$F$14&gt;0,Eingabe!$C$14&amp;"-Vorstand","")</f>
        <v/>
      </c>
      <c r="D1016" s="16"/>
      <c r="E1016" s="16" t="str">
        <f aca="false">IF(Eingabe!$F$14&gt;0,2000+Eingabe!$G$14*10+1,"")</f>
        <v/>
      </c>
      <c r="F1016" s="16" t="str">
        <f aca="false">IF(Eingabe!$F$14&gt;0,"10."&amp;Eingabe!$D$14&amp;".200.0/24","")</f>
        <v/>
      </c>
      <c r="G1016" s="16" t="str">
        <f aca="false">IF(Eingabe!$F$14&gt;0,"10."&amp;Eingabe!$D$14&amp;".200.1","")</f>
        <v/>
      </c>
      <c r="H1016" s="16" t="str">
        <f aca="false">IF(Eingabe!$F$14&gt;0,"10."&amp;Eingabe!$D$14&amp;".200.10 – "&amp;"10."&amp;Eingabe!$D$14&amp;".200.250","")</f>
        <v/>
      </c>
      <c r="I1016" s="16" t="str">
        <f aca="false">IF(Eingabe!$F$14&gt;0,Eingabe!$B$6&amp;"-"&amp;Eingabe!$C$14&amp;"-Vorstand","")</f>
        <v/>
      </c>
      <c r="J1016" s="16" t="str">
        <f aca="false">IF(Eingabe!$F$14&gt;0,"eigenes WLAN Vorstand","")</f>
        <v/>
      </c>
      <c r="K1016" s="16" t="str">
        <f aca="false">IF(Eingabe!$F$14&gt;0,"Vorstand-Laptop: "&amp;"10."&amp;Eingabe!$D$14&amp;".200.10","")</f>
        <v/>
      </c>
    </row>
    <row r="1017" customFormat="false" ht="15" hidden="false" customHeight="false" outlineLevel="0" collapsed="false">
      <c r="A1017" s="16" t="str">
        <f aca="false">IF(Eingabe!$F$14&gt;0,6,"")</f>
        <v/>
      </c>
      <c r="B1017" s="16" t="str">
        <f aca="false">IF(Eingabe!$F$14&gt;0,Eingabe!$B$14,"")</f>
        <v/>
      </c>
      <c r="C1017" s="16" t="str">
        <f aca="false">IF(Eingabe!$F$14&gt;0,Eingabe!$C$14&amp;"-Gäste","")</f>
        <v/>
      </c>
      <c r="D1017" s="16"/>
      <c r="E1017" s="16" t="str">
        <f aca="false">IF(Eingabe!$F$14&gt;0,2000+Eingabe!$G$14*10+2,"")</f>
        <v/>
      </c>
      <c r="F1017" s="16" t="str">
        <f aca="false">IF(Eingabe!$F$14&gt;0,"10."&amp;Eingabe!$D$14&amp;".201.0/24","")</f>
        <v/>
      </c>
      <c r="G1017" s="16" t="str">
        <f aca="false">IF(Eingabe!$F$14&gt;0,"10."&amp;Eingabe!$D$14&amp;".201.1","")</f>
        <v/>
      </c>
      <c r="H1017" s="16" t="str">
        <f aca="false">IF(Eingabe!$F$14&gt;0,"10."&amp;Eingabe!$D$14&amp;".201.10 – "&amp;"10."&amp;Eingabe!$D$14&amp;".201.250","")</f>
        <v/>
      </c>
      <c r="I1017" s="16" t="str">
        <f aca="false">IF(Eingabe!$F$14&gt;0,Eingabe!$B$6&amp;"-"&amp;Eingabe!$C$14&amp;"-Gäste","")</f>
        <v/>
      </c>
      <c r="J1017" s="16" t="str">
        <f aca="false">IF(Eingabe!$F$14&gt;0,"Voucher-Portal, isoliert","")</f>
        <v/>
      </c>
      <c r="K1017" s="16" t="str">
        <f aca="false">IF(Eingabe!$F$14&gt;0,"Gast-Handy: "&amp;"10."&amp;Eingabe!$D$14&amp;".201.10","")</f>
        <v/>
      </c>
    </row>
    <row r="1018" customFormat="false" ht="15" hidden="false" customHeight="false" outlineLevel="0" collapsed="false">
      <c r="A1018" s="16" t="str">
        <f aca="false">IF(Eingabe!$F$14&gt;0,6,"")</f>
        <v/>
      </c>
      <c r="B1018" s="16" t="str">
        <f aca="false">IF(Eingabe!$F$14&gt;0,Eingabe!$B$14,"")</f>
        <v/>
      </c>
      <c r="C1018" s="16" t="str">
        <f aca="false">IF(Eingabe!$F$14&gt;0,Eingabe!$C$14&amp;"-Technik","")</f>
        <v/>
      </c>
      <c r="D1018" s="16"/>
      <c r="E1018" s="16" t="str">
        <f aca="false">IF(Eingabe!$F$14&gt;0,2000+Eingabe!$G$14*10+9,"")</f>
        <v/>
      </c>
      <c r="F1018" s="16" t="str">
        <f aca="false">IF(Eingabe!$F$14&gt;0,"10."&amp;Eingabe!$D$14&amp;".250.0/24","")</f>
        <v/>
      </c>
      <c r="G1018" s="16" t="str">
        <f aca="false">IF(Eingabe!$F$14&gt;0,"10."&amp;Eingabe!$D$14&amp;".250.1","")</f>
        <v/>
      </c>
      <c r="H1018" s="16" t="str">
        <f aca="false">IF(Eingabe!$F$14&gt;0,"10."&amp;Eingabe!$D$14&amp;".250.10 – "&amp;"10."&amp;Eingabe!$D$14&amp;".250.250","")</f>
        <v/>
      </c>
      <c r="I1018" s="16" t="str">
        <f aca="false">IF(Eingabe!$F$14&gt;0,"–","")</f>
        <v/>
      </c>
      <c r="J1018" s="16" t="str">
        <f aca="false">IF(Eingabe!$F$14&gt;0,"Mast-Switches und Access Points","")</f>
        <v/>
      </c>
      <c r="K1018" s="16" t="str">
        <f aca="false">IF(Eingabe!$F$14&gt;0,"Access Point 1: "&amp;"10."&amp;Eingabe!$D$14&amp;".250.51","")</f>
        <v/>
      </c>
    </row>
    <row r="1019" customFormat="false" ht="15" hidden="false" customHeight="false" outlineLevel="0" collapsed="false">
      <c r="A1019" s="16" t="str">
        <f aca="false">IF(AND(Eingabe!$F$14&gt;0,Eingabe!$E$14&gt;=1),6,"")</f>
        <v/>
      </c>
      <c r="B1019" s="16" t="str">
        <f aca="false">IF(AND(Eingabe!$F$14&gt;0,Eingabe!$E$14&gt;=1),Eingabe!$B$14,"")</f>
        <v/>
      </c>
      <c r="C1019" s="16" t="str">
        <f aca="false">IF(AND(Eingabe!$F$14&gt;0,Eingabe!$E$14&gt;=1),Eingabe!$C$14&amp;"-Paz."&amp;TEXT(1,"000"),"")</f>
        <v/>
      </c>
      <c r="D1019" s="16" t="str">
        <f aca="false">IF(AND(Eingabe!$F$14&gt;0,Eingabe!$E$14&gt;=1),1,"")</f>
        <v/>
      </c>
      <c r="E1019" s="16" t="str">
        <f aca="false">IF(AND(Eingabe!$F$14&gt;0,Eingabe!$E$14&gt;=1),IF((Eingabe!$G$14)&lt;=9,1000+(Eingabe!$G$14)*100,3000)+1,"")</f>
        <v/>
      </c>
      <c r="F1019" s="16" t="str">
        <f aca="false">IF(AND(Eingabe!$F$14&gt;0,Eingabe!$E$14&gt;=1),"10."&amp;Eingabe!$D$14&amp;".1.0/24","")</f>
        <v/>
      </c>
      <c r="G1019" s="16" t="str">
        <f aca="false">IF(AND(Eingabe!$F$14&gt;0,Eingabe!$E$14&gt;=1),"10."&amp;Eingabe!$D$14&amp;".1.1","")</f>
        <v/>
      </c>
      <c r="H1019" s="16" t="str">
        <f aca="false">IF(AND(Eingabe!$F$14&gt;0,Eingabe!$E$14&gt;=1),"10."&amp;Eingabe!$D$14&amp;".1.10 – 10."&amp;Eingabe!$D$14&amp;".1.250","")</f>
        <v/>
      </c>
      <c r="I1019" s="16" t="str">
        <f aca="false">IF(AND(Eingabe!$F$14&gt;0,Eingabe!$E$14&gt;=1),Eingabe!$B$6&amp;"-"&amp;Eingabe!$C$14&amp;"-Pächter","")</f>
        <v/>
      </c>
      <c r="J1019" s="16" t="str">
        <f aca="false">IF(AND(Eingabe!$F$14&gt;0,Eingabe!$E$14&gt;=1),"PPSK: Passwort Parzelle 1","")</f>
        <v/>
      </c>
      <c r="K1019" s="16" t="str">
        <f aca="false">IF(AND(Eingabe!$F$14&gt;0,Eingabe!$E$14&gt;=1),"1. Gerät: 10."&amp;Eingabe!$D$14&amp;".1.10, 2. Gerät: .11","")</f>
        <v/>
      </c>
    </row>
    <row r="1020" customFormat="false" ht="15" hidden="false" customHeight="false" outlineLevel="0" collapsed="false">
      <c r="A1020" s="16" t="str">
        <f aca="false">IF(AND(Eingabe!$F$14&gt;0,Eingabe!$E$14&gt;=2),6,"")</f>
        <v/>
      </c>
      <c r="B1020" s="16" t="str">
        <f aca="false">IF(AND(Eingabe!$F$14&gt;0,Eingabe!$E$14&gt;=2),Eingabe!$B$14,"")</f>
        <v/>
      </c>
      <c r="C1020" s="16" t="str">
        <f aca="false">IF(AND(Eingabe!$F$14&gt;0,Eingabe!$E$14&gt;=2),Eingabe!$C$14&amp;"-Paz."&amp;TEXT(2,"000"),"")</f>
        <v/>
      </c>
      <c r="D1020" s="16" t="str">
        <f aca="false">IF(AND(Eingabe!$F$14&gt;0,Eingabe!$E$14&gt;=2),2,"")</f>
        <v/>
      </c>
      <c r="E1020" s="16" t="str">
        <f aca="false">IF(AND(Eingabe!$F$14&gt;0,Eingabe!$E$14&gt;=2),IF((Eingabe!$G$14)&lt;=9,1000+(Eingabe!$G$14)*100,3000)+2,"")</f>
        <v/>
      </c>
      <c r="F1020" s="16" t="str">
        <f aca="false">IF(AND(Eingabe!$F$14&gt;0,Eingabe!$E$14&gt;=2),"10."&amp;Eingabe!$D$14&amp;".2.0/24","")</f>
        <v/>
      </c>
      <c r="G1020" s="16" t="str">
        <f aca="false">IF(AND(Eingabe!$F$14&gt;0,Eingabe!$E$14&gt;=2),"10."&amp;Eingabe!$D$14&amp;".2.1","")</f>
        <v/>
      </c>
      <c r="H1020" s="16" t="str">
        <f aca="false">IF(AND(Eingabe!$F$14&gt;0,Eingabe!$E$14&gt;=2),"10."&amp;Eingabe!$D$14&amp;".2.10 – 10."&amp;Eingabe!$D$14&amp;".2.250","")</f>
        <v/>
      </c>
      <c r="I1020" s="16" t="str">
        <f aca="false">IF(AND(Eingabe!$F$14&gt;0,Eingabe!$E$14&gt;=2),Eingabe!$B$6&amp;"-"&amp;Eingabe!$C$14&amp;"-Pächter","")</f>
        <v/>
      </c>
      <c r="J1020" s="16" t="str">
        <f aca="false">IF(AND(Eingabe!$F$14&gt;0,Eingabe!$E$14&gt;=2),"PPSK: Passwort Parzelle 2","")</f>
        <v/>
      </c>
      <c r="K1020" s="16" t="str">
        <f aca="false">IF(AND(Eingabe!$F$14&gt;0,Eingabe!$E$14&gt;=2),"1. Gerät: 10."&amp;Eingabe!$D$14&amp;".2.10, 2. Gerät: .11","")</f>
        <v/>
      </c>
    </row>
    <row r="1021" customFormat="false" ht="15" hidden="false" customHeight="false" outlineLevel="0" collapsed="false">
      <c r="A1021" s="16" t="str">
        <f aca="false">IF(AND(Eingabe!$F$14&gt;0,Eingabe!$E$14&gt;=3),6,"")</f>
        <v/>
      </c>
      <c r="B1021" s="16" t="str">
        <f aca="false">IF(AND(Eingabe!$F$14&gt;0,Eingabe!$E$14&gt;=3),Eingabe!$B$14,"")</f>
        <v/>
      </c>
      <c r="C1021" s="16" t="str">
        <f aca="false">IF(AND(Eingabe!$F$14&gt;0,Eingabe!$E$14&gt;=3),Eingabe!$C$14&amp;"-Paz."&amp;TEXT(3,"000"),"")</f>
        <v/>
      </c>
      <c r="D1021" s="16" t="str">
        <f aca="false">IF(AND(Eingabe!$F$14&gt;0,Eingabe!$E$14&gt;=3),3,"")</f>
        <v/>
      </c>
      <c r="E1021" s="16" t="str">
        <f aca="false">IF(AND(Eingabe!$F$14&gt;0,Eingabe!$E$14&gt;=3),IF((Eingabe!$G$14)&lt;=9,1000+(Eingabe!$G$14)*100,3000)+3,"")</f>
        <v/>
      </c>
      <c r="F1021" s="16" t="str">
        <f aca="false">IF(AND(Eingabe!$F$14&gt;0,Eingabe!$E$14&gt;=3),"10."&amp;Eingabe!$D$14&amp;".3.0/24","")</f>
        <v/>
      </c>
      <c r="G1021" s="16" t="str">
        <f aca="false">IF(AND(Eingabe!$F$14&gt;0,Eingabe!$E$14&gt;=3),"10."&amp;Eingabe!$D$14&amp;".3.1","")</f>
        <v/>
      </c>
      <c r="H1021" s="16" t="str">
        <f aca="false">IF(AND(Eingabe!$F$14&gt;0,Eingabe!$E$14&gt;=3),"10."&amp;Eingabe!$D$14&amp;".3.10 – 10."&amp;Eingabe!$D$14&amp;".3.250","")</f>
        <v/>
      </c>
      <c r="I1021" s="16" t="str">
        <f aca="false">IF(AND(Eingabe!$F$14&gt;0,Eingabe!$E$14&gt;=3),Eingabe!$B$6&amp;"-"&amp;Eingabe!$C$14&amp;"-Pächter","")</f>
        <v/>
      </c>
      <c r="J1021" s="16" t="str">
        <f aca="false">IF(AND(Eingabe!$F$14&gt;0,Eingabe!$E$14&gt;=3),"PPSK: Passwort Parzelle 3","")</f>
        <v/>
      </c>
      <c r="K1021" s="16" t="str">
        <f aca="false">IF(AND(Eingabe!$F$14&gt;0,Eingabe!$E$14&gt;=3),"1. Gerät: 10."&amp;Eingabe!$D$14&amp;".3.10, 2. Gerät: .11","")</f>
        <v/>
      </c>
    </row>
    <row r="1022" customFormat="false" ht="15" hidden="false" customHeight="false" outlineLevel="0" collapsed="false">
      <c r="A1022" s="16" t="str">
        <f aca="false">IF(AND(Eingabe!$F$14&gt;0,Eingabe!$E$14&gt;=4),6,"")</f>
        <v/>
      </c>
      <c r="B1022" s="16" t="str">
        <f aca="false">IF(AND(Eingabe!$F$14&gt;0,Eingabe!$E$14&gt;=4),Eingabe!$B$14,"")</f>
        <v/>
      </c>
      <c r="C1022" s="16" t="str">
        <f aca="false">IF(AND(Eingabe!$F$14&gt;0,Eingabe!$E$14&gt;=4),Eingabe!$C$14&amp;"-Paz."&amp;TEXT(4,"000"),"")</f>
        <v/>
      </c>
      <c r="D1022" s="16" t="str">
        <f aca="false">IF(AND(Eingabe!$F$14&gt;0,Eingabe!$E$14&gt;=4),4,"")</f>
        <v/>
      </c>
      <c r="E1022" s="16" t="str">
        <f aca="false">IF(AND(Eingabe!$F$14&gt;0,Eingabe!$E$14&gt;=4),IF((Eingabe!$G$14)&lt;=9,1000+(Eingabe!$G$14)*100,3000)+4,"")</f>
        <v/>
      </c>
      <c r="F1022" s="16" t="str">
        <f aca="false">IF(AND(Eingabe!$F$14&gt;0,Eingabe!$E$14&gt;=4),"10."&amp;Eingabe!$D$14&amp;".4.0/24","")</f>
        <v/>
      </c>
      <c r="G1022" s="16" t="str">
        <f aca="false">IF(AND(Eingabe!$F$14&gt;0,Eingabe!$E$14&gt;=4),"10."&amp;Eingabe!$D$14&amp;".4.1","")</f>
        <v/>
      </c>
      <c r="H1022" s="16" t="str">
        <f aca="false">IF(AND(Eingabe!$F$14&gt;0,Eingabe!$E$14&gt;=4),"10."&amp;Eingabe!$D$14&amp;".4.10 – 10."&amp;Eingabe!$D$14&amp;".4.250","")</f>
        <v/>
      </c>
      <c r="I1022" s="16" t="str">
        <f aca="false">IF(AND(Eingabe!$F$14&gt;0,Eingabe!$E$14&gt;=4),Eingabe!$B$6&amp;"-"&amp;Eingabe!$C$14&amp;"-Pächter","")</f>
        <v/>
      </c>
      <c r="J1022" s="16" t="str">
        <f aca="false">IF(AND(Eingabe!$F$14&gt;0,Eingabe!$E$14&gt;=4),"PPSK: Passwort Parzelle 4","")</f>
        <v/>
      </c>
      <c r="K1022" s="16" t="str">
        <f aca="false">IF(AND(Eingabe!$F$14&gt;0,Eingabe!$E$14&gt;=4),"1. Gerät: 10."&amp;Eingabe!$D$14&amp;".4.10, 2. Gerät: .11","")</f>
        <v/>
      </c>
    </row>
    <row r="1023" customFormat="false" ht="15" hidden="false" customHeight="false" outlineLevel="0" collapsed="false">
      <c r="A1023" s="16" t="str">
        <f aca="false">IF(AND(Eingabe!$F$14&gt;0,Eingabe!$E$14&gt;=5),6,"")</f>
        <v/>
      </c>
      <c r="B1023" s="16" t="str">
        <f aca="false">IF(AND(Eingabe!$F$14&gt;0,Eingabe!$E$14&gt;=5),Eingabe!$B$14,"")</f>
        <v/>
      </c>
      <c r="C1023" s="16" t="str">
        <f aca="false">IF(AND(Eingabe!$F$14&gt;0,Eingabe!$E$14&gt;=5),Eingabe!$C$14&amp;"-Paz."&amp;TEXT(5,"000"),"")</f>
        <v/>
      </c>
      <c r="D1023" s="16" t="str">
        <f aca="false">IF(AND(Eingabe!$F$14&gt;0,Eingabe!$E$14&gt;=5),5,"")</f>
        <v/>
      </c>
      <c r="E1023" s="16" t="str">
        <f aca="false">IF(AND(Eingabe!$F$14&gt;0,Eingabe!$E$14&gt;=5),IF((Eingabe!$G$14)&lt;=9,1000+(Eingabe!$G$14)*100,3000)+5,"")</f>
        <v/>
      </c>
      <c r="F1023" s="16" t="str">
        <f aca="false">IF(AND(Eingabe!$F$14&gt;0,Eingabe!$E$14&gt;=5),"10."&amp;Eingabe!$D$14&amp;".5.0/24","")</f>
        <v/>
      </c>
      <c r="G1023" s="16" t="str">
        <f aca="false">IF(AND(Eingabe!$F$14&gt;0,Eingabe!$E$14&gt;=5),"10."&amp;Eingabe!$D$14&amp;".5.1","")</f>
        <v/>
      </c>
      <c r="H1023" s="16" t="str">
        <f aca="false">IF(AND(Eingabe!$F$14&gt;0,Eingabe!$E$14&gt;=5),"10."&amp;Eingabe!$D$14&amp;".5.10 – 10."&amp;Eingabe!$D$14&amp;".5.250","")</f>
        <v/>
      </c>
      <c r="I1023" s="16" t="str">
        <f aca="false">IF(AND(Eingabe!$F$14&gt;0,Eingabe!$E$14&gt;=5),Eingabe!$B$6&amp;"-"&amp;Eingabe!$C$14&amp;"-Pächter","")</f>
        <v/>
      </c>
      <c r="J1023" s="16" t="str">
        <f aca="false">IF(AND(Eingabe!$F$14&gt;0,Eingabe!$E$14&gt;=5),"PPSK: Passwort Parzelle 5","")</f>
        <v/>
      </c>
      <c r="K1023" s="16" t="str">
        <f aca="false">IF(AND(Eingabe!$F$14&gt;0,Eingabe!$E$14&gt;=5),"1. Gerät: 10."&amp;Eingabe!$D$14&amp;".5.10, 2. Gerät: .11","")</f>
        <v/>
      </c>
    </row>
    <row r="1024" customFormat="false" ht="15" hidden="false" customHeight="false" outlineLevel="0" collapsed="false">
      <c r="A1024" s="16" t="str">
        <f aca="false">IF(AND(Eingabe!$F$14&gt;0,Eingabe!$E$14&gt;=6),6,"")</f>
        <v/>
      </c>
      <c r="B1024" s="16" t="str">
        <f aca="false">IF(AND(Eingabe!$F$14&gt;0,Eingabe!$E$14&gt;=6),Eingabe!$B$14,"")</f>
        <v/>
      </c>
      <c r="C1024" s="16" t="str">
        <f aca="false">IF(AND(Eingabe!$F$14&gt;0,Eingabe!$E$14&gt;=6),Eingabe!$C$14&amp;"-Paz."&amp;TEXT(6,"000"),"")</f>
        <v/>
      </c>
      <c r="D1024" s="16" t="str">
        <f aca="false">IF(AND(Eingabe!$F$14&gt;0,Eingabe!$E$14&gt;=6),6,"")</f>
        <v/>
      </c>
      <c r="E1024" s="16" t="str">
        <f aca="false">IF(AND(Eingabe!$F$14&gt;0,Eingabe!$E$14&gt;=6),IF((Eingabe!$G$14)&lt;=9,1000+(Eingabe!$G$14)*100,3000)+6,"")</f>
        <v/>
      </c>
      <c r="F1024" s="16" t="str">
        <f aca="false">IF(AND(Eingabe!$F$14&gt;0,Eingabe!$E$14&gt;=6),"10."&amp;Eingabe!$D$14&amp;".6.0/24","")</f>
        <v/>
      </c>
      <c r="G1024" s="16" t="str">
        <f aca="false">IF(AND(Eingabe!$F$14&gt;0,Eingabe!$E$14&gt;=6),"10."&amp;Eingabe!$D$14&amp;".6.1","")</f>
        <v/>
      </c>
      <c r="H1024" s="16" t="str">
        <f aca="false">IF(AND(Eingabe!$F$14&gt;0,Eingabe!$E$14&gt;=6),"10."&amp;Eingabe!$D$14&amp;".6.10 – 10."&amp;Eingabe!$D$14&amp;".6.250","")</f>
        <v/>
      </c>
      <c r="I1024" s="16" t="str">
        <f aca="false">IF(AND(Eingabe!$F$14&gt;0,Eingabe!$E$14&gt;=6),Eingabe!$B$6&amp;"-"&amp;Eingabe!$C$14&amp;"-Pächter","")</f>
        <v/>
      </c>
      <c r="J1024" s="16" t="str">
        <f aca="false">IF(AND(Eingabe!$F$14&gt;0,Eingabe!$E$14&gt;=6),"PPSK: Passwort Parzelle 6","")</f>
        <v/>
      </c>
      <c r="K1024" s="16" t="str">
        <f aca="false">IF(AND(Eingabe!$F$14&gt;0,Eingabe!$E$14&gt;=6),"1. Gerät: 10."&amp;Eingabe!$D$14&amp;".6.10, 2. Gerät: .11","")</f>
        <v/>
      </c>
    </row>
    <row r="1025" customFormat="false" ht="15" hidden="false" customHeight="false" outlineLevel="0" collapsed="false">
      <c r="A1025" s="16" t="str">
        <f aca="false">IF(AND(Eingabe!$F$14&gt;0,Eingabe!$E$14&gt;=7),6,"")</f>
        <v/>
      </c>
      <c r="B1025" s="16" t="str">
        <f aca="false">IF(AND(Eingabe!$F$14&gt;0,Eingabe!$E$14&gt;=7),Eingabe!$B$14,"")</f>
        <v/>
      </c>
      <c r="C1025" s="16" t="str">
        <f aca="false">IF(AND(Eingabe!$F$14&gt;0,Eingabe!$E$14&gt;=7),Eingabe!$C$14&amp;"-Paz."&amp;TEXT(7,"000"),"")</f>
        <v/>
      </c>
      <c r="D1025" s="16" t="str">
        <f aca="false">IF(AND(Eingabe!$F$14&gt;0,Eingabe!$E$14&gt;=7),7,"")</f>
        <v/>
      </c>
      <c r="E1025" s="16" t="str">
        <f aca="false">IF(AND(Eingabe!$F$14&gt;0,Eingabe!$E$14&gt;=7),IF((Eingabe!$G$14)&lt;=9,1000+(Eingabe!$G$14)*100,3000)+7,"")</f>
        <v/>
      </c>
      <c r="F1025" s="16" t="str">
        <f aca="false">IF(AND(Eingabe!$F$14&gt;0,Eingabe!$E$14&gt;=7),"10."&amp;Eingabe!$D$14&amp;".7.0/24","")</f>
        <v/>
      </c>
      <c r="G1025" s="16" t="str">
        <f aca="false">IF(AND(Eingabe!$F$14&gt;0,Eingabe!$E$14&gt;=7),"10."&amp;Eingabe!$D$14&amp;".7.1","")</f>
        <v/>
      </c>
      <c r="H1025" s="16" t="str">
        <f aca="false">IF(AND(Eingabe!$F$14&gt;0,Eingabe!$E$14&gt;=7),"10."&amp;Eingabe!$D$14&amp;".7.10 – 10."&amp;Eingabe!$D$14&amp;".7.250","")</f>
        <v/>
      </c>
      <c r="I1025" s="16" t="str">
        <f aca="false">IF(AND(Eingabe!$F$14&gt;0,Eingabe!$E$14&gt;=7),Eingabe!$B$6&amp;"-"&amp;Eingabe!$C$14&amp;"-Pächter","")</f>
        <v/>
      </c>
      <c r="J1025" s="16" t="str">
        <f aca="false">IF(AND(Eingabe!$F$14&gt;0,Eingabe!$E$14&gt;=7),"PPSK: Passwort Parzelle 7","")</f>
        <v/>
      </c>
      <c r="K1025" s="16" t="str">
        <f aca="false">IF(AND(Eingabe!$F$14&gt;0,Eingabe!$E$14&gt;=7),"1. Gerät: 10."&amp;Eingabe!$D$14&amp;".7.10, 2. Gerät: .11","")</f>
        <v/>
      </c>
    </row>
    <row r="1026" customFormat="false" ht="15" hidden="false" customHeight="false" outlineLevel="0" collapsed="false">
      <c r="A1026" s="16" t="str">
        <f aca="false">IF(AND(Eingabe!$F$14&gt;0,Eingabe!$E$14&gt;=8),6,"")</f>
        <v/>
      </c>
      <c r="B1026" s="16" t="str">
        <f aca="false">IF(AND(Eingabe!$F$14&gt;0,Eingabe!$E$14&gt;=8),Eingabe!$B$14,"")</f>
        <v/>
      </c>
      <c r="C1026" s="16" t="str">
        <f aca="false">IF(AND(Eingabe!$F$14&gt;0,Eingabe!$E$14&gt;=8),Eingabe!$C$14&amp;"-Paz."&amp;TEXT(8,"000"),"")</f>
        <v/>
      </c>
      <c r="D1026" s="16" t="str">
        <f aca="false">IF(AND(Eingabe!$F$14&gt;0,Eingabe!$E$14&gt;=8),8,"")</f>
        <v/>
      </c>
      <c r="E1026" s="16" t="str">
        <f aca="false">IF(AND(Eingabe!$F$14&gt;0,Eingabe!$E$14&gt;=8),IF((Eingabe!$G$14)&lt;=9,1000+(Eingabe!$G$14)*100,3000)+8,"")</f>
        <v/>
      </c>
      <c r="F1026" s="16" t="str">
        <f aca="false">IF(AND(Eingabe!$F$14&gt;0,Eingabe!$E$14&gt;=8),"10."&amp;Eingabe!$D$14&amp;".8.0/24","")</f>
        <v/>
      </c>
      <c r="G1026" s="16" t="str">
        <f aca="false">IF(AND(Eingabe!$F$14&gt;0,Eingabe!$E$14&gt;=8),"10."&amp;Eingabe!$D$14&amp;".8.1","")</f>
        <v/>
      </c>
      <c r="H1026" s="16" t="str">
        <f aca="false">IF(AND(Eingabe!$F$14&gt;0,Eingabe!$E$14&gt;=8),"10."&amp;Eingabe!$D$14&amp;".8.10 – 10."&amp;Eingabe!$D$14&amp;".8.250","")</f>
        <v/>
      </c>
      <c r="I1026" s="16" t="str">
        <f aca="false">IF(AND(Eingabe!$F$14&gt;0,Eingabe!$E$14&gt;=8),Eingabe!$B$6&amp;"-"&amp;Eingabe!$C$14&amp;"-Pächter","")</f>
        <v/>
      </c>
      <c r="J1026" s="16" t="str">
        <f aca="false">IF(AND(Eingabe!$F$14&gt;0,Eingabe!$E$14&gt;=8),"PPSK: Passwort Parzelle 8","")</f>
        <v/>
      </c>
      <c r="K1026" s="16" t="str">
        <f aca="false">IF(AND(Eingabe!$F$14&gt;0,Eingabe!$E$14&gt;=8),"1. Gerät: 10."&amp;Eingabe!$D$14&amp;".8.10, 2. Gerät: .11","")</f>
        <v/>
      </c>
    </row>
    <row r="1027" customFormat="false" ht="15" hidden="false" customHeight="false" outlineLevel="0" collapsed="false">
      <c r="A1027" s="16" t="str">
        <f aca="false">IF(AND(Eingabe!$F$14&gt;0,Eingabe!$E$14&gt;=9),6,"")</f>
        <v/>
      </c>
      <c r="B1027" s="16" t="str">
        <f aca="false">IF(AND(Eingabe!$F$14&gt;0,Eingabe!$E$14&gt;=9),Eingabe!$B$14,"")</f>
        <v/>
      </c>
      <c r="C1027" s="16" t="str">
        <f aca="false">IF(AND(Eingabe!$F$14&gt;0,Eingabe!$E$14&gt;=9),Eingabe!$C$14&amp;"-Paz."&amp;TEXT(9,"000"),"")</f>
        <v/>
      </c>
      <c r="D1027" s="16" t="str">
        <f aca="false">IF(AND(Eingabe!$F$14&gt;0,Eingabe!$E$14&gt;=9),9,"")</f>
        <v/>
      </c>
      <c r="E1027" s="16" t="str">
        <f aca="false">IF(AND(Eingabe!$F$14&gt;0,Eingabe!$E$14&gt;=9),IF((Eingabe!$G$14)&lt;=9,1000+(Eingabe!$G$14)*100,3000)+9,"")</f>
        <v/>
      </c>
      <c r="F1027" s="16" t="str">
        <f aca="false">IF(AND(Eingabe!$F$14&gt;0,Eingabe!$E$14&gt;=9),"10."&amp;Eingabe!$D$14&amp;".9.0/24","")</f>
        <v/>
      </c>
      <c r="G1027" s="16" t="str">
        <f aca="false">IF(AND(Eingabe!$F$14&gt;0,Eingabe!$E$14&gt;=9),"10."&amp;Eingabe!$D$14&amp;".9.1","")</f>
        <v/>
      </c>
      <c r="H1027" s="16" t="str">
        <f aca="false">IF(AND(Eingabe!$F$14&gt;0,Eingabe!$E$14&gt;=9),"10."&amp;Eingabe!$D$14&amp;".9.10 – 10."&amp;Eingabe!$D$14&amp;".9.250","")</f>
        <v/>
      </c>
      <c r="I1027" s="16" t="str">
        <f aca="false">IF(AND(Eingabe!$F$14&gt;0,Eingabe!$E$14&gt;=9),Eingabe!$B$6&amp;"-"&amp;Eingabe!$C$14&amp;"-Pächter","")</f>
        <v/>
      </c>
      <c r="J1027" s="16" t="str">
        <f aca="false">IF(AND(Eingabe!$F$14&gt;0,Eingabe!$E$14&gt;=9),"PPSK: Passwort Parzelle 9","")</f>
        <v/>
      </c>
      <c r="K1027" s="16" t="str">
        <f aca="false">IF(AND(Eingabe!$F$14&gt;0,Eingabe!$E$14&gt;=9),"1. Gerät: 10."&amp;Eingabe!$D$14&amp;".9.10, 2. Gerät: .11","")</f>
        <v/>
      </c>
    </row>
    <row r="1028" customFormat="false" ht="15" hidden="false" customHeight="false" outlineLevel="0" collapsed="false">
      <c r="A1028" s="16" t="str">
        <f aca="false">IF(AND(Eingabe!$F$14&gt;0,Eingabe!$E$14&gt;=10),6,"")</f>
        <v/>
      </c>
      <c r="B1028" s="16" t="str">
        <f aca="false">IF(AND(Eingabe!$F$14&gt;0,Eingabe!$E$14&gt;=10),Eingabe!$B$14,"")</f>
        <v/>
      </c>
      <c r="C1028" s="16" t="str">
        <f aca="false">IF(AND(Eingabe!$F$14&gt;0,Eingabe!$E$14&gt;=10),Eingabe!$C$14&amp;"-Paz."&amp;TEXT(10,"000"),"")</f>
        <v/>
      </c>
      <c r="D1028" s="16" t="str">
        <f aca="false">IF(AND(Eingabe!$F$14&gt;0,Eingabe!$E$14&gt;=10),10,"")</f>
        <v/>
      </c>
      <c r="E1028" s="16" t="str">
        <f aca="false">IF(AND(Eingabe!$F$14&gt;0,Eingabe!$E$14&gt;=10),IF((Eingabe!$G$14)&lt;=9,1000+(Eingabe!$G$14)*100,3000)+10,"")</f>
        <v/>
      </c>
      <c r="F1028" s="16" t="str">
        <f aca="false">IF(AND(Eingabe!$F$14&gt;0,Eingabe!$E$14&gt;=10),"10."&amp;Eingabe!$D$14&amp;".10.0/24","")</f>
        <v/>
      </c>
      <c r="G1028" s="16" t="str">
        <f aca="false">IF(AND(Eingabe!$F$14&gt;0,Eingabe!$E$14&gt;=10),"10."&amp;Eingabe!$D$14&amp;".10.1","")</f>
        <v/>
      </c>
      <c r="H1028" s="16" t="str">
        <f aca="false">IF(AND(Eingabe!$F$14&gt;0,Eingabe!$E$14&gt;=10),"10."&amp;Eingabe!$D$14&amp;".10.10 – 10."&amp;Eingabe!$D$14&amp;".10.250","")</f>
        <v/>
      </c>
      <c r="I1028" s="16" t="str">
        <f aca="false">IF(AND(Eingabe!$F$14&gt;0,Eingabe!$E$14&gt;=10),Eingabe!$B$6&amp;"-"&amp;Eingabe!$C$14&amp;"-Pächter","")</f>
        <v/>
      </c>
      <c r="J1028" s="16" t="str">
        <f aca="false">IF(AND(Eingabe!$F$14&gt;0,Eingabe!$E$14&gt;=10),"PPSK: Passwort Parzelle 10","")</f>
        <v/>
      </c>
      <c r="K1028" s="16" t="str">
        <f aca="false">IF(AND(Eingabe!$F$14&gt;0,Eingabe!$E$14&gt;=10),"1. Gerät: 10."&amp;Eingabe!$D$14&amp;".10.10, 2. Gerät: .11","")</f>
        <v/>
      </c>
    </row>
    <row r="1029" customFormat="false" ht="15" hidden="false" customHeight="false" outlineLevel="0" collapsed="false">
      <c r="A1029" s="16" t="str">
        <f aca="false">IF(AND(Eingabe!$F$14&gt;0,Eingabe!$E$14&gt;=11),6,"")</f>
        <v/>
      </c>
      <c r="B1029" s="16" t="str">
        <f aca="false">IF(AND(Eingabe!$F$14&gt;0,Eingabe!$E$14&gt;=11),Eingabe!$B$14,"")</f>
        <v/>
      </c>
      <c r="C1029" s="16" t="str">
        <f aca="false">IF(AND(Eingabe!$F$14&gt;0,Eingabe!$E$14&gt;=11),Eingabe!$C$14&amp;"-Paz."&amp;TEXT(11,"000"),"")</f>
        <v/>
      </c>
      <c r="D1029" s="16" t="str">
        <f aca="false">IF(AND(Eingabe!$F$14&gt;0,Eingabe!$E$14&gt;=11),11,"")</f>
        <v/>
      </c>
      <c r="E1029" s="16" t="str">
        <f aca="false">IF(AND(Eingabe!$F$14&gt;0,Eingabe!$E$14&gt;=11),IF((Eingabe!$G$14)&lt;=9,1000+(Eingabe!$G$14)*100,3000)+11,"")</f>
        <v/>
      </c>
      <c r="F1029" s="16" t="str">
        <f aca="false">IF(AND(Eingabe!$F$14&gt;0,Eingabe!$E$14&gt;=11),"10."&amp;Eingabe!$D$14&amp;".11.0/24","")</f>
        <v/>
      </c>
      <c r="G1029" s="16" t="str">
        <f aca="false">IF(AND(Eingabe!$F$14&gt;0,Eingabe!$E$14&gt;=11),"10."&amp;Eingabe!$D$14&amp;".11.1","")</f>
        <v/>
      </c>
      <c r="H1029" s="16" t="str">
        <f aca="false">IF(AND(Eingabe!$F$14&gt;0,Eingabe!$E$14&gt;=11),"10."&amp;Eingabe!$D$14&amp;".11.10 – 10."&amp;Eingabe!$D$14&amp;".11.250","")</f>
        <v/>
      </c>
      <c r="I1029" s="16" t="str">
        <f aca="false">IF(AND(Eingabe!$F$14&gt;0,Eingabe!$E$14&gt;=11),Eingabe!$B$6&amp;"-"&amp;Eingabe!$C$14&amp;"-Pächter","")</f>
        <v/>
      </c>
      <c r="J1029" s="16" t="str">
        <f aca="false">IF(AND(Eingabe!$F$14&gt;0,Eingabe!$E$14&gt;=11),"PPSK: Passwort Parzelle 11","")</f>
        <v/>
      </c>
      <c r="K1029" s="16" t="str">
        <f aca="false">IF(AND(Eingabe!$F$14&gt;0,Eingabe!$E$14&gt;=11),"1. Gerät: 10."&amp;Eingabe!$D$14&amp;".11.10, 2. Gerät: .11","")</f>
        <v/>
      </c>
    </row>
    <row r="1030" customFormat="false" ht="15" hidden="false" customHeight="false" outlineLevel="0" collapsed="false">
      <c r="A1030" s="16" t="str">
        <f aca="false">IF(AND(Eingabe!$F$14&gt;0,Eingabe!$E$14&gt;=12),6,"")</f>
        <v/>
      </c>
      <c r="B1030" s="16" t="str">
        <f aca="false">IF(AND(Eingabe!$F$14&gt;0,Eingabe!$E$14&gt;=12),Eingabe!$B$14,"")</f>
        <v/>
      </c>
      <c r="C1030" s="16" t="str">
        <f aca="false">IF(AND(Eingabe!$F$14&gt;0,Eingabe!$E$14&gt;=12),Eingabe!$C$14&amp;"-Paz."&amp;TEXT(12,"000"),"")</f>
        <v/>
      </c>
      <c r="D1030" s="16" t="str">
        <f aca="false">IF(AND(Eingabe!$F$14&gt;0,Eingabe!$E$14&gt;=12),12,"")</f>
        <v/>
      </c>
      <c r="E1030" s="16" t="str">
        <f aca="false">IF(AND(Eingabe!$F$14&gt;0,Eingabe!$E$14&gt;=12),IF((Eingabe!$G$14)&lt;=9,1000+(Eingabe!$G$14)*100,3000)+12,"")</f>
        <v/>
      </c>
      <c r="F1030" s="16" t="str">
        <f aca="false">IF(AND(Eingabe!$F$14&gt;0,Eingabe!$E$14&gt;=12),"10."&amp;Eingabe!$D$14&amp;".12.0/24","")</f>
        <v/>
      </c>
      <c r="G1030" s="16" t="str">
        <f aca="false">IF(AND(Eingabe!$F$14&gt;0,Eingabe!$E$14&gt;=12),"10."&amp;Eingabe!$D$14&amp;".12.1","")</f>
        <v/>
      </c>
      <c r="H1030" s="16" t="str">
        <f aca="false">IF(AND(Eingabe!$F$14&gt;0,Eingabe!$E$14&gt;=12),"10."&amp;Eingabe!$D$14&amp;".12.10 – 10."&amp;Eingabe!$D$14&amp;".12.250","")</f>
        <v/>
      </c>
      <c r="I1030" s="16" t="str">
        <f aca="false">IF(AND(Eingabe!$F$14&gt;0,Eingabe!$E$14&gt;=12),Eingabe!$B$6&amp;"-"&amp;Eingabe!$C$14&amp;"-Pächter","")</f>
        <v/>
      </c>
      <c r="J1030" s="16" t="str">
        <f aca="false">IF(AND(Eingabe!$F$14&gt;0,Eingabe!$E$14&gt;=12),"PPSK: Passwort Parzelle 12","")</f>
        <v/>
      </c>
      <c r="K1030" s="16" t="str">
        <f aca="false">IF(AND(Eingabe!$F$14&gt;0,Eingabe!$E$14&gt;=12),"1. Gerät: 10."&amp;Eingabe!$D$14&amp;".12.10, 2. Gerät: .11","")</f>
        <v/>
      </c>
    </row>
    <row r="1031" customFormat="false" ht="15" hidden="false" customHeight="false" outlineLevel="0" collapsed="false">
      <c r="A1031" s="16" t="str">
        <f aca="false">IF(AND(Eingabe!$F$14&gt;0,Eingabe!$E$14&gt;=13),6,"")</f>
        <v/>
      </c>
      <c r="B1031" s="16" t="str">
        <f aca="false">IF(AND(Eingabe!$F$14&gt;0,Eingabe!$E$14&gt;=13),Eingabe!$B$14,"")</f>
        <v/>
      </c>
      <c r="C1031" s="16" t="str">
        <f aca="false">IF(AND(Eingabe!$F$14&gt;0,Eingabe!$E$14&gt;=13),Eingabe!$C$14&amp;"-Paz."&amp;TEXT(13,"000"),"")</f>
        <v/>
      </c>
      <c r="D1031" s="16" t="str">
        <f aca="false">IF(AND(Eingabe!$F$14&gt;0,Eingabe!$E$14&gt;=13),13,"")</f>
        <v/>
      </c>
      <c r="E1031" s="16" t="str">
        <f aca="false">IF(AND(Eingabe!$F$14&gt;0,Eingabe!$E$14&gt;=13),IF((Eingabe!$G$14)&lt;=9,1000+(Eingabe!$G$14)*100,3000)+13,"")</f>
        <v/>
      </c>
      <c r="F1031" s="16" t="str">
        <f aca="false">IF(AND(Eingabe!$F$14&gt;0,Eingabe!$E$14&gt;=13),"10."&amp;Eingabe!$D$14&amp;".13.0/24","")</f>
        <v/>
      </c>
      <c r="G1031" s="16" t="str">
        <f aca="false">IF(AND(Eingabe!$F$14&gt;0,Eingabe!$E$14&gt;=13),"10."&amp;Eingabe!$D$14&amp;".13.1","")</f>
        <v/>
      </c>
      <c r="H1031" s="16" t="str">
        <f aca="false">IF(AND(Eingabe!$F$14&gt;0,Eingabe!$E$14&gt;=13),"10."&amp;Eingabe!$D$14&amp;".13.10 – 10."&amp;Eingabe!$D$14&amp;".13.250","")</f>
        <v/>
      </c>
      <c r="I1031" s="16" t="str">
        <f aca="false">IF(AND(Eingabe!$F$14&gt;0,Eingabe!$E$14&gt;=13),Eingabe!$B$6&amp;"-"&amp;Eingabe!$C$14&amp;"-Pächter","")</f>
        <v/>
      </c>
      <c r="J1031" s="16" t="str">
        <f aca="false">IF(AND(Eingabe!$F$14&gt;0,Eingabe!$E$14&gt;=13),"PPSK: Passwort Parzelle 13","")</f>
        <v/>
      </c>
      <c r="K1031" s="16" t="str">
        <f aca="false">IF(AND(Eingabe!$F$14&gt;0,Eingabe!$E$14&gt;=13),"1. Gerät: 10."&amp;Eingabe!$D$14&amp;".13.10, 2. Gerät: .11","")</f>
        <v/>
      </c>
    </row>
    <row r="1032" customFormat="false" ht="15" hidden="false" customHeight="false" outlineLevel="0" collapsed="false">
      <c r="A1032" s="16" t="str">
        <f aca="false">IF(AND(Eingabe!$F$14&gt;0,Eingabe!$E$14&gt;=14),6,"")</f>
        <v/>
      </c>
      <c r="B1032" s="16" t="str">
        <f aca="false">IF(AND(Eingabe!$F$14&gt;0,Eingabe!$E$14&gt;=14),Eingabe!$B$14,"")</f>
        <v/>
      </c>
      <c r="C1032" s="16" t="str">
        <f aca="false">IF(AND(Eingabe!$F$14&gt;0,Eingabe!$E$14&gt;=14),Eingabe!$C$14&amp;"-Paz."&amp;TEXT(14,"000"),"")</f>
        <v/>
      </c>
      <c r="D1032" s="16" t="str">
        <f aca="false">IF(AND(Eingabe!$F$14&gt;0,Eingabe!$E$14&gt;=14),14,"")</f>
        <v/>
      </c>
      <c r="E1032" s="16" t="str">
        <f aca="false">IF(AND(Eingabe!$F$14&gt;0,Eingabe!$E$14&gt;=14),IF((Eingabe!$G$14)&lt;=9,1000+(Eingabe!$G$14)*100,3000)+14,"")</f>
        <v/>
      </c>
      <c r="F1032" s="16" t="str">
        <f aca="false">IF(AND(Eingabe!$F$14&gt;0,Eingabe!$E$14&gt;=14),"10."&amp;Eingabe!$D$14&amp;".14.0/24","")</f>
        <v/>
      </c>
      <c r="G1032" s="16" t="str">
        <f aca="false">IF(AND(Eingabe!$F$14&gt;0,Eingabe!$E$14&gt;=14),"10."&amp;Eingabe!$D$14&amp;".14.1","")</f>
        <v/>
      </c>
      <c r="H1032" s="16" t="str">
        <f aca="false">IF(AND(Eingabe!$F$14&gt;0,Eingabe!$E$14&gt;=14),"10."&amp;Eingabe!$D$14&amp;".14.10 – 10."&amp;Eingabe!$D$14&amp;".14.250","")</f>
        <v/>
      </c>
      <c r="I1032" s="16" t="str">
        <f aca="false">IF(AND(Eingabe!$F$14&gt;0,Eingabe!$E$14&gt;=14),Eingabe!$B$6&amp;"-"&amp;Eingabe!$C$14&amp;"-Pächter","")</f>
        <v/>
      </c>
      <c r="J1032" s="16" t="str">
        <f aca="false">IF(AND(Eingabe!$F$14&gt;0,Eingabe!$E$14&gt;=14),"PPSK: Passwort Parzelle 14","")</f>
        <v/>
      </c>
      <c r="K1032" s="16" t="str">
        <f aca="false">IF(AND(Eingabe!$F$14&gt;0,Eingabe!$E$14&gt;=14),"1. Gerät: 10."&amp;Eingabe!$D$14&amp;".14.10, 2. Gerät: .11","")</f>
        <v/>
      </c>
    </row>
    <row r="1033" customFormat="false" ht="15" hidden="false" customHeight="false" outlineLevel="0" collapsed="false">
      <c r="A1033" s="16" t="str">
        <f aca="false">IF(AND(Eingabe!$F$14&gt;0,Eingabe!$E$14&gt;=15),6,"")</f>
        <v/>
      </c>
      <c r="B1033" s="16" t="str">
        <f aca="false">IF(AND(Eingabe!$F$14&gt;0,Eingabe!$E$14&gt;=15),Eingabe!$B$14,"")</f>
        <v/>
      </c>
      <c r="C1033" s="16" t="str">
        <f aca="false">IF(AND(Eingabe!$F$14&gt;0,Eingabe!$E$14&gt;=15),Eingabe!$C$14&amp;"-Paz."&amp;TEXT(15,"000"),"")</f>
        <v/>
      </c>
      <c r="D1033" s="16" t="str">
        <f aca="false">IF(AND(Eingabe!$F$14&gt;0,Eingabe!$E$14&gt;=15),15,"")</f>
        <v/>
      </c>
      <c r="E1033" s="16" t="str">
        <f aca="false">IF(AND(Eingabe!$F$14&gt;0,Eingabe!$E$14&gt;=15),IF((Eingabe!$G$14)&lt;=9,1000+(Eingabe!$G$14)*100,3000)+15,"")</f>
        <v/>
      </c>
      <c r="F1033" s="16" t="str">
        <f aca="false">IF(AND(Eingabe!$F$14&gt;0,Eingabe!$E$14&gt;=15),"10."&amp;Eingabe!$D$14&amp;".15.0/24","")</f>
        <v/>
      </c>
      <c r="G1033" s="16" t="str">
        <f aca="false">IF(AND(Eingabe!$F$14&gt;0,Eingabe!$E$14&gt;=15),"10."&amp;Eingabe!$D$14&amp;".15.1","")</f>
        <v/>
      </c>
      <c r="H1033" s="16" t="str">
        <f aca="false">IF(AND(Eingabe!$F$14&gt;0,Eingabe!$E$14&gt;=15),"10."&amp;Eingabe!$D$14&amp;".15.10 – 10."&amp;Eingabe!$D$14&amp;".15.250","")</f>
        <v/>
      </c>
      <c r="I1033" s="16" t="str">
        <f aca="false">IF(AND(Eingabe!$F$14&gt;0,Eingabe!$E$14&gt;=15),Eingabe!$B$6&amp;"-"&amp;Eingabe!$C$14&amp;"-Pächter","")</f>
        <v/>
      </c>
      <c r="J1033" s="16" t="str">
        <f aca="false">IF(AND(Eingabe!$F$14&gt;0,Eingabe!$E$14&gt;=15),"PPSK: Passwort Parzelle 15","")</f>
        <v/>
      </c>
      <c r="K1033" s="16" t="str">
        <f aca="false">IF(AND(Eingabe!$F$14&gt;0,Eingabe!$E$14&gt;=15),"1. Gerät: 10."&amp;Eingabe!$D$14&amp;".15.10, 2. Gerät: .11","")</f>
        <v/>
      </c>
    </row>
    <row r="1034" customFormat="false" ht="15" hidden="false" customHeight="false" outlineLevel="0" collapsed="false">
      <c r="A1034" s="16" t="str">
        <f aca="false">IF(AND(Eingabe!$F$14&gt;0,Eingabe!$E$14&gt;=16),6,"")</f>
        <v/>
      </c>
      <c r="B1034" s="16" t="str">
        <f aca="false">IF(AND(Eingabe!$F$14&gt;0,Eingabe!$E$14&gt;=16),Eingabe!$B$14,"")</f>
        <v/>
      </c>
      <c r="C1034" s="16" t="str">
        <f aca="false">IF(AND(Eingabe!$F$14&gt;0,Eingabe!$E$14&gt;=16),Eingabe!$C$14&amp;"-Paz."&amp;TEXT(16,"000"),"")</f>
        <v/>
      </c>
      <c r="D1034" s="16" t="str">
        <f aca="false">IF(AND(Eingabe!$F$14&gt;0,Eingabe!$E$14&gt;=16),16,"")</f>
        <v/>
      </c>
      <c r="E1034" s="16" t="str">
        <f aca="false">IF(AND(Eingabe!$F$14&gt;0,Eingabe!$E$14&gt;=16),IF((Eingabe!$G$14)&lt;=9,1000+(Eingabe!$G$14)*100,3000)+16,"")</f>
        <v/>
      </c>
      <c r="F1034" s="16" t="str">
        <f aca="false">IF(AND(Eingabe!$F$14&gt;0,Eingabe!$E$14&gt;=16),"10."&amp;Eingabe!$D$14&amp;".16.0/24","")</f>
        <v/>
      </c>
      <c r="G1034" s="16" t="str">
        <f aca="false">IF(AND(Eingabe!$F$14&gt;0,Eingabe!$E$14&gt;=16),"10."&amp;Eingabe!$D$14&amp;".16.1","")</f>
        <v/>
      </c>
      <c r="H1034" s="16" t="str">
        <f aca="false">IF(AND(Eingabe!$F$14&gt;0,Eingabe!$E$14&gt;=16),"10."&amp;Eingabe!$D$14&amp;".16.10 – 10."&amp;Eingabe!$D$14&amp;".16.250","")</f>
        <v/>
      </c>
      <c r="I1034" s="16" t="str">
        <f aca="false">IF(AND(Eingabe!$F$14&gt;0,Eingabe!$E$14&gt;=16),Eingabe!$B$6&amp;"-"&amp;Eingabe!$C$14&amp;"-Pächter","")</f>
        <v/>
      </c>
      <c r="J1034" s="16" t="str">
        <f aca="false">IF(AND(Eingabe!$F$14&gt;0,Eingabe!$E$14&gt;=16),"PPSK: Passwort Parzelle 16","")</f>
        <v/>
      </c>
      <c r="K1034" s="16" t="str">
        <f aca="false">IF(AND(Eingabe!$F$14&gt;0,Eingabe!$E$14&gt;=16),"1. Gerät: 10."&amp;Eingabe!$D$14&amp;".16.10, 2. Gerät: .11","")</f>
        <v/>
      </c>
    </row>
    <row r="1035" customFormat="false" ht="15" hidden="false" customHeight="false" outlineLevel="0" collapsed="false">
      <c r="A1035" s="16" t="str">
        <f aca="false">IF(AND(Eingabe!$F$14&gt;0,Eingabe!$E$14&gt;=17),6,"")</f>
        <v/>
      </c>
      <c r="B1035" s="16" t="str">
        <f aca="false">IF(AND(Eingabe!$F$14&gt;0,Eingabe!$E$14&gt;=17),Eingabe!$B$14,"")</f>
        <v/>
      </c>
      <c r="C1035" s="16" t="str">
        <f aca="false">IF(AND(Eingabe!$F$14&gt;0,Eingabe!$E$14&gt;=17),Eingabe!$C$14&amp;"-Paz."&amp;TEXT(17,"000"),"")</f>
        <v/>
      </c>
      <c r="D1035" s="16" t="str">
        <f aca="false">IF(AND(Eingabe!$F$14&gt;0,Eingabe!$E$14&gt;=17),17,"")</f>
        <v/>
      </c>
      <c r="E1035" s="16" t="str">
        <f aca="false">IF(AND(Eingabe!$F$14&gt;0,Eingabe!$E$14&gt;=17),IF((Eingabe!$G$14)&lt;=9,1000+(Eingabe!$G$14)*100,3000)+17,"")</f>
        <v/>
      </c>
      <c r="F1035" s="16" t="str">
        <f aca="false">IF(AND(Eingabe!$F$14&gt;0,Eingabe!$E$14&gt;=17),"10."&amp;Eingabe!$D$14&amp;".17.0/24","")</f>
        <v/>
      </c>
      <c r="G1035" s="16" t="str">
        <f aca="false">IF(AND(Eingabe!$F$14&gt;0,Eingabe!$E$14&gt;=17),"10."&amp;Eingabe!$D$14&amp;".17.1","")</f>
        <v/>
      </c>
      <c r="H1035" s="16" t="str">
        <f aca="false">IF(AND(Eingabe!$F$14&gt;0,Eingabe!$E$14&gt;=17),"10."&amp;Eingabe!$D$14&amp;".17.10 – 10."&amp;Eingabe!$D$14&amp;".17.250","")</f>
        <v/>
      </c>
      <c r="I1035" s="16" t="str">
        <f aca="false">IF(AND(Eingabe!$F$14&gt;0,Eingabe!$E$14&gt;=17),Eingabe!$B$6&amp;"-"&amp;Eingabe!$C$14&amp;"-Pächter","")</f>
        <v/>
      </c>
      <c r="J1035" s="16" t="str">
        <f aca="false">IF(AND(Eingabe!$F$14&gt;0,Eingabe!$E$14&gt;=17),"PPSK: Passwort Parzelle 17","")</f>
        <v/>
      </c>
      <c r="K1035" s="16" t="str">
        <f aca="false">IF(AND(Eingabe!$F$14&gt;0,Eingabe!$E$14&gt;=17),"1. Gerät: 10."&amp;Eingabe!$D$14&amp;".17.10, 2. Gerät: .11","")</f>
        <v/>
      </c>
    </row>
    <row r="1036" customFormat="false" ht="15" hidden="false" customHeight="false" outlineLevel="0" collapsed="false">
      <c r="A1036" s="16" t="str">
        <f aca="false">IF(AND(Eingabe!$F$14&gt;0,Eingabe!$E$14&gt;=18),6,"")</f>
        <v/>
      </c>
      <c r="B1036" s="16" t="str">
        <f aca="false">IF(AND(Eingabe!$F$14&gt;0,Eingabe!$E$14&gt;=18),Eingabe!$B$14,"")</f>
        <v/>
      </c>
      <c r="C1036" s="16" t="str">
        <f aca="false">IF(AND(Eingabe!$F$14&gt;0,Eingabe!$E$14&gt;=18),Eingabe!$C$14&amp;"-Paz."&amp;TEXT(18,"000"),"")</f>
        <v/>
      </c>
      <c r="D1036" s="16" t="str">
        <f aca="false">IF(AND(Eingabe!$F$14&gt;0,Eingabe!$E$14&gt;=18),18,"")</f>
        <v/>
      </c>
      <c r="E1036" s="16" t="str">
        <f aca="false">IF(AND(Eingabe!$F$14&gt;0,Eingabe!$E$14&gt;=18),IF((Eingabe!$G$14)&lt;=9,1000+(Eingabe!$G$14)*100,3000)+18,"")</f>
        <v/>
      </c>
      <c r="F1036" s="16" t="str">
        <f aca="false">IF(AND(Eingabe!$F$14&gt;0,Eingabe!$E$14&gt;=18),"10."&amp;Eingabe!$D$14&amp;".18.0/24","")</f>
        <v/>
      </c>
      <c r="G1036" s="16" t="str">
        <f aca="false">IF(AND(Eingabe!$F$14&gt;0,Eingabe!$E$14&gt;=18),"10."&amp;Eingabe!$D$14&amp;".18.1","")</f>
        <v/>
      </c>
      <c r="H1036" s="16" t="str">
        <f aca="false">IF(AND(Eingabe!$F$14&gt;0,Eingabe!$E$14&gt;=18),"10."&amp;Eingabe!$D$14&amp;".18.10 – 10."&amp;Eingabe!$D$14&amp;".18.250","")</f>
        <v/>
      </c>
      <c r="I1036" s="16" t="str">
        <f aca="false">IF(AND(Eingabe!$F$14&gt;0,Eingabe!$E$14&gt;=18),Eingabe!$B$6&amp;"-"&amp;Eingabe!$C$14&amp;"-Pächter","")</f>
        <v/>
      </c>
      <c r="J1036" s="16" t="str">
        <f aca="false">IF(AND(Eingabe!$F$14&gt;0,Eingabe!$E$14&gt;=18),"PPSK: Passwort Parzelle 18","")</f>
        <v/>
      </c>
      <c r="K1036" s="16" t="str">
        <f aca="false">IF(AND(Eingabe!$F$14&gt;0,Eingabe!$E$14&gt;=18),"1. Gerät: 10."&amp;Eingabe!$D$14&amp;".18.10, 2. Gerät: .11","")</f>
        <v/>
      </c>
    </row>
    <row r="1037" customFormat="false" ht="15" hidden="false" customHeight="false" outlineLevel="0" collapsed="false">
      <c r="A1037" s="16" t="str">
        <f aca="false">IF(AND(Eingabe!$F$14&gt;0,Eingabe!$E$14&gt;=19),6,"")</f>
        <v/>
      </c>
      <c r="B1037" s="16" t="str">
        <f aca="false">IF(AND(Eingabe!$F$14&gt;0,Eingabe!$E$14&gt;=19),Eingabe!$B$14,"")</f>
        <v/>
      </c>
      <c r="C1037" s="16" t="str">
        <f aca="false">IF(AND(Eingabe!$F$14&gt;0,Eingabe!$E$14&gt;=19),Eingabe!$C$14&amp;"-Paz."&amp;TEXT(19,"000"),"")</f>
        <v/>
      </c>
      <c r="D1037" s="16" t="str">
        <f aca="false">IF(AND(Eingabe!$F$14&gt;0,Eingabe!$E$14&gt;=19),19,"")</f>
        <v/>
      </c>
      <c r="E1037" s="16" t="str">
        <f aca="false">IF(AND(Eingabe!$F$14&gt;0,Eingabe!$E$14&gt;=19),IF((Eingabe!$G$14)&lt;=9,1000+(Eingabe!$G$14)*100,3000)+19,"")</f>
        <v/>
      </c>
      <c r="F1037" s="16" t="str">
        <f aca="false">IF(AND(Eingabe!$F$14&gt;0,Eingabe!$E$14&gt;=19),"10."&amp;Eingabe!$D$14&amp;".19.0/24","")</f>
        <v/>
      </c>
      <c r="G1037" s="16" t="str">
        <f aca="false">IF(AND(Eingabe!$F$14&gt;0,Eingabe!$E$14&gt;=19),"10."&amp;Eingabe!$D$14&amp;".19.1","")</f>
        <v/>
      </c>
      <c r="H1037" s="16" t="str">
        <f aca="false">IF(AND(Eingabe!$F$14&gt;0,Eingabe!$E$14&gt;=19),"10."&amp;Eingabe!$D$14&amp;".19.10 – 10."&amp;Eingabe!$D$14&amp;".19.250","")</f>
        <v/>
      </c>
      <c r="I1037" s="16" t="str">
        <f aca="false">IF(AND(Eingabe!$F$14&gt;0,Eingabe!$E$14&gt;=19),Eingabe!$B$6&amp;"-"&amp;Eingabe!$C$14&amp;"-Pächter","")</f>
        <v/>
      </c>
      <c r="J1037" s="16" t="str">
        <f aca="false">IF(AND(Eingabe!$F$14&gt;0,Eingabe!$E$14&gt;=19),"PPSK: Passwort Parzelle 19","")</f>
        <v/>
      </c>
      <c r="K1037" s="16" t="str">
        <f aca="false">IF(AND(Eingabe!$F$14&gt;0,Eingabe!$E$14&gt;=19),"1. Gerät: 10."&amp;Eingabe!$D$14&amp;".19.10, 2. Gerät: .11","")</f>
        <v/>
      </c>
    </row>
    <row r="1038" customFormat="false" ht="15" hidden="false" customHeight="false" outlineLevel="0" collapsed="false">
      <c r="A1038" s="16" t="str">
        <f aca="false">IF(AND(Eingabe!$F$14&gt;0,Eingabe!$E$14&gt;=20),6,"")</f>
        <v/>
      </c>
      <c r="B1038" s="16" t="str">
        <f aca="false">IF(AND(Eingabe!$F$14&gt;0,Eingabe!$E$14&gt;=20),Eingabe!$B$14,"")</f>
        <v/>
      </c>
      <c r="C1038" s="16" t="str">
        <f aca="false">IF(AND(Eingabe!$F$14&gt;0,Eingabe!$E$14&gt;=20),Eingabe!$C$14&amp;"-Paz."&amp;TEXT(20,"000"),"")</f>
        <v/>
      </c>
      <c r="D1038" s="16" t="str">
        <f aca="false">IF(AND(Eingabe!$F$14&gt;0,Eingabe!$E$14&gt;=20),20,"")</f>
        <v/>
      </c>
      <c r="E1038" s="16" t="str">
        <f aca="false">IF(AND(Eingabe!$F$14&gt;0,Eingabe!$E$14&gt;=20),IF((Eingabe!$G$14)&lt;=9,1000+(Eingabe!$G$14)*100,3000)+20,"")</f>
        <v/>
      </c>
      <c r="F1038" s="16" t="str">
        <f aca="false">IF(AND(Eingabe!$F$14&gt;0,Eingabe!$E$14&gt;=20),"10."&amp;Eingabe!$D$14&amp;".20.0/24","")</f>
        <v/>
      </c>
      <c r="G1038" s="16" t="str">
        <f aca="false">IF(AND(Eingabe!$F$14&gt;0,Eingabe!$E$14&gt;=20),"10."&amp;Eingabe!$D$14&amp;".20.1","")</f>
        <v/>
      </c>
      <c r="H1038" s="16" t="str">
        <f aca="false">IF(AND(Eingabe!$F$14&gt;0,Eingabe!$E$14&gt;=20),"10."&amp;Eingabe!$D$14&amp;".20.10 – 10."&amp;Eingabe!$D$14&amp;".20.250","")</f>
        <v/>
      </c>
      <c r="I1038" s="16" t="str">
        <f aca="false">IF(AND(Eingabe!$F$14&gt;0,Eingabe!$E$14&gt;=20),Eingabe!$B$6&amp;"-"&amp;Eingabe!$C$14&amp;"-Pächter","")</f>
        <v/>
      </c>
      <c r="J1038" s="16" t="str">
        <f aca="false">IF(AND(Eingabe!$F$14&gt;0,Eingabe!$E$14&gt;=20),"PPSK: Passwort Parzelle 20","")</f>
        <v/>
      </c>
      <c r="K1038" s="16" t="str">
        <f aca="false">IF(AND(Eingabe!$F$14&gt;0,Eingabe!$E$14&gt;=20),"1. Gerät: 10."&amp;Eingabe!$D$14&amp;".20.10, 2. Gerät: .11","")</f>
        <v/>
      </c>
    </row>
    <row r="1039" customFormat="false" ht="15" hidden="false" customHeight="false" outlineLevel="0" collapsed="false">
      <c r="A1039" s="16" t="str">
        <f aca="false">IF(AND(Eingabe!$F$14&gt;0,Eingabe!$E$14&gt;=21),6,"")</f>
        <v/>
      </c>
      <c r="B1039" s="16" t="str">
        <f aca="false">IF(AND(Eingabe!$F$14&gt;0,Eingabe!$E$14&gt;=21),Eingabe!$B$14,"")</f>
        <v/>
      </c>
      <c r="C1039" s="16" t="str">
        <f aca="false">IF(AND(Eingabe!$F$14&gt;0,Eingabe!$E$14&gt;=21),Eingabe!$C$14&amp;"-Paz."&amp;TEXT(21,"000"),"")</f>
        <v/>
      </c>
      <c r="D1039" s="16" t="str">
        <f aca="false">IF(AND(Eingabe!$F$14&gt;0,Eingabe!$E$14&gt;=21),21,"")</f>
        <v/>
      </c>
      <c r="E1039" s="16" t="str">
        <f aca="false">IF(AND(Eingabe!$F$14&gt;0,Eingabe!$E$14&gt;=21),IF((Eingabe!$G$14)&lt;=9,1000+(Eingabe!$G$14)*100,3000)+21,"")</f>
        <v/>
      </c>
      <c r="F1039" s="16" t="str">
        <f aca="false">IF(AND(Eingabe!$F$14&gt;0,Eingabe!$E$14&gt;=21),"10."&amp;Eingabe!$D$14&amp;".21.0/24","")</f>
        <v/>
      </c>
      <c r="G1039" s="16" t="str">
        <f aca="false">IF(AND(Eingabe!$F$14&gt;0,Eingabe!$E$14&gt;=21),"10."&amp;Eingabe!$D$14&amp;".21.1","")</f>
        <v/>
      </c>
      <c r="H1039" s="16" t="str">
        <f aca="false">IF(AND(Eingabe!$F$14&gt;0,Eingabe!$E$14&gt;=21),"10."&amp;Eingabe!$D$14&amp;".21.10 – 10."&amp;Eingabe!$D$14&amp;".21.250","")</f>
        <v/>
      </c>
      <c r="I1039" s="16" t="str">
        <f aca="false">IF(AND(Eingabe!$F$14&gt;0,Eingabe!$E$14&gt;=21),Eingabe!$B$6&amp;"-"&amp;Eingabe!$C$14&amp;"-Pächter","")</f>
        <v/>
      </c>
      <c r="J1039" s="16" t="str">
        <f aca="false">IF(AND(Eingabe!$F$14&gt;0,Eingabe!$E$14&gt;=21),"PPSK: Passwort Parzelle 21","")</f>
        <v/>
      </c>
      <c r="K1039" s="16" t="str">
        <f aca="false">IF(AND(Eingabe!$F$14&gt;0,Eingabe!$E$14&gt;=21),"1. Gerät: 10."&amp;Eingabe!$D$14&amp;".21.10, 2. Gerät: .11","")</f>
        <v/>
      </c>
    </row>
    <row r="1040" customFormat="false" ht="15" hidden="false" customHeight="false" outlineLevel="0" collapsed="false">
      <c r="A1040" s="16" t="str">
        <f aca="false">IF(AND(Eingabe!$F$14&gt;0,Eingabe!$E$14&gt;=22),6,"")</f>
        <v/>
      </c>
      <c r="B1040" s="16" t="str">
        <f aca="false">IF(AND(Eingabe!$F$14&gt;0,Eingabe!$E$14&gt;=22),Eingabe!$B$14,"")</f>
        <v/>
      </c>
      <c r="C1040" s="16" t="str">
        <f aca="false">IF(AND(Eingabe!$F$14&gt;0,Eingabe!$E$14&gt;=22),Eingabe!$C$14&amp;"-Paz."&amp;TEXT(22,"000"),"")</f>
        <v/>
      </c>
      <c r="D1040" s="16" t="str">
        <f aca="false">IF(AND(Eingabe!$F$14&gt;0,Eingabe!$E$14&gt;=22),22,"")</f>
        <v/>
      </c>
      <c r="E1040" s="16" t="str">
        <f aca="false">IF(AND(Eingabe!$F$14&gt;0,Eingabe!$E$14&gt;=22),IF((Eingabe!$G$14)&lt;=9,1000+(Eingabe!$G$14)*100,3000)+22,"")</f>
        <v/>
      </c>
      <c r="F1040" s="16" t="str">
        <f aca="false">IF(AND(Eingabe!$F$14&gt;0,Eingabe!$E$14&gt;=22),"10."&amp;Eingabe!$D$14&amp;".22.0/24","")</f>
        <v/>
      </c>
      <c r="G1040" s="16" t="str">
        <f aca="false">IF(AND(Eingabe!$F$14&gt;0,Eingabe!$E$14&gt;=22),"10."&amp;Eingabe!$D$14&amp;".22.1","")</f>
        <v/>
      </c>
      <c r="H1040" s="16" t="str">
        <f aca="false">IF(AND(Eingabe!$F$14&gt;0,Eingabe!$E$14&gt;=22),"10."&amp;Eingabe!$D$14&amp;".22.10 – 10."&amp;Eingabe!$D$14&amp;".22.250","")</f>
        <v/>
      </c>
      <c r="I1040" s="16" t="str">
        <f aca="false">IF(AND(Eingabe!$F$14&gt;0,Eingabe!$E$14&gt;=22),Eingabe!$B$6&amp;"-"&amp;Eingabe!$C$14&amp;"-Pächter","")</f>
        <v/>
      </c>
      <c r="J1040" s="16" t="str">
        <f aca="false">IF(AND(Eingabe!$F$14&gt;0,Eingabe!$E$14&gt;=22),"PPSK: Passwort Parzelle 22","")</f>
        <v/>
      </c>
      <c r="K1040" s="16" t="str">
        <f aca="false">IF(AND(Eingabe!$F$14&gt;0,Eingabe!$E$14&gt;=22),"1. Gerät: 10."&amp;Eingabe!$D$14&amp;".22.10, 2. Gerät: .11","")</f>
        <v/>
      </c>
    </row>
    <row r="1041" customFormat="false" ht="15" hidden="false" customHeight="false" outlineLevel="0" collapsed="false">
      <c r="A1041" s="16" t="str">
        <f aca="false">IF(AND(Eingabe!$F$14&gt;0,Eingabe!$E$14&gt;=23),6,"")</f>
        <v/>
      </c>
      <c r="B1041" s="16" t="str">
        <f aca="false">IF(AND(Eingabe!$F$14&gt;0,Eingabe!$E$14&gt;=23),Eingabe!$B$14,"")</f>
        <v/>
      </c>
      <c r="C1041" s="16" t="str">
        <f aca="false">IF(AND(Eingabe!$F$14&gt;0,Eingabe!$E$14&gt;=23),Eingabe!$C$14&amp;"-Paz."&amp;TEXT(23,"000"),"")</f>
        <v/>
      </c>
      <c r="D1041" s="16" t="str">
        <f aca="false">IF(AND(Eingabe!$F$14&gt;0,Eingabe!$E$14&gt;=23),23,"")</f>
        <v/>
      </c>
      <c r="E1041" s="16" t="str">
        <f aca="false">IF(AND(Eingabe!$F$14&gt;0,Eingabe!$E$14&gt;=23),IF((Eingabe!$G$14)&lt;=9,1000+(Eingabe!$G$14)*100,3000)+23,"")</f>
        <v/>
      </c>
      <c r="F1041" s="16" t="str">
        <f aca="false">IF(AND(Eingabe!$F$14&gt;0,Eingabe!$E$14&gt;=23),"10."&amp;Eingabe!$D$14&amp;".23.0/24","")</f>
        <v/>
      </c>
      <c r="G1041" s="16" t="str">
        <f aca="false">IF(AND(Eingabe!$F$14&gt;0,Eingabe!$E$14&gt;=23),"10."&amp;Eingabe!$D$14&amp;".23.1","")</f>
        <v/>
      </c>
      <c r="H1041" s="16" t="str">
        <f aca="false">IF(AND(Eingabe!$F$14&gt;0,Eingabe!$E$14&gt;=23),"10."&amp;Eingabe!$D$14&amp;".23.10 – 10."&amp;Eingabe!$D$14&amp;".23.250","")</f>
        <v/>
      </c>
      <c r="I1041" s="16" t="str">
        <f aca="false">IF(AND(Eingabe!$F$14&gt;0,Eingabe!$E$14&gt;=23),Eingabe!$B$6&amp;"-"&amp;Eingabe!$C$14&amp;"-Pächter","")</f>
        <v/>
      </c>
      <c r="J1041" s="16" t="str">
        <f aca="false">IF(AND(Eingabe!$F$14&gt;0,Eingabe!$E$14&gt;=23),"PPSK: Passwort Parzelle 23","")</f>
        <v/>
      </c>
      <c r="K1041" s="16" t="str">
        <f aca="false">IF(AND(Eingabe!$F$14&gt;0,Eingabe!$E$14&gt;=23),"1. Gerät: 10."&amp;Eingabe!$D$14&amp;".23.10, 2. Gerät: .11","")</f>
        <v/>
      </c>
    </row>
    <row r="1042" customFormat="false" ht="15" hidden="false" customHeight="false" outlineLevel="0" collapsed="false">
      <c r="A1042" s="16" t="str">
        <f aca="false">IF(AND(Eingabe!$F$14&gt;0,Eingabe!$E$14&gt;=24),6,"")</f>
        <v/>
      </c>
      <c r="B1042" s="16" t="str">
        <f aca="false">IF(AND(Eingabe!$F$14&gt;0,Eingabe!$E$14&gt;=24),Eingabe!$B$14,"")</f>
        <v/>
      </c>
      <c r="C1042" s="16" t="str">
        <f aca="false">IF(AND(Eingabe!$F$14&gt;0,Eingabe!$E$14&gt;=24),Eingabe!$C$14&amp;"-Paz."&amp;TEXT(24,"000"),"")</f>
        <v/>
      </c>
      <c r="D1042" s="16" t="str">
        <f aca="false">IF(AND(Eingabe!$F$14&gt;0,Eingabe!$E$14&gt;=24),24,"")</f>
        <v/>
      </c>
      <c r="E1042" s="16" t="str">
        <f aca="false">IF(AND(Eingabe!$F$14&gt;0,Eingabe!$E$14&gt;=24),IF((Eingabe!$G$14)&lt;=9,1000+(Eingabe!$G$14)*100,3000)+24,"")</f>
        <v/>
      </c>
      <c r="F1042" s="16" t="str">
        <f aca="false">IF(AND(Eingabe!$F$14&gt;0,Eingabe!$E$14&gt;=24),"10."&amp;Eingabe!$D$14&amp;".24.0/24","")</f>
        <v/>
      </c>
      <c r="G1042" s="16" t="str">
        <f aca="false">IF(AND(Eingabe!$F$14&gt;0,Eingabe!$E$14&gt;=24),"10."&amp;Eingabe!$D$14&amp;".24.1","")</f>
        <v/>
      </c>
      <c r="H1042" s="16" t="str">
        <f aca="false">IF(AND(Eingabe!$F$14&gt;0,Eingabe!$E$14&gt;=24),"10."&amp;Eingabe!$D$14&amp;".24.10 – 10."&amp;Eingabe!$D$14&amp;".24.250","")</f>
        <v/>
      </c>
      <c r="I1042" s="16" t="str">
        <f aca="false">IF(AND(Eingabe!$F$14&gt;0,Eingabe!$E$14&gt;=24),Eingabe!$B$6&amp;"-"&amp;Eingabe!$C$14&amp;"-Pächter","")</f>
        <v/>
      </c>
      <c r="J1042" s="16" t="str">
        <f aca="false">IF(AND(Eingabe!$F$14&gt;0,Eingabe!$E$14&gt;=24),"PPSK: Passwort Parzelle 24","")</f>
        <v/>
      </c>
      <c r="K1042" s="16" t="str">
        <f aca="false">IF(AND(Eingabe!$F$14&gt;0,Eingabe!$E$14&gt;=24),"1. Gerät: 10."&amp;Eingabe!$D$14&amp;".24.10, 2. Gerät: .11","")</f>
        <v/>
      </c>
    </row>
    <row r="1043" customFormat="false" ht="15" hidden="false" customHeight="false" outlineLevel="0" collapsed="false">
      <c r="A1043" s="16" t="str">
        <f aca="false">IF(AND(Eingabe!$F$14&gt;0,Eingabe!$E$14&gt;=25),6,"")</f>
        <v/>
      </c>
      <c r="B1043" s="16" t="str">
        <f aca="false">IF(AND(Eingabe!$F$14&gt;0,Eingabe!$E$14&gt;=25),Eingabe!$B$14,"")</f>
        <v/>
      </c>
      <c r="C1043" s="16" t="str">
        <f aca="false">IF(AND(Eingabe!$F$14&gt;0,Eingabe!$E$14&gt;=25),Eingabe!$C$14&amp;"-Paz."&amp;TEXT(25,"000"),"")</f>
        <v/>
      </c>
      <c r="D1043" s="16" t="str">
        <f aca="false">IF(AND(Eingabe!$F$14&gt;0,Eingabe!$E$14&gt;=25),25,"")</f>
        <v/>
      </c>
      <c r="E1043" s="16" t="str">
        <f aca="false">IF(AND(Eingabe!$F$14&gt;0,Eingabe!$E$14&gt;=25),IF((Eingabe!$G$14)&lt;=9,1000+(Eingabe!$G$14)*100,3000)+25,"")</f>
        <v/>
      </c>
      <c r="F1043" s="16" t="str">
        <f aca="false">IF(AND(Eingabe!$F$14&gt;0,Eingabe!$E$14&gt;=25),"10."&amp;Eingabe!$D$14&amp;".25.0/24","")</f>
        <v/>
      </c>
      <c r="G1043" s="16" t="str">
        <f aca="false">IF(AND(Eingabe!$F$14&gt;0,Eingabe!$E$14&gt;=25),"10."&amp;Eingabe!$D$14&amp;".25.1","")</f>
        <v/>
      </c>
      <c r="H1043" s="16" t="str">
        <f aca="false">IF(AND(Eingabe!$F$14&gt;0,Eingabe!$E$14&gt;=25),"10."&amp;Eingabe!$D$14&amp;".25.10 – 10."&amp;Eingabe!$D$14&amp;".25.250","")</f>
        <v/>
      </c>
      <c r="I1043" s="16" t="str">
        <f aca="false">IF(AND(Eingabe!$F$14&gt;0,Eingabe!$E$14&gt;=25),Eingabe!$B$6&amp;"-"&amp;Eingabe!$C$14&amp;"-Pächter","")</f>
        <v/>
      </c>
      <c r="J1043" s="16" t="str">
        <f aca="false">IF(AND(Eingabe!$F$14&gt;0,Eingabe!$E$14&gt;=25),"PPSK: Passwort Parzelle 25","")</f>
        <v/>
      </c>
      <c r="K1043" s="16" t="str">
        <f aca="false">IF(AND(Eingabe!$F$14&gt;0,Eingabe!$E$14&gt;=25),"1. Gerät: 10."&amp;Eingabe!$D$14&amp;".25.10, 2. Gerät: .11","")</f>
        <v/>
      </c>
    </row>
    <row r="1044" customFormat="false" ht="15" hidden="false" customHeight="false" outlineLevel="0" collapsed="false">
      <c r="A1044" s="16" t="str">
        <f aca="false">IF(AND(Eingabe!$F$14&gt;0,Eingabe!$E$14&gt;=26),6,"")</f>
        <v/>
      </c>
      <c r="B1044" s="16" t="str">
        <f aca="false">IF(AND(Eingabe!$F$14&gt;0,Eingabe!$E$14&gt;=26),Eingabe!$B$14,"")</f>
        <v/>
      </c>
      <c r="C1044" s="16" t="str">
        <f aca="false">IF(AND(Eingabe!$F$14&gt;0,Eingabe!$E$14&gt;=26),Eingabe!$C$14&amp;"-Paz."&amp;TEXT(26,"000"),"")</f>
        <v/>
      </c>
      <c r="D1044" s="16" t="str">
        <f aca="false">IF(AND(Eingabe!$F$14&gt;0,Eingabe!$E$14&gt;=26),26,"")</f>
        <v/>
      </c>
      <c r="E1044" s="16" t="str">
        <f aca="false">IF(AND(Eingabe!$F$14&gt;0,Eingabe!$E$14&gt;=26),IF((Eingabe!$G$14)&lt;=9,1000+(Eingabe!$G$14)*100,3000)+26,"")</f>
        <v/>
      </c>
      <c r="F1044" s="16" t="str">
        <f aca="false">IF(AND(Eingabe!$F$14&gt;0,Eingabe!$E$14&gt;=26),"10."&amp;Eingabe!$D$14&amp;".26.0/24","")</f>
        <v/>
      </c>
      <c r="G1044" s="16" t="str">
        <f aca="false">IF(AND(Eingabe!$F$14&gt;0,Eingabe!$E$14&gt;=26),"10."&amp;Eingabe!$D$14&amp;".26.1","")</f>
        <v/>
      </c>
      <c r="H1044" s="16" t="str">
        <f aca="false">IF(AND(Eingabe!$F$14&gt;0,Eingabe!$E$14&gt;=26),"10."&amp;Eingabe!$D$14&amp;".26.10 – 10."&amp;Eingabe!$D$14&amp;".26.250","")</f>
        <v/>
      </c>
      <c r="I1044" s="16" t="str">
        <f aca="false">IF(AND(Eingabe!$F$14&gt;0,Eingabe!$E$14&gt;=26),Eingabe!$B$6&amp;"-"&amp;Eingabe!$C$14&amp;"-Pächter","")</f>
        <v/>
      </c>
      <c r="J1044" s="16" t="str">
        <f aca="false">IF(AND(Eingabe!$F$14&gt;0,Eingabe!$E$14&gt;=26),"PPSK: Passwort Parzelle 26","")</f>
        <v/>
      </c>
      <c r="K1044" s="16" t="str">
        <f aca="false">IF(AND(Eingabe!$F$14&gt;0,Eingabe!$E$14&gt;=26),"1. Gerät: 10."&amp;Eingabe!$D$14&amp;".26.10, 2. Gerät: .11","")</f>
        <v/>
      </c>
    </row>
    <row r="1045" customFormat="false" ht="15" hidden="false" customHeight="false" outlineLevel="0" collapsed="false">
      <c r="A1045" s="16" t="str">
        <f aca="false">IF(AND(Eingabe!$F$14&gt;0,Eingabe!$E$14&gt;=27),6,"")</f>
        <v/>
      </c>
      <c r="B1045" s="16" t="str">
        <f aca="false">IF(AND(Eingabe!$F$14&gt;0,Eingabe!$E$14&gt;=27),Eingabe!$B$14,"")</f>
        <v/>
      </c>
      <c r="C1045" s="16" t="str">
        <f aca="false">IF(AND(Eingabe!$F$14&gt;0,Eingabe!$E$14&gt;=27),Eingabe!$C$14&amp;"-Paz."&amp;TEXT(27,"000"),"")</f>
        <v/>
      </c>
      <c r="D1045" s="16" t="str">
        <f aca="false">IF(AND(Eingabe!$F$14&gt;0,Eingabe!$E$14&gt;=27),27,"")</f>
        <v/>
      </c>
      <c r="E1045" s="16" t="str">
        <f aca="false">IF(AND(Eingabe!$F$14&gt;0,Eingabe!$E$14&gt;=27),IF((Eingabe!$G$14)&lt;=9,1000+(Eingabe!$G$14)*100,3000)+27,"")</f>
        <v/>
      </c>
      <c r="F1045" s="16" t="str">
        <f aca="false">IF(AND(Eingabe!$F$14&gt;0,Eingabe!$E$14&gt;=27),"10."&amp;Eingabe!$D$14&amp;".27.0/24","")</f>
        <v/>
      </c>
      <c r="G1045" s="16" t="str">
        <f aca="false">IF(AND(Eingabe!$F$14&gt;0,Eingabe!$E$14&gt;=27),"10."&amp;Eingabe!$D$14&amp;".27.1","")</f>
        <v/>
      </c>
      <c r="H1045" s="16" t="str">
        <f aca="false">IF(AND(Eingabe!$F$14&gt;0,Eingabe!$E$14&gt;=27),"10."&amp;Eingabe!$D$14&amp;".27.10 – 10."&amp;Eingabe!$D$14&amp;".27.250","")</f>
        <v/>
      </c>
      <c r="I1045" s="16" t="str">
        <f aca="false">IF(AND(Eingabe!$F$14&gt;0,Eingabe!$E$14&gt;=27),Eingabe!$B$6&amp;"-"&amp;Eingabe!$C$14&amp;"-Pächter","")</f>
        <v/>
      </c>
      <c r="J1045" s="16" t="str">
        <f aca="false">IF(AND(Eingabe!$F$14&gt;0,Eingabe!$E$14&gt;=27),"PPSK: Passwort Parzelle 27","")</f>
        <v/>
      </c>
      <c r="K1045" s="16" t="str">
        <f aca="false">IF(AND(Eingabe!$F$14&gt;0,Eingabe!$E$14&gt;=27),"1. Gerät: 10."&amp;Eingabe!$D$14&amp;".27.10, 2. Gerät: .11","")</f>
        <v/>
      </c>
    </row>
    <row r="1046" customFormat="false" ht="15" hidden="false" customHeight="false" outlineLevel="0" collapsed="false">
      <c r="A1046" s="16" t="str">
        <f aca="false">IF(AND(Eingabe!$F$14&gt;0,Eingabe!$E$14&gt;=28),6,"")</f>
        <v/>
      </c>
      <c r="B1046" s="16" t="str">
        <f aca="false">IF(AND(Eingabe!$F$14&gt;0,Eingabe!$E$14&gt;=28),Eingabe!$B$14,"")</f>
        <v/>
      </c>
      <c r="C1046" s="16" t="str">
        <f aca="false">IF(AND(Eingabe!$F$14&gt;0,Eingabe!$E$14&gt;=28),Eingabe!$C$14&amp;"-Paz."&amp;TEXT(28,"000"),"")</f>
        <v/>
      </c>
      <c r="D1046" s="16" t="str">
        <f aca="false">IF(AND(Eingabe!$F$14&gt;0,Eingabe!$E$14&gt;=28),28,"")</f>
        <v/>
      </c>
      <c r="E1046" s="16" t="str">
        <f aca="false">IF(AND(Eingabe!$F$14&gt;0,Eingabe!$E$14&gt;=28),IF((Eingabe!$G$14)&lt;=9,1000+(Eingabe!$G$14)*100,3000)+28,"")</f>
        <v/>
      </c>
      <c r="F1046" s="16" t="str">
        <f aca="false">IF(AND(Eingabe!$F$14&gt;0,Eingabe!$E$14&gt;=28),"10."&amp;Eingabe!$D$14&amp;".28.0/24","")</f>
        <v/>
      </c>
      <c r="G1046" s="16" t="str">
        <f aca="false">IF(AND(Eingabe!$F$14&gt;0,Eingabe!$E$14&gt;=28),"10."&amp;Eingabe!$D$14&amp;".28.1","")</f>
        <v/>
      </c>
      <c r="H1046" s="16" t="str">
        <f aca="false">IF(AND(Eingabe!$F$14&gt;0,Eingabe!$E$14&gt;=28),"10."&amp;Eingabe!$D$14&amp;".28.10 – 10."&amp;Eingabe!$D$14&amp;".28.250","")</f>
        <v/>
      </c>
      <c r="I1046" s="16" t="str">
        <f aca="false">IF(AND(Eingabe!$F$14&gt;0,Eingabe!$E$14&gt;=28),Eingabe!$B$6&amp;"-"&amp;Eingabe!$C$14&amp;"-Pächter","")</f>
        <v/>
      </c>
      <c r="J1046" s="16" t="str">
        <f aca="false">IF(AND(Eingabe!$F$14&gt;0,Eingabe!$E$14&gt;=28),"PPSK: Passwort Parzelle 28","")</f>
        <v/>
      </c>
      <c r="K1046" s="16" t="str">
        <f aca="false">IF(AND(Eingabe!$F$14&gt;0,Eingabe!$E$14&gt;=28),"1. Gerät: 10."&amp;Eingabe!$D$14&amp;".28.10, 2. Gerät: .11","")</f>
        <v/>
      </c>
    </row>
    <row r="1047" customFormat="false" ht="15" hidden="false" customHeight="false" outlineLevel="0" collapsed="false">
      <c r="A1047" s="16" t="str">
        <f aca="false">IF(AND(Eingabe!$F$14&gt;0,Eingabe!$E$14&gt;=29),6,"")</f>
        <v/>
      </c>
      <c r="B1047" s="16" t="str">
        <f aca="false">IF(AND(Eingabe!$F$14&gt;0,Eingabe!$E$14&gt;=29),Eingabe!$B$14,"")</f>
        <v/>
      </c>
      <c r="C1047" s="16" t="str">
        <f aca="false">IF(AND(Eingabe!$F$14&gt;0,Eingabe!$E$14&gt;=29),Eingabe!$C$14&amp;"-Paz."&amp;TEXT(29,"000"),"")</f>
        <v/>
      </c>
      <c r="D1047" s="16" t="str">
        <f aca="false">IF(AND(Eingabe!$F$14&gt;0,Eingabe!$E$14&gt;=29),29,"")</f>
        <v/>
      </c>
      <c r="E1047" s="16" t="str">
        <f aca="false">IF(AND(Eingabe!$F$14&gt;0,Eingabe!$E$14&gt;=29),IF((Eingabe!$G$14)&lt;=9,1000+(Eingabe!$G$14)*100,3000)+29,"")</f>
        <v/>
      </c>
      <c r="F1047" s="16" t="str">
        <f aca="false">IF(AND(Eingabe!$F$14&gt;0,Eingabe!$E$14&gt;=29),"10."&amp;Eingabe!$D$14&amp;".29.0/24","")</f>
        <v/>
      </c>
      <c r="G1047" s="16" t="str">
        <f aca="false">IF(AND(Eingabe!$F$14&gt;0,Eingabe!$E$14&gt;=29),"10."&amp;Eingabe!$D$14&amp;".29.1","")</f>
        <v/>
      </c>
      <c r="H1047" s="16" t="str">
        <f aca="false">IF(AND(Eingabe!$F$14&gt;0,Eingabe!$E$14&gt;=29),"10."&amp;Eingabe!$D$14&amp;".29.10 – 10."&amp;Eingabe!$D$14&amp;".29.250","")</f>
        <v/>
      </c>
      <c r="I1047" s="16" t="str">
        <f aca="false">IF(AND(Eingabe!$F$14&gt;0,Eingabe!$E$14&gt;=29),Eingabe!$B$6&amp;"-"&amp;Eingabe!$C$14&amp;"-Pächter","")</f>
        <v/>
      </c>
      <c r="J1047" s="16" t="str">
        <f aca="false">IF(AND(Eingabe!$F$14&gt;0,Eingabe!$E$14&gt;=29),"PPSK: Passwort Parzelle 29","")</f>
        <v/>
      </c>
      <c r="K1047" s="16" t="str">
        <f aca="false">IF(AND(Eingabe!$F$14&gt;0,Eingabe!$E$14&gt;=29),"1. Gerät: 10."&amp;Eingabe!$D$14&amp;".29.10, 2. Gerät: .11","")</f>
        <v/>
      </c>
    </row>
    <row r="1048" customFormat="false" ht="15" hidden="false" customHeight="false" outlineLevel="0" collapsed="false">
      <c r="A1048" s="16" t="str">
        <f aca="false">IF(AND(Eingabe!$F$14&gt;0,Eingabe!$E$14&gt;=30),6,"")</f>
        <v/>
      </c>
      <c r="B1048" s="16" t="str">
        <f aca="false">IF(AND(Eingabe!$F$14&gt;0,Eingabe!$E$14&gt;=30),Eingabe!$B$14,"")</f>
        <v/>
      </c>
      <c r="C1048" s="16" t="str">
        <f aca="false">IF(AND(Eingabe!$F$14&gt;0,Eingabe!$E$14&gt;=30),Eingabe!$C$14&amp;"-Paz."&amp;TEXT(30,"000"),"")</f>
        <v/>
      </c>
      <c r="D1048" s="16" t="str">
        <f aca="false">IF(AND(Eingabe!$F$14&gt;0,Eingabe!$E$14&gt;=30),30,"")</f>
        <v/>
      </c>
      <c r="E1048" s="16" t="str">
        <f aca="false">IF(AND(Eingabe!$F$14&gt;0,Eingabe!$E$14&gt;=30),IF((Eingabe!$G$14)&lt;=9,1000+(Eingabe!$G$14)*100,3000)+30,"")</f>
        <v/>
      </c>
      <c r="F1048" s="16" t="str">
        <f aca="false">IF(AND(Eingabe!$F$14&gt;0,Eingabe!$E$14&gt;=30),"10."&amp;Eingabe!$D$14&amp;".30.0/24","")</f>
        <v/>
      </c>
      <c r="G1048" s="16" t="str">
        <f aca="false">IF(AND(Eingabe!$F$14&gt;0,Eingabe!$E$14&gt;=30),"10."&amp;Eingabe!$D$14&amp;".30.1","")</f>
        <v/>
      </c>
      <c r="H1048" s="16" t="str">
        <f aca="false">IF(AND(Eingabe!$F$14&gt;0,Eingabe!$E$14&gt;=30),"10."&amp;Eingabe!$D$14&amp;".30.10 – 10."&amp;Eingabe!$D$14&amp;".30.250","")</f>
        <v/>
      </c>
      <c r="I1048" s="16" t="str">
        <f aca="false">IF(AND(Eingabe!$F$14&gt;0,Eingabe!$E$14&gt;=30),Eingabe!$B$6&amp;"-"&amp;Eingabe!$C$14&amp;"-Pächter","")</f>
        <v/>
      </c>
      <c r="J1048" s="16" t="str">
        <f aca="false">IF(AND(Eingabe!$F$14&gt;0,Eingabe!$E$14&gt;=30),"PPSK: Passwort Parzelle 30","")</f>
        <v/>
      </c>
      <c r="K1048" s="16" t="str">
        <f aca="false">IF(AND(Eingabe!$F$14&gt;0,Eingabe!$E$14&gt;=30),"1. Gerät: 10."&amp;Eingabe!$D$14&amp;".30.10, 2. Gerät: .11","")</f>
        <v/>
      </c>
    </row>
    <row r="1049" customFormat="false" ht="15" hidden="false" customHeight="false" outlineLevel="0" collapsed="false">
      <c r="A1049" s="16" t="str">
        <f aca="false">IF(AND(Eingabe!$F$14&gt;0,Eingabe!$E$14&gt;=31),6,"")</f>
        <v/>
      </c>
      <c r="B1049" s="16" t="str">
        <f aca="false">IF(AND(Eingabe!$F$14&gt;0,Eingabe!$E$14&gt;=31),Eingabe!$B$14,"")</f>
        <v/>
      </c>
      <c r="C1049" s="16" t="str">
        <f aca="false">IF(AND(Eingabe!$F$14&gt;0,Eingabe!$E$14&gt;=31),Eingabe!$C$14&amp;"-Paz."&amp;TEXT(31,"000"),"")</f>
        <v/>
      </c>
      <c r="D1049" s="16" t="str">
        <f aca="false">IF(AND(Eingabe!$F$14&gt;0,Eingabe!$E$14&gt;=31),31,"")</f>
        <v/>
      </c>
      <c r="E1049" s="16" t="str">
        <f aca="false">IF(AND(Eingabe!$F$14&gt;0,Eingabe!$E$14&gt;=31),IF((Eingabe!$G$14)&lt;=9,1000+(Eingabe!$G$14)*100,3000)+31,"")</f>
        <v/>
      </c>
      <c r="F1049" s="16" t="str">
        <f aca="false">IF(AND(Eingabe!$F$14&gt;0,Eingabe!$E$14&gt;=31),"10."&amp;Eingabe!$D$14&amp;".31.0/24","")</f>
        <v/>
      </c>
      <c r="G1049" s="16" t="str">
        <f aca="false">IF(AND(Eingabe!$F$14&gt;0,Eingabe!$E$14&gt;=31),"10."&amp;Eingabe!$D$14&amp;".31.1","")</f>
        <v/>
      </c>
      <c r="H1049" s="16" t="str">
        <f aca="false">IF(AND(Eingabe!$F$14&gt;0,Eingabe!$E$14&gt;=31),"10."&amp;Eingabe!$D$14&amp;".31.10 – 10."&amp;Eingabe!$D$14&amp;".31.250","")</f>
        <v/>
      </c>
      <c r="I1049" s="16" t="str">
        <f aca="false">IF(AND(Eingabe!$F$14&gt;0,Eingabe!$E$14&gt;=31),Eingabe!$B$6&amp;"-"&amp;Eingabe!$C$14&amp;"-Pächter","")</f>
        <v/>
      </c>
      <c r="J1049" s="16" t="str">
        <f aca="false">IF(AND(Eingabe!$F$14&gt;0,Eingabe!$E$14&gt;=31),"PPSK: Passwort Parzelle 31","")</f>
        <v/>
      </c>
      <c r="K1049" s="16" t="str">
        <f aca="false">IF(AND(Eingabe!$F$14&gt;0,Eingabe!$E$14&gt;=31),"1. Gerät: 10."&amp;Eingabe!$D$14&amp;".31.10, 2. Gerät: .11","")</f>
        <v/>
      </c>
    </row>
    <row r="1050" customFormat="false" ht="15" hidden="false" customHeight="false" outlineLevel="0" collapsed="false">
      <c r="A1050" s="16" t="str">
        <f aca="false">IF(AND(Eingabe!$F$14&gt;0,Eingabe!$E$14&gt;=32),6,"")</f>
        <v/>
      </c>
      <c r="B1050" s="16" t="str">
        <f aca="false">IF(AND(Eingabe!$F$14&gt;0,Eingabe!$E$14&gt;=32),Eingabe!$B$14,"")</f>
        <v/>
      </c>
      <c r="C1050" s="16" t="str">
        <f aca="false">IF(AND(Eingabe!$F$14&gt;0,Eingabe!$E$14&gt;=32),Eingabe!$C$14&amp;"-Paz."&amp;TEXT(32,"000"),"")</f>
        <v/>
      </c>
      <c r="D1050" s="16" t="str">
        <f aca="false">IF(AND(Eingabe!$F$14&gt;0,Eingabe!$E$14&gt;=32),32,"")</f>
        <v/>
      </c>
      <c r="E1050" s="16" t="str">
        <f aca="false">IF(AND(Eingabe!$F$14&gt;0,Eingabe!$E$14&gt;=32),IF((Eingabe!$G$14)&lt;=9,1000+(Eingabe!$G$14)*100,3000)+32,"")</f>
        <v/>
      </c>
      <c r="F1050" s="16" t="str">
        <f aca="false">IF(AND(Eingabe!$F$14&gt;0,Eingabe!$E$14&gt;=32),"10."&amp;Eingabe!$D$14&amp;".32.0/24","")</f>
        <v/>
      </c>
      <c r="G1050" s="16" t="str">
        <f aca="false">IF(AND(Eingabe!$F$14&gt;0,Eingabe!$E$14&gt;=32),"10."&amp;Eingabe!$D$14&amp;".32.1","")</f>
        <v/>
      </c>
      <c r="H1050" s="16" t="str">
        <f aca="false">IF(AND(Eingabe!$F$14&gt;0,Eingabe!$E$14&gt;=32),"10."&amp;Eingabe!$D$14&amp;".32.10 – 10."&amp;Eingabe!$D$14&amp;".32.250","")</f>
        <v/>
      </c>
      <c r="I1050" s="16" t="str">
        <f aca="false">IF(AND(Eingabe!$F$14&gt;0,Eingabe!$E$14&gt;=32),Eingabe!$B$6&amp;"-"&amp;Eingabe!$C$14&amp;"-Pächter","")</f>
        <v/>
      </c>
      <c r="J1050" s="16" t="str">
        <f aca="false">IF(AND(Eingabe!$F$14&gt;0,Eingabe!$E$14&gt;=32),"PPSK: Passwort Parzelle 32","")</f>
        <v/>
      </c>
      <c r="K1050" s="16" t="str">
        <f aca="false">IF(AND(Eingabe!$F$14&gt;0,Eingabe!$E$14&gt;=32),"1. Gerät: 10."&amp;Eingabe!$D$14&amp;".32.10, 2. Gerät: .11","")</f>
        <v/>
      </c>
    </row>
    <row r="1051" customFormat="false" ht="15" hidden="false" customHeight="false" outlineLevel="0" collapsed="false">
      <c r="A1051" s="16" t="str">
        <f aca="false">IF(AND(Eingabe!$F$14&gt;0,Eingabe!$E$14&gt;=33),6,"")</f>
        <v/>
      </c>
      <c r="B1051" s="16" t="str">
        <f aca="false">IF(AND(Eingabe!$F$14&gt;0,Eingabe!$E$14&gt;=33),Eingabe!$B$14,"")</f>
        <v/>
      </c>
      <c r="C1051" s="16" t="str">
        <f aca="false">IF(AND(Eingabe!$F$14&gt;0,Eingabe!$E$14&gt;=33),Eingabe!$C$14&amp;"-Paz."&amp;TEXT(33,"000"),"")</f>
        <v/>
      </c>
      <c r="D1051" s="16" t="str">
        <f aca="false">IF(AND(Eingabe!$F$14&gt;0,Eingabe!$E$14&gt;=33),33,"")</f>
        <v/>
      </c>
      <c r="E1051" s="16" t="str">
        <f aca="false">IF(AND(Eingabe!$F$14&gt;0,Eingabe!$E$14&gt;=33),IF((Eingabe!$G$14)&lt;=9,1000+(Eingabe!$G$14)*100,3000)+33,"")</f>
        <v/>
      </c>
      <c r="F1051" s="16" t="str">
        <f aca="false">IF(AND(Eingabe!$F$14&gt;0,Eingabe!$E$14&gt;=33),"10."&amp;Eingabe!$D$14&amp;".33.0/24","")</f>
        <v/>
      </c>
      <c r="G1051" s="16" t="str">
        <f aca="false">IF(AND(Eingabe!$F$14&gt;0,Eingabe!$E$14&gt;=33),"10."&amp;Eingabe!$D$14&amp;".33.1","")</f>
        <v/>
      </c>
      <c r="H1051" s="16" t="str">
        <f aca="false">IF(AND(Eingabe!$F$14&gt;0,Eingabe!$E$14&gt;=33),"10."&amp;Eingabe!$D$14&amp;".33.10 – 10."&amp;Eingabe!$D$14&amp;".33.250","")</f>
        <v/>
      </c>
      <c r="I1051" s="16" t="str">
        <f aca="false">IF(AND(Eingabe!$F$14&gt;0,Eingabe!$E$14&gt;=33),Eingabe!$B$6&amp;"-"&amp;Eingabe!$C$14&amp;"-Pächter","")</f>
        <v/>
      </c>
      <c r="J1051" s="16" t="str">
        <f aca="false">IF(AND(Eingabe!$F$14&gt;0,Eingabe!$E$14&gt;=33),"PPSK: Passwort Parzelle 33","")</f>
        <v/>
      </c>
      <c r="K1051" s="16" t="str">
        <f aca="false">IF(AND(Eingabe!$F$14&gt;0,Eingabe!$E$14&gt;=33),"1. Gerät: 10."&amp;Eingabe!$D$14&amp;".33.10, 2. Gerät: .11","")</f>
        <v/>
      </c>
    </row>
    <row r="1052" customFormat="false" ht="15" hidden="false" customHeight="false" outlineLevel="0" collapsed="false">
      <c r="A1052" s="16" t="str">
        <f aca="false">IF(AND(Eingabe!$F$14&gt;0,Eingabe!$E$14&gt;=34),6,"")</f>
        <v/>
      </c>
      <c r="B1052" s="16" t="str">
        <f aca="false">IF(AND(Eingabe!$F$14&gt;0,Eingabe!$E$14&gt;=34),Eingabe!$B$14,"")</f>
        <v/>
      </c>
      <c r="C1052" s="16" t="str">
        <f aca="false">IF(AND(Eingabe!$F$14&gt;0,Eingabe!$E$14&gt;=34),Eingabe!$C$14&amp;"-Paz."&amp;TEXT(34,"000"),"")</f>
        <v/>
      </c>
      <c r="D1052" s="16" t="str">
        <f aca="false">IF(AND(Eingabe!$F$14&gt;0,Eingabe!$E$14&gt;=34),34,"")</f>
        <v/>
      </c>
      <c r="E1052" s="16" t="str">
        <f aca="false">IF(AND(Eingabe!$F$14&gt;0,Eingabe!$E$14&gt;=34),IF((Eingabe!$G$14)&lt;=9,1000+(Eingabe!$G$14)*100,3000)+34,"")</f>
        <v/>
      </c>
      <c r="F1052" s="16" t="str">
        <f aca="false">IF(AND(Eingabe!$F$14&gt;0,Eingabe!$E$14&gt;=34),"10."&amp;Eingabe!$D$14&amp;".34.0/24","")</f>
        <v/>
      </c>
      <c r="G1052" s="16" t="str">
        <f aca="false">IF(AND(Eingabe!$F$14&gt;0,Eingabe!$E$14&gt;=34),"10."&amp;Eingabe!$D$14&amp;".34.1","")</f>
        <v/>
      </c>
      <c r="H1052" s="16" t="str">
        <f aca="false">IF(AND(Eingabe!$F$14&gt;0,Eingabe!$E$14&gt;=34),"10."&amp;Eingabe!$D$14&amp;".34.10 – 10."&amp;Eingabe!$D$14&amp;".34.250","")</f>
        <v/>
      </c>
      <c r="I1052" s="16" t="str">
        <f aca="false">IF(AND(Eingabe!$F$14&gt;0,Eingabe!$E$14&gt;=34),Eingabe!$B$6&amp;"-"&amp;Eingabe!$C$14&amp;"-Pächter","")</f>
        <v/>
      </c>
      <c r="J1052" s="16" t="str">
        <f aca="false">IF(AND(Eingabe!$F$14&gt;0,Eingabe!$E$14&gt;=34),"PPSK: Passwort Parzelle 34","")</f>
        <v/>
      </c>
      <c r="K1052" s="16" t="str">
        <f aca="false">IF(AND(Eingabe!$F$14&gt;0,Eingabe!$E$14&gt;=34),"1. Gerät: 10."&amp;Eingabe!$D$14&amp;".34.10, 2. Gerät: .11","")</f>
        <v/>
      </c>
    </row>
    <row r="1053" customFormat="false" ht="15" hidden="false" customHeight="false" outlineLevel="0" collapsed="false">
      <c r="A1053" s="16" t="str">
        <f aca="false">IF(AND(Eingabe!$F$14&gt;0,Eingabe!$E$14&gt;=35),6,"")</f>
        <v/>
      </c>
      <c r="B1053" s="16" t="str">
        <f aca="false">IF(AND(Eingabe!$F$14&gt;0,Eingabe!$E$14&gt;=35),Eingabe!$B$14,"")</f>
        <v/>
      </c>
      <c r="C1053" s="16" t="str">
        <f aca="false">IF(AND(Eingabe!$F$14&gt;0,Eingabe!$E$14&gt;=35),Eingabe!$C$14&amp;"-Paz."&amp;TEXT(35,"000"),"")</f>
        <v/>
      </c>
      <c r="D1053" s="16" t="str">
        <f aca="false">IF(AND(Eingabe!$F$14&gt;0,Eingabe!$E$14&gt;=35),35,"")</f>
        <v/>
      </c>
      <c r="E1053" s="16" t="str">
        <f aca="false">IF(AND(Eingabe!$F$14&gt;0,Eingabe!$E$14&gt;=35),IF((Eingabe!$G$14)&lt;=9,1000+(Eingabe!$G$14)*100,3000)+35,"")</f>
        <v/>
      </c>
      <c r="F1053" s="16" t="str">
        <f aca="false">IF(AND(Eingabe!$F$14&gt;0,Eingabe!$E$14&gt;=35),"10."&amp;Eingabe!$D$14&amp;".35.0/24","")</f>
        <v/>
      </c>
      <c r="G1053" s="16" t="str">
        <f aca="false">IF(AND(Eingabe!$F$14&gt;0,Eingabe!$E$14&gt;=35),"10."&amp;Eingabe!$D$14&amp;".35.1","")</f>
        <v/>
      </c>
      <c r="H1053" s="16" t="str">
        <f aca="false">IF(AND(Eingabe!$F$14&gt;0,Eingabe!$E$14&gt;=35),"10."&amp;Eingabe!$D$14&amp;".35.10 – 10."&amp;Eingabe!$D$14&amp;".35.250","")</f>
        <v/>
      </c>
      <c r="I1053" s="16" t="str">
        <f aca="false">IF(AND(Eingabe!$F$14&gt;0,Eingabe!$E$14&gt;=35),Eingabe!$B$6&amp;"-"&amp;Eingabe!$C$14&amp;"-Pächter","")</f>
        <v/>
      </c>
      <c r="J1053" s="16" t="str">
        <f aca="false">IF(AND(Eingabe!$F$14&gt;0,Eingabe!$E$14&gt;=35),"PPSK: Passwort Parzelle 35","")</f>
        <v/>
      </c>
      <c r="K1053" s="16" t="str">
        <f aca="false">IF(AND(Eingabe!$F$14&gt;0,Eingabe!$E$14&gt;=35),"1. Gerät: 10."&amp;Eingabe!$D$14&amp;".35.10, 2. Gerät: .11","")</f>
        <v/>
      </c>
    </row>
    <row r="1054" customFormat="false" ht="15" hidden="false" customHeight="false" outlineLevel="0" collapsed="false">
      <c r="A1054" s="16" t="str">
        <f aca="false">IF(AND(Eingabe!$F$14&gt;0,Eingabe!$E$14&gt;=36),6,"")</f>
        <v/>
      </c>
      <c r="B1054" s="16" t="str">
        <f aca="false">IF(AND(Eingabe!$F$14&gt;0,Eingabe!$E$14&gt;=36),Eingabe!$B$14,"")</f>
        <v/>
      </c>
      <c r="C1054" s="16" t="str">
        <f aca="false">IF(AND(Eingabe!$F$14&gt;0,Eingabe!$E$14&gt;=36),Eingabe!$C$14&amp;"-Paz."&amp;TEXT(36,"000"),"")</f>
        <v/>
      </c>
      <c r="D1054" s="16" t="str">
        <f aca="false">IF(AND(Eingabe!$F$14&gt;0,Eingabe!$E$14&gt;=36),36,"")</f>
        <v/>
      </c>
      <c r="E1054" s="16" t="str">
        <f aca="false">IF(AND(Eingabe!$F$14&gt;0,Eingabe!$E$14&gt;=36),IF((Eingabe!$G$14)&lt;=9,1000+(Eingabe!$G$14)*100,3000)+36,"")</f>
        <v/>
      </c>
      <c r="F1054" s="16" t="str">
        <f aca="false">IF(AND(Eingabe!$F$14&gt;0,Eingabe!$E$14&gt;=36),"10."&amp;Eingabe!$D$14&amp;".36.0/24","")</f>
        <v/>
      </c>
      <c r="G1054" s="16" t="str">
        <f aca="false">IF(AND(Eingabe!$F$14&gt;0,Eingabe!$E$14&gt;=36),"10."&amp;Eingabe!$D$14&amp;".36.1","")</f>
        <v/>
      </c>
      <c r="H1054" s="16" t="str">
        <f aca="false">IF(AND(Eingabe!$F$14&gt;0,Eingabe!$E$14&gt;=36),"10."&amp;Eingabe!$D$14&amp;".36.10 – 10."&amp;Eingabe!$D$14&amp;".36.250","")</f>
        <v/>
      </c>
      <c r="I1054" s="16" t="str">
        <f aca="false">IF(AND(Eingabe!$F$14&gt;0,Eingabe!$E$14&gt;=36),Eingabe!$B$6&amp;"-"&amp;Eingabe!$C$14&amp;"-Pächter","")</f>
        <v/>
      </c>
      <c r="J1054" s="16" t="str">
        <f aca="false">IF(AND(Eingabe!$F$14&gt;0,Eingabe!$E$14&gt;=36),"PPSK: Passwort Parzelle 36","")</f>
        <v/>
      </c>
      <c r="K1054" s="16" t="str">
        <f aca="false">IF(AND(Eingabe!$F$14&gt;0,Eingabe!$E$14&gt;=36),"1. Gerät: 10."&amp;Eingabe!$D$14&amp;".36.10, 2. Gerät: .11","")</f>
        <v/>
      </c>
    </row>
    <row r="1055" customFormat="false" ht="15" hidden="false" customHeight="false" outlineLevel="0" collapsed="false">
      <c r="A1055" s="16" t="str">
        <f aca="false">IF(AND(Eingabe!$F$14&gt;0,Eingabe!$E$14&gt;=37),6,"")</f>
        <v/>
      </c>
      <c r="B1055" s="16" t="str">
        <f aca="false">IF(AND(Eingabe!$F$14&gt;0,Eingabe!$E$14&gt;=37),Eingabe!$B$14,"")</f>
        <v/>
      </c>
      <c r="C1055" s="16" t="str">
        <f aca="false">IF(AND(Eingabe!$F$14&gt;0,Eingabe!$E$14&gt;=37),Eingabe!$C$14&amp;"-Paz."&amp;TEXT(37,"000"),"")</f>
        <v/>
      </c>
      <c r="D1055" s="16" t="str">
        <f aca="false">IF(AND(Eingabe!$F$14&gt;0,Eingabe!$E$14&gt;=37),37,"")</f>
        <v/>
      </c>
      <c r="E1055" s="16" t="str">
        <f aca="false">IF(AND(Eingabe!$F$14&gt;0,Eingabe!$E$14&gt;=37),IF((Eingabe!$G$14)&lt;=9,1000+(Eingabe!$G$14)*100,3000)+37,"")</f>
        <v/>
      </c>
      <c r="F1055" s="16" t="str">
        <f aca="false">IF(AND(Eingabe!$F$14&gt;0,Eingabe!$E$14&gt;=37),"10."&amp;Eingabe!$D$14&amp;".37.0/24","")</f>
        <v/>
      </c>
      <c r="G1055" s="16" t="str">
        <f aca="false">IF(AND(Eingabe!$F$14&gt;0,Eingabe!$E$14&gt;=37),"10."&amp;Eingabe!$D$14&amp;".37.1","")</f>
        <v/>
      </c>
      <c r="H1055" s="16" t="str">
        <f aca="false">IF(AND(Eingabe!$F$14&gt;0,Eingabe!$E$14&gt;=37),"10."&amp;Eingabe!$D$14&amp;".37.10 – 10."&amp;Eingabe!$D$14&amp;".37.250","")</f>
        <v/>
      </c>
      <c r="I1055" s="16" t="str">
        <f aca="false">IF(AND(Eingabe!$F$14&gt;0,Eingabe!$E$14&gt;=37),Eingabe!$B$6&amp;"-"&amp;Eingabe!$C$14&amp;"-Pächter","")</f>
        <v/>
      </c>
      <c r="J1055" s="16" t="str">
        <f aca="false">IF(AND(Eingabe!$F$14&gt;0,Eingabe!$E$14&gt;=37),"PPSK: Passwort Parzelle 37","")</f>
        <v/>
      </c>
      <c r="K1055" s="16" t="str">
        <f aca="false">IF(AND(Eingabe!$F$14&gt;0,Eingabe!$E$14&gt;=37),"1. Gerät: 10."&amp;Eingabe!$D$14&amp;".37.10, 2. Gerät: .11","")</f>
        <v/>
      </c>
    </row>
    <row r="1056" customFormat="false" ht="15" hidden="false" customHeight="false" outlineLevel="0" collapsed="false">
      <c r="A1056" s="16" t="str">
        <f aca="false">IF(AND(Eingabe!$F$14&gt;0,Eingabe!$E$14&gt;=38),6,"")</f>
        <v/>
      </c>
      <c r="B1056" s="16" t="str">
        <f aca="false">IF(AND(Eingabe!$F$14&gt;0,Eingabe!$E$14&gt;=38),Eingabe!$B$14,"")</f>
        <v/>
      </c>
      <c r="C1056" s="16" t="str">
        <f aca="false">IF(AND(Eingabe!$F$14&gt;0,Eingabe!$E$14&gt;=38),Eingabe!$C$14&amp;"-Paz."&amp;TEXT(38,"000"),"")</f>
        <v/>
      </c>
      <c r="D1056" s="16" t="str">
        <f aca="false">IF(AND(Eingabe!$F$14&gt;0,Eingabe!$E$14&gt;=38),38,"")</f>
        <v/>
      </c>
      <c r="E1056" s="16" t="str">
        <f aca="false">IF(AND(Eingabe!$F$14&gt;0,Eingabe!$E$14&gt;=38),IF((Eingabe!$G$14)&lt;=9,1000+(Eingabe!$G$14)*100,3000)+38,"")</f>
        <v/>
      </c>
      <c r="F1056" s="16" t="str">
        <f aca="false">IF(AND(Eingabe!$F$14&gt;0,Eingabe!$E$14&gt;=38),"10."&amp;Eingabe!$D$14&amp;".38.0/24","")</f>
        <v/>
      </c>
      <c r="G1056" s="16" t="str">
        <f aca="false">IF(AND(Eingabe!$F$14&gt;0,Eingabe!$E$14&gt;=38),"10."&amp;Eingabe!$D$14&amp;".38.1","")</f>
        <v/>
      </c>
      <c r="H1056" s="16" t="str">
        <f aca="false">IF(AND(Eingabe!$F$14&gt;0,Eingabe!$E$14&gt;=38),"10."&amp;Eingabe!$D$14&amp;".38.10 – 10."&amp;Eingabe!$D$14&amp;".38.250","")</f>
        <v/>
      </c>
      <c r="I1056" s="16" t="str">
        <f aca="false">IF(AND(Eingabe!$F$14&gt;0,Eingabe!$E$14&gt;=38),Eingabe!$B$6&amp;"-"&amp;Eingabe!$C$14&amp;"-Pächter","")</f>
        <v/>
      </c>
      <c r="J1056" s="16" t="str">
        <f aca="false">IF(AND(Eingabe!$F$14&gt;0,Eingabe!$E$14&gt;=38),"PPSK: Passwort Parzelle 38","")</f>
        <v/>
      </c>
      <c r="K1056" s="16" t="str">
        <f aca="false">IF(AND(Eingabe!$F$14&gt;0,Eingabe!$E$14&gt;=38),"1. Gerät: 10."&amp;Eingabe!$D$14&amp;".38.10, 2. Gerät: .11","")</f>
        <v/>
      </c>
    </row>
    <row r="1057" customFormat="false" ht="15" hidden="false" customHeight="false" outlineLevel="0" collapsed="false">
      <c r="A1057" s="16" t="str">
        <f aca="false">IF(AND(Eingabe!$F$14&gt;0,Eingabe!$E$14&gt;=39),6,"")</f>
        <v/>
      </c>
      <c r="B1057" s="16" t="str">
        <f aca="false">IF(AND(Eingabe!$F$14&gt;0,Eingabe!$E$14&gt;=39),Eingabe!$B$14,"")</f>
        <v/>
      </c>
      <c r="C1057" s="16" t="str">
        <f aca="false">IF(AND(Eingabe!$F$14&gt;0,Eingabe!$E$14&gt;=39),Eingabe!$C$14&amp;"-Paz."&amp;TEXT(39,"000"),"")</f>
        <v/>
      </c>
      <c r="D1057" s="16" t="str">
        <f aca="false">IF(AND(Eingabe!$F$14&gt;0,Eingabe!$E$14&gt;=39),39,"")</f>
        <v/>
      </c>
      <c r="E1057" s="16" t="str">
        <f aca="false">IF(AND(Eingabe!$F$14&gt;0,Eingabe!$E$14&gt;=39),IF((Eingabe!$G$14)&lt;=9,1000+(Eingabe!$G$14)*100,3000)+39,"")</f>
        <v/>
      </c>
      <c r="F1057" s="16" t="str">
        <f aca="false">IF(AND(Eingabe!$F$14&gt;0,Eingabe!$E$14&gt;=39),"10."&amp;Eingabe!$D$14&amp;".39.0/24","")</f>
        <v/>
      </c>
      <c r="G1057" s="16" t="str">
        <f aca="false">IF(AND(Eingabe!$F$14&gt;0,Eingabe!$E$14&gt;=39),"10."&amp;Eingabe!$D$14&amp;".39.1","")</f>
        <v/>
      </c>
      <c r="H1057" s="16" t="str">
        <f aca="false">IF(AND(Eingabe!$F$14&gt;0,Eingabe!$E$14&gt;=39),"10."&amp;Eingabe!$D$14&amp;".39.10 – 10."&amp;Eingabe!$D$14&amp;".39.250","")</f>
        <v/>
      </c>
      <c r="I1057" s="16" t="str">
        <f aca="false">IF(AND(Eingabe!$F$14&gt;0,Eingabe!$E$14&gt;=39),Eingabe!$B$6&amp;"-"&amp;Eingabe!$C$14&amp;"-Pächter","")</f>
        <v/>
      </c>
      <c r="J1057" s="16" t="str">
        <f aca="false">IF(AND(Eingabe!$F$14&gt;0,Eingabe!$E$14&gt;=39),"PPSK: Passwort Parzelle 39","")</f>
        <v/>
      </c>
      <c r="K1057" s="16" t="str">
        <f aca="false">IF(AND(Eingabe!$F$14&gt;0,Eingabe!$E$14&gt;=39),"1. Gerät: 10."&amp;Eingabe!$D$14&amp;".39.10, 2. Gerät: .11","")</f>
        <v/>
      </c>
    </row>
    <row r="1058" customFormat="false" ht="15" hidden="false" customHeight="false" outlineLevel="0" collapsed="false">
      <c r="A1058" s="16" t="str">
        <f aca="false">IF(AND(Eingabe!$F$14&gt;0,Eingabe!$E$14&gt;=40),6,"")</f>
        <v/>
      </c>
      <c r="B1058" s="16" t="str">
        <f aca="false">IF(AND(Eingabe!$F$14&gt;0,Eingabe!$E$14&gt;=40),Eingabe!$B$14,"")</f>
        <v/>
      </c>
      <c r="C1058" s="16" t="str">
        <f aca="false">IF(AND(Eingabe!$F$14&gt;0,Eingabe!$E$14&gt;=40),Eingabe!$C$14&amp;"-Paz."&amp;TEXT(40,"000"),"")</f>
        <v/>
      </c>
      <c r="D1058" s="16" t="str">
        <f aca="false">IF(AND(Eingabe!$F$14&gt;0,Eingabe!$E$14&gt;=40),40,"")</f>
        <v/>
      </c>
      <c r="E1058" s="16" t="str">
        <f aca="false">IF(AND(Eingabe!$F$14&gt;0,Eingabe!$E$14&gt;=40),IF((Eingabe!$G$14)&lt;=9,1000+(Eingabe!$G$14)*100,3000)+40,"")</f>
        <v/>
      </c>
      <c r="F1058" s="16" t="str">
        <f aca="false">IF(AND(Eingabe!$F$14&gt;0,Eingabe!$E$14&gt;=40),"10."&amp;Eingabe!$D$14&amp;".40.0/24","")</f>
        <v/>
      </c>
      <c r="G1058" s="16" t="str">
        <f aca="false">IF(AND(Eingabe!$F$14&gt;0,Eingabe!$E$14&gt;=40),"10."&amp;Eingabe!$D$14&amp;".40.1","")</f>
        <v/>
      </c>
      <c r="H1058" s="16" t="str">
        <f aca="false">IF(AND(Eingabe!$F$14&gt;0,Eingabe!$E$14&gt;=40),"10."&amp;Eingabe!$D$14&amp;".40.10 – 10."&amp;Eingabe!$D$14&amp;".40.250","")</f>
        <v/>
      </c>
      <c r="I1058" s="16" t="str">
        <f aca="false">IF(AND(Eingabe!$F$14&gt;0,Eingabe!$E$14&gt;=40),Eingabe!$B$6&amp;"-"&amp;Eingabe!$C$14&amp;"-Pächter","")</f>
        <v/>
      </c>
      <c r="J1058" s="16" t="str">
        <f aca="false">IF(AND(Eingabe!$F$14&gt;0,Eingabe!$E$14&gt;=40),"PPSK: Passwort Parzelle 40","")</f>
        <v/>
      </c>
      <c r="K1058" s="16" t="str">
        <f aca="false">IF(AND(Eingabe!$F$14&gt;0,Eingabe!$E$14&gt;=40),"1. Gerät: 10."&amp;Eingabe!$D$14&amp;".40.10, 2. Gerät: .11","")</f>
        <v/>
      </c>
    </row>
    <row r="1059" customFormat="false" ht="15" hidden="false" customHeight="false" outlineLevel="0" collapsed="false">
      <c r="A1059" s="16" t="str">
        <f aca="false">IF(AND(Eingabe!$F$14&gt;0,Eingabe!$E$14&gt;=41),6,"")</f>
        <v/>
      </c>
      <c r="B1059" s="16" t="str">
        <f aca="false">IF(AND(Eingabe!$F$14&gt;0,Eingabe!$E$14&gt;=41),Eingabe!$B$14,"")</f>
        <v/>
      </c>
      <c r="C1059" s="16" t="str">
        <f aca="false">IF(AND(Eingabe!$F$14&gt;0,Eingabe!$E$14&gt;=41),Eingabe!$C$14&amp;"-Paz."&amp;TEXT(41,"000"),"")</f>
        <v/>
      </c>
      <c r="D1059" s="16" t="str">
        <f aca="false">IF(AND(Eingabe!$F$14&gt;0,Eingabe!$E$14&gt;=41),41,"")</f>
        <v/>
      </c>
      <c r="E1059" s="16" t="str">
        <f aca="false">IF(AND(Eingabe!$F$14&gt;0,Eingabe!$E$14&gt;=41),IF((Eingabe!$G$14)&lt;=9,1000+(Eingabe!$G$14)*100,3000)+41,"")</f>
        <v/>
      </c>
      <c r="F1059" s="16" t="str">
        <f aca="false">IF(AND(Eingabe!$F$14&gt;0,Eingabe!$E$14&gt;=41),"10."&amp;Eingabe!$D$14&amp;".41.0/24","")</f>
        <v/>
      </c>
      <c r="G1059" s="16" t="str">
        <f aca="false">IF(AND(Eingabe!$F$14&gt;0,Eingabe!$E$14&gt;=41),"10."&amp;Eingabe!$D$14&amp;".41.1","")</f>
        <v/>
      </c>
      <c r="H1059" s="16" t="str">
        <f aca="false">IF(AND(Eingabe!$F$14&gt;0,Eingabe!$E$14&gt;=41),"10."&amp;Eingabe!$D$14&amp;".41.10 – 10."&amp;Eingabe!$D$14&amp;".41.250","")</f>
        <v/>
      </c>
      <c r="I1059" s="16" t="str">
        <f aca="false">IF(AND(Eingabe!$F$14&gt;0,Eingabe!$E$14&gt;=41),Eingabe!$B$6&amp;"-"&amp;Eingabe!$C$14&amp;"-Pächter","")</f>
        <v/>
      </c>
      <c r="J1059" s="16" t="str">
        <f aca="false">IF(AND(Eingabe!$F$14&gt;0,Eingabe!$E$14&gt;=41),"PPSK: Passwort Parzelle 41","")</f>
        <v/>
      </c>
      <c r="K1059" s="16" t="str">
        <f aca="false">IF(AND(Eingabe!$F$14&gt;0,Eingabe!$E$14&gt;=41),"1. Gerät: 10."&amp;Eingabe!$D$14&amp;".41.10, 2. Gerät: .11","")</f>
        <v/>
      </c>
    </row>
    <row r="1060" customFormat="false" ht="15" hidden="false" customHeight="false" outlineLevel="0" collapsed="false">
      <c r="A1060" s="16" t="str">
        <f aca="false">IF(AND(Eingabe!$F$14&gt;0,Eingabe!$E$14&gt;=42),6,"")</f>
        <v/>
      </c>
      <c r="B1060" s="16" t="str">
        <f aca="false">IF(AND(Eingabe!$F$14&gt;0,Eingabe!$E$14&gt;=42),Eingabe!$B$14,"")</f>
        <v/>
      </c>
      <c r="C1060" s="16" t="str">
        <f aca="false">IF(AND(Eingabe!$F$14&gt;0,Eingabe!$E$14&gt;=42),Eingabe!$C$14&amp;"-Paz."&amp;TEXT(42,"000"),"")</f>
        <v/>
      </c>
      <c r="D1060" s="16" t="str">
        <f aca="false">IF(AND(Eingabe!$F$14&gt;0,Eingabe!$E$14&gt;=42),42,"")</f>
        <v/>
      </c>
      <c r="E1060" s="16" t="str">
        <f aca="false">IF(AND(Eingabe!$F$14&gt;0,Eingabe!$E$14&gt;=42),IF((Eingabe!$G$14)&lt;=9,1000+(Eingabe!$G$14)*100,3000)+42,"")</f>
        <v/>
      </c>
      <c r="F1060" s="16" t="str">
        <f aca="false">IF(AND(Eingabe!$F$14&gt;0,Eingabe!$E$14&gt;=42),"10."&amp;Eingabe!$D$14&amp;".42.0/24","")</f>
        <v/>
      </c>
      <c r="G1060" s="16" t="str">
        <f aca="false">IF(AND(Eingabe!$F$14&gt;0,Eingabe!$E$14&gt;=42),"10."&amp;Eingabe!$D$14&amp;".42.1","")</f>
        <v/>
      </c>
      <c r="H1060" s="16" t="str">
        <f aca="false">IF(AND(Eingabe!$F$14&gt;0,Eingabe!$E$14&gt;=42),"10."&amp;Eingabe!$D$14&amp;".42.10 – 10."&amp;Eingabe!$D$14&amp;".42.250","")</f>
        <v/>
      </c>
      <c r="I1060" s="16" t="str">
        <f aca="false">IF(AND(Eingabe!$F$14&gt;0,Eingabe!$E$14&gt;=42),Eingabe!$B$6&amp;"-"&amp;Eingabe!$C$14&amp;"-Pächter","")</f>
        <v/>
      </c>
      <c r="J1060" s="16" t="str">
        <f aca="false">IF(AND(Eingabe!$F$14&gt;0,Eingabe!$E$14&gt;=42),"PPSK: Passwort Parzelle 42","")</f>
        <v/>
      </c>
      <c r="K1060" s="16" t="str">
        <f aca="false">IF(AND(Eingabe!$F$14&gt;0,Eingabe!$E$14&gt;=42),"1. Gerät: 10."&amp;Eingabe!$D$14&amp;".42.10, 2. Gerät: .11","")</f>
        <v/>
      </c>
    </row>
    <row r="1061" customFormat="false" ht="15" hidden="false" customHeight="false" outlineLevel="0" collapsed="false">
      <c r="A1061" s="16" t="str">
        <f aca="false">IF(AND(Eingabe!$F$14&gt;0,Eingabe!$E$14&gt;=43),6,"")</f>
        <v/>
      </c>
      <c r="B1061" s="16" t="str">
        <f aca="false">IF(AND(Eingabe!$F$14&gt;0,Eingabe!$E$14&gt;=43),Eingabe!$B$14,"")</f>
        <v/>
      </c>
      <c r="C1061" s="16" t="str">
        <f aca="false">IF(AND(Eingabe!$F$14&gt;0,Eingabe!$E$14&gt;=43),Eingabe!$C$14&amp;"-Paz."&amp;TEXT(43,"000"),"")</f>
        <v/>
      </c>
      <c r="D1061" s="16" t="str">
        <f aca="false">IF(AND(Eingabe!$F$14&gt;0,Eingabe!$E$14&gt;=43),43,"")</f>
        <v/>
      </c>
      <c r="E1061" s="16" t="str">
        <f aca="false">IF(AND(Eingabe!$F$14&gt;0,Eingabe!$E$14&gt;=43),IF((Eingabe!$G$14)&lt;=9,1000+(Eingabe!$G$14)*100,3000)+43,"")</f>
        <v/>
      </c>
      <c r="F1061" s="16" t="str">
        <f aca="false">IF(AND(Eingabe!$F$14&gt;0,Eingabe!$E$14&gt;=43),"10."&amp;Eingabe!$D$14&amp;".43.0/24","")</f>
        <v/>
      </c>
      <c r="G1061" s="16" t="str">
        <f aca="false">IF(AND(Eingabe!$F$14&gt;0,Eingabe!$E$14&gt;=43),"10."&amp;Eingabe!$D$14&amp;".43.1","")</f>
        <v/>
      </c>
      <c r="H1061" s="16" t="str">
        <f aca="false">IF(AND(Eingabe!$F$14&gt;0,Eingabe!$E$14&gt;=43),"10."&amp;Eingabe!$D$14&amp;".43.10 – 10."&amp;Eingabe!$D$14&amp;".43.250","")</f>
        <v/>
      </c>
      <c r="I1061" s="16" t="str">
        <f aca="false">IF(AND(Eingabe!$F$14&gt;0,Eingabe!$E$14&gt;=43),Eingabe!$B$6&amp;"-"&amp;Eingabe!$C$14&amp;"-Pächter","")</f>
        <v/>
      </c>
      <c r="J1061" s="16" t="str">
        <f aca="false">IF(AND(Eingabe!$F$14&gt;0,Eingabe!$E$14&gt;=43),"PPSK: Passwort Parzelle 43","")</f>
        <v/>
      </c>
      <c r="K1061" s="16" t="str">
        <f aca="false">IF(AND(Eingabe!$F$14&gt;0,Eingabe!$E$14&gt;=43),"1. Gerät: 10."&amp;Eingabe!$D$14&amp;".43.10, 2. Gerät: .11","")</f>
        <v/>
      </c>
    </row>
    <row r="1062" customFormat="false" ht="15" hidden="false" customHeight="false" outlineLevel="0" collapsed="false">
      <c r="A1062" s="16" t="str">
        <f aca="false">IF(AND(Eingabe!$F$14&gt;0,Eingabe!$E$14&gt;=44),6,"")</f>
        <v/>
      </c>
      <c r="B1062" s="16" t="str">
        <f aca="false">IF(AND(Eingabe!$F$14&gt;0,Eingabe!$E$14&gt;=44),Eingabe!$B$14,"")</f>
        <v/>
      </c>
      <c r="C1062" s="16" t="str">
        <f aca="false">IF(AND(Eingabe!$F$14&gt;0,Eingabe!$E$14&gt;=44),Eingabe!$C$14&amp;"-Paz."&amp;TEXT(44,"000"),"")</f>
        <v/>
      </c>
      <c r="D1062" s="16" t="str">
        <f aca="false">IF(AND(Eingabe!$F$14&gt;0,Eingabe!$E$14&gt;=44),44,"")</f>
        <v/>
      </c>
      <c r="E1062" s="16" t="str">
        <f aca="false">IF(AND(Eingabe!$F$14&gt;0,Eingabe!$E$14&gt;=44),IF((Eingabe!$G$14)&lt;=9,1000+(Eingabe!$G$14)*100,3000)+44,"")</f>
        <v/>
      </c>
      <c r="F1062" s="16" t="str">
        <f aca="false">IF(AND(Eingabe!$F$14&gt;0,Eingabe!$E$14&gt;=44),"10."&amp;Eingabe!$D$14&amp;".44.0/24","")</f>
        <v/>
      </c>
      <c r="G1062" s="16" t="str">
        <f aca="false">IF(AND(Eingabe!$F$14&gt;0,Eingabe!$E$14&gt;=44),"10."&amp;Eingabe!$D$14&amp;".44.1","")</f>
        <v/>
      </c>
      <c r="H1062" s="16" t="str">
        <f aca="false">IF(AND(Eingabe!$F$14&gt;0,Eingabe!$E$14&gt;=44),"10."&amp;Eingabe!$D$14&amp;".44.10 – 10."&amp;Eingabe!$D$14&amp;".44.250","")</f>
        <v/>
      </c>
      <c r="I1062" s="16" t="str">
        <f aca="false">IF(AND(Eingabe!$F$14&gt;0,Eingabe!$E$14&gt;=44),Eingabe!$B$6&amp;"-"&amp;Eingabe!$C$14&amp;"-Pächter","")</f>
        <v/>
      </c>
      <c r="J1062" s="16" t="str">
        <f aca="false">IF(AND(Eingabe!$F$14&gt;0,Eingabe!$E$14&gt;=44),"PPSK: Passwort Parzelle 44","")</f>
        <v/>
      </c>
      <c r="K1062" s="16" t="str">
        <f aca="false">IF(AND(Eingabe!$F$14&gt;0,Eingabe!$E$14&gt;=44),"1. Gerät: 10."&amp;Eingabe!$D$14&amp;".44.10, 2. Gerät: .11","")</f>
        <v/>
      </c>
    </row>
    <row r="1063" customFormat="false" ht="15" hidden="false" customHeight="false" outlineLevel="0" collapsed="false">
      <c r="A1063" s="16" t="str">
        <f aca="false">IF(AND(Eingabe!$F$14&gt;0,Eingabe!$E$14&gt;=45),6,"")</f>
        <v/>
      </c>
      <c r="B1063" s="16" t="str">
        <f aca="false">IF(AND(Eingabe!$F$14&gt;0,Eingabe!$E$14&gt;=45),Eingabe!$B$14,"")</f>
        <v/>
      </c>
      <c r="C1063" s="16" t="str">
        <f aca="false">IF(AND(Eingabe!$F$14&gt;0,Eingabe!$E$14&gt;=45),Eingabe!$C$14&amp;"-Paz."&amp;TEXT(45,"000"),"")</f>
        <v/>
      </c>
      <c r="D1063" s="16" t="str">
        <f aca="false">IF(AND(Eingabe!$F$14&gt;0,Eingabe!$E$14&gt;=45),45,"")</f>
        <v/>
      </c>
      <c r="E1063" s="16" t="str">
        <f aca="false">IF(AND(Eingabe!$F$14&gt;0,Eingabe!$E$14&gt;=45),IF((Eingabe!$G$14)&lt;=9,1000+(Eingabe!$G$14)*100,3000)+45,"")</f>
        <v/>
      </c>
      <c r="F1063" s="16" t="str">
        <f aca="false">IF(AND(Eingabe!$F$14&gt;0,Eingabe!$E$14&gt;=45),"10."&amp;Eingabe!$D$14&amp;".45.0/24","")</f>
        <v/>
      </c>
      <c r="G1063" s="16" t="str">
        <f aca="false">IF(AND(Eingabe!$F$14&gt;0,Eingabe!$E$14&gt;=45),"10."&amp;Eingabe!$D$14&amp;".45.1","")</f>
        <v/>
      </c>
      <c r="H1063" s="16" t="str">
        <f aca="false">IF(AND(Eingabe!$F$14&gt;0,Eingabe!$E$14&gt;=45),"10."&amp;Eingabe!$D$14&amp;".45.10 – 10."&amp;Eingabe!$D$14&amp;".45.250","")</f>
        <v/>
      </c>
      <c r="I1063" s="16" t="str">
        <f aca="false">IF(AND(Eingabe!$F$14&gt;0,Eingabe!$E$14&gt;=45),Eingabe!$B$6&amp;"-"&amp;Eingabe!$C$14&amp;"-Pächter","")</f>
        <v/>
      </c>
      <c r="J1063" s="16" t="str">
        <f aca="false">IF(AND(Eingabe!$F$14&gt;0,Eingabe!$E$14&gt;=45),"PPSK: Passwort Parzelle 45","")</f>
        <v/>
      </c>
      <c r="K1063" s="16" t="str">
        <f aca="false">IF(AND(Eingabe!$F$14&gt;0,Eingabe!$E$14&gt;=45),"1. Gerät: 10."&amp;Eingabe!$D$14&amp;".45.10, 2. Gerät: .11","")</f>
        <v/>
      </c>
    </row>
    <row r="1064" customFormat="false" ht="15" hidden="false" customHeight="false" outlineLevel="0" collapsed="false">
      <c r="A1064" s="16" t="str">
        <f aca="false">IF(AND(Eingabe!$F$14&gt;0,Eingabe!$E$14&gt;=46),6,"")</f>
        <v/>
      </c>
      <c r="B1064" s="16" t="str">
        <f aca="false">IF(AND(Eingabe!$F$14&gt;0,Eingabe!$E$14&gt;=46),Eingabe!$B$14,"")</f>
        <v/>
      </c>
      <c r="C1064" s="16" t="str">
        <f aca="false">IF(AND(Eingabe!$F$14&gt;0,Eingabe!$E$14&gt;=46),Eingabe!$C$14&amp;"-Paz."&amp;TEXT(46,"000"),"")</f>
        <v/>
      </c>
      <c r="D1064" s="16" t="str">
        <f aca="false">IF(AND(Eingabe!$F$14&gt;0,Eingabe!$E$14&gt;=46),46,"")</f>
        <v/>
      </c>
      <c r="E1064" s="16" t="str">
        <f aca="false">IF(AND(Eingabe!$F$14&gt;0,Eingabe!$E$14&gt;=46),IF((Eingabe!$G$14)&lt;=9,1000+(Eingabe!$G$14)*100,3000)+46,"")</f>
        <v/>
      </c>
      <c r="F1064" s="16" t="str">
        <f aca="false">IF(AND(Eingabe!$F$14&gt;0,Eingabe!$E$14&gt;=46),"10."&amp;Eingabe!$D$14&amp;".46.0/24","")</f>
        <v/>
      </c>
      <c r="G1064" s="16" t="str">
        <f aca="false">IF(AND(Eingabe!$F$14&gt;0,Eingabe!$E$14&gt;=46),"10."&amp;Eingabe!$D$14&amp;".46.1","")</f>
        <v/>
      </c>
      <c r="H1064" s="16" t="str">
        <f aca="false">IF(AND(Eingabe!$F$14&gt;0,Eingabe!$E$14&gt;=46),"10."&amp;Eingabe!$D$14&amp;".46.10 – 10."&amp;Eingabe!$D$14&amp;".46.250","")</f>
        <v/>
      </c>
      <c r="I1064" s="16" t="str">
        <f aca="false">IF(AND(Eingabe!$F$14&gt;0,Eingabe!$E$14&gt;=46),Eingabe!$B$6&amp;"-"&amp;Eingabe!$C$14&amp;"-Pächter","")</f>
        <v/>
      </c>
      <c r="J1064" s="16" t="str">
        <f aca="false">IF(AND(Eingabe!$F$14&gt;0,Eingabe!$E$14&gt;=46),"PPSK: Passwort Parzelle 46","")</f>
        <v/>
      </c>
      <c r="K1064" s="16" t="str">
        <f aca="false">IF(AND(Eingabe!$F$14&gt;0,Eingabe!$E$14&gt;=46),"1. Gerät: 10."&amp;Eingabe!$D$14&amp;".46.10, 2. Gerät: .11","")</f>
        <v/>
      </c>
    </row>
    <row r="1065" customFormat="false" ht="15" hidden="false" customHeight="false" outlineLevel="0" collapsed="false">
      <c r="A1065" s="16" t="str">
        <f aca="false">IF(AND(Eingabe!$F$14&gt;0,Eingabe!$E$14&gt;=47),6,"")</f>
        <v/>
      </c>
      <c r="B1065" s="16" t="str">
        <f aca="false">IF(AND(Eingabe!$F$14&gt;0,Eingabe!$E$14&gt;=47),Eingabe!$B$14,"")</f>
        <v/>
      </c>
      <c r="C1065" s="16" t="str">
        <f aca="false">IF(AND(Eingabe!$F$14&gt;0,Eingabe!$E$14&gt;=47),Eingabe!$C$14&amp;"-Paz."&amp;TEXT(47,"000"),"")</f>
        <v/>
      </c>
      <c r="D1065" s="16" t="str">
        <f aca="false">IF(AND(Eingabe!$F$14&gt;0,Eingabe!$E$14&gt;=47),47,"")</f>
        <v/>
      </c>
      <c r="E1065" s="16" t="str">
        <f aca="false">IF(AND(Eingabe!$F$14&gt;0,Eingabe!$E$14&gt;=47),IF((Eingabe!$G$14)&lt;=9,1000+(Eingabe!$G$14)*100,3000)+47,"")</f>
        <v/>
      </c>
      <c r="F1065" s="16" t="str">
        <f aca="false">IF(AND(Eingabe!$F$14&gt;0,Eingabe!$E$14&gt;=47),"10."&amp;Eingabe!$D$14&amp;".47.0/24","")</f>
        <v/>
      </c>
      <c r="G1065" s="16" t="str">
        <f aca="false">IF(AND(Eingabe!$F$14&gt;0,Eingabe!$E$14&gt;=47),"10."&amp;Eingabe!$D$14&amp;".47.1","")</f>
        <v/>
      </c>
      <c r="H1065" s="16" t="str">
        <f aca="false">IF(AND(Eingabe!$F$14&gt;0,Eingabe!$E$14&gt;=47),"10."&amp;Eingabe!$D$14&amp;".47.10 – 10."&amp;Eingabe!$D$14&amp;".47.250","")</f>
        <v/>
      </c>
      <c r="I1065" s="16" t="str">
        <f aca="false">IF(AND(Eingabe!$F$14&gt;0,Eingabe!$E$14&gt;=47),Eingabe!$B$6&amp;"-"&amp;Eingabe!$C$14&amp;"-Pächter","")</f>
        <v/>
      </c>
      <c r="J1065" s="16" t="str">
        <f aca="false">IF(AND(Eingabe!$F$14&gt;0,Eingabe!$E$14&gt;=47),"PPSK: Passwort Parzelle 47","")</f>
        <v/>
      </c>
      <c r="K1065" s="16" t="str">
        <f aca="false">IF(AND(Eingabe!$F$14&gt;0,Eingabe!$E$14&gt;=47),"1. Gerät: 10."&amp;Eingabe!$D$14&amp;".47.10, 2. Gerät: .11","")</f>
        <v/>
      </c>
    </row>
    <row r="1066" customFormat="false" ht="15" hidden="false" customHeight="false" outlineLevel="0" collapsed="false">
      <c r="A1066" s="16" t="str">
        <f aca="false">IF(AND(Eingabe!$F$14&gt;0,Eingabe!$E$14&gt;=48),6,"")</f>
        <v/>
      </c>
      <c r="B1066" s="16" t="str">
        <f aca="false">IF(AND(Eingabe!$F$14&gt;0,Eingabe!$E$14&gt;=48),Eingabe!$B$14,"")</f>
        <v/>
      </c>
      <c r="C1066" s="16" t="str">
        <f aca="false">IF(AND(Eingabe!$F$14&gt;0,Eingabe!$E$14&gt;=48),Eingabe!$C$14&amp;"-Paz."&amp;TEXT(48,"000"),"")</f>
        <v/>
      </c>
      <c r="D1066" s="16" t="str">
        <f aca="false">IF(AND(Eingabe!$F$14&gt;0,Eingabe!$E$14&gt;=48),48,"")</f>
        <v/>
      </c>
      <c r="E1066" s="16" t="str">
        <f aca="false">IF(AND(Eingabe!$F$14&gt;0,Eingabe!$E$14&gt;=48),IF((Eingabe!$G$14)&lt;=9,1000+(Eingabe!$G$14)*100,3000)+48,"")</f>
        <v/>
      </c>
      <c r="F1066" s="16" t="str">
        <f aca="false">IF(AND(Eingabe!$F$14&gt;0,Eingabe!$E$14&gt;=48),"10."&amp;Eingabe!$D$14&amp;".48.0/24","")</f>
        <v/>
      </c>
      <c r="G1066" s="16" t="str">
        <f aca="false">IF(AND(Eingabe!$F$14&gt;0,Eingabe!$E$14&gt;=48),"10."&amp;Eingabe!$D$14&amp;".48.1","")</f>
        <v/>
      </c>
      <c r="H1066" s="16" t="str">
        <f aca="false">IF(AND(Eingabe!$F$14&gt;0,Eingabe!$E$14&gt;=48),"10."&amp;Eingabe!$D$14&amp;".48.10 – 10."&amp;Eingabe!$D$14&amp;".48.250","")</f>
        <v/>
      </c>
      <c r="I1066" s="16" t="str">
        <f aca="false">IF(AND(Eingabe!$F$14&gt;0,Eingabe!$E$14&gt;=48),Eingabe!$B$6&amp;"-"&amp;Eingabe!$C$14&amp;"-Pächter","")</f>
        <v/>
      </c>
      <c r="J1066" s="16" t="str">
        <f aca="false">IF(AND(Eingabe!$F$14&gt;0,Eingabe!$E$14&gt;=48),"PPSK: Passwort Parzelle 48","")</f>
        <v/>
      </c>
      <c r="K1066" s="16" t="str">
        <f aca="false">IF(AND(Eingabe!$F$14&gt;0,Eingabe!$E$14&gt;=48),"1. Gerät: 10."&amp;Eingabe!$D$14&amp;".48.10, 2. Gerät: .11","")</f>
        <v/>
      </c>
    </row>
    <row r="1067" customFormat="false" ht="15" hidden="false" customHeight="false" outlineLevel="0" collapsed="false">
      <c r="A1067" s="16" t="str">
        <f aca="false">IF(AND(Eingabe!$F$14&gt;0,Eingabe!$E$14&gt;=49),6,"")</f>
        <v/>
      </c>
      <c r="B1067" s="16" t="str">
        <f aca="false">IF(AND(Eingabe!$F$14&gt;0,Eingabe!$E$14&gt;=49),Eingabe!$B$14,"")</f>
        <v/>
      </c>
      <c r="C1067" s="16" t="str">
        <f aca="false">IF(AND(Eingabe!$F$14&gt;0,Eingabe!$E$14&gt;=49),Eingabe!$C$14&amp;"-Paz."&amp;TEXT(49,"000"),"")</f>
        <v/>
      </c>
      <c r="D1067" s="16" t="str">
        <f aca="false">IF(AND(Eingabe!$F$14&gt;0,Eingabe!$E$14&gt;=49),49,"")</f>
        <v/>
      </c>
      <c r="E1067" s="16" t="str">
        <f aca="false">IF(AND(Eingabe!$F$14&gt;0,Eingabe!$E$14&gt;=49),IF((Eingabe!$G$14)&lt;=9,1000+(Eingabe!$G$14)*100,3000)+49,"")</f>
        <v/>
      </c>
      <c r="F1067" s="16" t="str">
        <f aca="false">IF(AND(Eingabe!$F$14&gt;0,Eingabe!$E$14&gt;=49),"10."&amp;Eingabe!$D$14&amp;".49.0/24","")</f>
        <v/>
      </c>
      <c r="G1067" s="16" t="str">
        <f aca="false">IF(AND(Eingabe!$F$14&gt;0,Eingabe!$E$14&gt;=49),"10."&amp;Eingabe!$D$14&amp;".49.1","")</f>
        <v/>
      </c>
      <c r="H1067" s="16" t="str">
        <f aca="false">IF(AND(Eingabe!$F$14&gt;0,Eingabe!$E$14&gt;=49),"10."&amp;Eingabe!$D$14&amp;".49.10 – 10."&amp;Eingabe!$D$14&amp;".49.250","")</f>
        <v/>
      </c>
      <c r="I1067" s="16" t="str">
        <f aca="false">IF(AND(Eingabe!$F$14&gt;0,Eingabe!$E$14&gt;=49),Eingabe!$B$6&amp;"-"&amp;Eingabe!$C$14&amp;"-Pächter","")</f>
        <v/>
      </c>
      <c r="J1067" s="16" t="str">
        <f aca="false">IF(AND(Eingabe!$F$14&gt;0,Eingabe!$E$14&gt;=49),"PPSK: Passwort Parzelle 49","")</f>
        <v/>
      </c>
      <c r="K1067" s="16" t="str">
        <f aca="false">IF(AND(Eingabe!$F$14&gt;0,Eingabe!$E$14&gt;=49),"1. Gerät: 10."&amp;Eingabe!$D$14&amp;".49.10, 2. Gerät: .11","")</f>
        <v/>
      </c>
    </row>
    <row r="1068" customFormat="false" ht="15" hidden="false" customHeight="false" outlineLevel="0" collapsed="false">
      <c r="A1068" s="16" t="str">
        <f aca="false">IF(AND(Eingabe!$F$14&gt;0,Eingabe!$E$14&gt;=50),6,"")</f>
        <v/>
      </c>
      <c r="B1068" s="16" t="str">
        <f aca="false">IF(AND(Eingabe!$F$14&gt;0,Eingabe!$E$14&gt;=50),Eingabe!$B$14,"")</f>
        <v/>
      </c>
      <c r="C1068" s="16" t="str">
        <f aca="false">IF(AND(Eingabe!$F$14&gt;0,Eingabe!$E$14&gt;=50),Eingabe!$C$14&amp;"-Paz."&amp;TEXT(50,"000"),"")</f>
        <v/>
      </c>
      <c r="D1068" s="16" t="str">
        <f aca="false">IF(AND(Eingabe!$F$14&gt;0,Eingabe!$E$14&gt;=50),50,"")</f>
        <v/>
      </c>
      <c r="E1068" s="16" t="str">
        <f aca="false">IF(AND(Eingabe!$F$14&gt;0,Eingabe!$E$14&gt;=50),IF((Eingabe!$G$14)&lt;=9,1000+(Eingabe!$G$14)*100,3000)+50,"")</f>
        <v/>
      </c>
      <c r="F1068" s="16" t="str">
        <f aca="false">IF(AND(Eingabe!$F$14&gt;0,Eingabe!$E$14&gt;=50),"10."&amp;Eingabe!$D$14&amp;".50.0/24","")</f>
        <v/>
      </c>
      <c r="G1068" s="16" t="str">
        <f aca="false">IF(AND(Eingabe!$F$14&gt;0,Eingabe!$E$14&gt;=50),"10."&amp;Eingabe!$D$14&amp;".50.1","")</f>
        <v/>
      </c>
      <c r="H1068" s="16" t="str">
        <f aca="false">IF(AND(Eingabe!$F$14&gt;0,Eingabe!$E$14&gt;=50),"10."&amp;Eingabe!$D$14&amp;".50.10 – 10."&amp;Eingabe!$D$14&amp;".50.250","")</f>
        <v/>
      </c>
      <c r="I1068" s="16" t="str">
        <f aca="false">IF(AND(Eingabe!$F$14&gt;0,Eingabe!$E$14&gt;=50),Eingabe!$B$6&amp;"-"&amp;Eingabe!$C$14&amp;"-Pächter","")</f>
        <v/>
      </c>
      <c r="J1068" s="16" t="str">
        <f aca="false">IF(AND(Eingabe!$F$14&gt;0,Eingabe!$E$14&gt;=50),"PPSK: Passwort Parzelle 50","")</f>
        <v/>
      </c>
      <c r="K1068" s="16" t="str">
        <f aca="false">IF(AND(Eingabe!$F$14&gt;0,Eingabe!$E$14&gt;=50),"1. Gerät: 10."&amp;Eingabe!$D$14&amp;".50.10, 2. Gerät: .11","")</f>
        <v/>
      </c>
    </row>
    <row r="1069" customFormat="false" ht="15" hidden="false" customHeight="false" outlineLevel="0" collapsed="false">
      <c r="A1069" s="16" t="str">
        <f aca="false">IF(AND(Eingabe!$F$14&gt;0,Eingabe!$E$14&gt;=51),6,"")</f>
        <v/>
      </c>
      <c r="B1069" s="16" t="str">
        <f aca="false">IF(AND(Eingabe!$F$14&gt;0,Eingabe!$E$14&gt;=51),Eingabe!$B$14,"")</f>
        <v/>
      </c>
      <c r="C1069" s="16" t="str">
        <f aca="false">IF(AND(Eingabe!$F$14&gt;0,Eingabe!$E$14&gt;=51),Eingabe!$C$14&amp;"-Paz."&amp;TEXT(51,"000"),"")</f>
        <v/>
      </c>
      <c r="D1069" s="16" t="str">
        <f aca="false">IF(AND(Eingabe!$F$14&gt;0,Eingabe!$E$14&gt;=51),51,"")</f>
        <v/>
      </c>
      <c r="E1069" s="16" t="str">
        <f aca="false">IF(AND(Eingabe!$F$14&gt;0,Eingabe!$E$14&gt;=51),IF((Eingabe!$G$14)&lt;=9,1000+(Eingabe!$G$14)*100,3000)+51,"")</f>
        <v/>
      </c>
      <c r="F1069" s="16" t="str">
        <f aca="false">IF(AND(Eingabe!$F$14&gt;0,Eingabe!$E$14&gt;=51),"10."&amp;Eingabe!$D$14&amp;".51.0/24","")</f>
        <v/>
      </c>
      <c r="G1069" s="16" t="str">
        <f aca="false">IF(AND(Eingabe!$F$14&gt;0,Eingabe!$E$14&gt;=51),"10."&amp;Eingabe!$D$14&amp;".51.1","")</f>
        <v/>
      </c>
      <c r="H1069" s="16" t="str">
        <f aca="false">IF(AND(Eingabe!$F$14&gt;0,Eingabe!$E$14&gt;=51),"10."&amp;Eingabe!$D$14&amp;".51.10 – 10."&amp;Eingabe!$D$14&amp;".51.250","")</f>
        <v/>
      </c>
      <c r="I1069" s="16" t="str">
        <f aca="false">IF(AND(Eingabe!$F$14&gt;0,Eingabe!$E$14&gt;=51),Eingabe!$B$6&amp;"-"&amp;Eingabe!$C$14&amp;"-Pächter","")</f>
        <v/>
      </c>
      <c r="J1069" s="16" t="str">
        <f aca="false">IF(AND(Eingabe!$F$14&gt;0,Eingabe!$E$14&gt;=51),"PPSK: Passwort Parzelle 51","")</f>
        <v/>
      </c>
      <c r="K1069" s="16" t="str">
        <f aca="false">IF(AND(Eingabe!$F$14&gt;0,Eingabe!$E$14&gt;=51),"1. Gerät: 10."&amp;Eingabe!$D$14&amp;".51.10, 2. Gerät: .11","")</f>
        <v/>
      </c>
    </row>
    <row r="1070" customFormat="false" ht="15" hidden="false" customHeight="false" outlineLevel="0" collapsed="false">
      <c r="A1070" s="16" t="str">
        <f aca="false">IF(AND(Eingabe!$F$14&gt;0,Eingabe!$E$14&gt;=52),6,"")</f>
        <v/>
      </c>
      <c r="B1070" s="16" t="str">
        <f aca="false">IF(AND(Eingabe!$F$14&gt;0,Eingabe!$E$14&gt;=52),Eingabe!$B$14,"")</f>
        <v/>
      </c>
      <c r="C1070" s="16" t="str">
        <f aca="false">IF(AND(Eingabe!$F$14&gt;0,Eingabe!$E$14&gt;=52),Eingabe!$C$14&amp;"-Paz."&amp;TEXT(52,"000"),"")</f>
        <v/>
      </c>
      <c r="D1070" s="16" t="str">
        <f aca="false">IF(AND(Eingabe!$F$14&gt;0,Eingabe!$E$14&gt;=52),52,"")</f>
        <v/>
      </c>
      <c r="E1070" s="16" t="str">
        <f aca="false">IF(AND(Eingabe!$F$14&gt;0,Eingabe!$E$14&gt;=52),IF((Eingabe!$G$14)&lt;=9,1000+(Eingabe!$G$14)*100,3000)+52,"")</f>
        <v/>
      </c>
      <c r="F1070" s="16" t="str">
        <f aca="false">IF(AND(Eingabe!$F$14&gt;0,Eingabe!$E$14&gt;=52),"10."&amp;Eingabe!$D$14&amp;".52.0/24","")</f>
        <v/>
      </c>
      <c r="G1070" s="16" t="str">
        <f aca="false">IF(AND(Eingabe!$F$14&gt;0,Eingabe!$E$14&gt;=52),"10."&amp;Eingabe!$D$14&amp;".52.1","")</f>
        <v/>
      </c>
      <c r="H1070" s="16" t="str">
        <f aca="false">IF(AND(Eingabe!$F$14&gt;0,Eingabe!$E$14&gt;=52),"10."&amp;Eingabe!$D$14&amp;".52.10 – 10."&amp;Eingabe!$D$14&amp;".52.250","")</f>
        <v/>
      </c>
      <c r="I1070" s="16" t="str">
        <f aca="false">IF(AND(Eingabe!$F$14&gt;0,Eingabe!$E$14&gt;=52),Eingabe!$B$6&amp;"-"&amp;Eingabe!$C$14&amp;"-Pächter","")</f>
        <v/>
      </c>
      <c r="J1070" s="16" t="str">
        <f aca="false">IF(AND(Eingabe!$F$14&gt;0,Eingabe!$E$14&gt;=52),"PPSK: Passwort Parzelle 52","")</f>
        <v/>
      </c>
      <c r="K1070" s="16" t="str">
        <f aca="false">IF(AND(Eingabe!$F$14&gt;0,Eingabe!$E$14&gt;=52),"1. Gerät: 10."&amp;Eingabe!$D$14&amp;".52.10, 2. Gerät: .11","")</f>
        <v/>
      </c>
    </row>
    <row r="1071" customFormat="false" ht="15" hidden="false" customHeight="false" outlineLevel="0" collapsed="false">
      <c r="A1071" s="16" t="str">
        <f aca="false">IF(AND(Eingabe!$F$14&gt;0,Eingabe!$E$14&gt;=53),6,"")</f>
        <v/>
      </c>
      <c r="B1071" s="16" t="str">
        <f aca="false">IF(AND(Eingabe!$F$14&gt;0,Eingabe!$E$14&gt;=53),Eingabe!$B$14,"")</f>
        <v/>
      </c>
      <c r="C1071" s="16" t="str">
        <f aca="false">IF(AND(Eingabe!$F$14&gt;0,Eingabe!$E$14&gt;=53),Eingabe!$C$14&amp;"-Paz."&amp;TEXT(53,"000"),"")</f>
        <v/>
      </c>
      <c r="D1071" s="16" t="str">
        <f aca="false">IF(AND(Eingabe!$F$14&gt;0,Eingabe!$E$14&gt;=53),53,"")</f>
        <v/>
      </c>
      <c r="E1071" s="16" t="str">
        <f aca="false">IF(AND(Eingabe!$F$14&gt;0,Eingabe!$E$14&gt;=53),IF((Eingabe!$G$14)&lt;=9,1000+(Eingabe!$G$14)*100,3000)+53,"")</f>
        <v/>
      </c>
      <c r="F1071" s="16" t="str">
        <f aca="false">IF(AND(Eingabe!$F$14&gt;0,Eingabe!$E$14&gt;=53),"10."&amp;Eingabe!$D$14&amp;".53.0/24","")</f>
        <v/>
      </c>
      <c r="G1071" s="16" t="str">
        <f aca="false">IF(AND(Eingabe!$F$14&gt;0,Eingabe!$E$14&gt;=53),"10."&amp;Eingabe!$D$14&amp;".53.1","")</f>
        <v/>
      </c>
      <c r="H1071" s="16" t="str">
        <f aca="false">IF(AND(Eingabe!$F$14&gt;0,Eingabe!$E$14&gt;=53),"10."&amp;Eingabe!$D$14&amp;".53.10 – 10."&amp;Eingabe!$D$14&amp;".53.250","")</f>
        <v/>
      </c>
      <c r="I1071" s="16" t="str">
        <f aca="false">IF(AND(Eingabe!$F$14&gt;0,Eingabe!$E$14&gt;=53),Eingabe!$B$6&amp;"-"&amp;Eingabe!$C$14&amp;"-Pächter","")</f>
        <v/>
      </c>
      <c r="J1071" s="16" t="str">
        <f aca="false">IF(AND(Eingabe!$F$14&gt;0,Eingabe!$E$14&gt;=53),"PPSK: Passwort Parzelle 53","")</f>
        <v/>
      </c>
      <c r="K1071" s="16" t="str">
        <f aca="false">IF(AND(Eingabe!$F$14&gt;0,Eingabe!$E$14&gt;=53),"1. Gerät: 10."&amp;Eingabe!$D$14&amp;".53.10, 2. Gerät: .11","")</f>
        <v/>
      </c>
    </row>
    <row r="1072" customFormat="false" ht="15" hidden="false" customHeight="false" outlineLevel="0" collapsed="false">
      <c r="A1072" s="16" t="str">
        <f aca="false">IF(AND(Eingabe!$F$14&gt;0,Eingabe!$E$14&gt;=54),6,"")</f>
        <v/>
      </c>
      <c r="B1072" s="16" t="str">
        <f aca="false">IF(AND(Eingabe!$F$14&gt;0,Eingabe!$E$14&gt;=54),Eingabe!$B$14,"")</f>
        <v/>
      </c>
      <c r="C1072" s="16" t="str">
        <f aca="false">IF(AND(Eingabe!$F$14&gt;0,Eingabe!$E$14&gt;=54),Eingabe!$C$14&amp;"-Paz."&amp;TEXT(54,"000"),"")</f>
        <v/>
      </c>
      <c r="D1072" s="16" t="str">
        <f aca="false">IF(AND(Eingabe!$F$14&gt;0,Eingabe!$E$14&gt;=54),54,"")</f>
        <v/>
      </c>
      <c r="E1072" s="16" t="str">
        <f aca="false">IF(AND(Eingabe!$F$14&gt;0,Eingabe!$E$14&gt;=54),IF((Eingabe!$G$14)&lt;=9,1000+(Eingabe!$G$14)*100,3000)+54,"")</f>
        <v/>
      </c>
      <c r="F1072" s="16" t="str">
        <f aca="false">IF(AND(Eingabe!$F$14&gt;0,Eingabe!$E$14&gt;=54),"10."&amp;Eingabe!$D$14&amp;".54.0/24","")</f>
        <v/>
      </c>
      <c r="G1072" s="16" t="str">
        <f aca="false">IF(AND(Eingabe!$F$14&gt;0,Eingabe!$E$14&gt;=54),"10."&amp;Eingabe!$D$14&amp;".54.1","")</f>
        <v/>
      </c>
      <c r="H1072" s="16" t="str">
        <f aca="false">IF(AND(Eingabe!$F$14&gt;0,Eingabe!$E$14&gt;=54),"10."&amp;Eingabe!$D$14&amp;".54.10 – 10."&amp;Eingabe!$D$14&amp;".54.250","")</f>
        <v/>
      </c>
      <c r="I1072" s="16" t="str">
        <f aca="false">IF(AND(Eingabe!$F$14&gt;0,Eingabe!$E$14&gt;=54),Eingabe!$B$6&amp;"-"&amp;Eingabe!$C$14&amp;"-Pächter","")</f>
        <v/>
      </c>
      <c r="J1072" s="16" t="str">
        <f aca="false">IF(AND(Eingabe!$F$14&gt;0,Eingabe!$E$14&gt;=54),"PPSK: Passwort Parzelle 54","")</f>
        <v/>
      </c>
      <c r="K1072" s="16" t="str">
        <f aca="false">IF(AND(Eingabe!$F$14&gt;0,Eingabe!$E$14&gt;=54),"1. Gerät: 10."&amp;Eingabe!$D$14&amp;".54.10, 2. Gerät: .11","")</f>
        <v/>
      </c>
    </row>
    <row r="1073" customFormat="false" ht="15" hidden="false" customHeight="false" outlineLevel="0" collapsed="false">
      <c r="A1073" s="16" t="str">
        <f aca="false">IF(AND(Eingabe!$F$14&gt;0,Eingabe!$E$14&gt;=55),6,"")</f>
        <v/>
      </c>
      <c r="B1073" s="16" t="str">
        <f aca="false">IF(AND(Eingabe!$F$14&gt;0,Eingabe!$E$14&gt;=55),Eingabe!$B$14,"")</f>
        <v/>
      </c>
      <c r="C1073" s="16" t="str">
        <f aca="false">IF(AND(Eingabe!$F$14&gt;0,Eingabe!$E$14&gt;=55),Eingabe!$C$14&amp;"-Paz."&amp;TEXT(55,"000"),"")</f>
        <v/>
      </c>
      <c r="D1073" s="16" t="str">
        <f aca="false">IF(AND(Eingabe!$F$14&gt;0,Eingabe!$E$14&gt;=55),55,"")</f>
        <v/>
      </c>
      <c r="E1073" s="16" t="str">
        <f aca="false">IF(AND(Eingabe!$F$14&gt;0,Eingabe!$E$14&gt;=55),IF((Eingabe!$G$14)&lt;=9,1000+(Eingabe!$G$14)*100,3000)+55,"")</f>
        <v/>
      </c>
      <c r="F1073" s="16" t="str">
        <f aca="false">IF(AND(Eingabe!$F$14&gt;0,Eingabe!$E$14&gt;=55),"10."&amp;Eingabe!$D$14&amp;".55.0/24","")</f>
        <v/>
      </c>
      <c r="G1073" s="16" t="str">
        <f aca="false">IF(AND(Eingabe!$F$14&gt;0,Eingabe!$E$14&gt;=55),"10."&amp;Eingabe!$D$14&amp;".55.1","")</f>
        <v/>
      </c>
      <c r="H1073" s="16" t="str">
        <f aca="false">IF(AND(Eingabe!$F$14&gt;0,Eingabe!$E$14&gt;=55),"10."&amp;Eingabe!$D$14&amp;".55.10 – 10."&amp;Eingabe!$D$14&amp;".55.250","")</f>
        <v/>
      </c>
      <c r="I1073" s="16" t="str">
        <f aca="false">IF(AND(Eingabe!$F$14&gt;0,Eingabe!$E$14&gt;=55),Eingabe!$B$6&amp;"-"&amp;Eingabe!$C$14&amp;"-Pächter","")</f>
        <v/>
      </c>
      <c r="J1073" s="16" t="str">
        <f aca="false">IF(AND(Eingabe!$F$14&gt;0,Eingabe!$E$14&gt;=55),"PPSK: Passwort Parzelle 55","")</f>
        <v/>
      </c>
      <c r="K1073" s="16" t="str">
        <f aca="false">IF(AND(Eingabe!$F$14&gt;0,Eingabe!$E$14&gt;=55),"1. Gerät: 10."&amp;Eingabe!$D$14&amp;".55.10, 2. Gerät: .11","")</f>
        <v/>
      </c>
    </row>
    <row r="1074" customFormat="false" ht="15" hidden="false" customHeight="false" outlineLevel="0" collapsed="false">
      <c r="A1074" s="16" t="str">
        <f aca="false">IF(AND(Eingabe!$F$14&gt;0,Eingabe!$E$14&gt;=56),6,"")</f>
        <v/>
      </c>
      <c r="B1074" s="16" t="str">
        <f aca="false">IF(AND(Eingabe!$F$14&gt;0,Eingabe!$E$14&gt;=56),Eingabe!$B$14,"")</f>
        <v/>
      </c>
      <c r="C1074" s="16" t="str">
        <f aca="false">IF(AND(Eingabe!$F$14&gt;0,Eingabe!$E$14&gt;=56),Eingabe!$C$14&amp;"-Paz."&amp;TEXT(56,"000"),"")</f>
        <v/>
      </c>
      <c r="D1074" s="16" t="str">
        <f aca="false">IF(AND(Eingabe!$F$14&gt;0,Eingabe!$E$14&gt;=56),56,"")</f>
        <v/>
      </c>
      <c r="E1074" s="16" t="str">
        <f aca="false">IF(AND(Eingabe!$F$14&gt;0,Eingabe!$E$14&gt;=56),IF((Eingabe!$G$14)&lt;=9,1000+(Eingabe!$G$14)*100,3000)+56,"")</f>
        <v/>
      </c>
      <c r="F1074" s="16" t="str">
        <f aca="false">IF(AND(Eingabe!$F$14&gt;0,Eingabe!$E$14&gt;=56),"10."&amp;Eingabe!$D$14&amp;".56.0/24","")</f>
        <v/>
      </c>
      <c r="G1074" s="16" t="str">
        <f aca="false">IF(AND(Eingabe!$F$14&gt;0,Eingabe!$E$14&gt;=56),"10."&amp;Eingabe!$D$14&amp;".56.1","")</f>
        <v/>
      </c>
      <c r="H1074" s="16" t="str">
        <f aca="false">IF(AND(Eingabe!$F$14&gt;0,Eingabe!$E$14&gt;=56),"10."&amp;Eingabe!$D$14&amp;".56.10 – 10."&amp;Eingabe!$D$14&amp;".56.250","")</f>
        <v/>
      </c>
      <c r="I1074" s="16" t="str">
        <f aca="false">IF(AND(Eingabe!$F$14&gt;0,Eingabe!$E$14&gt;=56),Eingabe!$B$6&amp;"-"&amp;Eingabe!$C$14&amp;"-Pächter","")</f>
        <v/>
      </c>
      <c r="J1074" s="16" t="str">
        <f aca="false">IF(AND(Eingabe!$F$14&gt;0,Eingabe!$E$14&gt;=56),"PPSK: Passwort Parzelle 56","")</f>
        <v/>
      </c>
      <c r="K1074" s="16" t="str">
        <f aca="false">IF(AND(Eingabe!$F$14&gt;0,Eingabe!$E$14&gt;=56),"1. Gerät: 10."&amp;Eingabe!$D$14&amp;".56.10, 2. Gerät: .11","")</f>
        <v/>
      </c>
    </row>
    <row r="1075" customFormat="false" ht="15" hidden="false" customHeight="false" outlineLevel="0" collapsed="false">
      <c r="A1075" s="16" t="str">
        <f aca="false">IF(AND(Eingabe!$F$14&gt;0,Eingabe!$E$14&gt;=57),6,"")</f>
        <v/>
      </c>
      <c r="B1075" s="16" t="str">
        <f aca="false">IF(AND(Eingabe!$F$14&gt;0,Eingabe!$E$14&gt;=57),Eingabe!$B$14,"")</f>
        <v/>
      </c>
      <c r="C1075" s="16" t="str">
        <f aca="false">IF(AND(Eingabe!$F$14&gt;0,Eingabe!$E$14&gt;=57),Eingabe!$C$14&amp;"-Paz."&amp;TEXT(57,"000"),"")</f>
        <v/>
      </c>
      <c r="D1075" s="16" t="str">
        <f aca="false">IF(AND(Eingabe!$F$14&gt;0,Eingabe!$E$14&gt;=57),57,"")</f>
        <v/>
      </c>
      <c r="E1075" s="16" t="str">
        <f aca="false">IF(AND(Eingabe!$F$14&gt;0,Eingabe!$E$14&gt;=57),IF((Eingabe!$G$14)&lt;=9,1000+(Eingabe!$G$14)*100,3000)+57,"")</f>
        <v/>
      </c>
      <c r="F1075" s="16" t="str">
        <f aca="false">IF(AND(Eingabe!$F$14&gt;0,Eingabe!$E$14&gt;=57),"10."&amp;Eingabe!$D$14&amp;".57.0/24","")</f>
        <v/>
      </c>
      <c r="G1075" s="16" t="str">
        <f aca="false">IF(AND(Eingabe!$F$14&gt;0,Eingabe!$E$14&gt;=57),"10."&amp;Eingabe!$D$14&amp;".57.1","")</f>
        <v/>
      </c>
      <c r="H1075" s="16" t="str">
        <f aca="false">IF(AND(Eingabe!$F$14&gt;0,Eingabe!$E$14&gt;=57),"10."&amp;Eingabe!$D$14&amp;".57.10 – 10."&amp;Eingabe!$D$14&amp;".57.250","")</f>
        <v/>
      </c>
      <c r="I1075" s="16" t="str">
        <f aca="false">IF(AND(Eingabe!$F$14&gt;0,Eingabe!$E$14&gt;=57),Eingabe!$B$6&amp;"-"&amp;Eingabe!$C$14&amp;"-Pächter","")</f>
        <v/>
      </c>
      <c r="J1075" s="16" t="str">
        <f aca="false">IF(AND(Eingabe!$F$14&gt;0,Eingabe!$E$14&gt;=57),"PPSK: Passwort Parzelle 57","")</f>
        <v/>
      </c>
      <c r="K1075" s="16" t="str">
        <f aca="false">IF(AND(Eingabe!$F$14&gt;0,Eingabe!$E$14&gt;=57),"1. Gerät: 10."&amp;Eingabe!$D$14&amp;".57.10, 2. Gerät: .11","")</f>
        <v/>
      </c>
    </row>
    <row r="1076" customFormat="false" ht="15" hidden="false" customHeight="false" outlineLevel="0" collapsed="false">
      <c r="A1076" s="16" t="str">
        <f aca="false">IF(AND(Eingabe!$F$14&gt;0,Eingabe!$E$14&gt;=58),6,"")</f>
        <v/>
      </c>
      <c r="B1076" s="16" t="str">
        <f aca="false">IF(AND(Eingabe!$F$14&gt;0,Eingabe!$E$14&gt;=58),Eingabe!$B$14,"")</f>
        <v/>
      </c>
      <c r="C1076" s="16" t="str">
        <f aca="false">IF(AND(Eingabe!$F$14&gt;0,Eingabe!$E$14&gt;=58),Eingabe!$C$14&amp;"-Paz."&amp;TEXT(58,"000"),"")</f>
        <v/>
      </c>
      <c r="D1076" s="16" t="str">
        <f aca="false">IF(AND(Eingabe!$F$14&gt;0,Eingabe!$E$14&gt;=58),58,"")</f>
        <v/>
      </c>
      <c r="E1076" s="16" t="str">
        <f aca="false">IF(AND(Eingabe!$F$14&gt;0,Eingabe!$E$14&gt;=58),IF((Eingabe!$G$14)&lt;=9,1000+(Eingabe!$G$14)*100,3000)+58,"")</f>
        <v/>
      </c>
      <c r="F1076" s="16" t="str">
        <f aca="false">IF(AND(Eingabe!$F$14&gt;0,Eingabe!$E$14&gt;=58),"10."&amp;Eingabe!$D$14&amp;".58.0/24","")</f>
        <v/>
      </c>
      <c r="G1076" s="16" t="str">
        <f aca="false">IF(AND(Eingabe!$F$14&gt;0,Eingabe!$E$14&gt;=58),"10."&amp;Eingabe!$D$14&amp;".58.1","")</f>
        <v/>
      </c>
      <c r="H1076" s="16" t="str">
        <f aca="false">IF(AND(Eingabe!$F$14&gt;0,Eingabe!$E$14&gt;=58),"10."&amp;Eingabe!$D$14&amp;".58.10 – 10."&amp;Eingabe!$D$14&amp;".58.250","")</f>
        <v/>
      </c>
      <c r="I1076" s="16" t="str">
        <f aca="false">IF(AND(Eingabe!$F$14&gt;0,Eingabe!$E$14&gt;=58),Eingabe!$B$6&amp;"-"&amp;Eingabe!$C$14&amp;"-Pächter","")</f>
        <v/>
      </c>
      <c r="J1076" s="16" t="str">
        <f aca="false">IF(AND(Eingabe!$F$14&gt;0,Eingabe!$E$14&gt;=58),"PPSK: Passwort Parzelle 58","")</f>
        <v/>
      </c>
      <c r="K1076" s="16" t="str">
        <f aca="false">IF(AND(Eingabe!$F$14&gt;0,Eingabe!$E$14&gt;=58),"1. Gerät: 10."&amp;Eingabe!$D$14&amp;".58.10, 2. Gerät: .11","")</f>
        <v/>
      </c>
    </row>
    <row r="1077" customFormat="false" ht="15" hidden="false" customHeight="false" outlineLevel="0" collapsed="false">
      <c r="A1077" s="16" t="str">
        <f aca="false">IF(AND(Eingabe!$F$14&gt;0,Eingabe!$E$14&gt;=59),6,"")</f>
        <v/>
      </c>
      <c r="B1077" s="16" t="str">
        <f aca="false">IF(AND(Eingabe!$F$14&gt;0,Eingabe!$E$14&gt;=59),Eingabe!$B$14,"")</f>
        <v/>
      </c>
      <c r="C1077" s="16" t="str">
        <f aca="false">IF(AND(Eingabe!$F$14&gt;0,Eingabe!$E$14&gt;=59),Eingabe!$C$14&amp;"-Paz."&amp;TEXT(59,"000"),"")</f>
        <v/>
      </c>
      <c r="D1077" s="16" t="str">
        <f aca="false">IF(AND(Eingabe!$F$14&gt;0,Eingabe!$E$14&gt;=59),59,"")</f>
        <v/>
      </c>
      <c r="E1077" s="16" t="str">
        <f aca="false">IF(AND(Eingabe!$F$14&gt;0,Eingabe!$E$14&gt;=59),IF((Eingabe!$G$14)&lt;=9,1000+(Eingabe!$G$14)*100,3000)+59,"")</f>
        <v/>
      </c>
      <c r="F1077" s="16" t="str">
        <f aca="false">IF(AND(Eingabe!$F$14&gt;0,Eingabe!$E$14&gt;=59),"10."&amp;Eingabe!$D$14&amp;".59.0/24","")</f>
        <v/>
      </c>
      <c r="G1077" s="16" t="str">
        <f aca="false">IF(AND(Eingabe!$F$14&gt;0,Eingabe!$E$14&gt;=59),"10."&amp;Eingabe!$D$14&amp;".59.1","")</f>
        <v/>
      </c>
      <c r="H1077" s="16" t="str">
        <f aca="false">IF(AND(Eingabe!$F$14&gt;0,Eingabe!$E$14&gt;=59),"10."&amp;Eingabe!$D$14&amp;".59.10 – 10."&amp;Eingabe!$D$14&amp;".59.250","")</f>
        <v/>
      </c>
      <c r="I1077" s="16" t="str">
        <f aca="false">IF(AND(Eingabe!$F$14&gt;0,Eingabe!$E$14&gt;=59),Eingabe!$B$6&amp;"-"&amp;Eingabe!$C$14&amp;"-Pächter","")</f>
        <v/>
      </c>
      <c r="J1077" s="16" t="str">
        <f aca="false">IF(AND(Eingabe!$F$14&gt;0,Eingabe!$E$14&gt;=59),"PPSK: Passwort Parzelle 59","")</f>
        <v/>
      </c>
      <c r="K1077" s="16" t="str">
        <f aca="false">IF(AND(Eingabe!$F$14&gt;0,Eingabe!$E$14&gt;=59),"1. Gerät: 10."&amp;Eingabe!$D$14&amp;".59.10, 2. Gerät: .11","")</f>
        <v/>
      </c>
    </row>
    <row r="1078" customFormat="false" ht="15" hidden="false" customHeight="false" outlineLevel="0" collapsed="false">
      <c r="A1078" s="16" t="str">
        <f aca="false">IF(AND(Eingabe!$F$14&gt;0,Eingabe!$E$14&gt;=60),6,"")</f>
        <v/>
      </c>
      <c r="B1078" s="16" t="str">
        <f aca="false">IF(AND(Eingabe!$F$14&gt;0,Eingabe!$E$14&gt;=60),Eingabe!$B$14,"")</f>
        <v/>
      </c>
      <c r="C1078" s="16" t="str">
        <f aca="false">IF(AND(Eingabe!$F$14&gt;0,Eingabe!$E$14&gt;=60),Eingabe!$C$14&amp;"-Paz."&amp;TEXT(60,"000"),"")</f>
        <v/>
      </c>
      <c r="D1078" s="16" t="str">
        <f aca="false">IF(AND(Eingabe!$F$14&gt;0,Eingabe!$E$14&gt;=60),60,"")</f>
        <v/>
      </c>
      <c r="E1078" s="16" t="str">
        <f aca="false">IF(AND(Eingabe!$F$14&gt;0,Eingabe!$E$14&gt;=60),IF((Eingabe!$G$14)&lt;=9,1000+(Eingabe!$G$14)*100,3000)+60,"")</f>
        <v/>
      </c>
      <c r="F1078" s="16" t="str">
        <f aca="false">IF(AND(Eingabe!$F$14&gt;0,Eingabe!$E$14&gt;=60),"10."&amp;Eingabe!$D$14&amp;".60.0/24","")</f>
        <v/>
      </c>
      <c r="G1078" s="16" t="str">
        <f aca="false">IF(AND(Eingabe!$F$14&gt;0,Eingabe!$E$14&gt;=60),"10."&amp;Eingabe!$D$14&amp;".60.1","")</f>
        <v/>
      </c>
      <c r="H1078" s="16" t="str">
        <f aca="false">IF(AND(Eingabe!$F$14&gt;0,Eingabe!$E$14&gt;=60),"10."&amp;Eingabe!$D$14&amp;".60.10 – 10."&amp;Eingabe!$D$14&amp;".60.250","")</f>
        <v/>
      </c>
      <c r="I1078" s="16" t="str">
        <f aca="false">IF(AND(Eingabe!$F$14&gt;0,Eingabe!$E$14&gt;=60),Eingabe!$B$6&amp;"-"&amp;Eingabe!$C$14&amp;"-Pächter","")</f>
        <v/>
      </c>
      <c r="J1078" s="16" t="str">
        <f aca="false">IF(AND(Eingabe!$F$14&gt;0,Eingabe!$E$14&gt;=60),"PPSK: Passwort Parzelle 60","")</f>
        <v/>
      </c>
      <c r="K1078" s="16" t="str">
        <f aca="false">IF(AND(Eingabe!$F$14&gt;0,Eingabe!$E$14&gt;=60),"1. Gerät: 10."&amp;Eingabe!$D$14&amp;".60.10, 2. Gerät: .11","")</f>
        <v/>
      </c>
    </row>
    <row r="1079" customFormat="false" ht="15" hidden="false" customHeight="false" outlineLevel="0" collapsed="false">
      <c r="A1079" s="16" t="str">
        <f aca="false">IF(AND(Eingabe!$F$14&gt;0,Eingabe!$E$14&gt;=61),6,"")</f>
        <v/>
      </c>
      <c r="B1079" s="16" t="str">
        <f aca="false">IF(AND(Eingabe!$F$14&gt;0,Eingabe!$E$14&gt;=61),Eingabe!$B$14,"")</f>
        <v/>
      </c>
      <c r="C1079" s="16" t="str">
        <f aca="false">IF(AND(Eingabe!$F$14&gt;0,Eingabe!$E$14&gt;=61),Eingabe!$C$14&amp;"-Paz."&amp;TEXT(61,"000"),"")</f>
        <v/>
      </c>
      <c r="D1079" s="16" t="str">
        <f aca="false">IF(AND(Eingabe!$F$14&gt;0,Eingabe!$E$14&gt;=61),61,"")</f>
        <v/>
      </c>
      <c r="E1079" s="16" t="str">
        <f aca="false">IF(AND(Eingabe!$F$14&gt;0,Eingabe!$E$14&gt;=61),IF((Eingabe!$G$14)&lt;=9,1000+(Eingabe!$G$14)*100,3000)+61,"")</f>
        <v/>
      </c>
      <c r="F1079" s="16" t="str">
        <f aca="false">IF(AND(Eingabe!$F$14&gt;0,Eingabe!$E$14&gt;=61),"10."&amp;Eingabe!$D$14&amp;".61.0/24","")</f>
        <v/>
      </c>
      <c r="G1079" s="16" t="str">
        <f aca="false">IF(AND(Eingabe!$F$14&gt;0,Eingabe!$E$14&gt;=61),"10."&amp;Eingabe!$D$14&amp;".61.1","")</f>
        <v/>
      </c>
      <c r="H1079" s="16" t="str">
        <f aca="false">IF(AND(Eingabe!$F$14&gt;0,Eingabe!$E$14&gt;=61),"10."&amp;Eingabe!$D$14&amp;".61.10 – 10."&amp;Eingabe!$D$14&amp;".61.250","")</f>
        <v/>
      </c>
      <c r="I1079" s="16" t="str">
        <f aca="false">IF(AND(Eingabe!$F$14&gt;0,Eingabe!$E$14&gt;=61),Eingabe!$B$6&amp;"-"&amp;Eingabe!$C$14&amp;"-Pächter","")</f>
        <v/>
      </c>
      <c r="J1079" s="16" t="str">
        <f aca="false">IF(AND(Eingabe!$F$14&gt;0,Eingabe!$E$14&gt;=61),"PPSK: Passwort Parzelle 61","")</f>
        <v/>
      </c>
      <c r="K1079" s="16" t="str">
        <f aca="false">IF(AND(Eingabe!$F$14&gt;0,Eingabe!$E$14&gt;=61),"1. Gerät: 10."&amp;Eingabe!$D$14&amp;".61.10, 2. Gerät: .11","")</f>
        <v/>
      </c>
    </row>
    <row r="1080" customFormat="false" ht="15" hidden="false" customHeight="false" outlineLevel="0" collapsed="false">
      <c r="A1080" s="16" t="str">
        <f aca="false">IF(AND(Eingabe!$F$14&gt;0,Eingabe!$E$14&gt;=62),6,"")</f>
        <v/>
      </c>
      <c r="B1080" s="16" t="str">
        <f aca="false">IF(AND(Eingabe!$F$14&gt;0,Eingabe!$E$14&gt;=62),Eingabe!$B$14,"")</f>
        <v/>
      </c>
      <c r="C1080" s="16" t="str">
        <f aca="false">IF(AND(Eingabe!$F$14&gt;0,Eingabe!$E$14&gt;=62),Eingabe!$C$14&amp;"-Paz."&amp;TEXT(62,"000"),"")</f>
        <v/>
      </c>
      <c r="D1080" s="16" t="str">
        <f aca="false">IF(AND(Eingabe!$F$14&gt;0,Eingabe!$E$14&gt;=62),62,"")</f>
        <v/>
      </c>
      <c r="E1080" s="16" t="str">
        <f aca="false">IF(AND(Eingabe!$F$14&gt;0,Eingabe!$E$14&gt;=62),IF((Eingabe!$G$14)&lt;=9,1000+(Eingabe!$G$14)*100,3000)+62,"")</f>
        <v/>
      </c>
      <c r="F1080" s="16" t="str">
        <f aca="false">IF(AND(Eingabe!$F$14&gt;0,Eingabe!$E$14&gt;=62),"10."&amp;Eingabe!$D$14&amp;".62.0/24","")</f>
        <v/>
      </c>
      <c r="G1080" s="16" t="str">
        <f aca="false">IF(AND(Eingabe!$F$14&gt;0,Eingabe!$E$14&gt;=62),"10."&amp;Eingabe!$D$14&amp;".62.1","")</f>
        <v/>
      </c>
      <c r="H1080" s="16" t="str">
        <f aca="false">IF(AND(Eingabe!$F$14&gt;0,Eingabe!$E$14&gt;=62),"10."&amp;Eingabe!$D$14&amp;".62.10 – 10."&amp;Eingabe!$D$14&amp;".62.250","")</f>
        <v/>
      </c>
      <c r="I1080" s="16" t="str">
        <f aca="false">IF(AND(Eingabe!$F$14&gt;0,Eingabe!$E$14&gt;=62),Eingabe!$B$6&amp;"-"&amp;Eingabe!$C$14&amp;"-Pächter","")</f>
        <v/>
      </c>
      <c r="J1080" s="16" t="str">
        <f aca="false">IF(AND(Eingabe!$F$14&gt;0,Eingabe!$E$14&gt;=62),"PPSK: Passwort Parzelle 62","")</f>
        <v/>
      </c>
      <c r="K1080" s="16" t="str">
        <f aca="false">IF(AND(Eingabe!$F$14&gt;0,Eingabe!$E$14&gt;=62),"1. Gerät: 10."&amp;Eingabe!$D$14&amp;".62.10, 2. Gerät: .11","")</f>
        <v/>
      </c>
    </row>
    <row r="1081" customFormat="false" ht="15" hidden="false" customHeight="false" outlineLevel="0" collapsed="false">
      <c r="A1081" s="16" t="str">
        <f aca="false">IF(AND(Eingabe!$F$14&gt;0,Eingabe!$E$14&gt;=63),6,"")</f>
        <v/>
      </c>
      <c r="B1081" s="16" t="str">
        <f aca="false">IF(AND(Eingabe!$F$14&gt;0,Eingabe!$E$14&gt;=63),Eingabe!$B$14,"")</f>
        <v/>
      </c>
      <c r="C1081" s="16" t="str">
        <f aca="false">IF(AND(Eingabe!$F$14&gt;0,Eingabe!$E$14&gt;=63),Eingabe!$C$14&amp;"-Paz."&amp;TEXT(63,"000"),"")</f>
        <v/>
      </c>
      <c r="D1081" s="16" t="str">
        <f aca="false">IF(AND(Eingabe!$F$14&gt;0,Eingabe!$E$14&gt;=63),63,"")</f>
        <v/>
      </c>
      <c r="E1081" s="16" t="str">
        <f aca="false">IF(AND(Eingabe!$F$14&gt;0,Eingabe!$E$14&gt;=63),IF((Eingabe!$G$14)&lt;=9,1000+(Eingabe!$G$14)*100,3000)+63,"")</f>
        <v/>
      </c>
      <c r="F1081" s="16" t="str">
        <f aca="false">IF(AND(Eingabe!$F$14&gt;0,Eingabe!$E$14&gt;=63),"10."&amp;Eingabe!$D$14&amp;".63.0/24","")</f>
        <v/>
      </c>
      <c r="G1081" s="16" t="str">
        <f aca="false">IF(AND(Eingabe!$F$14&gt;0,Eingabe!$E$14&gt;=63),"10."&amp;Eingabe!$D$14&amp;".63.1","")</f>
        <v/>
      </c>
      <c r="H1081" s="16" t="str">
        <f aca="false">IF(AND(Eingabe!$F$14&gt;0,Eingabe!$E$14&gt;=63),"10."&amp;Eingabe!$D$14&amp;".63.10 – 10."&amp;Eingabe!$D$14&amp;".63.250","")</f>
        <v/>
      </c>
      <c r="I1081" s="16" t="str">
        <f aca="false">IF(AND(Eingabe!$F$14&gt;0,Eingabe!$E$14&gt;=63),Eingabe!$B$6&amp;"-"&amp;Eingabe!$C$14&amp;"-Pächter","")</f>
        <v/>
      </c>
      <c r="J1081" s="16" t="str">
        <f aca="false">IF(AND(Eingabe!$F$14&gt;0,Eingabe!$E$14&gt;=63),"PPSK: Passwort Parzelle 63","")</f>
        <v/>
      </c>
      <c r="K1081" s="16" t="str">
        <f aca="false">IF(AND(Eingabe!$F$14&gt;0,Eingabe!$E$14&gt;=63),"1. Gerät: 10."&amp;Eingabe!$D$14&amp;".63.10, 2. Gerät: .11","")</f>
        <v/>
      </c>
    </row>
    <row r="1082" customFormat="false" ht="15" hidden="false" customHeight="false" outlineLevel="0" collapsed="false">
      <c r="A1082" s="16" t="str">
        <f aca="false">IF(AND(Eingabe!$F$14&gt;0,Eingabe!$E$14&gt;=64),6,"")</f>
        <v/>
      </c>
      <c r="B1082" s="16" t="str">
        <f aca="false">IF(AND(Eingabe!$F$14&gt;0,Eingabe!$E$14&gt;=64),Eingabe!$B$14,"")</f>
        <v/>
      </c>
      <c r="C1082" s="16" t="str">
        <f aca="false">IF(AND(Eingabe!$F$14&gt;0,Eingabe!$E$14&gt;=64),Eingabe!$C$14&amp;"-Paz."&amp;TEXT(64,"000"),"")</f>
        <v/>
      </c>
      <c r="D1082" s="16" t="str">
        <f aca="false">IF(AND(Eingabe!$F$14&gt;0,Eingabe!$E$14&gt;=64),64,"")</f>
        <v/>
      </c>
      <c r="E1082" s="16" t="str">
        <f aca="false">IF(AND(Eingabe!$F$14&gt;0,Eingabe!$E$14&gt;=64),IF((Eingabe!$G$14)&lt;=9,1000+(Eingabe!$G$14)*100,3000)+64,"")</f>
        <v/>
      </c>
      <c r="F1082" s="16" t="str">
        <f aca="false">IF(AND(Eingabe!$F$14&gt;0,Eingabe!$E$14&gt;=64),"10."&amp;Eingabe!$D$14&amp;".64.0/24","")</f>
        <v/>
      </c>
      <c r="G1082" s="16" t="str">
        <f aca="false">IF(AND(Eingabe!$F$14&gt;0,Eingabe!$E$14&gt;=64),"10."&amp;Eingabe!$D$14&amp;".64.1","")</f>
        <v/>
      </c>
      <c r="H1082" s="16" t="str">
        <f aca="false">IF(AND(Eingabe!$F$14&gt;0,Eingabe!$E$14&gt;=64),"10."&amp;Eingabe!$D$14&amp;".64.10 – 10."&amp;Eingabe!$D$14&amp;".64.250","")</f>
        <v/>
      </c>
      <c r="I1082" s="16" t="str">
        <f aca="false">IF(AND(Eingabe!$F$14&gt;0,Eingabe!$E$14&gt;=64),Eingabe!$B$6&amp;"-"&amp;Eingabe!$C$14&amp;"-Pächter","")</f>
        <v/>
      </c>
      <c r="J1082" s="16" t="str">
        <f aca="false">IF(AND(Eingabe!$F$14&gt;0,Eingabe!$E$14&gt;=64),"PPSK: Passwort Parzelle 64","")</f>
        <v/>
      </c>
      <c r="K1082" s="16" t="str">
        <f aca="false">IF(AND(Eingabe!$F$14&gt;0,Eingabe!$E$14&gt;=64),"1. Gerät: 10."&amp;Eingabe!$D$14&amp;".64.10, 2. Gerät: .11","")</f>
        <v/>
      </c>
    </row>
    <row r="1083" customFormat="false" ht="15" hidden="false" customHeight="false" outlineLevel="0" collapsed="false">
      <c r="A1083" s="16" t="str">
        <f aca="false">IF(AND(Eingabe!$F$14&gt;0,Eingabe!$E$14&gt;=65),6,"")</f>
        <v/>
      </c>
      <c r="B1083" s="16" t="str">
        <f aca="false">IF(AND(Eingabe!$F$14&gt;0,Eingabe!$E$14&gt;=65),Eingabe!$B$14,"")</f>
        <v/>
      </c>
      <c r="C1083" s="16" t="str">
        <f aca="false">IF(AND(Eingabe!$F$14&gt;0,Eingabe!$E$14&gt;=65),Eingabe!$C$14&amp;"-Paz."&amp;TEXT(65,"000"),"")</f>
        <v/>
      </c>
      <c r="D1083" s="16" t="str">
        <f aca="false">IF(AND(Eingabe!$F$14&gt;0,Eingabe!$E$14&gt;=65),65,"")</f>
        <v/>
      </c>
      <c r="E1083" s="16" t="str">
        <f aca="false">IF(AND(Eingabe!$F$14&gt;0,Eingabe!$E$14&gt;=65),IF((Eingabe!$G$14)&lt;=9,1000+(Eingabe!$G$14)*100,3000)+65,"")</f>
        <v/>
      </c>
      <c r="F1083" s="16" t="str">
        <f aca="false">IF(AND(Eingabe!$F$14&gt;0,Eingabe!$E$14&gt;=65),"10."&amp;Eingabe!$D$14&amp;".65.0/24","")</f>
        <v/>
      </c>
      <c r="G1083" s="16" t="str">
        <f aca="false">IF(AND(Eingabe!$F$14&gt;0,Eingabe!$E$14&gt;=65),"10."&amp;Eingabe!$D$14&amp;".65.1","")</f>
        <v/>
      </c>
      <c r="H1083" s="16" t="str">
        <f aca="false">IF(AND(Eingabe!$F$14&gt;0,Eingabe!$E$14&gt;=65),"10."&amp;Eingabe!$D$14&amp;".65.10 – 10."&amp;Eingabe!$D$14&amp;".65.250","")</f>
        <v/>
      </c>
      <c r="I1083" s="16" t="str">
        <f aca="false">IF(AND(Eingabe!$F$14&gt;0,Eingabe!$E$14&gt;=65),Eingabe!$B$6&amp;"-"&amp;Eingabe!$C$14&amp;"-Pächter","")</f>
        <v/>
      </c>
      <c r="J1083" s="16" t="str">
        <f aca="false">IF(AND(Eingabe!$F$14&gt;0,Eingabe!$E$14&gt;=65),"PPSK: Passwort Parzelle 65","")</f>
        <v/>
      </c>
      <c r="K1083" s="16" t="str">
        <f aca="false">IF(AND(Eingabe!$F$14&gt;0,Eingabe!$E$14&gt;=65),"1. Gerät: 10."&amp;Eingabe!$D$14&amp;".65.10, 2. Gerät: .11","")</f>
        <v/>
      </c>
    </row>
    <row r="1084" customFormat="false" ht="15" hidden="false" customHeight="false" outlineLevel="0" collapsed="false">
      <c r="A1084" s="16" t="str">
        <f aca="false">IF(AND(Eingabe!$F$14&gt;0,Eingabe!$E$14&gt;=66),6,"")</f>
        <v/>
      </c>
      <c r="B1084" s="16" t="str">
        <f aca="false">IF(AND(Eingabe!$F$14&gt;0,Eingabe!$E$14&gt;=66),Eingabe!$B$14,"")</f>
        <v/>
      </c>
      <c r="C1084" s="16" t="str">
        <f aca="false">IF(AND(Eingabe!$F$14&gt;0,Eingabe!$E$14&gt;=66),Eingabe!$C$14&amp;"-Paz."&amp;TEXT(66,"000"),"")</f>
        <v/>
      </c>
      <c r="D1084" s="16" t="str">
        <f aca="false">IF(AND(Eingabe!$F$14&gt;0,Eingabe!$E$14&gt;=66),66,"")</f>
        <v/>
      </c>
      <c r="E1084" s="16" t="str">
        <f aca="false">IF(AND(Eingabe!$F$14&gt;0,Eingabe!$E$14&gt;=66),IF((Eingabe!$G$14)&lt;=9,1000+(Eingabe!$G$14)*100,3000)+66,"")</f>
        <v/>
      </c>
      <c r="F1084" s="16" t="str">
        <f aca="false">IF(AND(Eingabe!$F$14&gt;0,Eingabe!$E$14&gt;=66),"10."&amp;Eingabe!$D$14&amp;".66.0/24","")</f>
        <v/>
      </c>
      <c r="G1084" s="16" t="str">
        <f aca="false">IF(AND(Eingabe!$F$14&gt;0,Eingabe!$E$14&gt;=66),"10."&amp;Eingabe!$D$14&amp;".66.1","")</f>
        <v/>
      </c>
      <c r="H1084" s="16" t="str">
        <f aca="false">IF(AND(Eingabe!$F$14&gt;0,Eingabe!$E$14&gt;=66),"10."&amp;Eingabe!$D$14&amp;".66.10 – 10."&amp;Eingabe!$D$14&amp;".66.250","")</f>
        <v/>
      </c>
      <c r="I1084" s="16" t="str">
        <f aca="false">IF(AND(Eingabe!$F$14&gt;0,Eingabe!$E$14&gt;=66),Eingabe!$B$6&amp;"-"&amp;Eingabe!$C$14&amp;"-Pächter","")</f>
        <v/>
      </c>
      <c r="J1084" s="16" t="str">
        <f aca="false">IF(AND(Eingabe!$F$14&gt;0,Eingabe!$E$14&gt;=66),"PPSK: Passwort Parzelle 66","")</f>
        <v/>
      </c>
      <c r="K1084" s="16" t="str">
        <f aca="false">IF(AND(Eingabe!$F$14&gt;0,Eingabe!$E$14&gt;=66),"1. Gerät: 10."&amp;Eingabe!$D$14&amp;".66.10, 2. Gerät: .11","")</f>
        <v/>
      </c>
    </row>
    <row r="1085" customFormat="false" ht="15" hidden="false" customHeight="false" outlineLevel="0" collapsed="false">
      <c r="A1085" s="16" t="str">
        <f aca="false">IF(AND(Eingabe!$F$14&gt;0,Eingabe!$E$14&gt;=67),6,"")</f>
        <v/>
      </c>
      <c r="B1085" s="16" t="str">
        <f aca="false">IF(AND(Eingabe!$F$14&gt;0,Eingabe!$E$14&gt;=67),Eingabe!$B$14,"")</f>
        <v/>
      </c>
      <c r="C1085" s="16" t="str">
        <f aca="false">IF(AND(Eingabe!$F$14&gt;0,Eingabe!$E$14&gt;=67),Eingabe!$C$14&amp;"-Paz."&amp;TEXT(67,"000"),"")</f>
        <v/>
      </c>
      <c r="D1085" s="16" t="str">
        <f aca="false">IF(AND(Eingabe!$F$14&gt;0,Eingabe!$E$14&gt;=67),67,"")</f>
        <v/>
      </c>
      <c r="E1085" s="16" t="str">
        <f aca="false">IF(AND(Eingabe!$F$14&gt;0,Eingabe!$E$14&gt;=67),IF((Eingabe!$G$14)&lt;=9,1000+(Eingabe!$G$14)*100,3000)+67,"")</f>
        <v/>
      </c>
      <c r="F1085" s="16" t="str">
        <f aca="false">IF(AND(Eingabe!$F$14&gt;0,Eingabe!$E$14&gt;=67),"10."&amp;Eingabe!$D$14&amp;".67.0/24","")</f>
        <v/>
      </c>
      <c r="G1085" s="16" t="str">
        <f aca="false">IF(AND(Eingabe!$F$14&gt;0,Eingabe!$E$14&gt;=67),"10."&amp;Eingabe!$D$14&amp;".67.1","")</f>
        <v/>
      </c>
      <c r="H1085" s="16" t="str">
        <f aca="false">IF(AND(Eingabe!$F$14&gt;0,Eingabe!$E$14&gt;=67),"10."&amp;Eingabe!$D$14&amp;".67.10 – 10."&amp;Eingabe!$D$14&amp;".67.250","")</f>
        <v/>
      </c>
      <c r="I1085" s="16" t="str">
        <f aca="false">IF(AND(Eingabe!$F$14&gt;0,Eingabe!$E$14&gt;=67),Eingabe!$B$6&amp;"-"&amp;Eingabe!$C$14&amp;"-Pächter","")</f>
        <v/>
      </c>
      <c r="J1085" s="16" t="str">
        <f aca="false">IF(AND(Eingabe!$F$14&gt;0,Eingabe!$E$14&gt;=67),"PPSK: Passwort Parzelle 67","")</f>
        <v/>
      </c>
      <c r="K1085" s="16" t="str">
        <f aca="false">IF(AND(Eingabe!$F$14&gt;0,Eingabe!$E$14&gt;=67),"1. Gerät: 10."&amp;Eingabe!$D$14&amp;".67.10, 2. Gerät: .11","")</f>
        <v/>
      </c>
    </row>
    <row r="1086" customFormat="false" ht="15" hidden="false" customHeight="false" outlineLevel="0" collapsed="false">
      <c r="A1086" s="16" t="str">
        <f aca="false">IF(AND(Eingabe!$F$14&gt;0,Eingabe!$E$14&gt;=68),6,"")</f>
        <v/>
      </c>
      <c r="B1086" s="16" t="str">
        <f aca="false">IF(AND(Eingabe!$F$14&gt;0,Eingabe!$E$14&gt;=68),Eingabe!$B$14,"")</f>
        <v/>
      </c>
      <c r="C1086" s="16" t="str">
        <f aca="false">IF(AND(Eingabe!$F$14&gt;0,Eingabe!$E$14&gt;=68),Eingabe!$C$14&amp;"-Paz."&amp;TEXT(68,"000"),"")</f>
        <v/>
      </c>
      <c r="D1086" s="16" t="str">
        <f aca="false">IF(AND(Eingabe!$F$14&gt;0,Eingabe!$E$14&gt;=68),68,"")</f>
        <v/>
      </c>
      <c r="E1086" s="16" t="str">
        <f aca="false">IF(AND(Eingabe!$F$14&gt;0,Eingabe!$E$14&gt;=68),IF((Eingabe!$G$14)&lt;=9,1000+(Eingabe!$G$14)*100,3000)+68,"")</f>
        <v/>
      </c>
      <c r="F1086" s="16" t="str">
        <f aca="false">IF(AND(Eingabe!$F$14&gt;0,Eingabe!$E$14&gt;=68),"10."&amp;Eingabe!$D$14&amp;".68.0/24","")</f>
        <v/>
      </c>
      <c r="G1086" s="16" t="str">
        <f aca="false">IF(AND(Eingabe!$F$14&gt;0,Eingabe!$E$14&gt;=68),"10."&amp;Eingabe!$D$14&amp;".68.1","")</f>
        <v/>
      </c>
      <c r="H1086" s="16" t="str">
        <f aca="false">IF(AND(Eingabe!$F$14&gt;0,Eingabe!$E$14&gt;=68),"10."&amp;Eingabe!$D$14&amp;".68.10 – 10."&amp;Eingabe!$D$14&amp;".68.250","")</f>
        <v/>
      </c>
      <c r="I1086" s="16" t="str">
        <f aca="false">IF(AND(Eingabe!$F$14&gt;0,Eingabe!$E$14&gt;=68),Eingabe!$B$6&amp;"-"&amp;Eingabe!$C$14&amp;"-Pächter","")</f>
        <v/>
      </c>
      <c r="J1086" s="16" t="str">
        <f aca="false">IF(AND(Eingabe!$F$14&gt;0,Eingabe!$E$14&gt;=68),"PPSK: Passwort Parzelle 68","")</f>
        <v/>
      </c>
      <c r="K1086" s="16" t="str">
        <f aca="false">IF(AND(Eingabe!$F$14&gt;0,Eingabe!$E$14&gt;=68),"1. Gerät: 10."&amp;Eingabe!$D$14&amp;".68.10, 2. Gerät: .11","")</f>
        <v/>
      </c>
    </row>
    <row r="1087" customFormat="false" ht="15" hidden="false" customHeight="false" outlineLevel="0" collapsed="false">
      <c r="A1087" s="16" t="str">
        <f aca="false">IF(AND(Eingabe!$F$14&gt;0,Eingabe!$E$14&gt;=69),6,"")</f>
        <v/>
      </c>
      <c r="B1087" s="16" t="str">
        <f aca="false">IF(AND(Eingabe!$F$14&gt;0,Eingabe!$E$14&gt;=69),Eingabe!$B$14,"")</f>
        <v/>
      </c>
      <c r="C1087" s="16" t="str">
        <f aca="false">IF(AND(Eingabe!$F$14&gt;0,Eingabe!$E$14&gt;=69),Eingabe!$C$14&amp;"-Paz."&amp;TEXT(69,"000"),"")</f>
        <v/>
      </c>
      <c r="D1087" s="16" t="str">
        <f aca="false">IF(AND(Eingabe!$F$14&gt;0,Eingabe!$E$14&gt;=69),69,"")</f>
        <v/>
      </c>
      <c r="E1087" s="16" t="str">
        <f aca="false">IF(AND(Eingabe!$F$14&gt;0,Eingabe!$E$14&gt;=69),IF((Eingabe!$G$14)&lt;=9,1000+(Eingabe!$G$14)*100,3000)+69,"")</f>
        <v/>
      </c>
      <c r="F1087" s="16" t="str">
        <f aca="false">IF(AND(Eingabe!$F$14&gt;0,Eingabe!$E$14&gt;=69),"10."&amp;Eingabe!$D$14&amp;".69.0/24","")</f>
        <v/>
      </c>
      <c r="G1087" s="16" t="str">
        <f aca="false">IF(AND(Eingabe!$F$14&gt;0,Eingabe!$E$14&gt;=69),"10."&amp;Eingabe!$D$14&amp;".69.1","")</f>
        <v/>
      </c>
      <c r="H1087" s="16" t="str">
        <f aca="false">IF(AND(Eingabe!$F$14&gt;0,Eingabe!$E$14&gt;=69),"10."&amp;Eingabe!$D$14&amp;".69.10 – 10."&amp;Eingabe!$D$14&amp;".69.250","")</f>
        <v/>
      </c>
      <c r="I1087" s="16" t="str">
        <f aca="false">IF(AND(Eingabe!$F$14&gt;0,Eingabe!$E$14&gt;=69),Eingabe!$B$6&amp;"-"&amp;Eingabe!$C$14&amp;"-Pächter","")</f>
        <v/>
      </c>
      <c r="J1087" s="16" t="str">
        <f aca="false">IF(AND(Eingabe!$F$14&gt;0,Eingabe!$E$14&gt;=69),"PPSK: Passwort Parzelle 69","")</f>
        <v/>
      </c>
      <c r="K1087" s="16" t="str">
        <f aca="false">IF(AND(Eingabe!$F$14&gt;0,Eingabe!$E$14&gt;=69),"1. Gerät: 10."&amp;Eingabe!$D$14&amp;".69.10, 2. Gerät: .11","")</f>
        <v/>
      </c>
    </row>
    <row r="1088" customFormat="false" ht="15" hidden="false" customHeight="false" outlineLevel="0" collapsed="false">
      <c r="A1088" s="16" t="str">
        <f aca="false">IF(AND(Eingabe!$F$14&gt;0,Eingabe!$E$14&gt;=70),6,"")</f>
        <v/>
      </c>
      <c r="B1088" s="16" t="str">
        <f aca="false">IF(AND(Eingabe!$F$14&gt;0,Eingabe!$E$14&gt;=70),Eingabe!$B$14,"")</f>
        <v/>
      </c>
      <c r="C1088" s="16" t="str">
        <f aca="false">IF(AND(Eingabe!$F$14&gt;0,Eingabe!$E$14&gt;=70),Eingabe!$C$14&amp;"-Paz."&amp;TEXT(70,"000"),"")</f>
        <v/>
      </c>
      <c r="D1088" s="16" t="str">
        <f aca="false">IF(AND(Eingabe!$F$14&gt;0,Eingabe!$E$14&gt;=70),70,"")</f>
        <v/>
      </c>
      <c r="E1088" s="16" t="str">
        <f aca="false">IF(AND(Eingabe!$F$14&gt;0,Eingabe!$E$14&gt;=70),IF((Eingabe!$G$14)&lt;=9,1000+(Eingabe!$G$14)*100,3000)+70,"")</f>
        <v/>
      </c>
      <c r="F1088" s="16" t="str">
        <f aca="false">IF(AND(Eingabe!$F$14&gt;0,Eingabe!$E$14&gt;=70),"10."&amp;Eingabe!$D$14&amp;".70.0/24","")</f>
        <v/>
      </c>
      <c r="G1088" s="16" t="str">
        <f aca="false">IF(AND(Eingabe!$F$14&gt;0,Eingabe!$E$14&gt;=70),"10."&amp;Eingabe!$D$14&amp;".70.1","")</f>
        <v/>
      </c>
      <c r="H1088" s="16" t="str">
        <f aca="false">IF(AND(Eingabe!$F$14&gt;0,Eingabe!$E$14&gt;=70),"10."&amp;Eingabe!$D$14&amp;".70.10 – 10."&amp;Eingabe!$D$14&amp;".70.250","")</f>
        <v/>
      </c>
      <c r="I1088" s="16" t="str">
        <f aca="false">IF(AND(Eingabe!$F$14&gt;0,Eingabe!$E$14&gt;=70),Eingabe!$B$6&amp;"-"&amp;Eingabe!$C$14&amp;"-Pächter","")</f>
        <v/>
      </c>
      <c r="J1088" s="16" t="str">
        <f aca="false">IF(AND(Eingabe!$F$14&gt;0,Eingabe!$E$14&gt;=70),"PPSK: Passwort Parzelle 70","")</f>
        <v/>
      </c>
      <c r="K1088" s="16" t="str">
        <f aca="false">IF(AND(Eingabe!$F$14&gt;0,Eingabe!$E$14&gt;=70),"1. Gerät: 10."&amp;Eingabe!$D$14&amp;".70.10, 2. Gerät: .11","")</f>
        <v/>
      </c>
    </row>
    <row r="1089" customFormat="false" ht="15" hidden="false" customHeight="false" outlineLevel="0" collapsed="false">
      <c r="A1089" s="16" t="str">
        <f aca="false">IF(AND(Eingabe!$F$14&gt;0,Eingabe!$E$14&gt;=71),6,"")</f>
        <v/>
      </c>
      <c r="B1089" s="16" t="str">
        <f aca="false">IF(AND(Eingabe!$F$14&gt;0,Eingabe!$E$14&gt;=71),Eingabe!$B$14,"")</f>
        <v/>
      </c>
      <c r="C1089" s="16" t="str">
        <f aca="false">IF(AND(Eingabe!$F$14&gt;0,Eingabe!$E$14&gt;=71),Eingabe!$C$14&amp;"-Paz."&amp;TEXT(71,"000"),"")</f>
        <v/>
      </c>
      <c r="D1089" s="16" t="str">
        <f aca="false">IF(AND(Eingabe!$F$14&gt;0,Eingabe!$E$14&gt;=71),71,"")</f>
        <v/>
      </c>
      <c r="E1089" s="16" t="str">
        <f aca="false">IF(AND(Eingabe!$F$14&gt;0,Eingabe!$E$14&gt;=71),IF((Eingabe!$G$14)&lt;=9,1000+(Eingabe!$G$14)*100,3000)+71,"")</f>
        <v/>
      </c>
      <c r="F1089" s="16" t="str">
        <f aca="false">IF(AND(Eingabe!$F$14&gt;0,Eingabe!$E$14&gt;=71),"10."&amp;Eingabe!$D$14&amp;".71.0/24","")</f>
        <v/>
      </c>
      <c r="G1089" s="16" t="str">
        <f aca="false">IF(AND(Eingabe!$F$14&gt;0,Eingabe!$E$14&gt;=71),"10."&amp;Eingabe!$D$14&amp;".71.1","")</f>
        <v/>
      </c>
      <c r="H1089" s="16" t="str">
        <f aca="false">IF(AND(Eingabe!$F$14&gt;0,Eingabe!$E$14&gt;=71),"10."&amp;Eingabe!$D$14&amp;".71.10 – 10."&amp;Eingabe!$D$14&amp;".71.250","")</f>
        <v/>
      </c>
      <c r="I1089" s="16" t="str">
        <f aca="false">IF(AND(Eingabe!$F$14&gt;0,Eingabe!$E$14&gt;=71),Eingabe!$B$6&amp;"-"&amp;Eingabe!$C$14&amp;"-Pächter","")</f>
        <v/>
      </c>
      <c r="J1089" s="16" t="str">
        <f aca="false">IF(AND(Eingabe!$F$14&gt;0,Eingabe!$E$14&gt;=71),"PPSK: Passwort Parzelle 71","")</f>
        <v/>
      </c>
      <c r="K1089" s="16" t="str">
        <f aca="false">IF(AND(Eingabe!$F$14&gt;0,Eingabe!$E$14&gt;=71),"1. Gerät: 10."&amp;Eingabe!$D$14&amp;".71.10, 2. Gerät: .11","")</f>
        <v/>
      </c>
    </row>
    <row r="1090" customFormat="false" ht="15" hidden="false" customHeight="false" outlineLevel="0" collapsed="false">
      <c r="A1090" s="16" t="str">
        <f aca="false">IF(AND(Eingabe!$F$14&gt;0,Eingabe!$E$14&gt;=72),6,"")</f>
        <v/>
      </c>
      <c r="B1090" s="16" t="str">
        <f aca="false">IF(AND(Eingabe!$F$14&gt;0,Eingabe!$E$14&gt;=72),Eingabe!$B$14,"")</f>
        <v/>
      </c>
      <c r="C1090" s="16" t="str">
        <f aca="false">IF(AND(Eingabe!$F$14&gt;0,Eingabe!$E$14&gt;=72),Eingabe!$C$14&amp;"-Paz."&amp;TEXT(72,"000"),"")</f>
        <v/>
      </c>
      <c r="D1090" s="16" t="str">
        <f aca="false">IF(AND(Eingabe!$F$14&gt;0,Eingabe!$E$14&gt;=72),72,"")</f>
        <v/>
      </c>
      <c r="E1090" s="16" t="str">
        <f aca="false">IF(AND(Eingabe!$F$14&gt;0,Eingabe!$E$14&gt;=72),IF((Eingabe!$G$14)&lt;=9,1000+(Eingabe!$G$14)*100,3000)+72,"")</f>
        <v/>
      </c>
      <c r="F1090" s="16" t="str">
        <f aca="false">IF(AND(Eingabe!$F$14&gt;0,Eingabe!$E$14&gt;=72),"10."&amp;Eingabe!$D$14&amp;".72.0/24","")</f>
        <v/>
      </c>
      <c r="G1090" s="16" t="str">
        <f aca="false">IF(AND(Eingabe!$F$14&gt;0,Eingabe!$E$14&gt;=72),"10."&amp;Eingabe!$D$14&amp;".72.1","")</f>
        <v/>
      </c>
      <c r="H1090" s="16" t="str">
        <f aca="false">IF(AND(Eingabe!$F$14&gt;0,Eingabe!$E$14&gt;=72),"10."&amp;Eingabe!$D$14&amp;".72.10 – 10."&amp;Eingabe!$D$14&amp;".72.250","")</f>
        <v/>
      </c>
      <c r="I1090" s="16" t="str">
        <f aca="false">IF(AND(Eingabe!$F$14&gt;0,Eingabe!$E$14&gt;=72),Eingabe!$B$6&amp;"-"&amp;Eingabe!$C$14&amp;"-Pächter","")</f>
        <v/>
      </c>
      <c r="J1090" s="16" t="str">
        <f aca="false">IF(AND(Eingabe!$F$14&gt;0,Eingabe!$E$14&gt;=72),"PPSK: Passwort Parzelle 72","")</f>
        <v/>
      </c>
      <c r="K1090" s="16" t="str">
        <f aca="false">IF(AND(Eingabe!$F$14&gt;0,Eingabe!$E$14&gt;=72),"1. Gerät: 10."&amp;Eingabe!$D$14&amp;".72.10, 2. Gerät: .11","")</f>
        <v/>
      </c>
    </row>
    <row r="1091" customFormat="false" ht="15" hidden="false" customHeight="false" outlineLevel="0" collapsed="false">
      <c r="A1091" s="16" t="str">
        <f aca="false">IF(AND(Eingabe!$F$14&gt;0,Eingabe!$E$14&gt;=73),6,"")</f>
        <v/>
      </c>
      <c r="B1091" s="16" t="str">
        <f aca="false">IF(AND(Eingabe!$F$14&gt;0,Eingabe!$E$14&gt;=73),Eingabe!$B$14,"")</f>
        <v/>
      </c>
      <c r="C1091" s="16" t="str">
        <f aca="false">IF(AND(Eingabe!$F$14&gt;0,Eingabe!$E$14&gt;=73),Eingabe!$C$14&amp;"-Paz."&amp;TEXT(73,"000"),"")</f>
        <v/>
      </c>
      <c r="D1091" s="16" t="str">
        <f aca="false">IF(AND(Eingabe!$F$14&gt;0,Eingabe!$E$14&gt;=73),73,"")</f>
        <v/>
      </c>
      <c r="E1091" s="16" t="str">
        <f aca="false">IF(AND(Eingabe!$F$14&gt;0,Eingabe!$E$14&gt;=73),IF((Eingabe!$G$14)&lt;=9,1000+(Eingabe!$G$14)*100,3000)+73,"")</f>
        <v/>
      </c>
      <c r="F1091" s="16" t="str">
        <f aca="false">IF(AND(Eingabe!$F$14&gt;0,Eingabe!$E$14&gt;=73),"10."&amp;Eingabe!$D$14&amp;".73.0/24","")</f>
        <v/>
      </c>
      <c r="G1091" s="16" t="str">
        <f aca="false">IF(AND(Eingabe!$F$14&gt;0,Eingabe!$E$14&gt;=73),"10."&amp;Eingabe!$D$14&amp;".73.1","")</f>
        <v/>
      </c>
      <c r="H1091" s="16" t="str">
        <f aca="false">IF(AND(Eingabe!$F$14&gt;0,Eingabe!$E$14&gt;=73),"10."&amp;Eingabe!$D$14&amp;".73.10 – 10."&amp;Eingabe!$D$14&amp;".73.250","")</f>
        <v/>
      </c>
      <c r="I1091" s="16" t="str">
        <f aca="false">IF(AND(Eingabe!$F$14&gt;0,Eingabe!$E$14&gt;=73),Eingabe!$B$6&amp;"-"&amp;Eingabe!$C$14&amp;"-Pächter","")</f>
        <v/>
      </c>
      <c r="J1091" s="16" t="str">
        <f aca="false">IF(AND(Eingabe!$F$14&gt;0,Eingabe!$E$14&gt;=73),"PPSK: Passwort Parzelle 73","")</f>
        <v/>
      </c>
      <c r="K1091" s="16" t="str">
        <f aca="false">IF(AND(Eingabe!$F$14&gt;0,Eingabe!$E$14&gt;=73),"1. Gerät: 10."&amp;Eingabe!$D$14&amp;".73.10, 2. Gerät: .11","")</f>
        <v/>
      </c>
    </row>
    <row r="1092" customFormat="false" ht="15" hidden="false" customHeight="false" outlineLevel="0" collapsed="false">
      <c r="A1092" s="16" t="str">
        <f aca="false">IF(AND(Eingabe!$F$14&gt;0,Eingabe!$E$14&gt;=74),6,"")</f>
        <v/>
      </c>
      <c r="B1092" s="16" t="str">
        <f aca="false">IF(AND(Eingabe!$F$14&gt;0,Eingabe!$E$14&gt;=74),Eingabe!$B$14,"")</f>
        <v/>
      </c>
      <c r="C1092" s="16" t="str">
        <f aca="false">IF(AND(Eingabe!$F$14&gt;0,Eingabe!$E$14&gt;=74),Eingabe!$C$14&amp;"-Paz."&amp;TEXT(74,"000"),"")</f>
        <v/>
      </c>
      <c r="D1092" s="16" t="str">
        <f aca="false">IF(AND(Eingabe!$F$14&gt;0,Eingabe!$E$14&gt;=74),74,"")</f>
        <v/>
      </c>
      <c r="E1092" s="16" t="str">
        <f aca="false">IF(AND(Eingabe!$F$14&gt;0,Eingabe!$E$14&gt;=74),IF((Eingabe!$G$14)&lt;=9,1000+(Eingabe!$G$14)*100,3000)+74,"")</f>
        <v/>
      </c>
      <c r="F1092" s="16" t="str">
        <f aca="false">IF(AND(Eingabe!$F$14&gt;0,Eingabe!$E$14&gt;=74),"10."&amp;Eingabe!$D$14&amp;".74.0/24","")</f>
        <v/>
      </c>
      <c r="G1092" s="16" t="str">
        <f aca="false">IF(AND(Eingabe!$F$14&gt;0,Eingabe!$E$14&gt;=74),"10."&amp;Eingabe!$D$14&amp;".74.1","")</f>
        <v/>
      </c>
      <c r="H1092" s="16" t="str">
        <f aca="false">IF(AND(Eingabe!$F$14&gt;0,Eingabe!$E$14&gt;=74),"10."&amp;Eingabe!$D$14&amp;".74.10 – 10."&amp;Eingabe!$D$14&amp;".74.250","")</f>
        <v/>
      </c>
      <c r="I1092" s="16" t="str">
        <f aca="false">IF(AND(Eingabe!$F$14&gt;0,Eingabe!$E$14&gt;=74),Eingabe!$B$6&amp;"-"&amp;Eingabe!$C$14&amp;"-Pächter","")</f>
        <v/>
      </c>
      <c r="J1092" s="16" t="str">
        <f aca="false">IF(AND(Eingabe!$F$14&gt;0,Eingabe!$E$14&gt;=74),"PPSK: Passwort Parzelle 74","")</f>
        <v/>
      </c>
      <c r="K1092" s="16" t="str">
        <f aca="false">IF(AND(Eingabe!$F$14&gt;0,Eingabe!$E$14&gt;=74),"1. Gerät: 10."&amp;Eingabe!$D$14&amp;".74.10, 2. Gerät: .11","")</f>
        <v/>
      </c>
    </row>
    <row r="1093" customFormat="false" ht="15" hidden="false" customHeight="false" outlineLevel="0" collapsed="false">
      <c r="A1093" s="16" t="str">
        <f aca="false">IF(AND(Eingabe!$F$14&gt;0,Eingabe!$E$14&gt;=75),6,"")</f>
        <v/>
      </c>
      <c r="B1093" s="16" t="str">
        <f aca="false">IF(AND(Eingabe!$F$14&gt;0,Eingabe!$E$14&gt;=75),Eingabe!$B$14,"")</f>
        <v/>
      </c>
      <c r="C1093" s="16" t="str">
        <f aca="false">IF(AND(Eingabe!$F$14&gt;0,Eingabe!$E$14&gt;=75),Eingabe!$C$14&amp;"-Paz."&amp;TEXT(75,"000"),"")</f>
        <v/>
      </c>
      <c r="D1093" s="16" t="str">
        <f aca="false">IF(AND(Eingabe!$F$14&gt;0,Eingabe!$E$14&gt;=75),75,"")</f>
        <v/>
      </c>
      <c r="E1093" s="16" t="str">
        <f aca="false">IF(AND(Eingabe!$F$14&gt;0,Eingabe!$E$14&gt;=75),IF((Eingabe!$G$14)&lt;=9,1000+(Eingabe!$G$14)*100,3000)+75,"")</f>
        <v/>
      </c>
      <c r="F1093" s="16" t="str">
        <f aca="false">IF(AND(Eingabe!$F$14&gt;0,Eingabe!$E$14&gt;=75),"10."&amp;Eingabe!$D$14&amp;".75.0/24","")</f>
        <v/>
      </c>
      <c r="G1093" s="16" t="str">
        <f aca="false">IF(AND(Eingabe!$F$14&gt;0,Eingabe!$E$14&gt;=75),"10."&amp;Eingabe!$D$14&amp;".75.1","")</f>
        <v/>
      </c>
      <c r="H1093" s="16" t="str">
        <f aca="false">IF(AND(Eingabe!$F$14&gt;0,Eingabe!$E$14&gt;=75),"10."&amp;Eingabe!$D$14&amp;".75.10 – 10."&amp;Eingabe!$D$14&amp;".75.250","")</f>
        <v/>
      </c>
      <c r="I1093" s="16" t="str">
        <f aca="false">IF(AND(Eingabe!$F$14&gt;0,Eingabe!$E$14&gt;=75),Eingabe!$B$6&amp;"-"&amp;Eingabe!$C$14&amp;"-Pächter","")</f>
        <v/>
      </c>
      <c r="J1093" s="16" t="str">
        <f aca="false">IF(AND(Eingabe!$F$14&gt;0,Eingabe!$E$14&gt;=75),"PPSK: Passwort Parzelle 75","")</f>
        <v/>
      </c>
      <c r="K1093" s="16" t="str">
        <f aca="false">IF(AND(Eingabe!$F$14&gt;0,Eingabe!$E$14&gt;=75),"1. Gerät: 10."&amp;Eingabe!$D$14&amp;".75.10, 2. Gerät: .11","")</f>
        <v/>
      </c>
    </row>
    <row r="1094" customFormat="false" ht="15" hidden="false" customHeight="false" outlineLevel="0" collapsed="false">
      <c r="A1094" s="16" t="str">
        <f aca="false">IF(AND(Eingabe!$F$14&gt;0,Eingabe!$E$14&gt;=76),6,"")</f>
        <v/>
      </c>
      <c r="B1094" s="16" t="str">
        <f aca="false">IF(AND(Eingabe!$F$14&gt;0,Eingabe!$E$14&gt;=76),Eingabe!$B$14,"")</f>
        <v/>
      </c>
      <c r="C1094" s="16" t="str">
        <f aca="false">IF(AND(Eingabe!$F$14&gt;0,Eingabe!$E$14&gt;=76),Eingabe!$C$14&amp;"-Paz."&amp;TEXT(76,"000"),"")</f>
        <v/>
      </c>
      <c r="D1094" s="16" t="str">
        <f aca="false">IF(AND(Eingabe!$F$14&gt;0,Eingabe!$E$14&gt;=76),76,"")</f>
        <v/>
      </c>
      <c r="E1094" s="16" t="str">
        <f aca="false">IF(AND(Eingabe!$F$14&gt;0,Eingabe!$E$14&gt;=76),IF((Eingabe!$G$14)&lt;=9,1000+(Eingabe!$G$14)*100,3000)+76,"")</f>
        <v/>
      </c>
      <c r="F1094" s="16" t="str">
        <f aca="false">IF(AND(Eingabe!$F$14&gt;0,Eingabe!$E$14&gt;=76),"10."&amp;Eingabe!$D$14&amp;".76.0/24","")</f>
        <v/>
      </c>
      <c r="G1094" s="16" t="str">
        <f aca="false">IF(AND(Eingabe!$F$14&gt;0,Eingabe!$E$14&gt;=76),"10."&amp;Eingabe!$D$14&amp;".76.1","")</f>
        <v/>
      </c>
      <c r="H1094" s="16" t="str">
        <f aca="false">IF(AND(Eingabe!$F$14&gt;0,Eingabe!$E$14&gt;=76),"10."&amp;Eingabe!$D$14&amp;".76.10 – 10."&amp;Eingabe!$D$14&amp;".76.250","")</f>
        <v/>
      </c>
      <c r="I1094" s="16" t="str">
        <f aca="false">IF(AND(Eingabe!$F$14&gt;0,Eingabe!$E$14&gt;=76),Eingabe!$B$6&amp;"-"&amp;Eingabe!$C$14&amp;"-Pächter","")</f>
        <v/>
      </c>
      <c r="J1094" s="16" t="str">
        <f aca="false">IF(AND(Eingabe!$F$14&gt;0,Eingabe!$E$14&gt;=76),"PPSK: Passwort Parzelle 76","")</f>
        <v/>
      </c>
      <c r="K1094" s="16" t="str">
        <f aca="false">IF(AND(Eingabe!$F$14&gt;0,Eingabe!$E$14&gt;=76),"1. Gerät: 10."&amp;Eingabe!$D$14&amp;".76.10, 2. Gerät: .11","")</f>
        <v/>
      </c>
    </row>
    <row r="1095" customFormat="false" ht="15" hidden="false" customHeight="false" outlineLevel="0" collapsed="false">
      <c r="A1095" s="16" t="str">
        <f aca="false">IF(AND(Eingabe!$F$14&gt;0,Eingabe!$E$14&gt;=77),6,"")</f>
        <v/>
      </c>
      <c r="B1095" s="16" t="str">
        <f aca="false">IF(AND(Eingabe!$F$14&gt;0,Eingabe!$E$14&gt;=77),Eingabe!$B$14,"")</f>
        <v/>
      </c>
      <c r="C1095" s="16" t="str">
        <f aca="false">IF(AND(Eingabe!$F$14&gt;0,Eingabe!$E$14&gt;=77),Eingabe!$C$14&amp;"-Paz."&amp;TEXT(77,"000"),"")</f>
        <v/>
      </c>
      <c r="D1095" s="16" t="str">
        <f aca="false">IF(AND(Eingabe!$F$14&gt;0,Eingabe!$E$14&gt;=77),77,"")</f>
        <v/>
      </c>
      <c r="E1095" s="16" t="str">
        <f aca="false">IF(AND(Eingabe!$F$14&gt;0,Eingabe!$E$14&gt;=77),IF((Eingabe!$G$14)&lt;=9,1000+(Eingabe!$G$14)*100,3000)+77,"")</f>
        <v/>
      </c>
      <c r="F1095" s="16" t="str">
        <f aca="false">IF(AND(Eingabe!$F$14&gt;0,Eingabe!$E$14&gt;=77),"10."&amp;Eingabe!$D$14&amp;".77.0/24","")</f>
        <v/>
      </c>
      <c r="G1095" s="16" t="str">
        <f aca="false">IF(AND(Eingabe!$F$14&gt;0,Eingabe!$E$14&gt;=77),"10."&amp;Eingabe!$D$14&amp;".77.1","")</f>
        <v/>
      </c>
      <c r="H1095" s="16" t="str">
        <f aca="false">IF(AND(Eingabe!$F$14&gt;0,Eingabe!$E$14&gt;=77),"10."&amp;Eingabe!$D$14&amp;".77.10 – 10."&amp;Eingabe!$D$14&amp;".77.250","")</f>
        <v/>
      </c>
      <c r="I1095" s="16" t="str">
        <f aca="false">IF(AND(Eingabe!$F$14&gt;0,Eingabe!$E$14&gt;=77),Eingabe!$B$6&amp;"-"&amp;Eingabe!$C$14&amp;"-Pächter","")</f>
        <v/>
      </c>
      <c r="J1095" s="16" t="str">
        <f aca="false">IF(AND(Eingabe!$F$14&gt;0,Eingabe!$E$14&gt;=77),"PPSK: Passwort Parzelle 77","")</f>
        <v/>
      </c>
      <c r="K1095" s="16" t="str">
        <f aca="false">IF(AND(Eingabe!$F$14&gt;0,Eingabe!$E$14&gt;=77),"1. Gerät: 10."&amp;Eingabe!$D$14&amp;".77.10, 2. Gerät: .11","")</f>
        <v/>
      </c>
    </row>
    <row r="1096" customFormat="false" ht="15" hidden="false" customHeight="false" outlineLevel="0" collapsed="false">
      <c r="A1096" s="16" t="str">
        <f aca="false">IF(AND(Eingabe!$F$14&gt;0,Eingabe!$E$14&gt;=78),6,"")</f>
        <v/>
      </c>
      <c r="B1096" s="16" t="str">
        <f aca="false">IF(AND(Eingabe!$F$14&gt;0,Eingabe!$E$14&gt;=78),Eingabe!$B$14,"")</f>
        <v/>
      </c>
      <c r="C1096" s="16" t="str">
        <f aca="false">IF(AND(Eingabe!$F$14&gt;0,Eingabe!$E$14&gt;=78),Eingabe!$C$14&amp;"-Paz."&amp;TEXT(78,"000"),"")</f>
        <v/>
      </c>
      <c r="D1096" s="16" t="str">
        <f aca="false">IF(AND(Eingabe!$F$14&gt;0,Eingabe!$E$14&gt;=78),78,"")</f>
        <v/>
      </c>
      <c r="E1096" s="16" t="str">
        <f aca="false">IF(AND(Eingabe!$F$14&gt;0,Eingabe!$E$14&gt;=78),IF((Eingabe!$G$14)&lt;=9,1000+(Eingabe!$G$14)*100,3000)+78,"")</f>
        <v/>
      </c>
      <c r="F1096" s="16" t="str">
        <f aca="false">IF(AND(Eingabe!$F$14&gt;0,Eingabe!$E$14&gt;=78),"10."&amp;Eingabe!$D$14&amp;".78.0/24","")</f>
        <v/>
      </c>
      <c r="G1096" s="16" t="str">
        <f aca="false">IF(AND(Eingabe!$F$14&gt;0,Eingabe!$E$14&gt;=78),"10."&amp;Eingabe!$D$14&amp;".78.1","")</f>
        <v/>
      </c>
      <c r="H1096" s="16" t="str">
        <f aca="false">IF(AND(Eingabe!$F$14&gt;0,Eingabe!$E$14&gt;=78),"10."&amp;Eingabe!$D$14&amp;".78.10 – 10."&amp;Eingabe!$D$14&amp;".78.250","")</f>
        <v/>
      </c>
      <c r="I1096" s="16" t="str">
        <f aca="false">IF(AND(Eingabe!$F$14&gt;0,Eingabe!$E$14&gt;=78),Eingabe!$B$6&amp;"-"&amp;Eingabe!$C$14&amp;"-Pächter","")</f>
        <v/>
      </c>
      <c r="J1096" s="16" t="str">
        <f aca="false">IF(AND(Eingabe!$F$14&gt;0,Eingabe!$E$14&gt;=78),"PPSK: Passwort Parzelle 78","")</f>
        <v/>
      </c>
      <c r="K1096" s="16" t="str">
        <f aca="false">IF(AND(Eingabe!$F$14&gt;0,Eingabe!$E$14&gt;=78),"1. Gerät: 10."&amp;Eingabe!$D$14&amp;".78.10, 2. Gerät: .11","")</f>
        <v/>
      </c>
    </row>
    <row r="1097" customFormat="false" ht="15" hidden="false" customHeight="false" outlineLevel="0" collapsed="false">
      <c r="A1097" s="16" t="str">
        <f aca="false">IF(AND(Eingabe!$F$14&gt;0,Eingabe!$E$14&gt;=79),6,"")</f>
        <v/>
      </c>
      <c r="B1097" s="16" t="str">
        <f aca="false">IF(AND(Eingabe!$F$14&gt;0,Eingabe!$E$14&gt;=79),Eingabe!$B$14,"")</f>
        <v/>
      </c>
      <c r="C1097" s="16" t="str">
        <f aca="false">IF(AND(Eingabe!$F$14&gt;0,Eingabe!$E$14&gt;=79),Eingabe!$C$14&amp;"-Paz."&amp;TEXT(79,"000"),"")</f>
        <v/>
      </c>
      <c r="D1097" s="16" t="str">
        <f aca="false">IF(AND(Eingabe!$F$14&gt;0,Eingabe!$E$14&gt;=79),79,"")</f>
        <v/>
      </c>
      <c r="E1097" s="16" t="str">
        <f aca="false">IF(AND(Eingabe!$F$14&gt;0,Eingabe!$E$14&gt;=79),IF((Eingabe!$G$14)&lt;=9,1000+(Eingabe!$G$14)*100,3000)+79,"")</f>
        <v/>
      </c>
      <c r="F1097" s="16" t="str">
        <f aca="false">IF(AND(Eingabe!$F$14&gt;0,Eingabe!$E$14&gt;=79),"10."&amp;Eingabe!$D$14&amp;".79.0/24","")</f>
        <v/>
      </c>
      <c r="G1097" s="16" t="str">
        <f aca="false">IF(AND(Eingabe!$F$14&gt;0,Eingabe!$E$14&gt;=79),"10."&amp;Eingabe!$D$14&amp;".79.1","")</f>
        <v/>
      </c>
      <c r="H1097" s="16" t="str">
        <f aca="false">IF(AND(Eingabe!$F$14&gt;0,Eingabe!$E$14&gt;=79),"10."&amp;Eingabe!$D$14&amp;".79.10 – 10."&amp;Eingabe!$D$14&amp;".79.250","")</f>
        <v/>
      </c>
      <c r="I1097" s="16" t="str">
        <f aca="false">IF(AND(Eingabe!$F$14&gt;0,Eingabe!$E$14&gt;=79),Eingabe!$B$6&amp;"-"&amp;Eingabe!$C$14&amp;"-Pächter","")</f>
        <v/>
      </c>
      <c r="J1097" s="16" t="str">
        <f aca="false">IF(AND(Eingabe!$F$14&gt;0,Eingabe!$E$14&gt;=79),"PPSK: Passwort Parzelle 79","")</f>
        <v/>
      </c>
      <c r="K1097" s="16" t="str">
        <f aca="false">IF(AND(Eingabe!$F$14&gt;0,Eingabe!$E$14&gt;=79),"1. Gerät: 10."&amp;Eingabe!$D$14&amp;".79.10, 2. Gerät: .11","")</f>
        <v/>
      </c>
    </row>
    <row r="1098" customFormat="false" ht="15" hidden="false" customHeight="false" outlineLevel="0" collapsed="false">
      <c r="A1098" s="16" t="str">
        <f aca="false">IF(AND(Eingabe!$F$14&gt;0,Eingabe!$E$14&gt;=80),6,"")</f>
        <v/>
      </c>
      <c r="B1098" s="16" t="str">
        <f aca="false">IF(AND(Eingabe!$F$14&gt;0,Eingabe!$E$14&gt;=80),Eingabe!$B$14,"")</f>
        <v/>
      </c>
      <c r="C1098" s="16" t="str">
        <f aca="false">IF(AND(Eingabe!$F$14&gt;0,Eingabe!$E$14&gt;=80),Eingabe!$C$14&amp;"-Paz."&amp;TEXT(80,"000"),"")</f>
        <v/>
      </c>
      <c r="D1098" s="16" t="str">
        <f aca="false">IF(AND(Eingabe!$F$14&gt;0,Eingabe!$E$14&gt;=80),80,"")</f>
        <v/>
      </c>
      <c r="E1098" s="16" t="str">
        <f aca="false">IF(AND(Eingabe!$F$14&gt;0,Eingabe!$E$14&gt;=80),IF((Eingabe!$G$14)&lt;=9,1000+(Eingabe!$G$14)*100,3000)+80,"")</f>
        <v/>
      </c>
      <c r="F1098" s="16" t="str">
        <f aca="false">IF(AND(Eingabe!$F$14&gt;0,Eingabe!$E$14&gt;=80),"10."&amp;Eingabe!$D$14&amp;".80.0/24","")</f>
        <v/>
      </c>
      <c r="G1098" s="16" t="str">
        <f aca="false">IF(AND(Eingabe!$F$14&gt;0,Eingabe!$E$14&gt;=80),"10."&amp;Eingabe!$D$14&amp;".80.1","")</f>
        <v/>
      </c>
      <c r="H1098" s="16" t="str">
        <f aca="false">IF(AND(Eingabe!$F$14&gt;0,Eingabe!$E$14&gt;=80),"10."&amp;Eingabe!$D$14&amp;".80.10 – 10."&amp;Eingabe!$D$14&amp;".80.250","")</f>
        <v/>
      </c>
      <c r="I1098" s="16" t="str">
        <f aca="false">IF(AND(Eingabe!$F$14&gt;0,Eingabe!$E$14&gt;=80),Eingabe!$B$6&amp;"-"&amp;Eingabe!$C$14&amp;"-Pächter","")</f>
        <v/>
      </c>
      <c r="J1098" s="16" t="str">
        <f aca="false">IF(AND(Eingabe!$F$14&gt;0,Eingabe!$E$14&gt;=80),"PPSK: Passwort Parzelle 80","")</f>
        <v/>
      </c>
      <c r="K1098" s="16" t="str">
        <f aca="false">IF(AND(Eingabe!$F$14&gt;0,Eingabe!$E$14&gt;=80),"1. Gerät: 10."&amp;Eingabe!$D$14&amp;".80.10, 2. Gerät: .11","")</f>
        <v/>
      </c>
    </row>
    <row r="1099" customFormat="false" ht="15" hidden="false" customHeight="false" outlineLevel="0" collapsed="false">
      <c r="A1099" s="16" t="str">
        <f aca="false">IF(AND(Eingabe!$F$14&gt;0,Eingabe!$E$14&gt;=81),6,"")</f>
        <v/>
      </c>
      <c r="B1099" s="16" t="str">
        <f aca="false">IF(AND(Eingabe!$F$14&gt;0,Eingabe!$E$14&gt;=81),Eingabe!$B$14,"")</f>
        <v/>
      </c>
      <c r="C1099" s="16" t="str">
        <f aca="false">IF(AND(Eingabe!$F$14&gt;0,Eingabe!$E$14&gt;=81),Eingabe!$C$14&amp;"-Paz."&amp;TEXT(81,"000"),"")</f>
        <v/>
      </c>
      <c r="D1099" s="16" t="str">
        <f aca="false">IF(AND(Eingabe!$F$14&gt;0,Eingabe!$E$14&gt;=81),81,"")</f>
        <v/>
      </c>
      <c r="E1099" s="16" t="str">
        <f aca="false">IF(AND(Eingabe!$F$14&gt;0,Eingabe!$E$14&gt;=81),IF((Eingabe!$G$14)&lt;=9,1000+(Eingabe!$G$14)*100,3000)+81,"")</f>
        <v/>
      </c>
      <c r="F1099" s="16" t="str">
        <f aca="false">IF(AND(Eingabe!$F$14&gt;0,Eingabe!$E$14&gt;=81),"10."&amp;Eingabe!$D$14&amp;".81.0/24","")</f>
        <v/>
      </c>
      <c r="G1099" s="16" t="str">
        <f aca="false">IF(AND(Eingabe!$F$14&gt;0,Eingabe!$E$14&gt;=81),"10."&amp;Eingabe!$D$14&amp;".81.1","")</f>
        <v/>
      </c>
      <c r="H1099" s="16" t="str">
        <f aca="false">IF(AND(Eingabe!$F$14&gt;0,Eingabe!$E$14&gt;=81),"10."&amp;Eingabe!$D$14&amp;".81.10 – 10."&amp;Eingabe!$D$14&amp;".81.250","")</f>
        <v/>
      </c>
      <c r="I1099" s="16" t="str">
        <f aca="false">IF(AND(Eingabe!$F$14&gt;0,Eingabe!$E$14&gt;=81),Eingabe!$B$6&amp;"-"&amp;Eingabe!$C$14&amp;"-Pächter","")</f>
        <v/>
      </c>
      <c r="J1099" s="16" t="str">
        <f aca="false">IF(AND(Eingabe!$F$14&gt;0,Eingabe!$E$14&gt;=81),"PPSK: Passwort Parzelle 81","")</f>
        <v/>
      </c>
      <c r="K1099" s="16" t="str">
        <f aca="false">IF(AND(Eingabe!$F$14&gt;0,Eingabe!$E$14&gt;=81),"1. Gerät: 10."&amp;Eingabe!$D$14&amp;".81.10, 2. Gerät: .11","")</f>
        <v/>
      </c>
    </row>
    <row r="1100" customFormat="false" ht="15" hidden="false" customHeight="false" outlineLevel="0" collapsed="false">
      <c r="A1100" s="16" t="str">
        <f aca="false">IF(AND(Eingabe!$F$14&gt;0,Eingabe!$E$14&gt;=82),6,"")</f>
        <v/>
      </c>
      <c r="B1100" s="16" t="str">
        <f aca="false">IF(AND(Eingabe!$F$14&gt;0,Eingabe!$E$14&gt;=82),Eingabe!$B$14,"")</f>
        <v/>
      </c>
      <c r="C1100" s="16" t="str">
        <f aca="false">IF(AND(Eingabe!$F$14&gt;0,Eingabe!$E$14&gt;=82),Eingabe!$C$14&amp;"-Paz."&amp;TEXT(82,"000"),"")</f>
        <v/>
      </c>
      <c r="D1100" s="16" t="str">
        <f aca="false">IF(AND(Eingabe!$F$14&gt;0,Eingabe!$E$14&gt;=82),82,"")</f>
        <v/>
      </c>
      <c r="E1100" s="16" t="str">
        <f aca="false">IF(AND(Eingabe!$F$14&gt;0,Eingabe!$E$14&gt;=82),IF((Eingabe!$G$14)&lt;=9,1000+(Eingabe!$G$14)*100,3000)+82,"")</f>
        <v/>
      </c>
      <c r="F1100" s="16" t="str">
        <f aca="false">IF(AND(Eingabe!$F$14&gt;0,Eingabe!$E$14&gt;=82),"10."&amp;Eingabe!$D$14&amp;".82.0/24","")</f>
        <v/>
      </c>
      <c r="G1100" s="16" t="str">
        <f aca="false">IF(AND(Eingabe!$F$14&gt;0,Eingabe!$E$14&gt;=82),"10."&amp;Eingabe!$D$14&amp;".82.1","")</f>
        <v/>
      </c>
      <c r="H1100" s="16" t="str">
        <f aca="false">IF(AND(Eingabe!$F$14&gt;0,Eingabe!$E$14&gt;=82),"10."&amp;Eingabe!$D$14&amp;".82.10 – 10."&amp;Eingabe!$D$14&amp;".82.250","")</f>
        <v/>
      </c>
      <c r="I1100" s="16" t="str">
        <f aca="false">IF(AND(Eingabe!$F$14&gt;0,Eingabe!$E$14&gt;=82),Eingabe!$B$6&amp;"-"&amp;Eingabe!$C$14&amp;"-Pächter","")</f>
        <v/>
      </c>
      <c r="J1100" s="16" t="str">
        <f aca="false">IF(AND(Eingabe!$F$14&gt;0,Eingabe!$E$14&gt;=82),"PPSK: Passwort Parzelle 82","")</f>
        <v/>
      </c>
      <c r="K1100" s="16" t="str">
        <f aca="false">IF(AND(Eingabe!$F$14&gt;0,Eingabe!$E$14&gt;=82),"1. Gerät: 10."&amp;Eingabe!$D$14&amp;".82.10, 2. Gerät: .11","")</f>
        <v/>
      </c>
    </row>
    <row r="1101" customFormat="false" ht="15" hidden="false" customHeight="false" outlineLevel="0" collapsed="false">
      <c r="A1101" s="16" t="str">
        <f aca="false">IF(AND(Eingabe!$F$14&gt;0,Eingabe!$E$14&gt;=83),6,"")</f>
        <v/>
      </c>
      <c r="B1101" s="16" t="str">
        <f aca="false">IF(AND(Eingabe!$F$14&gt;0,Eingabe!$E$14&gt;=83),Eingabe!$B$14,"")</f>
        <v/>
      </c>
      <c r="C1101" s="16" t="str">
        <f aca="false">IF(AND(Eingabe!$F$14&gt;0,Eingabe!$E$14&gt;=83),Eingabe!$C$14&amp;"-Paz."&amp;TEXT(83,"000"),"")</f>
        <v/>
      </c>
      <c r="D1101" s="16" t="str">
        <f aca="false">IF(AND(Eingabe!$F$14&gt;0,Eingabe!$E$14&gt;=83),83,"")</f>
        <v/>
      </c>
      <c r="E1101" s="16" t="str">
        <f aca="false">IF(AND(Eingabe!$F$14&gt;0,Eingabe!$E$14&gt;=83),IF((Eingabe!$G$14)&lt;=9,1000+(Eingabe!$G$14)*100,3000)+83,"")</f>
        <v/>
      </c>
      <c r="F1101" s="16" t="str">
        <f aca="false">IF(AND(Eingabe!$F$14&gt;0,Eingabe!$E$14&gt;=83),"10."&amp;Eingabe!$D$14&amp;".83.0/24","")</f>
        <v/>
      </c>
      <c r="G1101" s="16" t="str">
        <f aca="false">IF(AND(Eingabe!$F$14&gt;0,Eingabe!$E$14&gt;=83),"10."&amp;Eingabe!$D$14&amp;".83.1","")</f>
        <v/>
      </c>
      <c r="H1101" s="16" t="str">
        <f aca="false">IF(AND(Eingabe!$F$14&gt;0,Eingabe!$E$14&gt;=83),"10."&amp;Eingabe!$D$14&amp;".83.10 – 10."&amp;Eingabe!$D$14&amp;".83.250","")</f>
        <v/>
      </c>
      <c r="I1101" s="16" t="str">
        <f aca="false">IF(AND(Eingabe!$F$14&gt;0,Eingabe!$E$14&gt;=83),Eingabe!$B$6&amp;"-"&amp;Eingabe!$C$14&amp;"-Pächter","")</f>
        <v/>
      </c>
      <c r="J1101" s="16" t="str">
        <f aca="false">IF(AND(Eingabe!$F$14&gt;0,Eingabe!$E$14&gt;=83),"PPSK: Passwort Parzelle 83","")</f>
        <v/>
      </c>
      <c r="K1101" s="16" t="str">
        <f aca="false">IF(AND(Eingabe!$F$14&gt;0,Eingabe!$E$14&gt;=83),"1. Gerät: 10."&amp;Eingabe!$D$14&amp;".83.10, 2. Gerät: .11","")</f>
        <v/>
      </c>
    </row>
    <row r="1102" customFormat="false" ht="15" hidden="false" customHeight="false" outlineLevel="0" collapsed="false">
      <c r="A1102" s="16" t="str">
        <f aca="false">IF(AND(Eingabe!$F$14&gt;0,Eingabe!$E$14&gt;=84),6,"")</f>
        <v/>
      </c>
      <c r="B1102" s="16" t="str">
        <f aca="false">IF(AND(Eingabe!$F$14&gt;0,Eingabe!$E$14&gt;=84),Eingabe!$B$14,"")</f>
        <v/>
      </c>
      <c r="C1102" s="16" t="str">
        <f aca="false">IF(AND(Eingabe!$F$14&gt;0,Eingabe!$E$14&gt;=84),Eingabe!$C$14&amp;"-Paz."&amp;TEXT(84,"000"),"")</f>
        <v/>
      </c>
      <c r="D1102" s="16" t="str">
        <f aca="false">IF(AND(Eingabe!$F$14&gt;0,Eingabe!$E$14&gt;=84),84,"")</f>
        <v/>
      </c>
      <c r="E1102" s="16" t="str">
        <f aca="false">IF(AND(Eingabe!$F$14&gt;0,Eingabe!$E$14&gt;=84),IF((Eingabe!$G$14)&lt;=9,1000+(Eingabe!$G$14)*100,3000)+84,"")</f>
        <v/>
      </c>
      <c r="F1102" s="16" t="str">
        <f aca="false">IF(AND(Eingabe!$F$14&gt;0,Eingabe!$E$14&gt;=84),"10."&amp;Eingabe!$D$14&amp;".84.0/24","")</f>
        <v/>
      </c>
      <c r="G1102" s="16" t="str">
        <f aca="false">IF(AND(Eingabe!$F$14&gt;0,Eingabe!$E$14&gt;=84),"10."&amp;Eingabe!$D$14&amp;".84.1","")</f>
        <v/>
      </c>
      <c r="H1102" s="16" t="str">
        <f aca="false">IF(AND(Eingabe!$F$14&gt;0,Eingabe!$E$14&gt;=84),"10."&amp;Eingabe!$D$14&amp;".84.10 – 10."&amp;Eingabe!$D$14&amp;".84.250","")</f>
        <v/>
      </c>
      <c r="I1102" s="16" t="str">
        <f aca="false">IF(AND(Eingabe!$F$14&gt;0,Eingabe!$E$14&gt;=84),Eingabe!$B$6&amp;"-"&amp;Eingabe!$C$14&amp;"-Pächter","")</f>
        <v/>
      </c>
      <c r="J1102" s="16" t="str">
        <f aca="false">IF(AND(Eingabe!$F$14&gt;0,Eingabe!$E$14&gt;=84),"PPSK: Passwort Parzelle 84","")</f>
        <v/>
      </c>
      <c r="K1102" s="16" t="str">
        <f aca="false">IF(AND(Eingabe!$F$14&gt;0,Eingabe!$E$14&gt;=84),"1. Gerät: 10."&amp;Eingabe!$D$14&amp;".84.10, 2. Gerät: .11","")</f>
        <v/>
      </c>
    </row>
    <row r="1103" customFormat="false" ht="15" hidden="false" customHeight="false" outlineLevel="0" collapsed="false">
      <c r="A1103" s="16" t="str">
        <f aca="false">IF(AND(Eingabe!$F$14&gt;0,Eingabe!$E$14&gt;=85),6,"")</f>
        <v/>
      </c>
      <c r="B1103" s="16" t="str">
        <f aca="false">IF(AND(Eingabe!$F$14&gt;0,Eingabe!$E$14&gt;=85),Eingabe!$B$14,"")</f>
        <v/>
      </c>
      <c r="C1103" s="16" t="str">
        <f aca="false">IF(AND(Eingabe!$F$14&gt;0,Eingabe!$E$14&gt;=85),Eingabe!$C$14&amp;"-Paz."&amp;TEXT(85,"000"),"")</f>
        <v/>
      </c>
      <c r="D1103" s="16" t="str">
        <f aca="false">IF(AND(Eingabe!$F$14&gt;0,Eingabe!$E$14&gt;=85),85,"")</f>
        <v/>
      </c>
      <c r="E1103" s="16" t="str">
        <f aca="false">IF(AND(Eingabe!$F$14&gt;0,Eingabe!$E$14&gt;=85),IF((Eingabe!$G$14)&lt;=9,1000+(Eingabe!$G$14)*100,3000)+85,"")</f>
        <v/>
      </c>
      <c r="F1103" s="16" t="str">
        <f aca="false">IF(AND(Eingabe!$F$14&gt;0,Eingabe!$E$14&gt;=85),"10."&amp;Eingabe!$D$14&amp;".85.0/24","")</f>
        <v/>
      </c>
      <c r="G1103" s="16" t="str">
        <f aca="false">IF(AND(Eingabe!$F$14&gt;0,Eingabe!$E$14&gt;=85),"10."&amp;Eingabe!$D$14&amp;".85.1","")</f>
        <v/>
      </c>
      <c r="H1103" s="16" t="str">
        <f aca="false">IF(AND(Eingabe!$F$14&gt;0,Eingabe!$E$14&gt;=85),"10."&amp;Eingabe!$D$14&amp;".85.10 – 10."&amp;Eingabe!$D$14&amp;".85.250","")</f>
        <v/>
      </c>
      <c r="I1103" s="16" t="str">
        <f aca="false">IF(AND(Eingabe!$F$14&gt;0,Eingabe!$E$14&gt;=85),Eingabe!$B$6&amp;"-"&amp;Eingabe!$C$14&amp;"-Pächter","")</f>
        <v/>
      </c>
      <c r="J1103" s="16" t="str">
        <f aca="false">IF(AND(Eingabe!$F$14&gt;0,Eingabe!$E$14&gt;=85),"PPSK: Passwort Parzelle 85","")</f>
        <v/>
      </c>
      <c r="K1103" s="16" t="str">
        <f aca="false">IF(AND(Eingabe!$F$14&gt;0,Eingabe!$E$14&gt;=85),"1. Gerät: 10."&amp;Eingabe!$D$14&amp;".85.10, 2. Gerät: .11","")</f>
        <v/>
      </c>
    </row>
    <row r="1104" customFormat="false" ht="15" hidden="false" customHeight="false" outlineLevel="0" collapsed="false">
      <c r="A1104" s="16" t="str">
        <f aca="false">IF(AND(Eingabe!$F$14&gt;0,Eingabe!$E$14&gt;=86),6,"")</f>
        <v/>
      </c>
      <c r="B1104" s="16" t="str">
        <f aca="false">IF(AND(Eingabe!$F$14&gt;0,Eingabe!$E$14&gt;=86),Eingabe!$B$14,"")</f>
        <v/>
      </c>
      <c r="C1104" s="16" t="str">
        <f aca="false">IF(AND(Eingabe!$F$14&gt;0,Eingabe!$E$14&gt;=86),Eingabe!$C$14&amp;"-Paz."&amp;TEXT(86,"000"),"")</f>
        <v/>
      </c>
      <c r="D1104" s="16" t="str">
        <f aca="false">IF(AND(Eingabe!$F$14&gt;0,Eingabe!$E$14&gt;=86),86,"")</f>
        <v/>
      </c>
      <c r="E1104" s="16" t="str">
        <f aca="false">IF(AND(Eingabe!$F$14&gt;0,Eingabe!$E$14&gt;=86),IF((Eingabe!$G$14)&lt;=9,1000+(Eingabe!$G$14)*100,3000)+86,"")</f>
        <v/>
      </c>
      <c r="F1104" s="16" t="str">
        <f aca="false">IF(AND(Eingabe!$F$14&gt;0,Eingabe!$E$14&gt;=86),"10."&amp;Eingabe!$D$14&amp;".86.0/24","")</f>
        <v/>
      </c>
      <c r="G1104" s="16" t="str">
        <f aca="false">IF(AND(Eingabe!$F$14&gt;0,Eingabe!$E$14&gt;=86),"10."&amp;Eingabe!$D$14&amp;".86.1","")</f>
        <v/>
      </c>
      <c r="H1104" s="16" t="str">
        <f aca="false">IF(AND(Eingabe!$F$14&gt;0,Eingabe!$E$14&gt;=86),"10."&amp;Eingabe!$D$14&amp;".86.10 – 10."&amp;Eingabe!$D$14&amp;".86.250","")</f>
        <v/>
      </c>
      <c r="I1104" s="16" t="str">
        <f aca="false">IF(AND(Eingabe!$F$14&gt;0,Eingabe!$E$14&gt;=86),Eingabe!$B$6&amp;"-"&amp;Eingabe!$C$14&amp;"-Pächter","")</f>
        <v/>
      </c>
      <c r="J1104" s="16" t="str">
        <f aca="false">IF(AND(Eingabe!$F$14&gt;0,Eingabe!$E$14&gt;=86),"PPSK: Passwort Parzelle 86","")</f>
        <v/>
      </c>
      <c r="K1104" s="16" t="str">
        <f aca="false">IF(AND(Eingabe!$F$14&gt;0,Eingabe!$E$14&gt;=86),"1. Gerät: 10."&amp;Eingabe!$D$14&amp;".86.10, 2. Gerät: .11","")</f>
        <v/>
      </c>
    </row>
    <row r="1105" customFormat="false" ht="15" hidden="false" customHeight="false" outlineLevel="0" collapsed="false">
      <c r="A1105" s="16" t="str">
        <f aca="false">IF(AND(Eingabe!$F$14&gt;0,Eingabe!$E$14&gt;=87),6,"")</f>
        <v/>
      </c>
      <c r="B1105" s="16" t="str">
        <f aca="false">IF(AND(Eingabe!$F$14&gt;0,Eingabe!$E$14&gt;=87),Eingabe!$B$14,"")</f>
        <v/>
      </c>
      <c r="C1105" s="16" t="str">
        <f aca="false">IF(AND(Eingabe!$F$14&gt;0,Eingabe!$E$14&gt;=87),Eingabe!$C$14&amp;"-Paz."&amp;TEXT(87,"000"),"")</f>
        <v/>
      </c>
      <c r="D1105" s="16" t="str">
        <f aca="false">IF(AND(Eingabe!$F$14&gt;0,Eingabe!$E$14&gt;=87),87,"")</f>
        <v/>
      </c>
      <c r="E1105" s="16" t="str">
        <f aca="false">IF(AND(Eingabe!$F$14&gt;0,Eingabe!$E$14&gt;=87),IF((Eingabe!$G$14)&lt;=9,1000+(Eingabe!$G$14)*100,3000)+87,"")</f>
        <v/>
      </c>
      <c r="F1105" s="16" t="str">
        <f aca="false">IF(AND(Eingabe!$F$14&gt;0,Eingabe!$E$14&gt;=87),"10."&amp;Eingabe!$D$14&amp;".87.0/24","")</f>
        <v/>
      </c>
      <c r="G1105" s="16" t="str">
        <f aca="false">IF(AND(Eingabe!$F$14&gt;0,Eingabe!$E$14&gt;=87),"10."&amp;Eingabe!$D$14&amp;".87.1","")</f>
        <v/>
      </c>
      <c r="H1105" s="16" t="str">
        <f aca="false">IF(AND(Eingabe!$F$14&gt;0,Eingabe!$E$14&gt;=87),"10."&amp;Eingabe!$D$14&amp;".87.10 – 10."&amp;Eingabe!$D$14&amp;".87.250","")</f>
        <v/>
      </c>
      <c r="I1105" s="16" t="str">
        <f aca="false">IF(AND(Eingabe!$F$14&gt;0,Eingabe!$E$14&gt;=87),Eingabe!$B$6&amp;"-"&amp;Eingabe!$C$14&amp;"-Pächter","")</f>
        <v/>
      </c>
      <c r="J1105" s="16" t="str">
        <f aca="false">IF(AND(Eingabe!$F$14&gt;0,Eingabe!$E$14&gt;=87),"PPSK: Passwort Parzelle 87","")</f>
        <v/>
      </c>
      <c r="K1105" s="16" t="str">
        <f aca="false">IF(AND(Eingabe!$F$14&gt;0,Eingabe!$E$14&gt;=87),"1. Gerät: 10."&amp;Eingabe!$D$14&amp;".87.10, 2. Gerät: .11","")</f>
        <v/>
      </c>
    </row>
    <row r="1106" customFormat="false" ht="15" hidden="false" customHeight="false" outlineLevel="0" collapsed="false">
      <c r="A1106" s="16" t="str">
        <f aca="false">IF(AND(Eingabe!$F$14&gt;0,Eingabe!$E$14&gt;=88),6,"")</f>
        <v/>
      </c>
      <c r="B1106" s="16" t="str">
        <f aca="false">IF(AND(Eingabe!$F$14&gt;0,Eingabe!$E$14&gt;=88),Eingabe!$B$14,"")</f>
        <v/>
      </c>
      <c r="C1106" s="16" t="str">
        <f aca="false">IF(AND(Eingabe!$F$14&gt;0,Eingabe!$E$14&gt;=88),Eingabe!$C$14&amp;"-Paz."&amp;TEXT(88,"000"),"")</f>
        <v/>
      </c>
      <c r="D1106" s="16" t="str">
        <f aca="false">IF(AND(Eingabe!$F$14&gt;0,Eingabe!$E$14&gt;=88),88,"")</f>
        <v/>
      </c>
      <c r="E1106" s="16" t="str">
        <f aca="false">IF(AND(Eingabe!$F$14&gt;0,Eingabe!$E$14&gt;=88),IF((Eingabe!$G$14)&lt;=9,1000+(Eingabe!$G$14)*100,3000)+88,"")</f>
        <v/>
      </c>
      <c r="F1106" s="16" t="str">
        <f aca="false">IF(AND(Eingabe!$F$14&gt;0,Eingabe!$E$14&gt;=88),"10."&amp;Eingabe!$D$14&amp;".88.0/24","")</f>
        <v/>
      </c>
      <c r="G1106" s="16" t="str">
        <f aca="false">IF(AND(Eingabe!$F$14&gt;0,Eingabe!$E$14&gt;=88),"10."&amp;Eingabe!$D$14&amp;".88.1","")</f>
        <v/>
      </c>
      <c r="H1106" s="16" t="str">
        <f aca="false">IF(AND(Eingabe!$F$14&gt;0,Eingabe!$E$14&gt;=88),"10."&amp;Eingabe!$D$14&amp;".88.10 – 10."&amp;Eingabe!$D$14&amp;".88.250","")</f>
        <v/>
      </c>
      <c r="I1106" s="16" t="str">
        <f aca="false">IF(AND(Eingabe!$F$14&gt;0,Eingabe!$E$14&gt;=88),Eingabe!$B$6&amp;"-"&amp;Eingabe!$C$14&amp;"-Pächter","")</f>
        <v/>
      </c>
      <c r="J1106" s="16" t="str">
        <f aca="false">IF(AND(Eingabe!$F$14&gt;0,Eingabe!$E$14&gt;=88),"PPSK: Passwort Parzelle 88","")</f>
        <v/>
      </c>
      <c r="K1106" s="16" t="str">
        <f aca="false">IF(AND(Eingabe!$F$14&gt;0,Eingabe!$E$14&gt;=88),"1. Gerät: 10."&amp;Eingabe!$D$14&amp;".88.10, 2. Gerät: .11","")</f>
        <v/>
      </c>
    </row>
    <row r="1107" customFormat="false" ht="15" hidden="false" customHeight="false" outlineLevel="0" collapsed="false">
      <c r="A1107" s="16" t="str">
        <f aca="false">IF(AND(Eingabe!$F$14&gt;0,Eingabe!$E$14&gt;=89),6,"")</f>
        <v/>
      </c>
      <c r="B1107" s="16" t="str">
        <f aca="false">IF(AND(Eingabe!$F$14&gt;0,Eingabe!$E$14&gt;=89),Eingabe!$B$14,"")</f>
        <v/>
      </c>
      <c r="C1107" s="16" t="str">
        <f aca="false">IF(AND(Eingabe!$F$14&gt;0,Eingabe!$E$14&gt;=89),Eingabe!$C$14&amp;"-Paz."&amp;TEXT(89,"000"),"")</f>
        <v/>
      </c>
      <c r="D1107" s="16" t="str">
        <f aca="false">IF(AND(Eingabe!$F$14&gt;0,Eingabe!$E$14&gt;=89),89,"")</f>
        <v/>
      </c>
      <c r="E1107" s="16" t="str">
        <f aca="false">IF(AND(Eingabe!$F$14&gt;0,Eingabe!$E$14&gt;=89),IF((Eingabe!$G$14)&lt;=9,1000+(Eingabe!$G$14)*100,3000)+89,"")</f>
        <v/>
      </c>
      <c r="F1107" s="16" t="str">
        <f aca="false">IF(AND(Eingabe!$F$14&gt;0,Eingabe!$E$14&gt;=89),"10."&amp;Eingabe!$D$14&amp;".89.0/24","")</f>
        <v/>
      </c>
      <c r="G1107" s="16" t="str">
        <f aca="false">IF(AND(Eingabe!$F$14&gt;0,Eingabe!$E$14&gt;=89),"10."&amp;Eingabe!$D$14&amp;".89.1","")</f>
        <v/>
      </c>
      <c r="H1107" s="16" t="str">
        <f aca="false">IF(AND(Eingabe!$F$14&gt;0,Eingabe!$E$14&gt;=89),"10."&amp;Eingabe!$D$14&amp;".89.10 – 10."&amp;Eingabe!$D$14&amp;".89.250","")</f>
        <v/>
      </c>
      <c r="I1107" s="16" t="str">
        <f aca="false">IF(AND(Eingabe!$F$14&gt;0,Eingabe!$E$14&gt;=89),Eingabe!$B$6&amp;"-"&amp;Eingabe!$C$14&amp;"-Pächter","")</f>
        <v/>
      </c>
      <c r="J1107" s="16" t="str">
        <f aca="false">IF(AND(Eingabe!$F$14&gt;0,Eingabe!$E$14&gt;=89),"PPSK: Passwort Parzelle 89","")</f>
        <v/>
      </c>
      <c r="K1107" s="16" t="str">
        <f aca="false">IF(AND(Eingabe!$F$14&gt;0,Eingabe!$E$14&gt;=89),"1. Gerät: 10."&amp;Eingabe!$D$14&amp;".89.10, 2. Gerät: .11","")</f>
        <v/>
      </c>
    </row>
    <row r="1108" customFormat="false" ht="15" hidden="false" customHeight="false" outlineLevel="0" collapsed="false">
      <c r="A1108" s="16" t="str">
        <f aca="false">IF(AND(Eingabe!$F$14&gt;0,Eingabe!$E$14&gt;=90),6,"")</f>
        <v/>
      </c>
      <c r="B1108" s="16" t="str">
        <f aca="false">IF(AND(Eingabe!$F$14&gt;0,Eingabe!$E$14&gt;=90),Eingabe!$B$14,"")</f>
        <v/>
      </c>
      <c r="C1108" s="16" t="str">
        <f aca="false">IF(AND(Eingabe!$F$14&gt;0,Eingabe!$E$14&gt;=90),Eingabe!$C$14&amp;"-Paz."&amp;TEXT(90,"000"),"")</f>
        <v/>
      </c>
      <c r="D1108" s="16" t="str">
        <f aca="false">IF(AND(Eingabe!$F$14&gt;0,Eingabe!$E$14&gt;=90),90,"")</f>
        <v/>
      </c>
      <c r="E1108" s="16" t="str">
        <f aca="false">IF(AND(Eingabe!$F$14&gt;0,Eingabe!$E$14&gt;=90),IF((Eingabe!$G$14)&lt;=9,1000+(Eingabe!$G$14)*100,3000)+90,"")</f>
        <v/>
      </c>
      <c r="F1108" s="16" t="str">
        <f aca="false">IF(AND(Eingabe!$F$14&gt;0,Eingabe!$E$14&gt;=90),"10."&amp;Eingabe!$D$14&amp;".90.0/24","")</f>
        <v/>
      </c>
      <c r="G1108" s="16" t="str">
        <f aca="false">IF(AND(Eingabe!$F$14&gt;0,Eingabe!$E$14&gt;=90),"10."&amp;Eingabe!$D$14&amp;".90.1","")</f>
        <v/>
      </c>
      <c r="H1108" s="16" t="str">
        <f aca="false">IF(AND(Eingabe!$F$14&gt;0,Eingabe!$E$14&gt;=90),"10."&amp;Eingabe!$D$14&amp;".90.10 – 10."&amp;Eingabe!$D$14&amp;".90.250","")</f>
        <v/>
      </c>
      <c r="I1108" s="16" t="str">
        <f aca="false">IF(AND(Eingabe!$F$14&gt;0,Eingabe!$E$14&gt;=90),Eingabe!$B$6&amp;"-"&amp;Eingabe!$C$14&amp;"-Pächter","")</f>
        <v/>
      </c>
      <c r="J1108" s="16" t="str">
        <f aca="false">IF(AND(Eingabe!$F$14&gt;0,Eingabe!$E$14&gt;=90),"PPSK: Passwort Parzelle 90","")</f>
        <v/>
      </c>
      <c r="K1108" s="16" t="str">
        <f aca="false">IF(AND(Eingabe!$F$14&gt;0,Eingabe!$E$14&gt;=90),"1. Gerät: 10."&amp;Eingabe!$D$14&amp;".90.10, 2. Gerät: .11","")</f>
        <v/>
      </c>
    </row>
    <row r="1109" customFormat="false" ht="15" hidden="false" customHeight="false" outlineLevel="0" collapsed="false">
      <c r="A1109" s="16" t="str">
        <f aca="false">IF(AND(Eingabe!$F$14&gt;0,Eingabe!$E$14&gt;=91),6,"")</f>
        <v/>
      </c>
      <c r="B1109" s="16" t="str">
        <f aca="false">IF(AND(Eingabe!$F$14&gt;0,Eingabe!$E$14&gt;=91),Eingabe!$B$14,"")</f>
        <v/>
      </c>
      <c r="C1109" s="16" t="str">
        <f aca="false">IF(AND(Eingabe!$F$14&gt;0,Eingabe!$E$14&gt;=91),Eingabe!$C$14&amp;"-Paz."&amp;TEXT(91,"000"),"")</f>
        <v/>
      </c>
      <c r="D1109" s="16" t="str">
        <f aca="false">IF(AND(Eingabe!$F$14&gt;0,Eingabe!$E$14&gt;=91),91,"")</f>
        <v/>
      </c>
      <c r="E1109" s="16" t="str">
        <f aca="false">IF(AND(Eingabe!$F$14&gt;0,Eingabe!$E$14&gt;=91),IF((Eingabe!$G$14)&lt;=9,1000+(Eingabe!$G$14)*100,3000)+91,"")</f>
        <v/>
      </c>
      <c r="F1109" s="16" t="str">
        <f aca="false">IF(AND(Eingabe!$F$14&gt;0,Eingabe!$E$14&gt;=91),"10."&amp;Eingabe!$D$14&amp;".91.0/24","")</f>
        <v/>
      </c>
      <c r="G1109" s="16" t="str">
        <f aca="false">IF(AND(Eingabe!$F$14&gt;0,Eingabe!$E$14&gt;=91),"10."&amp;Eingabe!$D$14&amp;".91.1","")</f>
        <v/>
      </c>
      <c r="H1109" s="16" t="str">
        <f aca="false">IF(AND(Eingabe!$F$14&gt;0,Eingabe!$E$14&gt;=91),"10."&amp;Eingabe!$D$14&amp;".91.10 – 10."&amp;Eingabe!$D$14&amp;".91.250","")</f>
        <v/>
      </c>
      <c r="I1109" s="16" t="str">
        <f aca="false">IF(AND(Eingabe!$F$14&gt;0,Eingabe!$E$14&gt;=91),Eingabe!$B$6&amp;"-"&amp;Eingabe!$C$14&amp;"-Pächter","")</f>
        <v/>
      </c>
      <c r="J1109" s="16" t="str">
        <f aca="false">IF(AND(Eingabe!$F$14&gt;0,Eingabe!$E$14&gt;=91),"PPSK: Passwort Parzelle 91","")</f>
        <v/>
      </c>
      <c r="K1109" s="16" t="str">
        <f aca="false">IF(AND(Eingabe!$F$14&gt;0,Eingabe!$E$14&gt;=91),"1. Gerät: 10."&amp;Eingabe!$D$14&amp;".91.10, 2. Gerät: .11","")</f>
        <v/>
      </c>
    </row>
    <row r="1110" customFormat="false" ht="15" hidden="false" customHeight="false" outlineLevel="0" collapsed="false">
      <c r="A1110" s="16" t="str">
        <f aca="false">IF(AND(Eingabe!$F$14&gt;0,Eingabe!$E$14&gt;=92),6,"")</f>
        <v/>
      </c>
      <c r="B1110" s="16" t="str">
        <f aca="false">IF(AND(Eingabe!$F$14&gt;0,Eingabe!$E$14&gt;=92),Eingabe!$B$14,"")</f>
        <v/>
      </c>
      <c r="C1110" s="16" t="str">
        <f aca="false">IF(AND(Eingabe!$F$14&gt;0,Eingabe!$E$14&gt;=92),Eingabe!$C$14&amp;"-Paz."&amp;TEXT(92,"000"),"")</f>
        <v/>
      </c>
      <c r="D1110" s="16" t="str">
        <f aca="false">IF(AND(Eingabe!$F$14&gt;0,Eingabe!$E$14&gt;=92),92,"")</f>
        <v/>
      </c>
      <c r="E1110" s="16" t="str">
        <f aca="false">IF(AND(Eingabe!$F$14&gt;0,Eingabe!$E$14&gt;=92),IF((Eingabe!$G$14)&lt;=9,1000+(Eingabe!$G$14)*100,3000)+92,"")</f>
        <v/>
      </c>
      <c r="F1110" s="16" t="str">
        <f aca="false">IF(AND(Eingabe!$F$14&gt;0,Eingabe!$E$14&gt;=92),"10."&amp;Eingabe!$D$14&amp;".92.0/24","")</f>
        <v/>
      </c>
      <c r="G1110" s="16" t="str">
        <f aca="false">IF(AND(Eingabe!$F$14&gt;0,Eingabe!$E$14&gt;=92),"10."&amp;Eingabe!$D$14&amp;".92.1","")</f>
        <v/>
      </c>
      <c r="H1110" s="16" t="str">
        <f aca="false">IF(AND(Eingabe!$F$14&gt;0,Eingabe!$E$14&gt;=92),"10."&amp;Eingabe!$D$14&amp;".92.10 – 10."&amp;Eingabe!$D$14&amp;".92.250","")</f>
        <v/>
      </c>
      <c r="I1110" s="16" t="str">
        <f aca="false">IF(AND(Eingabe!$F$14&gt;0,Eingabe!$E$14&gt;=92),Eingabe!$B$6&amp;"-"&amp;Eingabe!$C$14&amp;"-Pächter","")</f>
        <v/>
      </c>
      <c r="J1110" s="16" t="str">
        <f aca="false">IF(AND(Eingabe!$F$14&gt;0,Eingabe!$E$14&gt;=92),"PPSK: Passwort Parzelle 92","")</f>
        <v/>
      </c>
      <c r="K1110" s="16" t="str">
        <f aca="false">IF(AND(Eingabe!$F$14&gt;0,Eingabe!$E$14&gt;=92),"1. Gerät: 10."&amp;Eingabe!$D$14&amp;".92.10, 2. Gerät: .11","")</f>
        <v/>
      </c>
    </row>
    <row r="1111" customFormat="false" ht="15" hidden="false" customHeight="false" outlineLevel="0" collapsed="false">
      <c r="A1111" s="16" t="str">
        <f aca="false">IF(AND(Eingabe!$F$14&gt;0,Eingabe!$E$14&gt;=93),6,"")</f>
        <v/>
      </c>
      <c r="B1111" s="16" t="str">
        <f aca="false">IF(AND(Eingabe!$F$14&gt;0,Eingabe!$E$14&gt;=93),Eingabe!$B$14,"")</f>
        <v/>
      </c>
      <c r="C1111" s="16" t="str">
        <f aca="false">IF(AND(Eingabe!$F$14&gt;0,Eingabe!$E$14&gt;=93),Eingabe!$C$14&amp;"-Paz."&amp;TEXT(93,"000"),"")</f>
        <v/>
      </c>
      <c r="D1111" s="16" t="str">
        <f aca="false">IF(AND(Eingabe!$F$14&gt;0,Eingabe!$E$14&gt;=93),93,"")</f>
        <v/>
      </c>
      <c r="E1111" s="16" t="str">
        <f aca="false">IF(AND(Eingabe!$F$14&gt;0,Eingabe!$E$14&gt;=93),IF((Eingabe!$G$14)&lt;=9,1000+(Eingabe!$G$14)*100,3000)+93,"")</f>
        <v/>
      </c>
      <c r="F1111" s="16" t="str">
        <f aca="false">IF(AND(Eingabe!$F$14&gt;0,Eingabe!$E$14&gt;=93),"10."&amp;Eingabe!$D$14&amp;".93.0/24","")</f>
        <v/>
      </c>
      <c r="G1111" s="16" t="str">
        <f aca="false">IF(AND(Eingabe!$F$14&gt;0,Eingabe!$E$14&gt;=93),"10."&amp;Eingabe!$D$14&amp;".93.1","")</f>
        <v/>
      </c>
      <c r="H1111" s="16" t="str">
        <f aca="false">IF(AND(Eingabe!$F$14&gt;0,Eingabe!$E$14&gt;=93),"10."&amp;Eingabe!$D$14&amp;".93.10 – 10."&amp;Eingabe!$D$14&amp;".93.250","")</f>
        <v/>
      </c>
      <c r="I1111" s="16" t="str">
        <f aca="false">IF(AND(Eingabe!$F$14&gt;0,Eingabe!$E$14&gt;=93),Eingabe!$B$6&amp;"-"&amp;Eingabe!$C$14&amp;"-Pächter","")</f>
        <v/>
      </c>
      <c r="J1111" s="16" t="str">
        <f aca="false">IF(AND(Eingabe!$F$14&gt;0,Eingabe!$E$14&gt;=93),"PPSK: Passwort Parzelle 93","")</f>
        <v/>
      </c>
      <c r="K1111" s="16" t="str">
        <f aca="false">IF(AND(Eingabe!$F$14&gt;0,Eingabe!$E$14&gt;=93),"1. Gerät: 10."&amp;Eingabe!$D$14&amp;".93.10, 2. Gerät: .11","")</f>
        <v/>
      </c>
    </row>
    <row r="1112" customFormat="false" ht="15" hidden="false" customHeight="false" outlineLevel="0" collapsed="false">
      <c r="A1112" s="16" t="str">
        <f aca="false">IF(AND(Eingabe!$F$14&gt;0,Eingabe!$E$14&gt;=94),6,"")</f>
        <v/>
      </c>
      <c r="B1112" s="16" t="str">
        <f aca="false">IF(AND(Eingabe!$F$14&gt;0,Eingabe!$E$14&gt;=94),Eingabe!$B$14,"")</f>
        <v/>
      </c>
      <c r="C1112" s="16" t="str">
        <f aca="false">IF(AND(Eingabe!$F$14&gt;0,Eingabe!$E$14&gt;=94),Eingabe!$C$14&amp;"-Paz."&amp;TEXT(94,"000"),"")</f>
        <v/>
      </c>
      <c r="D1112" s="16" t="str">
        <f aca="false">IF(AND(Eingabe!$F$14&gt;0,Eingabe!$E$14&gt;=94),94,"")</f>
        <v/>
      </c>
      <c r="E1112" s="16" t="str">
        <f aca="false">IF(AND(Eingabe!$F$14&gt;0,Eingabe!$E$14&gt;=94),IF((Eingabe!$G$14)&lt;=9,1000+(Eingabe!$G$14)*100,3000)+94,"")</f>
        <v/>
      </c>
      <c r="F1112" s="16" t="str">
        <f aca="false">IF(AND(Eingabe!$F$14&gt;0,Eingabe!$E$14&gt;=94),"10."&amp;Eingabe!$D$14&amp;".94.0/24","")</f>
        <v/>
      </c>
      <c r="G1112" s="16" t="str">
        <f aca="false">IF(AND(Eingabe!$F$14&gt;0,Eingabe!$E$14&gt;=94),"10."&amp;Eingabe!$D$14&amp;".94.1","")</f>
        <v/>
      </c>
      <c r="H1112" s="16" t="str">
        <f aca="false">IF(AND(Eingabe!$F$14&gt;0,Eingabe!$E$14&gt;=94),"10."&amp;Eingabe!$D$14&amp;".94.10 – 10."&amp;Eingabe!$D$14&amp;".94.250","")</f>
        <v/>
      </c>
      <c r="I1112" s="16" t="str">
        <f aca="false">IF(AND(Eingabe!$F$14&gt;0,Eingabe!$E$14&gt;=94),Eingabe!$B$6&amp;"-"&amp;Eingabe!$C$14&amp;"-Pächter","")</f>
        <v/>
      </c>
      <c r="J1112" s="16" t="str">
        <f aca="false">IF(AND(Eingabe!$F$14&gt;0,Eingabe!$E$14&gt;=94),"PPSK: Passwort Parzelle 94","")</f>
        <v/>
      </c>
      <c r="K1112" s="16" t="str">
        <f aca="false">IF(AND(Eingabe!$F$14&gt;0,Eingabe!$E$14&gt;=94),"1. Gerät: 10."&amp;Eingabe!$D$14&amp;".94.10, 2. Gerät: .11","")</f>
        <v/>
      </c>
    </row>
    <row r="1113" customFormat="false" ht="15" hidden="false" customHeight="false" outlineLevel="0" collapsed="false">
      <c r="A1113" s="16" t="str">
        <f aca="false">IF(AND(Eingabe!$F$14&gt;0,Eingabe!$E$14&gt;=95),6,"")</f>
        <v/>
      </c>
      <c r="B1113" s="16" t="str">
        <f aca="false">IF(AND(Eingabe!$F$14&gt;0,Eingabe!$E$14&gt;=95),Eingabe!$B$14,"")</f>
        <v/>
      </c>
      <c r="C1113" s="16" t="str">
        <f aca="false">IF(AND(Eingabe!$F$14&gt;0,Eingabe!$E$14&gt;=95),Eingabe!$C$14&amp;"-Paz."&amp;TEXT(95,"000"),"")</f>
        <v/>
      </c>
      <c r="D1113" s="16" t="str">
        <f aca="false">IF(AND(Eingabe!$F$14&gt;0,Eingabe!$E$14&gt;=95),95,"")</f>
        <v/>
      </c>
      <c r="E1113" s="16" t="str">
        <f aca="false">IF(AND(Eingabe!$F$14&gt;0,Eingabe!$E$14&gt;=95),IF((Eingabe!$G$14)&lt;=9,1000+(Eingabe!$G$14)*100,3000)+95,"")</f>
        <v/>
      </c>
      <c r="F1113" s="16" t="str">
        <f aca="false">IF(AND(Eingabe!$F$14&gt;0,Eingabe!$E$14&gt;=95),"10."&amp;Eingabe!$D$14&amp;".95.0/24","")</f>
        <v/>
      </c>
      <c r="G1113" s="16" t="str">
        <f aca="false">IF(AND(Eingabe!$F$14&gt;0,Eingabe!$E$14&gt;=95),"10."&amp;Eingabe!$D$14&amp;".95.1","")</f>
        <v/>
      </c>
      <c r="H1113" s="16" t="str">
        <f aca="false">IF(AND(Eingabe!$F$14&gt;0,Eingabe!$E$14&gt;=95),"10."&amp;Eingabe!$D$14&amp;".95.10 – 10."&amp;Eingabe!$D$14&amp;".95.250","")</f>
        <v/>
      </c>
      <c r="I1113" s="16" t="str">
        <f aca="false">IF(AND(Eingabe!$F$14&gt;0,Eingabe!$E$14&gt;=95),Eingabe!$B$6&amp;"-"&amp;Eingabe!$C$14&amp;"-Pächter","")</f>
        <v/>
      </c>
      <c r="J1113" s="16" t="str">
        <f aca="false">IF(AND(Eingabe!$F$14&gt;0,Eingabe!$E$14&gt;=95),"PPSK: Passwort Parzelle 95","")</f>
        <v/>
      </c>
      <c r="K1113" s="16" t="str">
        <f aca="false">IF(AND(Eingabe!$F$14&gt;0,Eingabe!$E$14&gt;=95),"1. Gerät: 10."&amp;Eingabe!$D$14&amp;".95.10, 2. Gerät: .11","")</f>
        <v/>
      </c>
    </row>
    <row r="1114" customFormat="false" ht="15" hidden="false" customHeight="false" outlineLevel="0" collapsed="false">
      <c r="A1114" s="16" t="str">
        <f aca="false">IF(AND(Eingabe!$F$14&gt;0,Eingabe!$E$14&gt;=96),6,"")</f>
        <v/>
      </c>
      <c r="B1114" s="16" t="str">
        <f aca="false">IF(AND(Eingabe!$F$14&gt;0,Eingabe!$E$14&gt;=96),Eingabe!$B$14,"")</f>
        <v/>
      </c>
      <c r="C1114" s="16" t="str">
        <f aca="false">IF(AND(Eingabe!$F$14&gt;0,Eingabe!$E$14&gt;=96),Eingabe!$C$14&amp;"-Paz."&amp;TEXT(96,"000"),"")</f>
        <v/>
      </c>
      <c r="D1114" s="16" t="str">
        <f aca="false">IF(AND(Eingabe!$F$14&gt;0,Eingabe!$E$14&gt;=96),96,"")</f>
        <v/>
      </c>
      <c r="E1114" s="16" t="str">
        <f aca="false">IF(AND(Eingabe!$F$14&gt;0,Eingabe!$E$14&gt;=96),IF((Eingabe!$G$14)&lt;=9,1000+(Eingabe!$G$14)*100,3000)+96,"")</f>
        <v/>
      </c>
      <c r="F1114" s="16" t="str">
        <f aca="false">IF(AND(Eingabe!$F$14&gt;0,Eingabe!$E$14&gt;=96),"10."&amp;Eingabe!$D$14&amp;".96.0/24","")</f>
        <v/>
      </c>
      <c r="G1114" s="16" t="str">
        <f aca="false">IF(AND(Eingabe!$F$14&gt;0,Eingabe!$E$14&gt;=96),"10."&amp;Eingabe!$D$14&amp;".96.1","")</f>
        <v/>
      </c>
      <c r="H1114" s="16" t="str">
        <f aca="false">IF(AND(Eingabe!$F$14&gt;0,Eingabe!$E$14&gt;=96),"10."&amp;Eingabe!$D$14&amp;".96.10 – 10."&amp;Eingabe!$D$14&amp;".96.250","")</f>
        <v/>
      </c>
      <c r="I1114" s="16" t="str">
        <f aca="false">IF(AND(Eingabe!$F$14&gt;0,Eingabe!$E$14&gt;=96),Eingabe!$B$6&amp;"-"&amp;Eingabe!$C$14&amp;"-Pächter","")</f>
        <v/>
      </c>
      <c r="J1114" s="16" t="str">
        <f aca="false">IF(AND(Eingabe!$F$14&gt;0,Eingabe!$E$14&gt;=96),"PPSK: Passwort Parzelle 96","")</f>
        <v/>
      </c>
      <c r="K1114" s="16" t="str">
        <f aca="false">IF(AND(Eingabe!$F$14&gt;0,Eingabe!$E$14&gt;=96),"1. Gerät: 10."&amp;Eingabe!$D$14&amp;".96.10, 2. Gerät: .11","")</f>
        <v/>
      </c>
    </row>
    <row r="1115" customFormat="false" ht="15" hidden="false" customHeight="false" outlineLevel="0" collapsed="false">
      <c r="A1115" s="16" t="str">
        <f aca="false">IF(AND(Eingabe!$F$14&gt;0,Eingabe!$E$14&gt;=97),6,"")</f>
        <v/>
      </c>
      <c r="B1115" s="16" t="str">
        <f aca="false">IF(AND(Eingabe!$F$14&gt;0,Eingabe!$E$14&gt;=97),Eingabe!$B$14,"")</f>
        <v/>
      </c>
      <c r="C1115" s="16" t="str">
        <f aca="false">IF(AND(Eingabe!$F$14&gt;0,Eingabe!$E$14&gt;=97),Eingabe!$C$14&amp;"-Paz."&amp;TEXT(97,"000"),"")</f>
        <v/>
      </c>
      <c r="D1115" s="16" t="str">
        <f aca="false">IF(AND(Eingabe!$F$14&gt;0,Eingabe!$E$14&gt;=97),97,"")</f>
        <v/>
      </c>
      <c r="E1115" s="16" t="str">
        <f aca="false">IF(AND(Eingabe!$F$14&gt;0,Eingabe!$E$14&gt;=97),IF((Eingabe!$G$14)&lt;=9,1000+(Eingabe!$G$14)*100,3000)+97,"")</f>
        <v/>
      </c>
      <c r="F1115" s="16" t="str">
        <f aca="false">IF(AND(Eingabe!$F$14&gt;0,Eingabe!$E$14&gt;=97),"10."&amp;Eingabe!$D$14&amp;".97.0/24","")</f>
        <v/>
      </c>
      <c r="G1115" s="16" t="str">
        <f aca="false">IF(AND(Eingabe!$F$14&gt;0,Eingabe!$E$14&gt;=97),"10."&amp;Eingabe!$D$14&amp;".97.1","")</f>
        <v/>
      </c>
      <c r="H1115" s="16" t="str">
        <f aca="false">IF(AND(Eingabe!$F$14&gt;0,Eingabe!$E$14&gt;=97),"10."&amp;Eingabe!$D$14&amp;".97.10 – 10."&amp;Eingabe!$D$14&amp;".97.250","")</f>
        <v/>
      </c>
      <c r="I1115" s="16" t="str">
        <f aca="false">IF(AND(Eingabe!$F$14&gt;0,Eingabe!$E$14&gt;=97),Eingabe!$B$6&amp;"-"&amp;Eingabe!$C$14&amp;"-Pächter","")</f>
        <v/>
      </c>
      <c r="J1115" s="16" t="str">
        <f aca="false">IF(AND(Eingabe!$F$14&gt;0,Eingabe!$E$14&gt;=97),"PPSK: Passwort Parzelle 97","")</f>
        <v/>
      </c>
      <c r="K1115" s="16" t="str">
        <f aca="false">IF(AND(Eingabe!$F$14&gt;0,Eingabe!$E$14&gt;=97),"1. Gerät: 10."&amp;Eingabe!$D$14&amp;".97.10, 2. Gerät: .11","")</f>
        <v/>
      </c>
    </row>
    <row r="1116" customFormat="false" ht="15" hidden="false" customHeight="false" outlineLevel="0" collapsed="false">
      <c r="A1116" s="16" t="str">
        <f aca="false">IF(AND(Eingabe!$F$14&gt;0,Eingabe!$E$14&gt;=98),6,"")</f>
        <v/>
      </c>
      <c r="B1116" s="16" t="str">
        <f aca="false">IF(AND(Eingabe!$F$14&gt;0,Eingabe!$E$14&gt;=98),Eingabe!$B$14,"")</f>
        <v/>
      </c>
      <c r="C1116" s="16" t="str">
        <f aca="false">IF(AND(Eingabe!$F$14&gt;0,Eingabe!$E$14&gt;=98),Eingabe!$C$14&amp;"-Paz."&amp;TEXT(98,"000"),"")</f>
        <v/>
      </c>
      <c r="D1116" s="16" t="str">
        <f aca="false">IF(AND(Eingabe!$F$14&gt;0,Eingabe!$E$14&gt;=98),98,"")</f>
        <v/>
      </c>
      <c r="E1116" s="16" t="str">
        <f aca="false">IF(AND(Eingabe!$F$14&gt;0,Eingabe!$E$14&gt;=98),IF((Eingabe!$G$14)&lt;=9,1000+(Eingabe!$G$14)*100,3000)+98,"")</f>
        <v/>
      </c>
      <c r="F1116" s="16" t="str">
        <f aca="false">IF(AND(Eingabe!$F$14&gt;0,Eingabe!$E$14&gt;=98),"10."&amp;Eingabe!$D$14&amp;".98.0/24","")</f>
        <v/>
      </c>
      <c r="G1116" s="16" t="str">
        <f aca="false">IF(AND(Eingabe!$F$14&gt;0,Eingabe!$E$14&gt;=98),"10."&amp;Eingabe!$D$14&amp;".98.1","")</f>
        <v/>
      </c>
      <c r="H1116" s="16" t="str">
        <f aca="false">IF(AND(Eingabe!$F$14&gt;0,Eingabe!$E$14&gt;=98),"10."&amp;Eingabe!$D$14&amp;".98.10 – 10."&amp;Eingabe!$D$14&amp;".98.250","")</f>
        <v/>
      </c>
      <c r="I1116" s="16" t="str">
        <f aca="false">IF(AND(Eingabe!$F$14&gt;0,Eingabe!$E$14&gt;=98),Eingabe!$B$6&amp;"-"&amp;Eingabe!$C$14&amp;"-Pächter","")</f>
        <v/>
      </c>
      <c r="J1116" s="16" t="str">
        <f aca="false">IF(AND(Eingabe!$F$14&gt;0,Eingabe!$E$14&gt;=98),"PPSK: Passwort Parzelle 98","")</f>
        <v/>
      </c>
      <c r="K1116" s="16" t="str">
        <f aca="false">IF(AND(Eingabe!$F$14&gt;0,Eingabe!$E$14&gt;=98),"1. Gerät: 10."&amp;Eingabe!$D$14&amp;".98.10, 2. Gerät: .11","")</f>
        <v/>
      </c>
    </row>
    <row r="1117" customFormat="false" ht="15" hidden="false" customHeight="false" outlineLevel="0" collapsed="false">
      <c r="A1117" s="16" t="str">
        <f aca="false">IF(AND(Eingabe!$F$14&gt;0,Eingabe!$E$14&gt;=99),6,"")</f>
        <v/>
      </c>
      <c r="B1117" s="16" t="str">
        <f aca="false">IF(AND(Eingabe!$F$14&gt;0,Eingabe!$E$14&gt;=99),Eingabe!$B$14,"")</f>
        <v/>
      </c>
      <c r="C1117" s="16" t="str">
        <f aca="false">IF(AND(Eingabe!$F$14&gt;0,Eingabe!$E$14&gt;=99),Eingabe!$C$14&amp;"-Paz."&amp;TEXT(99,"000"),"")</f>
        <v/>
      </c>
      <c r="D1117" s="16" t="str">
        <f aca="false">IF(AND(Eingabe!$F$14&gt;0,Eingabe!$E$14&gt;=99),99,"")</f>
        <v/>
      </c>
      <c r="E1117" s="16" t="str">
        <f aca="false">IF(AND(Eingabe!$F$14&gt;0,Eingabe!$E$14&gt;=99),IF((Eingabe!$G$14)&lt;=9,1000+(Eingabe!$G$14)*100,3000)+99,"")</f>
        <v/>
      </c>
      <c r="F1117" s="16" t="str">
        <f aca="false">IF(AND(Eingabe!$F$14&gt;0,Eingabe!$E$14&gt;=99),"10."&amp;Eingabe!$D$14&amp;".99.0/24","")</f>
        <v/>
      </c>
      <c r="G1117" s="16" t="str">
        <f aca="false">IF(AND(Eingabe!$F$14&gt;0,Eingabe!$E$14&gt;=99),"10."&amp;Eingabe!$D$14&amp;".99.1","")</f>
        <v/>
      </c>
      <c r="H1117" s="16" t="str">
        <f aca="false">IF(AND(Eingabe!$F$14&gt;0,Eingabe!$E$14&gt;=99),"10."&amp;Eingabe!$D$14&amp;".99.10 – 10."&amp;Eingabe!$D$14&amp;".99.250","")</f>
        <v/>
      </c>
      <c r="I1117" s="16" t="str">
        <f aca="false">IF(AND(Eingabe!$F$14&gt;0,Eingabe!$E$14&gt;=99),Eingabe!$B$6&amp;"-"&amp;Eingabe!$C$14&amp;"-Pächter","")</f>
        <v/>
      </c>
      <c r="J1117" s="16" t="str">
        <f aca="false">IF(AND(Eingabe!$F$14&gt;0,Eingabe!$E$14&gt;=99),"PPSK: Passwort Parzelle 99","")</f>
        <v/>
      </c>
      <c r="K1117" s="16" t="str">
        <f aca="false">IF(AND(Eingabe!$F$14&gt;0,Eingabe!$E$14&gt;=99),"1. Gerät: 10."&amp;Eingabe!$D$14&amp;".99.10, 2. Gerät: .11","")</f>
        <v/>
      </c>
    </row>
    <row r="1118" customFormat="false" ht="15" hidden="false" customHeight="false" outlineLevel="0" collapsed="false">
      <c r="A1118" s="16" t="str">
        <f aca="false">IF(AND(Eingabe!$F$14&gt;0,Eingabe!$E$14&gt;=100),6,"")</f>
        <v/>
      </c>
      <c r="B1118" s="16" t="str">
        <f aca="false">IF(AND(Eingabe!$F$14&gt;0,Eingabe!$E$14&gt;=100),Eingabe!$B$14,"")</f>
        <v/>
      </c>
      <c r="C1118" s="16" t="str">
        <f aca="false">IF(AND(Eingabe!$F$14&gt;0,Eingabe!$E$14&gt;=100),Eingabe!$C$14&amp;"-Paz."&amp;TEXT(100,"000"),"")</f>
        <v/>
      </c>
      <c r="D1118" s="16" t="str">
        <f aca="false">IF(AND(Eingabe!$F$14&gt;0,Eingabe!$E$14&gt;=100),100,"")</f>
        <v/>
      </c>
      <c r="E1118" s="16" t="str">
        <f aca="false">IF(AND(Eingabe!$F$14&gt;0,Eingabe!$E$14&gt;=100),IF((Eingabe!$G$14+1)&lt;=9,1000+(Eingabe!$G$14+1)*100,3000)+0,"")</f>
        <v/>
      </c>
      <c r="F1118" s="16" t="str">
        <f aca="false">IF(AND(Eingabe!$F$14&gt;0,Eingabe!$E$14&gt;=100),"10."&amp;Eingabe!$D$14&amp;".100.0/24","")</f>
        <v/>
      </c>
      <c r="G1118" s="16" t="str">
        <f aca="false">IF(AND(Eingabe!$F$14&gt;0,Eingabe!$E$14&gt;=100),"10."&amp;Eingabe!$D$14&amp;".100.1","")</f>
        <v/>
      </c>
      <c r="H1118" s="16" t="str">
        <f aca="false">IF(AND(Eingabe!$F$14&gt;0,Eingabe!$E$14&gt;=100),"10."&amp;Eingabe!$D$14&amp;".100.10 – 10."&amp;Eingabe!$D$14&amp;".100.250","")</f>
        <v/>
      </c>
      <c r="I1118" s="16" t="str">
        <f aca="false">IF(AND(Eingabe!$F$14&gt;0,Eingabe!$E$14&gt;=100),Eingabe!$B$6&amp;"-"&amp;Eingabe!$C$14&amp;"-Pächter","")</f>
        <v/>
      </c>
      <c r="J1118" s="16" t="str">
        <f aca="false">IF(AND(Eingabe!$F$14&gt;0,Eingabe!$E$14&gt;=100),"PPSK: Passwort Parzelle 100","")</f>
        <v/>
      </c>
      <c r="K1118" s="16" t="str">
        <f aca="false">IF(AND(Eingabe!$F$14&gt;0,Eingabe!$E$14&gt;=100),"1. Gerät: 10."&amp;Eingabe!$D$14&amp;".100.10, 2. Gerät: .11","")</f>
        <v/>
      </c>
    </row>
    <row r="1119" customFormat="false" ht="15" hidden="false" customHeight="false" outlineLevel="0" collapsed="false">
      <c r="A1119" s="16" t="str">
        <f aca="false">IF(AND(Eingabe!$F$14&gt;0,Eingabe!$E$14&gt;=101),6,"")</f>
        <v/>
      </c>
      <c r="B1119" s="16" t="str">
        <f aca="false">IF(AND(Eingabe!$F$14&gt;0,Eingabe!$E$14&gt;=101),Eingabe!$B$14,"")</f>
        <v/>
      </c>
      <c r="C1119" s="16" t="str">
        <f aca="false">IF(AND(Eingabe!$F$14&gt;0,Eingabe!$E$14&gt;=101),Eingabe!$C$14&amp;"-Paz."&amp;TEXT(101,"000"),"")</f>
        <v/>
      </c>
      <c r="D1119" s="16" t="str">
        <f aca="false">IF(AND(Eingabe!$F$14&gt;0,Eingabe!$E$14&gt;=101),101,"")</f>
        <v/>
      </c>
      <c r="E1119" s="16" t="str">
        <f aca="false">IF(AND(Eingabe!$F$14&gt;0,Eingabe!$E$14&gt;=101),IF((Eingabe!$G$14+1)&lt;=9,1000+(Eingabe!$G$14+1)*100,3000)+1,"")</f>
        <v/>
      </c>
      <c r="F1119" s="16" t="str">
        <f aca="false">IF(AND(Eingabe!$F$14&gt;0,Eingabe!$E$14&gt;=101),"10."&amp;Eingabe!$D$14&amp;".101.0/24","")</f>
        <v/>
      </c>
      <c r="G1119" s="16" t="str">
        <f aca="false">IF(AND(Eingabe!$F$14&gt;0,Eingabe!$E$14&gt;=101),"10."&amp;Eingabe!$D$14&amp;".101.1","")</f>
        <v/>
      </c>
      <c r="H1119" s="16" t="str">
        <f aca="false">IF(AND(Eingabe!$F$14&gt;0,Eingabe!$E$14&gt;=101),"10."&amp;Eingabe!$D$14&amp;".101.10 – 10."&amp;Eingabe!$D$14&amp;".101.250","")</f>
        <v/>
      </c>
      <c r="I1119" s="16" t="str">
        <f aca="false">IF(AND(Eingabe!$F$14&gt;0,Eingabe!$E$14&gt;=101),Eingabe!$B$6&amp;"-"&amp;Eingabe!$C$14&amp;"-Pächter","")</f>
        <v/>
      </c>
      <c r="J1119" s="16" t="str">
        <f aca="false">IF(AND(Eingabe!$F$14&gt;0,Eingabe!$E$14&gt;=101),"PPSK: Passwort Parzelle 101","")</f>
        <v/>
      </c>
      <c r="K1119" s="16" t="str">
        <f aca="false">IF(AND(Eingabe!$F$14&gt;0,Eingabe!$E$14&gt;=101),"1. Gerät: 10."&amp;Eingabe!$D$14&amp;".101.10, 2. Gerät: .11","")</f>
        <v/>
      </c>
    </row>
    <row r="1120" customFormat="false" ht="15" hidden="false" customHeight="false" outlineLevel="0" collapsed="false">
      <c r="A1120" s="16" t="str">
        <f aca="false">IF(AND(Eingabe!$F$14&gt;0,Eingabe!$E$14&gt;=102),6,"")</f>
        <v/>
      </c>
      <c r="B1120" s="16" t="str">
        <f aca="false">IF(AND(Eingabe!$F$14&gt;0,Eingabe!$E$14&gt;=102),Eingabe!$B$14,"")</f>
        <v/>
      </c>
      <c r="C1120" s="16" t="str">
        <f aca="false">IF(AND(Eingabe!$F$14&gt;0,Eingabe!$E$14&gt;=102),Eingabe!$C$14&amp;"-Paz."&amp;TEXT(102,"000"),"")</f>
        <v/>
      </c>
      <c r="D1120" s="16" t="str">
        <f aca="false">IF(AND(Eingabe!$F$14&gt;0,Eingabe!$E$14&gt;=102),102,"")</f>
        <v/>
      </c>
      <c r="E1120" s="16" t="str">
        <f aca="false">IF(AND(Eingabe!$F$14&gt;0,Eingabe!$E$14&gt;=102),IF((Eingabe!$G$14+1)&lt;=9,1000+(Eingabe!$G$14+1)*100,3000)+2,"")</f>
        <v/>
      </c>
      <c r="F1120" s="16" t="str">
        <f aca="false">IF(AND(Eingabe!$F$14&gt;0,Eingabe!$E$14&gt;=102),"10."&amp;Eingabe!$D$14&amp;".102.0/24","")</f>
        <v/>
      </c>
      <c r="G1120" s="16" t="str">
        <f aca="false">IF(AND(Eingabe!$F$14&gt;0,Eingabe!$E$14&gt;=102),"10."&amp;Eingabe!$D$14&amp;".102.1","")</f>
        <v/>
      </c>
      <c r="H1120" s="16" t="str">
        <f aca="false">IF(AND(Eingabe!$F$14&gt;0,Eingabe!$E$14&gt;=102),"10."&amp;Eingabe!$D$14&amp;".102.10 – 10."&amp;Eingabe!$D$14&amp;".102.250","")</f>
        <v/>
      </c>
      <c r="I1120" s="16" t="str">
        <f aca="false">IF(AND(Eingabe!$F$14&gt;0,Eingabe!$E$14&gt;=102),Eingabe!$B$6&amp;"-"&amp;Eingabe!$C$14&amp;"-Pächter","")</f>
        <v/>
      </c>
      <c r="J1120" s="16" t="str">
        <f aca="false">IF(AND(Eingabe!$F$14&gt;0,Eingabe!$E$14&gt;=102),"PPSK: Passwort Parzelle 102","")</f>
        <v/>
      </c>
      <c r="K1120" s="16" t="str">
        <f aca="false">IF(AND(Eingabe!$F$14&gt;0,Eingabe!$E$14&gt;=102),"1. Gerät: 10."&amp;Eingabe!$D$14&amp;".102.10, 2. Gerät: .11","")</f>
        <v/>
      </c>
    </row>
    <row r="1121" customFormat="false" ht="15" hidden="false" customHeight="false" outlineLevel="0" collapsed="false">
      <c r="A1121" s="16" t="str">
        <f aca="false">IF(AND(Eingabe!$F$14&gt;0,Eingabe!$E$14&gt;=103),6,"")</f>
        <v/>
      </c>
      <c r="B1121" s="16" t="str">
        <f aca="false">IF(AND(Eingabe!$F$14&gt;0,Eingabe!$E$14&gt;=103),Eingabe!$B$14,"")</f>
        <v/>
      </c>
      <c r="C1121" s="16" t="str">
        <f aca="false">IF(AND(Eingabe!$F$14&gt;0,Eingabe!$E$14&gt;=103),Eingabe!$C$14&amp;"-Paz."&amp;TEXT(103,"000"),"")</f>
        <v/>
      </c>
      <c r="D1121" s="16" t="str">
        <f aca="false">IF(AND(Eingabe!$F$14&gt;0,Eingabe!$E$14&gt;=103),103,"")</f>
        <v/>
      </c>
      <c r="E1121" s="16" t="str">
        <f aca="false">IF(AND(Eingabe!$F$14&gt;0,Eingabe!$E$14&gt;=103),IF((Eingabe!$G$14+1)&lt;=9,1000+(Eingabe!$G$14+1)*100,3000)+3,"")</f>
        <v/>
      </c>
      <c r="F1121" s="16" t="str">
        <f aca="false">IF(AND(Eingabe!$F$14&gt;0,Eingabe!$E$14&gt;=103),"10."&amp;Eingabe!$D$14&amp;".103.0/24","")</f>
        <v/>
      </c>
      <c r="G1121" s="16" t="str">
        <f aca="false">IF(AND(Eingabe!$F$14&gt;0,Eingabe!$E$14&gt;=103),"10."&amp;Eingabe!$D$14&amp;".103.1","")</f>
        <v/>
      </c>
      <c r="H1121" s="16" t="str">
        <f aca="false">IF(AND(Eingabe!$F$14&gt;0,Eingabe!$E$14&gt;=103),"10."&amp;Eingabe!$D$14&amp;".103.10 – 10."&amp;Eingabe!$D$14&amp;".103.250","")</f>
        <v/>
      </c>
      <c r="I1121" s="16" t="str">
        <f aca="false">IF(AND(Eingabe!$F$14&gt;0,Eingabe!$E$14&gt;=103),Eingabe!$B$6&amp;"-"&amp;Eingabe!$C$14&amp;"-Pächter","")</f>
        <v/>
      </c>
      <c r="J1121" s="16" t="str">
        <f aca="false">IF(AND(Eingabe!$F$14&gt;0,Eingabe!$E$14&gt;=103),"PPSK: Passwort Parzelle 103","")</f>
        <v/>
      </c>
      <c r="K1121" s="16" t="str">
        <f aca="false">IF(AND(Eingabe!$F$14&gt;0,Eingabe!$E$14&gt;=103),"1. Gerät: 10."&amp;Eingabe!$D$14&amp;".103.10, 2. Gerät: .11","")</f>
        <v/>
      </c>
    </row>
    <row r="1122" customFormat="false" ht="15" hidden="false" customHeight="false" outlineLevel="0" collapsed="false">
      <c r="A1122" s="16" t="str">
        <f aca="false">IF(AND(Eingabe!$F$14&gt;0,Eingabe!$E$14&gt;=104),6,"")</f>
        <v/>
      </c>
      <c r="B1122" s="16" t="str">
        <f aca="false">IF(AND(Eingabe!$F$14&gt;0,Eingabe!$E$14&gt;=104),Eingabe!$B$14,"")</f>
        <v/>
      </c>
      <c r="C1122" s="16" t="str">
        <f aca="false">IF(AND(Eingabe!$F$14&gt;0,Eingabe!$E$14&gt;=104),Eingabe!$C$14&amp;"-Paz."&amp;TEXT(104,"000"),"")</f>
        <v/>
      </c>
      <c r="D1122" s="16" t="str">
        <f aca="false">IF(AND(Eingabe!$F$14&gt;0,Eingabe!$E$14&gt;=104),104,"")</f>
        <v/>
      </c>
      <c r="E1122" s="16" t="str">
        <f aca="false">IF(AND(Eingabe!$F$14&gt;0,Eingabe!$E$14&gt;=104),IF((Eingabe!$G$14+1)&lt;=9,1000+(Eingabe!$G$14+1)*100,3000)+4,"")</f>
        <v/>
      </c>
      <c r="F1122" s="16" t="str">
        <f aca="false">IF(AND(Eingabe!$F$14&gt;0,Eingabe!$E$14&gt;=104),"10."&amp;Eingabe!$D$14&amp;".104.0/24","")</f>
        <v/>
      </c>
      <c r="G1122" s="16" t="str">
        <f aca="false">IF(AND(Eingabe!$F$14&gt;0,Eingabe!$E$14&gt;=104),"10."&amp;Eingabe!$D$14&amp;".104.1","")</f>
        <v/>
      </c>
      <c r="H1122" s="16" t="str">
        <f aca="false">IF(AND(Eingabe!$F$14&gt;0,Eingabe!$E$14&gt;=104),"10."&amp;Eingabe!$D$14&amp;".104.10 – 10."&amp;Eingabe!$D$14&amp;".104.250","")</f>
        <v/>
      </c>
      <c r="I1122" s="16" t="str">
        <f aca="false">IF(AND(Eingabe!$F$14&gt;0,Eingabe!$E$14&gt;=104),Eingabe!$B$6&amp;"-"&amp;Eingabe!$C$14&amp;"-Pächter","")</f>
        <v/>
      </c>
      <c r="J1122" s="16" t="str">
        <f aca="false">IF(AND(Eingabe!$F$14&gt;0,Eingabe!$E$14&gt;=104),"PPSK: Passwort Parzelle 104","")</f>
        <v/>
      </c>
      <c r="K1122" s="16" t="str">
        <f aca="false">IF(AND(Eingabe!$F$14&gt;0,Eingabe!$E$14&gt;=104),"1. Gerät: 10."&amp;Eingabe!$D$14&amp;".104.10, 2. Gerät: .11","")</f>
        <v/>
      </c>
    </row>
    <row r="1123" customFormat="false" ht="15" hidden="false" customHeight="false" outlineLevel="0" collapsed="false">
      <c r="A1123" s="16" t="str">
        <f aca="false">IF(AND(Eingabe!$F$14&gt;0,Eingabe!$E$14&gt;=105),6,"")</f>
        <v/>
      </c>
      <c r="B1123" s="16" t="str">
        <f aca="false">IF(AND(Eingabe!$F$14&gt;0,Eingabe!$E$14&gt;=105),Eingabe!$B$14,"")</f>
        <v/>
      </c>
      <c r="C1123" s="16" t="str">
        <f aca="false">IF(AND(Eingabe!$F$14&gt;0,Eingabe!$E$14&gt;=105),Eingabe!$C$14&amp;"-Paz."&amp;TEXT(105,"000"),"")</f>
        <v/>
      </c>
      <c r="D1123" s="16" t="str">
        <f aca="false">IF(AND(Eingabe!$F$14&gt;0,Eingabe!$E$14&gt;=105),105,"")</f>
        <v/>
      </c>
      <c r="E1123" s="16" t="str">
        <f aca="false">IF(AND(Eingabe!$F$14&gt;0,Eingabe!$E$14&gt;=105),IF((Eingabe!$G$14+1)&lt;=9,1000+(Eingabe!$G$14+1)*100,3000)+5,"")</f>
        <v/>
      </c>
      <c r="F1123" s="16" t="str">
        <f aca="false">IF(AND(Eingabe!$F$14&gt;0,Eingabe!$E$14&gt;=105),"10."&amp;Eingabe!$D$14&amp;".105.0/24","")</f>
        <v/>
      </c>
      <c r="G1123" s="16" t="str">
        <f aca="false">IF(AND(Eingabe!$F$14&gt;0,Eingabe!$E$14&gt;=105),"10."&amp;Eingabe!$D$14&amp;".105.1","")</f>
        <v/>
      </c>
      <c r="H1123" s="16" t="str">
        <f aca="false">IF(AND(Eingabe!$F$14&gt;0,Eingabe!$E$14&gt;=105),"10."&amp;Eingabe!$D$14&amp;".105.10 – 10."&amp;Eingabe!$D$14&amp;".105.250","")</f>
        <v/>
      </c>
      <c r="I1123" s="16" t="str">
        <f aca="false">IF(AND(Eingabe!$F$14&gt;0,Eingabe!$E$14&gt;=105),Eingabe!$B$6&amp;"-"&amp;Eingabe!$C$14&amp;"-Pächter","")</f>
        <v/>
      </c>
      <c r="J1123" s="16" t="str">
        <f aca="false">IF(AND(Eingabe!$F$14&gt;0,Eingabe!$E$14&gt;=105),"PPSK: Passwort Parzelle 105","")</f>
        <v/>
      </c>
      <c r="K1123" s="16" t="str">
        <f aca="false">IF(AND(Eingabe!$F$14&gt;0,Eingabe!$E$14&gt;=105),"1. Gerät: 10."&amp;Eingabe!$D$14&amp;".105.10, 2. Gerät: .11","")</f>
        <v/>
      </c>
    </row>
    <row r="1124" customFormat="false" ht="15" hidden="false" customHeight="false" outlineLevel="0" collapsed="false">
      <c r="A1124" s="16" t="str">
        <f aca="false">IF(AND(Eingabe!$F$14&gt;0,Eingabe!$E$14&gt;=106),6,"")</f>
        <v/>
      </c>
      <c r="B1124" s="16" t="str">
        <f aca="false">IF(AND(Eingabe!$F$14&gt;0,Eingabe!$E$14&gt;=106),Eingabe!$B$14,"")</f>
        <v/>
      </c>
      <c r="C1124" s="16" t="str">
        <f aca="false">IF(AND(Eingabe!$F$14&gt;0,Eingabe!$E$14&gt;=106),Eingabe!$C$14&amp;"-Paz."&amp;TEXT(106,"000"),"")</f>
        <v/>
      </c>
      <c r="D1124" s="16" t="str">
        <f aca="false">IF(AND(Eingabe!$F$14&gt;0,Eingabe!$E$14&gt;=106),106,"")</f>
        <v/>
      </c>
      <c r="E1124" s="16" t="str">
        <f aca="false">IF(AND(Eingabe!$F$14&gt;0,Eingabe!$E$14&gt;=106),IF((Eingabe!$G$14+1)&lt;=9,1000+(Eingabe!$G$14+1)*100,3000)+6,"")</f>
        <v/>
      </c>
      <c r="F1124" s="16" t="str">
        <f aca="false">IF(AND(Eingabe!$F$14&gt;0,Eingabe!$E$14&gt;=106),"10."&amp;Eingabe!$D$14&amp;".106.0/24","")</f>
        <v/>
      </c>
      <c r="G1124" s="16" t="str">
        <f aca="false">IF(AND(Eingabe!$F$14&gt;0,Eingabe!$E$14&gt;=106),"10."&amp;Eingabe!$D$14&amp;".106.1","")</f>
        <v/>
      </c>
      <c r="H1124" s="16" t="str">
        <f aca="false">IF(AND(Eingabe!$F$14&gt;0,Eingabe!$E$14&gt;=106),"10."&amp;Eingabe!$D$14&amp;".106.10 – 10."&amp;Eingabe!$D$14&amp;".106.250","")</f>
        <v/>
      </c>
      <c r="I1124" s="16" t="str">
        <f aca="false">IF(AND(Eingabe!$F$14&gt;0,Eingabe!$E$14&gt;=106),Eingabe!$B$6&amp;"-"&amp;Eingabe!$C$14&amp;"-Pächter","")</f>
        <v/>
      </c>
      <c r="J1124" s="16" t="str">
        <f aca="false">IF(AND(Eingabe!$F$14&gt;0,Eingabe!$E$14&gt;=106),"PPSK: Passwort Parzelle 106","")</f>
        <v/>
      </c>
      <c r="K1124" s="16" t="str">
        <f aca="false">IF(AND(Eingabe!$F$14&gt;0,Eingabe!$E$14&gt;=106),"1. Gerät: 10."&amp;Eingabe!$D$14&amp;".106.10, 2. Gerät: .11","")</f>
        <v/>
      </c>
    </row>
    <row r="1125" customFormat="false" ht="15" hidden="false" customHeight="false" outlineLevel="0" collapsed="false">
      <c r="A1125" s="16" t="str">
        <f aca="false">IF(AND(Eingabe!$F$14&gt;0,Eingabe!$E$14&gt;=107),6,"")</f>
        <v/>
      </c>
      <c r="B1125" s="16" t="str">
        <f aca="false">IF(AND(Eingabe!$F$14&gt;0,Eingabe!$E$14&gt;=107),Eingabe!$B$14,"")</f>
        <v/>
      </c>
      <c r="C1125" s="16" t="str">
        <f aca="false">IF(AND(Eingabe!$F$14&gt;0,Eingabe!$E$14&gt;=107),Eingabe!$C$14&amp;"-Paz."&amp;TEXT(107,"000"),"")</f>
        <v/>
      </c>
      <c r="D1125" s="16" t="str">
        <f aca="false">IF(AND(Eingabe!$F$14&gt;0,Eingabe!$E$14&gt;=107),107,"")</f>
        <v/>
      </c>
      <c r="E1125" s="16" t="str">
        <f aca="false">IF(AND(Eingabe!$F$14&gt;0,Eingabe!$E$14&gt;=107),IF((Eingabe!$G$14+1)&lt;=9,1000+(Eingabe!$G$14+1)*100,3000)+7,"")</f>
        <v/>
      </c>
      <c r="F1125" s="16" t="str">
        <f aca="false">IF(AND(Eingabe!$F$14&gt;0,Eingabe!$E$14&gt;=107),"10."&amp;Eingabe!$D$14&amp;".107.0/24","")</f>
        <v/>
      </c>
      <c r="G1125" s="16" t="str">
        <f aca="false">IF(AND(Eingabe!$F$14&gt;0,Eingabe!$E$14&gt;=107),"10."&amp;Eingabe!$D$14&amp;".107.1","")</f>
        <v/>
      </c>
      <c r="H1125" s="16" t="str">
        <f aca="false">IF(AND(Eingabe!$F$14&gt;0,Eingabe!$E$14&gt;=107),"10."&amp;Eingabe!$D$14&amp;".107.10 – 10."&amp;Eingabe!$D$14&amp;".107.250","")</f>
        <v/>
      </c>
      <c r="I1125" s="16" t="str">
        <f aca="false">IF(AND(Eingabe!$F$14&gt;0,Eingabe!$E$14&gt;=107),Eingabe!$B$6&amp;"-"&amp;Eingabe!$C$14&amp;"-Pächter","")</f>
        <v/>
      </c>
      <c r="J1125" s="16" t="str">
        <f aca="false">IF(AND(Eingabe!$F$14&gt;0,Eingabe!$E$14&gt;=107),"PPSK: Passwort Parzelle 107","")</f>
        <v/>
      </c>
      <c r="K1125" s="16" t="str">
        <f aca="false">IF(AND(Eingabe!$F$14&gt;0,Eingabe!$E$14&gt;=107),"1. Gerät: 10."&amp;Eingabe!$D$14&amp;".107.10, 2. Gerät: .11","")</f>
        <v/>
      </c>
    </row>
    <row r="1126" customFormat="false" ht="15" hidden="false" customHeight="false" outlineLevel="0" collapsed="false">
      <c r="A1126" s="16" t="str">
        <f aca="false">IF(AND(Eingabe!$F$14&gt;0,Eingabe!$E$14&gt;=108),6,"")</f>
        <v/>
      </c>
      <c r="B1126" s="16" t="str">
        <f aca="false">IF(AND(Eingabe!$F$14&gt;0,Eingabe!$E$14&gt;=108),Eingabe!$B$14,"")</f>
        <v/>
      </c>
      <c r="C1126" s="16" t="str">
        <f aca="false">IF(AND(Eingabe!$F$14&gt;0,Eingabe!$E$14&gt;=108),Eingabe!$C$14&amp;"-Paz."&amp;TEXT(108,"000"),"")</f>
        <v/>
      </c>
      <c r="D1126" s="16" t="str">
        <f aca="false">IF(AND(Eingabe!$F$14&gt;0,Eingabe!$E$14&gt;=108),108,"")</f>
        <v/>
      </c>
      <c r="E1126" s="16" t="str">
        <f aca="false">IF(AND(Eingabe!$F$14&gt;0,Eingabe!$E$14&gt;=108),IF((Eingabe!$G$14+1)&lt;=9,1000+(Eingabe!$G$14+1)*100,3000)+8,"")</f>
        <v/>
      </c>
      <c r="F1126" s="16" t="str">
        <f aca="false">IF(AND(Eingabe!$F$14&gt;0,Eingabe!$E$14&gt;=108),"10."&amp;Eingabe!$D$14&amp;".108.0/24","")</f>
        <v/>
      </c>
      <c r="G1126" s="16" t="str">
        <f aca="false">IF(AND(Eingabe!$F$14&gt;0,Eingabe!$E$14&gt;=108),"10."&amp;Eingabe!$D$14&amp;".108.1","")</f>
        <v/>
      </c>
      <c r="H1126" s="16" t="str">
        <f aca="false">IF(AND(Eingabe!$F$14&gt;0,Eingabe!$E$14&gt;=108),"10."&amp;Eingabe!$D$14&amp;".108.10 – 10."&amp;Eingabe!$D$14&amp;".108.250","")</f>
        <v/>
      </c>
      <c r="I1126" s="16" t="str">
        <f aca="false">IF(AND(Eingabe!$F$14&gt;0,Eingabe!$E$14&gt;=108),Eingabe!$B$6&amp;"-"&amp;Eingabe!$C$14&amp;"-Pächter","")</f>
        <v/>
      </c>
      <c r="J1126" s="16" t="str">
        <f aca="false">IF(AND(Eingabe!$F$14&gt;0,Eingabe!$E$14&gt;=108),"PPSK: Passwort Parzelle 108","")</f>
        <v/>
      </c>
      <c r="K1126" s="16" t="str">
        <f aca="false">IF(AND(Eingabe!$F$14&gt;0,Eingabe!$E$14&gt;=108),"1. Gerät: 10."&amp;Eingabe!$D$14&amp;".108.10, 2. Gerät: .11","")</f>
        <v/>
      </c>
    </row>
    <row r="1127" customFormat="false" ht="15" hidden="false" customHeight="false" outlineLevel="0" collapsed="false">
      <c r="A1127" s="16" t="str">
        <f aca="false">IF(AND(Eingabe!$F$14&gt;0,Eingabe!$E$14&gt;=109),6,"")</f>
        <v/>
      </c>
      <c r="B1127" s="16" t="str">
        <f aca="false">IF(AND(Eingabe!$F$14&gt;0,Eingabe!$E$14&gt;=109),Eingabe!$B$14,"")</f>
        <v/>
      </c>
      <c r="C1127" s="16" t="str">
        <f aca="false">IF(AND(Eingabe!$F$14&gt;0,Eingabe!$E$14&gt;=109),Eingabe!$C$14&amp;"-Paz."&amp;TEXT(109,"000"),"")</f>
        <v/>
      </c>
      <c r="D1127" s="16" t="str">
        <f aca="false">IF(AND(Eingabe!$F$14&gt;0,Eingabe!$E$14&gt;=109),109,"")</f>
        <v/>
      </c>
      <c r="E1127" s="16" t="str">
        <f aca="false">IF(AND(Eingabe!$F$14&gt;0,Eingabe!$E$14&gt;=109),IF((Eingabe!$G$14+1)&lt;=9,1000+(Eingabe!$G$14+1)*100,3000)+9,"")</f>
        <v/>
      </c>
      <c r="F1127" s="16" t="str">
        <f aca="false">IF(AND(Eingabe!$F$14&gt;0,Eingabe!$E$14&gt;=109),"10."&amp;Eingabe!$D$14&amp;".109.0/24","")</f>
        <v/>
      </c>
      <c r="G1127" s="16" t="str">
        <f aca="false">IF(AND(Eingabe!$F$14&gt;0,Eingabe!$E$14&gt;=109),"10."&amp;Eingabe!$D$14&amp;".109.1","")</f>
        <v/>
      </c>
      <c r="H1127" s="16" t="str">
        <f aca="false">IF(AND(Eingabe!$F$14&gt;0,Eingabe!$E$14&gt;=109),"10."&amp;Eingabe!$D$14&amp;".109.10 – 10."&amp;Eingabe!$D$14&amp;".109.250","")</f>
        <v/>
      </c>
      <c r="I1127" s="16" t="str">
        <f aca="false">IF(AND(Eingabe!$F$14&gt;0,Eingabe!$E$14&gt;=109),Eingabe!$B$6&amp;"-"&amp;Eingabe!$C$14&amp;"-Pächter","")</f>
        <v/>
      </c>
      <c r="J1127" s="16" t="str">
        <f aca="false">IF(AND(Eingabe!$F$14&gt;0,Eingabe!$E$14&gt;=109),"PPSK: Passwort Parzelle 109","")</f>
        <v/>
      </c>
      <c r="K1127" s="16" t="str">
        <f aca="false">IF(AND(Eingabe!$F$14&gt;0,Eingabe!$E$14&gt;=109),"1. Gerät: 10."&amp;Eingabe!$D$14&amp;".109.10, 2. Gerät: .11","")</f>
        <v/>
      </c>
    </row>
    <row r="1128" customFormat="false" ht="15" hidden="false" customHeight="false" outlineLevel="0" collapsed="false">
      <c r="A1128" s="16" t="str">
        <f aca="false">IF(AND(Eingabe!$F$14&gt;0,Eingabe!$E$14&gt;=110),6,"")</f>
        <v/>
      </c>
      <c r="B1128" s="16" t="str">
        <f aca="false">IF(AND(Eingabe!$F$14&gt;0,Eingabe!$E$14&gt;=110),Eingabe!$B$14,"")</f>
        <v/>
      </c>
      <c r="C1128" s="16" t="str">
        <f aca="false">IF(AND(Eingabe!$F$14&gt;0,Eingabe!$E$14&gt;=110),Eingabe!$C$14&amp;"-Paz."&amp;TEXT(110,"000"),"")</f>
        <v/>
      </c>
      <c r="D1128" s="16" t="str">
        <f aca="false">IF(AND(Eingabe!$F$14&gt;0,Eingabe!$E$14&gt;=110),110,"")</f>
        <v/>
      </c>
      <c r="E1128" s="16" t="str">
        <f aca="false">IF(AND(Eingabe!$F$14&gt;0,Eingabe!$E$14&gt;=110),IF((Eingabe!$G$14+1)&lt;=9,1000+(Eingabe!$G$14+1)*100,3000)+10,"")</f>
        <v/>
      </c>
      <c r="F1128" s="16" t="str">
        <f aca="false">IF(AND(Eingabe!$F$14&gt;0,Eingabe!$E$14&gt;=110),"10."&amp;Eingabe!$D$14&amp;".110.0/24","")</f>
        <v/>
      </c>
      <c r="G1128" s="16" t="str">
        <f aca="false">IF(AND(Eingabe!$F$14&gt;0,Eingabe!$E$14&gt;=110),"10."&amp;Eingabe!$D$14&amp;".110.1","")</f>
        <v/>
      </c>
      <c r="H1128" s="16" t="str">
        <f aca="false">IF(AND(Eingabe!$F$14&gt;0,Eingabe!$E$14&gt;=110),"10."&amp;Eingabe!$D$14&amp;".110.10 – 10."&amp;Eingabe!$D$14&amp;".110.250","")</f>
        <v/>
      </c>
      <c r="I1128" s="16" t="str">
        <f aca="false">IF(AND(Eingabe!$F$14&gt;0,Eingabe!$E$14&gt;=110),Eingabe!$B$6&amp;"-"&amp;Eingabe!$C$14&amp;"-Pächter","")</f>
        <v/>
      </c>
      <c r="J1128" s="16" t="str">
        <f aca="false">IF(AND(Eingabe!$F$14&gt;0,Eingabe!$E$14&gt;=110),"PPSK: Passwort Parzelle 110","")</f>
        <v/>
      </c>
      <c r="K1128" s="16" t="str">
        <f aca="false">IF(AND(Eingabe!$F$14&gt;0,Eingabe!$E$14&gt;=110),"1. Gerät: 10."&amp;Eingabe!$D$14&amp;".110.10, 2. Gerät: .11","")</f>
        <v/>
      </c>
    </row>
    <row r="1129" customFormat="false" ht="15" hidden="false" customHeight="false" outlineLevel="0" collapsed="false">
      <c r="A1129" s="16" t="str">
        <f aca="false">IF(AND(Eingabe!$F$14&gt;0,Eingabe!$E$14&gt;=111),6,"")</f>
        <v/>
      </c>
      <c r="B1129" s="16" t="str">
        <f aca="false">IF(AND(Eingabe!$F$14&gt;0,Eingabe!$E$14&gt;=111),Eingabe!$B$14,"")</f>
        <v/>
      </c>
      <c r="C1129" s="16" t="str">
        <f aca="false">IF(AND(Eingabe!$F$14&gt;0,Eingabe!$E$14&gt;=111),Eingabe!$C$14&amp;"-Paz."&amp;TEXT(111,"000"),"")</f>
        <v/>
      </c>
      <c r="D1129" s="16" t="str">
        <f aca="false">IF(AND(Eingabe!$F$14&gt;0,Eingabe!$E$14&gt;=111),111,"")</f>
        <v/>
      </c>
      <c r="E1129" s="16" t="str">
        <f aca="false">IF(AND(Eingabe!$F$14&gt;0,Eingabe!$E$14&gt;=111),IF((Eingabe!$G$14+1)&lt;=9,1000+(Eingabe!$G$14+1)*100,3000)+11,"")</f>
        <v/>
      </c>
      <c r="F1129" s="16" t="str">
        <f aca="false">IF(AND(Eingabe!$F$14&gt;0,Eingabe!$E$14&gt;=111),"10."&amp;Eingabe!$D$14&amp;".111.0/24","")</f>
        <v/>
      </c>
      <c r="G1129" s="16" t="str">
        <f aca="false">IF(AND(Eingabe!$F$14&gt;0,Eingabe!$E$14&gt;=111),"10."&amp;Eingabe!$D$14&amp;".111.1","")</f>
        <v/>
      </c>
      <c r="H1129" s="16" t="str">
        <f aca="false">IF(AND(Eingabe!$F$14&gt;0,Eingabe!$E$14&gt;=111),"10."&amp;Eingabe!$D$14&amp;".111.10 – 10."&amp;Eingabe!$D$14&amp;".111.250","")</f>
        <v/>
      </c>
      <c r="I1129" s="16" t="str">
        <f aca="false">IF(AND(Eingabe!$F$14&gt;0,Eingabe!$E$14&gt;=111),Eingabe!$B$6&amp;"-"&amp;Eingabe!$C$14&amp;"-Pächter","")</f>
        <v/>
      </c>
      <c r="J1129" s="16" t="str">
        <f aca="false">IF(AND(Eingabe!$F$14&gt;0,Eingabe!$E$14&gt;=111),"PPSK: Passwort Parzelle 111","")</f>
        <v/>
      </c>
      <c r="K1129" s="16" t="str">
        <f aca="false">IF(AND(Eingabe!$F$14&gt;0,Eingabe!$E$14&gt;=111),"1. Gerät: 10."&amp;Eingabe!$D$14&amp;".111.10, 2. Gerät: .11","")</f>
        <v/>
      </c>
    </row>
    <row r="1130" customFormat="false" ht="15" hidden="false" customHeight="false" outlineLevel="0" collapsed="false">
      <c r="A1130" s="16" t="str">
        <f aca="false">IF(AND(Eingabe!$F$14&gt;0,Eingabe!$E$14&gt;=112),6,"")</f>
        <v/>
      </c>
      <c r="B1130" s="16" t="str">
        <f aca="false">IF(AND(Eingabe!$F$14&gt;0,Eingabe!$E$14&gt;=112),Eingabe!$B$14,"")</f>
        <v/>
      </c>
      <c r="C1130" s="16" t="str">
        <f aca="false">IF(AND(Eingabe!$F$14&gt;0,Eingabe!$E$14&gt;=112),Eingabe!$C$14&amp;"-Paz."&amp;TEXT(112,"000"),"")</f>
        <v/>
      </c>
      <c r="D1130" s="16" t="str">
        <f aca="false">IF(AND(Eingabe!$F$14&gt;0,Eingabe!$E$14&gt;=112),112,"")</f>
        <v/>
      </c>
      <c r="E1130" s="16" t="str">
        <f aca="false">IF(AND(Eingabe!$F$14&gt;0,Eingabe!$E$14&gt;=112),IF((Eingabe!$G$14+1)&lt;=9,1000+(Eingabe!$G$14+1)*100,3000)+12,"")</f>
        <v/>
      </c>
      <c r="F1130" s="16" t="str">
        <f aca="false">IF(AND(Eingabe!$F$14&gt;0,Eingabe!$E$14&gt;=112),"10."&amp;Eingabe!$D$14&amp;".112.0/24","")</f>
        <v/>
      </c>
      <c r="G1130" s="16" t="str">
        <f aca="false">IF(AND(Eingabe!$F$14&gt;0,Eingabe!$E$14&gt;=112),"10."&amp;Eingabe!$D$14&amp;".112.1","")</f>
        <v/>
      </c>
      <c r="H1130" s="16" t="str">
        <f aca="false">IF(AND(Eingabe!$F$14&gt;0,Eingabe!$E$14&gt;=112),"10."&amp;Eingabe!$D$14&amp;".112.10 – 10."&amp;Eingabe!$D$14&amp;".112.250","")</f>
        <v/>
      </c>
      <c r="I1130" s="16" t="str">
        <f aca="false">IF(AND(Eingabe!$F$14&gt;0,Eingabe!$E$14&gt;=112),Eingabe!$B$6&amp;"-"&amp;Eingabe!$C$14&amp;"-Pächter","")</f>
        <v/>
      </c>
      <c r="J1130" s="16" t="str">
        <f aca="false">IF(AND(Eingabe!$F$14&gt;0,Eingabe!$E$14&gt;=112),"PPSK: Passwort Parzelle 112","")</f>
        <v/>
      </c>
      <c r="K1130" s="16" t="str">
        <f aca="false">IF(AND(Eingabe!$F$14&gt;0,Eingabe!$E$14&gt;=112),"1. Gerät: 10."&amp;Eingabe!$D$14&amp;".112.10, 2. Gerät: .11","")</f>
        <v/>
      </c>
    </row>
    <row r="1131" customFormat="false" ht="15" hidden="false" customHeight="false" outlineLevel="0" collapsed="false">
      <c r="A1131" s="16" t="str">
        <f aca="false">IF(AND(Eingabe!$F$14&gt;0,Eingabe!$E$14&gt;=113),6,"")</f>
        <v/>
      </c>
      <c r="B1131" s="16" t="str">
        <f aca="false">IF(AND(Eingabe!$F$14&gt;0,Eingabe!$E$14&gt;=113),Eingabe!$B$14,"")</f>
        <v/>
      </c>
      <c r="C1131" s="16" t="str">
        <f aca="false">IF(AND(Eingabe!$F$14&gt;0,Eingabe!$E$14&gt;=113),Eingabe!$C$14&amp;"-Paz."&amp;TEXT(113,"000"),"")</f>
        <v/>
      </c>
      <c r="D1131" s="16" t="str">
        <f aca="false">IF(AND(Eingabe!$F$14&gt;0,Eingabe!$E$14&gt;=113),113,"")</f>
        <v/>
      </c>
      <c r="E1131" s="16" t="str">
        <f aca="false">IF(AND(Eingabe!$F$14&gt;0,Eingabe!$E$14&gt;=113),IF((Eingabe!$G$14+1)&lt;=9,1000+(Eingabe!$G$14+1)*100,3000)+13,"")</f>
        <v/>
      </c>
      <c r="F1131" s="16" t="str">
        <f aca="false">IF(AND(Eingabe!$F$14&gt;0,Eingabe!$E$14&gt;=113),"10."&amp;Eingabe!$D$14&amp;".113.0/24","")</f>
        <v/>
      </c>
      <c r="G1131" s="16" t="str">
        <f aca="false">IF(AND(Eingabe!$F$14&gt;0,Eingabe!$E$14&gt;=113),"10."&amp;Eingabe!$D$14&amp;".113.1","")</f>
        <v/>
      </c>
      <c r="H1131" s="16" t="str">
        <f aca="false">IF(AND(Eingabe!$F$14&gt;0,Eingabe!$E$14&gt;=113),"10."&amp;Eingabe!$D$14&amp;".113.10 – 10."&amp;Eingabe!$D$14&amp;".113.250","")</f>
        <v/>
      </c>
      <c r="I1131" s="16" t="str">
        <f aca="false">IF(AND(Eingabe!$F$14&gt;0,Eingabe!$E$14&gt;=113),Eingabe!$B$6&amp;"-"&amp;Eingabe!$C$14&amp;"-Pächter","")</f>
        <v/>
      </c>
      <c r="J1131" s="16" t="str">
        <f aca="false">IF(AND(Eingabe!$F$14&gt;0,Eingabe!$E$14&gt;=113),"PPSK: Passwort Parzelle 113","")</f>
        <v/>
      </c>
      <c r="K1131" s="16" t="str">
        <f aca="false">IF(AND(Eingabe!$F$14&gt;0,Eingabe!$E$14&gt;=113),"1. Gerät: 10."&amp;Eingabe!$D$14&amp;".113.10, 2. Gerät: .11","")</f>
        <v/>
      </c>
    </row>
    <row r="1132" customFormat="false" ht="15" hidden="false" customHeight="false" outlineLevel="0" collapsed="false">
      <c r="A1132" s="16" t="str">
        <f aca="false">IF(AND(Eingabe!$F$14&gt;0,Eingabe!$E$14&gt;=114),6,"")</f>
        <v/>
      </c>
      <c r="B1132" s="16" t="str">
        <f aca="false">IF(AND(Eingabe!$F$14&gt;0,Eingabe!$E$14&gt;=114),Eingabe!$B$14,"")</f>
        <v/>
      </c>
      <c r="C1132" s="16" t="str">
        <f aca="false">IF(AND(Eingabe!$F$14&gt;0,Eingabe!$E$14&gt;=114),Eingabe!$C$14&amp;"-Paz."&amp;TEXT(114,"000"),"")</f>
        <v/>
      </c>
      <c r="D1132" s="16" t="str">
        <f aca="false">IF(AND(Eingabe!$F$14&gt;0,Eingabe!$E$14&gt;=114),114,"")</f>
        <v/>
      </c>
      <c r="E1132" s="16" t="str">
        <f aca="false">IF(AND(Eingabe!$F$14&gt;0,Eingabe!$E$14&gt;=114),IF((Eingabe!$G$14+1)&lt;=9,1000+(Eingabe!$G$14+1)*100,3000)+14,"")</f>
        <v/>
      </c>
      <c r="F1132" s="16" t="str">
        <f aca="false">IF(AND(Eingabe!$F$14&gt;0,Eingabe!$E$14&gt;=114),"10."&amp;Eingabe!$D$14&amp;".114.0/24","")</f>
        <v/>
      </c>
      <c r="G1132" s="16" t="str">
        <f aca="false">IF(AND(Eingabe!$F$14&gt;0,Eingabe!$E$14&gt;=114),"10."&amp;Eingabe!$D$14&amp;".114.1","")</f>
        <v/>
      </c>
      <c r="H1132" s="16" t="str">
        <f aca="false">IF(AND(Eingabe!$F$14&gt;0,Eingabe!$E$14&gt;=114),"10."&amp;Eingabe!$D$14&amp;".114.10 – 10."&amp;Eingabe!$D$14&amp;".114.250","")</f>
        <v/>
      </c>
      <c r="I1132" s="16" t="str">
        <f aca="false">IF(AND(Eingabe!$F$14&gt;0,Eingabe!$E$14&gt;=114),Eingabe!$B$6&amp;"-"&amp;Eingabe!$C$14&amp;"-Pächter","")</f>
        <v/>
      </c>
      <c r="J1132" s="16" t="str">
        <f aca="false">IF(AND(Eingabe!$F$14&gt;0,Eingabe!$E$14&gt;=114),"PPSK: Passwort Parzelle 114","")</f>
        <v/>
      </c>
      <c r="K1132" s="16" t="str">
        <f aca="false">IF(AND(Eingabe!$F$14&gt;0,Eingabe!$E$14&gt;=114),"1. Gerät: 10."&amp;Eingabe!$D$14&amp;".114.10, 2. Gerät: .11","")</f>
        <v/>
      </c>
    </row>
    <row r="1133" customFormat="false" ht="15" hidden="false" customHeight="false" outlineLevel="0" collapsed="false">
      <c r="A1133" s="16" t="str">
        <f aca="false">IF(AND(Eingabe!$F$14&gt;0,Eingabe!$E$14&gt;=115),6,"")</f>
        <v/>
      </c>
      <c r="B1133" s="16" t="str">
        <f aca="false">IF(AND(Eingabe!$F$14&gt;0,Eingabe!$E$14&gt;=115),Eingabe!$B$14,"")</f>
        <v/>
      </c>
      <c r="C1133" s="16" t="str">
        <f aca="false">IF(AND(Eingabe!$F$14&gt;0,Eingabe!$E$14&gt;=115),Eingabe!$C$14&amp;"-Paz."&amp;TEXT(115,"000"),"")</f>
        <v/>
      </c>
      <c r="D1133" s="16" t="str">
        <f aca="false">IF(AND(Eingabe!$F$14&gt;0,Eingabe!$E$14&gt;=115),115,"")</f>
        <v/>
      </c>
      <c r="E1133" s="16" t="str">
        <f aca="false">IF(AND(Eingabe!$F$14&gt;0,Eingabe!$E$14&gt;=115),IF((Eingabe!$G$14+1)&lt;=9,1000+(Eingabe!$G$14+1)*100,3000)+15,"")</f>
        <v/>
      </c>
      <c r="F1133" s="16" t="str">
        <f aca="false">IF(AND(Eingabe!$F$14&gt;0,Eingabe!$E$14&gt;=115),"10."&amp;Eingabe!$D$14&amp;".115.0/24","")</f>
        <v/>
      </c>
      <c r="G1133" s="16" t="str">
        <f aca="false">IF(AND(Eingabe!$F$14&gt;0,Eingabe!$E$14&gt;=115),"10."&amp;Eingabe!$D$14&amp;".115.1","")</f>
        <v/>
      </c>
      <c r="H1133" s="16" t="str">
        <f aca="false">IF(AND(Eingabe!$F$14&gt;0,Eingabe!$E$14&gt;=115),"10."&amp;Eingabe!$D$14&amp;".115.10 – 10."&amp;Eingabe!$D$14&amp;".115.250","")</f>
        <v/>
      </c>
      <c r="I1133" s="16" t="str">
        <f aca="false">IF(AND(Eingabe!$F$14&gt;0,Eingabe!$E$14&gt;=115),Eingabe!$B$6&amp;"-"&amp;Eingabe!$C$14&amp;"-Pächter","")</f>
        <v/>
      </c>
      <c r="J1133" s="16" t="str">
        <f aca="false">IF(AND(Eingabe!$F$14&gt;0,Eingabe!$E$14&gt;=115),"PPSK: Passwort Parzelle 115","")</f>
        <v/>
      </c>
      <c r="K1133" s="16" t="str">
        <f aca="false">IF(AND(Eingabe!$F$14&gt;0,Eingabe!$E$14&gt;=115),"1. Gerät: 10."&amp;Eingabe!$D$14&amp;".115.10, 2. Gerät: .11","")</f>
        <v/>
      </c>
    </row>
    <row r="1134" customFormat="false" ht="15" hidden="false" customHeight="false" outlineLevel="0" collapsed="false">
      <c r="A1134" s="16" t="str">
        <f aca="false">IF(AND(Eingabe!$F$14&gt;0,Eingabe!$E$14&gt;=116),6,"")</f>
        <v/>
      </c>
      <c r="B1134" s="16" t="str">
        <f aca="false">IF(AND(Eingabe!$F$14&gt;0,Eingabe!$E$14&gt;=116),Eingabe!$B$14,"")</f>
        <v/>
      </c>
      <c r="C1134" s="16" t="str">
        <f aca="false">IF(AND(Eingabe!$F$14&gt;0,Eingabe!$E$14&gt;=116),Eingabe!$C$14&amp;"-Paz."&amp;TEXT(116,"000"),"")</f>
        <v/>
      </c>
      <c r="D1134" s="16" t="str">
        <f aca="false">IF(AND(Eingabe!$F$14&gt;0,Eingabe!$E$14&gt;=116),116,"")</f>
        <v/>
      </c>
      <c r="E1134" s="16" t="str">
        <f aca="false">IF(AND(Eingabe!$F$14&gt;0,Eingabe!$E$14&gt;=116),IF((Eingabe!$G$14+1)&lt;=9,1000+(Eingabe!$G$14+1)*100,3000)+16,"")</f>
        <v/>
      </c>
      <c r="F1134" s="16" t="str">
        <f aca="false">IF(AND(Eingabe!$F$14&gt;0,Eingabe!$E$14&gt;=116),"10."&amp;Eingabe!$D$14&amp;".116.0/24","")</f>
        <v/>
      </c>
      <c r="G1134" s="16" t="str">
        <f aca="false">IF(AND(Eingabe!$F$14&gt;0,Eingabe!$E$14&gt;=116),"10."&amp;Eingabe!$D$14&amp;".116.1","")</f>
        <v/>
      </c>
      <c r="H1134" s="16" t="str">
        <f aca="false">IF(AND(Eingabe!$F$14&gt;0,Eingabe!$E$14&gt;=116),"10."&amp;Eingabe!$D$14&amp;".116.10 – 10."&amp;Eingabe!$D$14&amp;".116.250","")</f>
        <v/>
      </c>
      <c r="I1134" s="16" t="str">
        <f aca="false">IF(AND(Eingabe!$F$14&gt;0,Eingabe!$E$14&gt;=116),Eingabe!$B$6&amp;"-"&amp;Eingabe!$C$14&amp;"-Pächter","")</f>
        <v/>
      </c>
      <c r="J1134" s="16" t="str">
        <f aca="false">IF(AND(Eingabe!$F$14&gt;0,Eingabe!$E$14&gt;=116),"PPSK: Passwort Parzelle 116","")</f>
        <v/>
      </c>
      <c r="K1134" s="16" t="str">
        <f aca="false">IF(AND(Eingabe!$F$14&gt;0,Eingabe!$E$14&gt;=116),"1. Gerät: 10."&amp;Eingabe!$D$14&amp;".116.10, 2. Gerät: .11","")</f>
        <v/>
      </c>
    </row>
    <row r="1135" customFormat="false" ht="15" hidden="false" customHeight="false" outlineLevel="0" collapsed="false">
      <c r="A1135" s="16" t="str">
        <f aca="false">IF(AND(Eingabe!$F$14&gt;0,Eingabe!$E$14&gt;=117),6,"")</f>
        <v/>
      </c>
      <c r="B1135" s="16" t="str">
        <f aca="false">IF(AND(Eingabe!$F$14&gt;0,Eingabe!$E$14&gt;=117),Eingabe!$B$14,"")</f>
        <v/>
      </c>
      <c r="C1135" s="16" t="str">
        <f aca="false">IF(AND(Eingabe!$F$14&gt;0,Eingabe!$E$14&gt;=117),Eingabe!$C$14&amp;"-Paz."&amp;TEXT(117,"000"),"")</f>
        <v/>
      </c>
      <c r="D1135" s="16" t="str">
        <f aca="false">IF(AND(Eingabe!$F$14&gt;0,Eingabe!$E$14&gt;=117),117,"")</f>
        <v/>
      </c>
      <c r="E1135" s="16" t="str">
        <f aca="false">IF(AND(Eingabe!$F$14&gt;0,Eingabe!$E$14&gt;=117),IF((Eingabe!$G$14+1)&lt;=9,1000+(Eingabe!$G$14+1)*100,3000)+17,"")</f>
        <v/>
      </c>
      <c r="F1135" s="16" t="str">
        <f aca="false">IF(AND(Eingabe!$F$14&gt;0,Eingabe!$E$14&gt;=117),"10."&amp;Eingabe!$D$14&amp;".117.0/24","")</f>
        <v/>
      </c>
      <c r="G1135" s="16" t="str">
        <f aca="false">IF(AND(Eingabe!$F$14&gt;0,Eingabe!$E$14&gt;=117),"10."&amp;Eingabe!$D$14&amp;".117.1","")</f>
        <v/>
      </c>
      <c r="H1135" s="16" t="str">
        <f aca="false">IF(AND(Eingabe!$F$14&gt;0,Eingabe!$E$14&gt;=117),"10."&amp;Eingabe!$D$14&amp;".117.10 – 10."&amp;Eingabe!$D$14&amp;".117.250","")</f>
        <v/>
      </c>
      <c r="I1135" s="16" t="str">
        <f aca="false">IF(AND(Eingabe!$F$14&gt;0,Eingabe!$E$14&gt;=117),Eingabe!$B$6&amp;"-"&amp;Eingabe!$C$14&amp;"-Pächter","")</f>
        <v/>
      </c>
      <c r="J1135" s="16" t="str">
        <f aca="false">IF(AND(Eingabe!$F$14&gt;0,Eingabe!$E$14&gt;=117),"PPSK: Passwort Parzelle 117","")</f>
        <v/>
      </c>
      <c r="K1135" s="16" t="str">
        <f aca="false">IF(AND(Eingabe!$F$14&gt;0,Eingabe!$E$14&gt;=117),"1. Gerät: 10."&amp;Eingabe!$D$14&amp;".117.10, 2. Gerät: .11","")</f>
        <v/>
      </c>
    </row>
    <row r="1136" customFormat="false" ht="15" hidden="false" customHeight="false" outlineLevel="0" collapsed="false">
      <c r="A1136" s="16" t="str">
        <f aca="false">IF(AND(Eingabe!$F$14&gt;0,Eingabe!$E$14&gt;=118),6,"")</f>
        <v/>
      </c>
      <c r="B1136" s="16" t="str">
        <f aca="false">IF(AND(Eingabe!$F$14&gt;0,Eingabe!$E$14&gt;=118),Eingabe!$B$14,"")</f>
        <v/>
      </c>
      <c r="C1136" s="16" t="str">
        <f aca="false">IF(AND(Eingabe!$F$14&gt;0,Eingabe!$E$14&gt;=118),Eingabe!$C$14&amp;"-Paz."&amp;TEXT(118,"000"),"")</f>
        <v/>
      </c>
      <c r="D1136" s="16" t="str">
        <f aca="false">IF(AND(Eingabe!$F$14&gt;0,Eingabe!$E$14&gt;=118),118,"")</f>
        <v/>
      </c>
      <c r="E1136" s="16" t="str">
        <f aca="false">IF(AND(Eingabe!$F$14&gt;0,Eingabe!$E$14&gt;=118),IF((Eingabe!$G$14+1)&lt;=9,1000+(Eingabe!$G$14+1)*100,3000)+18,"")</f>
        <v/>
      </c>
      <c r="F1136" s="16" t="str">
        <f aca="false">IF(AND(Eingabe!$F$14&gt;0,Eingabe!$E$14&gt;=118),"10."&amp;Eingabe!$D$14&amp;".118.0/24","")</f>
        <v/>
      </c>
      <c r="G1136" s="16" t="str">
        <f aca="false">IF(AND(Eingabe!$F$14&gt;0,Eingabe!$E$14&gt;=118),"10."&amp;Eingabe!$D$14&amp;".118.1","")</f>
        <v/>
      </c>
      <c r="H1136" s="16" t="str">
        <f aca="false">IF(AND(Eingabe!$F$14&gt;0,Eingabe!$E$14&gt;=118),"10."&amp;Eingabe!$D$14&amp;".118.10 – 10."&amp;Eingabe!$D$14&amp;".118.250","")</f>
        <v/>
      </c>
      <c r="I1136" s="16" t="str">
        <f aca="false">IF(AND(Eingabe!$F$14&gt;0,Eingabe!$E$14&gt;=118),Eingabe!$B$6&amp;"-"&amp;Eingabe!$C$14&amp;"-Pächter","")</f>
        <v/>
      </c>
      <c r="J1136" s="16" t="str">
        <f aca="false">IF(AND(Eingabe!$F$14&gt;0,Eingabe!$E$14&gt;=118),"PPSK: Passwort Parzelle 118","")</f>
        <v/>
      </c>
      <c r="K1136" s="16" t="str">
        <f aca="false">IF(AND(Eingabe!$F$14&gt;0,Eingabe!$E$14&gt;=118),"1. Gerät: 10."&amp;Eingabe!$D$14&amp;".118.10, 2. Gerät: .11","")</f>
        <v/>
      </c>
    </row>
    <row r="1137" customFormat="false" ht="15" hidden="false" customHeight="false" outlineLevel="0" collapsed="false">
      <c r="A1137" s="16" t="str">
        <f aca="false">IF(AND(Eingabe!$F$14&gt;0,Eingabe!$E$14&gt;=119),6,"")</f>
        <v/>
      </c>
      <c r="B1137" s="16" t="str">
        <f aca="false">IF(AND(Eingabe!$F$14&gt;0,Eingabe!$E$14&gt;=119),Eingabe!$B$14,"")</f>
        <v/>
      </c>
      <c r="C1137" s="16" t="str">
        <f aca="false">IF(AND(Eingabe!$F$14&gt;0,Eingabe!$E$14&gt;=119),Eingabe!$C$14&amp;"-Paz."&amp;TEXT(119,"000"),"")</f>
        <v/>
      </c>
      <c r="D1137" s="16" t="str">
        <f aca="false">IF(AND(Eingabe!$F$14&gt;0,Eingabe!$E$14&gt;=119),119,"")</f>
        <v/>
      </c>
      <c r="E1137" s="16" t="str">
        <f aca="false">IF(AND(Eingabe!$F$14&gt;0,Eingabe!$E$14&gt;=119),IF((Eingabe!$G$14+1)&lt;=9,1000+(Eingabe!$G$14+1)*100,3000)+19,"")</f>
        <v/>
      </c>
      <c r="F1137" s="16" t="str">
        <f aca="false">IF(AND(Eingabe!$F$14&gt;0,Eingabe!$E$14&gt;=119),"10."&amp;Eingabe!$D$14&amp;".119.0/24","")</f>
        <v/>
      </c>
      <c r="G1137" s="16" t="str">
        <f aca="false">IF(AND(Eingabe!$F$14&gt;0,Eingabe!$E$14&gt;=119),"10."&amp;Eingabe!$D$14&amp;".119.1","")</f>
        <v/>
      </c>
      <c r="H1137" s="16" t="str">
        <f aca="false">IF(AND(Eingabe!$F$14&gt;0,Eingabe!$E$14&gt;=119),"10."&amp;Eingabe!$D$14&amp;".119.10 – 10."&amp;Eingabe!$D$14&amp;".119.250","")</f>
        <v/>
      </c>
      <c r="I1137" s="16" t="str">
        <f aca="false">IF(AND(Eingabe!$F$14&gt;0,Eingabe!$E$14&gt;=119),Eingabe!$B$6&amp;"-"&amp;Eingabe!$C$14&amp;"-Pächter","")</f>
        <v/>
      </c>
      <c r="J1137" s="16" t="str">
        <f aca="false">IF(AND(Eingabe!$F$14&gt;0,Eingabe!$E$14&gt;=119),"PPSK: Passwort Parzelle 119","")</f>
        <v/>
      </c>
      <c r="K1137" s="16" t="str">
        <f aca="false">IF(AND(Eingabe!$F$14&gt;0,Eingabe!$E$14&gt;=119),"1. Gerät: 10."&amp;Eingabe!$D$14&amp;".119.10, 2. Gerät: .11","")</f>
        <v/>
      </c>
    </row>
    <row r="1138" customFormat="false" ht="15" hidden="false" customHeight="false" outlineLevel="0" collapsed="false">
      <c r="A1138" s="16" t="str">
        <f aca="false">IF(AND(Eingabe!$F$14&gt;0,Eingabe!$E$14&gt;=120),6,"")</f>
        <v/>
      </c>
      <c r="B1138" s="16" t="str">
        <f aca="false">IF(AND(Eingabe!$F$14&gt;0,Eingabe!$E$14&gt;=120),Eingabe!$B$14,"")</f>
        <v/>
      </c>
      <c r="C1138" s="16" t="str">
        <f aca="false">IF(AND(Eingabe!$F$14&gt;0,Eingabe!$E$14&gt;=120),Eingabe!$C$14&amp;"-Paz."&amp;TEXT(120,"000"),"")</f>
        <v/>
      </c>
      <c r="D1138" s="16" t="str">
        <f aca="false">IF(AND(Eingabe!$F$14&gt;0,Eingabe!$E$14&gt;=120),120,"")</f>
        <v/>
      </c>
      <c r="E1138" s="16" t="str">
        <f aca="false">IF(AND(Eingabe!$F$14&gt;0,Eingabe!$E$14&gt;=120),IF((Eingabe!$G$14+1)&lt;=9,1000+(Eingabe!$G$14+1)*100,3000)+20,"")</f>
        <v/>
      </c>
      <c r="F1138" s="16" t="str">
        <f aca="false">IF(AND(Eingabe!$F$14&gt;0,Eingabe!$E$14&gt;=120),"10."&amp;Eingabe!$D$14&amp;".120.0/24","")</f>
        <v/>
      </c>
      <c r="G1138" s="16" t="str">
        <f aca="false">IF(AND(Eingabe!$F$14&gt;0,Eingabe!$E$14&gt;=120),"10."&amp;Eingabe!$D$14&amp;".120.1","")</f>
        <v/>
      </c>
      <c r="H1138" s="16" t="str">
        <f aca="false">IF(AND(Eingabe!$F$14&gt;0,Eingabe!$E$14&gt;=120),"10."&amp;Eingabe!$D$14&amp;".120.10 – 10."&amp;Eingabe!$D$14&amp;".120.250","")</f>
        <v/>
      </c>
      <c r="I1138" s="16" t="str">
        <f aca="false">IF(AND(Eingabe!$F$14&gt;0,Eingabe!$E$14&gt;=120),Eingabe!$B$6&amp;"-"&amp;Eingabe!$C$14&amp;"-Pächter","")</f>
        <v/>
      </c>
      <c r="J1138" s="16" t="str">
        <f aca="false">IF(AND(Eingabe!$F$14&gt;0,Eingabe!$E$14&gt;=120),"PPSK: Passwort Parzelle 120","")</f>
        <v/>
      </c>
      <c r="K1138" s="16" t="str">
        <f aca="false">IF(AND(Eingabe!$F$14&gt;0,Eingabe!$E$14&gt;=120),"1. Gerät: 10."&amp;Eingabe!$D$14&amp;".120.10, 2. Gerät: .11","")</f>
        <v/>
      </c>
    </row>
    <row r="1139" customFormat="false" ht="15" hidden="false" customHeight="false" outlineLevel="0" collapsed="false">
      <c r="A1139" s="16" t="str">
        <f aca="false">IF(AND(Eingabe!$F$14&gt;0,Eingabe!$E$14&gt;=121),6,"")</f>
        <v/>
      </c>
      <c r="B1139" s="16" t="str">
        <f aca="false">IF(AND(Eingabe!$F$14&gt;0,Eingabe!$E$14&gt;=121),Eingabe!$B$14,"")</f>
        <v/>
      </c>
      <c r="C1139" s="16" t="str">
        <f aca="false">IF(AND(Eingabe!$F$14&gt;0,Eingabe!$E$14&gt;=121),Eingabe!$C$14&amp;"-Paz."&amp;TEXT(121,"000"),"")</f>
        <v/>
      </c>
      <c r="D1139" s="16" t="str">
        <f aca="false">IF(AND(Eingabe!$F$14&gt;0,Eingabe!$E$14&gt;=121),121,"")</f>
        <v/>
      </c>
      <c r="E1139" s="16" t="str">
        <f aca="false">IF(AND(Eingabe!$F$14&gt;0,Eingabe!$E$14&gt;=121),IF((Eingabe!$G$14+1)&lt;=9,1000+(Eingabe!$G$14+1)*100,3000)+21,"")</f>
        <v/>
      </c>
      <c r="F1139" s="16" t="str">
        <f aca="false">IF(AND(Eingabe!$F$14&gt;0,Eingabe!$E$14&gt;=121),"10."&amp;Eingabe!$D$14&amp;".121.0/24","")</f>
        <v/>
      </c>
      <c r="G1139" s="16" t="str">
        <f aca="false">IF(AND(Eingabe!$F$14&gt;0,Eingabe!$E$14&gt;=121),"10."&amp;Eingabe!$D$14&amp;".121.1","")</f>
        <v/>
      </c>
      <c r="H1139" s="16" t="str">
        <f aca="false">IF(AND(Eingabe!$F$14&gt;0,Eingabe!$E$14&gt;=121),"10."&amp;Eingabe!$D$14&amp;".121.10 – 10."&amp;Eingabe!$D$14&amp;".121.250","")</f>
        <v/>
      </c>
      <c r="I1139" s="16" t="str">
        <f aca="false">IF(AND(Eingabe!$F$14&gt;0,Eingabe!$E$14&gt;=121),Eingabe!$B$6&amp;"-"&amp;Eingabe!$C$14&amp;"-Pächter","")</f>
        <v/>
      </c>
      <c r="J1139" s="16" t="str">
        <f aca="false">IF(AND(Eingabe!$F$14&gt;0,Eingabe!$E$14&gt;=121),"PPSK: Passwort Parzelle 121","")</f>
        <v/>
      </c>
      <c r="K1139" s="16" t="str">
        <f aca="false">IF(AND(Eingabe!$F$14&gt;0,Eingabe!$E$14&gt;=121),"1. Gerät: 10."&amp;Eingabe!$D$14&amp;".121.10, 2. Gerät: .11","")</f>
        <v/>
      </c>
    </row>
    <row r="1140" customFormat="false" ht="15" hidden="false" customHeight="false" outlineLevel="0" collapsed="false">
      <c r="A1140" s="16" t="str">
        <f aca="false">IF(AND(Eingabe!$F$14&gt;0,Eingabe!$E$14&gt;=122),6,"")</f>
        <v/>
      </c>
      <c r="B1140" s="16" t="str">
        <f aca="false">IF(AND(Eingabe!$F$14&gt;0,Eingabe!$E$14&gt;=122),Eingabe!$B$14,"")</f>
        <v/>
      </c>
      <c r="C1140" s="16" t="str">
        <f aca="false">IF(AND(Eingabe!$F$14&gt;0,Eingabe!$E$14&gt;=122),Eingabe!$C$14&amp;"-Paz."&amp;TEXT(122,"000"),"")</f>
        <v/>
      </c>
      <c r="D1140" s="16" t="str">
        <f aca="false">IF(AND(Eingabe!$F$14&gt;0,Eingabe!$E$14&gt;=122),122,"")</f>
        <v/>
      </c>
      <c r="E1140" s="16" t="str">
        <f aca="false">IF(AND(Eingabe!$F$14&gt;0,Eingabe!$E$14&gt;=122),IF((Eingabe!$G$14+1)&lt;=9,1000+(Eingabe!$G$14+1)*100,3000)+22,"")</f>
        <v/>
      </c>
      <c r="F1140" s="16" t="str">
        <f aca="false">IF(AND(Eingabe!$F$14&gt;0,Eingabe!$E$14&gt;=122),"10."&amp;Eingabe!$D$14&amp;".122.0/24","")</f>
        <v/>
      </c>
      <c r="G1140" s="16" t="str">
        <f aca="false">IF(AND(Eingabe!$F$14&gt;0,Eingabe!$E$14&gt;=122),"10."&amp;Eingabe!$D$14&amp;".122.1","")</f>
        <v/>
      </c>
      <c r="H1140" s="16" t="str">
        <f aca="false">IF(AND(Eingabe!$F$14&gt;0,Eingabe!$E$14&gt;=122),"10."&amp;Eingabe!$D$14&amp;".122.10 – 10."&amp;Eingabe!$D$14&amp;".122.250","")</f>
        <v/>
      </c>
      <c r="I1140" s="16" t="str">
        <f aca="false">IF(AND(Eingabe!$F$14&gt;0,Eingabe!$E$14&gt;=122),Eingabe!$B$6&amp;"-"&amp;Eingabe!$C$14&amp;"-Pächter","")</f>
        <v/>
      </c>
      <c r="J1140" s="16" t="str">
        <f aca="false">IF(AND(Eingabe!$F$14&gt;0,Eingabe!$E$14&gt;=122),"PPSK: Passwort Parzelle 122","")</f>
        <v/>
      </c>
      <c r="K1140" s="16" t="str">
        <f aca="false">IF(AND(Eingabe!$F$14&gt;0,Eingabe!$E$14&gt;=122),"1. Gerät: 10."&amp;Eingabe!$D$14&amp;".122.10, 2. Gerät: .11","")</f>
        <v/>
      </c>
    </row>
    <row r="1141" customFormat="false" ht="15" hidden="false" customHeight="false" outlineLevel="0" collapsed="false">
      <c r="A1141" s="16" t="str">
        <f aca="false">IF(AND(Eingabe!$F$14&gt;0,Eingabe!$E$14&gt;=123),6,"")</f>
        <v/>
      </c>
      <c r="B1141" s="16" t="str">
        <f aca="false">IF(AND(Eingabe!$F$14&gt;0,Eingabe!$E$14&gt;=123),Eingabe!$B$14,"")</f>
        <v/>
      </c>
      <c r="C1141" s="16" t="str">
        <f aca="false">IF(AND(Eingabe!$F$14&gt;0,Eingabe!$E$14&gt;=123),Eingabe!$C$14&amp;"-Paz."&amp;TEXT(123,"000"),"")</f>
        <v/>
      </c>
      <c r="D1141" s="16" t="str">
        <f aca="false">IF(AND(Eingabe!$F$14&gt;0,Eingabe!$E$14&gt;=123),123,"")</f>
        <v/>
      </c>
      <c r="E1141" s="16" t="str">
        <f aca="false">IF(AND(Eingabe!$F$14&gt;0,Eingabe!$E$14&gt;=123),IF((Eingabe!$G$14+1)&lt;=9,1000+(Eingabe!$G$14+1)*100,3000)+23,"")</f>
        <v/>
      </c>
      <c r="F1141" s="16" t="str">
        <f aca="false">IF(AND(Eingabe!$F$14&gt;0,Eingabe!$E$14&gt;=123),"10."&amp;Eingabe!$D$14&amp;".123.0/24","")</f>
        <v/>
      </c>
      <c r="G1141" s="16" t="str">
        <f aca="false">IF(AND(Eingabe!$F$14&gt;0,Eingabe!$E$14&gt;=123),"10."&amp;Eingabe!$D$14&amp;".123.1","")</f>
        <v/>
      </c>
      <c r="H1141" s="16" t="str">
        <f aca="false">IF(AND(Eingabe!$F$14&gt;0,Eingabe!$E$14&gt;=123),"10."&amp;Eingabe!$D$14&amp;".123.10 – 10."&amp;Eingabe!$D$14&amp;".123.250","")</f>
        <v/>
      </c>
      <c r="I1141" s="16" t="str">
        <f aca="false">IF(AND(Eingabe!$F$14&gt;0,Eingabe!$E$14&gt;=123),Eingabe!$B$6&amp;"-"&amp;Eingabe!$C$14&amp;"-Pächter","")</f>
        <v/>
      </c>
      <c r="J1141" s="16" t="str">
        <f aca="false">IF(AND(Eingabe!$F$14&gt;0,Eingabe!$E$14&gt;=123),"PPSK: Passwort Parzelle 123","")</f>
        <v/>
      </c>
      <c r="K1141" s="16" t="str">
        <f aca="false">IF(AND(Eingabe!$F$14&gt;0,Eingabe!$E$14&gt;=123),"1. Gerät: 10."&amp;Eingabe!$D$14&amp;".123.10, 2. Gerät: .11","")</f>
        <v/>
      </c>
    </row>
    <row r="1142" customFormat="false" ht="15" hidden="false" customHeight="false" outlineLevel="0" collapsed="false">
      <c r="A1142" s="16" t="str">
        <f aca="false">IF(AND(Eingabe!$F$14&gt;0,Eingabe!$E$14&gt;=124),6,"")</f>
        <v/>
      </c>
      <c r="B1142" s="16" t="str">
        <f aca="false">IF(AND(Eingabe!$F$14&gt;0,Eingabe!$E$14&gt;=124),Eingabe!$B$14,"")</f>
        <v/>
      </c>
      <c r="C1142" s="16" t="str">
        <f aca="false">IF(AND(Eingabe!$F$14&gt;0,Eingabe!$E$14&gt;=124),Eingabe!$C$14&amp;"-Paz."&amp;TEXT(124,"000"),"")</f>
        <v/>
      </c>
      <c r="D1142" s="16" t="str">
        <f aca="false">IF(AND(Eingabe!$F$14&gt;0,Eingabe!$E$14&gt;=124),124,"")</f>
        <v/>
      </c>
      <c r="E1142" s="16" t="str">
        <f aca="false">IF(AND(Eingabe!$F$14&gt;0,Eingabe!$E$14&gt;=124),IF((Eingabe!$G$14+1)&lt;=9,1000+(Eingabe!$G$14+1)*100,3000)+24,"")</f>
        <v/>
      </c>
      <c r="F1142" s="16" t="str">
        <f aca="false">IF(AND(Eingabe!$F$14&gt;0,Eingabe!$E$14&gt;=124),"10."&amp;Eingabe!$D$14&amp;".124.0/24","")</f>
        <v/>
      </c>
      <c r="G1142" s="16" t="str">
        <f aca="false">IF(AND(Eingabe!$F$14&gt;0,Eingabe!$E$14&gt;=124),"10."&amp;Eingabe!$D$14&amp;".124.1","")</f>
        <v/>
      </c>
      <c r="H1142" s="16" t="str">
        <f aca="false">IF(AND(Eingabe!$F$14&gt;0,Eingabe!$E$14&gt;=124),"10."&amp;Eingabe!$D$14&amp;".124.10 – 10."&amp;Eingabe!$D$14&amp;".124.250","")</f>
        <v/>
      </c>
      <c r="I1142" s="16" t="str">
        <f aca="false">IF(AND(Eingabe!$F$14&gt;0,Eingabe!$E$14&gt;=124),Eingabe!$B$6&amp;"-"&amp;Eingabe!$C$14&amp;"-Pächter","")</f>
        <v/>
      </c>
      <c r="J1142" s="16" t="str">
        <f aca="false">IF(AND(Eingabe!$F$14&gt;0,Eingabe!$E$14&gt;=124),"PPSK: Passwort Parzelle 124","")</f>
        <v/>
      </c>
      <c r="K1142" s="16" t="str">
        <f aca="false">IF(AND(Eingabe!$F$14&gt;0,Eingabe!$E$14&gt;=124),"1. Gerät: 10."&amp;Eingabe!$D$14&amp;".124.10, 2. Gerät: .11","")</f>
        <v/>
      </c>
    </row>
    <row r="1143" customFormat="false" ht="15" hidden="false" customHeight="false" outlineLevel="0" collapsed="false">
      <c r="A1143" s="16" t="str">
        <f aca="false">IF(AND(Eingabe!$F$14&gt;0,Eingabe!$E$14&gt;=125),6,"")</f>
        <v/>
      </c>
      <c r="B1143" s="16" t="str">
        <f aca="false">IF(AND(Eingabe!$F$14&gt;0,Eingabe!$E$14&gt;=125),Eingabe!$B$14,"")</f>
        <v/>
      </c>
      <c r="C1143" s="16" t="str">
        <f aca="false">IF(AND(Eingabe!$F$14&gt;0,Eingabe!$E$14&gt;=125),Eingabe!$C$14&amp;"-Paz."&amp;TEXT(125,"000"),"")</f>
        <v/>
      </c>
      <c r="D1143" s="16" t="str">
        <f aca="false">IF(AND(Eingabe!$F$14&gt;0,Eingabe!$E$14&gt;=125),125,"")</f>
        <v/>
      </c>
      <c r="E1143" s="16" t="str">
        <f aca="false">IF(AND(Eingabe!$F$14&gt;0,Eingabe!$E$14&gt;=125),IF((Eingabe!$G$14+1)&lt;=9,1000+(Eingabe!$G$14+1)*100,3000)+25,"")</f>
        <v/>
      </c>
      <c r="F1143" s="16" t="str">
        <f aca="false">IF(AND(Eingabe!$F$14&gt;0,Eingabe!$E$14&gt;=125),"10."&amp;Eingabe!$D$14&amp;".125.0/24","")</f>
        <v/>
      </c>
      <c r="G1143" s="16" t="str">
        <f aca="false">IF(AND(Eingabe!$F$14&gt;0,Eingabe!$E$14&gt;=125),"10."&amp;Eingabe!$D$14&amp;".125.1","")</f>
        <v/>
      </c>
      <c r="H1143" s="16" t="str">
        <f aca="false">IF(AND(Eingabe!$F$14&gt;0,Eingabe!$E$14&gt;=125),"10."&amp;Eingabe!$D$14&amp;".125.10 – 10."&amp;Eingabe!$D$14&amp;".125.250","")</f>
        <v/>
      </c>
      <c r="I1143" s="16" t="str">
        <f aca="false">IF(AND(Eingabe!$F$14&gt;0,Eingabe!$E$14&gt;=125),Eingabe!$B$6&amp;"-"&amp;Eingabe!$C$14&amp;"-Pächter","")</f>
        <v/>
      </c>
      <c r="J1143" s="16" t="str">
        <f aca="false">IF(AND(Eingabe!$F$14&gt;0,Eingabe!$E$14&gt;=125),"PPSK: Passwort Parzelle 125","")</f>
        <v/>
      </c>
      <c r="K1143" s="16" t="str">
        <f aca="false">IF(AND(Eingabe!$F$14&gt;0,Eingabe!$E$14&gt;=125),"1. Gerät: 10."&amp;Eingabe!$D$14&amp;".125.10, 2. Gerät: .11","")</f>
        <v/>
      </c>
    </row>
    <row r="1144" customFormat="false" ht="15" hidden="false" customHeight="false" outlineLevel="0" collapsed="false">
      <c r="A1144" s="16" t="str">
        <f aca="false">IF(AND(Eingabe!$F$14&gt;0,Eingabe!$E$14&gt;=126),6,"")</f>
        <v/>
      </c>
      <c r="B1144" s="16" t="str">
        <f aca="false">IF(AND(Eingabe!$F$14&gt;0,Eingabe!$E$14&gt;=126),Eingabe!$B$14,"")</f>
        <v/>
      </c>
      <c r="C1144" s="16" t="str">
        <f aca="false">IF(AND(Eingabe!$F$14&gt;0,Eingabe!$E$14&gt;=126),Eingabe!$C$14&amp;"-Paz."&amp;TEXT(126,"000"),"")</f>
        <v/>
      </c>
      <c r="D1144" s="16" t="str">
        <f aca="false">IF(AND(Eingabe!$F$14&gt;0,Eingabe!$E$14&gt;=126),126,"")</f>
        <v/>
      </c>
      <c r="E1144" s="16" t="str">
        <f aca="false">IF(AND(Eingabe!$F$14&gt;0,Eingabe!$E$14&gt;=126),IF((Eingabe!$G$14+1)&lt;=9,1000+(Eingabe!$G$14+1)*100,3000)+26,"")</f>
        <v/>
      </c>
      <c r="F1144" s="16" t="str">
        <f aca="false">IF(AND(Eingabe!$F$14&gt;0,Eingabe!$E$14&gt;=126),"10."&amp;Eingabe!$D$14&amp;".126.0/24","")</f>
        <v/>
      </c>
      <c r="G1144" s="16" t="str">
        <f aca="false">IF(AND(Eingabe!$F$14&gt;0,Eingabe!$E$14&gt;=126),"10."&amp;Eingabe!$D$14&amp;".126.1","")</f>
        <v/>
      </c>
      <c r="H1144" s="16" t="str">
        <f aca="false">IF(AND(Eingabe!$F$14&gt;0,Eingabe!$E$14&gt;=126),"10."&amp;Eingabe!$D$14&amp;".126.10 – 10."&amp;Eingabe!$D$14&amp;".126.250","")</f>
        <v/>
      </c>
      <c r="I1144" s="16" t="str">
        <f aca="false">IF(AND(Eingabe!$F$14&gt;0,Eingabe!$E$14&gt;=126),Eingabe!$B$6&amp;"-"&amp;Eingabe!$C$14&amp;"-Pächter","")</f>
        <v/>
      </c>
      <c r="J1144" s="16" t="str">
        <f aca="false">IF(AND(Eingabe!$F$14&gt;0,Eingabe!$E$14&gt;=126),"PPSK: Passwort Parzelle 126","")</f>
        <v/>
      </c>
      <c r="K1144" s="16" t="str">
        <f aca="false">IF(AND(Eingabe!$F$14&gt;0,Eingabe!$E$14&gt;=126),"1. Gerät: 10."&amp;Eingabe!$D$14&amp;".126.10, 2. Gerät: .11","")</f>
        <v/>
      </c>
    </row>
    <row r="1145" customFormat="false" ht="15" hidden="false" customHeight="false" outlineLevel="0" collapsed="false">
      <c r="A1145" s="16" t="str">
        <f aca="false">IF(AND(Eingabe!$F$14&gt;0,Eingabe!$E$14&gt;=127),6,"")</f>
        <v/>
      </c>
      <c r="B1145" s="16" t="str">
        <f aca="false">IF(AND(Eingabe!$F$14&gt;0,Eingabe!$E$14&gt;=127),Eingabe!$B$14,"")</f>
        <v/>
      </c>
      <c r="C1145" s="16" t="str">
        <f aca="false">IF(AND(Eingabe!$F$14&gt;0,Eingabe!$E$14&gt;=127),Eingabe!$C$14&amp;"-Paz."&amp;TEXT(127,"000"),"")</f>
        <v/>
      </c>
      <c r="D1145" s="16" t="str">
        <f aca="false">IF(AND(Eingabe!$F$14&gt;0,Eingabe!$E$14&gt;=127),127,"")</f>
        <v/>
      </c>
      <c r="E1145" s="16" t="str">
        <f aca="false">IF(AND(Eingabe!$F$14&gt;0,Eingabe!$E$14&gt;=127),IF((Eingabe!$G$14+1)&lt;=9,1000+(Eingabe!$G$14+1)*100,3000)+27,"")</f>
        <v/>
      </c>
      <c r="F1145" s="16" t="str">
        <f aca="false">IF(AND(Eingabe!$F$14&gt;0,Eingabe!$E$14&gt;=127),"10."&amp;Eingabe!$D$14&amp;".127.0/24","")</f>
        <v/>
      </c>
      <c r="G1145" s="16" t="str">
        <f aca="false">IF(AND(Eingabe!$F$14&gt;0,Eingabe!$E$14&gt;=127),"10."&amp;Eingabe!$D$14&amp;".127.1","")</f>
        <v/>
      </c>
      <c r="H1145" s="16" t="str">
        <f aca="false">IF(AND(Eingabe!$F$14&gt;0,Eingabe!$E$14&gt;=127),"10."&amp;Eingabe!$D$14&amp;".127.10 – 10."&amp;Eingabe!$D$14&amp;".127.250","")</f>
        <v/>
      </c>
      <c r="I1145" s="16" t="str">
        <f aca="false">IF(AND(Eingabe!$F$14&gt;0,Eingabe!$E$14&gt;=127),Eingabe!$B$6&amp;"-"&amp;Eingabe!$C$14&amp;"-Pächter","")</f>
        <v/>
      </c>
      <c r="J1145" s="16" t="str">
        <f aca="false">IF(AND(Eingabe!$F$14&gt;0,Eingabe!$E$14&gt;=127),"PPSK: Passwort Parzelle 127","")</f>
        <v/>
      </c>
      <c r="K1145" s="16" t="str">
        <f aca="false">IF(AND(Eingabe!$F$14&gt;0,Eingabe!$E$14&gt;=127),"1. Gerät: 10."&amp;Eingabe!$D$14&amp;".127.10, 2. Gerät: .11","")</f>
        <v/>
      </c>
    </row>
    <row r="1146" customFormat="false" ht="15" hidden="false" customHeight="false" outlineLevel="0" collapsed="false">
      <c r="A1146" s="16" t="str">
        <f aca="false">IF(AND(Eingabe!$F$14&gt;0,Eingabe!$E$14&gt;=128),6,"")</f>
        <v/>
      </c>
      <c r="B1146" s="16" t="str">
        <f aca="false">IF(AND(Eingabe!$F$14&gt;0,Eingabe!$E$14&gt;=128),Eingabe!$B$14,"")</f>
        <v/>
      </c>
      <c r="C1146" s="16" t="str">
        <f aca="false">IF(AND(Eingabe!$F$14&gt;0,Eingabe!$E$14&gt;=128),Eingabe!$C$14&amp;"-Paz."&amp;TEXT(128,"000"),"")</f>
        <v/>
      </c>
      <c r="D1146" s="16" t="str">
        <f aca="false">IF(AND(Eingabe!$F$14&gt;0,Eingabe!$E$14&gt;=128),128,"")</f>
        <v/>
      </c>
      <c r="E1146" s="16" t="str">
        <f aca="false">IF(AND(Eingabe!$F$14&gt;0,Eingabe!$E$14&gt;=128),IF((Eingabe!$G$14+1)&lt;=9,1000+(Eingabe!$G$14+1)*100,3000)+28,"")</f>
        <v/>
      </c>
      <c r="F1146" s="16" t="str">
        <f aca="false">IF(AND(Eingabe!$F$14&gt;0,Eingabe!$E$14&gt;=128),"10."&amp;Eingabe!$D$14&amp;".128.0/24","")</f>
        <v/>
      </c>
      <c r="G1146" s="16" t="str">
        <f aca="false">IF(AND(Eingabe!$F$14&gt;0,Eingabe!$E$14&gt;=128),"10."&amp;Eingabe!$D$14&amp;".128.1","")</f>
        <v/>
      </c>
      <c r="H1146" s="16" t="str">
        <f aca="false">IF(AND(Eingabe!$F$14&gt;0,Eingabe!$E$14&gt;=128),"10."&amp;Eingabe!$D$14&amp;".128.10 – 10."&amp;Eingabe!$D$14&amp;".128.250","")</f>
        <v/>
      </c>
      <c r="I1146" s="16" t="str">
        <f aca="false">IF(AND(Eingabe!$F$14&gt;0,Eingabe!$E$14&gt;=128),Eingabe!$B$6&amp;"-"&amp;Eingabe!$C$14&amp;"-Pächter","")</f>
        <v/>
      </c>
      <c r="J1146" s="16" t="str">
        <f aca="false">IF(AND(Eingabe!$F$14&gt;0,Eingabe!$E$14&gt;=128),"PPSK: Passwort Parzelle 128","")</f>
        <v/>
      </c>
      <c r="K1146" s="16" t="str">
        <f aca="false">IF(AND(Eingabe!$F$14&gt;0,Eingabe!$E$14&gt;=128),"1. Gerät: 10."&amp;Eingabe!$D$14&amp;".128.10, 2. Gerät: .11","")</f>
        <v/>
      </c>
    </row>
    <row r="1147" customFormat="false" ht="15" hidden="false" customHeight="false" outlineLevel="0" collapsed="false">
      <c r="A1147" s="16" t="str">
        <f aca="false">IF(AND(Eingabe!$F$14&gt;0,Eingabe!$E$14&gt;=129),6,"")</f>
        <v/>
      </c>
      <c r="B1147" s="16" t="str">
        <f aca="false">IF(AND(Eingabe!$F$14&gt;0,Eingabe!$E$14&gt;=129),Eingabe!$B$14,"")</f>
        <v/>
      </c>
      <c r="C1147" s="16" t="str">
        <f aca="false">IF(AND(Eingabe!$F$14&gt;0,Eingabe!$E$14&gt;=129),Eingabe!$C$14&amp;"-Paz."&amp;TEXT(129,"000"),"")</f>
        <v/>
      </c>
      <c r="D1147" s="16" t="str">
        <f aca="false">IF(AND(Eingabe!$F$14&gt;0,Eingabe!$E$14&gt;=129),129,"")</f>
        <v/>
      </c>
      <c r="E1147" s="16" t="str">
        <f aca="false">IF(AND(Eingabe!$F$14&gt;0,Eingabe!$E$14&gt;=129),IF((Eingabe!$G$14+1)&lt;=9,1000+(Eingabe!$G$14+1)*100,3000)+29,"")</f>
        <v/>
      </c>
      <c r="F1147" s="16" t="str">
        <f aca="false">IF(AND(Eingabe!$F$14&gt;0,Eingabe!$E$14&gt;=129),"10."&amp;Eingabe!$D$14&amp;".129.0/24","")</f>
        <v/>
      </c>
      <c r="G1147" s="16" t="str">
        <f aca="false">IF(AND(Eingabe!$F$14&gt;0,Eingabe!$E$14&gt;=129),"10."&amp;Eingabe!$D$14&amp;".129.1","")</f>
        <v/>
      </c>
      <c r="H1147" s="16" t="str">
        <f aca="false">IF(AND(Eingabe!$F$14&gt;0,Eingabe!$E$14&gt;=129),"10."&amp;Eingabe!$D$14&amp;".129.10 – 10."&amp;Eingabe!$D$14&amp;".129.250","")</f>
        <v/>
      </c>
      <c r="I1147" s="16" t="str">
        <f aca="false">IF(AND(Eingabe!$F$14&gt;0,Eingabe!$E$14&gt;=129),Eingabe!$B$6&amp;"-"&amp;Eingabe!$C$14&amp;"-Pächter","")</f>
        <v/>
      </c>
      <c r="J1147" s="16" t="str">
        <f aca="false">IF(AND(Eingabe!$F$14&gt;0,Eingabe!$E$14&gt;=129),"PPSK: Passwort Parzelle 129","")</f>
        <v/>
      </c>
      <c r="K1147" s="16" t="str">
        <f aca="false">IF(AND(Eingabe!$F$14&gt;0,Eingabe!$E$14&gt;=129),"1. Gerät: 10."&amp;Eingabe!$D$14&amp;".129.10, 2. Gerät: .11","")</f>
        <v/>
      </c>
    </row>
    <row r="1148" customFormat="false" ht="15" hidden="false" customHeight="false" outlineLevel="0" collapsed="false">
      <c r="A1148" s="16" t="str">
        <f aca="false">IF(AND(Eingabe!$F$14&gt;0,Eingabe!$E$14&gt;=130),6,"")</f>
        <v/>
      </c>
      <c r="B1148" s="16" t="str">
        <f aca="false">IF(AND(Eingabe!$F$14&gt;0,Eingabe!$E$14&gt;=130),Eingabe!$B$14,"")</f>
        <v/>
      </c>
      <c r="C1148" s="16" t="str">
        <f aca="false">IF(AND(Eingabe!$F$14&gt;0,Eingabe!$E$14&gt;=130),Eingabe!$C$14&amp;"-Paz."&amp;TEXT(130,"000"),"")</f>
        <v/>
      </c>
      <c r="D1148" s="16" t="str">
        <f aca="false">IF(AND(Eingabe!$F$14&gt;0,Eingabe!$E$14&gt;=130),130,"")</f>
        <v/>
      </c>
      <c r="E1148" s="16" t="str">
        <f aca="false">IF(AND(Eingabe!$F$14&gt;0,Eingabe!$E$14&gt;=130),IF((Eingabe!$G$14+1)&lt;=9,1000+(Eingabe!$G$14+1)*100,3000)+30,"")</f>
        <v/>
      </c>
      <c r="F1148" s="16" t="str">
        <f aca="false">IF(AND(Eingabe!$F$14&gt;0,Eingabe!$E$14&gt;=130),"10."&amp;Eingabe!$D$14&amp;".130.0/24","")</f>
        <v/>
      </c>
      <c r="G1148" s="16" t="str">
        <f aca="false">IF(AND(Eingabe!$F$14&gt;0,Eingabe!$E$14&gt;=130),"10."&amp;Eingabe!$D$14&amp;".130.1","")</f>
        <v/>
      </c>
      <c r="H1148" s="16" t="str">
        <f aca="false">IF(AND(Eingabe!$F$14&gt;0,Eingabe!$E$14&gt;=130),"10."&amp;Eingabe!$D$14&amp;".130.10 – 10."&amp;Eingabe!$D$14&amp;".130.250","")</f>
        <v/>
      </c>
      <c r="I1148" s="16" t="str">
        <f aca="false">IF(AND(Eingabe!$F$14&gt;0,Eingabe!$E$14&gt;=130),Eingabe!$B$6&amp;"-"&amp;Eingabe!$C$14&amp;"-Pächter","")</f>
        <v/>
      </c>
      <c r="J1148" s="16" t="str">
        <f aca="false">IF(AND(Eingabe!$F$14&gt;0,Eingabe!$E$14&gt;=130),"PPSK: Passwort Parzelle 130","")</f>
        <v/>
      </c>
      <c r="K1148" s="16" t="str">
        <f aca="false">IF(AND(Eingabe!$F$14&gt;0,Eingabe!$E$14&gt;=130),"1. Gerät: 10."&amp;Eingabe!$D$14&amp;".130.10, 2. Gerät: .11","")</f>
        <v/>
      </c>
    </row>
    <row r="1149" customFormat="false" ht="15" hidden="false" customHeight="false" outlineLevel="0" collapsed="false">
      <c r="A1149" s="16" t="str">
        <f aca="false">IF(AND(Eingabe!$F$14&gt;0,Eingabe!$E$14&gt;=131),6,"")</f>
        <v/>
      </c>
      <c r="B1149" s="16" t="str">
        <f aca="false">IF(AND(Eingabe!$F$14&gt;0,Eingabe!$E$14&gt;=131),Eingabe!$B$14,"")</f>
        <v/>
      </c>
      <c r="C1149" s="16" t="str">
        <f aca="false">IF(AND(Eingabe!$F$14&gt;0,Eingabe!$E$14&gt;=131),Eingabe!$C$14&amp;"-Paz."&amp;TEXT(131,"000"),"")</f>
        <v/>
      </c>
      <c r="D1149" s="16" t="str">
        <f aca="false">IF(AND(Eingabe!$F$14&gt;0,Eingabe!$E$14&gt;=131),131,"")</f>
        <v/>
      </c>
      <c r="E1149" s="16" t="str">
        <f aca="false">IF(AND(Eingabe!$F$14&gt;0,Eingabe!$E$14&gt;=131),IF((Eingabe!$G$14+1)&lt;=9,1000+(Eingabe!$G$14+1)*100,3000)+31,"")</f>
        <v/>
      </c>
      <c r="F1149" s="16" t="str">
        <f aca="false">IF(AND(Eingabe!$F$14&gt;0,Eingabe!$E$14&gt;=131),"10."&amp;Eingabe!$D$14&amp;".131.0/24","")</f>
        <v/>
      </c>
      <c r="G1149" s="16" t="str">
        <f aca="false">IF(AND(Eingabe!$F$14&gt;0,Eingabe!$E$14&gt;=131),"10."&amp;Eingabe!$D$14&amp;".131.1","")</f>
        <v/>
      </c>
      <c r="H1149" s="16" t="str">
        <f aca="false">IF(AND(Eingabe!$F$14&gt;0,Eingabe!$E$14&gt;=131),"10."&amp;Eingabe!$D$14&amp;".131.10 – 10."&amp;Eingabe!$D$14&amp;".131.250","")</f>
        <v/>
      </c>
      <c r="I1149" s="16" t="str">
        <f aca="false">IF(AND(Eingabe!$F$14&gt;0,Eingabe!$E$14&gt;=131),Eingabe!$B$6&amp;"-"&amp;Eingabe!$C$14&amp;"-Pächter","")</f>
        <v/>
      </c>
      <c r="J1149" s="16" t="str">
        <f aca="false">IF(AND(Eingabe!$F$14&gt;0,Eingabe!$E$14&gt;=131),"PPSK: Passwort Parzelle 131","")</f>
        <v/>
      </c>
      <c r="K1149" s="16" t="str">
        <f aca="false">IF(AND(Eingabe!$F$14&gt;0,Eingabe!$E$14&gt;=131),"1. Gerät: 10."&amp;Eingabe!$D$14&amp;".131.10, 2. Gerät: .11","")</f>
        <v/>
      </c>
    </row>
    <row r="1150" customFormat="false" ht="15" hidden="false" customHeight="false" outlineLevel="0" collapsed="false">
      <c r="A1150" s="16" t="str">
        <f aca="false">IF(AND(Eingabe!$F$14&gt;0,Eingabe!$E$14&gt;=132),6,"")</f>
        <v/>
      </c>
      <c r="B1150" s="16" t="str">
        <f aca="false">IF(AND(Eingabe!$F$14&gt;0,Eingabe!$E$14&gt;=132),Eingabe!$B$14,"")</f>
        <v/>
      </c>
      <c r="C1150" s="16" t="str">
        <f aca="false">IF(AND(Eingabe!$F$14&gt;0,Eingabe!$E$14&gt;=132),Eingabe!$C$14&amp;"-Paz."&amp;TEXT(132,"000"),"")</f>
        <v/>
      </c>
      <c r="D1150" s="16" t="str">
        <f aca="false">IF(AND(Eingabe!$F$14&gt;0,Eingabe!$E$14&gt;=132),132,"")</f>
        <v/>
      </c>
      <c r="E1150" s="16" t="str">
        <f aca="false">IF(AND(Eingabe!$F$14&gt;0,Eingabe!$E$14&gt;=132),IF((Eingabe!$G$14+1)&lt;=9,1000+(Eingabe!$G$14+1)*100,3000)+32,"")</f>
        <v/>
      </c>
      <c r="F1150" s="16" t="str">
        <f aca="false">IF(AND(Eingabe!$F$14&gt;0,Eingabe!$E$14&gt;=132),"10."&amp;Eingabe!$D$14&amp;".132.0/24","")</f>
        <v/>
      </c>
      <c r="G1150" s="16" t="str">
        <f aca="false">IF(AND(Eingabe!$F$14&gt;0,Eingabe!$E$14&gt;=132),"10."&amp;Eingabe!$D$14&amp;".132.1","")</f>
        <v/>
      </c>
      <c r="H1150" s="16" t="str">
        <f aca="false">IF(AND(Eingabe!$F$14&gt;0,Eingabe!$E$14&gt;=132),"10."&amp;Eingabe!$D$14&amp;".132.10 – 10."&amp;Eingabe!$D$14&amp;".132.250","")</f>
        <v/>
      </c>
      <c r="I1150" s="16" t="str">
        <f aca="false">IF(AND(Eingabe!$F$14&gt;0,Eingabe!$E$14&gt;=132),Eingabe!$B$6&amp;"-"&amp;Eingabe!$C$14&amp;"-Pächter","")</f>
        <v/>
      </c>
      <c r="J1150" s="16" t="str">
        <f aca="false">IF(AND(Eingabe!$F$14&gt;0,Eingabe!$E$14&gt;=132),"PPSK: Passwort Parzelle 132","")</f>
        <v/>
      </c>
      <c r="K1150" s="16" t="str">
        <f aca="false">IF(AND(Eingabe!$F$14&gt;0,Eingabe!$E$14&gt;=132),"1. Gerät: 10."&amp;Eingabe!$D$14&amp;".132.10, 2. Gerät: .11","")</f>
        <v/>
      </c>
    </row>
    <row r="1151" customFormat="false" ht="15" hidden="false" customHeight="false" outlineLevel="0" collapsed="false">
      <c r="A1151" s="16" t="str">
        <f aca="false">IF(AND(Eingabe!$F$14&gt;0,Eingabe!$E$14&gt;=133),6,"")</f>
        <v/>
      </c>
      <c r="B1151" s="16" t="str">
        <f aca="false">IF(AND(Eingabe!$F$14&gt;0,Eingabe!$E$14&gt;=133),Eingabe!$B$14,"")</f>
        <v/>
      </c>
      <c r="C1151" s="16" t="str">
        <f aca="false">IF(AND(Eingabe!$F$14&gt;0,Eingabe!$E$14&gt;=133),Eingabe!$C$14&amp;"-Paz."&amp;TEXT(133,"000"),"")</f>
        <v/>
      </c>
      <c r="D1151" s="16" t="str">
        <f aca="false">IF(AND(Eingabe!$F$14&gt;0,Eingabe!$E$14&gt;=133),133,"")</f>
        <v/>
      </c>
      <c r="E1151" s="16" t="str">
        <f aca="false">IF(AND(Eingabe!$F$14&gt;0,Eingabe!$E$14&gt;=133),IF((Eingabe!$G$14+1)&lt;=9,1000+(Eingabe!$G$14+1)*100,3000)+33,"")</f>
        <v/>
      </c>
      <c r="F1151" s="16" t="str">
        <f aca="false">IF(AND(Eingabe!$F$14&gt;0,Eingabe!$E$14&gt;=133),"10."&amp;Eingabe!$D$14&amp;".133.0/24","")</f>
        <v/>
      </c>
      <c r="G1151" s="16" t="str">
        <f aca="false">IF(AND(Eingabe!$F$14&gt;0,Eingabe!$E$14&gt;=133),"10."&amp;Eingabe!$D$14&amp;".133.1","")</f>
        <v/>
      </c>
      <c r="H1151" s="16" t="str">
        <f aca="false">IF(AND(Eingabe!$F$14&gt;0,Eingabe!$E$14&gt;=133),"10."&amp;Eingabe!$D$14&amp;".133.10 – 10."&amp;Eingabe!$D$14&amp;".133.250","")</f>
        <v/>
      </c>
      <c r="I1151" s="16" t="str">
        <f aca="false">IF(AND(Eingabe!$F$14&gt;0,Eingabe!$E$14&gt;=133),Eingabe!$B$6&amp;"-"&amp;Eingabe!$C$14&amp;"-Pächter","")</f>
        <v/>
      </c>
      <c r="J1151" s="16" t="str">
        <f aca="false">IF(AND(Eingabe!$F$14&gt;0,Eingabe!$E$14&gt;=133),"PPSK: Passwort Parzelle 133","")</f>
        <v/>
      </c>
      <c r="K1151" s="16" t="str">
        <f aca="false">IF(AND(Eingabe!$F$14&gt;0,Eingabe!$E$14&gt;=133),"1. Gerät: 10."&amp;Eingabe!$D$14&amp;".133.10, 2. Gerät: .11","")</f>
        <v/>
      </c>
    </row>
    <row r="1152" customFormat="false" ht="15" hidden="false" customHeight="false" outlineLevel="0" collapsed="false">
      <c r="A1152" s="16" t="str">
        <f aca="false">IF(AND(Eingabe!$F$14&gt;0,Eingabe!$E$14&gt;=134),6,"")</f>
        <v/>
      </c>
      <c r="B1152" s="16" t="str">
        <f aca="false">IF(AND(Eingabe!$F$14&gt;0,Eingabe!$E$14&gt;=134),Eingabe!$B$14,"")</f>
        <v/>
      </c>
      <c r="C1152" s="16" t="str">
        <f aca="false">IF(AND(Eingabe!$F$14&gt;0,Eingabe!$E$14&gt;=134),Eingabe!$C$14&amp;"-Paz."&amp;TEXT(134,"000"),"")</f>
        <v/>
      </c>
      <c r="D1152" s="16" t="str">
        <f aca="false">IF(AND(Eingabe!$F$14&gt;0,Eingabe!$E$14&gt;=134),134,"")</f>
        <v/>
      </c>
      <c r="E1152" s="16" t="str">
        <f aca="false">IF(AND(Eingabe!$F$14&gt;0,Eingabe!$E$14&gt;=134),IF((Eingabe!$G$14+1)&lt;=9,1000+(Eingabe!$G$14+1)*100,3000)+34,"")</f>
        <v/>
      </c>
      <c r="F1152" s="16" t="str">
        <f aca="false">IF(AND(Eingabe!$F$14&gt;0,Eingabe!$E$14&gt;=134),"10."&amp;Eingabe!$D$14&amp;".134.0/24","")</f>
        <v/>
      </c>
      <c r="G1152" s="16" t="str">
        <f aca="false">IF(AND(Eingabe!$F$14&gt;0,Eingabe!$E$14&gt;=134),"10."&amp;Eingabe!$D$14&amp;".134.1","")</f>
        <v/>
      </c>
      <c r="H1152" s="16" t="str">
        <f aca="false">IF(AND(Eingabe!$F$14&gt;0,Eingabe!$E$14&gt;=134),"10."&amp;Eingabe!$D$14&amp;".134.10 – 10."&amp;Eingabe!$D$14&amp;".134.250","")</f>
        <v/>
      </c>
      <c r="I1152" s="16" t="str">
        <f aca="false">IF(AND(Eingabe!$F$14&gt;0,Eingabe!$E$14&gt;=134),Eingabe!$B$6&amp;"-"&amp;Eingabe!$C$14&amp;"-Pächter","")</f>
        <v/>
      </c>
      <c r="J1152" s="16" t="str">
        <f aca="false">IF(AND(Eingabe!$F$14&gt;0,Eingabe!$E$14&gt;=134),"PPSK: Passwort Parzelle 134","")</f>
        <v/>
      </c>
      <c r="K1152" s="16" t="str">
        <f aca="false">IF(AND(Eingabe!$F$14&gt;0,Eingabe!$E$14&gt;=134),"1. Gerät: 10."&amp;Eingabe!$D$14&amp;".134.10, 2. Gerät: .11","")</f>
        <v/>
      </c>
    </row>
    <row r="1153" customFormat="false" ht="15" hidden="false" customHeight="false" outlineLevel="0" collapsed="false">
      <c r="A1153" s="16" t="str">
        <f aca="false">IF(AND(Eingabe!$F$14&gt;0,Eingabe!$E$14&gt;=135),6,"")</f>
        <v/>
      </c>
      <c r="B1153" s="16" t="str">
        <f aca="false">IF(AND(Eingabe!$F$14&gt;0,Eingabe!$E$14&gt;=135),Eingabe!$B$14,"")</f>
        <v/>
      </c>
      <c r="C1153" s="16" t="str">
        <f aca="false">IF(AND(Eingabe!$F$14&gt;0,Eingabe!$E$14&gt;=135),Eingabe!$C$14&amp;"-Paz."&amp;TEXT(135,"000"),"")</f>
        <v/>
      </c>
      <c r="D1153" s="16" t="str">
        <f aca="false">IF(AND(Eingabe!$F$14&gt;0,Eingabe!$E$14&gt;=135),135,"")</f>
        <v/>
      </c>
      <c r="E1153" s="16" t="str">
        <f aca="false">IF(AND(Eingabe!$F$14&gt;0,Eingabe!$E$14&gt;=135),IF((Eingabe!$G$14+1)&lt;=9,1000+(Eingabe!$G$14+1)*100,3000)+35,"")</f>
        <v/>
      </c>
      <c r="F1153" s="16" t="str">
        <f aca="false">IF(AND(Eingabe!$F$14&gt;0,Eingabe!$E$14&gt;=135),"10."&amp;Eingabe!$D$14&amp;".135.0/24","")</f>
        <v/>
      </c>
      <c r="G1153" s="16" t="str">
        <f aca="false">IF(AND(Eingabe!$F$14&gt;0,Eingabe!$E$14&gt;=135),"10."&amp;Eingabe!$D$14&amp;".135.1","")</f>
        <v/>
      </c>
      <c r="H1153" s="16" t="str">
        <f aca="false">IF(AND(Eingabe!$F$14&gt;0,Eingabe!$E$14&gt;=135),"10."&amp;Eingabe!$D$14&amp;".135.10 – 10."&amp;Eingabe!$D$14&amp;".135.250","")</f>
        <v/>
      </c>
      <c r="I1153" s="16" t="str">
        <f aca="false">IF(AND(Eingabe!$F$14&gt;0,Eingabe!$E$14&gt;=135),Eingabe!$B$6&amp;"-"&amp;Eingabe!$C$14&amp;"-Pächter","")</f>
        <v/>
      </c>
      <c r="J1153" s="16" t="str">
        <f aca="false">IF(AND(Eingabe!$F$14&gt;0,Eingabe!$E$14&gt;=135),"PPSK: Passwort Parzelle 135","")</f>
        <v/>
      </c>
      <c r="K1153" s="16" t="str">
        <f aca="false">IF(AND(Eingabe!$F$14&gt;0,Eingabe!$E$14&gt;=135),"1. Gerät: 10."&amp;Eingabe!$D$14&amp;".135.10, 2. Gerät: .11","")</f>
        <v/>
      </c>
    </row>
    <row r="1154" customFormat="false" ht="15" hidden="false" customHeight="false" outlineLevel="0" collapsed="false">
      <c r="A1154" s="16" t="str">
        <f aca="false">IF(AND(Eingabe!$F$14&gt;0,Eingabe!$E$14&gt;=136),6,"")</f>
        <v/>
      </c>
      <c r="B1154" s="16" t="str">
        <f aca="false">IF(AND(Eingabe!$F$14&gt;0,Eingabe!$E$14&gt;=136),Eingabe!$B$14,"")</f>
        <v/>
      </c>
      <c r="C1154" s="16" t="str">
        <f aca="false">IF(AND(Eingabe!$F$14&gt;0,Eingabe!$E$14&gt;=136),Eingabe!$C$14&amp;"-Paz."&amp;TEXT(136,"000"),"")</f>
        <v/>
      </c>
      <c r="D1154" s="16" t="str">
        <f aca="false">IF(AND(Eingabe!$F$14&gt;0,Eingabe!$E$14&gt;=136),136,"")</f>
        <v/>
      </c>
      <c r="E1154" s="16" t="str">
        <f aca="false">IF(AND(Eingabe!$F$14&gt;0,Eingabe!$E$14&gt;=136),IF((Eingabe!$G$14+1)&lt;=9,1000+(Eingabe!$G$14+1)*100,3000)+36,"")</f>
        <v/>
      </c>
      <c r="F1154" s="16" t="str">
        <f aca="false">IF(AND(Eingabe!$F$14&gt;0,Eingabe!$E$14&gt;=136),"10."&amp;Eingabe!$D$14&amp;".136.0/24","")</f>
        <v/>
      </c>
      <c r="G1154" s="16" t="str">
        <f aca="false">IF(AND(Eingabe!$F$14&gt;0,Eingabe!$E$14&gt;=136),"10."&amp;Eingabe!$D$14&amp;".136.1","")</f>
        <v/>
      </c>
      <c r="H1154" s="16" t="str">
        <f aca="false">IF(AND(Eingabe!$F$14&gt;0,Eingabe!$E$14&gt;=136),"10."&amp;Eingabe!$D$14&amp;".136.10 – 10."&amp;Eingabe!$D$14&amp;".136.250","")</f>
        <v/>
      </c>
      <c r="I1154" s="16" t="str">
        <f aca="false">IF(AND(Eingabe!$F$14&gt;0,Eingabe!$E$14&gt;=136),Eingabe!$B$6&amp;"-"&amp;Eingabe!$C$14&amp;"-Pächter","")</f>
        <v/>
      </c>
      <c r="J1154" s="16" t="str">
        <f aca="false">IF(AND(Eingabe!$F$14&gt;0,Eingabe!$E$14&gt;=136),"PPSK: Passwort Parzelle 136","")</f>
        <v/>
      </c>
      <c r="K1154" s="16" t="str">
        <f aca="false">IF(AND(Eingabe!$F$14&gt;0,Eingabe!$E$14&gt;=136),"1. Gerät: 10."&amp;Eingabe!$D$14&amp;".136.10, 2. Gerät: .11","")</f>
        <v/>
      </c>
    </row>
    <row r="1155" customFormat="false" ht="15" hidden="false" customHeight="false" outlineLevel="0" collapsed="false">
      <c r="A1155" s="16" t="str">
        <f aca="false">IF(AND(Eingabe!$F$14&gt;0,Eingabe!$E$14&gt;=137),6,"")</f>
        <v/>
      </c>
      <c r="B1155" s="16" t="str">
        <f aca="false">IF(AND(Eingabe!$F$14&gt;0,Eingabe!$E$14&gt;=137),Eingabe!$B$14,"")</f>
        <v/>
      </c>
      <c r="C1155" s="16" t="str">
        <f aca="false">IF(AND(Eingabe!$F$14&gt;0,Eingabe!$E$14&gt;=137),Eingabe!$C$14&amp;"-Paz."&amp;TEXT(137,"000"),"")</f>
        <v/>
      </c>
      <c r="D1155" s="16" t="str">
        <f aca="false">IF(AND(Eingabe!$F$14&gt;0,Eingabe!$E$14&gt;=137),137,"")</f>
        <v/>
      </c>
      <c r="E1155" s="16" t="str">
        <f aca="false">IF(AND(Eingabe!$F$14&gt;0,Eingabe!$E$14&gt;=137),IF((Eingabe!$G$14+1)&lt;=9,1000+(Eingabe!$G$14+1)*100,3000)+37,"")</f>
        <v/>
      </c>
      <c r="F1155" s="16" t="str">
        <f aca="false">IF(AND(Eingabe!$F$14&gt;0,Eingabe!$E$14&gt;=137),"10."&amp;Eingabe!$D$14&amp;".137.0/24","")</f>
        <v/>
      </c>
      <c r="G1155" s="16" t="str">
        <f aca="false">IF(AND(Eingabe!$F$14&gt;0,Eingabe!$E$14&gt;=137),"10."&amp;Eingabe!$D$14&amp;".137.1","")</f>
        <v/>
      </c>
      <c r="H1155" s="16" t="str">
        <f aca="false">IF(AND(Eingabe!$F$14&gt;0,Eingabe!$E$14&gt;=137),"10."&amp;Eingabe!$D$14&amp;".137.10 – 10."&amp;Eingabe!$D$14&amp;".137.250","")</f>
        <v/>
      </c>
      <c r="I1155" s="16" t="str">
        <f aca="false">IF(AND(Eingabe!$F$14&gt;0,Eingabe!$E$14&gt;=137),Eingabe!$B$6&amp;"-"&amp;Eingabe!$C$14&amp;"-Pächter","")</f>
        <v/>
      </c>
      <c r="J1155" s="16" t="str">
        <f aca="false">IF(AND(Eingabe!$F$14&gt;0,Eingabe!$E$14&gt;=137),"PPSK: Passwort Parzelle 137","")</f>
        <v/>
      </c>
      <c r="K1155" s="16" t="str">
        <f aca="false">IF(AND(Eingabe!$F$14&gt;0,Eingabe!$E$14&gt;=137),"1. Gerät: 10."&amp;Eingabe!$D$14&amp;".137.10, 2. Gerät: .11","")</f>
        <v/>
      </c>
    </row>
    <row r="1156" customFormat="false" ht="15" hidden="false" customHeight="false" outlineLevel="0" collapsed="false">
      <c r="A1156" s="16" t="str">
        <f aca="false">IF(AND(Eingabe!$F$14&gt;0,Eingabe!$E$14&gt;=138),6,"")</f>
        <v/>
      </c>
      <c r="B1156" s="16" t="str">
        <f aca="false">IF(AND(Eingabe!$F$14&gt;0,Eingabe!$E$14&gt;=138),Eingabe!$B$14,"")</f>
        <v/>
      </c>
      <c r="C1156" s="16" t="str">
        <f aca="false">IF(AND(Eingabe!$F$14&gt;0,Eingabe!$E$14&gt;=138),Eingabe!$C$14&amp;"-Paz."&amp;TEXT(138,"000"),"")</f>
        <v/>
      </c>
      <c r="D1156" s="16" t="str">
        <f aca="false">IF(AND(Eingabe!$F$14&gt;0,Eingabe!$E$14&gt;=138),138,"")</f>
        <v/>
      </c>
      <c r="E1156" s="16" t="str">
        <f aca="false">IF(AND(Eingabe!$F$14&gt;0,Eingabe!$E$14&gt;=138),IF((Eingabe!$G$14+1)&lt;=9,1000+(Eingabe!$G$14+1)*100,3000)+38,"")</f>
        <v/>
      </c>
      <c r="F1156" s="16" t="str">
        <f aca="false">IF(AND(Eingabe!$F$14&gt;0,Eingabe!$E$14&gt;=138),"10."&amp;Eingabe!$D$14&amp;".138.0/24","")</f>
        <v/>
      </c>
      <c r="G1156" s="16" t="str">
        <f aca="false">IF(AND(Eingabe!$F$14&gt;0,Eingabe!$E$14&gt;=138),"10."&amp;Eingabe!$D$14&amp;".138.1","")</f>
        <v/>
      </c>
      <c r="H1156" s="16" t="str">
        <f aca="false">IF(AND(Eingabe!$F$14&gt;0,Eingabe!$E$14&gt;=138),"10."&amp;Eingabe!$D$14&amp;".138.10 – 10."&amp;Eingabe!$D$14&amp;".138.250","")</f>
        <v/>
      </c>
      <c r="I1156" s="16" t="str">
        <f aca="false">IF(AND(Eingabe!$F$14&gt;0,Eingabe!$E$14&gt;=138),Eingabe!$B$6&amp;"-"&amp;Eingabe!$C$14&amp;"-Pächter","")</f>
        <v/>
      </c>
      <c r="J1156" s="16" t="str">
        <f aca="false">IF(AND(Eingabe!$F$14&gt;0,Eingabe!$E$14&gt;=138),"PPSK: Passwort Parzelle 138","")</f>
        <v/>
      </c>
      <c r="K1156" s="16" t="str">
        <f aca="false">IF(AND(Eingabe!$F$14&gt;0,Eingabe!$E$14&gt;=138),"1. Gerät: 10."&amp;Eingabe!$D$14&amp;".138.10, 2. Gerät: .11","")</f>
        <v/>
      </c>
    </row>
    <row r="1157" customFormat="false" ht="15" hidden="false" customHeight="false" outlineLevel="0" collapsed="false">
      <c r="A1157" s="16" t="str">
        <f aca="false">IF(AND(Eingabe!$F$14&gt;0,Eingabe!$E$14&gt;=139),6,"")</f>
        <v/>
      </c>
      <c r="B1157" s="16" t="str">
        <f aca="false">IF(AND(Eingabe!$F$14&gt;0,Eingabe!$E$14&gt;=139),Eingabe!$B$14,"")</f>
        <v/>
      </c>
      <c r="C1157" s="16" t="str">
        <f aca="false">IF(AND(Eingabe!$F$14&gt;0,Eingabe!$E$14&gt;=139),Eingabe!$C$14&amp;"-Paz."&amp;TEXT(139,"000"),"")</f>
        <v/>
      </c>
      <c r="D1157" s="16" t="str">
        <f aca="false">IF(AND(Eingabe!$F$14&gt;0,Eingabe!$E$14&gt;=139),139,"")</f>
        <v/>
      </c>
      <c r="E1157" s="16" t="str">
        <f aca="false">IF(AND(Eingabe!$F$14&gt;0,Eingabe!$E$14&gt;=139),IF((Eingabe!$G$14+1)&lt;=9,1000+(Eingabe!$G$14+1)*100,3000)+39,"")</f>
        <v/>
      </c>
      <c r="F1157" s="16" t="str">
        <f aca="false">IF(AND(Eingabe!$F$14&gt;0,Eingabe!$E$14&gt;=139),"10."&amp;Eingabe!$D$14&amp;".139.0/24","")</f>
        <v/>
      </c>
      <c r="G1157" s="16" t="str">
        <f aca="false">IF(AND(Eingabe!$F$14&gt;0,Eingabe!$E$14&gt;=139),"10."&amp;Eingabe!$D$14&amp;".139.1","")</f>
        <v/>
      </c>
      <c r="H1157" s="16" t="str">
        <f aca="false">IF(AND(Eingabe!$F$14&gt;0,Eingabe!$E$14&gt;=139),"10."&amp;Eingabe!$D$14&amp;".139.10 – 10."&amp;Eingabe!$D$14&amp;".139.250","")</f>
        <v/>
      </c>
      <c r="I1157" s="16" t="str">
        <f aca="false">IF(AND(Eingabe!$F$14&gt;0,Eingabe!$E$14&gt;=139),Eingabe!$B$6&amp;"-"&amp;Eingabe!$C$14&amp;"-Pächter","")</f>
        <v/>
      </c>
      <c r="J1157" s="16" t="str">
        <f aca="false">IF(AND(Eingabe!$F$14&gt;0,Eingabe!$E$14&gt;=139),"PPSK: Passwort Parzelle 139","")</f>
        <v/>
      </c>
      <c r="K1157" s="16" t="str">
        <f aca="false">IF(AND(Eingabe!$F$14&gt;0,Eingabe!$E$14&gt;=139),"1. Gerät: 10."&amp;Eingabe!$D$14&amp;".139.10, 2. Gerät: .11","")</f>
        <v/>
      </c>
    </row>
    <row r="1158" customFormat="false" ht="15" hidden="false" customHeight="false" outlineLevel="0" collapsed="false">
      <c r="A1158" s="16" t="str">
        <f aca="false">IF(AND(Eingabe!$F$14&gt;0,Eingabe!$E$14&gt;=140),6,"")</f>
        <v/>
      </c>
      <c r="B1158" s="16" t="str">
        <f aca="false">IF(AND(Eingabe!$F$14&gt;0,Eingabe!$E$14&gt;=140),Eingabe!$B$14,"")</f>
        <v/>
      </c>
      <c r="C1158" s="16" t="str">
        <f aca="false">IF(AND(Eingabe!$F$14&gt;0,Eingabe!$E$14&gt;=140),Eingabe!$C$14&amp;"-Paz."&amp;TEXT(140,"000"),"")</f>
        <v/>
      </c>
      <c r="D1158" s="16" t="str">
        <f aca="false">IF(AND(Eingabe!$F$14&gt;0,Eingabe!$E$14&gt;=140),140,"")</f>
        <v/>
      </c>
      <c r="E1158" s="16" t="str">
        <f aca="false">IF(AND(Eingabe!$F$14&gt;0,Eingabe!$E$14&gt;=140),IF((Eingabe!$G$14+1)&lt;=9,1000+(Eingabe!$G$14+1)*100,3000)+40,"")</f>
        <v/>
      </c>
      <c r="F1158" s="16" t="str">
        <f aca="false">IF(AND(Eingabe!$F$14&gt;0,Eingabe!$E$14&gt;=140),"10."&amp;Eingabe!$D$14&amp;".140.0/24","")</f>
        <v/>
      </c>
      <c r="G1158" s="16" t="str">
        <f aca="false">IF(AND(Eingabe!$F$14&gt;0,Eingabe!$E$14&gt;=140),"10."&amp;Eingabe!$D$14&amp;".140.1","")</f>
        <v/>
      </c>
      <c r="H1158" s="16" t="str">
        <f aca="false">IF(AND(Eingabe!$F$14&gt;0,Eingabe!$E$14&gt;=140),"10."&amp;Eingabe!$D$14&amp;".140.10 – 10."&amp;Eingabe!$D$14&amp;".140.250","")</f>
        <v/>
      </c>
      <c r="I1158" s="16" t="str">
        <f aca="false">IF(AND(Eingabe!$F$14&gt;0,Eingabe!$E$14&gt;=140),Eingabe!$B$6&amp;"-"&amp;Eingabe!$C$14&amp;"-Pächter","")</f>
        <v/>
      </c>
      <c r="J1158" s="16" t="str">
        <f aca="false">IF(AND(Eingabe!$F$14&gt;0,Eingabe!$E$14&gt;=140),"PPSK: Passwort Parzelle 140","")</f>
        <v/>
      </c>
      <c r="K1158" s="16" t="str">
        <f aca="false">IF(AND(Eingabe!$F$14&gt;0,Eingabe!$E$14&gt;=140),"1. Gerät: 10."&amp;Eingabe!$D$14&amp;".140.10, 2. Gerät: .11","")</f>
        <v/>
      </c>
    </row>
    <row r="1159" customFormat="false" ht="15" hidden="false" customHeight="false" outlineLevel="0" collapsed="false">
      <c r="A1159" s="16" t="str">
        <f aca="false">IF(AND(Eingabe!$F$14&gt;0,Eingabe!$E$14&gt;=141),6,"")</f>
        <v/>
      </c>
      <c r="B1159" s="16" t="str">
        <f aca="false">IF(AND(Eingabe!$F$14&gt;0,Eingabe!$E$14&gt;=141),Eingabe!$B$14,"")</f>
        <v/>
      </c>
      <c r="C1159" s="16" t="str">
        <f aca="false">IF(AND(Eingabe!$F$14&gt;0,Eingabe!$E$14&gt;=141),Eingabe!$C$14&amp;"-Paz."&amp;TEXT(141,"000"),"")</f>
        <v/>
      </c>
      <c r="D1159" s="16" t="str">
        <f aca="false">IF(AND(Eingabe!$F$14&gt;0,Eingabe!$E$14&gt;=141),141,"")</f>
        <v/>
      </c>
      <c r="E1159" s="16" t="str">
        <f aca="false">IF(AND(Eingabe!$F$14&gt;0,Eingabe!$E$14&gt;=141),IF((Eingabe!$G$14+1)&lt;=9,1000+(Eingabe!$G$14+1)*100,3000)+41,"")</f>
        <v/>
      </c>
      <c r="F1159" s="16" t="str">
        <f aca="false">IF(AND(Eingabe!$F$14&gt;0,Eingabe!$E$14&gt;=141),"10."&amp;Eingabe!$D$14&amp;".141.0/24","")</f>
        <v/>
      </c>
      <c r="G1159" s="16" t="str">
        <f aca="false">IF(AND(Eingabe!$F$14&gt;0,Eingabe!$E$14&gt;=141),"10."&amp;Eingabe!$D$14&amp;".141.1","")</f>
        <v/>
      </c>
      <c r="H1159" s="16" t="str">
        <f aca="false">IF(AND(Eingabe!$F$14&gt;0,Eingabe!$E$14&gt;=141),"10."&amp;Eingabe!$D$14&amp;".141.10 – 10."&amp;Eingabe!$D$14&amp;".141.250","")</f>
        <v/>
      </c>
      <c r="I1159" s="16" t="str">
        <f aca="false">IF(AND(Eingabe!$F$14&gt;0,Eingabe!$E$14&gt;=141),Eingabe!$B$6&amp;"-"&amp;Eingabe!$C$14&amp;"-Pächter","")</f>
        <v/>
      </c>
      <c r="J1159" s="16" t="str">
        <f aca="false">IF(AND(Eingabe!$F$14&gt;0,Eingabe!$E$14&gt;=141),"PPSK: Passwort Parzelle 141","")</f>
        <v/>
      </c>
      <c r="K1159" s="16" t="str">
        <f aca="false">IF(AND(Eingabe!$F$14&gt;0,Eingabe!$E$14&gt;=141),"1. Gerät: 10."&amp;Eingabe!$D$14&amp;".141.10, 2. Gerät: .11","")</f>
        <v/>
      </c>
    </row>
    <row r="1160" customFormat="false" ht="15" hidden="false" customHeight="false" outlineLevel="0" collapsed="false">
      <c r="A1160" s="16" t="str">
        <f aca="false">IF(AND(Eingabe!$F$14&gt;0,Eingabe!$E$14&gt;=142),6,"")</f>
        <v/>
      </c>
      <c r="B1160" s="16" t="str">
        <f aca="false">IF(AND(Eingabe!$F$14&gt;0,Eingabe!$E$14&gt;=142),Eingabe!$B$14,"")</f>
        <v/>
      </c>
      <c r="C1160" s="16" t="str">
        <f aca="false">IF(AND(Eingabe!$F$14&gt;0,Eingabe!$E$14&gt;=142),Eingabe!$C$14&amp;"-Paz."&amp;TEXT(142,"000"),"")</f>
        <v/>
      </c>
      <c r="D1160" s="16" t="str">
        <f aca="false">IF(AND(Eingabe!$F$14&gt;0,Eingabe!$E$14&gt;=142),142,"")</f>
        <v/>
      </c>
      <c r="E1160" s="16" t="str">
        <f aca="false">IF(AND(Eingabe!$F$14&gt;0,Eingabe!$E$14&gt;=142),IF((Eingabe!$G$14+1)&lt;=9,1000+(Eingabe!$G$14+1)*100,3000)+42,"")</f>
        <v/>
      </c>
      <c r="F1160" s="16" t="str">
        <f aca="false">IF(AND(Eingabe!$F$14&gt;0,Eingabe!$E$14&gt;=142),"10."&amp;Eingabe!$D$14&amp;".142.0/24","")</f>
        <v/>
      </c>
      <c r="G1160" s="16" t="str">
        <f aca="false">IF(AND(Eingabe!$F$14&gt;0,Eingabe!$E$14&gt;=142),"10."&amp;Eingabe!$D$14&amp;".142.1","")</f>
        <v/>
      </c>
      <c r="H1160" s="16" t="str">
        <f aca="false">IF(AND(Eingabe!$F$14&gt;0,Eingabe!$E$14&gt;=142),"10."&amp;Eingabe!$D$14&amp;".142.10 – 10."&amp;Eingabe!$D$14&amp;".142.250","")</f>
        <v/>
      </c>
      <c r="I1160" s="16" t="str">
        <f aca="false">IF(AND(Eingabe!$F$14&gt;0,Eingabe!$E$14&gt;=142),Eingabe!$B$6&amp;"-"&amp;Eingabe!$C$14&amp;"-Pächter","")</f>
        <v/>
      </c>
      <c r="J1160" s="16" t="str">
        <f aca="false">IF(AND(Eingabe!$F$14&gt;0,Eingabe!$E$14&gt;=142),"PPSK: Passwort Parzelle 142","")</f>
        <v/>
      </c>
      <c r="K1160" s="16" t="str">
        <f aca="false">IF(AND(Eingabe!$F$14&gt;0,Eingabe!$E$14&gt;=142),"1. Gerät: 10."&amp;Eingabe!$D$14&amp;".142.10, 2. Gerät: .11","")</f>
        <v/>
      </c>
    </row>
    <row r="1161" customFormat="false" ht="15" hidden="false" customHeight="false" outlineLevel="0" collapsed="false">
      <c r="A1161" s="16" t="str">
        <f aca="false">IF(AND(Eingabe!$F$14&gt;0,Eingabe!$E$14&gt;=143),6,"")</f>
        <v/>
      </c>
      <c r="B1161" s="16" t="str">
        <f aca="false">IF(AND(Eingabe!$F$14&gt;0,Eingabe!$E$14&gt;=143),Eingabe!$B$14,"")</f>
        <v/>
      </c>
      <c r="C1161" s="16" t="str">
        <f aca="false">IF(AND(Eingabe!$F$14&gt;0,Eingabe!$E$14&gt;=143),Eingabe!$C$14&amp;"-Paz."&amp;TEXT(143,"000"),"")</f>
        <v/>
      </c>
      <c r="D1161" s="16" t="str">
        <f aca="false">IF(AND(Eingabe!$F$14&gt;0,Eingabe!$E$14&gt;=143),143,"")</f>
        <v/>
      </c>
      <c r="E1161" s="16" t="str">
        <f aca="false">IF(AND(Eingabe!$F$14&gt;0,Eingabe!$E$14&gt;=143),IF((Eingabe!$G$14+1)&lt;=9,1000+(Eingabe!$G$14+1)*100,3000)+43,"")</f>
        <v/>
      </c>
      <c r="F1161" s="16" t="str">
        <f aca="false">IF(AND(Eingabe!$F$14&gt;0,Eingabe!$E$14&gt;=143),"10."&amp;Eingabe!$D$14&amp;".143.0/24","")</f>
        <v/>
      </c>
      <c r="G1161" s="16" t="str">
        <f aca="false">IF(AND(Eingabe!$F$14&gt;0,Eingabe!$E$14&gt;=143),"10."&amp;Eingabe!$D$14&amp;".143.1","")</f>
        <v/>
      </c>
      <c r="H1161" s="16" t="str">
        <f aca="false">IF(AND(Eingabe!$F$14&gt;0,Eingabe!$E$14&gt;=143),"10."&amp;Eingabe!$D$14&amp;".143.10 – 10."&amp;Eingabe!$D$14&amp;".143.250","")</f>
        <v/>
      </c>
      <c r="I1161" s="16" t="str">
        <f aca="false">IF(AND(Eingabe!$F$14&gt;0,Eingabe!$E$14&gt;=143),Eingabe!$B$6&amp;"-"&amp;Eingabe!$C$14&amp;"-Pächter","")</f>
        <v/>
      </c>
      <c r="J1161" s="16" t="str">
        <f aca="false">IF(AND(Eingabe!$F$14&gt;0,Eingabe!$E$14&gt;=143),"PPSK: Passwort Parzelle 143","")</f>
        <v/>
      </c>
      <c r="K1161" s="16" t="str">
        <f aca="false">IF(AND(Eingabe!$F$14&gt;0,Eingabe!$E$14&gt;=143),"1. Gerät: 10."&amp;Eingabe!$D$14&amp;".143.10, 2. Gerät: .11","")</f>
        <v/>
      </c>
    </row>
    <row r="1162" customFormat="false" ht="15" hidden="false" customHeight="false" outlineLevel="0" collapsed="false">
      <c r="A1162" s="16" t="str">
        <f aca="false">IF(AND(Eingabe!$F$14&gt;0,Eingabe!$E$14&gt;=144),6,"")</f>
        <v/>
      </c>
      <c r="B1162" s="16" t="str">
        <f aca="false">IF(AND(Eingabe!$F$14&gt;0,Eingabe!$E$14&gt;=144),Eingabe!$B$14,"")</f>
        <v/>
      </c>
      <c r="C1162" s="16" t="str">
        <f aca="false">IF(AND(Eingabe!$F$14&gt;0,Eingabe!$E$14&gt;=144),Eingabe!$C$14&amp;"-Paz."&amp;TEXT(144,"000"),"")</f>
        <v/>
      </c>
      <c r="D1162" s="16" t="str">
        <f aca="false">IF(AND(Eingabe!$F$14&gt;0,Eingabe!$E$14&gt;=144),144,"")</f>
        <v/>
      </c>
      <c r="E1162" s="16" t="str">
        <f aca="false">IF(AND(Eingabe!$F$14&gt;0,Eingabe!$E$14&gt;=144),IF((Eingabe!$G$14+1)&lt;=9,1000+(Eingabe!$G$14+1)*100,3000)+44,"")</f>
        <v/>
      </c>
      <c r="F1162" s="16" t="str">
        <f aca="false">IF(AND(Eingabe!$F$14&gt;0,Eingabe!$E$14&gt;=144),"10."&amp;Eingabe!$D$14&amp;".144.0/24","")</f>
        <v/>
      </c>
      <c r="G1162" s="16" t="str">
        <f aca="false">IF(AND(Eingabe!$F$14&gt;0,Eingabe!$E$14&gt;=144),"10."&amp;Eingabe!$D$14&amp;".144.1","")</f>
        <v/>
      </c>
      <c r="H1162" s="16" t="str">
        <f aca="false">IF(AND(Eingabe!$F$14&gt;0,Eingabe!$E$14&gt;=144),"10."&amp;Eingabe!$D$14&amp;".144.10 – 10."&amp;Eingabe!$D$14&amp;".144.250","")</f>
        <v/>
      </c>
      <c r="I1162" s="16" t="str">
        <f aca="false">IF(AND(Eingabe!$F$14&gt;0,Eingabe!$E$14&gt;=144),Eingabe!$B$6&amp;"-"&amp;Eingabe!$C$14&amp;"-Pächter","")</f>
        <v/>
      </c>
      <c r="J1162" s="16" t="str">
        <f aca="false">IF(AND(Eingabe!$F$14&gt;0,Eingabe!$E$14&gt;=144),"PPSK: Passwort Parzelle 144","")</f>
        <v/>
      </c>
      <c r="K1162" s="16" t="str">
        <f aca="false">IF(AND(Eingabe!$F$14&gt;0,Eingabe!$E$14&gt;=144),"1. Gerät: 10."&amp;Eingabe!$D$14&amp;".144.10, 2. Gerät: .11","")</f>
        <v/>
      </c>
    </row>
    <row r="1163" customFormat="false" ht="15" hidden="false" customHeight="false" outlineLevel="0" collapsed="false">
      <c r="A1163" s="16" t="str">
        <f aca="false">IF(AND(Eingabe!$F$14&gt;0,Eingabe!$E$14&gt;=145),6,"")</f>
        <v/>
      </c>
      <c r="B1163" s="16" t="str">
        <f aca="false">IF(AND(Eingabe!$F$14&gt;0,Eingabe!$E$14&gt;=145),Eingabe!$B$14,"")</f>
        <v/>
      </c>
      <c r="C1163" s="16" t="str">
        <f aca="false">IF(AND(Eingabe!$F$14&gt;0,Eingabe!$E$14&gt;=145),Eingabe!$C$14&amp;"-Paz."&amp;TEXT(145,"000"),"")</f>
        <v/>
      </c>
      <c r="D1163" s="16" t="str">
        <f aca="false">IF(AND(Eingabe!$F$14&gt;0,Eingabe!$E$14&gt;=145),145,"")</f>
        <v/>
      </c>
      <c r="E1163" s="16" t="str">
        <f aca="false">IF(AND(Eingabe!$F$14&gt;0,Eingabe!$E$14&gt;=145),IF((Eingabe!$G$14+1)&lt;=9,1000+(Eingabe!$G$14+1)*100,3000)+45,"")</f>
        <v/>
      </c>
      <c r="F1163" s="16" t="str">
        <f aca="false">IF(AND(Eingabe!$F$14&gt;0,Eingabe!$E$14&gt;=145),"10."&amp;Eingabe!$D$14&amp;".145.0/24","")</f>
        <v/>
      </c>
      <c r="G1163" s="16" t="str">
        <f aca="false">IF(AND(Eingabe!$F$14&gt;0,Eingabe!$E$14&gt;=145),"10."&amp;Eingabe!$D$14&amp;".145.1","")</f>
        <v/>
      </c>
      <c r="H1163" s="16" t="str">
        <f aca="false">IF(AND(Eingabe!$F$14&gt;0,Eingabe!$E$14&gt;=145),"10."&amp;Eingabe!$D$14&amp;".145.10 – 10."&amp;Eingabe!$D$14&amp;".145.250","")</f>
        <v/>
      </c>
      <c r="I1163" s="16" t="str">
        <f aca="false">IF(AND(Eingabe!$F$14&gt;0,Eingabe!$E$14&gt;=145),Eingabe!$B$6&amp;"-"&amp;Eingabe!$C$14&amp;"-Pächter","")</f>
        <v/>
      </c>
      <c r="J1163" s="16" t="str">
        <f aca="false">IF(AND(Eingabe!$F$14&gt;0,Eingabe!$E$14&gt;=145),"PPSK: Passwort Parzelle 145","")</f>
        <v/>
      </c>
      <c r="K1163" s="16" t="str">
        <f aca="false">IF(AND(Eingabe!$F$14&gt;0,Eingabe!$E$14&gt;=145),"1. Gerät: 10."&amp;Eingabe!$D$14&amp;".145.10, 2. Gerät: .11","")</f>
        <v/>
      </c>
    </row>
    <row r="1164" customFormat="false" ht="15" hidden="false" customHeight="false" outlineLevel="0" collapsed="false">
      <c r="A1164" s="16" t="str">
        <f aca="false">IF(AND(Eingabe!$F$14&gt;0,Eingabe!$E$14&gt;=146),6,"")</f>
        <v/>
      </c>
      <c r="B1164" s="16" t="str">
        <f aca="false">IF(AND(Eingabe!$F$14&gt;0,Eingabe!$E$14&gt;=146),Eingabe!$B$14,"")</f>
        <v/>
      </c>
      <c r="C1164" s="16" t="str">
        <f aca="false">IF(AND(Eingabe!$F$14&gt;0,Eingabe!$E$14&gt;=146),Eingabe!$C$14&amp;"-Paz."&amp;TEXT(146,"000"),"")</f>
        <v/>
      </c>
      <c r="D1164" s="16" t="str">
        <f aca="false">IF(AND(Eingabe!$F$14&gt;0,Eingabe!$E$14&gt;=146),146,"")</f>
        <v/>
      </c>
      <c r="E1164" s="16" t="str">
        <f aca="false">IF(AND(Eingabe!$F$14&gt;0,Eingabe!$E$14&gt;=146),IF((Eingabe!$G$14+1)&lt;=9,1000+(Eingabe!$G$14+1)*100,3000)+46,"")</f>
        <v/>
      </c>
      <c r="F1164" s="16" t="str">
        <f aca="false">IF(AND(Eingabe!$F$14&gt;0,Eingabe!$E$14&gt;=146),"10."&amp;Eingabe!$D$14&amp;".146.0/24","")</f>
        <v/>
      </c>
      <c r="G1164" s="16" t="str">
        <f aca="false">IF(AND(Eingabe!$F$14&gt;0,Eingabe!$E$14&gt;=146),"10."&amp;Eingabe!$D$14&amp;".146.1","")</f>
        <v/>
      </c>
      <c r="H1164" s="16" t="str">
        <f aca="false">IF(AND(Eingabe!$F$14&gt;0,Eingabe!$E$14&gt;=146),"10."&amp;Eingabe!$D$14&amp;".146.10 – 10."&amp;Eingabe!$D$14&amp;".146.250","")</f>
        <v/>
      </c>
      <c r="I1164" s="16" t="str">
        <f aca="false">IF(AND(Eingabe!$F$14&gt;0,Eingabe!$E$14&gt;=146),Eingabe!$B$6&amp;"-"&amp;Eingabe!$C$14&amp;"-Pächter","")</f>
        <v/>
      </c>
      <c r="J1164" s="16" t="str">
        <f aca="false">IF(AND(Eingabe!$F$14&gt;0,Eingabe!$E$14&gt;=146),"PPSK: Passwort Parzelle 146","")</f>
        <v/>
      </c>
      <c r="K1164" s="16" t="str">
        <f aca="false">IF(AND(Eingabe!$F$14&gt;0,Eingabe!$E$14&gt;=146),"1. Gerät: 10."&amp;Eingabe!$D$14&amp;".146.10, 2. Gerät: .11","")</f>
        <v/>
      </c>
    </row>
    <row r="1165" customFormat="false" ht="15" hidden="false" customHeight="false" outlineLevel="0" collapsed="false">
      <c r="A1165" s="16" t="str">
        <f aca="false">IF(AND(Eingabe!$F$14&gt;0,Eingabe!$E$14&gt;=147),6,"")</f>
        <v/>
      </c>
      <c r="B1165" s="16" t="str">
        <f aca="false">IF(AND(Eingabe!$F$14&gt;0,Eingabe!$E$14&gt;=147),Eingabe!$B$14,"")</f>
        <v/>
      </c>
      <c r="C1165" s="16" t="str">
        <f aca="false">IF(AND(Eingabe!$F$14&gt;0,Eingabe!$E$14&gt;=147),Eingabe!$C$14&amp;"-Paz."&amp;TEXT(147,"000"),"")</f>
        <v/>
      </c>
      <c r="D1165" s="16" t="str">
        <f aca="false">IF(AND(Eingabe!$F$14&gt;0,Eingabe!$E$14&gt;=147),147,"")</f>
        <v/>
      </c>
      <c r="E1165" s="16" t="str">
        <f aca="false">IF(AND(Eingabe!$F$14&gt;0,Eingabe!$E$14&gt;=147),IF((Eingabe!$G$14+1)&lt;=9,1000+(Eingabe!$G$14+1)*100,3000)+47,"")</f>
        <v/>
      </c>
      <c r="F1165" s="16" t="str">
        <f aca="false">IF(AND(Eingabe!$F$14&gt;0,Eingabe!$E$14&gt;=147),"10."&amp;Eingabe!$D$14&amp;".147.0/24","")</f>
        <v/>
      </c>
      <c r="G1165" s="16" t="str">
        <f aca="false">IF(AND(Eingabe!$F$14&gt;0,Eingabe!$E$14&gt;=147),"10."&amp;Eingabe!$D$14&amp;".147.1","")</f>
        <v/>
      </c>
      <c r="H1165" s="16" t="str">
        <f aca="false">IF(AND(Eingabe!$F$14&gt;0,Eingabe!$E$14&gt;=147),"10."&amp;Eingabe!$D$14&amp;".147.10 – 10."&amp;Eingabe!$D$14&amp;".147.250","")</f>
        <v/>
      </c>
      <c r="I1165" s="16" t="str">
        <f aca="false">IF(AND(Eingabe!$F$14&gt;0,Eingabe!$E$14&gt;=147),Eingabe!$B$6&amp;"-"&amp;Eingabe!$C$14&amp;"-Pächter","")</f>
        <v/>
      </c>
      <c r="J1165" s="16" t="str">
        <f aca="false">IF(AND(Eingabe!$F$14&gt;0,Eingabe!$E$14&gt;=147),"PPSK: Passwort Parzelle 147","")</f>
        <v/>
      </c>
      <c r="K1165" s="16" t="str">
        <f aca="false">IF(AND(Eingabe!$F$14&gt;0,Eingabe!$E$14&gt;=147),"1. Gerät: 10."&amp;Eingabe!$D$14&amp;".147.10, 2. Gerät: .11","")</f>
        <v/>
      </c>
    </row>
    <row r="1166" customFormat="false" ht="15" hidden="false" customHeight="false" outlineLevel="0" collapsed="false">
      <c r="A1166" s="16" t="str">
        <f aca="false">IF(AND(Eingabe!$F$14&gt;0,Eingabe!$E$14&gt;=148),6,"")</f>
        <v/>
      </c>
      <c r="B1166" s="16" t="str">
        <f aca="false">IF(AND(Eingabe!$F$14&gt;0,Eingabe!$E$14&gt;=148),Eingabe!$B$14,"")</f>
        <v/>
      </c>
      <c r="C1166" s="16" t="str">
        <f aca="false">IF(AND(Eingabe!$F$14&gt;0,Eingabe!$E$14&gt;=148),Eingabe!$C$14&amp;"-Paz."&amp;TEXT(148,"000"),"")</f>
        <v/>
      </c>
      <c r="D1166" s="16" t="str">
        <f aca="false">IF(AND(Eingabe!$F$14&gt;0,Eingabe!$E$14&gt;=148),148,"")</f>
        <v/>
      </c>
      <c r="E1166" s="16" t="str">
        <f aca="false">IF(AND(Eingabe!$F$14&gt;0,Eingabe!$E$14&gt;=148),IF((Eingabe!$G$14+1)&lt;=9,1000+(Eingabe!$G$14+1)*100,3000)+48,"")</f>
        <v/>
      </c>
      <c r="F1166" s="16" t="str">
        <f aca="false">IF(AND(Eingabe!$F$14&gt;0,Eingabe!$E$14&gt;=148),"10."&amp;Eingabe!$D$14&amp;".148.0/24","")</f>
        <v/>
      </c>
      <c r="G1166" s="16" t="str">
        <f aca="false">IF(AND(Eingabe!$F$14&gt;0,Eingabe!$E$14&gt;=148),"10."&amp;Eingabe!$D$14&amp;".148.1","")</f>
        <v/>
      </c>
      <c r="H1166" s="16" t="str">
        <f aca="false">IF(AND(Eingabe!$F$14&gt;0,Eingabe!$E$14&gt;=148),"10."&amp;Eingabe!$D$14&amp;".148.10 – 10."&amp;Eingabe!$D$14&amp;".148.250","")</f>
        <v/>
      </c>
      <c r="I1166" s="16" t="str">
        <f aca="false">IF(AND(Eingabe!$F$14&gt;0,Eingabe!$E$14&gt;=148),Eingabe!$B$6&amp;"-"&amp;Eingabe!$C$14&amp;"-Pächter","")</f>
        <v/>
      </c>
      <c r="J1166" s="16" t="str">
        <f aca="false">IF(AND(Eingabe!$F$14&gt;0,Eingabe!$E$14&gt;=148),"PPSK: Passwort Parzelle 148","")</f>
        <v/>
      </c>
      <c r="K1166" s="16" t="str">
        <f aca="false">IF(AND(Eingabe!$F$14&gt;0,Eingabe!$E$14&gt;=148),"1. Gerät: 10."&amp;Eingabe!$D$14&amp;".148.10, 2. Gerät: .11","")</f>
        <v/>
      </c>
    </row>
    <row r="1167" customFormat="false" ht="15" hidden="false" customHeight="false" outlineLevel="0" collapsed="false">
      <c r="A1167" s="16" t="str">
        <f aca="false">IF(AND(Eingabe!$F$14&gt;0,Eingabe!$E$14&gt;=149),6,"")</f>
        <v/>
      </c>
      <c r="B1167" s="16" t="str">
        <f aca="false">IF(AND(Eingabe!$F$14&gt;0,Eingabe!$E$14&gt;=149),Eingabe!$B$14,"")</f>
        <v/>
      </c>
      <c r="C1167" s="16" t="str">
        <f aca="false">IF(AND(Eingabe!$F$14&gt;0,Eingabe!$E$14&gt;=149),Eingabe!$C$14&amp;"-Paz."&amp;TEXT(149,"000"),"")</f>
        <v/>
      </c>
      <c r="D1167" s="16" t="str">
        <f aca="false">IF(AND(Eingabe!$F$14&gt;0,Eingabe!$E$14&gt;=149),149,"")</f>
        <v/>
      </c>
      <c r="E1167" s="16" t="str">
        <f aca="false">IF(AND(Eingabe!$F$14&gt;0,Eingabe!$E$14&gt;=149),IF((Eingabe!$G$14+1)&lt;=9,1000+(Eingabe!$G$14+1)*100,3000)+49,"")</f>
        <v/>
      </c>
      <c r="F1167" s="16" t="str">
        <f aca="false">IF(AND(Eingabe!$F$14&gt;0,Eingabe!$E$14&gt;=149),"10."&amp;Eingabe!$D$14&amp;".149.0/24","")</f>
        <v/>
      </c>
      <c r="G1167" s="16" t="str">
        <f aca="false">IF(AND(Eingabe!$F$14&gt;0,Eingabe!$E$14&gt;=149),"10."&amp;Eingabe!$D$14&amp;".149.1","")</f>
        <v/>
      </c>
      <c r="H1167" s="16" t="str">
        <f aca="false">IF(AND(Eingabe!$F$14&gt;0,Eingabe!$E$14&gt;=149),"10."&amp;Eingabe!$D$14&amp;".149.10 – 10."&amp;Eingabe!$D$14&amp;".149.250","")</f>
        <v/>
      </c>
      <c r="I1167" s="16" t="str">
        <f aca="false">IF(AND(Eingabe!$F$14&gt;0,Eingabe!$E$14&gt;=149),Eingabe!$B$6&amp;"-"&amp;Eingabe!$C$14&amp;"-Pächter","")</f>
        <v/>
      </c>
      <c r="J1167" s="16" t="str">
        <f aca="false">IF(AND(Eingabe!$F$14&gt;0,Eingabe!$E$14&gt;=149),"PPSK: Passwort Parzelle 149","")</f>
        <v/>
      </c>
      <c r="K1167" s="16" t="str">
        <f aca="false">IF(AND(Eingabe!$F$14&gt;0,Eingabe!$E$14&gt;=149),"1. Gerät: 10."&amp;Eingabe!$D$14&amp;".149.10, 2. Gerät: .11","")</f>
        <v/>
      </c>
    </row>
    <row r="1168" customFormat="false" ht="15" hidden="false" customHeight="false" outlineLevel="0" collapsed="false">
      <c r="A1168" s="16" t="str">
        <f aca="false">IF(AND(Eingabe!$F$14&gt;0,Eingabe!$E$14&gt;=150),6,"")</f>
        <v/>
      </c>
      <c r="B1168" s="16" t="str">
        <f aca="false">IF(AND(Eingabe!$F$14&gt;0,Eingabe!$E$14&gt;=150),Eingabe!$B$14,"")</f>
        <v/>
      </c>
      <c r="C1168" s="16" t="str">
        <f aca="false">IF(AND(Eingabe!$F$14&gt;0,Eingabe!$E$14&gt;=150),Eingabe!$C$14&amp;"-Paz."&amp;TEXT(150,"000"),"")</f>
        <v/>
      </c>
      <c r="D1168" s="16" t="str">
        <f aca="false">IF(AND(Eingabe!$F$14&gt;0,Eingabe!$E$14&gt;=150),150,"")</f>
        <v/>
      </c>
      <c r="E1168" s="16" t="str">
        <f aca="false">IF(AND(Eingabe!$F$14&gt;0,Eingabe!$E$14&gt;=150),IF((Eingabe!$G$14+1)&lt;=9,1000+(Eingabe!$G$14+1)*100,3000)+50,"")</f>
        <v/>
      </c>
      <c r="F1168" s="16" t="str">
        <f aca="false">IF(AND(Eingabe!$F$14&gt;0,Eingabe!$E$14&gt;=150),"10."&amp;Eingabe!$D$14&amp;".150.0/24","")</f>
        <v/>
      </c>
      <c r="G1168" s="16" t="str">
        <f aca="false">IF(AND(Eingabe!$F$14&gt;0,Eingabe!$E$14&gt;=150),"10."&amp;Eingabe!$D$14&amp;".150.1","")</f>
        <v/>
      </c>
      <c r="H1168" s="16" t="str">
        <f aca="false">IF(AND(Eingabe!$F$14&gt;0,Eingabe!$E$14&gt;=150),"10."&amp;Eingabe!$D$14&amp;".150.10 – 10."&amp;Eingabe!$D$14&amp;".150.250","")</f>
        <v/>
      </c>
      <c r="I1168" s="16" t="str">
        <f aca="false">IF(AND(Eingabe!$F$14&gt;0,Eingabe!$E$14&gt;=150),Eingabe!$B$6&amp;"-"&amp;Eingabe!$C$14&amp;"-Pächter","")</f>
        <v/>
      </c>
      <c r="J1168" s="16" t="str">
        <f aca="false">IF(AND(Eingabe!$F$14&gt;0,Eingabe!$E$14&gt;=150),"PPSK: Passwort Parzelle 150","")</f>
        <v/>
      </c>
      <c r="K1168" s="16" t="str">
        <f aca="false">IF(AND(Eingabe!$F$14&gt;0,Eingabe!$E$14&gt;=150),"1. Gerät: 10."&amp;Eingabe!$D$14&amp;".150.10, 2. Gerät: .11","")</f>
        <v/>
      </c>
    </row>
    <row r="1169" customFormat="false" ht="15" hidden="false" customHeight="false" outlineLevel="0" collapsed="false">
      <c r="A1169" s="16" t="str">
        <f aca="false">IF(AND(Eingabe!$F$14&gt;0,Eingabe!$E$14&gt;=151),6,"")</f>
        <v/>
      </c>
      <c r="B1169" s="16" t="str">
        <f aca="false">IF(AND(Eingabe!$F$14&gt;0,Eingabe!$E$14&gt;=151),Eingabe!$B$14,"")</f>
        <v/>
      </c>
      <c r="C1169" s="16" t="str">
        <f aca="false">IF(AND(Eingabe!$F$14&gt;0,Eingabe!$E$14&gt;=151),Eingabe!$C$14&amp;"-Paz."&amp;TEXT(151,"000"),"")</f>
        <v/>
      </c>
      <c r="D1169" s="16" t="str">
        <f aca="false">IF(AND(Eingabe!$F$14&gt;0,Eingabe!$E$14&gt;=151),151,"")</f>
        <v/>
      </c>
      <c r="E1169" s="16" t="str">
        <f aca="false">IF(AND(Eingabe!$F$14&gt;0,Eingabe!$E$14&gt;=151),IF((Eingabe!$G$14+1)&lt;=9,1000+(Eingabe!$G$14+1)*100,3000)+51,"")</f>
        <v/>
      </c>
      <c r="F1169" s="16" t="str">
        <f aca="false">IF(AND(Eingabe!$F$14&gt;0,Eingabe!$E$14&gt;=151),"10."&amp;Eingabe!$D$14&amp;".151.0/24","")</f>
        <v/>
      </c>
      <c r="G1169" s="16" t="str">
        <f aca="false">IF(AND(Eingabe!$F$14&gt;0,Eingabe!$E$14&gt;=151),"10."&amp;Eingabe!$D$14&amp;".151.1","")</f>
        <v/>
      </c>
      <c r="H1169" s="16" t="str">
        <f aca="false">IF(AND(Eingabe!$F$14&gt;0,Eingabe!$E$14&gt;=151),"10."&amp;Eingabe!$D$14&amp;".151.10 – 10."&amp;Eingabe!$D$14&amp;".151.250","")</f>
        <v/>
      </c>
      <c r="I1169" s="16" t="str">
        <f aca="false">IF(AND(Eingabe!$F$14&gt;0,Eingabe!$E$14&gt;=151),Eingabe!$B$6&amp;"-"&amp;Eingabe!$C$14&amp;"-Pächter","")</f>
        <v/>
      </c>
      <c r="J1169" s="16" t="str">
        <f aca="false">IF(AND(Eingabe!$F$14&gt;0,Eingabe!$E$14&gt;=151),"PPSK: Passwort Parzelle 151","")</f>
        <v/>
      </c>
      <c r="K1169" s="16" t="str">
        <f aca="false">IF(AND(Eingabe!$F$14&gt;0,Eingabe!$E$14&gt;=151),"1. Gerät: 10."&amp;Eingabe!$D$14&amp;".151.10, 2. Gerät: .11","")</f>
        <v/>
      </c>
    </row>
    <row r="1170" customFormat="false" ht="15" hidden="false" customHeight="false" outlineLevel="0" collapsed="false">
      <c r="A1170" s="16" t="str">
        <f aca="false">IF(AND(Eingabe!$F$14&gt;0,Eingabe!$E$14&gt;=152),6,"")</f>
        <v/>
      </c>
      <c r="B1170" s="16" t="str">
        <f aca="false">IF(AND(Eingabe!$F$14&gt;0,Eingabe!$E$14&gt;=152),Eingabe!$B$14,"")</f>
        <v/>
      </c>
      <c r="C1170" s="16" t="str">
        <f aca="false">IF(AND(Eingabe!$F$14&gt;0,Eingabe!$E$14&gt;=152),Eingabe!$C$14&amp;"-Paz."&amp;TEXT(152,"000"),"")</f>
        <v/>
      </c>
      <c r="D1170" s="16" t="str">
        <f aca="false">IF(AND(Eingabe!$F$14&gt;0,Eingabe!$E$14&gt;=152),152,"")</f>
        <v/>
      </c>
      <c r="E1170" s="16" t="str">
        <f aca="false">IF(AND(Eingabe!$F$14&gt;0,Eingabe!$E$14&gt;=152),IF((Eingabe!$G$14+1)&lt;=9,1000+(Eingabe!$G$14+1)*100,3000)+52,"")</f>
        <v/>
      </c>
      <c r="F1170" s="16" t="str">
        <f aca="false">IF(AND(Eingabe!$F$14&gt;0,Eingabe!$E$14&gt;=152),"10."&amp;Eingabe!$D$14&amp;".152.0/24","")</f>
        <v/>
      </c>
      <c r="G1170" s="16" t="str">
        <f aca="false">IF(AND(Eingabe!$F$14&gt;0,Eingabe!$E$14&gt;=152),"10."&amp;Eingabe!$D$14&amp;".152.1","")</f>
        <v/>
      </c>
      <c r="H1170" s="16" t="str">
        <f aca="false">IF(AND(Eingabe!$F$14&gt;0,Eingabe!$E$14&gt;=152),"10."&amp;Eingabe!$D$14&amp;".152.10 – 10."&amp;Eingabe!$D$14&amp;".152.250","")</f>
        <v/>
      </c>
      <c r="I1170" s="16" t="str">
        <f aca="false">IF(AND(Eingabe!$F$14&gt;0,Eingabe!$E$14&gt;=152),Eingabe!$B$6&amp;"-"&amp;Eingabe!$C$14&amp;"-Pächter","")</f>
        <v/>
      </c>
      <c r="J1170" s="16" t="str">
        <f aca="false">IF(AND(Eingabe!$F$14&gt;0,Eingabe!$E$14&gt;=152),"PPSK: Passwort Parzelle 152","")</f>
        <v/>
      </c>
      <c r="K1170" s="16" t="str">
        <f aca="false">IF(AND(Eingabe!$F$14&gt;0,Eingabe!$E$14&gt;=152),"1. Gerät: 10."&amp;Eingabe!$D$14&amp;".152.10, 2. Gerät: .11","")</f>
        <v/>
      </c>
    </row>
    <row r="1171" customFormat="false" ht="15" hidden="false" customHeight="false" outlineLevel="0" collapsed="false">
      <c r="A1171" s="16" t="str">
        <f aca="false">IF(AND(Eingabe!$F$14&gt;0,Eingabe!$E$14&gt;=153),6,"")</f>
        <v/>
      </c>
      <c r="B1171" s="16" t="str">
        <f aca="false">IF(AND(Eingabe!$F$14&gt;0,Eingabe!$E$14&gt;=153),Eingabe!$B$14,"")</f>
        <v/>
      </c>
      <c r="C1171" s="16" t="str">
        <f aca="false">IF(AND(Eingabe!$F$14&gt;0,Eingabe!$E$14&gt;=153),Eingabe!$C$14&amp;"-Paz."&amp;TEXT(153,"000"),"")</f>
        <v/>
      </c>
      <c r="D1171" s="16" t="str">
        <f aca="false">IF(AND(Eingabe!$F$14&gt;0,Eingabe!$E$14&gt;=153),153,"")</f>
        <v/>
      </c>
      <c r="E1171" s="16" t="str">
        <f aca="false">IF(AND(Eingabe!$F$14&gt;0,Eingabe!$E$14&gt;=153),IF((Eingabe!$G$14+1)&lt;=9,1000+(Eingabe!$G$14+1)*100,3000)+53,"")</f>
        <v/>
      </c>
      <c r="F1171" s="16" t="str">
        <f aca="false">IF(AND(Eingabe!$F$14&gt;0,Eingabe!$E$14&gt;=153),"10."&amp;Eingabe!$D$14&amp;".153.0/24","")</f>
        <v/>
      </c>
      <c r="G1171" s="16" t="str">
        <f aca="false">IF(AND(Eingabe!$F$14&gt;0,Eingabe!$E$14&gt;=153),"10."&amp;Eingabe!$D$14&amp;".153.1","")</f>
        <v/>
      </c>
      <c r="H1171" s="16" t="str">
        <f aca="false">IF(AND(Eingabe!$F$14&gt;0,Eingabe!$E$14&gt;=153),"10."&amp;Eingabe!$D$14&amp;".153.10 – 10."&amp;Eingabe!$D$14&amp;".153.250","")</f>
        <v/>
      </c>
      <c r="I1171" s="16" t="str">
        <f aca="false">IF(AND(Eingabe!$F$14&gt;0,Eingabe!$E$14&gt;=153),Eingabe!$B$6&amp;"-"&amp;Eingabe!$C$14&amp;"-Pächter","")</f>
        <v/>
      </c>
      <c r="J1171" s="16" t="str">
        <f aca="false">IF(AND(Eingabe!$F$14&gt;0,Eingabe!$E$14&gt;=153),"PPSK: Passwort Parzelle 153","")</f>
        <v/>
      </c>
      <c r="K1171" s="16" t="str">
        <f aca="false">IF(AND(Eingabe!$F$14&gt;0,Eingabe!$E$14&gt;=153),"1. Gerät: 10."&amp;Eingabe!$D$14&amp;".153.10, 2. Gerät: .11","")</f>
        <v/>
      </c>
    </row>
    <row r="1172" customFormat="false" ht="15" hidden="false" customHeight="false" outlineLevel="0" collapsed="false">
      <c r="A1172" s="16" t="str">
        <f aca="false">IF(AND(Eingabe!$F$14&gt;0,Eingabe!$E$14&gt;=154),6,"")</f>
        <v/>
      </c>
      <c r="B1172" s="16" t="str">
        <f aca="false">IF(AND(Eingabe!$F$14&gt;0,Eingabe!$E$14&gt;=154),Eingabe!$B$14,"")</f>
        <v/>
      </c>
      <c r="C1172" s="16" t="str">
        <f aca="false">IF(AND(Eingabe!$F$14&gt;0,Eingabe!$E$14&gt;=154),Eingabe!$C$14&amp;"-Paz."&amp;TEXT(154,"000"),"")</f>
        <v/>
      </c>
      <c r="D1172" s="16" t="str">
        <f aca="false">IF(AND(Eingabe!$F$14&gt;0,Eingabe!$E$14&gt;=154),154,"")</f>
        <v/>
      </c>
      <c r="E1172" s="16" t="str">
        <f aca="false">IF(AND(Eingabe!$F$14&gt;0,Eingabe!$E$14&gt;=154),IF((Eingabe!$G$14+1)&lt;=9,1000+(Eingabe!$G$14+1)*100,3000)+54,"")</f>
        <v/>
      </c>
      <c r="F1172" s="16" t="str">
        <f aca="false">IF(AND(Eingabe!$F$14&gt;0,Eingabe!$E$14&gt;=154),"10."&amp;Eingabe!$D$14&amp;".154.0/24","")</f>
        <v/>
      </c>
      <c r="G1172" s="16" t="str">
        <f aca="false">IF(AND(Eingabe!$F$14&gt;0,Eingabe!$E$14&gt;=154),"10."&amp;Eingabe!$D$14&amp;".154.1","")</f>
        <v/>
      </c>
      <c r="H1172" s="16" t="str">
        <f aca="false">IF(AND(Eingabe!$F$14&gt;0,Eingabe!$E$14&gt;=154),"10."&amp;Eingabe!$D$14&amp;".154.10 – 10."&amp;Eingabe!$D$14&amp;".154.250","")</f>
        <v/>
      </c>
      <c r="I1172" s="16" t="str">
        <f aca="false">IF(AND(Eingabe!$F$14&gt;0,Eingabe!$E$14&gt;=154),Eingabe!$B$6&amp;"-"&amp;Eingabe!$C$14&amp;"-Pächter","")</f>
        <v/>
      </c>
      <c r="J1172" s="16" t="str">
        <f aca="false">IF(AND(Eingabe!$F$14&gt;0,Eingabe!$E$14&gt;=154),"PPSK: Passwort Parzelle 154","")</f>
        <v/>
      </c>
      <c r="K1172" s="16" t="str">
        <f aca="false">IF(AND(Eingabe!$F$14&gt;0,Eingabe!$E$14&gt;=154),"1. Gerät: 10."&amp;Eingabe!$D$14&amp;".154.10, 2. Gerät: .11","")</f>
        <v/>
      </c>
    </row>
    <row r="1173" customFormat="false" ht="15" hidden="false" customHeight="false" outlineLevel="0" collapsed="false">
      <c r="A1173" s="16" t="str">
        <f aca="false">IF(AND(Eingabe!$F$14&gt;0,Eingabe!$E$14&gt;=155),6,"")</f>
        <v/>
      </c>
      <c r="B1173" s="16" t="str">
        <f aca="false">IF(AND(Eingabe!$F$14&gt;0,Eingabe!$E$14&gt;=155),Eingabe!$B$14,"")</f>
        <v/>
      </c>
      <c r="C1173" s="16" t="str">
        <f aca="false">IF(AND(Eingabe!$F$14&gt;0,Eingabe!$E$14&gt;=155),Eingabe!$C$14&amp;"-Paz."&amp;TEXT(155,"000"),"")</f>
        <v/>
      </c>
      <c r="D1173" s="16" t="str">
        <f aca="false">IF(AND(Eingabe!$F$14&gt;0,Eingabe!$E$14&gt;=155),155,"")</f>
        <v/>
      </c>
      <c r="E1173" s="16" t="str">
        <f aca="false">IF(AND(Eingabe!$F$14&gt;0,Eingabe!$E$14&gt;=155),IF((Eingabe!$G$14+1)&lt;=9,1000+(Eingabe!$G$14+1)*100,3000)+55,"")</f>
        <v/>
      </c>
      <c r="F1173" s="16" t="str">
        <f aca="false">IF(AND(Eingabe!$F$14&gt;0,Eingabe!$E$14&gt;=155),"10."&amp;Eingabe!$D$14&amp;".155.0/24","")</f>
        <v/>
      </c>
      <c r="G1173" s="16" t="str">
        <f aca="false">IF(AND(Eingabe!$F$14&gt;0,Eingabe!$E$14&gt;=155),"10."&amp;Eingabe!$D$14&amp;".155.1","")</f>
        <v/>
      </c>
      <c r="H1173" s="16" t="str">
        <f aca="false">IF(AND(Eingabe!$F$14&gt;0,Eingabe!$E$14&gt;=155),"10."&amp;Eingabe!$D$14&amp;".155.10 – 10."&amp;Eingabe!$D$14&amp;".155.250","")</f>
        <v/>
      </c>
      <c r="I1173" s="16" t="str">
        <f aca="false">IF(AND(Eingabe!$F$14&gt;0,Eingabe!$E$14&gt;=155),Eingabe!$B$6&amp;"-"&amp;Eingabe!$C$14&amp;"-Pächter","")</f>
        <v/>
      </c>
      <c r="J1173" s="16" t="str">
        <f aca="false">IF(AND(Eingabe!$F$14&gt;0,Eingabe!$E$14&gt;=155),"PPSK: Passwort Parzelle 155","")</f>
        <v/>
      </c>
      <c r="K1173" s="16" t="str">
        <f aca="false">IF(AND(Eingabe!$F$14&gt;0,Eingabe!$E$14&gt;=155),"1. Gerät: 10."&amp;Eingabe!$D$14&amp;".155.10, 2. Gerät: .11","")</f>
        <v/>
      </c>
    </row>
    <row r="1174" customFormat="false" ht="15" hidden="false" customHeight="false" outlineLevel="0" collapsed="false">
      <c r="A1174" s="16" t="str">
        <f aca="false">IF(AND(Eingabe!$F$14&gt;0,Eingabe!$E$14&gt;=156),6,"")</f>
        <v/>
      </c>
      <c r="B1174" s="16" t="str">
        <f aca="false">IF(AND(Eingabe!$F$14&gt;0,Eingabe!$E$14&gt;=156),Eingabe!$B$14,"")</f>
        <v/>
      </c>
      <c r="C1174" s="16" t="str">
        <f aca="false">IF(AND(Eingabe!$F$14&gt;0,Eingabe!$E$14&gt;=156),Eingabe!$C$14&amp;"-Paz."&amp;TEXT(156,"000"),"")</f>
        <v/>
      </c>
      <c r="D1174" s="16" t="str">
        <f aca="false">IF(AND(Eingabe!$F$14&gt;0,Eingabe!$E$14&gt;=156),156,"")</f>
        <v/>
      </c>
      <c r="E1174" s="16" t="str">
        <f aca="false">IF(AND(Eingabe!$F$14&gt;0,Eingabe!$E$14&gt;=156),IF((Eingabe!$G$14+1)&lt;=9,1000+(Eingabe!$G$14+1)*100,3000)+56,"")</f>
        <v/>
      </c>
      <c r="F1174" s="16" t="str">
        <f aca="false">IF(AND(Eingabe!$F$14&gt;0,Eingabe!$E$14&gt;=156),"10."&amp;Eingabe!$D$14&amp;".156.0/24","")</f>
        <v/>
      </c>
      <c r="G1174" s="16" t="str">
        <f aca="false">IF(AND(Eingabe!$F$14&gt;0,Eingabe!$E$14&gt;=156),"10."&amp;Eingabe!$D$14&amp;".156.1","")</f>
        <v/>
      </c>
      <c r="H1174" s="16" t="str">
        <f aca="false">IF(AND(Eingabe!$F$14&gt;0,Eingabe!$E$14&gt;=156),"10."&amp;Eingabe!$D$14&amp;".156.10 – 10."&amp;Eingabe!$D$14&amp;".156.250","")</f>
        <v/>
      </c>
      <c r="I1174" s="16" t="str">
        <f aca="false">IF(AND(Eingabe!$F$14&gt;0,Eingabe!$E$14&gt;=156),Eingabe!$B$6&amp;"-"&amp;Eingabe!$C$14&amp;"-Pächter","")</f>
        <v/>
      </c>
      <c r="J1174" s="16" t="str">
        <f aca="false">IF(AND(Eingabe!$F$14&gt;0,Eingabe!$E$14&gt;=156),"PPSK: Passwort Parzelle 156","")</f>
        <v/>
      </c>
      <c r="K1174" s="16" t="str">
        <f aca="false">IF(AND(Eingabe!$F$14&gt;0,Eingabe!$E$14&gt;=156),"1. Gerät: 10."&amp;Eingabe!$D$14&amp;".156.10, 2. Gerät: .11","")</f>
        <v/>
      </c>
    </row>
    <row r="1175" customFormat="false" ht="15" hidden="false" customHeight="false" outlineLevel="0" collapsed="false">
      <c r="A1175" s="16" t="str">
        <f aca="false">IF(AND(Eingabe!$F$14&gt;0,Eingabe!$E$14&gt;=157),6,"")</f>
        <v/>
      </c>
      <c r="B1175" s="16" t="str">
        <f aca="false">IF(AND(Eingabe!$F$14&gt;0,Eingabe!$E$14&gt;=157),Eingabe!$B$14,"")</f>
        <v/>
      </c>
      <c r="C1175" s="16" t="str">
        <f aca="false">IF(AND(Eingabe!$F$14&gt;0,Eingabe!$E$14&gt;=157),Eingabe!$C$14&amp;"-Paz."&amp;TEXT(157,"000"),"")</f>
        <v/>
      </c>
      <c r="D1175" s="16" t="str">
        <f aca="false">IF(AND(Eingabe!$F$14&gt;0,Eingabe!$E$14&gt;=157),157,"")</f>
        <v/>
      </c>
      <c r="E1175" s="16" t="str">
        <f aca="false">IF(AND(Eingabe!$F$14&gt;0,Eingabe!$E$14&gt;=157),IF((Eingabe!$G$14+1)&lt;=9,1000+(Eingabe!$G$14+1)*100,3000)+57,"")</f>
        <v/>
      </c>
      <c r="F1175" s="16" t="str">
        <f aca="false">IF(AND(Eingabe!$F$14&gt;0,Eingabe!$E$14&gt;=157),"10."&amp;Eingabe!$D$14&amp;".157.0/24","")</f>
        <v/>
      </c>
      <c r="G1175" s="16" t="str">
        <f aca="false">IF(AND(Eingabe!$F$14&gt;0,Eingabe!$E$14&gt;=157),"10."&amp;Eingabe!$D$14&amp;".157.1","")</f>
        <v/>
      </c>
      <c r="H1175" s="16" t="str">
        <f aca="false">IF(AND(Eingabe!$F$14&gt;0,Eingabe!$E$14&gt;=157),"10."&amp;Eingabe!$D$14&amp;".157.10 – 10."&amp;Eingabe!$D$14&amp;".157.250","")</f>
        <v/>
      </c>
      <c r="I1175" s="16" t="str">
        <f aca="false">IF(AND(Eingabe!$F$14&gt;0,Eingabe!$E$14&gt;=157),Eingabe!$B$6&amp;"-"&amp;Eingabe!$C$14&amp;"-Pächter","")</f>
        <v/>
      </c>
      <c r="J1175" s="16" t="str">
        <f aca="false">IF(AND(Eingabe!$F$14&gt;0,Eingabe!$E$14&gt;=157),"PPSK: Passwort Parzelle 157","")</f>
        <v/>
      </c>
      <c r="K1175" s="16" t="str">
        <f aca="false">IF(AND(Eingabe!$F$14&gt;0,Eingabe!$E$14&gt;=157),"1. Gerät: 10."&amp;Eingabe!$D$14&amp;".157.10, 2. Gerät: .11","")</f>
        <v/>
      </c>
    </row>
    <row r="1176" customFormat="false" ht="15" hidden="false" customHeight="false" outlineLevel="0" collapsed="false">
      <c r="A1176" s="16" t="str">
        <f aca="false">IF(AND(Eingabe!$F$14&gt;0,Eingabe!$E$14&gt;=158),6,"")</f>
        <v/>
      </c>
      <c r="B1176" s="16" t="str">
        <f aca="false">IF(AND(Eingabe!$F$14&gt;0,Eingabe!$E$14&gt;=158),Eingabe!$B$14,"")</f>
        <v/>
      </c>
      <c r="C1176" s="16" t="str">
        <f aca="false">IF(AND(Eingabe!$F$14&gt;0,Eingabe!$E$14&gt;=158),Eingabe!$C$14&amp;"-Paz."&amp;TEXT(158,"000"),"")</f>
        <v/>
      </c>
      <c r="D1176" s="16" t="str">
        <f aca="false">IF(AND(Eingabe!$F$14&gt;0,Eingabe!$E$14&gt;=158),158,"")</f>
        <v/>
      </c>
      <c r="E1176" s="16" t="str">
        <f aca="false">IF(AND(Eingabe!$F$14&gt;0,Eingabe!$E$14&gt;=158),IF((Eingabe!$G$14+1)&lt;=9,1000+(Eingabe!$G$14+1)*100,3000)+58,"")</f>
        <v/>
      </c>
      <c r="F1176" s="16" t="str">
        <f aca="false">IF(AND(Eingabe!$F$14&gt;0,Eingabe!$E$14&gt;=158),"10."&amp;Eingabe!$D$14&amp;".158.0/24","")</f>
        <v/>
      </c>
      <c r="G1176" s="16" t="str">
        <f aca="false">IF(AND(Eingabe!$F$14&gt;0,Eingabe!$E$14&gt;=158),"10."&amp;Eingabe!$D$14&amp;".158.1","")</f>
        <v/>
      </c>
      <c r="H1176" s="16" t="str">
        <f aca="false">IF(AND(Eingabe!$F$14&gt;0,Eingabe!$E$14&gt;=158),"10."&amp;Eingabe!$D$14&amp;".158.10 – 10."&amp;Eingabe!$D$14&amp;".158.250","")</f>
        <v/>
      </c>
      <c r="I1176" s="16" t="str">
        <f aca="false">IF(AND(Eingabe!$F$14&gt;0,Eingabe!$E$14&gt;=158),Eingabe!$B$6&amp;"-"&amp;Eingabe!$C$14&amp;"-Pächter","")</f>
        <v/>
      </c>
      <c r="J1176" s="16" t="str">
        <f aca="false">IF(AND(Eingabe!$F$14&gt;0,Eingabe!$E$14&gt;=158),"PPSK: Passwort Parzelle 158","")</f>
        <v/>
      </c>
      <c r="K1176" s="16" t="str">
        <f aca="false">IF(AND(Eingabe!$F$14&gt;0,Eingabe!$E$14&gt;=158),"1. Gerät: 10."&amp;Eingabe!$D$14&amp;".158.10, 2. Gerät: .11","")</f>
        <v/>
      </c>
    </row>
    <row r="1177" customFormat="false" ht="15" hidden="false" customHeight="false" outlineLevel="0" collapsed="false">
      <c r="A1177" s="16" t="str">
        <f aca="false">IF(AND(Eingabe!$F$14&gt;0,Eingabe!$E$14&gt;=159),6,"")</f>
        <v/>
      </c>
      <c r="B1177" s="16" t="str">
        <f aca="false">IF(AND(Eingabe!$F$14&gt;0,Eingabe!$E$14&gt;=159),Eingabe!$B$14,"")</f>
        <v/>
      </c>
      <c r="C1177" s="16" t="str">
        <f aca="false">IF(AND(Eingabe!$F$14&gt;0,Eingabe!$E$14&gt;=159),Eingabe!$C$14&amp;"-Paz."&amp;TEXT(159,"000"),"")</f>
        <v/>
      </c>
      <c r="D1177" s="16" t="str">
        <f aca="false">IF(AND(Eingabe!$F$14&gt;0,Eingabe!$E$14&gt;=159),159,"")</f>
        <v/>
      </c>
      <c r="E1177" s="16" t="str">
        <f aca="false">IF(AND(Eingabe!$F$14&gt;0,Eingabe!$E$14&gt;=159),IF((Eingabe!$G$14+1)&lt;=9,1000+(Eingabe!$G$14+1)*100,3000)+59,"")</f>
        <v/>
      </c>
      <c r="F1177" s="16" t="str">
        <f aca="false">IF(AND(Eingabe!$F$14&gt;0,Eingabe!$E$14&gt;=159),"10."&amp;Eingabe!$D$14&amp;".159.0/24","")</f>
        <v/>
      </c>
      <c r="G1177" s="16" t="str">
        <f aca="false">IF(AND(Eingabe!$F$14&gt;0,Eingabe!$E$14&gt;=159),"10."&amp;Eingabe!$D$14&amp;".159.1","")</f>
        <v/>
      </c>
      <c r="H1177" s="16" t="str">
        <f aca="false">IF(AND(Eingabe!$F$14&gt;0,Eingabe!$E$14&gt;=159),"10."&amp;Eingabe!$D$14&amp;".159.10 – 10."&amp;Eingabe!$D$14&amp;".159.250","")</f>
        <v/>
      </c>
      <c r="I1177" s="16" t="str">
        <f aca="false">IF(AND(Eingabe!$F$14&gt;0,Eingabe!$E$14&gt;=159),Eingabe!$B$6&amp;"-"&amp;Eingabe!$C$14&amp;"-Pächter","")</f>
        <v/>
      </c>
      <c r="J1177" s="16" t="str">
        <f aca="false">IF(AND(Eingabe!$F$14&gt;0,Eingabe!$E$14&gt;=159),"PPSK: Passwort Parzelle 159","")</f>
        <v/>
      </c>
      <c r="K1177" s="16" t="str">
        <f aca="false">IF(AND(Eingabe!$F$14&gt;0,Eingabe!$E$14&gt;=159),"1. Gerät: 10."&amp;Eingabe!$D$14&amp;".159.10, 2. Gerät: .11","")</f>
        <v/>
      </c>
    </row>
    <row r="1178" customFormat="false" ht="15" hidden="false" customHeight="false" outlineLevel="0" collapsed="false">
      <c r="A1178" s="16" t="str">
        <f aca="false">IF(AND(Eingabe!$F$14&gt;0,Eingabe!$E$14&gt;=160),6,"")</f>
        <v/>
      </c>
      <c r="B1178" s="16" t="str">
        <f aca="false">IF(AND(Eingabe!$F$14&gt;0,Eingabe!$E$14&gt;=160),Eingabe!$B$14,"")</f>
        <v/>
      </c>
      <c r="C1178" s="16" t="str">
        <f aca="false">IF(AND(Eingabe!$F$14&gt;0,Eingabe!$E$14&gt;=160),Eingabe!$C$14&amp;"-Paz."&amp;TEXT(160,"000"),"")</f>
        <v/>
      </c>
      <c r="D1178" s="16" t="str">
        <f aca="false">IF(AND(Eingabe!$F$14&gt;0,Eingabe!$E$14&gt;=160),160,"")</f>
        <v/>
      </c>
      <c r="E1178" s="16" t="str">
        <f aca="false">IF(AND(Eingabe!$F$14&gt;0,Eingabe!$E$14&gt;=160),IF((Eingabe!$G$14+1)&lt;=9,1000+(Eingabe!$G$14+1)*100,3000)+60,"")</f>
        <v/>
      </c>
      <c r="F1178" s="16" t="str">
        <f aca="false">IF(AND(Eingabe!$F$14&gt;0,Eingabe!$E$14&gt;=160),"10."&amp;Eingabe!$D$14&amp;".160.0/24","")</f>
        <v/>
      </c>
      <c r="G1178" s="16" t="str">
        <f aca="false">IF(AND(Eingabe!$F$14&gt;0,Eingabe!$E$14&gt;=160),"10."&amp;Eingabe!$D$14&amp;".160.1","")</f>
        <v/>
      </c>
      <c r="H1178" s="16" t="str">
        <f aca="false">IF(AND(Eingabe!$F$14&gt;0,Eingabe!$E$14&gt;=160),"10."&amp;Eingabe!$D$14&amp;".160.10 – 10."&amp;Eingabe!$D$14&amp;".160.250","")</f>
        <v/>
      </c>
      <c r="I1178" s="16" t="str">
        <f aca="false">IF(AND(Eingabe!$F$14&gt;0,Eingabe!$E$14&gt;=160),Eingabe!$B$6&amp;"-"&amp;Eingabe!$C$14&amp;"-Pächter","")</f>
        <v/>
      </c>
      <c r="J1178" s="16" t="str">
        <f aca="false">IF(AND(Eingabe!$F$14&gt;0,Eingabe!$E$14&gt;=160),"PPSK: Passwort Parzelle 160","")</f>
        <v/>
      </c>
      <c r="K1178" s="16" t="str">
        <f aca="false">IF(AND(Eingabe!$F$14&gt;0,Eingabe!$E$14&gt;=160),"1. Gerät: 10."&amp;Eingabe!$D$14&amp;".160.10, 2. Gerät: .11","")</f>
        <v/>
      </c>
    </row>
    <row r="1179" customFormat="false" ht="15" hidden="false" customHeight="false" outlineLevel="0" collapsed="false">
      <c r="A1179" s="16" t="str">
        <f aca="false">IF(AND(Eingabe!$F$14&gt;0,Eingabe!$E$14&gt;=161),6,"")</f>
        <v/>
      </c>
      <c r="B1179" s="16" t="str">
        <f aca="false">IF(AND(Eingabe!$F$14&gt;0,Eingabe!$E$14&gt;=161),Eingabe!$B$14,"")</f>
        <v/>
      </c>
      <c r="C1179" s="16" t="str">
        <f aca="false">IF(AND(Eingabe!$F$14&gt;0,Eingabe!$E$14&gt;=161),Eingabe!$C$14&amp;"-Paz."&amp;TEXT(161,"000"),"")</f>
        <v/>
      </c>
      <c r="D1179" s="16" t="str">
        <f aca="false">IF(AND(Eingabe!$F$14&gt;0,Eingabe!$E$14&gt;=161),161,"")</f>
        <v/>
      </c>
      <c r="E1179" s="16" t="str">
        <f aca="false">IF(AND(Eingabe!$F$14&gt;0,Eingabe!$E$14&gt;=161),IF((Eingabe!$G$14+1)&lt;=9,1000+(Eingabe!$G$14+1)*100,3000)+61,"")</f>
        <v/>
      </c>
      <c r="F1179" s="16" t="str">
        <f aca="false">IF(AND(Eingabe!$F$14&gt;0,Eingabe!$E$14&gt;=161),"10."&amp;Eingabe!$D$14&amp;".161.0/24","")</f>
        <v/>
      </c>
      <c r="G1179" s="16" t="str">
        <f aca="false">IF(AND(Eingabe!$F$14&gt;0,Eingabe!$E$14&gt;=161),"10."&amp;Eingabe!$D$14&amp;".161.1","")</f>
        <v/>
      </c>
      <c r="H1179" s="16" t="str">
        <f aca="false">IF(AND(Eingabe!$F$14&gt;0,Eingabe!$E$14&gt;=161),"10."&amp;Eingabe!$D$14&amp;".161.10 – 10."&amp;Eingabe!$D$14&amp;".161.250","")</f>
        <v/>
      </c>
      <c r="I1179" s="16" t="str">
        <f aca="false">IF(AND(Eingabe!$F$14&gt;0,Eingabe!$E$14&gt;=161),Eingabe!$B$6&amp;"-"&amp;Eingabe!$C$14&amp;"-Pächter","")</f>
        <v/>
      </c>
      <c r="J1179" s="16" t="str">
        <f aca="false">IF(AND(Eingabe!$F$14&gt;0,Eingabe!$E$14&gt;=161),"PPSK: Passwort Parzelle 161","")</f>
        <v/>
      </c>
      <c r="K1179" s="16" t="str">
        <f aca="false">IF(AND(Eingabe!$F$14&gt;0,Eingabe!$E$14&gt;=161),"1. Gerät: 10."&amp;Eingabe!$D$14&amp;".161.10, 2. Gerät: .11","")</f>
        <v/>
      </c>
    </row>
    <row r="1180" customFormat="false" ht="15" hidden="false" customHeight="false" outlineLevel="0" collapsed="false">
      <c r="A1180" s="16" t="str">
        <f aca="false">IF(AND(Eingabe!$F$14&gt;0,Eingabe!$E$14&gt;=162),6,"")</f>
        <v/>
      </c>
      <c r="B1180" s="16" t="str">
        <f aca="false">IF(AND(Eingabe!$F$14&gt;0,Eingabe!$E$14&gt;=162),Eingabe!$B$14,"")</f>
        <v/>
      </c>
      <c r="C1180" s="16" t="str">
        <f aca="false">IF(AND(Eingabe!$F$14&gt;0,Eingabe!$E$14&gt;=162),Eingabe!$C$14&amp;"-Paz."&amp;TEXT(162,"000"),"")</f>
        <v/>
      </c>
      <c r="D1180" s="16" t="str">
        <f aca="false">IF(AND(Eingabe!$F$14&gt;0,Eingabe!$E$14&gt;=162),162,"")</f>
        <v/>
      </c>
      <c r="E1180" s="16" t="str">
        <f aca="false">IF(AND(Eingabe!$F$14&gt;0,Eingabe!$E$14&gt;=162),IF((Eingabe!$G$14+1)&lt;=9,1000+(Eingabe!$G$14+1)*100,3000)+62,"")</f>
        <v/>
      </c>
      <c r="F1180" s="16" t="str">
        <f aca="false">IF(AND(Eingabe!$F$14&gt;0,Eingabe!$E$14&gt;=162),"10."&amp;Eingabe!$D$14&amp;".162.0/24","")</f>
        <v/>
      </c>
      <c r="G1180" s="16" t="str">
        <f aca="false">IF(AND(Eingabe!$F$14&gt;0,Eingabe!$E$14&gt;=162),"10."&amp;Eingabe!$D$14&amp;".162.1","")</f>
        <v/>
      </c>
      <c r="H1180" s="16" t="str">
        <f aca="false">IF(AND(Eingabe!$F$14&gt;0,Eingabe!$E$14&gt;=162),"10."&amp;Eingabe!$D$14&amp;".162.10 – 10."&amp;Eingabe!$D$14&amp;".162.250","")</f>
        <v/>
      </c>
      <c r="I1180" s="16" t="str">
        <f aca="false">IF(AND(Eingabe!$F$14&gt;0,Eingabe!$E$14&gt;=162),Eingabe!$B$6&amp;"-"&amp;Eingabe!$C$14&amp;"-Pächter","")</f>
        <v/>
      </c>
      <c r="J1180" s="16" t="str">
        <f aca="false">IF(AND(Eingabe!$F$14&gt;0,Eingabe!$E$14&gt;=162),"PPSK: Passwort Parzelle 162","")</f>
        <v/>
      </c>
      <c r="K1180" s="16" t="str">
        <f aca="false">IF(AND(Eingabe!$F$14&gt;0,Eingabe!$E$14&gt;=162),"1. Gerät: 10."&amp;Eingabe!$D$14&amp;".162.10, 2. Gerät: .11","")</f>
        <v/>
      </c>
    </row>
    <row r="1181" customFormat="false" ht="15" hidden="false" customHeight="false" outlineLevel="0" collapsed="false">
      <c r="A1181" s="16" t="str">
        <f aca="false">IF(AND(Eingabe!$F$14&gt;0,Eingabe!$E$14&gt;=163),6,"")</f>
        <v/>
      </c>
      <c r="B1181" s="16" t="str">
        <f aca="false">IF(AND(Eingabe!$F$14&gt;0,Eingabe!$E$14&gt;=163),Eingabe!$B$14,"")</f>
        <v/>
      </c>
      <c r="C1181" s="16" t="str">
        <f aca="false">IF(AND(Eingabe!$F$14&gt;0,Eingabe!$E$14&gt;=163),Eingabe!$C$14&amp;"-Paz."&amp;TEXT(163,"000"),"")</f>
        <v/>
      </c>
      <c r="D1181" s="16" t="str">
        <f aca="false">IF(AND(Eingabe!$F$14&gt;0,Eingabe!$E$14&gt;=163),163,"")</f>
        <v/>
      </c>
      <c r="E1181" s="16" t="str">
        <f aca="false">IF(AND(Eingabe!$F$14&gt;0,Eingabe!$E$14&gt;=163),IF((Eingabe!$G$14+1)&lt;=9,1000+(Eingabe!$G$14+1)*100,3000)+63,"")</f>
        <v/>
      </c>
      <c r="F1181" s="16" t="str">
        <f aca="false">IF(AND(Eingabe!$F$14&gt;0,Eingabe!$E$14&gt;=163),"10."&amp;Eingabe!$D$14&amp;".163.0/24","")</f>
        <v/>
      </c>
      <c r="G1181" s="16" t="str">
        <f aca="false">IF(AND(Eingabe!$F$14&gt;0,Eingabe!$E$14&gt;=163),"10."&amp;Eingabe!$D$14&amp;".163.1","")</f>
        <v/>
      </c>
      <c r="H1181" s="16" t="str">
        <f aca="false">IF(AND(Eingabe!$F$14&gt;0,Eingabe!$E$14&gt;=163),"10."&amp;Eingabe!$D$14&amp;".163.10 – 10."&amp;Eingabe!$D$14&amp;".163.250","")</f>
        <v/>
      </c>
      <c r="I1181" s="16" t="str">
        <f aca="false">IF(AND(Eingabe!$F$14&gt;0,Eingabe!$E$14&gt;=163),Eingabe!$B$6&amp;"-"&amp;Eingabe!$C$14&amp;"-Pächter","")</f>
        <v/>
      </c>
      <c r="J1181" s="16" t="str">
        <f aca="false">IF(AND(Eingabe!$F$14&gt;0,Eingabe!$E$14&gt;=163),"PPSK: Passwort Parzelle 163","")</f>
        <v/>
      </c>
      <c r="K1181" s="16" t="str">
        <f aca="false">IF(AND(Eingabe!$F$14&gt;0,Eingabe!$E$14&gt;=163),"1. Gerät: 10."&amp;Eingabe!$D$14&amp;".163.10, 2. Gerät: .11","")</f>
        <v/>
      </c>
    </row>
    <row r="1182" customFormat="false" ht="15" hidden="false" customHeight="false" outlineLevel="0" collapsed="false">
      <c r="A1182" s="16" t="str">
        <f aca="false">IF(AND(Eingabe!$F$14&gt;0,Eingabe!$E$14&gt;=164),6,"")</f>
        <v/>
      </c>
      <c r="B1182" s="16" t="str">
        <f aca="false">IF(AND(Eingabe!$F$14&gt;0,Eingabe!$E$14&gt;=164),Eingabe!$B$14,"")</f>
        <v/>
      </c>
      <c r="C1182" s="16" t="str">
        <f aca="false">IF(AND(Eingabe!$F$14&gt;0,Eingabe!$E$14&gt;=164),Eingabe!$C$14&amp;"-Paz."&amp;TEXT(164,"000"),"")</f>
        <v/>
      </c>
      <c r="D1182" s="16" t="str">
        <f aca="false">IF(AND(Eingabe!$F$14&gt;0,Eingabe!$E$14&gt;=164),164,"")</f>
        <v/>
      </c>
      <c r="E1182" s="16" t="str">
        <f aca="false">IF(AND(Eingabe!$F$14&gt;0,Eingabe!$E$14&gt;=164),IF((Eingabe!$G$14+1)&lt;=9,1000+(Eingabe!$G$14+1)*100,3000)+64,"")</f>
        <v/>
      </c>
      <c r="F1182" s="16" t="str">
        <f aca="false">IF(AND(Eingabe!$F$14&gt;0,Eingabe!$E$14&gt;=164),"10."&amp;Eingabe!$D$14&amp;".164.0/24","")</f>
        <v/>
      </c>
      <c r="G1182" s="16" t="str">
        <f aca="false">IF(AND(Eingabe!$F$14&gt;0,Eingabe!$E$14&gt;=164),"10."&amp;Eingabe!$D$14&amp;".164.1","")</f>
        <v/>
      </c>
      <c r="H1182" s="16" t="str">
        <f aca="false">IF(AND(Eingabe!$F$14&gt;0,Eingabe!$E$14&gt;=164),"10."&amp;Eingabe!$D$14&amp;".164.10 – 10."&amp;Eingabe!$D$14&amp;".164.250","")</f>
        <v/>
      </c>
      <c r="I1182" s="16" t="str">
        <f aca="false">IF(AND(Eingabe!$F$14&gt;0,Eingabe!$E$14&gt;=164),Eingabe!$B$6&amp;"-"&amp;Eingabe!$C$14&amp;"-Pächter","")</f>
        <v/>
      </c>
      <c r="J1182" s="16" t="str">
        <f aca="false">IF(AND(Eingabe!$F$14&gt;0,Eingabe!$E$14&gt;=164),"PPSK: Passwort Parzelle 164","")</f>
        <v/>
      </c>
      <c r="K1182" s="16" t="str">
        <f aca="false">IF(AND(Eingabe!$F$14&gt;0,Eingabe!$E$14&gt;=164),"1. Gerät: 10."&amp;Eingabe!$D$14&amp;".164.10, 2. Gerät: .11","")</f>
        <v/>
      </c>
    </row>
    <row r="1183" customFormat="false" ht="15" hidden="false" customHeight="false" outlineLevel="0" collapsed="false">
      <c r="A1183" s="16" t="str">
        <f aca="false">IF(AND(Eingabe!$F$14&gt;0,Eingabe!$E$14&gt;=165),6,"")</f>
        <v/>
      </c>
      <c r="B1183" s="16" t="str">
        <f aca="false">IF(AND(Eingabe!$F$14&gt;0,Eingabe!$E$14&gt;=165),Eingabe!$B$14,"")</f>
        <v/>
      </c>
      <c r="C1183" s="16" t="str">
        <f aca="false">IF(AND(Eingabe!$F$14&gt;0,Eingabe!$E$14&gt;=165),Eingabe!$C$14&amp;"-Paz."&amp;TEXT(165,"000"),"")</f>
        <v/>
      </c>
      <c r="D1183" s="16" t="str">
        <f aca="false">IF(AND(Eingabe!$F$14&gt;0,Eingabe!$E$14&gt;=165),165,"")</f>
        <v/>
      </c>
      <c r="E1183" s="16" t="str">
        <f aca="false">IF(AND(Eingabe!$F$14&gt;0,Eingabe!$E$14&gt;=165),IF((Eingabe!$G$14+1)&lt;=9,1000+(Eingabe!$G$14+1)*100,3000)+65,"")</f>
        <v/>
      </c>
      <c r="F1183" s="16" t="str">
        <f aca="false">IF(AND(Eingabe!$F$14&gt;0,Eingabe!$E$14&gt;=165),"10."&amp;Eingabe!$D$14&amp;".165.0/24","")</f>
        <v/>
      </c>
      <c r="G1183" s="16" t="str">
        <f aca="false">IF(AND(Eingabe!$F$14&gt;0,Eingabe!$E$14&gt;=165),"10."&amp;Eingabe!$D$14&amp;".165.1","")</f>
        <v/>
      </c>
      <c r="H1183" s="16" t="str">
        <f aca="false">IF(AND(Eingabe!$F$14&gt;0,Eingabe!$E$14&gt;=165),"10."&amp;Eingabe!$D$14&amp;".165.10 – 10."&amp;Eingabe!$D$14&amp;".165.250","")</f>
        <v/>
      </c>
      <c r="I1183" s="16" t="str">
        <f aca="false">IF(AND(Eingabe!$F$14&gt;0,Eingabe!$E$14&gt;=165),Eingabe!$B$6&amp;"-"&amp;Eingabe!$C$14&amp;"-Pächter","")</f>
        <v/>
      </c>
      <c r="J1183" s="16" t="str">
        <f aca="false">IF(AND(Eingabe!$F$14&gt;0,Eingabe!$E$14&gt;=165),"PPSK: Passwort Parzelle 165","")</f>
        <v/>
      </c>
      <c r="K1183" s="16" t="str">
        <f aca="false">IF(AND(Eingabe!$F$14&gt;0,Eingabe!$E$14&gt;=165),"1. Gerät: 10."&amp;Eingabe!$D$14&amp;".165.10, 2. Gerät: .11","")</f>
        <v/>
      </c>
    </row>
    <row r="1184" customFormat="false" ht="15" hidden="false" customHeight="false" outlineLevel="0" collapsed="false">
      <c r="A1184" s="16" t="str">
        <f aca="false">IF(AND(Eingabe!$F$14&gt;0,Eingabe!$E$14&gt;=166),6,"")</f>
        <v/>
      </c>
      <c r="B1184" s="16" t="str">
        <f aca="false">IF(AND(Eingabe!$F$14&gt;0,Eingabe!$E$14&gt;=166),Eingabe!$B$14,"")</f>
        <v/>
      </c>
      <c r="C1184" s="16" t="str">
        <f aca="false">IF(AND(Eingabe!$F$14&gt;0,Eingabe!$E$14&gt;=166),Eingabe!$C$14&amp;"-Paz."&amp;TEXT(166,"000"),"")</f>
        <v/>
      </c>
      <c r="D1184" s="16" t="str">
        <f aca="false">IF(AND(Eingabe!$F$14&gt;0,Eingabe!$E$14&gt;=166),166,"")</f>
        <v/>
      </c>
      <c r="E1184" s="16" t="str">
        <f aca="false">IF(AND(Eingabe!$F$14&gt;0,Eingabe!$E$14&gt;=166),IF((Eingabe!$G$14+1)&lt;=9,1000+(Eingabe!$G$14+1)*100,3000)+66,"")</f>
        <v/>
      </c>
      <c r="F1184" s="16" t="str">
        <f aca="false">IF(AND(Eingabe!$F$14&gt;0,Eingabe!$E$14&gt;=166),"10."&amp;Eingabe!$D$14&amp;".166.0/24","")</f>
        <v/>
      </c>
      <c r="G1184" s="16" t="str">
        <f aca="false">IF(AND(Eingabe!$F$14&gt;0,Eingabe!$E$14&gt;=166),"10."&amp;Eingabe!$D$14&amp;".166.1","")</f>
        <v/>
      </c>
      <c r="H1184" s="16" t="str">
        <f aca="false">IF(AND(Eingabe!$F$14&gt;0,Eingabe!$E$14&gt;=166),"10."&amp;Eingabe!$D$14&amp;".166.10 – 10."&amp;Eingabe!$D$14&amp;".166.250","")</f>
        <v/>
      </c>
      <c r="I1184" s="16" t="str">
        <f aca="false">IF(AND(Eingabe!$F$14&gt;0,Eingabe!$E$14&gt;=166),Eingabe!$B$6&amp;"-"&amp;Eingabe!$C$14&amp;"-Pächter","")</f>
        <v/>
      </c>
      <c r="J1184" s="16" t="str">
        <f aca="false">IF(AND(Eingabe!$F$14&gt;0,Eingabe!$E$14&gt;=166),"PPSK: Passwort Parzelle 166","")</f>
        <v/>
      </c>
      <c r="K1184" s="16" t="str">
        <f aca="false">IF(AND(Eingabe!$F$14&gt;0,Eingabe!$E$14&gt;=166),"1. Gerät: 10."&amp;Eingabe!$D$14&amp;".166.10, 2. Gerät: .11","")</f>
        <v/>
      </c>
    </row>
    <row r="1185" customFormat="false" ht="15" hidden="false" customHeight="false" outlineLevel="0" collapsed="false">
      <c r="A1185" s="16" t="str">
        <f aca="false">IF(AND(Eingabe!$F$14&gt;0,Eingabe!$E$14&gt;=167),6,"")</f>
        <v/>
      </c>
      <c r="B1185" s="16" t="str">
        <f aca="false">IF(AND(Eingabe!$F$14&gt;0,Eingabe!$E$14&gt;=167),Eingabe!$B$14,"")</f>
        <v/>
      </c>
      <c r="C1185" s="16" t="str">
        <f aca="false">IF(AND(Eingabe!$F$14&gt;0,Eingabe!$E$14&gt;=167),Eingabe!$C$14&amp;"-Paz."&amp;TEXT(167,"000"),"")</f>
        <v/>
      </c>
      <c r="D1185" s="16" t="str">
        <f aca="false">IF(AND(Eingabe!$F$14&gt;0,Eingabe!$E$14&gt;=167),167,"")</f>
        <v/>
      </c>
      <c r="E1185" s="16" t="str">
        <f aca="false">IF(AND(Eingabe!$F$14&gt;0,Eingabe!$E$14&gt;=167),IF((Eingabe!$G$14+1)&lt;=9,1000+(Eingabe!$G$14+1)*100,3000)+67,"")</f>
        <v/>
      </c>
      <c r="F1185" s="16" t="str">
        <f aca="false">IF(AND(Eingabe!$F$14&gt;0,Eingabe!$E$14&gt;=167),"10."&amp;Eingabe!$D$14&amp;".167.0/24","")</f>
        <v/>
      </c>
      <c r="G1185" s="16" t="str">
        <f aca="false">IF(AND(Eingabe!$F$14&gt;0,Eingabe!$E$14&gt;=167),"10."&amp;Eingabe!$D$14&amp;".167.1","")</f>
        <v/>
      </c>
      <c r="H1185" s="16" t="str">
        <f aca="false">IF(AND(Eingabe!$F$14&gt;0,Eingabe!$E$14&gt;=167),"10."&amp;Eingabe!$D$14&amp;".167.10 – 10."&amp;Eingabe!$D$14&amp;".167.250","")</f>
        <v/>
      </c>
      <c r="I1185" s="16" t="str">
        <f aca="false">IF(AND(Eingabe!$F$14&gt;0,Eingabe!$E$14&gt;=167),Eingabe!$B$6&amp;"-"&amp;Eingabe!$C$14&amp;"-Pächter","")</f>
        <v/>
      </c>
      <c r="J1185" s="16" t="str">
        <f aca="false">IF(AND(Eingabe!$F$14&gt;0,Eingabe!$E$14&gt;=167),"PPSK: Passwort Parzelle 167","")</f>
        <v/>
      </c>
      <c r="K1185" s="16" t="str">
        <f aca="false">IF(AND(Eingabe!$F$14&gt;0,Eingabe!$E$14&gt;=167),"1. Gerät: 10."&amp;Eingabe!$D$14&amp;".167.10, 2. Gerät: .11","")</f>
        <v/>
      </c>
    </row>
    <row r="1186" customFormat="false" ht="15" hidden="false" customHeight="false" outlineLevel="0" collapsed="false">
      <c r="A1186" s="16" t="str">
        <f aca="false">IF(AND(Eingabe!$F$14&gt;0,Eingabe!$E$14&gt;=168),6,"")</f>
        <v/>
      </c>
      <c r="B1186" s="16" t="str">
        <f aca="false">IF(AND(Eingabe!$F$14&gt;0,Eingabe!$E$14&gt;=168),Eingabe!$B$14,"")</f>
        <v/>
      </c>
      <c r="C1186" s="16" t="str">
        <f aca="false">IF(AND(Eingabe!$F$14&gt;0,Eingabe!$E$14&gt;=168),Eingabe!$C$14&amp;"-Paz."&amp;TEXT(168,"000"),"")</f>
        <v/>
      </c>
      <c r="D1186" s="16" t="str">
        <f aca="false">IF(AND(Eingabe!$F$14&gt;0,Eingabe!$E$14&gt;=168),168,"")</f>
        <v/>
      </c>
      <c r="E1186" s="16" t="str">
        <f aca="false">IF(AND(Eingabe!$F$14&gt;0,Eingabe!$E$14&gt;=168),IF((Eingabe!$G$14+1)&lt;=9,1000+(Eingabe!$G$14+1)*100,3000)+68,"")</f>
        <v/>
      </c>
      <c r="F1186" s="16" t="str">
        <f aca="false">IF(AND(Eingabe!$F$14&gt;0,Eingabe!$E$14&gt;=168),"10."&amp;Eingabe!$D$14&amp;".168.0/24","")</f>
        <v/>
      </c>
      <c r="G1186" s="16" t="str">
        <f aca="false">IF(AND(Eingabe!$F$14&gt;0,Eingabe!$E$14&gt;=168),"10."&amp;Eingabe!$D$14&amp;".168.1","")</f>
        <v/>
      </c>
      <c r="H1186" s="16" t="str">
        <f aca="false">IF(AND(Eingabe!$F$14&gt;0,Eingabe!$E$14&gt;=168),"10."&amp;Eingabe!$D$14&amp;".168.10 – 10."&amp;Eingabe!$D$14&amp;".168.250","")</f>
        <v/>
      </c>
      <c r="I1186" s="16" t="str">
        <f aca="false">IF(AND(Eingabe!$F$14&gt;0,Eingabe!$E$14&gt;=168),Eingabe!$B$6&amp;"-"&amp;Eingabe!$C$14&amp;"-Pächter","")</f>
        <v/>
      </c>
      <c r="J1186" s="16" t="str">
        <f aca="false">IF(AND(Eingabe!$F$14&gt;0,Eingabe!$E$14&gt;=168),"PPSK: Passwort Parzelle 168","")</f>
        <v/>
      </c>
      <c r="K1186" s="16" t="str">
        <f aca="false">IF(AND(Eingabe!$F$14&gt;0,Eingabe!$E$14&gt;=168),"1. Gerät: 10."&amp;Eingabe!$D$14&amp;".168.10, 2. Gerät: .11","")</f>
        <v/>
      </c>
    </row>
    <row r="1187" customFormat="false" ht="15" hidden="false" customHeight="false" outlineLevel="0" collapsed="false">
      <c r="A1187" s="16" t="str">
        <f aca="false">IF(AND(Eingabe!$F$14&gt;0,Eingabe!$E$14&gt;=169),6,"")</f>
        <v/>
      </c>
      <c r="B1187" s="16" t="str">
        <f aca="false">IF(AND(Eingabe!$F$14&gt;0,Eingabe!$E$14&gt;=169),Eingabe!$B$14,"")</f>
        <v/>
      </c>
      <c r="C1187" s="16" t="str">
        <f aca="false">IF(AND(Eingabe!$F$14&gt;0,Eingabe!$E$14&gt;=169),Eingabe!$C$14&amp;"-Paz."&amp;TEXT(169,"000"),"")</f>
        <v/>
      </c>
      <c r="D1187" s="16" t="str">
        <f aca="false">IF(AND(Eingabe!$F$14&gt;0,Eingabe!$E$14&gt;=169),169,"")</f>
        <v/>
      </c>
      <c r="E1187" s="16" t="str">
        <f aca="false">IF(AND(Eingabe!$F$14&gt;0,Eingabe!$E$14&gt;=169),IF((Eingabe!$G$14+1)&lt;=9,1000+(Eingabe!$G$14+1)*100,3000)+69,"")</f>
        <v/>
      </c>
      <c r="F1187" s="16" t="str">
        <f aca="false">IF(AND(Eingabe!$F$14&gt;0,Eingabe!$E$14&gt;=169),"10."&amp;Eingabe!$D$14&amp;".169.0/24","")</f>
        <v/>
      </c>
      <c r="G1187" s="16" t="str">
        <f aca="false">IF(AND(Eingabe!$F$14&gt;0,Eingabe!$E$14&gt;=169),"10."&amp;Eingabe!$D$14&amp;".169.1","")</f>
        <v/>
      </c>
      <c r="H1187" s="16" t="str">
        <f aca="false">IF(AND(Eingabe!$F$14&gt;0,Eingabe!$E$14&gt;=169),"10."&amp;Eingabe!$D$14&amp;".169.10 – 10."&amp;Eingabe!$D$14&amp;".169.250","")</f>
        <v/>
      </c>
      <c r="I1187" s="16" t="str">
        <f aca="false">IF(AND(Eingabe!$F$14&gt;0,Eingabe!$E$14&gt;=169),Eingabe!$B$6&amp;"-"&amp;Eingabe!$C$14&amp;"-Pächter","")</f>
        <v/>
      </c>
      <c r="J1187" s="16" t="str">
        <f aca="false">IF(AND(Eingabe!$F$14&gt;0,Eingabe!$E$14&gt;=169),"PPSK: Passwort Parzelle 169","")</f>
        <v/>
      </c>
      <c r="K1187" s="16" t="str">
        <f aca="false">IF(AND(Eingabe!$F$14&gt;0,Eingabe!$E$14&gt;=169),"1. Gerät: 10."&amp;Eingabe!$D$14&amp;".169.10, 2. Gerät: .11","")</f>
        <v/>
      </c>
    </row>
    <row r="1188" customFormat="false" ht="15" hidden="false" customHeight="false" outlineLevel="0" collapsed="false">
      <c r="A1188" s="16" t="str">
        <f aca="false">IF(AND(Eingabe!$F$14&gt;0,Eingabe!$E$14&gt;=170),6,"")</f>
        <v/>
      </c>
      <c r="B1188" s="16" t="str">
        <f aca="false">IF(AND(Eingabe!$F$14&gt;0,Eingabe!$E$14&gt;=170),Eingabe!$B$14,"")</f>
        <v/>
      </c>
      <c r="C1188" s="16" t="str">
        <f aca="false">IF(AND(Eingabe!$F$14&gt;0,Eingabe!$E$14&gt;=170),Eingabe!$C$14&amp;"-Paz."&amp;TEXT(170,"000"),"")</f>
        <v/>
      </c>
      <c r="D1188" s="16" t="str">
        <f aca="false">IF(AND(Eingabe!$F$14&gt;0,Eingabe!$E$14&gt;=170),170,"")</f>
        <v/>
      </c>
      <c r="E1188" s="16" t="str">
        <f aca="false">IF(AND(Eingabe!$F$14&gt;0,Eingabe!$E$14&gt;=170),IF((Eingabe!$G$14+1)&lt;=9,1000+(Eingabe!$G$14+1)*100,3000)+70,"")</f>
        <v/>
      </c>
      <c r="F1188" s="16" t="str">
        <f aca="false">IF(AND(Eingabe!$F$14&gt;0,Eingabe!$E$14&gt;=170),"10."&amp;Eingabe!$D$14&amp;".170.0/24","")</f>
        <v/>
      </c>
      <c r="G1188" s="16" t="str">
        <f aca="false">IF(AND(Eingabe!$F$14&gt;0,Eingabe!$E$14&gt;=170),"10."&amp;Eingabe!$D$14&amp;".170.1","")</f>
        <v/>
      </c>
      <c r="H1188" s="16" t="str">
        <f aca="false">IF(AND(Eingabe!$F$14&gt;0,Eingabe!$E$14&gt;=170),"10."&amp;Eingabe!$D$14&amp;".170.10 – 10."&amp;Eingabe!$D$14&amp;".170.250","")</f>
        <v/>
      </c>
      <c r="I1188" s="16" t="str">
        <f aca="false">IF(AND(Eingabe!$F$14&gt;0,Eingabe!$E$14&gt;=170),Eingabe!$B$6&amp;"-"&amp;Eingabe!$C$14&amp;"-Pächter","")</f>
        <v/>
      </c>
      <c r="J1188" s="16" t="str">
        <f aca="false">IF(AND(Eingabe!$F$14&gt;0,Eingabe!$E$14&gt;=170),"PPSK: Passwort Parzelle 170","")</f>
        <v/>
      </c>
      <c r="K1188" s="16" t="str">
        <f aca="false">IF(AND(Eingabe!$F$14&gt;0,Eingabe!$E$14&gt;=170),"1. Gerät: 10."&amp;Eingabe!$D$14&amp;".170.10, 2. Gerät: .11","")</f>
        <v/>
      </c>
    </row>
    <row r="1189" customFormat="false" ht="15" hidden="false" customHeight="false" outlineLevel="0" collapsed="false">
      <c r="A1189" s="16" t="str">
        <f aca="false">IF(AND(Eingabe!$F$14&gt;0,Eingabe!$E$14&gt;=171),6,"")</f>
        <v/>
      </c>
      <c r="B1189" s="16" t="str">
        <f aca="false">IF(AND(Eingabe!$F$14&gt;0,Eingabe!$E$14&gt;=171),Eingabe!$B$14,"")</f>
        <v/>
      </c>
      <c r="C1189" s="16" t="str">
        <f aca="false">IF(AND(Eingabe!$F$14&gt;0,Eingabe!$E$14&gt;=171),Eingabe!$C$14&amp;"-Paz."&amp;TEXT(171,"000"),"")</f>
        <v/>
      </c>
      <c r="D1189" s="16" t="str">
        <f aca="false">IF(AND(Eingabe!$F$14&gt;0,Eingabe!$E$14&gt;=171),171,"")</f>
        <v/>
      </c>
      <c r="E1189" s="16" t="str">
        <f aca="false">IF(AND(Eingabe!$F$14&gt;0,Eingabe!$E$14&gt;=171),IF((Eingabe!$G$14+1)&lt;=9,1000+(Eingabe!$G$14+1)*100,3000)+71,"")</f>
        <v/>
      </c>
      <c r="F1189" s="16" t="str">
        <f aca="false">IF(AND(Eingabe!$F$14&gt;0,Eingabe!$E$14&gt;=171),"10."&amp;Eingabe!$D$14&amp;".171.0/24","")</f>
        <v/>
      </c>
      <c r="G1189" s="16" t="str">
        <f aca="false">IF(AND(Eingabe!$F$14&gt;0,Eingabe!$E$14&gt;=171),"10."&amp;Eingabe!$D$14&amp;".171.1","")</f>
        <v/>
      </c>
      <c r="H1189" s="16" t="str">
        <f aca="false">IF(AND(Eingabe!$F$14&gt;0,Eingabe!$E$14&gt;=171),"10."&amp;Eingabe!$D$14&amp;".171.10 – 10."&amp;Eingabe!$D$14&amp;".171.250","")</f>
        <v/>
      </c>
      <c r="I1189" s="16" t="str">
        <f aca="false">IF(AND(Eingabe!$F$14&gt;0,Eingabe!$E$14&gt;=171),Eingabe!$B$6&amp;"-"&amp;Eingabe!$C$14&amp;"-Pächter","")</f>
        <v/>
      </c>
      <c r="J1189" s="16" t="str">
        <f aca="false">IF(AND(Eingabe!$F$14&gt;0,Eingabe!$E$14&gt;=171),"PPSK: Passwort Parzelle 171","")</f>
        <v/>
      </c>
      <c r="K1189" s="16" t="str">
        <f aca="false">IF(AND(Eingabe!$F$14&gt;0,Eingabe!$E$14&gt;=171),"1. Gerät: 10."&amp;Eingabe!$D$14&amp;".171.10, 2. Gerät: .11","")</f>
        <v/>
      </c>
    </row>
    <row r="1190" customFormat="false" ht="15" hidden="false" customHeight="false" outlineLevel="0" collapsed="false">
      <c r="A1190" s="16" t="str">
        <f aca="false">IF(AND(Eingabe!$F$14&gt;0,Eingabe!$E$14&gt;=172),6,"")</f>
        <v/>
      </c>
      <c r="B1190" s="16" t="str">
        <f aca="false">IF(AND(Eingabe!$F$14&gt;0,Eingabe!$E$14&gt;=172),Eingabe!$B$14,"")</f>
        <v/>
      </c>
      <c r="C1190" s="16" t="str">
        <f aca="false">IF(AND(Eingabe!$F$14&gt;0,Eingabe!$E$14&gt;=172),Eingabe!$C$14&amp;"-Paz."&amp;TEXT(172,"000"),"")</f>
        <v/>
      </c>
      <c r="D1190" s="16" t="str">
        <f aca="false">IF(AND(Eingabe!$F$14&gt;0,Eingabe!$E$14&gt;=172),172,"")</f>
        <v/>
      </c>
      <c r="E1190" s="16" t="str">
        <f aca="false">IF(AND(Eingabe!$F$14&gt;0,Eingabe!$E$14&gt;=172),IF((Eingabe!$G$14+1)&lt;=9,1000+(Eingabe!$G$14+1)*100,3000)+72,"")</f>
        <v/>
      </c>
      <c r="F1190" s="16" t="str">
        <f aca="false">IF(AND(Eingabe!$F$14&gt;0,Eingabe!$E$14&gt;=172),"10."&amp;Eingabe!$D$14&amp;".172.0/24","")</f>
        <v/>
      </c>
      <c r="G1190" s="16" t="str">
        <f aca="false">IF(AND(Eingabe!$F$14&gt;0,Eingabe!$E$14&gt;=172),"10."&amp;Eingabe!$D$14&amp;".172.1","")</f>
        <v/>
      </c>
      <c r="H1190" s="16" t="str">
        <f aca="false">IF(AND(Eingabe!$F$14&gt;0,Eingabe!$E$14&gt;=172),"10."&amp;Eingabe!$D$14&amp;".172.10 – 10."&amp;Eingabe!$D$14&amp;".172.250","")</f>
        <v/>
      </c>
      <c r="I1190" s="16" t="str">
        <f aca="false">IF(AND(Eingabe!$F$14&gt;0,Eingabe!$E$14&gt;=172),Eingabe!$B$6&amp;"-"&amp;Eingabe!$C$14&amp;"-Pächter","")</f>
        <v/>
      </c>
      <c r="J1190" s="16" t="str">
        <f aca="false">IF(AND(Eingabe!$F$14&gt;0,Eingabe!$E$14&gt;=172),"PPSK: Passwort Parzelle 172","")</f>
        <v/>
      </c>
      <c r="K1190" s="16" t="str">
        <f aca="false">IF(AND(Eingabe!$F$14&gt;0,Eingabe!$E$14&gt;=172),"1. Gerät: 10."&amp;Eingabe!$D$14&amp;".172.10, 2. Gerät: .11","")</f>
        <v/>
      </c>
    </row>
    <row r="1191" customFormat="false" ht="15" hidden="false" customHeight="false" outlineLevel="0" collapsed="false">
      <c r="A1191" s="16" t="str">
        <f aca="false">IF(AND(Eingabe!$F$14&gt;0,Eingabe!$E$14&gt;=173),6,"")</f>
        <v/>
      </c>
      <c r="B1191" s="16" t="str">
        <f aca="false">IF(AND(Eingabe!$F$14&gt;0,Eingabe!$E$14&gt;=173),Eingabe!$B$14,"")</f>
        <v/>
      </c>
      <c r="C1191" s="16" t="str">
        <f aca="false">IF(AND(Eingabe!$F$14&gt;0,Eingabe!$E$14&gt;=173),Eingabe!$C$14&amp;"-Paz."&amp;TEXT(173,"000"),"")</f>
        <v/>
      </c>
      <c r="D1191" s="16" t="str">
        <f aca="false">IF(AND(Eingabe!$F$14&gt;0,Eingabe!$E$14&gt;=173),173,"")</f>
        <v/>
      </c>
      <c r="E1191" s="16" t="str">
        <f aca="false">IF(AND(Eingabe!$F$14&gt;0,Eingabe!$E$14&gt;=173),IF((Eingabe!$G$14+1)&lt;=9,1000+(Eingabe!$G$14+1)*100,3000)+73,"")</f>
        <v/>
      </c>
      <c r="F1191" s="16" t="str">
        <f aca="false">IF(AND(Eingabe!$F$14&gt;0,Eingabe!$E$14&gt;=173),"10."&amp;Eingabe!$D$14&amp;".173.0/24","")</f>
        <v/>
      </c>
      <c r="G1191" s="16" t="str">
        <f aca="false">IF(AND(Eingabe!$F$14&gt;0,Eingabe!$E$14&gt;=173),"10."&amp;Eingabe!$D$14&amp;".173.1","")</f>
        <v/>
      </c>
      <c r="H1191" s="16" t="str">
        <f aca="false">IF(AND(Eingabe!$F$14&gt;0,Eingabe!$E$14&gt;=173),"10."&amp;Eingabe!$D$14&amp;".173.10 – 10."&amp;Eingabe!$D$14&amp;".173.250","")</f>
        <v/>
      </c>
      <c r="I1191" s="16" t="str">
        <f aca="false">IF(AND(Eingabe!$F$14&gt;0,Eingabe!$E$14&gt;=173),Eingabe!$B$6&amp;"-"&amp;Eingabe!$C$14&amp;"-Pächter","")</f>
        <v/>
      </c>
      <c r="J1191" s="16" t="str">
        <f aca="false">IF(AND(Eingabe!$F$14&gt;0,Eingabe!$E$14&gt;=173),"PPSK: Passwort Parzelle 173","")</f>
        <v/>
      </c>
      <c r="K1191" s="16" t="str">
        <f aca="false">IF(AND(Eingabe!$F$14&gt;0,Eingabe!$E$14&gt;=173),"1. Gerät: 10."&amp;Eingabe!$D$14&amp;".173.10, 2. Gerät: .11","")</f>
        <v/>
      </c>
    </row>
    <row r="1192" customFormat="false" ht="15" hidden="false" customHeight="false" outlineLevel="0" collapsed="false">
      <c r="A1192" s="16" t="str">
        <f aca="false">IF(AND(Eingabe!$F$14&gt;0,Eingabe!$E$14&gt;=174),6,"")</f>
        <v/>
      </c>
      <c r="B1192" s="16" t="str">
        <f aca="false">IF(AND(Eingabe!$F$14&gt;0,Eingabe!$E$14&gt;=174),Eingabe!$B$14,"")</f>
        <v/>
      </c>
      <c r="C1192" s="16" t="str">
        <f aca="false">IF(AND(Eingabe!$F$14&gt;0,Eingabe!$E$14&gt;=174),Eingabe!$C$14&amp;"-Paz."&amp;TEXT(174,"000"),"")</f>
        <v/>
      </c>
      <c r="D1192" s="16" t="str">
        <f aca="false">IF(AND(Eingabe!$F$14&gt;0,Eingabe!$E$14&gt;=174),174,"")</f>
        <v/>
      </c>
      <c r="E1192" s="16" t="str">
        <f aca="false">IF(AND(Eingabe!$F$14&gt;0,Eingabe!$E$14&gt;=174),IF((Eingabe!$G$14+1)&lt;=9,1000+(Eingabe!$G$14+1)*100,3000)+74,"")</f>
        <v/>
      </c>
      <c r="F1192" s="16" t="str">
        <f aca="false">IF(AND(Eingabe!$F$14&gt;0,Eingabe!$E$14&gt;=174),"10."&amp;Eingabe!$D$14&amp;".174.0/24","")</f>
        <v/>
      </c>
      <c r="G1192" s="16" t="str">
        <f aca="false">IF(AND(Eingabe!$F$14&gt;0,Eingabe!$E$14&gt;=174),"10."&amp;Eingabe!$D$14&amp;".174.1","")</f>
        <v/>
      </c>
      <c r="H1192" s="16" t="str">
        <f aca="false">IF(AND(Eingabe!$F$14&gt;0,Eingabe!$E$14&gt;=174),"10."&amp;Eingabe!$D$14&amp;".174.10 – 10."&amp;Eingabe!$D$14&amp;".174.250","")</f>
        <v/>
      </c>
      <c r="I1192" s="16" t="str">
        <f aca="false">IF(AND(Eingabe!$F$14&gt;0,Eingabe!$E$14&gt;=174),Eingabe!$B$6&amp;"-"&amp;Eingabe!$C$14&amp;"-Pächter","")</f>
        <v/>
      </c>
      <c r="J1192" s="16" t="str">
        <f aca="false">IF(AND(Eingabe!$F$14&gt;0,Eingabe!$E$14&gt;=174),"PPSK: Passwort Parzelle 174","")</f>
        <v/>
      </c>
      <c r="K1192" s="16" t="str">
        <f aca="false">IF(AND(Eingabe!$F$14&gt;0,Eingabe!$E$14&gt;=174),"1. Gerät: 10."&amp;Eingabe!$D$14&amp;".174.10, 2. Gerät: .11","")</f>
        <v/>
      </c>
    </row>
    <row r="1193" customFormat="false" ht="15" hidden="false" customHeight="false" outlineLevel="0" collapsed="false">
      <c r="A1193" s="16" t="str">
        <f aca="false">IF(AND(Eingabe!$F$14&gt;0,Eingabe!$E$14&gt;=175),6,"")</f>
        <v/>
      </c>
      <c r="B1193" s="16" t="str">
        <f aca="false">IF(AND(Eingabe!$F$14&gt;0,Eingabe!$E$14&gt;=175),Eingabe!$B$14,"")</f>
        <v/>
      </c>
      <c r="C1193" s="16" t="str">
        <f aca="false">IF(AND(Eingabe!$F$14&gt;0,Eingabe!$E$14&gt;=175),Eingabe!$C$14&amp;"-Paz."&amp;TEXT(175,"000"),"")</f>
        <v/>
      </c>
      <c r="D1193" s="16" t="str">
        <f aca="false">IF(AND(Eingabe!$F$14&gt;0,Eingabe!$E$14&gt;=175),175,"")</f>
        <v/>
      </c>
      <c r="E1193" s="16" t="str">
        <f aca="false">IF(AND(Eingabe!$F$14&gt;0,Eingabe!$E$14&gt;=175),IF((Eingabe!$G$14+1)&lt;=9,1000+(Eingabe!$G$14+1)*100,3000)+75,"")</f>
        <v/>
      </c>
      <c r="F1193" s="16" t="str">
        <f aca="false">IF(AND(Eingabe!$F$14&gt;0,Eingabe!$E$14&gt;=175),"10."&amp;Eingabe!$D$14&amp;".175.0/24","")</f>
        <v/>
      </c>
      <c r="G1193" s="16" t="str">
        <f aca="false">IF(AND(Eingabe!$F$14&gt;0,Eingabe!$E$14&gt;=175),"10."&amp;Eingabe!$D$14&amp;".175.1","")</f>
        <v/>
      </c>
      <c r="H1193" s="16" t="str">
        <f aca="false">IF(AND(Eingabe!$F$14&gt;0,Eingabe!$E$14&gt;=175),"10."&amp;Eingabe!$D$14&amp;".175.10 – 10."&amp;Eingabe!$D$14&amp;".175.250","")</f>
        <v/>
      </c>
      <c r="I1193" s="16" t="str">
        <f aca="false">IF(AND(Eingabe!$F$14&gt;0,Eingabe!$E$14&gt;=175),Eingabe!$B$6&amp;"-"&amp;Eingabe!$C$14&amp;"-Pächter","")</f>
        <v/>
      </c>
      <c r="J1193" s="16" t="str">
        <f aca="false">IF(AND(Eingabe!$F$14&gt;0,Eingabe!$E$14&gt;=175),"PPSK: Passwort Parzelle 175","")</f>
        <v/>
      </c>
      <c r="K1193" s="16" t="str">
        <f aca="false">IF(AND(Eingabe!$F$14&gt;0,Eingabe!$E$14&gt;=175),"1. Gerät: 10."&amp;Eingabe!$D$14&amp;".175.10, 2. Gerät: .11","")</f>
        <v/>
      </c>
    </row>
    <row r="1194" customFormat="false" ht="15" hidden="false" customHeight="false" outlineLevel="0" collapsed="false">
      <c r="A1194" s="16" t="str">
        <f aca="false">IF(AND(Eingabe!$F$14&gt;0,Eingabe!$E$14&gt;=176),6,"")</f>
        <v/>
      </c>
      <c r="B1194" s="16" t="str">
        <f aca="false">IF(AND(Eingabe!$F$14&gt;0,Eingabe!$E$14&gt;=176),Eingabe!$B$14,"")</f>
        <v/>
      </c>
      <c r="C1194" s="16" t="str">
        <f aca="false">IF(AND(Eingabe!$F$14&gt;0,Eingabe!$E$14&gt;=176),Eingabe!$C$14&amp;"-Paz."&amp;TEXT(176,"000"),"")</f>
        <v/>
      </c>
      <c r="D1194" s="16" t="str">
        <f aca="false">IF(AND(Eingabe!$F$14&gt;0,Eingabe!$E$14&gt;=176),176,"")</f>
        <v/>
      </c>
      <c r="E1194" s="16" t="str">
        <f aca="false">IF(AND(Eingabe!$F$14&gt;0,Eingabe!$E$14&gt;=176),IF((Eingabe!$G$14+1)&lt;=9,1000+(Eingabe!$G$14+1)*100,3000)+76,"")</f>
        <v/>
      </c>
      <c r="F1194" s="16" t="str">
        <f aca="false">IF(AND(Eingabe!$F$14&gt;0,Eingabe!$E$14&gt;=176),"10."&amp;Eingabe!$D$14&amp;".176.0/24","")</f>
        <v/>
      </c>
      <c r="G1194" s="16" t="str">
        <f aca="false">IF(AND(Eingabe!$F$14&gt;0,Eingabe!$E$14&gt;=176),"10."&amp;Eingabe!$D$14&amp;".176.1","")</f>
        <v/>
      </c>
      <c r="H1194" s="16" t="str">
        <f aca="false">IF(AND(Eingabe!$F$14&gt;0,Eingabe!$E$14&gt;=176),"10."&amp;Eingabe!$D$14&amp;".176.10 – 10."&amp;Eingabe!$D$14&amp;".176.250","")</f>
        <v/>
      </c>
      <c r="I1194" s="16" t="str">
        <f aca="false">IF(AND(Eingabe!$F$14&gt;0,Eingabe!$E$14&gt;=176),Eingabe!$B$6&amp;"-"&amp;Eingabe!$C$14&amp;"-Pächter","")</f>
        <v/>
      </c>
      <c r="J1194" s="16" t="str">
        <f aca="false">IF(AND(Eingabe!$F$14&gt;0,Eingabe!$E$14&gt;=176),"PPSK: Passwort Parzelle 176","")</f>
        <v/>
      </c>
      <c r="K1194" s="16" t="str">
        <f aca="false">IF(AND(Eingabe!$F$14&gt;0,Eingabe!$E$14&gt;=176),"1. Gerät: 10."&amp;Eingabe!$D$14&amp;".176.10, 2. Gerät: .11","")</f>
        <v/>
      </c>
    </row>
    <row r="1195" customFormat="false" ht="15" hidden="false" customHeight="false" outlineLevel="0" collapsed="false">
      <c r="A1195" s="16" t="str">
        <f aca="false">IF(AND(Eingabe!$F$14&gt;0,Eingabe!$E$14&gt;=177),6,"")</f>
        <v/>
      </c>
      <c r="B1195" s="16" t="str">
        <f aca="false">IF(AND(Eingabe!$F$14&gt;0,Eingabe!$E$14&gt;=177),Eingabe!$B$14,"")</f>
        <v/>
      </c>
      <c r="C1195" s="16" t="str">
        <f aca="false">IF(AND(Eingabe!$F$14&gt;0,Eingabe!$E$14&gt;=177),Eingabe!$C$14&amp;"-Paz."&amp;TEXT(177,"000"),"")</f>
        <v/>
      </c>
      <c r="D1195" s="16" t="str">
        <f aca="false">IF(AND(Eingabe!$F$14&gt;0,Eingabe!$E$14&gt;=177),177,"")</f>
        <v/>
      </c>
      <c r="E1195" s="16" t="str">
        <f aca="false">IF(AND(Eingabe!$F$14&gt;0,Eingabe!$E$14&gt;=177),IF((Eingabe!$G$14+1)&lt;=9,1000+(Eingabe!$G$14+1)*100,3000)+77,"")</f>
        <v/>
      </c>
      <c r="F1195" s="16" t="str">
        <f aca="false">IF(AND(Eingabe!$F$14&gt;0,Eingabe!$E$14&gt;=177),"10."&amp;Eingabe!$D$14&amp;".177.0/24","")</f>
        <v/>
      </c>
      <c r="G1195" s="16" t="str">
        <f aca="false">IF(AND(Eingabe!$F$14&gt;0,Eingabe!$E$14&gt;=177),"10."&amp;Eingabe!$D$14&amp;".177.1","")</f>
        <v/>
      </c>
      <c r="H1195" s="16" t="str">
        <f aca="false">IF(AND(Eingabe!$F$14&gt;0,Eingabe!$E$14&gt;=177),"10."&amp;Eingabe!$D$14&amp;".177.10 – 10."&amp;Eingabe!$D$14&amp;".177.250","")</f>
        <v/>
      </c>
      <c r="I1195" s="16" t="str">
        <f aca="false">IF(AND(Eingabe!$F$14&gt;0,Eingabe!$E$14&gt;=177),Eingabe!$B$6&amp;"-"&amp;Eingabe!$C$14&amp;"-Pächter","")</f>
        <v/>
      </c>
      <c r="J1195" s="16" t="str">
        <f aca="false">IF(AND(Eingabe!$F$14&gt;0,Eingabe!$E$14&gt;=177),"PPSK: Passwort Parzelle 177","")</f>
        <v/>
      </c>
      <c r="K1195" s="16" t="str">
        <f aca="false">IF(AND(Eingabe!$F$14&gt;0,Eingabe!$E$14&gt;=177),"1. Gerät: 10."&amp;Eingabe!$D$14&amp;".177.10, 2. Gerät: .11","")</f>
        <v/>
      </c>
    </row>
    <row r="1196" customFormat="false" ht="15" hidden="false" customHeight="false" outlineLevel="0" collapsed="false">
      <c r="A1196" s="16" t="str">
        <f aca="false">IF(AND(Eingabe!$F$14&gt;0,Eingabe!$E$14&gt;=178),6,"")</f>
        <v/>
      </c>
      <c r="B1196" s="16" t="str">
        <f aca="false">IF(AND(Eingabe!$F$14&gt;0,Eingabe!$E$14&gt;=178),Eingabe!$B$14,"")</f>
        <v/>
      </c>
      <c r="C1196" s="16" t="str">
        <f aca="false">IF(AND(Eingabe!$F$14&gt;0,Eingabe!$E$14&gt;=178),Eingabe!$C$14&amp;"-Paz."&amp;TEXT(178,"000"),"")</f>
        <v/>
      </c>
      <c r="D1196" s="16" t="str">
        <f aca="false">IF(AND(Eingabe!$F$14&gt;0,Eingabe!$E$14&gt;=178),178,"")</f>
        <v/>
      </c>
      <c r="E1196" s="16" t="str">
        <f aca="false">IF(AND(Eingabe!$F$14&gt;0,Eingabe!$E$14&gt;=178),IF((Eingabe!$G$14+1)&lt;=9,1000+(Eingabe!$G$14+1)*100,3000)+78,"")</f>
        <v/>
      </c>
      <c r="F1196" s="16" t="str">
        <f aca="false">IF(AND(Eingabe!$F$14&gt;0,Eingabe!$E$14&gt;=178),"10."&amp;Eingabe!$D$14&amp;".178.0/24","")</f>
        <v/>
      </c>
      <c r="G1196" s="16" t="str">
        <f aca="false">IF(AND(Eingabe!$F$14&gt;0,Eingabe!$E$14&gt;=178),"10."&amp;Eingabe!$D$14&amp;".178.1","")</f>
        <v/>
      </c>
      <c r="H1196" s="16" t="str">
        <f aca="false">IF(AND(Eingabe!$F$14&gt;0,Eingabe!$E$14&gt;=178),"10."&amp;Eingabe!$D$14&amp;".178.10 – 10."&amp;Eingabe!$D$14&amp;".178.250","")</f>
        <v/>
      </c>
      <c r="I1196" s="16" t="str">
        <f aca="false">IF(AND(Eingabe!$F$14&gt;0,Eingabe!$E$14&gt;=178),Eingabe!$B$6&amp;"-"&amp;Eingabe!$C$14&amp;"-Pächter","")</f>
        <v/>
      </c>
      <c r="J1196" s="16" t="str">
        <f aca="false">IF(AND(Eingabe!$F$14&gt;0,Eingabe!$E$14&gt;=178),"PPSK: Passwort Parzelle 178","")</f>
        <v/>
      </c>
      <c r="K1196" s="16" t="str">
        <f aca="false">IF(AND(Eingabe!$F$14&gt;0,Eingabe!$E$14&gt;=178),"1. Gerät: 10."&amp;Eingabe!$D$14&amp;".178.10, 2. Gerät: .11","")</f>
        <v/>
      </c>
    </row>
    <row r="1197" customFormat="false" ht="15" hidden="false" customHeight="false" outlineLevel="0" collapsed="false">
      <c r="A1197" s="16" t="str">
        <f aca="false">IF(AND(Eingabe!$F$14&gt;0,Eingabe!$E$14&gt;=179),6,"")</f>
        <v/>
      </c>
      <c r="B1197" s="16" t="str">
        <f aca="false">IF(AND(Eingabe!$F$14&gt;0,Eingabe!$E$14&gt;=179),Eingabe!$B$14,"")</f>
        <v/>
      </c>
      <c r="C1197" s="16" t="str">
        <f aca="false">IF(AND(Eingabe!$F$14&gt;0,Eingabe!$E$14&gt;=179),Eingabe!$C$14&amp;"-Paz."&amp;TEXT(179,"000"),"")</f>
        <v/>
      </c>
      <c r="D1197" s="16" t="str">
        <f aca="false">IF(AND(Eingabe!$F$14&gt;0,Eingabe!$E$14&gt;=179),179,"")</f>
        <v/>
      </c>
      <c r="E1197" s="16" t="str">
        <f aca="false">IF(AND(Eingabe!$F$14&gt;0,Eingabe!$E$14&gt;=179),IF((Eingabe!$G$14+1)&lt;=9,1000+(Eingabe!$G$14+1)*100,3000)+79,"")</f>
        <v/>
      </c>
      <c r="F1197" s="16" t="str">
        <f aca="false">IF(AND(Eingabe!$F$14&gt;0,Eingabe!$E$14&gt;=179),"10."&amp;Eingabe!$D$14&amp;".179.0/24","")</f>
        <v/>
      </c>
      <c r="G1197" s="16" t="str">
        <f aca="false">IF(AND(Eingabe!$F$14&gt;0,Eingabe!$E$14&gt;=179),"10."&amp;Eingabe!$D$14&amp;".179.1","")</f>
        <v/>
      </c>
      <c r="H1197" s="16" t="str">
        <f aca="false">IF(AND(Eingabe!$F$14&gt;0,Eingabe!$E$14&gt;=179),"10."&amp;Eingabe!$D$14&amp;".179.10 – 10."&amp;Eingabe!$D$14&amp;".179.250","")</f>
        <v/>
      </c>
      <c r="I1197" s="16" t="str">
        <f aca="false">IF(AND(Eingabe!$F$14&gt;0,Eingabe!$E$14&gt;=179),Eingabe!$B$6&amp;"-"&amp;Eingabe!$C$14&amp;"-Pächter","")</f>
        <v/>
      </c>
      <c r="J1197" s="16" t="str">
        <f aca="false">IF(AND(Eingabe!$F$14&gt;0,Eingabe!$E$14&gt;=179),"PPSK: Passwort Parzelle 179","")</f>
        <v/>
      </c>
      <c r="K1197" s="16" t="str">
        <f aca="false">IF(AND(Eingabe!$F$14&gt;0,Eingabe!$E$14&gt;=179),"1. Gerät: 10."&amp;Eingabe!$D$14&amp;".179.10, 2. Gerät: .11","")</f>
        <v/>
      </c>
    </row>
    <row r="1198" customFormat="false" ht="15" hidden="false" customHeight="false" outlineLevel="0" collapsed="false">
      <c r="A1198" s="16" t="str">
        <f aca="false">IF(AND(Eingabe!$F$14&gt;0,Eingabe!$E$14&gt;=180),6,"")</f>
        <v/>
      </c>
      <c r="B1198" s="16" t="str">
        <f aca="false">IF(AND(Eingabe!$F$14&gt;0,Eingabe!$E$14&gt;=180),Eingabe!$B$14,"")</f>
        <v/>
      </c>
      <c r="C1198" s="16" t="str">
        <f aca="false">IF(AND(Eingabe!$F$14&gt;0,Eingabe!$E$14&gt;=180),Eingabe!$C$14&amp;"-Paz."&amp;TEXT(180,"000"),"")</f>
        <v/>
      </c>
      <c r="D1198" s="16" t="str">
        <f aca="false">IF(AND(Eingabe!$F$14&gt;0,Eingabe!$E$14&gt;=180),180,"")</f>
        <v/>
      </c>
      <c r="E1198" s="16" t="str">
        <f aca="false">IF(AND(Eingabe!$F$14&gt;0,Eingabe!$E$14&gt;=180),IF((Eingabe!$G$14+1)&lt;=9,1000+(Eingabe!$G$14+1)*100,3000)+80,"")</f>
        <v/>
      </c>
      <c r="F1198" s="16" t="str">
        <f aca="false">IF(AND(Eingabe!$F$14&gt;0,Eingabe!$E$14&gt;=180),"10."&amp;Eingabe!$D$14&amp;".180.0/24","")</f>
        <v/>
      </c>
      <c r="G1198" s="16" t="str">
        <f aca="false">IF(AND(Eingabe!$F$14&gt;0,Eingabe!$E$14&gt;=180),"10."&amp;Eingabe!$D$14&amp;".180.1","")</f>
        <v/>
      </c>
      <c r="H1198" s="16" t="str">
        <f aca="false">IF(AND(Eingabe!$F$14&gt;0,Eingabe!$E$14&gt;=180),"10."&amp;Eingabe!$D$14&amp;".180.10 – 10."&amp;Eingabe!$D$14&amp;".180.250","")</f>
        <v/>
      </c>
      <c r="I1198" s="16" t="str">
        <f aca="false">IF(AND(Eingabe!$F$14&gt;0,Eingabe!$E$14&gt;=180),Eingabe!$B$6&amp;"-"&amp;Eingabe!$C$14&amp;"-Pächter","")</f>
        <v/>
      </c>
      <c r="J1198" s="16" t="str">
        <f aca="false">IF(AND(Eingabe!$F$14&gt;0,Eingabe!$E$14&gt;=180),"PPSK: Passwort Parzelle 180","")</f>
        <v/>
      </c>
      <c r="K1198" s="16" t="str">
        <f aca="false">IF(AND(Eingabe!$F$14&gt;0,Eingabe!$E$14&gt;=180),"1. Gerät: 10."&amp;Eingabe!$D$14&amp;".180.10, 2. Gerät: .11","")</f>
        <v/>
      </c>
    </row>
    <row r="1199" customFormat="false" ht="15" hidden="false" customHeight="false" outlineLevel="0" collapsed="false">
      <c r="A1199" s="16" t="str">
        <f aca="false">IF(AND(Eingabe!$F$14&gt;0,Eingabe!$E$14&gt;=181),6,"")</f>
        <v/>
      </c>
      <c r="B1199" s="16" t="str">
        <f aca="false">IF(AND(Eingabe!$F$14&gt;0,Eingabe!$E$14&gt;=181),Eingabe!$B$14,"")</f>
        <v/>
      </c>
      <c r="C1199" s="16" t="str">
        <f aca="false">IF(AND(Eingabe!$F$14&gt;0,Eingabe!$E$14&gt;=181),Eingabe!$C$14&amp;"-Paz."&amp;TEXT(181,"000"),"")</f>
        <v/>
      </c>
      <c r="D1199" s="16" t="str">
        <f aca="false">IF(AND(Eingabe!$F$14&gt;0,Eingabe!$E$14&gt;=181),181,"")</f>
        <v/>
      </c>
      <c r="E1199" s="16" t="str">
        <f aca="false">IF(AND(Eingabe!$F$14&gt;0,Eingabe!$E$14&gt;=181),IF((Eingabe!$G$14+1)&lt;=9,1000+(Eingabe!$G$14+1)*100,3000)+81,"")</f>
        <v/>
      </c>
      <c r="F1199" s="16" t="str">
        <f aca="false">IF(AND(Eingabe!$F$14&gt;0,Eingabe!$E$14&gt;=181),"10."&amp;Eingabe!$D$14&amp;".181.0/24","")</f>
        <v/>
      </c>
      <c r="G1199" s="16" t="str">
        <f aca="false">IF(AND(Eingabe!$F$14&gt;0,Eingabe!$E$14&gt;=181),"10."&amp;Eingabe!$D$14&amp;".181.1","")</f>
        <v/>
      </c>
      <c r="H1199" s="16" t="str">
        <f aca="false">IF(AND(Eingabe!$F$14&gt;0,Eingabe!$E$14&gt;=181),"10."&amp;Eingabe!$D$14&amp;".181.10 – 10."&amp;Eingabe!$D$14&amp;".181.250","")</f>
        <v/>
      </c>
      <c r="I1199" s="16" t="str">
        <f aca="false">IF(AND(Eingabe!$F$14&gt;0,Eingabe!$E$14&gt;=181),Eingabe!$B$6&amp;"-"&amp;Eingabe!$C$14&amp;"-Pächter","")</f>
        <v/>
      </c>
      <c r="J1199" s="16" t="str">
        <f aca="false">IF(AND(Eingabe!$F$14&gt;0,Eingabe!$E$14&gt;=181),"PPSK: Passwort Parzelle 181","")</f>
        <v/>
      </c>
      <c r="K1199" s="16" t="str">
        <f aca="false">IF(AND(Eingabe!$F$14&gt;0,Eingabe!$E$14&gt;=181),"1. Gerät: 10."&amp;Eingabe!$D$14&amp;".181.10, 2. Gerät: .11","")</f>
        <v/>
      </c>
    </row>
    <row r="1200" customFormat="false" ht="15" hidden="false" customHeight="false" outlineLevel="0" collapsed="false">
      <c r="A1200" s="16" t="str">
        <f aca="false">IF(AND(Eingabe!$F$14&gt;0,Eingabe!$E$14&gt;=182),6,"")</f>
        <v/>
      </c>
      <c r="B1200" s="16" t="str">
        <f aca="false">IF(AND(Eingabe!$F$14&gt;0,Eingabe!$E$14&gt;=182),Eingabe!$B$14,"")</f>
        <v/>
      </c>
      <c r="C1200" s="16" t="str">
        <f aca="false">IF(AND(Eingabe!$F$14&gt;0,Eingabe!$E$14&gt;=182),Eingabe!$C$14&amp;"-Paz."&amp;TEXT(182,"000"),"")</f>
        <v/>
      </c>
      <c r="D1200" s="16" t="str">
        <f aca="false">IF(AND(Eingabe!$F$14&gt;0,Eingabe!$E$14&gt;=182),182,"")</f>
        <v/>
      </c>
      <c r="E1200" s="16" t="str">
        <f aca="false">IF(AND(Eingabe!$F$14&gt;0,Eingabe!$E$14&gt;=182),IF((Eingabe!$G$14+1)&lt;=9,1000+(Eingabe!$G$14+1)*100,3000)+82,"")</f>
        <v/>
      </c>
      <c r="F1200" s="16" t="str">
        <f aca="false">IF(AND(Eingabe!$F$14&gt;0,Eingabe!$E$14&gt;=182),"10."&amp;Eingabe!$D$14&amp;".182.0/24","")</f>
        <v/>
      </c>
      <c r="G1200" s="16" t="str">
        <f aca="false">IF(AND(Eingabe!$F$14&gt;0,Eingabe!$E$14&gt;=182),"10."&amp;Eingabe!$D$14&amp;".182.1","")</f>
        <v/>
      </c>
      <c r="H1200" s="16" t="str">
        <f aca="false">IF(AND(Eingabe!$F$14&gt;0,Eingabe!$E$14&gt;=182),"10."&amp;Eingabe!$D$14&amp;".182.10 – 10."&amp;Eingabe!$D$14&amp;".182.250","")</f>
        <v/>
      </c>
      <c r="I1200" s="16" t="str">
        <f aca="false">IF(AND(Eingabe!$F$14&gt;0,Eingabe!$E$14&gt;=182),Eingabe!$B$6&amp;"-"&amp;Eingabe!$C$14&amp;"-Pächter","")</f>
        <v/>
      </c>
      <c r="J1200" s="16" t="str">
        <f aca="false">IF(AND(Eingabe!$F$14&gt;0,Eingabe!$E$14&gt;=182),"PPSK: Passwort Parzelle 182","")</f>
        <v/>
      </c>
      <c r="K1200" s="16" t="str">
        <f aca="false">IF(AND(Eingabe!$F$14&gt;0,Eingabe!$E$14&gt;=182),"1. Gerät: 10."&amp;Eingabe!$D$14&amp;".182.10, 2. Gerät: .11","")</f>
        <v/>
      </c>
    </row>
    <row r="1201" customFormat="false" ht="15" hidden="false" customHeight="false" outlineLevel="0" collapsed="false">
      <c r="A1201" s="16" t="str">
        <f aca="false">IF(AND(Eingabe!$F$14&gt;0,Eingabe!$E$14&gt;=183),6,"")</f>
        <v/>
      </c>
      <c r="B1201" s="16" t="str">
        <f aca="false">IF(AND(Eingabe!$F$14&gt;0,Eingabe!$E$14&gt;=183),Eingabe!$B$14,"")</f>
        <v/>
      </c>
      <c r="C1201" s="16" t="str">
        <f aca="false">IF(AND(Eingabe!$F$14&gt;0,Eingabe!$E$14&gt;=183),Eingabe!$C$14&amp;"-Paz."&amp;TEXT(183,"000"),"")</f>
        <v/>
      </c>
      <c r="D1201" s="16" t="str">
        <f aca="false">IF(AND(Eingabe!$F$14&gt;0,Eingabe!$E$14&gt;=183),183,"")</f>
        <v/>
      </c>
      <c r="E1201" s="16" t="str">
        <f aca="false">IF(AND(Eingabe!$F$14&gt;0,Eingabe!$E$14&gt;=183),IF((Eingabe!$G$14+1)&lt;=9,1000+(Eingabe!$G$14+1)*100,3000)+83,"")</f>
        <v/>
      </c>
      <c r="F1201" s="16" t="str">
        <f aca="false">IF(AND(Eingabe!$F$14&gt;0,Eingabe!$E$14&gt;=183),"10."&amp;Eingabe!$D$14&amp;".183.0/24","")</f>
        <v/>
      </c>
      <c r="G1201" s="16" t="str">
        <f aca="false">IF(AND(Eingabe!$F$14&gt;0,Eingabe!$E$14&gt;=183),"10."&amp;Eingabe!$D$14&amp;".183.1","")</f>
        <v/>
      </c>
      <c r="H1201" s="16" t="str">
        <f aca="false">IF(AND(Eingabe!$F$14&gt;0,Eingabe!$E$14&gt;=183),"10."&amp;Eingabe!$D$14&amp;".183.10 – 10."&amp;Eingabe!$D$14&amp;".183.250","")</f>
        <v/>
      </c>
      <c r="I1201" s="16" t="str">
        <f aca="false">IF(AND(Eingabe!$F$14&gt;0,Eingabe!$E$14&gt;=183),Eingabe!$B$6&amp;"-"&amp;Eingabe!$C$14&amp;"-Pächter","")</f>
        <v/>
      </c>
      <c r="J1201" s="16" t="str">
        <f aca="false">IF(AND(Eingabe!$F$14&gt;0,Eingabe!$E$14&gt;=183),"PPSK: Passwort Parzelle 183","")</f>
        <v/>
      </c>
      <c r="K1201" s="16" t="str">
        <f aca="false">IF(AND(Eingabe!$F$14&gt;0,Eingabe!$E$14&gt;=183),"1. Gerät: 10."&amp;Eingabe!$D$14&amp;".183.10, 2. Gerät: .11","")</f>
        <v/>
      </c>
    </row>
    <row r="1202" customFormat="false" ht="15" hidden="false" customHeight="false" outlineLevel="0" collapsed="false">
      <c r="A1202" s="16" t="str">
        <f aca="false">IF(AND(Eingabe!$F$14&gt;0,Eingabe!$E$14&gt;=184),6,"")</f>
        <v/>
      </c>
      <c r="B1202" s="16" t="str">
        <f aca="false">IF(AND(Eingabe!$F$14&gt;0,Eingabe!$E$14&gt;=184),Eingabe!$B$14,"")</f>
        <v/>
      </c>
      <c r="C1202" s="16" t="str">
        <f aca="false">IF(AND(Eingabe!$F$14&gt;0,Eingabe!$E$14&gt;=184),Eingabe!$C$14&amp;"-Paz."&amp;TEXT(184,"000"),"")</f>
        <v/>
      </c>
      <c r="D1202" s="16" t="str">
        <f aca="false">IF(AND(Eingabe!$F$14&gt;0,Eingabe!$E$14&gt;=184),184,"")</f>
        <v/>
      </c>
      <c r="E1202" s="16" t="str">
        <f aca="false">IF(AND(Eingabe!$F$14&gt;0,Eingabe!$E$14&gt;=184),IF((Eingabe!$G$14+1)&lt;=9,1000+(Eingabe!$G$14+1)*100,3000)+84,"")</f>
        <v/>
      </c>
      <c r="F1202" s="16" t="str">
        <f aca="false">IF(AND(Eingabe!$F$14&gt;0,Eingabe!$E$14&gt;=184),"10."&amp;Eingabe!$D$14&amp;".184.0/24","")</f>
        <v/>
      </c>
      <c r="G1202" s="16" t="str">
        <f aca="false">IF(AND(Eingabe!$F$14&gt;0,Eingabe!$E$14&gt;=184),"10."&amp;Eingabe!$D$14&amp;".184.1","")</f>
        <v/>
      </c>
      <c r="H1202" s="16" t="str">
        <f aca="false">IF(AND(Eingabe!$F$14&gt;0,Eingabe!$E$14&gt;=184),"10."&amp;Eingabe!$D$14&amp;".184.10 – 10."&amp;Eingabe!$D$14&amp;".184.250","")</f>
        <v/>
      </c>
      <c r="I1202" s="16" t="str">
        <f aca="false">IF(AND(Eingabe!$F$14&gt;0,Eingabe!$E$14&gt;=184),Eingabe!$B$6&amp;"-"&amp;Eingabe!$C$14&amp;"-Pächter","")</f>
        <v/>
      </c>
      <c r="J1202" s="16" t="str">
        <f aca="false">IF(AND(Eingabe!$F$14&gt;0,Eingabe!$E$14&gt;=184),"PPSK: Passwort Parzelle 184","")</f>
        <v/>
      </c>
      <c r="K1202" s="16" t="str">
        <f aca="false">IF(AND(Eingabe!$F$14&gt;0,Eingabe!$E$14&gt;=184),"1. Gerät: 10."&amp;Eingabe!$D$14&amp;".184.10, 2. Gerät: .11","")</f>
        <v/>
      </c>
    </row>
    <row r="1203" customFormat="false" ht="15" hidden="false" customHeight="false" outlineLevel="0" collapsed="false">
      <c r="A1203" s="16" t="str">
        <f aca="false">IF(AND(Eingabe!$F$14&gt;0,Eingabe!$E$14&gt;=185),6,"")</f>
        <v/>
      </c>
      <c r="B1203" s="16" t="str">
        <f aca="false">IF(AND(Eingabe!$F$14&gt;0,Eingabe!$E$14&gt;=185),Eingabe!$B$14,"")</f>
        <v/>
      </c>
      <c r="C1203" s="16" t="str">
        <f aca="false">IF(AND(Eingabe!$F$14&gt;0,Eingabe!$E$14&gt;=185),Eingabe!$C$14&amp;"-Paz."&amp;TEXT(185,"000"),"")</f>
        <v/>
      </c>
      <c r="D1203" s="16" t="str">
        <f aca="false">IF(AND(Eingabe!$F$14&gt;0,Eingabe!$E$14&gt;=185),185,"")</f>
        <v/>
      </c>
      <c r="E1203" s="16" t="str">
        <f aca="false">IF(AND(Eingabe!$F$14&gt;0,Eingabe!$E$14&gt;=185),IF((Eingabe!$G$14+1)&lt;=9,1000+(Eingabe!$G$14+1)*100,3000)+85,"")</f>
        <v/>
      </c>
      <c r="F1203" s="16" t="str">
        <f aca="false">IF(AND(Eingabe!$F$14&gt;0,Eingabe!$E$14&gt;=185),"10."&amp;Eingabe!$D$14&amp;".185.0/24","")</f>
        <v/>
      </c>
      <c r="G1203" s="16" t="str">
        <f aca="false">IF(AND(Eingabe!$F$14&gt;0,Eingabe!$E$14&gt;=185),"10."&amp;Eingabe!$D$14&amp;".185.1","")</f>
        <v/>
      </c>
      <c r="H1203" s="16" t="str">
        <f aca="false">IF(AND(Eingabe!$F$14&gt;0,Eingabe!$E$14&gt;=185),"10."&amp;Eingabe!$D$14&amp;".185.10 – 10."&amp;Eingabe!$D$14&amp;".185.250","")</f>
        <v/>
      </c>
      <c r="I1203" s="16" t="str">
        <f aca="false">IF(AND(Eingabe!$F$14&gt;0,Eingabe!$E$14&gt;=185),Eingabe!$B$6&amp;"-"&amp;Eingabe!$C$14&amp;"-Pächter","")</f>
        <v/>
      </c>
      <c r="J1203" s="16" t="str">
        <f aca="false">IF(AND(Eingabe!$F$14&gt;0,Eingabe!$E$14&gt;=185),"PPSK: Passwort Parzelle 185","")</f>
        <v/>
      </c>
      <c r="K1203" s="16" t="str">
        <f aca="false">IF(AND(Eingabe!$F$14&gt;0,Eingabe!$E$14&gt;=185),"1. Gerät: 10."&amp;Eingabe!$D$14&amp;".185.10, 2. Gerät: .11","")</f>
        <v/>
      </c>
    </row>
    <row r="1204" customFormat="false" ht="15" hidden="false" customHeight="false" outlineLevel="0" collapsed="false">
      <c r="A1204" s="16" t="str">
        <f aca="false">IF(AND(Eingabe!$F$14&gt;0,Eingabe!$E$14&gt;=186),6,"")</f>
        <v/>
      </c>
      <c r="B1204" s="16" t="str">
        <f aca="false">IF(AND(Eingabe!$F$14&gt;0,Eingabe!$E$14&gt;=186),Eingabe!$B$14,"")</f>
        <v/>
      </c>
      <c r="C1204" s="16" t="str">
        <f aca="false">IF(AND(Eingabe!$F$14&gt;0,Eingabe!$E$14&gt;=186),Eingabe!$C$14&amp;"-Paz."&amp;TEXT(186,"000"),"")</f>
        <v/>
      </c>
      <c r="D1204" s="16" t="str">
        <f aca="false">IF(AND(Eingabe!$F$14&gt;0,Eingabe!$E$14&gt;=186),186,"")</f>
        <v/>
      </c>
      <c r="E1204" s="16" t="str">
        <f aca="false">IF(AND(Eingabe!$F$14&gt;0,Eingabe!$E$14&gt;=186),IF((Eingabe!$G$14+1)&lt;=9,1000+(Eingabe!$G$14+1)*100,3000)+86,"")</f>
        <v/>
      </c>
      <c r="F1204" s="16" t="str">
        <f aca="false">IF(AND(Eingabe!$F$14&gt;0,Eingabe!$E$14&gt;=186),"10."&amp;Eingabe!$D$14&amp;".186.0/24","")</f>
        <v/>
      </c>
      <c r="G1204" s="16" t="str">
        <f aca="false">IF(AND(Eingabe!$F$14&gt;0,Eingabe!$E$14&gt;=186),"10."&amp;Eingabe!$D$14&amp;".186.1","")</f>
        <v/>
      </c>
      <c r="H1204" s="16" t="str">
        <f aca="false">IF(AND(Eingabe!$F$14&gt;0,Eingabe!$E$14&gt;=186),"10."&amp;Eingabe!$D$14&amp;".186.10 – 10."&amp;Eingabe!$D$14&amp;".186.250","")</f>
        <v/>
      </c>
      <c r="I1204" s="16" t="str">
        <f aca="false">IF(AND(Eingabe!$F$14&gt;0,Eingabe!$E$14&gt;=186),Eingabe!$B$6&amp;"-"&amp;Eingabe!$C$14&amp;"-Pächter","")</f>
        <v/>
      </c>
      <c r="J1204" s="16" t="str">
        <f aca="false">IF(AND(Eingabe!$F$14&gt;0,Eingabe!$E$14&gt;=186),"PPSK: Passwort Parzelle 186","")</f>
        <v/>
      </c>
      <c r="K1204" s="16" t="str">
        <f aca="false">IF(AND(Eingabe!$F$14&gt;0,Eingabe!$E$14&gt;=186),"1. Gerät: 10."&amp;Eingabe!$D$14&amp;".186.10, 2. Gerät: .11","")</f>
        <v/>
      </c>
    </row>
    <row r="1205" customFormat="false" ht="15" hidden="false" customHeight="false" outlineLevel="0" collapsed="false">
      <c r="A1205" s="16" t="str">
        <f aca="false">IF(AND(Eingabe!$F$14&gt;0,Eingabe!$E$14&gt;=187),6,"")</f>
        <v/>
      </c>
      <c r="B1205" s="16" t="str">
        <f aca="false">IF(AND(Eingabe!$F$14&gt;0,Eingabe!$E$14&gt;=187),Eingabe!$B$14,"")</f>
        <v/>
      </c>
      <c r="C1205" s="16" t="str">
        <f aca="false">IF(AND(Eingabe!$F$14&gt;0,Eingabe!$E$14&gt;=187),Eingabe!$C$14&amp;"-Paz."&amp;TEXT(187,"000"),"")</f>
        <v/>
      </c>
      <c r="D1205" s="16" t="str">
        <f aca="false">IF(AND(Eingabe!$F$14&gt;0,Eingabe!$E$14&gt;=187),187,"")</f>
        <v/>
      </c>
      <c r="E1205" s="16" t="str">
        <f aca="false">IF(AND(Eingabe!$F$14&gt;0,Eingabe!$E$14&gt;=187),IF((Eingabe!$G$14+1)&lt;=9,1000+(Eingabe!$G$14+1)*100,3000)+87,"")</f>
        <v/>
      </c>
      <c r="F1205" s="16" t="str">
        <f aca="false">IF(AND(Eingabe!$F$14&gt;0,Eingabe!$E$14&gt;=187),"10."&amp;Eingabe!$D$14&amp;".187.0/24","")</f>
        <v/>
      </c>
      <c r="G1205" s="16" t="str">
        <f aca="false">IF(AND(Eingabe!$F$14&gt;0,Eingabe!$E$14&gt;=187),"10."&amp;Eingabe!$D$14&amp;".187.1","")</f>
        <v/>
      </c>
      <c r="H1205" s="16" t="str">
        <f aca="false">IF(AND(Eingabe!$F$14&gt;0,Eingabe!$E$14&gt;=187),"10."&amp;Eingabe!$D$14&amp;".187.10 – 10."&amp;Eingabe!$D$14&amp;".187.250","")</f>
        <v/>
      </c>
      <c r="I1205" s="16" t="str">
        <f aca="false">IF(AND(Eingabe!$F$14&gt;0,Eingabe!$E$14&gt;=187),Eingabe!$B$6&amp;"-"&amp;Eingabe!$C$14&amp;"-Pächter","")</f>
        <v/>
      </c>
      <c r="J1205" s="16" t="str">
        <f aca="false">IF(AND(Eingabe!$F$14&gt;0,Eingabe!$E$14&gt;=187),"PPSK: Passwort Parzelle 187","")</f>
        <v/>
      </c>
      <c r="K1205" s="16" t="str">
        <f aca="false">IF(AND(Eingabe!$F$14&gt;0,Eingabe!$E$14&gt;=187),"1. Gerät: 10."&amp;Eingabe!$D$14&amp;".187.10, 2. Gerät: .11","")</f>
        <v/>
      </c>
    </row>
    <row r="1206" customFormat="false" ht="15" hidden="false" customHeight="false" outlineLevel="0" collapsed="false">
      <c r="A1206" s="16" t="str">
        <f aca="false">IF(AND(Eingabe!$F$14&gt;0,Eingabe!$E$14&gt;=188),6,"")</f>
        <v/>
      </c>
      <c r="B1206" s="16" t="str">
        <f aca="false">IF(AND(Eingabe!$F$14&gt;0,Eingabe!$E$14&gt;=188),Eingabe!$B$14,"")</f>
        <v/>
      </c>
      <c r="C1206" s="16" t="str">
        <f aca="false">IF(AND(Eingabe!$F$14&gt;0,Eingabe!$E$14&gt;=188),Eingabe!$C$14&amp;"-Paz."&amp;TEXT(188,"000"),"")</f>
        <v/>
      </c>
      <c r="D1206" s="16" t="str">
        <f aca="false">IF(AND(Eingabe!$F$14&gt;0,Eingabe!$E$14&gt;=188),188,"")</f>
        <v/>
      </c>
      <c r="E1206" s="16" t="str">
        <f aca="false">IF(AND(Eingabe!$F$14&gt;0,Eingabe!$E$14&gt;=188),IF((Eingabe!$G$14+1)&lt;=9,1000+(Eingabe!$G$14+1)*100,3000)+88,"")</f>
        <v/>
      </c>
      <c r="F1206" s="16" t="str">
        <f aca="false">IF(AND(Eingabe!$F$14&gt;0,Eingabe!$E$14&gt;=188),"10."&amp;Eingabe!$D$14&amp;".188.0/24","")</f>
        <v/>
      </c>
      <c r="G1206" s="16" t="str">
        <f aca="false">IF(AND(Eingabe!$F$14&gt;0,Eingabe!$E$14&gt;=188),"10."&amp;Eingabe!$D$14&amp;".188.1","")</f>
        <v/>
      </c>
      <c r="H1206" s="16" t="str">
        <f aca="false">IF(AND(Eingabe!$F$14&gt;0,Eingabe!$E$14&gt;=188),"10."&amp;Eingabe!$D$14&amp;".188.10 – 10."&amp;Eingabe!$D$14&amp;".188.250","")</f>
        <v/>
      </c>
      <c r="I1206" s="16" t="str">
        <f aca="false">IF(AND(Eingabe!$F$14&gt;0,Eingabe!$E$14&gt;=188),Eingabe!$B$6&amp;"-"&amp;Eingabe!$C$14&amp;"-Pächter","")</f>
        <v/>
      </c>
      <c r="J1206" s="16" t="str">
        <f aca="false">IF(AND(Eingabe!$F$14&gt;0,Eingabe!$E$14&gt;=188),"PPSK: Passwort Parzelle 188","")</f>
        <v/>
      </c>
      <c r="K1206" s="16" t="str">
        <f aca="false">IF(AND(Eingabe!$F$14&gt;0,Eingabe!$E$14&gt;=188),"1. Gerät: 10."&amp;Eingabe!$D$14&amp;".188.10, 2. Gerät: .11","")</f>
        <v/>
      </c>
    </row>
    <row r="1207" customFormat="false" ht="15" hidden="false" customHeight="false" outlineLevel="0" collapsed="false">
      <c r="A1207" s="16" t="str">
        <f aca="false">IF(AND(Eingabe!$F$14&gt;0,Eingabe!$E$14&gt;=189),6,"")</f>
        <v/>
      </c>
      <c r="B1207" s="16" t="str">
        <f aca="false">IF(AND(Eingabe!$F$14&gt;0,Eingabe!$E$14&gt;=189),Eingabe!$B$14,"")</f>
        <v/>
      </c>
      <c r="C1207" s="16" t="str">
        <f aca="false">IF(AND(Eingabe!$F$14&gt;0,Eingabe!$E$14&gt;=189),Eingabe!$C$14&amp;"-Paz."&amp;TEXT(189,"000"),"")</f>
        <v/>
      </c>
      <c r="D1207" s="16" t="str">
        <f aca="false">IF(AND(Eingabe!$F$14&gt;0,Eingabe!$E$14&gt;=189),189,"")</f>
        <v/>
      </c>
      <c r="E1207" s="16" t="str">
        <f aca="false">IF(AND(Eingabe!$F$14&gt;0,Eingabe!$E$14&gt;=189),IF((Eingabe!$G$14+1)&lt;=9,1000+(Eingabe!$G$14+1)*100,3000)+89,"")</f>
        <v/>
      </c>
      <c r="F1207" s="16" t="str">
        <f aca="false">IF(AND(Eingabe!$F$14&gt;0,Eingabe!$E$14&gt;=189),"10."&amp;Eingabe!$D$14&amp;".189.0/24","")</f>
        <v/>
      </c>
      <c r="G1207" s="16" t="str">
        <f aca="false">IF(AND(Eingabe!$F$14&gt;0,Eingabe!$E$14&gt;=189),"10."&amp;Eingabe!$D$14&amp;".189.1","")</f>
        <v/>
      </c>
      <c r="H1207" s="16" t="str">
        <f aca="false">IF(AND(Eingabe!$F$14&gt;0,Eingabe!$E$14&gt;=189),"10."&amp;Eingabe!$D$14&amp;".189.10 – 10."&amp;Eingabe!$D$14&amp;".189.250","")</f>
        <v/>
      </c>
      <c r="I1207" s="16" t="str">
        <f aca="false">IF(AND(Eingabe!$F$14&gt;0,Eingabe!$E$14&gt;=189),Eingabe!$B$6&amp;"-"&amp;Eingabe!$C$14&amp;"-Pächter","")</f>
        <v/>
      </c>
      <c r="J1207" s="16" t="str">
        <f aca="false">IF(AND(Eingabe!$F$14&gt;0,Eingabe!$E$14&gt;=189),"PPSK: Passwort Parzelle 189","")</f>
        <v/>
      </c>
      <c r="K1207" s="16" t="str">
        <f aca="false">IF(AND(Eingabe!$F$14&gt;0,Eingabe!$E$14&gt;=189),"1. Gerät: 10."&amp;Eingabe!$D$14&amp;".189.10, 2. Gerät: .11","")</f>
        <v/>
      </c>
    </row>
    <row r="1208" customFormat="false" ht="15" hidden="false" customHeight="false" outlineLevel="0" collapsed="false">
      <c r="A1208" s="16" t="str">
        <f aca="false">IF(AND(Eingabe!$F$14&gt;0,Eingabe!$E$14&gt;=190),6,"")</f>
        <v/>
      </c>
      <c r="B1208" s="16" t="str">
        <f aca="false">IF(AND(Eingabe!$F$14&gt;0,Eingabe!$E$14&gt;=190),Eingabe!$B$14,"")</f>
        <v/>
      </c>
      <c r="C1208" s="16" t="str">
        <f aca="false">IF(AND(Eingabe!$F$14&gt;0,Eingabe!$E$14&gt;=190),Eingabe!$C$14&amp;"-Paz."&amp;TEXT(190,"000"),"")</f>
        <v/>
      </c>
      <c r="D1208" s="16" t="str">
        <f aca="false">IF(AND(Eingabe!$F$14&gt;0,Eingabe!$E$14&gt;=190),190,"")</f>
        <v/>
      </c>
      <c r="E1208" s="16" t="str">
        <f aca="false">IF(AND(Eingabe!$F$14&gt;0,Eingabe!$E$14&gt;=190),IF((Eingabe!$G$14+1)&lt;=9,1000+(Eingabe!$G$14+1)*100,3000)+90,"")</f>
        <v/>
      </c>
      <c r="F1208" s="16" t="str">
        <f aca="false">IF(AND(Eingabe!$F$14&gt;0,Eingabe!$E$14&gt;=190),"10."&amp;Eingabe!$D$14&amp;".190.0/24","")</f>
        <v/>
      </c>
      <c r="G1208" s="16" t="str">
        <f aca="false">IF(AND(Eingabe!$F$14&gt;0,Eingabe!$E$14&gt;=190),"10."&amp;Eingabe!$D$14&amp;".190.1","")</f>
        <v/>
      </c>
      <c r="H1208" s="16" t="str">
        <f aca="false">IF(AND(Eingabe!$F$14&gt;0,Eingabe!$E$14&gt;=190),"10."&amp;Eingabe!$D$14&amp;".190.10 – 10."&amp;Eingabe!$D$14&amp;".190.250","")</f>
        <v/>
      </c>
      <c r="I1208" s="16" t="str">
        <f aca="false">IF(AND(Eingabe!$F$14&gt;0,Eingabe!$E$14&gt;=190),Eingabe!$B$6&amp;"-"&amp;Eingabe!$C$14&amp;"-Pächter","")</f>
        <v/>
      </c>
      <c r="J1208" s="16" t="str">
        <f aca="false">IF(AND(Eingabe!$F$14&gt;0,Eingabe!$E$14&gt;=190),"PPSK: Passwort Parzelle 190","")</f>
        <v/>
      </c>
      <c r="K1208" s="16" t="str">
        <f aca="false">IF(AND(Eingabe!$F$14&gt;0,Eingabe!$E$14&gt;=190),"1. Gerät: 10."&amp;Eingabe!$D$14&amp;".190.10, 2. Gerät: .11","")</f>
        <v/>
      </c>
    </row>
    <row r="1209" customFormat="false" ht="15" hidden="false" customHeight="false" outlineLevel="0" collapsed="false">
      <c r="A1209" s="16" t="str">
        <f aca="false">IF(AND(Eingabe!$F$14&gt;0,Eingabe!$E$14&gt;=191),6,"")</f>
        <v/>
      </c>
      <c r="B1209" s="16" t="str">
        <f aca="false">IF(AND(Eingabe!$F$14&gt;0,Eingabe!$E$14&gt;=191),Eingabe!$B$14,"")</f>
        <v/>
      </c>
      <c r="C1209" s="16" t="str">
        <f aca="false">IF(AND(Eingabe!$F$14&gt;0,Eingabe!$E$14&gt;=191),Eingabe!$C$14&amp;"-Paz."&amp;TEXT(191,"000"),"")</f>
        <v/>
      </c>
      <c r="D1209" s="16" t="str">
        <f aca="false">IF(AND(Eingabe!$F$14&gt;0,Eingabe!$E$14&gt;=191),191,"")</f>
        <v/>
      </c>
      <c r="E1209" s="16" t="str">
        <f aca="false">IF(AND(Eingabe!$F$14&gt;0,Eingabe!$E$14&gt;=191),IF((Eingabe!$G$14+1)&lt;=9,1000+(Eingabe!$G$14+1)*100,3000)+91,"")</f>
        <v/>
      </c>
      <c r="F1209" s="16" t="str">
        <f aca="false">IF(AND(Eingabe!$F$14&gt;0,Eingabe!$E$14&gt;=191),"10."&amp;Eingabe!$D$14&amp;".191.0/24","")</f>
        <v/>
      </c>
      <c r="G1209" s="16" t="str">
        <f aca="false">IF(AND(Eingabe!$F$14&gt;0,Eingabe!$E$14&gt;=191),"10."&amp;Eingabe!$D$14&amp;".191.1","")</f>
        <v/>
      </c>
      <c r="H1209" s="16" t="str">
        <f aca="false">IF(AND(Eingabe!$F$14&gt;0,Eingabe!$E$14&gt;=191),"10."&amp;Eingabe!$D$14&amp;".191.10 – 10."&amp;Eingabe!$D$14&amp;".191.250","")</f>
        <v/>
      </c>
      <c r="I1209" s="16" t="str">
        <f aca="false">IF(AND(Eingabe!$F$14&gt;0,Eingabe!$E$14&gt;=191),Eingabe!$B$6&amp;"-"&amp;Eingabe!$C$14&amp;"-Pächter","")</f>
        <v/>
      </c>
      <c r="J1209" s="16" t="str">
        <f aca="false">IF(AND(Eingabe!$F$14&gt;0,Eingabe!$E$14&gt;=191),"PPSK: Passwort Parzelle 191","")</f>
        <v/>
      </c>
      <c r="K1209" s="16" t="str">
        <f aca="false">IF(AND(Eingabe!$F$14&gt;0,Eingabe!$E$14&gt;=191),"1. Gerät: 10."&amp;Eingabe!$D$14&amp;".191.10, 2. Gerät: .11","")</f>
        <v/>
      </c>
    </row>
    <row r="1210" customFormat="false" ht="15" hidden="false" customHeight="false" outlineLevel="0" collapsed="false">
      <c r="A1210" s="16" t="str">
        <f aca="false">IF(AND(Eingabe!$F$14&gt;0,Eingabe!$E$14&gt;=192),6,"")</f>
        <v/>
      </c>
      <c r="B1210" s="16" t="str">
        <f aca="false">IF(AND(Eingabe!$F$14&gt;0,Eingabe!$E$14&gt;=192),Eingabe!$B$14,"")</f>
        <v/>
      </c>
      <c r="C1210" s="16" t="str">
        <f aca="false">IF(AND(Eingabe!$F$14&gt;0,Eingabe!$E$14&gt;=192),Eingabe!$C$14&amp;"-Paz."&amp;TEXT(192,"000"),"")</f>
        <v/>
      </c>
      <c r="D1210" s="16" t="str">
        <f aca="false">IF(AND(Eingabe!$F$14&gt;0,Eingabe!$E$14&gt;=192),192,"")</f>
        <v/>
      </c>
      <c r="E1210" s="16" t="str">
        <f aca="false">IF(AND(Eingabe!$F$14&gt;0,Eingabe!$E$14&gt;=192),IF((Eingabe!$G$14+1)&lt;=9,1000+(Eingabe!$G$14+1)*100,3000)+92,"")</f>
        <v/>
      </c>
      <c r="F1210" s="16" t="str">
        <f aca="false">IF(AND(Eingabe!$F$14&gt;0,Eingabe!$E$14&gt;=192),"10."&amp;Eingabe!$D$14&amp;".192.0/24","")</f>
        <v/>
      </c>
      <c r="G1210" s="16" t="str">
        <f aca="false">IF(AND(Eingabe!$F$14&gt;0,Eingabe!$E$14&gt;=192),"10."&amp;Eingabe!$D$14&amp;".192.1","")</f>
        <v/>
      </c>
      <c r="H1210" s="16" t="str">
        <f aca="false">IF(AND(Eingabe!$F$14&gt;0,Eingabe!$E$14&gt;=192),"10."&amp;Eingabe!$D$14&amp;".192.10 – 10."&amp;Eingabe!$D$14&amp;".192.250","")</f>
        <v/>
      </c>
      <c r="I1210" s="16" t="str">
        <f aca="false">IF(AND(Eingabe!$F$14&gt;0,Eingabe!$E$14&gt;=192),Eingabe!$B$6&amp;"-"&amp;Eingabe!$C$14&amp;"-Pächter","")</f>
        <v/>
      </c>
      <c r="J1210" s="16" t="str">
        <f aca="false">IF(AND(Eingabe!$F$14&gt;0,Eingabe!$E$14&gt;=192),"PPSK: Passwort Parzelle 192","")</f>
        <v/>
      </c>
      <c r="K1210" s="16" t="str">
        <f aca="false">IF(AND(Eingabe!$F$14&gt;0,Eingabe!$E$14&gt;=192),"1. Gerät: 10."&amp;Eingabe!$D$14&amp;".192.10, 2. Gerät: .11","")</f>
        <v/>
      </c>
    </row>
    <row r="1211" customFormat="false" ht="15" hidden="false" customHeight="false" outlineLevel="0" collapsed="false">
      <c r="A1211" s="16" t="str">
        <f aca="false">IF(AND(Eingabe!$F$14&gt;0,Eingabe!$E$14&gt;=193),6,"")</f>
        <v/>
      </c>
      <c r="B1211" s="16" t="str">
        <f aca="false">IF(AND(Eingabe!$F$14&gt;0,Eingabe!$E$14&gt;=193),Eingabe!$B$14,"")</f>
        <v/>
      </c>
      <c r="C1211" s="16" t="str">
        <f aca="false">IF(AND(Eingabe!$F$14&gt;0,Eingabe!$E$14&gt;=193),Eingabe!$C$14&amp;"-Paz."&amp;TEXT(193,"000"),"")</f>
        <v/>
      </c>
      <c r="D1211" s="16" t="str">
        <f aca="false">IF(AND(Eingabe!$F$14&gt;0,Eingabe!$E$14&gt;=193),193,"")</f>
        <v/>
      </c>
      <c r="E1211" s="16" t="str">
        <f aca="false">IF(AND(Eingabe!$F$14&gt;0,Eingabe!$E$14&gt;=193),IF((Eingabe!$G$14+1)&lt;=9,1000+(Eingabe!$G$14+1)*100,3000)+93,"")</f>
        <v/>
      </c>
      <c r="F1211" s="16" t="str">
        <f aca="false">IF(AND(Eingabe!$F$14&gt;0,Eingabe!$E$14&gt;=193),"10."&amp;Eingabe!$D$14&amp;".193.0/24","")</f>
        <v/>
      </c>
      <c r="G1211" s="16" t="str">
        <f aca="false">IF(AND(Eingabe!$F$14&gt;0,Eingabe!$E$14&gt;=193),"10."&amp;Eingabe!$D$14&amp;".193.1","")</f>
        <v/>
      </c>
      <c r="H1211" s="16" t="str">
        <f aca="false">IF(AND(Eingabe!$F$14&gt;0,Eingabe!$E$14&gt;=193),"10."&amp;Eingabe!$D$14&amp;".193.10 – 10."&amp;Eingabe!$D$14&amp;".193.250","")</f>
        <v/>
      </c>
      <c r="I1211" s="16" t="str">
        <f aca="false">IF(AND(Eingabe!$F$14&gt;0,Eingabe!$E$14&gt;=193),Eingabe!$B$6&amp;"-"&amp;Eingabe!$C$14&amp;"-Pächter","")</f>
        <v/>
      </c>
      <c r="J1211" s="16" t="str">
        <f aca="false">IF(AND(Eingabe!$F$14&gt;0,Eingabe!$E$14&gt;=193),"PPSK: Passwort Parzelle 193","")</f>
        <v/>
      </c>
      <c r="K1211" s="16" t="str">
        <f aca="false">IF(AND(Eingabe!$F$14&gt;0,Eingabe!$E$14&gt;=193),"1. Gerät: 10."&amp;Eingabe!$D$14&amp;".193.10, 2. Gerät: .11","")</f>
        <v/>
      </c>
    </row>
    <row r="1212" customFormat="false" ht="15" hidden="false" customHeight="false" outlineLevel="0" collapsed="false">
      <c r="A1212" s="16" t="str">
        <f aca="false">IF(AND(Eingabe!$F$14&gt;0,Eingabe!$E$14&gt;=194),6,"")</f>
        <v/>
      </c>
      <c r="B1212" s="16" t="str">
        <f aca="false">IF(AND(Eingabe!$F$14&gt;0,Eingabe!$E$14&gt;=194),Eingabe!$B$14,"")</f>
        <v/>
      </c>
      <c r="C1212" s="16" t="str">
        <f aca="false">IF(AND(Eingabe!$F$14&gt;0,Eingabe!$E$14&gt;=194),Eingabe!$C$14&amp;"-Paz."&amp;TEXT(194,"000"),"")</f>
        <v/>
      </c>
      <c r="D1212" s="16" t="str">
        <f aca="false">IF(AND(Eingabe!$F$14&gt;0,Eingabe!$E$14&gt;=194),194,"")</f>
        <v/>
      </c>
      <c r="E1212" s="16" t="str">
        <f aca="false">IF(AND(Eingabe!$F$14&gt;0,Eingabe!$E$14&gt;=194),IF((Eingabe!$G$14+1)&lt;=9,1000+(Eingabe!$G$14+1)*100,3000)+94,"")</f>
        <v/>
      </c>
      <c r="F1212" s="16" t="str">
        <f aca="false">IF(AND(Eingabe!$F$14&gt;0,Eingabe!$E$14&gt;=194),"10."&amp;Eingabe!$D$14&amp;".194.0/24","")</f>
        <v/>
      </c>
      <c r="G1212" s="16" t="str">
        <f aca="false">IF(AND(Eingabe!$F$14&gt;0,Eingabe!$E$14&gt;=194),"10."&amp;Eingabe!$D$14&amp;".194.1","")</f>
        <v/>
      </c>
      <c r="H1212" s="16" t="str">
        <f aca="false">IF(AND(Eingabe!$F$14&gt;0,Eingabe!$E$14&gt;=194),"10."&amp;Eingabe!$D$14&amp;".194.10 – 10."&amp;Eingabe!$D$14&amp;".194.250","")</f>
        <v/>
      </c>
      <c r="I1212" s="16" t="str">
        <f aca="false">IF(AND(Eingabe!$F$14&gt;0,Eingabe!$E$14&gt;=194),Eingabe!$B$6&amp;"-"&amp;Eingabe!$C$14&amp;"-Pächter","")</f>
        <v/>
      </c>
      <c r="J1212" s="16" t="str">
        <f aca="false">IF(AND(Eingabe!$F$14&gt;0,Eingabe!$E$14&gt;=194),"PPSK: Passwort Parzelle 194","")</f>
        <v/>
      </c>
      <c r="K1212" s="16" t="str">
        <f aca="false">IF(AND(Eingabe!$F$14&gt;0,Eingabe!$E$14&gt;=194),"1. Gerät: 10."&amp;Eingabe!$D$14&amp;".194.10, 2. Gerät: .11","")</f>
        <v/>
      </c>
    </row>
    <row r="1213" customFormat="false" ht="15" hidden="false" customHeight="false" outlineLevel="0" collapsed="false">
      <c r="A1213" s="16" t="str">
        <f aca="false">IF(AND(Eingabe!$F$14&gt;0,Eingabe!$E$14&gt;=195),6,"")</f>
        <v/>
      </c>
      <c r="B1213" s="16" t="str">
        <f aca="false">IF(AND(Eingabe!$F$14&gt;0,Eingabe!$E$14&gt;=195),Eingabe!$B$14,"")</f>
        <v/>
      </c>
      <c r="C1213" s="16" t="str">
        <f aca="false">IF(AND(Eingabe!$F$14&gt;0,Eingabe!$E$14&gt;=195),Eingabe!$C$14&amp;"-Paz."&amp;TEXT(195,"000"),"")</f>
        <v/>
      </c>
      <c r="D1213" s="16" t="str">
        <f aca="false">IF(AND(Eingabe!$F$14&gt;0,Eingabe!$E$14&gt;=195),195,"")</f>
        <v/>
      </c>
      <c r="E1213" s="16" t="str">
        <f aca="false">IF(AND(Eingabe!$F$14&gt;0,Eingabe!$E$14&gt;=195),IF((Eingabe!$G$14+1)&lt;=9,1000+(Eingabe!$G$14+1)*100,3000)+95,"")</f>
        <v/>
      </c>
      <c r="F1213" s="16" t="str">
        <f aca="false">IF(AND(Eingabe!$F$14&gt;0,Eingabe!$E$14&gt;=195),"10."&amp;Eingabe!$D$14&amp;".195.0/24","")</f>
        <v/>
      </c>
      <c r="G1213" s="16" t="str">
        <f aca="false">IF(AND(Eingabe!$F$14&gt;0,Eingabe!$E$14&gt;=195),"10."&amp;Eingabe!$D$14&amp;".195.1","")</f>
        <v/>
      </c>
      <c r="H1213" s="16" t="str">
        <f aca="false">IF(AND(Eingabe!$F$14&gt;0,Eingabe!$E$14&gt;=195),"10."&amp;Eingabe!$D$14&amp;".195.10 – 10."&amp;Eingabe!$D$14&amp;".195.250","")</f>
        <v/>
      </c>
      <c r="I1213" s="16" t="str">
        <f aca="false">IF(AND(Eingabe!$F$14&gt;0,Eingabe!$E$14&gt;=195),Eingabe!$B$6&amp;"-"&amp;Eingabe!$C$14&amp;"-Pächter","")</f>
        <v/>
      </c>
      <c r="J1213" s="16" t="str">
        <f aca="false">IF(AND(Eingabe!$F$14&gt;0,Eingabe!$E$14&gt;=195),"PPSK: Passwort Parzelle 195","")</f>
        <v/>
      </c>
      <c r="K1213" s="16" t="str">
        <f aca="false">IF(AND(Eingabe!$F$14&gt;0,Eingabe!$E$14&gt;=195),"1. Gerät: 10."&amp;Eingabe!$D$14&amp;".195.10, 2. Gerät: .11","")</f>
        <v/>
      </c>
    </row>
    <row r="1214" customFormat="false" ht="15" hidden="false" customHeight="false" outlineLevel="0" collapsed="false">
      <c r="A1214" s="16" t="str">
        <f aca="false">IF(AND(Eingabe!$F$14&gt;0,Eingabe!$E$14&gt;=196),6,"")</f>
        <v/>
      </c>
      <c r="B1214" s="16" t="str">
        <f aca="false">IF(AND(Eingabe!$F$14&gt;0,Eingabe!$E$14&gt;=196),Eingabe!$B$14,"")</f>
        <v/>
      </c>
      <c r="C1214" s="16" t="str">
        <f aca="false">IF(AND(Eingabe!$F$14&gt;0,Eingabe!$E$14&gt;=196),Eingabe!$C$14&amp;"-Paz."&amp;TEXT(196,"000"),"")</f>
        <v/>
      </c>
      <c r="D1214" s="16" t="str">
        <f aca="false">IF(AND(Eingabe!$F$14&gt;0,Eingabe!$E$14&gt;=196),196,"")</f>
        <v/>
      </c>
      <c r="E1214" s="16" t="str">
        <f aca="false">IF(AND(Eingabe!$F$14&gt;0,Eingabe!$E$14&gt;=196),IF((Eingabe!$G$14+1)&lt;=9,1000+(Eingabe!$G$14+1)*100,3000)+96,"")</f>
        <v/>
      </c>
      <c r="F1214" s="16" t="str">
        <f aca="false">IF(AND(Eingabe!$F$14&gt;0,Eingabe!$E$14&gt;=196),"10."&amp;Eingabe!$D$14&amp;".196.0/24","")</f>
        <v/>
      </c>
      <c r="G1214" s="16" t="str">
        <f aca="false">IF(AND(Eingabe!$F$14&gt;0,Eingabe!$E$14&gt;=196),"10."&amp;Eingabe!$D$14&amp;".196.1","")</f>
        <v/>
      </c>
      <c r="H1214" s="16" t="str">
        <f aca="false">IF(AND(Eingabe!$F$14&gt;0,Eingabe!$E$14&gt;=196),"10."&amp;Eingabe!$D$14&amp;".196.10 – 10."&amp;Eingabe!$D$14&amp;".196.250","")</f>
        <v/>
      </c>
      <c r="I1214" s="16" t="str">
        <f aca="false">IF(AND(Eingabe!$F$14&gt;0,Eingabe!$E$14&gt;=196),Eingabe!$B$6&amp;"-"&amp;Eingabe!$C$14&amp;"-Pächter","")</f>
        <v/>
      </c>
      <c r="J1214" s="16" t="str">
        <f aca="false">IF(AND(Eingabe!$F$14&gt;0,Eingabe!$E$14&gt;=196),"PPSK: Passwort Parzelle 196","")</f>
        <v/>
      </c>
      <c r="K1214" s="16" t="str">
        <f aca="false">IF(AND(Eingabe!$F$14&gt;0,Eingabe!$E$14&gt;=196),"1. Gerät: 10."&amp;Eingabe!$D$14&amp;".196.10, 2. Gerät: .11","")</f>
        <v/>
      </c>
    </row>
    <row r="1215" customFormat="false" ht="15" hidden="false" customHeight="false" outlineLevel="0" collapsed="false">
      <c r="A1215" s="16" t="str">
        <f aca="false">IF(AND(Eingabe!$F$14&gt;0,Eingabe!$E$14&gt;=197),6,"")</f>
        <v/>
      </c>
      <c r="B1215" s="16" t="str">
        <f aca="false">IF(AND(Eingabe!$F$14&gt;0,Eingabe!$E$14&gt;=197),Eingabe!$B$14,"")</f>
        <v/>
      </c>
      <c r="C1215" s="16" t="str">
        <f aca="false">IF(AND(Eingabe!$F$14&gt;0,Eingabe!$E$14&gt;=197),Eingabe!$C$14&amp;"-Paz."&amp;TEXT(197,"000"),"")</f>
        <v/>
      </c>
      <c r="D1215" s="16" t="str">
        <f aca="false">IF(AND(Eingabe!$F$14&gt;0,Eingabe!$E$14&gt;=197),197,"")</f>
        <v/>
      </c>
      <c r="E1215" s="16" t="str">
        <f aca="false">IF(AND(Eingabe!$F$14&gt;0,Eingabe!$E$14&gt;=197),IF((Eingabe!$G$14+1)&lt;=9,1000+(Eingabe!$G$14+1)*100,3000)+97,"")</f>
        <v/>
      </c>
      <c r="F1215" s="16" t="str">
        <f aca="false">IF(AND(Eingabe!$F$14&gt;0,Eingabe!$E$14&gt;=197),"10."&amp;Eingabe!$D$14&amp;".197.0/24","")</f>
        <v/>
      </c>
      <c r="G1215" s="16" t="str">
        <f aca="false">IF(AND(Eingabe!$F$14&gt;0,Eingabe!$E$14&gt;=197),"10."&amp;Eingabe!$D$14&amp;".197.1","")</f>
        <v/>
      </c>
      <c r="H1215" s="16" t="str">
        <f aca="false">IF(AND(Eingabe!$F$14&gt;0,Eingabe!$E$14&gt;=197),"10."&amp;Eingabe!$D$14&amp;".197.10 – 10."&amp;Eingabe!$D$14&amp;".197.250","")</f>
        <v/>
      </c>
      <c r="I1215" s="16" t="str">
        <f aca="false">IF(AND(Eingabe!$F$14&gt;0,Eingabe!$E$14&gt;=197),Eingabe!$B$6&amp;"-"&amp;Eingabe!$C$14&amp;"-Pächter","")</f>
        <v/>
      </c>
      <c r="J1215" s="16" t="str">
        <f aca="false">IF(AND(Eingabe!$F$14&gt;0,Eingabe!$E$14&gt;=197),"PPSK: Passwort Parzelle 197","")</f>
        <v/>
      </c>
      <c r="K1215" s="16" t="str">
        <f aca="false">IF(AND(Eingabe!$F$14&gt;0,Eingabe!$E$14&gt;=197),"1. Gerät: 10."&amp;Eingabe!$D$14&amp;".197.10, 2. Gerät: .11","")</f>
        <v/>
      </c>
    </row>
    <row r="1216" customFormat="false" ht="15" hidden="false" customHeight="false" outlineLevel="0" collapsed="false">
      <c r="A1216" s="16" t="str">
        <f aca="false">IF(AND(Eingabe!$F$14&gt;0,Eingabe!$E$14&gt;=198),6,"")</f>
        <v/>
      </c>
      <c r="B1216" s="16" t="str">
        <f aca="false">IF(AND(Eingabe!$F$14&gt;0,Eingabe!$E$14&gt;=198),Eingabe!$B$14,"")</f>
        <v/>
      </c>
      <c r="C1216" s="16" t="str">
        <f aca="false">IF(AND(Eingabe!$F$14&gt;0,Eingabe!$E$14&gt;=198),Eingabe!$C$14&amp;"-Paz."&amp;TEXT(198,"000"),"")</f>
        <v/>
      </c>
      <c r="D1216" s="16" t="str">
        <f aca="false">IF(AND(Eingabe!$F$14&gt;0,Eingabe!$E$14&gt;=198),198,"")</f>
        <v/>
      </c>
      <c r="E1216" s="16" t="str">
        <f aca="false">IF(AND(Eingabe!$F$14&gt;0,Eingabe!$E$14&gt;=198),IF((Eingabe!$G$14+1)&lt;=9,1000+(Eingabe!$G$14+1)*100,3000)+98,"")</f>
        <v/>
      </c>
      <c r="F1216" s="16" t="str">
        <f aca="false">IF(AND(Eingabe!$F$14&gt;0,Eingabe!$E$14&gt;=198),"10."&amp;Eingabe!$D$14&amp;".198.0/24","")</f>
        <v/>
      </c>
      <c r="G1216" s="16" t="str">
        <f aca="false">IF(AND(Eingabe!$F$14&gt;0,Eingabe!$E$14&gt;=198),"10."&amp;Eingabe!$D$14&amp;".198.1","")</f>
        <v/>
      </c>
      <c r="H1216" s="16" t="str">
        <f aca="false">IF(AND(Eingabe!$F$14&gt;0,Eingabe!$E$14&gt;=198),"10."&amp;Eingabe!$D$14&amp;".198.10 – 10."&amp;Eingabe!$D$14&amp;".198.250","")</f>
        <v/>
      </c>
      <c r="I1216" s="16" t="str">
        <f aca="false">IF(AND(Eingabe!$F$14&gt;0,Eingabe!$E$14&gt;=198),Eingabe!$B$6&amp;"-"&amp;Eingabe!$C$14&amp;"-Pächter","")</f>
        <v/>
      </c>
      <c r="J1216" s="16" t="str">
        <f aca="false">IF(AND(Eingabe!$F$14&gt;0,Eingabe!$E$14&gt;=198),"PPSK: Passwort Parzelle 198","")</f>
        <v/>
      </c>
      <c r="K1216" s="16" t="str">
        <f aca="false">IF(AND(Eingabe!$F$14&gt;0,Eingabe!$E$14&gt;=198),"1. Gerät: 10."&amp;Eingabe!$D$14&amp;".198.10, 2. Gerät: .11","")</f>
        <v/>
      </c>
    </row>
    <row r="1217" customFormat="false" ht="15" hidden="false" customHeight="false" outlineLevel="0" collapsed="false">
      <c r="A1217" s="16" t="str">
        <f aca="false">IF(AND(Eingabe!$F$14&gt;0,Eingabe!$E$14&gt;=199),6,"")</f>
        <v/>
      </c>
      <c r="B1217" s="16" t="str">
        <f aca="false">IF(AND(Eingabe!$F$14&gt;0,Eingabe!$E$14&gt;=199),Eingabe!$B$14,"")</f>
        <v/>
      </c>
      <c r="C1217" s="16" t="str">
        <f aca="false">IF(AND(Eingabe!$F$14&gt;0,Eingabe!$E$14&gt;=199),Eingabe!$C$14&amp;"-Paz."&amp;TEXT(199,"000"),"")</f>
        <v/>
      </c>
      <c r="D1217" s="16" t="str">
        <f aca="false">IF(AND(Eingabe!$F$14&gt;0,Eingabe!$E$14&gt;=199),199,"")</f>
        <v/>
      </c>
      <c r="E1217" s="16" t="str">
        <f aca="false">IF(AND(Eingabe!$F$14&gt;0,Eingabe!$E$14&gt;=199),IF((Eingabe!$G$14+1)&lt;=9,1000+(Eingabe!$G$14+1)*100,3000)+99,"")</f>
        <v/>
      </c>
      <c r="F1217" s="16" t="str">
        <f aca="false">IF(AND(Eingabe!$F$14&gt;0,Eingabe!$E$14&gt;=199),"10."&amp;Eingabe!$D$14&amp;".199.0/24","")</f>
        <v/>
      </c>
      <c r="G1217" s="16" t="str">
        <f aca="false">IF(AND(Eingabe!$F$14&gt;0,Eingabe!$E$14&gt;=199),"10."&amp;Eingabe!$D$14&amp;".199.1","")</f>
        <v/>
      </c>
      <c r="H1217" s="16" t="str">
        <f aca="false">IF(AND(Eingabe!$F$14&gt;0,Eingabe!$E$14&gt;=199),"10."&amp;Eingabe!$D$14&amp;".199.10 – 10."&amp;Eingabe!$D$14&amp;".199.250","")</f>
        <v/>
      </c>
      <c r="I1217" s="16" t="str">
        <f aca="false">IF(AND(Eingabe!$F$14&gt;0,Eingabe!$E$14&gt;=199),Eingabe!$B$6&amp;"-"&amp;Eingabe!$C$14&amp;"-Pächter","")</f>
        <v/>
      </c>
      <c r="J1217" s="16" t="str">
        <f aca="false">IF(AND(Eingabe!$F$14&gt;0,Eingabe!$E$14&gt;=199),"PPSK: Passwort Parzelle 199","")</f>
        <v/>
      </c>
      <c r="K1217" s="16" t="str">
        <f aca="false">IF(AND(Eingabe!$F$14&gt;0,Eingabe!$E$14&gt;=199),"1. Gerät: 10."&amp;Eingabe!$D$14&amp;".199.10, 2. Gerät: .11","")</f>
        <v/>
      </c>
    </row>
    <row r="1218" customFormat="false" ht="15" hidden="false" customHeight="false" outlineLevel="0" collapsed="false">
      <c r="A1218" s="17" t="str">
        <f aca="false">IF(Eingabe!$F$15&gt;0,7,"")</f>
        <v/>
      </c>
      <c r="B1218" s="17" t="str">
        <f aca="false">IF(Eingabe!$F$15&gt;0,Eingabe!$B$15,"")</f>
        <v/>
      </c>
      <c r="C1218" s="17" t="str">
        <f aca="false">IF(Eingabe!$F$15&gt;0,Eingabe!$C$15&amp;"-Vorstand","")</f>
        <v/>
      </c>
      <c r="D1218" s="17"/>
      <c r="E1218" s="17" t="str">
        <f aca="false">IF(Eingabe!$F$15&gt;0,2000+Eingabe!$G$15*10+1,"")</f>
        <v/>
      </c>
      <c r="F1218" s="17" t="str">
        <f aca="false">IF(Eingabe!$F$15&gt;0,"10."&amp;Eingabe!$D$15&amp;".200.0/24","")</f>
        <v/>
      </c>
      <c r="G1218" s="17" t="str">
        <f aca="false">IF(Eingabe!$F$15&gt;0,"10."&amp;Eingabe!$D$15&amp;".200.1","")</f>
        <v/>
      </c>
      <c r="H1218" s="17" t="str">
        <f aca="false">IF(Eingabe!$F$15&gt;0,"10."&amp;Eingabe!$D$15&amp;".200.10 – "&amp;"10."&amp;Eingabe!$D$15&amp;".200.250","")</f>
        <v/>
      </c>
      <c r="I1218" s="17" t="str">
        <f aca="false">IF(Eingabe!$F$15&gt;0,Eingabe!$B$6&amp;"-"&amp;Eingabe!$C$15&amp;"-Vorstand","")</f>
        <v/>
      </c>
      <c r="J1218" s="17" t="str">
        <f aca="false">IF(Eingabe!$F$15&gt;0,"eigenes WLAN Vorstand","")</f>
        <v/>
      </c>
      <c r="K1218" s="17" t="str">
        <f aca="false">IF(Eingabe!$F$15&gt;0,"Vorstand-Laptop: "&amp;"10."&amp;Eingabe!$D$15&amp;".200.10","")</f>
        <v/>
      </c>
    </row>
    <row r="1219" customFormat="false" ht="15" hidden="false" customHeight="false" outlineLevel="0" collapsed="false">
      <c r="A1219" s="17" t="str">
        <f aca="false">IF(Eingabe!$F$15&gt;0,7,"")</f>
        <v/>
      </c>
      <c r="B1219" s="17" t="str">
        <f aca="false">IF(Eingabe!$F$15&gt;0,Eingabe!$B$15,"")</f>
        <v/>
      </c>
      <c r="C1219" s="17" t="str">
        <f aca="false">IF(Eingabe!$F$15&gt;0,Eingabe!$C$15&amp;"-Gäste","")</f>
        <v/>
      </c>
      <c r="D1219" s="17"/>
      <c r="E1219" s="17" t="str">
        <f aca="false">IF(Eingabe!$F$15&gt;0,2000+Eingabe!$G$15*10+2,"")</f>
        <v/>
      </c>
      <c r="F1219" s="17" t="str">
        <f aca="false">IF(Eingabe!$F$15&gt;0,"10."&amp;Eingabe!$D$15&amp;".201.0/24","")</f>
        <v/>
      </c>
      <c r="G1219" s="17" t="str">
        <f aca="false">IF(Eingabe!$F$15&gt;0,"10."&amp;Eingabe!$D$15&amp;".201.1","")</f>
        <v/>
      </c>
      <c r="H1219" s="17" t="str">
        <f aca="false">IF(Eingabe!$F$15&gt;0,"10."&amp;Eingabe!$D$15&amp;".201.10 – "&amp;"10."&amp;Eingabe!$D$15&amp;".201.250","")</f>
        <v/>
      </c>
      <c r="I1219" s="17" t="str">
        <f aca="false">IF(Eingabe!$F$15&gt;0,Eingabe!$B$6&amp;"-"&amp;Eingabe!$C$15&amp;"-Gäste","")</f>
        <v/>
      </c>
      <c r="J1219" s="17" t="str">
        <f aca="false">IF(Eingabe!$F$15&gt;0,"Voucher-Portal, isoliert","")</f>
        <v/>
      </c>
      <c r="K1219" s="17" t="str">
        <f aca="false">IF(Eingabe!$F$15&gt;0,"Gast-Handy: "&amp;"10."&amp;Eingabe!$D$15&amp;".201.10","")</f>
        <v/>
      </c>
    </row>
    <row r="1220" customFormat="false" ht="15" hidden="false" customHeight="false" outlineLevel="0" collapsed="false">
      <c r="A1220" s="17" t="str">
        <f aca="false">IF(Eingabe!$F$15&gt;0,7,"")</f>
        <v/>
      </c>
      <c r="B1220" s="17" t="str">
        <f aca="false">IF(Eingabe!$F$15&gt;0,Eingabe!$B$15,"")</f>
        <v/>
      </c>
      <c r="C1220" s="17" t="str">
        <f aca="false">IF(Eingabe!$F$15&gt;0,Eingabe!$C$15&amp;"-Technik","")</f>
        <v/>
      </c>
      <c r="D1220" s="17"/>
      <c r="E1220" s="17" t="str">
        <f aca="false">IF(Eingabe!$F$15&gt;0,2000+Eingabe!$G$15*10+9,"")</f>
        <v/>
      </c>
      <c r="F1220" s="17" t="str">
        <f aca="false">IF(Eingabe!$F$15&gt;0,"10."&amp;Eingabe!$D$15&amp;".250.0/24","")</f>
        <v/>
      </c>
      <c r="G1220" s="17" t="str">
        <f aca="false">IF(Eingabe!$F$15&gt;0,"10."&amp;Eingabe!$D$15&amp;".250.1","")</f>
        <v/>
      </c>
      <c r="H1220" s="17" t="str">
        <f aca="false">IF(Eingabe!$F$15&gt;0,"10."&amp;Eingabe!$D$15&amp;".250.10 – "&amp;"10."&amp;Eingabe!$D$15&amp;".250.250","")</f>
        <v/>
      </c>
      <c r="I1220" s="17" t="str">
        <f aca="false">IF(Eingabe!$F$15&gt;0,"–","")</f>
        <v/>
      </c>
      <c r="J1220" s="17" t="str">
        <f aca="false">IF(Eingabe!$F$15&gt;0,"Mast-Switches und Access Points","")</f>
        <v/>
      </c>
      <c r="K1220" s="17" t="str">
        <f aca="false">IF(Eingabe!$F$15&gt;0,"Access Point 1: "&amp;"10."&amp;Eingabe!$D$15&amp;".250.51","")</f>
        <v/>
      </c>
    </row>
    <row r="1221" customFormat="false" ht="15" hidden="false" customHeight="false" outlineLevel="0" collapsed="false">
      <c r="A1221" s="17" t="str">
        <f aca="false">IF(AND(Eingabe!$F$15&gt;0,Eingabe!$E$15&gt;=1),7,"")</f>
        <v/>
      </c>
      <c r="B1221" s="17" t="str">
        <f aca="false">IF(AND(Eingabe!$F$15&gt;0,Eingabe!$E$15&gt;=1),Eingabe!$B$15,"")</f>
        <v/>
      </c>
      <c r="C1221" s="17" t="str">
        <f aca="false">IF(AND(Eingabe!$F$15&gt;0,Eingabe!$E$15&gt;=1),Eingabe!$C$15&amp;"-Paz."&amp;TEXT(1,"000"),"")</f>
        <v/>
      </c>
      <c r="D1221" s="17" t="str">
        <f aca="false">IF(AND(Eingabe!$F$15&gt;0,Eingabe!$E$15&gt;=1),1,"")</f>
        <v/>
      </c>
      <c r="E1221" s="17" t="str">
        <f aca="false">IF(AND(Eingabe!$F$15&gt;0,Eingabe!$E$15&gt;=1),IF((Eingabe!$G$15)&lt;=9,1000+(Eingabe!$G$15)*100,3000)+1,"")</f>
        <v/>
      </c>
      <c r="F1221" s="17" t="str">
        <f aca="false">IF(AND(Eingabe!$F$15&gt;0,Eingabe!$E$15&gt;=1),"10."&amp;Eingabe!$D$15&amp;".1.0/24","")</f>
        <v/>
      </c>
      <c r="G1221" s="17" t="str">
        <f aca="false">IF(AND(Eingabe!$F$15&gt;0,Eingabe!$E$15&gt;=1),"10."&amp;Eingabe!$D$15&amp;".1.1","")</f>
        <v/>
      </c>
      <c r="H1221" s="17" t="str">
        <f aca="false">IF(AND(Eingabe!$F$15&gt;0,Eingabe!$E$15&gt;=1),"10."&amp;Eingabe!$D$15&amp;".1.10 – 10."&amp;Eingabe!$D$15&amp;".1.250","")</f>
        <v/>
      </c>
      <c r="I1221" s="17" t="str">
        <f aca="false">IF(AND(Eingabe!$F$15&gt;0,Eingabe!$E$15&gt;=1),Eingabe!$B$6&amp;"-"&amp;Eingabe!$C$15&amp;"-Pächter","")</f>
        <v/>
      </c>
      <c r="J1221" s="17" t="str">
        <f aca="false">IF(AND(Eingabe!$F$15&gt;0,Eingabe!$E$15&gt;=1),"PPSK: Passwort Parzelle 1","")</f>
        <v/>
      </c>
      <c r="K1221" s="17" t="str">
        <f aca="false">IF(AND(Eingabe!$F$15&gt;0,Eingabe!$E$15&gt;=1),"1. Gerät: 10."&amp;Eingabe!$D$15&amp;".1.10, 2. Gerät: .11","")</f>
        <v/>
      </c>
    </row>
    <row r="1222" customFormat="false" ht="15" hidden="false" customHeight="false" outlineLevel="0" collapsed="false">
      <c r="A1222" s="17" t="str">
        <f aca="false">IF(AND(Eingabe!$F$15&gt;0,Eingabe!$E$15&gt;=2),7,"")</f>
        <v/>
      </c>
      <c r="B1222" s="17" t="str">
        <f aca="false">IF(AND(Eingabe!$F$15&gt;0,Eingabe!$E$15&gt;=2),Eingabe!$B$15,"")</f>
        <v/>
      </c>
      <c r="C1222" s="17" t="str">
        <f aca="false">IF(AND(Eingabe!$F$15&gt;0,Eingabe!$E$15&gt;=2),Eingabe!$C$15&amp;"-Paz."&amp;TEXT(2,"000"),"")</f>
        <v/>
      </c>
      <c r="D1222" s="17" t="str">
        <f aca="false">IF(AND(Eingabe!$F$15&gt;0,Eingabe!$E$15&gt;=2),2,"")</f>
        <v/>
      </c>
      <c r="E1222" s="17" t="str">
        <f aca="false">IF(AND(Eingabe!$F$15&gt;0,Eingabe!$E$15&gt;=2),IF((Eingabe!$G$15)&lt;=9,1000+(Eingabe!$G$15)*100,3000)+2,"")</f>
        <v/>
      </c>
      <c r="F1222" s="17" t="str">
        <f aca="false">IF(AND(Eingabe!$F$15&gt;0,Eingabe!$E$15&gt;=2),"10."&amp;Eingabe!$D$15&amp;".2.0/24","")</f>
        <v/>
      </c>
      <c r="G1222" s="17" t="str">
        <f aca="false">IF(AND(Eingabe!$F$15&gt;0,Eingabe!$E$15&gt;=2),"10."&amp;Eingabe!$D$15&amp;".2.1","")</f>
        <v/>
      </c>
      <c r="H1222" s="17" t="str">
        <f aca="false">IF(AND(Eingabe!$F$15&gt;0,Eingabe!$E$15&gt;=2),"10."&amp;Eingabe!$D$15&amp;".2.10 – 10."&amp;Eingabe!$D$15&amp;".2.250","")</f>
        <v/>
      </c>
      <c r="I1222" s="17" t="str">
        <f aca="false">IF(AND(Eingabe!$F$15&gt;0,Eingabe!$E$15&gt;=2),Eingabe!$B$6&amp;"-"&amp;Eingabe!$C$15&amp;"-Pächter","")</f>
        <v/>
      </c>
      <c r="J1222" s="17" t="str">
        <f aca="false">IF(AND(Eingabe!$F$15&gt;0,Eingabe!$E$15&gt;=2),"PPSK: Passwort Parzelle 2","")</f>
        <v/>
      </c>
      <c r="K1222" s="17" t="str">
        <f aca="false">IF(AND(Eingabe!$F$15&gt;0,Eingabe!$E$15&gt;=2),"1. Gerät: 10."&amp;Eingabe!$D$15&amp;".2.10, 2. Gerät: .11","")</f>
        <v/>
      </c>
    </row>
    <row r="1223" customFormat="false" ht="15" hidden="false" customHeight="false" outlineLevel="0" collapsed="false">
      <c r="A1223" s="17" t="str">
        <f aca="false">IF(AND(Eingabe!$F$15&gt;0,Eingabe!$E$15&gt;=3),7,"")</f>
        <v/>
      </c>
      <c r="B1223" s="17" t="str">
        <f aca="false">IF(AND(Eingabe!$F$15&gt;0,Eingabe!$E$15&gt;=3),Eingabe!$B$15,"")</f>
        <v/>
      </c>
      <c r="C1223" s="17" t="str">
        <f aca="false">IF(AND(Eingabe!$F$15&gt;0,Eingabe!$E$15&gt;=3),Eingabe!$C$15&amp;"-Paz."&amp;TEXT(3,"000"),"")</f>
        <v/>
      </c>
      <c r="D1223" s="17" t="str">
        <f aca="false">IF(AND(Eingabe!$F$15&gt;0,Eingabe!$E$15&gt;=3),3,"")</f>
        <v/>
      </c>
      <c r="E1223" s="17" t="str">
        <f aca="false">IF(AND(Eingabe!$F$15&gt;0,Eingabe!$E$15&gt;=3),IF((Eingabe!$G$15)&lt;=9,1000+(Eingabe!$G$15)*100,3000)+3,"")</f>
        <v/>
      </c>
      <c r="F1223" s="17" t="str">
        <f aca="false">IF(AND(Eingabe!$F$15&gt;0,Eingabe!$E$15&gt;=3),"10."&amp;Eingabe!$D$15&amp;".3.0/24","")</f>
        <v/>
      </c>
      <c r="G1223" s="17" t="str">
        <f aca="false">IF(AND(Eingabe!$F$15&gt;0,Eingabe!$E$15&gt;=3),"10."&amp;Eingabe!$D$15&amp;".3.1","")</f>
        <v/>
      </c>
      <c r="H1223" s="17" t="str">
        <f aca="false">IF(AND(Eingabe!$F$15&gt;0,Eingabe!$E$15&gt;=3),"10."&amp;Eingabe!$D$15&amp;".3.10 – 10."&amp;Eingabe!$D$15&amp;".3.250","")</f>
        <v/>
      </c>
      <c r="I1223" s="17" t="str">
        <f aca="false">IF(AND(Eingabe!$F$15&gt;0,Eingabe!$E$15&gt;=3),Eingabe!$B$6&amp;"-"&amp;Eingabe!$C$15&amp;"-Pächter","")</f>
        <v/>
      </c>
      <c r="J1223" s="17" t="str">
        <f aca="false">IF(AND(Eingabe!$F$15&gt;0,Eingabe!$E$15&gt;=3),"PPSK: Passwort Parzelle 3","")</f>
        <v/>
      </c>
      <c r="K1223" s="17" t="str">
        <f aca="false">IF(AND(Eingabe!$F$15&gt;0,Eingabe!$E$15&gt;=3),"1. Gerät: 10."&amp;Eingabe!$D$15&amp;".3.10, 2. Gerät: .11","")</f>
        <v/>
      </c>
    </row>
    <row r="1224" customFormat="false" ht="15" hidden="false" customHeight="false" outlineLevel="0" collapsed="false">
      <c r="A1224" s="17" t="str">
        <f aca="false">IF(AND(Eingabe!$F$15&gt;0,Eingabe!$E$15&gt;=4),7,"")</f>
        <v/>
      </c>
      <c r="B1224" s="17" t="str">
        <f aca="false">IF(AND(Eingabe!$F$15&gt;0,Eingabe!$E$15&gt;=4),Eingabe!$B$15,"")</f>
        <v/>
      </c>
      <c r="C1224" s="17" t="str">
        <f aca="false">IF(AND(Eingabe!$F$15&gt;0,Eingabe!$E$15&gt;=4),Eingabe!$C$15&amp;"-Paz."&amp;TEXT(4,"000"),"")</f>
        <v/>
      </c>
      <c r="D1224" s="17" t="str">
        <f aca="false">IF(AND(Eingabe!$F$15&gt;0,Eingabe!$E$15&gt;=4),4,"")</f>
        <v/>
      </c>
      <c r="E1224" s="17" t="str">
        <f aca="false">IF(AND(Eingabe!$F$15&gt;0,Eingabe!$E$15&gt;=4),IF((Eingabe!$G$15)&lt;=9,1000+(Eingabe!$G$15)*100,3000)+4,"")</f>
        <v/>
      </c>
      <c r="F1224" s="17" t="str">
        <f aca="false">IF(AND(Eingabe!$F$15&gt;0,Eingabe!$E$15&gt;=4),"10."&amp;Eingabe!$D$15&amp;".4.0/24","")</f>
        <v/>
      </c>
      <c r="G1224" s="17" t="str">
        <f aca="false">IF(AND(Eingabe!$F$15&gt;0,Eingabe!$E$15&gt;=4),"10."&amp;Eingabe!$D$15&amp;".4.1","")</f>
        <v/>
      </c>
      <c r="H1224" s="17" t="str">
        <f aca="false">IF(AND(Eingabe!$F$15&gt;0,Eingabe!$E$15&gt;=4),"10."&amp;Eingabe!$D$15&amp;".4.10 – 10."&amp;Eingabe!$D$15&amp;".4.250","")</f>
        <v/>
      </c>
      <c r="I1224" s="17" t="str">
        <f aca="false">IF(AND(Eingabe!$F$15&gt;0,Eingabe!$E$15&gt;=4),Eingabe!$B$6&amp;"-"&amp;Eingabe!$C$15&amp;"-Pächter","")</f>
        <v/>
      </c>
      <c r="J1224" s="17" t="str">
        <f aca="false">IF(AND(Eingabe!$F$15&gt;0,Eingabe!$E$15&gt;=4),"PPSK: Passwort Parzelle 4","")</f>
        <v/>
      </c>
      <c r="K1224" s="17" t="str">
        <f aca="false">IF(AND(Eingabe!$F$15&gt;0,Eingabe!$E$15&gt;=4),"1. Gerät: 10."&amp;Eingabe!$D$15&amp;".4.10, 2. Gerät: .11","")</f>
        <v/>
      </c>
    </row>
    <row r="1225" customFormat="false" ht="15" hidden="false" customHeight="false" outlineLevel="0" collapsed="false">
      <c r="A1225" s="17" t="str">
        <f aca="false">IF(AND(Eingabe!$F$15&gt;0,Eingabe!$E$15&gt;=5),7,"")</f>
        <v/>
      </c>
      <c r="B1225" s="17" t="str">
        <f aca="false">IF(AND(Eingabe!$F$15&gt;0,Eingabe!$E$15&gt;=5),Eingabe!$B$15,"")</f>
        <v/>
      </c>
      <c r="C1225" s="17" t="str">
        <f aca="false">IF(AND(Eingabe!$F$15&gt;0,Eingabe!$E$15&gt;=5),Eingabe!$C$15&amp;"-Paz."&amp;TEXT(5,"000"),"")</f>
        <v/>
      </c>
      <c r="D1225" s="17" t="str">
        <f aca="false">IF(AND(Eingabe!$F$15&gt;0,Eingabe!$E$15&gt;=5),5,"")</f>
        <v/>
      </c>
      <c r="E1225" s="17" t="str">
        <f aca="false">IF(AND(Eingabe!$F$15&gt;0,Eingabe!$E$15&gt;=5),IF((Eingabe!$G$15)&lt;=9,1000+(Eingabe!$G$15)*100,3000)+5,"")</f>
        <v/>
      </c>
      <c r="F1225" s="17" t="str">
        <f aca="false">IF(AND(Eingabe!$F$15&gt;0,Eingabe!$E$15&gt;=5),"10."&amp;Eingabe!$D$15&amp;".5.0/24","")</f>
        <v/>
      </c>
      <c r="G1225" s="17" t="str">
        <f aca="false">IF(AND(Eingabe!$F$15&gt;0,Eingabe!$E$15&gt;=5),"10."&amp;Eingabe!$D$15&amp;".5.1","")</f>
        <v/>
      </c>
      <c r="H1225" s="17" t="str">
        <f aca="false">IF(AND(Eingabe!$F$15&gt;0,Eingabe!$E$15&gt;=5),"10."&amp;Eingabe!$D$15&amp;".5.10 – 10."&amp;Eingabe!$D$15&amp;".5.250","")</f>
        <v/>
      </c>
      <c r="I1225" s="17" t="str">
        <f aca="false">IF(AND(Eingabe!$F$15&gt;0,Eingabe!$E$15&gt;=5),Eingabe!$B$6&amp;"-"&amp;Eingabe!$C$15&amp;"-Pächter","")</f>
        <v/>
      </c>
      <c r="J1225" s="17" t="str">
        <f aca="false">IF(AND(Eingabe!$F$15&gt;0,Eingabe!$E$15&gt;=5),"PPSK: Passwort Parzelle 5","")</f>
        <v/>
      </c>
      <c r="K1225" s="17" t="str">
        <f aca="false">IF(AND(Eingabe!$F$15&gt;0,Eingabe!$E$15&gt;=5),"1. Gerät: 10."&amp;Eingabe!$D$15&amp;".5.10, 2. Gerät: .11","")</f>
        <v/>
      </c>
    </row>
    <row r="1226" customFormat="false" ht="15" hidden="false" customHeight="false" outlineLevel="0" collapsed="false">
      <c r="A1226" s="17" t="str">
        <f aca="false">IF(AND(Eingabe!$F$15&gt;0,Eingabe!$E$15&gt;=6),7,"")</f>
        <v/>
      </c>
      <c r="B1226" s="17" t="str">
        <f aca="false">IF(AND(Eingabe!$F$15&gt;0,Eingabe!$E$15&gt;=6),Eingabe!$B$15,"")</f>
        <v/>
      </c>
      <c r="C1226" s="17" t="str">
        <f aca="false">IF(AND(Eingabe!$F$15&gt;0,Eingabe!$E$15&gt;=6),Eingabe!$C$15&amp;"-Paz."&amp;TEXT(6,"000"),"")</f>
        <v/>
      </c>
      <c r="D1226" s="17" t="str">
        <f aca="false">IF(AND(Eingabe!$F$15&gt;0,Eingabe!$E$15&gt;=6),6,"")</f>
        <v/>
      </c>
      <c r="E1226" s="17" t="str">
        <f aca="false">IF(AND(Eingabe!$F$15&gt;0,Eingabe!$E$15&gt;=6),IF((Eingabe!$G$15)&lt;=9,1000+(Eingabe!$G$15)*100,3000)+6,"")</f>
        <v/>
      </c>
      <c r="F1226" s="17" t="str">
        <f aca="false">IF(AND(Eingabe!$F$15&gt;0,Eingabe!$E$15&gt;=6),"10."&amp;Eingabe!$D$15&amp;".6.0/24","")</f>
        <v/>
      </c>
      <c r="G1226" s="17" t="str">
        <f aca="false">IF(AND(Eingabe!$F$15&gt;0,Eingabe!$E$15&gt;=6),"10."&amp;Eingabe!$D$15&amp;".6.1","")</f>
        <v/>
      </c>
      <c r="H1226" s="17" t="str">
        <f aca="false">IF(AND(Eingabe!$F$15&gt;0,Eingabe!$E$15&gt;=6),"10."&amp;Eingabe!$D$15&amp;".6.10 – 10."&amp;Eingabe!$D$15&amp;".6.250","")</f>
        <v/>
      </c>
      <c r="I1226" s="17" t="str">
        <f aca="false">IF(AND(Eingabe!$F$15&gt;0,Eingabe!$E$15&gt;=6),Eingabe!$B$6&amp;"-"&amp;Eingabe!$C$15&amp;"-Pächter","")</f>
        <v/>
      </c>
      <c r="J1226" s="17" t="str">
        <f aca="false">IF(AND(Eingabe!$F$15&gt;0,Eingabe!$E$15&gt;=6),"PPSK: Passwort Parzelle 6","")</f>
        <v/>
      </c>
      <c r="K1226" s="17" t="str">
        <f aca="false">IF(AND(Eingabe!$F$15&gt;0,Eingabe!$E$15&gt;=6),"1. Gerät: 10."&amp;Eingabe!$D$15&amp;".6.10, 2. Gerät: .11","")</f>
        <v/>
      </c>
    </row>
    <row r="1227" customFormat="false" ht="15" hidden="false" customHeight="false" outlineLevel="0" collapsed="false">
      <c r="A1227" s="17" t="str">
        <f aca="false">IF(AND(Eingabe!$F$15&gt;0,Eingabe!$E$15&gt;=7),7,"")</f>
        <v/>
      </c>
      <c r="B1227" s="17" t="str">
        <f aca="false">IF(AND(Eingabe!$F$15&gt;0,Eingabe!$E$15&gt;=7),Eingabe!$B$15,"")</f>
        <v/>
      </c>
      <c r="C1227" s="17" t="str">
        <f aca="false">IF(AND(Eingabe!$F$15&gt;0,Eingabe!$E$15&gt;=7),Eingabe!$C$15&amp;"-Paz."&amp;TEXT(7,"000"),"")</f>
        <v/>
      </c>
      <c r="D1227" s="17" t="str">
        <f aca="false">IF(AND(Eingabe!$F$15&gt;0,Eingabe!$E$15&gt;=7),7,"")</f>
        <v/>
      </c>
      <c r="E1227" s="17" t="str">
        <f aca="false">IF(AND(Eingabe!$F$15&gt;0,Eingabe!$E$15&gt;=7),IF((Eingabe!$G$15)&lt;=9,1000+(Eingabe!$G$15)*100,3000)+7,"")</f>
        <v/>
      </c>
      <c r="F1227" s="17" t="str">
        <f aca="false">IF(AND(Eingabe!$F$15&gt;0,Eingabe!$E$15&gt;=7),"10."&amp;Eingabe!$D$15&amp;".7.0/24","")</f>
        <v/>
      </c>
      <c r="G1227" s="17" t="str">
        <f aca="false">IF(AND(Eingabe!$F$15&gt;0,Eingabe!$E$15&gt;=7),"10."&amp;Eingabe!$D$15&amp;".7.1","")</f>
        <v/>
      </c>
      <c r="H1227" s="17" t="str">
        <f aca="false">IF(AND(Eingabe!$F$15&gt;0,Eingabe!$E$15&gt;=7),"10."&amp;Eingabe!$D$15&amp;".7.10 – 10."&amp;Eingabe!$D$15&amp;".7.250","")</f>
        <v/>
      </c>
      <c r="I1227" s="17" t="str">
        <f aca="false">IF(AND(Eingabe!$F$15&gt;0,Eingabe!$E$15&gt;=7),Eingabe!$B$6&amp;"-"&amp;Eingabe!$C$15&amp;"-Pächter","")</f>
        <v/>
      </c>
      <c r="J1227" s="17" t="str">
        <f aca="false">IF(AND(Eingabe!$F$15&gt;0,Eingabe!$E$15&gt;=7),"PPSK: Passwort Parzelle 7","")</f>
        <v/>
      </c>
      <c r="K1227" s="17" t="str">
        <f aca="false">IF(AND(Eingabe!$F$15&gt;0,Eingabe!$E$15&gt;=7),"1. Gerät: 10."&amp;Eingabe!$D$15&amp;".7.10, 2. Gerät: .11","")</f>
        <v/>
      </c>
    </row>
    <row r="1228" customFormat="false" ht="15" hidden="false" customHeight="false" outlineLevel="0" collapsed="false">
      <c r="A1228" s="17" t="str">
        <f aca="false">IF(AND(Eingabe!$F$15&gt;0,Eingabe!$E$15&gt;=8),7,"")</f>
        <v/>
      </c>
      <c r="B1228" s="17" t="str">
        <f aca="false">IF(AND(Eingabe!$F$15&gt;0,Eingabe!$E$15&gt;=8),Eingabe!$B$15,"")</f>
        <v/>
      </c>
      <c r="C1228" s="17" t="str">
        <f aca="false">IF(AND(Eingabe!$F$15&gt;0,Eingabe!$E$15&gt;=8),Eingabe!$C$15&amp;"-Paz."&amp;TEXT(8,"000"),"")</f>
        <v/>
      </c>
      <c r="D1228" s="17" t="str">
        <f aca="false">IF(AND(Eingabe!$F$15&gt;0,Eingabe!$E$15&gt;=8),8,"")</f>
        <v/>
      </c>
      <c r="E1228" s="17" t="str">
        <f aca="false">IF(AND(Eingabe!$F$15&gt;0,Eingabe!$E$15&gt;=8),IF((Eingabe!$G$15)&lt;=9,1000+(Eingabe!$G$15)*100,3000)+8,"")</f>
        <v/>
      </c>
      <c r="F1228" s="17" t="str">
        <f aca="false">IF(AND(Eingabe!$F$15&gt;0,Eingabe!$E$15&gt;=8),"10."&amp;Eingabe!$D$15&amp;".8.0/24","")</f>
        <v/>
      </c>
      <c r="G1228" s="17" t="str">
        <f aca="false">IF(AND(Eingabe!$F$15&gt;0,Eingabe!$E$15&gt;=8),"10."&amp;Eingabe!$D$15&amp;".8.1","")</f>
        <v/>
      </c>
      <c r="H1228" s="17" t="str">
        <f aca="false">IF(AND(Eingabe!$F$15&gt;0,Eingabe!$E$15&gt;=8),"10."&amp;Eingabe!$D$15&amp;".8.10 – 10."&amp;Eingabe!$D$15&amp;".8.250","")</f>
        <v/>
      </c>
      <c r="I1228" s="17" t="str">
        <f aca="false">IF(AND(Eingabe!$F$15&gt;0,Eingabe!$E$15&gt;=8),Eingabe!$B$6&amp;"-"&amp;Eingabe!$C$15&amp;"-Pächter","")</f>
        <v/>
      </c>
      <c r="J1228" s="17" t="str">
        <f aca="false">IF(AND(Eingabe!$F$15&gt;0,Eingabe!$E$15&gt;=8),"PPSK: Passwort Parzelle 8","")</f>
        <v/>
      </c>
      <c r="K1228" s="17" t="str">
        <f aca="false">IF(AND(Eingabe!$F$15&gt;0,Eingabe!$E$15&gt;=8),"1. Gerät: 10."&amp;Eingabe!$D$15&amp;".8.10, 2. Gerät: .11","")</f>
        <v/>
      </c>
    </row>
    <row r="1229" customFormat="false" ht="15" hidden="false" customHeight="false" outlineLevel="0" collapsed="false">
      <c r="A1229" s="17" t="str">
        <f aca="false">IF(AND(Eingabe!$F$15&gt;0,Eingabe!$E$15&gt;=9),7,"")</f>
        <v/>
      </c>
      <c r="B1229" s="17" t="str">
        <f aca="false">IF(AND(Eingabe!$F$15&gt;0,Eingabe!$E$15&gt;=9),Eingabe!$B$15,"")</f>
        <v/>
      </c>
      <c r="C1229" s="17" t="str">
        <f aca="false">IF(AND(Eingabe!$F$15&gt;0,Eingabe!$E$15&gt;=9),Eingabe!$C$15&amp;"-Paz."&amp;TEXT(9,"000"),"")</f>
        <v/>
      </c>
      <c r="D1229" s="17" t="str">
        <f aca="false">IF(AND(Eingabe!$F$15&gt;0,Eingabe!$E$15&gt;=9),9,"")</f>
        <v/>
      </c>
      <c r="E1229" s="17" t="str">
        <f aca="false">IF(AND(Eingabe!$F$15&gt;0,Eingabe!$E$15&gt;=9),IF((Eingabe!$G$15)&lt;=9,1000+(Eingabe!$G$15)*100,3000)+9,"")</f>
        <v/>
      </c>
      <c r="F1229" s="17" t="str">
        <f aca="false">IF(AND(Eingabe!$F$15&gt;0,Eingabe!$E$15&gt;=9),"10."&amp;Eingabe!$D$15&amp;".9.0/24","")</f>
        <v/>
      </c>
      <c r="G1229" s="17" t="str">
        <f aca="false">IF(AND(Eingabe!$F$15&gt;0,Eingabe!$E$15&gt;=9),"10."&amp;Eingabe!$D$15&amp;".9.1","")</f>
        <v/>
      </c>
      <c r="H1229" s="17" t="str">
        <f aca="false">IF(AND(Eingabe!$F$15&gt;0,Eingabe!$E$15&gt;=9),"10."&amp;Eingabe!$D$15&amp;".9.10 – 10."&amp;Eingabe!$D$15&amp;".9.250","")</f>
        <v/>
      </c>
      <c r="I1229" s="17" t="str">
        <f aca="false">IF(AND(Eingabe!$F$15&gt;0,Eingabe!$E$15&gt;=9),Eingabe!$B$6&amp;"-"&amp;Eingabe!$C$15&amp;"-Pächter","")</f>
        <v/>
      </c>
      <c r="J1229" s="17" t="str">
        <f aca="false">IF(AND(Eingabe!$F$15&gt;0,Eingabe!$E$15&gt;=9),"PPSK: Passwort Parzelle 9","")</f>
        <v/>
      </c>
      <c r="K1229" s="17" t="str">
        <f aca="false">IF(AND(Eingabe!$F$15&gt;0,Eingabe!$E$15&gt;=9),"1. Gerät: 10."&amp;Eingabe!$D$15&amp;".9.10, 2. Gerät: .11","")</f>
        <v/>
      </c>
    </row>
    <row r="1230" customFormat="false" ht="15" hidden="false" customHeight="false" outlineLevel="0" collapsed="false">
      <c r="A1230" s="17" t="str">
        <f aca="false">IF(AND(Eingabe!$F$15&gt;0,Eingabe!$E$15&gt;=10),7,"")</f>
        <v/>
      </c>
      <c r="B1230" s="17" t="str">
        <f aca="false">IF(AND(Eingabe!$F$15&gt;0,Eingabe!$E$15&gt;=10),Eingabe!$B$15,"")</f>
        <v/>
      </c>
      <c r="C1230" s="17" t="str">
        <f aca="false">IF(AND(Eingabe!$F$15&gt;0,Eingabe!$E$15&gt;=10),Eingabe!$C$15&amp;"-Paz."&amp;TEXT(10,"000"),"")</f>
        <v/>
      </c>
      <c r="D1230" s="17" t="str">
        <f aca="false">IF(AND(Eingabe!$F$15&gt;0,Eingabe!$E$15&gt;=10),10,"")</f>
        <v/>
      </c>
      <c r="E1230" s="17" t="str">
        <f aca="false">IF(AND(Eingabe!$F$15&gt;0,Eingabe!$E$15&gt;=10),IF((Eingabe!$G$15)&lt;=9,1000+(Eingabe!$G$15)*100,3000)+10,"")</f>
        <v/>
      </c>
      <c r="F1230" s="17" t="str">
        <f aca="false">IF(AND(Eingabe!$F$15&gt;0,Eingabe!$E$15&gt;=10),"10."&amp;Eingabe!$D$15&amp;".10.0/24","")</f>
        <v/>
      </c>
      <c r="G1230" s="17" t="str">
        <f aca="false">IF(AND(Eingabe!$F$15&gt;0,Eingabe!$E$15&gt;=10),"10."&amp;Eingabe!$D$15&amp;".10.1","")</f>
        <v/>
      </c>
      <c r="H1230" s="17" t="str">
        <f aca="false">IF(AND(Eingabe!$F$15&gt;0,Eingabe!$E$15&gt;=10),"10."&amp;Eingabe!$D$15&amp;".10.10 – 10."&amp;Eingabe!$D$15&amp;".10.250","")</f>
        <v/>
      </c>
      <c r="I1230" s="17" t="str">
        <f aca="false">IF(AND(Eingabe!$F$15&gt;0,Eingabe!$E$15&gt;=10),Eingabe!$B$6&amp;"-"&amp;Eingabe!$C$15&amp;"-Pächter","")</f>
        <v/>
      </c>
      <c r="J1230" s="17" t="str">
        <f aca="false">IF(AND(Eingabe!$F$15&gt;0,Eingabe!$E$15&gt;=10),"PPSK: Passwort Parzelle 10","")</f>
        <v/>
      </c>
      <c r="K1230" s="17" t="str">
        <f aca="false">IF(AND(Eingabe!$F$15&gt;0,Eingabe!$E$15&gt;=10),"1. Gerät: 10."&amp;Eingabe!$D$15&amp;".10.10, 2. Gerät: .11","")</f>
        <v/>
      </c>
    </row>
    <row r="1231" customFormat="false" ht="15" hidden="false" customHeight="false" outlineLevel="0" collapsed="false">
      <c r="A1231" s="17" t="str">
        <f aca="false">IF(AND(Eingabe!$F$15&gt;0,Eingabe!$E$15&gt;=11),7,"")</f>
        <v/>
      </c>
      <c r="B1231" s="17" t="str">
        <f aca="false">IF(AND(Eingabe!$F$15&gt;0,Eingabe!$E$15&gt;=11),Eingabe!$B$15,"")</f>
        <v/>
      </c>
      <c r="C1231" s="17" t="str">
        <f aca="false">IF(AND(Eingabe!$F$15&gt;0,Eingabe!$E$15&gt;=11),Eingabe!$C$15&amp;"-Paz."&amp;TEXT(11,"000"),"")</f>
        <v/>
      </c>
      <c r="D1231" s="17" t="str">
        <f aca="false">IF(AND(Eingabe!$F$15&gt;0,Eingabe!$E$15&gt;=11),11,"")</f>
        <v/>
      </c>
      <c r="E1231" s="17" t="str">
        <f aca="false">IF(AND(Eingabe!$F$15&gt;0,Eingabe!$E$15&gt;=11),IF((Eingabe!$G$15)&lt;=9,1000+(Eingabe!$G$15)*100,3000)+11,"")</f>
        <v/>
      </c>
      <c r="F1231" s="17" t="str">
        <f aca="false">IF(AND(Eingabe!$F$15&gt;0,Eingabe!$E$15&gt;=11),"10."&amp;Eingabe!$D$15&amp;".11.0/24","")</f>
        <v/>
      </c>
      <c r="G1231" s="17" t="str">
        <f aca="false">IF(AND(Eingabe!$F$15&gt;0,Eingabe!$E$15&gt;=11),"10."&amp;Eingabe!$D$15&amp;".11.1","")</f>
        <v/>
      </c>
      <c r="H1231" s="17" t="str">
        <f aca="false">IF(AND(Eingabe!$F$15&gt;0,Eingabe!$E$15&gt;=11),"10."&amp;Eingabe!$D$15&amp;".11.10 – 10."&amp;Eingabe!$D$15&amp;".11.250","")</f>
        <v/>
      </c>
      <c r="I1231" s="17" t="str">
        <f aca="false">IF(AND(Eingabe!$F$15&gt;0,Eingabe!$E$15&gt;=11),Eingabe!$B$6&amp;"-"&amp;Eingabe!$C$15&amp;"-Pächter","")</f>
        <v/>
      </c>
      <c r="J1231" s="17" t="str">
        <f aca="false">IF(AND(Eingabe!$F$15&gt;0,Eingabe!$E$15&gt;=11),"PPSK: Passwort Parzelle 11","")</f>
        <v/>
      </c>
      <c r="K1231" s="17" t="str">
        <f aca="false">IF(AND(Eingabe!$F$15&gt;0,Eingabe!$E$15&gt;=11),"1. Gerät: 10."&amp;Eingabe!$D$15&amp;".11.10, 2. Gerät: .11","")</f>
        <v/>
      </c>
    </row>
    <row r="1232" customFormat="false" ht="15" hidden="false" customHeight="false" outlineLevel="0" collapsed="false">
      <c r="A1232" s="17" t="str">
        <f aca="false">IF(AND(Eingabe!$F$15&gt;0,Eingabe!$E$15&gt;=12),7,"")</f>
        <v/>
      </c>
      <c r="B1232" s="17" t="str">
        <f aca="false">IF(AND(Eingabe!$F$15&gt;0,Eingabe!$E$15&gt;=12),Eingabe!$B$15,"")</f>
        <v/>
      </c>
      <c r="C1232" s="17" t="str">
        <f aca="false">IF(AND(Eingabe!$F$15&gt;0,Eingabe!$E$15&gt;=12),Eingabe!$C$15&amp;"-Paz."&amp;TEXT(12,"000"),"")</f>
        <v/>
      </c>
      <c r="D1232" s="17" t="str">
        <f aca="false">IF(AND(Eingabe!$F$15&gt;0,Eingabe!$E$15&gt;=12),12,"")</f>
        <v/>
      </c>
      <c r="E1232" s="17" t="str">
        <f aca="false">IF(AND(Eingabe!$F$15&gt;0,Eingabe!$E$15&gt;=12),IF((Eingabe!$G$15)&lt;=9,1000+(Eingabe!$G$15)*100,3000)+12,"")</f>
        <v/>
      </c>
      <c r="F1232" s="17" t="str">
        <f aca="false">IF(AND(Eingabe!$F$15&gt;0,Eingabe!$E$15&gt;=12),"10."&amp;Eingabe!$D$15&amp;".12.0/24","")</f>
        <v/>
      </c>
      <c r="G1232" s="17" t="str">
        <f aca="false">IF(AND(Eingabe!$F$15&gt;0,Eingabe!$E$15&gt;=12),"10."&amp;Eingabe!$D$15&amp;".12.1","")</f>
        <v/>
      </c>
      <c r="H1232" s="17" t="str">
        <f aca="false">IF(AND(Eingabe!$F$15&gt;0,Eingabe!$E$15&gt;=12),"10."&amp;Eingabe!$D$15&amp;".12.10 – 10."&amp;Eingabe!$D$15&amp;".12.250","")</f>
        <v/>
      </c>
      <c r="I1232" s="17" t="str">
        <f aca="false">IF(AND(Eingabe!$F$15&gt;0,Eingabe!$E$15&gt;=12),Eingabe!$B$6&amp;"-"&amp;Eingabe!$C$15&amp;"-Pächter","")</f>
        <v/>
      </c>
      <c r="J1232" s="17" t="str">
        <f aca="false">IF(AND(Eingabe!$F$15&gt;0,Eingabe!$E$15&gt;=12),"PPSK: Passwort Parzelle 12","")</f>
        <v/>
      </c>
      <c r="K1232" s="17" t="str">
        <f aca="false">IF(AND(Eingabe!$F$15&gt;0,Eingabe!$E$15&gt;=12),"1. Gerät: 10."&amp;Eingabe!$D$15&amp;".12.10, 2. Gerät: .11","")</f>
        <v/>
      </c>
    </row>
    <row r="1233" customFormat="false" ht="15" hidden="false" customHeight="false" outlineLevel="0" collapsed="false">
      <c r="A1233" s="17" t="str">
        <f aca="false">IF(AND(Eingabe!$F$15&gt;0,Eingabe!$E$15&gt;=13),7,"")</f>
        <v/>
      </c>
      <c r="B1233" s="17" t="str">
        <f aca="false">IF(AND(Eingabe!$F$15&gt;0,Eingabe!$E$15&gt;=13),Eingabe!$B$15,"")</f>
        <v/>
      </c>
      <c r="C1233" s="17" t="str">
        <f aca="false">IF(AND(Eingabe!$F$15&gt;0,Eingabe!$E$15&gt;=13),Eingabe!$C$15&amp;"-Paz."&amp;TEXT(13,"000"),"")</f>
        <v/>
      </c>
      <c r="D1233" s="17" t="str">
        <f aca="false">IF(AND(Eingabe!$F$15&gt;0,Eingabe!$E$15&gt;=13),13,"")</f>
        <v/>
      </c>
      <c r="E1233" s="17" t="str">
        <f aca="false">IF(AND(Eingabe!$F$15&gt;0,Eingabe!$E$15&gt;=13),IF((Eingabe!$G$15)&lt;=9,1000+(Eingabe!$G$15)*100,3000)+13,"")</f>
        <v/>
      </c>
      <c r="F1233" s="17" t="str">
        <f aca="false">IF(AND(Eingabe!$F$15&gt;0,Eingabe!$E$15&gt;=13),"10."&amp;Eingabe!$D$15&amp;".13.0/24","")</f>
        <v/>
      </c>
      <c r="G1233" s="17" t="str">
        <f aca="false">IF(AND(Eingabe!$F$15&gt;0,Eingabe!$E$15&gt;=13),"10."&amp;Eingabe!$D$15&amp;".13.1","")</f>
        <v/>
      </c>
      <c r="H1233" s="17" t="str">
        <f aca="false">IF(AND(Eingabe!$F$15&gt;0,Eingabe!$E$15&gt;=13),"10."&amp;Eingabe!$D$15&amp;".13.10 – 10."&amp;Eingabe!$D$15&amp;".13.250","")</f>
        <v/>
      </c>
      <c r="I1233" s="17" t="str">
        <f aca="false">IF(AND(Eingabe!$F$15&gt;0,Eingabe!$E$15&gt;=13),Eingabe!$B$6&amp;"-"&amp;Eingabe!$C$15&amp;"-Pächter","")</f>
        <v/>
      </c>
      <c r="J1233" s="17" t="str">
        <f aca="false">IF(AND(Eingabe!$F$15&gt;0,Eingabe!$E$15&gt;=13),"PPSK: Passwort Parzelle 13","")</f>
        <v/>
      </c>
      <c r="K1233" s="17" t="str">
        <f aca="false">IF(AND(Eingabe!$F$15&gt;0,Eingabe!$E$15&gt;=13),"1. Gerät: 10."&amp;Eingabe!$D$15&amp;".13.10, 2. Gerät: .11","")</f>
        <v/>
      </c>
    </row>
    <row r="1234" customFormat="false" ht="15" hidden="false" customHeight="false" outlineLevel="0" collapsed="false">
      <c r="A1234" s="17" t="str">
        <f aca="false">IF(AND(Eingabe!$F$15&gt;0,Eingabe!$E$15&gt;=14),7,"")</f>
        <v/>
      </c>
      <c r="B1234" s="17" t="str">
        <f aca="false">IF(AND(Eingabe!$F$15&gt;0,Eingabe!$E$15&gt;=14),Eingabe!$B$15,"")</f>
        <v/>
      </c>
      <c r="C1234" s="17" t="str">
        <f aca="false">IF(AND(Eingabe!$F$15&gt;0,Eingabe!$E$15&gt;=14),Eingabe!$C$15&amp;"-Paz."&amp;TEXT(14,"000"),"")</f>
        <v/>
      </c>
      <c r="D1234" s="17" t="str">
        <f aca="false">IF(AND(Eingabe!$F$15&gt;0,Eingabe!$E$15&gt;=14),14,"")</f>
        <v/>
      </c>
      <c r="E1234" s="17" t="str">
        <f aca="false">IF(AND(Eingabe!$F$15&gt;0,Eingabe!$E$15&gt;=14),IF((Eingabe!$G$15)&lt;=9,1000+(Eingabe!$G$15)*100,3000)+14,"")</f>
        <v/>
      </c>
      <c r="F1234" s="17" t="str">
        <f aca="false">IF(AND(Eingabe!$F$15&gt;0,Eingabe!$E$15&gt;=14),"10."&amp;Eingabe!$D$15&amp;".14.0/24","")</f>
        <v/>
      </c>
      <c r="G1234" s="17" t="str">
        <f aca="false">IF(AND(Eingabe!$F$15&gt;0,Eingabe!$E$15&gt;=14),"10."&amp;Eingabe!$D$15&amp;".14.1","")</f>
        <v/>
      </c>
      <c r="H1234" s="17" t="str">
        <f aca="false">IF(AND(Eingabe!$F$15&gt;0,Eingabe!$E$15&gt;=14),"10."&amp;Eingabe!$D$15&amp;".14.10 – 10."&amp;Eingabe!$D$15&amp;".14.250","")</f>
        <v/>
      </c>
      <c r="I1234" s="17" t="str">
        <f aca="false">IF(AND(Eingabe!$F$15&gt;0,Eingabe!$E$15&gt;=14),Eingabe!$B$6&amp;"-"&amp;Eingabe!$C$15&amp;"-Pächter","")</f>
        <v/>
      </c>
      <c r="J1234" s="17" t="str">
        <f aca="false">IF(AND(Eingabe!$F$15&gt;0,Eingabe!$E$15&gt;=14),"PPSK: Passwort Parzelle 14","")</f>
        <v/>
      </c>
      <c r="K1234" s="17" t="str">
        <f aca="false">IF(AND(Eingabe!$F$15&gt;0,Eingabe!$E$15&gt;=14),"1. Gerät: 10."&amp;Eingabe!$D$15&amp;".14.10, 2. Gerät: .11","")</f>
        <v/>
      </c>
    </row>
    <row r="1235" customFormat="false" ht="15" hidden="false" customHeight="false" outlineLevel="0" collapsed="false">
      <c r="A1235" s="17" t="str">
        <f aca="false">IF(AND(Eingabe!$F$15&gt;0,Eingabe!$E$15&gt;=15),7,"")</f>
        <v/>
      </c>
      <c r="B1235" s="17" t="str">
        <f aca="false">IF(AND(Eingabe!$F$15&gt;0,Eingabe!$E$15&gt;=15),Eingabe!$B$15,"")</f>
        <v/>
      </c>
      <c r="C1235" s="17" t="str">
        <f aca="false">IF(AND(Eingabe!$F$15&gt;0,Eingabe!$E$15&gt;=15),Eingabe!$C$15&amp;"-Paz."&amp;TEXT(15,"000"),"")</f>
        <v/>
      </c>
      <c r="D1235" s="17" t="str">
        <f aca="false">IF(AND(Eingabe!$F$15&gt;0,Eingabe!$E$15&gt;=15),15,"")</f>
        <v/>
      </c>
      <c r="E1235" s="17" t="str">
        <f aca="false">IF(AND(Eingabe!$F$15&gt;0,Eingabe!$E$15&gt;=15),IF((Eingabe!$G$15)&lt;=9,1000+(Eingabe!$G$15)*100,3000)+15,"")</f>
        <v/>
      </c>
      <c r="F1235" s="17" t="str">
        <f aca="false">IF(AND(Eingabe!$F$15&gt;0,Eingabe!$E$15&gt;=15),"10."&amp;Eingabe!$D$15&amp;".15.0/24","")</f>
        <v/>
      </c>
      <c r="G1235" s="17" t="str">
        <f aca="false">IF(AND(Eingabe!$F$15&gt;0,Eingabe!$E$15&gt;=15),"10."&amp;Eingabe!$D$15&amp;".15.1","")</f>
        <v/>
      </c>
      <c r="H1235" s="17" t="str">
        <f aca="false">IF(AND(Eingabe!$F$15&gt;0,Eingabe!$E$15&gt;=15),"10."&amp;Eingabe!$D$15&amp;".15.10 – 10."&amp;Eingabe!$D$15&amp;".15.250","")</f>
        <v/>
      </c>
      <c r="I1235" s="17" t="str">
        <f aca="false">IF(AND(Eingabe!$F$15&gt;0,Eingabe!$E$15&gt;=15),Eingabe!$B$6&amp;"-"&amp;Eingabe!$C$15&amp;"-Pächter","")</f>
        <v/>
      </c>
      <c r="J1235" s="17" t="str">
        <f aca="false">IF(AND(Eingabe!$F$15&gt;0,Eingabe!$E$15&gt;=15),"PPSK: Passwort Parzelle 15","")</f>
        <v/>
      </c>
      <c r="K1235" s="17" t="str">
        <f aca="false">IF(AND(Eingabe!$F$15&gt;0,Eingabe!$E$15&gt;=15),"1. Gerät: 10."&amp;Eingabe!$D$15&amp;".15.10, 2. Gerät: .11","")</f>
        <v/>
      </c>
    </row>
    <row r="1236" customFormat="false" ht="15" hidden="false" customHeight="false" outlineLevel="0" collapsed="false">
      <c r="A1236" s="17" t="str">
        <f aca="false">IF(AND(Eingabe!$F$15&gt;0,Eingabe!$E$15&gt;=16),7,"")</f>
        <v/>
      </c>
      <c r="B1236" s="17" t="str">
        <f aca="false">IF(AND(Eingabe!$F$15&gt;0,Eingabe!$E$15&gt;=16),Eingabe!$B$15,"")</f>
        <v/>
      </c>
      <c r="C1236" s="17" t="str">
        <f aca="false">IF(AND(Eingabe!$F$15&gt;0,Eingabe!$E$15&gt;=16),Eingabe!$C$15&amp;"-Paz."&amp;TEXT(16,"000"),"")</f>
        <v/>
      </c>
      <c r="D1236" s="17" t="str">
        <f aca="false">IF(AND(Eingabe!$F$15&gt;0,Eingabe!$E$15&gt;=16),16,"")</f>
        <v/>
      </c>
      <c r="E1236" s="17" t="str">
        <f aca="false">IF(AND(Eingabe!$F$15&gt;0,Eingabe!$E$15&gt;=16),IF((Eingabe!$G$15)&lt;=9,1000+(Eingabe!$G$15)*100,3000)+16,"")</f>
        <v/>
      </c>
      <c r="F1236" s="17" t="str">
        <f aca="false">IF(AND(Eingabe!$F$15&gt;0,Eingabe!$E$15&gt;=16),"10."&amp;Eingabe!$D$15&amp;".16.0/24","")</f>
        <v/>
      </c>
      <c r="G1236" s="17" t="str">
        <f aca="false">IF(AND(Eingabe!$F$15&gt;0,Eingabe!$E$15&gt;=16),"10."&amp;Eingabe!$D$15&amp;".16.1","")</f>
        <v/>
      </c>
      <c r="H1236" s="17" t="str">
        <f aca="false">IF(AND(Eingabe!$F$15&gt;0,Eingabe!$E$15&gt;=16),"10."&amp;Eingabe!$D$15&amp;".16.10 – 10."&amp;Eingabe!$D$15&amp;".16.250","")</f>
        <v/>
      </c>
      <c r="I1236" s="17" t="str">
        <f aca="false">IF(AND(Eingabe!$F$15&gt;0,Eingabe!$E$15&gt;=16),Eingabe!$B$6&amp;"-"&amp;Eingabe!$C$15&amp;"-Pächter","")</f>
        <v/>
      </c>
      <c r="J1236" s="17" t="str">
        <f aca="false">IF(AND(Eingabe!$F$15&gt;0,Eingabe!$E$15&gt;=16),"PPSK: Passwort Parzelle 16","")</f>
        <v/>
      </c>
      <c r="K1236" s="17" t="str">
        <f aca="false">IF(AND(Eingabe!$F$15&gt;0,Eingabe!$E$15&gt;=16),"1. Gerät: 10."&amp;Eingabe!$D$15&amp;".16.10, 2. Gerät: .11","")</f>
        <v/>
      </c>
    </row>
    <row r="1237" customFormat="false" ht="15" hidden="false" customHeight="false" outlineLevel="0" collapsed="false">
      <c r="A1237" s="17" t="str">
        <f aca="false">IF(AND(Eingabe!$F$15&gt;0,Eingabe!$E$15&gt;=17),7,"")</f>
        <v/>
      </c>
      <c r="B1237" s="17" t="str">
        <f aca="false">IF(AND(Eingabe!$F$15&gt;0,Eingabe!$E$15&gt;=17),Eingabe!$B$15,"")</f>
        <v/>
      </c>
      <c r="C1237" s="17" t="str">
        <f aca="false">IF(AND(Eingabe!$F$15&gt;0,Eingabe!$E$15&gt;=17),Eingabe!$C$15&amp;"-Paz."&amp;TEXT(17,"000"),"")</f>
        <v/>
      </c>
      <c r="D1237" s="17" t="str">
        <f aca="false">IF(AND(Eingabe!$F$15&gt;0,Eingabe!$E$15&gt;=17),17,"")</f>
        <v/>
      </c>
      <c r="E1237" s="17" t="str">
        <f aca="false">IF(AND(Eingabe!$F$15&gt;0,Eingabe!$E$15&gt;=17),IF((Eingabe!$G$15)&lt;=9,1000+(Eingabe!$G$15)*100,3000)+17,"")</f>
        <v/>
      </c>
      <c r="F1237" s="17" t="str">
        <f aca="false">IF(AND(Eingabe!$F$15&gt;0,Eingabe!$E$15&gt;=17),"10."&amp;Eingabe!$D$15&amp;".17.0/24","")</f>
        <v/>
      </c>
      <c r="G1237" s="17" t="str">
        <f aca="false">IF(AND(Eingabe!$F$15&gt;0,Eingabe!$E$15&gt;=17),"10."&amp;Eingabe!$D$15&amp;".17.1","")</f>
        <v/>
      </c>
      <c r="H1237" s="17" t="str">
        <f aca="false">IF(AND(Eingabe!$F$15&gt;0,Eingabe!$E$15&gt;=17),"10."&amp;Eingabe!$D$15&amp;".17.10 – 10."&amp;Eingabe!$D$15&amp;".17.250","")</f>
        <v/>
      </c>
      <c r="I1237" s="17" t="str">
        <f aca="false">IF(AND(Eingabe!$F$15&gt;0,Eingabe!$E$15&gt;=17),Eingabe!$B$6&amp;"-"&amp;Eingabe!$C$15&amp;"-Pächter","")</f>
        <v/>
      </c>
      <c r="J1237" s="17" t="str">
        <f aca="false">IF(AND(Eingabe!$F$15&gt;0,Eingabe!$E$15&gt;=17),"PPSK: Passwort Parzelle 17","")</f>
        <v/>
      </c>
      <c r="K1237" s="17" t="str">
        <f aca="false">IF(AND(Eingabe!$F$15&gt;0,Eingabe!$E$15&gt;=17),"1. Gerät: 10."&amp;Eingabe!$D$15&amp;".17.10, 2. Gerät: .11","")</f>
        <v/>
      </c>
    </row>
    <row r="1238" customFormat="false" ht="15" hidden="false" customHeight="false" outlineLevel="0" collapsed="false">
      <c r="A1238" s="17" t="str">
        <f aca="false">IF(AND(Eingabe!$F$15&gt;0,Eingabe!$E$15&gt;=18),7,"")</f>
        <v/>
      </c>
      <c r="B1238" s="17" t="str">
        <f aca="false">IF(AND(Eingabe!$F$15&gt;0,Eingabe!$E$15&gt;=18),Eingabe!$B$15,"")</f>
        <v/>
      </c>
      <c r="C1238" s="17" t="str">
        <f aca="false">IF(AND(Eingabe!$F$15&gt;0,Eingabe!$E$15&gt;=18),Eingabe!$C$15&amp;"-Paz."&amp;TEXT(18,"000"),"")</f>
        <v/>
      </c>
      <c r="D1238" s="17" t="str">
        <f aca="false">IF(AND(Eingabe!$F$15&gt;0,Eingabe!$E$15&gt;=18),18,"")</f>
        <v/>
      </c>
      <c r="E1238" s="17" t="str">
        <f aca="false">IF(AND(Eingabe!$F$15&gt;0,Eingabe!$E$15&gt;=18),IF((Eingabe!$G$15)&lt;=9,1000+(Eingabe!$G$15)*100,3000)+18,"")</f>
        <v/>
      </c>
      <c r="F1238" s="17" t="str">
        <f aca="false">IF(AND(Eingabe!$F$15&gt;0,Eingabe!$E$15&gt;=18),"10."&amp;Eingabe!$D$15&amp;".18.0/24","")</f>
        <v/>
      </c>
      <c r="G1238" s="17" t="str">
        <f aca="false">IF(AND(Eingabe!$F$15&gt;0,Eingabe!$E$15&gt;=18),"10."&amp;Eingabe!$D$15&amp;".18.1","")</f>
        <v/>
      </c>
      <c r="H1238" s="17" t="str">
        <f aca="false">IF(AND(Eingabe!$F$15&gt;0,Eingabe!$E$15&gt;=18),"10."&amp;Eingabe!$D$15&amp;".18.10 – 10."&amp;Eingabe!$D$15&amp;".18.250","")</f>
        <v/>
      </c>
      <c r="I1238" s="17" t="str">
        <f aca="false">IF(AND(Eingabe!$F$15&gt;0,Eingabe!$E$15&gt;=18),Eingabe!$B$6&amp;"-"&amp;Eingabe!$C$15&amp;"-Pächter","")</f>
        <v/>
      </c>
      <c r="J1238" s="17" t="str">
        <f aca="false">IF(AND(Eingabe!$F$15&gt;0,Eingabe!$E$15&gt;=18),"PPSK: Passwort Parzelle 18","")</f>
        <v/>
      </c>
      <c r="K1238" s="17" t="str">
        <f aca="false">IF(AND(Eingabe!$F$15&gt;0,Eingabe!$E$15&gt;=18),"1. Gerät: 10."&amp;Eingabe!$D$15&amp;".18.10, 2. Gerät: .11","")</f>
        <v/>
      </c>
    </row>
    <row r="1239" customFormat="false" ht="15" hidden="false" customHeight="false" outlineLevel="0" collapsed="false">
      <c r="A1239" s="17" t="str">
        <f aca="false">IF(AND(Eingabe!$F$15&gt;0,Eingabe!$E$15&gt;=19),7,"")</f>
        <v/>
      </c>
      <c r="B1239" s="17" t="str">
        <f aca="false">IF(AND(Eingabe!$F$15&gt;0,Eingabe!$E$15&gt;=19),Eingabe!$B$15,"")</f>
        <v/>
      </c>
      <c r="C1239" s="17" t="str">
        <f aca="false">IF(AND(Eingabe!$F$15&gt;0,Eingabe!$E$15&gt;=19),Eingabe!$C$15&amp;"-Paz."&amp;TEXT(19,"000"),"")</f>
        <v/>
      </c>
      <c r="D1239" s="17" t="str">
        <f aca="false">IF(AND(Eingabe!$F$15&gt;0,Eingabe!$E$15&gt;=19),19,"")</f>
        <v/>
      </c>
      <c r="E1239" s="17" t="str">
        <f aca="false">IF(AND(Eingabe!$F$15&gt;0,Eingabe!$E$15&gt;=19),IF((Eingabe!$G$15)&lt;=9,1000+(Eingabe!$G$15)*100,3000)+19,"")</f>
        <v/>
      </c>
      <c r="F1239" s="17" t="str">
        <f aca="false">IF(AND(Eingabe!$F$15&gt;0,Eingabe!$E$15&gt;=19),"10."&amp;Eingabe!$D$15&amp;".19.0/24","")</f>
        <v/>
      </c>
      <c r="G1239" s="17" t="str">
        <f aca="false">IF(AND(Eingabe!$F$15&gt;0,Eingabe!$E$15&gt;=19),"10."&amp;Eingabe!$D$15&amp;".19.1","")</f>
        <v/>
      </c>
      <c r="H1239" s="17" t="str">
        <f aca="false">IF(AND(Eingabe!$F$15&gt;0,Eingabe!$E$15&gt;=19),"10."&amp;Eingabe!$D$15&amp;".19.10 – 10."&amp;Eingabe!$D$15&amp;".19.250","")</f>
        <v/>
      </c>
      <c r="I1239" s="17" t="str">
        <f aca="false">IF(AND(Eingabe!$F$15&gt;0,Eingabe!$E$15&gt;=19),Eingabe!$B$6&amp;"-"&amp;Eingabe!$C$15&amp;"-Pächter","")</f>
        <v/>
      </c>
      <c r="J1239" s="17" t="str">
        <f aca="false">IF(AND(Eingabe!$F$15&gt;0,Eingabe!$E$15&gt;=19),"PPSK: Passwort Parzelle 19","")</f>
        <v/>
      </c>
      <c r="K1239" s="17" t="str">
        <f aca="false">IF(AND(Eingabe!$F$15&gt;0,Eingabe!$E$15&gt;=19),"1. Gerät: 10."&amp;Eingabe!$D$15&amp;".19.10, 2. Gerät: .11","")</f>
        <v/>
      </c>
    </row>
    <row r="1240" customFormat="false" ht="15" hidden="false" customHeight="false" outlineLevel="0" collapsed="false">
      <c r="A1240" s="17" t="str">
        <f aca="false">IF(AND(Eingabe!$F$15&gt;0,Eingabe!$E$15&gt;=20),7,"")</f>
        <v/>
      </c>
      <c r="B1240" s="17" t="str">
        <f aca="false">IF(AND(Eingabe!$F$15&gt;0,Eingabe!$E$15&gt;=20),Eingabe!$B$15,"")</f>
        <v/>
      </c>
      <c r="C1240" s="17" t="str">
        <f aca="false">IF(AND(Eingabe!$F$15&gt;0,Eingabe!$E$15&gt;=20),Eingabe!$C$15&amp;"-Paz."&amp;TEXT(20,"000"),"")</f>
        <v/>
      </c>
      <c r="D1240" s="17" t="str">
        <f aca="false">IF(AND(Eingabe!$F$15&gt;0,Eingabe!$E$15&gt;=20),20,"")</f>
        <v/>
      </c>
      <c r="E1240" s="17" t="str">
        <f aca="false">IF(AND(Eingabe!$F$15&gt;0,Eingabe!$E$15&gt;=20),IF((Eingabe!$G$15)&lt;=9,1000+(Eingabe!$G$15)*100,3000)+20,"")</f>
        <v/>
      </c>
      <c r="F1240" s="17" t="str">
        <f aca="false">IF(AND(Eingabe!$F$15&gt;0,Eingabe!$E$15&gt;=20),"10."&amp;Eingabe!$D$15&amp;".20.0/24","")</f>
        <v/>
      </c>
      <c r="G1240" s="17" t="str">
        <f aca="false">IF(AND(Eingabe!$F$15&gt;0,Eingabe!$E$15&gt;=20),"10."&amp;Eingabe!$D$15&amp;".20.1","")</f>
        <v/>
      </c>
      <c r="H1240" s="17" t="str">
        <f aca="false">IF(AND(Eingabe!$F$15&gt;0,Eingabe!$E$15&gt;=20),"10."&amp;Eingabe!$D$15&amp;".20.10 – 10."&amp;Eingabe!$D$15&amp;".20.250","")</f>
        <v/>
      </c>
      <c r="I1240" s="17" t="str">
        <f aca="false">IF(AND(Eingabe!$F$15&gt;0,Eingabe!$E$15&gt;=20),Eingabe!$B$6&amp;"-"&amp;Eingabe!$C$15&amp;"-Pächter","")</f>
        <v/>
      </c>
      <c r="J1240" s="17" t="str">
        <f aca="false">IF(AND(Eingabe!$F$15&gt;0,Eingabe!$E$15&gt;=20),"PPSK: Passwort Parzelle 20","")</f>
        <v/>
      </c>
      <c r="K1240" s="17" t="str">
        <f aca="false">IF(AND(Eingabe!$F$15&gt;0,Eingabe!$E$15&gt;=20),"1. Gerät: 10."&amp;Eingabe!$D$15&amp;".20.10, 2. Gerät: .11","")</f>
        <v/>
      </c>
    </row>
    <row r="1241" customFormat="false" ht="15" hidden="false" customHeight="false" outlineLevel="0" collapsed="false">
      <c r="A1241" s="17" t="str">
        <f aca="false">IF(AND(Eingabe!$F$15&gt;0,Eingabe!$E$15&gt;=21),7,"")</f>
        <v/>
      </c>
      <c r="B1241" s="17" t="str">
        <f aca="false">IF(AND(Eingabe!$F$15&gt;0,Eingabe!$E$15&gt;=21),Eingabe!$B$15,"")</f>
        <v/>
      </c>
      <c r="C1241" s="17" t="str">
        <f aca="false">IF(AND(Eingabe!$F$15&gt;0,Eingabe!$E$15&gt;=21),Eingabe!$C$15&amp;"-Paz."&amp;TEXT(21,"000"),"")</f>
        <v/>
      </c>
      <c r="D1241" s="17" t="str">
        <f aca="false">IF(AND(Eingabe!$F$15&gt;0,Eingabe!$E$15&gt;=21),21,"")</f>
        <v/>
      </c>
      <c r="E1241" s="17" t="str">
        <f aca="false">IF(AND(Eingabe!$F$15&gt;0,Eingabe!$E$15&gt;=21),IF((Eingabe!$G$15)&lt;=9,1000+(Eingabe!$G$15)*100,3000)+21,"")</f>
        <v/>
      </c>
      <c r="F1241" s="17" t="str">
        <f aca="false">IF(AND(Eingabe!$F$15&gt;0,Eingabe!$E$15&gt;=21),"10."&amp;Eingabe!$D$15&amp;".21.0/24","")</f>
        <v/>
      </c>
      <c r="G1241" s="17" t="str">
        <f aca="false">IF(AND(Eingabe!$F$15&gt;0,Eingabe!$E$15&gt;=21),"10."&amp;Eingabe!$D$15&amp;".21.1","")</f>
        <v/>
      </c>
      <c r="H1241" s="17" t="str">
        <f aca="false">IF(AND(Eingabe!$F$15&gt;0,Eingabe!$E$15&gt;=21),"10."&amp;Eingabe!$D$15&amp;".21.10 – 10."&amp;Eingabe!$D$15&amp;".21.250","")</f>
        <v/>
      </c>
      <c r="I1241" s="17" t="str">
        <f aca="false">IF(AND(Eingabe!$F$15&gt;0,Eingabe!$E$15&gt;=21),Eingabe!$B$6&amp;"-"&amp;Eingabe!$C$15&amp;"-Pächter","")</f>
        <v/>
      </c>
      <c r="J1241" s="17" t="str">
        <f aca="false">IF(AND(Eingabe!$F$15&gt;0,Eingabe!$E$15&gt;=21),"PPSK: Passwort Parzelle 21","")</f>
        <v/>
      </c>
      <c r="K1241" s="17" t="str">
        <f aca="false">IF(AND(Eingabe!$F$15&gt;0,Eingabe!$E$15&gt;=21),"1. Gerät: 10."&amp;Eingabe!$D$15&amp;".21.10, 2. Gerät: .11","")</f>
        <v/>
      </c>
    </row>
    <row r="1242" customFormat="false" ht="15" hidden="false" customHeight="false" outlineLevel="0" collapsed="false">
      <c r="A1242" s="17" t="str">
        <f aca="false">IF(AND(Eingabe!$F$15&gt;0,Eingabe!$E$15&gt;=22),7,"")</f>
        <v/>
      </c>
      <c r="B1242" s="17" t="str">
        <f aca="false">IF(AND(Eingabe!$F$15&gt;0,Eingabe!$E$15&gt;=22),Eingabe!$B$15,"")</f>
        <v/>
      </c>
      <c r="C1242" s="17" t="str">
        <f aca="false">IF(AND(Eingabe!$F$15&gt;0,Eingabe!$E$15&gt;=22),Eingabe!$C$15&amp;"-Paz."&amp;TEXT(22,"000"),"")</f>
        <v/>
      </c>
      <c r="D1242" s="17" t="str">
        <f aca="false">IF(AND(Eingabe!$F$15&gt;0,Eingabe!$E$15&gt;=22),22,"")</f>
        <v/>
      </c>
      <c r="E1242" s="17" t="str">
        <f aca="false">IF(AND(Eingabe!$F$15&gt;0,Eingabe!$E$15&gt;=22),IF((Eingabe!$G$15)&lt;=9,1000+(Eingabe!$G$15)*100,3000)+22,"")</f>
        <v/>
      </c>
      <c r="F1242" s="17" t="str">
        <f aca="false">IF(AND(Eingabe!$F$15&gt;0,Eingabe!$E$15&gt;=22),"10."&amp;Eingabe!$D$15&amp;".22.0/24","")</f>
        <v/>
      </c>
      <c r="G1242" s="17" t="str">
        <f aca="false">IF(AND(Eingabe!$F$15&gt;0,Eingabe!$E$15&gt;=22),"10."&amp;Eingabe!$D$15&amp;".22.1","")</f>
        <v/>
      </c>
      <c r="H1242" s="17" t="str">
        <f aca="false">IF(AND(Eingabe!$F$15&gt;0,Eingabe!$E$15&gt;=22),"10."&amp;Eingabe!$D$15&amp;".22.10 – 10."&amp;Eingabe!$D$15&amp;".22.250","")</f>
        <v/>
      </c>
      <c r="I1242" s="17" t="str">
        <f aca="false">IF(AND(Eingabe!$F$15&gt;0,Eingabe!$E$15&gt;=22),Eingabe!$B$6&amp;"-"&amp;Eingabe!$C$15&amp;"-Pächter","")</f>
        <v/>
      </c>
      <c r="J1242" s="17" t="str">
        <f aca="false">IF(AND(Eingabe!$F$15&gt;0,Eingabe!$E$15&gt;=22),"PPSK: Passwort Parzelle 22","")</f>
        <v/>
      </c>
      <c r="K1242" s="17" t="str">
        <f aca="false">IF(AND(Eingabe!$F$15&gt;0,Eingabe!$E$15&gt;=22),"1. Gerät: 10."&amp;Eingabe!$D$15&amp;".22.10, 2. Gerät: .11","")</f>
        <v/>
      </c>
    </row>
    <row r="1243" customFormat="false" ht="15" hidden="false" customHeight="false" outlineLevel="0" collapsed="false">
      <c r="A1243" s="17" t="str">
        <f aca="false">IF(AND(Eingabe!$F$15&gt;0,Eingabe!$E$15&gt;=23),7,"")</f>
        <v/>
      </c>
      <c r="B1243" s="17" t="str">
        <f aca="false">IF(AND(Eingabe!$F$15&gt;0,Eingabe!$E$15&gt;=23),Eingabe!$B$15,"")</f>
        <v/>
      </c>
      <c r="C1243" s="17" t="str">
        <f aca="false">IF(AND(Eingabe!$F$15&gt;0,Eingabe!$E$15&gt;=23),Eingabe!$C$15&amp;"-Paz."&amp;TEXT(23,"000"),"")</f>
        <v/>
      </c>
      <c r="D1243" s="17" t="str">
        <f aca="false">IF(AND(Eingabe!$F$15&gt;0,Eingabe!$E$15&gt;=23),23,"")</f>
        <v/>
      </c>
      <c r="E1243" s="17" t="str">
        <f aca="false">IF(AND(Eingabe!$F$15&gt;0,Eingabe!$E$15&gt;=23),IF((Eingabe!$G$15)&lt;=9,1000+(Eingabe!$G$15)*100,3000)+23,"")</f>
        <v/>
      </c>
      <c r="F1243" s="17" t="str">
        <f aca="false">IF(AND(Eingabe!$F$15&gt;0,Eingabe!$E$15&gt;=23),"10."&amp;Eingabe!$D$15&amp;".23.0/24","")</f>
        <v/>
      </c>
      <c r="G1243" s="17" t="str">
        <f aca="false">IF(AND(Eingabe!$F$15&gt;0,Eingabe!$E$15&gt;=23),"10."&amp;Eingabe!$D$15&amp;".23.1","")</f>
        <v/>
      </c>
      <c r="H1243" s="17" t="str">
        <f aca="false">IF(AND(Eingabe!$F$15&gt;0,Eingabe!$E$15&gt;=23),"10."&amp;Eingabe!$D$15&amp;".23.10 – 10."&amp;Eingabe!$D$15&amp;".23.250","")</f>
        <v/>
      </c>
      <c r="I1243" s="17" t="str">
        <f aca="false">IF(AND(Eingabe!$F$15&gt;0,Eingabe!$E$15&gt;=23),Eingabe!$B$6&amp;"-"&amp;Eingabe!$C$15&amp;"-Pächter","")</f>
        <v/>
      </c>
      <c r="J1243" s="17" t="str">
        <f aca="false">IF(AND(Eingabe!$F$15&gt;0,Eingabe!$E$15&gt;=23),"PPSK: Passwort Parzelle 23","")</f>
        <v/>
      </c>
      <c r="K1243" s="17" t="str">
        <f aca="false">IF(AND(Eingabe!$F$15&gt;0,Eingabe!$E$15&gt;=23),"1. Gerät: 10."&amp;Eingabe!$D$15&amp;".23.10, 2. Gerät: .11","")</f>
        <v/>
      </c>
    </row>
    <row r="1244" customFormat="false" ht="15" hidden="false" customHeight="false" outlineLevel="0" collapsed="false">
      <c r="A1244" s="17" t="str">
        <f aca="false">IF(AND(Eingabe!$F$15&gt;0,Eingabe!$E$15&gt;=24),7,"")</f>
        <v/>
      </c>
      <c r="B1244" s="17" t="str">
        <f aca="false">IF(AND(Eingabe!$F$15&gt;0,Eingabe!$E$15&gt;=24),Eingabe!$B$15,"")</f>
        <v/>
      </c>
      <c r="C1244" s="17" t="str">
        <f aca="false">IF(AND(Eingabe!$F$15&gt;0,Eingabe!$E$15&gt;=24),Eingabe!$C$15&amp;"-Paz."&amp;TEXT(24,"000"),"")</f>
        <v/>
      </c>
      <c r="D1244" s="17" t="str">
        <f aca="false">IF(AND(Eingabe!$F$15&gt;0,Eingabe!$E$15&gt;=24),24,"")</f>
        <v/>
      </c>
      <c r="E1244" s="17" t="str">
        <f aca="false">IF(AND(Eingabe!$F$15&gt;0,Eingabe!$E$15&gt;=24),IF((Eingabe!$G$15)&lt;=9,1000+(Eingabe!$G$15)*100,3000)+24,"")</f>
        <v/>
      </c>
      <c r="F1244" s="17" t="str">
        <f aca="false">IF(AND(Eingabe!$F$15&gt;0,Eingabe!$E$15&gt;=24),"10."&amp;Eingabe!$D$15&amp;".24.0/24","")</f>
        <v/>
      </c>
      <c r="G1244" s="17" t="str">
        <f aca="false">IF(AND(Eingabe!$F$15&gt;0,Eingabe!$E$15&gt;=24),"10."&amp;Eingabe!$D$15&amp;".24.1","")</f>
        <v/>
      </c>
      <c r="H1244" s="17" t="str">
        <f aca="false">IF(AND(Eingabe!$F$15&gt;0,Eingabe!$E$15&gt;=24),"10."&amp;Eingabe!$D$15&amp;".24.10 – 10."&amp;Eingabe!$D$15&amp;".24.250","")</f>
        <v/>
      </c>
      <c r="I1244" s="17" t="str">
        <f aca="false">IF(AND(Eingabe!$F$15&gt;0,Eingabe!$E$15&gt;=24),Eingabe!$B$6&amp;"-"&amp;Eingabe!$C$15&amp;"-Pächter","")</f>
        <v/>
      </c>
      <c r="J1244" s="17" t="str">
        <f aca="false">IF(AND(Eingabe!$F$15&gt;0,Eingabe!$E$15&gt;=24),"PPSK: Passwort Parzelle 24","")</f>
        <v/>
      </c>
      <c r="K1244" s="17" t="str">
        <f aca="false">IF(AND(Eingabe!$F$15&gt;0,Eingabe!$E$15&gt;=24),"1. Gerät: 10."&amp;Eingabe!$D$15&amp;".24.10, 2. Gerät: .11","")</f>
        <v/>
      </c>
    </row>
    <row r="1245" customFormat="false" ht="15" hidden="false" customHeight="false" outlineLevel="0" collapsed="false">
      <c r="A1245" s="17" t="str">
        <f aca="false">IF(AND(Eingabe!$F$15&gt;0,Eingabe!$E$15&gt;=25),7,"")</f>
        <v/>
      </c>
      <c r="B1245" s="17" t="str">
        <f aca="false">IF(AND(Eingabe!$F$15&gt;0,Eingabe!$E$15&gt;=25),Eingabe!$B$15,"")</f>
        <v/>
      </c>
      <c r="C1245" s="17" t="str">
        <f aca="false">IF(AND(Eingabe!$F$15&gt;0,Eingabe!$E$15&gt;=25),Eingabe!$C$15&amp;"-Paz."&amp;TEXT(25,"000"),"")</f>
        <v/>
      </c>
      <c r="D1245" s="17" t="str">
        <f aca="false">IF(AND(Eingabe!$F$15&gt;0,Eingabe!$E$15&gt;=25),25,"")</f>
        <v/>
      </c>
      <c r="E1245" s="17" t="str">
        <f aca="false">IF(AND(Eingabe!$F$15&gt;0,Eingabe!$E$15&gt;=25),IF((Eingabe!$G$15)&lt;=9,1000+(Eingabe!$G$15)*100,3000)+25,"")</f>
        <v/>
      </c>
      <c r="F1245" s="17" t="str">
        <f aca="false">IF(AND(Eingabe!$F$15&gt;0,Eingabe!$E$15&gt;=25),"10."&amp;Eingabe!$D$15&amp;".25.0/24","")</f>
        <v/>
      </c>
      <c r="G1245" s="17" t="str">
        <f aca="false">IF(AND(Eingabe!$F$15&gt;0,Eingabe!$E$15&gt;=25),"10."&amp;Eingabe!$D$15&amp;".25.1","")</f>
        <v/>
      </c>
      <c r="H1245" s="17" t="str">
        <f aca="false">IF(AND(Eingabe!$F$15&gt;0,Eingabe!$E$15&gt;=25),"10."&amp;Eingabe!$D$15&amp;".25.10 – 10."&amp;Eingabe!$D$15&amp;".25.250","")</f>
        <v/>
      </c>
      <c r="I1245" s="17" t="str">
        <f aca="false">IF(AND(Eingabe!$F$15&gt;0,Eingabe!$E$15&gt;=25),Eingabe!$B$6&amp;"-"&amp;Eingabe!$C$15&amp;"-Pächter","")</f>
        <v/>
      </c>
      <c r="J1245" s="17" t="str">
        <f aca="false">IF(AND(Eingabe!$F$15&gt;0,Eingabe!$E$15&gt;=25),"PPSK: Passwort Parzelle 25","")</f>
        <v/>
      </c>
      <c r="K1245" s="17" t="str">
        <f aca="false">IF(AND(Eingabe!$F$15&gt;0,Eingabe!$E$15&gt;=25),"1. Gerät: 10."&amp;Eingabe!$D$15&amp;".25.10, 2. Gerät: .11","")</f>
        <v/>
      </c>
    </row>
    <row r="1246" customFormat="false" ht="15" hidden="false" customHeight="false" outlineLevel="0" collapsed="false">
      <c r="A1246" s="17" t="str">
        <f aca="false">IF(AND(Eingabe!$F$15&gt;0,Eingabe!$E$15&gt;=26),7,"")</f>
        <v/>
      </c>
      <c r="B1246" s="17" t="str">
        <f aca="false">IF(AND(Eingabe!$F$15&gt;0,Eingabe!$E$15&gt;=26),Eingabe!$B$15,"")</f>
        <v/>
      </c>
      <c r="C1246" s="17" t="str">
        <f aca="false">IF(AND(Eingabe!$F$15&gt;0,Eingabe!$E$15&gt;=26),Eingabe!$C$15&amp;"-Paz."&amp;TEXT(26,"000"),"")</f>
        <v/>
      </c>
      <c r="D1246" s="17" t="str">
        <f aca="false">IF(AND(Eingabe!$F$15&gt;0,Eingabe!$E$15&gt;=26),26,"")</f>
        <v/>
      </c>
      <c r="E1246" s="17" t="str">
        <f aca="false">IF(AND(Eingabe!$F$15&gt;0,Eingabe!$E$15&gt;=26),IF((Eingabe!$G$15)&lt;=9,1000+(Eingabe!$G$15)*100,3000)+26,"")</f>
        <v/>
      </c>
      <c r="F1246" s="17" t="str">
        <f aca="false">IF(AND(Eingabe!$F$15&gt;0,Eingabe!$E$15&gt;=26),"10."&amp;Eingabe!$D$15&amp;".26.0/24","")</f>
        <v/>
      </c>
      <c r="G1246" s="17" t="str">
        <f aca="false">IF(AND(Eingabe!$F$15&gt;0,Eingabe!$E$15&gt;=26),"10."&amp;Eingabe!$D$15&amp;".26.1","")</f>
        <v/>
      </c>
      <c r="H1246" s="17" t="str">
        <f aca="false">IF(AND(Eingabe!$F$15&gt;0,Eingabe!$E$15&gt;=26),"10."&amp;Eingabe!$D$15&amp;".26.10 – 10."&amp;Eingabe!$D$15&amp;".26.250","")</f>
        <v/>
      </c>
      <c r="I1246" s="17" t="str">
        <f aca="false">IF(AND(Eingabe!$F$15&gt;0,Eingabe!$E$15&gt;=26),Eingabe!$B$6&amp;"-"&amp;Eingabe!$C$15&amp;"-Pächter","")</f>
        <v/>
      </c>
      <c r="J1246" s="17" t="str">
        <f aca="false">IF(AND(Eingabe!$F$15&gt;0,Eingabe!$E$15&gt;=26),"PPSK: Passwort Parzelle 26","")</f>
        <v/>
      </c>
      <c r="K1246" s="17" t="str">
        <f aca="false">IF(AND(Eingabe!$F$15&gt;0,Eingabe!$E$15&gt;=26),"1. Gerät: 10."&amp;Eingabe!$D$15&amp;".26.10, 2. Gerät: .11","")</f>
        <v/>
      </c>
    </row>
    <row r="1247" customFormat="false" ht="15" hidden="false" customHeight="false" outlineLevel="0" collapsed="false">
      <c r="A1247" s="17" t="str">
        <f aca="false">IF(AND(Eingabe!$F$15&gt;0,Eingabe!$E$15&gt;=27),7,"")</f>
        <v/>
      </c>
      <c r="B1247" s="17" t="str">
        <f aca="false">IF(AND(Eingabe!$F$15&gt;0,Eingabe!$E$15&gt;=27),Eingabe!$B$15,"")</f>
        <v/>
      </c>
      <c r="C1247" s="17" t="str">
        <f aca="false">IF(AND(Eingabe!$F$15&gt;0,Eingabe!$E$15&gt;=27),Eingabe!$C$15&amp;"-Paz."&amp;TEXT(27,"000"),"")</f>
        <v/>
      </c>
      <c r="D1247" s="17" t="str">
        <f aca="false">IF(AND(Eingabe!$F$15&gt;0,Eingabe!$E$15&gt;=27),27,"")</f>
        <v/>
      </c>
      <c r="E1247" s="17" t="str">
        <f aca="false">IF(AND(Eingabe!$F$15&gt;0,Eingabe!$E$15&gt;=27),IF((Eingabe!$G$15)&lt;=9,1000+(Eingabe!$G$15)*100,3000)+27,"")</f>
        <v/>
      </c>
      <c r="F1247" s="17" t="str">
        <f aca="false">IF(AND(Eingabe!$F$15&gt;0,Eingabe!$E$15&gt;=27),"10."&amp;Eingabe!$D$15&amp;".27.0/24","")</f>
        <v/>
      </c>
      <c r="G1247" s="17" t="str">
        <f aca="false">IF(AND(Eingabe!$F$15&gt;0,Eingabe!$E$15&gt;=27),"10."&amp;Eingabe!$D$15&amp;".27.1","")</f>
        <v/>
      </c>
      <c r="H1247" s="17" t="str">
        <f aca="false">IF(AND(Eingabe!$F$15&gt;0,Eingabe!$E$15&gt;=27),"10."&amp;Eingabe!$D$15&amp;".27.10 – 10."&amp;Eingabe!$D$15&amp;".27.250","")</f>
        <v/>
      </c>
      <c r="I1247" s="17" t="str">
        <f aca="false">IF(AND(Eingabe!$F$15&gt;0,Eingabe!$E$15&gt;=27),Eingabe!$B$6&amp;"-"&amp;Eingabe!$C$15&amp;"-Pächter","")</f>
        <v/>
      </c>
      <c r="J1247" s="17" t="str">
        <f aca="false">IF(AND(Eingabe!$F$15&gt;0,Eingabe!$E$15&gt;=27),"PPSK: Passwort Parzelle 27","")</f>
        <v/>
      </c>
      <c r="K1247" s="17" t="str">
        <f aca="false">IF(AND(Eingabe!$F$15&gt;0,Eingabe!$E$15&gt;=27),"1. Gerät: 10."&amp;Eingabe!$D$15&amp;".27.10, 2. Gerät: .11","")</f>
        <v/>
      </c>
    </row>
    <row r="1248" customFormat="false" ht="15" hidden="false" customHeight="false" outlineLevel="0" collapsed="false">
      <c r="A1248" s="17" t="str">
        <f aca="false">IF(AND(Eingabe!$F$15&gt;0,Eingabe!$E$15&gt;=28),7,"")</f>
        <v/>
      </c>
      <c r="B1248" s="17" t="str">
        <f aca="false">IF(AND(Eingabe!$F$15&gt;0,Eingabe!$E$15&gt;=28),Eingabe!$B$15,"")</f>
        <v/>
      </c>
      <c r="C1248" s="17" t="str">
        <f aca="false">IF(AND(Eingabe!$F$15&gt;0,Eingabe!$E$15&gt;=28),Eingabe!$C$15&amp;"-Paz."&amp;TEXT(28,"000"),"")</f>
        <v/>
      </c>
      <c r="D1248" s="17" t="str">
        <f aca="false">IF(AND(Eingabe!$F$15&gt;0,Eingabe!$E$15&gt;=28),28,"")</f>
        <v/>
      </c>
      <c r="E1248" s="17" t="str">
        <f aca="false">IF(AND(Eingabe!$F$15&gt;0,Eingabe!$E$15&gt;=28),IF((Eingabe!$G$15)&lt;=9,1000+(Eingabe!$G$15)*100,3000)+28,"")</f>
        <v/>
      </c>
      <c r="F1248" s="17" t="str">
        <f aca="false">IF(AND(Eingabe!$F$15&gt;0,Eingabe!$E$15&gt;=28),"10."&amp;Eingabe!$D$15&amp;".28.0/24","")</f>
        <v/>
      </c>
      <c r="G1248" s="17" t="str">
        <f aca="false">IF(AND(Eingabe!$F$15&gt;0,Eingabe!$E$15&gt;=28),"10."&amp;Eingabe!$D$15&amp;".28.1","")</f>
        <v/>
      </c>
      <c r="H1248" s="17" t="str">
        <f aca="false">IF(AND(Eingabe!$F$15&gt;0,Eingabe!$E$15&gt;=28),"10."&amp;Eingabe!$D$15&amp;".28.10 – 10."&amp;Eingabe!$D$15&amp;".28.250","")</f>
        <v/>
      </c>
      <c r="I1248" s="17" t="str">
        <f aca="false">IF(AND(Eingabe!$F$15&gt;0,Eingabe!$E$15&gt;=28),Eingabe!$B$6&amp;"-"&amp;Eingabe!$C$15&amp;"-Pächter","")</f>
        <v/>
      </c>
      <c r="J1248" s="17" t="str">
        <f aca="false">IF(AND(Eingabe!$F$15&gt;0,Eingabe!$E$15&gt;=28),"PPSK: Passwort Parzelle 28","")</f>
        <v/>
      </c>
      <c r="K1248" s="17" t="str">
        <f aca="false">IF(AND(Eingabe!$F$15&gt;0,Eingabe!$E$15&gt;=28),"1. Gerät: 10."&amp;Eingabe!$D$15&amp;".28.10, 2. Gerät: .11","")</f>
        <v/>
      </c>
    </row>
    <row r="1249" customFormat="false" ht="15" hidden="false" customHeight="false" outlineLevel="0" collapsed="false">
      <c r="A1249" s="17" t="str">
        <f aca="false">IF(AND(Eingabe!$F$15&gt;0,Eingabe!$E$15&gt;=29),7,"")</f>
        <v/>
      </c>
      <c r="B1249" s="17" t="str">
        <f aca="false">IF(AND(Eingabe!$F$15&gt;0,Eingabe!$E$15&gt;=29),Eingabe!$B$15,"")</f>
        <v/>
      </c>
      <c r="C1249" s="17" t="str">
        <f aca="false">IF(AND(Eingabe!$F$15&gt;0,Eingabe!$E$15&gt;=29),Eingabe!$C$15&amp;"-Paz."&amp;TEXT(29,"000"),"")</f>
        <v/>
      </c>
      <c r="D1249" s="17" t="str">
        <f aca="false">IF(AND(Eingabe!$F$15&gt;0,Eingabe!$E$15&gt;=29),29,"")</f>
        <v/>
      </c>
      <c r="E1249" s="17" t="str">
        <f aca="false">IF(AND(Eingabe!$F$15&gt;0,Eingabe!$E$15&gt;=29),IF((Eingabe!$G$15)&lt;=9,1000+(Eingabe!$G$15)*100,3000)+29,"")</f>
        <v/>
      </c>
      <c r="F1249" s="17" t="str">
        <f aca="false">IF(AND(Eingabe!$F$15&gt;0,Eingabe!$E$15&gt;=29),"10."&amp;Eingabe!$D$15&amp;".29.0/24","")</f>
        <v/>
      </c>
      <c r="G1249" s="17" t="str">
        <f aca="false">IF(AND(Eingabe!$F$15&gt;0,Eingabe!$E$15&gt;=29),"10."&amp;Eingabe!$D$15&amp;".29.1","")</f>
        <v/>
      </c>
      <c r="H1249" s="17" t="str">
        <f aca="false">IF(AND(Eingabe!$F$15&gt;0,Eingabe!$E$15&gt;=29),"10."&amp;Eingabe!$D$15&amp;".29.10 – 10."&amp;Eingabe!$D$15&amp;".29.250","")</f>
        <v/>
      </c>
      <c r="I1249" s="17" t="str">
        <f aca="false">IF(AND(Eingabe!$F$15&gt;0,Eingabe!$E$15&gt;=29),Eingabe!$B$6&amp;"-"&amp;Eingabe!$C$15&amp;"-Pächter","")</f>
        <v/>
      </c>
      <c r="J1249" s="17" t="str">
        <f aca="false">IF(AND(Eingabe!$F$15&gt;0,Eingabe!$E$15&gt;=29),"PPSK: Passwort Parzelle 29","")</f>
        <v/>
      </c>
      <c r="K1249" s="17" t="str">
        <f aca="false">IF(AND(Eingabe!$F$15&gt;0,Eingabe!$E$15&gt;=29),"1. Gerät: 10."&amp;Eingabe!$D$15&amp;".29.10, 2. Gerät: .11","")</f>
        <v/>
      </c>
    </row>
    <row r="1250" customFormat="false" ht="15" hidden="false" customHeight="false" outlineLevel="0" collapsed="false">
      <c r="A1250" s="17" t="str">
        <f aca="false">IF(AND(Eingabe!$F$15&gt;0,Eingabe!$E$15&gt;=30),7,"")</f>
        <v/>
      </c>
      <c r="B1250" s="17" t="str">
        <f aca="false">IF(AND(Eingabe!$F$15&gt;0,Eingabe!$E$15&gt;=30),Eingabe!$B$15,"")</f>
        <v/>
      </c>
      <c r="C1250" s="17" t="str">
        <f aca="false">IF(AND(Eingabe!$F$15&gt;0,Eingabe!$E$15&gt;=30),Eingabe!$C$15&amp;"-Paz."&amp;TEXT(30,"000"),"")</f>
        <v/>
      </c>
      <c r="D1250" s="17" t="str">
        <f aca="false">IF(AND(Eingabe!$F$15&gt;0,Eingabe!$E$15&gt;=30),30,"")</f>
        <v/>
      </c>
      <c r="E1250" s="17" t="str">
        <f aca="false">IF(AND(Eingabe!$F$15&gt;0,Eingabe!$E$15&gt;=30),IF((Eingabe!$G$15)&lt;=9,1000+(Eingabe!$G$15)*100,3000)+30,"")</f>
        <v/>
      </c>
      <c r="F1250" s="17" t="str">
        <f aca="false">IF(AND(Eingabe!$F$15&gt;0,Eingabe!$E$15&gt;=30),"10."&amp;Eingabe!$D$15&amp;".30.0/24","")</f>
        <v/>
      </c>
      <c r="G1250" s="17" t="str">
        <f aca="false">IF(AND(Eingabe!$F$15&gt;0,Eingabe!$E$15&gt;=30),"10."&amp;Eingabe!$D$15&amp;".30.1","")</f>
        <v/>
      </c>
      <c r="H1250" s="17" t="str">
        <f aca="false">IF(AND(Eingabe!$F$15&gt;0,Eingabe!$E$15&gt;=30),"10."&amp;Eingabe!$D$15&amp;".30.10 – 10."&amp;Eingabe!$D$15&amp;".30.250","")</f>
        <v/>
      </c>
      <c r="I1250" s="17" t="str">
        <f aca="false">IF(AND(Eingabe!$F$15&gt;0,Eingabe!$E$15&gt;=30),Eingabe!$B$6&amp;"-"&amp;Eingabe!$C$15&amp;"-Pächter","")</f>
        <v/>
      </c>
      <c r="J1250" s="17" t="str">
        <f aca="false">IF(AND(Eingabe!$F$15&gt;0,Eingabe!$E$15&gt;=30),"PPSK: Passwort Parzelle 30","")</f>
        <v/>
      </c>
      <c r="K1250" s="17" t="str">
        <f aca="false">IF(AND(Eingabe!$F$15&gt;0,Eingabe!$E$15&gt;=30),"1. Gerät: 10."&amp;Eingabe!$D$15&amp;".30.10, 2. Gerät: .11","")</f>
        <v/>
      </c>
    </row>
    <row r="1251" customFormat="false" ht="15" hidden="false" customHeight="false" outlineLevel="0" collapsed="false">
      <c r="A1251" s="17" t="str">
        <f aca="false">IF(AND(Eingabe!$F$15&gt;0,Eingabe!$E$15&gt;=31),7,"")</f>
        <v/>
      </c>
      <c r="B1251" s="17" t="str">
        <f aca="false">IF(AND(Eingabe!$F$15&gt;0,Eingabe!$E$15&gt;=31),Eingabe!$B$15,"")</f>
        <v/>
      </c>
      <c r="C1251" s="17" t="str">
        <f aca="false">IF(AND(Eingabe!$F$15&gt;0,Eingabe!$E$15&gt;=31),Eingabe!$C$15&amp;"-Paz."&amp;TEXT(31,"000"),"")</f>
        <v/>
      </c>
      <c r="D1251" s="17" t="str">
        <f aca="false">IF(AND(Eingabe!$F$15&gt;0,Eingabe!$E$15&gt;=31),31,"")</f>
        <v/>
      </c>
      <c r="E1251" s="17" t="str">
        <f aca="false">IF(AND(Eingabe!$F$15&gt;0,Eingabe!$E$15&gt;=31),IF((Eingabe!$G$15)&lt;=9,1000+(Eingabe!$G$15)*100,3000)+31,"")</f>
        <v/>
      </c>
      <c r="F1251" s="17" t="str">
        <f aca="false">IF(AND(Eingabe!$F$15&gt;0,Eingabe!$E$15&gt;=31),"10."&amp;Eingabe!$D$15&amp;".31.0/24","")</f>
        <v/>
      </c>
      <c r="G1251" s="17" t="str">
        <f aca="false">IF(AND(Eingabe!$F$15&gt;0,Eingabe!$E$15&gt;=31),"10."&amp;Eingabe!$D$15&amp;".31.1","")</f>
        <v/>
      </c>
      <c r="H1251" s="17" t="str">
        <f aca="false">IF(AND(Eingabe!$F$15&gt;0,Eingabe!$E$15&gt;=31),"10."&amp;Eingabe!$D$15&amp;".31.10 – 10."&amp;Eingabe!$D$15&amp;".31.250","")</f>
        <v/>
      </c>
      <c r="I1251" s="17" t="str">
        <f aca="false">IF(AND(Eingabe!$F$15&gt;0,Eingabe!$E$15&gt;=31),Eingabe!$B$6&amp;"-"&amp;Eingabe!$C$15&amp;"-Pächter","")</f>
        <v/>
      </c>
      <c r="J1251" s="17" t="str">
        <f aca="false">IF(AND(Eingabe!$F$15&gt;0,Eingabe!$E$15&gt;=31),"PPSK: Passwort Parzelle 31","")</f>
        <v/>
      </c>
      <c r="K1251" s="17" t="str">
        <f aca="false">IF(AND(Eingabe!$F$15&gt;0,Eingabe!$E$15&gt;=31),"1. Gerät: 10."&amp;Eingabe!$D$15&amp;".31.10, 2. Gerät: .11","")</f>
        <v/>
      </c>
    </row>
    <row r="1252" customFormat="false" ht="15" hidden="false" customHeight="false" outlineLevel="0" collapsed="false">
      <c r="A1252" s="17" t="str">
        <f aca="false">IF(AND(Eingabe!$F$15&gt;0,Eingabe!$E$15&gt;=32),7,"")</f>
        <v/>
      </c>
      <c r="B1252" s="17" t="str">
        <f aca="false">IF(AND(Eingabe!$F$15&gt;0,Eingabe!$E$15&gt;=32),Eingabe!$B$15,"")</f>
        <v/>
      </c>
      <c r="C1252" s="17" t="str">
        <f aca="false">IF(AND(Eingabe!$F$15&gt;0,Eingabe!$E$15&gt;=32),Eingabe!$C$15&amp;"-Paz."&amp;TEXT(32,"000"),"")</f>
        <v/>
      </c>
      <c r="D1252" s="17" t="str">
        <f aca="false">IF(AND(Eingabe!$F$15&gt;0,Eingabe!$E$15&gt;=32),32,"")</f>
        <v/>
      </c>
      <c r="E1252" s="17" t="str">
        <f aca="false">IF(AND(Eingabe!$F$15&gt;0,Eingabe!$E$15&gt;=32),IF((Eingabe!$G$15)&lt;=9,1000+(Eingabe!$G$15)*100,3000)+32,"")</f>
        <v/>
      </c>
      <c r="F1252" s="17" t="str">
        <f aca="false">IF(AND(Eingabe!$F$15&gt;0,Eingabe!$E$15&gt;=32),"10."&amp;Eingabe!$D$15&amp;".32.0/24","")</f>
        <v/>
      </c>
      <c r="G1252" s="17" t="str">
        <f aca="false">IF(AND(Eingabe!$F$15&gt;0,Eingabe!$E$15&gt;=32),"10."&amp;Eingabe!$D$15&amp;".32.1","")</f>
        <v/>
      </c>
      <c r="H1252" s="17" t="str">
        <f aca="false">IF(AND(Eingabe!$F$15&gt;0,Eingabe!$E$15&gt;=32),"10."&amp;Eingabe!$D$15&amp;".32.10 – 10."&amp;Eingabe!$D$15&amp;".32.250","")</f>
        <v/>
      </c>
      <c r="I1252" s="17" t="str">
        <f aca="false">IF(AND(Eingabe!$F$15&gt;0,Eingabe!$E$15&gt;=32),Eingabe!$B$6&amp;"-"&amp;Eingabe!$C$15&amp;"-Pächter","")</f>
        <v/>
      </c>
      <c r="J1252" s="17" t="str">
        <f aca="false">IF(AND(Eingabe!$F$15&gt;0,Eingabe!$E$15&gt;=32),"PPSK: Passwort Parzelle 32","")</f>
        <v/>
      </c>
      <c r="K1252" s="17" t="str">
        <f aca="false">IF(AND(Eingabe!$F$15&gt;0,Eingabe!$E$15&gt;=32),"1. Gerät: 10."&amp;Eingabe!$D$15&amp;".32.10, 2. Gerät: .11","")</f>
        <v/>
      </c>
    </row>
    <row r="1253" customFormat="false" ht="15" hidden="false" customHeight="false" outlineLevel="0" collapsed="false">
      <c r="A1253" s="17" t="str">
        <f aca="false">IF(AND(Eingabe!$F$15&gt;0,Eingabe!$E$15&gt;=33),7,"")</f>
        <v/>
      </c>
      <c r="B1253" s="17" t="str">
        <f aca="false">IF(AND(Eingabe!$F$15&gt;0,Eingabe!$E$15&gt;=33),Eingabe!$B$15,"")</f>
        <v/>
      </c>
      <c r="C1253" s="17" t="str">
        <f aca="false">IF(AND(Eingabe!$F$15&gt;0,Eingabe!$E$15&gt;=33),Eingabe!$C$15&amp;"-Paz."&amp;TEXT(33,"000"),"")</f>
        <v/>
      </c>
      <c r="D1253" s="17" t="str">
        <f aca="false">IF(AND(Eingabe!$F$15&gt;0,Eingabe!$E$15&gt;=33),33,"")</f>
        <v/>
      </c>
      <c r="E1253" s="17" t="str">
        <f aca="false">IF(AND(Eingabe!$F$15&gt;0,Eingabe!$E$15&gt;=33),IF((Eingabe!$G$15)&lt;=9,1000+(Eingabe!$G$15)*100,3000)+33,"")</f>
        <v/>
      </c>
      <c r="F1253" s="17" t="str">
        <f aca="false">IF(AND(Eingabe!$F$15&gt;0,Eingabe!$E$15&gt;=33),"10."&amp;Eingabe!$D$15&amp;".33.0/24","")</f>
        <v/>
      </c>
      <c r="G1253" s="17" t="str">
        <f aca="false">IF(AND(Eingabe!$F$15&gt;0,Eingabe!$E$15&gt;=33),"10."&amp;Eingabe!$D$15&amp;".33.1","")</f>
        <v/>
      </c>
      <c r="H1253" s="17" t="str">
        <f aca="false">IF(AND(Eingabe!$F$15&gt;0,Eingabe!$E$15&gt;=33),"10."&amp;Eingabe!$D$15&amp;".33.10 – 10."&amp;Eingabe!$D$15&amp;".33.250","")</f>
        <v/>
      </c>
      <c r="I1253" s="17" t="str">
        <f aca="false">IF(AND(Eingabe!$F$15&gt;0,Eingabe!$E$15&gt;=33),Eingabe!$B$6&amp;"-"&amp;Eingabe!$C$15&amp;"-Pächter","")</f>
        <v/>
      </c>
      <c r="J1253" s="17" t="str">
        <f aca="false">IF(AND(Eingabe!$F$15&gt;0,Eingabe!$E$15&gt;=33),"PPSK: Passwort Parzelle 33","")</f>
        <v/>
      </c>
      <c r="K1253" s="17" t="str">
        <f aca="false">IF(AND(Eingabe!$F$15&gt;0,Eingabe!$E$15&gt;=33),"1. Gerät: 10."&amp;Eingabe!$D$15&amp;".33.10, 2. Gerät: .11","")</f>
        <v/>
      </c>
    </row>
    <row r="1254" customFormat="false" ht="15" hidden="false" customHeight="false" outlineLevel="0" collapsed="false">
      <c r="A1254" s="17" t="str">
        <f aca="false">IF(AND(Eingabe!$F$15&gt;0,Eingabe!$E$15&gt;=34),7,"")</f>
        <v/>
      </c>
      <c r="B1254" s="17" t="str">
        <f aca="false">IF(AND(Eingabe!$F$15&gt;0,Eingabe!$E$15&gt;=34),Eingabe!$B$15,"")</f>
        <v/>
      </c>
      <c r="C1254" s="17" t="str">
        <f aca="false">IF(AND(Eingabe!$F$15&gt;0,Eingabe!$E$15&gt;=34),Eingabe!$C$15&amp;"-Paz."&amp;TEXT(34,"000"),"")</f>
        <v/>
      </c>
      <c r="D1254" s="17" t="str">
        <f aca="false">IF(AND(Eingabe!$F$15&gt;0,Eingabe!$E$15&gt;=34),34,"")</f>
        <v/>
      </c>
      <c r="E1254" s="17" t="str">
        <f aca="false">IF(AND(Eingabe!$F$15&gt;0,Eingabe!$E$15&gt;=34),IF((Eingabe!$G$15)&lt;=9,1000+(Eingabe!$G$15)*100,3000)+34,"")</f>
        <v/>
      </c>
      <c r="F1254" s="17" t="str">
        <f aca="false">IF(AND(Eingabe!$F$15&gt;0,Eingabe!$E$15&gt;=34),"10."&amp;Eingabe!$D$15&amp;".34.0/24","")</f>
        <v/>
      </c>
      <c r="G1254" s="17" t="str">
        <f aca="false">IF(AND(Eingabe!$F$15&gt;0,Eingabe!$E$15&gt;=34),"10."&amp;Eingabe!$D$15&amp;".34.1","")</f>
        <v/>
      </c>
      <c r="H1254" s="17" t="str">
        <f aca="false">IF(AND(Eingabe!$F$15&gt;0,Eingabe!$E$15&gt;=34),"10."&amp;Eingabe!$D$15&amp;".34.10 – 10."&amp;Eingabe!$D$15&amp;".34.250","")</f>
        <v/>
      </c>
      <c r="I1254" s="17" t="str">
        <f aca="false">IF(AND(Eingabe!$F$15&gt;0,Eingabe!$E$15&gt;=34),Eingabe!$B$6&amp;"-"&amp;Eingabe!$C$15&amp;"-Pächter","")</f>
        <v/>
      </c>
      <c r="J1254" s="17" t="str">
        <f aca="false">IF(AND(Eingabe!$F$15&gt;0,Eingabe!$E$15&gt;=34),"PPSK: Passwort Parzelle 34","")</f>
        <v/>
      </c>
      <c r="K1254" s="17" t="str">
        <f aca="false">IF(AND(Eingabe!$F$15&gt;0,Eingabe!$E$15&gt;=34),"1. Gerät: 10."&amp;Eingabe!$D$15&amp;".34.10, 2. Gerät: .11","")</f>
        <v/>
      </c>
    </row>
    <row r="1255" customFormat="false" ht="15" hidden="false" customHeight="false" outlineLevel="0" collapsed="false">
      <c r="A1255" s="17" t="str">
        <f aca="false">IF(AND(Eingabe!$F$15&gt;0,Eingabe!$E$15&gt;=35),7,"")</f>
        <v/>
      </c>
      <c r="B1255" s="17" t="str">
        <f aca="false">IF(AND(Eingabe!$F$15&gt;0,Eingabe!$E$15&gt;=35),Eingabe!$B$15,"")</f>
        <v/>
      </c>
      <c r="C1255" s="17" t="str">
        <f aca="false">IF(AND(Eingabe!$F$15&gt;0,Eingabe!$E$15&gt;=35),Eingabe!$C$15&amp;"-Paz."&amp;TEXT(35,"000"),"")</f>
        <v/>
      </c>
      <c r="D1255" s="17" t="str">
        <f aca="false">IF(AND(Eingabe!$F$15&gt;0,Eingabe!$E$15&gt;=35),35,"")</f>
        <v/>
      </c>
      <c r="E1255" s="17" t="str">
        <f aca="false">IF(AND(Eingabe!$F$15&gt;0,Eingabe!$E$15&gt;=35),IF((Eingabe!$G$15)&lt;=9,1000+(Eingabe!$G$15)*100,3000)+35,"")</f>
        <v/>
      </c>
      <c r="F1255" s="17" t="str">
        <f aca="false">IF(AND(Eingabe!$F$15&gt;0,Eingabe!$E$15&gt;=35),"10."&amp;Eingabe!$D$15&amp;".35.0/24","")</f>
        <v/>
      </c>
      <c r="G1255" s="17" t="str">
        <f aca="false">IF(AND(Eingabe!$F$15&gt;0,Eingabe!$E$15&gt;=35),"10."&amp;Eingabe!$D$15&amp;".35.1","")</f>
        <v/>
      </c>
      <c r="H1255" s="17" t="str">
        <f aca="false">IF(AND(Eingabe!$F$15&gt;0,Eingabe!$E$15&gt;=35),"10."&amp;Eingabe!$D$15&amp;".35.10 – 10."&amp;Eingabe!$D$15&amp;".35.250","")</f>
        <v/>
      </c>
      <c r="I1255" s="17" t="str">
        <f aca="false">IF(AND(Eingabe!$F$15&gt;0,Eingabe!$E$15&gt;=35),Eingabe!$B$6&amp;"-"&amp;Eingabe!$C$15&amp;"-Pächter","")</f>
        <v/>
      </c>
      <c r="J1255" s="17" t="str">
        <f aca="false">IF(AND(Eingabe!$F$15&gt;0,Eingabe!$E$15&gt;=35),"PPSK: Passwort Parzelle 35","")</f>
        <v/>
      </c>
      <c r="K1255" s="17" t="str">
        <f aca="false">IF(AND(Eingabe!$F$15&gt;0,Eingabe!$E$15&gt;=35),"1. Gerät: 10."&amp;Eingabe!$D$15&amp;".35.10, 2. Gerät: .11","")</f>
        <v/>
      </c>
    </row>
    <row r="1256" customFormat="false" ht="15" hidden="false" customHeight="false" outlineLevel="0" collapsed="false">
      <c r="A1256" s="17" t="str">
        <f aca="false">IF(AND(Eingabe!$F$15&gt;0,Eingabe!$E$15&gt;=36),7,"")</f>
        <v/>
      </c>
      <c r="B1256" s="17" t="str">
        <f aca="false">IF(AND(Eingabe!$F$15&gt;0,Eingabe!$E$15&gt;=36),Eingabe!$B$15,"")</f>
        <v/>
      </c>
      <c r="C1256" s="17" t="str">
        <f aca="false">IF(AND(Eingabe!$F$15&gt;0,Eingabe!$E$15&gt;=36),Eingabe!$C$15&amp;"-Paz."&amp;TEXT(36,"000"),"")</f>
        <v/>
      </c>
      <c r="D1256" s="17" t="str">
        <f aca="false">IF(AND(Eingabe!$F$15&gt;0,Eingabe!$E$15&gt;=36),36,"")</f>
        <v/>
      </c>
      <c r="E1256" s="17" t="str">
        <f aca="false">IF(AND(Eingabe!$F$15&gt;0,Eingabe!$E$15&gt;=36),IF((Eingabe!$G$15)&lt;=9,1000+(Eingabe!$G$15)*100,3000)+36,"")</f>
        <v/>
      </c>
      <c r="F1256" s="17" t="str">
        <f aca="false">IF(AND(Eingabe!$F$15&gt;0,Eingabe!$E$15&gt;=36),"10."&amp;Eingabe!$D$15&amp;".36.0/24","")</f>
        <v/>
      </c>
      <c r="G1256" s="17" t="str">
        <f aca="false">IF(AND(Eingabe!$F$15&gt;0,Eingabe!$E$15&gt;=36),"10."&amp;Eingabe!$D$15&amp;".36.1","")</f>
        <v/>
      </c>
      <c r="H1256" s="17" t="str">
        <f aca="false">IF(AND(Eingabe!$F$15&gt;0,Eingabe!$E$15&gt;=36),"10."&amp;Eingabe!$D$15&amp;".36.10 – 10."&amp;Eingabe!$D$15&amp;".36.250","")</f>
        <v/>
      </c>
      <c r="I1256" s="17" t="str">
        <f aca="false">IF(AND(Eingabe!$F$15&gt;0,Eingabe!$E$15&gt;=36),Eingabe!$B$6&amp;"-"&amp;Eingabe!$C$15&amp;"-Pächter","")</f>
        <v/>
      </c>
      <c r="J1256" s="17" t="str">
        <f aca="false">IF(AND(Eingabe!$F$15&gt;0,Eingabe!$E$15&gt;=36),"PPSK: Passwort Parzelle 36","")</f>
        <v/>
      </c>
      <c r="K1256" s="17" t="str">
        <f aca="false">IF(AND(Eingabe!$F$15&gt;0,Eingabe!$E$15&gt;=36),"1. Gerät: 10."&amp;Eingabe!$D$15&amp;".36.10, 2. Gerät: .11","")</f>
        <v/>
      </c>
    </row>
    <row r="1257" customFormat="false" ht="15" hidden="false" customHeight="false" outlineLevel="0" collapsed="false">
      <c r="A1257" s="17" t="str">
        <f aca="false">IF(AND(Eingabe!$F$15&gt;0,Eingabe!$E$15&gt;=37),7,"")</f>
        <v/>
      </c>
      <c r="B1257" s="17" t="str">
        <f aca="false">IF(AND(Eingabe!$F$15&gt;0,Eingabe!$E$15&gt;=37),Eingabe!$B$15,"")</f>
        <v/>
      </c>
      <c r="C1257" s="17" t="str">
        <f aca="false">IF(AND(Eingabe!$F$15&gt;0,Eingabe!$E$15&gt;=37),Eingabe!$C$15&amp;"-Paz."&amp;TEXT(37,"000"),"")</f>
        <v/>
      </c>
      <c r="D1257" s="17" t="str">
        <f aca="false">IF(AND(Eingabe!$F$15&gt;0,Eingabe!$E$15&gt;=37),37,"")</f>
        <v/>
      </c>
      <c r="E1257" s="17" t="str">
        <f aca="false">IF(AND(Eingabe!$F$15&gt;0,Eingabe!$E$15&gt;=37),IF((Eingabe!$G$15)&lt;=9,1000+(Eingabe!$G$15)*100,3000)+37,"")</f>
        <v/>
      </c>
      <c r="F1257" s="17" t="str">
        <f aca="false">IF(AND(Eingabe!$F$15&gt;0,Eingabe!$E$15&gt;=37),"10."&amp;Eingabe!$D$15&amp;".37.0/24","")</f>
        <v/>
      </c>
      <c r="G1257" s="17" t="str">
        <f aca="false">IF(AND(Eingabe!$F$15&gt;0,Eingabe!$E$15&gt;=37),"10."&amp;Eingabe!$D$15&amp;".37.1","")</f>
        <v/>
      </c>
      <c r="H1257" s="17" t="str">
        <f aca="false">IF(AND(Eingabe!$F$15&gt;0,Eingabe!$E$15&gt;=37),"10."&amp;Eingabe!$D$15&amp;".37.10 – 10."&amp;Eingabe!$D$15&amp;".37.250","")</f>
        <v/>
      </c>
      <c r="I1257" s="17" t="str">
        <f aca="false">IF(AND(Eingabe!$F$15&gt;0,Eingabe!$E$15&gt;=37),Eingabe!$B$6&amp;"-"&amp;Eingabe!$C$15&amp;"-Pächter","")</f>
        <v/>
      </c>
      <c r="J1257" s="17" t="str">
        <f aca="false">IF(AND(Eingabe!$F$15&gt;0,Eingabe!$E$15&gt;=37),"PPSK: Passwort Parzelle 37","")</f>
        <v/>
      </c>
      <c r="K1257" s="17" t="str">
        <f aca="false">IF(AND(Eingabe!$F$15&gt;0,Eingabe!$E$15&gt;=37),"1. Gerät: 10."&amp;Eingabe!$D$15&amp;".37.10, 2. Gerät: .11","")</f>
        <v/>
      </c>
    </row>
    <row r="1258" customFormat="false" ht="15" hidden="false" customHeight="false" outlineLevel="0" collapsed="false">
      <c r="A1258" s="17" t="str">
        <f aca="false">IF(AND(Eingabe!$F$15&gt;0,Eingabe!$E$15&gt;=38),7,"")</f>
        <v/>
      </c>
      <c r="B1258" s="17" t="str">
        <f aca="false">IF(AND(Eingabe!$F$15&gt;0,Eingabe!$E$15&gt;=38),Eingabe!$B$15,"")</f>
        <v/>
      </c>
      <c r="C1258" s="17" t="str">
        <f aca="false">IF(AND(Eingabe!$F$15&gt;0,Eingabe!$E$15&gt;=38),Eingabe!$C$15&amp;"-Paz."&amp;TEXT(38,"000"),"")</f>
        <v/>
      </c>
      <c r="D1258" s="17" t="str">
        <f aca="false">IF(AND(Eingabe!$F$15&gt;0,Eingabe!$E$15&gt;=38),38,"")</f>
        <v/>
      </c>
      <c r="E1258" s="17" t="str">
        <f aca="false">IF(AND(Eingabe!$F$15&gt;0,Eingabe!$E$15&gt;=38),IF((Eingabe!$G$15)&lt;=9,1000+(Eingabe!$G$15)*100,3000)+38,"")</f>
        <v/>
      </c>
      <c r="F1258" s="17" t="str">
        <f aca="false">IF(AND(Eingabe!$F$15&gt;0,Eingabe!$E$15&gt;=38),"10."&amp;Eingabe!$D$15&amp;".38.0/24","")</f>
        <v/>
      </c>
      <c r="G1258" s="17" t="str">
        <f aca="false">IF(AND(Eingabe!$F$15&gt;0,Eingabe!$E$15&gt;=38),"10."&amp;Eingabe!$D$15&amp;".38.1","")</f>
        <v/>
      </c>
      <c r="H1258" s="17" t="str">
        <f aca="false">IF(AND(Eingabe!$F$15&gt;0,Eingabe!$E$15&gt;=38),"10."&amp;Eingabe!$D$15&amp;".38.10 – 10."&amp;Eingabe!$D$15&amp;".38.250","")</f>
        <v/>
      </c>
      <c r="I1258" s="17" t="str">
        <f aca="false">IF(AND(Eingabe!$F$15&gt;0,Eingabe!$E$15&gt;=38),Eingabe!$B$6&amp;"-"&amp;Eingabe!$C$15&amp;"-Pächter","")</f>
        <v/>
      </c>
      <c r="J1258" s="17" t="str">
        <f aca="false">IF(AND(Eingabe!$F$15&gt;0,Eingabe!$E$15&gt;=38),"PPSK: Passwort Parzelle 38","")</f>
        <v/>
      </c>
      <c r="K1258" s="17" t="str">
        <f aca="false">IF(AND(Eingabe!$F$15&gt;0,Eingabe!$E$15&gt;=38),"1. Gerät: 10."&amp;Eingabe!$D$15&amp;".38.10, 2. Gerät: .11","")</f>
        <v/>
      </c>
    </row>
    <row r="1259" customFormat="false" ht="15" hidden="false" customHeight="false" outlineLevel="0" collapsed="false">
      <c r="A1259" s="17" t="str">
        <f aca="false">IF(AND(Eingabe!$F$15&gt;0,Eingabe!$E$15&gt;=39),7,"")</f>
        <v/>
      </c>
      <c r="B1259" s="17" t="str">
        <f aca="false">IF(AND(Eingabe!$F$15&gt;0,Eingabe!$E$15&gt;=39),Eingabe!$B$15,"")</f>
        <v/>
      </c>
      <c r="C1259" s="17" t="str">
        <f aca="false">IF(AND(Eingabe!$F$15&gt;0,Eingabe!$E$15&gt;=39),Eingabe!$C$15&amp;"-Paz."&amp;TEXT(39,"000"),"")</f>
        <v/>
      </c>
      <c r="D1259" s="17" t="str">
        <f aca="false">IF(AND(Eingabe!$F$15&gt;0,Eingabe!$E$15&gt;=39),39,"")</f>
        <v/>
      </c>
      <c r="E1259" s="17" t="str">
        <f aca="false">IF(AND(Eingabe!$F$15&gt;0,Eingabe!$E$15&gt;=39),IF((Eingabe!$G$15)&lt;=9,1000+(Eingabe!$G$15)*100,3000)+39,"")</f>
        <v/>
      </c>
      <c r="F1259" s="17" t="str">
        <f aca="false">IF(AND(Eingabe!$F$15&gt;0,Eingabe!$E$15&gt;=39),"10."&amp;Eingabe!$D$15&amp;".39.0/24","")</f>
        <v/>
      </c>
      <c r="G1259" s="17" t="str">
        <f aca="false">IF(AND(Eingabe!$F$15&gt;0,Eingabe!$E$15&gt;=39),"10."&amp;Eingabe!$D$15&amp;".39.1","")</f>
        <v/>
      </c>
      <c r="H1259" s="17" t="str">
        <f aca="false">IF(AND(Eingabe!$F$15&gt;0,Eingabe!$E$15&gt;=39),"10."&amp;Eingabe!$D$15&amp;".39.10 – 10."&amp;Eingabe!$D$15&amp;".39.250","")</f>
        <v/>
      </c>
      <c r="I1259" s="17" t="str">
        <f aca="false">IF(AND(Eingabe!$F$15&gt;0,Eingabe!$E$15&gt;=39),Eingabe!$B$6&amp;"-"&amp;Eingabe!$C$15&amp;"-Pächter","")</f>
        <v/>
      </c>
      <c r="J1259" s="17" t="str">
        <f aca="false">IF(AND(Eingabe!$F$15&gt;0,Eingabe!$E$15&gt;=39),"PPSK: Passwort Parzelle 39","")</f>
        <v/>
      </c>
      <c r="K1259" s="17" t="str">
        <f aca="false">IF(AND(Eingabe!$F$15&gt;0,Eingabe!$E$15&gt;=39),"1. Gerät: 10."&amp;Eingabe!$D$15&amp;".39.10, 2. Gerät: .11","")</f>
        <v/>
      </c>
    </row>
    <row r="1260" customFormat="false" ht="15" hidden="false" customHeight="false" outlineLevel="0" collapsed="false">
      <c r="A1260" s="17" t="str">
        <f aca="false">IF(AND(Eingabe!$F$15&gt;0,Eingabe!$E$15&gt;=40),7,"")</f>
        <v/>
      </c>
      <c r="B1260" s="17" t="str">
        <f aca="false">IF(AND(Eingabe!$F$15&gt;0,Eingabe!$E$15&gt;=40),Eingabe!$B$15,"")</f>
        <v/>
      </c>
      <c r="C1260" s="17" t="str">
        <f aca="false">IF(AND(Eingabe!$F$15&gt;0,Eingabe!$E$15&gt;=40),Eingabe!$C$15&amp;"-Paz."&amp;TEXT(40,"000"),"")</f>
        <v/>
      </c>
      <c r="D1260" s="17" t="str">
        <f aca="false">IF(AND(Eingabe!$F$15&gt;0,Eingabe!$E$15&gt;=40),40,"")</f>
        <v/>
      </c>
      <c r="E1260" s="17" t="str">
        <f aca="false">IF(AND(Eingabe!$F$15&gt;0,Eingabe!$E$15&gt;=40),IF((Eingabe!$G$15)&lt;=9,1000+(Eingabe!$G$15)*100,3000)+40,"")</f>
        <v/>
      </c>
      <c r="F1260" s="17" t="str">
        <f aca="false">IF(AND(Eingabe!$F$15&gt;0,Eingabe!$E$15&gt;=40),"10."&amp;Eingabe!$D$15&amp;".40.0/24","")</f>
        <v/>
      </c>
      <c r="G1260" s="17" t="str">
        <f aca="false">IF(AND(Eingabe!$F$15&gt;0,Eingabe!$E$15&gt;=40),"10."&amp;Eingabe!$D$15&amp;".40.1","")</f>
        <v/>
      </c>
      <c r="H1260" s="17" t="str">
        <f aca="false">IF(AND(Eingabe!$F$15&gt;0,Eingabe!$E$15&gt;=40),"10."&amp;Eingabe!$D$15&amp;".40.10 – 10."&amp;Eingabe!$D$15&amp;".40.250","")</f>
        <v/>
      </c>
      <c r="I1260" s="17" t="str">
        <f aca="false">IF(AND(Eingabe!$F$15&gt;0,Eingabe!$E$15&gt;=40),Eingabe!$B$6&amp;"-"&amp;Eingabe!$C$15&amp;"-Pächter","")</f>
        <v/>
      </c>
      <c r="J1260" s="17" t="str">
        <f aca="false">IF(AND(Eingabe!$F$15&gt;0,Eingabe!$E$15&gt;=40),"PPSK: Passwort Parzelle 40","")</f>
        <v/>
      </c>
      <c r="K1260" s="17" t="str">
        <f aca="false">IF(AND(Eingabe!$F$15&gt;0,Eingabe!$E$15&gt;=40),"1. Gerät: 10."&amp;Eingabe!$D$15&amp;".40.10, 2. Gerät: .11","")</f>
        <v/>
      </c>
    </row>
    <row r="1261" customFormat="false" ht="15" hidden="false" customHeight="false" outlineLevel="0" collapsed="false">
      <c r="A1261" s="17" t="str">
        <f aca="false">IF(AND(Eingabe!$F$15&gt;0,Eingabe!$E$15&gt;=41),7,"")</f>
        <v/>
      </c>
      <c r="B1261" s="17" t="str">
        <f aca="false">IF(AND(Eingabe!$F$15&gt;0,Eingabe!$E$15&gt;=41),Eingabe!$B$15,"")</f>
        <v/>
      </c>
      <c r="C1261" s="17" t="str">
        <f aca="false">IF(AND(Eingabe!$F$15&gt;0,Eingabe!$E$15&gt;=41),Eingabe!$C$15&amp;"-Paz."&amp;TEXT(41,"000"),"")</f>
        <v/>
      </c>
      <c r="D1261" s="17" t="str">
        <f aca="false">IF(AND(Eingabe!$F$15&gt;0,Eingabe!$E$15&gt;=41),41,"")</f>
        <v/>
      </c>
      <c r="E1261" s="17" t="str">
        <f aca="false">IF(AND(Eingabe!$F$15&gt;0,Eingabe!$E$15&gt;=41),IF((Eingabe!$G$15)&lt;=9,1000+(Eingabe!$G$15)*100,3000)+41,"")</f>
        <v/>
      </c>
      <c r="F1261" s="17" t="str">
        <f aca="false">IF(AND(Eingabe!$F$15&gt;0,Eingabe!$E$15&gt;=41),"10."&amp;Eingabe!$D$15&amp;".41.0/24","")</f>
        <v/>
      </c>
      <c r="G1261" s="17" t="str">
        <f aca="false">IF(AND(Eingabe!$F$15&gt;0,Eingabe!$E$15&gt;=41),"10."&amp;Eingabe!$D$15&amp;".41.1","")</f>
        <v/>
      </c>
      <c r="H1261" s="17" t="str">
        <f aca="false">IF(AND(Eingabe!$F$15&gt;0,Eingabe!$E$15&gt;=41),"10."&amp;Eingabe!$D$15&amp;".41.10 – 10."&amp;Eingabe!$D$15&amp;".41.250","")</f>
        <v/>
      </c>
      <c r="I1261" s="17" t="str">
        <f aca="false">IF(AND(Eingabe!$F$15&gt;0,Eingabe!$E$15&gt;=41),Eingabe!$B$6&amp;"-"&amp;Eingabe!$C$15&amp;"-Pächter","")</f>
        <v/>
      </c>
      <c r="J1261" s="17" t="str">
        <f aca="false">IF(AND(Eingabe!$F$15&gt;0,Eingabe!$E$15&gt;=41),"PPSK: Passwort Parzelle 41","")</f>
        <v/>
      </c>
      <c r="K1261" s="17" t="str">
        <f aca="false">IF(AND(Eingabe!$F$15&gt;0,Eingabe!$E$15&gt;=41),"1. Gerät: 10."&amp;Eingabe!$D$15&amp;".41.10, 2. Gerät: .11","")</f>
        <v/>
      </c>
    </row>
    <row r="1262" customFormat="false" ht="15" hidden="false" customHeight="false" outlineLevel="0" collapsed="false">
      <c r="A1262" s="17" t="str">
        <f aca="false">IF(AND(Eingabe!$F$15&gt;0,Eingabe!$E$15&gt;=42),7,"")</f>
        <v/>
      </c>
      <c r="B1262" s="17" t="str">
        <f aca="false">IF(AND(Eingabe!$F$15&gt;0,Eingabe!$E$15&gt;=42),Eingabe!$B$15,"")</f>
        <v/>
      </c>
      <c r="C1262" s="17" t="str">
        <f aca="false">IF(AND(Eingabe!$F$15&gt;0,Eingabe!$E$15&gt;=42),Eingabe!$C$15&amp;"-Paz."&amp;TEXT(42,"000"),"")</f>
        <v/>
      </c>
      <c r="D1262" s="17" t="str">
        <f aca="false">IF(AND(Eingabe!$F$15&gt;0,Eingabe!$E$15&gt;=42),42,"")</f>
        <v/>
      </c>
      <c r="E1262" s="17" t="str">
        <f aca="false">IF(AND(Eingabe!$F$15&gt;0,Eingabe!$E$15&gt;=42),IF((Eingabe!$G$15)&lt;=9,1000+(Eingabe!$G$15)*100,3000)+42,"")</f>
        <v/>
      </c>
      <c r="F1262" s="17" t="str">
        <f aca="false">IF(AND(Eingabe!$F$15&gt;0,Eingabe!$E$15&gt;=42),"10."&amp;Eingabe!$D$15&amp;".42.0/24","")</f>
        <v/>
      </c>
      <c r="G1262" s="17" t="str">
        <f aca="false">IF(AND(Eingabe!$F$15&gt;0,Eingabe!$E$15&gt;=42),"10."&amp;Eingabe!$D$15&amp;".42.1","")</f>
        <v/>
      </c>
      <c r="H1262" s="17" t="str">
        <f aca="false">IF(AND(Eingabe!$F$15&gt;0,Eingabe!$E$15&gt;=42),"10."&amp;Eingabe!$D$15&amp;".42.10 – 10."&amp;Eingabe!$D$15&amp;".42.250","")</f>
        <v/>
      </c>
      <c r="I1262" s="17" t="str">
        <f aca="false">IF(AND(Eingabe!$F$15&gt;0,Eingabe!$E$15&gt;=42),Eingabe!$B$6&amp;"-"&amp;Eingabe!$C$15&amp;"-Pächter","")</f>
        <v/>
      </c>
      <c r="J1262" s="17" t="str">
        <f aca="false">IF(AND(Eingabe!$F$15&gt;0,Eingabe!$E$15&gt;=42),"PPSK: Passwort Parzelle 42","")</f>
        <v/>
      </c>
      <c r="K1262" s="17" t="str">
        <f aca="false">IF(AND(Eingabe!$F$15&gt;0,Eingabe!$E$15&gt;=42),"1. Gerät: 10."&amp;Eingabe!$D$15&amp;".42.10, 2. Gerät: .11","")</f>
        <v/>
      </c>
    </row>
    <row r="1263" customFormat="false" ht="15" hidden="false" customHeight="false" outlineLevel="0" collapsed="false">
      <c r="A1263" s="17" t="str">
        <f aca="false">IF(AND(Eingabe!$F$15&gt;0,Eingabe!$E$15&gt;=43),7,"")</f>
        <v/>
      </c>
      <c r="B1263" s="17" t="str">
        <f aca="false">IF(AND(Eingabe!$F$15&gt;0,Eingabe!$E$15&gt;=43),Eingabe!$B$15,"")</f>
        <v/>
      </c>
      <c r="C1263" s="17" t="str">
        <f aca="false">IF(AND(Eingabe!$F$15&gt;0,Eingabe!$E$15&gt;=43),Eingabe!$C$15&amp;"-Paz."&amp;TEXT(43,"000"),"")</f>
        <v/>
      </c>
      <c r="D1263" s="17" t="str">
        <f aca="false">IF(AND(Eingabe!$F$15&gt;0,Eingabe!$E$15&gt;=43),43,"")</f>
        <v/>
      </c>
      <c r="E1263" s="17" t="str">
        <f aca="false">IF(AND(Eingabe!$F$15&gt;0,Eingabe!$E$15&gt;=43),IF((Eingabe!$G$15)&lt;=9,1000+(Eingabe!$G$15)*100,3000)+43,"")</f>
        <v/>
      </c>
      <c r="F1263" s="17" t="str">
        <f aca="false">IF(AND(Eingabe!$F$15&gt;0,Eingabe!$E$15&gt;=43),"10."&amp;Eingabe!$D$15&amp;".43.0/24","")</f>
        <v/>
      </c>
      <c r="G1263" s="17" t="str">
        <f aca="false">IF(AND(Eingabe!$F$15&gt;0,Eingabe!$E$15&gt;=43),"10."&amp;Eingabe!$D$15&amp;".43.1","")</f>
        <v/>
      </c>
      <c r="H1263" s="17" t="str">
        <f aca="false">IF(AND(Eingabe!$F$15&gt;0,Eingabe!$E$15&gt;=43),"10."&amp;Eingabe!$D$15&amp;".43.10 – 10."&amp;Eingabe!$D$15&amp;".43.250","")</f>
        <v/>
      </c>
      <c r="I1263" s="17" t="str">
        <f aca="false">IF(AND(Eingabe!$F$15&gt;0,Eingabe!$E$15&gt;=43),Eingabe!$B$6&amp;"-"&amp;Eingabe!$C$15&amp;"-Pächter","")</f>
        <v/>
      </c>
      <c r="J1263" s="17" t="str">
        <f aca="false">IF(AND(Eingabe!$F$15&gt;0,Eingabe!$E$15&gt;=43),"PPSK: Passwort Parzelle 43","")</f>
        <v/>
      </c>
      <c r="K1263" s="17" t="str">
        <f aca="false">IF(AND(Eingabe!$F$15&gt;0,Eingabe!$E$15&gt;=43),"1. Gerät: 10."&amp;Eingabe!$D$15&amp;".43.10, 2. Gerät: .11","")</f>
        <v/>
      </c>
    </row>
    <row r="1264" customFormat="false" ht="15" hidden="false" customHeight="false" outlineLevel="0" collapsed="false">
      <c r="A1264" s="17" t="str">
        <f aca="false">IF(AND(Eingabe!$F$15&gt;0,Eingabe!$E$15&gt;=44),7,"")</f>
        <v/>
      </c>
      <c r="B1264" s="17" t="str">
        <f aca="false">IF(AND(Eingabe!$F$15&gt;0,Eingabe!$E$15&gt;=44),Eingabe!$B$15,"")</f>
        <v/>
      </c>
      <c r="C1264" s="17" t="str">
        <f aca="false">IF(AND(Eingabe!$F$15&gt;0,Eingabe!$E$15&gt;=44),Eingabe!$C$15&amp;"-Paz."&amp;TEXT(44,"000"),"")</f>
        <v/>
      </c>
      <c r="D1264" s="17" t="str">
        <f aca="false">IF(AND(Eingabe!$F$15&gt;0,Eingabe!$E$15&gt;=44),44,"")</f>
        <v/>
      </c>
      <c r="E1264" s="17" t="str">
        <f aca="false">IF(AND(Eingabe!$F$15&gt;0,Eingabe!$E$15&gt;=44),IF((Eingabe!$G$15)&lt;=9,1000+(Eingabe!$G$15)*100,3000)+44,"")</f>
        <v/>
      </c>
      <c r="F1264" s="17" t="str">
        <f aca="false">IF(AND(Eingabe!$F$15&gt;0,Eingabe!$E$15&gt;=44),"10."&amp;Eingabe!$D$15&amp;".44.0/24","")</f>
        <v/>
      </c>
      <c r="G1264" s="17" t="str">
        <f aca="false">IF(AND(Eingabe!$F$15&gt;0,Eingabe!$E$15&gt;=44),"10."&amp;Eingabe!$D$15&amp;".44.1","")</f>
        <v/>
      </c>
      <c r="H1264" s="17" t="str">
        <f aca="false">IF(AND(Eingabe!$F$15&gt;0,Eingabe!$E$15&gt;=44),"10."&amp;Eingabe!$D$15&amp;".44.10 – 10."&amp;Eingabe!$D$15&amp;".44.250","")</f>
        <v/>
      </c>
      <c r="I1264" s="17" t="str">
        <f aca="false">IF(AND(Eingabe!$F$15&gt;0,Eingabe!$E$15&gt;=44),Eingabe!$B$6&amp;"-"&amp;Eingabe!$C$15&amp;"-Pächter","")</f>
        <v/>
      </c>
      <c r="J1264" s="17" t="str">
        <f aca="false">IF(AND(Eingabe!$F$15&gt;0,Eingabe!$E$15&gt;=44),"PPSK: Passwort Parzelle 44","")</f>
        <v/>
      </c>
      <c r="K1264" s="17" t="str">
        <f aca="false">IF(AND(Eingabe!$F$15&gt;0,Eingabe!$E$15&gt;=44),"1. Gerät: 10."&amp;Eingabe!$D$15&amp;".44.10, 2. Gerät: .11","")</f>
        <v/>
      </c>
    </row>
    <row r="1265" customFormat="false" ht="15" hidden="false" customHeight="false" outlineLevel="0" collapsed="false">
      <c r="A1265" s="17" t="str">
        <f aca="false">IF(AND(Eingabe!$F$15&gt;0,Eingabe!$E$15&gt;=45),7,"")</f>
        <v/>
      </c>
      <c r="B1265" s="17" t="str">
        <f aca="false">IF(AND(Eingabe!$F$15&gt;0,Eingabe!$E$15&gt;=45),Eingabe!$B$15,"")</f>
        <v/>
      </c>
      <c r="C1265" s="17" t="str">
        <f aca="false">IF(AND(Eingabe!$F$15&gt;0,Eingabe!$E$15&gt;=45),Eingabe!$C$15&amp;"-Paz."&amp;TEXT(45,"000"),"")</f>
        <v/>
      </c>
      <c r="D1265" s="17" t="str">
        <f aca="false">IF(AND(Eingabe!$F$15&gt;0,Eingabe!$E$15&gt;=45),45,"")</f>
        <v/>
      </c>
      <c r="E1265" s="17" t="str">
        <f aca="false">IF(AND(Eingabe!$F$15&gt;0,Eingabe!$E$15&gt;=45),IF((Eingabe!$G$15)&lt;=9,1000+(Eingabe!$G$15)*100,3000)+45,"")</f>
        <v/>
      </c>
      <c r="F1265" s="17" t="str">
        <f aca="false">IF(AND(Eingabe!$F$15&gt;0,Eingabe!$E$15&gt;=45),"10."&amp;Eingabe!$D$15&amp;".45.0/24","")</f>
        <v/>
      </c>
      <c r="G1265" s="17" t="str">
        <f aca="false">IF(AND(Eingabe!$F$15&gt;0,Eingabe!$E$15&gt;=45),"10."&amp;Eingabe!$D$15&amp;".45.1","")</f>
        <v/>
      </c>
      <c r="H1265" s="17" t="str">
        <f aca="false">IF(AND(Eingabe!$F$15&gt;0,Eingabe!$E$15&gt;=45),"10."&amp;Eingabe!$D$15&amp;".45.10 – 10."&amp;Eingabe!$D$15&amp;".45.250","")</f>
        <v/>
      </c>
      <c r="I1265" s="17" t="str">
        <f aca="false">IF(AND(Eingabe!$F$15&gt;0,Eingabe!$E$15&gt;=45),Eingabe!$B$6&amp;"-"&amp;Eingabe!$C$15&amp;"-Pächter","")</f>
        <v/>
      </c>
      <c r="J1265" s="17" t="str">
        <f aca="false">IF(AND(Eingabe!$F$15&gt;0,Eingabe!$E$15&gt;=45),"PPSK: Passwort Parzelle 45","")</f>
        <v/>
      </c>
      <c r="K1265" s="17" t="str">
        <f aca="false">IF(AND(Eingabe!$F$15&gt;0,Eingabe!$E$15&gt;=45),"1. Gerät: 10."&amp;Eingabe!$D$15&amp;".45.10, 2. Gerät: .11","")</f>
        <v/>
      </c>
    </row>
    <row r="1266" customFormat="false" ht="15" hidden="false" customHeight="false" outlineLevel="0" collapsed="false">
      <c r="A1266" s="17" t="str">
        <f aca="false">IF(AND(Eingabe!$F$15&gt;0,Eingabe!$E$15&gt;=46),7,"")</f>
        <v/>
      </c>
      <c r="B1266" s="17" t="str">
        <f aca="false">IF(AND(Eingabe!$F$15&gt;0,Eingabe!$E$15&gt;=46),Eingabe!$B$15,"")</f>
        <v/>
      </c>
      <c r="C1266" s="17" t="str">
        <f aca="false">IF(AND(Eingabe!$F$15&gt;0,Eingabe!$E$15&gt;=46),Eingabe!$C$15&amp;"-Paz."&amp;TEXT(46,"000"),"")</f>
        <v/>
      </c>
      <c r="D1266" s="17" t="str">
        <f aca="false">IF(AND(Eingabe!$F$15&gt;0,Eingabe!$E$15&gt;=46),46,"")</f>
        <v/>
      </c>
      <c r="E1266" s="17" t="str">
        <f aca="false">IF(AND(Eingabe!$F$15&gt;0,Eingabe!$E$15&gt;=46),IF((Eingabe!$G$15)&lt;=9,1000+(Eingabe!$G$15)*100,3000)+46,"")</f>
        <v/>
      </c>
      <c r="F1266" s="17" t="str">
        <f aca="false">IF(AND(Eingabe!$F$15&gt;0,Eingabe!$E$15&gt;=46),"10."&amp;Eingabe!$D$15&amp;".46.0/24","")</f>
        <v/>
      </c>
      <c r="G1266" s="17" t="str">
        <f aca="false">IF(AND(Eingabe!$F$15&gt;0,Eingabe!$E$15&gt;=46),"10."&amp;Eingabe!$D$15&amp;".46.1","")</f>
        <v/>
      </c>
      <c r="H1266" s="17" t="str">
        <f aca="false">IF(AND(Eingabe!$F$15&gt;0,Eingabe!$E$15&gt;=46),"10."&amp;Eingabe!$D$15&amp;".46.10 – 10."&amp;Eingabe!$D$15&amp;".46.250","")</f>
        <v/>
      </c>
      <c r="I1266" s="17" t="str">
        <f aca="false">IF(AND(Eingabe!$F$15&gt;0,Eingabe!$E$15&gt;=46),Eingabe!$B$6&amp;"-"&amp;Eingabe!$C$15&amp;"-Pächter","")</f>
        <v/>
      </c>
      <c r="J1266" s="17" t="str">
        <f aca="false">IF(AND(Eingabe!$F$15&gt;0,Eingabe!$E$15&gt;=46),"PPSK: Passwort Parzelle 46","")</f>
        <v/>
      </c>
      <c r="K1266" s="17" t="str">
        <f aca="false">IF(AND(Eingabe!$F$15&gt;0,Eingabe!$E$15&gt;=46),"1. Gerät: 10."&amp;Eingabe!$D$15&amp;".46.10, 2. Gerät: .11","")</f>
        <v/>
      </c>
    </row>
    <row r="1267" customFormat="false" ht="15" hidden="false" customHeight="false" outlineLevel="0" collapsed="false">
      <c r="A1267" s="17" t="str">
        <f aca="false">IF(AND(Eingabe!$F$15&gt;0,Eingabe!$E$15&gt;=47),7,"")</f>
        <v/>
      </c>
      <c r="B1267" s="17" t="str">
        <f aca="false">IF(AND(Eingabe!$F$15&gt;0,Eingabe!$E$15&gt;=47),Eingabe!$B$15,"")</f>
        <v/>
      </c>
      <c r="C1267" s="17" t="str">
        <f aca="false">IF(AND(Eingabe!$F$15&gt;0,Eingabe!$E$15&gt;=47),Eingabe!$C$15&amp;"-Paz."&amp;TEXT(47,"000"),"")</f>
        <v/>
      </c>
      <c r="D1267" s="17" t="str">
        <f aca="false">IF(AND(Eingabe!$F$15&gt;0,Eingabe!$E$15&gt;=47),47,"")</f>
        <v/>
      </c>
      <c r="E1267" s="17" t="str">
        <f aca="false">IF(AND(Eingabe!$F$15&gt;0,Eingabe!$E$15&gt;=47),IF((Eingabe!$G$15)&lt;=9,1000+(Eingabe!$G$15)*100,3000)+47,"")</f>
        <v/>
      </c>
      <c r="F1267" s="17" t="str">
        <f aca="false">IF(AND(Eingabe!$F$15&gt;0,Eingabe!$E$15&gt;=47),"10."&amp;Eingabe!$D$15&amp;".47.0/24","")</f>
        <v/>
      </c>
      <c r="G1267" s="17" t="str">
        <f aca="false">IF(AND(Eingabe!$F$15&gt;0,Eingabe!$E$15&gt;=47),"10."&amp;Eingabe!$D$15&amp;".47.1","")</f>
        <v/>
      </c>
      <c r="H1267" s="17" t="str">
        <f aca="false">IF(AND(Eingabe!$F$15&gt;0,Eingabe!$E$15&gt;=47),"10."&amp;Eingabe!$D$15&amp;".47.10 – 10."&amp;Eingabe!$D$15&amp;".47.250","")</f>
        <v/>
      </c>
      <c r="I1267" s="17" t="str">
        <f aca="false">IF(AND(Eingabe!$F$15&gt;0,Eingabe!$E$15&gt;=47),Eingabe!$B$6&amp;"-"&amp;Eingabe!$C$15&amp;"-Pächter","")</f>
        <v/>
      </c>
      <c r="J1267" s="17" t="str">
        <f aca="false">IF(AND(Eingabe!$F$15&gt;0,Eingabe!$E$15&gt;=47),"PPSK: Passwort Parzelle 47","")</f>
        <v/>
      </c>
      <c r="K1267" s="17" t="str">
        <f aca="false">IF(AND(Eingabe!$F$15&gt;0,Eingabe!$E$15&gt;=47),"1. Gerät: 10."&amp;Eingabe!$D$15&amp;".47.10, 2. Gerät: .11","")</f>
        <v/>
      </c>
    </row>
    <row r="1268" customFormat="false" ht="15" hidden="false" customHeight="false" outlineLevel="0" collapsed="false">
      <c r="A1268" s="17" t="str">
        <f aca="false">IF(AND(Eingabe!$F$15&gt;0,Eingabe!$E$15&gt;=48),7,"")</f>
        <v/>
      </c>
      <c r="B1268" s="17" t="str">
        <f aca="false">IF(AND(Eingabe!$F$15&gt;0,Eingabe!$E$15&gt;=48),Eingabe!$B$15,"")</f>
        <v/>
      </c>
      <c r="C1268" s="17" t="str">
        <f aca="false">IF(AND(Eingabe!$F$15&gt;0,Eingabe!$E$15&gt;=48),Eingabe!$C$15&amp;"-Paz."&amp;TEXT(48,"000"),"")</f>
        <v/>
      </c>
      <c r="D1268" s="17" t="str">
        <f aca="false">IF(AND(Eingabe!$F$15&gt;0,Eingabe!$E$15&gt;=48),48,"")</f>
        <v/>
      </c>
      <c r="E1268" s="17" t="str">
        <f aca="false">IF(AND(Eingabe!$F$15&gt;0,Eingabe!$E$15&gt;=48),IF((Eingabe!$G$15)&lt;=9,1000+(Eingabe!$G$15)*100,3000)+48,"")</f>
        <v/>
      </c>
      <c r="F1268" s="17" t="str">
        <f aca="false">IF(AND(Eingabe!$F$15&gt;0,Eingabe!$E$15&gt;=48),"10."&amp;Eingabe!$D$15&amp;".48.0/24","")</f>
        <v/>
      </c>
      <c r="G1268" s="17" t="str">
        <f aca="false">IF(AND(Eingabe!$F$15&gt;0,Eingabe!$E$15&gt;=48),"10."&amp;Eingabe!$D$15&amp;".48.1","")</f>
        <v/>
      </c>
      <c r="H1268" s="17" t="str">
        <f aca="false">IF(AND(Eingabe!$F$15&gt;0,Eingabe!$E$15&gt;=48),"10."&amp;Eingabe!$D$15&amp;".48.10 – 10."&amp;Eingabe!$D$15&amp;".48.250","")</f>
        <v/>
      </c>
      <c r="I1268" s="17" t="str">
        <f aca="false">IF(AND(Eingabe!$F$15&gt;0,Eingabe!$E$15&gt;=48),Eingabe!$B$6&amp;"-"&amp;Eingabe!$C$15&amp;"-Pächter","")</f>
        <v/>
      </c>
      <c r="J1268" s="17" t="str">
        <f aca="false">IF(AND(Eingabe!$F$15&gt;0,Eingabe!$E$15&gt;=48),"PPSK: Passwort Parzelle 48","")</f>
        <v/>
      </c>
      <c r="K1268" s="17" t="str">
        <f aca="false">IF(AND(Eingabe!$F$15&gt;0,Eingabe!$E$15&gt;=48),"1. Gerät: 10."&amp;Eingabe!$D$15&amp;".48.10, 2. Gerät: .11","")</f>
        <v/>
      </c>
    </row>
    <row r="1269" customFormat="false" ht="15" hidden="false" customHeight="false" outlineLevel="0" collapsed="false">
      <c r="A1269" s="17" t="str">
        <f aca="false">IF(AND(Eingabe!$F$15&gt;0,Eingabe!$E$15&gt;=49),7,"")</f>
        <v/>
      </c>
      <c r="B1269" s="17" t="str">
        <f aca="false">IF(AND(Eingabe!$F$15&gt;0,Eingabe!$E$15&gt;=49),Eingabe!$B$15,"")</f>
        <v/>
      </c>
      <c r="C1269" s="17" t="str">
        <f aca="false">IF(AND(Eingabe!$F$15&gt;0,Eingabe!$E$15&gt;=49),Eingabe!$C$15&amp;"-Paz."&amp;TEXT(49,"000"),"")</f>
        <v/>
      </c>
      <c r="D1269" s="17" t="str">
        <f aca="false">IF(AND(Eingabe!$F$15&gt;0,Eingabe!$E$15&gt;=49),49,"")</f>
        <v/>
      </c>
      <c r="E1269" s="17" t="str">
        <f aca="false">IF(AND(Eingabe!$F$15&gt;0,Eingabe!$E$15&gt;=49),IF((Eingabe!$G$15)&lt;=9,1000+(Eingabe!$G$15)*100,3000)+49,"")</f>
        <v/>
      </c>
      <c r="F1269" s="17" t="str">
        <f aca="false">IF(AND(Eingabe!$F$15&gt;0,Eingabe!$E$15&gt;=49),"10."&amp;Eingabe!$D$15&amp;".49.0/24","")</f>
        <v/>
      </c>
      <c r="G1269" s="17" t="str">
        <f aca="false">IF(AND(Eingabe!$F$15&gt;0,Eingabe!$E$15&gt;=49),"10."&amp;Eingabe!$D$15&amp;".49.1","")</f>
        <v/>
      </c>
      <c r="H1269" s="17" t="str">
        <f aca="false">IF(AND(Eingabe!$F$15&gt;0,Eingabe!$E$15&gt;=49),"10."&amp;Eingabe!$D$15&amp;".49.10 – 10."&amp;Eingabe!$D$15&amp;".49.250","")</f>
        <v/>
      </c>
      <c r="I1269" s="17" t="str">
        <f aca="false">IF(AND(Eingabe!$F$15&gt;0,Eingabe!$E$15&gt;=49),Eingabe!$B$6&amp;"-"&amp;Eingabe!$C$15&amp;"-Pächter","")</f>
        <v/>
      </c>
      <c r="J1269" s="17" t="str">
        <f aca="false">IF(AND(Eingabe!$F$15&gt;0,Eingabe!$E$15&gt;=49),"PPSK: Passwort Parzelle 49","")</f>
        <v/>
      </c>
      <c r="K1269" s="17" t="str">
        <f aca="false">IF(AND(Eingabe!$F$15&gt;0,Eingabe!$E$15&gt;=49),"1. Gerät: 10."&amp;Eingabe!$D$15&amp;".49.10, 2. Gerät: .11","")</f>
        <v/>
      </c>
    </row>
    <row r="1270" customFormat="false" ht="15" hidden="false" customHeight="false" outlineLevel="0" collapsed="false">
      <c r="A1270" s="17" t="str">
        <f aca="false">IF(AND(Eingabe!$F$15&gt;0,Eingabe!$E$15&gt;=50),7,"")</f>
        <v/>
      </c>
      <c r="B1270" s="17" t="str">
        <f aca="false">IF(AND(Eingabe!$F$15&gt;0,Eingabe!$E$15&gt;=50),Eingabe!$B$15,"")</f>
        <v/>
      </c>
      <c r="C1270" s="17" t="str">
        <f aca="false">IF(AND(Eingabe!$F$15&gt;0,Eingabe!$E$15&gt;=50),Eingabe!$C$15&amp;"-Paz."&amp;TEXT(50,"000"),"")</f>
        <v/>
      </c>
      <c r="D1270" s="17" t="str">
        <f aca="false">IF(AND(Eingabe!$F$15&gt;0,Eingabe!$E$15&gt;=50),50,"")</f>
        <v/>
      </c>
      <c r="E1270" s="17" t="str">
        <f aca="false">IF(AND(Eingabe!$F$15&gt;0,Eingabe!$E$15&gt;=50),IF((Eingabe!$G$15)&lt;=9,1000+(Eingabe!$G$15)*100,3000)+50,"")</f>
        <v/>
      </c>
      <c r="F1270" s="17" t="str">
        <f aca="false">IF(AND(Eingabe!$F$15&gt;0,Eingabe!$E$15&gt;=50),"10."&amp;Eingabe!$D$15&amp;".50.0/24","")</f>
        <v/>
      </c>
      <c r="G1270" s="17" t="str">
        <f aca="false">IF(AND(Eingabe!$F$15&gt;0,Eingabe!$E$15&gt;=50),"10."&amp;Eingabe!$D$15&amp;".50.1","")</f>
        <v/>
      </c>
      <c r="H1270" s="17" t="str">
        <f aca="false">IF(AND(Eingabe!$F$15&gt;0,Eingabe!$E$15&gt;=50),"10."&amp;Eingabe!$D$15&amp;".50.10 – 10."&amp;Eingabe!$D$15&amp;".50.250","")</f>
        <v/>
      </c>
      <c r="I1270" s="17" t="str">
        <f aca="false">IF(AND(Eingabe!$F$15&gt;0,Eingabe!$E$15&gt;=50),Eingabe!$B$6&amp;"-"&amp;Eingabe!$C$15&amp;"-Pächter","")</f>
        <v/>
      </c>
      <c r="J1270" s="17" t="str">
        <f aca="false">IF(AND(Eingabe!$F$15&gt;0,Eingabe!$E$15&gt;=50),"PPSK: Passwort Parzelle 50","")</f>
        <v/>
      </c>
      <c r="K1270" s="17" t="str">
        <f aca="false">IF(AND(Eingabe!$F$15&gt;0,Eingabe!$E$15&gt;=50),"1. Gerät: 10."&amp;Eingabe!$D$15&amp;".50.10, 2. Gerät: .11","")</f>
        <v/>
      </c>
    </row>
    <row r="1271" customFormat="false" ht="15" hidden="false" customHeight="false" outlineLevel="0" collapsed="false">
      <c r="A1271" s="17" t="str">
        <f aca="false">IF(AND(Eingabe!$F$15&gt;0,Eingabe!$E$15&gt;=51),7,"")</f>
        <v/>
      </c>
      <c r="B1271" s="17" t="str">
        <f aca="false">IF(AND(Eingabe!$F$15&gt;0,Eingabe!$E$15&gt;=51),Eingabe!$B$15,"")</f>
        <v/>
      </c>
      <c r="C1271" s="17" t="str">
        <f aca="false">IF(AND(Eingabe!$F$15&gt;0,Eingabe!$E$15&gt;=51),Eingabe!$C$15&amp;"-Paz."&amp;TEXT(51,"000"),"")</f>
        <v/>
      </c>
      <c r="D1271" s="17" t="str">
        <f aca="false">IF(AND(Eingabe!$F$15&gt;0,Eingabe!$E$15&gt;=51),51,"")</f>
        <v/>
      </c>
      <c r="E1271" s="17" t="str">
        <f aca="false">IF(AND(Eingabe!$F$15&gt;0,Eingabe!$E$15&gt;=51),IF((Eingabe!$G$15)&lt;=9,1000+(Eingabe!$G$15)*100,3000)+51,"")</f>
        <v/>
      </c>
      <c r="F1271" s="17" t="str">
        <f aca="false">IF(AND(Eingabe!$F$15&gt;0,Eingabe!$E$15&gt;=51),"10."&amp;Eingabe!$D$15&amp;".51.0/24","")</f>
        <v/>
      </c>
      <c r="G1271" s="17" t="str">
        <f aca="false">IF(AND(Eingabe!$F$15&gt;0,Eingabe!$E$15&gt;=51),"10."&amp;Eingabe!$D$15&amp;".51.1","")</f>
        <v/>
      </c>
      <c r="H1271" s="17" t="str">
        <f aca="false">IF(AND(Eingabe!$F$15&gt;0,Eingabe!$E$15&gt;=51),"10."&amp;Eingabe!$D$15&amp;".51.10 – 10."&amp;Eingabe!$D$15&amp;".51.250","")</f>
        <v/>
      </c>
      <c r="I1271" s="17" t="str">
        <f aca="false">IF(AND(Eingabe!$F$15&gt;0,Eingabe!$E$15&gt;=51),Eingabe!$B$6&amp;"-"&amp;Eingabe!$C$15&amp;"-Pächter","")</f>
        <v/>
      </c>
      <c r="J1271" s="17" t="str">
        <f aca="false">IF(AND(Eingabe!$F$15&gt;0,Eingabe!$E$15&gt;=51),"PPSK: Passwort Parzelle 51","")</f>
        <v/>
      </c>
      <c r="K1271" s="17" t="str">
        <f aca="false">IF(AND(Eingabe!$F$15&gt;0,Eingabe!$E$15&gt;=51),"1. Gerät: 10."&amp;Eingabe!$D$15&amp;".51.10, 2. Gerät: .11","")</f>
        <v/>
      </c>
    </row>
    <row r="1272" customFormat="false" ht="15" hidden="false" customHeight="false" outlineLevel="0" collapsed="false">
      <c r="A1272" s="17" t="str">
        <f aca="false">IF(AND(Eingabe!$F$15&gt;0,Eingabe!$E$15&gt;=52),7,"")</f>
        <v/>
      </c>
      <c r="B1272" s="17" t="str">
        <f aca="false">IF(AND(Eingabe!$F$15&gt;0,Eingabe!$E$15&gt;=52),Eingabe!$B$15,"")</f>
        <v/>
      </c>
      <c r="C1272" s="17" t="str">
        <f aca="false">IF(AND(Eingabe!$F$15&gt;0,Eingabe!$E$15&gt;=52),Eingabe!$C$15&amp;"-Paz."&amp;TEXT(52,"000"),"")</f>
        <v/>
      </c>
      <c r="D1272" s="17" t="str">
        <f aca="false">IF(AND(Eingabe!$F$15&gt;0,Eingabe!$E$15&gt;=52),52,"")</f>
        <v/>
      </c>
      <c r="E1272" s="17" t="str">
        <f aca="false">IF(AND(Eingabe!$F$15&gt;0,Eingabe!$E$15&gt;=52),IF((Eingabe!$G$15)&lt;=9,1000+(Eingabe!$G$15)*100,3000)+52,"")</f>
        <v/>
      </c>
      <c r="F1272" s="17" t="str">
        <f aca="false">IF(AND(Eingabe!$F$15&gt;0,Eingabe!$E$15&gt;=52),"10."&amp;Eingabe!$D$15&amp;".52.0/24","")</f>
        <v/>
      </c>
      <c r="G1272" s="17" t="str">
        <f aca="false">IF(AND(Eingabe!$F$15&gt;0,Eingabe!$E$15&gt;=52),"10."&amp;Eingabe!$D$15&amp;".52.1","")</f>
        <v/>
      </c>
      <c r="H1272" s="17" t="str">
        <f aca="false">IF(AND(Eingabe!$F$15&gt;0,Eingabe!$E$15&gt;=52),"10."&amp;Eingabe!$D$15&amp;".52.10 – 10."&amp;Eingabe!$D$15&amp;".52.250","")</f>
        <v/>
      </c>
      <c r="I1272" s="17" t="str">
        <f aca="false">IF(AND(Eingabe!$F$15&gt;0,Eingabe!$E$15&gt;=52),Eingabe!$B$6&amp;"-"&amp;Eingabe!$C$15&amp;"-Pächter","")</f>
        <v/>
      </c>
      <c r="J1272" s="17" t="str">
        <f aca="false">IF(AND(Eingabe!$F$15&gt;0,Eingabe!$E$15&gt;=52),"PPSK: Passwort Parzelle 52","")</f>
        <v/>
      </c>
      <c r="K1272" s="17" t="str">
        <f aca="false">IF(AND(Eingabe!$F$15&gt;0,Eingabe!$E$15&gt;=52),"1. Gerät: 10."&amp;Eingabe!$D$15&amp;".52.10, 2. Gerät: .11","")</f>
        <v/>
      </c>
    </row>
    <row r="1273" customFormat="false" ht="15" hidden="false" customHeight="false" outlineLevel="0" collapsed="false">
      <c r="A1273" s="17" t="str">
        <f aca="false">IF(AND(Eingabe!$F$15&gt;0,Eingabe!$E$15&gt;=53),7,"")</f>
        <v/>
      </c>
      <c r="B1273" s="17" t="str">
        <f aca="false">IF(AND(Eingabe!$F$15&gt;0,Eingabe!$E$15&gt;=53),Eingabe!$B$15,"")</f>
        <v/>
      </c>
      <c r="C1273" s="17" t="str">
        <f aca="false">IF(AND(Eingabe!$F$15&gt;0,Eingabe!$E$15&gt;=53),Eingabe!$C$15&amp;"-Paz."&amp;TEXT(53,"000"),"")</f>
        <v/>
      </c>
      <c r="D1273" s="17" t="str">
        <f aca="false">IF(AND(Eingabe!$F$15&gt;0,Eingabe!$E$15&gt;=53),53,"")</f>
        <v/>
      </c>
      <c r="E1273" s="17" t="str">
        <f aca="false">IF(AND(Eingabe!$F$15&gt;0,Eingabe!$E$15&gt;=53),IF((Eingabe!$G$15)&lt;=9,1000+(Eingabe!$G$15)*100,3000)+53,"")</f>
        <v/>
      </c>
      <c r="F1273" s="17" t="str">
        <f aca="false">IF(AND(Eingabe!$F$15&gt;0,Eingabe!$E$15&gt;=53),"10."&amp;Eingabe!$D$15&amp;".53.0/24","")</f>
        <v/>
      </c>
      <c r="G1273" s="17" t="str">
        <f aca="false">IF(AND(Eingabe!$F$15&gt;0,Eingabe!$E$15&gt;=53),"10."&amp;Eingabe!$D$15&amp;".53.1","")</f>
        <v/>
      </c>
      <c r="H1273" s="17" t="str">
        <f aca="false">IF(AND(Eingabe!$F$15&gt;0,Eingabe!$E$15&gt;=53),"10."&amp;Eingabe!$D$15&amp;".53.10 – 10."&amp;Eingabe!$D$15&amp;".53.250","")</f>
        <v/>
      </c>
      <c r="I1273" s="17" t="str">
        <f aca="false">IF(AND(Eingabe!$F$15&gt;0,Eingabe!$E$15&gt;=53),Eingabe!$B$6&amp;"-"&amp;Eingabe!$C$15&amp;"-Pächter","")</f>
        <v/>
      </c>
      <c r="J1273" s="17" t="str">
        <f aca="false">IF(AND(Eingabe!$F$15&gt;0,Eingabe!$E$15&gt;=53),"PPSK: Passwort Parzelle 53","")</f>
        <v/>
      </c>
      <c r="K1273" s="17" t="str">
        <f aca="false">IF(AND(Eingabe!$F$15&gt;0,Eingabe!$E$15&gt;=53),"1. Gerät: 10."&amp;Eingabe!$D$15&amp;".53.10, 2. Gerät: .11","")</f>
        <v/>
      </c>
    </row>
    <row r="1274" customFormat="false" ht="15" hidden="false" customHeight="false" outlineLevel="0" collapsed="false">
      <c r="A1274" s="17" t="str">
        <f aca="false">IF(AND(Eingabe!$F$15&gt;0,Eingabe!$E$15&gt;=54),7,"")</f>
        <v/>
      </c>
      <c r="B1274" s="17" t="str">
        <f aca="false">IF(AND(Eingabe!$F$15&gt;0,Eingabe!$E$15&gt;=54),Eingabe!$B$15,"")</f>
        <v/>
      </c>
      <c r="C1274" s="17" t="str">
        <f aca="false">IF(AND(Eingabe!$F$15&gt;0,Eingabe!$E$15&gt;=54),Eingabe!$C$15&amp;"-Paz."&amp;TEXT(54,"000"),"")</f>
        <v/>
      </c>
      <c r="D1274" s="17" t="str">
        <f aca="false">IF(AND(Eingabe!$F$15&gt;0,Eingabe!$E$15&gt;=54),54,"")</f>
        <v/>
      </c>
      <c r="E1274" s="17" t="str">
        <f aca="false">IF(AND(Eingabe!$F$15&gt;0,Eingabe!$E$15&gt;=54),IF((Eingabe!$G$15)&lt;=9,1000+(Eingabe!$G$15)*100,3000)+54,"")</f>
        <v/>
      </c>
      <c r="F1274" s="17" t="str">
        <f aca="false">IF(AND(Eingabe!$F$15&gt;0,Eingabe!$E$15&gt;=54),"10."&amp;Eingabe!$D$15&amp;".54.0/24","")</f>
        <v/>
      </c>
      <c r="G1274" s="17" t="str">
        <f aca="false">IF(AND(Eingabe!$F$15&gt;0,Eingabe!$E$15&gt;=54),"10."&amp;Eingabe!$D$15&amp;".54.1","")</f>
        <v/>
      </c>
      <c r="H1274" s="17" t="str">
        <f aca="false">IF(AND(Eingabe!$F$15&gt;0,Eingabe!$E$15&gt;=54),"10."&amp;Eingabe!$D$15&amp;".54.10 – 10."&amp;Eingabe!$D$15&amp;".54.250","")</f>
        <v/>
      </c>
      <c r="I1274" s="17" t="str">
        <f aca="false">IF(AND(Eingabe!$F$15&gt;0,Eingabe!$E$15&gt;=54),Eingabe!$B$6&amp;"-"&amp;Eingabe!$C$15&amp;"-Pächter","")</f>
        <v/>
      </c>
      <c r="J1274" s="17" t="str">
        <f aca="false">IF(AND(Eingabe!$F$15&gt;0,Eingabe!$E$15&gt;=54),"PPSK: Passwort Parzelle 54","")</f>
        <v/>
      </c>
      <c r="K1274" s="17" t="str">
        <f aca="false">IF(AND(Eingabe!$F$15&gt;0,Eingabe!$E$15&gt;=54),"1. Gerät: 10."&amp;Eingabe!$D$15&amp;".54.10, 2. Gerät: .11","")</f>
        <v/>
      </c>
    </row>
    <row r="1275" customFormat="false" ht="15" hidden="false" customHeight="false" outlineLevel="0" collapsed="false">
      <c r="A1275" s="17" t="str">
        <f aca="false">IF(AND(Eingabe!$F$15&gt;0,Eingabe!$E$15&gt;=55),7,"")</f>
        <v/>
      </c>
      <c r="B1275" s="17" t="str">
        <f aca="false">IF(AND(Eingabe!$F$15&gt;0,Eingabe!$E$15&gt;=55),Eingabe!$B$15,"")</f>
        <v/>
      </c>
      <c r="C1275" s="17" t="str">
        <f aca="false">IF(AND(Eingabe!$F$15&gt;0,Eingabe!$E$15&gt;=55),Eingabe!$C$15&amp;"-Paz."&amp;TEXT(55,"000"),"")</f>
        <v/>
      </c>
      <c r="D1275" s="17" t="str">
        <f aca="false">IF(AND(Eingabe!$F$15&gt;0,Eingabe!$E$15&gt;=55),55,"")</f>
        <v/>
      </c>
      <c r="E1275" s="17" t="str">
        <f aca="false">IF(AND(Eingabe!$F$15&gt;0,Eingabe!$E$15&gt;=55),IF((Eingabe!$G$15)&lt;=9,1000+(Eingabe!$G$15)*100,3000)+55,"")</f>
        <v/>
      </c>
      <c r="F1275" s="17" t="str">
        <f aca="false">IF(AND(Eingabe!$F$15&gt;0,Eingabe!$E$15&gt;=55),"10."&amp;Eingabe!$D$15&amp;".55.0/24","")</f>
        <v/>
      </c>
      <c r="G1275" s="17" t="str">
        <f aca="false">IF(AND(Eingabe!$F$15&gt;0,Eingabe!$E$15&gt;=55),"10."&amp;Eingabe!$D$15&amp;".55.1","")</f>
        <v/>
      </c>
      <c r="H1275" s="17" t="str">
        <f aca="false">IF(AND(Eingabe!$F$15&gt;0,Eingabe!$E$15&gt;=55),"10."&amp;Eingabe!$D$15&amp;".55.10 – 10."&amp;Eingabe!$D$15&amp;".55.250","")</f>
        <v/>
      </c>
      <c r="I1275" s="17" t="str">
        <f aca="false">IF(AND(Eingabe!$F$15&gt;0,Eingabe!$E$15&gt;=55),Eingabe!$B$6&amp;"-"&amp;Eingabe!$C$15&amp;"-Pächter","")</f>
        <v/>
      </c>
      <c r="J1275" s="17" t="str">
        <f aca="false">IF(AND(Eingabe!$F$15&gt;0,Eingabe!$E$15&gt;=55),"PPSK: Passwort Parzelle 55","")</f>
        <v/>
      </c>
      <c r="K1275" s="17" t="str">
        <f aca="false">IF(AND(Eingabe!$F$15&gt;0,Eingabe!$E$15&gt;=55),"1. Gerät: 10."&amp;Eingabe!$D$15&amp;".55.10, 2. Gerät: .11","")</f>
        <v/>
      </c>
    </row>
    <row r="1276" customFormat="false" ht="15" hidden="false" customHeight="false" outlineLevel="0" collapsed="false">
      <c r="A1276" s="17" t="str">
        <f aca="false">IF(AND(Eingabe!$F$15&gt;0,Eingabe!$E$15&gt;=56),7,"")</f>
        <v/>
      </c>
      <c r="B1276" s="17" t="str">
        <f aca="false">IF(AND(Eingabe!$F$15&gt;0,Eingabe!$E$15&gt;=56),Eingabe!$B$15,"")</f>
        <v/>
      </c>
      <c r="C1276" s="17" t="str">
        <f aca="false">IF(AND(Eingabe!$F$15&gt;0,Eingabe!$E$15&gt;=56),Eingabe!$C$15&amp;"-Paz."&amp;TEXT(56,"000"),"")</f>
        <v/>
      </c>
      <c r="D1276" s="17" t="str">
        <f aca="false">IF(AND(Eingabe!$F$15&gt;0,Eingabe!$E$15&gt;=56),56,"")</f>
        <v/>
      </c>
      <c r="E1276" s="17" t="str">
        <f aca="false">IF(AND(Eingabe!$F$15&gt;0,Eingabe!$E$15&gt;=56),IF((Eingabe!$G$15)&lt;=9,1000+(Eingabe!$G$15)*100,3000)+56,"")</f>
        <v/>
      </c>
      <c r="F1276" s="17" t="str">
        <f aca="false">IF(AND(Eingabe!$F$15&gt;0,Eingabe!$E$15&gt;=56),"10."&amp;Eingabe!$D$15&amp;".56.0/24","")</f>
        <v/>
      </c>
      <c r="G1276" s="17" t="str">
        <f aca="false">IF(AND(Eingabe!$F$15&gt;0,Eingabe!$E$15&gt;=56),"10."&amp;Eingabe!$D$15&amp;".56.1","")</f>
        <v/>
      </c>
      <c r="H1276" s="17" t="str">
        <f aca="false">IF(AND(Eingabe!$F$15&gt;0,Eingabe!$E$15&gt;=56),"10."&amp;Eingabe!$D$15&amp;".56.10 – 10."&amp;Eingabe!$D$15&amp;".56.250","")</f>
        <v/>
      </c>
      <c r="I1276" s="17" t="str">
        <f aca="false">IF(AND(Eingabe!$F$15&gt;0,Eingabe!$E$15&gt;=56),Eingabe!$B$6&amp;"-"&amp;Eingabe!$C$15&amp;"-Pächter","")</f>
        <v/>
      </c>
      <c r="J1276" s="17" t="str">
        <f aca="false">IF(AND(Eingabe!$F$15&gt;0,Eingabe!$E$15&gt;=56),"PPSK: Passwort Parzelle 56","")</f>
        <v/>
      </c>
      <c r="K1276" s="17" t="str">
        <f aca="false">IF(AND(Eingabe!$F$15&gt;0,Eingabe!$E$15&gt;=56),"1. Gerät: 10."&amp;Eingabe!$D$15&amp;".56.10, 2. Gerät: .11","")</f>
        <v/>
      </c>
    </row>
    <row r="1277" customFormat="false" ht="15" hidden="false" customHeight="false" outlineLevel="0" collapsed="false">
      <c r="A1277" s="17" t="str">
        <f aca="false">IF(AND(Eingabe!$F$15&gt;0,Eingabe!$E$15&gt;=57),7,"")</f>
        <v/>
      </c>
      <c r="B1277" s="17" t="str">
        <f aca="false">IF(AND(Eingabe!$F$15&gt;0,Eingabe!$E$15&gt;=57),Eingabe!$B$15,"")</f>
        <v/>
      </c>
      <c r="C1277" s="17" t="str">
        <f aca="false">IF(AND(Eingabe!$F$15&gt;0,Eingabe!$E$15&gt;=57),Eingabe!$C$15&amp;"-Paz."&amp;TEXT(57,"000"),"")</f>
        <v/>
      </c>
      <c r="D1277" s="17" t="str">
        <f aca="false">IF(AND(Eingabe!$F$15&gt;0,Eingabe!$E$15&gt;=57),57,"")</f>
        <v/>
      </c>
      <c r="E1277" s="17" t="str">
        <f aca="false">IF(AND(Eingabe!$F$15&gt;0,Eingabe!$E$15&gt;=57),IF((Eingabe!$G$15)&lt;=9,1000+(Eingabe!$G$15)*100,3000)+57,"")</f>
        <v/>
      </c>
      <c r="F1277" s="17" t="str">
        <f aca="false">IF(AND(Eingabe!$F$15&gt;0,Eingabe!$E$15&gt;=57),"10."&amp;Eingabe!$D$15&amp;".57.0/24","")</f>
        <v/>
      </c>
      <c r="G1277" s="17" t="str">
        <f aca="false">IF(AND(Eingabe!$F$15&gt;0,Eingabe!$E$15&gt;=57),"10."&amp;Eingabe!$D$15&amp;".57.1","")</f>
        <v/>
      </c>
      <c r="H1277" s="17" t="str">
        <f aca="false">IF(AND(Eingabe!$F$15&gt;0,Eingabe!$E$15&gt;=57),"10."&amp;Eingabe!$D$15&amp;".57.10 – 10."&amp;Eingabe!$D$15&amp;".57.250","")</f>
        <v/>
      </c>
      <c r="I1277" s="17" t="str">
        <f aca="false">IF(AND(Eingabe!$F$15&gt;0,Eingabe!$E$15&gt;=57),Eingabe!$B$6&amp;"-"&amp;Eingabe!$C$15&amp;"-Pächter","")</f>
        <v/>
      </c>
      <c r="J1277" s="17" t="str">
        <f aca="false">IF(AND(Eingabe!$F$15&gt;0,Eingabe!$E$15&gt;=57),"PPSK: Passwort Parzelle 57","")</f>
        <v/>
      </c>
      <c r="K1277" s="17" t="str">
        <f aca="false">IF(AND(Eingabe!$F$15&gt;0,Eingabe!$E$15&gt;=57),"1. Gerät: 10."&amp;Eingabe!$D$15&amp;".57.10, 2. Gerät: .11","")</f>
        <v/>
      </c>
    </row>
    <row r="1278" customFormat="false" ht="15" hidden="false" customHeight="false" outlineLevel="0" collapsed="false">
      <c r="A1278" s="17" t="str">
        <f aca="false">IF(AND(Eingabe!$F$15&gt;0,Eingabe!$E$15&gt;=58),7,"")</f>
        <v/>
      </c>
      <c r="B1278" s="17" t="str">
        <f aca="false">IF(AND(Eingabe!$F$15&gt;0,Eingabe!$E$15&gt;=58),Eingabe!$B$15,"")</f>
        <v/>
      </c>
      <c r="C1278" s="17" t="str">
        <f aca="false">IF(AND(Eingabe!$F$15&gt;0,Eingabe!$E$15&gt;=58),Eingabe!$C$15&amp;"-Paz."&amp;TEXT(58,"000"),"")</f>
        <v/>
      </c>
      <c r="D1278" s="17" t="str">
        <f aca="false">IF(AND(Eingabe!$F$15&gt;0,Eingabe!$E$15&gt;=58),58,"")</f>
        <v/>
      </c>
      <c r="E1278" s="17" t="str">
        <f aca="false">IF(AND(Eingabe!$F$15&gt;0,Eingabe!$E$15&gt;=58),IF((Eingabe!$G$15)&lt;=9,1000+(Eingabe!$G$15)*100,3000)+58,"")</f>
        <v/>
      </c>
      <c r="F1278" s="17" t="str">
        <f aca="false">IF(AND(Eingabe!$F$15&gt;0,Eingabe!$E$15&gt;=58),"10."&amp;Eingabe!$D$15&amp;".58.0/24","")</f>
        <v/>
      </c>
      <c r="G1278" s="17" t="str">
        <f aca="false">IF(AND(Eingabe!$F$15&gt;0,Eingabe!$E$15&gt;=58),"10."&amp;Eingabe!$D$15&amp;".58.1","")</f>
        <v/>
      </c>
      <c r="H1278" s="17" t="str">
        <f aca="false">IF(AND(Eingabe!$F$15&gt;0,Eingabe!$E$15&gt;=58),"10."&amp;Eingabe!$D$15&amp;".58.10 – 10."&amp;Eingabe!$D$15&amp;".58.250","")</f>
        <v/>
      </c>
      <c r="I1278" s="17" t="str">
        <f aca="false">IF(AND(Eingabe!$F$15&gt;0,Eingabe!$E$15&gt;=58),Eingabe!$B$6&amp;"-"&amp;Eingabe!$C$15&amp;"-Pächter","")</f>
        <v/>
      </c>
      <c r="J1278" s="17" t="str">
        <f aca="false">IF(AND(Eingabe!$F$15&gt;0,Eingabe!$E$15&gt;=58),"PPSK: Passwort Parzelle 58","")</f>
        <v/>
      </c>
      <c r="K1278" s="17" t="str">
        <f aca="false">IF(AND(Eingabe!$F$15&gt;0,Eingabe!$E$15&gt;=58),"1. Gerät: 10."&amp;Eingabe!$D$15&amp;".58.10, 2. Gerät: .11","")</f>
        <v/>
      </c>
    </row>
    <row r="1279" customFormat="false" ht="15" hidden="false" customHeight="false" outlineLevel="0" collapsed="false">
      <c r="A1279" s="17" t="str">
        <f aca="false">IF(AND(Eingabe!$F$15&gt;0,Eingabe!$E$15&gt;=59),7,"")</f>
        <v/>
      </c>
      <c r="B1279" s="17" t="str">
        <f aca="false">IF(AND(Eingabe!$F$15&gt;0,Eingabe!$E$15&gt;=59),Eingabe!$B$15,"")</f>
        <v/>
      </c>
      <c r="C1279" s="17" t="str">
        <f aca="false">IF(AND(Eingabe!$F$15&gt;0,Eingabe!$E$15&gt;=59),Eingabe!$C$15&amp;"-Paz."&amp;TEXT(59,"000"),"")</f>
        <v/>
      </c>
      <c r="D1279" s="17" t="str">
        <f aca="false">IF(AND(Eingabe!$F$15&gt;0,Eingabe!$E$15&gt;=59),59,"")</f>
        <v/>
      </c>
      <c r="E1279" s="17" t="str">
        <f aca="false">IF(AND(Eingabe!$F$15&gt;0,Eingabe!$E$15&gt;=59),IF((Eingabe!$G$15)&lt;=9,1000+(Eingabe!$G$15)*100,3000)+59,"")</f>
        <v/>
      </c>
      <c r="F1279" s="17" t="str">
        <f aca="false">IF(AND(Eingabe!$F$15&gt;0,Eingabe!$E$15&gt;=59),"10."&amp;Eingabe!$D$15&amp;".59.0/24","")</f>
        <v/>
      </c>
      <c r="G1279" s="17" t="str">
        <f aca="false">IF(AND(Eingabe!$F$15&gt;0,Eingabe!$E$15&gt;=59),"10."&amp;Eingabe!$D$15&amp;".59.1","")</f>
        <v/>
      </c>
      <c r="H1279" s="17" t="str">
        <f aca="false">IF(AND(Eingabe!$F$15&gt;0,Eingabe!$E$15&gt;=59),"10."&amp;Eingabe!$D$15&amp;".59.10 – 10."&amp;Eingabe!$D$15&amp;".59.250","")</f>
        <v/>
      </c>
      <c r="I1279" s="17" t="str">
        <f aca="false">IF(AND(Eingabe!$F$15&gt;0,Eingabe!$E$15&gt;=59),Eingabe!$B$6&amp;"-"&amp;Eingabe!$C$15&amp;"-Pächter","")</f>
        <v/>
      </c>
      <c r="J1279" s="17" t="str">
        <f aca="false">IF(AND(Eingabe!$F$15&gt;0,Eingabe!$E$15&gt;=59),"PPSK: Passwort Parzelle 59","")</f>
        <v/>
      </c>
      <c r="K1279" s="17" t="str">
        <f aca="false">IF(AND(Eingabe!$F$15&gt;0,Eingabe!$E$15&gt;=59),"1. Gerät: 10."&amp;Eingabe!$D$15&amp;".59.10, 2. Gerät: .11","")</f>
        <v/>
      </c>
    </row>
    <row r="1280" customFormat="false" ht="15" hidden="false" customHeight="false" outlineLevel="0" collapsed="false">
      <c r="A1280" s="17" t="str">
        <f aca="false">IF(AND(Eingabe!$F$15&gt;0,Eingabe!$E$15&gt;=60),7,"")</f>
        <v/>
      </c>
      <c r="B1280" s="17" t="str">
        <f aca="false">IF(AND(Eingabe!$F$15&gt;0,Eingabe!$E$15&gt;=60),Eingabe!$B$15,"")</f>
        <v/>
      </c>
      <c r="C1280" s="17" t="str">
        <f aca="false">IF(AND(Eingabe!$F$15&gt;0,Eingabe!$E$15&gt;=60),Eingabe!$C$15&amp;"-Paz."&amp;TEXT(60,"000"),"")</f>
        <v/>
      </c>
      <c r="D1280" s="17" t="str">
        <f aca="false">IF(AND(Eingabe!$F$15&gt;0,Eingabe!$E$15&gt;=60),60,"")</f>
        <v/>
      </c>
      <c r="E1280" s="17" t="str">
        <f aca="false">IF(AND(Eingabe!$F$15&gt;0,Eingabe!$E$15&gt;=60),IF((Eingabe!$G$15)&lt;=9,1000+(Eingabe!$G$15)*100,3000)+60,"")</f>
        <v/>
      </c>
      <c r="F1280" s="17" t="str">
        <f aca="false">IF(AND(Eingabe!$F$15&gt;0,Eingabe!$E$15&gt;=60),"10."&amp;Eingabe!$D$15&amp;".60.0/24","")</f>
        <v/>
      </c>
      <c r="G1280" s="17" t="str">
        <f aca="false">IF(AND(Eingabe!$F$15&gt;0,Eingabe!$E$15&gt;=60),"10."&amp;Eingabe!$D$15&amp;".60.1","")</f>
        <v/>
      </c>
      <c r="H1280" s="17" t="str">
        <f aca="false">IF(AND(Eingabe!$F$15&gt;0,Eingabe!$E$15&gt;=60),"10."&amp;Eingabe!$D$15&amp;".60.10 – 10."&amp;Eingabe!$D$15&amp;".60.250","")</f>
        <v/>
      </c>
      <c r="I1280" s="17" t="str">
        <f aca="false">IF(AND(Eingabe!$F$15&gt;0,Eingabe!$E$15&gt;=60),Eingabe!$B$6&amp;"-"&amp;Eingabe!$C$15&amp;"-Pächter","")</f>
        <v/>
      </c>
      <c r="J1280" s="17" t="str">
        <f aca="false">IF(AND(Eingabe!$F$15&gt;0,Eingabe!$E$15&gt;=60),"PPSK: Passwort Parzelle 60","")</f>
        <v/>
      </c>
      <c r="K1280" s="17" t="str">
        <f aca="false">IF(AND(Eingabe!$F$15&gt;0,Eingabe!$E$15&gt;=60),"1. Gerät: 10."&amp;Eingabe!$D$15&amp;".60.10, 2. Gerät: .11","")</f>
        <v/>
      </c>
    </row>
    <row r="1281" customFormat="false" ht="15" hidden="false" customHeight="false" outlineLevel="0" collapsed="false">
      <c r="A1281" s="17" t="str">
        <f aca="false">IF(AND(Eingabe!$F$15&gt;0,Eingabe!$E$15&gt;=61),7,"")</f>
        <v/>
      </c>
      <c r="B1281" s="17" t="str">
        <f aca="false">IF(AND(Eingabe!$F$15&gt;0,Eingabe!$E$15&gt;=61),Eingabe!$B$15,"")</f>
        <v/>
      </c>
      <c r="C1281" s="17" t="str">
        <f aca="false">IF(AND(Eingabe!$F$15&gt;0,Eingabe!$E$15&gt;=61),Eingabe!$C$15&amp;"-Paz."&amp;TEXT(61,"000"),"")</f>
        <v/>
      </c>
      <c r="D1281" s="17" t="str">
        <f aca="false">IF(AND(Eingabe!$F$15&gt;0,Eingabe!$E$15&gt;=61),61,"")</f>
        <v/>
      </c>
      <c r="E1281" s="17" t="str">
        <f aca="false">IF(AND(Eingabe!$F$15&gt;0,Eingabe!$E$15&gt;=61),IF((Eingabe!$G$15)&lt;=9,1000+(Eingabe!$G$15)*100,3000)+61,"")</f>
        <v/>
      </c>
      <c r="F1281" s="17" t="str">
        <f aca="false">IF(AND(Eingabe!$F$15&gt;0,Eingabe!$E$15&gt;=61),"10."&amp;Eingabe!$D$15&amp;".61.0/24","")</f>
        <v/>
      </c>
      <c r="G1281" s="17" t="str">
        <f aca="false">IF(AND(Eingabe!$F$15&gt;0,Eingabe!$E$15&gt;=61),"10."&amp;Eingabe!$D$15&amp;".61.1","")</f>
        <v/>
      </c>
      <c r="H1281" s="17" t="str">
        <f aca="false">IF(AND(Eingabe!$F$15&gt;0,Eingabe!$E$15&gt;=61),"10."&amp;Eingabe!$D$15&amp;".61.10 – 10."&amp;Eingabe!$D$15&amp;".61.250","")</f>
        <v/>
      </c>
      <c r="I1281" s="17" t="str">
        <f aca="false">IF(AND(Eingabe!$F$15&gt;0,Eingabe!$E$15&gt;=61),Eingabe!$B$6&amp;"-"&amp;Eingabe!$C$15&amp;"-Pächter","")</f>
        <v/>
      </c>
      <c r="J1281" s="17" t="str">
        <f aca="false">IF(AND(Eingabe!$F$15&gt;0,Eingabe!$E$15&gt;=61),"PPSK: Passwort Parzelle 61","")</f>
        <v/>
      </c>
      <c r="K1281" s="17" t="str">
        <f aca="false">IF(AND(Eingabe!$F$15&gt;0,Eingabe!$E$15&gt;=61),"1. Gerät: 10."&amp;Eingabe!$D$15&amp;".61.10, 2. Gerät: .11","")</f>
        <v/>
      </c>
    </row>
    <row r="1282" customFormat="false" ht="15" hidden="false" customHeight="false" outlineLevel="0" collapsed="false">
      <c r="A1282" s="17" t="str">
        <f aca="false">IF(AND(Eingabe!$F$15&gt;0,Eingabe!$E$15&gt;=62),7,"")</f>
        <v/>
      </c>
      <c r="B1282" s="17" t="str">
        <f aca="false">IF(AND(Eingabe!$F$15&gt;0,Eingabe!$E$15&gt;=62),Eingabe!$B$15,"")</f>
        <v/>
      </c>
      <c r="C1282" s="17" t="str">
        <f aca="false">IF(AND(Eingabe!$F$15&gt;0,Eingabe!$E$15&gt;=62),Eingabe!$C$15&amp;"-Paz."&amp;TEXT(62,"000"),"")</f>
        <v/>
      </c>
      <c r="D1282" s="17" t="str">
        <f aca="false">IF(AND(Eingabe!$F$15&gt;0,Eingabe!$E$15&gt;=62),62,"")</f>
        <v/>
      </c>
      <c r="E1282" s="17" t="str">
        <f aca="false">IF(AND(Eingabe!$F$15&gt;0,Eingabe!$E$15&gt;=62),IF((Eingabe!$G$15)&lt;=9,1000+(Eingabe!$G$15)*100,3000)+62,"")</f>
        <v/>
      </c>
      <c r="F1282" s="17" t="str">
        <f aca="false">IF(AND(Eingabe!$F$15&gt;0,Eingabe!$E$15&gt;=62),"10."&amp;Eingabe!$D$15&amp;".62.0/24","")</f>
        <v/>
      </c>
      <c r="G1282" s="17" t="str">
        <f aca="false">IF(AND(Eingabe!$F$15&gt;0,Eingabe!$E$15&gt;=62),"10."&amp;Eingabe!$D$15&amp;".62.1","")</f>
        <v/>
      </c>
      <c r="H1282" s="17" t="str">
        <f aca="false">IF(AND(Eingabe!$F$15&gt;0,Eingabe!$E$15&gt;=62),"10."&amp;Eingabe!$D$15&amp;".62.10 – 10."&amp;Eingabe!$D$15&amp;".62.250","")</f>
        <v/>
      </c>
      <c r="I1282" s="17" t="str">
        <f aca="false">IF(AND(Eingabe!$F$15&gt;0,Eingabe!$E$15&gt;=62),Eingabe!$B$6&amp;"-"&amp;Eingabe!$C$15&amp;"-Pächter","")</f>
        <v/>
      </c>
      <c r="J1282" s="17" t="str">
        <f aca="false">IF(AND(Eingabe!$F$15&gt;0,Eingabe!$E$15&gt;=62),"PPSK: Passwort Parzelle 62","")</f>
        <v/>
      </c>
      <c r="K1282" s="17" t="str">
        <f aca="false">IF(AND(Eingabe!$F$15&gt;0,Eingabe!$E$15&gt;=62),"1. Gerät: 10."&amp;Eingabe!$D$15&amp;".62.10, 2. Gerät: .11","")</f>
        <v/>
      </c>
    </row>
    <row r="1283" customFormat="false" ht="15" hidden="false" customHeight="false" outlineLevel="0" collapsed="false">
      <c r="A1283" s="17" t="str">
        <f aca="false">IF(AND(Eingabe!$F$15&gt;0,Eingabe!$E$15&gt;=63),7,"")</f>
        <v/>
      </c>
      <c r="B1283" s="17" t="str">
        <f aca="false">IF(AND(Eingabe!$F$15&gt;0,Eingabe!$E$15&gt;=63),Eingabe!$B$15,"")</f>
        <v/>
      </c>
      <c r="C1283" s="17" t="str">
        <f aca="false">IF(AND(Eingabe!$F$15&gt;0,Eingabe!$E$15&gt;=63),Eingabe!$C$15&amp;"-Paz."&amp;TEXT(63,"000"),"")</f>
        <v/>
      </c>
      <c r="D1283" s="17" t="str">
        <f aca="false">IF(AND(Eingabe!$F$15&gt;0,Eingabe!$E$15&gt;=63),63,"")</f>
        <v/>
      </c>
      <c r="E1283" s="17" t="str">
        <f aca="false">IF(AND(Eingabe!$F$15&gt;0,Eingabe!$E$15&gt;=63),IF((Eingabe!$G$15)&lt;=9,1000+(Eingabe!$G$15)*100,3000)+63,"")</f>
        <v/>
      </c>
      <c r="F1283" s="17" t="str">
        <f aca="false">IF(AND(Eingabe!$F$15&gt;0,Eingabe!$E$15&gt;=63),"10."&amp;Eingabe!$D$15&amp;".63.0/24","")</f>
        <v/>
      </c>
      <c r="G1283" s="17" t="str">
        <f aca="false">IF(AND(Eingabe!$F$15&gt;0,Eingabe!$E$15&gt;=63),"10."&amp;Eingabe!$D$15&amp;".63.1","")</f>
        <v/>
      </c>
      <c r="H1283" s="17" t="str">
        <f aca="false">IF(AND(Eingabe!$F$15&gt;0,Eingabe!$E$15&gt;=63),"10."&amp;Eingabe!$D$15&amp;".63.10 – 10."&amp;Eingabe!$D$15&amp;".63.250","")</f>
        <v/>
      </c>
      <c r="I1283" s="17" t="str">
        <f aca="false">IF(AND(Eingabe!$F$15&gt;0,Eingabe!$E$15&gt;=63),Eingabe!$B$6&amp;"-"&amp;Eingabe!$C$15&amp;"-Pächter","")</f>
        <v/>
      </c>
      <c r="J1283" s="17" t="str">
        <f aca="false">IF(AND(Eingabe!$F$15&gt;0,Eingabe!$E$15&gt;=63),"PPSK: Passwort Parzelle 63","")</f>
        <v/>
      </c>
      <c r="K1283" s="17" t="str">
        <f aca="false">IF(AND(Eingabe!$F$15&gt;0,Eingabe!$E$15&gt;=63),"1. Gerät: 10."&amp;Eingabe!$D$15&amp;".63.10, 2. Gerät: .11","")</f>
        <v/>
      </c>
    </row>
    <row r="1284" customFormat="false" ht="15" hidden="false" customHeight="false" outlineLevel="0" collapsed="false">
      <c r="A1284" s="17" t="str">
        <f aca="false">IF(AND(Eingabe!$F$15&gt;0,Eingabe!$E$15&gt;=64),7,"")</f>
        <v/>
      </c>
      <c r="B1284" s="17" t="str">
        <f aca="false">IF(AND(Eingabe!$F$15&gt;0,Eingabe!$E$15&gt;=64),Eingabe!$B$15,"")</f>
        <v/>
      </c>
      <c r="C1284" s="17" t="str">
        <f aca="false">IF(AND(Eingabe!$F$15&gt;0,Eingabe!$E$15&gt;=64),Eingabe!$C$15&amp;"-Paz."&amp;TEXT(64,"000"),"")</f>
        <v/>
      </c>
      <c r="D1284" s="17" t="str">
        <f aca="false">IF(AND(Eingabe!$F$15&gt;0,Eingabe!$E$15&gt;=64),64,"")</f>
        <v/>
      </c>
      <c r="E1284" s="17" t="str">
        <f aca="false">IF(AND(Eingabe!$F$15&gt;0,Eingabe!$E$15&gt;=64),IF((Eingabe!$G$15)&lt;=9,1000+(Eingabe!$G$15)*100,3000)+64,"")</f>
        <v/>
      </c>
      <c r="F1284" s="17" t="str">
        <f aca="false">IF(AND(Eingabe!$F$15&gt;0,Eingabe!$E$15&gt;=64),"10."&amp;Eingabe!$D$15&amp;".64.0/24","")</f>
        <v/>
      </c>
      <c r="G1284" s="17" t="str">
        <f aca="false">IF(AND(Eingabe!$F$15&gt;0,Eingabe!$E$15&gt;=64),"10."&amp;Eingabe!$D$15&amp;".64.1","")</f>
        <v/>
      </c>
      <c r="H1284" s="17" t="str">
        <f aca="false">IF(AND(Eingabe!$F$15&gt;0,Eingabe!$E$15&gt;=64),"10."&amp;Eingabe!$D$15&amp;".64.10 – 10."&amp;Eingabe!$D$15&amp;".64.250","")</f>
        <v/>
      </c>
      <c r="I1284" s="17" t="str">
        <f aca="false">IF(AND(Eingabe!$F$15&gt;0,Eingabe!$E$15&gt;=64),Eingabe!$B$6&amp;"-"&amp;Eingabe!$C$15&amp;"-Pächter","")</f>
        <v/>
      </c>
      <c r="J1284" s="17" t="str">
        <f aca="false">IF(AND(Eingabe!$F$15&gt;0,Eingabe!$E$15&gt;=64),"PPSK: Passwort Parzelle 64","")</f>
        <v/>
      </c>
      <c r="K1284" s="17" t="str">
        <f aca="false">IF(AND(Eingabe!$F$15&gt;0,Eingabe!$E$15&gt;=64),"1. Gerät: 10."&amp;Eingabe!$D$15&amp;".64.10, 2. Gerät: .11","")</f>
        <v/>
      </c>
    </row>
    <row r="1285" customFormat="false" ht="15" hidden="false" customHeight="false" outlineLevel="0" collapsed="false">
      <c r="A1285" s="17" t="str">
        <f aca="false">IF(AND(Eingabe!$F$15&gt;0,Eingabe!$E$15&gt;=65),7,"")</f>
        <v/>
      </c>
      <c r="B1285" s="17" t="str">
        <f aca="false">IF(AND(Eingabe!$F$15&gt;0,Eingabe!$E$15&gt;=65),Eingabe!$B$15,"")</f>
        <v/>
      </c>
      <c r="C1285" s="17" t="str">
        <f aca="false">IF(AND(Eingabe!$F$15&gt;0,Eingabe!$E$15&gt;=65),Eingabe!$C$15&amp;"-Paz."&amp;TEXT(65,"000"),"")</f>
        <v/>
      </c>
      <c r="D1285" s="17" t="str">
        <f aca="false">IF(AND(Eingabe!$F$15&gt;0,Eingabe!$E$15&gt;=65),65,"")</f>
        <v/>
      </c>
      <c r="E1285" s="17" t="str">
        <f aca="false">IF(AND(Eingabe!$F$15&gt;0,Eingabe!$E$15&gt;=65),IF((Eingabe!$G$15)&lt;=9,1000+(Eingabe!$G$15)*100,3000)+65,"")</f>
        <v/>
      </c>
      <c r="F1285" s="17" t="str">
        <f aca="false">IF(AND(Eingabe!$F$15&gt;0,Eingabe!$E$15&gt;=65),"10."&amp;Eingabe!$D$15&amp;".65.0/24","")</f>
        <v/>
      </c>
      <c r="G1285" s="17" t="str">
        <f aca="false">IF(AND(Eingabe!$F$15&gt;0,Eingabe!$E$15&gt;=65),"10."&amp;Eingabe!$D$15&amp;".65.1","")</f>
        <v/>
      </c>
      <c r="H1285" s="17" t="str">
        <f aca="false">IF(AND(Eingabe!$F$15&gt;0,Eingabe!$E$15&gt;=65),"10."&amp;Eingabe!$D$15&amp;".65.10 – 10."&amp;Eingabe!$D$15&amp;".65.250","")</f>
        <v/>
      </c>
      <c r="I1285" s="17" t="str">
        <f aca="false">IF(AND(Eingabe!$F$15&gt;0,Eingabe!$E$15&gt;=65),Eingabe!$B$6&amp;"-"&amp;Eingabe!$C$15&amp;"-Pächter","")</f>
        <v/>
      </c>
      <c r="J1285" s="17" t="str">
        <f aca="false">IF(AND(Eingabe!$F$15&gt;0,Eingabe!$E$15&gt;=65),"PPSK: Passwort Parzelle 65","")</f>
        <v/>
      </c>
      <c r="K1285" s="17" t="str">
        <f aca="false">IF(AND(Eingabe!$F$15&gt;0,Eingabe!$E$15&gt;=65),"1. Gerät: 10."&amp;Eingabe!$D$15&amp;".65.10, 2. Gerät: .11","")</f>
        <v/>
      </c>
    </row>
    <row r="1286" customFormat="false" ht="15" hidden="false" customHeight="false" outlineLevel="0" collapsed="false">
      <c r="A1286" s="17" t="str">
        <f aca="false">IF(AND(Eingabe!$F$15&gt;0,Eingabe!$E$15&gt;=66),7,"")</f>
        <v/>
      </c>
      <c r="B1286" s="17" t="str">
        <f aca="false">IF(AND(Eingabe!$F$15&gt;0,Eingabe!$E$15&gt;=66),Eingabe!$B$15,"")</f>
        <v/>
      </c>
      <c r="C1286" s="17" t="str">
        <f aca="false">IF(AND(Eingabe!$F$15&gt;0,Eingabe!$E$15&gt;=66),Eingabe!$C$15&amp;"-Paz."&amp;TEXT(66,"000"),"")</f>
        <v/>
      </c>
      <c r="D1286" s="17" t="str">
        <f aca="false">IF(AND(Eingabe!$F$15&gt;0,Eingabe!$E$15&gt;=66),66,"")</f>
        <v/>
      </c>
      <c r="E1286" s="17" t="str">
        <f aca="false">IF(AND(Eingabe!$F$15&gt;0,Eingabe!$E$15&gt;=66),IF((Eingabe!$G$15)&lt;=9,1000+(Eingabe!$G$15)*100,3000)+66,"")</f>
        <v/>
      </c>
      <c r="F1286" s="17" t="str">
        <f aca="false">IF(AND(Eingabe!$F$15&gt;0,Eingabe!$E$15&gt;=66),"10."&amp;Eingabe!$D$15&amp;".66.0/24","")</f>
        <v/>
      </c>
      <c r="G1286" s="17" t="str">
        <f aca="false">IF(AND(Eingabe!$F$15&gt;0,Eingabe!$E$15&gt;=66),"10."&amp;Eingabe!$D$15&amp;".66.1","")</f>
        <v/>
      </c>
      <c r="H1286" s="17" t="str">
        <f aca="false">IF(AND(Eingabe!$F$15&gt;0,Eingabe!$E$15&gt;=66),"10."&amp;Eingabe!$D$15&amp;".66.10 – 10."&amp;Eingabe!$D$15&amp;".66.250","")</f>
        <v/>
      </c>
      <c r="I1286" s="17" t="str">
        <f aca="false">IF(AND(Eingabe!$F$15&gt;0,Eingabe!$E$15&gt;=66),Eingabe!$B$6&amp;"-"&amp;Eingabe!$C$15&amp;"-Pächter","")</f>
        <v/>
      </c>
      <c r="J1286" s="17" t="str">
        <f aca="false">IF(AND(Eingabe!$F$15&gt;0,Eingabe!$E$15&gt;=66),"PPSK: Passwort Parzelle 66","")</f>
        <v/>
      </c>
      <c r="K1286" s="17" t="str">
        <f aca="false">IF(AND(Eingabe!$F$15&gt;0,Eingabe!$E$15&gt;=66),"1. Gerät: 10."&amp;Eingabe!$D$15&amp;".66.10, 2. Gerät: .11","")</f>
        <v/>
      </c>
    </row>
    <row r="1287" customFormat="false" ht="15" hidden="false" customHeight="false" outlineLevel="0" collapsed="false">
      <c r="A1287" s="17" t="str">
        <f aca="false">IF(AND(Eingabe!$F$15&gt;0,Eingabe!$E$15&gt;=67),7,"")</f>
        <v/>
      </c>
      <c r="B1287" s="17" t="str">
        <f aca="false">IF(AND(Eingabe!$F$15&gt;0,Eingabe!$E$15&gt;=67),Eingabe!$B$15,"")</f>
        <v/>
      </c>
      <c r="C1287" s="17" t="str">
        <f aca="false">IF(AND(Eingabe!$F$15&gt;0,Eingabe!$E$15&gt;=67),Eingabe!$C$15&amp;"-Paz."&amp;TEXT(67,"000"),"")</f>
        <v/>
      </c>
      <c r="D1287" s="17" t="str">
        <f aca="false">IF(AND(Eingabe!$F$15&gt;0,Eingabe!$E$15&gt;=67),67,"")</f>
        <v/>
      </c>
      <c r="E1287" s="17" t="str">
        <f aca="false">IF(AND(Eingabe!$F$15&gt;0,Eingabe!$E$15&gt;=67),IF((Eingabe!$G$15)&lt;=9,1000+(Eingabe!$G$15)*100,3000)+67,"")</f>
        <v/>
      </c>
      <c r="F1287" s="17" t="str">
        <f aca="false">IF(AND(Eingabe!$F$15&gt;0,Eingabe!$E$15&gt;=67),"10."&amp;Eingabe!$D$15&amp;".67.0/24","")</f>
        <v/>
      </c>
      <c r="G1287" s="17" t="str">
        <f aca="false">IF(AND(Eingabe!$F$15&gt;0,Eingabe!$E$15&gt;=67),"10."&amp;Eingabe!$D$15&amp;".67.1","")</f>
        <v/>
      </c>
      <c r="H1287" s="17" t="str">
        <f aca="false">IF(AND(Eingabe!$F$15&gt;0,Eingabe!$E$15&gt;=67),"10."&amp;Eingabe!$D$15&amp;".67.10 – 10."&amp;Eingabe!$D$15&amp;".67.250","")</f>
        <v/>
      </c>
      <c r="I1287" s="17" t="str">
        <f aca="false">IF(AND(Eingabe!$F$15&gt;0,Eingabe!$E$15&gt;=67),Eingabe!$B$6&amp;"-"&amp;Eingabe!$C$15&amp;"-Pächter","")</f>
        <v/>
      </c>
      <c r="J1287" s="17" t="str">
        <f aca="false">IF(AND(Eingabe!$F$15&gt;0,Eingabe!$E$15&gt;=67),"PPSK: Passwort Parzelle 67","")</f>
        <v/>
      </c>
      <c r="K1287" s="17" t="str">
        <f aca="false">IF(AND(Eingabe!$F$15&gt;0,Eingabe!$E$15&gt;=67),"1. Gerät: 10."&amp;Eingabe!$D$15&amp;".67.10, 2. Gerät: .11","")</f>
        <v/>
      </c>
    </row>
    <row r="1288" customFormat="false" ht="15" hidden="false" customHeight="false" outlineLevel="0" collapsed="false">
      <c r="A1288" s="17" t="str">
        <f aca="false">IF(AND(Eingabe!$F$15&gt;0,Eingabe!$E$15&gt;=68),7,"")</f>
        <v/>
      </c>
      <c r="B1288" s="17" t="str">
        <f aca="false">IF(AND(Eingabe!$F$15&gt;0,Eingabe!$E$15&gt;=68),Eingabe!$B$15,"")</f>
        <v/>
      </c>
      <c r="C1288" s="17" t="str">
        <f aca="false">IF(AND(Eingabe!$F$15&gt;0,Eingabe!$E$15&gt;=68),Eingabe!$C$15&amp;"-Paz."&amp;TEXT(68,"000"),"")</f>
        <v/>
      </c>
      <c r="D1288" s="17" t="str">
        <f aca="false">IF(AND(Eingabe!$F$15&gt;0,Eingabe!$E$15&gt;=68),68,"")</f>
        <v/>
      </c>
      <c r="E1288" s="17" t="str">
        <f aca="false">IF(AND(Eingabe!$F$15&gt;0,Eingabe!$E$15&gt;=68),IF((Eingabe!$G$15)&lt;=9,1000+(Eingabe!$G$15)*100,3000)+68,"")</f>
        <v/>
      </c>
      <c r="F1288" s="17" t="str">
        <f aca="false">IF(AND(Eingabe!$F$15&gt;0,Eingabe!$E$15&gt;=68),"10."&amp;Eingabe!$D$15&amp;".68.0/24","")</f>
        <v/>
      </c>
      <c r="G1288" s="17" t="str">
        <f aca="false">IF(AND(Eingabe!$F$15&gt;0,Eingabe!$E$15&gt;=68),"10."&amp;Eingabe!$D$15&amp;".68.1","")</f>
        <v/>
      </c>
      <c r="H1288" s="17" t="str">
        <f aca="false">IF(AND(Eingabe!$F$15&gt;0,Eingabe!$E$15&gt;=68),"10."&amp;Eingabe!$D$15&amp;".68.10 – 10."&amp;Eingabe!$D$15&amp;".68.250","")</f>
        <v/>
      </c>
      <c r="I1288" s="17" t="str">
        <f aca="false">IF(AND(Eingabe!$F$15&gt;0,Eingabe!$E$15&gt;=68),Eingabe!$B$6&amp;"-"&amp;Eingabe!$C$15&amp;"-Pächter","")</f>
        <v/>
      </c>
      <c r="J1288" s="17" t="str">
        <f aca="false">IF(AND(Eingabe!$F$15&gt;0,Eingabe!$E$15&gt;=68),"PPSK: Passwort Parzelle 68","")</f>
        <v/>
      </c>
      <c r="K1288" s="17" t="str">
        <f aca="false">IF(AND(Eingabe!$F$15&gt;0,Eingabe!$E$15&gt;=68),"1. Gerät: 10."&amp;Eingabe!$D$15&amp;".68.10, 2. Gerät: .11","")</f>
        <v/>
      </c>
    </row>
    <row r="1289" customFormat="false" ht="15" hidden="false" customHeight="false" outlineLevel="0" collapsed="false">
      <c r="A1289" s="17" t="str">
        <f aca="false">IF(AND(Eingabe!$F$15&gt;0,Eingabe!$E$15&gt;=69),7,"")</f>
        <v/>
      </c>
      <c r="B1289" s="17" t="str">
        <f aca="false">IF(AND(Eingabe!$F$15&gt;0,Eingabe!$E$15&gt;=69),Eingabe!$B$15,"")</f>
        <v/>
      </c>
      <c r="C1289" s="17" t="str">
        <f aca="false">IF(AND(Eingabe!$F$15&gt;0,Eingabe!$E$15&gt;=69),Eingabe!$C$15&amp;"-Paz."&amp;TEXT(69,"000"),"")</f>
        <v/>
      </c>
      <c r="D1289" s="17" t="str">
        <f aca="false">IF(AND(Eingabe!$F$15&gt;0,Eingabe!$E$15&gt;=69),69,"")</f>
        <v/>
      </c>
      <c r="E1289" s="17" t="str">
        <f aca="false">IF(AND(Eingabe!$F$15&gt;0,Eingabe!$E$15&gt;=69),IF((Eingabe!$G$15)&lt;=9,1000+(Eingabe!$G$15)*100,3000)+69,"")</f>
        <v/>
      </c>
      <c r="F1289" s="17" t="str">
        <f aca="false">IF(AND(Eingabe!$F$15&gt;0,Eingabe!$E$15&gt;=69),"10."&amp;Eingabe!$D$15&amp;".69.0/24","")</f>
        <v/>
      </c>
      <c r="G1289" s="17" t="str">
        <f aca="false">IF(AND(Eingabe!$F$15&gt;0,Eingabe!$E$15&gt;=69),"10."&amp;Eingabe!$D$15&amp;".69.1","")</f>
        <v/>
      </c>
      <c r="H1289" s="17" t="str">
        <f aca="false">IF(AND(Eingabe!$F$15&gt;0,Eingabe!$E$15&gt;=69),"10."&amp;Eingabe!$D$15&amp;".69.10 – 10."&amp;Eingabe!$D$15&amp;".69.250","")</f>
        <v/>
      </c>
      <c r="I1289" s="17" t="str">
        <f aca="false">IF(AND(Eingabe!$F$15&gt;0,Eingabe!$E$15&gt;=69),Eingabe!$B$6&amp;"-"&amp;Eingabe!$C$15&amp;"-Pächter","")</f>
        <v/>
      </c>
      <c r="J1289" s="17" t="str">
        <f aca="false">IF(AND(Eingabe!$F$15&gt;0,Eingabe!$E$15&gt;=69),"PPSK: Passwort Parzelle 69","")</f>
        <v/>
      </c>
      <c r="K1289" s="17" t="str">
        <f aca="false">IF(AND(Eingabe!$F$15&gt;0,Eingabe!$E$15&gt;=69),"1. Gerät: 10."&amp;Eingabe!$D$15&amp;".69.10, 2. Gerät: .11","")</f>
        <v/>
      </c>
    </row>
    <row r="1290" customFormat="false" ht="15" hidden="false" customHeight="false" outlineLevel="0" collapsed="false">
      <c r="A1290" s="17" t="str">
        <f aca="false">IF(AND(Eingabe!$F$15&gt;0,Eingabe!$E$15&gt;=70),7,"")</f>
        <v/>
      </c>
      <c r="B1290" s="17" t="str">
        <f aca="false">IF(AND(Eingabe!$F$15&gt;0,Eingabe!$E$15&gt;=70),Eingabe!$B$15,"")</f>
        <v/>
      </c>
      <c r="C1290" s="17" t="str">
        <f aca="false">IF(AND(Eingabe!$F$15&gt;0,Eingabe!$E$15&gt;=70),Eingabe!$C$15&amp;"-Paz."&amp;TEXT(70,"000"),"")</f>
        <v/>
      </c>
      <c r="D1290" s="17" t="str">
        <f aca="false">IF(AND(Eingabe!$F$15&gt;0,Eingabe!$E$15&gt;=70),70,"")</f>
        <v/>
      </c>
      <c r="E1290" s="17" t="str">
        <f aca="false">IF(AND(Eingabe!$F$15&gt;0,Eingabe!$E$15&gt;=70),IF((Eingabe!$G$15)&lt;=9,1000+(Eingabe!$G$15)*100,3000)+70,"")</f>
        <v/>
      </c>
      <c r="F1290" s="17" t="str">
        <f aca="false">IF(AND(Eingabe!$F$15&gt;0,Eingabe!$E$15&gt;=70),"10."&amp;Eingabe!$D$15&amp;".70.0/24","")</f>
        <v/>
      </c>
      <c r="G1290" s="17" t="str">
        <f aca="false">IF(AND(Eingabe!$F$15&gt;0,Eingabe!$E$15&gt;=70),"10."&amp;Eingabe!$D$15&amp;".70.1","")</f>
        <v/>
      </c>
      <c r="H1290" s="17" t="str">
        <f aca="false">IF(AND(Eingabe!$F$15&gt;0,Eingabe!$E$15&gt;=70),"10."&amp;Eingabe!$D$15&amp;".70.10 – 10."&amp;Eingabe!$D$15&amp;".70.250","")</f>
        <v/>
      </c>
      <c r="I1290" s="17" t="str">
        <f aca="false">IF(AND(Eingabe!$F$15&gt;0,Eingabe!$E$15&gt;=70),Eingabe!$B$6&amp;"-"&amp;Eingabe!$C$15&amp;"-Pächter","")</f>
        <v/>
      </c>
      <c r="J1290" s="17" t="str">
        <f aca="false">IF(AND(Eingabe!$F$15&gt;0,Eingabe!$E$15&gt;=70),"PPSK: Passwort Parzelle 70","")</f>
        <v/>
      </c>
      <c r="K1290" s="17" t="str">
        <f aca="false">IF(AND(Eingabe!$F$15&gt;0,Eingabe!$E$15&gt;=70),"1. Gerät: 10."&amp;Eingabe!$D$15&amp;".70.10, 2. Gerät: .11","")</f>
        <v/>
      </c>
    </row>
    <row r="1291" customFormat="false" ht="15" hidden="false" customHeight="false" outlineLevel="0" collapsed="false">
      <c r="A1291" s="17" t="str">
        <f aca="false">IF(AND(Eingabe!$F$15&gt;0,Eingabe!$E$15&gt;=71),7,"")</f>
        <v/>
      </c>
      <c r="B1291" s="17" t="str">
        <f aca="false">IF(AND(Eingabe!$F$15&gt;0,Eingabe!$E$15&gt;=71),Eingabe!$B$15,"")</f>
        <v/>
      </c>
      <c r="C1291" s="17" t="str">
        <f aca="false">IF(AND(Eingabe!$F$15&gt;0,Eingabe!$E$15&gt;=71),Eingabe!$C$15&amp;"-Paz."&amp;TEXT(71,"000"),"")</f>
        <v/>
      </c>
      <c r="D1291" s="17" t="str">
        <f aca="false">IF(AND(Eingabe!$F$15&gt;0,Eingabe!$E$15&gt;=71),71,"")</f>
        <v/>
      </c>
      <c r="E1291" s="17" t="str">
        <f aca="false">IF(AND(Eingabe!$F$15&gt;0,Eingabe!$E$15&gt;=71),IF((Eingabe!$G$15)&lt;=9,1000+(Eingabe!$G$15)*100,3000)+71,"")</f>
        <v/>
      </c>
      <c r="F1291" s="17" t="str">
        <f aca="false">IF(AND(Eingabe!$F$15&gt;0,Eingabe!$E$15&gt;=71),"10."&amp;Eingabe!$D$15&amp;".71.0/24","")</f>
        <v/>
      </c>
      <c r="G1291" s="17" t="str">
        <f aca="false">IF(AND(Eingabe!$F$15&gt;0,Eingabe!$E$15&gt;=71),"10."&amp;Eingabe!$D$15&amp;".71.1","")</f>
        <v/>
      </c>
      <c r="H1291" s="17" t="str">
        <f aca="false">IF(AND(Eingabe!$F$15&gt;0,Eingabe!$E$15&gt;=71),"10."&amp;Eingabe!$D$15&amp;".71.10 – 10."&amp;Eingabe!$D$15&amp;".71.250","")</f>
        <v/>
      </c>
      <c r="I1291" s="17" t="str">
        <f aca="false">IF(AND(Eingabe!$F$15&gt;0,Eingabe!$E$15&gt;=71),Eingabe!$B$6&amp;"-"&amp;Eingabe!$C$15&amp;"-Pächter","")</f>
        <v/>
      </c>
      <c r="J1291" s="17" t="str">
        <f aca="false">IF(AND(Eingabe!$F$15&gt;0,Eingabe!$E$15&gt;=71),"PPSK: Passwort Parzelle 71","")</f>
        <v/>
      </c>
      <c r="K1291" s="17" t="str">
        <f aca="false">IF(AND(Eingabe!$F$15&gt;0,Eingabe!$E$15&gt;=71),"1. Gerät: 10."&amp;Eingabe!$D$15&amp;".71.10, 2. Gerät: .11","")</f>
        <v/>
      </c>
    </row>
    <row r="1292" customFormat="false" ht="15" hidden="false" customHeight="false" outlineLevel="0" collapsed="false">
      <c r="A1292" s="17" t="str">
        <f aca="false">IF(AND(Eingabe!$F$15&gt;0,Eingabe!$E$15&gt;=72),7,"")</f>
        <v/>
      </c>
      <c r="B1292" s="17" t="str">
        <f aca="false">IF(AND(Eingabe!$F$15&gt;0,Eingabe!$E$15&gt;=72),Eingabe!$B$15,"")</f>
        <v/>
      </c>
      <c r="C1292" s="17" t="str">
        <f aca="false">IF(AND(Eingabe!$F$15&gt;0,Eingabe!$E$15&gt;=72),Eingabe!$C$15&amp;"-Paz."&amp;TEXT(72,"000"),"")</f>
        <v/>
      </c>
      <c r="D1292" s="17" t="str">
        <f aca="false">IF(AND(Eingabe!$F$15&gt;0,Eingabe!$E$15&gt;=72),72,"")</f>
        <v/>
      </c>
      <c r="E1292" s="17" t="str">
        <f aca="false">IF(AND(Eingabe!$F$15&gt;0,Eingabe!$E$15&gt;=72),IF((Eingabe!$G$15)&lt;=9,1000+(Eingabe!$G$15)*100,3000)+72,"")</f>
        <v/>
      </c>
      <c r="F1292" s="17" t="str">
        <f aca="false">IF(AND(Eingabe!$F$15&gt;0,Eingabe!$E$15&gt;=72),"10."&amp;Eingabe!$D$15&amp;".72.0/24","")</f>
        <v/>
      </c>
      <c r="G1292" s="17" t="str">
        <f aca="false">IF(AND(Eingabe!$F$15&gt;0,Eingabe!$E$15&gt;=72),"10."&amp;Eingabe!$D$15&amp;".72.1","")</f>
        <v/>
      </c>
      <c r="H1292" s="17" t="str">
        <f aca="false">IF(AND(Eingabe!$F$15&gt;0,Eingabe!$E$15&gt;=72),"10."&amp;Eingabe!$D$15&amp;".72.10 – 10."&amp;Eingabe!$D$15&amp;".72.250","")</f>
        <v/>
      </c>
      <c r="I1292" s="17" t="str">
        <f aca="false">IF(AND(Eingabe!$F$15&gt;0,Eingabe!$E$15&gt;=72),Eingabe!$B$6&amp;"-"&amp;Eingabe!$C$15&amp;"-Pächter","")</f>
        <v/>
      </c>
      <c r="J1292" s="17" t="str">
        <f aca="false">IF(AND(Eingabe!$F$15&gt;0,Eingabe!$E$15&gt;=72),"PPSK: Passwort Parzelle 72","")</f>
        <v/>
      </c>
      <c r="K1292" s="17" t="str">
        <f aca="false">IF(AND(Eingabe!$F$15&gt;0,Eingabe!$E$15&gt;=72),"1. Gerät: 10."&amp;Eingabe!$D$15&amp;".72.10, 2. Gerät: .11","")</f>
        <v/>
      </c>
    </row>
    <row r="1293" customFormat="false" ht="15" hidden="false" customHeight="false" outlineLevel="0" collapsed="false">
      <c r="A1293" s="17" t="str">
        <f aca="false">IF(AND(Eingabe!$F$15&gt;0,Eingabe!$E$15&gt;=73),7,"")</f>
        <v/>
      </c>
      <c r="B1293" s="17" t="str">
        <f aca="false">IF(AND(Eingabe!$F$15&gt;0,Eingabe!$E$15&gt;=73),Eingabe!$B$15,"")</f>
        <v/>
      </c>
      <c r="C1293" s="17" t="str">
        <f aca="false">IF(AND(Eingabe!$F$15&gt;0,Eingabe!$E$15&gt;=73),Eingabe!$C$15&amp;"-Paz."&amp;TEXT(73,"000"),"")</f>
        <v/>
      </c>
      <c r="D1293" s="17" t="str">
        <f aca="false">IF(AND(Eingabe!$F$15&gt;0,Eingabe!$E$15&gt;=73),73,"")</f>
        <v/>
      </c>
      <c r="E1293" s="17" t="str">
        <f aca="false">IF(AND(Eingabe!$F$15&gt;0,Eingabe!$E$15&gt;=73),IF((Eingabe!$G$15)&lt;=9,1000+(Eingabe!$G$15)*100,3000)+73,"")</f>
        <v/>
      </c>
      <c r="F1293" s="17" t="str">
        <f aca="false">IF(AND(Eingabe!$F$15&gt;0,Eingabe!$E$15&gt;=73),"10."&amp;Eingabe!$D$15&amp;".73.0/24","")</f>
        <v/>
      </c>
      <c r="G1293" s="17" t="str">
        <f aca="false">IF(AND(Eingabe!$F$15&gt;0,Eingabe!$E$15&gt;=73),"10."&amp;Eingabe!$D$15&amp;".73.1","")</f>
        <v/>
      </c>
      <c r="H1293" s="17" t="str">
        <f aca="false">IF(AND(Eingabe!$F$15&gt;0,Eingabe!$E$15&gt;=73),"10."&amp;Eingabe!$D$15&amp;".73.10 – 10."&amp;Eingabe!$D$15&amp;".73.250","")</f>
        <v/>
      </c>
      <c r="I1293" s="17" t="str">
        <f aca="false">IF(AND(Eingabe!$F$15&gt;0,Eingabe!$E$15&gt;=73),Eingabe!$B$6&amp;"-"&amp;Eingabe!$C$15&amp;"-Pächter","")</f>
        <v/>
      </c>
      <c r="J1293" s="17" t="str">
        <f aca="false">IF(AND(Eingabe!$F$15&gt;0,Eingabe!$E$15&gt;=73),"PPSK: Passwort Parzelle 73","")</f>
        <v/>
      </c>
      <c r="K1293" s="17" t="str">
        <f aca="false">IF(AND(Eingabe!$F$15&gt;0,Eingabe!$E$15&gt;=73),"1. Gerät: 10."&amp;Eingabe!$D$15&amp;".73.10, 2. Gerät: .11","")</f>
        <v/>
      </c>
    </row>
    <row r="1294" customFormat="false" ht="15" hidden="false" customHeight="false" outlineLevel="0" collapsed="false">
      <c r="A1294" s="17" t="str">
        <f aca="false">IF(AND(Eingabe!$F$15&gt;0,Eingabe!$E$15&gt;=74),7,"")</f>
        <v/>
      </c>
      <c r="B1294" s="17" t="str">
        <f aca="false">IF(AND(Eingabe!$F$15&gt;0,Eingabe!$E$15&gt;=74),Eingabe!$B$15,"")</f>
        <v/>
      </c>
      <c r="C1294" s="17" t="str">
        <f aca="false">IF(AND(Eingabe!$F$15&gt;0,Eingabe!$E$15&gt;=74),Eingabe!$C$15&amp;"-Paz."&amp;TEXT(74,"000"),"")</f>
        <v/>
      </c>
      <c r="D1294" s="17" t="str">
        <f aca="false">IF(AND(Eingabe!$F$15&gt;0,Eingabe!$E$15&gt;=74),74,"")</f>
        <v/>
      </c>
      <c r="E1294" s="17" t="str">
        <f aca="false">IF(AND(Eingabe!$F$15&gt;0,Eingabe!$E$15&gt;=74),IF((Eingabe!$G$15)&lt;=9,1000+(Eingabe!$G$15)*100,3000)+74,"")</f>
        <v/>
      </c>
      <c r="F1294" s="17" t="str">
        <f aca="false">IF(AND(Eingabe!$F$15&gt;0,Eingabe!$E$15&gt;=74),"10."&amp;Eingabe!$D$15&amp;".74.0/24","")</f>
        <v/>
      </c>
      <c r="G1294" s="17" t="str">
        <f aca="false">IF(AND(Eingabe!$F$15&gt;0,Eingabe!$E$15&gt;=74),"10."&amp;Eingabe!$D$15&amp;".74.1","")</f>
        <v/>
      </c>
      <c r="H1294" s="17" t="str">
        <f aca="false">IF(AND(Eingabe!$F$15&gt;0,Eingabe!$E$15&gt;=74),"10."&amp;Eingabe!$D$15&amp;".74.10 – 10."&amp;Eingabe!$D$15&amp;".74.250","")</f>
        <v/>
      </c>
      <c r="I1294" s="17" t="str">
        <f aca="false">IF(AND(Eingabe!$F$15&gt;0,Eingabe!$E$15&gt;=74),Eingabe!$B$6&amp;"-"&amp;Eingabe!$C$15&amp;"-Pächter","")</f>
        <v/>
      </c>
      <c r="J1294" s="17" t="str">
        <f aca="false">IF(AND(Eingabe!$F$15&gt;0,Eingabe!$E$15&gt;=74),"PPSK: Passwort Parzelle 74","")</f>
        <v/>
      </c>
      <c r="K1294" s="17" t="str">
        <f aca="false">IF(AND(Eingabe!$F$15&gt;0,Eingabe!$E$15&gt;=74),"1. Gerät: 10."&amp;Eingabe!$D$15&amp;".74.10, 2. Gerät: .11","")</f>
        <v/>
      </c>
    </row>
    <row r="1295" customFormat="false" ht="15" hidden="false" customHeight="false" outlineLevel="0" collapsed="false">
      <c r="A1295" s="17" t="str">
        <f aca="false">IF(AND(Eingabe!$F$15&gt;0,Eingabe!$E$15&gt;=75),7,"")</f>
        <v/>
      </c>
      <c r="B1295" s="17" t="str">
        <f aca="false">IF(AND(Eingabe!$F$15&gt;0,Eingabe!$E$15&gt;=75),Eingabe!$B$15,"")</f>
        <v/>
      </c>
      <c r="C1295" s="17" t="str">
        <f aca="false">IF(AND(Eingabe!$F$15&gt;0,Eingabe!$E$15&gt;=75),Eingabe!$C$15&amp;"-Paz."&amp;TEXT(75,"000"),"")</f>
        <v/>
      </c>
      <c r="D1295" s="17" t="str">
        <f aca="false">IF(AND(Eingabe!$F$15&gt;0,Eingabe!$E$15&gt;=75),75,"")</f>
        <v/>
      </c>
      <c r="E1295" s="17" t="str">
        <f aca="false">IF(AND(Eingabe!$F$15&gt;0,Eingabe!$E$15&gt;=75),IF((Eingabe!$G$15)&lt;=9,1000+(Eingabe!$G$15)*100,3000)+75,"")</f>
        <v/>
      </c>
      <c r="F1295" s="17" t="str">
        <f aca="false">IF(AND(Eingabe!$F$15&gt;0,Eingabe!$E$15&gt;=75),"10."&amp;Eingabe!$D$15&amp;".75.0/24","")</f>
        <v/>
      </c>
      <c r="G1295" s="17" t="str">
        <f aca="false">IF(AND(Eingabe!$F$15&gt;0,Eingabe!$E$15&gt;=75),"10."&amp;Eingabe!$D$15&amp;".75.1","")</f>
        <v/>
      </c>
      <c r="H1295" s="17" t="str">
        <f aca="false">IF(AND(Eingabe!$F$15&gt;0,Eingabe!$E$15&gt;=75),"10."&amp;Eingabe!$D$15&amp;".75.10 – 10."&amp;Eingabe!$D$15&amp;".75.250","")</f>
        <v/>
      </c>
      <c r="I1295" s="17" t="str">
        <f aca="false">IF(AND(Eingabe!$F$15&gt;0,Eingabe!$E$15&gt;=75),Eingabe!$B$6&amp;"-"&amp;Eingabe!$C$15&amp;"-Pächter","")</f>
        <v/>
      </c>
      <c r="J1295" s="17" t="str">
        <f aca="false">IF(AND(Eingabe!$F$15&gt;0,Eingabe!$E$15&gt;=75),"PPSK: Passwort Parzelle 75","")</f>
        <v/>
      </c>
      <c r="K1295" s="17" t="str">
        <f aca="false">IF(AND(Eingabe!$F$15&gt;0,Eingabe!$E$15&gt;=75),"1. Gerät: 10."&amp;Eingabe!$D$15&amp;".75.10, 2. Gerät: .11","")</f>
        <v/>
      </c>
    </row>
    <row r="1296" customFormat="false" ht="15" hidden="false" customHeight="false" outlineLevel="0" collapsed="false">
      <c r="A1296" s="17" t="str">
        <f aca="false">IF(AND(Eingabe!$F$15&gt;0,Eingabe!$E$15&gt;=76),7,"")</f>
        <v/>
      </c>
      <c r="B1296" s="17" t="str">
        <f aca="false">IF(AND(Eingabe!$F$15&gt;0,Eingabe!$E$15&gt;=76),Eingabe!$B$15,"")</f>
        <v/>
      </c>
      <c r="C1296" s="17" t="str">
        <f aca="false">IF(AND(Eingabe!$F$15&gt;0,Eingabe!$E$15&gt;=76),Eingabe!$C$15&amp;"-Paz."&amp;TEXT(76,"000"),"")</f>
        <v/>
      </c>
      <c r="D1296" s="17" t="str">
        <f aca="false">IF(AND(Eingabe!$F$15&gt;0,Eingabe!$E$15&gt;=76),76,"")</f>
        <v/>
      </c>
      <c r="E1296" s="17" t="str">
        <f aca="false">IF(AND(Eingabe!$F$15&gt;0,Eingabe!$E$15&gt;=76),IF((Eingabe!$G$15)&lt;=9,1000+(Eingabe!$G$15)*100,3000)+76,"")</f>
        <v/>
      </c>
      <c r="F1296" s="17" t="str">
        <f aca="false">IF(AND(Eingabe!$F$15&gt;0,Eingabe!$E$15&gt;=76),"10."&amp;Eingabe!$D$15&amp;".76.0/24","")</f>
        <v/>
      </c>
      <c r="G1296" s="17" t="str">
        <f aca="false">IF(AND(Eingabe!$F$15&gt;0,Eingabe!$E$15&gt;=76),"10."&amp;Eingabe!$D$15&amp;".76.1","")</f>
        <v/>
      </c>
      <c r="H1296" s="17" t="str">
        <f aca="false">IF(AND(Eingabe!$F$15&gt;0,Eingabe!$E$15&gt;=76),"10."&amp;Eingabe!$D$15&amp;".76.10 – 10."&amp;Eingabe!$D$15&amp;".76.250","")</f>
        <v/>
      </c>
      <c r="I1296" s="17" t="str">
        <f aca="false">IF(AND(Eingabe!$F$15&gt;0,Eingabe!$E$15&gt;=76),Eingabe!$B$6&amp;"-"&amp;Eingabe!$C$15&amp;"-Pächter","")</f>
        <v/>
      </c>
      <c r="J1296" s="17" t="str">
        <f aca="false">IF(AND(Eingabe!$F$15&gt;0,Eingabe!$E$15&gt;=76),"PPSK: Passwort Parzelle 76","")</f>
        <v/>
      </c>
      <c r="K1296" s="17" t="str">
        <f aca="false">IF(AND(Eingabe!$F$15&gt;0,Eingabe!$E$15&gt;=76),"1. Gerät: 10."&amp;Eingabe!$D$15&amp;".76.10, 2. Gerät: .11","")</f>
        <v/>
      </c>
    </row>
    <row r="1297" customFormat="false" ht="15" hidden="false" customHeight="false" outlineLevel="0" collapsed="false">
      <c r="A1297" s="17" t="str">
        <f aca="false">IF(AND(Eingabe!$F$15&gt;0,Eingabe!$E$15&gt;=77),7,"")</f>
        <v/>
      </c>
      <c r="B1297" s="17" t="str">
        <f aca="false">IF(AND(Eingabe!$F$15&gt;0,Eingabe!$E$15&gt;=77),Eingabe!$B$15,"")</f>
        <v/>
      </c>
      <c r="C1297" s="17" t="str">
        <f aca="false">IF(AND(Eingabe!$F$15&gt;0,Eingabe!$E$15&gt;=77),Eingabe!$C$15&amp;"-Paz."&amp;TEXT(77,"000"),"")</f>
        <v/>
      </c>
      <c r="D1297" s="17" t="str">
        <f aca="false">IF(AND(Eingabe!$F$15&gt;0,Eingabe!$E$15&gt;=77),77,"")</f>
        <v/>
      </c>
      <c r="E1297" s="17" t="str">
        <f aca="false">IF(AND(Eingabe!$F$15&gt;0,Eingabe!$E$15&gt;=77),IF((Eingabe!$G$15)&lt;=9,1000+(Eingabe!$G$15)*100,3000)+77,"")</f>
        <v/>
      </c>
      <c r="F1297" s="17" t="str">
        <f aca="false">IF(AND(Eingabe!$F$15&gt;0,Eingabe!$E$15&gt;=77),"10."&amp;Eingabe!$D$15&amp;".77.0/24","")</f>
        <v/>
      </c>
      <c r="G1297" s="17" t="str">
        <f aca="false">IF(AND(Eingabe!$F$15&gt;0,Eingabe!$E$15&gt;=77),"10."&amp;Eingabe!$D$15&amp;".77.1","")</f>
        <v/>
      </c>
      <c r="H1297" s="17" t="str">
        <f aca="false">IF(AND(Eingabe!$F$15&gt;0,Eingabe!$E$15&gt;=77),"10."&amp;Eingabe!$D$15&amp;".77.10 – 10."&amp;Eingabe!$D$15&amp;".77.250","")</f>
        <v/>
      </c>
      <c r="I1297" s="17" t="str">
        <f aca="false">IF(AND(Eingabe!$F$15&gt;0,Eingabe!$E$15&gt;=77),Eingabe!$B$6&amp;"-"&amp;Eingabe!$C$15&amp;"-Pächter","")</f>
        <v/>
      </c>
      <c r="J1297" s="17" t="str">
        <f aca="false">IF(AND(Eingabe!$F$15&gt;0,Eingabe!$E$15&gt;=77),"PPSK: Passwort Parzelle 77","")</f>
        <v/>
      </c>
      <c r="K1297" s="17" t="str">
        <f aca="false">IF(AND(Eingabe!$F$15&gt;0,Eingabe!$E$15&gt;=77),"1. Gerät: 10."&amp;Eingabe!$D$15&amp;".77.10, 2. Gerät: .11","")</f>
        <v/>
      </c>
    </row>
    <row r="1298" customFormat="false" ht="15" hidden="false" customHeight="false" outlineLevel="0" collapsed="false">
      <c r="A1298" s="17" t="str">
        <f aca="false">IF(AND(Eingabe!$F$15&gt;0,Eingabe!$E$15&gt;=78),7,"")</f>
        <v/>
      </c>
      <c r="B1298" s="17" t="str">
        <f aca="false">IF(AND(Eingabe!$F$15&gt;0,Eingabe!$E$15&gt;=78),Eingabe!$B$15,"")</f>
        <v/>
      </c>
      <c r="C1298" s="17" t="str">
        <f aca="false">IF(AND(Eingabe!$F$15&gt;0,Eingabe!$E$15&gt;=78),Eingabe!$C$15&amp;"-Paz."&amp;TEXT(78,"000"),"")</f>
        <v/>
      </c>
      <c r="D1298" s="17" t="str">
        <f aca="false">IF(AND(Eingabe!$F$15&gt;0,Eingabe!$E$15&gt;=78),78,"")</f>
        <v/>
      </c>
      <c r="E1298" s="17" t="str">
        <f aca="false">IF(AND(Eingabe!$F$15&gt;0,Eingabe!$E$15&gt;=78),IF((Eingabe!$G$15)&lt;=9,1000+(Eingabe!$G$15)*100,3000)+78,"")</f>
        <v/>
      </c>
      <c r="F1298" s="17" t="str">
        <f aca="false">IF(AND(Eingabe!$F$15&gt;0,Eingabe!$E$15&gt;=78),"10."&amp;Eingabe!$D$15&amp;".78.0/24","")</f>
        <v/>
      </c>
      <c r="G1298" s="17" t="str">
        <f aca="false">IF(AND(Eingabe!$F$15&gt;0,Eingabe!$E$15&gt;=78),"10."&amp;Eingabe!$D$15&amp;".78.1","")</f>
        <v/>
      </c>
      <c r="H1298" s="17" t="str">
        <f aca="false">IF(AND(Eingabe!$F$15&gt;0,Eingabe!$E$15&gt;=78),"10."&amp;Eingabe!$D$15&amp;".78.10 – 10."&amp;Eingabe!$D$15&amp;".78.250","")</f>
        <v/>
      </c>
      <c r="I1298" s="17" t="str">
        <f aca="false">IF(AND(Eingabe!$F$15&gt;0,Eingabe!$E$15&gt;=78),Eingabe!$B$6&amp;"-"&amp;Eingabe!$C$15&amp;"-Pächter","")</f>
        <v/>
      </c>
      <c r="J1298" s="17" t="str">
        <f aca="false">IF(AND(Eingabe!$F$15&gt;0,Eingabe!$E$15&gt;=78),"PPSK: Passwort Parzelle 78","")</f>
        <v/>
      </c>
      <c r="K1298" s="17" t="str">
        <f aca="false">IF(AND(Eingabe!$F$15&gt;0,Eingabe!$E$15&gt;=78),"1. Gerät: 10."&amp;Eingabe!$D$15&amp;".78.10, 2. Gerät: .11","")</f>
        <v/>
      </c>
    </row>
    <row r="1299" customFormat="false" ht="15" hidden="false" customHeight="false" outlineLevel="0" collapsed="false">
      <c r="A1299" s="17" t="str">
        <f aca="false">IF(AND(Eingabe!$F$15&gt;0,Eingabe!$E$15&gt;=79),7,"")</f>
        <v/>
      </c>
      <c r="B1299" s="17" t="str">
        <f aca="false">IF(AND(Eingabe!$F$15&gt;0,Eingabe!$E$15&gt;=79),Eingabe!$B$15,"")</f>
        <v/>
      </c>
      <c r="C1299" s="17" t="str">
        <f aca="false">IF(AND(Eingabe!$F$15&gt;0,Eingabe!$E$15&gt;=79),Eingabe!$C$15&amp;"-Paz."&amp;TEXT(79,"000"),"")</f>
        <v/>
      </c>
      <c r="D1299" s="17" t="str">
        <f aca="false">IF(AND(Eingabe!$F$15&gt;0,Eingabe!$E$15&gt;=79),79,"")</f>
        <v/>
      </c>
      <c r="E1299" s="17" t="str">
        <f aca="false">IF(AND(Eingabe!$F$15&gt;0,Eingabe!$E$15&gt;=79),IF((Eingabe!$G$15)&lt;=9,1000+(Eingabe!$G$15)*100,3000)+79,"")</f>
        <v/>
      </c>
      <c r="F1299" s="17" t="str">
        <f aca="false">IF(AND(Eingabe!$F$15&gt;0,Eingabe!$E$15&gt;=79),"10."&amp;Eingabe!$D$15&amp;".79.0/24","")</f>
        <v/>
      </c>
      <c r="G1299" s="17" t="str">
        <f aca="false">IF(AND(Eingabe!$F$15&gt;0,Eingabe!$E$15&gt;=79),"10."&amp;Eingabe!$D$15&amp;".79.1","")</f>
        <v/>
      </c>
      <c r="H1299" s="17" t="str">
        <f aca="false">IF(AND(Eingabe!$F$15&gt;0,Eingabe!$E$15&gt;=79),"10."&amp;Eingabe!$D$15&amp;".79.10 – 10."&amp;Eingabe!$D$15&amp;".79.250","")</f>
        <v/>
      </c>
      <c r="I1299" s="17" t="str">
        <f aca="false">IF(AND(Eingabe!$F$15&gt;0,Eingabe!$E$15&gt;=79),Eingabe!$B$6&amp;"-"&amp;Eingabe!$C$15&amp;"-Pächter","")</f>
        <v/>
      </c>
      <c r="J1299" s="17" t="str">
        <f aca="false">IF(AND(Eingabe!$F$15&gt;0,Eingabe!$E$15&gt;=79),"PPSK: Passwort Parzelle 79","")</f>
        <v/>
      </c>
      <c r="K1299" s="17" t="str">
        <f aca="false">IF(AND(Eingabe!$F$15&gt;0,Eingabe!$E$15&gt;=79),"1. Gerät: 10."&amp;Eingabe!$D$15&amp;".79.10, 2. Gerät: .11","")</f>
        <v/>
      </c>
    </row>
    <row r="1300" customFormat="false" ht="15" hidden="false" customHeight="false" outlineLevel="0" collapsed="false">
      <c r="A1300" s="17" t="str">
        <f aca="false">IF(AND(Eingabe!$F$15&gt;0,Eingabe!$E$15&gt;=80),7,"")</f>
        <v/>
      </c>
      <c r="B1300" s="17" t="str">
        <f aca="false">IF(AND(Eingabe!$F$15&gt;0,Eingabe!$E$15&gt;=80),Eingabe!$B$15,"")</f>
        <v/>
      </c>
      <c r="C1300" s="17" t="str">
        <f aca="false">IF(AND(Eingabe!$F$15&gt;0,Eingabe!$E$15&gt;=80),Eingabe!$C$15&amp;"-Paz."&amp;TEXT(80,"000"),"")</f>
        <v/>
      </c>
      <c r="D1300" s="17" t="str">
        <f aca="false">IF(AND(Eingabe!$F$15&gt;0,Eingabe!$E$15&gt;=80),80,"")</f>
        <v/>
      </c>
      <c r="E1300" s="17" t="str">
        <f aca="false">IF(AND(Eingabe!$F$15&gt;0,Eingabe!$E$15&gt;=80),IF((Eingabe!$G$15)&lt;=9,1000+(Eingabe!$G$15)*100,3000)+80,"")</f>
        <v/>
      </c>
      <c r="F1300" s="17" t="str">
        <f aca="false">IF(AND(Eingabe!$F$15&gt;0,Eingabe!$E$15&gt;=80),"10."&amp;Eingabe!$D$15&amp;".80.0/24","")</f>
        <v/>
      </c>
      <c r="G1300" s="17" t="str">
        <f aca="false">IF(AND(Eingabe!$F$15&gt;0,Eingabe!$E$15&gt;=80),"10."&amp;Eingabe!$D$15&amp;".80.1","")</f>
        <v/>
      </c>
      <c r="H1300" s="17" t="str">
        <f aca="false">IF(AND(Eingabe!$F$15&gt;0,Eingabe!$E$15&gt;=80),"10."&amp;Eingabe!$D$15&amp;".80.10 – 10."&amp;Eingabe!$D$15&amp;".80.250","")</f>
        <v/>
      </c>
      <c r="I1300" s="17" t="str">
        <f aca="false">IF(AND(Eingabe!$F$15&gt;0,Eingabe!$E$15&gt;=80),Eingabe!$B$6&amp;"-"&amp;Eingabe!$C$15&amp;"-Pächter","")</f>
        <v/>
      </c>
      <c r="J1300" s="17" t="str">
        <f aca="false">IF(AND(Eingabe!$F$15&gt;0,Eingabe!$E$15&gt;=80),"PPSK: Passwort Parzelle 80","")</f>
        <v/>
      </c>
      <c r="K1300" s="17" t="str">
        <f aca="false">IF(AND(Eingabe!$F$15&gt;0,Eingabe!$E$15&gt;=80),"1. Gerät: 10."&amp;Eingabe!$D$15&amp;".80.10, 2. Gerät: .11","")</f>
        <v/>
      </c>
    </row>
    <row r="1301" customFormat="false" ht="15" hidden="false" customHeight="false" outlineLevel="0" collapsed="false">
      <c r="A1301" s="17" t="str">
        <f aca="false">IF(AND(Eingabe!$F$15&gt;0,Eingabe!$E$15&gt;=81),7,"")</f>
        <v/>
      </c>
      <c r="B1301" s="17" t="str">
        <f aca="false">IF(AND(Eingabe!$F$15&gt;0,Eingabe!$E$15&gt;=81),Eingabe!$B$15,"")</f>
        <v/>
      </c>
      <c r="C1301" s="17" t="str">
        <f aca="false">IF(AND(Eingabe!$F$15&gt;0,Eingabe!$E$15&gt;=81),Eingabe!$C$15&amp;"-Paz."&amp;TEXT(81,"000"),"")</f>
        <v/>
      </c>
      <c r="D1301" s="17" t="str">
        <f aca="false">IF(AND(Eingabe!$F$15&gt;0,Eingabe!$E$15&gt;=81),81,"")</f>
        <v/>
      </c>
      <c r="E1301" s="17" t="str">
        <f aca="false">IF(AND(Eingabe!$F$15&gt;0,Eingabe!$E$15&gt;=81),IF((Eingabe!$G$15)&lt;=9,1000+(Eingabe!$G$15)*100,3000)+81,"")</f>
        <v/>
      </c>
      <c r="F1301" s="17" t="str">
        <f aca="false">IF(AND(Eingabe!$F$15&gt;0,Eingabe!$E$15&gt;=81),"10."&amp;Eingabe!$D$15&amp;".81.0/24","")</f>
        <v/>
      </c>
      <c r="G1301" s="17" t="str">
        <f aca="false">IF(AND(Eingabe!$F$15&gt;0,Eingabe!$E$15&gt;=81),"10."&amp;Eingabe!$D$15&amp;".81.1","")</f>
        <v/>
      </c>
      <c r="H1301" s="17" t="str">
        <f aca="false">IF(AND(Eingabe!$F$15&gt;0,Eingabe!$E$15&gt;=81),"10."&amp;Eingabe!$D$15&amp;".81.10 – 10."&amp;Eingabe!$D$15&amp;".81.250","")</f>
        <v/>
      </c>
      <c r="I1301" s="17" t="str">
        <f aca="false">IF(AND(Eingabe!$F$15&gt;0,Eingabe!$E$15&gt;=81),Eingabe!$B$6&amp;"-"&amp;Eingabe!$C$15&amp;"-Pächter","")</f>
        <v/>
      </c>
      <c r="J1301" s="17" t="str">
        <f aca="false">IF(AND(Eingabe!$F$15&gt;0,Eingabe!$E$15&gt;=81),"PPSK: Passwort Parzelle 81","")</f>
        <v/>
      </c>
      <c r="K1301" s="17" t="str">
        <f aca="false">IF(AND(Eingabe!$F$15&gt;0,Eingabe!$E$15&gt;=81),"1. Gerät: 10."&amp;Eingabe!$D$15&amp;".81.10, 2. Gerät: .11","")</f>
        <v/>
      </c>
    </row>
    <row r="1302" customFormat="false" ht="15" hidden="false" customHeight="false" outlineLevel="0" collapsed="false">
      <c r="A1302" s="17" t="str">
        <f aca="false">IF(AND(Eingabe!$F$15&gt;0,Eingabe!$E$15&gt;=82),7,"")</f>
        <v/>
      </c>
      <c r="B1302" s="17" t="str">
        <f aca="false">IF(AND(Eingabe!$F$15&gt;0,Eingabe!$E$15&gt;=82),Eingabe!$B$15,"")</f>
        <v/>
      </c>
      <c r="C1302" s="17" t="str">
        <f aca="false">IF(AND(Eingabe!$F$15&gt;0,Eingabe!$E$15&gt;=82),Eingabe!$C$15&amp;"-Paz."&amp;TEXT(82,"000"),"")</f>
        <v/>
      </c>
      <c r="D1302" s="17" t="str">
        <f aca="false">IF(AND(Eingabe!$F$15&gt;0,Eingabe!$E$15&gt;=82),82,"")</f>
        <v/>
      </c>
      <c r="E1302" s="17" t="str">
        <f aca="false">IF(AND(Eingabe!$F$15&gt;0,Eingabe!$E$15&gt;=82),IF((Eingabe!$G$15)&lt;=9,1000+(Eingabe!$G$15)*100,3000)+82,"")</f>
        <v/>
      </c>
      <c r="F1302" s="17" t="str">
        <f aca="false">IF(AND(Eingabe!$F$15&gt;0,Eingabe!$E$15&gt;=82),"10."&amp;Eingabe!$D$15&amp;".82.0/24","")</f>
        <v/>
      </c>
      <c r="G1302" s="17" t="str">
        <f aca="false">IF(AND(Eingabe!$F$15&gt;0,Eingabe!$E$15&gt;=82),"10."&amp;Eingabe!$D$15&amp;".82.1","")</f>
        <v/>
      </c>
      <c r="H1302" s="17" t="str">
        <f aca="false">IF(AND(Eingabe!$F$15&gt;0,Eingabe!$E$15&gt;=82),"10."&amp;Eingabe!$D$15&amp;".82.10 – 10."&amp;Eingabe!$D$15&amp;".82.250","")</f>
        <v/>
      </c>
      <c r="I1302" s="17" t="str">
        <f aca="false">IF(AND(Eingabe!$F$15&gt;0,Eingabe!$E$15&gt;=82),Eingabe!$B$6&amp;"-"&amp;Eingabe!$C$15&amp;"-Pächter","")</f>
        <v/>
      </c>
      <c r="J1302" s="17" t="str">
        <f aca="false">IF(AND(Eingabe!$F$15&gt;0,Eingabe!$E$15&gt;=82),"PPSK: Passwort Parzelle 82","")</f>
        <v/>
      </c>
      <c r="K1302" s="17" t="str">
        <f aca="false">IF(AND(Eingabe!$F$15&gt;0,Eingabe!$E$15&gt;=82),"1. Gerät: 10."&amp;Eingabe!$D$15&amp;".82.10, 2. Gerät: .11","")</f>
        <v/>
      </c>
    </row>
    <row r="1303" customFormat="false" ht="15" hidden="false" customHeight="false" outlineLevel="0" collapsed="false">
      <c r="A1303" s="17" t="str">
        <f aca="false">IF(AND(Eingabe!$F$15&gt;0,Eingabe!$E$15&gt;=83),7,"")</f>
        <v/>
      </c>
      <c r="B1303" s="17" t="str">
        <f aca="false">IF(AND(Eingabe!$F$15&gt;0,Eingabe!$E$15&gt;=83),Eingabe!$B$15,"")</f>
        <v/>
      </c>
      <c r="C1303" s="17" t="str">
        <f aca="false">IF(AND(Eingabe!$F$15&gt;0,Eingabe!$E$15&gt;=83),Eingabe!$C$15&amp;"-Paz."&amp;TEXT(83,"000"),"")</f>
        <v/>
      </c>
      <c r="D1303" s="17" t="str">
        <f aca="false">IF(AND(Eingabe!$F$15&gt;0,Eingabe!$E$15&gt;=83),83,"")</f>
        <v/>
      </c>
      <c r="E1303" s="17" t="str">
        <f aca="false">IF(AND(Eingabe!$F$15&gt;0,Eingabe!$E$15&gt;=83),IF((Eingabe!$G$15)&lt;=9,1000+(Eingabe!$G$15)*100,3000)+83,"")</f>
        <v/>
      </c>
      <c r="F1303" s="17" t="str">
        <f aca="false">IF(AND(Eingabe!$F$15&gt;0,Eingabe!$E$15&gt;=83),"10."&amp;Eingabe!$D$15&amp;".83.0/24","")</f>
        <v/>
      </c>
      <c r="G1303" s="17" t="str">
        <f aca="false">IF(AND(Eingabe!$F$15&gt;0,Eingabe!$E$15&gt;=83),"10."&amp;Eingabe!$D$15&amp;".83.1","")</f>
        <v/>
      </c>
      <c r="H1303" s="17" t="str">
        <f aca="false">IF(AND(Eingabe!$F$15&gt;0,Eingabe!$E$15&gt;=83),"10."&amp;Eingabe!$D$15&amp;".83.10 – 10."&amp;Eingabe!$D$15&amp;".83.250","")</f>
        <v/>
      </c>
      <c r="I1303" s="17" t="str">
        <f aca="false">IF(AND(Eingabe!$F$15&gt;0,Eingabe!$E$15&gt;=83),Eingabe!$B$6&amp;"-"&amp;Eingabe!$C$15&amp;"-Pächter","")</f>
        <v/>
      </c>
      <c r="J1303" s="17" t="str">
        <f aca="false">IF(AND(Eingabe!$F$15&gt;0,Eingabe!$E$15&gt;=83),"PPSK: Passwort Parzelle 83","")</f>
        <v/>
      </c>
      <c r="K1303" s="17" t="str">
        <f aca="false">IF(AND(Eingabe!$F$15&gt;0,Eingabe!$E$15&gt;=83),"1. Gerät: 10."&amp;Eingabe!$D$15&amp;".83.10, 2. Gerät: .11","")</f>
        <v/>
      </c>
    </row>
    <row r="1304" customFormat="false" ht="15" hidden="false" customHeight="false" outlineLevel="0" collapsed="false">
      <c r="A1304" s="17" t="str">
        <f aca="false">IF(AND(Eingabe!$F$15&gt;0,Eingabe!$E$15&gt;=84),7,"")</f>
        <v/>
      </c>
      <c r="B1304" s="17" t="str">
        <f aca="false">IF(AND(Eingabe!$F$15&gt;0,Eingabe!$E$15&gt;=84),Eingabe!$B$15,"")</f>
        <v/>
      </c>
      <c r="C1304" s="17" t="str">
        <f aca="false">IF(AND(Eingabe!$F$15&gt;0,Eingabe!$E$15&gt;=84),Eingabe!$C$15&amp;"-Paz."&amp;TEXT(84,"000"),"")</f>
        <v/>
      </c>
      <c r="D1304" s="17" t="str">
        <f aca="false">IF(AND(Eingabe!$F$15&gt;0,Eingabe!$E$15&gt;=84),84,"")</f>
        <v/>
      </c>
      <c r="E1304" s="17" t="str">
        <f aca="false">IF(AND(Eingabe!$F$15&gt;0,Eingabe!$E$15&gt;=84),IF((Eingabe!$G$15)&lt;=9,1000+(Eingabe!$G$15)*100,3000)+84,"")</f>
        <v/>
      </c>
      <c r="F1304" s="17" t="str">
        <f aca="false">IF(AND(Eingabe!$F$15&gt;0,Eingabe!$E$15&gt;=84),"10."&amp;Eingabe!$D$15&amp;".84.0/24","")</f>
        <v/>
      </c>
      <c r="G1304" s="17" t="str">
        <f aca="false">IF(AND(Eingabe!$F$15&gt;0,Eingabe!$E$15&gt;=84),"10."&amp;Eingabe!$D$15&amp;".84.1","")</f>
        <v/>
      </c>
      <c r="H1304" s="17" t="str">
        <f aca="false">IF(AND(Eingabe!$F$15&gt;0,Eingabe!$E$15&gt;=84),"10."&amp;Eingabe!$D$15&amp;".84.10 – 10."&amp;Eingabe!$D$15&amp;".84.250","")</f>
        <v/>
      </c>
      <c r="I1304" s="17" t="str">
        <f aca="false">IF(AND(Eingabe!$F$15&gt;0,Eingabe!$E$15&gt;=84),Eingabe!$B$6&amp;"-"&amp;Eingabe!$C$15&amp;"-Pächter","")</f>
        <v/>
      </c>
      <c r="J1304" s="17" t="str">
        <f aca="false">IF(AND(Eingabe!$F$15&gt;0,Eingabe!$E$15&gt;=84),"PPSK: Passwort Parzelle 84","")</f>
        <v/>
      </c>
      <c r="K1304" s="17" t="str">
        <f aca="false">IF(AND(Eingabe!$F$15&gt;0,Eingabe!$E$15&gt;=84),"1. Gerät: 10."&amp;Eingabe!$D$15&amp;".84.10, 2. Gerät: .11","")</f>
        <v/>
      </c>
    </row>
    <row r="1305" customFormat="false" ht="15" hidden="false" customHeight="false" outlineLevel="0" collapsed="false">
      <c r="A1305" s="17" t="str">
        <f aca="false">IF(AND(Eingabe!$F$15&gt;0,Eingabe!$E$15&gt;=85),7,"")</f>
        <v/>
      </c>
      <c r="B1305" s="17" t="str">
        <f aca="false">IF(AND(Eingabe!$F$15&gt;0,Eingabe!$E$15&gt;=85),Eingabe!$B$15,"")</f>
        <v/>
      </c>
      <c r="C1305" s="17" t="str">
        <f aca="false">IF(AND(Eingabe!$F$15&gt;0,Eingabe!$E$15&gt;=85),Eingabe!$C$15&amp;"-Paz."&amp;TEXT(85,"000"),"")</f>
        <v/>
      </c>
      <c r="D1305" s="17" t="str">
        <f aca="false">IF(AND(Eingabe!$F$15&gt;0,Eingabe!$E$15&gt;=85),85,"")</f>
        <v/>
      </c>
      <c r="E1305" s="17" t="str">
        <f aca="false">IF(AND(Eingabe!$F$15&gt;0,Eingabe!$E$15&gt;=85),IF((Eingabe!$G$15)&lt;=9,1000+(Eingabe!$G$15)*100,3000)+85,"")</f>
        <v/>
      </c>
      <c r="F1305" s="17" t="str">
        <f aca="false">IF(AND(Eingabe!$F$15&gt;0,Eingabe!$E$15&gt;=85),"10."&amp;Eingabe!$D$15&amp;".85.0/24","")</f>
        <v/>
      </c>
      <c r="G1305" s="17" t="str">
        <f aca="false">IF(AND(Eingabe!$F$15&gt;0,Eingabe!$E$15&gt;=85),"10."&amp;Eingabe!$D$15&amp;".85.1","")</f>
        <v/>
      </c>
      <c r="H1305" s="17" t="str">
        <f aca="false">IF(AND(Eingabe!$F$15&gt;0,Eingabe!$E$15&gt;=85),"10."&amp;Eingabe!$D$15&amp;".85.10 – 10."&amp;Eingabe!$D$15&amp;".85.250","")</f>
        <v/>
      </c>
      <c r="I1305" s="17" t="str">
        <f aca="false">IF(AND(Eingabe!$F$15&gt;0,Eingabe!$E$15&gt;=85),Eingabe!$B$6&amp;"-"&amp;Eingabe!$C$15&amp;"-Pächter","")</f>
        <v/>
      </c>
      <c r="J1305" s="17" t="str">
        <f aca="false">IF(AND(Eingabe!$F$15&gt;0,Eingabe!$E$15&gt;=85),"PPSK: Passwort Parzelle 85","")</f>
        <v/>
      </c>
      <c r="K1305" s="17" t="str">
        <f aca="false">IF(AND(Eingabe!$F$15&gt;0,Eingabe!$E$15&gt;=85),"1. Gerät: 10."&amp;Eingabe!$D$15&amp;".85.10, 2. Gerät: .11","")</f>
        <v/>
      </c>
    </row>
    <row r="1306" customFormat="false" ht="15" hidden="false" customHeight="false" outlineLevel="0" collapsed="false">
      <c r="A1306" s="17" t="str">
        <f aca="false">IF(AND(Eingabe!$F$15&gt;0,Eingabe!$E$15&gt;=86),7,"")</f>
        <v/>
      </c>
      <c r="B1306" s="17" t="str">
        <f aca="false">IF(AND(Eingabe!$F$15&gt;0,Eingabe!$E$15&gt;=86),Eingabe!$B$15,"")</f>
        <v/>
      </c>
      <c r="C1306" s="17" t="str">
        <f aca="false">IF(AND(Eingabe!$F$15&gt;0,Eingabe!$E$15&gt;=86),Eingabe!$C$15&amp;"-Paz."&amp;TEXT(86,"000"),"")</f>
        <v/>
      </c>
      <c r="D1306" s="17" t="str">
        <f aca="false">IF(AND(Eingabe!$F$15&gt;0,Eingabe!$E$15&gt;=86),86,"")</f>
        <v/>
      </c>
      <c r="E1306" s="17" t="str">
        <f aca="false">IF(AND(Eingabe!$F$15&gt;0,Eingabe!$E$15&gt;=86),IF((Eingabe!$G$15)&lt;=9,1000+(Eingabe!$G$15)*100,3000)+86,"")</f>
        <v/>
      </c>
      <c r="F1306" s="17" t="str">
        <f aca="false">IF(AND(Eingabe!$F$15&gt;0,Eingabe!$E$15&gt;=86),"10."&amp;Eingabe!$D$15&amp;".86.0/24","")</f>
        <v/>
      </c>
      <c r="G1306" s="17" t="str">
        <f aca="false">IF(AND(Eingabe!$F$15&gt;0,Eingabe!$E$15&gt;=86),"10."&amp;Eingabe!$D$15&amp;".86.1","")</f>
        <v/>
      </c>
      <c r="H1306" s="17" t="str">
        <f aca="false">IF(AND(Eingabe!$F$15&gt;0,Eingabe!$E$15&gt;=86),"10."&amp;Eingabe!$D$15&amp;".86.10 – 10."&amp;Eingabe!$D$15&amp;".86.250","")</f>
        <v/>
      </c>
      <c r="I1306" s="17" t="str">
        <f aca="false">IF(AND(Eingabe!$F$15&gt;0,Eingabe!$E$15&gt;=86),Eingabe!$B$6&amp;"-"&amp;Eingabe!$C$15&amp;"-Pächter","")</f>
        <v/>
      </c>
      <c r="J1306" s="17" t="str">
        <f aca="false">IF(AND(Eingabe!$F$15&gt;0,Eingabe!$E$15&gt;=86),"PPSK: Passwort Parzelle 86","")</f>
        <v/>
      </c>
      <c r="K1306" s="17" t="str">
        <f aca="false">IF(AND(Eingabe!$F$15&gt;0,Eingabe!$E$15&gt;=86),"1. Gerät: 10."&amp;Eingabe!$D$15&amp;".86.10, 2. Gerät: .11","")</f>
        <v/>
      </c>
    </row>
    <row r="1307" customFormat="false" ht="15" hidden="false" customHeight="false" outlineLevel="0" collapsed="false">
      <c r="A1307" s="17" t="str">
        <f aca="false">IF(AND(Eingabe!$F$15&gt;0,Eingabe!$E$15&gt;=87),7,"")</f>
        <v/>
      </c>
      <c r="B1307" s="17" t="str">
        <f aca="false">IF(AND(Eingabe!$F$15&gt;0,Eingabe!$E$15&gt;=87),Eingabe!$B$15,"")</f>
        <v/>
      </c>
      <c r="C1307" s="17" t="str">
        <f aca="false">IF(AND(Eingabe!$F$15&gt;0,Eingabe!$E$15&gt;=87),Eingabe!$C$15&amp;"-Paz."&amp;TEXT(87,"000"),"")</f>
        <v/>
      </c>
      <c r="D1307" s="17" t="str">
        <f aca="false">IF(AND(Eingabe!$F$15&gt;0,Eingabe!$E$15&gt;=87),87,"")</f>
        <v/>
      </c>
      <c r="E1307" s="17" t="str">
        <f aca="false">IF(AND(Eingabe!$F$15&gt;0,Eingabe!$E$15&gt;=87),IF((Eingabe!$G$15)&lt;=9,1000+(Eingabe!$G$15)*100,3000)+87,"")</f>
        <v/>
      </c>
      <c r="F1307" s="17" t="str">
        <f aca="false">IF(AND(Eingabe!$F$15&gt;0,Eingabe!$E$15&gt;=87),"10."&amp;Eingabe!$D$15&amp;".87.0/24","")</f>
        <v/>
      </c>
      <c r="G1307" s="17" t="str">
        <f aca="false">IF(AND(Eingabe!$F$15&gt;0,Eingabe!$E$15&gt;=87),"10."&amp;Eingabe!$D$15&amp;".87.1","")</f>
        <v/>
      </c>
      <c r="H1307" s="17" t="str">
        <f aca="false">IF(AND(Eingabe!$F$15&gt;0,Eingabe!$E$15&gt;=87),"10."&amp;Eingabe!$D$15&amp;".87.10 – 10."&amp;Eingabe!$D$15&amp;".87.250","")</f>
        <v/>
      </c>
      <c r="I1307" s="17" t="str">
        <f aca="false">IF(AND(Eingabe!$F$15&gt;0,Eingabe!$E$15&gt;=87),Eingabe!$B$6&amp;"-"&amp;Eingabe!$C$15&amp;"-Pächter","")</f>
        <v/>
      </c>
      <c r="J1307" s="17" t="str">
        <f aca="false">IF(AND(Eingabe!$F$15&gt;0,Eingabe!$E$15&gt;=87),"PPSK: Passwort Parzelle 87","")</f>
        <v/>
      </c>
      <c r="K1307" s="17" t="str">
        <f aca="false">IF(AND(Eingabe!$F$15&gt;0,Eingabe!$E$15&gt;=87),"1. Gerät: 10."&amp;Eingabe!$D$15&amp;".87.10, 2. Gerät: .11","")</f>
        <v/>
      </c>
    </row>
    <row r="1308" customFormat="false" ht="15" hidden="false" customHeight="false" outlineLevel="0" collapsed="false">
      <c r="A1308" s="17" t="str">
        <f aca="false">IF(AND(Eingabe!$F$15&gt;0,Eingabe!$E$15&gt;=88),7,"")</f>
        <v/>
      </c>
      <c r="B1308" s="17" t="str">
        <f aca="false">IF(AND(Eingabe!$F$15&gt;0,Eingabe!$E$15&gt;=88),Eingabe!$B$15,"")</f>
        <v/>
      </c>
      <c r="C1308" s="17" t="str">
        <f aca="false">IF(AND(Eingabe!$F$15&gt;0,Eingabe!$E$15&gt;=88),Eingabe!$C$15&amp;"-Paz."&amp;TEXT(88,"000"),"")</f>
        <v/>
      </c>
      <c r="D1308" s="17" t="str">
        <f aca="false">IF(AND(Eingabe!$F$15&gt;0,Eingabe!$E$15&gt;=88),88,"")</f>
        <v/>
      </c>
      <c r="E1308" s="17" t="str">
        <f aca="false">IF(AND(Eingabe!$F$15&gt;0,Eingabe!$E$15&gt;=88),IF((Eingabe!$G$15)&lt;=9,1000+(Eingabe!$G$15)*100,3000)+88,"")</f>
        <v/>
      </c>
      <c r="F1308" s="17" t="str">
        <f aca="false">IF(AND(Eingabe!$F$15&gt;0,Eingabe!$E$15&gt;=88),"10."&amp;Eingabe!$D$15&amp;".88.0/24","")</f>
        <v/>
      </c>
      <c r="G1308" s="17" t="str">
        <f aca="false">IF(AND(Eingabe!$F$15&gt;0,Eingabe!$E$15&gt;=88),"10."&amp;Eingabe!$D$15&amp;".88.1","")</f>
        <v/>
      </c>
      <c r="H1308" s="17" t="str">
        <f aca="false">IF(AND(Eingabe!$F$15&gt;0,Eingabe!$E$15&gt;=88),"10."&amp;Eingabe!$D$15&amp;".88.10 – 10."&amp;Eingabe!$D$15&amp;".88.250","")</f>
        <v/>
      </c>
      <c r="I1308" s="17" t="str">
        <f aca="false">IF(AND(Eingabe!$F$15&gt;0,Eingabe!$E$15&gt;=88),Eingabe!$B$6&amp;"-"&amp;Eingabe!$C$15&amp;"-Pächter","")</f>
        <v/>
      </c>
      <c r="J1308" s="17" t="str">
        <f aca="false">IF(AND(Eingabe!$F$15&gt;0,Eingabe!$E$15&gt;=88),"PPSK: Passwort Parzelle 88","")</f>
        <v/>
      </c>
      <c r="K1308" s="17" t="str">
        <f aca="false">IF(AND(Eingabe!$F$15&gt;0,Eingabe!$E$15&gt;=88),"1. Gerät: 10."&amp;Eingabe!$D$15&amp;".88.10, 2. Gerät: .11","")</f>
        <v/>
      </c>
    </row>
    <row r="1309" customFormat="false" ht="15" hidden="false" customHeight="false" outlineLevel="0" collapsed="false">
      <c r="A1309" s="17" t="str">
        <f aca="false">IF(AND(Eingabe!$F$15&gt;0,Eingabe!$E$15&gt;=89),7,"")</f>
        <v/>
      </c>
      <c r="B1309" s="17" t="str">
        <f aca="false">IF(AND(Eingabe!$F$15&gt;0,Eingabe!$E$15&gt;=89),Eingabe!$B$15,"")</f>
        <v/>
      </c>
      <c r="C1309" s="17" t="str">
        <f aca="false">IF(AND(Eingabe!$F$15&gt;0,Eingabe!$E$15&gt;=89),Eingabe!$C$15&amp;"-Paz."&amp;TEXT(89,"000"),"")</f>
        <v/>
      </c>
      <c r="D1309" s="17" t="str">
        <f aca="false">IF(AND(Eingabe!$F$15&gt;0,Eingabe!$E$15&gt;=89),89,"")</f>
        <v/>
      </c>
      <c r="E1309" s="17" t="str">
        <f aca="false">IF(AND(Eingabe!$F$15&gt;0,Eingabe!$E$15&gt;=89),IF((Eingabe!$G$15)&lt;=9,1000+(Eingabe!$G$15)*100,3000)+89,"")</f>
        <v/>
      </c>
      <c r="F1309" s="17" t="str">
        <f aca="false">IF(AND(Eingabe!$F$15&gt;0,Eingabe!$E$15&gt;=89),"10."&amp;Eingabe!$D$15&amp;".89.0/24","")</f>
        <v/>
      </c>
      <c r="G1309" s="17" t="str">
        <f aca="false">IF(AND(Eingabe!$F$15&gt;0,Eingabe!$E$15&gt;=89),"10."&amp;Eingabe!$D$15&amp;".89.1","")</f>
        <v/>
      </c>
      <c r="H1309" s="17" t="str">
        <f aca="false">IF(AND(Eingabe!$F$15&gt;0,Eingabe!$E$15&gt;=89),"10."&amp;Eingabe!$D$15&amp;".89.10 – 10."&amp;Eingabe!$D$15&amp;".89.250","")</f>
        <v/>
      </c>
      <c r="I1309" s="17" t="str">
        <f aca="false">IF(AND(Eingabe!$F$15&gt;0,Eingabe!$E$15&gt;=89),Eingabe!$B$6&amp;"-"&amp;Eingabe!$C$15&amp;"-Pächter","")</f>
        <v/>
      </c>
      <c r="J1309" s="17" t="str">
        <f aca="false">IF(AND(Eingabe!$F$15&gt;0,Eingabe!$E$15&gt;=89),"PPSK: Passwort Parzelle 89","")</f>
        <v/>
      </c>
      <c r="K1309" s="17" t="str">
        <f aca="false">IF(AND(Eingabe!$F$15&gt;0,Eingabe!$E$15&gt;=89),"1. Gerät: 10."&amp;Eingabe!$D$15&amp;".89.10, 2. Gerät: .11","")</f>
        <v/>
      </c>
    </row>
    <row r="1310" customFormat="false" ht="15" hidden="false" customHeight="false" outlineLevel="0" collapsed="false">
      <c r="A1310" s="17" t="str">
        <f aca="false">IF(AND(Eingabe!$F$15&gt;0,Eingabe!$E$15&gt;=90),7,"")</f>
        <v/>
      </c>
      <c r="B1310" s="17" t="str">
        <f aca="false">IF(AND(Eingabe!$F$15&gt;0,Eingabe!$E$15&gt;=90),Eingabe!$B$15,"")</f>
        <v/>
      </c>
      <c r="C1310" s="17" t="str">
        <f aca="false">IF(AND(Eingabe!$F$15&gt;0,Eingabe!$E$15&gt;=90),Eingabe!$C$15&amp;"-Paz."&amp;TEXT(90,"000"),"")</f>
        <v/>
      </c>
      <c r="D1310" s="17" t="str">
        <f aca="false">IF(AND(Eingabe!$F$15&gt;0,Eingabe!$E$15&gt;=90),90,"")</f>
        <v/>
      </c>
      <c r="E1310" s="17" t="str">
        <f aca="false">IF(AND(Eingabe!$F$15&gt;0,Eingabe!$E$15&gt;=90),IF((Eingabe!$G$15)&lt;=9,1000+(Eingabe!$G$15)*100,3000)+90,"")</f>
        <v/>
      </c>
      <c r="F1310" s="17" t="str">
        <f aca="false">IF(AND(Eingabe!$F$15&gt;0,Eingabe!$E$15&gt;=90),"10."&amp;Eingabe!$D$15&amp;".90.0/24","")</f>
        <v/>
      </c>
      <c r="G1310" s="17" t="str">
        <f aca="false">IF(AND(Eingabe!$F$15&gt;0,Eingabe!$E$15&gt;=90),"10."&amp;Eingabe!$D$15&amp;".90.1","")</f>
        <v/>
      </c>
      <c r="H1310" s="17" t="str">
        <f aca="false">IF(AND(Eingabe!$F$15&gt;0,Eingabe!$E$15&gt;=90),"10."&amp;Eingabe!$D$15&amp;".90.10 – 10."&amp;Eingabe!$D$15&amp;".90.250","")</f>
        <v/>
      </c>
      <c r="I1310" s="17" t="str">
        <f aca="false">IF(AND(Eingabe!$F$15&gt;0,Eingabe!$E$15&gt;=90),Eingabe!$B$6&amp;"-"&amp;Eingabe!$C$15&amp;"-Pächter","")</f>
        <v/>
      </c>
      <c r="J1310" s="17" t="str">
        <f aca="false">IF(AND(Eingabe!$F$15&gt;0,Eingabe!$E$15&gt;=90),"PPSK: Passwort Parzelle 90","")</f>
        <v/>
      </c>
      <c r="K1310" s="17" t="str">
        <f aca="false">IF(AND(Eingabe!$F$15&gt;0,Eingabe!$E$15&gt;=90),"1. Gerät: 10."&amp;Eingabe!$D$15&amp;".90.10, 2. Gerät: .11","")</f>
        <v/>
      </c>
    </row>
    <row r="1311" customFormat="false" ht="15" hidden="false" customHeight="false" outlineLevel="0" collapsed="false">
      <c r="A1311" s="17" t="str">
        <f aca="false">IF(AND(Eingabe!$F$15&gt;0,Eingabe!$E$15&gt;=91),7,"")</f>
        <v/>
      </c>
      <c r="B1311" s="17" t="str">
        <f aca="false">IF(AND(Eingabe!$F$15&gt;0,Eingabe!$E$15&gt;=91),Eingabe!$B$15,"")</f>
        <v/>
      </c>
      <c r="C1311" s="17" t="str">
        <f aca="false">IF(AND(Eingabe!$F$15&gt;0,Eingabe!$E$15&gt;=91),Eingabe!$C$15&amp;"-Paz."&amp;TEXT(91,"000"),"")</f>
        <v/>
      </c>
      <c r="D1311" s="17" t="str">
        <f aca="false">IF(AND(Eingabe!$F$15&gt;0,Eingabe!$E$15&gt;=91),91,"")</f>
        <v/>
      </c>
      <c r="E1311" s="17" t="str">
        <f aca="false">IF(AND(Eingabe!$F$15&gt;0,Eingabe!$E$15&gt;=91),IF((Eingabe!$G$15)&lt;=9,1000+(Eingabe!$G$15)*100,3000)+91,"")</f>
        <v/>
      </c>
      <c r="F1311" s="17" t="str">
        <f aca="false">IF(AND(Eingabe!$F$15&gt;0,Eingabe!$E$15&gt;=91),"10."&amp;Eingabe!$D$15&amp;".91.0/24","")</f>
        <v/>
      </c>
      <c r="G1311" s="17" t="str">
        <f aca="false">IF(AND(Eingabe!$F$15&gt;0,Eingabe!$E$15&gt;=91),"10."&amp;Eingabe!$D$15&amp;".91.1","")</f>
        <v/>
      </c>
      <c r="H1311" s="17" t="str">
        <f aca="false">IF(AND(Eingabe!$F$15&gt;0,Eingabe!$E$15&gt;=91),"10."&amp;Eingabe!$D$15&amp;".91.10 – 10."&amp;Eingabe!$D$15&amp;".91.250","")</f>
        <v/>
      </c>
      <c r="I1311" s="17" t="str">
        <f aca="false">IF(AND(Eingabe!$F$15&gt;0,Eingabe!$E$15&gt;=91),Eingabe!$B$6&amp;"-"&amp;Eingabe!$C$15&amp;"-Pächter","")</f>
        <v/>
      </c>
      <c r="J1311" s="17" t="str">
        <f aca="false">IF(AND(Eingabe!$F$15&gt;0,Eingabe!$E$15&gt;=91),"PPSK: Passwort Parzelle 91","")</f>
        <v/>
      </c>
      <c r="K1311" s="17" t="str">
        <f aca="false">IF(AND(Eingabe!$F$15&gt;0,Eingabe!$E$15&gt;=91),"1. Gerät: 10."&amp;Eingabe!$D$15&amp;".91.10, 2. Gerät: .11","")</f>
        <v/>
      </c>
    </row>
    <row r="1312" customFormat="false" ht="15" hidden="false" customHeight="false" outlineLevel="0" collapsed="false">
      <c r="A1312" s="17" t="str">
        <f aca="false">IF(AND(Eingabe!$F$15&gt;0,Eingabe!$E$15&gt;=92),7,"")</f>
        <v/>
      </c>
      <c r="B1312" s="17" t="str">
        <f aca="false">IF(AND(Eingabe!$F$15&gt;0,Eingabe!$E$15&gt;=92),Eingabe!$B$15,"")</f>
        <v/>
      </c>
      <c r="C1312" s="17" t="str">
        <f aca="false">IF(AND(Eingabe!$F$15&gt;0,Eingabe!$E$15&gt;=92),Eingabe!$C$15&amp;"-Paz."&amp;TEXT(92,"000"),"")</f>
        <v/>
      </c>
      <c r="D1312" s="17" t="str">
        <f aca="false">IF(AND(Eingabe!$F$15&gt;0,Eingabe!$E$15&gt;=92),92,"")</f>
        <v/>
      </c>
      <c r="E1312" s="17" t="str">
        <f aca="false">IF(AND(Eingabe!$F$15&gt;0,Eingabe!$E$15&gt;=92),IF((Eingabe!$G$15)&lt;=9,1000+(Eingabe!$G$15)*100,3000)+92,"")</f>
        <v/>
      </c>
      <c r="F1312" s="17" t="str">
        <f aca="false">IF(AND(Eingabe!$F$15&gt;0,Eingabe!$E$15&gt;=92),"10."&amp;Eingabe!$D$15&amp;".92.0/24","")</f>
        <v/>
      </c>
      <c r="G1312" s="17" t="str">
        <f aca="false">IF(AND(Eingabe!$F$15&gt;0,Eingabe!$E$15&gt;=92),"10."&amp;Eingabe!$D$15&amp;".92.1","")</f>
        <v/>
      </c>
      <c r="H1312" s="17" t="str">
        <f aca="false">IF(AND(Eingabe!$F$15&gt;0,Eingabe!$E$15&gt;=92),"10."&amp;Eingabe!$D$15&amp;".92.10 – 10."&amp;Eingabe!$D$15&amp;".92.250","")</f>
        <v/>
      </c>
      <c r="I1312" s="17" t="str">
        <f aca="false">IF(AND(Eingabe!$F$15&gt;0,Eingabe!$E$15&gt;=92),Eingabe!$B$6&amp;"-"&amp;Eingabe!$C$15&amp;"-Pächter","")</f>
        <v/>
      </c>
      <c r="J1312" s="17" t="str">
        <f aca="false">IF(AND(Eingabe!$F$15&gt;0,Eingabe!$E$15&gt;=92),"PPSK: Passwort Parzelle 92","")</f>
        <v/>
      </c>
      <c r="K1312" s="17" t="str">
        <f aca="false">IF(AND(Eingabe!$F$15&gt;0,Eingabe!$E$15&gt;=92),"1. Gerät: 10."&amp;Eingabe!$D$15&amp;".92.10, 2. Gerät: .11","")</f>
        <v/>
      </c>
    </row>
    <row r="1313" customFormat="false" ht="15" hidden="false" customHeight="false" outlineLevel="0" collapsed="false">
      <c r="A1313" s="17" t="str">
        <f aca="false">IF(AND(Eingabe!$F$15&gt;0,Eingabe!$E$15&gt;=93),7,"")</f>
        <v/>
      </c>
      <c r="B1313" s="17" t="str">
        <f aca="false">IF(AND(Eingabe!$F$15&gt;0,Eingabe!$E$15&gt;=93),Eingabe!$B$15,"")</f>
        <v/>
      </c>
      <c r="C1313" s="17" t="str">
        <f aca="false">IF(AND(Eingabe!$F$15&gt;0,Eingabe!$E$15&gt;=93),Eingabe!$C$15&amp;"-Paz."&amp;TEXT(93,"000"),"")</f>
        <v/>
      </c>
      <c r="D1313" s="17" t="str">
        <f aca="false">IF(AND(Eingabe!$F$15&gt;0,Eingabe!$E$15&gt;=93),93,"")</f>
        <v/>
      </c>
      <c r="E1313" s="17" t="str">
        <f aca="false">IF(AND(Eingabe!$F$15&gt;0,Eingabe!$E$15&gt;=93),IF((Eingabe!$G$15)&lt;=9,1000+(Eingabe!$G$15)*100,3000)+93,"")</f>
        <v/>
      </c>
      <c r="F1313" s="17" t="str">
        <f aca="false">IF(AND(Eingabe!$F$15&gt;0,Eingabe!$E$15&gt;=93),"10."&amp;Eingabe!$D$15&amp;".93.0/24","")</f>
        <v/>
      </c>
      <c r="G1313" s="17" t="str">
        <f aca="false">IF(AND(Eingabe!$F$15&gt;0,Eingabe!$E$15&gt;=93),"10."&amp;Eingabe!$D$15&amp;".93.1","")</f>
        <v/>
      </c>
      <c r="H1313" s="17" t="str">
        <f aca="false">IF(AND(Eingabe!$F$15&gt;0,Eingabe!$E$15&gt;=93),"10."&amp;Eingabe!$D$15&amp;".93.10 – 10."&amp;Eingabe!$D$15&amp;".93.250","")</f>
        <v/>
      </c>
      <c r="I1313" s="17" t="str">
        <f aca="false">IF(AND(Eingabe!$F$15&gt;0,Eingabe!$E$15&gt;=93),Eingabe!$B$6&amp;"-"&amp;Eingabe!$C$15&amp;"-Pächter","")</f>
        <v/>
      </c>
      <c r="J1313" s="17" t="str">
        <f aca="false">IF(AND(Eingabe!$F$15&gt;0,Eingabe!$E$15&gt;=93),"PPSK: Passwort Parzelle 93","")</f>
        <v/>
      </c>
      <c r="K1313" s="17" t="str">
        <f aca="false">IF(AND(Eingabe!$F$15&gt;0,Eingabe!$E$15&gt;=93),"1. Gerät: 10."&amp;Eingabe!$D$15&amp;".93.10, 2. Gerät: .11","")</f>
        <v/>
      </c>
    </row>
    <row r="1314" customFormat="false" ht="15" hidden="false" customHeight="false" outlineLevel="0" collapsed="false">
      <c r="A1314" s="17" t="str">
        <f aca="false">IF(AND(Eingabe!$F$15&gt;0,Eingabe!$E$15&gt;=94),7,"")</f>
        <v/>
      </c>
      <c r="B1314" s="17" t="str">
        <f aca="false">IF(AND(Eingabe!$F$15&gt;0,Eingabe!$E$15&gt;=94),Eingabe!$B$15,"")</f>
        <v/>
      </c>
      <c r="C1314" s="17" t="str">
        <f aca="false">IF(AND(Eingabe!$F$15&gt;0,Eingabe!$E$15&gt;=94),Eingabe!$C$15&amp;"-Paz."&amp;TEXT(94,"000"),"")</f>
        <v/>
      </c>
      <c r="D1314" s="17" t="str">
        <f aca="false">IF(AND(Eingabe!$F$15&gt;0,Eingabe!$E$15&gt;=94),94,"")</f>
        <v/>
      </c>
      <c r="E1314" s="17" t="str">
        <f aca="false">IF(AND(Eingabe!$F$15&gt;0,Eingabe!$E$15&gt;=94),IF((Eingabe!$G$15)&lt;=9,1000+(Eingabe!$G$15)*100,3000)+94,"")</f>
        <v/>
      </c>
      <c r="F1314" s="17" t="str">
        <f aca="false">IF(AND(Eingabe!$F$15&gt;0,Eingabe!$E$15&gt;=94),"10."&amp;Eingabe!$D$15&amp;".94.0/24","")</f>
        <v/>
      </c>
      <c r="G1314" s="17" t="str">
        <f aca="false">IF(AND(Eingabe!$F$15&gt;0,Eingabe!$E$15&gt;=94),"10."&amp;Eingabe!$D$15&amp;".94.1","")</f>
        <v/>
      </c>
      <c r="H1314" s="17" t="str">
        <f aca="false">IF(AND(Eingabe!$F$15&gt;0,Eingabe!$E$15&gt;=94),"10."&amp;Eingabe!$D$15&amp;".94.10 – 10."&amp;Eingabe!$D$15&amp;".94.250","")</f>
        <v/>
      </c>
      <c r="I1314" s="17" t="str">
        <f aca="false">IF(AND(Eingabe!$F$15&gt;0,Eingabe!$E$15&gt;=94),Eingabe!$B$6&amp;"-"&amp;Eingabe!$C$15&amp;"-Pächter","")</f>
        <v/>
      </c>
      <c r="J1314" s="17" t="str">
        <f aca="false">IF(AND(Eingabe!$F$15&gt;0,Eingabe!$E$15&gt;=94),"PPSK: Passwort Parzelle 94","")</f>
        <v/>
      </c>
      <c r="K1314" s="17" t="str">
        <f aca="false">IF(AND(Eingabe!$F$15&gt;0,Eingabe!$E$15&gt;=94),"1. Gerät: 10."&amp;Eingabe!$D$15&amp;".94.10, 2. Gerät: .11","")</f>
        <v/>
      </c>
    </row>
    <row r="1315" customFormat="false" ht="15" hidden="false" customHeight="false" outlineLevel="0" collapsed="false">
      <c r="A1315" s="17" t="str">
        <f aca="false">IF(AND(Eingabe!$F$15&gt;0,Eingabe!$E$15&gt;=95),7,"")</f>
        <v/>
      </c>
      <c r="B1315" s="17" t="str">
        <f aca="false">IF(AND(Eingabe!$F$15&gt;0,Eingabe!$E$15&gt;=95),Eingabe!$B$15,"")</f>
        <v/>
      </c>
      <c r="C1315" s="17" t="str">
        <f aca="false">IF(AND(Eingabe!$F$15&gt;0,Eingabe!$E$15&gt;=95),Eingabe!$C$15&amp;"-Paz."&amp;TEXT(95,"000"),"")</f>
        <v/>
      </c>
      <c r="D1315" s="17" t="str">
        <f aca="false">IF(AND(Eingabe!$F$15&gt;0,Eingabe!$E$15&gt;=95),95,"")</f>
        <v/>
      </c>
      <c r="E1315" s="17" t="str">
        <f aca="false">IF(AND(Eingabe!$F$15&gt;0,Eingabe!$E$15&gt;=95),IF((Eingabe!$G$15)&lt;=9,1000+(Eingabe!$G$15)*100,3000)+95,"")</f>
        <v/>
      </c>
      <c r="F1315" s="17" t="str">
        <f aca="false">IF(AND(Eingabe!$F$15&gt;0,Eingabe!$E$15&gt;=95),"10."&amp;Eingabe!$D$15&amp;".95.0/24","")</f>
        <v/>
      </c>
      <c r="G1315" s="17" t="str">
        <f aca="false">IF(AND(Eingabe!$F$15&gt;0,Eingabe!$E$15&gt;=95),"10."&amp;Eingabe!$D$15&amp;".95.1","")</f>
        <v/>
      </c>
      <c r="H1315" s="17" t="str">
        <f aca="false">IF(AND(Eingabe!$F$15&gt;0,Eingabe!$E$15&gt;=95),"10."&amp;Eingabe!$D$15&amp;".95.10 – 10."&amp;Eingabe!$D$15&amp;".95.250","")</f>
        <v/>
      </c>
      <c r="I1315" s="17" t="str">
        <f aca="false">IF(AND(Eingabe!$F$15&gt;0,Eingabe!$E$15&gt;=95),Eingabe!$B$6&amp;"-"&amp;Eingabe!$C$15&amp;"-Pächter","")</f>
        <v/>
      </c>
      <c r="J1315" s="17" t="str">
        <f aca="false">IF(AND(Eingabe!$F$15&gt;0,Eingabe!$E$15&gt;=95),"PPSK: Passwort Parzelle 95","")</f>
        <v/>
      </c>
      <c r="K1315" s="17" t="str">
        <f aca="false">IF(AND(Eingabe!$F$15&gt;0,Eingabe!$E$15&gt;=95),"1. Gerät: 10."&amp;Eingabe!$D$15&amp;".95.10, 2. Gerät: .11","")</f>
        <v/>
      </c>
    </row>
    <row r="1316" customFormat="false" ht="15" hidden="false" customHeight="false" outlineLevel="0" collapsed="false">
      <c r="A1316" s="17" t="str">
        <f aca="false">IF(AND(Eingabe!$F$15&gt;0,Eingabe!$E$15&gt;=96),7,"")</f>
        <v/>
      </c>
      <c r="B1316" s="17" t="str">
        <f aca="false">IF(AND(Eingabe!$F$15&gt;0,Eingabe!$E$15&gt;=96),Eingabe!$B$15,"")</f>
        <v/>
      </c>
      <c r="C1316" s="17" t="str">
        <f aca="false">IF(AND(Eingabe!$F$15&gt;0,Eingabe!$E$15&gt;=96),Eingabe!$C$15&amp;"-Paz."&amp;TEXT(96,"000"),"")</f>
        <v/>
      </c>
      <c r="D1316" s="17" t="str">
        <f aca="false">IF(AND(Eingabe!$F$15&gt;0,Eingabe!$E$15&gt;=96),96,"")</f>
        <v/>
      </c>
      <c r="E1316" s="17" t="str">
        <f aca="false">IF(AND(Eingabe!$F$15&gt;0,Eingabe!$E$15&gt;=96),IF((Eingabe!$G$15)&lt;=9,1000+(Eingabe!$G$15)*100,3000)+96,"")</f>
        <v/>
      </c>
      <c r="F1316" s="17" t="str">
        <f aca="false">IF(AND(Eingabe!$F$15&gt;0,Eingabe!$E$15&gt;=96),"10."&amp;Eingabe!$D$15&amp;".96.0/24","")</f>
        <v/>
      </c>
      <c r="G1316" s="17" t="str">
        <f aca="false">IF(AND(Eingabe!$F$15&gt;0,Eingabe!$E$15&gt;=96),"10."&amp;Eingabe!$D$15&amp;".96.1","")</f>
        <v/>
      </c>
      <c r="H1316" s="17" t="str">
        <f aca="false">IF(AND(Eingabe!$F$15&gt;0,Eingabe!$E$15&gt;=96),"10."&amp;Eingabe!$D$15&amp;".96.10 – 10."&amp;Eingabe!$D$15&amp;".96.250","")</f>
        <v/>
      </c>
      <c r="I1316" s="17" t="str">
        <f aca="false">IF(AND(Eingabe!$F$15&gt;0,Eingabe!$E$15&gt;=96),Eingabe!$B$6&amp;"-"&amp;Eingabe!$C$15&amp;"-Pächter","")</f>
        <v/>
      </c>
      <c r="J1316" s="17" t="str">
        <f aca="false">IF(AND(Eingabe!$F$15&gt;0,Eingabe!$E$15&gt;=96),"PPSK: Passwort Parzelle 96","")</f>
        <v/>
      </c>
      <c r="K1316" s="17" t="str">
        <f aca="false">IF(AND(Eingabe!$F$15&gt;0,Eingabe!$E$15&gt;=96),"1. Gerät: 10."&amp;Eingabe!$D$15&amp;".96.10, 2. Gerät: .11","")</f>
        <v/>
      </c>
    </row>
    <row r="1317" customFormat="false" ht="15" hidden="false" customHeight="false" outlineLevel="0" collapsed="false">
      <c r="A1317" s="17" t="str">
        <f aca="false">IF(AND(Eingabe!$F$15&gt;0,Eingabe!$E$15&gt;=97),7,"")</f>
        <v/>
      </c>
      <c r="B1317" s="17" t="str">
        <f aca="false">IF(AND(Eingabe!$F$15&gt;0,Eingabe!$E$15&gt;=97),Eingabe!$B$15,"")</f>
        <v/>
      </c>
      <c r="C1317" s="17" t="str">
        <f aca="false">IF(AND(Eingabe!$F$15&gt;0,Eingabe!$E$15&gt;=97),Eingabe!$C$15&amp;"-Paz."&amp;TEXT(97,"000"),"")</f>
        <v/>
      </c>
      <c r="D1317" s="17" t="str">
        <f aca="false">IF(AND(Eingabe!$F$15&gt;0,Eingabe!$E$15&gt;=97),97,"")</f>
        <v/>
      </c>
      <c r="E1317" s="17" t="str">
        <f aca="false">IF(AND(Eingabe!$F$15&gt;0,Eingabe!$E$15&gt;=97),IF((Eingabe!$G$15)&lt;=9,1000+(Eingabe!$G$15)*100,3000)+97,"")</f>
        <v/>
      </c>
      <c r="F1317" s="17" t="str">
        <f aca="false">IF(AND(Eingabe!$F$15&gt;0,Eingabe!$E$15&gt;=97),"10."&amp;Eingabe!$D$15&amp;".97.0/24","")</f>
        <v/>
      </c>
      <c r="G1317" s="17" t="str">
        <f aca="false">IF(AND(Eingabe!$F$15&gt;0,Eingabe!$E$15&gt;=97),"10."&amp;Eingabe!$D$15&amp;".97.1","")</f>
        <v/>
      </c>
      <c r="H1317" s="17" t="str">
        <f aca="false">IF(AND(Eingabe!$F$15&gt;0,Eingabe!$E$15&gt;=97),"10."&amp;Eingabe!$D$15&amp;".97.10 – 10."&amp;Eingabe!$D$15&amp;".97.250","")</f>
        <v/>
      </c>
      <c r="I1317" s="17" t="str">
        <f aca="false">IF(AND(Eingabe!$F$15&gt;0,Eingabe!$E$15&gt;=97),Eingabe!$B$6&amp;"-"&amp;Eingabe!$C$15&amp;"-Pächter","")</f>
        <v/>
      </c>
      <c r="J1317" s="17" t="str">
        <f aca="false">IF(AND(Eingabe!$F$15&gt;0,Eingabe!$E$15&gt;=97),"PPSK: Passwort Parzelle 97","")</f>
        <v/>
      </c>
      <c r="K1317" s="17" t="str">
        <f aca="false">IF(AND(Eingabe!$F$15&gt;0,Eingabe!$E$15&gt;=97),"1. Gerät: 10."&amp;Eingabe!$D$15&amp;".97.10, 2. Gerät: .11","")</f>
        <v/>
      </c>
    </row>
    <row r="1318" customFormat="false" ht="15" hidden="false" customHeight="false" outlineLevel="0" collapsed="false">
      <c r="A1318" s="17" t="str">
        <f aca="false">IF(AND(Eingabe!$F$15&gt;0,Eingabe!$E$15&gt;=98),7,"")</f>
        <v/>
      </c>
      <c r="B1318" s="17" t="str">
        <f aca="false">IF(AND(Eingabe!$F$15&gt;0,Eingabe!$E$15&gt;=98),Eingabe!$B$15,"")</f>
        <v/>
      </c>
      <c r="C1318" s="17" t="str">
        <f aca="false">IF(AND(Eingabe!$F$15&gt;0,Eingabe!$E$15&gt;=98),Eingabe!$C$15&amp;"-Paz."&amp;TEXT(98,"000"),"")</f>
        <v/>
      </c>
      <c r="D1318" s="17" t="str">
        <f aca="false">IF(AND(Eingabe!$F$15&gt;0,Eingabe!$E$15&gt;=98),98,"")</f>
        <v/>
      </c>
      <c r="E1318" s="17" t="str">
        <f aca="false">IF(AND(Eingabe!$F$15&gt;0,Eingabe!$E$15&gt;=98),IF((Eingabe!$G$15)&lt;=9,1000+(Eingabe!$G$15)*100,3000)+98,"")</f>
        <v/>
      </c>
      <c r="F1318" s="17" t="str">
        <f aca="false">IF(AND(Eingabe!$F$15&gt;0,Eingabe!$E$15&gt;=98),"10."&amp;Eingabe!$D$15&amp;".98.0/24","")</f>
        <v/>
      </c>
      <c r="G1318" s="17" t="str">
        <f aca="false">IF(AND(Eingabe!$F$15&gt;0,Eingabe!$E$15&gt;=98),"10."&amp;Eingabe!$D$15&amp;".98.1","")</f>
        <v/>
      </c>
      <c r="H1318" s="17" t="str">
        <f aca="false">IF(AND(Eingabe!$F$15&gt;0,Eingabe!$E$15&gt;=98),"10."&amp;Eingabe!$D$15&amp;".98.10 – 10."&amp;Eingabe!$D$15&amp;".98.250","")</f>
        <v/>
      </c>
      <c r="I1318" s="17" t="str">
        <f aca="false">IF(AND(Eingabe!$F$15&gt;0,Eingabe!$E$15&gt;=98),Eingabe!$B$6&amp;"-"&amp;Eingabe!$C$15&amp;"-Pächter","")</f>
        <v/>
      </c>
      <c r="J1318" s="17" t="str">
        <f aca="false">IF(AND(Eingabe!$F$15&gt;0,Eingabe!$E$15&gt;=98),"PPSK: Passwort Parzelle 98","")</f>
        <v/>
      </c>
      <c r="K1318" s="17" t="str">
        <f aca="false">IF(AND(Eingabe!$F$15&gt;0,Eingabe!$E$15&gt;=98),"1. Gerät: 10."&amp;Eingabe!$D$15&amp;".98.10, 2. Gerät: .11","")</f>
        <v/>
      </c>
    </row>
    <row r="1319" customFormat="false" ht="15" hidden="false" customHeight="false" outlineLevel="0" collapsed="false">
      <c r="A1319" s="17" t="str">
        <f aca="false">IF(AND(Eingabe!$F$15&gt;0,Eingabe!$E$15&gt;=99),7,"")</f>
        <v/>
      </c>
      <c r="B1319" s="17" t="str">
        <f aca="false">IF(AND(Eingabe!$F$15&gt;0,Eingabe!$E$15&gt;=99),Eingabe!$B$15,"")</f>
        <v/>
      </c>
      <c r="C1319" s="17" t="str">
        <f aca="false">IF(AND(Eingabe!$F$15&gt;0,Eingabe!$E$15&gt;=99),Eingabe!$C$15&amp;"-Paz."&amp;TEXT(99,"000"),"")</f>
        <v/>
      </c>
      <c r="D1319" s="17" t="str">
        <f aca="false">IF(AND(Eingabe!$F$15&gt;0,Eingabe!$E$15&gt;=99),99,"")</f>
        <v/>
      </c>
      <c r="E1319" s="17" t="str">
        <f aca="false">IF(AND(Eingabe!$F$15&gt;0,Eingabe!$E$15&gt;=99),IF((Eingabe!$G$15)&lt;=9,1000+(Eingabe!$G$15)*100,3000)+99,"")</f>
        <v/>
      </c>
      <c r="F1319" s="17" t="str">
        <f aca="false">IF(AND(Eingabe!$F$15&gt;0,Eingabe!$E$15&gt;=99),"10."&amp;Eingabe!$D$15&amp;".99.0/24","")</f>
        <v/>
      </c>
      <c r="G1319" s="17" t="str">
        <f aca="false">IF(AND(Eingabe!$F$15&gt;0,Eingabe!$E$15&gt;=99),"10."&amp;Eingabe!$D$15&amp;".99.1","")</f>
        <v/>
      </c>
      <c r="H1319" s="17" t="str">
        <f aca="false">IF(AND(Eingabe!$F$15&gt;0,Eingabe!$E$15&gt;=99),"10."&amp;Eingabe!$D$15&amp;".99.10 – 10."&amp;Eingabe!$D$15&amp;".99.250","")</f>
        <v/>
      </c>
      <c r="I1319" s="17" t="str">
        <f aca="false">IF(AND(Eingabe!$F$15&gt;0,Eingabe!$E$15&gt;=99),Eingabe!$B$6&amp;"-"&amp;Eingabe!$C$15&amp;"-Pächter","")</f>
        <v/>
      </c>
      <c r="J1319" s="17" t="str">
        <f aca="false">IF(AND(Eingabe!$F$15&gt;0,Eingabe!$E$15&gt;=99),"PPSK: Passwort Parzelle 99","")</f>
        <v/>
      </c>
      <c r="K1319" s="17" t="str">
        <f aca="false">IF(AND(Eingabe!$F$15&gt;0,Eingabe!$E$15&gt;=99),"1. Gerät: 10."&amp;Eingabe!$D$15&amp;".99.10, 2. Gerät: .11","")</f>
        <v/>
      </c>
    </row>
    <row r="1320" customFormat="false" ht="15" hidden="false" customHeight="false" outlineLevel="0" collapsed="false">
      <c r="A1320" s="17" t="str">
        <f aca="false">IF(AND(Eingabe!$F$15&gt;0,Eingabe!$E$15&gt;=100),7,"")</f>
        <v/>
      </c>
      <c r="B1320" s="17" t="str">
        <f aca="false">IF(AND(Eingabe!$F$15&gt;0,Eingabe!$E$15&gt;=100),Eingabe!$B$15,"")</f>
        <v/>
      </c>
      <c r="C1320" s="17" t="str">
        <f aca="false">IF(AND(Eingabe!$F$15&gt;0,Eingabe!$E$15&gt;=100),Eingabe!$C$15&amp;"-Paz."&amp;TEXT(100,"000"),"")</f>
        <v/>
      </c>
      <c r="D1320" s="17" t="str">
        <f aca="false">IF(AND(Eingabe!$F$15&gt;0,Eingabe!$E$15&gt;=100),100,"")</f>
        <v/>
      </c>
      <c r="E1320" s="17" t="str">
        <f aca="false">IF(AND(Eingabe!$F$15&gt;0,Eingabe!$E$15&gt;=100),IF((Eingabe!$G$15+1)&lt;=9,1000+(Eingabe!$G$15+1)*100,3000)+0,"")</f>
        <v/>
      </c>
      <c r="F1320" s="17" t="str">
        <f aca="false">IF(AND(Eingabe!$F$15&gt;0,Eingabe!$E$15&gt;=100),"10."&amp;Eingabe!$D$15&amp;".100.0/24","")</f>
        <v/>
      </c>
      <c r="G1320" s="17" t="str">
        <f aca="false">IF(AND(Eingabe!$F$15&gt;0,Eingabe!$E$15&gt;=100),"10."&amp;Eingabe!$D$15&amp;".100.1","")</f>
        <v/>
      </c>
      <c r="H1320" s="17" t="str">
        <f aca="false">IF(AND(Eingabe!$F$15&gt;0,Eingabe!$E$15&gt;=100),"10."&amp;Eingabe!$D$15&amp;".100.10 – 10."&amp;Eingabe!$D$15&amp;".100.250","")</f>
        <v/>
      </c>
      <c r="I1320" s="17" t="str">
        <f aca="false">IF(AND(Eingabe!$F$15&gt;0,Eingabe!$E$15&gt;=100),Eingabe!$B$6&amp;"-"&amp;Eingabe!$C$15&amp;"-Pächter","")</f>
        <v/>
      </c>
      <c r="J1320" s="17" t="str">
        <f aca="false">IF(AND(Eingabe!$F$15&gt;0,Eingabe!$E$15&gt;=100),"PPSK: Passwort Parzelle 100","")</f>
        <v/>
      </c>
      <c r="K1320" s="17" t="str">
        <f aca="false">IF(AND(Eingabe!$F$15&gt;0,Eingabe!$E$15&gt;=100),"1. Gerät: 10."&amp;Eingabe!$D$15&amp;".100.10, 2. Gerät: .11","")</f>
        <v/>
      </c>
    </row>
    <row r="1321" customFormat="false" ht="15" hidden="false" customHeight="false" outlineLevel="0" collapsed="false">
      <c r="A1321" s="17" t="str">
        <f aca="false">IF(AND(Eingabe!$F$15&gt;0,Eingabe!$E$15&gt;=101),7,"")</f>
        <v/>
      </c>
      <c r="B1321" s="17" t="str">
        <f aca="false">IF(AND(Eingabe!$F$15&gt;0,Eingabe!$E$15&gt;=101),Eingabe!$B$15,"")</f>
        <v/>
      </c>
      <c r="C1321" s="17" t="str">
        <f aca="false">IF(AND(Eingabe!$F$15&gt;0,Eingabe!$E$15&gt;=101),Eingabe!$C$15&amp;"-Paz."&amp;TEXT(101,"000"),"")</f>
        <v/>
      </c>
      <c r="D1321" s="17" t="str">
        <f aca="false">IF(AND(Eingabe!$F$15&gt;0,Eingabe!$E$15&gt;=101),101,"")</f>
        <v/>
      </c>
      <c r="E1321" s="17" t="str">
        <f aca="false">IF(AND(Eingabe!$F$15&gt;0,Eingabe!$E$15&gt;=101),IF((Eingabe!$G$15+1)&lt;=9,1000+(Eingabe!$G$15+1)*100,3000)+1,"")</f>
        <v/>
      </c>
      <c r="F1321" s="17" t="str">
        <f aca="false">IF(AND(Eingabe!$F$15&gt;0,Eingabe!$E$15&gt;=101),"10."&amp;Eingabe!$D$15&amp;".101.0/24","")</f>
        <v/>
      </c>
      <c r="G1321" s="17" t="str">
        <f aca="false">IF(AND(Eingabe!$F$15&gt;0,Eingabe!$E$15&gt;=101),"10."&amp;Eingabe!$D$15&amp;".101.1","")</f>
        <v/>
      </c>
      <c r="H1321" s="17" t="str">
        <f aca="false">IF(AND(Eingabe!$F$15&gt;0,Eingabe!$E$15&gt;=101),"10."&amp;Eingabe!$D$15&amp;".101.10 – 10."&amp;Eingabe!$D$15&amp;".101.250","")</f>
        <v/>
      </c>
      <c r="I1321" s="17" t="str">
        <f aca="false">IF(AND(Eingabe!$F$15&gt;0,Eingabe!$E$15&gt;=101),Eingabe!$B$6&amp;"-"&amp;Eingabe!$C$15&amp;"-Pächter","")</f>
        <v/>
      </c>
      <c r="J1321" s="17" t="str">
        <f aca="false">IF(AND(Eingabe!$F$15&gt;0,Eingabe!$E$15&gt;=101),"PPSK: Passwort Parzelle 101","")</f>
        <v/>
      </c>
      <c r="K1321" s="17" t="str">
        <f aca="false">IF(AND(Eingabe!$F$15&gt;0,Eingabe!$E$15&gt;=101),"1. Gerät: 10."&amp;Eingabe!$D$15&amp;".101.10, 2. Gerät: .11","")</f>
        <v/>
      </c>
    </row>
    <row r="1322" customFormat="false" ht="15" hidden="false" customHeight="false" outlineLevel="0" collapsed="false">
      <c r="A1322" s="17" t="str">
        <f aca="false">IF(AND(Eingabe!$F$15&gt;0,Eingabe!$E$15&gt;=102),7,"")</f>
        <v/>
      </c>
      <c r="B1322" s="17" t="str">
        <f aca="false">IF(AND(Eingabe!$F$15&gt;0,Eingabe!$E$15&gt;=102),Eingabe!$B$15,"")</f>
        <v/>
      </c>
      <c r="C1322" s="17" t="str">
        <f aca="false">IF(AND(Eingabe!$F$15&gt;0,Eingabe!$E$15&gt;=102),Eingabe!$C$15&amp;"-Paz."&amp;TEXT(102,"000"),"")</f>
        <v/>
      </c>
      <c r="D1322" s="17" t="str">
        <f aca="false">IF(AND(Eingabe!$F$15&gt;0,Eingabe!$E$15&gt;=102),102,"")</f>
        <v/>
      </c>
      <c r="E1322" s="17" t="str">
        <f aca="false">IF(AND(Eingabe!$F$15&gt;0,Eingabe!$E$15&gt;=102),IF((Eingabe!$G$15+1)&lt;=9,1000+(Eingabe!$G$15+1)*100,3000)+2,"")</f>
        <v/>
      </c>
      <c r="F1322" s="17" t="str">
        <f aca="false">IF(AND(Eingabe!$F$15&gt;0,Eingabe!$E$15&gt;=102),"10."&amp;Eingabe!$D$15&amp;".102.0/24","")</f>
        <v/>
      </c>
      <c r="G1322" s="17" t="str">
        <f aca="false">IF(AND(Eingabe!$F$15&gt;0,Eingabe!$E$15&gt;=102),"10."&amp;Eingabe!$D$15&amp;".102.1","")</f>
        <v/>
      </c>
      <c r="H1322" s="17" t="str">
        <f aca="false">IF(AND(Eingabe!$F$15&gt;0,Eingabe!$E$15&gt;=102),"10."&amp;Eingabe!$D$15&amp;".102.10 – 10."&amp;Eingabe!$D$15&amp;".102.250","")</f>
        <v/>
      </c>
      <c r="I1322" s="17" t="str">
        <f aca="false">IF(AND(Eingabe!$F$15&gt;0,Eingabe!$E$15&gt;=102),Eingabe!$B$6&amp;"-"&amp;Eingabe!$C$15&amp;"-Pächter","")</f>
        <v/>
      </c>
      <c r="J1322" s="17" t="str">
        <f aca="false">IF(AND(Eingabe!$F$15&gt;0,Eingabe!$E$15&gt;=102),"PPSK: Passwort Parzelle 102","")</f>
        <v/>
      </c>
      <c r="K1322" s="17" t="str">
        <f aca="false">IF(AND(Eingabe!$F$15&gt;0,Eingabe!$E$15&gt;=102),"1. Gerät: 10."&amp;Eingabe!$D$15&amp;".102.10, 2. Gerät: .11","")</f>
        <v/>
      </c>
    </row>
    <row r="1323" customFormat="false" ht="15" hidden="false" customHeight="false" outlineLevel="0" collapsed="false">
      <c r="A1323" s="17" t="str">
        <f aca="false">IF(AND(Eingabe!$F$15&gt;0,Eingabe!$E$15&gt;=103),7,"")</f>
        <v/>
      </c>
      <c r="B1323" s="17" t="str">
        <f aca="false">IF(AND(Eingabe!$F$15&gt;0,Eingabe!$E$15&gt;=103),Eingabe!$B$15,"")</f>
        <v/>
      </c>
      <c r="C1323" s="17" t="str">
        <f aca="false">IF(AND(Eingabe!$F$15&gt;0,Eingabe!$E$15&gt;=103),Eingabe!$C$15&amp;"-Paz."&amp;TEXT(103,"000"),"")</f>
        <v/>
      </c>
      <c r="D1323" s="17" t="str">
        <f aca="false">IF(AND(Eingabe!$F$15&gt;0,Eingabe!$E$15&gt;=103),103,"")</f>
        <v/>
      </c>
      <c r="E1323" s="17" t="str">
        <f aca="false">IF(AND(Eingabe!$F$15&gt;0,Eingabe!$E$15&gt;=103),IF((Eingabe!$G$15+1)&lt;=9,1000+(Eingabe!$G$15+1)*100,3000)+3,"")</f>
        <v/>
      </c>
      <c r="F1323" s="17" t="str">
        <f aca="false">IF(AND(Eingabe!$F$15&gt;0,Eingabe!$E$15&gt;=103),"10."&amp;Eingabe!$D$15&amp;".103.0/24","")</f>
        <v/>
      </c>
      <c r="G1323" s="17" t="str">
        <f aca="false">IF(AND(Eingabe!$F$15&gt;0,Eingabe!$E$15&gt;=103),"10."&amp;Eingabe!$D$15&amp;".103.1","")</f>
        <v/>
      </c>
      <c r="H1323" s="17" t="str">
        <f aca="false">IF(AND(Eingabe!$F$15&gt;0,Eingabe!$E$15&gt;=103),"10."&amp;Eingabe!$D$15&amp;".103.10 – 10."&amp;Eingabe!$D$15&amp;".103.250","")</f>
        <v/>
      </c>
      <c r="I1323" s="17" t="str">
        <f aca="false">IF(AND(Eingabe!$F$15&gt;0,Eingabe!$E$15&gt;=103),Eingabe!$B$6&amp;"-"&amp;Eingabe!$C$15&amp;"-Pächter","")</f>
        <v/>
      </c>
      <c r="J1323" s="17" t="str">
        <f aca="false">IF(AND(Eingabe!$F$15&gt;0,Eingabe!$E$15&gt;=103),"PPSK: Passwort Parzelle 103","")</f>
        <v/>
      </c>
      <c r="K1323" s="17" t="str">
        <f aca="false">IF(AND(Eingabe!$F$15&gt;0,Eingabe!$E$15&gt;=103),"1. Gerät: 10."&amp;Eingabe!$D$15&amp;".103.10, 2. Gerät: .11","")</f>
        <v/>
      </c>
    </row>
    <row r="1324" customFormat="false" ht="15" hidden="false" customHeight="false" outlineLevel="0" collapsed="false">
      <c r="A1324" s="17" t="str">
        <f aca="false">IF(AND(Eingabe!$F$15&gt;0,Eingabe!$E$15&gt;=104),7,"")</f>
        <v/>
      </c>
      <c r="B1324" s="17" t="str">
        <f aca="false">IF(AND(Eingabe!$F$15&gt;0,Eingabe!$E$15&gt;=104),Eingabe!$B$15,"")</f>
        <v/>
      </c>
      <c r="C1324" s="17" t="str">
        <f aca="false">IF(AND(Eingabe!$F$15&gt;0,Eingabe!$E$15&gt;=104),Eingabe!$C$15&amp;"-Paz."&amp;TEXT(104,"000"),"")</f>
        <v/>
      </c>
      <c r="D1324" s="17" t="str">
        <f aca="false">IF(AND(Eingabe!$F$15&gt;0,Eingabe!$E$15&gt;=104),104,"")</f>
        <v/>
      </c>
      <c r="E1324" s="17" t="str">
        <f aca="false">IF(AND(Eingabe!$F$15&gt;0,Eingabe!$E$15&gt;=104),IF((Eingabe!$G$15+1)&lt;=9,1000+(Eingabe!$G$15+1)*100,3000)+4,"")</f>
        <v/>
      </c>
      <c r="F1324" s="17" t="str">
        <f aca="false">IF(AND(Eingabe!$F$15&gt;0,Eingabe!$E$15&gt;=104),"10."&amp;Eingabe!$D$15&amp;".104.0/24","")</f>
        <v/>
      </c>
      <c r="G1324" s="17" t="str">
        <f aca="false">IF(AND(Eingabe!$F$15&gt;0,Eingabe!$E$15&gt;=104),"10."&amp;Eingabe!$D$15&amp;".104.1","")</f>
        <v/>
      </c>
      <c r="H1324" s="17" t="str">
        <f aca="false">IF(AND(Eingabe!$F$15&gt;0,Eingabe!$E$15&gt;=104),"10."&amp;Eingabe!$D$15&amp;".104.10 – 10."&amp;Eingabe!$D$15&amp;".104.250","")</f>
        <v/>
      </c>
      <c r="I1324" s="17" t="str">
        <f aca="false">IF(AND(Eingabe!$F$15&gt;0,Eingabe!$E$15&gt;=104),Eingabe!$B$6&amp;"-"&amp;Eingabe!$C$15&amp;"-Pächter","")</f>
        <v/>
      </c>
      <c r="J1324" s="17" t="str">
        <f aca="false">IF(AND(Eingabe!$F$15&gt;0,Eingabe!$E$15&gt;=104),"PPSK: Passwort Parzelle 104","")</f>
        <v/>
      </c>
      <c r="K1324" s="17" t="str">
        <f aca="false">IF(AND(Eingabe!$F$15&gt;0,Eingabe!$E$15&gt;=104),"1. Gerät: 10."&amp;Eingabe!$D$15&amp;".104.10, 2. Gerät: .11","")</f>
        <v/>
      </c>
    </row>
    <row r="1325" customFormat="false" ht="15" hidden="false" customHeight="false" outlineLevel="0" collapsed="false">
      <c r="A1325" s="17" t="str">
        <f aca="false">IF(AND(Eingabe!$F$15&gt;0,Eingabe!$E$15&gt;=105),7,"")</f>
        <v/>
      </c>
      <c r="B1325" s="17" t="str">
        <f aca="false">IF(AND(Eingabe!$F$15&gt;0,Eingabe!$E$15&gt;=105),Eingabe!$B$15,"")</f>
        <v/>
      </c>
      <c r="C1325" s="17" t="str">
        <f aca="false">IF(AND(Eingabe!$F$15&gt;0,Eingabe!$E$15&gt;=105),Eingabe!$C$15&amp;"-Paz."&amp;TEXT(105,"000"),"")</f>
        <v/>
      </c>
      <c r="D1325" s="17" t="str">
        <f aca="false">IF(AND(Eingabe!$F$15&gt;0,Eingabe!$E$15&gt;=105),105,"")</f>
        <v/>
      </c>
      <c r="E1325" s="17" t="str">
        <f aca="false">IF(AND(Eingabe!$F$15&gt;0,Eingabe!$E$15&gt;=105),IF((Eingabe!$G$15+1)&lt;=9,1000+(Eingabe!$G$15+1)*100,3000)+5,"")</f>
        <v/>
      </c>
      <c r="F1325" s="17" t="str">
        <f aca="false">IF(AND(Eingabe!$F$15&gt;0,Eingabe!$E$15&gt;=105),"10."&amp;Eingabe!$D$15&amp;".105.0/24","")</f>
        <v/>
      </c>
      <c r="G1325" s="17" t="str">
        <f aca="false">IF(AND(Eingabe!$F$15&gt;0,Eingabe!$E$15&gt;=105),"10."&amp;Eingabe!$D$15&amp;".105.1","")</f>
        <v/>
      </c>
      <c r="H1325" s="17" t="str">
        <f aca="false">IF(AND(Eingabe!$F$15&gt;0,Eingabe!$E$15&gt;=105),"10."&amp;Eingabe!$D$15&amp;".105.10 – 10."&amp;Eingabe!$D$15&amp;".105.250","")</f>
        <v/>
      </c>
      <c r="I1325" s="17" t="str">
        <f aca="false">IF(AND(Eingabe!$F$15&gt;0,Eingabe!$E$15&gt;=105),Eingabe!$B$6&amp;"-"&amp;Eingabe!$C$15&amp;"-Pächter","")</f>
        <v/>
      </c>
      <c r="J1325" s="17" t="str">
        <f aca="false">IF(AND(Eingabe!$F$15&gt;0,Eingabe!$E$15&gt;=105),"PPSK: Passwort Parzelle 105","")</f>
        <v/>
      </c>
      <c r="K1325" s="17" t="str">
        <f aca="false">IF(AND(Eingabe!$F$15&gt;0,Eingabe!$E$15&gt;=105),"1. Gerät: 10."&amp;Eingabe!$D$15&amp;".105.10, 2. Gerät: .11","")</f>
        <v/>
      </c>
    </row>
    <row r="1326" customFormat="false" ht="15" hidden="false" customHeight="false" outlineLevel="0" collapsed="false">
      <c r="A1326" s="17" t="str">
        <f aca="false">IF(AND(Eingabe!$F$15&gt;0,Eingabe!$E$15&gt;=106),7,"")</f>
        <v/>
      </c>
      <c r="B1326" s="17" t="str">
        <f aca="false">IF(AND(Eingabe!$F$15&gt;0,Eingabe!$E$15&gt;=106),Eingabe!$B$15,"")</f>
        <v/>
      </c>
      <c r="C1326" s="17" t="str">
        <f aca="false">IF(AND(Eingabe!$F$15&gt;0,Eingabe!$E$15&gt;=106),Eingabe!$C$15&amp;"-Paz."&amp;TEXT(106,"000"),"")</f>
        <v/>
      </c>
      <c r="D1326" s="17" t="str">
        <f aca="false">IF(AND(Eingabe!$F$15&gt;0,Eingabe!$E$15&gt;=106),106,"")</f>
        <v/>
      </c>
      <c r="E1326" s="17" t="str">
        <f aca="false">IF(AND(Eingabe!$F$15&gt;0,Eingabe!$E$15&gt;=106),IF((Eingabe!$G$15+1)&lt;=9,1000+(Eingabe!$G$15+1)*100,3000)+6,"")</f>
        <v/>
      </c>
      <c r="F1326" s="17" t="str">
        <f aca="false">IF(AND(Eingabe!$F$15&gt;0,Eingabe!$E$15&gt;=106),"10."&amp;Eingabe!$D$15&amp;".106.0/24","")</f>
        <v/>
      </c>
      <c r="G1326" s="17" t="str">
        <f aca="false">IF(AND(Eingabe!$F$15&gt;0,Eingabe!$E$15&gt;=106),"10."&amp;Eingabe!$D$15&amp;".106.1","")</f>
        <v/>
      </c>
      <c r="H1326" s="17" t="str">
        <f aca="false">IF(AND(Eingabe!$F$15&gt;0,Eingabe!$E$15&gt;=106),"10."&amp;Eingabe!$D$15&amp;".106.10 – 10."&amp;Eingabe!$D$15&amp;".106.250","")</f>
        <v/>
      </c>
      <c r="I1326" s="17" t="str">
        <f aca="false">IF(AND(Eingabe!$F$15&gt;0,Eingabe!$E$15&gt;=106),Eingabe!$B$6&amp;"-"&amp;Eingabe!$C$15&amp;"-Pächter","")</f>
        <v/>
      </c>
      <c r="J1326" s="17" t="str">
        <f aca="false">IF(AND(Eingabe!$F$15&gt;0,Eingabe!$E$15&gt;=106),"PPSK: Passwort Parzelle 106","")</f>
        <v/>
      </c>
      <c r="K1326" s="17" t="str">
        <f aca="false">IF(AND(Eingabe!$F$15&gt;0,Eingabe!$E$15&gt;=106),"1. Gerät: 10."&amp;Eingabe!$D$15&amp;".106.10, 2. Gerät: .11","")</f>
        <v/>
      </c>
    </row>
    <row r="1327" customFormat="false" ht="15" hidden="false" customHeight="false" outlineLevel="0" collapsed="false">
      <c r="A1327" s="17" t="str">
        <f aca="false">IF(AND(Eingabe!$F$15&gt;0,Eingabe!$E$15&gt;=107),7,"")</f>
        <v/>
      </c>
      <c r="B1327" s="17" t="str">
        <f aca="false">IF(AND(Eingabe!$F$15&gt;0,Eingabe!$E$15&gt;=107),Eingabe!$B$15,"")</f>
        <v/>
      </c>
      <c r="C1327" s="17" t="str">
        <f aca="false">IF(AND(Eingabe!$F$15&gt;0,Eingabe!$E$15&gt;=107),Eingabe!$C$15&amp;"-Paz."&amp;TEXT(107,"000"),"")</f>
        <v/>
      </c>
      <c r="D1327" s="17" t="str">
        <f aca="false">IF(AND(Eingabe!$F$15&gt;0,Eingabe!$E$15&gt;=107),107,"")</f>
        <v/>
      </c>
      <c r="E1327" s="17" t="str">
        <f aca="false">IF(AND(Eingabe!$F$15&gt;0,Eingabe!$E$15&gt;=107),IF((Eingabe!$G$15+1)&lt;=9,1000+(Eingabe!$G$15+1)*100,3000)+7,"")</f>
        <v/>
      </c>
      <c r="F1327" s="17" t="str">
        <f aca="false">IF(AND(Eingabe!$F$15&gt;0,Eingabe!$E$15&gt;=107),"10."&amp;Eingabe!$D$15&amp;".107.0/24","")</f>
        <v/>
      </c>
      <c r="G1327" s="17" t="str">
        <f aca="false">IF(AND(Eingabe!$F$15&gt;0,Eingabe!$E$15&gt;=107),"10."&amp;Eingabe!$D$15&amp;".107.1","")</f>
        <v/>
      </c>
      <c r="H1327" s="17" t="str">
        <f aca="false">IF(AND(Eingabe!$F$15&gt;0,Eingabe!$E$15&gt;=107),"10."&amp;Eingabe!$D$15&amp;".107.10 – 10."&amp;Eingabe!$D$15&amp;".107.250","")</f>
        <v/>
      </c>
      <c r="I1327" s="17" t="str">
        <f aca="false">IF(AND(Eingabe!$F$15&gt;0,Eingabe!$E$15&gt;=107),Eingabe!$B$6&amp;"-"&amp;Eingabe!$C$15&amp;"-Pächter","")</f>
        <v/>
      </c>
      <c r="J1327" s="17" t="str">
        <f aca="false">IF(AND(Eingabe!$F$15&gt;0,Eingabe!$E$15&gt;=107),"PPSK: Passwort Parzelle 107","")</f>
        <v/>
      </c>
      <c r="K1327" s="17" t="str">
        <f aca="false">IF(AND(Eingabe!$F$15&gt;0,Eingabe!$E$15&gt;=107),"1. Gerät: 10."&amp;Eingabe!$D$15&amp;".107.10, 2. Gerät: .11","")</f>
        <v/>
      </c>
    </row>
    <row r="1328" customFormat="false" ht="15" hidden="false" customHeight="false" outlineLevel="0" collapsed="false">
      <c r="A1328" s="17" t="str">
        <f aca="false">IF(AND(Eingabe!$F$15&gt;0,Eingabe!$E$15&gt;=108),7,"")</f>
        <v/>
      </c>
      <c r="B1328" s="17" t="str">
        <f aca="false">IF(AND(Eingabe!$F$15&gt;0,Eingabe!$E$15&gt;=108),Eingabe!$B$15,"")</f>
        <v/>
      </c>
      <c r="C1328" s="17" t="str">
        <f aca="false">IF(AND(Eingabe!$F$15&gt;0,Eingabe!$E$15&gt;=108),Eingabe!$C$15&amp;"-Paz."&amp;TEXT(108,"000"),"")</f>
        <v/>
      </c>
      <c r="D1328" s="17" t="str">
        <f aca="false">IF(AND(Eingabe!$F$15&gt;0,Eingabe!$E$15&gt;=108),108,"")</f>
        <v/>
      </c>
      <c r="E1328" s="17" t="str">
        <f aca="false">IF(AND(Eingabe!$F$15&gt;0,Eingabe!$E$15&gt;=108),IF((Eingabe!$G$15+1)&lt;=9,1000+(Eingabe!$G$15+1)*100,3000)+8,"")</f>
        <v/>
      </c>
      <c r="F1328" s="17" t="str">
        <f aca="false">IF(AND(Eingabe!$F$15&gt;0,Eingabe!$E$15&gt;=108),"10."&amp;Eingabe!$D$15&amp;".108.0/24","")</f>
        <v/>
      </c>
      <c r="G1328" s="17" t="str">
        <f aca="false">IF(AND(Eingabe!$F$15&gt;0,Eingabe!$E$15&gt;=108),"10."&amp;Eingabe!$D$15&amp;".108.1","")</f>
        <v/>
      </c>
      <c r="H1328" s="17" t="str">
        <f aca="false">IF(AND(Eingabe!$F$15&gt;0,Eingabe!$E$15&gt;=108),"10."&amp;Eingabe!$D$15&amp;".108.10 – 10."&amp;Eingabe!$D$15&amp;".108.250","")</f>
        <v/>
      </c>
      <c r="I1328" s="17" t="str">
        <f aca="false">IF(AND(Eingabe!$F$15&gt;0,Eingabe!$E$15&gt;=108),Eingabe!$B$6&amp;"-"&amp;Eingabe!$C$15&amp;"-Pächter","")</f>
        <v/>
      </c>
      <c r="J1328" s="17" t="str">
        <f aca="false">IF(AND(Eingabe!$F$15&gt;0,Eingabe!$E$15&gt;=108),"PPSK: Passwort Parzelle 108","")</f>
        <v/>
      </c>
      <c r="K1328" s="17" t="str">
        <f aca="false">IF(AND(Eingabe!$F$15&gt;0,Eingabe!$E$15&gt;=108),"1. Gerät: 10."&amp;Eingabe!$D$15&amp;".108.10, 2. Gerät: .11","")</f>
        <v/>
      </c>
    </row>
    <row r="1329" customFormat="false" ht="15" hidden="false" customHeight="false" outlineLevel="0" collapsed="false">
      <c r="A1329" s="17" t="str">
        <f aca="false">IF(AND(Eingabe!$F$15&gt;0,Eingabe!$E$15&gt;=109),7,"")</f>
        <v/>
      </c>
      <c r="B1329" s="17" t="str">
        <f aca="false">IF(AND(Eingabe!$F$15&gt;0,Eingabe!$E$15&gt;=109),Eingabe!$B$15,"")</f>
        <v/>
      </c>
      <c r="C1329" s="17" t="str">
        <f aca="false">IF(AND(Eingabe!$F$15&gt;0,Eingabe!$E$15&gt;=109),Eingabe!$C$15&amp;"-Paz."&amp;TEXT(109,"000"),"")</f>
        <v/>
      </c>
      <c r="D1329" s="17" t="str">
        <f aca="false">IF(AND(Eingabe!$F$15&gt;0,Eingabe!$E$15&gt;=109),109,"")</f>
        <v/>
      </c>
      <c r="E1329" s="17" t="str">
        <f aca="false">IF(AND(Eingabe!$F$15&gt;0,Eingabe!$E$15&gt;=109),IF((Eingabe!$G$15+1)&lt;=9,1000+(Eingabe!$G$15+1)*100,3000)+9,"")</f>
        <v/>
      </c>
      <c r="F1329" s="17" t="str">
        <f aca="false">IF(AND(Eingabe!$F$15&gt;0,Eingabe!$E$15&gt;=109),"10."&amp;Eingabe!$D$15&amp;".109.0/24","")</f>
        <v/>
      </c>
      <c r="G1329" s="17" t="str">
        <f aca="false">IF(AND(Eingabe!$F$15&gt;0,Eingabe!$E$15&gt;=109),"10."&amp;Eingabe!$D$15&amp;".109.1","")</f>
        <v/>
      </c>
      <c r="H1329" s="17" t="str">
        <f aca="false">IF(AND(Eingabe!$F$15&gt;0,Eingabe!$E$15&gt;=109),"10."&amp;Eingabe!$D$15&amp;".109.10 – 10."&amp;Eingabe!$D$15&amp;".109.250","")</f>
        <v/>
      </c>
      <c r="I1329" s="17" t="str">
        <f aca="false">IF(AND(Eingabe!$F$15&gt;0,Eingabe!$E$15&gt;=109),Eingabe!$B$6&amp;"-"&amp;Eingabe!$C$15&amp;"-Pächter","")</f>
        <v/>
      </c>
      <c r="J1329" s="17" t="str">
        <f aca="false">IF(AND(Eingabe!$F$15&gt;0,Eingabe!$E$15&gt;=109),"PPSK: Passwort Parzelle 109","")</f>
        <v/>
      </c>
      <c r="K1329" s="17" t="str">
        <f aca="false">IF(AND(Eingabe!$F$15&gt;0,Eingabe!$E$15&gt;=109),"1. Gerät: 10."&amp;Eingabe!$D$15&amp;".109.10, 2. Gerät: .11","")</f>
        <v/>
      </c>
    </row>
    <row r="1330" customFormat="false" ht="15" hidden="false" customHeight="false" outlineLevel="0" collapsed="false">
      <c r="A1330" s="17" t="str">
        <f aca="false">IF(AND(Eingabe!$F$15&gt;0,Eingabe!$E$15&gt;=110),7,"")</f>
        <v/>
      </c>
      <c r="B1330" s="17" t="str">
        <f aca="false">IF(AND(Eingabe!$F$15&gt;0,Eingabe!$E$15&gt;=110),Eingabe!$B$15,"")</f>
        <v/>
      </c>
      <c r="C1330" s="17" t="str">
        <f aca="false">IF(AND(Eingabe!$F$15&gt;0,Eingabe!$E$15&gt;=110),Eingabe!$C$15&amp;"-Paz."&amp;TEXT(110,"000"),"")</f>
        <v/>
      </c>
      <c r="D1330" s="17" t="str">
        <f aca="false">IF(AND(Eingabe!$F$15&gt;0,Eingabe!$E$15&gt;=110),110,"")</f>
        <v/>
      </c>
      <c r="E1330" s="17" t="str">
        <f aca="false">IF(AND(Eingabe!$F$15&gt;0,Eingabe!$E$15&gt;=110),IF((Eingabe!$G$15+1)&lt;=9,1000+(Eingabe!$G$15+1)*100,3000)+10,"")</f>
        <v/>
      </c>
      <c r="F1330" s="17" t="str">
        <f aca="false">IF(AND(Eingabe!$F$15&gt;0,Eingabe!$E$15&gt;=110),"10."&amp;Eingabe!$D$15&amp;".110.0/24","")</f>
        <v/>
      </c>
      <c r="G1330" s="17" t="str">
        <f aca="false">IF(AND(Eingabe!$F$15&gt;0,Eingabe!$E$15&gt;=110),"10."&amp;Eingabe!$D$15&amp;".110.1","")</f>
        <v/>
      </c>
      <c r="H1330" s="17" t="str">
        <f aca="false">IF(AND(Eingabe!$F$15&gt;0,Eingabe!$E$15&gt;=110),"10."&amp;Eingabe!$D$15&amp;".110.10 – 10."&amp;Eingabe!$D$15&amp;".110.250","")</f>
        <v/>
      </c>
      <c r="I1330" s="17" t="str">
        <f aca="false">IF(AND(Eingabe!$F$15&gt;0,Eingabe!$E$15&gt;=110),Eingabe!$B$6&amp;"-"&amp;Eingabe!$C$15&amp;"-Pächter","")</f>
        <v/>
      </c>
      <c r="J1330" s="17" t="str">
        <f aca="false">IF(AND(Eingabe!$F$15&gt;0,Eingabe!$E$15&gt;=110),"PPSK: Passwort Parzelle 110","")</f>
        <v/>
      </c>
      <c r="K1330" s="17" t="str">
        <f aca="false">IF(AND(Eingabe!$F$15&gt;0,Eingabe!$E$15&gt;=110),"1. Gerät: 10."&amp;Eingabe!$D$15&amp;".110.10, 2. Gerät: .11","")</f>
        <v/>
      </c>
    </row>
    <row r="1331" customFormat="false" ht="15" hidden="false" customHeight="false" outlineLevel="0" collapsed="false">
      <c r="A1331" s="17" t="str">
        <f aca="false">IF(AND(Eingabe!$F$15&gt;0,Eingabe!$E$15&gt;=111),7,"")</f>
        <v/>
      </c>
      <c r="B1331" s="17" t="str">
        <f aca="false">IF(AND(Eingabe!$F$15&gt;0,Eingabe!$E$15&gt;=111),Eingabe!$B$15,"")</f>
        <v/>
      </c>
      <c r="C1331" s="17" t="str">
        <f aca="false">IF(AND(Eingabe!$F$15&gt;0,Eingabe!$E$15&gt;=111),Eingabe!$C$15&amp;"-Paz."&amp;TEXT(111,"000"),"")</f>
        <v/>
      </c>
      <c r="D1331" s="17" t="str">
        <f aca="false">IF(AND(Eingabe!$F$15&gt;0,Eingabe!$E$15&gt;=111),111,"")</f>
        <v/>
      </c>
      <c r="E1331" s="17" t="str">
        <f aca="false">IF(AND(Eingabe!$F$15&gt;0,Eingabe!$E$15&gt;=111),IF((Eingabe!$G$15+1)&lt;=9,1000+(Eingabe!$G$15+1)*100,3000)+11,"")</f>
        <v/>
      </c>
      <c r="F1331" s="17" t="str">
        <f aca="false">IF(AND(Eingabe!$F$15&gt;0,Eingabe!$E$15&gt;=111),"10."&amp;Eingabe!$D$15&amp;".111.0/24","")</f>
        <v/>
      </c>
      <c r="G1331" s="17" t="str">
        <f aca="false">IF(AND(Eingabe!$F$15&gt;0,Eingabe!$E$15&gt;=111),"10."&amp;Eingabe!$D$15&amp;".111.1","")</f>
        <v/>
      </c>
      <c r="H1331" s="17" t="str">
        <f aca="false">IF(AND(Eingabe!$F$15&gt;0,Eingabe!$E$15&gt;=111),"10."&amp;Eingabe!$D$15&amp;".111.10 – 10."&amp;Eingabe!$D$15&amp;".111.250","")</f>
        <v/>
      </c>
      <c r="I1331" s="17" t="str">
        <f aca="false">IF(AND(Eingabe!$F$15&gt;0,Eingabe!$E$15&gt;=111),Eingabe!$B$6&amp;"-"&amp;Eingabe!$C$15&amp;"-Pächter","")</f>
        <v/>
      </c>
      <c r="J1331" s="17" t="str">
        <f aca="false">IF(AND(Eingabe!$F$15&gt;0,Eingabe!$E$15&gt;=111),"PPSK: Passwort Parzelle 111","")</f>
        <v/>
      </c>
      <c r="K1331" s="17" t="str">
        <f aca="false">IF(AND(Eingabe!$F$15&gt;0,Eingabe!$E$15&gt;=111),"1. Gerät: 10."&amp;Eingabe!$D$15&amp;".111.10, 2. Gerät: .11","")</f>
        <v/>
      </c>
    </row>
    <row r="1332" customFormat="false" ht="15" hidden="false" customHeight="false" outlineLevel="0" collapsed="false">
      <c r="A1332" s="17" t="str">
        <f aca="false">IF(AND(Eingabe!$F$15&gt;0,Eingabe!$E$15&gt;=112),7,"")</f>
        <v/>
      </c>
      <c r="B1332" s="17" t="str">
        <f aca="false">IF(AND(Eingabe!$F$15&gt;0,Eingabe!$E$15&gt;=112),Eingabe!$B$15,"")</f>
        <v/>
      </c>
      <c r="C1332" s="17" t="str">
        <f aca="false">IF(AND(Eingabe!$F$15&gt;0,Eingabe!$E$15&gt;=112),Eingabe!$C$15&amp;"-Paz."&amp;TEXT(112,"000"),"")</f>
        <v/>
      </c>
      <c r="D1332" s="17" t="str">
        <f aca="false">IF(AND(Eingabe!$F$15&gt;0,Eingabe!$E$15&gt;=112),112,"")</f>
        <v/>
      </c>
      <c r="E1332" s="17" t="str">
        <f aca="false">IF(AND(Eingabe!$F$15&gt;0,Eingabe!$E$15&gt;=112),IF((Eingabe!$G$15+1)&lt;=9,1000+(Eingabe!$G$15+1)*100,3000)+12,"")</f>
        <v/>
      </c>
      <c r="F1332" s="17" t="str">
        <f aca="false">IF(AND(Eingabe!$F$15&gt;0,Eingabe!$E$15&gt;=112),"10."&amp;Eingabe!$D$15&amp;".112.0/24","")</f>
        <v/>
      </c>
      <c r="G1332" s="17" t="str">
        <f aca="false">IF(AND(Eingabe!$F$15&gt;0,Eingabe!$E$15&gt;=112),"10."&amp;Eingabe!$D$15&amp;".112.1","")</f>
        <v/>
      </c>
      <c r="H1332" s="17" t="str">
        <f aca="false">IF(AND(Eingabe!$F$15&gt;0,Eingabe!$E$15&gt;=112),"10."&amp;Eingabe!$D$15&amp;".112.10 – 10."&amp;Eingabe!$D$15&amp;".112.250","")</f>
        <v/>
      </c>
      <c r="I1332" s="17" t="str">
        <f aca="false">IF(AND(Eingabe!$F$15&gt;0,Eingabe!$E$15&gt;=112),Eingabe!$B$6&amp;"-"&amp;Eingabe!$C$15&amp;"-Pächter","")</f>
        <v/>
      </c>
      <c r="J1332" s="17" t="str">
        <f aca="false">IF(AND(Eingabe!$F$15&gt;0,Eingabe!$E$15&gt;=112),"PPSK: Passwort Parzelle 112","")</f>
        <v/>
      </c>
      <c r="K1332" s="17" t="str">
        <f aca="false">IF(AND(Eingabe!$F$15&gt;0,Eingabe!$E$15&gt;=112),"1. Gerät: 10."&amp;Eingabe!$D$15&amp;".112.10, 2. Gerät: .11","")</f>
        <v/>
      </c>
    </row>
    <row r="1333" customFormat="false" ht="15" hidden="false" customHeight="false" outlineLevel="0" collapsed="false">
      <c r="A1333" s="17" t="str">
        <f aca="false">IF(AND(Eingabe!$F$15&gt;0,Eingabe!$E$15&gt;=113),7,"")</f>
        <v/>
      </c>
      <c r="B1333" s="17" t="str">
        <f aca="false">IF(AND(Eingabe!$F$15&gt;0,Eingabe!$E$15&gt;=113),Eingabe!$B$15,"")</f>
        <v/>
      </c>
      <c r="C1333" s="17" t="str">
        <f aca="false">IF(AND(Eingabe!$F$15&gt;0,Eingabe!$E$15&gt;=113),Eingabe!$C$15&amp;"-Paz."&amp;TEXT(113,"000"),"")</f>
        <v/>
      </c>
      <c r="D1333" s="17" t="str">
        <f aca="false">IF(AND(Eingabe!$F$15&gt;0,Eingabe!$E$15&gt;=113),113,"")</f>
        <v/>
      </c>
      <c r="E1333" s="17" t="str">
        <f aca="false">IF(AND(Eingabe!$F$15&gt;0,Eingabe!$E$15&gt;=113),IF((Eingabe!$G$15+1)&lt;=9,1000+(Eingabe!$G$15+1)*100,3000)+13,"")</f>
        <v/>
      </c>
      <c r="F1333" s="17" t="str">
        <f aca="false">IF(AND(Eingabe!$F$15&gt;0,Eingabe!$E$15&gt;=113),"10."&amp;Eingabe!$D$15&amp;".113.0/24","")</f>
        <v/>
      </c>
      <c r="G1333" s="17" t="str">
        <f aca="false">IF(AND(Eingabe!$F$15&gt;0,Eingabe!$E$15&gt;=113),"10."&amp;Eingabe!$D$15&amp;".113.1","")</f>
        <v/>
      </c>
      <c r="H1333" s="17" t="str">
        <f aca="false">IF(AND(Eingabe!$F$15&gt;0,Eingabe!$E$15&gt;=113),"10."&amp;Eingabe!$D$15&amp;".113.10 – 10."&amp;Eingabe!$D$15&amp;".113.250","")</f>
        <v/>
      </c>
      <c r="I1333" s="17" t="str">
        <f aca="false">IF(AND(Eingabe!$F$15&gt;0,Eingabe!$E$15&gt;=113),Eingabe!$B$6&amp;"-"&amp;Eingabe!$C$15&amp;"-Pächter","")</f>
        <v/>
      </c>
      <c r="J1333" s="17" t="str">
        <f aca="false">IF(AND(Eingabe!$F$15&gt;0,Eingabe!$E$15&gt;=113),"PPSK: Passwort Parzelle 113","")</f>
        <v/>
      </c>
      <c r="K1333" s="17" t="str">
        <f aca="false">IF(AND(Eingabe!$F$15&gt;0,Eingabe!$E$15&gt;=113),"1. Gerät: 10."&amp;Eingabe!$D$15&amp;".113.10, 2. Gerät: .11","")</f>
        <v/>
      </c>
    </row>
    <row r="1334" customFormat="false" ht="15" hidden="false" customHeight="false" outlineLevel="0" collapsed="false">
      <c r="A1334" s="17" t="str">
        <f aca="false">IF(AND(Eingabe!$F$15&gt;0,Eingabe!$E$15&gt;=114),7,"")</f>
        <v/>
      </c>
      <c r="B1334" s="17" t="str">
        <f aca="false">IF(AND(Eingabe!$F$15&gt;0,Eingabe!$E$15&gt;=114),Eingabe!$B$15,"")</f>
        <v/>
      </c>
      <c r="C1334" s="17" t="str">
        <f aca="false">IF(AND(Eingabe!$F$15&gt;0,Eingabe!$E$15&gt;=114),Eingabe!$C$15&amp;"-Paz."&amp;TEXT(114,"000"),"")</f>
        <v/>
      </c>
      <c r="D1334" s="17" t="str">
        <f aca="false">IF(AND(Eingabe!$F$15&gt;0,Eingabe!$E$15&gt;=114),114,"")</f>
        <v/>
      </c>
      <c r="E1334" s="17" t="str">
        <f aca="false">IF(AND(Eingabe!$F$15&gt;0,Eingabe!$E$15&gt;=114),IF((Eingabe!$G$15+1)&lt;=9,1000+(Eingabe!$G$15+1)*100,3000)+14,"")</f>
        <v/>
      </c>
      <c r="F1334" s="17" t="str">
        <f aca="false">IF(AND(Eingabe!$F$15&gt;0,Eingabe!$E$15&gt;=114),"10."&amp;Eingabe!$D$15&amp;".114.0/24","")</f>
        <v/>
      </c>
      <c r="G1334" s="17" t="str">
        <f aca="false">IF(AND(Eingabe!$F$15&gt;0,Eingabe!$E$15&gt;=114),"10."&amp;Eingabe!$D$15&amp;".114.1","")</f>
        <v/>
      </c>
      <c r="H1334" s="17" t="str">
        <f aca="false">IF(AND(Eingabe!$F$15&gt;0,Eingabe!$E$15&gt;=114),"10."&amp;Eingabe!$D$15&amp;".114.10 – 10."&amp;Eingabe!$D$15&amp;".114.250","")</f>
        <v/>
      </c>
      <c r="I1334" s="17" t="str">
        <f aca="false">IF(AND(Eingabe!$F$15&gt;0,Eingabe!$E$15&gt;=114),Eingabe!$B$6&amp;"-"&amp;Eingabe!$C$15&amp;"-Pächter","")</f>
        <v/>
      </c>
      <c r="J1334" s="17" t="str">
        <f aca="false">IF(AND(Eingabe!$F$15&gt;0,Eingabe!$E$15&gt;=114),"PPSK: Passwort Parzelle 114","")</f>
        <v/>
      </c>
      <c r="K1334" s="17" t="str">
        <f aca="false">IF(AND(Eingabe!$F$15&gt;0,Eingabe!$E$15&gt;=114),"1. Gerät: 10."&amp;Eingabe!$D$15&amp;".114.10, 2. Gerät: .11","")</f>
        <v/>
      </c>
    </row>
    <row r="1335" customFormat="false" ht="15" hidden="false" customHeight="false" outlineLevel="0" collapsed="false">
      <c r="A1335" s="17" t="str">
        <f aca="false">IF(AND(Eingabe!$F$15&gt;0,Eingabe!$E$15&gt;=115),7,"")</f>
        <v/>
      </c>
      <c r="B1335" s="17" t="str">
        <f aca="false">IF(AND(Eingabe!$F$15&gt;0,Eingabe!$E$15&gt;=115),Eingabe!$B$15,"")</f>
        <v/>
      </c>
      <c r="C1335" s="17" t="str">
        <f aca="false">IF(AND(Eingabe!$F$15&gt;0,Eingabe!$E$15&gt;=115),Eingabe!$C$15&amp;"-Paz."&amp;TEXT(115,"000"),"")</f>
        <v/>
      </c>
      <c r="D1335" s="17" t="str">
        <f aca="false">IF(AND(Eingabe!$F$15&gt;0,Eingabe!$E$15&gt;=115),115,"")</f>
        <v/>
      </c>
      <c r="E1335" s="17" t="str">
        <f aca="false">IF(AND(Eingabe!$F$15&gt;0,Eingabe!$E$15&gt;=115),IF((Eingabe!$G$15+1)&lt;=9,1000+(Eingabe!$G$15+1)*100,3000)+15,"")</f>
        <v/>
      </c>
      <c r="F1335" s="17" t="str">
        <f aca="false">IF(AND(Eingabe!$F$15&gt;0,Eingabe!$E$15&gt;=115),"10."&amp;Eingabe!$D$15&amp;".115.0/24","")</f>
        <v/>
      </c>
      <c r="G1335" s="17" t="str">
        <f aca="false">IF(AND(Eingabe!$F$15&gt;0,Eingabe!$E$15&gt;=115),"10."&amp;Eingabe!$D$15&amp;".115.1","")</f>
        <v/>
      </c>
      <c r="H1335" s="17" t="str">
        <f aca="false">IF(AND(Eingabe!$F$15&gt;0,Eingabe!$E$15&gt;=115),"10."&amp;Eingabe!$D$15&amp;".115.10 – 10."&amp;Eingabe!$D$15&amp;".115.250","")</f>
        <v/>
      </c>
      <c r="I1335" s="17" t="str">
        <f aca="false">IF(AND(Eingabe!$F$15&gt;0,Eingabe!$E$15&gt;=115),Eingabe!$B$6&amp;"-"&amp;Eingabe!$C$15&amp;"-Pächter","")</f>
        <v/>
      </c>
      <c r="J1335" s="17" t="str">
        <f aca="false">IF(AND(Eingabe!$F$15&gt;0,Eingabe!$E$15&gt;=115),"PPSK: Passwort Parzelle 115","")</f>
        <v/>
      </c>
      <c r="K1335" s="17" t="str">
        <f aca="false">IF(AND(Eingabe!$F$15&gt;0,Eingabe!$E$15&gt;=115),"1. Gerät: 10."&amp;Eingabe!$D$15&amp;".115.10, 2. Gerät: .11","")</f>
        <v/>
      </c>
    </row>
    <row r="1336" customFormat="false" ht="15" hidden="false" customHeight="false" outlineLevel="0" collapsed="false">
      <c r="A1336" s="17" t="str">
        <f aca="false">IF(AND(Eingabe!$F$15&gt;0,Eingabe!$E$15&gt;=116),7,"")</f>
        <v/>
      </c>
      <c r="B1336" s="17" t="str">
        <f aca="false">IF(AND(Eingabe!$F$15&gt;0,Eingabe!$E$15&gt;=116),Eingabe!$B$15,"")</f>
        <v/>
      </c>
      <c r="C1336" s="17" t="str">
        <f aca="false">IF(AND(Eingabe!$F$15&gt;0,Eingabe!$E$15&gt;=116),Eingabe!$C$15&amp;"-Paz."&amp;TEXT(116,"000"),"")</f>
        <v/>
      </c>
      <c r="D1336" s="17" t="str">
        <f aca="false">IF(AND(Eingabe!$F$15&gt;0,Eingabe!$E$15&gt;=116),116,"")</f>
        <v/>
      </c>
      <c r="E1336" s="17" t="str">
        <f aca="false">IF(AND(Eingabe!$F$15&gt;0,Eingabe!$E$15&gt;=116),IF((Eingabe!$G$15+1)&lt;=9,1000+(Eingabe!$G$15+1)*100,3000)+16,"")</f>
        <v/>
      </c>
      <c r="F1336" s="17" t="str">
        <f aca="false">IF(AND(Eingabe!$F$15&gt;0,Eingabe!$E$15&gt;=116),"10."&amp;Eingabe!$D$15&amp;".116.0/24","")</f>
        <v/>
      </c>
      <c r="G1336" s="17" t="str">
        <f aca="false">IF(AND(Eingabe!$F$15&gt;0,Eingabe!$E$15&gt;=116),"10."&amp;Eingabe!$D$15&amp;".116.1","")</f>
        <v/>
      </c>
      <c r="H1336" s="17" t="str">
        <f aca="false">IF(AND(Eingabe!$F$15&gt;0,Eingabe!$E$15&gt;=116),"10."&amp;Eingabe!$D$15&amp;".116.10 – 10."&amp;Eingabe!$D$15&amp;".116.250","")</f>
        <v/>
      </c>
      <c r="I1336" s="17" t="str">
        <f aca="false">IF(AND(Eingabe!$F$15&gt;0,Eingabe!$E$15&gt;=116),Eingabe!$B$6&amp;"-"&amp;Eingabe!$C$15&amp;"-Pächter","")</f>
        <v/>
      </c>
      <c r="J1336" s="17" t="str">
        <f aca="false">IF(AND(Eingabe!$F$15&gt;0,Eingabe!$E$15&gt;=116),"PPSK: Passwort Parzelle 116","")</f>
        <v/>
      </c>
      <c r="K1336" s="17" t="str">
        <f aca="false">IF(AND(Eingabe!$F$15&gt;0,Eingabe!$E$15&gt;=116),"1. Gerät: 10."&amp;Eingabe!$D$15&amp;".116.10, 2. Gerät: .11","")</f>
        <v/>
      </c>
    </row>
    <row r="1337" customFormat="false" ht="15" hidden="false" customHeight="false" outlineLevel="0" collapsed="false">
      <c r="A1337" s="17" t="str">
        <f aca="false">IF(AND(Eingabe!$F$15&gt;0,Eingabe!$E$15&gt;=117),7,"")</f>
        <v/>
      </c>
      <c r="B1337" s="17" t="str">
        <f aca="false">IF(AND(Eingabe!$F$15&gt;0,Eingabe!$E$15&gt;=117),Eingabe!$B$15,"")</f>
        <v/>
      </c>
      <c r="C1337" s="17" t="str">
        <f aca="false">IF(AND(Eingabe!$F$15&gt;0,Eingabe!$E$15&gt;=117),Eingabe!$C$15&amp;"-Paz."&amp;TEXT(117,"000"),"")</f>
        <v/>
      </c>
      <c r="D1337" s="17" t="str">
        <f aca="false">IF(AND(Eingabe!$F$15&gt;0,Eingabe!$E$15&gt;=117),117,"")</f>
        <v/>
      </c>
      <c r="E1337" s="17" t="str">
        <f aca="false">IF(AND(Eingabe!$F$15&gt;0,Eingabe!$E$15&gt;=117),IF((Eingabe!$G$15+1)&lt;=9,1000+(Eingabe!$G$15+1)*100,3000)+17,"")</f>
        <v/>
      </c>
      <c r="F1337" s="17" t="str">
        <f aca="false">IF(AND(Eingabe!$F$15&gt;0,Eingabe!$E$15&gt;=117),"10."&amp;Eingabe!$D$15&amp;".117.0/24","")</f>
        <v/>
      </c>
      <c r="G1337" s="17" t="str">
        <f aca="false">IF(AND(Eingabe!$F$15&gt;0,Eingabe!$E$15&gt;=117),"10."&amp;Eingabe!$D$15&amp;".117.1","")</f>
        <v/>
      </c>
      <c r="H1337" s="17" t="str">
        <f aca="false">IF(AND(Eingabe!$F$15&gt;0,Eingabe!$E$15&gt;=117),"10."&amp;Eingabe!$D$15&amp;".117.10 – 10."&amp;Eingabe!$D$15&amp;".117.250","")</f>
        <v/>
      </c>
      <c r="I1337" s="17" t="str">
        <f aca="false">IF(AND(Eingabe!$F$15&gt;0,Eingabe!$E$15&gt;=117),Eingabe!$B$6&amp;"-"&amp;Eingabe!$C$15&amp;"-Pächter","")</f>
        <v/>
      </c>
      <c r="J1337" s="17" t="str">
        <f aca="false">IF(AND(Eingabe!$F$15&gt;0,Eingabe!$E$15&gt;=117),"PPSK: Passwort Parzelle 117","")</f>
        <v/>
      </c>
      <c r="K1337" s="17" t="str">
        <f aca="false">IF(AND(Eingabe!$F$15&gt;0,Eingabe!$E$15&gt;=117),"1. Gerät: 10."&amp;Eingabe!$D$15&amp;".117.10, 2. Gerät: .11","")</f>
        <v/>
      </c>
    </row>
    <row r="1338" customFormat="false" ht="15" hidden="false" customHeight="false" outlineLevel="0" collapsed="false">
      <c r="A1338" s="17" t="str">
        <f aca="false">IF(AND(Eingabe!$F$15&gt;0,Eingabe!$E$15&gt;=118),7,"")</f>
        <v/>
      </c>
      <c r="B1338" s="17" t="str">
        <f aca="false">IF(AND(Eingabe!$F$15&gt;0,Eingabe!$E$15&gt;=118),Eingabe!$B$15,"")</f>
        <v/>
      </c>
      <c r="C1338" s="17" t="str">
        <f aca="false">IF(AND(Eingabe!$F$15&gt;0,Eingabe!$E$15&gt;=118),Eingabe!$C$15&amp;"-Paz."&amp;TEXT(118,"000"),"")</f>
        <v/>
      </c>
      <c r="D1338" s="17" t="str">
        <f aca="false">IF(AND(Eingabe!$F$15&gt;0,Eingabe!$E$15&gt;=118),118,"")</f>
        <v/>
      </c>
      <c r="E1338" s="17" t="str">
        <f aca="false">IF(AND(Eingabe!$F$15&gt;0,Eingabe!$E$15&gt;=118),IF((Eingabe!$G$15+1)&lt;=9,1000+(Eingabe!$G$15+1)*100,3000)+18,"")</f>
        <v/>
      </c>
      <c r="F1338" s="17" t="str">
        <f aca="false">IF(AND(Eingabe!$F$15&gt;0,Eingabe!$E$15&gt;=118),"10."&amp;Eingabe!$D$15&amp;".118.0/24","")</f>
        <v/>
      </c>
      <c r="G1338" s="17" t="str">
        <f aca="false">IF(AND(Eingabe!$F$15&gt;0,Eingabe!$E$15&gt;=118),"10."&amp;Eingabe!$D$15&amp;".118.1","")</f>
        <v/>
      </c>
      <c r="H1338" s="17" t="str">
        <f aca="false">IF(AND(Eingabe!$F$15&gt;0,Eingabe!$E$15&gt;=118),"10."&amp;Eingabe!$D$15&amp;".118.10 – 10."&amp;Eingabe!$D$15&amp;".118.250","")</f>
        <v/>
      </c>
      <c r="I1338" s="17" t="str">
        <f aca="false">IF(AND(Eingabe!$F$15&gt;0,Eingabe!$E$15&gt;=118),Eingabe!$B$6&amp;"-"&amp;Eingabe!$C$15&amp;"-Pächter","")</f>
        <v/>
      </c>
      <c r="J1338" s="17" t="str">
        <f aca="false">IF(AND(Eingabe!$F$15&gt;0,Eingabe!$E$15&gt;=118),"PPSK: Passwort Parzelle 118","")</f>
        <v/>
      </c>
      <c r="K1338" s="17" t="str">
        <f aca="false">IF(AND(Eingabe!$F$15&gt;0,Eingabe!$E$15&gt;=118),"1. Gerät: 10."&amp;Eingabe!$D$15&amp;".118.10, 2. Gerät: .11","")</f>
        <v/>
      </c>
    </row>
    <row r="1339" customFormat="false" ht="15" hidden="false" customHeight="false" outlineLevel="0" collapsed="false">
      <c r="A1339" s="17" t="str">
        <f aca="false">IF(AND(Eingabe!$F$15&gt;0,Eingabe!$E$15&gt;=119),7,"")</f>
        <v/>
      </c>
      <c r="B1339" s="17" t="str">
        <f aca="false">IF(AND(Eingabe!$F$15&gt;0,Eingabe!$E$15&gt;=119),Eingabe!$B$15,"")</f>
        <v/>
      </c>
      <c r="C1339" s="17" t="str">
        <f aca="false">IF(AND(Eingabe!$F$15&gt;0,Eingabe!$E$15&gt;=119),Eingabe!$C$15&amp;"-Paz."&amp;TEXT(119,"000"),"")</f>
        <v/>
      </c>
      <c r="D1339" s="17" t="str">
        <f aca="false">IF(AND(Eingabe!$F$15&gt;0,Eingabe!$E$15&gt;=119),119,"")</f>
        <v/>
      </c>
      <c r="E1339" s="17" t="str">
        <f aca="false">IF(AND(Eingabe!$F$15&gt;0,Eingabe!$E$15&gt;=119),IF((Eingabe!$G$15+1)&lt;=9,1000+(Eingabe!$G$15+1)*100,3000)+19,"")</f>
        <v/>
      </c>
      <c r="F1339" s="17" t="str">
        <f aca="false">IF(AND(Eingabe!$F$15&gt;0,Eingabe!$E$15&gt;=119),"10."&amp;Eingabe!$D$15&amp;".119.0/24","")</f>
        <v/>
      </c>
      <c r="G1339" s="17" t="str">
        <f aca="false">IF(AND(Eingabe!$F$15&gt;0,Eingabe!$E$15&gt;=119),"10."&amp;Eingabe!$D$15&amp;".119.1","")</f>
        <v/>
      </c>
      <c r="H1339" s="17" t="str">
        <f aca="false">IF(AND(Eingabe!$F$15&gt;0,Eingabe!$E$15&gt;=119),"10."&amp;Eingabe!$D$15&amp;".119.10 – 10."&amp;Eingabe!$D$15&amp;".119.250","")</f>
        <v/>
      </c>
      <c r="I1339" s="17" t="str">
        <f aca="false">IF(AND(Eingabe!$F$15&gt;0,Eingabe!$E$15&gt;=119),Eingabe!$B$6&amp;"-"&amp;Eingabe!$C$15&amp;"-Pächter","")</f>
        <v/>
      </c>
      <c r="J1339" s="17" t="str">
        <f aca="false">IF(AND(Eingabe!$F$15&gt;0,Eingabe!$E$15&gt;=119),"PPSK: Passwort Parzelle 119","")</f>
        <v/>
      </c>
      <c r="K1339" s="17" t="str">
        <f aca="false">IF(AND(Eingabe!$F$15&gt;0,Eingabe!$E$15&gt;=119),"1. Gerät: 10."&amp;Eingabe!$D$15&amp;".119.10, 2. Gerät: .11","")</f>
        <v/>
      </c>
    </row>
    <row r="1340" customFormat="false" ht="15" hidden="false" customHeight="false" outlineLevel="0" collapsed="false">
      <c r="A1340" s="17" t="str">
        <f aca="false">IF(AND(Eingabe!$F$15&gt;0,Eingabe!$E$15&gt;=120),7,"")</f>
        <v/>
      </c>
      <c r="B1340" s="17" t="str">
        <f aca="false">IF(AND(Eingabe!$F$15&gt;0,Eingabe!$E$15&gt;=120),Eingabe!$B$15,"")</f>
        <v/>
      </c>
      <c r="C1340" s="17" t="str">
        <f aca="false">IF(AND(Eingabe!$F$15&gt;0,Eingabe!$E$15&gt;=120),Eingabe!$C$15&amp;"-Paz."&amp;TEXT(120,"000"),"")</f>
        <v/>
      </c>
      <c r="D1340" s="17" t="str">
        <f aca="false">IF(AND(Eingabe!$F$15&gt;0,Eingabe!$E$15&gt;=120),120,"")</f>
        <v/>
      </c>
      <c r="E1340" s="17" t="str">
        <f aca="false">IF(AND(Eingabe!$F$15&gt;0,Eingabe!$E$15&gt;=120),IF((Eingabe!$G$15+1)&lt;=9,1000+(Eingabe!$G$15+1)*100,3000)+20,"")</f>
        <v/>
      </c>
      <c r="F1340" s="17" t="str">
        <f aca="false">IF(AND(Eingabe!$F$15&gt;0,Eingabe!$E$15&gt;=120),"10."&amp;Eingabe!$D$15&amp;".120.0/24","")</f>
        <v/>
      </c>
      <c r="G1340" s="17" t="str">
        <f aca="false">IF(AND(Eingabe!$F$15&gt;0,Eingabe!$E$15&gt;=120),"10."&amp;Eingabe!$D$15&amp;".120.1","")</f>
        <v/>
      </c>
      <c r="H1340" s="17" t="str">
        <f aca="false">IF(AND(Eingabe!$F$15&gt;0,Eingabe!$E$15&gt;=120),"10."&amp;Eingabe!$D$15&amp;".120.10 – 10."&amp;Eingabe!$D$15&amp;".120.250","")</f>
        <v/>
      </c>
      <c r="I1340" s="17" t="str">
        <f aca="false">IF(AND(Eingabe!$F$15&gt;0,Eingabe!$E$15&gt;=120),Eingabe!$B$6&amp;"-"&amp;Eingabe!$C$15&amp;"-Pächter","")</f>
        <v/>
      </c>
      <c r="J1340" s="17" t="str">
        <f aca="false">IF(AND(Eingabe!$F$15&gt;0,Eingabe!$E$15&gt;=120),"PPSK: Passwort Parzelle 120","")</f>
        <v/>
      </c>
      <c r="K1340" s="17" t="str">
        <f aca="false">IF(AND(Eingabe!$F$15&gt;0,Eingabe!$E$15&gt;=120),"1. Gerät: 10."&amp;Eingabe!$D$15&amp;".120.10, 2. Gerät: .11","")</f>
        <v/>
      </c>
    </row>
    <row r="1341" customFormat="false" ht="15" hidden="false" customHeight="false" outlineLevel="0" collapsed="false">
      <c r="A1341" s="17" t="str">
        <f aca="false">IF(AND(Eingabe!$F$15&gt;0,Eingabe!$E$15&gt;=121),7,"")</f>
        <v/>
      </c>
      <c r="B1341" s="17" t="str">
        <f aca="false">IF(AND(Eingabe!$F$15&gt;0,Eingabe!$E$15&gt;=121),Eingabe!$B$15,"")</f>
        <v/>
      </c>
      <c r="C1341" s="17" t="str">
        <f aca="false">IF(AND(Eingabe!$F$15&gt;0,Eingabe!$E$15&gt;=121),Eingabe!$C$15&amp;"-Paz."&amp;TEXT(121,"000"),"")</f>
        <v/>
      </c>
      <c r="D1341" s="17" t="str">
        <f aca="false">IF(AND(Eingabe!$F$15&gt;0,Eingabe!$E$15&gt;=121),121,"")</f>
        <v/>
      </c>
      <c r="E1341" s="17" t="str">
        <f aca="false">IF(AND(Eingabe!$F$15&gt;0,Eingabe!$E$15&gt;=121),IF((Eingabe!$G$15+1)&lt;=9,1000+(Eingabe!$G$15+1)*100,3000)+21,"")</f>
        <v/>
      </c>
      <c r="F1341" s="17" t="str">
        <f aca="false">IF(AND(Eingabe!$F$15&gt;0,Eingabe!$E$15&gt;=121),"10."&amp;Eingabe!$D$15&amp;".121.0/24","")</f>
        <v/>
      </c>
      <c r="G1341" s="17" t="str">
        <f aca="false">IF(AND(Eingabe!$F$15&gt;0,Eingabe!$E$15&gt;=121),"10."&amp;Eingabe!$D$15&amp;".121.1","")</f>
        <v/>
      </c>
      <c r="H1341" s="17" t="str">
        <f aca="false">IF(AND(Eingabe!$F$15&gt;0,Eingabe!$E$15&gt;=121),"10."&amp;Eingabe!$D$15&amp;".121.10 – 10."&amp;Eingabe!$D$15&amp;".121.250","")</f>
        <v/>
      </c>
      <c r="I1341" s="17" t="str">
        <f aca="false">IF(AND(Eingabe!$F$15&gt;0,Eingabe!$E$15&gt;=121),Eingabe!$B$6&amp;"-"&amp;Eingabe!$C$15&amp;"-Pächter","")</f>
        <v/>
      </c>
      <c r="J1341" s="17" t="str">
        <f aca="false">IF(AND(Eingabe!$F$15&gt;0,Eingabe!$E$15&gt;=121),"PPSK: Passwort Parzelle 121","")</f>
        <v/>
      </c>
      <c r="K1341" s="17" t="str">
        <f aca="false">IF(AND(Eingabe!$F$15&gt;0,Eingabe!$E$15&gt;=121),"1. Gerät: 10."&amp;Eingabe!$D$15&amp;".121.10, 2. Gerät: .11","")</f>
        <v/>
      </c>
    </row>
    <row r="1342" customFormat="false" ht="15" hidden="false" customHeight="false" outlineLevel="0" collapsed="false">
      <c r="A1342" s="17" t="str">
        <f aca="false">IF(AND(Eingabe!$F$15&gt;0,Eingabe!$E$15&gt;=122),7,"")</f>
        <v/>
      </c>
      <c r="B1342" s="17" t="str">
        <f aca="false">IF(AND(Eingabe!$F$15&gt;0,Eingabe!$E$15&gt;=122),Eingabe!$B$15,"")</f>
        <v/>
      </c>
      <c r="C1342" s="17" t="str">
        <f aca="false">IF(AND(Eingabe!$F$15&gt;0,Eingabe!$E$15&gt;=122),Eingabe!$C$15&amp;"-Paz."&amp;TEXT(122,"000"),"")</f>
        <v/>
      </c>
      <c r="D1342" s="17" t="str">
        <f aca="false">IF(AND(Eingabe!$F$15&gt;0,Eingabe!$E$15&gt;=122),122,"")</f>
        <v/>
      </c>
      <c r="E1342" s="17" t="str">
        <f aca="false">IF(AND(Eingabe!$F$15&gt;0,Eingabe!$E$15&gt;=122),IF((Eingabe!$G$15+1)&lt;=9,1000+(Eingabe!$G$15+1)*100,3000)+22,"")</f>
        <v/>
      </c>
      <c r="F1342" s="17" t="str">
        <f aca="false">IF(AND(Eingabe!$F$15&gt;0,Eingabe!$E$15&gt;=122),"10."&amp;Eingabe!$D$15&amp;".122.0/24","")</f>
        <v/>
      </c>
      <c r="G1342" s="17" t="str">
        <f aca="false">IF(AND(Eingabe!$F$15&gt;0,Eingabe!$E$15&gt;=122),"10."&amp;Eingabe!$D$15&amp;".122.1","")</f>
        <v/>
      </c>
      <c r="H1342" s="17" t="str">
        <f aca="false">IF(AND(Eingabe!$F$15&gt;0,Eingabe!$E$15&gt;=122),"10."&amp;Eingabe!$D$15&amp;".122.10 – 10."&amp;Eingabe!$D$15&amp;".122.250","")</f>
        <v/>
      </c>
      <c r="I1342" s="17" t="str">
        <f aca="false">IF(AND(Eingabe!$F$15&gt;0,Eingabe!$E$15&gt;=122),Eingabe!$B$6&amp;"-"&amp;Eingabe!$C$15&amp;"-Pächter","")</f>
        <v/>
      </c>
      <c r="J1342" s="17" t="str">
        <f aca="false">IF(AND(Eingabe!$F$15&gt;0,Eingabe!$E$15&gt;=122),"PPSK: Passwort Parzelle 122","")</f>
        <v/>
      </c>
      <c r="K1342" s="17" t="str">
        <f aca="false">IF(AND(Eingabe!$F$15&gt;0,Eingabe!$E$15&gt;=122),"1. Gerät: 10."&amp;Eingabe!$D$15&amp;".122.10, 2. Gerät: .11","")</f>
        <v/>
      </c>
    </row>
    <row r="1343" customFormat="false" ht="15" hidden="false" customHeight="false" outlineLevel="0" collapsed="false">
      <c r="A1343" s="17" t="str">
        <f aca="false">IF(AND(Eingabe!$F$15&gt;0,Eingabe!$E$15&gt;=123),7,"")</f>
        <v/>
      </c>
      <c r="B1343" s="17" t="str">
        <f aca="false">IF(AND(Eingabe!$F$15&gt;0,Eingabe!$E$15&gt;=123),Eingabe!$B$15,"")</f>
        <v/>
      </c>
      <c r="C1343" s="17" t="str">
        <f aca="false">IF(AND(Eingabe!$F$15&gt;0,Eingabe!$E$15&gt;=123),Eingabe!$C$15&amp;"-Paz."&amp;TEXT(123,"000"),"")</f>
        <v/>
      </c>
      <c r="D1343" s="17" t="str">
        <f aca="false">IF(AND(Eingabe!$F$15&gt;0,Eingabe!$E$15&gt;=123),123,"")</f>
        <v/>
      </c>
      <c r="E1343" s="17" t="str">
        <f aca="false">IF(AND(Eingabe!$F$15&gt;0,Eingabe!$E$15&gt;=123),IF((Eingabe!$G$15+1)&lt;=9,1000+(Eingabe!$G$15+1)*100,3000)+23,"")</f>
        <v/>
      </c>
      <c r="F1343" s="17" t="str">
        <f aca="false">IF(AND(Eingabe!$F$15&gt;0,Eingabe!$E$15&gt;=123),"10."&amp;Eingabe!$D$15&amp;".123.0/24","")</f>
        <v/>
      </c>
      <c r="G1343" s="17" t="str">
        <f aca="false">IF(AND(Eingabe!$F$15&gt;0,Eingabe!$E$15&gt;=123),"10."&amp;Eingabe!$D$15&amp;".123.1","")</f>
        <v/>
      </c>
      <c r="H1343" s="17" t="str">
        <f aca="false">IF(AND(Eingabe!$F$15&gt;0,Eingabe!$E$15&gt;=123),"10."&amp;Eingabe!$D$15&amp;".123.10 – 10."&amp;Eingabe!$D$15&amp;".123.250","")</f>
        <v/>
      </c>
      <c r="I1343" s="17" t="str">
        <f aca="false">IF(AND(Eingabe!$F$15&gt;0,Eingabe!$E$15&gt;=123),Eingabe!$B$6&amp;"-"&amp;Eingabe!$C$15&amp;"-Pächter","")</f>
        <v/>
      </c>
      <c r="J1343" s="17" t="str">
        <f aca="false">IF(AND(Eingabe!$F$15&gt;0,Eingabe!$E$15&gt;=123),"PPSK: Passwort Parzelle 123","")</f>
        <v/>
      </c>
      <c r="K1343" s="17" t="str">
        <f aca="false">IF(AND(Eingabe!$F$15&gt;0,Eingabe!$E$15&gt;=123),"1. Gerät: 10."&amp;Eingabe!$D$15&amp;".123.10, 2. Gerät: .11","")</f>
        <v/>
      </c>
    </row>
    <row r="1344" customFormat="false" ht="15" hidden="false" customHeight="false" outlineLevel="0" collapsed="false">
      <c r="A1344" s="17" t="str">
        <f aca="false">IF(AND(Eingabe!$F$15&gt;0,Eingabe!$E$15&gt;=124),7,"")</f>
        <v/>
      </c>
      <c r="B1344" s="17" t="str">
        <f aca="false">IF(AND(Eingabe!$F$15&gt;0,Eingabe!$E$15&gt;=124),Eingabe!$B$15,"")</f>
        <v/>
      </c>
      <c r="C1344" s="17" t="str">
        <f aca="false">IF(AND(Eingabe!$F$15&gt;0,Eingabe!$E$15&gt;=124),Eingabe!$C$15&amp;"-Paz."&amp;TEXT(124,"000"),"")</f>
        <v/>
      </c>
      <c r="D1344" s="17" t="str">
        <f aca="false">IF(AND(Eingabe!$F$15&gt;0,Eingabe!$E$15&gt;=124),124,"")</f>
        <v/>
      </c>
      <c r="E1344" s="17" t="str">
        <f aca="false">IF(AND(Eingabe!$F$15&gt;0,Eingabe!$E$15&gt;=124),IF((Eingabe!$G$15+1)&lt;=9,1000+(Eingabe!$G$15+1)*100,3000)+24,"")</f>
        <v/>
      </c>
      <c r="F1344" s="17" t="str">
        <f aca="false">IF(AND(Eingabe!$F$15&gt;0,Eingabe!$E$15&gt;=124),"10."&amp;Eingabe!$D$15&amp;".124.0/24","")</f>
        <v/>
      </c>
      <c r="G1344" s="17" t="str">
        <f aca="false">IF(AND(Eingabe!$F$15&gt;0,Eingabe!$E$15&gt;=124),"10."&amp;Eingabe!$D$15&amp;".124.1","")</f>
        <v/>
      </c>
      <c r="H1344" s="17" t="str">
        <f aca="false">IF(AND(Eingabe!$F$15&gt;0,Eingabe!$E$15&gt;=124),"10."&amp;Eingabe!$D$15&amp;".124.10 – 10."&amp;Eingabe!$D$15&amp;".124.250","")</f>
        <v/>
      </c>
      <c r="I1344" s="17" t="str">
        <f aca="false">IF(AND(Eingabe!$F$15&gt;0,Eingabe!$E$15&gt;=124),Eingabe!$B$6&amp;"-"&amp;Eingabe!$C$15&amp;"-Pächter","")</f>
        <v/>
      </c>
      <c r="J1344" s="17" t="str">
        <f aca="false">IF(AND(Eingabe!$F$15&gt;0,Eingabe!$E$15&gt;=124),"PPSK: Passwort Parzelle 124","")</f>
        <v/>
      </c>
      <c r="K1344" s="17" t="str">
        <f aca="false">IF(AND(Eingabe!$F$15&gt;0,Eingabe!$E$15&gt;=124),"1. Gerät: 10."&amp;Eingabe!$D$15&amp;".124.10, 2. Gerät: .11","")</f>
        <v/>
      </c>
    </row>
    <row r="1345" customFormat="false" ht="15" hidden="false" customHeight="false" outlineLevel="0" collapsed="false">
      <c r="A1345" s="17" t="str">
        <f aca="false">IF(AND(Eingabe!$F$15&gt;0,Eingabe!$E$15&gt;=125),7,"")</f>
        <v/>
      </c>
      <c r="B1345" s="17" t="str">
        <f aca="false">IF(AND(Eingabe!$F$15&gt;0,Eingabe!$E$15&gt;=125),Eingabe!$B$15,"")</f>
        <v/>
      </c>
      <c r="C1345" s="17" t="str">
        <f aca="false">IF(AND(Eingabe!$F$15&gt;0,Eingabe!$E$15&gt;=125),Eingabe!$C$15&amp;"-Paz."&amp;TEXT(125,"000"),"")</f>
        <v/>
      </c>
      <c r="D1345" s="17" t="str">
        <f aca="false">IF(AND(Eingabe!$F$15&gt;0,Eingabe!$E$15&gt;=125),125,"")</f>
        <v/>
      </c>
      <c r="E1345" s="17" t="str">
        <f aca="false">IF(AND(Eingabe!$F$15&gt;0,Eingabe!$E$15&gt;=125),IF((Eingabe!$G$15+1)&lt;=9,1000+(Eingabe!$G$15+1)*100,3000)+25,"")</f>
        <v/>
      </c>
      <c r="F1345" s="17" t="str">
        <f aca="false">IF(AND(Eingabe!$F$15&gt;0,Eingabe!$E$15&gt;=125),"10."&amp;Eingabe!$D$15&amp;".125.0/24","")</f>
        <v/>
      </c>
      <c r="G1345" s="17" t="str">
        <f aca="false">IF(AND(Eingabe!$F$15&gt;0,Eingabe!$E$15&gt;=125),"10."&amp;Eingabe!$D$15&amp;".125.1","")</f>
        <v/>
      </c>
      <c r="H1345" s="17" t="str">
        <f aca="false">IF(AND(Eingabe!$F$15&gt;0,Eingabe!$E$15&gt;=125),"10."&amp;Eingabe!$D$15&amp;".125.10 – 10."&amp;Eingabe!$D$15&amp;".125.250","")</f>
        <v/>
      </c>
      <c r="I1345" s="17" t="str">
        <f aca="false">IF(AND(Eingabe!$F$15&gt;0,Eingabe!$E$15&gt;=125),Eingabe!$B$6&amp;"-"&amp;Eingabe!$C$15&amp;"-Pächter","")</f>
        <v/>
      </c>
      <c r="J1345" s="17" t="str">
        <f aca="false">IF(AND(Eingabe!$F$15&gt;0,Eingabe!$E$15&gt;=125),"PPSK: Passwort Parzelle 125","")</f>
        <v/>
      </c>
      <c r="K1345" s="17" t="str">
        <f aca="false">IF(AND(Eingabe!$F$15&gt;0,Eingabe!$E$15&gt;=125),"1. Gerät: 10."&amp;Eingabe!$D$15&amp;".125.10, 2. Gerät: .11","")</f>
        <v/>
      </c>
    </row>
    <row r="1346" customFormat="false" ht="15" hidden="false" customHeight="false" outlineLevel="0" collapsed="false">
      <c r="A1346" s="17" t="str">
        <f aca="false">IF(AND(Eingabe!$F$15&gt;0,Eingabe!$E$15&gt;=126),7,"")</f>
        <v/>
      </c>
      <c r="B1346" s="17" t="str">
        <f aca="false">IF(AND(Eingabe!$F$15&gt;0,Eingabe!$E$15&gt;=126),Eingabe!$B$15,"")</f>
        <v/>
      </c>
      <c r="C1346" s="17" t="str">
        <f aca="false">IF(AND(Eingabe!$F$15&gt;0,Eingabe!$E$15&gt;=126),Eingabe!$C$15&amp;"-Paz."&amp;TEXT(126,"000"),"")</f>
        <v/>
      </c>
      <c r="D1346" s="17" t="str">
        <f aca="false">IF(AND(Eingabe!$F$15&gt;0,Eingabe!$E$15&gt;=126),126,"")</f>
        <v/>
      </c>
      <c r="E1346" s="17" t="str">
        <f aca="false">IF(AND(Eingabe!$F$15&gt;0,Eingabe!$E$15&gt;=126),IF((Eingabe!$G$15+1)&lt;=9,1000+(Eingabe!$G$15+1)*100,3000)+26,"")</f>
        <v/>
      </c>
      <c r="F1346" s="17" t="str">
        <f aca="false">IF(AND(Eingabe!$F$15&gt;0,Eingabe!$E$15&gt;=126),"10."&amp;Eingabe!$D$15&amp;".126.0/24","")</f>
        <v/>
      </c>
      <c r="G1346" s="17" t="str">
        <f aca="false">IF(AND(Eingabe!$F$15&gt;0,Eingabe!$E$15&gt;=126),"10."&amp;Eingabe!$D$15&amp;".126.1","")</f>
        <v/>
      </c>
      <c r="H1346" s="17" t="str">
        <f aca="false">IF(AND(Eingabe!$F$15&gt;0,Eingabe!$E$15&gt;=126),"10."&amp;Eingabe!$D$15&amp;".126.10 – 10."&amp;Eingabe!$D$15&amp;".126.250","")</f>
        <v/>
      </c>
      <c r="I1346" s="17" t="str">
        <f aca="false">IF(AND(Eingabe!$F$15&gt;0,Eingabe!$E$15&gt;=126),Eingabe!$B$6&amp;"-"&amp;Eingabe!$C$15&amp;"-Pächter","")</f>
        <v/>
      </c>
      <c r="J1346" s="17" t="str">
        <f aca="false">IF(AND(Eingabe!$F$15&gt;0,Eingabe!$E$15&gt;=126),"PPSK: Passwort Parzelle 126","")</f>
        <v/>
      </c>
      <c r="K1346" s="17" t="str">
        <f aca="false">IF(AND(Eingabe!$F$15&gt;0,Eingabe!$E$15&gt;=126),"1. Gerät: 10."&amp;Eingabe!$D$15&amp;".126.10, 2. Gerät: .11","")</f>
        <v/>
      </c>
    </row>
    <row r="1347" customFormat="false" ht="15" hidden="false" customHeight="false" outlineLevel="0" collapsed="false">
      <c r="A1347" s="17" t="str">
        <f aca="false">IF(AND(Eingabe!$F$15&gt;0,Eingabe!$E$15&gt;=127),7,"")</f>
        <v/>
      </c>
      <c r="B1347" s="17" t="str">
        <f aca="false">IF(AND(Eingabe!$F$15&gt;0,Eingabe!$E$15&gt;=127),Eingabe!$B$15,"")</f>
        <v/>
      </c>
      <c r="C1347" s="17" t="str">
        <f aca="false">IF(AND(Eingabe!$F$15&gt;0,Eingabe!$E$15&gt;=127),Eingabe!$C$15&amp;"-Paz."&amp;TEXT(127,"000"),"")</f>
        <v/>
      </c>
      <c r="D1347" s="17" t="str">
        <f aca="false">IF(AND(Eingabe!$F$15&gt;0,Eingabe!$E$15&gt;=127),127,"")</f>
        <v/>
      </c>
      <c r="E1347" s="17" t="str">
        <f aca="false">IF(AND(Eingabe!$F$15&gt;0,Eingabe!$E$15&gt;=127),IF((Eingabe!$G$15+1)&lt;=9,1000+(Eingabe!$G$15+1)*100,3000)+27,"")</f>
        <v/>
      </c>
      <c r="F1347" s="17" t="str">
        <f aca="false">IF(AND(Eingabe!$F$15&gt;0,Eingabe!$E$15&gt;=127),"10."&amp;Eingabe!$D$15&amp;".127.0/24","")</f>
        <v/>
      </c>
      <c r="G1347" s="17" t="str">
        <f aca="false">IF(AND(Eingabe!$F$15&gt;0,Eingabe!$E$15&gt;=127),"10."&amp;Eingabe!$D$15&amp;".127.1","")</f>
        <v/>
      </c>
      <c r="H1347" s="17" t="str">
        <f aca="false">IF(AND(Eingabe!$F$15&gt;0,Eingabe!$E$15&gt;=127),"10."&amp;Eingabe!$D$15&amp;".127.10 – 10."&amp;Eingabe!$D$15&amp;".127.250","")</f>
        <v/>
      </c>
      <c r="I1347" s="17" t="str">
        <f aca="false">IF(AND(Eingabe!$F$15&gt;0,Eingabe!$E$15&gt;=127),Eingabe!$B$6&amp;"-"&amp;Eingabe!$C$15&amp;"-Pächter","")</f>
        <v/>
      </c>
      <c r="J1347" s="17" t="str">
        <f aca="false">IF(AND(Eingabe!$F$15&gt;0,Eingabe!$E$15&gt;=127),"PPSK: Passwort Parzelle 127","")</f>
        <v/>
      </c>
      <c r="K1347" s="17" t="str">
        <f aca="false">IF(AND(Eingabe!$F$15&gt;0,Eingabe!$E$15&gt;=127),"1. Gerät: 10."&amp;Eingabe!$D$15&amp;".127.10, 2. Gerät: .11","")</f>
        <v/>
      </c>
    </row>
    <row r="1348" customFormat="false" ht="15" hidden="false" customHeight="false" outlineLevel="0" collapsed="false">
      <c r="A1348" s="17" t="str">
        <f aca="false">IF(AND(Eingabe!$F$15&gt;0,Eingabe!$E$15&gt;=128),7,"")</f>
        <v/>
      </c>
      <c r="B1348" s="17" t="str">
        <f aca="false">IF(AND(Eingabe!$F$15&gt;0,Eingabe!$E$15&gt;=128),Eingabe!$B$15,"")</f>
        <v/>
      </c>
      <c r="C1348" s="17" t="str">
        <f aca="false">IF(AND(Eingabe!$F$15&gt;0,Eingabe!$E$15&gt;=128),Eingabe!$C$15&amp;"-Paz."&amp;TEXT(128,"000"),"")</f>
        <v/>
      </c>
      <c r="D1348" s="17" t="str">
        <f aca="false">IF(AND(Eingabe!$F$15&gt;0,Eingabe!$E$15&gt;=128),128,"")</f>
        <v/>
      </c>
      <c r="E1348" s="17" t="str">
        <f aca="false">IF(AND(Eingabe!$F$15&gt;0,Eingabe!$E$15&gt;=128),IF((Eingabe!$G$15+1)&lt;=9,1000+(Eingabe!$G$15+1)*100,3000)+28,"")</f>
        <v/>
      </c>
      <c r="F1348" s="17" t="str">
        <f aca="false">IF(AND(Eingabe!$F$15&gt;0,Eingabe!$E$15&gt;=128),"10."&amp;Eingabe!$D$15&amp;".128.0/24","")</f>
        <v/>
      </c>
      <c r="G1348" s="17" t="str">
        <f aca="false">IF(AND(Eingabe!$F$15&gt;0,Eingabe!$E$15&gt;=128),"10."&amp;Eingabe!$D$15&amp;".128.1","")</f>
        <v/>
      </c>
      <c r="H1348" s="17" t="str">
        <f aca="false">IF(AND(Eingabe!$F$15&gt;0,Eingabe!$E$15&gt;=128),"10."&amp;Eingabe!$D$15&amp;".128.10 – 10."&amp;Eingabe!$D$15&amp;".128.250","")</f>
        <v/>
      </c>
      <c r="I1348" s="17" t="str">
        <f aca="false">IF(AND(Eingabe!$F$15&gt;0,Eingabe!$E$15&gt;=128),Eingabe!$B$6&amp;"-"&amp;Eingabe!$C$15&amp;"-Pächter","")</f>
        <v/>
      </c>
      <c r="J1348" s="17" t="str">
        <f aca="false">IF(AND(Eingabe!$F$15&gt;0,Eingabe!$E$15&gt;=128),"PPSK: Passwort Parzelle 128","")</f>
        <v/>
      </c>
      <c r="K1348" s="17" t="str">
        <f aca="false">IF(AND(Eingabe!$F$15&gt;0,Eingabe!$E$15&gt;=128),"1. Gerät: 10."&amp;Eingabe!$D$15&amp;".128.10, 2. Gerät: .11","")</f>
        <v/>
      </c>
    </row>
    <row r="1349" customFormat="false" ht="15" hidden="false" customHeight="false" outlineLevel="0" collapsed="false">
      <c r="A1349" s="17" t="str">
        <f aca="false">IF(AND(Eingabe!$F$15&gt;0,Eingabe!$E$15&gt;=129),7,"")</f>
        <v/>
      </c>
      <c r="B1349" s="17" t="str">
        <f aca="false">IF(AND(Eingabe!$F$15&gt;0,Eingabe!$E$15&gt;=129),Eingabe!$B$15,"")</f>
        <v/>
      </c>
      <c r="C1349" s="17" t="str">
        <f aca="false">IF(AND(Eingabe!$F$15&gt;0,Eingabe!$E$15&gt;=129),Eingabe!$C$15&amp;"-Paz."&amp;TEXT(129,"000"),"")</f>
        <v/>
      </c>
      <c r="D1349" s="17" t="str">
        <f aca="false">IF(AND(Eingabe!$F$15&gt;0,Eingabe!$E$15&gt;=129),129,"")</f>
        <v/>
      </c>
      <c r="E1349" s="17" t="str">
        <f aca="false">IF(AND(Eingabe!$F$15&gt;0,Eingabe!$E$15&gt;=129),IF((Eingabe!$G$15+1)&lt;=9,1000+(Eingabe!$G$15+1)*100,3000)+29,"")</f>
        <v/>
      </c>
      <c r="F1349" s="17" t="str">
        <f aca="false">IF(AND(Eingabe!$F$15&gt;0,Eingabe!$E$15&gt;=129),"10."&amp;Eingabe!$D$15&amp;".129.0/24","")</f>
        <v/>
      </c>
      <c r="G1349" s="17" t="str">
        <f aca="false">IF(AND(Eingabe!$F$15&gt;0,Eingabe!$E$15&gt;=129),"10."&amp;Eingabe!$D$15&amp;".129.1","")</f>
        <v/>
      </c>
      <c r="H1349" s="17" t="str">
        <f aca="false">IF(AND(Eingabe!$F$15&gt;0,Eingabe!$E$15&gt;=129),"10."&amp;Eingabe!$D$15&amp;".129.10 – 10."&amp;Eingabe!$D$15&amp;".129.250","")</f>
        <v/>
      </c>
      <c r="I1349" s="17" t="str">
        <f aca="false">IF(AND(Eingabe!$F$15&gt;0,Eingabe!$E$15&gt;=129),Eingabe!$B$6&amp;"-"&amp;Eingabe!$C$15&amp;"-Pächter","")</f>
        <v/>
      </c>
      <c r="J1349" s="17" t="str">
        <f aca="false">IF(AND(Eingabe!$F$15&gt;0,Eingabe!$E$15&gt;=129),"PPSK: Passwort Parzelle 129","")</f>
        <v/>
      </c>
      <c r="K1349" s="17" t="str">
        <f aca="false">IF(AND(Eingabe!$F$15&gt;0,Eingabe!$E$15&gt;=129),"1. Gerät: 10."&amp;Eingabe!$D$15&amp;".129.10, 2. Gerät: .11","")</f>
        <v/>
      </c>
    </row>
    <row r="1350" customFormat="false" ht="15" hidden="false" customHeight="false" outlineLevel="0" collapsed="false">
      <c r="A1350" s="17" t="str">
        <f aca="false">IF(AND(Eingabe!$F$15&gt;0,Eingabe!$E$15&gt;=130),7,"")</f>
        <v/>
      </c>
      <c r="B1350" s="17" t="str">
        <f aca="false">IF(AND(Eingabe!$F$15&gt;0,Eingabe!$E$15&gt;=130),Eingabe!$B$15,"")</f>
        <v/>
      </c>
      <c r="C1350" s="17" t="str">
        <f aca="false">IF(AND(Eingabe!$F$15&gt;0,Eingabe!$E$15&gt;=130),Eingabe!$C$15&amp;"-Paz."&amp;TEXT(130,"000"),"")</f>
        <v/>
      </c>
      <c r="D1350" s="17" t="str">
        <f aca="false">IF(AND(Eingabe!$F$15&gt;0,Eingabe!$E$15&gt;=130),130,"")</f>
        <v/>
      </c>
      <c r="E1350" s="17" t="str">
        <f aca="false">IF(AND(Eingabe!$F$15&gt;0,Eingabe!$E$15&gt;=130),IF((Eingabe!$G$15+1)&lt;=9,1000+(Eingabe!$G$15+1)*100,3000)+30,"")</f>
        <v/>
      </c>
      <c r="F1350" s="17" t="str">
        <f aca="false">IF(AND(Eingabe!$F$15&gt;0,Eingabe!$E$15&gt;=130),"10."&amp;Eingabe!$D$15&amp;".130.0/24","")</f>
        <v/>
      </c>
      <c r="G1350" s="17" t="str">
        <f aca="false">IF(AND(Eingabe!$F$15&gt;0,Eingabe!$E$15&gt;=130),"10."&amp;Eingabe!$D$15&amp;".130.1","")</f>
        <v/>
      </c>
      <c r="H1350" s="17" t="str">
        <f aca="false">IF(AND(Eingabe!$F$15&gt;0,Eingabe!$E$15&gt;=130),"10."&amp;Eingabe!$D$15&amp;".130.10 – 10."&amp;Eingabe!$D$15&amp;".130.250","")</f>
        <v/>
      </c>
      <c r="I1350" s="17" t="str">
        <f aca="false">IF(AND(Eingabe!$F$15&gt;0,Eingabe!$E$15&gt;=130),Eingabe!$B$6&amp;"-"&amp;Eingabe!$C$15&amp;"-Pächter","")</f>
        <v/>
      </c>
      <c r="J1350" s="17" t="str">
        <f aca="false">IF(AND(Eingabe!$F$15&gt;0,Eingabe!$E$15&gt;=130),"PPSK: Passwort Parzelle 130","")</f>
        <v/>
      </c>
      <c r="K1350" s="17" t="str">
        <f aca="false">IF(AND(Eingabe!$F$15&gt;0,Eingabe!$E$15&gt;=130),"1. Gerät: 10."&amp;Eingabe!$D$15&amp;".130.10, 2. Gerät: .11","")</f>
        <v/>
      </c>
    </row>
    <row r="1351" customFormat="false" ht="15" hidden="false" customHeight="false" outlineLevel="0" collapsed="false">
      <c r="A1351" s="17" t="str">
        <f aca="false">IF(AND(Eingabe!$F$15&gt;0,Eingabe!$E$15&gt;=131),7,"")</f>
        <v/>
      </c>
      <c r="B1351" s="17" t="str">
        <f aca="false">IF(AND(Eingabe!$F$15&gt;0,Eingabe!$E$15&gt;=131),Eingabe!$B$15,"")</f>
        <v/>
      </c>
      <c r="C1351" s="17" t="str">
        <f aca="false">IF(AND(Eingabe!$F$15&gt;0,Eingabe!$E$15&gt;=131),Eingabe!$C$15&amp;"-Paz."&amp;TEXT(131,"000"),"")</f>
        <v/>
      </c>
      <c r="D1351" s="17" t="str">
        <f aca="false">IF(AND(Eingabe!$F$15&gt;0,Eingabe!$E$15&gt;=131),131,"")</f>
        <v/>
      </c>
      <c r="E1351" s="17" t="str">
        <f aca="false">IF(AND(Eingabe!$F$15&gt;0,Eingabe!$E$15&gt;=131),IF((Eingabe!$G$15+1)&lt;=9,1000+(Eingabe!$G$15+1)*100,3000)+31,"")</f>
        <v/>
      </c>
      <c r="F1351" s="17" t="str">
        <f aca="false">IF(AND(Eingabe!$F$15&gt;0,Eingabe!$E$15&gt;=131),"10."&amp;Eingabe!$D$15&amp;".131.0/24","")</f>
        <v/>
      </c>
      <c r="G1351" s="17" t="str">
        <f aca="false">IF(AND(Eingabe!$F$15&gt;0,Eingabe!$E$15&gt;=131),"10."&amp;Eingabe!$D$15&amp;".131.1","")</f>
        <v/>
      </c>
      <c r="H1351" s="17" t="str">
        <f aca="false">IF(AND(Eingabe!$F$15&gt;0,Eingabe!$E$15&gt;=131),"10."&amp;Eingabe!$D$15&amp;".131.10 – 10."&amp;Eingabe!$D$15&amp;".131.250","")</f>
        <v/>
      </c>
      <c r="I1351" s="17" t="str">
        <f aca="false">IF(AND(Eingabe!$F$15&gt;0,Eingabe!$E$15&gt;=131),Eingabe!$B$6&amp;"-"&amp;Eingabe!$C$15&amp;"-Pächter","")</f>
        <v/>
      </c>
      <c r="J1351" s="17" t="str">
        <f aca="false">IF(AND(Eingabe!$F$15&gt;0,Eingabe!$E$15&gt;=131),"PPSK: Passwort Parzelle 131","")</f>
        <v/>
      </c>
      <c r="K1351" s="17" t="str">
        <f aca="false">IF(AND(Eingabe!$F$15&gt;0,Eingabe!$E$15&gt;=131),"1. Gerät: 10."&amp;Eingabe!$D$15&amp;".131.10, 2. Gerät: .11","")</f>
        <v/>
      </c>
    </row>
    <row r="1352" customFormat="false" ht="15" hidden="false" customHeight="false" outlineLevel="0" collapsed="false">
      <c r="A1352" s="17" t="str">
        <f aca="false">IF(AND(Eingabe!$F$15&gt;0,Eingabe!$E$15&gt;=132),7,"")</f>
        <v/>
      </c>
      <c r="B1352" s="17" t="str">
        <f aca="false">IF(AND(Eingabe!$F$15&gt;0,Eingabe!$E$15&gt;=132),Eingabe!$B$15,"")</f>
        <v/>
      </c>
      <c r="C1352" s="17" t="str">
        <f aca="false">IF(AND(Eingabe!$F$15&gt;0,Eingabe!$E$15&gt;=132),Eingabe!$C$15&amp;"-Paz."&amp;TEXT(132,"000"),"")</f>
        <v/>
      </c>
      <c r="D1352" s="17" t="str">
        <f aca="false">IF(AND(Eingabe!$F$15&gt;0,Eingabe!$E$15&gt;=132),132,"")</f>
        <v/>
      </c>
      <c r="E1352" s="17" t="str">
        <f aca="false">IF(AND(Eingabe!$F$15&gt;0,Eingabe!$E$15&gt;=132),IF((Eingabe!$G$15+1)&lt;=9,1000+(Eingabe!$G$15+1)*100,3000)+32,"")</f>
        <v/>
      </c>
      <c r="F1352" s="17" t="str">
        <f aca="false">IF(AND(Eingabe!$F$15&gt;0,Eingabe!$E$15&gt;=132),"10."&amp;Eingabe!$D$15&amp;".132.0/24","")</f>
        <v/>
      </c>
      <c r="G1352" s="17" t="str">
        <f aca="false">IF(AND(Eingabe!$F$15&gt;0,Eingabe!$E$15&gt;=132),"10."&amp;Eingabe!$D$15&amp;".132.1","")</f>
        <v/>
      </c>
      <c r="H1352" s="17" t="str">
        <f aca="false">IF(AND(Eingabe!$F$15&gt;0,Eingabe!$E$15&gt;=132),"10."&amp;Eingabe!$D$15&amp;".132.10 – 10."&amp;Eingabe!$D$15&amp;".132.250","")</f>
        <v/>
      </c>
      <c r="I1352" s="17" t="str">
        <f aca="false">IF(AND(Eingabe!$F$15&gt;0,Eingabe!$E$15&gt;=132),Eingabe!$B$6&amp;"-"&amp;Eingabe!$C$15&amp;"-Pächter","")</f>
        <v/>
      </c>
      <c r="J1352" s="17" t="str">
        <f aca="false">IF(AND(Eingabe!$F$15&gt;0,Eingabe!$E$15&gt;=132),"PPSK: Passwort Parzelle 132","")</f>
        <v/>
      </c>
      <c r="K1352" s="17" t="str">
        <f aca="false">IF(AND(Eingabe!$F$15&gt;0,Eingabe!$E$15&gt;=132),"1. Gerät: 10."&amp;Eingabe!$D$15&amp;".132.10, 2. Gerät: .11","")</f>
        <v/>
      </c>
    </row>
    <row r="1353" customFormat="false" ht="15" hidden="false" customHeight="false" outlineLevel="0" collapsed="false">
      <c r="A1353" s="17" t="str">
        <f aca="false">IF(AND(Eingabe!$F$15&gt;0,Eingabe!$E$15&gt;=133),7,"")</f>
        <v/>
      </c>
      <c r="B1353" s="17" t="str">
        <f aca="false">IF(AND(Eingabe!$F$15&gt;0,Eingabe!$E$15&gt;=133),Eingabe!$B$15,"")</f>
        <v/>
      </c>
      <c r="C1353" s="17" t="str">
        <f aca="false">IF(AND(Eingabe!$F$15&gt;0,Eingabe!$E$15&gt;=133),Eingabe!$C$15&amp;"-Paz."&amp;TEXT(133,"000"),"")</f>
        <v/>
      </c>
      <c r="D1353" s="17" t="str">
        <f aca="false">IF(AND(Eingabe!$F$15&gt;0,Eingabe!$E$15&gt;=133),133,"")</f>
        <v/>
      </c>
      <c r="E1353" s="17" t="str">
        <f aca="false">IF(AND(Eingabe!$F$15&gt;0,Eingabe!$E$15&gt;=133),IF((Eingabe!$G$15+1)&lt;=9,1000+(Eingabe!$G$15+1)*100,3000)+33,"")</f>
        <v/>
      </c>
      <c r="F1353" s="17" t="str">
        <f aca="false">IF(AND(Eingabe!$F$15&gt;0,Eingabe!$E$15&gt;=133),"10."&amp;Eingabe!$D$15&amp;".133.0/24","")</f>
        <v/>
      </c>
      <c r="G1353" s="17" t="str">
        <f aca="false">IF(AND(Eingabe!$F$15&gt;0,Eingabe!$E$15&gt;=133),"10."&amp;Eingabe!$D$15&amp;".133.1","")</f>
        <v/>
      </c>
      <c r="H1353" s="17" t="str">
        <f aca="false">IF(AND(Eingabe!$F$15&gt;0,Eingabe!$E$15&gt;=133),"10."&amp;Eingabe!$D$15&amp;".133.10 – 10."&amp;Eingabe!$D$15&amp;".133.250","")</f>
        <v/>
      </c>
      <c r="I1353" s="17" t="str">
        <f aca="false">IF(AND(Eingabe!$F$15&gt;0,Eingabe!$E$15&gt;=133),Eingabe!$B$6&amp;"-"&amp;Eingabe!$C$15&amp;"-Pächter","")</f>
        <v/>
      </c>
      <c r="J1353" s="17" t="str">
        <f aca="false">IF(AND(Eingabe!$F$15&gt;0,Eingabe!$E$15&gt;=133),"PPSK: Passwort Parzelle 133","")</f>
        <v/>
      </c>
      <c r="K1353" s="17" t="str">
        <f aca="false">IF(AND(Eingabe!$F$15&gt;0,Eingabe!$E$15&gt;=133),"1. Gerät: 10."&amp;Eingabe!$D$15&amp;".133.10, 2. Gerät: .11","")</f>
        <v/>
      </c>
    </row>
    <row r="1354" customFormat="false" ht="15" hidden="false" customHeight="false" outlineLevel="0" collapsed="false">
      <c r="A1354" s="17" t="str">
        <f aca="false">IF(AND(Eingabe!$F$15&gt;0,Eingabe!$E$15&gt;=134),7,"")</f>
        <v/>
      </c>
      <c r="B1354" s="17" t="str">
        <f aca="false">IF(AND(Eingabe!$F$15&gt;0,Eingabe!$E$15&gt;=134),Eingabe!$B$15,"")</f>
        <v/>
      </c>
      <c r="C1354" s="17" t="str">
        <f aca="false">IF(AND(Eingabe!$F$15&gt;0,Eingabe!$E$15&gt;=134),Eingabe!$C$15&amp;"-Paz."&amp;TEXT(134,"000"),"")</f>
        <v/>
      </c>
      <c r="D1354" s="17" t="str">
        <f aca="false">IF(AND(Eingabe!$F$15&gt;0,Eingabe!$E$15&gt;=134),134,"")</f>
        <v/>
      </c>
      <c r="E1354" s="17" t="str">
        <f aca="false">IF(AND(Eingabe!$F$15&gt;0,Eingabe!$E$15&gt;=134),IF((Eingabe!$G$15+1)&lt;=9,1000+(Eingabe!$G$15+1)*100,3000)+34,"")</f>
        <v/>
      </c>
      <c r="F1354" s="17" t="str">
        <f aca="false">IF(AND(Eingabe!$F$15&gt;0,Eingabe!$E$15&gt;=134),"10."&amp;Eingabe!$D$15&amp;".134.0/24","")</f>
        <v/>
      </c>
      <c r="G1354" s="17" t="str">
        <f aca="false">IF(AND(Eingabe!$F$15&gt;0,Eingabe!$E$15&gt;=134),"10."&amp;Eingabe!$D$15&amp;".134.1","")</f>
        <v/>
      </c>
      <c r="H1354" s="17" t="str">
        <f aca="false">IF(AND(Eingabe!$F$15&gt;0,Eingabe!$E$15&gt;=134),"10."&amp;Eingabe!$D$15&amp;".134.10 – 10."&amp;Eingabe!$D$15&amp;".134.250","")</f>
        <v/>
      </c>
      <c r="I1354" s="17" t="str">
        <f aca="false">IF(AND(Eingabe!$F$15&gt;0,Eingabe!$E$15&gt;=134),Eingabe!$B$6&amp;"-"&amp;Eingabe!$C$15&amp;"-Pächter","")</f>
        <v/>
      </c>
      <c r="J1354" s="17" t="str">
        <f aca="false">IF(AND(Eingabe!$F$15&gt;0,Eingabe!$E$15&gt;=134),"PPSK: Passwort Parzelle 134","")</f>
        <v/>
      </c>
      <c r="K1354" s="17" t="str">
        <f aca="false">IF(AND(Eingabe!$F$15&gt;0,Eingabe!$E$15&gt;=134),"1. Gerät: 10."&amp;Eingabe!$D$15&amp;".134.10, 2. Gerät: .11","")</f>
        <v/>
      </c>
    </row>
    <row r="1355" customFormat="false" ht="15" hidden="false" customHeight="false" outlineLevel="0" collapsed="false">
      <c r="A1355" s="17" t="str">
        <f aca="false">IF(AND(Eingabe!$F$15&gt;0,Eingabe!$E$15&gt;=135),7,"")</f>
        <v/>
      </c>
      <c r="B1355" s="17" t="str">
        <f aca="false">IF(AND(Eingabe!$F$15&gt;0,Eingabe!$E$15&gt;=135),Eingabe!$B$15,"")</f>
        <v/>
      </c>
      <c r="C1355" s="17" t="str">
        <f aca="false">IF(AND(Eingabe!$F$15&gt;0,Eingabe!$E$15&gt;=135),Eingabe!$C$15&amp;"-Paz."&amp;TEXT(135,"000"),"")</f>
        <v/>
      </c>
      <c r="D1355" s="17" t="str">
        <f aca="false">IF(AND(Eingabe!$F$15&gt;0,Eingabe!$E$15&gt;=135),135,"")</f>
        <v/>
      </c>
      <c r="E1355" s="17" t="str">
        <f aca="false">IF(AND(Eingabe!$F$15&gt;0,Eingabe!$E$15&gt;=135),IF((Eingabe!$G$15+1)&lt;=9,1000+(Eingabe!$G$15+1)*100,3000)+35,"")</f>
        <v/>
      </c>
      <c r="F1355" s="17" t="str">
        <f aca="false">IF(AND(Eingabe!$F$15&gt;0,Eingabe!$E$15&gt;=135),"10."&amp;Eingabe!$D$15&amp;".135.0/24","")</f>
        <v/>
      </c>
      <c r="G1355" s="17" t="str">
        <f aca="false">IF(AND(Eingabe!$F$15&gt;0,Eingabe!$E$15&gt;=135),"10."&amp;Eingabe!$D$15&amp;".135.1","")</f>
        <v/>
      </c>
      <c r="H1355" s="17" t="str">
        <f aca="false">IF(AND(Eingabe!$F$15&gt;0,Eingabe!$E$15&gt;=135),"10."&amp;Eingabe!$D$15&amp;".135.10 – 10."&amp;Eingabe!$D$15&amp;".135.250","")</f>
        <v/>
      </c>
      <c r="I1355" s="17" t="str">
        <f aca="false">IF(AND(Eingabe!$F$15&gt;0,Eingabe!$E$15&gt;=135),Eingabe!$B$6&amp;"-"&amp;Eingabe!$C$15&amp;"-Pächter","")</f>
        <v/>
      </c>
      <c r="J1355" s="17" t="str">
        <f aca="false">IF(AND(Eingabe!$F$15&gt;0,Eingabe!$E$15&gt;=135),"PPSK: Passwort Parzelle 135","")</f>
        <v/>
      </c>
      <c r="K1355" s="17" t="str">
        <f aca="false">IF(AND(Eingabe!$F$15&gt;0,Eingabe!$E$15&gt;=135),"1. Gerät: 10."&amp;Eingabe!$D$15&amp;".135.10, 2. Gerät: .11","")</f>
        <v/>
      </c>
    </row>
    <row r="1356" customFormat="false" ht="15" hidden="false" customHeight="false" outlineLevel="0" collapsed="false">
      <c r="A1356" s="17" t="str">
        <f aca="false">IF(AND(Eingabe!$F$15&gt;0,Eingabe!$E$15&gt;=136),7,"")</f>
        <v/>
      </c>
      <c r="B1356" s="17" t="str">
        <f aca="false">IF(AND(Eingabe!$F$15&gt;0,Eingabe!$E$15&gt;=136),Eingabe!$B$15,"")</f>
        <v/>
      </c>
      <c r="C1356" s="17" t="str">
        <f aca="false">IF(AND(Eingabe!$F$15&gt;0,Eingabe!$E$15&gt;=136),Eingabe!$C$15&amp;"-Paz."&amp;TEXT(136,"000"),"")</f>
        <v/>
      </c>
      <c r="D1356" s="17" t="str">
        <f aca="false">IF(AND(Eingabe!$F$15&gt;0,Eingabe!$E$15&gt;=136),136,"")</f>
        <v/>
      </c>
      <c r="E1356" s="17" t="str">
        <f aca="false">IF(AND(Eingabe!$F$15&gt;0,Eingabe!$E$15&gt;=136),IF((Eingabe!$G$15+1)&lt;=9,1000+(Eingabe!$G$15+1)*100,3000)+36,"")</f>
        <v/>
      </c>
      <c r="F1356" s="17" t="str">
        <f aca="false">IF(AND(Eingabe!$F$15&gt;0,Eingabe!$E$15&gt;=136),"10."&amp;Eingabe!$D$15&amp;".136.0/24","")</f>
        <v/>
      </c>
      <c r="G1356" s="17" t="str">
        <f aca="false">IF(AND(Eingabe!$F$15&gt;0,Eingabe!$E$15&gt;=136),"10."&amp;Eingabe!$D$15&amp;".136.1","")</f>
        <v/>
      </c>
      <c r="H1356" s="17" t="str">
        <f aca="false">IF(AND(Eingabe!$F$15&gt;0,Eingabe!$E$15&gt;=136),"10."&amp;Eingabe!$D$15&amp;".136.10 – 10."&amp;Eingabe!$D$15&amp;".136.250","")</f>
        <v/>
      </c>
      <c r="I1356" s="17" t="str">
        <f aca="false">IF(AND(Eingabe!$F$15&gt;0,Eingabe!$E$15&gt;=136),Eingabe!$B$6&amp;"-"&amp;Eingabe!$C$15&amp;"-Pächter","")</f>
        <v/>
      </c>
      <c r="J1356" s="17" t="str">
        <f aca="false">IF(AND(Eingabe!$F$15&gt;0,Eingabe!$E$15&gt;=136),"PPSK: Passwort Parzelle 136","")</f>
        <v/>
      </c>
      <c r="K1356" s="17" t="str">
        <f aca="false">IF(AND(Eingabe!$F$15&gt;0,Eingabe!$E$15&gt;=136),"1. Gerät: 10."&amp;Eingabe!$D$15&amp;".136.10, 2. Gerät: .11","")</f>
        <v/>
      </c>
    </row>
    <row r="1357" customFormat="false" ht="15" hidden="false" customHeight="false" outlineLevel="0" collapsed="false">
      <c r="A1357" s="17" t="str">
        <f aca="false">IF(AND(Eingabe!$F$15&gt;0,Eingabe!$E$15&gt;=137),7,"")</f>
        <v/>
      </c>
      <c r="B1357" s="17" t="str">
        <f aca="false">IF(AND(Eingabe!$F$15&gt;0,Eingabe!$E$15&gt;=137),Eingabe!$B$15,"")</f>
        <v/>
      </c>
      <c r="C1357" s="17" t="str">
        <f aca="false">IF(AND(Eingabe!$F$15&gt;0,Eingabe!$E$15&gt;=137),Eingabe!$C$15&amp;"-Paz."&amp;TEXT(137,"000"),"")</f>
        <v/>
      </c>
      <c r="D1357" s="17" t="str">
        <f aca="false">IF(AND(Eingabe!$F$15&gt;0,Eingabe!$E$15&gt;=137),137,"")</f>
        <v/>
      </c>
      <c r="E1357" s="17" t="str">
        <f aca="false">IF(AND(Eingabe!$F$15&gt;0,Eingabe!$E$15&gt;=137),IF((Eingabe!$G$15+1)&lt;=9,1000+(Eingabe!$G$15+1)*100,3000)+37,"")</f>
        <v/>
      </c>
      <c r="F1357" s="17" t="str">
        <f aca="false">IF(AND(Eingabe!$F$15&gt;0,Eingabe!$E$15&gt;=137),"10."&amp;Eingabe!$D$15&amp;".137.0/24","")</f>
        <v/>
      </c>
      <c r="G1357" s="17" t="str">
        <f aca="false">IF(AND(Eingabe!$F$15&gt;0,Eingabe!$E$15&gt;=137),"10."&amp;Eingabe!$D$15&amp;".137.1","")</f>
        <v/>
      </c>
      <c r="H1357" s="17" t="str">
        <f aca="false">IF(AND(Eingabe!$F$15&gt;0,Eingabe!$E$15&gt;=137),"10."&amp;Eingabe!$D$15&amp;".137.10 – 10."&amp;Eingabe!$D$15&amp;".137.250","")</f>
        <v/>
      </c>
      <c r="I1357" s="17" t="str">
        <f aca="false">IF(AND(Eingabe!$F$15&gt;0,Eingabe!$E$15&gt;=137),Eingabe!$B$6&amp;"-"&amp;Eingabe!$C$15&amp;"-Pächter","")</f>
        <v/>
      </c>
      <c r="J1357" s="17" t="str">
        <f aca="false">IF(AND(Eingabe!$F$15&gt;0,Eingabe!$E$15&gt;=137),"PPSK: Passwort Parzelle 137","")</f>
        <v/>
      </c>
      <c r="K1357" s="17" t="str">
        <f aca="false">IF(AND(Eingabe!$F$15&gt;0,Eingabe!$E$15&gt;=137),"1. Gerät: 10."&amp;Eingabe!$D$15&amp;".137.10, 2. Gerät: .11","")</f>
        <v/>
      </c>
    </row>
    <row r="1358" customFormat="false" ht="15" hidden="false" customHeight="false" outlineLevel="0" collapsed="false">
      <c r="A1358" s="17" t="str">
        <f aca="false">IF(AND(Eingabe!$F$15&gt;0,Eingabe!$E$15&gt;=138),7,"")</f>
        <v/>
      </c>
      <c r="B1358" s="17" t="str">
        <f aca="false">IF(AND(Eingabe!$F$15&gt;0,Eingabe!$E$15&gt;=138),Eingabe!$B$15,"")</f>
        <v/>
      </c>
      <c r="C1358" s="17" t="str">
        <f aca="false">IF(AND(Eingabe!$F$15&gt;0,Eingabe!$E$15&gt;=138),Eingabe!$C$15&amp;"-Paz."&amp;TEXT(138,"000"),"")</f>
        <v/>
      </c>
      <c r="D1358" s="17" t="str">
        <f aca="false">IF(AND(Eingabe!$F$15&gt;0,Eingabe!$E$15&gt;=138),138,"")</f>
        <v/>
      </c>
      <c r="E1358" s="17" t="str">
        <f aca="false">IF(AND(Eingabe!$F$15&gt;0,Eingabe!$E$15&gt;=138),IF((Eingabe!$G$15+1)&lt;=9,1000+(Eingabe!$G$15+1)*100,3000)+38,"")</f>
        <v/>
      </c>
      <c r="F1358" s="17" t="str">
        <f aca="false">IF(AND(Eingabe!$F$15&gt;0,Eingabe!$E$15&gt;=138),"10."&amp;Eingabe!$D$15&amp;".138.0/24","")</f>
        <v/>
      </c>
      <c r="G1358" s="17" t="str">
        <f aca="false">IF(AND(Eingabe!$F$15&gt;0,Eingabe!$E$15&gt;=138),"10."&amp;Eingabe!$D$15&amp;".138.1","")</f>
        <v/>
      </c>
      <c r="H1358" s="17" t="str">
        <f aca="false">IF(AND(Eingabe!$F$15&gt;0,Eingabe!$E$15&gt;=138),"10."&amp;Eingabe!$D$15&amp;".138.10 – 10."&amp;Eingabe!$D$15&amp;".138.250","")</f>
        <v/>
      </c>
      <c r="I1358" s="17" t="str">
        <f aca="false">IF(AND(Eingabe!$F$15&gt;0,Eingabe!$E$15&gt;=138),Eingabe!$B$6&amp;"-"&amp;Eingabe!$C$15&amp;"-Pächter","")</f>
        <v/>
      </c>
      <c r="J1358" s="17" t="str">
        <f aca="false">IF(AND(Eingabe!$F$15&gt;0,Eingabe!$E$15&gt;=138),"PPSK: Passwort Parzelle 138","")</f>
        <v/>
      </c>
      <c r="K1358" s="17" t="str">
        <f aca="false">IF(AND(Eingabe!$F$15&gt;0,Eingabe!$E$15&gt;=138),"1. Gerät: 10."&amp;Eingabe!$D$15&amp;".138.10, 2. Gerät: .11","")</f>
        <v/>
      </c>
    </row>
    <row r="1359" customFormat="false" ht="15" hidden="false" customHeight="false" outlineLevel="0" collapsed="false">
      <c r="A1359" s="17" t="str">
        <f aca="false">IF(AND(Eingabe!$F$15&gt;0,Eingabe!$E$15&gt;=139),7,"")</f>
        <v/>
      </c>
      <c r="B1359" s="17" t="str">
        <f aca="false">IF(AND(Eingabe!$F$15&gt;0,Eingabe!$E$15&gt;=139),Eingabe!$B$15,"")</f>
        <v/>
      </c>
      <c r="C1359" s="17" t="str">
        <f aca="false">IF(AND(Eingabe!$F$15&gt;0,Eingabe!$E$15&gt;=139),Eingabe!$C$15&amp;"-Paz."&amp;TEXT(139,"000"),"")</f>
        <v/>
      </c>
      <c r="D1359" s="17" t="str">
        <f aca="false">IF(AND(Eingabe!$F$15&gt;0,Eingabe!$E$15&gt;=139),139,"")</f>
        <v/>
      </c>
      <c r="E1359" s="17" t="str">
        <f aca="false">IF(AND(Eingabe!$F$15&gt;0,Eingabe!$E$15&gt;=139),IF((Eingabe!$G$15+1)&lt;=9,1000+(Eingabe!$G$15+1)*100,3000)+39,"")</f>
        <v/>
      </c>
      <c r="F1359" s="17" t="str">
        <f aca="false">IF(AND(Eingabe!$F$15&gt;0,Eingabe!$E$15&gt;=139),"10."&amp;Eingabe!$D$15&amp;".139.0/24","")</f>
        <v/>
      </c>
      <c r="G1359" s="17" t="str">
        <f aca="false">IF(AND(Eingabe!$F$15&gt;0,Eingabe!$E$15&gt;=139),"10."&amp;Eingabe!$D$15&amp;".139.1","")</f>
        <v/>
      </c>
      <c r="H1359" s="17" t="str">
        <f aca="false">IF(AND(Eingabe!$F$15&gt;0,Eingabe!$E$15&gt;=139),"10."&amp;Eingabe!$D$15&amp;".139.10 – 10."&amp;Eingabe!$D$15&amp;".139.250","")</f>
        <v/>
      </c>
      <c r="I1359" s="17" t="str">
        <f aca="false">IF(AND(Eingabe!$F$15&gt;0,Eingabe!$E$15&gt;=139),Eingabe!$B$6&amp;"-"&amp;Eingabe!$C$15&amp;"-Pächter","")</f>
        <v/>
      </c>
      <c r="J1359" s="17" t="str">
        <f aca="false">IF(AND(Eingabe!$F$15&gt;0,Eingabe!$E$15&gt;=139),"PPSK: Passwort Parzelle 139","")</f>
        <v/>
      </c>
      <c r="K1359" s="17" t="str">
        <f aca="false">IF(AND(Eingabe!$F$15&gt;0,Eingabe!$E$15&gt;=139),"1. Gerät: 10."&amp;Eingabe!$D$15&amp;".139.10, 2. Gerät: .11","")</f>
        <v/>
      </c>
    </row>
    <row r="1360" customFormat="false" ht="15" hidden="false" customHeight="false" outlineLevel="0" collapsed="false">
      <c r="A1360" s="17" t="str">
        <f aca="false">IF(AND(Eingabe!$F$15&gt;0,Eingabe!$E$15&gt;=140),7,"")</f>
        <v/>
      </c>
      <c r="B1360" s="17" t="str">
        <f aca="false">IF(AND(Eingabe!$F$15&gt;0,Eingabe!$E$15&gt;=140),Eingabe!$B$15,"")</f>
        <v/>
      </c>
      <c r="C1360" s="17" t="str">
        <f aca="false">IF(AND(Eingabe!$F$15&gt;0,Eingabe!$E$15&gt;=140),Eingabe!$C$15&amp;"-Paz."&amp;TEXT(140,"000"),"")</f>
        <v/>
      </c>
      <c r="D1360" s="17" t="str">
        <f aca="false">IF(AND(Eingabe!$F$15&gt;0,Eingabe!$E$15&gt;=140),140,"")</f>
        <v/>
      </c>
      <c r="E1360" s="17" t="str">
        <f aca="false">IF(AND(Eingabe!$F$15&gt;0,Eingabe!$E$15&gt;=140),IF((Eingabe!$G$15+1)&lt;=9,1000+(Eingabe!$G$15+1)*100,3000)+40,"")</f>
        <v/>
      </c>
      <c r="F1360" s="17" t="str">
        <f aca="false">IF(AND(Eingabe!$F$15&gt;0,Eingabe!$E$15&gt;=140),"10."&amp;Eingabe!$D$15&amp;".140.0/24","")</f>
        <v/>
      </c>
      <c r="G1360" s="17" t="str">
        <f aca="false">IF(AND(Eingabe!$F$15&gt;0,Eingabe!$E$15&gt;=140),"10."&amp;Eingabe!$D$15&amp;".140.1","")</f>
        <v/>
      </c>
      <c r="H1360" s="17" t="str">
        <f aca="false">IF(AND(Eingabe!$F$15&gt;0,Eingabe!$E$15&gt;=140),"10."&amp;Eingabe!$D$15&amp;".140.10 – 10."&amp;Eingabe!$D$15&amp;".140.250","")</f>
        <v/>
      </c>
      <c r="I1360" s="17" t="str">
        <f aca="false">IF(AND(Eingabe!$F$15&gt;0,Eingabe!$E$15&gt;=140),Eingabe!$B$6&amp;"-"&amp;Eingabe!$C$15&amp;"-Pächter","")</f>
        <v/>
      </c>
      <c r="J1360" s="17" t="str">
        <f aca="false">IF(AND(Eingabe!$F$15&gt;0,Eingabe!$E$15&gt;=140),"PPSK: Passwort Parzelle 140","")</f>
        <v/>
      </c>
      <c r="K1360" s="17" t="str">
        <f aca="false">IF(AND(Eingabe!$F$15&gt;0,Eingabe!$E$15&gt;=140),"1. Gerät: 10."&amp;Eingabe!$D$15&amp;".140.10, 2. Gerät: .11","")</f>
        <v/>
      </c>
    </row>
    <row r="1361" customFormat="false" ht="15" hidden="false" customHeight="false" outlineLevel="0" collapsed="false">
      <c r="A1361" s="17" t="str">
        <f aca="false">IF(AND(Eingabe!$F$15&gt;0,Eingabe!$E$15&gt;=141),7,"")</f>
        <v/>
      </c>
      <c r="B1361" s="17" t="str">
        <f aca="false">IF(AND(Eingabe!$F$15&gt;0,Eingabe!$E$15&gt;=141),Eingabe!$B$15,"")</f>
        <v/>
      </c>
      <c r="C1361" s="17" t="str">
        <f aca="false">IF(AND(Eingabe!$F$15&gt;0,Eingabe!$E$15&gt;=141),Eingabe!$C$15&amp;"-Paz."&amp;TEXT(141,"000"),"")</f>
        <v/>
      </c>
      <c r="D1361" s="17" t="str">
        <f aca="false">IF(AND(Eingabe!$F$15&gt;0,Eingabe!$E$15&gt;=141),141,"")</f>
        <v/>
      </c>
      <c r="E1361" s="17" t="str">
        <f aca="false">IF(AND(Eingabe!$F$15&gt;0,Eingabe!$E$15&gt;=141),IF((Eingabe!$G$15+1)&lt;=9,1000+(Eingabe!$G$15+1)*100,3000)+41,"")</f>
        <v/>
      </c>
      <c r="F1361" s="17" t="str">
        <f aca="false">IF(AND(Eingabe!$F$15&gt;0,Eingabe!$E$15&gt;=141),"10."&amp;Eingabe!$D$15&amp;".141.0/24","")</f>
        <v/>
      </c>
      <c r="G1361" s="17" t="str">
        <f aca="false">IF(AND(Eingabe!$F$15&gt;0,Eingabe!$E$15&gt;=141),"10."&amp;Eingabe!$D$15&amp;".141.1","")</f>
        <v/>
      </c>
      <c r="H1361" s="17" t="str">
        <f aca="false">IF(AND(Eingabe!$F$15&gt;0,Eingabe!$E$15&gt;=141),"10."&amp;Eingabe!$D$15&amp;".141.10 – 10."&amp;Eingabe!$D$15&amp;".141.250","")</f>
        <v/>
      </c>
      <c r="I1361" s="17" t="str">
        <f aca="false">IF(AND(Eingabe!$F$15&gt;0,Eingabe!$E$15&gt;=141),Eingabe!$B$6&amp;"-"&amp;Eingabe!$C$15&amp;"-Pächter","")</f>
        <v/>
      </c>
      <c r="J1361" s="17" t="str">
        <f aca="false">IF(AND(Eingabe!$F$15&gt;0,Eingabe!$E$15&gt;=141),"PPSK: Passwort Parzelle 141","")</f>
        <v/>
      </c>
      <c r="K1361" s="17" t="str">
        <f aca="false">IF(AND(Eingabe!$F$15&gt;0,Eingabe!$E$15&gt;=141),"1. Gerät: 10."&amp;Eingabe!$D$15&amp;".141.10, 2. Gerät: .11","")</f>
        <v/>
      </c>
    </row>
    <row r="1362" customFormat="false" ht="15" hidden="false" customHeight="false" outlineLevel="0" collapsed="false">
      <c r="A1362" s="17" t="str">
        <f aca="false">IF(AND(Eingabe!$F$15&gt;0,Eingabe!$E$15&gt;=142),7,"")</f>
        <v/>
      </c>
      <c r="B1362" s="17" t="str">
        <f aca="false">IF(AND(Eingabe!$F$15&gt;0,Eingabe!$E$15&gt;=142),Eingabe!$B$15,"")</f>
        <v/>
      </c>
      <c r="C1362" s="17" t="str">
        <f aca="false">IF(AND(Eingabe!$F$15&gt;0,Eingabe!$E$15&gt;=142),Eingabe!$C$15&amp;"-Paz."&amp;TEXT(142,"000"),"")</f>
        <v/>
      </c>
      <c r="D1362" s="17" t="str">
        <f aca="false">IF(AND(Eingabe!$F$15&gt;0,Eingabe!$E$15&gt;=142),142,"")</f>
        <v/>
      </c>
      <c r="E1362" s="17" t="str">
        <f aca="false">IF(AND(Eingabe!$F$15&gt;0,Eingabe!$E$15&gt;=142),IF((Eingabe!$G$15+1)&lt;=9,1000+(Eingabe!$G$15+1)*100,3000)+42,"")</f>
        <v/>
      </c>
      <c r="F1362" s="17" t="str">
        <f aca="false">IF(AND(Eingabe!$F$15&gt;0,Eingabe!$E$15&gt;=142),"10."&amp;Eingabe!$D$15&amp;".142.0/24","")</f>
        <v/>
      </c>
      <c r="G1362" s="17" t="str">
        <f aca="false">IF(AND(Eingabe!$F$15&gt;0,Eingabe!$E$15&gt;=142),"10."&amp;Eingabe!$D$15&amp;".142.1","")</f>
        <v/>
      </c>
      <c r="H1362" s="17" t="str">
        <f aca="false">IF(AND(Eingabe!$F$15&gt;0,Eingabe!$E$15&gt;=142),"10."&amp;Eingabe!$D$15&amp;".142.10 – 10."&amp;Eingabe!$D$15&amp;".142.250","")</f>
        <v/>
      </c>
      <c r="I1362" s="17" t="str">
        <f aca="false">IF(AND(Eingabe!$F$15&gt;0,Eingabe!$E$15&gt;=142),Eingabe!$B$6&amp;"-"&amp;Eingabe!$C$15&amp;"-Pächter","")</f>
        <v/>
      </c>
      <c r="J1362" s="17" t="str">
        <f aca="false">IF(AND(Eingabe!$F$15&gt;0,Eingabe!$E$15&gt;=142),"PPSK: Passwort Parzelle 142","")</f>
        <v/>
      </c>
      <c r="K1362" s="17" t="str">
        <f aca="false">IF(AND(Eingabe!$F$15&gt;0,Eingabe!$E$15&gt;=142),"1. Gerät: 10."&amp;Eingabe!$D$15&amp;".142.10, 2. Gerät: .11","")</f>
        <v/>
      </c>
    </row>
    <row r="1363" customFormat="false" ht="15" hidden="false" customHeight="false" outlineLevel="0" collapsed="false">
      <c r="A1363" s="17" t="str">
        <f aca="false">IF(AND(Eingabe!$F$15&gt;0,Eingabe!$E$15&gt;=143),7,"")</f>
        <v/>
      </c>
      <c r="B1363" s="17" t="str">
        <f aca="false">IF(AND(Eingabe!$F$15&gt;0,Eingabe!$E$15&gt;=143),Eingabe!$B$15,"")</f>
        <v/>
      </c>
      <c r="C1363" s="17" t="str">
        <f aca="false">IF(AND(Eingabe!$F$15&gt;0,Eingabe!$E$15&gt;=143),Eingabe!$C$15&amp;"-Paz."&amp;TEXT(143,"000"),"")</f>
        <v/>
      </c>
      <c r="D1363" s="17" t="str">
        <f aca="false">IF(AND(Eingabe!$F$15&gt;0,Eingabe!$E$15&gt;=143),143,"")</f>
        <v/>
      </c>
      <c r="E1363" s="17" t="str">
        <f aca="false">IF(AND(Eingabe!$F$15&gt;0,Eingabe!$E$15&gt;=143),IF((Eingabe!$G$15+1)&lt;=9,1000+(Eingabe!$G$15+1)*100,3000)+43,"")</f>
        <v/>
      </c>
      <c r="F1363" s="17" t="str">
        <f aca="false">IF(AND(Eingabe!$F$15&gt;0,Eingabe!$E$15&gt;=143),"10."&amp;Eingabe!$D$15&amp;".143.0/24","")</f>
        <v/>
      </c>
      <c r="G1363" s="17" t="str">
        <f aca="false">IF(AND(Eingabe!$F$15&gt;0,Eingabe!$E$15&gt;=143),"10."&amp;Eingabe!$D$15&amp;".143.1","")</f>
        <v/>
      </c>
      <c r="H1363" s="17" t="str">
        <f aca="false">IF(AND(Eingabe!$F$15&gt;0,Eingabe!$E$15&gt;=143),"10."&amp;Eingabe!$D$15&amp;".143.10 – 10."&amp;Eingabe!$D$15&amp;".143.250","")</f>
        <v/>
      </c>
      <c r="I1363" s="17" t="str">
        <f aca="false">IF(AND(Eingabe!$F$15&gt;0,Eingabe!$E$15&gt;=143),Eingabe!$B$6&amp;"-"&amp;Eingabe!$C$15&amp;"-Pächter","")</f>
        <v/>
      </c>
      <c r="J1363" s="17" t="str">
        <f aca="false">IF(AND(Eingabe!$F$15&gt;0,Eingabe!$E$15&gt;=143),"PPSK: Passwort Parzelle 143","")</f>
        <v/>
      </c>
      <c r="K1363" s="17" t="str">
        <f aca="false">IF(AND(Eingabe!$F$15&gt;0,Eingabe!$E$15&gt;=143),"1. Gerät: 10."&amp;Eingabe!$D$15&amp;".143.10, 2. Gerät: .11","")</f>
        <v/>
      </c>
    </row>
    <row r="1364" customFormat="false" ht="15" hidden="false" customHeight="false" outlineLevel="0" collapsed="false">
      <c r="A1364" s="17" t="str">
        <f aca="false">IF(AND(Eingabe!$F$15&gt;0,Eingabe!$E$15&gt;=144),7,"")</f>
        <v/>
      </c>
      <c r="B1364" s="17" t="str">
        <f aca="false">IF(AND(Eingabe!$F$15&gt;0,Eingabe!$E$15&gt;=144),Eingabe!$B$15,"")</f>
        <v/>
      </c>
      <c r="C1364" s="17" t="str">
        <f aca="false">IF(AND(Eingabe!$F$15&gt;0,Eingabe!$E$15&gt;=144),Eingabe!$C$15&amp;"-Paz."&amp;TEXT(144,"000"),"")</f>
        <v/>
      </c>
      <c r="D1364" s="17" t="str">
        <f aca="false">IF(AND(Eingabe!$F$15&gt;0,Eingabe!$E$15&gt;=144),144,"")</f>
        <v/>
      </c>
      <c r="E1364" s="17" t="str">
        <f aca="false">IF(AND(Eingabe!$F$15&gt;0,Eingabe!$E$15&gt;=144),IF((Eingabe!$G$15+1)&lt;=9,1000+(Eingabe!$G$15+1)*100,3000)+44,"")</f>
        <v/>
      </c>
      <c r="F1364" s="17" t="str">
        <f aca="false">IF(AND(Eingabe!$F$15&gt;0,Eingabe!$E$15&gt;=144),"10."&amp;Eingabe!$D$15&amp;".144.0/24","")</f>
        <v/>
      </c>
      <c r="G1364" s="17" t="str">
        <f aca="false">IF(AND(Eingabe!$F$15&gt;0,Eingabe!$E$15&gt;=144),"10."&amp;Eingabe!$D$15&amp;".144.1","")</f>
        <v/>
      </c>
      <c r="H1364" s="17" t="str">
        <f aca="false">IF(AND(Eingabe!$F$15&gt;0,Eingabe!$E$15&gt;=144),"10."&amp;Eingabe!$D$15&amp;".144.10 – 10."&amp;Eingabe!$D$15&amp;".144.250","")</f>
        <v/>
      </c>
      <c r="I1364" s="17" t="str">
        <f aca="false">IF(AND(Eingabe!$F$15&gt;0,Eingabe!$E$15&gt;=144),Eingabe!$B$6&amp;"-"&amp;Eingabe!$C$15&amp;"-Pächter","")</f>
        <v/>
      </c>
      <c r="J1364" s="17" t="str">
        <f aca="false">IF(AND(Eingabe!$F$15&gt;0,Eingabe!$E$15&gt;=144),"PPSK: Passwort Parzelle 144","")</f>
        <v/>
      </c>
      <c r="K1364" s="17" t="str">
        <f aca="false">IF(AND(Eingabe!$F$15&gt;0,Eingabe!$E$15&gt;=144),"1. Gerät: 10."&amp;Eingabe!$D$15&amp;".144.10, 2. Gerät: .11","")</f>
        <v/>
      </c>
    </row>
    <row r="1365" customFormat="false" ht="15" hidden="false" customHeight="false" outlineLevel="0" collapsed="false">
      <c r="A1365" s="17" t="str">
        <f aca="false">IF(AND(Eingabe!$F$15&gt;0,Eingabe!$E$15&gt;=145),7,"")</f>
        <v/>
      </c>
      <c r="B1365" s="17" t="str">
        <f aca="false">IF(AND(Eingabe!$F$15&gt;0,Eingabe!$E$15&gt;=145),Eingabe!$B$15,"")</f>
        <v/>
      </c>
      <c r="C1365" s="17" t="str">
        <f aca="false">IF(AND(Eingabe!$F$15&gt;0,Eingabe!$E$15&gt;=145),Eingabe!$C$15&amp;"-Paz."&amp;TEXT(145,"000"),"")</f>
        <v/>
      </c>
      <c r="D1365" s="17" t="str">
        <f aca="false">IF(AND(Eingabe!$F$15&gt;0,Eingabe!$E$15&gt;=145),145,"")</f>
        <v/>
      </c>
      <c r="E1365" s="17" t="str">
        <f aca="false">IF(AND(Eingabe!$F$15&gt;0,Eingabe!$E$15&gt;=145),IF((Eingabe!$G$15+1)&lt;=9,1000+(Eingabe!$G$15+1)*100,3000)+45,"")</f>
        <v/>
      </c>
      <c r="F1365" s="17" t="str">
        <f aca="false">IF(AND(Eingabe!$F$15&gt;0,Eingabe!$E$15&gt;=145),"10."&amp;Eingabe!$D$15&amp;".145.0/24","")</f>
        <v/>
      </c>
      <c r="G1365" s="17" t="str">
        <f aca="false">IF(AND(Eingabe!$F$15&gt;0,Eingabe!$E$15&gt;=145),"10."&amp;Eingabe!$D$15&amp;".145.1","")</f>
        <v/>
      </c>
      <c r="H1365" s="17" t="str">
        <f aca="false">IF(AND(Eingabe!$F$15&gt;0,Eingabe!$E$15&gt;=145),"10."&amp;Eingabe!$D$15&amp;".145.10 – 10."&amp;Eingabe!$D$15&amp;".145.250","")</f>
        <v/>
      </c>
      <c r="I1365" s="17" t="str">
        <f aca="false">IF(AND(Eingabe!$F$15&gt;0,Eingabe!$E$15&gt;=145),Eingabe!$B$6&amp;"-"&amp;Eingabe!$C$15&amp;"-Pächter","")</f>
        <v/>
      </c>
      <c r="J1365" s="17" t="str">
        <f aca="false">IF(AND(Eingabe!$F$15&gt;0,Eingabe!$E$15&gt;=145),"PPSK: Passwort Parzelle 145","")</f>
        <v/>
      </c>
      <c r="K1365" s="17" t="str">
        <f aca="false">IF(AND(Eingabe!$F$15&gt;0,Eingabe!$E$15&gt;=145),"1. Gerät: 10."&amp;Eingabe!$D$15&amp;".145.10, 2. Gerät: .11","")</f>
        <v/>
      </c>
    </row>
    <row r="1366" customFormat="false" ht="15" hidden="false" customHeight="false" outlineLevel="0" collapsed="false">
      <c r="A1366" s="17" t="str">
        <f aca="false">IF(AND(Eingabe!$F$15&gt;0,Eingabe!$E$15&gt;=146),7,"")</f>
        <v/>
      </c>
      <c r="B1366" s="17" t="str">
        <f aca="false">IF(AND(Eingabe!$F$15&gt;0,Eingabe!$E$15&gt;=146),Eingabe!$B$15,"")</f>
        <v/>
      </c>
      <c r="C1366" s="17" t="str">
        <f aca="false">IF(AND(Eingabe!$F$15&gt;0,Eingabe!$E$15&gt;=146),Eingabe!$C$15&amp;"-Paz."&amp;TEXT(146,"000"),"")</f>
        <v/>
      </c>
      <c r="D1366" s="17" t="str">
        <f aca="false">IF(AND(Eingabe!$F$15&gt;0,Eingabe!$E$15&gt;=146),146,"")</f>
        <v/>
      </c>
      <c r="E1366" s="17" t="str">
        <f aca="false">IF(AND(Eingabe!$F$15&gt;0,Eingabe!$E$15&gt;=146),IF((Eingabe!$G$15+1)&lt;=9,1000+(Eingabe!$G$15+1)*100,3000)+46,"")</f>
        <v/>
      </c>
      <c r="F1366" s="17" t="str">
        <f aca="false">IF(AND(Eingabe!$F$15&gt;0,Eingabe!$E$15&gt;=146),"10."&amp;Eingabe!$D$15&amp;".146.0/24","")</f>
        <v/>
      </c>
      <c r="G1366" s="17" t="str">
        <f aca="false">IF(AND(Eingabe!$F$15&gt;0,Eingabe!$E$15&gt;=146),"10."&amp;Eingabe!$D$15&amp;".146.1","")</f>
        <v/>
      </c>
      <c r="H1366" s="17" t="str">
        <f aca="false">IF(AND(Eingabe!$F$15&gt;0,Eingabe!$E$15&gt;=146),"10."&amp;Eingabe!$D$15&amp;".146.10 – 10."&amp;Eingabe!$D$15&amp;".146.250","")</f>
        <v/>
      </c>
      <c r="I1366" s="17" t="str">
        <f aca="false">IF(AND(Eingabe!$F$15&gt;0,Eingabe!$E$15&gt;=146),Eingabe!$B$6&amp;"-"&amp;Eingabe!$C$15&amp;"-Pächter","")</f>
        <v/>
      </c>
      <c r="J1366" s="17" t="str">
        <f aca="false">IF(AND(Eingabe!$F$15&gt;0,Eingabe!$E$15&gt;=146),"PPSK: Passwort Parzelle 146","")</f>
        <v/>
      </c>
      <c r="K1366" s="17" t="str">
        <f aca="false">IF(AND(Eingabe!$F$15&gt;0,Eingabe!$E$15&gt;=146),"1. Gerät: 10."&amp;Eingabe!$D$15&amp;".146.10, 2. Gerät: .11","")</f>
        <v/>
      </c>
    </row>
    <row r="1367" customFormat="false" ht="15" hidden="false" customHeight="false" outlineLevel="0" collapsed="false">
      <c r="A1367" s="17" t="str">
        <f aca="false">IF(AND(Eingabe!$F$15&gt;0,Eingabe!$E$15&gt;=147),7,"")</f>
        <v/>
      </c>
      <c r="B1367" s="17" t="str">
        <f aca="false">IF(AND(Eingabe!$F$15&gt;0,Eingabe!$E$15&gt;=147),Eingabe!$B$15,"")</f>
        <v/>
      </c>
      <c r="C1367" s="17" t="str">
        <f aca="false">IF(AND(Eingabe!$F$15&gt;0,Eingabe!$E$15&gt;=147),Eingabe!$C$15&amp;"-Paz."&amp;TEXT(147,"000"),"")</f>
        <v/>
      </c>
      <c r="D1367" s="17" t="str">
        <f aca="false">IF(AND(Eingabe!$F$15&gt;0,Eingabe!$E$15&gt;=147),147,"")</f>
        <v/>
      </c>
      <c r="E1367" s="17" t="str">
        <f aca="false">IF(AND(Eingabe!$F$15&gt;0,Eingabe!$E$15&gt;=147),IF((Eingabe!$G$15+1)&lt;=9,1000+(Eingabe!$G$15+1)*100,3000)+47,"")</f>
        <v/>
      </c>
      <c r="F1367" s="17" t="str">
        <f aca="false">IF(AND(Eingabe!$F$15&gt;0,Eingabe!$E$15&gt;=147),"10."&amp;Eingabe!$D$15&amp;".147.0/24","")</f>
        <v/>
      </c>
      <c r="G1367" s="17" t="str">
        <f aca="false">IF(AND(Eingabe!$F$15&gt;0,Eingabe!$E$15&gt;=147),"10."&amp;Eingabe!$D$15&amp;".147.1","")</f>
        <v/>
      </c>
      <c r="H1367" s="17" t="str">
        <f aca="false">IF(AND(Eingabe!$F$15&gt;0,Eingabe!$E$15&gt;=147),"10."&amp;Eingabe!$D$15&amp;".147.10 – 10."&amp;Eingabe!$D$15&amp;".147.250","")</f>
        <v/>
      </c>
      <c r="I1367" s="17" t="str">
        <f aca="false">IF(AND(Eingabe!$F$15&gt;0,Eingabe!$E$15&gt;=147),Eingabe!$B$6&amp;"-"&amp;Eingabe!$C$15&amp;"-Pächter","")</f>
        <v/>
      </c>
      <c r="J1367" s="17" t="str">
        <f aca="false">IF(AND(Eingabe!$F$15&gt;0,Eingabe!$E$15&gt;=147),"PPSK: Passwort Parzelle 147","")</f>
        <v/>
      </c>
      <c r="K1367" s="17" t="str">
        <f aca="false">IF(AND(Eingabe!$F$15&gt;0,Eingabe!$E$15&gt;=147),"1. Gerät: 10."&amp;Eingabe!$D$15&amp;".147.10, 2. Gerät: .11","")</f>
        <v/>
      </c>
    </row>
    <row r="1368" customFormat="false" ht="15" hidden="false" customHeight="false" outlineLevel="0" collapsed="false">
      <c r="A1368" s="17" t="str">
        <f aca="false">IF(AND(Eingabe!$F$15&gt;0,Eingabe!$E$15&gt;=148),7,"")</f>
        <v/>
      </c>
      <c r="B1368" s="17" t="str">
        <f aca="false">IF(AND(Eingabe!$F$15&gt;0,Eingabe!$E$15&gt;=148),Eingabe!$B$15,"")</f>
        <v/>
      </c>
      <c r="C1368" s="17" t="str">
        <f aca="false">IF(AND(Eingabe!$F$15&gt;0,Eingabe!$E$15&gt;=148),Eingabe!$C$15&amp;"-Paz."&amp;TEXT(148,"000"),"")</f>
        <v/>
      </c>
      <c r="D1368" s="17" t="str">
        <f aca="false">IF(AND(Eingabe!$F$15&gt;0,Eingabe!$E$15&gt;=148),148,"")</f>
        <v/>
      </c>
      <c r="E1368" s="17" t="str">
        <f aca="false">IF(AND(Eingabe!$F$15&gt;0,Eingabe!$E$15&gt;=148),IF((Eingabe!$G$15+1)&lt;=9,1000+(Eingabe!$G$15+1)*100,3000)+48,"")</f>
        <v/>
      </c>
      <c r="F1368" s="17" t="str">
        <f aca="false">IF(AND(Eingabe!$F$15&gt;0,Eingabe!$E$15&gt;=148),"10."&amp;Eingabe!$D$15&amp;".148.0/24","")</f>
        <v/>
      </c>
      <c r="G1368" s="17" t="str">
        <f aca="false">IF(AND(Eingabe!$F$15&gt;0,Eingabe!$E$15&gt;=148),"10."&amp;Eingabe!$D$15&amp;".148.1","")</f>
        <v/>
      </c>
      <c r="H1368" s="17" t="str">
        <f aca="false">IF(AND(Eingabe!$F$15&gt;0,Eingabe!$E$15&gt;=148),"10."&amp;Eingabe!$D$15&amp;".148.10 – 10."&amp;Eingabe!$D$15&amp;".148.250","")</f>
        <v/>
      </c>
      <c r="I1368" s="17" t="str">
        <f aca="false">IF(AND(Eingabe!$F$15&gt;0,Eingabe!$E$15&gt;=148),Eingabe!$B$6&amp;"-"&amp;Eingabe!$C$15&amp;"-Pächter","")</f>
        <v/>
      </c>
      <c r="J1368" s="17" t="str">
        <f aca="false">IF(AND(Eingabe!$F$15&gt;0,Eingabe!$E$15&gt;=148),"PPSK: Passwort Parzelle 148","")</f>
        <v/>
      </c>
      <c r="K1368" s="17" t="str">
        <f aca="false">IF(AND(Eingabe!$F$15&gt;0,Eingabe!$E$15&gt;=148),"1. Gerät: 10."&amp;Eingabe!$D$15&amp;".148.10, 2. Gerät: .11","")</f>
        <v/>
      </c>
    </row>
    <row r="1369" customFormat="false" ht="15" hidden="false" customHeight="false" outlineLevel="0" collapsed="false">
      <c r="A1369" s="17" t="str">
        <f aca="false">IF(AND(Eingabe!$F$15&gt;0,Eingabe!$E$15&gt;=149),7,"")</f>
        <v/>
      </c>
      <c r="B1369" s="17" t="str">
        <f aca="false">IF(AND(Eingabe!$F$15&gt;0,Eingabe!$E$15&gt;=149),Eingabe!$B$15,"")</f>
        <v/>
      </c>
      <c r="C1369" s="17" t="str">
        <f aca="false">IF(AND(Eingabe!$F$15&gt;0,Eingabe!$E$15&gt;=149),Eingabe!$C$15&amp;"-Paz."&amp;TEXT(149,"000"),"")</f>
        <v/>
      </c>
      <c r="D1369" s="17" t="str">
        <f aca="false">IF(AND(Eingabe!$F$15&gt;0,Eingabe!$E$15&gt;=149),149,"")</f>
        <v/>
      </c>
      <c r="E1369" s="17" t="str">
        <f aca="false">IF(AND(Eingabe!$F$15&gt;0,Eingabe!$E$15&gt;=149),IF((Eingabe!$G$15+1)&lt;=9,1000+(Eingabe!$G$15+1)*100,3000)+49,"")</f>
        <v/>
      </c>
      <c r="F1369" s="17" t="str">
        <f aca="false">IF(AND(Eingabe!$F$15&gt;0,Eingabe!$E$15&gt;=149),"10."&amp;Eingabe!$D$15&amp;".149.0/24","")</f>
        <v/>
      </c>
      <c r="G1369" s="17" t="str">
        <f aca="false">IF(AND(Eingabe!$F$15&gt;0,Eingabe!$E$15&gt;=149),"10."&amp;Eingabe!$D$15&amp;".149.1","")</f>
        <v/>
      </c>
      <c r="H1369" s="17" t="str">
        <f aca="false">IF(AND(Eingabe!$F$15&gt;0,Eingabe!$E$15&gt;=149),"10."&amp;Eingabe!$D$15&amp;".149.10 – 10."&amp;Eingabe!$D$15&amp;".149.250","")</f>
        <v/>
      </c>
      <c r="I1369" s="17" t="str">
        <f aca="false">IF(AND(Eingabe!$F$15&gt;0,Eingabe!$E$15&gt;=149),Eingabe!$B$6&amp;"-"&amp;Eingabe!$C$15&amp;"-Pächter","")</f>
        <v/>
      </c>
      <c r="J1369" s="17" t="str">
        <f aca="false">IF(AND(Eingabe!$F$15&gt;0,Eingabe!$E$15&gt;=149),"PPSK: Passwort Parzelle 149","")</f>
        <v/>
      </c>
      <c r="K1369" s="17" t="str">
        <f aca="false">IF(AND(Eingabe!$F$15&gt;0,Eingabe!$E$15&gt;=149),"1. Gerät: 10."&amp;Eingabe!$D$15&amp;".149.10, 2. Gerät: .11","")</f>
        <v/>
      </c>
    </row>
    <row r="1370" customFormat="false" ht="15" hidden="false" customHeight="false" outlineLevel="0" collapsed="false">
      <c r="A1370" s="17" t="str">
        <f aca="false">IF(AND(Eingabe!$F$15&gt;0,Eingabe!$E$15&gt;=150),7,"")</f>
        <v/>
      </c>
      <c r="B1370" s="17" t="str">
        <f aca="false">IF(AND(Eingabe!$F$15&gt;0,Eingabe!$E$15&gt;=150),Eingabe!$B$15,"")</f>
        <v/>
      </c>
      <c r="C1370" s="17" t="str">
        <f aca="false">IF(AND(Eingabe!$F$15&gt;0,Eingabe!$E$15&gt;=150),Eingabe!$C$15&amp;"-Paz."&amp;TEXT(150,"000"),"")</f>
        <v/>
      </c>
      <c r="D1370" s="17" t="str">
        <f aca="false">IF(AND(Eingabe!$F$15&gt;0,Eingabe!$E$15&gt;=150),150,"")</f>
        <v/>
      </c>
      <c r="E1370" s="17" t="str">
        <f aca="false">IF(AND(Eingabe!$F$15&gt;0,Eingabe!$E$15&gt;=150),IF((Eingabe!$G$15+1)&lt;=9,1000+(Eingabe!$G$15+1)*100,3000)+50,"")</f>
        <v/>
      </c>
      <c r="F1370" s="17" t="str">
        <f aca="false">IF(AND(Eingabe!$F$15&gt;0,Eingabe!$E$15&gt;=150),"10."&amp;Eingabe!$D$15&amp;".150.0/24","")</f>
        <v/>
      </c>
      <c r="G1370" s="17" t="str">
        <f aca="false">IF(AND(Eingabe!$F$15&gt;0,Eingabe!$E$15&gt;=150),"10."&amp;Eingabe!$D$15&amp;".150.1","")</f>
        <v/>
      </c>
      <c r="H1370" s="17" t="str">
        <f aca="false">IF(AND(Eingabe!$F$15&gt;0,Eingabe!$E$15&gt;=150),"10."&amp;Eingabe!$D$15&amp;".150.10 – 10."&amp;Eingabe!$D$15&amp;".150.250","")</f>
        <v/>
      </c>
      <c r="I1370" s="17" t="str">
        <f aca="false">IF(AND(Eingabe!$F$15&gt;0,Eingabe!$E$15&gt;=150),Eingabe!$B$6&amp;"-"&amp;Eingabe!$C$15&amp;"-Pächter","")</f>
        <v/>
      </c>
      <c r="J1370" s="17" t="str">
        <f aca="false">IF(AND(Eingabe!$F$15&gt;0,Eingabe!$E$15&gt;=150),"PPSK: Passwort Parzelle 150","")</f>
        <v/>
      </c>
      <c r="K1370" s="17" t="str">
        <f aca="false">IF(AND(Eingabe!$F$15&gt;0,Eingabe!$E$15&gt;=150),"1. Gerät: 10."&amp;Eingabe!$D$15&amp;".150.10, 2. Gerät: .11","")</f>
        <v/>
      </c>
    </row>
    <row r="1371" customFormat="false" ht="15" hidden="false" customHeight="false" outlineLevel="0" collapsed="false">
      <c r="A1371" s="17" t="str">
        <f aca="false">IF(AND(Eingabe!$F$15&gt;0,Eingabe!$E$15&gt;=151),7,"")</f>
        <v/>
      </c>
      <c r="B1371" s="17" t="str">
        <f aca="false">IF(AND(Eingabe!$F$15&gt;0,Eingabe!$E$15&gt;=151),Eingabe!$B$15,"")</f>
        <v/>
      </c>
      <c r="C1371" s="17" t="str">
        <f aca="false">IF(AND(Eingabe!$F$15&gt;0,Eingabe!$E$15&gt;=151),Eingabe!$C$15&amp;"-Paz."&amp;TEXT(151,"000"),"")</f>
        <v/>
      </c>
      <c r="D1371" s="17" t="str">
        <f aca="false">IF(AND(Eingabe!$F$15&gt;0,Eingabe!$E$15&gt;=151),151,"")</f>
        <v/>
      </c>
      <c r="E1371" s="17" t="str">
        <f aca="false">IF(AND(Eingabe!$F$15&gt;0,Eingabe!$E$15&gt;=151),IF((Eingabe!$G$15+1)&lt;=9,1000+(Eingabe!$G$15+1)*100,3000)+51,"")</f>
        <v/>
      </c>
      <c r="F1371" s="17" t="str">
        <f aca="false">IF(AND(Eingabe!$F$15&gt;0,Eingabe!$E$15&gt;=151),"10."&amp;Eingabe!$D$15&amp;".151.0/24","")</f>
        <v/>
      </c>
      <c r="G1371" s="17" t="str">
        <f aca="false">IF(AND(Eingabe!$F$15&gt;0,Eingabe!$E$15&gt;=151),"10."&amp;Eingabe!$D$15&amp;".151.1","")</f>
        <v/>
      </c>
      <c r="H1371" s="17" t="str">
        <f aca="false">IF(AND(Eingabe!$F$15&gt;0,Eingabe!$E$15&gt;=151),"10."&amp;Eingabe!$D$15&amp;".151.10 – 10."&amp;Eingabe!$D$15&amp;".151.250","")</f>
        <v/>
      </c>
      <c r="I1371" s="17" t="str">
        <f aca="false">IF(AND(Eingabe!$F$15&gt;0,Eingabe!$E$15&gt;=151),Eingabe!$B$6&amp;"-"&amp;Eingabe!$C$15&amp;"-Pächter","")</f>
        <v/>
      </c>
      <c r="J1371" s="17" t="str">
        <f aca="false">IF(AND(Eingabe!$F$15&gt;0,Eingabe!$E$15&gt;=151),"PPSK: Passwort Parzelle 151","")</f>
        <v/>
      </c>
      <c r="K1371" s="17" t="str">
        <f aca="false">IF(AND(Eingabe!$F$15&gt;0,Eingabe!$E$15&gt;=151),"1. Gerät: 10."&amp;Eingabe!$D$15&amp;".151.10, 2. Gerät: .11","")</f>
        <v/>
      </c>
    </row>
    <row r="1372" customFormat="false" ht="15" hidden="false" customHeight="false" outlineLevel="0" collapsed="false">
      <c r="A1372" s="17" t="str">
        <f aca="false">IF(AND(Eingabe!$F$15&gt;0,Eingabe!$E$15&gt;=152),7,"")</f>
        <v/>
      </c>
      <c r="B1372" s="17" t="str">
        <f aca="false">IF(AND(Eingabe!$F$15&gt;0,Eingabe!$E$15&gt;=152),Eingabe!$B$15,"")</f>
        <v/>
      </c>
      <c r="C1372" s="17" t="str">
        <f aca="false">IF(AND(Eingabe!$F$15&gt;0,Eingabe!$E$15&gt;=152),Eingabe!$C$15&amp;"-Paz."&amp;TEXT(152,"000"),"")</f>
        <v/>
      </c>
      <c r="D1372" s="17" t="str">
        <f aca="false">IF(AND(Eingabe!$F$15&gt;0,Eingabe!$E$15&gt;=152),152,"")</f>
        <v/>
      </c>
      <c r="E1372" s="17" t="str">
        <f aca="false">IF(AND(Eingabe!$F$15&gt;0,Eingabe!$E$15&gt;=152),IF((Eingabe!$G$15+1)&lt;=9,1000+(Eingabe!$G$15+1)*100,3000)+52,"")</f>
        <v/>
      </c>
      <c r="F1372" s="17" t="str">
        <f aca="false">IF(AND(Eingabe!$F$15&gt;0,Eingabe!$E$15&gt;=152),"10."&amp;Eingabe!$D$15&amp;".152.0/24","")</f>
        <v/>
      </c>
      <c r="G1372" s="17" t="str">
        <f aca="false">IF(AND(Eingabe!$F$15&gt;0,Eingabe!$E$15&gt;=152),"10."&amp;Eingabe!$D$15&amp;".152.1","")</f>
        <v/>
      </c>
      <c r="H1372" s="17" t="str">
        <f aca="false">IF(AND(Eingabe!$F$15&gt;0,Eingabe!$E$15&gt;=152),"10."&amp;Eingabe!$D$15&amp;".152.10 – 10."&amp;Eingabe!$D$15&amp;".152.250","")</f>
        <v/>
      </c>
      <c r="I1372" s="17" t="str">
        <f aca="false">IF(AND(Eingabe!$F$15&gt;0,Eingabe!$E$15&gt;=152),Eingabe!$B$6&amp;"-"&amp;Eingabe!$C$15&amp;"-Pächter","")</f>
        <v/>
      </c>
      <c r="J1372" s="17" t="str">
        <f aca="false">IF(AND(Eingabe!$F$15&gt;0,Eingabe!$E$15&gt;=152),"PPSK: Passwort Parzelle 152","")</f>
        <v/>
      </c>
      <c r="K1372" s="17" t="str">
        <f aca="false">IF(AND(Eingabe!$F$15&gt;0,Eingabe!$E$15&gt;=152),"1. Gerät: 10."&amp;Eingabe!$D$15&amp;".152.10, 2. Gerät: .11","")</f>
        <v/>
      </c>
    </row>
    <row r="1373" customFormat="false" ht="15" hidden="false" customHeight="false" outlineLevel="0" collapsed="false">
      <c r="A1373" s="17" t="str">
        <f aca="false">IF(AND(Eingabe!$F$15&gt;0,Eingabe!$E$15&gt;=153),7,"")</f>
        <v/>
      </c>
      <c r="B1373" s="17" t="str">
        <f aca="false">IF(AND(Eingabe!$F$15&gt;0,Eingabe!$E$15&gt;=153),Eingabe!$B$15,"")</f>
        <v/>
      </c>
      <c r="C1373" s="17" t="str">
        <f aca="false">IF(AND(Eingabe!$F$15&gt;0,Eingabe!$E$15&gt;=153),Eingabe!$C$15&amp;"-Paz."&amp;TEXT(153,"000"),"")</f>
        <v/>
      </c>
      <c r="D1373" s="17" t="str">
        <f aca="false">IF(AND(Eingabe!$F$15&gt;0,Eingabe!$E$15&gt;=153),153,"")</f>
        <v/>
      </c>
      <c r="E1373" s="17" t="str">
        <f aca="false">IF(AND(Eingabe!$F$15&gt;0,Eingabe!$E$15&gt;=153),IF((Eingabe!$G$15+1)&lt;=9,1000+(Eingabe!$G$15+1)*100,3000)+53,"")</f>
        <v/>
      </c>
      <c r="F1373" s="17" t="str">
        <f aca="false">IF(AND(Eingabe!$F$15&gt;0,Eingabe!$E$15&gt;=153),"10."&amp;Eingabe!$D$15&amp;".153.0/24","")</f>
        <v/>
      </c>
      <c r="G1373" s="17" t="str">
        <f aca="false">IF(AND(Eingabe!$F$15&gt;0,Eingabe!$E$15&gt;=153),"10."&amp;Eingabe!$D$15&amp;".153.1","")</f>
        <v/>
      </c>
      <c r="H1373" s="17" t="str">
        <f aca="false">IF(AND(Eingabe!$F$15&gt;0,Eingabe!$E$15&gt;=153),"10."&amp;Eingabe!$D$15&amp;".153.10 – 10."&amp;Eingabe!$D$15&amp;".153.250","")</f>
        <v/>
      </c>
      <c r="I1373" s="17" t="str">
        <f aca="false">IF(AND(Eingabe!$F$15&gt;0,Eingabe!$E$15&gt;=153),Eingabe!$B$6&amp;"-"&amp;Eingabe!$C$15&amp;"-Pächter","")</f>
        <v/>
      </c>
      <c r="J1373" s="17" t="str">
        <f aca="false">IF(AND(Eingabe!$F$15&gt;0,Eingabe!$E$15&gt;=153),"PPSK: Passwort Parzelle 153","")</f>
        <v/>
      </c>
      <c r="K1373" s="17" t="str">
        <f aca="false">IF(AND(Eingabe!$F$15&gt;0,Eingabe!$E$15&gt;=153),"1. Gerät: 10."&amp;Eingabe!$D$15&amp;".153.10, 2. Gerät: .11","")</f>
        <v/>
      </c>
    </row>
    <row r="1374" customFormat="false" ht="15" hidden="false" customHeight="false" outlineLevel="0" collapsed="false">
      <c r="A1374" s="17" t="str">
        <f aca="false">IF(AND(Eingabe!$F$15&gt;0,Eingabe!$E$15&gt;=154),7,"")</f>
        <v/>
      </c>
      <c r="B1374" s="17" t="str">
        <f aca="false">IF(AND(Eingabe!$F$15&gt;0,Eingabe!$E$15&gt;=154),Eingabe!$B$15,"")</f>
        <v/>
      </c>
      <c r="C1374" s="17" t="str">
        <f aca="false">IF(AND(Eingabe!$F$15&gt;0,Eingabe!$E$15&gt;=154),Eingabe!$C$15&amp;"-Paz."&amp;TEXT(154,"000"),"")</f>
        <v/>
      </c>
      <c r="D1374" s="17" t="str">
        <f aca="false">IF(AND(Eingabe!$F$15&gt;0,Eingabe!$E$15&gt;=154),154,"")</f>
        <v/>
      </c>
      <c r="E1374" s="17" t="str">
        <f aca="false">IF(AND(Eingabe!$F$15&gt;0,Eingabe!$E$15&gt;=154),IF((Eingabe!$G$15+1)&lt;=9,1000+(Eingabe!$G$15+1)*100,3000)+54,"")</f>
        <v/>
      </c>
      <c r="F1374" s="17" t="str">
        <f aca="false">IF(AND(Eingabe!$F$15&gt;0,Eingabe!$E$15&gt;=154),"10."&amp;Eingabe!$D$15&amp;".154.0/24","")</f>
        <v/>
      </c>
      <c r="G1374" s="17" t="str">
        <f aca="false">IF(AND(Eingabe!$F$15&gt;0,Eingabe!$E$15&gt;=154),"10."&amp;Eingabe!$D$15&amp;".154.1","")</f>
        <v/>
      </c>
      <c r="H1374" s="17" t="str">
        <f aca="false">IF(AND(Eingabe!$F$15&gt;0,Eingabe!$E$15&gt;=154),"10."&amp;Eingabe!$D$15&amp;".154.10 – 10."&amp;Eingabe!$D$15&amp;".154.250","")</f>
        <v/>
      </c>
      <c r="I1374" s="17" t="str">
        <f aca="false">IF(AND(Eingabe!$F$15&gt;0,Eingabe!$E$15&gt;=154),Eingabe!$B$6&amp;"-"&amp;Eingabe!$C$15&amp;"-Pächter","")</f>
        <v/>
      </c>
      <c r="J1374" s="17" t="str">
        <f aca="false">IF(AND(Eingabe!$F$15&gt;0,Eingabe!$E$15&gt;=154),"PPSK: Passwort Parzelle 154","")</f>
        <v/>
      </c>
      <c r="K1374" s="17" t="str">
        <f aca="false">IF(AND(Eingabe!$F$15&gt;0,Eingabe!$E$15&gt;=154),"1. Gerät: 10."&amp;Eingabe!$D$15&amp;".154.10, 2. Gerät: .11","")</f>
        <v/>
      </c>
    </row>
    <row r="1375" customFormat="false" ht="15" hidden="false" customHeight="false" outlineLevel="0" collapsed="false">
      <c r="A1375" s="17" t="str">
        <f aca="false">IF(AND(Eingabe!$F$15&gt;0,Eingabe!$E$15&gt;=155),7,"")</f>
        <v/>
      </c>
      <c r="B1375" s="17" t="str">
        <f aca="false">IF(AND(Eingabe!$F$15&gt;0,Eingabe!$E$15&gt;=155),Eingabe!$B$15,"")</f>
        <v/>
      </c>
      <c r="C1375" s="17" t="str">
        <f aca="false">IF(AND(Eingabe!$F$15&gt;0,Eingabe!$E$15&gt;=155),Eingabe!$C$15&amp;"-Paz."&amp;TEXT(155,"000"),"")</f>
        <v/>
      </c>
      <c r="D1375" s="17" t="str">
        <f aca="false">IF(AND(Eingabe!$F$15&gt;0,Eingabe!$E$15&gt;=155),155,"")</f>
        <v/>
      </c>
      <c r="E1375" s="17" t="str">
        <f aca="false">IF(AND(Eingabe!$F$15&gt;0,Eingabe!$E$15&gt;=155),IF((Eingabe!$G$15+1)&lt;=9,1000+(Eingabe!$G$15+1)*100,3000)+55,"")</f>
        <v/>
      </c>
      <c r="F1375" s="17" t="str">
        <f aca="false">IF(AND(Eingabe!$F$15&gt;0,Eingabe!$E$15&gt;=155),"10."&amp;Eingabe!$D$15&amp;".155.0/24","")</f>
        <v/>
      </c>
      <c r="G1375" s="17" t="str">
        <f aca="false">IF(AND(Eingabe!$F$15&gt;0,Eingabe!$E$15&gt;=155),"10."&amp;Eingabe!$D$15&amp;".155.1","")</f>
        <v/>
      </c>
      <c r="H1375" s="17" t="str">
        <f aca="false">IF(AND(Eingabe!$F$15&gt;0,Eingabe!$E$15&gt;=155),"10."&amp;Eingabe!$D$15&amp;".155.10 – 10."&amp;Eingabe!$D$15&amp;".155.250","")</f>
        <v/>
      </c>
      <c r="I1375" s="17" t="str">
        <f aca="false">IF(AND(Eingabe!$F$15&gt;0,Eingabe!$E$15&gt;=155),Eingabe!$B$6&amp;"-"&amp;Eingabe!$C$15&amp;"-Pächter","")</f>
        <v/>
      </c>
      <c r="J1375" s="17" t="str">
        <f aca="false">IF(AND(Eingabe!$F$15&gt;0,Eingabe!$E$15&gt;=155),"PPSK: Passwort Parzelle 155","")</f>
        <v/>
      </c>
      <c r="K1375" s="17" t="str">
        <f aca="false">IF(AND(Eingabe!$F$15&gt;0,Eingabe!$E$15&gt;=155),"1. Gerät: 10."&amp;Eingabe!$D$15&amp;".155.10, 2. Gerät: .11","")</f>
        <v/>
      </c>
    </row>
    <row r="1376" customFormat="false" ht="15" hidden="false" customHeight="false" outlineLevel="0" collapsed="false">
      <c r="A1376" s="17" t="str">
        <f aca="false">IF(AND(Eingabe!$F$15&gt;0,Eingabe!$E$15&gt;=156),7,"")</f>
        <v/>
      </c>
      <c r="B1376" s="17" t="str">
        <f aca="false">IF(AND(Eingabe!$F$15&gt;0,Eingabe!$E$15&gt;=156),Eingabe!$B$15,"")</f>
        <v/>
      </c>
      <c r="C1376" s="17" t="str">
        <f aca="false">IF(AND(Eingabe!$F$15&gt;0,Eingabe!$E$15&gt;=156),Eingabe!$C$15&amp;"-Paz."&amp;TEXT(156,"000"),"")</f>
        <v/>
      </c>
      <c r="D1376" s="17" t="str">
        <f aca="false">IF(AND(Eingabe!$F$15&gt;0,Eingabe!$E$15&gt;=156),156,"")</f>
        <v/>
      </c>
      <c r="E1376" s="17" t="str">
        <f aca="false">IF(AND(Eingabe!$F$15&gt;0,Eingabe!$E$15&gt;=156),IF((Eingabe!$G$15+1)&lt;=9,1000+(Eingabe!$G$15+1)*100,3000)+56,"")</f>
        <v/>
      </c>
      <c r="F1376" s="17" t="str">
        <f aca="false">IF(AND(Eingabe!$F$15&gt;0,Eingabe!$E$15&gt;=156),"10."&amp;Eingabe!$D$15&amp;".156.0/24","")</f>
        <v/>
      </c>
      <c r="G1376" s="17" t="str">
        <f aca="false">IF(AND(Eingabe!$F$15&gt;0,Eingabe!$E$15&gt;=156),"10."&amp;Eingabe!$D$15&amp;".156.1","")</f>
        <v/>
      </c>
      <c r="H1376" s="17" t="str">
        <f aca="false">IF(AND(Eingabe!$F$15&gt;0,Eingabe!$E$15&gt;=156),"10."&amp;Eingabe!$D$15&amp;".156.10 – 10."&amp;Eingabe!$D$15&amp;".156.250","")</f>
        <v/>
      </c>
      <c r="I1376" s="17" t="str">
        <f aca="false">IF(AND(Eingabe!$F$15&gt;0,Eingabe!$E$15&gt;=156),Eingabe!$B$6&amp;"-"&amp;Eingabe!$C$15&amp;"-Pächter","")</f>
        <v/>
      </c>
      <c r="J1376" s="17" t="str">
        <f aca="false">IF(AND(Eingabe!$F$15&gt;0,Eingabe!$E$15&gt;=156),"PPSK: Passwort Parzelle 156","")</f>
        <v/>
      </c>
      <c r="K1376" s="17" t="str">
        <f aca="false">IF(AND(Eingabe!$F$15&gt;0,Eingabe!$E$15&gt;=156),"1. Gerät: 10."&amp;Eingabe!$D$15&amp;".156.10, 2. Gerät: .11","")</f>
        <v/>
      </c>
    </row>
    <row r="1377" customFormat="false" ht="15" hidden="false" customHeight="false" outlineLevel="0" collapsed="false">
      <c r="A1377" s="17" t="str">
        <f aca="false">IF(AND(Eingabe!$F$15&gt;0,Eingabe!$E$15&gt;=157),7,"")</f>
        <v/>
      </c>
      <c r="B1377" s="17" t="str">
        <f aca="false">IF(AND(Eingabe!$F$15&gt;0,Eingabe!$E$15&gt;=157),Eingabe!$B$15,"")</f>
        <v/>
      </c>
      <c r="C1377" s="17" t="str">
        <f aca="false">IF(AND(Eingabe!$F$15&gt;0,Eingabe!$E$15&gt;=157),Eingabe!$C$15&amp;"-Paz."&amp;TEXT(157,"000"),"")</f>
        <v/>
      </c>
      <c r="D1377" s="17" t="str">
        <f aca="false">IF(AND(Eingabe!$F$15&gt;0,Eingabe!$E$15&gt;=157),157,"")</f>
        <v/>
      </c>
      <c r="E1377" s="17" t="str">
        <f aca="false">IF(AND(Eingabe!$F$15&gt;0,Eingabe!$E$15&gt;=157),IF((Eingabe!$G$15+1)&lt;=9,1000+(Eingabe!$G$15+1)*100,3000)+57,"")</f>
        <v/>
      </c>
      <c r="F1377" s="17" t="str">
        <f aca="false">IF(AND(Eingabe!$F$15&gt;0,Eingabe!$E$15&gt;=157),"10."&amp;Eingabe!$D$15&amp;".157.0/24","")</f>
        <v/>
      </c>
      <c r="G1377" s="17" t="str">
        <f aca="false">IF(AND(Eingabe!$F$15&gt;0,Eingabe!$E$15&gt;=157),"10."&amp;Eingabe!$D$15&amp;".157.1","")</f>
        <v/>
      </c>
      <c r="H1377" s="17" t="str">
        <f aca="false">IF(AND(Eingabe!$F$15&gt;0,Eingabe!$E$15&gt;=157),"10."&amp;Eingabe!$D$15&amp;".157.10 – 10."&amp;Eingabe!$D$15&amp;".157.250","")</f>
        <v/>
      </c>
      <c r="I1377" s="17" t="str">
        <f aca="false">IF(AND(Eingabe!$F$15&gt;0,Eingabe!$E$15&gt;=157),Eingabe!$B$6&amp;"-"&amp;Eingabe!$C$15&amp;"-Pächter","")</f>
        <v/>
      </c>
      <c r="J1377" s="17" t="str">
        <f aca="false">IF(AND(Eingabe!$F$15&gt;0,Eingabe!$E$15&gt;=157),"PPSK: Passwort Parzelle 157","")</f>
        <v/>
      </c>
      <c r="K1377" s="17" t="str">
        <f aca="false">IF(AND(Eingabe!$F$15&gt;0,Eingabe!$E$15&gt;=157),"1. Gerät: 10."&amp;Eingabe!$D$15&amp;".157.10, 2. Gerät: .11","")</f>
        <v/>
      </c>
    </row>
    <row r="1378" customFormat="false" ht="15" hidden="false" customHeight="false" outlineLevel="0" collapsed="false">
      <c r="A1378" s="17" t="str">
        <f aca="false">IF(AND(Eingabe!$F$15&gt;0,Eingabe!$E$15&gt;=158),7,"")</f>
        <v/>
      </c>
      <c r="B1378" s="17" t="str">
        <f aca="false">IF(AND(Eingabe!$F$15&gt;0,Eingabe!$E$15&gt;=158),Eingabe!$B$15,"")</f>
        <v/>
      </c>
      <c r="C1378" s="17" t="str">
        <f aca="false">IF(AND(Eingabe!$F$15&gt;0,Eingabe!$E$15&gt;=158),Eingabe!$C$15&amp;"-Paz."&amp;TEXT(158,"000"),"")</f>
        <v/>
      </c>
      <c r="D1378" s="17" t="str">
        <f aca="false">IF(AND(Eingabe!$F$15&gt;0,Eingabe!$E$15&gt;=158),158,"")</f>
        <v/>
      </c>
      <c r="E1378" s="17" t="str">
        <f aca="false">IF(AND(Eingabe!$F$15&gt;0,Eingabe!$E$15&gt;=158),IF((Eingabe!$G$15+1)&lt;=9,1000+(Eingabe!$G$15+1)*100,3000)+58,"")</f>
        <v/>
      </c>
      <c r="F1378" s="17" t="str">
        <f aca="false">IF(AND(Eingabe!$F$15&gt;0,Eingabe!$E$15&gt;=158),"10."&amp;Eingabe!$D$15&amp;".158.0/24","")</f>
        <v/>
      </c>
      <c r="G1378" s="17" t="str">
        <f aca="false">IF(AND(Eingabe!$F$15&gt;0,Eingabe!$E$15&gt;=158),"10."&amp;Eingabe!$D$15&amp;".158.1","")</f>
        <v/>
      </c>
      <c r="H1378" s="17" t="str">
        <f aca="false">IF(AND(Eingabe!$F$15&gt;0,Eingabe!$E$15&gt;=158),"10."&amp;Eingabe!$D$15&amp;".158.10 – 10."&amp;Eingabe!$D$15&amp;".158.250","")</f>
        <v/>
      </c>
      <c r="I1378" s="17" t="str">
        <f aca="false">IF(AND(Eingabe!$F$15&gt;0,Eingabe!$E$15&gt;=158),Eingabe!$B$6&amp;"-"&amp;Eingabe!$C$15&amp;"-Pächter","")</f>
        <v/>
      </c>
      <c r="J1378" s="17" t="str">
        <f aca="false">IF(AND(Eingabe!$F$15&gt;0,Eingabe!$E$15&gt;=158),"PPSK: Passwort Parzelle 158","")</f>
        <v/>
      </c>
      <c r="K1378" s="17" t="str">
        <f aca="false">IF(AND(Eingabe!$F$15&gt;0,Eingabe!$E$15&gt;=158),"1. Gerät: 10."&amp;Eingabe!$D$15&amp;".158.10, 2. Gerät: .11","")</f>
        <v/>
      </c>
    </row>
    <row r="1379" customFormat="false" ht="15" hidden="false" customHeight="false" outlineLevel="0" collapsed="false">
      <c r="A1379" s="17" t="str">
        <f aca="false">IF(AND(Eingabe!$F$15&gt;0,Eingabe!$E$15&gt;=159),7,"")</f>
        <v/>
      </c>
      <c r="B1379" s="17" t="str">
        <f aca="false">IF(AND(Eingabe!$F$15&gt;0,Eingabe!$E$15&gt;=159),Eingabe!$B$15,"")</f>
        <v/>
      </c>
      <c r="C1379" s="17" t="str">
        <f aca="false">IF(AND(Eingabe!$F$15&gt;0,Eingabe!$E$15&gt;=159),Eingabe!$C$15&amp;"-Paz."&amp;TEXT(159,"000"),"")</f>
        <v/>
      </c>
      <c r="D1379" s="17" t="str">
        <f aca="false">IF(AND(Eingabe!$F$15&gt;0,Eingabe!$E$15&gt;=159),159,"")</f>
        <v/>
      </c>
      <c r="E1379" s="17" t="str">
        <f aca="false">IF(AND(Eingabe!$F$15&gt;0,Eingabe!$E$15&gt;=159),IF((Eingabe!$G$15+1)&lt;=9,1000+(Eingabe!$G$15+1)*100,3000)+59,"")</f>
        <v/>
      </c>
      <c r="F1379" s="17" t="str">
        <f aca="false">IF(AND(Eingabe!$F$15&gt;0,Eingabe!$E$15&gt;=159),"10."&amp;Eingabe!$D$15&amp;".159.0/24","")</f>
        <v/>
      </c>
      <c r="G1379" s="17" t="str">
        <f aca="false">IF(AND(Eingabe!$F$15&gt;0,Eingabe!$E$15&gt;=159),"10."&amp;Eingabe!$D$15&amp;".159.1","")</f>
        <v/>
      </c>
      <c r="H1379" s="17" t="str">
        <f aca="false">IF(AND(Eingabe!$F$15&gt;0,Eingabe!$E$15&gt;=159),"10."&amp;Eingabe!$D$15&amp;".159.10 – 10."&amp;Eingabe!$D$15&amp;".159.250","")</f>
        <v/>
      </c>
      <c r="I1379" s="17" t="str">
        <f aca="false">IF(AND(Eingabe!$F$15&gt;0,Eingabe!$E$15&gt;=159),Eingabe!$B$6&amp;"-"&amp;Eingabe!$C$15&amp;"-Pächter","")</f>
        <v/>
      </c>
      <c r="J1379" s="17" t="str">
        <f aca="false">IF(AND(Eingabe!$F$15&gt;0,Eingabe!$E$15&gt;=159),"PPSK: Passwort Parzelle 159","")</f>
        <v/>
      </c>
      <c r="K1379" s="17" t="str">
        <f aca="false">IF(AND(Eingabe!$F$15&gt;0,Eingabe!$E$15&gt;=159),"1. Gerät: 10."&amp;Eingabe!$D$15&amp;".159.10, 2. Gerät: .11","")</f>
        <v/>
      </c>
    </row>
    <row r="1380" customFormat="false" ht="15" hidden="false" customHeight="false" outlineLevel="0" collapsed="false">
      <c r="A1380" s="17" t="str">
        <f aca="false">IF(AND(Eingabe!$F$15&gt;0,Eingabe!$E$15&gt;=160),7,"")</f>
        <v/>
      </c>
      <c r="B1380" s="17" t="str">
        <f aca="false">IF(AND(Eingabe!$F$15&gt;0,Eingabe!$E$15&gt;=160),Eingabe!$B$15,"")</f>
        <v/>
      </c>
      <c r="C1380" s="17" t="str">
        <f aca="false">IF(AND(Eingabe!$F$15&gt;0,Eingabe!$E$15&gt;=160),Eingabe!$C$15&amp;"-Paz."&amp;TEXT(160,"000"),"")</f>
        <v/>
      </c>
      <c r="D1380" s="17" t="str">
        <f aca="false">IF(AND(Eingabe!$F$15&gt;0,Eingabe!$E$15&gt;=160),160,"")</f>
        <v/>
      </c>
      <c r="E1380" s="17" t="str">
        <f aca="false">IF(AND(Eingabe!$F$15&gt;0,Eingabe!$E$15&gt;=160),IF((Eingabe!$G$15+1)&lt;=9,1000+(Eingabe!$G$15+1)*100,3000)+60,"")</f>
        <v/>
      </c>
      <c r="F1380" s="17" t="str">
        <f aca="false">IF(AND(Eingabe!$F$15&gt;0,Eingabe!$E$15&gt;=160),"10."&amp;Eingabe!$D$15&amp;".160.0/24","")</f>
        <v/>
      </c>
      <c r="G1380" s="17" t="str">
        <f aca="false">IF(AND(Eingabe!$F$15&gt;0,Eingabe!$E$15&gt;=160),"10."&amp;Eingabe!$D$15&amp;".160.1","")</f>
        <v/>
      </c>
      <c r="H1380" s="17" t="str">
        <f aca="false">IF(AND(Eingabe!$F$15&gt;0,Eingabe!$E$15&gt;=160),"10."&amp;Eingabe!$D$15&amp;".160.10 – 10."&amp;Eingabe!$D$15&amp;".160.250","")</f>
        <v/>
      </c>
      <c r="I1380" s="17" t="str">
        <f aca="false">IF(AND(Eingabe!$F$15&gt;0,Eingabe!$E$15&gt;=160),Eingabe!$B$6&amp;"-"&amp;Eingabe!$C$15&amp;"-Pächter","")</f>
        <v/>
      </c>
      <c r="J1380" s="17" t="str">
        <f aca="false">IF(AND(Eingabe!$F$15&gt;0,Eingabe!$E$15&gt;=160),"PPSK: Passwort Parzelle 160","")</f>
        <v/>
      </c>
      <c r="K1380" s="17" t="str">
        <f aca="false">IF(AND(Eingabe!$F$15&gt;0,Eingabe!$E$15&gt;=160),"1. Gerät: 10."&amp;Eingabe!$D$15&amp;".160.10, 2. Gerät: .11","")</f>
        <v/>
      </c>
    </row>
    <row r="1381" customFormat="false" ht="15" hidden="false" customHeight="false" outlineLevel="0" collapsed="false">
      <c r="A1381" s="17" t="str">
        <f aca="false">IF(AND(Eingabe!$F$15&gt;0,Eingabe!$E$15&gt;=161),7,"")</f>
        <v/>
      </c>
      <c r="B1381" s="17" t="str">
        <f aca="false">IF(AND(Eingabe!$F$15&gt;0,Eingabe!$E$15&gt;=161),Eingabe!$B$15,"")</f>
        <v/>
      </c>
      <c r="C1381" s="17" t="str">
        <f aca="false">IF(AND(Eingabe!$F$15&gt;0,Eingabe!$E$15&gt;=161),Eingabe!$C$15&amp;"-Paz."&amp;TEXT(161,"000"),"")</f>
        <v/>
      </c>
      <c r="D1381" s="17" t="str">
        <f aca="false">IF(AND(Eingabe!$F$15&gt;0,Eingabe!$E$15&gt;=161),161,"")</f>
        <v/>
      </c>
      <c r="E1381" s="17" t="str">
        <f aca="false">IF(AND(Eingabe!$F$15&gt;0,Eingabe!$E$15&gt;=161),IF((Eingabe!$G$15+1)&lt;=9,1000+(Eingabe!$G$15+1)*100,3000)+61,"")</f>
        <v/>
      </c>
      <c r="F1381" s="17" t="str">
        <f aca="false">IF(AND(Eingabe!$F$15&gt;0,Eingabe!$E$15&gt;=161),"10."&amp;Eingabe!$D$15&amp;".161.0/24","")</f>
        <v/>
      </c>
      <c r="G1381" s="17" t="str">
        <f aca="false">IF(AND(Eingabe!$F$15&gt;0,Eingabe!$E$15&gt;=161),"10."&amp;Eingabe!$D$15&amp;".161.1","")</f>
        <v/>
      </c>
      <c r="H1381" s="17" t="str">
        <f aca="false">IF(AND(Eingabe!$F$15&gt;0,Eingabe!$E$15&gt;=161),"10."&amp;Eingabe!$D$15&amp;".161.10 – 10."&amp;Eingabe!$D$15&amp;".161.250","")</f>
        <v/>
      </c>
      <c r="I1381" s="17" t="str">
        <f aca="false">IF(AND(Eingabe!$F$15&gt;0,Eingabe!$E$15&gt;=161),Eingabe!$B$6&amp;"-"&amp;Eingabe!$C$15&amp;"-Pächter","")</f>
        <v/>
      </c>
      <c r="J1381" s="17" t="str">
        <f aca="false">IF(AND(Eingabe!$F$15&gt;0,Eingabe!$E$15&gt;=161),"PPSK: Passwort Parzelle 161","")</f>
        <v/>
      </c>
      <c r="K1381" s="17" t="str">
        <f aca="false">IF(AND(Eingabe!$F$15&gt;0,Eingabe!$E$15&gt;=161),"1. Gerät: 10."&amp;Eingabe!$D$15&amp;".161.10, 2. Gerät: .11","")</f>
        <v/>
      </c>
    </row>
    <row r="1382" customFormat="false" ht="15" hidden="false" customHeight="false" outlineLevel="0" collapsed="false">
      <c r="A1382" s="17" t="str">
        <f aca="false">IF(AND(Eingabe!$F$15&gt;0,Eingabe!$E$15&gt;=162),7,"")</f>
        <v/>
      </c>
      <c r="B1382" s="17" t="str">
        <f aca="false">IF(AND(Eingabe!$F$15&gt;0,Eingabe!$E$15&gt;=162),Eingabe!$B$15,"")</f>
        <v/>
      </c>
      <c r="C1382" s="17" t="str">
        <f aca="false">IF(AND(Eingabe!$F$15&gt;0,Eingabe!$E$15&gt;=162),Eingabe!$C$15&amp;"-Paz."&amp;TEXT(162,"000"),"")</f>
        <v/>
      </c>
      <c r="D1382" s="17" t="str">
        <f aca="false">IF(AND(Eingabe!$F$15&gt;0,Eingabe!$E$15&gt;=162),162,"")</f>
        <v/>
      </c>
      <c r="E1382" s="17" t="str">
        <f aca="false">IF(AND(Eingabe!$F$15&gt;0,Eingabe!$E$15&gt;=162),IF((Eingabe!$G$15+1)&lt;=9,1000+(Eingabe!$G$15+1)*100,3000)+62,"")</f>
        <v/>
      </c>
      <c r="F1382" s="17" t="str">
        <f aca="false">IF(AND(Eingabe!$F$15&gt;0,Eingabe!$E$15&gt;=162),"10."&amp;Eingabe!$D$15&amp;".162.0/24","")</f>
        <v/>
      </c>
      <c r="G1382" s="17" t="str">
        <f aca="false">IF(AND(Eingabe!$F$15&gt;0,Eingabe!$E$15&gt;=162),"10."&amp;Eingabe!$D$15&amp;".162.1","")</f>
        <v/>
      </c>
      <c r="H1382" s="17" t="str">
        <f aca="false">IF(AND(Eingabe!$F$15&gt;0,Eingabe!$E$15&gt;=162),"10."&amp;Eingabe!$D$15&amp;".162.10 – 10."&amp;Eingabe!$D$15&amp;".162.250","")</f>
        <v/>
      </c>
      <c r="I1382" s="17" t="str">
        <f aca="false">IF(AND(Eingabe!$F$15&gt;0,Eingabe!$E$15&gt;=162),Eingabe!$B$6&amp;"-"&amp;Eingabe!$C$15&amp;"-Pächter","")</f>
        <v/>
      </c>
      <c r="J1382" s="17" t="str">
        <f aca="false">IF(AND(Eingabe!$F$15&gt;0,Eingabe!$E$15&gt;=162),"PPSK: Passwort Parzelle 162","")</f>
        <v/>
      </c>
      <c r="K1382" s="17" t="str">
        <f aca="false">IF(AND(Eingabe!$F$15&gt;0,Eingabe!$E$15&gt;=162),"1. Gerät: 10."&amp;Eingabe!$D$15&amp;".162.10, 2. Gerät: .11","")</f>
        <v/>
      </c>
    </row>
    <row r="1383" customFormat="false" ht="15" hidden="false" customHeight="false" outlineLevel="0" collapsed="false">
      <c r="A1383" s="17" t="str">
        <f aca="false">IF(AND(Eingabe!$F$15&gt;0,Eingabe!$E$15&gt;=163),7,"")</f>
        <v/>
      </c>
      <c r="B1383" s="17" t="str">
        <f aca="false">IF(AND(Eingabe!$F$15&gt;0,Eingabe!$E$15&gt;=163),Eingabe!$B$15,"")</f>
        <v/>
      </c>
      <c r="C1383" s="17" t="str">
        <f aca="false">IF(AND(Eingabe!$F$15&gt;0,Eingabe!$E$15&gt;=163),Eingabe!$C$15&amp;"-Paz."&amp;TEXT(163,"000"),"")</f>
        <v/>
      </c>
      <c r="D1383" s="17" t="str">
        <f aca="false">IF(AND(Eingabe!$F$15&gt;0,Eingabe!$E$15&gt;=163),163,"")</f>
        <v/>
      </c>
      <c r="E1383" s="17" t="str">
        <f aca="false">IF(AND(Eingabe!$F$15&gt;0,Eingabe!$E$15&gt;=163),IF((Eingabe!$G$15+1)&lt;=9,1000+(Eingabe!$G$15+1)*100,3000)+63,"")</f>
        <v/>
      </c>
      <c r="F1383" s="17" t="str">
        <f aca="false">IF(AND(Eingabe!$F$15&gt;0,Eingabe!$E$15&gt;=163),"10."&amp;Eingabe!$D$15&amp;".163.0/24","")</f>
        <v/>
      </c>
      <c r="G1383" s="17" t="str">
        <f aca="false">IF(AND(Eingabe!$F$15&gt;0,Eingabe!$E$15&gt;=163),"10."&amp;Eingabe!$D$15&amp;".163.1","")</f>
        <v/>
      </c>
      <c r="H1383" s="17" t="str">
        <f aca="false">IF(AND(Eingabe!$F$15&gt;0,Eingabe!$E$15&gt;=163),"10."&amp;Eingabe!$D$15&amp;".163.10 – 10."&amp;Eingabe!$D$15&amp;".163.250","")</f>
        <v/>
      </c>
      <c r="I1383" s="17" t="str">
        <f aca="false">IF(AND(Eingabe!$F$15&gt;0,Eingabe!$E$15&gt;=163),Eingabe!$B$6&amp;"-"&amp;Eingabe!$C$15&amp;"-Pächter","")</f>
        <v/>
      </c>
      <c r="J1383" s="17" t="str">
        <f aca="false">IF(AND(Eingabe!$F$15&gt;0,Eingabe!$E$15&gt;=163),"PPSK: Passwort Parzelle 163","")</f>
        <v/>
      </c>
      <c r="K1383" s="17" t="str">
        <f aca="false">IF(AND(Eingabe!$F$15&gt;0,Eingabe!$E$15&gt;=163),"1. Gerät: 10."&amp;Eingabe!$D$15&amp;".163.10, 2. Gerät: .11","")</f>
        <v/>
      </c>
    </row>
    <row r="1384" customFormat="false" ht="15" hidden="false" customHeight="false" outlineLevel="0" collapsed="false">
      <c r="A1384" s="17" t="str">
        <f aca="false">IF(AND(Eingabe!$F$15&gt;0,Eingabe!$E$15&gt;=164),7,"")</f>
        <v/>
      </c>
      <c r="B1384" s="17" t="str">
        <f aca="false">IF(AND(Eingabe!$F$15&gt;0,Eingabe!$E$15&gt;=164),Eingabe!$B$15,"")</f>
        <v/>
      </c>
      <c r="C1384" s="17" t="str">
        <f aca="false">IF(AND(Eingabe!$F$15&gt;0,Eingabe!$E$15&gt;=164),Eingabe!$C$15&amp;"-Paz."&amp;TEXT(164,"000"),"")</f>
        <v/>
      </c>
      <c r="D1384" s="17" t="str">
        <f aca="false">IF(AND(Eingabe!$F$15&gt;0,Eingabe!$E$15&gt;=164),164,"")</f>
        <v/>
      </c>
      <c r="E1384" s="17" t="str">
        <f aca="false">IF(AND(Eingabe!$F$15&gt;0,Eingabe!$E$15&gt;=164),IF((Eingabe!$G$15+1)&lt;=9,1000+(Eingabe!$G$15+1)*100,3000)+64,"")</f>
        <v/>
      </c>
      <c r="F1384" s="17" t="str">
        <f aca="false">IF(AND(Eingabe!$F$15&gt;0,Eingabe!$E$15&gt;=164),"10."&amp;Eingabe!$D$15&amp;".164.0/24","")</f>
        <v/>
      </c>
      <c r="G1384" s="17" t="str">
        <f aca="false">IF(AND(Eingabe!$F$15&gt;0,Eingabe!$E$15&gt;=164),"10."&amp;Eingabe!$D$15&amp;".164.1","")</f>
        <v/>
      </c>
      <c r="H1384" s="17" t="str">
        <f aca="false">IF(AND(Eingabe!$F$15&gt;0,Eingabe!$E$15&gt;=164),"10."&amp;Eingabe!$D$15&amp;".164.10 – 10."&amp;Eingabe!$D$15&amp;".164.250","")</f>
        <v/>
      </c>
      <c r="I1384" s="17" t="str">
        <f aca="false">IF(AND(Eingabe!$F$15&gt;0,Eingabe!$E$15&gt;=164),Eingabe!$B$6&amp;"-"&amp;Eingabe!$C$15&amp;"-Pächter","")</f>
        <v/>
      </c>
      <c r="J1384" s="17" t="str">
        <f aca="false">IF(AND(Eingabe!$F$15&gt;0,Eingabe!$E$15&gt;=164),"PPSK: Passwort Parzelle 164","")</f>
        <v/>
      </c>
      <c r="K1384" s="17" t="str">
        <f aca="false">IF(AND(Eingabe!$F$15&gt;0,Eingabe!$E$15&gt;=164),"1. Gerät: 10."&amp;Eingabe!$D$15&amp;".164.10, 2. Gerät: .11","")</f>
        <v/>
      </c>
    </row>
    <row r="1385" customFormat="false" ht="15" hidden="false" customHeight="false" outlineLevel="0" collapsed="false">
      <c r="A1385" s="17" t="str">
        <f aca="false">IF(AND(Eingabe!$F$15&gt;0,Eingabe!$E$15&gt;=165),7,"")</f>
        <v/>
      </c>
      <c r="B1385" s="17" t="str">
        <f aca="false">IF(AND(Eingabe!$F$15&gt;0,Eingabe!$E$15&gt;=165),Eingabe!$B$15,"")</f>
        <v/>
      </c>
      <c r="C1385" s="17" t="str">
        <f aca="false">IF(AND(Eingabe!$F$15&gt;0,Eingabe!$E$15&gt;=165),Eingabe!$C$15&amp;"-Paz."&amp;TEXT(165,"000"),"")</f>
        <v/>
      </c>
      <c r="D1385" s="17" t="str">
        <f aca="false">IF(AND(Eingabe!$F$15&gt;0,Eingabe!$E$15&gt;=165),165,"")</f>
        <v/>
      </c>
      <c r="E1385" s="17" t="str">
        <f aca="false">IF(AND(Eingabe!$F$15&gt;0,Eingabe!$E$15&gt;=165),IF((Eingabe!$G$15+1)&lt;=9,1000+(Eingabe!$G$15+1)*100,3000)+65,"")</f>
        <v/>
      </c>
      <c r="F1385" s="17" t="str">
        <f aca="false">IF(AND(Eingabe!$F$15&gt;0,Eingabe!$E$15&gt;=165),"10."&amp;Eingabe!$D$15&amp;".165.0/24","")</f>
        <v/>
      </c>
      <c r="G1385" s="17" t="str">
        <f aca="false">IF(AND(Eingabe!$F$15&gt;0,Eingabe!$E$15&gt;=165),"10."&amp;Eingabe!$D$15&amp;".165.1","")</f>
        <v/>
      </c>
      <c r="H1385" s="17" t="str">
        <f aca="false">IF(AND(Eingabe!$F$15&gt;0,Eingabe!$E$15&gt;=165),"10."&amp;Eingabe!$D$15&amp;".165.10 – 10."&amp;Eingabe!$D$15&amp;".165.250","")</f>
        <v/>
      </c>
      <c r="I1385" s="17" t="str">
        <f aca="false">IF(AND(Eingabe!$F$15&gt;0,Eingabe!$E$15&gt;=165),Eingabe!$B$6&amp;"-"&amp;Eingabe!$C$15&amp;"-Pächter","")</f>
        <v/>
      </c>
      <c r="J1385" s="17" t="str">
        <f aca="false">IF(AND(Eingabe!$F$15&gt;0,Eingabe!$E$15&gt;=165),"PPSK: Passwort Parzelle 165","")</f>
        <v/>
      </c>
      <c r="K1385" s="17" t="str">
        <f aca="false">IF(AND(Eingabe!$F$15&gt;0,Eingabe!$E$15&gt;=165),"1. Gerät: 10."&amp;Eingabe!$D$15&amp;".165.10, 2. Gerät: .11","")</f>
        <v/>
      </c>
    </row>
    <row r="1386" customFormat="false" ht="15" hidden="false" customHeight="false" outlineLevel="0" collapsed="false">
      <c r="A1386" s="17" t="str">
        <f aca="false">IF(AND(Eingabe!$F$15&gt;0,Eingabe!$E$15&gt;=166),7,"")</f>
        <v/>
      </c>
      <c r="B1386" s="17" t="str">
        <f aca="false">IF(AND(Eingabe!$F$15&gt;0,Eingabe!$E$15&gt;=166),Eingabe!$B$15,"")</f>
        <v/>
      </c>
      <c r="C1386" s="17" t="str">
        <f aca="false">IF(AND(Eingabe!$F$15&gt;0,Eingabe!$E$15&gt;=166),Eingabe!$C$15&amp;"-Paz."&amp;TEXT(166,"000"),"")</f>
        <v/>
      </c>
      <c r="D1386" s="17" t="str">
        <f aca="false">IF(AND(Eingabe!$F$15&gt;0,Eingabe!$E$15&gt;=166),166,"")</f>
        <v/>
      </c>
      <c r="E1386" s="17" t="str">
        <f aca="false">IF(AND(Eingabe!$F$15&gt;0,Eingabe!$E$15&gt;=166),IF((Eingabe!$G$15+1)&lt;=9,1000+(Eingabe!$G$15+1)*100,3000)+66,"")</f>
        <v/>
      </c>
      <c r="F1386" s="17" t="str">
        <f aca="false">IF(AND(Eingabe!$F$15&gt;0,Eingabe!$E$15&gt;=166),"10."&amp;Eingabe!$D$15&amp;".166.0/24","")</f>
        <v/>
      </c>
      <c r="G1386" s="17" t="str">
        <f aca="false">IF(AND(Eingabe!$F$15&gt;0,Eingabe!$E$15&gt;=166),"10."&amp;Eingabe!$D$15&amp;".166.1","")</f>
        <v/>
      </c>
      <c r="H1386" s="17" t="str">
        <f aca="false">IF(AND(Eingabe!$F$15&gt;0,Eingabe!$E$15&gt;=166),"10."&amp;Eingabe!$D$15&amp;".166.10 – 10."&amp;Eingabe!$D$15&amp;".166.250","")</f>
        <v/>
      </c>
      <c r="I1386" s="17" t="str">
        <f aca="false">IF(AND(Eingabe!$F$15&gt;0,Eingabe!$E$15&gt;=166),Eingabe!$B$6&amp;"-"&amp;Eingabe!$C$15&amp;"-Pächter","")</f>
        <v/>
      </c>
      <c r="J1386" s="17" t="str">
        <f aca="false">IF(AND(Eingabe!$F$15&gt;0,Eingabe!$E$15&gt;=166),"PPSK: Passwort Parzelle 166","")</f>
        <v/>
      </c>
      <c r="K1386" s="17" t="str">
        <f aca="false">IF(AND(Eingabe!$F$15&gt;0,Eingabe!$E$15&gt;=166),"1. Gerät: 10."&amp;Eingabe!$D$15&amp;".166.10, 2. Gerät: .11","")</f>
        <v/>
      </c>
    </row>
    <row r="1387" customFormat="false" ht="15" hidden="false" customHeight="false" outlineLevel="0" collapsed="false">
      <c r="A1387" s="17" t="str">
        <f aca="false">IF(AND(Eingabe!$F$15&gt;0,Eingabe!$E$15&gt;=167),7,"")</f>
        <v/>
      </c>
      <c r="B1387" s="17" t="str">
        <f aca="false">IF(AND(Eingabe!$F$15&gt;0,Eingabe!$E$15&gt;=167),Eingabe!$B$15,"")</f>
        <v/>
      </c>
      <c r="C1387" s="17" t="str">
        <f aca="false">IF(AND(Eingabe!$F$15&gt;0,Eingabe!$E$15&gt;=167),Eingabe!$C$15&amp;"-Paz."&amp;TEXT(167,"000"),"")</f>
        <v/>
      </c>
      <c r="D1387" s="17" t="str">
        <f aca="false">IF(AND(Eingabe!$F$15&gt;0,Eingabe!$E$15&gt;=167),167,"")</f>
        <v/>
      </c>
      <c r="E1387" s="17" t="str">
        <f aca="false">IF(AND(Eingabe!$F$15&gt;0,Eingabe!$E$15&gt;=167),IF((Eingabe!$G$15+1)&lt;=9,1000+(Eingabe!$G$15+1)*100,3000)+67,"")</f>
        <v/>
      </c>
      <c r="F1387" s="17" t="str">
        <f aca="false">IF(AND(Eingabe!$F$15&gt;0,Eingabe!$E$15&gt;=167),"10."&amp;Eingabe!$D$15&amp;".167.0/24","")</f>
        <v/>
      </c>
      <c r="G1387" s="17" t="str">
        <f aca="false">IF(AND(Eingabe!$F$15&gt;0,Eingabe!$E$15&gt;=167),"10."&amp;Eingabe!$D$15&amp;".167.1","")</f>
        <v/>
      </c>
      <c r="H1387" s="17" t="str">
        <f aca="false">IF(AND(Eingabe!$F$15&gt;0,Eingabe!$E$15&gt;=167),"10."&amp;Eingabe!$D$15&amp;".167.10 – 10."&amp;Eingabe!$D$15&amp;".167.250","")</f>
        <v/>
      </c>
      <c r="I1387" s="17" t="str">
        <f aca="false">IF(AND(Eingabe!$F$15&gt;0,Eingabe!$E$15&gt;=167),Eingabe!$B$6&amp;"-"&amp;Eingabe!$C$15&amp;"-Pächter","")</f>
        <v/>
      </c>
      <c r="J1387" s="17" t="str">
        <f aca="false">IF(AND(Eingabe!$F$15&gt;0,Eingabe!$E$15&gt;=167),"PPSK: Passwort Parzelle 167","")</f>
        <v/>
      </c>
      <c r="K1387" s="17" t="str">
        <f aca="false">IF(AND(Eingabe!$F$15&gt;0,Eingabe!$E$15&gt;=167),"1. Gerät: 10."&amp;Eingabe!$D$15&amp;".167.10, 2. Gerät: .11","")</f>
        <v/>
      </c>
    </row>
    <row r="1388" customFormat="false" ht="15" hidden="false" customHeight="false" outlineLevel="0" collapsed="false">
      <c r="A1388" s="17" t="str">
        <f aca="false">IF(AND(Eingabe!$F$15&gt;0,Eingabe!$E$15&gt;=168),7,"")</f>
        <v/>
      </c>
      <c r="B1388" s="17" t="str">
        <f aca="false">IF(AND(Eingabe!$F$15&gt;0,Eingabe!$E$15&gt;=168),Eingabe!$B$15,"")</f>
        <v/>
      </c>
      <c r="C1388" s="17" t="str">
        <f aca="false">IF(AND(Eingabe!$F$15&gt;0,Eingabe!$E$15&gt;=168),Eingabe!$C$15&amp;"-Paz."&amp;TEXT(168,"000"),"")</f>
        <v/>
      </c>
      <c r="D1388" s="17" t="str">
        <f aca="false">IF(AND(Eingabe!$F$15&gt;0,Eingabe!$E$15&gt;=168),168,"")</f>
        <v/>
      </c>
      <c r="E1388" s="17" t="str">
        <f aca="false">IF(AND(Eingabe!$F$15&gt;0,Eingabe!$E$15&gt;=168),IF((Eingabe!$G$15+1)&lt;=9,1000+(Eingabe!$G$15+1)*100,3000)+68,"")</f>
        <v/>
      </c>
      <c r="F1388" s="17" t="str">
        <f aca="false">IF(AND(Eingabe!$F$15&gt;0,Eingabe!$E$15&gt;=168),"10."&amp;Eingabe!$D$15&amp;".168.0/24","")</f>
        <v/>
      </c>
      <c r="G1388" s="17" t="str">
        <f aca="false">IF(AND(Eingabe!$F$15&gt;0,Eingabe!$E$15&gt;=168),"10."&amp;Eingabe!$D$15&amp;".168.1","")</f>
        <v/>
      </c>
      <c r="H1388" s="17" t="str">
        <f aca="false">IF(AND(Eingabe!$F$15&gt;0,Eingabe!$E$15&gt;=168),"10."&amp;Eingabe!$D$15&amp;".168.10 – 10."&amp;Eingabe!$D$15&amp;".168.250","")</f>
        <v/>
      </c>
      <c r="I1388" s="17" t="str">
        <f aca="false">IF(AND(Eingabe!$F$15&gt;0,Eingabe!$E$15&gt;=168),Eingabe!$B$6&amp;"-"&amp;Eingabe!$C$15&amp;"-Pächter","")</f>
        <v/>
      </c>
      <c r="J1388" s="17" t="str">
        <f aca="false">IF(AND(Eingabe!$F$15&gt;0,Eingabe!$E$15&gt;=168),"PPSK: Passwort Parzelle 168","")</f>
        <v/>
      </c>
      <c r="K1388" s="17" t="str">
        <f aca="false">IF(AND(Eingabe!$F$15&gt;0,Eingabe!$E$15&gt;=168),"1. Gerät: 10."&amp;Eingabe!$D$15&amp;".168.10, 2. Gerät: .11","")</f>
        <v/>
      </c>
    </row>
    <row r="1389" customFormat="false" ht="15" hidden="false" customHeight="false" outlineLevel="0" collapsed="false">
      <c r="A1389" s="17" t="str">
        <f aca="false">IF(AND(Eingabe!$F$15&gt;0,Eingabe!$E$15&gt;=169),7,"")</f>
        <v/>
      </c>
      <c r="B1389" s="17" t="str">
        <f aca="false">IF(AND(Eingabe!$F$15&gt;0,Eingabe!$E$15&gt;=169),Eingabe!$B$15,"")</f>
        <v/>
      </c>
      <c r="C1389" s="17" t="str">
        <f aca="false">IF(AND(Eingabe!$F$15&gt;0,Eingabe!$E$15&gt;=169),Eingabe!$C$15&amp;"-Paz."&amp;TEXT(169,"000"),"")</f>
        <v/>
      </c>
      <c r="D1389" s="17" t="str">
        <f aca="false">IF(AND(Eingabe!$F$15&gt;0,Eingabe!$E$15&gt;=169),169,"")</f>
        <v/>
      </c>
      <c r="E1389" s="17" t="str">
        <f aca="false">IF(AND(Eingabe!$F$15&gt;0,Eingabe!$E$15&gt;=169),IF((Eingabe!$G$15+1)&lt;=9,1000+(Eingabe!$G$15+1)*100,3000)+69,"")</f>
        <v/>
      </c>
      <c r="F1389" s="17" t="str">
        <f aca="false">IF(AND(Eingabe!$F$15&gt;0,Eingabe!$E$15&gt;=169),"10."&amp;Eingabe!$D$15&amp;".169.0/24","")</f>
        <v/>
      </c>
      <c r="G1389" s="17" t="str">
        <f aca="false">IF(AND(Eingabe!$F$15&gt;0,Eingabe!$E$15&gt;=169),"10."&amp;Eingabe!$D$15&amp;".169.1","")</f>
        <v/>
      </c>
      <c r="H1389" s="17" t="str">
        <f aca="false">IF(AND(Eingabe!$F$15&gt;0,Eingabe!$E$15&gt;=169),"10."&amp;Eingabe!$D$15&amp;".169.10 – 10."&amp;Eingabe!$D$15&amp;".169.250","")</f>
        <v/>
      </c>
      <c r="I1389" s="17" t="str">
        <f aca="false">IF(AND(Eingabe!$F$15&gt;0,Eingabe!$E$15&gt;=169),Eingabe!$B$6&amp;"-"&amp;Eingabe!$C$15&amp;"-Pächter","")</f>
        <v/>
      </c>
      <c r="J1389" s="17" t="str">
        <f aca="false">IF(AND(Eingabe!$F$15&gt;0,Eingabe!$E$15&gt;=169),"PPSK: Passwort Parzelle 169","")</f>
        <v/>
      </c>
      <c r="K1389" s="17" t="str">
        <f aca="false">IF(AND(Eingabe!$F$15&gt;0,Eingabe!$E$15&gt;=169),"1. Gerät: 10."&amp;Eingabe!$D$15&amp;".169.10, 2. Gerät: .11","")</f>
        <v/>
      </c>
    </row>
    <row r="1390" customFormat="false" ht="15" hidden="false" customHeight="false" outlineLevel="0" collapsed="false">
      <c r="A1390" s="17" t="str">
        <f aca="false">IF(AND(Eingabe!$F$15&gt;0,Eingabe!$E$15&gt;=170),7,"")</f>
        <v/>
      </c>
      <c r="B1390" s="17" t="str">
        <f aca="false">IF(AND(Eingabe!$F$15&gt;0,Eingabe!$E$15&gt;=170),Eingabe!$B$15,"")</f>
        <v/>
      </c>
      <c r="C1390" s="17" t="str">
        <f aca="false">IF(AND(Eingabe!$F$15&gt;0,Eingabe!$E$15&gt;=170),Eingabe!$C$15&amp;"-Paz."&amp;TEXT(170,"000"),"")</f>
        <v/>
      </c>
      <c r="D1390" s="17" t="str">
        <f aca="false">IF(AND(Eingabe!$F$15&gt;0,Eingabe!$E$15&gt;=170),170,"")</f>
        <v/>
      </c>
      <c r="E1390" s="17" t="str">
        <f aca="false">IF(AND(Eingabe!$F$15&gt;0,Eingabe!$E$15&gt;=170),IF((Eingabe!$G$15+1)&lt;=9,1000+(Eingabe!$G$15+1)*100,3000)+70,"")</f>
        <v/>
      </c>
      <c r="F1390" s="17" t="str">
        <f aca="false">IF(AND(Eingabe!$F$15&gt;0,Eingabe!$E$15&gt;=170),"10."&amp;Eingabe!$D$15&amp;".170.0/24","")</f>
        <v/>
      </c>
      <c r="G1390" s="17" t="str">
        <f aca="false">IF(AND(Eingabe!$F$15&gt;0,Eingabe!$E$15&gt;=170),"10."&amp;Eingabe!$D$15&amp;".170.1","")</f>
        <v/>
      </c>
      <c r="H1390" s="17" t="str">
        <f aca="false">IF(AND(Eingabe!$F$15&gt;0,Eingabe!$E$15&gt;=170),"10."&amp;Eingabe!$D$15&amp;".170.10 – 10."&amp;Eingabe!$D$15&amp;".170.250","")</f>
        <v/>
      </c>
      <c r="I1390" s="17" t="str">
        <f aca="false">IF(AND(Eingabe!$F$15&gt;0,Eingabe!$E$15&gt;=170),Eingabe!$B$6&amp;"-"&amp;Eingabe!$C$15&amp;"-Pächter","")</f>
        <v/>
      </c>
      <c r="J1390" s="17" t="str">
        <f aca="false">IF(AND(Eingabe!$F$15&gt;0,Eingabe!$E$15&gt;=170),"PPSK: Passwort Parzelle 170","")</f>
        <v/>
      </c>
      <c r="K1390" s="17" t="str">
        <f aca="false">IF(AND(Eingabe!$F$15&gt;0,Eingabe!$E$15&gt;=170),"1. Gerät: 10."&amp;Eingabe!$D$15&amp;".170.10, 2. Gerät: .11","")</f>
        <v/>
      </c>
    </row>
    <row r="1391" customFormat="false" ht="15" hidden="false" customHeight="false" outlineLevel="0" collapsed="false">
      <c r="A1391" s="17" t="str">
        <f aca="false">IF(AND(Eingabe!$F$15&gt;0,Eingabe!$E$15&gt;=171),7,"")</f>
        <v/>
      </c>
      <c r="B1391" s="17" t="str">
        <f aca="false">IF(AND(Eingabe!$F$15&gt;0,Eingabe!$E$15&gt;=171),Eingabe!$B$15,"")</f>
        <v/>
      </c>
      <c r="C1391" s="17" t="str">
        <f aca="false">IF(AND(Eingabe!$F$15&gt;0,Eingabe!$E$15&gt;=171),Eingabe!$C$15&amp;"-Paz."&amp;TEXT(171,"000"),"")</f>
        <v/>
      </c>
      <c r="D1391" s="17" t="str">
        <f aca="false">IF(AND(Eingabe!$F$15&gt;0,Eingabe!$E$15&gt;=171),171,"")</f>
        <v/>
      </c>
      <c r="E1391" s="17" t="str">
        <f aca="false">IF(AND(Eingabe!$F$15&gt;0,Eingabe!$E$15&gt;=171),IF((Eingabe!$G$15+1)&lt;=9,1000+(Eingabe!$G$15+1)*100,3000)+71,"")</f>
        <v/>
      </c>
      <c r="F1391" s="17" t="str">
        <f aca="false">IF(AND(Eingabe!$F$15&gt;0,Eingabe!$E$15&gt;=171),"10."&amp;Eingabe!$D$15&amp;".171.0/24","")</f>
        <v/>
      </c>
      <c r="G1391" s="17" t="str">
        <f aca="false">IF(AND(Eingabe!$F$15&gt;0,Eingabe!$E$15&gt;=171),"10."&amp;Eingabe!$D$15&amp;".171.1","")</f>
        <v/>
      </c>
      <c r="H1391" s="17" t="str">
        <f aca="false">IF(AND(Eingabe!$F$15&gt;0,Eingabe!$E$15&gt;=171),"10."&amp;Eingabe!$D$15&amp;".171.10 – 10."&amp;Eingabe!$D$15&amp;".171.250","")</f>
        <v/>
      </c>
      <c r="I1391" s="17" t="str">
        <f aca="false">IF(AND(Eingabe!$F$15&gt;0,Eingabe!$E$15&gt;=171),Eingabe!$B$6&amp;"-"&amp;Eingabe!$C$15&amp;"-Pächter","")</f>
        <v/>
      </c>
      <c r="J1391" s="17" t="str">
        <f aca="false">IF(AND(Eingabe!$F$15&gt;0,Eingabe!$E$15&gt;=171),"PPSK: Passwort Parzelle 171","")</f>
        <v/>
      </c>
      <c r="K1391" s="17" t="str">
        <f aca="false">IF(AND(Eingabe!$F$15&gt;0,Eingabe!$E$15&gt;=171),"1. Gerät: 10."&amp;Eingabe!$D$15&amp;".171.10, 2. Gerät: .11","")</f>
        <v/>
      </c>
    </row>
    <row r="1392" customFormat="false" ht="15" hidden="false" customHeight="false" outlineLevel="0" collapsed="false">
      <c r="A1392" s="17" t="str">
        <f aca="false">IF(AND(Eingabe!$F$15&gt;0,Eingabe!$E$15&gt;=172),7,"")</f>
        <v/>
      </c>
      <c r="B1392" s="17" t="str">
        <f aca="false">IF(AND(Eingabe!$F$15&gt;0,Eingabe!$E$15&gt;=172),Eingabe!$B$15,"")</f>
        <v/>
      </c>
      <c r="C1392" s="17" t="str">
        <f aca="false">IF(AND(Eingabe!$F$15&gt;0,Eingabe!$E$15&gt;=172),Eingabe!$C$15&amp;"-Paz."&amp;TEXT(172,"000"),"")</f>
        <v/>
      </c>
      <c r="D1392" s="17" t="str">
        <f aca="false">IF(AND(Eingabe!$F$15&gt;0,Eingabe!$E$15&gt;=172),172,"")</f>
        <v/>
      </c>
      <c r="E1392" s="17" t="str">
        <f aca="false">IF(AND(Eingabe!$F$15&gt;0,Eingabe!$E$15&gt;=172),IF((Eingabe!$G$15+1)&lt;=9,1000+(Eingabe!$G$15+1)*100,3000)+72,"")</f>
        <v/>
      </c>
      <c r="F1392" s="17" t="str">
        <f aca="false">IF(AND(Eingabe!$F$15&gt;0,Eingabe!$E$15&gt;=172),"10."&amp;Eingabe!$D$15&amp;".172.0/24","")</f>
        <v/>
      </c>
      <c r="G1392" s="17" t="str">
        <f aca="false">IF(AND(Eingabe!$F$15&gt;0,Eingabe!$E$15&gt;=172),"10."&amp;Eingabe!$D$15&amp;".172.1","")</f>
        <v/>
      </c>
      <c r="H1392" s="17" t="str">
        <f aca="false">IF(AND(Eingabe!$F$15&gt;0,Eingabe!$E$15&gt;=172),"10."&amp;Eingabe!$D$15&amp;".172.10 – 10."&amp;Eingabe!$D$15&amp;".172.250","")</f>
        <v/>
      </c>
      <c r="I1392" s="17" t="str">
        <f aca="false">IF(AND(Eingabe!$F$15&gt;0,Eingabe!$E$15&gt;=172),Eingabe!$B$6&amp;"-"&amp;Eingabe!$C$15&amp;"-Pächter","")</f>
        <v/>
      </c>
      <c r="J1392" s="17" t="str">
        <f aca="false">IF(AND(Eingabe!$F$15&gt;0,Eingabe!$E$15&gt;=172),"PPSK: Passwort Parzelle 172","")</f>
        <v/>
      </c>
      <c r="K1392" s="17" t="str">
        <f aca="false">IF(AND(Eingabe!$F$15&gt;0,Eingabe!$E$15&gt;=172),"1. Gerät: 10."&amp;Eingabe!$D$15&amp;".172.10, 2. Gerät: .11","")</f>
        <v/>
      </c>
    </row>
    <row r="1393" customFormat="false" ht="15" hidden="false" customHeight="false" outlineLevel="0" collapsed="false">
      <c r="A1393" s="17" t="str">
        <f aca="false">IF(AND(Eingabe!$F$15&gt;0,Eingabe!$E$15&gt;=173),7,"")</f>
        <v/>
      </c>
      <c r="B1393" s="17" t="str">
        <f aca="false">IF(AND(Eingabe!$F$15&gt;0,Eingabe!$E$15&gt;=173),Eingabe!$B$15,"")</f>
        <v/>
      </c>
      <c r="C1393" s="17" t="str">
        <f aca="false">IF(AND(Eingabe!$F$15&gt;0,Eingabe!$E$15&gt;=173),Eingabe!$C$15&amp;"-Paz."&amp;TEXT(173,"000"),"")</f>
        <v/>
      </c>
      <c r="D1393" s="17" t="str">
        <f aca="false">IF(AND(Eingabe!$F$15&gt;0,Eingabe!$E$15&gt;=173),173,"")</f>
        <v/>
      </c>
      <c r="E1393" s="17" t="str">
        <f aca="false">IF(AND(Eingabe!$F$15&gt;0,Eingabe!$E$15&gt;=173),IF((Eingabe!$G$15+1)&lt;=9,1000+(Eingabe!$G$15+1)*100,3000)+73,"")</f>
        <v/>
      </c>
      <c r="F1393" s="17" t="str">
        <f aca="false">IF(AND(Eingabe!$F$15&gt;0,Eingabe!$E$15&gt;=173),"10."&amp;Eingabe!$D$15&amp;".173.0/24","")</f>
        <v/>
      </c>
      <c r="G1393" s="17" t="str">
        <f aca="false">IF(AND(Eingabe!$F$15&gt;0,Eingabe!$E$15&gt;=173),"10."&amp;Eingabe!$D$15&amp;".173.1","")</f>
        <v/>
      </c>
      <c r="H1393" s="17" t="str">
        <f aca="false">IF(AND(Eingabe!$F$15&gt;0,Eingabe!$E$15&gt;=173),"10."&amp;Eingabe!$D$15&amp;".173.10 – 10."&amp;Eingabe!$D$15&amp;".173.250","")</f>
        <v/>
      </c>
      <c r="I1393" s="17" t="str">
        <f aca="false">IF(AND(Eingabe!$F$15&gt;0,Eingabe!$E$15&gt;=173),Eingabe!$B$6&amp;"-"&amp;Eingabe!$C$15&amp;"-Pächter","")</f>
        <v/>
      </c>
      <c r="J1393" s="17" t="str">
        <f aca="false">IF(AND(Eingabe!$F$15&gt;0,Eingabe!$E$15&gt;=173),"PPSK: Passwort Parzelle 173","")</f>
        <v/>
      </c>
      <c r="K1393" s="17" t="str">
        <f aca="false">IF(AND(Eingabe!$F$15&gt;0,Eingabe!$E$15&gt;=173),"1. Gerät: 10."&amp;Eingabe!$D$15&amp;".173.10, 2. Gerät: .11","")</f>
        <v/>
      </c>
    </row>
    <row r="1394" customFormat="false" ht="15" hidden="false" customHeight="false" outlineLevel="0" collapsed="false">
      <c r="A1394" s="17" t="str">
        <f aca="false">IF(AND(Eingabe!$F$15&gt;0,Eingabe!$E$15&gt;=174),7,"")</f>
        <v/>
      </c>
      <c r="B1394" s="17" t="str">
        <f aca="false">IF(AND(Eingabe!$F$15&gt;0,Eingabe!$E$15&gt;=174),Eingabe!$B$15,"")</f>
        <v/>
      </c>
      <c r="C1394" s="17" t="str">
        <f aca="false">IF(AND(Eingabe!$F$15&gt;0,Eingabe!$E$15&gt;=174),Eingabe!$C$15&amp;"-Paz."&amp;TEXT(174,"000"),"")</f>
        <v/>
      </c>
      <c r="D1394" s="17" t="str">
        <f aca="false">IF(AND(Eingabe!$F$15&gt;0,Eingabe!$E$15&gt;=174),174,"")</f>
        <v/>
      </c>
      <c r="E1394" s="17" t="str">
        <f aca="false">IF(AND(Eingabe!$F$15&gt;0,Eingabe!$E$15&gt;=174),IF((Eingabe!$G$15+1)&lt;=9,1000+(Eingabe!$G$15+1)*100,3000)+74,"")</f>
        <v/>
      </c>
      <c r="F1394" s="17" t="str">
        <f aca="false">IF(AND(Eingabe!$F$15&gt;0,Eingabe!$E$15&gt;=174),"10."&amp;Eingabe!$D$15&amp;".174.0/24","")</f>
        <v/>
      </c>
      <c r="G1394" s="17" t="str">
        <f aca="false">IF(AND(Eingabe!$F$15&gt;0,Eingabe!$E$15&gt;=174),"10."&amp;Eingabe!$D$15&amp;".174.1","")</f>
        <v/>
      </c>
      <c r="H1394" s="17" t="str">
        <f aca="false">IF(AND(Eingabe!$F$15&gt;0,Eingabe!$E$15&gt;=174),"10."&amp;Eingabe!$D$15&amp;".174.10 – 10."&amp;Eingabe!$D$15&amp;".174.250","")</f>
        <v/>
      </c>
      <c r="I1394" s="17" t="str">
        <f aca="false">IF(AND(Eingabe!$F$15&gt;0,Eingabe!$E$15&gt;=174),Eingabe!$B$6&amp;"-"&amp;Eingabe!$C$15&amp;"-Pächter","")</f>
        <v/>
      </c>
      <c r="J1394" s="17" t="str">
        <f aca="false">IF(AND(Eingabe!$F$15&gt;0,Eingabe!$E$15&gt;=174),"PPSK: Passwort Parzelle 174","")</f>
        <v/>
      </c>
      <c r="K1394" s="17" t="str">
        <f aca="false">IF(AND(Eingabe!$F$15&gt;0,Eingabe!$E$15&gt;=174),"1. Gerät: 10."&amp;Eingabe!$D$15&amp;".174.10, 2. Gerät: .11","")</f>
        <v/>
      </c>
    </row>
    <row r="1395" customFormat="false" ht="15" hidden="false" customHeight="false" outlineLevel="0" collapsed="false">
      <c r="A1395" s="17" t="str">
        <f aca="false">IF(AND(Eingabe!$F$15&gt;0,Eingabe!$E$15&gt;=175),7,"")</f>
        <v/>
      </c>
      <c r="B1395" s="17" t="str">
        <f aca="false">IF(AND(Eingabe!$F$15&gt;0,Eingabe!$E$15&gt;=175),Eingabe!$B$15,"")</f>
        <v/>
      </c>
      <c r="C1395" s="17" t="str">
        <f aca="false">IF(AND(Eingabe!$F$15&gt;0,Eingabe!$E$15&gt;=175),Eingabe!$C$15&amp;"-Paz."&amp;TEXT(175,"000"),"")</f>
        <v/>
      </c>
      <c r="D1395" s="17" t="str">
        <f aca="false">IF(AND(Eingabe!$F$15&gt;0,Eingabe!$E$15&gt;=175),175,"")</f>
        <v/>
      </c>
      <c r="E1395" s="17" t="str">
        <f aca="false">IF(AND(Eingabe!$F$15&gt;0,Eingabe!$E$15&gt;=175),IF((Eingabe!$G$15+1)&lt;=9,1000+(Eingabe!$G$15+1)*100,3000)+75,"")</f>
        <v/>
      </c>
      <c r="F1395" s="17" t="str">
        <f aca="false">IF(AND(Eingabe!$F$15&gt;0,Eingabe!$E$15&gt;=175),"10."&amp;Eingabe!$D$15&amp;".175.0/24","")</f>
        <v/>
      </c>
      <c r="G1395" s="17" t="str">
        <f aca="false">IF(AND(Eingabe!$F$15&gt;0,Eingabe!$E$15&gt;=175),"10."&amp;Eingabe!$D$15&amp;".175.1","")</f>
        <v/>
      </c>
      <c r="H1395" s="17" t="str">
        <f aca="false">IF(AND(Eingabe!$F$15&gt;0,Eingabe!$E$15&gt;=175),"10."&amp;Eingabe!$D$15&amp;".175.10 – 10."&amp;Eingabe!$D$15&amp;".175.250","")</f>
        <v/>
      </c>
      <c r="I1395" s="17" t="str">
        <f aca="false">IF(AND(Eingabe!$F$15&gt;0,Eingabe!$E$15&gt;=175),Eingabe!$B$6&amp;"-"&amp;Eingabe!$C$15&amp;"-Pächter","")</f>
        <v/>
      </c>
      <c r="J1395" s="17" t="str">
        <f aca="false">IF(AND(Eingabe!$F$15&gt;0,Eingabe!$E$15&gt;=175),"PPSK: Passwort Parzelle 175","")</f>
        <v/>
      </c>
      <c r="K1395" s="17" t="str">
        <f aca="false">IF(AND(Eingabe!$F$15&gt;0,Eingabe!$E$15&gt;=175),"1. Gerät: 10."&amp;Eingabe!$D$15&amp;".175.10, 2. Gerät: .11","")</f>
        <v/>
      </c>
    </row>
    <row r="1396" customFormat="false" ht="15" hidden="false" customHeight="false" outlineLevel="0" collapsed="false">
      <c r="A1396" s="17" t="str">
        <f aca="false">IF(AND(Eingabe!$F$15&gt;0,Eingabe!$E$15&gt;=176),7,"")</f>
        <v/>
      </c>
      <c r="B1396" s="17" t="str">
        <f aca="false">IF(AND(Eingabe!$F$15&gt;0,Eingabe!$E$15&gt;=176),Eingabe!$B$15,"")</f>
        <v/>
      </c>
      <c r="C1396" s="17" t="str">
        <f aca="false">IF(AND(Eingabe!$F$15&gt;0,Eingabe!$E$15&gt;=176),Eingabe!$C$15&amp;"-Paz."&amp;TEXT(176,"000"),"")</f>
        <v/>
      </c>
      <c r="D1396" s="17" t="str">
        <f aca="false">IF(AND(Eingabe!$F$15&gt;0,Eingabe!$E$15&gt;=176),176,"")</f>
        <v/>
      </c>
      <c r="E1396" s="17" t="str">
        <f aca="false">IF(AND(Eingabe!$F$15&gt;0,Eingabe!$E$15&gt;=176),IF((Eingabe!$G$15+1)&lt;=9,1000+(Eingabe!$G$15+1)*100,3000)+76,"")</f>
        <v/>
      </c>
      <c r="F1396" s="17" t="str">
        <f aca="false">IF(AND(Eingabe!$F$15&gt;0,Eingabe!$E$15&gt;=176),"10."&amp;Eingabe!$D$15&amp;".176.0/24","")</f>
        <v/>
      </c>
      <c r="G1396" s="17" t="str">
        <f aca="false">IF(AND(Eingabe!$F$15&gt;0,Eingabe!$E$15&gt;=176),"10."&amp;Eingabe!$D$15&amp;".176.1","")</f>
        <v/>
      </c>
      <c r="H1396" s="17" t="str">
        <f aca="false">IF(AND(Eingabe!$F$15&gt;0,Eingabe!$E$15&gt;=176),"10."&amp;Eingabe!$D$15&amp;".176.10 – 10."&amp;Eingabe!$D$15&amp;".176.250","")</f>
        <v/>
      </c>
      <c r="I1396" s="17" t="str">
        <f aca="false">IF(AND(Eingabe!$F$15&gt;0,Eingabe!$E$15&gt;=176),Eingabe!$B$6&amp;"-"&amp;Eingabe!$C$15&amp;"-Pächter","")</f>
        <v/>
      </c>
      <c r="J1396" s="17" t="str">
        <f aca="false">IF(AND(Eingabe!$F$15&gt;0,Eingabe!$E$15&gt;=176),"PPSK: Passwort Parzelle 176","")</f>
        <v/>
      </c>
      <c r="K1396" s="17" t="str">
        <f aca="false">IF(AND(Eingabe!$F$15&gt;0,Eingabe!$E$15&gt;=176),"1. Gerät: 10."&amp;Eingabe!$D$15&amp;".176.10, 2. Gerät: .11","")</f>
        <v/>
      </c>
    </row>
    <row r="1397" customFormat="false" ht="15" hidden="false" customHeight="false" outlineLevel="0" collapsed="false">
      <c r="A1397" s="17" t="str">
        <f aca="false">IF(AND(Eingabe!$F$15&gt;0,Eingabe!$E$15&gt;=177),7,"")</f>
        <v/>
      </c>
      <c r="B1397" s="17" t="str">
        <f aca="false">IF(AND(Eingabe!$F$15&gt;0,Eingabe!$E$15&gt;=177),Eingabe!$B$15,"")</f>
        <v/>
      </c>
      <c r="C1397" s="17" t="str">
        <f aca="false">IF(AND(Eingabe!$F$15&gt;0,Eingabe!$E$15&gt;=177),Eingabe!$C$15&amp;"-Paz."&amp;TEXT(177,"000"),"")</f>
        <v/>
      </c>
      <c r="D1397" s="17" t="str">
        <f aca="false">IF(AND(Eingabe!$F$15&gt;0,Eingabe!$E$15&gt;=177),177,"")</f>
        <v/>
      </c>
      <c r="E1397" s="17" t="str">
        <f aca="false">IF(AND(Eingabe!$F$15&gt;0,Eingabe!$E$15&gt;=177),IF((Eingabe!$G$15+1)&lt;=9,1000+(Eingabe!$G$15+1)*100,3000)+77,"")</f>
        <v/>
      </c>
      <c r="F1397" s="17" t="str">
        <f aca="false">IF(AND(Eingabe!$F$15&gt;0,Eingabe!$E$15&gt;=177),"10."&amp;Eingabe!$D$15&amp;".177.0/24","")</f>
        <v/>
      </c>
      <c r="G1397" s="17" t="str">
        <f aca="false">IF(AND(Eingabe!$F$15&gt;0,Eingabe!$E$15&gt;=177),"10."&amp;Eingabe!$D$15&amp;".177.1","")</f>
        <v/>
      </c>
      <c r="H1397" s="17" t="str">
        <f aca="false">IF(AND(Eingabe!$F$15&gt;0,Eingabe!$E$15&gt;=177),"10."&amp;Eingabe!$D$15&amp;".177.10 – 10."&amp;Eingabe!$D$15&amp;".177.250","")</f>
        <v/>
      </c>
      <c r="I1397" s="17" t="str">
        <f aca="false">IF(AND(Eingabe!$F$15&gt;0,Eingabe!$E$15&gt;=177),Eingabe!$B$6&amp;"-"&amp;Eingabe!$C$15&amp;"-Pächter","")</f>
        <v/>
      </c>
      <c r="J1397" s="17" t="str">
        <f aca="false">IF(AND(Eingabe!$F$15&gt;0,Eingabe!$E$15&gt;=177),"PPSK: Passwort Parzelle 177","")</f>
        <v/>
      </c>
      <c r="K1397" s="17" t="str">
        <f aca="false">IF(AND(Eingabe!$F$15&gt;0,Eingabe!$E$15&gt;=177),"1. Gerät: 10."&amp;Eingabe!$D$15&amp;".177.10, 2. Gerät: .11","")</f>
        <v/>
      </c>
    </row>
    <row r="1398" customFormat="false" ht="15" hidden="false" customHeight="false" outlineLevel="0" collapsed="false">
      <c r="A1398" s="17" t="str">
        <f aca="false">IF(AND(Eingabe!$F$15&gt;0,Eingabe!$E$15&gt;=178),7,"")</f>
        <v/>
      </c>
      <c r="B1398" s="17" t="str">
        <f aca="false">IF(AND(Eingabe!$F$15&gt;0,Eingabe!$E$15&gt;=178),Eingabe!$B$15,"")</f>
        <v/>
      </c>
      <c r="C1398" s="17" t="str">
        <f aca="false">IF(AND(Eingabe!$F$15&gt;0,Eingabe!$E$15&gt;=178),Eingabe!$C$15&amp;"-Paz."&amp;TEXT(178,"000"),"")</f>
        <v/>
      </c>
      <c r="D1398" s="17" t="str">
        <f aca="false">IF(AND(Eingabe!$F$15&gt;0,Eingabe!$E$15&gt;=178),178,"")</f>
        <v/>
      </c>
      <c r="E1398" s="17" t="str">
        <f aca="false">IF(AND(Eingabe!$F$15&gt;0,Eingabe!$E$15&gt;=178),IF((Eingabe!$G$15+1)&lt;=9,1000+(Eingabe!$G$15+1)*100,3000)+78,"")</f>
        <v/>
      </c>
      <c r="F1398" s="17" t="str">
        <f aca="false">IF(AND(Eingabe!$F$15&gt;0,Eingabe!$E$15&gt;=178),"10."&amp;Eingabe!$D$15&amp;".178.0/24","")</f>
        <v/>
      </c>
      <c r="G1398" s="17" t="str">
        <f aca="false">IF(AND(Eingabe!$F$15&gt;0,Eingabe!$E$15&gt;=178),"10."&amp;Eingabe!$D$15&amp;".178.1","")</f>
        <v/>
      </c>
      <c r="H1398" s="17" t="str">
        <f aca="false">IF(AND(Eingabe!$F$15&gt;0,Eingabe!$E$15&gt;=178),"10."&amp;Eingabe!$D$15&amp;".178.10 – 10."&amp;Eingabe!$D$15&amp;".178.250","")</f>
        <v/>
      </c>
      <c r="I1398" s="17" t="str">
        <f aca="false">IF(AND(Eingabe!$F$15&gt;0,Eingabe!$E$15&gt;=178),Eingabe!$B$6&amp;"-"&amp;Eingabe!$C$15&amp;"-Pächter","")</f>
        <v/>
      </c>
      <c r="J1398" s="17" t="str">
        <f aca="false">IF(AND(Eingabe!$F$15&gt;0,Eingabe!$E$15&gt;=178),"PPSK: Passwort Parzelle 178","")</f>
        <v/>
      </c>
      <c r="K1398" s="17" t="str">
        <f aca="false">IF(AND(Eingabe!$F$15&gt;0,Eingabe!$E$15&gt;=178),"1. Gerät: 10."&amp;Eingabe!$D$15&amp;".178.10, 2. Gerät: .11","")</f>
        <v/>
      </c>
    </row>
    <row r="1399" customFormat="false" ht="15" hidden="false" customHeight="false" outlineLevel="0" collapsed="false">
      <c r="A1399" s="17" t="str">
        <f aca="false">IF(AND(Eingabe!$F$15&gt;0,Eingabe!$E$15&gt;=179),7,"")</f>
        <v/>
      </c>
      <c r="B1399" s="17" t="str">
        <f aca="false">IF(AND(Eingabe!$F$15&gt;0,Eingabe!$E$15&gt;=179),Eingabe!$B$15,"")</f>
        <v/>
      </c>
      <c r="C1399" s="17" t="str">
        <f aca="false">IF(AND(Eingabe!$F$15&gt;0,Eingabe!$E$15&gt;=179),Eingabe!$C$15&amp;"-Paz."&amp;TEXT(179,"000"),"")</f>
        <v/>
      </c>
      <c r="D1399" s="17" t="str">
        <f aca="false">IF(AND(Eingabe!$F$15&gt;0,Eingabe!$E$15&gt;=179),179,"")</f>
        <v/>
      </c>
      <c r="E1399" s="17" t="str">
        <f aca="false">IF(AND(Eingabe!$F$15&gt;0,Eingabe!$E$15&gt;=179),IF((Eingabe!$G$15+1)&lt;=9,1000+(Eingabe!$G$15+1)*100,3000)+79,"")</f>
        <v/>
      </c>
      <c r="F1399" s="17" t="str">
        <f aca="false">IF(AND(Eingabe!$F$15&gt;0,Eingabe!$E$15&gt;=179),"10."&amp;Eingabe!$D$15&amp;".179.0/24","")</f>
        <v/>
      </c>
      <c r="G1399" s="17" t="str">
        <f aca="false">IF(AND(Eingabe!$F$15&gt;0,Eingabe!$E$15&gt;=179),"10."&amp;Eingabe!$D$15&amp;".179.1","")</f>
        <v/>
      </c>
      <c r="H1399" s="17" t="str">
        <f aca="false">IF(AND(Eingabe!$F$15&gt;0,Eingabe!$E$15&gt;=179),"10."&amp;Eingabe!$D$15&amp;".179.10 – 10."&amp;Eingabe!$D$15&amp;".179.250","")</f>
        <v/>
      </c>
      <c r="I1399" s="17" t="str">
        <f aca="false">IF(AND(Eingabe!$F$15&gt;0,Eingabe!$E$15&gt;=179),Eingabe!$B$6&amp;"-"&amp;Eingabe!$C$15&amp;"-Pächter","")</f>
        <v/>
      </c>
      <c r="J1399" s="17" t="str">
        <f aca="false">IF(AND(Eingabe!$F$15&gt;0,Eingabe!$E$15&gt;=179),"PPSK: Passwort Parzelle 179","")</f>
        <v/>
      </c>
      <c r="K1399" s="17" t="str">
        <f aca="false">IF(AND(Eingabe!$F$15&gt;0,Eingabe!$E$15&gt;=179),"1. Gerät: 10."&amp;Eingabe!$D$15&amp;".179.10, 2. Gerät: .11","")</f>
        <v/>
      </c>
    </row>
    <row r="1400" customFormat="false" ht="15" hidden="false" customHeight="false" outlineLevel="0" collapsed="false">
      <c r="A1400" s="17" t="str">
        <f aca="false">IF(AND(Eingabe!$F$15&gt;0,Eingabe!$E$15&gt;=180),7,"")</f>
        <v/>
      </c>
      <c r="B1400" s="17" t="str">
        <f aca="false">IF(AND(Eingabe!$F$15&gt;0,Eingabe!$E$15&gt;=180),Eingabe!$B$15,"")</f>
        <v/>
      </c>
      <c r="C1400" s="17" t="str">
        <f aca="false">IF(AND(Eingabe!$F$15&gt;0,Eingabe!$E$15&gt;=180),Eingabe!$C$15&amp;"-Paz."&amp;TEXT(180,"000"),"")</f>
        <v/>
      </c>
      <c r="D1400" s="17" t="str">
        <f aca="false">IF(AND(Eingabe!$F$15&gt;0,Eingabe!$E$15&gt;=180),180,"")</f>
        <v/>
      </c>
      <c r="E1400" s="17" t="str">
        <f aca="false">IF(AND(Eingabe!$F$15&gt;0,Eingabe!$E$15&gt;=180),IF((Eingabe!$G$15+1)&lt;=9,1000+(Eingabe!$G$15+1)*100,3000)+80,"")</f>
        <v/>
      </c>
      <c r="F1400" s="17" t="str">
        <f aca="false">IF(AND(Eingabe!$F$15&gt;0,Eingabe!$E$15&gt;=180),"10."&amp;Eingabe!$D$15&amp;".180.0/24","")</f>
        <v/>
      </c>
      <c r="G1400" s="17" t="str">
        <f aca="false">IF(AND(Eingabe!$F$15&gt;0,Eingabe!$E$15&gt;=180),"10."&amp;Eingabe!$D$15&amp;".180.1","")</f>
        <v/>
      </c>
      <c r="H1400" s="17" t="str">
        <f aca="false">IF(AND(Eingabe!$F$15&gt;0,Eingabe!$E$15&gt;=180),"10."&amp;Eingabe!$D$15&amp;".180.10 – 10."&amp;Eingabe!$D$15&amp;".180.250","")</f>
        <v/>
      </c>
      <c r="I1400" s="17" t="str">
        <f aca="false">IF(AND(Eingabe!$F$15&gt;0,Eingabe!$E$15&gt;=180),Eingabe!$B$6&amp;"-"&amp;Eingabe!$C$15&amp;"-Pächter","")</f>
        <v/>
      </c>
      <c r="J1400" s="17" t="str">
        <f aca="false">IF(AND(Eingabe!$F$15&gt;0,Eingabe!$E$15&gt;=180),"PPSK: Passwort Parzelle 180","")</f>
        <v/>
      </c>
      <c r="K1400" s="17" t="str">
        <f aca="false">IF(AND(Eingabe!$F$15&gt;0,Eingabe!$E$15&gt;=180),"1. Gerät: 10."&amp;Eingabe!$D$15&amp;".180.10, 2. Gerät: .11","")</f>
        <v/>
      </c>
    </row>
    <row r="1401" customFormat="false" ht="15" hidden="false" customHeight="false" outlineLevel="0" collapsed="false">
      <c r="A1401" s="17" t="str">
        <f aca="false">IF(AND(Eingabe!$F$15&gt;0,Eingabe!$E$15&gt;=181),7,"")</f>
        <v/>
      </c>
      <c r="B1401" s="17" t="str">
        <f aca="false">IF(AND(Eingabe!$F$15&gt;0,Eingabe!$E$15&gt;=181),Eingabe!$B$15,"")</f>
        <v/>
      </c>
      <c r="C1401" s="17" t="str">
        <f aca="false">IF(AND(Eingabe!$F$15&gt;0,Eingabe!$E$15&gt;=181),Eingabe!$C$15&amp;"-Paz."&amp;TEXT(181,"000"),"")</f>
        <v/>
      </c>
      <c r="D1401" s="17" t="str">
        <f aca="false">IF(AND(Eingabe!$F$15&gt;0,Eingabe!$E$15&gt;=181),181,"")</f>
        <v/>
      </c>
      <c r="E1401" s="17" t="str">
        <f aca="false">IF(AND(Eingabe!$F$15&gt;0,Eingabe!$E$15&gt;=181),IF((Eingabe!$G$15+1)&lt;=9,1000+(Eingabe!$G$15+1)*100,3000)+81,"")</f>
        <v/>
      </c>
      <c r="F1401" s="17" t="str">
        <f aca="false">IF(AND(Eingabe!$F$15&gt;0,Eingabe!$E$15&gt;=181),"10."&amp;Eingabe!$D$15&amp;".181.0/24","")</f>
        <v/>
      </c>
      <c r="G1401" s="17" t="str">
        <f aca="false">IF(AND(Eingabe!$F$15&gt;0,Eingabe!$E$15&gt;=181),"10."&amp;Eingabe!$D$15&amp;".181.1","")</f>
        <v/>
      </c>
      <c r="H1401" s="17" t="str">
        <f aca="false">IF(AND(Eingabe!$F$15&gt;0,Eingabe!$E$15&gt;=181),"10."&amp;Eingabe!$D$15&amp;".181.10 – 10."&amp;Eingabe!$D$15&amp;".181.250","")</f>
        <v/>
      </c>
      <c r="I1401" s="17" t="str">
        <f aca="false">IF(AND(Eingabe!$F$15&gt;0,Eingabe!$E$15&gt;=181),Eingabe!$B$6&amp;"-"&amp;Eingabe!$C$15&amp;"-Pächter","")</f>
        <v/>
      </c>
      <c r="J1401" s="17" t="str">
        <f aca="false">IF(AND(Eingabe!$F$15&gt;0,Eingabe!$E$15&gt;=181),"PPSK: Passwort Parzelle 181","")</f>
        <v/>
      </c>
      <c r="K1401" s="17" t="str">
        <f aca="false">IF(AND(Eingabe!$F$15&gt;0,Eingabe!$E$15&gt;=181),"1. Gerät: 10."&amp;Eingabe!$D$15&amp;".181.10, 2. Gerät: .11","")</f>
        <v/>
      </c>
    </row>
    <row r="1402" customFormat="false" ht="15" hidden="false" customHeight="false" outlineLevel="0" collapsed="false">
      <c r="A1402" s="17" t="str">
        <f aca="false">IF(AND(Eingabe!$F$15&gt;0,Eingabe!$E$15&gt;=182),7,"")</f>
        <v/>
      </c>
      <c r="B1402" s="17" t="str">
        <f aca="false">IF(AND(Eingabe!$F$15&gt;0,Eingabe!$E$15&gt;=182),Eingabe!$B$15,"")</f>
        <v/>
      </c>
      <c r="C1402" s="17" t="str">
        <f aca="false">IF(AND(Eingabe!$F$15&gt;0,Eingabe!$E$15&gt;=182),Eingabe!$C$15&amp;"-Paz."&amp;TEXT(182,"000"),"")</f>
        <v/>
      </c>
      <c r="D1402" s="17" t="str">
        <f aca="false">IF(AND(Eingabe!$F$15&gt;0,Eingabe!$E$15&gt;=182),182,"")</f>
        <v/>
      </c>
      <c r="E1402" s="17" t="str">
        <f aca="false">IF(AND(Eingabe!$F$15&gt;0,Eingabe!$E$15&gt;=182),IF((Eingabe!$G$15+1)&lt;=9,1000+(Eingabe!$G$15+1)*100,3000)+82,"")</f>
        <v/>
      </c>
      <c r="F1402" s="17" t="str">
        <f aca="false">IF(AND(Eingabe!$F$15&gt;0,Eingabe!$E$15&gt;=182),"10."&amp;Eingabe!$D$15&amp;".182.0/24","")</f>
        <v/>
      </c>
      <c r="G1402" s="17" t="str">
        <f aca="false">IF(AND(Eingabe!$F$15&gt;0,Eingabe!$E$15&gt;=182),"10."&amp;Eingabe!$D$15&amp;".182.1","")</f>
        <v/>
      </c>
      <c r="H1402" s="17" t="str">
        <f aca="false">IF(AND(Eingabe!$F$15&gt;0,Eingabe!$E$15&gt;=182),"10."&amp;Eingabe!$D$15&amp;".182.10 – 10."&amp;Eingabe!$D$15&amp;".182.250","")</f>
        <v/>
      </c>
      <c r="I1402" s="17" t="str">
        <f aca="false">IF(AND(Eingabe!$F$15&gt;0,Eingabe!$E$15&gt;=182),Eingabe!$B$6&amp;"-"&amp;Eingabe!$C$15&amp;"-Pächter","")</f>
        <v/>
      </c>
      <c r="J1402" s="17" t="str">
        <f aca="false">IF(AND(Eingabe!$F$15&gt;0,Eingabe!$E$15&gt;=182),"PPSK: Passwort Parzelle 182","")</f>
        <v/>
      </c>
      <c r="K1402" s="17" t="str">
        <f aca="false">IF(AND(Eingabe!$F$15&gt;0,Eingabe!$E$15&gt;=182),"1. Gerät: 10."&amp;Eingabe!$D$15&amp;".182.10, 2. Gerät: .11","")</f>
        <v/>
      </c>
    </row>
    <row r="1403" customFormat="false" ht="15" hidden="false" customHeight="false" outlineLevel="0" collapsed="false">
      <c r="A1403" s="17" t="str">
        <f aca="false">IF(AND(Eingabe!$F$15&gt;0,Eingabe!$E$15&gt;=183),7,"")</f>
        <v/>
      </c>
      <c r="B1403" s="17" t="str">
        <f aca="false">IF(AND(Eingabe!$F$15&gt;0,Eingabe!$E$15&gt;=183),Eingabe!$B$15,"")</f>
        <v/>
      </c>
      <c r="C1403" s="17" t="str">
        <f aca="false">IF(AND(Eingabe!$F$15&gt;0,Eingabe!$E$15&gt;=183),Eingabe!$C$15&amp;"-Paz."&amp;TEXT(183,"000"),"")</f>
        <v/>
      </c>
      <c r="D1403" s="17" t="str">
        <f aca="false">IF(AND(Eingabe!$F$15&gt;0,Eingabe!$E$15&gt;=183),183,"")</f>
        <v/>
      </c>
      <c r="E1403" s="17" t="str">
        <f aca="false">IF(AND(Eingabe!$F$15&gt;0,Eingabe!$E$15&gt;=183),IF((Eingabe!$G$15+1)&lt;=9,1000+(Eingabe!$G$15+1)*100,3000)+83,"")</f>
        <v/>
      </c>
      <c r="F1403" s="17" t="str">
        <f aca="false">IF(AND(Eingabe!$F$15&gt;0,Eingabe!$E$15&gt;=183),"10."&amp;Eingabe!$D$15&amp;".183.0/24","")</f>
        <v/>
      </c>
      <c r="G1403" s="17" t="str">
        <f aca="false">IF(AND(Eingabe!$F$15&gt;0,Eingabe!$E$15&gt;=183),"10."&amp;Eingabe!$D$15&amp;".183.1","")</f>
        <v/>
      </c>
      <c r="H1403" s="17" t="str">
        <f aca="false">IF(AND(Eingabe!$F$15&gt;0,Eingabe!$E$15&gt;=183),"10."&amp;Eingabe!$D$15&amp;".183.10 – 10."&amp;Eingabe!$D$15&amp;".183.250","")</f>
        <v/>
      </c>
      <c r="I1403" s="17" t="str">
        <f aca="false">IF(AND(Eingabe!$F$15&gt;0,Eingabe!$E$15&gt;=183),Eingabe!$B$6&amp;"-"&amp;Eingabe!$C$15&amp;"-Pächter","")</f>
        <v/>
      </c>
      <c r="J1403" s="17" t="str">
        <f aca="false">IF(AND(Eingabe!$F$15&gt;0,Eingabe!$E$15&gt;=183),"PPSK: Passwort Parzelle 183","")</f>
        <v/>
      </c>
      <c r="K1403" s="17" t="str">
        <f aca="false">IF(AND(Eingabe!$F$15&gt;0,Eingabe!$E$15&gt;=183),"1. Gerät: 10."&amp;Eingabe!$D$15&amp;".183.10, 2. Gerät: .11","")</f>
        <v/>
      </c>
    </row>
    <row r="1404" customFormat="false" ht="15" hidden="false" customHeight="false" outlineLevel="0" collapsed="false">
      <c r="A1404" s="17" t="str">
        <f aca="false">IF(AND(Eingabe!$F$15&gt;0,Eingabe!$E$15&gt;=184),7,"")</f>
        <v/>
      </c>
      <c r="B1404" s="17" t="str">
        <f aca="false">IF(AND(Eingabe!$F$15&gt;0,Eingabe!$E$15&gt;=184),Eingabe!$B$15,"")</f>
        <v/>
      </c>
      <c r="C1404" s="17" t="str">
        <f aca="false">IF(AND(Eingabe!$F$15&gt;0,Eingabe!$E$15&gt;=184),Eingabe!$C$15&amp;"-Paz."&amp;TEXT(184,"000"),"")</f>
        <v/>
      </c>
      <c r="D1404" s="17" t="str">
        <f aca="false">IF(AND(Eingabe!$F$15&gt;0,Eingabe!$E$15&gt;=184),184,"")</f>
        <v/>
      </c>
      <c r="E1404" s="17" t="str">
        <f aca="false">IF(AND(Eingabe!$F$15&gt;0,Eingabe!$E$15&gt;=184),IF((Eingabe!$G$15+1)&lt;=9,1000+(Eingabe!$G$15+1)*100,3000)+84,"")</f>
        <v/>
      </c>
      <c r="F1404" s="17" t="str">
        <f aca="false">IF(AND(Eingabe!$F$15&gt;0,Eingabe!$E$15&gt;=184),"10."&amp;Eingabe!$D$15&amp;".184.0/24","")</f>
        <v/>
      </c>
      <c r="G1404" s="17" t="str">
        <f aca="false">IF(AND(Eingabe!$F$15&gt;0,Eingabe!$E$15&gt;=184),"10."&amp;Eingabe!$D$15&amp;".184.1","")</f>
        <v/>
      </c>
      <c r="H1404" s="17" t="str">
        <f aca="false">IF(AND(Eingabe!$F$15&gt;0,Eingabe!$E$15&gt;=184),"10."&amp;Eingabe!$D$15&amp;".184.10 – 10."&amp;Eingabe!$D$15&amp;".184.250","")</f>
        <v/>
      </c>
      <c r="I1404" s="17" t="str">
        <f aca="false">IF(AND(Eingabe!$F$15&gt;0,Eingabe!$E$15&gt;=184),Eingabe!$B$6&amp;"-"&amp;Eingabe!$C$15&amp;"-Pächter","")</f>
        <v/>
      </c>
      <c r="J1404" s="17" t="str">
        <f aca="false">IF(AND(Eingabe!$F$15&gt;0,Eingabe!$E$15&gt;=184),"PPSK: Passwort Parzelle 184","")</f>
        <v/>
      </c>
      <c r="K1404" s="17" t="str">
        <f aca="false">IF(AND(Eingabe!$F$15&gt;0,Eingabe!$E$15&gt;=184),"1. Gerät: 10."&amp;Eingabe!$D$15&amp;".184.10, 2. Gerät: .11","")</f>
        <v/>
      </c>
    </row>
    <row r="1405" customFormat="false" ht="15" hidden="false" customHeight="false" outlineLevel="0" collapsed="false">
      <c r="A1405" s="17" t="str">
        <f aca="false">IF(AND(Eingabe!$F$15&gt;0,Eingabe!$E$15&gt;=185),7,"")</f>
        <v/>
      </c>
      <c r="B1405" s="17" t="str">
        <f aca="false">IF(AND(Eingabe!$F$15&gt;0,Eingabe!$E$15&gt;=185),Eingabe!$B$15,"")</f>
        <v/>
      </c>
      <c r="C1405" s="17" t="str">
        <f aca="false">IF(AND(Eingabe!$F$15&gt;0,Eingabe!$E$15&gt;=185),Eingabe!$C$15&amp;"-Paz."&amp;TEXT(185,"000"),"")</f>
        <v/>
      </c>
      <c r="D1405" s="17" t="str">
        <f aca="false">IF(AND(Eingabe!$F$15&gt;0,Eingabe!$E$15&gt;=185),185,"")</f>
        <v/>
      </c>
      <c r="E1405" s="17" t="str">
        <f aca="false">IF(AND(Eingabe!$F$15&gt;0,Eingabe!$E$15&gt;=185),IF((Eingabe!$G$15+1)&lt;=9,1000+(Eingabe!$G$15+1)*100,3000)+85,"")</f>
        <v/>
      </c>
      <c r="F1405" s="17" t="str">
        <f aca="false">IF(AND(Eingabe!$F$15&gt;0,Eingabe!$E$15&gt;=185),"10."&amp;Eingabe!$D$15&amp;".185.0/24","")</f>
        <v/>
      </c>
      <c r="G1405" s="17" t="str">
        <f aca="false">IF(AND(Eingabe!$F$15&gt;0,Eingabe!$E$15&gt;=185),"10."&amp;Eingabe!$D$15&amp;".185.1","")</f>
        <v/>
      </c>
      <c r="H1405" s="17" t="str">
        <f aca="false">IF(AND(Eingabe!$F$15&gt;0,Eingabe!$E$15&gt;=185),"10."&amp;Eingabe!$D$15&amp;".185.10 – 10."&amp;Eingabe!$D$15&amp;".185.250","")</f>
        <v/>
      </c>
      <c r="I1405" s="17" t="str">
        <f aca="false">IF(AND(Eingabe!$F$15&gt;0,Eingabe!$E$15&gt;=185),Eingabe!$B$6&amp;"-"&amp;Eingabe!$C$15&amp;"-Pächter","")</f>
        <v/>
      </c>
      <c r="J1405" s="17" t="str">
        <f aca="false">IF(AND(Eingabe!$F$15&gt;0,Eingabe!$E$15&gt;=185),"PPSK: Passwort Parzelle 185","")</f>
        <v/>
      </c>
      <c r="K1405" s="17" t="str">
        <f aca="false">IF(AND(Eingabe!$F$15&gt;0,Eingabe!$E$15&gt;=185),"1. Gerät: 10."&amp;Eingabe!$D$15&amp;".185.10, 2. Gerät: .11","")</f>
        <v/>
      </c>
    </row>
    <row r="1406" customFormat="false" ht="15" hidden="false" customHeight="false" outlineLevel="0" collapsed="false">
      <c r="A1406" s="17" t="str">
        <f aca="false">IF(AND(Eingabe!$F$15&gt;0,Eingabe!$E$15&gt;=186),7,"")</f>
        <v/>
      </c>
      <c r="B1406" s="17" t="str">
        <f aca="false">IF(AND(Eingabe!$F$15&gt;0,Eingabe!$E$15&gt;=186),Eingabe!$B$15,"")</f>
        <v/>
      </c>
      <c r="C1406" s="17" t="str">
        <f aca="false">IF(AND(Eingabe!$F$15&gt;0,Eingabe!$E$15&gt;=186),Eingabe!$C$15&amp;"-Paz."&amp;TEXT(186,"000"),"")</f>
        <v/>
      </c>
      <c r="D1406" s="17" t="str">
        <f aca="false">IF(AND(Eingabe!$F$15&gt;0,Eingabe!$E$15&gt;=186),186,"")</f>
        <v/>
      </c>
      <c r="E1406" s="17" t="str">
        <f aca="false">IF(AND(Eingabe!$F$15&gt;0,Eingabe!$E$15&gt;=186),IF((Eingabe!$G$15+1)&lt;=9,1000+(Eingabe!$G$15+1)*100,3000)+86,"")</f>
        <v/>
      </c>
      <c r="F1406" s="17" t="str">
        <f aca="false">IF(AND(Eingabe!$F$15&gt;0,Eingabe!$E$15&gt;=186),"10."&amp;Eingabe!$D$15&amp;".186.0/24","")</f>
        <v/>
      </c>
      <c r="G1406" s="17" t="str">
        <f aca="false">IF(AND(Eingabe!$F$15&gt;0,Eingabe!$E$15&gt;=186),"10."&amp;Eingabe!$D$15&amp;".186.1","")</f>
        <v/>
      </c>
      <c r="H1406" s="17" t="str">
        <f aca="false">IF(AND(Eingabe!$F$15&gt;0,Eingabe!$E$15&gt;=186),"10."&amp;Eingabe!$D$15&amp;".186.10 – 10."&amp;Eingabe!$D$15&amp;".186.250","")</f>
        <v/>
      </c>
      <c r="I1406" s="17" t="str">
        <f aca="false">IF(AND(Eingabe!$F$15&gt;0,Eingabe!$E$15&gt;=186),Eingabe!$B$6&amp;"-"&amp;Eingabe!$C$15&amp;"-Pächter","")</f>
        <v/>
      </c>
      <c r="J1406" s="17" t="str">
        <f aca="false">IF(AND(Eingabe!$F$15&gt;0,Eingabe!$E$15&gt;=186),"PPSK: Passwort Parzelle 186","")</f>
        <v/>
      </c>
      <c r="K1406" s="17" t="str">
        <f aca="false">IF(AND(Eingabe!$F$15&gt;0,Eingabe!$E$15&gt;=186),"1. Gerät: 10."&amp;Eingabe!$D$15&amp;".186.10, 2. Gerät: .11","")</f>
        <v/>
      </c>
    </row>
    <row r="1407" customFormat="false" ht="15" hidden="false" customHeight="false" outlineLevel="0" collapsed="false">
      <c r="A1407" s="17" t="str">
        <f aca="false">IF(AND(Eingabe!$F$15&gt;0,Eingabe!$E$15&gt;=187),7,"")</f>
        <v/>
      </c>
      <c r="B1407" s="17" t="str">
        <f aca="false">IF(AND(Eingabe!$F$15&gt;0,Eingabe!$E$15&gt;=187),Eingabe!$B$15,"")</f>
        <v/>
      </c>
      <c r="C1407" s="17" t="str">
        <f aca="false">IF(AND(Eingabe!$F$15&gt;0,Eingabe!$E$15&gt;=187),Eingabe!$C$15&amp;"-Paz."&amp;TEXT(187,"000"),"")</f>
        <v/>
      </c>
      <c r="D1407" s="17" t="str">
        <f aca="false">IF(AND(Eingabe!$F$15&gt;0,Eingabe!$E$15&gt;=187),187,"")</f>
        <v/>
      </c>
      <c r="E1407" s="17" t="str">
        <f aca="false">IF(AND(Eingabe!$F$15&gt;0,Eingabe!$E$15&gt;=187),IF((Eingabe!$G$15+1)&lt;=9,1000+(Eingabe!$G$15+1)*100,3000)+87,"")</f>
        <v/>
      </c>
      <c r="F1407" s="17" t="str">
        <f aca="false">IF(AND(Eingabe!$F$15&gt;0,Eingabe!$E$15&gt;=187),"10."&amp;Eingabe!$D$15&amp;".187.0/24","")</f>
        <v/>
      </c>
      <c r="G1407" s="17" t="str">
        <f aca="false">IF(AND(Eingabe!$F$15&gt;0,Eingabe!$E$15&gt;=187),"10."&amp;Eingabe!$D$15&amp;".187.1","")</f>
        <v/>
      </c>
      <c r="H1407" s="17" t="str">
        <f aca="false">IF(AND(Eingabe!$F$15&gt;0,Eingabe!$E$15&gt;=187),"10."&amp;Eingabe!$D$15&amp;".187.10 – 10."&amp;Eingabe!$D$15&amp;".187.250","")</f>
        <v/>
      </c>
      <c r="I1407" s="17" t="str">
        <f aca="false">IF(AND(Eingabe!$F$15&gt;0,Eingabe!$E$15&gt;=187),Eingabe!$B$6&amp;"-"&amp;Eingabe!$C$15&amp;"-Pächter","")</f>
        <v/>
      </c>
      <c r="J1407" s="17" t="str">
        <f aca="false">IF(AND(Eingabe!$F$15&gt;0,Eingabe!$E$15&gt;=187),"PPSK: Passwort Parzelle 187","")</f>
        <v/>
      </c>
      <c r="K1407" s="17" t="str">
        <f aca="false">IF(AND(Eingabe!$F$15&gt;0,Eingabe!$E$15&gt;=187),"1. Gerät: 10."&amp;Eingabe!$D$15&amp;".187.10, 2. Gerät: .11","")</f>
        <v/>
      </c>
    </row>
    <row r="1408" customFormat="false" ht="15" hidden="false" customHeight="false" outlineLevel="0" collapsed="false">
      <c r="A1408" s="17" t="str">
        <f aca="false">IF(AND(Eingabe!$F$15&gt;0,Eingabe!$E$15&gt;=188),7,"")</f>
        <v/>
      </c>
      <c r="B1408" s="17" t="str">
        <f aca="false">IF(AND(Eingabe!$F$15&gt;0,Eingabe!$E$15&gt;=188),Eingabe!$B$15,"")</f>
        <v/>
      </c>
      <c r="C1408" s="17" t="str">
        <f aca="false">IF(AND(Eingabe!$F$15&gt;0,Eingabe!$E$15&gt;=188),Eingabe!$C$15&amp;"-Paz."&amp;TEXT(188,"000"),"")</f>
        <v/>
      </c>
      <c r="D1408" s="17" t="str">
        <f aca="false">IF(AND(Eingabe!$F$15&gt;0,Eingabe!$E$15&gt;=188),188,"")</f>
        <v/>
      </c>
      <c r="E1408" s="17" t="str">
        <f aca="false">IF(AND(Eingabe!$F$15&gt;0,Eingabe!$E$15&gt;=188),IF((Eingabe!$G$15+1)&lt;=9,1000+(Eingabe!$G$15+1)*100,3000)+88,"")</f>
        <v/>
      </c>
      <c r="F1408" s="17" t="str">
        <f aca="false">IF(AND(Eingabe!$F$15&gt;0,Eingabe!$E$15&gt;=188),"10."&amp;Eingabe!$D$15&amp;".188.0/24","")</f>
        <v/>
      </c>
      <c r="G1408" s="17" t="str">
        <f aca="false">IF(AND(Eingabe!$F$15&gt;0,Eingabe!$E$15&gt;=188),"10."&amp;Eingabe!$D$15&amp;".188.1","")</f>
        <v/>
      </c>
      <c r="H1408" s="17" t="str">
        <f aca="false">IF(AND(Eingabe!$F$15&gt;0,Eingabe!$E$15&gt;=188),"10."&amp;Eingabe!$D$15&amp;".188.10 – 10."&amp;Eingabe!$D$15&amp;".188.250","")</f>
        <v/>
      </c>
      <c r="I1408" s="17" t="str">
        <f aca="false">IF(AND(Eingabe!$F$15&gt;0,Eingabe!$E$15&gt;=188),Eingabe!$B$6&amp;"-"&amp;Eingabe!$C$15&amp;"-Pächter","")</f>
        <v/>
      </c>
      <c r="J1408" s="17" t="str">
        <f aca="false">IF(AND(Eingabe!$F$15&gt;0,Eingabe!$E$15&gt;=188),"PPSK: Passwort Parzelle 188","")</f>
        <v/>
      </c>
      <c r="K1408" s="17" t="str">
        <f aca="false">IF(AND(Eingabe!$F$15&gt;0,Eingabe!$E$15&gt;=188),"1. Gerät: 10."&amp;Eingabe!$D$15&amp;".188.10, 2. Gerät: .11","")</f>
        <v/>
      </c>
    </row>
    <row r="1409" customFormat="false" ht="15" hidden="false" customHeight="false" outlineLevel="0" collapsed="false">
      <c r="A1409" s="17" t="str">
        <f aca="false">IF(AND(Eingabe!$F$15&gt;0,Eingabe!$E$15&gt;=189),7,"")</f>
        <v/>
      </c>
      <c r="B1409" s="17" t="str">
        <f aca="false">IF(AND(Eingabe!$F$15&gt;0,Eingabe!$E$15&gt;=189),Eingabe!$B$15,"")</f>
        <v/>
      </c>
      <c r="C1409" s="17" t="str">
        <f aca="false">IF(AND(Eingabe!$F$15&gt;0,Eingabe!$E$15&gt;=189),Eingabe!$C$15&amp;"-Paz."&amp;TEXT(189,"000"),"")</f>
        <v/>
      </c>
      <c r="D1409" s="17" t="str">
        <f aca="false">IF(AND(Eingabe!$F$15&gt;0,Eingabe!$E$15&gt;=189),189,"")</f>
        <v/>
      </c>
      <c r="E1409" s="17" t="str">
        <f aca="false">IF(AND(Eingabe!$F$15&gt;0,Eingabe!$E$15&gt;=189),IF((Eingabe!$G$15+1)&lt;=9,1000+(Eingabe!$G$15+1)*100,3000)+89,"")</f>
        <v/>
      </c>
      <c r="F1409" s="17" t="str">
        <f aca="false">IF(AND(Eingabe!$F$15&gt;0,Eingabe!$E$15&gt;=189),"10."&amp;Eingabe!$D$15&amp;".189.0/24","")</f>
        <v/>
      </c>
      <c r="G1409" s="17" t="str">
        <f aca="false">IF(AND(Eingabe!$F$15&gt;0,Eingabe!$E$15&gt;=189),"10."&amp;Eingabe!$D$15&amp;".189.1","")</f>
        <v/>
      </c>
      <c r="H1409" s="17" t="str">
        <f aca="false">IF(AND(Eingabe!$F$15&gt;0,Eingabe!$E$15&gt;=189),"10."&amp;Eingabe!$D$15&amp;".189.10 – 10."&amp;Eingabe!$D$15&amp;".189.250","")</f>
        <v/>
      </c>
      <c r="I1409" s="17" t="str">
        <f aca="false">IF(AND(Eingabe!$F$15&gt;0,Eingabe!$E$15&gt;=189),Eingabe!$B$6&amp;"-"&amp;Eingabe!$C$15&amp;"-Pächter","")</f>
        <v/>
      </c>
      <c r="J1409" s="17" t="str">
        <f aca="false">IF(AND(Eingabe!$F$15&gt;0,Eingabe!$E$15&gt;=189),"PPSK: Passwort Parzelle 189","")</f>
        <v/>
      </c>
      <c r="K1409" s="17" t="str">
        <f aca="false">IF(AND(Eingabe!$F$15&gt;0,Eingabe!$E$15&gt;=189),"1. Gerät: 10."&amp;Eingabe!$D$15&amp;".189.10, 2. Gerät: .11","")</f>
        <v/>
      </c>
    </row>
    <row r="1410" customFormat="false" ht="15" hidden="false" customHeight="false" outlineLevel="0" collapsed="false">
      <c r="A1410" s="17" t="str">
        <f aca="false">IF(AND(Eingabe!$F$15&gt;0,Eingabe!$E$15&gt;=190),7,"")</f>
        <v/>
      </c>
      <c r="B1410" s="17" t="str">
        <f aca="false">IF(AND(Eingabe!$F$15&gt;0,Eingabe!$E$15&gt;=190),Eingabe!$B$15,"")</f>
        <v/>
      </c>
      <c r="C1410" s="17" t="str">
        <f aca="false">IF(AND(Eingabe!$F$15&gt;0,Eingabe!$E$15&gt;=190),Eingabe!$C$15&amp;"-Paz."&amp;TEXT(190,"000"),"")</f>
        <v/>
      </c>
      <c r="D1410" s="17" t="str">
        <f aca="false">IF(AND(Eingabe!$F$15&gt;0,Eingabe!$E$15&gt;=190),190,"")</f>
        <v/>
      </c>
      <c r="E1410" s="17" t="str">
        <f aca="false">IF(AND(Eingabe!$F$15&gt;0,Eingabe!$E$15&gt;=190),IF((Eingabe!$G$15+1)&lt;=9,1000+(Eingabe!$G$15+1)*100,3000)+90,"")</f>
        <v/>
      </c>
      <c r="F1410" s="17" t="str">
        <f aca="false">IF(AND(Eingabe!$F$15&gt;0,Eingabe!$E$15&gt;=190),"10."&amp;Eingabe!$D$15&amp;".190.0/24","")</f>
        <v/>
      </c>
      <c r="G1410" s="17" t="str">
        <f aca="false">IF(AND(Eingabe!$F$15&gt;0,Eingabe!$E$15&gt;=190),"10."&amp;Eingabe!$D$15&amp;".190.1","")</f>
        <v/>
      </c>
      <c r="H1410" s="17" t="str">
        <f aca="false">IF(AND(Eingabe!$F$15&gt;0,Eingabe!$E$15&gt;=190),"10."&amp;Eingabe!$D$15&amp;".190.10 – 10."&amp;Eingabe!$D$15&amp;".190.250","")</f>
        <v/>
      </c>
      <c r="I1410" s="17" t="str">
        <f aca="false">IF(AND(Eingabe!$F$15&gt;0,Eingabe!$E$15&gt;=190),Eingabe!$B$6&amp;"-"&amp;Eingabe!$C$15&amp;"-Pächter","")</f>
        <v/>
      </c>
      <c r="J1410" s="17" t="str">
        <f aca="false">IF(AND(Eingabe!$F$15&gt;0,Eingabe!$E$15&gt;=190),"PPSK: Passwort Parzelle 190","")</f>
        <v/>
      </c>
      <c r="K1410" s="17" t="str">
        <f aca="false">IF(AND(Eingabe!$F$15&gt;0,Eingabe!$E$15&gt;=190),"1. Gerät: 10."&amp;Eingabe!$D$15&amp;".190.10, 2. Gerät: .11","")</f>
        <v/>
      </c>
    </row>
    <row r="1411" customFormat="false" ht="15" hidden="false" customHeight="false" outlineLevel="0" collapsed="false">
      <c r="A1411" s="17" t="str">
        <f aca="false">IF(AND(Eingabe!$F$15&gt;0,Eingabe!$E$15&gt;=191),7,"")</f>
        <v/>
      </c>
      <c r="B1411" s="17" t="str">
        <f aca="false">IF(AND(Eingabe!$F$15&gt;0,Eingabe!$E$15&gt;=191),Eingabe!$B$15,"")</f>
        <v/>
      </c>
      <c r="C1411" s="17" t="str">
        <f aca="false">IF(AND(Eingabe!$F$15&gt;0,Eingabe!$E$15&gt;=191),Eingabe!$C$15&amp;"-Paz."&amp;TEXT(191,"000"),"")</f>
        <v/>
      </c>
      <c r="D1411" s="17" t="str">
        <f aca="false">IF(AND(Eingabe!$F$15&gt;0,Eingabe!$E$15&gt;=191),191,"")</f>
        <v/>
      </c>
      <c r="E1411" s="17" t="str">
        <f aca="false">IF(AND(Eingabe!$F$15&gt;0,Eingabe!$E$15&gt;=191),IF((Eingabe!$G$15+1)&lt;=9,1000+(Eingabe!$G$15+1)*100,3000)+91,"")</f>
        <v/>
      </c>
      <c r="F1411" s="17" t="str">
        <f aca="false">IF(AND(Eingabe!$F$15&gt;0,Eingabe!$E$15&gt;=191),"10."&amp;Eingabe!$D$15&amp;".191.0/24","")</f>
        <v/>
      </c>
      <c r="G1411" s="17" t="str">
        <f aca="false">IF(AND(Eingabe!$F$15&gt;0,Eingabe!$E$15&gt;=191),"10."&amp;Eingabe!$D$15&amp;".191.1","")</f>
        <v/>
      </c>
      <c r="H1411" s="17" t="str">
        <f aca="false">IF(AND(Eingabe!$F$15&gt;0,Eingabe!$E$15&gt;=191),"10."&amp;Eingabe!$D$15&amp;".191.10 – 10."&amp;Eingabe!$D$15&amp;".191.250","")</f>
        <v/>
      </c>
      <c r="I1411" s="17" t="str">
        <f aca="false">IF(AND(Eingabe!$F$15&gt;0,Eingabe!$E$15&gt;=191),Eingabe!$B$6&amp;"-"&amp;Eingabe!$C$15&amp;"-Pächter","")</f>
        <v/>
      </c>
      <c r="J1411" s="17" t="str">
        <f aca="false">IF(AND(Eingabe!$F$15&gt;0,Eingabe!$E$15&gt;=191),"PPSK: Passwort Parzelle 191","")</f>
        <v/>
      </c>
      <c r="K1411" s="17" t="str">
        <f aca="false">IF(AND(Eingabe!$F$15&gt;0,Eingabe!$E$15&gt;=191),"1. Gerät: 10."&amp;Eingabe!$D$15&amp;".191.10, 2. Gerät: .11","")</f>
        <v/>
      </c>
    </row>
    <row r="1412" customFormat="false" ht="15" hidden="false" customHeight="false" outlineLevel="0" collapsed="false">
      <c r="A1412" s="17" t="str">
        <f aca="false">IF(AND(Eingabe!$F$15&gt;0,Eingabe!$E$15&gt;=192),7,"")</f>
        <v/>
      </c>
      <c r="B1412" s="17" t="str">
        <f aca="false">IF(AND(Eingabe!$F$15&gt;0,Eingabe!$E$15&gt;=192),Eingabe!$B$15,"")</f>
        <v/>
      </c>
      <c r="C1412" s="17" t="str">
        <f aca="false">IF(AND(Eingabe!$F$15&gt;0,Eingabe!$E$15&gt;=192),Eingabe!$C$15&amp;"-Paz."&amp;TEXT(192,"000"),"")</f>
        <v/>
      </c>
      <c r="D1412" s="17" t="str">
        <f aca="false">IF(AND(Eingabe!$F$15&gt;0,Eingabe!$E$15&gt;=192),192,"")</f>
        <v/>
      </c>
      <c r="E1412" s="17" t="str">
        <f aca="false">IF(AND(Eingabe!$F$15&gt;0,Eingabe!$E$15&gt;=192),IF((Eingabe!$G$15+1)&lt;=9,1000+(Eingabe!$G$15+1)*100,3000)+92,"")</f>
        <v/>
      </c>
      <c r="F1412" s="17" t="str">
        <f aca="false">IF(AND(Eingabe!$F$15&gt;0,Eingabe!$E$15&gt;=192),"10."&amp;Eingabe!$D$15&amp;".192.0/24","")</f>
        <v/>
      </c>
      <c r="G1412" s="17" t="str">
        <f aca="false">IF(AND(Eingabe!$F$15&gt;0,Eingabe!$E$15&gt;=192),"10."&amp;Eingabe!$D$15&amp;".192.1","")</f>
        <v/>
      </c>
      <c r="H1412" s="17" t="str">
        <f aca="false">IF(AND(Eingabe!$F$15&gt;0,Eingabe!$E$15&gt;=192),"10."&amp;Eingabe!$D$15&amp;".192.10 – 10."&amp;Eingabe!$D$15&amp;".192.250","")</f>
        <v/>
      </c>
      <c r="I1412" s="17" t="str">
        <f aca="false">IF(AND(Eingabe!$F$15&gt;0,Eingabe!$E$15&gt;=192),Eingabe!$B$6&amp;"-"&amp;Eingabe!$C$15&amp;"-Pächter","")</f>
        <v/>
      </c>
      <c r="J1412" s="17" t="str">
        <f aca="false">IF(AND(Eingabe!$F$15&gt;0,Eingabe!$E$15&gt;=192),"PPSK: Passwort Parzelle 192","")</f>
        <v/>
      </c>
      <c r="K1412" s="17" t="str">
        <f aca="false">IF(AND(Eingabe!$F$15&gt;0,Eingabe!$E$15&gt;=192),"1. Gerät: 10."&amp;Eingabe!$D$15&amp;".192.10, 2. Gerät: .11","")</f>
        <v/>
      </c>
    </row>
    <row r="1413" customFormat="false" ht="15" hidden="false" customHeight="false" outlineLevel="0" collapsed="false">
      <c r="A1413" s="17" t="str">
        <f aca="false">IF(AND(Eingabe!$F$15&gt;0,Eingabe!$E$15&gt;=193),7,"")</f>
        <v/>
      </c>
      <c r="B1413" s="17" t="str">
        <f aca="false">IF(AND(Eingabe!$F$15&gt;0,Eingabe!$E$15&gt;=193),Eingabe!$B$15,"")</f>
        <v/>
      </c>
      <c r="C1413" s="17" t="str">
        <f aca="false">IF(AND(Eingabe!$F$15&gt;0,Eingabe!$E$15&gt;=193),Eingabe!$C$15&amp;"-Paz."&amp;TEXT(193,"000"),"")</f>
        <v/>
      </c>
      <c r="D1413" s="17" t="str">
        <f aca="false">IF(AND(Eingabe!$F$15&gt;0,Eingabe!$E$15&gt;=193),193,"")</f>
        <v/>
      </c>
      <c r="E1413" s="17" t="str">
        <f aca="false">IF(AND(Eingabe!$F$15&gt;0,Eingabe!$E$15&gt;=193),IF((Eingabe!$G$15+1)&lt;=9,1000+(Eingabe!$G$15+1)*100,3000)+93,"")</f>
        <v/>
      </c>
      <c r="F1413" s="17" t="str">
        <f aca="false">IF(AND(Eingabe!$F$15&gt;0,Eingabe!$E$15&gt;=193),"10."&amp;Eingabe!$D$15&amp;".193.0/24","")</f>
        <v/>
      </c>
      <c r="G1413" s="17" t="str">
        <f aca="false">IF(AND(Eingabe!$F$15&gt;0,Eingabe!$E$15&gt;=193),"10."&amp;Eingabe!$D$15&amp;".193.1","")</f>
        <v/>
      </c>
      <c r="H1413" s="17" t="str">
        <f aca="false">IF(AND(Eingabe!$F$15&gt;0,Eingabe!$E$15&gt;=193),"10."&amp;Eingabe!$D$15&amp;".193.10 – 10."&amp;Eingabe!$D$15&amp;".193.250","")</f>
        <v/>
      </c>
      <c r="I1413" s="17" t="str">
        <f aca="false">IF(AND(Eingabe!$F$15&gt;0,Eingabe!$E$15&gt;=193),Eingabe!$B$6&amp;"-"&amp;Eingabe!$C$15&amp;"-Pächter","")</f>
        <v/>
      </c>
      <c r="J1413" s="17" t="str">
        <f aca="false">IF(AND(Eingabe!$F$15&gt;0,Eingabe!$E$15&gt;=193),"PPSK: Passwort Parzelle 193","")</f>
        <v/>
      </c>
      <c r="K1413" s="17" t="str">
        <f aca="false">IF(AND(Eingabe!$F$15&gt;0,Eingabe!$E$15&gt;=193),"1. Gerät: 10."&amp;Eingabe!$D$15&amp;".193.10, 2. Gerät: .11","")</f>
        <v/>
      </c>
    </row>
    <row r="1414" customFormat="false" ht="15" hidden="false" customHeight="false" outlineLevel="0" collapsed="false">
      <c r="A1414" s="17" t="str">
        <f aca="false">IF(AND(Eingabe!$F$15&gt;0,Eingabe!$E$15&gt;=194),7,"")</f>
        <v/>
      </c>
      <c r="B1414" s="17" t="str">
        <f aca="false">IF(AND(Eingabe!$F$15&gt;0,Eingabe!$E$15&gt;=194),Eingabe!$B$15,"")</f>
        <v/>
      </c>
      <c r="C1414" s="17" t="str">
        <f aca="false">IF(AND(Eingabe!$F$15&gt;0,Eingabe!$E$15&gt;=194),Eingabe!$C$15&amp;"-Paz."&amp;TEXT(194,"000"),"")</f>
        <v/>
      </c>
      <c r="D1414" s="17" t="str">
        <f aca="false">IF(AND(Eingabe!$F$15&gt;0,Eingabe!$E$15&gt;=194),194,"")</f>
        <v/>
      </c>
      <c r="E1414" s="17" t="str">
        <f aca="false">IF(AND(Eingabe!$F$15&gt;0,Eingabe!$E$15&gt;=194),IF((Eingabe!$G$15+1)&lt;=9,1000+(Eingabe!$G$15+1)*100,3000)+94,"")</f>
        <v/>
      </c>
      <c r="F1414" s="17" t="str">
        <f aca="false">IF(AND(Eingabe!$F$15&gt;0,Eingabe!$E$15&gt;=194),"10."&amp;Eingabe!$D$15&amp;".194.0/24","")</f>
        <v/>
      </c>
      <c r="G1414" s="17" t="str">
        <f aca="false">IF(AND(Eingabe!$F$15&gt;0,Eingabe!$E$15&gt;=194),"10."&amp;Eingabe!$D$15&amp;".194.1","")</f>
        <v/>
      </c>
      <c r="H1414" s="17" t="str">
        <f aca="false">IF(AND(Eingabe!$F$15&gt;0,Eingabe!$E$15&gt;=194),"10."&amp;Eingabe!$D$15&amp;".194.10 – 10."&amp;Eingabe!$D$15&amp;".194.250","")</f>
        <v/>
      </c>
      <c r="I1414" s="17" t="str">
        <f aca="false">IF(AND(Eingabe!$F$15&gt;0,Eingabe!$E$15&gt;=194),Eingabe!$B$6&amp;"-"&amp;Eingabe!$C$15&amp;"-Pächter","")</f>
        <v/>
      </c>
      <c r="J1414" s="17" t="str">
        <f aca="false">IF(AND(Eingabe!$F$15&gt;0,Eingabe!$E$15&gt;=194),"PPSK: Passwort Parzelle 194","")</f>
        <v/>
      </c>
      <c r="K1414" s="17" t="str">
        <f aca="false">IF(AND(Eingabe!$F$15&gt;0,Eingabe!$E$15&gt;=194),"1. Gerät: 10."&amp;Eingabe!$D$15&amp;".194.10, 2. Gerät: .11","")</f>
        <v/>
      </c>
    </row>
    <row r="1415" customFormat="false" ht="15" hidden="false" customHeight="false" outlineLevel="0" collapsed="false">
      <c r="A1415" s="17" t="str">
        <f aca="false">IF(AND(Eingabe!$F$15&gt;0,Eingabe!$E$15&gt;=195),7,"")</f>
        <v/>
      </c>
      <c r="B1415" s="17" t="str">
        <f aca="false">IF(AND(Eingabe!$F$15&gt;0,Eingabe!$E$15&gt;=195),Eingabe!$B$15,"")</f>
        <v/>
      </c>
      <c r="C1415" s="17" t="str">
        <f aca="false">IF(AND(Eingabe!$F$15&gt;0,Eingabe!$E$15&gt;=195),Eingabe!$C$15&amp;"-Paz."&amp;TEXT(195,"000"),"")</f>
        <v/>
      </c>
      <c r="D1415" s="17" t="str">
        <f aca="false">IF(AND(Eingabe!$F$15&gt;0,Eingabe!$E$15&gt;=195),195,"")</f>
        <v/>
      </c>
      <c r="E1415" s="17" t="str">
        <f aca="false">IF(AND(Eingabe!$F$15&gt;0,Eingabe!$E$15&gt;=195),IF((Eingabe!$G$15+1)&lt;=9,1000+(Eingabe!$G$15+1)*100,3000)+95,"")</f>
        <v/>
      </c>
      <c r="F1415" s="17" t="str">
        <f aca="false">IF(AND(Eingabe!$F$15&gt;0,Eingabe!$E$15&gt;=195),"10."&amp;Eingabe!$D$15&amp;".195.0/24","")</f>
        <v/>
      </c>
      <c r="G1415" s="17" t="str">
        <f aca="false">IF(AND(Eingabe!$F$15&gt;0,Eingabe!$E$15&gt;=195),"10."&amp;Eingabe!$D$15&amp;".195.1","")</f>
        <v/>
      </c>
      <c r="H1415" s="17" t="str">
        <f aca="false">IF(AND(Eingabe!$F$15&gt;0,Eingabe!$E$15&gt;=195),"10."&amp;Eingabe!$D$15&amp;".195.10 – 10."&amp;Eingabe!$D$15&amp;".195.250","")</f>
        <v/>
      </c>
      <c r="I1415" s="17" t="str">
        <f aca="false">IF(AND(Eingabe!$F$15&gt;0,Eingabe!$E$15&gt;=195),Eingabe!$B$6&amp;"-"&amp;Eingabe!$C$15&amp;"-Pächter","")</f>
        <v/>
      </c>
      <c r="J1415" s="17" t="str">
        <f aca="false">IF(AND(Eingabe!$F$15&gt;0,Eingabe!$E$15&gt;=195),"PPSK: Passwort Parzelle 195","")</f>
        <v/>
      </c>
      <c r="K1415" s="17" t="str">
        <f aca="false">IF(AND(Eingabe!$F$15&gt;0,Eingabe!$E$15&gt;=195),"1. Gerät: 10."&amp;Eingabe!$D$15&amp;".195.10, 2. Gerät: .11","")</f>
        <v/>
      </c>
    </row>
    <row r="1416" customFormat="false" ht="15" hidden="false" customHeight="false" outlineLevel="0" collapsed="false">
      <c r="A1416" s="17" t="str">
        <f aca="false">IF(AND(Eingabe!$F$15&gt;0,Eingabe!$E$15&gt;=196),7,"")</f>
        <v/>
      </c>
      <c r="B1416" s="17" t="str">
        <f aca="false">IF(AND(Eingabe!$F$15&gt;0,Eingabe!$E$15&gt;=196),Eingabe!$B$15,"")</f>
        <v/>
      </c>
      <c r="C1416" s="17" t="str">
        <f aca="false">IF(AND(Eingabe!$F$15&gt;0,Eingabe!$E$15&gt;=196),Eingabe!$C$15&amp;"-Paz."&amp;TEXT(196,"000"),"")</f>
        <v/>
      </c>
      <c r="D1416" s="17" t="str">
        <f aca="false">IF(AND(Eingabe!$F$15&gt;0,Eingabe!$E$15&gt;=196),196,"")</f>
        <v/>
      </c>
      <c r="E1416" s="17" t="str">
        <f aca="false">IF(AND(Eingabe!$F$15&gt;0,Eingabe!$E$15&gt;=196),IF((Eingabe!$G$15+1)&lt;=9,1000+(Eingabe!$G$15+1)*100,3000)+96,"")</f>
        <v/>
      </c>
      <c r="F1416" s="17" t="str">
        <f aca="false">IF(AND(Eingabe!$F$15&gt;0,Eingabe!$E$15&gt;=196),"10."&amp;Eingabe!$D$15&amp;".196.0/24","")</f>
        <v/>
      </c>
      <c r="G1416" s="17" t="str">
        <f aca="false">IF(AND(Eingabe!$F$15&gt;0,Eingabe!$E$15&gt;=196),"10."&amp;Eingabe!$D$15&amp;".196.1","")</f>
        <v/>
      </c>
      <c r="H1416" s="17" t="str">
        <f aca="false">IF(AND(Eingabe!$F$15&gt;0,Eingabe!$E$15&gt;=196),"10."&amp;Eingabe!$D$15&amp;".196.10 – 10."&amp;Eingabe!$D$15&amp;".196.250","")</f>
        <v/>
      </c>
      <c r="I1416" s="17" t="str">
        <f aca="false">IF(AND(Eingabe!$F$15&gt;0,Eingabe!$E$15&gt;=196),Eingabe!$B$6&amp;"-"&amp;Eingabe!$C$15&amp;"-Pächter","")</f>
        <v/>
      </c>
      <c r="J1416" s="17" t="str">
        <f aca="false">IF(AND(Eingabe!$F$15&gt;0,Eingabe!$E$15&gt;=196),"PPSK: Passwort Parzelle 196","")</f>
        <v/>
      </c>
      <c r="K1416" s="17" t="str">
        <f aca="false">IF(AND(Eingabe!$F$15&gt;0,Eingabe!$E$15&gt;=196),"1. Gerät: 10."&amp;Eingabe!$D$15&amp;".196.10, 2. Gerät: .11","")</f>
        <v/>
      </c>
    </row>
    <row r="1417" customFormat="false" ht="15" hidden="false" customHeight="false" outlineLevel="0" collapsed="false">
      <c r="A1417" s="17" t="str">
        <f aca="false">IF(AND(Eingabe!$F$15&gt;0,Eingabe!$E$15&gt;=197),7,"")</f>
        <v/>
      </c>
      <c r="B1417" s="17" t="str">
        <f aca="false">IF(AND(Eingabe!$F$15&gt;0,Eingabe!$E$15&gt;=197),Eingabe!$B$15,"")</f>
        <v/>
      </c>
      <c r="C1417" s="17" t="str">
        <f aca="false">IF(AND(Eingabe!$F$15&gt;0,Eingabe!$E$15&gt;=197),Eingabe!$C$15&amp;"-Paz."&amp;TEXT(197,"000"),"")</f>
        <v/>
      </c>
      <c r="D1417" s="17" t="str">
        <f aca="false">IF(AND(Eingabe!$F$15&gt;0,Eingabe!$E$15&gt;=197),197,"")</f>
        <v/>
      </c>
      <c r="E1417" s="17" t="str">
        <f aca="false">IF(AND(Eingabe!$F$15&gt;0,Eingabe!$E$15&gt;=197),IF((Eingabe!$G$15+1)&lt;=9,1000+(Eingabe!$G$15+1)*100,3000)+97,"")</f>
        <v/>
      </c>
      <c r="F1417" s="17" t="str">
        <f aca="false">IF(AND(Eingabe!$F$15&gt;0,Eingabe!$E$15&gt;=197),"10."&amp;Eingabe!$D$15&amp;".197.0/24","")</f>
        <v/>
      </c>
      <c r="G1417" s="17" t="str">
        <f aca="false">IF(AND(Eingabe!$F$15&gt;0,Eingabe!$E$15&gt;=197),"10."&amp;Eingabe!$D$15&amp;".197.1","")</f>
        <v/>
      </c>
      <c r="H1417" s="17" t="str">
        <f aca="false">IF(AND(Eingabe!$F$15&gt;0,Eingabe!$E$15&gt;=197),"10."&amp;Eingabe!$D$15&amp;".197.10 – 10."&amp;Eingabe!$D$15&amp;".197.250","")</f>
        <v/>
      </c>
      <c r="I1417" s="17" t="str">
        <f aca="false">IF(AND(Eingabe!$F$15&gt;0,Eingabe!$E$15&gt;=197),Eingabe!$B$6&amp;"-"&amp;Eingabe!$C$15&amp;"-Pächter","")</f>
        <v/>
      </c>
      <c r="J1417" s="17" t="str">
        <f aca="false">IF(AND(Eingabe!$F$15&gt;0,Eingabe!$E$15&gt;=197),"PPSK: Passwort Parzelle 197","")</f>
        <v/>
      </c>
      <c r="K1417" s="17" t="str">
        <f aca="false">IF(AND(Eingabe!$F$15&gt;0,Eingabe!$E$15&gt;=197),"1. Gerät: 10."&amp;Eingabe!$D$15&amp;".197.10, 2. Gerät: .11","")</f>
        <v/>
      </c>
    </row>
    <row r="1418" customFormat="false" ht="15" hidden="false" customHeight="false" outlineLevel="0" collapsed="false">
      <c r="A1418" s="17" t="str">
        <f aca="false">IF(AND(Eingabe!$F$15&gt;0,Eingabe!$E$15&gt;=198),7,"")</f>
        <v/>
      </c>
      <c r="B1418" s="17" t="str">
        <f aca="false">IF(AND(Eingabe!$F$15&gt;0,Eingabe!$E$15&gt;=198),Eingabe!$B$15,"")</f>
        <v/>
      </c>
      <c r="C1418" s="17" t="str">
        <f aca="false">IF(AND(Eingabe!$F$15&gt;0,Eingabe!$E$15&gt;=198),Eingabe!$C$15&amp;"-Paz."&amp;TEXT(198,"000"),"")</f>
        <v/>
      </c>
      <c r="D1418" s="17" t="str">
        <f aca="false">IF(AND(Eingabe!$F$15&gt;0,Eingabe!$E$15&gt;=198),198,"")</f>
        <v/>
      </c>
      <c r="E1418" s="17" t="str">
        <f aca="false">IF(AND(Eingabe!$F$15&gt;0,Eingabe!$E$15&gt;=198),IF((Eingabe!$G$15+1)&lt;=9,1000+(Eingabe!$G$15+1)*100,3000)+98,"")</f>
        <v/>
      </c>
      <c r="F1418" s="17" t="str">
        <f aca="false">IF(AND(Eingabe!$F$15&gt;0,Eingabe!$E$15&gt;=198),"10."&amp;Eingabe!$D$15&amp;".198.0/24","")</f>
        <v/>
      </c>
      <c r="G1418" s="17" t="str">
        <f aca="false">IF(AND(Eingabe!$F$15&gt;0,Eingabe!$E$15&gt;=198),"10."&amp;Eingabe!$D$15&amp;".198.1","")</f>
        <v/>
      </c>
      <c r="H1418" s="17" t="str">
        <f aca="false">IF(AND(Eingabe!$F$15&gt;0,Eingabe!$E$15&gt;=198),"10."&amp;Eingabe!$D$15&amp;".198.10 – 10."&amp;Eingabe!$D$15&amp;".198.250","")</f>
        <v/>
      </c>
      <c r="I1418" s="17" t="str">
        <f aca="false">IF(AND(Eingabe!$F$15&gt;0,Eingabe!$E$15&gt;=198),Eingabe!$B$6&amp;"-"&amp;Eingabe!$C$15&amp;"-Pächter","")</f>
        <v/>
      </c>
      <c r="J1418" s="17" t="str">
        <f aca="false">IF(AND(Eingabe!$F$15&gt;0,Eingabe!$E$15&gt;=198),"PPSK: Passwort Parzelle 198","")</f>
        <v/>
      </c>
      <c r="K1418" s="17" t="str">
        <f aca="false">IF(AND(Eingabe!$F$15&gt;0,Eingabe!$E$15&gt;=198),"1. Gerät: 10."&amp;Eingabe!$D$15&amp;".198.10, 2. Gerät: .11","")</f>
        <v/>
      </c>
    </row>
    <row r="1419" customFormat="false" ht="15" hidden="false" customHeight="false" outlineLevel="0" collapsed="false">
      <c r="A1419" s="17" t="str">
        <f aca="false">IF(AND(Eingabe!$F$15&gt;0,Eingabe!$E$15&gt;=199),7,"")</f>
        <v/>
      </c>
      <c r="B1419" s="17" t="str">
        <f aca="false">IF(AND(Eingabe!$F$15&gt;0,Eingabe!$E$15&gt;=199),Eingabe!$B$15,"")</f>
        <v/>
      </c>
      <c r="C1419" s="17" t="str">
        <f aca="false">IF(AND(Eingabe!$F$15&gt;0,Eingabe!$E$15&gt;=199),Eingabe!$C$15&amp;"-Paz."&amp;TEXT(199,"000"),"")</f>
        <v/>
      </c>
      <c r="D1419" s="17" t="str">
        <f aca="false">IF(AND(Eingabe!$F$15&gt;0,Eingabe!$E$15&gt;=199),199,"")</f>
        <v/>
      </c>
      <c r="E1419" s="17" t="str">
        <f aca="false">IF(AND(Eingabe!$F$15&gt;0,Eingabe!$E$15&gt;=199),IF((Eingabe!$G$15+1)&lt;=9,1000+(Eingabe!$G$15+1)*100,3000)+99,"")</f>
        <v/>
      </c>
      <c r="F1419" s="17" t="str">
        <f aca="false">IF(AND(Eingabe!$F$15&gt;0,Eingabe!$E$15&gt;=199),"10."&amp;Eingabe!$D$15&amp;".199.0/24","")</f>
        <v/>
      </c>
      <c r="G1419" s="17" t="str">
        <f aca="false">IF(AND(Eingabe!$F$15&gt;0,Eingabe!$E$15&gt;=199),"10."&amp;Eingabe!$D$15&amp;".199.1","")</f>
        <v/>
      </c>
      <c r="H1419" s="17" t="str">
        <f aca="false">IF(AND(Eingabe!$F$15&gt;0,Eingabe!$E$15&gt;=199),"10."&amp;Eingabe!$D$15&amp;".199.10 – 10."&amp;Eingabe!$D$15&amp;".199.250","")</f>
        <v/>
      </c>
      <c r="I1419" s="17" t="str">
        <f aca="false">IF(AND(Eingabe!$F$15&gt;0,Eingabe!$E$15&gt;=199),Eingabe!$B$6&amp;"-"&amp;Eingabe!$C$15&amp;"-Pächter","")</f>
        <v/>
      </c>
      <c r="J1419" s="17" t="str">
        <f aca="false">IF(AND(Eingabe!$F$15&gt;0,Eingabe!$E$15&gt;=199),"PPSK: Passwort Parzelle 199","")</f>
        <v/>
      </c>
      <c r="K1419" s="17" t="str">
        <f aca="false">IF(AND(Eingabe!$F$15&gt;0,Eingabe!$E$15&gt;=199),"1. Gerät: 10."&amp;Eingabe!$D$15&amp;".199.10, 2. Gerät: .11","")</f>
        <v/>
      </c>
    </row>
    <row r="1420" customFormat="false" ht="15" hidden="false" customHeight="false" outlineLevel="0" collapsed="false">
      <c r="A1420" s="19" t="str">
        <f aca="false">IF(Eingabe!$F$16&gt;0,8,"")</f>
        <v/>
      </c>
      <c r="B1420" s="19" t="str">
        <f aca="false">IF(Eingabe!$F$16&gt;0,Eingabe!$B$16,"")</f>
        <v/>
      </c>
      <c r="C1420" s="19" t="str">
        <f aca="false">IF(Eingabe!$F$16&gt;0,Eingabe!$C$16&amp;"-Vorstand","")</f>
        <v/>
      </c>
      <c r="D1420" s="19"/>
      <c r="E1420" s="19" t="str">
        <f aca="false">IF(Eingabe!$F$16&gt;0,2000+Eingabe!$G$16*10+1,"")</f>
        <v/>
      </c>
      <c r="F1420" s="19" t="str">
        <f aca="false">IF(Eingabe!$F$16&gt;0,"10."&amp;Eingabe!$D$16&amp;".200.0/24","")</f>
        <v/>
      </c>
      <c r="G1420" s="19" t="str">
        <f aca="false">IF(Eingabe!$F$16&gt;0,"10."&amp;Eingabe!$D$16&amp;".200.1","")</f>
        <v/>
      </c>
      <c r="H1420" s="19" t="str">
        <f aca="false">IF(Eingabe!$F$16&gt;0,"10."&amp;Eingabe!$D$16&amp;".200.10 – "&amp;"10."&amp;Eingabe!$D$16&amp;".200.250","")</f>
        <v/>
      </c>
      <c r="I1420" s="19" t="str">
        <f aca="false">IF(Eingabe!$F$16&gt;0,Eingabe!$B$6&amp;"-"&amp;Eingabe!$C$16&amp;"-Vorstand","")</f>
        <v/>
      </c>
      <c r="J1420" s="19" t="str">
        <f aca="false">IF(Eingabe!$F$16&gt;0,"eigenes WLAN Vorstand","")</f>
        <v/>
      </c>
      <c r="K1420" s="19" t="str">
        <f aca="false">IF(Eingabe!$F$16&gt;0,"Vorstand-Laptop: "&amp;"10."&amp;Eingabe!$D$16&amp;".200.10","")</f>
        <v/>
      </c>
    </row>
    <row r="1421" customFormat="false" ht="15" hidden="false" customHeight="false" outlineLevel="0" collapsed="false">
      <c r="A1421" s="19" t="str">
        <f aca="false">IF(Eingabe!$F$16&gt;0,8,"")</f>
        <v/>
      </c>
      <c r="B1421" s="19" t="str">
        <f aca="false">IF(Eingabe!$F$16&gt;0,Eingabe!$B$16,"")</f>
        <v/>
      </c>
      <c r="C1421" s="19" t="str">
        <f aca="false">IF(Eingabe!$F$16&gt;0,Eingabe!$C$16&amp;"-Gäste","")</f>
        <v/>
      </c>
      <c r="D1421" s="19"/>
      <c r="E1421" s="19" t="str">
        <f aca="false">IF(Eingabe!$F$16&gt;0,2000+Eingabe!$G$16*10+2,"")</f>
        <v/>
      </c>
      <c r="F1421" s="19" t="str">
        <f aca="false">IF(Eingabe!$F$16&gt;0,"10."&amp;Eingabe!$D$16&amp;".201.0/24","")</f>
        <v/>
      </c>
      <c r="G1421" s="19" t="str">
        <f aca="false">IF(Eingabe!$F$16&gt;0,"10."&amp;Eingabe!$D$16&amp;".201.1","")</f>
        <v/>
      </c>
      <c r="H1421" s="19" t="str">
        <f aca="false">IF(Eingabe!$F$16&gt;0,"10."&amp;Eingabe!$D$16&amp;".201.10 – "&amp;"10."&amp;Eingabe!$D$16&amp;".201.250","")</f>
        <v/>
      </c>
      <c r="I1421" s="19" t="str">
        <f aca="false">IF(Eingabe!$F$16&gt;0,Eingabe!$B$6&amp;"-"&amp;Eingabe!$C$16&amp;"-Gäste","")</f>
        <v/>
      </c>
      <c r="J1421" s="19" t="str">
        <f aca="false">IF(Eingabe!$F$16&gt;0,"Voucher-Portal, isoliert","")</f>
        <v/>
      </c>
      <c r="K1421" s="19" t="str">
        <f aca="false">IF(Eingabe!$F$16&gt;0,"Gast-Handy: "&amp;"10."&amp;Eingabe!$D$16&amp;".201.10","")</f>
        <v/>
      </c>
    </row>
    <row r="1422" customFormat="false" ht="15" hidden="false" customHeight="false" outlineLevel="0" collapsed="false">
      <c r="A1422" s="19" t="str">
        <f aca="false">IF(Eingabe!$F$16&gt;0,8,"")</f>
        <v/>
      </c>
      <c r="B1422" s="19" t="str">
        <f aca="false">IF(Eingabe!$F$16&gt;0,Eingabe!$B$16,"")</f>
        <v/>
      </c>
      <c r="C1422" s="19" t="str">
        <f aca="false">IF(Eingabe!$F$16&gt;0,Eingabe!$C$16&amp;"-Technik","")</f>
        <v/>
      </c>
      <c r="D1422" s="19"/>
      <c r="E1422" s="19" t="str">
        <f aca="false">IF(Eingabe!$F$16&gt;0,2000+Eingabe!$G$16*10+9,"")</f>
        <v/>
      </c>
      <c r="F1422" s="19" t="str">
        <f aca="false">IF(Eingabe!$F$16&gt;0,"10."&amp;Eingabe!$D$16&amp;".250.0/24","")</f>
        <v/>
      </c>
      <c r="G1422" s="19" t="str">
        <f aca="false">IF(Eingabe!$F$16&gt;0,"10."&amp;Eingabe!$D$16&amp;".250.1","")</f>
        <v/>
      </c>
      <c r="H1422" s="19" t="str">
        <f aca="false">IF(Eingabe!$F$16&gt;0,"10."&amp;Eingabe!$D$16&amp;".250.10 – "&amp;"10."&amp;Eingabe!$D$16&amp;".250.250","")</f>
        <v/>
      </c>
      <c r="I1422" s="19" t="str">
        <f aca="false">IF(Eingabe!$F$16&gt;0,"–","")</f>
        <v/>
      </c>
      <c r="J1422" s="19" t="str">
        <f aca="false">IF(Eingabe!$F$16&gt;0,"Mast-Switches und Access Points","")</f>
        <v/>
      </c>
      <c r="K1422" s="19" t="str">
        <f aca="false">IF(Eingabe!$F$16&gt;0,"Access Point 1: "&amp;"10."&amp;Eingabe!$D$16&amp;".250.51","")</f>
        <v/>
      </c>
    </row>
    <row r="1423" customFormat="false" ht="15" hidden="false" customHeight="false" outlineLevel="0" collapsed="false">
      <c r="A1423" s="19" t="str">
        <f aca="false">IF(AND(Eingabe!$F$16&gt;0,Eingabe!$E$16&gt;=1),8,"")</f>
        <v/>
      </c>
      <c r="B1423" s="19" t="str">
        <f aca="false">IF(AND(Eingabe!$F$16&gt;0,Eingabe!$E$16&gt;=1),Eingabe!$B$16,"")</f>
        <v/>
      </c>
      <c r="C1423" s="19" t="str">
        <f aca="false">IF(AND(Eingabe!$F$16&gt;0,Eingabe!$E$16&gt;=1),Eingabe!$C$16&amp;"-Paz."&amp;TEXT(1,"000"),"")</f>
        <v/>
      </c>
      <c r="D1423" s="19" t="str">
        <f aca="false">IF(AND(Eingabe!$F$16&gt;0,Eingabe!$E$16&gt;=1),1,"")</f>
        <v/>
      </c>
      <c r="E1423" s="19" t="str">
        <f aca="false">IF(AND(Eingabe!$F$16&gt;0,Eingabe!$E$16&gt;=1),IF((Eingabe!$G$16)&lt;=9,1000+(Eingabe!$G$16)*100,3000)+1,"")</f>
        <v/>
      </c>
      <c r="F1423" s="19" t="str">
        <f aca="false">IF(AND(Eingabe!$F$16&gt;0,Eingabe!$E$16&gt;=1),"10."&amp;Eingabe!$D$16&amp;".1.0/24","")</f>
        <v/>
      </c>
      <c r="G1423" s="19" t="str">
        <f aca="false">IF(AND(Eingabe!$F$16&gt;0,Eingabe!$E$16&gt;=1),"10."&amp;Eingabe!$D$16&amp;".1.1","")</f>
        <v/>
      </c>
      <c r="H1423" s="19" t="str">
        <f aca="false">IF(AND(Eingabe!$F$16&gt;0,Eingabe!$E$16&gt;=1),"10."&amp;Eingabe!$D$16&amp;".1.10 – 10."&amp;Eingabe!$D$16&amp;".1.250","")</f>
        <v/>
      </c>
      <c r="I1423" s="19" t="str">
        <f aca="false">IF(AND(Eingabe!$F$16&gt;0,Eingabe!$E$16&gt;=1),Eingabe!$B$6&amp;"-"&amp;Eingabe!$C$16&amp;"-Pächter","")</f>
        <v/>
      </c>
      <c r="J1423" s="19" t="str">
        <f aca="false">IF(AND(Eingabe!$F$16&gt;0,Eingabe!$E$16&gt;=1),"PPSK: Passwort Parzelle 1","")</f>
        <v/>
      </c>
      <c r="K1423" s="19" t="str">
        <f aca="false">IF(AND(Eingabe!$F$16&gt;0,Eingabe!$E$16&gt;=1),"1. Gerät: 10."&amp;Eingabe!$D$16&amp;".1.10, 2. Gerät: .11","")</f>
        <v/>
      </c>
    </row>
    <row r="1424" customFormat="false" ht="15" hidden="false" customHeight="false" outlineLevel="0" collapsed="false">
      <c r="A1424" s="19" t="str">
        <f aca="false">IF(AND(Eingabe!$F$16&gt;0,Eingabe!$E$16&gt;=2),8,"")</f>
        <v/>
      </c>
      <c r="B1424" s="19" t="str">
        <f aca="false">IF(AND(Eingabe!$F$16&gt;0,Eingabe!$E$16&gt;=2),Eingabe!$B$16,"")</f>
        <v/>
      </c>
      <c r="C1424" s="19" t="str">
        <f aca="false">IF(AND(Eingabe!$F$16&gt;0,Eingabe!$E$16&gt;=2),Eingabe!$C$16&amp;"-Paz."&amp;TEXT(2,"000"),"")</f>
        <v/>
      </c>
      <c r="D1424" s="19" t="str">
        <f aca="false">IF(AND(Eingabe!$F$16&gt;0,Eingabe!$E$16&gt;=2),2,"")</f>
        <v/>
      </c>
      <c r="E1424" s="19" t="str">
        <f aca="false">IF(AND(Eingabe!$F$16&gt;0,Eingabe!$E$16&gt;=2),IF((Eingabe!$G$16)&lt;=9,1000+(Eingabe!$G$16)*100,3000)+2,"")</f>
        <v/>
      </c>
      <c r="F1424" s="19" t="str">
        <f aca="false">IF(AND(Eingabe!$F$16&gt;0,Eingabe!$E$16&gt;=2),"10."&amp;Eingabe!$D$16&amp;".2.0/24","")</f>
        <v/>
      </c>
      <c r="G1424" s="19" t="str">
        <f aca="false">IF(AND(Eingabe!$F$16&gt;0,Eingabe!$E$16&gt;=2),"10."&amp;Eingabe!$D$16&amp;".2.1","")</f>
        <v/>
      </c>
      <c r="H1424" s="19" t="str">
        <f aca="false">IF(AND(Eingabe!$F$16&gt;0,Eingabe!$E$16&gt;=2),"10."&amp;Eingabe!$D$16&amp;".2.10 – 10."&amp;Eingabe!$D$16&amp;".2.250","")</f>
        <v/>
      </c>
      <c r="I1424" s="19" t="str">
        <f aca="false">IF(AND(Eingabe!$F$16&gt;0,Eingabe!$E$16&gt;=2),Eingabe!$B$6&amp;"-"&amp;Eingabe!$C$16&amp;"-Pächter","")</f>
        <v/>
      </c>
      <c r="J1424" s="19" t="str">
        <f aca="false">IF(AND(Eingabe!$F$16&gt;0,Eingabe!$E$16&gt;=2),"PPSK: Passwort Parzelle 2","")</f>
        <v/>
      </c>
      <c r="K1424" s="19" t="str">
        <f aca="false">IF(AND(Eingabe!$F$16&gt;0,Eingabe!$E$16&gt;=2),"1. Gerät: 10."&amp;Eingabe!$D$16&amp;".2.10, 2. Gerät: .11","")</f>
        <v/>
      </c>
    </row>
    <row r="1425" customFormat="false" ht="15" hidden="false" customHeight="false" outlineLevel="0" collapsed="false">
      <c r="A1425" s="19" t="str">
        <f aca="false">IF(AND(Eingabe!$F$16&gt;0,Eingabe!$E$16&gt;=3),8,"")</f>
        <v/>
      </c>
      <c r="B1425" s="19" t="str">
        <f aca="false">IF(AND(Eingabe!$F$16&gt;0,Eingabe!$E$16&gt;=3),Eingabe!$B$16,"")</f>
        <v/>
      </c>
      <c r="C1425" s="19" t="str">
        <f aca="false">IF(AND(Eingabe!$F$16&gt;0,Eingabe!$E$16&gt;=3),Eingabe!$C$16&amp;"-Paz."&amp;TEXT(3,"000"),"")</f>
        <v/>
      </c>
      <c r="D1425" s="19" t="str">
        <f aca="false">IF(AND(Eingabe!$F$16&gt;0,Eingabe!$E$16&gt;=3),3,"")</f>
        <v/>
      </c>
      <c r="E1425" s="19" t="str">
        <f aca="false">IF(AND(Eingabe!$F$16&gt;0,Eingabe!$E$16&gt;=3),IF((Eingabe!$G$16)&lt;=9,1000+(Eingabe!$G$16)*100,3000)+3,"")</f>
        <v/>
      </c>
      <c r="F1425" s="19" t="str">
        <f aca="false">IF(AND(Eingabe!$F$16&gt;0,Eingabe!$E$16&gt;=3),"10."&amp;Eingabe!$D$16&amp;".3.0/24","")</f>
        <v/>
      </c>
      <c r="G1425" s="19" t="str">
        <f aca="false">IF(AND(Eingabe!$F$16&gt;0,Eingabe!$E$16&gt;=3),"10."&amp;Eingabe!$D$16&amp;".3.1","")</f>
        <v/>
      </c>
      <c r="H1425" s="19" t="str">
        <f aca="false">IF(AND(Eingabe!$F$16&gt;0,Eingabe!$E$16&gt;=3),"10."&amp;Eingabe!$D$16&amp;".3.10 – 10."&amp;Eingabe!$D$16&amp;".3.250","")</f>
        <v/>
      </c>
      <c r="I1425" s="19" t="str">
        <f aca="false">IF(AND(Eingabe!$F$16&gt;0,Eingabe!$E$16&gt;=3),Eingabe!$B$6&amp;"-"&amp;Eingabe!$C$16&amp;"-Pächter","")</f>
        <v/>
      </c>
      <c r="J1425" s="19" t="str">
        <f aca="false">IF(AND(Eingabe!$F$16&gt;0,Eingabe!$E$16&gt;=3),"PPSK: Passwort Parzelle 3","")</f>
        <v/>
      </c>
      <c r="K1425" s="19" t="str">
        <f aca="false">IF(AND(Eingabe!$F$16&gt;0,Eingabe!$E$16&gt;=3),"1. Gerät: 10."&amp;Eingabe!$D$16&amp;".3.10, 2. Gerät: .11","")</f>
        <v/>
      </c>
    </row>
    <row r="1426" customFormat="false" ht="15" hidden="false" customHeight="false" outlineLevel="0" collapsed="false">
      <c r="A1426" s="19" t="str">
        <f aca="false">IF(AND(Eingabe!$F$16&gt;0,Eingabe!$E$16&gt;=4),8,"")</f>
        <v/>
      </c>
      <c r="B1426" s="19" t="str">
        <f aca="false">IF(AND(Eingabe!$F$16&gt;0,Eingabe!$E$16&gt;=4),Eingabe!$B$16,"")</f>
        <v/>
      </c>
      <c r="C1426" s="19" t="str">
        <f aca="false">IF(AND(Eingabe!$F$16&gt;0,Eingabe!$E$16&gt;=4),Eingabe!$C$16&amp;"-Paz."&amp;TEXT(4,"000"),"")</f>
        <v/>
      </c>
      <c r="D1426" s="19" t="str">
        <f aca="false">IF(AND(Eingabe!$F$16&gt;0,Eingabe!$E$16&gt;=4),4,"")</f>
        <v/>
      </c>
      <c r="E1426" s="19" t="str">
        <f aca="false">IF(AND(Eingabe!$F$16&gt;0,Eingabe!$E$16&gt;=4),IF((Eingabe!$G$16)&lt;=9,1000+(Eingabe!$G$16)*100,3000)+4,"")</f>
        <v/>
      </c>
      <c r="F1426" s="19" t="str">
        <f aca="false">IF(AND(Eingabe!$F$16&gt;0,Eingabe!$E$16&gt;=4),"10."&amp;Eingabe!$D$16&amp;".4.0/24","")</f>
        <v/>
      </c>
      <c r="G1426" s="19" t="str">
        <f aca="false">IF(AND(Eingabe!$F$16&gt;0,Eingabe!$E$16&gt;=4),"10."&amp;Eingabe!$D$16&amp;".4.1","")</f>
        <v/>
      </c>
      <c r="H1426" s="19" t="str">
        <f aca="false">IF(AND(Eingabe!$F$16&gt;0,Eingabe!$E$16&gt;=4),"10."&amp;Eingabe!$D$16&amp;".4.10 – 10."&amp;Eingabe!$D$16&amp;".4.250","")</f>
        <v/>
      </c>
      <c r="I1426" s="19" t="str">
        <f aca="false">IF(AND(Eingabe!$F$16&gt;0,Eingabe!$E$16&gt;=4),Eingabe!$B$6&amp;"-"&amp;Eingabe!$C$16&amp;"-Pächter","")</f>
        <v/>
      </c>
      <c r="J1426" s="19" t="str">
        <f aca="false">IF(AND(Eingabe!$F$16&gt;0,Eingabe!$E$16&gt;=4),"PPSK: Passwort Parzelle 4","")</f>
        <v/>
      </c>
      <c r="K1426" s="19" t="str">
        <f aca="false">IF(AND(Eingabe!$F$16&gt;0,Eingabe!$E$16&gt;=4),"1. Gerät: 10."&amp;Eingabe!$D$16&amp;".4.10, 2. Gerät: .11","")</f>
        <v/>
      </c>
    </row>
    <row r="1427" customFormat="false" ht="15" hidden="false" customHeight="false" outlineLevel="0" collapsed="false">
      <c r="A1427" s="19" t="str">
        <f aca="false">IF(AND(Eingabe!$F$16&gt;0,Eingabe!$E$16&gt;=5),8,"")</f>
        <v/>
      </c>
      <c r="B1427" s="19" t="str">
        <f aca="false">IF(AND(Eingabe!$F$16&gt;0,Eingabe!$E$16&gt;=5),Eingabe!$B$16,"")</f>
        <v/>
      </c>
      <c r="C1427" s="19" t="str">
        <f aca="false">IF(AND(Eingabe!$F$16&gt;0,Eingabe!$E$16&gt;=5),Eingabe!$C$16&amp;"-Paz."&amp;TEXT(5,"000"),"")</f>
        <v/>
      </c>
      <c r="D1427" s="19" t="str">
        <f aca="false">IF(AND(Eingabe!$F$16&gt;0,Eingabe!$E$16&gt;=5),5,"")</f>
        <v/>
      </c>
      <c r="E1427" s="19" t="str">
        <f aca="false">IF(AND(Eingabe!$F$16&gt;0,Eingabe!$E$16&gt;=5),IF((Eingabe!$G$16)&lt;=9,1000+(Eingabe!$G$16)*100,3000)+5,"")</f>
        <v/>
      </c>
      <c r="F1427" s="19" t="str">
        <f aca="false">IF(AND(Eingabe!$F$16&gt;0,Eingabe!$E$16&gt;=5),"10."&amp;Eingabe!$D$16&amp;".5.0/24","")</f>
        <v/>
      </c>
      <c r="G1427" s="19" t="str">
        <f aca="false">IF(AND(Eingabe!$F$16&gt;0,Eingabe!$E$16&gt;=5),"10."&amp;Eingabe!$D$16&amp;".5.1","")</f>
        <v/>
      </c>
      <c r="H1427" s="19" t="str">
        <f aca="false">IF(AND(Eingabe!$F$16&gt;0,Eingabe!$E$16&gt;=5),"10."&amp;Eingabe!$D$16&amp;".5.10 – 10."&amp;Eingabe!$D$16&amp;".5.250","")</f>
        <v/>
      </c>
      <c r="I1427" s="19" t="str">
        <f aca="false">IF(AND(Eingabe!$F$16&gt;0,Eingabe!$E$16&gt;=5),Eingabe!$B$6&amp;"-"&amp;Eingabe!$C$16&amp;"-Pächter","")</f>
        <v/>
      </c>
      <c r="J1427" s="19" t="str">
        <f aca="false">IF(AND(Eingabe!$F$16&gt;0,Eingabe!$E$16&gt;=5),"PPSK: Passwort Parzelle 5","")</f>
        <v/>
      </c>
      <c r="K1427" s="19" t="str">
        <f aca="false">IF(AND(Eingabe!$F$16&gt;0,Eingabe!$E$16&gt;=5),"1. Gerät: 10."&amp;Eingabe!$D$16&amp;".5.10, 2. Gerät: .11","")</f>
        <v/>
      </c>
    </row>
    <row r="1428" customFormat="false" ht="15" hidden="false" customHeight="false" outlineLevel="0" collapsed="false">
      <c r="A1428" s="19" t="str">
        <f aca="false">IF(AND(Eingabe!$F$16&gt;0,Eingabe!$E$16&gt;=6),8,"")</f>
        <v/>
      </c>
      <c r="B1428" s="19" t="str">
        <f aca="false">IF(AND(Eingabe!$F$16&gt;0,Eingabe!$E$16&gt;=6),Eingabe!$B$16,"")</f>
        <v/>
      </c>
      <c r="C1428" s="19" t="str">
        <f aca="false">IF(AND(Eingabe!$F$16&gt;0,Eingabe!$E$16&gt;=6),Eingabe!$C$16&amp;"-Paz."&amp;TEXT(6,"000"),"")</f>
        <v/>
      </c>
      <c r="D1428" s="19" t="str">
        <f aca="false">IF(AND(Eingabe!$F$16&gt;0,Eingabe!$E$16&gt;=6),6,"")</f>
        <v/>
      </c>
      <c r="E1428" s="19" t="str">
        <f aca="false">IF(AND(Eingabe!$F$16&gt;0,Eingabe!$E$16&gt;=6),IF((Eingabe!$G$16)&lt;=9,1000+(Eingabe!$G$16)*100,3000)+6,"")</f>
        <v/>
      </c>
      <c r="F1428" s="19" t="str">
        <f aca="false">IF(AND(Eingabe!$F$16&gt;0,Eingabe!$E$16&gt;=6),"10."&amp;Eingabe!$D$16&amp;".6.0/24","")</f>
        <v/>
      </c>
      <c r="G1428" s="19" t="str">
        <f aca="false">IF(AND(Eingabe!$F$16&gt;0,Eingabe!$E$16&gt;=6),"10."&amp;Eingabe!$D$16&amp;".6.1","")</f>
        <v/>
      </c>
      <c r="H1428" s="19" t="str">
        <f aca="false">IF(AND(Eingabe!$F$16&gt;0,Eingabe!$E$16&gt;=6),"10."&amp;Eingabe!$D$16&amp;".6.10 – 10."&amp;Eingabe!$D$16&amp;".6.250","")</f>
        <v/>
      </c>
      <c r="I1428" s="19" t="str">
        <f aca="false">IF(AND(Eingabe!$F$16&gt;0,Eingabe!$E$16&gt;=6),Eingabe!$B$6&amp;"-"&amp;Eingabe!$C$16&amp;"-Pächter","")</f>
        <v/>
      </c>
      <c r="J1428" s="19" t="str">
        <f aca="false">IF(AND(Eingabe!$F$16&gt;0,Eingabe!$E$16&gt;=6),"PPSK: Passwort Parzelle 6","")</f>
        <v/>
      </c>
      <c r="K1428" s="19" t="str">
        <f aca="false">IF(AND(Eingabe!$F$16&gt;0,Eingabe!$E$16&gt;=6),"1. Gerät: 10."&amp;Eingabe!$D$16&amp;".6.10, 2. Gerät: .11","")</f>
        <v/>
      </c>
    </row>
    <row r="1429" customFormat="false" ht="15" hidden="false" customHeight="false" outlineLevel="0" collapsed="false">
      <c r="A1429" s="19" t="str">
        <f aca="false">IF(AND(Eingabe!$F$16&gt;0,Eingabe!$E$16&gt;=7),8,"")</f>
        <v/>
      </c>
      <c r="B1429" s="19" t="str">
        <f aca="false">IF(AND(Eingabe!$F$16&gt;0,Eingabe!$E$16&gt;=7),Eingabe!$B$16,"")</f>
        <v/>
      </c>
      <c r="C1429" s="19" t="str">
        <f aca="false">IF(AND(Eingabe!$F$16&gt;0,Eingabe!$E$16&gt;=7),Eingabe!$C$16&amp;"-Paz."&amp;TEXT(7,"000"),"")</f>
        <v/>
      </c>
      <c r="D1429" s="19" t="str">
        <f aca="false">IF(AND(Eingabe!$F$16&gt;0,Eingabe!$E$16&gt;=7),7,"")</f>
        <v/>
      </c>
      <c r="E1429" s="19" t="str">
        <f aca="false">IF(AND(Eingabe!$F$16&gt;0,Eingabe!$E$16&gt;=7),IF((Eingabe!$G$16)&lt;=9,1000+(Eingabe!$G$16)*100,3000)+7,"")</f>
        <v/>
      </c>
      <c r="F1429" s="19" t="str">
        <f aca="false">IF(AND(Eingabe!$F$16&gt;0,Eingabe!$E$16&gt;=7),"10."&amp;Eingabe!$D$16&amp;".7.0/24","")</f>
        <v/>
      </c>
      <c r="G1429" s="19" t="str">
        <f aca="false">IF(AND(Eingabe!$F$16&gt;0,Eingabe!$E$16&gt;=7),"10."&amp;Eingabe!$D$16&amp;".7.1","")</f>
        <v/>
      </c>
      <c r="H1429" s="19" t="str">
        <f aca="false">IF(AND(Eingabe!$F$16&gt;0,Eingabe!$E$16&gt;=7),"10."&amp;Eingabe!$D$16&amp;".7.10 – 10."&amp;Eingabe!$D$16&amp;".7.250","")</f>
        <v/>
      </c>
      <c r="I1429" s="19" t="str">
        <f aca="false">IF(AND(Eingabe!$F$16&gt;0,Eingabe!$E$16&gt;=7),Eingabe!$B$6&amp;"-"&amp;Eingabe!$C$16&amp;"-Pächter","")</f>
        <v/>
      </c>
      <c r="J1429" s="19" t="str">
        <f aca="false">IF(AND(Eingabe!$F$16&gt;0,Eingabe!$E$16&gt;=7),"PPSK: Passwort Parzelle 7","")</f>
        <v/>
      </c>
      <c r="K1429" s="19" t="str">
        <f aca="false">IF(AND(Eingabe!$F$16&gt;0,Eingabe!$E$16&gt;=7),"1. Gerät: 10."&amp;Eingabe!$D$16&amp;".7.10, 2. Gerät: .11","")</f>
        <v/>
      </c>
    </row>
    <row r="1430" customFormat="false" ht="15" hidden="false" customHeight="false" outlineLevel="0" collapsed="false">
      <c r="A1430" s="19" t="str">
        <f aca="false">IF(AND(Eingabe!$F$16&gt;0,Eingabe!$E$16&gt;=8),8,"")</f>
        <v/>
      </c>
      <c r="B1430" s="19" t="str">
        <f aca="false">IF(AND(Eingabe!$F$16&gt;0,Eingabe!$E$16&gt;=8),Eingabe!$B$16,"")</f>
        <v/>
      </c>
      <c r="C1430" s="19" t="str">
        <f aca="false">IF(AND(Eingabe!$F$16&gt;0,Eingabe!$E$16&gt;=8),Eingabe!$C$16&amp;"-Paz."&amp;TEXT(8,"000"),"")</f>
        <v/>
      </c>
      <c r="D1430" s="19" t="str">
        <f aca="false">IF(AND(Eingabe!$F$16&gt;0,Eingabe!$E$16&gt;=8),8,"")</f>
        <v/>
      </c>
      <c r="E1430" s="19" t="str">
        <f aca="false">IF(AND(Eingabe!$F$16&gt;0,Eingabe!$E$16&gt;=8),IF((Eingabe!$G$16)&lt;=9,1000+(Eingabe!$G$16)*100,3000)+8,"")</f>
        <v/>
      </c>
      <c r="F1430" s="19" t="str">
        <f aca="false">IF(AND(Eingabe!$F$16&gt;0,Eingabe!$E$16&gt;=8),"10."&amp;Eingabe!$D$16&amp;".8.0/24","")</f>
        <v/>
      </c>
      <c r="G1430" s="19" t="str">
        <f aca="false">IF(AND(Eingabe!$F$16&gt;0,Eingabe!$E$16&gt;=8),"10."&amp;Eingabe!$D$16&amp;".8.1","")</f>
        <v/>
      </c>
      <c r="H1430" s="19" t="str">
        <f aca="false">IF(AND(Eingabe!$F$16&gt;0,Eingabe!$E$16&gt;=8),"10."&amp;Eingabe!$D$16&amp;".8.10 – 10."&amp;Eingabe!$D$16&amp;".8.250","")</f>
        <v/>
      </c>
      <c r="I1430" s="19" t="str">
        <f aca="false">IF(AND(Eingabe!$F$16&gt;0,Eingabe!$E$16&gt;=8),Eingabe!$B$6&amp;"-"&amp;Eingabe!$C$16&amp;"-Pächter","")</f>
        <v/>
      </c>
      <c r="J1430" s="19" t="str">
        <f aca="false">IF(AND(Eingabe!$F$16&gt;0,Eingabe!$E$16&gt;=8),"PPSK: Passwort Parzelle 8","")</f>
        <v/>
      </c>
      <c r="K1430" s="19" t="str">
        <f aca="false">IF(AND(Eingabe!$F$16&gt;0,Eingabe!$E$16&gt;=8),"1. Gerät: 10."&amp;Eingabe!$D$16&amp;".8.10, 2. Gerät: .11","")</f>
        <v/>
      </c>
    </row>
    <row r="1431" customFormat="false" ht="15" hidden="false" customHeight="false" outlineLevel="0" collapsed="false">
      <c r="A1431" s="19" t="str">
        <f aca="false">IF(AND(Eingabe!$F$16&gt;0,Eingabe!$E$16&gt;=9),8,"")</f>
        <v/>
      </c>
      <c r="B1431" s="19" t="str">
        <f aca="false">IF(AND(Eingabe!$F$16&gt;0,Eingabe!$E$16&gt;=9),Eingabe!$B$16,"")</f>
        <v/>
      </c>
      <c r="C1431" s="19" t="str">
        <f aca="false">IF(AND(Eingabe!$F$16&gt;0,Eingabe!$E$16&gt;=9),Eingabe!$C$16&amp;"-Paz."&amp;TEXT(9,"000"),"")</f>
        <v/>
      </c>
      <c r="D1431" s="19" t="str">
        <f aca="false">IF(AND(Eingabe!$F$16&gt;0,Eingabe!$E$16&gt;=9),9,"")</f>
        <v/>
      </c>
      <c r="E1431" s="19" t="str">
        <f aca="false">IF(AND(Eingabe!$F$16&gt;0,Eingabe!$E$16&gt;=9),IF((Eingabe!$G$16)&lt;=9,1000+(Eingabe!$G$16)*100,3000)+9,"")</f>
        <v/>
      </c>
      <c r="F1431" s="19" t="str">
        <f aca="false">IF(AND(Eingabe!$F$16&gt;0,Eingabe!$E$16&gt;=9),"10."&amp;Eingabe!$D$16&amp;".9.0/24","")</f>
        <v/>
      </c>
      <c r="G1431" s="19" t="str">
        <f aca="false">IF(AND(Eingabe!$F$16&gt;0,Eingabe!$E$16&gt;=9),"10."&amp;Eingabe!$D$16&amp;".9.1","")</f>
        <v/>
      </c>
      <c r="H1431" s="19" t="str">
        <f aca="false">IF(AND(Eingabe!$F$16&gt;0,Eingabe!$E$16&gt;=9),"10."&amp;Eingabe!$D$16&amp;".9.10 – 10."&amp;Eingabe!$D$16&amp;".9.250","")</f>
        <v/>
      </c>
      <c r="I1431" s="19" t="str">
        <f aca="false">IF(AND(Eingabe!$F$16&gt;0,Eingabe!$E$16&gt;=9),Eingabe!$B$6&amp;"-"&amp;Eingabe!$C$16&amp;"-Pächter","")</f>
        <v/>
      </c>
      <c r="J1431" s="19" t="str">
        <f aca="false">IF(AND(Eingabe!$F$16&gt;0,Eingabe!$E$16&gt;=9),"PPSK: Passwort Parzelle 9","")</f>
        <v/>
      </c>
      <c r="K1431" s="19" t="str">
        <f aca="false">IF(AND(Eingabe!$F$16&gt;0,Eingabe!$E$16&gt;=9),"1. Gerät: 10."&amp;Eingabe!$D$16&amp;".9.10, 2. Gerät: .11","")</f>
        <v/>
      </c>
    </row>
    <row r="1432" customFormat="false" ht="15" hidden="false" customHeight="false" outlineLevel="0" collapsed="false">
      <c r="A1432" s="19" t="str">
        <f aca="false">IF(AND(Eingabe!$F$16&gt;0,Eingabe!$E$16&gt;=10),8,"")</f>
        <v/>
      </c>
      <c r="B1432" s="19" t="str">
        <f aca="false">IF(AND(Eingabe!$F$16&gt;0,Eingabe!$E$16&gt;=10),Eingabe!$B$16,"")</f>
        <v/>
      </c>
      <c r="C1432" s="19" t="str">
        <f aca="false">IF(AND(Eingabe!$F$16&gt;0,Eingabe!$E$16&gt;=10),Eingabe!$C$16&amp;"-Paz."&amp;TEXT(10,"000"),"")</f>
        <v/>
      </c>
      <c r="D1432" s="19" t="str">
        <f aca="false">IF(AND(Eingabe!$F$16&gt;0,Eingabe!$E$16&gt;=10),10,"")</f>
        <v/>
      </c>
      <c r="E1432" s="19" t="str">
        <f aca="false">IF(AND(Eingabe!$F$16&gt;0,Eingabe!$E$16&gt;=10),IF((Eingabe!$G$16)&lt;=9,1000+(Eingabe!$G$16)*100,3000)+10,"")</f>
        <v/>
      </c>
      <c r="F1432" s="19" t="str">
        <f aca="false">IF(AND(Eingabe!$F$16&gt;0,Eingabe!$E$16&gt;=10),"10."&amp;Eingabe!$D$16&amp;".10.0/24","")</f>
        <v/>
      </c>
      <c r="G1432" s="19" t="str">
        <f aca="false">IF(AND(Eingabe!$F$16&gt;0,Eingabe!$E$16&gt;=10),"10."&amp;Eingabe!$D$16&amp;".10.1","")</f>
        <v/>
      </c>
      <c r="H1432" s="19" t="str">
        <f aca="false">IF(AND(Eingabe!$F$16&gt;0,Eingabe!$E$16&gt;=10),"10."&amp;Eingabe!$D$16&amp;".10.10 – 10."&amp;Eingabe!$D$16&amp;".10.250","")</f>
        <v/>
      </c>
      <c r="I1432" s="19" t="str">
        <f aca="false">IF(AND(Eingabe!$F$16&gt;0,Eingabe!$E$16&gt;=10),Eingabe!$B$6&amp;"-"&amp;Eingabe!$C$16&amp;"-Pächter","")</f>
        <v/>
      </c>
      <c r="J1432" s="19" t="str">
        <f aca="false">IF(AND(Eingabe!$F$16&gt;0,Eingabe!$E$16&gt;=10),"PPSK: Passwort Parzelle 10","")</f>
        <v/>
      </c>
      <c r="K1432" s="19" t="str">
        <f aca="false">IF(AND(Eingabe!$F$16&gt;0,Eingabe!$E$16&gt;=10),"1. Gerät: 10."&amp;Eingabe!$D$16&amp;".10.10, 2. Gerät: .11","")</f>
        <v/>
      </c>
    </row>
    <row r="1433" customFormat="false" ht="15" hidden="false" customHeight="false" outlineLevel="0" collapsed="false">
      <c r="A1433" s="19" t="str">
        <f aca="false">IF(AND(Eingabe!$F$16&gt;0,Eingabe!$E$16&gt;=11),8,"")</f>
        <v/>
      </c>
      <c r="B1433" s="19" t="str">
        <f aca="false">IF(AND(Eingabe!$F$16&gt;0,Eingabe!$E$16&gt;=11),Eingabe!$B$16,"")</f>
        <v/>
      </c>
      <c r="C1433" s="19" t="str">
        <f aca="false">IF(AND(Eingabe!$F$16&gt;0,Eingabe!$E$16&gt;=11),Eingabe!$C$16&amp;"-Paz."&amp;TEXT(11,"000"),"")</f>
        <v/>
      </c>
      <c r="D1433" s="19" t="str">
        <f aca="false">IF(AND(Eingabe!$F$16&gt;0,Eingabe!$E$16&gt;=11),11,"")</f>
        <v/>
      </c>
      <c r="E1433" s="19" t="str">
        <f aca="false">IF(AND(Eingabe!$F$16&gt;0,Eingabe!$E$16&gt;=11),IF((Eingabe!$G$16)&lt;=9,1000+(Eingabe!$G$16)*100,3000)+11,"")</f>
        <v/>
      </c>
      <c r="F1433" s="19" t="str">
        <f aca="false">IF(AND(Eingabe!$F$16&gt;0,Eingabe!$E$16&gt;=11),"10."&amp;Eingabe!$D$16&amp;".11.0/24","")</f>
        <v/>
      </c>
      <c r="G1433" s="19" t="str">
        <f aca="false">IF(AND(Eingabe!$F$16&gt;0,Eingabe!$E$16&gt;=11),"10."&amp;Eingabe!$D$16&amp;".11.1","")</f>
        <v/>
      </c>
      <c r="H1433" s="19" t="str">
        <f aca="false">IF(AND(Eingabe!$F$16&gt;0,Eingabe!$E$16&gt;=11),"10."&amp;Eingabe!$D$16&amp;".11.10 – 10."&amp;Eingabe!$D$16&amp;".11.250","")</f>
        <v/>
      </c>
      <c r="I1433" s="19" t="str">
        <f aca="false">IF(AND(Eingabe!$F$16&gt;0,Eingabe!$E$16&gt;=11),Eingabe!$B$6&amp;"-"&amp;Eingabe!$C$16&amp;"-Pächter","")</f>
        <v/>
      </c>
      <c r="J1433" s="19" t="str">
        <f aca="false">IF(AND(Eingabe!$F$16&gt;0,Eingabe!$E$16&gt;=11),"PPSK: Passwort Parzelle 11","")</f>
        <v/>
      </c>
      <c r="K1433" s="19" t="str">
        <f aca="false">IF(AND(Eingabe!$F$16&gt;0,Eingabe!$E$16&gt;=11),"1. Gerät: 10."&amp;Eingabe!$D$16&amp;".11.10, 2. Gerät: .11","")</f>
        <v/>
      </c>
    </row>
    <row r="1434" customFormat="false" ht="15" hidden="false" customHeight="false" outlineLevel="0" collapsed="false">
      <c r="A1434" s="19" t="str">
        <f aca="false">IF(AND(Eingabe!$F$16&gt;0,Eingabe!$E$16&gt;=12),8,"")</f>
        <v/>
      </c>
      <c r="B1434" s="19" t="str">
        <f aca="false">IF(AND(Eingabe!$F$16&gt;0,Eingabe!$E$16&gt;=12),Eingabe!$B$16,"")</f>
        <v/>
      </c>
      <c r="C1434" s="19" t="str">
        <f aca="false">IF(AND(Eingabe!$F$16&gt;0,Eingabe!$E$16&gt;=12),Eingabe!$C$16&amp;"-Paz."&amp;TEXT(12,"000"),"")</f>
        <v/>
      </c>
      <c r="D1434" s="19" t="str">
        <f aca="false">IF(AND(Eingabe!$F$16&gt;0,Eingabe!$E$16&gt;=12),12,"")</f>
        <v/>
      </c>
      <c r="E1434" s="19" t="str">
        <f aca="false">IF(AND(Eingabe!$F$16&gt;0,Eingabe!$E$16&gt;=12),IF((Eingabe!$G$16)&lt;=9,1000+(Eingabe!$G$16)*100,3000)+12,"")</f>
        <v/>
      </c>
      <c r="F1434" s="19" t="str">
        <f aca="false">IF(AND(Eingabe!$F$16&gt;0,Eingabe!$E$16&gt;=12),"10."&amp;Eingabe!$D$16&amp;".12.0/24","")</f>
        <v/>
      </c>
      <c r="G1434" s="19" t="str">
        <f aca="false">IF(AND(Eingabe!$F$16&gt;0,Eingabe!$E$16&gt;=12),"10."&amp;Eingabe!$D$16&amp;".12.1","")</f>
        <v/>
      </c>
      <c r="H1434" s="19" t="str">
        <f aca="false">IF(AND(Eingabe!$F$16&gt;0,Eingabe!$E$16&gt;=12),"10."&amp;Eingabe!$D$16&amp;".12.10 – 10."&amp;Eingabe!$D$16&amp;".12.250","")</f>
        <v/>
      </c>
      <c r="I1434" s="19" t="str">
        <f aca="false">IF(AND(Eingabe!$F$16&gt;0,Eingabe!$E$16&gt;=12),Eingabe!$B$6&amp;"-"&amp;Eingabe!$C$16&amp;"-Pächter","")</f>
        <v/>
      </c>
      <c r="J1434" s="19" t="str">
        <f aca="false">IF(AND(Eingabe!$F$16&gt;0,Eingabe!$E$16&gt;=12),"PPSK: Passwort Parzelle 12","")</f>
        <v/>
      </c>
      <c r="K1434" s="19" t="str">
        <f aca="false">IF(AND(Eingabe!$F$16&gt;0,Eingabe!$E$16&gt;=12),"1. Gerät: 10."&amp;Eingabe!$D$16&amp;".12.10, 2. Gerät: .11","")</f>
        <v/>
      </c>
    </row>
    <row r="1435" customFormat="false" ht="15" hidden="false" customHeight="false" outlineLevel="0" collapsed="false">
      <c r="A1435" s="19" t="str">
        <f aca="false">IF(AND(Eingabe!$F$16&gt;0,Eingabe!$E$16&gt;=13),8,"")</f>
        <v/>
      </c>
      <c r="B1435" s="19" t="str">
        <f aca="false">IF(AND(Eingabe!$F$16&gt;0,Eingabe!$E$16&gt;=13),Eingabe!$B$16,"")</f>
        <v/>
      </c>
      <c r="C1435" s="19" t="str">
        <f aca="false">IF(AND(Eingabe!$F$16&gt;0,Eingabe!$E$16&gt;=13),Eingabe!$C$16&amp;"-Paz."&amp;TEXT(13,"000"),"")</f>
        <v/>
      </c>
      <c r="D1435" s="19" t="str">
        <f aca="false">IF(AND(Eingabe!$F$16&gt;0,Eingabe!$E$16&gt;=13),13,"")</f>
        <v/>
      </c>
      <c r="E1435" s="19" t="str">
        <f aca="false">IF(AND(Eingabe!$F$16&gt;0,Eingabe!$E$16&gt;=13),IF((Eingabe!$G$16)&lt;=9,1000+(Eingabe!$G$16)*100,3000)+13,"")</f>
        <v/>
      </c>
      <c r="F1435" s="19" t="str">
        <f aca="false">IF(AND(Eingabe!$F$16&gt;0,Eingabe!$E$16&gt;=13),"10."&amp;Eingabe!$D$16&amp;".13.0/24","")</f>
        <v/>
      </c>
      <c r="G1435" s="19" t="str">
        <f aca="false">IF(AND(Eingabe!$F$16&gt;0,Eingabe!$E$16&gt;=13),"10."&amp;Eingabe!$D$16&amp;".13.1","")</f>
        <v/>
      </c>
      <c r="H1435" s="19" t="str">
        <f aca="false">IF(AND(Eingabe!$F$16&gt;0,Eingabe!$E$16&gt;=13),"10."&amp;Eingabe!$D$16&amp;".13.10 – 10."&amp;Eingabe!$D$16&amp;".13.250","")</f>
        <v/>
      </c>
      <c r="I1435" s="19" t="str">
        <f aca="false">IF(AND(Eingabe!$F$16&gt;0,Eingabe!$E$16&gt;=13),Eingabe!$B$6&amp;"-"&amp;Eingabe!$C$16&amp;"-Pächter","")</f>
        <v/>
      </c>
      <c r="J1435" s="19" t="str">
        <f aca="false">IF(AND(Eingabe!$F$16&gt;0,Eingabe!$E$16&gt;=13),"PPSK: Passwort Parzelle 13","")</f>
        <v/>
      </c>
      <c r="K1435" s="19" t="str">
        <f aca="false">IF(AND(Eingabe!$F$16&gt;0,Eingabe!$E$16&gt;=13),"1. Gerät: 10."&amp;Eingabe!$D$16&amp;".13.10, 2. Gerät: .11","")</f>
        <v/>
      </c>
    </row>
    <row r="1436" customFormat="false" ht="15" hidden="false" customHeight="false" outlineLevel="0" collapsed="false">
      <c r="A1436" s="19" t="str">
        <f aca="false">IF(AND(Eingabe!$F$16&gt;0,Eingabe!$E$16&gt;=14),8,"")</f>
        <v/>
      </c>
      <c r="B1436" s="19" t="str">
        <f aca="false">IF(AND(Eingabe!$F$16&gt;0,Eingabe!$E$16&gt;=14),Eingabe!$B$16,"")</f>
        <v/>
      </c>
      <c r="C1436" s="19" t="str">
        <f aca="false">IF(AND(Eingabe!$F$16&gt;0,Eingabe!$E$16&gt;=14),Eingabe!$C$16&amp;"-Paz."&amp;TEXT(14,"000"),"")</f>
        <v/>
      </c>
      <c r="D1436" s="19" t="str">
        <f aca="false">IF(AND(Eingabe!$F$16&gt;0,Eingabe!$E$16&gt;=14),14,"")</f>
        <v/>
      </c>
      <c r="E1436" s="19" t="str">
        <f aca="false">IF(AND(Eingabe!$F$16&gt;0,Eingabe!$E$16&gt;=14),IF((Eingabe!$G$16)&lt;=9,1000+(Eingabe!$G$16)*100,3000)+14,"")</f>
        <v/>
      </c>
      <c r="F1436" s="19" t="str">
        <f aca="false">IF(AND(Eingabe!$F$16&gt;0,Eingabe!$E$16&gt;=14),"10."&amp;Eingabe!$D$16&amp;".14.0/24","")</f>
        <v/>
      </c>
      <c r="G1436" s="19" t="str">
        <f aca="false">IF(AND(Eingabe!$F$16&gt;0,Eingabe!$E$16&gt;=14),"10."&amp;Eingabe!$D$16&amp;".14.1","")</f>
        <v/>
      </c>
      <c r="H1436" s="19" t="str">
        <f aca="false">IF(AND(Eingabe!$F$16&gt;0,Eingabe!$E$16&gt;=14),"10."&amp;Eingabe!$D$16&amp;".14.10 – 10."&amp;Eingabe!$D$16&amp;".14.250","")</f>
        <v/>
      </c>
      <c r="I1436" s="19" t="str">
        <f aca="false">IF(AND(Eingabe!$F$16&gt;0,Eingabe!$E$16&gt;=14),Eingabe!$B$6&amp;"-"&amp;Eingabe!$C$16&amp;"-Pächter","")</f>
        <v/>
      </c>
      <c r="J1436" s="19" t="str">
        <f aca="false">IF(AND(Eingabe!$F$16&gt;0,Eingabe!$E$16&gt;=14),"PPSK: Passwort Parzelle 14","")</f>
        <v/>
      </c>
      <c r="K1436" s="19" t="str">
        <f aca="false">IF(AND(Eingabe!$F$16&gt;0,Eingabe!$E$16&gt;=14),"1. Gerät: 10."&amp;Eingabe!$D$16&amp;".14.10, 2. Gerät: .11","")</f>
        <v/>
      </c>
    </row>
    <row r="1437" customFormat="false" ht="15" hidden="false" customHeight="false" outlineLevel="0" collapsed="false">
      <c r="A1437" s="19" t="str">
        <f aca="false">IF(AND(Eingabe!$F$16&gt;0,Eingabe!$E$16&gt;=15),8,"")</f>
        <v/>
      </c>
      <c r="B1437" s="19" t="str">
        <f aca="false">IF(AND(Eingabe!$F$16&gt;0,Eingabe!$E$16&gt;=15),Eingabe!$B$16,"")</f>
        <v/>
      </c>
      <c r="C1437" s="19" t="str">
        <f aca="false">IF(AND(Eingabe!$F$16&gt;0,Eingabe!$E$16&gt;=15),Eingabe!$C$16&amp;"-Paz."&amp;TEXT(15,"000"),"")</f>
        <v/>
      </c>
      <c r="D1437" s="19" t="str">
        <f aca="false">IF(AND(Eingabe!$F$16&gt;0,Eingabe!$E$16&gt;=15),15,"")</f>
        <v/>
      </c>
      <c r="E1437" s="19" t="str">
        <f aca="false">IF(AND(Eingabe!$F$16&gt;0,Eingabe!$E$16&gt;=15),IF((Eingabe!$G$16)&lt;=9,1000+(Eingabe!$G$16)*100,3000)+15,"")</f>
        <v/>
      </c>
      <c r="F1437" s="19" t="str">
        <f aca="false">IF(AND(Eingabe!$F$16&gt;0,Eingabe!$E$16&gt;=15),"10."&amp;Eingabe!$D$16&amp;".15.0/24","")</f>
        <v/>
      </c>
      <c r="G1437" s="19" t="str">
        <f aca="false">IF(AND(Eingabe!$F$16&gt;0,Eingabe!$E$16&gt;=15),"10."&amp;Eingabe!$D$16&amp;".15.1","")</f>
        <v/>
      </c>
      <c r="H1437" s="19" t="str">
        <f aca="false">IF(AND(Eingabe!$F$16&gt;0,Eingabe!$E$16&gt;=15),"10."&amp;Eingabe!$D$16&amp;".15.10 – 10."&amp;Eingabe!$D$16&amp;".15.250","")</f>
        <v/>
      </c>
      <c r="I1437" s="19" t="str">
        <f aca="false">IF(AND(Eingabe!$F$16&gt;0,Eingabe!$E$16&gt;=15),Eingabe!$B$6&amp;"-"&amp;Eingabe!$C$16&amp;"-Pächter","")</f>
        <v/>
      </c>
      <c r="J1437" s="19" t="str">
        <f aca="false">IF(AND(Eingabe!$F$16&gt;0,Eingabe!$E$16&gt;=15),"PPSK: Passwort Parzelle 15","")</f>
        <v/>
      </c>
      <c r="K1437" s="19" t="str">
        <f aca="false">IF(AND(Eingabe!$F$16&gt;0,Eingabe!$E$16&gt;=15),"1. Gerät: 10."&amp;Eingabe!$D$16&amp;".15.10, 2. Gerät: .11","")</f>
        <v/>
      </c>
    </row>
    <row r="1438" customFormat="false" ht="15" hidden="false" customHeight="false" outlineLevel="0" collapsed="false">
      <c r="A1438" s="19" t="str">
        <f aca="false">IF(AND(Eingabe!$F$16&gt;0,Eingabe!$E$16&gt;=16),8,"")</f>
        <v/>
      </c>
      <c r="B1438" s="19" t="str">
        <f aca="false">IF(AND(Eingabe!$F$16&gt;0,Eingabe!$E$16&gt;=16),Eingabe!$B$16,"")</f>
        <v/>
      </c>
      <c r="C1438" s="19" t="str">
        <f aca="false">IF(AND(Eingabe!$F$16&gt;0,Eingabe!$E$16&gt;=16),Eingabe!$C$16&amp;"-Paz."&amp;TEXT(16,"000"),"")</f>
        <v/>
      </c>
      <c r="D1438" s="19" t="str">
        <f aca="false">IF(AND(Eingabe!$F$16&gt;0,Eingabe!$E$16&gt;=16),16,"")</f>
        <v/>
      </c>
      <c r="E1438" s="19" t="str">
        <f aca="false">IF(AND(Eingabe!$F$16&gt;0,Eingabe!$E$16&gt;=16),IF((Eingabe!$G$16)&lt;=9,1000+(Eingabe!$G$16)*100,3000)+16,"")</f>
        <v/>
      </c>
      <c r="F1438" s="19" t="str">
        <f aca="false">IF(AND(Eingabe!$F$16&gt;0,Eingabe!$E$16&gt;=16),"10."&amp;Eingabe!$D$16&amp;".16.0/24","")</f>
        <v/>
      </c>
      <c r="G1438" s="19" t="str">
        <f aca="false">IF(AND(Eingabe!$F$16&gt;0,Eingabe!$E$16&gt;=16),"10."&amp;Eingabe!$D$16&amp;".16.1","")</f>
        <v/>
      </c>
      <c r="H1438" s="19" t="str">
        <f aca="false">IF(AND(Eingabe!$F$16&gt;0,Eingabe!$E$16&gt;=16),"10."&amp;Eingabe!$D$16&amp;".16.10 – 10."&amp;Eingabe!$D$16&amp;".16.250","")</f>
        <v/>
      </c>
      <c r="I1438" s="19" t="str">
        <f aca="false">IF(AND(Eingabe!$F$16&gt;0,Eingabe!$E$16&gt;=16),Eingabe!$B$6&amp;"-"&amp;Eingabe!$C$16&amp;"-Pächter","")</f>
        <v/>
      </c>
      <c r="J1438" s="19" t="str">
        <f aca="false">IF(AND(Eingabe!$F$16&gt;0,Eingabe!$E$16&gt;=16),"PPSK: Passwort Parzelle 16","")</f>
        <v/>
      </c>
      <c r="K1438" s="19" t="str">
        <f aca="false">IF(AND(Eingabe!$F$16&gt;0,Eingabe!$E$16&gt;=16),"1. Gerät: 10."&amp;Eingabe!$D$16&amp;".16.10, 2. Gerät: .11","")</f>
        <v/>
      </c>
    </row>
    <row r="1439" customFormat="false" ht="15" hidden="false" customHeight="false" outlineLevel="0" collapsed="false">
      <c r="A1439" s="19" t="str">
        <f aca="false">IF(AND(Eingabe!$F$16&gt;0,Eingabe!$E$16&gt;=17),8,"")</f>
        <v/>
      </c>
      <c r="B1439" s="19" t="str">
        <f aca="false">IF(AND(Eingabe!$F$16&gt;0,Eingabe!$E$16&gt;=17),Eingabe!$B$16,"")</f>
        <v/>
      </c>
      <c r="C1439" s="19" t="str">
        <f aca="false">IF(AND(Eingabe!$F$16&gt;0,Eingabe!$E$16&gt;=17),Eingabe!$C$16&amp;"-Paz."&amp;TEXT(17,"000"),"")</f>
        <v/>
      </c>
      <c r="D1439" s="19" t="str">
        <f aca="false">IF(AND(Eingabe!$F$16&gt;0,Eingabe!$E$16&gt;=17),17,"")</f>
        <v/>
      </c>
      <c r="E1439" s="19" t="str">
        <f aca="false">IF(AND(Eingabe!$F$16&gt;0,Eingabe!$E$16&gt;=17),IF((Eingabe!$G$16)&lt;=9,1000+(Eingabe!$G$16)*100,3000)+17,"")</f>
        <v/>
      </c>
      <c r="F1439" s="19" t="str">
        <f aca="false">IF(AND(Eingabe!$F$16&gt;0,Eingabe!$E$16&gt;=17),"10."&amp;Eingabe!$D$16&amp;".17.0/24","")</f>
        <v/>
      </c>
      <c r="G1439" s="19" t="str">
        <f aca="false">IF(AND(Eingabe!$F$16&gt;0,Eingabe!$E$16&gt;=17),"10."&amp;Eingabe!$D$16&amp;".17.1","")</f>
        <v/>
      </c>
      <c r="H1439" s="19" t="str">
        <f aca="false">IF(AND(Eingabe!$F$16&gt;0,Eingabe!$E$16&gt;=17),"10."&amp;Eingabe!$D$16&amp;".17.10 – 10."&amp;Eingabe!$D$16&amp;".17.250","")</f>
        <v/>
      </c>
      <c r="I1439" s="19" t="str">
        <f aca="false">IF(AND(Eingabe!$F$16&gt;0,Eingabe!$E$16&gt;=17),Eingabe!$B$6&amp;"-"&amp;Eingabe!$C$16&amp;"-Pächter","")</f>
        <v/>
      </c>
      <c r="J1439" s="19" t="str">
        <f aca="false">IF(AND(Eingabe!$F$16&gt;0,Eingabe!$E$16&gt;=17),"PPSK: Passwort Parzelle 17","")</f>
        <v/>
      </c>
      <c r="K1439" s="19" t="str">
        <f aca="false">IF(AND(Eingabe!$F$16&gt;0,Eingabe!$E$16&gt;=17),"1. Gerät: 10."&amp;Eingabe!$D$16&amp;".17.10, 2. Gerät: .11","")</f>
        <v/>
      </c>
    </row>
    <row r="1440" customFormat="false" ht="15" hidden="false" customHeight="false" outlineLevel="0" collapsed="false">
      <c r="A1440" s="19" t="str">
        <f aca="false">IF(AND(Eingabe!$F$16&gt;0,Eingabe!$E$16&gt;=18),8,"")</f>
        <v/>
      </c>
      <c r="B1440" s="19" t="str">
        <f aca="false">IF(AND(Eingabe!$F$16&gt;0,Eingabe!$E$16&gt;=18),Eingabe!$B$16,"")</f>
        <v/>
      </c>
      <c r="C1440" s="19" t="str">
        <f aca="false">IF(AND(Eingabe!$F$16&gt;0,Eingabe!$E$16&gt;=18),Eingabe!$C$16&amp;"-Paz."&amp;TEXT(18,"000"),"")</f>
        <v/>
      </c>
      <c r="D1440" s="19" t="str">
        <f aca="false">IF(AND(Eingabe!$F$16&gt;0,Eingabe!$E$16&gt;=18),18,"")</f>
        <v/>
      </c>
      <c r="E1440" s="19" t="str">
        <f aca="false">IF(AND(Eingabe!$F$16&gt;0,Eingabe!$E$16&gt;=18),IF((Eingabe!$G$16)&lt;=9,1000+(Eingabe!$G$16)*100,3000)+18,"")</f>
        <v/>
      </c>
      <c r="F1440" s="19" t="str">
        <f aca="false">IF(AND(Eingabe!$F$16&gt;0,Eingabe!$E$16&gt;=18),"10."&amp;Eingabe!$D$16&amp;".18.0/24","")</f>
        <v/>
      </c>
      <c r="G1440" s="19" t="str">
        <f aca="false">IF(AND(Eingabe!$F$16&gt;0,Eingabe!$E$16&gt;=18),"10."&amp;Eingabe!$D$16&amp;".18.1","")</f>
        <v/>
      </c>
      <c r="H1440" s="19" t="str">
        <f aca="false">IF(AND(Eingabe!$F$16&gt;0,Eingabe!$E$16&gt;=18),"10."&amp;Eingabe!$D$16&amp;".18.10 – 10."&amp;Eingabe!$D$16&amp;".18.250","")</f>
        <v/>
      </c>
      <c r="I1440" s="19" t="str">
        <f aca="false">IF(AND(Eingabe!$F$16&gt;0,Eingabe!$E$16&gt;=18),Eingabe!$B$6&amp;"-"&amp;Eingabe!$C$16&amp;"-Pächter","")</f>
        <v/>
      </c>
      <c r="J1440" s="19" t="str">
        <f aca="false">IF(AND(Eingabe!$F$16&gt;0,Eingabe!$E$16&gt;=18),"PPSK: Passwort Parzelle 18","")</f>
        <v/>
      </c>
      <c r="K1440" s="19" t="str">
        <f aca="false">IF(AND(Eingabe!$F$16&gt;0,Eingabe!$E$16&gt;=18),"1. Gerät: 10."&amp;Eingabe!$D$16&amp;".18.10, 2. Gerät: .11","")</f>
        <v/>
      </c>
    </row>
    <row r="1441" customFormat="false" ht="15" hidden="false" customHeight="false" outlineLevel="0" collapsed="false">
      <c r="A1441" s="19" t="str">
        <f aca="false">IF(AND(Eingabe!$F$16&gt;0,Eingabe!$E$16&gt;=19),8,"")</f>
        <v/>
      </c>
      <c r="B1441" s="19" t="str">
        <f aca="false">IF(AND(Eingabe!$F$16&gt;0,Eingabe!$E$16&gt;=19),Eingabe!$B$16,"")</f>
        <v/>
      </c>
      <c r="C1441" s="19" t="str">
        <f aca="false">IF(AND(Eingabe!$F$16&gt;0,Eingabe!$E$16&gt;=19),Eingabe!$C$16&amp;"-Paz."&amp;TEXT(19,"000"),"")</f>
        <v/>
      </c>
      <c r="D1441" s="19" t="str">
        <f aca="false">IF(AND(Eingabe!$F$16&gt;0,Eingabe!$E$16&gt;=19),19,"")</f>
        <v/>
      </c>
      <c r="E1441" s="19" t="str">
        <f aca="false">IF(AND(Eingabe!$F$16&gt;0,Eingabe!$E$16&gt;=19),IF((Eingabe!$G$16)&lt;=9,1000+(Eingabe!$G$16)*100,3000)+19,"")</f>
        <v/>
      </c>
      <c r="F1441" s="19" t="str">
        <f aca="false">IF(AND(Eingabe!$F$16&gt;0,Eingabe!$E$16&gt;=19),"10."&amp;Eingabe!$D$16&amp;".19.0/24","")</f>
        <v/>
      </c>
      <c r="G1441" s="19" t="str">
        <f aca="false">IF(AND(Eingabe!$F$16&gt;0,Eingabe!$E$16&gt;=19),"10."&amp;Eingabe!$D$16&amp;".19.1","")</f>
        <v/>
      </c>
      <c r="H1441" s="19" t="str">
        <f aca="false">IF(AND(Eingabe!$F$16&gt;0,Eingabe!$E$16&gt;=19),"10."&amp;Eingabe!$D$16&amp;".19.10 – 10."&amp;Eingabe!$D$16&amp;".19.250","")</f>
        <v/>
      </c>
      <c r="I1441" s="19" t="str">
        <f aca="false">IF(AND(Eingabe!$F$16&gt;0,Eingabe!$E$16&gt;=19),Eingabe!$B$6&amp;"-"&amp;Eingabe!$C$16&amp;"-Pächter","")</f>
        <v/>
      </c>
      <c r="J1441" s="19" t="str">
        <f aca="false">IF(AND(Eingabe!$F$16&gt;0,Eingabe!$E$16&gt;=19),"PPSK: Passwort Parzelle 19","")</f>
        <v/>
      </c>
      <c r="K1441" s="19" t="str">
        <f aca="false">IF(AND(Eingabe!$F$16&gt;0,Eingabe!$E$16&gt;=19),"1. Gerät: 10."&amp;Eingabe!$D$16&amp;".19.10, 2. Gerät: .11","")</f>
        <v/>
      </c>
    </row>
    <row r="1442" customFormat="false" ht="15" hidden="false" customHeight="false" outlineLevel="0" collapsed="false">
      <c r="A1442" s="19" t="str">
        <f aca="false">IF(AND(Eingabe!$F$16&gt;0,Eingabe!$E$16&gt;=20),8,"")</f>
        <v/>
      </c>
      <c r="B1442" s="19" t="str">
        <f aca="false">IF(AND(Eingabe!$F$16&gt;0,Eingabe!$E$16&gt;=20),Eingabe!$B$16,"")</f>
        <v/>
      </c>
      <c r="C1442" s="19" t="str">
        <f aca="false">IF(AND(Eingabe!$F$16&gt;0,Eingabe!$E$16&gt;=20),Eingabe!$C$16&amp;"-Paz."&amp;TEXT(20,"000"),"")</f>
        <v/>
      </c>
      <c r="D1442" s="19" t="str">
        <f aca="false">IF(AND(Eingabe!$F$16&gt;0,Eingabe!$E$16&gt;=20),20,"")</f>
        <v/>
      </c>
      <c r="E1442" s="19" t="str">
        <f aca="false">IF(AND(Eingabe!$F$16&gt;0,Eingabe!$E$16&gt;=20),IF((Eingabe!$G$16)&lt;=9,1000+(Eingabe!$G$16)*100,3000)+20,"")</f>
        <v/>
      </c>
      <c r="F1442" s="19" t="str">
        <f aca="false">IF(AND(Eingabe!$F$16&gt;0,Eingabe!$E$16&gt;=20),"10."&amp;Eingabe!$D$16&amp;".20.0/24","")</f>
        <v/>
      </c>
      <c r="G1442" s="19" t="str">
        <f aca="false">IF(AND(Eingabe!$F$16&gt;0,Eingabe!$E$16&gt;=20),"10."&amp;Eingabe!$D$16&amp;".20.1","")</f>
        <v/>
      </c>
      <c r="H1442" s="19" t="str">
        <f aca="false">IF(AND(Eingabe!$F$16&gt;0,Eingabe!$E$16&gt;=20),"10."&amp;Eingabe!$D$16&amp;".20.10 – 10."&amp;Eingabe!$D$16&amp;".20.250","")</f>
        <v/>
      </c>
      <c r="I1442" s="19" t="str">
        <f aca="false">IF(AND(Eingabe!$F$16&gt;0,Eingabe!$E$16&gt;=20),Eingabe!$B$6&amp;"-"&amp;Eingabe!$C$16&amp;"-Pächter","")</f>
        <v/>
      </c>
      <c r="J1442" s="19" t="str">
        <f aca="false">IF(AND(Eingabe!$F$16&gt;0,Eingabe!$E$16&gt;=20),"PPSK: Passwort Parzelle 20","")</f>
        <v/>
      </c>
      <c r="K1442" s="19" t="str">
        <f aca="false">IF(AND(Eingabe!$F$16&gt;0,Eingabe!$E$16&gt;=20),"1. Gerät: 10."&amp;Eingabe!$D$16&amp;".20.10, 2. Gerät: .11","")</f>
        <v/>
      </c>
    </row>
    <row r="1443" customFormat="false" ht="15" hidden="false" customHeight="false" outlineLevel="0" collapsed="false">
      <c r="A1443" s="19" t="str">
        <f aca="false">IF(AND(Eingabe!$F$16&gt;0,Eingabe!$E$16&gt;=21),8,"")</f>
        <v/>
      </c>
      <c r="B1443" s="19" t="str">
        <f aca="false">IF(AND(Eingabe!$F$16&gt;0,Eingabe!$E$16&gt;=21),Eingabe!$B$16,"")</f>
        <v/>
      </c>
      <c r="C1443" s="19" t="str">
        <f aca="false">IF(AND(Eingabe!$F$16&gt;0,Eingabe!$E$16&gt;=21),Eingabe!$C$16&amp;"-Paz."&amp;TEXT(21,"000"),"")</f>
        <v/>
      </c>
      <c r="D1443" s="19" t="str">
        <f aca="false">IF(AND(Eingabe!$F$16&gt;0,Eingabe!$E$16&gt;=21),21,"")</f>
        <v/>
      </c>
      <c r="E1443" s="19" t="str">
        <f aca="false">IF(AND(Eingabe!$F$16&gt;0,Eingabe!$E$16&gt;=21),IF((Eingabe!$G$16)&lt;=9,1000+(Eingabe!$G$16)*100,3000)+21,"")</f>
        <v/>
      </c>
      <c r="F1443" s="19" t="str">
        <f aca="false">IF(AND(Eingabe!$F$16&gt;0,Eingabe!$E$16&gt;=21),"10."&amp;Eingabe!$D$16&amp;".21.0/24","")</f>
        <v/>
      </c>
      <c r="G1443" s="19" t="str">
        <f aca="false">IF(AND(Eingabe!$F$16&gt;0,Eingabe!$E$16&gt;=21),"10."&amp;Eingabe!$D$16&amp;".21.1","")</f>
        <v/>
      </c>
      <c r="H1443" s="19" t="str">
        <f aca="false">IF(AND(Eingabe!$F$16&gt;0,Eingabe!$E$16&gt;=21),"10."&amp;Eingabe!$D$16&amp;".21.10 – 10."&amp;Eingabe!$D$16&amp;".21.250","")</f>
        <v/>
      </c>
      <c r="I1443" s="19" t="str">
        <f aca="false">IF(AND(Eingabe!$F$16&gt;0,Eingabe!$E$16&gt;=21),Eingabe!$B$6&amp;"-"&amp;Eingabe!$C$16&amp;"-Pächter","")</f>
        <v/>
      </c>
      <c r="J1443" s="19" t="str">
        <f aca="false">IF(AND(Eingabe!$F$16&gt;0,Eingabe!$E$16&gt;=21),"PPSK: Passwort Parzelle 21","")</f>
        <v/>
      </c>
      <c r="K1443" s="19" t="str">
        <f aca="false">IF(AND(Eingabe!$F$16&gt;0,Eingabe!$E$16&gt;=21),"1. Gerät: 10."&amp;Eingabe!$D$16&amp;".21.10, 2. Gerät: .11","")</f>
        <v/>
      </c>
    </row>
    <row r="1444" customFormat="false" ht="15" hidden="false" customHeight="false" outlineLevel="0" collapsed="false">
      <c r="A1444" s="19" t="str">
        <f aca="false">IF(AND(Eingabe!$F$16&gt;0,Eingabe!$E$16&gt;=22),8,"")</f>
        <v/>
      </c>
      <c r="B1444" s="19" t="str">
        <f aca="false">IF(AND(Eingabe!$F$16&gt;0,Eingabe!$E$16&gt;=22),Eingabe!$B$16,"")</f>
        <v/>
      </c>
      <c r="C1444" s="19" t="str">
        <f aca="false">IF(AND(Eingabe!$F$16&gt;0,Eingabe!$E$16&gt;=22),Eingabe!$C$16&amp;"-Paz."&amp;TEXT(22,"000"),"")</f>
        <v/>
      </c>
      <c r="D1444" s="19" t="str">
        <f aca="false">IF(AND(Eingabe!$F$16&gt;0,Eingabe!$E$16&gt;=22),22,"")</f>
        <v/>
      </c>
      <c r="E1444" s="19" t="str">
        <f aca="false">IF(AND(Eingabe!$F$16&gt;0,Eingabe!$E$16&gt;=22),IF((Eingabe!$G$16)&lt;=9,1000+(Eingabe!$G$16)*100,3000)+22,"")</f>
        <v/>
      </c>
      <c r="F1444" s="19" t="str">
        <f aca="false">IF(AND(Eingabe!$F$16&gt;0,Eingabe!$E$16&gt;=22),"10."&amp;Eingabe!$D$16&amp;".22.0/24","")</f>
        <v/>
      </c>
      <c r="G1444" s="19" t="str">
        <f aca="false">IF(AND(Eingabe!$F$16&gt;0,Eingabe!$E$16&gt;=22),"10."&amp;Eingabe!$D$16&amp;".22.1","")</f>
        <v/>
      </c>
      <c r="H1444" s="19" t="str">
        <f aca="false">IF(AND(Eingabe!$F$16&gt;0,Eingabe!$E$16&gt;=22),"10."&amp;Eingabe!$D$16&amp;".22.10 – 10."&amp;Eingabe!$D$16&amp;".22.250","")</f>
        <v/>
      </c>
      <c r="I1444" s="19" t="str">
        <f aca="false">IF(AND(Eingabe!$F$16&gt;0,Eingabe!$E$16&gt;=22),Eingabe!$B$6&amp;"-"&amp;Eingabe!$C$16&amp;"-Pächter","")</f>
        <v/>
      </c>
      <c r="J1444" s="19" t="str">
        <f aca="false">IF(AND(Eingabe!$F$16&gt;0,Eingabe!$E$16&gt;=22),"PPSK: Passwort Parzelle 22","")</f>
        <v/>
      </c>
      <c r="K1444" s="19" t="str">
        <f aca="false">IF(AND(Eingabe!$F$16&gt;0,Eingabe!$E$16&gt;=22),"1. Gerät: 10."&amp;Eingabe!$D$16&amp;".22.10, 2. Gerät: .11","")</f>
        <v/>
      </c>
    </row>
    <row r="1445" customFormat="false" ht="15" hidden="false" customHeight="false" outlineLevel="0" collapsed="false">
      <c r="A1445" s="19" t="str">
        <f aca="false">IF(AND(Eingabe!$F$16&gt;0,Eingabe!$E$16&gt;=23),8,"")</f>
        <v/>
      </c>
      <c r="B1445" s="19" t="str">
        <f aca="false">IF(AND(Eingabe!$F$16&gt;0,Eingabe!$E$16&gt;=23),Eingabe!$B$16,"")</f>
        <v/>
      </c>
      <c r="C1445" s="19" t="str">
        <f aca="false">IF(AND(Eingabe!$F$16&gt;0,Eingabe!$E$16&gt;=23),Eingabe!$C$16&amp;"-Paz."&amp;TEXT(23,"000"),"")</f>
        <v/>
      </c>
      <c r="D1445" s="19" t="str">
        <f aca="false">IF(AND(Eingabe!$F$16&gt;0,Eingabe!$E$16&gt;=23),23,"")</f>
        <v/>
      </c>
      <c r="E1445" s="19" t="str">
        <f aca="false">IF(AND(Eingabe!$F$16&gt;0,Eingabe!$E$16&gt;=23),IF((Eingabe!$G$16)&lt;=9,1000+(Eingabe!$G$16)*100,3000)+23,"")</f>
        <v/>
      </c>
      <c r="F1445" s="19" t="str">
        <f aca="false">IF(AND(Eingabe!$F$16&gt;0,Eingabe!$E$16&gt;=23),"10."&amp;Eingabe!$D$16&amp;".23.0/24","")</f>
        <v/>
      </c>
      <c r="G1445" s="19" t="str">
        <f aca="false">IF(AND(Eingabe!$F$16&gt;0,Eingabe!$E$16&gt;=23),"10."&amp;Eingabe!$D$16&amp;".23.1","")</f>
        <v/>
      </c>
      <c r="H1445" s="19" t="str">
        <f aca="false">IF(AND(Eingabe!$F$16&gt;0,Eingabe!$E$16&gt;=23),"10."&amp;Eingabe!$D$16&amp;".23.10 – 10."&amp;Eingabe!$D$16&amp;".23.250","")</f>
        <v/>
      </c>
      <c r="I1445" s="19" t="str">
        <f aca="false">IF(AND(Eingabe!$F$16&gt;0,Eingabe!$E$16&gt;=23),Eingabe!$B$6&amp;"-"&amp;Eingabe!$C$16&amp;"-Pächter","")</f>
        <v/>
      </c>
      <c r="J1445" s="19" t="str">
        <f aca="false">IF(AND(Eingabe!$F$16&gt;0,Eingabe!$E$16&gt;=23),"PPSK: Passwort Parzelle 23","")</f>
        <v/>
      </c>
      <c r="K1445" s="19" t="str">
        <f aca="false">IF(AND(Eingabe!$F$16&gt;0,Eingabe!$E$16&gt;=23),"1. Gerät: 10."&amp;Eingabe!$D$16&amp;".23.10, 2. Gerät: .11","")</f>
        <v/>
      </c>
    </row>
    <row r="1446" customFormat="false" ht="15" hidden="false" customHeight="false" outlineLevel="0" collapsed="false">
      <c r="A1446" s="19" t="str">
        <f aca="false">IF(AND(Eingabe!$F$16&gt;0,Eingabe!$E$16&gt;=24),8,"")</f>
        <v/>
      </c>
      <c r="B1446" s="19" t="str">
        <f aca="false">IF(AND(Eingabe!$F$16&gt;0,Eingabe!$E$16&gt;=24),Eingabe!$B$16,"")</f>
        <v/>
      </c>
      <c r="C1446" s="19" t="str">
        <f aca="false">IF(AND(Eingabe!$F$16&gt;0,Eingabe!$E$16&gt;=24),Eingabe!$C$16&amp;"-Paz."&amp;TEXT(24,"000"),"")</f>
        <v/>
      </c>
      <c r="D1446" s="19" t="str">
        <f aca="false">IF(AND(Eingabe!$F$16&gt;0,Eingabe!$E$16&gt;=24),24,"")</f>
        <v/>
      </c>
      <c r="E1446" s="19" t="str">
        <f aca="false">IF(AND(Eingabe!$F$16&gt;0,Eingabe!$E$16&gt;=24),IF((Eingabe!$G$16)&lt;=9,1000+(Eingabe!$G$16)*100,3000)+24,"")</f>
        <v/>
      </c>
      <c r="F1446" s="19" t="str">
        <f aca="false">IF(AND(Eingabe!$F$16&gt;0,Eingabe!$E$16&gt;=24),"10."&amp;Eingabe!$D$16&amp;".24.0/24","")</f>
        <v/>
      </c>
      <c r="G1446" s="19" t="str">
        <f aca="false">IF(AND(Eingabe!$F$16&gt;0,Eingabe!$E$16&gt;=24),"10."&amp;Eingabe!$D$16&amp;".24.1","")</f>
        <v/>
      </c>
      <c r="H1446" s="19" t="str">
        <f aca="false">IF(AND(Eingabe!$F$16&gt;0,Eingabe!$E$16&gt;=24),"10."&amp;Eingabe!$D$16&amp;".24.10 – 10."&amp;Eingabe!$D$16&amp;".24.250","")</f>
        <v/>
      </c>
      <c r="I1446" s="19" t="str">
        <f aca="false">IF(AND(Eingabe!$F$16&gt;0,Eingabe!$E$16&gt;=24),Eingabe!$B$6&amp;"-"&amp;Eingabe!$C$16&amp;"-Pächter","")</f>
        <v/>
      </c>
      <c r="J1446" s="19" t="str">
        <f aca="false">IF(AND(Eingabe!$F$16&gt;0,Eingabe!$E$16&gt;=24),"PPSK: Passwort Parzelle 24","")</f>
        <v/>
      </c>
      <c r="K1446" s="19" t="str">
        <f aca="false">IF(AND(Eingabe!$F$16&gt;0,Eingabe!$E$16&gt;=24),"1. Gerät: 10."&amp;Eingabe!$D$16&amp;".24.10, 2. Gerät: .11","")</f>
        <v/>
      </c>
    </row>
    <row r="1447" customFormat="false" ht="15" hidden="false" customHeight="false" outlineLevel="0" collapsed="false">
      <c r="A1447" s="19" t="str">
        <f aca="false">IF(AND(Eingabe!$F$16&gt;0,Eingabe!$E$16&gt;=25),8,"")</f>
        <v/>
      </c>
      <c r="B1447" s="19" t="str">
        <f aca="false">IF(AND(Eingabe!$F$16&gt;0,Eingabe!$E$16&gt;=25),Eingabe!$B$16,"")</f>
        <v/>
      </c>
      <c r="C1447" s="19" t="str">
        <f aca="false">IF(AND(Eingabe!$F$16&gt;0,Eingabe!$E$16&gt;=25),Eingabe!$C$16&amp;"-Paz."&amp;TEXT(25,"000"),"")</f>
        <v/>
      </c>
      <c r="D1447" s="19" t="str">
        <f aca="false">IF(AND(Eingabe!$F$16&gt;0,Eingabe!$E$16&gt;=25),25,"")</f>
        <v/>
      </c>
      <c r="E1447" s="19" t="str">
        <f aca="false">IF(AND(Eingabe!$F$16&gt;0,Eingabe!$E$16&gt;=25),IF((Eingabe!$G$16)&lt;=9,1000+(Eingabe!$G$16)*100,3000)+25,"")</f>
        <v/>
      </c>
      <c r="F1447" s="19" t="str">
        <f aca="false">IF(AND(Eingabe!$F$16&gt;0,Eingabe!$E$16&gt;=25),"10."&amp;Eingabe!$D$16&amp;".25.0/24","")</f>
        <v/>
      </c>
      <c r="G1447" s="19" t="str">
        <f aca="false">IF(AND(Eingabe!$F$16&gt;0,Eingabe!$E$16&gt;=25),"10."&amp;Eingabe!$D$16&amp;".25.1","")</f>
        <v/>
      </c>
      <c r="H1447" s="19" t="str">
        <f aca="false">IF(AND(Eingabe!$F$16&gt;0,Eingabe!$E$16&gt;=25),"10."&amp;Eingabe!$D$16&amp;".25.10 – 10."&amp;Eingabe!$D$16&amp;".25.250","")</f>
        <v/>
      </c>
      <c r="I1447" s="19" t="str">
        <f aca="false">IF(AND(Eingabe!$F$16&gt;0,Eingabe!$E$16&gt;=25),Eingabe!$B$6&amp;"-"&amp;Eingabe!$C$16&amp;"-Pächter","")</f>
        <v/>
      </c>
      <c r="J1447" s="19" t="str">
        <f aca="false">IF(AND(Eingabe!$F$16&gt;0,Eingabe!$E$16&gt;=25),"PPSK: Passwort Parzelle 25","")</f>
        <v/>
      </c>
      <c r="K1447" s="19" t="str">
        <f aca="false">IF(AND(Eingabe!$F$16&gt;0,Eingabe!$E$16&gt;=25),"1. Gerät: 10."&amp;Eingabe!$D$16&amp;".25.10, 2. Gerät: .11","")</f>
        <v/>
      </c>
    </row>
    <row r="1448" customFormat="false" ht="15" hidden="false" customHeight="false" outlineLevel="0" collapsed="false">
      <c r="A1448" s="19" t="str">
        <f aca="false">IF(AND(Eingabe!$F$16&gt;0,Eingabe!$E$16&gt;=26),8,"")</f>
        <v/>
      </c>
      <c r="B1448" s="19" t="str">
        <f aca="false">IF(AND(Eingabe!$F$16&gt;0,Eingabe!$E$16&gt;=26),Eingabe!$B$16,"")</f>
        <v/>
      </c>
      <c r="C1448" s="19" t="str">
        <f aca="false">IF(AND(Eingabe!$F$16&gt;0,Eingabe!$E$16&gt;=26),Eingabe!$C$16&amp;"-Paz."&amp;TEXT(26,"000"),"")</f>
        <v/>
      </c>
      <c r="D1448" s="19" t="str">
        <f aca="false">IF(AND(Eingabe!$F$16&gt;0,Eingabe!$E$16&gt;=26),26,"")</f>
        <v/>
      </c>
      <c r="E1448" s="19" t="str">
        <f aca="false">IF(AND(Eingabe!$F$16&gt;0,Eingabe!$E$16&gt;=26),IF((Eingabe!$G$16)&lt;=9,1000+(Eingabe!$G$16)*100,3000)+26,"")</f>
        <v/>
      </c>
      <c r="F1448" s="19" t="str">
        <f aca="false">IF(AND(Eingabe!$F$16&gt;0,Eingabe!$E$16&gt;=26),"10."&amp;Eingabe!$D$16&amp;".26.0/24","")</f>
        <v/>
      </c>
      <c r="G1448" s="19" t="str">
        <f aca="false">IF(AND(Eingabe!$F$16&gt;0,Eingabe!$E$16&gt;=26),"10."&amp;Eingabe!$D$16&amp;".26.1","")</f>
        <v/>
      </c>
      <c r="H1448" s="19" t="str">
        <f aca="false">IF(AND(Eingabe!$F$16&gt;0,Eingabe!$E$16&gt;=26),"10."&amp;Eingabe!$D$16&amp;".26.10 – 10."&amp;Eingabe!$D$16&amp;".26.250","")</f>
        <v/>
      </c>
      <c r="I1448" s="19" t="str">
        <f aca="false">IF(AND(Eingabe!$F$16&gt;0,Eingabe!$E$16&gt;=26),Eingabe!$B$6&amp;"-"&amp;Eingabe!$C$16&amp;"-Pächter","")</f>
        <v/>
      </c>
      <c r="J1448" s="19" t="str">
        <f aca="false">IF(AND(Eingabe!$F$16&gt;0,Eingabe!$E$16&gt;=26),"PPSK: Passwort Parzelle 26","")</f>
        <v/>
      </c>
      <c r="K1448" s="19" t="str">
        <f aca="false">IF(AND(Eingabe!$F$16&gt;0,Eingabe!$E$16&gt;=26),"1. Gerät: 10."&amp;Eingabe!$D$16&amp;".26.10, 2. Gerät: .11","")</f>
        <v/>
      </c>
    </row>
    <row r="1449" customFormat="false" ht="15" hidden="false" customHeight="false" outlineLevel="0" collapsed="false">
      <c r="A1449" s="19" t="str">
        <f aca="false">IF(AND(Eingabe!$F$16&gt;0,Eingabe!$E$16&gt;=27),8,"")</f>
        <v/>
      </c>
      <c r="B1449" s="19" t="str">
        <f aca="false">IF(AND(Eingabe!$F$16&gt;0,Eingabe!$E$16&gt;=27),Eingabe!$B$16,"")</f>
        <v/>
      </c>
      <c r="C1449" s="19" t="str">
        <f aca="false">IF(AND(Eingabe!$F$16&gt;0,Eingabe!$E$16&gt;=27),Eingabe!$C$16&amp;"-Paz."&amp;TEXT(27,"000"),"")</f>
        <v/>
      </c>
      <c r="D1449" s="19" t="str">
        <f aca="false">IF(AND(Eingabe!$F$16&gt;0,Eingabe!$E$16&gt;=27),27,"")</f>
        <v/>
      </c>
      <c r="E1449" s="19" t="str">
        <f aca="false">IF(AND(Eingabe!$F$16&gt;0,Eingabe!$E$16&gt;=27),IF((Eingabe!$G$16)&lt;=9,1000+(Eingabe!$G$16)*100,3000)+27,"")</f>
        <v/>
      </c>
      <c r="F1449" s="19" t="str">
        <f aca="false">IF(AND(Eingabe!$F$16&gt;0,Eingabe!$E$16&gt;=27),"10."&amp;Eingabe!$D$16&amp;".27.0/24","")</f>
        <v/>
      </c>
      <c r="G1449" s="19" t="str">
        <f aca="false">IF(AND(Eingabe!$F$16&gt;0,Eingabe!$E$16&gt;=27),"10."&amp;Eingabe!$D$16&amp;".27.1","")</f>
        <v/>
      </c>
      <c r="H1449" s="19" t="str">
        <f aca="false">IF(AND(Eingabe!$F$16&gt;0,Eingabe!$E$16&gt;=27),"10."&amp;Eingabe!$D$16&amp;".27.10 – 10."&amp;Eingabe!$D$16&amp;".27.250","")</f>
        <v/>
      </c>
      <c r="I1449" s="19" t="str">
        <f aca="false">IF(AND(Eingabe!$F$16&gt;0,Eingabe!$E$16&gt;=27),Eingabe!$B$6&amp;"-"&amp;Eingabe!$C$16&amp;"-Pächter","")</f>
        <v/>
      </c>
      <c r="J1449" s="19" t="str">
        <f aca="false">IF(AND(Eingabe!$F$16&gt;0,Eingabe!$E$16&gt;=27),"PPSK: Passwort Parzelle 27","")</f>
        <v/>
      </c>
      <c r="K1449" s="19" t="str">
        <f aca="false">IF(AND(Eingabe!$F$16&gt;0,Eingabe!$E$16&gt;=27),"1. Gerät: 10."&amp;Eingabe!$D$16&amp;".27.10, 2. Gerät: .11","")</f>
        <v/>
      </c>
    </row>
    <row r="1450" customFormat="false" ht="15" hidden="false" customHeight="false" outlineLevel="0" collapsed="false">
      <c r="A1450" s="19" t="str">
        <f aca="false">IF(AND(Eingabe!$F$16&gt;0,Eingabe!$E$16&gt;=28),8,"")</f>
        <v/>
      </c>
      <c r="B1450" s="19" t="str">
        <f aca="false">IF(AND(Eingabe!$F$16&gt;0,Eingabe!$E$16&gt;=28),Eingabe!$B$16,"")</f>
        <v/>
      </c>
      <c r="C1450" s="19" t="str">
        <f aca="false">IF(AND(Eingabe!$F$16&gt;0,Eingabe!$E$16&gt;=28),Eingabe!$C$16&amp;"-Paz."&amp;TEXT(28,"000"),"")</f>
        <v/>
      </c>
      <c r="D1450" s="19" t="str">
        <f aca="false">IF(AND(Eingabe!$F$16&gt;0,Eingabe!$E$16&gt;=28),28,"")</f>
        <v/>
      </c>
      <c r="E1450" s="19" t="str">
        <f aca="false">IF(AND(Eingabe!$F$16&gt;0,Eingabe!$E$16&gt;=28),IF((Eingabe!$G$16)&lt;=9,1000+(Eingabe!$G$16)*100,3000)+28,"")</f>
        <v/>
      </c>
      <c r="F1450" s="19" t="str">
        <f aca="false">IF(AND(Eingabe!$F$16&gt;0,Eingabe!$E$16&gt;=28),"10."&amp;Eingabe!$D$16&amp;".28.0/24","")</f>
        <v/>
      </c>
      <c r="G1450" s="19" t="str">
        <f aca="false">IF(AND(Eingabe!$F$16&gt;0,Eingabe!$E$16&gt;=28),"10."&amp;Eingabe!$D$16&amp;".28.1","")</f>
        <v/>
      </c>
      <c r="H1450" s="19" t="str">
        <f aca="false">IF(AND(Eingabe!$F$16&gt;0,Eingabe!$E$16&gt;=28),"10."&amp;Eingabe!$D$16&amp;".28.10 – 10."&amp;Eingabe!$D$16&amp;".28.250","")</f>
        <v/>
      </c>
      <c r="I1450" s="19" t="str">
        <f aca="false">IF(AND(Eingabe!$F$16&gt;0,Eingabe!$E$16&gt;=28),Eingabe!$B$6&amp;"-"&amp;Eingabe!$C$16&amp;"-Pächter","")</f>
        <v/>
      </c>
      <c r="J1450" s="19" t="str">
        <f aca="false">IF(AND(Eingabe!$F$16&gt;0,Eingabe!$E$16&gt;=28),"PPSK: Passwort Parzelle 28","")</f>
        <v/>
      </c>
      <c r="K1450" s="19" t="str">
        <f aca="false">IF(AND(Eingabe!$F$16&gt;0,Eingabe!$E$16&gt;=28),"1. Gerät: 10."&amp;Eingabe!$D$16&amp;".28.10, 2. Gerät: .11","")</f>
        <v/>
      </c>
    </row>
    <row r="1451" customFormat="false" ht="15" hidden="false" customHeight="false" outlineLevel="0" collapsed="false">
      <c r="A1451" s="19" t="str">
        <f aca="false">IF(AND(Eingabe!$F$16&gt;0,Eingabe!$E$16&gt;=29),8,"")</f>
        <v/>
      </c>
      <c r="B1451" s="19" t="str">
        <f aca="false">IF(AND(Eingabe!$F$16&gt;0,Eingabe!$E$16&gt;=29),Eingabe!$B$16,"")</f>
        <v/>
      </c>
      <c r="C1451" s="19" t="str">
        <f aca="false">IF(AND(Eingabe!$F$16&gt;0,Eingabe!$E$16&gt;=29),Eingabe!$C$16&amp;"-Paz."&amp;TEXT(29,"000"),"")</f>
        <v/>
      </c>
      <c r="D1451" s="19" t="str">
        <f aca="false">IF(AND(Eingabe!$F$16&gt;0,Eingabe!$E$16&gt;=29),29,"")</f>
        <v/>
      </c>
      <c r="E1451" s="19" t="str">
        <f aca="false">IF(AND(Eingabe!$F$16&gt;0,Eingabe!$E$16&gt;=29),IF((Eingabe!$G$16)&lt;=9,1000+(Eingabe!$G$16)*100,3000)+29,"")</f>
        <v/>
      </c>
      <c r="F1451" s="19" t="str">
        <f aca="false">IF(AND(Eingabe!$F$16&gt;0,Eingabe!$E$16&gt;=29),"10."&amp;Eingabe!$D$16&amp;".29.0/24","")</f>
        <v/>
      </c>
      <c r="G1451" s="19" t="str">
        <f aca="false">IF(AND(Eingabe!$F$16&gt;0,Eingabe!$E$16&gt;=29),"10."&amp;Eingabe!$D$16&amp;".29.1","")</f>
        <v/>
      </c>
      <c r="H1451" s="19" t="str">
        <f aca="false">IF(AND(Eingabe!$F$16&gt;0,Eingabe!$E$16&gt;=29),"10."&amp;Eingabe!$D$16&amp;".29.10 – 10."&amp;Eingabe!$D$16&amp;".29.250","")</f>
        <v/>
      </c>
      <c r="I1451" s="19" t="str">
        <f aca="false">IF(AND(Eingabe!$F$16&gt;0,Eingabe!$E$16&gt;=29),Eingabe!$B$6&amp;"-"&amp;Eingabe!$C$16&amp;"-Pächter","")</f>
        <v/>
      </c>
      <c r="J1451" s="19" t="str">
        <f aca="false">IF(AND(Eingabe!$F$16&gt;0,Eingabe!$E$16&gt;=29),"PPSK: Passwort Parzelle 29","")</f>
        <v/>
      </c>
      <c r="K1451" s="19" t="str">
        <f aca="false">IF(AND(Eingabe!$F$16&gt;0,Eingabe!$E$16&gt;=29),"1. Gerät: 10."&amp;Eingabe!$D$16&amp;".29.10, 2. Gerät: .11","")</f>
        <v/>
      </c>
    </row>
    <row r="1452" customFormat="false" ht="15" hidden="false" customHeight="false" outlineLevel="0" collapsed="false">
      <c r="A1452" s="19" t="str">
        <f aca="false">IF(AND(Eingabe!$F$16&gt;0,Eingabe!$E$16&gt;=30),8,"")</f>
        <v/>
      </c>
      <c r="B1452" s="19" t="str">
        <f aca="false">IF(AND(Eingabe!$F$16&gt;0,Eingabe!$E$16&gt;=30),Eingabe!$B$16,"")</f>
        <v/>
      </c>
      <c r="C1452" s="19" t="str">
        <f aca="false">IF(AND(Eingabe!$F$16&gt;0,Eingabe!$E$16&gt;=30),Eingabe!$C$16&amp;"-Paz."&amp;TEXT(30,"000"),"")</f>
        <v/>
      </c>
      <c r="D1452" s="19" t="str">
        <f aca="false">IF(AND(Eingabe!$F$16&gt;0,Eingabe!$E$16&gt;=30),30,"")</f>
        <v/>
      </c>
      <c r="E1452" s="19" t="str">
        <f aca="false">IF(AND(Eingabe!$F$16&gt;0,Eingabe!$E$16&gt;=30),IF((Eingabe!$G$16)&lt;=9,1000+(Eingabe!$G$16)*100,3000)+30,"")</f>
        <v/>
      </c>
      <c r="F1452" s="19" t="str">
        <f aca="false">IF(AND(Eingabe!$F$16&gt;0,Eingabe!$E$16&gt;=30),"10."&amp;Eingabe!$D$16&amp;".30.0/24","")</f>
        <v/>
      </c>
      <c r="G1452" s="19" t="str">
        <f aca="false">IF(AND(Eingabe!$F$16&gt;0,Eingabe!$E$16&gt;=30),"10."&amp;Eingabe!$D$16&amp;".30.1","")</f>
        <v/>
      </c>
      <c r="H1452" s="19" t="str">
        <f aca="false">IF(AND(Eingabe!$F$16&gt;0,Eingabe!$E$16&gt;=30),"10."&amp;Eingabe!$D$16&amp;".30.10 – 10."&amp;Eingabe!$D$16&amp;".30.250","")</f>
        <v/>
      </c>
      <c r="I1452" s="19" t="str">
        <f aca="false">IF(AND(Eingabe!$F$16&gt;0,Eingabe!$E$16&gt;=30),Eingabe!$B$6&amp;"-"&amp;Eingabe!$C$16&amp;"-Pächter","")</f>
        <v/>
      </c>
      <c r="J1452" s="19" t="str">
        <f aca="false">IF(AND(Eingabe!$F$16&gt;0,Eingabe!$E$16&gt;=30),"PPSK: Passwort Parzelle 30","")</f>
        <v/>
      </c>
      <c r="K1452" s="19" t="str">
        <f aca="false">IF(AND(Eingabe!$F$16&gt;0,Eingabe!$E$16&gt;=30),"1. Gerät: 10."&amp;Eingabe!$D$16&amp;".30.10, 2. Gerät: .11","")</f>
        <v/>
      </c>
    </row>
    <row r="1453" customFormat="false" ht="15" hidden="false" customHeight="false" outlineLevel="0" collapsed="false">
      <c r="A1453" s="19" t="str">
        <f aca="false">IF(AND(Eingabe!$F$16&gt;0,Eingabe!$E$16&gt;=31),8,"")</f>
        <v/>
      </c>
      <c r="B1453" s="19" t="str">
        <f aca="false">IF(AND(Eingabe!$F$16&gt;0,Eingabe!$E$16&gt;=31),Eingabe!$B$16,"")</f>
        <v/>
      </c>
      <c r="C1453" s="19" t="str">
        <f aca="false">IF(AND(Eingabe!$F$16&gt;0,Eingabe!$E$16&gt;=31),Eingabe!$C$16&amp;"-Paz."&amp;TEXT(31,"000"),"")</f>
        <v/>
      </c>
      <c r="D1453" s="19" t="str">
        <f aca="false">IF(AND(Eingabe!$F$16&gt;0,Eingabe!$E$16&gt;=31),31,"")</f>
        <v/>
      </c>
      <c r="E1453" s="19" t="str">
        <f aca="false">IF(AND(Eingabe!$F$16&gt;0,Eingabe!$E$16&gt;=31),IF((Eingabe!$G$16)&lt;=9,1000+(Eingabe!$G$16)*100,3000)+31,"")</f>
        <v/>
      </c>
      <c r="F1453" s="19" t="str">
        <f aca="false">IF(AND(Eingabe!$F$16&gt;0,Eingabe!$E$16&gt;=31),"10."&amp;Eingabe!$D$16&amp;".31.0/24","")</f>
        <v/>
      </c>
      <c r="G1453" s="19" t="str">
        <f aca="false">IF(AND(Eingabe!$F$16&gt;0,Eingabe!$E$16&gt;=31),"10."&amp;Eingabe!$D$16&amp;".31.1","")</f>
        <v/>
      </c>
      <c r="H1453" s="19" t="str">
        <f aca="false">IF(AND(Eingabe!$F$16&gt;0,Eingabe!$E$16&gt;=31),"10."&amp;Eingabe!$D$16&amp;".31.10 – 10."&amp;Eingabe!$D$16&amp;".31.250","")</f>
        <v/>
      </c>
      <c r="I1453" s="19" t="str">
        <f aca="false">IF(AND(Eingabe!$F$16&gt;0,Eingabe!$E$16&gt;=31),Eingabe!$B$6&amp;"-"&amp;Eingabe!$C$16&amp;"-Pächter","")</f>
        <v/>
      </c>
      <c r="J1453" s="19" t="str">
        <f aca="false">IF(AND(Eingabe!$F$16&gt;0,Eingabe!$E$16&gt;=31),"PPSK: Passwort Parzelle 31","")</f>
        <v/>
      </c>
      <c r="K1453" s="19" t="str">
        <f aca="false">IF(AND(Eingabe!$F$16&gt;0,Eingabe!$E$16&gt;=31),"1. Gerät: 10."&amp;Eingabe!$D$16&amp;".31.10, 2. Gerät: .11","")</f>
        <v/>
      </c>
    </row>
    <row r="1454" customFormat="false" ht="15" hidden="false" customHeight="false" outlineLevel="0" collapsed="false">
      <c r="A1454" s="19" t="str">
        <f aca="false">IF(AND(Eingabe!$F$16&gt;0,Eingabe!$E$16&gt;=32),8,"")</f>
        <v/>
      </c>
      <c r="B1454" s="19" t="str">
        <f aca="false">IF(AND(Eingabe!$F$16&gt;0,Eingabe!$E$16&gt;=32),Eingabe!$B$16,"")</f>
        <v/>
      </c>
      <c r="C1454" s="19" t="str">
        <f aca="false">IF(AND(Eingabe!$F$16&gt;0,Eingabe!$E$16&gt;=32),Eingabe!$C$16&amp;"-Paz."&amp;TEXT(32,"000"),"")</f>
        <v/>
      </c>
      <c r="D1454" s="19" t="str">
        <f aca="false">IF(AND(Eingabe!$F$16&gt;0,Eingabe!$E$16&gt;=32),32,"")</f>
        <v/>
      </c>
      <c r="E1454" s="19" t="str">
        <f aca="false">IF(AND(Eingabe!$F$16&gt;0,Eingabe!$E$16&gt;=32),IF((Eingabe!$G$16)&lt;=9,1000+(Eingabe!$G$16)*100,3000)+32,"")</f>
        <v/>
      </c>
      <c r="F1454" s="19" t="str">
        <f aca="false">IF(AND(Eingabe!$F$16&gt;0,Eingabe!$E$16&gt;=32),"10."&amp;Eingabe!$D$16&amp;".32.0/24","")</f>
        <v/>
      </c>
      <c r="G1454" s="19" t="str">
        <f aca="false">IF(AND(Eingabe!$F$16&gt;0,Eingabe!$E$16&gt;=32),"10."&amp;Eingabe!$D$16&amp;".32.1","")</f>
        <v/>
      </c>
      <c r="H1454" s="19" t="str">
        <f aca="false">IF(AND(Eingabe!$F$16&gt;0,Eingabe!$E$16&gt;=32),"10."&amp;Eingabe!$D$16&amp;".32.10 – 10."&amp;Eingabe!$D$16&amp;".32.250","")</f>
        <v/>
      </c>
      <c r="I1454" s="19" t="str">
        <f aca="false">IF(AND(Eingabe!$F$16&gt;0,Eingabe!$E$16&gt;=32),Eingabe!$B$6&amp;"-"&amp;Eingabe!$C$16&amp;"-Pächter","")</f>
        <v/>
      </c>
      <c r="J1454" s="19" t="str">
        <f aca="false">IF(AND(Eingabe!$F$16&gt;0,Eingabe!$E$16&gt;=32),"PPSK: Passwort Parzelle 32","")</f>
        <v/>
      </c>
      <c r="K1454" s="19" t="str">
        <f aca="false">IF(AND(Eingabe!$F$16&gt;0,Eingabe!$E$16&gt;=32),"1. Gerät: 10."&amp;Eingabe!$D$16&amp;".32.10, 2. Gerät: .11","")</f>
        <v/>
      </c>
    </row>
    <row r="1455" customFormat="false" ht="15" hidden="false" customHeight="false" outlineLevel="0" collapsed="false">
      <c r="A1455" s="19" t="str">
        <f aca="false">IF(AND(Eingabe!$F$16&gt;0,Eingabe!$E$16&gt;=33),8,"")</f>
        <v/>
      </c>
      <c r="B1455" s="19" t="str">
        <f aca="false">IF(AND(Eingabe!$F$16&gt;0,Eingabe!$E$16&gt;=33),Eingabe!$B$16,"")</f>
        <v/>
      </c>
      <c r="C1455" s="19" t="str">
        <f aca="false">IF(AND(Eingabe!$F$16&gt;0,Eingabe!$E$16&gt;=33),Eingabe!$C$16&amp;"-Paz."&amp;TEXT(33,"000"),"")</f>
        <v/>
      </c>
      <c r="D1455" s="19" t="str">
        <f aca="false">IF(AND(Eingabe!$F$16&gt;0,Eingabe!$E$16&gt;=33),33,"")</f>
        <v/>
      </c>
      <c r="E1455" s="19" t="str">
        <f aca="false">IF(AND(Eingabe!$F$16&gt;0,Eingabe!$E$16&gt;=33),IF((Eingabe!$G$16)&lt;=9,1000+(Eingabe!$G$16)*100,3000)+33,"")</f>
        <v/>
      </c>
      <c r="F1455" s="19" t="str">
        <f aca="false">IF(AND(Eingabe!$F$16&gt;0,Eingabe!$E$16&gt;=33),"10."&amp;Eingabe!$D$16&amp;".33.0/24","")</f>
        <v/>
      </c>
      <c r="G1455" s="19" t="str">
        <f aca="false">IF(AND(Eingabe!$F$16&gt;0,Eingabe!$E$16&gt;=33),"10."&amp;Eingabe!$D$16&amp;".33.1","")</f>
        <v/>
      </c>
      <c r="H1455" s="19" t="str">
        <f aca="false">IF(AND(Eingabe!$F$16&gt;0,Eingabe!$E$16&gt;=33),"10."&amp;Eingabe!$D$16&amp;".33.10 – 10."&amp;Eingabe!$D$16&amp;".33.250","")</f>
        <v/>
      </c>
      <c r="I1455" s="19" t="str">
        <f aca="false">IF(AND(Eingabe!$F$16&gt;0,Eingabe!$E$16&gt;=33),Eingabe!$B$6&amp;"-"&amp;Eingabe!$C$16&amp;"-Pächter","")</f>
        <v/>
      </c>
      <c r="J1455" s="19" t="str">
        <f aca="false">IF(AND(Eingabe!$F$16&gt;0,Eingabe!$E$16&gt;=33),"PPSK: Passwort Parzelle 33","")</f>
        <v/>
      </c>
      <c r="K1455" s="19" t="str">
        <f aca="false">IF(AND(Eingabe!$F$16&gt;0,Eingabe!$E$16&gt;=33),"1. Gerät: 10."&amp;Eingabe!$D$16&amp;".33.10, 2. Gerät: .11","")</f>
        <v/>
      </c>
    </row>
    <row r="1456" customFormat="false" ht="15" hidden="false" customHeight="false" outlineLevel="0" collapsed="false">
      <c r="A1456" s="19" t="str">
        <f aca="false">IF(AND(Eingabe!$F$16&gt;0,Eingabe!$E$16&gt;=34),8,"")</f>
        <v/>
      </c>
      <c r="B1456" s="19" t="str">
        <f aca="false">IF(AND(Eingabe!$F$16&gt;0,Eingabe!$E$16&gt;=34),Eingabe!$B$16,"")</f>
        <v/>
      </c>
      <c r="C1456" s="19" t="str">
        <f aca="false">IF(AND(Eingabe!$F$16&gt;0,Eingabe!$E$16&gt;=34),Eingabe!$C$16&amp;"-Paz."&amp;TEXT(34,"000"),"")</f>
        <v/>
      </c>
      <c r="D1456" s="19" t="str">
        <f aca="false">IF(AND(Eingabe!$F$16&gt;0,Eingabe!$E$16&gt;=34),34,"")</f>
        <v/>
      </c>
      <c r="E1456" s="19" t="str">
        <f aca="false">IF(AND(Eingabe!$F$16&gt;0,Eingabe!$E$16&gt;=34),IF((Eingabe!$G$16)&lt;=9,1000+(Eingabe!$G$16)*100,3000)+34,"")</f>
        <v/>
      </c>
      <c r="F1456" s="19" t="str">
        <f aca="false">IF(AND(Eingabe!$F$16&gt;0,Eingabe!$E$16&gt;=34),"10."&amp;Eingabe!$D$16&amp;".34.0/24","")</f>
        <v/>
      </c>
      <c r="G1456" s="19" t="str">
        <f aca="false">IF(AND(Eingabe!$F$16&gt;0,Eingabe!$E$16&gt;=34),"10."&amp;Eingabe!$D$16&amp;".34.1","")</f>
        <v/>
      </c>
      <c r="H1456" s="19" t="str">
        <f aca="false">IF(AND(Eingabe!$F$16&gt;0,Eingabe!$E$16&gt;=34),"10."&amp;Eingabe!$D$16&amp;".34.10 – 10."&amp;Eingabe!$D$16&amp;".34.250","")</f>
        <v/>
      </c>
      <c r="I1456" s="19" t="str">
        <f aca="false">IF(AND(Eingabe!$F$16&gt;0,Eingabe!$E$16&gt;=34),Eingabe!$B$6&amp;"-"&amp;Eingabe!$C$16&amp;"-Pächter","")</f>
        <v/>
      </c>
      <c r="J1456" s="19" t="str">
        <f aca="false">IF(AND(Eingabe!$F$16&gt;0,Eingabe!$E$16&gt;=34),"PPSK: Passwort Parzelle 34","")</f>
        <v/>
      </c>
      <c r="K1456" s="19" t="str">
        <f aca="false">IF(AND(Eingabe!$F$16&gt;0,Eingabe!$E$16&gt;=34),"1. Gerät: 10."&amp;Eingabe!$D$16&amp;".34.10, 2. Gerät: .11","")</f>
        <v/>
      </c>
    </row>
    <row r="1457" customFormat="false" ht="15" hidden="false" customHeight="false" outlineLevel="0" collapsed="false">
      <c r="A1457" s="19" t="str">
        <f aca="false">IF(AND(Eingabe!$F$16&gt;0,Eingabe!$E$16&gt;=35),8,"")</f>
        <v/>
      </c>
      <c r="B1457" s="19" t="str">
        <f aca="false">IF(AND(Eingabe!$F$16&gt;0,Eingabe!$E$16&gt;=35),Eingabe!$B$16,"")</f>
        <v/>
      </c>
      <c r="C1457" s="19" t="str">
        <f aca="false">IF(AND(Eingabe!$F$16&gt;0,Eingabe!$E$16&gt;=35),Eingabe!$C$16&amp;"-Paz."&amp;TEXT(35,"000"),"")</f>
        <v/>
      </c>
      <c r="D1457" s="19" t="str">
        <f aca="false">IF(AND(Eingabe!$F$16&gt;0,Eingabe!$E$16&gt;=35),35,"")</f>
        <v/>
      </c>
      <c r="E1457" s="19" t="str">
        <f aca="false">IF(AND(Eingabe!$F$16&gt;0,Eingabe!$E$16&gt;=35),IF((Eingabe!$G$16)&lt;=9,1000+(Eingabe!$G$16)*100,3000)+35,"")</f>
        <v/>
      </c>
      <c r="F1457" s="19" t="str">
        <f aca="false">IF(AND(Eingabe!$F$16&gt;0,Eingabe!$E$16&gt;=35),"10."&amp;Eingabe!$D$16&amp;".35.0/24","")</f>
        <v/>
      </c>
      <c r="G1457" s="19" t="str">
        <f aca="false">IF(AND(Eingabe!$F$16&gt;0,Eingabe!$E$16&gt;=35),"10."&amp;Eingabe!$D$16&amp;".35.1","")</f>
        <v/>
      </c>
      <c r="H1457" s="19" t="str">
        <f aca="false">IF(AND(Eingabe!$F$16&gt;0,Eingabe!$E$16&gt;=35),"10."&amp;Eingabe!$D$16&amp;".35.10 – 10."&amp;Eingabe!$D$16&amp;".35.250","")</f>
        <v/>
      </c>
      <c r="I1457" s="19" t="str">
        <f aca="false">IF(AND(Eingabe!$F$16&gt;0,Eingabe!$E$16&gt;=35),Eingabe!$B$6&amp;"-"&amp;Eingabe!$C$16&amp;"-Pächter","")</f>
        <v/>
      </c>
      <c r="J1457" s="19" t="str">
        <f aca="false">IF(AND(Eingabe!$F$16&gt;0,Eingabe!$E$16&gt;=35),"PPSK: Passwort Parzelle 35","")</f>
        <v/>
      </c>
      <c r="K1457" s="19" t="str">
        <f aca="false">IF(AND(Eingabe!$F$16&gt;0,Eingabe!$E$16&gt;=35),"1. Gerät: 10."&amp;Eingabe!$D$16&amp;".35.10, 2. Gerät: .11","")</f>
        <v/>
      </c>
    </row>
    <row r="1458" customFormat="false" ht="15" hidden="false" customHeight="false" outlineLevel="0" collapsed="false">
      <c r="A1458" s="19" t="str">
        <f aca="false">IF(AND(Eingabe!$F$16&gt;0,Eingabe!$E$16&gt;=36),8,"")</f>
        <v/>
      </c>
      <c r="B1458" s="19" t="str">
        <f aca="false">IF(AND(Eingabe!$F$16&gt;0,Eingabe!$E$16&gt;=36),Eingabe!$B$16,"")</f>
        <v/>
      </c>
      <c r="C1458" s="19" t="str">
        <f aca="false">IF(AND(Eingabe!$F$16&gt;0,Eingabe!$E$16&gt;=36),Eingabe!$C$16&amp;"-Paz."&amp;TEXT(36,"000"),"")</f>
        <v/>
      </c>
      <c r="D1458" s="19" t="str">
        <f aca="false">IF(AND(Eingabe!$F$16&gt;0,Eingabe!$E$16&gt;=36),36,"")</f>
        <v/>
      </c>
      <c r="E1458" s="19" t="str">
        <f aca="false">IF(AND(Eingabe!$F$16&gt;0,Eingabe!$E$16&gt;=36),IF((Eingabe!$G$16)&lt;=9,1000+(Eingabe!$G$16)*100,3000)+36,"")</f>
        <v/>
      </c>
      <c r="F1458" s="19" t="str">
        <f aca="false">IF(AND(Eingabe!$F$16&gt;0,Eingabe!$E$16&gt;=36),"10."&amp;Eingabe!$D$16&amp;".36.0/24","")</f>
        <v/>
      </c>
      <c r="G1458" s="19" t="str">
        <f aca="false">IF(AND(Eingabe!$F$16&gt;0,Eingabe!$E$16&gt;=36),"10."&amp;Eingabe!$D$16&amp;".36.1","")</f>
        <v/>
      </c>
      <c r="H1458" s="19" t="str">
        <f aca="false">IF(AND(Eingabe!$F$16&gt;0,Eingabe!$E$16&gt;=36),"10."&amp;Eingabe!$D$16&amp;".36.10 – 10."&amp;Eingabe!$D$16&amp;".36.250","")</f>
        <v/>
      </c>
      <c r="I1458" s="19" t="str">
        <f aca="false">IF(AND(Eingabe!$F$16&gt;0,Eingabe!$E$16&gt;=36),Eingabe!$B$6&amp;"-"&amp;Eingabe!$C$16&amp;"-Pächter","")</f>
        <v/>
      </c>
      <c r="J1458" s="19" t="str">
        <f aca="false">IF(AND(Eingabe!$F$16&gt;0,Eingabe!$E$16&gt;=36),"PPSK: Passwort Parzelle 36","")</f>
        <v/>
      </c>
      <c r="K1458" s="19" t="str">
        <f aca="false">IF(AND(Eingabe!$F$16&gt;0,Eingabe!$E$16&gt;=36),"1. Gerät: 10."&amp;Eingabe!$D$16&amp;".36.10, 2. Gerät: .11","")</f>
        <v/>
      </c>
    </row>
    <row r="1459" customFormat="false" ht="15" hidden="false" customHeight="false" outlineLevel="0" collapsed="false">
      <c r="A1459" s="19" t="str">
        <f aca="false">IF(AND(Eingabe!$F$16&gt;0,Eingabe!$E$16&gt;=37),8,"")</f>
        <v/>
      </c>
      <c r="B1459" s="19" t="str">
        <f aca="false">IF(AND(Eingabe!$F$16&gt;0,Eingabe!$E$16&gt;=37),Eingabe!$B$16,"")</f>
        <v/>
      </c>
      <c r="C1459" s="19" t="str">
        <f aca="false">IF(AND(Eingabe!$F$16&gt;0,Eingabe!$E$16&gt;=37),Eingabe!$C$16&amp;"-Paz."&amp;TEXT(37,"000"),"")</f>
        <v/>
      </c>
      <c r="D1459" s="19" t="str">
        <f aca="false">IF(AND(Eingabe!$F$16&gt;0,Eingabe!$E$16&gt;=37),37,"")</f>
        <v/>
      </c>
      <c r="E1459" s="19" t="str">
        <f aca="false">IF(AND(Eingabe!$F$16&gt;0,Eingabe!$E$16&gt;=37),IF((Eingabe!$G$16)&lt;=9,1000+(Eingabe!$G$16)*100,3000)+37,"")</f>
        <v/>
      </c>
      <c r="F1459" s="19" t="str">
        <f aca="false">IF(AND(Eingabe!$F$16&gt;0,Eingabe!$E$16&gt;=37),"10."&amp;Eingabe!$D$16&amp;".37.0/24","")</f>
        <v/>
      </c>
      <c r="G1459" s="19" t="str">
        <f aca="false">IF(AND(Eingabe!$F$16&gt;0,Eingabe!$E$16&gt;=37),"10."&amp;Eingabe!$D$16&amp;".37.1","")</f>
        <v/>
      </c>
      <c r="H1459" s="19" t="str">
        <f aca="false">IF(AND(Eingabe!$F$16&gt;0,Eingabe!$E$16&gt;=37),"10."&amp;Eingabe!$D$16&amp;".37.10 – 10."&amp;Eingabe!$D$16&amp;".37.250","")</f>
        <v/>
      </c>
      <c r="I1459" s="19" t="str">
        <f aca="false">IF(AND(Eingabe!$F$16&gt;0,Eingabe!$E$16&gt;=37),Eingabe!$B$6&amp;"-"&amp;Eingabe!$C$16&amp;"-Pächter","")</f>
        <v/>
      </c>
      <c r="J1459" s="19" t="str">
        <f aca="false">IF(AND(Eingabe!$F$16&gt;0,Eingabe!$E$16&gt;=37),"PPSK: Passwort Parzelle 37","")</f>
        <v/>
      </c>
      <c r="K1459" s="19" t="str">
        <f aca="false">IF(AND(Eingabe!$F$16&gt;0,Eingabe!$E$16&gt;=37),"1. Gerät: 10."&amp;Eingabe!$D$16&amp;".37.10, 2. Gerät: .11","")</f>
        <v/>
      </c>
    </row>
    <row r="1460" customFormat="false" ht="15" hidden="false" customHeight="false" outlineLevel="0" collapsed="false">
      <c r="A1460" s="19" t="str">
        <f aca="false">IF(AND(Eingabe!$F$16&gt;0,Eingabe!$E$16&gt;=38),8,"")</f>
        <v/>
      </c>
      <c r="B1460" s="19" t="str">
        <f aca="false">IF(AND(Eingabe!$F$16&gt;0,Eingabe!$E$16&gt;=38),Eingabe!$B$16,"")</f>
        <v/>
      </c>
      <c r="C1460" s="19" t="str">
        <f aca="false">IF(AND(Eingabe!$F$16&gt;0,Eingabe!$E$16&gt;=38),Eingabe!$C$16&amp;"-Paz."&amp;TEXT(38,"000"),"")</f>
        <v/>
      </c>
      <c r="D1460" s="19" t="str">
        <f aca="false">IF(AND(Eingabe!$F$16&gt;0,Eingabe!$E$16&gt;=38),38,"")</f>
        <v/>
      </c>
      <c r="E1460" s="19" t="str">
        <f aca="false">IF(AND(Eingabe!$F$16&gt;0,Eingabe!$E$16&gt;=38),IF((Eingabe!$G$16)&lt;=9,1000+(Eingabe!$G$16)*100,3000)+38,"")</f>
        <v/>
      </c>
      <c r="F1460" s="19" t="str">
        <f aca="false">IF(AND(Eingabe!$F$16&gt;0,Eingabe!$E$16&gt;=38),"10."&amp;Eingabe!$D$16&amp;".38.0/24","")</f>
        <v/>
      </c>
      <c r="G1460" s="19" t="str">
        <f aca="false">IF(AND(Eingabe!$F$16&gt;0,Eingabe!$E$16&gt;=38),"10."&amp;Eingabe!$D$16&amp;".38.1","")</f>
        <v/>
      </c>
      <c r="H1460" s="19" t="str">
        <f aca="false">IF(AND(Eingabe!$F$16&gt;0,Eingabe!$E$16&gt;=38),"10."&amp;Eingabe!$D$16&amp;".38.10 – 10."&amp;Eingabe!$D$16&amp;".38.250","")</f>
        <v/>
      </c>
      <c r="I1460" s="19" t="str">
        <f aca="false">IF(AND(Eingabe!$F$16&gt;0,Eingabe!$E$16&gt;=38),Eingabe!$B$6&amp;"-"&amp;Eingabe!$C$16&amp;"-Pächter","")</f>
        <v/>
      </c>
      <c r="J1460" s="19" t="str">
        <f aca="false">IF(AND(Eingabe!$F$16&gt;0,Eingabe!$E$16&gt;=38),"PPSK: Passwort Parzelle 38","")</f>
        <v/>
      </c>
      <c r="K1460" s="19" t="str">
        <f aca="false">IF(AND(Eingabe!$F$16&gt;0,Eingabe!$E$16&gt;=38),"1. Gerät: 10."&amp;Eingabe!$D$16&amp;".38.10, 2. Gerät: .11","")</f>
        <v/>
      </c>
    </row>
    <row r="1461" customFormat="false" ht="15" hidden="false" customHeight="false" outlineLevel="0" collapsed="false">
      <c r="A1461" s="19" t="str">
        <f aca="false">IF(AND(Eingabe!$F$16&gt;0,Eingabe!$E$16&gt;=39),8,"")</f>
        <v/>
      </c>
      <c r="B1461" s="19" t="str">
        <f aca="false">IF(AND(Eingabe!$F$16&gt;0,Eingabe!$E$16&gt;=39),Eingabe!$B$16,"")</f>
        <v/>
      </c>
      <c r="C1461" s="19" t="str">
        <f aca="false">IF(AND(Eingabe!$F$16&gt;0,Eingabe!$E$16&gt;=39),Eingabe!$C$16&amp;"-Paz."&amp;TEXT(39,"000"),"")</f>
        <v/>
      </c>
      <c r="D1461" s="19" t="str">
        <f aca="false">IF(AND(Eingabe!$F$16&gt;0,Eingabe!$E$16&gt;=39),39,"")</f>
        <v/>
      </c>
      <c r="E1461" s="19" t="str">
        <f aca="false">IF(AND(Eingabe!$F$16&gt;0,Eingabe!$E$16&gt;=39),IF((Eingabe!$G$16)&lt;=9,1000+(Eingabe!$G$16)*100,3000)+39,"")</f>
        <v/>
      </c>
      <c r="F1461" s="19" t="str">
        <f aca="false">IF(AND(Eingabe!$F$16&gt;0,Eingabe!$E$16&gt;=39),"10."&amp;Eingabe!$D$16&amp;".39.0/24","")</f>
        <v/>
      </c>
      <c r="G1461" s="19" t="str">
        <f aca="false">IF(AND(Eingabe!$F$16&gt;0,Eingabe!$E$16&gt;=39),"10."&amp;Eingabe!$D$16&amp;".39.1","")</f>
        <v/>
      </c>
      <c r="H1461" s="19" t="str">
        <f aca="false">IF(AND(Eingabe!$F$16&gt;0,Eingabe!$E$16&gt;=39),"10."&amp;Eingabe!$D$16&amp;".39.10 – 10."&amp;Eingabe!$D$16&amp;".39.250","")</f>
        <v/>
      </c>
      <c r="I1461" s="19" t="str">
        <f aca="false">IF(AND(Eingabe!$F$16&gt;0,Eingabe!$E$16&gt;=39),Eingabe!$B$6&amp;"-"&amp;Eingabe!$C$16&amp;"-Pächter","")</f>
        <v/>
      </c>
      <c r="J1461" s="19" t="str">
        <f aca="false">IF(AND(Eingabe!$F$16&gt;0,Eingabe!$E$16&gt;=39),"PPSK: Passwort Parzelle 39","")</f>
        <v/>
      </c>
      <c r="K1461" s="19" t="str">
        <f aca="false">IF(AND(Eingabe!$F$16&gt;0,Eingabe!$E$16&gt;=39),"1. Gerät: 10."&amp;Eingabe!$D$16&amp;".39.10, 2. Gerät: .11","")</f>
        <v/>
      </c>
    </row>
    <row r="1462" customFormat="false" ht="15" hidden="false" customHeight="false" outlineLevel="0" collapsed="false">
      <c r="A1462" s="19" t="str">
        <f aca="false">IF(AND(Eingabe!$F$16&gt;0,Eingabe!$E$16&gt;=40),8,"")</f>
        <v/>
      </c>
      <c r="B1462" s="19" t="str">
        <f aca="false">IF(AND(Eingabe!$F$16&gt;0,Eingabe!$E$16&gt;=40),Eingabe!$B$16,"")</f>
        <v/>
      </c>
      <c r="C1462" s="19" t="str">
        <f aca="false">IF(AND(Eingabe!$F$16&gt;0,Eingabe!$E$16&gt;=40),Eingabe!$C$16&amp;"-Paz."&amp;TEXT(40,"000"),"")</f>
        <v/>
      </c>
      <c r="D1462" s="19" t="str">
        <f aca="false">IF(AND(Eingabe!$F$16&gt;0,Eingabe!$E$16&gt;=40),40,"")</f>
        <v/>
      </c>
      <c r="E1462" s="19" t="str">
        <f aca="false">IF(AND(Eingabe!$F$16&gt;0,Eingabe!$E$16&gt;=40),IF((Eingabe!$G$16)&lt;=9,1000+(Eingabe!$G$16)*100,3000)+40,"")</f>
        <v/>
      </c>
      <c r="F1462" s="19" t="str">
        <f aca="false">IF(AND(Eingabe!$F$16&gt;0,Eingabe!$E$16&gt;=40),"10."&amp;Eingabe!$D$16&amp;".40.0/24","")</f>
        <v/>
      </c>
      <c r="G1462" s="19" t="str">
        <f aca="false">IF(AND(Eingabe!$F$16&gt;0,Eingabe!$E$16&gt;=40),"10."&amp;Eingabe!$D$16&amp;".40.1","")</f>
        <v/>
      </c>
      <c r="H1462" s="19" t="str">
        <f aca="false">IF(AND(Eingabe!$F$16&gt;0,Eingabe!$E$16&gt;=40),"10."&amp;Eingabe!$D$16&amp;".40.10 – 10."&amp;Eingabe!$D$16&amp;".40.250","")</f>
        <v/>
      </c>
      <c r="I1462" s="19" t="str">
        <f aca="false">IF(AND(Eingabe!$F$16&gt;0,Eingabe!$E$16&gt;=40),Eingabe!$B$6&amp;"-"&amp;Eingabe!$C$16&amp;"-Pächter","")</f>
        <v/>
      </c>
      <c r="J1462" s="19" t="str">
        <f aca="false">IF(AND(Eingabe!$F$16&gt;0,Eingabe!$E$16&gt;=40),"PPSK: Passwort Parzelle 40","")</f>
        <v/>
      </c>
      <c r="K1462" s="19" t="str">
        <f aca="false">IF(AND(Eingabe!$F$16&gt;0,Eingabe!$E$16&gt;=40),"1. Gerät: 10."&amp;Eingabe!$D$16&amp;".40.10, 2. Gerät: .11","")</f>
        <v/>
      </c>
    </row>
    <row r="1463" customFormat="false" ht="15" hidden="false" customHeight="false" outlineLevel="0" collapsed="false">
      <c r="A1463" s="19" t="str">
        <f aca="false">IF(AND(Eingabe!$F$16&gt;0,Eingabe!$E$16&gt;=41),8,"")</f>
        <v/>
      </c>
      <c r="B1463" s="19" t="str">
        <f aca="false">IF(AND(Eingabe!$F$16&gt;0,Eingabe!$E$16&gt;=41),Eingabe!$B$16,"")</f>
        <v/>
      </c>
      <c r="C1463" s="19" t="str">
        <f aca="false">IF(AND(Eingabe!$F$16&gt;0,Eingabe!$E$16&gt;=41),Eingabe!$C$16&amp;"-Paz."&amp;TEXT(41,"000"),"")</f>
        <v/>
      </c>
      <c r="D1463" s="19" t="str">
        <f aca="false">IF(AND(Eingabe!$F$16&gt;0,Eingabe!$E$16&gt;=41),41,"")</f>
        <v/>
      </c>
      <c r="E1463" s="19" t="str">
        <f aca="false">IF(AND(Eingabe!$F$16&gt;0,Eingabe!$E$16&gt;=41),IF((Eingabe!$G$16)&lt;=9,1000+(Eingabe!$G$16)*100,3000)+41,"")</f>
        <v/>
      </c>
      <c r="F1463" s="19" t="str">
        <f aca="false">IF(AND(Eingabe!$F$16&gt;0,Eingabe!$E$16&gt;=41),"10."&amp;Eingabe!$D$16&amp;".41.0/24","")</f>
        <v/>
      </c>
      <c r="G1463" s="19" t="str">
        <f aca="false">IF(AND(Eingabe!$F$16&gt;0,Eingabe!$E$16&gt;=41),"10."&amp;Eingabe!$D$16&amp;".41.1","")</f>
        <v/>
      </c>
      <c r="H1463" s="19" t="str">
        <f aca="false">IF(AND(Eingabe!$F$16&gt;0,Eingabe!$E$16&gt;=41),"10."&amp;Eingabe!$D$16&amp;".41.10 – 10."&amp;Eingabe!$D$16&amp;".41.250","")</f>
        <v/>
      </c>
      <c r="I1463" s="19" t="str">
        <f aca="false">IF(AND(Eingabe!$F$16&gt;0,Eingabe!$E$16&gt;=41),Eingabe!$B$6&amp;"-"&amp;Eingabe!$C$16&amp;"-Pächter","")</f>
        <v/>
      </c>
      <c r="J1463" s="19" t="str">
        <f aca="false">IF(AND(Eingabe!$F$16&gt;0,Eingabe!$E$16&gt;=41),"PPSK: Passwort Parzelle 41","")</f>
        <v/>
      </c>
      <c r="K1463" s="19" t="str">
        <f aca="false">IF(AND(Eingabe!$F$16&gt;0,Eingabe!$E$16&gt;=41),"1. Gerät: 10."&amp;Eingabe!$D$16&amp;".41.10, 2. Gerät: .11","")</f>
        <v/>
      </c>
    </row>
    <row r="1464" customFormat="false" ht="15" hidden="false" customHeight="false" outlineLevel="0" collapsed="false">
      <c r="A1464" s="19" t="str">
        <f aca="false">IF(AND(Eingabe!$F$16&gt;0,Eingabe!$E$16&gt;=42),8,"")</f>
        <v/>
      </c>
      <c r="B1464" s="19" t="str">
        <f aca="false">IF(AND(Eingabe!$F$16&gt;0,Eingabe!$E$16&gt;=42),Eingabe!$B$16,"")</f>
        <v/>
      </c>
      <c r="C1464" s="19" t="str">
        <f aca="false">IF(AND(Eingabe!$F$16&gt;0,Eingabe!$E$16&gt;=42),Eingabe!$C$16&amp;"-Paz."&amp;TEXT(42,"000"),"")</f>
        <v/>
      </c>
      <c r="D1464" s="19" t="str">
        <f aca="false">IF(AND(Eingabe!$F$16&gt;0,Eingabe!$E$16&gt;=42),42,"")</f>
        <v/>
      </c>
      <c r="E1464" s="19" t="str">
        <f aca="false">IF(AND(Eingabe!$F$16&gt;0,Eingabe!$E$16&gt;=42),IF((Eingabe!$G$16)&lt;=9,1000+(Eingabe!$G$16)*100,3000)+42,"")</f>
        <v/>
      </c>
      <c r="F1464" s="19" t="str">
        <f aca="false">IF(AND(Eingabe!$F$16&gt;0,Eingabe!$E$16&gt;=42),"10."&amp;Eingabe!$D$16&amp;".42.0/24","")</f>
        <v/>
      </c>
      <c r="G1464" s="19" t="str">
        <f aca="false">IF(AND(Eingabe!$F$16&gt;0,Eingabe!$E$16&gt;=42),"10."&amp;Eingabe!$D$16&amp;".42.1","")</f>
        <v/>
      </c>
      <c r="H1464" s="19" t="str">
        <f aca="false">IF(AND(Eingabe!$F$16&gt;0,Eingabe!$E$16&gt;=42),"10."&amp;Eingabe!$D$16&amp;".42.10 – 10."&amp;Eingabe!$D$16&amp;".42.250","")</f>
        <v/>
      </c>
      <c r="I1464" s="19" t="str">
        <f aca="false">IF(AND(Eingabe!$F$16&gt;0,Eingabe!$E$16&gt;=42),Eingabe!$B$6&amp;"-"&amp;Eingabe!$C$16&amp;"-Pächter","")</f>
        <v/>
      </c>
      <c r="J1464" s="19" t="str">
        <f aca="false">IF(AND(Eingabe!$F$16&gt;0,Eingabe!$E$16&gt;=42),"PPSK: Passwort Parzelle 42","")</f>
        <v/>
      </c>
      <c r="K1464" s="19" t="str">
        <f aca="false">IF(AND(Eingabe!$F$16&gt;0,Eingabe!$E$16&gt;=42),"1. Gerät: 10."&amp;Eingabe!$D$16&amp;".42.10, 2. Gerät: .11","")</f>
        <v/>
      </c>
    </row>
    <row r="1465" customFormat="false" ht="15" hidden="false" customHeight="false" outlineLevel="0" collapsed="false">
      <c r="A1465" s="19" t="str">
        <f aca="false">IF(AND(Eingabe!$F$16&gt;0,Eingabe!$E$16&gt;=43),8,"")</f>
        <v/>
      </c>
      <c r="B1465" s="19" t="str">
        <f aca="false">IF(AND(Eingabe!$F$16&gt;0,Eingabe!$E$16&gt;=43),Eingabe!$B$16,"")</f>
        <v/>
      </c>
      <c r="C1465" s="19" t="str">
        <f aca="false">IF(AND(Eingabe!$F$16&gt;0,Eingabe!$E$16&gt;=43),Eingabe!$C$16&amp;"-Paz."&amp;TEXT(43,"000"),"")</f>
        <v/>
      </c>
      <c r="D1465" s="19" t="str">
        <f aca="false">IF(AND(Eingabe!$F$16&gt;0,Eingabe!$E$16&gt;=43),43,"")</f>
        <v/>
      </c>
      <c r="E1465" s="19" t="str">
        <f aca="false">IF(AND(Eingabe!$F$16&gt;0,Eingabe!$E$16&gt;=43),IF((Eingabe!$G$16)&lt;=9,1000+(Eingabe!$G$16)*100,3000)+43,"")</f>
        <v/>
      </c>
      <c r="F1465" s="19" t="str">
        <f aca="false">IF(AND(Eingabe!$F$16&gt;0,Eingabe!$E$16&gt;=43),"10."&amp;Eingabe!$D$16&amp;".43.0/24","")</f>
        <v/>
      </c>
      <c r="G1465" s="19" t="str">
        <f aca="false">IF(AND(Eingabe!$F$16&gt;0,Eingabe!$E$16&gt;=43),"10."&amp;Eingabe!$D$16&amp;".43.1","")</f>
        <v/>
      </c>
      <c r="H1465" s="19" t="str">
        <f aca="false">IF(AND(Eingabe!$F$16&gt;0,Eingabe!$E$16&gt;=43),"10."&amp;Eingabe!$D$16&amp;".43.10 – 10."&amp;Eingabe!$D$16&amp;".43.250","")</f>
        <v/>
      </c>
      <c r="I1465" s="19" t="str">
        <f aca="false">IF(AND(Eingabe!$F$16&gt;0,Eingabe!$E$16&gt;=43),Eingabe!$B$6&amp;"-"&amp;Eingabe!$C$16&amp;"-Pächter","")</f>
        <v/>
      </c>
      <c r="J1465" s="19" t="str">
        <f aca="false">IF(AND(Eingabe!$F$16&gt;0,Eingabe!$E$16&gt;=43),"PPSK: Passwort Parzelle 43","")</f>
        <v/>
      </c>
      <c r="K1465" s="19" t="str">
        <f aca="false">IF(AND(Eingabe!$F$16&gt;0,Eingabe!$E$16&gt;=43),"1. Gerät: 10."&amp;Eingabe!$D$16&amp;".43.10, 2. Gerät: .11","")</f>
        <v/>
      </c>
    </row>
    <row r="1466" customFormat="false" ht="15" hidden="false" customHeight="false" outlineLevel="0" collapsed="false">
      <c r="A1466" s="19" t="str">
        <f aca="false">IF(AND(Eingabe!$F$16&gt;0,Eingabe!$E$16&gt;=44),8,"")</f>
        <v/>
      </c>
      <c r="B1466" s="19" t="str">
        <f aca="false">IF(AND(Eingabe!$F$16&gt;0,Eingabe!$E$16&gt;=44),Eingabe!$B$16,"")</f>
        <v/>
      </c>
      <c r="C1466" s="19" t="str">
        <f aca="false">IF(AND(Eingabe!$F$16&gt;0,Eingabe!$E$16&gt;=44),Eingabe!$C$16&amp;"-Paz."&amp;TEXT(44,"000"),"")</f>
        <v/>
      </c>
      <c r="D1466" s="19" t="str">
        <f aca="false">IF(AND(Eingabe!$F$16&gt;0,Eingabe!$E$16&gt;=44),44,"")</f>
        <v/>
      </c>
      <c r="E1466" s="19" t="str">
        <f aca="false">IF(AND(Eingabe!$F$16&gt;0,Eingabe!$E$16&gt;=44),IF((Eingabe!$G$16)&lt;=9,1000+(Eingabe!$G$16)*100,3000)+44,"")</f>
        <v/>
      </c>
      <c r="F1466" s="19" t="str">
        <f aca="false">IF(AND(Eingabe!$F$16&gt;0,Eingabe!$E$16&gt;=44),"10."&amp;Eingabe!$D$16&amp;".44.0/24","")</f>
        <v/>
      </c>
      <c r="G1466" s="19" t="str">
        <f aca="false">IF(AND(Eingabe!$F$16&gt;0,Eingabe!$E$16&gt;=44),"10."&amp;Eingabe!$D$16&amp;".44.1","")</f>
        <v/>
      </c>
      <c r="H1466" s="19" t="str">
        <f aca="false">IF(AND(Eingabe!$F$16&gt;0,Eingabe!$E$16&gt;=44),"10."&amp;Eingabe!$D$16&amp;".44.10 – 10."&amp;Eingabe!$D$16&amp;".44.250","")</f>
        <v/>
      </c>
      <c r="I1466" s="19" t="str">
        <f aca="false">IF(AND(Eingabe!$F$16&gt;0,Eingabe!$E$16&gt;=44),Eingabe!$B$6&amp;"-"&amp;Eingabe!$C$16&amp;"-Pächter","")</f>
        <v/>
      </c>
      <c r="J1466" s="19" t="str">
        <f aca="false">IF(AND(Eingabe!$F$16&gt;0,Eingabe!$E$16&gt;=44),"PPSK: Passwort Parzelle 44","")</f>
        <v/>
      </c>
      <c r="K1466" s="19" t="str">
        <f aca="false">IF(AND(Eingabe!$F$16&gt;0,Eingabe!$E$16&gt;=44),"1. Gerät: 10."&amp;Eingabe!$D$16&amp;".44.10, 2. Gerät: .11","")</f>
        <v/>
      </c>
    </row>
    <row r="1467" customFormat="false" ht="15" hidden="false" customHeight="false" outlineLevel="0" collapsed="false">
      <c r="A1467" s="19" t="str">
        <f aca="false">IF(AND(Eingabe!$F$16&gt;0,Eingabe!$E$16&gt;=45),8,"")</f>
        <v/>
      </c>
      <c r="B1467" s="19" t="str">
        <f aca="false">IF(AND(Eingabe!$F$16&gt;0,Eingabe!$E$16&gt;=45),Eingabe!$B$16,"")</f>
        <v/>
      </c>
      <c r="C1467" s="19" t="str">
        <f aca="false">IF(AND(Eingabe!$F$16&gt;0,Eingabe!$E$16&gt;=45),Eingabe!$C$16&amp;"-Paz."&amp;TEXT(45,"000"),"")</f>
        <v/>
      </c>
      <c r="D1467" s="19" t="str">
        <f aca="false">IF(AND(Eingabe!$F$16&gt;0,Eingabe!$E$16&gt;=45),45,"")</f>
        <v/>
      </c>
      <c r="E1467" s="19" t="str">
        <f aca="false">IF(AND(Eingabe!$F$16&gt;0,Eingabe!$E$16&gt;=45),IF((Eingabe!$G$16)&lt;=9,1000+(Eingabe!$G$16)*100,3000)+45,"")</f>
        <v/>
      </c>
      <c r="F1467" s="19" t="str">
        <f aca="false">IF(AND(Eingabe!$F$16&gt;0,Eingabe!$E$16&gt;=45),"10."&amp;Eingabe!$D$16&amp;".45.0/24","")</f>
        <v/>
      </c>
      <c r="G1467" s="19" t="str">
        <f aca="false">IF(AND(Eingabe!$F$16&gt;0,Eingabe!$E$16&gt;=45),"10."&amp;Eingabe!$D$16&amp;".45.1","")</f>
        <v/>
      </c>
      <c r="H1467" s="19" t="str">
        <f aca="false">IF(AND(Eingabe!$F$16&gt;0,Eingabe!$E$16&gt;=45),"10."&amp;Eingabe!$D$16&amp;".45.10 – 10."&amp;Eingabe!$D$16&amp;".45.250","")</f>
        <v/>
      </c>
      <c r="I1467" s="19" t="str">
        <f aca="false">IF(AND(Eingabe!$F$16&gt;0,Eingabe!$E$16&gt;=45),Eingabe!$B$6&amp;"-"&amp;Eingabe!$C$16&amp;"-Pächter","")</f>
        <v/>
      </c>
      <c r="J1467" s="19" t="str">
        <f aca="false">IF(AND(Eingabe!$F$16&gt;0,Eingabe!$E$16&gt;=45),"PPSK: Passwort Parzelle 45","")</f>
        <v/>
      </c>
      <c r="K1467" s="19" t="str">
        <f aca="false">IF(AND(Eingabe!$F$16&gt;0,Eingabe!$E$16&gt;=45),"1. Gerät: 10."&amp;Eingabe!$D$16&amp;".45.10, 2. Gerät: .11","")</f>
        <v/>
      </c>
    </row>
    <row r="1468" customFormat="false" ht="15" hidden="false" customHeight="false" outlineLevel="0" collapsed="false">
      <c r="A1468" s="19" t="str">
        <f aca="false">IF(AND(Eingabe!$F$16&gt;0,Eingabe!$E$16&gt;=46),8,"")</f>
        <v/>
      </c>
      <c r="B1468" s="19" t="str">
        <f aca="false">IF(AND(Eingabe!$F$16&gt;0,Eingabe!$E$16&gt;=46),Eingabe!$B$16,"")</f>
        <v/>
      </c>
      <c r="C1468" s="19" t="str">
        <f aca="false">IF(AND(Eingabe!$F$16&gt;0,Eingabe!$E$16&gt;=46),Eingabe!$C$16&amp;"-Paz."&amp;TEXT(46,"000"),"")</f>
        <v/>
      </c>
      <c r="D1468" s="19" t="str">
        <f aca="false">IF(AND(Eingabe!$F$16&gt;0,Eingabe!$E$16&gt;=46),46,"")</f>
        <v/>
      </c>
      <c r="E1468" s="19" t="str">
        <f aca="false">IF(AND(Eingabe!$F$16&gt;0,Eingabe!$E$16&gt;=46),IF((Eingabe!$G$16)&lt;=9,1000+(Eingabe!$G$16)*100,3000)+46,"")</f>
        <v/>
      </c>
      <c r="F1468" s="19" t="str">
        <f aca="false">IF(AND(Eingabe!$F$16&gt;0,Eingabe!$E$16&gt;=46),"10."&amp;Eingabe!$D$16&amp;".46.0/24","")</f>
        <v/>
      </c>
      <c r="G1468" s="19" t="str">
        <f aca="false">IF(AND(Eingabe!$F$16&gt;0,Eingabe!$E$16&gt;=46),"10."&amp;Eingabe!$D$16&amp;".46.1","")</f>
        <v/>
      </c>
      <c r="H1468" s="19" t="str">
        <f aca="false">IF(AND(Eingabe!$F$16&gt;0,Eingabe!$E$16&gt;=46),"10."&amp;Eingabe!$D$16&amp;".46.10 – 10."&amp;Eingabe!$D$16&amp;".46.250","")</f>
        <v/>
      </c>
      <c r="I1468" s="19" t="str">
        <f aca="false">IF(AND(Eingabe!$F$16&gt;0,Eingabe!$E$16&gt;=46),Eingabe!$B$6&amp;"-"&amp;Eingabe!$C$16&amp;"-Pächter","")</f>
        <v/>
      </c>
      <c r="J1468" s="19" t="str">
        <f aca="false">IF(AND(Eingabe!$F$16&gt;0,Eingabe!$E$16&gt;=46),"PPSK: Passwort Parzelle 46","")</f>
        <v/>
      </c>
      <c r="K1468" s="19" t="str">
        <f aca="false">IF(AND(Eingabe!$F$16&gt;0,Eingabe!$E$16&gt;=46),"1. Gerät: 10."&amp;Eingabe!$D$16&amp;".46.10, 2. Gerät: .11","")</f>
        <v/>
      </c>
    </row>
    <row r="1469" customFormat="false" ht="15" hidden="false" customHeight="false" outlineLevel="0" collapsed="false">
      <c r="A1469" s="19" t="str">
        <f aca="false">IF(AND(Eingabe!$F$16&gt;0,Eingabe!$E$16&gt;=47),8,"")</f>
        <v/>
      </c>
      <c r="B1469" s="19" t="str">
        <f aca="false">IF(AND(Eingabe!$F$16&gt;0,Eingabe!$E$16&gt;=47),Eingabe!$B$16,"")</f>
        <v/>
      </c>
      <c r="C1469" s="19" t="str">
        <f aca="false">IF(AND(Eingabe!$F$16&gt;0,Eingabe!$E$16&gt;=47),Eingabe!$C$16&amp;"-Paz."&amp;TEXT(47,"000"),"")</f>
        <v/>
      </c>
      <c r="D1469" s="19" t="str">
        <f aca="false">IF(AND(Eingabe!$F$16&gt;0,Eingabe!$E$16&gt;=47),47,"")</f>
        <v/>
      </c>
      <c r="E1469" s="19" t="str">
        <f aca="false">IF(AND(Eingabe!$F$16&gt;0,Eingabe!$E$16&gt;=47),IF((Eingabe!$G$16)&lt;=9,1000+(Eingabe!$G$16)*100,3000)+47,"")</f>
        <v/>
      </c>
      <c r="F1469" s="19" t="str">
        <f aca="false">IF(AND(Eingabe!$F$16&gt;0,Eingabe!$E$16&gt;=47),"10."&amp;Eingabe!$D$16&amp;".47.0/24","")</f>
        <v/>
      </c>
      <c r="G1469" s="19" t="str">
        <f aca="false">IF(AND(Eingabe!$F$16&gt;0,Eingabe!$E$16&gt;=47),"10."&amp;Eingabe!$D$16&amp;".47.1","")</f>
        <v/>
      </c>
      <c r="H1469" s="19" t="str">
        <f aca="false">IF(AND(Eingabe!$F$16&gt;0,Eingabe!$E$16&gt;=47),"10."&amp;Eingabe!$D$16&amp;".47.10 – 10."&amp;Eingabe!$D$16&amp;".47.250","")</f>
        <v/>
      </c>
      <c r="I1469" s="19" t="str">
        <f aca="false">IF(AND(Eingabe!$F$16&gt;0,Eingabe!$E$16&gt;=47),Eingabe!$B$6&amp;"-"&amp;Eingabe!$C$16&amp;"-Pächter","")</f>
        <v/>
      </c>
      <c r="J1469" s="19" t="str">
        <f aca="false">IF(AND(Eingabe!$F$16&gt;0,Eingabe!$E$16&gt;=47),"PPSK: Passwort Parzelle 47","")</f>
        <v/>
      </c>
      <c r="K1469" s="19" t="str">
        <f aca="false">IF(AND(Eingabe!$F$16&gt;0,Eingabe!$E$16&gt;=47),"1. Gerät: 10."&amp;Eingabe!$D$16&amp;".47.10, 2. Gerät: .11","")</f>
        <v/>
      </c>
    </row>
    <row r="1470" customFormat="false" ht="15" hidden="false" customHeight="false" outlineLevel="0" collapsed="false">
      <c r="A1470" s="19" t="str">
        <f aca="false">IF(AND(Eingabe!$F$16&gt;0,Eingabe!$E$16&gt;=48),8,"")</f>
        <v/>
      </c>
      <c r="B1470" s="19" t="str">
        <f aca="false">IF(AND(Eingabe!$F$16&gt;0,Eingabe!$E$16&gt;=48),Eingabe!$B$16,"")</f>
        <v/>
      </c>
      <c r="C1470" s="19" t="str">
        <f aca="false">IF(AND(Eingabe!$F$16&gt;0,Eingabe!$E$16&gt;=48),Eingabe!$C$16&amp;"-Paz."&amp;TEXT(48,"000"),"")</f>
        <v/>
      </c>
      <c r="D1470" s="19" t="str">
        <f aca="false">IF(AND(Eingabe!$F$16&gt;0,Eingabe!$E$16&gt;=48),48,"")</f>
        <v/>
      </c>
      <c r="E1470" s="19" t="str">
        <f aca="false">IF(AND(Eingabe!$F$16&gt;0,Eingabe!$E$16&gt;=48),IF((Eingabe!$G$16)&lt;=9,1000+(Eingabe!$G$16)*100,3000)+48,"")</f>
        <v/>
      </c>
      <c r="F1470" s="19" t="str">
        <f aca="false">IF(AND(Eingabe!$F$16&gt;0,Eingabe!$E$16&gt;=48),"10."&amp;Eingabe!$D$16&amp;".48.0/24","")</f>
        <v/>
      </c>
      <c r="G1470" s="19" t="str">
        <f aca="false">IF(AND(Eingabe!$F$16&gt;0,Eingabe!$E$16&gt;=48),"10."&amp;Eingabe!$D$16&amp;".48.1","")</f>
        <v/>
      </c>
      <c r="H1470" s="19" t="str">
        <f aca="false">IF(AND(Eingabe!$F$16&gt;0,Eingabe!$E$16&gt;=48),"10."&amp;Eingabe!$D$16&amp;".48.10 – 10."&amp;Eingabe!$D$16&amp;".48.250","")</f>
        <v/>
      </c>
      <c r="I1470" s="19" t="str">
        <f aca="false">IF(AND(Eingabe!$F$16&gt;0,Eingabe!$E$16&gt;=48),Eingabe!$B$6&amp;"-"&amp;Eingabe!$C$16&amp;"-Pächter","")</f>
        <v/>
      </c>
      <c r="J1470" s="19" t="str">
        <f aca="false">IF(AND(Eingabe!$F$16&gt;0,Eingabe!$E$16&gt;=48),"PPSK: Passwort Parzelle 48","")</f>
        <v/>
      </c>
      <c r="K1470" s="19" t="str">
        <f aca="false">IF(AND(Eingabe!$F$16&gt;0,Eingabe!$E$16&gt;=48),"1. Gerät: 10."&amp;Eingabe!$D$16&amp;".48.10, 2. Gerät: .11","")</f>
        <v/>
      </c>
    </row>
    <row r="1471" customFormat="false" ht="15" hidden="false" customHeight="false" outlineLevel="0" collapsed="false">
      <c r="A1471" s="19" t="str">
        <f aca="false">IF(AND(Eingabe!$F$16&gt;0,Eingabe!$E$16&gt;=49),8,"")</f>
        <v/>
      </c>
      <c r="B1471" s="19" t="str">
        <f aca="false">IF(AND(Eingabe!$F$16&gt;0,Eingabe!$E$16&gt;=49),Eingabe!$B$16,"")</f>
        <v/>
      </c>
      <c r="C1471" s="19" t="str">
        <f aca="false">IF(AND(Eingabe!$F$16&gt;0,Eingabe!$E$16&gt;=49),Eingabe!$C$16&amp;"-Paz."&amp;TEXT(49,"000"),"")</f>
        <v/>
      </c>
      <c r="D1471" s="19" t="str">
        <f aca="false">IF(AND(Eingabe!$F$16&gt;0,Eingabe!$E$16&gt;=49),49,"")</f>
        <v/>
      </c>
      <c r="E1471" s="19" t="str">
        <f aca="false">IF(AND(Eingabe!$F$16&gt;0,Eingabe!$E$16&gt;=49),IF((Eingabe!$G$16)&lt;=9,1000+(Eingabe!$G$16)*100,3000)+49,"")</f>
        <v/>
      </c>
      <c r="F1471" s="19" t="str">
        <f aca="false">IF(AND(Eingabe!$F$16&gt;0,Eingabe!$E$16&gt;=49),"10."&amp;Eingabe!$D$16&amp;".49.0/24","")</f>
        <v/>
      </c>
      <c r="G1471" s="19" t="str">
        <f aca="false">IF(AND(Eingabe!$F$16&gt;0,Eingabe!$E$16&gt;=49),"10."&amp;Eingabe!$D$16&amp;".49.1","")</f>
        <v/>
      </c>
      <c r="H1471" s="19" t="str">
        <f aca="false">IF(AND(Eingabe!$F$16&gt;0,Eingabe!$E$16&gt;=49),"10."&amp;Eingabe!$D$16&amp;".49.10 – 10."&amp;Eingabe!$D$16&amp;".49.250","")</f>
        <v/>
      </c>
      <c r="I1471" s="19" t="str">
        <f aca="false">IF(AND(Eingabe!$F$16&gt;0,Eingabe!$E$16&gt;=49),Eingabe!$B$6&amp;"-"&amp;Eingabe!$C$16&amp;"-Pächter","")</f>
        <v/>
      </c>
      <c r="J1471" s="19" t="str">
        <f aca="false">IF(AND(Eingabe!$F$16&gt;0,Eingabe!$E$16&gt;=49),"PPSK: Passwort Parzelle 49","")</f>
        <v/>
      </c>
      <c r="K1471" s="19" t="str">
        <f aca="false">IF(AND(Eingabe!$F$16&gt;0,Eingabe!$E$16&gt;=49),"1. Gerät: 10."&amp;Eingabe!$D$16&amp;".49.10, 2. Gerät: .11","")</f>
        <v/>
      </c>
    </row>
    <row r="1472" customFormat="false" ht="15" hidden="false" customHeight="false" outlineLevel="0" collapsed="false">
      <c r="A1472" s="19" t="str">
        <f aca="false">IF(AND(Eingabe!$F$16&gt;0,Eingabe!$E$16&gt;=50),8,"")</f>
        <v/>
      </c>
      <c r="B1472" s="19" t="str">
        <f aca="false">IF(AND(Eingabe!$F$16&gt;0,Eingabe!$E$16&gt;=50),Eingabe!$B$16,"")</f>
        <v/>
      </c>
      <c r="C1472" s="19" t="str">
        <f aca="false">IF(AND(Eingabe!$F$16&gt;0,Eingabe!$E$16&gt;=50),Eingabe!$C$16&amp;"-Paz."&amp;TEXT(50,"000"),"")</f>
        <v/>
      </c>
      <c r="D1472" s="19" t="str">
        <f aca="false">IF(AND(Eingabe!$F$16&gt;0,Eingabe!$E$16&gt;=50),50,"")</f>
        <v/>
      </c>
      <c r="E1472" s="19" t="str">
        <f aca="false">IF(AND(Eingabe!$F$16&gt;0,Eingabe!$E$16&gt;=50),IF((Eingabe!$G$16)&lt;=9,1000+(Eingabe!$G$16)*100,3000)+50,"")</f>
        <v/>
      </c>
      <c r="F1472" s="19" t="str">
        <f aca="false">IF(AND(Eingabe!$F$16&gt;0,Eingabe!$E$16&gt;=50),"10."&amp;Eingabe!$D$16&amp;".50.0/24","")</f>
        <v/>
      </c>
      <c r="G1472" s="19" t="str">
        <f aca="false">IF(AND(Eingabe!$F$16&gt;0,Eingabe!$E$16&gt;=50),"10."&amp;Eingabe!$D$16&amp;".50.1","")</f>
        <v/>
      </c>
      <c r="H1472" s="19" t="str">
        <f aca="false">IF(AND(Eingabe!$F$16&gt;0,Eingabe!$E$16&gt;=50),"10."&amp;Eingabe!$D$16&amp;".50.10 – 10."&amp;Eingabe!$D$16&amp;".50.250","")</f>
        <v/>
      </c>
      <c r="I1472" s="19" t="str">
        <f aca="false">IF(AND(Eingabe!$F$16&gt;0,Eingabe!$E$16&gt;=50),Eingabe!$B$6&amp;"-"&amp;Eingabe!$C$16&amp;"-Pächter","")</f>
        <v/>
      </c>
      <c r="J1472" s="19" t="str">
        <f aca="false">IF(AND(Eingabe!$F$16&gt;0,Eingabe!$E$16&gt;=50),"PPSK: Passwort Parzelle 50","")</f>
        <v/>
      </c>
      <c r="K1472" s="19" t="str">
        <f aca="false">IF(AND(Eingabe!$F$16&gt;0,Eingabe!$E$16&gt;=50),"1. Gerät: 10."&amp;Eingabe!$D$16&amp;".50.10, 2. Gerät: .11","")</f>
        <v/>
      </c>
    </row>
    <row r="1473" customFormat="false" ht="15" hidden="false" customHeight="false" outlineLevel="0" collapsed="false">
      <c r="A1473" s="19" t="str">
        <f aca="false">IF(AND(Eingabe!$F$16&gt;0,Eingabe!$E$16&gt;=51),8,"")</f>
        <v/>
      </c>
      <c r="B1473" s="19" t="str">
        <f aca="false">IF(AND(Eingabe!$F$16&gt;0,Eingabe!$E$16&gt;=51),Eingabe!$B$16,"")</f>
        <v/>
      </c>
      <c r="C1473" s="19" t="str">
        <f aca="false">IF(AND(Eingabe!$F$16&gt;0,Eingabe!$E$16&gt;=51),Eingabe!$C$16&amp;"-Paz."&amp;TEXT(51,"000"),"")</f>
        <v/>
      </c>
      <c r="D1473" s="19" t="str">
        <f aca="false">IF(AND(Eingabe!$F$16&gt;0,Eingabe!$E$16&gt;=51),51,"")</f>
        <v/>
      </c>
      <c r="E1473" s="19" t="str">
        <f aca="false">IF(AND(Eingabe!$F$16&gt;0,Eingabe!$E$16&gt;=51),IF((Eingabe!$G$16)&lt;=9,1000+(Eingabe!$G$16)*100,3000)+51,"")</f>
        <v/>
      </c>
      <c r="F1473" s="19" t="str">
        <f aca="false">IF(AND(Eingabe!$F$16&gt;0,Eingabe!$E$16&gt;=51),"10."&amp;Eingabe!$D$16&amp;".51.0/24","")</f>
        <v/>
      </c>
      <c r="G1473" s="19" t="str">
        <f aca="false">IF(AND(Eingabe!$F$16&gt;0,Eingabe!$E$16&gt;=51),"10."&amp;Eingabe!$D$16&amp;".51.1","")</f>
        <v/>
      </c>
      <c r="H1473" s="19" t="str">
        <f aca="false">IF(AND(Eingabe!$F$16&gt;0,Eingabe!$E$16&gt;=51),"10."&amp;Eingabe!$D$16&amp;".51.10 – 10."&amp;Eingabe!$D$16&amp;".51.250","")</f>
        <v/>
      </c>
      <c r="I1473" s="19" t="str">
        <f aca="false">IF(AND(Eingabe!$F$16&gt;0,Eingabe!$E$16&gt;=51),Eingabe!$B$6&amp;"-"&amp;Eingabe!$C$16&amp;"-Pächter","")</f>
        <v/>
      </c>
      <c r="J1473" s="19" t="str">
        <f aca="false">IF(AND(Eingabe!$F$16&gt;0,Eingabe!$E$16&gt;=51),"PPSK: Passwort Parzelle 51","")</f>
        <v/>
      </c>
      <c r="K1473" s="19" t="str">
        <f aca="false">IF(AND(Eingabe!$F$16&gt;0,Eingabe!$E$16&gt;=51),"1. Gerät: 10."&amp;Eingabe!$D$16&amp;".51.10, 2. Gerät: .11","")</f>
        <v/>
      </c>
    </row>
    <row r="1474" customFormat="false" ht="15" hidden="false" customHeight="false" outlineLevel="0" collapsed="false">
      <c r="A1474" s="19" t="str">
        <f aca="false">IF(AND(Eingabe!$F$16&gt;0,Eingabe!$E$16&gt;=52),8,"")</f>
        <v/>
      </c>
      <c r="B1474" s="19" t="str">
        <f aca="false">IF(AND(Eingabe!$F$16&gt;0,Eingabe!$E$16&gt;=52),Eingabe!$B$16,"")</f>
        <v/>
      </c>
      <c r="C1474" s="19" t="str">
        <f aca="false">IF(AND(Eingabe!$F$16&gt;0,Eingabe!$E$16&gt;=52),Eingabe!$C$16&amp;"-Paz."&amp;TEXT(52,"000"),"")</f>
        <v/>
      </c>
      <c r="D1474" s="19" t="str">
        <f aca="false">IF(AND(Eingabe!$F$16&gt;0,Eingabe!$E$16&gt;=52),52,"")</f>
        <v/>
      </c>
      <c r="E1474" s="19" t="str">
        <f aca="false">IF(AND(Eingabe!$F$16&gt;0,Eingabe!$E$16&gt;=52),IF((Eingabe!$G$16)&lt;=9,1000+(Eingabe!$G$16)*100,3000)+52,"")</f>
        <v/>
      </c>
      <c r="F1474" s="19" t="str">
        <f aca="false">IF(AND(Eingabe!$F$16&gt;0,Eingabe!$E$16&gt;=52),"10."&amp;Eingabe!$D$16&amp;".52.0/24","")</f>
        <v/>
      </c>
      <c r="G1474" s="19" t="str">
        <f aca="false">IF(AND(Eingabe!$F$16&gt;0,Eingabe!$E$16&gt;=52),"10."&amp;Eingabe!$D$16&amp;".52.1","")</f>
        <v/>
      </c>
      <c r="H1474" s="19" t="str">
        <f aca="false">IF(AND(Eingabe!$F$16&gt;0,Eingabe!$E$16&gt;=52),"10."&amp;Eingabe!$D$16&amp;".52.10 – 10."&amp;Eingabe!$D$16&amp;".52.250","")</f>
        <v/>
      </c>
      <c r="I1474" s="19" t="str">
        <f aca="false">IF(AND(Eingabe!$F$16&gt;0,Eingabe!$E$16&gt;=52),Eingabe!$B$6&amp;"-"&amp;Eingabe!$C$16&amp;"-Pächter","")</f>
        <v/>
      </c>
      <c r="J1474" s="19" t="str">
        <f aca="false">IF(AND(Eingabe!$F$16&gt;0,Eingabe!$E$16&gt;=52),"PPSK: Passwort Parzelle 52","")</f>
        <v/>
      </c>
      <c r="K1474" s="19" t="str">
        <f aca="false">IF(AND(Eingabe!$F$16&gt;0,Eingabe!$E$16&gt;=52),"1. Gerät: 10."&amp;Eingabe!$D$16&amp;".52.10, 2. Gerät: .11","")</f>
        <v/>
      </c>
    </row>
    <row r="1475" customFormat="false" ht="15" hidden="false" customHeight="false" outlineLevel="0" collapsed="false">
      <c r="A1475" s="19" t="str">
        <f aca="false">IF(AND(Eingabe!$F$16&gt;0,Eingabe!$E$16&gt;=53),8,"")</f>
        <v/>
      </c>
      <c r="B1475" s="19" t="str">
        <f aca="false">IF(AND(Eingabe!$F$16&gt;0,Eingabe!$E$16&gt;=53),Eingabe!$B$16,"")</f>
        <v/>
      </c>
      <c r="C1475" s="19" t="str">
        <f aca="false">IF(AND(Eingabe!$F$16&gt;0,Eingabe!$E$16&gt;=53),Eingabe!$C$16&amp;"-Paz."&amp;TEXT(53,"000"),"")</f>
        <v/>
      </c>
      <c r="D1475" s="19" t="str">
        <f aca="false">IF(AND(Eingabe!$F$16&gt;0,Eingabe!$E$16&gt;=53),53,"")</f>
        <v/>
      </c>
      <c r="E1475" s="19" t="str">
        <f aca="false">IF(AND(Eingabe!$F$16&gt;0,Eingabe!$E$16&gt;=53),IF((Eingabe!$G$16)&lt;=9,1000+(Eingabe!$G$16)*100,3000)+53,"")</f>
        <v/>
      </c>
      <c r="F1475" s="19" t="str">
        <f aca="false">IF(AND(Eingabe!$F$16&gt;0,Eingabe!$E$16&gt;=53),"10."&amp;Eingabe!$D$16&amp;".53.0/24","")</f>
        <v/>
      </c>
      <c r="G1475" s="19" t="str">
        <f aca="false">IF(AND(Eingabe!$F$16&gt;0,Eingabe!$E$16&gt;=53),"10."&amp;Eingabe!$D$16&amp;".53.1","")</f>
        <v/>
      </c>
      <c r="H1475" s="19" t="str">
        <f aca="false">IF(AND(Eingabe!$F$16&gt;0,Eingabe!$E$16&gt;=53),"10."&amp;Eingabe!$D$16&amp;".53.10 – 10."&amp;Eingabe!$D$16&amp;".53.250","")</f>
        <v/>
      </c>
      <c r="I1475" s="19" t="str">
        <f aca="false">IF(AND(Eingabe!$F$16&gt;0,Eingabe!$E$16&gt;=53),Eingabe!$B$6&amp;"-"&amp;Eingabe!$C$16&amp;"-Pächter","")</f>
        <v/>
      </c>
      <c r="J1475" s="19" t="str">
        <f aca="false">IF(AND(Eingabe!$F$16&gt;0,Eingabe!$E$16&gt;=53),"PPSK: Passwort Parzelle 53","")</f>
        <v/>
      </c>
      <c r="K1475" s="19" t="str">
        <f aca="false">IF(AND(Eingabe!$F$16&gt;0,Eingabe!$E$16&gt;=53),"1. Gerät: 10."&amp;Eingabe!$D$16&amp;".53.10, 2. Gerät: .11","")</f>
        <v/>
      </c>
    </row>
    <row r="1476" customFormat="false" ht="15" hidden="false" customHeight="false" outlineLevel="0" collapsed="false">
      <c r="A1476" s="19" t="str">
        <f aca="false">IF(AND(Eingabe!$F$16&gt;0,Eingabe!$E$16&gt;=54),8,"")</f>
        <v/>
      </c>
      <c r="B1476" s="19" t="str">
        <f aca="false">IF(AND(Eingabe!$F$16&gt;0,Eingabe!$E$16&gt;=54),Eingabe!$B$16,"")</f>
        <v/>
      </c>
      <c r="C1476" s="19" t="str">
        <f aca="false">IF(AND(Eingabe!$F$16&gt;0,Eingabe!$E$16&gt;=54),Eingabe!$C$16&amp;"-Paz."&amp;TEXT(54,"000"),"")</f>
        <v/>
      </c>
      <c r="D1476" s="19" t="str">
        <f aca="false">IF(AND(Eingabe!$F$16&gt;0,Eingabe!$E$16&gt;=54),54,"")</f>
        <v/>
      </c>
      <c r="E1476" s="19" t="str">
        <f aca="false">IF(AND(Eingabe!$F$16&gt;0,Eingabe!$E$16&gt;=54),IF((Eingabe!$G$16)&lt;=9,1000+(Eingabe!$G$16)*100,3000)+54,"")</f>
        <v/>
      </c>
      <c r="F1476" s="19" t="str">
        <f aca="false">IF(AND(Eingabe!$F$16&gt;0,Eingabe!$E$16&gt;=54),"10."&amp;Eingabe!$D$16&amp;".54.0/24","")</f>
        <v/>
      </c>
      <c r="G1476" s="19" t="str">
        <f aca="false">IF(AND(Eingabe!$F$16&gt;0,Eingabe!$E$16&gt;=54),"10."&amp;Eingabe!$D$16&amp;".54.1","")</f>
        <v/>
      </c>
      <c r="H1476" s="19" t="str">
        <f aca="false">IF(AND(Eingabe!$F$16&gt;0,Eingabe!$E$16&gt;=54),"10."&amp;Eingabe!$D$16&amp;".54.10 – 10."&amp;Eingabe!$D$16&amp;".54.250","")</f>
        <v/>
      </c>
      <c r="I1476" s="19" t="str">
        <f aca="false">IF(AND(Eingabe!$F$16&gt;0,Eingabe!$E$16&gt;=54),Eingabe!$B$6&amp;"-"&amp;Eingabe!$C$16&amp;"-Pächter","")</f>
        <v/>
      </c>
      <c r="J1476" s="19" t="str">
        <f aca="false">IF(AND(Eingabe!$F$16&gt;0,Eingabe!$E$16&gt;=54),"PPSK: Passwort Parzelle 54","")</f>
        <v/>
      </c>
      <c r="K1476" s="19" t="str">
        <f aca="false">IF(AND(Eingabe!$F$16&gt;0,Eingabe!$E$16&gt;=54),"1. Gerät: 10."&amp;Eingabe!$D$16&amp;".54.10, 2. Gerät: .11","")</f>
        <v/>
      </c>
    </row>
    <row r="1477" customFormat="false" ht="15" hidden="false" customHeight="false" outlineLevel="0" collapsed="false">
      <c r="A1477" s="19" t="str">
        <f aca="false">IF(AND(Eingabe!$F$16&gt;0,Eingabe!$E$16&gt;=55),8,"")</f>
        <v/>
      </c>
      <c r="B1477" s="19" t="str">
        <f aca="false">IF(AND(Eingabe!$F$16&gt;0,Eingabe!$E$16&gt;=55),Eingabe!$B$16,"")</f>
        <v/>
      </c>
      <c r="C1477" s="19" t="str">
        <f aca="false">IF(AND(Eingabe!$F$16&gt;0,Eingabe!$E$16&gt;=55),Eingabe!$C$16&amp;"-Paz."&amp;TEXT(55,"000"),"")</f>
        <v/>
      </c>
      <c r="D1477" s="19" t="str">
        <f aca="false">IF(AND(Eingabe!$F$16&gt;0,Eingabe!$E$16&gt;=55),55,"")</f>
        <v/>
      </c>
      <c r="E1477" s="19" t="str">
        <f aca="false">IF(AND(Eingabe!$F$16&gt;0,Eingabe!$E$16&gt;=55),IF((Eingabe!$G$16)&lt;=9,1000+(Eingabe!$G$16)*100,3000)+55,"")</f>
        <v/>
      </c>
      <c r="F1477" s="19" t="str">
        <f aca="false">IF(AND(Eingabe!$F$16&gt;0,Eingabe!$E$16&gt;=55),"10."&amp;Eingabe!$D$16&amp;".55.0/24","")</f>
        <v/>
      </c>
      <c r="G1477" s="19" t="str">
        <f aca="false">IF(AND(Eingabe!$F$16&gt;0,Eingabe!$E$16&gt;=55),"10."&amp;Eingabe!$D$16&amp;".55.1","")</f>
        <v/>
      </c>
      <c r="H1477" s="19" t="str">
        <f aca="false">IF(AND(Eingabe!$F$16&gt;0,Eingabe!$E$16&gt;=55),"10."&amp;Eingabe!$D$16&amp;".55.10 – 10."&amp;Eingabe!$D$16&amp;".55.250","")</f>
        <v/>
      </c>
      <c r="I1477" s="19" t="str">
        <f aca="false">IF(AND(Eingabe!$F$16&gt;0,Eingabe!$E$16&gt;=55),Eingabe!$B$6&amp;"-"&amp;Eingabe!$C$16&amp;"-Pächter","")</f>
        <v/>
      </c>
      <c r="J1477" s="19" t="str">
        <f aca="false">IF(AND(Eingabe!$F$16&gt;0,Eingabe!$E$16&gt;=55),"PPSK: Passwort Parzelle 55","")</f>
        <v/>
      </c>
      <c r="K1477" s="19" t="str">
        <f aca="false">IF(AND(Eingabe!$F$16&gt;0,Eingabe!$E$16&gt;=55),"1. Gerät: 10."&amp;Eingabe!$D$16&amp;".55.10, 2. Gerät: .11","")</f>
        <v/>
      </c>
    </row>
    <row r="1478" customFormat="false" ht="15" hidden="false" customHeight="false" outlineLevel="0" collapsed="false">
      <c r="A1478" s="19" t="str">
        <f aca="false">IF(AND(Eingabe!$F$16&gt;0,Eingabe!$E$16&gt;=56),8,"")</f>
        <v/>
      </c>
      <c r="B1478" s="19" t="str">
        <f aca="false">IF(AND(Eingabe!$F$16&gt;0,Eingabe!$E$16&gt;=56),Eingabe!$B$16,"")</f>
        <v/>
      </c>
      <c r="C1478" s="19" t="str">
        <f aca="false">IF(AND(Eingabe!$F$16&gt;0,Eingabe!$E$16&gt;=56),Eingabe!$C$16&amp;"-Paz."&amp;TEXT(56,"000"),"")</f>
        <v/>
      </c>
      <c r="D1478" s="19" t="str">
        <f aca="false">IF(AND(Eingabe!$F$16&gt;0,Eingabe!$E$16&gt;=56),56,"")</f>
        <v/>
      </c>
      <c r="E1478" s="19" t="str">
        <f aca="false">IF(AND(Eingabe!$F$16&gt;0,Eingabe!$E$16&gt;=56),IF((Eingabe!$G$16)&lt;=9,1000+(Eingabe!$G$16)*100,3000)+56,"")</f>
        <v/>
      </c>
      <c r="F1478" s="19" t="str">
        <f aca="false">IF(AND(Eingabe!$F$16&gt;0,Eingabe!$E$16&gt;=56),"10."&amp;Eingabe!$D$16&amp;".56.0/24","")</f>
        <v/>
      </c>
      <c r="G1478" s="19" t="str">
        <f aca="false">IF(AND(Eingabe!$F$16&gt;0,Eingabe!$E$16&gt;=56),"10."&amp;Eingabe!$D$16&amp;".56.1","")</f>
        <v/>
      </c>
      <c r="H1478" s="19" t="str">
        <f aca="false">IF(AND(Eingabe!$F$16&gt;0,Eingabe!$E$16&gt;=56),"10."&amp;Eingabe!$D$16&amp;".56.10 – 10."&amp;Eingabe!$D$16&amp;".56.250","")</f>
        <v/>
      </c>
      <c r="I1478" s="19" t="str">
        <f aca="false">IF(AND(Eingabe!$F$16&gt;0,Eingabe!$E$16&gt;=56),Eingabe!$B$6&amp;"-"&amp;Eingabe!$C$16&amp;"-Pächter","")</f>
        <v/>
      </c>
      <c r="J1478" s="19" t="str">
        <f aca="false">IF(AND(Eingabe!$F$16&gt;0,Eingabe!$E$16&gt;=56),"PPSK: Passwort Parzelle 56","")</f>
        <v/>
      </c>
      <c r="K1478" s="19" t="str">
        <f aca="false">IF(AND(Eingabe!$F$16&gt;0,Eingabe!$E$16&gt;=56),"1. Gerät: 10."&amp;Eingabe!$D$16&amp;".56.10, 2. Gerät: .11","")</f>
        <v/>
      </c>
    </row>
    <row r="1479" customFormat="false" ht="15" hidden="false" customHeight="false" outlineLevel="0" collapsed="false">
      <c r="A1479" s="19" t="str">
        <f aca="false">IF(AND(Eingabe!$F$16&gt;0,Eingabe!$E$16&gt;=57),8,"")</f>
        <v/>
      </c>
      <c r="B1479" s="19" t="str">
        <f aca="false">IF(AND(Eingabe!$F$16&gt;0,Eingabe!$E$16&gt;=57),Eingabe!$B$16,"")</f>
        <v/>
      </c>
      <c r="C1479" s="19" t="str">
        <f aca="false">IF(AND(Eingabe!$F$16&gt;0,Eingabe!$E$16&gt;=57),Eingabe!$C$16&amp;"-Paz."&amp;TEXT(57,"000"),"")</f>
        <v/>
      </c>
      <c r="D1479" s="19" t="str">
        <f aca="false">IF(AND(Eingabe!$F$16&gt;0,Eingabe!$E$16&gt;=57),57,"")</f>
        <v/>
      </c>
      <c r="E1479" s="19" t="str">
        <f aca="false">IF(AND(Eingabe!$F$16&gt;0,Eingabe!$E$16&gt;=57),IF((Eingabe!$G$16)&lt;=9,1000+(Eingabe!$G$16)*100,3000)+57,"")</f>
        <v/>
      </c>
      <c r="F1479" s="19" t="str">
        <f aca="false">IF(AND(Eingabe!$F$16&gt;0,Eingabe!$E$16&gt;=57),"10."&amp;Eingabe!$D$16&amp;".57.0/24","")</f>
        <v/>
      </c>
      <c r="G1479" s="19" t="str">
        <f aca="false">IF(AND(Eingabe!$F$16&gt;0,Eingabe!$E$16&gt;=57),"10."&amp;Eingabe!$D$16&amp;".57.1","")</f>
        <v/>
      </c>
      <c r="H1479" s="19" t="str">
        <f aca="false">IF(AND(Eingabe!$F$16&gt;0,Eingabe!$E$16&gt;=57),"10."&amp;Eingabe!$D$16&amp;".57.10 – 10."&amp;Eingabe!$D$16&amp;".57.250","")</f>
        <v/>
      </c>
      <c r="I1479" s="19" t="str">
        <f aca="false">IF(AND(Eingabe!$F$16&gt;0,Eingabe!$E$16&gt;=57),Eingabe!$B$6&amp;"-"&amp;Eingabe!$C$16&amp;"-Pächter","")</f>
        <v/>
      </c>
      <c r="J1479" s="19" t="str">
        <f aca="false">IF(AND(Eingabe!$F$16&gt;0,Eingabe!$E$16&gt;=57),"PPSK: Passwort Parzelle 57","")</f>
        <v/>
      </c>
      <c r="K1479" s="19" t="str">
        <f aca="false">IF(AND(Eingabe!$F$16&gt;0,Eingabe!$E$16&gt;=57),"1. Gerät: 10."&amp;Eingabe!$D$16&amp;".57.10, 2. Gerät: .11","")</f>
        <v/>
      </c>
    </row>
    <row r="1480" customFormat="false" ht="15" hidden="false" customHeight="false" outlineLevel="0" collapsed="false">
      <c r="A1480" s="19" t="str">
        <f aca="false">IF(AND(Eingabe!$F$16&gt;0,Eingabe!$E$16&gt;=58),8,"")</f>
        <v/>
      </c>
      <c r="B1480" s="19" t="str">
        <f aca="false">IF(AND(Eingabe!$F$16&gt;0,Eingabe!$E$16&gt;=58),Eingabe!$B$16,"")</f>
        <v/>
      </c>
      <c r="C1480" s="19" t="str">
        <f aca="false">IF(AND(Eingabe!$F$16&gt;0,Eingabe!$E$16&gt;=58),Eingabe!$C$16&amp;"-Paz."&amp;TEXT(58,"000"),"")</f>
        <v/>
      </c>
      <c r="D1480" s="19" t="str">
        <f aca="false">IF(AND(Eingabe!$F$16&gt;0,Eingabe!$E$16&gt;=58),58,"")</f>
        <v/>
      </c>
      <c r="E1480" s="19" t="str">
        <f aca="false">IF(AND(Eingabe!$F$16&gt;0,Eingabe!$E$16&gt;=58),IF((Eingabe!$G$16)&lt;=9,1000+(Eingabe!$G$16)*100,3000)+58,"")</f>
        <v/>
      </c>
      <c r="F1480" s="19" t="str">
        <f aca="false">IF(AND(Eingabe!$F$16&gt;0,Eingabe!$E$16&gt;=58),"10."&amp;Eingabe!$D$16&amp;".58.0/24","")</f>
        <v/>
      </c>
      <c r="G1480" s="19" t="str">
        <f aca="false">IF(AND(Eingabe!$F$16&gt;0,Eingabe!$E$16&gt;=58),"10."&amp;Eingabe!$D$16&amp;".58.1","")</f>
        <v/>
      </c>
      <c r="H1480" s="19" t="str">
        <f aca="false">IF(AND(Eingabe!$F$16&gt;0,Eingabe!$E$16&gt;=58),"10."&amp;Eingabe!$D$16&amp;".58.10 – 10."&amp;Eingabe!$D$16&amp;".58.250","")</f>
        <v/>
      </c>
      <c r="I1480" s="19" t="str">
        <f aca="false">IF(AND(Eingabe!$F$16&gt;0,Eingabe!$E$16&gt;=58),Eingabe!$B$6&amp;"-"&amp;Eingabe!$C$16&amp;"-Pächter","")</f>
        <v/>
      </c>
      <c r="J1480" s="19" t="str">
        <f aca="false">IF(AND(Eingabe!$F$16&gt;0,Eingabe!$E$16&gt;=58),"PPSK: Passwort Parzelle 58","")</f>
        <v/>
      </c>
      <c r="K1480" s="19" t="str">
        <f aca="false">IF(AND(Eingabe!$F$16&gt;0,Eingabe!$E$16&gt;=58),"1. Gerät: 10."&amp;Eingabe!$D$16&amp;".58.10, 2. Gerät: .11","")</f>
        <v/>
      </c>
    </row>
    <row r="1481" customFormat="false" ht="15" hidden="false" customHeight="false" outlineLevel="0" collapsed="false">
      <c r="A1481" s="19" t="str">
        <f aca="false">IF(AND(Eingabe!$F$16&gt;0,Eingabe!$E$16&gt;=59),8,"")</f>
        <v/>
      </c>
      <c r="B1481" s="19" t="str">
        <f aca="false">IF(AND(Eingabe!$F$16&gt;0,Eingabe!$E$16&gt;=59),Eingabe!$B$16,"")</f>
        <v/>
      </c>
      <c r="C1481" s="19" t="str">
        <f aca="false">IF(AND(Eingabe!$F$16&gt;0,Eingabe!$E$16&gt;=59),Eingabe!$C$16&amp;"-Paz."&amp;TEXT(59,"000"),"")</f>
        <v/>
      </c>
      <c r="D1481" s="19" t="str">
        <f aca="false">IF(AND(Eingabe!$F$16&gt;0,Eingabe!$E$16&gt;=59),59,"")</f>
        <v/>
      </c>
      <c r="E1481" s="19" t="str">
        <f aca="false">IF(AND(Eingabe!$F$16&gt;0,Eingabe!$E$16&gt;=59),IF((Eingabe!$G$16)&lt;=9,1000+(Eingabe!$G$16)*100,3000)+59,"")</f>
        <v/>
      </c>
      <c r="F1481" s="19" t="str">
        <f aca="false">IF(AND(Eingabe!$F$16&gt;0,Eingabe!$E$16&gt;=59),"10."&amp;Eingabe!$D$16&amp;".59.0/24","")</f>
        <v/>
      </c>
      <c r="G1481" s="19" t="str">
        <f aca="false">IF(AND(Eingabe!$F$16&gt;0,Eingabe!$E$16&gt;=59),"10."&amp;Eingabe!$D$16&amp;".59.1","")</f>
        <v/>
      </c>
      <c r="H1481" s="19" t="str">
        <f aca="false">IF(AND(Eingabe!$F$16&gt;0,Eingabe!$E$16&gt;=59),"10."&amp;Eingabe!$D$16&amp;".59.10 – 10."&amp;Eingabe!$D$16&amp;".59.250","")</f>
        <v/>
      </c>
      <c r="I1481" s="19" t="str">
        <f aca="false">IF(AND(Eingabe!$F$16&gt;0,Eingabe!$E$16&gt;=59),Eingabe!$B$6&amp;"-"&amp;Eingabe!$C$16&amp;"-Pächter","")</f>
        <v/>
      </c>
      <c r="J1481" s="19" t="str">
        <f aca="false">IF(AND(Eingabe!$F$16&gt;0,Eingabe!$E$16&gt;=59),"PPSK: Passwort Parzelle 59","")</f>
        <v/>
      </c>
      <c r="K1481" s="19" t="str">
        <f aca="false">IF(AND(Eingabe!$F$16&gt;0,Eingabe!$E$16&gt;=59),"1. Gerät: 10."&amp;Eingabe!$D$16&amp;".59.10, 2. Gerät: .11","")</f>
        <v/>
      </c>
    </row>
    <row r="1482" customFormat="false" ht="15" hidden="false" customHeight="false" outlineLevel="0" collapsed="false">
      <c r="A1482" s="19" t="str">
        <f aca="false">IF(AND(Eingabe!$F$16&gt;0,Eingabe!$E$16&gt;=60),8,"")</f>
        <v/>
      </c>
      <c r="B1482" s="19" t="str">
        <f aca="false">IF(AND(Eingabe!$F$16&gt;0,Eingabe!$E$16&gt;=60),Eingabe!$B$16,"")</f>
        <v/>
      </c>
      <c r="C1482" s="19" t="str">
        <f aca="false">IF(AND(Eingabe!$F$16&gt;0,Eingabe!$E$16&gt;=60),Eingabe!$C$16&amp;"-Paz."&amp;TEXT(60,"000"),"")</f>
        <v/>
      </c>
      <c r="D1482" s="19" t="str">
        <f aca="false">IF(AND(Eingabe!$F$16&gt;0,Eingabe!$E$16&gt;=60),60,"")</f>
        <v/>
      </c>
      <c r="E1482" s="19" t="str">
        <f aca="false">IF(AND(Eingabe!$F$16&gt;0,Eingabe!$E$16&gt;=60),IF((Eingabe!$G$16)&lt;=9,1000+(Eingabe!$G$16)*100,3000)+60,"")</f>
        <v/>
      </c>
      <c r="F1482" s="19" t="str">
        <f aca="false">IF(AND(Eingabe!$F$16&gt;0,Eingabe!$E$16&gt;=60),"10."&amp;Eingabe!$D$16&amp;".60.0/24","")</f>
        <v/>
      </c>
      <c r="G1482" s="19" t="str">
        <f aca="false">IF(AND(Eingabe!$F$16&gt;0,Eingabe!$E$16&gt;=60),"10."&amp;Eingabe!$D$16&amp;".60.1","")</f>
        <v/>
      </c>
      <c r="H1482" s="19" t="str">
        <f aca="false">IF(AND(Eingabe!$F$16&gt;0,Eingabe!$E$16&gt;=60),"10."&amp;Eingabe!$D$16&amp;".60.10 – 10."&amp;Eingabe!$D$16&amp;".60.250","")</f>
        <v/>
      </c>
      <c r="I1482" s="19" t="str">
        <f aca="false">IF(AND(Eingabe!$F$16&gt;0,Eingabe!$E$16&gt;=60),Eingabe!$B$6&amp;"-"&amp;Eingabe!$C$16&amp;"-Pächter","")</f>
        <v/>
      </c>
      <c r="J1482" s="19" t="str">
        <f aca="false">IF(AND(Eingabe!$F$16&gt;0,Eingabe!$E$16&gt;=60),"PPSK: Passwort Parzelle 60","")</f>
        <v/>
      </c>
      <c r="K1482" s="19" t="str">
        <f aca="false">IF(AND(Eingabe!$F$16&gt;0,Eingabe!$E$16&gt;=60),"1. Gerät: 10."&amp;Eingabe!$D$16&amp;".60.10, 2. Gerät: .11","")</f>
        <v/>
      </c>
    </row>
    <row r="1483" customFormat="false" ht="15" hidden="false" customHeight="false" outlineLevel="0" collapsed="false">
      <c r="A1483" s="19" t="str">
        <f aca="false">IF(AND(Eingabe!$F$16&gt;0,Eingabe!$E$16&gt;=61),8,"")</f>
        <v/>
      </c>
      <c r="B1483" s="19" t="str">
        <f aca="false">IF(AND(Eingabe!$F$16&gt;0,Eingabe!$E$16&gt;=61),Eingabe!$B$16,"")</f>
        <v/>
      </c>
      <c r="C1483" s="19" t="str">
        <f aca="false">IF(AND(Eingabe!$F$16&gt;0,Eingabe!$E$16&gt;=61),Eingabe!$C$16&amp;"-Paz."&amp;TEXT(61,"000"),"")</f>
        <v/>
      </c>
      <c r="D1483" s="19" t="str">
        <f aca="false">IF(AND(Eingabe!$F$16&gt;0,Eingabe!$E$16&gt;=61),61,"")</f>
        <v/>
      </c>
      <c r="E1483" s="19" t="str">
        <f aca="false">IF(AND(Eingabe!$F$16&gt;0,Eingabe!$E$16&gt;=61),IF((Eingabe!$G$16)&lt;=9,1000+(Eingabe!$G$16)*100,3000)+61,"")</f>
        <v/>
      </c>
      <c r="F1483" s="19" t="str">
        <f aca="false">IF(AND(Eingabe!$F$16&gt;0,Eingabe!$E$16&gt;=61),"10."&amp;Eingabe!$D$16&amp;".61.0/24","")</f>
        <v/>
      </c>
      <c r="G1483" s="19" t="str">
        <f aca="false">IF(AND(Eingabe!$F$16&gt;0,Eingabe!$E$16&gt;=61),"10."&amp;Eingabe!$D$16&amp;".61.1","")</f>
        <v/>
      </c>
      <c r="H1483" s="19" t="str">
        <f aca="false">IF(AND(Eingabe!$F$16&gt;0,Eingabe!$E$16&gt;=61),"10."&amp;Eingabe!$D$16&amp;".61.10 – 10."&amp;Eingabe!$D$16&amp;".61.250","")</f>
        <v/>
      </c>
      <c r="I1483" s="19" t="str">
        <f aca="false">IF(AND(Eingabe!$F$16&gt;0,Eingabe!$E$16&gt;=61),Eingabe!$B$6&amp;"-"&amp;Eingabe!$C$16&amp;"-Pächter","")</f>
        <v/>
      </c>
      <c r="J1483" s="19" t="str">
        <f aca="false">IF(AND(Eingabe!$F$16&gt;0,Eingabe!$E$16&gt;=61),"PPSK: Passwort Parzelle 61","")</f>
        <v/>
      </c>
      <c r="K1483" s="19" t="str">
        <f aca="false">IF(AND(Eingabe!$F$16&gt;0,Eingabe!$E$16&gt;=61),"1. Gerät: 10."&amp;Eingabe!$D$16&amp;".61.10, 2. Gerät: .11","")</f>
        <v/>
      </c>
    </row>
    <row r="1484" customFormat="false" ht="15" hidden="false" customHeight="false" outlineLevel="0" collapsed="false">
      <c r="A1484" s="19" t="str">
        <f aca="false">IF(AND(Eingabe!$F$16&gt;0,Eingabe!$E$16&gt;=62),8,"")</f>
        <v/>
      </c>
      <c r="B1484" s="19" t="str">
        <f aca="false">IF(AND(Eingabe!$F$16&gt;0,Eingabe!$E$16&gt;=62),Eingabe!$B$16,"")</f>
        <v/>
      </c>
      <c r="C1484" s="19" t="str">
        <f aca="false">IF(AND(Eingabe!$F$16&gt;0,Eingabe!$E$16&gt;=62),Eingabe!$C$16&amp;"-Paz."&amp;TEXT(62,"000"),"")</f>
        <v/>
      </c>
      <c r="D1484" s="19" t="str">
        <f aca="false">IF(AND(Eingabe!$F$16&gt;0,Eingabe!$E$16&gt;=62),62,"")</f>
        <v/>
      </c>
      <c r="E1484" s="19" t="str">
        <f aca="false">IF(AND(Eingabe!$F$16&gt;0,Eingabe!$E$16&gt;=62),IF((Eingabe!$G$16)&lt;=9,1000+(Eingabe!$G$16)*100,3000)+62,"")</f>
        <v/>
      </c>
      <c r="F1484" s="19" t="str">
        <f aca="false">IF(AND(Eingabe!$F$16&gt;0,Eingabe!$E$16&gt;=62),"10."&amp;Eingabe!$D$16&amp;".62.0/24","")</f>
        <v/>
      </c>
      <c r="G1484" s="19" t="str">
        <f aca="false">IF(AND(Eingabe!$F$16&gt;0,Eingabe!$E$16&gt;=62),"10."&amp;Eingabe!$D$16&amp;".62.1","")</f>
        <v/>
      </c>
      <c r="H1484" s="19" t="str">
        <f aca="false">IF(AND(Eingabe!$F$16&gt;0,Eingabe!$E$16&gt;=62),"10."&amp;Eingabe!$D$16&amp;".62.10 – 10."&amp;Eingabe!$D$16&amp;".62.250","")</f>
        <v/>
      </c>
      <c r="I1484" s="19" t="str">
        <f aca="false">IF(AND(Eingabe!$F$16&gt;0,Eingabe!$E$16&gt;=62),Eingabe!$B$6&amp;"-"&amp;Eingabe!$C$16&amp;"-Pächter","")</f>
        <v/>
      </c>
      <c r="J1484" s="19" t="str">
        <f aca="false">IF(AND(Eingabe!$F$16&gt;0,Eingabe!$E$16&gt;=62),"PPSK: Passwort Parzelle 62","")</f>
        <v/>
      </c>
      <c r="K1484" s="19" t="str">
        <f aca="false">IF(AND(Eingabe!$F$16&gt;0,Eingabe!$E$16&gt;=62),"1. Gerät: 10."&amp;Eingabe!$D$16&amp;".62.10, 2. Gerät: .11","")</f>
        <v/>
      </c>
    </row>
    <row r="1485" customFormat="false" ht="15" hidden="false" customHeight="false" outlineLevel="0" collapsed="false">
      <c r="A1485" s="19" t="str">
        <f aca="false">IF(AND(Eingabe!$F$16&gt;0,Eingabe!$E$16&gt;=63),8,"")</f>
        <v/>
      </c>
      <c r="B1485" s="19" t="str">
        <f aca="false">IF(AND(Eingabe!$F$16&gt;0,Eingabe!$E$16&gt;=63),Eingabe!$B$16,"")</f>
        <v/>
      </c>
      <c r="C1485" s="19" t="str">
        <f aca="false">IF(AND(Eingabe!$F$16&gt;0,Eingabe!$E$16&gt;=63),Eingabe!$C$16&amp;"-Paz."&amp;TEXT(63,"000"),"")</f>
        <v/>
      </c>
      <c r="D1485" s="19" t="str">
        <f aca="false">IF(AND(Eingabe!$F$16&gt;0,Eingabe!$E$16&gt;=63),63,"")</f>
        <v/>
      </c>
      <c r="E1485" s="19" t="str">
        <f aca="false">IF(AND(Eingabe!$F$16&gt;0,Eingabe!$E$16&gt;=63),IF((Eingabe!$G$16)&lt;=9,1000+(Eingabe!$G$16)*100,3000)+63,"")</f>
        <v/>
      </c>
      <c r="F1485" s="19" t="str">
        <f aca="false">IF(AND(Eingabe!$F$16&gt;0,Eingabe!$E$16&gt;=63),"10."&amp;Eingabe!$D$16&amp;".63.0/24","")</f>
        <v/>
      </c>
      <c r="G1485" s="19" t="str">
        <f aca="false">IF(AND(Eingabe!$F$16&gt;0,Eingabe!$E$16&gt;=63),"10."&amp;Eingabe!$D$16&amp;".63.1","")</f>
        <v/>
      </c>
      <c r="H1485" s="19" t="str">
        <f aca="false">IF(AND(Eingabe!$F$16&gt;0,Eingabe!$E$16&gt;=63),"10."&amp;Eingabe!$D$16&amp;".63.10 – 10."&amp;Eingabe!$D$16&amp;".63.250","")</f>
        <v/>
      </c>
      <c r="I1485" s="19" t="str">
        <f aca="false">IF(AND(Eingabe!$F$16&gt;0,Eingabe!$E$16&gt;=63),Eingabe!$B$6&amp;"-"&amp;Eingabe!$C$16&amp;"-Pächter","")</f>
        <v/>
      </c>
      <c r="J1485" s="19" t="str">
        <f aca="false">IF(AND(Eingabe!$F$16&gt;0,Eingabe!$E$16&gt;=63),"PPSK: Passwort Parzelle 63","")</f>
        <v/>
      </c>
      <c r="K1485" s="19" t="str">
        <f aca="false">IF(AND(Eingabe!$F$16&gt;0,Eingabe!$E$16&gt;=63),"1. Gerät: 10."&amp;Eingabe!$D$16&amp;".63.10, 2. Gerät: .11","")</f>
        <v/>
      </c>
    </row>
    <row r="1486" customFormat="false" ht="15" hidden="false" customHeight="false" outlineLevel="0" collapsed="false">
      <c r="A1486" s="19" t="str">
        <f aca="false">IF(AND(Eingabe!$F$16&gt;0,Eingabe!$E$16&gt;=64),8,"")</f>
        <v/>
      </c>
      <c r="B1486" s="19" t="str">
        <f aca="false">IF(AND(Eingabe!$F$16&gt;0,Eingabe!$E$16&gt;=64),Eingabe!$B$16,"")</f>
        <v/>
      </c>
      <c r="C1486" s="19" t="str">
        <f aca="false">IF(AND(Eingabe!$F$16&gt;0,Eingabe!$E$16&gt;=64),Eingabe!$C$16&amp;"-Paz."&amp;TEXT(64,"000"),"")</f>
        <v/>
      </c>
      <c r="D1486" s="19" t="str">
        <f aca="false">IF(AND(Eingabe!$F$16&gt;0,Eingabe!$E$16&gt;=64),64,"")</f>
        <v/>
      </c>
      <c r="E1486" s="19" t="str">
        <f aca="false">IF(AND(Eingabe!$F$16&gt;0,Eingabe!$E$16&gt;=64),IF((Eingabe!$G$16)&lt;=9,1000+(Eingabe!$G$16)*100,3000)+64,"")</f>
        <v/>
      </c>
      <c r="F1486" s="19" t="str">
        <f aca="false">IF(AND(Eingabe!$F$16&gt;0,Eingabe!$E$16&gt;=64),"10."&amp;Eingabe!$D$16&amp;".64.0/24","")</f>
        <v/>
      </c>
      <c r="G1486" s="19" t="str">
        <f aca="false">IF(AND(Eingabe!$F$16&gt;0,Eingabe!$E$16&gt;=64),"10."&amp;Eingabe!$D$16&amp;".64.1","")</f>
        <v/>
      </c>
      <c r="H1486" s="19" t="str">
        <f aca="false">IF(AND(Eingabe!$F$16&gt;0,Eingabe!$E$16&gt;=64),"10."&amp;Eingabe!$D$16&amp;".64.10 – 10."&amp;Eingabe!$D$16&amp;".64.250","")</f>
        <v/>
      </c>
      <c r="I1486" s="19" t="str">
        <f aca="false">IF(AND(Eingabe!$F$16&gt;0,Eingabe!$E$16&gt;=64),Eingabe!$B$6&amp;"-"&amp;Eingabe!$C$16&amp;"-Pächter","")</f>
        <v/>
      </c>
      <c r="J1486" s="19" t="str">
        <f aca="false">IF(AND(Eingabe!$F$16&gt;0,Eingabe!$E$16&gt;=64),"PPSK: Passwort Parzelle 64","")</f>
        <v/>
      </c>
      <c r="K1486" s="19" t="str">
        <f aca="false">IF(AND(Eingabe!$F$16&gt;0,Eingabe!$E$16&gt;=64),"1. Gerät: 10."&amp;Eingabe!$D$16&amp;".64.10, 2. Gerät: .11","")</f>
        <v/>
      </c>
    </row>
    <row r="1487" customFormat="false" ht="15" hidden="false" customHeight="false" outlineLevel="0" collapsed="false">
      <c r="A1487" s="19" t="str">
        <f aca="false">IF(AND(Eingabe!$F$16&gt;0,Eingabe!$E$16&gt;=65),8,"")</f>
        <v/>
      </c>
      <c r="B1487" s="19" t="str">
        <f aca="false">IF(AND(Eingabe!$F$16&gt;0,Eingabe!$E$16&gt;=65),Eingabe!$B$16,"")</f>
        <v/>
      </c>
      <c r="C1487" s="19" t="str">
        <f aca="false">IF(AND(Eingabe!$F$16&gt;0,Eingabe!$E$16&gt;=65),Eingabe!$C$16&amp;"-Paz."&amp;TEXT(65,"000"),"")</f>
        <v/>
      </c>
      <c r="D1487" s="19" t="str">
        <f aca="false">IF(AND(Eingabe!$F$16&gt;0,Eingabe!$E$16&gt;=65),65,"")</f>
        <v/>
      </c>
      <c r="E1487" s="19" t="str">
        <f aca="false">IF(AND(Eingabe!$F$16&gt;0,Eingabe!$E$16&gt;=65),IF((Eingabe!$G$16)&lt;=9,1000+(Eingabe!$G$16)*100,3000)+65,"")</f>
        <v/>
      </c>
      <c r="F1487" s="19" t="str">
        <f aca="false">IF(AND(Eingabe!$F$16&gt;0,Eingabe!$E$16&gt;=65),"10."&amp;Eingabe!$D$16&amp;".65.0/24","")</f>
        <v/>
      </c>
      <c r="G1487" s="19" t="str">
        <f aca="false">IF(AND(Eingabe!$F$16&gt;0,Eingabe!$E$16&gt;=65),"10."&amp;Eingabe!$D$16&amp;".65.1","")</f>
        <v/>
      </c>
      <c r="H1487" s="19" t="str">
        <f aca="false">IF(AND(Eingabe!$F$16&gt;0,Eingabe!$E$16&gt;=65),"10."&amp;Eingabe!$D$16&amp;".65.10 – 10."&amp;Eingabe!$D$16&amp;".65.250","")</f>
        <v/>
      </c>
      <c r="I1487" s="19" t="str">
        <f aca="false">IF(AND(Eingabe!$F$16&gt;0,Eingabe!$E$16&gt;=65),Eingabe!$B$6&amp;"-"&amp;Eingabe!$C$16&amp;"-Pächter","")</f>
        <v/>
      </c>
      <c r="J1487" s="19" t="str">
        <f aca="false">IF(AND(Eingabe!$F$16&gt;0,Eingabe!$E$16&gt;=65),"PPSK: Passwort Parzelle 65","")</f>
        <v/>
      </c>
      <c r="K1487" s="19" t="str">
        <f aca="false">IF(AND(Eingabe!$F$16&gt;0,Eingabe!$E$16&gt;=65),"1. Gerät: 10."&amp;Eingabe!$D$16&amp;".65.10, 2. Gerät: .11","")</f>
        <v/>
      </c>
    </row>
    <row r="1488" customFormat="false" ht="15" hidden="false" customHeight="false" outlineLevel="0" collapsed="false">
      <c r="A1488" s="19" t="str">
        <f aca="false">IF(AND(Eingabe!$F$16&gt;0,Eingabe!$E$16&gt;=66),8,"")</f>
        <v/>
      </c>
      <c r="B1488" s="19" t="str">
        <f aca="false">IF(AND(Eingabe!$F$16&gt;0,Eingabe!$E$16&gt;=66),Eingabe!$B$16,"")</f>
        <v/>
      </c>
      <c r="C1488" s="19" t="str">
        <f aca="false">IF(AND(Eingabe!$F$16&gt;0,Eingabe!$E$16&gt;=66),Eingabe!$C$16&amp;"-Paz."&amp;TEXT(66,"000"),"")</f>
        <v/>
      </c>
      <c r="D1488" s="19" t="str">
        <f aca="false">IF(AND(Eingabe!$F$16&gt;0,Eingabe!$E$16&gt;=66),66,"")</f>
        <v/>
      </c>
      <c r="E1488" s="19" t="str">
        <f aca="false">IF(AND(Eingabe!$F$16&gt;0,Eingabe!$E$16&gt;=66),IF((Eingabe!$G$16)&lt;=9,1000+(Eingabe!$G$16)*100,3000)+66,"")</f>
        <v/>
      </c>
      <c r="F1488" s="19" t="str">
        <f aca="false">IF(AND(Eingabe!$F$16&gt;0,Eingabe!$E$16&gt;=66),"10."&amp;Eingabe!$D$16&amp;".66.0/24","")</f>
        <v/>
      </c>
      <c r="G1488" s="19" t="str">
        <f aca="false">IF(AND(Eingabe!$F$16&gt;0,Eingabe!$E$16&gt;=66),"10."&amp;Eingabe!$D$16&amp;".66.1","")</f>
        <v/>
      </c>
      <c r="H1488" s="19" t="str">
        <f aca="false">IF(AND(Eingabe!$F$16&gt;0,Eingabe!$E$16&gt;=66),"10."&amp;Eingabe!$D$16&amp;".66.10 – 10."&amp;Eingabe!$D$16&amp;".66.250","")</f>
        <v/>
      </c>
      <c r="I1488" s="19" t="str">
        <f aca="false">IF(AND(Eingabe!$F$16&gt;0,Eingabe!$E$16&gt;=66),Eingabe!$B$6&amp;"-"&amp;Eingabe!$C$16&amp;"-Pächter","")</f>
        <v/>
      </c>
      <c r="J1488" s="19" t="str">
        <f aca="false">IF(AND(Eingabe!$F$16&gt;0,Eingabe!$E$16&gt;=66),"PPSK: Passwort Parzelle 66","")</f>
        <v/>
      </c>
      <c r="K1488" s="19" t="str">
        <f aca="false">IF(AND(Eingabe!$F$16&gt;0,Eingabe!$E$16&gt;=66),"1. Gerät: 10."&amp;Eingabe!$D$16&amp;".66.10, 2. Gerät: .11","")</f>
        <v/>
      </c>
    </row>
    <row r="1489" customFormat="false" ht="15" hidden="false" customHeight="false" outlineLevel="0" collapsed="false">
      <c r="A1489" s="19" t="str">
        <f aca="false">IF(AND(Eingabe!$F$16&gt;0,Eingabe!$E$16&gt;=67),8,"")</f>
        <v/>
      </c>
      <c r="B1489" s="19" t="str">
        <f aca="false">IF(AND(Eingabe!$F$16&gt;0,Eingabe!$E$16&gt;=67),Eingabe!$B$16,"")</f>
        <v/>
      </c>
      <c r="C1489" s="19" t="str">
        <f aca="false">IF(AND(Eingabe!$F$16&gt;0,Eingabe!$E$16&gt;=67),Eingabe!$C$16&amp;"-Paz."&amp;TEXT(67,"000"),"")</f>
        <v/>
      </c>
      <c r="D1489" s="19" t="str">
        <f aca="false">IF(AND(Eingabe!$F$16&gt;0,Eingabe!$E$16&gt;=67),67,"")</f>
        <v/>
      </c>
      <c r="E1489" s="19" t="str">
        <f aca="false">IF(AND(Eingabe!$F$16&gt;0,Eingabe!$E$16&gt;=67),IF((Eingabe!$G$16)&lt;=9,1000+(Eingabe!$G$16)*100,3000)+67,"")</f>
        <v/>
      </c>
      <c r="F1489" s="19" t="str">
        <f aca="false">IF(AND(Eingabe!$F$16&gt;0,Eingabe!$E$16&gt;=67),"10."&amp;Eingabe!$D$16&amp;".67.0/24","")</f>
        <v/>
      </c>
      <c r="G1489" s="19" t="str">
        <f aca="false">IF(AND(Eingabe!$F$16&gt;0,Eingabe!$E$16&gt;=67),"10."&amp;Eingabe!$D$16&amp;".67.1","")</f>
        <v/>
      </c>
      <c r="H1489" s="19" t="str">
        <f aca="false">IF(AND(Eingabe!$F$16&gt;0,Eingabe!$E$16&gt;=67),"10."&amp;Eingabe!$D$16&amp;".67.10 – 10."&amp;Eingabe!$D$16&amp;".67.250","")</f>
        <v/>
      </c>
      <c r="I1489" s="19" t="str">
        <f aca="false">IF(AND(Eingabe!$F$16&gt;0,Eingabe!$E$16&gt;=67),Eingabe!$B$6&amp;"-"&amp;Eingabe!$C$16&amp;"-Pächter","")</f>
        <v/>
      </c>
      <c r="J1489" s="19" t="str">
        <f aca="false">IF(AND(Eingabe!$F$16&gt;0,Eingabe!$E$16&gt;=67),"PPSK: Passwort Parzelle 67","")</f>
        <v/>
      </c>
      <c r="K1489" s="19" t="str">
        <f aca="false">IF(AND(Eingabe!$F$16&gt;0,Eingabe!$E$16&gt;=67),"1. Gerät: 10."&amp;Eingabe!$D$16&amp;".67.10, 2. Gerät: .11","")</f>
        <v/>
      </c>
    </row>
    <row r="1490" customFormat="false" ht="15" hidden="false" customHeight="false" outlineLevel="0" collapsed="false">
      <c r="A1490" s="19" t="str">
        <f aca="false">IF(AND(Eingabe!$F$16&gt;0,Eingabe!$E$16&gt;=68),8,"")</f>
        <v/>
      </c>
      <c r="B1490" s="19" t="str">
        <f aca="false">IF(AND(Eingabe!$F$16&gt;0,Eingabe!$E$16&gt;=68),Eingabe!$B$16,"")</f>
        <v/>
      </c>
      <c r="C1490" s="19" t="str">
        <f aca="false">IF(AND(Eingabe!$F$16&gt;0,Eingabe!$E$16&gt;=68),Eingabe!$C$16&amp;"-Paz."&amp;TEXT(68,"000"),"")</f>
        <v/>
      </c>
      <c r="D1490" s="19" t="str">
        <f aca="false">IF(AND(Eingabe!$F$16&gt;0,Eingabe!$E$16&gt;=68),68,"")</f>
        <v/>
      </c>
      <c r="E1490" s="19" t="str">
        <f aca="false">IF(AND(Eingabe!$F$16&gt;0,Eingabe!$E$16&gt;=68),IF((Eingabe!$G$16)&lt;=9,1000+(Eingabe!$G$16)*100,3000)+68,"")</f>
        <v/>
      </c>
      <c r="F1490" s="19" t="str">
        <f aca="false">IF(AND(Eingabe!$F$16&gt;0,Eingabe!$E$16&gt;=68),"10."&amp;Eingabe!$D$16&amp;".68.0/24","")</f>
        <v/>
      </c>
      <c r="G1490" s="19" t="str">
        <f aca="false">IF(AND(Eingabe!$F$16&gt;0,Eingabe!$E$16&gt;=68),"10."&amp;Eingabe!$D$16&amp;".68.1","")</f>
        <v/>
      </c>
      <c r="H1490" s="19" t="str">
        <f aca="false">IF(AND(Eingabe!$F$16&gt;0,Eingabe!$E$16&gt;=68),"10."&amp;Eingabe!$D$16&amp;".68.10 – 10."&amp;Eingabe!$D$16&amp;".68.250","")</f>
        <v/>
      </c>
      <c r="I1490" s="19" t="str">
        <f aca="false">IF(AND(Eingabe!$F$16&gt;0,Eingabe!$E$16&gt;=68),Eingabe!$B$6&amp;"-"&amp;Eingabe!$C$16&amp;"-Pächter","")</f>
        <v/>
      </c>
      <c r="J1490" s="19" t="str">
        <f aca="false">IF(AND(Eingabe!$F$16&gt;0,Eingabe!$E$16&gt;=68),"PPSK: Passwort Parzelle 68","")</f>
        <v/>
      </c>
      <c r="K1490" s="19" t="str">
        <f aca="false">IF(AND(Eingabe!$F$16&gt;0,Eingabe!$E$16&gt;=68),"1. Gerät: 10."&amp;Eingabe!$D$16&amp;".68.10, 2. Gerät: .11","")</f>
        <v/>
      </c>
    </row>
    <row r="1491" customFormat="false" ht="15" hidden="false" customHeight="false" outlineLevel="0" collapsed="false">
      <c r="A1491" s="19" t="str">
        <f aca="false">IF(AND(Eingabe!$F$16&gt;0,Eingabe!$E$16&gt;=69),8,"")</f>
        <v/>
      </c>
      <c r="B1491" s="19" t="str">
        <f aca="false">IF(AND(Eingabe!$F$16&gt;0,Eingabe!$E$16&gt;=69),Eingabe!$B$16,"")</f>
        <v/>
      </c>
      <c r="C1491" s="19" t="str">
        <f aca="false">IF(AND(Eingabe!$F$16&gt;0,Eingabe!$E$16&gt;=69),Eingabe!$C$16&amp;"-Paz."&amp;TEXT(69,"000"),"")</f>
        <v/>
      </c>
      <c r="D1491" s="19" t="str">
        <f aca="false">IF(AND(Eingabe!$F$16&gt;0,Eingabe!$E$16&gt;=69),69,"")</f>
        <v/>
      </c>
      <c r="E1491" s="19" t="str">
        <f aca="false">IF(AND(Eingabe!$F$16&gt;0,Eingabe!$E$16&gt;=69),IF((Eingabe!$G$16)&lt;=9,1000+(Eingabe!$G$16)*100,3000)+69,"")</f>
        <v/>
      </c>
      <c r="F1491" s="19" t="str">
        <f aca="false">IF(AND(Eingabe!$F$16&gt;0,Eingabe!$E$16&gt;=69),"10."&amp;Eingabe!$D$16&amp;".69.0/24","")</f>
        <v/>
      </c>
      <c r="G1491" s="19" t="str">
        <f aca="false">IF(AND(Eingabe!$F$16&gt;0,Eingabe!$E$16&gt;=69),"10."&amp;Eingabe!$D$16&amp;".69.1","")</f>
        <v/>
      </c>
      <c r="H1491" s="19" t="str">
        <f aca="false">IF(AND(Eingabe!$F$16&gt;0,Eingabe!$E$16&gt;=69),"10."&amp;Eingabe!$D$16&amp;".69.10 – 10."&amp;Eingabe!$D$16&amp;".69.250","")</f>
        <v/>
      </c>
      <c r="I1491" s="19" t="str">
        <f aca="false">IF(AND(Eingabe!$F$16&gt;0,Eingabe!$E$16&gt;=69),Eingabe!$B$6&amp;"-"&amp;Eingabe!$C$16&amp;"-Pächter","")</f>
        <v/>
      </c>
      <c r="J1491" s="19" t="str">
        <f aca="false">IF(AND(Eingabe!$F$16&gt;0,Eingabe!$E$16&gt;=69),"PPSK: Passwort Parzelle 69","")</f>
        <v/>
      </c>
      <c r="K1491" s="19" t="str">
        <f aca="false">IF(AND(Eingabe!$F$16&gt;0,Eingabe!$E$16&gt;=69),"1. Gerät: 10."&amp;Eingabe!$D$16&amp;".69.10, 2. Gerät: .11","")</f>
        <v/>
      </c>
    </row>
    <row r="1492" customFormat="false" ht="15" hidden="false" customHeight="false" outlineLevel="0" collapsed="false">
      <c r="A1492" s="19" t="str">
        <f aca="false">IF(AND(Eingabe!$F$16&gt;0,Eingabe!$E$16&gt;=70),8,"")</f>
        <v/>
      </c>
      <c r="B1492" s="19" t="str">
        <f aca="false">IF(AND(Eingabe!$F$16&gt;0,Eingabe!$E$16&gt;=70),Eingabe!$B$16,"")</f>
        <v/>
      </c>
      <c r="C1492" s="19" t="str">
        <f aca="false">IF(AND(Eingabe!$F$16&gt;0,Eingabe!$E$16&gt;=70),Eingabe!$C$16&amp;"-Paz."&amp;TEXT(70,"000"),"")</f>
        <v/>
      </c>
      <c r="D1492" s="19" t="str">
        <f aca="false">IF(AND(Eingabe!$F$16&gt;0,Eingabe!$E$16&gt;=70),70,"")</f>
        <v/>
      </c>
      <c r="E1492" s="19" t="str">
        <f aca="false">IF(AND(Eingabe!$F$16&gt;0,Eingabe!$E$16&gt;=70),IF((Eingabe!$G$16)&lt;=9,1000+(Eingabe!$G$16)*100,3000)+70,"")</f>
        <v/>
      </c>
      <c r="F1492" s="19" t="str">
        <f aca="false">IF(AND(Eingabe!$F$16&gt;0,Eingabe!$E$16&gt;=70),"10."&amp;Eingabe!$D$16&amp;".70.0/24","")</f>
        <v/>
      </c>
      <c r="G1492" s="19" t="str">
        <f aca="false">IF(AND(Eingabe!$F$16&gt;0,Eingabe!$E$16&gt;=70),"10."&amp;Eingabe!$D$16&amp;".70.1","")</f>
        <v/>
      </c>
      <c r="H1492" s="19" t="str">
        <f aca="false">IF(AND(Eingabe!$F$16&gt;0,Eingabe!$E$16&gt;=70),"10."&amp;Eingabe!$D$16&amp;".70.10 – 10."&amp;Eingabe!$D$16&amp;".70.250","")</f>
        <v/>
      </c>
      <c r="I1492" s="19" t="str">
        <f aca="false">IF(AND(Eingabe!$F$16&gt;0,Eingabe!$E$16&gt;=70),Eingabe!$B$6&amp;"-"&amp;Eingabe!$C$16&amp;"-Pächter","")</f>
        <v/>
      </c>
      <c r="J1492" s="19" t="str">
        <f aca="false">IF(AND(Eingabe!$F$16&gt;0,Eingabe!$E$16&gt;=70),"PPSK: Passwort Parzelle 70","")</f>
        <v/>
      </c>
      <c r="K1492" s="19" t="str">
        <f aca="false">IF(AND(Eingabe!$F$16&gt;0,Eingabe!$E$16&gt;=70),"1. Gerät: 10."&amp;Eingabe!$D$16&amp;".70.10, 2. Gerät: .11","")</f>
        <v/>
      </c>
    </row>
    <row r="1493" customFormat="false" ht="15" hidden="false" customHeight="false" outlineLevel="0" collapsed="false">
      <c r="A1493" s="19" t="str">
        <f aca="false">IF(AND(Eingabe!$F$16&gt;0,Eingabe!$E$16&gt;=71),8,"")</f>
        <v/>
      </c>
      <c r="B1493" s="19" t="str">
        <f aca="false">IF(AND(Eingabe!$F$16&gt;0,Eingabe!$E$16&gt;=71),Eingabe!$B$16,"")</f>
        <v/>
      </c>
      <c r="C1493" s="19" t="str">
        <f aca="false">IF(AND(Eingabe!$F$16&gt;0,Eingabe!$E$16&gt;=71),Eingabe!$C$16&amp;"-Paz."&amp;TEXT(71,"000"),"")</f>
        <v/>
      </c>
      <c r="D1493" s="19" t="str">
        <f aca="false">IF(AND(Eingabe!$F$16&gt;0,Eingabe!$E$16&gt;=71),71,"")</f>
        <v/>
      </c>
      <c r="E1493" s="19" t="str">
        <f aca="false">IF(AND(Eingabe!$F$16&gt;0,Eingabe!$E$16&gt;=71),IF((Eingabe!$G$16)&lt;=9,1000+(Eingabe!$G$16)*100,3000)+71,"")</f>
        <v/>
      </c>
      <c r="F1493" s="19" t="str">
        <f aca="false">IF(AND(Eingabe!$F$16&gt;0,Eingabe!$E$16&gt;=71),"10."&amp;Eingabe!$D$16&amp;".71.0/24","")</f>
        <v/>
      </c>
      <c r="G1493" s="19" t="str">
        <f aca="false">IF(AND(Eingabe!$F$16&gt;0,Eingabe!$E$16&gt;=71),"10."&amp;Eingabe!$D$16&amp;".71.1","")</f>
        <v/>
      </c>
      <c r="H1493" s="19" t="str">
        <f aca="false">IF(AND(Eingabe!$F$16&gt;0,Eingabe!$E$16&gt;=71),"10."&amp;Eingabe!$D$16&amp;".71.10 – 10."&amp;Eingabe!$D$16&amp;".71.250","")</f>
        <v/>
      </c>
      <c r="I1493" s="19" t="str">
        <f aca="false">IF(AND(Eingabe!$F$16&gt;0,Eingabe!$E$16&gt;=71),Eingabe!$B$6&amp;"-"&amp;Eingabe!$C$16&amp;"-Pächter","")</f>
        <v/>
      </c>
      <c r="J1493" s="19" t="str">
        <f aca="false">IF(AND(Eingabe!$F$16&gt;0,Eingabe!$E$16&gt;=71),"PPSK: Passwort Parzelle 71","")</f>
        <v/>
      </c>
      <c r="K1493" s="19" t="str">
        <f aca="false">IF(AND(Eingabe!$F$16&gt;0,Eingabe!$E$16&gt;=71),"1. Gerät: 10."&amp;Eingabe!$D$16&amp;".71.10, 2. Gerät: .11","")</f>
        <v/>
      </c>
    </row>
    <row r="1494" customFormat="false" ht="15" hidden="false" customHeight="false" outlineLevel="0" collapsed="false">
      <c r="A1494" s="19" t="str">
        <f aca="false">IF(AND(Eingabe!$F$16&gt;0,Eingabe!$E$16&gt;=72),8,"")</f>
        <v/>
      </c>
      <c r="B1494" s="19" t="str">
        <f aca="false">IF(AND(Eingabe!$F$16&gt;0,Eingabe!$E$16&gt;=72),Eingabe!$B$16,"")</f>
        <v/>
      </c>
      <c r="C1494" s="19" t="str">
        <f aca="false">IF(AND(Eingabe!$F$16&gt;0,Eingabe!$E$16&gt;=72),Eingabe!$C$16&amp;"-Paz."&amp;TEXT(72,"000"),"")</f>
        <v/>
      </c>
      <c r="D1494" s="19" t="str">
        <f aca="false">IF(AND(Eingabe!$F$16&gt;0,Eingabe!$E$16&gt;=72),72,"")</f>
        <v/>
      </c>
      <c r="E1494" s="19" t="str">
        <f aca="false">IF(AND(Eingabe!$F$16&gt;0,Eingabe!$E$16&gt;=72),IF((Eingabe!$G$16)&lt;=9,1000+(Eingabe!$G$16)*100,3000)+72,"")</f>
        <v/>
      </c>
      <c r="F1494" s="19" t="str">
        <f aca="false">IF(AND(Eingabe!$F$16&gt;0,Eingabe!$E$16&gt;=72),"10."&amp;Eingabe!$D$16&amp;".72.0/24","")</f>
        <v/>
      </c>
      <c r="G1494" s="19" t="str">
        <f aca="false">IF(AND(Eingabe!$F$16&gt;0,Eingabe!$E$16&gt;=72),"10."&amp;Eingabe!$D$16&amp;".72.1","")</f>
        <v/>
      </c>
      <c r="H1494" s="19" t="str">
        <f aca="false">IF(AND(Eingabe!$F$16&gt;0,Eingabe!$E$16&gt;=72),"10."&amp;Eingabe!$D$16&amp;".72.10 – 10."&amp;Eingabe!$D$16&amp;".72.250","")</f>
        <v/>
      </c>
      <c r="I1494" s="19" t="str">
        <f aca="false">IF(AND(Eingabe!$F$16&gt;0,Eingabe!$E$16&gt;=72),Eingabe!$B$6&amp;"-"&amp;Eingabe!$C$16&amp;"-Pächter","")</f>
        <v/>
      </c>
      <c r="J1494" s="19" t="str">
        <f aca="false">IF(AND(Eingabe!$F$16&gt;0,Eingabe!$E$16&gt;=72),"PPSK: Passwort Parzelle 72","")</f>
        <v/>
      </c>
      <c r="K1494" s="19" t="str">
        <f aca="false">IF(AND(Eingabe!$F$16&gt;0,Eingabe!$E$16&gt;=72),"1. Gerät: 10."&amp;Eingabe!$D$16&amp;".72.10, 2. Gerät: .11","")</f>
        <v/>
      </c>
    </row>
    <row r="1495" customFormat="false" ht="15" hidden="false" customHeight="false" outlineLevel="0" collapsed="false">
      <c r="A1495" s="19" t="str">
        <f aca="false">IF(AND(Eingabe!$F$16&gt;0,Eingabe!$E$16&gt;=73),8,"")</f>
        <v/>
      </c>
      <c r="B1495" s="19" t="str">
        <f aca="false">IF(AND(Eingabe!$F$16&gt;0,Eingabe!$E$16&gt;=73),Eingabe!$B$16,"")</f>
        <v/>
      </c>
      <c r="C1495" s="19" t="str">
        <f aca="false">IF(AND(Eingabe!$F$16&gt;0,Eingabe!$E$16&gt;=73),Eingabe!$C$16&amp;"-Paz."&amp;TEXT(73,"000"),"")</f>
        <v/>
      </c>
      <c r="D1495" s="19" t="str">
        <f aca="false">IF(AND(Eingabe!$F$16&gt;0,Eingabe!$E$16&gt;=73),73,"")</f>
        <v/>
      </c>
      <c r="E1495" s="19" t="str">
        <f aca="false">IF(AND(Eingabe!$F$16&gt;0,Eingabe!$E$16&gt;=73),IF((Eingabe!$G$16)&lt;=9,1000+(Eingabe!$G$16)*100,3000)+73,"")</f>
        <v/>
      </c>
      <c r="F1495" s="19" t="str">
        <f aca="false">IF(AND(Eingabe!$F$16&gt;0,Eingabe!$E$16&gt;=73),"10."&amp;Eingabe!$D$16&amp;".73.0/24","")</f>
        <v/>
      </c>
      <c r="G1495" s="19" t="str">
        <f aca="false">IF(AND(Eingabe!$F$16&gt;0,Eingabe!$E$16&gt;=73),"10."&amp;Eingabe!$D$16&amp;".73.1","")</f>
        <v/>
      </c>
      <c r="H1495" s="19" t="str">
        <f aca="false">IF(AND(Eingabe!$F$16&gt;0,Eingabe!$E$16&gt;=73),"10."&amp;Eingabe!$D$16&amp;".73.10 – 10."&amp;Eingabe!$D$16&amp;".73.250","")</f>
        <v/>
      </c>
      <c r="I1495" s="19" t="str">
        <f aca="false">IF(AND(Eingabe!$F$16&gt;0,Eingabe!$E$16&gt;=73),Eingabe!$B$6&amp;"-"&amp;Eingabe!$C$16&amp;"-Pächter","")</f>
        <v/>
      </c>
      <c r="J1495" s="19" t="str">
        <f aca="false">IF(AND(Eingabe!$F$16&gt;0,Eingabe!$E$16&gt;=73),"PPSK: Passwort Parzelle 73","")</f>
        <v/>
      </c>
      <c r="K1495" s="19" t="str">
        <f aca="false">IF(AND(Eingabe!$F$16&gt;0,Eingabe!$E$16&gt;=73),"1. Gerät: 10."&amp;Eingabe!$D$16&amp;".73.10, 2. Gerät: .11","")</f>
        <v/>
      </c>
    </row>
    <row r="1496" customFormat="false" ht="15" hidden="false" customHeight="false" outlineLevel="0" collapsed="false">
      <c r="A1496" s="19" t="str">
        <f aca="false">IF(AND(Eingabe!$F$16&gt;0,Eingabe!$E$16&gt;=74),8,"")</f>
        <v/>
      </c>
      <c r="B1496" s="19" t="str">
        <f aca="false">IF(AND(Eingabe!$F$16&gt;0,Eingabe!$E$16&gt;=74),Eingabe!$B$16,"")</f>
        <v/>
      </c>
      <c r="C1496" s="19" t="str">
        <f aca="false">IF(AND(Eingabe!$F$16&gt;0,Eingabe!$E$16&gt;=74),Eingabe!$C$16&amp;"-Paz."&amp;TEXT(74,"000"),"")</f>
        <v/>
      </c>
      <c r="D1496" s="19" t="str">
        <f aca="false">IF(AND(Eingabe!$F$16&gt;0,Eingabe!$E$16&gt;=74),74,"")</f>
        <v/>
      </c>
      <c r="E1496" s="19" t="str">
        <f aca="false">IF(AND(Eingabe!$F$16&gt;0,Eingabe!$E$16&gt;=74),IF((Eingabe!$G$16)&lt;=9,1000+(Eingabe!$G$16)*100,3000)+74,"")</f>
        <v/>
      </c>
      <c r="F1496" s="19" t="str">
        <f aca="false">IF(AND(Eingabe!$F$16&gt;0,Eingabe!$E$16&gt;=74),"10."&amp;Eingabe!$D$16&amp;".74.0/24","")</f>
        <v/>
      </c>
      <c r="G1496" s="19" t="str">
        <f aca="false">IF(AND(Eingabe!$F$16&gt;0,Eingabe!$E$16&gt;=74),"10."&amp;Eingabe!$D$16&amp;".74.1","")</f>
        <v/>
      </c>
      <c r="H1496" s="19" t="str">
        <f aca="false">IF(AND(Eingabe!$F$16&gt;0,Eingabe!$E$16&gt;=74),"10."&amp;Eingabe!$D$16&amp;".74.10 – 10."&amp;Eingabe!$D$16&amp;".74.250","")</f>
        <v/>
      </c>
      <c r="I1496" s="19" t="str">
        <f aca="false">IF(AND(Eingabe!$F$16&gt;0,Eingabe!$E$16&gt;=74),Eingabe!$B$6&amp;"-"&amp;Eingabe!$C$16&amp;"-Pächter","")</f>
        <v/>
      </c>
      <c r="J1496" s="19" t="str">
        <f aca="false">IF(AND(Eingabe!$F$16&gt;0,Eingabe!$E$16&gt;=74),"PPSK: Passwort Parzelle 74","")</f>
        <v/>
      </c>
      <c r="K1496" s="19" t="str">
        <f aca="false">IF(AND(Eingabe!$F$16&gt;0,Eingabe!$E$16&gt;=74),"1. Gerät: 10."&amp;Eingabe!$D$16&amp;".74.10, 2. Gerät: .11","")</f>
        <v/>
      </c>
    </row>
    <row r="1497" customFormat="false" ht="15" hidden="false" customHeight="false" outlineLevel="0" collapsed="false">
      <c r="A1497" s="19" t="str">
        <f aca="false">IF(AND(Eingabe!$F$16&gt;0,Eingabe!$E$16&gt;=75),8,"")</f>
        <v/>
      </c>
      <c r="B1497" s="19" t="str">
        <f aca="false">IF(AND(Eingabe!$F$16&gt;0,Eingabe!$E$16&gt;=75),Eingabe!$B$16,"")</f>
        <v/>
      </c>
      <c r="C1497" s="19" t="str">
        <f aca="false">IF(AND(Eingabe!$F$16&gt;0,Eingabe!$E$16&gt;=75),Eingabe!$C$16&amp;"-Paz."&amp;TEXT(75,"000"),"")</f>
        <v/>
      </c>
      <c r="D1497" s="19" t="str">
        <f aca="false">IF(AND(Eingabe!$F$16&gt;0,Eingabe!$E$16&gt;=75),75,"")</f>
        <v/>
      </c>
      <c r="E1497" s="19" t="str">
        <f aca="false">IF(AND(Eingabe!$F$16&gt;0,Eingabe!$E$16&gt;=75),IF((Eingabe!$G$16)&lt;=9,1000+(Eingabe!$G$16)*100,3000)+75,"")</f>
        <v/>
      </c>
      <c r="F1497" s="19" t="str">
        <f aca="false">IF(AND(Eingabe!$F$16&gt;0,Eingabe!$E$16&gt;=75),"10."&amp;Eingabe!$D$16&amp;".75.0/24","")</f>
        <v/>
      </c>
      <c r="G1497" s="19" t="str">
        <f aca="false">IF(AND(Eingabe!$F$16&gt;0,Eingabe!$E$16&gt;=75),"10."&amp;Eingabe!$D$16&amp;".75.1","")</f>
        <v/>
      </c>
      <c r="H1497" s="19" t="str">
        <f aca="false">IF(AND(Eingabe!$F$16&gt;0,Eingabe!$E$16&gt;=75),"10."&amp;Eingabe!$D$16&amp;".75.10 – 10."&amp;Eingabe!$D$16&amp;".75.250","")</f>
        <v/>
      </c>
      <c r="I1497" s="19" t="str">
        <f aca="false">IF(AND(Eingabe!$F$16&gt;0,Eingabe!$E$16&gt;=75),Eingabe!$B$6&amp;"-"&amp;Eingabe!$C$16&amp;"-Pächter","")</f>
        <v/>
      </c>
      <c r="J1497" s="19" t="str">
        <f aca="false">IF(AND(Eingabe!$F$16&gt;0,Eingabe!$E$16&gt;=75),"PPSK: Passwort Parzelle 75","")</f>
        <v/>
      </c>
      <c r="K1497" s="19" t="str">
        <f aca="false">IF(AND(Eingabe!$F$16&gt;0,Eingabe!$E$16&gt;=75),"1. Gerät: 10."&amp;Eingabe!$D$16&amp;".75.10, 2. Gerät: .11","")</f>
        <v/>
      </c>
    </row>
    <row r="1498" customFormat="false" ht="15" hidden="false" customHeight="false" outlineLevel="0" collapsed="false">
      <c r="A1498" s="19" t="str">
        <f aca="false">IF(AND(Eingabe!$F$16&gt;0,Eingabe!$E$16&gt;=76),8,"")</f>
        <v/>
      </c>
      <c r="B1498" s="19" t="str">
        <f aca="false">IF(AND(Eingabe!$F$16&gt;0,Eingabe!$E$16&gt;=76),Eingabe!$B$16,"")</f>
        <v/>
      </c>
      <c r="C1498" s="19" t="str">
        <f aca="false">IF(AND(Eingabe!$F$16&gt;0,Eingabe!$E$16&gt;=76),Eingabe!$C$16&amp;"-Paz."&amp;TEXT(76,"000"),"")</f>
        <v/>
      </c>
      <c r="D1498" s="19" t="str">
        <f aca="false">IF(AND(Eingabe!$F$16&gt;0,Eingabe!$E$16&gt;=76),76,"")</f>
        <v/>
      </c>
      <c r="E1498" s="19" t="str">
        <f aca="false">IF(AND(Eingabe!$F$16&gt;0,Eingabe!$E$16&gt;=76),IF((Eingabe!$G$16)&lt;=9,1000+(Eingabe!$G$16)*100,3000)+76,"")</f>
        <v/>
      </c>
      <c r="F1498" s="19" t="str">
        <f aca="false">IF(AND(Eingabe!$F$16&gt;0,Eingabe!$E$16&gt;=76),"10."&amp;Eingabe!$D$16&amp;".76.0/24","")</f>
        <v/>
      </c>
      <c r="G1498" s="19" t="str">
        <f aca="false">IF(AND(Eingabe!$F$16&gt;0,Eingabe!$E$16&gt;=76),"10."&amp;Eingabe!$D$16&amp;".76.1","")</f>
        <v/>
      </c>
      <c r="H1498" s="19" t="str">
        <f aca="false">IF(AND(Eingabe!$F$16&gt;0,Eingabe!$E$16&gt;=76),"10."&amp;Eingabe!$D$16&amp;".76.10 – 10."&amp;Eingabe!$D$16&amp;".76.250","")</f>
        <v/>
      </c>
      <c r="I1498" s="19" t="str">
        <f aca="false">IF(AND(Eingabe!$F$16&gt;0,Eingabe!$E$16&gt;=76),Eingabe!$B$6&amp;"-"&amp;Eingabe!$C$16&amp;"-Pächter","")</f>
        <v/>
      </c>
      <c r="J1498" s="19" t="str">
        <f aca="false">IF(AND(Eingabe!$F$16&gt;0,Eingabe!$E$16&gt;=76),"PPSK: Passwort Parzelle 76","")</f>
        <v/>
      </c>
      <c r="K1498" s="19" t="str">
        <f aca="false">IF(AND(Eingabe!$F$16&gt;0,Eingabe!$E$16&gt;=76),"1. Gerät: 10."&amp;Eingabe!$D$16&amp;".76.10, 2. Gerät: .11","")</f>
        <v/>
      </c>
    </row>
    <row r="1499" customFormat="false" ht="15" hidden="false" customHeight="false" outlineLevel="0" collapsed="false">
      <c r="A1499" s="19" t="str">
        <f aca="false">IF(AND(Eingabe!$F$16&gt;0,Eingabe!$E$16&gt;=77),8,"")</f>
        <v/>
      </c>
      <c r="B1499" s="19" t="str">
        <f aca="false">IF(AND(Eingabe!$F$16&gt;0,Eingabe!$E$16&gt;=77),Eingabe!$B$16,"")</f>
        <v/>
      </c>
      <c r="C1499" s="19" t="str">
        <f aca="false">IF(AND(Eingabe!$F$16&gt;0,Eingabe!$E$16&gt;=77),Eingabe!$C$16&amp;"-Paz."&amp;TEXT(77,"000"),"")</f>
        <v/>
      </c>
      <c r="D1499" s="19" t="str">
        <f aca="false">IF(AND(Eingabe!$F$16&gt;0,Eingabe!$E$16&gt;=77),77,"")</f>
        <v/>
      </c>
      <c r="E1499" s="19" t="str">
        <f aca="false">IF(AND(Eingabe!$F$16&gt;0,Eingabe!$E$16&gt;=77),IF((Eingabe!$G$16)&lt;=9,1000+(Eingabe!$G$16)*100,3000)+77,"")</f>
        <v/>
      </c>
      <c r="F1499" s="19" t="str">
        <f aca="false">IF(AND(Eingabe!$F$16&gt;0,Eingabe!$E$16&gt;=77),"10."&amp;Eingabe!$D$16&amp;".77.0/24","")</f>
        <v/>
      </c>
      <c r="G1499" s="19" t="str">
        <f aca="false">IF(AND(Eingabe!$F$16&gt;0,Eingabe!$E$16&gt;=77),"10."&amp;Eingabe!$D$16&amp;".77.1","")</f>
        <v/>
      </c>
      <c r="H1499" s="19" t="str">
        <f aca="false">IF(AND(Eingabe!$F$16&gt;0,Eingabe!$E$16&gt;=77),"10."&amp;Eingabe!$D$16&amp;".77.10 – 10."&amp;Eingabe!$D$16&amp;".77.250","")</f>
        <v/>
      </c>
      <c r="I1499" s="19" t="str">
        <f aca="false">IF(AND(Eingabe!$F$16&gt;0,Eingabe!$E$16&gt;=77),Eingabe!$B$6&amp;"-"&amp;Eingabe!$C$16&amp;"-Pächter","")</f>
        <v/>
      </c>
      <c r="J1499" s="19" t="str">
        <f aca="false">IF(AND(Eingabe!$F$16&gt;0,Eingabe!$E$16&gt;=77),"PPSK: Passwort Parzelle 77","")</f>
        <v/>
      </c>
      <c r="K1499" s="19" t="str">
        <f aca="false">IF(AND(Eingabe!$F$16&gt;0,Eingabe!$E$16&gt;=77),"1. Gerät: 10."&amp;Eingabe!$D$16&amp;".77.10, 2. Gerät: .11","")</f>
        <v/>
      </c>
    </row>
    <row r="1500" customFormat="false" ht="15" hidden="false" customHeight="false" outlineLevel="0" collapsed="false">
      <c r="A1500" s="19" t="str">
        <f aca="false">IF(AND(Eingabe!$F$16&gt;0,Eingabe!$E$16&gt;=78),8,"")</f>
        <v/>
      </c>
      <c r="B1500" s="19" t="str">
        <f aca="false">IF(AND(Eingabe!$F$16&gt;0,Eingabe!$E$16&gt;=78),Eingabe!$B$16,"")</f>
        <v/>
      </c>
      <c r="C1500" s="19" t="str">
        <f aca="false">IF(AND(Eingabe!$F$16&gt;0,Eingabe!$E$16&gt;=78),Eingabe!$C$16&amp;"-Paz."&amp;TEXT(78,"000"),"")</f>
        <v/>
      </c>
      <c r="D1500" s="19" t="str">
        <f aca="false">IF(AND(Eingabe!$F$16&gt;0,Eingabe!$E$16&gt;=78),78,"")</f>
        <v/>
      </c>
      <c r="E1500" s="19" t="str">
        <f aca="false">IF(AND(Eingabe!$F$16&gt;0,Eingabe!$E$16&gt;=78),IF((Eingabe!$G$16)&lt;=9,1000+(Eingabe!$G$16)*100,3000)+78,"")</f>
        <v/>
      </c>
      <c r="F1500" s="19" t="str">
        <f aca="false">IF(AND(Eingabe!$F$16&gt;0,Eingabe!$E$16&gt;=78),"10."&amp;Eingabe!$D$16&amp;".78.0/24","")</f>
        <v/>
      </c>
      <c r="G1500" s="19" t="str">
        <f aca="false">IF(AND(Eingabe!$F$16&gt;0,Eingabe!$E$16&gt;=78),"10."&amp;Eingabe!$D$16&amp;".78.1","")</f>
        <v/>
      </c>
      <c r="H1500" s="19" t="str">
        <f aca="false">IF(AND(Eingabe!$F$16&gt;0,Eingabe!$E$16&gt;=78),"10."&amp;Eingabe!$D$16&amp;".78.10 – 10."&amp;Eingabe!$D$16&amp;".78.250","")</f>
        <v/>
      </c>
      <c r="I1500" s="19" t="str">
        <f aca="false">IF(AND(Eingabe!$F$16&gt;0,Eingabe!$E$16&gt;=78),Eingabe!$B$6&amp;"-"&amp;Eingabe!$C$16&amp;"-Pächter","")</f>
        <v/>
      </c>
      <c r="J1500" s="19" t="str">
        <f aca="false">IF(AND(Eingabe!$F$16&gt;0,Eingabe!$E$16&gt;=78),"PPSK: Passwort Parzelle 78","")</f>
        <v/>
      </c>
      <c r="K1500" s="19" t="str">
        <f aca="false">IF(AND(Eingabe!$F$16&gt;0,Eingabe!$E$16&gt;=78),"1. Gerät: 10."&amp;Eingabe!$D$16&amp;".78.10, 2. Gerät: .11","")</f>
        <v/>
      </c>
    </row>
    <row r="1501" customFormat="false" ht="15" hidden="false" customHeight="false" outlineLevel="0" collapsed="false">
      <c r="A1501" s="19" t="str">
        <f aca="false">IF(AND(Eingabe!$F$16&gt;0,Eingabe!$E$16&gt;=79),8,"")</f>
        <v/>
      </c>
      <c r="B1501" s="19" t="str">
        <f aca="false">IF(AND(Eingabe!$F$16&gt;0,Eingabe!$E$16&gt;=79),Eingabe!$B$16,"")</f>
        <v/>
      </c>
      <c r="C1501" s="19" t="str">
        <f aca="false">IF(AND(Eingabe!$F$16&gt;0,Eingabe!$E$16&gt;=79),Eingabe!$C$16&amp;"-Paz."&amp;TEXT(79,"000"),"")</f>
        <v/>
      </c>
      <c r="D1501" s="19" t="str">
        <f aca="false">IF(AND(Eingabe!$F$16&gt;0,Eingabe!$E$16&gt;=79),79,"")</f>
        <v/>
      </c>
      <c r="E1501" s="19" t="str">
        <f aca="false">IF(AND(Eingabe!$F$16&gt;0,Eingabe!$E$16&gt;=79),IF((Eingabe!$G$16)&lt;=9,1000+(Eingabe!$G$16)*100,3000)+79,"")</f>
        <v/>
      </c>
      <c r="F1501" s="19" t="str">
        <f aca="false">IF(AND(Eingabe!$F$16&gt;0,Eingabe!$E$16&gt;=79),"10."&amp;Eingabe!$D$16&amp;".79.0/24","")</f>
        <v/>
      </c>
      <c r="G1501" s="19" t="str">
        <f aca="false">IF(AND(Eingabe!$F$16&gt;0,Eingabe!$E$16&gt;=79),"10."&amp;Eingabe!$D$16&amp;".79.1","")</f>
        <v/>
      </c>
      <c r="H1501" s="19" t="str">
        <f aca="false">IF(AND(Eingabe!$F$16&gt;0,Eingabe!$E$16&gt;=79),"10."&amp;Eingabe!$D$16&amp;".79.10 – 10."&amp;Eingabe!$D$16&amp;".79.250","")</f>
        <v/>
      </c>
      <c r="I1501" s="19" t="str">
        <f aca="false">IF(AND(Eingabe!$F$16&gt;0,Eingabe!$E$16&gt;=79),Eingabe!$B$6&amp;"-"&amp;Eingabe!$C$16&amp;"-Pächter","")</f>
        <v/>
      </c>
      <c r="J1501" s="19" t="str">
        <f aca="false">IF(AND(Eingabe!$F$16&gt;0,Eingabe!$E$16&gt;=79),"PPSK: Passwort Parzelle 79","")</f>
        <v/>
      </c>
      <c r="K1501" s="19" t="str">
        <f aca="false">IF(AND(Eingabe!$F$16&gt;0,Eingabe!$E$16&gt;=79),"1. Gerät: 10."&amp;Eingabe!$D$16&amp;".79.10, 2. Gerät: .11","")</f>
        <v/>
      </c>
    </row>
    <row r="1502" customFormat="false" ht="15" hidden="false" customHeight="false" outlineLevel="0" collapsed="false">
      <c r="A1502" s="19" t="str">
        <f aca="false">IF(AND(Eingabe!$F$16&gt;0,Eingabe!$E$16&gt;=80),8,"")</f>
        <v/>
      </c>
      <c r="B1502" s="19" t="str">
        <f aca="false">IF(AND(Eingabe!$F$16&gt;0,Eingabe!$E$16&gt;=80),Eingabe!$B$16,"")</f>
        <v/>
      </c>
      <c r="C1502" s="19" t="str">
        <f aca="false">IF(AND(Eingabe!$F$16&gt;0,Eingabe!$E$16&gt;=80),Eingabe!$C$16&amp;"-Paz."&amp;TEXT(80,"000"),"")</f>
        <v/>
      </c>
      <c r="D1502" s="19" t="str">
        <f aca="false">IF(AND(Eingabe!$F$16&gt;0,Eingabe!$E$16&gt;=80),80,"")</f>
        <v/>
      </c>
      <c r="E1502" s="19" t="str">
        <f aca="false">IF(AND(Eingabe!$F$16&gt;0,Eingabe!$E$16&gt;=80),IF((Eingabe!$G$16)&lt;=9,1000+(Eingabe!$G$16)*100,3000)+80,"")</f>
        <v/>
      </c>
      <c r="F1502" s="19" t="str">
        <f aca="false">IF(AND(Eingabe!$F$16&gt;0,Eingabe!$E$16&gt;=80),"10."&amp;Eingabe!$D$16&amp;".80.0/24","")</f>
        <v/>
      </c>
      <c r="G1502" s="19" t="str">
        <f aca="false">IF(AND(Eingabe!$F$16&gt;0,Eingabe!$E$16&gt;=80),"10."&amp;Eingabe!$D$16&amp;".80.1","")</f>
        <v/>
      </c>
      <c r="H1502" s="19" t="str">
        <f aca="false">IF(AND(Eingabe!$F$16&gt;0,Eingabe!$E$16&gt;=80),"10."&amp;Eingabe!$D$16&amp;".80.10 – 10."&amp;Eingabe!$D$16&amp;".80.250","")</f>
        <v/>
      </c>
      <c r="I1502" s="19" t="str">
        <f aca="false">IF(AND(Eingabe!$F$16&gt;0,Eingabe!$E$16&gt;=80),Eingabe!$B$6&amp;"-"&amp;Eingabe!$C$16&amp;"-Pächter","")</f>
        <v/>
      </c>
      <c r="J1502" s="19" t="str">
        <f aca="false">IF(AND(Eingabe!$F$16&gt;0,Eingabe!$E$16&gt;=80),"PPSK: Passwort Parzelle 80","")</f>
        <v/>
      </c>
      <c r="K1502" s="19" t="str">
        <f aca="false">IF(AND(Eingabe!$F$16&gt;0,Eingabe!$E$16&gt;=80),"1. Gerät: 10."&amp;Eingabe!$D$16&amp;".80.10, 2. Gerät: .11","")</f>
        <v/>
      </c>
    </row>
    <row r="1503" customFormat="false" ht="15" hidden="false" customHeight="false" outlineLevel="0" collapsed="false">
      <c r="A1503" s="19" t="str">
        <f aca="false">IF(AND(Eingabe!$F$16&gt;0,Eingabe!$E$16&gt;=81),8,"")</f>
        <v/>
      </c>
      <c r="B1503" s="19" t="str">
        <f aca="false">IF(AND(Eingabe!$F$16&gt;0,Eingabe!$E$16&gt;=81),Eingabe!$B$16,"")</f>
        <v/>
      </c>
      <c r="C1503" s="19" t="str">
        <f aca="false">IF(AND(Eingabe!$F$16&gt;0,Eingabe!$E$16&gt;=81),Eingabe!$C$16&amp;"-Paz."&amp;TEXT(81,"000"),"")</f>
        <v/>
      </c>
      <c r="D1503" s="19" t="str">
        <f aca="false">IF(AND(Eingabe!$F$16&gt;0,Eingabe!$E$16&gt;=81),81,"")</f>
        <v/>
      </c>
      <c r="E1503" s="19" t="str">
        <f aca="false">IF(AND(Eingabe!$F$16&gt;0,Eingabe!$E$16&gt;=81),IF((Eingabe!$G$16)&lt;=9,1000+(Eingabe!$G$16)*100,3000)+81,"")</f>
        <v/>
      </c>
      <c r="F1503" s="19" t="str">
        <f aca="false">IF(AND(Eingabe!$F$16&gt;0,Eingabe!$E$16&gt;=81),"10."&amp;Eingabe!$D$16&amp;".81.0/24","")</f>
        <v/>
      </c>
      <c r="G1503" s="19" t="str">
        <f aca="false">IF(AND(Eingabe!$F$16&gt;0,Eingabe!$E$16&gt;=81),"10."&amp;Eingabe!$D$16&amp;".81.1","")</f>
        <v/>
      </c>
      <c r="H1503" s="19" t="str">
        <f aca="false">IF(AND(Eingabe!$F$16&gt;0,Eingabe!$E$16&gt;=81),"10."&amp;Eingabe!$D$16&amp;".81.10 – 10."&amp;Eingabe!$D$16&amp;".81.250","")</f>
        <v/>
      </c>
      <c r="I1503" s="19" t="str">
        <f aca="false">IF(AND(Eingabe!$F$16&gt;0,Eingabe!$E$16&gt;=81),Eingabe!$B$6&amp;"-"&amp;Eingabe!$C$16&amp;"-Pächter","")</f>
        <v/>
      </c>
      <c r="J1503" s="19" t="str">
        <f aca="false">IF(AND(Eingabe!$F$16&gt;0,Eingabe!$E$16&gt;=81),"PPSK: Passwort Parzelle 81","")</f>
        <v/>
      </c>
      <c r="K1503" s="19" t="str">
        <f aca="false">IF(AND(Eingabe!$F$16&gt;0,Eingabe!$E$16&gt;=81),"1. Gerät: 10."&amp;Eingabe!$D$16&amp;".81.10, 2. Gerät: .11","")</f>
        <v/>
      </c>
    </row>
    <row r="1504" customFormat="false" ht="15" hidden="false" customHeight="false" outlineLevel="0" collapsed="false">
      <c r="A1504" s="19" t="str">
        <f aca="false">IF(AND(Eingabe!$F$16&gt;0,Eingabe!$E$16&gt;=82),8,"")</f>
        <v/>
      </c>
      <c r="B1504" s="19" t="str">
        <f aca="false">IF(AND(Eingabe!$F$16&gt;0,Eingabe!$E$16&gt;=82),Eingabe!$B$16,"")</f>
        <v/>
      </c>
      <c r="C1504" s="19" t="str">
        <f aca="false">IF(AND(Eingabe!$F$16&gt;0,Eingabe!$E$16&gt;=82),Eingabe!$C$16&amp;"-Paz."&amp;TEXT(82,"000"),"")</f>
        <v/>
      </c>
      <c r="D1504" s="19" t="str">
        <f aca="false">IF(AND(Eingabe!$F$16&gt;0,Eingabe!$E$16&gt;=82),82,"")</f>
        <v/>
      </c>
      <c r="E1504" s="19" t="str">
        <f aca="false">IF(AND(Eingabe!$F$16&gt;0,Eingabe!$E$16&gt;=82),IF((Eingabe!$G$16)&lt;=9,1000+(Eingabe!$G$16)*100,3000)+82,"")</f>
        <v/>
      </c>
      <c r="F1504" s="19" t="str">
        <f aca="false">IF(AND(Eingabe!$F$16&gt;0,Eingabe!$E$16&gt;=82),"10."&amp;Eingabe!$D$16&amp;".82.0/24","")</f>
        <v/>
      </c>
      <c r="G1504" s="19" t="str">
        <f aca="false">IF(AND(Eingabe!$F$16&gt;0,Eingabe!$E$16&gt;=82),"10."&amp;Eingabe!$D$16&amp;".82.1","")</f>
        <v/>
      </c>
      <c r="H1504" s="19" t="str">
        <f aca="false">IF(AND(Eingabe!$F$16&gt;0,Eingabe!$E$16&gt;=82),"10."&amp;Eingabe!$D$16&amp;".82.10 – 10."&amp;Eingabe!$D$16&amp;".82.250","")</f>
        <v/>
      </c>
      <c r="I1504" s="19" t="str">
        <f aca="false">IF(AND(Eingabe!$F$16&gt;0,Eingabe!$E$16&gt;=82),Eingabe!$B$6&amp;"-"&amp;Eingabe!$C$16&amp;"-Pächter","")</f>
        <v/>
      </c>
      <c r="J1504" s="19" t="str">
        <f aca="false">IF(AND(Eingabe!$F$16&gt;0,Eingabe!$E$16&gt;=82),"PPSK: Passwort Parzelle 82","")</f>
        <v/>
      </c>
      <c r="K1504" s="19" t="str">
        <f aca="false">IF(AND(Eingabe!$F$16&gt;0,Eingabe!$E$16&gt;=82),"1. Gerät: 10."&amp;Eingabe!$D$16&amp;".82.10, 2. Gerät: .11","")</f>
        <v/>
      </c>
    </row>
    <row r="1505" customFormat="false" ht="15" hidden="false" customHeight="false" outlineLevel="0" collapsed="false">
      <c r="A1505" s="19" t="str">
        <f aca="false">IF(AND(Eingabe!$F$16&gt;0,Eingabe!$E$16&gt;=83),8,"")</f>
        <v/>
      </c>
      <c r="B1505" s="19" t="str">
        <f aca="false">IF(AND(Eingabe!$F$16&gt;0,Eingabe!$E$16&gt;=83),Eingabe!$B$16,"")</f>
        <v/>
      </c>
      <c r="C1505" s="19" t="str">
        <f aca="false">IF(AND(Eingabe!$F$16&gt;0,Eingabe!$E$16&gt;=83),Eingabe!$C$16&amp;"-Paz."&amp;TEXT(83,"000"),"")</f>
        <v/>
      </c>
      <c r="D1505" s="19" t="str">
        <f aca="false">IF(AND(Eingabe!$F$16&gt;0,Eingabe!$E$16&gt;=83),83,"")</f>
        <v/>
      </c>
      <c r="E1505" s="19" t="str">
        <f aca="false">IF(AND(Eingabe!$F$16&gt;0,Eingabe!$E$16&gt;=83),IF((Eingabe!$G$16)&lt;=9,1000+(Eingabe!$G$16)*100,3000)+83,"")</f>
        <v/>
      </c>
      <c r="F1505" s="19" t="str">
        <f aca="false">IF(AND(Eingabe!$F$16&gt;0,Eingabe!$E$16&gt;=83),"10."&amp;Eingabe!$D$16&amp;".83.0/24","")</f>
        <v/>
      </c>
      <c r="G1505" s="19" t="str">
        <f aca="false">IF(AND(Eingabe!$F$16&gt;0,Eingabe!$E$16&gt;=83),"10."&amp;Eingabe!$D$16&amp;".83.1","")</f>
        <v/>
      </c>
      <c r="H1505" s="19" t="str">
        <f aca="false">IF(AND(Eingabe!$F$16&gt;0,Eingabe!$E$16&gt;=83),"10."&amp;Eingabe!$D$16&amp;".83.10 – 10."&amp;Eingabe!$D$16&amp;".83.250","")</f>
        <v/>
      </c>
      <c r="I1505" s="19" t="str">
        <f aca="false">IF(AND(Eingabe!$F$16&gt;0,Eingabe!$E$16&gt;=83),Eingabe!$B$6&amp;"-"&amp;Eingabe!$C$16&amp;"-Pächter","")</f>
        <v/>
      </c>
      <c r="J1505" s="19" t="str">
        <f aca="false">IF(AND(Eingabe!$F$16&gt;0,Eingabe!$E$16&gt;=83),"PPSK: Passwort Parzelle 83","")</f>
        <v/>
      </c>
      <c r="K1505" s="19" t="str">
        <f aca="false">IF(AND(Eingabe!$F$16&gt;0,Eingabe!$E$16&gt;=83),"1. Gerät: 10."&amp;Eingabe!$D$16&amp;".83.10, 2. Gerät: .11","")</f>
        <v/>
      </c>
    </row>
    <row r="1506" customFormat="false" ht="15" hidden="false" customHeight="false" outlineLevel="0" collapsed="false">
      <c r="A1506" s="19" t="str">
        <f aca="false">IF(AND(Eingabe!$F$16&gt;0,Eingabe!$E$16&gt;=84),8,"")</f>
        <v/>
      </c>
      <c r="B1506" s="19" t="str">
        <f aca="false">IF(AND(Eingabe!$F$16&gt;0,Eingabe!$E$16&gt;=84),Eingabe!$B$16,"")</f>
        <v/>
      </c>
      <c r="C1506" s="19" t="str">
        <f aca="false">IF(AND(Eingabe!$F$16&gt;0,Eingabe!$E$16&gt;=84),Eingabe!$C$16&amp;"-Paz."&amp;TEXT(84,"000"),"")</f>
        <v/>
      </c>
      <c r="D1506" s="19" t="str">
        <f aca="false">IF(AND(Eingabe!$F$16&gt;0,Eingabe!$E$16&gt;=84),84,"")</f>
        <v/>
      </c>
      <c r="E1506" s="19" t="str">
        <f aca="false">IF(AND(Eingabe!$F$16&gt;0,Eingabe!$E$16&gt;=84),IF((Eingabe!$G$16)&lt;=9,1000+(Eingabe!$G$16)*100,3000)+84,"")</f>
        <v/>
      </c>
      <c r="F1506" s="19" t="str">
        <f aca="false">IF(AND(Eingabe!$F$16&gt;0,Eingabe!$E$16&gt;=84),"10."&amp;Eingabe!$D$16&amp;".84.0/24","")</f>
        <v/>
      </c>
      <c r="G1506" s="19" t="str">
        <f aca="false">IF(AND(Eingabe!$F$16&gt;0,Eingabe!$E$16&gt;=84),"10."&amp;Eingabe!$D$16&amp;".84.1","")</f>
        <v/>
      </c>
      <c r="H1506" s="19" t="str">
        <f aca="false">IF(AND(Eingabe!$F$16&gt;0,Eingabe!$E$16&gt;=84),"10."&amp;Eingabe!$D$16&amp;".84.10 – 10."&amp;Eingabe!$D$16&amp;".84.250","")</f>
        <v/>
      </c>
      <c r="I1506" s="19" t="str">
        <f aca="false">IF(AND(Eingabe!$F$16&gt;0,Eingabe!$E$16&gt;=84),Eingabe!$B$6&amp;"-"&amp;Eingabe!$C$16&amp;"-Pächter","")</f>
        <v/>
      </c>
      <c r="J1506" s="19" t="str">
        <f aca="false">IF(AND(Eingabe!$F$16&gt;0,Eingabe!$E$16&gt;=84),"PPSK: Passwort Parzelle 84","")</f>
        <v/>
      </c>
      <c r="K1506" s="19" t="str">
        <f aca="false">IF(AND(Eingabe!$F$16&gt;0,Eingabe!$E$16&gt;=84),"1. Gerät: 10."&amp;Eingabe!$D$16&amp;".84.10, 2. Gerät: .11","")</f>
        <v/>
      </c>
    </row>
    <row r="1507" customFormat="false" ht="15" hidden="false" customHeight="false" outlineLevel="0" collapsed="false">
      <c r="A1507" s="19" t="str">
        <f aca="false">IF(AND(Eingabe!$F$16&gt;0,Eingabe!$E$16&gt;=85),8,"")</f>
        <v/>
      </c>
      <c r="B1507" s="19" t="str">
        <f aca="false">IF(AND(Eingabe!$F$16&gt;0,Eingabe!$E$16&gt;=85),Eingabe!$B$16,"")</f>
        <v/>
      </c>
      <c r="C1507" s="19" t="str">
        <f aca="false">IF(AND(Eingabe!$F$16&gt;0,Eingabe!$E$16&gt;=85),Eingabe!$C$16&amp;"-Paz."&amp;TEXT(85,"000"),"")</f>
        <v/>
      </c>
      <c r="D1507" s="19" t="str">
        <f aca="false">IF(AND(Eingabe!$F$16&gt;0,Eingabe!$E$16&gt;=85),85,"")</f>
        <v/>
      </c>
      <c r="E1507" s="19" t="str">
        <f aca="false">IF(AND(Eingabe!$F$16&gt;0,Eingabe!$E$16&gt;=85),IF((Eingabe!$G$16)&lt;=9,1000+(Eingabe!$G$16)*100,3000)+85,"")</f>
        <v/>
      </c>
      <c r="F1507" s="19" t="str">
        <f aca="false">IF(AND(Eingabe!$F$16&gt;0,Eingabe!$E$16&gt;=85),"10."&amp;Eingabe!$D$16&amp;".85.0/24","")</f>
        <v/>
      </c>
      <c r="G1507" s="19" t="str">
        <f aca="false">IF(AND(Eingabe!$F$16&gt;0,Eingabe!$E$16&gt;=85),"10."&amp;Eingabe!$D$16&amp;".85.1","")</f>
        <v/>
      </c>
      <c r="H1507" s="19" t="str">
        <f aca="false">IF(AND(Eingabe!$F$16&gt;0,Eingabe!$E$16&gt;=85),"10."&amp;Eingabe!$D$16&amp;".85.10 – 10."&amp;Eingabe!$D$16&amp;".85.250","")</f>
        <v/>
      </c>
      <c r="I1507" s="19" t="str">
        <f aca="false">IF(AND(Eingabe!$F$16&gt;0,Eingabe!$E$16&gt;=85),Eingabe!$B$6&amp;"-"&amp;Eingabe!$C$16&amp;"-Pächter","")</f>
        <v/>
      </c>
      <c r="J1507" s="19" t="str">
        <f aca="false">IF(AND(Eingabe!$F$16&gt;0,Eingabe!$E$16&gt;=85),"PPSK: Passwort Parzelle 85","")</f>
        <v/>
      </c>
      <c r="K1507" s="19" t="str">
        <f aca="false">IF(AND(Eingabe!$F$16&gt;0,Eingabe!$E$16&gt;=85),"1. Gerät: 10."&amp;Eingabe!$D$16&amp;".85.10, 2. Gerät: .11","")</f>
        <v/>
      </c>
    </row>
    <row r="1508" customFormat="false" ht="15" hidden="false" customHeight="false" outlineLevel="0" collapsed="false">
      <c r="A1508" s="19" t="str">
        <f aca="false">IF(AND(Eingabe!$F$16&gt;0,Eingabe!$E$16&gt;=86),8,"")</f>
        <v/>
      </c>
      <c r="B1508" s="19" t="str">
        <f aca="false">IF(AND(Eingabe!$F$16&gt;0,Eingabe!$E$16&gt;=86),Eingabe!$B$16,"")</f>
        <v/>
      </c>
      <c r="C1508" s="19" t="str">
        <f aca="false">IF(AND(Eingabe!$F$16&gt;0,Eingabe!$E$16&gt;=86),Eingabe!$C$16&amp;"-Paz."&amp;TEXT(86,"000"),"")</f>
        <v/>
      </c>
      <c r="D1508" s="19" t="str">
        <f aca="false">IF(AND(Eingabe!$F$16&gt;0,Eingabe!$E$16&gt;=86),86,"")</f>
        <v/>
      </c>
      <c r="E1508" s="19" t="str">
        <f aca="false">IF(AND(Eingabe!$F$16&gt;0,Eingabe!$E$16&gt;=86),IF((Eingabe!$G$16)&lt;=9,1000+(Eingabe!$G$16)*100,3000)+86,"")</f>
        <v/>
      </c>
      <c r="F1508" s="19" t="str">
        <f aca="false">IF(AND(Eingabe!$F$16&gt;0,Eingabe!$E$16&gt;=86),"10."&amp;Eingabe!$D$16&amp;".86.0/24","")</f>
        <v/>
      </c>
      <c r="G1508" s="19" t="str">
        <f aca="false">IF(AND(Eingabe!$F$16&gt;0,Eingabe!$E$16&gt;=86),"10."&amp;Eingabe!$D$16&amp;".86.1","")</f>
        <v/>
      </c>
      <c r="H1508" s="19" t="str">
        <f aca="false">IF(AND(Eingabe!$F$16&gt;0,Eingabe!$E$16&gt;=86),"10."&amp;Eingabe!$D$16&amp;".86.10 – 10."&amp;Eingabe!$D$16&amp;".86.250","")</f>
        <v/>
      </c>
      <c r="I1508" s="19" t="str">
        <f aca="false">IF(AND(Eingabe!$F$16&gt;0,Eingabe!$E$16&gt;=86),Eingabe!$B$6&amp;"-"&amp;Eingabe!$C$16&amp;"-Pächter","")</f>
        <v/>
      </c>
      <c r="J1508" s="19" t="str">
        <f aca="false">IF(AND(Eingabe!$F$16&gt;0,Eingabe!$E$16&gt;=86),"PPSK: Passwort Parzelle 86","")</f>
        <v/>
      </c>
      <c r="K1508" s="19" t="str">
        <f aca="false">IF(AND(Eingabe!$F$16&gt;0,Eingabe!$E$16&gt;=86),"1. Gerät: 10."&amp;Eingabe!$D$16&amp;".86.10, 2. Gerät: .11","")</f>
        <v/>
      </c>
    </row>
    <row r="1509" customFormat="false" ht="15" hidden="false" customHeight="false" outlineLevel="0" collapsed="false">
      <c r="A1509" s="19" t="str">
        <f aca="false">IF(AND(Eingabe!$F$16&gt;0,Eingabe!$E$16&gt;=87),8,"")</f>
        <v/>
      </c>
      <c r="B1509" s="19" t="str">
        <f aca="false">IF(AND(Eingabe!$F$16&gt;0,Eingabe!$E$16&gt;=87),Eingabe!$B$16,"")</f>
        <v/>
      </c>
      <c r="C1509" s="19" t="str">
        <f aca="false">IF(AND(Eingabe!$F$16&gt;0,Eingabe!$E$16&gt;=87),Eingabe!$C$16&amp;"-Paz."&amp;TEXT(87,"000"),"")</f>
        <v/>
      </c>
      <c r="D1509" s="19" t="str">
        <f aca="false">IF(AND(Eingabe!$F$16&gt;0,Eingabe!$E$16&gt;=87),87,"")</f>
        <v/>
      </c>
      <c r="E1509" s="19" t="str">
        <f aca="false">IF(AND(Eingabe!$F$16&gt;0,Eingabe!$E$16&gt;=87),IF((Eingabe!$G$16)&lt;=9,1000+(Eingabe!$G$16)*100,3000)+87,"")</f>
        <v/>
      </c>
      <c r="F1509" s="19" t="str">
        <f aca="false">IF(AND(Eingabe!$F$16&gt;0,Eingabe!$E$16&gt;=87),"10."&amp;Eingabe!$D$16&amp;".87.0/24","")</f>
        <v/>
      </c>
      <c r="G1509" s="19" t="str">
        <f aca="false">IF(AND(Eingabe!$F$16&gt;0,Eingabe!$E$16&gt;=87),"10."&amp;Eingabe!$D$16&amp;".87.1","")</f>
        <v/>
      </c>
      <c r="H1509" s="19" t="str">
        <f aca="false">IF(AND(Eingabe!$F$16&gt;0,Eingabe!$E$16&gt;=87),"10."&amp;Eingabe!$D$16&amp;".87.10 – 10."&amp;Eingabe!$D$16&amp;".87.250","")</f>
        <v/>
      </c>
      <c r="I1509" s="19" t="str">
        <f aca="false">IF(AND(Eingabe!$F$16&gt;0,Eingabe!$E$16&gt;=87),Eingabe!$B$6&amp;"-"&amp;Eingabe!$C$16&amp;"-Pächter","")</f>
        <v/>
      </c>
      <c r="J1509" s="19" t="str">
        <f aca="false">IF(AND(Eingabe!$F$16&gt;0,Eingabe!$E$16&gt;=87),"PPSK: Passwort Parzelle 87","")</f>
        <v/>
      </c>
      <c r="K1509" s="19" t="str">
        <f aca="false">IF(AND(Eingabe!$F$16&gt;0,Eingabe!$E$16&gt;=87),"1. Gerät: 10."&amp;Eingabe!$D$16&amp;".87.10, 2. Gerät: .11","")</f>
        <v/>
      </c>
    </row>
    <row r="1510" customFormat="false" ht="15" hidden="false" customHeight="false" outlineLevel="0" collapsed="false">
      <c r="A1510" s="19" t="str">
        <f aca="false">IF(AND(Eingabe!$F$16&gt;0,Eingabe!$E$16&gt;=88),8,"")</f>
        <v/>
      </c>
      <c r="B1510" s="19" t="str">
        <f aca="false">IF(AND(Eingabe!$F$16&gt;0,Eingabe!$E$16&gt;=88),Eingabe!$B$16,"")</f>
        <v/>
      </c>
      <c r="C1510" s="19" t="str">
        <f aca="false">IF(AND(Eingabe!$F$16&gt;0,Eingabe!$E$16&gt;=88),Eingabe!$C$16&amp;"-Paz."&amp;TEXT(88,"000"),"")</f>
        <v/>
      </c>
      <c r="D1510" s="19" t="str">
        <f aca="false">IF(AND(Eingabe!$F$16&gt;0,Eingabe!$E$16&gt;=88),88,"")</f>
        <v/>
      </c>
      <c r="E1510" s="19" t="str">
        <f aca="false">IF(AND(Eingabe!$F$16&gt;0,Eingabe!$E$16&gt;=88),IF((Eingabe!$G$16)&lt;=9,1000+(Eingabe!$G$16)*100,3000)+88,"")</f>
        <v/>
      </c>
      <c r="F1510" s="19" t="str">
        <f aca="false">IF(AND(Eingabe!$F$16&gt;0,Eingabe!$E$16&gt;=88),"10."&amp;Eingabe!$D$16&amp;".88.0/24","")</f>
        <v/>
      </c>
      <c r="G1510" s="19" t="str">
        <f aca="false">IF(AND(Eingabe!$F$16&gt;0,Eingabe!$E$16&gt;=88),"10."&amp;Eingabe!$D$16&amp;".88.1","")</f>
        <v/>
      </c>
      <c r="H1510" s="19" t="str">
        <f aca="false">IF(AND(Eingabe!$F$16&gt;0,Eingabe!$E$16&gt;=88),"10."&amp;Eingabe!$D$16&amp;".88.10 – 10."&amp;Eingabe!$D$16&amp;".88.250","")</f>
        <v/>
      </c>
      <c r="I1510" s="19" t="str">
        <f aca="false">IF(AND(Eingabe!$F$16&gt;0,Eingabe!$E$16&gt;=88),Eingabe!$B$6&amp;"-"&amp;Eingabe!$C$16&amp;"-Pächter","")</f>
        <v/>
      </c>
      <c r="J1510" s="19" t="str">
        <f aca="false">IF(AND(Eingabe!$F$16&gt;0,Eingabe!$E$16&gt;=88),"PPSK: Passwort Parzelle 88","")</f>
        <v/>
      </c>
      <c r="K1510" s="19" t="str">
        <f aca="false">IF(AND(Eingabe!$F$16&gt;0,Eingabe!$E$16&gt;=88),"1. Gerät: 10."&amp;Eingabe!$D$16&amp;".88.10, 2. Gerät: .11","")</f>
        <v/>
      </c>
    </row>
    <row r="1511" customFormat="false" ht="15" hidden="false" customHeight="false" outlineLevel="0" collapsed="false">
      <c r="A1511" s="19" t="str">
        <f aca="false">IF(AND(Eingabe!$F$16&gt;0,Eingabe!$E$16&gt;=89),8,"")</f>
        <v/>
      </c>
      <c r="B1511" s="19" t="str">
        <f aca="false">IF(AND(Eingabe!$F$16&gt;0,Eingabe!$E$16&gt;=89),Eingabe!$B$16,"")</f>
        <v/>
      </c>
      <c r="C1511" s="19" t="str">
        <f aca="false">IF(AND(Eingabe!$F$16&gt;0,Eingabe!$E$16&gt;=89),Eingabe!$C$16&amp;"-Paz."&amp;TEXT(89,"000"),"")</f>
        <v/>
      </c>
      <c r="D1511" s="19" t="str">
        <f aca="false">IF(AND(Eingabe!$F$16&gt;0,Eingabe!$E$16&gt;=89),89,"")</f>
        <v/>
      </c>
      <c r="E1511" s="19" t="str">
        <f aca="false">IF(AND(Eingabe!$F$16&gt;0,Eingabe!$E$16&gt;=89),IF((Eingabe!$G$16)&lt;=9,1000+(Eingabe!$G$16)*100,3000)+89,"")</f>
        <v/>
      </c>
      <c r="F1511" s="19" t="str">
        <f aca="false">IF(AND(Eingabe!$F$16&gt;0,Eingabe!$E$16&gt;=89),"10."&amp;Eingabe!$D$16&amp;".89.0/24","")</f>
        <v/>
      </c>
      <c r="G1511" s="19" t="str">
        <f aca="false">IF(AND(Eingabe!$F$16&gt;0,Eingabe!$E$16&gt;=89),"10."&amp;Eingabe!$D$16&amp;".89.1","")</f>
        <v/>
      </c>
      <c r="H1511" s="19" t="str">
        <f aca="false">IF(AND(Eingabe!$F$16&gt;0,Eingabe!$E$16&gt;=89),"10."&amp;Eingabe!$D$16&amp;".89.10 – 10."&amp;Eingabe!$D$16&amp;".89.250","")</f>
        <v/>
      </c>
      <c r="I1511" s="19" t="str">
        <f aca="false">IF(AND(Eingabe!$F$16&gt;0,Eingabe!$E$16&gt;=89),Eingabe!$B$6&amp;"-"&amp;Eingabe!$C$16&amp;"-Pächter","")</f>
        <v/>
      </c>
      <c r="J1511" s="19" t="str">
        <f aca="false">IF(AND(Eingabe!$F$16&gt;0,Eingabe!$E$16&gt;=89),"PPSK: Passwort Parzelle 89","")</f>
        <v/>
      </c>
      <c r="K1511" s="19" t="str">
        <f aca="false">IF(AND(Eingabe!$F$16&gt;0,Eingabe!$E$16&gt;=89),"1. Gerät: 10."&amp;Eingabe!$D$16&amp;".89.10, 2. Gerät: .11","")</f>
        <v/>
      </c>
    </row>
    <row r="1512" customFormat="false" ht="15" hidden="false" customHeight="false" outlineLevel="0" collapsed="false">
      <c r="A1512" s="19" t="str">
        <f aca="false">IF(AND(Eingabe!$F$16&gt;0,Eingabe!$E$16&gt;=90),8,"")</f>
        <v/>
      </c>
      <c r="B1512" s="19" t="str">
        <f aca="false">IF(AND(Eingabe!$F$16&gt;0,Eingabe!$E$16&gt;=90),Eingabe!$B$16,"")</f>
        <v/>
      </c>
      <c r="C1512" s="19" t="str">
        <f aca="false">IF(AND(Eingabe!$F$16&gt;0,Eingabe!$E$16&gt;=90),Eingabe!$C$16&amp;"-Paz."&amp;TEXT(90,"000"),"")</f>
        <v/>
      </c>
      <c r="D1512" s="19" t="str">
        <f aca="false">IF(AND(Eingabe!$F$16&gt;0,Eingabe!$E$16&gt;=90),90,"")</f>
        <v/>
      </c>
      <c r="E1512" s="19" t="str">
        <f aca="false">IF(AND(Eingabe!$F$16&gt;0,Eingabe!$E$16&gt;=90),IF((Eingabe!$G$16)&lt;=9,1000+(Eingabe!$G$16)*100,3000)+90,"")</f>
        <v/>
      </c>
      <c r="F1512" s="19" t="str">
        <f aca="false">IF(AND(Eingabe!$F$16&gt;0,Eingabe!$E$16&gt;=90),"10."&amp;Eingabe!$D$16&amp;".90.0/24","")</f>
        <v/>
      </c>
      <c r="G1512" s="19" t="str">
        <f aca="false">IF(AND(Eingabe!$F$16&gt;0,Eingabe!$E$16&gt;=90),"10."&amp;Eingabe!$D$16&amp;".90.1","")</f>
        <v/>
      </c>
      <c r="H1512" s="19" t="str">
        <f aca="false">IF(AND(Eingabe!$F$16&gt;0,Eingabe!$E$16&gt;=90),"10."&amp;Eingabe!$D$16&amp;".90.10 – 10."&amp;Eingabe!$D$16&amp;".90.250","")</f>
        <v/>
      </c>
      <c r="I1512" s="19" t="str">
        <f aca="false">IF(AND(Eingabe!$F$16&gt;0,Eingabe!$E$16&gt;=90),Eingabe!$B$6&amp;"-"&amp;Eingabe!$C$16&amp;"-Pächter","")</f>
        <v/>
      </c>
      <c r="J1512" s="19" t="str">
        <f aca="false">IF(AND(Eingabe!$F$16&gt;0,Eingabe!$E$16&gt;=90),"PPSK: Passwort Parzelle 90","")</f>
        <v/>
      </c>
      <c r="K1512" s="19" t="str">
        <f aca="false">IF(AND(Eingabe!$F$16&gt;0,Eingabe!$E$16&gt;=90),"1. Gerät: 10."&amp;Eingabe!$D$16&amp;".90.10, 2. Gerät: .11","")</f>
        <v/>
      </c>
    </row>
    <row r="1513" customFormat="false" ht="15" hidden="false" customHeight="false" outlineLevel="0" collapsed="false">
      <c r="A1513" s="19" t="str">
        <f aca="false">IF(AND(Eingabe!$F$16&gt;0,Eingabe!$E$16&gt;=91),8,"")</f>
        <v/>
      </c>
      <c r="B1513" s="19" t="str">
        <f aca="false">IF(AND(Eingabe!$F$16&gt;0,Eingabe!$E$16&gt;=91),Eingabe!$B$16,"")</f>
        <v/>
      </c>
      <c r="C1513" s="19" t="str">
        <f aca="false">IF(AND(Eingabe!$F$16&gt;0,Eingabe!$E$16&gt;=91),Eingabe!$C$16&amp;"-Paz."&amp;TEXT(91,"000"),"")</f>
        <v/>
      </c>
      <c r="D1513" s="19" t="str">
        <f aca="false">IF(AND(Eingabe!$F$16&gt;0,Eingabe!$E$16&gt;=91),91,"")</f>
        <v/>
      </c>
      <c r="E1513" s="19" t="str">
        <f aca="false">IF(AND(Eingabe!$F$16&gt;0,Eingabe!$E$16&gt;=91),IF((Eingabe!$G$16)&lt;=9,1000+(Eingabe!$G$16)*100,3000)+91,"")</f>
        <v/>
      </c>
      <c r="F1513" s="19" t="str">
        <f aca="false">IF(AND(Eingabe!$F$16&gt;0,Eingabe!$E$16&gt;=91),"10."&amp;Eingabe!$D$16&amp;".91.0/24","")</f>
        <v/>
      </c>
      <c r="G1513" s="19" t="str">
        <f aca="false">IF(AND(Eingabe!$F$16&gt;0,Eingabe!$E$16&gt;=91),"10."&amp;Eingabe!$D$16&amp;".91.1","")</f>
        <v/>
      </c>
      <c r="H1513" s="19" t="str">
        <f aca="false">IF(AND(Eingabe!$F$16&gt;0,Eingabe!$E$16&gt;=91),"10."&amp;Eingabe!$D$16&amp;".91.10 – 10."&amp;Eingabe!$D$16&amp;".91.250","")</f>
        <v/>
      </c>
      <c r="I1513" s="19" t="str">
        <f aca="false">IF(AND(Eingabe!$F$16&gt;0,Eingabe!$E$16&gt;=91),Eingabe!$B$6&amp;"-"&amp;Eingabe!$C$16&amp;"-Pächter","")</f>
        <v/>
      </c>
      <c r="J1513" s="19" t="str">
        <f aca="false">IF(AND(Eingabe!$F$16&gt;0,Eingabe!$E$16&gt;=91),"PPSK: Passwort Parzelle 91","")</f>
        <v/>
      </c>
      <c r="K1513" s="19" t="str">
        <f aca="false">IF(AND(Eingabe!$F$16&gt;0,Eingabe!$E$16&gt;=91),"1. Gerät: 10."&amp;Eingabe!$D$16&amp;".91.10, 2. Gerät: .11","")</f>
        <v/>
      </c>
    </row>
    <row r="1514" customFormat="false" ht="15" hidden="false" customHeight="false" outlineLevel="0" collapsed="false">
      <c r="A1514" s="19" t="str">
        <f aca="false">IF(AND(Eingabe!$F$16&gt;0,Eingabe!$E$16&gt;=92),8,"")</f>
        <v/>
      </c>
      <c r="B1514" s="19" t="str">
        <f aca="false">IF(AND(Eingabe!$F$16&gt;0,Eingabe!$E$16&gt;=92),Eingabe!$B$16,"")</f>
        <v/>
      </c>
      <c r="C1514" s="19" t="str">
        <f aca="false">IF(AND(Eingabe!$F$16&gt;0,Eingabe!$E$16&gt;=92),Eingabe!$C$16&amp;"-Paz."&amp;TEXT(92,"000"),"")</f>
        <v/>
      </c>
      <c r="D1514" s="19" t="str">
        <f aca="false">IF(AND(Eingabe!$F$16&gt;0,Eingabe!$E$16&gt;=92),92,"")</f>
        <v/>
      </c>
      <c r="E1514" s="19" t="str">
        <f aca="false">IF(AND(Eingabe!$F$16&gt;0,Eingabe!$E$16&gt;=92),IF((Eingabe!$G$16)&lt;=9,1000+(Eingabe!$G$16)*100,3000)+92,"")</f>
        <v/>
      </c>
      <c r="F1514" s="19" t="str">
        <f aca="false">IF(AND(Eingabe!$F$16&gt;0,Eingabe!$E$16&gt;=92),"10."&amp;Eingabe!$D$16&amp;".92.0/24","")</f>
        <v/>
      </c>
      <c r="G1514" s="19" t="str">
        <f aca="false">IF(AND(Eingabe!$F$16&gt;0,Eingabe!$E$16&gt;=92),"10."&amp;Eingabe!$D$16&amp;".92.1","")</f>
        <v/>
      </c>
      <c r="H1514" s="19" t="str">
        <f aca="false">IF(AND(Eingabe!$F$16&gt;0,Eingabe!$E$16&gt;=92),"10."&amp;Eingabe!$D$16&amp;".92.10 – 10."&amp;Eingabe!$D$16&amp;".92.250","")</f>
        <v/>
      </c>
      <c r="I1514" s="19" t="str">
        <f aca="false">IF(AND(Eingabe!$F$16&gt;0,Eingabe!$E$16&gt;=92),Eingabe!$B$6&amp;"-"&amp;Eingabe!$C$16&amp;"-Pächter","")</f>
        <v/>
      </c>
      <c r="J1514" s="19" t="str">
        <f aca="false">IF(AND(Eingabe!$F$16&gt;0,Eingabe!$E$16&gt;=92),"PPSK: Passwort Parzelle 92","")</f>
        <v/>
      </c>
      <c r="K1514" s="19" t="str">
        <f aca="false">IF(AND(Eingabe!$F$16&gt;0,Eingabe!$E$16&gt;=92),"1. Gerät: 10."&amp;Eingabe!$D$16&amp;".92.10, 2. Gerät: .11","")</f>
        <v/>
      </c>
    </row>
    <row r="1515" customFormat="false" ht="15" hidden="false" customHeight="false" outlineLevel="0" collapsed="false">
      <c r="A1515" s="19" t="str">
        <f aca="false">IF(AND(Eingabe!$F$16&gt;0,Eingabe!$E$16&gt;=93),8,"")</f>
        <v/>
      </c>
      <c r="B1515" s="19" t="str">
        <f aca="false">IF(AND(Eingabe!$F$16&gt;0,Eingabe!$E$16&gt;=93),Eingabe!$B$16,"")</f>
        <v/>
      </c>
      <c r="C1515" s="19" t="str">
        <f aca="false">IF(AND(Eingabe!$F$16&gt;0,Eingabe!$E$16&gt;=93),Eingabe!$C$16&amp;"-Paz."&amp;TEXT(93,"000"),"")</f>
        <v/>
      </c>
      <c r="D1515" s="19" t="str">
        <f aca="false">IF(AND(Eingabe!$F$16&gt;0,Eingabe!$E$16&gt;=93),93,"")</f>
        <v/>
      </c>
      <c r="E1515" s="19" t="str">
        <f aca="false">IF(AND(Eingabe!$F$16&gt;0,Eingabe!$E$16&gt;=93),IF((Eingabe!$G$16)&lt;=9,1000+(Eingabe!$G$16)*100,3000)+93,"")</f>
        <v/>
      </c>
      <c r="F1515" s="19" t="str">
        <f aca="false">IF(AND(Eingabe!$F$16&gt;0,Eingabe!$E$16&gt;=93),"10."&amp;Eingabe!$D$16&amp;".93.0/24","")</f>
        <v/>
      </c>
      <c r="G1515" s="19" t="str">
        <f aca="false">IF(AND(Eingabe!$F$16&gt;0,Eingabe!$E$16&gt;=93),"10."&amp;Eingabe!$D$16&amp;".93.1","")</f>
        <v/>
      </c>
      <c r="H1515" s="19" t="str">
        <f aca="false">IF(AND(Eingabe!$F$16&gt;0,Eingabe!$E$16&gt;=93),"10."&amp;Eingabe!$D$16&amp;".93.10 – 10."&amp;Eingabe!$D$16&amp;".93.250","")</f>
        <v/>
      </c>
      <c r="I1515" s="19" t="str">
        <f aca="false">IF(AND(Eingabe!$F$16&gt;0,Eingabe!$E$16&gt;=93),Eingabe!$B$6&amp;"-"&amp;Eingabe!$C$16&amp;"-Pächter","")</f>
        <v/>
      </c>
      <c r="J1515" s="19" t="str">
        <f aca="false">IF(AND(Eingabe!$F$16&gt;0,Eingabe!$E$16&gt;=93),"PPSK: Passwort Parzelle 93","")</f>
        <v/>
      </c>
      <c r="K1515" s="19" t="str">
        <f aca="false">IF(AND(Eingabe!$F$16&gt;0,Eingabe!$E$16&gt;=93),"1. Gerät: 10."&amp;Eingabe!$D$16&amp;".93.10, 2. Gerät: .11","")</f>
        <v/>
      </c>
    </row>
    <row r="1516" customFormat="false" ht="15" hidden="false" customHeight="false" outlineLevel="0" collapsed="false">
      <c r="A1516" s="19" t="str">
        <f aca="false">IF(AND(Eingabe!$F$16&gt;0,Eingabe!$E$16&gt;=94),8,"")</f>
        <v/>
      </c>
      <c r="B1516" s="19" t="str">
        <f aca="false">IF(AND(Eingabe!$F$16&gt;0,Eingabe!$E$16&gt;=94),Eingabe!$B$16,"")</f>
        <v/>
      </c>
      <c r="C1516" s="19" t="str">
        <f aca="false">IF(AND(Eingabe!$F$16&gt;0,Eingabe!$E$16&gt;=94),Eingabe!$C$16&amp;"-Paz."&amp;TEXT(94,"000"),"")</f>
        <v/>
      </c>
      <c r="D1516" s="19" t="str">
        <f aca="false">IF(AND(Eingabe!$F$16&gt;0,Eingabe!$E$16&gt;=94),94,"")</f>
        <v/>
      </c>
      <c r="E1516" s="19" t="str">
        <f aca="false">IF(AND(Eingabe!$F$16&gt;0,Eingabe!$E$16&gt;=94),IF((Eingabe!$G$16)&lt;=9,1000+(Eingabe!$G$16)*100,3000)+94,"")</f>
        <v/>
      </c>
      <c r="F1516" s="19" t="str">
        <f aca="false">IF(AND(Eingabe!$F$16&gt;0,Eingabe!$E$16&gt;=94),"10."&amp;Eingabe!$D$16&amp;".94.0/24","")</f>
        <v/>
      </c>
      <c r="G1516" s="19" t="str">
        <f aca="false">IF(AND(Eingabe!$F$16&gt;0,Eingabe!$E$16&gt;=94),"10."&amp;Eingabe!$D$16&amp;".94.1","")</f>
        <v/>
      </c>
      <c r="H1516" s="19" t="str">
        <f aca="false">IF(AND(Eingabe!$F$16&gt;0,Eingabe!$E$16&gt;=94),"10."&amp;Eingabe!$D$16&amp;".94.10 – 10."&amp;Eingabe!$D$16&amp;".94.250","")</f>
        <v/>
      </c>
      <c r="I1516" s="19" t="str">
        <f aca="false">IF(AND(Eingabe!$F$16&gt;0,Eingabe!$E$16&gt;=94),Eingabe!$B$6&amp;"-"&amp;Eingabe!$C$16&amp;"-Pächter","")</f>
        <v/>
      </c>
      <c r="J1516" s="19" t="str">
        <f aca="false">IF(AND(Eingabe!$F$16&gt;0,Eingabe!$E$16&gt;=94),"PPSK: Passwort Parzelle 94","")</f>
        <v/>
      </c>
      <c r="K1516" s="19" t="str">
        <f aca="false">IF(AND(Eingabe!$F$16&gt;0,Eingabe!$E$16&gt;=94),"1. Gerät: 10."&amp;Eingabe!$D$16&amp;".94.10, 2. Gerät: .11","")</f>
        <v/>
      </c>
    </row>
    <row r="1517" customFormat="false" ht="15" hidden="false" customHeight="false" outlineLevel="0" collapsed="false">
      <c r="A1517" s="19" t="str">
        <f aca="false">IF(AND(Eingabe!$F$16&gt;0,Eingabe!$E$16&gt;=95),8,"")</f>
        <v/>
      </c>
      <c r="B1517" s="19" t="str">
        <f aca="false">IF(AND(Eingabe!$F$16&gt;0,Eingabe!$E$16&gt;=95),Eingabe!$B$16,"")</f>
        <v/>
      </c>
      <c r="C1517" s="19" t="str">
        <f aca="false">IF(AND(Eingabe!$F$16&gt;0,Eingabe!$E$16&gt;=95),Eingabe!$C$16&amp;"-Paz."&amp;TEXT(95,"000"),"")</f>
        <v/>
      </c>
      <c r="D1517" s="19" t="str">
        <f aca="false">IF(AND(Eingabe!$F$16&gt;0,Eingabe!$E$16&gt;=95),95,"")</f>
        <v/>
      </c>
      <c r="E1517" s="19" t="str">
        <f aca="false">IF(AND(Eingabe!$F$16&gt;0,Eingabe!$E$16&gt;=95),IF((Eingabe!$G$16)&lt;=9,1000+(Eingabe!$G$16)*100,3000)+95,"")</f>
        <v/>
      </c>
      <c r="F1517" s="19" t="str">
        <f aca="false">IF(AND(Eingabe!$F$16&gt;0,Eingabe!$E$16&gt;=95),"10."&amp;Eingabe!$D$16&amp;".95.0/24","")</f>
        <v/>
      </c>
      <c r="G1517" s="19" t="str">
        <f aca="false">IF(AND(Eingabe!$F$16&gt;0,Eingabe!$E$16&gt;=95),"10."&amp;Eingabe!$D$16&amp;".95.1","")</f>
        <v/>
      </c>
      <c r="H1517" s="19" t="str">
        <f aca="false">IF(AND(Eingabe!$F$16&gt;0,Eingabe!$E$16&gt;=95),"10."&amp;Eingabe!$D$16&amp;".95.10 – 10."&amp;Eingabe!$D$16&amp;".95.250","")</f>
        <v/>
      </c>
      <c r="I1517" s="19" t="str">
        <f aca="false">IF(AND(Eingabe!$F$16&gt;0,Eingabe!$E$16&gt;=95),Eingabe!$B$6&amp;"-"&amp;Eingabe!$C$16&amp;"-Pächter","")</f>
        <v/>
      </c>
      <c r="J1517" s="19" t="str">
        <f aca="false">IF(AND(Eingabe!$F$16&gt;0,Eingabe!$E$16&gt;=95),"PPSK: Passwort Parzelle 95","")</f>
        <v/>
      </c>
      <c r="K1517" s="19" t="str">
        <f aca="false">IF(AND(Eingabe!$F$16&gt;0,Eingabe!$E$16&gt;=95),"1. Gerät: 10."&amp;Eingabe!$D$16&amp;".95.10, 2. Gerät: .11","")</f>
        <v/>
      </c>
    </row>
    <row r="1518" customFormat="false" ht="15" hidden="false" customHeight="false" outlineLevel="0" collapsed="false">
      <c r="A1518" s="19" t="str">
        <f aca="false">IF(AND(Eingabe!$F$16&gt;0,Eingabe!$E$16&gt;=96),8,"")</f>
        <v/>
      </c>
      <c r="B1518" s="19" t="str">
        <f aca="false">IF(AND(Eingabe!$F$16&gt;0,Eingabe!$E$16&gt;=96),Eingabe!$B$16,"")</f>
        <v/>
      </c>
      <c r="C1518" s="19" t="str">
        <f aca="false">IF(AND(Eingabe!$F$16&gt;0,Eingabe!$E$16&gt;=96),Eingabe!$C$16&amp;"-Paz."&amp;TEXT(96,"000"),"")</f>
        <v/>
      </c>
      <c r="D1518" s="19" t="str">
        <f aca="false">IF(AND(Eingabe!$F$16&gt;0,Eingabe!$E$16&gt;=96),96,"")</f>
        <v/>
      </c>
      <c r="E1518" s="19" t="str">
        <f aca="false">IF(AND(Eingabe!$F$16&gt;0,Eingabe!$E$16&gt;=96),IF((Eingabe!$G$16)&lt;=9,1000+(Eingabe!$G$16)*100,3000)+96,"")</f>
        <v/>
      </c>
      <c r="F1518" s="19" t="str">
        <f aca="false">IF(AND(Eingabe!$F$16&gt;0,Eingabe!$E$16&gt;=96),"10."&amp;Eingabe!$D$16&amp;".96.0/24","")</f>
        <v/>
      </c>
      <c r="G1518" s="19" t="str">
        <f aca="false">IF(AND(Eingabe!$F$16&gt;0,Eingabe!$E$16&gt;=96),"10."&amp;Eingabe!$D$16&amp;".96.1","")</f>
        <v/>
      </c>
      <c r="H1518" s="19" t="str">
        <f aca="false">IF(AND(Eingabe!$F$16&gt;0,Eingabe!$E$16&gt;=96),"10."&amp;Eingabe!$D$16&amp;".96.10 – 10."&amp;Eingabe!$D$16&amp;".96.250","")</f>
        <v/>
      </c>
      <c r="I1518" s="19" t="str">
        <f aca="false">IF(AND(Eingabe!$F$16&gt;0,Eingabe!$E$16&gt;=96),Eingabe!$B$6&amp;"-"&amp;Eingabe!$C$16&amp;"-Pächter","")</f>
        <v/>
      </c>
      <c r="J1518" s="19" t="str">
        <f aca="false">IF(AND(Eingabe!$F$16&gt;0,Eingabe!$E$16&gt;=96),"PPSK: Passwort Parzelle 96","")</f>
        <v/>
      </c>
      <c r="K1518" s="19" t="str">
        <f aca="false">IF(AND(Eingabe!$F$16&gt;0,Eingabe!$E$16&gt;=96),"1. Gerät: 10."&amp;Eingabe!$D$16&amp;".96.10, 2. Gerät: .11","")</f>
        <v/>
      </c>
    </row>
    <row r="1519" customFormat="false" ht="15" hidden="false" customHeight="false" outlineLevel="0" collapsed="false">
      <c r="A1519" s="19" t="str">
        <f aca="false">IF(AND(Eingabe!$F$16&gt;0,Eingabe!$E$16&gt;=97),8,"")</f>
        <v/>
      </c>
      <c r="B1519" s="19" t="str">
        <f aca="false">IF(AND(Eingabe!$F$16&gt;0,Eingabe!$E$16&gt;=97),Eingabe!$B$16,"")</f>
        <v/>
      </c>
      <c r="C1519" s="19" t="str">
        <f aca="false">IF(AND(Eingabe!$F$16&gt;0,Eingabe!$E$16&gt;=97),Eingabe!$C$16&amp;"-Paz."&amp;TEXT(97,"000"),"")</f>
        <v/>
      </c>
      <c r="D1519" s="19" t="str">
        <f aca="false">IF(AND(Eingabe!$F$16&gt;0,Eingabe!$E$16&gt;=97),97,"")</f>
        <v/>
      </c>
      <c r="E1519" s="19" t="str">
        <f aca="false">IF(AND(Eingabe!$F$16&gt;0,Eingabe!$E$16&gt;=97),IF((Eingabe!$G$16)&lt;=9,1000+(Eingabe!$G$16)*100,3000)+97,"")</f>
        <v/>
      </c>
      <c r="F1519" s="19" t="str">
        <f aca="false">IF(AND(Eingabe!$F$16&gt;0,Eingabe!$E$16&gt;=97),"10."&amp;Eingabe!$D$16&amp;".97.0/24","")</f>
        <v/>
      </c>
      <c r="G1519" s="19" t="str">
        <f aca="false">IF(AND(Eingabe!$F$16&gt;0,Eingabe!$E$16&gt;=97),"10."&amp;Eingabe!$D$16&amp;".97.1","")</f>
        <v/>
      </c>
      <c r="H1519" s="19" t="str">
        <f aca="false">IF(AND(Eingabe!$F$16&gt;0,Eingabe!$E$16&gt;=97),"10."&amp;Eingabe!$D$16&amp;".97.10 – 10."&amp;Eingabe!$D$16&amp;".97.250","")</f>
        <v/>
      </c>
      <c r="I1519" s="19" t="str">
        <f aca="false">IF(AND(Eingabe!$F$16&gt;0,Eingabe!$E$16&gt;=97),Eingabe!$B$6&amp;"-"&amp;Eingabe!$C$16&amp;"-Pächter","")</f>
        <v/>
      </c>
      <c r="J1519" s="19" t="str">
        <f aca="false">IF(AND(Eingabe!$F$16&gt;0,Eingabe!$E$16&gt;=97),"PPSK: Passwort Parzelle 97","")</f>
        <v/>
      </c>
      <c r="K1519" s="19" t="str">
        <f aca="false">IF(AND(Eingabe!$F$16&gt;0,Eingabe!$E$16&gt;=97),"1. Gerät: 10."&amp;Eingabe!$D$16&amp;".97.10, 2. Gerät: .11","")</f>
        <v/>
      </c>
    </row>
    <row r="1520" customFormat="false" ht="15" hidden="false" customHeight="false" outlineLevel="0" collapsed="false">
      <c r="A1520" s="19" t="str">
        <f aca="false">IF(AND(Eingabe!$F$16&gt;0,Eingabe!$E$16&gt;=98),8,"")</f>
        <v/>
      </c>
      <c r="B1520" s="19" t="str">
        <f aca="false">IF(AND(Eingabe!$F$16&gt;0,Eingabe!$E$16&gt;=98),Eingabe!$B$16,"")</f>
        <v/>
      </c>
      <c r="C1520" s="19" t="str">
        <f aca="false">IF(AND(Eingabe!$F$16&gt;0,Eingabe!$E$16&gt;=98),Eingabe!$C$16&amp;"-Paz."&amp;TEXT(98,"000"),"")</f>
        <v/>
      </c>
      <c r="D1520" s="19" t="str">
        <f aca="false">IF(AND(Eingabe!$F$16&gt;0,Eingabe!$E$16&gt;=98),98,"")</f>
        <v/>
      </c>
      <c r="E1520" s="19" t="str">
        <f aca="false">IF(AND(Eingabe!$F$16&gt;0,Eingabe!$E$16&gt;=98),IF((Eingabe!$G$16)&lt;=9,1000+(Eingabe!$G$16)*100,3000)+98,"")</f>
        <v/>
      </c>
      <c r="F1520" s="19" t="str">
        <f aca="false">IF(AND(Eingabe!$F$16&gt;0,Eingabe!$E$16&gt;=98),"10."&amp;Eingabe!$D$16&amp;".98.0/24","")</f>
        <v/>
      </c>
      <c r="G1520" s="19" t="str">
        <f aca="false">IF(AND(Eingabe!$F$16&gt;0,Eingabe!$E$16&gt;=98),"10."&amp;Eingabe!$D$16&amp;".98.1","")</f>
        <v/>
      </c>
      <c r="H1520" s="19" t="str">
        <f aca="false">IF(AND(Eingabe!$F$16&gt;0,Eingabe!$E$16&gt;=98),"10."&amp;Eingabe!$D$16&amp;".98.10 – 10."&amp;Eingabe!$D$16&amp;".98.250","")</f>
        <v/>
      </c>
      <c r="I1520" s="19" t="str">
        <f aca="false">IF(AND(Eingabe!$F$16&gt;0,Eingabe!$E$16&gt;=98),Eingabe!$B$6&amp;"-"&amp;Eingabe!$C$16&amp;"-Pächter","")</f>
        <v/>
      </c>
      <c r="J1520" s="19" t="str">
        <f aca="false">IF(AND(Eingabe!$F$16&gt;0,Eingabe!$E$16&gt;=98),"PPSK: Passwort Parzelle 98","")</f>
        <v/>
      </c>
      <c r="K1520" s="19" t="str">
        <f aca="false">IF(AND(Eingabe!$F$16&gt;0,Eingabe!$E$16&gt;=98),"1. Gerät: 10."&amp;Eingabe!$D$16&amp;".98.10, 2. Gerät: .11","")</f>
        <v/>
      </c>
    </row>
    <row r="1521" customFormat="false" ht="15" hidden="false" customHeight="false" outlineLevel="0" collapsed="false">
      <c r="A1521" s="19" t="str">
        <f aca="false">IF(AND(Eingabe!$F$16&gt;0,Eingabe!$E$16&gt;=99),8,"")</f>
        <v/>
      </c>
      <c r="B1521" s="19" t="str">
        <f aca="false">IF(AND(Eingabe!$F$16&gt;0,Eingabe!$E$16&gt;=99),Eingabe!$B$16,"")</f>
        <v/>
      </c>
      <c r="C1521" s="19" t="str">
        <f aca="false">IF(AND(Eingabe!$F$16&gt;0,Eingabe!$E$16&gt;=99),Eingabe!$C$16&amp;"-Paz."&amp;TEXT(99,"000"),"")</f>
        <v/>
      </c>
      <c r="D1521" s="19" t="str">
        <f aca="false">IF(AND(Eingabe!$F$16&gt;0,Eingabe!$E$16&gt;=99),99,"")</f>
        <v/>
      </c>
      <c r="E1521" s="19" t="str">
        <f aca="false">IF(AND(Eingabe!$F$16&gt;0,Eingabe!$E$16&gt;=99),IF((Eingabe!$G$16)&lt;=9,1000+(Eingabe!$G$16)*100,3000)+99,"")</f>
        <v/>
      </c>
      <c r="F1521" s="19" t="str">
        <f aca="false">IF(AND(Eingabe!$F$16&gt;0,Eingabe!$E$16&gt;=99),"10."&amp;Eingabe!$D$16&amp;".99.0/24","")</f>
        <v/>
      </c>
      <c r="G1521" s="19" t="str">
        <f aca="false">IF(AND(Eingabe!$F$16&gt;0,Eingabe!$E$16&gt;=99),"10."&amp;Eingabe!$D$16&amp;".99.1","")</f>
        <v/>
      </c>
      <c r="H1521" s="19" t="str">
        <f aca="false">IF(AND(Eingabe!$F$16&gt;0,Eingabe!$E$16&gt;=99),"10."&amp;Eingabe!$D$16&amp;".99.10 – 10."&amp;Eingabe!$D$16&amp;".99.250","")</f>
        <v/>
      </c>
      <c r="I1521" s="19" t="str">
        <f aca="false">IF(AND(Eingabe!$F$16&gt;0,Eingabe!$E$16&gt;=99),Eingabe!$B$6&amp;"-"&amp;Eingabe!$C$16&amp;"-Pächter","")</f>
        <v/>
      </c>
      <c r="J1521" s="19" t="str">
        <f aca="false">IF(AND(Eingabe!$F$16&gt;0,Eingabe!$E$16&gt;=99),"PPSK: Passwort Parzelle 99","")</f>
        <v/>
      </c>
      <c r="K1521" s="19" t="str">
        <f aca="false">IF(AND(Eingabe!$F$16&gt;0,Eingabe!$E$16&gt;=99),"1. Gerät: 10."&amp;Eingabe!$D$16&amp;".99.10, 2. Gerät: .11","")</f>
        <v/>
      </c>
    </row>
    <row r="1522" customFormat="false" ht="15" hidden="false" customHeight="false" outlineLevel="0" collapsed="false">
      <c r="A1522" s="19" t="str">
        <f aca="false">IF(AND(Eingabe!$F$16&gt;0,Eingabe!$E$16&gt;=100),8,"")</f>
        <v/>
      </c>
      <c r="B1522" s="19" t="str">
        <f aca="false">IF(AND(Eingabe!$F$16&gt;0,Eingabe!$E$16&gt;=100),Eingabe!$B$16,"")</f>
        <v/>
      </c>
      <c r="C1522" s="19" t="str">
        <f aca="false">IF(AND(Eingabe!$F$16&gt;0,Eingabe!$E$16&gt;=100),Eingabe!$C$16&amp;"-Paz."&amp;TEXT(100,"000"),"")</f>
        <v/>
      </c>
      <c r="D1522" s="19" t="str">
        <f aca="false">IF(AND(Eingabe!$F$16&gt;0,Eingabe!$E$16&gt;=100),100,"")</f>
        <v/>
      </c>
      <c r="E1522" s="19" t="str">
        <f aca="false">IF(AND(Eingabe!$F$16&gt;0,Eingabe!$E$16&gt;=100),IF((Eingabe!$G$16+1)&lt;=9,1000+(Eingabe!$G$16+1)*100,3000)+0,"")</f>
        <v/>
      </c>
      <c r="F1522" s="19" t="str">
        <f aca="false">IF(AND(Eingabe!$F$16&gt;0,Eingabe!$E$16&gt;=100),"10."&amp;Eingabe!$D$16&amp;".100.0/24","")</f>
        <v/>
      </c>
      <c r="G1522" s="19" t="str">
        <f aca="false">IF(AND(Eingabe!$F$16&gt;0,Eingabe!$E$16&gt;=100),"10."&amp;Eingabe!$D$16&amp;".100.1","")</f>
        <v/>
      </c>
      <c r="H1522" s="19" t="str">
        <f aca="false">IF(AND(Eingabe!$F$16&gt;0,Eingabe!$E$16&gt;=100),"10."&amp;Eingabe!$D$16&amp;".100.10 – 10."&amp;Eingabe!$D$16&amp;".100.250","")</f>
        <v/>
      </c>
      <c r="I1522" s="19" t="str">
        <f aca="false">IF(AND(Eingabe!$F$16&gt;0,Eingabe!$E$16&gt;=100),Eingabe!$B$6&amp;"-"&amp;Eingabe!$C$16&amp;"-Pächter","")</f>
        <v/>
      </c>
      <c r="J1522" s="19" t="str">
        <f aca="false">IF(AND(Eingabe!$F$16&gt;0,Eingabe!$E$16&gt;=100),"PPSK: Passwort Parzelle 100","")</f>
        <v/>
      </c>
      <c r="K1522" s="19" t="str">
        <f aca="false">IF(AND(Eingabe!$F$16&gt;0,Eingabe!$E$16&gt;=100),"1. Gerät: 10."&amp;Eingabe!$D$16&amp;".100.10, 2. Gerät: .11","")</f>
        <v/>
      </c>
    </row>
    <row r="1523" customFormat="false" ht="15" hidden="false" customHeight="false" outlineLevel="0" collapsed="false">
      <c r="A1523" s="19" t="str">
        <f aca="false">IF(AND(Eingabe!$F$16&gt;0,Eingabe!$E$16&gt;=101),8,"")</f>
        <v/>
      </c>
      <c r="B1523" s="19" t="str">
        <f aca="false">IF(AND(Eingabe!$F$16&gt;0,Eingabe!$E$16&gt;=101),Eingabe!$B$16,"")</f>
        <v/>
      </c>
      <c r="C1523" s="19" t="str">
        <f aca="false">IF(AND(Eingabe!$F$16&gt;0,Eingabe!$E$16&gt;=101),Eingabe!$C$16&amp;"-Paz."&amp;TEXT(101,"000"),"")</f>
        <v/>
      </c>
      <c r="D1523" s="19" t="str">
        <f aca="false">IF(AND(Eingabe!$F$16&gt;0,Eingabe!$E$16&gt;=101),101,"")</f>
        <v/>
      </c>
      <c r="E1523" s="19" t="str">
        <f aca="false">IF(AND(Eingabe!$F$16&gt;0,Eingabe!$E$16&gt;=101),IF((Eingabe!$G$16+1)&lt;=9,1000+(Eingabe!$G$16+1)*100,3000)+1,"")</f>
        <v/>
      </c>
      <c r="F1523" s="19" t="str">
        <f aca="false">IF(AND(Eingabe!$F$16&gt;0,Eingabe!$E$16&gt;=101),"10."&amp;Eingabe!$D$16&amp;".101.0/24","")</f>
        <v/>
      </c>
      <c r="G1523" s="19" t="str">
        <f aca="false">IF(AND(Eingabe!$F$16&gt;0,Eingabe!$E$16&gt;=101),"10."&amp;Eingabe!$D$16&amp;".101.1","")</f>
        <v/>
      </c>
      <c r="H1523" s="19" t="str">
        <f aca="false">IF(AND(Eingabe!$F$16&gt;0,Eingabe!$E$16&gt;=101),"10."&amp;Eingabe!$D$16&amp;".101.10 – 10."&amp;Eingabe!$D$16&amp;".101.250","")</f>
        <v/>
      </c>
      <c r="I1523" s="19" t="str">
        <f aca="false">IF(AND(Eingabe!$F$16&gt;0,Eingabe!$E$16&gt;=101),Eingabe!$B$6&amp;"-"&amp;Eingabe!$C$16&amp;"-Pächter","")</f>
        <v/>
      </c>
      <c r="J1523" s="19" t="str">
        <f aca="false">IF(AND(Eingabe!$F$16&gt;0,Eingabe!$E$16&gt;=101),"PPSK: Passwort Parzelle 101","")</f>
        <v/>
      </c>
      <c r="K1523" s="19" t="str">
        <f aca="false">IF(AND(Eingabe!$F$16&gt;0,Eingabe!$E$16&gt;=101),"1. Gerät: 10."&amp;Eingabe!$D$16&amp;".101.10, 2. Gerät: .11","")</f>
        <v/>
      </c>
    </row>
    <row r="1524" customFormat="false" ht="15" hidden="false" customHeight="false" outlineLevel="0" collapsed="false">
      <c r="A1524" s="19" t="str">
        <f aca="false">IF(AND(Eingabe!$F$16&gt;0,Eingabe!$E$16&gt;=102),8,"")</f>
        <v/>
      </c>
      <c r="B1524" s="19" t="str">
        <f aca="false">IF(AND(Eingabe!$F$16&gt;0,Eingabe!$E$16&gt;=102),Eingabe!$B$16,"")</f>
        <v/>
      </c>
      <c r="C1524" s="19" t="str">
        <f aca="false">IF(AND(Eingabe!$F$16&gt;0,Eingabe!$E$16&gt;=102),Eingabe!$C$16&amp;"-Paz."&amp;TEXT(102,"000"),"")</f>
        <v/>
      </c>
      <c r="D1524" s="19" t="str">
        <f aca="false">IF(AND(Eingabe!$F$16&gt;0,Eingabe!$E$16&gt;=102),102,"")</f>
        <v/>
      </c>
      <c r="E1524" s="19" t="str">
        <f aca="false">IF(AND(Eingabe!$F$16&gt;0,Eingabe!$E$16&gt;=102),IF((Eingabe!$G$16+1)&lt;=9,1000+(Eingabe!$G$16+1)*100,3000)+2,"")</f>
        <v/>
      </c>
      <c r="F1524" s="19" t="str">
        <f aca="false">IF(AND(Eingabe!$F$16&gt;0,Eingabe!$E$16&gt;=102),"10."&amp;Eingabe!$D$16&amp;".102.0/24","")</f>
        <v/>
      </c>
      <c r="G1524" s="19" t="str">
        <f aca="false">IF(AND(Eingabe!$F$16&gt;0,Eingabe!$E$16&gt;=102),"10."&amp;Eingabe!$D$16&amp;".102.1","")</f>
        <v/>
      </c>
      <c r="H1524" s="19" t="str">
        <f aca="false">IF(AND(Eingabe!$F$16&gt;0,Eingabe!$E$16&gt;=102),"10."&amp;Eingabe!$D$16&amp;".102.10 – 10."&amp;Eingabe!$D$16&amp;".102.250","")</f>
        <v/>
      </c>
      <c r="I1524" s="19" t="str">
        <f aca="false">IF(AND(Eingabe!$F$16&gt;0,Eingabe!$E$16&gt;=102),Eingabe!$B$6&amp;"-"&amp;Eingabe!$C$16&amp;"-Pächter","")</f>
        <v/>
      </c>
      <c r="J1524" s="19" t="str">
        <f aca="false">IF(AND(Eingabe!$F$16&gt;0,Eingabe!$E$16&gt;=102),"PPSK: Passwort Parzelle 102","")</f>
        <v/>
      </c>
      <c r="K1524" s="19" t="str">
        <f aca="false">IF(AND(Eingabe!$F$16&gt;0,Eingabe!$E$16&gt;=102),"1. Gerät: 10."&amp;Eingabe!$D$16&amp;".102.10, 2. Gerät: .11","")</f>
        <v/>
      </c>
    </row>
    <row r="1525" customFormat="false" ht="15" hidden="false" customHeight="false" outlineLevel="0" collapsed="false">
      <c r="A1525" s="19" t="str">
        <f aca="false">IF(AND(Eingabe!$F$16&gt;0,Eingabe!$E$16&gt;=103),8,"")</f>
        <v/>
      </c>
      <c r="B1525" s="19" t="str">
        <f aca="false">IF(AND(Eingabe!$F$16&gt;0,Eingabe!$E$16&gt;=103),Eingabe!$B$16,"")</f>
        <v/>
      </c>
      <c r="C1525" s="19" t="str">
        <f aca="false">IF(AND(Eingabe!$F$16&gt;0,Eingabe!$E$16&gt;=103),Eingabe!$C$16&amp;"-Paz."&amp;TEXT(103,"000"),"")</f>
        <v/>
      </c>
      <c r="D1525" s="19" t="str">
        <f aca="false">IF(AND(Eingabe!$F$16&gt;0,Eingabe!$E$16&gt;=103),103,"")</f>
        <v/>
      </c>
      <c r="E1525" s="19" t="str">
        <f aca="false">IF(AND(Eingabe!$F$16&gt;0,Eingabe!$E$16&gt;=103),IF((Eingabe!$G$16+1)&lt;=9,1000+(Eingabe!$G$16+1)*100,3000)+3,"")</f>
        <v/>
      </c>
      <c r="F1525" s="19" t="str">
        <f aca="false">IF(AND(Eingabe!$F$16&gt;0,Eingabe!$E$16&gt;=103),"10."&amp;Eingabe!$D$16&amp;".103.0/24","")</f>
        <v/>
      </c>
      <c r="G1525" s="19" t="str">
        <f aca="false">IF(AND(Eingabe!$F$16&gt;0,Eingabe!$E$16&gt;=103),"10."&amp;Eingabe!$D$16&amp;".103.1","")</f>
        <v/>
      </c>
      <c r="H1525" s="19" t="str">
        <f aca="false">IF(AND(Eingabe!$F$16&gt;0,Eingabe!$E$16&gt;=103),"10."&amp;Eingabe!$D$16&amp;".103.10 – 10."&amp;Eingabe!$D$16&amp;".103.250","")</f>
        <v/>
      </c>
      <c r="I1525" s="19" t="str">
        <f aca="false">IF(AND(Eingabe!$F$16&gt;0,Eingabe!$E$16&gt;=103),Eingabe!$B$6&amp;"-"&amp;Eingabe!$C$16&amp;"-Pächter","")</f>
        <v/>
      </c>
      <c r="J1525" s="19" t="str">
        <f aca="false">IF(AND(Eingabe!$F$16&gt;0,Eingabe!$E$16&gt;=103),"PPSK: Passwort Parzelle 103","")</f>
        <v/>
      </c>
      <c r="K1525" s="19" t="str">
        <f aca="false">IF(AND(Eingabe!$F$16&gt;0,Eingabe!$E$16&gt;=103),"1. Gerät: 10."&amp;Eingabe!$D$16&amp;".103.10, 2. Gerät: .11","")</f>
        <v/>
      </c>
    </row>
    <row r="1526" customFormat="false" ht="15" hidden="false" customHeight="false" outlineLevel="0" collapsed="false">
      <c r="A1526" s="19" t="str">
        <f aca="false">IF(AND(Eingabe!$F$16&gt;0,Eingabe!$E$16&gt;=104),8,"")</f>
        <v/>
      </c>
      <c r="B1526" s="19" t="str">
        <f aca="false">IF(AND(Eingabe!$F$16&gt;0,Eingabe!$E$16&gt;=104),Eingabe!$B$16,"")</f>
        <v/>
      </c>
      <c r="C1526" s="19" t="str">
        <f aca="false">IF(AND(Eingabe!$F$16&gt;0,Eingabe!$E$16&gt;=104),Eingabe!$C$16&amp;"-Paz."&amp;TEXT(104,"000"),"")</f>
        <v/>
      </c>
      <c r="D1526" s="19" t="str">
        <f aca="false">IF(AND(Eingabe!$F$16&gt;0,Eingabe!$E$16&gt;=104),104,"")</f>
        <v/>
      </c>
      <c r="E1526" s="19" t="str">
        <f aca="false">IF(AND(Eingabe!$F$16&gt;0,Eingabe!$E$16&gt;=104),IF((Eingabe!$G$16+1)&lt;=9,1000+(Eingabe!$G$16+1)*100,3000)+4,"")</f>
        <v/>
      </c>
      <c r="F1526" s="19" t="str">
        <f aca="false">IF(AND(Eingabe!$F$16&gt;0,Eingabe!$E$16&gt;=104),"10."&amp;Eingabe!$D$16&amp;".104.0/24","")</f>
        <v/>
      </c>
      <c r="G1526" s="19" t="str">
        <f aca="false">IF(AND(Eingabe!$F$16&gt;0,Eingabe!$E$16&gt;=104),"10."&amp;Eingabe!$D$16&amp;".104.1","")</f>
        <v/>
      </c>
      <c r="H1526" s="19" t="str">
        <f aca="false">IF(AND(Eingabe!$F$16&gt;0,Eingabe!$E$16&gt;=104),"10."&amp;Eingabe!$D$16&amp;".104.10 – 10."&amp;Eingabe!$D$16&amp;".104.250","")</f>
        <v/>
      </c>
      <c r="I1526" s="19" t="str">
        <f aca="false">IF(AND(Eingabe!$F$16&gt;0,Eingabe!$E$16&gt;=104),Eingabe!$B$6&amp;"-"&amp;Eingabe!$C$16&amp;"-Pächter","")</f>
        <v/>
      </c>
      <c r="J1526" s="19" t="str">
        <f aca="false">IF(AND(Eingabe!$F$16&gt;0,Eingabe!$E$16&gt;=104),"PPSK: Passwort Parzelle 104","")</f>
        <v/>
      </c>
      <c r="K1526" s="19" t="str">
        <f aca="false">IF(AND(Eingabe!$F$16&gt;0,Eingabe!$E$16&gt;=104),"1. Gerät: 10."&amp;Eingabe!$D$16&amp;".104.10, 2. Gerät: .11","")</f>
        <v/>
      </c>
    </row>
    <row r="1527" customFormat="false" ht="15" hidden="false" customHeight="false" outlineLevel="0" collapsed="false">
      <c r="A1527" s="19" t="str">
        <f aca="false">IF(AND(Eingabe!$F$16&gt;0,Eingabe!$E$16&gt;=105),8,"")</f>
        <v/>
      </c>
      <c r="B1527" s="19" t="str">
        <f aca="false">IF(AND(Eingabe!$F$16&gt;0,Eingabe!$E$16&gt;=105),Eingabe!$B$16,"")</f>
        <v/>
      </c>
      <c r="C1527" s="19" t="str">
        <f aca="false">IF(AND(Eingabe!$F$16&gt;0,Eingabe!$E$16&gt;=105),Eingabe!$C$16&amp;"-Paz."&amp;TEXT(105,"000"),"")</f>
        <v/>
      </c>
      <c r="D1527" s="19" t="str">
        <f aca="false">IF(AND(Eingabe!$F$16&gt;0,Eingabe!$E$16&gt;=105),105,"")</f>
        <v/>
      </c>
      <c r="E1527" s="19" t="str">
        <f aca="false">IF(AND(Eingabe!$F$16&gt;0,Eingabe!$E$16&gt;=105),IF((Eingabe!$G$16+1)&lt;=9,1000+(Eingabe!$G$16+1)*100,3000)+5,"")</f>
        <v/>
      </c>
      <c r="F1527" s="19" t="str">
        <f aca="false">IF(AND(Eingabe!$F$16&gt;0,Eingabe!$E$16&gt;=105),"10."&amp;Eingabe!$D$16&amp;".105.0/24","")</f>
        <v/>
      </c>
      <c r="G1527" s="19" t="str">
        <f aca="false">IF(AND(Eingabe!$F$16&gt;0,Eingabe!$E$16&gt;=105),"10."&amp;Eingabe!$D$16&amp;".105.1","")</f>
        <v/>
      </c>
      <c r="H1527" s="19" t="str">
        <f aca="false">IF(AND(Eingabe!$F$16&gt;0,Eingabe!$E$16&gt;=105),"10."&amp;Eingabe!$D$16&amp;".105.10 – 10."&amp;Eingabe!$D$16&amp;".105.250","")</f>
        <v/>
      </c>
      <c r="I1527" s="19" t="str">
        <f aca="false">IF(AND(Eingabe!$F$16&gt;0,Eingabe!$E$16&gt;=105),Eingabe!$B$6&amp;"-"&amp;Eingabe!$C$16&amp;"-Pächter","")</f>
        <v/>
      </c>
      <c r="J1527" s="19" t="str">
        <f aca="false">IF(AND(Eingabe!$F$16&gt;0,Eingabe!$E$16&gt;=105),"PPSK: Passwort Parzelle 105","")</f>
        <v/>
      </c>
      <c r="K1527" s="19" t="str">
        <f aca="false">IF(AND(Eingabe!$F$16&gt;0,Eingabe!$E$16&gt;=105),"1. Gerät: 10."&amp;Eingabe!$D$16&amp;".105.10, 2. Gerät: .11","")</f>
        <v/>
      </c>
    </row>
    <row r="1528" customFormat="false" ht="15" hidden="false" customHeight="false" outlineLevel="0" collapsed="false">
      <c r="A1528" s="19" t="str">
        <f aca="false">IF(AND(Eingabe!$F$16&gt;0,Eingabe!$E$16&gt;=106),8,"")</f>
        <v/>
      </c>
      <c r="B1528" s="19" t="str">
        <f aca="false">IF(AND(Eingabe!$F$16&gt;0,Eingabe!$E$16&gt;=106),Eingabe!$B$16,"")</f>
        <v/>
      </c>
      <c r="C1528" s="19" t="str">
        <f aca="false">IF(AND(Eingabe!$F$16&gt;0,Eingabe!$E$16&gt;=106),Eingabe!$C$16&amp;"-Paz."&amp;TEXT(106,"000"),"")</f>
        <v/>
      </c>
      <c r="D1528" s="19" t="str">
        <f aca="false">IF(AND(Eingabe!$F$16&gt;0,Eingabe!$E$16&gt;=106),106,"")</f>
        <v/>
      </c>
      <c r="E1528" s="19" t="str">
        <f aca="false">IF(AND(Eingabe!$F$16&gt;0,Eingabe!$E$16&gt;=106),IF((Eingabe!$G$16+1)&lt;=9,1000+(Eingabe!$G$16+1)*100,3000)+6,"")</f>
        <v/>
      </c>
      <c r="F1528" s="19" t="str">
        <f aca="false">IF(AND(Eingabe!$F$16&gt;0,Eingabe!$E$16&gt;=106),"10."&amp;Eingabe!$D$16&amp;".106.0/24","")</f>
        <v/>
      </c>
      <c r="G1528" s="19" t="str">
        <f aca="false">IF(AND(Eingabe!$F$16&gt;0,Eingabe!$E$16&gt;=106),"10."&amp;Eingabe!$D$16&amp;".106.1","")</f>
        <v/>
      </c>
      <c r="H1528" s="19" t="str">
        <f aca="false">IF(AND(Eingabe!$F$16&gt;0,Eingabe!$E$16&gt;=106),"10."&amp;Eingabe!$D$16&amp;".106.10 – 10."&amp;Eingabe!$D$16&amp;".106.250","")</f>
        <v/>
      </c>
      <c r="I1528" s="19" t="str">
        <f aca="false">IF(AND(Eingabe!$F$16&gt;0,Eingabe!$E$16&gt;=106),Eingabe!$B$6&amp;"-"&amp;Eingabe!$C$16&amp;"-Pächter","")</f>
        <v/>
      </c>
      <c r="J1528" s="19" t="str">
        <f aca="false">IF(AND(Eingabe!$F$16&gt;0,Eingabe!$E$16&gt;=106),"PPSK: Passwort Parzelle 106","")</f>
        <v/>
      </c>
      <c r="K1528" s="19" t="str">
        <f aca="false">IF(AND(Eingabe!$F$16&gt;0,Eingabe!$E$16&gt;=106),"1. Gerät: 10."&amp;Eingabe!$D$16&amp;".106.10, 2. Gerät: .11","")</f>
        <v/>
      </c>
    </row>
    <row r="1529" customFormat="false" ht="15" hidden="false" customHeight="false" outlineLevel="0" collapsed="false">
      <c r="A1529" s="19" t="str">
        <f aca="false">IF(AND(Eingabe!$F$16&gt;0,Eingabe!$E$16&gt;=107),8,"")</f>
        <v/>
      </c>
      <c r="B1529" s="19" t="str">
        <f aca="false">IF(AND(Eingabe!$F$16&gt;0,Eingabe!$E$16&gt;=107),Eingabe!$B$16,"")</f>
        <v/>
      </c>
      <c r="C1529" s="19" t="str">
        <f aca="false">IF(AND(Eingabe!$F$16&gt;0,Eingabe!$E$16&gt;=107),Eingabe!$C$16&amp;"-Paz."&amp;TEXT(107,"000"),"")</f>
        <v/>
      </c>
      <c r="D1529" s="19" t="str">
        <f aca="false">IF(AND(Eingabe!$F$16&gt;0,Eingabe!$E$16&gt;=107),107,"")</f>
        <v/>
      </c>
      <c r="E1529" s="19" t="str">
        <f aca="false">IF(AND(Eingabe!$F$16&gt;0,Eingabe!$E$16&gt;=107),IF((Eingabe!$G$16+1)&lt;=9,1000+(Eingabe!$G$16+1)*100,3000)+7,"")</f>
        <v/>
      </c>
      <c r="F1529" s="19" t="str">
        <f aca="false">IF(AND(Eingabe!$F$16&gt;0,Eingabe!$E$16&gt;=107),"10."&amp;Eingabe!$D$16&amp;".107.0/24","")</f>
        <v/>
      </c>
      <c r="G1529" s="19" t="str">
        <f aca="false">IF(AND(Eingabe!$F$16&gt;0,Eingabe!$E$16&gt;=107),"10."&amp;Eingabe!$D$16&amp;".107.1","")</f>
        <v/>
      </c>
      <c r="H1529" s="19" t="str">
        <f aca="false">IF(AND(Eingabe!$F$16&gt;0,Eingabe!$E$16&gt;=107),"10."&amp;Eingabe!$D$16&amp;".107.10 – 10."&amp;Eingabe!$D$16&amp;".107.250","")</f>
        <v/>
      </c>
      <c r="I1529" s="19" t="str">
        <f aca="false">IF(AND(Eingabe!$F$16&gt;0,Eingabe!$E$16&gt;=107),Eingabe!$B$6&amp;"-"&amp;Eingabe!$C$16&amp;"-Pächter","")</f>
        <v/>
      </c>
      <c r="J1529" s="19" t="str">
        <f aca="false">IF(AND(Eingabe!$F$16&gt;0,Eingabe!$E$16&gt;=107),"PPSK: Passwort Parzelle 107","")</f>
        <v/>
      </c>
      <c r="K1529" s="19" t="str">
        <f aca="false">IF(AND(Eingabe!$F$16&gt;0,Eingabe!$E$16&gt;=107),"1. Gerät: 10."&amp;Eingabe!$D$16&amp;".107.10, 2. Gerät: .11","")</f>
        <v/>
      </c>
    </row>
    <row r="1530" customFormat="false" ht="15" hidden="false" customHeight="false" outlineLevel="0" collapsed="false">
      <c r="A1530" s="19" t="str">
        <f aca="false">IF(AND(Eingabe!$F$16&gt;0,Eingabe!$E$16&gt;=108),8,"")</f>
        <v/>
      </c>
      <c r="B1530" s="19" t="str">
        <f aca="false">IF(AND(Eingabe!$F$16&gt;0,Eingabe!$E$16&gt;=108),Eingabe!$B$16,"")</f>
        <v/>
      </c>
      <c r="C1530" s="19" t="str">
        <f aca="false">IF(AND(Eingabe!$F$16&gt;0,Eingabe!$E$16&gt;=108),Eingabe!$C$16&amp;"-Paz."&amp;TEXT(108,"000"),"")</f>
        <v/>
      </c>
      <c r="D1530" s="19" t="str">
        <f aca="false">IF(AND(Eingabe!$F$16&gt;0,Eingabe!$E$16&gt;=108),108,"")</f>
        <v/>
      </c>
      <c r="E1530" s="19" t="str">
        <f aca="false">IF(AND(Eingabe!$F$16&gt;0,Eingabe!$E$16&gt;=108),IF((Eingabe!$G$16+1)&lt;=9,1000+(Eingabe!$G$16+1)*100,3000)+8,"")</f>
        <v/>
      </c>
      <c r="F1530" s="19" t="str">
        <f aca="false">IF(AND(Eingabe!$F$16&gt;0,Eingabe!$E$16&gt;=108),"10."&amp;Eingabe!$D$16&amp;".108.0/24","")</f>
        <v/>
      </c>
      <c r="G1530" s="19" t="str">
        <f aca="false">IF(AND(Eingabe!$F$16&gt;0,Eingabe!$E$16&gt;=108),"10."&amp;Eingabe!$D$16&amp;".108.1","")</f>
        <v/>
      </c>
      <c r="H1530" s="19" t="str">
        <f aca="false">IF(AND(Eingabe!$F$16&gt;0,Eingabe!$E$16&gt;=108),"10."&amp;Eingabe!$D$16&amp;".108.10 – 10."&amp;Eingabe!$D$16&amp;".108.250","")</f>
        <v/>
      </c>
      <c r="I1530" s="19" t="str">
        <f aca="false">IF(AND(Eingabe!$F$16&gt;0,Eingabe!$E$16&gt;=108),Eingabe!$B$6&amp;"-"&amp;Eingabe!$C$16&amp;"-Pächter","")</f>
        <v/>
      </c>
      <c r="J1530" s="19" t="str">
        <f aca="false">IF(AND(Eingabe!$F$16&gt;0,Eingabe!$E$16&gt;=108),"PPSK: Passwort Parzelle 108","")</f>
        <v/>
      </c>
      <c r="K1530" s="19" t="str">
        <f aca="false">IF(AND(Eingabe!$F$16&gt;0,Eingabe!$E$16&gt;=108),"1. Gerät: 10."&amp;Eingabe!$D$16&amp;".108.10, 2. Gerät: .11","")</f>
        <v/>
      </c>
    </row>
    <row r="1531" customFormat="false" ht="15" hidden="false" customHeight="false" outlineLevel="0" collapsed="false">
      <c r="A1531" s="19" t="str">
        <f aca="false">IF(AND(Eingabe!$F$16&gt;0,Eingabe!$E$16&gt;=109),8,"")</f>
        <v/>
      </c>
      <c r="B1531" s="19" t="str">
        <f aca="false">IF(AND(Eingabe!$F$16&gt;0,Eingabe!$E$16&gt;=109),Eingabe!$B$16,"")</f>
        <v/>
      </c>
      <c r="C1531" s="19" t="str">
        <f aca="false">IF(AND(Eingabe!$F$16&gt;0,Eingabe!$E$16&gt;=109),Eingabe!$C$16&amp;"-Paz."&amp;TEXT(109,"000"),"")</f>
        <v/>
      </c>
      <c r="D1531" s="19" t="str">
        <f aca="false">IF(AND(Eingabe!$F$16&gt;0,Eingabe!$E$16&gt;=109),109,"")</f>
        <v/>
      </c>
      <c r="E1531" s="19" t="str">
        <f aca="false">IF(AND(Eingabe!$F$16&gt;0,Eingabe!$E$16&gt;=109),IF((Eingabe!$G$16+1)&lt;=9,1000+(Eingabe!$G$16+1)*100,3000)+9,"")</f>
        <v/>
      </c>
      <c r="F1531" s="19" t="str">
        <f aca="false">IF(AND(Eingabe!$F$16&gt;0,Eingabe!$E$16&gt;=109),"10."&amp;Eingabe!$D$16&amp;".109.0/24","")</f>
        <v/>
      </c>
      <c r="G1531" s="19" t="str">
        <f aca="false">IF(AND(Eingabe!$F$16&gt;0,Eingabe!$E$16&gt;=109),"10."&amp;Eingabe!$D$16&amp;".109.1","")</f>
        <v/>
      </c>
      <c r="H1531" s="19" t="str">
        <f aca="false">IF(AND(Eingabe!$F$16&gt;0,Eingabe!$E$16&gt;=109),"10."&amp;Eingabe!$D$16&amp;".109.10 – 10."&amp;Eingabe!$D$16&amp;".109.250","")</f>
        <v/>
      </c>
      <c r="I1531" s="19" t="str">
        <f aca="false">IF(AND(Eingabe!$F$16&gt;0,Eingabe!$E$16&gt;=109),Eingabe!$B$6&amp;"-"&amp;Eingabe!$C$16&amp;"-Pächter","")</f>
        <v/>
      </c>
      <c r="J1531" s="19" t="str">
        <f aca="false">IF(AND(Eingabe!$F$16&gt;0,Eingabe!$E$16&gt;=109),"PPSK: Passwort Parzelle 109","")</f>
        <v/>
      </c>
      <c r="K1531" s="19" t="str">
        <f aca="false">IF(AND(Eingabe!$F$16&gt;0,Eingabe!$E$16&gt;=109),"1. Gerät: 10."&amp;Eingabe!$D$16&amp;".109.10, 2. Gerät: .11","")</f>
        <v/>
      </c>
    </row>
    <row r="1532" customFormat="false" ht="15" hidden="false" customHeight="false" outlineLevel="0" collapsed="false">
      <c r="A1532" s="19" t="str">
        <f aca="false">IF(AND(Eingabe!$F$16&gt;0,Eingabe!$E$16&gt;=110),8,"")</f>
        <v/>
      </c>
      <c r="B1532" s="19" t="str">
        <f aca="false">IF(AND(Eingabe!$F$16&gt;0,Eingabe!$E$16&gt;=110),Eingabe!$B$16,"")</f>
        <v/>
      </c>
      <c r="C1532" s="19" t="str">
        <f aca="false">IF(AND(Eingabe!$F$16&gt;0,Eingabe!$E$16&gt;=110),Eingabe!$C$16&amp;"-Paz."&amp;TEXT(110,"000"),"")</f>
        <v/>
      </c>
      <c r="D1532" s="19" t="str">
        <f aca="false">IF(AND(Eingabe!$F$16&gt;0,Eingabe!$E$16&gt;=110),110,"")</f>
        <v/>
      </c>
      <c r="E1532" s="19" t="str">
        <f aca="false">IF(AND(Eingabe!$F$16&gt;0,Eingabe!$E$16&gt;=110),IF((Eingabe!$G$16+1)&lt;=9,1000+(Eingabe!$G$16+1)*100,3000)+10,"")</f>
        <v/>
      </c>
      <c r="F1532" s="19" t="str">
        <f aca="false">IF(AND(Eingabe!$F$16&gt;0,Eingabe!$E$16&gt;=110),"10."&amp;Eingabe!$D$16&amp;".110.0/24","")</f>
        <v/>
      </c>
      <c r="G1532" s="19" t="str">
        <f aca="false">IF(AND(Eingabe!$F$16&gt;0,Eingabe!$E$16&gt;=110),"10."&amp;Eingabe!$D$16&amp;".110.1","")</f>
        <v/>
      </c>
      <c r="H1532" s="19" t="str">
        <f aca="false">IF(AND(Eingabe!$F$16&gt;0,Eingabe!$E$16&gt;=110),"10."&amp;Eingabe!$D$16&amp;".110.10 – 10."&amp;Eingabe!$D$16&amp;".110.250","")</f>
        <v/>
      </c>
      <c r="I1532" s="19" t="str">
        <f aca="false">IF(AND(Eingabe!$F$16&gt;0,Eingabe!$E$16&gt;=110),Eingabe!$B$6&amp;"-"&amp;Eingabe!$C$16&amp;"-Pächter","")</f>
        <v/>
      </c>
      <c r="J1532" s="19" t="str">
        <f aca="false">IF(AND(Eingabe!$F$16&gt;0,Eingabe!$E$16&gt;=110),"PPSK: Passwort Parzelle 110","")</f>
        <v/>
      </c>
      <c r="K1532" s="19" t="str">
        <f aca="false">IF(AND(Eingabe!$F$16&gt;0,Eingabe!$E$16&gt;=110),"1. Gerät: 10."&amp;Eingabe!$D$16&amp;".110.10, 2. Gerät: .11","")</f>
        <v/>
      </c>
    </row>
    <row r="1533" customFormat="false" ht="15" hidden="false" customHeight="false" outlineLevel="0" collapsed="false">
      <c r="A1533" s="19" t="str">
        <f aca="false">IF(AND(Eingabe!$F$16&gt;0,Eingabe!$E$16&gt;=111),8,"")</f>
        <v/>
      </c>
      <c r="B1533" s="19" t="str">
        <f aca="false">IF(AND(Eingabe!$F$16&gt;0,Eingabe!$E$16&gt;=111),Eingabe!$B$16,"")</f>
        <v/>
      </c>
      <c r="C1533" s="19" t="str">
        <f aca="false">IF(AND(Eingabe!$F$16&gt;0,Eingabe!$E$16&gt;=111),Eingabe!$C$16&amp;"-Paz."&amp;TEXT(111,"000"),"")</f>
        <v/>
      </c>
      <c r="D1533" s="19" t="str">
        <f aca="false">IF(AND(Eingabe!$F$16&gt;0,Eingabe!$E$16&gt;=111),111,"")</f>
        <v/>
      </c>
      <c r="E1533" s="19" t="str">
        <f aca="false">IF(AND(Eingabe!$F$16&gt;0,Eingabe!$E$16&gt;=111),IF((Eingabe!$G$16+1)&lt;=9,1000+(Eingabe!$G$16+1)*100,3000)+11,"")</f>
        <v/>
      </c>
      <c r="F1533" s="19" t="str">
        <f aca="false">IF(AND(Eingabe!$F$16&gt;0,Eingabe!$E$16&gt;=111),"10."&amp;Eingabe!$D$16&amp;".111.0/24","")</f>
        <v/>
      </c>
      <c r="G1533" s="19" t="str">
        <f aca="false">IF(AND(Eingabe!$F$16&gt;0,Eingabe!$E$16&gt;=111),"10."&amp;Eingabe!$D$16&amp;".111.1","")</f>
        <v/>
      </c>
      <c r="H1533" s="19" t="str">
        <f aca="false">IF(AND(Eingabe!$F$16&gt;0,Eingabe!$E$16&gt;=111),"10."&amp;Eingabe!$D$16&amp;".111.10 – 10."&amp;Eingabe!$D$16&amp;".111.250","")</f>
        <v/>
      </c>
      <c r="I1533" s="19" t="str">
        <f aca="false">IF(AND(Eingabe!$F$16&gt;0,Eingabe!$E$16&gt;=111),Eingabe!$B$6&amp;"-"&amp;Eingabe!$C$16&amp;"-Pächter","")</f>
        <v/>
      </c>
      <c r="J1533" s="19" t="str">
        <f aca="false">IF(AND(Eingabe!$F$16&gt;0,Eingabe!$E$16&gt;=111),"PPSK: Passwort Parzelle 111","")</f>
        <v/>
      </c>
      <c r="K1533" s="19" t="str">
        <f aca="false">IF(AND(Eingabe!$F$16&gt;0,Eingabe!$E$16&gt;=111),"1. Gerät: 10."&amp;Eingabe!$D$16&amp;".111.10, 2. Gerät: .11","")</f>
        <v/>
      </c>
    </row>
    <row r="1534" customFormat="false" ht="15" hidden="false" customHeight="false" outlineLevel="0" collapsed="false">
      <c r="A1534" s="19" t="str">
        <f aca="false">IF(AND(Eingabe!$F$16&gt;0,Eingabe!$E$16&gt;=112),8,"")</f>
        <v/>
      </c>
      <c r="B1534" s="19" t="str">
        <f aca="false">IF(AND(Eingabe!$F$16&gt;0,Eingabe!$E$16&gt;=112),Eingabe!$B$16,"")</f>
        <v/>
      </c>
      <c r="C1534" s="19" t="str">
        <f aca="false">IF(AND(Eingabe!$F$16&gt;0,Eingabe!$E$16&gt;=112),Eingabe!$C$16&amp;"-Paz."&amp;TEXT(112,"000"),"")</f>
        <v/>
      </c>
      <c r="D1534" s="19" t="str">
        <f aca="false">IF(AND(Eingabe!$F$16&gt;0,Eingabe!$E$16&gt;=112),112,"")</f>
        <v/>
      </c>
      <c r="E1534" s="19" t="str">
        <f aca="false">IF(AND(Eingabe!$F$16&gt;0,Eingabe!$E$16&gt;=112),IF((Eingabe!$G$16+1)&lt;=9,1000+(Eingabe!$G$16+1)*100,3000)+12,"")</f>
        <v/>
      </c>
      <c r="F1534" s="19" t="str">
        <f aca="false">IF(AND(Eingabe!$F$16&gt;0,Eingabe!$E$16&gt;=112),"10."&amp;Eingabe!$D$16&amp;".112.0/24","")</f>
        <v/>
      </c>
      <c r="G1534" s="19" t="str">
        <f aca="false">IF(AND(Eingabe!$F$16&gt;0,Eingabe!$E$16&gt;=112),"10."&amp;Eingabe!$D$16&amp;".112.1","")</f>
        <v/>
      </c>
      <c r="H1534" s="19" t="str">
        <f aca="false">IF(AND(Eingabe!$F$16&gt;0,Eingabe!$E$16&gt;=112),"10."&amp;Eingabe!$D$16&amp;".112.10 – 10."&amp;Eingabe!$D$16&amp;".112.250","")</f>
        <v/>
      </c>
      <c r="I1534" s="19" t="str">
        <f aca="false">IF(AND(Eingabe!$F$16&gt;0,Eingabe!$E$16&gt;=112),Eingabe!$B$6&amp;"-"&amp;Eingabe!$C$16&amp;"-Pächter","")</f>
        <v/>
      </c>
      <c r="J1534" s="19" t="str">
        <f aca="false">IF(AND(Eingabe!$F$16&gt;0,Eingabe!$E$16&gt;=112),"PPSK: Passwort Parzelle 112","")</f>
        <v/>
      </c>
      <c r="K1534" s="19" t="str">
        <f aca="false">IF(AND(Eingabe!$F$16&gt;0,Eingabe!$E$16&gt;=112),"1. Gerät: 10."&amp;Eingabe!$D$16&amp;".112.10, 2. Gerät: .11","")</f>
        <v/>
      </c>
    </row>
    <row r="1535" customFormat="false" ht="15" hidden="false" customHeight="false" outlineLevel="0" collapsed="false">
      <c r="A1535" s="19" t="str">
        <f aca="false">IF(AND(Eingabe!$F$16&gt;0,Eingabe!$E$16&gt;=113),8,"")</f>
        <v/>
      </c>
      <c r="B1535" s="19" t="str">
        <f aca="false">IF(AND(Eingabe!$F$16&gt;0,Eingabe!$E$16&gt;=113),Eingabe!$B$16,"")</f>
        <v/>
      </c>
      <c r="C1535" s="19" t="str">
        <f aca="false">IF(AND(Eingabe!$F$16&gt;0,Eingabe!$E$16&gt;=113),Eingabe!$C$16&amp;"-Paz."&amp;TEXT(113,"000"),"")</f>
        <v/>
      </c>
      <c r="D1535" s="19" t="str">
        <f aca="false">IF(AND(Eingabe!$F$16&gt;0,Eingabe!$E$16&gt;=113),113,"")</f>
        <v/>
      </c>
      <c r="E1535" s="19" t="str">
        <f aca="false">IF(AND(Eingabe!$F$16&gt;0,Eingabe!$E$16&gt;=113),IF((Eingabe!$G$16+1)&lt;=9,1000+(Eingabe!$G$16+1)*100,3000)+13,"")</f>
        <v/>
      </c>
      <c r="F1535" s="19" t="str">
        <f aca="false">IF(AND(Eingabe!$F$16&gt;0,Eingabe!$E$16&gt;=113),"10."&amp;Eingabe!$D$16&amp;".113.0/24","")</f>
        <v/>
      </c>
      <c r="G1535" s="19" t="str">
        <f aca="false">IF(AND(Eingabe!$F$16&gt;0,Eingabe!$E$16&gt;=113),"10."&amp;Eingabe!$D$16&amp;".113.1","")</f>
        <v/>
      </c>
      <c r="H1535" s="19" t="str">
        <f aca="false">IF(AND(Eingabe!$F$16&gt;0,Eingabe!$E$16&gt;=113),"10."&amp;Eingabe!$D$16&amp;".113.10 – 10."&amp;Eingabe!$D$16&amp;".113.250","")</f>
        <v/>
      </c>
      <c r="I1535" s="19" t="str">
        <f aca="false">IF(AND(Eingabe!$F$16&gt;0,Eingabe!$E$16&gt;=113),Eingabe!$B$6&amp;"-"&amp;Eingabe!$C$16&amp;"-Pächter","")</f>
        <v/>
      </c>
      <c r="J1535" s="19" t="str">
        <f aca="false">IF(AND(Eingabe!$F$16&gt;0,Eingabe!$E$16&gt;=113),"PPSK: Passwort Parzelle 113","")</f>
        <v/>
      </c>
      <c r="K1535" s="19" t="str">
        <f aca="false">IF(AND(Eingabe!$F$16&gt;0,Eingabe!$E$16&gt;=113),"1. Gerät: 10."&amp;Eingabe!$D$16&amp;".113.10, 2. Gerät: .11","")</f>
        <v/>
      </c>
    </row>
    <row r="1536" customFormat="false" ht="15" hidden="false" customHeight="false" outlineLevel="0" collapsed="false">
      <c r="A1536" s="19" t="str">
        <f aca="false">IF(AND(Eingabe!$F$16&gt;0,Eingabe!$E$16&gt;=114),8,"")</f>
        <v/>
      </c>
      <c r="B1536" s="19" t="str">
        <f aca="false">IF(AND(Eingabe!$F$16&gt;0,Eingabe!$E$16&gt;=114),Eingabe!$B$16,"")</f>
        <v/>
      </c>
      <c r="C1536" s="19" t="str">
        <f aca="false">IF(AND(Eingabe!$F$16&gt;0,Eingabe!$E$16&gt;=114),Eingabe!$C$16&amp;"-Paz."&amp;TEXT(114,"000"),"")</f>
        <v/>
      </c>
      <c r="D1536" s="19" t="str">
        <f aca="false">IF(AND(Eingabe!$F$16&gt;0,Eingabe!$E$16&gt;=114),114,"")</f>
        <v/>
      </c>
      <c r="E1536" s="19" t="str">
        <f aca="false">IF(AND(Eingabe!$F$16&gt;0,Eingabe!$E$16&gt;=114),IF((Eingabe!$G$16+1)&lt;=9,1000+(Eingabe!$G$16+1)*100,3000)+14,"")</f>
        <v/>
      </c>
      <c r="F1536" s="19" t="str">
        <f aca="false">IF(AND(Eingabe!$F$16&gt;0,Eingabe!$E$16&gt;=114),"10."&amp;Eingabe!$D$16&amp;".114.0/24","")</f>
        <v/>
      </c>
      <c r="G1536" s="19" t="str">
        <f aca="false">IF(AND(Eingabe!$F$16&gt;0,Eingabe!$E$16&gt;=114),"10."&amp;Eingabe!$D$16&amp;".114.1","")</f>
        <v/>
      </c>
      <c r="H1536" s="19" t="str">
        <f aca="false">IF(AND(Eingabe!$F$16&gt;0,Eingabe!$E$16&gt;=114),"10."&amp;Eingabe!$D$16&amp;".114.10 – 10."&amp;Eingabe!$D$16&amp;".114.250","")</f>
        <v/>
      </c>
      <c r="I1536" s="19" t="str">
        <f aca="false">IF(AND(Eingabe!$F$16&gt;0,Eingabe!$E$16&gt;=114),Eingabe!$B$6&amp;"-"&amp;Eingabe!$C$16&amp;"-Pächter","")</f>
        <v/>
      </c>
      <c r="J1536" s="19" t="str">
        <f aca="false">IF(AND(Eingabe!$F$16&gt;0,Eingabe!$E$16&gt;=114),"PPSK: Passwort Parzelle 114","")</f>
        <v/>
      </c>
      <c r="K1536" s="19" t="str">
        <f aca="false">IF(AND(Eingabe!$F$16&gt;0,Eingabe!$E$16&gt;=114),"1. Gerät: 10."&amp;Eingabe!$D$16&amp;".114.10, 2. Gerät: .11","")</f>
        <v/>
      </c>
    </row>
    <row r="1537" customFormat="false" ht="15" hidden="false" customHeight="false" outlineLevel="0" collapsed="false">
      <c r="A1537" s="19" t="str">
        <f aca="false">IF(AND(Eingabe!$F$16&gt;0,Eingabe!$E$16&gt;=115),8,"")</f>
        <v/>
      </c>
      <c r="B1537" s="19" t="str">
        <f aca="false">IF(AND(Eingabe!$F$16&gt;0,Eingabe!$E$16&gt;=115),Eingabe!$B$16,"")</f>
        <v/>
      </c>
      <c r="C1537" s="19" t="str">
        <f aca="false">IF(AND(Eingabe!$F$16&gt;0,Eingabe!$E$16&gt;=115),Eingabe!$C$16&amp;"-Paz."&amp;TEXT(115,"000"),"")</f>
        <v/>
      </c>
      <c r="D1537" s="19" t="str">
        <f aca="false">IF(AND(Eingabe!$F$16&gt;0,Eingabe!$E$16&gt;=115),115,"")</f>
        <v/>
      </c>
      <c r="E1537" s="19" t="str">
        <f aca="false">IF(AND(Eingabe!$F$16&gt;0,Eingabe!$E$16&gt;=115),IF((Eingabe!$G$16+1)&lt;=9,1000+(Eingabe!$G$16+1)*100,3000)+15,"")</f>
        <v/>
      </c>
      <c r="F1537" s="19" t="str">
        <f aca="false">IF(AND(Eingabe!$F$16&gt;0,Eingabe!$E$16&gt;=115),"10."&amp;Eingabe!$D$16&amp;".115.0/24","")</f>
        <v/>
      </c>
      <c r="G1537" s="19" t="str">
        <f aca="false">IF(AND(Eingabe!$F$16&gt;0,Eingabe!$E$16&gt;=115),"10."&amp;Eingabe!$D$16&amp;".115.1","")</f>
        <v/>
      </c>
      <c r="H1537" s="19" t="str">
        <f aca="false">IF(AND(Eingabe!$F$16&gt;0,Eingabe!$E$16&gt;=115),"10."&amp;Eingabe!$D$16&amp;".115.10 – 10."&amp;Eingabe!$D$16&amp;".115.250","")</f>
        <v/>
      </c>
      <c r="I1537" s="19" t="str">
        <f aca="false">IF(AND(Eingabe!$F$16&gt;0,Eingabe!$E$16&gt;=115),Eingabe!$B$6&amp;"-"&amp;Eingabe!$C$16&amp;"-Pächter","")</f>
        <v/>
      </c>
      <c r="J1537" s="19" t="str">
        <f aca="false">IF(AND(Eingabe!$F$16&gt;0,Eingabe!$E$16&gt;=115),"PPSK: Passwort Parzelle 115","")</f>
        <v/>
      </c>
      <c r="K1537" s="19" t="str">
        <f aca="false">IF(AND(Eingabe!$F$16&gt;0,Eingabe!$E$16&gt;=115),"1. Gerät: 10."&amp;Eingabe!$D$16&amp;".115.10, 2. Gerät: .11","")</f>
        <v/>
      </c>
    </row>
    <row r="1538" customFormat="false" ht="15" hidden="false" customHeight="false" outlineLevel="0" collapsed="false">
      <c r="A1538" s="19" t="str">
        <f aca="false">IF(AND(Eingabe!$F$16&gt;0,Eingabe!$E$16&gt;=116),8,"")</f>
        <v/>
      </c>
      <c r="B1538" s="19" t="str">
        <f aca="false">IF(AND(Eingabe!$F$16&gt;0,Eingabe!$E$16&gt;=116),Eingabe!$B$16,"")</f>
        <v/>
      </c>
      <c r="C1538" s="19" t="str">
        <f aca="false">IF(AND(Eingabe!$F$16&gt;0,Eingabe!$E$16&gt;=116),Eingabe!$C$16&amp;"-Paz."&amp;TEXT(116,"000"),"")</f>
        <v/>
      </c>
      <c r="D1538" s="19" t="str">
        <f aca="false">IF(AND(Eingabe!$F$16&gt;0,Eingabe!$E$16&gt;=116),116,"")</f>
        <v/>
      </c>
      <c r="E1538" s="19" t="str">
        <f aca="false">IF(AND(Eingabe!$F$16&gt;0,Eingabe!$E$16&gt;=116),IF((Eingabe!$G$16+1)&lt;=9,1000+(Eingabe!$G$16+1)*100,3000)+16,"")</f>
        <v/>
      </c>
      <c r="F1538" s="19" t="str">
        <f aca="false">IF(AND(Eingabe!$F$16&gt;0,Eingabe!$E$16&gt;=116),"10."&amp;Eingabe!$D$16&amp;".116.0/24","")</f>
        <v/>
      </c>
      <c r="G1538" s="19" t="str">
        <f aca="false">IF(AND(Eingabe!$F$16&gt;0,Eingabe!$E$16&gt;=116),"10."&amp;Eingabe!$D$16&amp;".116.1","")</f>
        <v/>
      </c>
      <c r="H1538" s="19" t="str">
        <f aca="false">IF(AND(Eingabe!$F$16&gt;0,Eingabe!$E$16&gt;=116),"10."&amp;Eingabe!$D$16&amp;".116.10 – 10."&amp;Eingabe!$D$16&amp;".116.250","")</f>
        <v/>
      </c>
      <c r="I1538" s="19" t="str">
        <f aca="false">IF(AND(Eingabe!$F$16&gt;0,Eingabe!$E$16&gt;=116),Eingabe!$B$6&amp;"-"&amp;Eingabe!$C$16&amp;"-Pächter","")</f>
        <v/>
      </c>
      <c r="J1538" s="19" t="str">
        <f aca="false">IF(AND(Eingabe!$F$16&gt;0,Eingabe!$E$16&gt;=116),"PPSK: Passwort Parzelle 116","")</f>
        <v/>
      </c>
      <c r="K1538" s="19" t="str">
        <f aca="false">IF(AND(Eingabe!$F$16&gt;0,Eingabe!$E$16&gt;=116),"1. Gerät: 10."&amp;Eingabe!$D$16&amp;".116.10, 2. Gerät: .11","")</f>
        <v/>
      </c>
    </row>
    <row r="1539" customFormat="false" ht="15" hidden="false" customHeight="false" outlineLevel="0" collapsed="false">
      <c r="A1539" s="19" t="str">
        <f aca="false">IF(AND(Eingabe!$F$16&gt;0,Eingabe!$E$16&gt;=117),8,"")</f>
        <v/>
      </c>
      <c r="B1539" s="19" t="str">
        <f aca="false">IF(AND(Eingabe!$F$16&gt;0,Eingabe!$E$16&gt;=117),Eingabe!$B$16,"")</f>
        <v/>
      </c>
      <c r="C1539" s="19" t="str">
        <f aca="false">IF(AND(Eingabe!$F$16&gt;0,Eingabe!$E$16&gt;=117),Eingabe!$C$16&amp;"-Paz."&amp;TEXT(117,"000"),"")</f>
        <v/>
      </c>
      <c r="D1539" s="19" t="str">
        <f aca="false">IF(AND(Eingabe!$F$16&gt;0,Eingabe!$E$16&gt;=117),117,"")</f>
        <v/>
      </c>
      <c r="E1539" s="19" t="str">
        <f aca="false">IF(AND(Eingabe!$F$16&gt;0,Eingabe!$E$16&gt;=117),IF((Eingabe!$G$16+1)&lt;=9,1000+(Eingabe!$G$16+1)*100,3000)+17,"")</f>
        <v/>
      </c>
      <c r="F1539" s="19" t="str">
        <f aca="false">IF(AND(Eingabe!$F$16&gt;0,Eingabe!$E$16&gt;=117),"10."&amp;Eingabe!$D$16&amp;".117.0/24","")</f>
        <v/>
      </c>
      <c r="G1539" s="19" t="str">
        <f aca="false">IF(AND(Eingabe!$F$16&gt;0,Eingabe!$E$16&gt;=117),"10."&amp;Eingabe!$D$16&amp;".117.1","")</f>
        <v/>
      </c>
      <c r="H1539" s="19" t="str">
        <f aca="false">IF(AND(Eingabe!$F$16&gt;0,Eingabe!$E$16&gt;=117),"10."&amp;Eingabe!$D$16&amp;".117.10 – 10."&amp;Eingabe!$D$16&amp;".117.250","")</f>
        <v/>
      </c>
      <c r="I1539" s="19" t="str">
        <f aca="false">IF(AND(Eingabe!$F$16&gt;0,Eingabe!$E$16&gt;=117),Eingabe!$B$6&amp;"-"&amp;Eingabe!$C$16&amp;"-Pächter","")</f>
        <v/>
      </c>
      <c r="J1539" s="19" t="str">
        <f aca="false">IF(AND(Eingabe!$F$16&gt;0,Eingabe!$E$16&gt;=117),"PPSK: Passwort Parzelle 117","")</f>
        <v/>
      </c>
      <c r="K1539" s="19" t="str">
        <f aca="false">IF(AND(Eingabe!$F$16&gt;0,Eingabe!$E$16&gt;=117),"1. Gerät: 10."&amp;Eingabe!$D$16&amp;".117.10, 2. Gerät: .11","")</f>
        <v/>
      </c>
    </row>
    <row r="1540" customFormat="false" ht="15" hidden="false" customHeight="false" outlineLevel="0" collapsed="false">
      <c r="A1540" s="19" t="str">
        <f aca="false">IF(AND(Eingabe!$F$16&gt;0,Eingabe!$E$16&gt;=118),8,"")</f>
        <v/>
      </c>
      <c r="B1540" s="19" t="str">
        <f aca="false">IF(AND(Eingabe!$F$16&gt;0,Eingabe!$E$16&gt;=118),Eingabe!$B$16,"")</f>
        <v/>
      </c>
      <c r="C1540" s="19" t="str">
        <f aca="false">IF(AND(Eingabe!$F$16&gt;0,Eingabe!$E$16&gt;=118),Eingabe!$C$16&amp;"-Paz."&amp;TEXT(118,"000"),"")</f>
        <v/>
      </c>
      <c r="D1540" s="19" t="str">
        <f aca="false">IF(AND(Eingabe!$F$16&gt;0,Eingabe!$E$16&gt;=118),118,"")</f>
        <v/>
      </c>
      <c r="E1540" s="19" t="str">
        <f aca="false">IF(AND(Eingabe!$F$16&gt;0,Eingabe!$E$16&gt;=118),IF((Eingabe!$G$16+1)&lt;=9,1000+(Eingabe!$G$16+1)*100,3000)+18,"")</f>
        <v/>
      </c>
      <c r="F1540" s="19" t="str">
        <f aca="false">IF(AND(Eingabe!$F$16&gt;0,Eingabe!$E$16&gt;=118),"10."&amp;Eingabe!$D$16&amp;".118.0/24","")</f>
        <v/>
      </c>
      <c r="G1540" s="19" t="str">
        <f aca="false">IF(AND(Eingabe!$F$16&gt;0,Eingabe!$E$16&gt;=118),"10."&amp;Eingabe!$D$16&amp;".118.1","")</f>
        <v/>
      </c>
      <c r="H1540" s="19" t="str">
        <f aca="false">IF(AND(Eingabe!$F$16&gt;0,Eingabe!$E$16&gt;=118),"10."&amp;Eingabe!$D$16&amp;".118.10 – 10."&amp;Eingabe!$D$16&amp;".118.250","")</f>
        <v/>
      </c>
      <c r="I1540" s="19" t="str">
        <f aca="false">IF(AND(Eingabe!$F$16&gt;0,Eingabe!$E$16&gt;=118),Eingabe!$B$6&amp;"-"&amp;Eingabe!$C$16&amp;"-Pächter","")</f>
        <v/>
      </c>
      <c r="J1540" s="19" t="str">
        <f aca="false">IF(AND(Eingabe!$F$16&gt;0,Eingabe!$E$16&gt;=118),"PPSK: Passwort Parzelle 118","")</f>
        <v/>
      </c>
      <c r="K1540" s="19" t="str">
        <f aca="false">IF(AND(Eingabe!$F$16&gt;0,Eingabe!$E$16&gt;=118),"1. Gerät: 10."&amp;Eingabe!$D$16&amp;".118.10, 2. Gerät: .11","")</f>
        <v/>
      </c>
    </row>
    <row r="1541" customFormat="false" ht="15" hidden="false" customHeight="false" outlineLevel="0" collapsed="false">
      <c r="A1541" s="19" t="str">
        <f aca="false">IF(AND(Eingabe!$F$16&gt;0,Eingabe!$E$16&gt;=119),8,"")</f>
        <v/>
      </c>
      <c r="B1541" s="19" t="str">
        <f aca="false">IF(AND(Eingabe!$F$16&gt;0,Eingabe!$E$16&gt;=119),Eingabe!$B$16,"")</f>
        <v/>
      </c>
      <c r="C1541" s="19" t="str">
        <f aca="false">IF(AND(Eingabe!$F$16&gt;0,Eingabe!$E$16&gt;=119),Eingabe!$C$16&amp;"-Paz."&amp;TEXT(119,"000"),"")</f>
        <v/>
      </c>
      <c r="D1541" s="19" t="str">
        <f aca="false">IF(AND(Eingabe!$F$16&gt;0,Eingabe!$E$16&gt;=119),119,"")</f>
        <v/>
      </c>
      <c r="E1541" s="19" t="str">
        <f aca="false">IF(AND(Eingabe!$F$16&gt;0,Eingabe!$E$16&gt;=119),IF((Eingabe!$G$16+1)&lt;=9,1000+(Eingabe!$G$16+1)*100,3000)+19,"")</f>
        <v/>
      </c>
      <c r="F1541" s="19" t="str">
        <f aca="false">IF(AND(Eingabe!$F$16&gt;0,Eingabe!$E$16&gt;=119),"10."&amp;Eingabe!$D$16&amp;".119.0/24","")</f>
        <v/>
      </c>
      <c r="G1541" s="19" t="str">
        <f aca="false">IF(AND(Eingabe!$F$16&gt;0,Eingabe!$E$16&gt;=119),"10."&amp;Eingabe!$D$16&amp;".119.1","")</f>
        <v/>
      </c>
      <c r="H1541" s="19" t="str">
        <f aca="false">IF(AND(Eingabe!$F$16&gt;0,Eingabe!$E$16&gt;=119),"10."&amp;Eingabe!$D$16&amp;".119.10 – 10."&amp;Eingabe!$D$16&amp;".119.250","")</f>
        <v/>
      </c>
      <c r="I1541" s="19" t="str">
        <f aca="false">IF(AND(Eingabe!$F$16&gt;0,Eingabe!$E$16&gt;=119),Eingabe!$B$6&amp;"-"&amp;Eingabe!$C$16&amp;"-Pächter","")</f>
        <v/>
      </c>
      <c r="J1541" s="19" t="str">
        <f aca="false">IF(AND(Eingabe!$F$16&gt;0,Eingabe!$E$16&gt;=119),"PPSK: Passwort Parzelle 119","")</f>
        <v/>
      </c>
      <c r="K1541" s="19" t="str">
        <f aca="false">IF(AND(Eingabe!$F$16&gt;0,Eingabe!$E$16&gt;=119),"1. Gerät: 10."&amp;Eingabe!$D$16&amp;".119.10, 2. Gerät: .11","")</f>
        <v/>
      </c>
    </row>
    <row r="1542" customFormat="false" ht="15" hidden="false" customHeight="false" outlineLevel="0" collapsed="false">
      <c r="A1542" s="19" t="str">
        <f aca="false">IF(AND(Eingabe!$F$16&gt;0,Eingabe!$E$16&gt;=120),8,"")</f>
        <v/>
      </c>
      <c r="B1542" s="19" t="str">
        <f aca="false">IF(AND(Eingabe!$F$16&gt;0,Eingabe!$E$16&gt;=120),Eingabe!$B$16,"")</f>
        <v/>
      </c>
      <c r="C1542" s="19" t="str">
        <f aca="false">IF(AND(Eingabe!$F$16&gt;0,Eingabe!$E$16&gt;=120),Eingabe!$C$16&amp;"-Paz."&amp;TEXT(120,"000"),"")</f>
        <v/>
      </c>
      <c r="D1542" s="19" t="str">
        <f aca="false">IF(AND(Eingabe!$F$16&gt;0,Eingabe!$E$16&gt;=120),120,"")</f>
        <v/>
      </c>
      <c r="E1542" s="19" t="str">
        <f aca="false">IF(AND(Eingabe!$F$16&gt;0,Eingabe!$E$16&gt;=120),IF((Eingabe!$G$16+1)&lt;=9,1000+(Eingabe!$G$16+1)*100,3000)+20,"")</f>
        <v/>
      </c>
      <c r="F1542" s="19" t="str">
        <f aca="false">IF(AND(Eingabe!$F$16&gt;0,Eingabe!$E$16&gt;=120),"10."&amp;Eingabe!$D$16&amp;".120.0/24","")</f>
        <v/>
      </c>
      <c r="G1542" s="19" t="str">
        <f aca="false">IF(AND(Eingabe!$F$16&gt;0,Eingabe!$E$16&gt;=120),"10."&amp;Eingabe!$D$16&amp;".120.1","")</f>
        <v/>
      </c>
      <c r="H1542" s="19" t="str">
        <f aca="false">IF(AND(Eingabe!$F$16&gt;0,Eingabe!$E$16&gt;=120),"10."&amp;Eingabe!$D$16&amp;".120.10 – 10."&amp;Eingabe!$D$16&amp;".120.250","")</f>
        <v/>
      </c>
      <c r="I1542" s="19" t="str">
        <f aca="false">IF(AND(Eingabe!$F$16&gt;0,Eingabe!$E$16&gt;=120),Eingabe!$B$6&amp;"-"&amp;Eingabe!$C$16&amp;"-Pächter","")</f>
        <v/>
      </c>
      <c r="J1542" s="19" t="str">
        <f aca="false">IF(AND(Eingabe!$F$16&gt;0,Eingabe!$E$16&gt;=120),"PPSK: Passwort Parzelle 120","")</f>
        <v/>
      </c>
      <c r="K1542" s="19" t="str">
        <f aca="false">IF(AND(Eingabe!$F$16&gt;0,Eingabe!$E$16&gt;=120),"1. Gerät: 10."&amp;Eingabe!$D$16&amp;".120.10, 2. Gerät: .11","")</f>
        <v/>
      </c>
    </row>
    <row r="1543" customFormat="false" ht="15" hidden="false" customHeight="false" outlineLevel="0" collapsed="false">
      <c r="A1543" s="19" t="str">
        <f aca="false">IF(AND(Eingabe!$F$16&gt;0,Eingabe!$E$16&gt;=121),8,"")</f>
        <v/>
      </c>
      <c r="B1543" s="19" t="str">
        <f aca="false">IF(AND(Eingabe!$F$16&gt;0,Eingabe!$E$16&gt;=121),Eingabe!$B$16,"")</f>
        <v/>
      </c>
      <c r="C1543" s="19" t="str">
        <f aca="false">IF(AND(Eingabe!$F$16&gt;0,Eingabe!$E$16&gt;=121),Eingabe!$C$16&amp;"-Paz."&amp;TEXT(121,"000"),"")</f>
        <v/>
      </c>
      <c r="D1543" s="19" t="str">
        <f aca="false">IF(AND(Eingabe!$F$16&gt;0,Eingabe!$E$16&gt;=121),121,"")</f>
        <v/>
      </c>
      <c r="E1543" s="19" t="str">
        <f aca="false">IF(AND(Eingabe!$F$16&gt;0,Eingabe!$E$16&gt;=121),IF((Eingabe!$G$16+1)&lt;=9,1000+(Eingabe!$G$16+1)*100,3000)+21,"")</f>
        <v/>
      </c>
      <c r="F1543" s="19" t="str">
        <f aca="false">IF(AND(Eingabe!$F$16&gt;0,Eingabe!$E$16&gt;=121),"10."&amp;Eingabe!$D$16&amp;".121.0/24","")</f>
        <v/>
      </c>
      <c r="G1543" s="19" t="str">
        <f aca="false">IF(AND(Eingabe!$F$16&gt;0,Eingabe!$E$16&gt;=121),"10."&amp;Eingabe!$D$16&amp;".121.1","")</f>
        <v/>
      </c>
      <c r="H1543" s="19" t="str">
        <f aca="false">IF(AND(Eingabe!$F$16&gt;0,Eingabe!$E$16&gt;=121),"10."&amp;Eingabe!$D$16&amp;".121.10 – 10."&amp;Eingabe!$D$16&amp;".121.250","")</f>
        <v/>
      </c>
      <c r="I1543" s="19" t="str">
        <f aca="false">IF(AND(Eingabe!$F$16&gt;0,Eingabe!$E$16&gt;=121),Eingabe!$B$6&amp;"-"&amp;Eingabe!$C$16&amp;"-Pächter","")</f>
        <v/>
      </c>
      <c r="J1543" s="19" t="str">
        <f aca="false">IF(AND(Eingabe!$F$16&gt;0,Eingabe!$E$16&gt;=121),"PPSK: Passwort Parzelle 121","")</f>
        <v/>
      </c>
      <c r="K1543" s="19" t="str">
        <f aca="false">IF(AND(Eingabe!$F$16&gt;0,Eingabe!$E$16&gt;=121),"1. Gerät: 10."&amp;Eingabe!$D$16&amp;".121.10, 2. Gerät: .11","")</f>
        <v/>
      </c>
    </row>
    <row r="1544" customFormat="false" ht="15" hidden="false" customHeight="false" outlineLevel="0" collapsed="false">
      <c r="A1544" s="19" t="str">
        <f aca="false">IF(AND(Eingabe!$F$16&gt;0,Eingabe!$E$16&gt;=122),8,"")</f>
        <v/>
      </c>
      <c r="B1544" s="19" t="str">
        <f aca="false">IF(AND(Eingabe!$F$16&gt;0,Eingabe!$E$16&gt;=122),Eingabe!$B$16,"")</f>
        <v/>
      </c>
      <c r="C1544" s="19" t="str">
        <f aca="false">IF(AND(Eingabe!$F$16&gt;0,Eingabe!$E$16&gt;=122),Eingabe!$C$16&amp;"-Paz."&amp;TEXT(122,"000"),"")</f>
        <v/>
      </c>
      <c r="D1544" s="19" t="str">
        <f aca="false">IF(AND(Eingabe!$F$16&gt;0,Eingabe!$E$16&gt;=122),122,"")</f>
        <v/>
      </c>
      <c r="E1544" s="19" t="str">
        <f aca="false">IF(AND(Eingabe!$F$16&gt;0,Eingabe!$E$16&gt;=122),IF((Eingabe!$G$16+1)&lt;=9,1000+(Eingabe!$G$16+1)*100,3000)+22,"")</f>
        <v/>
      </c>
      <c r="F1544" s="19" t="str">
        <f aca="false">IF(AND(Eingabe!$F$16&gt;0,Eingabe!$E$16&gt;=122),"10."&amp;Eingabe!$D$16&amp;".122.0/24","")</f>
        <v/>
      </c>
      <c r="G1544" s="19" t="str">
        <f aca="false">IF(AND(Eingabe!$F$16&gt;0,Eingabe!$E$16&gt;=122),"10."&amp;Eingabe!$D$16&amp;".122.1","")</f>
        <v/>
      </c>
      <c r="H1544" s="19" t="str">
        <f aca="false">IF(AND(Eingabe!$F$16&gt;0,Eingabe!$E$16&gt;=122),"10."&amp;Eingabe!$D$16&amp;".122.10 – 10."&amp;Eingabe!$D$16&amp;".122.250","")</f>
        <v/>
      </c>
      <c r="I1544" s="19" t="str">
        <f aca="false">IF(AND(Eingabe!$F$16&gt;0,Eingabe!$E$16&gt;=122),Eingabe!$B$6&amp;"-"&amp;Eingabe!$C$16&amp;"-Pächter","")</f>
        <v/>
      </c>
      <c r="J1544" s="19" t="str">
        <f aca="false">IF(AND(Eingabe!$F$16&gt;0,Eingabe!$E$16&gt;=122),"PPSK: Passwort Parzelle 122","")</f>
        <v/>
      </c>
      <c r="K1544" s="19" t="str">
        <f aca="false">IF(AND(Eingabe!$F$16&gt;0,Eingabe!$E$16&gt;=122),"1. Gerät: 10."&amp;Eingabe!$D$16&amp;".122.10, 2. Gerät: .11","")</f>
        <v/>
      </c>
    </row>
    <row r="1545" customFormat="false" ht="15" hidden="false" customHeight="false" outlineLevel="0" collapsed="false">
      <c r="A1545" s="19" t="str">
        <f aca="false">IF(AND(Eingabe!$F$16&gt;0,Eingabe!$E$16&gt;=123),8,"")</f>
        <v/>
      </c>
      <c r="B1545" s="19" t="str">
        <f aca="false">IF(AND(Eingabe!$F$16&gt;0,Eingabe!$E$16&gt;=123),Eingabe!$B$16,"")</f>
        <v/>
      </c>
      <c r="C1545" s="19" t="str">
        <f aca="false">IF(AND(Eingabe!$F$16&gt;0,Eingabe!$E$16&gt;=123),Eingabe!$C$16&amp;"-Paz."&amp;TEXT(123,"000"),"")</f>
        <v/>
      </c>
      <c r="D1545" s="19" t="str">
        <f aca="false">IF(AND(Eingabe!$F$16&gt;0,Eingabe!$E$16&gt;=123),123,"")</f>
        <v/>
      </c>
      <c r="E1545" s="19" t="str">
        <f aca="false">IF(AND(Eingabe!$F$16&gt;0,Eingabe!$E$16&gt;=123),IF((Eingabe!$G$16+1)&lt;=9,1000+(Eingabe!$G$16+1)*100,3000)+23,"")</f>
        <v/>
      </c>
      <c r="F1545" s="19" t="str">
        <f aca="false">IF(AND(Eingabe!$F$16&gt;0,Eingabe!$E$16&gt;=123),"10."&amp;Eingabe!$D$16&amp;".123.0/24","")</f>
        <v/>
      </c>
      <c r="G1545" s="19" t="str">
        <f aca="false">IF(AND(Eingabe!$F$16&gt;0,Eingabe!$E$16&gt;=123),"10."&amp;Eingabe!$D$16&amp;".123.1","")</f>
        <v/>
      </c>
      <c r="H1545" s="19" t="str">
        <f aca="false">IF(AND(Eingabe!$F$16&gt;0,Eingabe!$E$16&gt;=123),"10."&amp;Eingabe!$D$16&amp;".123.10 – 10."&amp;Eingabe!$D$16&amp;".123.250","")</f>
        <v/>
      </c>
      <c r="I1545" s="19" t="str">
        <f aca="false">IF(AND(Eingabe!$F$16&gt;0,Eingabe!$E$16&gt;=123),Eingabe!$B$6&amp;"-"&amp;Eingabe!$C$16&amp;"-Pächter","")</f>
        <v/>
      </c>
      <c r="J1545" s="19" t="str">
        <f aca="false">IF(AND(Eingabe!$F$16&gt;0,Eingabe!$E$16&gt;=123),"PPSK: Passwort Parzelle 123","")</f>
        <v/>
      </c>
      <c r="K1545" s="19" t="str">
        <f aca="false">IF(AND(Eingabe!$F$16&gt;0,Eingabe!$E$16&gt;=123),"1. Gerät: 10."&amp;Eingabe!$D$16&amp;".123.10, 2. Gerät: .11","")</f>
        <v/>
      </c>
    </row>
    <row r="1546" customFormat="false" ht="15" hidden="false" customHeight="false" outlineLevel="0" collapsed="false">
      <c r="A1546" s="19" t="str">
        <f aca="false">IF(AND(Eingabe!$F$16&gt;0,Eingabe!$E$16&gt;=124),8,"")</f>
        <v/>
      </c>
      <c r="B1546" s="19" t="str">
        <f aca="false">IF(AND(Eingabe!$F$16&gt;0,Eingabe!$E$16&gt;=124),Eingabe!$B$16,"")</f>
        <v/>
      </c>
      <c r="C1546" s="19" t="str">
        <f aca="false">IF(AND(Eingabe!$F$16&gt;0,Eingabe!$E$16&gt;=124),Eingabe!$C$16&amp;"-Paz."&amp;TEXT(124,"000"),"")</f>
        <v/>
      </c>
      <c r="D1546" s="19" t="str">
        <f aca="false">IF(AND(Eingabe!$F$16&gt;0,Eingabe!$E$16&gt;=124),124,"")</f>
        <v/>
      </c>
      <c r="E1546" s="19" t="str">
        <f aca="false">IF(AND(Eingabe!$F$16&gt;0,Eingabe!$E$16&gt;=124),IF((Eingabe!$G$16+1)&lt;=9,1000+(Eingabe!$G$16+1)*100,3000)+24,"")</f>
        <v/>
      </c>
      <c r="F1546" s="19" t="str">
        <f aca="false">IF(AND(Eingabe!$F$16&gt;0,Eingabe!$E$16&gt;=124),"10."&amp;Eingabe!$D$16&amp;".124.0/24","")</f>
        <v/>
      </c>
      <c r="G1546" s="19" t="str">
        <f aca="false">IF(AND(Eingabe!$F$16&gt;0,Eingabe!$E$16&gt;=124),"10."&amp;Eingabe!$D$16&amp;".124.1","")</f>
        <v/>
      </c>
      <c r="H1546" s="19" t="str">
        <f aca="false">IF(AND(Eingabe!$F$16&gt;0,Eingabe!$E$16&gt;=124),"10."&amp;Eingabe!$D$16&amp;".124.10 – 10."&amp;Eingabe!$D$16&amp;".124.250","")</f>
        <v/>
      </c>
      <c r="I1546" s="19" t="str">
        <f aca="false">IF(AND(Eingabe!$F$16&gt;0,Eingabe!$E$16&gt;=124),Eingabe!$B$6&amp;"-"&amp;Eingabe!$C$16&amp;"-Pächter","")</f>
        <v/>
      </c>
      <c r="J1546" s="19" t="str">
        <f aca="false">IF(AND(Eingabe!$F$16&gt;0,Eingabe!$E$16&gt;=124),"PPSK: Passwort Parzelle 124","")</f>
        <v/>
      </c>
      <c r="K1546" s="19" t="str">
        <f aca="false">IF(AND(Eingabe!$F$16&gt;0,Eingabe!$E$16&gt;=124),"1. Gerät: 10."&amp;Eingabe!$D$16&amp;".124.10, 2. Gerät: .11","")</f>
        <v/>
      </c>
    </row>
    <row r="1547" customFormat="false" ht="15" hidden="false" customHeight="false" outlineLevel="0" collapsed="false">
      <c r="A1547" s="19" t="str">
        <f aca="false">IF(AND(Eingabe!$F$16&gt;0,Eingabe!$E$16&gt;=125),8,"")</f>
        <v/>
      </c>
      <c r="B1547" s="19" t="str">
        <f aca="false">IF(AND(Eingabe!$F$16&gt;0,Eingabe!$E$16&gt;=125),Eingabe!$B$16,"")</f>
        <v/>
      </c>
      <c r="C1547" s="19" t="str">
        <f aca="false">IF(AND(Eingabe!$F$16&gt;0,Eingabe!$E$16&gt;=125),Eingabe!$C$16&amp;"-Paz."&amp;TEXT(125,"000"),"")</f>
        <v/>
      </c>
      <c r="D1547" s="19" t="str">
        <f aca="false">IF(AND(Eingabe!$F$16&gt;0,Eingabe!$E$16&gt;=125),125,"")</f>
        <v/>
      </c>
      <c r="E1547" s="19" t="str">
        <f aca="false">IF(AND(Eingabe!$F$16&gt;0,Eingabe!$E$16&gt;=125),IF((Eingabe!$G$16+1)&lt;=9,1000+(Eingabe!$G$16+1)*100,3000)+25,"")</f>
        <v/>
      </c>
      <c r="F1547" s="19" t="str">
        <f aca="false">IF(AND(Eingabe!$F$16&gt;0,Eingabe!$E$16&gt;=125),"10."&amp;Eingabe!$D$16&amp;".125.0/24","")</f>
        <v/>
      </c>
      <c r="G1547" s="19" t="str">
        <f aca="false">IF(AND(Eingabe!$F$16&gt;0,Eingabe!$E$16&gt;=125),"10."&amp;Eingabe!$D$16&amp;".125.1","")</f>
        <v/>
      </c>
      <c r="H1547" s="19" t="str">
        <f aca="false">IF(AND(Eingabe!$F$16&gt;0,Eingabe!$E$16&gt;=125),"10."&amp;Eingabe!$D$16&amp;".125.10 – 10."&amp;Eingabe!$D$16&amp;".125.250","")</f>
        <v/>
      </c>
      <c r="I1547" s="19" t="str">
        <f aca="false">IF(AND(Eingabe!$F$16&gt;0,Eingabe!$E$16&gt;=125),Eingabe!$B$6&amp;"-"&amp;Eingabe!$C$16&amp;"-Pächter","")</f>
        <v/>
      </c>
      <c r="J1547" s="19" t="str">
        <f aca="false">IF(AND(Eingabe!$F$16&gt;0,Eingabe!$E$16&gt;=125),"PPSK: Passwort Parzelle 125","")</f>
        <v/>
      </c>
      <c r="K1547" s="19" t="str">
        <f aca="false">IF(AND(Eingabe!$F$16&gt;0,Eingabe!$E$16&gt;=125),"1. Gerät: 10."&amp;Eingabe!$D$16&amp;".125.10, 2. Gerät: .11","")</f>
        <v/>
      </c>
    </row>
    <row r="1548" customFormat="false" ht="15" hidden="false" customHeight="false" outlineLevel="0" collapsed="false">
      <c r="A1548" s="19" t="str">
        <f aca="false">IF(AND(Eingabe!$F$16&gt;0,Eingabe!$E$16&gt;=126),8,"")</f>
        <v/>
      </c>
      <c r="B1548" s="19" t="str">
        <f aca="false">IF(AND(Eingabe!$F$16&gt;0,Eingabe!$E$16&gt;=126),Eingabe!$B$16,"")</f>
        <v/>
      </c>
      <c r="C1548" s="19" t="str">
        <f aca="false">IF(AND(Eingabe!$F$16&gt;0,Eingabe!$E$16&gt;=126),Eingabe!$C$16&amp;"-Paz."&amp;TEXT(126,"000"),"")</f>
        <v/>
      </c>
      <c r="D1548" s="19" t="str">
        <f aca="false">IF(AND(Eingabe!$F$16&gt;0,Eingabe!$E$16&gt;=126),126,"")</f>
        <v/>
      </c>
      <c r="E1548" s="19" t="str">
        <f aca="false">IF(AND(Eingabe!$F$16&gt;0,Eingabe!$E$16&gt;=126),IF((Eingabe!$G$16+1)&lt;=9,1000+(Eingabe!$G$16+1)*100,3000)+26,"")</f>
        <v/>
      </c>
      <c r="F1548" s="19" t="str">
        <f aca="false">IF(AND(Eingabe!$F$16&gt;0,Eingabe!$E$16&gt;=126),"10."&amp;Eingabe!$D$16&amp;".126.0/24","")</f>
        <v/>
      </c>
      <c r="G1548" s="19" t="str">
        <f aca="false">IF(AND(Eingabe!$F$16&gt;0,Eingabe!$E$16&gt;=126),"10."&amp;Eingabe!$D$16&amp;".126.1","")</f>
        <v/>
      </c>
      <c r="H1548" s="19" t="str">
        <f aca="false">IF(AND(Eingabe!$F$16&gt;0,Eingabe!$E$16&gt;=126),"10."&amp;Eingabe!$D$16&amp;".126.10 – 10."&amp;Eingabe!$D$16&amp;".126.250","")</f>
        <v/>
      </c>
      <c r="I1548" s="19" t="str">
        <f aca="false">IF(AND(Eingabe!$F$16&gt;0,Eingabe!$E$16&gt;=126),Eingabe!$B$6&amp;"-"&amp;Eingabe!$C$16&amp;"-Pächter","")</f>
        <v/>
      </c>
      <c r="J1548" s="19" t="str">
        <f aca="false">IF(AND(Eingabe!$F$16&gt;0,Eingabe!$E$16&gt;=126),"PPSK: Passwort Parzelle 126","")</f>
        <v/>
      </c>
      <c r="K1548" s="19" t="str">
        <f aca="false">IF(AND(Eingabe!$F$16&gt;0,Eingabe!$E$16&gt;=126),"1. Gerät: 10."&amp;Eingabe!$D$16&amp;".126.10, 2. Gerät: .11","")</f>
        <v/>
      </c>
    </row>
    <row r="1549" customFormat="false" ht="15" hidden="false" customHeight="false" outlineLevel="0" collapsed="false">
      <c r="A1549" s="19" t="str">
        <f aca="false">IF(AND(Eingabe!$F$16&gt;0,Eingabe!$E$16&gt;=127),8,"")</f>
        <v/>
      </c>
      <c r="B1549" s="19" t="str">
        <f aca="false">IF(AND(Eingabe!$F$16&gt;0,Eingabe!$E$16&gt;=127),Eingabe!$B$16,"")</f>
        <v/>
      </c>
      <c r="C1549" s="19" t="str">
        <f aca="false">IF(AND(Eingabe!$F$16&gt;0,Eingabe!$E$16&gt;=127),Eingabe!$C$16&amp;"-Paz."&amp;TEXT(127,"000"),"")</f>
        <v/>
      </c>
      <c r="D1549" s="19" t="str">
        <f aca="false">IF(AND(Eingabe!$F$16&gt;0,Eingabe!$E$16&gt;=127),127,"")</f>
        <v/>
      </c>
      <c r="E1549" s="19" t="str">
        <f aca="false">IF(AND(Eingabe!$F$16&gt;0,Eingabe!$E$16&gt;=127),IF((Eingabe!$G$16+1)&lt;=9,1000+(Eingabe!$G$16+1)*100,3000)+27,"")</f>
        <v/>
      </c>
      <c r="F1549" s="19" t="str">
        <f aca="false">IF(AND(Eingabe!$F$16&gt;0,Eingabe!$E$16&gt;=127),"10."&amp;Eingabe!$D$16&amp;".127.0/24","")</f>
        <v/>
      </c>
      <c r="G1549" s="19" t="str">
        <f aca="false">IF(AND(Eingabe!$F$16&gt;0,Eingabe!$E$16&gt;=127),"10."&amp;Eingabe!$D$16&amp;".127.1","")</f>
        <v/>
      </c>
      <c r="H1549" s="19" t="str">
        <f aca="false">IF(AND(Eingabe!$F$16&gt;0,Eingabe!$E$16&gt;=127),"10."&amp;Eingabe!$D$16&amp;".127.10 – 10."&amp;Eingabe!$D$16&amp;".127.250","")</f>
        <v/>
      </c>
      <c r="I1549" s="19" t="str">
        <f aca="false">IF(AND(Eingabe!$F$16&gt;0,Eingabe!$E$16&gt;=127),Eingabe!$B$6&amp;"-"&amp;Eingabe!$C$16&amp;"-Pächter","")</f>
        <v/>
      </c>
      <c r="J1549" s="19" t="str">
        <f aca="false">IF(AND(Eingabe!$F$16&gt;0,Eingabe!$E$16&gt;=127),"PPSK: Passwort Parzelle 127","")</f>
        <v/>
      </c>
      <c r="K1549" s="19" t="str">
        <f aca="false">IF(AND(Eingabe!$F$16&gt;0,Eingabe!$E$16&gt;=127),"1. Gerät: 10."&amp;Eingabe!$D$16&amp;".127.10, 2. Gerät: .11","")</f>
        <v/>
      </c>
    </row>
    <row r="1550" customFormat="false" ht="15" hidden="false" customHeight="false" outlineLevel="0" collapsed="false">
      <c r="A1550" s="19" t="str">
        <f aca="false">IF(AND(Eingabe!$F$16&gt;0,Eingabe!$E$16&gt;=128),8,"")</f>
        <v/>
      </c>
      <c r="B1550" s="19" t="str">
        <f aca="false">IF(AND(Eingabe!$F$16&gt;0,Eingabe!$E$16&gt;=128),Eingabe!$B$16,"")</f>
        <v/>
      </c>
      <c r="C1550" s="19" t="str">
        <f aca="false">IF(AND(Eingabe!$F$16&gt;0,Eingabe!$E$16&gt;=128),Eingabe!$C$16&amp;"-Paz."&amp;TEXT(128,"000"),"")</f>
        <v/>
      </c>
      <c r="D1550" s="19" t="str">
        <f aca="false">IF(AND(Eingabe!$F$16&gt;0,Eingabe!$E$16&gt;=128),128,"")</f>
        <v/>
      </c>
      <c r="E1550" s="19" t="str">
        <f aca="false">IF(AND(Eingabe!$F$16&gt;0,Eingabe!$E$16&gt;=128),IF((Eingabe!$G$16+1)&lt;=9,1000+(Eingabe!$G$16+1)*100,3000)+28,"")</f>
        <v/>
      </c>
      <c r="F1550" s="19" t="str">
        <f aca="false">IF(AND(Eingabe!$F$16&gt;0,Eingabe!$E$16&gt;=128),"10."&amp;Eingabe!$D$16&amp;".128.0/24","")</f>
        <v/>
      </c>
      <c r="G1550" s="19" t="str">
        <f aca="false">IF(AND(Eingabe!$F$16&gt;0,Eingabe!$E$16&gt;=128),"10."&amp;Eingabe!$D$16&amp;".128.1","")</f>
        <v/>
      </c>
      <c r="H1550" s="19" t="str">
        <f aca="false">IF(AND(Eingabe!$F$16&gt;0,Eingabe!$E$16&gt;=128),"10."&amp;Eingabe!$D$16&amp;".128.10 – 10."&amp;Eingabe!$D$16&amp;".128.250","")</f>
        <v/>
      </c>
      <c r="I1550" s="19" t="str">
        <f aca="false">IF(AND(Eingabe!$F$16&gt;0,Eingabe!$E$16&gt;=128),Eingabe!$B$6&amp;"-"&amp;Eingabe!$C$16&amp;"-Pächter","")</f>
        <v/>
      </c>
      <c r="J1550" s="19" t="str">
        <f aca="false">IF(AND(Eingabe!$F$16&gt;0,Eingabe!$E$16&gt;=128),"PPSK: Passwort Parzelle 128","")</f>
        <v/>
      </c>
      <c r="K1550" s="19" t="str">
        <f aca="false">IF(AND(Eingabe!$F$16&gt;0,Eingabe!$E$16&gt;=128),"1. Gerät: 10."&amp;Eingabe!$D$16&amp;".128.10, 2. Gerät: .11","")</f>
        <v/>
      </c>
    </row>
    <row r="1551" customFormat="false" ht="15" hidden="false" customHeight="false" outlineLevel="0" collapsed="false">
      <c r="A1551" s="19" t="str">
        <f aca="false">IF(AND(Eingabe!$F$16&gt;0,Eingabe!$E$16&gt;=129),8,"")</f>
        <v/>
      </c>
      <c r="B1551" s="19" t="str">
        <f aca="false">IF(AND(Eingabe!$F$16&gt;0,Eingabe!$E$16&gt;=129),Eingabe!$B$16,"")</f>
        <v/>
      </c>
      <c r="C1551" s="19" t="str">
        <f aca="false">IF(AND(Eingabe!$F$16&gt;0,Eingabe!$E$16&gt;=129),Eingabe!$C$16&amp;"-Paz."&amp;TEXT(129,"000"),"")</f>
        <v/>
      </c>
      <c r="D1551" s="19" t="str">
        <f aca="false">IF(AND(Eingabe!$F$16&gt;0,Eingabe!$E$16&gt;=129),129,"")</f>
        <v/>
      </c>
      <c r="E1551" s="19" t="str">
        <f aca="false">IF(AND(Eingabe!$F$16&gt;0,Eingabe!$E$16&gt;=129),IF((Eingabe!$G$16+1)&lt;=9,1000+(Eingabe!$G$16+1)*100,3000)+29,"")</f>
        <v/>
      </c>
      <c r="F1551" s="19" t="str">
        <f aca="false">IF(AND(Eingabe!$F$16&gt;0,Eingabe!$E$16&gt;=129),"10."&amp;Eingabe!$D$16&amp;".129.0/24","")</f>
        <v/>
      </c>
      <c r="G1551" s="19" t="str">
        <f aca="false">IF(AND(Eingabe!$F$16&gt;0,Eingabe!$E$16&gt;=129),"10."&amp;Eingabe!$D$16&amp;".129.1","")</f>
        <v/>
      </c>
      <c r="H1551" s="19" t="str">
        <f aca="false">IF(AND(Eingabe!$F$16&gt;0,Eingabe!$E$16&gt;=129),"10."&amp;Eingabe!$D$16&amp;".129.10 – 10."&amp;Eingabe!$D$16&amp;".129.250","")</f>
        <v/>
      </c>
      <c r="I1551" s="19" t="str">
        <f aca="false">IF(AND(Eingabe!$F$16&gt;0,Eingabe!$E$16&gt;=129),Eingabe!$B$6&amp;"-"&amp;Eingabe!$C$16&amp;"-Pächter","")</f>
        <v/>
      </c>
      <c r="J1551" s="19" t="str">
        <f aca="false">IF(AND(Eingabe!$F$16&gt;0,Eingabe!$E$16&gt;=129),"PPSK: Passwort Parzelle 129","")</f>
        <v/>
      </c>
      <c r="K1551" s="19" t="str">
        <f aca="false">IF(AND(Eingabe!$F$16&gt;0,Eingabe!$E$16&gt;=129),"1. Gerät: 10."&amp;Eingabe!$D$16&amp;".129.10, 2. Gerät: .11","")</f>
        <v/>
      </c>
    </row>
    <row r="1552" customFormat="false" ht="15" hidden="false" customHeight="false" outlineLevel="0" collapsed="false">
      <c r="A1552" s="19" t="str">
        <f aca="false">IF(AND(Eingabe!$F$16&gt;0,Eingabe!$E$16&gt;=130),8,"")</f>
        <v/>
      </c>
      <c r="B1552" s="19" t="str">
        <f aca="false">IF(AND(Eingabe!$F$16&gt;0,Eingabe!$E$16&gt;=130),Eingabe!$B$16,"")</f>
        <v/>
      </c>
      <c r="C1552" s="19" t="str">
        <f aca="false">IF(AND(Eingabe!$F$16&gt;0,Eingabe!$E$16&gt;=130),Eingabe!$C$16&amp;"-Paz."&amp;TEXT(130,"000"),"")</f>
        <v/>
      </c>
      <c r="D1552" s="19" t="str">
        <f aca="false">IF(AND(Eingabe!$F$16&gt;0,Eingabe!$E$16&gt;=130),130,"")</f>
        <v/>
      </c>
      <c r="E1552" s="19" t="str">
        <f aca="false">IF(AND(Eingabe!$F$16&gt;0,Eingabe!$E$16&gt;=130),IF((Eingabe!$G$16+1)&lt;=9,1000+(Eingabe!$G$16+1)*100,3000)+30,"")</f>
        <v/>
      </c>
      <c r="F1552" s="19" t="str">
        <f aca="false">IF(AND(Eingabe!$F$16&gt;0,Eingabe!$E$16&gt;=130),"10."&amp;Eingabe!$D$16&amp;".130.0/24","")</f>
        <v/>
      </c>
      <c r="G1552" s="19" t="str">
        <f aca="false">IF(AND(Eingabe!$F$16&gt;0,Eingabe!$E$16&gt;=130),"10."&amp;Eingabe!$D$16&amp;".130.1","")</f>
        <v/>
      </c>
      <c r="H1552" s="19" t="str">
        <f aca="false">IF(AND(Eingabe!$F$16&gt;0,Eingabe!$E$16&gt;=130),"10."&amp;Eingabe!$D$16&amp;".130.10 – 10."&amp;Eingabe!$D$16&amp;".130.250","")</f>
        <v/>
      </c>
      <c r="I1552" s="19" t="str">
        <f aca="false">IF(AND(Eingabe!$F$16&gt;0,Eingabe!$E$16&gt;=130),Eingabe!$B$6&amp;"-"&amp;Eingabe!$C$16&amp;"-Pächter","")</f>
        <v/>
      </c>
      <c r="J1552" s="19" t="str">
        <f aca="false">IF(AND(Eingabe!$F$16&gt;0,Eingabe!$E$16&gt;=130),"PPSK: Passwort Parzelle 130","")</f>
        <v/>
      </c>
      <c r="K1552" s="19" t="str">
        <f aca="false">IF(AND(Eingabe!$F$16&gt;0,Eingabe!$E$16&gt;=130),"1. Gerät: 10."&amp;Eingabe!$D$16&amp;".130.10, 2. Gerät: .11","")</f>
        <v/>
      </c>
    </row>
    <row r="1553" customFormat="false" ht="15" hidden="false" customHeight="false" outlineLevel="0" collapsed="false">
      <c r="A1553" s="19" t="str">
        <f aca="false">IF(AND(Eingabe!$F$16&gt;0,Eingabe!$E$16&gt;=131),8,"")</f>
        <v/>
      </c>
      <c r="B1553" s="19" t="str">
        <f aca="false">IF(AND(Eingabe!$F$16&gt;0,Eingabe!$E$16&gt;=131),Eingabe!$B$16,"")</f>
        <v/>
      </c>
      <c r="C1553" s="19" t="str">
        <f aca="false">IF(AND(Eingabe!$F$16&gt;0,Eingabe!$E$16&gt;=131),Eingabe!$C$16&amp;"-Paz."&amp;TEXT(131,"000"),"")</f>
        <v/>
      </c>
      <c r="D1553" s="19" t="str">
        <f aca="false">IF(AND(Eingabe!$F$16&gt;0,Eingabe!$E$16&gt;=131),131,"")</f>
        <v/>
      </c>
      <c r="E1553" s="19" t="str">
        <f aca="false">IF(AND(Eingabe!$F$16&gt;0,Eingabe!$E$16&gt;=131),IF((Eingabe!$G$16+1)&lt;=9,1000+(Eingabe!$G$16+1)*100,3000)+31,"")</f>
        <v/>
      </c>
      <c r="F1553" s="19" t="str">
        <f aca="false">IF(AND(Eingabe!$F$16&gt;0,Eingabe!$E$16&gt;=131),"10."&amp;Eingabe!$D$16&amp;".131.0/24","")</f>
        <v/>
      </c>
      <c r="G1553" s="19" t="str">
        <f aca="false">IF(AND(Eingabe!$F$16&gt;0,Eingabe!$E$16&gt;=131),"10."&amp;Eingabe!$D$16&amp;".131.1","")</f>
        <v/>
      </c>
      <c r="H1553" s="19" t="str">
        <f aca="false">IF(AND(Eingabe!$F$16&gt;0,Eingabe!$E$16&gt;=131),"10."&amp;Eingabe!$D$16&amp;".131.10 – 10."&amp;Eingabe!$D$16&amp;".131.250","")</f>
        <v/>
      </c>
      <c r="I1553" s="19" t="str">
        <f aca="false">IF(AND(Eingabe!$F$16&gt;0,Eingabe!$E$16&gt;=131),Eingabe!$B$6&amp;"-"&amp;Eingabe!$C$16&amp;"-Pächter","")</f>
        <v/>
      </c>
      <c r="J1553" s="19" t="str">
        <f aca="false">IF(AND(Eingabe!$F$16&gt;0,Eingabe!$E$16&gt;=131),"PPSK: Passwort Parzelle 131","")</f>
        <v/>
      </c>
      <c r="K1553" s="19" t="str">
        <f aca="false">IF(AND(Eingabe!$F$16&gt;0,Eingabe!$E$16&gt;=131),"1. Gerät: 10."&amp;Eingabe!$D$16&amp;".131.10, 2. Gerät: .11","")</f>
        <v/>
      </c>
    </row>
    <row r="1554" customFormat="false" ht="15" hidden="false" customHeight="false" outlineLevel="0" collapsed="false">
      <c r="A1554" s="19" t="str">
        <f aca="false">IF(AND(Eingabe!$F$16&gt;0,Eingabe!$E$16&gt;=132),8,"")</f>
        <v/>
      </c>
      <c r="B1554" s="19" t="str">
        <f aca="false">IF(AND(Eingabe!$F$16&gt;0,Eingabe!$E$16&gt;=132),Eingabe!$B$16,"")</f>
        <v/>
      </c>
      <c r="C1554" s="19" t="str">
        <f aca="false">IF(AND(Eingabe!$F$16&gt;0,Eingabe!$E$16&gt;=132),Eingabe!$C$16&amp;"-Paz."&amp;TEXT(132,"000"),"")</f>
        <v/>
      </c>
      <c r="D1554" s="19" t="str">
        <f aca="false">IF(AND(Eingabe!$F$16&gt;0,Eingabe!$E$16&gt;=132),132,"")</f>
        <v/>
      </c>
      <c r="E1554" s="19" t="str">
        <f aca="false">IF(AND(Eingabe!$F$16&gt;0,Eingabe!$E$16&gt;=132),IF((Eingabe!$G$16+1)&lt;=9,1000+(Eingabe!$G$16+1)*100,3000)+32,"")</f>
        <v/>
      </c>
      <c r="F1554" s="19" t="str">
        <f aca="false">IF(AND(Eingabe!$F$16&gt;0,Eingabe!$E$16&gt;=132),"10."&amp;Eingabe!$D$16&amp;".132.0/24","")</f>
        <v/>
      </c>
      <c r="G1554" s="19" t="str">
        <f aca="false">IF(AND(Eingabe!$F$16&gt;0,Eingabe!$E$16&gt;=132),"10."&amp;Eingabe!$D$16&amp;".132.1","")</f>
        <v/>
      </c>
      <c r="H1554" s="19" t="str">
        <f aca="false">IF(AND(Eingabe!$F$16&gt;0,Eingabe!$E$16&gt;=132),"10."&amp;Eingabe!$D$16&amp;".132.10 – 10."&amp;Eingabe!$D$16&amp;".132.250","")</f>
        <v/>
      </c>
      <c r="I1554" s="19" t="str">
        <f aca="false">IF(AND(Eingabe!$F$16&gt;0,Eingabe!$E$16&gt;=132),Eingabe!$B$6&amp;"-"&amp;Eingabe!$C$16&amp;"-Pächter","")</f>
        <v/>
      </c>
      <c r="J1554" s="19" t="str">
        <f aca="false">IF(AND(Eingabe!$F$16&gt;0,Eingabe!$E$16&gt;=132),"PPSK: Passwort Parzelle 132","")</f>
        <v/>
      </c>
      <c r="K1554" s="19" t="str">
        <f aca="false">IF(AND(Eingabe!$F$16&gt;0,Eingabe!$E$16&gt;=132),"1. Gerät: 10."&amp;Eingabe!$D$16&amp;".132.10, 2. Gerät: .11","")</f>
        <v/>
      </c>
    </row>
    <row r="1555" customFormat="false" ht="15" hidden="false" customHeight="false" outlineLevel="0" collapsed="false">
      <c r="A1555" s="19" t="str">
        <f aca="false">IF(AND(Eingabe!$F$16&gt;0,Eingabe!$E$16&gt;=133),8,"")</f>
        <v/>
      </c>
      <c r="B1555" s="19" t="str">
        <f aca="false">IF(AND(Eingabe!$F$16&gt;0,Eingabe!$E$16&gt;=133),Eingabe!$B$16,"")</f>
        <v/>
      </c>
      <c r="C1555" s="19" t="str">
        <f aca="false">IF(AND(Eingabe!$F$16&gt;0,Eingabe!$E$16&gt;=133),Eingabe!$C$16&amp;"-Paz."&amp;TEXT(133,"000"),"")</f>
        <v/>
      </c>
      <c r="D1555" s="19" t="str">
        <f aca="false">IF(AND(Eingabe!$F$16&gt;0,Eingabe!$E$16&gt;=133),133,"")</f>
        <v/>
      </c>
      <c r="E1555" s="19" t="str">
        <f aca="false">IF(AND(Eingabe!$F$16&gt;0,Eingabe!$E$16&gt;=133),IF((Eingabe!$G$16+1)&lt;=9,1000+(Eingabe!$G$16+1)*100,3000)+33,"")</f>
        <v/>
      </c>
      <c r="F1555" s="19" t="str">
        <f aca="false">IF(AND(Eingabe!$F$16&gt;0,Eingabe!$E$16&gt;=133),"10."&amp;Eingabe!$D$16&amp;".133.0/24","")</f>
        <v/>
      </c>
      <c r="G1555" s="19" t="str">
        <f aca="false">IF(AND(Eingabe!$F$16&gt;0,Eingabe!$E$16&gt;=133),"10."&amp;Eingabe!$D$16&amp;".133.1","")</f>
        <v/>
      </c>
      <c r="H1555" s="19" t="str">
        <f aca="false">IF(AND(Eingabe!$F$16&gt;0,Eingabe!$E$16&gt;=133),"10."&amp;Eingabe!$D$16&amp;".133.10 – 10."&amp;Eingabe!$D$16&amp;".133.250","")</f>
        <v/>
      </c>
      <c r="I1555" s="19" t="str">
        <f aca="false">IF(AND(Eingabe!$F$16&gt;0,Eingabe!$E$16&gt;=133),Eingabe!$B$6&amp;"-"&amp;Eingabe!$C$16&amp;"-Pächter","")</f>
        <v/>
      </c>
      <c r="J1555" s="19" t="str">
        <f aca="false">IF(AND(Eingabe!$F$16&gt;0,Eingabe!$E$16&gt;=133),"PPSK: Passwort Parzelle 133","")</f>
        <v/>
      </c>
      <c r="K1555" s="19" t="str">
        <f aca="false">IF(AND(Eingabe!$F$16&gt;0,Eingabe!$E$16&gt;=133),"1. Gerät: 10."&amp;Eingabe!$D$16&amp;".133.10, 2. Gerät: .11","")</f>
        <v/>
      </c>
    </row>
    <row r="1556" customFormat="false" ht="15" hidden="false" customHeight="false" outlineLevel="0" collapsed="false">
      <c r="A1556" s="19" t="str">
        <f aca="false">IF(AND(Eingabe!$F$16&gt;0,Eingabe!$E$16&gt;=134),8,"")</f>
        <v/>
      </c>
      <c r="B1556" s="19" t="str">
        <f aca="false">IF(AND(Eingabe!$F$16&gt;0,Eingabe!$E$16&gt;=134),Eingabe!$B$16,"")</f>
        <v/>
      </c>
      <c r="C1556" s="19" t="str">
        <f aca="false">IF(AND(Eingabe!$F$16&gt;0,Eingabe!$E$16&gt;=134),Eingabe!$C$16&amp;"-Paz."&amp;TEXT(134,"000"),"")</f>
        <v/>
      </c>
      <c r="D1556" s="19" t="str">
        <f aca="false">IF(AND(Eingabe!$F$16&gt;0,Eingabe!$E$16&gt;=134),134,"")</f>
        <v/>
      </c>
      <c r="E1556" s="19" t="str">
        <f aca="false">IF(AND(Eingabe!$F$16&gt;0,Eingabe!$E$16&gt;=134),IF((Eingabe!$G$16+1)&lt;=9,1000+(Eingabe!$G$16+1)*100,3000)+34,"")</f>
        <v/>
      </c>
      <c r="F1556" s="19" t="str">
        <f aca="false">IF(AND(Eingabe!$F$16&gt;0,Eingabe!$E$16&gt;=134),"10."&amp;Eingabe!$D$16&amp;".134.0/24","")</f>
        <v/>
      </c>
      <c r="G1556" s="19" t="str">
        <f aca="false">IF(AND(Eingabe!$F$16&gt;0,Eingabe!$E$16&gt;=134),"10."&amp;Eingabe!$D$16&amp;".134.1","")</f>
        <v/>
      </c>
      <c r="H1556" s="19" t="str">
        <f aca="false">IF(AND(Eingabe!$F$16&gt;0,Eingabe!$E$16&gt;=134),"10."&amp;Eingabe!$D$16&amp;".134.10 – 10."&amp;Eingabe!$D$16&amp;".134.250","")</f>
        <v/>
      </c>
      <c r="I1556" s="19" t="str">
        <f aca="false">IF(AND(Eingabe!$F$16&gt;0,Eingabe!$E$16&gt;=134),Eingabe!$B$6&amp;"-"&amp;Eingabe!$C$16&amp;"-Pächter","")</f>
        <v/>
      </c>
      <c r="J1556" s="19" t="str">
        <f aca="false">IF(AND(Eingabe!$F$16&gt;0,Eingabe!$E$16&gt;=134),"PPSK: Passwort Parzelle 134","")</f>
        <v/>
      </c>
      <c r="K1556" s="19" t="str">
        <f aca="false">IF(AND(Eingabe!$F$16&gt;0,Eingabe!$E$16&gt;=134),"1. Gerät: 10."&amp;Eingabe!$D$16&amp;".134.10, 2. Gerät: .11","")</f>
        <v/>
      </c>
    </row>
    <row r="1557" customFormat="false" ht="15" hidden="false" customHeight="false" outlineLevel="0" collapsed="false">
      <c r="A1557" s="19" t="str">
        <f aca="false">IF(AND(Eingabe!$F$16&gt;0,Eingabe!$E$16&gt;=135),8,"")</f>
        <v/>
      </c>
      <c r="B1557" s="19" t="str">
        <f aca="false">IF(AND(Eingabe!$F$16&gt;0,Eingabe!$E$16&gt;=135),Eingabe!$B$16,"")</f>
        <v/>
      </c>
      <c r="C1557" s="19" t="str">
        <f aca="false">IF(AND(Eingabe!$F$16&gt;0,Eingabe!$E$16&gt;=135),Eingabe!$C$16&amp;"-Paz."&amp;TEXT(135,"000"),"")</f>
        <v/>
      </c>
      <c r="D1557" s="19" t="str">
        <f aca="false">IF(AND(Eingabe!$F$16&gt;0,Eingabe!$E$16&gt;=135),135,"")</f>
        <v/>
      </c>
      <c r="E1557" s="19" t="str">
        <f aca="false">IF(AND(Eingabe!$F$16&gt;0,Eingabe!$E$16&gt;=135),IF((Eingabe!$G$16+1)&lt;=9,1000+(Eingabe!$G$16+1)*100,3000)+35,"")</f>
        <v/>
      </c>
      <c r="F1557" s="19" t="str">
        <f aca="false">IF(AND(Eingabe!$F$16&gt;0,Eingabe!$E$16&gt;=135),"10."&amp;Eingabe!$D$16&amp;".135.0/24","")</f>
        <v/>
      </c>
      <c r="G1557" s="19" t="str">
        <f aca="false">IF(AND(Eingabe!$F$16&gt;0,Eingabe!$E$16&gt;=135),"10."&amp;Eingabe!$D$16&amp;".135.1","")</f>
        <v/>
      </c>
      <c r="H1557" s="19" t="str">
        <f aca="false">IF(AND(Eingabe!$F$16&gt;0,Eingabe!$E$16&gt;=135),"10."&amp;Eingabe!$D$16&amp;".135.10 – 10."&amp;Eingabe!$D$16&amp;".135.250","")</f>
        <v/>
      </c>
      <c r="I1557" s="19" t="str">
        <f aca="false">IF(AND(Eingabe!$F$16&gt;0,Eingabe!$E$16&gt;=135),Eingabe!$B$6&amp;"-"&amp;Eingabe!$C$16&amp;"-Pächter","")</f>
        <v/>
      </c>
      <c r="J1557" s="19" t="str">
        <f aca="false">IF(AND(Eingabe!$F$16&gt;0,Eingabe!$E$16&gt;=135),"PPSK: Passwort Parzelle 135","")</f>
        <v/>
      </c>
      <c r="K1557" s="19" t="str">
        <f aca="false">IF(AND(Eingabe!$F$16&gt;0,Eingabe!$E$16&gt;=135),"1. Gerät: 10."&amp;Eingabe!$D$16&amp;".135.10, 2. Gerät: .11","")</f>
        <v/>
      </c>
    </row>
    <row r="1558" customFormat="false" ht="15" hidden="false" customHeight="false" outlineLevel="0" collapsed="false">
      <c r="A1558" s="19" t="str">
        <f aca="false">IF(AND(Eingabe!$F$16&gt;0,Eingabe!$E$16&gt;=136),8,"")</f>
        <v/>
      </c>
      <c r="B1558" s="19" t="str">
        <f aca="false">IF(AND(Eingabe!$F$16&gt;0,Eingabe!$E$16&gt;=136),Eingabe!$B$16,"")</f>
        <v/>
      </c>
      <c r="C1558" s="19" t="str">
        <f aca="false">IF(AND(Eingabe!$F$16&gt;0,Eingabe!$E$16&gt;=136),Eingabe!$C$16&amp;"-Paz."&amp;TEXT(136,"000"),"")</f>
        <v/>
      </c>
      <c r="D1558" s="19" t="str">
        <f aca="false">IF(AND(Eingabe!$F$16&gt;0,Eingabe!$E$16&gt;=136),136,"")</f>
        <v/>
      </c>
      <c r="E1558" s="19" t="str">
        <f aca="false">IF(AND(Eingabe!$F$16&gt;0,Eingabe!$E$16&gt;=136),IF((Eingabe!$G$16+1)&lt;=9,1000+(Eingabe!$G$16+1)*100,3000)+36,"")</f>
        <v/>
      </c>
      <c r="F1558" s="19" t="str">
        <f aca="false">IF(AND(Eingabe!$F$16&gt;0,Eingabe!$E$16&gt;=136),"10."&amp;Eingabe!$D$16&amp;".136.0/24","")</f>
        <v/>
      </c>
      <c r="G1558" s="19" t="str">
        <f aca="false">IF(AND(Eingabe!$F$16&gt;0,Eingabe!$E$16&gt;=136),"10."&amp;Eingabe!$D$16&amp;".136.1","")</f>
        <v/>
      </c>
      <c r="H1558" s="19" t="str">
        <f aca="false">IF(AND(Eingabe!$F$16&gt;0,Eingabe!$E$16&gt;=136),"10."&amp;Eingabe!$D$16&amp;".136.10 – 10."&amp;Eingabe!$D$16&amp;".136.250","")</f>
        <v/>
      </c>
      <c r="I1558" s="19" t="str">
        <f aca="false">IF(AND(Eingabe!$F$16&gt;0,Eingabe!$E$16&gt;=136),Eingabe!$B$6&amp;"-"&amp;Eingabe!$C$16&amp;"-Pächter","")</f>
        <v/>
      </c>
      <c r="J1558" s="19" t="str">
        <f aca="false">IF(AND(Eingabe!$F$16&gt;0,Eingabe!$E$16&gt;=136),"PPSK: Passwort Parzelle 136","")</f>
        <v/>
      </c>
      <c r="K1558" s="19" t="str">
        <f aca="false">IF(AND(Eingabe!$F$16&gt;0,Eingabe!$E$16&gt;=136),"1. Gerät: 10."&amp;Eingabe!$D$16&amp;".136.10, 2. Gerät: .11","")</f>
        <v/>
      </c>
    </row>
    <row r="1559" customFormat="false" ht="15" hidden="false" customHeight="false" outlineLevel="0" collapsed="false">
      <c r="A1559" s="19" t="str">
        <f aca="false">IF(AND(Eingabe!$F$16&gt;0,Eingabe!$E$16&gt;=137),8,"")</f>
        <v/>
      </c>
      <c r="B1559" s="19" t="str">
        <f aca="false">IF(AND(Eingabe!$F$16&gt;0,Eingabe!$E$16&gt;=137),Eingabe!$B$16,"")</f>
        <v/>
      </c>
      <c r="C1559" s="19" t="str">
        <f aca="false">IF(AND(Eingabe!$F$16&gt;0,Eingabe!$E$16&gt;=137),Eingabe!$C$16&amp;"-Paz."&amp;TEXT(137,"000"),"")</f>
        <v/>
      </c>
      <c r="D1559" s="19" t="str">
        <f aca="false">IF(AND(Eingabe!$F$16&gt;0,Eingabe!$E$16&gt;=137),137,"")</f>
        <v/>
      </c>
      <c r="E1559" s="19" t="str">
        <f aca="false">IF(AND(Eingabe!$F$16&gt;0,Eingabe!$E$16&gt;=137),IF((Eingabe!$G$16+1)&lt;=9,1000+(Eingabe!$G$16+1)*100,3000)+37,"")</f>
        <v/>
      </c>
      <c r="F1559" s="19" t="str">
        <f aca="false">IF(AND(Eingabe!$F$16&gt;0,Eingabe!$E$16&gt;=137),"10."&amp;Eingabe!$D$16&amp;".137.0/24","")</f>
        <v/>
      </c>
      <c r="G1559" s="19" t="str">
        <f aca="false">IF(AND(Eingabe!$F$16&gt;0,Eingabe!$E$16&gt;=137),"10."&amp;Eingabe!$D$16&amp;".137.1","")</f>
        <v/>
      </c>
      <c r="H1559" s="19" t="str">
        <f aca="false">IF(AND(Eingabe!$F$16&gt;0,Eingabe!$E$16&gt;=137),"10."&amp;Eingabe!$D$16&amp;".137.10 – 10."&amp;Eingabe!$D$16&amp;".137.250","")</f>
        <v/>
      </c>
      <c r="I1559" s="19" t="str">
        <f aca="false">IF(AND(Eingabe!$F$16&gt;0,Eingabe!$E$16&gt;=137),Eingabe!$B$6&amp;"-"&amp;Eingabe!$C$16&amp;"-Pächter","")</f>
        <v/>
      </c>
      <c r="J1559" s="19" t="str">
        <f aca="false">IF(AND(Eingabe!$F$16&gt;0,Eingabe!$E$16&gt;=137),"PPSK: Passwort Parzelle 137","")</f>
        <v/>
      </c>
      <c r="K1559" s="19" t="str">
        <f aca="false">IF(AND(Eingabe!$F$16&gt;0,Eingabe!$E$16&gt;=137),"1. Gerät: 10."&amp;Eingabe!$D$16&amp;".137.10, 2. Gerät: .11","")</f>
        <v/>
      </c>
    </row>
    <row r="1560" customFormat="false" ht="15" hidden="false" customHeight="false" outlineLevel="0" collapsed="false">
      <c r="A1560" s="19" t="str">
        <f aca="false">IF(AND(Eingabe!$F$16&gt;0,Eingabe!$E$16&gt;=138),8,"")</f>
        <v/>
      </c>
      <c r="B1560" s="19" t="str">
        <f aca="false">IF(AND(Eingabe!$F$16&gt;0,Eingabe!$E$16&gt;=138),Eingabe!$B$16,"")</f>
        <v/>
      </c>
      <c r="C1560" s="19" t="str">
        <f aca="false">IF(AND(Eingabe!$F$16&gt;0,Eingabe!$E$16&gt;=138),Eingabe!$C$16&amp;"-Paz."&amp;TEXT(138,"000"),"")</f>
        <v/>
      </c>
      <c r="D1560" s="19" t="str">
        <f aca="false">IF(AND(Eingabe!$F$16&gt;0,Eingabe!$E$16&gt;=138),138,"")</f>
        <v/>
      </c>
      <c r="E1560" s="19" t="str">
        <f aca="false">IF(AND(Eingabe!$F$16&gt;0,Eingabe!$E$16&gt;=138),IF((Eingabe!$G$16+1)&lt;=9,1000+(Eingabe!$G$16+1)*100,3000)+38,"")</f>
        <v/>
      </c>
      <c r="F1560" s="19" t="str">
        <f aca="false">IF(AND(Eingabe!$F$16&gt;0,Eingabe!$E$16&gt;=138),"10."&amp;Eingabe!$D$16&amp;".138.0/24","")</f>
        <v/>
      </c>
      <c r="G1560" s="19" t="str">
        <f aca="false">IF(AND(Eingabe!$F$16&gt;0,Eingabe!$E$16&gt;=138),"10."&amp;Eingabe!$D$16&amp;".138.1","")</f>
        <v/>
      </c>
      <c r="H1560" s="19" t="str">
        <f aca="false">IF(AND(Eingabe!$F$16&gt;0,Eingabe!$E$16&gt;=138),"10."&amp;Eingabe!$D$16&amp;".138.10 – 10."&amp;Eingabe!$D$16&amp;".138.250","")</f>
        <v/>
      </c>
      <c r="I1560" s="19" t="str">
        <f aca="false">IF(AND(Eingabe!$F$16&gt;0,Eingabe!$E$16&gt;=138),Eingabe!$B$6&amp;"-"&amp;Eingabe!$C$16&amp;"-Pächter","")</f>
        <v/>
      </c>
      <c r="J1560" s="19" t="str">
        <f aca="false">IF(AND(Eingabe!$F$16&gt;0,Eingabe!$E$16&gt;=138),"PPSK: Passwort Parzelle 138","")</f>
        <v/>
      </c>
      <c r="K1560" s="19" t="str">
        <f aca="false">IF(AND(Eingabe!$F$16&gt;0,Eingabe!$E$16&gt;=138),"1. Gerät: 10."&amp;Eingabe!$D$16&amp;".138.10, 2. Gerät: .11","")</f>
        <v/>
      </c>
    </row>
    <row r="1561" customFormat="false" ht="15" hidden="false" customHeight="false" outlineLevel="0" collapsed="false">
      <c r="A1561" s="19" t="str">
        <f aca="false">IF(AND(Eingabe!$F$16&gt;0,Eingabe!$E$16&gt;=139),8,"")</f>
        <v/>
      </c>
      <c r="B1561" s="19" t="str">
        <f aca="false">IF(AND(Eingabe!$F$16&gt;0,Eingabe!$E$16&gt;=139),Eingabe!$B$16,"")</f>
        <v/>
      </c>
      <c r="C1561" s="19" t="str">
        <f aca="false">IF(AND(Eingabe!$F$16&gt;0,Eingabe!$E$16&gt;=139),Eingabe!$C$16&amp;"-Paz."&amp;TEXT(139,"000"),"")</f>
        <v/>
      </c>
      <c r="D1561" s="19" t="str">
        <f aca="false">IF(AND(Eingabe!$F$16&gt;0,Eingabe!$E$16&gt;=139),139,"")</f>
        <v/>
      </c>
      <c r="E1561" s="19" t="str">
        <f aca="false">IF(AND(Eingabe!$F$16&gt;0,Eingabe!$E$16&gt;=139),IF((Eingabe!$G$16+1)&lt;=9,1000+(Eingabe!$G$16+1)*100,3000)+39,"")</f>
        <v/>
      </c>
      <c r="F1561" s="19" t="str">
        <f aca="false">IF(AND(Eingabe!$F$16&gt;0,Eingabe!$E$16&gt;=139),"10."&amp;Eingabe!$D$16&amp;".139.0/24","")</f>
        <v/>
      </c>
      <c r="G1561" s="19" t="str">
        <f aca="false">IF(AND(Eingabe!$F$16&gt;0,Eingabe!$E$16&gt;=139),"10."&amp;Eingabe!$D$16&amp;".139.1","")</f>
        <v/>
      </c>
      <c r="H1561" s="19" t="str">
        <f aca="false">IF(AND(Eingabe!$F$16&gt;0,Eingabe!$E$16&gt;=139),"10."&amp;Eingabe!$D$16&amp;".139.10 – 10."&amp;Eingabe!$D$16&amp;".139.250","")</f>
        <v/>
      </c>
      <c r="I1561" s="19" t="str">
        <f aca="false">IF(AND(Eingabe!$F$16&gt;0,Eingabe!$E$16&gt;=139),Eingabe!$B$6&amp;"-"&amp;Eingabe!$C$16&amp;"-Pächter","")</f>
        <v/>
      </c>
      <c r="J1561" s="19" t="str">
        <f aca="false">IF(AND(Eingabe!$F$16&gt;0,Eingabe!$E$16&gt;=139),"PPSK: Passwort Parzelle 139","")</f>
        <v/>
      </c>
      <c r="K1561" s="19" t="str">
        <f aca="false">IF(AND(Eingabe!$F$16&gt;0,Eingabe!$E$16&gt;=139),"1. Gerät: 10."&amp;Eingabe!$D$16&amp;".139.10, 2. Gerät: .11","")</f>
        <v/>
      </c>
    </row>
    <row r="1562" customFormat="false" ht="15" hidden="false" customHeight="false" outlineLevel="0" collapsed="false">
      <c r="A1562" s="19" t="str">
        <f aca="false">IF(AND(Eingabe!$F$16&gt;0,Eingabe!$E$16&gt;=140),8,"")</f>
        <v/>
      </c>
      <c r="B1562" s="19" t="str">
        <f aca="false">IF(AND(Eingabe!$F$16&gt;0,Eingabe!$E$16&gt;=140),Eingabe!$B$16,"")</f>
        <v/>
      </c>
      <c r="C1562" s="19" t="str">
        <f aca="false">IF(AND(Eingabe!$F$16&gt;0,Eingabe!$E$16&gt;=140),Eingabe!$C$16&amp;"-Paz."&amp;TEXT(140,"000"),"")</f>
        <v/>
      </c>
      <c r="D1562" s="19" t="str">
        <f aca="false">IF(AND(Eingabe!$F$16&gt;0,Eingabe!$E$16&gt;=140),140,"")</f>
        <v/>
      </c>
      <c r="E1562" s="19" t="str">
        <f aca="false">IF(AND(Eingabe!$F$16&gt;0,Eingabe!$E$16&gt;=140),IF((Eingabe!$G$16+1)&lt;=9,1000+(Eingabe!$G$16+1)*100,3000)+40,"")</f>
        <v/>
      </c>
      <c r="F1562" s="19" t="str">
        <f aca="false">IF(AND(Eingabe!$F$16&gt;0,Eingabe!$E$16&gt;=140),"10."&amp;Eingabe!$D$16&amp;".140.0/24","")</f>
        <v/>
      </c>
      <c r="G1562" s="19" t="str">
        <f aca="false">IF(AND(Eingabe!$F$16&gt;0,Eingabe!$E$16&gt;=140),"10."&amp;Eingabe!$D$16&amp;".140.1","")</f>
        <v/>
      </c>
      <c r="H1562" s="19" t="str">
        <f aca="false">IF(AND(Eingabe!$F$16&gt;0,Eingabe!$E$16&gt;=140),"10."&amp;Eingabe!$D$16&amp;".140.10 – 10."&amp;Eingabe!$D$16&amp;".140.250","")</f>
        <v/>
      </c>
      <c r="I1562" s="19" t="str">
        <f aca="false">IF(AND(Eingabe!$F$16&gt;0,Eingabe!$E$16&gt;=140),Eingabe!$B$6&amp;"-"&amp;Eingabe!$C$16&amp;"-Pächter","")</f>
        <v/>
      </c>
      <c r="J1562" s="19" t="str">
        <f aca="false">IF(AND(Eingabe!$F$16&gt;0,Eingabe!$E$16&gt;=140),"PPSK: Passwort Parzelle 140","")</f>
        <v/>
      </c>
      <c r="K1562" s="19" t="str">
        <f aca="false">IF(AND(Eingabe!$F$16&gt;0,Eingabe!$E$16&gt;=140),"1. Gerät: 10."&amp;Eingabe!$D$16&amp;".140.10, 2. Gerät: .11","")</f>
        <v/>
      </c>
    </row>
    <row r="1563" customFormat="false" ht="15" hidden="false" customHeight="false" outlineLevel="0" collapsed="false">
      <c r="A1563" s="19" t="str">
        <f aca="false">IF(AND(Eingabe!$F$16&gt;0,Eingabe!$E$16&gt;=141),8,"")</f>
        <v/>
      </c>
      <c r="B1563" s="19" t="str">
        <f aca="false">IF(AND(Eingabe!$F$16&gt;0,Eingabe!$E$16&gt;=141),Eingabe!$B$16,"")</f>
        <v/>
      </c>
      <c r="C1563" s="19" t="str">
        <f aca="false">IF(AND(Eingabe!$F$16&gt;0,Eingabe!$E$16&gt;=141),Eingabe!$C$16&amp;"-Paz."&amp;TEXT(141,"000"),"")</f>
        <v/>
      </c>
      <c r="D1563" s="19" t="str">
        <f aca="false">IF(AND(Eingabe!$F$16&gt;0,Eingabe!$E$16&gt;=141),141,"")</f>
        <v/>
      </c>
      <c r="E1563" s="19" t="str">
        <f aca="false">IF(AND(Eingabe!$F$16&gt;0,Eingabe!$E$16&gt;=141),IF((Eingabe!$G$16+1)&lt;=9,1000+(Eingabe!$G$16+1)*100,3000)+41,"")</f>
        <v/>
      </c>
      <c r="F1563" s="19" t="str">
        <f aca="false">IF(AND(Eingabe!$F$16&gt;0,Eingabe!$E$16&gt;=141),"10."&amp;Eingabe!$D$16&amp;".141.0/24","")</f>
        <v/>
      </c>
      <c r="G1563" s="19" t="str">
        <f aca="false">IF(AND(Eingabe!$F$16&gt;0,Eingabe!$E$16&gt;=141),"10."&amp;Eingabe!$D$16&amp;".141.1","")</f>
        <v/>
      </c>
      <c r="H1563" s="19" t="str">
        <f aca="false">IF(AND(Eingabe!$F$16&gt;0,Eingabe!$E$16&gt;=141),"10."&amp;Eingabe!$D$16&amp;".141.10 – 10."&amp;Eingabe!$D$16&amp;".141.250","")</f>
        <v/>
      </c>
      <c r="I1563" s="19" t="str">
        <f aca="false">IF(AND(Eingabe!$F$16&gt;0,Eingabe!$E$16&gt;=141),Eingabe!$B$6&amp;"-"&amp;Eingabe!$C$16&amp;"-Pächter","")</f>
        <v/>
      </c>
      <c r="J1563" s="19" t="str">
        <f aca="false">IF(AND(Eingabe!$F$16&gt;0,Eingabe!$E$16&gt;=141),"PPSK: Passwort Parzelle 141","")</f>
        <v/>
      </c>
      <c r="K1563" s="19" t="str">
        <f aca="false">IF(AND(Eingabe!$F$16&gt;0,Eingabe!$E$16&gt;=141),"1. Gerät: 10."&amp;Eingabe!$D$16&amp;".141.10, 2. Gerät: .11","")</f>
        <v/>
      </c>
    </row>
    <row r="1564" customFormat="false" ht="15" hidden="false" customHeight="false" outlineLevel="0" collapsed="false">
      <c r="A1564" s="19" t="str">
        <f aca="false">IF(AND(Eingabe!$F$16&gt;0,Eingabe!$E$16&gt;=142),8,"")</f>
        <v/>
      </c>
      <c r="B1564" s="19" t="str">
        <f aca="false">IF(AND(Eingabe!$F$16&gt;0,Eingabe!$E$16&gt;=142),Eingabe!$B$16,"")</f>
        <v/>
      </c>
      <c r="C1564" s="19" t="str">
        <f aca="false">IF(AND(Eingabe!$F$16&gt;0,Eingabe!$E$16&gt;=142),Eingabe!$C$16&amp;"-Paz."&amp;TEXT(142,"000"),"")</f>
        <v/>
      </c>
      <c r="D1564" s="19" t="str">
        <f aca="false">IF(AND(Eingabe!$F$16&gt;0,Eingabe!$E$16&gt;=142),142,"")</f>
        <v/>
      </c>
      <c r="E1564" s="19" t="str">
        <f aca="false">IF(AND(Eingabe!$F$16&gt;0,Eingabe!$E$16&gt;=142),IF((Eingabe!$G$16+1)&lt;=9,1000+(Eingabe!$G$16+1)*100,3000)+42,"")</f>
        <v/>
      </c>
      <c r="F1564" s="19" t="str">
        <f aca="false">IF(AND(Eingabe!$F$16&gt;0,Eingabe!$E$16&gt;=142),"10."&amp;Eingabe!$D$16&amp;".142.0/24","")</f>
        <v/>
      </c>
      <c r="G1564" s="19" t="str">
        <f aca="false">IF(AND(Eingabe!$F$16&gt;0,Eingabe!$E$16&gt;=142),"10."&amp;Eingabe!$D$16&amp;".142.1","")</f>
        <v/>
      </c>
      <c r="H1564" s="19" t="str">
        <f aca="false">IF(AND(Eingabe!$F$16&gt;0,Eingabe!$E$16&gt;=142),"10."&amp;Eingabe!$D$16&amp;".142.10 – 10."&amp;Eingabe!$D$16&amp;".142.250","")</f>
        <v/>
      </c>
      <c r="I1564" s="19" t="str">
        <f aca="false">IF(AND(Eingabe!$F$16&gt;0,Eingabe!$E$16&gt;=142),Eingabe!$B$6&amp;"-"&amp;Eingabe!$C$16&amp;"-Pächter","")</f>
        <v/>
      </c>
      <c r="J1564" s="19" t="str">
        <f aca="false">IF(AND(Eingabe!$F$16&gt;0,Eingabe!$E$16&gt;=142),"PPSK: Passwort Parzelle 142","")</f>
        <v/>
      </c>
      <c r="K1564" s="19" t="str">
        <f aca="false">IF(AND(Eingabe!$F$16&gt;0,Eingabe!$E$16&gt;=142),"1. Gerät: 10."&amp;Eingabe!$D$16&amp;".142.10, 2. Gerät: .11","")</f>
        <v/>
      </c>
    </row>
    <row r="1565" customFormat="false" ht="15" hidden="false" customHeight="false" outlineLevel="0" collapsed="false">
      <c r="A1565" s="19" t="str">
        <f aca="false">IF(AND(Eingabe!$F$16&gt;0,Eingabe!$E$16&gt;=143),8,"")</f>
        <v/>
      </c>
      <c r="B1565" s="19" t="str">
        <f aca="false">IF(AND(Eingabe!$F$16&gt;0,Eingabe!$E$16&gt;=143),Eingabe!$B$16,"")</f>
        <v/>
      </c>
      <c r="C1565" s="19" t="str">
        <f aca="false">IF(AND(Eingabe!$F$16&gt;0,Eingabe!$E$16&gt;=143),Eingabe!$C$16&amp;"-Paz."&amp;TEXT(143,"000"),"")</f>
        <v/>
      </c>
      <c r="D1565" s="19" t="str">
        <f aca="false">IF(AND(Eingabe!$F$16&gt;0,Eingabe!$E$16&gt;=143),143,"")</f>
        <v/>
      </c>
      <c r="E1565" s="19" t="str">
        <f aca="false">IF(AND(Eingabe!$F$16&gt;0,Eingabe!$E$16&gt;=143),IF((Eingabe!$G$16+1)&lt;=9,1000+(Eingabe!$G$16+1)*100,3000)+43,"")</f>
        <v/>
      </c>
      <c r="F1565" s="19" t="str">
        <f aca="false">IF(AND(Eingabe!$F$16&gt;0,Eingabe!$E$16&gt;=143),"10."&amp;Eingabe!$D$16&amp;".143.0/24","")</f>
        <v/>
      </c>
      <c r="G1565" s="19" t="str">
        <f aca="false">IF(AND(Eingabe!$F$16&gt;0,Eingabe!$E$16&gt;=143),"10."&amp;Eingabe!$D$16&amp;".143.1","")</f>
        <v/>
      </c>
      <c r="H1565" s="19" t="str">
        <f aca="false">IF(AND(Eingabe!$F$16&gt;0,Eingabe!$E$16&gt;=143),"10."&amp;Eingabe!$D$16&amp;".143.10 – 10."&amp;Eingabe!$D$16&amp;".143.250","")</f>
        <v/>
      </c>
      <c r="I1565" s="19" t="str">
        <f aca="false">IF(AND(Eingabe!$F$16&gt;0,Eingabe!$E$16&gt;=143),Eingabe!$B$6&amp;"-"&amp;Eingabe!$C$16&amp;"-Pächter","")</f>
        <v/>
      </c>
      <c r="J1565" s="19" t="str">
        <f aca="false">IF(AND(Eingabe!$F$16&gt;0,Eingabe!$E$16&gt;=143),"PPSK: Passwort Parzelle 143","")</f>
        <v/>
      </c>
      <c r="K1565" s="19" t="str">
        <f aca="false">IF(AND(Eingabe!$F$16&gt;0,Eingabe!$E$16&gt;=143),"1. Gerät: 10."&amp;Eingabe!$D$16&amp;".143.10, 2. Gerät: .11","")</f>
        <v/>
      </c>
    </row>
    <row r="1566" customFormat="false" ht="15" hidden="false" customHeight="false" outlineLevel="0" collapsed="false">
      <c r="A1566" s="19" t="str">
        <f aca="false">IF(AND(Eingabe!$F$16&gt;0,Eingabe!$E$16&gt;=144),8,"")</f>
        <v/>
      </c>
      <c r="B1566" s="19" t="str">
        <f aca="false">IF(AND(Eingabe!$F$16&gt;0,Eingabe!$E$16&gt;=144),Eingabe!$B$16,"")</f>
        <v/>
      </c>
      <c r="C1566" s="19" t="str">
        <f aca="false">IF(AND(Eingabe!$F$16&gt;0,Eingabe!$E$16&gt;=144),Eingabe!$C$16&amp;"-Paz."&amp;TEXT(144,"000"),"")</f>
        <v/>
      </c>
      <c r="D1566" s="19" t="str">
        <f aca="false">IF(AND(Eingabe!$F$16&gt;0,Eingabe!$E$16&gt;=144),144,"")</f>
        <v/>
      </c>
      <c r="E1566" s="19" t="str">
        <f aca="false">IF(AND(Eingabe!$F$16&gt;0,Eingabe!$E$16&gt;=144),IF((Eingabe!$G$16+1)&lt;=9,1000+(Eingabe!$G$16+1)*100,3000)+44,"")</f>
        <v/>
      </c>
      <c r="F1566" s="19" t="str">
        <f aca="false">IF(AND(Eingabe!$F$16&gt;0,Eingabe!$E$16&gt;=144),"10."&amp;Eingabe!$D$16&amp;".144.0/24","")</f>
        <v/>
      </c>
      <c r="G1566" s="19" t="str">
        <f aca="false">IF(AND(Eingabe!$F$16&gt;0,Eingabe!$E$16&gt;=144),"10."&amp;Eingabe!$D$16&amp;".144.1","")</f>
        <v/>
      </c>
      <c r="H1566" s="19" t="str">
        <f aca="false">IF(AND(Eingabe!$F$16&gt;0,Eingabe!$E$16&gt;=144),"10."&amp;Eingabe!$D$16&amp;".144.10 – 10."&amp;Eingabe!$D$16&amp;".144.250","")</f>
        <v/>
      </c>
      <c r="I1566" s="19" t="str">
        <f aca="false">IF(AND(Eingabe!$F$16&gt;0,Eingabe!$E$16&gt;=144),Eingabe!$B$6&amp;"-"&amp;Eingabe!$C$16&amp;"-Pächter","")</f>
        <v/>
      </c>
      <c r="J1566" s="19" t="str">
        <f aca="false">IF(AND(Eingabe!$F$16&gt;0,Eingabe!$E$16&gt;=144),"PPSK: Passwort Parzelle 144","")</f>
        <v/>
      </c>
      <c r="K1566" s="19" t="str">
        <f aca="false">IF(AND(Eingabe!$F$16&gt;0,Eingabe!$E$16&gt;=144),"1. Gerät: 10."&amp;Eingabe!$D$16&amp;".144.10, 2. Gerät: .11","")</f>
        <v/>
      </c>
    </row>
    <row r="1567" customFormat="false" ht="15" hidden="false" customHeight="false" outlineLevel="0" collapsed="false">
      <c r="A1567" s="19" t="str">
        <f aca="false">IF(AND(Eingabe!$F$16&gt;0,Eingabe!$E$16&gt;=145),8,"")</f>
        <v/>
      </c>
      <c r="B1567" s="19" t="str">
        <f aca="false">IF(AND(Eingabe!$F$16&gt;0,Eingabe!$E$16&gt;=145),Eingabe!$B$16,"")</f>
        <v/>
      </c>
      <c r="C1567" s="19" t="str">
        <f aca="false">IF(AND(Eingabe!$F$16&gt;0,Eingabe!$E$16&gt;=145),Eingabe!$C$16&amp;"-Paz."&amp;TEXT(145,"000"),"")</f>
        <v/>
      </c>
      <c r="D1567" s="19" t="str">
        <f aca="false">IF(AND(Eingabe!$F$16&gt;0,Eingabe!$E$16&gt;=145),145,"")</f>
        <v/>
      </c>
      <c r="E1567" s="19" t="str">
        <f aca="false">IF(AND(Eingabe!$F$16&gt;0,Eingabe!$E$16&gt;=145),IF((Eingabe!$G$16+1)&lt;=9,1000+(Eingabe!$G$16+1)*100,3000)+45,"")</f>
        <v/>
      </c>
      <c r="F1567" s="19" t="str">
        <f aca="false">IF(AND(Eingabe!$F$16&gt;0,Eingabe!$E$16&gt;=145),"10."&amp;Eingabe!$D$16&amp;".145.0/24","")</f>
        <v/>
      </c>
      <c r="G1567" s="19" t="str">
        <f aca="false">IF(AND(Eingabe!$F$16&gt;0,Eingabe!$E$16&gt;=145),"10."&amp;Eingabe!$D$16&amp;".145.1","")</f>
        <v/>
      </c>
      <c r="H1567" s="19" t="str">
        <f aca="false">IF(AND(Eingabe!$F$16&gt;0,Eingabe!$E$16&gt;=145),"10."&amp;Eingabe!$D$16&amp;".145.10 – 10."&amp;Eingabe!$D$16&amp;".145.250","")</f>
        <v/>
      </c>
      <c r="I1567" s="19" t="str">
        <f aca="false">IF(AND(Eingabe!$F$16&gt;0,Eingabe!$E$16&gt;=145),Eingabe!$B$6&amp;"-"&amp;Eingabe!$C$16&amp;"-Pächter","")</f>
        <v/>
      </c>
      <c r="J1567" s="19" t="str">
        <f aca="false">IF(AND(Eingabe!$F$16&gt;0,Eingabe!$E$16&gt;=145),"PPSK: Passwort Parzelle 145","")</f>
        <v/>
      </c>
      <c r="K1567" s="19" t="str">
        <f aca="false">IF(AND(Eingabe!$F$16&gt;0,Eingabe!$E$16&gt;=145),"1. Gerät: 10."&amp;Eingabe!$D$16&amp;".145.10, 2. Gerät: .11","")</f>
        <v/>
      </c>
    </row>
    <row r="1568" customFormat="false" ht="15" hidden="false" customHeight="false" outlineLevel="0" collapsed="false">
      <c r="A1568" s="19" t="str">
        <f aca="false">IF(AND(Eingabe!$F$16&gt;0,Eingabe!$E$16&gt;=146),8,"")</f>
        <v/>
      </c>
      <c r="B1568" s="19" t="str">
        <f aca="false">IF(AND(Eingabe!$F$16&gt;0,Eingabe!$E$16&gt;=146),Eingabe!$B$16,"")</f>
        <v/>
      </c>
      <c r="C1568" s="19" t="str">
        <f aca="false">IF(AND(Eingabe!$F$16&gt;0,Eingabe!$E$16&gt;=146),Eingabe!$C$16&amp;"-Paz."&amp;TEXT(146,"000"),"")</f>
        <v/>
      </c>
      <c r="D1568" s="19" t="str">
        <f aca="false">IF(AND(Eingabe!$F$16&gt;0,Eingabe!$E$16&gt;=146),146,"")</f>
        <v/>
      </c>
      <c r="E1568" s="19" t="str">
        <f aca="false">IF(AND(Eingabe!$F$16&gt;0,Eingabe!$E$16&gt;=146),IF((Eingabe!$G$16+1)&lt;=9,1000+(Eingabe!$G$16+1)*100,3000)+46,"")</f>
        <v/>
      </c>
      <c r="F1568" s="19" t="str">
        <f aca="false">IF(AND(Eingabe!$F$16&gt;0,Eingabe!$E$16&gt;=146),"10."&amp;Eingabe!$D$16&amp;".146.0/24","")</f>
        <v/>
      </c>
      <c r="G1568" s="19" t="str">
        <f aca="false">IF(AND(Eingabe!$F$16&gt;0,Eingabe!$E$16&gt;=146),"10."&amp;Eingabe!$D$16&amp;".146.1","")</f>
        <v/>
      </c>
      <c r="H1568" s="19" t="str">
        <f aca="false">IF(AND(Eingabe!$F$16&gt;0,Eingabe!$E$16&gt;=146),"10."&amp;Eingabe!$D$16&amp;".146.10 – 10."&amp;Eingabe!$D$16&amp;".146.250","")</f>
        <v/>
      </c>
      <c r="I1568" s="19" t="str">
        <f aca="false">IF(AND(Eingabe!$F$16&gt;0,Eingabe!$E$16&gt;=146),Eingabe!$B$6&amp;"-"&amp;Eingabe!$C$16&amp;"-Pächter","")</f>
        <v/>
      </c>
      <c r="J1568" s="19" t="str">
        <f aca="false">IF(AND(Eingabe!$F$16&gt;0,Eingabe!$E$16&gt;=146),"PPSK: Passwort Parzelle 146","")</f>
        <v/>
      </c>
      <c r="K1568" s="19" t="str">
        <f aca="false">IF(AND(Eingabe!$F$16&gt;0,Eingabe!$E$16&gt;=146),"1. Gerät: 10."&amp;Eingabe!$D$16&amp;".146.10, 2. Gerät: .11","")</f>
        <v/>
      </c>
    </row>
    <row r="1569" customFormat="false" ht="15" hidden="false" customHeight="false" outlineLevel="0" collapsed="false">
      <c r="A1569" s="19" t="str">
        <f aca="false">IF(AND(Eingabe!$F$16&gt;0,Eingabe!$E$16&gt;=147),8,"")</f>
        <v/>
      </c>
      <c r="B1569" s="19" t="str">
        <f aca="false">IF(AND(Eingabe!$F$16&gt;0,Eingabe!$E$16&gt;=147),Eingabe!$B$16,"")</f>
        <v/>
      </c>
      <c r="C1569" s="19" t="str">
        <f aca="false">IF(AND(Eingabe!$F$16&gt;0,Eingabe!$E$16&gt;=147),Eingabe!$C$16&amp;"-Paz."&amp;TEXT(147,"000"),"")</f>
        <v/>
      </c>
      <c r="D1569" s="19" t="str">
        <f aca="false">IF(AND(Eingabe!$F$16&gt;0,Eingabe!$E$16&gt;=147),147,"")</f>
        <v/>
      </c>
      <c r="E1569" s="19" t="str">
        <f aca="false">IF(AND(Eingabe!$F$16&gt;0,Eingabe!$E$16&gt;=147),IF((Eingabe!$G$16+1)&lt;=9,1000+(Eingabe!$G$16+1)*100,3000)+47,"")</f>
        <v/>
      </c>
      <c r="F1569" s="19" t="str">
        <f aca="false">IF(AND(Eingabe!$F$16&gt;0,Eingabe!$E$16&gt;=147),"10."&amp;Eingabe!$D$16&amp;".147.0/24","")</f>
        <v/>
      </c>
      <c r="G1569" s="19" t="str">
        <f aca="false">IF(AND(Eingabe!$F$16&gt;0,Eingabe!$E$16&gt;=147),"10."&amp;Eingabe!$D$16&amp;".147.1","")</f>
        <v/>
      </c>
      <c r="H1569" s="19" t="str">
        <f aca="false">IF(AND(Eingabe!$F$16&gt;0,Eingabe!$E$16&gt;=147),"10."&amp;Eingabe!$D$16&amp;".147.10 – 10."&amp;Eingabe!$D$16&amp;".147.250","")</f>
        <v/>
      </c>
      <c r="I1569" s="19" t="str">
        <f aca="false">IF(AND(Eingabe!$F$16&gt;0,Eingabe!$E$16&gt;=147),Eingabe!$B$6&amp;"-"&amp;Eingabe!$C$16&amp;"-Pächter","")</f>
        <v/>
      </c>
      <c r="J1569" s="19" t="str">
        <f aca="false">IF(AND(Eingabe!$F$16&gt;0,Eingabe!$E$16&gt;=147),"PPSK: Passwort Parzelle 147","")</f>
        <v/>
      </c>
      <c r="K1569" s="19" t="str">
        <f aca="false">IF(AND(Eingabe!$F$16&gt;0,Eingabe!$E$16&gt;=147),"1. Gerät: 10."&amp;Eingabe!$D$16&amp;".147.10, 2. Gerät: .11","")</f>
        <v/>
      </c>
    </row>
    <row r="1570" customFormat="false" ht="15" hidden="false" customHeight="false" outlineLevel="0" collapsed="false">
      <c r="A1570" s="19" t="str">
        <f aca="false">IF(AND(Eingabe!$F$16&gt;0,Eingabe!$E$16&gt;=148),8,"")</f>
        <v/>
      </c>
      <c r="B1570" s="19" t="str">
        <f aca="false">IF(AND(Eingabe!$F$16&gt;0,Eingabe!$E$16&gt;=148),Eingabe!$B$16,"")</f>
        <v/>
      </c>
      <c r="C1570" s="19" t="str">
        <f aca="false">IF(AND(Eingabe!$F$16&gt;0,Eingabe!$E$16&gt;=148),Eingabe!$C$16&amp;"-Paz."&amp;TEXT(148,"000"),"")</f>
        <v/>
      </c>
      <c r="D1570" s="19" t="str">
        <f aca="false">IF(AND(Eingabe!$F$16&gt;0,Eingabe!$E$16&gt;=148),148,"")</f>
        <v/>
      </c>
      <c r="E1570" s="19" t="str">
        <f aca="false">IF(AND(Eingabe!$F$16&gt;0,Eingabe!$E$16&gt;=148),IF((Eingabe!$G$16+1)&lt;=9,1000+(Eingabe!$G$16+1)*100,3000)+48,"")</f>
        <v/>
      </c>
      <c r="F1570" s="19" t="str">
        <f aca="false">IF(AND(Eingabe!$F$16&gt;0,Eingabe!$E$16&gt;=148),"10."&amp;Eingabe!$D$16&amp;".148.0/24","")</f>
        <v/>
      </c>
      <c r="G1570" s="19" t="str">
        <f aca="false">IF(AND(Eingabe!$F$16&gt;0,Eingabe!$E$16&gt;=148),"10."&amp;Eingabe!$D$16&amp;".148.1","")</f>
        <v/>
      </c>
      <c r="H1570" s="19" t="str">
        <f aca="false">IF(AND(Eingabe!$F$16&gt;0,Eingabe!$E$16&gt;=148),"10."&amp;Eingabe!$D$16&amp;".148.10 – 10."&amp;Eingabe!$D$16&amp;".148.250","")</f>
        <v/>
      </c>
      <c r="I1570" s="19" t="str">
        <f aca="false">IF(AND(Eingabe!$F$16&gt;0,Eingabe!$E$16&gt;=148),Eingabe!$B$6&amp;"-"&amp;Eingabe!$C$16&amp;"-Pächter","")</f>
        <v/>
      </c>
      <c r="J1570" s="19" t="str">
        <f aca="false">IF(AND(Eingabe!$F$16&gt;0,Eingabe!$E$16&gt;=148),"PPSK: Passwort Parzelle 148","")</f>
        <v/>
      </c>
      <c r="K1570" s="19" t="str">
        <f aca="false">IF(AND(Eingabe!$F$16&gt;0,Eingabe!$E$16&gt;=148),"1. Gerät: 10."&amp;Eingabe!$D$16&amp;".148.10, 2. Gerät: .11","")</f>
        <v/>
      </c>
    </row>
    <row r="1571" customFormat="false" ht="15" hidden="false" customHeight="false" outlineLevel="0" collapsed="false">
      <c r="A1571" s="19" t="str">
        <f aca="false">IF(AND(Eingabe!$F$16&gt;0,Eingabe!$E$16&gt;=149),8,"")</f>
        <v/>
      </c>
      <c r="B1571" s="19" t="str">
        <f aca="false">IF(AND(Eingabe!$F$16&gt;0,Eingabe!$E$16&gt;=149),Eingabe!$B$16,"")</f>
        <v/>
      </c>
      <c r="C1571" s="19" t="str">
        <f aca="false">IF(AND(Eingabe!$F$16&gt;0,Eingabe!$E$16&gt;=149),Eingabe!$C$16&amp;"-Paz."&amp;TEXT(149,"000"),"")</f>
        <v/>
      </c>
      <c r="D1571" s="19" t="str">
        <f aca="false">IF(AND(Eingabe!$F$16&gt;0,Eingabe!$E$16&gt;=149),149,"")</f>
        <v/>
      </c>
      <c r="E1571" s="19" t="str">
        <f aca="false">IF(AND(Eingabe!$F$16&gt;0,Eingabe!$E$16&gt;=149),IF((Eingabe!$G$16+1)&lt;=9,1000+(Eingabe!$G$16+1)*100,3000)+49,"")</f>
        <v/>
      </c>
      <c r="F1571" s="19" t="str">
        <f aca="false">IF(AND(Eingabe!$F$16&gt;0,Eingabe!$E$16&gt;=149),"10."&amp;Eingabe!$D$16&amp;".149.0/24","")</f>
        <v/>
      </c>
      <c r="G1571" s="19" t="str">
        <f aca="false">IF(AND(Eingabe!$F$16&gt;0,Eingabe!$E$16&gt;=149),"10."&amp;Eingabe!$D$16&amp;".149.1","")</f>
        <v/>
      </c>
      <c r="H1571" s="19" t="str">
        <f aca="false">IF(AND(Eingabe!$F$16&gt;0,Eingabe!$E$16&gt;=149),"10."&amp;Eingabe!$D$16&amp;".149.10 – 10."&amp;Eingabe!$D$16&amp;".149.250","")</f>
        <v/>
      </c>
      <c r="I1571" s="19" t="str">
        <f aca="false">IF(AND(Eingabe!$F$16&gt;0,Eingabe!$E$16&gt;=149),Eingabe!$B$6&amp;"-"&amp;Eingabe!$C$16&amp;"-Pächter","")</f>
        <v/>
      </c>
      <c r="J1571" s="19" t="str">
        <f aca="false">IF(AND(Eingabe!$F$16&gt;0,Eingabe!$E$16&gt;=149),"PPSK: Passwort Parzelle 149","")</f>
        <v/>
      </c>
      <c r="K1571" s="19" t="str">
        <f aca="false">IF(AND(Eingabe!$F$16&gt;0,Eingabe!$E$16&gt;=149),"1. Gerät: 10."&amp;Eingabe!$D$16&amp;".149.10, 2. Gerät: .11","")</f>
        <v/>
      </c>
    </row>
    <row r="1572" customFormat="false" ht="15" hidden="false" customHeight="false" outlineLevel="0" collapsed="false">
      <c r="A1572" s="19" t="str">
        <f aca="false">IF(AND(Eingabe!$F$16&gt;0,Eingabe!$E$16&gt;=150),8,"")</f>
        <v/>
      </c>
      <c r="B1572" s="19" t="str">
        <f aca="false">IF(AND(Eingabe!$F$16&gt;0,Eingabe!$E$16&gt;=150),Eingabe!$B$16,"")</f>
        <v/>
      </c>
      <c r="C1572" s="19" t="str">
        <f aca="false">IF(AND(Eingabe!$F$16&gt;0,Eingabe!$E$16&gt;=150),Eingabe!$C$16&amp;"-Paz."&amp;TEXT(150,"000"),"")</f>
        <v/>
      </c>
      <c r="D1572" s="19" t="str">
        <f aca="false">IF(AND(Eingabe!$F$16&gt;0,Eingabe!$E$16&gt;=150),150,"")</f>
        <v/>
      </c>
      <c r="E1572" s="19" t="str">
        <f aca="false">IF(AND(Eingabe!$F$16&gt;0,Eingabe!$E$16&gt;=150),IF((Eingabe!$G$16+1)&lt;=9,1000+(Eingabe!$G$16+1)*100,3000)+50,"")</f>
        <v/>
      </c>
      <c r="F1572" s="19" t="str">
        <f aca="false">IF(AND(Eingabe!$F$16&gt;0,Eingabe!$E$16&gt;=150),"10."&amp;Eingabe!$D$16&amp;".150.0/24","")</f>
        <v/>
      </c>
      <c r="G1572" s="19" t="str">
        <f aca="false">IF(AND(Eingabe!$F$16&gt;0,Eingabe!$E$16&gt;=150),"10."&amp;Eingabe!$D$16&amp;".150.1","")</f>
        <v/>
      </c>
      <c r="H1572" s="19" t="str">
        <f aca="false">IF(AND(Eingabe!$F$16&gt;0,Eingabe!$E$16&gt;=150),"10."&amp;Eingabe!$D$16&amp;".150.10 – 10."&amp;Eingabe!$D$16&amp;".150.250","")</f>
        <v/>
      </c>
      <c r="I1572" s="19" t="str">
        <f aca="false">IF(AND(Eingabe!$F$16&gt;0,Eingabe!$E$16&gt;=150),Eingabe!$B$6&amp;"-"&amp;Eingabe!$C$16&amp;"-Pächter","")</f>
        <v/>
      </c>
      <c r="J1572" s="19" t="str">
        <f aca="false">IF(AND(Eingabe!$F$16&gt;0,Eingabe!$E$16&gt;=150),"PPSK: Passwort Parzelle 150","")</f>
        <v/>
      </c>
      <c r="K1572" s="19" t="str">
        <f aca="false">IF(AND(Eingabe!$F$16&gt;0,Eingabe!$E$16&gt;=150),"1. Gerät: 10."&amp;Eingabe!$D$16&amp;".150.10, 2. Gerät: .11","")</f>
        <v/>
      </c>
    </row>
    <row r="1573" customFormat="false" ht="15" hidden="false" customHeight="false" outlineLevel="0" collapsed="false">
      <c r="A1573" s="19" t="str">
        <f aca="false">IF(AND(Eingabe!$F$16&gt;0,Eingabe!$E$16&gt;=151),8,"")</f>
        <v/>
      </c>
      <c r="B1573" s="19" t="str">
        <f aca="false">IF(AND(Eingabe!$F$16&gt;0,Eingabe!$E$16&gt;=151),Eingabe!$B$16,"")</f>
        <v/>
      </c>
      <c r="C1573" s="19" t="str">
        <f aca="false">IF(AND(Eingabe!$F$16&gt;0,Eingabe!$E$16&gt;=151),Eingabe!$C$16&amp;"-Paz."&amp;TEXT(151,"000"),"")</f>
        <v/>
      </c>
      <c r="D1573" s="19" t="str">
        <f aca="false">IF(AND(Eingabe!$F$16&gt;0,Eingabe!$E$16&gt;=151),151,"")</f>
        <v/>
      </c>
      <c r="E1573" s="19" t="str">
        <f aca="false">IF(AND(Eingabe!$F$16&gt;0,Eingabe!$E$16&gt;=151),IF((Eingabe!$G$16+1)&lt;=9,1000+(Eingabe!$G$16+1)*100,3000)+51,"")</f>
        <v/>
      </c>
      <c r="F1573" s="19" t="str">
        <f aca="false">IF(AND(Eingabe!$F$16&gt;0,Eingabe!$E$16&gt;=151),"10."&amp;Eingabe!$D$16&amp;".151.0/24","")</f>
        <v/>
      </c>
      <c r="G1573" s="19" t="str">
        <f aca="false">IF(AND(Eingabe!$F$16&gt;0,Eingabe!$E$16&gt;=151),"10."&amp;Eingabe!$D$16&amp;".151.1","")</f>
        <v/>
      </c>
      <c r="H1573" s="19" t="str">
        <f aca="false">IF(AND(Eingabe!$F$16&gt;0,Eingabe!$E$16&gt;=151),"10."&amp;Eingabe!$D$16&amp;".151.10 – 10."&amp;Eingabe!$D$16&amp;".151.250","")</f>
        <v/>
      </c>
      <c r="I1573" s="19" t="str">
        <f aca="false">IF(AND(Eingabe!$F$16&gt;0,Eingabe!$E$16&gt;=151),Eingabe!$B$6&amp;"-"&amp;Eingabe!$C$16&amp;"-Pächter","")</f>
        <v/>
      </c>
      <c r="J1573" s="19" t="str">
        <f aca="false">IF(AND(Eingabe!$F$16&gt;0,Eingabe!$E$16&gt;=151),"PPSK: Passwort Parzelle 151","")</f>
        <v/>
      </c>
      <c r="K1573" s="19" t="str">
        <f aca="false">IF(AND(Eingabe!$F$16&gt;0,Eingabe!$E$16&gt;=151),"1. Gerät: 10."&amp;Eingabe!$D$16&amp;".151.10, 2. Gerät: .11","")</f>
        <v/>
      </c>
    </row>
    <row r="1574" customFormat="false" ht="15" hidden="false" customHeight="false" outlineLevel="0" collapsed="false">
      <c r="A1574" s="19" t="str">
        <f aca="false">IF(AND(Eingabe!$F$16&gt;0,Eingabe!$E$16&gt;=152),8,"")</f>
        <v/>
      </c>
      <c r="B1574" s="19" t="str">
        <f aca="false">IF(AND(Eingabe!$F$16&gt;0,Eingabe!$E$16&gt;=152),Eingabe!$B$16,"")</f>
        <v/>
      </c>
      <c r="C1574" s="19" t="str">
        <f aca="false">IF(AND(Eingabe!$F$16&gt;0,Eingabe!$E$16&gt;=152),Eingabe!$C$16&amp;"-Paz."&amp;TEXT(152,"000"),"")</f>
        <v/>
      </c>
      <c r="D1574" s="19" t="str">
        <f aca="false">IF(AND(Eingabe!$F$16&gt;0,Eingabe!$E$16&gt;=152),152,"")</f>
        <v/>
      </c>
      <c r="E1574" s="19" t="str">
        <f aca="false">IF(AND(Eingabe!$F$16&gt;0,Eingabe!$E$16&gt;=152),IF((Eingabe!$G$16+1)&lt;=9,1000+(Eingabe!$G$16+1)*100,3000)+52,"")</f>
        <v/>
      </c>
      <c r="F1574" s="19" t="str">
        <f aca="false">IF(AND(Eingabe!$F$16&gt;0,Eingabe!$E$16&gt;=152),"10."&amp;Eingabe!$D$16&amp;".152.0/24","")</f>
        <v/>
      </c>
      <c r="G1574" s="19" t="str">
        <f aca="false">IF(AND(Eingabe!$F$16&gt;0,Eingabe!$E$16&gt;=152),"10."&amp;Eingabe!$D$16&amp;".152.1","")</f>
        <v/>
      </c>
      <c r="H1574" s="19" t="str">
        <f aca="false">IF(AND(Eingabe!$F$16&gt;0,Eingabe!$E$16&gt;=152),"10."&amp;Eingabe!$D$16&amp;".152.10 – 10."&amp;Eingabe!$D$16&amp;".152.250","")</f>
        <v/>
      </c>
      <c r="I1574" s="19" t="str">
        <f aca="false">IF(AND(Eingabe!$F$16&gt;0,Eingabe!$E$16&gt;=152),Eingabe!$B$6&amp;"-"&amp;Eingabe!$C$16&amp;"-Pächter","")</f>
        <v/>
      </c>
      <c r="J1574" s="19" t="str">
        <f aca="false">IF(AND(Eingabe!$F$16&gt;0,Eingabe!$E$16&gt;=152),"PPSK: Passwort Parzelle 152","")</f>
        <v/>
      </c>
      <c r="K1574" s="19" t="str">
        <f aca="false">IF(AND(Eingabe!$F$16&gt;0,Eingabe!$E$16&gt;=152),"1. Gerät: 10."&amp;Eingabe!$D$16&amp;".152.10, 2. Gerät: .11","")</f>
        <v/>
      </c>
    </row>
    <row r="1575" customFormat="false" ht="15" hidden="false" customHeight="false" outlineLevel="0" collapsed="false">
      <c r="A1575" s="19" t="str">
        <f aca="false">IF(AND(Eingabe!$F$16&gt;0,Eingabe!$E$16&gt;=153),8,"")</f>
        <v/>
      </c>
      <c r="B1575" s="19" t="str">
        <f aca="false">IF(AND(Eingabe!$F$16&gt;0,Eingabe!$E$16&gt;=153),Eingabe!$B$16,"")</f>
        <v/>
      </c>
      <c r="C1575" s="19" t="str">
        <f aca="false">IF(AND(Eingabe!$F$16&gt;0,Eingabe!$E$16&gt;=153),Eingabe!$C$16&amp;"-Paz."&amp;TEXT(153,"000"),"")</f>
        <v/>
      </c>
      <c r="D1575" s="19" t="str">
        <f aca="false">IF(AND(Eingabe!$F$16&gt;0,Eingabe!$E$16&gt;=153),153,"")</f>
        <v/>
      </c>
      <c r="E1575" s="19" t="str">
        <f aca="false">IF(AND(Eingabe!$F$16&gt;0,Eingabe!$E$16&gt;=153),IF((Eingabe!$G$16+1)&lt;=9,1000+(Eingabe!$G$16+1)*100,3000)+53,"")</f>
        <v/>
      </c>
      <c r="F1575" s="19" t="str">
        <f aca="false">IF(AND(Eingabe!$F$16&gt;0,Eingabe!$E$16&gt;=153),"10."&amp;Eingabe!$D$16&amp;".153.0/24","")</f>
        <v/>
      </c>
      <c r="G1575" s="19" t="str">
        <f aca="false">IF(AND(Eingabe!$F$16&gt;0,Eingabe!$E$16&gt;=153),"10."&amp;Eingabe!$D$16&amp;".153.1","")</f>
        <v/>
      </c>
      <c r="H1575" s="19" t="str">
        <f aca="false">IF(AND(Eingabe!$F$16&gt;0,Eingabe!$E$16&gt;=153),"10."&amp;Eingabe!$D$16&amp;".153.10 – 10."&amp;Eingabe!$D$16&amp;".153.250","")</f>
        <v/>
      </c>
      <c r="I1575" s="19" t="str">
        <f aca="false">IF(AND(Eingabe!$F$16&gt;0,Eingabe!$E$16&gt;=153),Eingabe!$B$6&amp;"-"&amp;Eingabe!$C$16&amp;"-Pächter","")</f>
        <v/>
      </c>
      <c r="J1575" s="19" t="str">
        <f aca="false">IF(AND(Eingabe!$F$16&gt;0,Eingabe!$E$16&gt;=153),"PPSK: Passwort Parzelle 153","")</f>
        <v/>
      </c>
      <c r="K1575" s="19" t="str">
        <f aca="false">IF(AND(Eingabe!$F$16&gt;0,Eingabe!$E$16&gt;=153),"1. Gerät: 10."&amp;Eingabe!$D$16&amp;".153.10, 2. Gerät: .11","")</f>
        <v/>
      </c>
    </row>
    <row r="1576" customFormat="false" ht="15" hidden="false" customHeight="false" outlineLevel="0" collapsed="false">
      <c r="A1576" s="19" t="str">
        <f aca="false">IF(AND(Eingabe!$F$16&gt;0,Eingabe!$E$16&gt;=154),8,"")</f>
        <v/>
      </c>
      <c r="B1576" s="19" t="str">
        <f aca="false">IF(AND(Eingabe!$F$16&gt;0,Eingabe!$E$16&gt;=154),Eingabe!$B$16,"")</f>
        <v/>
      </c>
      <c r="C1576" s="19" t="str">
        <f aca="false">IF(AND(Eingabe!$F$16&gt;0,Eingabe!$E$16&gt;=154),Eingabe!$C$16&amp;"-Paz."&amp;TEXT(154,"000"),"")</f>
        <v/>
      </c>
      <c r="D1576" s="19" t="str">
        <f aca="false">IF(AND(Eingabe!$F$16&gt;0,Eingabe!$E$16&gt;=154),154,"")</f>
        <v/>
      </c>
      <c r="E1576" s="19" t="str">
        <f aca="false">IF(AND(Eingabe!$F$16&gt;0,Eingabe!$E$16&gt;=154),IF((Eingabe!$G$16+1)&lt;=9,1000+(Eingabe!$G$16+1)*100,3000)+54,"")</f>
        <v/>
      </c>
      <c r="F1576" s="19" t="str">
        <f aca="false">IF(AND(Eingabe!$F$16&gt;0,Eingabe!$E$16&gt;=154),"10."&amp;Eingabe!$D$16&amp;".154.0/24","")</f>
        <v/>
      </c>
      <c r="G1576" s="19" t="str">
        <f aca="false">IF(AND(Eingabe!$F$16&gt;0,Eingabe!$E$16&gt;=154),"10."&amp;Eingabe!$D$16&amp;".154.1","")</f>
        <v/>
      </c>
      <c r="H1576" s="19" t="str">
        <f aca="false">IF(AND(Eingabe!$F$16&gt;0,Eingabe!$E$16&gt;=154),"10."&amp;Eingabe!$D$16&amp;".154.10 – 10."&amp;Eingabe!$D$16&amp;".154.250","")</f>
        <v/>
      </c>
      <c r="I1576" s="19" t="str">
        <f aca="false">IF(AND(Eingabe!$F$16&gt;0,Eingabe!$E$16&gt;=154),Eingabe!$B$6&amp;"-"&amp;Eingabe!$C$16&amp;"-Pächter","")</f>
        <v/>
      </c>
      <c r="J1576" s="19" t="str">
        <f aca="false">IF(AND(Eingabe!$F$16&gt;0,Eingabe!$E$16&gt;=154),"PPSK: Passwort Parzelle 154","")</f>
        <v/>
      </c>
      <c r="K1576" s="19" t="str">
        <f aca="false">IF(AND(Eingabe!$F$16&gt;0,Eingabe!$E$16&gt;=154),"1. Gerät: 10."&amp;Eingabe!$D$16&amp;".154.10, 2. Gerät: .11","")</f>
        <v/>
      </c>
    </row>
    <row r="1577" customFormat="false" ht="15" hidden="false" customHeight="false" outlineLevel="0" collapsed="false">
      <c r="A1577" s="19" t="str">
        <f aca="false">IF(AND(Eingabe!$F$16&gt;0,Eingabe!$E$16&gt;=155),8,"")</f>
        <v/>
      </c>
      <c r="B1577" s="19" t="str">
        <f aca="false">IF(AND(Eingabe!$F$16&gt;0,Eingabe!$E$16&gt;=155),Eingabe!$B$16,"")</f>
        <v/>
      </c>
      <c r="C1577" s="19" t="str">
        <f aca="false">IF(AND(Eingabe!$F$16&gt;0,Eingabe!$E$16&gt;=155),Eingabe!$C$16&amp;"-Paz."&amp;TEXT(155,"000"),"")</f>
        <v/>
      </c>
      <c r="D1577" s="19" t="str">
        <f aca="false">IF(AND(Eingabe!$F$16&gt;0,Eingabe!$E$16&gt;=155),155,"")</f>
        <v/>
      </c>
      <c r="E1577" s="19" t="str">
        <f aca="false">IF(AND(Eingabe!$F$16&gt;0,Eingabe!$E$16&gt;=155),IF((Eingabe!$G$16+1)&lt;=9,1000+(Eingabe!$G$16+1)*100,3000)+55,"")</f>
        <v/>
      </c>
      <c r="F1577" s="19" t="str">
        <f aca="false">IF(AND(Eingabe!$F$16&gt;0,Eingabe!$E$16&gt;=155),"10."&amp;Eingabe!$D$16&amp;".155.0/24","")</f>
        <v/>
      </c>
      <c r="G1577" s="19" t="str">
        <f aca="false">IF(AND(Eingabe!$F$16&gt;0,Eingabe!$E$16&gt;=155),"10."&amp;Eingabe!$D$16&amp;".155.1","")</f>
        <v/>
      </c>
      <c r="H1577" s="19" t="str">
        <f aca="false">IF(AND(Eingabe!$F$16&gt;0,Eingabe!$E$16&gt;=155),"10."&amp;Eingabe!$D$16&amp;".155.10 – 10."&amp;Eingabe!$D$16&amp;".155.250","")</f>
        <v/>
      </c>
      <c r="I1577" s="19" t="str">
        <f aca="false">IF(AND(Eingabe!$F$16&gt;0,Eingabe!$E$16&gt;=155),Eingabe!$B$6&amp;"-"&amp;Eingabe!$C$16&amp;"-Pächter","")</f>
        <v/>
      </c>
      <c r="J1577" s="19" t="str">
        <f aca="false">IF(AND(Eingabe!$F$16&gt;0,Eingabe!$E$16&gt;=155),"PPSK: Passwort Parzelle 155","")</f>
        <v/>
      </c>
      <c r="K1577" s="19" t="str">
        <f aca="false">IF(AND(Eingabe!$F$16&gt;0,Eingabe!$E$16&gt;=155),"1. Gerät: 10."&amp;Eingabe!$D$16&amp;".155.10, 2. Gerät: .11","")</f>
        <v/>
      </c>
    </row>
    <row r="1578" customFormat="false" ht="15" hidden="false" customHeight="false" outlineLevel="0" collapsed="false">
      <c r="A1578" s="19" t="str">
        <f aca="false">IF(AND(Eingabe!$F$16&gt;0,Eingabe!$E$16&gt;=156),8,"")</f>
        <v/>
      </c>
      <c r="B1578" s="19" t="str">
        <f aca="false">IF(AND(Eingabe!$F$16&gt;0,Eingabe!$E$16&gt;=156),Eingabe!$B$16,"")</f>
        <v/>
      </c>
      <c r="C1578" s="19" t="str">
        <f aca="false">IF(AND(Eingabe!$F$16&gt;0,Eingabe!$E$16&gt;=156),Eingabe!$C$16&amp;"-Paz."&amp;TEXT(156,"000"),"")</f>
        <v/>
      </c>
      <c r="D1578" s="19" t="str">
        <f aca="false">IF(AND(Eingabe!$F$16&gt;0,Eingabe!$E$16&gt;=156),156,"")</f>
        <v/>
      </c>
      <c r="E1578" s="19" t="str">
        <f aca="false">IF(AND(Eingabe!$F$16&gt;0,Eingabe!$E$16&gt;=156),IF((Eingabe!$G$16+1)&lt;=9,1000+(Eingabe!$G$16+1)*100,3000)+56,"")</f>
        <v/>
      </c>
      <c r="F1578" s="19" t="str">
        <f aca="false">IF(AND(Eingabe!$F$16&gt;0,Eingabe!$E$16&gt;=156),"10."&amp;Eingabe!$D$16&amp;".156.0/24","")</f>
        <v/>
      </c>
      <c r="G1578" s="19" t="str">
        <f aca="false">IF(AND(Eingabe!$F$16&gt;0,Eingabe!$E$16&gt;=156),"10."&amp;Eingabe!$D$16&amp;".156.1","")</f>
        <v/>
      </c>
      <c r="H1578" s="19" t="str">
        <f aca="false">IF(AND(Eingabe!$F$16&gt;0,Eingabe!$E$16&gt;=156),"10."&amp;Eingabe!$D$16&amp;".156.10 – 10."&amp;Eingabe!$D$16&amp;".156.250","")</f>
        <v/>
      </c>
      <c r="I1578" s="19" t="str">
        <f aca="false">IF(AND(Eingabe!$F$16&gt;0,Eingabe!$E$16&gt;=156),Eingabe!$B$6&amp;"-"&amp;Eingabe!$C$16&amp;"-Pächter","")</f>
        <v/>
      </c>
      <c r="J1578" s="19" t="str">
        <f aca="false">IF(AND(Eingabe!$F$16&gt;0,Eingabe!$E$16&gt;=156),"PPSK: Passwort Parzelle 156","")</f>
        <v/>
      </c>
      <c r="K1578" s="19" t="str">
        <f aca="false">IF(AND(Eingabe!$F$16&gt;0,Eingabe!$E$16&gt;=156),"1. Gerät: 10."&amp;Eingabe!$D$16&amp;".156.10, 2. Gerät: .11","")</f>
        <v/>
      </c>
    </row>
    <row r="1579" customFormat="false" ht="15" hidden="false" customHeight="false" outlineLevel="0" collapsed="false">
      <c r="A1579" s="19" t="str">
        <f aca="false">IF(AND(Eingabe!$F$16&gt;0,Eingabe!$E$16&gt;=157),8,"")</f>
        <v/>
      </c>
      <c r="B1579" s="19" t="str">
        <f aca="false">IF(AND(Eingabe!$F$16&gt;0,Eingabe!$E$16&gt;=157),Eingabe!$B$16,"")</f>
        <v/>
      </c>
      <c r="C1579" s="19" t="str">
        <f aca="false">IF(AND(Eingabe!$F$16&gt;0,Eingabe!$E$16&gt;=157),Eingabe!$C$16&amp;"-Paz."&amp;TEXT(157,"000"),"")</f>
        <v/>
      </c>
      <c r="D1579" s="19" t="str">
        <f aca="false">IF(AND(Eingabe!$F$16&gt;0,Eingabe!$E$16&gt;=157),157,"")</f>
        <v/>
      </c>
      <c r="E1579" s="19" t="str">
        <f aca="false">IF(AND(Eingabe!$F$16&gt;0,Eingabe!$E$16&gt;=157),IF((Eingabe!$G$16+1)&lt;=9,1000+(Eingabe!$G$16+1)*100,3000)+57,"")</f>
        <v/>
      </c>
      <c r="F1579" s="19" t="str">
        <f aca="false">IF(AND(Eingabe!$F$16&gt;0,Eingabe!$E$16&gt;=157),"10."&amp;Eingabe!$D$16&amp;".157.0/24","")</f>
        <v/>
      </c>
      <c r="G1579" s="19" t="str">
        <f aca="false">IF(AND(Eingabe!$F$16&gt;0,Eingabe!$E$16&gt;=157),"10."&amp;Eingabe!$D$16&amp;".157.1","")</f>
        <v/>
      </c>
      <c r="H1579" s="19" t="str">
        <f aca="false">IF(AND(Eingabe!$F$16&gt;0,Eingabe!$E$16&gt;=157),"10."&amp;Eingabe!$D$16&amp;".157.10 – 10."&amp;Eingabe!$D$16&amp;".157.250","")</f>
        <v/>
      </c>
      <c r="I1579" s="19" t="str">
        <f aca="false">IF(AND(Eingabe!$F$16&gt;0,Eingabe!$E$16&gt;=157),Eingabe!$B$6&amp;"-"&amp;Eingabe!$C$16&amp;"-Pächter","")</f>
        <v/>
      </c>
      <c r="J1579" s="19" t="str">
        <f aca="false">IF(AND(Eingabe!$F$16&gt;0,Eingabe!$E$16&gt;=157),"PPSK: Passwort Parzelle 157","")</f>
        <v/>
      </c>
      <c r="K1579" s="19" t="str">
        <f aca="false">IF(AND(Eingabe!$F$16&gt;0,Eingabe!$E$16&gt;=157),"1. Gerät: 10."&amp;Eingabe!$D$16&amp;".157.10, 2. Gerät: .11","")</f>
        <v/>
      </c>
    </row>
    <row r="1580" customFormat="false" ht="15" hidden="false" customHeight="false" outlineLevel="0" collapsed="false">
      <c r="A1580" s="19" t="str">
        <f aca="false">IF(AND(Eingabe!$F$16&gt;0,Eingabe!$E$16&gt;=158),8,"")</f>
        <v/>
      </c>
      <c r="B1580" s="19" t="str">
        <f aca="false">IF(AND(Eingabe!$F$16&gt;0,Eingabe!$E$16&gt;=158),Eingabe!$B$16,"")</f>
        <v/>
      </c>
      <c r="C1580" s="19" t="str">
        <f aca="false">IF(AND(Eingabe!$F$16&gt;0,Eingabe!$E$16&gt;=158),Eingabe!$C$16&amp;"-Paz."&amp;TEXT(158,"000"),"")</f>
        <v/>
      </c>
      <c r="D1580" s="19" t="str">
        <f aca="false">IF(AND(Eingabe!$F$16&gt;0,Eingabe!$E$16&gt;=158),158,"")</f>
        <v/>
      </c>
      <c r="E1580" s="19" t="str">
        <f aca="false">IF(AND(Eingabe!$F$16&gt;0,Eingabe!$E$16&gt;=158),IF((Eingabe!$G$16+1)&lt;=9,1000+(Eingabe!$G$16+1)*100,3000)+58,"")</f>
        <v/>
      </c>
      <c r="F1580" s="19" t="str">
        <f aca="false">IF(AND(Eingabe!$F$16&gt;0,Eingabe!$E$16&gt;=158),"10."&amp;Eingabe!$D$16&amp;".158.0/24","")</f>
        <v/>
      </c>
      <c r="G1580" s="19" t="str">
        <f aca="false">IF(AND(Eingabe!$F$16&gt;0,Eingabe!$E$16&gt;=158),"10."&amp;Eingabe!$D$16&amp;".158.1","")</f>
        <v/>
      </c>
      <c r="H1580" s="19" t="str">
        <f aca="false">IF(AND(Eingabe!$F$16&gt;0,Eingabe!$E$16&gt;=158),"10."&amp;Eingabe!$D$16&amp;".158.10 – 10."&amp;Eingabe!$D$16&amp;".158.250","")</f>
        <v/>
      </c>
      <c r="I1580" s="19" t="str">
        <f aca="false">IF(AND(Eingabe!$F$16&gt;0,Eingabe!$E$16&gt;=158),Eingabe!$B$6&amp;"-"&amp;Eingabe!$C$16&amp;"-Pächter","")</f>
        <v/>
      </c>
      <c r="J1580" s="19" t="str">
        <f aca="false">IF(AND(Eingabe!$F$16&gt;0,Eingabe!$E$16&gt;=158),"PPSK: Passwort Parzelle 158","")</f>
        <v/>
      </c>
      <c r="K1580" s="19" t="str">
        <f aca="false">IF(AND(Eingabe!$F$16&gt;0,Eingabe!$E$16&gt;=158),"1. Gerät: 10."&amp;Eingabe!$D$16&amp;".158.10, 2. Gerät: .11","")</f>
        <v/>
      </c>
    </row>
    <row r="1581" customFormat="false" ht="15" hidden="false" customHeight="false" outlineLevel="0" collapsed="false">
      <c r="A1581" s="19" t="str">
        <f aca="false">IF(AND(Eingabe!$F$16&gt;0,Eingabe!$E$16&gt;=159),8,"")</f>
        <v/>
      </c>
      <c r="B1581" s="19" t="str">
        <f aca="false">IF(AND(Eingabe!$F$16&gt;0,Eingabe!$E$16&gt;=159),Eingabe!$B$16,"")</f>
        <v/>
      </c>
      <c r="C1581" s="19" t="str">
        <f aca="false">IF(AND(Eingabe!$F$16&gt;0,Eingabe!$E$16&gt;=159),Eingabe!$C$16&amp;"-Paz."&amp;TEXT(159,"000"),"")</f>
        <v/>
      </c>
      <c r="D1581" s="19" t="str">
        <f aca="false">IF(AND(Eingabe!$F$16&gt;0,Eingabe!$E$16&gt;=159),159,"")</f>
        <v/>
      </c>
      <c r="E1581" s="19" t="str">
        <f aca="false">IF(AND(Eingabe!$F$16&gt;0,Eingabe!$E$16&gt;=159),IF((Eingabe!$G$16+1)&lt;=9,1000+(Eingabe!$G$16+1)*100,3000)+59,"")</f>
        <v/>
      </c>
      <c r="F1581" s="19" t="str">
        <f aca="false">IF(AND(Eingabe!$F$16&gt;0,Eingabe!$E$16&gt;=159),"10."&amp;Eingabe!$D$16&amp;".159.0/24","")</f>
        <v/>
      </c>
      <c r="G1581" s="19" t="str">
        <f aca="false">IF(AND(Eingabe!$F$16&gt;0,Eingabe!$E$16&gt;=159),"10."&amp;Eingabe!$D$16&amp;".159.1","")</f>
        <v/>
      </c>
      <c r="H1581" s="19" t="str">
        <f aca="false">IF(AND(Eingabe!$F$16&gt;0,Eingabe!$E$16&gt;=159),"10."&amp;Eingabe!$D$16&amp;".159.10 – 10."&amp;Eingabe!$D$16&amp;".159.250","")</f>
        <v/>
      </c>
      <c r="I1581" s="19" t="str">
        <f aca="false">IF(AND(Eingabe!$F$16&gt;0,Eingabe!$E$16&gt;=159),Eingabe!$B$6&amp;"-"&amp;Eingabe!$C$16&amp;"-Pächter","")</f>
        <v/>
      </c>
      <c r="J1581" s="19" t="str">
        <f aca="false">IF(AND(Eingabe!$F$16&gt;0,Eingabe!$E$16&gt;=159),"PPSK: Passwort Parzelle 159","")</f>
        <v/>
      </c>
      <c r="K1581" s="19" t="str">
        <f aca="false">IF(AND(Eingabe!$F$16&gt;0,Eingabe!$E$16&gt;=159),"1. Gerät: 10."&amp;Eingabe!$D$16&amp;".159.10, 2. Gerät: .11","")</f>
        <v/>
      </c>
    </row>
    <row r="1582" customFormat="false" ht="15" hidden="false" customHeight="false" outlineLevel="0" collapsed="false">
      <c r="A1582" s="19" t="str">
        <f aca="false">IF(AND(Eingabe!$F$16&gt;0,Eingabe!$E$16&gt;=160),8,"")</f>
        <v/>
      </c>
      <c r="B1582" s="19" t="str">
        <f aca="false">IF(AND(Eingabe!$F$16&gt;0,Eingabe!$E$16&gt;=160),Eingabe!$B$16,"")</f>
        <v/>
      </c>
      <c r="C1582" s="19" t="str">
        <f aca="false">IF(AND(Eingabe!$F$16&gt;0,Eingabe!$E$16&gt;=160),Eingabe!$C$16&amp;"-Paz."&amp;TEXT(160,"000"),"")</f>
        <v/>
      </c>
      <c r="D1582" s="19" t="str">
        <f aca="false">IF(AND(Eingabe!$F$16&gt;0,Eingabe!$E$16&gt;=160),160,"")</f>
        <v/>
      </c>
      <c r="E1582" s="19" t="str">
        <f aca="false">IF(AND(Eingabe!$F$16&gt;0,Eingabe!$E$16&gt;=160),IF((Eingabe!$G$16+1)&lt;=9,1000+(Eingabe!$G$16+1)*100,3000)+60,"")</f>
        <v/>
      </c>
      <c r="F1582" s="19" t="str">
        <f aca="false">IF(AND(Eingabe!$F$16&gt;0,Eingabe!$E$16&gt;=160),"10."&amp;Eingabe!$D$16&amp;".160.0/24","")</f>
        <v/>
      </c>
      <c r="G1582" s="19" t="str">
        <f aca="false">IF(AND(Eingabe!$F$16&gt;0,Eingabe!$E$16&gt;=160),"10."&amp;Eingabe!$D$16&amp;".160.1","")</f>
        <v/>
      </c>
      <c r="H1582" s="19" t="str">
        <f aca="false">IF(AND(Eingabe!$F$16&gt;0,Eingabe!$E$16&gt;=160),"10."&amp;Eingabe!$D$16&amp;".160.10 – 10."&amp;Eingabe!$D$16&amp;".160.250","")</f>
        <v/>
      </c>
      <c r="I1582" s="19" t="str">
        <f aca="false">IF(AND(Eingabe!$F$16&gt;0,Eingabe!$E$16&gt;=160),Eingabe!$B$6&amp;"-"&amp;Eingabe!$C$16&amp;"-Pächter","")</f>
        <v/>
      </c>
      <c r="J1582" s="19" t="str">
        <f aca="false">IF(AND(Eingabe!$F$16&gt;0,Eingabe!$E$16&gt;=160),"PPSK: Passwort Parzelle 160","")</f>
        <v/>
      </c>
      <c r="K1582" s="19" t="str">
        <f aca="false">IF(AND(Eingabe!$F$16&gt;0,Eingabe!$E$16&gt;=160),"1. Gerät: 10."&amp;Eingabe!$D$16&amp;".160.10, 2. Gerät: .11","")</f>
        <v/>
      </c>
    </row>
    <row r="1583" customFormat="false" ht="15" hidden="false" customHeight="false" outlineLevel="0" collapsed="false">
      <c r="A1583" s="19" t="str">
        <f aca="false">IF(AND(Eingabe!$F$16&gt;0,Eingabe!$E$16&gt;=161),8,"")</f>
        <v/>
      </c>
      <c r="B1583" s="19" t="str">
        <f aca="false">IF(AND(Eingabe!$F$16&gt;0,Eingabe!$E$16&gt;=161),Eingabe!$B$16,"")</f>
        <v/>
      </c>
      <c r="C1583" s="19" t="str">
        <f aca="false">IF(AND(Eingabe!$F$16&gt;0,Eingabe!$E$16&gt;=161),Eingabe!$C$16&amp;"-Paz."&amp;TEXT(161,"000"),"")</f>
        <v/>
      </c>
      <c r="D1583" s="19" t="str">
        <f aca="false">IF(AND(Eingabe!$F$16&gt;0,Eingabe!$E$16&gt;=161),161,"")</f>
        <v/>
      </c>
      <c r="E1583" s="19" t="str">
        <f aca="false">IF(AND(Eingabe!$F$16&gt;0,Eingabe!$E$16&gt;=161),IF((Eingabe!$G$16+1)&lt;=9,1000+(Eingabe!$G$16+1)*100,3000)+61,"")</f>
        <v/>
      </c>
      <c r="F1583" s="19" t="str">
        <f aca="false">IF(AND(Eingabe!$F$16&gt;0,Eingabe!$E$16&gt;=161),"10."&amp;Eingabe!$D$16&amp;".161.0/24","")</f>
        <v/>
      </c>
      <c r="G1583" s="19" t="str">
        <f aca="false">IF(AND(Eingabe!$F$16&gt;0,Eingabe!$E$16&gt;=161),"10."&amp;Eingabe!$D$16&amp;".161.1","")</f>
        <v/>
      </c>
      <c r="H1583" s="19" t="str">
        <f aca="false">IF(AND(Eingabe!$F$16&gt;0,Eingabe!$E$16&gt;=161),"10."&amp;Eingabe!$D$16&amp;".161.10 – 10."&amp;Eingabe!$D$16&amp;".161.250","")</f>
        <v/>
      </c>
      <c r="I1583" s="19" t="str">
        <f aca="false">IF(AND(Eingabe!$F$16&gt;0,Eingabe!$E$16&gt;=161),Eingabe!$B$6&amp;"-"&amp;Eingabe!$C$16&amp;"-Pächter","")</f>
        <v/>
      </c>
      <c r="J1583" s="19" t="str">
        <f aca="false">IF(AND(Eingabe!$F$16&gt;0,Eingabe!$E$16&gt;=161),"PPSK: Passwort Parzelle 161","")</f>
        <v/>
      </c>
      <c r="K1583" s="19" t="str">
        <f aca="false">IF(AND(Eingabe!$F$16&gt;0,Eingabe!$E$16&gt;=161),"1. Gerät: 10."&amp;Eingabe!$D$16&amp;".161.10, 2. Gerät: .11","")</f>
        <v/>
      </c>
    </row>
    <row r="1584" customFormat="false" ht="15" hidden="false" customHeight="false" outlineLevel="0" collapsed="false">
      <c r="A1584" s="19" t="str">
        <f aca="false">IF(AND(Eingabe!$F$16&gt;0,Eingabe!$E$16&gt;=162),8,"")</f>
        <v/>
      </c>
      <c r="B1584" s="19" t="str">
        <f aca="false">IF(AND(Eingabe!$F$16&gt;0,Eingabe!$E$16&gt;=162),Eingabe!$B$16,"")</f>
        <v/>
      </c>
      <c r="C1584" s="19" t="str">
        <f aca="false">IF(AND(Eingabe!$F$16&gt;0,Eingabe!$E$16&gt;=162),Eingabe!$C$16&amp;"-Paz."&amp;TEXT(162,"000"),"")</f>
        <v/>
      </c>
      <c r="D1584" s="19" t="str">
        <f aca="false">IF(AND(Eingabe!$F$16&gt;0,Eingabe!$E$16&gt;=162),162,"")</f>
        <v/>
      </c>
      <c r="E1584" s="19" t="str">
        <f aca="false">IF(AND(Eingabe!$F$16&gt;0,Eingabe!$E$16&gt;=162),IF((Eingabe!$G$16+1)&lt;=9,1000+(Eingabe!$G$16+1)*100,3000)+62,"")</f>
        <v/>
      </c>
      <c r="F1584" s="19" t="str">
        <f aca="false">IF(AND(Eingabe!$F$16&gt;0,Eingabe!$E$16&gt;=162),"10."&amp;Eingabe!$D$16&amp;".162.0/24","")</f>
        <v/>
      </c>
      <c r="G1584" s="19" t="str">
        <f aca="false">IF(AND(Eingabe!$F$16&gt;0,Eingabe!$E$16&gt;=162),"10."&amp;Eingabe!$D$16&amp;".162.1","")</f>
        <v/>
      </c>
      <c r="H1584" s="19" t="str">
        <f aca="false">IF(AND(Eingabe!$F$16&gt;0,Eingabe!$E$16&gt;=162),"10."&amp;Eingabe!$D$16&amp;".162.10 – 10."&amp;Eingabe!$D$16&amp;".162.250","")</f>
        <v/>
      </c>
      <c r="I1584" s="19" t="str">
        <f aca="false">IF(AND(Eingabe!$F$16&gt;0,Eingabe!$E$16&gt;=162),Eingabe!$B$6&amp;"-"&amp;Eingabe!$C$16&amp;"-Pächter","")</f>
        <v/>
      </c>
      <c r="J1584" s="19" t="str">
        <f aca="false">IF(AND(Eingabe!$F$16&gt;0,Eingabe!$E$16&gt;=162),"PPSK: Passwort Parzelle 162","")</f>
        <v/>
      </c>
      <c r="K1584" s="19" t="str">
        <f aca="false">IF(AND(Eingabe!$F$16&gt;0,Eingabe!$E$16&gt;=162),"1. Gerät: 10."&amp;Eingabe!$D$16&amp;".162.10, 2. Gerät: .11","")</f>
        <v/>
      </c>
    </row>
    <row r="1585" customFormat="false" ht="15" hidden="false" customHeight="false" outlineLevel="0" collapsed="false">
      <c r="A1585" s="19" t="str">
        <f aca="false">IF(AND(Eingabe!$F$16&gt;0,Eingabe!$E$16&gt;=163),8,"")</f>
        <v/>
      </c>
      <c r="B1585" s="19" t="str">
        <f aca="false">IF(AND(Eingabe!$F$16&gt;0,Eingabe!$E$16&gt;=163),Eingabe!$B$16,"")</f>
        <v/>
      </c>
      <c r="C1585" s="19" t="str">
        <f aca="false">IF(AND(Eingabe!$F$16&gt;0,Eingabe!$E$16&gt;=163),Eingabe!$C$16&amp;"-Paz."&amp;TEXT(163,"000"),"")</f>
        <v/>
      </c>
      <c r="D1585" s="19" t="str">
        <f aca="false">IF(AND(Eingabe!$F$16&gt;0,Eingabe!$E$16&gt;=163),163,"")</f>
        <v/>
      </c>
      <c r="E1585" s="19" t="str">
        <f aca="false">IF(AND(Eingabe!$F$16&gt;0,Eingabe!$E$16&gt;=163),IF((Eingabe!$G$16+1)&lt;=9,1000+(Eingabe!$G$16+1)*100,3000)+63,"")</f>
        <v/>
      </c>
      <c r="F1585" s="19" t="str">
        <f aca="false">IF(AND(Eingabe!$F$16&gt;0,Eingabe!$E$16&gt;=163),"10."&amp;Eingabe!$D$16&amp;".163.0/24","")</f>
        <v/>
      </c>
      <c r="G1585" s="19" t="str">
        <f aca="false">IF(AND(Eingabe!$F$16&gt;0,Eingabe!$E$16&gt;=163),"10."&amp;Eingabe!$D$16&amp;".163.1","")</f>
        <v/>
      </c>
      <c r="H1585" s="19" t="str">
        <f aca="false">IF(AND(Eingabe!$F$16&gt;0,Eingabe!$E$16&gt;=163),"10."&amp;Eingabe!$D$16&amp;".163.10 – 10."&amp;Eingabe!$D$16&amp;".163.250","")</f>
        <v/>
      </c>
      <c r="I1585" s="19" t="str">
        <f aca="false">IF(AND(Eingabe!$F$16&gt;0,Eingabe!$E$16&gt;=163),Eingabe!$B$6&amp;"-"&amp;Eingabe!$C$16&amp;"-Pächter","")</f>
        <v/>
      </c>
      <c r="J1585" s="19" t="str">
        <f aca="false">IF(AND(Eingabe!$F$16&gt;0,Eingabe!$E$16&gt;=163),"PPSK: Passwort Parzelle 163","")</f>
        <v/>
      </c>
      <c r="K1585" s="19" t="str">
        <f aca="false">IF(AND(Eingabe!$F$16&gt;0,Eingabe!$E$16&gt;=163),"1. Gerät: 10."&amp;Eingabe!$D$16&amp;".163.10, 2. Gerät: .11","")</f>
        <v/>
      </c>
    </row>
    <row r="1586" customFormat="false" ht="15" hidden="false" customHeight="false" outlineLevel="0" collapsed="false">
      <c r="A1586" s="19" t="str">
        <f aca="false">IF(AND(Eingabe!$F$16&gt;0,Eingabe!$E$16&gt;=164),8,"")</f>
        <v/>
      </c>
      <c r="B1586" s="19" t="str">
        <f aca="false">IF(AND(Eingabe!$F$16&gt;0,Eingabe!$E$16&gt;=164),Eingabe!$B$16,"")</f>
        <v/>
      </c>
      <c r="C1586" s="19" t="str">
        <f aca="false">IF(AND(Eingabe!$F$16&gt;0,Eingabe!$E$16&gt;=164),Eingabe!$C$16&amp;"-Paz."&amp;TEXT(164,"000"),"")</f>
        <v/>
      </c>
      <c r="D1586" s="19" t="str">
        <f aca="false">IF(AND(Eingabe!$F$16&gt;0,Eingabe!$E$16&gt;=164),164,"")</f>
        <v/>
      </c>
      <c r="E1586" s="19" t="str">
        <f aca="false">IF(AND(Eingabe!$F$16&gt;0,Eingabe!$E$16&gt;=164),IF((Eingabe!$G$16+1)&lt;=9,1000+(Eingabe!$G$16+1)*100,3000)+64,"")</f>
        <v/>
      </c>
      <c r="F1586" s="19" t="str">
        <f aca="false">IF(AND(Eingabe!$F$16&gt;0,Eingabe!$E$16&gt;=164),"10."&amp;Eingabe!$D$16&amp;".164.0/24","")</f>
        <v/>
      </c>
      <c r="G1586" s="19" t="str">
        <f aca="false">IF(AND(Eingabe!$F$16&gt;0,Eingabe!$E$16&gt;=164),"10."&amp;Eingabe!$D$16&amp;".164.1","")</f>
        <v/>
      </c>
      <c r="H1586" s="19" t="str">
        <f aca="false">IF(AND(Eingabe!$F$16&gt;0,Eingabe!$E$16&gt;=164),"10."&amp;Eingabe!$D$16&amp;".164.10 – 10."&amp;Eingabe!$D$16&amp;".164.250","")</f>
        <v/>
      </c>
      <c r="I1586" s="19" t="str">
        <f aca="false">IF(AND(Eingabe!$F$16&gt;0,Eingabe!$E$16&gt;=164),Eingabe!$B$6&amp;"-"&amp;Eingabe!$C$16&amp;"-Pächter","")</f>
        <v/>
      </c>
      <c r="J1586" s="19" t="str">
        <f aca="false">IF(AND(Eingabe!$F$16&gt;0,Eingabe!$E$16&gt;=164),"PPSK: Passwort Parzelle 164","")</f>
        <v/>
      </c>
      <c r="K1586" s="19" t="str">
        <f aca="false">IF(AND(Eingabe!$F$16&gt;0,Eingabe!$E$16&gt;=164),"1. Gerät: 10."&amp;Eingabe!$D$16&amp;".164.10, 2. Gerät: .11","")</f>
        <v/>
      </c>
    </row>
    <row r="1587" customFormat="false" ht="15" hidden="false" customHeight="false" outlineLevel="0" collapsed="false">
      <c r="A1587" s="19" t="str">
        <f aca="false">IF(AND(Eingabe!$F$16&gt;0,Eingabe!$E$16&gt;=165),8,"")</f>
        <v/>
      </c>
      <c r="B1587" s="19" t="str">
        <f aca="false">IF(AND(Eingabe!$F$16&gt;0,Eingabe!$E$16&gt;=165),Eingabe!$B$16,"")</f>
        <v/>
      </c>
      <c r="C1587" s="19" t="str">
        <f aca="false">IF(AND(Eingabe!$F$16&gt;0,Eingabe!$E$16&gt;=165),Eingabe!$C$16&amp;"-Paz."&amp;TEXT(165,"000"),"")</f>
        <v/>
      </c>
      <c r="D1587" s="19" t="str">
        <f aca="false">IF(AND(Eingabe!$F$16&gt;0,Eingabe!$E$16&gt;=165),165,"")</f>
        <v/>
      </c>
      <c r="E1587" s="19" t="str">
        <f aca="false">IF(AND(Eingabe!$F$16&gt;0,Eingabe!$E$16&gt;=165),IF((Eingabe!$G$16+1)&lt;=9,1000+(Eingabe!$G$16+1)*100,3000)+65,"")</f>
        <v/>
      </c>
      <c r="F1587" s="19" t="str">
        <f aca="false">IF(AND(Eingabe!$F$16&gt;0,Eingabe!$E$16&gt;=165),"10."&amp;Eingabe!$D$16&amp;".165.0/24","")</f>
        <v/>
      </c>
      <c r="G1587" s="19" t="str">
        <f aca="false">IF(AND(Eingabe!$F$16&gt;0,Eingabe!$E$16&gt;=165),"10."&amp;Eingabe!$D$16&amp;".165.1","")</f>
        <v/>
      </c>
      <c r="H1587" s="19" t="str">
        <f aca="false">IF(AND(Eingabe!$F$16&gt;0,Eingabe!$E$16&gt;=165),"10."&amp;Eingabe!$D$16&amp;".165.10 – 10."&amp;Eingabe!$D$16&amp;".165.250","")</f>
        <v/>
      </c>
      <c r="I1587" s="19" t="str">
        <f aca="false">IF(AND(Eingabe!$F$16&gt;0,Eingabe!$E$16&gt;=165),Eingabe!$B$6&amp;"-"&amp;Eingabe!$C$16&amp;"-Pächter","")</f>
        <v/>
      </c>
      <c r="J1587" s="19" t="str">
        <f aca="false">IF(AND(Eingabe!$F$16&gt;0,Eingabe!$E$16&gt;=165),"PPSK: Passwort Parzelle 165","")</f>
        <v/>
      </c>
      <c r="K1587" s="19" t="str">
        <f aca="false">IF(AND(Eingabe!$F$16&gt;0,Eingabe!$E$16&gt;=165),"1. Gerät: 10."&amp;Eingabe!$D$16&amp;".165.10, 2. Gerät: .11","")</f>
        <v/>
      </c>
    </row>
    <row r="1588" customFormat="false" ht="15" hidden="false" customHeight="false" outlineLevel="0" collapsed="false">
      <c r="A1588" s="19" t="str">
        <f aca="false">IF(AND(Eingabe!$F$16&gt;0,Eingabe!$E$16&gt;=166),8,"")</f>
        <v/>
      </c>
      <c r="B1588" s="19" t="str">
        <f aca="false">IF(AND(Eingabe!$F$16&gt;0,Eingabe!$E$16&gt;=166),Eingabe!$B$16,"")</f>
        <v/>
      </c>
      <c r="C1588" s="19" t="str">
        <f aca="false">IF(AND(Eingabe!$F$16&gt;0,Eingabe!$E$16&gt;=166),Eingabe!$C$16&amp;"-Paz."&amp;TEXT(166,"000"),"")</f>
        <v/>
      </c>
      <c r="D1588" s="19" t="str">
        <f aca="false">IF(AND(Eingabe!$F$16&gt;0,Eingabe!$E$16&gt;=166),166,"")</f>
        <v/>
      </c>
      <c r="E1588" s="19" t="str">
        <f aca="false">IF(AND(Eingabe!$F$16&gt;0,Eingabe!$E$16&gt;=166),IF((Eingabe!$G$16+1)&lt;=9,1000+(Eingabe!$G$16+1)*100,3000)+66,"")</f>
        <v/>
      </c>
      <c r="F1588" s="19" t="str">
        <f aca="false">IF(AND(Eingabe!$F$16&gt;0,Eingabe!$E$16&gt;=166),"10."&amp;Eingabe!$D$16&amp;".166.0/24","")</f>
        <v/>
      </c>
      <c r="G1588" s="19" t="str">
        <f aca="false">IF(AND(Eingabe!$F$16&gt;0,Eingabe!$E$16&gt;=166),"10."&amp;Eingabe!$D$16&amp;".166.1","")</f>
        <v/>
      </c>
      <c r="H1588" s="19" t="str">
        <f aca="false">IF(AND(Eingabe!$F$16&gt;0,Eingabe!$E$16&gt;=166),"10."&amp;Eingabe!$D$16&amp;".166.10 – 10."&amp;Eingabe!$D$16&amp;".166.250","")</f>
        <v/>
      </c>
      <c r="I1588" s="19" t="str">
        <f aca="false">IF(AND(Eingabe!$F$16&gt;0,Eingabe!$E$16&gt;=166),Eingabe!$B$6&amp;"-"&amp;Eingabe!$C$16&amp;"-Pächter","")</f>
        <v/>
      </c>
      <c r="J1588" s="19" t="str">
        <f aca="false">IF(AND(Eingabe!$F$16&gt;0,Eingabe!$E$16&gt;=166),"PPSK: Passwort Parzelle 166","")</f>
        <v/>
      </c>
      <c r="K1588" s="19" t="str">
        <f aca="false">IF(AND(Eingabe!$F$16&gt;0,Eingabe!$E$16&gt;=166),"1. Gerät: 10."&amp;Eingabe!$D$16&amp;".166.10, 2. Gerät: .11","")</f>
        <v/>
      </c>
    </row>
    <row r="1589" customFormat="false" ht="15" hidden="false" customHeight="false" outlineLevel="0" collapsed="false">
      <c r="A1589" s="19" t="str">
        <f aca="false">IF(AND(Eingabe!$F$16&gt;0,Eingabe!$E$16&gt;=167),8,"")</f>
        <v/>
      </c>
      <c r="B1589" s="19" t="str">
        <f aca="false">IF(AND(Eingabe!$F$16&gt;0,Eingabe!$E$16&gt;=167),Eingabe!$B$16,"")</f>
        <v/>
      </c>
      <c r="C1589" s="19" t="str">
        <f aca="false">IF(AND(Eingabe!$F$16&gt;0,Eingabe!$E$16&gt;=167),Eingabe!$C$16&amp;"-Paz."&amp;TEXT(167,"000"),"")</f>
        <v/>
      </c>
      <c r="D1589" s="19" t="str">
        <f aca="false">IF(AND(Eingabe!$F$16&gt;0,Eingabe!$E$16&gt;=167),167,"")</f>
        <v/>
      </c>
      <c r="E1589" s="19" t="str">
        <f aca="false">IF(AND(Eingabe!$F$16&gt;0,Eingabe!$E$16&gt;=167),IF((Eingabe!$G$16+1)&lt;=9,1000+(Eingabe!$G$16+1)*100,3000)+67,"")</f>
        <v/>
      </c>
      <c r="F1589" s="19" t="str">
        <f aca="false">IF(AND(Eingabe!$F$16&gt;0,Eingabe!$E$16&gt;=167),"10."&amp;Eingabe!$D$16&amp;".167.0/24","")</f>
        <v/>
      </c>
      <c r="G1589" s="19" t="str">
        <f aca="false">IF(AND(Eingabe!$F$16&gt;0,Eingabe!$E$16&gt;=167),"10."&amp;Eingabe!$D$16&amp;".167.1","")</f>
        <v/>
      </c>
      <c r="H1589" s="19" t="str">
        <f aca="false">IF(AND(Eingabe!$F$16&gt;0,Eingabe!$E$16&gt;=167),"10."&amp;Eingabe!$D$16&amp;".167.10 – 10."&amp;Eingabe!$D$16&amp;".167.250","")</f>
        <v/>
      </c>
      <c r="I1589" s="19" t="str">
        <f aca="false">IF(AND(Eingabe!$F$16&gt;0,Eingabe!$E$16&gt;=167),Eingabe!$B$6&amp;"-"&amp;Eingabe!$C$16&amp;"-Pächter","")</f>
        <v/>
      </c>
      <c r="J1589" s="19" t="str">
        <f aca="false">IF(AND(Eingabe!$F$16&gt;0,Eingabe!$E$16&gt;=167),"PPSK: Passwort Parzelle 167","")</f>
        <v/>
      </c>
      <c r="K1589" s="19" t="str">
        <f aca="false">IF(AND(Eingabe!$F$16&gt;0,Eingabe!$E$16&gt;=167),"1. Gerät: 10."&amp;Eingabe!$D$16&amp;".167.10, 2. Gerät: .11","")</f>
        <v/>
      </c>
    </row>
    <row r="1590" customFormat="false" ht="15" hidden="false" customHeight="false" outlineLevel="0" collapsed="false">
      <c r="A1590" s="19" t="str">
        <f aca="false">IF(AND(Eingabe!$F$16&gt;0,Eingabe!$E$16&gt;=168),8,"")</f>
        <v/>
      </c>
      <c r="B1590" s="19" t="str">
        <f aca="false">IF(AND(Eingabe!$F$16&gt;0,Eingabe!$E$16&gt;=168),Eingabe!$B$16,"")</f>
        <v/>
      </c>
      <c r="C1590" s="19" t="str">
        <f aca="false">IF(AND(Eingabe!$F$16&gt;0,Eingabe!$E$16&gt;=168),Eingabe!$C$16&amp;"-Paz."&amp;TEXT(168,"000"),"")</f>
        <v/>
      </c>
      <c r="D1590" s="19" t="str">
        <f aca="false">IF(AND(Eingabe!$F$16&gt;0,Eingabe!$E$16&gt;=168),168,"")</f>
        <v/>
      </c>
      <c r="E1590" s="19" t="str">
        <f aca="false">IF(AND(Eingabe!$F$16&gt;0,Eingabe!$E$16&gt;=168),IF((Eingabe!$G$16+1)&lt;=9,1000+(Eingabe!$G$16+1)*100,3000)+68,"")</f>
        <v/>
      </c>
      <c r="F1590" s="19" t="str">
        <f aca="false">IF(AND(Eingabe!$F$16&gt;0,Eingabe!$E$16&gt;=168),"10."&amp;Eingabe!$D$16&amp;".168.0/24","")</f>
        <v/>
      </c>
      <c r="G1590" s="19" t="str">
        <f aca="false">IF(AND(Eingabe!$F$16&gt;0,Eingabe!$E$16&gt;=168),"10."&amp;Eingabe!$D$16&amp;".168.1","")</f>
        <v/>
      </c>
      <c r="H1590" s="19" t="str">
        <f aca="false">IF(AND(Eingabe!$F$16&gt;0,Eingabe!$E$16&gt;=168),"10."&amp;Eingabe!$D$16&amp;".168.10 – 10."&amp;Eingabe!$D$16&amp;".168.250","")</f>
        <v/>
      </c>
      <c r="I1590" s="19" t="str">
        <f aca="false">IF(AND(Eingabe!$F$16&gt;0,Eingabe!$E$16&gt;=168),Eingabe!$B$6&amp;"-"&amp;Eingabe!$C$16&amp;"-Pächter","")</f>
        <v/>
      </c>
      <c r="J1590" s="19" t="str">
        <f aca="false">IF(AND(Eingabe!$F$16&gt;0,Eingabe!$E$16&gt;=168),"PPSK: Passwort Parzelle 168","")</f>
        <v/>
      </c>
      <c r="K1590" s="19" t="str">
        <f aca="false">IF(AND(Eingabe!$F$16&gt;0,Eingabe!$E$16&gt;=168),"1. Gerät: 10."&amp;Eingabe!$D$16&amp;".168.10, 2. Gerät: .11","")</f>
        <v/>
      </c>
    </row>
    <row r="1591" customFormat="false" ht="15" hidden="false" customHeight="false" outlineLevel="0" collapsed="false">
      <c r="A1591" s="19" t="str">
        <f aca="false">IF(AND(Eingabe!$F$16&gt;0,Eingabe!$E$16&gt;=169),8,"")</f>
        <v/>
      </c>
      <c r="B1591" s="19" t="str">
        <f aca="false">IF(AND(Eingabe!$F$16&gt;0,Eingabe!$E$16&gt;=169),Eingabe!$B$16,"")</f>
        <v/>
      </c>
      <c r="C1591" s="19" t="str">
        <f aca="false">IF(AND(Eingabe!$F$16&gt;0,Eingabe!$E$16&gt;=169),Eingabe!$C$16&amp;"-Paz."&amp;TEXT(169,"000"),"")</f>
        <v/>
      </c>
      <c r="D1591" s="19" t="str">
        <f aca="false">IF(AND(Eingabe!$F$16&gt;0,Eingabe!$E$16&gt;=169),169,"")</f>
        <v/>
      </c>
      <c r="E1591" s="19" t="str">
        <f aca="false">IF(AND(Eingabe!$F$16&gt;0,Eingabe!$E$16&gt;=169),IF((Eingabe!$G$16+1)&lt;=9,1000+(Eingabe!$G$16+1)*100,3000)+69,"")</f>
        <v/>
      </c>
      <c r="F1591" s="19" t="str">
        <f aca="false">IF(AND(Eingabe!$F$16&gt;0,Eingabe!$E$16&gt;=169),"10."&amp;Eingabe!$D$16&amp;".169.0/24","")</f>
        <v/>
      </c>
      <c r="G1591" s="19" t="str">
        <f aca="false">IF(AND(Eingabe!$F$16&gt;0,Eingabe!$E$16&gt;=169),"10."&amp;Eingabe!$D$16&amp;".169.1","")</f>
        <v/>
      </c>
      <c r="H1591" s="19" t="str">
        <f aca="false">IF(AND(Eingabe!$F$16&gt;0,Eingabe!$E$16&gt;=169),"10."&amp;Eingabe!$D$16&amp;".169.10 – 10."&amp;Eingabe!$D$16&amp;".169.250","")</f>
        <v/>
      </c>
      <c r="I1591" s="19" t="str">
        <f aca="false">IF(AND(Eingabe!$F$16&gt;0,Eingabe!$E$16&gt;=169),Eingabe!$B$6&amp;"-"&amp;Eingabe!$C$16&amp;"-Pächter","")</f>
        <v/>
      </c>
      <c r="J1591" s="19" t="str">
        <f aca="false">IF(AND(Eingabe!$F$16&gt;0,Eingabe!$E$16&gt;=169),"PPSK: Passwort Parzelle 169","")</f>
        <v/>
      </c>
      <c r="K1591" s="19" t="str">
        <f aca="false">IF(AND(Eingabe!$F$16&gt;0,Eingabe!$E$16&gt;=169),"1. Gerät: 10."&amp;Eingabe!$D$16&amp;".169.10, 2. Gerät: .11","")</f>
        <v/>
      </c>
    </row>
    <row r="1592" customFormat="false" ht="15" hidden="false" customHeight="false" outlineLevel="0" collapsed="false">
      <c r="A1592" s="19" t="str">
        <f aca="false">IF(AND(Eingabe!$F$16&gt;0,Eingabe!$E$16&gt;=170),8,"")</f>
        <v/>
      </c>
      <c r="B1592" s="19" t="str">
        <f aca="false">IF(AND(Eingabe!$F$16&gt;0,Eingabe!$E$16&gt;=170),Eingabe!$B$16,"")</f>
        <v/>
      </c>
      <c r="C1592" s="19" t="str">
        <f aca="false">IF(AND(Eingabe!$F$16&gt;0,Eingabe!$E$16&gt;=170),Eingabe!$C$16&amp;"-Paz."&amp;TEXT(170,"000"),"")</f>
        <v/>
      </c>
      <c r="D1592" s="19" t="str">
        <f aca="false">IF(AND(Eingabe!$F$16&gt;0,Eingabe!$E$16&gt;=170),170,"")</f>
        <v/>
      </c>
      <c r="E1592" s="19" t="str">
        <f aca="false">IF(AND(Eingabe!$F$16&gt;0,Eingabe!$E$16&gt;=170),IF((Eingabe!$G$16+1)&lt;=9,1000+(Eingabe!$G$16+1)*100,3000)+70,"")</f>
        <v/>
      </c>
      <c r="F1592" s="19" t="str">
        <f aca="false">IF(AND(Eingabe!$F$16&gt;0,Eingabe!$E$16&gt;=170),"10."&amp;Eingabe!$D$16&amp;".170.0/24","")</f>
        <v/>
      </c>
      <c r="G1592" s="19" t="str">
        <f aca="false">IF(AND(Eingabe!$F$16&gt;0,Eingabe!$E$16&gt;=170),"10."&amp;Eingabe!$D$16&amp;".170.1","")</f>
        <v/>
      </c>
      <c r="H1592" s="19" t="str">
        <f aca="false">IF(AND(Eingabe!$F$16&gt;0,Eingabe!$E$16&gt;=170),"10."&amp;Eingabe!$D$16&amp;".170.10 – 10."&amp;Eingabe!$D$16&amp;".170.250","")</f>
        <v/>
      </c>
      <c r="I1592" s="19" t="str">
        <f aca="false">IF(AND(Eingabe!$F$16&gt;0,Eingabe!$E$16&gt;=170),Eingabe!$B$6&amp;"-"&amp;Eingabe!$C$16&amp;"-Pächter","")</f>
        <v/>
      </c>
      <c r="J1592" s="19" t="str">
        <f aca="false">IF(AND(Eingabe!$F$16&gt;0,Eingabe!$E$16&gt;=170),"PPSK: Passwort Parzelle 170","")</f>
        <v/>
      </c>
      <c r="K1592" s="19" t="str">
        <f aca="false">IF(AND(Eingabe!$F$16&gt;0,Eingabe!$E$16&gt;=170),"1. Gerät: 10."&amp;Eingabe!$D$16&amp;".170.10, 2. Gerät: .11","")</f>
        <v/>
      </c>
    </row>
    <row r="1593" customFormat="false" ht="15" hidden="false" customHeight="false" outlineLevel="0" collapsed="false">
      <c r="A1593" s="19" t="str">
        <f aca="false">IF(AND(Eingabe!$F$16&gt;0,Eingabe!$E$16&gt;=171),8,"")</f>
        <v/>
      </c>
      <c r="B1593" s="19" t="str">
        <f aca="false">IF(AND(Eingabe!$F$16&gt;0,Eingabe!$E$16&gt;=171),Eingabe!$B$16,"")</f>
        <v/>
      </c>
      <c r="C1593" s="19" t="str">
        <f aca="false">IF(AND(Eingabe!$F$16&gt;0,Eingabe!$E$16&gt;=171),Eingabe!$C$16&amp;"-Paz."&amp;TEXT(171,"000"),"")</f>
        <v/>
      </c>
      <c r="D1593" s="19" t="str">
        <f aca="false">IF(AND(Eingabe!$F$16&gt;0,Eingabe!$E$16&gt;=171),171,"")</f>
        <v/>
      </c>
      <c r="E1593" s="19" t="str">
        <f aca="false">IF(AND(Eingabe!$F$16&gt;0,Eingabe!$E$16&gt;=171),IF((Eingabe!$G$16+1)&lt;=9,1000+(Eingabe!$G$16+1)*100,3000)+71,"")</f>
        <v/>
      </c>
      <c r="F1593" s="19" t="str">
        <f aca="false">IF(AND(Eingabe!$F$16&gt;0,Eingabe!$E$16&gt;=171),"10."&amp;Eingabe!$D$16&amp;".171.0/24","")</f>
        <v/>
      </c>
      <c r="G1593" s="19" t="str">
        <f aca="false">IF(AND(Eingabe!$F$16&gt;0,Eingabe!$E$16&gt;=171),"10."&amp;Eingabe!$D$16&amp;".171.1","")</f>
        <v/>
      </c>
      <c r="H1593" s="19" t="str">
        <f aca="false">IF(AND(Eingabe!$F$16&gt;0,Eingabe!$E$16&gt;=171),"10."&amp;Eingabe!$D$16&amp;".171.10 – 10."&amp;Eingabe!$D$16&amp;".171.250","")</f>
        <v/>
      </c>
      <c r="I1593" s="19" t="str">
        <f aca="false">IF(AND(Eingabe!$F$16&gt;0,Eingabe!$E$16&gt;=171),Eingabe!$B$6&amp;"-"&amp;Eingabe!$C$16&amp;"-Pächter","")</f>
        <v/>
      </c>
      <c r="J1593" s="19" t="str">
        <f aca="false">IF(AND(Eingabe!$F$16&gt;0,Eingabe!$E$16&gt;=171),"PPSK: Passwort Parzelle 171","")</f>
        <v/>
      </c>
      <c r="K1593" s="19" t="str">
        <f aca="false">IF(AND(Eingabe!$F$16&gt;0,Eingabe!$E$16&gt;=171),"1. Gerät: 10."&amp;Eingabe!$D$16&amp;".171.10, 2. Gerät: .11","")</f>
        <v/>
      </c>
    </row>
    <row r="1594" customFormat="false" ht="15" hidden="false" customHeight="false" outlineLevel="0" collapsed="false">
      <c r="A1594" s="19" t="str">
        <f aca="false">IF(AND(Eingabe!$F$16&gt;0,Eingabe!$E$16&gt;=172),8,"")</f>
        <v/>
      </c>
      <c r="B1594" s="19" t="str">
        <f aca="false">IF(AND(Eingabe!$F$16&gt;0,Eingabe!$E$16&gt;=172),Eingabe!$B$16,"")</f>
        <v/>
      </c>
      <c r="C1594" s="19" t="str">
        <f aca="false">IF(AND(Eingabe!$F$16&gt;0,Eingabe!$E$16&gt;=172),Eingabe!$C$16&amp;"-Paz."&amp;TEXT(172,"000"),"")</f>
        <v/>
      </c>
      <c r="D1594" s="19" t="str">
        <f aca="false">IF(AND(Eingabe!$F$16&gt;0,Eingabe!$E$16&gt;=172),172,"")</f>
        <v/>
      </c>
      <c r="E1594" s="19" t="str">
        <f aca="false">IF(AND(Eingabe!$F$16&gt;0,Eingabe!$E$16&gt;=172),IF((Eingabe!$G$16+1)&lt;=9,1000+(Eingabe!$G$16+1)*100,3000)+72,"")</f>
        <v/>
      </c>
      <c r="F1594" s="19" t="str">
        <f aca="false">IF(AND(Eingabe!$F$16&gt;0,Eingabe!$E$16&gt;=172),"10."&amp;Eingabe!$D$16&amp;".172.0/24","")</f>
        <v/>
      </c>
      <c r="G1594" s="19" t="str">
        <f aca="false">IF(AND(Eingabe!$F$16&gt;0,Eingabe!$E$16&gt;=172),"10."&amp;Eingabe!$D$16&amp;".172.1","")</f>
        <v/>
      </c>
      <c r="H1594" s="19" t="str">
        <f aca="false">IF(AND(Eingabe!$F$16&gt;0,Eingabe!$E$16&gt;=172),"10."&amp;Eingabe!$D$16&amp;".172.10 – 10."&amp;Eingabe!$D$16&amp;".172.250","")</f>
        <v/>
      </c>
      <c r="I1594" s="19" t="str">
        <f aca="false">IF(AND(Eingabe!$F$16&gt;0,Eingabe!$E$16&gt;=172),Eingabe!$B$6&amp;"-"&amp;Eingabe!$C$16&amp;"-Pächter","")</f>
        <v/>
      </c>
      <c r="J1594" s="19" t="str">
        <f aca="false">IF(AND(Eingabe!$F$16&gt;0,Eingabe!$E$16&gt;=172),"PPSK: Passwort Parzelle 172","")</f>
        <v/>
      </c>
      <c r="K1594" s="19" t="str">
        <f aca="false">IF(AND(Eingabe!$F$16&gt;0,Eingabe!$E$16&gt;=172),"1. Gerät: 10."&amp;Eingabe!$D$16&amp;".172.10, 2. Gerät: .11","")</f>
        <v/>
      </c>
    </row>
    <row r="1595" customFormat="false" ht="15" hidden="false" customHeight="false" outlineLevel="0" collapsed="false">
      <c r="A1595" s="19" t="str">
        <f aca="false">IF(AND(Eingabe!$F$16&gt;0,Eingabe!$E$16&gt;=173),8,"")</f>
        <v/>
      </c>
      <c r="B1595" s="19" t="str">
        <f aca="false">IF(AND(Eingabe!$F$16&gt;0,Eingabe!$E$16&gt;=173),Eingabe!$B$16,"")</f>
        <v/>
      </c>
      <c r="C1595" s="19" t="str">
        <f aca="false">IF(AND(Eingabe!$F$16&gt;0,Eingabe!$E$16&gt;=173),Eingabe!$C$16&amp;"-Paz."&amp;TEXT(173,"000"),"")</f>
        <v/>
      </c>
      <c r="D1595" s="19" t="str">
        <f aca="false">IF(AND(Eingabe!$F$16&gt;0,Eingabe!$E$16&gt;=173),173,"")</f>
        <v/>
      </c>
      <c r="E1595" s="19" t="str">
        <f aca="false">IF(AND(Eingabe!$F$16&gt;0,Eingabe!$E$16&gt;=173),IF((Eingabe!$G$16+1)&lt;=9,1000+(Eingabe!$G$16+1)*100,3000)+73,"")</f>
        <v/>
      </c>
      <c r="F1595" s="19" t="str">
        <f aca="false">IF(AND(Eingabe!$F$16&gt;0,Eingabe!$E$16&gt;=173),"10."&amp;Eingabe!$D$16&amp;".173.0/24","")</f>
        <v/>
      </c>
      <c r="G1595" s="19" t="str">
        <f aca="false">IF(AND(Eingabe!$F$16&gt;0,Eingabe!$E$16&gt;=173),"10."&amp;Eingabe!$D$16&amp;".173.1","")</f>
        <v/>
      </c>
      <c r="H1595" s="19" t="str">
        <f aca="false">IF(AND(Eingabe!$F$16&gt;0,Eingabe!$E$16&gt;=173),"10."&amp;Eingabe!$D$16&amp;".173.10 – 10."&amp;Eingabe!$D$16&amp;".173.250","")</f>
        <v/>
      </c>
      <c r="I1595" s="19" t="str">
        <f aca="false">IF(AND(Eingabe!$F$16&gt;0,Eingabe!$E$16&gt;=173),Eingabe!$B$6&amp;"-"&amp;Eingabe!$C$16&amp;"-Pächter","")</f>
        <v/>
      </c>
      <c r="J1595" s="19" t="str">
        <f aca="false">IF(AND(Eingabe!$F$16&gt;0,Eingabe!$E$16&gt;=173),"PPSK: Passwort Parzelle 173","")</f>
        <v/>
      </c>
      <c r="K1595" s="19" t="str">
        <f aca="false">IF(AND(Eingabe!$F$16&gt;0,Eingabe!$E$16&gt;=173),"1. Gerät: 10."&amp;Eingabe!$D$16&amp;".173.10, 2. Gerät: .11","")</f>
        <v/>
      </c>
    </row>
    <row r="1596" customFormat="false" ht="15" hidden="false" customHeight="false" outlineLevel="0" collapsed="false">
      <c r="A1596" s="19" t="str">
        <f aca="false">IF(AND(Eingabe!$F$16&gt;0,Eingabe!$E$16&gt;=174),8,"")</f>
        <v/>
      </c>
      <c r="B1596" s="19" t="str">
        <f aca="false">IF(AND(Eingabe!$F$16&gt;0,Eingabe!$E$16&gt;=174),Eingabe!$B$16,"")</f>
        <v/>
      </c>
      <c r="C1596" s="19" t="str">
        <f aca="false">IF(AND(Eingabe!$F$16&gt;0,Eingabe!$E$16&gt;=174),Eingabe!$C$16&amp;"-Paz."&amp;TEXT(174,"000"),"")</f>
        <v/>
      </c>
      <c r="D1596" s="19" t="str">
        <f aca="false">IF(AND(Eingabe!$F$16&gt;0,Eingabe!$E$16&gt;=174),174,"")</f>
        <v/>
      </c>
      <c r="E1596" s="19" t="str">
        <f aca="false">IF(AND(Eingabe!$F$16&gt;0,Eingabe!$E$16&gt;=174),IF((Eingabe!$G$16+1)&lt;=9,1000+(Eingabe!$G$16+1)*100,3000)+74,"")</f>
        <v/>
      </c>
      <c r="F1596" s="19" t="str">
        <f aca="false">IF(AND(Eingabe!$F$16&gt;0,Eingabe!$E$16&gt;=174),"10."&amp;Eingabe!$D$16&amp;".174.0/24","")</f>
        <v/>
      </c>
      <c r="G1596" s="19" t="str">
        <f aca="false">IF(AND(Eingabe!$F$16&gt;0,Eingabe!$E$16&gt;=174),"10."&amp;Eingabe!$D$16&amp;".174.1","")</f>
        <v/>
      </c>
      <c r="H1596" s="19" t="str">
        <f aca="false">IF(AND(Eingabe!$F$16&gt;0,Eingabe!$E$16&gt;=174),"10."&amp;Eingabe!$D$16&amp;".174.10 – 10."&amp;Eingabe!$D$16&amp;".174.250","")</f>
        <v/>
      </c>
      <c r="I1596" s="19" t="str">
        <f aca="false">IF(AND(Eingabe!$F$16&gt;0,Eingabe!$E$16&gt;=174),Eingabe!$B$6&amp;"-"&amp;Eingabe!$C$16&amp;"-Pächter","")</f>
        <v/>
      </c>
      <c r="J1596" s="19" t="str">
        <f aca="false">IF(AND(Eingabe!$F$16&gt;0,Eingabe!$E$16&gt;=174),"PPSK: Passwort Parzelle 174","")</f>
        <v/>
      </c>
      <c r="K1596" s="19" t="str">
        <f aca="false">IF(AND(Eingabe!$F$16&gt;0,Eingabe!$E$16&gt;=174),"1. Gerät: 10."&amp;Eingabe!$D$16&amp;".174.10, 2. Gerät: .11","")</f>
        <v/>
      </c>
    </row>
    <row r="1597" customFormat="false" ht="15" hidden="false" customHeight="false" outlineLevel="0" collapsed="false">
      <c r="A1597" s="19" t="str">
        <f aca="false">IF(AND(Eingabe!$F$16&gt;0,Eingabe!$E$16&gt;=175),8,"")</f>
        <v/>
      </c>
      <c r="B1597" s="19" t="str">
        <f aca="false">IF(AND(Eingabe!$F$16&gt;0,Eingabe!$E$16&gt;=175),Eingabe!$B$16,"")</f>
        <v/>
      </c>
      <c r="C1597" s="19" t="str">
        <f aca="false">IF(AND(Eingabe!$F$16&gt;0,Eingabe!$E$16&gt;=175),Eingabe!$C$16&amp;"-Paz."&amp;TEXT(175,"000"),"")</f>
        <v/>
      </c>
      <c r="D1597" s="19" t="str">
        <f aca="false">IF(AND(Eingabe!$F$16&gt;0,Eingabe!$E$16&gt;=175),175,"")</f>
        <v/>
      </c>
      <c r="E1597" s="19" t="str">
        <f aca="false">IF(AND(Eingabe!$F$16&gt;0,Eingabe!$E$16&gt;=175),IF((Eingabe!$G$16+1)&lt;=9,1000+(Eingabe!$G$16+1)*100,3000)+75,"")</f>
        <v/>
      </c>
      <c r="F1597" s="19" t="str">
        <f aca="false">IF(AND(Eingabe!$F$16&gt;0,Eingabe!$E$16&gt;=175),"10."&amp;Eingabe!$D$16&amp;".175.0/24","")</f>
        <v/>
      </c>
      <c r="G1597" s="19" t="str">
        <f aca="false">IF(AND(Eingabe!$F$16&gt;0,Eingabe!$E$16&gt;=175),"10."&amp;Eingabe!$D$16&amp;".175.1","")</f>
        <v/>
      </c>
      <c r="H1597" s="19" t="str">
        <f aca="false">IF(AND(Eingabe!$F$16&gt;0,Eingabe!$E$16&gt;=175),"10."&amp;Eingabe!$D$16&amp;".175.10 – 10."&amp;Eingabe!$D$16&amp;".175.250","")</f>
        <v/>
      </c>
      <c r="I1597" s="19" t="str">
        <f aca="false">IF(AND(Eingabe!$F$16&gt;0,Eingabe!$E$16&gt;=175),Eingabe!$B$6&amp;"-"&amp;Eingabe!$C$16&amp;"-Pächter","")</f>
        <v/>
      </c>
      <c r="J1597" s="19" t="str">
        <f aca="false">IF(AND(Eingabe!$F$16&gt;0,Eingabe!$E$16&gt;=175),"PPSK: Passwort Parzelle 175","")</f>
        <v/>
      </c>
      <c r="K1597" s="19" t="str">
        <f aca="false">IF(AND(Eingabe!$F$16&gt;0,Eingabe!$E$16&gt;=175),"1. Gerät: 10."&amp;Eingabe!$D$16&amp;".175.10, 2. Gerät: .11","")</f>
        <v/>
      </c>
    </row>
    <row r="1598" customFormat="false" ht="15" hidden="false" customHeight="false" outlineLevel="0" collapsed="false">
      <c r="A1598" s="19" t="str">
        <f aca="false">IF(AND(Eingabe!$F$16&gt;0,Eingabe!$E$16&gt;=176),8,"")</f>
        <v/>
      </c>
      <c r="B1598" s="19" t="str">
        <f aca="false">IF(AND(Eingabe!$F$16&gt;0,Eingabe!$E$16&gt;=176),Eingabe!$B$16,"")</f>
        <v/>
      </c>
      <c r="C1598" s="19" t="str">
        <f aca="false">IF(AND(Eingabe!$F$16&gt;0,Eingabe!$E$16&gt;=176),Eingabe!$C$16&amp;"-Paz."&amp;TEXT(176,"000"),"")</f>
        <v/>
      </c>
      <c r="D1598" s="19" t="str">
        <f aca="false">IF(AND(Eingabe!$F$16&gt;0,Eingabe!$E$16&gt;=176),176,"")</f>
        <v/>
      </c>
      <c r="E1598" s="19" t="str">
        <f aca="false">IF(AND(Eingabe!$F$16&gt;0,Eingabe!$E$16&gt;=176),IF((Eingabe!$G$16+1)&lt;=9,1000+(Eingabe!$G$16+1)*100,3000)+76,"")</f>
        <v/>
      </c>
      <c r="F1598" s="19" t="str">
        <f aca="false">IF(AND(Eingabe!$F$16&gt;0,Eingabe!$E$16&gt;=176),"10."&amp;Eingabe!$D$16&amp;".176.0/24","")</f>
        <v/>
      </c>
      <c r="G1598" s="19" t="str">
        <f aca="false">IF(AND(Eingabe!$F$16&gt;0,Eingabe!$E$16&gt;=176),"10."&amp;Eingabe!$D$16&amp;".176.1","")</f>
        <v/>
      </c>
      <c r="H1598" s="19" t="str">
        <f aca="false">IF(AND(Eingabe!$F$16&gt;0,Eingabe!$E$16&gt;=176),"10."&amp;Eingabe!$D$16&amp;".176.10 – 10."&amp;Eingabe!$D$16&amp;".176.250","")</f>
        <v/>
      </c>
      <c r="I1598" s="19" t="str">
        <f aca="false">IF(AND(Eingabe!$F$16&gt;0,Eingabe!$E$16&gt;=176),Eingabe!$B$6&amp;"-"&amp;Eingabe!$C$16&amp;"-Pächter","")</f>
        <v/>
      </c>
      <c r="J1598" s="19" t="str">
        <f aca="false">IF(AND(Eingabe!$F$16&gt;0,Eingabe!$E$16&gt;=176),"PPSK: Passwort Parzelle 176","")</f>
        <v/>
      </c>
      <c r="K1598" s="19" t="str">
        <f aca="false">IF(AND(Eingabe!$F$16&gt;0,Eingabe!$E$16&gt;=176),"1. Gerät: 10."&amp;Eingabe!$D$16&amp;".176.10, 2. Gerät: .11","")</f>
        <v/>
      </c>
    </row>
    <row r="1599" customFormat="false" ht="15" hidden="false" customHeight="false" outlineLevel="0" collapsed="false">
      <c r="A1599" s="19" t="str">
        <f aca="false">IF(AND(Eingabe!$F$16&gt;0,Eingabe!$E$16&gt;=177),8,"")</f>
        <v/>
      </c>
      <c r="B1599" s="19" t="str">
        <f aca="false">IF(AND(Eingabe!$F$16&gt;0,Eingabe!$E$16&gt;=177),Eingabe!$B$16,"")</f>
        <v/>
      </c>
      <c r="C1599" s="19" t="str">
        <f aca="false">IF(AND(Eingabe!$F$16&gt;0,Eingabe!$E$16&gt;=177),Eingabe!$C$16&amp;"-Paz."&amp;TEXT(177,"000"),"")</f>
        <v/>
      </c>
      <c r="D1599" s="19" t="str">
        <f aca="false">IF(AND(Eingabe!$F$16&gt;0,Eingabe!$E$16&gt;=177),177,"")</f>
        <v/>
      </c>
      <c r="E1599" s="19" t="str">
        <f aca="false">IF(AND(Eingabe!$F$16&gt;0,Eingabe!$E$16&gt;=177),IF((Eingabe!$G$16+1)&lt;=9,1000+(Eingabe!$G$16+1)*100,3000)+77,"")</f>
        <v/>
      </c>
      <c r="F1599" s="19" t="str">
        <f aca="false">IF(AND(Eingabe!$F$16&gt;0,Eingabe!$E$16&gt;=177),"10."&amp;Eingabe!$D$16&amp;".177.0/24","")</f>
        <v/>
      </c>
      <c r="G1599" s="19" t="str">
        <f aca="false">IF(AND(Eingabe!$F$16&gt;0,Eingabe!$E$16&gt;=177),"10."&amp;Eingabe!$D$16&amp;".177.1","")</f>
        <v/>
      </c>
      <c r="H1599" s="19" t="str">
        <f aca="false">IF(AND(Eingabe!$F$16&gt;0,Eingabe!$E$16&gt;=177),"10."&amp;Eingabe!$D$16&amp;".177.10 – 10."&amp;Eingabe!$D$16&amp;".177.250","")</f>
        <v/>
      </c>
      <c r="I1599" s="19" t="str">
        <f aca="false">IF(AND(Eingabe!$F$16&gt;0,Eingabe!$E$16&gt;=177),Eingabe!$B$6&amp;"-"&amp;Eingabe!$C$16&amp;"-Pächter","")</f>
        <v/>
      </c>
      <c r="J1599" s="19" t="str">
        <f aca="false">IF(AND(Eingabe!$F$16&gt;0,Eingabe!$E$16&gt;=177),"PPSK: Passwort Parzelle 177","")</f>
        <v/>
      </c>
      <c r="K1599" s="19" t="str">
        <f aca="false">IF(AND(Eingabe!$F$16&gt;0,Eingabe!$E$16&gt;=177),"1. Gerät: 10."&amp;Eingabe!$D$16&amp;".177.10, 2. Gerät: .11","")</f>
        <v/>
      </c>
    </row>
    <row r="1600" customFormat="false" ht="15" hidden="false" customHeight="false" outlineLevel="0" collapsed="false">
      <c r="A1600" s="19" t="str">
        <f aca="false">IF(AND(Eingabe!$F$16&gt;0,Eingabe!$E$16&gt;=178),8,"")</f>
        <v/>
      </c>
      <c r="B1600" s="19" t="str">
        <f aca="false">IF(AND(Eingabe!$F$16&gt;0,Eingabe!$E$16&gt;=178),Eingabe!$B$16,"")</f>
        <v/>
      </c>
      <c r="C1600" s="19" t="str">
        <f aca="false">IF(AND(Eingabe!$F$16&gt;0,Eingabe!$E$16&gt;=178),Eingabe!$C$16&amp;"-Paz."&amp;TEXT(178,"000"),"")</f>
        <v/>
      </c>
      <c r="D1600" s="19" t="str">
        <f aca="false">IF(AND(Eingabe!$F$16&gt;0,Eingabe!$E$16&gt;=178),178,"")</f>
        <v/>
      </c>
      <c r="E1600" s="19" t="str">
        <f aca="false">IF(AND(Eingabe!$F$16&gt;0,Eingabe!$E$16&gt;=178),IF((Eingabe!$G$16+1)&lt;=9,1000+(Eingabe!$G$16+1)*100,3000)+78,"")</f>
        <v/>
      </c>
      <c r="F1600" s="19" t="str">
        <f aca="false">IF(AND(Eingabe!$F$16&gt;0,Eingabe!$E$16&gt;=178),"10."&amp;Eingabe!$D$16&amp;".178.0/24","")</f>
        <v/>
      </c>
      <c r="G1600" s="19" t="str">
        <f aca="false">IF(AND(Eingabe!$F$16&gt;0,Eingabe!$E$16&gt;=178),"10."&amp;Eingabe!$D$16&amp;".178.1","")</f>
        <v/>
      </c>
      <c r="H1600" s="19" t="str">
        <f aca="false">IF(AND(Eingabe!$F$16&gt;0,Eingabe!$E$16&gt;=178),"10."&amp;Eingabe!$D$16&amp;".178.10 – 10."&amp;Eingabe!$D$16&amp;".178.250","")</f>
        <v/>
      </c>
      <c r="I1600" s="19" t="str">
        <f aca="false">IF(AND(Eingabe!$F$16&gt;0,Eingabe!$E$16&gt;=178),Eingabe!$B$6&amp;"-"&amp;Eingabe!$C$16&amp;"-Pächter","")</f>
        <v/>
      </c>
      <c r="J1600" s="19" t="str">
        <f aca="false">IF(AND(Eingabe!$F$16&gt;0,Eingabe!$E$16&gt;=178),"PPSK: Passwort Parzelle 178","")</f>
        <v/>
      </c>
      <c r="K1600" s="19" t="str">
        <f aca="false">IF(AND(Eingabe!$F$16&gt;0,Eingabe!$E$16&gt;=178),"1. Gerät: 10."&amp;Eingabe!$D$16&amp;".178.10, 2. Gerät: .11","")</f>
        <v/>
      </c>
    </row>
    <row r="1601" customFormat="false" ht="15" hidden="false" customHeight="false" outlineLevel="0" collapsed="false">
      <c r="A1601" s="19" t="str">
        <f aca="false">IF(AND(Eingabe!$F$16&gt;0,Eingabe!$E$16&gt;=179),8,"")</f>
        <v/>
      </c>
      <c r="B1601" s="19" t="str">
        <f aca="false">IF(AND(Eingabe!$F$16&gt;0,Eingabe!$E$16&gt;=179),Eingabe!$B$16,"")</f>
        <v/>
      </c>
      <c r="C1601" s="19" t="str">
        <f aca="false">IF(AND(Eingabe!$F$16&gt;0,Eingabe!$E$16&gt;=179),Eingabe!$C$16&amp;"-Paz."&amp;TEXT(179,"000"),"")</f>
        <v/>
      </c>
      <c r="D1601" s="19" t="str">
        <f aca="false">IF(AND(Eingabe!$F$16&gt;0,Eingabe!$E$16&gt;=179),179,"")</f>
        <v/>
      </c>
      <c r="E1601" s="19" t="str">
        <f aca="false">IF(AND(Eingabe!$F$16&gt;0,Eingabe!$E$16&gt;=179),IF((Eingabe!$G$16+1)&lt;=9,1000+(Eingabe!$G$16+1)*100,3000)+79,"")</f>
        <v/>
      </c>
      <c r="F1601" s="19" t="str">
        <f aca="false">IF(AND(Eingabe!$F$16&gt;0,Eingabe!$E$16&gt;=179),"10."&amp;Eingabe!$D$16&amp;".179.0/24","")</f>
        <v/>
      </c>
      <c r="G1601" s="19" t="str">
        <f aca="false">IF(AND(Eingabe!$F$16&gt;0,Eingabe!$E$16&gt;=179),"10."&amp;Eingabe!$D$16&amp;".179.1","")</f>
        <v/>
      </c>
      <c r="H1601" s="19" t="str">
        <f aca="false">IF(AND(Eingabe!$F$16&gt;0,Eingabe!$E$16&gt;=179),"10."&amp;Eingabe!$D$16&amp;".179.10 – 10."&amp;Eingabe!$D$16&amp;".179.250","")</f>
        <v/>
      </c>
      <c r="I1601" s="19" t="str">
        <f aca="false">IF(AND(Eingabe!$F$16&gt;0,Eingabe!$E$16&gt;=179),Eingabe!$B$6&amp;"-"&amp;Eingabe!$C$16&amp;"-Pächter","")</f>
        <v/>
      </c>
      <c r="J1601" s="19" t="str">
        <f aca="false">IF(AND(Eingabe!$F$16&gt;0,Eingabe!$E$16&gt;=179),"PPSK: Passwort Parzelle 179","")</f>
        <v/>
      </c>
      <c r="K1601" s="19" t="str">
        <f aca="false">IF(AND(Eingabe!$F$16&gt;0,Eingabe!$E$16&gt;=179),"1. Gerät: 10."&amp;Eingabe!$D$16&amp;".179.10, 2. Gerät: .11","")</f>
        <v/>
      </c>
    </row>
    <row r="1602" customFormat="false" ht="15" hidden="false" customHeight="false" outlineLevel="0" collapsed="false">
      <c r="A1602" s="19" t="str">
        <f aca="false">IF(AND(Eingabe!$F$16&gt;0,Eingabe!$E$16&gt;=180),8,"")</f>
        <v/>
      </c>
      <c r="B1602" s="19" t="str">
        <f aca="false">IF(AND(Eingabe!$F$16&gt;0,Eingabe!$E$16&gt;=180),Eingabe!$B$16,"")</f>
        <v/>
      </c>
      <c r="C1602" s="19" t="str">
        <f aca="false">IF(AND(Eingabe!$F$16&gt;0,Eingabe!$E$16&gt;=180),Eingabe!$C$16&amp;"-Paz."&amp;TEXT(180,"000"),"")</f>
        <v/>
      </c>
      <c r="D1602" s="19" t="str">
        <f aca="false">IF(AND(Eingabe!$F$16&gt;0,Eingabe!$E$16&gt;=180),180,"")</f>
        <v/>
      </c>
      <c r="E1602" s="19" t="str">
        <f aca="false">IF(AND(Eingabe!$F$16&gt;0,Eingabe!$E$16&gt;=180),IF((Eingabe!$G$16+1)&lt;=9,1000+(Eingabe!$G$16+1)*100,3000)+80,"")</f>
        <v/>
      </c>
      <c r="F1602" s="19" t="str">
        <f aca="false">IF(AND(Eingabe!$F$16&gt;0,Eingabe!$E$16&gt;=180),"10."&amp;Eingabe!$D$16&amp;".180.0/24","")</f>
        <v/>
      </c>
      <c r="G1602" s="19" t="str">
        <f aca="false">IF(AND(Eingabe!$F$16&gt;0,Eingabe!$E$16&gt;=180),"10."&amp;Eingabe!$D$16&amp;".180.1","")</f>
        <v/>
      </c>
      <c r="H1602" s="19" t="str">
        <f aca="false">IF(AND(Eingabe!$F$16&gt;0,Eingabe!$E$16&gt;=180),"10."&amp;Eingabe!$D$16&amp;".180.10 – 10."&amp;Eingabe!$D$16&amp;".180.250","")</f>
        <v/>
      </c>
      <c r="I1602" s="19" t="str">
        <f aca="false">IF(AND(Eingabe!$F$16&gt;0,Eingabe!$E$16&gt;=180),Eingabe!$B$6&amp;"-"&amp;Eingabe!$C$16&amp;"-Pächter","")</f>
        <v/>
      </c>
      <c r="J1602" s="19" t="str">
        <f aca="false">IF(AND(Eingabe!$F$16&gt;0,Eingabe!$E$16&gt;=180),"PPSK: Passwort Parzelle 180","")</f>
        <v/>
      </c>
      <c r="K1602" s="19" t="str">
        <f aca="false">IF(AND(Eingabe!$F$16&gt;0,Eingabe!$E$16&gt;=180),"1. Gerät: 10."&amp;Eingabe!$D$16&amp;".180.10, 2. Gerät: .11","")</f>
        <v/>
      </c>
    </row>
    <row r="1603" customFormat="false" ht="15" hidden="false" customHeight="false" outlineLevel="0" collapsed="false">
      <c r="A1603" s="19" t="str">
        <f aca="false">IF(AND(Eingabe!$F$16&gt;0,Eingabe!$E$16&gt;=181),8,"")</f>
        <v/>
      </c>
      <c r="B1603" s="19" t="str">
        <f aca="false">IF(AND(Eingabe!$F$16&gt;0,Eingabe!$E$16&gt;=181),Eingabe!$B$16,"")</f>
        <v/>
      </c>
      <c r="C1603" s="19" t="str">
        <f aca="false">IF(AND(Eingabe!$F$16&gt;0,Eingabe!$E$16&gt;=181),Eingabe!$C$16&amp;"-Paz."&amp;TEXT(181,"000"),"")</f>
        <v/>
      </c>
      <c r="D1603" s="19" t="str">
        <f aca="false">IF(AND(Eingabe!$F$16&gt;0,Eingabe!$E$16&gt;=181),181,"")</f>
        <v/>
      </c>
      <c r="E1603" s="19" t="str">
        <f aca="false">IF(AND(Eingabe!$F$16&gt;0,Eingabe!$E$16&gt;=181),IF((Eingabe!$G$16+1)&lt;=9,1000+(Eingabe!$G$16+1)*100,3000)+81,"")</f>
        <v/>
      </c>
      <c r="F1603" s="19" t="str">
        <f aca="false">IF(AND(Eingabe!$F$16&gt;0,Eingabe!$E$16&gt;=181),"10."&amp;Eingabe!$D$16&amp;".181.0/24","")</f>
        <v/>
      </c>
      <c r="G1603" s="19" t="str">
        <f aca="false">IF(AND(Eingabe!$F$16&gt;0,Eingabe!$E$16&gt;=181),"10."&amp;Eingabe!$D$16&amp;".181.1","")</f>
        <v/>
      </c>
      <c r="H1603" s="19" t="str">
        <f aca="false">IF(AND(Eingabe!$F$16&gt;0,Eingabe!$E$16&gt;=181),"10."&amp;Eingabe!$D$16&amp;".181.10 – 10."&amp;Eingabe!$D$16&amp;".181.250","")</f>
        <v/>
      </c>
      <c r="I1603" s="19" t="str">
        <f aca="false">IF(AND(Eingabe!$F$16&gt;0,Eingabe!$E$16&gt;=181),Eingabe!$B$6&amp;"-"&amp;Eingabe!$C$16&amp;"-Pächter","")</f>
        <v/>
      </c>
      <c r="J1603" s="19" t="str">
        <f aca="false">IF(AND(Eingabe!$F$16&gt;0,Eingabe!$E$16&gt;=181),"PPSK: Passwort Parzelle 181","")</f>
        <v/>
      </c>
      <c r="K1603" s="19" t="str">
        <f aca="false">IF(AND(Eingabe!$F$16&gt;0,Eingabe!$E$16&gt;=181),"1. Gerät: 10."&amp;Eingabe!$D$16&amp;".181.10, 2. Gerät: .11","")</f>
        <v/>
      </c>
    </row>
    <row r="1604" customFormat="false" ht="15" hidden="false" customHeight="false" outlineLevel="0" collapsed="false">
      <c r="A1604" s="19" t="str">
        <f aca="false">IF(AND(Eingabe!$F$16&gt;0,Eingabe!$E$16&gt;=182),8,"")</f>
        <v/>
      </c>
      <c r="B1604" s="19" t="str">
        <f aca="false">IF(AND(Eingabe!$F$16&gt;0,Eingabe!$E$16&gt;=182),Eingabe!$B$16,"")</f>
        <v/>
      </c>
      <c r="C1604" s="19" t="str">
        <f aca="false">IF(AND(Eingabe!$F$16&gt;0,Eingabe!$E$16&gt;=182),Eingabe!$C$16&amp;"-Paz."&amp;TEXT(182,"000"),"")</f>
        <v/>
      </c>
      <c r="D1604" s="19" t="str">
        <f aca="false">IF(AND(Eingabe!$F$16&gt;0,Eingabe!$E$16&gt;=182),182,"")</f>
        <v/>
      </c>
      <c r="E1604" s="19" t="str">
        <f aca="false">IF(AND(Eingabe!$F$16&gt;0,Eingabe!$E$16&gt;=182),IF((Eingabe!$G$16+1)&lt;=9,1000+(Eingabe!$G$16+1)*100,3000)+82,"")</f>
        <v/>
      </c>
      <c r="F1604" s="19" t="str">
        <f aca="false">IF(AND(Eingabe!$F$16&gt;0,Eingabe!$E$16&gt;=182),"10."&amp;Eingabe!$D$16&amp;".182.0/24","")</f>
        <v/>
      </c>
      <c r="G1604" s="19" t="str">
        <f aca="false">IF(AND(Eingabe!$F$16&gt;0,Eingabe!$E$16&gt;=182),"10."&amp;Eingabe!$D$16&amp;".182.1","")</f>
        <v/>
      </c>
      <c r="H1604" s="19" t="str">
        <f aca="false">IF(AND(Eingabe!$F$16&gt;0,Eingabe!$E$16&gt;=182),"10."&amp;Eingabe!$D$16&amp;".182.10 – 10."&amp;Eingabe!$D$16&amp;".182.250","")</f>
        <v/>
      </c>
      <c r="I1604" s="19" t="str">
        <f aca="false">IF(AND(Eingabe!$F$16&gt;0,Eingabe!$E$16&gt;=182),Eingabe!$B$6&amp;"-"&amp;Eingabe!$C$16&amp;"-Pächter","")</f>
        <v/>
      </c>
      <c r="J1604" s="19" t="str">
        <f aca="false">IF(AND(Eingabe!$F$16&gt;0,Eingabe!$E$16&gt;=182),"PPSK: Passwort Parzelle 182","")</f>
        <v/>
      </c>
      <c r="K1604" s="19" t="str">
        <f aca="false">IF(AND(Eingabe!$F$16&gt;0,Eingabe!$E$16&gt;=182),"1. Gerät: 10."&amp;Eingabe!$D$16&amp;".182.10, 2. Gerät: .11","")</f>
        <v/>
      </c>
    </row>
    <row r="1605" customFormat="false" ht="15" hidden="false" customHeight="false" outlineLevel="0" collapsed="false">
      <c r="A1605" s="19" t="str">
        <f aca="false">IF(AND(Eingabe!$F$16&gt;0,Eingabe!$E$16&gt;=183),8,"")</f>
        <v/>
      </c>
      <c r="B1605" s="19" t="str">
        <f aca="false">IF(AND(Eingabe!$F$16&gt;0,Eingabe!$E$16&gt;=183),Eingabe!$B$16,"")</f>
        <v/>
      </c>
      <c r="C1605" s="19" t="str">
        <f aca="false">IF(AND(Eingabe!$F$16&gt;0,Eingabe!$E$16&gt;=183),Eingabe!$C$16&amp;"-Paz."&amp;TEXT(183,"000"),"")</f>
        <v/>
      </c>
      <c r="D1605" s="19" t="str">
        <f aca="false">IF(AND(Eingabe!$F$16&gt;0,Eingabe!$E$16&gt;=183),183,"")</f>
        <v/>
      </c>
      <c r="E1605" s="19" t="str">
        <f aca="false">IF(AND(Eingabe!$F$16&gt;0,Eingabe!$E$16&gt;=183),IF((Eingabe!$G$16+1)&lt;=9,1000+(Eingabe!$G$16+1)*100,3000)+83,"")</f>
        <v/>
      </c>
      <c r="F1605" s="19" t="str">
        <f aca="false">IF(AND(Eingabe!$F$16&gt;0,Eingabe!$E$16&gt;=183),"10."&amp;Eingabe!$D$16&amp;".183.0/24","")</f>
        <v/>
      </c>
      <c r="G1605" s="19" t="str">
        <f aca="false">IF(AND(Eingabe!$F$16&gt;0,Eingabe!$E$16&gt;=183),"10."&amp;Eingabe!$D$16&amp;".183.1","")</f>
        <v/>
      </c>
      <c r="H1605" s="19" t="str">
        <f aca="false">IF(AND(Eingabe!$F$16&gt;0,Eingabe!$E$16&gt;=183),"10."&amp;Eingabe!$D$16&amp;".183.10 – 10."&amp;Eingabe!$D$16&amp;".183.250","")</f>
        <v/>
      </c>
      <c r="I1605" s="19" t="str">
        <f aca="false">IF(AND(Eingabe!$F$16&gt;0,Eingabe!$E$16&gt;=183),Eingabe!$B$6&amp;"-"&amp;Eingabe!$C$16&amp;"-Pächter","")</f>
        <v/>
      </c>
      <c r="J1605" s="19" t="str">
        <f aca="false">IF(AND(Eingabe!$F$16&gt;0,Eingabe!$E$16&gt;=183),"PPSK: Passwort Parzelle 183","")</f>
        <v/>
      </c>
      <c r="K1605" s="19" t="str">
        <f aca="false">IF(AND(Eingabe!$F$16&gt;0,Eingabe!$E$16&gt;=183),"1. Gerät: 10."&amp;Eingabe!$D$16&amp;".183.10, 2. Gerät: .11","")</f>
        <v/>
      </c>
    </row>
    <row r="1606" customFormat="false" ht="15" hidden="false" customHeight="false" outlineLevel="0" collapsed="false">
      <c r="A1606" s="19" t="str">
        <f aca="false">IF(AND(Eingabe!$F$16&gt;0,Eingabe!$E$16&gt;=184),8,"")</f>
        <v/>
      </c>
      <c r="B1606" s="19" t="str">
        <f aca="false">IF(AND(Eingabe!$F$16&gt;0,Eingabe!$E$16&gt;=184),Eingabe!$B$16,"")</f>
        <v/>
      </c>
      <c r="C1606" s="19" t="str">
        <f aca="false">IF(AND(Eingabe!$F$16&gt;0,Eingabe!$E$16&gt;=184),Eingabe!$C$16&amp;"-Paz."&amp;TEXT(184,"000"),"")</f>
        <v/>
      </c>
      <c r="D1606" s="19" t="str">
        <f aca="false">IF(AND(Eingabe!$F$16&gt;0,Eingabe!$E$16&gt;=184),184,"")</f>
        <v/>
      </c>
      <c r="E1606" s="19" t="str">
        <f aca="false">IF(AND(Eingabe!$F$16&gt;0,Eingabe!$E$16&gt;=184),IF((Eingabe!$G$16+1)&lt;=9,1000+(Eingabe!$G$16+1)*100,3000)+84,"")</f>
        <v/>
      </c>
      <c r="F1606" s="19" t="str">
        <f aca="false">IF(AND(Eingabe!$F$16&gt;0,Eingabe!$E$16&gt;=184),"10."&amp;Eingabe!$D$16&amp;".184.0/24","")</f>
        <v/>
      </c>
      <c r="G1606" s="19" t="str">
        <f aca="false">IF(AND(Eingabe!$F$16&gt;0,Eingabe!$E$16&gt;=184),"10."&amp;Eingabe!$D$16&amp;".184.1","")</f>
        <v/>
      </c>
      <c r="H1606" s="19" t="str">
        <f aca="false">IF(AND(Eingabe!$F$16&gt;0,Eingabe!$E$16&gt;=184),"10."&amp;Eingabe!$D$16&amp;".184.10 – 10."&amp;Eingabe!$D$16&amp;".184.250","")</f>
        <v/>
      </c>
      <c r="I1606" s="19" t="str">
        <f aca="false">IF(AND(Eingabe!$F$16&gt;0,Eingabe!$E$16&gt;=184),Eingabe!$B$6&amp;"-"&amp;Eingabe!$C$16&amp;"-Pächter","")</f>
        <v/>
      </c>
      <c r="J1606" s="19" t="str">
        <f aca="false">IF(AND(Eingabe!$F$16&gt;0,Eingabe!$E$16&gt;=184),"PPSK: Passwort Parzelle 184","")</f>
        <v/>
      </c>
      <c r="K1606" s="19" t="str">
        <f aca="false">IF(AND(Eingabe!$F$16&gt;0,Eingabe!$E$16&gt;=184),"1. Gerät: 10."&amp;Eingabe!$D$16&amp;".184.10, 2. Gerät: .11","")</f>
        <v/>
      </c>
    </row>
    <row r="1607" customFormat="false" ht="15" hidden="false" customHeight="false" outlineLevel="0" collapsed="false">
      <c r="A1607" s="19" t="str">
        <f aca="false">IF(AND(Eingabe!$F$16&gt;0,Eingabe!$E$16&gt;=185),8,"")</f>
        <v/>
      </c>
      <c r="B1607" s="19" t="str">
        <f aca="false">IF(AND(Eingabe!$F$16&gt;0,Eingabe!$E$16&gt;=185),Eingabe!$B$16,"")</f>
        <v/>
      </c>
      <c r="C1607" s="19" t="str">
        <f aca="false">IF(AND(Eingabe!$F$16&gt;0,Eingabe!$E$16&gt;=185),Eingabe!$C$16&amp;"-Paz."&amp;TEXT(185,"000"),"")</f>
        <v/>
      </c>
      <c r="D1607" s="19" t="str">
        <f aca="false">IF(AND(Eingabe!$F$16&gt;0,Eingabe!$E$16&gt;=185),185,"")</f>
        <v/>
      </c>
      <c r="E1607" s="19" t="str">
        <f aca="false">IF(AND(Eingabe!$F$16&gt;0,Eingabe!$E$16&gt;=185),IF((Eingabe!$G$16+1)&lt;=9,1000+(Eingabe!$G$16+1)*100,3000)+85,"")</f>
        <v/>
      </c>
      <c r="F1607" s="19" t="str">
        <f aca="false">IF(AND(Eingabe!$F$16&gt;0,Eingabe!$E$16&gt;=185),"10."&amp;Eingabe!$D$16&amp;".185.0/24","")</f>
        <v/>
      </c>
      <c r="G1607" s="19" t="str">
        <f aca="false">IF(AND(Eingabe!$F$16&gt;0,Eingabe!$E$16&gt;=185),"10."&amp;Eingabe!$D$16&amp;".185.1","")</f>
        <v/>
      </c>
      <c r="H1607" s="19" t="str">
        <f aca="false">IF(AND(Eingabe!$F$16&gt;0,Eingabe!$E$16&gt;=185),"10."&amp;Eingabe!$D$16&amp;".185.10 – 10."&amp;Eingabe!$D$16&amp;".185.250","")</f>
        <v/>
      </c>
      <c r="I1607" s="19" t="str">
        <f aca="false">IF(AND(Eingabe!$F$16&gt;0,Eingabe!$E$16&gt;=185),Eingabe!$B$6&amp;"-"&amp;Eingabe!$C$16&amp;"-Pächter","")</f>
        <v/>
      </c>
      <c r="J1607" s="19" t="str">
        <f aca="false">IF(AND(Eingabe!$F$16&gt;0,Eingabe!$E$16&gt;=185),"PPSK: Passwort Parzelle 185","")</f>
        <v/>
      </c>
      <c r="K1607" s="19" t="str">
        <f aca="false">IF(AND(Eingabe!$F$16&gt;0,Eingabe!$E$16&gt;=185),"1. Gerät: 10."&amp;Eingabe!$D$16&amp;".185.10, 2. Gerät: .11","")</f>
        <v/>
      </c>
    </row>
    <row r="1608" customFormat="false" ht="15" hidden="false" customHeight="false" outlineLevel="0" collapsed="false">
      <c r="A1608" s="19" t="str">
        <f aca="false">IF(AND(Eingabe!$F$16&gt;0,Eingabe!$E$16&gt;=186),8,"")</f>
        <v/>
      </c>
      <c r="B1608" s="19" t="str">
        <f aca="false">IF(AND(Eingabe!$F$16&gt;0,Eingabe!$E$16&gt;=186),Eingabe!$B$16,"")</f>
        <v/>
      </c>
      <c r="C1608" s="19" t="str">
        <f aca="false">IF(AND(Eingabe!$F$16&gt;0,Eingabe!$E$16&gt;=186),Eingabe!$C$16&amp;"-Paz."&amp;TEXT(186,"000"),"")</f>
        <v/>
      </c>
      <c r="D1608" s="19" t="str">
        <f aca="false">IF(AND(Eingabe!$F$16&gt;0,Eingabe!$E$16&gt;=186),186,"")</f>
        <v/>
      </c>
      <c r="E1608" s="19" t="str">
        <f aca="false">IF(AND(Eingabe!$F$16&gt;0,Eingabe!$E$16&gt;=186),IF((Eingabe!$G$16+1)&lt;=9,1000+(Eingabe!$G$16+1)*100,3000)+86,"")</f>
        <v/>
      </c>
      <c r="F1608" s="19" t="str">
        <f aca="false">IF(AND(Eingabe!$F$16&gt;0,Eingabe!$E$16&gt;=186),"10."&amp;Eingabe!$D$16&amp;".186.0/24","")</f>
        <v/>
      </c>
      <c r="G1608" s="19" t="str">
        <f aca="false">IF(AND(Eingabe!$F$16&gt;0,Eingabe!$E$16&gt;=186),"10."&amp;Eingabe!$D$16&amp;".186.1","")</f>
        <v/>
      </c>
      <c r="H1608" s="19" t="str">
        <f aca="false">IF(AND(Eingabe!$F$16&gt;0,Eingabe!$E$16&gt;=186),"10."&amp;Eingabe!$D$16&amp;".186.10 – 10."&amp;Eingabe!$D$16&amp;".186.250","")</f>
        <v/>
      </c>
      <c r="I1608" s="19" t="str">
        <f aca="false">IF(AND(Eingabe!$F$16&gt;0,Eingabe!$E$16&gt;=186),Eingabe!$B$6&amp;"-"&amp;Eingabe!$C$16&amp;"-Pächter","")</f>
        <v/>
      </c>
      <c r="J1608" s="19" t="str">
        <f aca="false">IF(AND(Eingabe!$F$16&gt;0,Eingabe!$E$16&gt;=186),"PPSK: Passwort Parzelle 186","")</f>
        <v/>
      </c>
      <c r="K1608" s="19" t="str">
        <f aca="false">IF(AND(Eingabe!$F$16&gt;0,Eingabe!$E$16&gt;=186),"1. Gerät: 10."&amp;Eingabe!$D$16&amp;".186.10, 2. Gerät: .11","")</f>
        <v/>
      </c>
    </row>
    <row r="1609" customFormat="false" ht="15" hidden="false" customHeight="false" outlineLevel="0" collapsed="false">
      <c r="A1609" s="19" t="str">
        <f aca="false">IF(AND(Eingabe!$F$16&gt;0,Eingabe!$E$16&gt;=187),8,"")</f>
        <v/>
      </c>
      <c r="B1609" s="19" t="str">
        <f aca="false">IF(AND(Eingabe!$F$16&gt;0,Eingabe!$E$16&gt;=187),Eingabe!$B$16,"")</f>
        <v/>
      </c>
      <c r="C1609" s="19" t="str">
        <f aca="false">IF(AND(Eingabe!$F$16&gt;0,Eingabe!$E$16&gt;=187),Eingabe!$C$16&amp;"-Paz."&amp;TEXT(187,"000"),"")</f>
        <v/>
      </c>
      <c r="D1609" s="19" t="str">
        <f aca="false">IF(AND(Eingabe!$F$16&gt;0,Eingabe!$E$16&gt;=187),187,"")</f>
        <v/>
      </c>
      <c r="E1609" s="19" t="str">
        <f aca="false">IF(AND(Eingabe!$F$16&gt;0,Eingabe!$E$16&gt;=187),IF((Eingabe!$G$16+1)&lt;=9,1000+(Eingabe!$G$16+1)*100,3000)+87,"")</f>
        <v/>
      </c>
      <c r="F1609" s="19" t="str">
        <f aca="false">IF(AND(Eingabe!$F$16&gt;0,Eingabe!$E$16&gt;=187),"10."&amp;Eingabe!$D$16&amp;".187.0/24","")</f>
        <v/>
      </c>
      <c r="G1609" s="19" t="str">
        <f aca="false">IF(AND(Eingabe!$F$16&gt;0,Eingabe!$E$16&gt;=187),"10."&amp;Eingabe!$D$16&amp;".187.1","")</f>
        <v/>
      </c>
      <c r="H1609" s="19" t="str">
        <f aca="false">IF(AND(Eingabe!$F$16&gt;0,Eingabe!$E$16&gt;=187),"10."&amp;Eingabe!$D$16&amp;".187.10 – 10."&amp;Eingabe!$D$16&amp;".187.250","")</f>
        <v/>
      </c>
      <c r="I1609" s="19" t="str">
        <f aca="false">IF(AND(Eingabe!$F$16&gt;0,Eingabe!$E$16&gt;=187),Eingabe!$B$6&amp;"-"&amp;Eingabe!$C$16&amp;"-Pächter","")</f>
        <v/>
      </c>
      <c r="J1609" s="19" t="str">
        <f aca="false">IF(AND(Eingabe!$F$16&gt;0,Eingabe!$E$16&gt;=187),"PPSK: Passwort Parzelle 187","")</f>
        <v/>
      </c>
      <c r="K1609" s="19" t="str">
        <f aca="false">IF(AND(Eingabe!$F$16&gt;0,Eingabe!$E$16&gt;=187),"1. Gerät: 10."&amp;Eingabe!$D$16&amp;".187.10, 2. Gerät: .11","")</f>
        <v/>
      </c>
    </row>
    <row r="1610" customFormat="false" ht="15" hidden="false" customHeight="false" outlineLevel="0" collapsed="false">
      <c r="A1610" s="19" t="str">
        <f aca="false">IF(AND(Eingabe!$F$16&gt;0,Eingabe!$E$16&gt;=188),8,"")</f>
        <v/>
      </c>
      <c r="B1610" s="19" t="str">
        <f aca="false">IF(AND(Eingabe!$F$16&gt;0,Eingabe!$E$16&gt;=188),Eingabe!$B$16,"")</f>
        <v/>
      </c>
      <c r="C1610" s="19" t="str">
        <f aca="false">IF(AND(Eingabe!$F$16&gt;0,Eingabe!$E$16&gt;=188),Eingabe!$C$16&amp;"-Paz."&amp;TEXT(188,"000"),"")</f>
        <v/>
      </c>
      <c r="D1610" s="19" t="str">
        <f aca="false">IF(AND(Eingabe!$F$16&gt;0,Eingabe!$E$16&gt;=188),188,"")</f>
        <v/>
      </c>
      <c r="E1610" s="19" t="str">
        <f aca="false">IF(AND(Eingabe!$F$16&gt;0,Eingabe!$E$16&gt;=188),IF((Eingabe!$G$16+1)&lt;=9,1000+(Eingabe!$G$16+1)*100,3000)+88,"")</f>
        <v/>
      </c>
      <c r="F1610" s="19" t="str">
        <f aca="false">IF(AND(Eingabe!$F$16&gt;0,Eingabe!$E$16&gt;=188),"10."&amp;Eingabe!$D$16&amp;".188.0/24","")</f>
        <v/>
      </c>
      <c r="G1610" s="19" t="str">
        <f aca="false">IF(AND(Eingabe!$F$16&gt;0,Eingabe!$E$16&gt;=188),"10."&amp;Eingabe!$D$16&amp;".188.1","")</f>
        <v/>
      </c>
      <c r="H1610" s="19" t="str">
        <f aca="false">IF(AND(Eingabe!$F$16&gt;0,Eingabe!$E$16&gt;=188),"10."&amp;Eingabe!$D$16&amp;".188.10 – 10."&amp;Eingabe!$D$16&amp;".188.250","")</f>
        <v/>
      </c>
      <c r="I1610" s="19" t="str">
        <f aca="false">IF(AND(Eingabe!$F$16&gt;0,Eingabe!$E$16&gt;=188),Eingabe!$B$6&amp;"-"&amp;Eingabe!$C$16&amp;"-Pächter","")</f>
        <v/>
      </c>
      <c r="J1610" s="19" t="str">
        <f aca="false">IF(AND(Eingabe!$F$16&gt;0,Eingabe!$E$16&gt;=188),"PPSK: Passwort Parzelle 188","")</f>
        <v/>
      </c>
      <c r="K1610" s="19" t="str">
        <f aca="false">IF(AND(Eingabe!$F$16&gt;0,Eingabe!$E$16&gt;=188),"1. Gerät: 10."&amp;Eingabe!$D$16&amp;".188.10, 2. Gerät: .11","")</f>
        <v/>
      </c>
    </row>
    <row r="1611" customFormat="false" ht="15" hidden="false" customHeight="false" outlineLevel="0" collapsed="false">
      <c r="A1611" s="19" t="str">
        <f aca="false">IF(AND(Eingabe!$F$16&gt;0,Eingabe!$E$16&gt;=189),8,"")</f>
        <v/>
      </c>
      <c r="B1611" s="19" t="str">
        <f aca="false">IF(AND(Eingabe!$F$16&gt;0,Eingabe!$E$16&gt;=189),Eingabe!$B$16,"")</f>
        <v/>
      </c>
      <c r="C1611" s="19" t="str">
        <f aca="false">IF(AND(Eingabe!$F$16&gt;0,Eingabe!$E$16&gt;=189),Eingabe!$C$16&amp;"-Paz."&amp;TEXT(189,"000"),"")</f>
        <v/>
      </c>
      <c r="D1611" s="19" t="str">
        <f aca="false">IF(AND(Eingabe!$F$16&gt;0,Eingabe!$E$16&gt;=189),189,"")</f>
        <v/>
      </c>
      <c r="E1611" s="19" t="str">
        <f aca="false">IF(AND(Eingabe!$F$16&gt;0,Eingabe!$E$16&gt;=189),IF((Eingabe!$G$16+1)&lt;=9,1000+(Eingabe!$G$16+1)*100,3000)+89,"")</f>
        <v/>
      </c>
      <c r="F1611" s="19" t="str">
        <f aca="false">IF(AND(Eingabe!$F$16&gt;0,Eingabe!$E$16&gt;=189),"10."&amp;Eingabe!$D$16&amp;".189.0/24","")</f>
        <v/>
      </c>
      <c r="G1611" s="19" t="str">
        <f aca="false">IF(AND(Eingabe!$F$16&gt;0,Eingabe!$E$16&gt;=189),"10."&amp;Eingabe!$D$16&amp;".189.1","")</f>
        <v/>
      </c>
      <c r="H1611" s="19" t="str">
        <f aca="false">IF(AND(Eingabe!$F$16&gt;0,Eingabe!$E$16&gt;=189),"10."&amp;Eingabe!$D$16&amp;".189.10 – 10."&amp;Eingabe!$D$16&amp;".189.250","")</f>
        <v/>
      </c>
      <c r="I1611" s="19" t="str">
        <f aca="false">IF(AND(Eingabe!$F$16&gt;0,Eingabe!$E$16&gt;=189),Eingabe!$B$6&amp;"-"&amp;Eingabe!$C$16&amp;"-Pächter","")</f>
        <v/>
      </c>
      <c r="J1611" s="19" t="str">
        <f aca="false">IF(AND(Eingabe!$F$16&gt;0,Eingabe!$E$16&gt;=189),"PPSK: Passwort Parzelle 189","")</f>
        <v/>
      </c>
      <c r="K1611" s="19" t="str">
        <f aca="false">IF(AND(Eingabe!$F$16&gt;0,Eingabe!$E$16&gt;=189),"1. Gerät: 10."&amp;Eingabe!$D$16&amp;".189.10, 2. Gerät: .11","")</f>
        <v/>
      </c>
    </row>
    <row r="1612" customFormat="false" ht="15" hidden="false" customHeight="false" outlineLevel="0" collapsed="false">
      <c r="A1612" s="19" t="str">
        <f aca="false">IF(AND(Eingabe!$F$16&gt;0,Eingabe!$E$16&gt;=190),8,"")</f>
        <v/>
      </c>
      <c r="B1612" s="19" t="str">
        <f aca="false">IF(AND(Eingabe!$F$16&gt;0,Eingabe!$E$16&gt;=190),Eingabe!$B$16,"")</f>
        <v/>
      </c>
      <c r="C1612" s="19" t="str">
        <f aca="false">IF(AND(Eingabe!$F$16&gt;0,Eingabe!$E$16&gt;=190),Eingabe!$C$16&amp;"-Paz."&amp;TEXT(190,"000"),"")</f>
        <v/>
      </c>
      <c r="D1612" s="19" t="str">
        <f aca="false">IF(AND(Eingabe!$F$16&gt;0,Eingabe!$E$16&gt;=190),190,"")</f>
        <v/>
      </c>
      <c r="E1612" s="19" t="str">
        <f aca="false">IF(AND(Eingabe!$F$16&gt;0,Eingabe!$E$16&gt;=190),IF((Eingabe!$G$16+1)&lt;=9,1000+(Eingabe!$G$16+1)*100,3000)+90,"")</f>
        <v/>
      </c>
      <c r="F1612" s="19" t="str">
        <f aca="false">IF(AND(Eingabe!$F$16&gt;0,Eingabe!$E$16&gt;=190),"10."&amp;Eingabe!$D$16&amp;".190.0/24","")</f>
        <v/>
      </c>
      <c r="G1612" s="19" t="str">
        <f aca="false">IF(AND(Eingabe!$F$16&gt;0,Eingabe!$E$16&gt;=190),"10."&amp;Eingabe!$D$16&amp;".190.1","")</f>
        <v/>
      </c>
      <c r="H1612" s="19" t="str">
        <f aca="false">IF(AND(Eingabe!$F$16&gt;0,Eingabe!$E$16&gt;=190),"10."&amp;Eingabe!$D$16&amp;".190.10 – 10."&amp;Eingabe!$D$16&amp;".190.250","")</f>
        <v/>
      </c>
      <c r="I1612" s="19" t="str">
        <f aca="false">IF(AND(Eingabe!$F$16&gt;0,Eingabe!$E$16&gt;=190),Eingabe!$B$6&amp;"-"&amp;Eingabe!$C$16&amp;"-Pächter","")</f>
        <v/>
      </c>
      <c r="J1612" s="19" t="str">
        <f aca="false">IF(AND(Eingabe!$F$16&gt;0,Eingabe!$E$16&gt;=190),"PPSK: Passwort Parzelle 190","")</f>
        <v/>
      </c>
      <c r="K1612" s="19" t="str">
        <f aca="false">IF(AND(Eingabe!$F$16&gt;0,Eingabe!$E$16&gt;=190),"1. Gerät: 10."&amp;Eingabe!$D$16&amp;".190.10, 2. Gerät: .11","")</f>
        <v/>
      </c>
    </row>
    <row r="1613" customFormat="false" ht="15" hidden="false" customHeight="false" outlineLevel="0" collapsed="false">
      <c r="A1613" s="19" t="str">
        <f aca="false">IF(AND(Eingabe!$F$16&gt;0,Eingabe!$E$16&gt;=191),8,"")</f>
        <v/>
      </c>
      <c r="B1613" s="19" t="str">
        <f aca="false">IF(AND(Eingabe!$F$16&gt;0,Eingabe!$E$16&gt;=191),Eingabe!$B$16,"")</f>
        <v/>
      </c>
      <c r="C1613" s="19" t="str">
        <f aca="false">IF(AND(Eingabe!$F$16&gt;0,Eingabe!$E$16&gt;=191),Eingabe!$C$16&amp;"-Paz."&amp;TEXT(191,"000"),"")</f>
        <v/>
      </c>
      <c r="D1613" s="19" t="str">
        <f aca="false">IF(AND(Eingabe!$F$16&gt;0,Eingabe!$E$16&gt;=191),191,"")</f>
        <v/>
      </c>
      <c r="E1613" s="19" t="str">
        <f aca="false">IF(AND(Eingabe!$F$16&gt;0,Eingabe!$E$16&gt;=191),IF((Eingabe!$G$16+1)&lt;=9,1000+(Eingabe!$G$16+1)*100,3000)+91,"")</f>
        <v/>
      </c>
      <c r="F1613" s="19" t="str">
        <f aca="false">IF(AND(Eingabe!$F$16&gt;0,Eingabe!$E$16&gt;=191),"10."&amp;Eingabe!$D$16&amp;".191.0/24","")</f>
        <v/>
      </c>
      <c r="G1613" s="19" t="str">
        <f aca="false">IF(AND(Eingabe!$F$16&gt;0,Eingabe!$E$16&gt;=191),"10."&amp;Eingabe!$D$16&amp;".191.1","")</f>
        <v/>
      </c>
      <c r="H1613" s="19" t="str">
        <f aca="false">IF(AND(Eingabe!$F$16&gt;0,Eingabe!$E$16&gt;=191),"10."&amp;Eingabe!$D$16&amp;".191.10 – 10."&amp;Eingabe!$D$16&amp;".191.250","")</f>
        <v/>
      </c>
      <c r="I1613" s="19" t="str">
        <f aca="false">IF(AND(Eingabe!$F$16&gt;0,Eingabe!$E$16&gt;=191),Eingabe!$B$6&amp;"-"&amp;Eingabe!$C$16&amp;"-Pächter","")</f>
        <v/>
      </c>
      <c r="J1613" s="19" t="str">
        <f aca="false">IF(AND(Eingabe!$F$16&gt;0,Eingabe!$E$16&gt;=191),"PPSK: Passwort Parzelle 191","")</f>
        <v/>
      </c>
      <c r="K1613" s="19" t="str">
        <f aca="false">IF(AND(Eingabe!$F$16&gt;0,Eingabe!$E$16&gt;=191),"1. Gerät: 10."&amp;Eingabe!$D$16&amp;".191.10, 2. Gerät: .11","")</f>
        <v/>
      </c>
    </row>
    <row r="1614" customFormat="false" ht="15" hidden="false" customHeight="false" outlineLevel="0" collapsed="false">
      <c r="A1614" s="19" t="str">
        <f aca="false">IF(AND(Eingabe!$F$16&gt;0,Eingabe!$E$16&gt;=192),8,"")</f>
        <v/>
      </c>
      <c r="B1614" s="19" t="str">
        <f aca="false">IF(AND(Eingabe!$F$16&gt;0,Eingabe!$E$16&gt;=192),Eingabe!$B$16,"")</f>
        <v/>
      </c>
      <c r="C1614" s="19" t="str">
        <f aca="false">IF(AND(Eingabe!$F$16&gt;0,Eingabe!$E$16&gt;=192),Eingabe!$C$16&amp;"-Paz."&amp;TEXT(192,"000"),"")</f>
        <v/>
      </c>
      <c r="D1614" s="19" t="str">
        <f aca="false">IF(AND(Eingabe!$F$16&gt;0,Eingabe!$E$16&gt;=192),192,"")</f>
        <v/>
      </c>
      <c r="E1614" s="19" t="str">
        <f aca="false">IF(AND(Eingabe!$F$16&gt;0,Eingabe!$E$16&gt;=192),IF((Eingabe!$G$16+1)&lt;=9,1000+(Eingabe!$G$16+1)*100,3000)+92,"")</f>
        <v/>
      </c>
      <c r="F1614" s="19" t="str">
        <f aca="false">IF(AND(Eingabe!$F$16&gt;0,Eingabe!$E$16&gt;=192),"10."&amp;Eingabe!$D$16&amp;".192.0/24","")</f>
        <v/>
      </c>
      <c r="G1614" s="19" t="str">
        <f aca="false">IF(AND(Eingabe!$F$16&gt;0,Eingabe!$E$16&gt;=192),"10."&amp;Eingabe!$D$16&amp;".192.1","")</f>
        <v/>
      </c>
      <c r="H1614" s="19" t="str">
        <f aca="false">IF(AND(Eingabe!$F$16&gt;0,Eingabe!$E$16&gt;=192),"10."&amp;Eingabe!$D$16&amp;".192.10 – 10."&amp;Eingabe!$D$16&amp;".192.250","")</f>
        <v/>
      </c>
      <c r="I1614" s="19" t="str">
        <f aca="false">IF(AND(Eingabe!$F$16&gt;0,Eingabe!$E$16&gt;=192),Eingabe!$B$6&amp;"-"&amp;Eingabe!$C$16&amp;"-Pächter","")</f>
        <v/>
      </c>
      <c r="J1614" s="19" t="str">
        <f aca="false">IF(AND(Eingabe!$F$16&gt;0,Eingabe!$E$16&gt;=192),"PPSK: Passwort Parzelle 192","")</f>
        <v/>
      </c>
      <c r="K1614" s="19" t="str">
        <f aca="false">IF(AND(Eingabe!$F$16&gt;0,Eingabe!$E$16&gt;=192),"1. Gerät: 10."&amp;Eingabe!$D$16&amp;".192.10, 2. Gerät: .11","")</f>
        <v/>
      </c>
    </row>
    <row r="1615" customFormat="false" ht="15" hidden="false" customHeight="false" outlineLevel="0" collapsed="false">
      <c r="A1615" s="19" t="str">
        <f aca="false">IF(AND(Eingabe!$F$16&gt;0,Eingabe!$E$16&gt;=193),8,"")</f>
        <v/>
      </c>
      <c r="B1615" s="19" t="str">
        <f aca="false">IF(AND(Eingabe!$F$16&gt;0,Eingabe!$E$16&gt;=193),Eingabe!$B$16,"")</f>
        <v/>
      </c>
      <c r="C1615" s="19" t="str">
        <f aca="false">IF(AND(Eingabe!$F$16&gt;0,Eingabe!$E$16&gt;=193),Eingabe!$C$16&amp;"-Paz."&amp;TEXT(193,"000"),"")</f>
        <v/>
      </c>
      <c r="D1615" s="19" t="str">
        <f aca="false">IF(AND(Eingabe!$F$16&gt;0,Eingabe!$E$16&gt;=193),193,"")</f>
        <v/>
      </c>
      <c r="E1615" s="19" t="str">
        <f aca="false">IF(AND(Eingabe!$F$16&gt;0,Eingabe!$E$16&gt;=193),IF((Eingabe!$G$16+1)&lt;=9,1000+(Eingabe!$G$16+1)*100,3000)+93,"")</f>
        <v/>
      </c>
      <c r="F1615" s="19" t="str">
        <f aca="false">IF(AND(Eingabe!$F$16&gt;0,Eingabe!$E$16&gt;=193),"10."&amp;Eingabe!$D$16&amp;".193.0/24","")</f>
        <v/>
      </c>
      <c r="G1615" s="19" t="str">
        <f aca="false">IF(AND(Eingabe!$F$16&gt;0,Eingabe!$E$16&gt;=193),"10."&amp;Eingabe!$D$16&amp;".193.1","")</f>
        <v/>
      </c>
      <c r="H1615" s="19" t="str">
        <f aca="false">IF(AND(Eingabe!$F$16&gt;0,Eingabe!$E$16&gt;=193),"10."&amp;Eingabe!$D$16&amp;".193.10 – 10."&amp;Eingabe!$D$16&amp;".193.250","")</f>
        <v/>
      </c>
      <c r="I1615" s="19" t="str">
        <f aca="false">IF(AND(Eingabe!$F$16&gt;0,Eingabe!$E$16&gt;=193),Eingabe!$B$6&amp;"-"&amp;Eingabe!$C$16&amp;"-Pächter","")</f>
        <v/>
      </c>
      <c r="J1615" s="19" t="str">
        <f aca="false">IF(AND(Eingabe!$F$16&gt;0,Eingabe!$E$16&gt;=193),"PPSK: Passwort Parzelle 193","")</f>
        <v/>
      </c>
      <c r="K1615" s="19" t="str">
        <f aca="false">IF(AND(Eingabe!$F$16&gt;0,Eingabe!$E$16&gt;=193),"1. Gerät: 10."&amp;Eingabe!$D$16&amp;".193.10, 2. Gerät: .11","")</f>
        <v/>
      </c>
    </row>
    <row r="1616" customFormat="false" ht="15" hidden="false" customHeight="false" outlineLevel="0" collapsed="false">
      <c r="A1616" s="19" t="str">
        <f aca="false">IF(AND(Eingabe!$F$16&gt;0,Eingabe!$E$16&gt;=194),8,"")</f>
        <v/>
      </c>
      <c r="B1616" s="19" t="str">
        <f aca="false">IF(AND(Eingabe!$F$16&gt;0,Eingabe!$E$16&gt;=194),Eingabe!$B$16,"")</f>
        <v/>
      </c>
      <c r="C1616" s="19" t="str">
        <f aca="false">IF(AND(Eingabe!$F$16&gt;0,Eingabe!$E$16&gt;=194),Eingabe!$C$16&amp;"-Paz."&amp;TEXT(194,"000"),"")</f>
        <v/>
      </c>
      <c r="D1616" s="19" t="str">
        <f aca="false">IF(AND(Eingabe!$F$16&gt;0,Eingabe!$E$16&gt;=194),194,"")</f>
        <v/>
      </c>
      <c r="E1616" s="19" t="str">
        <f aca="false">IF(AND(Eingabe!$F$16&gt;0,Eingabe!$E$16&gt;=194),IF((Eingabe!$G$16+1)&lt;=9,1000+(Eingabe!$G$16+1)*100,3000)+94,"")</f>
        <v/>
      </c>
      <c r="F1616" s="19" t="str">
        <f aca="false">IF(AND(Eingabe!$F$16&gt;0,Eingabe!$E$16&gt;=194),"10."&amp;Eingabe!$D$16&amp;".194.0/24","")</f>
        <v/>
      </c>
      <c r="G1616" s="19" t="str">
        <f aca="false">IF(AND(Eingabe!$F$16&gt;0,Eingabe!$E$16&gt;=194),"10."&amp;Eingabe!$D$16&amp;".194.1","")</f>
        <v/>
      </c>
      <c r="H1616" s="19" t="str">
        <f aca="false">IF(AND(Eingabe!$F$16&gt;0,Eingabe!$E$16&gt;=194),"10."&amp;Eingabe!$D$16&amp;".194.10 – 10."&amp;Eingabe!$D$16&amp;".194.250","")</f>
        <v/>
      </c>
      <c r="I1616" s="19" t="str">
        <f aca="false">IF(AND(Eingabe!$F$16&gt;0,Eingabe!$E$16&gt;=194),Eingabe!$B$6&amp;"-"&amp;Eingabe!$C$16&amp;"-Pächter","")</f>
        <v/>
      </c>
      <c r="J1616" s="19" t="str">
        <f aca="false">IF(AND(Eingabe!$F$16&gt;0,Eingabe!$E$16&gt;=194),"PPSK: Passwort Parzelle 194","")</f>
        <v/>
      </c>
      <c r="K1616" s="19" t="str">
        <f aca="false">IF(AND(Eingabe!$F$16&gt;0,Eingabe!$E$16&gt;=194),"1. Gerät: 10."&amp;Eingabe!$D$16&amp;".194.10, 2. Gerät: .11","")</f>
        <v/>
      </c>
    </row>
    <row r="1617" customFormat="false" ht="15" hidden="false" customHeight="false" outlineLevel="0" collapsed="false">
      <c r="A1617" s="19" t="str">
        <f aca="false">IF(AND(Eingabe!$F$16&gt;0,Eingabe!$E$16&gt;=195),8,"")</f>
        <v/>
      </c>
      <c r="B1617" s="19" t="str">
        <f aca="false">IF(AND(Eingabe!$F$16&gt;0,Eingabe!$E$16&gt;=195),Eingabe!$B$16,"")</f>
        <v/>
      </c>
      <c r="C1617" s="19" t="str">
        <f aca="false">IF(AND(Eingabe!$F$16&gt;0,Eingabe!$E$16&gt;=195),Eingabe!$C$16&amp;"-Paz."&amp;TEXT(195,"000"),"")</f>
        <v/>
      </c>
      <c r="D1617" s="19" t="str">
        <f aca="false">IF(AND(Eingabe!$F$16&gt;0,Eingabe!$E$16&gt;=195),195,"")</f>
        <v/>
      </c>
      <c r="E1617" s="19" t="str">
        <f aca="false">IF(AND(Eingabe!$F$16&gt;0,Eingabe!$E$16&gt;=195),IF((Eingabe!$G$16+1)&lt;=9,1000+(Eingabe!$G$16+1)*100,3000)+95,"")</f>
        <v/>
      </c>
      <c r="F1617" s="19" t="str">
        <f aca="false">IF(AND(Eingabe!$F$16&gt;0,Eingabe!$E$16&gt;=195),"10."&amp;Eingabe!$D$16&amp;".195.0/24","")</f>
        <v/>
      </c>
      <c r="G1617" s="19" t="str">
        <f aca="false">IF(AND(Eingabe!$F$16&gt;0,Eingabe!$E$16&gt;=195),"10."&amp;Eingabe!$D$16&amp;".195.1","")</f>
        <v/>
      </c>
      <c r="H1617" s="19" t="str">
        <f aca="false">IF(AND(Eingabe!$F$16&gt;0,Eingabe!$E$16&gt;=195),"10."&amp;Eingabe!$D$16&amp;".195.10 – 10."&amp;Eingabe!$D$16&amp;".195.250","")</f>
        <v/>
      </c>
      <c r="I1617" s="19" t="str">
        <f aca="false">IF(AND(Eingabe!$F$16&gt;0,Eingabe!$E$16&gt;=195),Eingabe!$B$6&amp;"-"&amp;Eingabe!$C$16&amp;"-Pächter","")</f>
        <v/>
      </c>
      <c r="J1617" s="19" t="str">
        <f aca="false">IF(AND(Eingabe!$F$16&gt;0,Eingabe!$E$16&gt;=195),"PPSK: Passwort Parzelle 195","")</f>
        <v/>
      </c>
      <c r="K1617" s="19" t="str">
        <f aca="false">IF(AND(Eingabe!$F$16&gt;0,Eingabe!$E$16&gt;=195),"1. Gerät: 10."&amp;Eingabe!$D$16&amp;".195.10, 2. Gerät: .11","")</f>
        <v/>
      </c>
    </row>
    <row r="1618" customFormat="false" ht="15" hidden="false" customHeight="false" outlineLevel="0" collapsed="false">
      <c r="A1618" s="19" t="str">
        <f aca="false">IF(AND(Eingabe!$F$16&gt;0,Eingabe!$E$16&gt;=196),8,"")</f>
        <v/>
      </c>
      <c r="B1618" s="19" t="str">
        <f aca="false">IF(AND(Eingabe!$F$16&gt;0,Eingabe!$E$16&gt;=196),Eingabe!$B$16,"")</f>
        <v/>
      </c>
      <c r="C1618" s="19" t="str">
        <f aca="false">IF(AND(Eingabe!$F$16&gt;0,Eingabe!$E$16&gt;=196),Eingabe!$C$16&amp;"-Paz."&amp;TEXT(196,"000"),"")</f>
        <v/>
      </c>
      <c r="D1618" s="19" t="str">
        <f aca="false">IF(AND(Eingabe!$F$16&gt;0,Eingabe!$E$16&gt;=196),196,"")</f>
        <v/>
      </c>
      <c r="E1618" s="19" t="str">
        <f aca="false">IF(AND(Eingabe!$F$16&gt;0,Eingabe!$E$16&gt;=196),IF((Eingabe!$G$16+1)&lt;=9,1000+(Eingabe!$G$16+1)*100,3000)+96,"")</f>
        <v/>
      </c>
      <c r="F1618" s="19" t="str">
        <f aca="false">IF(AND(Eingabe!$F$16&gt;0,Eingabe!$E$16&gt;=196),"10."&amp;Eingabe!$D$16&amp;".196.0/24","")</f>
        <v/>
      </c>
      <c r="G1618" s="19" t="str">
        <f aca="false">IF(AND(Eingabe!$F$16&gt;0,Eingabe!$E$16&gt;=196),"10."&amp;Eingabe!$D$16&amp;".196.1","")</f>
        <v/>
      </c>
      <c r="H1618" s="19" t="str">
        <f aca="false">IF(AND(Eingabe!$F$16&gt;0,Eingabe!$E$16&gt;=196),"10."&amp;Eingabe!$D$16&amp;".196.10 – 10."&amp;Eingabe!$D$16&amp;".196.250","")</f>
        <v/>
      </c>
      <c r="I1618" s="19" t="str">
        <f aca="false">IF(AND(Eingabe!$F$16&gt;0,Eingabe!$E$16&gt;=196),Eingabe!$B$6&amp;"-"&amp;Eingabe!$C$16&amp;"-Pächter","")</f>
        <v/>
      </c>
      <c r="J1618" s="19" t="str">
        <f aca="false">IF(AND(Eingabe!$F$16&gt;0,Eingabe!$E$16&gt;=196),"PPSK: Passwort Parzelle 196","")</f>
        <v/>
      </c>
      <c r="K1618" s="19" t="str">
        <f aca="false">IF(AND(Eingabe!$F$16&gt;0,Eingabe!$E$16&gt;=196),"1. Gerät: 10."&amp;Eingabe!$D$16&amp;".196.10, 2. Gerät: .11","")</f>
        <v/>
      </c>
    </row>
    <row r="1619" customFormat="false" ht="15" hidden="false" customHeight="false" outlineLevel="0" collapsed="false">
      <c r="A1619" s="19" t="str">
        <f aca="false">IF(AND(Eingabe!$F$16&gt;0,Eingabe!$E$16&gt;=197),8,"")</f>
        <v/>
      </c>
      <c r="B1619" s="19" t="str">
        <f aca="false">IF(AND(Eingabe!$F$16&gt;0,Eingabe!$E$16&gt;=197),Eingabe!$B$16,"")</f>
        <v/>
      </c>
      <c r="C1619" s="19" t="str">
        <f aca="false">IF(AND(Eingabe!$F$16&gt;0,Eingabe!$E$16&gt;=197),Eingabe!$C$16&amp;"-Paz."&amp;TEXT(197,"000"),"")</f>
        <v/>
      </c>
      <c r="D1619" s="19" t="str">
        <f aca="false">IF(AND(Eingabe!$F$16&gt;0,Eingabe!$E$16&gt;=197),197,"")</f>
        <v/>
      </c>
      <c r="E1619" s="19" t="str">
        <f aca="false">IF(AND(Eingabe!$F$16&gt;0,Eingabe!$E$16&gt;=197),IF((Eingabe!$G$16+1)&lt;=9,1000+(Eingabe!$G$16+1)*100,3000)+97,"")</f>
        <v/>
      </c>
      <c r="F1619" s="19" t="str">
        <f aca="false">IF(AND(Eingabe!$F$16&gt;0,Eingabe!$E$16&gt;=197),"10."&amp;Eingabe!$D$16&amp;".197.0/24","")</f>
        <v/>
      </c>
      <c r="G1619" s="19" t="str">
        <f aca="false">IF(AND(Eingabe!$F$16&gt;0,Eingabe!$E$16&gt;=197),"10."&amp;Eingabe!$D$16&amp;".197.1","")</f>
        <v/>
      </c>
      <c r="H1619" s="19" t="str">
        <f aca="false">IF(AND(Eingabe!$F$16&gt;0,Eingabe!$E$16&gt;=197),"10."&amp;Eingabe!$D$16&amp;".197.10 – 10."&amp;Eingabe!$D$16&amp;".197.250","")</f>
        <v/>
      </c>
      <c r="I1619" s="19" t="str">
        <f aca="false">IF(AND(Eingabe!$F$16&gt;0,Eingabe!$E$16&gt;=197),Eingabe!$B$6&amp;"-"&amp;Eingabe!$C$16&amp;"-Pächter","")</f>
        <v/>
      </c>
      <c r="J1619" s="19" t="str">
        <f aca="false">IF(AND(Eingabe!$F$16&gt;0,Eingabe!$E$16&gt;=197),"PPSK: Passwort Parzelle 197","")</f>
        <v/>
      </c>
      <c r="K1619" s="19" t="str">
        <f aca="false">IF(AND(Eingabe!$F$16&gt;0,Eingabe!$E$16&gt;=197),"1. Gerät: 10."&amp;Eingabe!$D$16&amp;".197.10, 2. Gerät: .11","")</f>
        <v/>
      </c>
    </row>
    <row r="1620" customFormat="false" ht="15" hidden="false" customHeight="false" outlineLevel="0" collapsed="false">
      <c r="A1620" s="19" t="str">
        <f aca="false">IF(AND(Eingabe!$F$16&gt;0,Eingabe!$E$16&gt;=198),8,"")</f>
        <v/>
      </c>
      <c r="B1620" s="19" t="str">
        <f aca="false">IF(AND(Eingabe!$F$16&gt;0,Eingabe!$E$16&gt;=198),Eingabe!$B$16,"")</f>
        <v/>
      </c>
      <c r="C1620" s="19" t="str">
        <f aca="false">IF(AND(Eingabe!$F$16&gt;0,Eingabe!$E$16&gt;=198),Eingabe!$C$16&amp;"-Paz."&amp;TEXT(198,"000"),"")</f>
        <v/>
      </c>
      <c r="D1620" s="19" t="str">
        <f aca="false">IF(AND(Eingabe!$F$16&gt;0,Eingabe!$E$16&gt;=198),198,"")</f>
        <v/>
      </c>
      <c r="E1620" s="19" t="str">
        <f aca="false">IF(AND(Eingabe!$F$16&gt;0,Eingabe!$E$16&gt;=198),IF((Eingabe!$G$16+1)&lt;=9,1000+(Eingabe!$G$16+1)*100,3000)+98,"")</f>
        <v/>
      </c>
      <c r="F1620" s="19" t="str">
        <f aca="false">IF(AND(Eingabe!$F$16&gt;0,Eingabe!$E$16&gt;=198),"10."&amp;Eingabe!$D$16&amp;".198.0/24","")</f>
        <v/>
      </c>
      <c r="G1620" s="19" t="str">
        <f aca="false">IF(AND(Eingabe!$F$16&gt;0,Eingabe!$E$16&gt;=198),"10."&amp;Eingabe!$D$16&amp;".198.1","")</f>
        <v/>
      </c>
      <c r="H1620" s="19" t="str">
        <f aca="false">IF(AND(Eingabe!$F$16&gt;0,Eingabe!$E$16&gt;=198),"10."&amp;Eingabe!$D$16&amp;".198.10 – 10."&amp;Eingabe!$D$16&amp;".198.250","")</f>
        <v/>
      </c>
      <c r="I1620" s="19" t="str">
        <f aca="false">IF(AND(Eingabe!$F$16&gt;0,Eingabe!$E$16&gt;=198),Eingabe!$B$6&amp;"-"&amp;Eingabe!$C$16&amp;"-Pächter","")</f>
        <v/>
      </c>
      <c r="J1620" s="19" t="str">
        <f aca="false">IF(AND(Eingabe!$F$16&gt;0,Eingabe!$E$16&gt;=198),"PPSK: Passwort Parzelle 198","")</f>
        <v/>
      </c>
      <c r="K1620" s="19" t="str">
        <f aca="false">IF(AND(Eingabe!$F$16&gt;0,Eingabe!$E$16&gt;=198),"1. Gerät: 10."&amp;Eingabe!$D$16&amp;".198.10, 2. Gerät: .11","")</f>
        <v/>
      </c>
    </row>
    <row r="1621" customFormat="false" ht="15" hidden="false" customHeight="false" outlineLevel="0" collapsed="false">
      <c r="A1621" s="19" t="str">
        <f aca="false">IF(AND(Eingabe!$F$16&gt;0,Eingabe!$E$16&gt;=199),8,"")</f>
        <v/>
      </c>
      <c r="B1621" s="19" t="str">
        <f aca="false">IF(AND(Eingabe!$F$16&gt;0,Eingabe!$E$16&gt;=199),Eingabe!$B$16,"")</f>
        <v/>
      </c>
      <c r="C1621" s="19" t="str">
        <f aca="false">IF(AND(Eingabe!$F$16&gt;0,Eingabe!$E$16&gt;=199),Eingabe!$C$16&amp;"-Paz."&amp;TEXT(199,"000"),"")</f>
        <v/>
      </c>
      <c r="D1621" s="19" t="str">
        <f aca="false">IF(AND(Eingabe!$F$16&gt;0,Eingabe!$E$16&gt;=199),199,"")</f>
        <v/>
      </c>
      <c r="E1621" s="19" t="str">
        <f aca="false">IF(AND(Eingabe!$F$16&gt;0,Eingabe!$E$16&gt;=199),IF((Eingabe!$G$16+1)&lt;=9,1000+(Eingabe!$G$16+1)*100,3000)+99,"")</f>
        <v/>
      </c>
      <c r="F1621" s="19" t="str">
        <f aca="false">IF(AND(Eingabe!$F$16&gt;0,Eingabe!$E$16&gt;=199),"10."&amp;Eingabe!$D$16&amp;".199.0/24","")</f>
        <v/>
      </c>
      <c r="G1621" s="19" t="str">
        <f aca="false">IF(AND(Eingabe!$F$16&gt;0,Eingabe!$E$16&gt;=199),"10."&amp;Eingabe!$D$16&amp;".199.1","")</f>
        <v/>
      </c>
      <c r="H1621" s="19" t="str">
        <f aca="false">IF(AND(Eingabe!$F$16&gt;0,Eingabe!$E$16&gt;=199),"10."&amp;Eingabe!$D$16&amp;".199.10 – 10."&amp;Eingabe!$D$16&amp;".199.250","")</f>
        <v/>
      </c>
      <c r="I1621" s="19" t="str">
        <f aca="false">IF(AND(Eingabe!$F$16&gt;0,Eingabe!$E$16&gt;=199),Eingabe!$B$6&amp;"-"&amp;Eingabe!$C$16&amp;"-Pächter","")</f>
        <v/>
      </c>
      <c r="J1621" s="19" t="str">
        <f aca="false">IF(AND(Eingabe!$F$16&gt;0,Eingabe!$E$16&gt;=199),"PPSK: Passwort Parzelle 199","")</f>
        <v/>
      </c>
      <c r="K1621" s="19" t="str">
        <f aca="false">IF(AND(Eingabe!$F$16&gt;0,Eingabe!$E$16&gt;=199),"1. Gerät: 10."&amp;Eingabe!$D$16&amp;".199.10, 2. Gerät: .11","")</f>
        <v/>
      </c>
    </row>
    <row r="1622" customFormat="false" ht="15" hidden="false" customHeight="false" outlineLevel="0" collapsed="false">
      <c r="A1622" s="20" t="str">
        <f aca="false">IF(Eingabe!$F$17&gt;0,9,"")</f>
        <v/>
      </c>
      <c r="B1622" s="20" t="str">
        <f aca="false">IF(Eingabe!$F$17&gt;0,Eingabe!$B$17,"")</f>
        <v/>
      </c>
      <c r="C1622" s="20" t="str">
        <f aca="false">IF(Eingabe!$F$17&gt;0,Eingabe!$C$17&amp;"-Vorstand","")</f>
        <v/>
      </c>
      <c r="D1622" s="20"/>
      <c r="E1622" s="20" t="str">
        <f aca="false">IF(Eingabe!$F$17&gt;0,2000+Eingabe!$G$17*10+1,"")</f>
        <v/>
      </c>
      <c r="F1622" s="20" t="str">
        <f aca="false">IF(Eingabe!$F$17&gt;0,"10."&amp;Eingabe!$D$17&amp;".200.0/24","")</f>
        <v/>
      </c>
      <c r="G1622" s="20" t="str">
        <f aca="false">IF(Eingabe!$F$17&gt;0,"10."&amp;Eingabe!$D$17&amp;".200.1","")</f>
        <v/>
      </c>
      <c r="H1622" s="20" t="str">
        <f aca="false">IF(Eingabe!$F$17&gt;0,"10."&amp;Eingabe!$D$17&amp;".200.10 – "&amp;"10."&amp;Eingabe!$D$17&amp;".200.250","")</f>
        <v/>
      </c>
      <c r="I1622" s="20" t="str">
        <f aca="false">IF(Eingabe!$F$17&gt;0,Eingabe!$B$6&amp;"-"&amp;Eingabe!$C$17&amp;"-Vorstand","")</f>
        <v/>
      </c>
      <c r="J1622" s="20" t="str">
        <f aca="false">IF(Eingabe!$F$17&gt;0,"eigenes WLAN Vorstand","")</f>
        <v/>
      </c>
      <c r="K1622" s="20" t="str">
        <f aca="false">IF(Eingabe!$F$17&gt;0,"Vorstand-Laptop: "&amp;"10."&amp;Eingabe!$D$17&amp;".200.10","")</f>
        <v/>
      </c>
    </row>
    <row r="1623" customFormat="false" ht="15" hidden="false" customHeight="false" outlineLevel="0" collapsed="false">
      <c r="A1623" s="20" t="str">
        <f aca="false">IF(Eingabe!$F$17&gt;0,9,"")</f>
        <v/>
      </c>
      <c r="B1623" s="20" t="str">
        <f aca="false">IF(Eingabe!$F$17&gt;0,Eingabe!$B$17,"")</f>
        <v/>
      </c>
      <c r="C1623" s="20" t="str">
        <f aca="false">IF(Eingabe!$F$17&gt;0,Eingabe!$C$17&amp;"-Gäste","")</f>
        <v/>
      </c>
      <c r="D1623" s="20"/>
      <c r="E1623" s="20" t="str">
        <f aca="false">IF(Eingabe!$F$17&gt;0,2000+Eingabe!$G$17*10+2,"")</f>
        <v/>
      </c>
      <c r="F1623" s="20" t="str">
        <f aca="false">IF(Eingabe!$F$17&gt;0,"10."&amp;Eingabe!$D$17&amp;".201.0/24","")</f>
        <v/>
      </c>
      <c r="G1623" s="20" t="str">
        <f aca="false">IF(Eingabe!$F$17&gt;0,"10."&amp;Eingabe!$D$17&amp;".201.1","")</f>
        <v/>
      </c>
      <c r="H1623" s="20" t="str">
        <f aca="false">IF(Eingabe!$F$17&gt;0,"10."&amp;Eingabe!$D$17&amp;".201.10 – "&amp;"10."&amp;Eingabe!$D$17&amp;".201.250","")</f>
        <v/>
      </c>
      <c r="I1623" s="20" t="str">
        <f aca="false">IF(Eingabe!$F$17&gt;0,Eingabe!$B$6&amp;"-"&amp;Eingabe!$C$17&amp;"-Gäste","")</f>
        <v/>
      </c>
      <c r="J1623" s="20" t="str">
        <f aca="false">IF(Eingabe!$F$17&gt;0,"Voucher-Portal, isoliert","")</f>
        <v/>
      </c>
      <c r="K1623" s="20" t="str">
        <f aca="false">IF(Eingabe!$F$17&gt;0,"Gast-Handy: "&amp;"10."&amp;Eingabe!$D$17&amp;".201.10","")</f>
        <v/>
      </c>
    </row>
    <row r="1624" customFormat="false" ht="15" hidden="false" customHeight="false" outlineLevel="0" collapsed="false">
      <c r="A1624" s="20" t="str">
        <f aca="false">IF(Eingabe!$F$17&gt;0,9,"")</f>
        <v/>
      </c>
      <c r="B1624" s="20" t="str">
        <f aca="false">IF(Eingabe!$F$17&gt;0,Eingabe!$B$17,"")</f>
        <v/>
      </c>
      <c r="C1624" s="20" t="str">
        <f aca="false">IF(Eingabe!$F$17&gt;0,Eingabe!$C$17&amp;"-Technik","")</f>
        <v/>
      </c>
      <c r="D1624" s="20"/>
      <c r="E1624" s="20" t="str">
        <f aca="false">IF(Eingabe!$F$17&gt;0,2000+Eingabe!$G$17*10+9,"")</f>
        <v/>
      </c>
      <c r="F1624" s="20" t="str">
        <f aca="false">IF(Eingabe!$F$17&gt;0,"10."&amp;Eingabe!$D$17&amp;".250.0/24","")</f>
        <v/>
      </c>
      <c r="G1624" s="20" t="str">
        <f aca="false">IF(Eingabe!$F$17&gt;0,"10."&amp;Eingabe!$D$17&amp;".250.1","")</f>
        <v/>
      </c>
      <c r="H1624" s="20" t="str">
        <f aca="false">IF(Eingabe!$F$17&gt;0,"10."&amp;Eingabe!$D$17&amp;".250.10 – "&amp;"10."&amp;Eingabe!$D$17&amp;".250.250","")</f>
        <v/>
      </c>
      <c r="I1624" s="20" t="str">
        <f aca="false">IF(Eingabe!$F$17&gt;0,"–","")</f>
        <v/>
      </c>
      <c r="J1624" s="20" t="str">
        <f aca="false">IF(Eingabe!$F$17&gt;0,"Mast-Switches und Access Points","")</f>
        <v/>
      </c>
      <c r="K1624" s="20" t="str">
        <f aca="false">IF(Eingabe!$F$17&gt;0,"Access Point 1: "&amp;"10."&amp;Eingabe!$D$17&amp;".250.51","")</f>
        <v/>
      </c>
    </row>
    <row r="1625" customFormat="false" ht="15" hidden="false" customHeight="false" outlineLevel="0" collapsed="false">
      <c r="A1625" s="20" t="str">
        <f aca="false">IF(AND(Eingabe!$F$17&gt;0,Eingabe!$E$17&gt;=1),9,"")</f>
        <v/>
      </c>
      <c r="B1625" s="20" t="str">
        <f aca="false">IF(AND(Eingabe!$F$17&gt;0,Eingabe!$E$17&gt;=1),Eingabe!$B$17,"")</f>
        <v/>
      </c>
      <c r="C1625" s="20" t="str">
        <f aca="false">IF(AND(Eingabe!$F$17&gt;0,Eingabe!$E$17&gt;=1),Eingabe!$C$17&amp;"-Paz."&amp;TEXT(1,"000"),"")</f>
        <v/>
      </c>
      <c r="D1625" s="20" t="str">
        <f aca="false">IF(AND(Eingabe!$F$17&gt;0,Eingabe!$E$17&gt;=1),1,"")</f>
        <v/>
      </c>
      <c r="E1625" s="20" t="str">
        <f aca="false">IF(AND(Eingabe!$F$17&gt;0,Eingabe!$E$17&gt;=1),IF((Eingabe!$G$17)&lt;=9,1000+(Eingabe!$G$17)*100,3000)+1,"")</f>
        <v/>
      </c>
      <c r="F1625" s="20" t="str">
        <f aca="false">IF(AND(Eingabe!$F$17&gt;0,Eingabe!$E$17&gt;=1),"10."&amp;Eingabe!$D$17&amp;".1.0/24","")</f>
        <v/>
      </c>
      <c r="G1625" s="20" t="str">
        <f aca="false">IF(AND(Eingabe!$F$17&gt;0,Eingabe!$E$17&gt;=1),"10."&amp;Eingabe!$D$17&amp;".1.1","")</f>
        <v/>
      </c>
      <c r="H1625" s="20" t="str">
        <f aca="false">IF(AND(Eingabe!$F$17&gt;0,Eingabe!$E$17&gt;=1),"10."&amp;Eingabe!$D$17&amp;".1.10 – 10."&amp;Eingabe!$D$17&amp;".1.250","")</f>
        <v/>
      </c>
      <c r="I1625" s="20" t="str">
        <f aca="false">IF(AND(Eingabe!$F$17&gt;0,Eingabe!$E$17&gt;=1),Eingabe!$B$6&amp;"-"&amp;Eingabe!$C$17&amp;"-Pächter","")</f>
        <v/>
      </c>
      <c r="J1625" s="20" t="str">
        <f aca="false">IF(AND(Eingabe!$F$17&gt;0,Eingabe!$E$17&gt;=1),"PPSK: Passwort Parzelle 1","")</f>
        <v/>
      </c>
      <c r="K1625" s="20" t="str">
        <f aca="false">IF(AND(Eingabe!$F$17&gt;0,Eingabe!$E$17&gt;=1),"1. Gerät: 10."&amp;Eingabe!$D$17&amp;".1.10, 2. Gerät: .11","")</f>
        <v/>
      </c>
    </row>
    <row r="1626" customFormat="false" ht="15" hidden="false" customHeight="false" outlineLevel="0" collapsed="false">
      <c r="A1626" s="20" t="str">
        <f aca="false">IF(AND(Eingabe!$F$17&gt;0,Eingabe!$E$17&gt;=2),9,"")</f>
        <v/>
      </c>
      <c r="B1626" s="20" t="str">
        <f aca="false">IF(AND(Eingabe!$F$17&gt;0,Eingabe!$E$17&gt;=2),Eingabe!$B$17,"")</f>
        <v/>
      </c>
      <c r="C1626" s="20" t="str">
        <f aca="false">IF(AND(Eingabe!$F$17&gt;0,Eingabe!$E$17&gt;=2),Eingabe!$C$17&amp;"-Paz."&amp;TEXT(2,"000"),"")</f>
        <v/>
      </c>
      <c r="D1626" s="20" t="str">
        <f aca="false">IF(AND(Eingabe!$F$17&gt;0,Eingabe!$E$17&gt;=2),2,"")</f>
        <v/>
      </c>
      <c r="E1626" s="20" t="str">
        <f aca="false">IF(AND(Eingabe!$F$17&gt;0,Eingabe!$E$17&gt;=2),IF((Eingabe!$G$17)&lt;=9,1000+(Eingabe!$G$17)*100,3000)+2,"")</f>
        <v/>
      </c>
      <c r="F1626" s="20" t="str">
        <f aca="false">IF(AND(Eingabe!$F$17&gt;0,Eingabe!$E$17&gt;=2),"10."&amp;Eingabe!$D$17&amp;".2.0/24","")</f>
        <v/>
      </c>
      <c r="G1626" s="20" t="str">
        <f aca="false">IF(AND(Eingabe!$F$17&gt;0,Eingabe!$E$17&gt;=2),"10."&amp;Eingabe!$D$17&amp;".2.1","")</f>
        <v/>
      </c>
      <c r="H1626" s="20" t="str">
        <f aca="false">IF(AND(Eingabe!$F$17&gt;0,Eingabe!$E$17&gt;=2),"10."&amp;Eingabe!$D$17&amp;".2.10 – 10."&amp;Eingabe!$D$17&amp;".2.250","")</f>
        <v/>
      </c>
      <c r="I1626" s="20" t="str">
        <f aca="false">IF(AND(Eingabe!$F$17&gt;0,Eingabe!$E$17&gt;=2),Eingabe!$B$6&amp;"-"&amp;Eingabe!$C$17&amp;"-Pächter","")</f>
        <v/>
      </c>
      <c r="J1626" s="20" t="str">
        <f aca="false">IF(AND(Eingabe!$F$17&gt;0,Eingabe!$E$17&gt;=2),"PPSK: Passwort Parzelle 2","")</f>
        <v/>
      </c>
      <c r="K1626" s="20" t="str">
        <f aca="false">IF(AND(Eingabe!$F$17&gt;0,Eingabe!$E$17&gt;=2),"1. Gerät: 10."&amp;Eingabe!$D$17&amp;".2.10, 2. Gerät: .11","")</f>
        <v/>
      </c>
    </row>
    <row r="1627" customFormat="false" ht="15" hidden="false" customHeight="false" outlineLevel="0" collapsed="false">
      <c r="A1627" s="20" t="str">
        <f aca="false">IF(AND(Eingabe!$F$17&gt;0,Eingabe!$E$17&gt;=3),9,"")</f>
        <v/>
      </c>
      <c r="B1627" s="20" t="str">
        <f aca="false">IF(AND(Eingabe!$F$17&gt;0,Eingabe!$E$17&gt;=3),Eingabe!$B$17,"")</f>
        <v/>
      </c>
      <c r="C1627" s="20" t="str">
        <f aca="false">IF(AND(Eingabe!$F$17&gt;0,Eingabe!$E$17&gt;=3),Eingabe!$C$17&amp;"-Paz."&amp;TEXT(3,"000"),"")</f>
        <v/>
      </c>
      <c r="D1627" s="20" t="str">
        <f aca="false">IF(AND(Eingabe!$F$17&gt;0,Eingabe!$E$17&gt;=3),3,"")</f>
        <v/>
      </c>
      <c r="E1627" s="20" t="str">
        <f aca="false">IF(AND(Eingabe!$F$17&gt;0,Eingabe!$E$17&gt;=3),IF((Eingabe!$G$17)&lt;=9,1000+(Eingabe!$G$17)*100,3000)+3,"")</f>
        <v/>
      </c>
      <c r="F1627" s="20" t="str">
        <f aca="false">IF(AND(Eingabe!$F$17&gt;0,Eingabe!$E$17&gt;=3),"10."&amp;Eingabe!$D$17&amp;".3.0/24","")</f>
        <v/>
      </c>
      <c r="G1627" s="20" t="str">
        <f aca="false">IF(AND(Eingabe!$F$17&gt;0,Eingabe!$E$17&gt;=3),"10."&amp;Eingabe!$D$17&amp;".3.1","")</f>
        <v/>
      </c>
      <c r="H1627" s="20" t="str">
        <f aca="false">IF(AND(Eingabe!$F$17&gt;0,Eingabe!$E$17&gt;=3),"10."&amp;Eingabe!$D$17&amp;".3.10 – 10."&amp;Eingabe!$D$17&amp;".3.250","")</f>
        <v/>
      </c>
      <c r="I1627" s="20" t="str">
        <f aca="false">IF(AND(Eingabe!$F$17&gt;0,Eingabe!$E$17&gt;=3),Eingabe!$B$6&amp;"-"&amp;Eingabe!$C$17&amp;"-Pächter","")</f>
        <v/>
      </c>
      <c r="J1627" s="20" t="str">
        <f aca="false">IF(AND(Eingabe!$F$17&gt;0,Eingabe!$E$17&gt;=3),"PPSK: Passwort Parzelle 3","")</f>
        <v/>
      </c>
      <c r="K1627" s="20" t="str">
        <f aca="false">IF(AND(Eingabe!$F$17&gt;0,Eingabe!$E$17&gt;=3),"1. Gerät: 10."&amp;Eingabe!$D$17&amp;".3.10, 2. Gerät: .11","")</f>
        <v/>
      </c>
    </row>
    <row r="1628" customFormat="false" ht="15" hidden="false" customHeight="false" outlineLevel="0" collapsed="false">
      <c r="A1628" s="20" t="str">
        <f aca="false">IF(AND(Eingabe!$F$17&gt;0,Eingabe!$E$17&gt;=4),9,"")</f>
        <v/>
      </c>
      <c r="B1628" s="20" t="str">
        <f aca="false">IF(AND(Eingabe!$F$17&gt;0,Eingabe!$E$17&gt;=4),Eingabe!$B$17,"")</f>
        <v/>
      </c>
      <c r="C1628" s="20" t="str">
        <f aca="false">IF(AND(Eingabe!$F$17&gt;0,Eingabe!$E$17&gt;=4),Eingabe!$C$17&amp;"-Paz."&amp;TEXT(4,"000"),"")</f>
        <v/>
      </c>
      <c r="D1628" s="20" t="str">
        <f aca="false">IF(AND(Eingabe!$F$17&gt;0,Eingabe!$E$17&gt;=4),4,"")</f>
        <v/>
      </c>
      <c r="E1628" s="20" t="str">
        <f aca="false">IF(AND(Eingabe!$F$17&gt;0,Eingabe!$E$17&gt;=4),IF((Eingabe!$G$17)&lt;=9,1000+(Eingabe!$G$17)*100,3000)+4,"")</f>
        <v/>
      </c>
      <c r="F1628" s="20" t="str">
        <f aca="false">IF(AND(Eingabe!$F$17&gt;0,Eingabe!$E$17&gt;=4),"10."&amp;Eingabe!$D$17&amp;".4.0/24","")</f>
        <v/>
      </c>
      <c r="G1628" s="20" t="str">
        <f aca="false">IF(AND(Eingabe!$F$17&gt;0,Eingabe!$E$17&gt;=4),"10."&amp;Eingabe!$D$17&amp;".4.1","")</f>
        <v/>
      </c>
      <c r="H1628" s="20" t="str">
        <f aca="false">IF(AND(Eingabe!$F$17&gt;0,Eingabe!$E$17&gt;=4),"10."&amp;Eingabe!$D$17&amp;".4.10 – 10."&amp;Eingabe!$D$17&amp;".4.250","")</f>
        <v/>
      </c>
      <c r="I1628" s="20" t="str">
        <f aca="false">IF(AND(Eingabe!$F$17&gt;0,Eingabe!$E$17&gt;=4),Eingabe!$B$6&amp;"-"&amp;Eingabe!$C$17&amp;"-Pächter","")</f>
        <v/>
      </c>
      <c r="J1628" s="20" t="str">
        <f aca="false">IF(AND(Eingabe!$F$17&gt;0,Eingabe!$E$17&gt;=4),"PPSK: Passwort Parzelle 4","")</f>
        <v/>
      </c>
      <c r="K1628" s="20" t="str">
        <f aca="false">IF(AND(Eingabe!$F$17&gt;0,Eingabe!$E$17&gt;=4),"1. Gerät: 10."&amp;Eingabe!$D$17&amp;".4.10, 2. Gerät: .11","")</f>
        <v/>
      </c>
    </row>
    <row r="1629" customFormat="false" ht="15" hidden="false" customHeight="false" outlineLevel="0" collapsed="false">
      <c r="A1629" s="20" t="str">
        <f aca="false">IF(AND(Eingabe!$F$17&gt;0,Eingabe!$E$17&gt;=5),9,"")</f>
        <v/>
      </c>
      <c r="B1629" s="20" t="str">
        <f aca="false">IF(AND(Eingabe!$F$17&gt;0,Eingabe!$E$17&gt;=5),Eingabe!$B$17,"")</f>
        <v/>
      </c>
      <c r="C1629" s="20" t="str">
        <f aca="false">IF(AND(Eingabe!$F$17&gt;0,Eingabe!$E$17&gt;=5),Eingabe!$C$17&amp;"-Paz."&amp;TEXT(5,"000"),"")</f>
        <v/>
      </c>
      <c r="D1629" s="20" t="str">
        <f aca="false">IF(AND(Eingabe!$F$17&gt;0,Eingabe!$E$17&gt;=5),5,"")</f>
        <v/>
      </c>
      <c r="E1629" s="20" t="str">
        <f aca="false">IF(AND(Eingabe!$F$17&gt;0,Eingabe!$E$17&gt;=5),IF((Eingabe!$G$17)&lt;=9,1000+(Eingabe!$G$17)*100,3000)+5,"")</f>
        <v/>
      </c>
      <c r="F1629" s="20" t="str">
        <f aca="false">IF(AND(Eingabe!$F$17&gt;0,Eingabe!$E$17&gt;=5),"10."&amp;Eingabe!$D$17&amp;".5.0/24","")</f>
        <v/>
      </c>
      <c r="G1629" s="20" t="str">
        <f aca="false">IF(AND(Eingabe!$F$17&gt;0,Eingabe!$E$17&gt;=5),"10."&amp;Eingabe!$D$17&amp;".5.1","")</f>
        <v/>
      </c>
      <c r="H1629" s="20" t="str">
        <f aca="false">IF(AND(Eingabe!$F$17&gt;0,Eingabe!$E$17&gt;=5),"10."&amp;Eingabe!$D$17&amp;".5.10 – 10."&amp;Eingabe!$D$17&amp;".5.250","")</f>
        <v/>
      </c>
      <c r="I1629" s="20" t="str">
        <f aca="false">IF(AND(Eingabe!$F$17&gt;0,Eingabe!$E$17&gt;=5),Eingabe!$B$6&amp;"-"&amp;Eingabe!$C$17&amp;"-Pächter","")</f>
        <v/>
      </c>
      <c r="J1629" s="20" t="str">
        <f aca="false">IF(AND(Eingabe!$F$17&gt;0,Eingabe!$E$17&gt;=5),"PPSK: Passwort Parzelle 5","")</f>
        <v/>
      </c>
      <c r="K1629" s="20" t="str">
        <f aca="false">IF(AND(Eingabe!$F$17&gt;0,Eingabe!$E$17&gt;=5),"1. Gerät: 10."&amp;Eingabe!$D$17&amp;".5.10, 2. Gerät: .11","")</f>
        <v/>
      </c>
    </row>
    <row r="1630" customFormat="false" ht="15" hidden="false" customHeight="false" outlineLevel="0" collapsed="false">
      <c r="A1630" s="20" t="str">
        <f aca="false">IF(AND(Eingabe!$F$17&gt;0,Eingabe!$E$17&gt;=6),9,"")</f>
        <v/>
      </c>
      <c r="B1630" s="20" t="str">
        <f aca="false">IF(AND(Eingabe!$F$17&gt;0,Eingabe!$E$17&gt;=6),Eingabe!$B$17,"")</f>
        <v/>
      </c>
      <c r="C1630" s="20" t="str">
        <f aca="false">IF(AND(Eingabe!$F$17&gt;0,Eingabe!$E$17&gt;=6),Eingabe!$C$17&amp;"-Paz."&amp;TEXT(6,"000"),"")</f>
        <v/>
      </c>
      <c r="D1630" s="20" t="str">
        <f aca="false">IF(AND(Eingabe!$F$17&gt;0,Eingabe!$E$17&gt;=6),6,"")</f>
        <v/>
      </c>
      <c r="E1630" s="20" t="str">
        <f aca="false">IF(AND(Eingabe!$F$17&gt;0,Eingabe!$E$17&gt;=6),IF((Eingabe!$G$17)&lt;=9,1000+(Eingabe!$G$17)*100,3000)+6,"")</f>
        <v/>
      </c>
      <c r="F1630" s="20" t="str">
        <f aca="false">IF(AND(Eingabe!$F$17&gt;0,Eingabe!$E$17&gt;=6),"10."&amp;Eingabe!$D$17&amp;".6.0/24","")</f>
        <v/>
      </c>
      <c r="G1630" s="20" t="str">
        <f aca="false">IF(AND(Eingabe!$F$17&gt;0,Eingabe!$E$17&gt;=6),"10."&amp;Eingabe!$D$17&amp;".6.1","")</f>
        <v/>
      </c>
      <c r="H1630" s="20" t="str">
        <f aca="false">IF(AND(Eingabe!$F$17&gt;0,Eingabe!$E$17&gt;=6),"10."&amp;Eingabe!$D$17&amp;".6.10 – 10."&amp;Eingabe!$D$17&amp;".6.250","")</f>
        <v/>
      </c>
      <c r="I1630" s="20" t="str">
        <f aca="false">IF(AND(Eingabe!$F$17&gt;0,Eingabe!$E$17&gt;=6),Eingabe!$B$6&amp;"-"&amp;Eingabe!$C$17&amp;"-Pächter","")</f>
        <v/>
      </c>
      <c r="J1630" s="20" t="str">
        <f aca="false">IF(AND(Eingabe!$F$17&gt;0,Eingabe!$E$17&gt;=6),"PPSK: Passwort Parzelle 6","")</f>
        <v/>
      </c>
      <c r="K1630" s="20" t="str">
        <f aca="false">IF(AND(Eingabe!$F$17&gt;0,Eingabe!$E$17&gt;=6),"1. Gerät: 10."&amp;Eingabe!$D$17&amp;".6.10, 2. Gerät: .11","")</f>
        <v/>
      </c>
    </row>
    <row r="1631" customFormat="false" ht="15" hidden="false" customHeight="false" outlineLevel="0" collapsed="false">
      <c r="A1631" s="20" t="str">
        <f aca="false">IF(AND(Eingabe!$F$17&gt;0,Eingabe!$E$17&gt;=7),9,"")</f>
        <v/>
      </c>
      <c r="B1631" s="20" t="str">
        <f aca="false">IF(AND(Eingabe!$F$17&gt;0,Eingabe!$E$17&gt;=7),Eingabe!$B$17,"")</f>
        <v/>
      </c>
      <c r="C1631" s="20" t="str">
        <f aca="false">IF(AND(Eingabe!$F$17&gt;0,Eingabe!$E$17&gt;=7),Eingabe!$C$17&amp;"-Paz."&amp;TEXT(7,"000"),"")</f>
        <v/>
      </c>
      <c r="D1631" s="20" t="str">
        <f aca="false">IF(AND(Eingabe!$F$17&gt;0,Eingabe!$E$17&gt;=7),7,"")</f>
        <v/>
      </c>
      <c r="E1631" s="20" t="str">
        <f aca="false">IF(AND(Eingabe!$F$17&gt;0,Eingabe!$E$17&gt;=7),IF((Eingabe!$G$17)&lt;=9,1000+(Eingabe!$G$17)*100,3000)+7,"")</f>
        <v/>
      </c>
      <c r="F1631" s="20" t="str">
        <f aca="false">IF(AND(Eingabe!$F$17&gt;0,Eingabe!$E$17&gt;=7),"10."&amp;Eingabe!$D$17&amp;".7.0/24","")</f>
        <v/>
      </c>
      <c r="G1631" s="20" t="str">
        <f aca="false">IF(AND(Eingabe!$F$17&gt;0,Eingabe!$E$17&gt;=7),"10."&amp;Eingabe!$D$17&amp;".7.1","")</f>
        <v/>
      </c>
      <c r="H1631" s="20" t="str">
        <f aca="false">IF(AND(Eingabe!$F$17&gt;0,Eingabe!$E$17&gt;=7),"10."&amp;Eingabe!$D$17&amp;".7.10 – 10."&amp;Eingabe!$D$17&amp;".7.250","")</f>
        <v/>
      </c>
      <c r="I1631" s="20" t="str">
        <f aca="false">IF(AND(Eingabe!$F$17&gt;0,Eingabe!$E$17&gt;=7),Eingabe!$B$6&amp;"-"&amp;Eingabe!$C$17&amp;"-Pächter","")</f>
        <v/>
      </c>
      <c r="J1631" s="20" t="str">
        <f aca="false">IF(AND(Eingabe!$F$17&gt;0,Eingabe!$E$17&gt;=7),"PPSK: Passwort Parzelle 7","")</f>
        <v/>
      </c>
      <c r="K1631" s="20" t="str">
        <f aca="false">IF(AND(Eingabe!$F$17&gt;0,Eingabe!$E$17&gt;=7),"1. Gerät: 10."&amp;Eingabe!$D$17&amp;".7.10, 2. Gerät: .11","")</f>
        <v/>
      </c>
    </row>
    <row r="1632" customFormat="false" ht="15" hidden="false" customHeight="false" outlineLevel="0" collapsed="false">
      <c r="A1632" s="20" t="str">
        <f aca="false">IF(AND(Eingabe!$F$17&gt;0,Eingabe!$E$17&gt;=8),9,"")</f>
        <v/>
      </c>
      <c r="B1632" s="20" t="str">
        <f aca="false">IF(AND(Eingabe!$F$17&gt;0,Eingabe!$E$17&gt;=8),Eingabe!$B$17,"")</f>
        <v/>
      </c>
      <c r="C1632" s="20" t="str">
        <f aca="false">IF(AND(Eingabe!$F$17&gt;0,Eingabe!$E$17&gt;=8),Eingabe!$C$17&amp;"-Paz."&amp;TEXT(8,"000"),"")</f>
        <v/>
      </c>
      <c r="D1632" s="20" t="str">
        <f aca="false">IF(AND(Eingabe!$F$17&gt;0,Eingabe!$E$17&gt;=8),8,"")</f>
        <v/>
      </c>
      <c r="E1632" s="20" t="str">
        <f aca="false">IF(AND(Eingabe!$F$17&gt;0,Eingabe!$E$17&gt;=8),IF((Eingabe!$G$17)&lt;=9,1000+(Eingabe!$G$17)*100,3000)+8,"")</f>
        <v/>
      </c>
      <c r="F1632" s="20" t="str">
        <f aca="false">IF(AND(Eingabe!$F$17&gt;0,Eingabe!$E$17&gt;=8),"10."&amp;Eingabe!$D$17&amp;".8.0/24","")</f>
        <v/>
      </c>
      <c r="G1632" s="20" t="str">
        <f aca="false">IF(AND(Eingabe!$F$17&gt;0,Eingabe!$E$17&gt;=8),"10."&amp;Eingabe!$D$17&amp;".8.1","")</f>
        <v/>
      </c>
      <c r="H1632" s="20" t="str">
        <f aca="false">IF(AND(Eingabe!$F$17&gt;0,Eingabe!$E$17&gt;=8),"10."&amp;Eingabe!$D$17&amp;".8.10 – 10."&amp;Eingabe!$D$17&amp;".8.250","")</f>
        <v/>
      </c>
      <c r="I1632" s="20" t="str">
        <f aca="false">IF(AND(Eingabe!$F$17&gt;0,Eingabe!$E$17&gt;=8),Eingabe!$B$6&amp;"-"&amp;Eingabe!$C$17&amp;"-Pächter","")</f>
        <v/>
      </c>
      <c r="J1632" s="20" t="str">
        <f aca="false">IF(AND(Eingabe!$F$17&gt;0,Eingabe!$E$17&gt;=8),"PPSK: Passwort Parzelle 8","")</f>
        <v/>
      </c>
      <c r="K1632" s="20" t="str">
        <f aca="false">IF(AND(Eingabe!$F$17&gt;0,Eingabe!$E$17&gt;=8),"1. Gerät: 10."&amp;Eingabe!$D$17&amp;".8.10, 2. Gerät: .11","")</f>
        <v/>
      </c>
    </row>
    <row r="1633" customFormat="false" ht="15" hidden="false" customHeight="false" outlineLevel="0" collapsed="false">
      <c r="A1633" s="20" t="str">
        <f aca="false">IF(AND(Eingabe!$F$17&gt;0,Eingabe!$E$17&gt;=9),9,"")</f>
        <v/>
      </c>
      <c r="B1633" s="20" t="str">
        <f aca="false">IF(AND(Eingabe!$F$17&gt;0,Eingabe!$E$17&gt;=9),Eingabe!$B$17,"")</f>
        <v/>
      </c>
      <c r="C1633" s="20" t="str">
        <f aca="false">IF(AND(Eingabe!$F$17&gt;0,Eingabe!$E$17&gt;=9),Eingabe!$C$17&amp;"-Paz."&amp;TEXT(9,"000"),"")</f>
        <v/>
      </c>
      <c r="D1633" s="20" t="str">
        <f aca="false">IF(AND(Eingabe!$F$17&gt;0,Eingabe!$E$17&gt;=9),9,"")</f>
        <v/>
      </c>
      <c r="E1633" s="20" t="str">
        <f aca="false">IF(AND(Eingabe!$F$17&gt;0,Eingabe!$E$17&gt;=9),IF((Eingabe!$G$17)&lt;=9,1000+(Eingabe!$G$17)*100,3000)+9,"")</f>
        <v/>
      </c>
      <c r="F1633" s="20" t="str">
        <f aca="false">IF(AND(Eingabe!$F$17&gt;0,Eingabe!$E$17&gt;=9),"10."&amp;Eingabe!$D$17&amp;".9.0/24","")</f>
        <v/>
      </c>
      <c r="G1633" s="20" t="str">
        <f aca="false">IF(AND(Eingabe!$F$17&gt;0,Eingabe!$E$17&gt;=9),"10."&amp;Eingabe!$D$17&amp;".9.1","")</f>
        <v/>
      </c>
      <c r="H1633" s="20" t="str">
        <f aca="false">IF(AND(Eingabe!$F$17&gt;0,Eingabe!$E$17&gt;=9),"10."&amp;Eingabe!$D$17&amp;".9.10 – 10."&amp;Eingabe!$D$17&amp;".9.250","")</f>
        <v/>
      </c>
      <c r="I1633" s="20" t="str">
        <f aca="false">IF(AND(Eingabe!$F$17&gt;0,Eingabe!$E$17&gt;=9),Eingabe!$B$6&amp;"-"&amp;Eingabe!$C$17&amp;"-Pächter","")</f>
        <v/>
      </c>
      <c r="J1633" s="20" t="str">
        <f aca="false">IF(AND(Eingabe!$F$17&gt;0,Eingabe!$E$17&gt;=9),"PPSK: Passwort Parzelle 9","")</f>
        <v/>
      </c>
      <c r="K1633" s="20" t="str">
        <f aca="false">IF(AND(Eingabe!$F$17&gt;0,Eingabe!$E$17&gt;=9),"1. Gerät: 10."&amp;Eingabe!$D$17&amp;".9.10, 2. Gerät: .11","")</f>
        <v/>
      </c>
    </row>
    <row r="1634" customFormat="false" ht="15" hidden="false" customHeight="false" outlineLevel="0" collapsed="false">
      <c r="A1634" s="20" t="str">
        <f aca="false">IF(AND(Eingabe!$F$17&gt;0,Eingabe!$E$17&gt;=10),9,"")</f>
        <v/>
      </c>
      <c r="B1634" s="20" t="str">
        <f aca="false">IF(AND(Eingabe!$F$17&gt;0,Eingabe!$E$17&gt;=10),Eingabe!$B$17,"")</f>
        <v/>
      </c>
      <c r="C1634" s="20" t="str">
        <f aca="false">IF(AND(Eingabe!$F$17&gt;0,Eingabe!$E$17&gt;=10),Eingabe!$C$17&amp;"-Paz."&amp;TEXT(10,"000"),"")</f>
        <v/>
      </c>
      <c r="D1634" s="20" t="str">
        <f aca="false">IF(AND(Eingabe!$F$17&gt;0,Eingabe!$E$17&gt;=10),10,"")</f>
        <v/>
      </c>
      <c r="E1634" s="20" t="str">
        <f aca="false">IF(AND(Eingabe!$F$17&gt;0,Eingabe!$E$17&gt;=10),IF((Eingabe!$G$17)&lt;=9,1000+(Eingabe!$G$17)*100,3000)+10,"")</f>
        <v/>
      </c>
      <c r="F1634" s="20" t="str">
        <f aca="false">IF(AND(Eingabe!$F$17&gt;0,Eingabe!$E$17&gt;=10),"10."&amp;Eingabe!$D$17&amp;".10.0/24","")</f>
        <v/>
      </c>
      <c r="G1634" s="20" t="str">
        <f aca="false">IF(AND(Eingabe!$F$17&gt;0,Eingabe!$E$17&gt;=10),"10."&amp;Eingabe!$D$17&amp;".10.1","")</f>
        <v/>
      </c>
      <c r="H1634" s="20" t="str">
        <f aca="false">IF(AND(Eingabe!$F$17&gt;0,Eingabe!$E$17&gt;=10),"10."&amp;Eingabe!$D$17&amp;".10.10 – 10."&amp;Eingabe!$D$17&amp;".10.250","")</f>
        <v/>
      </c>
      <c r="I1634" s="20" t="str">
        <f aca="false">IF(AND(Eingabe!$F$17&gt;0,Eingabe!$E$17&gt;=10),Eingabe!$B$6&amp;"-"&amp;Eingabe!$C$17&amp;"-Pächter","")</f>
        <v/>
      </c>
      <c r="J1634" s="20" t="str">
        <f aca="false">IF(AND(Eingabe!$F$17&gt;0,Eingabe!$E$17&gt;=10),"PPSK: Passwort Parzelle 10","")</f>
        <v/>
      </c>
      <c r="K1634" s="20" t="str">
        <f aca="false">IF(AND(Eingabe!$F$17&gt;0,Eingabe!$E$17&gt;=10),"1. Gerät: 10."&amp;Eingabe!$D$17&amp;".10.10, 2. Gerät: .11","")</f>
        <v/>
      </c>
    </row>
    <row r="1635" customFormat="false" ht="15" hidden="false" customHeight="false" outlineLevel="0" collapsed="false">
      <c r="A1635" s="20" t="str">
        <f aca="false">IF(AND(Eingabe!$F$17&gt;0,Eingabe!$E$17&gt;=11),9,"")</f>
        <v/>
      </c>
      <c r="B1635" s="20" t="str">
        <f aca="false">IF(AND(Eingabe!$F$17&gt;0,Eingabe!$E$17&gt;=11),Eingabe!$B$17,"")</f>
        <v/>
      </c>
      <c r="C1635" s="20" t="str">
        <f aca="false">IF(AND(Eingabe!$F$17&gt;0,Eingabe!$E$17&gt;=11),Eingabe!$C$17&amp;"-Paz."&amp;TEXT(11,"000"),"")</f>
        <v/>
      </c>
      <c r="D1635" s="20" t="str">
        <f aca="false">IF(AND(Eingabe!$F$17&gt;0,Eingabe!$E$17&gt;=11),11,"")</f>
        <v/>
      </c>
      <c r="E1635" s="20" t="str">
        <f aca="false">IF(AND(Eingabe!$F$17&gt;0,Eingabe!$E$17&gt;=11),IF((Eingabe!$G$17)&lt;=9,1000+(Eingabe!$G$17)*100,3000)+11,"")</f>
        <v/>
      </c>
      <c r="F1635" s="20" t="str">
        <f aca="false">IF(AND(Eingabe!$F$17&gt;0,Eingabe!$E$17&gt;=11),"10."&amp;Eingabe!$D$17&amp;".11.0/24","")</f>
        <v/>
      </c>
      <c r="G1635" s="20" t="str">
        <f aca="false">IF(AND(Eingabe!$F$17&gt;0,Eingabe!$E$17&gt;=11),"10."&amp;Eingabe!$D$17&amp;".11.1","")</f>
        <v/>
      </c>
      <c r="H1635" s="20" t="str">
        <f aca="false">IF(AND(Eingabe!$F$17&gt;0,Eingabe!$E$17&gt;=11),"10."&amp;Eingabe!$D$17&amp;".11.10 – 10."&amp;Eingabe!$D$17&amp;".11.250","")</f>
        <v/>
      </c>
      <c r="I1635" s="20" t="str">
        <f aca="false">IF(AND(Eingabe!$F$17&gt;0,Eingabe!$E$17&gt;=11),Eingabe!$B$6&amp;"-"&amp;Eingabe!$C$17&amp;"-Pächter","")</f>
        <v/>
      </c>
      <c r="J1635" s="20" t="str">
        <f aca="false">IF(AND(Eingabe!$F$17&gt;0,Eingabe!$E$17&gt;=11),"PPSK: Passwort Parzelle 11","")</f>
        <v/>
      </c>
      <c r="K1635" s="20" t="str">
        <f aca="false">IF(AND(Eingabe!$F$17&gt;0,Eingabe!$E$17&gt;=11),"1. Gerät: 10."&amp;Eingabe!$D$17&amp;".11.10, 2. Gerät: .11","")</f>
        <v/>
      </c>
    </row>
    <row r="1636" customFormat="false" ht="15" hidden="false" customHeight="false" outlineLevel="0" collapsed="false">
      <c r="A1636" s="20" t="str">
        <f aca="false">IF(AND(Eingabe!$F$17&gt;0,Eingabe!$E$17&gt;=12),9,"")</f>
        <v/>
      </c>
      <c r="B1636" s="20" t="str">
        <f aca="false">IF(AND(Eingabe!$F$17&gt;0,Eingabe!$E$17&gt;=12),Eingabe!$B$17,"")</f>
        <v/>
      </c>
      <c r="C1636" s="20" t="str">
        <f aca="false">IF(AND(Eingabe!$F$17&gt;0,Eingabe!$E$17&gt;=12),Eingabe!$C$17&amp;"-Paz."&amp;TEXT(12,"000"),"")</f>
        <v/>
      </c>
      <c r="D1636" s="20" t="str">
        <f aca="false">IF(AND(Eingabe!$F$17&gt;0,Eingabe!$E$17&gt;=12),12,"")</f>
        <v/>
      </c>
      <c r="E1636" s="20" t="str">
        <f aca="false">IF(AND(Eingabe!$F$17&gt;0,Eingabe!$E$17&gt;=12),IF((Eingabe!$G$17)&lt;=9,1000+(Eingabe!$G$17)*100,3000)+12,"")</f>
        <v/>
      </c>
      <c r="F1636" s="20" t="str">
        <f aca="false">IF(AND(Eingabe!$F$17&gt;0,Eingabe!$E$17&gt;=12),"10."&amp;Eingabe!$D$17&amp;".12.0/24","")</f>
        <v/>
      </c>
      <c r="G1636" s="20" t="str">
        <f aca="false">IF(AND(Eingabe!$F$17&gt;0,Eingabe!$E$17&gt;=12),"10."&amp;Eingabe!$D$17&amp;".12.1","")</f>
        <v/>
      </c>
      <c r="H1636" s="20" t="str">
        <f aca="false">IF(AND(Eingabe!$F$17&gt;0,Eingabe!$E$17&gt;=12),"10."&amp;Eingabe!$D$17&amp;".12.10 – 10."&amp;Eingabe!$D$17&amp;".12.250","")</f>
        <v/>
      </c>
      <c r="I1636" s="20" t="str">
        <f aca="false">IF(AND(Eingabe!$F$17&gt;0,Eingabe!$E$17&gt;=12),Eingabe!$B$6&amp;"-"&amp;Eingabe!$C$17&amp;"-Pächter","")</f>
        <v/>
      </c>
      <c r="J1636" s="20" t="str">
        <f aca="false">IF(AND(Eingabe!$F$17&gt;0,Eingabe!$E$17&gt;=12),"PPSK: Passwort Parzelle 12","")</f>
        <v/>
      </c>
      <c r="K1636" s="20" t="str">
        <f aca="false">IF(AND(Eingabe!$F$17&gt;0,Eingabe!$E$17&gt;=12),"1. Gerät: 10."&amp;Eingabe!$D$17&amp;".12.10, 2. Gerät: .11","")</f>
        <v/>
      </c>
    </row>
    <row r="1637" customFormat="false" ht="15" hidden="false" customHeight="false" outlineLevel="0" collapsed="false">
      <c r="A1637" s="20" t="str">
        <f aca="false">IF(AND(Eingabe!$F$17&gt;0,Eingabe!$E$17&gt;=13),9,"")</f>
        <v/>
      </c>
      <c r="B1637" s="20" t="str">
        <f aca="false">IF(AND(Eingabe!$F$17&gt;0,Eingabe!$E$17&gt;=13),Eingabe!$B$17,"")</f>
        <v/>
      </c>
      <c r="C1637" s="20" t="str">
        <f aca="false">IF(AND(Eingabe!$F$17&gt;0,Eingabe!$E$17&gt;=13),Eingabe!$C$17&amp;"-Paz."&amp;TEXT(13,"000"),"")</f>
        <v/>
      </c>
      <c r="D1637" s="20" t="str">
        <f aca="false">IF(AND(Eingabe!$F$17&gt;0,Eingabe!$E$17&gt;=13),13,"")</f>
        <v/>
      </c>
      <c r="E1637" s="20" t="str">
        <f aca="false">IF(AND(Eingabe!$F$17&gt;0,Eingabe!$E$17&gt;=13),IF((Eingabe!$G$17)&lt;=9,1000+(Eingabe!$G$17)*100,3000)+13,"")</f>
        <v/>
      </c>
      <c r="F1637" s="20" t="str">
        <f aca="false">IF(AND(Eingabe!$F$17&gt;0,Eingabe!$E$17&gt;=13),"10."&amp;Eingabe!$D$17&amp;".13.0/24","")</f>
        <v/>
      </c>
      <c r="G1637" s="20" t="str">
        <f aca="false">IF(AND(Eingabe!$F$17&gt;0,Eingabe!$E$17&gt;=13),"10."&amp;Eingabe!$D$17&amp;".13.1","")</f>
        <v/>
      </c>
      <c r="H1637" s="20" t="str">
        <f aca="false">IF(AND(Eingabe!$F$17&gt;0,Eingabe!$E$17&gt;=13),"10."&amp;Eingabe!$D$17&amp;".13.10 – 10."&amp;Eingabe!$D$17&amp;".13.250","")</f>
        <v/>
      </c>
      <c r="I1637" s="20" t="str">
        <f aca="false">IF(AND(Eingabe!$F$17&gt;0,Eingabe!$E$17&gt;=13),Eingabe!$B$6&amp;"-"&amp;Eingabe!$C$17&amp;"-Pächter","")</f>
        <v/>
      </c>
      <c r="J1637" s="20" t="str">
        <f aca="false">IF(AND(Eingabe!$F$17&gt;0,Eingabe!$E$17&gt;=13),"PPSK: Passwort Parzelle 13","")</f>
        <v/>
      </c>
      <c r="K1637" s="20" t="str">
        <f aca="false">IF(AND(Eingabe!$F$17&gt;0,Eingabe!$E$17&gt;=13),"1. Gerät: 10."&amp;Eingabe!$D$17&amp;".13.10, 2. Gerät: .11","")</f>
        <v/>
      </c>
    </row>
    <row r="1638" customFormat="false" ht="15" hidden="false" customHeight="false" outlineLevel="0" collapsed="false">
      <c r="A1638" s="20" t="str">
        <f aca="false">IF(AND(Eingabe!$F$17&gt;0,Eingabe!$E$17&gt;=14),9,"")</f>
        <v/>
      </c>
      <c r="B1638" s="20" t="str">
        <f aca="false">IF(AND(Eingabe!$F$17&gt;0,Eingabe!$E$17&gt;=14),Eingabe!$B$17,"")</f>
        <v/>
      </c>
      <c r="C1638" s="20" t="str">
        <f aca="false">IF(AND(Eingabe!$F$17&gt;0,Eingabe!$E$17&gt;=14),Eingabe!$C$17&amp;"-Paz."&amp;TEXT(14,"000"),"")</f>
        <v/>
      </c>
      <c r="D1638" s="20" t="str">
        <f aca="false">IF(AND(Eingabe!$F$17&gt;0,Eingabe!$E$17&gt;=14),14,"")</f>
        <v/>
      </c>
      <c r="E1638" s="20" t="str">
        <f aca="false">IF(AND(Eingabe!$F$17&gt;0,Eingabe!$E$17&gt;=14),IF((Eingabe!$G$17)&lt;=9,1000+(Eingabe!$G$17)*100,3000)+14,"")</f>
        <v/>
      </c>
      <c r="F1638" s="20" t="str">
        <f aca="false">IF(AND(Eingabe!$F$17&gt;0,Eingabe!$E$17&gt;=14),"10."&amp;Eingabe!$D$17&amp;".14.0/24","")</f>
        <v/>
      </c>
      <c r="G1638" s="20" t="str">
        <f aca="false">IF(AND(Eingabe!$F$17&gt;0,Eingabe!$E$17&gt;=14),"10."&amp;Eingabe!$D$17&amp;".14.1","")</f>
        <v/>
      </c>
      <c r="H1638" s="20" t="str">
        <f aca="false">IF(AND(Eingabe!$F$17&gt;0,Eingabe!$E$17&gt;=14),"10."&amp;Eingabe!$D$17&amp;".14.10 – 10."&amp;Eingabe!$D$17&amp;".14.250","")</f>
        <v/>
      </c>
      <c r="I1638" s="20" t="str">
        <f aca="false">IF(AND(Eingabe!$F$17&gt;0,Eingabe!$E$17&gt;=14),Eingabe!$B$6&amp;"-"&amp;Eingabe!$C$17&amp;"-Pächter","")</f>
        <v/>
      </c>
      <c r="J1638" s="20" t="str">
        <f aca="false">IF(AND(Eingabe!$F$17&gt;0,Eingabe!$E$17&gt;=14),"PPSK: Passwort Parzelle 14","")</f>
        <v/>
      </c>
      <c r="K1638" s="20" t="str">
        <f aca="false">IF(AND(Eingabe!$F$17&gt;0,Eingabe!$E$17&gt;=14),"1. Gerät: 10."&amp;Eingabe!$D$17&amp;".14.10, 2. Gerät: .11","")</f>
        <v/>
      </c>
    </row>
    <row r="1639" customFormat="false" ht="15" hidden="false" customHeight="false" outlineLevel="0" collapsed="false">
      <c r="A1639" s="20" t="str">
        <f aca="false">IF(AND(Eingabe!$F$17&gt;0,Eingabe!$E$17&gt;=15),9,"")</f>
        <v/>
      </c>
      <c r="B1639" s="20" t="str">
        <f aca="false">IF(AND(Eingabe!$F$17&gt;0,Eingabe!$E$17&gt;=15),Eingabe!$B$17,"")</f>
        <v/>
      </c>
      <c r="C1639" s="20" t="str">
        <f aca="false">IF(AND(Eingabe!$F$17&gt;0,Eingabe!$E$17&gt;=15),Eingabe!$C$17&amp;"-Paz."&amp;TEXT(15,"000"),"")</f>
        <v/>
      </c>
      <c r="D1639" s="20" t="str">
        <f aca="false">IF(AND(Eingabe!$F$17&gt;0,Eingabe!$E$17&gt;=15),15,"")</f>
        <v/>
      </c>
      <c r="E1639" s="20" t="str">
        <f aca="false">IF(AND(Eingabe!$F$17&gt;0,Eingabe!$E$17&gt;=15),IF((Eingabe!$G$17)&lt;=9,1000+(Eingabe!$G$17)*100,3000)+15,"")</f>
        <v/>
      </c>
      <c r="F1639" s="20" t="str">
        <f aca="false">IF(AND(Eingabe!$F$17&gt;0,Eingabe!$E$17&gt;=15),"10."&amp;Eingabe!$D$17&amp;".15.0/24","")</f>
        <v/>
      </c>
      <c r="G1639" s="20" t="str">
        <f aca="false">IF(AND(Eingabe!$F$17&gt;0,Eingabe!$E$17&gt;=15),"10."&amp;Eingabe!$D$17&amp;".15.1","")</f>
        <v/>
      </c>
      <c r="H1639" s="20" t="str">
        <f aca="false">IF(AND(Eingabe!$F$17&gt;0,Eingabe!$E$17&gt;=15),"10."&amp;Eingabe!$D$17&amp;".15.10 – 10."&amp;Eingabe!$D$17&amp;".15.250","")</f>
        <v/>
      </c>
      <c r="I1639" s="20" t="str">
        <f aca="false">IF(AND(Eingabe!$F$17&gt;0,Eingabe!$E$17&gt;=15),Eingabe!$B$6&amp;"-"&amp;Eingabe!$C$17&amp;"-Pächter","")</f>
        <v/>
      </c>
      <c r="J1639" s="20" t="str">
        <f aca="false">IF(AND(Eingabe!$F$17&gt;0,Eingabe!$E$17&gt;=15),"PPSK: Passwort Parzelle 15","")</f>
        <v/>
      </c>
      <c r="K1639" s="20" t="str">
        <f aca="false">IF(AND(Eingabe!$F$17&gt;0,Eingabe!$E$17&gt;=15),"1. Gerät: 10."&amp;Eingabe!$D$17&amp;".15.10, 2. Gerät: .11","")</f>
        <v/>
      </c>
    </row>
    <row r="1640" customFormat="false" ht="15" hidden="false" customHeight="false" outlineLevel="0" collapsed="false">
      <c r="A1640" s="20" t="str">
        <f aca="false">IF(AND(Eingabe!$F$17&gt;0,Eingabe!$E$17&gt;=16),9,"")</f>
        <v/>
      </c>
      <c r="B1640" s="20" t="str">
        <f aca="false">IF(AND(Eingabe!$F$17&gt;0,Eingabe!$E$17&gt;=16),Eingabe!$B$17,"")</f>
        <v/>
      </c>
      <c r="C1640" s="20" t="str">
        <f aca="false">IF(AND(Eingabe!$F$17&gt;0,Eingabe!$E$17&gt;=16),Eingabe!$C$17&amp;"-Paz."&amp;TEXT(16,"000"),"")</f>
        <v/>
      </c>
      <c r="D1640" s="20" t="str">
        <f aca="false">IF(AND(Eingabe!$F$17&gt;0,Eingabe!$E$17&gt;=16),16,"")</f>
        <v/>
      </c>
      <c r="E1640" s="20" t="str">
        <f aca="false">IF(AND(Eingabe!$F$17&gt;0,Eingabe!$E$17&gt;=16),IF((Eingabe!$G$17)&lt;=9,1000+(Eingabe!$G$17)*100,3000)+16,"")</f>
        <v/>
      </c>
      <c r="F1640" s="20" t="str">
        <f aca="false">IF(AND(Eingabe!$F$17&gt;0,Eingabe!$E$17&gt;=16),"10."&amp;Eingabe!$D$17&amp;".16.0/24","")</f>
        <v/>
      </c>
      <c r="G1640" s="20" t="str">
        <f aca="false">IF(AND(Eingabe!$F$17&gt;0,Eingabe!$E$17&gt;=16),"10."&amp;Eingabe!$D$17&amp;".16.1","")</f>
        <v/>
      </c>
      <c r="H1640" s="20" t="str">
        <f aca="false">IF(AND(Eingabe!$F$17&gt;0,Eingabe!$E$17&gt;=16),"10."&amp;Eingabe!$D$17&amp;".16.10 – 10."&amp;Eingabe!$D$17&amp;".16.250","")</f>
        <v/>
      </c>
      <c r="I1640" s="20" t="str">
        <f aca="false">IF(AND(Eingabe!$F$17&gt;0,Eingabe!$E$17&gt;=16),Eingabe!$B$6&amp;"-"&amp;Eingabe!$C$17&amp;"-Pächter","")</f>
        <v/>
      </c>
      <c r="J1640" s="20" t="str">
        <f aca="false">IF(AND(Eingabe!$F$17&gt;0,Eingabe!$E$17&gt;=16),"PPSK: Passwort Parzelle 16","")</f>
        <v/>
      </c>
      <c r="K1640" s="20" t="str">
        <f aca="false">IF(AND(Eingabe!$F$17&gt;0,Eingabe!$E$17&gt;=16),"1. Gerät: 10."&amp;Eingabe!$D$17&amp;".16.10, 2. Gerät: .11","")</f>
        <v/>
      </c>
    </row>
    <row r="1641" customFormat="false" ht="15" hidden="false" customHeight="false" outlineLevel="0" collapsed="false">
      <c r="A1641" s="20" t="str">
        <f aca="false">IF(AND(Eingabe!$F$17&gt;0,Eingabe!$E$17&gt;=17),9,"")</f>
        <v/>
      </c>
      <c r="B1641" s="20" t="str">
        <f aca="false">IF(AND(Eingabe!$F$17&gt;0,Eingabe!$E$17&gt;=17),Eingabe!$B$17,"")</f>
        <v/>
      </c>
      <c r="C1641" s="20" t="str">
        <f aca="false">IF(AND(Eingabe!$F$17&gt;0,Eingabe!$E$17&gt;=17),Eingabe!$C$17&amp;"-Paz."&amp;TEXT(17,"000"),"")</f>
        <v/>
      </c>
      <c r="D1641" s="20" t="str">
        <f aca="false">IF(AND(Eingabe!$F$17&gt;0,Eingabe!$E$17&gt;=17),17,"")</f>
        <v/>
      </c>
      <c r="E1641" s="20" t="str">
        <f aca="false">IF(AND(Eingabe!$F$17&gt;0,Eingabe!$E$17&gt;=17),IF((Eingabe!$G$17)&lt;=9,1000+(Eingabe!$G$17)*100,3000)+17,"")</f>
        <v/>
      </c>
      <c r="F1641" s="20" t="str">
        <f aca="false">IF(AND(Eingabe!$F$17&gt;0,Eingabe!$E$17&gt;=17),"10."&amp;Eingabe!$D$17&amp;".17.0/24","")</f>
        <v/>
      </c>
      <c r="G1641" s="20" t="str">
        <f aca="false">IF(AND(Eingabe!$F$17&gt;0,Eingabe!$E$17&gt;=17),"10."&amp;Eingabe!$D$17&amp;".17.1","")</f>
        <v/>
      </c>
      <c r="H1641" s="20" t="str">
        <f aca="false">IF(AND(Eingabe!$F$17&gt;0,Eingabe!$E$17&gt;=17),"10."&amp;Eingabe!$D$17&amp;".17.10 – 10."&amp;Eingabe!$D$17&amp;".17.250","")</f>
        <v/>
      </c>
      <c r="I1641" s="20" t="str">
        <f aca="false">IF(AND(Eingabe!$F$17&gt;0,Eingabe!$E$17&gt;=17),Eingabe!$B$6&amp;"-"&amp;Eingabe!$C$17&amp;"-Pächter","")</f>
        <v/>
      </c>
      <c r="J1641" s="20" t="str">
        <f aca="false">IF(AND(Eingabe!$F$17&gt;0,Eingabe!$E$17&gt;=17),"PPSK: Passwort Parzelle 17","")</f>
        <v/>
      </c>
      <c r="K1641" s="20" t="str">
        <f aca="false">IF(AND(Eingabe!$F$17&gt;0,Eingabe!$E$17&gt;=17),"1. Gerät: 10."&amp;Eingabe!$D$17&amp;".17.10, 2. Gerät: .11","")</f>
        <v/>
      </c>
    </row>
    <row r="1642" customFormat="false" ht="15" hidden="false" customHeight="false" outlineLevel="0" collapsed="false">
      <c r="A1642" s="20" t="str">
        <f aca="false">IF(AND(Eingabe!$F$17&gt;0,Eingabe!$E$17&gt;=18),9,"")</f>
        <v/>
      </c>
      <c r="B1642" s="20" t="str">
        <f aca="false">IF(AND(Eingabe!$F$17&gt;0,Eingabe!$E$17&gt;=18),Eingabe!$B$17,"")</f>
        <v/>
      </c>
      <c r="C1642" s="20" t="str">
        <f aca="false">IF(AND(Eingabe!$F$17&gt;0,Eingabe!$E$17&gt;=18),Eingabe!$C$17&amp;"-Paz."&amp;TEXT(18,"000"),"")</f>
        <v/>
      </c>
      <c r="D1642" s="20" t="str">
        <f aca="false">IF(AND(Eingabe!$F$17&gt;0,Eingabe!$E$17&gt;=18),18,"")</f>
        <v/>
      </c>
      <c r="E1642" s="20" t="str">
        <f aca="false">IF(AND(Eingabe!$F$17&gt;0,Eingabe!$E$17&gt;=18),IF((Eingabe!$G$17)&lt;=9,1000+(Eingabe!$G$17)*100,3000)+18,"")</f>
        <v/>
      </c>
      <c r="F1642" s="20" t="str">
        <f aca="false">IF(AND(Eingabe!$F$17&gt;0,Eingabe!$E$17&gt;=18),"10."&amp;Eingabe!$D$17&amp;".18.0/24","")</f>
        <v/>
      </c>
      <c r="G1642" s="20" t="str">
        <f aca="false">IF(AND(Eingabe!$F$17&gt;0,Eingabe!$E$17&gt;=18),"10."&amp;Eingabe!$D$17&amp;".18.1","")</f>
        <v/>
      </c>
      <c r="H1642" s="20" t="str">
        <f aca="false">IF(AND(Eingabe!$F$17&gt;0,Eingabe!$E$17&gt;=18),"10."&amp;Eingabe!$D$17&amp;".18.10 – 10."&amp;Eingabe!$D$17&amp;".18.250","")</f>
        <v/>
      </c>
      <c r="I1642" s="20" t="str">
        <f aca="false">IF(AND(Eingabe!$F$17&gt;0,Eingabe!$E$17&gt;=18),Eingabe!$B$6&amp;"-"&amp;Eingabe!$C$17&amp;"-Pächter","")</f>
        <v/>
      </c>
      <c r="J1642" s="20" t="str">
        <f aca="false">IF(AND(Eingabe!$F$17&gt;0,Eingabe!$E$17&gt;=18),"PPSK: Passwort Parzelle 18","")</f>
        <v/>
      </c>
      <c r="K1642" s="20" t="str">
        <f aca="false">IF(AND(Eingabe!$F$17&gt;0,Eingabe!$E$17&gt;=18),"1. Gerät: 10."&amp;Eingabe!$D$17&amp;".18.10, 2. Gerät: .11","")</f>
        <v/>
      </c>
    </row>
    <row r="1643" customFormat="false" ht="15" hidden="false" customHeight="false" outlineLevel="0" collapsed="false">
      <c r="A1643" s="20" t="str">
        <f aca="false">IF(AND(Eingabe!$F$17&gt;0,Eingabe!$E$17&gt;=19),9,"")</f>
        <v/>
      </c>
      <c r="B1643" s="20" t="str">
        <f aca="false">IF(AND(Eingabe!$F$17&gt;0,Eingabe!$E$17&gt;=19),Eingabe!$B$17,"")</f>
        <v/>
      </c>
      <c r="C1643" s="20" t="str">
        <f aca="false">IF(AND(Eingabe!$F$17&gt;0,Eingabe!$E$17&gt;=19),Eingabe!$C$17&amp;"-Paz."&amp;TEXT(19,"000"),"")</f>
        <v/>
      </c>
      <c r="D1643" s="20" t="str">
        <f aca="false">IF(AND(Eingabe!$F$17&gt;0,Eingabe!$E$17&gt;=19),19,"")</f>
        <v/>
      </c>
      <c r="E1643" s="20" t="str">
        <f aca="false">IF(AND(Eingabe!$F$17&gt;0,Eingabe!$E$17&gt;=19),IF((Eingabe!$G$17)&lt;=9,1000+(Eingabe!$G$17)*100,3000)+19,"")</f>
        <v/>
      </c>
      <c r="F1643" s="20" t="str">
        <f aca="false">IF(AND(Eingabe!$F$17&gt;0,Eingabe!$E$17&gt;=19),"10."&amp;Eingabe!$D$17&amp;".19.0/24","")</f>
        <v/>
      </c>
      <c r="G1643" s="20" t="str">
        <f aca="false">IF(AND(Eingabe!$F$17&gt;0,Eingabe!$E$17&gt;=19),"10."&amp;Eingabe!$D$17&amp;".19.1","")</f>
        <v/>
      </c>
      <c r="H1643" s="20" t="str">
        <f aca="false">IF(AND(Eingabe!$F$17&gt;0,Eingabe!$E$17&gt;=19),"10."&amp;Eingabe!$D$17&amp;".19.10 – 10."&amp;Eingabe!$D$17&amp;".19.250","")</f>
        <v/>
      </c>
      <c r="I1643" s="20" t="str">
        <f aca="false">IF(AND(Eingabe!$F$17&gt;0,Eingabe!$E$17&gt;=19),Eingabe!$B$6&amp;"-"&amp;Eingabe!$C$17&amp;"-Pächter","")</f>
        <v/>
      </c>
      <c r="J1643" s="20" t="str">
        <f aca="false">IF(AND(Eingabe!$F$17&gt;0,Eingabe!$E$17&gt;=19),"PPSK: Passwort Parzelle 19","")</f>
        <v/>
      </c>
      <c r="K1643" s="20" t="str">
        <f aca="false">IF(AND(Eingabe!$F$17&gt;0,Eingabe!$E$17&gt;=19),"1. Gerät: 10."&amp;Eingabe!$D$17&amp;".19.10, 2. Gerät: .11","")</f>
        <v/>
      </c>
    </row>
    <row r="1644" customFormat="false" ht="15" hidden="false" customHeight="false" outlineLevel="0" collapsed="false">
      <c r="A1644" s="20" t="str">
        <f aca="false">IF(AND(Eingabe!$F$17&gt;0,Eingabe!$E$17&gt;=20),9,"")</f>
        <v/>
      </c>
      <c r="B1644" s="20" t="str">
        <f aca="false">IF(AND(Eingabe!$F$17&gt;0,Eingabe!$E$17&gt;=20),Eingabe!$B$17,"")</f>
        <v/>
      </c>
      <c r="C1644" s="20" t="str">
        <f aca="false">IF(AND(Eingabe!$F$17&gt;0,Eingabe!$E$17&gt;=20),Eingabe!$C$17&amp;"-Paz."&amp;TEXT(20,"000"),"")</f>
        <v/>
      </c>
      <c r="D1644" s="20" t="str">
        <f aca="false">IF(AND(Eingabe!$F$17&gt;0,Eingabe!$E$17&gt;=20),20,"")</f>
        <v/>
      </c>
      <c r="E1644" s="20" t="str">
        <f aca="false">IF(AND(Eingabe!$F$17&gt;0,Eingabe!$E$17&gt;=20),IF((Eingabe!$G$17)&lt;=9,1000+(Eingabe!$G$17)*100,3000)+20,"")</f>
        <v/>
      </c>
      <c r="F1644" s="20" t="str">
        <f aca="false">IF(AND(Eingabe!$F$17&gt;0,Eingabe!$E$17&gt;=20),"10."&amp;Eingabe!$D$17&amp;".20.0/24","")</f>
        <v/>
      </c>
      <c r="G1644" s="20" t="str">
        <f aca="false">IF(AND(Eingabe!$F$17&gt;0,Eingabe!$E$17&gt;=20),"10."&amp;Eingabe!$D$17&amp;".20.1","")</f>
        <v/>
      </c>
      <c r="H1644" s="20" t="str">
        <f aca="false">IF(AND(Eingabe!$F$17&gt;0,Eingabe!$E$17&gt;=20),"10."&amp;Eingabe!$D$17&amp;".20.10 – 10."&amp;Eingabe!$D$17&amp;".20.250","")</f>
        <v/>
      </c>
      <c r="I1644" s="20" t="str">
        <f aca="false">IF(AND(Eingabe!$F$17&gt;0,Eingabe!$E$17&gt;=20),Eingabe!$B$6&amp;"-"&amp;Eingabe!$C$17&amp;"-Pächter","")</f>
        <v/>
      </c>
      <c r="J1644" s="20" t="str">
        <f aca="false">IF(AND(Eingabe!$F$17&gt;0,Eingabe!$E$17&gt;=20),"PPSK: Passwort Parzelle 20","")</f>
        <v/>
      </c>
      <c r="K1644" s="20" t="str">
        <f aca="false">IF(AND(Eingabe!$F$17&gt;0,Eingabe!$E$17&gt;=20),"1. Gerät: 10."&amp;Eingabe!$D$17&amp;".20.10, 2. Gerät: .11","")</f>
        <v/>
      </c>
    </row>
    <row r="1645" customFormat="false" ht="15" hidden="false" customHeight="false" outlineLevel="0" collapsed="false">
      <c r="A1645" s="20" t="str">
        <f aca="false">IF(AND(Eingabe!$F$17&gt;0,Eingabe!$E$17&gt;=21),9,"")</f>
        <v/>
      </c>
      <c r="B1645" s="20" t="str">
        <f aca="false">IF(AND(Eingabe!$F$17&gt;0,Eingabe!$E$17&gt;=21),Eingabe!$B$17,"")</f>
        <v/>
      </c>
      <c r="C1645" s="20" t="str">
        <f aca="false">IF(AND(Eingabe!$F$17&gt;0,Eingabe!$E$17&gt;=21),Eingabe!$C$17&amp;"-Paz."&amp;TEXT(21,"000"),"")</f>
        <v/>
      </c>
      <c r="D1645" s="20" t="str">
        <f aca="false">IF(AND(Eingabe!$F$17&gt;0,Eingabe!$E$17&gt;=21),21,"")</f>
        <v/>
      </c>
      <c r="E1645" s="20" t="str">
        <f aca="false">IF(AND(Eingabe!$F$17&gt;0,Eingabe!$E$17&gt;=21),IF((Eingabe!$G$17)&lt;=9,1000+(Eingabe!$G$17)*100,3000)+21,"")</f>
        <v/>
      </c>
      <c r="F1645" s="20" t="str">
        <f aca="false">IF(AND(Eingabe!$F$17&gt;0,Eingabe!$E$17&gt;=21),"10."&amp;Eingabe!$D$17&amp;".21.0/24","")</f>
        <v/>
      </c>
      <c r="G1645" s="20" t="str">
        <f aca="false">IF(AND(Eingabe!$F$17&gt;0,Eingabe!$E$17&gt;=21),"10."&amp;Eingabe!$D$17&amp;".21.1","")</f>
        <v/>
      </c>
      <c r="H1645" s="20" t="str">
        <f aca="false">IF(AND(Eingabe!$F$17&gt;0,Eingabe!$E$17&gt;=21),"10."&amp;Eingabe!$D$17&amp;".21.10 – 10."&amp;Eingabe!$D$17&amp;".21.250","")</f>
        <v/>
      </c>
      <c r="I1645" s="20" t="str">
        <f aca="false">IF(AND(Eingabe!$F$17&gt;0,Eingabe!$E$17&gt;=21),Eingabe!$B$6&amp;"-"&amp;Eingabe!$C$17&amp;"-Pächter","")</f>
        <v/>
      </c>
      <c r="J1645" s="20" t="str">
        <f aca="false">IF(AND(Eingabe!$F$17&gt;0,Eingabe!$E$17&gt;=21),"PPSK: Passwort Parzelle 21","")</f>
        <v/>
      </c>
      <c r="K1645" s="20" t="str">
        <f aca="false">IF(AND(Eingabe!$F$17&gt;0,Eingabe!$E$17&gt;=21),"1. Gerät: 10."&amp;Eingabe!$D$17&amp;".21.10, 2. Gerät: .11","")</f>
        <v/>
      </c>
    </row>
    <row r="1646" customFormat="false" ht="15" hidden="false" customHeight="false" outlineLevel="0" collapsed="false">
      <c r="A1646" s="20" t="str">
        <f aca="false">IF(AND(Eingabe!$F$17&gt;0,Eingabe!$E$17&gt;=22),9,"")</f>
        <v/>
      </c>
      <c r="B1646" s="20" t="str">
        <f aca="false">IF(AND(Eingabe!$F$17&gt;0,Eingabe!$E$17&gt;=22),Eingabe!$B$17,"")</f>
        <v/>
      </c>
      <c r="C1646" s="20" t="str">
        <f aca="false">IF(AND(Eingabe!$F$17&gt;0,Eingabe!$E$17&gt;=22),Eingabe!$C$17&amp;"-Paz."&amp;TEXT(22,"000"),"")</f>
        <v/>
      </c>
      <c r="D1646" s="20" t="str">
        <f aca="false">IF(AND(Eingabe!$F$17&gt;0,Eingabe!$E$17&gt;=22),22,"")</f>
        <v/>
      </c>
      <c r="E1646" s="20" t="str">
        <f aca="false">IF(AND(Eingabe!$F$17&gt;0,Eingabe!$E$17&gt;=22),IF((Eingabe!$G$17)&lt;=9,1000+(Eingabe!$G$17)*100,3000)+22,"")</f>
        <v/>
      </c>
      <c r="F1646" s="20" t="str">
        <f aca="false">IF(AND(Eingabe!$F$17&gt;0,Eingabe!$E$17&gt;=22),"10."&amp;Eingabe!$D$17&amp;".22.0/24","")</f>
        <v/>
      </c>
      <c r="G1646" s="20" t="str">
        <f aca="false">IF(AND(Eingabe!$F$17&gt;0,Eingabe!$E$17&gt;=22),"10."&amp;Eingabe!$D$17&amp;".22.1","")</f>
        <v/>
      </c>
      <c r="H1646" s="20" t="str">
        <f aca="false">IF(AND(Eingabe!$F$17&gt;0,Eingabe!$E$17&gt;=22),"10."&amp;Eingabe!$D$17&amp;".22.10 – 10."&amp;Eingabe!$D$17&amp;".22.250","")</f>
        <v/>
      </c>
      <c r="I1646" s="20" t="str">
        <f aca="false">IF(AND(Eingabe!$F$17&gt;0,Eingabe!$E$17&gt;=22),Eingabe!$B$6&amp;"-"&amp;Eingabe!$C$17&amp;"-Pächter","")</f>
        <v/>
      </c>
      <c r="J1646" s="20" t="str">
        <f aca="false">IF(AND(Eingabe!$F$17&gt;0,Eingabe!$E$17&gt;=22),"PPSK: Passwort Parzelle 22","")</f>
        <v/>
      </c>
      <c r="K1646" s="20" t="str">
        <f aca="false">IF(AND(Eingabe!$F$17&gt;0,Eingabe!$E$17&gt;=22),"1. Gerät: 10."&amp;Eingabe!$D$17&amp;".22.10, 2. Gerät: .11","")</f>
        <v/>
      </c>
    </row>
    <row r="1647" customFormat="false" ht="15" hidden="false" customHeight="false" outlineLevel="0" collapsed="false">
      <c r="A1647" s="20" t="str">
        <f aca="false">IF(AND(Eingabe!$F$17&gt;0,Eingabe!$E$17&gt;=23),9,"")</f>
        <v/>
      </c>
      <c r="B1647" s="20" t="str">
        <f aca="false">IF(AND(Eingabe!$F$17&gt;0,Eingabe!$E$17&gt;=23),Eingabe!$B$17,"")</f>
        <v/>
      </c>
      <c r="C1647" s="20" t="str">
        <f aca="false">IF(AND(Eingabe!$F$17&gt;0,Eingabe!$E$17&gt;=23),Eingabe!$C$17&amp;"-Paz."&amp;TEXT(23,"000"),"")</f>
        <v/>
      </c>
      <c r="D1647" s="20" t="str">
        <f aca="false">IF(AND(Eingabe!$F$17&gt;0,Eingabe!$E$17&gt;=23),23,"")</f>
        <v/>
      </c>
      <c r="E1647" s="20" t="str">
        <f aca="false">IF(AND(Eingabe!$F$17&gt;0,Eingabe!$E$17&gt;=23),IF((Eingabe!$G$17)&lt;=9,1000+(Eingabe!$G$17)*100,3000)+23,"")</f>
        <v/>
      </c>
      <c r="F1647" s="20" t="str">
        <f aca="false">IF(AND(Eingabe!$F$17&gt;0,Eingabe!$E$17&gt;=23),"10."&amp;Eingabe!$D$17&amp;".23.0/24","")</f>
        <v/>
      </c>
      <c r="G1647" s="20" t="str">
        <f aca="false">IF(AND(Eingabe!$F$17&gt;0,Eingabe!$E$17&gt;=23),"10."&amp;Eingabe!$D$17&amp;".23.1","")</f>
        <v/>
      </c>
      <c r="H1647" s="20" t="str">
        <f aca="false">IF(AND(Eingabe!$F$17&gt;0,Eingabe!$E$17&gt;=23),"10."&amp;Eingabe!$D$17&amp;".23.10 – 10."&amp;Eingabe!$D$17&amp;".23.250","")</f>
        <v/>
      </c>
      <c r="I1647" s="20" t="str">
        <f aca="false">IF(AND(Eingabe!$F$17&gt;0,Eingabe!$E$17&gt;=23),Eingabe!$B$6&amp;"-"&amp;Eingabe!$C$17&amp;"-Pächter","")</f>
        <v/>
      </c>
      <c r="J1647" s="20" t="str">
        <f aca="false">IF(AND(Eingabe!$F$17&gt;0,Eingabe!$E$17&gt;=23),"PPSK: Passwort Parzelle 23","")</f>
        <v/>
      </c>
      <c r="K1647" s="20" t="str">
        <f aca="false">IF(AND(Eingabe!$F$17&gt;0,Eingabe!$E$17&gt;=23),"1. Gerät: 10."&amp;Eingabe!$D$17&amp;".23.10, 2. Gerät: .11","")</f>
        <v/>
      </c>
    </row>
    <row r="1648" customFormat="false" ht="15" hidden="false" customHeight="false" outlineLevel="0" collapsed="false">
      <c r="A1648" s="20" t="str">
        <f aca="false">IF(AND(Eingabe!$F$17&gt;0,Eingabe!$E$17&gt;=24),9,"")</f>
        <v/>
      </c>
      <c r="B1648" s="20" t="str">
        <f aca="false">IF(AND(Eingabe!$F$17&gt;0,Eingabe!$E$17&gt;=24),Eingabe!$B$17,"")</f>
        <v/>
      </c>
      <c r="C1648" s="20" t="str">
        <f aca="false">IF(AND(Eingabe!$F$17&gt;0,Eingabe!$E$17&gt;=24),Eingabe!$C$17&amp;"-Paz."&amp;TEXT(24,"000"),"")</f>
        <v/>
      </c>
      <c r="D1648" s="20" t="str">
        <f aca="false">IF(AND(Eingabe!$F$17&gt;0,Eingabe!$E$17&gt;=24),24,"")</f>
        <v/>
      </c>
      <c r="E1648" s="20" t="str">
        <f aca="false">IF(AND(Eingabe!$F$17&gt;0,Eingabe!$E$17&gt;=24),IF((Eingabe!$G$17)&lt;=9,1000+(Eingabe!$G$17)*100,3000)+24,"")</f>
        <v/>
      </c>
      <c r="F1648" s="20" t="str">
        <f aca="false">IF(AND(Eingabe!$F$17&gt;0,Eingabe!$E$17&gt;=24),"10."&amp;Eingabe!$D$17&amp;".24.0/24","")</f>
        <v/>
      </c>
      <c r="G1648" s="20" t="str">
        <f aca="false">IF(AND(Eingabe!$F$17&gt;0,Eingabe!$E$17&gt;=24),"10."&amp;Eingabe!$D$17&amp;".24.1","")</f>
        <v/>
      </c>
      <c r="H1648" s="20" t="str">
        <f aca="false">IF(AND(Eingabe!$F$17&gt;0,Eingabe!$E$17&gt;=24),"10."&amp;Eingabe!$D$17&amp;".24.10 – 10."&amp;Eingabe!$D$17&amp;".24.250","")</f>
        <v/>
      </c>
      <c r="I1648" s="20" t="str">
        <f aca="false">IF(AND(Eingabe!$F$17&gt;0,Eingabe!$E$17&gt;=24),Eingabe!$B$6&amp;"-"&amp;Eingabe!$C$17&amp;"-Pächter","")</f>
        <v/>
      </c>
      <c r="J1648" s="20" t="str">
        <f aca="false">IF(AND(Eingabe!$F$17&gt;0,Eingabe!$E$17&gt;=24),"PPSK: Passwort Parzelle 24","")</f>
        <v/>
      </c>
      <c r="K1648" s="20" t="str">
        <f aca="false">IF(AND(Eingabe!$F$17&gt;0,Eingabe!$E$17&gt;=24),"1. Gerät: 10."&amp;Eingabe!$D$17&amp;".24.10, 2. Gerät: .11","")</f>
        <v/>
      </c>
    </row>
    <row r="1649" customFormat="false" ht="15" hidden="false" customHeight="false" outlineLevel="0" collapsed="false">
      <c r="A1649" s="20" t="str">
        <f aca="false">IF(AND(Eingabe!$F$17&gt;0,Eingabe!$E$17&gt;=25),9,"")</f>
        <v/>
      </c>
      <c r="B1649" s="20" t="str">
        <f aca="false">IF(AND(Eingabe!$F$17&gt;0,Eingabe!$E$17&gt;=25),Eingabe!$B$17,"")</f>
        <v/>
      </c>
      <c r="C1649" s="20" t="str">
        <f aca="false">IF(AND(Eingabe!$F$17&gt;0,Eingabe!$E$17&gt;=25),Eingabe!$C$17&amp;"-Paz."&amp;TEXT(25,"000"),"")</f>
        <v/>
      </c>
      <c r="D1649" s="20" t="str">
        <f aca="false">IF(AND(Eingabe!$F$17&gt;0,Eingabe!$E$17&gt;=25),25,"")</f>
        <v/>
      </c>
      <c r="E1649" s="20" t="str">
        <f aca="false">IF(AND(Eingabe!$F$17&gt;0,Eingabe!$E$17&gt;=25),IF((Eingabe!$G$17)&lt;=9,1000+(Eingabe!$G$17)*100,3000)+25,"")</f>
        <v/>
      </c>
      <c r="F1649" s="20" t="str">
        <f aca="false">IF(AND(Eingabe!$F$17&gt;0,Eingabe!$E$17&gt;=25),"10."&amp;Eingabe!$D$17&amp;".25.0/24","")</f>
        <v/>
      </c>
      <c r="G1649" s="20" t="str">
        <f aca="false">IF(AND(Eingabe!$F$17&gt;0,Eingabe!$E$17&gt;=25),"10."&amp;Eingabe!$D$17&amp;".25.1","")</f>
        <v/>
      </c>
      <c r="H1649" s="20" t="str">
        <f aca="false">IF(AND(Eingabe!$F$17&gt;0,Eingabe!$E$17&gt;=25),"10."&amp;Eingabe!$D$17&amp;".25.10 – 10."&amp;Eingabe!$D$17&amp;".25.250","")</f>
        <v/>
      </c>
      <c r="I1649" s="20" t="str">
        <f aca="false">IF(AND(Eingabe!$F$17&gt;0,Eingabe!$E$17&gt;=25),Eingabe!$B$6&amp;"-"&amp;Eingabe!$C$17&amp;"-Pächter","")</f>
        <v/>
      </c>
      <c r="J1649" s="20" t="str">
        <f aca="false">IF(AND(Eingabe!$F$17&gt;0,Eingabe!$E$17&gt;=25),"PPSK: Passwort Parzelle 25","")</f>
        <v/>
      </c>
      <c r="K1649" s="20" t="str">
        <f aca="false">IF(AND(Eingabe!$F$17&gt;0,Eingabe!$E$17&gt;=25),"1. Gerät: 10."&amp;Eingabe!$D$17&amp;".25.10, 2. Gerät: .11","")</f>
        <v/>
      </c>
    </row>
    <row r="1650" customFormat="false" ht="15" hidden="false" customHeight="false" outlineLevel="0" collapsed="false">
      <c r="A1650" s="20" t="str">
        <f aca="false">IF(AND(Eingabe!$F$17&gt;0,Eingabe!$E$17&gt;=26),9,"")</f>
        <v/>
      </c>
      <c r="B1650" s="20" t="str">
        <f aca="false">IF(AND(Eingabe!$F$17&gt;0,Eingabe!$E$17&gt;=26),Eingabe!$B$17,"")</f>
        <v/>
      </c>
      <c r="C1650" s="20" t="str">
        <f aca="false">IF(AND(Eingabe!$F$17&gt;0,Eingabe!$E$17&gt;=26),Eingabe!$C$17&amp;"-Paz."&amp;TEXT(26,"000"),"")</f>
        <v/>
      </c>
      <c r="D1650" s="20" t="str">
        <f aca="false">IF(AND(Eingabe!$F$17&gt;0,Eingabe!$E$17&gt;=26),26,"")</f>
        <v/>
      </c>
      <c r="E1650" s="20" t="str">
        <f aca="false">IF(AND(Eingabe!$F$17&gt;0,Eingabe!$E$17&gt;=26),IF((Eingabe!$G$17)&lt;=9,1000+(Eingabe!$G$17)*100,3000)+26,"")</f>
        <v/>
      </c>
      <c r="F1650" s="20" t="str">
        <f aca="false">IF(AND(Eingabe!$F$17&gt;0,Eingabe!$E$17&gt;=26),"10."&amp;Eingabe!$D$17&amp;".26.0/24","")</f>
        <v/>
      </c>
      <c r="G1650" s="20" t="str">
        <f aca="false">IF(AND(Eingabe!$F$17&gt;0,Eingabe!$E$17&gt;=26),"10."&amp;Eingabe!$D$17&amp;".26.1","")</f>
        <v/>
      </c>
      <c r="H1650" s="20" t="str">
        <f aca="false">IF(AND(Eingabe!$F$17&gt;0,Eingabe!$E$17&gt;=26),"10."&amp;Eingabe!$D$17&amp;".26.10 – 10."&amp;Eingabe!$D$17&amp;".26.250","")</f>
        <v/>
      </c>
      <c r="I1650" s="20" t="str">
        <f aca="false">IF(AND(Eingabe!$F$17&gt;0,Eingabe!$E$17&gt;=26),Eingabe!$B$6&amp;"-"&amp;Eingabe!$C$17&amp;"-Pächter","")</f>
        <v/>
      </c>
      <c r="J1650" s="20" t="str">
        <f aca="false">IF(AND(Eingabe!$F$17&gt;0,Eingabe!$E$17&gt;=26),"PPSK: Passwort Parzelle 26","")</f>
        <v/>
      </c>
      <c r="K1650" s="20" t="str">
        <f aca="false">IF(AND(Eingabe!$F$17&gt;0,Eingabe!$E$17&gt;=26),"1. Gerät: 10."&amp;Eingabe!$D$17&amp;".26.10, 2. Gerät: .11","")</f>
        <v/>
      </c>
    </row>
    <row r="1651" customFormat="false" ht="15" hidden="false" customHeight="false" outlineLevel="0" collapsed="false">
      <c r="A1651" s="20" t="str">
        <f aca="false">IF(AND(Eingabe!$F$17&gt;0,Eingabe!$E$17&gt;=27),9,"")</f>
        <v/>
      </c>
      <c r="B1651" s="20" t="str">
        <f aca="false">IF(AND(Eingabe!$F$17&gt;0,Eingabe!$E$17&gt;=27),Eingabe!$B$17,"")</f>
        <v/>
      </c>
      <c r="C1651" s="20" t="str">
        <f aca="false">IF(AND(Eingabe!$F$17&gt;0,Eingabe!$E$17&gt;=27),Eingabe!$C$17&amp;"-Paz."&amp;TEXT(27,"000"),"")</f>
        <v/>
      </c>
      <c r="D1651" s="20" t="str">
        <f aca="false">IF(AND(Eingabe!$F$17&gt;0,Eingabe!$E$17&gt;=27),27,"")</f>
        <v/>
      </c>
      <c r="E1651" s="20" t="str">
        <f aca="false">IF(AND(Eingabe!$F$17&gt;0,Eingabe!$E$17&gt;=27),IF((Eingabe!$G$17)&lt;=9,1000+(Eingabe!$G$17)*100,3000)+27,"")</f>
        <v/>
      </c>
      <c r="F1651" s="20" t="str">
        <f aca="false">IF(AND(Eingabe!$F$17&gt;0,Eingabe!$E$17&gt;=27),"10."&amp;Eingabe!$D$17&amp;".27.0/24","")</f>
        <v/>
      </c>
      <c r="G1651" s="20" t="str">
        <f aca="false">IF(AND(Eingabe!$F$17&gt;0,Eingabe!$E$17&gt;=27),"10."&amp;Eingabe!$D$17&amp;".27.1","")</f>
        <v/>
      </c>
      <c r="H1651" s="20" t="str">
        <f aca="false">IF(AND(Eingabe!$F$17&gt;0,Eingabe!$E$17&gt;=27),"10."&amp;Eingabe!$D$17&amp;".27.10 – 10."&amp;Eingabe!$D$17&amp;".27.250","")</f>
        <v/>
      </c>
      <c r="I1651" s="20" t="str">
        <f aca="false">IF(AND(Eingabe!$F$17&gt;0,Eingabe!$E$17&gt;=27),Eingabe!$B$6&amp;"-"&amp;Eingabe!$C$17&amp;"-Pächter","")</f>
        <v/>
      </c>
      <c r="J1651" s="20" t="str">
        <f aca="false">IF(AND(Eingabe!$F$17&gt;0,Eingabe!$E$17&gt;=27),"PPSK: Passwort Parzelle 27","")</f>
        <v/>
      </c>
      <c r="K1651" s="20" t="str">
        <f aca="false">IF(AND(Eingabe!$F$17&gt;0,Eingabe!$E$17&gt;=27),"1. Gerät: 10."&amp;Eingabe!$D$17&amp;".27.10, 2. Gerät: .11","")</f>
        <v/>
      </c>
    </row>
    <row r="1652" customFormat="false" ht="15" hidden="false" customHeight="false" outlineLevel="0" collapsed="false">
      <c r="A1652" s="20" t="str">
        <f aca="false">IF(AND(Eingabe!$F$17&gt;0,Eingabe!$E$17&gt;=28),9,"")</f>
        <v/>
      </c>
      <c r="B1652" s="20" t="str">
        <f aca="false">IF(AND(Eingabe!$F$17&gt;0,Eingabe!$E$17&gt;=28),Eingabe!$B$17,"")</f>
        <v/>
      </c>
      <c r="C1652" s="20" t="str">
        <f aca="false">IF(AND(Eingabe!$F$17&gt;0,Eingabe!$E$17&gt;=28),Eingabe!$C$17&amp;"-Paz."&amp;TEXT(28,"000"),"")</f>
        <v/>
      </c>
      <c r="D1652" s="20" t="str">
        <f aca="false">IF(AND(Eingabe!$F$17&gt;0,Eingabe!$E$17&gt;=28),28,"")</f>
        <v/>
      </c>
      <c r="E1652" s="20" t="str">
        <f aca="false">IF(AND(Eingabe!$F$17&gt;0,Eingabe!$E$17&gt;=28),IF((Eingabe!$G$17)&lt;=9,1000+(Eingabe!$G$17)*100,3000)+28,"")</f>
        <v/>
      </c>
      <c r="F1652" s="20" t="str">
        <f aca="false">IF(AND(Eingabe!$F$17&gt;0,Eingabe!$E$17&gt;=28),"10."&amp;Eingabe!$D$17&amp;".28.0/24","")</f>
        <v/>
      </c>
      <c r="G1652" s="20" t="str">
        <f aca="false">IF(AND(Eingabe!$F$17&gt;0,Eingabe!$E$17&gt;=28),"10."&amp;Eingabe!$D$17&amp;".28.1","")</f>
        <v/>
      </c>
      <c r="H1652" s="20" t="str">
        <f aca="false">IF(AND(Eingabe!$F$17&gt;0,Eingabe!$E$17&gt;=28),"10."&amp;Eingabe!$D$17&amp;".28.10 – 10."&amp;Eingabe!$D$17&amp;".28.250","")</f>
        <v/>
      </c>
      <c r="I1652" s="20" t="str">
        <f aca="false">IF(AND(Eingabe!$F$17&gt;0,Eingabe!$E$17&gt;=28),Eingabe!$B$6&amp;"-"&amp;Eingabe!$C$17&amp;"-Pächter","")</f>
        <v/>
      </c>
      <c r="J1652" s="20" t="str">
        <f aca="false">IF(AND(Eingabe!$F$17&gt;0,Eingabe!$E$17&gt;=28),"PPSK: Passwort Parzelle 28","")</f>
        <v/>
      </c>
      <c r="K1652" s="20" t="str">
        <f aca="false">IF(AND(Eingabe!$F$17&gt;0,Eingabe!$E$17&gt;=28),"1. Gerät: 10."&amp;Eingabe!$D$17&amp;".28.10, 2. Gerät: .11","")</f>
        <v/>
      </c>
    </row>
    <row r="1653" customFormat="false" ht="15" hidden="false" customHeight="false" outlineLevel="0" collapsed="false">
      <c r="A1653" s="20" t="str">
        <f aca="false">IF(AND(Eingabe!$F$17&gt;0,Eingabe!$E$17&gt;=29),9,"")</f>
        <v/>
      </c>
      <c r="B1653" s="20" t="str">
        <f aca="false">IF(AND(Eingabe!$F$17&gt;0,Eingabe!$E$17&gt;=29),Eingabe!$B$17,"")</f>
        <v/>
      </c>
      <c r="C1653" s="20" t="str">
        <f aca="false">IF(AND(Eingabe!$F$17&gt;0,Eingabe!$E$17&gt;=29),Eingabe!$C$17&amp;"-Paz."&amp;TEXT(29,"000"),"")</f>
        <v/>
      </c>
      <c r="D1653" s="20" t="str">
        <f aca="false">IF(AND(Eingabe!$F$17&gt;0,Eingabe!$E$17&gt;=29),29,"")</f>
        <v/>
      </c>
      <c r="E1653" s="20" t="str">
        <f aca="false">IF(AND(Eingabe!$F$17&gt;0,Eingabe!$E$17&gt;=29),IF((Eingabe!$G$17)&lt;=9,1000+(Eingabe!$G$17)*100,3000)+29,"")</f>
        <v/>
      </c>
      <c r="F1653" s="20" t="str">
        <f aca="false">IF(AND(Eingabe!$F$17&gt;0,Eingabe!$E$17&gt;=29),"10."&amp;Eingabe!$D$17&amp;".29.0/24","")</f>
        <v/>
      </c>
      <c r="G1653" s="20" t="str">
        <f aca="false">IF(AND(Eingabe!$F$17&gt;0,Eingabe!$E$17&gt;=29),"10."&amp;Eingabe!$D$17&amp;".29.1","")</f>
        <v/>
      </c>
      <c r="H1653" s="20" t="str">
        <f aca="false">IF(AND(Eingabe!$F$17&gt;0,Eingabe!$E$17&gt;=29),"10."&amp;Eingabe!$D$17&amp;".29.10 – 10."&amp;Eingabe!$D$17&amp;".29.250","")</f>
        <v/>
      </c>
      <c r="I1653" s="20" t="str">
        <f aca="false">IF(AND(Eingabe!$F$17&gt;0,Eingabe!$E$17&gt;=29),Eingabe!$B$6&amp;"-"&amp;Eingabe!$C$17&amp;"-Pächter","")</f>
        <v/>
      </c>
      <c r="J1653" s="20" t="str">
        <f aca="false">IF(AND(Eingabe!$F$17&gt;0,Eingabe!$E$17&gt;=29),"PPSK: Passwort Parzelle 29","")</f>
        <v/>
      </c>
      <c r="K1653" s="20" t="str">
        <f aca="false">IF(AND(Eingabe!$F$17&gt;0,Eingabe!$E$17&gt;=29),"1. Gerät: 10."&amp;Eingabe!$D$17&amp;".29.10, 2. Gerät: .11","")</f>
        <v/>
      </c>
    </row>
    <row r="1654" customFormat="false" ht="15" hidden="false" customHeight="false" outlineLevel="0" collapsed="false">
      <c r="A1654" s="20" t="str">
        <f aca="false">IF(AND(Eingabe!$F$17&gt;0,Eingabe!$E$17&gt;=30),9,"")</f>
        <v/>
      </c>
      <c r="B1654" s="20" t="str">
        <f aca="false">IF(AND(Eingabe!$F$17&gt;0,Eingabe!$E$17&gt;=30),Eingabe!$B$17,"")</f>
        <v/>
      </c>
      <c r="C1654" s="20" t="str">
        <f aca="false">IF(AND(Eingabe!$F$17&gt;0,Eingabe!$E$17&gt;=30),Eingabe!$C$17&amp;"-Paz."&amp;TEXT(30,"000"),"")</f>
        <v/>
      </c>
      <c r="D1654" s="20" t="str">
        <f aca="false">IF(AND(Eingabe!$F$17&gt;0,Eingabe!$E$17&gt;=30),30,"")</f>
        <v/>
      </c>
      <c r="E1654" s="20" t="str">
        <f aca="false">IF(AND(Eingabe!$F$17&gt;0,Eingabe!$E$17&gt;=30),IF((Eingabe!$G$17)&lt;=9,1000+(Eingabe!$G$17)*100,3000)+30,"")</f>
        <v/>
      </c>
      <c r="F1654" s="20" t="str">
        <f aca="false">IF(AND(Eingabe!$F$17&gt;0,Eingabe!$E$17&gt;=30),"10."&amp;Eingabe!$D$17&amp;".30.0/24","")</f>
        <v/>
      </c>
      <c r="G1654" s="20" t="str">
        <f aca="false">IF(AND(Eingabe!$F$17&gt;0,Eingabe!$E$17&gt;=30),"10."&amp;Eingabe!$D$17&amp;".30.1","")</f>
        <v/>
      </c>
      <c r="H1654" s="20" t="str">
        <f aca="false">IF(AND(Eingabe!$F$17&gt;0,Eingabe!$E$17&gt;=30),"10."&amp;Eingabe!$D$17&amp;".30.10 – 10."&amp;Eingabe!$D$17&amp;".30.250","")</f>
        <v/>
      </c>
      <c r="I1654" s="20" t="str">
        <f aca="false">IF(AND(Eingabe!$F$17&gt;0,Eingabe!$E$17&gt;=30),Eingabe!$B$6&amp;"-"&amp;Eingabe!$C$17&amp;"-Pächter","")</f>
        <v/>
      </c>
      <c r="J1654" s="20" t="str">
        <f aca="false">IF(AND(Eingabe!$F$17&gt;0,Eingabe!$E$17&gt;=30),"PPSK: Passwort Parzelle 30","")</f>
        <v/>
      </c>
      <c r="K1654" s="20" t="str">
        <f aca="false">IF(AND(Eingabe!$F$17&gt;0,Eingabe!$E$17&gt;=30),"1. Gerät: 10."&amp;Eingabe!$D$17&amp;".30.10, 2. Gerät: .11","")</f>
        <v/>
      </c>
    </row>
    <row r="1655" customFormat="false" ht="15" hidden="false" customHeight="false" outlineLevel="0" collapsed="false">
      <c r="A1655" s="20" t="str">
        <f aca="false">IF(AND(Eingabe!$F$17&gt;0,Eingabe!$E$17&gt;=31),9,"")</f>
        <v/>
      </c>
      <c r="B1655" s="20" t="str">
        <f aca="false">IF(AND(Eingabe!$F$17&gt;0,Eingabe!$E$17&gt;=31),Eingabe!$B$17,"")</f>
        <v/>
      </c>
      <c r="C1655" s="20" t="str">
        <f aca="false">IF(AND(Eingabe!$F$17&gt;0,Eingabe!$E$17&gt;=31),Eingabe!$C$17&amp;"-Paz."&amp;TEXT(31,"000"),"")</f>
        <v/>
      </c>
      <c r="D1655" s="20" t="str">
        <f aca="false">IF(AND(Eingabe!$F$17&gt;0,Eingabe!$E$17&gt;=31),31,"")</f>
        <v/>
      </c>
      <c r="E1655" s="20" t="str">
        <f aca="false">IF(AND(Eingabe!$F$17&gt;0,Eingabe!$E$17&gt;=31),IF((Eingabe!$G$17)&lt;=9,1000+(Eingabe!$G$17)*100,3000)+31,"")</f>
        <v/>
      </c>
      <c r="F1655" s="20" t="str">
        <f aca="false">IF(AND(Eingabe!$F$17&gt;0,Eingabe!$E$17&gt;=31),"10."&amp;Eingabe!$D$17&amp;".31.0/24","")</f>
        <v/>
      </c>
      <c r="G1655" s="20" t="str">
        <f aca="false">IF(AND(Eingabe!$F$17&gt;0,Eingabe!$E$17&gt;=31),"10."&amp;Eingabe!$D$17&amp;".31.1","")</f>
        <v/>
      </c>
      <c r="H1655" s="20" t="str">
        <f aca="false">IF(AND(Eingabe!$F$17&gt;0,Eingabe!$E$17&gt;=31),"10."&amp;Eingabe!$D$17&amp;".31.10 – 10."&amp;Eingabe!$D$17&amp;".31.250","")</f>
        <v/>
      </c>
      <c r="I1655" s="20" t="str">
        <f aca="false">IF(AND(Eingabe!$F$17&gt;0,Eingabe!$E$17&gt;=31),Eingabe!$B$6&amp;"-"&amp;Eingabe!$C$17&amp;"-Pächter","")</f>
        <v/>
      </c>
      <c r="J1655" s="20" t="str">
        <f aca="false">IF(AND(Eingabe!$F$17&gt;0,Eingabe!$E$17&gt;=31),"PPSK: Passwort Parzelle 31","")</f>
        <v/>
      </c>
      <c r="K1655" s="20" t="str">
        <f aca="false">IF(AND(Eingabe!$F$17&gt;0,Eingabe!$E$17&gt;=31),"1. Gerät: 10."&amp;Eingabe!$D$17&amp;".31.10, 2. Gerät: .11","")</f>
        <v/>
      </c>
    </row>
    <row r="1656" customFormat="false" ht="15" hidden="false" customHeight="false" outlineLevel="0" collapsed="false">
      <c r="A1656" s="20" t="str">
        <f aca="false">IF(AND(Eingabe!$F$17&gt;0,Eingabe!$E$17&gt;=32),9,"")</f>
        <v/>
      </c>
      <c r="B1656" s="20" t="str">
        <f aca="false">IF(AND(Eingabe!$F$17&gt;0,Eingabe!$E$17&gt;=32),Eingabe!$B$17,"")</f>
        <v/>
      </c>
      <c r="C1656" s="20" t="str">
        <f aca="false">IF(AND(Eingabe!$F$17&gt;0,Eingabe!$E$17&gt;=32),Eingabe!$C$17&amp;"-Paz."&amp;TEXT(32,"000"),"")</f>
        <v/>
      </c>
      <c r="D1656" s="20" t="str">
        <f aca="false">IF(AND(Eingabe!$F$17&gt;0,Eingabe!$E$17&gt;=32),32,"")</f>
        <v/>
      </c>
      <c r="E1656" s="20" t="str">
        <f aca="false">IF(AND(Eingabe!$F$17&gt;0,Eingabe!$E$17&gt;=32),IF((Eingabe!$G$17)&lt;=9,1000+(Eingabe!$G$17)*100,3000)+32,"")</f>
        <v/>
      </c>
      <c r="F1656" s="20" t="str">
        <f aca="false">IF(AND(Eingabe!$F$17&gt;0,Eingabe!$E$17&gt;=32),"10."&amp;Eingabe!$D$17&amp;".32.0/24","")</f>
        <v/>
      </c>
      <c r="G1656" s="20" t="str">
        <f aca="false">IF(AND(Eingabe!$F$17&gt;0,Eingabe!$E$17&gt;=32),"10."&amp;Eingabe!$D$17&amp;".32.1","")</f>
        <v/>
      </c>
      <c r="H1656" s="20" t="str">
        <f aca="false">IF(AND(Eingabe!$F$17&gt;0,Eingabe!$E$17&gt;=32),"10."&amp;Eingabe!$D$17&amp;".32.10 – 10."&amp;Eingabe!$D$17&amp;".32.250","")</f>
        <v/>
      </c>
      <c r="I1656" s="20" t="str">
        <f aca="false">IF(AND(Eingabe!$F$17&gt;0,Eingabe!$E$17&gt;=32),Eingabe!$B$6&amp;"-"&amp;Eingabe!$C$17&amp;"-Pächter","")</f>
        <v/>
      </c>
      <c r="J1656" s="20" t="str">
        <f aca="false">IF(AND(Eingabe!$F$17&gt;0,Eingabe!$E$17&gt;=32),"PPSK: Passwort Parzelle 32","")</f>
        <v/>
      </c>
      <c r="K1656" s="20" t="str">
        <f aca="false">IF(AND(Eingabe!$F$17&gt;0,Eingabe!$E$17&gt;=32),"1. Gerät: 10."&amp;Eingabe!$D$17&amp;".32.10, 2. Gerät: .11","")</f>
        <v/>
      </c>
    </row>
    <row r="1657" customFormat="false" ht="15" hidden="false" customHeight="false" outlineLevel="0" collapsed="false">
      <c r="A1657" s="20" t="str">
        <f aca="false">IF(AND(Eingabe!$F$17&gt;0,Eingabe!$E$17&gt;=33),9,"")</f>
        <v/>
      </c>
      <c r="B1657" s="20" t="str">
        <f aca="false">IF(AND(Eingabe!$F$17&gt;0,Eingabe!$E$17&gt;=33),Eingabe!$B$17,"")</f>
        <v/>
      </c>
      <c r="C1657" s="20" t="str">
        <f aca="false">IF(AND(Eingabe!$F$17&gt;0,Eingabe!$E$17&gt;=33),Eingabe!$C$17&amp;"-Paz."&amp;TEXT(33,"000"),"")</f>
        <v/>
      </c>
      <c r="D1657" s="20" t="str">
        <f aca="false">IF(AND(Eingabe!$F$17&gt;0,Eingabe!$E$17&gt;=33),33,"")</f>
        <v/>
      </c>
      <c r="E1657" s="20" t="str">
        <f aca="false">IF(AND(Eingabe!$F$17&gt;0,Eingabe!$E$17&gt;=33),IF((Eingabe!$G$17)&lt;=9,1000+(Eingabe!$G$17)*100,3000)+33,"")</f>
        <v/>
      </c>
      <c r="F1657" s="20" t="str">
        <f aca="false">IF(AND(Eingabe!$F$17&gt;0,Eingabe!$E$17&gt;=33),"10."&amp;Eingabe!$D$17&amp;".33.0/24","")</f>
        <v/>
      </c>
      <c r="G1657" s="20" t="str">
        <f aca="false">IF(AND(Eingabe!$F$17&gt;0,Eingabe!$E$17&gt;=33),"10."&amp;Eingabe!$D$17&amp;".33.1","")</f>
        <v/>
      </c>
      <c r="H1657" s="20" t="str">
        <f aca="false">IF(AND(Eingabe!$F$17&gt;0,Eingabe!$E$17&gt;=33),"10."&amp;Eingabe!$D$17&amp;".33.10 – 10."&amp;Eingabe!$D$17&amp;".33.250","")</f>
        <v/>
      </c>
      <c r="I1657" s="20" t="str">
        <f aca="false">IF(AND(Eingabe!$F$17&gt;0,Eingabe!$E$17&gt;=33),Eingabe!$B$6&amp;"-"&amp;Eingabe!$C$17&amp;"-Pächter","")</f>
        <v/>
      </c>
      <c r="J1657" s="20" t="str">
        <f aca="false">IF(AND(Eingabe!$F$17&gt;0,Eingabe!$E$17&gt;=33),"PPSK: Passwort Parzelle 33","")</f>
        <v/>
      </c>
      <c r="K1657" s="20" t="str">
        <f aca="false">IF(AND(Eingabe!$F$17&gt;0,Eingabe!$E$17&gt;=33),"1. Gerät: 10."&amp;Eingabe!$D$17&amp;".33.10, 2. Gerät: .11","")</f>
        <v/>
      </c>
    </row>
    <row r="1658" customFormat="false" ht="15" hidden="false" customHeight="false" outlineLevel="0" collapsed="false">
      <c r="A1658" s="20" t="str">
        <f aca="false">IF(AND(Eingabe!$F$17&gt;0,Eingabe!$E$17&gt;=34),9,"")</f>
        <v/>
      </c>
      <c r="B1658" s="20" t="str">
        <f aca="false">IF(AND(Eingabe!$F$17&gt;0,Eingabe!$E$17&gt;=34),Eingabe!$B$17,"")</f>
        <v/>
      </c>
      <c r="C1658" s="20" t="str">
        <f aca="false">IF(AND(Eingabe!$F$17&gt;0,Eingabe!$E$17&gt;=34),Eingabe!$C$17&amp;"-Paz."&amp;TEXT(34,"000"),"")</f>
        <v/>
      </c>
      <c r="D1658" s="20" t="str">
        <f aca="false">IF(AND(Eingabe!$F$17&gt;0,Eingabe!$E$17&gt;=34),34,"")</f>
        <v/>
      </c>
      <c r="E1658" s="20" t="str">
        <f aca="false">IF(AND(Eingabe!$F$17&gt;0,Eingabe!$E$17&gt;=34),IF((Eingabe!$G$17)&lt;=9,1000+(Eingabe!$G$17)*100,3000)+34,"")</f>
        <v/>
      </c>
      <c r="F1658" s="20" t="str">
        <f aca="false">IF(AND(Eingabe!$F$17&gt;0,Eingabe!$E$17&gt;=34),"10."&amp;Eingabe!$D$17&amp;".34.0/24","")</f>
        <v/>
      </c>
      <c r="G1658" s="20" t="str">
        <f aca="false">IF(AND(Eingabe!$F$17&gt;0,Eingabe!$E$17&gt;=34),"10."&amp;Eingabe!$D$17&amp;".34.1","")</f>
        <v/>
      </c>
      <c r="H1658" s="20" t="str">
        <f aca="false">IF(AND(Eingabe!$F$17&gt;0,Eingabe!$E$17&gt;=34),"10."&amp;Eingabe!$D$17&amp;".34.10 – 10."&amp;Eingabe!$D$17&amp;".34.250","")</f>
        <v/>
      </c>
      <c r="I1658" s="20" t="str">
        <f aca="false">IF(AND(Eingabe!$F$17&gt;0,Eingabe!$E$17&gt;=34),Eingabe!$B$6&amp;"-"&amp;Eingabe!$C$17&amp;"-Pächter","")</f>
        <v/>
      </c>
      <c r="J1658" s="20" t="str">
        <f aca="false">IF(AND(Eingabe!$F$17&gt;0,Eingabe!$E$17&gt;=34),"PPSK: Passwort Parzelle 34","")</f>
        <v/>
      </c>
      <c r="K1658" s="20" t="str">
        <f aca="false">IF(AND(Eingabe!$F$17&gt;0,Eingabe!$E$17&gt;=34),"1. Gerät: 10."&amp;Eingabe!$D$17&amp;".34.10, 2. Gerät: .11","")</f>
        <v/>
      </c>
    </row>
    <row r="1659" customFormat="false" ht="15" hidden="false" customHeight="false" outlineLevel="0" collapsed="false">
      <c r="A1659" s="20" t="str">
        <f aca="false">IF(AND(Eingabe!$F$17&gt;0,Eingabe!$E$17&gt;=35),9,"")</f>
        <v/>
      </c>
      <c r="B1659" s="20" t="str">
        <f aca="false">IF(AND(Eingabe!$F$17&gt;0,Eingabe!$E$17&gt;=35),Eingabe!$B$17,"")</f>
        <v/>
      </c>
      <c r="C1659" s="20" t="str">
        <f aca="false">IF(AND(Eingabe!$F$17&gt;0,Eingabe!$E$17&gt;=35),Eingabe!$C$17&amp;"-Paz."&amp;TEXT(35,"000"),"")</f>
        <v/>
      </c>
      <c r="D1659" s="20" t="str">
        <f aca="false">IF(AND(Eingabe!$F$17&gt;0,Eingabe!$E$17&gt;=35),35,"")</f>
        <v/>
      </c>
      <c r="E1659" s="20" t="str">
        <f aca="false">IF(AND(Eingabe!$F$17&gt;0,Eingabe!$E$17&gt;=35),IF((Eingabe!$G$17)&lt;=9,1000+(Eingabe!$G$17)*100,3000)+35,"")</f>
        <v/>
      </c>
      <c r="F1659" s="20" t="str">
        <f aca="false">IF(AND(Eingabe!$F$17&gt;0,Eingabe!$E$17&gt;=35),"10."&amp;Eingabe!$D$17&amp;".35.0/24","")</f>
        <v/>
      </c>
      <c r="G1659" s="20" t="str">
        <f aca="false">IF(AND(Eingabe!$F$17&gt;0,Eingabe!$E$17&gt;=35),"10."&amp;Eingabe!$D$17&amp;".35.1","")</f>
        <v/>
      </c>
      <c r="H1659" s="20" t="str">
        <f aca="false">IF(AND(Eingabe!$F$17&gt;0,Eingabe!$E$17&gt;=35),"10."&amp;Eingabe!$D$17&amp;".35.10 – 10."&amp;Eingabe!$D$17&amp;".35.250","")</f>
        <v/>
      </c>
      <c r="I1659" s="20" t="str">
        <f aca="false">IF(AND(Eingabe!$F$17&gt;0,Eingabe!$E$17&gt;=35),Eingabe!$B$6&amp;"-"&amp;Eingabe!$C$17&amp;"-Pächter","")</f>
        <v/>
      </c>
      <c r="J1659" s="20" t="str">
        <f aca="false">IF(AND(Eingabe!$F$17&gt;0,Eingabe!$E$17&gt;=35),"PPSK: Passwort Parzelle 35","")</f>
        <v/>
      </c>
      <c r="K1659" s="20" t="str">
        <f aca="false">IF(AND(Eingabe!$F$17&gt;0,Eingabe!$E$17&gt;=35),"1. Gerät: 10."&amp;Eingabe!$D$17&amp;".35.10, 2. Gerät: .11","")</f>
        <v/>
      </c>
    </row>
    <row r="1660" customFormat="false" ht="15" hidden="false" customHeight="false" outlineLevel="0" collapsed="false">
      <c r="A1660" s="20" t="str">
        <f aca="false">IF(AND(Eingabe!$F$17&gt;0,Eingabe!$E$17&gt;=36),9,"")</f>
        <v/>
      </c>
      <c r="B1660" s="20" t="str">
        <f aca="false">IF(AND(Eingabe!$F$17&gt;0,Eingabe!$E$17&gt;=36),Eingabe!$B$17,"")</f>
        <v/>
      </c>
      <c r="C1660" s="20" t="str">
        <f aca="false">IF(AND(Eingabe!$F$17&gt;0,Eingabe!$E$17&gt;=36),Eingabe!$C$17&amp;"-Paz."&amp;TEXT(36,"000"),"")</f>
        <v/>
      </c>
      <c r="D1660" s="20" t="str">
        <f aca="false">IF(AND(Eingabe!$F$17&gt;0,Eingabe!$E$17&gt;=36),36,"")</f>
        <v/>
      </c>
      <c r="E1660" s="20" t="str">
        <f aca="false">IF(AND(Eingabe!$F$17&gt;0,Eingabe!$E$17&gt;=36),IF((Eingabe!$G$17)&lt;=9,1000+(Eingabe!$G$17)*100,3000)+36,"")</f>
        <v/>
      </c>
      <c r="F1660" s="20" t="str">
        <f aca="false">IF(AND(Eingabe!$F$17&gt;0,Eingabe!$E$17&gt;=36),"10."&amp;Eingabe!$D$17&amp;".36.0/24","")</f>
        <v/>
      </c>
      <c r="G1660" s="20" t="str">
        <f aca="false">IF(AND(Eingabe!$F$17&gt;0,Eingabe!$E$17&gt;=36),"10."&amp;Eingabe!$D$17&amp;".36.1","")</f>
        <v/>
      </c>
      <c r="H1660" s="20" t="str">
        <f aca="false">IF(AND(Eingabe!$F$17&gt;0,Eingabe!$E$17&gt;=36),"10."&amp;Eingabe!$D$17&amp;".36.10 – 10."&amp;Eingabe!$D$17&amp;".36.250","")</f>
        <v/>
      </c>
      <c r="I1660" s="20" t="str">
        <f aca="false">IF(AND(Eingabe!$F$17&gt;0,Eingabe!$E$17&gt;=36),Eingabe!$B$6&amp;"-"&amp;Eingabe!$C$17&amp;"-Pächter","")</f>
        <v/>
      </c>
      <c r="J1660" s="20" t="str">
        <f aca="false">IF(AND(Eingabe!$F$17&gt;0,Eingabe!$E$17&gt;=36),"PPSK: Passwort Parzelle 36","")</f>
        <v/>
      </c>
      <c r="K1660" s="20" t="str">
        <f aca="false">IF(AND(Eingabe!$F$17&gt;0,Eingabe!$E$17&gt;=36),"1. Gerät: 10."&amp;Eingabe!$D$17&amp;".36.10, 2. Gerät: .11","")</f>
        <v/>
      </c>
    </row>
    <row r="1661" customFormat="false" ht="15" hidden="false" customHeight="false" outlineLevel="0" collapsed="false">
      <c r="A1661" s="20" t="str">
        <f aca="false">IF(AND(Eingabe!$F$17&gt;0,Eingabe!$E$17&gt;=37),9,"")</f>
        <v/>
      </c>
      <c r="B1661" s="20" t="str">
        <f aca="false">IF(AND(Eingabe!$F$17&gt;0,Eingabe!$E$17&gt;=37),Eingabe!$B$17,"")</f>
        <v/>
      </c>
      <c r="C1661" s="20" t="str">
        <f aca="false">IF(AND(Eingabe!$F$17&gt;0,Eingabe!$E$17&gt;=37),Eingabe!$C$17&amp;"-Paz."&amp;TEXT(37,"000"),"")</f>
        <v/>
      </c>
      <c r="D1661" s="20" t="str">
        <f aca="false">IF(AND(Eingabe!$F$17&gt;0,Eingabe!$E$17&gt;=37),37,"")</f>
        <v/>
      </c>
      <c r="E1661" s="20" t="str">
        <f aca="false">IF(AND(Eingabe!$F$17&gt;0,Eingabe!$E$17&gt;=37),IF((Eingabe!$G$17)&lt;=9,1000+(Eingabe!$G$17)*100,3000)+37,"")</f>
        <v/>
      </c>
      <c r="F1661" s="20" t="str">
        <f aca="false">IF(AND(Eingabe!$F$17&gt;0,Eingabe!$E$17&gt;=37),"10."&amp;Eingabe!$D$17&amp;".37.0/24","")</f>
        <v/>
      </c>
      <c r="G1661" s="20" t="str">
        <f aca="false">IF(AND(Eingabe!$F$17&gt;0,Eingabe!$E$17&gt;=37),"10."&amp;Eingabe!$D$17&amp;".37.1","")</f>
        <v/>
      </c>
      <c r="H1661" s="20" t="str">
        <f aca="false">IF(AND(Eingabe!$F$17&gt;0,Eingabe!$E$17&gt;=37),"10."&amp;Eingabe!$D$17&amp;".37.10 – 10."&amp;Eingabe!$D$17&amp;".37.250","")</f>
        <v/>
      </c>
      <c r="I1661" s="20" t="str">
        <f aca="false">IF(AND(Eingabe!$F$17&gt;0,Eingabe!$E$17&gt;=37),Eingabe!$B$6&amp;"-"&amp;Eingabe!$C$17&amp;"-Pächter","")</f>
        <v/>
      </c>
      <c r="J1661" s="20" t="str">
        <f aca="false">IF(AND(Eingabe!$F$17&gt;0,Eingabe!$E$17&gt;=37),"PPSK: Passwort Parzelle 37","")</f>
        <v/>
      </c>
      <c r="K1661" s="20" t="str">
        <f aca="false">IF(AND(Eingabe!$F$17&gt;0,Eingabe!$E$17&gt;=37),"1. Gerät: 10."&amp;Eingabe!$D$17&amp;".37.10, 2. Gerät: .11","")</f>
        <v/>
      </c>
    </row>
    <row r="1662" customFormat="false" ht="15" hidden="false" customHeight="false" outlineLevel="0" collapsed="false">
      <c r="A1662" s="20" t="str">
        <f aca="false">IF(AND(Eingabe!$F$17&gt;0,Eingabe!$E$17&gt;=38),9,"")</f>
        <v/>
      </c>
      <c r="B1662" s="20" t="str">
        <f aca="false">IF(AND(Eingabe!$F$17&gt;0,Eingabe!$E$17&gt;=38),Eingabe!$B$17,"")</f>
        <v/>
      </c>
      <c r="C1662" s="20" t="str">
        <f aca="false">IF(AND(Eingabe!$F$17&gt;0,Eingabe!$E$17&gt;=38),Eingabe!$C$17&amp;"-Paz."&amp;TEXT(38,"000"),"")</f>
        <v/>
      </c>
      <c r="D1662" s="20" t="str">
        <f aca="false">IF(AND(Eingabe!$F$17&gt;0,Eingabe!$E$17&gt;=38),38,"")</f>
        <v/>
      </c>
      <c r="E1662" s="20" t="str">
        <f aca="false">IF(AND(Eingabe!$F$17&gt;0,Eingabe!$E$17&gt;=38),IF((Eingabe!$G$17)&lt;=9,1000+(Eingabe!$G$17)*100,3000)+38,"")</f>
        <v/>
      </c>
      <c r="F1662" s="20" t="str">
        <f aca="false">IF(AND(Eingabe!$F$17&gt;0,Eingabe!$E$17&gt;=38),"10."&amp;Eingabe!$D$17&amp;".38.0/24","")</f>
        <v/>
      </c>
      <c r="G1662" s="20" t="str">
        <f aca="false">IF(AND(Eingabe!$F$17&gt;0,Eingabe!$E$17&gt;=38),"10."&amp;Eingabe!$D$17&amp;".38.1","")</f>
        <v/>
      </c>
      <c r="H1662" s="20" t="str">
        <f aca="false">IF(AND(Eingabe!$F$17&gt;0,Eingabe!$E$17&gt;=38),"10."&amp;Eingabe!$D$17&amp;".38.10 – 10."&amp;Eingabe!$D$17&amp;".38.250","")</f>
        <v/>
      </c>
      <c r="I1662" s="20" t="str">
        <f aca="false">IF(AND(Eingabe!$F$17&gt;0,Eingabe!$E$17&gt;=38),Eingabe!$B$6&amp;"-"&amp;Eingabe!$C$17&amp;"-Pächter","")</f>
        <v/>
      </c>
      <c r="J1662" s="20" t="str">
        <f aca="false">IF(AND(Eingabe!$F$17&gt;0,Eingabe!$E$17&gt;=38),"PPSK: Passwort Parzelle 38","")</f>
        <v/>
      </c>
      <c r="K1662" s="20" t="str">
        <f aca="false">IF(AND(Eingabe!$F$17&gt;0,Eingabe!$E$17&gt;=38),"1. Gerät: 10."&amp;Eingabe!$D$17&amp;".38.10, 2. Gerät: .11","")</f>
        <v/>
      </c>
    </row>
    <row r="1663" customFormat="false" ht="15" hidden="false" customHeight="false" outlineLevel="0" collapsed="false">
      <c r="A1663" s="20" t="str">
        <f aca="false">IF(AND(Eingabe!$F$17&gt;0,Eingabe!$E$17&gt;=39),9,"")</f>
        <v/>
      </c>
      <c r="B1663" s="20" t="str">
        <f aca="false">IF(AND(Eingabe!$F$17&gt;0,Eingabe!$E$17&gt;=39),Eingabe!$B$17,"")</f>
        <v/>
      </c>
      <c r="C1663" s="20" t="str">
        <f aca="false">IF(AND(Eingabe!$F$17&gt;0,Eingabe!$E$17&gt;=39),Eingabe!$C$17&amp;"-Paz."&amp;TEXT(39,"000"),"")</f>
        <v/>
      </c>
      <c r="D1663" s="20" t="str">
        <f aca="false">IF(AND(Eingabe!$F$17&gt;0,Eingabe!$E$17&gt;=39),39,"")</f>
        <v/>
      </c>
      <c r="E1663" s="20" t="str">
        <f aca="false">IF(AND(Eingabe!$F$17&gt;0,Eingabe!$E$17&gt;=39),IF((Eingabe!$G$17)&lt;=9,1000+(Eingabe!$G$17)*100,3000)+39,"")</f>
        <v/>
      </c>
      <c r="F1663" s="20" t="str">
        <f aca="false">IF(AND(Eingabe!$F$17&gt;0,Eingabe!$E$17&gt;=39),"10."&amp;Eingabe!$D$17&amp;".39.0/24","")</f>
        <v/>
      </c>
      <c r="G1663" s="20" t="str">
        <f aca="false">IF(AND(Eingabe!$F$17&gt;0,Eingabe!$E$17&gt;=39),"10."&amp;Eingabe!$D$17&amp;".39.1","")</f>
        <v/>
      </c>
      <c r="H1663" s="20" t="str">
        <f aca="false">IF(AND(Eingabe!$F$17&gt;0,Eingabe!$E$17&gt;=39),"10."&amp;Eingabe!$D$17&amp;".39.10 – 10."&amp;Eingabe!$D$17&amp;".39.250","")</f>
        <v/>
      </c>
      <c r="I1663" s="20" t="str">
        <f aca="false">IF(AND(Eingabe!$F$17&gt;0,Eingabe!$E$17&gt;=39),Eingabe!$B$6&amp;"-"&amp;Eingabe!$C$17&amp;"-Pächter","")</f>
        <v/>
      </c>
      <c r="J1663" s="20" t="str">
        <f aca="false">IF(AND(Eingabe!$F$17&gt;0,Eingabe!$E$17&gt;=39),"PPSK: Passwort Parzelle 39","")</f>
        <v/>
      </c>
      <c r="K1663" s="20" t="str">
        <f aca="false">IF(AND(Eingabe!$F$17&gt;0,Eingabe!$E$17&gt;=39),"1. Gerät: 10."&amp;Eingabe!$D$17&amp;".39.10, 2. Gerät: .11","")</f>
        <v/>
      </c>
    </row>
    <row r="1664" customFormat="false" ht="15" hidden="false" customHeight="false" outlineLevel="0" collapsed="false">
      <c r="A1664" s="20" t="str">
        <f aca="false">IF(AND(Eingabe!$F$17&gt;0,Eingabe!$E$17&gt;=40),9,"")</f>
        <v/>
      </c>
      <c r="B1664" s="20" t="str">
        <f aca="false">IF(AND(Eingabe!$F$17&gt;0,Eingabe!$E$17&gt;=40),Eingabe!$B$17,"")</f>
        <v/>
      </c>
      <c r="C1664" s="20" t="str">
        <f aca="false">IF(AND(Eingabe!$F$17&gt;0,Eingabe!$E$17&gt;=40),Eingabe!$C$17&amp;"-Paz."&amp;TEXT(40,"000"),"")</f>
        <v/>
      </c>
      <c r="D1664" s="20" t="str">
        <f aca="false">IF(AND(Eingabe!$F$17&gt;0,Eingabe!$E$17&gt;=40),40,"")</f>
        <v/>
      </c>
      <c r="E1664" s="20" t="str">
        <f aca="false">IF(AND(Eingabe!$F$17&gt;0,Eingabe!$E$17&gt;=40),IF((Eingabe!$G$17)&lt;=9,1000+(Eingabe!$G$17)*100,3000)+40,"")</f>
        <v/>
      </c>
      <c r="F1664" s="20" t="str">
        <f aca="false">IF(AND(Eingabe!$F$17&gt;0,Eingabe!$E$17&gt;=40),"10."&amp;Eingabe!$D$17&amp;".40.0/24","")</f>
        <v/>
      </c>
      <c r="G1664" s="20" t="str">
        <f aca="false">IF(AND(Eingabe!$F$17&gt;0,Eingabe!$E$17&gt;=40),"10."&amp;Eingabe!$D$17&amp;".40.1","")</f>
        <v/>
      </c>
      <c r="H1664" s="20" t="str">
        <f aca="false">IF(AND(Eingabe!$F$17&gt;0,Eingabe!$E$17&gt;=40),"10."&amp;Eingabe!$D$17&amp;".40.10 – 10."&amp;Eingabe!$D$17&amp;".40.250","")</f>
        <v/>
      </c>
      <c r="I1664" s="20" t="str">
        <f aca="false">IF(AND(Eingabe!$F$17&gt;0,Eingabe!$E$17&gt;=40),Eingabe!$B$6&amp;"-"&amp;Eingabe!$C$17&amp;"-Pächter","")</f>
        <v/>
      </c>
      <c r="J1664" s="20" t="str">
        <f aca="false">IF(AND(Eingabe!$F$17&gt;0,Eingabe!$E$17&gt;=40),"PPSK: Passwort Parzelle 40","")</f>
        <v/>
      </c>
      <c r="K1664" s="20" t="str">
        <f aca="false">IF(AND(Eingabe!$F$17&gt;0,Eingabe!$E$17&gt;=40),"1. Gerät: 10."&amp;Eingabe!$D$17&amp;".40.10, 2. Gerät: .11","")</f>
        <v/>
      </c>
    </row>
    <row r="1665" customFormat="false" ht="15" hidden="false" customHeight="false" outlineLevel="0" collapsed="false">
      <c r="A1665" s="20" t="str">
        <f aca="false">IF(AND(Eingabe!$F$17&gt;0,Eingabe!$E$17&gt;=41),9,"")</f>
        <v/>
      </c>
      <c r="B1665" s="20" t="str">
        <f aca="false">IF(AND(Eingabe!$F$17&gt;0,Eingabe!$E$17&gt;=41),Eingabe!$B$17,"")</f>
        <v/>
      </c>
      <c r="C1665" s="20" t="str">
        <f aca="false">IF(AND(Eingabe!$F$17&gt;0,Eingabe!$E$17&gt;=41),Eingabe!$C$17&amp;"-Paz."&amp;TEXT(41,"000"),"")</f>
        <v/>
      </c>
      <c r="D1665" s="20" t="str">
        <f aca="false">IF(AND(Eingabe!$F$17&gt;0,Eingabe!$E$17&gt;=41),41,"")</f>
        <v/>
      </c>
      <c r="E1665" s="20" t="str">
        <f aca="false">IF(AND(Eingabe!$F$17&gt;0,Eingabe!$E$17&gt;=41),IF((Eingabe!$G$17)&lt;=9,1000+(Eingabe!$G$17)*100,3000)+41,"")</f>
        <v/>
      </c>
      <c r="F1665" s="20" t="str">
        <f aca="false">IF(AND(Eingabe!$F$17&gt;0,Eingabe!$E$17&gt;=41),"10."&amp;Eingabe!$D$17&amp;".41.0/24","")</f>
        <v/>
      </c>
      <c r="G1665" s="20" t="str">
        <f aca="false">IF(AND(Eingabe!$F$17&gt;0,Eingabe!$E$17&gt;=41),"10."&amp;Eingabe!$D$17&amp;".41.1","")</f>
        <v/>
      </c>
      <c r="H1665" s="20" t="str">
        <f aca="false">IF(AND(Eingabe!$F$17&gt;0,Eingabe!$E$17&gt;=41),"10."&amp;Eingabe!$D$17&amp;".41.10 – 10."&amp;Eingabe!$D$17&amp;".41.250","")</f>
        <v/>
      </c>
      <c r="I1665" s="20" t="str">
        <f aca="false">IF(AND(Eingabe!$F$17&gt;0,Eingabe!$E$17&gt;=41),Eingabe!$B$6&amp;"-"&amp;Eingabe!$C$17&amp;"-Pächter","")</f>
        <v/>
      </c>
      <c r="J1665" s="20" t="str">
        <f aca="false">IF(AND(Eingabe!$F$17&gt;0,Eingabe!$E$17&gt;=41),"PPSK: Passwort Parzelle 41","")</f>
        <v/>
      </c>
      <c r="K1665" s="20" t="str">
        <f aca="false">IF(AND(Eingabe!$F$17&gt;0,Eingabe!$E$17&gt;=41),"1. Gerät: 10."&amp;Eingabe!$D$17&amp;".41.10, 2. Gerät: .11","")</f>
        <v/>
      </c>
    </row>
    <row r="1666" customFormat="false" ht="15" hidden="false" customHeight="false" outlineLevel="0" collapsed="false">
      <c r="A1666" s="20" t="str">
        <f aca="false">IF(AND(Eingabe!$F$17&gt;0,Eingabe!$E$17&gt;=42),9,"")</f>
        <v/>
      </c>
      <c r="B1666" s="20" t="str">
        <f aca="false">IF(AND(Eingabe!$F$17&gt;0,Eingabe!$E$17&gt;=42),Eingabe!$B$17,"")</f>
        <v/>
      </c>
      <c r="C1666" s="20" t="str">
        <f aca="false">IF(AND(Eingabe!$F$17&gt;0,Eingabe!$E$17&gt;=42),Eingabe!$C$17&amp;"-Paz."&amp;TEXT(42,"000"),"")</f>
        <v/>
      </c>
      <c r="D1666" s="20" t="str">
        <f aca="false">IF(AND(Eingabe!$F$17&gt;0,Eingabe!$E$17&gt;=42),42,"")</f>
        <v/>
      </c>
      <c r="E1666" s="20" t="str">
        <f aca="false">IF(AND(Eingabe!$F$17&gt;0,Eingabe!$E$17&gt;=42),IF((Eingabe!$G$17)&lt;=9,1000+(Eingabe!$G$17)*100,3000)+42,"")</f>
        <v/>
      </c>
      <c r="F1666" s="20" t="str">
        <f aca="false">IF(AND(Eingabe!$F$17&gt;0,Eingabe!$E$17&gt;=42),"10."&amp;Eingabe!$D$17&amp;".42.0/24","")</f>
        <v/>
      </c>
      <c r="G1666" s="20" t="str">
        <f aca="false">IF(AND(Eingabe!$F$17&gt;0,Eingabe!$E$17&gt;=42),"10."&amp;Eingabe!$D$17&amp;".42.1","")</f>
        <v/>
      </c>
      <c r="H1666" s="20" t="str">
        <f aca="false">IF(AND(Eingabe!$F$17&gt;0,Eingabe!$E$17&gt;=42),"10."&amp;Eingabe!$D$17&amp;".42.10 – 10."&amp;Eingabe!$D$17&amp;".42.250","")</f>
        <v/>
      </c>
      <c r="I1666" s="20" t="str">
        <f aca="false">IF(AND(Eingabe!$F$17&gt;0,Eingabe!$E$17&gt;=42),Eingabe!$B$6&amp;"-"&amp;Eingabe!$C$17&amp;"-Pächter","")</f>
        <v/>
      </c>
      <c r="J1666" s="20" t="str">
        <f aca="false">IF(AND(Eingabe!$F$17&gt;0,Eingabe!$E$17&gt;=42),"PPSK: Passwort Parzelle 42","")</f>
        <v/>
      </c>
      <c r="K1666" s="20" t="str">
        <f aca="false">IF(AND(Eingabe!$F$17&gt;0,Eingabe!$E$17&gt;=42),"1. Gerät: 10."&amp;Eingabe!$D$17&amp;".42.10, 2. Gerät: .11","")</f>
        <v/>
      </c>
    </row>
    <row r="1667" customFormat="false" ht="15" hidden="false" customHeight="false" outlineLevel="0" collapsed="false">
      <c r="A1667" s="20" t="str">
        <f aca="false">IF(AND(Eingabe!$F$17&gt;0,Eingabe!$E$17&gt;=43),9,"")</f>
        <v/>
      </c>
      <c r="B1667" s="20" t="str">
        <f aca="false">IF(AND(Eingabe!$F$17&gt;0,Eingabe!$E$17&gt;=43),Eingabe!$B$17,"")</f>
        <v/>
      </c>
      <c r="C1667" s="20" t="str">
        <f aca="false">IF(AND(Eingabe!$F$17&gt;0,Eingabe!$E$17&gt;=43),Eingabe!$C$17&amp;"-Paz."&amp;TEXT(43,"000"),"")</f>
        <v/>
      </c>
      <c r="D1667" s="20" t="str">
        <f aca="false">IF(AND(Eingabe!$F$17&gt;0,Eingabe!$E$17&gt;=43),43,"")</f>
        <v/>
      </c>
      <c r="E1667" s="20" t="str">
        <f aca="false">IF(AND(Eingabe!$F$17&gt;0,Eingabe!$E$17&gt;=43),IF((Eingabe!$G$17)&lt;=9,1000+(Eingabe!$G$17)*100,3000)+43,"")</f>
        <v/>
      </c>
      <c r="F1667" s="20" t="str">
        <f aca="false">IF(AND(Eingabe!$F$17&gt;0,Eingabe!$E$17&gt;=43),"10."&amp;Eingabe!$D$17&amp;".43.0/24","")</f>
        <v/>
      </c>
      <c r="G1667" s="20" t="str">
        <f aca="false">IF(AND(Eingabe!$F$17&gt;0,Eingabe!$E$17&gt;=43),"10."&amp;Eingabe!$D$17&amp;".43.1","")</f>
        <v/>
      </c>
      <c r="H1667" s="20" t="str">
        <f aca="false">IF(AND(Eingabe!$F$17&gt;0,Eingabe!$E$17&gt;=43),"10."&amp;Eingabe!$D$17&amp;".43.10 – 10."&amp;Eingabe!$D$17&amp;".43.250","")</f>
        <v/>
      </c>
      <c r="I1667" s="20" t="str">
        <f aca="false">IF(AND(Eingabe!$F$17&gt;0,Eingabe!$E$17&gt;=43),Eingabe!$B$6&amp;"-"&amp;Eingabe!$C$17&amp;"-Pächter","")</f>
        <v/>
      </c>
      <c r="J1667" s="20" t="str">
        <f aca="false">IF(AND(Eingabe!$F$17&gt;0,Eingabe!$E$17&gt;=43),"PPSK: Passwort Parzelle 43","")</f>
        <v/>
      </c>
      <c r="K1667" s="20" t="str">
        <f aca="false">IF(AND(Eingabe!$F$17&gt;0,Eingabe!$E$17&gt;=43),"1. Gerät: 10."&amp;Eingabe!$D$17&amp;".43.10, 2. Gerät: .11","")</f>
        <v/>
      </c>
    </row>
    <row r="1668" customFormat="false" ht="15" hidden="false" customHeight="false" outlineLevel="0" collapsed="false">
      <c r="A1668" s="20" t="str">
        <f aca="false">IF(AND(Eingabe!$F$17&gt;0,Eingabe!$E$17&gt;=44),9,"")</f>
        <v/>
      </c>
      <c r="B1668" s="20" t="str">
        <f aca="false">IF(AND(Eingabe!$F$17&gt;0,Eingabe!$E$17&gt;=44),Eingabe!$B$17,"")</f>
        <v/>
      </c>
      <c r="C1668" s="20" t="str">
        <f aca="false">IF(AND(Eingabe!$F$17&gt;0,Eingabe!$E$17&gt;=44),Eingabe!$C$17&amp;"-Paz."&amp;TEXT(44,"000"),"")</f>
        <v/>
      </c>
      <c r="D1668" s="20" t="str">
        <f aca="false">IF(AND(Eingabe!$F$17&gt;0,Eingabe!$E$17&gt;=44),44,"")</f>
        <v/>
      </c>
      <c r="E1668" s="20" t="str">
        <f aca="false">IF(AND(Eingabe!$F$17&gt;0,Eingabe!$E$17&gt;=44),IF((Eingabe!$G$17)&lt;=9,1000+(Eingabe!$G$17)*100,3000)+44,"")</f>
        <v/>
      </c>
      <c r="F1668" s="20" t="str">
        <f aca="false">IF(AND(Eingabe!$F$17&gt;0,Eingabe!$E$17&gt;=44),"10."&amp;Eingabe!$D$17&amp;".44.0/24","")</f>
        <v/>
      </c>
      <c r="G1668" s="20" t="str">
        <f aca="false">IF(AND(Eingabe!$F$17&gt;0,Eingabe!$E$17&gt;=44),"10."&amp;Eingabe!$D$17&amp;".44.1","")</f>
        <v/>
      </c>
      <c r="H1668" s="20" t="str">
        <f aca="false">IF(AND(Eingabe!$F$17&gt;0,Eingabe!$E$17&gt;=44),"10."&amp;Eingabe!$D$17&amp;".44.10 – 10."&amp;Eingabe!$D$17&amp;".44.250","")</f>
        <v/>
      </c>
      <c r="I1668" s="20" t="str">
        <f aca="false">IF(AND(Eingabe!$F$17&gt;0,Eingabe!$E$17&gt;=44),Eingabe!$B$6&amp;"-"&amp;Eingabe!$C$17&amp;"-Pächter","")</f>
        <v/>
      </c>
      <c r="J1668" s="20" t="str">
        <f aca="false">IF(AND(Eingabe!$F$17&gt;0,Eingabe!$E$17&gt;=44),"PPSK: Passwort Parzelle 44","")</f>
        <v/>
      </c>
      <c r="K1668" s="20" t="str">
        <f aca="false">IF(AND(Eingabe!$F$17&gt;0,Eingabe!$E$17&gt;=44),"1. Gerät: 10."&amp;Eingabe!$D$17&amp;".44.10, 2. Gerät: .11","")</f>
        <v/>
      </c>
    </row>
    <row r="1669" customFormat="false" ht="15" hidden="false" customHeight="false" outlineLevel="0" collapsed="false">
      <c r="A1669" s="20" t="str">
        <f aca="false">IF(AND(Eingabe!$F$17&gt;0,Eingabe!$E$17&gt;=45),9,"")</f>
        <v/>
      </c>
      <c r="B1669" s="20" t="str">
        <f aca="false">IF(AND(Eingabe!$F$17&gt;0,Eingabe!$E$17&gt;=45),Eingabe!$B$17,"")</f>
        <v/>
      </c>
      <c r="C1669" s="20" t="str">
        <f aca="false">IF(AND(Eingabe!$F$17&gt;0,Eingabe!$E$17&gt;=45),Eingabe!$C$17&amp;"-Paz."&amp;TEXT(45,"000"),"")</f>
        <v/>
      </c>
      <c r="D1669" s="20" t="str">
        <f aca="false">IF(AND(Eingabe!$F$17&gt;0,Eingabe!$E$17&gt;=45),45,"")</f>
        <v/>
      </c>
      <c r="E1669" s="20" t="str">
        <f aca="false">IF(AND(Eingabe!$F$17&gt;0,Eingabe!$E$17&gt;=45),IF((Eingabe!$G$17)&lt;=9,1000+(Eingabe!$G$17)*100,3000)+45,"")</f>
        <v/>
      </c>
      <c r="F1669" s="20" t="str">
        <f aca="false">IF(AND(Eingabe!$F$17&gt;0,Eingabe!$E$17&gt;=45),"10."&amp;Eingabe!$D$17&amp;".45.0/24","")</f>
        <v/>
      </c>
      <c r="G1669" s="20" t="str">
        <f aca="false">IF(AND(Eingabe!$F$17&gt;0,Eingabe!$E$17&gt;=45),"10."&amp;Eingabe!$D$17&amp;".45.1","")</f>
        <v/>
      </c>
      <c r="H1669" s="20" t="str">
        <f aca="false">IF(AND(Eingabe!$F$17&gt;0,Eingabe!$E$17&gt;=45),"10."&amp;Eingabe!$D$17&amp;".45.10 – 10."&amp;Eingabe!$D$17&amp;".45.250","")</f>
        <v/>
      </c>
      <c r="I1669" s="20" t="str">
        <f aca="false">IF(AND(Eingabe!$F$17&gt;0,Eingabe!$E$17&gt;=45),Eingabe!$B$6&amp;"-"&amp;Eingabe!$C$17&amp;"-Pächter","")</f>
        <v/>
      </c>
      <c r="J1669" s="20" t="str">
        <f aca="false">IF(AND(Eingabe!$F$17&gt;0,Eingabe!$E$17&gt;=45),"PPSK: Passwort Parzelle 45","")</f>
        <v/>
      </c>
      <c r="K1669" s="20" t="str">
        <f aca="false">IF(AND(Eingabe!$F$17&gt;0,Eingabe!$E$17&gt;=45),"1. Gerät: 10."&amp;Eingabe!$D$17&amp;".45.10, 2. Gerät: .11","")</f>
        <v/>
      </c>
    </row>
    <row r="1670" customFormat="false" ht="15" hidden="false" customHeight="false" outlineLevel="0" collapsed="false">
      <c r="A1670" s="20" t="str">
        <f aca="false">IF(AND(Eingabe!$F$17&gt;0,Eingabe!$E$17&gt;=46),9,"")</f>
        <v/>
      </c>
      <c r="B1670" s="20" t="str">
        <f aca="false">IF(AND(Eingabe!$F$17&gt;0,Eingabe!$E$17&gt;=46),Eingabe!$B$17,"")</f>
        <v/>
      </c>
      <c r="C1670" s="20" t="str">
        <f aca="false">IF(AND(Eingabe!$F$17&gt;0,Eingabe!$E$17&gt;=46),Eingabe!$C$17&amp;"-Paz."&amp;TEXT(46,"000"),"")</f>
        <v/>
      </c>
      <c r="D1670" s="20" t="str">
        <f aca="false">IF(AND(Eingabe!$F$17&gt;0,Eingabe!$E$17&gt;=46),46,"")</f>
        <v/>
      </c>
      <c r="E1670" s="20" t="str">
        <f aca="false">IF(AND(Eingabe!$F$17&gt;0,Eingabe!$E$17&gt;=46),IF((Eingabe!$G$17)&lt;=9,1000+(Eingabe!$G$17)*100,3000)+46,"")</f>
        <v/>
      </c>
      <c r="F1670" s="20" t="str">
        <f aca="false">IF(AND(Eingabe!$F$17&gt;0,Eingabe!$E$17&gt;=46),"10."&amp;Eingabe!$D$17&amp;".46.0/24","")</f>
        <v/>
      </c>
      <c r="G1670" s="20" t="str">
        <f aca="false">IF(AND(Eingabe!$F$17&gt;0,Eingabe!$E$17&gt;=46),"10."&amp;Eingabe!$D$17&amp;".46.1","")</f>
        <v/>
      </c>
      <c r="H1670" s="20" t="str">
        <f aca="false">IF(AND(Eingabe!$F$17&gt;0,Eingabe!$E$17&gt;=46),"10."&amp;Eingabe!$D$17&amp;".46.10 – 10."&amp;Eingabe!$D$17&amp;".46.250","")</f>
        <v/>
      </c>
      <c r="I1670" s="20" t="str">
        <f aca="false">IF(AND(Eingabe!$F$17&gt;0,Eingabe!$E$17&gt;=46),Eingabe!$B$6&amp;"-"&amp;Eingabe!$C$17&amp;"-Pächter","")</f>
        <v/>
      </c>
      <c r="J1670" s="20" t="str">
        <f aca="false">IF(AND(Eingabe!$F$17&gt;0,Eingabe!$E$17&gt;=46),"PPSK: Passwort Parzelle 46","")</f>
        <v/>
      </c>
      <c r="K1670" s="20" t="str">
        <f aca="false">IF(AND(Eingabe!$F$17&gt;0,Eingabe!$E$17&gt;=46),"1. Gerät: 10."&amp;Eingabe!$D$17&amp;".46.10, 2. Gerät: .11","")</f>
        <v/>
      </c>
    </row>
    <row r="1671" customFormat="false" ht="15" hidden="false" customHeight="false" outlineLevel="0" collapsed="false">
      <c r="A1671" s="20" t="str">
        <f aca="false">IF(AND(Eingabe!$F$17&gt;0,Eingabe!$E$17&gt;=47),9,"")</f>
        <v/>
      </c>
      <c r="B1671" s="20" t="str">
        <f aca="false">IF(AND(Eingabe!$F$17&gt;0,Eingabe!$E$17&gt;=47),Eingabe!$B$17,"")</f>
        <v/>
      </c>
      <c r="C1671" s="20" t="str">
        <f aca="false">IF(AND(Eingabe!$F$17&gt;0,Eingabe!$E$17&gt;=47),Eingabe!$C$17&amp;"-Paz."&amp;TEXT(47,"000"),"")</f>
        <v/>
      </c>
      <c r="D1671" s="20" t="str">
        <f aca="false">IF(AND(Eingabe!$F$17&gt;0,Eingabe!$E$17&gt;=47),47,"")</f>
        <v/>
      </c>
      <c r="E1671" s="20" t="str">
        <f aca="false">IF(AND(Eingabe!$F$17&gt;0,Eingabe!$E$17&gt;=47),IF((Eingabe!$G$17)&lt;=9,1000+(Eingabe!$G$17)*100,3000)+47,"")</f>
        <v/>
      </c>
      <c r="F1671" s="20" t="str">
        <f aca="false">IF(AND(Eingabe!$F$17&gt;0,Eingabe!$E$17&gt;=47),"10."&amp;Eingabe!$D$17&amp;".47.0/24","")</f>
        <v/>
      </c>
      <c r="G1671" s="20" t="str">
        <f aca="false">IF(AND(Eingabe!$F$17&gt;0,Eingabe!$E$17&gt;=47),"10."&amp;Eingabe!$D$17&amp;".47.1","")</f>
        <v/>
      </c>
      <c r="H1671" s="20" t="str">
        <f aca="false">IF(AND(Eingabe!$F$17&gt;0,Eingabe!$E$17&gt;=47),"10."&amp;Eingabe!$D$17&amp;".47.10 – 10."&amp;Eingabe!$D$17&amp;".47.250","")</f>
        <v/>
      </c>
      <c r="I1671" s="20" t="str">
        <f aca="false">IF(AND(Eingabe!$F$17&gt;0,Eingabe!$E$17&gt;=47),Eingabe!$B$6&amp;"-"&amp;Eingabe!$C$17&amp;"-Pächter","")</f>
        <v/>
      </c>
      <c r="J1671" s="20" t="str">
        <f aca="false">IF(AND(Eingabe!$F$17&gt;0,Eingabe!$E$17&gt;=47),"PPSK: Passwort Parzelle 47","")</f>
        <v/>
      </c>
      <c r="K1671" s="20" t="str">
        <f aca="false">IF(AND(Eingabe!$F$17&gt;0,Eingabe!$E$17&gt;=47),"1. Gerät: 10."&amp;Eingabe!$D$17&amp;".47.10, 2. Gerät: .11","")</f>
        <v/>
      </c>
    </row>
    <row r="1672" customFormat="false" ht="15" hidden="false" customHeight="false" outlineLevel="0" collapsed="false">
      <c r="A1672" s="20" t="str">
        <f aca="false">IF(AND(Eingabe!$F$17&gt;0,Eingabe!$E$17&gt;=48),9,"")</f>
        <v/>
      </c>
      <c r="B1672" s="20" t="str">
        <f aca="false">IF(AND(Eingabe!$F$17&gt;0,Eingabe!$E$17&gt;=48),Eingabe!$B$17,"")</f>
        <v/>
      </c>
      <c r="C1672" s="20" t="str">
        <f aca="false">IF(AND(Eingabe!$F$17&gt;0,Eingabe!$E$17&gt;=48),Eingabe!$C$17&amp;"-Paz."&amp;TEXT(48,"000"),"")</f>
        <v/>
      </c>
      <c r="D1672" s="20" t="str">
        <f aca="false">IF(AND(Eingabe!$F$17&gt;0,Eingabe!$E$17&gt;=48),48,"")</f>
        <v/>
      </c>
      <c r="E1672" s="20" t="str">
        <f aca="false">IF(AND(Eingabe!$F$17&gt;0,Eingabe!$E$17&gt;=48),IF((Eingabe!$G$17)&lt;=9,1000+(Eingabe!$G$17)*100,3000)+48,"")</f>
        <v/>
      </c>
      <c r="F1672" s="20" t="str">
        <f aca="false">IF(AND(Eingabe!$F$17&gt;0,Eingabe!$E$17&gt;=48),"10."&amp;Eingabe!$D$17&amp;".48.0/24","")</f>
        <v/>
      </c>
      <c r="G1672" s="20" t="str">
        <f aca="false">IF(AND(Eingabe!$F$17&gt;0,Eingabe!$E$17&gt;=48),"10."&amp;Eingabe!$D$17&amp;".48.1","")</f>
        <v/>
      </c>
      <c r="H1672" s="20" t="str">
        <f aca="false">IF(AND(Eingabe!$F$17&gt;0,Eingabe!$E$17&gt;=48),"10."&amp;Eingabe!$D$17&amp;".48.10 – 10."&amp;Eingabe!$D$17&amp;".48.250","")</f>
        <v/>
      </c>
      <c r="I1672" s="20" t="str">
        <f aca="false">IF(AND(Eingabe!$F$17&gt;0,Eingabe!$E$17&gt;=48),Eingabe!$B$6&amp;"-"&amp;Eingabe!$C$17&amp;"-Pächter","")</f>
        <v/>
      </c>
      <c r="J1672" s="20" t="str">
        <f aca="false">IF(AND(Eingabe!$F$17&gt;0,Eingabe!$E$17&gt;=48),"PPSK: Passwort Parzelle 48","")</f>
        <v/>
      </c>
      <c r="K1672" s="20" t="str">
        <f aca="false">IF(AND(Eingabe!$F$17&gt;0,Eingabe!$E$17&gt;=48),"1. Gerät: 10."&amp;Eingabe!$D$17&amp;".48.10, 2. Gerät: .11","")</f>
        <v/>
      </c>
    </row>
    <row r="1673" customFormat="false" ht="15" hidden="false" customHeight="false" outlineLevel="0" collapsed="false">
      <c r="A1673" s="20" t="str">
        <f aca="false">IF(AND(Eingabe!$F$17&gt;0,Eingabe!$E$17&gt;=49),9,"")</f>
        <v/>
      </c>
      <c r="B1673" s="20" t="str">
        <f aca="false">IF(AND(Eingabe!$F$17&gt;0,Eingabe!$E$17&gt;=49),Eingabe!$B$17,"")</f>
        <v/>
      </c>
      <c r="C1673" s="20" t="str">
        <f aca="false">IF(AND(Eingabe!$F$17&gt;0,Eingabe!$E$17&gt;=49),Eingabe!$C$17&amp;"-Paz."&amp;TEXT(49,"000"),"")</f>
        <v/>
      </c>
      <c r="D1673" s="20" t="str">
        <f aca="false">IF(AND(Eingabe!$F$17&gt;0,Eingabe!$E$17&gt;=49),49,"")</f>
        <v/>
      </c>
      <c r="E1673" s="20" t="str">
        <f aca="false">IF(AND(Eingabe!$F$17&gt;0,Eingabe!$E$17&gt;=49),IF((Eingabe!$G$17)&lt;=9,1000+(Eingabe!$G$17)*100,3000)+49,"")</f>
        <v/>
      </c>
      <c r="F1673" s="20" t="str">
        <f aca="false">IF(AND(Eingabe!$F$17&gt;0,Eingabe!$E$17&gt;=49),"10."&amp;Eingabe!$D$17&amp;".49.0/24","")</f>
        <v/>
      </c>
      <c r="G1673" s="20" t="str">
        <f aca="false">IF(AND(Eingabe!$F$17&gt;0,Eingabe!$E$17&gt;=49),"10."&amp;Eingabe!$D$17&amp;".49.1","")</f>
        <v/>
      </c>
      <c r="H1673" s="20" t="str">
        <f aca="false">IF(AND(Eingabe!$F$17&gt;0,Eingabe!$E$17&gt;=49),"10."&amp;Eingabe!$D$17&amp;".49.10 – 10."&amp;Eingabe!$D$17&amp;".49.250","")</f>
        <v/>
      </c>
      <c r="I1673" s="20" t="str">
        <f aca="false">IF(AND(Eingabe!$F$17&gt;0,Eingabe!$E$17&gt;=49),Eingabe!$B$6&amp;"-"&amp;Eingabe!$C$17&amp;"-Pächter","")</f>
        <v/>
      </c>
      <c r="J1673" s="20" t="str">
        <f aca="false">IF(AND(Eingabe!$F$17&gt;0,Eingabe!$E$17&gt;=49),"PPSK: Passwort Parzelle 49","")</f>
        <v/>
      </c>
      <c r="K1673" s="20" t="str">
        <f aca="false">IF(AND(Eingabe!$F$17&gt;0,Eingabe!$E$17&gt;=49),"1. Gerät: 10."&amp;Eingabe!$D$17&amp;".49.10, 2. Gerät: .11","")</f>
        <v/>
      </c>
    </row>
    <row r="1674" customFormat="false" ht="15" hidden="false" customHeight="false" outlineLevel="0" collapsed="false">
      <c r="A1674" s="20" t="str">
        <f aca="false">IF(AND(Eingabe!$F$17&gt;0,Eingabe!$E$17&gt;=50),9,"")</f>
        <v/>
      </c>
      <c r="B1674" s="20" t="str">
        <f aca="false">IF(AND(Eingabe!$F$17&gt;0,Eingabe!$E$17&gt;=50),Eingabe!$B$17,"")</f>
        <v/>
      </c>
      <c r="C1674" s="20" t="str">
        <f aca="false">IF(AND(Eingabe!$F$17&gt;0,Eingabe!$E$17&gt;=50),Eingabe!$C$17&amp;"-Paz."&amp;TEXT(50,"000"),"")</f>
        <v/>
      </c>
      <c r="D1674" s="20" t="str">
        <f aca="false">IF(AND(Eingabe!$F$17&gt;0,Eingabe!$E$17&gt;=50),50,"")</f>
        <v/>
      </c>
      <c r="E1674" s="20" t="str">
        <f aca="false">IF(AND(Eingabe!$F$17&gt;0,Eingabe!$E$17&gt;=50),IF((Eingabe!$G$17)&lt;=9,1000+(Eingabe!$G$17)*100,3000)+50,"")</f>
        <v/>
      </c>
      <c r="F1674" s="20" t="str">
        <f aca="false">IF(AND(Eingabe!$F$17&gt;0,Eingabe!$E$17&gt;=50),"10."&amp;Eingabe!$D$17&amp;".50.0/24","")</f>
        <v/>
      </c>
      <c r="G1674" s="20" t="str">
        <f aca="false">IF(AND(Eingabe!$F$17&gt;0,Eingabe!$E$17&gt;=50),"10."&amp;Eingabe!$D$17&amp;".50.1","")</f>
        <v/>
      </c>
      <c r="H1674" s="20" t="str">
        <f aca="false">IF(AND(Eingabe!$F$17&gt;0,Eingabe!$E$17&gt;=50),"10."&amp;Eingabe!$D$17&amp;".50.10 – 10."&amp;Eingabe!$D$17&amp;".50.250","")</f>
        <v/>
      </c>
      <c r="I1674" s="20" t="str">
        <f aca="false">IF(AND(Eingabe!$F$17&gt;0,Eingabe!$E$17&gt;=50),Eingabe!$B$6&amp;"-"&amp;Eingabe!$C$17&amp;"-Pächter","")</f>
        <v/>
      </c>
      <c r="J1674" s="20" t="str">
        <f aca="false">IF(AND(Eingabe!$F$17&gt;0,Eingabe!$E$17&gt;=50),"PPSK: Passwort Parzelle 50","")</f>
        <v/>
      </c>
      <c r="K1674" s="20" t="str">
        <f aca="false">IF(AND(Eingabe!$F$17&gt;0,Eingabe!$E$17&gt;=50),"1. Gerät: 10."&amp;Eingabe!$D$17&amp;".50.10, 2. Gerät: .11","")</f>
        <v/>
      </c>
    </row>
    <row r="1675" customFormat="false" ht="15" hidden="false" customHeight="false" outlineLevel="0" collapsed="false">
      <c r="A1675" s="20" t="str">
        <f aca="false">IF(AND(Eingabe!$F$17&gt;0,Eingabe!$E$17&gt;=51),9,"")</f>
        <v/>
      </c>
      <c r="B1675" s="20" t="str">
        <f aca="false">IF(AND(Eingabe!$F$17&gt;0,Eingabe!$E$17&gt;=51),Eingabe!$B$17,"")</f>
        <v/>
      </c>
      <c r="C1675" s="20" t="str">
        <f aca="false">IF(AND(Eingabe!$F$17&gt;0,Eingabe!$E$17&gt;=51),Eingabe!$C$17&amp;"-Paz."&amp;TEXT(51,"000"),"")</f>
        <v/>
      </c>
      <c r="D1675" s="20" t="str">
        <f aca="false">IF(AND(Eingabe!$F$17&gt;0,Eingabe!$E$17&gt;=51),51,"")</f>
        <v/>
      </c>
      <c r="E1675" s="20" t="str">
        <f aca="false">IF(AND(Eingabe!$F$17&gt;0,Eingabe!$E$17&gt;=51),IF((Eingabe!$G$17)&lt;=9,1000+(Eingabe!$G$17)*100,3000)+51,"")</f>
        <v/>
      </c>
      <c r="F1675" s="20" t="str">
        <f aca="false">IF(AND(Eingabe!$F$17&gt;0,Eingabe!$E$17&gt;=51),"10."&amp;Eingabe!$D$17&amp;".51.0/24","")</f>
        <v/>
      </c>
      <c r="G1675" s="20" t="str">
        <f aca="false">IF(AND(Eingabe!$F$17&gt;0,Eingabe!$E$17&gt;=51),"10."&amp;Eingabe!$D$17&amp;".51.1","")</f>
        <v/>
      </c>
      <c r="H1675" s="20" t="str">
        <f aca="false">IF(AND(Eingabe!$F$17&gt;0,Eingabe!$E$17&gt;=51),"10."&amp;Eingabe!$D$17&amp;".51.10 – 10."&amp;Eingabe!$D$17&amp;".51.250","")</f>
        <v/>
      </c>
      <c r="I1675" s="20" t="str">
        <f aca="false">IF(AND(Eingabe!$F$17&gt;0,Eingabe!$E$17&gt;=51),Eingabe!$B$6&amp;"-"&amp;Eingabe!$C$17&amp;"-Pächter","")</f>
        <v/>
      </c>
      <c r="J1675" s="20" t="str">
        <f aca="false">IF(AND(Eingabe!$F$17&gt;0,Eingabe!$E$17&gt;=51),"PPSK: Passwort Parzelle 51","")</f>
        <v/>
      </c>
      <c r="K1675" s="20" t="str">
        <f aca="false">IF(AND(Eingabe!$F$17&gt;0,Eingabe!$E$17&gt;=51),"1. Gerät: 10."&amp;Eingabe!$D$17&amp;".51.10, 2. Gerät: .11","")</f>
        <v/>
      </c>
    </row>
    <row r="1676" customFormat="false" ht="15" hidden="false" customHeight="false" outlineLevel="0" collapsed="false">
      <c r="A1676" s="20" t="str">
        <f aca="false">IF(AND(Eingabe!$F$17&gt;0,Eingabe!$E$17&gt;=52),9,"")</f>
        <v/>
      </c>
      <c r="B1676" s="20" t="str">
        <f aca="false">IF(AND(Eingabe!$F$17&gt;0,Eingabe!$E$17&gt;=52),Eingabe!$B$17,"")</f>
        <v/>
      </c>
      <c r="C1676" s="20" t="str">
        <f aca="false">IF(AND(Eingabe!$F$17&gt;0,Eingabe!$E$17&gt;=52),Eingabe!$C$17&amp;"-Paz."&amp;TEXT(52,"000"),"")</f>
        <v/>
      </c>
      <c r="D1676" s="20" t="str">
        <f aca="false">IF(AND(Eingabe!$F$17&gt;0,Eingabe!$E$17&gt;=52),52,"")</f>
        <v/>
      </c>
      <c r="E1676" s="20" t="str">
        <f aca="false">IF(AND(Eingabe!$F$17&gt;0,Eingabe!$E$17&gt;=52),IF((Eingabe!$G$17)&lt;=9,1000+(Eingabe!$G$17)*100,3000)+52,"")</f>
        <v/>
      </c>
      <c r="F1676" s="20" t="str">
        <f aca="false">IF(AND(Eingabe!$F$17&gt;0,Eingabe!$E$17&gt;=52),"10."&amp;Eingabe!$D$17&amp;".52.0/24","")</f>
        <v/>
      </c>
      <c r="G1676" s="20" t="str">
        <f aca="false">IF(AND(Eingabe!$F$17&gt;0,Eingabe!$E$17&gt;=52),"10."&amp;Eingabe!$D$17&amp;".52.1","")</f>
        <v/>
      </c>
      <c r="H1676" s="20" t="str">
        <f aca="false">IF(AND(Eingabe!$F$17&gt;0,Eingabe!$E$17&gt;=52),"10."&amp;Eingabe!$D$17&amp;".52.10 – 10."&amp;Eingabe!$D$17&amp;".52.250","")</f>
        <v/>
      </c>
      <c r="I1676" s="20" t="str">
        <f aca="false">IF(AND(Eingabe!$F$17&gt;0,Eingabe!$E$17&gt;=52),Eingabe!$B$6&amp;"-"&amp;Eingabe!$C$17&amp;"-Pächter","")</f>
        <v/>
      </c>
      <c r="J1676" s="20" t="str">
        <f aca="false">IF(AND(Eingabe!$F$17&gt;0,Eingabe!$E$17&gt;=52),"PPSK: Passwort Parzelle 52","")</f>
        <v/>
      </c>
      <c r="K1676" s="20" t="str">
        <f aca="false">IF(AND(Eingabe!$F$17&gt;0,Eingabe!$E$17&gt;=52),"1. Gerät: 10."&amp;Eingabe!$D$17&amp;".52.10, 2. Gerät: .11","")</f>
        <v/>
      </c>
    </row>
    <row r="1677" customFormat="false" ht="15" hidden="false" customHeight="false" outlineLevel="0" collapsed="false">
      <c r="A1677" s="20" t="str">
        <f aca="false">IF(AND(Eingabe!$F$17&gt;0,Eingabe!$E$17&gt;=53),9,"")</f>
        <v/>
      </c>
      <c r="B1677" s="20" t="str">
        <f aca="false">IF(AND(Eingabe!$F$17&gt;0,Eingabe!$E$17&gt;=53),Eingabe!$B$17,"")</f>
        <v/>
      </c>
      <c r="C1677" s="20" t="str">
        <f aca="false">IF(AND(Eingabe!$F$17&gt;0,Eingabe!$E$17&gt;=53),Eingabe!$C$17&amp;"-Paz."&amp;TEXT(53,"000"),"")</f>
        <v/>
      </c>
      <c r="D1677" s="20" t="str">
        <f aca="false">IF(AND(Eingabe!$F$17&gt;0,Eingabe!$E$17&gt;=53),53,"")</f>
        <v/>
      </c>
      <c r="E1677" s="20" t="str">
        <f aca="false">IF(AND(Eingabe!$F$17&gt;0,Eingabe!$E$17&gt;=53),IF((Eingabe!$G$17)&lt;=9,1000+(Eingabe!$G$17)*100,3000)+53,"")</f>
        <v/>
      </c>
      <c r="F1677" s="20" t="str">
        <f aca="false">IF(AND(Eingabe!$F$17&gt;0,Eingabe!$E$17&gt;=53),"10."&amp;Eingabe!$D$17&amp;".53.0/24","")</f>
        <v/>
      </c>
      <c r="G1677" s="20" t="str">
        <f aca="false">IF(AND(Eingabe!$F$17&gt;0,Eingabe!$E$17&gt;=53),"10."&amp;Eingabe!$D$17&amp;".53.1","")</f>
        <v/>
      </c>
      <c r="H1677" s="20" t="str">
        <f aca="false">IF(AND(Eingabe!$F$17&gt;0,Eingabe!$E$17&gt;=53),"10."&amp;Eingabe!$D$17&amp;".53.10 – 10."&amp;Eingabe!$D$17&amp;".53.250","")</f>
        <v/>
      </c>
      <c r="I1677" s="20" t="str">
        <f aca="false">IF(AND(Eingabe!$F$17&gt;0,Eingabe!$E$17&gt;=53),Eingabe!$B$6&amp;"-"&amp;Eingabe!$C$17&amp;"-Pächter","")</f>
        <v/>
      </c>
      <c r="J1677" s="20" t="str">
        <f aca="false">IF(AND(Eingabe!$F$17&gt;0,Eingabe!$E$17&gt;=53),"PPSK: Passwort Parzelle 53","")</f>
        <v/>
      </c>
      <c r="K1677" s="20" t="str">
        <f aca="false">IF(AND(Eingabe!$F$17&gt;0,Eingabe!$E$17&gt;=53),"1. Gerät: 10."&amp;Eingabe!$D$17&amp;".53.10, 2. Gerät: .11","")</f>
        <v/>
      </c>
    </row>
    <row r="1678" customFormat="false" ht="15" hidden="false" customHeight="false" outlineLevel="0" collapsed="false">
      <c r="A1678" s="20" t="str">
        <f aca="false">IF(AND(Eingabe!$F$17&gt;0,Eingabe!$E$17&gt;=54),9,"")</f>
        <v/>
      </c>
      <c r="B1678" s="20" t="str">
        <f aca="false">IF(AND(Eingabe!$F$17&gt;0,Eingabe!$E$17&gt;=54),Eingabe!$B$17,"")</f>
        <v/>
      </c>
      <c r="C1678" s="20" t="str">
        <f aca="false">IF(AND(Eingabe!$F$17&gt;0,Eingabe!$E$17&gt;=54),Eingabe!$C$17&amp;"-Paz."&amp;TEXT(54,"000"),"")</f>
        <v/>
      </c>
      <c r="D1678" s="20" t="str">
        <f aca="false">IF(AND(Eingabe!$F$17&gt;0,Eingabe!$E$17&gt;=54),54,"")</f>
        <v/>
      </c>
      <c r="E1678" s="20" t="str">
        <f aca="false">IF(AND(Eingabe!$F$17&gt;0,Eingabe!$E$17&gt;=54),IF((Eingabe!$G$17)&lt;=9,1000+(Eingabe!$G$17)*100,3000)+54,"")</f>
        <v/>
      </c>
      <c r="F1678" s="20" t="str">
        <f aca="false">IF(AND(Eingabe!$F$17&gt;0,Eingabe!$E$17&gt;=54),"10."&amp;Eingabe!$D$17&amp;".54.0/24","")</f>
        <v/>
      </c>
      <c r="G1678" s="20" t="str">
        <f aca="false">IF(AND(Eingabe!$F$17&gt;0,Eingabe!$E$17&gt;=54),"10."&amp;Eingabe!$D$17&amp;".54.1","")</f>
        <v/>
      </c>
      <c r="H1678" s="20" t="str">
        <f aca="false">IF(AND(Eingabe!$F$17&gt;0,Eingabe!$E$17&gt;=54),"10."&amp;Eingabe!$D$17&amp;".54.10 – 10."&amp;Eingabe!$D$17&amp;".54.250","")</f>
        <v/>
      </c>
      <c r="I1678" s="20" t="str">
        <f aca="false">IF(AND(Eingabe!$F$17&gt;0,Eingabe!$E$17&gt;=54),Eingabe!$B$6&amp;"-"&amp;Eingabe!$C$17&amp;"-Pächter","")</f>
        <v/>
      </c>
      <c r="J1678" s="20" t="str">
        <f aca="false">IF(AND(Eingabe!$F$17&gt;0,Eingabe!$E$17&gt;=54),"PPSK: Passwort Parzelle 54","")</f>
        <v/>
      </c>
      <c r="K1678" s="20" t="str">
        <f aca="false">IF(AND(Eingabe!$F$17&gt;0,Eingabe!$E$17&gt;=54),"1. Gerät: 10."&amp;Eingabe!$D$17&amp;".54.10, 2. Gerät: .11","")</f>
        <v/>
      </c>
    </row>
    <row r="1679" customFormat="false" ht="15" hidden="false" customHeight="false" outlineLevel="0" collapsed="false">
      <c r="A1679" s="20" t="str">
        <f aca="false">IF(AND(Eingabe!$F$17&gt;0,Eingabe!$E$17&gt;=55),9,"")</f>
        <v/>
      </c>
      <c r="B1679" s="20" t="str">
        <f aca="false">IF(AND(Eingabe!$F$17&gt;0,Eingabe!$E$17&gt;=55),Eingabe!$B$17,"")</f>
        <v/>
      </c>
      <c r="C1679" s="20" t="str">
        <f aca="false">IF(AND(Eingabe!$F$17&gt;0,Eingabe!$E$17&gt;=55),Eingabe!$C$17&amp;"-Paz."&amp;TEXT(55,"000"),"")</f>
        <v/>
      </c>
      <c r="D1679" s="20" t="str">
        <f aca="false">IF(AND(Eingabe!$F$17&gt;0,Eingabe!$E$17&gt;=55),55,"")</f>
        <v/>
      </c>
      <c r="E1679" s="20" t="str">
        <f aca="false">IF(AND(Eingabe!$F$17&gt;0,Eingabe!$E$17&gt;=55),IF((Eingabe!$G$17)&lt;=9,1000+(Eingabe!$G$17)*100,3000)+55,"")</f>
        <v/>
      </c>
      <c r="F1679" s="20" t="str">
        <f aca="false">IF(AND(Eingabe!$F$17&gt;0,Eingabe!$E$17&gt;=55),"10."&amp;Eingabe!$D$17&amp;".55.0/24","")</f>
        <v/>
      </c>
      <c r="G1679" s="20" t="str">
        <f aca="false">IF(AND(Eingabe!$F$17&gt;0,Eingabe!$E$17&gt;=55),"10."&amp;Eingabe!$D$17&amp;".55.1","")</f>
        <v/>
      </c>
      <c r="H1679" s="20" t="str">
        <f aca="false">IF(AND(Eingabe!$F$17&gt;0,Eingabe!$E$17&gt;=55),"10."&amp;Eingabe!$D$17&amp;".55.10 – 10."&amp;Eingabe!$D$17&amp;".55.250","")</f>
        <v/>
      </c>
      <c r="I1679" s="20" t="str">
        <f aca="false">IF(AND(Eingabe!$F$17&gt;0,Eingabe!$E$17&gt;=55),Eingabe!$B$6&amp;"-"&amp;Eingabe!$C$17&amp;"-Pächter","")</f>
        <v/>
      </c>
      <c r="J1679" s="20" t="str">
        <f aca="false">IF(AND(Eingabe!$F$17&gt;0,Eingabe!$E$17&gt;=55),"PPSK: Passwort Parzelle 55","")</f>
        <v/>
      </c>
      <c r="K1679" s="20" t="str">
        <f aca="false">IF(AND(Eingabe!$F$17&gt;0,Eingabe!$E$17&gt;=55),"1. Gerät: 10."&amp;Eingabe!$D$17&amp;".55.10, 2. Gerät: .11","")</f>
        <v/>
      </c>
    </row>
    <row r="1680" customFormat="false" ht="15" hidden="false" customHeight="false" outlineLevel="0" collapsed="false">
      <c r="A1680" s="20" t="str">
        <f aca="false">IF(AND(Eingabe!$F$17&gt;0,Eingabe!$E$17&gt;=56),9,"")</f>
        <v/>
      </c>
      <c r="B1680" s="20" t="str">
        <f aca="false">IF(AND(Eingabe!$F$17&gt;0,Eingabe!$E$17&gt;=56),Eingabe!$B$17,"")</f>
        <v/>
      </c>
      <c r="C1680" s="20" t="str">
        <f aca="false">IF(AND(Eingabe!$F$17&gt;0,Eingabe!$E$17&gt;=56),Eingabe!$C$17&amp;"-Paz."&amp;TEXT(56,"000"),"")</f>
        <v/>
      </c>
      <c r="D1680" s="20" t="str">
        <f aca="false">IF(AND(Eingabe!$F$17&gt;0,Eingabe!$E$17&gt;=56),56,"")</f>
        <v/>
      </c>
      <c r="E1680" s="20" t="str">
        <f aca="false">IF(AND(Eingabe!$F$17&gt;0,Eingabe!$E$17&gt;=56),IF((Eingabe!$G$17)&lt;=9,1000+(Eingabe!$G$17)*100,3000)+56,"")</f>
        <v/>
      </c>
      <c r="F1680" s="20" t="str">
        <f aca="false">IF(AND(Eingabe!$F$17&gt;0,Eingabe!$E$17&gt;=56),"10."&amp;Eingabe!$D$17&amp;".56.0/24","")</f>
        <v/>
      </c>
      <c r="G1680" s="20" t="str">
        <f aca="false">IF(AND(Eingabe!$F$17&gt;0,Eingabe!$E$17&gt;=56),"10."&amp;Eingabe!$D$17&amp;".56.1","")</f>
        <v/>
      </c>
      <c r="H1680" s="20" t="str">
        <f aca="false">IF(AND(Eingabe!$F$17&gt;0,Eingabe!$E$17&gt;=56),"10."&amp;Eingabe!$D$17&amp;".56.10 – 10."&amp;Eingabe!$D$17&amp;".56.250","")</f>
        <v/>
      </c>
      <c r="I1680" s="20" t="str">
        <f aca="false">IF(AND(Eingabe!$F$17&gt;0,Eingabe!$E$17&gt;=56),Eingabe!$B$6&amp;"-"&amp;Eingabe!$C$17&amp;"-Pächter","")</f>
        <v/>
      </c>
      <c r="J1680" s="20" t="str">
        <f aca="false">IF(AND(Eingabe!$F$17&gt;0,Eingabe!$E$17&gt;=56),"PPSK: Passwort Parzelle 56","")</f>
        <v/>
      </c>
      <c r="K1680" s="20" t="str">
        <f aca="false">IF(AND(Eingabe!$F$17&gt;0,Eingabe!$E$17&gt;=56),"1. Gerät: 10."&amp;Eingabe!$D$17&amp;".56.10, 2. Gerät: .11","")</f>
        <v/>
      </c>
    </row>
    <row r="1681" customFormat="false" ht="15" hidden="false" customHeight="false" outlineLevel="0" collapsed="false">
      <c r="A1681" s="20" t="str">
        <f aca="false">IF(AND(Eingabe!$F$17&gt;0,Eingabe!$E$17&gt;=57),9,"")</f>
        <v/>
      </c>
      <c r="B1681" s="20" t="str">
        <f aca="false">IF(AND(Eingabe!$F$17&gt;0,Eingabe!$E$17&gt;=57),Eingabe!$B$17,"")</f>
        <v/>
      </c>
      <c r="C1681" s="20" t="str">
        <f aca="false">IF(AND(Eingabe!$F$17&gt;0,Eingabe!$E$17&gt;=57),Eingabe!$C$17&amp;"-Paz."&amp;TEXT(57,"000"),"")</f>
        <v/>
      </c>
      <c r="D1681" s="20" t="str">
        <f aca="false">IF(AND(Eingabe!$F$17&gt;0,Eingabe!$E$17&gt;=57),57,"")</f>
        <v/>
      </c>
      <c r="E1681" s="20" t="str">
        <f aca="false">IF(AND(Eingabe!$F$17&gt;0,Eingabe!$E$17&gt;=57),IF((Eingabe!$G$17)&lt;=9,1000+(Eingabe!$G$17)*100,3000)+57,"")</f>
        <v/>
      </c>
      <c r="F1681" s="20" t="str">
        <f aca="false">IF(AND(Eingabe!$F$17&gt;0,Eingabe!$E$17&gt;=57),"10."&amp;Eingabe!$D$17&amp;".57.0/24","")</f>
        <v/>
      </c>
      <c r="G1681" s="20" t="str">
        <f aca="false">IF(AND(Eingabe!$F$17&gt;0,Eingabe!$E$17&gt;=57),"10."&amp;Eingabe!$D$17&amp;".57.1","")</f>
        <v/>
      </c>
      <c r="H1681" s="20" t="str">
        <f aca="false">IF(AND(Eingabe!$F$17&gt;0,Eingabe!$E$17&gt;=57),"10."&amp;Eingabe!$D$17&amp;".57.10 – 10."&amp;Eingabe!$D$17&amp;".57.250","")</f>
        <v/>
      </c>
      <c r="I1681" s="20" t="str">
        <f aca="false">IF(AND(Eingabe!$F$17&gt;0,Eingabe!$E$17&gt;=57),Eingabe!$B$6&amp;"-"&amp;Eingabe!$C$17&amp;"-Pächter","")</f>
        <v/>
      </c>
      <c r="J1681" s="20" t="str">
        <f aca="false">IF(AND(Eingabe!$F$17&gt;0,Eingabe!$E$17&gt;=57),"PPSK: Passwort Parzelle 57","")</f>
        <v/>
      </c>
      <c r="K1681" s="20" t="str">
        <f aca="false">IF(AND(Eingabe!$F$17&gt;0,Eingabe!$E$17&gt;=57),"1. Gerät: 10."&amp;Eingabe!$D$17&amp;".57.10, 2. Gerät: .11","")</f>
        <v/>
      </c>
    </row>
    <row r="1682" customFormat="false" ht="15" hidden="false" customHeight="false" outlineLevel="0" collapsed="false">
      <c r="A1682" s="20" t="str">
        <f aca="false">IF(AND(Eingabe!$F$17&gt;0,Eingabe!$E$17&gt;=58),9,"")</f>
        <v/>
      </c>
      <c r="B1682" s="20" t="str">
        <f aca="false">IF(AND(Eingabe!$F$17&gt;0,Eingabe!$E$17&gt;=58),Eingabe!$B$17,"")</f>
        <v/>
      </c>
      <c r="C1682" s="20" t="str">
        <f aca="false">IF(AND(Eingabe!$F$17&gt;0,Eingabe!$E$17&gt;=58),Eingabe!$C$17&amp;"-Paz."&amp;TEXT(58,"000"),"")</f>
        <v/>
      </c>
      <c r="D1682" s="20" t="str">
        <f aca="false">IF(AND(Eingabe!$F$17&gt;0,Eingabe!$E$17&gt;=58),58,"")</f>
        <v/>
      </c>
      <c r="E1682" s="20" t="str">
        <f aca="false">IF(AND(Eingabe!$F$17&gt;0,Eingabe!$E$17&gt;=58),IF((Eingabe!$G$17)&lt;=9,1000+(Eingabe!$G$17)*100,3000)+58,"")</f>
        <v/>
      </c>
      <c r="F1682" s="20" t="str">
        <f aca="false">IF(AND(Eingabe!$F$17&gt;0,Eingabe!$E$17&gt;=58),"10."&amp;Eingabe!$D$17&amp;".58.0/24","")</f>
        <v/>
      </c>
      <c r="G1682" s="20" t="str">
        <f aca="false">IF(AND(Eingabe!$F$17&gt;0,Eingabe!$E$17&gt;=58),"10."&amp;Eingabe!$D$17&amp;".58.1","")</f>
        <v/>
      </c>
      <c r="H1682" s="20" t="str">
        <f aca="false">IF(AND(Eingabe!$F$17&gt;0,Eingabe!$E$17&gt;=58),"10."&amp;Eingabe!$D$17&amp;".58.10 – 10."&amp;Eingabe!$D$17&amp;".58.250","")</f>
        <v/>
      </c>
      <c r="I1682" s="20" t="str">
        <f aca="false">IF(AND(Eingabe!$F$17&gt;0,Eingabe!$E$17&gt;=58),Eingabe!$B$6&amp;"-"&amp;Eingabe!$C$17&amp;"-Pächter","")</f>
        <v/>
      </c>
      <c r="J1682" s="20" t="str">
        <f aca="false">IF(AND(Eingabe!$F$17&gt;0,Eingabe!$E$17&gt;=58),"PPSK: Passwort Parzelle 58","")</f>
        <v/>
      </c>
      <c r="K1682" s="20" t="str">
        <f aca="false">IF(AND(Eingabe!$F$17&gt;0,Eingabe!$E$17&gt;=58),"1. Gerät: 10."&amp;Eingabe!$D$17&amp;".58.10, 2. Gerät: .11","")</f>
        <v/>
      </c>
    </row>
    <row r="1683" customFormat="false" ht="15" hidden="false" customHeight="false" outlineLevel="0" collapsed="false">
      <c r="A1683" s="20" t="str">
        <f aca="false">IF(AND(Eingabe!$F$17&gt;0,Eingabe!$E$17&gt;=59),9,"")</f>
        <v/>
      </c>
      <c r="B1683" s="20" t="str">
        <f aca="false">IF(AND(Eingabe!$F$17&gt;0,Eingabe!$E$17&gt;=59),Eingabe!$B$17,"")</f>
        <v/>
      </c>
      <c r="C1683" s="20" t="str">
        <f aca="false">IF(AND(Eingabe!$F$17&gt;0,Eingabe!$E$17&gt;=59),Eingabe!$C$17&amp;"-Paz."&amp;TEXT(59,"000"),"")</f>
        <v/>
      </c>
      <c r="D1683" s="20" t="str">
        <f aca="false">IF(AND(Eingabe!$F$17&gt;0,Eingabe!$E$17&gt;=59),59,"")</f>
        <v/>
      </c>
      <c r="E1683" s="20" t="str">
        <f aca="false">IF(AND(Eingabe!$F$17&gt;0,Eingabe!$E$17&gt;=59),IF((Eingabe!$G$17)&lt;=9,1000+(Eingabe!$G$17)*100,3000)+59,"")</f>
        <v/>
      </c>
      <c r="F1683" s="20" t="str">
        <f aca="false">IF(AND(Eingabe!$F$17&gt;0,Eingabe!$E$17&gt;=59),"10."&amp;Eingabe!$D$17&amp;".59.0/24","")</f>
        <v/>
      </c>
      <c r="G1683" s="20" t="str">
        <f aca="false">IF(AND(Eingabe!$F$17&gt;0,Eingabe!$E$17&gt;=59),"10."&amp;Eingabe!$D$17&amp;".59.1","")</f>
        <v/>
      </c>
      <c r="H1683" s="20" t="str">
        <f aca="false">IF(AND(Eingabe!$F$17&gt;0,Eingabe!$E$17&gt;=59),"10."&amp;Eingabe!$D$17&amp;".59.10 – 10."&amp;Eingabe!$D$17&amp;".59.250","")</f>
        <v/>
      </c>
      <c r="I1683" s="20" t="str">
        <f aca="false">IF(AND(Eingabe!$F$17&gt;0,Eingabe!$E$17&gt;=59),Eingabe!$B$6&amp;"-"&amp;Eingabe!$C$17&amp;"-Pächter","")</f>
        <v/>
      </c>
      <c r="J1683" s="20" t="str">
        <f aca="false">IF(AND(Eingabe!$F$17&gt;0,Eingabe!$E$17&gt;=59),"PPSK: Passwort Parzelle 59","")</f>
        <v/>
      </c>
      <c r="K1683" s="20" t="str">
        <f aca="false">IF(AND(Eingabe!$F$17&gt;0,Eingabe!$E$17&gt;=59),"1. Gerät: 10."&amp;Eingabe!$D$17&amp;".59.10, 2. Gerät: .11","")</f>
        <v/>
      </c>
    </row>
    <row r="1684" customFormat="false" ht="15" hidden="false" customHeight="false" outlineLevel="0" collapsed="false">
      <c r="A1684" s="20" t="str">
        <f aca="false">IF(AND(Eingabe!$F$17&gt;0,Eingabe!$E$17&gt;=60),9,"")</f>
        <v/>
      </c>
      <c r="B1684" s="20" t="str">
        <f aca="false">IF(AND(Eingabe!$F$17&gt;0,Eingabe!$E$17&gt;=60),Eingabe!$B$17,"")</f>
        <v/>
      </c>
      <c r="C1684" s="20" t="str">
        <f aca="false">IF(AND(Eingabe!$F$17&gt;0,Eingabe!$E$17&gt;=60),Eingabe!$C$17&amp;"-Paz."&amp;TEXT(60,"000"),"")</f>
        <v/>
      </c>
      <c r="D1684" s="20" t="str">
        <f aca="false">IF(AND(Eingabe!$F$17&gt;0,Eingabe!$E$17&gt;=60),60,"")</f>
        <v/>
      </c>
      <c r="E1684" s="20" t="str">
        <f aca="false">IF(AND(Eingabe!$F$17&gt;0,Eingabe!$E$17&gt;=60),IF((Eingabe!$G$17)&lt;=9,1000+(Eingabe!$G$17)*100,3000)+60,"")</f>
        <v/>
      </c>
      <c r="F1684" s="20" t="str">
        <f aca="false">IF(AND(Eingabe!$F$17&gt;0,Eingabe!$E$17&gt;=60),"10."&amp;Eingabe!$D$17&amp;".60.0/24","")</f>
        <v/>
      </c>
      <c r="G1684" s="20" t="str">
        <f aca="false">IF(AND(Eingabe!$F$17&gt;0,Eingabe!$E$17&gt;=60),"10."&amp;Eingabe!$D$17&amp;".60.1","")</f>
        <v/>
      </c>
      <c r="H1684" s="20" t="str">
        <f aca="false">IF(AND(Eingabe!$F$17&gt;0,Eingabe!$E$17&gt;=60),"10."&amp;Eingabe!$D$17&amp;".60.10 – 10."&amp;Eingabe!$D$17&amp;".60.250","")</f>
        <v/>
      </c>
      <c r="I1684" s="20" t="str">
        <f aca="false">IF(AND(Eingabe!$F$17&gt;0,Eingabe!$E$17&gt;=60),Eingabe!$B$6&amp;"-"&amp;Eingabe!$C$17&amp;"-Pächter","")</f>
        <v/>
      </c>
      <c r="J1684" s="20" t="str">
        <f aca="false">IF(AND(Eingabe!$F$17&gt;0,Eingabe!$E$17&gt;=60),"PPSK: Passwort Parzelle 60","")</f>
        <v/>
      </c>
      <c r="K1684" s="20" t="str">
        <f aca="false">IF(AND(Eingabe!$F$17&gt;0,Eingabe!$E$17&gt;=60),"1. Gerät: 10."&amp;Eingabe!$D$17&amp;".60.10, 2. Gerät: .11","")</f>
        <v/>
      </c>
    </row>
    <row r="1685" customFormat="false" ht="15" hidden="false" customHeight="false" outlineLevel="0" collapsed="false">
      <c r="A1685" s="20" t="str">
        <f aca="false">IF(AND(Eingabe!$F$17&gt;0,Eingabe!$E$17&gt;=61),9,"")</f>
        <v/>
      </c>
      <c r="B1685" s="20" t="str">
        <f aca="false">IF(AND(Eingabe!$F$17&gt;0,Eingabe!$E$17&gt;=61),Eingabe!$B$17,"")</f>
        <v/>
      </c>
      <c r="C1685" s="20" t="str">
        <f aca="false">IF(AND(Eingabe!$F$17&gt;0,Eingabe!$E$17&gt;=61),Eingabe!$C$17&amp;"-Paz."&amp;TEXT(61,"000"),"")</f>
        <v/>
      </c>
      <c r="D1685" s="20" t="str">
        <f aca="false">IF(AND(Eingabe!$F$17&gt;0,Eingabe!$E$17&gt;=61),61,"")</f>
        <v/>
      </c>
      <c r="E1685" s="20" t="str">
        <f aca="false">IF(AND(Eingabe!$F$17&gt;0,Eingabe!$E$17&gt;=61),IF((Eingabe!$G$17)&lt;=9,1000+(Eingabe!$G$17)*100,3000)+61,"")</f>
        <v/>
      </c>
      <c r="F1685" s="20" t="str">
        <f aca="false">IF(AND(Eingabe!$F$17&gt;0,Eingabe!$E$17&gt;=61),"10."&amp;Eingabe!$D$17&amp;".61.0/24","")</f>
        <v/>
      </c>
      <c r="G1685" s="20" t="str">
        <f aca="false">IF(AND(Eingabe!$F$17&gt;0,Eingabe!$E$17&gt;=61),"10."&amp;Eingabe!$D$17&amp;".61.1","")</f>
        <v/>
      </c>
      <c r="H1685" s="20" t="str">
        <f aca="false">IF(AND(Eingabe!$F$17&gt;0,Eingabe!$E$17&gt;=61),"10."&amp;Eingabe!$D$17&amp;".61.10 – 10."&amp;Eingabe!$D$17&amp;".61.250","")</f>
        <v/>
      </c>
      <c r="I1685" s="20" t="str">
        <f aca="false">IF(AND(Eingabe!$F$17&gt;0,Eingabe!$E$17&gt;=61),Eingabe!$B$6&amp;"-"&amp;Eingabe!$C$17&amp;"-Pächter","")</f>
        <v/>
      </c>
      <c r="J1685" s="20" t="str">
        <f aca="false">IF(AND(Eingabe!$F$17&gt;0,Eingabe!$E$17&gt;=61),"PPSK: Passwort Parzelle 61","")</f>
        <v/>
      </c>
      <c r="K1685" s="20" t="str">
        <f aca="false">IF(AND(Eingabe!$F$17&gt;0,Eingabe!$E$17&gt;=61),"1. Gerät: 10."&amp;Eingabe!$D$17&amp;".61.10, 2. Gerät: .11","")</f>
        <v/>
      </c>
    </row>
    <row r="1686" customFormat="false" ht="15" hidden="false" customHeight="false" outlineLevel="0" collapsed="false">
      <c r="A1686" s="20" t="str">
        <f aca="false">IF(AND(Eingabe!$F$17&gt;0,Eingabe!$E$17&gt;=62),9,"")</f>
        <v/>
      </c>
      <c r="B1686" s="20" t="str">
        <f aca="false">IF(AND(Eingabe!$F$17&gt;0,Eingabe!$E$17&gt;=62),Eingabe!$B$17,"")</f>
        <v/>
      </c>
      <c r="C1686" s="20" t="str">
        <f aca="false">IF(AND(Eingabe!$F$17&gt;0,Eingabe!$E$17&gt;=62),Eingabe!$C$17&amp;"-Paz."&amp;TEXT(62,"000"),"")</f>
        <v/>
      </c>
      <c r="D1686" s="20" t="str">
        <f aca="false">IF(AND(Eingabe!$F$17&gt;0,Eingabe!$E$17&gt;=62),62,"")</f>
        <v/>
      </c>
      <c r="E1686" s="20" t="str">
        <f aca="false">IF(AND(Eingabe!$F$17&gt;0,Eingabe!$E$17&gt;=62),IF((Eingabe!$G$17)&lt;=9,1000+(Eingabe!$G$17)*100,3000)+62,"")</f>
        <v/>
      </c>
      <c r="F1686" s="20" t="str">
        <f aca="false">IF(AND(Eingabe!$F$17&gt;0,Eingabe!$E$17&gt;=62),"10."&amp;Eingabe!$D$17&amp;".62.0/24","")</f>
        <v/>
      </c>
      <c r="G1686" s="20" t="str">
        <f aca="false">IF(AND(Eingabe!$F$17&gt;0,Eingabe!$E$17&gt;=62),"10."&amp;Eingabe!$D$17&amp;".62.1","")</f>
        <v/>
      </c>
      <c r="H1686" s="20" t="str">
        <f aca="false">IF(AND(Eingabe!$F$17&gt;0,Eingabe!$E$17&gt;=62),"10."&amp;Eingabe!$D$17&amp;".62.10 – 10."&amp;Eingabe!$D$17&amp;".62.250","")</f>
        <v/>
      </c>
      <c r="I1686" s="20" t="str">
        <f aca="false">IF(AND(Eingabe!$F$17&gt;0,Eingabe!$E$17&gt;=62),Eingabe!$B$6&amp;"-"&amp;Eingabe!$C$17&amp;"-Pächter","")</f>
        <v/>
      </c>
      <c r="J1686" s="20" t="str">
        <f aca="false">IF(AND(Eingabe!$F$17&gt;0,Eingabe!$E$17&gt;=62),"PPSK: Passwort Parzelle 62","")</f>
        <v/>
      </c>
      <c r="K1686" s="20" t="str">
        <f aca="false">IF(AND(Eingabe!$F$17&gt;0,Eingabe!$E$17&gt;=62),"1. Gerät: 10."&amp;Eingabe!$D$17&amp;".62.10, 2. Gerät: .11","")</f>
        <v/>
      </c>
    </row>
    <row r="1687" customFormat="false" ht="15" hidden="false" customHeight="false" outlineLevel="0" collapsed="false">
      <c r="A1687" s="20" t="str">
        <f aca="false">IF(AND(Eingabe!$F$17&gt;0,Eingabe!$E$17&gt;=63),9,"")</f>
        <v/>
      </c>
      <c r="B1687" s="20" t="str">
        <f aca="false">IF(AND(Eingabe!$F$17&gt;0,Eingabe!$E$17&gt;=63),Eingabe!$B$17,"")</f>
        <v/>
      </c>
      <c r="C1687" s="20" t="str">
        <f aca="false">IF(AND(Eingabe!$F$17&gt;0,Eingabe!$E$17&gt;=63),Eingabe!$C$17&amp;"-Paz."&amp;TEXT(63,"000"),"")</f>
        <v/>
      </c>
      <c r="D1687" s="20" t="str">
        <f aca="false">IF(AND(Eingabe!$F$17&gt;0,Eingabe!$E$17&gt;=63),63,"")</f>
        <v/>
      </c>
      <c r="E1687" s="20" t="str">
        <f aca="false">IF(AND(Eingabe!$F$17&gt;0,Eingabe!$E$17&gt;=63),IF((Eingabe!$G$17)&lt;=9,1000+(Eingabe!$G$17)*100,3000)+63,"")</f>
        <v/>
      </c>
      <c r="F1687" s="20" t="str">
        <f aca="false">IF(AND(Eingabe!$F$17&gt;0,Eingabe!$E$17&gt;=63),"10."&amp;Eingabe!$D$17&amp;".63.0/24","")</f>
        <v/>
      </c>
      <c r="G1687" s="20" t="str">
        <f aca="false">IF(AND(Eingabe!$F$17&gt;0,Eingabe!$E$17&gt;=63),"10."&amp;Eingabe!$D$17&amp;".63.1","")</f>
        <v/>
      </c>
      <c r="H1687" s="20" t="str">
        <f aca="false">IF(AND(Eingabe!$F$17&gt;0,Eingabe!$E$17&gt;=63),"10."&amp;Eingabe!$D$17&amp;".63.10 – 10."&amp;Eingabe!$D$17&amp;".63.250","")</f>
        <v/>
      </c>
      <c r="I1687" s="20" t="str">
        <f aca="false">IF(AND(Eingabe!$F$17&gt;0,Eingabe!$E$17&gt;=63),Eingabe!$B$6&amp;"-"&amp;Eingabe!$C$17&amp;"-Pächter","")</f>
        <v/>
      </c>
      <c r="J1687" s="20" t="str">
        <f aca="false">IF(AND(Eingabe!$F$17&gt;0,Eingabe!$E$17&gt;=63),"PPSK: Passwort Parzelle 63","")</f>
        <v/>
      </c>
      <c r="K1687" s="20" t="str">
        <f aca="false">IF(AND(Eingabe!$F$17&gt;0,Eingabe!$E$17&gt;=63),"1. Gerät: 10."&amp;Eingabe!$D$17&amp;".63.10, 2. Gerät: .11","")</f>
        <v/>
      </c>
    </row>
    <row r="1688" customFormat="false" ht="15" hidden="false" customHeight="false" outlineLevel="0" collapsed="false">
      <c r="A1688" s="20" t="str">
        <f aca="false">IF(AND(Eingabe!$F$17&gt;0,Eingabe!$E$17&gt;=64),9,"")</f>
        <v/>
      </c>
      <c r="B1688" s="20" t="str">
        <f aca="false">IF(AND(Eingabe!$F$17&gt;0,Eingabe!$E$17&gt;=64),Eingabe!$B$17,"")</f>
        <v/>
      </c>
      <c r="C1688" s="20" t="str">
        <f aca="false">IF(AND(Eingabe!$F$17&gt;0,Eingabe!$E$17&gt;=64),Eingabe!$C$17&amp;"-Paz."&amp;TEXT(64,"000"),"")</f>
        <v/>
      </c>
      <c r="D1688" s="20" t="str">
        <f aca="false">IF(AND(Eingabe!$F$17&gt;0,Eingabe!$E$17&gt;=64),64,"")</f>
        <v/>
      </c>
      <c r="E1688" s="20" t="str">
        <f aca="false">IF(AND(Eingabe!$F$17&gt;0,Eingabe!$E$17&gt;=64),IF((Eingabe!$G$17)&lt;=9,1000+(Eingabe!$G$17)*100,3000)+64,"")</f>
        <v/>
      </c>
      <c r="F1688" s="20" t="str">
        <f aca="false">IF(AND(Eingabe!$F$17&gt;0,Eingabe!$E$17&gt;=64),"10."&amp;Eingabe!$D$17&amp;".64.0/24","")</f>
        <v/>
      </c>
      <c r="G1688" s="20" t="str">
        <f aca="false">IF(AND(Eingabe!$F$17&gt;0,Eingabe!$E$17&gt;=64),"10."&amp;Eingabe!$D$17&amp;".64.1","")</f>
        <v/>
      </c>
      <c r="H1688" s="20" t="str">
        <f aca="false">IF(AND(Eingabe!$F$17&gt;0,Eingabe!$E$17&gt;=64),"10."&amp;Eingabe!$D$17&amp;".64.10 – 10."&amp;Eingabe!$D$17&amp;".64.250","")</f>
        <v/>
      </c>
      <c r="I1688" s="20" t="str">
        <f aca="false">IF(AND(Eingabe!$F$17&gt;0,Eingabe!$E$17&gt;=64),Eingabe!$B$6&amp;"-"&amp;Eingabe!$C$17&amp;"-Pächter","")</f>
        <v/>
      </c>
      <c r="J1688" s="20" t="str">
        <f aca="false">IF(AND(Eingabe!$F$17&gt;0,Eingabe!$E$17&gt;=64),"PPSK: Passwort Parzelle 64","")</f>
        <v/>
      </c>
      <c r="K1688" s="20" t="str">
        <f aca="false">IF(AND(Eingabe!$F$17&gt;0,Eingabe!$E$17&gt;=64),"1. Gerät: 10."&amp;Eingabe!$D$17&amp;".64.10, 2. Gerät: .11","")</f>
        <v/>
      </c>
    </row>
    <row r="1689" customFormat="false" ht="15" hidden="false" customHeight="false" outlineLevel="0" collapsed="false">
      <c r="A1689" s="20" t="str">
        <f aca="false">IF(AND(Eingabe!$F$17&gt;0,Eingabe!$E$17&gt;=65),9,"")</f>
        <v/>
      </c>
      <c r="B1689" s="20" t="str">
        <f aca="false">IF(AND(Eingabe!$F$17&gt;0,Eingabe!$E$17&gt;=65),Eingabe!$B$17,"")</f>
        <v/>
      </c>
      <c r="C1689" s="20" t="str">
        <f aca="false">IF(AND(Eingabe!$F$17&gt;0,Eingabe!$E$17&gt;=65),Eingabe!$C$17&amp;"-Paz."&amp;TEXT(65,"000"),"")</f>
        <v/>
      </c>
      <c r="D1689" s="20" t="str">
        <f aca="false">IF(AND(Eingabe!$F$17&gt;0,Eingabe!$E$17&gt;=65),65,"")</f>
        <v/>
      </c>
      <c r="E1689" s="20" t="str">
        <f aca="false">IF(AND(Eingabe!$F$17&gt;0,Eingabe!$E$17&gt;=65),IF((Eingabe!$G$17)&lt;=9,1000+(Eingabe!$G$17)*100,3000)+65,"")</f>
        <v/>
      </c>
      <c r="F1689" s="20" t="str">
        <f aca="false">IF(AND(Eingabe!$F$17&gt;0,Eingabe!$E$17&gt;=65),"10."&amp;Eingabe!$D$17&amp;".65.0/24","")</f>
        <v/>
      </c>
      <c r="G1689" s="20" t="str">
        <f aca="false">IF(AND(Eingabe!$F$17&gt;0,Eingabe!$E$17&gt;=65),"10."&amp;Eingabe!$D$17&amp;".65.1","")</f>
        <v/>
      </c>
      <c r="H1689" s="20" t="str">
        <f aca="false">IF(AND(Eingabe!$F$17&gt;0,Eingabe!$E$17&gt;=65),"10."&amp;Eingabe!$D$17&amp;".65.10 – 10."&amp;Eingabe!$D$17&amp;".65.250","")</f>
        <v/>
      </c>
      <c r="I1689" s="20" t="str">
        <f aca="false">IF(AND(Eingabe!$F$17&gt;0,Eingabe!$E$17&gt;=65),Eingabe!$B$6&amp;"-"&amp;Eingabe!$C$17&amp;"-Pächter","")</f>
        <v/>
      </c>
      <c r="J1689" s="20" t="str">
        <f aca="false">IF(AND(Eingabe!$F$17&gt;0,Eingabe!$E$17&gt;=65),"PPSK: Passwort Parzelle 65","")</f>
        <v/>
      </c>
      <c r="K1689" s="20" t="str">
        <f aca="false">IF(AND(Eingabe!$F$17&gt;0,Eingabe!$E$17&gt;=65),"1. Gerät: 10."&amp;Eingabe!$D$17&amp;".65.10, 2. Gerät: .11","")</f>
        <v/>
      </c>
    </row>
    <row r="1690" customFormat="false" ht="15" hidden="false" customHeight="false" outlineLevel="0" collapsed="false">
      <c r="A1690" s="20" t="str">
        <f aca="false">IF(AND(Eingabe!$F$17&gt;0,Eingabe!$E$17&gt;=66),9,"")</f>
        <v/>
      </c>
      <c r="B1690" s="20" t="str">
        <f aca="false">IF(AND(Eingabe!$F$17&gt;0,Eingabe!$E$17&gt;=66),Eingabe!$B$17,"")</f>
        <v/>
      </c>
      <c r="C1690" s="20" t="str">
        <f aca="false">IF(AND(Eingabe!$F$17&gt;0,Eingabe!$E$17&gt;=66),Eingabe!$C$17&amp;"-Paz."&amp;TEXT(66,"000"),"")</f>
        <v/>
      </c>
      <c r="D1690" s="20" t="str">
        <f aca="false">IF(AND(Eingabe!$F$17&gt;0,Eingabe!$E$17&gt;=66),66,"")</f>
        <v/>
      </c>
      <c r="E1690" s="20" t="str">
        <f aca="false">IF(AND(Eingabe!$F$17&gt;0,Eingabe!$E$17&gt;=66),IF((Eingabe!$G$17)&lt;=9,1000+(Eingabe!$G$17)*100,3000)+66,"")</f>
        <v/>
      </c>
      <c r="F1690" s="20" t="str">
        <f aca="false">IF(AND(Eingabe!$F$17&gt;0,Eingabe!$E$17&gt;=66),"10."&amp;Eingabe!$D$17&amp;".66.0/24","")</f>
        <v/>
      </c>
      <c r="G1690" s="20" t="str">
        <f aca="false">IF(AND(Eingabe!$F$17&gt;0,Eingabe!$E$17&gt;=66),"10."&amp;Eingabe!$D$17&amp;".66.1","")</f>
        <v/>
      </c>
      <c r="H1690" s="20" t="str">
        <f aca="false">IF(AND(Eingabe!$F$17&gt;0,Eingabe!$E$17&gt;=66),"10."&amp;Eingabe!$D$17&amp;".66.10 – 10."&amp;Eingabe!$D$17&amp;".66.250","")</f>
        <v/>
      </c>
      <c r="I1690" s="20" t="str">
        <f aca="false">IF(AND(Eingabe!$F$17&gt;0,Eingabe!$E$17&gt;=66),Eingabe!$B$6&amp;"-"&amp;Eingabe!$C$17&amp;"-Pächter","")</f>
        <v/>
      </c>
      <c r="J1690" s="20" t="str">
        <f aca="false">IF(AND(Eingabe!$F$17&gt;0,Eingabe!$E$17&gt;=66),"PPSK: Passwort Parzelle 66","")</f>
        <v/>
      </c>
      <c r="K1690" s="20" t="str">
        <f aca="false">IF(AND(Eingabe!$F$17&gt;0,Eingabe!$E$17&gt;=66),"1. Gerät: 10."&amp;Eingabe!$D$17&amp;".66.10, 2. Gerät: .11","")</f>
        <v/>
      </c>
    </row>
    <row r="1691" customFormat="false" ht="15" hidden="false" customHeight="false" outlineLevel="0" collapsed="false">
      <c r="A1691" s="20" t="str">
        <f aca="false">IF(AND(Eingabe!$F$17&gt;0,Eingabe!$E$17&gt;=67),9,"")</f>
        <v/>
      </c>
      <c r="B1691" s="20" t="str">
        <f aca="false">IF(AND(Eingabe!$F$17&gt;0,Eingabe!$E$17&gt;=67),Eingabe!$B$17,"")</f>
        <v/>
      </c>
      <c r="C1691" s="20" t="str">
        <f aca="false">IF(AND(Eingabe!$F$17&gt;0,Eingabe!$E$17&gt;=67),Eingabe!$C$17&amp;"-Paz."&amp;TEXT(67,"000"),"")</f>
        <v/>
      </c>
      <c r="D1691" s="20" t="str">
        <f aca="false">IF(AND(Eingabe!$F$17&gt;0,Eingabe!$E$17&gt;=67),67,"")</f>
        <v/>
      </c>
      <c r="E1691" s="20" t="str">
        <f aca="false">IF(AND(Eingabe!$F$17&gt;0,Eingabe!$E$17&gt;=67),IF((Eingabe!$G$17)&lt;=9,1000+(Eingabe!$G$17)*100,3000)+67,"")</f>
        <v/>
      </c>
      <c r="F1691" s="20" t="str">
        <f aca="false">IF(AND(Eingabe!$F$17&gt;0,Eingabe!$E$17&gt;=67),"10."&amp;Eingabe!$D$17&amp;".67.0/24","")</f>
        <v/>
      </c>
      <c r="G1691" s="20" t="str">
        <f aca="false">IF(AND(Eingabe!$F$17&gt;0,Eingabe!$E$17&gt;=67),"10."&amp;Eingabe!$D$17&amp;".67.1","")</f>
        <v/>
      </c>
      <c r="H1691" s="20" t="str">
        <f aca="false">IF(AND(Eingabe!$F$17&gt;0,Eingabe!$E$17&gt;=67),"10."&amp;Eingabe!$D$17&amp;".67.10 – 10."&amp;Eingabe!$D$17&amp;".67.250","")</f>
        <v/>
      </c>
      <c r="I1691" s="20" t="str">
        <f aca="false">IF(AND(Eingabe!$F$17&gt;0,Eingabe!$E$17&gt;=67),Eingabe!$B$6&amp;"-"&amp;Eingabe!$C$17&amp;"-Pächter","")</f>
        <v/>
      </c>
      <c r="J1691" s="20" t="str">
        <f aca="false">IF(AND(Eingabe!$F$17&gt;0,Eingabe!$E$17&gt;=67),"PPSK: Passwort Parzelle 67","")</f>
        <v/>
      </c>
      <c r="K1691" s="20" t="str">
        <f aca="false">IF(AND(Eingabe!$F$17&gt;0,Eingabe!$E$17&gt;=67),"1. Gerät: 10."&amp;Eingabe!$D$17&amp;".67.10, 2. Gerät: .11","")</f>
        <v/>
      </c>
    </row>
    <row r="1692" customFormat="false" ht="15" hidden="false" customHeight="false" outlineLevel="0" collapsed="false">
      <c r="A1692" s="20" t="str">
        <f aca="false">IF(AND(Eingabe!$F$17&gt;0,Eingabe!$E$17&gt;=68),9,"")</f>
        <v/>
      </c>
      <c r="B1692" s="20" t="str">
        <f aca="false">IF(AND(Eingabe!$F$17&gt;0,Eingabe!$E$17&gt;=68),Eingabe!$B$17,"")</f>
        <v/>
      </c>
      <c r="C1692" s="20" t="str">
        <f aca="false">IF(AND(Eingabe!$F$17&gt;0,Eingabe!$E$17&gt;=68),Eingabe!$C$17&amp;"-Paz."&amp;TEXT(68,"000"),"")</f>
        <v/>
      </c>
      <c r="D1692" s="20" t="str">
        <f aca="false">IF(AND(Eingabe!$F$17&gt;0,Eingabe!$E$17&gt;=68),68,"")</f>
        <v/>
      </c>
      <c r="E1692" s="20" t="str">
        <f aca="false">IF(AND(Eingabe!$F$17&gt;0,Eingabe!$E$17&gt;=68),IF((Eingabe!$G$17)&lt;=9,1000+(Eingabe!$G$17)*100,3000)+68,"")</f>
        <v/>
      </c>
      <c r="F1692" s="20" t="str">
        <f aca="false">IF(AND(Eingabe!$F$17&gt;0,Eingabe!$E$17&gt;=68),"10."&amp;Eingabe!$D$17&amp;".68.0/24","")</f>
        <v/>
      </c>
      <c r="G1692" s="20" t="str">
        <f aca="false">IF(AND(Eingabe!$F$17&gt;0,Eingabe!$E$17&gt;=68),"10."&amp;Eingabe!$D$17&amp;".68.1","")</f>
        <v/>
      </c>
      <c r="H1692" s="20" t="str">
        <f aca="false">IF(AND(Eingabe!$F$17&gt;0,Eingabe!$E$17&gt;=68),"10."&amp;Eingabe!$D$17&amp;".68.10 – 10."&amp;Eingabe!$D$17&amp;".68.250","")</f>
        <v/>
      </c>
      <c r="I1692" s="20" t="str">
        <f aca="false">IF(AND(Eingabe!$F$17&gt;0,Eingabe!$E$17&gt;=68),Eingabe!$B$6&amp;"-"&amp;Eingabe!$C$17&amp;"-Pächter","")</f>
        <v/>
      </c>
      <c r="J1692" s="20" t="str">
        <f aca="false">IF(AND(Eingabe!$F$17&gt;0,Eingabe!$E$17&gt;=68),"PPSK: Passwort Parzelle 68","")</f>
        <v/>
      </c>
      <c r="K1692" s="20" t="str">
        <f aca="false">IF(AND(Eingabe!$F$17&gt;0,Eingabe!$E$17&gt;=68),"1. Gerät: 10."&amp;Eingabe!$D$17&amp;".68.10, 2. Gerät: .11","")</f>
        <v/>
      </c>
    </row>
    <row r="1693" customFormat="false" ht="15" hidden="false" customHeight="false" outlineLevel="0" collapsed="false">
      <c r="A1693" s="20" t="str">
        <f aca="false">IF(AND(Eingabe!$F$17&gt;0,Eingabe!$E$17&gt;=69),9,"")</f>
        <v/>
      </c>
      <c r="B1693" s="20" t="str">
        <f aca="false">IF(AND(Eingabe!$F$17&gt;0,Eingabe!$E$17&gt;=69),Eingabe!$B$17,"")</f>
        <v/>
      </c>
      <c r="C1693" s="20" t="str">
        <f aca="false">IF(AND(Eingabe!$F$17&gt;0,Eingabe!$E$17&gt;=69),Eingabe!$C$17&amp;"-Paz."&amp;TEXT(69,"000"),"")</f>
        <v/>
      </c>
      <c r="D1693" s="20" t="str">
        <f aca="false">IF(AND(Eingabe!$F$17&gt;0,Eingabe!$E$17&gt;=69),69,"")</f>
        <v/>
      </c>
      <c r="E1693" s="20" t="str">
        <f aca="false">IF(AND(Eingabe!$F$17&gt;0,Eingabe!$E$17&gt;=69),IF((Eingabe!$G$17)&lt;=9,1000+(Eingabe!$G$17)*100,3000)+69,"")</f>
        <v/>
      </c>
      <c r="F1693" s="20" t="str">
        <f aca="false">IF(AND(Eingabe!$F$17&gt;0,Eingabe!$E$17&gt;=69),"10."&amp;Eingabe!$D$17&amp;".69.0/24","")</f>
        <v/>
      </c>
      <c r="G1693" s="20" t="str">
        <f aca="false">IF(AND(Eingabe!$F$17&gt;0,Eingabe!$E$17&gt;=69),"10."&amp;Eingabe!$D$17&amp;".69.1","")</f>
        <v/>
      </c>
      <c r="H1693" s="20" t="str">
        <f aca="false">IF(AND(Eingabe!$F$17&gt;0,Eingabe!$E$17&gt;=69),"10."&amp;Eingabe!$D$17&amp;".69.10 – 10."&amp;Eingabe!$D$17&amp;".69.250","")</f>
        <v/>
      </c>
      <c r="I1693" s="20" t="str">
        <f aca="false">IF(AND(Eingabe!$F$17&gt;0,Eingabe!$E$17&gt;=69),Eingabe!$B$6&amp;"-"&amp;Eingabe!$C$17&amp;"-Pächter","")</f>
        <v/>
      </c>
      <c r="J1693" s="20" t="str">
        <f aca="false">IF(AND(Eingabe!$F$17&gt;0,Eingabe!$E$17&gt;=69),"PPSK: Passwort Parzelle 69","")</f>
        <v/>
      </c>
      <c r="K1693" s="20" t="str">
        <f aca="false">IF(AND(Eingabe!$F$17&gt;0,Eingabe!$E$17&gt;=69),"1. Gerät: 10."&amp;Eingabe!$D$17&amp;".69.10, 2. Gerät: .11","")</f>
        <v/>
      </c>
    </row>
    <row r="1694" customFormat="false" ht="15" hidden="false" customHeight="false" outlineLevel="0" collapsed="false">
      <c r="A1694" s="20" t="str">
        <f aca="false">IF(AND(Eingabe!$F$17&gt;0,Eingabe!$E$17&gt;=70),9,"")</f>
        <v/>
      </c>
      <c r="B1694" s="20" t="str">
        <f aca="false">IF(AND(Eingabe!$F$17&gt;0,Eingabe!$E$17&gt;=70),Eingabe!$B$17,"")</f>
        <v/>
      </c>
      <c r="C1694" s="20" t="str">
        <f aca="false">IF(AND(Eingabe!$F$17&gt;0,Eingabe!$E$17&gt;=70),Eingabe!$C$17&amp;"-Paz."&amp;TEXT(70,"000"),"")</f>
        <v/>
      </c>
      <c r="D1694" s="20" t="str">
        <f aca="false">IF(AND(Eingabe!$F$17&gt;0,Eingabe!$E$17&gt;=70),70,"")</f>
        <v/>
      </c>
      <c r="E1694" s="20" t="str">
        <f aca="false">IF(AND(Eingabe!$F$17&gt;0,Eingabe!$E$17&gt;=70),IF((Eingabe!$G$17)&lt;=9,1000+(Eingabe!$G$17)*100,3000)+70,"")</f>
        <v/>
      </c>
      <c r="F1694" s="20" t="str">
        <f aca="false">IF(AND(Eingabe!$F$17&gt;0,Eingabe!$E$17&gt;=70),"10."&amp;Eingabe!$D$17&amp;".70.0/24","")</f>
        <v/>
      </c>
      <c r="G1694" s="20" t="str">
        <f aca="false">IF(AND(Eingabe!$F$17&gt;0,Eingabe!$E$17&gt;=70),"10."&amp;Eingabe!$D$17&amp;".70.1","")</f>
        <v/>
      </c>
      <c r="H1694" s="20" t="str">
        <f aca="false">IF(AND(Eingabe!$F$17&gt;0,Eingabe!$E$17&gt;=70),"10."&amp;Eingabe!$D$17&amp;".70.10 – 10."&amp;Eingabe!$D$17&amp;".70.250","")</f>
        <v/>
      </c>
      <c r="I1694" s="20" t="str">
        <f aca="false">IF(AND(Eingabe!$F$17&gt;0,Eingabe!$E$17&gt;=70),Eingabe!$B$6&amp;"-"&amp;Eingabe!$C$17&amp;"-Pächter","")</f>
        <v/>
      </c>
      <c r="J1694" s="20" t="str">
        <f aca="false">IF(AND(Eingabe!$F$17&gt;0,Eingabe!$E$17&gt;=70),"PPSK: Passwort Parzelle 70","")</f>
        <v/>
      </c>
      <c r="K1694" s="20" t="str">
        <f aca="false">IF(AND(Eingabe!$F$17&gt;0,Eingabe!$E$17&gt;=70),"1. Gerät: 10."&amp;Eingabe!$D$17&amp;".70.10, 2. Gerät: .11","")</f>
        <v/>
      </c>
    </row>
    <row r="1695" customFormat="false" ht="15" hidden="false" customHeight="false" outlineLevel="0" collapsed="false">
      <c r="A1695" s="20" t="str">
        <f aca="false">IF(AND(Eingabe!$F$17&gt;0,Eingabe!$E$17&gt;=71),9,"")</f>
        <v/>
      </c>
      <c r="B1695" s="20" t="str">
        <f aca="false">IF(AND(Eingabe!$F$17&gt;0,Eingabe!$E$17&gt;=71),Eingabe!$B$17,"")</f>
        <v/>
      </c>
      <c r="C1695" s="20" t="str">
        <f aca="false">IF(AND(Eingabe!$F$17&gt;0,Eingabe!$E$17&gt;=71),Eingabe!$C$17&amp;"-Paz."&amp;TEXT(71,"000"),"")</f>
        <v/>
      </c>
      <c r="D1695" s="20" t="str">
        <f aca="false">IF(AND(Eingabe!$F$17&gt;0,Eingabe!$E$17&gt;=71),71,"")</f>
        <v/>
      </c>
      <c r="E1695" s="20" t="str">
        <f aca="false">IF(AND(Eingabe!$F$17&gt;0,Eingabe!$E$17&gt;=71),IF((Eingabe!$G$17)&lt;=9,1000+(Eingabe!$G$17)*100,3000)+71,"")</f>
        <v/>
      </c>
      <c r="F1695" s="20" t="str">
        <f aca="false">IF(AND(Eingabe!$F$17&gt;0,Eingabe!$E$17&gt;=71),"10."&amp;Eingabe!$D$17&amp;".71.0/24","")</f>
        <v/>
      </c>
      <c r="G1695" s="20" t="str">
        <f aca="false">IF(AND(Eingabe!$F$17&gt;0,Eingabe!$E$17&gt;=71),"10."&amp;Eingabe!$D$17&amp;".71.1","")</f>
        <v/>
      </c>
      <c r="H1695" s="20" t="str">
        <f aca="false">IF(AND(Eingabe!$F$17&gt;0,Eingabe!$E$17&gt;=71),"10."&amp;Eingabe!$D$17&amp;".71.10 – 10."&amp;Eingabe!$D$17&amp;".71.250","")</f>
        <v/>
      </c>
      <c r="I1695" s="20" t="str">
        <f aca="false">IF(AND(Eingabe!$F$17&gt;0,Eingabe!$E$17&gt;=71),Eingabe!$B$6&amp;"-"&amp;Eingabe!$C$17&amp;"-Pächter","")</f>
        <v/>
      </c>
      <c r="J1695" s="20" t="str">
        <f aca="false">IF(AND(Eingabe!$F$17&gt;0,Eingabe!$E$17&gt;=71),"PPSK: Passwort Parzelle 71","")</f>
        <v/>
      </c>
      <c r="K1695" s="20" t="str">
        <f aca="false">IF(AND(Eingabe!$F$17&gt;0,Eingabe!$E$17&gt;=71),"1. Gerät: 10."&amp;Eingabe!$D$17&amp;".71.10, 2. Gerät: .11","")</f>
        <v/>
      </c>
    </row>
    <row r="1696" customFormat="false" ht="15" hidden="false" customHeight="false" outlineLevel="0" collapsed="false">
      <c r="A1696" s="20" t="str">
        <f aca="false">IF(AND(Eingabe!$F$17&gt;0,Eingabe!$E$17&gt;=72),9,"")</f>
        <v/>
      </c>
      <c r="B1696" s="20" t="str">
        <f aca="false">IF(AND(Eingabe!$F$17&gt;0,Eingabe!$E$17&gt;=72),Eingabe!$B$17,"")</f>
        <v/>
      </c>
      <c r="C1696" s="20" t="str">
        <f aca="false">IF(AND(Eingabe!$F$17&gt;0,Eingabe!$E$17&gt;=72),Eingabe!$C$17&amp;"-Paz."&amp;TEXT(72,"000"),"")</f>
        <v/>
      </c>
      <c r="D1696" s="20" t="str">
        <f aca="false">IF(AND(Eingabe!$F$17&gt;0,Eingabe!$E$17&gt;=72),72,"")</f>
        <v/>
      </c>
      <c r="E1696" s="20" t="str">
        <f aca="false">IF(AND(Eingabe!$F$17&gt;0,Eingabe!$E$17&gt;=72),IF((Eingabe!$G$17)&lt;=9,1000+(Eingabe!$G$17)*100,3000)+72,"")</f>
        <v/>
      </c>
      <c r="F1696" s="20" t="str">
        <f aca="false">IF(AND(Eingabe!$F$17&gt;0,Eingabe!$E$17&gt;=72),"10."&amp;Eingabe!$D$17&amp;".72.0/24","")</f>
        <v/>
      </c>
      <c r="G1696" s="20" t="str">
        <f aca="false">IF(AND(Eingabe!$F$17&gt;0,Eingabe!$E$17&gt;=72),"10."&amp;Eingabe!$D$17&amp;".72.1","")</f>
        <v/>
      </c>
      <c r="H1696" s="20" t="str">
        <f aca="false">IF(AND(Eingabe!$F$17&gt;0,Eingabe!$E$17&gt;=72),"10."&amp;Eingabe!$D$17&amp;".72.10 – 10."&amp;Eingabe!$D$17&amp;".72.250","")</f>
        <v/>
      </c>
      <c r="I1696" s="20" t="str">
        <f aca="false">IF(AND(Eingabe!$F$17&gt;0,Eingabe!$E$17&gt;=72),Eingabe!$B$6&amp;"-"&amp;Eingabe!$C$17&amp;"-Pächter","")</f>
        <v/>
      </c>
      <c r="J1696" s="20" t="str">
        <f aca="false">IF(AND(Eingabe!$F$17&gt;0,Eingabe!$E$17&gt;=72),"PPSK: Passwort Parzelle 72","")</f>
        <v/>
      </c>
      <c r="K1696" s="20" t="str">
        <f aca="false">IF(AND(Eingabe!$F$17&gt;0,Eingabe!$E$17&gt;=72),"1. Gerät: 10."&amp;Eingabe!$D$17&amp;".72.10, 2. Gerät: .11","")</f>
        <v/>
      </c>
    </row>
    <row r="1697" customFormat="false" ht="15" hidden="false" customHeight="false" outlineLevel="0" collapsed="false">
      <c r="A1697" s="20" t="str">
        <f aca="false">IF(AND(Eingabe!$F$17&gt;0,Eingabe!$E$17&gt;=73),9,"")</f>
        <v/>
      </c>
      <c r="B1697" s="20" t="str">
        <f aca="false">IF(AND(Eingabe!$F$17&gt;0,Eingabe!$E$17&gt;=73),Eingabe!$B$17,"")</f>
        <v/>
      </c>
      <c r="C1697" s="20" t="str">
        <f aca="false">IF(AND(Eingabe!$F$17&gt;0,Eingabe!$E$17&gt;=73),Eingabe!$C$17&amp;"-Paz."&amp;TEXT(73,"000"),"")</f>
        <v/>
      </c>
      <c r="D1697" s="20" t="str">
        <f aca="false">IF(AND(Eingabe!$F$17&gt;0,Eingabe!$E$17&gt;=73),73,"")</f>
        <v/>
      </c>
      <c r="E1697" s="20" t="str">
        <f aca="false">IF(AND(Eingabe!$F$17&gt;0,Eingabe!$E$17&gt;=73),IF((Eingabe!$G$17)&lt;=9,1000+(Eingabe!$G$17)*100,3000)+73,"")</f>
        <v/>
      </c>
      <c r="F1697" s="20" t="str">
        <f aca="false">IF(AND(Eingabe!$F$17&gt;0,Eingabe!$E$17&gt;=73),"10."&amp;Eingabe!$D$17&amp;".73.0/24","")</f>
        <v/>
      </c>
      <c r="G1697" s="20" t="str">
        <f aca="false">IF(AND(Eingabe!$F$17&gt;0,Eingabe!$E$17&gt;=73),"10."&amp;Eingabe!$D$17&amp;".73.1","")</f>
        <v/>
      </c>
      <c r="H1697" s="20" t="str">
        <f aca="false">IF(AND(Eingabe!$F$17&gt;0,Eingabe!$E$17&gt;=73),"10."&amp;Eingabe!$D$17&amp;".73.10 – 10."&amp;Eingabe!$D$17&amp;".73.250","")</f>
        <v/>
      </c>
      <c r="I1697" s="20" t="str">
        <f aca="false">IF(AND(Eingabe!$F$17&gt;0,Eingabe!$E$17&gt;=73),Eingabe!$B$6&amp;"-"&amp;Eingabe!$C$17&amp;"-Pächter","")</f>
        <v/>
      </c>
      <c r="J1697" s="20" t="str">
        <f aca="false">IF(AND(Eingabe!$F$17&gt;0,Eingabe!$E$17&gt;=73),"PPSK: Passwort Parzelle 73","")</f>
        <v/>
      </c>
      <c r="K1697" s="20" t="str">
        <f aca="false">IF(AND(Eingabe!$F$17&gt;0,Eingabe!$E$17&gt;=73),"1. Gerät: 10."&amp;Eingabe!$D$17&amp;".73.10, 2. Gerät: .11","")</f>
        <v/>
      </c>
    </row>
    <row r="1698" customFormat="false" ht="15" hidden="false" customHeight="false" outlineLevel="0" collapsed="false">
      <c r="A1698" s="20" t="str">
        <f aca="false">IF(AND(Eingabe!$F$17&gt;0,Eingabe!$E$17&gt;=74),9,"")</f>
        <v/>
      </c>
      <c r="B1698" s="20" t="str">
        <f aca="false">IF(AND(Eingabe!$F$17&gt;0,Eingabe!$E$17&gt;=74),Eingabe!$B$17,"")</f>
        <v/>
      </c>
      <c r="C1698" s="20" t="str">
        <f aca="false">IF(AND(Eingabe!$F$17&gt;0,Eingabe!$E$17&gt;=74),Eingabe!$C$17&amp;"-Paz."&amp;TEXT(74,"000"),"")</f>
        <v/>
      </c>
      <c r="D1698" s="20" t="str">
        <f aca="false">IF(AND(Eingabe!$F$17&gt;0,Eingabe!$E$17&gt;=74),74,"")</f>
        <v/>
      </c>
      <c r="E1698" s="20" t="str">
        <f aca="false">IF(AND(Eingabe!$F$17&gt;0,Eingabe!$E$17&gt;=74),IF((Eingabe!$G$17)&lt;=9,1000+(Eingabe!$G$17)*100,3000)+74,"")</f>
        <v/>
      </c>
      <c r="F1698" s="20" t="str">
        <f aca="false">IF(AND(Eingabe!$F$17&gt;0,Eingabe!$E$17&gt;=74),"10."&amp;Eingabe!$D$17&amp;".74.0/24","")</f>
        <v/>
      </c>
      <c r="G1698" s="20" t="str">
        <f aca="false">IF(AND(Eingabe!$F$17&gt;0,Eingabe!$E$17&gt;=74),"10."&amp;Eingabe!$D$17&amp;".74.1","")</f>
        <v/>
      </c>
      <c r="H1698" s="20" t="str">
        <f aca="false">IF(AND(Eingabe!$F$17&gt;0,Eingabe!$E$17&gt;=74),"10."&amp;Eingabe!$D$17&amp;".74.10 – 10."&amp;Eingabe!$D$17&amp;".74.250","")</f>
        <v/>
      </c>
      <c r="I1698" s="20" t="str">
        <f aca="false">IF(AND(Eingabe!$F$17&gt;0,Eingabe!$E$17&gt;=74),Eingabe!$B$6&amp;"-"&amp;Eingabe!$C$17&amp;"-Pächter","")</f>
        <v/>
      </c>
      <c r="J1698" s="20" t="str">
        <f aca="false">IF(AND(Eingabe!$F$17&gt;0,Eingabe!$E$17&gt;=74),"PPSK: Passwort Parzelle 74","")</f>
        <v/>
      </c>
      <c r="K1698" s="20" t="str">
        <f aca="false">IF(AND(Eingabe!$F$17&gt;0,Eingabe!$E$17&gt;=74),"1. Gerät: 10."&amp;Eingabe!$D$17&amp;".74.10, 2. Gerät: .11","")</f>
        <v/>
      </c>
    </row>
    <row r="1699" customFormat="false" ht="15" hidden="false" customHeight="false" outlineLevel="0" collapsed="false">
      <c r="A1699" s="20" t="str">
        <f aca="false">IF(AND(Eingabe!$F$17&gt;0,Eingabe!$E$17&gt;=75),9,"")</f>
        <v/>
      </c>
      <c r="B1699" s="20" t="str">
        <f aca="false">IF(AND(Eingabe!$F$17&gt;0,Eingabe!$E$17&gt;=75),Eingabe!$B$17,"")</f>
        <v/>
      </c>
      <c r="C1699" s="20" t="str">
        <f aca="false">IF(AND(Eingabe!$F$17&gt;0,Eingabe!$E$17&gt;=75),Eingabe!$C$17&amp;"-Paz."&amp;TEXT(75,"000"),"")</f>
        <v/>
      </c>
      <c r="D1699" s="20" t="str">
        <f aca="false">IF(AND(Eingabe!$F$17&gt;0,Eingabe!$E$17&gt;=75),75,"")</f>
        <v/>
      </c>
      <c r="E1699" s="20" t="str">
        <f aca="false">IF(AND(Eingabe!$F$17&gt;0,Eingabe!$E$17&gt;=75),IF((Eingabe!$G$17)&lt;=9,1000+(Eingabe!$G$17)*100,3000)+75,"")</f>
        <v/>
      </c>
      <c r="F1699" s="20" t="str">
        <f aca="false">IF(AND(Eingabe!$F$17&gt;0,Eingabe!$E$17&gt;=75),"10."&amp;Eingabe!$D$17&amp;".75.0/24","")</f>
        <v/>
      </c>
      <c r="G1699" s="20" t="str">
        <f aca="false">IF(AND(Eingabe!$F$17&gt;0,Eingabe!$E$17&gt;=75),"10."&amp;Eingabe!$D$17&amp;".75.1","")</f>
        <v/>
      </c>
      <c r="H1699" s="20" t="str">
        <f aca="false">IF(AND(Eingabe!$F$17&gt;0,Eingabe!$E$17&gt;=75),"10."&amp;Eingabe!$D$17&amp;".75.10 – 10."&amp;Eingabe!$D$17&amp;".75.250","")</f>
        <v/>
      </c>
      <c r="I1699" s="20" t="str">
        <f aca="false">IF(AND(Eingabe!$F$17&gt;0,Eingabe!$E$17&gt;=75),Eingabe!$B$6&amp;"-"&amp;Eingabe!$C$17&amp;"-Pächter","")</f>
        <v/>
      </c>
      <c r="J1699" s="20" t="str">
        <f aca="false">IF(AND(Eingabe!$F$17&gt;0,Eingabe!$E$17&gt;=75),"PPSK: Passwort Parzelle 75","")</f>
        <v/>
      </c>
      <c r="K1699" s="20" t="str">
        <f aca="false">IF(AND(Eingabe!$F$17&gt;0,Eingabe!$E$17&gt;=75),"1. Gerät: 10."&amp;Eingabe!$D$17&amp;".75.10, 2. Gerät: .11","")</f>
        <v/>
      </c>
    </row>
    <row r="1700" customFormat="false" ht="15" hidden="false" customHeight="false" outlineLevel="0" collapsed="false">
      <c r="A1700" s="20" t="str">
        <f aca="false">IF(AND(Eingabe!$F$17&gt;0,Eingabe!$E$17&gt;=76),9,"")</f>
        <v/>
      </c>
      <c r="B1700" s="20" t="str">
        <f aca="false">IF(AND(Eingabe!$F$17&gt;0,Eingabe!$E$17&gt;=76),Eingabe!$B$17,"")</f>
        <v/>
      </c>
      <c r="C1700" s="20" t="str">
        <f aca="false">IF(AND(Eingabe!$F$17&gt;0,Eingabe!$E$17&gt;=76),Eingabe!$C$17&amp;"-Paz."&amp;TEXT(76,"000"),"")</f>
        <v/>
      </c>
      <c r="D1700" s="20" t="str">
        <f aca="false">IF(AND(Eingabe!$F$17&gt;0,Eingabe!$E$17&gt;=76),76,"")</f>
        <v/>
      </c>
      <c r="E1700" s="20" t="str">
        <f aca="false">IF(AND(Eingabe!$F$17&gt;0,Eingabe!$E$17&gt;=76),IF((Eingabe!$G$17)&lt;=9,1000+(Eingabe!$G$17)*100,3000)+76,"")</f>
        <v/>
      </c>
      <c r="F1700" s="20" t="str">
        <f aca="false">IF(AND(Eingabe!$F$17&gt;0,Eingabe!$E$17&gt;=76),"10."&amp;Eingabe!$D$17&amp;".76.0/24","")</f>
        <v/>
      </c>
      <c r="G1700" s="20" t="str">
        <f aca="false">IF(AND(Eingabe!$F$17&gt;0,Eingabe!$E$17&gt;=76),"10."&amp;Eingabe!$D$17&amp;".76.1","")</f>
        <v/>
      </c>
      <c r="H1700" s="20" t="str">
        <f aca="false">IF(AND(Eingabe!$F$17&gt;0,Eingabe!$E$17&gt;=76),"10."&amp;Eingabe!$D$17&amp;".76.10 – 10."&amp;Eingabe!$D$17&amp;".76.250","")</f>
        <v/>
      </c>
      <c r="I1700" s="20" t="str">
        <f aca="false">IF(AND(Eingabe!$F$17&gt;0,Eingabe!$E$17&gt;=76),Eingabe!$B$6&amp;"-"&amp;Eingabe!$C$17&amp;"-Pächter","")</f>
        <v/>
      </c>
      <c r="J1700" s="20" t="str">
        <f aca="false">IF(AND(Eingabe!$F$17&gt;0,Eingabe!$E$17&gt;=76),"PPSK: Passwort Parzelle 76","")</f>
        <v/>
      </c>
      <c r="K1700" s="20" t="str">
        <f aca="false">IF(AND(Eingabe!$F$17&gt;0,Eingabe!$E$17&gt;=76),"1. Gerät: 10."&amp;Eingabe!$D$17&amp;".76.10, 2. Gerät: .11","")</f>
        <v/>
      </c>
    </row>
    <row r="1701" customFormat="false" ht="15" hidden="false" customHeight="false" outlineLevel="0" collapsed="false">
      <c r="A1701" s="20" t="str">
        <f aca="false">IF(AND(Eingabe!$F$17&gt;0,Eingabe!$E$17&gt;=77),9,"")</f>
        <v/>
      </c>
      <c r="B1701" s="20" t="str">
        <f aca="false">IF(AND(Eingabe!$F$17&gt;0,Eingabe!$E$17&gt;=77),Eingabe!$B$17,"")</f>
        <v/>
      </c>
      <c r="C1701" s="20" t="str">
        <f aca="false">IF(AND(Eingabe!$F$17&gt;0,Eingabe!$E$17&gt;=77),Eingabe!$C$17&amp;"-Paz."&amp;TEXT(77,"000"),"")</f>
        <v/>
      </c>
      <c r="D1701" s="20" t="str">
        <f aca="false">IF(AND(Eingabe!$F$17&gt;0,Eingabe!$E$17&gt;=77),77,"")</f>
        <v/>
      </c>
      <c r="E1701" s="20" t="str">
        <f aca="false">IF(AND(Eingabe!$F$17&gt;0,Eingabe!$E$17&gt;=77),IF((Eingabe!$G$17)&lt;=9,1000+(Eingabe!$G$17)*100,3000)+77,"")</f>
        <v/>
      </c>
      <c r="F1701" s="20" t="str">
        <f aca="false">IF(AND(Eingabe!$F$17&gt;0,Eingabe!$E$17&gt;=77),"10."&amp;Eingabe!$D$17&amp;".77.0/24","")</f>
        <v/>
      </c>
      <c r="G1701" s="20" t="str">
        <f aca="false">IF(AND(Eingabe!$F$17&gt;0,Eingabe!$E$17&gt;=77),"10."&amp;Eingabe!$D$17&amp;".77.1","")</f>
        <v/>
      </c>
      <c r="H1701" s="20" t="str">
        <f aca="false">IF(AND(Eingabe!$F$17&gt;0,Eingabe!$E$17&gt;=77),"10."&amp;Eingabe!$D$17&amp;".77.10 – 10."&amp;Eingabe!$D$17&amp;".77.250","")</f>
        <v/>
      </c>
      <c r="I1701" s="20" t="str">
        <f aca="false">IF(AND(Eingabe!$F$17&gt;0,Eingabe!$E$17&gt;=77),Eingabe!$B$6&amp;"-"&amp;Eingabe!$C$17&amp;"-Pächter","")</f>
        <v/>
      </c>
      <c r="J1701" s="20" t="str">
        <f aca="false">IF(AND(Eingabe!$F$17&gt;0,Eingabe!$E$17&gt;=77),"PPSK: Passwort Parzelle 77","")</f>
        <v/>
      </c>
      <c r="K1701" s="20" t="str">
        <f aca="false">IF(AND(Eingabe!$F$17&gt;0,Eingabe!$E$17&gt;=77),"1. Gerät: 10."&amp;Eingabe!$D$17&amp;".77.10, 2. Gerät: .11","")</f>
        <v/>
      </c>
    </row>
    <row r="1702" customFormat="false" ht="15" hidden="false" customHeight="false" outlineLevel="0" collapsed="false">
      <c r="A1702" s="20" t="str">
        <f aca="false">IF(AND(Eingabe!$F$17&gt;0,Eingabe!$E$17&gt;=78),9,"")</f>
        <v/>
      </c>
      <c r="B1702" s="20" t="str">
        <f aca="false">IF(AND(Eingabe!$F$17&gt;0,Eingabe!$E$17&gt;=78),Eingabe!$B$17,"")</f>
        <v/>
      </c>
      <c r="C1702" s="20" t="str">
        <f aca="false">IF(AND(Eingabe!$F$17&gt;0,Eingabe!$E$17&gt;=78),Eingabe!$C$17&amp;"-Paz."&amp;TEXT(78,"000"),"")</f>
        <v/>
      </c>
      <c r="D1702" s="20" t="str">
        <f aca="false">IF(AND(Eingabe!$F$17&gt;0,Eingabe!$E$17&gt;=78),78,"")</f>
        <v/>
      </c>
      <c r="E1702" s="20" t="str">
        <f aca="false">IF(AND(Eingabe!$F$17&gt;0,Eingabe!$E$17&gt;=78),IF((Eingabe!$G$17)&lt;=9,1000+(Eingabe!$G$17)*100,3000)+78,"")</f>
        <v/>
      </c>
      <c r="F1702" s="20" t="str">
        <f aca="false">IF(AND(Eingabe!$F$17&gt;0,Eingabe!$E$17&gt;=78),"10."&amp;Eingabe!$D$17&amp;".78.0/24","")</f>
        <v/>
      </c>
      <c r="G1702" s="20" t="str">
        <f aca="false">IF(AND(Eingabe!$F$17&gt;0,Eingabe!$E$17&gt;=78),"10."&amp;Eingabe!$D$17&amp;".78.1","")</f>
        <v/>
      </c>
      <c r="H1702" s="20" t="str">
        <f aca="false">IF(AND(Eingabe!$F$17&gt;0,Eingabe!$E$17&gt;=78),"10."&amp;Eingabe!$D$17&amp;".78.10 – 10."&amp;Eingabe!$D$17&amp;".78.250","")</f>
        <v/>
      </c>
      <c r="I1702" s="20" t="str">
        <f aca="false">IF(AND(Eingabe!$F$17&gt;0,Eingabe!$E$17&gt;=78),Eingabe!$B$6&amp;"-"&amp;Eingabe!$C$17&amp;"-Pächter","")</f>
        <v/>
      </c>
      <c r="J1702" s="20" t="str">
        <f aca="false">IF(AND(Eingabe!$F$17&gt;0,Eingabe!$E$17&gt;=78),"PPSK: Passwort Parzelle 78","")</f>
        <v/>
      </c>
      <c r="K1702" s="20" t="str">
        <f aca="false">IF(AND(Eingabe!$F$17&gt;0,Eingabe!$E$17&gt;=78),"1. Gerät: 10."&amp;Eingabe!$D$17&amp;".78.10, 2. Gerät: .11","")</f>
        <v/>
      </c>
    </row>
    <row r="1703" customFormat="false" ht="15" hidden="false" customHeight="false" outlineLevel="0" collapsed="false">
      <c r="A1703" s="20" t="str">
        <f aca="false">IF(AND(Eingabe!$F$17&gt;0,Eingabe!$E$17&gt;=79),9,"")</f>
        <v/>
      </c>
      <c r="B1703" s="20" t="str">
        <f aca="false">IF(AND(Eingabe!$F$17&gt;0,Eingabe!$E$17&gt;=79),Eingabe!$B$17,"")</f>
        <v/>
      </c>
      <c r="C1703" s="20" t="str">
        <f aca="false">IF(AND(Eingabe!$F$17&gt;0,Eingabe!$E$17&gt;=79),Eingabe!$C$17&amp;"-Paz."&amp;TEXT(79,"000"),"")</f>
        <v/>
      </c>
      <c r="D1703" s="20" t="str">
        <f aca="false">IF(AND(Eingabe!$F$17&gt;0,Eingabe!$E$17&gt;=79),79,"")</f>
        <v/>
      </c>
      <c r="E1703" s="20" t="str">
        <f aca="false">IF(AND(Eingabe!$F$17&gt;0,Eingabe!$E$17&gt;=79),IF((Eingabe!$G$17)&lt;=9,1000+(Eingabe!$G$17)*100,3000)+79,"")</f>
        <v/>
      </c>
      <c r="F1703" s="20" t="str">
        <f aca="false">IF(AND(Eingabe!$F$17&gt;0,Eingabe!$E$17&gt;=79),"10."&amp;Eingabe!$D$17&amp;".79.0/24","")</f>
        <v/>
      </c>
      <c r="G1703" s="20" t="str">
        <f aca="false">IF(AND(Eingabe!$F$17&gt;0,Eingabe!$E$17&gt;=79),"10."&amp;Eingabe!$D$17&amp;".79.1","")</f>
        <v/>
      </c>
      <c r="H1703" s="20" t="str">
        <f aca="false">IF(AND(Eingabe!$F$17&gt;0,Eingabe!$E$17&gt;=79),"10."&amp;Eingabe!$D$17&amp;".79.10 – 10."&amp;Eingabe!$D$17&amp;".79.250","")</f>
        <v/>
      </c>
      <c r="I1703" s="20" t="str">
        <f aca="false">IF(AND(Eingabe!$F$17&gt;0,Eingabe!$E$17&gt;=79),Eingabe!$B$6&amp;"-"&amp;Eingabe!$C$17&amp;"-Pächter","")</f>
        <v/>
      </c>
      <c r="J1703" s="20" t="str">
        <f aca="false">IF(AND(Eingabe!$F$17&gt;0,Eingabe!$E$17&gt;=79),"PPSK: Passwort Parzelle 79","")</f>
        <v/>
      </c>
      <c r="K1703" s="20" t="str">
        <f aca="false">IF(AND(Eingabe!$F$17&gt;0,Eingabe!$E$17&gt;=79),"1. Gerät: 10."&amp;Eingabe!$D$17&amp;".79.10, 2. Gerät: .11","")</f>
        <v/>
      </c>
    </row>
    <row r="1704" customFormat="false" ht="15" hidden="false" customHeight="false" outlineLevel="0" collapsed="false">
      <c r="A1704" s="20" t="str">
        <f aca="false">IF(AND(Eingabe!$F$17&gt;0,Eingabe!$E$17&gt;=80),9,"")</f>
        <v/>
      </c>
      <c r="B1704" s="20" t="str">
        <f aca="false">IF(AND(Eingabe!$F$17&gt;0,Eingabe!$E$17&gt;=80),Eingabe!$B$17,"")</f>
        <v/>
      </c>
      <c r="C1704" s="20" t="str">
        <f aca="false">IF(AND(Eingabe!$F$17&gt;0,Eingabe!$E$17&gt;=80),Eingabe!$C$17&amp;"-Paz."&amp;TEXT(80,"000"),"")</f>
        <v/>
      </c>
      <c r="D1704" s="20" t="str">
        <f aca="false">IF(AND(Eingabe!$F$17&gt;0,Eingabe!$E$17&gt;=80),80,"")</f>
        <v/>
      </c>
      <c r="E1704" s="20" t="str">
        <f aca="false">IF(AND(Eingabe!$F$17&gt;0,Eingabe!$E$17&gt;=80),IF((Eingabe!$G$17)&lt;=9,1000+(Eingabe!$G$17)*100,3000)+80,"")</f>
        <v/>
      </c>
      <c r="F1704" s="20" t="str">
        <f aca="false">IF(AND(Eingabe!$F$17&gt;0,Eingabe!$E$17&gt;=80),"10."&amp;Eingabe!$D$17&amp;".80.0/24","")</f>
        <v/>
      </c>
      <c r="G1704" s="20" t="str">
        <f aca="false">IF(AND(Eingabe!$F$17&gt;0,Eingabe!$E$17&gt;=80),"10."&amp;Eingabe!$D$17&amp;".80.1","")</f>
        <v/>
      </c>
      <c r="H1704" s="20" t="str">
        <f aca="false">IF(AND(Eingabe!$F$17&gt;0,Eingabe!$E$17&gt;=80),"10."&amp;Eingabe!$D$17&amp;".80.10 – 10."&amp;Eingabe!$D$17&amp;".80.250","")</f>
        <v/>
      </c>
      <c r="I1704" s="20" t="str">
        <f aca="false">IF(AND(Eingabe!$F$17&gt;0,Eingabe!$E$17&gt;=80),Eingabe!$B$6&amp;"-"&amp;Eingabe!$C$17&amp;"-Pächter","")</f>
        <v/>
      </c>
      <c r="J1704" s="20" t="str">
        <f aca="false">IF(AND(Eingabe!$F$17&gt;0,Eingabe!$E$17&gt;=80),"PPSK: Passwort Parzelle 80","")</f>
        <v/>
      </c>
      <c r="K1704" s="20" t="str">
        <f aca="false">IF(AND(Eingabe!$F$17&gt;0,Eingabe!$E$17&gt;=80),"1. Gerät: 10."&amp;Eingabe!$D$17&amp;".80.10, 2. Gerät: .11","")</f>
        <v/>
      </c>
    </row>
    <row r="1705" customFormat="false" ht="15" hidden="false" customHeight="false" outlineLevel="0" collapsed="false">
      <c r="A1705" s="20" t="str">
        <f aca="false">IF(AND(Eingabe!$F$17&gt;0,Eingabe!$E$17&gt;=81),9,"")</f>
        <v/>
      </c>
      <c r="B1705" s="20" t="str">
        <f aca="false">IF(AND(Eingabe!$F$17&gt;0,Eingabe!$E$17&gt;=81),Eingabe!$B$17,"")</f>
        <v/>
      </c>
      <c r="C1705" s="20" t="str">
        <f aca="false">IF(AND(Eingabe!$F$17&gt;0,Eingabe!$E$17&gt;=81),Eingabe!$C$17&amp;"-Paz."&amp;TEXT(81,"000"),"")</f>
        <v/>
      </c>
      <c r="D1705" s="20" t="str">
        <f aca="false">IF(AND(Eingabe!$F$17&gt;0,Eingabe!$E$17&gt;=81),81,"")</f>
        <v/>
      </c>
      <c r="E1705" s="20" t="str">
        <f aca="false">IF(AND(Eingabe!$F$17&gt;0,Eingabe!$E$17&gt;=81),IF((Eingabe!$G$17)&lt;=9,1000+(Eingabe!$G$17)*100,3000)+81,"")</f>
        <v/>
      </c>
      <c r="F1705" s="20" t="str">
        <f aca="false">IF(AND(Eingabe!$F$17&gt;0,Eingabe!$E$17&gt;=81),"10."&amp;Eingabe!$D$17&amp;".81.0/24","")</f>
        <v/>
      </c>
      <c r="G1705" s="20" t="str">
        <f aca="false">IF(AND(Eingabe!$F$17&gt;0,Eingabe!$E$17&gt;=81),"10."&amp;Eingabe!$D$17&amp;".81.1","")</f>
        <v/>
      </c>
      <c r="H1705" s="20" t="str">
        <f aca="false">IF(AND(Eingabe!$F$17&gt;0,Eingabe!$E$17&gt;=81),"10."&amp;Eingabe!$D$17&amp;".81.10 – 10."&amp;Eingabe!$D$17&amp;".81.250","")</f>
        <v/>
      </c>
      <c r="I1705" s="20" t="str">
        <f aca="false">IF(AND(Eingabe!$F$17&gt;0,Eingabe!$E$17&gt;=81),Eingabe!$B$6&amp;"-"&amp;Eingabe!$C$17&amp;"-Pächter","")</f>
        <v/>
      </c>
      <c r="J1705" s="20" t="str">
        <f aca="false">IF(AND(Eingabe!$F$17&gt;0,Eingabe!$E$17&gt;=81),"PPSK: Passwort Parzelle 81","")</f>
        <v/>
      </c>
      <c r="K1705" s="20" t="str">
        <f aca="false">IF(AND(Eingabe!$F$17&gt;0,Eingabe!$E$17&gt;=81),"1. Gerät: 10."&amp;Eingabe!$D$17&amp;".81.10, 2. Gerät: .11","")</f>
        <v/>
      </c>
    </row>
    <row r="1706" customFormat="false" ht="15" hidden="false" customHeight="false" outlineLevel="0" collapsed="false">
      <c r="A1706" s="20" t="str">
        <f aca="false">IF(AND(Eingabe!$F$17&gt;0,Eingabe!$E$17&gt;=82),9,"")</f>
        <v/>
      </c>
      <c r="B1706" s="20" t="str">
        <f aca="false">IF(AND(Eingabe!$F$17&gt;0,Eingabe!$E$17&gt;=82),Eingabe!$B$17,"")</f>
        <v/>
      </c>
      <c r="C1706" s="20" t="str">
        <f aca="false">IF(AND(Eingabe!$F$17&gt;0,Eingabe!$E$17&gt;=82),Eingabe!$C$17&amp;"-Paz."&amp;TEXT(82,"000"),"")</f>
        <v/>
      </c>
      <c r="D1706" s="20" t="str">
        <f aca="false">IF(AND(Eingabe!$F$17&gt;0,Eingabe!$E$17&gt;=82),82,"")</f>
        <v/>
      </c>
      <c r="E1706" s="20" t="str">
        <f aca="false">IF(AND(Eingabe!$F$17&gt;0,Eingabe!$E$17&gt;=82),IF((Eingabe!$G$17)&lt;=9,1000+(Eingabe!$G$17)*100,3000)+82,"")</f>
        <v/>
      </c>
      <c r="F1706" s="20" t="str">
        <f aca="false">IF(AND(Eingabe!$F$17&gt;0,Eingabe!$E$17&gt;=82),"10."&amp;Eingabe!$D$17&amp;".82.0/24","")</f>
        <v/>
      </c>
      <c r="G1706" s="20" t="str">
        <f aca="false">IF(AND(Eingabe!$F$17&gt;0,Eingabe!$E$17&gt;=82),"10."&amp;Eingabe!$D$17&amp;".82.1","")</f>
        <v/>
      </c>
      <c r="H1706" s="20" t="str">
        <f aca="false">IF(AND(Eingabe!$F$17&gt;0,Eingabe!$E$17&gt;=82),"10."&amp;Eingabe!$D$17&amp;".82.10 – 10."&amp;Eingabe!$D$17&amp;".82.250","")</f>
        <v/>
      </c>
      <c r="I1706" s="20" t="str">
        <f aca="false">IF(AND(Eingabe!$F$17&gt;0,Eingabe!$E$17&gt;=82),Eingabe!$B$6&amp;"-"&amp;Eingabe!$C$17&amp;"-Pächter","")</f>
        <v/>
      </c>
      <c r="J1706" s="20" t="str">
        <f aca="false">IF(AND(Eingabe!$F$17&gt;0,Eingabe!$E$17&gt;=82),"PPSK: Passwort Parzelle 82","")</f>
        <v/>
      </c>
      <c r="K1706" s="20" t="str">
        <f aca="false">IF(AND(Eingabe!$F$17&gt;0,Eingabe!$E$17&gt;=82),"1. Gerät: 10."&amp;Eingabe!$D$17&amp;".82.10, 2. Gerät: .11","")</f>
        <v/>
      </c>
    </row>
    <row r="1707" customFormat="false" ht="15" hidden="false" customHeight="false" outlineLevel="0" collapsed="false">
      <c r="A1707" s="20" t="str">
        <f aca="false">IF(AND(Eingabe!$F$17&gt;0,Eingabe!$E$17&gt;=83),9,"")</f>
        <v/>
      </c>
      <c r="B1707" s="20" t="str">
        <f aca="false">IF(AND(Eingabe!$F$17&gt;0,Eingabe!$E$17&gt;=83),Eingabe!$B$17,"")</f>
        <v/>
      </c>
      <c r="C1707" s="20" t="str">
        <f aca="false">IF(AND(Eingabe!$F$17&gt;0,Eingabe!$E$17&gt;=83),Eingabe!$C$17&amp;"-Paz."&amp;TEXT(83,"000"),"")</f>
        <v/>
      </c>
      <c r="D1707" s="20" t="str">
        <f aca="false">IF(AND(Eingabe!$F$17&gt;0,Eingabe!$E$17&gt;=83),83,"")</f>
        <v/>
      </c>
      <c r="E1707" s="20" t="str">
        <f aca="false">IF(AND(Eingabe!$F$17&gt;0,Eingabe!$E$17&gt;=83),IF((Eingabe!$G$17)&lt;=9,1000+(Eingabe!$G$17)*100,3000)+83,"")</f>
        <v/>
      </c>
      <c r="F1707" s="20" t="str">
        <f aca="false">IF(AND(Eingabe!$F$17&gt;0,Eingabe!$E$17&gt;=83),"10."&amp;Eingabe!$D$17&amp;".83.0/24","")</f>
        <v/>
      </c>
      <c r="G1707" s="20" t="str">
        <f aca="false">IF(AND(Eingabe!$F$17&gt;0,Eingabe!$E$17&gt;=83),"10."&amp;Eingabe!$D$17&amp;".83.1","")</f>
        <v/>
      </c>
      <c r="H1707" s="20" t="str">
        <f aca="false">IF(AND(Eingabe!$F$17&gt;0,Eingabe!$E$17&gt;=83),"10."&amp;Eingabe!$D$17&amp;".83.10 – 10."&amp;Eingabe!$D$17&amp;".83.250","")</f>
        <v/>
      </c>
      <c r="I1707" s="20" t="str">
        <f aca="false">IF(AND(Eingabe!$F$17&gt;0,Eingabe!$E$17&gt;=83),Eingabe!$B$6&amp;"-"&amp;Eingabe!$C$17&amp;"-Pächter","")</f>
        <v/>
      </c>
      <c r="J1707" s="20" t="str">
        <f aca="false">IF(AND(Eingabe!$F$17&gt;0,Eingabe!$E$17&gt;=83),"PPSK: Passwort Parzelle 83","")</f>
        <v/>
      </c>
      <c r="K1707" s="20" t="str">
        <f aca="false">IF(AND(Eingabe!$F$17&gt;0,Eingabe!$E$17&gt;=83),"1. Gerät: 10."&amp;Eingabe!$D$17&amp;".83.10, 2. Gerät: .11","")</f>
        <v/>
      </c>
    </row>
    <row r="1708" customFormat="false" ht="15" hidden="false" customHeight="false" outlineLevel="0" collapsed="false">
      <c r="A1708" s="20" t="str">
        <f aca="false">IF(AND(Eingabe!$F$17&gt;0,Eingabe!$E$17&gt;=84),9,"")</f>
        <v/>
      </c>
      <c r="B1708" s="20" t="str">
        <f aca="false">IF(AND(Eingabe!$F$17&gt;0,Eingabe!$E$17&gt;=84),Eingabe!$B$17,"")</f>
        <v/>
      </c>
      <c r="C1708" s="20" t="str">
        <f aca="false">IF(AND(Eingabe!$F$17&gt;0,Eingabe!$E$17&gt;=84),Eingabe!$C$17&amp;"-Paz."&amp;TEXT(84,"000"),"")</f>
        <v/>
      </c>
      <c r="D1708" s="20" t="str">
        <f aca="false">IF(AND(Eingabe!$F$17&gt;0,Eingabe!$E$17&gt;=84),84,"")</f>
        <v/>
      </c>
      <c r="E1708" s="20" t="str">
        <f aca="false">IF(AND(Eingabe!$F$17&gt;0,Eingabe!$E$17&gt;=84),IF((Eingabe!$G$17)&lt;=9,1000+(Eingabe!$G$17)*100,3000)+84,"")</f>
        <v/>
      </c>
      <c r="F1708" s="20" t="str">
        <f aca="false">IF(AND(Eingabe!$F$17&gt;0,Eingabe!$E$17&gt;=84),"10."&amp;Eingabe!$D$17&amp;".84.0/24","")</f>
        <v/>
      </c>
      <c r="G1708" s="20" t="str">
        <f aca="false">IF(AND(Eingabe!$F$17&gt;0,Eingabe!$E$17&gt;=84),"10."&amp;Eingabe!$D$17&amp;".84.1","")</f>
        <v/>
      </c>
      <c r="H1708" s="20" t="str">
        <f aca="false">IF(AND(Eingabe!$F$17&gt;0,Eingabe!$E$17&gt;=84),"10."&amp;Eingabe!$D$17&amp;".84.10 – 10."&amp;Eingabe!$D$17&amp;".84.250","")</f>
        <v/>
      </c>
      <c r="I1708" s="20" t="str">
        <f aca="false">IF(AND(Eingabe!$F$17&gt;0,Eingabe!$E$17&gt;=84),Eingabe!$B$6&amp;"-"&amp;Eingabe!$C$17&amp;"-Pächter","")</f>
        <v/>
      </c>
      <c r="J1708" s="20" t="str">
        <f aca="false">IF(AND(Eingabe!$F$17&gt;0,Eingabe!$E$17&gt;=84),"PPSK: Passwort Parzelle 84","")</f>
        <v/>
      </c>
      <c r="K1708" s="20" t="str">
        <f aca="false">IF(AND(Eingabe!$F$17&gt;0,Eingabe!$E$17&gt;=84),"1. Gerät: 10."&amp;Eingabe!$D$17&amp;".84.10, 2. Gerät: .11","")</f>
        <v/>
      </c>
    </row>
    <row r="1709" customFormat="false" ht="15" hidden="false" customHeight="false" outlineLevel="0" collapsed="false">
      <c r="A1709" s="20" t="str">
        <f aca="false">IF(AND(Eingabe!$F$17&gt;0,Eingabe!$E$17&gt;=85),9,"")</f>
        <v/>
      </c>
      <c r="B1709" s="20" t="str">
        <f aca="false">IF(AND(Eingabe!$F$17&gt;0,Eingabe!$E$17&gt;=85),Eingabe!$B$17,"")</f>
        <v/>
      </c>
      <c r="C1709" s="20" t="str">
        <f aca="false">IF(AND(Eingabe!$F$17&gt;0,Eingabe!$E$17&gt;=85),Eingabe!$C$17&amp;"-Paz."&amp;TEXT(85,"000"),"")</f>
        <v/>
      </c>
      <c r="D1709" s="20" t="str">
        <f aca="false">IF(AND(Eingabe!$F$17&gt;0,Eingabe!$E$17&gt;=85),85,"")</f>
        <v/>
      </c>
      <c r="E1709" s="20" t="str">
        <f aca="false">IF(AND(Eingabe!$F$17&gt;0,Eingabe!$E$17&gt;=85),IF((Eingabe!$G$17)&lt;=9,1000+(Eingabe!$G$17)*100,3000)+85,"")</f>
        <v/>
      </c>
      <c r="F1709" s="20" t="str">
        <f aca="false">IF(AND(Eingabe!$F$17&gt;0,Eingabe!$E$17&gt;=85),"10."&amp;Eingabe!$D$17&amp;".85.0/24","")</f>
        <v/>
      </c>
      <c r="G1709" s="20" t="str">
        <f aca="false">IF(AND(Eingabe!$F$17&gt;0,Eingabe!$E$17&gt;=85),"10."&amp;Eingabe!$D$17&amp;".85.1","")</f>
        <v/>
      </c>
      <c r="H1709" s="20" t="str">
        <f aca="false">IF(AND(Eingabe!$F$17&gt;0,Eingabe!$E$17&gt;=85),"10."&amp;Eingabe!$D$17&amp;".85.10 – 10."&amp;Eingabe!$D$17&amp;".85.250","")</f>
        <v/>
      </c>
      <c r="I1709" s="20" t="str">
        <f aca="false">IF(AND(Eingabe!$F$17&gt;0,Eingabe!$E$17&gt;=85),Eingabe!$B$6&amp;"-"&amp;Eingabe!$C$17&amp;"-Pächter","")</f>
        <v/>
      </c>
      <c r="J1709" s="20" t="str">
        <f aca="false">IF(AND(Eingabe!$F$17&gt;0,Eingabe!$E$17&gt;=85),"PPSK: Passwort Parzelle 85","")</f>
        <v/>
      </c>
      <c r="K1709" s="20" t="str">
        <f aca="false">IF(AND(Eingabe!$F$17&gt;0,Eingabe!$E$17&gt;=85),"1. Gerät: 10."&amp;Eingabe!$D$17&amp;".85.10, 2. Gerät: .11","")</f>
        <v/>
      </c>
    </row>
    <row r="1710" customFormat="false" ht="15" hidden="false" customHeight="false" outlineLevel="0" collapsed="false">
      <c r="A1710" s="20" t="str">
        <f aca="false">IF(AND(Eingabe!$F$17&gt;0,Eingabe!$E$17&gt;=86),9,"")</f>
        <v/>
      </c>
      <c r="B1710" s="20" t="str">
        <f aca="false">IF(AND(Eingabe!$F$17&gt;0,Eingabe!$E$17&gt;=86),Eingabe!$B$17,"")</f>
        <v/>
      </c>
      <c r="C1710" s="20" t="str">
        <f aca="false">IF(AND(Eingabe!$F$17&gt;0,Eingabe!$E$17&gt;=86),Eingabe!$C$17&amp;"-Paz."&amp;TEXT(86,"000"),"")</f>
        <v/>
      </c>
      <c r="D1710" s="20" t="str">
        <f aca="false">IF(AND(Eingabe!$F$17&gt;0,Eingabe!$E$17&gt;=86),86,"")</f>
        <v/>
      </c>
      <c r="E1710" s="20" t="str">
        <f aca="false">IF(AND(Eingabe!$F$17&gt;0,Eingabe!$E$17&gt;=86),IF((Eingabe!$G$17)&lt;=9,1000+(Eingabe!$G$17)*100,3000)+86,"")</f>
        <v/>
      </c>
      <c r="F1710" s="20" t="str">
        <f aca="false">IF(AND(Eingabe!$F$17&gt;0,Eingabe!$E$17&gt;=86),"10."&amp;Eingabe!$D$17&amp;".86.0/24","")</f>
        <v/>
      </c>
      <c r="G1710" s="20" t="str">
        <f aca="false">IF(AND(Eingabe!$F$17&gt;0,Eingabe!$E$17&gt;=86),"10."&amp;Eingabe!$D$17&amp;".86.1","")</f>
        <v/>
      </c>
      <c r="H1710" s="20" t="str">
        <f aca="false">IF(AND(Eingabe!$F$17&gt;0,Eingabe!$E$17&gt;=86),"10."&amp;Eingabe!$D$17&amp;".86.10 – 10."&amp;Eingabe!$D$17&amp;".86.250","")</f>
        <v/>
      </c>
      <c r="I1710" s="20" t="str">
        <f aca="false">IF(AND(Eingabe!$F$17&gt;0,Eingabe!$E$17&gt;=86),Eingabe!$B$6&amp;"-"&amp;Eingabe!$C$17&amp;"-Pächter","")</f>
        <v/>
      </c>
      <c r="J1710" s="20" t="str">
        <f aca="false">IF(AND(Eingabe!$F$17&gt;0,Eingabe!$E$17&gt;=86),"PPSK: Passwort Parzelle 86","")</f>
        <v/>
      </c>
      <c r="K1710" s="20" t="str">
        <f aca="false">IF(AND(Eingabe!$F$17&gt;0,Eingabe!$E$17&gt;=86),"1. Gerät: 10."&amp;Eingabe!$D$17&amp;".86.10, 2. Gerät: .11","")</f>
        <v/>
      </c>
    </row>
    <row r="1711" customFormat="false" ht="15" hidden="false" customHeight="false" outlineLevel="0" collapsed="false">
      <c r="A1711" s="20" t="str">
        <f aca="false">IF(AND(Eingabe!$F$17&gt;0,Eingabe!$E$17&gt;=87),9,"")</f>
        <v/>
      </c>
      <c r="B1711" s="20" t="str">
        <f aca="false">IF(AND(Eingabe!$F$17&gt;0,Eingabe!$E$17&gt;=87),Eingabe!$B$17,"")</f>
        <v/>
      </c>
      <c r="C1711" s="20" t="str">
        <f aca="false">IF(AND(Eingabe!$F$17&gt;0,Eingabe!$E$17&gt;=87),Eingabe!$C$17&amp;"-Paz."&amp;TEXT(87,"000"),"")</f>
        <v/>
      </c>
      <c r="D1711" s="20" t="str">
        <f aca="false">IF(AND(Eingabe!$F$17&gt;0,Eingabe!$E$17&gt;=87),87,"")</f>
        <v/>
      </c>
      <c r="E1711" s="20" t="str">
        <f aca="false">IF(AND(Eingabe!$F$17&gt;0,Eingabe!$E$17&gt;=87),IF((Eingabe!$G$17)&lt;=9,1000+(Eingabe!$G$17)*100,3000)+87,"")</f>
        <v/>
      </c>
      <c r="F1711" s="20" t="str">
        <f aca="false">IF(AND(Eingabe!$F$17&gt;0,Eingabe!$E$17&gt;=87),"10."&amp;Eingabe!$D$17&amp;".87.0/24","")</f>
        <v/>
      </c>
      <c r="G1711" s="20" t="str">
        <f aca="false">IF(AND(Eingabe!$F$17&gt;0,Eingabe!$E$17&gt;=87),"10."&amp;Eingabe!$D$17&amp;".87.1","")</f>
        <v/>
      </c>
      <c r="H1711" s="20" t="str">
        <f aca="false">IF(AND(Eingabe!$F$17&gt;0,Eingabe!$E$17&gt;=87),"10."&amp;Eingabe!$D$17&amp;".87.10 – 10."&amp;Eingabe!$D$17&amp;".87.250","")</f>
        <v/>
      </c>
      <c r="I1711" s="20" t="str">
        <f aca="false">IF(AND(Eingabe!$F$17&gt;0,Eingabe!$E$17&gt;=87),Eingabe!$B$6&amp;"-"&amp;Eingabe!$C$17&amp;"-Pächter","")</f>
        <v/>
      </c>
      <c r="J1711" s="20" t="str">
        <f aca="false">IF(AND(Eingabe!$F$17&gt;0,Eingabe!$E$17&gt;=87),"PPSK: Passwort Parzelle 87","")</f>
        <v/>
      </c>
      <c r="K1711" s="20" t="str">
        <f aca="false">IF(AND(Eingabe!$F$17&gt;0,Eingabe!$E$17&gt;=87),"1. Gerät: 10."&amp;Eingabe!$D$17&amp;".87.10, 2. Gerät: .11","")</f>
        <v/>
      </c>
    </row>
    <row r="1712" customFormat="false" ht="15" hidden="false" customHeight="false" outlineLevel="0" collapsed="false">
      <c r="A1712" s="20" t="str">
        <f aca="false">IF(AND(Eingabe!$F$17&gt;0,Eingabe!$E$17&gt;=88),9,"")</f>
        <v/>
      </c>
      <c r="B1712" s="20" t="str">
        <f aca="false">IF(AND(Eingabe!$F$17&gt;0,Eingabe!$E$17&gt;=88),Eingabe!$B$17,"")</f>
        <v/>
      </c>
      <c r="C1712" s="20" t="str">
        <f aca="false">IF(AND(Eingabe!$F$17&gt;0,Eingabe!$E$17&gt;=88),Eingabe!$C$17&amp;"-Paz."&amp;TEXT(88,"000"),"")</f>
        <v/>
      </c>
      <c r="D1712" s="20" t="str">
        <f aca="false">IF(AND(Eingabe!$F$17&gt;0,Eingabe!$E$17&gt;=88),88,"")</f>
        <v/>
      </c>
      <c r="E1712" s="20" t="str">
        <f aca="false">IF(AND(Eingabe!$F$17&gt;0,Eingabe!$E$17&gt;=88),IF((Eingabe!$G$17)&lt;=9,1000+(Eingabe!$G$17)*100,3000)+88,"")</f>
        <v/>
      </c>
      <c r="F1712" s="20" t="str">
        <f aca="false">IF(AND(Eingabe!$F$17&gt;0,Eingabe!$E$17&gt;=88),"10."&amp;Eingabe!$D$17&amp;".88.0/24","")</f>
        <v/>
      </c>
      <c r="G1712" s="20" t="str">
        <f aca="false">IF(AND(Eingabe!$F$17&gt;0,Eingabe!$E$17&gt;=88),"10."&amp;Eingabe!$D$17&amp;".88.1","")</f>
        <v/>
      </c>
      <c r="H1712" s="20" t="str">
        <f aca="false">IF(AND(Eingabe!$F$17&gt;0,Eingabe!$E$17&gt;=88),"10."&amp;Eingabe!$D$17&amp;".88.10 – 10."&amp;Eingabe!$D$17&amp;".88.250","")</f>
        <v/>
      </c>
      <c r="I1712" s="20" t="str">
        <f aca="false">IF(AND(Eingabe!$F$17&gt;0,Eingabe!$E$17&gt;=88),Eingabe!$B$6&amp;"-"&amp;Eingabe!$C$17&amp;"-Pächter","")</f>
        <v/>
      </c>
      <c r="J1712" s="20" t="str">
        <f aca="false">IF(AND(Eingabe!$F$17&gt;0,Eingabe!$E$17&gt;=88),"PPSK: Passwort Parzelle 88","")</f>
        <v/>
      </c>
      <c r="K1712" s="20" t="str">
        <f aca="false">IF(AND(Eingabe!$F$17&gt;0,Eingabe!$E$17&gt;=88),"1. Gerät: 10."&amp;Eingabe!$D$17&amp;".88.10, 2. Gerät: .11","")</f>
        <v/>
      </c>
    </row>
    <row r="1713" customFormat="false" ht="15" hidden="false" customHeight="false" outlineLevel="0" collapsed="false">
      <c r="A1713" s="20" t="str">
        <f aca="false">IF(AND(Eingabe!$F$17&gt;0,Eingabe!$E$17&gt;=89),9,"")</f>
        <v/>
      </c>
      <c r="B1713" s="20" t="str">
        <f aca="false">IF(AND(Eingabe!$F$17&gt;0,Eingabe!$E$17&gt;=89),Eingabe!$B$17,"")</f>
        <v/>
      </c>
      <c r="C1713" s="20" t="str">
        <f aca="false">IF(AND(Eingabe!$F$17&gt;0,Eingabe!$E$17&gt;=89),Eingabe!$C$17&amp;"-Paz."&amp;TEXT(89,"000"),"")</f>
        <v/>
      </c>
      <c r="D1713" s="20" t="str">
        <f aca="false">IF(AND(Eingabe!$F$17&gt;0,Eingabe!$E$17&gt;=89),89,"")</f>
        <v/>
      </c>
      <c r="E1713" s="20" t="str">
        <f aca="false">IF(AND(Eingabe!$F$17&gt;0,Eingabe!$E$17&gt;=89),IF((Eingabe!$G$17)&lt;=9,1000+(Eingabe!$G$17)*100,3000)+89,"")</f>
        <v/>
      </c>
      <c r="F1713" s="20" t="str">
        <f aca="false">IF(AND(Eingabe!$F$17&gt;0,Eingabe!$E$17&gt;=89),"10."&amp;Eingabe!$D$17&amp;".89.0/24","")</f>
        <v/>
      </c>
      <c r="G1713" s="20" t="str">
        <f aca="false">IF(AND(Eingabe!$F$17&gt;0,Eingabe!$E$17&gt;=89),"10."&amp;Eingabe!$D$17&amp;".89.1","")</f>
        <v/>
      </c>
      <c r="H1713" s="20" t="str">
        <f aca="false">IF(AND(Eingabe!$F$17&gt;0,Eingabe!$E$17&gt;=89),"10."&amp;Eingabe!$D$17&amp;".89.10 – 10."&amp;Eingabe!$D$17&amp;".89.250","")</f>
        <v/>
      </c>
      <c r="I1713" s="20" t="str">
        <f aca="false">IF(AND(Eingabe!$F$17&gt;0,Eingabe!$E$17&gt;=89),Eingabe!$B$6&amp;"-"&amp;Eingabe!$C$17&amp;"-Pächter","")</f>
        <v/>
      </c>
      <c r="J1713" s="20" t="str">
        <f aca="false">IF(AND(Eingabe!$F$17&gt;0,Eingabe!$E$17&gt;=89),"PPSK: Passwort Parzelle 89","")</f>
        <v/>
      </c>
      <c r="K1713" s="20" t="str">
        <f aca="false">IF(AND(Eingabe!$F$17&gt;0,Eingabe!$E$17&gt;=89),"1. Gerät: 10."&amp;Eingabe!$D$17&amp;".89.10, 2. Gerät: .11","")</f>
        <v/>
      </c>
    </row>
    <row r="1714" customFormat="false" ht="15" hidden="false" customHeight="false" outlineLevel="0" collapsed="false">
      <c r="A1714" s="20" t="str">
        <f aca="false">IF(AND(Eingabe!$F$17&gt;0,Eingabe!$E$17&gt;=90),9,"")</f>
        <v/>
      </c>
      <c r="B1714" s="20" t="str">
        <f aca="false">IF(AND(Eingabe!$F$17&gt;0,Eingabe!$E$17&gt;=90),Eingabe!$B$17,"")</f>
        <v/>
      </c>
      <c r="C1714" s="20" t="str">
        <f aca="false">IF(AND(Eingabe!$F$17&gt;0,Eingabe!$E$17&gt;=90),Eingabe!$C$17&amp;"-Paz."&amp;TEXT(90,"000"),"")</f>
        <v/>
      </c>
      <c r="D1714" s="20" t="str">
        <f aca="false">IF(AND(Eingabe!$F$17&gt;0,Eingabe!$E$17&gt;=90),90,"")</f>
        <v/>
      </c>
      <c r="E1714" s="20" t="str">
        <f aca="false">IF(AND(Eingabe!$F$17&gt;0,Eingabe!$E$17&gt;=90),IF((Eingabe!$G$17)&lt;=9,1000+(Eingabe!$G$17)*100,3000)+90,"")</f>
        <v/>
      </c>
      <c r="F1714" s="20" t="str">
        <f aca="false">IF(AND(Eingabe!$F$17&gt;0,Eingabe!$E$17&gt;=90),"10."&amp;Eingabe!$D$17&amp;".90.0/24","")</f>
        <v/>
      </c>
      <c r="G1714" s="20" t="str">
        <f aca="false">IF(AND(Eingabe!$F$17&gt;0,Eingabe!$E$17&gt;=90),"10."&amp;Eingabe!$D$17&amp;".90.1","")</f>
        <v/>
      </c>
      <c r="H1714" s="20" t="str">
        <f aca="false">IF(AND(Eingabe!$F$17&gt;0,Eingabe!$E$17&gt;=90),"10."&amp;Eingabe!$D$17&amp;".90.10 – 10."&amp;Eingabe!$D$17&amp;".90.250","")</f>
        <v/>
      </c>
      <c r="I1714" s="20" t="str">
        <f aca="false">IF(AND(Eingabe!$F$17&gt;0,Eingabe!$E$17&gt;=90),Eingabe!$B$6&amp;"-"&amp;Eingabe!$C$17&amp;"-Pächter","")</f>
        <v/>
      </c>
      <c r="J1714" s="20" t="str">
        <f aca="false">IF(AND(Eingabe!$F$17&gt;0,Eingabe!$E$17&gt;=90),"PPSK: Passwort Parzelle 90","")</f>
        <v/>
      </c>
      <c r="K1714" s="20" t="str">
        <f aca="false">IF(AND(Eingabe!$F$17&gt;0,Eingabe!$E$17&gt;=90),"1. Gerät: 10."&amp;Eingabe!$D$17&amp;".90.10, 2. Gerät: .11","")</f>
        <v/>
      </c>
    </row>
    <row r="1715" customFormat="false" ht="15" hidden="false" customHeight="false" outlineLevel="0" collapsed="false">
      <c r="A1715" s="20" t="str">
        <f aca="false">IF(AND(Eingabe!$F$17&gt;0,Eingabe!$E$17&gt;=91),9,"")</f>
        <v/>
      </c>
      <c r="B1715" s="20" t="str">
        <f aca="false">IF(AND(Eingabe!$F$17&gt;0,Eingabe!$E$17&gt;=91),Eingabe!$B$17,"")</f>
        <v/>
      </c>
      <c r="C1715" s="20" t="str">
        <f aca="false">IF(AND(Eingabe!$F$17&gt;0,Eingabe!$E$17&gt;=91),Eingabe!$C$17&amp;"-Paz."&amp;TEXT(91,"000"),"")</f>
        <v/>
      </c>
      <c r="D1715" s="20" t="str">
        <f aca="false">IF(AND(Eingabe!$F$17&gt;0,Eingabe!$E$17&gt;=91),91,"")</f>
        <v/>
      </c>
      <c r="E1715" s="20" t="str">
        <f aca="false">IF(AND(Eingabe!$F$17&gt;0,Eingabe!$E$17&gt;=91),IF((Eingabe!$G$17)&lt;=9,1000+(Eingabe!$G$17)*100,3000)+91,"")</f>
        <v/>
      </c>
      <c r="F1715" s="20" t="str">
        <f aca="false">IF(AND(Eingabe!$F$17&gt;0,Eingabe!$E$17&gt;=91),"10."&amp;Eingabe!$D$17&amp;".91.0/24","")</f>
        <v/>
      </c>
      <c r="G1715" s="20" t="str">
        <f aca="false">IF(AND(Eingabe!$F$17&gt;0,Eingabe!$E$17&gt;=91),"10."&amp;Eingabe!$D$17&amp;".91.1","")</f>
        <v/>
      </c>
      <c r="H1715" s="20" t="str">
        <f aca="false">IF(AND(Eingabe!$F$17&gt;0,Eingabe!$E$17&gt;=91),"10."&amp;Eingabe!$D$17&amp;".91.10 – 10."&amp;Eingabe!$D$17&amp;".91.250","")</f>
        <v/>
      </c>
      <c r="I1715" s="20" t="str">
        <f aca="false">IF(AND(Eingabe!$F$17&gt;0,Eingabe!$E$17&gt;=91),Eingabe!$B$6&amp;"-"&amp;Eingabe!$C$17&amp;"-Pächter","")</f>
        <v/>
      </c>
      <c r="J1715" s="20" t="str">
        <f aca="false">IF(AND(Eingabe!$F$17&gt;0,Eingabe!$E$17&gt;=91),"PPSK: Passwort Parzelle 91","")</f>
        <v/>
      </c>
      <c r="K1715" s="20" t="str">
        <f aca="false">IF(AND(Eingabe!$F$17&gt;0,Eingabe!$E$17&gt;=91),"1. Gerät: 10."&amp;Eingabe!$D$17&amp;".91.10, 2. Gerät: .11","")</f>
        <v/>
      </c>
    </row>
    <row r="1716" customFormat="false" ht="15" hidden="false" customHeight="false" outlineLevel="0" collapsed="false">
      <c r="A1716" s="20" t="str">
        <f aca="false">IF(AND(Eingabe!$F$17&gt;0,Eingabe!$E$17&gt;=92),9,"")</f>
        <v/>
      </c>
      <c r="B1716" s="20" t="str">
        <f aca="false">IF(AND(Eingabe!$F$17&gt;0,Eingabe!$E$17&gt;=92),Eingabe!$B$17,"")</f>
        <v/>
      </c>
      <c r="C1716" s="20" t="str">
        <f aca="false">IF(AND(Eingabe!$F$17&gt;0,Eingabe!$E$17&gt;=92),Eingabe!$C$17&amp;"-Paz."&amp;TEXT(92,"000"),"")</f>
        <v/>
      </c>
      <c r="D1716" s="20" t="str">
        <f aca="false">IF(AND(Eingabe!$F$17&gt;0,Eingabe!$E$17&gt;=92),92,"")</f>
        <v/>
      </c>
      <c r="E1716" s="20" t="str">
        <f aca="false">IF(AND(Eingabe!$F$17&gt;0,Eingabe!$E$17&gt;=92),IF((Eingabe!$G$17)&lt;=9,1000+(Eingabe!$G$17)*100,3000)+92,"")</f>
        <v/>
      </c>
      <c r="F1716" s="20" t="str">
        <f aca="false">IF(AND(Eingabe!$F$17&gt;0,Eingabe!$E$17&gt;=92),"10."&amp;Eingabe!$D$17&amp;".92.0/24","")</f>
        <v/>
      </c>
      <c r="G1716" s="20" t="str">
        <f aca="false">IF(AND(Eingabe!$F$17&gt;0,Eingabe!$E$17&gt;=92),"10."&amp;Eingabe!$D$17&amp;".92.1","")</f>
        <v/>
      </c>
      <c r="H1716" s="20" t="str">
        <f aca="false">IF(AND(Eingabe!$F$17&gt;0,Eingabe!$E$17&gt;=92),"10."&amp;Eingabe!$D$17&amp;".92.10 – 10."&amp;Eingabe!$D$17&amp;".92.250","")</f>
        <v/>
      </c>
      <c r="I1716" s="20" t="str">
        <f aca="false">IF(AND(Eingabe!$F$17&gt;0,Eingabe!$E$17&gt;=92),Eingabe!$B$6&amp;"-"&amp;Eingabe!$C$17&amp;"-Pächter","")</f>
        <v/>
      </c>
      <c r="J1716" s="20" t="str">
        <f aca="false">IF(AND(Eingabe!$F$17&gt;0,Eingabe!$E$17&gt;=92),"PPSK: Passwort Parzelle 92","")</f>
        <v/>
      </c>
      <c r="K1716" s="20" t="str">
        <f aca="false">IF(AND(Eingabe!$F$17&gt;0,Eingabe!$E$17&gt;=92),"1. Gerät: 10."&amp;Eingabe!$D$17&amp;".92.10, 2. Gerät: .11","")</f>
        <v/>
      </c>
    </row>
    <row r="1717" customFormat="false" ht="15" hidden="false" customHeight="false" outlineLevel="0" collapsed="false">
      <c r="A1717" s="20" t="str">
        <f aca="false">IF(AND(Eingabe!$F$17&gt;0,Eingabe!$E$17&gt;=93),9,"")</f>
        <v/>
      </c>
      <c r="B1717" s="20" t="str">
        <f aca="false">IF(AND(Eingabe!$F$17&gt;0,Eingabe!$E$17&gt;=93),Eingabe!$B$17,"")</f>
        <v/>
      </c>
      <c r="C1717" s="20" t="str">
        <f aca="false">IF(AND(Eingabe!$F$17&gt;0,Eingabe!$E$17&gt;=93),Eingabe!$C$17&amp;"-Paz."&amp;TEXT(93,"000"),"")</f>
        <v/>
      </c>
      <c r="D1717" s="20" t="str">
        <f aca="false">IF(AND(Eingabe!$F$17&gt;0,Eingabe!$E$17&gt;=93),93,"")</f>
        <v/>
      </c>
      <c r="E1717" s="20" t="str">
        <f aca="false">IF(AND(Eingabe!$F$17&gt;0,Eingabe!$E$17&gt;=93),IF((Eingabe!$G$17)&lt;=9,1000+(Eingabe!$G$17)*100,3000)+93,"")</f>
        <v/>
      </c>
      <c r="F1717" s="20" t="str">
        <f aca="false">IF(AND(Eingabe!$F$17&gt;0,Eingabe!$E$17&gt;=93),"10."&amp;Eingabe!$D$17&amp;".93.0/24","")</f>
        <v/>
      </c>
      <c r="G1717" s="20" t="str">
        <f aca="false">IF(AND(Eingabe!$F$17&gt;0,Eingabe!$E$17&gt;=93),"10."&amp;Eingabe!$D$17&amp;".93.1","")</f>
        <v/>
      </c>
      <c r="H1717" s="20" t="str">
        <f aca="false">IF(AND(Eingabe!$F$17&gt;0,Eingabe!$E$17&gt;=93),"10."&amp;Eingabe!$D$17&amp;".93.10 – 10."&amp;Eingabe!$D$17&amp;".93.250","")</f>
        <v/>
      </c>
      <c r="I1717" s="20" t="str">
        <f aca="false">IF(AND(Eingabe!$F$17&gt;0,Eingabe!$E$17&gt;=93),Eingabe!$B$6&amp;"-"&amp;Eingabe!$C$17&amp;"-Pächter","")</f>
        <v/>
      </c>
      <c r="J1717" s="20" t="str">
        <f aca="false">IF(AND(Eingabe!$F$17&gt;0,Eingabe!$E$17&gt;=93),"PPSK: Passwort Parzelle 93","")</f>
        <v/>
      </c>
      <c r="K1717" s="20" t="str">
        <f aca="false">IF(AND(Eingabe!$F$17&gt;0,Eingabe!$E$17&gt;=93),"1. Gerät: 10."&amp;Eingabe!$D$17&amp;".93.10, 2. Gerät: .11","")</f>
        <v/>
      </c>
    </row>
    <row r="1718" customFormat="false" ht="15" hidden="false" customHeight="false" outlineLevel="0" collapsed="false">
      <c r="A1718" s="20" t="str">
        <f aca="false">IF(AND(Eingabe!$F$17&gt;0,Eingabe!$E$17&gt;=94),9,"")</f>
        <v/>
      </c>
      <c r="B1718" s="20" t="str">
        <f aca="false">IF(AND(Eingabe!$F$17&gt;0,Eingabe!$E$17&gt;=94),Eingabe!$B$17,"")</f>
        <v/>
      </c>
      <c r="C1718" s="20" t="str">
        <f aca="false">IF(AND(Eingabe!$F$17&gt;0,Eingabe!$E$17&gt;=94),Eingabe!$C$17&amp;"-Paz."&amp;TEXT(94,"000"),"")</f>
        <v/>
      </c>
      <c r="D1718" s="20" t="str">
        <f aca="false">IF(AND(Eingabe!$F$17&gt;0,Eingabe!$E$17&gt;=94),94,"")</f>
        <v/>
      </c>
      <c r="E1718" s="20" t="str">
        <f aca="false">IF(AND(Eingabe!$F$17&gt;0,Eingabe!$E$17&gt;=94),IF((Eingabe!$G$17)&lt;=9,1000+(Eingabe!$G$17)*100,3000)+94,"")</f>
        <v/>
      </c>
      <c r="F1718" s="20" t="str">
        <f aca="false">IF(AND(Eingabe!$F$17&gt;0,Eingabe!$E$17&gt;=94),"10."&amp;Eingabe!$D$17&amp;".94.0/24","")</f>
        <v/>
      </c>
      <c r="G1718" s="20" t="str">
        <f aca="false">IF(AND(Eingabe!$F$17&gt;0,Eingabe!$E$17&gt;=94),"10."&amp;Eingabe!$D$17&amp;".94.1","")</f>
        <v/>
      </c>
      <c r="H1718" s="20" t="str">
        <f aca="false">IF(AND(Eingabe!$F$17&gt;0,Eingabe!$E$17&gt;=94),"10."&amp;Eingabe!$D$17&amp;".94.10 – 10."&amp;Eingabe!$D$17&amp;".94.250","")</f>
        <v/>
      </c>
      <c r="I1718" s="20" t="str">
        <f aca="false">IF(AND(Eingabe!$F$17&gt;0,Eingabe!$E$17&gt;=94),Eingabe!$B$6&amp;"-"&amp;Eingabe!$C$17&amp;"-Pächter","")</f>
        <v/>
      </c>
      <c r="J1718" s="20" t="str">
        <f aca="false">IF(AND(Eingabe!$F$17&gt;0,Eingabe!$E$17&gt;=94),"PPSK: Passwort Parzelle 94","")</f>
        <v/>
      </c>
      <c r="K1718" s="20" t="str">
        <f aca="false">IF(AND(Eingabe!$F$17&gt;0,Eingabe!$E$17&gt;=94),"1. Gerät: 10."&amp;Eingabe!$D$17&amp;".94.10, 2. Gerät: .11","")</f>
        <v/>
      </c>
    </row>
    <row r="1719" customFormat="false" ht="15" hidden="false" customHeight="false" outlineLevel="0" collapsed="false">
      <c r="A1719" s="20" t="str">
        <f aca="false">IF(AND(Eingabe!$F$17&gt;0,Eingabe!$E$17&gt;=95),9,"")</f>
        <v/>
      </c>
      <c r="B1719" s="20" t="str">
        <f aca="false">IF(AND(Eingabe!$F$17&gt;0,Eingabe!$E$17&gt;=95),Eingabe!$B$17,"")</f>
        <v/>
      </c>
      <c r="C1719" s="20" t="str">
        <f aca="false">IF(AND(Eingabe!$F$17&gt;0,Eingabe!$E$17&gt;=95),Eingabe!$C$17&amp;"-Paz."&amp;TEXT(95,"000"),"")</f>
        <v/>
      </c>
      <c r="D1719" s="20" t="str">
        <f aca="false">IF(AND(Eingabe!$F$17&gt;0,Eingabe!$E$17&gt;=95),95,"")</f>
        <v/>
      </c>
      <c r="E1719" s="20" t="str">
        <f aca="false">IF(AND(Eingabe!$F$17&gt;0,Eingabe!$E$17&gt;=95),IF((Eingabe!$G$17)&lt;=9,1000+(Eingabe!$G$17)*100,3000)+95,"")</f>
        <v/>
      </c>
      <c r="F1719" s="20" t="str">
        <f aca="false">IF(AND(Eingabe!$F$17&gt;0,Eingabe!$E$17&gt;=95),"10."&amp;Eingabe!$D$17&amp;".95.0/24","")</f>
        <v/>
      </c>
      <c r="G1719" s="20" t="str">
        <f aca="false">IF(AND(Eingabe!$F$17&gt;0,Eingabe!$E$17&gt;=95),"10."&amp;Eingabe!$D$17&amp;".95.1","")</f>
        <v/>
      </c>
      <c r="H1719" s="20" t="str">
        <f aca="false">IF(AND(Eingabe!$F$17&gt;0,Eingabe!$E$17&gt;=95),"10."&amp;Eingabe!$D$17&amp;".95.10 – 10."&amp;Eingabe!$D$17&amp;".95.250","")</f>
        <v/>
      </c>
      <c r="I1719" s="20" t="str">
        <f aca="false">IF(AND(Eingabe!$F$17&gt;0,Eingabe!$E$17&gt;=95),Eingabe!$B$6&amp;"-"&amp;Eingabe!$C$17&amp;"-Pächter","")</f>
        <v/>
      </c>
      <c r="J1719" s="20" t="str">
        <f aca="false">IF(AND(Eingabe!$F$17&gt;0,Eingabe!$E$17&gt;=95),"PPSK: Passwort Parzelle 95","")</f>
        <v/>
      </c>
      <c r="K1719" s="20" t="str">
        <f aca="false">IF(AND(Eingabe!$F$17&gt;0,Eingabe!$E$17&gt;=95),"1. Gerät: 10."&amp;Eingabe!$D$17&amp;".95.10, 2. Gerät: .11","")</f>
        <v/>
      </c>
    </row>
    <row r="1720" customFormat="false" ht="15" hidden="false" customHeight="false" outlineLevel="0" collapsed="false">
      <c r="A1720" s="20" t="str">
        <f aca="false">IF(AND(Eingabe!$F$17&gt;0,Eingabe!$E$17&gt;=96),9,"")</f>
        <v/>
      </c>
      <c r="B1720" s="20" t="str">
        <f aca="false">IF(AND(Eingabe!$F$17&gt;0,Eingabe!$E$17&gt;=96),Eingabe!$B$17,"")</f>
        <v/>
      </c>
      <c r="C1720" s="20" t="str">
        <f aca="false">IF(AND(Eingabe!$F$17&gt;0,Eingabe!$E$17&gt;=96),Eingabe!$C$17&amp;"-Paz."&amp;TEXT(96,"000"),"")</f>
        <v/>
      </c>
      <c r="D1720" s="20" t="str">
        <f aca="false">IF(AND(Eingabe!$F$17&gt;0,Eingabe!$E$17&gt;=96),96,"")</f>
        <v/>
      </c>
      <c r="E1720" s="20" t="str">
        <f aca="false">IF(AND(Eingabe!$F$17&gt;0,Eingabe!$E$17&gt;=96),IF((Eingabe!$G$17)&lt;=9,1000+(Eingabe!$G$17)*100,3000)+96,"")</f>
        <v/>
      </c>
      <c r="F1720" s="20" t="str">
        <f aca="false">IF(AND(Eingabe!$F$17&gt;0,Eingabe!$E$17&gt;=96),"10."&amp;Eingabe!$D$17&amp;".96.0/24","")</f>
        <v/>
      </c>
      <c r="G1720" s="20" t="str">
        <f aca="false">IF(AND(Eingabe!$F$17&gt;0,Eingabe!$E$17&gt;=96),"10."&amp;Eingabe!$D$17&amp;".96.1","")</f>
        <v/>
      </c>
      <c r="H1720" s="20" t="str">
        <f aca="false">IF(AND(Eingabe!$F$17&gt;0,Eingabe!$E$17&gt;=96),"10."&amp;Eingabe!$D$17&amp;".96.10 – 10."&amp;Eingabe!$D$17&amp;".96.250","")</f>
        <v/>
      </c>
      <c r="I1720" s="20" t="str">
        <f aca="false">IF(AND(Eingabe!$F$17&gt;0,Eingabe!$E$17&gt;=96),Eingabe!$B$6&amp;"-"&amp;Eingabe!$C$17&amp;"-Pächter","")</f>
        <v/>
      </c>
      <c r="J1720" s="20" t="str">
        <f aca="false">IF(AND(Eingabe!$F$17&gt;0,Eingabe!$E$17&gt;=96),"PPSK: Passwort Parzelle 96","")</f>
        <v/>
      </c>
      <c r="K1720" s="20" t="str">
        <f aca="false">IF(AND(Eingabe!$F$17&gt;0,Eingabe!$E$17&gt;=96),"1. Gerät: 10."&amp;Eingabe!$D$17&amp;".96.10, 2. Gerät: .11","")</f>
        <v/>
      </c>
    </row>
    <row r="1721" customFormat="false" ht="15" hidden="false" customHeight="false" outlineLevel="0" collapsed="false">
      <c r="A1721" s="20" t="str">
        <f aca="false">IF(AND(Eingabe!$F$17&gt;0,Eingabe!$E$17&gt;=97),9,"")</f>
        <v/>
      </c>
      <c r="B1721" s="20" t="str">
        <f aca="false">IF(AND(Eingabe!$F$17&gt;0,Eingabe!$E$17&gt;=97),Eingabe!$B$17,"")</f>
        <v/>
      </c>
      <c r="C1721" s="20" t="str">
        <f aca="false">IF(AND(Eingabe!$F$17&gt;0,Eingabe!$E$17&gt;=97),Eingabe!$C$17&amp;"-Paz."&amp;TEXT(97,"000"),"")</f>
        <v/>
      </c>
      <c r="D1721" s="20" t="str">
        <f aca="false">IF(AND(Eingabe!$F$17&gt;0,Eingabe!$E$17&gt;=97),97,"")</f>
        <v/>
      </c>
      <c r="E1721" s="20" t="str">
        <f aca="false">IF(AND(Eingabe!$F$17&gt;0,Eingabe!$E$17&gt;=97),IF((Eingabe!$G$17)&lt;=9,1000+(Eingabe!$G$17)*100,3000)+97,"")</f>
        <v/>
      </c>
      <c r="F1721" s="20" t="str">
        <f aca="false">IF(AND(Eingabe!$F$17&gt;0,Eingabe!$E$17&gt;=97),"10."&amp;Eingabe!$D$17&amp;".97.0/24","")</f>
        <v/>
      </c>
      <c r="G1721" s="20" t="str">
        <f aca="false">IF(AND(Eingabe!$F$17&gt;0,Eingabe!$E$17&gt;=97),"10."&amp;Eingabe!$D$17&amp;".97.1","")</f>
        <v/>
      </c>
      <c r="H1721" s="20" t="str">
        <f aca="false">IF(AND(Eingabe!$F$17&gt;0,Eingabe!$E$17&gt;=97),"10."&amp;Eingabe!$D$17&amp;".97.10 – 10."&amp;Eingabe!$D$17&amp;".97.250","")</f>
        <v/>
      </c>
      <c r="I1721" s="20" t="str">
        <f aca="false">IF(AND(Eingabe!$F$17&gt;0,Eingabe!$E$17&gt;=97),Eingabe!$B$6&amp;"-"&amp;Eingabe!$C$17&amp;"-Pächter","")</f>
        <v/>
      </c>
      <c r="J1721" s="20" t="str">
        <f aca="false">IF(AND(Eingabe!$F$17&gt;0,Eingabe!$E$17&gt;=97),"PPSK: Passwort Parzelle 97","")</f>
        <v/>
      </c>
      <c r="K1721" s="20" t="str">
        <f aca="false">IF(AND(Eingabe!$F$17&gt;0,Eingabe!$E$17&gt;=97),"1. Gerät: 10."&amp;Eingabe!$D$17&amp;".97.10, 2. Gerät: .11","")</f>
        <v/>
      </c>
    </row>
    <row r="1722" customFormat="false" ht="15" hidden="false" customHeight="false" outlineLevel="0" collapsed="false">
      <c r="A1722" s="20" t="str">
        <f aca="false">IF(AND(Eingabe!$F$17&gt;0,Eingabe!$E$17&gt;=98),9,"")</f>
        <v/>
      </c>
      <c r="B1722" s="20" t="str">
        <f aca="false">IF(AND(Eingabe!$F$17&gt;0,Eingabe!$E$17&gt;=98),Eingabe!$B$17,"")</f>
        <v/>
      </c>
      <c r="C1722" s="20" t="str">
        <f aca="false">IF(AND(Eingabe!$F$17&gt;0,Eingabe!$E$17&gt;=98),Eingabe!$C$17&amp;"-Paz."&amp;TEXT(98,"000"),"")</f>
        <v/>
      </c>
      <c r="D1722" s="20" t="str">
        <f aca="false">IF(AND(Eingabe!$F$17&gt;0,Eingabe!$E$17&gt;=98),98,"")</f>
        <v/>
      </c>
      <c r="E1722" s="20" t="str">
        <f aca="false">IF(AND(Eingabe!$F$17&gt;0,Eingabe!$E$17&gt;=98),IF((Eingabe!$G$17)&lt;=9,1000+(Eingabe!$G$17)*100,3000)+98,"")</f>
        <v/>
      </c>
      <c r="F1722" s="20" t="str">
        <f aca="false">IF(AND(Eingabe!$F$17&gt;0,Eingabe!$E$17&gt;=98),"10."&amp;Eingabe!$D$17&amp;".98.0/24","")</f>
        <v/>
      </c>
      <c r="G1722" s="20" t="str">
        <f aca="false">IF(AND(Eingabe!$F$17&gt;0,Eingabe!$E$17&gt;=98),"10."&amp;Eingabe!$D$17&amp;".98.1","")</f>
        <v/>
      </c>
      <c r="H1722" s="20" t="str">
        <f aca="false">IF(AND(Eingabe!$F$17&gt;0,Eingabe!$E$17&gt;=98),"10."&amp;Eingabe!$D$17&amp;".98.10 – 10."&amp;Eingabe!$D$17&amp;".98.250","")</f>
        <v/>
      </c>
      <c r="I1722" s="20" t="str">
        <f aca="false">IF(AND(Eingabe!$F$17&gt;0,Eingabe!$E$17&gt;=98),Eingabe!$B$6&amp;"-"&amp;Eingabe!$C$17&amp;"-Pächter","")</f>
        <v/>
      </c>
      <c r="J1722" s="20" t="str">
        <f aca="false">IF(AND(Eingabe!$F$17&gt;0,Eingabe!$E$17&gt;=98),"PPSK: Passwort Parzelle 98","")</f>
        <v/>
      </c>
      <c r="K1722" s="20" t="str">
        <f aca="false">IF(AND(Eingabe!$F$17&gt;0,Eingabe!$E$17&gt;=98),"1. Gerät: 10."&amp;Eingabe!$D$17&amp;".98.10, 2. Gerät: .11","")</f>
        <v/>
      </c>
    </row>
    <row r="1723" customFormat="false" ht="15" hidden="false" customHeight="false" outlineLevel="0" collapsed="false">
      <c r="A1723" s="20" t="str">
        <f aca="false">IF(AND(Eingabe!$F$17&gt;0,Eingabe!$E$17&gt;=99),9,"")</f>
        <v/>
      </c>
      <c r="B1723" s="20" t="str">
        <f aca="false">IF(AND(Eingabe!$F$17&gt;0,Eingabe!$E$17&gt;=99),Eingabe!$B$17,"")</f>
        <v/>
      </c>
      <c r="C1723" s="20" t="str">
        <f aca="false">IF(AND(Eingabe!$F$17&gt;0,Eingabe!$E$17&gt;=99),Eingabe!$C$17&amp;"-Paz."&amp;TEXT(99,"000"),"")</f>
        <v/>
      </c>
      <c r="D1723" s="20" t="str">
        <f aca="false">IF(AND(Eingabe!$F$17&gt;0,Eingabe!$E$17&gt;=99),99,"")</f>
        <v/>
      </c>
      <c r="E1723" s="20" t="str">
        <f aca="false">IF(AND(Eingabe!$F$17&gt;0,Eingabe!$E$17&gt;=99),IF((Eingabe!$G$17)&lt;=9,1000+(Eingabe!$G$17)*100,3000)+99,"")</f>
        <v/>
      </c>
      <c r="F1723" s="20" t="str">
        <f aca="false">IF(AND(Eingabe!$F$17&gt;0,Eingabe!$E$17&gt;=99),"10."&amp;Eingabe!$D$17&amp;".99.0/24","")</f>
        <v/>
      </c>
      <c r="G1723" s="20" t="str">
        <f aca="false">IF(AND(Eingabe!$F$17&gt;0,Eingabe!$E$17&gt;=99),"10."&amp;Eingabe!$D$17&amp;".99.1","")</f>
        <v/>
      </c>
      <c r="H1723" s="20" t="str">
        <f aca="false">IF(AND(Eingabe!$F$17&gt;0,Eingabe!$E$17&gt;=99),"10."&amp;Eingabe!$D$17&amp;".99.10 – 10."&amp;Eingabe!$D$17&amp;".99.250","")</f>
        <v/>
      </c>
      <c r="I1723" s="20" t="str">
        <f aca="false">IF(AND(Eingabe!$F$17&gt;0,Eingabe!$E$17&gt;=99),Eingabe!$B$6&amp;"-"&amp;Eingabe!$C$17&amp;"-Pächter","")</f>
        <v/>
      </c>
      <c r="J1723" s="20" t="str">
        <f aca="false">IF(AND(Eingabe!$F$17&gt;0,Eingabe!$E$17&gt;=99),"PPSK: Passwort Parzelle 99","")</f>
        <v/>
      </c>
      <c r="K1723" s="20" t="str">
        <f aca="false">IF(AND(Eingabe!$F$17&gt;0,Eingabe!$E$17&gt;=99),"1. Gerät: 10."&amp;Eingabe!$D$17&amp;".99.10, 2. Gerät: .11","")</f>
        <v/>
      </c>
    </row>
    <row r="1724" customFormat="false" ht="15" hidden="false" customHeight="false" outlineLevel="0" collapsed="false">
      <c r="A1724" s="20" t="str">
        <f aca="false">IF(AND(Eingabe!$F$17&gt;0,Eingabe!$E$17&gt;=100),9,"")</f>
        <v/>
      </c>
      <c r="B1724" s="20" t="str">
        <f aca="false">IF(AND(Eingabe!$F$17&gt;0,Eingabe!$E$17&gt;=100),Eingabe!$B$17,"")</f>
        <v/>
      </c>
      <c r="C1724" s="20" t="str">
        <f aca="false">IF(AND(Eingabe!$F$17&gt;0,Eingabe!$E$17&gt;=100),Eingabe!$C$17&amp;"-Paz."&amp;TEXT(100,"000"),"")</f>
        <v/>
      </c>
      <c r="D1724" s="20" t="str">
        <f aca="false">IF(AND(Eingabe!$F$17&gt;0,Eingabe!$E$17&gt;=100),100,"")</f>
        <v/>
      </c>
      <c r="E1724" s="20" t="str">
        <f aca="false">IF(AND(Eingabe!$F$17&gt;0,Eingabe!$E$17&gt;=100),IF((Eingabe!$G$17+1)&lt;=9,1000+(Eingabe!$G$17+1)*100,3000)+0,"")</f>
        <v/>
      </c>
      <c r="F1724" s="20" t="str">
        <f aca="false">IF(AND(Eingabe!$F$17&gt;0,Eingabe!$E$17&gt;=100),"10."&amp;Eingabe!$D$17&amp;".100.0/24","")</f>
        <v/>
      </c>
      <c r="G1724" s="20" t="str">
        <f aca="false">IF(AND(Eingabe!$F$17&gt;0,Eingabe!$E$17&gt;=100),"10."&amp;Eingabe!$D$17&amp;".100.1","")</f>
        <v/>
      </c>
      <c r="H1724" s="20" t="str">
        <f aca="false">IF(AND(Eingabe!$F$17&gt;0,Eingabe!$E$17&gt;=100),"10."&amp;Eingabe!$D$17&amp;".100.10 – 10."&amp;Eingabe!$D$17&amp;".100.250","")</f>
        <v/>
      </c>
      <c r="I1724" s="20" t="str">
        <f aca="false">IF(AND(Eingabe!$F$17&gt;0,Eingabe!$E$17&gt;=100),Eingabe!$B$6&amp;"-"&amp;Eingabe!$C$17&amp;"-Pächter","")</f>
        <v/>
      </c>
      <c r="J1724" s="20" t="str">
        <f aca="false">IF(AND(Eingabe!$F$17&gt;0,Eingabe!$E$17&gt;=100),"PPSK: Passwort Parzelle 100","")</f>
        <v/>
      </c>
      <c r="K1724" s="20" t="str">
        <f aca="false">IF(AND(Eingabe!$F$17&gt;0,Eingabe!$E$17&gt;=100),"1. Gerät: 10."&amp;Eingabe!$D$17&amp;".100.10, 2. Gerät: .11","")</f>
        <v/>
      </c>
    </row>
    <row r="1725" customFormat="false" ht="15" hidden="false" customHeight="false" outlineLevel="0" collapsed="false">
      <c r="A1725" s="20" t="str">
        <f aca="false">IF(AND(Eingabe!$F$17&gt;0,Eingabe!$E$17&gt;=101),9,"")</f>
        <v/>
      </c>
      <c r="B1725" s="20" t="str">
        <f aca="false">IF(AND(Eingabe!$F$17&gt;0,Eingabe!$E$17&gt;=101),Eingabe!$B$17,"")</f>
        <v/>
      </c>
      <c r="C1725" s="20" t="str">
        <f aca="false">IF(AND(Eingabe!$F$17&gt;0,Eingabe!$E$17&gt;=101),Eingabe!$C$17&amp;"-Paz."&amp;TEXT(101,"000"),"")</f>
        <v/>
      </c>
      <c r="D1725" s="20" t="str">
        <f aca="false">IF(AND(Eingabe!$F$17&gt;0,Eingabe!$E$17&gt;=101),101,"")</f>
        <v/>
      </c>
      <c r="E1725" s="20" t="str">
        <f aca="false">IF(AND(Eingabe!$F$17&gt;0,Eingabe!$E$17&gt;=101),IF((Eingabe!$G$17+1)&lt;=9,1000+(Eingabe!$G$17+1)*100,3000)+1,"")</f>
        <v/>
      </c>
      <c r="F1725" s="20" t="str">
        <f aca="false">IF(AND(Eingabe!$F$17&gt;0,Eingabe!$E$17&gt;=101),"10."&amp;Eingabe!$D$17&amp;".101.0/24","")</f>
        <v/>
      </c>
      <c r="G1725" s="20" t="str">
        <f aca="false">IF(AND(Eingabe!$F$17&gt;0,Eingabe!$E$17&gt;=101),"10."&amp;Eingabe!$D$17&amp;".101.1","")</f>
        <v/>
      </c>
      <c r="H1725" s="20" t="str">
        <f aca="false">IF(AND(Eingabe!$F$17&gt;0,Eingabe!$E$17&gt;=101),"10."&amp;Eingabe!$D$17&amp;".101.10 – 10."&amp;Eingabe!$D$17&amp;".101.250","")</f>
        <v/>
      </c>
      <c r="I1725" s="20" t="str">
        <f aca="false">IF(AND(Eingabe!$F$17&gt;0,Eingabe!$E$17&gt;=101),Eingabe!$B$6&amp;"-"&amp;Eingabe!$C$17&amp;"-Pächter","")</f>
        <v/>
      </c>
      <c r="J1725" s="20" t="str">
        <f aca="false">IF(AND(Eingabe!$F$17&gt;0,Eingabe!$E$17&gt;=101),"PPSK: Passwort Parzelle 101","")</f>
        <v/>
      </c>
      <c r="K1725" s="20" t="str">
        <f aca="false">IF(AND(Eingabe!$F$17&gt;0,Eingabe!$E$17&gt;=101),"1. Gerät: 10."&amp;Eingabe!$D$17&amp;".101.10, 2. Gerät: .11","")</f>
        <v/>
      </c>
    </row>
    <row r="1726" customFormat="false" ht="15" hidden="false" customHeight="false" outlineLevel="0" collapsed="false">
      <c r="A1726" s="20" t="str">
        <f aca="false">IF(AND(Eingabe!$F$17&gt;0,Eingabe!$E$17&gt;=102),9,"")</f>
        <v/>
      </c>
      <c r="B1726" s="20" t="str">
        <f aca="false">IF(AND(Eingabe!$F$17&gt;0,Eingabe!$E$17&gt;=102),Eingabe!$B$17,"")</f>
        <v/>
      </c>
      <c r="C1726" s="20" t="str">
        <f aca="false">IF(AND(Eingabe!$F$17&gt;0,Eingabe!$E$17&gt;=102),Eingabe!$C$17&amp;"-Paz."&amp;TEXT(102,"000"),"")</f>
        <v/>
      </c>
      <c r="D1726" s="20" t="str">
        <f aca="false">IF(AND(Eingabe!$F$17&gt;0,Eingabe!$E$17&gt;=102),102,"")</f>
        <v/>
      </c>
      <c r="E1726" s="20" t="str">
        <f aca="false">IF(AND(Eingabe!$F$17&gt;0,Eingabe!$E$17&gt;=102),IF((Eingabe!$G$17+1)&lt;=9,1000+(Eingabe!$G$17+1)*100,3000)+2,"")</f>
        <v/>
      </c>
      <c r="F1726" s="20" t="str">
        <f aca="false">IF(AND(Eingabe!$F$17&gt;0,Eingabe!$E$17&gt;=102),"10."&amp;Eingabe!$D$17&amp;".102.0/24","")</f>
        <v/>
      </c>
      <c r="G1726" s="20" t="str">
        <f aca="false">IF(AND(Eingabe!$F$17&gt;0,Eingabe!$E$17&gt;=102),"10."&amp;Eingabe!$D$17&amp;".102.1","")</f>
        <v/>
      </c>
      <c r="H1726" s="20" t="str">
        <f aca="false">IF(AND(Eingabe!$F$17&gt;0,Eingabe!$E$17&gt;=102),"10."&amp;Eingabe!$D$17&amp;".102.10 – 10."&amp;Eingabe!$D$17&amp;".102.250","")</f>
        <v/>
      </c>
      <c r="I1726" s="20" t="str">
        <f aca="false">IF(AND(Eingabe!$F$17&gt;0,Eingabe!$E$17&gt;=102),Eingabe!$B$6&amp;"-"&amp;Eingabe!$C$17&amp;"-Pächter","")</f>
        <v/>
      </c>
      <c r="J1726" s="20" t="str">
        <f aca="false">IF(AND(Eingabe!$F$17&gt;0,Eingabe!$E$17&gt;=102),"PPSK: Passwort Parzelle 102","")</f>
        <v/>
      </c>
      <c r="K1726" s="20" t="str">
        <f aca="false">IF(AND(Eingabe!$F$17&gt;0,Eingabe!$E$17&gt;=102),"1. Gerät: 10."&amp;Eingabe!$D$17&amp;".102.10, 2. Gerät: .11","")</f>
        <v/>
      </c>
    </row>
    <row r="1727" customFormat="false" ht="15" hidden="false" customHeight="false" outlineLevel="0" collapsed="false">
      <c r="A1727" s="20" t="str">
        <f aca="false">IF(AND(Eingabe!$F$17&gt;0,Eingabe!$E$17&gt;=103),9,"")</f>
        <v/>
      </c>
      <c r="B1727" s="20" t="str">
        <f aca="false">IF(AND(Eingabe!$F$17&gt;0,Eingabe!$E$17&gt;=103),Eingabe!$B$17,"")</f>
        <v/>
      </c>
      <c r="C1727" s="20" t="str">
        <f aca="false">IF(AND(Eingabe!$F$17&gt;0,Eingabe!$E$17&gt;=103),Eingabe!$C$17&amp;"-Paz."&amp;TEXT(103,"000"),"")</f>
        <v/>
      </c>
      <c r="D1727" s="20" t="str">
        <f aca="false">IF(AND(Eingabe!$F$17&gt;0,Eingabe!$E$17&gt;=103),103,"")</f>
        <v/>
      </c>
      <c r="E1727" s="20" t="str">
        <f aca="false">IF(AND(Eingabe!$F$17&gt;0,Eingabe!$E$17&gt;=103),IF((Eingabe!$G$17+1)&lt;=9,1000+(Eingabe!$G$17+1)*100,3000)+3,"")</f>
        <v/>
      </c>
      <c r="F1727" s="20" t="str">
        <f aca="false">IF(AND(Eingabe!$F$17&gt;0,Eingabe!$E$17&gt;=103),"10."&amp;Eingabe!$D$17&amp;".103.0/24","")</f>
        <v/>
      </c>
      <c r="G1727" s="20" t="str">
        <f aca="false">IF(AND(Eingabe!$F$17&gt;0,Eingabe!$E$17&gt;=103),"10."&amp;Eingabe!$D$17&amp;".103.1","")</f>
        <v/>
      </c>
      <c r="H1727" s="20" t="str">
        <f aca="false">IF(AND(Eingabe!$F$17&gt;0,Eingabe!$E$17&gt;=103),"10."&amp;Eingabe!$D$17&amp;".103.10 – 10."&amp;Eingabe!$D$17&amp;".103.250","")</f>
        <v/>
      </c>
      <c r="I1727" s="20" t="str">
        <f aca="false">IF(AND(Eingabe!$F$17&gt;0,Eingabe!$E$17&gt;=103),Eingabe!$B$6&amp;"-"&amp;Eingabe!$C$17&amp;"-Pächter","")</f>
        <v/>
      </c>
      <c r="J1727" s="20" t="str">
        <f aca="false">IF(AND(Eingabe!$F$17&gt;0,Eingabe!$E$17&gt;=103),"PPSK: Passwort Parzelle 103","")</f>
        <v/>
      </c>
      <c r="K1727" s="20" t="str">
        <f aca="false">IF(AND(Eingabe!$F$17&gt;0,Eingabe!$E$17&gt;=103),"1. Gerät: 10."&amp;Eingabe!$D$17&amp;".103.10, 2. Gerät: .11","")</f>
        <v/>
      </c>
    </row>
    <row r="1728" customFormat="false" ht="15" hidden="false" customHeight="false" outlineLevel="0" collapsed="false">
      <c r="A1728" s="20" t="str">
        <f aca="false">IF(AND(Eingabe!$F$17&gt;0,Eingabe!$E$17&gt;=104),9,"")</f>
        <v/>
      </c>
      <c r="B1728" s="20" t="str">
        <f aca="false">IF(AND(Eingabe!$F$17&gt;0,Eingabe!$E$17&gt;=104),Eingabe!$B$17,"")</f>
        <v/>
      </c>
      <c r="C1728" s="20" t="str">
        <f aca="false">IF(AND(Eingabe!$F$17&gt;0,Eingabe!$E$17&gt;=104),Eingabe!$C$17&amp;"-Paz."&amp;TEXT(104,"000"),"")</f>
        <v/>
      </c>
      <c r="D1728" s="20" t="str">
        <f aca="false">IF(AND(Eingabe!$F$17&gt;0,Eingabe!$E$17&gt;=104),104,"")</f>
        <v/>
      </c>
      <c r="E1728" s="20" t="str">
        <f aca="false">IF(AND(Eingabe!$F$17&gt;0,Eingabe!$E$17&gt;=104),IF((Eingabe!$G$17+1)&lt;=9,1000+(Eingabe!$G$17+1)*100,3000)+4,"")</f>
        <v/>
      </c>
      <c r="F1728" s="20" t="str">
        <f aca="false">IF(AND(Eingabe!$F$17&gt;0,Eingabe!$E$17&gt;=104),"10."&amp;Eingabe!$D$17&amp;".104.0/24","")</f>
        <v/>
      </c>
      <c r="G1728" s="20" t="str">
        <f aca="false">IF(AND(Eingabe!$F$17&gt;0,Eingabe!$E$17&gt;=104),"10."&amp;Eingabe!$D$17&amp;".104.1","")</f>
        <v/>
      </c>
      <c r="H1728" s="20" t="str">
        <f aca="false">IF(AND(Eingabe!$F$17&gt;0,Eingabe!$E$17&gt;=104),"10."&amp;Eingabe!$D$17&amp;".104.10 – 10."&amp;Eingabe!$D$17&amp;".104.250","")</f>
        <v/>
      </c>
      <c r="I1728" s="20" t="str">
        <f aca="false">IF(AND(Eingabe!$F$17&gt;0,Eingabe!$E$17&gt;=104),Eingabe!$B$6&amp;"-"&amp;Eingabe!$C$17&amp;"-Pächter","")</f>
        <v/>
      </c>
      <c r="J1728" s="20" t="str">
        <f aca="false">IF(AND(Eingabe!$F$17&gt;0,Eingabe!$E$17&gt;=104),"PPSK: Passwort Parzelle 104","")</f>
        <v/>
      </c>
      <c r="K1728" s="20" t="str">
        <f aca="false">IF(AND(Eingabe!$F$17&gt;0,Eingabe!$E$17&gt;=104),"1. Gerät: 10."&amp;Eingabe!$D$17&amp;".104.10, 2. Gerät: .11","")</f>
        <v/>
      </c>
    </row>
    <row r="1729" customFormat="false" ht="15" hidden="false" customHeight="false" outlineLevel="0" collapsed="false">
      <c r="A1729" s="20" t="str">
        <f aca="false">IF(AND(Eingabe!$F$17&gt;0,Eingabe!$E$17&gt;=105),9,"")</f>
        <v/>
      </c>
      <c r="B1729" s="20" t="str">
        <f aca="false">IF(AND(Eingabe!$F$17&gt;0,Eingabe!$E$17&gt;=105),Eingabe!$B$17,"")</f>
        <v/>
      </c>
      <c r="C1729" s="20" t="str">
        <f aca="false">IF(AND(Eingabe!$F$17&gt;0,Eingabe!$E$17&gt;=105),Eingabe!$C$17&amp;"-Paz."&amp;TEXT(105,"000"),"")</f>
        <v/>
      </c>
      <c r="D1729" s="20" t="str">
        <f aca="false">IF(AND(Eingabe!$F$17&gt;0,Eingabe!$E$17&gt;=105),105,"")</f>
        <v/>
      </c>
      <c r="E1729" s="20" t="str">
        <f aca="false">IF(AND(Eingabe!$F$17&gt;0,Eingabe!$E$17&gt;=105),IF((Eingabe!$G$17+1)&lt;=9,1000+(Eingabe!$G$17+1)*100,3000)+5,"")</f>
        <v/>
      </c>
      <c r="F1729" s="20" t="str">
        <f aca="false">IF(AND(Eingabe!$F$17&gt;0,Eingabe!$E$17&gt;=105),"10."&amp;Eingabe!$D$17&amp;".105.0/24","")</f>
        <v/>
      </c>
      <c r="G1729" s="20" t="str">
        <f aca="false">IF(AND(Eingabe!$F$17&gt;0,Eingabe!$E$17&gt;=105),"10."&amp;Eingabe!$D$17&amp;".105.1","")</f>
        <v/>
      </c>
      <c r="H1729" s="20" t="str">
        <f aca="false">IF(AND(Eingabe!$F$17&gt;0,Eingabe!$E$17&gt;=105),"10."&amp;Eingabe!$D$17&amp;".105.10 – 10."&amp;Eingabe!$D$17&amp;".105.250","")</f>
        <v/>
      </c>
      <c r="I1729" s="20" t="str">
        <f aca="false">IF(AND(Eingabe!$F$17&gt;0,Eingabe!$E$17&gt;=105),Eingabe!$B$6&amp;"-"&amp;Eingabe!$C$17&amp;"-Pächter","")</f>
        <v/>
      </c>
      <c r="J1729" s="20" t="str">
        <f aca="false">IF(AND(Eingabe!$F$17&gt;0,Eingabe!$E$17&gt;=105),"PPSK: Passwort Parzelle 105","")</f>
        <v/>
      </c>
      <c r="K1729" s="20" t="str">
        <f aca="false">IF(AND(Eingabe!$F$17&gt;0,Eingabe!$E$17&gt;=105),"1. Gerät: 10."&amp;Eingabe!$D$17&amp;".105.10, 2. Gerät: .11","")</f>
        <v/>
      </c>
    </row>
    <row r="1730" customFormat="false" ht="15" hidden="false" customHeight="false" outlineLevel="0" collapsed="false">
      <c r="A1730" s="20" t="str">
        <f aca="false">IF(AND(Eingabe!$F$17&gt;0,Eingabe!$E$17&gt;=106),9,"")</f>
        <v/>
      </c>
      <c r="B1730" s="20" t="str">
        <f aca="false">IF(AND(Eingabe!$F$17&gt;0,Eingabe!$E$17&gt;=106),Eingabe!$B$17,"")</f>
        <v/>
      </c>
      <c r="C1730" s="20" t="str">
        <f aca="false">IF(AND(Eingabe!$F$17&gt;0,Eingabe!$E$17&gt;=106),Eingabe!$C$17&amp;"-Paz."&amp;TEXT(106,"000"),"")</f>
        <v/>
      </c>
      <c r="D1730" s="20" t="str">
        <f aca="false">IF(AND(Eingabe!$F$17&gt;0,Eingabe!$E$17&gt;=106),106,"")</f>
        <v/>
      </c>
      <c r="E1730" s="20" t="str">
        <f aca="false">IF(AND(Eingabe!$F$17&gt;0,Eingabe!$E$17&gt;=106),IF((Eingabe!$G$17+1)&lt;=9,1000+(Eingabe!$G$17+1)*100,3000)+6,"")</f>
        <v/>
      </c>
      <c r="F1730" s="20" t="str">
        <f aca="false">IF(AND(Eingabe!$F$17&gt;0,Eingabe!$E$17&gt;=106),"10."&amp;Eingabe!$D$17&amp;".106.0/24","")</f>
        <v/>
      </c>
      <c r="G1730" s="20" t="str">
        <f aca="false">IF(AND(Eingabe!$F$17&gt;0,Eingabe!$E$17&gt;=106),"10."&amp;Eingabe!$D$17&amp;".106.1","")</f>
        <v/>
      </c>
      <c r="H1730" s="20" t="str">
        <f aca="false">IF(AND(Eingabe!$F$17&gt;0,Eingabe!$E$17&gt;=106),"10."&amp;Eingabe!$D$17&amp;".106.10 – 10."&amp;Eingabe!$D$17&amp;".106.250","")</f>
        <v/>
      </c>
      <c r="I1730" s="20" t="str">
        <f aca="false">IF(AND(Eingabe!$F$17&gt;0,Eingabe!$E$17&gt;=106),Eingabe!$B$6&amp;"-"&amp;Eingabe!$C$17&amp;"-Pächter","")</f>
        <v/>
      </c>
      <c r="J1730" s="20" t="str">
        <f aca="false">IF(AND(Eingabe!$F$17&gt;0,Eingabe!$E$17&gt;=106),"PPSK: Passwort Parzelle 106","")</f>
        <v/>
      </c>
      <c r="K1730" s="20" t="str">
        <f aca="false">IF(AND(Eingabe!$F$17&gt;0,Eingabe!$E$17&gt;=106),"1. Gerät: 10."&amp;Eingabe!$D$17&amp;".106.10, 2. Gerät: .11","")</f>
        <v/>
      </c>
    </row>
    <row r="1731" customFormat="false" ht="15" hidden="false" customHeight="false" outlineLevel="0" collapsed="false">
      <c r="A1731" s="20" t="str">
        <f aca="false">IF(AND(Eingabe!$F$17&gt;0,Eingabe!$E$17&gt;=107),9,"")</f>
        <v/>
      </c>
      <c r="B1731" s="20" t="str">
        <f aca="false">IF(AND(Eingabe!$F$17&gt;0,Eingabe!$E$17&gt;=107),Eingabe!$B$17,"")</f>
        <v/>
      </c>
      <c r="C1731" s="20" t="str">
        <f aca="false">IF(AND(Eingabe!$F$17&gt;0,Eingabe!$E$17&gt;=107),Eingabe!$C$17&amp;"-Paz."&amp;TEXT(107,"000"),"")</f>
        <v/>
      </c>
      <c r="D1731" s="20" t="str">
        <f aca="false">IF(AND(Eingabe!$F$17&gt;0,Eingabe!$E$17&gt;=107),107,"")</f>
        <v/>
      </c>
      <c r="E1731" s="20" t="str">
        <f aca="false">IF(AND(Eingabe!$F$17&gt;0,Eingabe!$E$17&gt;=107),IF((Eingabe!$G$17+1)&lt;=9,1000+(Eingabe!$G$17+1)*100,3000)+7,"")</f>
        <v/>
      </c>
      <c r="F1731" s="20" t="str">
        <f aca="false">IF(AND(Eingabe!$F$17&gt;0,Eingabe!$E$17&gt;=107),"10."&amp;Eingabe!$D$17&amp;".107.0/24","")</f>
        <v/>
      </c>
      <c r="G1731" s="20" t="str">
        <f aca="false">IF(AND(Eingabe!$F$17&gt;0,Eingabe!$E$17&gt;=107),"10."&amp;Eingabe!$D$17&amp;".107.1","")</f>
        <v/>
      </c>
      <c r="H1731" s="20" t="str">
        <f aca="false">IF(AND(Eingabe!$F$17&gt;0,Eingabe!$E$17&gt;=107),"10."&amp;Eingabe!$D$17&amp;".107.10 – 10."&amp;Eingabe!$D$17&amp;".107.250","")</f>
        <v/>
      </c>
      <c r="I1731" s="20" t="str">
        <f aca="false">IF(AND(Eingabe!$F$17&gt;0,Eingabe!$E$17&gt;=107),Eingabe!$B$6&amp;"-"&amp;Eingabe!$C$17&amp;"-Pächter","")</f>
        <v/>
      </c>
      <c r="J1731" s="20" t="str">
        <f aca="false">IF(AND(Eingabe!$F$17&gt;0,Eingabe!$E$17&gt;=107),"PPSK: Passwort Parzelle 107","")</f>
        <v/>
      </c>
      <c r="K1731" s="20" t="str">
        <f aca="false">IF(AND(Eingabe!$F$17&gt;0,Eingabe!$E$17&gt;=107),"1. Gerät: 10."&amp;Eingabe!$D$17&amp;".107.10, 2. Gerät: .11","")</f>
        <v/>
      </c>
    </row>
    <row r="1732" customFormat="false" ht="15" hidden="false" customHeight="false" outlineLevel="0" collapsed="false">
      <c r="A1732" s="20" t="str">
        <f aca="false">IF(AND(Eingabe!$F$17&gt;0,Eingabe!$E$17&gt;=108),9,"")</f>
        <v/>
      </c>
      <c r="B1732" s="20" t="str">
        <f aca="false">IF(AND(Eingabe!$F$17&gt;0,Eingabe!$E$17&gt;=108),Eingabe!$B$17,"")</f>
        <v/>
      </c>
      <c r="C1732" s="20" t="str">
        <f aca="false">IF(AND(Eingabe!$F$17&gt;0,Eingabe!$E$17&gt;=108),Eingabe!$C$17&amp;"-Paz."&amp;TEXT(108,"000"),"")</f>
        <v/>
      </c>
      <c r="D1732" s="20" t="str">
        <f aca="false">IF(AND(Eingabe!$F$17&gt;0,Eingabe!$E$17&gt;=108),108,"")</f>
        <v/>
      </c>
      <c r="E1732" s="20" t="str">
        <f aca="false">IF(AND(Eingabe!$F$17&gt;0,Eingabe!$E$17&gt;=108),IF((Eingabe!$G$17+1)&lt;=9,1000+(Eingabe!$G$17+1)*100,3000)+8,"")</f>
        <v/>
      </c>
      <c r="F1732" s="20" t="str">
        <f aca="false">IF(AND(Eingabe!$F$17&gt;0,Eingabe!$E$17&gt;=108),"10."&amp;Eingabe!$D$17&amp;".108.0/24","")</f>
        <v/>
      </c>
      <c r="G1732" s="20" t="str">
        <f aca="false">IF(AND(Eingabe!$F$17&gt;0,Eingabe!$E$17&gt;=108),"10."&amp;Eingabe!$D$17&amp;".108.1","")</f>
        <v/>
      </c>
      <c r="H1732" s="20" t="str">
        <f aca="false">IF(AND(Eingabe!$F$17&gt;0,Eingabe!$E$17&gt;=108),"10."&amp;Eingabe!$D$17&amp;".108.10 – 10."&amp;Eingabe!$D$17&amp;".108.250","")</f>
        <v/>
      </c>
      <c r="I1732" s="20" t="str">
        <f aca="false">IF(AND(Eingabe!$F$17&gt;0,Eingabe!$E$17&gt;=108),Eingabe!$B$6&amp;"-"&amp;Eingabe!$C$17&amp;"-Pächter","")</f>
        <v/>
      </c>
      <c r="J1732" s="20" t="str">
        <f aca="false">IF(AND(Eingabe!$F$17&gt;0,Eingabe!$E$17&gt;=108),"PPSK: Passwort Parzelle 108","")</f>
        <v/>
      </c>
      <c r="K1732" s="20" t="str">
        <f aca="false">IF(AND(Eingabe!$F$17&gt;0,Eingabe!$E$17&gt;=108),"1. Gerät: 10."&amp;Eingabe!$D$17&amp;".108.10, 2. Gerät: .11","")</f>
        <v/>
      </c>
    </row>
    <row r="1733" customFormat="false" ht="15" hidden="false" customHeight="false" outlineLevel="0" collapsed="false">
      <c r="A1733" s="20" t="str">
        <f aca="false">IF(AND(Eingabe!$F$17&gt;0,Eingabe!$E$17&gt;=109),9,"")</f>
        <v/>
      </c>
      <c r="B1733" s="20" t="str">
        <f aca="false">IF(AND(Eingabe!$F$17&gt;0,Eingabe!$E$17&gt;=109),Eingabe!$B$17,"")</f>
        <v/>
      </c>
      <c r="C1733" s="20" t="str">
        <f aca="false">IF(AND(Eingabe!$F$17&gt;0,Eingabe!$E$17&gt;=109),Eingabe!$C$17&amp;"-Paz."&amp;TEXT(109,"000"),"")</f>
        <v/>
      </c>
      <c r="D1733" s="20" t="str">
        <f aca="false">IF(AND(Eingabe!$F$17&gt;0,Eingabe!$E$17&gt;=109),109,"")</f>
        <v/>
      </c>
      <c r="E1733" s="20" t="str">
        <f aca="false">IF(AND(Eingabe!$F$17&gt;0,Eingabe!$E$17&gt;=109),IF((Eingabe!$G$17+1)&lt;=9,1000+(Eingabe!$G$17+1)*100,3000)+9,"")</f>
        <v/>
      </c>
      <c r="F1733" s="20" t="str">
        <f aca="false">IF(AND(Eingabe!$F$17&gt;0,Eingabe!$E$17&gt;=109),"10."&amp;Eingabe!$D$17&amp;".109.0/24","")</f>
        <v/>
      </c>
      <c r="G1733" s="20" t="str">
        <f aca="false">IF(AND(Eingabe!$F$17&gt;0,Eingabe!$E$17&gt;=109),"10."&amp;Eingabe!$D$17&amp;".109.1","")</f>
        <v/>
      </c>
      <c r="H1733" s="20" t="str">
        <f aca="false">IF(AND(Eingabe!$F$17&gt;0,Eingabe!$E$17&gt;=109),"10."&amp;Eingabe!$D$17&amp;".109.10 – 10."&amp;Eingabe!$D$17&amp;".109.250","")</f>
        <v/>
      </c>
      <c r="I1733" s="20" t="str">
        <f aca="false">IF(AND(Eingabe!$F$17&gt;0,Eingabe!$E$17&gt;=109),Eingabe!$B$6&amp;"-"&amp;Eingabe!$C$17&amp;"-Pächter","")</f>
        <v/>
      </c>
      <c r="J1733" s="20" t="str">
        <f aca="false">IF(AND(Eingabe!$F$17&gt;0,Eingabe!$E$17&gt;=109),"PPSK: Passwort Parzelle 109","")</f>
        <v/>
      </c>
      <c r="K1733" s="20" t="str">
        <f aca="false">IF(AND(Eingabe!$F$17&gt;0,Eingabe!$E$17&gt;=109),"1. Gerät: 10."&amp;Eingabe!$D$17&amp;".109.10, 2. Gerät: .11","")</f>
        <v/>
      </c>
    </row>
    <row r="1734" customFormat="false" ht="15" hidden="false" customHeight="false" outlineLevel="0" collapsed="false">
      <c r="A1734" s="20" t="str">
        <f aca="false">IF(AND(Eingabe!$F$17&gt;0,Eingabe!$E$17&gt;=110),9,"")</f>
        <v/>
      </c>
      <c r="B1734" s="20" t="str">
        <f aca="false">IF(AND(Eingabe!$F$17&gt;0,Eingabe!$E$17&gt;=110),Eingabe!$B$17,"")</f>
        <v/>
      </c>
      <c r="C1734" s="20" t="str">
        <f aca="false">IF(AND(Eingabe!$F$17&gt;0,Eingabe!$E$17&gt;=110),Eingabe!$C$17&amp;"-Paz."&amp;TEXT(110,"000"),"")</f>
        <v/>
      </c>
      <c r="D1734" s="20" t="str">
        <f aca="false">IF(AND(Eingabe!$F$17&gt;0,Eingabe!$E$17&gt;=110),110,"")</f>
        <v/>
      </c>
      <c r="E1734" s="20" t="str">
        <f aca="false">IF(AND(Eingabe!$F$17&gt;0,Eingabe!$E$17&gt;=110),IF((Eingabe!$G$17+1)&lt;=9,1000+(Eingabe!$G$17+1)*100,3000)+10,"")</f>
        <v/>
      </c>
      <c r="F1734" s="20" t="str">
        <f aca="false">IF(AND(Eingabe!$F$17&gt;0,Eingabe!$E$17&gt;=110),"10."&amp;Eingabe!$D$17&amp;".110.0/24","")</f>
        <v/>
      </c>
      <c r="G1734" s="20" t="str">
        <f aca="false">IF(AND(Eingabe!$F$17&gt;0,Eingabe!$E$17&gt;=110),"10."&amp;Eingabe!$D$17&amp;".110.1","")</f>
        <v/>
      </c>
      <c r="H1734" s="20" t="str">
        <f aca="false">IF(AND(Eingabe!$F$17&gt;0,Eingabe!$E$17&gt;=110),"10."&amp;Eingabe!$D$17&amp;".110.10 – 10."&amp;Eingabe!$D$17&amp;".110.250","")</f>
        <v/>
      </c>
      <c r="I1734" s="20" t="str">
        <f aca="false">IF(AND(Eingabe!$F$17&gt;0,Eingabe!$E$17&gt;=110),Eingabe!$B$6&amp;"-"&amp;Eingabe!$C$17&amp;"-Pächter","")</f>
        <v/>
      </c>
      <c r="J1734" s="20" t="str">
        <f aca="false">IF(AND(Eingabe!$F$17&gt;0,Eingabe!$E$17&gt;=110),"PPSK: Passwort Parzelle 110","")</f>
        <v/>
      </c>
      <c r="K1734" s="20" t="str">
        <f aca="false">IF(AND(Eingabe!$F$17&gt;0,Eingabe!$E$17&gt;=110),"1. Gerät: 10."&amp;Eingabe!$D$17&amp;".110.10, 2. Gerät: .11","")</f>
        <v/>
      </c>
    </row>
    <row r="1735" customFormat="false" ht="15" hidden="false" customHeight="false" outlineLevel="0" collapsed="false">
      <c r="A1735" s="20" t="str">
        <f aca="false">IF(AND(Eingabe!$F$17&gt;0,Eingabe!$E$17&gt;=111),9,"")</f>
        <v/>
      </c>
      <c r="B1735" s="20" t="str">
        <f aca="false">IF(AND(Eingabe!$F$17&gt;0,Eingabe!$E$17&gt;=111),Eingabe!$B$17,"")</f>
        <v/>
      </c>
      <c r="C1735" s="20" t="str">
        <f aca="false">IF(AND(Eingabe!$F$17&gt;0,Eingabe!$E$17&gt;=111),Eingabe!$C$17&amp;"-Paz."&amp;TEXT(111,"000"),"")</f>
        <v/>
      </c>
      <c r="D1735" s="20" t="str">
        <f aca="false">IF(AND(Eingabe!$F$17&gt;0,Eingabe!$E$17&gt;=111),111,"")</f>
        <v/>
      </c>
      <c r="E1735" s="20" t="str">
        <f aca="false">IF(AND(Eingabe!$F$17&gt;0,Eingabe!$E$17&gt;=111),IF((Eingabe!$G$17+1)&lt;=9,1000+(Eingabe!$G$17+1)*100,3000)+11,"")</f>
        <v/>
      </c>
      <c r="F1735" s="20" t="str">
        <f aca="false">IF(AND(Eingabe!$F$17&gt;0,Eingabe!$E$17&gt;=111),"10."&amp;Eingabe!$D$17&amp;".111.0/24","")</f>
        <v/>
      </c>
      <c r="G1735" s="20" t="str">
        <f aca="false">IF(AND(Eingabe!$F$17&gt;0,Eingabe!$E$17&gt;=111),"10."&amp;Eingabe!$D$17&amp;".111.1","")</f>
        <v/>
      </c>
      <c r="H1735" s="20" t="str">
        <f aca="false">IF(AND(Eingabe!$F$17&gt;0,Eingabe!$E$17&gt;=111),"10."&amp;Eingabe!$D$17&amp;".111.10 – 10."&amp;Eingabe!$D$17&amp;".111.250","")</f>
        <v/>
      </c>
      <c r="I1735" s="20" t="str">
        <f aca="false">IF(AND(Eingabe!$F$17&gt;0,Eingabe!$E$17&gt;=111),Eingabe!$B$6&amp;"-"&amp;Eingabe!$C$17&amp;"-Pächter","")</f>
        <v/>
      </c>
      <c r="J1735" s="20" t="str">
        <f aca="false">IF(AND(Eingabe!$F$17&gt;0,Eingabe!$E$17&gt;=111),"PPSK: Passwort Parzelle 111","")</f>
        <v/>
      </c>
      <c r="K1735" s="20" t="str">
        <f aca="false">IF(AND(Eingabe!$F$17&gt;0,Eingabe!$E$17&gt;=111),"1. Gerät: 10."&amp;Eingabe!$D$17&amp;".111.10, 2. Gerät: .11","")</f>
        <v/>
      </c>
    </row>
    <row r="1736" customFormat="false" ht="15" hidden="false" customHeight="false" outlineLevel="0" collapsed="false">
      <c r="A1736" s="20" t="str">
        <f aca="false">IF(AND(Eingabe!$F$17&gt;0,Eingabe!$E$17&gt;=112),9,"")</f>
        <v/>
      </c>
      <c r="B1736" s="20" t="str">
        <f aca="false">IF(AND(Eingabe!$F$17&gt;0,Eingabe!$E$17&gt;=112),Eingabe!$B$17,"")</f>
        <v/>
      </c>
      <c r="C1736" s="20" t="str">
        <f aca="false">IF(AND(Eingabe!$F$17&gt;0,Eingabe!$E$17&gt;=112),Eingabe!$C$17&amp;"-Paz."&amp;TEXT(112,"000"),"")</f>
        <v/>
      </c>
      <c r="D1736" s="20" t="str">
        <f aca="false">IF(AND(Eingabe!$F$17&gt;0,Eingabe!$E$17&gt;=112),112,"")</f>
        <v/>
      </c>
      <c r="E1736" s="20" t="str">
        <f aca="false">IF(AND(Eingabe!$F$17&gt;0,Eingabe!$E$17&gt;=112),IF((Eingabe!$G$17+1)&lt;=9,1000+(Eingabe!$G$17+1)*100,3000)+12,"")</f>
        <v/>
      </c>
      <c r="F1736" s="20" t="str">
        <f aca="false">IF(AND(Eingabe!$F$17&gt;0,Eingabe!$E$17&gt;=112),"10."&amp;Eingabe!$D$17&amp;".112.0/24","")</f>
        <v/>
      </c>
      <c r="G1736" s="20" t="str">
        <f aca="false">IF(AND(Eingabe!$F$17&gt;0,Eingabe!$E$17&gt;=112),"10."&amp;Eingabe!$D$17&amp;".112.1","")</f>
        <v/>
      </c>
      <c r="H1736" s="20" t="str">
        <f aca="false">IF(AND(Eingabe!$F$17&gt;0,Eingabe!$E$17&gt;=112),"10."&amp;Eingabe!$D$17&amp;".112.10 – 10."&amp;Eingabe!$D$17&amp;".112.250","")</f>
        <v/>
      </c>
      <c r="I1736" s="20" t="str">
        <f aca="false">IF(AND(Eingabe!$F$17&gt;0,Eingabe!$E$17&gt;=112),Eingabe!$B$6&amp;"-"&amp;Eingabe!$C$17&amp;"-Pächter","")</f>
        <v/>
      </c>
      <c r="J1736" s="20" t="str">
        <f aca="false">IF(AND(Eingabe!$F$17&gt;0,Eingabe!$E$17&gt;=112),"PPSK: Passwort Parzelle 112","")</f>
        <v/>
      </c>
      <c r="K1736" s="20" t="str">
        <f aca="false">IF(AND(Eingabe!$F$17&gt;0,Eingabe!$E$17&gt;=112),"1. Gerät: 10."&amp;Eingabe!$D$17&amp;".112.10, 2. Gerät: .11","")</f>
        <v/>
      </c>
    </row>
    <row r="1737" customFormat="false" ht="15" hidden="false" customHeight="false" outlineLevel="0" collapsed="false">
      <c r="A1737" s="20" t="str">
        <f aca="false">IF(AND(Eingabe!$F$17&gt;0,Eingabe!$E$17&gt;=113),9,"")</f>
        <v/>
      </c>
      <c r="B1737" s="20" t="str">
        <f aca="false">IF(AND(Eingabe!$F$17&gt;0,Eingabe!$E$17&gt;=113),Eingabe!$B$17,"")</f>
        <v/>
      </c>
      <c r="C1737" s="20" t="str">
        <f aca="false">IF(AND(Eingabe!$F$17&gt;0,Eingabe!$E$17&gt;=113),Eingabe!$C$17&amp;"-Paz."&amp;TEXT(113,"000"),"")</f>
        <v/>
      </c>
      <c r="D1737" s="20" t="str">
        <f aca="false">IF(AND(Eingabe!$F$17&gt;0,Eingabe!$E$17&gt;=113),113,"")</f>
        <v/>
      </c>
      <c r="E1737" s="20" t="str">
        <f aca="false">IF(AND(Eingabe!$F$17&gt;0,Eingabe!$E$17&gt;=113),IF((Eingabe!$G$17+1)&lt;=9,1000+(Eingabe!$G$17+1)*100,3000)+13,"")</f>
        <v/>
      </c>
      <c r="F1737" s="20" t="str">
        <f aca="false">IF(AND(Eingabe!$F$17&gt;0,Eingabe!$E$17&gt;=113),"10."&amp;Eingabe!$D$17&amp;".113.0/24","")</f>
        <v/>
      </c>
      <c r="G1737" s="20" t="str">
        <f aca="false">IF(AND(Eingabe!$F$17&gt;0,Eingabe!$E$17&gt;=113),"10."&amp;Eingabe!$D$17&amp;".113.1","")</f>
        <v/>
      </c>
      <c r="H1737" s="20" t="str">
        <f aca="false">IF(AND(Eingabe!$F$17&gt;0,Eingabe!$E$17&gt;=113),"10."&amp;Eingabe!$D$17&amp;".113.10 – 10."&amp;Eingabe!$D$17&amp;".113.250","")</f>
        <v/>
      </c>
      <c r="I1737" s="20" t="str">
        <f aca="false">IF(AND(Eingabe!$F$17&gt;0,Eingabe!$E$17&gt;=113),Eingabe!$B$6&amp;"-"&amp;Eingabe!$C$17&amp;"-Pächter","")</f>
        <v/>
      </c>
      <c r="J1737" s="20" t="str">
        <f aca="false">IF(AND(Eingabe!$F$17&gt;0,Eingabe!$E$17&gt;=113),"PPSK: Passwort Parzelle 113","")</f>
        <v/>
      </c>
      <c r="K1737" s="20" t="str">
        <f aca="false">IF(AND(Eingabe!$F$17&gt;0,Eingabe!$E$17&gt;=113),"1. Gerät: 10."&amp;Eingabe!$D$17&amp;".113.10, 2. Gerät: .11","")</f>
        <v/>
      </c>
    </row>
    <row r="1738" customFormat="false" ht="15" hidden="false" customHeight="false" outlineLevel="0" collapsed="false">
      <c r="A1738" s="20" t="str">
        <f aca="false">IF(AND(Eingabe!$F$17&gt;0,Eingabe!$E$17&gt;=114),9,"")</f>
        <v/>
      </c>
      <c r="B1738" s="20" t="str">
        <f aca="false">IF(AND(Eingabe!$F$17&gt;0,Eingabe!$E$17&gt;=114),Eingabe!$B$17,"")</f>
        <v/>
      </c>
      <c r="C1738" s="20" t="str">
        <f aca="false">IF(AND(Eingabe!$F$17&gt;0,Eingabe!$E$17&gt;=114),Eingabe!$C$17&amp;"-Paz."&amp;TEXT(114,"000"),"")</f>
        <v/>
      </c>
      <c r="D1738" s="20" t="str">
        <f aca="false">IF(AND(Eingabe!$F$17&gt;0,Eingabe!$E$17&gt;=114),114,"")</f>
        <v/>
      </c>
      <c r="E1738" s="20" t="str">
        <f aca="false">IF(AND(Eingabe!$F$17&gt;0,Eingabe!$E$17&gt;=114),IF((Eingabe!$G$17+1)&lt;=9,1000+(Eingabe!$G$17+1)*100,3000)+14,"")</f>
        <v/>
      </c>
      <c r="F1738" s="20" t="str">
        <f aca="false">IF(AND(Eingabe!$F$17&gt;0,Eingabe!$E$17&gt;=114),"10."&amp;Eingabe!$D$17&amp;".114.0/24","")</f>
        <v/>
      </c>
      <c r="G1738" s="20" t="str">
        <f aca="false">IF(AND(Eingabe!$F$17&gt;0,Eingabe!$E$17&gt;=114),"10."&amp;Eingabe!$D$17&amp;".114.1","")</f>
        <v/>
      </c>
      <c r="H1738" s="20" t="str">
        <f aca="false">IF(AND(Eingabe!$F$17&gt;0,Eingabe!$E$17&gt;=114),"10."&amp;Eingabe!$D$17&amp;".114.10 – 10."&amp;Eingabe!$D$17&amp;".114.250","")</f>
        <v/>
      </c>
      <c r="I1738" s="20" t="str">
        <f aca="false">IF(AND(Eingabe!$F$17&gt;0,Eingabe!$E$17&gt;=114),Eingabe!$B$6&amp;"-"&amp;Eingabe!$C$17&amp;"-Pächter","")</f>
        <v/>
      </c>
      <c r="J1738" s="20" t="str">
        <f aca="false">IF(AND(Eingabe!$F$17&gt;0,Eingabe!$E$17&gt;=114),"PPSK: Passwort Parzelle 114","")</f>
        <v/>
      </c>
      <c r="K1738" s="20" t="str">
        <f aca="false">IF(AND(Eingabe!$F$17&gt;0,Eingabe!$E$17&gt;=114),"1. Gerät: 10."&amp;Eingabe!$D$17&amp;".114.10, 2. Gerät: .11","")</f>
        <v/>
      </c>
    </row>
    <row r="1739" customFormat="false" ht="15" hidden="false" customHeight="false" outlineLevel="0" collapsed="false">
      <c r="A1739" s="20" t="str">
        <f aca="false">IF(AND(Eingabe!$F$17&gt;0,Eingabe!$E$17&gt;=115),9,"")</f>
        <v/>
      </c>
      <c r="B1739" s="20" t="str">
        <f aca="false">IF(AND(Eingabe!$F$17&gt;0,Eingabe!$E$17&gt;=115),Eingabe!$B$17,"")</f>
        <v/>
      </c>
      <c r="C1739" s="20" t="str">
        <f aca="false">IF(AND(Eingabe!$F$17&gt;0,Eingabe!$E$17&gt;=115),Eingabe!$C$17&amp;"-Paz."&amp;TEXT(115,"000"),"")</f>
        <v/>
      </c>
      <c r="D1739" s="20" t="str">
        <f aca="false">IF(AND(Eingabe!$F$17&gt;0,Eingabe!$E$17&gt;=115),115,"")</f>
        <v/>
      </c>
      <c r="E1739" s="20" t="str">
        <f aca="false">IF(AND(Eingabe!$F$17&gt;0,Eingabe!$E$17&gt;=115),IF((Eingabe!$G$17+1)&lt;=9,1000+(Eingabe!$G$17+1)*100,3000)+15,"")</f>
        <v/>
      </c>
      <c r="F1739" s="20" t="str">
        <f aca="false">IF(AND(Eingabe!$F$17&gt;0,Eingabe!$E$17&gt;=115),"10."&amp;Eingabe!$D$17&amp;".115.0/24","")</f>
        <v/>
      </c>
      <c r="G1739" s="20" t="str">
        <f aca="false">IF(AND(Eingabe!$F$17&gt;0,Eingabe!$E$17&gt;=115),"10."&amp;Eingabe!$D$17&amp;".115.1","")</f>
        <v/>
      </c>
      <c r="H1739" s="20" t="str">
        <f aca="false">IF(AND(Eingabe!$F$17&gt;0,Eingabe!$E$17&gt;=115),"10."&amp;Eingabe!$D$17&amp;".115.10 – 10."&amp;Eingabe!$D$17&amp;".115.250","")</f>
        <v/>
      </c>
      <c r="I1739" s="20" t="str">
        <f aca="false">IF(AND(Eingabe!$F$17&gt;0,Eingabe!$E$17&gt;=115),Eingabe!$B$6&amp;"-"&amp;Eingabe!$C$17&amp;"-Pächter","")</f>
        <v/>
      </c>
      <c r="J1739" s="20" t="str">
        <f aca="false">IF(AND(Eingabe!$F$17&gt;0,Eingabe!$E$17&gt;=115),"PPSK: Passwort Parzelle 115","")</f>
        <v/>
      </c>
      <c r="K1739" s="20" t="str">
        <f aca="false">IF(AND(Eingabe!$F$17&gt;0,Eingabe!$E$17&gt;=115),"1. Gerät: 10."&amp;Eingabe!$D$17&amp;".115.10, 2. Gerät: .11","")</f>
        <v/>
      </c>
    </row>
    <row r="1740" customFormat="false" ht="15" hidden="false" customHeight="false" outlineLevel="0" collapsed="false">
      <c r="A1740" s="20" t="str">
        <f aca="false">IF(AND(Eingabe!$F$17&gt;0,Eingabe!$E$17&gt;=116),9,"")</f>
        <v/>
      </c>
      <c r="B1740" s="20" t="str">
        <f aca="false">IF(AND(Eingabe!$F$17&gt;0,Eingabe!$E$17&gt;=116),Eingabe!$B$17,"")</f>
        <v/>
      </c>
      <c r="C1740" s="20" t="str">
        <f aca="false">IF(AND(Eingabe!$F$17&gt;0,Eingabe!$E$17&gt;=116),Eingabe!$C$17&amp;"-Paz."&amp;TEXT(116,"000"),"")</f>
        <v/>
      </c>
      <c r="D1740" s="20" t="str">
        <f aca="false">IF(AND(Eingabe!$F$17&gt;0,Eingabe!$E$17&gt;=116),116,"")</f>
        <v/>
      </c>
      <c r="E1740" s="20" t="str">
        <f aca="false">IF(AND(Eingabe!$F$17&gt;0,Eingabe!$E$17&gt;=116),IF((Eingabe!$G$17+1)&lt;=9,1000+(Eingabe!$G$17+1)*100,3000)+16,"")</f>
        <v/>
      </c>
      <c r="F1740" s="20" t="str">
        <f aca="false">IF(AND(Eingabe!$F$17&gt;0,Eingabe!$E$17&gt;=116),"10."&amp;Eingabe!$D$17&amp;".116.0/24","")</f>
        <v/>
      </c>
      <c r="G1740" s="20" t="str">
        <f aca="false">IF(AND(Eingabe!$F$17&gt;0,Eingabe!$E$17&gt;=116),"10."&amp;Eingabe!$D$17&amp;".116.1","")</f>
        <v/>
      </c>
      <c r="H1740" s="20" t="str">
        <f aca="false">IF(AND(Eingabe!$F$17&gt;0,Eingabe!$E$17&gt;=116),"10."&amp;Eingabe!$D$17&amp;".116.10 – 10."&amp;Eingabe!$D$17&amp;".116.250","")</f>
        <v/>
      </c>
      <c r="I1740" s="20" t="str">
        <f aca="false">IF(AND(Eingabe!$F$17&gt;0,Eingabe!$E$17&gt;=116),Eingabe!$B$6&amp;"-"&amp;Eingabe!$C$17&amp;"-Pächter","")</f>
        <v/>
      </c>
      <c r="J1740" s="20" t="str">
        <f aca="false">IF(AND(Eingabe!$F$17&gt;0,Eingabe!$E$17&gt;=116),"PPSK: Passwort Parzelle 116","")</f>
        <v/>
      </c>
      <c r="K1740" s="20" t="str">
        <f aca="false">IF(AND(Eingabe!$F$17&gt;0,Eingabe!$E$17&gt;=116),"1. Gerät: 10."&amp;Eingabe!$D$17&amp;".116.10, 2. Gerät: .11","")</f>
        <v/>
      </c>
    </row>
    <row r="1741" customFormat="false" ht="15" hidden="false" customHeight="false" outlineLevel="0" collapsed="false">
      <c r="A1741" s="20" t="str">
        <f aca="false">IF(AND(Eingabe!$F$17&gt;0,Eingabe!$E$17&gt;=117),9,"")</f>
        <v/>
      </c>
      <c r="B1741" s="20" t="str">
        <f aca="false">IF(AND(Eingabe!$F$17&gt;0,Eingabe!$E$17&gt;=117),Eingabe!$B$17,"")</f>
        <v/>
      </c>
      <c r="C1741" s="20" t="str">
        <f aca="false">IF(AND(Eingabe!$F$17&gt;0,Eingabe!$E$17&gt;=117),Eingabe!$C$17&amp;"-Paz."&amp;TEXT(117,"000"),"")</f>
        <v/>
      </c>
      <c r="D1741" s="20" t="str">
        <f aca="false">IF(AND(Eingabe!$F$17&gt;0,Eingabe!$E$17&gt;=117),117,"")</f>
        <v/>
      </c>
      <c r="E1741" s="20" t="str">
        <f aca="false">IF(AND(Eingabe!$F$17&gt;0,Eingabe!$E$17&gt;=117),IF((Eingabe!$G$17+1)&lt;=9,1000+(Eingabe!$G$17+1)*100,3000)+17,"")</f>
        <v/>
      </c>
      <c r="F1741" s="20" t="str">
        <f aca="false">IF(AND(Eingabe!$F$17&gt;0,Eingabe!$E$17&gt;=117),"10."&amp;Eingabe!$D$17&amp;".117.0/24","")</f>
        <v/>
      </c>
      <c r="G1741" s="20" t="str">
        <f aca="false">IF(AND(Eingabe!$F$17&gt;0,Eingabe!$E$17&gt;=117),"10."&amp;Eingabe!$D$17&amp;".117.1","")</f>
        <v/>
      </c>
      <c r="H1741" s="20" t="str">
        <f aca="false">IF(AND(Eingabe!$F$17&gt;0,Eingabe!$E$17&gt;=117),"10."&amp;Eingabe!$D$17&amp;".117.10 – 10."&amp;Eingabe!$D$17&amp;".117.250","")</f>
        <v/>
      </c>
      <c r="I1741" s="20" t="str">
        <f aca="false">IF(AND(Eingabe!$F$17&gt;0,Eingabe!$E$17&gt;=117),Eingabe!$B$6&amp;"-"&amp;Eingabe!$C$17&amp;"-Pächter","")</f>
        <v/>
      </c>
      <c r="J1741" s="20" t="str">
        <f aca="false">IF(AND(Eingabe!$F$17&gt;0,Eingabe!$E$17&gt;=117),"PPSK: Passwort Parzelle 117","")</f>
        <v/>
      </c>
      <c r="K1741" s="20" t="str">
        <f aca="false">IF(AND(Eingabe!$F$17&gt;0,Eingabe!$E$17&gt;=117),"1. Gerät: 10."&amp;Eingabe!$D$17&amp;".117.10, 2. Gerät: .11","")</f>
        <v/>
      </c>
    </row>
    <row r="1742" customFormat="false" ht="15" hidden="false" customHeight="false" outlineLevel="0" collapsed="false">
      <c r="A1742" s="20" t="str">
        <f aca="false">IF(AND(Eingabe!$F$17&gt;0,Eingabe!$E$17&gt;=118),9,"")</f>
        <v/>
      </c>
      <c r="B1742" s="20" t="str">
        <f aca="false">IF(AND(Eingabe!$F$17&gt;0,Eingabe!$E$17&gt;=118),Eingabe!$B$17,"")</f>
        <v/>
      </c>
      <c r="C1742" s="20" t="str">
        <f aca="false">IF(AND(Eingabe!$F$17&gt;0,Eingabe!$E$17&gt;=118),Eingabe!$C$17&amp;"-Paz."&amp;TEXT(118,"000"),"")</f>
        <v/>
      </c>
      <c r="D1742" s="20" t="str">
        <f aca="false">IF(AND(Eingabe!$F$17&gt;0,Eingabe!$E$17&gt;=118),118,"")</f>
        <v/>
      </c>
      <c r="E1742" s="20" t="str">
        <f aca="false">IF(AND(Eingabe!$F$17&gt;0,Eingabe!$E$17&gt;=118),IF((Eingabe!$G$17+1)&lt;=9,1000+(Eingabe!$G$17+1)*100,3000)+18,"")</f>
        <v/>
      </c>
      <c r="F1742" s="20" t="str">
        <f aca="false">IF(AND(Eingabe!$F$17&gt;0,Eingabe!$E$17&gt;=118),"10."&amp;Eingabe!$D$17&amp;".118.0/24","")</f>
        <v/>
      </c>
      <c r="G1742" s="20" t="str">
        <f aca="false">IF(AND(Eingabe!$F$17&gt;0,Eingabe!$E$17&gt;=118),"10."&amp;Eingabe!$D$17&amp;".118.1","")</f>
        <v/>
      </c>
      <c r="H1742" s="20" t="str">
        <f aca="false">IF(AND(Eingabe!$F$17&gt;0,Eingabe!$E$17&gt;=118),"10."&amp;Eingabe!$D$17&amp;".118.10 – 10."&amp;Eingabe!$D$17&amp;".118.250","")</f>
        <v/>
      </c>
      <c r="I1742" s="20" t="str">
        <f aca="false">IF(AND(Eingabe!$F$17&gt;0,Eingabe!$E$17&gt;=118),Eingabe!$B$6&amp;"-"&amp;Eingabe!$C$17&amp;"-Pächter","")</f>
        <v/>
      </c>
      <c r="J1742" s="20" t="str">
        <f aca="false">IF(AND(Eingabe!$F$17&gt;0,Eingabe!$E$17&gt;=118),"PPSK: Passwort Parzelle 118","")</f>
        <v/>
      </c>
      <c r="K1742" s="20" t="str">
        <f aca="false">IF(AND(Eingabe!$F$17&gt;0,Eingabe!$E$17&gt;=118),"1. Gerät: 10."&amp;Eingabe!$D$17&amp;".118.10, 2. Gerät: .11","")</f>
        <v/>
      </c>
    </row>
    <row r="1743" customFormat="false" ht="15" hidden="false" customHeight="false" outlineLevel="0" collapsed="false">
      <c r="A1743" s="20" t="str">
        <f aca="false">IF(AND(Eingabe!$F$17&gt;0,Eingabe!$E$17&gt;=119),9,"")</f>
        <v/>
      </c>
      <c r="B1743" s="20" t="str">
        <f aca="false">IF(AND(Eingabe!$F$17&gt;0,Eingabe!$E$17&gt;=119),Eingabe!$B$17,"")</f>
        <v/>
      </c>
      <c r="C1743" s="20" t="str">
        <f aca="false">IF(AND(Eingabe!$F$17&gt;0,Eingabe!$E$17&gt;=119),Eingabe!$C$17&amp;"-Paz."&amp;TEXT(119,"000"),"")</f>
        <v/>
      </c>
      <c r="D1743" s="20" t="str">
        <f aca="false">IF(AND(Eingabe!$F$17&gt;0,Eingabe!$E$17&gt;=119),119,"")</f>
        <v/>
      </c>
      <c r="E1743" s="20" t="str">
        <f aca="false">IF(AND(Eingabe!$F$17&gt;0,Eingabe!$E$17&gt;=119),IF((Eingabe!$G$17+1)&lt;=9,1000+(Eingabe!$G$17+1)*100,3000)+19,"")</f>
        <v/>
      </c>
      <c r="F1743" s="20" t="str">
        <f aca="false">IF(AND(Eingabe!$F$17&gt;0,Eingabe!$E$17&gt;=119),"10."&amp;Eingabe!$D$17&amp;".119.0/24","")</f>
        <v/>
      </c>
      <c r="G1743" s="20" t="str">
        <f aca="false">IF(AND(Eingabe!$F$17&gt;0,Eingabe!$E$17&gt;=119),"10."&amp;Eingabe!$D$17&amp;".119.1","")</f>
        <v/>
      </c>
      <c r="H1743" s="20" t="str">
        <f aca="false">IF(AND(Eingabe!$F$17&gt;0,Eingabe!$E$17&gt;=119),"10."&amp;Eingabe!$D$17&amp;".119.10 – 10."&amp;Eingabe!$D$17&amp;".119.250","")</f>
        <v/>
      </c>
      <c r="I1743" s="20" t="str">
        <f aca="false">IF(AND(Eingabe!$F$17&gt;0,Eingabe!$E$17&gt;=119),Eingabe!$B$6&amp;"-"&amp;Eingabe!$C$17&amp;"-Pächter","")</f>
        <v/>
      </c>
      <c r="J1743" s="20" t="str">
        <f aca="false">IF(AND(Eingabe!$F$17&gt;0,Eingabe!$E$17&gt;=119),"PPSK: Passwort Parzelle 119","")</f>
        <v/>
      </c>
      <c r="K1743" s="20" t="str">
        <f aca="false">IF(AND(Eingabe!$F$17&gt;0,Eingabe!$E$17&gt;=119),"1. Gerät: 10."&amp;Eingabe!$D$17&amp;".119.10, 2. Gerät: .11","")</f>
        <v/>
      </c>
    </row>
    <row r="1744" customFormat="false" ht="15" hidden="false" customHeight="false" outlineLevel="0" collapsed="false">
      <c r="A1744" s="20" t="str">
        <f aca="false">IF(AND(Eingabe!$F$17&gt;0,Eingabe!$E$17&gt;=120),9,"")</f>
        <v/>
      </c>
      <c r="B1744" s="20" t="str">
        <f aca="false">IF(AND(Eingabe!$F$17&gt;0,Eingabe!$E$17&gt;=120),Eingabe!$B$17,"")</f>
        <v/>
      </c>
      <c r="C1744" s="20" t="str">
        <f aca="false">IF(AND(Eingabe!$F$17&gt;0,Eingabe!$E$17&gt;=120),Eingabe!$C$17&amp;"-Paz."&amp;TEXT(120,"000"),"")</f>
        <v/>
      </c>
      <c r="D1744" s="20" t="str">
        <f aca="false">IF(AND(Eingabe!$F$17&gt;0,Eingabe!$E$17&gt;=120),120,"")</f>
        <v/>
      </c>
      <c r="E1744" s="20" t="str">
        <f aca="false">IF(AND(Eingabe!$F$17&gt;0,Eingabe!$E$17&gt;=120),IF((Eingabe!$G$17+1)&lt;=9,1000+(Eingabe!$G$17+1)*100,3000)+20,"")</f>
        <v/>
      </c>
      <c r="F1744" s="20" t="str">
        <f aca="false">IF(AND(Eingabe!$F$17&gt;0,Eingabe!$E$17&gt;=120),"10."&amp;Eingabe!$D$17&amp;".120.0/24","")</f>
        <v/>
      </c>
      <c r="G1744" s="20" t="str">
        <f aca="false">IF(AND(Eingabe!$F$17&gt;0,Eingabe!$E$17&gt;=120),"10."&amp;Eingabe!$D$17&amp;".120.1","")</f>
        <v/>
      </c>
      <c r="H1744" s="20" t="str">
        <f aca="false">IF(AND(Eingabe!$F$17&gt;0,Eingabe!$E$17&gt;=120),"10."&amp;Eingabe!$D$17&amp;".120.10 – 10."&amp;Eingabe!$D$17&amp;".120.250","")</f>
        <v/>
      </c>
      <c r="I1744" s="20" t="str">
        <f aca="false">IF(AND(Eingabe!$F$17&gt;0,Eingabe!$E$17&gt;=120),Eingabe!$B$6&amp;"-"&amp;Eingabe!$C$17&amp;"-Pächter","")</f>
        <v/>
      </c>
      <c r="J1744" s="20" t="str">
        <f aca="false">IF(AND(Eingabe!$F$17&gt;0,Eingabe!$E$17&gt;=120),"PPSK: Passwort Parzelle 120","")</f>
        <v/>
      </c>
      <c r="K1744" s="20" t="str">
        <f aca="false">IF(AND(Eingabe!$F$17&gt;0,Eingabe!$E$17&gt;=120),"1. Gerät: 10."&amp;Eingabe!$D$17&amp;".120.10, 2. Gerät: .11","")</f>
        <v/>
      </c>
    </row>
    <row r="1745" customFormat="false" ht="15" hidden="false" customHeight="false" outlineLevel="0" collapsed="false">
      <c r="A1745" s="20" t="str">
        <f aca="false">IF(AND(Eingabe!$F$17&gt;0,Eingabe!$E$17&gt;=121),9,"")</f>
        <v/>
      </c>
      <c r="B1745" s="20" t="str">
        <f aca="false">IF(AND(Eingabe!$F$17&gt;0,Eingabe!$E$17&gt;=121),Eingabe!$B$17,"")</f>
        <v/>
      </c>
      <c r="C1745" s="20" t="str">
        <f aca="false">IF(AND(Eingabe!$F$17&gt;0,Eingabe!$E$17&gt;=121),Eingabe!$C$17&amp;"-Paz."&amp;TEXT(121,"000"),"")</f>
        <v/>
      </c>
      <c r="D1745" s="20" t="str">
        <f aca="false">IF(AND(Eingabe!$F$17&gt;0,Eingabe!$E$17&gt;=121),121,"")</f>
        <v/>
      </c>
      <c r="E1745" s="20" t="str">
        <f aca="false">IF(AND(Eingabe!$F$17&gt;0,Eingabe!$E$17&gt;=121),IF((Eingabe!$G$17+1)&lt;=9,1000+(Eingabe!$G$17+1)*100,3000)+21,"")</f>
        <v/>
      </c>
      <c r="F1745" s="20" t="str">
        <f aca="false">IF(AND(Eingabe!$F$17&gt;0,Eingabe!$E$17&gt;=121),"10."&amp;Eingabe!$D$17&amp;".121.0/24","")</f>
        <v/>
      </c>
      <c r="G1745" s="20" t="str">
        <f aca="false">IF(AND(Eingabe!$F$17&gt;0,Eingabe!$E$17&gt;=121),"10."&amp;Eingabe!$D$17&amp;".121.1","")</f>
        <v/>
      </c>
      <c r="H1745" s="20" t="str">
        <f aca="false">IF(AND(Eingabe!$F$17&gt;0,Eingabe!$E$17&gt;=121),"10."&amp;Eingabe!$D$17&amp;".121.10 – 10."&amp;Eingabe!$D$17&amp;".121.250","")</f>
        <v/>
      </c>
      <c r="I1745" s="20" t="str">
        <f aca="false">IF(AND(Eingabe!$F$17&gt;0,Eingabe!$E$17&gt;=121),Eingabe!$B$6&amp;"-"&amp;Eingabe!$C$17&amp;"-Pächter","")</f>
        <v/>
      </c>
      <c r="J1745" s="20" t="str">
        <f aca="false">IF(AND(Eingabe!$F$17&gt;0,Eingabe!$E$17&gt;=121),"PPSK: Passwort Parzelle 121","")</f>
        <v/>
      </c>
      <c r="K1745" s="20" t="str">
        <f aca="false">IF(AND(Eingabe!$F$17&gt;0,Eingabe!$E$17&gt;=121),"1. Gerät: 10."&amp;Eingabe!$D$17&amp;".121.10, 2. Gerät: .11","")</f>
        <v/>
      </c>
    </row>
    <row r="1746" customFormat="false" ht="15" hidden="false" customHeight="false" outlineLevel="0" collapsed="false">
      <c r="A1746" s="20" t="str">
        <f aca="false">IF(AND(Eingabe!$F$17&gt;0,Eingabe!$E$17&gt;=122),9,"")</f>
        <v/>
      </c>
      <c r="B1746" s="20" t="str">
        <f aca="false">IF(AND(Eingabe!$F$17&gt;0,Eingabe!$E$17&gt;=122),Eingabe!$B$17,"")</f>
        <v/>
      </c>
      <c r="C1746" s="20" t="str">
        <f aca="false">IF(AND(Eingabe!$F$17&gt;0,Eingabe!$E$17&gt;=122),Eingabe!$C$17&amp;"-Paz."&amp;TEXT(122,"000"),"")</f>
        <v/>
      </c>
      <c r="D1746" s="20" t="str">
        <f aca="false">IF(AND(Eingabe!$F$17&gt;0,Eingabe!$E$17&gt;=122),122,"")</f>
        <v/>
      </c>
      <c r="E1746" s="20" t="str">
        <f aca="false">IF(AND(Eingabe!$F$17&gt;0,Eingabe!$E$17&gt;=122),IF((Eingabe!$G$17+1)&lt;=9,1000+(Eingabe!$G$17+1)*100,3000)+22,"")</f>
        <v/>
      </c>
      <c r="F1746" s="20" t="str">
        <f aca="false">IF(AND(Eingabe!$F$17&gt;0,Eingabe!$E$17&gt;=122),"10."&amp;Eingabe!$D$17&amp;".122.0/24","")</f>
        <v/>
      </c>
      <c r="G1746" s="20" t="str">
        <f aca="false">IF(AND(Eingabe!$F$17&gt;0,Eingabe!$E$17&gt;=122),"10."&amp;Eingabe!$D$17&amp;".122.1","")</f>
        <v/>
      </c>
      <c r="H1746" s="20" t="str">
        <f aca="false">IF(AND(Eingabe!$F$17&gt;0,Eingabe!$E$17&gt;=122),"10."&amp;Eingabe!$D$17&amp;".122.10 – 10."&amp;Eingabe!$D$17&amp;".122.250","")</f>
        <v/>
      </c>
      <c r="I1746" s="20" t="str">
        <f aca="false">IF(AND(Eingabe!$F$17&gt;0,Eingabe!$E$17&gt;=122),Eingabe!$B$6&amp;"-"&amp;Eingabe!$C$17&amp;"-Pächter","")</f>
        <v/>
      </c>
      <c r="J1746" s="20" t="str">
        <f aca="false">IF(AND(Eingabe!$F$17&gt;0,Eingabe!$E$17&gt;=122),"PPSK: Passwort Parzelle 122","")</f>
        <v/>
      </c>
      <c r="K1746" s="20" t="str">
        <f aca="false">IF(AND(Eingabe!$F$17&gt;0,Eingabe!$E$17&gt;=122),"1. Gerät: 10."&amp;Eingabe!$D$17&amp;".122.10, 2. Gerät: .11","")</f>
        <v/>
      </c>
    </row>
    <row r="1747" customFormat="false" ht="15" hidden="false" customHeight="false" outlineLevel="0" collapsed="false">
      <c r="A1747" s="20" t="str">
        <f aca="false">IF(AND(Eingabe!$F$17&gt;0,Eingabe!$E$17&gt;=123),9,"")</f>
        <v/>
      </c>
      <c r="B1747" s="20" t="str">
        <f aca="false">IF(AND(Eingabe!$F$17&gt;0,Eingabe!$E$17&gt;=123),Eingabe!$B$17,"")</f>
        <v/>
      </c>
      <c r="C1747" s="20" t="str">
        <f aca="false">IF(AND(Eingabe!$F$17&gt;0,Eingabe!$E$17&gt;=123),Eingabe!$C$17&amp;"-Paz."&amp;TEXT(123,"000"),"")</f>
        <v/>
      </c>
      <c r="D1747" s="20" t="str">
        <f aca="false">IF(AND(Eingabe!$F$17&gt;0,Eingabe!$E$17&gt;=123),123,"")</f>
        <v/>
      </c>
      <c r="E1747" s="20" t="str">
        <f aca="false">IF(AND(Eingabe!$F$17&gt;0,Eingabe!$E$17&gt;=123),IF((Eingabe!$G$17+1)&lt;=9,1000+(Eingabe!$G$17+1)*100,3000)+23,"")</f>
        <v/>
      </c>
      <c r="F1747" s="20" t="str">
        <f aca="false">IF(AND(Eingabe!$F$17&gt;0,Eingabe!$E$17&gt;=123),"10."&amp;Eingabe!$D$17&amp;".123.0/24","")</f>
        <v/>
      </c>
      <c r="G1747" s="20" t="str">
        <f aca="false">IF(AND(Eingabe!$F$17&gt;0,Eingabe!$E$17&gt;=123),"10."&amp;Eingabe!$D$17&amp;".123.1","")</f>
        <v/>
      </c>
      <c r="H1747" s="20" t="str">
        <f aca="false">IF(AND(Eingabe!$F$17&gt;0,Eingabe!$E$17&gt;=123),"10."&amp;Eingabe!$D$17&amp;".123.10 – 10."&amp;Eingabe!$D$17&amp;".123.250","")</f>
        <v/>
      </c>
      <c r="I1747" s="20" t="str">
        <f aca="false">IF(AND(Eingabe!$F$17&gt;0,Eingabe!$E$17&gt;=123),Eingabe!$B$6&amp;"-"&amp;Eingabe!$C$17&amp;"-Pächter","")</f>
        <v/>
      </c>
      <c r="J1747" s="20" t="str">
        <f aca="false">IF(AND(Eingabe!$F$17&gt;0,Eingabe!$E$17&gt;=123),"PPSK: Passwort Parzelle 123","")</f>
        <v/>
      </c>
      <c r="K1747" s="20" t="str">
        <f aca="false">IF(AND(Eingabe!$F$17&gt;0,Eingabe!$E$17&gt;=123),"1. Gerät: 10."&amp;Eingabe!$D$17&amp;".123.10, 2. Gerät: .11","")</f>
        <v/>
      </c>
    </row>
    <row r="1748" customFormat="false" ht="15" hidden="false" customHeight="false" outlineLevel="0" collapsed="false">
      <c r="A1748" s="20" t="str">
        <f aca="false">IF(AND(Eingabe!$F$17&gt;0,Eingabe!$E$17&gt;=124),9,"")</f>
        <v/>
      </c>
      <c r="B1748" s="20" t="str">
        <f aca="false">IF(AND(Eingabe!$F$17&gt;0,Eingabe!$E$17&gt;=124),Eingabe!$B$17,"")</f>
        <v/>
      </c>
      <c r="C1748" s="20" t="str">
        <f aca="false">IF(AND(Eingabe!$F$17&gt;0,Eingabe!$E$17&gt;=124),Eingabe!$C$17&amp;"-Paz."&amp;TEXT(124,"000"),"")</f>
        <v/>
      </c>
      <c r="D1748" s="20" t="str">
        <f aca="false">IF(AND(Eingabe!$F$17&gt;0,Eingabe!$E$17&gt;=124),124,"")</f>
        <v/>
      </c>
      <c r="E1748" s="20" t="str">
        <f aca="false">IF(AND(Eingabe!$F$17&gt;0,Eingabe!$E$17&gt;=124),IF((Eingabe!$G$17+1)&lt;=9,1000+(Eingabe!$G$17+1)*100,3000)+24,"")</f>
        <v/>
      </c>
      <c r="F1748" s="20" t="str">
        <f aca="false">IF(AND(Eingabe!$F$17&gt;0,Eingabe!$E$17&gt;=124),"10."&amp;Eingabe!$D$17&amp;".124.0/24","")</f>
        <v/>
      </c>
      <c r="G1748" s="20" t="str">
        <f aca="false">IF(AND(Eingabe!$F$17&gt;0,Eingabe!$E$17&gt;=124),"10."&amp;Eingabe!$D$17&amp;".124.1","")</f>
        <v/>
      </c>
      <c r="H1748" s="20" t="str">
        <f aca="false">IF(AND(Eingabe!$F$17&gt;0,Eingabe!$E$17&gt;=124),"10."&amp;Eingabe!$D$17&amp;".124.10 – 10."&amp;Eingabe!$D$17&amp;".124.250","")</f>
        <v/>
      </c>
      <c r="I1748" s="20" t="str">
        <f aca="false">IF(AND(Eingabe!$F$17&gt;0,Eingabe!$E$17&gt;=124),Eingabe!$B$6&amp;"-"&amp;Eingabe!$C$17&amp;"-Pächter","")</f>
        <v/>
      </c>
      <c r="J1748" s="20" t="str">
        <f aca="false">IF(AND(Eingabe!$F$17&gt;0,Eingabe!$E$17&gt;=124),"PPSK: Passwort Parzelle 124","")</f>
        <v/>
      </c>
      <c r="K1748" s="20" t="str">
        <f aca="false">IF(AND(Eingabe!$F$17&gt;0,Eingabe!$E$17&gt;=124),"1. Gerät: 10."&amp;Eingabe!$D$17&amp;".124.10, 2. Gerät: .11","")</f>
        <v/>
      </c>
    </row>
    <row r="1749" customFormat="false" ht="15" hidden="false" customHeight="false" outlineLevel="0" collapsed="false">
      <c r="A1749" s="20" t="str">
        <f aca="false">IF(AND(Eingabe!$F$17&gt;0,Eingabe!$E$17&gt;=125),9,"")</f>
        <v/>
      </c>
      <c r="B1749" s="20" t="str">
        <f aca="false">IF(AND(Eingabe!$F$17&gt;0,Eingabe!$E$17&gt;=125),Eingabe!$B$17,"")</f>
        <v/>
      </c>
      <c r="C1749" s="20" t="str">
        <f aca="false">IF(AND(Eingabe!$F$17&gt;0,Eingabe!$E$17&gt;=125),Eingabe!$C$17&amp;"-Paz."&amp;TEXT(125,"000"),"")</f>
        <v/>
      </c>
      <c r="D1749" s="20" t="str">
        <f aca="false">IF(AND(Eingabe!$F$17&gt;0,Eingabe!$E$17&gt;=125),125,"")</f>
        <v/>
      </c>
      <c r="E1749" s="20" t="str">
        <f aca="false">IF(AND(Eingabe!$F$17&gt;0,Eingabe!$E$17&gt;=125),IF((Eingabe!$G$17+1)&lt;=9,1000+(Eingabe!$G$17+1)*100,3000)+25,"")</f>
        <v/>
      </c>
      <c r="F1749" s="20" t="str">
        <f aca="false">IF(AND(Eingabe!$F$17&gt;0,Eingabe!$E$17&gt;=125),"10."&amp;Eingabe!$D$17&amp;".125.0/24","")</f>
        <v/>
      </c>
      <c r="G1749" s="20" t="str">
        <f aca="false">IF(AND(Eingabe!$F$17&gt;0,Eingabe!$E$17&gt;=125),"10."&amp;Eingabe!$D$17&amp;".125.1","")</f>
        <v/>
      </c>
      <c r="H1749" s="20" t="str">
        <f aca="false">IF(AND(Eingabe!$F$17&gt;0,Eingabe!$E$17&gt;=125),"10."&amp;Eingabe!$D$17&amp;".125.10 – 10."&amp;Eingabe!$D$17&amp;".125.250","")</f>
        <v/>
      </c>
      <c r="I1749" s="20" t="str">
        <f aca="false">IF(AND(Eingabe!$F$17&gt;0,Eingabe!$E$17&gt;=125),Eingabe!$B$6&amp;"-"&amp;Eingabe!$C$17&amp;"-Pächter","")</f>
        <v/>
      </c>
      <c r="J1749" s="20" t="str">
        <f aca="false">IF(AND(Eingabe!$F$17&gt;0,Eingabe!$E$17&gt;=125),"PPSK: Passwort Parzelle 125","")</f>
        <v/>
      </c>
      <c r="K1749" s="20" t="str">
        <f aca="false">IF(AND(Eingabe!$F$17&gt;0,Eingabe!$E$17&gt;=125),"1. Gerät: 10."&amp;Eingabe!$D$17&amp;".125.10, 2. Gerät: .11","")</f>
        <v/>
      </c>
    </row>
    <row r="1750" customFormat="false" ht="15" hidden="false" customHeight="false" outlineLevel="0" collapsed="false">
      <c r="A1750" s="20" t="str">
        <f aca="false">IF(AND(Eingabe!$F$17&gt;0,Eingabe!$E$17&gt;=126),9,"")</f>
        <v/>
      </c>
      <c r="B1750" s="20" t="str">
        <f aca="false">IF(AND(Eingabe!$F$17&gt;0,Eingabe!$E$17&gt;=126),Eingabe!$B$17,"")</f>
        <v/>
      </c>
      <c r="C1750" s="20" t="str">
        <f aca="false">IF(AND(Eingabe!$F$17&gt;0,Eingabe!$E$17&gt;=126),Eingabe!$C$17&amp;"-Paz."&amp;TEXT(126,"000"),"")</f>
        <v/>
      </c>
      <c r="D1750" s="20" t="str">
        <f aca="false">IF(AND(Eingabe!$F$17&gt;0,Eingabe!$E$17&gt;=126),126,"")</f>
        <v/>
      </c>
      <c r="E1750" s="20" t="str">
        <f aca="false">IF(AND(Eingabe!$F$17&gt;0,Eingabe!$E$17&gt;=126),IF((Eingabe!$G$17+1)&lt;=9,1000+(Eingabe!$G$17+1)*100,3000)+26,"")</f>
        <v/>
      </c>
      <c r="F1750" s="20" t="str">
        <f aca="false">IF(AND(Eingabe!$F$17&gt;0,Eingabe!$E$17&gt;=126),"10."&amp;Eingabe!$D$17&amp;".126.0/24","")</f>
        <v/>
      </c>
      <c r="G1750" s="20" t="str">
        <f aca="false">IF(AND(Eingabe!$F$17&gt;0,Eingabe!$E$17&gt;=126),"10."&amp;Eingabe!$D$17&amp;".126.1","")</f>
        <v/>
      </c>
      <c r="H1750" s="20" t="str">
        <f aca="false">IF(AND(Eingabe!$F$17&gt;0,Eingabe!$E$17&gt;=126),"10."&amp;Eingabe!$D$17&amp;".126.10 – 10."&amp;Eingabe!$D$17&amp;".126.250","")</f>
        <v/>
      </c>
      <c r="I1750" s="20" t="str">
        <f aca="false">IF(AND(Eingabe!$F$17&gt;0,Eingabe!$E$17&gt;=126),Eingabe!$B$6&amp;"-"&amp;Eingabe!$C$17&amp;"-Pächter","")</f>
        <v/>
      </c>
      <c r="J1750" s="20" t="str">
        <f aca="false">IF(AND(Eingabe!$F$17&gt;0,Eingabe!$E$17&gt;=126),"PPSK: Passwort Parzelle 126","")</f>
        <v/>
      </c>
      <c r="K1750" s="20" t="str">
        <f aca="false">IF(AND(Eingabe!$F$17&gt;0,Eingabe!$E$17&gt;=126),"1. Gerät: 10."&amp;Eingabe!$D$17&amp;".126.10, 2. Gerät: .11","")</f>
        <v/>
      </c>
    </row>
    <row r="1751" customFormat="false" ht="15" hidden="false" customHeight="false" outlineLevel="0" collapsed="false">
      <c r="A1751" s="20" t="str">
        <f aca="false">IF(AND(Eingabe!$F$17&gt;0,Eingabe!$E$17&gt;=127),9,"")</f>
        <v/>
      </c>
      <c r="B1751" s="20" t="str">
        <f aca="false">IF(AND(Eingabe!$F$17&gt;0,Eingabe!$E$17&gt;=127),Eingabe!$B$17,"")</f>
        <v/>
      </c>
      <c r="C1751" s="20" t="str">
        <f aca="false">IF(AND(Eingabe!$F$17&gt;0,Eingabe!$E$17&gt;=127),Eingabe!$C$17&amp;"-Paz."&amp;TEXT(127,"000"),"")</f>
        <v/>
      </c>
      <c r="D1751" s="20" t="str">
        <f aca="false">IF(AND(Eingabe!$F$17&gt;0,Eingabe!$E$17&gt;=127),127,"")</f>
        <v/>
      </c>
      <c r="E1751" s="20" t="str">
        <f aca="false">IF(AND(Eingabe!$F$17&gt;0,Eingabe!$E$17&gt;=127),IF((Eingabe!$G$17+1)&lt;=9,1000+(Eingabe!$G$17+1)*100,3000)+27,"")</f>
        <v/>
      </c>
      <c r="F1751" s="20" t="str">
        <f aca="false">IF(AND(Eingabe!$F$17&gt;0,Eingabe!$E$17&gt;=127),"10."&amp;Eingabe!$D$17&amp;".127.0/24","")</f>
        <v/>
      </c>
      <c r="G1751" s="20" t="str">
        <f aca="false">IF(AND(Eingabe!$F$17&gt;0,Eingabe!$E$17&gt;=127),"10."&amp;Eingabe!$D$17&amp;".127.1","")</f>
        <v/>
      </c>
      <c r="H1751" s="20" t="str">
        <f aca="false">IF(AND(Eingabe!$F$17&gt;0,Eingabe!$E$17&gt;=127),"10."&amp;Eingabe!$D$17&amp;".127.10 – 10."&amp;Eingabe!$D$17&amp;".127.250","")</f>
        <v/>
      </c>
      <c r="I1751" s="20" t="str">
        <f aca="false">IF(AND(Eingabe!$F$17&gt;0,Eingabe!$E$17&gt;=127),Eingabe!$B$6&amp;"-"&amp;Eingabe!$C$17&amp;"-Pächter","")</f>
        <v/>
      </c>
      <c r="J1751" s="20" t="str">
        <f aca="false">IF(AND(Eingabe!$F$17&gt;0,Eingabe!$E$17&gt;=127),"PPSK: Passwort Parzelle 127","")</f>
        <v/>
      </c>
      <c r="K1751" s="20" t="str">
        <f aca="false">IF(AND(Eingabe!$F$17&gt;0,Eingabe!$E$17&gt;=127),"1. Gerät: 10."&amp;Eingabe!$D$17&amp;".127.10, 2. Gerät: .11","")</f>
        <v/>
      </c>
    </row>
    <row r="1752" customFormat="false" ht="15" hidden="false" customHeight="false" outlineLevel="0" collapsed="false">
      <c r="A1752" s="20" t="str">
        <f aca="false">IF(AND(Eingabe!$F$17&gt;0,Eingabe!$E$17&gt;=128),9,"")</f>
        <v/>
      </c>
      <c r="B1752" s="20" t="str">
        <f aca="false">IF(AND(Eingabe!$F$17&gt;0,Eingabe!$E$17&gt;=128),Eingabe!$B$17,"")</f>
        <v/>
      </c>
      <c r="C1752" s="20" t="str">
        <f aca="false">IF(AND(Eingabe!$F$17&gt;0,Eingabe!$E$17&gt;=128),Eingabe!$C$17&amp;"-Paz."&amp;TEXT(128,"000"),"")</f>
        <v/>
      </c>
      <c r="D1752" s="20" t="str">
        <f aca="false">IF(AND(Eingabe!$F$17&gt;0,Eingabe!$E$17&gt;=128),128,"")</f>
        <v/>
      </c>
      <c r="E1752" s="20" t="str">
        <f aca="false">IF(AND(Eingabe!$F$17&gt;0,Eingabe!$E$17&gt;=128),IF((Eingabe!$G$17+1)&lt;=9,1000+(Eingabe!$G$17+1)*100,3000)+28,"")</f>
        <v/>
      </c>
      <c r="F1752" s="20" t="str">
        <f aca="false">IF(AND(Eingabe!$F$17&gt;0,Eingabe!$E$17&gt;=128),"10."&amp;Eingabe!$D$17&amp;".128.0/24","")</f>
        <v/>
      </c>
      <c r="G1752" s="20" t="str">
        <f aca="false">IF(AND(Eingabe!$F$17&gt;0,Eingabe!$E$17&gt;=128),"10."&amp;Eingabe!$D$17&amp;".128.1","")</f>
        <v/>
      </c>
      <c r="H1752" s="20" t="str">
        <f aca="false">IF(AND(Eingabe!$F$17&gt;0,Eingabe!$E$17&gt;=128),"10."&amp;Eingabe!$D$17&amp;".128.10 – 10."&amp;Eingabe!$D$17&amp;".128.250","")</f>
        <v/>
      </c>
      <c r="I1752" s="20" t="str">
        <f aca="false">IF(AND(Eingabe!$F$17&gt;0,Eingabe!$E$17&gt;=128),Eingabe!$B$6&amp;"-"&amp;Eingabe!$C$17&amp;"-Pächter","")</f>
        <v/>
      </c>
      <c r="J1752" s="20" t="str">
        <f aca="false">IF(AND(Eingabe!$F$17&gt;0,Eingabe!$E$17&gt;=128),"PPSK: Passwort Parzelle 128","")</f>
        <v/>
      </c>
      <c r="K1752" s="20" t="str">
        <f aca="false">IF(AND(Eingabe!$F$17&gt;0,Eingabe!$E$17&gt;=128),"1. Gerät: 10."&amp;Eingabe!$D$17&amp;".128.10, 2. Gerät: .11","")</f>
        <v/>
      </c>
    </row>
    <row r="1753" customFormat="false" ht="15" hidden="false" customHeight="false" outlineLevel="0" collapsed="false">
      <c r="A1753" s="20" t="str">
        <f aca="false">IF(AND(Eingabe!$F$17&gt;0,Eingabe!$E$17&gt;=129),9,"")</f>
        <v/>
      </c>
      <c r="B1753" s="20" t="str">
        <f aca="false">IF(AND(Eingabe!$F$17&gt;0,Eingabe!$E$17&gt;=129),Eingabe!$B$17,"")</f>
        <v/>
      </c>
      <c r="C1753" s="20" t="str">
        <f aca="false">IF(AND(Eingabe!$F$17&gt;0,Eingabe!$E$17&gt;=129),Eingabe!$C$17&amp;"-Paz."&amp;TEXT(129,"000"),"")</f>
        <v/>
      </c>
      <c r="D1753" s="20" t="str">
        <f aca="false">IF(AND(Eingabe!$F$17&gt;0,Eingabe!$E$17&gt;=129),129,"")</f>
        <v/>
      </c>
      <c r="E1753" s="20" t="str">
        <f aca="false">IF(AND(Eingabe!$F$17&gt;0,Eingabe!$E$17&gt;=129),IF((Eingabe!$G$17+1)&lt;=9,1000+(Eingabe!$G$17+1)*100,3000)+29,"")</f>
        <v/>
      </c>
      <c r="F1753" s="20" t="str">
        <f aca="false">IF(AND(Eingabe!$F$17&gt;0,Eingabe!$E$17&gt;=129),"10."&amp;Eingabe!$D$17&amp;".129.0/24","")</f>
        <v/>
      </c>
      <c r="G1753" s="20" t="str">
        <f aca="false">IF(AND(Eingabe!$F$17&gt;0,Eingabe!$E$17&gt;=129),"10."&amp;Eingabe!$D$17&amp;".129.1","")</f>
        <v/>
      </c>
      <c r="H1753" s="20" t="str">
        <f aca="false">IF(AND(Eingabe!$F$17&gt;0,Eingabe!$E$17&gt;=129),"10."&amp;Eingabe!$D$17&amp;".129.10 – 10."&amp;Eingabe!$D$17&amp;".129.250","")</f>
        <v/>
      </c>
      <c r="I1753" s="20" t="str">
        <f aca="false">IF(AND(Eingabe!$F$17&gt;0,Eingabe!$E$17&gt;=129),Eingabe!$B$6&amp;"-"&amp;Eingabe!$C$17&amp;"-Pächter","")</f>
        <v/>
      </c>
      <c r="J1753" s="20" t="str">
        <f aca="false">IF(AND(Eingabe!$F$17&gt;0,Eingabe!$E$17&gt;=129),"PPSK: Passwort Parzelle 129","")</f>
        <v/>
      </c>
      <c r="K1753" s="20" t="str">
        <f aca="false">IF(AND(Eingabe!$F$17&gt;0,Eingabe!$E$17&gt;=129),"1. Gerät: 10."&amp;Eingabe!$D$17&amp;".129.10, 2. Gerät: .11","")</f>
        <v/>
      </c>
    </row>
    <row r="1754" customFormat="false" ht="15" hidden="false" customHeight="false" outlineLevel="0" collapsed="false">
      <c r="A1754" s="20" t="str">
        <f aca="false">IF(AND(Eingabe!$F$17&gt;0,Eingabe!$E$17&gt;=130),9,"")</f>
        <v/>
      </c>
      <c r="B1754" s="20" t="str">
        <f aca="false">IF(AND(Eingabe!$F$17&gt;0,Eingabe!$E$17&gt;=130),Eingabe!$B$17,"")</f>
        <v/>
      </c>
      <c r="C1754" s="20" t="str">
        <f aca="false">IF(AND(Eingabe!$F$17&gt;0,Eingabe!$E$17&gt;=130),Eingabe!$C$17&amp;"-Paz."&amp;TEXT(130,"000"),"")</f>
        <v/>
      </c>
      <c r="D1754" s="20" t="str">
        <f aca="false">IF(AND(Eingabe!$F$17&gt;0,Eingabe!$E$17&gt;=130),130,"")</f>
        <v/>
      </c>
      <c r="E1754" s="20" t="str">
        <f aca="false">IF(AND(Eingabe!$F$17&gt;0,Eingabe!$E$17&gt;=130),IF((Eingabe!$G$17+1)&lt;=9,1000+(Eingabe!$G$17+1)*100,3000)+30,"")</f>
        <v/>
      </c>
      <c r="F1754" s="20" t="str">
        <f aca="false">IF(AND(Eingabe!$F$17&gt;0,Eingabe!$E$17&gt;=130),"10."&amp;Eingabe!$D$17&amp;".130.0/24","")</f>
        <v/>
      </c>
      <c r="G1754" s="20" t="str">
        <f aca="false">IF(AND(Eingabe!$F$17&gt;0,Eingabe!$E$17&gt;=130),"10."&amp;Eingabe!$D$17&amp;".130.1","")</f>
        <v/>
      </c>
      <c r="H1754" s="20" t="str">
        <f aca="false">IF(AND(Eingabe!$F$17&gt;0,Eingabe!$E$17&gt;=130),"10."&amp;Eingabe!$D$17&amp;".130.10 – 10."&amp;Eingabe!$D$17&amp;".130.250","")</f>
        <v/>
      </c>
      <c r="I1754" s="20" t="str">
        <f aca="false">IF(AND(Eingabe!$F$17&gt;0,Eingabe!$E$17&gt;=130),Eingabe!$B$6&amp;"-"&amp;Eingabe!$C$17&amp;"-Pächter","")</f>
        <v/>
      </c>
      <c r="J1754" s="20" t="str">
        <f aca="false">IF(AND(Eingabe!$F$17&gt;0,Eingabe!$E$17&gt;=130),"PPSK: Passwort Parzelle 130","")</f>
        <v/>
      </c>
      <c r="K1754" s="20" t="str">
        <f aca="false">IF(AND(Eingabe!$F$17&gt;0,Eingabe!$E$17&gt;=130),"1. Gerät: 10."&amp;Eingabe!$D$17&amp;".130.10, 2. Gerät: .11","")</f>
        <v/>
      </c>
    </row>
    <row r="1755" customFormat="false" ht="15" hidden="false" customHeight="false" outlineLevel="0" collapsed="false">
      <c r="A1755" s="20" t="str">
        <f aca="false">IF(AND(Eingabe!$F$17&gt;0,Eingabe!$E$17&gt;=131),9,"")</f>
        <v/>
      </c>
      <c r="B1755" s="20" t="str">
        <f aca="false">IF(AND(Eingabe!$F$17&gt;0,Eingabe!$E$17&gt;=131),Eingabe!$B$17,"")</f>
        <v/>
      </c>
      <c r="C1755" s="20" t="str">
        <f aca="false">IF(AND(Eingabe!$F$17&gt;0,Eingabe!$E$17&gt;=131),Eingabe!$C$17&amp;"-Paz."&amp;TEXT(131,"000"),"")</f>
        <v/>
      </c>
      <c r="D1755" s="20" t="str">
        <f aca="false">IF(AND(Eingabe!$F$17&gt;0,Eingabe!$E$17&gt;=131),131,"")</f>
        <v/>
      </c>
      <c r="E1755" s="20" t="str">
        <f aca="false">IF(AND(Eingabe!$F$17&gt;0,Eingabe!$E$17&gt;=131),IF((Eingabe!$G$17+1)&lt;=9,1000+(Eingabe!$G$17+1)*100,3000)+31,"")</f>
        <v/>
      </c>
      <c r="F1755" s="20" t="str">
        <f aca="false">IF(AND(Eingabe!$F$17&gt;0,Eingabe!$E$17&gt;=131),"10."&amp;Eingabe!$D$17&amp;".131.0/24","")</f>
        <v/>
      </c>
      <c r="G1755" s="20" t="str">
        <f aca="false">IF(AND(Eingabe!$F$17&gt;0,Eingabe!$E$17&gt;=131),"10."&amp;Eingabe!$D$17&amp;".131.1","")</f>
        <v/>
      </c>
      <c r="H1755" s="20" t="str">
        <f aca="false">IF(AND(Eingabe!$F$17&gt;0,Eingabe!$E$17&gt;=131),"10."&amp;Eingabe!$D$17&amp;".131.10 – 10."&amp;Eingabe!$D$17&amp;".131.250","")</f>
        <v/>
      </c>
      <c r="I1755" s="20" t="str">
        <f aca="false">IF(AND(Eingabe!$F$17&gt;0,Eingabe!$E$17&gt;=131),Eingabe!$B$6&amp;"-"&amp;Eingabe!$C$17&amp;"-Pächter","")</f>
        <v/>
      </c>
      <c r="J1755" s="20" t="str">
        <f aca="false">IF(AND(Eingabe!$F$17&gt;0,Eingabe!$E$17&gt;=131),"PPSK: Passwort Parzelle 131","")</f>
        <v/>
      </c>
      <c r="K1755" s="20" t="str">
        <f aca="false">IF(AND(Eingabe!$F$17&gt;0,Eingabe!$E$17&gt;=131),"1. Gerät: 10."&amp;Eingabe!$D$17&amp;".131.10, 2. Gerät: .11","")</f>
        <v/>
      </c>
    </row>
    <row r="1756" customFormat="false" ht="15" hidden="false" customHeight="false" outlineLevel="0" collapsed="false">
      <c r="A1756" s="20" t="str">
        <f aca="false">IF(AND(Eingabe!$F$17&gt;0,Eingabe!$E$17&gt;=132),9,"")</f>
        <v/>
      </c>
      <c r="B1756" s="20" t="str">
        <f aca="false">IF(AND(Eingabe!$F$17&gt;0,Eingabe!$E$17&gt;=132),Eingabe!$B$17,"")</f>
        <v/>
      </c>
      <c r="C1756" s="20" t="str">
        <f aca="false">IF(AND(Eingabe!$F$17&gt;0,Eingabe!$E$17&gt;=132),Eingabe!$C$17&amp;"-Paz."&amp;TEXT(132,"000"),"")</f>
        <v/>
      </c>
      <c r="D1756" s="20" t="str">
        <f aca="false">IF(AND(Eingabe!$F$17&gt;0,Eingabe!$E$17&gt;=132),132,"")</f>
        <v/>
      </c>
      <c r="E1756" s="20" t="str">
        <f aca="false">IF(AND(Eingabe!$F$17&gt;0,Eingabe!$E$17&gt;=132),IF((Eingabe!$G$17+1)&lt;=9,1000+(Eingabe!$G$17+1)*100,3000)+32,"")</f>
        <v/>
      </c>
      <c r="F1756" s="20" t="str">
        <f aca="false">IF(AND(Eingabe!$F$17&gt;0,Eingabe!$E$17&gt;=132),"10."&amp;Eingabe!$D$17&amp;".132.0/24","")</f>
        <v/>
      </c>
      <c r="G1756" s="20" t="str">
        <f aca="false">IF(AND(Eingabe!$F$17&gt;0,Eingabe!$E$17&gt;=132),"10."&amp;Eingabe!$D$17&amp;".132.1","")</f>
        <v/>
      </c>
      <c r="H1756" s="20" t="str">
        <f aca="false">IF(AND(Eingabe!$F$17&gt;0,Eingabe!$E$17&gt;=132),"10."&amp;Eingabe!$D$17&amp;".132.10 – 10."&amp;Eingabe!$D$17&amp;".132.250","")</f>
        <v/>
      </c>
      <c r="I1756" s="20" t="str">
        <f aca="false">IF(AND(Eingabe!$F$17&gt;0,Eingabe!$E$17&gt;=132),Eingabe!$B$6&amp;"-"&amp;Eingabe!$C$17&amp;"-Pächter","")</f>
        <v/>
      </c>
      <c r="J1756" s="20" t="str">
        <f aca="false">IF(AND(Eingabe!$F$17&gt;0,Eingabe!$E$17&gt;=132),"PPSK: Passwort Parzelle 132","")</f>
        <v/>
      </c>
      <c r="K1756" s="20" t="str">
        <f aca="false">IF(AND(Eingabe!$F$17&gt;0,Eingabe!$E$17&gt;=132),"1. Gerät: 10."&amp;Eingabe!$D$17&amp;".132.10, 2. Gerät: .11","")</f>
        <v/>
      </c>
    </row>
    <row r="1757" customFormat="false" ht="15" hidden="false" customHeight="false" outlineLevel="0" collapsed="false">
      <c r="A1757" s="20" t="str">
        <f aca="false">IF(AND(Eingabe!$F$17&gt;0,Eingabe!$E$17&gt;=133),9,"")</f>
        <v/>
      </c>
      <c r="B1757" s="20" t="str">
        <f aca="false">IF(AND(Eingabe!$F$17&gt;0,Eingabe!$E$17&gt;=133),Eingabe!$B$17,"")</f>
        <v/>
      </c>
      <c r="C1757" s="20" t="str">
        <f aca="false">IF(AND(Eingabe!$F$17&gt;0,Eingabe!$E$17&gt;=133),Eingabe!$C$17&amp;"-Paz."&amp;TEXT(133,"000"),"")</f>
        <v/>
      </c>
      <c r="D1757" s="20" t="str">
        <f aca="false">IF(AND(Eingabe!$F$17&gt;0,Eingabe!$E$17&gt;=133),133,"")</f>
        <v/>
      </c>
      <c r="E1757" s="20" t="str">
        <f aca="false">IF(AND(Eingabe!$F$17&gt;0,Eingabe!$E$17&gt;=133),IF((Eingabe!$G$17+1)&lt;=9,1000+(Eingabe!$G$17+1)*100,3000)+33,"")</f>
        <v/>
      </c>
      <c r="F1757" s="20" t="str">
        <f aca="false">IF(AND(Eingabe!$F$17&gt;0,Eingabe!$E$17&gt;=133),"10."&amp;Eingabe!$D$17&amp;".133.0/24","")</f>
        <v/>
      </c>
      <c r="G1757" s="20" t="str">
        <f aca="false">IF(AND(Eingabe!$F$17&gt;0,Eingabe!$E$17&gt;=133),"10."&amp;Eingabe!$D$17&amp;".133.1","")</f>
        <v/>
      </c>
      <c r="H1757" s="20" t="str">
        <f aca="false">IF(AND(Eingabe!$F$17&gt;0,Eingabe!$E$17&gt;=133),"10."&amp;Eingabe!$D$17&amp;".133.10 – 10."&amp;Eingabe!$D$17&amp;".133.250","")</f>
        <v/>
      </c>
      <c r="I1757" s="20" t="str">
        <f aca="false">IF(AND(Eingabe!$F$17&gt;0,Eingabe!$E$17&gt;=133),Eingabe!$B$6&amp;"-"&amp;Eingabe!$C$17&amp;"-Pächter","")</f>
        <v/>
      </c>
      <c r="J1757" s="20" t="str">
        <f aca="false">IF(AND(Eingabe!$F$17&gt;0,Eingabe!$E$17&gt;=133),"PPSK: Passwort Parzelle 133","")</f>
        <v/>
      </c>
      <c r="K1757" s="20" t="str">
        <f aca="false">IF(AND(Eingabe!$F$17&gt;0,Eingabe!$E$17&gt;=133),"1. Gerät: 10."&amp;Eingabe!$D$17&amp;".133.10, 2. Gerät: .11","")</f>
        <v/>
      </c>
    </row>
    <row r="1758" customFormat="false" ht="15" hidden="false" customHeight="false" outlineLevel="0" collapsed="false">
      <c r="A1758" s="20" t="str">
        <f aca="false">IF(AND(Eingabe!$F$17&gt;0,Eingabe!$E$17&gt;=134),9,"")</f>
        <v/>
      </c>
      <c r="B1758" s="20" t="str">
        <f aca="false">IF(AND(Eingabe!$F$17&gt;0,Eingabe!$E$17&gt;=134),Eingabe!$B$17,"")</f>
        <v/>
      </c>
      <c r="C1758" s="20" t="str">
        <f aca="false">IF(AND(Eingabe!$F$17&gt;0,Eingabe!$E$17&gt;=134),Eingabe!$C$17&amp;"-Paz."&amp;TEXT(134,"000"),"")</f>
        <v/>
      </c>
      <c r="D1758" s="20" t="str">
        <f aca="false">IF(AND(Eingabe!$F$17&gt;0,Eingabe!$E$17&gt;=134),134,"")</f>
        <v/>
      </c>
      <c r="E1758" s="20" t="str">
        <f aca="false">IF(AND(Eingabe!$F$17&gt;0,Eingabe!$E$17&gt;=134),IF((Eingabe!$G$17+1)&lt;=9,1000+(Eingabe!$G$17+1)*100,3000)+34,"")</f>
        <v/>
      </c>
      <c r="F1758" s="20" t="str">
        <f aca="false">IF(AND(Eingabe!$F$17&gt;0,Eingabe!$E$17&gt;=134),"10."&amp;Eingabe!$D$17&amp;".134.0/24","")</f>
        <v/>
      </c>
      <c r="G1758" s="20" t="str">
        <f aca="false">IF(AND(Eingabe!$F$17&gt;0,Eingabe!$E$17&gt;=134),"10."&amp;Eingabe!$D$17&amp;".134.1","")</f>
        <v/>
      </c>
      <c r="H1758" s="20" t="str">
        <f aca="false">IF(AND(Eingabe!$F$17&gt;0,Eingabe!$E$17&gt;=134),"10."&amp;Eingabe!$D$17&amp;".134.10 – 10."&amp;Eingabe!$D$17&amp;".134.250","")</f>
        <v/>
      </c>
      <c r="I1758" s="20" t="str">
        <f aca="false">IF(AND(Eingabe!$F$17&gt;0,Eingabe!$E$17&gt;=134),Eingabe!$B$6&amp;"-"&amp;Eingabe!$C$17&amp;"-Pächter","")</f>
        <v/>
      </c>
      <c r="J1758" s="20" t="str">
        <f aca="false">IF(AND(Eingabe!$F$17&gt;0,Eingabe!$E$17&gt;=134),"PPSK: Passwort Parzelle 134","")</f>
        <v/>
      </c>
      <c r="K1758" s="20" t="str">
        <f aca="false">IF(AND(Eingabe!$F$17&gt;0,Eingabe!$E$17&gt;=134),"1. Gerät: 10."&amp;Eingabe!$D$17&amp;".134.10, 2. Gerät: .11","")</f>
        <v/>
      </c>
    </row>
    <row r="1759" customFormat="false" ht="15" hidden="false" customHeight="false" outlineLevel="0" collapsed="false">
      <c r="A1759" s="20" t="str">
        <f aca="false">IF(AND(Eingabe!$F$17&gt;0,Eingabe!$E$17&gt;=135),9,"")</f>
        <v/>
      </c>
      <c r="B1759" s="20" t="str">
        <f aca="false">IF(AND(Eingabe!$F$17&gt;0,Eingabe!$E$17&gt;=135),Eingabe!$B$17,"")</f>
        <v/>
      </c>
      <c r="C1759" s="20" t="str">
        <f aca="false">IF(AND(Eingabe!$F$17&gt;0,Eingabe!$E$17&gt;=135),Eingabe!$C$17&amp;"-Paz."&amp;TEXT(135,"000"),"")</f>
        <v/>
      </c>
      <c r="D1759" s="20" t="str">
        <f aca="false">IF(AND(Eingabe!$F$17&gt;0,Eingabe!$E$17&gt;=135),135,"")</f>
        <v/>
      </c>
      <c r="E1759" s="20" t="str">
        <f aca="false">IF(AND(Eingabe!$F$17&gt;0,Eingabe!$E$17&gt;=135),IF((Eingabe!$G$17+1)&lt;=9,1000+(Eingabe!$G$17+1)*100,3000)+35,"")</f>
        <v/>
      </c>
      <c r="F1759" s="20" t="str">
        <f aca="false">IF(AND(Eingabe!$F$17&gt;0,Eingabe!$E$17&gt;=135),"10."&amp;Eingabe!$D$17&amp;".135.0/24","")</f>
        <v/>
      </c>
      <c r="G1759" s="20" t="str">
        <f aca="false">IF(AND(Eingabe!$F$17&gt;0,Eingabe!$E$17&gt;=135),"10."&amp;Eingabe!$D$17&amp;".135.1","")</f>
        <v/>
      </c>
      <c r="H1759" s="20" t="str">
        <f aca="false">IF(AND(Eingabe!$F$17&gt;0,Eingabe!$E$17&gt;=135),"10."&amp;Eingabe!$D$17&amp;".135.10 – 10."&amp;Eingabe!$D$17&amp;".135.250","")</f>
        <v/>
      </c>
      <c r="I1759" s="20" t="str">
        <f aca="false">IF(AND(Eingabe!$F$17&gt;0,Eingabe!$E$17&gt;=135),Eingabe!$B$6&amp;"-"&amp;Eingabe!$C$17&amp;"-Pächter","")</f>
        <v/>
      </c>
      <c r="J1759" s="20" t="str">
        <f aca="false">IF(AND(Eingabe!$F$17&gt;0,Eingabe!$E$17&gt;=135),"PPSK: Passwort Parzelle 135","")</f>
        <v/>
      </c>
      <c r="K1759" s="20" t="str">
        <f aca="false">IF(AND(Eingabe!$F$17&gt;0,Eingabe!$E$17&gt;=135),"1. Gerät: 10."&amp;Eingabe!$D$17&amp;".135.10, 2. Gerät: .11","")</f>
        <v/>
      </c>
    </row>
    <row r="1760" customFormat="false" ht="15" hidden="false" customHeight="false" outlineLevel="0" collapsed="false">
      <c r="A1760" s="20" t="str">
        <f aca="false">IF(AND(Eingabe!$F$17&gt;0,Eingabe!$E$17&gt;=136),9,"")</f>
        <v/>
      </c>
      <c r="B1760" s="20" t="str">
        <f aca="false">IF(AND(Eingabe!$F$17&gt;0,Eingabe!$E$17&gt;=136),Eingabe!$B$17,"")</f>
        <v/>
      </c>
      <c r="C1760" s="20" t="str">
        <f aca="false">IF(AND(Eingabe!$F$17&gt;0,Eingabe!$E$17&gt;=136),Eingabe!$C$17&amp;"-Paz."&amp;TEXT(136,"000"),"")</f>
        <v/>
      </c>
      <c r="D1760" s="20" t="str">
        <f aca="false">IF(AND(Eingabe!$F$17&gt;0,Eingabe!$E$17&gt;=136),136,"")</f>
        <v/>
      </c>
      <c r="E1760" s="20" t="str">
        <f aca="false">IF(AND(Eingabe!$F$17&gt;0,Eingabe!$E$17&gt;=136),IF((Eingabe!$G$17+1)&lt;=9,1000+(Eingabe!$G$17+1)*100,3000)+36,"")</f>
        <v/>
      </c>
      <c r="F1760" s="20" t="str">
        <f aca="false">IF(AND(Eingabe!$F$17&gt;0,Eingabe!$E$17&gt;=136),"10."&amp;Eingabe!$D$17&amp;".136.0/24","")</f>
        <v/>
      </c>
      <c r="G1760" s="20" t="str">
        <f aca="false">IF(AND(Eingabe!$F$17&gt;0,Eingabe!$E$17&gt;=136),"10."&amp;Eingabe!$D$17&amp;".136.1","")</f>
        <v/>
      </c>
      <c r="H1760" s="20" t="str">
        <f aca="false">IF(AND(Eingabe!$F$17&gt;0,Eingabe!$E$17&gt;=136),"10."&amp;Eingabe!$D$17&amp;".136.10 – 10."&amp;Eingabe!$D$17&amp;".136.250","")</f>
        <v/>
      </c>
      <c r="I1760" s="20" t="str">
        <f aca="false">IF(AND(Eingabe!$F$17&gt;0,Eingabe!$E$17&gt;=136),Eingabe!$B$6&amp;"-"&amp;Eingabe!$C$17&amp;"-Pächter","")</f>
        <v/>
      </c>
      <c r="J1760" s="20" t="str">
        <f aca="false">IF(AND(Eingabe!$F$17&gt;0,Eingabe!$E$17&gt;=136),"PPSK: Passwort Parzelle 136","")</f>
        <v/>
      </c>
      <c r="K1760" s="20" t="str">
        <f aca="false">IF(AND(Eingabe!$F$17&gt;0,Eingabe!$E$17&gt;=136),"1. Gerät: 10."&amp;Eingabe!$D$17&amp;".136.10, 2. Gerät: .11","")</f>
        <v/>
      </c>
    </row>
    <row r="1761" customFormat="false" ht="15" hidden="false" customHeight="false" outlineLevel="0" collapsed="false">
      <c r="A1761" s="20" t="str">
        <f aca="false">IF(AND(Eingabe!$F$17&gt;0,Eingabe!$E$17&gt;=137),9,"")</f>
        <v/>
      </c>
      <c r="B1761" s="20" t="str">
        <f aca="false">IF(AND(Eingabe!$F$17&gt;0,Eingabe!$E$17&gt;=137),Eingabe!$B$17,"")</f>
        <v/>
      </c>
      <c r="C1761" s="20" t="str">
        <f aca="false">IF(AND(Eingabe!$F$17&gt;0,Eingabe!$E$17&gt;=137),Eingabe!$C$17&amp;"-Paz."&amp;TEXT(137,"000"),"")</f>
        <v/>
      </c>
      <c r="D1761" s="20" t="str">
        <f aca="false">IF(AND(Eingabe!$F$17&gt;0,Eingabe!$E$17&gt;=137),137,"")</f>
        <v/>
      </c>
      <c r="E1761" s="20" t="str">
        <f aca="false">IF(AND(Eingabe!$F$17&gt;0,Eingabe!$E$17&gt;=137),IF((Eingabe!$G$17+1)&lt;=9,1000+(Eingabe!$G$17+1)*100,3000)+37,"")</f>
        <v/>
      </c>
      <c r="F1761" s="20" t="str">
        <f aca="false">IF(AND(Eingabe!$F$17&gt;0,Eingabe!$E$17&gt;=137),"10."&amp;Eingabe!$D$17&amp;".137.0/24","")</f>
        <v/>
      </c>
      <c r="G1761" s="20" t="str">
        <f aca="false">IF(AND(Eingabe!$F$17&gt;0,Eingabe!$E$17&gt;=137),"10."&amp;Eingabe!$D$17&amp;".137.1","")</f>
        <v/>
      </c>
      <c r="H1761" s="20" t="str">
        <f aca="false">IF(AND(Eingabe!$F$17&gt;0,Eingabe!$E$17&gt;=137),"10."&amp;Eingabe!$D$17&amp;".137.10 – 10."&amp;Eingabe!$D$17&amp;".137.250","")</f>
        <v/>
      </c>
      <c r="I1761" s="20" t="str">
        <f aca="false">IF(AND(Eingabe!$F$17&gt;0,Eingabe!$E$17&gt;=137),Eingabe!$B$6&amp;"-"&amp;Eingabe!$C$17&amp;"-Pächter","")</f>
        <v/>
      </c>
      <c r="J1761" s="20" t="str">
        <f aca="false">IF(AND(Eingabe!$F$17&gt;0,Eingabe!$E$17&gt;=137),"PPSK: Passwort Parzelle 137","")</f>
        <v/>
      </c>
      <c r="K1761" s="20" t="str">
        <f aca="false">IF(AND(Eingabe!$F$17&gt;0,Eingabe!$E$17&gt;=137),"1. Gerät: 10."&amp;Eingabe!$D$17&amp;".137.10, 2. Gerät: .11","")</f>
        <v/>
      </c>
    </row>
    <row r="1762" customFormat="false" ht="15" hidden="false" customHeight="false" outlineLevel="0" collapsed="false">
      <c r="A1762" s="20" t="str">
        <f aca="false">IF(AND(Eingabe!$F$17&gt;0,Eingabe!$E$17&gt;=138),9,"")</f>
        <v/>
      </c>
      <c r="B1762" s="20" t="str">
        <f aca="false">IF(AND(Eingabe!$F$17&gt;0,Eingabe!$E$17&gt;=138),Eingabe!$B$17,"")</f>
        <v/>
      </c>
      <c r="C1762" s="20" t="str">
        <f aca="false">IF(AND(Eingabe!$F$17&gt;0,Eingabe!$E$17&gt;=138),Eingabe!$C$17&amp;"-Paz."&amp;TEXT(138,"000"),"")</f>
        <v/>
      </c>
      <c r="D1762" s="20" t="str">
        <f aca="false">IF(AND(Eingabe!$F$17&gt;0,Eingabe!$E$17&gt;=138),138,"")</f>
        <v/>
      </c>
      <c r="E1762" s="20" t="str">
        <f aca="false">IF(AND(Eingabe!$F$17&gt;0,Eingabe!$E$17&gt;=138),IF((Eingabe!$G$17+1)&lt;=9,1000+(Eingabe!$G$17+1)*100,3000)+38,"")</f>
        <v/>
      </c>
      <c r="F1762" s="20" t="str">
        <f aca="false">IF(AND(Eingabe!$F$17&gt;0,Eingabe!$E$17&gt;=138),"10."&amp;Eingabe!$D$17&amp;".138.0/24","")</f>
        <v/>
      </c>
      <c r="G1762" s="20" t="str">
        <f aca="false">IF(AND(Eingabe!$F$17&gt;0,Eingabe!$E$17&gt;=138),"10."&amp;Eingabe!$D$17&amp;".138.1","")</f>
        <v/>
      </c>
      <c r="H1762" s="20" t="str">
        <f aca="false">IF(AND(Eingabe!$F$17&gt;0,Eingabe!$E$17&gt;=138),"10."&amp;Eingabe!$D$17&amp;".138.10 – 10."&amp;Eingabe!$D$17&amp;".138.250","")</f>
        <v/>
      </c>
      <c r="I1762" s="20" t="str">
        <f aca="false">IF(AND(Eingabe!$F$17&gt;0,Eingabe!$E$17&gt;=138),Eingabe!$B$6&amp;"-"&amp;Eingabe!$C$17&amp;"-Pächter","")</f>
        <v/>
      </c>
      <c r="J1762" s="20" t="str">
        <f aca="false">IF(AND(Eingabe!$F$17&gt;0,Eingabe!$E$17&gt;=138),"PPSK: Passwort Parzelle 138","")</f>
        <v/>
      </c>
      <c r="K1762" s="20" t="str">
        <f aca="false">IF(AND(Eingabe!$F$17&gt;0,Eingabe!$E$17&gt;=138),"1. Gerät: 10."&amp;Eingabe!$D$17&amp;".138.10, 2. Gerät: .11","")</f>
        <v/>
      </c>
    </row>
    <row r="1763" customFormat="false" ht="15" hidden="false" customHeight="false" outlineLevel="0" collapsed="false">
      <c r="A1763" s="20" t="str">
        <f aca="false">IF(AND(Eingabe!$F$17&gt;0,Eingabe!$E$17&gt;=139),9,"")</f>
        <v/>
      </c>
      <c r="B1763" s="20" t="str">
        <f aca="false">IF(AND(Eingabe!$F$17&gt;0,Eingabe!$E$17&gt;=139),Eingabe!$B$17,"")</f>
        <v/>
      </c>
      <c r="C1763" s="20" t="str">
        <f aca="false">IF(AND(Eingabe!$F$17&gt;0,Eingabe!$E$17&gt;=139),Eingabe!$C$17&amp;"-Paz."&amp;TEXT(139,"000"),"")</f>
        <v/>
      </c>
      <c r="D1763" s="20" t="str">
        <f aca="false">IF(AND(Eingabe!$F$17&gt;0,Eingabe!$E$17&gt;=139),139,"")</f>
        <v/>
      </c>
      <c r="E1763" s="20" t="str">
        <f aca="false">IF(AND(Eingabe!$F$17&gt;0,Eingabe!$E$17&gt;=139),IF((Eingabe!$G$17+1)&lt;=9,1000+(Eingabe!$G$17+1)*100,3000)+39,"")</f>
        <v/>
      </c>
      <c r="F1763" s="20" t="str">
        <f aca="false">IF(AND(Eingabe!$F$17&gt;0,Eingabe!$E$17&gt;=139),"10."&amp;Eingabe!$D$17&amp;".139.0/24","")</f>
        <v/>
      </c>
      <c r="G1763" s="20" t="str">
        <f aca="false">IF(AND(Eingabe!$F$17&gt;0,Eingabe!$E$17&gt;=139),"10."&amp;Eingabe!$D$17&amp;".139.1","")</f>
        <v/>
      </c>
      <c r="H1763" s="20" t="str">
        <f aca="false">IF(AND(Eingabe!$F$17&gt;0,Eingabe!$E$17&gt;=139),"10."&amp;Eingabe!$D$17&amp;".139.10 – 10."&amp;Eingabe!$D$17&amp;".139.250","")</f>
        <v/>
      </c>
      <c r="I1763" s="20" t="str">
        <f aca="false">IF(AND(Eingabe!$F$17&gt;0,Eingabe!$E$17&gt;=139),Eingabe!$B$6&amp;"-"&amp;Eingabe!$C$17&amp;"-Pächter","")</f>
        <v/>
      </c>
      <c r="J1763" s="20" t="str">
        <f aca="false">IF(AND(Eingabe!$F$17&gt;0,Eingabe!$E$17&gt;=139),"PPSK: Passwort Parzelle 139","")</f>
        <v/>
      </c>
      <c r="K1763" s="20" t="str">
        <f aca="false">IF(AND(Eingabe!$F$17&gt;0,Eingabe!$E$17&gt;=139),"1. Gerät: 10."&amp;Eingabe!$D$17&amp;".139.10, 2. Gerät: .11","")</f>
        <v/>
      </c>
    </row>
    <row r="1764" customFormat="false" ht="15" hidden="false" customHeight="false" outlineLevel="0" collapsed="false">
      <c r="A1764" s="20" t="str">
        <f aca="false">IF(AND(Eingabe!$F$17&gt;0,Eingabe!$E$17&gt;=140),9,"")</f>
        <v/>
      </c>
      <c r="B1764" s="20" t="str">
        <f aca="false">IF(AND(Eingabe!$F$17&gt;0,Eingabe!$E$17&gt;=140),Eingabe!$B$17,"")</f>
        <v/>
      </c>
      <c r="C1764" s="20" t="str">
        <f aca="false">IF(AND(Eingabe!$F$17&gt;0,Eingabe!$E$17&gt;=140),Eingabe!$C$17&amp;"-Paz."&amp;TEXT(140,"000"),"")</f>
        <v/>
      </c>
      <c r="D1764" s="20" t="str">
        <f aca="false">IF(AND(Eingabe!$F$17&gt;0,Eingabe!$E$17&gt;=140),140,"")</f>
        <v/>
      </c>
      <c r="E1764" s="20" t="str">
        <f aca="false">IF(AND(Eingabe!$F$17&gt;0,Eingabe!$E$17&gt;=140),IF((Eingabe!$G$17+1)&lt;=9,1000+(Eingabe!$G$17+1)*100,3000)+40,"")</f>
        <v/>
      </c>
      <c r="F1764" s="20" t="str">
        <f aca="false">IF(AND(Eingabe!$F$17&gt;0,Eingabe!$E$17&gt;=140),"10."&amp;Eingabe!$D$17&amp;".140.0/24","")</f>
        <v/>
      </c>
      <c r="G1764" s="20" t="str">
        <f aca="false">IF(AND(Eingabe!$F$17&gt;0,Eingabe!$E$17&gt;=140),"10."&amp;Eingabe!$D$17&amp;".140.1","")</f>
        <v/>
      </c>
      <c r="H1764" s="20" t="str">
        <f aca="false">IF(AND(Eingabe!$F$17&gt;0,Eingabe!$E$17&gt;=140),"10."&amp;Eingabe!$D$17&amp;".140.10 – 10."&amp;Eingabe!$D$17&amp;".140.250","")</f>
        <v/>
      </c>
      <c r="I1764" s="20" t="str">
        <f aca="false">IF(AND(Eingabe!$F$17&gt;0,Eingabe!$E$17&gt;=140),Eingabe!$B$6&amp;"-"&amp;Eingabe!$C$17&amp;"-Pächter","")</f>
        <v/>
      </c>
      <c r="J1764" s="20" t="str">
        <f aca="false">IF(AND(Eingabe!$F$17&gt;0,Eingabe!$E$17&gt;=140),"PPSK: Passwort Parzelle 140","")</f>
        <v/>
      </c>
      <c r="K1764" s="20" t="str">
        <f aca="false">IF(AND(Eingabe!$F$17&gt;0,Eingabe!$E$17&gt;=140),"1. Gerät: 10."&amp;Eingabe!$D$17&amp;".140.10, 2. Gerät: .11","")</f>
        <v/>
      </c>
    </row>
    <row r="1765" customFormat="false" ht="15" hidden="false" customHeight="false" outlineLevel="0" collapsed="false">
      <c r="A1765" s="20" t="str">
        <f aca="false">IF(AND(Eingabe!$F$17&gt;0,Eingabe!$E$17&gt;=141),9,"")</f>
        <v/>
      </c>
      <c r="B1765" s="20" t="str">
        <f aca="false">IF(AND(Eingabe!$F$17&gt;0,Eingabe!$E$17&gt;=141),Eingabe!$B$17,"")</f>
        <v/>
      </c>
      <c r="C1765" s="20" t="str">
        <f aca="false">IF(AND(Eingabe!$F$17&gt;0,Eingabe!$E$17&gt;=141),Eingabe!$C$17&amp;"-Paz."&amp;TEXT(141,"000"),"")</f>
        <v/>
      </c>
      <c r="D1765" s="20" t="str">
        <f aca="false">IF(AND(Eingabe!$F$17&gt;0,Eingabe!$E$17&gt;=141),141,"")</f>
        <v/>
      </c>
      <c r="E1765" s="20" t="str">
        <f aca="false">IF(AND(Eingabe!$F$17&gt;0,Eingabe!$E$17&gt;=141),IF((Eingabe!$G$17+1)&lt;=9,1000+(Eingabe!$G$17+1)*100,3000)+41,"")</f>
        <v/>
      </c>
      <c r="F1765" s="20" t="str">
        <f aca="false">IF(AND(Eingabe!$F$17&gt;0,Eingabe!$E$17&gt;=141),"10."&amp;Eingabe!$D$17&amp;".141.0/24","")</f>
        <v/>
      </c>
      <c r="G1765" s="20" t="str">
        <f aca="false">IF(AND(Eingabe!$F$17&gt;0,Eingabe!$E$17&gt;=141),"10."&amp;Eingabe!$D$17&amp;".141.1","")</f>
        <v/>
      </c>
      <c r="H1765" s="20" t="str">
        <f aca="false">IF(AND(Eingabe!$F$17&gt;0,Eingabe!$E$17&gt;=141),"10."&amp;Eingabe!$D$17&amp;".141.10 – 10."&amp;Eingabe!$D$17&amp;".141.250","")</f>
        <v/>
      </c>
      <c r="I1765" s="20" t="str">
        <f aca="false">IF(AND(Eingabe!$F$17&gt;0,Eingabe!$E$17&gt;=141),Eingabe!$B$6&amp;"-"&amp;Eingabe!$C$17&amp;"-Pächter","")</f>
        <v/>
      </c>
      <c r="J1765" s="20" t="str">
        <f aca="false">IF(AND(Eingabe!$F$17&gt;0,Eingabe!$E$17&gt;=141),"PPSK: Passwort Parzelle 141","")</f>
        <v/>
      </c>
      <c r="K1765" s="20" t="str">
        <f aca="false">IF(AND(Eingabe!$F$17&gt;0,Eingabe!$E$17&gt;=141),"1. Gerät: 10."&amp;Eingabe!$D$17&amp;".141.10, 2. Gerät: .11","")</f>
        <v/>
      </c>
    </row>
    <row r="1766" customFormat="false" ht="15" hidden="false" customHeight="false" outlineLevel="0" collapsed="false">
      <c r="A1766" s="20" t="str">
        <f aca="false">IF(AND(Eingabe!$F$17&gt;0,Eingabe!$E$17&gt;=142),9,"")</f>
        <v/>
      </c>
      <c r="B1766" s="20" t="str">
        <f aca="false">IF(AND(Eingabe!$F$17&gt;0,Eingabe!$E$17&gt;=142),Eingabe!$B$17,"")</f>
        <v/>
      </c>
      <c r="C1766" s="20" t="str">
        <f aca="false">IF(AND(Eingabe!$F$17&gt;0,Eingabe!$E$17&gt;=142),Eingabe!$C$17&amp;"-Paz."&amp;TEXT(142,"000"),"")</f>
        <v/>
      </c>
      <c r="D1766" s="20" t="str">
        <f aca="false">IF(AND(Eingabe!$F$17&gt;0,Eingabe!$E$17&gt;=142),142,"")</f>
        <v/>
      </c>
      <c r="E1766" s="20" t="str">
        <f aca="false">IF(AND(Eingabe!$F$17&gt;0,Eingabe!$E$17&gt;=142),IF((Eingabe!$G$17+1)&lt;=9,1000+(Eingabe!$G$17+1)*100,3000)+42,"")</f>
        <v/>
      </c>
      <c r="F1766" s="20" t="str">
        <f aca="false">IF(AND(Eingabe!$F$17&gt;0,Eingabe!$E$17&gt;=142),"10."&amp;Eingabe!$D$17&amp;".142.0/24","")</f>
        <v/>
      </c>
      <c r="G1766" s="20" t="str">
        <f aca="false">IF(AND(Eingabe!$F$17&gt;0,Eingabe!$E$17&gt;=142),"10."&amp;Eingabe!$D$17&amp;".142.1","")</f>
        <v/>
      </c>
      <c r="H1766" s="20" t="str">
        <f aca="false">IF(AND(Eingabe!$F$17&gt;0,Eingabe!$E$17&gt;=142),"10."&amp;Eingabe!$D$17&amp;".142.10 – 10."&amp;Eingabe!$D$17&amp;".142.250","")</f>
        <v/>
      </c>
      <c r="I1766" s="20" t="str">
        <f aca="false">IF(AND(Eingabe!$F$17&gt;0,Eingabe!$E$17&gt;=142),Eingabe!$B$6&amp;"-"&amp;Eingabe!$C$17&amp;"-Pächter","")</f>
        <v/>
      </c>
      <c r="J1766" s="20" t="str">
        <f aca="false">IF(AND(Eingabe!$F$17&gt;0,Eingabe!$E$17&gt;=142),"PPSK: Passwort Parzelle 142","")</f>
        <v/>
      </c>
      <c r="K1766" s="20" t="str">
        <f aca="false">IF(AND(Eingabe!$F$17&gt;0,Eingabe!$E$17&gt;=142),"1. Gerät: 10."&amp;Eingabe!$D$17&amp;".142.10, 2. Gerät: .11","")</f>
        <v/>
      </c>
    </row>
    <row r="1767" customFormat="false" ht="15" hidden="false" customHeight="false" outlineLevel="0" collapsed="false">
      <c r="A1767" s="20" t="str">
        <f aca="false">IF(AND(Eingabe!$F$17&gt;0,Eingabe!$E$17&gt;=143),9,"")</f>
        <v/>
      </c>
      <c r="B1767" s="20" t="str">
        <f aca="false">IF(AND(Eingabe!$F$17&gt;0,Eingabe!$E$17&gt;=143),Eingabe!$B$17,"")</f>
        <v/>
      </c>
      <c r="C1767" s="20" t="str">
        <f aca="false">IF(AND(Eingabe!$F$17&gt;0,Eingabe!$E$17&gt;=143),Eingabe!$C$17&amp;"-Paz."&amp;TEXT(143,"000"),"")</f>
        <v/>
      </c>
      <c r="D1767" s="20" t="str">
        <f aca="false">IF(AND(Eingabe!$F$17&gt;0,Eingabe!$E$17&gt;=143),143,"")</f>
        <v/>
      </c>
      <c r="E1767" s="20" t="str">
        <f aca="false">IF(AND(Eingabe!$F$17&gt;0,Eingabe!$E$17&gt;=143),IF((Eingabe!$G$17+1)&lt;=9,1000+(Eingabe!$G$17+1)*100,3000)+43,"")</f>
        <v/>
      </c>
      <c r="F1767" s="20" t="str">
        <f aca="false">IF(AND(Eingabe!$F$17&gt;0,Eingabe!$E$17&gt;=143),"10."&amp;Eingabe!$D$17&amp;".143.0/24","")</f>
        <v/>
      </c>
      <c r="G1767" s="20" t="str">
        <f aca="false">IF(AND(Eingabe!$F$17&gt;0,Eingabe!$E$17&gt;=143),"10."&amp;Eingabe!$D$17&amp;".143.1","")</f>
        <v/>
      </c>
      <c r="H1767" s="20" t="str">
        <f aca="false">IF(AND(Eingabe!$F$17&gt;0,Eingabe!$E$17&gt;=143),"10."&amp;Eingabe!$D$17&amp;".143.10 – 10."&amp;Eingabe!$D$17&amp;".143.250","")</f>
        <v/>
      </c>
      <c r="I1767" s="20" t="str">
        <f aca="false">IF(AND(Eingabe!$F$17&gt;0,Eingabe!$E$17&gt;=143),Eingabe!$B$6&amp;"-"&amp;Eingabe!$C$17&amp;"-Pächter","")</f>
        <v/>
      </c>
      <c r="J1767" s="20" t="str">
        <f aca="false">IF(AND(Eingabe!$F$17&gt;0,Eingabe!$E$17&gt;=143),"PPSK: Passwort Parzelle 143","")</f>
        <v/>
      </c>
      <c r="K1767" s="20" t="str">
        <f aca="false">IF(AND(Eingabe!$F$17&gt;0,Eingabe!$E$17&gt;=143),"1. Gerät: 10."&amp;Eingabe!$D$17&amp;".143.10, 2. Gerät: .11","")</f>
        <v/>
      </c>
    </row>
    <row r="1768" customFormat="false" ht="15" hidden="false" customHeight="false" outlineLevel="0" collapsed="false">
      <c r="A1768" s="20" t="str">
        <f aca="false">IF(AND(Eingabe!$F$17&gt;0,Eingabe!$E$17&gt;=144),9,"")</f>
        <v/>
      </c>
      <c r="B1768" s="20" t="str">
        <f aca="false">IF(AND(Eingabe!$F$17&gt;0,Eingabe!$E$17&gt;=144),Eingabe!$B$17,"")</f>
        <v/>
      </c>
      <c r="C1768" s="20" t="str">
        <f aca="false">IF(AND(Eingabe!$F$17&gt;0,Eingabe!$E$17&gt;=144),Eingabe!$C$17&amp;"-Paz."&amp;TEXT(144,"000"),"")</f>
        <v/>
      </c>
      <c r="D1768" s="20" t="str">
        <f aca="false">IF(AND(Eingabe!$F$17&gt;0,Eingabe!$E$17&gt;=144),144,"")</f>
        <v/>
      </c>
      <c r="E1768" s="20" t="str">
        <f aca="false">IF(AND(Eingabe!$F$17&gt;0,Eingabe!$E$17&gt;=144),IF((Eingabe!$G$17+1)&lt;=9,1000+(Eingabe!$G$17+1)*100,3000)+44,"")</f>
        <v/>
      </c>
      <c r="F1768" s="20" t="str">
        <f aca="false">IF(AND(Eingabe!$F$17&gt;0,Eingabe!$E$17&gt;=144),"10."&amp;Eingabe!$D$17&amp;".144.0/24","")</f>
        <v/>
      </c>
      <c r="G1768" s="20" t="str">
        <f aca="false">IF(AND(Eingabe!$F$17&gt;0,Eingabe!$E$17&gt;=144),"10."&amp;Eingabe!$D$17&amp;".144.1","")</f>
        <v/>
      </c>
      <c r="H1768" s="20" t="str">
        <f aca="false">IF(AND(Eingabe!$F$17&gt;0,Eingabe!$E$17&gt;=144),"10."&amp;Eingabe!$D$17&amp;".144.10 – 10."&amp;Eingabe!$D$17&amp;".144.250","")</f>
        <v/>
      </c>
      <c r="I1768" s="20" t="str">
        <f aca="false">IF(AND(Eingabe!$F$17&gt;0,Eingabe!$E$17&gt;=144),Eingabe!$B$6&amp;"-"&amp;Eingabe!$C$17&amp;"-Pächter","")</f>
        <v/>
      </c>
      <c r="J1768" s="20" t="str">
        <f aca="false">IF(AND(Eingabe!$F$17&gt;0,Eingabe!$E$17&gt;=144),"PPSK: Passwort Parzelle 144","")</f>
        <v/>
      </c>
      <c r="K1768" s="20" t="str">
        <f aca="false">IF(AND(Eingabe!$F$17&gt;0,Eingabe!$E$17&gt;=144),"1. Gerät: 10."&amp;Eingabe!$D$17&amp;".144.10, 2. Gerät: .11","")</f>
        <v/>
      </c>
    </row>
    <row r="1769" customFormat="false" ht="15" hidden="false" customHeight="false" outlineLevel="0" collapsed="false">
      <c r="A1769" s="20" t="str">
        <f aca="false">IF(AND(Eingabe!$F$17&gt;0,Eingabe!$E$17&gt;=145),9,"")</f>
        <v/>
      </c>
      <c r="B1769" s="20" t="str">
        <f aca="false">IF(AND(Eingabe!$F$17&gt;0,Eingabe!$E$17&gt;=145),Eingabe!$B$17,"")</f>
        <v/>
      </c>
      <c r="C1769" s="20" t="str">
        <f aca="false">IF(AND(Eingabe!$F$17&gt;0,Eingabe!$E$17&gt;=145),Eingabe!$C$17&amp;"-Paz."&amp;TEXT(145,"000"),"")</f>
        <v/>
      </c>
      <c r="D1769" s="20" t="str">
        <f aca="false">IF(AND(Eingabe!$F$17&gt;0,Eingabe!$E$17&gt;=145),145,"")</f>
        <v/>
      </c>
      <c r="E1769" s="20" t="str">
        <f aca="false">IF(AND(Eingabe!$F$17&gt;0,Eingabe!$E$17&gt;=145),IF((Eingabe!$G$17+1)&lt;=9,1000+(Eingabe!$G$17+1)*100,3000)+45,"")</f>
        <v/>
      </c>
      <c r="F1769" s="20" t="str">
        <f aca="false">IF(AND(Eingabe!$F$17&gt;0,Eingabe!$E$17&gt;=145),"10."&amp;Eingabe!$D$17&amp;".145.0/24","")</f>
        <v/>
      </c>
      <c r="G1769" s="20" t="str">
        <f aca="false">IF(AND(Eingabe!$F$17&gt;0,Eingabe!$E$17&gt;=145),"10."&amp;Eingabe!$D$17&amp;".145.1","")</f>
        <v/>
      </c>
      <c r="H1769" s="20" t="str">
        <f aca="false">IF(AND(Eingabe!$F$17&gt;0,Eingabe!$E$17&gt;=145),"10."&amp;Eingabe!$D$17&amp;".145.10 – 10."&amp;Eingabe!$D$17&amp;".145.250","")</f>
        <v/>
      </c>
      <c r="I1769" s="20" t="str">
        <f aca="false">IF(AND(Eingabe!$F$17&gt;0,Eingabe!$E$17&gt;=145),Eingabe!$B$6&amp;"-"&amp;Eingabe!$C$17&amp;"-Pächter","")</f>
        <v/>
      </c>
      <c r="J1769" s="20" t="str">
        <f aca="false">IF(AND(Eingabe!$F$17&gt;0,Eingabe!$E$17&gt;=145),"PPSK: Passwort Parzelle 145","")</f>
        <v/>
      </c>
      <c r="K1769" s="20" t="str">
        <f aca="false">IF(AND(Eingabe!$F$17&gt;0,Eingabe!$E$17&gt;=145),"1. Gerät: 10."&amp;Eingabe!$D$17&amp;".145.10, 2. Gerät: .11","")</f>
        <v/>
      </c>
    </row>
    <row r="1770" customFormat="false" ht="15" hidden="false" customHeight="false" outlineLevel="0" collapsed="false">
      <c r="A1770" s="20" t="str">
        <f aca="false">IF(AND(Eingabe!$F$17&gt;0,Eingabe!$E$17&gt;=146),9,"")</f>
        <v/>
      </c>
      <c r="B1770" s="20" t="str">
        <f aca="false">IF(AND(Eingabe!$F$17&gt;0,Eingabe!$E$17&gt;=146),Eingabe!$B$17,"")</f>
        <v/>
      </c>
      <c r="C1770" s="20" t="str">
        <f aca="false">IF(AND(Eingabe!$F$17&gt;0,Eingabe!$E$17&gt;=146),Eingabe!$C$17&amp;"-Paz."&amp;TEXT(146,"000"),"")</f>
        <v/>
      </c>
      <c r="D1770" s="20" t="str">
        <f aca="false">IF(AND(Eingabe!$F$17&gt;0,Eingabe!$E$17&gt;=146),146,"")</f>
        <v/>
      </c>
      <c r="E1770" s="20" t="str">
        <f aca="false">IF(AND(Eingabe!$F$17&gt;0,Eingabe!$E$17&gt;=146),IF((Eingabe!$G$17+1)&lt;=9,1000+(Eingabe!$G$17+1)*100,3000)+46,"")</f>
        <v/>
      </c>
      <c r="F1770" s="20" t="str">
        <f aca="false">IF(AND(Eingabe!$F$17&gt;0,Eingabe!$E$17&gt;=146),"10."&amp;Eingabe!$D$17&amp;".146.0/24","")</f>
        <v/>
      </c>
      <c r="G1770" s="20" t="str">
        <f aca="false">IF(AND(Eingabe!$F$17&gt;0,Eingabe!$E$17&gt;=146),"10."&amp;Eingabe!$D$17&amp;".146.1","")</f>
        <v/>
      </c>
      <c r="H1770" s="20" t="str">
        <f aca="false">IF(AND(Eingabe!$F$17&gt;0,Eingabe!$E$17&gt;=146),"10."&amp;Eingabe!$D$17&amp;".146.10 – 10."&amp;Eingabe!$D$17&amp;".146.250","")</f>
        <v/>
      </c>
      <c r="I1770" s="20" t="str">
        <f aca="false">IF(AND(Eingabe!$F$17&gt;0,Eingabe!$E$17&gt;=146),Eingabe!$B$6&amp;"-"&amp;Eingabe!$C$17&amp;"-Pächter","")</f>
        <v/>
      </c>
      <c r="J1770" s="20" t="str">
        <f aca="false">IF(AND(Eingabe!$F$17&gt;0,Eingabe!$E$17&gt;=146),"PPSK: Passwort Parzelle 146","")</f>
        <v/>
      </c>
      <c r="K1770" s="20" t="str">
        <f aca="false">IF(AND(Eingabe!$F$17&gt;0,Eingabe!$E$17&gt;=146),"1. Gerät: 10."&amp;Eingabe!$D$17&amp;".146.10, 2. Gerät: .11","")</f>
        <v/>
      </c>
    </row>
    <row r="1771" customFormat="false" ht="15" hidden="false" customHeight="false" outlineLevel="0" collapsed="false">
      <c r="A1771" s="20" t="str">
        <f aca="false">IF(AND(Eingabe!$F$17&gt;0,Eingabe!$E$17&gt;=147),9,"")</f>
        <v/>
      </c>
      <c r="B1771" s="20" t="str">
        <f aca="false">IF(AND(Eingabe!$F$17&gt;0,Eingabe!$E$17&gt;=147),Eingabe!$B$17,"")</f>
        <v/>
      </c>
      <c r="C1771" s="20" t="str">
        <f aca="false">IF(AND(Eingabe!$F$17&gt;0,Eingabe!$E$17&gt;=147),Eingabe!$C$17&amp;"-Paz."&amp;TEXT(147,"000"),"")</f>
        <v/>
      </c>
      <c r="D1771" s="20" t="str">
        <f aca="false">IF(AND(Eingabe!$F$17&gt;0,Eingabe!$E$17&gt;=147),147,"")</f>
        <v/>
      </c>
      <c r="E1771" s="20" t="str">
        <f aca="false">IF(AND(Eingabe!$F$17&gt;0,Eingabe!$E$17&gt;=147),IF((Eingabe!$G$17+1)&lt;=9,1000+(Eingabe!$G$17+1)*100,3000)+47,"")</f>
        <v/>
      </c>
      <c r="F1771" s="20" t="str">
        <f aca="false">IF(AND(Eingabe!$F$17&gt;0,Eingabe!$E$17&gt;=147),"10."&amp;Eingabe!$D$17&amp;".147.0/24","")</f>
        <v/>
      </c>
      <c r="G1771" s="20" t="str">
        <f aca="false">IF(AND(Eingabe!$F$17&gt;0,Eingabe!$E$17&gt;=147),"10."&amp;Eingabe!$D$17&amp;".147.1","")</f>
        <v/>
      </c>
      <c r="H1771" s="20" t="str">
        <f aca="false">IF(AND(Eingabe!$F$17&gt;0,Eingabe!$E$17&gt;=147),"10."&amp;Eingabe!$D$17&amp;".147.10 – 10."&amp;Eingabe!$D$17&amp;".147.250","")</f>
        <v/>
      </c>
      <c r="I1771" s="20" t="str">
        <f aca="false">IF(AND(Eingabe!$F$17&gt;0,Eingabe!$E$17&gt;=147),Eingabe!$B$6&amp;"-"&amp;Eingabe!$C$17&amp;"-Pächter","")</f>
        <v/>
      </c>
      <c r="J1771" s="20" t="str">
        <f aca="false">IF(AND(Eingabe!$F$17&gt;0,Eingabe!$E$17&gt;=147),"PPSK: Passwort Parzelle 147","")</f>
        <v/>
      </c>
      <c r="K1771" s="20" t="str">
        <f aca="false">IF(AND(Eingabe!$F$17&gt;0,Eingabe!$E$17&gt;=147),"1. Gerät: 10."&amp;Eingabe!$D$17&amp;".147.10, 2. Gerät: .11","")</f>
        <v/>
      </c>
    </row>
    <row r="1772" customFormat="false" ht="15" hidden="false" customHeight="false" outlineLevel="0" collapsed="false">
      <c r="A1772" s="20" t="str">
        <f aca="false">IF(AND(Eingabe!$F$17&gt;0,Eingabe!$E$17&gt;=148),9,"")</f>
        <v/>
      </c>
      <c r="B1772" s="20" t="str">
        <f aca="false">IF(AND(Eingabe!$F$17&gt;0,Eingabe!$E$17&gt;=148),Eingabe!$B$17,"")</f>
        <v/>
      </c>
      <c r="C1772" s="20" t="str">
        <f aca="false">IF(AND(Eingabe!$F$17&gt;0,Eingabe!$E$17&gt;=148),Eingabe!$C$17&amp;"-Paz."&amp;TEXT(148,"000"),"")</f>
        <v/>
      </c>
      <c r="D1772" s="20" t="str">
        <f aca="false">IF(AND(Eingabe!$F$17&gt;0,Eingabe!$E$17&gt;=148),148,"")</f>
        <v/>
      </c>
      <c r="E1772" s="20" t="str">
        <f aca="false">IF(AND(Eingabe!$F$17&gt;0,Eingabe!$E$17&gt;=148),IF((Eingabe!$G$17+1)&lt;=9,1000+(Eingabe!$G$17+1)*100,3000)+48,"")</f>
        <v/>
      </c>
      <c r="F1772" s="20" t="str">
        <f aca="false">IF(AND(Eingabe!$F$17&gt;0,Eingabe!$E$17&gt;=148),"10."&amp;Eingabe!$D$17&amp;".148.0/24","")</f>
        <v/>
      </c>
      <c r="G1772" s="20" t="str">
        <f aca="false">IF(AND(Eingabe!$F$17&gt;0,Eingabe!$E$17&gt;=148),"10."&amp;Eingabe!$D$17&amp;".148.1","")</f>
        <v/>
      </c>
      <c r="H1772" s="20" t="str">
        <f aca="false">IF(AND(Eingabe!$F$17&gt;0,Eingabe!$E$17&gt;=148),"10."&amp;Eingabe!$D$17&amp;".148.10 – 10."&amp;Eingabe!$D$17&amp;".148.250","")</f>
        <v/>
      </c>
      <c r="I1772" s="20" t="str">
        <f aca="false">IF(AND(Eingabe!$F$17&gt;0,Eingabe!$E$17&gt;=148),Eingabe!$B$6&amp;"-"&amp;Eingabe!$C$17&amp;"-Pächter","")</f>
        <v/>
      </c>
      <c r="J1772" s="20" t="str">
        <f aca="false">IF(AND(Eingabe!$F$17&gt;0,Eingabe!$E$17&gt;=148),"PPSK: Passwort Parzelle 148","")</f>
        <v/>
      </c>
      <c r="K1772" s="20" t="str">
        <f aca="false">IF(AND(Eingabe!$F$17&gt;0,Eingabe!$E$17&gt;=148),"1. Gerät: 10."&amp;Eingabe!$D$17&amp;".148.10, 2. Gerät: .11","")</f>
        <v/>
      </c>
    </row>
    <row r="1773" customFormat="false" ht="15" hidden="false" customHeight="false" outlineLevel="0" collapsed="false">
      <c r="A1773" s="20" t="str">
        <f aca="false">IF(AND(Eingabe!$F$17&gt;0,Eingabe!$E$17&gt;=149),9,"")</f>
        <v/>
      </c>
      <c r="B1773" s="20" t="str">
        <f aca="false">IF(AND(Eingabe!$F$17&gt;0,Eingabe!$E$17&gt;=149),Eingabe!$B$17,"")</f>
        <v/>
      </c>
      <c r="C1773" s="20" t="str">
        <f aca="false">IF(AND(Eingabe!$F$17&gt;0,Eingabe!$E$17&gt;=149),Eingabe!$C$17&amp;"-Paz."&amp;TEXT(149,"000"),"")</f>
        <v/>
      </c>
      <c r="D1773" s="20" t="str">
        <f aca="false">IF(AND(Eingabe!$F$17&gt;0,Eingabe!$E$17&gt;=149),149,"")</f>
        <v/>
      </c>
      <c r="E1773" s="20" t="str">
        <f aca="false">IF(AND(Eingabe!$F$17&gt;0,Eingabe!$E$17&gt;=149),IF((Eingabe!$G$17+1)&lt;=9,1000+(Eingabe!$G$17+1)*100,3000)+49,"")</f>
        <v/>
      </c>
      <c r="F1773" s="20" t="str">
        <f aca="false">IF(AND(Eingabe!$F$17&gt;0,Eingabe!$E$17&gt;=149),"10."&amp;Eingabe!$D$17&amp;".149.0/24","")</f>
        <v/>
      </c>
      <c r="G1773" s="20" t="str">
        <f aca="false">IF(AND(Eingabe!$F$17&gt;0,Eingabe!$E$17&gt;=149),"10."&amp;Eingabe!$D$17&amp;".149.1","")</f>
        <v/>
      </c>
      <c r="H1773" s="20" t="str">
        <f aca="false">IF(AND(Eingabe!$F$17&gt;0,Eingabe!$E$17&gt;=149),"10."&amp;Eingabe!$D$17&amp;".149.10 – 10."&amp;Eingabe!$D$17&amp;".149.250","")</f>
        <v/>
      </c>
      <c r="I1773" s="20" t="str">
        <f aca="false">IF(AND(Eingabe!$F$17&gt;0,Eingabe!$E$17&gt;=149),Eingabe!$B$6&amp;"-"&amp;Eingabe!$C$17&amp;"-Pächter","")</f>
        <v/>
      </c>
      <c r="J1773" s="20" t="str">
        <f aca="false">IF(AND(Eingabe!$F$17&gt;0,Eingabe!$E$17&gt;=149),"PPSK: Passwort Parzelle 149","")</f>
        <v/>
      </c>
      <c r="K1773" s="20" t="str">
        <f aca="false">IF(AND(Eingabe!$F$17&gt;0,Eingabe!$E$17&gt;=149),"1. Gerät: 10."&amp;Eingabe!$D$17&amp;".149.10, 2. Gerät: .11","")</f>
        <v/>
      </c>
    </row>
    <row r="1774" customFormat="false" ht="15" hidden="false" customHeight="false" outlineLevel="0" collapsed="false">
      <c r="A1774" s="20" t="str">
        <f aca="false">IF(AND(Eingabe!$F$17&gt;0,Eingabe!$E$17&gt;=150),9,"")</f>
        <v/>
      </c>
      <c r="B1774" s="20" t="str">
        <f aca="false">IF(AND(Eingabe!$F$17&gt;0,Eingabe!$E$17&gt;=150),Eingabe!$B$17,"")</f>
        <v/>
      </c>
      <c r="C1774" s="20" t="str">
        <f aca="false">IF(AND(Eingabe!$F$17&gt;0,Eingabe!$E$17&gt;=150),Eingabe!$C$17&amp;"-Paz."&amp;TEXT(150,"000"),"")</f>
        <v/>
      </c>
      <c r="D1774" s="20" t="str">
        <f aca="false">IF(AND(Eingabe!$F$17&gt;0,Eingabe!$E$17&gt;=150),150,"")</f>
        <v/>
      </c>
      <c r="E1774" s="20" t="str">
        <f aca="false">IF(AND(Eingabe!$F$17&gt;0,Eingabe!$E$17&gt;=150),IF((Eingabe!$G$17+1)&lt;=9,1000+(Eingabe!$G$17+1)*100,3000)+50,"")</f>
        <v/>
      </c>
      <c r="F1774" s="20" t="str">
        <f aca="false">IF(AND(Eingabe!$F$17&gt;0,Eingabe!$E$17&gt;=150),"10."&amp;Eingabe!$D$17&amp;".150.0/24","")</f>
        <v/>
      </c>
      <c r="G1774" s="20" t="str">
        <f aca="false">IF(AND(Eingabe!$F$17&gt;0,Eingabe!$E$17&gt;=150),"10."&amp;Eingabe!$D$17&amp;".150.1","")</f>
        <v/>
      </c>
      <c r="H1774" s="20" t="str">
        <f aca="false">IF(AND(Eingabe!$F$17&gt;0,Eingabe!$E$17&gt;=150),"10."&amp;Eingabe!$D$17&amp;".150.10 – 10."&amp;Eingabe!$D$17&amp;".150.250","")</f>
        <v/>
      </c>
      <c r="I1774" s="20" t="str">
        <f aca="false">IF(AND(Eingabe!$F$17&gt;0,Eingabe!$E$17&gt;=150),Eingabe!$B$6&amp;"-"&amp;Eingabe!$C$17&amp;"-Pächter","")</f>
        <v/>
      </c>
      <c r="J1774" s="20" t="str">
        <f aca="false">IF(AND(Eingabe!$F$17&gt;0,Eingabe!$E$17&gt;=150),"PPSK: Passwort Parzelle 150","")</f>
        <v/>
      </c>
      <c r="K1774" s="20" t="str">
        <f aca="false">IF(AND(Eingabe!$F$17&gt;0,Eingabe!$E$17&gt;=150),"1. Gerät: 10."&amp;Eingabe!$D$17&amp;".150.10, 2. Gerät: .11","")</f>
        <v/>
      </c>
    </row>
    <row r="1775" customFormat="false" ht="15" hidden="false" customHeight="false" outlineLevel="0" collapsed="false">
      <c r="A1775" s="20" t="str">
        <f aca="false">IF(AND(Eingabe!$F$17&gt;0,Eingabe!$E$17&gt;=151),9,"")</f>
        <v/>
      </c>
      <c r="B1775" s="20" t="str">
        <f aca="false">IF(AND(Eingabe!$F$17&gt;0,Eingabe!$E$17&gt;=151),Eingabe!$B$17,"")</f>
        <v/>
      </c>
      <c r="C1775" s="20" t="str">
        <f aca="false">IF(AND(Eingabe!$F$17&gt;0,Eingabe!$E$17&gt;=151),Eingabe!$C$17&amp;"-Paz."&amp;TEXT(151,"000"),"")</f>
        <v/>
      </c>
      <c r="D1775" s="20" t="str">
        <f aca="false">IF(AND(Eingabe!$F$17&gt;0,Eingabe!$E$17&gt;=151),151,"")</f>
        <v/>
      </c>
      <c r="E1775" s="20" t="str">
        <f aca="false">IF(AND(Eingabe!$F$17&gt;0,Eingabe!$E$17&gt;=151),IF((Eingabe!$G$17+1)&lt;=9,1000+(Eingabe!$G$17+1)*100,3000)+51,"")</f>
        <v/>
      </c>
      <c r="F1775" s="20" t="str">
        <f aca="false">IF(AND(Eingabe!$F$17&gt;0,Eingabe!$E$17&gt;=151),"10."&amp;Eingabe!$D$17&amp;".151.0/24","")</f>
        <v/>
      </c>
      <c r="G1775" s="20" t="str">
        <f aca="false">IF(AND(Eingabe!$F$17&gt;0,Eingabe!$E$17&gt;=151),"10."&amp;Eingabe!$D$17&amp;".151.1","")</f>
        <v/>
      </c>
      <c r="H1775" s="20" t="str">
        <f aca="false">IF(AND(Eingabe!$F$17&gt;0,Eingabe!$E$17&gt;=151),"10."&amp;Eingabe!$D$17&amp;".151.10 – 10."&amp;Eingabe!$D$17&amp;".151.250","")</f>
        <v/>
      </c>
      <c r="I1775" s="20" t="str">
        <f aca="false">IF(AND(Eingabe!$F$17&gt;0,Eingabe!$E$17&gt;=151),Eingabe!$B$6&amp;"-"&amp;Eingabe!$C$17&amp;"-Pächter","")</f>
        <v/>
      </c>
      <c r="J1775" s="20" t="str">
        <f aca="false">IF(AND(Eingabe!$F$17&gt;0,Eingabe!$E$17&gt;=151),"PPSK: Passwort Parzelle 151","")</f>
        <v/>
      </c>
      <c r="K1775" s="20" t="str">
        <f aca="false">IF(AND(Eingabe!$F$17&gt;0,Eingabe!$E$17&gt;=151),"1. Gerät: 10."&amp;Eingabe!$D$17&amp;".151.10, 2. Gerät: .11","")</f>
        <v/>
      </c>
    </row>
    <row r="1776" customFormat="false" ht="15" hidden="false" customHeight="false" outlineLevel="0" collapsed="false">
      <c r="A1776" s="20" t="str">
        <f aca="false">IF(AND(Eingabe!$F$17&gt;0,Eingabe!$E$17&gt;=152),9,"")</f>
        <v/>
      </c>
      <c r="B1776" s="20" t="str">
        <f aca="false">IF(AND(Eingabe!$F$17&gt;0,Eingabe!$E$17&gt;=152),Eingabe!$B$17,"")</f>
        <v/>
      </c>
      <c r="C1776" s="20" t="str">
        <f aca="false">IF(AND(Eingabe!$F$17&gt;0,Eingabe!$E$17&gt;=152),Eingabe!$C$17&amp;"-Paz."&amp;TEXT(152,"000"),"")</f>
        <v/>
      </c>
      <c r="D1776" s="20" t="str">
        <f aca="false">IF(AND(Eingabe!$F$17&gt;0,Eingabe!$E$17&gt;=152),152,"")</f>
        <v/>
      </c>
      <c r="E1776" s="20" t="str">
        <f aca="false">IF(AND(Eingabe!$F$17&gt;0,Eingabe!$E$17&gt;=152),IF((Eingabe!$G$17+1)&lt;=9,1000+(Eingabe!$G$17+1)*100,3000)+52,"")</f>
        <v/>
      </c>
      <c r="F1776" s="20" t="str">
        <f aca="false">IF(AND(Eingabe!$F$17&gt;0,Eingabe!$E$17&gt;=152),"10."&amp;Eingabe!$D$17&amp;".152.0/24","")</f>
        <v/>
      </c>
      <c r="G1776" s="20" t="str">
        <f aca="false">IF(AND(Eingabe!$F$17&gt;0,Eingabe!$E$17&gt;=152),"10."&amp;Eingabe!$D$17&amp;".152.1","")</f>
        <v/>
      </c>
      <c r="H1776" s="20" t="str">
        <f aca="false">IF(AND(Eingabe!$F$17&gt;0,Eingabe!$E$17&gt;=152),"10."&amp;Eingabe!$D$17&amp;".152.10 – 10."&amp;Eingabe!$D$17&amp;".152.250","")</f>
        <v/>
      </c>
      <c r="I1776" s="20" t="str">
        <f aca="false">IF(AND(Eingabe!$F$17&gt;0,Eingabe!$E$17&gt;=152),Eingabe!$B$6&amp;"-"&amp;Eingabe!$C$17&amp;"-Pächter","")</f>
        <v/>
      </c>
      <c r="J1776" s="20" t="str">
        <f aca="false">IF(AND(Eingabe!$F$17&gt;0,Eingabe!$E$17&gt;=152),"PPSK: Passwort Parzelle 152","")</f>
        <v/>
      </c>
      <c r="K1776" s="20" t="str">
        <f aca="false">IF(AND(Eingabe!$F$17&gt;0,Eingabe!$E$17&gt;=152),"1. Gerät: 10."&amp;Eingabe!$D$17&amp;".152.10, 2. Gerät: .11","")</f>
        <v/>
      </c>
    </row>
    <row r="1777" customFormat="false" ht="15" hidden="false" customHeight="false" outlineLevel="0" collapsed="false">
      <c r="A1777" s="20" t="str">
        <f aca="false">IF(AND(Eingabe!$F$17&gt;0,Eingabe!$E$17&gt;=153),9,"")</f>
        <v/>
      </c>
      <c r="B1777" s="20" t="str">
        <f aca="false">IF(AND(Eingabe!$F$17&gt;0,Eingabe!$E$17&gt;=153),Eingabe!$B$17,"")</f>
        <v/>
      </c>
      <c r="C1777" s="20" t="str">
        <f aca="false">IF(AND(Eingabe!$F$17&gt;0,Eingabe!$E$17&gt;=153),Eingabe!$C$17&amp;"-Paz."&amp;TEXT(153,"000"),"")</f>
        <v/>
      </c>
      <c r="D1777" s="20" t="str">
        <f aca="false">IF(AND(Eingabe!$F$17&gt;0,Eingabe!$E$17&gt;=153),153,"")</f>
        <v/>
      </c>
      <c r="E1777" s="20" t="str">
        <f aca="false">IF(AND(Eingabe!$F$17&gt;0,Eingabe!$E$17&gt;=153),IF((Eingabe!$G$17+1)&lt;=9,1000+(Eingabe!$G$17+1)*100,3000)+53,"")</f>
        <v/>
      </c>
      <c r="F1777" s="20" t="str">
        <f aca="false">IF(AND(Eingabe!$F$17&gt;0,Eingabe!$E$17&gt;=153),"10."&amp;Eingabe!$D$17&amp;".153.0/24","")</f>
        <v/>
      </c>
      <c r="G1777" s="20" t="str">
        <f aca="false">IF(AND(Eingabe!$F$17&gt;0,Eingabe!$E$17&gt;=153),"10."&amp;Eingabe!$D$17&amp;".153.1","")</f>
        <v/>
      </c>
      <c r="H1777" s="20" t="str">
        <f aca="false">IF(AND(Eingabe!$F$17&gt;0,Eingabe!$E$17&gt;=153),"10."&amp;Eingabe!$D$17&amp;".153.10 – 10."&amp;Eingabe!$D$17&amp;".153.250","")</f>
        <v/>
      </c>
      <c r="I1777" s="20" t="str">
        <f aca="false">IF(AND(Eingabe!$F$17&gt;0,Eingabe!$E$17&gt;=153),Eingabe!$B$6&amp;"-"&amp;Eingabe!$C$17&amp;"-Pächter","")</f>
        <v/>
      </c>
      <c r="J1777" s="20" t="str">
        <f aca="false">IF(AND(Eingabe!$F$17&gt;0,Eingabe!$E$17&gt;=153),"PPSK: Passwort Parzelle 153","")</f>
        <v/>
      </c>
      <c r="K1777" s="20" t="str">
        <f aca="false">IF(AND(Eingabe!$F$17&gt;0,Eingabe!$E$17&gt;=153),"1. Gerät: 10."&amp;Eingabe!$D$17&amp;".153.10, 2. Gerät: .11","")</f>
        <v/>
      </c>
    </row>
    <row r="1778" customFormat="false" ht="15" hidden="false" customHeight="false" outlineLevel="0" collapsed="false">
      <c r="A1778" s="20" t="str">
        <f aca="false">IF(AND(Eingabe!$F$17&gt;0,Eingabe!$E$17&gt;=154),9,"")</f>
        <v/>
      </c>
      <c r="B1778" s="20" t="str">
        <f aca="false">IF(AND(Eingabe!$F$17&gt;0,Eingabe!$E$17&gt;=154),Eingabe!$B$17,"")</f>
        <v/>
      </c>
      <c r="C1778" s="20" t="str">
        <f aca="false">IF(AND(Eingabe!$F$17&gt;0,Eingabe!$E$17&gt;=154),Eingabe!$C$17&amp;"-Paz."&amp;TEXT(154,"000"),"")</f>
        <v/>
      </c>
      <c r="D1778" s="20" t="str">
        <f aca="false">IF(AND(Eingabe!$F$17&gt;0,Eingabe!$E$17&gt;=154),154,"")</f>
        <v/>
      </c>
      <c r="E1778" s="20" t="str">
        <f aca="false">IF(AND(Eingabe!$F$17&gt;0,Eingabe!$E$17&gt;=154),IF((Eingabe!$G$17+1)&lt;=9,1000+(Eingabe!$G$17+1)*100,3000)+54,"")</f>
        <v/>
      </c>
      <c r="F1778" s="20" t="str">
        <f aca="false">IF(AND(Eingabe!$F$17&gt;0,Eingabe!$E$17&gt;=154),"10."&amp;Eingabe!$D$17&amp;".154.0/24","")</f>
        <v/>
      </c>
      <c r="G1778" s="20" t="str">
        <f aca="false">IF(AND(Eingabe!$F$17&gt;0,Eingabe!$E$17&gt;=154),"10."&amp;Eingabe!$D$17&amp;".154.1","")</f>
        <v/>
      </c>
      <c r="H1778" s="20" t="str">
        <f aca="false">IF(AND(Eingabe!$F$17&gt;0,Eingabe!$E$17&gt;=154),"10."&amp;Eingabe!$D$17&amp;".154.10 – 10."&amp;Eingabe!$D$17&amp;".154.250","")</f>
        <v/>
      </c>
      <c r="I1778" s="20" t="str">
        <f aca="false">IF(AND(Eingabe!$F$17&gt;0,Eingabe!$E$17&gt;=154),Eingabe!$B$6&amp;"-"&amp;Eingabe!$C$17&amp;"-Pächter","")</f>
        <v/>
      </c>
      <c r="J1778" s="20" t="str">
        <f aca="false">IF(AND(Eingabe!$F$17&gt;0,Eingabe!$E$17&gt;=154),"PPSK: Passwort Parzelle 154","")</f>
        <v/>
      </c>
      <c r="K1778" s="20" t="str">
        <f aca="false">IF(AND(Eingabe!$F$17&gt;0,Eingabe!$E$17&gt;=154),"1. Gerät: 10."&amp;Eingabe!$D$17&amp;".154.10, 2. Gerät: .11","")</f>
        <v/>
      </c>
    </row>
    <row r="1779" customFormat="false" ht="15" hidden="false" customHeight="false" outlineLevel="0" collapsed="false">
      <c r="A1779" s="20" t="str">
        <f aca="false">IF(AND(Eingabe!$F$17&gt;0,Eingabe!$E$17&gt;=155),9,"")</f>
        <v/>
      </c>
      <c r="B1779" s="20" t="str">
        <f aca="false">IF(AND(Eingabe!$F$17&gt;0,Eingabe!$E$17&gt;=155),Eingabe!$B$17,"")</f>
        <v/>
      </c>
      <c r="C1779" s="20" t="str">
        <f aca="false">IF(AND(Eingabe!$F$17&gt;0,Eingabe!$E$17&gt;=155),Eingabe!$C$17&amp;"-Paz."&amp;TEXT(155,"000"),"")</f>
        <v/>
      </c>
      <c r="D1779" s="20" t="str">
        <f aca="false">IF(AND(Eingabe!$F$17&gt;0,Eingabe!$E$17&gt;=155),155,"")</f>
        <v/>
      </c>
      <c r="E1779" s="20" t="str">
        <f aca="false">IF(AND(Eingabe!$F$17&gt;0,Eingabe!$E$17&gt;=155),IF((Eingabe!$G$17+1)&lt;=9,1000+(Eingabe!$G$17+1)*100,3000)+55,"")</f>
        <v/>
      </c>
      <c r="F1779" s="20" t="str">
        <f aca="false">IF(AND(Eingabe!$F$17&gt;0,Eingabe!$E$17&gt;=155),"10."&amp;Eingabe!$D$17&amp;".155.0/24","")</f>
        <v/>
      </c>
      <c r="G1779" s="20" t="str">
        <f aca="false">IF(AND(Eingabe!$F$17&gt;0,Eingabe!$E$17&gt;=155),"10."&amp;Eingabe!$D$17&amp;".155.1","")</f>
        <v/>
      </c>
      <c r="H1779" s="20" t="str">
        <f aca="false">IF(AND(Eingabe!$F$17&gt;0,Eingabe!$E$17&gt;=155),"10."&amp;Eingabe!$D$17&amp;".155.10 – 10."&amp;Eingabe!$D$17&amp;".155.250","")</f>
        <v/>
      </c>
      <c r="I1779" s="20" t="str">
        <f aca="false">IF(AND(Eingabe!$F$17&gt;0,Eingabe!$E$17&gt;=155),Eingabe!$B$6&amp;"-"&amp;Eingabe!$C$17&amp;"-Pächter","")</f>
        <v/>
      </c>
      <c r="J1779" s="20" t="str">
        <f aca="false">IF(AND(Eingabe!$F$17&gt;0,Eingabe!$E$17&gt;=155),"PPSK: Passwort Parzelle 155","")</f>
        <v/>
      </c>
      <c r="K1779" s="20" t="str">
        <f aca="false">IF(AND(Eingabe!$F$17&gt;0,Eingabe!$E$17&gt;=155),"1. Gerät: 10."&amp;Eingabe!$D$17&amp;".155.10, 2. Gerät: .11","")</f>
        <v/>
      </c>
    </row>
    <row r="1780" customFormat="false" ht="15" hidden="false" customHeight="false" outlineLevel="0" collapsed="false">
      <c r="A1780" s="20" t="str">
        <f aca="false">IF(AND(Eingabe!$F$17&gt;0,Eingabe!$E$17&gt;=156),9,"")</f>
        <v/>
      </c>
      <c r="B1780" s="20" t="str">
        <f aca="false">IF(AND(Eingabe!$F$17&gt;0,Eingabe!$E$17&gt;=156),Eingabe!$B$17,"")</f>
        <v/>
      </c>
      <c r="C1780" s="20" t="str">
        <f aca="false">IF(AND(Eingabe!$F$17&gt;0,Eingabe!$E$17&gt;=156),Eingabe!$C$17&amp;"-Paz."&amp;TEXT(156,"000"),"")</f>
        <v/>
      </c>
      <c r="D1780" s="20" t="str">
        <f aca="false">IF(AND(Eingabe!$F$17&gt;0,Eingabe!$E$17&gt;=156),156,"")</f>
        <v/>
      </c>
      <c r="E1780" s="20" t="str">
        <f aca="false">IF(AND(Eingabe!$F$17&gt;0,Eingabe!$E$17&gt;=156),IF((Eingabe!$G$17+1)&lt;=9,1000+(Eingabe!$G$17+1)*100,3000)+56,"")</f>
        <v/>
      </c>
      <c r="F1780" s="20" t="str">
        <f aca="false">IF(AND(Eingabe!$F$17&gt;0,Eingabe!$E$17&gt;=156),"10."&amp;Eingabe!$D$17&amp;".156.0/24","")</f>
        <v/>
      </c>
      <c r="G1780" s="20" t="str">
        <f aca="false">IF(AND(Eingabe!$F$17&gt;0,Eingabe!$E$17&gt;=156),"10."&amp;Eingabe!$D$17&amp;".156.1","")</f>
        <v/>
      </c>
      <c r="H1780" s="20" t="str">
        <f aca="false">IF(AND(Eingabe!$F$17&gt;0,Eingabe!$E$17&gt;=156),"10."&amp;Eingabe!$D$17&amp;".156.10 – 10."&amp;Eingabe!$D$17&amp;".156.250","")</f>
        <v/>
      </c>
      <c r="I1780" s="20" t="str">
        <f aca="false">IF(AND(Eingabe!$F$17&gt;0,Eingabe!$E$17&gt;=156),Eingabe!$B$6&amp;"-"&amp;Eingabe!$C$17&amp;"-Pächter","")</f>
        <v/>
      </c>
      <c r="J1780" s="20" t="str">
        <f aca="false">IF(AND(Eingabe!$F$17&gt;0,Eingabe!$E$17&gt;=156),"PPSK: Passwort Parzelle 156","")</f>
        <v/>
      </c>
      <c r="K1780" s="20" t="str">
        <f aca="false">IF(AND(Eingabe!$F$17&gt;0,Eingabe!$E$17&gt;=156),"1. Gerät: 10."&amp;Eingabe!$D$17&amp;".156.10, 2. Gerät: .11","")</f>
        <v/>
      </c>
    </row>
    <row r="1781" customFormat="false" ht="15" hidden="false" customHeight="false" outlineLevel="0" collapsed="false">
      <c r="A1781" s="20" t="str">
        <f aca="false">IF(AND(Eingabe!$F$17&gt;0,Eingabe!$E$17&gt;=157),9,"")</f>
        <v/>
      </c>
      <c r="B1781" s="20" t="str">
        <f aca="false">IF(AND(Eingabe!$F$17&gt;0,Eingabe!$E$17&gt;=157),Eingabe!$B$17,"")</f>
        <v/>
      </c>
      <c r="C1781" s="20" t="str">
        <f aca="false">IF(AND(Eingabe!$F$17&gt;0,Eingabe!$E$17&gt;=157),Eingabe!$C$17&amp;"-Paz."&amp;TEXT(157,"000"),"")</f>
        <v/>
      </c>
      <c r="D1781" s="20" t="str">
        <f aca="false">IF(AND(Eingabe!$F$17&gt;0,Eingabe!$E$17&gt;=157),157,"")</f>
        <v/>
      </c>
      <c r="E1781" s="20" t="str">
        <f aca="false">IF(AND(Eingabe!$F$17&gt;0,Eingabe!$E$17&gt;=157),IF((Eingabe!$G$17+1)&lt;=9,1000+(Eingabe!$G$17+1)*100,3000)+57,"")</f>
        <v/>
      </c>
      <c r="F1781" s="20" t="str">
        <f aca="false">IF(AND(Eingabe!$F$17&gt;0,Eingabe!$E$17&gt;=157),"10."&amp;Eingabe!$D$17&amp;".157.0/24","")</f>
        <v/>
      </c>
      <c r="G1781" s="20" t="str">
        <f aca="false">IF(AND(Eingabe!$F$17&gt;0,Eingabe!$E$17&gt;=157),"10."&amp;Eingabe!$D$17&amp;".157.1","")</f>
        <v/>
      </c>
      <c r="H1781" s="20" t="str">
        <f aca="false">IF(AND(Eingabe!$F$17&gt;0,Eingabe!$E$17&gt;=157),"10."&amp;Eingabe!$D$17&amp;".157.10 – 10."&amp;Eingabe!$D$17&amp;".157.250","")</f>
        <v/>
      </c>
      <c r="I1781" s="20" t="str">
        <f aca="false">IF(AND(Eingabe!$F$17&gt;0,Eingabe!$E$17&gt;=157),Eingabe!$B$6&amp;"-"&amp;Eingabe!$C$17&amp;"-Pächter","")</f>
        <v/>
      </c>
      <c r="J1781" s="20" t="str">
        <f aca="false">IF(AND(Eingabe!$F$17&gt;0,Eingabe!$E$17&gt;=157),"PPSK: Passwort Parzelle 157","")</f>
        <v/>
      </c>
      <c r="K1781" s="20" t="str">
        <f aca="false">IF(AND(Eingabe!$F$17&gt;0,Eingabe!$E$17&gt;=157),"1. Gerät: 10."&amp;Eingabe!$D$17&amp;".157.10, 2. Gerät: .11","")</f>
        <v/>
      </c>
    </row>
    <row r="1782" customFormat="false" ht="15" hidden="false" customHeight="false" outlineLevel="0" collapsed="false">
      <c r="A1782" s="20" t="str">
        <f aca="false">IF(AND(Eingabe!$F$17&gt;0,Eingabe!$E$17&gt;=158),9,"")</f>
        <v/>
      </c>
      <c r="B1782" s="20" t="str">
        <f aca="false">IF(AND(Eingabe!$F$17&gt;0,Eingabe!$E$17&gt;=158),Eingabe!$B$17,"")</f>
        <v/>
      </c>
      <c r="C1782" s="20" t="str">
        <f aca="false">IF(AND(Eingabe!$F$17&gt;0,Eingabe!$E$17&gt;=158),Eingabe!$C$17&amp;"-Paz."&amp;TEXT(158,"000"),"")</f>
        <v/>
      </c>
      <c r="D1782" s="20" t="str">
        <f aca="false">IF(AND(Eingabe!$F$17&gt;0,Eingabe!$E$17&gt;=158),158,"")</f>
        <v/>
      </c>
      <c r="E1782" s="20" t="str">
        <f aca="false">IF(AND(Eingabe!$F$17&gt;0,Eingabe!$E$17&gt;=158),IF((Eingabe!$G$17+1)&lt;=9,1000+(Eingabe!$G$17+1)*100,3000)+58,"")</f>
        <v/>
      </c>
      <c r="F1782" s="20" t="str">
        <f aca="false">IF(AND(Eingabe!$F$17&gt;0,Eingabe!$E$17&gt;=158),"10."&amp;Eingabe!$D$17&amp;".158.0/24","")</f>
        <v/>
      </c>
      <c r="G1782" s="20" t="str">
        <f aca="false">IF(AND(Eingabe!$F$17&gt;0,Eingabe!$E$17&gt;=158),"10."&amp;Eingabe!$D$17&amp;".158.1","")</f>
        <v/>
      </c>
      <c r="H1782" s="20" t="str">
        <f aca="false">IF(AND(Eingabe!$F$17&gt;0,Eingabe!$E$17&gt;=158),"10."&amp;Eingabe!$D$17&amp;".158.10 – 10."&amp;Eingabe!$D$17&amp;".158.250","")</f>
        <v/>
      </c>
      <c r="I1782" s="20" t="str">
        <f aca="false">IF(AND(Eingabe!$F$17&gt;0,Eingabe!$E$17&gt;=158),Eingabe!$B$6&amp;"-"&amp;Eingabe!$C$17&amp;"-Pächter","")</f>
        <v/>
      </c>
      <c r="J1782" s="20" t="str">
        <f aca="false">IF(AND(Eingabe!$F$17&gt;0,Eingabe!$E$17&gt;=158),"PPSK: Passwort Parzelle 158","")</f>
        <v/>
      </c>
      <c r="K1782" s="20" t="str">
        <f aca="false">IF(AND(Eingabe!$F$17&gt;0,Eingabe!$E$17&gt;=158),"1. Gerät: 10."&amp;Eingabe!$D$17&amp;".158.10, 2. Gerät: .11","")</f>
        <v/>
      </c>
    </row>
    <row r="1783" customFormat="false" ht="15" hidden="false" customHeight="false" outlineLevel="0" collapsed="false">
      <c r="A1783" s="20" t="str">
        <f aca="false">IF(AND(Eingabe!$F$17&gt;0,Eingabe!$E$17&gt;=159),9,"")</f>
        <v/>
      </c>
      <c r="B1783" s="20" t="str">
        <f aca="false">IF(AND(Eingabe!$F$17&gt;0,Eingabe!$E$17&gt;=159),Eingabe!$B$17,"")</f>
        <v/>
      </c>
      <c r="C1783" s="20" t="str">
        <f aca="false">IF(AND(Eingabe!$F$17&gt;0,Eingabe!$E$17&gt;=159),Eingabe!$C$17&amp;"-Paz."&amp;TEXT(159,"000"),"")</f>
        <v/>
      </c>
      <c r="D1783" s="20" t="str">
        <f aca="false">IF(AND(Eingabe!$F$17&gt;0,Eingabe!$E$17&gt;=159),159,"")</f>
        <v/>
      </c>
      <c r="E1783" s="20" t="str">
        <f aca="false">IF(AND(Eingabe!$F$17&gt;0,Eingabe!$E$17&gt;=159),IF((Eingabe!$G$17+1)&lt;=9,1000+(Eingabe!$G$17+1)*100,3000)+59,"")</f>
        <v/>
      </c>
      <c r="F1783" s="20" t="str">
        <f aca="false">IF(AND(Eingabe!$F$17&gt;0,Eingabe!$E$17&gt;=159),"10."&amp;Eingabe!$D$17&amp;".159.0/24","")</f>
        <v/>
      </c>
      <c r="G1783" s="20" t="str">
        <f aca="false">IF(AND(Eingabe!$F$17&gt;0,Eingabe!$E$17&gt;=159),"10."&amp;Eingabe!$D$17&amp;".159.1","")</f>
        <v/>
      </c>
      <c r="H1783" s="20" t="str">
        <f aca="false">IF(AND(Eingabe!$F$17&gt;0,Eingabe!$E$17&gt;=159),"10."&amp;Eingabe!$D$17&amp;".159.10 – 10."&amp;Eingabe!$D$17&amp;".159.250","")</f>
        <v/>
      </c>
      <c r="I1783" s="20" t="str">
        <f aca="false">IF(AND(Eingabe!$F$17&gt;0,Eingabe!$E$17&gt;=159),Eingabe!$B$6&amp;"-"&amp;Eingabe!$C$17&amp;"-Pächter","")</f>
        <v/>
      </c>
      <c r="J1783" s="20" t="str">
        <f aca="false">IF(AND(Eingabe!$F$17&gt;0,Eingabe!$E$17&gt;=159),"PPSK: Passwort Parzelle 159","")</f>
        <v/>
      </c>
      <c r="K1783" s="20" t="str">
        <f aca="false">IF(AND(Eingabe!$F$17&gt;0,Eingabe!$E$17&gt;=159),"1. Gerät: 10."&amp;Eingabe!$D$17&amp;".159.10, 2. Gerät: .11","")</f>
        <v/>
      </c>
    </row>
    <row r="1784" customFormat="false" ht="15" hidden="false" customHeight="false" outlineLevel="0" collapsed="false">
      <c r="A1784" s="20" t="str">
        <f aca="false">IF(AND(Eingabe!$F$17&gt;0,Eingabe!$E$17&gt;=160),9,"")</f>
        <v/>
      </c>
      <c r="B1784" s="20" t="str">
        <f aca="false">IF(AND(Eingabe!$F$17&gt;0,Eingabe!$E$17&gt;=160),Eingabe!$B$17,"")</f>
        <v/>
      </c>
      <c r="C1784" s="20" t="str">
        <f aca="false">IF(AND(Eingabe!$F$17&gt;0,Eingabe!$E$17&gt;=160),Eingabe!$C$17&amp;"-Paz."&amp;TEXT(160,"000"),"")</f>
        <v/>
      </c>
      <c r="D1784" s="20" t="str">
        <f aca="false">IF(AND(Eingabe!$F$17&gt;0,Eingabe!$E$17&gt;=160),160,"")</f>
        <v/>
      </c>
      <c r="E1784" s="20" t="str">
        <f aca="false">IF(AND(Eingabe!$F$17&gt;0,Eingabe!$E$17&gt;=160),IF((Eingabe!$G$17+1)&lt;=9,1000+(Eingabe!$G$17+1)*100,3000)+60,"")</f>
        <v/>
      </c>
      <c r="F1784" s="20" t="str">
        <f aca="false">IF(AND(Eingabe!$F$17&gt;0,Eingabe!$E$17&gt;=160),"10."&amp;Eingabe!$D$17&amp;".160.0/24","")</f>
        <v/>
      </c>
      <c r="G1784" s="20" t="str">
        <f aca="false">IF(AND(Eingabe!$F$17&gt;0,Eingabe!$E$17&gt;=160),"10."&amp;Eingabe!$D$17&amp;".160.1","")</f>
        <v/>
      </c>
      <c r="H1784" s="20" t="str">
        <f aca="false">IF(AND(Eingabe!$F$17&gt;0,Eingabe!$E$17&gt;=160),"10."&amp;Eingabe!$D$17&amp;".160.10 – 10."&amp;Eingabe!$D$17&amp;".160.250","")</f>
        <v/>
      </c>
      <c r="I1784" s="20" t="str">
        <f aca="false">IF(AND(Eingabe!$F$17&gt;0,Eingabe!$E$17&gt;=160),Eingabe!$B$6&amp;"-"&amp;Eingabe!$C$17&amp;"-Pächter","")</f>
        <v/>
      </c>
      <c r="J1784" s="20" t="str">
        <f aca="false">IF(AND(Eingabe!$F$17&gt;0,Eingabe!$E$17&gt;=160),"PPSK: Passwort Parzelle 160","")</f>
        <v/>
      </c>
      <c r="K1784" s="20" t="str">
        <f aca="false">IF(AND(Eingabe!$F$17&gt;0,Eingabe!$E$17&gt;=160),"1. Gerät: 10."&amp;Eingabe!$D$17&amp;".160.10, 2. Gerät: .11","")</f>
        <v/>
      </c>
    </row>
    <row r="1785" customFormat="false" ht="15" hidden="false" customHeight="false" outlineLevel="0" collapsed="false">
      <c r="A1785" s="20" t="str">
        <f aca="false">IF(AND(Eingabe!$F$17&gt;0,Eingabe!$E$17&gt;=161),9,"")</f>
        <v/>
      </c>
      <c r="B1785" s="20" t="str">
        <f aca="false">IF(AND(Eingabe!$F$17&gt;0,Eingabe!$E$17&gt;=161),Eingabe!$B$17,"")</f>
        <v/>
      </c>
      <c r="C1785" s="20" t="str">
        <f aca="false">IF(AND(Eingabe!$F$17&gt;0,Eingabe!$E$17&gt;=161),Eingabe!$C$17&amp;"-Paz."&amp;TEXT(161,"000"),"")</f>
        <v/>
      </c>
      <c r="D1785" s="20" t="str">
        <f aca="false">IF(AND(Eingabe!$F$17&gt;0,Eingabe!$E$17&gt;=161),161,"")</f>
        <v/>
      </c>
      <c r="E1785" s="20" t="str">
        <f aca="false">IF(AND(Eingabe!$F$17&gt;0,Eingabe!$E$17&gt;=161),IF((Eingabe!$G$17+1)&lt;=9,1000+(Eingabe!$G$17+1)*100,3000)+61,"")</f>
        <v/>
      </c>
      <c r="F1785" s="20" t="str">
        <f aca="false">IF(AND(Eingabe!$F$17&gt;0,Eingabe!$E$17&gt;=161),"10."&amp;Eingabe!$D$17&amp;".161.0/24","")</f>
        <v/>
      </c>
      <c r="G1785" s="20" t="str">
        <f aca="false">IF(AND(Eingabe!$F$17&gt;0,Eingabe!$E$17&gt;=161),"10."&amp;Eingabe!$D$17&amp;".161.1","")</f>
        <v/>
      </c>
      <c r="H1785" s="20" t="str">
        <f aca="false">IF(AND(Eingabe!$F$17&gt;0,Eingabe!$E$17&gt;=161),"10."&amp;Eingabe!$D$17&amp;".161.10 – 10."&amp;Eingabe!$D$17&amp;".161.250","")</f>
        <v/>
      </c>
      <c r="I1785" s="20" t="str">
        <f aca="false">IF(AND(Eingabe!$F$17&gt;0,Eingabe!$E$17&gt;=161),Eingabe!$B$6&amp;"-"&amp;Eingabe!$C$17&amp;"-Pächter","")</f>
        <v/>
      </c>
      <c r="J1785" s="20" t="str">
        <f aca="false">IF(AND(Eingabe!$F$17&gt;0,Eingabe!$E$17&gt;=161),"PPSK: Passwort Parzelle 161","")</f>
        <v/>
      </c>
      <c r="K1785" s="20" t="str">
        <f aca="false">IF(AND(Eingabe!$F$17&gt;0,Eingabe!$E$17&gt;=161),"1. Gerät: 10."&amp;Eingabe!$D$17&amp;".161.10, 2. Gerät: .11","")</f>
        <v/>
      </c>
    </row>
    <row r="1786" customFormat="false" ht="15" hidden="false" customHeight="false" outlineLevel="0" collapsed="false">
      <c r="A1786" s="20" t="str">
        <f aca="false">IF(AND(Eingabe!$F$17&gt;0,Eingabe!$E$17&gt;=162),9,"")</f>
        <v/>
      </c>
      <c r="B1786" s="20" t="str">
        <f aca="false">IF(AND(Eingabe!$F$17&gt;0,Eingabe!$E$17&gt;=162),Eingabe!$B$17,"")</f>
        <v/>
      </c>
      <c r="C1786" s="20" t="str">
        <f aca="false">IF(AND(Eingabe!$F$17&gt;0,Eingabe!$E$17&gt;=162),Eingabe!$C$17&amp;"-Paz."&amp;TEXT(162,"000"),"")</f>
        <v/>
      </c>
      <c r="D1786" s="20" t="str">
        <f aca="false">IF(AND(Eingabe!$F$17&gt;0,Eingabe!$E$17&gt;=162),162,"")</f>
        <v/>
      </c>
      <c r="E1786" s="20" t="str">
        <f aca="false">IF(AND(Eingabe!$F$17&gt;0,Eingabe!$E$17&gt;=162),IF((Eingabe!$G$17+1)&lt;=9,1000+(Eingabe!$G$17+1)*100,3000)+62,"")</f>
        <v/>
      </c>
      <c r="F1786" s="20" t="str">
        <f aca="false">IF(AND(Eingabe!$F$17&gt;0,Eingabe!$E$17&gt;=162),"10."&amp;Eingabe!$D$17&amp;".162.0/24","")</f>
        <v/>
      </c>
      <c r="G1786" s="20" t="str">
        <f aca="false">IF(AND(Eingabe!$F$17&gt;0,Eingabe!$E$17&gt;=162),"10."&amp;Eingabe!$D$17&amp;".162.1","")</f>
        <v/>
      </c>
      <c r="H1786" s="20" t="str">
        <f aca="false">IF(AND(Eingabe!$F$17&gt;0,Eingabe!$E$17&gt;=162),"10."&amp;Eingabe!$D$17&amp;".162.10 – 10."&amp;Eingabe!$D$17&amp;".162.250","")</f>
        <v/>
      </c>
      <c r="I1786" s="20" t="str">
        <f aca="false">IF(AND(Eingabe!$F$17&gt;0,Eingabe!$E$17&gt;=162),Eingabe!$B$6&amp;"-"&amp;Eingabe!$C$17&amp;"-Pächter","")</f>
        <v/>
      </c>
      <c r="J1786" s="20" t="str">
        <f aca="false">IF(AND(Eingabe!$F$17&gt;0,Eingabe!$E$17&gt;=162),"PPSK: Passwort Parzelle 162","")</f>
        <v/>
      </c>
      <c r="K1786" s="20" t="str">
        <f aca="false">IF(AND(Eingabe!$F$17&gt;0,Eingabe!$E$17&gt;=162),"1. Gerät: 10."&amp;Eingabe!$D$17&amp;".162.10, 2. Gerät: .11","")</f>
        <v/>
      </c>
    </row>
    <row r="1787" customFormat="false" ht="15" hidden="false" customHeight="false" outlineLevel="0" collapsed="false">
      <c r="A1787" s="20" t="str">
        <f aca="false">IF(AND(Eingabe!$F$17&gt;0,Eingabe!$E$17&gt;=163),9,"")</f>
        <v/>
      </c>
      <c r="B1787" s="20" t="str">
        <f aca="false">IF(AND(Eingabe!$F$17&gt;0,Eingabe!$E$17&gt;=163),Eingabe!$B$17,"")</f>
        <v/>
      </c>
      <c r="C1787" s="20" t="str">
        <f aca="false">IF(AND(Eingabe!$F$17&gt;0,Eingabe!$E$17&gt;=163),Eingabe!$C$17&amp;"-Paz."&amp;TEXT(163,"000"),"")</f>
        <v/>
      </c>
      <c r="D1787" s="20" t="str">
        <f aca="false">IF(AND(Eingabe!$F$17&gt;0,Eingabe!$E$17&gt;=163),163,"")</f>
        <v/>
      </c>
      <c r="E1787" s="20" t="str">
        <f aca="false">IF(AND(Eingabe!$F$17&gt;0,Eingabe!$E$17&gt;=163),IF((Eingabe!$G$17+1)&lt;=9,1000+(Eingabe!$G$17+1)*100,3000)+63,"")</f>
        <v/>
      </c>
      <c r="F1787" s="20" t="str">
        <f aca="false">IF(AND(Eingabe!$F$17&gt;0,Eingabe!$E$17&gt;=163),"10."&amp;Eingabe!$D$17&amp;".163.0/24","")</f>
        <v/>
      </c>
      <c r="G1787" s="20" t="str">
        <f aca="false">IF(AND(Eingabe!$F$17&gt;0,Eingabe!$E$17&gt;=163),"10."&amp;Eingabe!$D$17&amp;".163.1","")</f>
        <v/>
      </c>
      <c r="H1787" s="20" t="str">
        <f aca="false">IF(AND(Eingabe!$F$17&gt;0,Eingabe!$E$17&gt;=163),"10."&amp;Eingabe!$D$17&amp;".163.10 – 10."&amp;Eingabe!$D$17&amp;".163.250","")</f>
        <v/>
      </c>
      <c r="I1787" s="20" t="str">
        <f aca="false">IF(AND(Eingabe!$F$17&gt;0,Eingabe!$E$17&gt;=163),Eingabe!$B$6&amp;"-"&amp;Eingabe!$C$17&amp;"-Pächter","")</f>
        <v/>
      </c>
      <c r="J1787" s="20" t="str">
        <f aca="false">IF(AND(Eingabe!$F$17&gt;0,Eingabe!$E$17&gt;=163),"PPSK: Passwort Parzelle 163","")</f>
        <v/>
      </c>
      <c r="K1787" s="20" t="str">
        <f aca="false">IF(AND(Eingabe!$F$17&gt;0,Eingabe!$E$17&gt;=163),"1. Gerät: 10."&amp;Eingabe!$D$17&amp;".163.10, 2. Gerät: .11","")</f>
        <v/>
      </c>
    </row>
    <row r="1788" customFormat="false" ht="15" hidden="false" customHeight="false" outlineLevel="0" collapsed="false">
      <c r="A1788" s="20" t="str">
        <f aca="false">IF(AND(Eingabe!$F$17&gt;0,Eingabe!$E$17&gt;=164),9,"")</f>
        <v/>
      </c>
      <c r="B1788" s="20" t="str">
        <f aca="false">IF(AND(Eingabe!$F$17&gt;0,Eingabe!$E$17&gt;=164),Eingabe!$B$17,"")</f>
        <v/>
      </c>
      <c r="C1788" s="20" t="str">
        <f aca="false">IF(AND(Eingabe!$F$17&gt;0,Eingabe!$E$17&gt;=164),Eingabe!$C$17&amp;"-Paz."&amp;TEXT(164,"000"),"")</f>
        <v/>
      </c>
      <c r="D1788" s="20" t="str">
        <f aca="false">IF(AND(Eingabe!$F$17&gt;0,Eingabe!$E$17&gt;=164),164,"")</f>
        <v/>
      </c>
      <c r="E1788" s="20" t="str">
        <f aca="false">IF(AND(Eingabe!$F$17&gt;0,Eingabe!$E$17&gt;=164),IF((Eingabe!$G$17+1)&lt;=9,1000+(Eingabe!$G$17+1)*100,3000)+64,"")</f>
        <v/>
      </c>
      <c r="F1788" s="20" t="str">
        <f aca="false">IF(AND(Eingabe!$F$17&gt;0,Eingabe!$E$17&gt;=164),"10."&amp;Eingabe!$D$17&amp;".164.0/24","")</f>
        <v/>
      </c>
      <c r="G1788" s="20" t="str">
        <f aca="false">IF(AND(Eingabe!$F$17&gt;0,Eingabe!$E$17&gt;=164),"10."&amp;Eingabe!$D$17&amp;".164.1","")</f>
        <v/>
      </c>
      <c r="H1788" s="20" t="str">
        <f aca="false">IF(AND(Eingabe!$F$17&gt;0,Eingabe!$E$17&gt;=164),"10."&amp;Eingabe!$D$17&amp;".164.10 – 10."&amp;Eingabe!$D$17&amp;".164.250","")</f>
        <v/>
      </c>
      <c r="I1788" s="20" t="str">
        <f aca="false">IF(AND(Eingabe!$F$17&gt;0,Eingabe!$E$17&gt;=164),Eingabe!$B$6&amp;"-"&amp;Eingabe!$C$17&amp;"-Pächter","")</f>
        <v/>
      </c>
      <c r="J1788" s="20" t="str">
        <f aca="false">IF(AND(Eingabe!$F$17&gt;0,Eingabe!$E$17&gt;=164),"PPSK: Passwort Parzelle 164","")</f>
        <v/>
      </c>
      <c r="K1788" s="20" t="str">
        <f aca="false">IF(AND(Eingabe!$F$17&gt;0,Eingabe!$E$17&gt;=164),"1. Gerät: 10."&amp;Eingabe!$D$17&amp;".164.10, 2. Gerät: .11","")</f>
        <v/>
      </c>
    </row>
    <row r="1789" customFormat="false" ht="15" hidden="false" customHeight="false" outlineLevel="0" collapsed="false">
      <c r="A1789" s="20" t="str">
        <f aca="false">IF(AND(Eingabe!$F$17&gt;0,Eingabe!$E$17&gt;=165),9,"")</f>
        <v/>
      </c>
      <c r="B1789" s="20" t="str">
        <f aca="false">IF(AND(Eingabe!$F$17&gt;0,Eingabe!$E$17&gt;=165),Eingabe!$B$17,"")</f>
        <v/>
      </c>
      <c r="C1789" s="20" t="str">
        <f aca="false">IF(AND(Eingabe!$F$17&gt;0,Eingabe!$E$17&gt;=165),Eingabe!$C$17&amp;"-Paz."&amp;TEXT(165,"000"),"")</f>
        <v/>
      </c>
      <c r="D1789" s="20" t="str">
        <f aca="false">IF(AND(Eingabe!$F$17&gt;0,Eingabe!$E$17&gt;=165),165,"")</f>
        <v/>
      </c>
      <c r="E1789" s="20" t="str">
        <f aca="false">IF(AND(Eingabe!$F$17&gt;0,Eingabe!$E$17&gt;=165),IF((Eingabe!$G$17+1)&lt;=9,1000+(Eingabe!$G$17+1)*100,3000)+65,"")</f>
        <v/>
      </c>
      <c r="F1789" s="20" t="str">
        <f aca="false">IF(AND(Eingabe!$F$17&gt;0,Eingabe!$E$17&gt;=165),"10."&amp;Eingabe!$D$17&amp;".165.0/24","")</f>
        <v/>
      </c>
      <c r="G1789" s="20" t="str">
        <f aca="false">IF(AND(Eingabe!$F$17&gt;0,Eingabe!$E$17&gt;=165),"10."&amp;Eingabe!$D$17&amp;".165.1","")</f>
        <v/>
      </c>
      <c r="H1789" s="20" t="str">
        <f aca="false">IF(AND(Eingabe!$F$17&gt;0,Eingabe!$E$17&gt;=165),"10."&amp;Eingabe!$D$17&amp;".165.10 – 10."&amp;Eingabe!$D$17&amp;".165.250","")</f>
        <v/>
      </c>
      <c r="I1789" s="20" t="str">
        <f aca="false">IF(AND(Eingabe!$F$17&gt;0,Eingabe!$E$17&gt;=165),Eingabe!$B$6&amp;"-"&amp;Eingabe!$C$17&amp;"-Pächter","")</f>
        <v/>
      </c>
      <c r="J1789" s="20" t="str">
        <f aca="false">IF(AND(Eingabe!$F$17&gt;0,Eingabe!$E$17&gt;=165),"PPSK: Passwort Parzelle 165","")</f>
        <v/>
      </c>
      <c r="K1789" s="20" t="str">
        <f aca="false">IF(AND(Eingabe!$F$17&gt;0,Eingabe!$E$17&gt;=165),"1. Gerät: 10."&amp;Eingabe!$D$17&amp;".165.10, 2. Gerät: .11","")</f>
        <v/>
      </c>
    </row>
    <row r="1790" customFormat="false" ht="15" hidden="false" customHeight="false" outlineLevel="0" collapsed="false">
      <c r="A1790" s="20" t="str">
        <f aca="false">IF(AND(Eingabe!$F$17&gt;0,Eingabe!$E$17&gt;=166),9,"")</f>
        <v/>
      </c>
      <c r="B1790" s="20" t="str">
        <f aca="false">IF(AND(Eingabe!$F$17&gt;0,Eingabe!$E$17&gt;=166),Eingabe!$B$17,"")</f>
        <v/>
      </c>
      <c r="C1790" s="20" t="str">
        <f aca="false">IF(AND(Eingabe!$F$17&gt;0,Eingabe!$E$17&gt;=166),Eingabe!$C$17&amp;"-Paz."&amp;TEXT(166,"000"),"")</f>
        <v/>
      </c>
      <c r="D1790" s="20" t="str">
        <f aca="false">IF(AND(Eingabe!$F$17&gt;0,Eingabe!$E$17&gt;=166),166,"")</f>
        <v/>
      </c>
      <c r="E1790" s="20" t="str">
        <f aca="false">IF(AND(Eingabe!$F$17&gt;0,Eingabe!$E$17&gt;=166),IF((Eingabe!$G$17+1)&lt;=9,1000+(Eingabe!$G$17+1)*100,3000)+66,"")</f>
        <v/>
      </c>
      <c r="F1790" s="20" t="str">
        <f aca="false">IF(AND(Eingabe!$F$17&gt;0,Eingabe!$E$17&gt;=166),"10."&amp;Eingabe!$D$17&amp;".166.0/24","")</f>
        <v/>
      </c>
      <c r="G1790" s="20" t="str">
        <f aca="false">IF(AND(Eingabe!$F$17&gt;0,Eingabe!$E$17&gt;=166),"10."&amp;Eingabe!$D$17&amp;".166.1","")</f>
        <v/>
      </c>
      <c r="H1790" s="20" t="str">
        <f aca="false">IF(AND(Eingabe!$F$17&gt;0,Eingabe!$E$17&gt;=166),"10."&amp;Eingabe!$D$17&amp;".166.10 – 10."&amp;Eingabe!$D$17&amp;".166.250","")</f>
        <v/>
      </c>
      <c r="I1790" s="20" t="str">
        <f aca="false">IF(AND(Eingabe!$F$17&gt;0,Eingabe!$E$17&gt;=166),Eingabe!$B$6&amp;"-"&amp;Eingabe!$C$17&amp;"-Pächter","")</f>
        <v/>
      </c>
      <c r="J1790" s="20" t="str">
        <f aca="false">IF(AND(Eingabe!$F$17&gt;0,Eingabe!$E$17&gt;=166),"PPSK: Passwort Parzelle 166","")</f>
        <v/>
      </c>
      <c r="K1790" s="20" t="str">
        <f aca="false">IF(AND(Eingabe!$F$17&gt;0,Eingabe!$E$17&gt;=166),"1. Gerät: 10."&amp;Eingabe!$D$17&amp;".166.10, 2. Gerät: .11","")</f>
        <v/>
      </c>
    </row>
    <row r="1791" customFormat="false" ht="15" hidden="false" customHeight="false" outlineLevel="0" collapsed="false">
      <c r="A1791" s="20" t="str">
        <f aca="false">IF(AND(Eingabe!$F$17&gt;0,Eingabe!$E$17&gt;=167),9,"")</f>
        <v/>
      </c>
      <c r="B1791" s="20" t="str">
        <f aca="false">IF(AND(Eingabe!$F$17&gt;0,Eingabe!$E$17&gt;=167),Eingabe!$B$17,"")</f>
        <v/>
      </c>
      <c r="C1791" s="20" t="str">
        <f aca="false">IF(AND(Eingabe!$F$17&gt;0,Eingabe!$E$17&gt;=167),Eingabe!$C$17&amp;"-Paz."&amp;TEXT(167,"000"),"")</f>
        <v/>
      </c>
      <c r="D1791" s="20" t="str">
        <f aca="false">IF(AND(Eingabe!$F$17&gt;0,Eingabe!$E$17&gt;=167),167,"")</f>
        <v/>
      </c>
      <c r="E1791" s="20" t="str">
        <f aca="false">IF(AND(Eingabe!$F$17&gt;0,Eingabe!$E$17&gt;=167),IF((Eingabe!$G$17+1)&lt;=9,1000+(Eingabe!$G$17+1)*100,3000)+67,"")</f>
        <v/>
      </c>
      <c r="F1791" s="20" t="str">
        <f aca="false">IF(AND(Eingabe!$F$17&gt;0,Eingabe!$E$17&gt;=167),"10."&amp;Eingabe!$D$17&amp;".167.0/24","")</f>
        <v/>
      </c>
      <c r="G1791" s="20" t="str">
        <f aca="false">IF(AND(Eingabe!$F$17&gt;0,Eingabe!$E$17&gt;=167),"10."&amp;Eingabe!$D$17&amp;".167.1","")</f>
        <v/>
      </c>
      <c r="H1791" s="20" t="str">
        <f aca="false">IF(AND(Eingabe!$F$17&gt;0,Eingabe!$E$17&gt;=167),"10."&amp;Eingabe!$D$17&amp;".167.10 – 10."&amp;Eingabe!$D$17&amp;".167.250","")</f>
        <v/>
      </c>
      <c r="I1791" s="20" t="str">
        <f aca="false">IF(AND(Eingabe!$F$17&gt;0,Eingabe!$E$17&gt;=167),Eingabe!$B$6&amp;"-"&amp;Eingabe!$C$17&amp;"-Pächter","")</f>
        <v/>
      </c>
      <c r="J1791" s="20" t="str">
        <f aca="false">IF(AND(Eingabe!$F$17&gt;0,Eingabe!$E$17&gt;=167),"PPSK: Passwort Parzelle 167","")</f>
        <v/>
      </c>
      <c r="K1791" s="20" t="str">
        <f aca="false">IF(AND(Eingabe!$F$17&gt;0,Eingabe!$E$17&gt;=167),"1. Gerät: 10."&amp;Eingabe!$D$17&amp;".167.10, 2. Gerät: .11","")</f>
        <v/>
      </c>
    </row>
    <row r="1792" customFormat="false" ht="15" hidden="false" customHeight="false" outlineLevel="0" collapsed="false">
      <c r="A1792" s="20" t="str">
        <f aca="false">IF(AND(Eingabe!$F$17&gt;0,Eingabe!$E$17&gt;=168),9,"")</f>
        <v/>
      </c>
      <c r="B1792" s="20" t="str">
        <f aca="false">IF(AND(Eingabe!$F$17&gt;0,Eingabe!$E$17&gt;=168),Eingabe!$B$17,"")</f>
        <v/>
      </c>
      <c r="C1792" s="20" t="str">
        <f aca="false">IF(AND(Eingabe!$F$17&gt;0,Eingabe!$E$17&gt;=168),Eingabe!$C$17&amp;"-Paz."&amp;TEXT(168,"000"),"")</f>
        <v/>
      </c>
      <c r="D1792" s="20" t="str">
        <f aca="false">IF(AND(Eingabe!$F$17&gt;0,Eingabe!$E$17&gt;=168),168,"")</f>
        <v/>
      </c>
      <c r="E1792" s="20" t="str">
        <f aca="false">IF(AND(Eingabe!$F$17&gt;0,Eingabe!$E$17&gt;=168),IF((Eingabe!$G$17+1)&lt;=9,1000+(Eingabe!$G$17+1)*100,3000)+68,"")</f>
        <v/>
      </c>
      <c r="F1792" s="20" t="str">
        <f aca="false">IF(AND(Eingabe!$F$17&gt;0,Eingabe!$E$17&gt;=168),"10."&amp;Eingabe!$D$17&amp;".168.0/24","")</f>
        <v/>
      </c>
      <c r="G1792" s="20" t="str">
        <f aca="false">IF(AND(Eingabe!$F$17&gt;0,Eingabe!$E$17&gt;=168),"10."&amp;Eingabe!$D$17&amp;".168.1","")</f>
        <v/>
      </c>
      <c r="H1792" s="20" t="str">
        <f aca="false">IF(AND(Eingabe!$F$17&gt;0,Eingabe!$E$17&gt;=168),"10."&amp;Eingabe!$D$17&amp;".168.10 – 10."&amp;Eingabe!$D$17&amp;".168.250","")</f>
        <v/>
      </c>
      <c r="I1792" s="20" t="str">
        <f aca="false">IF(AND(Eingabe!$F$17&gt;0,Eingabe!$E$17&gt;=168),Eingabe!$B$6&amp;"-"&amp;Eingabe!$C$17&amp;"-Pächter","")</f>
        <v/>
      </c>
      <c r="J1792" s="20" t="str">
        <f aca="false">IF(AND(Eingabe!$F$17&gt;0,Eingabe!$E$17&gt;=168),"PPSK: Passwort Parzelle 168","")</f>
        <v/>
      </c>
      <c r="K1792" s="20" t="str">
        <f aca="false">IF(AND(Eingabe!$F$17&gt;0,Eingabe!$E$17&gt;=168),"1. Gerät: 10."&amp;Eingabe!$D$17&amp;".168.10, 2. Gerät: .11","")</f>
        <v/>
      </c>
    </row>
    <row r="1793" customFormat="false" ht="15" hidden="false" customHeight="false" outlineLevel="0" collapsed="false">
      <c r="A1793" s="20" t="str">
        <f aca="false">IF(AND(Eingabe!$F$17&gt;0,Eingabe!$E$17&gt;=169),9,"")</f>
        <v/>
      </c>
      <c r="B1793" s="20" t="str">
        <f aca="false">IF(AND(Eingabe!$F$17&gt;0,Eingabe!$E$17&gt;=169),Eingabe!$B$17,"")</f>
        <v/>
      </c>
      <c r="C1793" s="20" t="str">
        <f aca="false">IF(AND(Eingabe!$F$17&gt;0,Eingabe!$E$17&gt;=169),Eingabe!$C$17&amp;"-Paz."&amp;TEXT(169,"000"),"")</f>
        <v/>
      </c>
      <c r="D1793" s="20" t="str">
        <f aca="false">IF(AND(Eingabe!$F$17&gt;0,Eingabe!$E$17&gt;=169),169,"")</f>
        <v/>
      </c>
      <c r="E1793" s="20" t="str">
        <f aca="false">IF(AND(Eingabe!$F$17&gt;0,Eingabe!$E$17&gt;=169),IF((Eingabe!$G$17+1)&lt;=9,1000+(Eingabe!$G$17+1)*100,3000)+69,"")</f>
        <v/>
      </c>
      <c r="F1793" s="20" t="str">
        <f aca="false">IF(AND(Eingabe!$F$17&gt;0,Eingabe!$E$17&gt;=169),"10."&amp;Eingabe!$D$17&amp;".169.0/24","")</f>
        <v/>
      </c>
      <c r="G1793" s="20" t="str">
        <f aca="false">IF(AND(Eingabe!$F$17&gt;0,Eingabe!$E$17&gt;=169),"10."&amp;Eingabe!$D$17&amp;".169.1","")</f>
        <v/>
      </c>
      <c r="H1793" s="20" t="str">
        <f aca="false">IF(AND(Eingabe!$F$17&gt;0,Eingabe!$E$17&gt;=169),"10."&amp;Eingabe!$D$17&amp;".169.10 – 10."&amp;Eingabe!$D$17&amp;".169.250","")</f>
        <v/>
      </c>
      <c r="I1793" s="20" t="str">
        <f aca="false">IF(AND(Eingabe!$F$17&gt;0,Eingabe!$E$17&gt;=169),Eingabe!$B$6&amp;"-"&amp;Eingabe!$C$17&amp;"-Pächter","")</f>
        <v/>
      </c>
      <c r="J1793" s="20" t="str">
        <f aca="false">IF(AND(Eingabe!$F$17&gt;0,Eingabe!$E$17&gt;=169),"PPSK: Passwort Parzelle 169","")</f>
        <v/>
      </c>
      <c r="K1793" s="20" t="str">
        <f aca="false">IF(AND(Eingabe!$F$17&gt;0,Eingabe!$E$17&gt;=169),"1. Gerät: 10."&amp;Eingabe!$D$17&amp;".169.10, 2. Gerät: .11","")</f>
        <v/>
      </c>
    </row>
    <row r="1794" customFormat="false" ht="15" hidden="false" customHeight="false" outlineLevel="0" collapsed="false">
      <c r="A1794" s="20" t="str">
        <f aca="false">IF(AND(Eingabe!$F$17&gt;0,Eingabe!$E$17&gt;=170),9,"")</f>
        <v/>
      </c>
      <c r="B1794" s="20" t="str">
        <f aca="false">IF(AND(Eingabe!$F$17&gt;0,Eingabe!$E$17&gt;=170),Eingabe!$B$17,"")</f>
        <v/>
      </c>
      <c r="C1794" s="20" t="str">
        <f aca="false">IF(AND(Eingabe!$F$17&gt;0,Eingabe!$E$17&gt;=170),Eingabe!$C$17&amp;"-Paz."&amp;TEXT(170,"000"),"")</f>
        <v/>
      </c>
      <c r="D1794" s="20" t="str">
        <f aca="false">IF(AND(Eingabe!$F$17&gt;0,Eingabe!$E$17&gt;=170),170,"")</f>
        <v/>
      </c>
      <c r="E1794" s="20" t="str">
        <f aca="false">IF(AND(Eingabe!$F$17&gt;0,Eingabe!$E$17&gt;=170),IF((Eingabe!$G$17+1)&lt;=9,1000+(Eingabe!$G$17+1)*100,3000)+70,"")</f>
        <v/>
      </c>
      <c r="F1794" s="20" t="str">
        <f aca="false">IF(AND(Eingabe!$F$17&gt;0,Eingabe!$E$17&gt;=170),"10."&amp;Eingabe!$D$17&amp;".170.0/24","")</f>
        <v/>
      </c>
      <c r="G1794" s="20" t="str">
        <f aca="false">IF(AND(Eingabe!$F$17&gt;0,Eingabe!$E$17&gt;=170),"10."&amp;Eingabe!$D$17&amp;".170.1","")</f>
        <v/>
      </c>
      <c r="H1794" s="20" t="str">
        <f aca="false">IF(AND(Eingabe!$F$17&gt;0,Eingabe!$E$17&gt;=170),"10."&amp;Eingabe!$D$17&amp;".170.10 – 10."&amp;Eingabe!$D$17&amp;".170.250","")</f>
        <v/>
      </c>
      <c r="I1794" s="20" t="str">
        <f aca="false">IF(AND(Eingabe!$F$17&gt;0,Eingabe!$E$17&gt;=170),Eingabe!$B$6&amp;"-"&amp;Eingabe!$C$17&amp;"-Pächter","")</f>
        <v/>
      </c>
      <c r="J1794" s="20" t="str">
        <f aca="false">IF(AND(Eingabe!$F$17&gt;0,Eingabe!$E$17&gt;=170),"PPSK: Passwort Parzelle 170","")</f>
        <v/>
      </c>
      <c r="K1794" s="20" t="str">
        <f aca="false">IF(AND(Eingabe!$F$17&gt;0,Eingabe!$E$17&gt;=170),"1. Gerät: 10."&amp;Eingabe!$D$17&amp;".170.10, 2. Gerät: .11","")</f>
        <v/>
      </c>
    </row>
    <row r="1795" customFormat="false" ht="15" hidden="false" customHeight="false" outlineLevel="0" collapsed="false">
      <c r="A1795" s="20" t="str">
        <f aca="false">IF(AND(Eingabe!$F$17&gt;0,Eingabe!$E$17&gt;=171),9,"")</f>
        <v/>
      </c>
      <c r="B1795" s="20" t="str">
        <f aca="false">IF(AND(Eingabe!$F$17&gt;0,Eingabe!$E$17&gt;=171),Eingabe!$B$17,"")</f>
        <v/>
      </c>
      <c r="C1795" s="20" t="str">
        <f aca="false">IF(AND(Eingabe!$F$17&gt;0,Eingabe!$E$17&gt;=171),Eingabe!$C$17&amp;"-Paz."&amp;TEXT(171,"000"),"")</f>
        <v/>
      </c>
      <c r="D1795" s="20" t="str">
        <f aca="false">IF(AND(Eingabe!$F$17&gt;0,Eingabe!$E$17&gt;=171),171,"")</f>
        <v/>
      </c>
      <c r="E1795" s="20" t="str">
        <f aca="false">IF(AND(Eingabe!$F$17&gt;0,Eingabe!$E$17&gt;=171),IF((Eingabe!$G$17+1)&lt;=9,1000+(Eingabe!$G$17+1)*100,3000)+71,"")</f>
        <v/>
      </c>
      <c r="F1795" s="20" t="str">
        <f aca="false">IF(AND(Eingabe!$F$17&gt;0,Eingabe!$E$17&gt;=171),"10."&amp;Eingabe!$D$17&amp;".171.0/24","")</f>
        <v/>
      </c>
      <c r="G1795" s="20" t="str">
        <f aca="false">IF(AND(Eingabe!$F$17&gt;0,Eingabe!$E$17&gt;=171),"10."&amp;Eingabe!$D$17&amp;".171.1","")</f>
        <v/>
      </c>
      <c r="H1795" s="20" t="str">
        <f aca="false">IF(AND(Eingabe!$F$17&gt;0,Eingabe!$E$17&gt;=171),"10."&amp;Eingabe!$D$17&amp;".171.10 – 10."&amp;Eingabe!$D$17&amp;".171.250","")</f>
        <v/>
      </c>
      <c r="I1795" s="20" t="str">
        <f aca="false">IF(AND(Eingabe!$F$17&gt;0,Eingabe!$E$17&gt;=171),Eingabe!$B$6&amp;"-"&amp;Eingabe!$C$17&amp;"-Pächter","")</f>
        <v/>
      </c>
      <c r="J1795" s="20" t="str">
        <f aca="false">IF(AND(Eingabe!$F$17&gt;0,Eingabe!$E$17&gt;=171),"PPSK: Passwort Parzelle 171","")</f>
        <v/>
      </c>
      <c r="K1795" s="20" t="str">
        <f aca="false">IF(AND(Eingabe!$F$17&gt;0,Eingabe!$E$17&gt;=171),"1. Gerät: 10."&amp;Eingabe!$D$17&amp;".171.10, 2. Gerät: .11","")</f>
        <v/>
      </c>
    </row>
    <row r="1796" customFormat="false" ht="15" hidden="false" customHeight="false" outlineLevel="0" collapsed="false">
      <c r="A1796" s="20" t="str">
        <f aca="false">IF(AND(Eingabe!$F$17&gt;0,Eingabe!$E$17&gt;=172),9,"")</f>
        <v/>
      </c>
      <c r="B1796" s="20" t="str">
        <f aca="false">IF(AND(Eingabe!$F$17&gt;0,Eingabe!$E$17&gt;=172),Eingabe!$B$17,"")</f>
        <v/>
      </c>
      <c r="C1796" s="20" t="str">
        <f aca="false">IF(AND(Eingabe!$F$17&gt;0,Eingabe!$E$17&gt;=172),Eingabe!$C$17&amp;"-Paz."&amp;TEXT(172,"000"),"")</f>
        <v/>
      </c>
      <c r="D1796" s="20" t="str">
        <f aca="false">IF(AND(Eingabe!$F$17&gt;0,Eingabe!$E$17&gt;=172),172,"")</f>
        <v/>
      </c>
      <c r="E1796" s="20" t="str">
        <f aca="false">IF(AND(Eingabe!$F$17&gt;0,Eingabe!$E$17&gt;=172),IF((Eingabe!$G$17+1)&lt;=9,1000+(Eingabe!$G$17+1)*100,3000)+72,"")</f>
        <v/>
      </c>
      <c r="F1796" s="20" t="str">
        <f aca="false">IF(AND(Eingabe!$F$17&gt;0,Eingabe!$E$17&gt;=172),"10."&amp;Eingabe!$D$17&amp;".172.0/24","")</f>
        <v/>
      </c>
      <c r="G1796" s="20" t="str">
        <f aca="false">IF(AND(Eingabe!$F$17&gt;0,Eingabe!$E$17&gt;=172),"10."&amp;Eingabe!$D$17&amp;".172.1","")</f>
        <v/>
      </c>
      <c r="H1796" s="20" t="str">
        <f aca="false">IF(AND(Eingabe!$F$17&gt;0,Eingabe!$E$17&gt;=172),"10."&amp;Eingabe!$D$17&amp;".172.10 – 10."&amp;Eingabe!$D$17&amp;".172.250","")</f>
        <v/>
      </c>
      <c r="I1796" s="20" t="str">
        <f aca="false">IF(AND(Eingabe!$F$17&gt;0,Eingabe!$E$17&gt;=172),Eingabe!$B$6&amp;"-"&amp;Eingabe!$C$17&amp;"-Pächter","")</f>
        <v/>
      </c>
      <c r="J1796" s="20" t="str">
        <f aca="false">IF(AND(Eingabe!$F$17&gt;0,Eingabe!$E$17&gt;=172),"PPSK: Passwort Parzelle 172","")</f>
        <v/>
      </c>
      <c r="K1796" s="20" t="str">
        <f aca="false">IF(AND(Eingabe!$F$17&gt;0,Eingabe!$E$17&gt;=172),"1. Gerät: 10."&amp;Eingabe!$D$17&amp;".172.10, 2. Gerät: .11","")</f>
        <v/>
      </c>
    </row>
    <row r="1797" customFormat="false" ht="15" hidden="false" customHeight="false" outlineLevel="0" collapsed="false">
      <c r="A1797" s="20" t="str">
        <f aca="false">IF(AND(Eingabe!$F$17&gt;0,Eingabe!$E$17&gt;=173),9,"")</f>
        <v/>
      </c>
      <c r="B1797" s="20" t="str">
        <f aca="false">IF(AND(Eingabe!$F$17&gt;0,Eingabe!$E$17&gt;=173),Eingabe!$B$17,"")</f>
        <v/>
      </c>
      <c r="C1797" s="20" t="str">
        <f aca="false">IF(AND(Eingabe!$F$17&gt;0,Eingabe!$E$17&gt;=173),Eingabe!$C$17&amp;"-Paz."&amp;TEXT(173,"000"),"")</f>
        <v/>
      </c>
      <c r="D1797" s="20" t="str">
        <f aca="false">IF(AND(Eingabe!$F$17&gt;0,Eingabe!$E$17&gt;=173),173,"")</f>
        <v/>
      </c>
      <c r="E1797" s="20" t="str">
        <f aca="false">IF(AND(Eingabe!$F$17&gt;0,Eingabe!$E$17&gt;=173),IF((Eingabe!$G$17+1)&lt;=9,1000+(Eingabe!$G$17+1)*100,3000)+73,"")</f>
        <v/>
      </c>
      <c r="F1797" s="20" t="str">
        <f aca="false">IF(AND(Eingabe!$F$17&gt;0,Eingabe!$E$17&gt;=173),"10."&amp;Eingabe!$D$17&amp;".173.0/24","")</f>
        <v/>
      </c>
      <c r="G1797" s="20" t="str">
        <f aca="false">IF(AND(Eingabe!$F$17&gt;0,Eingabe!$E$17&gt;=173),"10."&amp;Eingabe!$D$17&amp;".173.1","")</f>
        <v/>
      </c>
      <c r="H1797" s="20" t="str">
        <f aca="false">IF(AND(Eingabe!$F$17&gt;0,Eingabe!$E$17&gt;=173),"10."&amp;Eingabe!$D$17&amp;".173.10 – 10."&amp;Eingabe!$D$17&amp;".173.250","")</f>
        <v/>
      </c>
      <c r="I1797" s="20" t="str">
        <f aca="false">IF(AND(Eingabe!$F$17&gt;0,Eingabe!$E$17&gt;=173),Eingabe!$B$6&amp;"-"&amp;Eingabe!$C$17&amp;"-Pächter","")</f>
        <v/>
      </c>
      <c r="J1797" s="20" t="str">
        <f aca="false">IF(AND(Eingabe!$F$17&gt;0,Eingabe!$E$17&gt;=173),"PPSK: Passwort Parzelle 173","")</f>
        <v/>
      </c>
      <c r="K1797" s="20" t="str">
        <f aca="false">IF(AND(Eingabe!$F$17&gt;0,Eingabe!$E$17&gt;=173),"1. Gerät: 10."&amp;Eingabe!$D$17&amp;".173.10, 2. Gerät: .11","")</f>
        <v/>
      </c>
    </row>
    <row r="1798" customFormat="false" ht="15" hidden="false" customHeight="false" outlineLevel="0" collapsed="false">
      <c r="A1798" s="20" t="str">
        <f aca="false">IF(AND(Eingabe!$F$17&gt;0,Eingabe!$E$17&gt;=174),9,"")</f>
        <v/>
      </c>
      <c r="B1798" s="20" t="str">
        <f aca="false">IF(AND(Eingabe!$F$17&gt;0,Eingabe!$E$17&gt;=174),Eingabe!$B$17,"")</f>
        <v/>
      </c>
      <c r="C1798" s="20" t="str">
        <f aca="false">IF(AND(Eingabe!$F$17&gt;0,Eingabe!$E$17&gt;=174),Eingabe!$C$17&amp;"-Paz."&amp;TEXT(174,"000"),"")</f>
        <v/>
      </c>
      <c r="D1798" s="20" t="str">
        <f aca="false">IF(AND(Eingabe!$F$17&gt;0,Eingabe!$E$17&gt;=174),174,"")</f>
        <v/>
      </c>
      <c r="E1798" s="20" t="str">
        <f aca="false">IF(AND(Eingabe!$F$17&gt;0,Eingabe!$E$17&gt;=174),IF((Eingabe!$G$17+1)&lt;=9,1000+(Eingabe!$G$17+1)*100,3000)+74,"")</f>
        <v/>
      </c>
      <c r="F1798" s="20" t="str">
        <f aca="false">IF(AND(Eingabe!$F$17&gt;0,Eingabe!$E$17&gt;=174),"10."&amp;Eingabe!$D$17&amp;".174.0/24","")</f>
        <v/>
      </c>
      <c r="G1798" s="20" t="str">
        <f aca="false">IF(AND(Eingabe!$F$17&gt;0,Eingabe!$E$17&gt;=174),"10."&amp;Eingabe!$D$17&amp;".174.1","")</f>
        <v/>
      </c>
      <c r="H1798" s="20" t="str">
        <f aca="false">IF(AND(Eingabe!$F$17&gt;0,Eingabe!$E$17&gt;=174),"10."&amp;Eingabe!$D$17&amp;".174.10 – 10."&amp;Eingabe!$D$17&amp;".174.250","")</f>
        <v/>
      </c>
      <c r="I1798" s="20" t="str">
        <f aca="false">IF(AND(Eingabe!$F$17&gt;0,Eingabe!$E$17&gt;=174),Eingabe!$B$6&amp;"-"&amp;Eingabe!$C$17&amp;"-Pächter","")</f>
        <v/>
      </c>
      <c r="J1798" s="20" t="str">
        <f aca="false">IF(AND(Eingabe!$F$17&gt;0,Eingabe!$E$17&gt;=174),"PPSK: Passwort Parzelle 174","")</f>
        <v/>
      </c>
      <c r="K1798" s="20" t="str">
        <f aca="false">IF(AND(Eingabe!$F$17&gt;0,Eingabe!$E$17&gt;=174),"1. Gerät: 10."&amp;Eingabe!$D$17&amp;".174.10, 2. Gerät: .11","")</f>
        <v/>
      </c>
    </row>
    <row r="1799" customFormat="false" ht="15" hidden="false" customHeight="false" outlineLevel="0" collapsed="false">
      <c r="A1799" s="20" t="str">
        <f aca="false">IF(AND(Eingabe!$F$17&gt;0,Eingabe!$E$17&gt;=175),9,"")</f>
        <v/>
      </c>
      <c r="B1799" s="20" t="str">
        <f aca="false">IF(AND(Eingabe!$F$17&gt;0,Eingabe!$E$17&gt;=175),Eingabe!$B$17,"")</f>
        <v/>
      </c>
      <c r="C1799" s="20" t="str">
        <f aca="false">IF(AND(Eingabe!$F$17&gt;0,Eingabe!$E$17&gt;=175),Eingabe!$C$17&amp;"-Paz."&amp;TEXT(175,"000"),"")</f>
        <v/>
      </c>
      <c r="D1799" s="20" t="str">
        <f aca="false">IF(AND(Eingabe!$F$17&gt;0,Eingabe!$E$17&gt;=175),175,"")</f>
        <v/>
      </c>
      <c r="E1799" s="20" t="str">
        <f aca="false">IF(AND(Eingabe!$F$17&gt;0,Eingabe!$E$17&gt;=175),IF((Eingabe!$G$17+1)&lt;=9,1000+(Eingabe!$G$17+1)*100,3000)+75,"")</f>
        <v/>
      </c>
      <c r="F1799" s="20" t="str">
        <f aca="false">IF(AND(Eingabe!$F$17&gt;0,Eingabe!$E$17&gt;=175),"10."&amp;Eingabe!$D$17&amp;".175.0/24","")</f>
        <v/>
      </c>
      <c r="G1799" s="20" t="str">
        <f aca="false">IF(AND(Eingabe!$F$17&gt;0,Eingabe!$E$17&gt;=175),"10."&amp;Eingabe!$D$17&amp;".175.1","")</f>
        <v/>
      </c>
      <c r="H1799" s="20" t="str">
        <f aca="false">IF(AND(Eingabe!$F$17&gt;0,Eingabe!$E$17&gt;=175),"10."&amp;Eingabe!$D$17&amp;".175.10 – 10."&amp;Eingabe!$D$17&amp;".175.250","")</f>
        <v/>
      </c>
      <c r="I1799" s="20" t="str">
        <f aca="false">IF(AND(Eingabe!$F$17&gt;0,Eingabe!$E$17&gt;=175),Eingabe!$B$6&amp;"-"&amp;Eingabe!$C$17&amp;"-Pächter","")</f>
        <v/>
      </c>
      <c r="J1799" s="20" t="str">
        <f aca="false">IF(AND(Eingabe!$F$17&gt;0,Eingabe!$E$17&gt;=175),"PPSK: Passwort Parzelle 175","")</f>
        <v/>
      </c>
      <c r="K1799" s="20" t="str">
        <f aca="false">IF(AND(Eingabe!$F$17&gt;0,Eingabe!$E$17&gt;=175),"1. Gerät: 10."&amp;Eingabe!$D$17&amp;".175.10, 2. Gerät: .11","")</f>
        <v/>
      </c>
    </row>
    <row r="1800" customFormat="false" ht="15" hidden="false" customHeight="false" outlineLevel="0" collapsed="false">
      <c r="A1800" s="20" t="str">
        <f aca="false">IF(AND(Eingabe!$F$17&gt;0,Eingabe!$E$17&gt;=176),9,"")</f>
        <v/>
      </c>
      <c r="B1800" s="20" t="str">
        <f aca="false">IF(AND(Eingabe!$F$17&gt;0,Eingabe!$E$17&gt;=176),Eingabe!$B$17,"")</f>
        <v/>
      </c>
      <c r="C1800" s="20" t="str">
        <f aca="false">IF(AND(Eingabe!$F$17&gt;0,Eingabe!$E$17&gt;=176),Eingabe!$C$17&amp;"-Paz."&amp;TEXT(176,"000"),"")</f>
        <v/>
      </c>
      <c r="D1800" s="20" t="str">
        <f aca="false">IF(AND(Eingabe!$F$17&gt;0,Eingabe!$E$17&gt;=176),176,"")</f>
        <v/>
      </c>
      <c r="E1800" s="20" t="str">
        <f aca="false">IF(AND(Eingabe!$F$17&gt;0,Eingabe!$E$17&gt;=176),IF((Eingabe!$G$17+1)&lt;=9,1000+(Eingabe!$G$17+1)*100,3000)+76,"")</f>
        <v/>
      </c>
      <c r="F1800" s="20" t="str">
        <f aca="false">IF(AND(Eingabe!$F$17&gt;0,Eingabe!$E$17&gt;=176),"10."&amp;Eingabe!$D$17&amp;".176.0/24","")</f>
        <v/>
      </c>
      <c r="G1800" s="20" t="str">
        <f aca="false">IF(AND(Eingabe!$F$17&gt;0,Eingabe!$E$17&gt;=176),"10."&amp;Eingabe!$D$17&amp;".176.1","")</f>
        <v/>
      </c>
      <c r="H1800" s="20" t="str">
        <f aca="false">IF(AND(Eingabe!$F$17&gt;0,Eingabe!$E$17&gt;=176),"10."&amp;Eingabe!$D$17&amp;".176.10 – 10."&amp;Eingabe!$D$17&amp;".176.250","")</f>
        <v/>
      </c>
      <c r="I1800" s="20" t="str">
        <f aca="false">IF(AND(Eingabe!$F$17&gt;0,Eingabe!$E$17&gt;=176),Eingabe!$B$6&amp;"-"&amp;Eingabe!$C$17&amp;"-Pächter","")</f>
        <v/>
      </c>
      <c r="J1800" s="20" t="str">
        <f aca="false">IF(AND(Eingabe!$F$17&gt;0,Eingabe!$E$17&gt;=176),"PPSK: Passwort Parzelle 176","")</f>
        <v/>
      </c>
      <c r="K1800" s="20" t="str">
        <f aca="false">IF(AND(Eingabe!$F$17&gt;0,Eingabe!$E$17&gt;=176),"1. Gerät: 10."&amp;Eingabe!$D$17&amp;".176.10, 2. Gerät: .11","")</f>
        <v/>
      </c>
    </row>
    <row r="1801" customFormat="false" ht="15" hidden="false" customHeight="false" outlineLevel="0" collapsed="false">
      <c r="A1801" s="20" t="str">
        <f aca="false">IF(AND(Eingabe!$F$17&gt;0,Eingabe!$E$17&gt;=177),9,"")</f>
        <v/>
      </c>
      <c r="B1801" s="20" t="str">
        <f aca="false">IF(AND(Eingabe!$F$17&gt;0,Eingabe!$E$17&gt;=177),Eingabe!$B$17,"")</f>
        <v/>
      </c>
      <c r="C1801" s="20" t="str">
        <f aca="false">IF(AND(Eingabe!$F$17&gt;0,Eingabe!$E$17&gt;=177),Eingabe!$C$17&amp;"-Paz."&amp;TEXT(177,"000"),"")</f>
        <v/>
      </c>
      <c r="D1801" s="20" t="str">
        <f aca="false">IF(AND(Eingabe!$F$17&gt;0,Eingabe!$E$17&gt;=177),177,"")</f>
        <v/>
      </c>
      <c r="E1801" s="20" t="str">
        <f aca="false">IF(AND(Eingabe!$F$17&gt;0,Eingabe!$E$17&gt;=177),IF((Eingabe!$G$17+1)&lt;=9,1000+(Eingabe!$G$17+1)*100,3000)+77,"")</f>
        <v/>
      </c>
      <c r="F1801" s="20" t="str">
        <f aca="false">IF(AND(Eingabe!$F$17&gt;0,Eingabe!$E$17&gt;=177),"10."&amp;Eingabe!$D$17&amp;".177.0/24","")</f>
        <v/>
      </c>
      <c r="G1801" s="20" t="str">
        <f aca="false">IF(AND(Eingabe!$F$17&gt;0,Eingabe!$E$17&gt;=177),"10."&amp;Eingabe!$D$17&amp;".177.1","")</f>
        <v/>
      </c>
      <c r="H1801" s="20" t="str">
        <f aca="false">IF(AND(Eingabe!$F$17&gt;0,Eingabe!$E$17&gt;=177),"10."&amp;Eingabe!$D$17&amp;".177.10 – 10."&amp;Eingabe!$D$17&amp;".177.250","")</f>
        <v/>
      </c>
      <c r="I1801" s="20" t="str">
        <f aca="false">IF(AND(Eingabe!$F$17&gt;0,Eingabe!$E$17&gt;=177),Eingabe!$B$6&amp;"-"&amp;Eingabe!$C$17&amp;"-Pächter","")</f>
        <v/>
      </c>
      <c r="J1801" s="20" t="str">
        <f aca="false">IF(AND(Eingabe!$F$17&gt;0,Eingabe!$E$17&gt;=177),"PPSK: Passwort Parzelle 177","")</f>
        <v/>
      </c>
      <c r="K1801" s="20" t="str">
        <f aca="false">IF(AND(Eingabe!$F$17&gt;0,Eingabe!$E$17&gt;=177),"1. Gerät: 10."&amp;Eingabe!$D$17&amp;".177.10, 2. Gerät: .11","")</f>
        <v/>
      </c>
    </row>
    <row r="1802" customFormat="false" ht="15" hidden="false" customHeight="false" outlineLevel="0" collapsed="false">
      <c r="A1802" s="20" t="str">
        <f aca="false">IF(AND(Eingabe!$F$17&gt;0,Eingabe!$E$17&gt;=178),9,"")</f>
        <v/>
      </c>
      <c r="B1802" s="20" t="str">
        <f aca="false">IF(AND(Eingabe!$F$17&gt;0,Eingabe!$E$17&gt;=178),Eingabe!$B$17,"")</f>
        <v/>
      </c>
      <c r="C1802" s="20" t="str">
        <f aca="false">IF(AND(Eingabe!$F$17&gt;0,Eingabe!$E$17&gt;=178),Eingabe!$C$17&amp;"-Paz."&amp;TEXT(178,"000"),"")</f>
        <v/>
      </c>
      <c r="D1802" s="20" t="str">
        <f aca="false">IF(AND(Eingabe!$F$17&gt;0,Eingabe!$E$17&gt;=178),178,"")</f>
        <v/>
      </c>
      <c r="E1802" s="20" t="str">
        <f aca="false">IF(AND(Eingabe!$F$17&gt;0,Eingabe!$E$17&gt;=178),IF((Eingabe!$G$17+1)&lt;=9,1000+(Eingabe!$G$17+1)*100,3000)+78,"")</f>
        <v/>
      </c>
      <c r="F1802" s="20" t="str">
        <f aca="false">IF(AND(Eingabe!$F$17&gt;0,Eingabe!$E$17&gt;=178),"10."&amp;Eingabe!$D$17&amp;".178.0/24","")</f>
        <v/>
      </c>
      <c r="G1802" s="20" t="str">
        <f aca="false">IF(AND(Eingabe!$F$17&gt;0,Eingabe!$E$17&gt;=178),"10."&amp;Eingabe!$D$17&amp;".178.1","")</f>
        <v/>
      </c>
      <c r="H1802" s="20" t="str">
        <f aca="false">IF(AND(Eingabe!$F$17&gt;0,Eingabe!$E$17&gt;=178),"10."&amp;Eingabe!$D$17&amp;".178.10 – 10."&amp;Eingabe!$D$17&amp;".178.250","")</f>
        <v/>
      </c>
      <c r="I1802" s="20" t="str">
        <f aca="false">IF(AND(Eingabe!$F$17&gt;0,Eingabe!$E$17&gt;=178),Eingabe!$B$6&amp;"-"&amp;Eingabe!$C$17&amp;"-Pächter","")</f>
        <v/>
      </c>
      <c r="J1802" s="20" t="str">
        <f aca="false">IF(AND(Eingabe!$F$17&gt;0,Eingabe!$E$17&gt;=178),"PPSK: Passwort Parzelle 178","")</f>
        <v/>
      </c>
      <c r="K1802" s="20" t="str">
        <f aca="false">IF(AND(Eingabe!$F$17&gt;0,Eingabe!$E$17&gt;=178),"1. Gerät: 10."&amp;Eingabe!$D$17&amp;".178.10, 2. Gerät: .11","")</f>
        <v/>
      </c>
    </row>
    <row r="1803" customFormat="false" ht="15" hidden="false" customHeight="false" outlineLevel="0" collapsed="false">
      <c r="A1803" s="20" t="str">
        <f aca="false">IF(AND(Eingabe!$F$17&gt;0,Eingabe!$E$17&gt;=179),9,"")</f>
        <v/>
      </c>
      <c r="B1803" s="20" t="str">
        <f aca="false">IF(AND(Eingabe!$F$17&gt;0,Eingabe!$E$17&gt;=179),Eingabe!$B$17,"")</f>
        <v/>
      </c>
      <c r="C1803" s="20" t="str">
        <f aca="false">IF(AND(Eingabe!$F$17&gt;0,Eingabe!$E$17&gt;=179),Eingabe!$C$17&amp;"-Paz."&amp;TEXT(179,"000"),"")</f>
        <v/>
      </c>
      <c r="D1803" s="20" t="str">
        <f aca="false">IF(AND(Eingabe!$F$17&gt;0,Eingabe!$E$17&gt;=179),179,"")</f>
        <v/>
      </c>
      <c r="E1803" s="20" t="str">
        <f aca="false">IF(AND(Eingabe!$F$17&gt;0,Eingabe!$E$17&gt;=179),IF((Eingabe!$G$17+1)&lt;=9,1000+(Eingabe!$G$17+1)*100,3000)+79,"")</f>
        <v/>
      </c>
      <c r="F1803" s="20" t="str">
        <f aca="false">IF(AND(Eingabe!$F$17&gt;0,Eingabe!$E$17&gt;=179),"10."&amp;Eingabe!$D$17&amp;".179.0/24","")</f>
        <v/>
      </c>
      <c r="G1803" s="20" t="str">
        <f aca="false">IF(AND(Eingabe!$F$17&gt;0,Eingabe!$E$17&gt;=179),"10."&amp;Eingabe!$D$17&amp;".179.1","")</f>
        <v/>
      </c>
      <c r="H1803" s="20" t="str">
        <f aca="false">IF(AND(Eingabe!$F$17&gt;0,Eingabe!$E$17&gt;=179),"10."&amp;Eingabe!$D$17&amp;".179.10 – 10."&amp;Eingabe!$D$17&amp;".179.250","")</f>
        <v/>
      </c>
      <c r="I1803" s="20" t="str">
        <f aca="false">IF(AND(Eingabe!$F$17&gt;0,Eingabe!$E$17&gt;=179),Eingabe!$B$6&amp;"-"&amp;Eingabe!$C$17&amp;"-Pächter","")</f>
        <v/>
      </c>
      <c r="J1803" s="20" t="str">
        <f aca="false">IF(AND(Eingabe!$F$17&gt;0,Eingabe!$E$17&gt;=179),"PPSK: Passwort Parzelle 179","")</f>
        <v/>
      </c>
      <c r="K1803" s="20" t="str">
        <f aca="false">IF(AND(Eingabe!$F$17&gt;0,Eingabe!$E$17&gt;=179),"1. Gerät: 10."&amp;Eingabe!$D$17&amp;".179.10, 2. Gerät: .11","")</f>
        <v/>
      </c>
    </row>
    <row r="1804" customFormat="false" ht="15" hidden="false" customHeight="false" outlineLevel="0" collapsed="false">
      <c r="A1804" s="20" t="str">
        <f aca="false">IF(AND(Eingabe!$F$17&gt;0,Eingabe!$E$17&gt;=180),9,"")</f>
        <v/>
      </c>
      <c r="B1804" s="20" t="str">
        <f aca="false">IF(AND(Eingabe!$F$17&gt;0,Eingabe!$E$17&gt;=180),Eingabe!$B$17,"")</f>
        <v/>
      </c>
      <c r="C1804" s="20" t="str">
        <f aca="false">IF(AND(Eingabe!$F$17&gt;0,Eingabe!$E$17&gt;=180),Eingabe!$C$17&amp;"-Paz."&amp;TEXT(180,"000"),"")</f>
        <v/>
      </c>
      <c r="D1804" s="20" t="str">
        <f aca="false">IF(AND(Eingabe!$F$17&gt;0,Eingabe!$E$17&gt;=180),180,"")</f>
        <v/>
      </c>
      <c r="E1804" s="20" t="str">
        <f aca="false">IF(AND(Eingabe!$F$17&gt;0,Eingabe!$E$17&gt;=180),IF((Eingabe!$G$17+1)&lt;=9,1000+(Eingabe!$G$17+1)*100,3000)+80,"")</f>
        <v/>
      </c>
      <c r="F1804" s="20" t="str">
        <f aca="false">IF(AND(Eingabe!$F$17&gt;0,Eingabe!$E$17&gt;=180),"10."&amp;Eingabe!$D$17&amp;".180.0/24","")</f>
        <v/>
      </c>
      <c r="G1804" s="20" t="str">
        <f aca="false">IF(AND(Eingabe!$F$17&gt;0,Eingabe!$E$17&gt;=180),"10."&amp;Eingabe!$D$17&amp;".180.1","")</f>
        <v/>
      </c>
      <c r="H1804" s="20" t="str">
        <f aca="false">IF(AND(Eingabe!$F$17&gt;0,Eingabe!$E$17&gt;=180),"10."&amp;Eingabe!$D$17&amp;".180.10 – 10."&amp;Eingabe!$D$17&amp;".180.250","")</f>
        <v/>
      </c>
      <c r="I1804" s="20" t="str">
        <f aca="false">IF(AND(Eingabe!$F$17&gt;0,Eingabe!$E$17&gt;=180),Eingabe!$B$6&amp;"-"&amp;Eingabe!$C$17&amp;"-Pächter","")</f>
        <v/>
      </c>
      <c r="J1804" s="20" t="str">
        <f aca="false">IF(AND(Eingabe!$F$17&gt;0,Eingabe!$E$17&gt;=180),"PPSK: Passwort Parzelle 180","")</f>
        <v/>
      </c>
      <c r="K1804" s="20" t="str">
        <f aca="false">IF(AND(Eingabe!$F$17&gt;0,Eingabe!$E$17&gt;=180),"1. Gerät: 10."&amp;Eingabe!$D$17&amp;".180.10, 2. Gerät: .11","")</f>
        <v/>
      </c>
    </row>
    <row r="1805" customFormat="false" ht="15" hidden="false" customHeight="false" outlineLevel="0" collapsed="false">
      <c r="A1805" s="20" t="str">
        <f aca="false">IF(AND(Eingabe!$F$17&gt;0,Eingabe!$E$17&gt;=181),9,"")</f>
        <v/>
      </c>
      <c r="B1805" s="20" t="str">
        <f aca="false">IF(AND(Eingabe!$F$17&gt;0,Eingabe!$E$17&gt;=181),Eingabe!$B$17,"")</f>
        <v/>
      </c>
      <c r="C1805" s="20" t="str">
        <f aca="false">IF(AND(Eingabe!$F$17&gt;0,Eingabe!$E$17&gt;=181),Eingabe!$C$17&amp;"-Paz."&amp;TEXT(181,"000"),"")</f>
        <v/>
      </c>
      <c r="D1805" s="20" t="str">
        <f aca="false">IF(AND(Eingabe!$F$17&gt;0,Eingabe!$E$17&gt;=181),181,"")</f>
        <v/>
      </c>
      <c r="E1805" s="20" t="str">
        <f aca="false">IF(AND(Eingabe!$F$17&gt;0,Eingabe!$E$17&gt;=181),IF((Eingabe!$G$17+1)&lt;=9,1000+(Eingabe!$G$17+1)*100,3000)+81,"")</f>
        <v/>
      </c>
      <c r="F1805" s="20" t="str">
        <f aca="false">IF(AND(Eingabe!$F$17&gt;0,Eingabe!$E$17&gt;=181),"10."&amp;Eingabe!$D$17&amp;".181.0/24","")</f>
        <v/>
      </c>
      <c r="G1805" s="20" t="str">
        <f aca="false">IF(AND(Eingabe!$F$17&gt;0,Eingabe!$E$17&gt;=181),"10."&amp;Eingabe!$D$17&amp;".181.1","")</f>
        <v/>
      </c>
      <c r="H1805" s="20" t="str">
        <f aca="false">IF(AND(Eingabe!$F$17&gt;0,Eingabe!$E$17&gt;=181),"10."&amp;Eingabe!$D$17&amp;".181.10 – 10."&amp;Eingabe!$D$17&amp;".181.250","")</f>
        <v/>
      </c>
      <c r="I1805" s="20" t="str">
        <f aca="false">IF(AND(Eingabe!$F$17&gt;0,Eingabe!$E$17&gt;=181),Eingabe!$B$6&amp;"-"&amp;Eingabe!$C$17&amp;"-Pächter","")</f>
        <v/>
      </c>
      <c r="J1805" s="20" t="str">
        <f aca="false">IF(AND(Eingabe!$F$17&gt;0,Eingabe!$E$17&gt;=181),"PPSK: Passwort Parzelle 181","")</f>
        <v/>
      </c>
      <c r="K1805" s="20" t="str">
        <f aca="false">IF(AND(Eingabe!$F$17&gt;0,Eingabe!$E$17&gt;=181),"1. Gerät: 10."&amp;Eingabe!$D$17&amp;".181.10, 2. Gerät: .11","")</f>
        <v/>
      </c>
    </row>
    <row r="1806" customFormat="false" ht="15" hidden="false" customHeight="false" outlineLevel="0" collapsed="false">
      <c r="A1806" s="20" t="str">
        <f aca="false">IF(AND(Eingabe!$F$17&gt;0,Eingabe!$E$17&gt;=182),9,"")</f>
        <v/>
      </c>
      <c r="B1806" s="20" t="str">
        <f aca="false">IF(AND(Eingabe!$F$17&gt;0,Eingabe!$E$17&gt;=182),Eingabe!$B$17,"")</f>
        <v/>
      </c>
      <c r="C1806" s="20" t="str">
        <f aca="false">IF(AND(Eingabe!$F$17&gt;0,Eingabe!$E$17&gt;=182),Eingabe!$C$17&amp;"-Paz."&amp;TEXT(182,"000"),"")</f>
        <v/>
      </c>
      <c r="D1806" s="20" t="str">
        <f aca="false">IF(AND(Eingabe!$F$17&gt;0,Eingabe!$E$17&gt;=182),182,"")</f>
        <v/>
      </c>
      <c r="E1806" s="20" t="str">
        <f aca="false">IF(AND(Eingabe!$F$17&gt;0,Eingabe!$E$17&gt;=182),IF((Eingabe!$G$17+1)&lt;=9,1000+(Eingabe!$G$17+1)*100,3000)+82,"")</f>
        <v/>
      </c>
      <c r="F1806" s="20" t="str">
        <f aca="false">IF(AND(Eingabe!$F$17&gt;0,Eingabe!$E$17&gt;=182),"10."&amp;Eingabe!$D$17&amp;".182.0/24","")</f>
        <v/>
      </c>
      <c r="G1806" s="20" t="str">
        <f aca="false">IF(AND(Eingabe!$F$17&gt;0,Eingabe!$E$17&gt;=182),"10."&amp;Eingabe!$D$17&amp;".182.1","")</f>
        <v/>
      </c>
      <c r="H1806" s="20" t="str">
        <f aca="false">IF(AND(Eingabe!$F$17&gt;0,Eingabe!$E$17&gt;=182),"10."&amp;Eingabe!$D$17&amp;".182.10 – 10."&amp;Eingabe!$D$17&amp;".182.250","")</f>
        <v/>
      </c>
      <c r="I1806" s="20" t="str">
        <f aca="false">IF(AND(Eingabe!$F$17&gt;0,Eingabe!$E$17&gt;=182),Eingabe!$B$6&amp;"-"&amp;Eingabe!$C$17&amp;"-Pächter","")</f>
        <v/>
      </c>
      <c r="J1806" s="20" t="str">
        <f aca="false">IF(AND(Eingabe!$F$17&gt;0,Eingabe!$E$17&gt;=182),"PPSK: Passwort Parzelle 182","")</f>
        <v/>
      </c>
      <c r="K1806" s="20" t="str">
        <f aca="false">IF(AND(Eingabe!$F$17&gt;0,Eingabe!$E$17&gt;=182),"1. Gerät: 10."&amp;Eingabe!$D$17&amp;".182.10, 2. Gerät: .11","")</f>
        <v/>
      </c>
    </row>
    <row r="1807" customFormat="false" ht="15" hidden="false" customHeight="false" outlineLevel="0" collapsed="false">
      <c r="A1807" s="20" t="str">
        <f aca="false">IF(AND(Eingabe!$F$17&gt;0,Eingabe!$E$17&gt;=183),9,"")</f>
        <v/>
      </c>
      <c r="B1807" s="20" t="str">
        <f aca="false">IF(AND(Eingabe!$F$17&gt;0,Eingabe!$E$17&gt;=183),Eingabe!$B$17,"")</f>
        <v/>
      </c>
      <c r="C1807" s="20" t="str">
        <f aca="false">IF(AND(Eingabe!$F$17&gt;0,Eingabe!$E$17&gt;=183),Eingabe!$C$17&amp;"-Paz."&amp;TEXT(183,"000"),"")</f>
        <v/>
      </c>
      <c r="D1807" s="20" t="str">
        <f aca="false">IF(AND(Eingabe!$F$17&gt;0,Eingabe!$E$17&gt;=183),183,"")</f>
        <v/>
      </c>
      <c r="E1807" s="20" t="str">
        <f aca="false">IF(AND(Eingabe!$F$17&gt;0,Eingabe!$E$17&gt;=183),IF((Eingabe!$G$17+1)&lt;=9,1000+(Eingabe!$G$17+1)*100,3000)+83,"")</f>
        <v/>
      </c>
      <c r="F1807" s="20" t="str">
        <f aca="false">IF(AND(Eingabe!$F$17&gt;0,Eingabe!$E$17&gt;=183),"10."&amp;Eingabe!$D$17&amp;".183.0/24","")</f>
        <v/>
      </c>
      <c r="G1807" s="20" t="str">
        <f aca="false">IF(AND(Eingabe!$F$17&gt;0,Eingabe!$E$17&gt;=183),"10."&amp;Eingabe!$D$17&amp;".183.1","")</f>
        <v/>
      </c>
      <c r="H1807" s="20" t="str">
        <f aca="false">IF(AND(Eingabe!$F$17&gt;0,Eingabe!$E$17&gt;=183),"10."&amp;Eingabe!$D$17&amp;".183.10 – 10."&amp;Eingabe!$D$17&amp;".183.250","")</f>
        <v/>
      </c>
      <c r="I1807" s="20" t="str">
        <f aca="false">IF(AND(Eingabe!$F$17&gt;0,Eingabe!$E$17&gt;=183),Eingabe!$B$6&amp;"-"&amp;Eingabe!$C$17&amp;"-Pächter","")</f>
        <v/>
      </c>
      <c r="J1807" s="20" t="str">
        <f aca="false">IF(AND(Eingabe!$F$17&gt;0,Eingabe!$E$17&gt;=183),"PPSK: Passwort Parzelle 183","")</f>
        <v/>
      </c>
      <c r="K1807" s="20" t="str">
        <f aca="false">IF(AND(Eingabe!$F$17&gt;0,Eingabe!$E$17&gt;=183),"1. Gerät: 10."&amp;Eingabe!$D$17&amp;".183.10, 2. Gerät: .11","")</f>
        <v/>
      </c>
    </row>
    <row r="1808" customFormat="false" ht="15" hidden="false" customHeight="false" outlineLevel="0" collapsed="false">
      <c r="A1808" s="20" t="str">
        <f aca="false">IF(AND(Eingabe!$F$17&gt;0,Eingabe!$E$17&gt;=184),9,"")</f>
        <v/>
      </c>
      <c r="B1808" s="20" t="str">
        <f aca="false">IF(AND(Eingabe!$F$17&gt;0,Eingabe!$E$17&gt;=184),Eingabe!$B$17,"")</f>
        <v/>
      </c>
      <c r="C1808" s="20" t="str">
        <f aca="false">IF(AND(Eingabe!$F$17&gt;0,Eingabe!$E$17&gt;=184),Eingabe!$C$17&amp;"-Paz."&amp;TEXT(184,"000"),"")</f>
        <v/>
      </c>
      <c r="D1808" s="20" t="str">
        <f aca="false">IF(AND(Eingabe!$F$17&gt;0,Eingabe!$E$17&gt;=184),184,"")</f>
        <v/>
      </c>
      <c r="E1808" s="20" t="str">
        <f aca="false">IF(AND(Eingabe!$F$17&gt;0,Eingabe!$E$17&gt;=184),IF((Eingabe!$G$17+1)&lt;=9,1000+(Eingabe!$G$17+1)*100,3000)+84,"")</f>
        <v/>
      </c>
      <c r="F1808" s="20" t="str">
        <f aca="false">IF(AND(Eingabe!$F$17&gt;0,Eingabe!$E$17&gt;=184),"10."&amp;Eingabe!$D$17&amp;".184.0/24","")</f>
        <v/>
      </c>
      <c r="G1808" s="20" t="str">
        <f aca="false">IF(AND(Eingabe!$F$17&gt;0,Eingabe!$E$17&gt;=184),"10."&amp;Eingabe!$D$17&amp;".184.1","")</f>
        <v/>
      </c>
      <c r="H1808" s="20" t="str">
        <f aca="false">IF(AND(Eingabe!$F$17&gt;0,Eingabe!$E$17&gt;=184),"10."&amp;Eingabe!$D$17&amp;".184.10 – 10."&amp;Eingabe!$D$17&amp;".184.250","")</f>
        <v/>
      </c>
      <c r="I1808" s="20" t="str">
        <f aca="false">IF(AND(Eingabe!$F$17&gt;0,Eingabe!$E$17&gt;=184),Eingabe!$B$6&amp;"-"&amp;Eingabe!$C$17&amp;"-Pächter","")</f>
        <v/>
      </c>
      <c r="J1808" s="20" t="str">
        <f aca="false">IF(AND(Eingabe!$F$17&gt;0,Eingabe!$E$17&gt;=184),"PPSK: Passwort Parzelle 184","")</f>
        <v/>
      </c>
      <c r="K1808" s="20" t="str">
        <f aca="false">IF(AND(Eingabe!$F$17&gt;0,Eingabe!$E$17&gt;=184),"1. Gerät: 10."&amp;Eingabe!$D$17&amp;".184.10, 2. Gerät: .11","")</f>
        <v/>
      </c>
    </row>
    <row r="1809" customFormat="false" ht="15" hidden="false" customHeight="false" outlineLevel="0" collapsed="false">
      <c r="A1809" s="20" t="str">
        <f aca="false">IF(AND(Eingabe!$F$17&gt;0,Eingabe!$E$17&gt;=185),9,"")</f>
        <v/>
      </c>
      <c r="B1809" s="20" t="str">
        <f aca="false">IF(AND(Eingabe!$F$17&gt;0,Eingabe!$E$17&gt;=185),Eingabe!$B$17,"")</f>
        <v/>
      </c>
      <c r="C1809" s="20" t="str">
        <f aca="false">IF(AND(Eingabe!$F$17&gt;0,Eingabe!$E$17&gt;=185),Eingabe!$C$17&amp;"-Paz."&amp;TEXT(185,"000"),"")</f>
        <v/>
      </c>
      <c r="D1809" s="20" t="str">
        <f aca="false">IF(AND(Eingabe!$F$17&gt;0,Eingabe!$E$17&gt;=185),185,"")</f>
        <v/>
      </c>
      <c r="E1809" s="20" t="str">
        <f aca="false">IF(AND(Eingabe!$F$17&gt;0,Eingabe!$E$17&gt;=185),IF((Eingabe!$G$17+1)&lt;=9,1000+(Eingabe!$G$17+1)*100,3000)+85,"")</f>
        <v/>
      </c>
      <c r="F1809" s="20" t="str">
        <f aca="false">IF(AND(Eingabe!$F$17&gt;0,Eingabe!$E$17&gt;=185),"10."&amp;Eingabe!$D$17&amp;".185.0/24","")</f>
        <v/>
      </c>
      <c r="G1809" s="20" t="str">
        <f aca="false">IF(AND(Eingabe!$F$17&gt;0,Eingabe!$E$17&gt;=185),"10."&amp;Eingabe!$D$17&amp;".185.1","")</f>
        <v/>
      </c>
      <c r="H1809" s="20" t="str">
        <f aca="false">IF(AND(Eingabe!$F$17&gt;0,Eingabe!$E$17&gt;=185),"10."&amp;Eingabe!$D$17&amp;".185.10 – 10."&amp;Eingabe!$D$17&amp;".185.250","")</f>
        <v/>
      </c>
      <c r="I1809" s="20" t="str">
        <f aca="false">IF(AND(Eingabe!$F$17&gt;0,Eingabe!$E$17&gt;=185),Eingabe!$B$6&amp;"-"&amp;Eingabe!$C$17&amp;"-Pächter","")</f>
        <v/>
      </c>
      <c r="J1809" s="20" t="str">
        <f aca="false">IF(AND(Eingabe!$F$17&gt;0,Eingabe!$E$17&gt;=185),"PPSK: Passwort Parzelle 185","")</f>
        <v/>
      </c>
      <c r="K1809" s="20" t="str">
        <f aca="false">IF(AND(Eingabe!$F$17&gt;0,Eingabe!$E$17&gt;=185),"1. Gerät: 10."&amp;Eingabe!$D$17&amp;".185.10, 2. Gerät: .11","")</f>
        <v/>
      </c>
    </row>
    <row r="1810" customFormat="false" ht="15" hidden="false" customHeight="false" outlineLevel="0" collapsed="false">
      <c r="A1810" s="20" t="str">
        <f aca="false">IF(AND(Eingabe!$F$17&gt;0,Eingabe!$E$17&gt;=186),9,"")</f>
        <v/>
      </c>
      <c r="B1810" s="20" t="str">
        <f aca="false">IF(AND(Eingabe!$F$17&gt;0,Eingabe!$E$17&gt;=186),Eingabe!$B$17,"")</f>
        <v/>
      </c>
      <c r="C1810" s="20" t="str">
        <f aca="false">IF(AND(Eingabe!$F$17&gt;0,Eingabe!$E$17&gt;=186),Eingabe!$C$17&amp;"-Paz."&amp;TEXT(186,"000"),"")</f>
        <v/>
      </c>
      <c r="D1810" s="20" t="str">
        <f aca="false">IF(AND(Eingabe!$F$17&gt;0,Eingabe!$E$17&gt;=186),186,"")</f>
        <v/>
      </c>
      <c r="E1810" s="20" t="str">
        <f aca="false">IF(AND(Eingabe!$F$17&gt;0,Eingabe!$E$17&gt;=186),IF((Eingabe!$G$17+1)&lt;=9,1000+(Eingabe!$G$17+1)*100,3000)+86,"")</f>
        <v/>
      </c>
      <c r="F1810" s="20" t="str">
        <f aca="false">IF(AND(Eingabe!$F$17&gt;0,Eingabe!$E$17&gt;=186),"10."&amp;Eingabe!$D$17&amp;".186.0/24","")</f>
        <v/>
      </c>
      <c r="G1810" s="20" t="str">
        <f aca="false">IF(AND(Eingabe!$F$17&gt;0,Eingabe!$E$17&gt;=186),"10."&amp;Eingabe!$D$17&amp;".186.1","")</f>
        <v/>
      </c>
      <c r="H1810" s="20" t="str">
        <f aca="false">IF(AND(Eingabe!$F$17&gt;0,Eingabe!$E$17&gt;=186),"10."&amp;Eingabe!$D$17&amp;".186.10 – 10."&amp;Eingabe!$D$17&amp;".186.250","")</f>
        <v/>
      </c>
      <c r="I1810" s="20" t="str">
        <f aca="false">IF(AND(Eingabe!$F$17&gt;0,Eingabe!$E$17&gt;=186),Eingabe!$B$6&amp;"-"&amp;Eingabe!$C$17&amp;"-Pächter","")</f>
        <v/>
      </c>
      <c r="J1810" s="20" t="str">
        <f aca="false">IF(AND(Eingabe!$F$17&gt;0,Eingabe!$E$17&gt;=186),"PPSK: Passwort Parzelle 186","")</f>
        <v/>
      </c>
      <c r="K1810" s="20" t="str">
        <f aca="false">IF(AND(Eingabe!$F$17&gt;0,Eingabe!$E$17&gt;=186),"1. Gerät: 10."&amp;Eingabe!$D$17&amp;".186.10, 2. Gerät: .11","")</f>
        <v/>
      </c>
    </row>
    <row r="1811" customFormat="false" ht="15" hidden="false" customHeight="false" outlineLevel="0" collapsed="false">
      <c r="A1811" s="20" t="str">
        <f aca="false">IF(AND(Eingabe!$F$17&gt;0,Eingabe!$E$17&gt;=187),9,"")</f>
        <v/>
      </c>
      <c r="B1811" s="20" t="str">
        <f aca="false">IF(AND(Eingabe!$F$17&gt;0,Eingabe!$E$17&gt;=187),Eingabe!$B$17,"")</f>
        <v/>
      </c>
      <c r="C1811" s="20" t="str">
        <f aca="false">IF(AND(Eingabe!$F$17&gt;0,Eingabe!$E$17&gt;=187),Eingabe!$C$17&amp;"-Paz."&amp;TEXT(187,"000"),"")</f>
        <v/>
      </c>
      <c r="D1811" s="20" t="str">
        <f aca="false">IF(AND(Eingabe!$F$17&gt;0,Eingabe!$E$17&gt;=187),187,"")</f>
        <v/>
      </c>
      <c r="E1811" s="20" t="str">
        <f aca="false">IF(AND(Eingabe!$F$17&gt;0,Eingabe!$E$17&gt;=187),IF((Eingabe!$G$17+1)&lt;=9,1000+(Eingabe!$G$17+1)*100,3000)+87,"")</f>
        <v/>
      </c>
      <c r="F1811" s="20" t="str">
        <f aca="false">IF(AND(Eingabe!$F$17&gt;0,Eingabe!$E$17&gt;=187),"10."&amp;Eingabe!$D$17&amp;".187.0/24","")</f>
        <v/>
      </c>
      <c r="G1811" s="20" t="str">
        <f aca="false">IF(AND(Eingabe!$F$17&gt;0,Eingabe!$E$17&gt;=187),"10."&amp;Eingabe!$D$17&amp;".187.1","")</f>
        <v/>
      </c>
      <c r="H1811" s="20" t="str">
        <f aca="false">IF(AND(Eingabe!$F$17&gt;0,Eingabe!$E$17&gt;=187),"10."&amp;Eingabe!$D$17&amp;".187.10 – 10."&amp;Eingabe!$D$17&amp;".187.250","")</f>
        <v/>
      </c>
      <c r="I1811" s="20" t="str">
        <f aca="false">IF(AND(Eingabe!$F$17&gt;0,Eingabe!$E$17&gt;=187),Eingabe!$B$6&amp;"-"&amp;Eingabe!$C$17&amp;"-Pächter","")</f>
        <v/>
      </c>
      <c r="J1811" s="20" t="str">
        <f aca="false">IF(AND(Eingabe!$F$17&gt;0,Eingabe!$E$17&gt;=187),"PPSK: Passwort Parzelle 187","")</f>
        <v/>
      </c>
      <c r="K1811" s="20" t="str">
        <f aca="false">IF(AND(Eingabe!$F$17&gt;0,Eingabe!$E$17&gt;=187),"1. Gerät: 10."&amp;Eingabe!$D$17&amp;".187.10, 2. Gerät: .11","")</f>
        <v/>
      </c>
    </row>
    <row r="1812" customFormat="false" ht="15" hidden="false" customHeight="false" outlineLevel="0" collapsed="false">
      <c r="A1812" s="20" t="str">
        <f aca="false">IF(AND(Eingabe!$F$17&gt;0,Eingabe!$E$17&gt;=188),9,"")</f>
        <v/>
      </c>
      <c r="B1812" s="20" t="str">
        <f aca="false">IF(AND(Eingabe!$F$17&gt;0,Eingabe!$E$17&gt;=188),Eingabe!$B$17,"")</f>
        <v/>
      </c>
      <c r="C1812" s="20" t="str">
        <f aca="false">IF(AND(Eingabe!$F$17&gt;0,Eingabe!$E$17&gt;=188),Eingabe!$C$17&amp;"-Paz."&amp;TEXT(188,"000"),"")</f>
        <v/>
      </c>
      <c r="D1812" s="20" t="str">
        <f aca="false">IF(AND(Eingabe!$F$17&gt;0,Eingabe!$E$17&gt;=188),188,"")</f>
        <v/>
      </c>
      <c r="E1812" s="20" t="str">
        <f aca="false">IF(AND(Eingabe!$F$17&gt;0,Eingabe!$E$17&gt;=188),IF((Eingabe!$G$17+1)&lt;=9,1000+(Eingabe!$G$17+1)*100,3000)+88,"")</f>
        <v/>
      </c>
      <c r="F1812" s="20" t="str">
        <f aca="false">IF(AND(Eingabe!$F$17&gt;0,Eingabe!$E$17&gt;=188),"10."&amp;Eingabe!$D$17&amp;".188.0/24","")</f>
        <v/>
      </c>
      <c r="G1812" s="20" t="str">
        <f aca="false">IF(AND(Eingabe!$F$17&gt;0,Eingabe!$E$17&gt;=188),"10."&amp;Eingabe!$D$17&amp;".188.1","")</f>
        <v/>
      </c>
      <c r="H1812" s="20" t="str">
        <f aca="false">IF(AND(Eingabe!$F$17&gt;0,Eingabe!$E$17&gt;=188),"10."&amp;Eingabe!$D$17&amp;".188.10 – 10."&amp;Eingabe!$D$17&amp;".188.250","")</f>
        <v/>
      </c>
      <c r="I1812" s="20" t="str">
        <f aca="false">IF(AND(Eingabe!$F$17&gt;0,Eingabe!$E$17&gt;=188),Eingabe!$B$6&amp;"-"&amp;Eingabe!$C$17&amp;"-Pächter","")</f>
        <v/>
      </c>
      <c r="J1812" s="20" t="str">
        <f aca="false">IF(AND(Eingabe!$F$17&gt;0,Eingabe!$E$17&gt;=188),"PPSK: Passwort Parzelle 188","")</f>
        <v/>
      </c>
      <c r="K1812" s="20" t="str">
        <f aca="false">IF(AND(Eingabe!$F$17&gt;0,Eingabe!$E$17&gt;=188),"1. Gerät: 10."&amp;Eingabe!$D$17&amp;".188.10, 2. Gerät: .11","")</f>
        <v/>
      </c>
    </row>
    <row r="1813" customFormat="false" ht="15" hidden="false" customHeight="false" outlineLevel="0" collapsed="false">
      <c r="A1813" s="20" t="str">
        <f aca="false">IF(AND(Eingabe!$F$17&gt;0,Eingabe!$E$17&gt;=189),9,"")</f>
        <v/>
      </c>
      <c r="B1813" s="20" t="str">
        <f aca="false">IF(AND(Eingabe!$F$17&gt;0,Eingabe!$E$17&gt;=189),Eingabe!$B$17,"")</f>
        <v/>
      </c>
      <c r="C1813" s="20" t="str">
        <f aca="false">IF(AND(Eingabe!$F$17&gt;0,Eingabe!$E$17&gt;=189),Eingabe!$C$17&amp;"-Paz."&amp;TEXT(189,"000"),"")</f>
        <v/>
      </c>
      <c r="D1813" s="20" t="str">
        <f aca="false">IF(AND(Eingabe!$F$17&gt;0,Eingabe!$E$17&gt;=189),189,"")</f>
        <v/>
      </c>
      <c r="E1813" s="20" t="str">
        <f aca="false">IF(AND(Eingabe!$F$17&gt;0,Eingabe!$E$17&gt;=189),IF((Eingabe!$G$17+1)&lt;=9,1000+(Eingabe!$G$17+1)*100,3000)+89,"")</f>
        <v/>
      </c>
      <c r="F1813" s="20" t="str">
        <f aca="false">IF(AND(Eingabe!$F$17&gt;0,Eingabe!$E$17&gt;=189),"10."&amp;Eingabe!$D$17&amp;".189.0/24","")</f>
        <v/>
      </c>
      <c r="G1813" s="20" t="str">
        <f aca="false">IF(AND(Eingabe!$F$17&gt;0,Eingabe!$E$17&gt;=189),"10."&amp;Eingabe!$D$17&amp;".189.1","")</f>
        <v/>
      </c>
      <c r="H1813" s="20" t="str">
        <f aca="false">IF(AND(Eingabe!$F$17&gt;0,Eingabe!$E$17&gt;=189),"10."&amp;Eingabe!$D$17&amp;".189.10 – 10."&amp;Eingabe!$D$17&amp;".189.250","")</f>
        <v/>
      </c>
      <c r="I1813" s="20" t="str">
        <f aca="false">IF(AND(Eingabe!$F$17&gt;0,Eingabe!$E$17&gt;=189),Eingabe!$B$6&amp;"-"&amp;Eingabe!$C$17&amp;"-Pächter","")</f>
        <v/>
      </c>
      <c r="J1813" s="20" t="str">
        <f aca="false">IF(AND(Eingabe!$F$17&gt;0,Eingabe!$E$17&gt;=189),"PPSK: Passwort Parzelle 189","")</f>
        <v/>
      </c>
      <c r="K1813" s="20" t="str">
        <f aca="false">IF(AND(Eingabe!$F$17&gt;0,Eingabe!$E$17&gt;=189),"1. Gerät: 10."&amp;Eingabe!$D$17&amp;".189.10, 2. Gerät: .11","")</f>
        <v/>
      </c>
    </row>
    <row r="1814" customFormat="false" ht="15" hidden="false" customHeight="false" outlineLevel="0" collapsed="false">
      <c r="A1814" s="20" t="str">
        <f aca="false">IF(AND(Eingabe!$F$17&gt;0,Eingabe!$E$17&gt;=190),9,"")</f>
        <v/>
      </c>
      <c r="B1814" s="20" t="str">
        <f aca="false">IF(AND(Eingabe!$F$17&gt;0,Eingabe!$E$17&gt;=190),Eingabe!$B$17,"")</f>
        <v/>
      </c>
      <c r="C1814" s="20" t="str">
        <f aca="false">IF(AND(Eingabe!$F$17&gt;0,Eingabe!$E$17&gt;=190),Eingabe!$C$17&amp;"-Paz."&amp;TEXT(190,"000"),"")</f>
        <v/>
      </c>
      <c r="D1814" s="20" t="str">
        <f aca="false">IF(AND(Eingabe!$F$17&gt;0,Eingabe!$E$17&gt;=190),190,"")</f>
        <v/>
      </c>
      <c r="E1814" s="20" t="str">
        <f aca="false">IF(AND(Eingabe!$F$17&gt;0,Eingabe!$E$17&gt;=190),IF((Eingabe!$G$17+1)&lt;=9,1000+(Eingabe!$G$17+1)*100,3000)+90,"")</f>
        <v/>
      </c>
      <c r="F1814" s="20" t="str">
        <f aca="false">IF(AND(Eingabe!$F$17&gt;0,Eingabe!$E$17&gt;=190),"10."&amp;Eingabe!$D$17&amp;".190.0/24","")</f>
        <v/>
      </c>
      <c r="G1814" s="20" t="str">
        <f aca="false">IF(AND(Eingabe!$F$17&gt;0,Eingabe!$E$17&gt;=190),"10."&amp;Eingabe!$D$17&amp;".190.1","")</f>
        <v/>
      </c>
      <c r="H1814" s="20" t="str">
        <f aca="false">IF(AND(Eingabe!$F$17&gt;0,Eingabe!$E$17&gt;=190),"10."&amp;Eingabe!$D$17&amp;".190.10 – 10."&amp;Eingabe!$D$17&amp;".190.250","")</f>
        <v/>
      </c>
      <c r="I1814" s="20" t="str">
        <f aca="false">IF(AND(Eingabe!$F$17&gt;0,Eingabe!$E$17&gt;=190),Eingabe!$B$6&amp;"-"&amp;Eingabe!$C$17&amp;"-Pächter","")</f>
        <v/>
      </c>
      <c r="J1814" s="20" t="str">
        <f aca="false">IF(AND(Eingabe!$F$17&gt;0,Eingabe!$E$17&gt;=190),"PPSK: Passwort Parzelle 190","")</f>
        <v/>
      </c>
      <c r="K1814" s="20" t="str">
        <f aca="false">IF(AND(Eingabe!$F$17&gt;0,Eingabe!$E$17&gt;=190),"1. Gerät: 10."&amp;Eingabe!$D$17&amp;".190.10, 2. Gerät: .11","")</f>
        <v/>
      </c>
    </row>
    <row r="1815" customFormat="false" ht="15" hidden="false" customHeight="false" outlineLevel="0" collapsed="false">
      <c r="A1815" s="20" t="str">
        <f aca="false">IF(AND(Eingabe!$F$17&gt;0,Eingabe!$E$17&gt;=191),9,"")</f>
        <v/>
      </c>
      <c r="B1815" s="20" t="str">
        <f aca="false">IF(AND(Eingabe!$F$17&gt;0,Eingabe!$E$17&gt;=191),Eingabe!$B$17,"")</f>
        <v/>
      </c>
      <c r="C1815" s="20" t="str">
        <f aca="false">IF(AND(Eingabe!$F$17&gt;0,Eingabe!$E$17&gt;=191),Eingabe!$C$17&amp;"-Paz."&amp;TEXT(191,"000"),"")</f>
        <v/>
      </c>
      <c r="D1815" s="20" t="str">
        <f aca="false">IF(AND(Eingabe!$F$17&gt;0,Eingabe!$E$17&gt;=191),191,"")</f>
        <v/>
      </c>
      <c r="E1815" s="20" t="str">
        <f aca="false">IF(AND(Eingabe!$F$17&gt;0,Eingabe!$E$17&gt;=191),IF((Eingabe!$G$17+1)&lt;=9,1000+(Eingabe!$G$17+1)*100,3000)+91,"")</f>
        <v/>
      </c>
      <c r="F1815" s="20" t="str">
        <f aca="false">IF(AND(Eingabe!$F$17&gt;0,Eingabe!$E$17&gt;=191),"10."&amp;Eingabe!$D$17&amp;".191.0/24","")</f>
        <v/>
      </c>
      <c r="G1815" s="20" t="str">
        <f aca="false">IF(AND(Eingabe!$F$17&gt;0,Eingabe!$E$17&gt;=191),"10."&amp;Eingabe!$D$17&amp;".191.1","")</f>
        <v/>
      </c>
      <c r="H1815" s="20" t="str">
        <f aca="false">IF(AND(Eingabe!$F$17&gt;0,Eingabe!$E$17&gt;=191),"10."&amp;Eingabe!$D$17&amp;".191.10 – 10."&amp;Eingabe!$D$17&amp;".191.250","")</f>
        <v/>
      </c>
      <c r="I1815" s="20" t="str">
        <f aca="false">IF(AND(Eingabe!$F$17&gt;0,Eingabe!$E$17&gt;=191),Eingabe!$B$6&amp;"-"&amp;Eingabe!$C$17&amp;"-Pächter","")</f>
        <v/>
      </c>
      <c r="J1815" s="20" t="str">
        <f aca="false">IF(AND(Eingabe!$F$17&gt;0,Eingabe!$E$17&gt;=191),"PPSK: Passwort Parzelle 191","")</f>
        <v/>
      </c>
      <c r="K1815" s="20" t="str">
        <f aca="false">IF(AND(Eingabe!$F$17&gt;0,Eingabe!$E$17&gt;=191),"1. Gerät: 10."&amp;Eingabe!$D$17&amp;".191.10, 2. Gerät: .11","")</f>
        <v/>
      </c>
    </row>
    <row r="1816" customFormat="false" ht="15" hidden="false" customHeight="false" outlineLevel="0" collapsed="false">
      <c r="A1816" s="20" t="str">
        <f aca="false">IF(AND(Eingabe!$F$17&gt;0,Eingabe!$E$17&gt;=192),9,"")</f>
        <v/>
      </c>
      <c r="B1816" s="20" t="str">
        <f aca="false">IF(AND(Eingabe!$F$17&gt;0,Eingabe!$E$17&gt;=192),Eingabe!$B$17,"")</f>
        <v/>
      </c>
      <c r="C1816" s="20" t="str">
        <f aca="false">IF(AND(Eingabe!$F$17&gt;0,Eingabe!$E$17&gt;=192),Eingabe!$C$17&amp;"-Paz."&amp;TEXT(192,"000"),"")</f>
        <v/>
      </c>
      <c r="D1816" s="20" t="str">
        <f aca="false">IF(AND(Eingabe!$F$17&gt;0,Eingabe!$E$17&gt;=192),192,"")</f>
        <v/>
      </c>
      <c r="E1816" s="20" t="str">
        <f aca="false">IF(AND(Eingabe!$F$17&gt;0,Eingabe!$E$17&gt;=192),IF((Eingabe!$G$17+1)&lt;=9,1000+(Eingabe!$G$17+1)*100,3000)+92,"")</f>
        <v/>
      </c>
      <c r="F1816" s="20" t="str">
        <f aca="false">IF(AND(Eingabe!$F$17&gt;0,Eingabe!$E$17&gt;=192),"10."&amp;Eingabe!$D$17&amp;".192.0/24","")</f>
        <v/>
      </c>
      <c r="G1816" s="20" t="str">
        <f aca="false">IF(AND(Eingabe!$F$17&gt;0,Eingabe!$E$17&gt;=192),"10."&amp;Eingabe!$D$17&amp;".192.1","")</f>
        <v/>
      </c>
      <c r="H1816" s="20" t="str">
        <f aca="false">IF(AND(Eingabe!$F$17&gt;0,Eingabe!$E$17&gt;=192),"10."&amp;Eingabe!$D$17&amp;".192.10 – 10."&amp;Eingabe!$D$17&amp;".192.250","")</f>
        <v/>
      </c>
      <c r="I1816" s="20" t="str">
        <f aca="false">IF(AND(Eingabe!$F$17&gt;0,Eingabe!$E$17&gt;=192),Eingabe!$B$6&amp;"-"&amp;Eingabe!$C$17&amp;"-Pächter","")</f>
        <v/>
      </c>
      <c r="J1816" s="20" t="str">
        <f aca="false">IF(AND(Eingabe!$F$17&gt;0,Eingabe!$E$17&gt;=192),"PPSK: Passwort Parzelle 192","")</f>
        <v/>
      </c>
      <c r="K1816" s="20" t="str">
        <f aca="false">IF(AND(Eingabe!$F$17&gt;0,Eingabe!$E$17&gt;=192),"1. Gerät: 10."&amp;Eingabe!$D$17&amp;".192.10, 2. Gerät: .11","")</f>
        <v/>
      </c>
    </row>
    <row r="1817" customFormat="false" ht="15" hidden="false" customHeight="false" outlineLevel="0" collapsed="false">
      <c r="A1817" s="20" t="str">
        <f aca="false">IF(AND(Eingabe!$F$17&gt;0,Eingabe!$E$17&gt;=193),9,"")</f>
        <v/>
      </c>
      <c r="B1817" s="20" t="str">
        <f aca="false">IF(AND(Eingabe!$F$17&gt;0,Eingabe!$E$17&gt;=193),Eingabe!$B$17,"")</f>
        <v/>
      </c>
      <c r="C1817" s="20" t="str">
        <f aca="false">IF(AND(Eingabe!$F$17&gt;0,Eingabe!$E$17&gt;=193),Eingabe!$C$17&amp;"-Paz."&amp;TEXT(193,"000"),"")</f>
        <v/>
      </c>
      <c r="D1817" s="20" t="str">
        <f aca="false">IF(AND(Eingabe!$F$17&gt;0,Eingabe!$E$17&gt;=193),193,"")</f>
        <v/>
      </c>
      <c r="E1817" s="20" t="str">
        <f aca="false">IF(AND(Eingabe!$F$17&gt;0,Eingabe!$E$17&gt;=193),IF((Eingabe!$G$17+1)&lt;=9,1000+(Eingabe!$G$17+1)*100,3000)+93,"")</f>
        <v/>
      </c>
      <c r="F1817" s="20" t="str">
        <f aca="false">IF(AND(Eingabe!$F$17&gt;0,Eingabe!$E$17&gt;=193),"10."&amp;Eingabe!$D$17&amp;".193.0/24","")</f>
        <v/>
      </c>
      <c r="G1817" s="20" t="str">
        <f aca="false">IF(AND(Eingabe!$F$17&gt;0,Eingabe!$E$17&gt;=193),"10."&amp;Eingabe!$D$17&amp;".193.1","")</f>
        <v/>
      </c>
      <c r="H1817" s="20" t="str">
        <f aca="false">IF(AND(Eingabe!$F$17&gt;0,Eingabe!$E$17&gt;=193),"10."&amp;Eingabe!$D$17&amp;".193.10 – 10."&amp;Eingabe!$D$17&amp;".193.250","")</f>
        <v/>
      </c>
      <c r="I1817" s="20" t="str">
        <f aca="false">IF(AND(Eingabe!$F$17&gt;0,Eingabe!$E$17&gt;=193),Eingabe!$B$6&amp;"-"&amp;Eingabe!$C$17&amp;"-Pächter","")</f>
        <v/>
      </c>
      <c r="J1817" s="20" t="str">
        <f aca="false">IF(AND(Eingabe!$F$17&gt;0,Eingabe!$E$17&gt;=193),"PPSK: Passwort Parzelle 193","")</f>
        <v/>
      </c>
      <c r="K1817" s="20" t="str">
        <f aca="false">IF(AND(Eingabe!$F$17&gt;0,Eingabe!$E$17&gt;=193),"1. Gerät: 10."&amp;Eingabe!$D$17&amp;".193.10, 2. Gerät: .11","")</f>
        <v/>
      </c>
    </row>
    <row r="1818" customFormat="false" ht="15" hidden="false" customHeight="false" outlineLevel="0" collapsed="false">
      <c r="A1818" s="20" t="str">
        <f aca="false">IF(AND(Eingabe!$F$17&gt;0,Eingabe!$E$17&gt;=194),9,"")</f>
        <v/>
      </c>
      <c r="B1818" s="20" t="str">
        <f aca="false">IF(AND(Eingabe!$F$17&gt;0,Eingabe!$E$17&gt;=194),Eingabe!$B$17,"")</f>
        <v/>
      </c>
      <c r="C1818" s="20" t="str">
        <f aca="false">IF(AND(Eingabe!$F$17&gt;0,Eingabe!$E$17&gt;=194),Eingabe!$C$17&amp;"-Paz."&amp;TEXT(194,"000"),"")</f>
        <v/>
      </c>
      <c r="D1818" s="20" t="str">
        <f aca="false">IF(AND(Eingabe!$F$17&gt;0,Eingabe!$E$17&gt;=194),194,"")</f>
        <v/>
      </c>
      <c r="E1818" s="20" t="str">
        <f aca="false">IF(AND(Eingabe!$F$17&gt;0,Eingabe!$E$17&gt;=194),IF((Eingabe!$G$17+1)&lt;=9,1000+(Eingabe!$G$17+1)*100,3000)+94,"")</f>
        <v/>
      </c>
      <c r="F1818" s="20" t="str">
        <f aca="false">IF(AND(Eingabe!$F$17&gt;0,Eingabe!$E$17&gt;=194),"10."&amp;Eingabe!$D$17&amp;".194.0/24","")</f>
        <v/>
      </c>
      <c r="G1818" s="20" t="str">
        <f aca="false">IF(AND(Eingabe!$F$17&gt;0,Eingabe!$E$17&gt;=194),"10."&amp;Eingabe!$D$17&amp;".194.1","")</f>
        <v/>
      </c>
      <c r="H1818" s="20" t="str">
        <f aca="false">IF(AND(Eingabe!$F$17&gt;0,Eingabe!$E$17&gt;=194),"10."&amp;Eingabe!$D$17&amp;".194.10 – 10."&amp;Eingabe!$D$17&amp;".194.250","")</f>
        <v/>
      </c>
      <c r="I1818" s="20" t="str">
        <f aca="false">IF(AND(Eingabe!$F$17&gt;0,Eingabe!$E$17&gt;=194),Eingabe!$B$6&amp;"-"&amp;Eingabe!$C$17&amp;"-Pächter","")</f>
        <v/>
      </c>
      <c r="J1818" s="20" t="str">
        <f aca="false">IF(AND(Eingabe!$F$17&gt;0,Eingabe!$E$17&gt;=194),"PPSK: Passwort Parzelle 194","")</f>
        <v/>
      </c>
      <c r="K1818" s="20" t="str">
        <f aca="false">IF(AND(Eingabe!$F$17&gt;0,Eingabe!$E$17&gt;=194),"1. Gerät: 10."&amp;Eingabe!$D$17&amp;".194.10, 2. Gerät: .11","")</f>
        <v/>
      </c>
    </row>
    <row r="1819" customFormat="false" ht="15" hidden="false" customHeight="false" outlineLevel="0" collapsed="false">
      <c r="A1819" s="20" t="str">
        <f aca="false">IF(AND(Eingabe!$F$17&gt;0,Eingabe!$E$17&gt;=195),9,"")</f>
        <v/>
      </c>
      <c r="B1819" s="20" t="str">
        <f aca="false">IF(AND(Eingabe!$F$17&gt;0,Eingabe!$E$17&gt;=195),Eingabe!$B$17,"")</f>
        <v/>
      </c>
      <c r="C1819" s="20" t="str">
        <f aca="false">IF(AND(Eingabe!$F$17&gt;0,Eingabe!$E$17&gt;=195),Eingabe!$C$17&amp;"-Paz."&amp;TEXT(195,"000"),"")</f>
        <v/>
      </c>
      <c r="D1819" s="20" t="str">
        <f aca="false">IF(AND(Eingabe!$F$17&gt;0,Eingabe!$E$17&gt;=195),195,"")</f>
        <v/>
      </c>
      <c r="E1819" s="20" t="str">
        <f aca="false">IF(AND(Eingabe!$F$17&gt;0,Eingabe!$E$17&gt;=195),IF((Eingabe!$G$17+1)&lt;=9,1000+(Eingabe!$G$17+1)*100,3000)+95,"")</f>
        <v/>
      </c>
      <c r="F1819" s="20" t="str">
        <f aca="false">IF(AND(Eingabe!$F$17&gt;0,Eingabe!$E$17&gt;=195),"10."&amp;Eingabe!$D$17&amp;".195.0/24","")</f>
        <v/>
      </c>
      <c r="G1819" s="20" t="str">
        <f aca="false">IF(AND(Eingabe!$F$17&gt;0,Eingabe!$E$17&gt;=195),"10."&amp;Eingabe!$D$17&amp;".195.1","")</f>
        <v/>
      </c>
      <c r="H1819" s="20" t="str">
        <f aca="false">IF(AND(Eingabe!$F$17&gt;0,Eingabe!$E$17&gt;=195),"10."&amp;Eingabe!$D$17&amp;".195.10 – 10."&amp;Eingabe!$D$17&amp;".195.250","")</f>
        <v/>
      </c>
      <c r="I1819" s="20" t="str">
        <f aca="false">IF(AND(Eingabe!$F$17&gt;0,Eingabe!$E$17&gt;=195),Eingabe!$B$6&amp;"-"&amp;Eingabe!$C$17&amp;"-Pächter","")</f>
        <v/>
      </c>
      <c r="J1819" s="20" t="str">
        <f aca="false">IF(AND(Eingabe!$F$17&gt;0,Eingabe!$E$17&gt;=195),"PPSK: Passwort Parzelle 195","")</f>
        <v/>
      </c>
      <c r="K1819" s="20" t="str">
        <f aca="false">IF(AND(Eingabe!$F$17&gt;0,Eingabe!$E$17&gt;=195),"1. Gerät: 10."&amp;Eingabe!$D$17&amp;".195.10, 2. Gerät: .11","")</f>
        <v/>
      </c>
    </row>
    <row r="1820" customFormat="false" ht="15" hidden="false" customHeight="false" outlineLevel="0" collapsed="false">
      <c r="A1820" s="20" t="str">
        <f aca="false">IF(AND(Eingabe!$F$17&gt;0,Eingabe!$E$17&gt;=196),9,"")</f>
        <v/>
      </c>
      <c r="B1820" s="20" t="str">
        <f aca="false">IF(AND(Eingabe!$F$17&gt;0,Eingabe!$E$17&gt;=196),Eingabe!$B$17,"")</f>
        <v/>
      </c>
      <c r="C1820" s="20" t="str">
        <f aca="false">IF(AND(Eingabe!$F$17&gt;0,Eingabe!$E$17&gt;=196),Eingabe!$C$17&amp;"-Paz."&amp;TEXT(196,"000"),"")</f>
        <v/>
      </c>
      <c r="D1820" s="20" t="str">
        <f aca="false">IF(AND(Eingabe!$F$17&gt;0,Eingabe!$E$17&gt;=196),196,"")</f>
        <v/>
      </c>
      <c r="E1820" s="20" t="str">
        <f aca="false">IF(AND(Eingabe!$F$17&gt;0,Eingabe!$E$17&gt;=196),IF((Eingabe!$G$17+1)&lt;=9,1000+(Eingabe!$G$17+1)*100,3000)+96,"")</f>
        <v/>
      </c>
      <c r="F1820" s="20" t="str">
        <f aca="false">IF(AND(Eingabe!$F$17&gt;0,Eingabe!$E$17&gt;=196),"10."&amp;Eingabe!$D$17&amp;".196.0/24","")</f>
        <v/>
      </c>
      <c r="G1820" s="20" t="str">
        <f aca="false">IF(AND(Eingabe!$F$17&gt;0,Eingabe!$E$17&gt;=196),"10."&amp;Eingabe!$D$17&amp;".196.1","")</f>
        <v/>
      </c>
      <c r="H1820" s="20" t="str">
        <f aca="false">IF(AND(Eingabe!$F$17&gt;0,Eingabe!$E$17&gt;=196),"10."&amp;Eingabe!$D$17&amp;".196.10 – 10."&amp;Eingabe!$D$17&amp;".196.250","")</f>
        <v/>
      </c>
      <c r="I1820" s="20" t="str">
        <f aca="false">IF(AND(Eingabe!$F$17&gt;0,Eingabe!$E$17&gt;=196),Eingabe!$B$6&amp;"-"&amp;Eingabe!$C$17&amp;"-Pächter","")</f>
        <v/>
      </c>
      <c r="J1820" s="20" t="str">
        <f aca="false">IF(AND(Eingabe!$F$17&gt;0,Eingabe!$E$17&gt;=196),"PPSK: Passwort Parzelle 196","")</f>
        <v/>
      </c>
      <c r="K1820" s="20" t="str">
        <f aca="false">IF(AND(Eingabe!$F$17&gt;0,Eingabe!$E$17&gt;=196),"1. Gerät: 10."&amp;Eingabe!$D$17&amp;".196.10, 2. Gerät: .11","")</f>
        <v/>
      </c>
    </row>
    <row r="1821" customFormat="false" ht="15" hidden="false" customHeight="false" outlineLevel="0" collapsed="false">
      <c r="A1821" s="20" t="str">
        <f aca="false">IF(AND(Eingabe!$F$17&gt;0,Eingabe!$E$17&gt;=197),9,"")</f>
        <v/>
      </c>
      <c r="B1821" s="20" t="str">
        <f aca="false">IF(AND(Eingabe!$F$17&gt;0,Eingabe!$E$17&gt;=197),Eingabe!$B$17,"")</f>
        <v/>
      </c>
      <c r="C1821" s="20" t="str">
        <f aca="false">IF(AND(Eingabe!$F$17&gt;0,Eingabe!$E$17&gt;=197),Eingabe!$C$17&amp;"-Paz."&amp;TEXT(197,"000"),"")</f>
        <v/>
      </c>
      <c r="D1821" s="20" t="str">
        <f aca="false">IF(AND(Eingabe!$F$17&gt;0,Eingabe!$E$17&gt;=197),197,"")</f>
        <v/>
      </c>
      <c r="E1821" s="20" t="str">
        <f aca="false">IF(AND(Eingabe!$F$17&gt;0,Eingabe!$E$17&gt;=197),IF((Eingabe!$G$17+1)&lt;=9,1000+(Eingabe!$G$17+1)*100,3000)+97,"")</f>
        <v/>
      </c>
      <c r="F1821" s="20" t="str">
        <f aca="false">IF(AND(Eingabe!$F$17&gt;0,Eingabe!$E$17&gt;=197),"10."&amp;Eingabe!$D$17&amp;".197.0/24","")</f>
        <v/>
      </c>
      <c r="G1821" s="20" t="str">
        <f aca="false">IF(AND(Eingabe!$F$17&gt;0,Eingabe!$E$17&gt;=197),"10."&amp;Eingabe!$D$17&amp;".197.1","")</f>
        <v/>
      </c>
      <c r="H1821" s="20" t="str">
        <f aca="false">IF(AND(Eingabe!$F$17&gt;0,Eingabe!$E$17&gt;=197),"10."&amp;Eingabe!$D$17&amp;".197.10 – 10."&amp;Eingabe!$D$17&amp;".197.250","")</f>
        <v/>
      </c>
      <c r="I1821" s="20" t="str">
        <f aca="false">IF(AND(Eingabe!$F$17&gt;0,Eingabe!$E$17&gt;=197),Eingabe!$B$6&amp;"-"&amp;Eingabe!$C$17&amp;"-Pächter","")</f>
        <v/>
      </c>
      <c r="J1821" s="20" t="str">
        <f aca="false">IF(AND(Eingabe!$F$17&gt;0,Eingabe!$E$17&gt;=197),"PPSK: Passwort Parzelle 197","")</f>
        <v/>
      </c>
      <c r="K1821" s="20" t="str">
        <f aca="false">IF(AND(Eingabe!$F$17&gt;0,Eingabe!$E$17&gt;=197),"1. Gerät: 10."&amp;Eingabe!$D$17&amp;".197.10, 2. Gerät: .11","")</f>
        <v/>
      </c>
    </row>
    <row r="1822" customFormat="false" ht="15" hidden="false" customHeight="false" outlineLevel="0" collapsed="false">
      <c r="A1822" s="20" t="str">
        <f aca="false">IF(AND(Eingabe!$F$17&gt;0,Eingabe!$E$17&gt;=198),9,"")</f>
        <v/>
      </c>
      <c r="B1822" s="20" t="str">
        <f aca="false">IF(AND(Eingabe!$F$17&gt;0,Eingabe!$E$17&gt;=198),Eingabe!$B$17,"")</f>
        <v/>
      </c>
      <c r="C1822" s="20" t="str">
        <f aca="false">IF(AND(Eingabe!$F$17&gt;0,Eingabe!$E$17&gt;=198),Eingabe!$C$17&amp;"-Paz."&amp;TEXT(198,"000"),"")</f>
        <v/>
      </c>
      <c r="D1822" s="20" t="str">
        <f aca="false">IF(AND(Eingabe!$F$17&gt;0,Eingabe!$E$17&gt;=198),198,"")</f>
        <v/>
      </c>
      <c r="E1822" s="20" t="str">
        <f aca="false">IF(AND(Eingabe!$F$17&gt;0,Eingabe!$E$17&gt;=198),IF((Eingabe!$G$17+1)&lt;=9,1000+(Eingabe!$G$17+1)*100,3000)+98,"")</f>
        <v/>
      </c>
      <c r="F1822" s="20" t="str">
        <f aca="false">IF(AND(Eingabe!$F$17&gt;0,Eingabe!$E$17&gt;=198),"10."&amp;Eingabe!$D$17&amp;".198.0/24","")</f>
        <v/>
      </c>
      <c r="G1822" s="20" t="str">
        <f aca="false">IF(AND(Eingabe!$F$17&gt;0,Eingabe!$E$17&gt;=198),"10."&amp;Eingabe!$D$17&amp;".198.1","")</f>
        <v/>
      </c>
      <c r="H1822" s="20" t="str">
        <f aca="false">IF(AND(Eingabe!$F$17&gt;0,Eingabe!$E$17&gt;=198),"10."&amp;Eingabe!$D$17&amp;".198.10 – 10."&amp;Eingabe!$D$17&amp;".198.250","")</f>
        <v/>
      </c>
      <c r="I1822" s="20" t="str">
        <f aca="false">IF(AND(Eingabe!$F$17&gt;0,Eingabe!$E$17&gt;=198),Eingabe!$B$6&amp;"-"&amp;Eingabe!$C$17&amp;"-Pächter","")</f>
        <v/>
      </c>
      <c r="J1822" s="20" t="str">
        <f aca="false">IF(AND(Eingabe!$F$17&gt;0,Eingabe!$E$17&gt;=198),"PPSK: Passwort Parzelle 198","")</f>
        <v/>
      </c>
      <c r="K1822" s="20" t="str">
        <f aca="false">IF(AND(Eingabe!$F$17&gt;0,Eingabe!$E$17&gt;=198),"1. Gerät: 10."&amp;Eingabe!$D$17&amp;".198.10, 2. Gerät: .11","")</f>
        <v/>
      </c>
    </row>
    <row r="1823" customFormat="false" ht="15" hidden="false" customHeight="false" outlineLevel="0" collapsed="false">
      <c r="A1823" s="20" t="str">
        <f aca="false">IF(AND(Eingabe!$F$17&gt;0,Eingabe!$E$17&gt;=199),9,"")</f>
        <v/>
      </c>
      <c r="B1823" s="20" t="str">
        <f aca="false">IF(AND(Eingabe!$F$17&gt;0,Eingabe!$E$17&gt;=199),Eingabe!$B$17,"")</f>
        <v/>
      </c>
      <c r="C1823" s="20" t="str">
        <f aca="false">IF(AND(Eingabe!$F$17&gt;0,Eingabe!$E$17&gt;=199),Eingabe!$C$17&amp;"-Paz."&amp;TEXT(199,"000"),"")</f>
        <v/>
      </c>
      <c r="D1823" s="20" t="str">
        <f aca="false">IF(AND(Eingabe!$F$17&gt;0,Eingabe!$E$17&gt;=199),199,"")</f>
        <v/>
      </c>
      <c r="E1823" s="20" t="str">
        <f aca="false">IF(AND(Eingabe!$F$17&gt;0,Eingabe!$E$17&gt;=199),IF((Eingabe!$G$17+1)&lt;=9,1000+(Eingabe!$G$17+1)*100,3000)+99,"")</f>
        <v/>
      </c>
      <c r="F1823" s="20" t="str">
        <f aca="false">IF(AND(Eingabe!$F$17&gt;0,Eingabe!$E$17&gt;=199),"10."&amp;Eingabe!$D$17&amp;".199.0/24","")</f>
        <v/>
      </c>
      <c r="G1823" s="20" t="str">
        <f aca="false">IF(AND(Eingabe!$F$17&gt;0,Eingabe!$E$17&gt;=199),"10."&amp;Eingabe!$D$17&amp;".199.1","")</f>
        <v/>
      </c>
      <c r="H1823" s="20" t="str">
        <f aca="false">IF(AND(Eingabe!$F$17&gt;0,Eingabe!$E$17&gt;=199),"10."&amp;Eingabe!$D$17&amp;".199.10 – 10."&amp;Eingabe!$D$17&amp;".199.250","")</f>
        <v/>
      </c>
      <c r="I1823" s="20" t="str">
        <f aca="false">IF(AND(Eingabe!$F$17&gt;0,Eingabe!$E$17&gt;=199),Eingabe!$B$6&amp;"-"&amp;Eingabe!$C$17&amp;"-Pächter","")</f>
        <v/>
      </c>
      <c r="J1823" s="20" t="str">
        <f aca="false">IF(AND(Eingabe!$F$17&gt;0,Eingabe!$E$17&gt;=199),"PPSK: Passwort Parzelle 199","")</f>
        <v/>
      </c>
      <c r="K1823" s="20" t="str">
        <f aca="false">IF(AND(Eingabe!$F$17&gt;0,Eingabe!$E$17&gt;=199),"1. Gerät: 10."&amp;Eingabe!$D$17&amp;".199.10, 2. Gerät: .11","")</f>
        <v/>
      </c>
    </row>
    <row r="1824" customFormat="false" ht="15" hidden="false" customHeight="false" outlineLevel="0" collapsed="false">
      <c r="A1824" s="21" t="str">
        <f aca="false">IF(Eingabe!$F$18&gt;0,10,"")</f>
        <v/>
      </c>
      <c r="B1824" s="21" t="str">
        <f aca="false">IF(Eingabe!$F$18&gt;0,Eingabe!$B$18,"")</f>
        <v/>
      </c>
      <c r="C1824" s="21" t="str">
        <f aca="false">IF(Eingabe!$F$18&gt;0,Eingabe!$C$18&amp;"-Vorstand","")</f>
        <v/>
      </c>
      <c r="D1824" s="21"/>
      <c r="E1824" s="21" t="str">
        <f aca="false">IF(Eingabe!$F$18&gt;0,2000+Eingabe!$G$18*10+1,"")</f>
        <v/>
      </c>
      <c r="F1824" s="21" t="str">
        <f aca="false">IF(Eingabe!$F$18&gt;0,"10."&amp;Eingabe!$D$18&amp;".200.0/24","")</f>
        <v/>
      </c>
      <c r="G1824" s="21" t="str">
        <f aca="false">IF(Eingabe!$F$18&gt;0,"10."&amp;Eingabe!$D$18&amp;".200.1","")</f>
        <v/>
      </c>
      <c r="H1824" s="21" t="str">
        <f aca="false">IF(Eingabe!$F$18&gt;0,"10."&amp;Eingabe!$D$18&amp;".200.10 – "&amp;"10."&amp;Eingabe!$D$18&amp;".200.250","")</f>
        <v/>
      </c>
      <c r="I1824" s="21" t="str">
        <f aca="false">IF(Eingabe!$F$18&gt;0,Eingabe!$B$6&amp;"-"&amp;Eingabe!$C$18&amp;"-Vorstand","")</f>
        <v/>
      </c>
      <c r="J1824" s="21" t="str">
        <f aca="false">IF(Eingabe!$F$18&gt;0,"eigenes WLAN Vorstand","")</f>
        <v/>
      </c>
      <c r="K1824" s="21" t="str">
        <f aca="false">IF(Eingabe!$F$18&gt;0,"Vorstand-Laptop: "&amp;"10."&amp;Eingabe!$D$18&amp;".200.10","")</f>
        <v/>
      </c>
    </row>
    <row r="1825" customFormat="false" ht="15" hidden="false" customHeight="false" outlineLevel="0" collapsed="false">
      <c r="A1825" s="21" t="str">
        <f aca="false">IF(Eingabe!$F$18&gt;0,10,"")</f>
        <v/>
      </c>
      <c r="B1825" s="21" t="str">
        <f aca="false">IF(Eingabe!$F$18&gt;0,Eingabe!$B$18,"")</f>
        <v/>
      </c>
      <c r="C1825" s="21" t="str">
        <f aca="false">IF(Eingabe!$F$18&gt;0,Eingabe!$C$18&amp;"-Gäste","")</f>
        <v/>
      </c>
      <c r="D1825" s="21"/>
      <c r="E1825" s="21" t="str">
        <f aca="false">IF(Eingabe!$F$18&gt;0,2000+Eingabe!$G$18*10+2,"")</f>
        <v/>
      </c>
      <c r="F1825" s="21" t="str">
        <f aca="false">IF(Eingabe!$F$18&gt;0,"10."&amp;Eingabe!$D$18&amp;".201.0/24","")</f>
        <v/>
      </c>
      <c r="G1825" s="21" t="str">
        <f aca="false">IF(Eingabe!$F$18&gt;0,"10."&amp;Eingabe!$D$18&amp;".201.1","")</f>
        <v/>
      </c>
      <c r="H1825" s="21" t="str">
        <f aca="false">IF(Eingabe!$F$18&gt;0,"10."&amp;Eingabe!$D$18&amp;".201.10 – "&amp;"10."&amp;Eingabe!$D$18&amp;".201.250","")</f>
        <v/>
      </c>
      <c r="I1825" s="21" t="str">
        <f aca="false">IF(Eingabe!$F$18&gt;0,Eingabe!$B$6&amp;"-"&amp;Eingabe!$C$18&amp;"-Gäste","")</f>
        <v/>
      </c>
      <c r="J1825" s="21" t="str">
        <f aca="false">IF(Eingabe!$F$18&gt;0,"Voucher-Portal, isoliert","")</f>
        <v/>
      </c>
      <c r="K1825" s="21" t="str">
        <f aca="false">IF(Eingabe!$F$18&gt;0,"Gast-Handy: "&amp;"10."&amp;Eingabe!$D$18&amp;".201.10","")</f>
        <v/>
      </c>
    </row>
    <row r="1826" customFormat="false" ht="15" hidden="false" customHeight="false" outlineLevel="0" collapsed="false">
      <c r="A1826" s="21" t="str">
        <f aca="false">IF(Eingabe!$F$18&gt;0,10,"")</f>
        <v/>
      </c>
      <c r="B1826" s="21" t="str">
        <f aca="false">IF(Eingabe!$F$18&gt;0,Eingabe!$B$18,"")</f>
        <v/>
      </c>
      <c r="C1826" s="21" t="str">
        <f aca="false">IF(Eingabe!$F$18&gt;0,Eingabe!$C$18&amp;"-Technik","")</f>
        <v/>
      </c>
      <c r="D1826" s="21"/>
      <c r="E1826" s="21" t="str">
        <f aca="false">IF(Eingabe!$F$18&gt;0,2000+Eingabe!$G$18*10+9,"")</f>
        <v/>
      </c>
      <c r="F1826" s="21" t="str">
        <f aca="false">IF(Eingabe!$F$18&gt;0,"10."&amp;Eingabe!$D$18&amp;".250.0/24","")</f>
        <v/>
      </c>
      <c r="G1826" s="21" t="str">
        <f aca="false">IF(Eingabe!$F$18&gt;0,"10."&amp;Eingabe!$D$18&amp;".250.1","")</f>
        <v/>
      </c>
      <c r="H1826" s="21" t="str">
        <f aca="false">IF(Eingabe!$F$18&gt;0,"10."&amp;Eingabe!$D$18&amp;".250.10 – "&amp;"10."&amp;Eingabe!$D$18&amp;".250.250","")</f>
        <v/>
      </c>
      <c r="I1826" s="21" t="str">
        <f aca="false">IF(Eingabe!$F$18&gt;0,"–","")</f>
        <v/>
      </c>
      <c r="J1826" s="21" t="str">
        <f aca="false">IF(Eingabe!$F$18&gt;0,"Mast-Switches und Access Points","")</f>
        <v/>
      </c>
      <c r="K1826" s="21" t="str">
        <f aca="false">IF(Eingabe!$F$18&gt;0,"Access Point 1: "&amp;"10."&amp;Eingabe!$D$18&amp;".250.51","")</f>
        <v/>
      </c>
    </row>
    <row r="1827" customFormat="false" ht="15" hidden="false" customHeight="false" outlineLevel="0" collapsed="false">
      <c r="A1827" s="21" t="str">
        <f aca="false">IF(AND(Eingabe!$F$18&gt;0,Eingabe!$E$18&gt;=1),10,"")</f>
        <v/>
      </c>
      <c r="B1827" s="21" t="str">
        <f aca="false">IF(AND(Eingabe!$F$18&gt;0,Eingabe!$E$18&gt;=1),Eingabe!$B$18,"")</f>
        <v/>
      </c>
      <c r="C1827" s="21" t="str">
        <f aca="false">IF(AND(Eingabe!$F$18&gt;0,Eingabe!$E$18&gt;=1),Eingabe!$C$18&amp;"-Paz."&amp;TEXT(1,"000"),"")</f>
        <v/>
      </c>
      <c r="D1827" s="21" t="str">
        <f aca="false">IF(AND(Eingabe!$F$18&gt;0,Eingabe!$E$18&gt;=1),1,"")</f>
        <v/>
      </c>
      <c r="E1827" s="21" t="str">
        <f aca="false">IF(AND(Eingabe!$F$18&gt;0,Eingabe!$E$18&gt;=1),IF((Eingabe!$G$18)&lt;=9,1000+(Eingabe!$G$18)*100,3000)+1,"")</f>
        <v/>
      </c>
      <c r="F1827" s="21" t="str">
        <f aca="false">IF(AND(Eingabe!$F$18&gt;0,Eingabe!$E$18&gt;=1),"10."&amp;Eingabe!$D$18&amp;".1.0/24","")</f>
        <v/>
      </c>
      <c r="G1827" s="21" t="str">
        <f aca="false">IF(AND(Eingabe!$F$18&gt;0,Eingabe!$E$18&gt;=1),"10."&amp;Eingabe!$D$18&amp;".1.1","")</f>
        <v/>
      </c>
      <c r="H1827" s="21" t="str">
        <f aca="false">IF(AND(Eingabe!$F$18&gt;0,Eingabe!$E$18&gt;=1),"10."&amp;Eingabe!$D$18&amp;".1.10 – 10."&amp;Eingabe!$D$18&amp;".1.250","")</f>
        <v/>
      </c>
      <c r="I1827" s="21" t="str">
        <f aca="false">IF(AND(Eingabe!$F$18&gt;0,Eingabe!$E$18&gt;=1),Eingabe!$B$6&amp;"-"&amp;Eingabe!$C$18&amp;"-Pächter","")</f>
        <v/>
      </c>
      <c r="J1827" s="21" t="str">
        <f aca="false">IF(AND(Eingabe!$F$18&gt;0,Eingabe!$E$18&gt;=1),"PPSK: Passwort Parzelle 1","")</f>
        <v/>
      </c>
      <c r="K1827" s="21" t="str">
        <f aca="false">IF(AND(Eingabe!$F$18&gt;0,Eingabe!$E$18&gt;=1),"1. Gerät: 10."&amp;Eingabe!$D$18&amp;".1.10, 2. Gerät: .11","")</f>
        <v/>
      </c>
    </row>
    <row r="1828" customFormat="false" ht="15" hidden="false" customHeight="false" outlineLevel="0" collapsed="false">
      <c r="A1828" s="21" t="str">
        <f aca="false">IF(AND(Eingabe!$F$18&gt;0,Eingabe!$E$18&gt;=2),10,"")</f>
        <v/>
      </c>
      <c r="B1828" s="21" t="str">
        <f aca="false">IF(AND(Eingabe!$F$18&gt;0,Eingabe!$E$18&gt;=2),Eingabe!$B$18,"")</f>
        <v/>
      </c>
      <c r="C1828" s="21" t="str">
        <f aca="false">IF(AND(Eingabe!$F$18&gt;0,Eingabe!$E$18&gt;=2),Eingabe!$C$18&amp;"-Paz."&amp;TEXT(2,"000"),"")</f>
        <v/>
      </c>
      <c r="D1828" s="21" t="str">
        <f aca="false">IF(AND(Eingabe!$F$18&gt;0,Eingabe!$E$18&gt;=2),2,"")</f>
        <v/>
      </c>
      <c r="E1828" s="21" t="str">
        <f aca="false">IF(AND(Eingabe!$F$18&gt;0,Eingabe!$E$18&gt;=2),IF((Eingabe!$G$18)&lt;=9,1000+(Eingabe!$G$18)*100,3000)+2,"")</f>
        <v/>
      </c>
      <c r="F1828" s="21" t="str">
        <f aca="false">IF(AND(Eingabe!$F$18&gt;0,Eingabe!$E$18&gt;=2),"10."&amp;Eingabe!$D$18&amp;".2.0/24","")</f>
        <v/>
      </c>
      <c r="G1828" s="21" t="str">
        <f aca="false">IF(AND(Eingabe!$F$18&gt;0,Eingabe!$E$18&gt;=2),"10."&amp;Eingabe!$D$18&amp;".2.1","")</f>
        <v/>
      </c>
      <c r="H1828" s="21" t="str">
        <f aca="false">IF(AND(Eingabe!$F$18&gt;0,Eingabe!$E$18&gt;=2),"10."&amp;Eingabe!$D$18&amp;".2.10 – 10."&amp;Eingabe!$D$18&amp;".2.250","")</f>
        <v/>
      </c>
      <c r="I1828" s="21" t="str">
        <f aca="false">IF(AND(Eingabe!$F$18&gt;0,Eingabe!$E$18&gt;=2),Eingabe!$B$6&amp;"-"&amp;Eingabe!$C$18&amp;"-Pächter","")</f>
        <v/>
      </c>
      <c r="J1828" s="21" t="str">
        <f aca="false">IF(AND(Eingabe!$F$18&gt;0,Eingabe!$E$18&gt;=2),"PPSK: Passwort Parzelle 2","")</f>
        <v/>
      </c>
      <c r="K1828" s="21" t="str">
        <f aca="false">IF(AND(Eingabe!$F$18&gt;0,Eingabe!$E$18&gt;=2),"1. Gerät: 10."&amp;Eingabe!$D$18&amp;".2.10, 2. Gerät: .11","")</f>
        <v/>
      </c>
    </row>
    <row r="1829" customFormat="false" ht="15" hidden="false" customHeight="false" outlineLevel="0" collapsed="false">
      <c r="A1829" s="21" t="str">
        <f aca="false">IF(AND(Eingabe!$F$18&gt;0,Eingabe!$E$18&gt;=3),10,"")</f>
        <v/>
      </c>
      <c r="B1829" s="21" t="str">
        <f aca="false">IF(AND(Eingabe!$F$18&gt;0,Eingabe!$E$18&gt;=3),Eingabe!$B$18,"")</f>
        <v/>
      </c>
      <c r="C1829" s="21" t="str">
        <f aca="false">IF(AND(Eingabe!$F$18&gt;0,Eingabe!$E$18&gt;=3),Eingabe!$C$18&amp;"-Paz."&amp;TEXT(3,"000"),"")</f>
        <v/>
      </c>
      <c r="D1829" s="21" t="str">
        <f aca="false">IF(AND(Eingabe!$F$18&gt;0,Eingabe!$E$18&gt;=3),3,"")</f>
        <v/>
      </c>
      <c r="E1829" s="21" t="str">
        <f aca="false">IF(AND(Eingabe!$F$18&gt;0,Eingabe!$E$18&gt;=3),IF((Eingabe!$G$18)&lt;=9,1000+(Eingabe!$G$18)*100,3000)+3,"")</f>
        <v/>
      </c>
      <c r="F1829" s="21" t="str">
        <f aca="false">IF(AND(Eingabe!$F$18&gt;0,Eingabe!$E$18&gt;=3),"10."&amp;Eingabe!$D$18&amp;".3.0/24","")</f>
        <v/>
      </c>
      <c r="G1829" s="21" t="str">
        <f aca="false">IF(AND(Eingabe!$F$18&gt;0,Eingabe!$E$18&gt;=3),"10."&amp;Eingabe!$D$18&amp;".3.1","")</f>
        <v/>
      </c>
      <c r="H1829" s="21" t="str">
        <f aca="false">IF(AND(Eingabe!$F$18&gt;0,Eingabe!$E$18&gt;=3),"10."&amp;Eingabe!$D$18&amp;".3.10 – 10."&amp;Eingabe!$D$18&amp;".3.250","")</f>
        <v/>
      </c>
      <c r="I1829" s="21" t="str">
        <f aca="false">IF(AND(Eingabe!$F$18&gt;0,Eingabe!$E$18&gt;=3),Eingabe!$B$6&amp;"-"&amp;Eingabe!$C$18&amp;"-Pächter","")</f>
        <v/>
      </c>
      <c r="J1829" s="21" t="str">
        <f aca="false">IF(AND(Eingabe!$F$18&gt;0,Eingabe!$E$18&gt;=3),"PPSK: Passwort Parzelle 3","")</f>
        <v/>
      </c>
      <c r="K1829" s="21" t="str">
        <f aca="false">IF(AND(Eingabe!$F$18&gt;0,Eingabe!$E$18&gt;=3),"1. Gerät: 10."&amp;Eingabe!$D$18&amp;".3.10, 2. Gerät: .11","")</f>
        <v/>
      </c>
    </row>
    <row r="1830" customFormat="false" ht="15" hidden="false" customHeight="false" outlineLevel="0" collapsed="false">
      <c r="A1830" s="21" t="str">
        <f aca="false">IF(AND(Eingabe!$F$18&gt;0,Eingabe!$E$18&gt;=4),10,"")</f>
        <v/>
      </c>
      <c r="B1830" s="21" t="str">
        <f aca="false">IF(AND(Eingabe!$F$18&gt;0,Eingabe!$E$18&gt;=4),Eingabe!$B$18,"")</f>
        <v/>
      </c>
      <c r="C1830" s="21" t="str">
        <f aca="false">IF(AND(Eingabe!$F$18&gt;0,Eingabe!$E$18&gt;=4),Eingabe!$C$18&amp;"-Paz."&amp;TEXT(4,"000"),"")</f>
        <v/>
      </c>
      <c r="D1830" s="21" t="str">
        <f aca="false">IF(AND(Eingabe!$F$18&gt;0,Eingabe!$E$18&gt;=4),4,"")</f>
        <v/>
      </c>
      <c r="E1830" s="21" t="str">
        <f aca="false">IF(AND(Eingabe!$F$18&gt;0,Eingabe!$E$18&gt;=4),IF((Eingabe!$G$18)&lt;=9,1000+(Eingabe!$G$18)*100,3000)+4,"")</f>
        <v/>
      </c>
      <c r="F1830" s="21" t="str">
        <f aca="false">IF(AND(Eingabe!$F$18&gt;0,Eingabe!$E$18&gt;=4),"10."&amp;Eingabe!$D$18&amp;".4.0/24","")</f>
        <v/>
      </c>
      <c r="G1830" s="21" t="str">
        <f aca="false">IF(AND(Eingabe!$F$18&gt;0,Eingabe!$E$18&gt;=4),"10."&amp;Eingabe!$D$18&amp;".4.1","")</f>
        <v/>
      </c>
      <c r="H1830" s="21" t="str">
        <f aca="false">IF(AND(Eingabe!$F$18&gt;0,Eingabe!$E$18&gt;=4),"10."&amp;Eingabe!$D$18&amp;".4.10 – 10."&amp;Eingabe!$D$18&amp;".4.250","")</f>
        <v/>
      </c>
      <c r="I1830" s="21" t="str">
        <f aca="false">IF(AND(Eingabe!$F$18&gt;0,Eingabe!$E$18&gt;=4),Eingabe!$B$6&amp;"-"&amp;Eingabe!$C$18&amp;"-Pächter","")</f>
        <v/>
      </c>
      <c r="J1830" s="21" t="str">
        <f aca="false">IF(AND(Eingabe!$F$18&gt;0,Eingabe!$E$18&gt;=4),"PPSK: Passwort Parzelle 4","")</f>
        <v/>
      </c>
      <c r="K1830" s="21" t="str">
        <f aca="false">IF(AND(Eingabe!$F$18&gt;0,Eingabe!$E$18&gt;=4),"1. Gerät: 10."&amp;Eingabe!$D$18&amp;".4.10, 2. Gerät: .11","")</f>
        <v/>
      </c>
    </row>
    <row r="1831" customFormat="false" ht="15" hidden="false" customHeight="false" outlineLevel="0" collapsed="false">
      <c r="A1831" s="21" t="str">
        <f aca="false">IF(AND(Eingabe!$F$18&gt;0,Eingabe!$E$18&gt;=5),10,"")</f>
        <v/>
      </c>
      <c r="B1831" s="21" t="str">
        <f aca="false">IF(AND(Eingabe!$F$18&gt;0,Eingabe!$E$18&gt;=5),Eingabe!$B$18,"")</f>
        <v/>
      </c>
      <c r="C1831" s="21" t="str">
        <f aca="false">IF(AND(Eingabe!$F$18&gt;0,Eingabe!$E$18&gt;=5),Eingabe!$C$18&amp;"-Paz."&amp;TEXT(5,"000"),"")</f>
        <v/>
      </c>
      <c r="D1831" s="21" t="str">
        <f aca="false">IF(AND(Eingabe!$F$18&gt;0,Eingabe!$E$18&gt;=5),5,"")</f>
        <v/>
      </c>
      <c r="E1831" s="21" t="str">
        <f aca="false">IF(AND(Eingabe!$F$18&gt;0,Eingabe!$E$18&gt;=5),IF((Eingabe!$G$18)&lt;=9,1000+(Eingabe!$G$18)*100,3000)+5,"")</f>
        <v/>
      </c>
      <c r="F1831" s="21" t="str">
        <f aca="false">IF(AND(Eingabe!$F$18&gt;0,Eingabe!$E$18&gt;=5),"10."&amp;Eingabe!$D$18&amp;".5.0/24","")</f>
        <v/>
      </c>
      <c r="G1831" s="21" t="str">
        <f aca="false">IF(AND(Eingabe!$F$18&gt;0,Eingabe!$E$18&gt;=5),"10."&amp;Eingabe!$D$18&amp;".5.1","")</f>
        <v/>
      </c>
      <c r="H1831" s="21" t="str">
        <f aca="false">IF(AND(Eingabe!$F$18&gt;0,Eingabe!$E$18&gt;=5),"10."&amp;Eingabe!$D$18&amp;".5.10 – 10."&amp;Eingabe!$D$18&amp;".5.250","")</f>
        <v/>
      </c>
      <c r="I1831" s="21" t="str">
        <f aca="false">IF(AND(Eingabe!$F$18&gt;0,Eingabe!$E$18&gt;=5),Eingabe!$B$6&amp;"-"&amp;Eingabe!$C$18&amp;"-Pächter","")</f>
        <v/>
      </c>
      <c r="J1831" s="21" t="str">
        <f aca="false">IF(AND(Eingabe!$F$18&gt;0,Eingabe!$E$18&gt;=5),"PPSK: Passwort Parzelle 5","")</f>
        <v/>
      </c>
      <c r="K1831" s="21" t="str">
        <f aca="false">IF(AND(Eingabe!$F$18&gt;0,Eingabe!$E$18&gt;=5),"1. Gerät: 10."&amp;Eingabe!$D$18&amp;".5.10, 2. Gerät: .11","")</f>
        <v/>
      </c>
    </row>
    <row r="1832" customFormat="false" ht="15" hidden="false" customHeight="false" outlineLevel="0" collapsed="false">
      <c r="A1832" s="21" t="str">
        <f aca="false">IF(AND(Eingabe!$F$18&gt;0,Eingabe!$E$18&gt;=6),10,"")</f>
        <v/>
      </c>
      <c r="B1832" s="21" t="str">
        <f aca="false">IF(AND(Eingabe!$F$18&gt;0,Eingabe!$E$18&gt;=6),Eingabe!$B$18,"")</f>
        <v/>
      </c>
      <c r="C1832" s="21" t="str">
        <f aca="false">IF(AND(Eingabe!$F$18&gt;0,Eingabe!$E$18&gt;=6),Eingabe!$C$18&amp;"-Paz."&amp;TEXT(6,"000"),"")</f>
        <v/>
      </c>
      <c r="D1832" s="21" t="str">
        <f aca="false">IF(AND(Eingabe!$F$18&gt;0,Eingabe!$E$18&gt;=6),6,"")</f>
        <v/>
      </c>
      <c r="E1832" s="21" t="str">
        <f aca="false">IF(AND(Eingabe!$F$18&gt;0,Eingabe!$E$18&gt;=6),IF((Eingabe!$G$18)&lt;=9,1000+(Eingabe!$G$18)*100,3000)+6,"")</f>
        <v/>
      </c>
      <c r="F1832" s="21" t="str">
        <f aca="false">IF(AND(Eingabe!$F$18&gt;0,Eingabe!$E$18&gt;=6),"10."&amp;Eingabe!$D$18&amp;".6.0/24","")</f>
        <v/>
      </c>
      <c r="G1832" s="21" t="str">
        <f aca="false">IF(AND(Eingabe!$F$18&gt;0,Eingabe!$E$18&gt;=6),"10."&amp;Eingabe!$D$18&amp;".6.1","")</f>
        <v/>
      </c>
      <c r="H1832" s="21" t="str">
        <f aca="false">IF(AND(Eingabe!$F$18&gt;0,Eingabe!$E$18&gt;=6),"10."&amp;Eingabe!$D$18&amp;".6.10 – 10."&amp;Eingabe!$D$18&amp;".6.250","")</f>
        <v/>
      </c>
      <c r="I1832" s="21" t="str">
        <f aca="false">IF(AND(Eingabe!$F$18&gt;0,Eingabe!$E$18&gt;=6),Eingabe!$B$6&amp;"-"&amp;Eingabe!$C$18&amp;"-Pächter","")</f>
        <v/>
      </c>
      <c r="J1832" s="21" t="str">
        <f aca="false">IF(AND(Eingabe!$F$18&gt;0,Eingabe!$E$18&gt;=6),"PPSK: Passwort Parzelle 6","")</f>
        <v/>
      </c>
      <c r="K1832" s="21" t="str">
        <f aca="false">IF(AND(Eingabe!$F$18&gt;0,Eingabe!$E$18&gt;=6),"1. Gerät: 10."&amp;Eingabe!$D$18&amp;".6.10, 2. Gerät: .11","")</f>
        <v/>
      </c>
    </row>
    <row r="1833" customFormat="false" ht="15" hidden="false" customHeight="false" outlineLevel="0" collapsed="false">
      <c r="A1833" s="21" t="str">
        <f aca="false">IF(AND(Eingabe!$F$18&gt;0,Eingabe!$E$18&gt;=7),10,"")</f>
        <v/>
      </c>
      <c r="B1833" s="21" t="str">
        <f aca="false">IF(AND(Eingabe!$F$18&gt;0,Eingabe!$E$18&gt;=7),Eingabe!$B$18,"")</f>
        <v/>
      </c>
      <c r="C1833" s="21" t="str">
        <f aca="false">IF(AND(Eingabe!$F$18&gt;0,Eingabe!$E$18&gt;=7),Eingabe!$C$18&amp;"-Paz."&amp;TEXT(7,"000"),"")</f>
        <v/>
      </c>
      <c r="D1833" s="21" t="str">
        <f aca="false">IF(AND(Eingabe!$F$18&gt;0,Eingabe!$E$18&gt;=7),7,"")</f>
        <v/>
      </c>
      <c r="E1833" s="21" t="str">
        <f aca="false">IF(AND(Eingabe!$F$18&gt;0,Eingabe!$E$18&gt;=7),IF((Eingabe!$G$18)&lt;=9,1000+(Eingabe!$G$18)*100,3000)+7,"")</f>
        <v/>
      </c>
      <c r="F1833" s="21" t="str">
        <f aca="false">IF(AND(Eingabe!$F$18&gt;0,Eingabe!$E$18&gt;=7),"10."&amp;Eingabe!$D$18&amp;".7.0/24","")</f>
        <v/>
      </c>
      <c r="G1833" s="21" t="str">
        <f aca="false">IF(AND(Eingabe!$F$18&gt;0,Eingabe!$E$18&gt;=7),"10."&amp;Eingabe!$D$18&amp;".7.1","")</f>
        <v/>
      </c>
      <c r="H1833" s="21" t="str">
        <f aca="false">IF(AND(Eingabe!$F$18&gt;0,Eingabe!$E$18&gt;=7),"10."&amp;Eingabe!$D$18&amp;".7.10 – 10."&amp;Eingabe!$D$18&amp;".7.250","")</f>
        <v/>
      </c>
      <c r="I1833" s="21" t="str">
        <f aca="false">IF(AND(Eingabe!$F$18&gt;0,Eingabe!$E$18&gt;=7),Eingabe!$B$6&amp;"-"&amp;Eingabe!$C$18&amp;"-Pächter","")</f>
        <v/>
      </c>
      <c r="J1833" s="21" t="str">
        <f aca="false">IF(AND(Eingabe!$F$18&gt;0,Eingabe!$E$18&gt;=7),"PPSK: Passwort Parzelle 7","")</f>
        <v/>
      </c>
      <c r="K1833" s="21" t="str">
        <f aca="false">IF(AND(Eingabe!$F$18&gt;0,Eingabe!$E$18&gt;=7),"1. Gerät: 10."&amp;Eingabe!$D$18&amp;".7.10, 2. Gerät: .11","")</f>
        <v/>
      </c>
    </row>
    <row r="1834" customFormat="false" ht="15" hidden="false" customHeight="false" outlineLevel="0" collapsed="false">
      <c r="A1834" s="21" t="str">
        <f aca="false">IF(AND(Eingabe!$F$18&gt;0,Eingabe!$E$18&gt;=8),10,"")</f>
        <v/>
      </c>
      <c r="B1834" s="21" t="str">
        <f aca="false">IF(AND(Eingabe!$F$18&gt;0,Eingabe!$E$18&gt;=8),Eingabe!$B$18,"")</f>
        <v/>
      </c>
      <c r="C1834" s="21" t="str">
        <f aca="false">IF(AND(Eingabe!$F$18&gt;0,Eingabe!$E$18&gt;=8),Eingabe!$C$18&amp;"-Paz."&amp;TEXT(8,"000"),"")</f>
        <v/>
      </c>
      <c r="D1834" s="21" t="str">
        <f aca="false">IF(AND(Eingabe!$F$18&gt;0,Eingabe!$E$18&gt;=8),8,"")</f>
        <v/>
      </c>
      <c r="E1834" s="21" t="str">
        <f aca="false">IF(AND(Eingabe!$F$18&gt;0,Eingabe!$E$18&gt;=8),IF((Eingabe!$G$18)&lt;=9,1000+(Eingabe!$G$18)*100,3000)+8,"")</f>
        <v/>
      </c>
      <c r="F1834" s="21" t="str">
        <f aca="false">IF(AND(Eingabe!$F$18&gt;0,Eingabe!$E$18&gt;=8),"10."&amp;Eingabe!$D$18&amp;".8.0/24","")</f>
        <v/>
      </c>
      <c r="G1834" s="21" t="str">
        <f aca="false">IF(AND(Eingabe!$F$18&gt;0,Eingabe!$E$18&gt;=8),"10."&amp;Eingabe!$D$18&amp;".8.1","")</f>
        <v/>
      </c>
      <c r="H1834" s="21" t="str">
        <f aca="false">IF(AND(Eingabe!$F$18&gt;0,Eingabe!$E$18&gt;=8),"10."&amp;Eingabe!$D$18&amp;".8.10 – 10."&amp;Eingabe!$D$18&amp;".8.250","")</f>
        <v/>
      </c>
      <c r="I1834" s="21" t="str">
        <f aca="false">IF(AND(Eingabe!$F$18&gt;0,Eingabe!$E$18&gt;=8),Eingabe!$B$6&amp;"-"&amp;Eingabe!$C$18&amp;"-Pächter","")</f>
        <v/>
      </c>
      <c r="J1834" s="21" t="str">
        <f aca="false">IF(AND(Eingabe!$F$18&gt;0,Eingabe!$E$18&gt;=8),"PPSK: Passwort Parzelle 8","")</f>
        <v/>
      </c>
      <c r="K1834" s="21" t="str">
        <f aca="false">IF(AND(Eingabe!$F$18&gt;0,Eingabe!$E$18&gt;=8),"1. Gerät: 10."&amp;Eingabe!$D$18&amp;".8.10, 2. Gerät: .11","")</f>
        <v/>
      </c>
    </row>
    <row r="1835" customFormat="false" ht="15" hidden="false" customHeight="false" outlineLevel="0" collapsed="false">
      <c r="A1835" s="21" t="str">
        <f aca="false">IF(AND(Eingabe!$F$18&gt;0,Eingabe!$E$18&gt;=9),10,"")</f>
        <v/>
      </c>
      <c r="B1835" s="21" t="str">
        <f aca="false">IF(AND(Eingabe!$F$18&gt;0,Eingabe!$E$18&gt;=9),Eingabe!$B$18,"")</f>
        <v/>
      </c>
      <c r="C1835" s="21" t="str">
        <f aca="false">IF(AND(Eingabe!$F$18&gt;0,Eingabe!$E$18&gt;=9),Eingabe!$C$18&amp;"-Paz."&amp;TEXT(9,"000"),"")</f>
        <v/>
      </c>
      <c r="D1835" s="21" t="str">
        <f aca="false">IF(AND(Eingabe!$F$18&gt;0,Eingabe!$E$18&gt;=9),9,"")</f>
        <v/>
      </c>
      <c r="E1835" s="21" t="str">
        <f aca="false">IF(AND(Eingabe!$F$18&gt;0,Eingabe!$E$18&gt;=9),IF((Eingabe!$G$18)&lt;=9,1000+(Eingabe!$G$18)*100,3000)+9,"")</f>
        <v/>
      </c>
      <c r="F1835" s="21" t="str">
        <f aca="false">IF(AND(Eingabe!$F$18&gt;0,Eingabe!$E$18&gt;=9),"10."&amp;Eingabe!$D$18&amp;".9.0/24","")</f>
        <v/>
      </c>
      <c r="G1835" s="21" t="str">
        <f aca="false">IF(AND(Eingabe!$F$18&gt;0,Eingabe!$E$18&gt;=9),"10."&amp;Eingabe!$D$18&amp;".9.1","")</f>
        <v/>
      </c>
      <c r="H1835" s="21" t="str">
        <f aca="false">IF(AND(Eingabe!$F$18&gt;0,Eingabe!$E$18&gt;=9),"10."&amp;Eingabe!$D$18&amp;".9.10 – 10."&amp;Eingabe!$D$18&amp;".9.250","")</f>
        <v/>
      </c>
      <c r="I1835" s="21" t="str">
        <f aca="false">IF(AND(Eingabe!$F$18&gt;0,Eingabe!$E$18&gt;=9),Eingabe!$B$6&amp;"-"&amp;Eingabe!$C$18&amp;"-Pächter","")</f>
        <v/>
      </c>
      <c r="J1835" s="21" t="str">
        <f aca="false">IF(AND(Eingabe!$F$18&gt;0,Eingabe!$E$18&gt;=9),"PPSK: Passwort Parzelle 9","")</f>
        <v/>
      </c>
      <c r="K1835" s="21" t="str">
        <f aca="false">IF(AND(Eingabe!$F$18&gt;0,Eingabe!$E$18&gt;=9),"1. Gerät: 10."&amp;Eingabe!$D$18&amp;".9.10, 2. Gerät: .11","")</f>
        <v/>
      </c>
    </row>
    <row r="1836" customFormat="false" ht="15" hidden="false" customHeight="false" outlineLevel="0" collapsed="false">
      <c r="A1836" s="21" t="str">
        <f aca="false">IF(AND(Eingabe!$F$18&gt;0,Eingabe!$E$18&gt;=10),10,"")</f>
        <v/>
      </c>
      <c r="B1836" s="21" t="str">
        <f aca="false">IF(AND(Eingabe!$F$18&gt;0,Eingabe!$E$18&gt;=10),Eingabe!$B$18,"")</f>
        <v/>
      </c>
      <c r="C1836" s="21" t="str">
        <f aca="false">IF(AND(Eingabe!$F$18&gt;0,Eingabe!$E$18&gt;=10),Eingabe!$C$18&amp;"-Paz."&amp;TEXT(10,"000"),"")</f>
        <v/>
      </c>
      <c r="D1836" s="21" t="str">
        <f aca="false">IF(AND(Eingabe!$F$18&gt;0,Eingabe!$E$18&gt;=10),10,"")</f>
        <v/>
      </c>
      <c r="E1836" s="21" t="str">
        <f aca="false">IF(AND(Eingabe!$F$18&gt;0,Eingabe!$E$18&gt;=10),IF((Eingabe!$G$18)&lt;=9,1000+(Eingabe!$G$18)*100,3000)+10,"")</f>
        <v/>
      </c>
      <c r="F1836" s="21" t="str">
        <f aca="false">IF(AND(Eingabe!$F$18&gt;0,Eingabe!$E$18&gt;=10),"10."&amp;Eingabe!$D$18&amp;".10.0/24","")</f>
        <v/>
      </c>
      <c r="G1836" s="21" t="str">
        <f aca="false">IF(AND(Eingabe!$F$18&gt;0,Eingabe!$E$18&gt;=10),"10."&amp;Eingabe!$D$18&amp;".10.1","")</f>
        <v/>
      </c>
      <c r="H1836" s="21" t="str">
        <f aca="false">IF(AND(Eingabe!$F$18&gt;0,Eingabe!$E$18&gt;=10),"10."&amp;Eingabe!$D$18&amp;".10.10 – 10."&amp;Eingabe!$D$18&amp;".10.250","")</f>
        <v/>
      </c>
      <c r="I1836" s="21" t="str">
        <f aca="false">IF(AND(Eingabe!$F$18&gt;0,Eingabe!$E$18&gt;=10),Eingabe!$B$6&amp;"-"&amp;Eingabe!$C$18&amp;"-Pächter","")</f>
        <v/>
      </c>
      <c r="J1836" s="21" t="str">
        <f aca="false">IF(AND(Eingabe!$F$18&gt;0,Eingabe!$E$18&gt;=10),"PPSK: Passwort Parzelle 10","")</f>
        <v/>
      </c>
      <c r="K1836" s="21" t="str">
        <f aca="false">IF(AND(Eingabe!$F$18&gt;0,Eingabe!$E$18&gt;=10),"1. Gerät: 10."&amp;Eingabe!$D$18&amp;".10.10, 2. Gerät: .11","")</f>
        <v/>
      </c>
    </row>
    <row r="1837" customFormat="false" ht="15" hidden="false" customHeight="false" outlineLevel="0" collapsed="false">
      <c r="A1837" s="21" t="str">
        <f aca="false">IF(AND(Eingabe!$F$18&gt;0,Eingabe!$E$18&gt;=11),10,"")</f>
        <v/>
      </c>
      <c r="B1837" s="21" t="str">
        <f aca="false">IF(AND(Eingabe!$F$18&gt;0,Eingabe!$E$18&gt;=11),Eingabe!$B$18,"")</f>
        <v/>
      </c>
      <c r="C1837" s="21" t="str">
        <f aca="false">IF(AND(Eingabe!$F$18&gt;0,Eingabe!$E$18&gt;=11),Eingabe!$C$18&amp;"-Paz."&amp;TEXT(11,"000"),"")</f>
        <v/>
      </c>
      <c r="D1837" s="21" t="str">
        <f aca="false">IF(AND(Eingabe!$F$18&gt;0,Eingabe!$E$18&gt;=11),11,"")</f>
        <v/>
      </c>
      <c r="E1837" s="21" t="str">
        <f aca="false">IF(AND(Eingabe!$F$18&gt;0,Eingabe!$E$18&gt;=11),IF((Eingabe!$G$18)&lt;=9,1000+(Eingabe!$G$18)*100,3000)+11,"")</f>
        <v/>
      </c>
      <c r="F1837" s="21" t="str">
        <f aca="false">IF(AND(Eingabe!$F$18&gt;0,Eingabe!$E$18&gt;=11),"10."&amp;Eingabe!$D$18&amp;".11.0/24","")</f>
        <v/>
      </c>
      <c r="G1837" s="21" t="str">
        <f aca="false">IF(AND(Eingabe!$F$18&gt;0,Eingabe!$E$18&gt;=11),"10."&amp;Eingabe!$D$18&amp;".11.1","")</f>
        <v/>
      </c>
      <c r="H1837" s="21" t="str">
        <f aca="false">IF(AND(Eingabe!$F$18&gt;0,Eingabe!$E$18&gt;=11),"10."&amp;Eingabe!$D$18&amp;".11.10 – 10."&amp;Eingabe!$D$18&amp;".11.250","")</f>
        <v/>
      </c>
      <c r="I1837" s="21" t="str">
        <f aca="false">IF(AND(Eingabe!$F$18&gt;0,Eingabe!$E$18&gt;=11),Eingabe!$B$6&amp;"-"&amp;Eingabe!$C$18&amp;"-Pächter","")</f>
        <v/>
      </c>
      <c r="J1837" s="21" t="str">
        <f aca="false">IF(AND(Eingabe!$F$18&gt;0,Eingabe!$E$18&gt;=11),"PPSK: Passwort Parzelle 11","")</f>
        <v/>
      </c>
      <c r="K1837" s="21" t="str">
        <f aca="false">IF(AND(Eingabe!$F$18&gt;0,Eingabe!$E$18&gt;=11),"1. Gerät: 10."&amp;Eingabe!$D$18&amp;".11.10, 2. Gerät: .11","")</f>
        <v/>
      </c>
    </row>
    <row r="1838" customFormat="false" ht="15" hidden="false" customHeight="false" outlineLevel="0" collapsed="false">
      <c r="A1838" s="21" t="str">
        <f aca="false">IF(AND(Eingabe!$F$18&gt;0,Eingabe!$E$18&gt;=12),10,"")</f>
        <v/>
      </c>
      <c r="B1838" s="21" t="str">
        <f aca="false">IF(AND(Eingabe!$F$18&gt;0,Eingabe!$E$18&gt;=12),Eingabe!$B$18,"")</f>
        <v/>
      </c>
      <c r="C1838" s="21" t="str">
        <f aca="false">IF(AND(Eingabe!$F$18&gt;0,Eingabe!$E$18&gt;=12),Eingabe!$C$18&amp;"-Paz."&amp;TEXT(12,"000"),"")</f>
        <v/>
      </c>
      <c r="D1838" s="21" t="str">
        <f aca="false">IF(AND(Eingabe!$F$18&gt;0,Eingabe!$E$18&gt;=12),12,"")</f>
        <v/>
      </c>
      <c r="E1838" s="21" t="str">
        <f aca="false">IF(AND(Eingabe!$F$18&gt;0,Eingabe!$E$18&gt;=12),IF((Eingabe!$G$18)&lt;=9,1000+(Eingabe!$G$18)*100,3000)+12,"")</f>
        <v/>
      </c>
      <c r="F1838" s="21" t="str">
        <f aca="false">IF(AND(Eingabe!$F$18&gt;0,Eingabe!$E$18&gt;=12),"10."&amp;Eingabe!$D$18&amp;".12.0/24","")</f>
        <v/>
      </c>
      <c r="G1838" s="21" t="str">
        <f aca="false">IF(AND(Eingabe!$F$18&gt;0,Eingabe!$E$18&gt;=12),"10."&amp;Eingabe!$D$18&amp;".12.1","")</f>
        <v/>
      </c>
      <c r="H1838" s="21" t="str">
        <f aca="false">IF(AND(Eingabe!$F$18&gt;0,Eingabe!$E$18&gt;=12),"10."&amp;Eingabe!$D$18&amp;".12.10 – 10."&amp;Eingabe!$D$18&amp;".12.250","")</f>
        <v/>
      </c>
      <c r="I1838" s="21" t="str">
        <f aca="false">IF(AND(Eingabe!$F$18&gt;0,Eingabe!$E$18&gt;=12),Eingabe!$B$6&amp;"-"&amp;Eingabe!$C$18&amp;"-Pächter","")</f>
        <v/>
      </c>
      <c r="J1838" s="21" t="str">
        <f aca="false">IF(AND(Eingabe!$F$18&gt;0,Eingabe!$E$18&gt;=12),"PPSK: Passwort Parzelle 12","")</f>
        <v/>
      </c>
      <c r="K1838" s="21" t="str">
        <f aca="false">IF(AND(Eingabe!$F$18&gt;0,Eingabe!$E$18&gt;=12),"1. Gerät: 10."&amp;Eingabe!$D$18&amp;".12.10, 2. Gerät: .11","")</f>
        <v/>
      </c>
    </row>
    <row r="1839" customFormat="false" ht="15" hidden="false" customHeight="false" outlineLevel="0" collapsed="false">
      <c r="A1839" s="21" t="str">
        <f aca="false">IF(AND(Eingabe!$F$18&gt;0,Eingabe!$E$18&gt;=13),10,"")</f>
        <v/>
      </c>
      <c r="B1839" s="21" t="str">
        <f aca="false">IF(AND(Eingabe!$F$18&gt;0,Eingabe!$E$18&gt;=13),Eingabe!$B$18,"")</f>
        <v/>
      </c>
      <c r="C1839" s="21" t="str">
        <f aca="false">IF(AND(Eingabe!$F$18&gt;0,Eingabe!$E$18&gt;=13),Eingabe!$C$18&amp;"-Paz."&amp;TEXT(13,"000"),"")</f>
        <v/>
      </c>
      <c r="D1839" s="21" t="str">
        <f aca="false">IF(AND(Eingabe!$F$18&gt;0,Eingabe!$E$18&gt;=13),13,"")</f>
        <v/>
      </c>
      <c r="E1839" s="21" t="str">
        <f aca="false">IF(AND(Eingabe!$F$18&gt;0,Eingabe!$E$18&gt;=13),IF((Eingabe!$G$18)&lt;=9,1000+(Eingabe!$G$18)*100,3000)+13,"")</f>
        <v/>
      </c>
      <c r="F1839" s="21" t="str">
        <f aca="false">IF(AND(Eingabe!$F$18&gt;0,Eingabe!$E$18&gt;=13),"10."&amp;Eingabe!$D$18&amp;".13.0/24","")</f>
        <v/>
      </c>
      <c r="G1839" s="21" t="str">
        <f aca="false">IF(AND(Eingabe!$F$18&gt;0,Eingabe!$E$18&gt;=13),"10."&amp;Eingabe!$D$18&amp;".13.1","")</f>
        <v/>
      </c>
      <c r="H1839" s="21" t="str">
        <f aca="false">IF(AND(Eingabe!$F$18&gt;0,Eingabe!$E$18&gt;=13),"10."&amp;Eingabe!$D$18&amp;".13.10 – 10."&amp;Eingabe!$D$18&amp;".13.250","")</f>
        <v/>
      </c>
      <c r="I1839" s="21" t="str">
        <f aca="false">IF(AND(Eingabe!$F$18&gt;0,Eingabe!$E$18&gt;=13),Eingabe!$B$6&amp;"-"&amp;Eingabe!$C$18&amp;"-Pächter","")</f>
        <v/>
      </c>
      <c r="J1839" s="21" t="str">
        <f aca="false">IF(AND(Eingabe!$F$18&gt;0,Eingabe!$E$18&gt;=13),"PPSK: Passwort Parzelle 13","")</f>
        <v/>
      </c>
      <c r="K1839" s="21" t="str">
        <f aca="false">IF(AND(Eingabe!$F$18&gt;0,Eingabe!$E$18&gt;=13),"1. Gerät: 10."&amp;Eingabe!$D$18&amp;".13.10, 2. Gerät: .11","")</f>
        <v/>
      </c>
    </row>
    <row r="1840" customFormat="false" ht="15" hidden="false" customHeight="false" outlineLevel="0" collapsed="false">
      <c r="A1840" s="21" t="str">
        <f aca="false">IF(AND(Eingabe!$F$18&gt;0,Eingabe!$E$18&gt;=14),10,"")</f>
        <v/>
      </c>
      <c r="B1840" s="21" t="str">
        <f aca="false">IF(AND(Eingabe!$F$18&gt;0,Eingabe!$E$18&gt;=14),Eingabe!$B$18,"")</f>
        <v/>
      </c>
      <c r="C1840" s="21" t="str">
        <f aca="false">IF(AND(Eingabe!$F$18&gt;0,Eingabe!$E$18&gt;=14),Eingabe!$C$18&amp;"-Paz."&amp;TEXT(14,"000"),"")</f>
        <v/>
      </c>
      <c r="D1840" s="21" t="str">
        <f aca="false">IF(AND(Eingabe!$F$18&gt;0,Eingabe!$E$18&gt;=14),14,"")</f>
        <v/>
      </c>
      <c r="E1840" s="21" t="str">
        <f aca="false">IF(AND(Eingabe!$F$18&gt;0,Eingabe!$E$18&gt;=14),IF((Eingabe!$G$18)&lt;=9,1000+(Eingabe!$G$18)*100,3000)+14,"")</f>
        <v/>
      </c>
      <c r="F1840" s="21" t="str">
        <f aca="false">IF(AND(Eingabe!$F$18&gt;0,Eingabe!$E$18&gt;=14),"10."&amp;Eingabe!$D$18&amp;".14.0/24","")</f>
        <v/>
      </c>
      <c r="G1840" s="21" t="str">
        <f aca="false">IF(AND(Eingabe!$F$18&gt;0,Eingabe!$E$18&gt;=14),"10."&amp;Eingabe!$D$18&amp;".14.1","")</f>
        <v/>
      </c>
      <c r="H1840" s="21" t="str">
        <f aca="false">IF(AND(Eingabe!$F$18&gt;0,Eingabe!$E$18&gt;=14),"10."&amp;Eingabe!$D$18&amp;".14.10 – 10."&amp;Eingabe!$D$18&amp;".14.250","")</f>
        <v/>
      </c>
      <c r="I1840" s="21" t="str">
        <f aca="false">IF(AND(Eingabe!$F$18&gt;0,Eingabe!$E$18&gt;=14),Eingabe!$B$6&amp;"-"&amp;Eingabe!$C$18&amp;"-Pächter","")</f>
        <v/>
      </c>
      <c r="J1840" s="21" t="str">
        <f aca="false">IF(AND(Eingabe!$F$18&gt;0,Eingabe!$E$18&gt;=14),"PPSK: Passwort Parzelle 14","")</f>
        <v/>
      </c>
      <c r="K1840" s="21" t="str">
        <f aca="false">IF(AND(Eingabe!$F$18&gt;0,Eingabe!$E$18&gt;=14),"1. Gerät: 10."&amp;Eingabe!$D$18&amp;".14.10, 2. Gerät: .11","")</f>
        <v/>
      </c>
    </row>
    <row r="1841" customFormat="false" ht="15" hidden="false" customHeight="false" outlineLevel="0" collapsed="false">
      <c r="A1841" s="21" t="str">
        <f aca="false">IF(AND(Eingabe!$F$18&gt;0,Eingabe!$E$18&gt;=15),10,"")</f>
        <v/>
      </c>
      <c r="B1841" s="21" t="str">
        <f aca="false">IF(AND(Eingabe!$F$18&gt;0,Eingabe!$E$18&gt;=15),Eingabe!$B$18,"")</f>
        <v/>
      </c>
      <c r="C1841" s="21" t="str">
        <f aca="false">IF(AND(Eingabe!$F$18&gt;0,Eingabe!$E$18&gt;=15),Eingabe!$C$18&amp;"-Paz."&amp;TEXT(15,"000"),"")</f>
        <v/>
      </c>
      <c r="D1841" s="21" t="str">
        <f aca="false">IF(AND(Eingabe!$F$18&gt;0,Eingabe!$E$18&gt;=15),15,"")</f>
        <v/>
      </c>
      <c r="E1841" s="21" t="str">
        <f aca="false">IF(AND(Eingabe!$F$18&gt;0,Eingabe!$E$18&gt;=15),IF((Eingabe!$G$18)&lt;=9,1000+(Eingabe!$G$18)*100,3000)+15,"")</f>
        <v/>
      </c>
      <c r="F1841" s="21" t="str">
        <f aca="false">IF(AND(Eingabe!$F$18&gt;0,Eingabe!$E$18&gt;=15),"10."&amp;Eingabe!$D$18&amp;".15.0/24","")</f>
        <v/>
      </c>
      <c r="G1841" s="21" t="str">
        <f aca="false">IF(AND(Eingabe!$F$18&gt;0,Eingabe!$E$18&gt;=15),"10."&amp;Eingabe!$D$18&amp;".15.1","")</f>
        <v/>
      </c>
      <c r="H1841" s="21" t="str">
        <f aca="false">IF(AND(Eingabe!$F$18&gt;0,Eingabe!$E$18&gt;=15),"10."&amp;Eingabe!$D$18&amp;".15.10 – 10."&amp;Eingabe!$D$18&amp;".15.250","")</f>
        <v/>
      </c>
      <c r="I1841" s="21" t="str">
        <f aca="false">IF(AND(Eingabe!$F$18&gt;0,Eingabe!$E$18&gt;=15),Eingabe!$B$6&amp;"-"&amp;Eingabe!$C$18&amp;"-Pächter","")</f>
        <v/>
      </c>
      <c r="J1841" s="21" t="str">
        <f aca="false">IF(AND(Eingabe!$F$18&gt;0,Eingabe!$E$18&gt;=15),"PPSK: Passwort Parzelle 15","")</f>
        <v/>
      </c>
      <c r="K1841" s="21" t="str">
        <f aca="false">IF(AND(Eingabe!$F$18&gt;0,Eingabe!$E$18&gt;=15),"1. Gerät: 10."&amp;Eingabe!$D$18&amp;".15.10, 2. Gerät: .11","")</f>
        <v/>
      </c>
    </row>
    <row r="1842" customFormat="false" ht="15" hidden="false" customHeight="false" outlineLevel="0" collapsed="false">
      <c r="A1842" s="21" t="str">
        <f aca="false">IF(AND(Eingabe!$F$18&gt;0,Eingabe!$E$18&gt;=16),10,"")</f>
        <v/>
      </c>
      <c r="B1842" s="21" t="str">
        <f aca="false">IF(AND(Eingabe!$F$18&gt;0,Eingabe!$E$18&gt;=16),Eingabe!$B$18,"")</f>
        <v/>
      </c>
      <c r="C1842" s="21" t="str">
        <f aca="false">IF(AND(Eingabe!$F$18&gt;0,Eingabe!$E$18&gt;=16),Eingabe!$C$18&amp;"-Paz."&amp;TEXT(16,"000"),"")</f>
        <v/>
      </c>
      <c r="D1842" s="21" t="str">
        <f aca="false">IF(AND(Eingabe!$F$18&gt;0,Eingabe!$E$18&gt;=16),16,"")</f>
        <v/>
      </c>
      <c r="E1842" s="21" t="str">
        <f aca="false">IF(AND(Eingabe!$F$18&gt;0,Eingabe!$E$18&gt;=16),IF((Eingabe!$G$18)&lt;=9,1000+(Eingabe!$G$18)*100,3000)+16,"")</f>
        <v/>
      </c>
      <c r="F1842" s="21" t="str">
        <f aca="false">IF(AND(Eingabe!$F$18&gt;0,Eingabe!$E$18&gt;=16),"10."&amp;Eingabe!$D$18&amp;".16.0/24","")</f>
        <v/>
      </c>
      <c r="G1842" s="21" t="str">
        <f aca="false">IF(AND(Eingabe!$F$18&gt;0,Eingabe!$E$18&gt;=16),"10."&amp;Eingabe!$D$18&amp;".16.1","")</f>
        <v/>
      </c>
      <c r="H1842" s="21" t="str">
        <f aca="false">IF(AND(Eingabe!$F$18&gt;0,Eingabe!$E$18&gt;=16),"10."&amp;Eingabe!$D$18&amp;".16.10 – 10."&amp;Eingabe!$D$18&amp;".16.250","")</f>
        <v/>
      </c>
      <c r="I1842" s="21" t="str">
        <f aca="false">IF(AND(Eingabe!$F$18&gt;0,Eingabe!$E$18&gt;=16),Eingabe!$B$6&amp;"-"&amp;Eingabe!$C$18&amp;"-Pächter","")</f>
        <v/>
      </c>
      <c r="J1842" s="21" t="str">
        <f aca="false">IF(AND(Eingabe!$F$18&gt;0,Eingabe!$E$18&gt;=16),"PPSK: Passwort Parzelle 16","")</f>
        <v/>
      </c>
      <c r="K1842" s="21" t="str">
        <f aca="false">IF(AND(Eingabe!$F$18&gt;0,Eingabe!$E$18&gt;=16),"1. Gerät: 10."&amp;Eingabe!$D$18&amp;".16.10, 2. Gerät: .11","")</f>
        <v/>
      </c>
    </row>
    <row r="1843" customFormat="false" ht="15" hidden="false" customHeight="false" outlineLevel="0" collapsed="false">
      <c r="A1843" s="21" t="str">
        <f aca="false">IF(AND(Eingabe!$F$18&gt;0,Eingabe!$E$18&gt;=17),10,"")</f>
        <v/>
      </c>
      <c r="B1843" s="21" t="str">
        <f aca="false">IF(AND(Eingabe!$F$18&gt;0,Eingabe!$E$18&gt;=17),Eingabe!$B$18,"")</f>
        <v/>
      </c>
      <c r="C1843" s="21" t="str">
        <f aca="false">IF(AND(Eingabe!$F$18&gt;0,Eingabe!$E$18&gt;=17),Eingabe!$C$18&amp;"-Paz."&amp;TEXT(17,"000"),"")</f>
        <v/>
      </c>
      <c r="D1843" s="21" t="str">
        <f aca="false">IF(AND(Eingabe!$F$18&gt;0,Eingabe!$E$18&gt;=17),17,"")</f>
        <v/>
      </c>
      <c r="E1843" s="21" t="str">
        <f aca="false">IF(AND(Eingabe!$F$18&gt;0,Eingabe!$E$18&gt;=17),IF((Eingabe!$G$18)&lt;=9,1000+(Eingabe!$G$18)*100,3000)+17,"")</f>
        <v/>
      </c>
      <c r="F1843" s="21" t="str">
        <f aca="false">IF(AND(Eingabe!$F$18&gt;0,Eingabe!$E$18&gt;=17),"10."&amp;Eingabe!$D$18&amp;".17.0/24","")</f>
        <v/>
      </c>
      <c r="G1843" s="21" t="str">
        <f aca="false">IF(AND(Eingabe!$F$18&gt;0,Eingabe!$E$18&gt;=17),"10."&amp;Eingabe!$D$18&amp;".17.1","")</f>
        <v/>
      </c>
      <c r="H1843" s="21" t="str">
        <f aca="false">IF(AND(Eingabe!$F$18&gt;0,Eingabe!$E$18&gt;=17),"10."&amp;Eingabe!$D$18&amp;".17.10 – 10."&amp;Eingabe!$D$18&amp;".17.250","")</f>
        <v/>
      </c>
      <c r="I1843" s="21" t="str">
        <f aca="false">IF(AND(Eingabe!$F$18&gt;0,Eingabe!$E$18&gt;=17),Eingabe!$B$6&amp;"-"&amp;Eingabe!$C$18&amp;"-Pächter","")</f>
        <v/>
      </c>
      <c r="J1843" s="21" t="str">
        <f aca="false">IF(AND(Eingabe!$F$18&gt;0,Eingabe!$E$18&gt;=17),"PPSK: Passwort Parzelle 17","")</f>
        <v/>
      </c>
      <c r="K1843" s="21" t="str">
        <f aca="false">IF(AND(Eingabe!$F$18&gt;0,Eingabe!$E$18&gt;=17),"1. Gerät: 10."&amp;Eingabe!$D$18&amp;".17.10, 2. Gerät: .11","")</f>
        <v/>
      </c>
    </row>
    <row r="1844" customFormat="false" ht="15" hidden="false" customHeight="false" outlineLevel="0" collapsed="false">
      <c r="A1844" s="21" t="str">
        <f aca="false">IF(AND(Eingabe!$F$18&gt;0,Eingabe!$E$18&gt;=18),10,"")</f>
        <v/>
      </c>
      <c r="B1844" s="21" t="str">
        <f aca="false">IF(AND(Eingabe!$F$18&gt;0,Eingabe!$E$18&gt;=18),Eingabe!$B$18,"")</f>
        <v/>
      </c>
      <c r="C1844" s="21" t="str">
        <f aca="false">IF(AND(Eingabe!$F$18&gt;0,Eingabe!$E$18&gt;=18),Eingabe!$C$18&amp;"-Paz."&amp;TEXT(18,"000"),"")</f>
        <v/>
      </c>
      <c r="D1844" s="21" t="str">
        <f aca="false">IF(AND(Eingabe!$F$18&gt;0,Eingabe!$E$18&gt;=18),18,"")</f>
        <v/>
      </c>
      <c r="E1844" s="21" t="str">
        <f aca="false">IF(AND(Eingabe!$F$18&gt;0,Eingabe!$E$18&gt;=18),IF((Eingabe!$G$18)&lt;=9,1000+(Eingabe!$G$18)*100,3000)+18,"")</f>
        <v/>
      </c>
      <c r="F1844" s="21" t="str">
        <f aca="false">IF(AND(Eingabe!$F$18&gt;0,Eingabe!$E$18&gt;=18),"10."&amp;Eingabe!$D$18&amp;".18.0/24","")</f>
        <v/>
      </c>
      <c r="G1844" s="21" t="str">
        <f aca="false">IF(AND(Eingabe!$F$18&gt;0,Eingabe!$E$18&gt;=18),"10."&amp;Eingabe!$D$18&amp;".18.1","")</f>
        <v/>
      </c>
      <c r="H1844" s="21" t="str">
        <f aca="false">IF(AND(Eingabe!$F$18&gt;0,Eingabe!$E$18&gt;=18),"10."&amp;Eingabe!$D$18&amp;".18.10 – 10."&amp;Eingabe!$D$18&amp;".18.250","")</f>
        <v/>
      </c>
      <c r="I1844" s="21" t="str">
        <f aca="false">IF(AND(Eingabe!$F$18&gt;0,Eingabe!$E$18&gt;=18),Eingabe!$B$6&amp;"-"&amp;Eingabe!$C$18&amp;"-Pächter","")</f>
        <v/>
      </c>
      <c r="J1844" s="21" t="str">
        <f aca="false">IF(AND(Eingabe!$F$18&gt;0,Eingabe!$E$18&gt;=18),"PPSK: Passwort Parzelle 18","")</f>
        <v/>
      </c>
      <c r="K1844" s="21" t="str">
        <f aca="false">IF(AND(Eingabe!$F$18&gt;0,Eingabe!$E$18&gt;=18),"1. Gerät: 10."&amp;Eingabe!$D$18&amp;".18.10, 2. Gerät: .11","")</f>
        <v/>
      </c>
    </row>
    <row r="1845" customFormat="false" ht="15" hidden="false" customHeight="false" outlineLevel="0" collapsed="false">
      <c r="A1845" s="21" t="str">
        <f aca="false">IF(AND(Eingabe!$F$18&gt;0,Eingabe!$E$18&gt;=19),10,"")</f>
        <v/>
      </c>
      <c r="B1845" s="21" t="str">
        <f aca="false">IF(AND(Eingabe!$F$18&gt;0,Eingabe!$E$18&gt;=19),Eingabe!$B$18,"")</f>
        <v/>
      </c>
      <c r="C1845" s="21" t="str">
        <f aca="false">IF(AND(Eingabe!$F$18&gt;0,Eingabe!$E$18&gt;=19),Eingabe!$C$18&amp;"-Paz."&amp;TEXT(19,"000"),"")</f>
        <v/>
      </c>
      <c r="D1845" s="21" t="str">
        <f aca="false">IF(AND(Eingabe!$F$18&gt;0,Eingabe!$E$18&gt;=19),19,"")</f>
        <v/>
      </c>
      <c r="E1845" s="21" t="str">
        <f aca="false">IF(AND(Eingabe!$F$18&gt;0,Eingabe!$E$18&gt;=19),IF((Eingabe!$G$18)&lt;=9,1000+(Eingabe!$G$18)*100,3000)+19,"")</f>
        <v/>
      </c>
      <c r="F1845" s="21" t="str">
        <f aca="false">IF(AND(Eingabe!$F$18&gt;0,Eingabe!$E$18&gt;=19),"10."&amp;Eingabe!$D$18&amp;".19.0/24","")</f>
        <v/>
      </c>
      <c r="G1845" s="21" t="str">
        <f aca="false">IF(AND(Eingabe!$F$18&gt;0,Eingabe!$E$18&gt;=19),"10."&amp;Eingabe!$D$18&amp;".19.1","")</f>
        <v/>
      </c>
      <c r="H1845" s="21" t="str">
        <f aca="false">IF(AND(Eingabe!$F$18&gt;0,Eingabe!$E$18&gt;=19),"10."&amp;Eingabe!$D$18&amp;".19.10 – 10."&amp;Eingabe!$D$18&amp;".19.250","")</f>
        <v/>
      </c>
      <c r="I1845" s="21" t="str">
        <f aca="false">IF(AND(Eingabe!$F$18&gt;0,Eingabe!$E$18&gt;=19),Eingabe!$B$6&amp;"-"&amp;Eingabe!$C$18&amp;"-Pächter","")</f>
        <v/>
      </c>
      <c r="J1845" s="21" t="str">
        <f aca="false">IF(AND(Eingabe!$F$18&gt;0,Eingabe!$E$18&gt;=19),"PPSK: Passwort Parzelle 19","")</f>
        <v/>
      </c>
      <c r="K1845" s="21" t="str">
        <f aca="false">IF(AND(Eingabe!$F$18&gt;0,Eingabe!$E$18&gt;=19),"1. Gerät: 10."&amp;Eingabe!$D$18&amp;".19.10, 2. Gerät: .11","")</f>
        <v/>
      </c>
    </row>
    <row r="1846" customFormat="false" ht="15" hidden="false" customHeight="false" outlineLevel="0" collapsed="false">
      <c r="A1846" s="21" t="str">
        <f aca="false">IF(AND(Eingabe!$F$18&gt;0,Eingabe!$E$18&gt;=20),10,"")</f>
        <v/>
      </c>
      <c r="B1846" s="21" t="str">
        <f aca="false">IF(AND(Eingabe!$F$18&gt;0,Eingabe!$E$18&gt;=20),Eingabe!$B$18,"")</f>
        <v/>
      </c>
      <c r="C1846" s="21" t="str">
        <f aca="false">IF(AND(Eingabe!$F$18&gt;0,Eingabe!$E$18&gt;=20),Eingabe!$C$18&amp;"-Paz."&amp;TEXT(20,"000"),"")</f>
        <v/>
      </c>
      <c r="D1846" s="21" t="str">
        <f aca="false">IF(AND(Eingabe!$F$18&gt;0,Eingabe!$E$18&gt;=20),20,"")</f>
        <v/>
      </c>
      <c r="E1846" s="21" t="str">
        <f aca="false">IF(AND(Eingabe!$F$18&gt;0,Eingabe!$E$18&gt;=20),IF((Eingabe!$G$18)&lt;=9,1000+(Eingabe!$G$18)*100,3000)+20,"")</f>
        <v/>
      </c>
      <c r="F1846" s="21" t="str">
        <f aca="false">IF(AND(Eingabe!$F$18&gt;0,Eingabe!$E$18&gt;=20),"10."&amp;Eingabe!$D$18&amp;".20.0/24","")</f>
        <v/>
      </c>
      <c r="G1846" s="21" t="str">
        <f aca="false">IF(AND(Eingabe!$F$18&gt;0,Eingabe!$E$18&gt;=20),"10."&amp;Eingabe!$D$18&amp;".20.1","")</f>
        <v/>
      </c>
      <c r="H1846" s="21" t="str">
        <f aca="false">IF(AND(Eingabe!$F$18&gt;0,Eingabe!$E$18&gt;=20),"10."&amp;Eingabe!$D$18&amp;".20.10 – 10."&amp;Eingabe!$D$18&amp;".20.250","")</f>
        <v/>
      </c>
      <c r="I1846" s="21" t="str">
        <f aca="false">IF(AND(Eingabe!$F$18&gt;0,Eingabe!$E$18&gt;=20),Eingabe!$B$6&amp;"-"&amp;Eingabe!$C$18&amp;"-Pächter","")</f>
        <v/>
      </c>
      <c r="J1846" s="21" t="str">
        <f aca="false">IF(AND(Eingabe!$F$18&gt;0,Eingabe!$E$18&gt;=20),"PPSK: Passwort Parzelle 20","")</f>
        <v/>
      </c>
      <c r="K1846" s="21" t="str">
        <f aca="false">IF(AND(Eingabe!$F$18&gt;0,Eingabe!$E$18&gt;=20),"1. Gerät: 10."&amp;Eingabe!$D$18&amp;".20.10, 2. Gerät: .11","")</f>
        <v/>
      </c>
    </row>
    <row r="1847" customFormat="false" ht="15" hidden="false" customHeight="false" outlineLevel="0" collapsed="false">
      <c r="A1847" s="21" t="str">
        <f aca="false">IF(AND(Eingabe!$F$18&gt;0,Eingabe!$E$18&gt;=21),10,"")</f>
        <v/>
      </c>
      <c r="B1847" s="21" t="str">
        <f aca="false">IF(AND(Eingabe!$F$18&gt;0,Eingabe!$E$18&gt;=21),Eingabe!$B$18,"")</f>
        <v/>
      </c>
      <c r="C1847" s="21" t="str">
        <f aca="false">IF(AND(Eingabe!$F$18&gt;0,Eingabe!$E$18&gt;=21),Eingabe!$C$18&amp;"-Paz."&amp;TEXT(21,"000"),"")</f>
        <v/>
      </c>
      <c r="D1847" s="21" t="str">
        <f aca="false">IF(AND(Eingabe!$F$18&gt;0,Eingabe!$E$18&gt;=21),21,"")</f>
        <v/>
      </c>
      <c r="E1847" s="21" t="str">
        <f aca="false">IF(AND(Eingabe!$F$18&gt;0,Eingabe!$E$18&gt;=21),IF((Eingabe!$G$18)&lt;=9,1000+(Eingabe!$G$18)*100,3000)+21,"")</f>
        <v/>
      </c>
      <c r="F1847" s="21" t="str">
        <f aca="false">IF(AND(Eingabe!$F$18&gt;0,Eingabe!$E$18&gt;=21),"10."&amp;Eingabe!$D$18&amp;".21.0/24","")</f>
        <v/>
      </c>
      <c r="G1847" s="21" t="str">
        <f aca="false">IF(AND(Eingabe!$F$18&gt;0,Eingabe!$E$18&gt;=21),"10."&amp;Eingabe!$D$18&amp;".21.1","")</f>
        <v/>
      </c>
      <c r="H1847" s="21" t="str">
        <f aca="false">IF(AND(Eingabe!$F$18&gt;0,Eingabe!$E$18&gt;=21),"10."&amp;Eingabe!$D$18&amp;".21.10 – 10."&amp;Eingabe!$D$18&amp;".21.250","")</f>
        <v/>
      </c>
      <c r="I1847" s="21" t="str">
        <f aca="false">IF(AND(Eingabe!$F$18&gt;0,Eingabe!$E$18&gt;=21),Eingabe!$B$6&amp;"-"&amp;Eingabe!$C$18&amp;"-Pächter","")</f>
        <v/>
      </c>
      <c r="J1847" s="21" t="str">
        <f aca="false">IF(AND(Eingabe!$F$18&gt;0,Eingabe!$E$18&gt;=21),"PPSK: Passwort Parzelle 21","")</f>
        <v/>
      </c>
      <c r="K1847" s="21" t="str">
        <f aca="false">IF(AND(Eingabe!$F$18&gt;0,Eingabe!$E$18&gt;=21),"1. Gerät: 10."&amp;Eingabe!$D$18&amp;".21.10, 2. Gerät: .11","")</f>
        <v/>
      </c>
    </row>
    <row r="1848" customFormat="false" ht="15" hidden="false" customHeight="false" outlineLevel="0" collapsed="false">
      <c r="A1848" s="21" t="str">
        <f aca="false">IF(AND(Eingabe!$F$18&gt;0,Eingabe!$E$18&gt;=22),10,"")</f>
        <v/>
      </c>
      <c r="B1848" s="21" t="str">
        <f aca="false">IF(AND(Eingabe!$F$18&gt;0,Eingabe!$E$18&gt;=22),Eingabe!$B$18,"")</f>
        <v/>
      </c>
      <c r="C1848" s="21" t="str">
        <f aca="false">IF(AND(Eingabe!$F$18&gt;0,Eingabe!$E$18&gt;=22),Eingabe!$C$18&amp;"-Paz."&amp;TEXT(22,"000"),"")</f>
        <v/>
      </c>
      <c r="D1848" s="21" t="str">
        <f aca="false">IF(AND(Eingabe!$F$18&gt;0,Eingabe!$E$18&gt;=22),22,"")</f>
        <v/>
      </c>
      <c r="E1848" s="21" t="str">
        <f aca="false">IF(AND(Eingabe!$F$18&gt;0,Eingabe!$E$18&gt;=22),IF((Eingabe!$G$18)&lt;=9,1000+(Eingabe!$G$18)*100,3000)+22,"")</f>
        <v/>
      </c>
      <c r="F1848" s="21" t="str">
        <f aca="false">IF(AND(Eingabe!$F$18&gt;0,Eingabe!$E$18&gt;=22),"10."&amp;Eingabe!$D$18&amp;".22.0/24","")</f>
        <v/>
      </c>
      <c r="G1848" s="21" t="str">
        <f aca="false">IF(AND(Eingabe!$F$18&gt;0,Eingabe!$E$18&gt;=22),"10."&amp;Eingabe!$D$18&amp;".22.1","")</f>
        <v/>
      </c>
      <c r="H1848" s="21" t="str">
        <f aca="false">IF(AND(Eingabe!$F$18&gt;0,Eingabe!$E$18&gt;=22),"10."&amp;Eingabe!$D$18&amp;".22.10 – 10."&amp;Eingabe!$D$18&amp;".22.250","")</f>
        <v/>
      </c>
      <c r="I1848" s="21" t="str">
        <f aca="false">IF(AND(Eingabe!$F$18&gt;0,Eingabe!$E$18&gt;=22),Eingabe!$B$6&amp;"-"&amp;Eingabe!$C$18&amp;"-Pächter","")</f>
        <v/>
      </c>
      <c r="J1848" s="21" t="str">
        <f aca="false">IF(AND(Eingabe!$F$18&gt;0,Eingabe!$E$18&gt;=22),"PPSK: Passwort Parzelle 22","")</f>
        <v/>
      </c>
      <c r="K1848" s="21" t="str">
        <f aca="false">IF(AND(Eingabe!$F$18&gt;0,Eingabe!$E$18&gt;=22),"1. Gerät: 10."&amp;Eingabe!$D$18&amp;".22.10, 2. Gerät: .11","")</f>
        <v/>
      </c>
    </row>
    <row r="1849" customFormat="false" ht="15" hidden="false" customHeight="false" outlineLevel="0" collapsed="false">
      <c r="A1849" s="21" t="str">
        <f aca="false">IF(AND(Eingabe!$F$18&gt;0,Eingabe!$E$18&gt;=23),10,"")</f>
        <v/>
      </c>
      <c r="B1849" s="21" t="str">
        <f aca="false">IF(AND(Eingabe!$F$18&gt;0,Eingabe!$E$18&gt;=23),Eingabe!$B$18,"")</f>
        <v/>
      </c>
      <c r="C1849" s="21" t="str">
        <f aca="false">IF(AND(Eingabe!$F$18&gt;0,Eingabe!$E$18&gt;=23),Eingabe!$C$18&amp;"-Paz."&amp;TEXT(23,"000"),"")</f>
        <v/>
      </c>
      <c r="D1849" s="21" t="str">
        <f aca="false">IF(AND(Eingabe!$F$18&gt;0,Eingabe!$E$18&gt;=23),23,"")</f>
        <v/>
      </c>
      <c r="E1849" s="21" t="str">
        <f aca="false">IF(AND(Eingabe!$F$18&gt;0,Eingabe!$E$18&gt;=23),IF((Eingabe!$G$18)&lt;=9,1000+(Eingabe!$G$18)*100,3000)+23,"")</f>
        <v/>
      </c>
      <c r="F1849" s="21" t="str">
        <f aca="false">IF(AND(Eingabe!$F$18&gt;0,Eingabe!$E$18&gt;=23),"10."&amp;Eingabe!$D$18&amp;".23.0/24","")</f>
        <v/>
      </c>
      <c r="G1849" s="21" t="str">
        <f aca="false">IF(AND(Eingabe!$F$18&gt;0,Eingabe!$E$18&gt;=23),"10."&amp;Eingabe!$D$18&amp;".23.1","")</f>
        <v/>
      </c>
      <c r="H1849" s="21" t="str">
        <f aca="false">IF(AND(Eingabe!$F$18&gt;0,Eingabe!$E$18&gt;=23),"10."&amp;Eingabe!$D$18&amp;".23.10 – 10."&amp;Eingabe!$D$18&amp;".23.250","")</f>
        <v/>
      </c>
      <c r="I1849" s="21" t="str">
        <f aca="false">IF(AND(Eingabe!$F$18&gt;0,Eingabe!$E$18&gt;=23),Eingabe!$B$6&amp;"-"&amp;Eingabe!$C$18&amp;"-Pächter","")</f>
        <v/>
      </c>
      <c r="J1849" s="21" t="str">
        <f aca="false">IF(AND(Eingabe!$F$18&gt;0,Eingabe!$E$18&gt;=23),"PPSK: Passwort Parzelle 23","")</f>
        <v/>
      </c>
      <c r="K1849" s="21" t="str">
        <f aca="false">IF(AND(Eingabe!$F$18&gt;0,Eingabe!$E$18&gt;=23),"1. Gerät: 10."&amp;Eingabe!$D$18&amp;".23.10, 2. Gerät: .11","")</f>
        <v/>
      </c>
    </row>
    <row r="1850" customFormat="false" ht="15" hidden="false" customHeight="false" outlineLevel="0" collapsed="false">
      <c r="A1850" s="21" t="str">
        <f aca="false">IF(AND(Eingabe!$F$18&gt;0,Eingabe!$E$18&gt;=24),10,"")</f>
        <v/>
      </c>
      <c r="B1850" s="21" t="str">
        <f aca="false">IF(AND(Eingabe!$F$18&gt;0,Eingabe!$E$18&gt;=24),Eingabe!$B$18,"")</f>
        <v/>
      </c>
      <c r="C1850" s="21" t="str">
        <f aca="false">IF(AND(Eingabe!$F$18&gt;0,Eingabe!$E$18&gt;=24),Eingabe!$C$18&amp;"-Paz."&amp;TEXT(24,"000"),"")</f>
        <v/>
      </c>
      <c r="D1850" s="21" t="str">
        <f aca="false">IF(AND(Eingabe!$F$18&gt;0,Eingabe!$E$18&gt;=24),24,"")</f>
        <v/>
      </c>
      <c r="E1850" s="21" t="str">
        <f aca="false">IF(AND(Eingabe!$F$18&gt;0,Eingabe!$E$18&gt;=24),IF((Eingabe!$G$18)&lt;=9,1000+(Eingabe!$G$18)*100,3000)+24,"")</f>
        <v/>
      </c>
      <c r="F1850" s="21" t="str">
        <f aca="false">IF(AND(Eingabe!$F$18&gt;0,Eingabe!$E$18&gt;=24),"10."&amp;Eingabe!$D$18&amp;".24.0/24","")</f>
        <v/>
      </c>
      <c r="G1850" s="21" t="str">
        <f aca="false">IF(AND(Eingabe!$F$18&gt;0,Eingabe!$E$18&gt;=24),"10."&amp;Eingabe!$D$18&amp;".24.1","")</f>
        <v/>
      </c>
      <c r="H1850" s="21" t="str">
        <f aca="false">IF(AND(Eingabe!$F$18&gt;0,Eingabe!$E$18&gt;=24),"10."&amp;Eingabe!$D$18&amp;".24.10 – 10."&amp;Eingabe!$D$18&amp;".24.250","")</f>
        <v/>
      </c>
      <c r="I1850" s="21" t="str">
        <f aca="false">IF(AND(Eingabe!$F$18&gt;0,Eingabe!$E$18&gt;=24),Eingabe!$B$6&amp;"-"&amp;Eingabe!$C$18&amp;"-Pächter","")</f>
        <v/>
      </c>
      <c r="J1850" s="21" t="str">
        <f aca="false">IF(AND(Eingabe!$F$18&gt;0,Eingabe!$E$18&gt;=24),"PPSK: Passwort Parzelle 24","")</f>
        <v/>
      </c>
      <c r="K1850" s="21" t="str">
        <f aca="false">IF(AND(Eingabe!$F$18&gt;0,Eingabe!$E$18&gt;=24),"1. Gerät: 10."&amp;Eingabe!$D$18&amp;".24.10, 2. Gerät: .11","")</f>
        <v/>
      </c>
    </row>
    <row r="1851" customFormat="false" ht="15" hidden="false" customHeight="false" outlineLevel="0" collapsed="false">
      <c r="A1851" s="21" t="str">
        <f aca="false">IF(AND(Eingabe!$F$18&gt;0,Eingabe!$E$18&gt;=25),10,"")</f>
        <v/>
      </c>
      <c r="B1851" s="21" t="str">
        <f aca="false">IF(AND(Eingabe!$F$18&gt;0,Eingabe!$E$18&gt;=25),Eingabe!$B$18,"")</f>
        <v/>
      </c>
      <c r="C1851" s="21" t="str">
        <f aca="false">IF(AND(Eingabe!$F$18&gt;0,Eingabe!$E$18&gt;=25),Eingabe!$C$18&amp;"-Paz."&amp;TEXT(25,"000"),"")</f>
        <v/>
      </c>
      <c r="D1851" s="21" t="str">
        <f aca="false">IF(AND(Eingabe!$F$18&gt;0,Eingabe!$E$18&gt;=25),25,"")</f>
        <v/>
      </c>
      <c r="E1851" s="21" t="str">
        <f aca="false">IF(AND(Eingabe!$F$18&gt;0,Eingabe!$E$18&gt;=25),IF((Eingabe!$G$18)&lt;=9,1000+(Eingabe!$G$18)*100,3000)+25,"")</f>
        <v/>
      </c>
      <c r="F1851" s="21" t="str">
        <f aca="false">IF(AND(Eingabe!$F$18&gt;0,Eingabe!$E$18&gt;=25),"10."&amp;Eingabe!$D$18&amp;".25.0/24","")</f>
        <v/>
      </c>
      <c r="G1851" s="21" t="str">
        <f aca="false">IF(AND(Eingabe!$F$18&gt;0,Eingabe!$E$18&gt;=25),"10."&amp;Eingabe!$D$18&amp;".25.1","")</f>
        <v/>
      </c>
      <c r="H1851" s="21" t="str">
        <f aca="false">IF(AND(Eingabe!$F$18&gt;0,Eingabe!$E$18&gt;=25),"10."&amp;Eingabe!$D$18&amp;".25.10 – 10."&amp;Eingabe!$D$18&amp;".25.250","")</f>
        <v/>
      </c>
      <c r="I1851" s="21" t="str">
        <f aca="false">IF(AND(Eingabe!$F$18&gt;0,Eingabe!$E$18&gt;=25),Eingabe!$B$6&amp;"-"&amp;Eingabe!$C$18&amp;"-Pächter","")</f>
        <v/>
      </c>
      <c r="J1851" s="21" t="str">
        <f aca="false">IF(AND(Eingabe!$F$18&gt;0,Eingabe!$E$18&gt;=25),"PPSK: Passwort Parzelle 25","")</f>
        <v/>
      </c>
      <c r="K1851" s="21" t="str">
        <f aca="false">IF(AND(Eingabe!$F$18&gt;0,Eingabe!$E$18&gt;=25),"1. Gerät: 10."&amp;Eingabe!$D$18&amp;".25.10, 2. Gerät: .11","")</f>
        <v/>
      </c>
    </row>
    <row r="1852" customFormat="false" ht="15" hidden="false" customHeight="false" outlineLevel="0" collapsed="false">
      <c r="A1852" s="21" t="str">
        <f aca="false">IF(AND(Eingabe!$F$18&gt;0,Eingabe!$E$18&gt;=26),10,"")</f>
        <v/>
      </c>
      <c r="B1852" s="21" t="str">
        <f aca="false">IF(AND(Eingabe!$F$18&gt;0,Eingabe!$E$18&gt;=26),Eingabe!$B$18,"")</f>
        <v/>
      </c>
      <c r="C1852" s="21" t="str">
        <f aca="false">IF(AND(Eingabe!$F$18&gt;0,Eingabe!$E$18&gt;=26),Eingabe!$C$18&amp;"-Paz."&amp;TEXT(26,"000"),"")</f>
        <v/>
      </c>
      <c r="D1852" s="21" t="str">
        <f aca="false">IF(AND(Eingabe!$F$18&gt;0,Eingabe!$E$18&gt;=26),26,"")</f>
        <v/>
      </c>
      <c r="E1852" s="21" t="str">
        <f aca="false">IF(AND(Eingabe!$F$18&gt;0,Eingabe!$E$18&gt;=26),IF((Eingabe!$G$18)&lt;=9,1000+(Eingabe!$G$18)*100,3000)+26,"")</f>
        <v/>
      </c>
      <c r="F1852" s="21" t="str">
        <f aca="false">IF(AND(Eingabe!$F$18&gt;0,Eingabe!$E$18&gt;=26),"10."&amp;Eingabe!$D$18&amp;".26.0/24","")</f>
        <v/>
      </c>
      <c r="G1852" s="21" t="str">
        <f aca="false">IF(AND(Eingabe!$F$18&gt;0,Eingabe!$E$18&gt;=26),"10."&amp;Eingabe!$D$18&amp;".26.1","")</f>
        <v/>
      </c>
      <c r="H1852" s="21" t="str">
        <f aca="false">IF(AND(Eingabe!$F$18&gt;0,Eingabe!$E$18&gt;=26),"10."&amp;Eingabe!$D$18&amp;".26.10 – 10."&amp;Eingabe!$D$18&amp;".26.250","")</f>
        <v/>
      </c>
      <c r="I1852" s="21" t="str">
        <f aca="false">IF(AND(Eingabe!$F$18&gt;0,Eingabe!$E$18&gt;=26),Eingabe!$B$6&amp;"-"&amp;Eingabe!$C$18&amp;"-Pächter","")</f>
        <v/>
      </c>
      <c r="J1852" s="21" t="str">
        <f aca="false">IF(AND(Eingabe!$F$18&gt;0,Eingabe!$E$18&gt;=26),"PPSK: Passwort Parzelle 26","")</f>
        <v/>
      </c>
      <c r="K1852" s="21" t="str">
        <f aca="false">IF(AND(Eingabe!$F$18&gt;0,Eingabe!$E$18&gt;=26),"1. Gerät: 10."&amp;Eingabe!$D$18&amp;".26.10, 2. Gerät: .11","")</f>
        <v/>
      </c>
    </row>
    <row r="1853" customFormat="false" ht="15" hidden="false" customHeight="false" outlineLevel="0" collapsed="false">
      <c r="A1853" s="21" t="str">
        <f aca="false">IF(AND(Eingabe!$F$18&gt;0,Eingabe!$E$18&gt;=27),10,"")</f>
        <v/>
      </c>
      <c r="B1853" s="21" t="str">
        <f aca="false">IF(AND(Eingabe!$F$18&gt;0,Eingabe!$E$18&gt;=27),Eingabe!$B$18,"")</f>
        <v/>
      </c>
      <c r="C1853" s="21" t="str">
        <f aca="false">IF(AND(Eingabe!$F$18&gt;0,Eingabe!$E$18&gt;=27),Eingabe!$C$18&amp;"-Paz."&amp;TEXT(27,"000"),"")</f>
        <v/>
      </c>
      <c r="D1853" s="21" t="str">
        <f aca="false">IF(AND(Eingabe!$F$18&gt;0,Eingabe!$E$18&gt;=27),27,"")</f>
        <v/>
      </c>
      <c r="E1853" s="21" t="str">
        <f aca="false">IF(AND(Eingabe!$F$18&gt;0,Eingabe!$E$18&gt;=27),IF((Eingabe!$G$18)&lt;=9,1000+(Eingabe!$G$18)*100,3000)+27,"")</f>
        <v/>
      </c>
      <c r="F1853" s="21" t="str">
        <f aca="false">IF(AND(Eingabe!$F$18&gt;0,Eingabe!$E$18&gt;=27),"10."&amp;Eingabe!$D$18&amp;".27.0/24","")</f>
        <v/>
      </c>
      <c r="G1853" s="21" t="str">
        <f aca="false">IF(AND(Eingabe!$F$18&gt;0,Eingabe!$E$18&gt;=27),"10."&amp;Eingabe!$D$18&amp;".27.1","")</f>
        <v/>
      </c>
      <c r="H1853" s="21" t="str">
        <f aca="false">IF(AND(Eingabe!$F$18&gt;0,Eingabe!$E$18&gt;=27),"10."&amp;Eingabe!$D$18&amp;".27.10 – 10."&amp;Eingabe!$D$18&amp;".27.250","")</f>
        <v/>
      </c>
      <c r="I1853" s="21" t="str">
        <f aca="false">IF(AND(Eingabe!$F$18&gt;0,Eingabe!$E$18&gt;=27),Eingabe!$B$6&amp;"-"&amp;Eingabe!$C$18&amp;"-Pächter","")</f>
        <v/>
      </c>
      <c r="J1853" s="21" t="str">
        <f aca="false">IF(AND(Eingabe!$F$18&gt;0,Eingabe!$E$18&gt;=27),"PPSK: Passwort Parzelle 27","")</f>
        <v/>
      </c>
      <c r="K1853" s="21" t="str">
        <f aca="false">IF(AND(Eingabe!$F$18&gt;0,Eingabe!$E$18&gt;=27),"1. Gerät: 10."&amp;Eingabe!$D$18&amp;".27.10, 2. Gerät: .11","")</f>
        <v/>
      </c>
    </row>
    <row r="1854" customFormat="false" ht="15" hidden="false" customHeight="false" outlineLevel="0" collapsed="false">
      <c r="A1854" s="21" t="str">
        <f aca="false">IF(AND(Eingabe!$F$18&gt;0,Eingabe!$E$18&gt;=28),10,"")</f>
        <v/>
      </c>
      <c r="B1854" s="21" t="str">
        <f aca="false">IF(AND(Eingabe!$F$18&gt;0,Eingabe!$E$18&gt;=28),Eingabe!$B$18,"")</f>
        <v/>
      </c>
      <c r="C1854" s="21" t="str">
        <f aca="false">IF(AND(Eingabe!$F$18&gt;0,Eingabe!$E$18&gt;=28),Eingabe!$C$18&amp;"-Paz."&amp;TEXT(28,"000"),"")</f>
        <v/>
      </c>
      <c r="D1854" s="21" t="str">
        <f aca="false">IF(AND(Eingabe!$F$18&gt;0,Eingabe!$E$18&gt;=28),28,"")</f>
        <v/>
      </c>
      <c r="E1854" s="21" t="str">
        <f aca="false">IF(AND(Eingabe!$F$18&gt;0,Eingabe!$E$18&gt;=28),IF((Eingabe!$G$18)&lt;=9,1000+(Eingabe!$G$18)*100,3000)+28,"")</f>
        <v/>
      </c>
      <c r="F1854" s="21" t="str">
        <f aca="false">IF(AND(Eingabe!$F$18&gt;0,Eingabe!$E$18&gt;=28),"10."&amp;Eingabe!$D$18&amp;".28.0/24","")</f>
        <v/>
      </c>
      <c r="G1854" s="21" t="str">
        <f aca="false">IF(AND(Eingabe!$F$18&gt;0,Eingabe!$E$18&gt;=28),"10."&amp;Eingabe!$D$18&amp;".28.1","")</f>
        <v/>
      </c>
      <c r="H1854" s="21" t="str">
        <f aca="false">IF(AND(Eingabe!$F$18&gt;0,Eingabe!$E$18&gt;=28),"10."&amp;Eingabe!$D$18&amp;".28.10 – 10."&amp;Eingabe!$D$18&amp;".28.250","")</f>
        <v/>
      </c>
      <c r="I1854" s="21" t="str">
        <f aca="false">IF(AND(Eingabe!$F$18&gt;0,Eingabe!$E$18&gt;=28),Eingabe!$B$6&amp;"-"&amp;Eingabe!$C$18&amp;"-Pächter","")</f>
        <v/>
      </c>
      <c r="J1854" s="21" t="str">
        <f aca="false">IF(AND(Eingabe!$F$18&gt;0,Eingabe!$E$18&gt;=28),"PPSK: Passwort Parzelle 28","")</f>
        <v/>
      </c>
      <c r="K1854" s="21" t="str">
        <f aca="false">IF(AND(Eingabe!$F$18&gt;0,Eingabe!$E$18&gt;=28),"1. Gerät: 10."&amp;Eingabe!$D$18&amp;".28.10, 2. Gerät: .11","")</f>
        <v/>
      </c>
    </row>
    <row r="1855" customFormat="false" ht="15" hidden="false" customHeight="false" outlineLevel="0" collapsed="false">
      <c r="A1855" s="21" t="str">
        <f aca="false">IF(AND(Eingabe!$F$18&gt;0,Eingabe!$E$18&gt;=29),10,"")</f>
        <v/>
      </c>
      <c r="B1855" s="21" t="str">
        <f aca="false">IF(AND(Eingabe!$F$18&gt;0,Eingabe!$E$18&gt;=29),Eingabe!$B$18,"")</f>
        <v/>
      </c>
      <c r="C1855" s="21" t="str">
        <f aca="false">IF(AND(Eingabe!$F$18&gt;0,Eingabe!$E$18&gt;=29),Eingabe!$C$18&amp;"-Paz."&amp;TEXT(29,"000"),"")</f>
        <v/>
      </c>
      <c r="D1855" s="21" t="str">
        <f aca="false">IF(AND(Eingabe!$F$18&gt;0,Eingabe!$E$18&gt;=29),29,"")</f>
        <v/>
      </c>
      <c r="E1855" s="21" t="str">
        <f aca="false">IF(AND(Eingabe!$F$18&gt;0,Eingabe!$E$18&gt;=29),IF((Eingabe!$G$18)&lt;=9,1000+(Eingabe!$G$18)*100,3000)+29,"")</f>
        <v/>
      </c>
      <c r="F1855" s="21" t="str">
        <f aca="false">IF(AND(Eingabe!$F$18&gt;0,Eingabe!$E$18&gt;=29),"10."&amp;Eingabe!$D$18&amp;".29.0/24","")</f>
        <v/>
      </c>
      <c r="G1855" s="21" t="str">
        <f aca="false">IF(AND(Eingabe!$F$18&gt;0,Eingabe!$E$18&gt;=29),"10."&amp;Eingabe!$D$18&amp;".29.1","")</f>
        <v/>
      </c>
      <c r="H1855" s="21" t="str">
        <f aca="false">IF(AND(Eingabe!$F$18&gt;0,Eingabe!$E$18&gt;=29),"10."&amp;Eingabe!$D$18&amp;".29.10 – 10."&amp;Eingabe!$D$18&amp;".29.250","")</f>
        <v/>
      </c>
      <c r="I1855" s="21" t="str">
        <f aca="false">IF(AND(Eingabe!$F$18&gt;0,Eingabe!$E$18&gt;=29),Eingabe!$B$6&amp;"-"&amp;Eingabe!$C$18&amp;"-Pächter","")</f>
        <v/>
      </c>
      <c r="J1855" s="21" t="str">
        <f aca="false">IF(AND(Eingabe!$F$18&gt;0,Eingabe!$E$18&gt;=29),"PPSK: Passwort Parzelle 29","")</f>
        <v/>
      </c>
      <c r="K1855" s="21" t="str">
        <f aca="false">IF(AND(Eingabe!$F$18&gt;0,Eingabe!$E$18&gt;=29),"1. Gerät: 10."&amp;Eingabe!$D$18&amp;".29.10, 2. Gerät: .11","")</f>
        <v/>
      </c>
    </row>
    <row r="1856" customFormat="false" ht="15" hidden="false" customHeight="false" outlineLevel="0" collapsed="false">
      <c r="A1856" s="21" t="str">
        <f aca="false">IF(AND(Eingabe!$F$18&gt;0,Eingabe!$E$18&gt;=30),10,"")</f>
        <v/>
      </c>
      <c r="B1856" s="21" t="str">
        <f aca="false">IF(AND(Eingabe!$F$18&gt;0,Eingabe!$E$18&gt;=30),Eingabe!$B$18,"")</f>
        <v/>
      </c>
      <c r="C1856" s="21" t="str">
        <f aca="false">IF(AND(Eingabe!$F$18&gt;0,Eingabe!$E$18&gt;=30),Eingabe!$C$18&amp;"-Paz."&amp;TEXT(30,"000"),"")</f>
        <v/>
      </c>
      <c r="D1856" s="21" t="str">
        <f aca="false">IF(AND(Eingabe!$F$18&gt;0,Eingabe!$E$18&gt;=30),30,"")</f>
        <v/>
      </c>
      <c r="E1856" s="21" t="str">
        <f aca="false">IF(AND(Eingabe!$F$18&gt;0,Eingabe!$E$18&gt;=30),IF((Eingabe!$G$18)&lt;=9,1000+(Eingabe!$G$18)*100,3000)+30,"")</f>
        <v/>
      </c>
      <c r="F1856" s="21" t="str">
        <f aca="false">IF(AND(Eingabe!$F$18&gt;0,Eingabe!$E$18&gt;=30),"10."&amp;Eingabe!$D$18&amp;".30.0/24","")</f>
        <v/>
      </c>
      <c r="G1856" s="21" t="str">
        <f aca="false">IF(AND(Eingabe!$F$18&gt;0,Eingabe!$E$18&gt;=30),"10."&amp;Eingabe!$D$18&amp;".30.1","")</f>
        <v/>
      </c>
      <c r="H1856" s="21" t="str">
        <f aca="false">IF(AND(Eingabe!$F$18&gt;0,Eingabe!$E$18&gt;=30),"10."&amp;Eingabe!$D$18&amp;".30.10 – 10."&amp;Eingabe!$D$18&amp;".30.250","")</f>
        <v/>
      </c>
      <c r="I1856" s="21" t="str">
        <f aca="false">IF(AND(Eingabe!$F$18&gt;0,Eingabe!$E$18&gt;=30),Eingabe!$B$6&amp;"-"&amp;Eingabe!$C$18&amp;"-Pächter","")</f>
        <v/>
      </c>
      <c r="J1856" s="21" t="str">
        <f aca="false">IF(AND(Eingabe!$F$18&gt;0,Eingabe!$E$18&gt;=30),"PPSK: Passwort Parzelle 30","")</f>
        <v/>
      </c>
      <c r="K1856" s="21" t="str">
        <f aca="false">IF(AND(Eingabe!$F$18&gt;0,Eingabe!$E$18&gt;=30),"1. Gerät: 10."&amp;Eingabe!$D$18&amp;".30.10, 2. Gerät: .11","")</f>
        <v/>
      </c>
    </row>
    <row r="1857" customFormat="false" ht="15" hidden="false" customHeight="false" outlineLevel="0" collapsed="false">
      <c r="A1857" s="21" t="str">
        <f aca="false">IF(AND(Eingabe!$F$18&gt;0,Eingabe!$E$18&gt;=31),10,"")</f>
        <v/>
      </c>
      <c r="B1857" s="21" t="str">
        <f aca="false">IF(AND(Eingabe!$F$18&gt;0,Eingabe!$E$18&gt;=31),Eingabe!$B$18,"")</f>
        <v/>
      </c>
      <c r="C1857" s="21" t="str">
        <f aca="false">IF(AND(Eingabe!$F$18&gt;0,Eingabe!$E$18&gt;=31),Eingabe!$C$18&amp;"-Paz."&amp;TEXT(31,"000"),"")</f>
        <v/>
      </c>
      <c r="D1857" s="21" t="str">
        <f aca="false">IF(AND(Eingabe!$F$18&gt;0,Eingabe!$E$18&gt;=31),31,"")</f>
        <v/>
      </c>
      <c r="E1857" s="21" t="str">
        <f aca="false">IF(AND(Eingabe!$F$18&gt;0,Eingabe!$E$18&gt;=31),IF((Eingabe!$G$18)&lt;=9,1000+(Eingabe!$G$18)*100,3000)+31,"")</f>
        <v/>
      </c>
      <c r="F1857" s="21" t="str">
        <f aca="false">IF(AND(Eingabe!$F$18&gt;0,Eingabe!$E$18&gt;=31),"10."&amp;Eingabe!$D$18&amp;".31.0/24","")</f>
        <v/>
      </c>
      <c r="G1857" s="21" t="str">
        <f aca="false">IF(AND(Eingabe!$F$18&gt;0,Eingabe!$E$18&gt;=31),"10."&amp;Eingabe!$D$18&amp;".31.1","")</f>
        <v/>
      </c>
      <c r="H1857" s="21" t="str">
        <f aca="false">IF(AND(Eingabe!$F$18&gt;0,Eingabe!$E$18&gt;=31),"10."&amp;Eingabe!$D$18&amp;".31.10 – 10."&amp;Eingabe!$D$18&amp;".31.250","")</f>
        <v/>
      </c>
      <c r="I1857" s="21" t="str">
        <f aca="false">IF(AND(Eingabe!$F$18&gt;0,Eingabe!$E$18&gt;=31),Eingabe!$B$6&amp;"-"&amp;Eingabe!$C$18&amp;"-Pächter","")</f>
        <v/>
      </c>
      <c r="J1857" s="21" t="str">
        <f aca="false">IF(AND(Eingabe!$F$18&gt;0,Eingabe!$E$18&gt;=31),"PPSK: Passwort Parzelle 31","")</f>
        <v/>
      </c>
      <c r="K1857" s="21" t="str">
        <f aca="false">IF(AND(Eingabe!$F$18&gt;0,Eingabe!$E$18&gt;=31),"1. Gerät: 10."&amp;Eingabe!$D$18&amp;".31.10, 2. Gerät: .11","")</f>
        <v/>
      </c>
    </row>
    <row r="1858" customFormat="false" ht="15" hidden="false" customHeight="false" outlineLevel="0" collapsed="false">
      <c r="A1858" s="21" t="str">
        <f aca="false">IF(AND(Eingabe!$F$18&gt;0,Eingabe!$E$18&gt;=32),10,"")</f>
        <v/>
      </c>
      <c r="B1858" s="21" t="str">
        <f aca="false">IF(AND(Eingabe!$F$18&gt;0,Eingabe!$E$18&gt;=32),Eingabe!$B$18,"")</f>
        <v/>
      </c>
      <c r="C1858" s="21" t="str">
        <f aca="false">IF(AND(Eingabe!$F$18&gt;0,Eingabe!$E$18&gt;=32),Eingabe!$C$18&amp;"-Paz."&amp;TEXT(32,"000"),"")</f>
        <v/>
      </c>
      <c r="D1858" s="21" t="str">
        <f aca="false">IF(AND(Eingabe!$F$18&gt;0,Eingabe!$E$18&gt;=32),32,"")</f>
        <v/>
      </c>
      <c r="E1858" s="21" t="str">
        <f aca="false">IF(AND(Eingabe!$F$18&gt;0,Eingabe!$E$18&gt;=32),IF((Eingabe!$G$18)&lt;=9,1000+(Eingabe!$G$18)*100,3000)+32,"")</f>
        <v/>
      </c>
      <c r="F1858" s="21" t="str">
        <f aca="false">IF(AND(Eingabe!$F$18&gt;0,Eingabe!$E$18&gt;=32),"10."&amp;Eingabe!$D$18&amp;".32.0/24","")</f>
        <v/>
      </c>
      <c r="G1858" s="21" t="str">
        <f aca="false">IF(AND(Eingabe!$F$18&gt;0,Eingabe!$E$18&gt;=32),"10."&amp;Eingabe!$D$18&amp;".32.1","")</f>
        <v/>
      </c>
      <c r="H1858" s="21" t="str">
        <f aca="false">IF(AND(Eingabe!$F$18&gt;0,Eingabe!$E$18&gt;=32),"10."&amp;Eingabe!$D$18&amp;".32.10 – 10."&amp;Eingabe!$D$18&amp;".32.250","")</f>
        <v/>
      </c>
      <c r="I1858" s="21" t="str">
        <f aca="false">IF(AND(Eingabe!$F$18&gt;0,Eingabe!$E$18&gt;=32),Eingabe!$B$6&amp;"-"&amp;Eingabe!$C$18&amp;"-Pächter","")</f>
        <v/>
      </c>
      <c r="J1858" s="21" t="str">
        <f aca="false">IF(AND(Eingabe!$F$18&gt;0,Eingabe!$E$18&gt;=32),"PPSK: Passwort Parzelle 32","")</f>
        <v/>
      </c>
      <c r="K1858" s="21" t="str">
        <f aca="false">IF(AND(Eingabe!$F$18&gt;0,Eingabe!$E$18&gt;=32),"1. Gerät: 10."&amp;Eingabe!$D$18&amp;".32.10, 2. Gerät: .11","")</f>
        <v/>
      </c>
    </row>
    <row r="1859" customFormat="false" ht="15" hidden="false" customHeight="false" outlineLevel="0" collapsed="false">
      <c r="A1859" s="21" t="str">
        <f aca="false">IF(AND(Eingabe!$F$18&gt;0,Eingabe!$E$18&gt;=33),10,"")</f>
        <v/>
      </c>
      <c r="B1859" s="21" t="str">
        <f aca="false">IF(AND(Eingabe!$F$18&gt;0,Eingabe!$E$18&gt;=33),Eingabe!$B$18,"")</f>
        <v/>
      </c>
      <c r="C1859" s="21" t="str">
        <f aca="false">IF(AND(Eingabe!$F$18&gt;0,Eingabe!$E$18&gt;=33),Eingabe!$C$18&amp;"-Paz."&amp;TEXT(33,"000"),"")</f>
        <v/>
      </c>
      <c r="D1859" s="21" t="str">
        <f aca="false">IF(AND(Eingabe!$F$18&gt;0,Eingabe!$E$18&gt;=33),33,"")</f>
        <v/>
      </c>
      <c r="E1859" s="21" t="str">
        <f aca="false">IF(AND(Eingabe!$F$18&gt;0,Eingabe!$E$18&gt;=33),IF((Eingabe!$G$18)&lt;=9,1000+(Eingabe!$G$18)*100,3000)+33,"")</f>
        <v/>
      </c>
      <c r="F1859" s="21" t="str">
        <f aca="false">IF(AND(Eingabe!$F$18&gt;0,Eingabe!$E$18&gt;=33),"10."&amp;Eingabe!$D$18&amp;".33.0/24","")</f>
        <v/>
      </c>
      <c r="G1859" s="21" t="str">
        <f aca="false">IF(AND(Eingabe!$F$18&gt;0,Eingabe!$E$18&gt;=33),"10."&amp;Eingabe!$D$18&amp;".33.1","")</f>
        <v/>
      </c>
      <c r="H1859" s="21" t="str">
        <f aca="false">IF(AND(Eingabe!$F$18&gt;0,Eingabe!$E$18&gt;=33),"10."&amp;Eingabe!$D$18&amp;".33.10 – 10."&amp;Eingabe!$D$18&amp;".33.250","")</f>
        <v/>
      </c>
      <c r="I1859" s="21" t="str">
        <f aca="false">IF(AND(Eingabe!$F$18&gt;0,Eingabe!$E$18&gt;=33),Eingabe!$B$6&amp;"-"&amp;Eingabe!$C$18&amp;"-Pächter","")</f>
        <v/>
      </c>
      <c r="J1859" s="21" t="str">
        <f aca="false">IF(AND(Eingabe!$F$18&gt;0,Eingabe!$E$18&gt;=33),"PPSK: Passwort Parzelle 33","")</f>
        <v/>
      </c>
      <c r="K1859" s="21" t="str">
        <f aca="false">IF(AND(Eingabe!$F$18&gt;0,Eingabe!$E$18&gt;=33),"1. Gerät: 10."&amp;Eingabe!$D$18&amp;".33.10, 2. Gerät: .11","")</f>
        <v/>
      </c>
    </row>
    <row r="1860" customFormat="false" ht="15" hidden="false" customHeight="false" outlineLevel="0" collapsed="false">
      <c r="A1860" s="21" t="str">
        <f aca="false">IF(AND(Eingabe!$F$18&gt;0,Eingabe!$E$18&gt;=34),10,"")</f>
        <v/>
      </c>
      <c r="B1860" s="21" t="str">
        <f aca="false">IF(AND(Eingabe!$F$18&gt;0,Eingabe!$E$18&gt;=34),Eingabe!$B$18,"")</f>
        <v/>
      </c>
      <c r="C1860" s="21" t="str">
        <f aca="false">IF(AND(Eingabe!$F$18&gt;0,Eingabe!$E$18&gt;=34),Eingabe!$C$18&amp;"-Paz."&amp;TEXT(34,"000"),"")</f>
        <v/>
      </c>
      <c r="D1860" s="21" t="str">
        <f aca="false">IF(AND(Eingabe!$F$18&gt;0,Eingabe!$E$18&gt;=34),34,"")</f>
        <v/>
      </c>
      <c r="E1860" s="21" t="str">
        <f aca="false">IF(AND(Eingabe!$F$18&gt;0,Eingabe!$E$18&gt;=34),IF((Eingabe!$G$18)&lt;=9,1000+(Eingabe!$G$18)*100,3000)+34,"")</f>
        <v/>
      </c>
      <c r="F1860" s="21" t="str">
        <f aca="false">IF(AND(Eingabe!$F$18&gt;0,Eingabe!$E$18&gt;=34),"10."&amp;Eingabe!$D$18&amp;".34.0/24","")</f>
        <v/>
      </c>
      <c r="G1860" s="21" t="str">
        <f aca="false">IF(AND(Eingabe!$F$18&gt;0,Eingabe!$E$18&gt;=34),"10."&amp;Eingabe!$D$18&amp;".34.1","")</f>
        <v/>
      </c>
      <c r="H1860" s="21" t="str">
        <f aca="false">IF(AND(Eingabe!$F$18&gt;0,Eingabe!$E$18&gt;=34),"10."&amp;Eingabe!$D$18&amp;".34.10 – 10."&amp;Eingabe!$D$18&amp;".34.250","")</f>
        <v/>
      </c>
      <c r="I1860" s="21" t="str">
        <f aca="false">IF(AND(Eingabe!$F$18&gt;0,Eingabe!$E$18&gt;=34),Eingabe!$B$6&amp;"-"&amp;Eingabe!$C$18&amp;"-Pächter","")</f>
        <v/>
      </c>
      <c r="J1860" s="21" t="str">
        <f aca="false">IF(AND(Eingabe!$F$18&gt;0,Eingabe!$E$18&gt;=34),"PPSK: Passwort Parzelle 34","")</f>
        <v/>
      </c>
      <c r="K1860" s="21" t="str">
        <f aca="false">IF(AND(Eingabe!$F$18&gt;0,Eingabe!$E$18&gt;=34),"1. Gerät: 10."&amp;Eingabe!$D$18&amp;".34.10, 2. Gerät: .11","")</f>
        <v/>
      </c>
    </row>
    <row r="1861" customFormat="false" ht="15" hidden="false" customHeight="false" outlineLevel="0" collapsed="false">
      <c r="A1861" s="21" t="str">
        <f aca="false">IF(AND(Eingabe!$F$18&gt;0,Eingabe!$E$18&gt;=35),10,"")</f>
        <v/>
      </c>
      <c r="B1861" s="21" t="str">
        <f aca="false">IF(AND(Eingabe!$F$18&gt;0,Eingabe!$E$18&gt;=35),Eingabe!$B$18,"")</f>
        <v/>
      </c>
      <c r="C1861" s="21" t="str">
        <f aca="false">IF(AND(Eingabe!$F$18&gt;0,Eingabe!$E$18&gt;=35),Eingabe!$C$18&amp;"-Paz."&amp;TEXT(35,"000"),"")</f>
        <v/>
      </c>
      <c r="D1861" s="21" t="str">
        <f aca="false">IF(AND(Eingabe!$F$18&gt;0,Eingabe!$E$18&gt;=35),35,"")</f>
        <v/>
      </c>
      <c r="E1861" s="21" t="str">
        <f aca="false">IF(AND(Eingabe!$F$18&gt;0,Eingabe!$E$18&gt;=35),IF((Eingabe!$G$18)&lt;=9,1000+(Eingabe!$G$18)*100,3000)+35,"")</f>
        <v/>
      </c>
      <c r="F1861" s="21" t="str">
        <f aca="false">IF(AND(Eingabe!$F$18&gt;0,Eingabe!$E$18&gt;=35),"10."&amp;Eingabe!$D$18&amp;".35.0/24","")</f>
        <v/>
      </c>
      <c r="G1861" s="21" t="str">
        <f aca="false">IF(AND(Eingabe!$F$18&gt;0,Eingabe!$E$18&gt;=35),"10."&amp;Eingabe!$D$18&amp;".35.1","")</f>
        <v/>
      </c>
      <c r="H1861" s="21" t="str">
        <f aca="false">IF(AND(Eingabe!$F$18&gt;0,Eingabe!$E$18&gt;=35),"10."&amp;Eingabe!$D$18&amp;".35.10 – 10."&amp;Eingabe!$D$18&amp;".35.250","")</f>
        <v/>
      </c>
      <c r="I1861" s="21" t="str">
        <f aca="false">IF(AND(Eingabe!$F$18&gt;0,Eingabe!$E$18&gt;=35),Eingabe!$B$6&amp;"-"&amp;Eingabe!$C$18&amp;"-Pächter","")</f>
        <v/>
      </c>
      <c r="J1861" s="21" t="str">
        <f aca="false">IF(AND(Eingabe!$F$18&gt;0,Eingabe!$E$18&gt;=35),"PPSK: Passwort Parzelle 35","")</f>
        <v/>
      </c>
      <c r="K1861" s="21" t="str">
        <f aca="false">IF(AND(Eingabe!$F$18&gt;0,Eingabe!$E$18&gt;=35),"1. Gerät: 10."&amp;Eingabe!$D$18&amp;".35.10, 2. Gerät: .11","")</f>
        <v/>
      </c>
    </row>
    <row r="1862" customFormat="false" ht="15" hidden="false" customHeight="false" outlineLevel="0" collapsed="false">
      <c r="A1862" s="21" t="str">
        <f aca="false">IF(AND(Eingabe!$F$18&gt;0,Eingabe!$E$18&gt;=36),10,"")</f>
        <v/>
      </c>
      <c r="B1862" s="21" t="str">
        <f aca="false">IF(AND(Eingabe!$F$18&gt;0,Eingabe!$E$18&gt;=36),Eingabe!$B$18,"")</f>
        <v/>
      </c>
      <c r="C1862" s="21" t="str">
        <f aca="false">IF(AND(Eingabe!$F$18&gt;0,Eingabe!$E$18&gt;=36),Eingabe!$C$18&amp;"-Paz."&amp;TEXT(36,"000"),"")</f>
        <v/>
      </c>
      <c r="D1862" s="21" t="str">
        <f aca="false">IF(AND(Eingabe!$F$18&gt;0,Eingabe!$E$18&gt;=36),36,"")</f>
        <v/>
      </c>
      <c r="E1862" s="21" t="str">
        <f aca="false">IF(AND(Eingabe!$F$18&gt;0,Eingabe!$E$18&gt;=36),IF((Eingabe!$G$18)&lt;=9,1000+(Eingabe!$G$18)*100,3000)+36,"")</f>
        <v/>
      </c>
      <c r="F1862" s="21" t="str">
        <f aca="false">IF(AND(Eingabe!$F$18&gt;0,Eingabe!$E$18&gt;=36),"10."&amp;Eingabe!$D$18&amp;".36.0/24","")</f>
        <v/>
      </c>
      <c r="G1862" s="21" t="str">
        <f aca="false">IF(AND(Eingabe!$F$18&gt;0,Eingabe!$E$18&gt;=36),"10."&amp;Eingabe!$D$18&amp;".36.1","")</f>
        <v/>
      </c>
      <c r="H1862" s="21" t="str">
        <f aca="false">IF(AND(Eingabe!$F$18&gt;0,Eingabe!$E$18&gt;=36),"10."&amp;Eingabe!$D$18&amp;".36.10 – 10."&amp;Eingabe!$D$18&amp;".36.250","")</f>
        <v/>
      </c>
      <c r="I1862" s="21" t="str">
        <f aca="false">IF(AND(Eingabe!$F$18&gt;0,Eingabe!$E$18&gt;=36),Eingabe!$B$6&amp;"-"&amp;Eingabe!$C$18&amp;"-Pächter","")</f>
        <v/>
      </c>
      <c r="J1862" s="21" t="str">
        <f aca="false">IF(AND(Eingabe!$F$18&gt;0,Eingabe!$E$18&gt;=36),"PPSK: Passwort Parzelle 36","")</f>
        <v/>
      </c>
      <c r="K1862" s="21" t="str">
        <f aca="false">IF(AND(Eingabe!$F$18&gt;0,Eingabe!$E$18&gt;=36),"1. Gerät: 10."&amp;Eingabe!$D$18&amp;".36.10, 2. Gerät: .11","")</f>
        <v/>
      </c>
    </row>
    <row r="1863" customFormat="false" ht="15" hidden="false" customHeight="false" outlineLevel="0" collapsed="false">
      <c r="A1863" s="21" t="str">
        <f aca="false">IF(AND(Eingabe!$F$18&gt;0,Eingabe!$E$18&gt;=37),10,"")</f>
        <v/>
      </c>
      <c r="B1863" s="21" t="str">
        <f aca="false">IF(AND(Eingabe!$F$18&gt;0,Eingabe!$E$18&gt;=37),Eingabe!$B$18,"")</f>
        <v/>
      </c>
      <c r="C1863" s="21" t="str">
        <f aca="false">IF(AND(Eingabe!$F$18&gt;0,Eingabe!$E$18&gt;=37),Eingabe!$C$18&amp;"-Paz."&amp;TEXT(37,"000"),"")</f>
        <v/>
      </c>
      <c r="D1863" s="21" t="str">
        <f aca="false">IF(AND(Eingabe!$F$18&gt;0,Eingabe!$E$18&gt;=37),37,"")</f>
        <v/>
      </c>
      <c r="E1863" s="21" t="str">
        <f aca="false">IF(AND(Eingabe!$F$18&gt;0,Eingabe!$E$18&gt;=37),IF((Eingabe!$G$18)&lt;=9,1000+(Eingabe!$G$18)*100,3000)+37,"")</f>
        <v/>
      </c>
      <c r="F1863" s="21" t="str">
        <f aca="false">IF(AND(Eingabe!$F$18&gt;0,Eingabe!$E$18&gt;=37),"10."&amp;Eingabe!$D$18&amp;".37.0/24","")</f>
        <v/>
      </c>
      <c r="G1863" s="21" t="str">
        <f aca="false">IF(AND(Eingabe!$F$18&gt;0,Eingabe!$E$18&gt;=37),"10."&amp;Eingabe!$D$18&amp;".37.1","")</f>
        <v/>
      </c>
      <c r="H1863" s="21" t="str">
        <f aca="false">IF(AND(Eingabe!$F$18&gt;0,Eingabe!$E$18&gt;=37),"10."&amp;Eingabe!$D$18&amp;".37.10 – 10."&amp;Eingabe!$D$18&amp;".37.250","")</f>
        <v/>
      </c>
      <c r="I1863" s="21" t="str">
        <f aca="false">IF(AND(Eingabe!$F$18&gt;0,Eingabe!$E$18&gt;=37),Eingabe!$B$6&amp;"-"&amp;Eingabe!$C$18&amp;"-Pächter","")</f>
        <v/>
      </c>
      <c r="J1863" s="21" t="str">
        <f aca="false">IF(AND(Eingabe!$F$18&gt;0,Eingabe!$E$18&gt;=37),"PPSK: Passwort Parzelle 37","")</f>
        <v/>
      </c>
      <c r="K1863" s="21" t="str">
        <f aca="false">IF(AND(Eingabe!$F$18&gt;0,Eingabe!$E$18&gt;=37),"1. Gerät: 10."&amp;Eingabe!$D$18&amp;".37.10, 2. Gerät: .11","")</f>
        <v/>
      </c>
    </row>
    <row r="1864" customFormat="false" ht="15" hidden="false" customHeight="false" outlineLevel="0" collapsed="false">
      <c r="A1864" s="21" t="str">
        <f aca="false">IF(AND(Eingabe!$F$18&gt;0,Eingabe!$E$18&gt;=38),10,"")</f>
        <v/>
      </c>
      <c r="B1864" s="21" t="str">
        <f aca="false">IF(AND(Eingabe!$F$18&gt;0,Eingabe!$E$18&gt;=38),Eingabe!$B$18,"")</f>
        <v/>
      </c>
      <c r="C1864" s="21" t="str">
        <f aca="false">IF(AND(Eingabe!$F$18&gt;0,Eingabe!$E$18&gt;=38),Eingabe!$C$18&amp;"-Paz."&amp;TEXT(38,"000"),"")</f>
        <v/>
      </c>
      <c r="D1864" s="21" t="str">
        <f aca="false">IF(AND(Eingabe!$F$18&gt;0,Eingabe!$E$18&gt;=38),38,"")</f>
        <v/>
      </c>
      <c r="E1864" s="21" t="str">
        <f aca="false">IF(AND(Eingabe!$F$18&gt;0,Eingabe!$E$18&gt;=38),IF((Eingabe!$G$18)&lt;=9,1000+(Eingabe!$G$18)*100,3000)+38,"")</f>
        <v/>
      </c>
      <c r="F1864" s="21" t="str">
        <f aca="false">IF(AND(Eingabe!$F$18&gt;0,Eingabe!$E$18&gt;=38),"10."&amp;Eingabe!$D$18&amp;".38.0/24","")</f>
        <v/>
      </c>
      <c r="G1864" s="21" t="str">
        <f aca="false">IF(AND(Eingabe!$F$18&gt;0,Eingabe!$E$18&gt;=38),"10."&amp;Eingabe!$D$18&amp;".38.1","")</f>
        <v/>
      </c>
      <c r="H1864" s="21" t="str">
        <f aca="false">IF(AND(Eingabe!$F$18&gt;0,Eingabe!$E$18&gt;=38),"10."&amp;Eingabe!$D$18&amp;".38.10 – 10."&amp;Eingabe!$D$18&amp;".38.250","")</f>
        <v/>
      </c>
      <c r="I1864" s="21" t="str">
        <f aca="false">IF(AND(Eingabe!$F$18&gt;0,Eingabe!$E$18&gt;=38),Eingabe!$B$6&amp;"-"&amp;Eingabe!$C$18&amp;"-Pächter","")</f>
        <v/>
      </c>
      <c r="J1864" s="21" t="str">
        <f aca="false">IF(AND(Eingabe!$F$18&gt;0,Eingabe!$E$18&gt;=38),"PPSK: Passwort Parzelle 38","")</f>
        <v/>
      </c>
      <c r="K1864" s="21" t="str">
        <f aca="false">IF(AND(Eingabe!$F$18&gt;0,Eingabe!$E$18&gt;=38),"1. Gerät: 10."&amp;Eingabe!$D$18&amp;".38.10, 2. Gerät: .11","")</f>
        <v/>
      </c>
    </row>
    <row r="1865" customFormat="false" ht="15" hidden="false" customHeight="false" outlineLevel="0" collapsed="false">
      <c r="A1865" s="21" t="str">
        <f aca="false">IF(AND(Eingabe!$F$18&gt;0,Eingabe!$E$18&gt;=39),10,"")</f>
        <v/>
      </c>
      <c r="B1865" s="21" t="str">
        <f aca="false">IF(AND(Eingabe!$F$18&gt;0,Eingabe!$E$18&gt;=39),Eingabe!$B$18,"")</f>
        <v/>
      </c>
      <c r="C1865" s="21" t="str">
        <f aca="false">IF(AND(Eingabe!$F$18&gt;0,Eingabe!$E$18&gt;=39),Eingabe!$C$18&amp;"-Paz."&amp;TEXT(39,"000"),"")</f>
        <v/>
      </c>
      <c r="D1865" s="21" t="str">
        <f aca="false">IF(AND(Eingabe!$F$18&gt;0,Eingabe!$E$18&gt;=39),39,"")</f>
        <v/>
      </c>
      <c r="E1865" s="21" t="str">
        <f aca="false">IF(AND(Eingabe!$F$18&gt;0,Eingabe!$E$18&gt;=39),IF((Eingabe!$G$18)&lt;=9,1000+(Eingabe!$G$18)*100,3000)+39,"")</f>
        <v/>
      </c>
      <c r="F1865" s="21" t="str">
        <f aca="false">IF(AND(Eingabe!$F$18&gt;0,Eingabe!$E$18&gt;=39),"10."&amp;Eingabe!$D$18&amp;".39.0/24","")</f>
        <v/>
      </c>
      <c r="G1865" s="21" t="str">
        <f aca="false">IF(AND(Eingabe!$F$18&gt;0,Eingabe!$E$18&gt;=39),"10."&amp;Eingabe!$D$18&amp;".39.1","")</f>
        <v/>
      </c>
      <c r="H1865" s="21" t="str">
        <f aca="false">IF(AND(Eingabe!$F$18&gt;0,Eingabe!$E$18&gt;=39),"10."&amp;Eingabe!$D$18&amp;".39.10 – 10."&amp;Eingabe!$D$18&amp;".39.250","")</f>
        <v/>
      </c>
      <c r="I1865" s="21" t="str">
        <f aca="false">IF(AND(Eingabe!$F$18&gt;0,Eingabe!$E$18&gt;=39),Eingabe!$B$6&amp;"-"&amp;Eingabe!$C$18&amp;"-Pächter","")</f>
        <v/>
      </c>
      <c r="J1865" s="21" t="str">
        <f aca="false">IF(AND(Eingabe!$F$18&gt;0,Eingabe!$E$18&gt;=39),"PPSK: Passwort Parzelle 39","")</f>
        <v/>
      </c>
      <c r="K1865" s="21" t="str">
        <f aca="false">IF(AND(Eingabe!$F$18&gt;0,Eingabe!$E$18&gt;=39),"1. Gerät: 10."&amp;Eingabe!$D$18&amp;".39.10, 2. Gerät: .11","")</f>
        <v/>
      </c>
    </row>
    <row r="1866" customFormat="false" ht="15" hidden="false" customHeight="false" outlineLevel="0" collapsed="false">
      <c r="A1866" s="21" t="str">
        <f aca="false">IF(AND(Eingabe!$F$18&gt;0,Eingabe!$E$18&gt;=40),10,"")</f>
        <v/>
      </c>
      <c r="B1866" s="21" t="str">
        <f aca="false">IF(AND(Eingabe!$F$18&gt;0,Eingabe!$E$18&gt;=40),Eingabe!$B$18,"")</f>
        <v/>
      </c>
      <c r="C1866" s="21" t="str">
        <f aca="false">IF(AND(Eingabe!$F$18&gt;0,Eingabe!$E$18&gt;=40),Eingabe!$C$18&amp;"-Paz."&amp;TEXT(40,"000"),"")</f>
        <v/>
      </c>
      <c r="D1866" s="21" t="str">
        <f aca="false">IF(AND(Eingabe!$F$18&gt;0,Eingabe!$E$18&gt;=40),40,"")</f>
        <v/>
      </c>
      <c r="E1866" s="21" t="str">
        <f aca="false">IF(AND(Eingabe!$F$18&gt;0,Eingabe!$E$18&gt;=40),IF((Eingabe!$G$18)&lt;=9,1000+(Eingabe!$G$18)*100,3000)+40,"")</f>
        <v/>
      </c>
      <c r="F1866" s="21" t="str">
        <f aca="false">IF(AND(Eingabe!$F$18&gt;0,Eingabe!$E$18&gt;=40),"10."&amp;Eingabe!$D$18&amp;".40.0/24","")</f>
        <v/>
      </c>
      <c r="G1866" s="21" t="str">
        <f aca="false">IF(AND(Eingabe!$F$18&gt;0,Eingabe!$E$18&gt;=40),"10."&amp;Eingabe!$D$18&amp;".40.1","")</f>
        <v/>
      </c>
      <c r="H1866" s="21" t="str">
        <f aca="false">IF(AND(Eingabe!$F$18&gt;0,Eingabe!$E$18&gt;=40),"10."&amp;Eingabe!$D$18&amp;".40.10 – 10."&amp;Eingabe!$D$18&amp;".40.250","")</f>
        <v/>
      </c>
      <c r="I1866" s="21" t="str">
        <f aca="false">IF(AND(Eingabe!$F$18&gt;0,Eingabe!$E$18&gt;=40),Eingabe!$B$6&amp;"-"&amp;Eingabe!$C$18&amp;"-Pächter","")</f>
        <v/>
      </c>
      <c r="J1866" s="21" t="str">
        <f aca="false">IF(AND(Eingabe!$F$18&gt;0,Eingabe!$E$18&gt;=40),"PPSK: Passwort Parzelle 40","")</f>
        <v/>
      </c>
      <c r="K1866" s="21" t="str">
        <f aca="false">IF(AND(Eingabe!$F$18&gt;0,Eingabe!$E$18&gt;=40),"1. Gerät: 10."&amp;Eingabe!$D$18&amp;".40.10, 2. Gerät: .11","")</f>
        <v/>
      </c>
    </row>
    <row r="1867" customFormat="false" ht="15" hidden="false" customHeight="false" outlineLevel="0" collapsed="false">
      <c r="A1867" s="21" t="str">
        <f aca="false">IF(AND(Eingabe!$F$18&gt;0,Eingabe!$E$18&gt;=41),10,"")</f>
        <v/>
      </c>
      <c r="B1867" s="21" t="str">
        <f aca="false">IF(AND(Eingabe!$F$18&gt;0,Eingabe!$E$18&gt;=41),Eingabe!$B$18,"")</f>
        <v/>
      </c>
      <c r="C1867" s="21" t="str">
        <f aca="false">IF(AND(Eingabe!$F$18&gt;0,Eingabe!$E$18&gt;=41),Eingabe!$C$18&amp;"-Paz."&amp;TEXT(41,"000"),"")</f>
        <v/>
      </c>
      <c r="D1867" s="21" t="str">
        <f aca="false">IF(AND(Eingabe!$F$18&gt;0,Eingabe!$E$18&gt;=41),41,"")</f>
        <v/>
      </c>
      <c r="E1867" s="21" t="str">
        <f aca="false">IF(AND(Eingabe!$F$18&gt;0,Eingabe!$E$18&gt;=41),IF((Eingabe!$G$18)&lt;=9,1000+(Eingabe!$G$18)*100,3000)+41,"")</f>
        <v/>
      </c>
      <c r="F1867" s="21" t="str">
        <f aca="false">IF(AND(Eingabe!$F$18&gt;0,Eingabe!$E$18&gt;=41),"10."&amp;Eingabe!$D$18&amp;".41.0/24","")</f>
        <v/>
      </c>
      <c r="G1867" s="21" t="str">
        <f aca="false">IF(AND(Eingabe!$F$18&gt;0,Eingabe!$E$18&gt;=41),"10."&amp;Eingabe!$D$18&amp;".41.1","")</f>
        <v/>
      </c>
      <c r="H1867" s="21" t="str">
        <f aca="false">IF(AND(Eingabe!$F$18&gt;0,Eingabe!$E$18&gt;=41),"10."&amp;Eingabe!$D$18&amp;".41.10 – 10."&amp;Eingabe!$D$18&amp;".41.250","")</f>
        <v/>
      </c>
      <c r="I1867" s="21" t="str">
        <f aca="false">IF(AND(Eingabe!$F$18&gt;0,Eingabe!$E$18&gt;=41),Eingabe!$B$6&amp;"-"&amp;Eingabe!$C$18&amp;"-Pächter","")</f>
        <v/>
      </c>
      <c r="J1867" s="21" t="str">
        <f aca="false">IF(AND(Eingabe!$F$18&gt;0,Eingabe!$E$18&gt;=41),"PPSK: Passwort Parzelle 41","")</f>
        <v/>
      </c>
      <c r="K1867" s="21" t="str">
        <f aca="false">IF(AND(Eingabe!$F$18&gt;0,Eingabe!$E$18&gt;=41),"1. Gerät: 10."&amp;Eingabe!$D$18&amp;".41.10, 2. Gerät: .11","")</f>
        <v/>
      </c>
    </row>
    <row r="1868" customFormat="false" ht="15" hidden="false" customHeight="false" outlineLevel="0" collapsed="false">
      <c r="A1868" s="21" t="str">
        <f aca="false">IF(AND(Eingabe!$F$18&gt;0,Eingabe!$E$18&gt;=42),10,"")</f>
        <v/>
      </c>
      <c r="B1868" s="21" t="str">
        <f aca="false">IF(AND(Eingabe!$F$18&gt;0,Eingabe!$E$18&gt;=42),Eingabe!$B$18,"")</f>
        <v/>
      </c>
      <c r="C1868" s="21" t="str">
        <f aca="false">IF(AND(Eingabe!$F$18&gt;0,Eingabe!$E$18&gt;=42),Eingabe!$C$18&amp;"-Paz."&amp;TEXT(42,"000"),"")</f>
        <v/>
      </c>
      <c r="D1868" s="21" t="str">
        <f aca="false">IF(AND(Eingabe!$F$18&gt;0,Eingabe!$E$18&gt;=42),42,"")</f>
        <v/>
      </c>
      <c r="E1868" s="21" t="str">
        <f aca="false">IF(AND(Eingabe!$F$18&gt;0,Eingabe!$E$18&gt;=42),IF((Eingabe!$G$18)&lt;=9,1000+(Eingabe!$G$18)*100,3000)+42,"")</f>
        <v/>
      </c>
      <c r="F1868" s="21" t="str">
        <f aca="false">IF(AND(Eingabe!$F$18&gt;0,Eingabe!$E$18&gt;=42),"10."&amp;Eingabe!$D$18&amp;".42.0/24","")</f>
        <v/>
      </c>
      <c r="G1868" s="21" t="str">
        <f aca="false">IF(AND(Eingabe!$F$18&gt;0,Eingabe!$E$18&gt;=42),"10."&amp;Eingabe!$D$18&amp;".42.1","")</f>
        <v/>
      </c>
      <c r="H1868" s="21" t="str">
        <f aca="false">IF(AND(Eingabe!$F$18&gt;0,Eingabe!$E$18&gt;=42),"10."&amp;Eingabe!$D$18&amp;".42.10 – 10."&amp;Eingabe!$D$18&amp;".42.250","")</f>
        <v/>
      </c>
      <c r="I1868" s="21" t="str">
        <f aca="false">IF(AND(Eingabe!$F$18&gt;0,Eingabe!$E$18&gt;=42),Eingabe!$B$6&amp;"-"&amp;Eingabe!$C$18&amp;"-Pächter","")</f>
        <v/>
      </c>
      <c r="J1868" s="21" t="str">
        <f aca="false">IF(AND(Eingabe!$F$18&gt;0,Eingabe!$E$18&gt;=42),"PPSK: Passwort Parzelle 42","")</f>
        <v/>
      </c>
      <c r="K1868" s="21" t="str">
        <f aca="false">IF(AND(Eingabe!$F$18&gt;0,Eingabe!$E$18&gt;=42),"1. Gerät: 10."&amp;Eingabe!$D$18&amp;".42.10, 2. Gerät: .11","")</f>
        <v/>
      </c>
    </row>
    <row r="1869" customFormat="false" ht="15" hidden="false" customHeight="false" outlineLevel="0" collapsed="false">
      <c r="A1869" s="21" t="str">
        <f aca="false">IF(AND(Eingabe!$F$18&gt;0,Eingabe!$E$18&gt;=43),10,"")</f>
        <v/>
      </c>
      <c r="B1869" s="21" t="str">
        <f aca="false">IF(AND(Eingabe!$F$18&gt;0,Eingabe!$E$18&gt;=43),Eingabe!$B$18,"")</f>
        <v/>
      </c>
      <c r="C1869" s="21" t="str">
        <f aca="false">IF(AND(Eingabe!$F$18&gt;0,Eingabe!$E$18&gt;=43),Eingabe!$C$18&amp;"-Paz."&amp;TEXT(43,"000"),"")</f>
        <v/>
      </c>
      <c r="D1869" s="21" t="str">
        <f aca="false">IF(AND(Eingabe!$F$18&gt;0,Eingabe!$E$18&gt;=43),43,"")</f>
        <v/>
      </c>
      <c r="E1869" s="21" t="str">
        <f aca="false">IF(AND(Eingabe!$F$18&gt;0,Eingabe!$E$18&gt;=43),IF((Eingabe!$G$18)&lt;=9,1000+(Eingabe!$G$18)*100,3000)+43,"")</f>
        <v/>
      </c>
      <c r="F1869" s="21" t="str">
        <f aca="false">IF(AND(Eingabe!$F$18&gt;0,Eingabe!$E$18&gt;=43),"10."&amp;Eingabe!$D$18&amp;".43.0/24","")</f>
        <v/>
      </c>
      <c r="G1869" s="21" t="str">
        <f aca="false">IF(AND(Eingabe!$F$18&gt;0,Eingabe!$E$18&gt;=43),"10."&amp;Eingabe!$D$18&amp;".43.1","")</f>
        <v/>
      </c>
      <c r="H1869" s="21" t="str">
        <f aca="false">IF(AND(Eingabe!$F$18&gt;0,Eingabe!$E$18&gt;=43),"10."&amp;Eingabe!$D$18&amp;".43.10 – 10."&amp;Eingabe!$D$18&amp;".43.250","")</f>
        <v/>
      </c>
      <c r="I1869" s="21" t="str">
        <f aca="false">IF(AND(Eingabe!$F$18&gt;0,Eingabe!$E$18&gt;=43),Eingabe!$B$6&amp;"-"&amp;Eingabe!$C$18&amp;"-Pächter","")</f>
        <v/>
      </c>
      <c r="J1869" s="21" t="str">
        <f aca="false">IF(AND(Eingabe!$F$18&gt;0,Eingabe!$E$18&gt;=43),"PPSK: Passwort Parzelle 43","")</f>
        <v/>
      </c>
      <c r="K1869" s="21" t="str">
        <f aca="false">IF(AND(Eingabe!$F$18&gt;0,Eingabe!$E$18&gt;=43),"1. Gerät: 10."&amp;Eingabe!$D$18&amp;".43.10, 2. Gerät: .11","")</f>
        <v/>
      </c>
    </row>
    <row r="1870" customFormat="false" ht="15" hidden="false" customHeight="false" outlineLevel="0" collapsed="false">
      <c r="A1870" s="21" t="str">
        <f aca="false">IF(AND(Eingabe!$F$18&gt;0,Eingabe!$E$18&gt;=44),10,"")</f>
        <v/>
      </c>
      <c r="B1870" s="21" t="str">
        <f aca="false">IF(AND(Eingabe!$F$18&gt;0,Eingabe!$E$18&gt;=44),Eingabe!$B$18,"")</f>
        <v/>
      </c>
      <c r="C1870" s="21" t="str">
        <f aca="false">IF(AND(Eingabe!$F$18&gt;0,Eingabe!$E$18&gt;=44),Eingabe!$C$18&amp;"-Paz."&amp;TEXT(44,"000"),"")</f>
        <v/>
      </c>
      <c r="D1870" s="21" t="str">
        <f aca="false">IF(AND(Eingabe!$F$18&gt;0,Eingabe!$E$18&gt;=44),44,"")</f>
        <v/>
      </c>
      <c r="E1870" s="21" t="str">
        <f aca="false">IF(AND(Eingabe!$F$18&gt;0,Eingabe!$E$18&gt;=44),IF((Eingabe!$G$18)&lt;=9,1000+(Eingabe!$G$18)*100,3000)+44,"")</f>
        <v/>
      </c>
      <c r="F1870" s="21" t="str">
        <f aca="false">IF(AND(Eingabe!$F$18&gt;0,Eingabe!$E$18&gt;=44),"10."&amp;Eingabe!$D$18&amp;".44.0/24","")</f>
        <v/>
      </c>
      <c r="G1870" s="21" t="str">
        <f aca="false">IF(AND(Eingabe!$F$18&gt;0,Eingabe!$E$18&gt;=44),"10."&amp;Eingabe!$D$18&amp;".44.1","")</f>
        <v/>
      </c>
      <c r="H1870" s="21" t="str">
        <f aca="false">IF(AND(Eingabe!$F$18&gt;0,Eingabe!$E$18&gt;=44),"10."&amp;Eingabe!$D$18&amp;".44.10 – 10."&amp;Eingabe!$D$18&amp;".44.250","")</f>
        <v/>
      </c>
      <c r="I1870" s="21" t="str">
        <f aca="false">IF(AND(Eingabe!$F$18&gt;0,Eingabe!$E$18&gt;=44),Eingabe!$B$6&amp;"-"&amp;Eingabe!$C$18&amp;"-Pächter","")</f>
        <v/>
      </c>
      <c r="J1870" s="21" t="str">
        <f aca="false">IF(AND(Eingabe!$F$18&gt;0,Eingabe!$E$18&gt;=44),"PPSK: Passwort Parzelle 44","")</f>
        <v/>
      </c>
      <c r="K1870" s="21" t="str">
        <f aca="false">IF(AND(Eingabe!$F$18&gt;0,Eingabe!$E$18&gt;=44),"1. Gerät: 10."&amp;Eingabe!$D$18&amp;".44.10, 2. Gerät: .11","")</f>
        <v/>
      </c>
    </row>
    <row r="1871" customFormat="false" ht="15" hidden="false" customHeight="false" outlineLevel="0" collapsed="false">
      <c r="A1871" s="21" t="str">
        <f aca="false">IF(AND(Eingabe!$F$18&gt;0,Eingabe!$E$18&gt;=45),10,"")</f>
        <v/>
      </c>
      <c r="B1871" s="21" t="str">
        <f aca="false">IF(AND(Eingabe!$F$18&gt;0,Eingabe!$E$18&gt;=45),Eingabe!$B$18,"")</f>
        <v/>
      </c>
      <c r="C1871" s="21" t="str">
        <f aca="false">IF(AND(Eingabe!$F$18&gt;0,Eingabe!$E$18&gt;=45),Eingabe!$C$18&amp;"-Paz."&amp;TEXT(45,"000"),"")</f>
        <v/>
      </c>
      <c r="D1871" s="21" t="str">
        <f aca="false">IF(AND(Eingabe!$F$18&gt;0,Eingabe!$E$18&gt;=45),45,"")</f>
        <v/>
      </c>
      <c r="E1871" s="21" t="str">
        <f aca="false">IF(AND(Eingabe!$F$18&gt;0,Eingabe!$E$18&gt;=45),IF((Eingabe!$G$18)&lt;=9,1000+(Eingabe!$G$18)*100,3000)+45,"")</f>
        <v/>
      </c>
      <c r="F1871" s="21" t="str">
        <f aca="false">IF(AND(Eingabe!$F$18&gt;0,Eingabe!$E$18&gt;=45),"10."&amp;Eingabe!$D$18&amp;".45.0/24","")</f>
        <v/>
      </c>
      <c r="G1871" s="21" t="str">
        <f aca="false">IF(AND(Eingabe!$F$18&gt;0,Eingabe!$E$18&gt;=45),"10."&amp;Eingabe!$D$18&amp;".45.1","")</f>
        <v/>
      </c>
      <c r="H1871" s="21" t="str">
        <f aca="false">IF(AND(Eingabe!$F$18&gt;0,Eingabe!$E$18&gt;=45),"10."&amp;Eingabe!$D$18&amp;".45.10 – 10."&amp;Eingabe!$D$18&amp;".45.250","")</f>
        <v/>
      </c>
      <c r="I1871" s="21" t="str">
        <f aca="false">IF(AND(Eingabe!$F$18&gt;0,Eingabe!$E$18&gt;=45),Eingabe!$B$6&amp;"-"&amp;Eingabe!$C$18&amp;"-Pächter","")</f>
        <v/>
      </c>
      <c r="J1871" s="21" t="str">
        <f aca="false">IF(AND(Eingabe!$F$18&gt;0,Eingabe!$E$18&gt;=45),"PPSK: Passwort Parzelle 45","")</f>
        <v/>
      </c>
      <c r="K1871" s="21" t="str">
        <f aca="false">IF(AND(Eingabe!$F$18&gt;0,Eingabe!$E$18&gt;=45),"1. Gerät: 10."&amp;Eingabe!$D$18&amp;".45.10, 2. Gerät: .11","")</f>
        <v/>
      </c>
    </row>
    <row r="1872" customFormat="false" ht="15" hidden="false" customHeight="false" outlineLevel="0" collapsed="false">
      <c r="A1872" s="21" t="str">
        <f aca="false">IF(AND(Eingabe!$F$18&gt;0,Eingabe!$E$18&gt;=46),10,"")</f>
        <v/>
      </c>
      <c r="B1872" s="21" t="str">
        <f aca="false">IF(AND(Eingabe!$F$18&gt;0,Eingabe!$E$18&gt;=46),Eingabe!$B$18,"")</f>
        <v/>
      </c>
      <c r="C1872" s="21" t="str">
        <f aca="false">IF(AND(Eingabe!$F$18&gt;0,Eingabe!$E$18&gt;=46),Eingabe!$C$18&amp;"-Paz."&amp;TEXT(46,"000"),"")</f>
        <v/>
      </c>
      <c r="D1872" s="21" t="str">
        <f aca="false">IF(AND(Eingabe!$F$18&gt;0,Eingabe!$E$18&gt;=46),46,"")</f>
        <v/>
      </c>
      <c r="E1872" s="21" t="str">
        <f aca="false">IF(AND(Eingabe!$F$18&gt;0,Eingabe!$E$18&gt;=46),IF((Eingabe!$G$18)&lt;=9,1000+(Eingabe!$G$18)*100,3000)+46,"")</f>
        <v/>
      </c>
      <c r="F1872" s="21" t="str">
        <f aca="false">IF(AND(Eingabe!$F$18&gt;0,Eingabe!$E$18&gt;=46),"10."&amp;Eingabe!$D$18&amp;".46.0/24","")</f>
        <v/>
      </c>
      <c r="G1872" s="21" t="str">
        <f aca="false">IF(AND(Eingabe!$F$18&gt;0,Eingabe!$E$18&gt;=46),"10."&amp;Eingabe!$D$18&amp;".46.1","")</f>
        <v/>
      </c>
      <c r="H1872" s="21" t="str">
        <f aca="false">IF(AND(Eingabe!$F$18&gt;0,Eingabe!$E$18&gt;=46),"10."&amp;Eingabe!$D$18&amp;".46.10 – 10."&amp;Eingabe!$D$18&amp;".46.250","")</f>
        <v/>
      </c>
      <c r="I1872" s="21" t="str">
        <f aca="false">IF(AND(Eingabe!$F$18&gt;0,Eingabe!$E$18&gt;=46),Eingabe!$B$6&amp;"-"&amp;Eingabe!$C$18&amp;"-Pächter","")</f>
        <v/>
      </c>
      <c r="J1872" s="21" t="str">
        <f aca="false">IF(AND(Eingabe!$F$18&gt;0,Eingabe!$E$18&gt;=46),"PPSK: Passwort Parzelle 46","")</f>
        <v/>
      </c>
      <c r="K1872" s="21" t="str">
        <f aca="false">IF(AND(Eingabe!$F$18&gt;0,Eingabe!$E$18&gt;=46),"1. Gerät: 10."&amp;Eingabe!$D$18&amp;".46.10, 2. Gerät: .11","")</f>
        <v/>
      </c>
    </row>
    <row r="1873" customFormat="false" ht="15" hidden="false" customHeight="false" outlineLevel="0" collapsed="false">
      <c r="A1873" s="21" t="str">
        <f aca="false">IF(AND(Eingabe!$F$18&gt;0,Eingabe!$E$18&gt;=47),10,"")</f>
        <v/>
      </c>
      <c r="B1873" s="21" t="str">
        <f aca="false">IF(AND(Eingabe!$F$18&gt;0,Eingabe!$E$18&gt;=47),Eingabe!$B$18,"")</f>
        <v/>
      </c>
      <c r="C1873" s="21" t="str">
        <f aca="false">IF(AND(Eingabe!$F$18&gt;0,Eingabe!$E$18&gt;=47),Eingabe!$C$18&amp;"-Paz."&amp;TEXT(47,"000"),"")</f>
        <v/>
      </c>
      <c r="D1873" s="21" t="str">
        <f aca="false">IF(AND(Eingabe!$F$18&gt;0,Eingabe!$E$18&gt;=47),47,"")</f>
        <v/>
      </c>
      <c r="E1873" s="21" t="str">
        <f aca="false">IF(AND(Eingabe!$F$18&gt;0,Eingabe!$E$18&gt;=47),IF((Eingabe!$G$18)&lt;=9,1000+(Eingabe!$G$18)*100,3000)+47,"")</f>
        <v/>
      </c>
      <c r="F1873" s="21" t="str">
        <f aca="false">IF(AND(Eingabe!$F$18&gt;0,Eingabe!$E$18&gt;=47),"10."&amp;Eingabe!$D$18&amp;".47.0/24","")</f>
        <v/>
      </c>
      <c r="G1873" s="21" t="str">
        <f aca="false">IF(AND(Eingabe!$F$18&gt;0,Eingabe!$E$18&gt;=47),"10."&amp;Eingabe!$D$18&amp;".47.1","")</f>
        <v/>
      </c>
      <c r="H1873" s="21" t="str">
        <f aca="false">IF(AND(Eingabe!$F$18&gt;0,Eingabe!$E$18&gt;=47),"10."&amp;Eingabe!$D$18&amp;".47.10 – 10."&amp;Eingabe!$D$18&amp;".47.250","")</f>
        <v/>
      </c>
      <c r="I1873" s="21" t="str">
        <f aca="false">IF(AND(Eingabe!$F$18&gt;0,Eingabe!$E$18&gt;=47),Eingabe!$B$6&amp;"-"&amp;Eingabe!$C$18&amp;"-Pächter","")</f>
        <v/>
      </c>
      <c r="J1873" s="21" t="str">
        <f aca="false">IF(AND(Eingabe!$F$18&gt;0,Eingabe!$E$18&gt;=47),"PPSK: Passwort Parzelle 47","")</f>
        <v/>
      </c>
      <c r="K1873" s="21" t="str">
        <f aca="false">IF(AND(Eingabe!$F$18&gt;0,Eingabe!$E$18&gt;=47),"1. Gerät: 10."&amp;Eingabe!$D$18&amp;".47.10, 2. Gerät: .11","")</f>
        <v/>
      </c>
    </row>
    <row r="1874" customFormat="false" ht="15" hidden="false" customHeight="false" outlineLevel="0" collapsed="false">
      <c r="A1874" s="21" t="str">
        <f aca="false">IF(AND(Eingabe!$F$18&gt;0,Eingabe!$E$18&gt;=48),10,"")</f>
        <v/>
      </c>
      <c r="B1874" s="21" t="str">
        <f aca="false">IF(AND(Eingabe!$F$18&gt;0,Eingabe!$E$18&gt;=48),Eingabe!$B$18,"")</f>
        <v/>
      </c>
      <c r="C1874" s="21" t="str">
        <f aca="false">IF(AND(Eingabe!$F$18&gt;0,Eingabe!$E$18&gt;=48),Eingabe!$C$18&amp;"-Paz."&amp;TEXT(48,"000"),"")</f>
        <v/>
      </c>
      <c r="D1874" s="21" t="str">
        <f aca="false">IF(AND(Eingabe!$F$18&gt;0,Eingabe!$E$18&gt;=48),48,"")</f>
        <v/>
      </c>
      <c r="E1874" s="21" t="str">
        <f aca="false">IF(AND(Eingabe!$F$18&gt;0,Eingabe!$E$18&gt;=48),IF((Eingabe!$G$18)&lt;=9,1000+(Eingabe!$G$18)*100,3000)+48,"")</f>
        <v/>
      </c>
      <c r="F1874" s="21" t="str">
        <f aca="false">IF(AND(Eingabe!$F$18&gt;0,Eingabe!$E$18&gt;=48),"10."&amp;Eingabe!$D$18&amp;".48.0/24","")</f>
        <v/>
      </c>
      <c r="G1874" s="21" t="str">
        <f aca="false">IF(AND(Eingabe!$F$18&gt;0,Eingabe!$E$18&gt;=48),"10."&amp;Eingabe!$D$18&amp;".48.1","")</f>
        <v/>
      </c>
      <c r="H1874" s="21" t="str">
        <f aca="false">IF(AND(Eingabe!$F$18&gt;0,Eingabe!$E$18&gt;=48),"10."&amp;Eingabe!$D$18&amp;".48.10 – 10."&amp;Eingabe!$D$18&amp;".48.250","")</f>
        <v/>
      </c>
      <c r="I1874" s="21" t="str">
        <f aca="false">IF(AND(Eingabe!$F$18&gt;0,Eingabe!$E$18&gt;=48),Eingabe!$B$6&amp;"-"&amp;Eingabe!$C$18&amp;"-Pächter","")</f>
        <v/>
      </c>
      <c r="J1874" s="21" t="str">
        <f aca="false">IF(AND(Eingabe!$F$18&gt;0,Eingabe!$E$18&gt;=48),"PPSK: Passwort Parzelle 48","")</f>
        <v/>
      </c>
      <c r="K1874" s="21" t="str">
        <f aca="false">IF(AND(Eingabe!$F$18&gt;0,Eingabe!$E$18&gt;=48),"1. Gerät: 10."&amp;Eingabe!$D$18&amp;".48.10, 2. Gerät: .11","")</f>
        <v/>
      </c>
    </row>
    <row r="1875" customFormat="false" ht="15" hidden="false" customHeight="false" outlineLevel="0" collapsed="false">
      <c r="A1875" s="21" t="str">
        <f aca="false">IF(AND(Eingabe!$F$18&gt;0,Eingabe!$E$18&gt;=49),10,"")</f>
        <v/>
      </c>
      <c r="B1875" s="21" t="str">
        <f aca="false">IF(AND(Eingabe!$F$18&gt;0,Eingabe!$E$18&gt;=49),Eingabe!$B$18,"")</f>
        <v/>
      </c>
      <c r="C1875" s="21" t="str">
        <f aca="false">IF(AND(Eingabe!$F$18&gt;0,Eingabe!$E$18&gt;=49),Eingabe!$C$18&amp;"-Paz."&amp;TEXT(49,"000"),"")</f>
        <v/>
      </c>
      <c r="D1875" s="21" t="str">
        <f aca="false">IF(AND(Eingabe!$F$18&gt;0,Eingabe!$E$18&gt;=49),49,"")</f>
        <v/>
      </c>
      <c r="E1875" s="21" t="str">
        <f aca="false">IF(AND(Eingabe!$F$18&gt;0,Eingabe!$E$18&gt;=49),IF((Eingabe!$G$18)&lt;=9,1000+(Eingabe!$G$18)*100,3000)+49,"")</f>
        <v/>
      </c>
      <c r="F1875" s="21" t="str">
        <f aca="false">IF(AND(Eingabe!$F$18&gt;0,Eingabe!$E$18&gt;=49),"10."&amp;Eingabe!$D$18&amp;".49.0/24","")</f>
        <v/>
      </c>
      <c r="G1875" s="21" t="str">
        <f aca="false">IF(AND(Eingabe!$F$18&gt;0,Eingabe!$E$18&gt;=49),"10."&amp;Eingabe!$D$18&amp;".49.1","")</f>
        <v/>
      </c>
      <c r="H1875" s="21" t="str">
        <f aca="false">IF(AND(Eingabe!$F$18&gt;0,Eingabe!$E$18&gt;=49),"10."&amp;Eingabe!$D$18&amp;".49.10 – 10."&amp;Eingabe!$D$18&amp;".49.250","")</f>
        <v/>
      </c>
      <c r="I1875" s="21" t="str">
        <f aca="false">IF(AND(Eingabe!$F$18&gt;0,Eingabe!$E$18&gt;=49),Eingabe!$B$6&amp;"-"&amp;Eingabe!$C$18&amp;"-Pächter","")</f>
        <v/>
      </c>
      <c r="J1875" s="21" t="str">
        <f aca="false">IF(AND(Eingabe!$F$18&gt;0,Eingabe!$E$18&gt;=49),"PPSK: Passwort Parzelle 49","")</f>
        <v/>
      </c>
      <c r="K1875" s="21" t="str">
        <f aca="false">IF(AND(Eingabe!$F$18&gt;0,Eingabe!$E$18&gt;=49),"1. Gerät: 10."&amp;Eingabe!$D$18&amp;".49.10, 2. Gerät: .11","")</f>
        <v/>
      </c>
    </row>
    <row r="1876" customFormat="false" ht="15" hidden="false" customHeight="false" outlineLevel="0" collapsed="false">
      <c r="A1876" s="21" t="str">
        <f aca="false">IF(AND(Eingabe!$F$18&gt;0,Eingabe!$E$18&gt;=50),10,"")</f>
        <v/>
      </c>
      <c r="B1876" s="21" t="str">
        <f aca="false">IF(AND(Eingabe!$F$18&gt;0,Eingabe!$E$18&gt;=50),Eingabe!$B$18,"")</f>
        <v/>
      </c>
      <c r="C1876" s="21" t="str">
        <f aca="false">IF(AND(Eingabe!$F$18&gt;0,Eingabe!$E$18&gt;=50),Eingabe!$C$18&amp;"-Paz."&amp;TEXT(50,"000"),"")</f>
        <v/>
      </c>
      <c r="D1876" s="21" t="str">
        <f aca="false">IF(AND(Eingabe!$F$18&gt;0,Eingabe!$E$18&gt;=50),50,"")</f>
        <v/>
      </c>
      <c r="E1876" s="21" t="str">
        <f aca="false">IF(AND(Eingabe!$F$18&gt;0,Eingabe!$E$18&gt;=50),IF((Eingabe!$G$18)&lt;=9,1000+(Eingabe!$G$18)*100,3000)+50,"")</f>
        <v/>
      </c>
      <c r="F1876" s="21" t="str">
        <f aca="false">IF(AND(Eingabe!$F$18&gt;0,Eingabe!$E$18&gt;=50),"10."&amp;Eingabe!$D$18&amp;".50.0/24","")</f>
        <v/>
      </c>
      <c r="G1876" s="21" t="str">
        <f aca="false">IF(AND(Eingabe!$F$18&gt;0,Eingabe!$E$18&gt;=50),"10."&amp;Eingabe!$D$18&amp;".50.1","")</f>
        <v/>
      </c>
      <c r="H1876" s="21" t="str">
        <f aca="false">IF(AND(Eingabe!$F$18&gt;0,Eingabe!$E$18&gt;=50),"10."&amp;Eingabe!$D$18&amp;".50.10 – 10."&amp;Eingabe!$D$18&amp;".50.250","")</f>
        <v/>
      </c>
      <c r="I1876" s="21" t="str">
        <f aca="false">IF(AND(Eingabe!$F$18&gt;0,Eingabe!$E$18&gt;=50),Eingabe!$B$6&amp;"-"&amp;Eingabe!$C$18&amp;"-Pächter","")</f>
        <v/>
      </c>
      <c r="J1876" s="21" t="str">
        <f aca="false">IF(AND(Eingabe!$F$18&gt;0,Eingabe!$E$18&gt;=50),"PPSK: Passwort Parzelle 50","")</f>
        <v/>
      </c>
      <c r="K1876" s="21" t="str">
        <f aca="false">IF(AND(Eingabe!$F$18&gt;0,Eingabe!$E$18&gt;=50),"1. Gerät: 10."&amp;Eingabe!$D$18&amp;".50.10, 2. Gerät: .11","")</f>
        <v/>
      </c>
    </row>
    <row r="1877" customFormat="false" ht="15" hidden="false" customHeight="false" outlineLevel="0" collapsed="false">
      <c r="A1877" s="21" t="str">
        <f aca="false">IF(AND(Eingabe!$F$18&gt;0,Eingabe!$E$18&gt;=51),10,"")</f>
        <v/>
      </c>
      <c r="B1877" s="21" t="str">
        <f aca="false">IF(AND(Eingabe!$F$18&gt;0,Eingabe!$E$18&gt;=51),Eingabe!$B$18,"")</f>
        <v/>
      </c>
      <c r="C1877" s="21" t="str">
        <f aca="false">IF(AND(Eingabe!$F$18&gt;0,Eingabe!$E$18&gt;=51),Eingabe!$C$18&amp;"-Paz."&amp;TEXT(51,"000"),"")</f>
        <v/>
      </c>
      <c r="D1877" s="21" t="str">
        <f aca="false">IF(AND(Eingabe!$F$18&gt;0,Eingabe!$E$18&gt;=51),51,"")</f>
        <v/>
      </c>
      <c r="E1877" s="21" t="str">
        <f aca="false">IF(AND(Eingabe!$F$18&gt;0,Eingabe!$E$18&gt;=51),IF((Eingabe!$G$18)&lt;=9,1000+(Eingabe!$G$18)*100,3000)+51,"")</f>
        <v/>
      </c>
      <c r="F1877" s="21" t="str">
        <f aca="false">IF(AND(Eingabe!$F$18&gt;0,Eingabe!$E$18&gt;=51),"10."&amp;Eingabe!$D$18&amp;".51.0/24","")</f>
        <v/>
      </c>
      <c r="G1877" s="21" t="str">
        <f aca="false">IF(AND(Eingabe!$F$18&gt;0,Eingabe!$E$18&gt;=51),"10."&amp;Eingabe!$D$18&amp;".51.1","")</f>
        <v/>
      </c>
      <c r="H1877" s="21" t="str">
        <f aca="false">IF(AND(Eingabe!$F$18&gt;0,Eingabe!$E$18&gt;=51),"10."&amp;Eingabe!$D$18&amp;".51.10 – 10."&amp;Eingabe!$D$18&amp;".51.250","")</f>
        <v/>
      </c>
      <c r="I1877" s="21" t="str">
        <f aca="false">IF(AND(Eingabe!$F$18&gt;0,Eingabe!$E$18&gt;=51),Eingabe!$B$6&amp;"-"&amp;Eingabe!$C$18&amp;"-Pächter","")</f>
        <v/>
      </c>
      <c r="J1877" s="21" t="str">
        <f aca="false">IF(AND(Eingabe!$F$18&gt;0,Eingabe!$E$18&gt;=51),"PPSK: Passwort Parzelle 51","")</f>
        <v/>
      </c>
      <c r="K1877" s="21" t="str">
        <f aca="false">IF(AND(Eingabe!$F$18&gt;0,Eingabe!$E$18&gt;=51),"1. Gerät: 10."&amp;Eingabe!$D$18&amp;".51.10, 2. Gerät: .11","")</f>
        <v/>
      </c>
    </row>
    <row r="1878" customFormat="false" ht="15" hidden="false" customHeight="false" outlineLevel="0" collapsed="false">
      <c r="A1878" s="21" t="str">
        <f aca="false">IF(AND(Eingabe!$F$18&gt;0,Eingabe!$E$18&gt;=52),10,"")</f>
        <v/>
      </c>
      <c r="B1878" s="21" t="str">
        <f aca="false">IF(AND(Eingabe!$F$18&gt;0,Eingabe!$E$18&gt;=52),Eingabe!$B$18,"")</f>
        <v/>
      </c>
      <c r="C1878" s="21" t="str">
        <f aca="false">IF(AND(Eingabe!$F$18&gt;0,Eingabe!$E$18&gt;=52),Eingabe!$C$18&amp;"-Paz."&amp;TEXT(52,"000"),"")</f>
        <v/>
      </c>
      <c r="D1878" s="21" t="str">
        <f aca="false">IF(AND(Eingabe!$F$18&gt;0,Eingabe!$E$18&gt;=52),52,"")</f>
        <v/>
      </c>
      <c r="E1878" s="21" t="str">
        <f aca="false">IF(AND(Eingabe!$F$18&gt;0,Eingabe!$E$18&gt;=52),IF((Eingabe!$G$18)&lt;=9,1000+(Eingabe!$G$18)*100,3000)+52,"")</f>
        <v/>
      </c>
      <c r="F1878" s="21" t="str">
        <f aca="false">IF(AND(Eingabe!$F$18&gt;0,Eingabe!$E$18&gt;=52),"10."&amp;Eingabe!$D$18&amp;".52.0/24","")</f>
        <v/>
      </c>
      <c r="G1878" s="21" t="str">
        <f aca="false">IF(AND(Eingabe!$F$18&gt;0,Eingabe!$E$18&gt;=52),"10."&amp;Eingabe!$D$18&amp;".52.1","")</f>
        <v/>
      </c>
      <c r="H1878" s="21" t="str">
        <f aca="false">IF(AND(Eingabe!$F$18&gt;0,Eingabe!$E$18&gt;=52),"10."&amp;Eingabe!$D$18&amp;".52.10 – 10."&amp;Eingabe!$D$18&amp;".52.250","")</f>
        <v/>
      </c>
      <c r="I1878" s="21" t="str">
        <f aca="false">IF(AND(Eingabe!$F$18&gt;0,Eingabe!$E$18&gt;=52),Eingabe!$B$6&amp;"-"&amp;Eingabe!$C$18&amp;"-Pächter","")</f>
        <v/>
      </c>
      <c r="J1878" s="21" t="str">
        <f aca="false">IF(AND(Eingabe!$F$18&gt;0,Eingabe!$E$18&gt;=52),"PPSK: Passwort Parzelle 52","")</f>
        <v/>
      </c>
      <c r="K1878" s="21" t="str">
        <f aca="false">IF(AND(Eingabe!$F$18&gt;0,Eingabe!$E$18&gt;=52),"1. Gerät: 10."&amp;Eingabe!$D$18&amp;".52.10, 2. Gerät: .11","")</f>
        <v/>
      </c>
    </row>
    <row r="1879" customFormat="false" ht="15" hidden="false" customHeight="false" outlineLevel="0" collapsed="false">
      <c r="A1879" s="21" t="str">
        <f aca="false">IF(AND(Eingabe!$F$18&gt;0,Eingabe!$E$18&gt;=53),10,"")</f>
        <v/>
      </c>
      <c r="B1879" s="21" t="str">
        <f aca="false">IF(AND(Eingabe!$F$18&gt;0,Eingabe!$E$18&gt;=53),Eingabe!$B$18,"")</f>
        <v/>
      </c>
      <c r="C1879" s="21" t="str">
        <f aca="false">IF(AND(Eingabe!$F$18&gt;0,Eingabe!$E$18&gt;=53),Eingabe!$C$18&amp;"-Paz."&amp;TEXT(53,"000"),"")</f>
        <v/>
      </c>
      <c r="D1879" s="21" t="str">
        <f aca="false">IF(AND(Eingabe!$F$18&gt;0,Eingabe!$E$18&gt;=53),53,"")</f>
        <v/>
      </c>
      <c r="E1879" s="21" t="str">
        <f aca="false">IF(AND(Eingabe!$F$18&gt;0,Eingabe!$E$18&gt;=53),IF((Eingabe!$G$18)&lt;=9,1000+(Eingabe!$G$18)*100,3000)+53,"")</f>
        <v/>
      </c>
      <c r="F1879" s="21" t="str">
        <f aca="false">IF(AND(Eingabe!$F$18&gt;0,Eingabe!$E$18&gt;=53),"10."&amp;Eingabe!$D$18&amp;".53.0/24","")</f>
        <v/>
      </c>
      <c r="G1879" s="21" t="str">
        <f aca="false">IF(AND(Eingabe!$F$18&gt;0,Eingabe!$E$18&gt;=53),"10."&amp;Eingabe!$D$18&amp;".53.1","")</f>
        <v/>
      </c>
      <c r="H1879" s="21" t="str">
        <f aca="false">IF(AND(Eingabe!$F$18&gt;0,Eingabe!$E$18&gt;=53),"10."&amp;Eingabe!$D$18&amp;".53.10 – 10."&amp;Eingabe!$D$18&amp;".53.250","")</f>
        <v/>
      </c>
      <c r="I1879" s="21" t="str">
        <f aca="false">IF(AND(Eingabe!$F$18&gt;0,Eingabe!$E$18&gt;=53),Eingabe!$B$6&amp;"-"&amp;Eingabe!$C$18&amp;"-Pächter","")</f>
        <v/>
      </c>
      <c r="J1879" s="21" t="str">
        <f aca="false">IF(AND(Eingabe!$F$18&gt;0,Eingabe!$E$18&gt;=53),"PPSK: Passwort Parzelle 53","")</f>
        <v/>
      </c>
      <c r="K1879" s="21" t="str">
        <f aca="false">IF(AND(Eingabe!$F$18&gt;0,Eingabe!$E$18&gt;=53),"1. Gerät: 10."&amp;Eingabe!$D$18&amp;".53.10, 2. Gerät: .11","")</f>
        <v/>
      </c>
    </row>
    <row r="1880" customFormat="false" ht="15" hidden="false" customHeight="false" outlineLevel="0" collapsed="false">
      <c r="A1880" s="21" t="str">
        <f aca="false">IF(AND(Eingabe!$F$18&gt;0,Eingabe!$E$18&gt;=54),10,"")</f>
        <v/>
      </c>
      <c r="B1880" s="21" t="str">
        <f aca="false">IF(AND(Eingabe!$F$18&gt;0,Eingabe!$E$18&gt;=54),Eingabe!$B$18,"")</f>
        <v/>
      </c>
      <c r="C1880" s="21" t="str">
        <f aca="false">IF(AND(Eingabe!$F$18&gt;0,Eingabe!$E$18&gt;=54),Eingabe!$C$18&amp;"-Paz."&amp;TEXT(54,"000"),"")</f>
        <v/>
      </c>
      <c r="D1880" s="21" t="str">
        <f aca="false">IF(AND(Eingabe!$F$18&gt;0,Eingabe!$E$18&gt;=54),54,"")</f>
        <v/>
      </c>
      <c r="E1880" s="21" t="str">
        <f aca="false">IF(AND(Eingabe!$F$18&gt;0,Eingabe!$E$18&gt;=54),IF((Eingabe!$G$18)&lt;=9,1000+(Eingabe!$G$18)*100,3000)+54,"")</f>
        <v/>
      </c>
      <c r="F1880" s="21" t="str">
        <f aca="false">IF(AND(Eingabe!$F$18&gt;0,Eingabe!$E$18&gt;=54),"10."&amp;Eingabe!$D$18&amp;".54.0/24","")</f>
        <v/>
      </c>
      <c r="G1880" s="21" t="str">
        <f aca="false">IF(AND(Eingabe!$F$18&gt;0,Eingabe!$E$18&gt;=54),"10."&amp;Eingabe!$D$18&amp;".54.1","")</f>
        <v/>
      </c>
      <c r="H1880" s="21" t="str">
        <f aca="false">IF(AND(Eingabe!$F$18&gt;0,Eingabe!$E$18&gt;=54),"10."&amp;Eingabe!$D$18&amp;".54.10 – 10."&amp;Eingabe!$D$18&amp;".54.250","")</f>
        <v/>
      </c>
      <c r="I1880" s="21" t="str">
        <f aca="false">IF(AND(Eingabe!$F$18&gt;0,Eingabe!$E$18&gt;=54),Eingabe!$B$6&amp;"-"&amp;Eingabe!$C$18&amp;"-Pächter","")</f>
        <v/>
      </c>
      <c r="J1880" s="21" t="str">
        <f aca="false">IF(AND(Eingabe!$F$18&gt;0,Eingabe!$E$18&gt;=54),"PPSK: Passwort Parzelle 54","")</f>
        <v/>
      </c>
      <c r="K1880" s="21" t="str">
        <f aca="false">IF(AND(Eingabe!$F$18&gt;0,Eingabe!$E$18&gt;=54),"1. Gerät: 10."&amp;Eingabe!$D$18&amp;".54.10, 2. Gerät: .11","")</f>
        <v/>
      </c>
    </row>
    <row r="1881" customFormat="false" ht="15" hidden="false" customHeight="false" outlineLevel="0" collapsed="false">
      <c r="A1881" s="21" t="str">
        <f aca="false">IF(AND(Eingabe!$F$18&gt;0,Eingabe!$E$18&gt;=55),10,"")</f>
        <v/>
      </c>
      <c r="B1881" s="21" t="str">
        <f aca="false">IF(AND(Eingabe!$F$18&gt;0,Eingabe!$E$18&gt;=55),Eingabe!$B$18,"")</f>
        <v/>
      </c>
      <c r="C1881" s="21" t="str">
        <f aca="false">IF(AND(Eingabe!$F$18&gt;0,Eingabe!$E$18&gt;=55),Eingabe!$C$18&amp;"-Paz."&amp;TEXT(55,"000"),"")</f>
        <v/>
      </c>
      <c r="D1881" s="21" t="str">
        <f aca="false">IF(AND(Eingabe!$F$18&gt;0,Eingabe!$E$18&gt;=55),55,"")</f>
        <v/>
      </c>
      <c r="E1881" s="21" t="str">
        <f aca="false">IF(AND(Eingabe!$F$18&gt;0,Eingabe!$E$18&gt;=55),IF((Eingabe!$G$18)&lt;=9,1000+(Eingabe!$G$18)*100,3000)+55,"")</f>
        <v/>
      </c>
      <c r="F1881" s="21" t="str">
        <f aca="false">IF(AND(Eingabe!$F$18&gt;0,Eingabe!$E$18&gt;=55),"10."&amp;Eingabe!$D$18&amp;".55.0/24","")</f>
        <v/>
      </c>
      <c r="G1881" s="21" t="str">
        <f aca="false">IF(AND(Eingabe!$F$18&gt;0,Eingabe!$E$18&gt;=55),"10."&amp;Eingabe!$D$18&amp;".55.1","")</f>
        <v/>
      </c>
      <c r="H1881" s="21" t="str">
        <f aca="false">IF(AND(Eingabe!$F$18&gt;0,Eingabe!$E$18&gt;=55),"10."&amp;Eingabe!$D$18&amp;".55.10 – 10."&amp;Eingabe!$D$18&amp;".55.250","")</f>
        <v/>
      </c>
      <c r="I1881" s="21" t="str">
        <f aca="false">IF(AND(Eingabe!$F$18&gt;0,Eingabe!$E$18&gt;=55),Eingabe!$B$6&amp;"-"&amp;Eingabe!$C$18&amp;"-Pächter","")</f>
        <v/>
      </c>
      <c r="J1881" s="21" t="str">
        <f aca="false">IF(AND(Eingabe!$F$18&gt;0,Eingabe!$E$18&gt;=55),"PPSK: Passwort Parzelle 55","")</f>
        <v/>
      </c>
      <c r="K1881" s="21" t="str">
        <f aca="false">IF(AND(Eingabe!$F$18&gt;0,Eingabe!$E$18&gt;=55),"1. Gerät: 10."&amp;Eingabe!$D$18&amp;".55.10, 2. Gerät: .11","")</f>
        <v/>
      </c>
    </row>
    <row r="1882" customFormat="false" ht="15" hidden="false" customHeight="false" outlineLevel="0" collapsed="false">
      <c r="A1882" s="21" t="str">
        <f aca="false">IF(AND(Eingabe!$F$18&gt;0,Eingabe!$E$18&gt;=56),10,"")</f>
        <v/>
      </c>
      <c r="B1882" s="21" t="str">
        <f aca="false">IF(AND(Eingabe!$F$18&gt;0,Eingabe!$E$18&gt;=56),Eingabe!$B$18,"")</f>
        <v/>
      </c>
      <c r="C1882" s="21" t="str">
        <f aca="false">IF(AND(Eingabe!$F$18&gt;0,Eingabe!$E$18&gt;=56),Eingabe!$C$18&amp;"-Paz."&amp;TEXT(56,"000"),"")</f>
        <v/>
      </c>
      <c r="D1882" s="21" t="str">
        <f aca="false">IF(AND(Eingabe!$F$18&gt;0,Eingabe!$E$18&gt;=56),56,"")</f>
        <v/>
      </c>
      <c r="E1882" s="21" t="str">
        <f aca="false">IF(AND(Eingabe!$F$18&gt;0,Eingabe!$E$18&gt;=56),IF((Eingabe!$G$18)&lt;=9,1000+(Eingabe!$G$18)*100,3000)+56,"")</f>
        <v/>
      </c>
      <c r="F1882" s="21" t="str">
        <f aca="false">IF(AND(Eingabe!$F$18&gt;0,Eingabe!$E$18&gt;=56),"10."&amp;Eingabe!$D$18&amp;".56.0/24","")</f>
        <v/>
      </c>
      <c r="G1882" s="21" t="str">
        <f aca="false">IF(AND(Eingabe!$F$18&gt;0,Eingabe!$E$18&gt;=56),"10."&amp;Eingabe!$D$18&amp;".56.1","")</f>
        <v/>
      </c>
      <c r="H1882" s="21" t="str">
        <f aca="false">IF(AND(Eingabe!$F$18&gt;0,Eingabe!$E$18&gt;=56),"10."&amp;Eingabe!$D$18&amp;".56.10 – 10."&amp;Eingabe!$D$18&amp;".56.250","")</f>
        <v/>
      </c>
      <c r="I1882" s="21" t="str">
        <f aca="false">IF(AND(Eingabe!$F$18&gt;0,Eingabe!$E$18&gt;=56),Eingabe!$B$6&amp;"-"&amp;Eingabe!$C$18&amp;"-Pächter","")</f>
        <v/>
      </c>
      <c r="J1882" s="21" t="str">
        <f aca="false">IF(AND(Eingabe!$F$18&gt;0,Eingabe!$E$18&gt;=56),"PPSK: Passwort Parzelle 56","")</f>
        <v/>
      </c>
      <c r="K1882" s="21" t="str">
        <f aca="false">IF(AND(Eingabe!$F$18&gt;0,Eingabe!$E$18&gt;=56),"1. Gerät: 10."&amp;Eingabe!$D$18&amp;".56.10, 2. Gerät: .11","")</f>
        <v/>
      </c>
    </row>
    <row r="1883" customFormat="false" ht="15" hidden="false" customHeight="false" outlineLevel="0" collapsed="false">
      <c r="A1883" s="21" t="str">
        <f aca="false">IF(AND(Eingabe!$F$18&gt;0,Eingabe!$E$18&gt;=57),10,"")</f>
        <v/>
      </c>
      <c r="B1883" s="21" t="str">
        <f aca="false">IF(AND(Eingabe!$F$18&gt;0,Eingabe!$E$18&gt;=57),Eingabe!$B$18,"")</f>
        <v/>
      </c>
      <c r="C1883" s="21" t="str">
        <f aca="false">IF(AND(Eingabe!$F$18&gt;0,Eingabe!$E$18&gt;=57),Eingabe!$C$18&amp;"-Paz."&amp;TEXT(57,"000"),"")</f>
        <v/>
      </c>
      <c r="D1883" s="21" t="str">
        <f aca="false">IF(AND(Eingabe!$F$18&gt;0,Eingabe!$E$18&gt;=57),57,"")</f>
        <v/>
      </c>
      <c r="E1883" s="21" t="str">
        <f aca="false">IF(AND(Eingabe!$F$18&gt;0,Eingabe!$E$18&gt;=57),IF((Eingabe!$G$18)&lt;=9,1000+(Eingabe!$G$18)*100,3000)+57,"")</f>
        <v/>
      </c>
      <c r="F1883" s="21" t="str">
        <f aca="false">IF(AND(Eingabe!$F$18&gt;0,Eingabe!$E$18&gt;=57),"10."&amp;Eingabe!$D$18&amp;".57.0/24","")</f>
        <v/>
      </c>
      <c r="G1883" s="21" t="str">
        <f aca="false">IF(AND(Eingabe!$F$18&gt;0,Eingabe!$E$18&gt;=57),"10."&amp;Eingabe!$D$18&amp;".57.1","")</f>
        <v/>
      </c>
      <c r="H1883" s="21" t="str">
        <f aca="false">IF(AND(Eingabe!$F$18&gt;0,Eingabe!$E$18&gt;=57),"10."&amp;Eingabe!$D$18&amp;".57.10 – 10."&amp;Eingabe!$D$18&amp;".57.250","")</f>
        <v/>
      </c>
      <c r="I1883" s="21" t="str">
        <f aca="false">IF(AND(Eingabe!$F$18&gt;0,Eingabe!$E$18&gt;=57),Eingabe!$B$6&amp;"-"&amp;Eingabe!$C$18&amp;"-Pächter","")</f>
        <v/>
      </c>
      <c r="J1883" s="21" t="str">
        <f aca="false">IF(AND(Eingabe!$F$18&gt;0,Eingabe!$E$18&gt;=57),"PPSK: Passwort Parzelle 57","")</f>
        <v/>
      </c>
      <c r="K1883" s="21" t="str">
        <f aca="false">IF(AND(Eingabe!$F$18&gt;0,Eingabe!$E$18&gt;=57),"1. Gerät: 10."&amp;Eingabe!$D$18&amp;".57.10, 2. Gerät: .11","")</f>
        <v/>
      </c>
    </row>
    <row r="1884" customFormat="false" ht="15" hidden="false" customHeight="false" outlineLevel="0" collapsed="false">
      <c r="A1884" s="21" t="str">
        <f aca="false">IF(AND(Eingabe!$F$18&gt;0,Eingabe!$E$18&gt;=58),10,"")</f>
        <v/>
      </c>
      <c r="B1884" s="21" t="str">
        <f aca="false">IF(AND(Eingabe!$F$18&gt;0,Eingabe!$E$18&gt;=58),Eingabe!$B$18,"")</f>
        <v/>
      </c>
      <c r="C1884" s="21" t="str">
        <f aca="false">IF(AND(Eingabe!$F$18&gt;0,Eingabe!$E$18&gt;=58),Eingabe!$C$18&amp;"-Paz."&amp;TEXT(58,"000"),"")</f>
        <v/>
      </c>
      <c r="D1884" s="21" t="str">
        <f aca="false">IF(AND(Eingabe!$F$18&gt;0,Eingabe!$E$18&gt;=58),58,"")</f>
        <v/>
      </c>
      <c r="E1884" s="21" t="str">
        <f aca="false">IF(AND(Eingabe!$F$18&gt;0,Eingabe!$E$18&gt;=58),IF((Eingabe!$G$18)&lt;=9,1000+(Eingabe!$G$18)*100,3000)+58,"")</f>
        <v/>
      </c>
      <c r="F1884" s="21" t="str">
        <f aca="false">IF(AND(Eingabe!$F$18&gt;0,Eingabe!$E$18&gt;=58),"10."&amp;Eingabe!$D$18&amp;".58.0/24","")</f>
        <v/>
      </c>
      <c r="G1884" s="21" t="str">
        <f aca="false">IF(AND(Eingabe!$F$18&gt;0,Eingabe!$E$18&gt;=58),"10."&amp;Eingabe!$D$18&amp;".58.1","")</f>
        <v/>
      </c>
      <c r="H1884" s="21" t="str">
        <f aca="false">IF(AND(Eingabe!$F$18&gt;0,Eingabe!$E$18&gt;=58),"10."&amp;Eingabe!$D$18&amp;".58.10 – 10."&amp;Eingabe!$D$18&amp;".58.250","")</f>
        <v/>
      </c>
      <c r="I1884" s="21" t="str">
        <f aca="false">IF(AND(Eingabe!$F$18&gt;0,Eingabe!$E$18&gt;=58),Eingabe!$B$6&amp;"-"&amp;Eingabe!$C$18&amp;"-Pächter","")</f>
        <v/>
      </c>
      <c r="J1884" s="21" t="str">
        <f aca="false">IF(AND(Eingabe!$F$18&gt;0,Eingabe!$E$18&gt;=58),"PPSK: Passwort Parzelle 58","")</f>
        <v/>
      </c>
      <c r="K1884" s="21" t="str">
        <f aca="false">IF(AND(Eingabe!$F$18&gt;0,Eingabe!$E$18&gt;=58),"1. Gerät: 10."&amp;Eingabe!$D$18&amp;".58.10, 2. Gerät: .11","")</f>
        <v/>
      </c>
    </row>
    <row r="1885" customFormat="false" ht="15" hidden="false" customHeight="false" outlineLevel="0" collapsed="false">
      <c r="A1885" s="21" t="str">
        <f aca="false">IF(AND(Eingabe!$F$18&gt;0,Eingabe!$E$18&gt;=59),10,"")</f>
        <v/>
      </c>
      <c r="B1885" s="21" t="str">
        <f aca="false">IF(AND(Eingabe!$F$18&gt;0,Eingabe!$E$18&gt;=59),Eingabe!$B$18,"")</f>
        <v/>
      </c>
      <c r="C1885" s="21" t="str">
        <f aca="false">IF(AND(Eingabe!$F$18&gt;0,Eingabe!$E$18&gt;=59),Eingabe!$C$18&amp;"-Paz."&amp;TEXT(59,"000"),"")</f>
        <v/>
      </c>
      <c r="D1885" s="21" t="str">
        <f aca="false">IF(AND(Eingabe!$F$18&gt;0,Eingabe!$E$18&gt;=59),59,"")</f>
        <v/>
      </c>
      <c r="E1885" s="21" t="str">
        <f aca="false">IF(AND(Eingabe!$F$18&gt;0,Eingabe!$E$18&gt;=59),IF((Eingabe!$G$18)&lt;=9,1000+(Eingabe!$G$18)*100,3000)+59,"")</f>
        <v/>
      </c>
      <c r="F1885" s="21" t="str">
        <f aca="false">IF(AND(Eingabe!$F$18&gt;0,Eingabe!$E$18&gt;=59),"10."&amp;Eingabe!$D$18&amp;".59.0/24","")</f>
        <v/>
      </c>
      <c r="G1885" s="21" t="str">
        <f aca="false">IF(AND(Eingabe!$F$18&gt;0,Eingabe!$E$18&gt;=59),"10."&amp;Eingabe!$D$18&amp;".59.1","")</f>
        <v/>
      </c>
      <c r="H1885" s="21" t="str">
        <f aca="false">IF(AND(Eingabe!$F$18&gt;0,Eingabe!$E$18&gt;=59),"10."&amp;Eingabe!$D$18&amp;".59.10 – 10."&amp;Eingabe!$D$18&amp;".59.250","")</f>
        <v/>
      </c>
      <c r="I1885" s="21" t="str">
        <f aca="false">IF(AND(Eingabe!$F$18&gt;0,Eingabe!$E$18&gt;=59),Eingabe!$B$6&amp;"-"&amp;Eingabe!$C$18&amp;"-Pächter","")</f>
        <v/>
      </c>
      <c r="J1885" s="21" t="str">
        <f aca="false">IF(AND(Eingabe!$F$18&gt;0,Eingabe!$E$18&gt;=59),"PPSK: Passwort Parzelle 59","")</f>
        <v/>
      </c>
      <c r="K1885" s="21" t="str">
        <f aca="false">IF(AND(Eingabe!$F$18&gt;0,Eingabe!$E$18&gt;=59),"1. Gerät: 10."&amp;Eingabe!$D$18&amp;".59.10, 2. Gerät: .11","")</f>
        <v/>
      </c>
    </row>
    <row r="1886" customFormat="false" ht="15" hidden="false" customHeight="false" outlineLevel="0" collapsed="false">
      <c r="A1886" s="21" t="str">
        <f aca="false">IF(AND(Eingabe!$F$18&gt;0,Eingabe!$E$18&gt;=60),10,"")</f>
        <v/>
      </c>
      <c r="B1886" s="21" t="str">
        <f aca="false">IF(AND(Eingabe!$F$18&gt;0,Eingabe!$E$18&gt;=60),Eingabe!$B$18,"")</f>
        <v/>
      </c>
      <c r="C1886" s="21" t="str">
        <f aca="false">IF(AND(Eingabe!$F$18&gt;0,Eingabe!$E$18&gt;=60),Eingabe!$C$18&amp;"-Paz."&amp;TEXT(60,"000"),"")</f>
        <v/>
      </c>
      <c r="D1886" s="21" t="str">
        <f aca="false">IF(AND(Eingabe!$F$18&gt;0,Eingabe!$E$18&gt;=60),60,"")</f>
        <v/>
      </c>
      <c r="E1886" s="21" t="str">
        <f aca="false">IF(AND(Eingabe!$F$18&gt;0,Eingabe!$E$18&gt;=60),IF((Eingabe!$G$18)&lt;=9,1000+(Eingabe!$G$18)*100,3000)+60,"")</f>
        <v/>
      </c>
      <c r="F1886" s="21" t="str">
        <f aca="false">IF(AND(Eingabe!$F$18&gt;0,Eingabe!$E$18&gt;=60),"10."&amp;Eingabe!$D$18&amp;".60.0/24","")</f>
        <v/>
      </c>
      <c r="G1886" s="21" t="str">
        <f aca="false">IF(AND(Eingabe!$F$18&gt;0,Eingabe!$E$18&gt;=60),"10."&amp;Eingabe!$D$18&amp;".60.1","")</f>
        <v/>
      </c>
      <c r="H1886" s="21" t="str">
        <f aca="false">IF(AND(Eingabe!$F$18&gt;0,Eingabe!$E$18&gt;=60),"10."&amp;Eingabe!$D$18&amp;".60.10 – 10."&amp;Eingabe!$D$18&amp;".60.250","")</f>
        <v/>
      </c>
      <c r="I1886" s="21" t="str">
        <f aca="false">IF(AND(Eingabe!$F$18&gt;0,Eingabe!$E$18&gt;=60),Eingabe!$B$6&amp;"-"&amp;Eingabe!$C$18&amp;"-Pächter","")</f>
        <v/>
      </c>
      <c r="J1886" s="21" t="str">
        <f aca="false">IF(AND(Eingabe!$F$18&gt;0,Eingabe!$E$18&gt;=60),"PPSK: Passwort Parzelle 60","")</f>
        <v/>
      </c>
      <c r="K1886" s="21" t="str">
        <f aca="false">IF(AND(Eingabe!$F$18&gt;0,Eingabe!$E$18&gt;=60),"1. Gerät: 10."&amp;Eingabe!$D$18&amp;".60.10, 2. Gerät: .11","")</f>
        <v/>
      </c>
    </row>
    <row r="1887" customFormat="false" ht="15" hidden="false" customHeight="false" outlineLevel="0" collapsed="false">
      <c r="A1887" s="21" t="str">
        <f aca="false">IF(AND(Eingabe!$F$18&gt;0,Eingabe!$E$18&gt;=61),10,"")</f>
        <v/>
      </c>
      <c r="B1887" s="21" t="str">
        <f aca="false">IF(AND(Eingabe!$F$18&gt;0,Eingabe!$E$18&gt;=61),Eingabe!$B$18,"")</f>
        <v/>
      </c>
      <c r="C1887" s="21" t="str">
        <f aca="false">IF(AND(Eingabe!$F$18&gt;0,Eingabe!$E$18&gt;=61),Eingabe!$C$18&amp;"-Paz."&amp;TEXT(61,"000"),"")</f>
        <v/>
      </c>
      <c r="D1887" s="21" t="str">
        <f aca="false">IF(AND(Eingabe!$F$18&gt;0,Eingabe!$E$18&gt;=61),61,"")</f>
        <v/>
      </c>
      <c r="E1887" s="21" t="str">
        <f aca="false">IF(AND(Eingabe!$F$18&gt;0,Eingabe!$E$18&gt;=61),IF((Eingabe!$G$18)&lt;=9,1000+(Eingabe!$G$18)*100,3000)+61,"")</f>
        <v/>
      </c>
      <c r="F1887" s="21" t="str">
        <f aca="false">IF(AND(Eingabe!$F$18&gt;0,Eingabe!$E$18&gt;=61),"10."&amp;Eingabe!$D$18&amp;".61.0/24","")</f>
        <v/>
      </c>
      <c r="G1887" s="21" t="str">
        <f aca="false">IF(AND(Eingabe!$F$18&gt;0,Eingabe!$E$18&gt;=61),"10."&amp;Eingabe!$D$18&amp;".61.1","")</f>
        <v/>
      </c>
      <c r="H1887" s="21" t="str">
        <f aca="false">IF(AND(Eingabe!$F$18&gt;0,Eingabe!$E$18&gt;=61),"10."&amp;Eingabe!$D$18&amp;".61.10 – 10."&amp;Eingabe!$D$18&amp;".61.250","")</f>
        <v/>
      </c>
      <c r="I1887" s="21" t="str">
        <f aca="false">IF(AND(Eingabe!$F$18&gt;0,Eingabe!$E$18&gt;=61),Eingabe!$B$6&amp;"-"&amp;Eingabe!$C$18&amp;"-Pächter","")</f>
        <v/>
      </c>
      <c r="J1887" s="21" t="str">
        <f aca="false">IF(AND(Eingabe!$F$18&gt;0,Eingabe!$E$18&gt;=61),"PPSK: Passwort Parzelle 61","")</f>
        <v/>
      </c>
      <c r="K1887" s="21" t="str">
        <f aca="false">IF(AND(Eingabe!$F$18&gt;0,Eingabe!$E$18&gt;=61),"1. Gerät: 10."&amp;Eingabe!$D$18&amp;".61.10, 2. Gerät: .11","")</f>
        <v/>
      </c>
    </row>
    <row r="1888" customFormat="false" ht="15" hidden="false" customHeight="false" outlineLevel="0" collapsed="false">
      <c r="A1888" s="21" t="str">
        <f aca="false">IF(AND(Eingabe!$F$18&gt;0,Eingabe!$E$18&gt;=62),10,"")</f>
        <v/>
      </c>
      <c r="B1888" s="21" t="str">
        <f aca="false">IF(AND(Eingabe!$F$18&gt;0,Eingabe!$E$18&gt;=62),Eingabe!$B$18,"")</f>
        <v/>
      </c>
      <c r="C1888" s="21" t="str">
        <f aca="false">IF(AND(Eingabe!$F$18&gt;0,Eingabe!$E$18&gt;=62),Eingabe!$C$18&amp;"-Paz."&amp;TEXT(62,"000"),"")</f>
        <v/>
      </c>
      <c r="D1888" s="21" t="str">
        <f aca="false">IF(AND(Eingabe!$F$18&gt;0,Eingabe!$E$18&gt;=62),62,"")</f>
        <v/>
      </c>
      <c r="E1888" s="21" t="str">
        <f aca="false">IF(AND(Eingabe!$F$18&gt;0,Eingabe!$E$18&gt;=62),IF((Eingabe!$G$18)&lt;=9,1000+(Eingabe!$G$18)*100,3000)+62,"")</f>
        <v/>
      </c>
      <c r="F1888" s="21" t="str">
        <f aca="false">IF(AND(Eingabe!$F$18&gt;0,Eingabe!$E$18&gt;=62),"10."&amp;Eingabe!$D$18&amp;".62.0/24","")</f>
        <v/>
      </c>
      <c r="G1888" s="21" t="str">
        <f aca="false">IF(AND(Eingabe!$F$18&gt;0,Eingabe!$E$18&gt;=62),"10."&amp;Eingabe!$D$18&amp;".62.1","")</f>
        <v/>
      </c>
      <c r="H1888" s="21" t="str">
        <f aca="false">IF(AND(Eingabe!$F$18&gt;0,Eingabe!$E$18&gt;=62),"10."&amp;Eingabe!$D$18&amp;".62.10 – 10."&amp;Eingabe!$D$18&amp;".62.250","")</f>
        <v/>
      </c>
      <c r="I1888" s="21" t="str">
        <f aca="false">IF(AND(Eingabe!$F$18&gt;0,Eingabe!$E$18&gt;=62),Eingabe!$B$6&amp;"-"&amp;Eingabe!$C$18&amp;"-Pächter","")</f>
        <v/>
      </c>
      <c r="J1888" s="21" t="str">
        <f aca="false">IF(AND(Eingabe!$F$18&gt;0,Eingabe!$E$18&gt;=62),"PPSK: Passwort Parzelle 62","")</f>
        <v/>
      </c>
      <c r="K1888" s="21" t="str">
        <f aca="false">IF(AND(Eingabe!$F$18&gt;0,Eingabe!$E$18&gt;=62),"1. Gerät: 10."&amp;Eingabe!$D$18&amp;".62.10, 2. Gerät: .11","")</f>
        <v/>
      </c>
    </row>
    <row r="1889" customFormat="false" ht="15" hidden="false" customHeight="false" outlineLevel="0" collapsed="false">
      <c r="A1889" s="21" t="str">
        <f aca="false">IF(AND(Eingabe!$F$18&gt;0,Eingabe!$E$18&gt;=63),10,"")</f>
        <v/>
      </c>
      <c r="B1889" s="21" t="str">
        <f aca="false">IF(AND(Eingabe!$F$18&gt;0,Eingabe!$E$18&gt;=63),Eingabe!$B$18,"")</f>
        <v/>
      </c>
      <c r="C1889" s="21" t="str">
        <f aca="false">IF(AND(Eingabe!$F$18&gt;0,Eingabe!$E$18&gt;=63),Eingabe!$C$18&amp;"-Paz."&amp;TEXT(63,"000"),"")</f>
        <v/>
      </c>
      <c r="D1889" s="21" t="str">
        <f aca="false">IF(AND(Eingabe!$F$18&gt;0,Eingabe!$E$18&gt;=63),63,"")</f>
        <v/>
      </c>
      <c r="E1889" s="21" t="str">
        <f aca="false">IF(AND(Eingabe!$F$18&gt;0,Eingabe!$E$18&gt;=63),IF((Eingabe!$G$18)&lt;=9,1000+(Eingabe!$G$18)*100,3000)+63,"")</f>
        <v/>
      </c>
      <c r="F1889" s="21" t="str">
        <f aca="false">IF(AND(Eingabe!$F$18&gt;0,Eingabe!$E$18&gt;=63),"10."&amp;Eingabe!$D$18&amp;".63.0/24","")</f>
        <v/>
      </c>
      <c r="G1889" s="21" t="str">
        <f aca="false">IF(AND(Eingabe!$F$18&gt;0,Eingabe!$E$18&gt;=63),"10."&amp;Eingabe!$D$18&amp;".63.1","")</f>
        <v/>
      </c>
      <c r="H1889" s="21" t="str">
        <f aca="false">IF(AND(Eingabe!$F$18&gt;0,Eingabe!$E$18&gt;=63),"10."&amp;Eingabe!$D$18&amp;".63.10 – 10."&amp;Eingabe!$D$18&amp;".63.250","")</f>
        <v/>
      </c>
      <c r="I1889" s="21" t="str">
        <f aca="false">IF(AND(Eingabe!$F$18&gt;0,Eingabe!$E$18&gt;=63),Eingabe!$B$6&amp;"-"&amp;Eingabe!$C$18&amp;"-Pächter","")</f>
        <v/>
      </c>
      <c r="J1889" s="21" t="str">
        <f aca="false">IF(AND(Eingabe!$F$18&gt;0,Eingabe!$E$18&gt;=63),"PPSK: Passwort Parzelle 63","")</f>
        <v/>
      </c>
      <c r="K1889" s="21" t="str">
        <f aca="false">IF(AND(Eingabe!$F$18&gt;0,Eingabe!$E$18&gt;=63),"1. Gerät: 10."&amp;Eingabe!$D$18&amp;".63.10, 2. Gerät: .11","")</f>
        <v/>
      </c>
    </row>
    <row r="1890" customFormat="false" ht="15" hidden="false" customHeight="false" outlineLevel="0" collapsed="false">
      <c r="A1890" s="21" t="str">
        <f aca="false">IF(AND(Eingabe!$F$18&gt;0,Eingabe!$E$18&gt;=64),10,"")</f>
        <v/>
      </c>
      <c r="B1890" s="21" t="str">
        <f aca="false">IF(AND(Eingabe!$F$18&gt;0,Eingabe!$E$18&gt;=64),Eingabe!$B$18,"")</f>
        <v/>
      </c>
      <c r="C1890" s="21" t="str">
        <f aca="false">IF(AND(Eingabe!$F$18&gt;0,Eingabe!$E$18&gt;=64),Eingabe!$C$18&amp;"-Paz."&amp;TEXT(64,"000"),"")</f>
        <v/>
      </c>
      <c r="D1890" s="21" t="str">
        <f aca="false">IF(AND(Eingabe!$F$18&gt;0,Eingabe!$E$18&gt;=64),64,"")</f>
        <v/>
      </c>
      <c r="E1890" s="21" t="str">
        <f aca="false">IF(AND(Eingabe!$F$18&gt;0,Eingabe!$E$18&gt;=64),IF((Eingabe!$G$18)&lt;=9,1000+(Eingabe!$G$18)*100,3000)+64,"")</f>
        <v/>
      </c>
      <c r="F1890" s="21" t="str">
        <f aca="false">IF(AND(Eingabe!$F$18&gt;0,Eingabe!$E$18&gt;=64),"10."&amp;Eingabe!$D$18&amp;".64.0/24","")</f>
        <v/>
      </c>
      <c r="G1890" s="21" t="str">
        <f aca="false">IF(AND(Eingabe!$F$18&gt;0,Eingabe!$E$18&gt;=64),"10."&amp;Eingabe!$D$18&amp;".64.1","")</f>
        <v/>
      </c>
      <c r="H1890" s="21" t="str">
        <f aca="false">IF(AND(Eingabe!$F$18&gt;0,Eingabe!$E$18&gt;=64),"10."&amp;Eingabe!$D$18&amp;".64.10 – 10."&amp;Eingabe!$D$18&amp;".64.250","")</f>
        <v/>
      </c>
      <c r="I1890" s="21" t="str">
        <f aca="false">IF(AND(Eingabe!$F$18&gt;0,Eingabe!$E$18&gt;=64),Eingabe!$B$6&amp;"-"&amp;Eingabe!$C$18&amp;"-Pächter","")</f>
        <v/>
      </c>
      <c r="J1890" s="21" t="str">
        <f aca="false">IF(AND(Eingabe!$F$18&gt;0,Eingabe!$E$18&gt;=64),"PPSK: Passwort Parzelle 64","")</f>
        <v/>
      </c>
      <c r="K1890" s="21" t="str">
        <f aca="false">IF(AND(Eingabe!$F$18&gt;0,Eingabe!$E$18&gt;=64),"1. Gerät: 10."&amp;Eingabe!$D$18&amp;".64.10, 2. Gerät: .11","")</f>
        <v/>
      </c>
    </row>
    <row r="1891" customFormat="false" ht="15" hidden="false" customHeight="false" outlineLevel="0" collapsed="false">
      <c r="A1891" s="21" t="str">
        <f aca="false">IF(AND(Eingabe!$F$18&gt;0,Eingabe!$E$18&gt;=65),10,"")</f>
        <v/>
      </c>
      <c r="B1891" s="21" t="str">
        <f aca="false">IF(AND(Eingabe!$F$18&gt;0,Eingabe!$E$18&gt;=65),Eingabe!$B$18,"")</f>
        <v/>
      </c>
      <c r="C1891" s="21" t="str">
        <f aca="false">IF(AND(Eingabe!$F$18&gt;0,Eingabe!$E$18&gt;=65),Eingabe!$C$18&amp;"-Paz."&amp;TEXT(65,"000"),"")</f>
        <v/>
      </c>
      <c r="D1891" s="21" t="str">
        <f aca="false">IF(AND(Eingabe!$F$18&gt;0,Eingabe!$E$18&gt;=65),65,"")</f>
        <v/>
      </c>
      <c r="E1891" s="21" t="str">
        <f aca="false">IF(AND(Eingabe!$F$18&gt;0,Eingabe!$E$18&gt;=65),IF((Eingabe!$G$18)&lt;=9,1000+(Eingabe!$G$18)*100,3000)+65,"")</f>
        <v/>
      </c>
      <c r="F1891" s="21" t="str">
        <f aca="false">IF(AND(Eingabe!$F$18&gt;0,Eingabe!$E$18&gt;=65),"10."&amp;Eingabe!$D$18&amp;".65.0/24","")</f>
        <v/>
      </c>
      <c r="G1891" s="21" t="str">
        <f aca="false">IF(AND(Eingabe!$F$18&gt;0,Eingabe!$E$18&gt;=65),"10."&amp;Eingabe!$D$18&amp;".65.1","")</f>
        <v/>
      </c>
      <c r="H1891" s="21" t="str">
        <f aca="false">IF(AND(Eingabe!$F$18&gt;0,Eingabe!$E$18&gt;=65),"10."&amp;Eingabe!$D$18&amp;".65.10 – 10."&amp;Eingabe!$D$18&amp;".65.250","")</f>
        <v/>
      </c>
      <c r="I1891" s="21" t="str">
        <f aca="false">IF(AND(Eingabe!$F$18&gt;0,Eingabe!$E$18&gt;=65),Eingabe!$B$6&amp;"-"&amp;Eingabe!$C$18&amp;"-Pächter","")</f>
        <v/>
      </c>
      <c r="J1891" s="21" t="str">
        <f aca="false">IF(AND(Eingabe!$F$18&gt;0,Eingabe!$E$18&gt;=65),"PPSK: Passwort Parzelle 65","")</f>
        <v/>
      </c>
      <c r="K1891" s="21" t="str">
        <f aca="false">IF(AND(Eingabe!$F$18&gt;0,Eingabe!$E$18&gt;=65),"1. Gerät: 10."&amp;Eingabe!$D$18&amp;".65.10, 2. Gerät: .11","")</f>
        <v/>
      </c>
    </row>
    <row r="1892" customFormat="false" ht="15" hidden="false" customHeight="false" outlineLevel="0" collapsed="false">
      <c r="A1892" s="21" t="str">
        <f aca="false">IF(AND(Eingabe!$F$18&gt;0,Eingabe!$E$18&gt;=66),10,"")</f>
        <v/>
      </c>
      <c r="B1892" s="21" t="str">
        <f aca="false">IF(AND(Eingabe!$F$18&gt;0,Eingabe!$E$18&gt;=66),Eingabe!$B$18,"")</f>
        <v/>
      </c>
      <c r="C1892" s="21" t="str">
        <f aca="false">IF(AND(Eingabe!$F$18&gt;0,Eingabe!$E$18&gt;=66),Eingabe!$C$18&amp;"-Paz."&amp;TEXT(66,"000"),"")</f>
        <v/>
      </c>
      <c r="D1892" s="21" t="str">
        <f aca="false">IF(AND(Eingabe!$F$18&gt;0,Eingabe!$E$18&gt;=66),66,"")</f>
        <v/>
      </c>
      <c r="E1892" s="21" t="str">
        <f aca="false">IF(AND(Eingabe!$F$18&gt;0,Eingabe!$E$18&gt;=66),IF((Eingabe!$G$18)&lt;=9,1000+(Eingabe!$G$18)*100,3000)+66,"")</f>
        <v/>
      </c>
      <c r="F1892" s="21" t="str">
        <f aca="false">IF(AND(Eingabe!$F$18&gt;0,Eingabe!$E$18&gt;=66),"10."&amp;Eingabe!$D$18&amp;".66.0/24","")</f>
        <v/>
      </c>
      <c r="G1892" s="21" t="str">
        <f aca="false">IF(AND(Eingabe!$F$18&gt;0,Eingabe!$E$18&gt;=66),"10."&amp;Eingabe!$D$18&amp;".66.1","")</f>
        <v/>
      </c>
      <c r="H1892" s="21" t="str">
        <f aca="false">IF(AND(Eingabe!$F$18&gt;0,Eingabe!$E$18&gt;=66),"10."&amp;Eingabe!$D$18&amp;".66.10 – 10."&amp;Eingabe!$D$18&amp;".66.250","")</f>
        <v/>
      </c>
      <c r="I1892" s="21" t="str">
        <f aca="false">IF(AND(Eingabe!$F$18&gt;0,Eingabe!$E$18&gt;=66),Eingabe!$B$6&amp;"-"&amp;Eingabe!$C$18&amp;"-Pächter","")</f>
        <v/>
      </c>
      <c r="J1892" s="21" t="str">
        <f aca="false">IF(AND(Eingabe!$F$18&gt;0,Eingabe!$E$18&gt;=66),"PPSK: Passwort Parzelle 66","")</f>
        <v/>
      </c>
      <c r="K1892" s="21" t="str">
        <f aca="false">IF(AND(Eingabe!$F$18&gt;0,Eingabe!$E$18&gt;=66),"1. Gerät: 10."&amp;Eingabe!$D$18&amp;".66.10, 2. Gerät: .11","")</f>
        <v/>
      </c>
    </row>
    <row r="1893" customFormat="false" ht="15" hidden="false" customHeight="false" outlineLevel="0" collapsed="false">
      <c r="A1893" s="21" t="str">
        <f aca="false">IF(AND(Eingabe!$F$18&gt;0,Eingabe!$E$18&gt;=67),10,"")</f>
        <v/>
      </c>
      <c r="B1893" s="21" t="str">
        <f aca="false">IF(AND(Eingabe!$F$18&gt;0,Eingabe!$E$18&gt;=67),Eingabe!$B$18,"")</f>
        <v/>
      </c>
      <c r="C1893" s="21" t="str">
        <f aca="false">IF(AND(Eingabe!$F$18&gt;0,Eingabe!$E$18&gt;=67),Eingabe!$C$18&amp;"-Paz."&amp;TEXT(67,"000"),"")</f>
        <v/>
      </c>
      <c r="D1893" s="21" t="str">
        <f aca="false">IF(AND(Eingabe!$F$18&gt;0,Eingabe!$E$18&gt;=67),67,"")</f>
        <v/>
      </c>
      <c r="E1893" s="21" t="str">
        <f aca="false">IF(AND(Eingabe!$F$18&gt;0,Eingabe!$E$18&gt;=67),IF((Eingabe!$G$18)&lt;=9,1000+(Eingabe!$G$18)*100,3000)+67,"")</f>
        <v/>
      </c>
      <c r="F1893" s="21" t="str">
        <f aca="false">IF(AND(Eingabe!$F$18&gt;0,Eingabe!$E$18&gt;=67),"10."&amp;Eingabe!$D$18&amp;".67.0/24","")</f>
        <v/>
      </c>
      <c r="G1893" s="21" t="str">
        <f aca="false">IF(AND(Eingabe!$F$18&gt;0,Eingabe!$E$18&gt;=67),"10."&amp;Eingabe!$D$18&amp;".67.1","")</f>
        <v/>
      </c>
      <c r="H1893" s="21" t="str">
        <f aca="false">IF(AND(Eingabe!$F$18&gt;0,Eingabe!$E$18&gt;=67),"10."&amp;Eingabe!$D$18&amp;".67.10 – 10."&amp;Eingabe!$D$18&amp;".67.250","")</f>
        <v/>
      </c>
      <c r="I1893" s="21" t="str">
        <f aca="false">IF(AND(Eingabe!$F$18&gt;0,Eingabe!$E$18&gt;=67),Eingabe!$B$6&amp;"-"&amp;Eingabe!$C$18&amp;"-Pächter","")</f>
        <v/>
      </c>
      <c r="J1893" s="21" t="str">
        <f aca="false">IF(AND(Eingabe!$F$18&gt;0,Eingabe!$E$18&gt;=67),"PPSK: Passwort Parzelle 67","")</f>
        <v/>
      </c>
      <c r="K1893" s="21" t="str">
        <f aca="false">IF(AND(Eingabe!$F$18&gt;0,Eingabe!$E$18&gt;=67),"1. Gerät: 10."&amp;Eingabe!$D$18&amp;".67.10, 2. Gerät: .11","")</f>
        <v/>
      </c>
    </row>
    <row r="1894" customFormat="false" ht="15" hidden="false" customHeight="false" outlineLevel="0" collapsed="false">
      <c r="A1894" s="21" t="str">
        <f aca="false">IF(AND(Eingabe!$F$18&gt;0,Eingabe!$E$18&gt;=68),10,"")</f>
        <v/>
      </c>
      <c r="B1894" s="21" t="str">
        <f aca="false">IF(AND(Eingabe!$F$18&gt;0,Eingabe!$E$18&gt;=68),Eingabe!$B$18,"")</f>
        <v/>
      </c>
      <c r="C1894" s="21" t="str">
        <f aca="false">IF(AND(Eingabe!$F$18&gt;0,Eingabe!$E$18&gt;=68),Eingabe!$C$18&amp;"-Paz."&amp;TEXT(68,"000"),"")</f>
        <v/>
      </c>
      <c r="D1894" s="21" t="str">
        <f aca="false">IF(AND(Eingabe!$F$18&gt;0,Eingabe!$E$18&gt;=68),68,"")</f>
        <v/>
      </c>
      <c r="E1894" s="21" t="str">
        <f aca="false">IF(AND(Eingabe!$F$18&gt;0,Eingabe!$E$18&gt;=68),IF((Eingabe!$G$18)&lt;=9,1000+(Eingabe!$G$18)*100,3000)+68,"")</f>
        <v/>
      </c>
      <c r="F1894" s="21" t="str">
        <f aca="false">IF(AND(Eingabe!$F$18&gt;0,Eingabe!$E$18&gt;=68),"10."&amp;Eingabe!$D$18&amp;".68.0/24","")</f>
        <v/>
      </c>
      <c r="G1894" s="21" t="str">
        <f aca="false">IF(AND(Eingabe!$F$18&gt;0,Eingabe!$E$18&gt;=68),"10."&amp;Eingabe!$D$18&amp;".68.1","")</f>
        <v/>
      </c>
      <c r="H1894" s="21" t="str">
        <f aca="false">IF(AND(Eingabe!$F$18&gt;0,Eingabe!$E$18&gt;=68),"10."&amp;Eingabe!$D$18&amp;".68.10 – 10."&amp;Eingabe!$D$18&amp;".68.250","")</f>
        <v/>
      </c>
      <c r="I1894" s="21" t="str">
        <f aca="false">IF(AND(Eingabe!$F$18&gt;0,Eingabe!$E$18&gt;=68),Eingabe!$B$6&amp;"-"&amp;Eingabe!$C$18&amp;"-Pächter","")</f>
        <v/>
      </c>
      <c r="J1894" s="21" t="str">
        <f aca="false">IF(AND(Eingabe!$F$18&gt;0,Eingabe!$E$18&gt;=68),"PPSK: Passwort Parzelle 68","")</f>
        <v/>
      </c>
      <c r="K1894" s="21" t="str">
        <f aca="false">IF(AND(Eingabe!$F$18&gt;0,Eingabe!$E$18&gt;=68),"1. Gerät: 10."&amp;Eingabe!$D$18&amp;".68.10, 2. Gerät: .11","")</f>
        <v/>
      </c>
    </row>
    <row r="1895" customFormat="false" ht="15" hidden="false" customHeight="false" outlineLevel="0" collapsed="false">
      <c r="A1895" s="21" t="str">
        <f aca="false">IF(AND(Eingabe!$F$18&gt;0,Eingabe!$E$18&gt;=69),10,"")</f>
        <v/>
      </c>
      <c r="B1895" s="21" t="str">
        <f aca="false">IF(AND(Eingabe!$F$18&gt;0,Eingabe!$E$18&gt;=69),Eingabe!$B$18,"")</f>
        <v/>
      </c>
      <c r="C1895" s="21" t="str">
        <f aca="false">IF(AND(Eingabe!$F$18&gt;0,Eingabe!$E$18&gt;=69),Eingabe!$C$18&amp;"-Paz."&amp;TEXT(69,"000"),"")</f>
        <v/>
      </c>
      <c r="D1895" s="21" t="str">
        <f aca="false">IF(AND(Eingabe!$F$18&gt;0,Eingabe!$E$18&gt;=69),69,"")</f>
        <v/>
      </c>
      <c r="E1895" s="21" t="str">
        <f aca="false">IF(AND(Eingabe!$F$18&gt;0,Eingabe!$E$18&gt;=69),IF((Eingabe!$G$18)&lt;=9,1000+(Eingabe!$G$18)*100,3000)+69,"")</f>
        <v/>
      </c>
      <c r="F1895" s="21" t="str">
        <f aca="false">IF(AND(Eingabe!$F$18&gt;0,Eingabe!$E$18&gt;=69),"10."&amp;Eingabe!$D$18&amp;".69.0/24","")</f>
        <v/>
      </c>
      <c r="G1895" s="21" t="str">
        <f aca="false">IF(AND(Eingabe!$F$18&gt;0,Eingabe!$E$18&gt;=69),"10."&amp;Eingabe!$D$18&amp;".69.1","")</f>
        <v/>
      </c>
      <c r="H1895" s="21" t="str">
        <f aca="false">IF(AND(Eingabe!$F$18&gt;0,Eingabe!$E$18&gt;=69),"10."&amp;Eingabe!$D$18&amp;".69.10 – 10."&amp;Eingabe!$D$18&amp;".69.250","")</f>
        <v/>
      </c>
      <c r="I1895" s="21" t="str">
        <f aca="false">IF(AND(Eingabe!$F$18&gt;0,Eingabe!$E$18&gt;=69),Eingabe!$B$6&amp;"-"&amp;Eingabe!$C$18&amp;"-Pächter","")</f>
        <v/>
      </c>
      <c r="J1895" s="21" t="str">
        <f aca="false">IF(AND(Eingabe!$F$18&gt;0,Eingabe!$E$18&gt;=69),"PPSK: Passwort Parzelle 69","")</f>
        <v/>
      </c>
      <c r="K1895" s="21" t="str">
        <f aca="false">IF(AND(Eingabe!$F$18&gt;0,Eingabe!$E$18&gt;=69),"1. Gerät: 10."&amp;Eingabe!$D$18&amp;".69.10, 2. Gerät: .11","")</f>
        <v/>
      </c>
    </row>
    <row r="1896" customFormat="false" ht="15" hidden="false" customHeight="false" outlineLevel="0" collapsed="false">
      <c r="A1896" s="21" t="str">
        <f aca="false">IF(AND(Eingabe!$F$18&gt;0,Eingabe!$E$18&gt;=70),10,"")</f>
        <v/>
      </c>
      <c r="B1896" s="21" t="str">
        <f aca="false">IF(AND(Eingabe!$F$18&gt;0,Eingabe!$E$18&gt;=70),Eingabe!$B$18,"")</f>
        <v/>
      </c>
      <c r="C1896" s="21" t="str">
        <f aca="false">IF(AND(Eingabe!$F$18&gt;0,Eingabe!$E$18&gt;=70),Eingabe!$C$18&amp;"-Paz."&amp;TEXT(70,"000"),"")</f>
        <v/>
      </c>
      <c r="D1896" s="21" t="str">
        <f aca="false">IF(AND(Eingabe!$F$18&gt;0,Eingabe!$E$18&gt;=70),70,"")</f>
        <v/>
      </c>
      <c r="E1896" s="21" t="str">
        <f aca="false">IF(AND(Eingabe!$F$18&gt;0,Eingabe!$E$18&gt;=70),IF((Eingabe!$G$18)&lt;=9,1000+(Eingabe!$G$18)*100,3000)+70,"")</f>
        <v/>
      </c>
      <c r="F1896" s="21" t="str">
        <f aca="false">IF(AND(Eingabe!$F$18&gt;0,Eingabe!$E$18&gt;=70),"10."&amp;Eingabe!$D$18&amp;".70.0/24","")</f>
        <v/>
      </c>
      <c r="G1896" s="21" t="str">
        <f aca="false">IF(AND(Eingabe!$F$18&gt;0,Eingabe!$E$18&gt;=70),"10."&amp;Eingabe!$D$18&amp;".70.1","")</f>
        <v/>
      </c>
      <c r="H1896" s="21" t="str">
        <f aca="false">IF(AND(Eingabe!$F$18&gt;0,Eingabe!$E$18&gt;=70),"10."&amp;Eingabe!$D$18&amp;".70.10 – 10."&amp;Eingabe!$D$18&amp;".70.250","")</f>
        <v/>
      </c>
      <c r="I1896" s="21" t="str">
        <f aca="false">IF(AND(Eingabe!$F$18&gt;0,Eingabe!$E$18&gt;=70),Eingabe!$B$6&amp;"-"&amp;Eingabe!$C$18&amp;"-Pächter","")</f>
        <v/>
      </c>
      <c r="J1896" s="21" t="str">
        <f aca="false">IF(AND(Eingabe!$F$18&gt;0,Eingabe!$E$18&gt;=70),"PPSK: Passwort Parzelle 70","")</f>
        <v/>
      </c>
      <c r="K1896" s="21" t="str">
        <f aca="false">IF(AND(Eingabe!$F$18&gt;0,Eingabe!$E$18&gt;=70),"1. Gerät: 10."&amp;Eingabe!$D$18&amp;".70.10, 2. Gerät: .11","")</f>
        <v/>
      </c>
    </row>
    <row r="1897" customFormat="false" ht="15" hidden="false" customHeight="false" outlineLevel="0" collapsed="false">
      <c r="A1897" s="21" t="str">
        <f aca="false">IF(AND(Eingabe!$F$18&gt;0,Eingabe!$E$18&gt;=71),10,"")</f>
        <v/>
      </c>
      <c r="B1897" s="21" t="str">
        <f aca="false">IF(AND(Eingabe!$F$18&gt;0,Eingabe!$E$18&gt;=71),Eingabe!$B$18,"")</f>
        <v/>
      </c>
      <c r="C1897" s="21" t="str">
        <f aca="false">IF(AND(Eingabe!$F$18&gt;0,Eingabe!$E$18&gt;=71),Eingabe!$C$18&amp;"-Paz."&amp;TEXT(71,"000"),"")</f>
        <v/>
      </c>
      <c r="D1897" s="21" t="str">
        <f aca="false">IF(AND(Eingabe!$F$18&gt;0,Eingabe!$E$18&gt;=71),71,"")</f>
        <v/>
      </c>
      <c r="E1897" s="21" t="str">
        <f aca="false">IF(AND(Eingabe!$F$18&gt;0,Eingabe!$E$18&gt;=71),IF((Eingabe!$G$18)&lt;=9,1000+(Eingabe!$G$18)*100,3000)+71,"")</f>
        <v/>
      </c>
      <c r="F1897" s="21" t="str">
        <f aca="false">IF(AND(Eingabe!$F$18&gt;0,Eingabe!$E$18&gt;=71),"10."&amp;Eingabe!$D$18&amp;".71.0/24","")</f>
        <v/>
      </c>
      <c r="G1897" s="21" t="str">
        <f aca="false">IF(AND(Eingabe!$F$18&gt;0,Eingabe!$E$18&gt;=71),"10."&amp;Eingabe!$D$18&amp;".71.1","")</f>
        <v/>
      </c>
      <c r="H1897" s="21" t="str">
        <f aca="false">IF(AND(Eingabe!$F$18&gt;0,Eingabe!$E$18&gt;=71),"10."&amp;Eingabe!$D$18&amp;".71.10 – 10."&amp;Eingabe!$D$18&amp;".71.250","")</f>
        <v/>
      </c>
      <c r="I1897" s="21" t="str">
        <f aca="false">IF(AND(Eingabe!$F$18&gt;0,Eingabe!$E$18&gt;=71),Eingabe!$B$6&amp;"-"&amp;Eingabe!$C$18&amp;"-Pächter","")</f>
        <v/>
      </c>
      <c r="J1897" s="21" t="str">
        <f aca="false">IF(AND(Eingabe!$F$18&gt;0,Eingabe!$E$18&gt;=71),"PPSK: Passwort Parzelle 71","")</f>
        <v/>
      </c>
      <c r="K1897" s="21" t="str">
        <f aca="false">IF(AND(Eingabe!$F$18&gt;0,Eingabe!$E$18&gt;=71),"1. Gerät: 10."&amp;Eingabe!$D$18&amp;".71.10, 2. Gerät: .11","")</f>
        <v/>
      </c>
    </row>
    <row r="1898" customFormat="false" ht="15" hidden="false" customHeight="false" outlineLevel="0" collapsed="false">
      <c r="A1898" s="21" t="str">
        <f aca="false">IF(AND(Eingabe!$F$18&gt;0,Eingabe!$E$18&gt;=72),10,"")</f>
        <v/>
      </c>
      <c r="B1898" s="21" t="str">
        <f aca="false">IF(AND(Eingabe!$F$18&gt;0,Eingabe!$E$18&gt;=72),Eingabe!$B$18,"")</f>
        <v/>
      </c>
      <c r="C1898" s="21" t="str">
        <f aca="false">IF(AND(Eingabe!$F$18&gt;0,Eingabe!$E$18&gt;=72),Eingabe!$C$18&amp;"-Paz."&amp;TEXT(72,"000"),"")</f>
        <v/>
      </c>
      <c r="D1898" s="21" t="str">
        <f aca="false">IF(AND(Eingabe!$F$18&gt;0,Eingabe!$E$18&gt;=72),72,"")</f>
        <v/>
      </c>
      <c r="E1898" s="21" t="str">
        <f aca="false">IF(AND(Eingabe!$F$18&gt;0,Eingabe!$E$18&gt;=72),IF((Eingabe!$G$18)&lt;=9,1000+(Eingabe!$G$18)*100,3000)+72,"")</f>
        <v/>
      </c>
      <c r="F1898" s="21" t="str">
        <f aca="false">IF(AND(Eingabe!$F$18&gt;0,Eingabe!$E$18&gt;=72),"10."&amp;Eingabe!$D$18&amp;".72.0/24","")</f>
        <v/>
      </c>
      <c r="G1898" s="21" t="str">
        <f aca="false">IF(AND(Eingabe!$F$18&gt;0,Eingabe!$E$18&gt;=72),"10."&amp;Eingabe!$D$18&amp;".72.1","")</f>
        <v/>
      </c>
      <c r="H1898" s="21" t="str">
        <f aca="false">IF(AND(Eingabe!$F$18&gt;0,Eingabe!$E$18&gt;=72),"10."&amp;Eingabe!$D$18&amp;".72.10 – 10."&amp;Eingabe!$D$18&amp;".72.250","")</f>
        <v/>
      </c>
      <c r="I1898" s="21" t="str">
        <f aca="false">IF(AND(Eingabe!$F$18&gt;0,Eingabe!$E$18&gt;=72),Eingabe!$B$6&amp;"-"&amp;Eingabe!$C$18&amp;"-Pächter","")</f>
        <v/>
      </c>
      <c r="J1898" s="21" t="str">
        <f aca="false">IF(AND(Eingabe!$F$18&gt;0,Eingabe!$E$18&gt;=72),"PPSK: Passwort Parzelle 72","")</f>
        <v/>
      </c>
      <c r="K1898" s="21" t="str">
        <f aca="false">IF(AND(Eingabe!$F$18&gt;0,Eingabe!$E$18&gt;=72),"1. Gerät: 10."&amp;Eingabe!$D$18&amp;".72.10, 2. Gerät: .11","")</f>
        <v/>
      </c>
    </row>
    <row r="1899" customFormat="false" ht="15" hidden="false" customHeight="false" outlineLevel="0" collapsed="false">
      <c r="A1899" s="21" t="str">
        <f aca="false">IF(AND(Eingabe!$F$18&gt;0,Eingabe!$E$18&gt;=73),10,"")</f>
        <v/>
      </c>
      <c r="B1899" s="21" t="str">
        <f aca="false">IF(AND(Eingabe!$F$18&gt;0,Eingabe!$E$18&gt;=73),Eingabe!$B$18,"")</f>
        <v/>
      </c>
      <c r="C1899" s="21" t="str">
        <f aca="false">IF(AND(Eingabe!$F$18&gt;0,Eingabe!$E$18&gt;=73),Eingabe!$C$18&amp;"-Paz."&amp;TEXT(73,"000"),"")</f>
        <v/>
      </c>
      <c r="D1899" s="21" t="str">
        <f aca="false">IF(AND(Eingabe!$F$18&gt;0,Eingabe!$E$18&gt;=73),73,"")</f>
        <v/>
      </c>
      <c r="E1899" s="21" t="str">
        <f aca="false">IF(AND(Eingabe!$F$18&gt;0,Eingabe!$E$18&gt;=73),IF((Eingabe!$G$18)&lt;=9,1000+(Eingabe!$G$18)*100,3000)+73,"")</f>
        <v/>
      </c>
      <c r="F1899" s="21" t="str">
        <f aca="false">IF(AND(Eingabe!$F$18&gt;0,Eingabe!$E$18&gt;=73),"10."&amp;Eingabe!$D$18&amp;".73.0/24","")</f>
        <v/>
      </c>
      <c r="G1899" s="21" t="str">
        <f aca="false">IF(AND(Eingabe!$F$18&gt;0,Eingabe!$E$18&gt;=73),"10."&amp;Eingabe!$D$18&amp;".73.1","")</f>
        <v/>
      </c>
      <c r="H1899" s="21" t="str">
        <f aca="false">IF(AND(Eingabe!$F$18&gt;0,Eingabe!$E$18&gt;=73),"10."&amp;Eingabe!$D$18&amp;".73.10 – 10."&amp;Eingabe!$D$18&amp;".73.250","")</f>
        <v/>
      </c>
      <c r="I1899" s="21" t="str">
        <f aca="false">IF(AND(Eingabe!$F$18&gt;0,Eingabe!$E$18&gt;=73),Eingabe!$B$6&amp;"-"&amp;Eingabe!$C$18&amp;"-Pächter","")</f>
        <v/>
      </c>
      <c r="J1899" s="21" t="str">
        <f aca="false">IF(AND(Eingabe!$F$18&gt;0,Eingabe!$E$18&gt;=73),"PPSK: Passwort Parzelle 73","")</f>
        <v/>
      </c>
      <c r="K1899" s="21" t="str">
        <f aca="false">IF(AND(Eingabe!$F$18&gt;0,Eingabe!$E$18&gt;=73),"1. Gerät: 10."&amp;Eingabe!$D$18&amp;".73.10, 2. Gerät: .11","")</f>
        <v/>
      </c>
    </row>
    <row r="1900" customFormat="false" ht="15" hidden="false" customHeight="false" outlineLevel="0" collapsed="false">
      <c r="A1900" s="21" t="str">
        <f aca="false">IF(AND(Eingabe!$F$18&gt;0,Eingabe!$E$18&gt;=74),10,"")</f>
        <v/>
      </c>
      <c r="B1900" s="21" t="str">
        <f aca="false">IF(AND(Eingabe!$F$18&gt;0,Eingabe!$E$18&gt;=74),Eingabe!$B$18,"")</f>
        <v/>
      </c>
      <c r="C1900" s="21" t="str">
        <f aca="false">IF(AND(Eingabe!$F$18&gt;0,Eingabe!$E$18&gt;=74),Eingabe!$C$18&amp;"-Paz."&amp;TEXT(74,"000"),"")</f>
        <v/>
      </c>
      <c r="D1900" s="21" t="str">
        <f aca="false">IF(AND(Eingabe!$F$18&gt;0,Eingabe!$E$18&gt;=74),74,"")</f>
        <v/>
      </c>
      <c r="E1900" s="21" t="str">
        <f aca="false">IF(AND(Eingabe!$F$18&gt;0,Eingabe!$E$18&gt;=74),IF((Eingabe!$G$18)&lt;=9,1000+(Eingabe!$G$18)*100,3000)+74,"")</f>
        <v/>
      </c>
      <c r="F1900" s="21" t="str">
        <f aca="false">IF(AND(Eingabe!$F$18&gt;0,Eingabe!$E$18&gt;=74),"10."&amp;Eingabe!$D$18&amp;".74.0/24","")</f>
        <v/>
      </c>
      <c r="G1900" s="21" t="str">
        <f aca="false">IF(AND(Eingabe!$F$18&gt;0,Eingabe!$E$18&gt;=74),"10."&amp;Eingabe!$D$18&amp;".74.1","")</f>
        <v/>
      </c>
      <c r="H1900" s="21" t="str">
        <f aca="false">IF(AND(Eingabe!$F$18&gt;0,Eingabe!$E$18&gt;=74),"10."&amp;Eingabe!$D$18&amp;".74.10 – 10."&amp;Eingabe!$D$18&amp;".74.250","")</f>
        <v/>
      </c>
      <c r="I1900" s="21" t="str">
        <f aca="false">IF(AND(Eingabe!$F$18&gt;0,Eingabe!$E$18&gt;=74),Eingabe!$B$6&amp;"-"&amp;Eingabe!$C$18&amp;"-Pächter","")</f>
        <v/>
      </c>
      <c r="J1900" s="21" t="str">
        <f aca="false">IF(AND(Eingabe!$F$18&gt;0,Eingabe!$E$18&gt;=74),"PPSK: Passwort Parzelle 74","")</f>
        <v/>
      </c>
      <c r="K1900" s="21" t="str">
        <f aca="false">IF(AND(Eingabe!$F$18&gt;0,Eingabe!$E$18&gt;=74),"1. Gerät: 10."&amp;Eingabe!$D$18&amp;".74.10, 2. Gerät: .11","")</f>
        <v/>
      </c>
    </row>
    <row r="1901" customFormat="false" ht="15" hidden="false" customHeight="false" outlineLevel="0" collapsed="false">
      <c r="A1901" s="21" t="str">
        <f aca="false">IF(AND(Eingabe!$F$18&gt;0,Eingabe!$E$18&gt;=75),10,"")</f>
        <v/>
      </c>
      <c r="B1901" s="21" t="str">
        <f aca="false">IF(AND(Eingabe!$F$18&gt;0,Eingabe!$E$18&gt;=75),Eingabe!$B$18,"")</f>
        <v/>
      </c>
      <c r="C1901" s="21" t="str">
        <f aca="false">IF(AND(Eingabe!$F$18&gt;0,Eingabe!$E$18&gt;=75),Eingabe!$C$18&amp;"-Paz."&amp;TEXT(75,"000"),"")</f>
        <v/>
      </c>
      <c r="D1901" s="21" t="str">
        <f aca="false">IF(AND(Eingabe!$F$18&gt;0,Eingabe!$E$18&gt;=75),75,"")</f>
        <v/>
      </c>
      <c r="E1901" s="21" t="str">
        <f aca="false">IF(AND(Eingabe!$F$18&gt;0,Eingabe!$E$18&gt;=75),IF((Eingabe!$G$18)&lt;=9,1000+(Eingabe!$G$18)*100,3000)+75,"")</f>
        <v/>
      </c>
      <c r="F1901" s="21" t="str">
        <f aca="false">IF(AND(Eingabe!$F$18&gt;0,Eingabe!$E$18&gt;=75),"10."&amp;Eingabe!$D$18&amp;".75.0/24","")</f>
        <v/>
      </c>
      <c r="G1901" s="21" t="str">
        <f aca="false">IF(AND(Eingabe!$F$18&gt;0,Eingabe!$E$18&gt;=75),"10."&amp;Eingabe!$D$18&amp;".75.1","")</f>
        <v/>
      </c>
      <c r="H1901" s="21" t="str">
        <f aca="false">IF(AND(Eingabe!$F$18&gt;0,Eingabe!$E$18&gt;=75),"10."&amp;Eingabe!$D$18&amp;".75.10 – 10."&amp;Eingabe!$D$18&amp;".75.250","")</f>
        <v/>
      </c>
      <c r="I1901" s="21" t="str">
        <f aca="false">IF(AND(Eingabe!$F$18&gt;0,Eingabe!$E$18&gt;=75),Eingabe!$B$6&amp;"-"&amp;Eingabe!$C$18&amp;"-Pächter","")</f>
        <v/>
      </c>
      <c r="J1901" s="21" t="str">
        <f aca="false">IF(AND(Eingabe!$F$18&gt;0,Eingabe!$E$18&gt;=75),"PPSK: Passwort Parzelle 75","")</f>
        <v/>
      </c>
      <c r="K1901" s="21" t="str">
        <f aca="false">IF(AND(Eingabe!$F$18&gt;0,Eingabe!$E$18&gt;=75),"1. Gerät: 10."&amp;Eingabe!$D$18&amp;".75.10, 2. Gerät: .11","")</f>
        <v/>
      </c>
    </row>
    <row r="1902" customFormat="false" ht="15" hidden="false" customHeight="false" outlineLevel="0" collapsed="false">
      <c r="A1902" s="21" t="str">
        <f aca="false">IF(AND(Eingabe!$F$18&gt;0,Eingabe!$E$18&gt;=76),10,"")</f>
        <v/>
      </c>
      <c r="B1902" s="21" t="str">
        <f aca="false">IF(AND(Eingabe!$F$18&gt;0,Eingabe!$E$18&gt;=76),Eingabe!$B$18,"")</f>
        <v/>
      </c>
      <c r="C1902" s="21" t="str">
        <f aca="false">IF(AND(Eingabe!$F$18&gt;0,Eingabe!$E$18&gt;=76),Eingabe!$C$18&amp;"-Paz."&amp;TEXT(76,"000"),"")</f>
        <v/>
      </c>
      <c r="D1902" s="21" t="str">
        <f aca="false">IF(AND(Eingabe!$F$18&gt;0,Eingabe!$E$18&gt;=76),76,"")</f>
        <v/>
      </c>
      <c r="E1902" s="21" t="str">
        <f aca="false">IF(AND(Eingabe!$F$18&gt;0,Eingabe!$E$18&gt;=76),IF((Eingabe!$G$18)&lt;=9,1000+(Eingabe!$G$18)*100,3000)+76,"")</f>
        <v/>
      </c>
      <c r="F1902" s="21" t="str">
        <f aca="false">IF(AND(Eingabe!$F$18&gt;0,Eingabe!$E$18&gt;=76),"10."&amp;Eingabe!$D$18&amp;".76.0/24","")</f>
        <v/>
      </c>
      <c r="G1902" s="21" t="str">
        <f aca="false">IF(AND(Eingabe!$F$18&gt;0,Eingabe!$E$18&gt;=76),"10."&amp;Eingabe!$D$18&amp;".76.1","")</f>
        <v/>
      </c>
      <c r="H1902" s="21" t="str">
        <f aca="false">IF(AND(Eingabe!$F$18&gt;0,Eingabe!$E$18&gt;=76),"10."&amp;Eingabe!$D$18&amp;".76.10 – 10."&amp;Eingabe!$D$18&amp;".76.250","")</f>
        <v/>
      </c>
      <c r="I1902" s="21" t="str">
        <f aca="false">IF(AND(Eingabe!$F$18&gt;0,Eingabe!$E$18&gt;=76),Eingabe!$B$6&amp;"-"&amp;Eingabe!$C$18&amp;"-Pächter","")</f>
        <v/>
      </c>
      <c r="J1902" s="21" t="str">
        <f aca="false">IF(AND(Eingabe!$F$18&gt;0,Eingabe!$E$18&gt;=76),"PPSK: Passwort Parzelle 76","")</f>
        <v/>
      </c>
      <c r="K1902" s="21" t="str">
        <f aca="false">IF(AND(Eingabe!$F$18&gt;0,Eingabe!$E$18&gt;=76),"1. Gerät: 10."&amp;Eingabe!$D$18&amp;".76.10, 2. Gerät: .11","")</f>
        <v/>
      </c>
    </row>
    <row r="1903" customFormat="false" ht="15" hidden="false" customHeight="false" outlineLevel="0" collapsed="false">
      <c r="A1903" s="21" t="str">
        <f aca="false">IF(AND(Eingabe!$F$18&gt;0,Eingabe!$E$18&gt;=77),10,"")</f>
        <v/>
      </c>
      <c r="B1903" s="21" t="str">
        <f aca="false">IF(AND(Eingabe!$F$18&gt;0,Eingabe!$E$18&gt;=77),Eingabe!$B$18,"")</f>
        <v/>
      </c>
      <c r="C1903" s="21" t="str">
        <f aca="false">IF(AND(Eingabe!$F$18&gt;0,Eingabe!$E$18&gt;=77),Eingabe!$C$18&amp;"-Paz."&amp;TEXT(77,"000"),"")</f>
        <v/>
      </c>
      <c r="D1903" s="21" t="str">
        <f aca="false">IF(AND(Eingabe!$F$18&gt;0,Eingabe!$E$18&gt;=77),77,"")</f>
        <v/>
      </c>
      <c r="E1903" s="21" t="str">
        <f aca="false">IF(AND(Eingabe!$F$18&gt;0,Eingabe!$E$18&gt;=77),IF((Eingabe!$G$18)&lt;=9,1000+(Eingabe!$G$18)*100,3000)+77,"")</f>
        <v/>
      </c>
      <c r="F1903" s="21" t="str">
        <f aca="false">IF(AND(Eingabe!$F$18&gt;0,Eingabe!$E$18&gt;=77),"10."&amp;Eingabe!$D$18&amp;".77.0/24","")</f>
        <v/>
      </c>
      <c r="G1903" s="21" t="str">
        <f aca="false">IF(AND(Eingabe!$F$18&gt;0,Eingabe!$E$18&gt;=77),"10."&amp;Eingabe!$D$18&amp;".77.1","")</f>
        <v/>
      </c>
      <c r="H1903" s="21" t="str">
        <f aca="false">IF(AND(Eingabe!$F$18&gt;0,Eingabe!$E$18&gt;=77),"10."&amp;Eingabe!$D$18&amp;".77.10 – 10."&amp;Eingabe!$D$18&amp;".77.250","")</f>
        <v/>
      </c>
      <c r="I1903" s="21" t="str">
        <f aca="false">IF(AND(Eingabe!$F$18&gt;0,Eingabe!$E$18&gt;=77),Eingabe!$B$6&amp;"-"&amp;Eingabe!$C$18&amp;"-Pächter","")</f>
        <v/>
      </c>
      <c r="J1903" s="21" t="str">
        <f aca="false">IF(AND(Eingabe!$F$18&gt;0,Eingabe!$E$18&gt;=77),"PPSK: Passwort Parzelle 77","")</f>
        <v/>
      </c>
      <c r="K1903" s="21" t="str">
        <f aca="false">IF(AND(Eingabe!$F$18&gt;0,Eingabe!$E$18&gt;=77),"1. Gerät: 10."&amp;Eingabe!$D$18&amp;".77.10, 2. Gerät: .11","")</f>
        <v/>
      </c>
    </row>
    <row r="1904" customFormat="false" ht="15" hidden="false" customHeight="false" outlineLevel="0" collapsed="false">
      <c r="A1904" s="21" t="str">
        <f aca="false">IF(AND(Eingabe!$F$18&gt;0,Eingabe!$E$18&gt;=78),10,"")</f>
        <v/>
      </c>
      <c r="B1904" s="21" t="str">
        <f aca="false">IF(AND(Eingabe!$F$18&gt;0,Eingabe!$E$18&gt;=78),Eingabe!$B$18,"")</f>
        <v/>
      </c>
      <c r="C1904" s="21" t="str">
        <f aca="false">IF(AND(Eingabe!$F$18&gt;0,Eingabe!$E$18&gt;=78),Eingabe!$C$18&amp;"-Paz."&amp;TEXT(78,"000"),"")</f>
        <v/>
      </c>
      <c r="D1904" s="21" t="str">
        <f aca="false">IF(AND(Eingabe!$F$18&gt;0,Eingabe!$E$18&gt;=78),78,"")</f>
        <v/>
      </c>
      <c r="E1904" s="21" t="str">
        <f aca="false">IF(AND(Eingabe!$F$18&gt;0,Eingabe!$E$18&gt;=78),IF((Eingabe!$G$18)&lt;=9,1000+(Eingabe!$G$18)*100,3000)+78,"")</f>
        <v/>
      </c>
      <c r="F1904" s="21" t="str">
        <f aca="false">IF(AND(Eingabe!$F$18&gt;0,Eingabe!$E$18&gt;=78),"10."&amp;Eingabe!$D$18&amp;".78.0/24","")</f>
        <v/>
      </c>
      <c r="G1904" s="21" t="str">
        <f aca="false">IF(AND(Eingabe!$F$18&gt;0,Eingabe!$E$18&gt;=78),"10."&amp;Eingabe!$D$18&amp;".78.1","")</f>
        <v/>
      </c>
      <c r="H1904" s="21" t="str">
        <f aca="false">IF(AND(Eingabe!$F$18&gt;0,Eingabe!$E$18&gt;=78),"10."&amp;Eingabe!$D$18&amp;".78.10 – 10."&amp;Eingabe!$D$18&amp;".78.250","")</f>
        <v/>
      </c>
      <c r="I1904" s="21" t="str">
        <f aca="false">IF(AND(Eingabe!$F$18&gt;0,Eingabe!$E$18&gt;=78),Eingabe!$B$6&amp;"-"&amp;Eingabe!$C$18&amp;"-Pächter","")</f>
        <v/>
      </c>
      <c r="J1904" s="21" t="str">
        <f aca="false">IF(AND(Eingabe!$F$18&gt;0,Eingabe!$E$18&gt;=78),"PPSK: Passwort Parzelle 78","")</f>
        <v/>
      </c>
      <c r="K1904" s="21" t="str">
        <f aca="false">IF(AND(Eingabe!$F$18&gt;0,Eingabe!$E$18&gt;=78),"1. Gerät: 10."&amp;Eingabe!$D$18&amp;".78.10, 2. Gerät: .11","")</f>
        <v/>
      </c>
    </row>
    <row r="1905" customFormat="false" ht="15" hidden="false" customHeight="false" outlineLevel="0" collapsed="false">
      <c r="A1905" s="21" t="str">
        <f aca="false">IF(AND(Eingabe!$F$18&gt;0,Eingabe!$E$18&gt;=79),10,"")</f>
        <v/>
      </c>
      <c r="B1905" s="21" t="str">
        <f aca="false">IF(AND(Eingabe!$F$18&gt;0,Eingabe!$E$18&gt;=79),Eingabe!$B$18,"")</f>
        <v/>
      </c>
      <c r="C1905" s="21" t="str">
        <f aca="false">IF(AND(Eingabe!$F$18&gt;0,Eingabe!$E$18&gt;=79),Eingabe!$C$18&amp;"-Paz."&amp;TEXT(79,"000"),"")</f>
        <v/>
      </c>
      <c r="D1905" s="21" t="str">
        <f aca="false">IF(AND(Eingabe!$F$18&gt;0,Eingabe!$E$18&gt;=79),79,"")</f>
        <v/>
      </c>
      <c r="E1905" s="21" t="str">
        <f aca="false">IF(AND(Eingabe!$F$18&gt;0,Eingabe!$E$18&gt;=79),IF((Eingabe!$G$18)&lt;=9,1000+(Eingabe!$G$18)*100,3000)+79,"")</f>
        <v/>
      </c>
      <c r="F1905" s="21" t="str">
        <f aca="false">IF(AND(Eingabe!$F$18&gt;0,Eingabe!$E$18&gt;=79),"10."&amp;Eingabe!$D$18&amp;".79.0/24","")</f>
        <v/>
      </c>
      <c r="G1905" s="21" t="str">
        <f aca="false">IF(AND(Eingabe!$F$18&gt;0,Eingabe!$E$18&gt;=79),"10."&amp;Eingabe!$D$18&amp;".79.1","")</f>
        <v/>
      </c>
      <c r="H1905" s="21" t="str">
        <f aca="false">IF(AND(Eingabe!$F$18&gt;0,Eingabe!$E$18&gt;=79),"10."&amp;Eingabe!$D$18&amp;".79.10 – 10."&amp;Eingabe!$D$18&amp;".79.250","")</f>
        <v/>
      </c>
      <c r="I1905" s="21" t="str">
        <f aca="false">IF(AND(Eingabe!$F$18&gt;0,Eingabe!$E$18&gt;=79),Eingabe!$B$6&amp;"-"&amp;Eingabe!$C$18&amp;"-Pächter","")</f>
        <v/>
      </c>
      <c r="J1905" s="21" t="str">
        <f aca="false">IF(AND(Eingabe!$F$18&gt;0,Eingabe!$E$18&gt;=79),"PPSK: Passwort Parzelle 79","")</f>
        <v/>
      </c>
      <c r="K1905" s="21" t="str">
        <f aca="false">IF(AND(Eingabe!$F$18&gt;0,Eingabe!$E$18&gt;=79),"1. Gerät: 10."&amp;Eingabe!$D$18&amp;".79.10, 2. Gerät: .11","")</f>
        <v/>
      </c>
    </row>
    <row r="1906" customFormat="false" ht="15" hidden="false" customHeight="false" outlineLevel="0" collapsed="false">
      <c r="A1906" s="21" t="str">
        <f aca="false">IF(AND(Eingabe!$F$18&gt;0,Eingabe!$E$18&gt;=80),10,"")</f>
        <v/>
      </c>
      <c r="B1906" s="21" t="str">
        <f aca="false">IF(AND(Eingabe!$F$18&gt;0,Eingabe!$E$18&gt;=80),Eingabe!$B$18,"")</f>
        <v/>
      </c>
      <c r="C1906" s="21" t="str">
        <f aca="false">IF(AND(Eingabe!$F$18&gt;0,Eingabe!$E$18&gt;=80),Eingabe!$C$18&amp;"-Paz."&amp;TEXT(80,"000"),"")</f>
        <v/>
      </c>
      <c r="D1906" s="21" t="str">
        <f aca="false">IF(AND(Eingabe!$F$18&gt;0,Eingabe!$E$18&gt;=80),80,"")</f>
        <v/>
      </c>
      <c r="E1906" s="21" t="str">
        <f aca="false">IF(AND(Eingabe!$F$18&gt;0,Eingabe!$E$18&gt;=80),IF((Eingabe!$G$18)&lt;=9,1000+(Eingabe!$G$18)*100,3000)+80,"")</f>
        <v/>
      </c>
      <c r="F1906" s="21" t="str">
        <f aca="false">IF(AND(Eingabe!$F$18&gt;0,Eingabe!$E$18&gt;=80),"10."&amp;Eingabe!$D$18&amp;".80.0/24","")</f>
        <v/>
      </c>
      <c r="G1906" s="21" t="str">
        <f aca="false">IF(AND(Eingabe!$F$18&gt;0,Eingabe!$E$18&gt;=80),"10."&amp;Eingabe!$D$18&amp;".80.1","")</f>
        <v/>
      </c>
      <c r="H1906" s="21" t="str">
        <f aca="false">IF(AND(Eingabe!$F$18&gt;0,Eingabe!$E$18&gt;=80),"10."&amp;Eingabe!$D$18&amp;".80.10 – 10."&amp;Eingabe!$D$18&amp;".80.250","")</f>
        <v/>
      </c>
      <c r="I1906" s="21" t="str">
        <f aca="false">IF(AND(Eingabe!$F$18&gt;0,Eingabe!$E$18&gt;=80),Eingabe!$B$6&amp;"-"&amp;Eingabe!$C$18&amp;"-Pächter","")</f>
        <v/>
      </c>
      <c r="J1906" s="21" t="str">
        <f aca="false">IF(AND(Eingabe!$F$18&gt;0,Eingabe!$E$18&gt;=80),"PPSK: Passwort Parzelle 80","")</f>
        <v/>
      </c>
      <c r="K1906" s="21" t="str">
        <f aca="false">IF(AND(Eingabe!$F$18&gt;0,Eingabe!$E$18&gt;=80),"1. Gerät: 10."&amp;Eingabe!$D$18&amp;".80.10, 2. Gerät: .11","")</f>
        <v/>
      </c>
    </row>
    <row r="1907" customFormat="false" ht="15" hidden="false" customHeight="false" outlineLevel="0" collapsed="false">
      <c r="A1907" s="21" t="str">
        <f aca="false">IF(AND(Eingabe!$F$18&gt;0,Eingabe!$E$18&gt;=81),10,"")</f>
        <v/>
      </c>
      <c r="B1907" s="21" t="str">
        <f aca="false">IF(AND(Eingabe!$F$18&gt;0,Eingabe!$E$18&gt;=81),Eingabe!$B$18,"")</f>
        <v/>
      </c>
      <c r="C1907" s="21" t="str">
        <f aca="false">IF(AND(Eingabe!$F$18&gt;0,Eingabe!$E$18&gt;=81),Eingabe!$C$18&amp;"-Paz."&amp;TEXT(81,"000"),"")</f>
        <v/>
      </c>
      <c r="D1907" s="21" t="str">
        <f aca="false">IF(AND(Eingabe!$F$18&gt;0,Eingabe!$E$18&gt;=81),81,"")</f>
        <v/>
      </c>
      <c r="E1907" s="21" t="str">
        <f aca="false">IF(AND(Eingabe!$F$18&gt;0,Eingabe!$E$18&gt;=81),IF((Eingabe!$G$18)&lt;=9,1000+(Eingabe!$G$18)*100,3000)+81,"")</f>
        <v/>
      </c>
      <c r="F1907" s="21" t="str">
        <f aca="false">IF(AND(Eingabe!$F$18&gt;0,Eingabe!$E$18&gt;=81),"10."&amp;Eingabe!$D$18&amp;".81.0/24","")</f>
        <v/>
      </c>
      <c r="G1907" s="21" t="str">
        <f aca="false">IF(AND(Eingabe!$F$18&gt;0,Eingabe!$E$18&gt;=81),"10."&amp;Eingabe!$D$18&amp;".81.1","")</f>
        <v/>
      </c>
      <c r="H1907" s="21" t="str">
        <f aca="false">IF(AND(Eingabe!$F$18&gt;0,Eingabe!$E$18&gt;=81),"10."&amp;Eingabe!$D$18&amp;".81.10 – 10."&amp;Eingabe!$D$18&amp;".81.250","")</f>
        <v/>
      </c>
      <c r="I1907" s="21" t="str">
        <f aca="false">IF(AND(Eingabe!$F$18&gt;0,Eingabe!$E$18&gt;=81),Eingabe!$B$6&amp;"-"&amp;Eingabe!$C$18&amp;"-Pächter","")</f>
        <v/>
      </c>
      <c r="J1907" s="21" t="str">
        <f aca="false">IF(AND(Eingabe!$F$18&gt;0,Eingabe!$E$18&gt;=81),"PPSK: Passwort Parzelle 81","")</f>
        <v/>
      </c>
      <c r="K1907" s="21" t="str">
        <f aca="false">IF(AND(Eingabe!$F$18&gt;0,Eingabe!$E$18&gt;=81),"1. Gerät: 10."&amp;Eingabe!$D$18&amp;".81.10, 2. Gerät: .11","")</f>
        <v/>
      </c>
    </row>
    <row r="1908" customFormat="false" ht="15" hidden="false" customHeight="false" outlineLevel="0" collapsed="false">
      <c r="A1908" s="21" t="str">
        <f aca="false">IF(AND(Eingabe!$F$18&gt;0,Eingabe!$E$18&gt;=82),10,"")</f>
        <v/>
      </c>
      <c r="B1908" s="21" t="str">
        <f aca="false">IF(AND(Eingabe!$F$18&gt;0,Eingabe!$E$18&gt;=82),Eingabe!$B$18,"")</f>
        <v/>
      </c>
      <c r="C1908" s="21" t="str">
        <f aca="false">IF(AND(Eingabe!$F$18&gt;0,Eingabe!$E$18&gt;=82),Eingabe!$C$18&amp;"-Paz."&amp;TEXT(82,"000"),"")</f>
        <v/>
      </c>
      <c r="D1908" s="21" t="str">
        <f aca="false">IF(AND(Eingabe!$F$18&gt;0,Eingabe!$E$18&gt;=82),82,"")</f>
        <v/>
      </c>
      <c r="E1908" s="21" t="str">
        <f aca="false">IF(AND(Eingabe!$F$18&gt;0,Eingabe!$E$18&gt;=82),IF((Eingabe!$G$18)&lt;=9,1000+(Eingabe!$G$18)*100,3000)+82,"")</f>
        <v/>
      </c>
      <c r="F1908" s="21" t="str">
        <f aca="false">IF(AND(Eingabe!$F$18&gt;0,Eingabe!$E$18&gt;=82),"10."&amp;Eingabe!$D$18&amp;".82.0/24","")</f>
        <v/>
      </c>
      <c r="G1908" s="21" t="str">
        <f aca="false">IF(AND(Eingabe!$F$18&gt;0,Eingabe!$E$18&gt;=82),"10."&amp;Eingabe!$D$18&amp;".82.1","")</f>
        <v/>
      </c>
      <c r="H1908" s="21" t="str">
        <f aca="false">IF(AND(Eingabe!$F$18&gt;0,Eingabe!$E$18&gt;=82),"10."&amp;Eingabe!$D$18&amp;".82.10 – 10."&amp;Eingabe!$D$18&amp;".82.250","")</f>
        <v/>
      </c>
      <c r="I1908" s="21" t="str">
        <f aca="false">IF(AND(Eingabe!$F$18&gt;0,Eingabe!$E$18&gt;=82),Eingabe!$B$6&amp;"-"&amp;Eingabe!$C$18&amp;"-Pächter","")</f>
        <v/>
      </c>
      <c r="J1908" s="21" t="str">
        <f aca="false">IF(AND(Eingabe!$F$18&gt;0,Eingabe!$E$18&gt;=82),"PPSK: Passwort Parzelle 82","")</f>
        <v/>
      </c>
      <c r="K1908" s="21" t="str">
        <f aca="false">IF(AND(Eingabe!$F$18&gt;0,Eingabe!$E$18&gt;=82),"1. Gerät: 10."&amp;Eingabe!$D$18&amp;".82.10, 2. Gerät: .11","")</f>
        <v/>
      </c>
    </row>
    <row r="1909" customFormat="false" ht="15" hidden="false" customHeight="false" outlineLevel="0" collapsed="false">
      <c r="A1909" s="21" t="str">
        <f aca="false">IF(AND(Eingabe!$F$18&gt;0,Eingabe!$E$18&gt;=83),10,"")</f>
        <v/>
      </c>
      <c r="B1909" s="21" t="str">
        <f aca="false">IF(AND(Eingabe!$F$18&gt;0,Eingabe!$E$18&gt;=83),Eingabe!$B$18,"")</f>
        <v/>
      </c>
      <c r="C1909" s="21" t="str">
        <f aca="false">IF(AND(Eingabe!$F$18&gt;0,Eingabe!$E$18&gt;=83),Eingabe!$C$18&amp;"-Paz."&amp;TEXT(83,"000"),"")</f>
        <v/>
      </c>
      <c r="D1909" s="21" t="str">
        <f aca="false">IF(AND(Eingabe!$F$18&gt;0,Eingabe!$E$18&gt;=83),83,"")</f>
        <v/>
      </c>
      <c r="E1909" s="21" t="str">
        <f aca="false">IF(AND(Eingabe!$F$18&gt;0,Eingabe!$E$18&gt;=83),IF((Eingabe!$G$18)&lt;=9,1000+(Eingabe!$G$18)*100,3000)+83,"")</f>
        <v/>
      </c>
      <c r="F1909" s="21" t="str">
        <f aca="false">IF(AND(Eingabe!$F$18&gt;0,Eingabe!$E$18&gt;=83),"10."&amp;Eingabe!$D$18&amp;".83.0/24","")</f>
        <v/>
      </c>
      <c r="G1909" s="21" t="str">
        <f aca="false">IF(AND(Eingabe!$F$18&gt;0,Eingabe!$E$18&gt;=83),"10."&amp;Eingabe!$D$18&amp;".83.1","")</f>
        <v/>
      </c>
      <c r="H1909" s="21" t="str">
        <f aca="false">IF(AND(Eingabe!$F$18&gt;0,Eingabe!$E$18&gt;=83),"10."&amp;Eingabe!$D$18&amp;".83.10 – 10."&amp;Eingabe!$D$18&amp;".83.250","")</f>
        <v/>
      </c>
      <c r="I1909" s="21" t="str">
        <f aca="false">IF(AND(Eingabe!$F$18&gt;0,Eingabe!$E$18&gt;=83),Eingabe!$B$6&amp;"-"&amp;Eingabe!$C$18&amp;"-Pächter","")</f>
        <v/>
      </c>
      <c r="J1909" s="21" t="str">
        <f aca="false">IF(AND(Eingabe!$F$18&gt;0,Eingabe!$E$18&gt;=83),"PPSK: Passwort Parzelle 83","")</f>
        <v/>
      </c>
      <c r="K1909" s="21" t="str">
        <f aca="false">IF(AND(Eingabe!$F$18&gt;0,Eingabe!$E$18&gt;=83),"1. Gerät: 10."&amp;Eingabe!$D$18&amp;".83.10, 2. Gerät: .11","")</f>
        <v/>
      </c>
    </row>
    <row r="1910" customFormat="false" ht="15" hidden="false" customHeight="false" outlineLevel="0" collapsed="false">
      <c r="A1910" s="21" t="str">
        <f aca="false">IF(AND(Eingabe!$F$18&gt;0,Eingabe!$E$18&gt;=84),10,"")</f>
        <v/>
      </c>
      <c r="B1910" s="21" t="str">
        <f aca="false">IF(AND(Eingabe!$F$18&gt;0,Eingabe!$E$18&gt;=84),Eingabe!$B$18,"")</f>
        <v/>
      </c>
      <c r="C1910" s="21" t="str">
        <f aca="false">IF(AND(Eingabe!$F$18&gt;0,Eingabe!$E$18&gt;=84),Eingabe!$C$18&amp;"-Paz."&amp;TEXT(84,"000"),"")</f>
        <v/>
      </c>
      <c r="D1910" s="21" t="str">
        <f aca="false">IF(AND(Eingabe!$F$18&gt;0,Eingabe!$E$18&gt;=84),84,"")</f>
        <v/>
      </c>
      <c r="E1910" s="21" t="str">
        <f aca="false">IF(AND(Eingabe!$F$18&gt;0,Eingabe!$E$18&gt;=84),IF((Eingabe!$G$18)&lt;=9,1000+(Eingabe!$G$18)*100,3000)+84,"")</f>
        <v/>
      </c>
      <c r="F1910" s="21" t="str">
        <f aca="false">IF(AND(Eingabe!$F$18&gt;0,Eingabe!$E$18&gt;=84),"10."&amp;Eingabe!$D$18&amp;".84.0/24","")</f>
        <v/>
      </c>
      <c r="G1910" s="21" t="str">
        <f aca="false">IF(AND(Eingabe!$F$18&gt;0,Eingabe!$E$18&gt;=84),"10."&amp;Eingabe!$D$18&amp;".84.1","")</f>
        <v/>
      </c>
      <c r="H1910" s="21" t="str">
        <f aca="false">IF(AND(Eingabe!$F$18&gt;0,Eingabe!$E$18&gt;=84),"10."&amp;Eingabe!$D$18&amp;".84.10 – 10."&amp;Eingabe!$D$18&amp;".84.250","")</f>
        <v/>
      </c>
      <c r="I1910" s="21" t="str">
        <f aca="false">IF(AND(Eingabe!$F$18&gt;0,Eingabe!$E$18&gt;=84),Eingabe!$B$6&amp;"-"&amp;Eingabe!$C$18&amp;"-Pächter","")</f>
        <v/>
      </c>
      <c r="J1910" s="21" t="str">
        <f aca="false">IF(AND(Eingabe!$F$18&gt;0,Eingabe!$E$18&gt;=84),"PPSK: Passwort Parzelle 84","")</f>
        <v/>
      </c>
      <c r="K1910" s="21" t="str">
        <f aca="false">IF(AND(Eingabe!$F$18&gt;0,Eingabe!$E$18&gt;=84),"1. Gerät: 10."&amp;Eingabe!$D$18&amp;".84.10, 2. Gerät: .11","")</f>
        <v/>
      </c>
    </row>
    <row r="1911" customFormat="false" ht="15" hidden="false" customHeight="false" outlineLevel="0" collapsed="false">
      <c r="A1911" s="21" t="str">
        <f aca="false">IF(AND(Eingabe!$F$18&gt;0,Eingabe!$E$18&gt;=85),10,"")</f>
        <v/>
      </c>
      <c r="B1911" s="21" t="str">
        <f aca="false">IF(AND(Eingabe!$F$18&gt;0,Eingabe!$E$18&gt;=85),Eingabe!$B$18,"")</f>
        <v/>
      </c>
      <c r="C1911" s="21" t="str">
        <f aca="false">IF(AND(Eingabe!$F$18&gt;0,Eingabe!$E$18&gt;=85),Eingabe!$C$18&amp;"-Paz."&amp;TEXT(85,"000"),"")</f>
        <v/>
      </c>
      <c r="D1911" s="21" t="str">
        <f aca="false">IF(AND(Eingabe!$F$18&gt;0,Eingabe!$E$18&gt;=85),85,"")</f>
        <v/>
      </c>
      <c r="E1911" s="21" t="str">
        <f aca="false">IF(AND(Eingabe!$F$18&gt;0,Eingabe!$E$18&gt;=85),IF((Eingabe!$G$18)&lt;=9,1000+(Eingabe!$G$18)*100,3000)+85,"")</f>
        <v/>
      </c>
      <c r="F1911" s="21" t="str">
        <f aca="false">IF(AND(Eingabe!$F$18&gt;0,Eingabe!$E$18&gt;=85),"10."&amp;Eingabe!$D$18&amp;".85.0/24","")</f>
        <v/>
      </c>
      <c r="G1911" s="21" t="str">
        <f aca="false">IF(AND(Eingabe!$F$18&gt;0,Eingabe!$E$18&gt;=85),"10."&amp;Eingabe!$D$18&amp;".85.1","")</f>
        <v/>
      </c>
      <c r="H1911" s="21" t="str">
        <f aca="false">IF(AND(Eingabe!$F$18&gt;0,Eingabe!$E$18&gt;=85),"10."&amp;Eingabe!$D$18&amp;".85.10 – 10."&amp;Eingabe!$D$18&amp;".85.250","")</f>
        <v/>
      </c>
      <c r="I1911" s="21" t="str">
        <f aca="false">IF(AND(Eingabe!$F$18&gt;0,Eingabe!$E$18&gt;=85),Eingabe!$B$6&amp;"-"&amp;Eingabe!$C$18&amp;"-Pächter","")</f>
        <v/>
      </c>
      <c r="J1911" s="21" t="str">
        <f aca="false">IF(AND(Eingabe!$F$18&gt;0,Eingabe!$E$18&gt;=85),"PPSK: Passwort Parzelle 85","")</f>
        <v/>
      </c>
      <c r="K1911" s="21" t="str">
        <f aca="false">IF(AND(Eingabe!$F$18&gt;0,Eingabe!$E$18&gt;=85),"1. Gerät: 10."&amp;Eingabe!$D$18&amp;".85.10, 2. Gerät: .11","")</f>
        <v/>
      </c>
    </row>
    <row r="1912" customFormat="false" ht="15" hidden="false" customHeight="false" outlineLevel="0" collapsed="false">
      <c r="A1912" s="21" t="str">
        <f aca="false">IF(AND(Eingabe!$F$18&gt;0,Eingabe!$E$18&gt;=86),10,"")</f>
        <v/>
      </c>
      <c r="B1912" s="21" t="str">
        <f aca="false">IF(AND(Eingabe!$F$18&gt;0,Eingabe!$E$18&gt;=86),Eingabe!$B$18,"")</f>
        <v/>
      </c>
      <c r="C1912" s="21" t="str">
        <f aca="false">IF(AND(Eingabe!$F$18&gt;0,Eingabe!$E$18&gt;=86),Eingabe!$C$18&amp;"-Paz."&amp;TEXT(86,"000"),"")</f>
        <v/>
      </c>
      <c r="D1912" s="21" t="str">
        <f aca="false">IF(AND(Eingabe!$F$18&gt;0,Eingabe!$E$18&gt;=86),86,"")</f>
        <v/>
      </c>
      <c r="E1912" s="21" t="str">
        <f aca="false">IF(AND(Eingabe!$F$18&gt;0,Eingabe!$E$18&gt;=86),IF((Eingabe!$G$18)&lt;=9,1000+(Eingabe!$G$18)*100,3000)+86,"")</f>
        <v/>
      </c>
      <c r="F1912" s="21" t="str">
        <f aca="false">IF(AND(Eingabe!$F$18&gt;0,Eingabe!$E$18&gt;=86),"10."&amp;Eingabe!$D$18&amp;".86.0/24","")</f>
        <v/>
      </c>
      <c r="G1912" s="21" t="str">
        <f aca="false">IF(AND(Eingabe!$F$18&gt;0,Eingabe!$E$18&gt;=86),"10."&amp;Eingabe!$D$18&amp;".86.1","")</f>
        <v/>
      </c>
      <c r="H1912" s="21" t="str">
        <f aca="false">IF(AND(Eingabe!$F$18&gt;0,Eingabe!$E$18&gt;=86),"10."&amp;Eingabe!$D$18&amp;".86.10 – 10."&amp;Eingabe!$D$18&amp;".86.250","")</f>
        <v/>
      </c>
      <c r="I1912" s="21" t="str">
        <f aca="false">IF(AND(Eingabe!$F$18&gt;0,Eingabe!$E$18&gt;=86),Eingabe!$B$6&amp;"-"&amp;Eingabe!$C$18&amp;"-Pächter","")</f>
        <v/>
      </c>
      <c r="J1912" s="21" t="str">
        <f aca="false">IF(AND(Eingabe!$F$18&gt;0,Eingabe!$E$18&gt;=86),"PPSK: Passwort Parzelle 86","")</f>
        <v/>
      </c>
      <c r="K1912" s="21" t="str">
        <f aca="false">IF(AND(Eingabe!$F$18&gt;0,Eingabe!$E$18&gt;=86),"1. Gerät: 10."&amp;Eingabe!$D$18&amp;".86.10, 2. Gerät: .11","")</f>
        <v/>
      </c>
    </row>
    <row r="1913" customFormat="false" ht="15" hidden="false" customHeight="false" outlineLevel="0" collapsed="false">
      <c r="A1913" s="21" t="str">
        <f aca="false">IF(AND(Eingabe!$F$18&gt;0,Eingabe!$E$18&gt;=87),10,"")</f>
        <v/>
      </c>
      <c r="B1913" s="21" t="str">
        <f aca="false">IF(AND(Eingabe!$F$18&gt;0,Eingabe!$E$18&gt;=87),Eingabe!$B$18,"")</f>
        <v/>
      </c>
      <c r="C1913" s="21" t="str">
        <f aca="false">IF(AND(Eingabe!$F$18&gt;0,Eingabe!$E$18&gt;=87),Eingabe!$C$18&amp;"-Paz."&amp;TEXT(87,"000"),"")</f>
        <v/>
      </c>
      <c r="D1913" s="21" t="str">
        <f aca="false">IF(AND(Eingabe!$F$18&gt;0,Eingabe!$E$18&gt;=87),87,"")</f>
        <v/>
      </c>
      <c r="E1913" s="21" t="str">
        <f aca="false">IF(AND(Eingabe!$F$18&gt;0,Eingabe!$E$18&gt;=87),IF((Eingabe!$G$18)&lt;=9,1000+(Eingabe!$G$18)*100,3000)+87,"")</f>
        <v/>
      </c>
      <c r="F1913" s="21" t="str">
        <f aca="false">IF(AND(Eingabe!$F$18&gt;0,Eingabe!$E$18&gt;=87),"10."&amp;Eingabe!$D$18&amp;".87.0/24","")</f>
        <v/>
      </c>
      <c r="G1913" s="21" t="str">
        <f aca="false">IF(AND(Eingabe!$F$18&gt;0,Eingabe!$E$18&gt;=87),"10."&amp;Eingabe!$D$18&amp;".87.1","")</f>
        <v/>
      </c>
      <c r="H1913" s="21" t="str">
        <f aca="false">IF(AND(Eingabe!$F$18&gt;0,Eingabe!$E$18&gt;=87),"10."&amp;Eingabe!$D$18&amp;".87.10 – 10."&amp;Eingabe!$D$18&amp;".87.250","")</f>
        <v/>
      </c>
      <c r="I1913" s="21" t="str">
        <f aca="false">IF(AND(Eingabe!$F$18&gt;0,Eingabe!$E$18&gt;=87),Eingabe!$B$6&amp;"-"&amp;Eingabe!$C$18&amp;"-Pächter","")</f>
        <v/>
      </c>
      <c r="J1913" s="21" t="str">
        <f aca="false">IF(AND(Eingabe!$F$18&gt;0,Eingabe!$E$18&gt;=87),"PPSK: Passwort Parzelle 87","")</f>
        <v/>
      </c>
      <c r="K1913" s="21" t="str">
        <f aca="false">IF(AND(Eingabe!$F$18&gt;0,Eingabe!$E$18&gt;=87),"1. Gerät: 10."&amp;Eingabe!$D$18&amp;".87.10, 2. Gerät: .11","")</f>
        <v/>
      </c>
    </row>
    <row r="1914" customFormat="false" ht="15" hidden="false" customHeight="false" outlineLevel="0" collapsed="false">
      <c r="A1914" s="21" t="str">
        <f aca="false">IF(AND(Eingabe!$F$18&gt;0,Eingabe!$E$18&gt;=88),10,"")</f>
        <v/>
      </c>
      <c r="B1914" s="21" t="str">
        <f aca="false">IF(AND(Eingabe!$F$18&gt;0,Eingabe!$E$18&gt;=88),Eingabe!$B$18,"")</f>
        <v/>
      </c>
      <c r="C1914" s="21" t="str">
        <f aca="false">IF(AND(Eingabe!$F$18&gt;0,Eingabe!$E$18&gt;=88),Eingabe!$C$18&amp;"-Paz."&amp;TEXT(88,"000"),"")</f>
        <v/>
      </c>
      <c r="D1914" s="21" t="str">
        <f aca="false">IF(AND(Eingabe!$F$18&gt;0,Eingabe!$E$18&gt;=88),88,"")</f>
        <v/>
      </c>
      <c r="E1914" s="21" t="str">
        <f aca="false">IF(AND(Eingabe!$F$18&gt;0,Eingabe!$E$18&gt;=88),IF((Eingabe!$G$18)&lt;=9,1000+(Eingabe!$G$18)*100,3000)+88,"")</f>
        <v/>
      </c>
      <c r="F1914" s="21" t="str">
        <f aca="false">IF(AND(Eingabe!$F$18&gt;0,Eingabe!$E$18&gt;=88),"10."&amp;Eingabe!$D$18&amp;".88.0/24","")</f>
        <v/>
      </c>
      <c r="G1914" s="21" t="str">
        <f aca="false">IF(AND(Eingabe!$F$18&gt;0,Eingabe!$E$18&gt;=88),"10."&amp;Eingabe!$D$18&amp;".88.1","")</f>
        <v/>
      </c>
      <c r="H1914" s="21" t="str">
        <f aca="false">IF(AND(Eingabe!$F$18&gt;0,Eingabe!$E$18&gt;=88),"10."&amp;Eingabe!$D$18&amp;".88.10 – 10."&amp;Eingabe!$D$18&amp;".88.250","")</f>
        <v/>
      </c>
      <c r="I1914" s="21" t="str">
        <f aca="false">IF(AND(Eingabe!$F$18&gt;0,Eingabe!$E$18&gt;=88),Eingabe!$B$6&amp;"-"&amp;Eingabe!$C$18&amp;"-Pächter","")</f>
        <v/>
      </c>
      <c r="J1914" s="21" t="str">
        <f aca="false">IF(AND(Eingabe!$F$18&gt;0,Eingabe!$E$18&gt;=88),"PPSK: Passwort Parzelle 88","")</f>
        <v/>
      </c>
      <c r="K1914" s="21" t="str">
        <f aca="false">IF(AND(Eingabe!$F$18&gt;0,Eingabe!$E$18&gt;=88),"1. Gerät: 10."&amp;Eingabe!$D$18&amp;".88.10, 2. Gerät: .11","")</f>
        <v/>
      </c>
    </row>
    <row r="1915" customFormat="false" ht="15" hidden="false" customHeight="false" outlineLevel="0" collapsed="false">
      <c r="A1915" s="21" t="str">
        <f aca="false">IF(AND(Eingabe!$F$18&gt;0,Eingabe!$E$18&gt;=89),10,"")</f>
        <v/>
      </c>
      <c r="B1915" s="21" t="str">
        <f aca="false">IF(AND(Eingabe!$F$18&gt;0,Eingabe!$E$18&gt;=89),Eingabe!$B$18,"")</f>
        <v/>
      </c>
      <c r="C1915" s="21" t="str">
        <f aca="false">IF(AND(Eingabe!$F$18&gt;0,Eingabe!$E$18&gt;=89),Eingabe!$C$18&amp;"-Paz."&amp;TEXT(89,"000"),"")</f>
        <v/>
      </c>
      <c r="D1915" s="21" t="str">
        <f aca="false">IF(AND(Eingabe!$F$18&gt;0,Eingabe!$E$18&gt;=89),89,"")</f>
        <v/>
      </c>
      <c r="E1915" s="21" t="str">
        <f aca="false">IF(AND(Eingabe!$F$18&gt;0,Eingabe!$E$18&gt;=89),IF((Eingabe!$G$18)&lt;=9,1000+(Eingabe!$G$18)*100,3000)+89,"")</f>
        <v/>
      </c>
      <c r="F1915" s="21" t="str">
        <f aca="false">IF(AND(Eingabe!$F$18&gt;0,Eingabe!$E$18&gt;=89),"10."&amp;Eingabe!$D$18&amp;".89.0/24","")</f>
        <v/>
      </c>
      <c r="G1915" s="21" t="str">
        <f aca="false">IF(AND(Eingabe!$F$18&gt;0,Eingabe!$E$18&gt;=89),"10."&amp;Eingabe!$D$18&amp;".89.1","")</f>
        <v/>
      </c>
      <c r="H1915" s="21" t="str">
        <f aca="false">IF(AND(Eingabe!$F$18&gt;0,Eingabe!$E$18&gt;=89),"10."&amp;Eingabe!$D$18&amp;".89.10 – 10."&amp;Eingabe!$D$18&amp;".89.250","")</f>
        <v/>
      </c>
      <c r="I1915" s="21" t="str">
        <f aca="false">IF(AND(Eingabe!$F$18&gt;0,Eingabe!$E$18&gt;=89),Eingabe!$B$6&amp;"-"&amp;Eingabe!$C$18&amp;"-Pächter","")</f>
        <v/>
      </c>
      <c r="J1915" s="21" t="str">
        <f aca="false">IF(AND(Eingabe!$F$18&gt;0,Eingabe!$E$18&gt;=89),"PPSK: Passwort Parzelle 89","")</f>
        <v/>
      </c>
      <c r="K1915" s="21" t="str">
        <f aca="false">IF(AND(Eingabe!$F$18&gt;0,Eingabe!$E$18&gt;=89),"1. Gerät: 10."&amp;Eingabe!$D$18&amp;".89.10, 2. Gerät: .11","")</f>
        <v/>
      </c>
    </row>
    <row r="1916" customFormat="false" ht="15" hidden="false" customHeight="false" outlineLevel="0" collapsed="false">
      <c r="A1916" s="21" t="str">
        <f aca="false">IF(AND(Eingabe!$F$18&gt;0,Eingabe!$E$18&gt;=90),10,"")</f>
        <v/>
      </c>
      <c r="B1916" s="21" t="str">
        <f aca="false">IF(AND(Eingabe!$F$18&gt;0,Eingabe!$E$18&gt;=90),Eingabe!$B$18,"")</f>
        <v/>
      </c>
      <c r="C1916" s="21" t="str">
        <f aca="false">IF(AND(Eingabe!$F$18&gt;0,Eingabe!$E$18&gt;=90),Eingabe!$C$18&amp;"-Paz."&amp;TEXT(90,"000"),"")</f>
        <v/>
      </c>
      <c r="D1916" s="21" t="str">
        <f aca="false">IF(AND(Eingabe!$F$18&gt;0,Eingabe!$E$18&gt;=90),90,"")</f>
        <v/>
      </c>
      <c r="E1916" s="21" t="str">
        <f aca="false">IF(AND(Eingabe!$F$18&gt;0,Eingabe!$E$18&gt;=90),IF((Eingabe!$G$18)&lt;=9,1000+(Eingabe!$G$18)*100,3000)+90,"")</f>
        <v/>
      </c>
      <c r="F1916" s="21" t="str">
        <f aca="false">IF(AND(Eingabe!$F$18&gt;0,Eingabe!$E$18&gt;=90),"10."&amp;Eingabe!$D$18&amp;".90.0/24","")</f>
        <v/>
      </c>
      <c r="G1916" s="21" t="str">
        <f aca="false">IF(AND(Eingabe!$F$18&gt;0,Eingabe!$E$18&gt;=90),"10."&amp;Eingabe!$D$18&amp;".90.1","")</f>
        <v/>
      </c>
      <c r="H1916" s="21" t="str">
        <f aca="false">IF(AND(Eingabe!$F$18&gt;0,Eingabe!$E$18&gt;=90),"10."&amp;Eingabe!$D$18&amp;".90.10 – 10."&amp;Eingabe!$D$18&amp;".90.250","")</f>
        <v/>
      </c>
      <c r="I1916" s="21" t="str">
        <f aca="false">IF(AND(Eingabe!$F$18&gt;0,Eingabe!$E$18&gt;=90),Eingabe!$B$6&amp;"-"&amp;Eingabe!$C$18&amp;"-Pächter","")</f>
        <v/>
      </c>
      <c r="J1916" s="21" t="str">
        <f aca="false">IF(AND(Eingabe!$F$18&gt;0,Eingabe!$E$18&gt;=90),"PPSK: Passwort Parzelle 90","")</f>
        <v/>
      </c>
      <c r="K1916" s="21" t="str">
        <f aca="false">IF(AND(Eingabe!$F$18&gt;0,Eingabe!$E$18&gt;=90),"1. Gerät: 10."&amp;Eingabe!$D$18&amp;".90.10, 2. Gerät: .11","")</f>
        <v/>
      </c>
    </row>
    <row r="1917" customFormat="false" ht="15" hidden="false" customHeight="false" outlineLevel="0" collapsed="false">
      <c r="A1917" s="21" t="str">
        <f aca="false">IF(AND(Eingabe!$F$18&gt;0,Eingabe!$E$18&gt;=91),10,"")</f>
        <v/>
      </c>
      <c r="B1917" s="21" t="str">
        <f aca="false">IF(AND(Eingabe!$F$18&gt;0,Eingabe!$E$18&gt;=91),Eingabe!$B$18,"")</f>
        <v/>
      </c>
      <c r="C1917" s="21" t="str">
        <f aca="false">IF(AND(Eingabe!$F$18&gt;0,Eingabe!$E$18&gt;=91),Eingabe!$C$18&amp;"-Paz."&amp;TEXT(91,"000"),"")</f>
        <v/>
      </c>
      <c r="D1917" s="21" t="str">
        <f aca="false">IF(AND(Eingabe!$F$18&gt;0,Eingabe!$E$18&gt;=91),91,"")</f>
        <v/>
      </c>
      <c r="E1917" s="21" t="str">
        <f aca="false">IF(AND(Eingabe!$F$18&gt;0,Eingabe!$E$18&gt;=91),IF((Eingabe!$G$18)&lt;=9,1000+(Eingabe!$G$18)*100,3000)+91,"")</f>
        <v/>
      </c>
      <c r="F1917" s="21" t="str">
        <f aca="false">IF(AND(Eingabe!$F$18&gt;0,Eingabe!$E$18&gt;=91),"10."&amp;Eingabe!$D$18&amp;".91.0/24","")</f>
        <v/>
      </c>
      <c r="G1917" s="21" t="str">
        <f aca="false">IF(AND(Eingabe!$F$18&gt;0,Eingabe!$E$18&gt;=91),"10."&amp;Eingabe!$D$18&amp;".91.1","")</f>
        <v/>
      </c>
      <c r="H1917" s="21" t="str">
        <f aca="false">IF(AND(Eingabe!$F$18&gt;0,Eingabe!$E$18&gt;=91),"10."&amp;Eingabe!$D$18&amp;".91.10 – 10."&amp;Eingabe!$D$18&amp;".91.250","")</f>
        <v/>
      </c>
      <c r="I1917" s="21" t="str">
        <f aca="false">IF(AND(Eingabe!$F$18&gt;0,Eingabe!$E$18&gt;=91),Eingabe!$B$6&amp;"-"&amp;Eingabe!$C$18&amp;"-Pächter","")</f>
        <v/>
      </c>
      <c r="J1917" s="21" t="str">
        <f aca="false">IF(AND(Eingabe!$F$18&gt;0,Eingabe!$E$18&gt;=91),"PPSK: Passwort Parzelle 91","")</f>
        <v/>
      </c>
      <c r="K1917" s="21" t="str">
        <f aca="false">IF(AND(Eingabe!$F$18&gt;0,Eingabe!$E$18&gt;=91),"1. Gerät: 10."&amp;Eingabe!$D$18&amp;".91.10, 2. Gerät: .11","")</f>
        <v/>
      </c>
    </row>
    <row r="1918" customFormat="false" ht="15" hidden="false" customHeight="false" outlineLevel="0" collapsed="false">
      <c r="A1918" s="21" t="str">
        <f aca="false">IF(AND(Eingabe!$F$18&gt;0,Eingabe!$E$18&gt;=92),10,"")</f>
        <v/>
      </c>
      <c r="B1918" s="21" t="str">
        <f aca="false">IF(AND(Eingabe!$F$18&gt;0,Eingabe!$E$18&gt;=92),Eingabe!$B$18,"")</f>
        <v/>
      </c>
      <c r="C1918" s="21" t="str">
        <f aca="false">IF(AND(Eingabe!$F$18&gt;0,Eingabe!$E$18&gt;=92),Eingabe!$C$18&amp;"-Paz."&amp;TEXT(92,"000"),"")</f>
        <v/>
      </c>
      <c r="D1918" s="21" t="str">
        <f aca="false">IF(AND(Eingabe!$F$18&gt;0,Eingabe!$E$18&gt;=92),92,"")</f>
        <v/>
      </c>
      <c r="E1918" s="21" t="str">
        <f aca="false">IF(AND(Eingabe!$F$18&gt;0,Eingabe!$E$18&gt;=92),IF((Eingabe!$G$18)&lt;=9,1000+(Eingabe!$G$18)*100,3000)+92,"")</f>
        <v/>
      </c>
      <c r="F1918" s="21" t="str">
        <f aca="false">IF(AND(Eingabe!$F$18&gt;0,Eingabe!$E$18&gt;=92),"10."&amp;Eingabe!$D$18&amp;".92.0/24","")</f>
        <v/>
      </c>
      <c r="G1918" s="21" t="str">
        <f aca="false">IF(AND(Eingabe!$F$18&gt;0,Eingabe!$E$18&gt;=92),"10."&amp;Eingabe!$D$18&amp;".92.1","")</f>
        <v/>
      </c>
      <c r="H1918" s="21" t="str">
        <f aca="false">IF(AND(Eingabe!$F$18&gt;0,Eingabe!$E$18&gt;=92),"10."&amp;Eingabe!$D$18&amp;".92.10 – 10."&amp;Eingabe!$D$18&amp;".92.250","")</f>
        <v/>
      </c>
      <c r="I1918" s="21" t="str">
        <f aca="false">IF(AND(Eingabe!$F$18&gt;0,Eingabe!$E$18&gt;=92),Eingabe!$B$6&amp;"-"&amp;Eingabe!$C$18&amp;"-Pächter","")</f>
        <v/>
      </c>
      <c r="J1918" s="21" t="str">
        <f aca="false">IF(AND(Eingabe!$F$18&gt;0,Eingabe!$E$18&gt;=92),"PPSK: Passwort Parzelle 92","")</f>
        <v/>
      </c>
      <c r="K1918" s="21" t="str">
        <f aca="false">IF(AND(Eingabe!$F$18&gt;0,Eingabe!$E$18&gt;=92),"1. Gerät: 10."&amp;Eingabe!$D$18&amp;".92.10, 2. Gerät: .11","")</f>
        <v/>
      </c>
    </row>
    <row r="1919" customFormat="false" ht="15" hidden="false" customHeight="false" outlineLevel="0" collapsed="false">
      <c r="A1919" s="21" t="str">
        <f aca="false">IF(AND(Eingabe!$F$18&gt;0,Eingabe!$E$18&gt;=93),10,"")</f>
        <v/>
      </c>
      <c r="B1919" s="21" t="str">
        <f aca="false">IF(AND(Eingabe!$F$18&gt;0,Eingabe!$E$18&gt;=93),Eingabe!$B$18,"")</f>
        <v/>
      </c>
      <c r="C1919" s="21" t="str">
        <f aca="false">IF(AND(Eingabe!$F$18&gt;0,Eingabe!$E$18&gt;=93),Eingabe!$C$18&amp;"-Paz."&amp;TEXT(93,"000"),"")</f>
        <v/>
      </c>
      <c r="D1919" s="21" t="str">
        <f aca="false">IF(AND(Eingabe!$F$18&gt;0,Eingabe!$E$18&gt;=93),93,"")</f>
        <v/>
      </c>
      <c r="E1919" s="21" t="str">
        <f aca="false">IF(AND(Eingabe!$F$18&gt;0,Eingabe!$E$18&gt;=93),IF((Eingabe!$G$18)&lt;=9,1000+(Eingabe!$G$18)*100,3000)+93,"")</f>
        <v/>
      </c>
      <c r="F1919" s="21" t="str">
        <f aca="false">IF(AND(Eingabe!$F$18&gt;0,Eingabe!$E$18&gt;=93),"10."&amp;Eingabe!$D$18&amp;".93.0/24","")</f>
        <v/>
      </c>
      <c r="G1919" s="21" t="str">
        <f aca="false">IF(AND(Eingabe!$F$18&gt;0,Eingabe!$E$18&gt;=93),"10."&amp;Eingabe!$D$18&amp;".93.1","")</f>
        <v/>
      </c>
      <c r="H1919" s="21" t="str">
        <f aca="false">IF(AND(Eingabe!$F$18&gt;0,Eingabe!$E$18&gt;=93),"10."&amp;Eingabe!$D$18&amp;".93.10 – 10."&amp;Eingabe!$D$18&amp;".93.250","")</f>
        <v/>
      </c>
      <c r="I1919" s="21" t="str">
        <f aca="false">IF(AND(Eingabe!$F$18&gt;0,Eingabe!$E$18&gt;=93),Eingabe!$B$6&amp;"-"&amp;Eingabe!$C$18&amp;"-Pächter","")</f>
        <v/>
      </c>
      <c r="J1919" s="21" t="str">
        <f aca="false">IF(AND(Eingabe!$F$18&gt;0,Eingabe!$E$18&gt;=93),"PPSK: Passwort Parzelle 93","")</f>
        <v/>
      </c>
      <c r="K1919" s="21" t="str">
        <f aca="false">IF(AND(Eingabe!$F$18&gt;0,Eingabe!$E$18&gt;=93),"1. Gerät: 10."&amp;Eingabe!$D$18&amp;".93.10, 2. Gerät: .11","")</f>
        <v/>
      </c>
    </row>
    <row r="1920" customFormat="false" ht="15" hidden="false" customHeight="false" outlineLevel="0" collapsed="false">
      <c r="A1920" s="21" t="str">
        <f aca="false">IF(AND(Eingabe!$F$18&gt;0,Eingabe!$E$18&gt;=94),10,"")</f>
        <v/>
      </c>
      <c r="B1920" s="21" t="str">
        <f aca="false">IF(AND(Eingabe!$F$18&gt;0,Eingabe!$E$18&gt;=94),Eingabe!$B$18,"")</f>
        <v/>
      </c>
      <c r="C1920" s="21" t="str">
        <f aca="false">IF(AND(Eingabe!$F$18&gt;0,Eingabe!$E$18&gt;=94),Eingabe!$C$18&amp;"-Paz."&amp;TEXT(94,"000"),"")</f>
        <v/>
      </c>
      <c r="D1920" s="21" t="str">
        <f aca="false">IF(AND(Eingabe!$F$18&gt;0,Eingabe!$E$18&gt;=94),94,"")</f>
        <v/>
      </c>
      <c r="E1920" s="21" t="str">
        <f aca="false">IF(AND(Eingabe!$F$18&gt;0,Eingabe!$E$18&gt;=94),IF((Eingabe!$G$18)&lt;=9,1000+(Eingabe!$G$18)*100,3000)+94,"")</f>
        <v/>
      </c>
      <c r="F1920" s="21" t="str">
        <f aca="false">IF(AND(Eingabe!$F$18&gt;0,Eingabe!$E$18&gt;=94),"10."&amp;Eingabe!$D$18&amp;".94.0/24","")</f>
        <v/>
      </c>
      <c r="G1920" s="21" t="str">
        <f aca="false">IF(AND(Eingabe!$F$18&gt;0,Eingabe!$E$18&gt;=94),"10."&amp;Eingabe!$D$18&amp;".94.1","")</f>
        <v/>
      </c>
      <c r="H1920" s="21" t="str">
        <f aca="false">IF(AND(Eingabe!$F$18&gt;0,Eingabe!$E$18&gt;=94),"10."&amp;Eingabe!$D$18&amp;".94.10 – 10."&amp;Eingabe!$D$18&amp;".94.250","")</f>
        <v/>
      </c>
      <c r="I1920" s="21" t="str">
        <f aca="false">IF(AND(Eingabe!$F$18&gt;0,Eingabe!$E$18&gt;=94),Eingabe!$B$6&amp;"-"&amp;Eingabe!$C$18&amp;"-Pächter","")</f>
        <v/>
      </c>
      <c r="J1920" s="21" t="str">
        <f aca="false">IF(AND(Eingabe!$F$18&gt;0,Eingabe!$E$18&gt;=94),"PPSK: Passwort Parzelle 94","")</f>
        <v/>
      </c>
      <c r="K1920" s="21" t="str">
        <f aca="false">IF(AND(Eingabe!$F$18&gt;0,Eingabe!$E$18&gt;=94),"1. Gerät: 10."&amp;Eingabe!$D$18&amp;".94.10, 2. Gerät: .11","")</f>
        <v/>
      </c>
    </row>
    <row r="1921" customFormat="false" ht="15" hidden="false" customHeight="false" outlineLevel="0" collapsed="false">
      <c r="A1921" s="21" t="str">
        <f aca="false">IF(AND(Eingabe!$F$18&gt;0,Eingabe!$E$18&gt;=95),10,"")</f>
        <v/>
      </c>
      <c r="B1921" s="21" t="str">
        <f aca="false">IF(AND(Eingabe!$F$18&gt;0,Eingabe!$E$18&gt;=95),Eingabe!$B$18,"")</f>
        <v/>
      </c>
      <c r="C1921" s="21" t="str">
        <f aca="false">IF(AND(Eingabe!$F$18&gt;0,Eingabe!$E$18&gt;=95),Eingabe!$C$18&amp;"-Paz."&amp;TEXT(95,"000"),"")</f>
        <v/>
      </c>
      <c r="D1921" s="21" t="str">
        <f aca="false">IF(AND(Eingabe!$F$18&gt;0,Eingabe!$E$18&gt;=95),95,"")</f>
        <v/>
      </c>
      <c r="E1921" s="21" t="str">
        <f aca="false">IF(AND(Eingabe!$F$18&gt;0,Eingabe!$E$18&gt;=95),IF((Eingabe!$G$18)&lt;=9,1000+(Eingabe!$G$18)*100,3000)+95,"")</f>
        <v/>
      </c>
      <c r="F1921" s="21" t="str">
        <f aca="false">IF(AND(Eingabe!$F$18&gt;0,Eingabe!$E$18&gt;=95),"10."&amp;Eingabe!$D$18&amp;".95.0/24","")</f>
        <v/>
      </c>
      <c r="G1921" s="21" t="str">
        <f aca="false">IF(AND(Eingabe!$F$18&gt;0,Eingabe!$E$18&gt;=95),"10."&amp;Eingabe!$D$18&amp;".95.1","")</f>
        <v/>
      </c>
      <c r="H1921" s="21" t="str">
        <f aca="false">IF(AND(Eingabe!$F$18&gt;0,Eingabe!$E$18&gt;=95),"10."&amp;Eingabe!$D$18&amp;".95.10 – 10."&amp;Eingabe!$D$18&amp;".95.250","")</f>
        <v/>
      </c>
      <c r="I1921" s="21" t="str">
        <f aca="false">IF(AND(Eingabe!$F$18&gt;0,Eingabe!$E$18&gt;=95),Eingabe!$B$6&amp;"-"&amp;Eingabe!$C$18&amp;"-Pächter","")</f>
        <v/>
      </c>
      <c r="J1921" s="21" t="str">
        <f aca="false">IF(AND(Eingabe!$F$18&gt;0,Eingabe!$E$18&gt;=95),"PPSK: Passwort Parzelle 95","")</f>
        <v/>
      </c>
      <c r="K1921" s="21" t="str">
        <f aca="false">IF(AND(Eingabe!$F$18&gt;0,Eingabe!$E$18&gt;=95),"1. Gerät: 10."&amp;Eingabe!$D$18&amp;".95.10, 2. Gerät: .11","")</f>
        <v/>
      </c>
    </row>
    <row r="1922" customFormat="false" ht="15" hidden="false" customHeight="false" outlineLevel="0" collapsed="false">
      <c r="A1922" s="21" t="str">
        <f aca="false">IF(AND(Eingabe!$F$18&gt;0,Eingabe!$E$18&gt;=96),10,"")</f>
        <v/>
      </c>
      <c r="B1922" s="21" t="str">
        <f aca="false">IF(AND(Eingabe!$F$18&gt;0,Eingabe!$E$18&gt;=96),Eingabe!$B$18,"")</f>
        <v/>
      </c>
      <c r="C1922" s="21" t="str">
        <f aca="false">IF(AND(Eingabe!$F$18&gt;0,Eingabe!$E$18&gt;=96),Eingabe!$C$18&amp;"-Paz."&amp;TEXT(96,"000"),"")</f>
        <v/>
      </c>
      <c r="D1922" s="21" t="str">
        <f aca="false">IF(AND(Eingabe!$F$18&gt;0,Eingabe!$E$18&gt;=96),96,"")</f>
        <v/>
      </c>
      <c r="E1922" s="21" t="str">
        <f aca="false">IF(AND(Eingabe!$F$18&gt;0,Eingabe!$E$18&gt;=96),IF((Eingabe!$G$18)&lt;=9,1000+(Eingabe!$G$18)*100,3000)+96,"")</f>
        <v/>
      </c>
      <c r="F1922" s="21" t="str">
        <f aca="false">IF(AND(Eingabe!$F$18&gt;0,Eingabe!$E$18&gt;=96),"10."&amp;Eingabe!$D$18&amp;".96.0/24","")</f>
        <v/>
      </c>
      <c r="G1922" s="21" t="str">
        <f aca="false">IF(AND(Eingabe!$F$18&gt;0,Eingabe!$E$18&gt;=96),"10."&amp;Eingabe!$D$18&amp;".96.1","")</f>
        <v/>
      </c>
      <c r="H1922" s="21" t="str">
        <f aca="false">IF(AND(Eingabe!$F$18&gt;0,Eingabe!$E$18&gt;=96),"10."&amp;Eingabe!$D$18&amp;".96.10 – 10."&amp;Eingabe!$D$18&amp;".96.250","")</f>
        <v/>
      </c>
      <c r="I1922" s="21" t="str">
        <f aca="false">IF(AND(Eingabe!$F$18&gt;0,Eingabe!$E$18&gt;=96),Eingabe!$B$6&amp;"-"&amp;Eingabe!$C$18&amp;"-Pächter","")</f>
        <v/>
      </c>
      <c r="J1922" s="21" t="str">
        <f aca="false">IF(AND(Eingabe!$F$18&gt;0,Eingabe!$E$18&gt;=96),"PPSK: Passwort Parzelle 96","")</f>
        <v/>
      </c>
      <c r="K1922" s="21" t="str">
        <f aca="false">IF(AND(Eingabe!$F$18&gt;0,Eingabe!$E$18&gt;=96),"1. Gerät: 10."&amp;Eingabe!$D$18&amp;".96.10, 2. Gerät: .11","")</f>
        <v/>
      </c>
    </row>
    <row r="1923" customFormat="false" ht="15" hidden="false" customHeight="false" outlineLevel="0" collapsed="false">
      <c r="A1923" s="21" t="str">
        <f aca="false">IF(AND(Eingabe!$F$18&gt;0,Eingabe!$E$18&gt;=97),10,"")</f>
        <v/>
      </c>
      <c r="B1923" s="21" t="str">
        <f aca="false">IF(AND(Eingabe!$F$18&gt;0,Eingabe!$E$18&gt;=97),Eingabe!$B$18,"")</f>
        <v/>
      </c>
      <c r="C1923" s="21" t="str">
        <f aca="false">IF(AND(Eingabe!$F$18&gt;0,Eingabe!$E$18&gt;=97),Eingabe!$C$18&amp;"-Paz."&amp;TEXT(97,"000"),"")</f>
        <v/>
      </c>
      <c r="D1923" s="21" t="str">
        <f aca="false">IF(AND(Eingabe!$F$18&gt;0,Eingabe!$E$18&gt;=97),97,"")</f>
        <v/>
      </c>
      <c r="E1923" s="21" t="str">
        <f aca="false">IF(AND(Eingabe!$F$18&gt;0,Eingabe!$E$18&gt;=97),IF((Eingabe!$G$18)&lt;=9,1000+(Eingabe!$G$18)*100,3000)+97,"")</f>
        <v/>
      </c>
      <c r="F1923" s="21" t="str">
        <f aca="false">IF(AND(Eingabe!$F$18&gt;0,Eingabe!$E$18&gt;=97),"10."&amp;Eingabe!$D$18&amp;".97.0/24","")</f>
        <v/>
      </c>
      <c r="G1923" s="21" t="str">
        <f aca="false">IF(AND(Eingabe!$F$18&gt;0,Eingabe!$E$18&gt;=97),"10."&amp;Eingabe!$D$18&amp;".97.1","")</f>
        <v/>
      </c>
      <c r="H1923" s="21" t="str">
        <f aca="false">IF(AND(Eingabe!$F$18&gt;0,Eingabe!$E$18&gt;=97),"10."&amp;Eingabe!$D$18&amp;".97.10 – 10."&amp;Eingabe!$D$18&amp;".97.250","")</f>
        <v/>
      </c>
      <c r="I1923" s="21" t="str">
        <f aca="false">IF(AND(Eingabe!$F$18&gt;0,Eingabe!$E$18&gt;=97),Eingabe!$B$6&amp;"-"&amp;Eingabe!$C$18&amp;"-Pächter","")</f>
        <v/>
      </c>
      <c r="J1923" s="21" t="str">
        <f aca="false">IF(AND(Eingabe!$F$18&gt;0,Eingabe!$E$18&gt;=97),"PPSK: Passwort Parzelle 97","")</f>
        <v/>
      </c>
      <c r="K1923" s="21" t="str">
        <f aca="false">IF(AND(Eingabe!$F$18&gt;0,Eingabe!$E$18&gt;=97),"1. Gerät: 10."&amp;Eingabe!$D$18&amp;".97.10, 2. Gerät: .11","")</f>
        <v/>
      </c>
    </row>
    <row r="1924" customFormat="false" ht="15" hidden="false" customHeight="false" outlineLevel="0" collapsed="false">
      <c r="A1924" s="21" t="str">
        <f aca="false">IF(AND(Eingabe!$F$18&gt;0,Eingabe!$E$18&gt;=98),10,"")</f>
        <v/>
      </c>
      <c r="B1924" s="21" t="str">
        <f aca="false">IF(AND(Eingabe!$F$18&gt;0,Eingabe!$E$18&gt;=98),Eingabe!$B$18,"")</f>
        <v/>
      </c>
      <c r="C1924" s="21" t="str">
        <f aca="false">IF(AND(Eingabe!$F$18&gt;0,Eingabe!$E$18&gt;=98),Eingabe!$C$18&amp;"-Paz."&amp;TEXT(98,"000"),"")</f>
        <v/>
      </c>
      <c r="D1924" s="21" t="str">
        <f aca="false">IF(AND(Eingabe!$F$18&gt;0,Eingabe!$E$18&gt;=98),98,"")</f>
        <v/>
      </c>
      <c r="E1924" s="21" t="str">
        <f aca="false">IF(AND(Eingabe!$F$18&gt;0,Eingabe!$E$18&gt;=98),IF((Eingabe!$G$18)&lt;=9,1000+(Eingabe!$G$18)*100,3000)+98,"")</f>
        <v/>
      </c>
      <c r="F1924" s="21" t="str">
        <f aca="false">IF(AND(Eingabe!$F$18&gt;0,Eingabe!$E$18&gt;=98),"10."&amp;Eingabe!$D$18&amp;".98.0/24","")</f>
        <v/>
      </c>
      <c r="G1924" s="21" t="str">
        <f aca="false">IF(AND(Eingabe!$F$18&gt;0,Eingabe!$E$18&gt;=98),"10."&amp;Eingabe!$D$18&amp;".98.1","")</f>
        <v/>
      </c>
      <c r="H1924" s="21" t="str">
        <f aca="false">IF(AND(Eingabe!$F$18&gt;0,Eingabe!$E$18&gt;=98),"10."&amp;Eingabe!$D$18&amp;".98.10 – 10."&amp;Eingabe!$D$18&amp;".98.250","")</f>
        <v/>
      </c>
      <c r="I1924" s="21" t="str">
        <f aca="false">IF(AND(Eingabe!$F$18&gt;0,Eingabe!$E$18&gt;=98),Eingabe!$B$6&amp;"-"&amp;Eingabe!$C$18&amp;"-Pächter","")</f>
        <v/>
      </c>
      <c r="J1924" s="21" t="str">
        <f aca="false">IF(AND(Eingabe!$F$18&gt;0,Eingabe!$E$18&gt;=98),"PPSK: Passwort Parzelle 98","")</f>
        <v/>
      </c>
      <c r="K1924" s="21" t="str">
        <f aca="false">IF(AND(Eingabe!$F$18&gt;0,Eingabe!$E$18&gt;=98),"1. Gerät: 10."&amp;Eingabe!$D$18&amp;".98.10, 2. Gerät: .11","")</f>
        <v/>
      </c>
    </row>
    <row r="1925" customFormat="false" ht="15" hidden="false" customHeight="false" outlineLevel="0" collapsed="false">
      <c r="A1925" s="21" t="str">
        <f aca="false">IF(AND(Eingabe!$F$18&gt;0,Eingabe!$E$18&gt;=99),10,"")</f>
        <v/>
      </c>
      <c r="B1925" s="21" t="str">
        <f aca="false">IF(AND(Eingabe!$F$18&gt;0,Eingabe!$E$18&gt;=99),Eingabe!$B$18,"")</f>
        <v/>
      </c>
      <c r="C1925" s="21" t="str">
        <f aca="false">IF(AND(Eingabe!$F$18&gt;0,Eingabe!$E$18&gt;=99),Eingabe!$C$18&amp;"-Paz."&amp;TEXT(99,"000"),"")</f>
        <v/>
      </c>
      <c r="D1925" s="21" t="str">
        <f aca="false">IF(AND(Eingabe!$F$18&gt;0,Eingabe!$E$18&gt;=99),99,"")</f>
        <v/>
      </c>
      <c r="E1925" s="21" t="str">
        <f aca="false">IF(AND(Eingabe!$F$18&gt;0,Eingabe!$E$18&gt;=99),IF((Eingabe!$G$18)&lt;=9,1000+(Eingabe!$G$18)*100,3000)+99,"")</f>
        <v/>
      </c>
      <c r="F1925" s="21" t="str">
        <f aca="false">IF(AND(Eingabe!$F$18&gt;0,Eingabe!$E$18&gt;=99),"10."&amp;Eingabe!$D$18&amp;".99.0/24","")</f>
        <v/>
      </c>
      <c r="G1925" s="21" t="str">
        <f aca="false">IF(AND(Eingabe!$F$18&gt;0,Eingabe!$E$18&gt;=99),"10."&amp;Eingabe!$D$18&amp;".99.1","")</f>
        <v/>
      </c>
      <c r="H1925" s="21" t="str">
        <f aca="false">IF(AND(Eingabe!$F$18&gt;0,Eingabe!$E$18&gt;=99),"10."&amp;Eingabe!$D$18&amp;".99.10 – 10."&amp;Eingabe!$D$18&amp;".99.250","")</f>
        <v/>
      </c>
      <c r="I1925" s="21" t="str">
        <f aca="false">IF(AND(Eingabe!$F$18&gt;0,Eingabe!$E$18&gt;=99),Eingabe!$B$6&amp;"-"&amp;Eingabe!$C$18&amp;"-Pächter","")</f>
        <v/>
      </c>
      <c r="J1925" s="21" t="str">
        <f aca="false">IF(AND(Eingabe!$F$18&gt;0,Eingabe!$E$18&gt;=99),"PPSK: Passwort Parzelle 99","")</f>
        <v/>
      </c>
      <c r="K1925" s="21" t="str">
        <f aca="false">IF(AND(Eingabe!$F$18&gt;0,Eingabe!$E$18&gt;=99),"1. Gerät: 10."&amp;Eingabe!$D$18&amp;".99.10, 2. Gerät: .11","")</f>
        <v/>
      </c>
    </row>
    <row r="1926" customFormat="false" ht="15" hidden="false" customHeight="false" outlineLevel="0" collapsed="false">
      <c r="A1926" s="21" t="str">
        <f aca="false">IF(AND(Eingabe!$F$18&gt;0,Eingabe!$E$18&gt;=100),10,"")</f>
        <v/>
      </c>
      <c r="B1926" s="21" t="str">
        <f aca="false">IF(AND(Eingabe!$F$18&gt;0,Eingabe!$E$18&gt;=100),Eingabe!$B$18,"")</f>
        <v/>
      </c>
      <c r="C1926" s="21" t="str">
        <f aca="false">IF(AND(Eingabe!$F$18&gt;0,Eingabe!$E$18&gt;=100),Eingabe!$C$18&amp;"-Paz."&amp;TEXT(100,"000"),"")</f>
        <v/>
      </c>
      <c r="D1926" s="21" t="str">
        <f aca="false">IF(AND(Eingabe!$F$18&gt;0,Eingabe!$E$18&gt;=100),100,"")</f>
        <v/>
      </c>
      <c r="E1926" s="21" t="str">
        <f aca="false">IF(AND(Eingabe!$F$18&gt;0,Eingabe!$E$18&gt;=100),IF((Eingabe!$G$18+1)&lt;=9,1000+(Eingabe!$G$18+1)*100,3000)+0,"")</f>
        <v/>
      </c>
      <c r="F1926" s="21" t="str">
        <f aca="false">IF(AND(Eingabe!$F$18&gt;0,Eingabe!$E$18&gt;=100),"10."&amp;Eingabe!$D$18&amp;".100.0/24","")</f>
        <v/>
      </c>
      <c r="G1926" s="21" t="str">
        <f aca="false">IF(AND(Eingabe!$F$18&gt;0,Eingabe!$E$18&gt;=100),"10."&amp;Eingabe!$D$18&amp;".100.1","")</f>
        <v/>
      </c>
      <c r="H1926" s="21" t="str">
        <f aca="false">IF(AND(Eingabe!$F$18&gt;0,Eingabe!$E$18&gt;=100),"10."&amp;Eingabe!$D$18&amp;".100.10 – 10."&amp;Eingabe!$D$18&amp;".100.250","")</f>
        <v/>
      </c>
      <c r="I1926" s="21" t="str">
        <f aca="false">IF(AND(Eingabe!$F$18&gt;0,Eingabe!$E$18&gt;=100),Eingabe!$B$6&amp;"-"&amp;Eingabe!$C$18&amp;"-Pächter","")</f>
        <v/>
      </c>
      <c r="J1926" s="21" t="str">
        <f aca="false">IF(AND(Eingabe!$F$18&gt;0,Eingabe!$E$18&gt;=100),"PPSK: Passwort Parzelle 100","")</f>
        <v/>
      </c>
      <c r="K1926" s="21" t="str">
        <f aca="false">IF(AND(Eingabe!$F$18&gt;0,Eingabe!$E$18&gt;=100),"1. Gerät: 10."&amp;Eingabe!$D$18&amp;".100.10, 2. Gerät: .11","")</f>
        <v/>
      </c>
    </row>
    <row r="1927" customFormat="false" ht="15" hidden="false" customHeight="false" outlineLevel="0" collapsed="false">
      <c r="A1927" s="21" t="str">
        <f aca="false">IF(AND(Eingabe!$F$18&gt;0,Eingabe!$E$18&gt;=101),10,"")</f>
        <v/>
      </c>
      <c r="B1927" s="21" t="str">
        <f aca="false">IF(AND(Eingabe!$F$18&gt;0,Eingabe!$E$18&gt;=101),Eingabe!$B$18,"")</f>
        <v/>
      </c>
      <c r="C1927" s="21" t="str">
        <f aca="false">IF(AND(Eingabe!$F$18&gt;0,Eingabe!$E$18&gt;=101),Eingabe!$C$18&amp;"-Paz."&amp;TEXT(101,"000"),"")</f>
        <v/>
      </c>
      <c r="D1927" s="21" t="str">
        <f aca="false">IF(AND(Eingabe!$F$18&gt;0,Eingabe!$E$18&gt;=101),101,"")</f>
        <v/>
      </c>
      <c r="E1927" s="21" t="str">
        <f aca="false">IF(AND(Eingabe!$F$18&gt;0,Eingabe!$E$18&gt;=101),IF((Eingabe!$G$18+1)&lt;=9,1000+(Eingabe!$G$18+1)*100,3000)+1,"")</f>
        <v/>
      </c>
      <c r="F1927" s="21" t="str">
        <f aca="false">IF(AND(Eingabe!$F$18&gt;0,Eingabe!$E$18&gt;=101),"10."&amp;Eingabe!$D$18&amp;".101.0/24","")</f>
        <v/>
      </c>
      <c r="G1927" s="21" t="str">
        <f aca="false">IF(AND(Eingabe!$F$18&gt;0,Eingabe!$E$18&gt;=101),"10."&amp;Eingabe!$D$18&amp;".101.1","")</f>
        <v/>
      </c>
      <c r="H1927" s="21" t="str">
        <f aca="false">IF(AND(Eingabe!$F$18&gt;0,Eingabe!$E$18&gt;=101),"10."&amp;Eingabe!$D$18&amp;".101.10 – 10."&amp;Eingabe!$D$18&amp;".101.250","")</f>
        <v/>
      </c>
      <c r="I1927" s="21" t="str">
        <f aca="false">IF(AND(Eingabe!$F$18&gt;0,Eingabe!$E$18&gt;=101),Eingabe!$B$6&amp;"-"&amp;Eingabe!$C$18&amp;"-Pächter","")</f>
        <v/>
      </c>
      <c r="J1927" s="21" t="str">
        <f aca="false">IF(AND(Eingabe!$F$18&gt;0,Eingabe!$E$18&gt;=101),"PPSK: Passwort Parzelle 101","")</f>
        <v/>
      </c>
      <c r="K1927" s="21" t="str">
        <f aca="false">IF(AND(Eingabe!$F$18&gt;0,Eingabe!$E$18&gt;=101),"1. Gerät: 10."&amp;Eingabe!$D$18&amp;".101.10, 2. Gerät: .11","")</f>
        <v/>
      </c>
    </row>
    <row r="1928" customFormat="false" ht="15" hidden="false" customHeight="false" outlineLevel="0" collapsed="false">
      <c r="A1928" s="21" t="str">
        <f aca="false">IF(AND(Eingabe!$F$18&gt;0,Eingabe!$E$18&gt;=102),10,"")</f>
        <v/>
      </c>
      <c r="B1928" s="21" t="str">
        <f aca="false">IF(AND(Eingabe!$F$18&gt;0,Eingabe!$E$18&gt;=102),Eingabe!$B$18,"")</f>
        <v/>
      </c>
      <c r="C1928" s="21" t="str">
        <f aca="false">IF(AND(Eingabe!$F$18&gt;0,Eingabe!$E$18&gt;=102),Eingabe!$C$18&amp;"-Paz."&amp;TEXT(102,"000"),"")</f>
        <v/>
      </c>
      <c r="D1928" s="21" t="str">
        <f aca="false">IF(AND(Eingabe!$F$18&gt;0,Eingabe!$E$18&gt;=102),102,"")</f>
        <v/>
      </c>
      <c r="E1928" s="21" t="str">
        <f aca="false">IF(AND(Eingabe!$F$18&gt;0,Eingabe!$E$18&gt;=102),IF((Eingabe!$G$18+1)&lt;=9,1000+(Eingabe!$G$18+1)*100,3000)+2,"")</f>
        <v/>
      </c>
      <c r="F1928" s="21" t="str">
        <f aca="false">IF(AND(Eingabe!$F$18&gt;0,Eingabe!$E$18&gt;=102),"10."&amp;Eingabe!$D$18&amp;".102.0/24","")</f>
        <v/>
      </c>
      <c r="G1928" s="21" t="str">
        <f aca="false">IF(AND(Eingabe!$F$18&gt;0,Eingabe!$E$18&gt;=102),"10."&amp;Eingabe!$D$18&amp;".102.1","")</f>
        <v/>
      </c>
      <c r="H1928" s="21" t="str">
        <f aca="false">IF(AND(Eingabe!$F$18&gt;0,Eingabe!$E$18&gt;=102),"10."&amp;Eingabe!$D$18&amp;".102.10 – 10."&amp;Eingabe!$D$18&amp;".102.250","")</f>
        <v/>
      </c>
      <c r="I1928" s="21" t="str">
        <f aca="false">IF(AND(Eingabe!$F$18&gt;0,Eingabe!$E$18&gt;=102),Eingabe!$B$6&amp;"-"&amp;Eingabe!$C$18&amp;"-Pächter","")</f>
        <v/>
      </c>
      <c r="J1928" s="21" t="str">
        <f aca="false">IF(AND(Eingabe!$F$18&gt;0,Eingabe!$E$18&gt;=102),"PPSK: Passwort Parzelle 102","")</f>
        <v/>
      </c>
      <c r="K1928" s="21" t="str">
        <f aca="false">IF(AND(Eingabe!$F$18&gt;0,Eingabe!$E$18&gt;=102),"1. Gerät: 10."&amp;Eingabe!$D$18&amp;".102.10, 2. Gerät: .11","")</f>
        <v/>
      </c>
    </row>
    <row r="1929" customFormat="false" ht="15" hidden="false" customHeight="false" outlineLevel="0" collapsed="false">
      <c r="A1929" s="21" t="str">
        <f aca="false">IF(AND(Eingabe!$F$18&gt;0,Eingabe!$E$18&gt;=103),10,"")</f>
        <v/>
      </c>
      <c r="B1929" s="21" t="str">
        <f aca="false">IF(AND(Eingabe!$F$18&gt;0,Eingabe!$E$18&gt;=103),Eingabe!$B$18,"")</f>
        <v/>
      </c>
      <c r="C1929" s="21" t="str">
        <f aca="false">IF(AND(Eingabe!$F$18&gt;0,Eingabe!$E$18&gt;=103),Eingabe!$C$18&amp;"-Paz."&amp;TEXT(103,"000"),"")</f>
        <v/>
      </c>
      <c r="D1929" s="21" t="str">
        <f aca="false">IF(AND(Eingabe!$F$18&gt;0,Eingabe!$E$18&gt;=103),103,"")</f>
        <v/>
      </c>
      <c r="E1929" s="21" t="str">
        <f aca="false">IF(AND(Eingabe!$F$18&gt;0,Eingabe!$E$18&gt;=103),IF((Eingabe!$G$18+1)&lt;=9,1000+(Eingabe!$G$18+1)*100,3000)+3,"")</f>
        <v/>
      </c>
      <c r="F1929" s="21" t="str">
        <f aca="false">IF(AND(Eingabe!$F$18&gt;0,Eingabe!$E$18&gt;=103),"10."&amp;Eingabe!$D$18&amp;".103.0/24","")</f>
        <v/>
      </c>
      <c r="G1929" s="21" t="str">
        <f aca="false">IF(AND(Eingabe!$F$18&gt;0,Eingabe!$E$18&gt;=103),"10."&amp;Eingabe!$D$18&amp;".103.1","")</f>
        <v/>
      </c>
      <c r="H1929" s="21" t="str">
        <f aca="false">IF(AND(Eingabe!$F$18&gt;0,Eingabe!$E$18&gt;=103),"10."&amp;Eingabe!$D$18&amp;".103.10 – 10."&amp;Eingabe!$D$18&amp;".103.250","")</f>
        <v/>
      </c>
      <c r="I1929" s="21" t="str">
        <f aca="false">IF(AND(Eingabe!$F$18&gt;0,Eingabe!$E$18&gt;=103),Eingabe!$B$6&amp;"-"&amp;Eingabe!$C$18&amp;"-Pächter","")</f>
        <v/>
      </c>
      <c r="J1929" s="21" t="str">
        <f aca="false">IF(AND(Eingabe!$F$18&gt;0,Eingabe!$E$18&gt;=103),"PPSK: Passwort Parzelle 103","")</f>
        <v/>
      </c>
      <c r="K1929" s="21" t="str">
        <f aca="false">IF(AND(Eingabe!$F$18&gt;0,Eingabe!$E$18&gt;=103),"1. Gerät: 10."&amp;Eingabe!$D$18&amp;".103.10, 2. Gerät: .11","")</f>
        <v/>
      </c>
    </row>
    <row r="1930" customFormat="false" ht="15" hidden="false" customHeight="false" outlineLevel="0" collapsed="false">
      <c r="A1930" s="21" t="str">
        <f aca="false">IF(AND(Eingabe!$F$18&gt;0,Eingabe!$E$18&gt;=104),10,"")</f>
        <v/>
      </c>
      <c r="B1930" s="21" t="str">
        <f aca="false">IF(AND(Eingabe!$F$18&gt;0,Eingabe!$E$18&gt;=104),Eingabe!$B$18,"")</f>
        <v/>
      </c>
      <c r="C1930" s="21" t="str">
        <f aca="false">IF(AND(Eingabe!$F$18&gt;0,Eingabe!$E$18&gt;=104),Eingabe!$C$18&amp;"-Paz."&amp;TEXT(104,"000"),"")</f>
        <v/>
      </c>
      <c r="D1930" s="21" t="str">
        <f aca="false">IF(AND(Eingabe!$F$18&gt;0,Eingabe!$E$18&gt;=104),104,"")</f>
        <v/>
      </c>
      <c r="E1930" s="21" t="str">
        <f aca="false">IF(AND(Eingabe!$F$18&gt;0,Eingabe!$E$18&gt;=104),IF((Eingabe!$G$18+1)&lt;=9,1000+(Eingabe!$G$18+1)*100,3000)+4,"")</f>
        <v/>
      </c>
      <c r="F1930" s="21" t="str">
        <f aca="false">IF(AND(Eingabe!$F$18&gt;0,Eingabe!$E$18&gt;=104),"10."&amp;Eingabe!$D$18&amp;".104.0/24","")</f>
        <v/>
      </c>
      <c r="G1930" s="21" t="str">
        <f aca="false">IF(AND(Eingabe!$F$18&gt;0,Eingabe!$E$18&gt;=104),"10."&amp;Eingabe!$D$18&amp;".104.1","")</f>
        <v/>
      </c>
      <c r="H1930" s="21" t="str">
        <f aca="false">IF(AND(Eingabe!$F$18&gt;0,Eingabe!$E$18&gt;=104),"10."&amp;Eingabe!$D$18&amp;".104.10 – 10."&amp;Eingabe!$D$18&amp;".104.250","")</f>
        <v/>
      </c>
      <c r="I1930" s="21" t="str">
        <f aca="false">IF(AND(Eingabe!$F$18&gt;0,Eingabe!$E$18&gt;=104),Eingabe!$B$6&amp;"-"&amp;Eingabe!$C$18&amp;"-Pächter","")</f>
        <v/>
      </c>
      <c r="J1930" s="21" t="str">
        <f aca="false">IF(AND(Eingabe!$F$18&gt;0,Eingabe!$E$18&gt;=104),"PPSK: Passwort Parzelle 104","")</f>
        <v/>
      </c>
      <c r="K1930" s="21" t="str">
        <f aca="false">IF(AND(Eingabe!$F$18&gt;0,Eingabe!$E$18&gt;=104),"1. Gerät: 10."&amp;Eingabe!$D$18&amp;".104.10, 2. Gerät: .11","")</f>
        <v/>
      </c>
    </row>
    <row r="1931" customFormat="false" ht="15" hidden="false" customHeight="false" outlineLevel="0" collapsed="false">
      <c r="A1931" s="21" t="str">
        <f aca="false">IF(AND(Eingabe!$F$18&gt;0,Eingabe!$E$18&gt;=105),10,"")</f>
        <v/>
      </c>
      <c r="B1931" s="21" t="str">
        <f aca="false">IF(AND(Eingabe!$F$18&gt;0,Eingabe!$E$18&gt;=105),Eingabe!$B$18,"")</f>
        <v/>
      </c>
      <c r="C1931" s="21" t="str">
        <f aca="false">IF(AND(Eingabe!$F$18&gt;0,Eingabe!$E$18&gt;=105),Eingabe!$C$18&amp;"-Paz."&amp;TEXT(105,"000"),"")</f>
        <v/>
      </c>
      <c r="D1931" s="21" t="str">
        <f aca="false">IF(AND(Eingabe!$F$18&gt;0,Eingabe!$E$18&gt;=105),105,"")</f>
        <v/>
      </c>
      <c r="E1931" s="21" t="str">
        <f aca="false">IF(AND(Eingabe!$F$18&gt;0,Eingabe!$E$18&gt;=105),IF((Eingabe!$G$18+1)&lt;=9,1000+(Eingabe!$G$18+1)*100,3000)+5,"")</f>
        <v/>
      </c>
      <c r="F1931" s="21" t="str">
        <f aca="false">IF(AND(Eingabe!$F$18&gt;0,Eingabe!$E$18&gt;=105),"10."&amp;Eingabe!$D$18&amp;".105.0/24","")</f>
        <v/>
      </c>
      <c r="G1931" s="21" t="str">
        <f aca="false">IF(AND(Eingabe!$F$18&gt;0,Eingabe!$E$18&gt;=105),"10."&amp;Eingabe!$D$18&amp;".105.1","")</f>
        <v/>
      </c>
      <c r="H1931" s="21" t="str">
        <f aca="false">IF(AND(Eingabe!$F$18&gt;0,Eingabe!$E$18&gt;=105),"10."&amp;Eingabe!$D$18&amp;".105.10 – 10."&amp;Eingabe!$D$18&amp;".105.250","")</f>
        <v/>
      </c>
      <c r="I1931" s="21" t="str">
        <f aca="false">IF(AND(Eingabe!$F$18&gt;0,Eingabe!$E$18&gt;=105),Eingabe!$B$6&amp;"-"&amp;Eingabe!$C$18&amp;"-Pächter","")</f>
        <v/>
      </c>
      <c r="J1931" s="21" t="str">
        <f aca="false">IF(AND(Eingabe!$F$18&gt;0,Eingabe!$E$18&gt;=105),"PPSK: Passwort Parzelle 105","")</f>
        <v/>
      </c>
      <c r="K1931" s="21" t="str">
        <f aca="false">IF(AND(Eingabe!$F$18&gt;0,Eingabe!$E$18&gt;=105),"1. Gerät: 10."&amp;Eingabe!$D$18&amp;".105.10, 2. Gerät: .11","")</f>
        <v/>
      </c>
    </row>
    <row r="1932" customFormat="false" ht="15" hidden="false" customHeight="false" outlineLevel="0" collapsed="false">
      <c r="A1932" s="21" t="str">
        <f aca="false">IF(AND(Eingabe!$F$18&gt;0,Eingabe!$E$18&gt;=106),10,"")</f>
        <v/>
      </c>
      <c r="B1932" s="21" t="str">
        <f aca="false">IF(AND(Eingabe!$F$18&gt;0,Eingabe!$E$18&gt;=106),Eingabe!$B$18,"")</f>
        <v/>
      </c>
      <c r="C1932" s="21" t="str">
        <f aca="false">IF(AND(Eingabe!$F$18&gt;0,Eingabe!$E$18&gt;=106),Eingabe!$C$18&amp;"-Paz."&amp;TEXT(106,"000"),"")</f>
        <v/>
      </c>
      <c r="D1932" s="21" t="str">
        <f aca="false">IF(AND(Eingabe!$F$18&gt;0,Eingabe!$E$18&gt;=106),106,"")</f>
        <v/>
      </c>
      <c r="E1932" s="21" t="str">
        <f aca="false">IF(AND(Eingabe!$F$18&gt;0,Eingabe!$E$18&gt;=106),IF((Eingabe!$G$18+1)&lt;=9,1000+(Eingabe!$G$18+1)*100,3000)+6,"")</f>
        <v/>
      </c>
      <c r="F1932" s="21" t="str">
        <f aca="false">IF(AND(Eingabe!$F$18&gt;0,Eingabe!$E$18&gt;=106),"10."&amp;Eingabe!$D$18&amp;".106.0/24","")</f>
        <v/>
      </c>
      <c r="G1932" s="21" t="str">
        <f aca="false">IF(AND(Eingabe!$F$18&gt;0,Eingabe!$E$18&gt;=106),"10."&amp;Eingabe!$D$18&amp;".106.1","")</f>
        <v/>
      </c>
      <c r="H1932" s="21" t="str">
        <f aca="false">IF(AND(Eingabe!$F$18&gt;0,Eingabe!$E$18&gt;=106),"10."&amp;Eingabe!$D$18&amp;".106.10 – 10."&amp;Eingabe!$D$18&amp;".106.250","")</f>
        <v/>
      </c>
      <c r="I1932" s="21" t="str">
        <f aca="false">IF(AND(Eingabe!$F$18&gt;0,Eingabe!$E$18&gt;=106),Eingabe!$B$6&amp;"-"&amp;Eingabe!$C$18&amp;"-Pächter","")</f>
        <v/>
      </c>
      <c r="J1932" s="21" t="str">
        <f aca="false">IF(AND(Eingabe!$F$18&gt;0,Eingabe!$E$18&gt;=106),"PPSK: Passwort Parzelle 106","")</f>
        <v/>
      </c>
      <c r="K1932" s="21" t="str">
        <f aca="false">IF(AND(Eingabe!$F$18&gt;0,Eingabe!$E$18&gt;=106),"1. Gerät: 10."&amp;Eingabe!$D$18&amp;".106.10, 2. Gerät: .11","")</f>
        <v/>
      </c>
    </row>
    <row r="1933" customFormat="false" ht="15" hidden="false" customHeight="false" outlineLevel="0" collapsed="false">
      <c r="A1933" s="21" t="str">
        <f aca="false">IF(AND(Eingabe!$F$18&gt;0,Eingabe!$E$18&gt;=107),10,"")</f>
        <v/>
      </c>
      <c r="B1933" s="21" t="str">
        <f aca="false">IF(AND(Eingabe!$F$18&gt;0,Eingabe!$E$18&gt;=107),Eingabe!$B$18,"")</f>
        <v/>
      </c>
      <c r="C1933" s="21" t="str">
        <f aca="false">IF(AND(Eingabe!$F$18&gt;0,Eingabe!$E$18&gt;=107),Eingabe!$C$18&amp;"-Paz."&amp;TEXT(107,"000"),"")</f>
        <v/>
      </c>
      <c r="D1933" s="21" t="str">
        <f aca="false">IF(AND(Eingabe!$F$18&gt;0,Eingabe!$E$18&gt;=107),107,"")</f>
        <v/>
      </c>
      <c r="E1933" s="21" t="str">
        <f aca="false">IF(AND(Eingabe!$F$18&gt;0,Eingabe!$E$18&gt;=107),IF((Eingabe!$G$18+1)&lt;=9,1000+(Eingabe!$G$18+1)*100,3000)+7,"")</f>
        <v/>
      </c>
      <c r="F1933" s="21" t="str">
        <f aca="false">IF(AND(Eingabe!$F$18&gt;0,Eingabe!$E$18&gt;=107),"10."&amp;Eingabe!$D$18&amp;".107.0/24","")</f>
        <v/>
      </c>
      <c r="G1933" s="21" t="str">
        <f aca="false">IF(AND(Eingabe!$F$18&gt;0,Eingabe!$E$18&gt;=107),"10."&amp;Eingabe!$D$18&amp;".107.1","")</f>
        <v/>
      </c>
      <c r="H1933" s="21" t="str">
        <f aca="false">IF(AND(Eingabe!$F$18&gt;0,Eingabe!$E$18&gt;=107),"10."&amp;Eingabe!$D$18&amp;".107.10 – 10."&amp;Eingabe!$D$18&amp;".107.250","")</f>
        <v/>
      </c>
      <c r="I1933" s="21" t="str">
        <f aca="false">IF(AND(Eingabe!$F$18&gt;0,Eingabe!$E$18&gt;=107),Eingabe!$B$6&amp;"-"&amp;Eingabe!$C$18&amp;"-Pächter","")</f>
        <v/>
      </c>
      <c r="J1933" s="21" t="str">
        <f aca="false">IF(AND(Eingabe!$F$18&gt;0,Eingabe!$E$18&gt;=107),"PPSK: Passwort Parzelle 107","")</f>
        <v/>
      </c>
      <c r="K1933" s="21" t="str">
        <f aca="false">IF(AND(Eingabe!$F$18&gt;0,Eingabe!$E$18&gt;=107),"1. Gerät: 10."&amp;Eingabe!$D$18&amp;".107.10, 2. Gerät: .11","")</f>
        <v/>
      </c>
    </row>
    <row r="1934" customFormat="false" ht="15" hidden="false" customHeight="false" outlineLevel="0" collapsed="false">
      <c r="A1934" s="21" t="str">
        <f aca="false">IF(AND(Eingabe!$F$18&gt;0,Eingabe!$E$18&gt;=108),10,"")</f>
        <v/>
      </c>
      <c r="B1934" s="21" t="str">
        <f aca="false">IF(AND(Eingabe!$F$18&gt;0,Eingabe!$E$18&gt;=108),Eingabe!$B$18,"")</f>
        <v/>
      </c>
      <c r="C1934" s="21" t="str">
        <f aca="false">IF(AND(Eingabe!$F$18&gt;0,Eingabe!$E$18&gt;=108),Eingabe!$C$18&amp;"-Paz."&amp;TEXT(108,"000"),"")</f>
        <v/>
      </c>
      <c r="D1934" s="21" t="str">
        <f aca="false">IF(AND(Eingabe!$F$18&gt;0,Eingabe!$E$18&gt;=108),108,"")</f>
        <v/>
      </c>
      <c r="E1934" s="21" t="str">
        <f aca="false">IF(AND(Eingabe!$F$18&gt;0,Eingabe!$E$18&gt;=108),IF((Eingabe!$G$18+1)&lt;=9,1000+(Eingabe!$G$18+1)*100,3000)+8,"")</f>
        <v/>
      </c>
      <c r="F1934" s="21" t="str">
        <f aca="false">IF(AND(Eingabe!$F$18&gt;0,Eingabe!$E$18&gt;=108),"10."&amp;Eingabe!$D$18&amp;".108.0/24","")</f>
        <v/>
      </c>
      <c r="G1934" s="21" t="str">
        <f aca="false">IF(AND(Eingabe!$F$18&gt;0,Eingabe!$E$18&gt;=108),"10."&amp;Eingabe!$D$18&amp;".108.1","")</f>
        <v/>
      </c>
      <c r="H1934" s="21" t="str">
        <f aca="false">IF(AND(Eingabe!$F$18&gt;0,Eingabe!$E$18&gt;=108),"10."&amp;Eingabe!$D$18&amp;".108.10 – 10."&amp;Eingabe!$D$18&amp;".108.250","")</f>
        <v/>
      </c>
      <c r="I1934" s="21" t="str">
        <f aca="false">IF(AND(Eingabe!$F$18&gt;0,Eingabe!$E$18&gt;=108),Eingabe!$B$6&amp;"-"&amp;Eingabe!$C$18&amp;"-Pächter","")</f>
        <v/>
      </c>
      <c r="J1934" s="21" t="str">
        <f aca="false">IF(AND(Eingabe!$F$18&gt;0,Eingabe!$E$18&gt;=108),"PPSK: Passwort Parzelle 108","")</f>
        <v/>
      </c>
      <c r="K1934" s="21" t="str">
        <f aca="false">IF(AND(Eingabe!$F$18&gt;0,Eingabe!$E$18&gt;=108),"1. Gerät: 10."&amp;Eingabe!$D$18&amp;".108.10, 2. Gerät: .11","")</f>
        <v/>
      </c>
    </row>
    <row r="1935" customFormat="false" ht="15" hidden="false" customHeight="false" outlineLevel="0" collapsed="false">
      <c r="A1935" s="21" t="str">
        <f aca="false">IF(AND(Eingabe!$F$18&gt;0,Eingabe!$E$18&gt;=109),10,"")</f>
        <v/>
      </c>
      <c r="B1935" s="21" t="str">
        <f aca="false">IF(AND(Eingabe!$F$18&gt;0,Eingabe!$E$18&gt;=109),Eingabe!$B$18,"")</f>
        <v/>
      </c>
      <c r="C1935" s="21" t="str">
        <f aca="false">IF(AND(Eingabe!$F$18&gt;0,Eingabe!$E$18&gt;=109),Eingabe!$C$18&amp;"-Paz."&amp;TEXT(109,"000"),"")</f>
        <v/>
      </c>
      <c r="D1935" s="21" t="str">
        <f aca="false">IF(AND(Eingabe!$F$18&gt;0,Eingabe!$E$18&gt;=109),109,"")</f>
        <v/>
      </c>
      <c r="E1935" s="21" t="str">
        <f aca="false">IF(AND(Eingabe!$F$18&gt;0,Eingabe!$E$18&gt;=109),IF((Eingabe!$G$18+1)&lt;=9,1000+(Eingabe!$G$18+1)*100,3000)+9,"")</f>
        <v/>
      </c>
      <c r="F1935" s="21" t="str">
        <f aca="false">IF(AND(Eingabe!$F$18&gt;0,Eingabe!$E$18&gt;=109),"10."&amp;Eingabe!$D$18&amp;".109.0/24","")</f>
        <v/>
      </c>
      <c r="G1935" s="21" t="str">
        <f aca="false">IF(AND(Eingabe!$F$18&gt;0,Eingabe!$E$18&gt;=109),"10."&amp;Eingabe!$D$18&amp;".109.1","")</f>
        <v/>
      </c>
      <c r="H1935" s="21" t="str">
        <f aca="false">IF(AND(Eingabe!$F$18&gt;0,Eingabe!$E$18&gt;=109),"10."&amp;Eingabe!$D$18&amp;".109.10 – 10."&amp;Eingabe!$D$18&amp;".109.250","")</f>
        <v/>
      </c>
      <c r="I1935" s="21" t="str">
        <f aca="false">IF(AND(Eingabe!$F$18&gt;0,Eingabe!$E$18&gt;=109),Eingabe!$B$6&amp;"-"&amp;Eingabe!$C$18&amp;"-Pächter","")</f>
        <v/>
      </c>
      <c r="J1935" s="21" t="str">
        <f aca="false">IF(AND(Eingabe!$F$18&gt;0,Eingabe!$E$18&gt;=109),"PPSK: Passwort Parzelle 109","")</f>
        <v/>
      </c>
      <c r="K1935" s="21" t="str">
        <f aca="false">IF(AND(Eingabe!$F$18&gt;0,Eingabe!$E$18&gt;=109),"1. Gerät: 10."&amp;Eingabe!$D$18&amp;".109.10, 2. Gerät: .11","")</f>
        <v/>
      </c>
    </row>
    <row r="1936" customFormat="false" ht="15" hidden="false" customHeight="false" outlineLevel="0" collapsed="false">
      <c r="A1936" s="21" t="str">
        <f aca="false">IF(AND(Eingabe!$F$18&gt;0,Eingabe!$E$18&gt;=110),10,"")</f>
        <v/>
      </c>
      <c r="B1936" s="21" t="str">
        <f aca="false">IF(AND(Eingabe!$F$18&gt;0,Eingabe!$E$18&gt;=110),Eingabe!$B$18,"")</f>
        <v/>
      </c>
      <c r="C1936" s="21" t="str">
        <f aca="false">IF(AND(Eingabe!$F$18&gt;0,Eingabe!$E$18&gt;=110),Eingabe!$C$18&amp;"-Paz."&amp;TEXT(110,"000"),"")</f>
        <v/>
      </c>
      <c r="D1936" s="21" t="str">
        <f aca="false">IF(AND(Eingabe!$F$18&gt;0,Eingabe!$E$18&gt;=110),110,"")</f>
        <v/>
      </c>
      <c r="E1936" s="21" t="str">
        <f aca="false">IF(AND(Eingabe!$F$18&gt;0,Eingabe!$E$18&gt;=110),IF((Eingabe!$G$18+1)&lt;=9,1000+(Eingabe!$G$18+1)*100,3000)+10,"")</f>
        <v/>
      </c>
      <c r="F1936" s="21" t="str">
        <f aca="false">IF(AND(Eingabe!$F$18&gt;0,Eingabe!$E$18&gt;=110),"10."&amp;Eingabe!$D$18&amp;".110.0/24","")</f>
        <v/>
      </c>
      <c r="G1936" s="21" t="str">
        <f aca="false">IF(AND(Eingabe!$F$18&gt;0,Eingabe!$E$18&gt;=110),"10."&amp;Eingabe!$D$18&amp;".110.1","")</f>
        <v/>
      </c>
      <c r="H1936" s="21" t="str">
        <f aca="false">IF(AND(Eingabe!$F$18&gt;0,Eingabe!$E$18&gt;=110),"10."&amp;Eingabe!$D$18&amp;".110.10 – 10."&amp;Eingabe!$D$18&amp;".110.250","")</f>
        <v/>
      </c>
      <c r="I1936" s="21" t="str">
        <f aca="false">IF(AND(Eingabe!$F$18&gt;0,Eingabe!$E$18&gt;=110),Eingabe!$B$6&amp;"-"&amp;Eingabe!$C$18&amp;"-Pächter","")</f>
        <v/>
      </c>
      <c r="J1936" s="21" t="str">
        <f aca="false">IF(AND(Eingabe!$F$18&gt;0,Eingabe!$E$18&gt;=110),"PPSK: Passwort Parzelle 110","")</f>
        <v/>
      </c>
      <c r="K1936" s="21" t="str">
        <f aca="false">IF(AND(Eingabe!$F$18&gt;0,Eingabe!$E$18&gt;=110),"1. Gerät: 10."&amp;Eingabe!$D$18&amp;".110.10, 2. Gerät: .11","")</f>
        <v/>
      </c>
    </row>
    <row r="1937" customFormat="false" ht="15" hidden="false" customHeight="false" outlineLevel="0" collapsed="false">
      <c r="A1937" s="21" t="str">
        <f aca="false">IF(AND(Eingabe!$F$18&gt;0,Eingabe!$E$18&gt;=111),10,"")</f>
        <v/>
      </c>
      <c r="B1937" s="21" t="str">
        <f aca="false">IF(AND(Eingabe!$F$18&gt;0,Eingabe!$E$18&gt;=111),Eingabe!$B$18,"")</f>
        <v/>
      </c>
      <c r="C1937" s="21" t="str">
        <f aca="false">IF(AND(Eingabe!$F$18&gt;0,Eingabe!$E$18&gt;=111),Eingabe!$C$18&amp;"-Paz."&amp;TEXT(111,"000"),"")</f>
        <v/>
      </c>
      <c r="D1937" s="21" t="str">
        <f aca="false">IF(AND(Eingabe!$F$18&gt;0,Eingabe!$E$18&gt;=111),111,"")</f>
        <v/>
      </c>
      <c r="E1937" s="21" t="str">
        <f aca="false">IF(AND(Eingabe!$F$18&gt;0,Eingabe!$E$18&gt;=111),IF((Eingabe!$G$18+1)&lt;=9,1000+(Eingabe!$G$18+1)*100,3000)+11,"")</f>
        <v/>
      </c>
      <c r="F1937" s="21" t="str">
        <f aca="false">IF(AND(Eingabe!$F$18&gt;0,Eingabe!$E$18&gt;=111),"10."&amp;Eingabe!$D$18&amp;".111.0/24","")</f>
        <v/>
      </c>
      <c r="G1937" s="21" t="str">
        <f aca="false">IF(AND(Eingabe!$F$18&gt;0,Eingabe!$E$18&gt;=111),"10."&amp;Eingabe!$D$18&amp;".111.1","")</f>
        <v/>
      </c>
      <c r="H1937" s="21" t="str">
        <f aca="false">IF(AND(Eingabe!$F$18&gt;0,Eingabe!$E$18&gt;=111),"10."&amp;Eingabe!$D$18&amp;".111.10 – 10."&amp;Eingabe!$D$18&amp;".111.250","")</f>
        <v/>
      </c>
      <c r="I1937" s="21" t="str">
        <f aca="false">IF(AND(Eingabe!$F$18&gt;0,Eingabe!$E$18&gt;=111),Eingabe!$B$6&amp;"-"&amp;Eingabe!$C$18&amp;"-Pächter","")</f>
        <v/>
      </c>
      <c r="J1937" s="21" t="str">
        <f aca="false">IF(AND(Eingabe!$F$18&gt;0,Eingabe!$E$18&gt;=111),"PPSK: Passwort Parzelle 111","")</f>
        <v/>
      </c>
      <c r="K1937" s="21" t="str">
        <f aca="false">IF(AND(Eingabe!$F$18&gt;0,Eingabe!$E$18&gt;=111),"1. Gerät: 10."&amp;Eingabe!$D$18&amp;".111.10, 2. Gerät: .11","")</f>
        <v/>
      </c>
    </row>
    <row r="1938" customFormat="false" ht="15" hidden="false" customHeight="false" outlineLevel="0" collapsed="false">
      <c r="A1938" s="21" t="str">
        <f aca="false">IF(AND(Eingabe!$F$18&gt;0,Eingabe!$E$18&gt;=112),10,"")</f>
        <v/>
      </c>
      <c r="B1938" s="21" t="str">
        <f aca="false">IF(AND(Eingabe!$F$18&gt;0,Eingabe!$E$18&gt;=112),Eingabe!$B$18,"")</f>
        <v/>
      </c>
      <c r="C1938" s="21" t="str">
        <f aca="false">IF(AND(Eingabe!$F$18&gt;0,Eingabe!$E$18&gt;=112),Eingabe!$C$18&amp;"-Paz."&amp;TEXT(112,"000"),"")</f>
        <v/>
      </c>
      <c r="D1938" s="21" t="str">
        <f aca="false">IF(AND(Eingabe!$F$18&gt;0,Eingabe!$E$18&gt;=112),112,"")</f>
        <v/>
      </c>
      <c r="E1938" s="21" t="str">
        <f aca="false">IF(AND(Eingabe!$F$18&gt;0,Eingabe!$E$18&gt;=112),IF((Eingabe!$G$18+1)&lt;=9,1000+(Eingabe!$G$18+1)*100,3000)+12,"")</f>
        <v/>
      </c>
      <c r="F1938" s="21" t="str">
        <f aca="false">IF(AND(Eingabe!$F$18&gt;0,Eingabe!$E$18&gt;=112),"10."&amp;Eingabe!$D$18&amp;".112.0/24","")</f>
        <v/>
      </c>
      <c r="G1938" s="21" t="str">
        <f aca="false">IF(AND(Eingabe!$F$18&gt;0,Eingabe!$E$18&gt;=112),"10."&amp;Eingabe!$D$18&amp;".112.1","")</f>
        <v/>
      </c>
      <c r="H1938" s="21" t="str">
        <f aca="false">IF(AND(Eingabe!$F$18&gt;0,Eingabe!$E$18&gt;=112),"10."&amp;Eingabe!$D$18&amp;".112.10 – 10."&amp;Eingabe!$D$18&amp;".112.250","")</f>
        <v/>
      </c>
      <c r="I1938" s="21" t="str">
        <f aca="false">IF(AND(Eingabe!$F$18&gt;0,Eingabe!$E$18&gt;=112),Eingabe!$B$6&amp;"-"&amp;Eingabe!$C$18&amp;"-Pächter","")</f>
        <v/>
      </c>
      <c r="J1938" s="21" t="str">
        <f aca="false">IF(AND(Eingabe!$F$18&gt;0,Eingabe!$E$18&gt;=112),"PPSK: Passwort Parzelle 112","")</f>
        <v/>
      </c>
      <c r="K1938" s="21" t="str">
        <f aca="false">IF(AND(Eingabe!$F$18&gt;0,Eingabe!$E$18&gt;=112),"1. Gerät: 10."&amp;Eingabe!$D$18&amp;".112.10, 2. Gerät: .11","")</f>
        <v/>
      </c>
    </row>
    <row r="1939" customFormat="false" ht="15" hidden="false" customHeight="false" outlineLevel="0" collapsed="false">
      <c r="A1939" s="21" t="str">
        <f aca="false">IF(AND(Eingabe!$F$18&gt;0,Eingabe!$E$18&gt;=113),10,"")</f>
        <v/>
      </c>
      <c r="B1939" s="21" t="str">
        <f aca="false">IF(AND(Eingabe!$F$18&gt;0,Eingabe!$E$18&gt;=113),Eingabe!$B$18,"")</f>
        <v/>
      </c>
      <c r="C1939" s="21" t="str">
        <f aca="false">IF(AND(Eingabe!$F$18&gt;0,Eingabe!$E$18&gt;=113),Eingabe!$C$18&amp;"-Paz."&amp;TEXT(113,"000"),"")</f>
        <v/>
      </c>
      <c r="D1939" s="21" t="str">
        <f aca="false">IF(AND(Eingabe!$F$18&gt;0,Eingabe!$E$18&gt;=113),113,"")</f>
        <v/>
      </c>
      <c r="E1939" s="21" t="str">
        <f aca="false">IF(AND(Eingabe!$F$18&gt;0,Eingabe!$E$18&gt;=113),IF((Eingabe!$G$18+1)&lt;=9,1000+(Eingabe!$G$18+1)*100,3000)+13,"")</f>
        <v/>
      </c>
      <c r="F1939" s="21" t="str">
        <f aca="false">IF(AND(Eingabe!$F$18&gt;0,Eingabe!$E$18&gt;=113),"10."&amp;Eingabe!$D$18&amp;".113.0/24","")</f>
        <v/>
      </c>
      <c r="G1939" s="21" t="str">
        <f aca="false">IF(AND(Eingabe!$F$18&gt;0,Eingabe!$E$18&gt;=113),"10."&amp;Eingabe!$D$18&amp;".113.1","")</f>
        <v/>
      </c>
      <c r="H1939" s="21" t="str">
        <f aca="false">IF(AND(Eingabe!$F$18&gt;0,Eingabe!$E$18&gt;=113),"10."&amp;Eingabe!$D$18&amp;".113.10 – 10."&amp;Eingabe!$D$18&amp;".113.250","")</f>
        <v/>
      </c>
      <c r="I1939" s="21" t="str">
        <f aca="false">IF(AND(Eingabe!$F$18&gt;0,Eingabe!$E$18&gt;=113),Eingabe!$B$6&amp;"-"&amp;Eingabe!$C$18&amp;"-Pächter","")</f>
        <v/>
      </c>
      <c r="J1939" s="21" t="str">
        <f aca="false">IF(AND(Eingabe!$F$18&gt;0,Eingabe!$E$18&gt;=113),"PPSK: Passwort Parzelle 113","")</f>
        <v/>
      </c>
      <c r="K1939" s="21" t="str">
        <f aca="false">IF(AND(Eingabe!$F$18&gt;0,Eingabe!$E$18&gt;=113),"1. Gerät: 10."&amp;Eingabe!$D$18&amp;".113.10, 2. Gerät: .11","")</f>
        <v/>
      </c>
    </row>
    <row r="1940" customFormat="false" ht="15" hidden="false" customHeight="false" outlineLevel="0" collapsed="false">
      <c r="A1940" s="21" t="str">
        <f aca="false">IF(AND(Eingabe!$F$18&gt;0,Eingabe!$E$18&gt;=114),10,"")</f>
        <v/>
      </c>
      <c r="B1940" s="21" t="str">
        <f aca="false">IF(AND(Eingabe!$F$18&gt;0,Eingabe!$E$18&gt;=114),Eingabe!$B$18,"")</f>
        <v/>
      </c>
      <c r="C1940" s="21" t="str">
        <f aca="false">IF(AND(Eingabe!$F$18&gt;0,Eingabe!$E$18&gt;=114),Eingabe!$C$18&amp;"-Paz."&amp;TEXT(114,"000"),"")</f>
        <v/>
      </c>
      <c r="D1940" s="21" t="str">
        <f aca="false">IF(AND(Eingabe!$F$18&gt;0,Eingabe!$E$18&gt;=114),114,"")</f>
        <v/>
      </c>
      <c r="E1940" s="21" t="str">
        <f aca="false">IF(AND(Eingabe!$F$18&gt;0,Eingabe!$E$18&gt;=114),IF((Eingabe!$G$18+1)&lt;=9,1000+(Eingabe!$G$18+1)*100,3000)+14,"")</f>
        <v/>
      </c>
      <c r="F1940" s="21" t="str">
        <f aca="false">IF(AND(Eingabe!$F$18&gt;0,Eingabe!$E$18&gt;=114),"10."&amp;Eingabe!$D$18&amp;".114.0/24","")</f>
        <v/>
      </c>
      <c r="G1940" s="21" t="str">
        <f aca="false">IF(AND(Eingabe!$F$18&gt;0,Eingabe!$E$18&gt;=114),"10."&amp;Eingabe!$D$18&amp;".114.1","")</f>
        <v/>
      </c>
      <c r="H1940" s="21" t="str">
        <f aca="false">IF(AND(Eingabe!$F$18&gt;0,Eingabe!$E$18&gt;=114),"10."&amp;Eingabe!$D$18&amp;".114.10 – 10."&amp;Eingabe!$D$18&amp;".114.250","")</f>
        <v/>
      </c>
      <c r="I1940" s="21" t="str">
        <f aca="false">IF(AND(Eingabe!$F$18&gt;0,Eingabe!$E$18&gt;=114),Eingabe!$B$6&amp;"-"&amp;Eingabe!$C$18&amp;"-Pächter","")</f>
        <v/>
      </c>
      <c r="J1940" s="21" t="str">
        <f aca="false">IF(AND(Eingabe!$F$18&gt;0,Eingabe!$E$18&gt;=114),"PPSK: Passwort Parzelle 114","")</f>
        <v/>
      </c>
      <c r="K1940" s="21" t="str">
        <f aca="false">IF(AND(Eingabe!$F$18&gt;0,Eingabe!$E$18&gt;=114),"1. Gerät: 10."&amp;Eingabe!$D$18&amp;".114.10, 2. Gerät: .11","")</f>
        <v/>
      </c>
    </row>
    <row r="1941" customFormat="false" ht="15" hidden="false" customHeight="false" outlineLevel="0" collapsed="false">
      <c r="A1941" s="21" t="str">
        <f aca="false">IF(AND(Eingabe!$F$18&gt;0,Eingabe!$E$18&gt;=115),10,"")</f>
        <v/>
      </c>
      <c r="B1941" s="21" t="str">
        <f aca="false">IF(AND(Eingabe!$F$18&gt;0,Eingabe!$E$18&gt;=115),Eingabe!$B$18,"")</f>
        <v/>
      </c>
      <c r="C1941" s="21" t="str">
        <f aca="false">IF(AND(Eingabe!$F$18&gt;0,Eingabe!$E$18&gt;=115),Eingabe!$C$18&amp;"-Paz."&amp;TEXT(115,"000"),"")</f>
        <v/>
      </c>
      <c r="D1941" s="21" t="str">
        <f aca="false">IF(AND(Eingabe!$F$18&gt;0,Eingabe!$E$18&gt;=115),115,"")</f>
        <v/>
      </c>
      <c r="E1941" s="21" t="str">
        <f aca="false">IF(AND(Eingabe!$F$18&gt;0,Eingabe!$E$18&gt;=115),IF((Eingabe!$G$18+1)&lt;=9,1000+(Eingabe!$G$18+1)*100,3000)+15,"")</f>
        <v/>
      </c>
      <c r="F1941" s="21" t="str">
        <f aca="false">IF(AND(Eingabe!$F$18&gt;0,Eingabe!$E$18&gt;=115),"10."&amp;Eingabe!$D$18&amp;".115.0/24","")</f>
        <v/>
      </c>
      <c r="G1941" s="21" t="str">
        <f aca="false">IF(AND(Eingabe!$F$18&gt;0,Eingabe!$E$18&gt;=115),"10."&amp;Eingabe!$D$18&amp;".115.1","")</f>
        <v/>
      </c>
      <c r="H1941" s="21" t="str">
        <f aca="false">IF(AND(Eingabe!$F$18&gt;0,Eingabe!$E$18&gt;=115),"10."&amp;Eingabe!$D$18&amp;".115.10 – 10."&amp;Eingabe!$D$18&amp;".115.250","")</f>
        <v/>
      </c>
      <c r="I1941" s="21" t="str">
        <f aca="false">IF(AND(Eingabe!$F$18&gt;0,Eingabe!$E$18&gt;=115),Eingabe!$B$6&amp;"-"&amp;Eingabe!$C$18&amp;"-Pächter","")</f>
        <v/>
      </c>
      <c r="J1941" s="21" t="str">
        <f aca="false">IF(AND(Eingabe!$F$18&gt;0,Eingabe!$E$18&gt;=115),"PPSK: Passwort Parzelle 115","")</f>
        <v/>
      </c>
      <c r="K1941" s="21" t="str">
        <f aca="false">IF(AND(Eingabe!$F$18&gt;0,Eingabe!$E$18&gt;=115),"1. Gerät: 10."&amp;Eingabe!$D$18&amp;".115.10, 2. Gerät: .11","")</f>
        <v/>
      </c>
    </row>
    <row r="1942" customFormat="false" ht="15" hidden="false" customHeight="false" outlineLevel="0" collapsed="false">
      <c r="A1942" s="21" t="str">
        <f aca="false">IF(AND(Eingabe!$F$18&gt;0,Eingabe!$E$18&gt;=116),10,"")</f>
        <v/>
      </c>
      <c r="B1942" s="21" t="str">
        <f aca="false">IF(AND(Eingabe!$F$18&gt;0,Eingabe!$E$18&gt;=116),Eingabe!$B$18,"")</f>
        <v/>
      </c>
      <c r="C1942" s="21" t="str">
        <f aca="false">IF(AND(Eingabe!$F$18&gt;0,Eingabe!$E$18&gt;=116),Eingabe!$C$18&amp;"-Paz."&amp;TEXT(116,"000"),"")</f>
        <v/>
      </c>
      <c r="D1942" s="21" t="str">
        <f aca="false">IF(AND(Eingabe!$F$18&gt;0,Eingabe!$E$18&gt;=116),116,"")</f>
        <v/>
      </c>
      <c r="E1942" s="21" t="str">
        <f aca="false">IF(AND(Eingabe!$F$18&gt;0,Eingabe!$E$18&gt;=116),IF((Eingabe!$G$18+1)&lt;=9,1000+(Eingabe!$G$18+1)*100,3000)+16,"")</f>
        <v/>
      </c>
      <c r="F1942" s="21" t="str">
        <f aca="false">IF(AND(Eingabe!$F$18&gt;0,Eingabe!$E$18&gt;=116),"10."&amp;Eingabe!$D$18&amp;".116.0/24","")</f>
        <v/>
      </c>
      <c r="G1942" s="21" t="str">
        <f aca="false">IF(AND(Eingabe!$F$18&gt;0,Eingabe!$E$18&gt;=116),"10."&amp;Eingabe!$D$18&amp;".116.1","")</f>
        <v/>
      </c>
      <c r="H1942" s="21" t="str">
        <f aca="false">IF(AND(Eingabe!$F$18&gt;0,Eingabe!$E$18&gt;=116),"10."&amp;Eingabe!$D$18&amp;".116.10 – 10."&amp;Eingabe!$D$18&amp;".116.250","")</f>
        <v/>
      </c>
      <c r="I1942" s="21" t="str">
        <f aca="false">IF(AND(Eingabe!$F$18&gt;0,Eingabe!$E$18&gt;=116),Eingabe!$B$6&amp;"-"&amp;Eingabe!$C$18&amp;"-Pächter","")</f>
        <v/>
      </c>
      <c r="J1942" s="21" t="str">
        <f aca="false">IF(AND(Eingabe!$F$18&gt;0,Eingabe!$E$18&gt;=116),"PPSK: Passwort Parzelle 116","")</f>
        <v/>
      </c>
      <c r="K1942" s="21" t="str">
        <f aca="false">IF(AND(Eingabe!$F$18&gt;0,Eingabe!$E$18&gt;=116),"1. Gerät: 10."&amp;Eingabe!$D$18&amp;".116.10, 2. Gerät: .11","")</f>
        <v/>
      </c>
    </row>
    <row r="1943" customFormat="false" ht="15" hidden="false" customHeight="false" outlineLevel="0" collapsed="false">
      <c r="A1943" s="21" t="str">
        <f aca="false">IF(AND(Eingabe!$F$18&gt;0,Eingabe!$E$18&gt;=117),10,"")</f>
        <v/>
      </c>
      <c r="B1943" s="21" t="str">
        <f aca="false">IF(AND(Eingabe!$F$18&gt;0,Eingabe!$E$18&gt;=117),Eingabe!$B$18,"")</f>
        <v/>
      </c>
      <c r="C1943" s="21" t="str">
        <f aca="false">IF(AND(Eingabe!$F$18&gt;0,Eingabe!$E$18&gt;=117),Eingabe!$C$18&amp;"-Paz."&amp;TEXT(117,"000"),"")</f>
        <v/>
      </c>
      <c r="D1943" s="21" t="str">
        <f aca="false">IF(AND(Eingabe!$F$18&gt;0,Eingabe!$E$18&gt;=117),117,"")</f>
        <v/>
      </c>
      <c r="E1943" s="21" t="str">
        <f aca="false">IF(AND(Eingabe!$F$18&gt;0,Eingabe!$E$18&gt;=117),IF((Eingabe!$G$18+1)&lt;=9,1000+(Eingabe!$G$18+1)*100,3000)+17,"")</f>
        <v/>
      </c>
      <c r="F1943" s="21" t="str">
        <f aca="false">IF(AND(Eingabe!$F$18&gt;0,Eingabe!$E$18&gt;=117),"10."&amp;Eingabe!$D$18&amp;".117.0/24","")</f>
        <v/>
      </c>
      <c r="G1943" s="21" t="str">
        <f aca="false">IF(AND(Eingabe!$F$18&gt;0,Eingabe!$E$18&gt;=117),"10."&amp;Eingabe!$D$18&amp;".117.1","")</f>
        <v/>
      </c>
      <c r="H1943" s="21" t="str">
        <f aca="false">IF(AND(Eingabe!$F$18&gt;0,Eingabe!$E$18&gt;=117),"10."&amp;Eingabe!$D$18&amp;".117.10 – 10."&amp;Eingabe!$D$18&amp;".117.250","")</f>
        <v/>
      </c>
      <c r="I1943" s="21" t="str">
        <f aca="false">IF(AND(Eingabe!$F$18&gt;0,Eingabe!$E$18&gt;=117),Eingabe!$B$6&amp;"-"&amp;Eingabe!$C$18&amp;"-Pächter","")</f>
        <v/>
      </c>
      <c r="J1943" s="21" t="str">
        <f aca="false">IF(AND(Eingabe!$F$18&gt;0,Eingabe!$E$18&gt;=117),"PPSK: Passwort Parzelle 117","")</f>
        <v/>
      </c>
      <c r="K1943" s="21" t="str">
        <f aca="false">IF(AND(Eingabe!$F$18&gt;0,Eingabe!$E$18&gt;=117),"1. Gerät: 10."&amp;Eingabe!$D$18&amp;".117.10, 2. Gerät: .11","")</f>
        <v/>
      </c>
    </row>
    <row r="1944" customFormat="false" ht="15" hidden="false" customHeight="false" outlineLevel="0" collapsed="false">
      <c r="A1944" s="21" t="str">
        <f aca="false">IF(AND(Eingabe!$F$18&gt;0,Eingabe!$E$18&gt;=118),10,"")</f>
        <v/>
      </c>
      <c r="B1944" s="21" t="str">
        <f aca="false">IF(AND(Eingabe!$F$18&gt;0,Eingabe!$E$18&gt;=118),Eingabe!$B$18,"")</f>
        <v/>
      </c>
      <c r="C1944" s="21" t="str">
        <f aca="false">IF(AND(Eingabe!$F$18&gt;0,Eingabe!$E$18&gt;=118),Eingabe!$C$18&amp;"-Paz."&amp;TEXT(118,"000"),"")</f>
        <v/>
      </c>
      <c r="D1944" s="21" t="str">
        <f aca="false">IF(AND(Eingabe!$F$18&gt;0,Eingabe!$E$18&gt;=118),118,"")</f>
        <v/>
      </c>
      <c r="E1944" s="21" t="str">
        <f aca="false">IF(AND(Eingabe!$F$18&gt;0,Eingabe!$E$18&gt;=118),IF((Eingabe!$G$18+1)&lt;=9,1000+(Eingabe!$G$18+1)*100,3000)+18,"")</f>
        <v/>
      </c>
      <c r="F1944" s="21" t="str">
        <f aca="false">IF(AND(Eingabe!$F$18&gt;0,Eingabe!$E$18&gt;=118),"10."&amp;Eingabe!$D$18&amp;".118.0/24","")</f>
        <v/>
      </c>
      <c r="G1944" s="21" t="str">
        <f aca="false">IF(AND(Eingabe!$F$18&gt;0,Eingabe!$E$18&gt;=118),"10."&amp;Eingabe!$D$18&amp;".118.1","")</f>
        <v/>
      </c>
      <c r="H1944" s="21" t="str">
        <f aca="false">IF(AND(Eingabe!$F$18&gt;0,Eingabe!$E$18&gt;=118),"10."&amp;Eingabe!$D$18&amp;".118.10 – 10."&amp;Eingabe!$D$18&amp;".118.250","")</f>
        <v/>
      </c>
      <c r="I1944" s="21" t="str">
        <f aca="false">IF(AND(Eingabe!$F$18&gt;0,Eingabe!$E$18&gt;=118),Eingabe!$B$6&amp;"-"&amp;Eingabe!$C$18&amp;"-Pächter","")</f>
        <v/>
      </c>
      <c r="J1944" s="21" t="str">
        <f aca="false">IF(AND(Eingabe!$F$18&gt;0,Eingabe!$E$18&gt;=118),"PPSK: Passwort Parzelle 118","")</f>
        <v/>
      </c>
      <c r="K1944" s="21" t="str">
        <f aca="false">IF(AND(Eingabe!$F$18&gt;0,Eingabe!$E$18&gt;=118),"1. Gerät: 10."&amp;Eingabe!$D$18&amp;".118.10, 2. Gerät: .11","")</f>
        <v/>
      </c>
    </row>
    <row r="1945" customFormat="false" ht="15" hidden="false" customHeight="false" outlineLevel="0" collapsed="false">
      <c r="A1945" s="21" t="str">
        <f aca="false">IF(AND(Eingabe!$F$18&gt;0,Eingabe!$E$18&gt;=119),10,"")</f>
        <v/>
      </c>
      <c r="B1945" s="21" t="str">
        <f aca="false">IF(AND(Eingabe!$F$18&gt;0,Eingabe!$E$18&gt;=119),Eingabe!$B$18,"")</f>
        <v/>
      </c>
      <c r="C1945" s="21" t="str">
        <f aca="false">IF(AND(Eingabe!$F$18&gt;0,Eingabe!$E$18&gt;=119),Eingabe!$C$18&amp;"-Paz."&amp;TEXT(119,"000"),"")</f>
        <v/>
      </c>
      <c r="D1945" s="21" t="str">
        <f aca="false">IF(AND(Eingabe!$F$18&gt;0,Eingabe!$E$18&gt;=119),119,"")</f>
        <v/>
      </c>
      <c r="E1945" s="21" t="str">
        <f aca="false">IF(AND(Eingabe!$F$18&gt;0,Eingabe!$E$18&gt;=119),IF((Eingabe!$G$18+1)&lt;=9,1000+(Eingabe!$G$18+1)*100,3000)+19,"")</f>
        <v/>
      </c>
      <c r="F1945" s="21" t="str">
        <f aca="false">IF(AND(Eingabe!$F$18&gt;0,Eingabe!$E$18&gt;=119),"10."&amp;Eingabe!$D$18&amp;".119.0/24","")</f>
        <v/>
      </c>
      <c r="G1945" s="21" t="str">
        <f aca="false">IF(AND(Eingabe!$F$18&gt;0,Eingabe!$E$18&gt;=119),"10."&amp;Eingabe!$D$18&amp;".119.1","")</f>
        <v/>
      </c>
      <c r="H1945" s="21" t="str">
        <f aca="false">IF(AND(Eingabe!$F$18&gt;0,Eingabe!$E$18&gt;=119),"10."&amp;Eingabe!$D$18&amp;".119.10 – 10."&amp;Eingabe!$D$18&amp;".119.250","")</f>
        <v/>
      </c>
      <c r="I1945" s="21" t="str">
        <f aca="false">IF(AND(Eingabe!$F$18&gt;0,Eingabe!$E$18&gt;=119),Eingabe!$B$6&amp;"-"&amp;Eingabe!$C$18&amp;"-Pächter","")</f>
        <v/>
      </c>
      <c r="J1945" s="21" t="str">
        <f aca="false">IF(AND(Eingabe!$F$18&gt;0,Eingabe!$E$18&gt;=119),"PPSK: Passwort Parzelle 119","")</f>
        <v/>
      </c>
      <c r="K1945" s="21" t="str">
        <f aca="false">IF(AND(Eingabe!$F$18&gt;0,Eingabe!$E$18&gt;=119),"1. Gerät: 10."&amp;Eingabe!$D$18&amp;".119.10, 2. Gerät: .11","")</f>
        <v/>
      </c>
    </row>
    <row r="1946" customFormat="false" ht="15" hidden="false" customHeight="false" outlineLevel="0" collapsed="false">
      <c r="A1946" s="21" t="str">
        <f aca="false">IF(AND(Eingabe!$F$18&gt;0,Eingabe!$E$18&gt;=120),10,"")</f>
        <v/>
      </c>
      <c r="B1946" s="21" t="str">
        <f aca="false">IF(AND(Eingabe!$F$18&gt;0,Eingabe!$E$18&gt;=120),Eingabe!$B$18,"")</f>
        <v/>
      </c>
      <c r="C1946" s="21" t="str">
        <f aca="false">IF(AND(Eingabe!$F$18&gt;0,Eingabe!$E$18&gt;=120),Eingabe!$C$18&amp;"-Paz."&amp;TEXT(120,"000"),"")</f>
        <v/>
      </c>
      <c r="D1946" s="21" t="str">
        <f aca="false">IF(AND(Eingabe!$F$18&gt;0,Eingabe!$E$18&gt;=120),120,"")</f>
        <v/>
      </c>
      <c r="E1946" s="21" t="str">
        <f aca="false">IF(AND(Eingabe!$F$18&gt;0,Eingabe!$E$18&gt;=120),IF((Eingabe!$G$18+1)&lt;=9,1000+(Eingabe!$G$18+1)*100,3000)+20,"")</f>
        <v/>
      </c>
      <c r="F1946" s="21" t="str">
        <f aca="false">IF(AND(Eingabe!$F$18&gt;0,Eingabe!$E$18&gt;=120),"10."&amp;Eingabe!$D$18&amp;".120.0/24","")</f>
        <v/>
      </c>
      <c r="G1946" s="21" t="str">
        <f aca="false">IF(AND(Eingabe!$F$18&gt;0,Eingabe!$E$18&gt;=120),"10."&amp;Eingabe!$D$18&amp;".120.1","")</f>
        <v/>
      </c>
      <c r="H1946" s="21" t="str">
        <f aca="false">IF(AND(Eingabe!$F$18&gt;0,Eingabe!$E$18&gt;=120),"10."&amp;Eingabe!$D$18&amp;".120.10 – 10."&amp;Eingabe!$D$18&amp;".120.250","")</f>
        <v/>
      </c>
      <c r="I1946" s="21" t="str">
        <f aca="false">IF(AND(Eingabe!$F$18&gt;0,Eingabe!$E$18&gt;=120),Eingabe!$B$6&amp;"-"&amp;Eingabe!$C$18&amp;"-Pächter","")</f>
        <v/>
      </c>
      <c r="J1946" s="21" t="str">
        <f aca="false">IF(AND(Eingabe!$F$18&gt;0,Eingabe!$E$18&gt;=120),"PPSK: Passwort Parzelle 120","")</f>
        <v/>
      </c>
      <c r="K1946" s="21" t="str">
        <f aca="false">IF(AND(Eingabe!$F$18&gt;0,Eingabe!$E$18&gt;=120),"1. Gerät: 10."&amp;Eingabe!$D$18&amp;".120.10, 2. Gerät: .11","")</f>
        <v/>
      </c>
    </row>
    <row r="1947" customFormat="false" ht="15" hidden="false" customHeight="false" outlineLevel="0" collapsed="false">
      <c r="A1947" s="21" t="str">
        <f aca="false">IF(AND(Eingabe!$F$18&gt;0,Eingabe!$E$18&gt;=121),10,"")</f>
        <v/>
      </c>
      <c r="B1947" s="21" t="str">
        <f aca="false">IF(AND(Eingabe!$F$18&gt;0,Eingabe!$E$18&gt;=121),Eingabe!$B$18,"")</f>
        <v/>
      </c>
      <c r="C1947" s="21" t="str">
        <f aca="false">IF(AND(Eingabe!$F$18&gt;0,Eingabe!$E$18&gt;=121),Eingabe!$C$18&amp;"-Paz."&amp;TEXT(121,"000"),"")</f>
        <v/>
      </c>
      <c r="D1947" s="21" t="str">
        <f aca="false">IF(AND(Eingabe!$F$18&gt;0,Eingabe!$E$18&gt;=121),121,"")</f>
        <v/>
      </c>
      <c r="E1947" s="21" t="str">
        <f aca="false">IF(AND(Eingabe!$F$18&gt;0,Eingabe!$E$18&gt;=121),IF((Eingabe!$G$18+1)&lt;=9,1000+(Eingabe!$G$18+1)*100,3000)+21,"")</f>
        <v/>
      </c>
      <c r="F1947" s="21" t="str">
        <f aca="false">IF(AND(Eingabe!$F$18&gt;0,Eingabe!$E$18&gt;=121),"10."&amp;Eingabe!$D$18&amp;".121.0/24","")</f>
        <v/>
      </c>
      <c r="G1947" s="21" t="str">
        <f aca="false">IF(AND(Eingabe!$F$18&gt;0,Eingabe!$E$18&gt;=121),"10."&amp;Eingabe!$D$18&amp;".121.1","")</f>
        <v/>
      </c>
      <c r="H1947" s="21" t="str">
        <f aca="false">IF(AND(Eingabe!$F$18&gt;0,Eingabe!$E$18&gt;=121),"10."&amp;Eingabe!$D$18&amp;".121.10 – 10."&amp;Eingabe!$D$18&amp;".121.250","")</f>
        <v/>
      </c>
      <c r="I1947" s="21" t="str">
        <f aca="false">IF(AND(Eingabe!$F$18&gt;0,Eingabe!$E$18&gt;=121),Eingabe!$B$6&amp;"-"&amp;Eingabe!$C$18&amp;"-Pächter","")</f>
        <v/>
      </c>
      <c r="J1947" s="21" t="str">
        <f aca="false">IF(AND(Eingabe!$F$18&gt;0,Eingabe!$E$18&gt;=121),"PPSK: Passwort Parzelle 121","")</f>
        <v/>
      </c>
      <c r="K1947" s="21" t="str">
        <f aca="false">IF(AND(Eingabe!$F$18&gt;0,Eingabe!$E$18&gt;=121),"1. Gerät: 10."&amp;Eingabe!$D$18&amp;".121.10, 2. Gerät: .11","")</f>
        <v/>
      </c>
    </row>
    <row r="1948" customFormat="false" ht="15" hidden="false" customHeight="false" outlineLevel="0" collapsed="false">
      <c r="A1948" s="21" t="str">
        <f aca="false">IF(AND(Eingabe!$F$18&gt;0,Eingabe!$E$18&gt;=122),10,"")</f>
        <v/>
      </c>
      <c r="B1948" s="21" t="str">
        <f aca="false">IF(AND(Eingabe!$F$18&gt;0,Eingabe!$E$18&gt;=122),Eingabe!$B$18,"")</f>
        <v/>
      </c>
      <c r="C1948" s="21" t="str">
        <f aca="false">IF(AND(Eingabe!$F$18&gt;0,Eingabe!$E$18&gt;=122),Eingabe!$C$18&amp;"-Paz."&amp;TEXT(122,"000"),"")</f>
        <v/>
      </c>
      <c r="D1948" s="21" t="str">
        <f aca="false">IF(AND(Eingabe!$F$18&gt;0,Eingabe!$E$18&gt;=122),122,"")</f>
        <v/>
      </c>
      <c r="E1948" s="21" t="str">
        <f aca="false">IF(AND(Eingabe!$F$18&gt;0,Eingabe!$E$18&gt;=122),IF((Eingabe!$G$18+1)&lt;=9,1000+(Eingabe!$G$18+1)*100,3000)+22,"")</f>
        <v/>
      </c>
      <c r="F1948" s="21" t="str">
        <f aca="false">IF(AND(Eingabe!$F$18&gt;0,Eingabe!$E$18&gt;=122),"10."&amp;Eingabe!$D$18&amp;".122.0/24","")</f>
        <v/>
      </c>
      <c r="G1948" s="21" t="str">
        <f aca="false">IF(AND(Eingabe!$F$18&gt;0,Eingabe!$E$18&gt;=122),"10."&amp;Eingabe!$D$18&amp;".122.1","")</f>
        <v/>
      </c>
      <c r="H1948" s="21" t="str">
        <f aca="false">IF(AND(Eingabe!$F$18&gt;0,Eingabe!$E$18&gt;=122),"10."&amp;Eingabe!$D$18&amp;".122.10 – 10."&amp;Eingabe!$D$18&amp;".122.250","")</f>
        <v/>
      </c>
      <c r="I1948" s="21" t="str">
        <f aca="false">IF(AND(Eingabe!$F$18&gt;0,Eingabe!$E$18&gt;=122),Eingabe!$B$6&amp;"-"&amp;Eingabe!$C$18&amp;"-Pächter","")</f>
        <v/>
      </c>
      <c r="J1948" s="21" t="str">
        <f aca="false">IF(AND(Eingabe!$F$18&gt;0,Eingabe!$E$18&gt;=122),"PPSK: Passwort Parzelle 122","")</f>
        <v/>
      </c>
      <c r="K1948" s="21" t="str">
        <f aca="false">IF(AND(Eingabe!$F$18&gt;0,Eingabe!$E$18&gt;=122),"1. Gerät: 10."&amp;Eingabe!$D$18&amp;".122.10, 2. Gerät: .11","")</f>
        <v/>
      </c>
    </row>
    <row r="1949" customFormat="false" ht="15" hidden="false" customHeight="false" outlineLevel="0" collapsed="false">
      <c r="A1949" s="21" t="str">
        <f aca="false">IF(AND(Eingabe!$F$18&gt;0,Eingabe!$E$18&gt;=123),10,"")</f>
        <v/>
      </c>
      <c r="B1949" s="21" t="str">
        <f aca="false">IF(AND(Eingabe!$F$18&gt;0,Eingabe!$E$18&gt;=123),Eingabe!$B$18,"")</f>
        <v/>
      </c>
      <c r="C1949" s="21" t="str">
        <f aca="false">IF(AND(Eingabe!$F$18&gt;0,Eingabe!$E$18&gt;=123),Eingabe!$C$18&amp;"-Paz."&amp;TEXT(123,"000"),"")</f>
        <v/>
      </c>
      <c r="D1949" s="21" t="str">
        <f aca="false">IF(AND(Eingabe!$F$18&gt;0,Eingabe!$E$18&gt;=123),123,"")</f>
        <v/>
      </c>
      <c r="E1949" s="21" t="str">
        <f aca="false">IF(AND(Eingabe!$F$18&gt;0,Eingabe!$E$18&gt;=123),IF((Eingabe!$G$18+1)&lt;=9,1000+(Eingabe!$G$18+1)*100,3000)+23,"")</f>
        <v/>
      </c>
      <c r="F1949" s="21" t="str">
        <f aca="false">IF(AND(Eingabe!$F$18&gt;0,Eingabe!$E$18&gt;=123),"10."&amp;Eingabe!$D$18&amp;".123.0/24","")</f>
        <v/>
      </c>
      <c r="G1949" s="21" t="str">
        <f aca="false">IF(AND(Eingabe!$F$18&gt;0,Eingabe!$E$18&gt;=123),"10."&amp;Eingabe!$D$18&amp;".123.1","")</f>
        <v/>
      </c>
      <c r="H1949" s="21" t="str">
        <f aca="false">IF(AND(Eingabe!$F$18&gt;0,Eingabe!$E$18&gt;=123),"10."&amp;Eingabe!$D$18&amp;".123.10 – 10."&amp;Eingabe!$D$18&amp;".123.250","")</f>
        <v/>
      </c>
      <c r="I1949" s="21" t="str">
        <f aca="false">IF(AND(Eingabe!$F$18&gt;0,Eingabe!$E$18&gt;=123),Eingabe!$B$6&amp;"-"&amp;Eingabe!$C$18&amp;"-Pächter","")</f>
        <v/>
      </c>
      <c r="J1949" s="21" t="str">
        <f aca="false">IF(AND(Eingabe!$F$18&gt;0,Eingabe!$E$18&gt;=123),"PPSK: Passwort Parzelle 123","")</f>
        <v/>
      </c>
      <c r="K1949" s="21" t="str">
        <f aca="false">IF(AND(Eingabe!$F$18&gt;0,Eingabe!$E$18&gt;=123),"1. Gerät: 10."&amp;Eingabe!$D$18&amp;".123.10, 2. Gerät: .11","")</f>
        <v/>
      </c>
    </row>
    <row r="1950" customFormat="false" ht="15" hidden="false" customHeight="false" outlineLevel="0" collapsed="false">
      <c r="A1950" s="21" t="str">
        <f aca="false">IF(AND(Eingabe!$F$18&gt;0,Eingabe!$E$18&gt;=124),10,"")</f>
        <v/>
      </c>
      <c r="B1950" s="21" t="str">
        <f aca="false">IF(AND(Eingabe!$F$18&gt;0,Eingabe!$E$18&gt;=124),Eingabe!$B$18,"")</f>
        <v/>
      </c>
      <c r="C1950" s="21" t="str">
        <f aca="false">IF(AND(Eingabe!$F$18&gt;0,Eingabe!$E$18&gt;=124),Eingabe!$C$18&amp;"-Paz."&amp;TEXT(124,"000"),"")</f>
        <v/>
      </c>
      <c r="D1950" s="21" t="str">
        <f aca="false">IF(AND(Eingabe!$F$18&gt;0,Eingabe!$E$18&gt;=124),124,"")</f>
        <v/>
      </c>
      <c r="E1950" s="21" t="str">
        <f aca="false">IF(AND(Eingabe!$F$18&gt;0,Eingabe!$E$18&gt;=124),IF((Eingabe!$G$18+1)&lt;=9,1000+(Eingabe!$G$18+1)*100,3000)+24,"")</f>
        <v/>
      </c>
      <c r="F1950" s="21" t="str">
        <f aca="false">IF(AND(Eingabe!$F$18&gt;0,Eingabe!$E$18&gt;=124),"10."&amp;Eingabe!$D$18&amp;".124.0/24","")</f>
        <v/>
      </c>
      <c r="G1950" s="21" t="str">
        <f aca="false">IF(AND(Eingabe!$F$18&gt;0,Eingabe!$E$18&gt;=124),"10."&amp;Eingabe!$D$18&amp;".124.1","")</f>
        <v/>
      </c>
      <c r="H1950" s="21" t="str">
        <f aca="false">IF(AND(Eingabe!$F$18&gt;0,Eingabe!$E$18&gt;=124),"10."&amp;Eingabe!$D$18&amp;".124.10 – 10."&amp;Eingabe!$D$18&amp;".124.250","")</f>
        <v/>
      </c>
      <c r="I1950" s="21" t="str">
        <f aca="false">IF(AND(Eingabe!$F$18&gt;0,Eingabe!$E$18&gt;=124),Eingabe!$B$6&amp;"-"&amp;Eingabe!$C$18&amp;"-Pächter","")</f>
        <v/>
      </c>
      <c r="J1950" s="21" t="str">
        <f aca="false">IF(AND(Eingabe!$F$18&gt;0,Eingabe!$E$18&gt;=124),"PPSK: Passwort Parzelle 124","")</f>
        <v/>
      </c>
      <c r="K1950" s="21" t="str">
        <f aca="false">IF(AND(Eingabe!$F$18&gt;0,Eingabe!$E$18&gt;=124),"1. Gerät: 10."&amp;Eingabe!$D$18&amp;".124.10, 2. Gerät: .11","")</f>
        <v/>
      </c>
    </row>
    <row r="1951" customFormat="false" ht="15" hidden="false" customHeight="false" outlineLevel="0" collapsed="false">
      <c r="A1951" s="21" t="str">
        <f aca="false">IF(AND(Eingabe!$F$18&gt;0,Eingabe!$E$18&gt;=125),10,"")</f>
        <v/>
      </c>
      <c r="B1951" s="21" t="str">
        <f aca="false">IF(AND(Eingabe!$F$18&gt;0,Eingabe!$E$18&gt;=125),Eingabe!$B$18,"")</f>
        <v/>
      </c>
      <c r="C1951" s="21" t="str">
        <f aca="false">IF(AND(Eingabe!$F$18&gt;0,Eingabe!$E$18&gt;=125),Eingabe!$C$18&amp;"-Paz."&amp;TEXT(125,"000"),"")</f>
        <v/>
      </c>
      <c r="D1951" s="21" t="str">
        <f aca="false">IF(AND(Eingabe!$F$18&gt;0,Eingabe!$E$18&gt;=125),125,"")</f>
        <v/>
      </c>
      <c r="E1951" s="21" t="str">
        <f aca="false">IF(AND(Eingabe!$F$18&gt;0,Eingabe!$E$18&gt;=125),IF((Eingabe!$G$18+1)&lt;=9,1000+(Eingabe!$G$18+1)*100,3000)+25,"")</f>
        <v/>
      </c>
      <c r="F1951" s="21" t="str">
        <f aca="false">IF(AND(Eingabe!$F$18&gt;0,Eingabe!$E$18&gt;=125),"10."&amp;Eingabe!$D$18&amp;".125.0/24","")</f>
        <v/>
      </c>
      <c r="G1951" s="21" t="str">
        <f aca="false">IF(AND(Eingabe!$F$18&gt;0,Eingabe!$E$18&gt;=125),"10."&amp;Eingabe!$D$18&amp;".125.1","")</f>
        <v/>
      </c>
      <c r="H1951" s="21" t="str">
        <f aca="false">IF(AND(Eingabe!$F$18&gt;0,Eingabe!$E$18&gt;=125),"10."&amp;Eingabe!$D$18&amp;".125.10 – 10."&amp;Eingabe!$D$18&amp;".125.250","")</f>
        <v/>
      </c>
      <c r="I1951" s="21" t="str">
        <f aca="false">IF(AND(Eingabe!$F$18&gt;0,Eingabe!$E$18&gt;=125),Eingabe!$B$6&amp;"-"&amp;Eingabe!$C$18&amp;"-Pächter","")</f>
        <v/>
      </c>
      <c r="J1951" s="21" t="str">
        <f aca="false">IF(AND(Eingabe!$F$18&gt;0,Eingabe!$E$18&gt;=125),"PPSK: Passwort Parzelle 125","")</f>
        <v/>
      </c>
      <c r="K1951" s="21" t="str">
        <f aca="false">IF(AND(Eingabe!$F$18&gt;0,Eingabe!$E$18&gt;=125),"1. Gerät: 10."&amp;Eingabe!$D$18&amp;".125.10, 2. Gerät: .11","")</f>
        <v/>
      </c>
    </row>
    <row r="1952" customFormat="false" ht="15" hidden="false" customHeight="false" outlineLevel="0" collapsed="false">
      <c r="A1952" s="21" t="str">
        <f aca="false">IF(AND(Eingabe!$F$18&gt;0,Eingabe!$E$18&gt;=126),10,"")</f>
        <v/>
      </c>
      <c r="B1952" s="21" t="str">
        <f aca="false">IF(AND(Eingabe!$F$18&gt;0,Eingabe!$E$18&gt;=126),Eingabe!$B$18,"")</f>
        <v/>
      </c>
      <c r="C1952" s="21" t="str">
        <f aca="false">IF(AND(Eingabe!$F$18&gt;0,Eingabe!$E$18&gt;=126),Eingabe!$C$18&amp;"-Paz."&amp;TEXT(126,"000"),"")</f>
        <v/>
      </c>
      <c r="D1952" s="21" t="str">
        <f aca="false">IF(AND(Eingabe!$F$18&gt;0,Eingabe!$E$18&gt;=126),126,"")</f>
        <v/>
      </c>
      <c r="E1952" s="21" t="str">
        <f aca="false">IF(AND(Eingabe!$F$18&gt;0,Eingabe!$E$18&gt;=126),IF((Eingabe!$G$18+1)&lt;=9,1000+(Eingabe!$G$18+1)*100,3000)+26,"")</f>
        <v/>
      </c>
      <c r="F1952" s="21" t="str">
        <f aca="false">IF(AND(Eingabe!$F$18&gt;0,Eingabe!$E$18&gt;=126),"10."&amp;Eingabe!$D$18&amp;".126.0/24","")</f>
        <v/>
      </c>
      <c r="G1952" s="21" t="str">
        <f aca="false">IF(AND(Eingabe!$F$18&gt;0,Eingabe!$E$18&gt;=126),"10."&amp;Eingabe!$D$18&amp;".126.1","")</f>
        <v/>
      </c>
      <c r="H1952" s="21" t="str">
        <f aca="false">IF(AND(Eingabe!$F$18&gt;0,Eingabe!$E$18&gt;=126),"10."&amp;Eingabe!$D$18&amp;".126.10 – 10."&amp;Eingabe!$D$18&amp;".126.250","")</f>
        <v/>
      </c>
      <c r="I1952" s="21" t="str">
        <f aca="false">IF(AND(Eingabe!$F$18&gt;0,Eingabe!$E$18&gt;=126),Eingabe!$B$6&amp;"-"&amp;Eingabe!$C$18&amp;"-Pächter","")</f>
        <v/>
      </c>
      <c r="J1952" s="21" t="str">
        <f aca="false">IF(AND(Eingabe!$F$18&gt;0,Eingabe!$E$18&gt;=126),"PPSK: Passwort Parzelle 126","")</f>
        <v/>
      </c>
      <c r="K1952" s="21" t="str">
        <f aca="false">IF(AND(Eingabe!$F$18&gt;0,Eingabe!$E$18&gt;=126),"1. Gerät: 10."&amp;Eingabe!$D$18&amp;".126.10, 2. Gerät: .11","")</f>
        <v/>
      </c>
    </row>
    <row r="1953" customFormat="false" ht="15" hidden="false" customHeight="false" outlineLevel="0" collapsed="false">
      <c r="A1953" s="21" t="str">
        <f aca="false">IF(AND(Eingabe!$F$18&gt;0,Eingabe!$E$18&gt;=127),10,"")</f>
        <v/>
      </c>
      <c r="B1953" s="21" t="str">
        <f aca="false">IF(AND(Eingabe!$F$18&gt;0,Eingabe!$E$18&gt;=127),Eingabe!$B$18,"")</f>
        <v/>
      </c>
      <c r="C1953" s="21" t="str">
        <f aca="false">IF(AND(Eingabe!$F$18&gt;0,Eingabe!$E$18&gt;=127),Eingabe!$C$18&amp;"-Paz."&amp;TEXT(127,"000"),"")</f>
        <v/>
      </c>
      <c r="D1953" s="21" t="str">
        <f aca="false">IF(AND(Eingabe!$F$18&gt;0,Eingabe!$E$18&gt;=127),127,"")</f>
        <v/>
      </c>
      <c r="E1953" s="21" t="str">
        <f aca="false">IF(AND(Eingabe!$F$18&gt;0,Eingabe!$E$18&gt;=127),IF((Eingabe!$G$18+1)&lt;=9,1000+(Eingabe!$G$18+1)*100,3000)+27,"")</f>
        <v/>
      </c>
      <c r="F1953" s="21" t="str">
        <f aca="false">IF(AND(Eingabe!$F$18&gt;0,Eingabe!$E$18&gt;=127),"10."&amp;Eingabe!$D$18&amp;".127.0/24","")</f>
        <v/>
      </c>
      <c r="G1953" s="21" t="str">
        <f aca="false">IF(AND(Eingabe!$F$18&gt;0,Eingabe!$E$18&gt;=127),"10."&amp;Eingabe!$D$18&amp;".127.1","")</f>
        <v/>
      </c>
      <c r="H1953" s="21" t="str">
        <f aca="false">IF(AND(Eingabe!$F$18&gt;0,Eingabe!$E$18&gt;=127),"10."&amp;Eingabe!$D$18&amp;".127.10 – 10."&amp;Eingabe!$D$18&amp;".127.250","")</f>
        <v/>
      </c>
      <c r="I1953" s="21" t="str">
        <f aca="false">IF(AND(Eingabe!$F$18&gt;0,Eingabe!$E$18&gt;=127),Eingabe!$B$6&amp;"-"&amp;Eingabe!$C$18&amp;"-Pächter","")</f>
        <v/>
      </c>
      <c r="J1953" s="21" t="str">
        <f aca="false">IF(AND(Eingabe!$F$18&gt;0,Eingabe!$E$18&gt;=127),"PPSK: Passwort Parzelle 127","")</f>
        <v/>
      </c>
      <c r="K1953" s="21" t="str">
        <f aca="false">IF(AND(Eingabe!$F$18&gt;0,Eingabe!$E$18&gt;=127),"1. Gerät: 10."&amp;Eingabe!$D$18&amp;".127.10, 2. Gerät: .11","")</f>
        <v/>
      </c>
    </row>
    <row r="1954" customFormat="false" ht="15" hidden="false" customHeight="false" outlineLevel="0" collapsed="false">
      <c r="A1954" s="21" t="str">
        <f aca="false">IF(AND(Eingabe!$F$18&gt;0,Eingabe!$E$18&gt;=128),10,"")</f>
        <v/>
      </c>
      <c r="B1954" s="21" t="str">
        <f aca="false">IF(AND(Eingabe!$F$18&gt;0,Eingabe!$E$18&gt;=128),Eingabe!$B$18,"")</f>
        <v/>
      </c>
      <c r="C1954" s="21" t="str">
        <f aca="false">IF(AND(Eingabe!$F$18&gt;0,Eingabe!$E$18&gt;=128),Eingabe!$C$18&amp;"-Paz."&amp;TEXT(128,"000"),"")</f>
        <v/>
      </c>
      <c r="D1954" s="21" t="str">
        <f aca="false">IF(AND(Eingabe!$F$18&gt;0,Eingabe!$E$18&gt;=128),128,"")</f>
        <v/>
      </c>
      <c r="E1954" s="21" t="str">
        <f aca="false">IF(AND(Eingabe!$F$18&gt;0,Eingabe!$E$18&gt;=128),IF((Eingabe!$G$18+1)&lt;=9,1000+(Eingabe!$G$18+1)*100,3000)+28,"")</f>
        <v/>
      </c>
      <c r="F1954" s="21" t="str">
        <f aca="false">IF(AND(Eingabe!$F$18&gt;0,Eingabe!$E$18&gt;=128),"10."&amp;Eingabe!$D$18&amp;".128.0/24","")</f>
        <v/>
      </c>
      <c r="G1954" s="21" t="str">
        <f aca="false">IF(AND(Eingabe!$F$18&gt;0,Eingabe!$E$18&gt;=128),"10."&amp;Eingabe!$D$18&amp;".128.1","")</f>
        <v/>
      </c>
      <c r="H1954" s="21" t="str">
        <f aca="false">IF(AND(Eingabe!$F$18&gt;0,Eingabe!$E$18&gt;=128),"10."&amp;Eingabe!$D$18&amp;".128.10 – 10."&amp;Eingabe!$D$18&amp;".128.250","")</f>
        <v/>
      </c>
      <c r="I1954" s="21" t="str">
        <f aca="false">IF(AND(Eingabe!$F$18&gt;0,Eingabe!$E$18&gt;=128),Eingabe!$B$6&amp;"-"&amp;Eingabe!$C$18&amp;"-Pächter","")</f>
        <v/>
      </c>
      <c r="J1954" s="21" t="str">
        <f aca="false">IF(AND(Eingabe!$F$18&gt;0,Eingabe!$E$18&gt;=128),"PPSK: Passwort Parzelle 128","")</f>
        <v/>
      </c>
      <c r="K1954" s="21" t="str">
        <f aca="false">IF(AND(Eingabe!$F$18&gt;0,Eingabe!$E$18&gt;=128),"1. Gerät: 10."&amp;Eingabe!$D$18&amp;".128.10, 2. Gerät: .11","")</f>
        <v/>
      </c>
    </row>
    <row r="1955" customFormat="false" ht="15" hidden="false" customHeight="false" outlineLevel="0" collapsed="false">
      <c r="A1955" s="21" t="str">
        <f aca="false">IF(AND(Eingabe!$F$18&gt;0,Eingabe!$E$18&gt;=129),10,"")</f>
        <v/>
      </c>
      <c r="B1955" s="21" t="str">
        <f aca="false">IF(AND(Eingabe!$F$18&gt;0,Eingabe!$E$18&gt;=129),Eingabe!$B$18,"")</f>
        <v/>
      </c>
      <c r="C1955" s="21" t="str">
        <f aca="false">IF(AND(Eingabe!$F$18&gt;0,Eingabe!$E$18&gt;=129),Eingabe!$C$18&amp;"-Paz."&amp;TEXT(129,"000"),"")</f>
        <v/>
      </c>
      <c r="D1955" s="21" t="str">
        <f aca="false">IF(AND(Eingabe!$F$18&gt;0,Eingabe!$E$18&gt;=129),129,"")</f>
        <v/>
      </c>
      <c r="E1955" s="21" t="str">
        <f aca="false">IF(AND(Eingabe!$F$18&gt;0,Eingabe!$E$18&gt;=129),IF((Eingabe!$G$18+1)&lt;=9,1000+(Eingabe!$G$18+1)*100,3000)+29,"")</f>
        <v/>
      </c>
      <c r="F1955" s="21" t="str">
        <f aca="false">IF(AND(Eingabe!$F$18&gt;0,Eingabe!$E$18&gt;=129),"10."&amp;Eingabe!$D$18&amp;".129.0/24","")</f>
        <v/>
      </c>
      <c r="G1955" s="21" t="str">
        <f aca="false">IF(AND(Eingabe!$F$18&gt;0,Eingabe!$E$18&gt;=129),"10."&amp;Eingabe!$D$18&amp;".129.1","")</f>
        <v/>
      </c>
      <c r="H1955" s="21" t="str">
        <f aca="false">IF(AND(Eingabe!$F$18&gt;0,Eingabe!$E$18&gt;=129),"10."&amp;Eingabe!$D$18&amp;".129.10 – 10."&amp;Eingabe!$D$18&amp;".129.250","")</f>
        <v/>
      </c>
      <c r="I1955" s="21" t="str">
        <f aca="false">IF(AND(Eingabe!$F$18&gt;0,Eingabe!$E$18&gt;=129),Eingabe!$B$6&amp;"-"&amp;Eingabe!$C$18&amp;"-Pächter","")</f>
        <v/>
      </c>
      <c r="J1955" s="21" t="str">
        <f aca="false">IF(AND(Eingabe!$F$18&gt;0,Eingabe!$E$18&gt;=129),"PPSK: Passwort Parzelle 129","")</f>
        <v/>
      </c>
      <c r="K1955" s="21" t="str">
        <f aca="false">IF(AND(Eingabe!$F$18&gt;0,Eingabe!$E$18&gt;=129),"1. Gerät: 10."&amp;Eingabe!$D$18&amp;".129.10, 2. Gerät: .11","")</f>
        <v/>
      </c>
    </row>
    <row r="1956" customFormat="false" ht="15" hidden="false" customHeight="false" outlineLevel="0" collapsed="false">
      <c r="A1956" s="21" t="str">
        <f aca="false">IF(AND(Eingabe!$F$18&gt;0,Eingabe!$E$18&gt;=130),10,"")</f>
        <v/>
      </c>
      <c r="B1956" s="21" t="str">
        <f aca="false">IF(AND(Eingabe!$F$18&gt;0,Eingabe!$E$18&gt;=130),Eingabe!$B$18,"")</f>
        <v/>
      </c>
      <c r="C1956" s="21" t="str">
        <f aca="false">IF(AND(Eingabe!$F$18&gt;0,Eingabe!$E$18&gt;=130),Eingabe!$C$18&amp;"-Paz."&amp;TEXT(130,"000"),"")</f>
        <v/>
      </c>
      <c r="D1956" s="21" t="str">
        <f aca="false">IF(AND(Eingabe!$F$18&gt;0,Eingabe!$E$18&gt;=130),130,"")</f>
        <v/>
      </c>
      <c r="E1956" s="21" t="str">
        <f aca="false">IF(AND(Eingabe!$F$18&gt;0,Eingabe!$E$18&gt;=130),IF((Eingabe!$G$18+1)&lt;=9,1000+(Eingabe!$G$18+1)*100,3000)+30,"")</f>
        <v/>
      </c>
      <c r="F1956" s="21" t="str">
        <f aca="false">IF(AND(Eingabe!$F$18&gt;0,Eingabe!$E$18&gt;=130),"10."&amp;Eingabe!$D$18&amp;".130.0/24","")</f>
        <v/>
      </c>
      <c r="G1956" s="21" t="str">
        <f aca="false">IF(AND(Eingabe!$F$18&gt;0,Eingabe!$E$18&gt;=130),"10."&amp;Eingabe!$D$18&amp;".130.1","")</f>
        <v/>
      </c>
      <c r="H1956" s="21" t="str">
        <f aca="false">IF(AND(Eingabe!$F$18&gt;0,Eingabe!$E$18&gt;=130),"10."&amp;Eingabe!$D$18&amp;".130.10 – 10."&amp;Eingabe!$D$18&amp;".130.250","")</f>
        <v/>
      </c>
      <c r="I1956" s="21" t="str">
        <f aca="false">IF(AND(Eingabe!$F$18&gt;0,Eingabe!$E$18&gt;=130),Eingabe!$B$6&amp;"-"&amp;Eingabe!$C$18&amp;"-Pächter","")</f>
        <v/>
      </c>
      <c r="J1956" s="21" t="str">
        <f aca="false">IF(AND(Eingabe!$F$18&gt;0,Eingabe!$E$18&gt;=130),"PPSK: Passwort Parzelle 130","")</f>
        <v/>
      </c>
      <c r="K1956" s="21" t="str">
        <f aca="false">IF(AND(Eingabe!$F$18&gt;0,Eingabe!$E$18&gt;=130),"1. Gerät: 10."&amp;Eingabe!$D$18&amp;".130.10, 2. Gerät: .11","")</f>
        <v/>
      </c>
    </row>
    <row r="1957" customFormat="false" ht="15" hidden="false" customHeight="false" outlineLevel="0" collapsed="false">
      <c r="A1957" s="21" t="str">
        <f aca="false">IF(AND(Eingabe!$F$18&gt;0,Eingabe!$E$18&gt;=131),10,"")</f>
        <v/>
      </c>
      <c r="B1957" s="21" t="str">
        <f aca="false">IF(AND(Eingabe!$F$18&gt;0,Eingabe!$E$18&gt;=131),Eingabe!$B$18,"")</f>
        <v/>
      </c>
      <c r="C1957" s="21" t="str">
        <f aca="false">IF(AND(Eingabe!$F$18&gt;0,Eingabe!$E$18&gt;=131),Eingabe!$C$18&amp;"-Paz."&amp;TEXT(131,"000"),"")</f>
        <v/>
      </c>
      <c r="D1957" s="21" t="str">
        <f aca="false">IF(AND(Eingabe!$F$18&gt;0,Eingabe!$E$18&gt;=131),131,"")</f>
        <v/>
      </c>
      <c r="E1957" s="21" t="str">
        <f aca="false">IF(AND(Eingabe!$F$18&gt;0,Eingabe!$E$18&gt;=131),IF((Eingabe!$G$18+1)&lt;=9,1000+(Eingabe!$G$18+1)*100,3000)+31,"")</f>
        <v/>
      </c>
      <c r="F1957" s="21" t="str">
        <f aca="false">IF(AND(Eingabe!$F$18&gt;0,Eingabe!$E$18&gt;=131),"10."&amp;Eingabe!$D$18&amp;".131.0/24","")</f>
        <v/>
      </c>
      <c r="G1957" s="21" t="str">
        <f aca="false">IF(AND(Eingabe!$F$18&gt;0,Eingabe!$E$18&gt;=131),"10."&amp;Eingabe!$D$18&amp;".131.1","")</f>
        <v/>
      </c>
      <c r="H1957" s="21" t="str">
        <f aca="false">IF(AND(Eingabe!$F$18&gt;0,Eingabe!$E$18&gt;=131),"10."&amp;Eingabe!$D$18&amp;".131.10 – 10."&amp;Eingabe!$D$18&amp;".131.250","")</f>
        <v/>
      </c>
      <c r="I1957" s="21" t="str">
        <f aca="false">IF(AND(Eingabe!$F$18&gt;0,Eingabe!$E$18&gt;=131),Eingabe!$B$6&amp;"-"&amp;Eingabe!$C$18&amp;"-Pächter","")</f>
        <v/>
      </c>
      <c r="J1957" s="21" t="str">
        <f aca="false">IF(AND(Eingabe!$F$18&gt;0,Eingabe!$E$18&gt;=131),"PPSK: Passwort Parzelle 131","")</f>
        <v/>
      </c>
      <c r="K1957" s="21" t="str">
        <f aca="false">IF(AND(Eingabe!$F$18&gt;0,Eingabe!$E$18&gt;=131),"1. Gerät: 10."&amp;Eingabe!$D$18&amp;".131.10, 2. Gerät: .11","")</f>
        <v/>
      </c>
    </row>
    <row r="1958" customFormat="false" ht="15" hidden="false" customHeight="false" outlineLevel="0" collapsed="false">
      <c r="A1958" s="21" t="str">
        <f aca="false">IF(AND(Eingabe!$F$18&gt;0,Eingabe!$E$18&gt;=132),10,"")</f>
        <v/>
      </c>
      <c r="B1958" s="21" t="str">
        <f aca="false">IF(AND(Eingabe!$F$18&gt;0,Eingabe!$E$18&gt;=132),Eingabe!$B$18,"")</f>
        <v/>
      </c>
      <c r="C1958" s="21" t="str">
        <f aca="false">IF(AND(Eingabe!$F$18&gt;0,Eingabe!$E$18&gt;=132),Eingabe!$C$18&amp;"-Paz."&amp;TEXT(132,"000"),"")</f>
        <v/>
      </c>
      <c r="D1958" s="21" t="str">
        <f aca="false">IF(AND(Eingabe!$F$18&gt;0,Eingabe!$E$18&gt;=132),132,"")</f>
        <v/>
      </c>
      <c r="E1958" s="21" t="str">
        <f aca="false">IF(AND(Eingabe!$F$18&gt;0,Eingabe!$E$18&gt;=132),IF((Eingabe!$G$18+1)&lt;=9,1000+(Eingabe!$G$18+1)*100,3000)+32,"")</f>
        <v/>
      </c>
      <c r="F1958" s="21" t="str">
        <f aca="false">IF(AND(Eingabe!$F$18&gt;0,Eingabe!$E$18&gt;=132),"10."&amp;Eingabe!$D$18&amp;".132.0/24","")</f>
        <v/>
      </c>
      <c r="G1958" s="21" t="str">
        <f aca="false">IF(AND(Eingabe!$F$18&gt;0,Eingabe!$E$18&gt;=132),"10."&amp;Eingabe!$D$18&amp;".132.1","")</f>
        <v/>
      </c>
      <c r="H1958" s="21" t="str">
        <f aca="false">IF(AND(Eingabe!$F$18&gt;0,Eingabe!$E$18&gt;=132),"10."&amp;Eingabe!$D$18&amp;".132.10 – 10."&amp;Eingabe!$D$18&amp;".132.250","")</f>
        <v/>
      </c>
      <c r="I1958" s="21" t="str">
        <f aca="false">IF(AND(Eingabe!$F$18&gt;0,Eingabe!$E$18&gt;=132),Eingabe!$B$6&amp;"-"&amp;Eingabe!$C$18&amp;"-Pächter","")</f>
        <v/>
      </c>
      <c r="J1958" s="21" t="str">
        <f aca="false">IF(AND(Eingabe!$F$18&gt;0,Eingabe!$E$18&gt;=132),"PPSK: Passwort Parzelle 132","")</f>
        <v/>
      </c>
      <c r="K1958" s="21" t="str">
        <f aca="false">IF(AND(Eingabe!$F$18&gt;0,Eingabe!$E$18&gt;=132),"1. Gerät: 10."&amp;Eingabe!$D$18&amp;".132.10, 2. Gerät: .11","")</f>
        <v/>
      </c>
    </row>
    <row r="1959" customFormat="false" ht="15" hidden="false" customHeight="false" outlineLevel="0" collapsed="false">
      <c r="A1959" s="21" t="str">
        <f aca="false">IF(AND(Eingabe!$F$18&gt;0,Eingabe!$E$18&gt;=133),10,"")</f>
        <v/>
      </c>
      <c r="B1959" s="21" t="str">
        <f aca="false">IF(AND(Eingabe!$F$18&gt;0,Eingabe!$E$18&gt;=133),Eingabe!$B$18,"")</f>
        <v/>
      </c>
      <c r="C1959" s="21" t="str">
        <f aca="false">IF(AND(Eingabe!$F$18&gt;0,Eingabe!$E$18&gt;=133),Eingabe!$C$18&amp;"-Paz."&amp;TEXT(133,"000"),"")</f>
        <v/>
      </c>
      <c r="D1959" s="21" t="str">
        <f aca="false">IF(AND(Eingabe!$F$18&gt;0,Eingabe!$E$18&gt;=133),133,"")</f>
        <v/>
      </c>
      <c r="E1959" s="21" t="str">
        <f aca="false">IF(AND(Eingabe!$F$18&gt;0,Eingabe!$E$18&gt;=133),IF((Eingabe!$G$18+1)&lt;=9,1000+(Eingabe!$G$18+1)*100,3000)+33,"")</f>
        <v/>
      </c>
      <c r="F1959" s="21" t="str">
        <f aca="false">IF(AND(Eingabe!$F$18&gt;0,Eingabe!$E$18&gt;=133),"10."&amp;Eingabe!$D$18&amp;".133.0/24","")</f>
        <v/>
      </c>
      <c r="G1959" s="21" t="str">
        <f aca="false">IF(AND(Eingabe!$F$18&gt;0,Eingabe!$E$18&gt;=133),"10."&amp;Eingabe!$D$18&amp;".133.1","")</f>
        <v/>
      </c>
      <c r="H1959" s="21" t="str">
        <f aca="false">IF(AND(Eingabe!$F$18&gt;0,Eingabe!$E$18&gt;=133),"10."&amp;Eingabe!$D$18&amp;".133.10 – 10."&amp;Eingabe!$D$18&amp;".133.250","")</f>
        <v/>
      </c>
      <c r="I1959" s="21" t="str">
        <f aca="false">IF(AND(Eingabe!$F$18&gt;0,Eingabe!$E$18&gt;=133),Eingabe!$B$6&amp;"-"&amp;Eingabe!$C$18&amp;"-Pächter","")</f>
        <v/>
      </c>
      <c r="J1959" s="21" t="str">
        <f aca="false">IF(AND(Eingabe!$F$18&gt;0,Eingabe!$E$18&gt;=133),"PPSK: Passwort Parzelle 133","")</f>
        <v/>
      </c>
      <c r="K1959" s="21" t="str">
        <f aca="false">IF(AND(Eingabe!$F$18&gt;0,Eingabe!$E$18&gt;=133),"1. Gerät: 10."&amp;Eingabe!$D$18&amp;".133.10, 2. Gerät: .11","")</f>
        <v/>
      </c>
    </row>
    <row r="1960" customFormat="false" ht="15" hidden="false" customHeight="false" outlineLevel="0" collapsed="false">
      <c r="A1960" s="21" t="str">
        <f aca="false">IF(AND(Eingabe!$F$18&gt;0,Eingabe!$E$18&gt;=134),10,"")</f>
        <v/>
      </c>
      <c r="B1960" s="21" t="str">
        <f aca="false">IF(AND(Eingabe!$F$18&gt;0,Eingabe!$E$18&gt;=134),Eingabe!$B$18,"")</f>
        <v/>
      </c>
      <c r="C1960" s="21" t="str">
        <f aca="false">IF(AND(Eingabe!$F$18&gt;0,Eingabe!$E$18&gt;=134),Eingabe!$C$18&amp;"-Paz."&amp;TEXT(134,"000"),"")</f>
        <v/>
      </c>
      <c r="D1960" s="21" t="str">
        <f aca="false">IF(AND(Eingabe!$F$18&gt;0,Eingabe!$E$18&gt;=134),134,"")</f>
        <v/>
      </c>
      <c r="E1960" s="21" t="str">
        <f aca="false">IF(AND(Eingabe!$F$18&gt;0,Eingabe!$E$18&gt;=134),IF((Eingabe!$G$18+1)&lt;=9,1000+(Eingabe!$G$18+1)*100,3000)+34,"")</f>
        <v/>
      </c>
      <c r="F1960" s="21" t="str">
        <f aca="false">IF(AND(Eingabe!$F$18&gt;0,Eingabe!$E$18&gt;=134),"10."&amp;Eingabe!$D$18&amp;".134.0/24","")</f>
        <v/>
      </c>
      <c r="G1960" s="21" t="str">
        <f aca="false">IF(AND(Eingabe!$F$18&gt;0,Eingabe!$E$18&gt;=134),"10."&amp;Eingabe!$D$18&amp;".134.1","")</f>
        <v/>
      </c>
      <c r="H1960" s="21" t="str">
        <f aca="false">IF(AND(Eingabe!$F$18&gt;0,Eingabe!$E$18&gt;=134),"10."&amp;Eingabe!$D$18&amp;".134.10 – 10."&amp;Eingabe!$D$18&amp;".134.250","")</f>
        <v/>
      </c>
      <c r="I1960" s="21" t="str">
        <f aca="false">IF(AND(Eingabe!$F$18&gt;0,Eingabe!$E$18&gt;=134),Eingabe!$B$6&amp;"-"&amp;Eingabe!$C$18&amp;"-Pächter","")</f>
        <v/>
      </c>
      <c r="J1960" s="21" t="str">
        <f aca="false">IF(AND(Eingabe!$F$18&gt;0,Eingabe!$E$18&gt;=134),"PPSK: Passwort Parzelle 134","")</f>
        <v/>
      </c>
      <c r="K1960" s="21" t="str">
        <f aca="false">IF(AND(Eingabe!$F$18&gt;0,Eingabe!$E$18&gt;=134),"1. Gerät: 10."&amp;Eingabe!$D$18&amp;".134.10, 2. Gerät: .11","")</f>
        <v/>
      </c>
    </row>
    <row r="1961" customFormat="false" ht="15" hidden="false" customHeight="false" outlineLevel="0" collapsed="false">
      <c r="A1961" s="21" t="str">
        <f aca="false">IF(AND(Eingabe!$F$18&gt;0,Eingabe!$E$18&gt;=135),10,"")</f>
        <v/>
      </c>
      <c r="B1961" s="21" t="str">
        <f aca="false">IF(AND(Eingabe!$F$18&gt;0,Eingabe!$E$18&gt;=135),Eingabe!$B$18,"")</f>
        <v/>
      </c>
      <c r="C1961" s="21" t="str">
        <f aca="false">IF(AND(Eingabe!$F$18&gt;0,Eingabe!$E$18&gt;=135),Eingabe!$C$18&amp;"-Paz."&amp;TEXT(135,"000"),"")</f>
        <v/>
      </c>
      <c r="D1961" s="21" t="str">
        <f aca="false">IF(AND(Eingabe!$F$18&gt;0,Eingabe!$E$18&gt;=135),135,"")</f>
        <v/>
      </c>
      <c r="E1961" s="21" t="str">
        <f aca="false">IF(AND(Eingabe!$F$18&gt;0,Eingabe!$E$18&gt;=135),IF((Eingabe!$G$18+1)&lt;=9,1000+(Eingabe!$G$18+1)*100,3000)+35,"")</f>
        <v/>
      </c>
      <c r="F1961" s="21" t="str">
        <f aca="false">IF(AND(Eingabe!$F$18&gt;0,Eingabe!$E$18&gt;=135),"10."&amp;Eingabe!$D$18&amp;".135.0/24","")</f>
        <v/>
      </c>
      <c r="G1961" s="21" t="str">
        <f aca="false">IF(AND(Eingabe!$F$18&gt;0,Eingabe!$E$18&gt;=135),"10."&amp;Eingabe!$D$18&amp;".135.1","")</f>
        <v/>
      </c>
      <c r="H1961" s="21" t="str">
        <f aca="false">IF(AND(Eingabe!$F$18&gt;0,Eingabe!$E$18&gt;=135),"10."&amp;Eingabe!$D$18&amp;".135.10 – 10."&amp;Eingabe!$D$18&amp;".135.250","")</f>
        <v/>
      </c>
      <c r="I1961" s="21" t="str">
        <f aca="false">IF(AND(Eingabe!$F$18&gt;0,Eingabe!$E$18&gt;=135),Eingabe!$B$6&amp;"-"&amp;Eingabe!$C$18&amp;"-Pächter","")</f>
        <v/>
      </c>
      <c r="J1961" s="21" t="str">
        <f aca="false">IF(AND(Eingabe!$F$18&gt;0,Eingabe!$E$18&gt;=135),"PPSK: Passwort Parzelle 135","")</f>
        <v/>
      </c>
      <c r="K1961" s="21" t="str">
        <f aca="false">IF(AND(Eingabe!$F$18&gt;0,Eingabe!$E$18&gt;=135),"1. Gerät: 10."&amp;Eingabe!$D$18&amp;".135.10, 2. Gerät: .11","")</f>
        <v/>
      </c>
    </row>
    <row r="1962" customFormat="false" ht="15" hidden="false" customHeight="false" outlineLevel="0" collapsed="false">
      <c r="A1962" s="21" t="str">
        <f aca="false">IF(AND(Eingabe!$F$18&gt;0,Eingabe!$E$18&gt;=136),10,"")</f>
        <v/>
      </c>
      <c r="B1962" s="21" t="str">
        <f aca="false">IF(AND(Eingabe!$F$18&gt;0,Eingabe!$E$18&gt;=136),Eingabe!$B$18,"")</f>
        <v/>
      </c>
      <c r="C1962" s="21" t="str">
        <f aca="false">IF(AND(Eingabe!$F$18&gt;0,Eingabe!$E$18&gt;=136),Eingabe!$C$18&amp;"-Paz."&amp;TEXT(136,"000"),"")</f>
        <v/>
      </c>
      <c r="D1962" s="21" t="str">
        <f aca="false">IF(AND(Eingabe!$F$18&gt;0,Eingabe!$E$18&gt;=136),136,"")</f>
        <v/>
      </c>
      <c r="E1962" s="21" t="str">
        <f aca="false">IF(AND(Eingabe!$F$18&gt;0,Eingabe!$E$18&gt;=136),IF((Eingabe!$G$18+1)&lt;=9,1000+(Eingabe!$G$18+1)*100,3000)+36,"")</f>
        <v/>
      </c>
      <c r="F1962" s="21" t="str">
        <f aca="false">IF(AND(Eingabe!$F$18&gt;0,Eingabe!$E$18&gt;=136),"10."&amp;Eingabe!$D$18&amp;".136.0/24","")</f>
        <v/>
      </c>
      <c r="G1962" s="21" t="str">
        <f aca="false">IF(AND(Eingabe!$F$18&gt;0,Eingabe!$E$18&gt;=136),"10."&amp;Eingabe!$D$18&amp;".136.1","")</f>
        <v/>
      </c>
      <c r="H1962" s="21" t="str">
        <f aca="false">IF(AND(Eingabe!$F$18&gt;0,Eingabe!$E$18&gt;=136),"10."&amp;Eingabe!$D$18&amp;".136.10 – 10."&amp;Eingabe!$D$18&amp;".136.250","")</f>
        <v/>
      </c>
      <c r="I1962" s="21" t="str">
        <f aca="false">IF(AND(Eingabe!$F$18&gt;0,Eingabe!$E$18&gt;=136),Eingabe!$B$6&amp;"-"&amp;Eingabe!$C$18&amp;"-Pächter","")</f>
        <v/>
      </c>
      <c r="J1962" s="21" t="str">
        <f aca="false">IF(AND(Eingabe!$F$18&gt;0,Eingabe!$E$18&gt;=136),"PPSK: Passwort Parzelle 136","")</f>
        <v/>
      </c>
      <c r="K1962" s="21" t="str">
        <f aca="false">IF(AND(Eingabe!$F$18&gt;0,Eingabe!$E$18&gt;=136),"1. Gerät: 10."&amp;Eingabe!$D$18&amp;".136.10, 2. Gerät: .11","")</f>
        <v/>
      </c>
    </row>
    <row r="1963" customFormat="false" ht="15" hidden="false" customHeight="false" outlineLevel="0" collapsed="false">
      <c r="A1963" s="21" t="str">
        <f aca="false">IF(AND(Eingabe!$F$18&gt;0,Eingabe!$E$18&gt;=137),10,"")</f>
        <v/>
      </c>
      <c r="B1963" s="21" t="str">
        <f aca="false">IF(AND(Eingabe!$F$18&gt;0,Eingabe!$E$18&gt;=137),Eingabe!$B$18,"")</f>
        <v/>
      </c>
      <c r="C1963" s="21" t="str">
        <f aca="false">IF(AND(Eingabe!$F$18&gt;0,Eingabe!$E$18&gt;=137),Eingabe!$C$18&amp;"-Paz."&amp;TEXT(137,"000"),"")</f>
        <v/>
      </c>
      <c r="D1963" s="21" t="str">
        <f aca="false">IF(AND(Eingabe!$F$18&gt;0,Eingabe!$E$18&gt;=137),137,"")</f>
        <v/>
      </c>
      <c r="E1963" s="21" t="str">
        <f aca="false">IF(AND(Eingabe!$F$18&gt;0,Eingabe!$E$18&gt;=137),IF((Eingabe!$G$18+1)&lt;=9,1000+(Eingabe!$G$18+1)*100,3000)+37,"")</f>
        <v/>
      </c>
      <c r="F1963" s="21" t="str">
        <f aca="false">IF(AND(Eingabe!$F$18&gt;0,Eingabe!$E$18&gt;=137),"10."&amp;Eingabe!$D$18&amp;".137.0/24","")</f>
        <v/>
      </c>
      <c r="G1963" s="21" t="str">
        <f aca="false">IF(AND(Eingabe!$F$18&gt;0,Eingabe!$E$18&gt;=137),"10."&amp;Eingabe!$D$18&amp;".137.1","")</f>
        <v/>
      </c>
      <c r="H1963" s="21" t="str">
        <f aca="false">IF(AND(Eingabe!$F$18&gt;0,Eingabe!$E$18&gt;=137),"10."&amp;Eingabe!$D$18&amp;".137.10 – 10."&amp;Eingabe!$D$18&amp;".137.250","")</f>
        <v/>
      </c>
      <c r="I1963" s="21" t="str">
        <f aca="false">IF(AND(Eingabe!$F$18&gt;0,Eingabe!$E$18&gt;=137),Eingabe!$B$6&amp;"-"&amp;Eingabe!$C$18&amp;"-Pächter","")</f>
        <v/>
      </c>
      <c r="J1963" s="21" t="str">
        <f aca="false">IF(AND(Eingabe!$F$18&gt;0,Eingabe!$E$18&gt;=137),"PPSK: Passwort Parzelle 137","")</f>
        <v/>
      </c>
      <c r="K1963" s="21" t="str">
        <f aca="false">IF(AND(Eingabe!$F$18&gt;0,Eingabe!$E$18&gt;=137),"1. Gerät: 10."&amp;Eingabe!$D$18&amp;".137.10, 2. Gerät: .11","")</f>
        <v/>
      </c>
    </row>
    <row r="1964" customFormat="false" ht="15" hidden="false" customHeight="false" outlineLevel="0" collapsed="false">
      <c r="A1964" s="21" t="str">
        <f aca="false">IF(AND(Eingabe!$F$18&gt;0,Eingabe!$E$18&gt;=138),10,"")</f>
        <v/>
      </c>
      <c r="B1964" s="21" t="str">
        <f aca="false">IF(AND(Eingabe!$F$18&gt;0,Eingabe!$E$18&gt;=138),Eingabe!$B$18,"")</f>
        <v/>
      </c>
      <c r="C1964" s="21" t="str">
        <f aca="false">IF(AND(Eingabe!$F$18&gt;0,Eingabe!$E$18&gt;=138),Eingabe!$C$18&amp;"-Paz."&amp;TEXT(138,"000"),"")</f>
        <v/>
      </c>
      <c r="D1964" s="21" t="str">
        <f aca="false">IF(AND(Eingabe!$F$18&gt;0,Eingabe!$E$18&gt;=138),138,"")</f>
        <v/>
      </c>
      <c r="E1964" s="21" t="str">
        <f aca="false">IF(AND(Eingabe!$F$18&gt;0,Eingabe!$E$18&gt;=138),IF((Eingabe!$G$18+1)&lt;=9,1000+(Eingabe!$G$18+1)*100,3000)+38,"")</f>
        <v/>
      </c>
      <c r="F1964" s="21" t="str">
        <f aca="false">IF(AND(Eingabe!$F$18&gt;0,Eingabe!$E$18&gt;=138),"10."&amp;Eingabe!$D$18&amp;".138.0/24","")</f>
        <v/>
      </c>
      <c r="G1964" s="21" t="str">
        <f aca="false">IF(AND(Eingabe!$F$18&gt;0,Eingabe!$E$18&gt;=138),"10."&amp;Eingabe!$D$18&amp;".138.1","")</f>
        <v/>
      </c>
      <c r="H1964" s="21" t="str">
        <f aca="false">IF(AND(Eingabe!$F$18&gt;0,Eingabe!$E$18&gt;=138),"10."&amp;Eingabe!$D$18&amp;".138.10 – 10."&amp;Eingabe!$D$18&amp;".138.250","")</f>
        <v/>
      </c>
      <c r="I1964" s="21" t="str">
        <f aca="false">IF(AND(Eingabe!$F$18&gt;0,Eingabe!$E$18&gt;=138),Eingabe!$B$6&amp;"-"&amp;Eingabe!$C$18&amp;"-Pächter","")</f>
        <v/>
      </c>
      <c r="J1964" s="21" t="str">
        <f aca="false">IF(AND(Eingabe!$F$18&gt;0,Eingabe!$E$18&gt;=138),"PPSK: Passwort Parzelle 138","")</f>
        <v/>
      </c>
      <c r="K1964" s="21" t="str">
        <f aca="false">IF(AND(Eingabe!$F$18&gt;0,Eingabe!$E$18&gt;=138),"1. Gerät: 10."&amp;Eingabe!$D$18&amp;".138.10, 2. Gerät: .11","")</f>
        <v/>
      </c>
    </row>
    <row r="1965" customFormat="false" ht="15" hidden="false" customHeight="false" outlineLevel="0" collapsed="false">
      <c r="A1965" s="21" t="str">
        <f aca="false">IF(AND(Eingabe!$F$18&gt;0,Eingabe!$E$18&gt;=139),10,"")</f>
        <v/>
      </c>
      <c r="B1965" s="21" t="str">
        <f aca="false">IF(AND(Eingabe!$F$18&gt;0,Eingabe!$E$18&gt;=139),Eingabe!$B$18,"")</f>
        <v/>
      </c>
      <c r="C1965" s="21" t="str">
        <f aca="false">IF(AND(Eingabe!$F$18&gt;0,Eingabe!$E$18&gt;=139),Eingabe!$C$18&amp;"-Paz."&amp;TEXT(139,"000"),"")</f>
        <v/>
      </c>
      <c r="D1965" s="21" t="str">
        <f aca="false">IF(AND(Eingabe!$F$18&gt;0,Eingabe!$E$18&gt;=139),139,"")</f>
        <v/>
      </c>
      <c r="E1965" s="21" t="str">
        <f aca="false">IF(AND(Eingabe!$F$18&gt;0,Eingabe!$E$18&gt;=139),IF((Eingabe!$G$18+1)&lt;=9,1000+(Eingabe!$G$18+1)*100,3000)+39,"")</f>
        <v/>
      </c>
      <c r="F1965" s="21" t="str">
        <f aca="false">IF(AND(Eingabe!$F$18&gt;0,Eingabe!$E$18&gt;=139),"10."&amp;Eingabe!$D$18&amp;".139.0/24","")</f>
        <v/>
      </c>
      <c r="G1965" s="21" t="str">
        <f aca="false">IF(AND(Eingabe!$F$18&gt;0,Eingabe!$E$18&gt;=139),"10."&amp;Eingabe!$D$18&amp;".139.1","")</f>
        <v/>
      </c>
      <c r="H1965" s="21" t="str">
        <f aca="false">IF(AND(Eingabe!$F$18&gt;0,Eingabe!$E$18&gt;=139),"10."&amp;Eingabe!$D$18&amp;".139.10 – 10."&amp;Eingabe!$D$18&amp;".139.250","")</f>
        <v/>
      </c>
      <c r="I1965" s="21" t="str">
        <f aca="false">IF(AND(Eingabe!$F$18&gt;0,Eingabe!$E$18&gt;=139),Eingabe!$B$6&amp;"-"&amp;Eingabe!$C$18&amp;"-Pächter","")</f>
        <v/>
      </c>
      <c r="J1965" s="21" t="str">
        <f aca="false">IF(AND(Eingabe!$F$18&gt;0,Eingabe!$E$18&gt;=139),"PPSK: Passwort Parzelle 139","")</f>
        <v/>
      </c>
      <c r="K1965" s="21" t="str">
        <f aca="false">IF(AND(Eingabe!$F$18&gt;0,Eingabe!$E$18&gt;=139),"1. Gerät: 10."&amp;Eingabe!$D$18&amp;".139.10, 2. Gerät: .11","")</f>
        <v/>
      </c>
    </row>
    <row r="1966" customFormat="false" ht="15" hidden="false" customHeight="false" outlineLevel="0" collapsed="false">
      <c r="A1966" s="21" t="str">
        <f aca="false">IF(AND(Eingabe!$F$18&gt;0,Eingabe!$E$18&gt;=140),10,"")</f>
        <v/>
      </c>
      <c r="B1966" s="21" t="str">
        <f aca="false">IF(AND(Eingabe!$F$18&gt;0,Eingabe!$E$18&gt;=140),Eingabe!$B$18,"")</f>
        <v/>
      </c>
      <c r="C1966" s="21" t="str">
        <f aca="false">IF(AND(Eingabe!$F$18&gt;0,Eingabe!$E$18&gt;=140),Eingabe!$C$18&amp;"-Paz."&amp;TEXT(140,"000"),"")</f>
        <v/>
      </c>
      <c r="D1966" s="21" t="str">
        <f aca="false">IF(AND(Eingabe!$F$18&gt;0,Eingabe!$E$18&gt;=140),140,"")</f>
        <v/>
      </c>
      <c r="E1966" s="21" t="str">
        <f aca="false">IF(AND(Eingabe!$F$18&gt;0,Eingabe!$E$18&gt;=140),IF((Eingabe!$G$18+1)&lt;=9,1000+(Eingabe!$G$18+1)*100,3000)+40,"")</f>
        <v/>
      </c>
      <c r="F1966" s="21" t="str">
        <f aca="false">IF(AND(Eingabe!$F$18&gt;0,Eingabe!$E$18&gt;=140),"10."&amp;Eingabe!$D$18&amp;".140.0/24","")</f>
        <v/>
      </c>
      <c r="G1966" s="21" t="str">
        <f aca="false">IF(AND(Eingabe!$F$18&gt;0,Eingabe!$E$18&gt;=140),"10."&amp;Eingabe!$D$18&amp;".140.1","")</f>
        <v/>
      </c>
      <c r="H1966" s="21" t="str">
        <f aca="false">IF(AND(Eingabe!$F$18&gt;0,Eingabe!$E$18&gt;=140),"10."&amp;Eingabe!$D$18&amp;".140.10 – 10."&amp;Eingabe!$D$18&amp;".140.250","")</f>
        <v/>
      </c>
      <c r="I1966" s="21" t="str">
        <f aca="false">IF(AND(Eingabe!$F$18&gt;0,Eingabe!$E$18&gt;=140),Eingabe!$B$6&amp;"-"&amp;Eingabe!$C$18&amp;"-Pächter","")</f>
        <v/>
      </c>
      <c r="J1966" s="21" t="str">
        <f aca="false">IF(AND(Eingabe!$F$18&gt;0,Eingabe!$E$18&gt;=140),"PPSK: Passwort Parzelle 140","")</f>
        <v/>
      </c>
      <c r="K1966" s="21" t="str">
        <f aca="false">IF(AND(Eingabe!$F$18&gt;0,Eingabe!$E$18&gt;=140),"1. Gerät: 10."&amp;Eingabe!$D$18&amp;".140.10, 2. Gerät: .11","")</f>
        <v/>
      </c>
    </row>
    <row r="1967" customFormat="false" ht="15" hidden="false" customHeight="false" outlineLevel="0" collapsed="false">
      <c r="A1967" s="21" t="str">
        <f aca="false">IF(AND(Eingabe!$F$18&gt;0,Eingabe!$E$18&gt;=141),10,"")</f>
        <v/>
      </c>
      <c r="B1967" s="21" t="str">
        <f aca="false">IF(AND(Eingabe!$F$18&gt;0,Eingabe!$E$18&gt;=141),Eingabe!$B$18,"")</f>
        <v/>
      </c>
      <c r="C1967" s="21" t="str">
        <f aca="false">IF(AND(Eingabe!$F$18&gt;0,Eingabe!$E$18&gt;=141),Eingabe!$C$18&amp;"-Paz."&amp;TEXT(141,"000"),"")</f>
        <v/>
      </c>
      <c r="D1967" s="21" t="str">
        <f aca="false">IF(AND(Eingabe!$F$18&gt;0,Eingabe!$E$18&gt;=141),141,"")</f>
        <v/>
      </c>
      <c r="E1967" s="21" t="str">
        <f aca="false">IF(AND(Eingabe!$F$18&gt;0,Eingabe!$E$18&gt;=141),IF((Eingabe!$G$18+1)&lt;=9,1000+(Eingabe!$G$18+1)*100,3000)+41,"")</f>
        <v/>
      </c>
      <c r="F1967" s="21" t="str">
        <f aca="false">IF(AND(Eingabe!$F$18&gt;0,Eingabe!$E$18&gt;=141),"10."&amp;Eingabe!$D$18&amp;".141.0/24","")</f>
        <v/>
      </c>
      <c r="G1967" s="21" t="str">
        <f aca="false">IF(AND(Eingabe!$F$18&gt;0,Eingabe!$E$18&gt;=141),"10."&amp;Eingabe!$D$18&amp;".141.1","")</f>
        <v/>
      </c>
      <c r="H1967" s="21" t="str">
        <f aca="false">IF(AND(Eingabe!$F$18&gt;0,Eingabe!$E$18&gt;=141),"10."&amp;Eingabe!$D$18&amp;".141.10 – 10."&amp;Eingabe!$D$18&amp;".141.250","")</f>
        <v/>
      </c>
      <c r="I1967" s="21" t="str">
        <f aca="false">IF(AND(Eingabe!$F$18&gt;0,Eingabe!$E$18&gt;=141),Eingabe!$B$6&amp;"-"&amp;Eingabe!$C$18&amp;"-Pächter","")</f>
        <v/>
      </c>
      <c r="J1967" s="21" t="str">
        <f aca="false">IF(AND(Eingabe!$F$18&gt;0,Eingabe!$E$18&gt;=141),"PPSK: Passwort Parzelle 141","")</f>
        <v/>
      </c>
      <c r="K1967" s="21" t="str">
        <f aca="false">IF(AND(Eingabe!$F$18&gt;0,Eingabe!$E$18&gt;=141),"1. Gerät: 10."&amp;Eingabe!$D$18&amp;".141.10, 2. Gerät: .11","")</f>
        <v/>
      </c>
    </row>
    <row r="1968" customFormat="false" ht="15" hidden="false" customHeight="false" outlineLevel="0" collapsed="false">
      <c r="A1968" s="21" t="str">
        <f aca="false">IF(AND(Eingabe!$F$18&gt;0,Eingabe!$E$18&gt;=142),10,"")</f>
        <v/>
      </c>
      <c r="B1968" s="21" t="str">
        <f aca="false">IF(AND(Eingabe!$F$18&gt;0,Eingabe!$E$18&gt;=142),Eingabe!$B$18,"")</f>
        <v/>
      </c>
      <c r="C1968" s="21" t="str">
        <f aca="false">IF(AND(Eingabe!$F$18&gt;0,Eingabe!$E$18&gt;=142),Eingabe!$C$18&amp;"-Paz."&amp;TEXT(142,"000"),"")</f>
        <v/>
      </c>
      <c r="D1968" s="21" t="str">
        <f aca="false">IF(AND(Eingabe!$F$18&gt;0,Eingabe!$E$18&gt;=142),142,"")</f>
        <v/>
      </c>
      <c r="E1968" s="21" t="str">
        <f aca="false">IF(AND(Eingabe!$F$18&gt;0,Eingabe!$E$18&gt;=142),IF((Eingabe!$G$18+1)&lt;=9,1000+(Eingabe!$G$18+1)*100,3000)+42,"")</f>
        <v/>
      </c>
      <c r="F1968" s="21" t="str">
        <f aca="false">IF(AND(Eingabe!$F$18&gt;0,Eingabe!$E$18&gt;=142),"10."&amp;Eingabe!$D$18&amp;".142.0/24","")</f>
        <v/>
      </c>
      <c r="G1968" s="21" t="str">
        <f aca="false">IF(AND(Eingabe!$F$18&gt;0,Eingabe!$E$18&gt;=142),"10."&amp;Eingabe!$D$18&amp;".142.1","")</f>
        <v/>
      </c>
      <c r="H1968" s="21" t="str">
        <f aca="false">IF(AND(Eingabe!$F$18&gt;0,Eingabe!$E$18&gt;=142),"10."&amp;Eingabe!$D$18&amp;".142.10 – 10."&amp;Eingabe!$D$18&amp;".142.250","")</f>
        <v/>
      </c>
      <c r="I1968" s="21" t="str">
        <f aca="false">IF(AND(Eingabe!$F$18&gt;0,Eingabe!$E$18&gt;=142),Eingabe!$B$6&amp;"-"&amp;Eingabe!$C$18&amp;"-Pächter","")</f>
        <v/>
      </c>
      <c r="J1968" s="21" t="str">
        <f aca="false">IF(AND(Eingabe!$F$18&gt;0,Eingabe!$E$18&gt;=142),"PPSK: Passwort Parzelle 142","")</f>
        <v/>
      </c>
      <c r="K1968" s="21" t="str">
        <f aca="false">IF(AND(Eingabe!$F$18&gt;0,Eingabe!$E$18&gt;=142),"1. Gerät: 10."&amp;Eingabe!$D$18&amp;".142.10, 2. Gerät: .11","")</f>
        <v/>
      </c>
    </row>
    <row r="1969" customFormat="false" ht="15" hidden="false" customHeight="false" outlineLevel="0" collapsed="false">
      <c r="A1969" s="21" t="str">
        <f aca="false">IF(AND(Eingabe!$F$18&gt;0,Eingabe!$E$18&gt;=143),10,"")</f>
        <v/>
      </c>
      <c r="B1969" s="21" t="str">
        <f aca="false">IF(AND(Eingabe!$F$18&gt;0,Eingabe!$E$18&gt;=143),Eingabe!$B$18,"")</f>
        <v/>
      </c>
      <c r="C1969" s="21" t="str">
        <f aca="false">IF(AND(Eingabe!$F$18&gt;0,Eingabe!$E$18&gt;=143),Eingabe!$C$18&amp;"-Paz."&amp;TEXT(143,"000"),"")</f>
        <v/>
      </c>
      <c r="D1969" s="21" t="str">
        <f aca="false">IF(AND(Eingabe!$F$18&gt;0,Eingabe!$E$18&gt;=143),143,"")</f>
        <v/>
      </c>
      <c r="E1969" s="21" t="str">
        <f aca="false">IF(AND(Eingabe!$F$18&gt;0,Eingabe!$E$18&gt;=143),IF((Eingabe!$G$18+1)&lt;=9,1000+(Eingabe!$G$18+1)*100,3000)+43,"")</f>
        <v/>
      </c>
      <c r="F1969" s="21" t="str">
        <f aca="false">IF(AND(Eingabe!$F$18&gt;0,Eingabe!$E$18&gt;=143),"10."&amp;Eingabe!$D$18&amp;".143.0/24","")</f>
        <v/>
      </c>
      <c r="G1969" s="21" t="str">
        <f aca="false">IF(AND(Eingabe!$F$18&gt;0,Eingabe!$E$18&gt;=143),"10."&amp;Eingabe!$D$18&amp;".143.1","")</f>
        <v/>
      </c>
      <c r="H1969" s="21" t="str">
        <f aca="false">IF(AND(Eingabe!$F$18&gt;0,Eingabe!$E$18&gt;=143),"10."&amp;Eingabe!$D$18&amp;".143.10 – 10."&amp;Eingabe!$D$18&amp;".143.250","")</f>
        <v/>
      </c>
      <c r="I1969" s="21" t="str">
        <f aca="false">IF(AND(Eingabe!$F$18&gt;0,Eingabe!$E$18&gt;=143),Eingabe!$B$6&amp;"-"&amp;Eingabe!$C$18&amp;"-Pächter","")</f>
        <v/>
      </c>
      <c r="J1969" s="21" t="str">
        <f aca="false">IF(AND(Eingabe!$F$18&gt;0,Eingabe!$E$18&gt;=143),"PPSK: Passwort Parzelle 143","")</f>
        <v/>
      </c>
      <c r="K1969" s="21" t="str">
        <f aca="false">IF(AND(Eingabe!$F$18&gt;0,Eingabe!$E$18&gt;=143),"1. Gerät: 10."&amp;Eingabe!$D$18&amp;".143.10, 2. Gerät: .11","")</f>
        <v/>
      </c>
    </row>
    <row r="1970" customFormat="false" ht="15" hidden="false" customHeight="false" outlineLevel="0" collapsed="false">
      <c r="A1970" s="21" t="str">
        <f aca="false">IF(AND(Eingabe!$F$18&gt;0,Eingabe!$E$18&gt;=144),10,"")</f>
        <v/>
      </c>
      <c r="B1970" s="21" t="str">
        <f aca="false">IF(AND(Eingabe!$F$18&gt;0,Eingabe!$E$18&gt;=144),Eingabe!$B$18,"")</f>
        <v/>
      </c>
      <c r="C1970" s="21" t="str">
        <f aca="false">IF(AND(Eingabe!$F$18&gt;0,Eingabe!$E$18&gt;=144),Eingabe!$C$18&amp;"-Paz."&amp;TEXT(144,"000"),"")</f>
        <v/>
      </c>
      <c r="D1970" s="21" t="str">
        <f aca="false">IF(AND(Eingabe!$F$18&gt;0,Eingabe!$E$18&gt;=144),144,"")</f>
        <v/>
      </c>
      <c r="E1970" s="21" t="str">
        <f aca="false">IF(AND(Eingabe!$F$18&gt;0,Eingabe!$E$18&gt;=144),IF((Eingabe!$G$18+1)&lt;=9,1000+(Eingabe!$G$18+1)*100,3000)+44,"")</f>
        <v/>
      </c>
      <c r="F1970" s="21" t="str">
        <f aca="false">IF(AND(Eingabe!$F$18&gt;0,Eingabe!$E$18&gt;=144),"10."&amp;Eingabe!$D$18&amp;".144.0/24","")</f>
        <v/>
      </c>
      <c r="G1970" s="21" t="str">
        <f aca="false">IF(AND(Eingabe!$F$18&gt;0,Eingabe!$E$18&gt;=144),"10."&amp;Eingabe!$D$18&amp;".144.1","")</f>
        <v/>
      </c>
      <c r="H1970" s="21" t="str">
        <f aca="false">IF(AND(Eingabe!$F$18&gt;0,Eingabe!$E$18&gt;=144),"10."&amp;Eingabe!$D$18&amp;".144.10 – 10."&amp;Eingabe!$D$18&amp;".144.250","")</f>
        <v/>
      </c>
      <c r="I1970" s="21" t="str">
        <f aca="false">IF(AND(Eingabe!$F$18&gt;0,Eingabe!$E$18&gt;=144),Eingabe!$B$6&amp;"-"&amp;Eingabe!$C$18&amp;"-Pächter","")</f>
        <v/>
      </c>
      <c r="J1970" s="21" t="str">
        <f aca="false">IF(AND(Eingabe!$F$18&gt;0,Eingabe!$E$18&gt;=144),"PPSK: Passwort Parzelle 144","")</f>
        <v/>
      </c>
      <c r="K1970" s="21" t="str">
        <f aca="false">IF(AND(Eingabe!$F$18&gt;0,Eingabe!$E$18&gt;=144),"1. Gerät: 10."&amp;Eingabe!$D$18&amp;".144.10, 2. Gerät: .11","")</f>
        <v/>
      </c>
    </row>
    <row r="1971" customFormat="false" ht="15" hidden="false" customHeight="false" outlineLevel="0" collapsed="false">
      <c r="A1971" s="21" t="str">
        <f aca="false">IF(AND(Eingabe!$F$18&gt;0,Eingabe!$E$18&gt;=145),10,"")</f>
        <v/>
      </c>
      <c r="B1971" s="21" t="str">
        <f aca="false">IF(AND(Eingabe!$F$18&gt;0,Eingabe!$E$18&gt;=145),Eingabe!$B$18,"")</f>
        <v/>
      </c>
      <c r="C1971" s="21" t="str">
        <f aca="false">IF(AND(Eingabe!$F$18&gt;0,Eingabe!$E$18&gt;=145),Eingabe!$C$18&amp;"-Paz."&amp;TEXT(145,"000"),"")</f>
        <v/>
      </c>
      <c r="D1971" s="21" t="str">
        <f aca="false">IF(AND(Eingabe!$F$18&gt;0,Eingabe!$E$18&gt;=145),145,"")</f>
        <v/>
      </c>
      <c r="E1971" s="21" t="str">
        <f aca="false">IF(AND(Eingabe!$F$18&gt;0,Eingabe!$E$18&gt;=145),IF((Eingabe!$G$18+1)&lt;=9,1000+(Eingabe!$G$18+1)*100,3000)+45,"")</f>
        <v/>
      </c>
      <c r="F1971" s="21" t="str">
        <f aca="false">IF(AND(Eingabe!$F$18&gt;0,Eingabe!$E$18&gt;=145),"10."&amp;Eingabe!$D$18&amp;".145.0/24","")</f>
        <v/>
      </c>
      <c r="G1971" s="21" t="str">
        <f aca="false">IF(AND(Eingabe!$F$18&gt;0,Eingabe!$E$18&gt;=145),"10."&amp;Eingabe!$D$18&amp;".145.1","")</f>
        <v/>
      </c>
      <c r="H1971" s="21" t="str">
        <f aca="false">IF(AND(Eingabe!$F$18&gt;0,Eingabe!$E$18&gt;=145),"10."&amp;Eingabe!$D$18&amp;".145.10 – 10."&amp;Eingabe!$D$18&amp;".145.250","")</f>
        <v/>
      </c>
      <c r="I1971" s="21" t="str">
        <f aca="false">IF(AND(Eingabe!$F$18&gt;0,Eingabe!$E$18&gt;=145),Eingabe!$B$6&amp;"-"&amp;Eingabe!$C$18&amp;"-Pächter","")</f>
        <v/>
      </c>
      <c r="J1971" s="21" t="str">
        <f aca="false">IF(AND(Eingabe!$F$18&gt;0,Eingabe!$E$18&gt;=145),"PPSK: Passwort Parzelle 145","")</f>
        <v/>
      </c>
      <c r="K1971" s="21" t="str">
        <f aca="false">IF(AND(Eingabe!$F$18&gt;0,Eingabe!$E$18&gt;=145),"1. Gerät: 10."&amp;Eingabe!$D$18&amp;".145.10, 2. Gerät: .11","")</f>
        <v/>
      </c>
    </row>
    <row r="1972" customFormat="false" ht="15" hidden="false" customHeight="false" outlineLevel="0" collapsed="false">
      <c r="A1972" s="21" t="str">
        <f aca="false">IF(AND(Eingabe!$F$18&gt;0,Eingabe!$E$18&gt;=146),10,"")</f>
        <v/>
      </c>
      <c r="B1972" s="21" t="str">
        <f aca="false">IF(AND(Eingabe!$F$18&gt;0,Eingabe!$E$18&gt;=146),Eingabe!$B$18,"")</f>
        <v/>
      </c>
      <c r="C1972" s="21" t="str">
        <f aca="false">IF(AND(Eingabe!$F$18&gt;0,Eingabe!$E$18&gt;=146),Eingabe!$C$18&amp;"-Paz."&amp;TEXT(146,"000"),"")</f>
        <v/>
      </c>
      <c r="D1972" s="21" t="str">
        <f aca="false">IF(AND(Eingabe!$F$18&gt;0,Eingabe!$E$18&gt;=146),146,"")</f>
        <v/>
      </c>
      <c r="E1972" s="21" t="str">
        <f aca="false">IF(AND(Eingabe!$F$18&gt;0,Eingabe!$E$18&gt;=146),IF((Eingabe!$G$18+1)&lt;=9,1000+(Eingabe!$G$18+1)*100,3000)+46,"")</f>
        <v/>
      </c>
      <c r="F1972" s="21" t="str">
        <f aca="false">IF(AND(Eingabe!$F$18&gt;0,Eingabe!$E$18&gt;=146),"10."&amp;Eingabe!$D$18&amp;".146.0/24","")</f>
        <v/>
      </c>
      <c r="G1972" s="21" t="str">
        <f aca="false">IF(AND(Eingabe!$F$18&gt;0,Eingabe!$E$18&gt;=146),"10."&amp;Eingabe!$D$18&amp;".146.1","")</f>
        <v/>
      </c>
      <c r="H1972" s="21" t="str">
        <f aca="false">IF(AND(Eingabe!$F$18&gt;0,Eingabe!$E$18&gt;=146),"10."&amp;Eingabe!$D$18&amp;".146.10 – 10."&amp;Eingabe!$D$18&amp;".146.250","")</f>
        <v/>
      </c>
      <c r="I1972" s="21" t="str">
        <f aca="false">IF(AND(Eingabe!$F$18&gt;0,Eingabe!$E$18&gt;=146),Eingabe!$B$6&amp;"-"&amp;Eingabe!$C$18&amp;"-Pächter","")</f>
        <v/>
      </c>
      <c r="J1972" s="21" t="str">
        <f aca="false">IF(AND(Eingabe!$F$18&gt;0,Eingabe!$E$18&gt;=146),"PPSK: Passwort Parzelle 146","")</f>
        <v/>
      </c>
      <c r="K1972" s="21" t="str">
        <f aca="false">IF(AND(Eingabe!$F$18&gt;0,Eingabe!$E$18&gt;=146),"1. Gerät: 10."&amp;Eingabe!$D$18&amp;".146.10, 2. Gerät: .11","")</f>
        <v/>
      </c>
    </row>
    <row r="1973" customFormat="false" ht="15" hidden="false" customHeight="false" outlineLevel="0" collapsed="false">
      <c r="A1973" s="21" t="str">
        <f aca="false">IF(AND(Eingabe!$F$18&gt;0,Eingabe!$E$18&gt;=147),10,"")</f>
        <v/>
      </c>
      <c r="B1973" s="21" t="str">
        <f aca="false">IF(AND(Eingabe!$F$18&gt;0,Eingabe!$E$18&gt;=147),Eingabe!$B$18,"")</f>
        <v/>
      </c>
      <c r="C1973" s="21" t="str">
        <f aca="false">IF(AND(Eingabe!$F$18&gt;0,Eingabe!$E$18&gt;=147),Eingabe!$C$18&amp;"-Paz."&amp;TEXT(147,"000"),"")</f>
        <v/>
      </c>
      <c r="D1973" s="21" t="str">
        <f aca="false">IF(AND(Eingabe!$F$18&gt;0,Eingabe!$E$18&gt;=147),147,"")</f>
        <v/>
      </c>
      <c r="E1973" s="21" t="str">
        <f aca="false">IF(AND(Eingabe!$F$18&gt;0,Eingabe!$E$18&gt;=147),IF((Eingabe!$G$18+1)&lt;=9,1000+(Eingabe!$G$18+1)*100,3000)+47,"")</f>
        <v/>
      </c>
      <c r="F1973" s="21" t="str">
        <f aca="false">IF(AND(Eingabe!$F$18&gt;0,Eingabe!$E$18&gt;=147),"10."&amp;Eingabe!$D$18&amp;".147.0/24","")</f>
        <v/>
      </c>
      <c r="G1973" s="21" t="str">
        <f aca="false">IF(AND(Eingabe!$F$18&gt;0,Eingabe!$E$18&gt;=147),"10."&amp;Eingabe!$D$18&amp;".147.1","")</f>
        <v/>
      </c>
      <c r="H1973" s="21" t="str">
        <f aca="false">IF(AND(Eingabe!$F$18&gt;0,Eingabe!$E$18&gt;=147),"10."&amp;Eingabe!$D$18&amp;".147.10 – 10."&amp;Eingabe!$D$18&amp;".147.250","")</f>
        <v/>
      </c>
      <c r="I1973" s="21" t="str">
        <f aca="false">IF(AND(Eingabe!$F$18&gt;0,Eingabe!$E$18&gt;=147),Eingabe!$B$6&amp;"-"&amp;Eingabe!$C$18&amp;"-Pächter","")</f>
        <v/>
      </c>
      <c r="J1973" s="21" t="str">
        <f aca="false">IF(AND(Eingabe!$F$18&gt;0,Eingabe!$E$18&gt;=147),"PPSK: Passwort Parzelle 147","")</f>
        <v/>
      </c>
      <c r="K1973" s="21" t="str">
        <f aca="false">IF(AND(Eingabe!$F$18&gt;0,Eingabe!$E$18&gt;=147),"1. Gerät: 10."&amp;Eingabe!$D$18&amp;".147.10, 2. Gerät: .11","")</f>
        <v/>
      </c>
    </row>
    <row r="1974" customFormat="false" ht="15" hidden="false" customHeight="false" outlineLevel="0" collapsed="false">
      <c r="A1974" s="21" t="str">
        <f aca="false">IF(AND(Eingabe!$F$18&gt;0,Eingabe!$E$18&gt;=148),10,"")</f>
        <v/>
      </c>
      <c r="B1974" s="21" t="str">
        <f aca="false">IF(AND(Eingabe!$F$18&gt;0,Eingabe!$E$18&gt;=148),Eingabe!$B$18,"")</f>
        <v/>
      </c>
      <c r="C1974" s="21" t="str">
        <f aca="false">IF(AND(Eingabe!$F$18&gt;0,Eingabe!$E$18&gt;=148),Eingabe!$C$18&amp;"-Paz."&amp;TEXT(148,"000"),"")</f>
        <v/>
      </c>
      <c r="D1974" s="21" t="str">
        <f aca="false">IF(AND(Eingabe!$F$18&gt;0,Eingabe!$E$18&gt;=148),148,"")</f>
        <v/>
      </c>
      <c r="E1974" s="21" t="str">
        <f aca="false">IF(AND(Eingabe!$F$18&gt;0,Eingabe!$E$18&gt;=148),IF((Eingabe!$G$18+1)&lt;=9,1000+(Eingabe!$G$18+1)*100,3000)+48,"")</f>
        <v/>
      </c>
      <c r="F1974" s="21" t="str">
        <f aca="false">IF(AND(Eingabe!$F$18&gt;0,Eingabe!$E$18&gt;=148),"10."&amp;Eingabe!$D$18&amp;".148.0/24","")</f>
        <v/>
      </c>
      <c r="G1974" s="21" t="str">
        <f aca="false">IF(AND(Eingabe!$F$18&gt;0,Eingabe!$E$18&gt;=148),"10."&amp;Eingabe!$D$18&amp;".148.1","")</f>
        <v/>
      </c>
      <c r="H1974" s="21" t="str">
        <f aca="false">IF(AND(Eingabe!$F$18&gt;0,Eingabe!$E$18&gt;=148),"10."&amp;Eingabe!$D$18&amp;".148.10 – 10."&amp;Eingabe!$D$18&amp;".148.250","")</f>
        <v/>
      </c>
      <c r="I1974" s="21" t="str">
        <f aca="false">IF(AND(Eingabe!$F$18&gt;0,Eingabe!$E$18&gt;=148),Eingabe!$B$6&amp;"-"&amp;Eingabe!$C$18&amp;"-Pächter","")</f>
        <v/>
      </c>
      <c r="J1974" s="21" t="str">
        <f aca="false">IF(AND(Eingabe!$F$18&gt;0,Eingabe!$E$18&gt;=148),"PPSK: Passwort Parzelle 148","")</f>
        <v/>
      </c>
      <c r="K1974" s="21" t="str">
        <f aca="false">IF(AND(Eingabe!$F$18&gt;0,Eingabe!$E$18&gt;=148),"1. Gerät: 10."&amp;Eingabe!$D$18&amp;".148.10, 2. Gerät: .11","")</f>
        <v/>
      </c>
    </row>
    <row r="1975" customFormat="false" ht="15" hidden="false" customHeight="false" outlineLevel="0" collapsed="false">
      <c r="A1975" s="21" t="str">
        <f aca="false">IF(AND(Eingabe!$F$18&gt;0,Eingabe!$E$18&gt;=149),10,"")</f>
        <v/>
      </c>
      <c r="B1975" s="21" t="str">
        <f aca="false">IF(AND(Eingabe!$F$18&gt;0,Eingabe!$E$18&gt;=149),Eingabe!$B$18,"")</f>
        <v/>
      </c>
      <c r="C1975" s="21" t="str">
        <f aca="false">IF(AND(Eingabe!$F$18&gt;0,Eingabe!$E$18&gt;=149),Eingabe!$C$18&amp;"-Paz."&amp;TEXT(149,"000"),"")</f>
        <v/>
      </c>
      <c r="D1975" s="21" t="str">
        <f aca="false">IF(AND(Eingabe!$F$18&gt;0,Eingabe!$E$18&gt;=149),149,"")</f>
        <v/>
      </c>
      <c r="E1975" s="21" t="str">
        <f aca="false">IF(AND(Eingabe!$F$18&gt;0,Eingabe!$E$18&gt;=149),IF((Eingabe!$G$18+1)&lt;=9,1000+(Eingabe!$G$18+1)*100,3000)+49,"")</f>
        <v/>
      </c>
      <c r="F1975" s="21" t="str">
        <f aca="false">IF(AND(Eingabe!$F$18&gt;0,Eingabe!$E$18&gt;=149),"10."&amp;Eingabe!$D$18&amp;".149.0/24","")</f>
        <v/>
      </c>
      <c r="G1975" s="21" t="str">
        <f aca="false">IF(AND(Eingabe!$F$18&gt;0,Eingabe!$E$18&gt;=149),"10."&amp;Eingabe!$D$18&amp;".149.1","")</f>
        <v/>
      </c>
      <c r="H1975" s="21" t="str">
        <f aca="false">IF(AND(Eingabe!$F$18&gt;0,Eingabe!$E$18&gt;=149),"10."&amp;Eingabe!$D$18&amp;".149.10 – 10."&amp;Eingabe!$D$18&amp;".149.250","")</f>
        <v/>
      </c>
      <c r="I1975" s="21" t="str">
        <f aca="false">IF(AND(Eingabe!$F$18&gt;0,Eingabe!$E$18&gt;=149),Eingabe!$B$6&amp;"-"&amp;Eingabe!$C$18&amp;"-Pächter","")</f>
        <v/>
      </c>
      <c r="J1975" s="21" t="str">
        <f aca="false">IF(AND(Eingabe!$F$18&gt;0,Eingabe!$E$18&gt;=149),"PPSK: Passwort Parzelle 149","")</f>
        <v/>
      </c>
      <c r="K1975" s="21" t="str">
        <f aca="false">IF(AND(Eingabe!$F$18&gt;0,Eingabe!$E$18&gt;=149),"1. Gerät: 10."&amp;Eingabe!$D$18&amp;".149.10, 2. Gerät: .11","")</f>
        <v/>
      </c>
    </row>
    <row r="1976" customFormat="false" ht="15" hidden="false" customHeight="false" outlineLevel="0" collapsed="false">
      <c r="A1976" s="21" t="str">
        <f aca="false">IF(AND(Eingabe!$F$18&gt;0,Eingabe!$E$18&gt;=150),10,"")</f>
        <v/>
      </c>
      <c r="B1976" s="21" t="str">
        <f aca="false">IF(AND(Eingabe!$F$18&gt;0,Eingabe!$E$18&gt;=150),Eingabe!$B$18,"")</f>
        <v/>
      </c>
      <c r="C1976" s="21" t="str">
        <f aca="false">IF(AND(Eingabe!$F$18&gt;0,Eingabe!$E$18&gt;=150),Eingabe!$C$18&amp;"-Paz."&amp;TEXT(150,"000"),"")</f>
        <v/>
      </c>
      <c r="D1976" s="21" t="str">
        <f aca="false">IF(AND(Eingabe!$F$18&gt;0,Eingabe!$E$18&gt;=150),150,"")</f>
        <v/>
      </c>
      <c r="E1976" s="21" t="str">
        <f aca="false">IF(AND(Eingabe!$F$18&gt;0,Eingabe!$E$18&gt;=150),IF((Eingabe!$G$18+1)&lt;=9,1000+(Eingabe!$G$18+1)*100,3000)+50,"")</f>
        <v/>
      </c>
      <c r="F1976" s="21" t="str">
        <f aca="false">IF(AND(Eingabe!$F$18&gt;0,Eingabe!$E$18&gt;=150),"10."&amp;Eingabe!$D$18&amp;".150.0/24","")</f>
        <v/>
      </c>
      <c r="G1976" s="21" t="str">
        <f aca="false">IF(AND(Eingabe!$F$18&gt;0,Eingabe!$E$18&gt;=150),"10."&amp;Eingabe!$D$18&amp;".150.1","")</f>
        <v/>
      </c>
      <c r="H1976" s="21" t="str">
        <f aca="false">IF(AND(Eingabe!$F$18&gt;0,Eingabe!$E$18&gt;=150),"10."&amp;Eingabe!$D$18&amp;".150.10 – 10."&amp;Eingabe!$D$18&amp;".150.250","")</f>
        <v/>
      </c>
      <c r="I1976" s="21" t="str">
        <f aca="false">IF(AND(Eingabe!$F$18&gt;0,Eingabe!$E$18&gt;=150),Eingabe!$B$6&amp;"-"&amp;Eingabe!$C$18&amp;"-Pächter","")</f>
        <v/>
      </c>
      <c r="J1976" s="21" t="str">
        <f aca="false">IF(AND(Eingabe!$F$18&gt;0,Eingabe!$E$18&gt;=150),"PPSK: Passwort Parzelle 150","")</f>
        <v/>
      </c>
      <c r="K1976" s="21" t="str">
        <f aca="false">IF(AND(Eingabe!$F$18&gt;0,Eingabe!$E$18&gt;=150),"1. Gerät: 10."&amp;Eingabe!$D$18&amp;".150.10, 2. Gerät: .11","")</f>
        <v/>
      </c>
    </row>
    <row r="1977" customFormat="false" ht="15" hidden="false" customHeight="false" outlineLevel="0" collapsed="false">
      <c r="A1977" s="21" t="str">
        <f aca="false">IF(AND(Eingabe!$F$18&gt;0,Eingabe!$E$18&gt;=151),10,"")</f>
        <v/>
      </c>
      <c r="B1977" s="21" t="str">
        <f aca="false">IF(AND(Eingabe!$F$18&gt;0,Eingabe!$E$18&gt;=151),Eingabe!$B$18,"")</f>
        <v/>
      </c>
      <c r="C1977" s="21" t="str">
        <f aca="false">IF(AND(Eingabe!$F$18&gt;0,Eingabe!$E$18&gt;=151),Eingabe!$C$18&amp;"-Paz."&amp;TEXT(151,"000"),"")</f>
        <v/>
      </c>
      <c r="D1977" s="21" t="str">
        <f aca="false">IF(AND(Eingabe!$F$18&gt;0,Eingabe!$E$18&gt;=151),151,"")</f>
        <v/>
      </c>
      <c r="E1977" s="21" t="str">
        <f aca="false">IF(AND(Eingabe!$F$18&gt;0,Eingabe!$E$18&gt;=151),IF((Eingabe!$G$18+1)&lt;=9,1000+(Eingabe!$G$18+1)*100,3000)+51,"")</f>
        <v/>
      </c>
      <c r="F1977" s="21" t="str">
        <f aca="false">IF(AND(Eingabe!$F$18&gt;0,Eingabe!$E$18&gt;=151),"10."&amp;Eingabe!$D$18&amp;".151.0/24","")</f>
        <v/>
      </c>
      <c r="G1977" s="21" t="str">
        <f aca="false">IF(AND(Eingabe!$F$18&gt;0,Eingabe!$E$18&gt;=151),"10."&amp;Eingabe!$D$18&amp;".151.1","")</f>
        <v/>
      </c>
      <c r="H1977" s="21" t="str">
        <f aca="false">IF(AND(Eingabe!$F$18&gt;0,Eingabe!$E$18&gt;=151),"10."&amp;Eingabe!$D$18&amp;".151.10 – 10."&amp;Eingabe!$D$18&amp;".151.250","")</f>
        <v/>
      </c>
      <c r="I1977" s="21" t="str">
        <f aca="false">IF(AND(Eingabe!$F$18&gt;0,Eingabe!$E$18&gt;=151),Eingabe!$B$6&amp;"-"&amp;Eingabe!$C$18&amp;"-Pächter","")</f>
        <v/>
      </c>
      <c r="J1977" s="21" t="str">
        <f aca="false">IF(AND(Eingabe!$F$18&gt;0,Eingabe!$E$18&gt;=151),"PPSK: Passwort Parzelle 151","")</f>
        <v/>
      </c>
      <c r="K1977" s="21" t="str">
        <f aca="false">IF(AND(Eingabe!$F$18&gt;0,Eingabe!$E$18&gt;=151),"1. Gerät: 10."&amp;Eingabe!$D$18&amp;".151.10, 2. Gerät: .11","")</f>
        <v/>
      </c>
    </row>
    <row r="1978" customFormat="false" ht="15" hidden="false" customHeight="false" outlineLevel="0" collapsed="false">
      <c r="A1978" s="21" t="str">
        <f aca="false">IF(AND(Eingabe!$F$18&gt;0,Eingabe!$E$18&gt;=152),10,"")</f>
        <v/>
      </c>
      <c r="B1978" s="21" t="str">
        <f aca="false">IF(AND(Eingabe!$F$18&gt;0,Eingabe!$E$18&gt;=152),Eingabe!$B$18,"")</f>
        <v/>
      </c>
      <c r="C1978" s="21" t="str">
        <f aca="false">IF(AND(Eingabe!$F$18&gt;0,Eingabe!$E$18&gt;=152),Eingabe!$C$18&amp;"-Paz."&amp;TEXT(152,"000"),"")</f>
        <v/>
      </c>
      <c r="D1978" s="21" t="str">
        <f aca="false">IF(AND(Eingabe!$F$18&gt;0,Eingabe!$E$18&gt;=152),152,"")</f>
        <v/>
      </c>
      <c r="E1978" s="21" t="str">
        <f aca="false">IF(AND(Eingabe!$F$18&gt;0,Eingabe!$E$18&gt;=152),IF((Eingabe!$G$18+1)&lt;=9,1000+(Eingabe!$G$18+1)*100,3000)+52,"")</f>
        <v/>
      </c>
      <c r="F1978" s="21" t="str">
        <f aca="false">IF(AND(Eingabe!$F$18&gt;0,Eingabe!$E$18&gt;=152),"10."&amp;Eingabe!$D$18&amp;".152.0/24","")</f>
        <v/>
      </c>
      <c r="G1978" s="21" t="str">
        <f aca="false">IF(AND(Eingabe!$F$18&gt;0,Eingabe!$E$18&gt;=152),"10."&amp;Eingabe!$D$18&amp;".152.1","")</f>
        <v/>
      </c>
      <c r="H1978" s="21" t="str">
        <f aca="false">IF(AND(Eingabe!$F$18&gt;0,Eingabe!$E$18&gt;=152),"10."&amp;Eingabe!$D$18&amp;".152.10 – 10."&amp;Eingabe!$D$18&amp;".152.250","")</f>
        <v/>
      </c>
      <c r="I1978" s="21" t="str">
        <f aca="false">IF(AND(Eingabe!$F$18&gt;0,Eingabe!$E$18&gt;=152),Eingabe!$B$6&amp;"-"&amp;Eingabe!$C$18&amp;"-Pächter","")</f>
        <v/>
      </c>
      <c r="J1978" s="21" t="str">
        <f aca="false">IF(AND(Eingabe!$F$18&gt;0,Eingabe!$E$18&gt;=152),"PPSK: Passwort Parzelle 152","")</f>
        <v/>
      </c>
      <c r="K1978" s="21" t="str">
        <f aca="false">IF(AND(Eingabe!$F$18&gt;0,Eingabe!$E$18&gt;=152),"1. Gerät: 10."&amp;Eingabe!$D$18&amp;".152.10, 2. Gerät: .11","")</f>
        <v/>
      </c>
    </row>
    <row r="1979" customFormat="false" ht="15" hidden="false" customHeight="false" outlineLevel="0" collapsed="false">
      <c r="A1979" s="21" t="str">
        <f aca="false">IF(AND(Eingabe!$F$18&gt;0,Eingabe!$E$18&gt;=153),10,"")</f>
        <v/>
      </c>
      <c r="B1979" s="21" t="str">
        <f aca="false">IF(AND(Eingabe!$F$18&gt;0,Eingabe!$E$18&gt;=153),Eingabe!$B$18,"")</f>
        <v/>
      </c>
      <c r="C1979" s="21" t="str">
        <f aca="false">IF(AND(Eingabe!$F$18&gt;0,Eingabe!$E$18&gt;=153),Eingabe!$C$18&amp;"-Paz."&amp;TEXT(153,"000"),"")</f>
        <v/>
      </c>
      <c r="D1979" s="21" t="str">
        <f aca="false">IF(AND(Eingabe!$F$18&gt;0,Eingabe!$E$18&gt;=153),153,"")</f>
        <v/>
      </c>
      <c r="E1979" s="21" t="str">
        <f aca="false">IF(AND(Eingabe!$F$18&gt;0,Eingabe!$E$18&gt;=153),IF((Eingabe!$G$18+1)&lt;=9,1000+(Eingabe!$G$18+1)*100,3000)+53,"")</f>
        <v/>
      </c>
      <c r="F1979" s="21" t="str">
        <f aca="false">IF(AND(Eingabe!$F$18&gt;0,Eingabe!$E$18&gt;=153),"10."&amp;Eingabe!$D$18&amp;".153.0/24","")</f>
        <v/>
      </c>
      <c r="G1979" s="21" t="str">
        <f aca="false">IF(AND(Eingabe!$F$18&gt;0,Eingabe!$E$18&gt;=153),"10."&amp;Eingabe!$D$18&amp;".153.1","")</f>
        <v/>
      </c>
      <c r="H1979" s="21" t="str">
        <f aca="false">IF(AND(Eingabe!$F$18&gt;0,Eingabe!$E$18&gt;=153),"10."&amp;Eingabe!$D$18&amp;".153.10 – 10."&amp;Eingabe!$D$18&amp;".153.250","")</f>
        <v/>
      </c>
      <c r="I1979" s="21" t="str">
        <f aca="false">IF(AND(Eingabe!$F$18&gt;0,Eingabe!$E$18&gt;=153),Eingabe!$B$6&amp;"-"&amp;Eingabe!$C$18&amp;"-Pächter","")</f>
        <v/>
      </c>
      <c r="J1979" s="21" t="str">
        <f aca="false">IF(AND(Eingabe!$F$18&gt;0,Eingabe!$E$18&gt;=153),"PPSK: Passwort Parzelle 153","")</f>
        <v/>
      </c>
      <c r="K1979" s="21" t="str">
        <f aca="false">IF(AND(Eingabe!$F$18&gt;0,Eingabe!$E$18&gt;=153),"1. Gerät: 10."&amp;Eingabe!$D$18&amp;".153.10, 2. Gerät: .11","")</f>
        <v/>
      </c>
    </row>
    <row r="1980" customFormat="false" ht="15" hidden="false" customHeight="false" outlineLevel="0" collapsed="false">
      <c r="A1980" s="21" t="str">
        <f aca="false">IF(AND(Eingabe!$F$18&gt;0,Eingabe!$E$18&gt;=154),10,"")</f>
        <v/>
      </c>
      <c r="B1980" s="21" t="str">
        <f aca="false">IF(AND(Eingabe!$F$18&gt;0,Eingabe!$E$18&gt;=154),Eingabe!$B$18,"")</f>
        <v/>
      </c>
      <c r="C1980" s="21" t="str">
        <f aca="false">IF(AND(Eingabe!$F$18&gt;0,Eingabe!$E$18&gt;=154),Eingabe!$C$18&amp;"-Paz."&amp;TEXT(154,"000"),"")</f>
        <v/>
      </c>
      <c r="D1980" s="21" t="str">
        <f aca="false">IF(AND(Eingabe!$F$18&gt;0,Eingabe!$E$18&gt;=154),154,"")</f>
        <v/>
      </c>
      <c r="E1980" s="21" t="str">
        <f aca="false">IF(AND(Eingabe!$F$18&gt;0,Eingabe!$E$18&gt;=154),IF((Eingabe!$G$18+1)&lt;=9,1000+(Eingabe!$G$18+1)*100,3000)+54,"")</f>
        <v/>
      </c>
      <c r="F1980" s="21" t="str">
        <f aca="false">IF(AND(Eingabe!$F$18&gt;0,Eingabe!$E$18&gt;=154),"10."&amp;Eingabe!$D$18&amp;".154.0/24","")</f>
        <v/>
      </c>
      <c r="G1980" s="21" t="str">
        <f aca="false">IF(AND(Eingabe!$F$18&gt;0,Eingabe!$E$18&gt;=154),"10."&amp;Eingabe!$D$18&amp;".154.1","")</f>
        <v/>
      </c>
      <c r="H1980" s="21" t="str">
        <f aca="false">IF(AND(Eingabe!$F$18&gt;0,Eingabe!$E$18&gt;=154),"10."&amp;Eingabe!$D$18&amp;".154.10 – 10."&amp;Eingabe!$D$18&amp;".154.250","")</f>
        <v/>
      </c>
      <c r="I1980" s="21" t="str">
        <f aca="false">IF(AND(Eingabe!$F$18&gt;0,Eingabe!$E$18&gt;=154),Eingabe!$B$6&amp;"-"&amp;Eingabe!$C$18&amp;"-Pächter","")</f>
        <v/>
      </c>
      <c r="J1980" s="21" t="str">
        <f aca="false">IF(AND(Eingabe!$F$18&gt;0,Eingabe!$E$18&gt;=154),"PPSK: Passwort Parzelle 154","")</f>
        <v/>
      </c>
      <c r="K1980" s="21" t="str">
        <f aca="false">IF(AND(Eingabe!$F$18&gt;0,Eingabe!$E$18&gt;=154),"1. Gerät: 10."&amp;Eingabe!$D$18&amp;".154.10, 2. Gerät: .11","")</f>
        <v/>
      </c>
    </row>
    <row r="1981" customFormat="false" ht="15" hidden="false" customHeight="false" outlineLevel="0" collapsed="false">
      <c r="A1981" s="21" t="str">
        <f aca="false">IF(AND(Eingabe!$F$18&gt;0,Eingabe!$E$18&gt;=155),10,"")</f>
        <v/>
      </c>
      <c r="B1981" s="21" t="str">
        <f aca="false">IF(AND(Eingabe!$F$18&gt;0,Eingabe!$E$18&gt;=155),Eingabe!$B$18,"")</f>
        <v/>
      </c>
      <c r="C1981" s="21" t="str">
        <f aca="false">IF(AND(Eingabe!$F$18&gt;0,Eingabe!$E$18&gt;=155),Eingabe!$C$18&amp;"-Paz."&amp;TEXT(155,"000"),"")</f>
        <v/>
      </c>
      <c r="D1981" s="21" t="str">
        <f aca="false">IF(AND(Eingabe!$F$18&gt;0,Eingabe!$E$18&gt;=155),155,"")</f>
        <v/>
      </c>
      <c r="E1981" s="21" t="str">
        <f aca="false">IF(AND(Eingabe!$F$18&gt;0,Eingabe!$E$18&gt;=155),IF((Eingabe!$G$18+1)&lt;=9,1000+(Eingabe!$G$18+1)*100,3000)+55,"")</f>
        <v/>
      </c>
      <c r="F1981" s="21" t="str">
        <f aca="false">IF(AND(Eingabe!$F$18&gt;0,Eingabe!$E$18&gt;=155),"10."&amp;Eingabe!$D$18&amp;".155.0/24","")</f>
        <v/>
      </c>
      <c r="G1981" s="21" t="str">
        <f aca="false">IF(AND(Eingabe!$F$18&gt;0,Eingabe!$E$18&gt;=155),"10."&amp;Eingabe!$D$18&amp;".155.1","")</f>
        <v/>
      </c>
      <c r="H1981" s="21" t="str">
        <f aca="false">IF(AND(Eingabe!$F$18&gt;0,Eingabe!$E$18&gt;=155),"10."&amp;Eingabe!$D$18&amp;".155.10 – 10."&amp;Eingabe!$D$18&amp;".155.250","")</f>
        <v/>
      </c>
      <c r="I1981" s="21" t="str">
        <f aca="false">IF(AND(Eingabe!$F$18&gt;0,Eingabe!$E$18&gt;=155),Eingabe!$B$6&amp;"-"&amp;Eingabe!$C$18&amp;"-Pächter","")</f>
        <v/>
      </c>
      <c r="J1981" s="21" t="str">
        <f aca="false">IF(AND(Eingabe!$F$18&gt;0,Eingabe!$E$18&gt;=155),"PPSK: Passwort Parzelle 155","")</f>
        <v/>
      </c>
      <c r="K1981" s="21" t="str">
        <f aca="false">IF(AND(Eingabe!$F$18&gt;0,Eingabe!$E$18&gt;=155),"1. Gerät: 10."&amp;Eingabe!$D$18&amp;".155.10, 2. Gerät: .11","")</f>
        <v/>
      </c>
    </row>
    <row r="1982" customFormat="false" ht="15" hidden="false" customHeight="false" outlineLevel="0" collapsed="false">
      <c r="A1982" s="21" t="str">
        <f aca="false">IF(AND(Eingabe!$F$18&gt;0,Eingabe!$E$18&gt;=156),10,"")</f>
        <v/>
      </c>
      <c r="B1982" s="21" t="str">
        <f aca="false">IF(AND(Eingabe!$F$18&gt;0,Eingabe!$E$18&gt;=156),Eingabe!$B$18,"")</f>
        <v/>
      </c>
      <c r="C1982" s="21" t="str">
        <f aca="false">IF(AND(Eingabe!$F$18&gt;0,Eingabe!$E$18&gt;=156),Eingabe!$C$18&amp;"-Paz."&amp;TEXT(156,"000"),"")</f>
        <v/>
      </c>
      <c r="D1982" s="21" t="str">
        <f aca="false">IF(AND(Eingabe!$F$18&gt;0,Eingabe!$E$18&gt;=156),156,"")</f>
        <v/>
      </c>
      <c r="E1982" s="21" t="str">
        <f aca="false">IF(AND(Eingabe!$F$18&gt;0,Eingabe!$E$18&gt;=156),IF((Eingabe!$G$18+1)&lt;=9,1000+(Eingabe!$G$18+1)*100,3000)+56,"")</f>
        <v/>
      </c>
      <c r="F1982" s="21" t="str">
        <f aca="false">IF(AND(Eingabe!$F$18&gt;0,Eingabe!$E$18&gt;=156),"10."&amp;Eingabe!$D$18&amp;".156.0/24","")</f>
        <v/>
      </c>
      <c r="G1982" s="21" t="str">
        <f aca="false">IF(AND(Eingabe!$F$18&gt;0,Eingabe!$E$18&gt;=156),"10."&amp;Eingabe!$D$18&amp;".156.1","")</f>
        <v/>
      </c>
      <c r="H1982" s="21" t="str">
        <f aca="false">IF(AND(Eingabe!$F$18&gt;0,Eingabe!$E$18&gt;=156),"10."&amp;Eingabe!$D$18&amp;".156.10 – 10."&amp;Eingabe!$D$18&amp;".156.250","")</f>
        <v/>
      </c>
      <c r="I1982" s="21" t="str">
        <f aca="false">IF(AND(Eingabe!$F$18&gt;0,Eingabe!$E$18&gt;=156),Eingabe!$B$6&amp;"-"&amp;Eingabe!$C$18&amp;"-Pächter","")</f>
        <v/>
      </c>
      <c r="J1982" s="21" t="str">
        <f aca="false">IF(AND(Eingabe!$F$18&gt;0,Eingabe!$E$18&gt;=156),"PPSK: Passwort Parzelle 156","")</f>
        <v/>
      </c>
      <c r="K1982" s="21" t="str">
        <f aca="false">IF(AND(Eingabe!$F$18&gt;0,Eingabe!$E$18&gt;=156),"1. Gerät: 10."&amp;Eingabe!$D$18&amp;".156.10, 2. Gerät: .11","")</f>
        <v/>
      </c>
    </row>
    <row r="1983" customFormat="false" ht="15" hidden="false" customHeight="false" outlineLevel="0" collapsed="false">
      <c r="A1983" s="21" t="str">
        <f aca="false">IF(AND(Eingabe!$F$18&gt;0,Eingabe!$E$18&gt;=157),10,"")</f>
        <v/>
      </c>
      <c r="B1983" s="21" t="str">
        <f aca="false">IF(AND(Eingabe!$F$18&gt;0,Eingabe!$E$18&gt;=157),Eingabe!$B$18,"")</f>
        <v/>
      </c>
      <c r="C1983" s="21" t="str">
        <f aca="false">IF(AND(Eingabe!$F$18&gt;0,Eingabe!$E$18&gt;=157),Eingabe!$C$18&amp;"-Paz."&amp;TEXT(157,"000"),"")</f>
        <v/>
      </c>
      <c r="D1983" s="21" t="str">
        <f aca="false">IF(AND(Eingabe!$F$18&gt;0,Eingabe!$E$18&gt;=157),157,"")</f>
        <v/>
      </c>
      <c r="E1983" s="21" t="str">
        <f aca="false">IF(AND(Eingabe!$F$18&gt;0,Eingabe!$E$18&gt;=157),IF((Eingabe!$G$18+1)&lt;=9,1000+(Eingabe!$G$18+1)*100,3000)+57,"")</f>
        <v/>
      </c>
      <c r="F1983" s="21" t="str">
        <f aca="false">IF(AND(Eingabe!$F$18&gt;0,Eingabe!$E$18&gt;=157),"10."&amp;Eingabe!$D$18&amp;".157.0/24","")</f>
        <v/>
      </c>
      <c r="G1983" s="21" t="str">
        <f aca="false">IF(AND(Eingabe!$F$18&gt;0,Eingabe!$E$18&gt;=157),"10."&amp;Eingabe!$D$18&amp;".157.1","")</f>
        <v/>
      </c>
      <c r="H1983" s="21" t="str">
        <f aca="false">IF(AND(Eingabe!$F$18&gt;0,Eingabe!$E$18&gt;=157),"10."&amp;Eingabe!$D$18&amp;".157.10 – 10."&amp;Eingabe!$D$18&amp;".157.250","")</f>
        <v/>
      </c>
      <c r="I1983" s="21" t="str">
        <f aca="false">IF(AND(Eingabe!$F$18&gt;0,Eingabe!$E$18&gt;=157),Eingabe!$B$6&amp;"-"&amp;Eingabe!$C$18&amp;"-Pächter","")</f>
        <v/>
      </c>
      <c r="J1983" s="21" t="str">
        <f aca="false">IF(AND(Eingabe!$F$18&gt;0,Eingabe!$E$18&gt;=157),"PPSK: Passwort Parzelle 157","")</f>
        <v/>
      </c>
      <c r="K1983" s="21" t="str">
        <f aca="false">IF(AND(Eingabe!$F$18&gt;0,Eingabe!$E$18&gt;=157),"1. Gerät: 10."&amp;Eingabe!$D$18&amp;".157.10, 2. Gerät: .11","")</f>
        <v/>
      </c>
    </row>
    <row r="1984" customFormat="false" ht="15" hidden="false" customHeight="false" outlineLevel="0" collapsed="false">
      <c r="A1984" s="21" t="str">
        <f aca="false">IF(AND(Eingabe!$F$18&gt;0,Eingabe!$E$18&gt;=158),10,"")</f>
        <v/>
      </c>
      <c r="B1984" s="21" t="str">
        <f aca="false">IF(AND(Eingabe!$F$18&gt;0,Eingabe!$E$18&gt;=158),Eingabe!$B$18,"")</f>
        <v/>
      </c>
      <c r="C1984" s="21" t="str">
        <f aca="false">IF(AND(Eingabe!$F$18&gt;0,Eingabe!$E$18&gt;=158),Eingabe!$C$18&amp;"-Paz."&amp;TEXT(158,"000"),"")</f>
        <v/>
      </c>
      <c r="D1984" s="21" t="str">
        <f aca="false">IF(AND(Eingabe!$F$18&gt;0,Eingabe!$E$18&gt;=158),158,"")</f>
        <v/>
      </c>
      <c r="E1984" s="21" t="str">
        <f aca="false">IF(AND(Eingabe!$F$18&gt;0,Eingabe!$E$18&gt;=158),IF((Eingabe!$G$18+1)&lt;=9,1000+(Eingabe!$G$18+1)*100,3000)+58,"")</f>
        <v/>
      </c>
      <c r="F1984" s="21" t="str">
        <f aca="false">IF(AND(Eingabe!$F$18&gt;0,Eingabe!$E$18&gt;=158),"10."&amp;Eingabe!$D$18&amp;".158.0/24","")</f>
        <v/>
      </c>
      <c r="G1984" s="21" t="str">
        <f aca="false">IF(AND(Eingabe!$F$18&gt;0,Eingabe!$E$18&gt;=158),"10."&amp;Eingabe!$D$18&amp;".158.1","")</f>
        <v/>
      </c>
      <c r="H1984" s="21" t="str">
        <f aca="false">IF(AND(Eingabe!$F$18&gt;0,Eingabe!$E$18&gt;=158),"10."&amp;Eingabe!$D$18&amp;".158.10 – 10."&amp;Eingabe!$D$18&amp;".158.250","")</f>
        <v/>
      </c>
      <c r="I1984" s="21" t="str">
        <f aca="false">IF(AND(Eingabe!$F$18&gt;0,Eingabe!$E$18&gt;=158),Eingabe!$B$6&amp;"-"&amp;Eingabe!$C$18&amp;"-Pächter","")</f>
        <v/>
      </c>
      <c r="J1984" s="21" t="str">
        <f aca="false">IF(AND(Eingabe!$F$18&gt;0,Eingabe!$E$18&gt;=158),"PPSK: Passwort Parzelle 158","")</f>
        <v/>
      </c>
      <c r="K1984" s="21" t="str">
        <f aca="false">IF(AND(Eingabe!$F$18&gt;0,Eingabe!$E$18&gt;=158),"1. Gerät: 10."&amp;Eingabe!$D$18&amp;".158.10, 2. Gerät: .11","")</f>
        <v/>
      </c>
    </row>
    <row r="1985" customFormat="false" ht="15" hidden="false" customHeight="false" outlineLevel="0" collapsed="false">
      <c r="A1985" s="21" t="str">
        <f aca="false">IF(AND(Eingabe!$F$18&gt;0,Eingabe!$E$18&gt;=159),10,"")</f>
        <v/>
      </c>
      <c r="B1985" s="21" t="str">
        <f aca="false">IF(AND(Eingabe!$F$18&gt;0,Eingabe!$E$18&gt;=159),Eingabe!$B$18,"")</f>
        <v/>
      </c>
      <c r="C1985" s="21" t="str">
        <f aca="false">IF(AND(Eingabe!$F$18&gt;0,Eingabe!$E$18&gt;=159),Eingabe!$C$18&amp;"-Paz."&amp;TEXT(159,"000"),"")</f>
        <v/>
      </c>
      <c r="D1985" s="21" t="str">
        <f aca="false">IF(AND(Eingabe!$F$18&gt;0,Eingabe!$E$18&gt;=159),159,"")</f>
        <v/>
      </c>
      <c r="E1985" s="21" t="str">
        <f aca="false">IF(AND(Eingabe!$F$18&gt;0,Eingabe!$E$18&gt;=159),IF((Eingabe!$G$18+1)&lt;=9,1000+(Eingabe!$G$18+1)*100,3000)+59,"")</f>
        <v/>
      </c>
      <c r="F1985" s="21" t="str">
        <f aca="false">IF(AND(Eingabe!$F$18&gt;0,Eingabe!$E$18&gt;=159),"10."&amp;Eingabe!$D$18&amp;".159.0/24","")</f>
        <v/>
      </c>
      <c r="G1985" s="21" t="str">
        <f aca="false">IF(AND(Eingabe!$F$18&gt;0,Eingabe!$E$18&gt;=159),"10."&amp;Eingabe!$D$18&amp;".159.1","")</f>
        <v/>
      </c>
      <c r="H1985" s="21" t="str">
        <f aca="false">IF(AND(Eingabe!$F$18&gt;0,Eingabe!$E$18&gt;=159),"10."&amp;Eingabe!$D$18&amp;".159.10 – 10."&amp;Eingabe!$D$18&amp;".159.250","")</f>
        <v/>
      </c>
      <c r="I1985" s="21" t="str">
        <f aca="false">IF(AND(Eingabe!$F$18&gt;0,Eingabe!$E$18&gt;=159),Eingabe!$B$6&amp;"-"&amp;Eingabe!$C$18&amp;"-Pächter","")</f>
        <v/>
      </c>
      <c r="J1985" s="21" t="str">
        <f aca="false">IF(AND(Eingabe!$F$18&gt;0,Eingabe!$E$18&gt;=159),"PPSK: Passwort Parzelle 159","")</f>
        <v/>
      </c>
      <c r="K1985" s="21" t="str">
        <f aca="false">IF(AND(Eingabe!$F$18&gt;0,Eingabe!$E$18&gt;=159),"1. Gerät: 10."&amp;Eingabe!$D$18&amp;".159.10, 2. Gerät: .11","")</f>
        <v/>
      </c>
    </row>
    <row r="1986" customFormat="false" ht="15" hidden="false" customHeight="false" outlineLevel="0" collapsed="false">
      <c r="A1986" s="21" t="str">
        <f aca="false">IF(AND(Eingabe!$F$18&gt;0,Eingabe!$E$18&gt;=160),10,"")</f>
        <v/>
      </c>
      <c r="B1986" s="21" t="str">
        <f aca="false">IF(AND(Eingabe!$F$18&gt;0,Eingabe!$E$18&gt;=160),Eingabe!$B$18,"")</f>
        <v/>
      </c>
      <c r="C1986" s="21" t="str">
        <f aca="false">IF(AND(Eingabe!$F$18&gt;0,Eingabe!$E$18&gt;=160),Eingabe!$C$18&amp;"-Paz."&amp;TEXT(160,"000"),"")</f>
        <v/>
      </c>
      <c r="D1986" s="21" t="str">
        <f aca="false">IF(AND(Eingabe!$F$18&gt;0,Eingabe!$E$18&gt;=160),160,"")</f>
        <v/>
      </c>
      <c r="E1986" s="21" t="str">
        <f aca="false">IF(AND(Eingabe!$F$18&gt;0,Eingabe!$E$18&gt;=160),IF((Eingabe!$G$18+1)&lt;=9,1000+(Eingabe!$G$18+1)*100,3000)+60,"")</f>
        <v/>
      </c>
      <c r="F1986" s="21" t="str">
        <f aca="false">IF(AND(Eingabe!$F$18&gt;0,Eingabe!$E$18&gt;=160),"10."&amp;Eingabe!$D$18&amp;".160.0/24","")</f>
        <v/>
      </c>
      <c r="G1986" s="21" t="str">
        <f aca="false">IF(AND(Eingabe!$F$18&gt;0,Eingabe!$E$18&gt;=160),"10."&amp;Eingabe!$D$18&amp;".160.1","")</f>
        <v/>
      </c>
      <c r="H1986" s="21" t="str">
        <f aca="false">IF(AND(Eingabe!$F$18&gt;0,Eingabe!$E$18&gt;=160),"10."&amp;Eingabe!$D$18&amp;".160.10 – 10."&amp;Eingabe!$D$18&amp;".160.250","")</f>
        <v/>
      </c>
      <c r="I1986" s="21" t="str">
        <f aca="false">IF(AND(Eingabe!$F$18&gt;0,Eingabe!$E$18&gt;=160),Eingabe!$B$6&amp;"-"&amp;Eingabe!$C$18&amp;"-Pächter","")</f>
        <v/>
      </c>
      <c r="J1986" s="21" t="str">
        <f aca="false">IF(AND(Eingabe!$F$18&gt;0,Eingabe!$E$18&gt;=160),"PPSK: Passwort Parzelle 160","")</f>
        <v/>
      </c>
      <c r="K1986" s="21" t="str">
        <f aca="false">IF(AND(Eingabe!$F$18&gt;0,Eingabe!$E$18&gt;=160),"1. Gerät: 10."&amp;Eingabe!$D$18&amp;".160.10, 2. Gerät: .11","")</f>
        <v/>
      </c>
    </row>
    <row r="1987" customFormat="false" ht="15" hidden="false" customHeight="false" outlineLevel="0" collapsed="false">
      <c r="A1987" s="21" t="str">
        <f aca="false">IF(AND(Eingabe!$F$18&gt;0,Eingabe!$E$18&gt;=161),10,"")</f>
        <v/>
      </c>
      <c r="B1987" s="21" t="str">
        <f aca="false">IF(AND(Eingabe!$F$18&gt;0,Eingabe!$E$18&gt;=161),Eingabe!$B$18,"")</f>
        <v/>
      </c>
      <c r="C1987" s="21" t="str">
        <f aca="false">IF(AND(Eingabe!$F$18&gt;0,Eingabe!$E$18&gt;=161),Eingabe!$C$18&amp;"-Paz."&amp;TEXT(161,"000"),"")</f>
        <v/>
      </c>
      <c r="D1987" s="21" t="str">
        <f aca="false">IF(AND(Eingabe!$F$18&gt;0,Eingabe!$E$18&gt;=161),161,"")</f>
        <v/>
      </c>
      <c r="E1987" s="21" t="str">
        <f aca="false">IF(AND(Eingabe!$F$18&gt;0,Eingabe!$E$18&gt;=161),IF((Eingabe!$G$18+1)&lt;=9,1000+(Eingabe!$G$18+1)*100,3000)+61,"")</f>
        <v/>
      </c>
      <c r="F1987" s="21" t="str">
        <f aca="false">IF(AND(Eingabe!$F$18&gt;0,Eingabe!$E$18&gt;=161),"10."&amp;Eingabe!$D$18&amp;".161.0/24","")</f>
        <v/>
      </c>
      <c r="G1987" s="21" t="str">
        <f aca="false">IF(AND(Eingabe!$F$18&gt;0,Eingabe!$E$18&gt;=161),"10."&amp;Eingabe!$D$18&amp;".161.1","")</f>
        <v/>
      </c>
      <c r="H1987" s="21" t="str">
        <f aca="false">IF(AND(Eingabe!$F$18&gt;0,Eingabe!$E$18&gt;=161),"10."&amp;Eingabe!$D$18&amp;".161.10 – 10."&amp;Eingabe!$D$18&amp;".161.250","")</f>
        <v/>
      </c>
      <c r="I1987" s="21" t="str">
        <f aca="false">IF(AND(Eingabe!$F$18&gt;0,Eingabe!$E$18&gt;=161),Eingabe!$B$6&amp;"-"&amp;Eingabe!$C$18&amp;"-Pächter","")</f>
        <v/>
      </c>
      <c r="J1987" s="21" t="str">
        <f aca="false">IF(AND(Eingabe!$F$18&gt;0,Eingabe!$E$18&gt;=161),"PPSK: Passwort Parzelle 161","")</f>
        <v/>
      </c>
      <c r="K1987" s="21" t="str">
        <f aca="false">IF(AND(Eingabe!$F$18&gt;0,Eingabe!$E$18&gt;=161),"1. Gerät: 10."&amp;Eingabe!$D$18&amp;".161.10, 2. Gerät: .11","")</f>
        <v/>
      </c>
    </row>
    <row r="1988" customFormat="false" ht="15" hidden="false" customHeight="false" outlineLevel="0" collapsed="false">
      <c r="A1988" s="21" t="str">
        <f aca="false">IF(AND(Eingabe!$F$18&gt;0,Eingabe!$E$18&gt;=162),10,"")</f>
        <v/>
      </c>
      <c r="B1988" s="21" t="str">
        <f aca="false">IF(AND(Eingabe!$F$18&gt;0,Eingabe!$E$18&gt;=162),Eingabe!$B$18,"")</f>
        <v/>
      </c>
      <c r="C1988" s="21" t="str">
        <f aca="false">IF(AND(Eingabe!$F$18&gt;0,Eingabe!$E$18&gt;=162),Eingabe!$C$18&amp;"-Paz."&amp;TEXT(162,"000"),"")</f>
        <v/>
      </c>
      <c r="D1988" s="21" t="str">
        <f aca="false">IF(AND(Eingabe!$F$18&gt;0,Eingabe!$E$18&gt;=162),162,"")</f>
        <v/>
      </c>
      <c r="E1988" s="21" t="str">
        <f aca="false">IF(AND(Eingabe!$F$18&gt;0,Eingabe!$E$18&gt;=162),IF((Eingabe!$G$18+1)&lt;=9,1000+(Eingabe!$G$18+1)*100,3000)+62,"")</f>
        <v/>
      </c>
      <c r="F1988" s="21" t="str">
        <f aca="false">IF(AND(Eingabe!$F$18&gt;0,Eingabe!$E$18&gt;=162),"10."&amp;Eingabe!$D$18&amp;".162.0/24","")</f>
        <v/>
      </c>
      <c r="G1988" s="21" t="str">
        <f aca="false">IF(AND(Eingabe!$F$18&gt;0,Eingabe!$E$18&gt;=162),"10."&amp;Eingabe!$D$18&amp;".162.1","")</f>
        <v/>
      </c>
      <c r="H1988" s="21" t="str">
        <f aca="false">IF(AND(Eingabe!$F$18&gt;0,Eingabe!$E$18&gt;=162),"10."&amp;Eingabe!$D$18&amp;".162.10 – 10."&amp;Eingabe!$D$18&amp;".162.250","")</f>
        <v/>
      </c>
      <c r="I1988" s="21" t="str">
        <f aca="false">IF(AND(Eingabe!$F$18&gt;0,Eingabe!$E$18&gt;=162),Eingabe!$B$6&amp;"-"&amp;Eingabe!$C$18&amp;"-Pächter","")</f>
        <v/>
      </c>
      <c r="J1988" s="21" t="str">
        <f aca="false">IF(AND(Eingabe!$F$18&gt;0,Eingabe!$E$18&gt;=162),"PPSK: Passwort Parzelle 162","")</f>
        <v/>
      </c>
      <c r="K1988" s="21" t="str">
        <f aca="false">IF(AND(Eingabe!$F$18&gt;0,Eingabe!$E$18&gt;=162),"1. Gerät: 10."&amp;Eingabe!$D$18&amp;".162.10, 2. Gerät: .11","")</f>
        <v/>
      </c>
    </row>
    <row r="1989" customFormat="false" ht="15" hidden="false" customHeight="false" outlineLevel="0" collapsed="false">
      <c r="A1989" s="21" t="str">
        <f aca="false">IF(AND(Eingabe!$F$18&gt;0,Eingabe!$E$18&gt;=163),10,"")</f>
        <v/>
      </c>
      <c r="B1989" s="21" t="str">
        <f aca="false">IF(AND(Eingabe!$F$18&gt;0,Eingabe!$E$18&gt;=163),Eingabe!$B$18,"")</f>
        <v/>
      </c>
      <c r="C1989" s="21" t="str">
        <f aca="false">IF(AND(Eingabe!$F$18&gt;0,Eingabe!$E$18&gt;=163),Eingabe!$C$18&amp;"-Paz."&amp;TEXT(163,"000"),"")</f>
        <v/>
      </c>
      <c r="D1989" s="21" t="str">
        <f aca="false">IF(AND(Eingabe!$F$18&gt;0,Eingabe!$E$18&gt;=163),163,"")</f>
        <v/>
      </c>
      <c r="E1989" s="21" t="str">
        <f aca="false">IF(AND(Eingabe!$F$18&gt;0,Eingabe!$E$18&gt;=163),IF((Eingabe!$G$18+1)&lt;=9,1000+(Eingabe!$G$18+1)*100,3000)+63,"")</f>
        <v/>
      </c>
      <c r="F1989" s="21" t="str">
        <f aca="false">IF(AND(Eingabe!$F$18&gt;0,Eingabe!$E$18&gt;=163),"10."&amp;Eingabe!$D$18&amp;".163.0/24","")</f>
        <v/>
      </c>
      <c r="G1989" s="21" t="str">
        <f aca="false">IF(AND(Eingabe!$F$18&gt;0,Eingabe!$E$18&gt;=163),"10."&amp;Eingabe!$D$18&amp;".163.1","")</f>
        <v/>
      </c>
      <c r="H1989" s="21" t="str">
        <f aca="false">IF(AND(Eingabe!$F$18&gt;0,Eingabe!$E$18&gt;=163),"10."&amp;Eingabe!$D$18&amp;".163.10 – 10."&amp;Eingabe!$D$18&amp;".163.250","")</f>
        <v/>
      </c>
      <c r="I1989" s="21" t="str">
        <f aca="false">IF(AND(Eingabe!$F$18&gt;0,Eingabe!$E$18&gt;=163),Eingabe!$B$6&amp;"-"&amp;Eingabe!$C$18&amp;"-Pächter","")</f>
        <v/>
      </c>
      <c r="J1989" s="21" t="str">
        <f aca="false">IF(AND(Eingabe!$F$18&gt;0,Eingabe!$E$18&gt;=163),"PPSK: Passwort Parzelle 163","")</f>
        <v/>
      </c>
      <c r="K1989" s="21" t="str">
        <f aca="false">IF(AND(Eingabe!$F$18&gt;0,Eingabe!$E$18&gt;=163),"1. Gerät: 10."&amp;Eingabe!$D$18&amp;".163.10, 2. Gerät: .11","")</f>
        <v/>
      </c>
    </row>
    <row r="1990" customFormat="false" ht="15" hidden="false" customHeight="false" outlineLevel="0" collapsed="false">
      <c r="A1990" s="21" t="str">
        <f aca="false">IF(AND(Eingabe!$F$18&gt;0,Eingabe!$E$18&gt;=164),10,"")</f>
        <v/>
      </c>
      <c r="B1990" s="21" t="str">
        <f aca="false">IF(AND(Eingabe!$F$18&gt;0,Eingabe!$E$18&gt;=164),Eingabe!$B$18,"")</f>
        <v/>
      </c>
      <c r="C1990" s="21" t="str">
        <f aca="false">IF(AND(Eingabe!$F$18&gt;0,Eingabe!$E$18&gt;=164),Eingabe!$C$18&amp;"-Paz."&amp;TEXT(164,"000"),"")</f>
        <v/>
      </c>
      <c r="D1990" s="21" t="str">
        <f aca="false">IF(AND(Eingabe!$F$18&gt;0,Eingabe!$E$18&gt;=164),164,"")</f>
        <v/>
      </c>
      <c r="E1990" s="21" t="str">
        <f aca="false">IF(AND(Eingabe!$F$18&gt;0,Eingabe!$E$18&gt;=164),IF((Eingabe!$G$18+1)&lt;=9,1000+(Eingabe!$G$18+1)*100,3000)+64,"")</f>
        <v/>
      </c>
      <c r="F1990" s="21" t="str">
        <f aca="false">IF(AND(Eingabe!$F$18&gt;0,Eingabe!$E$18&gt;=164),"10."&amp;Eingabe!$D$18&amp;".164.0/24","")</f>
        <v/>
      </c>
      <c r="G1990" s="21" t="str">
        <f aca="false">IF(AND(Eingabe!$F$18&gt;0,Eingabe!$E$18&gt;=164),"10."&amp;Eingabe!$D$18&amp;".164.1","")</f>
        <v/>
      </c>
      <c r="H1990" s="21" t="str">
        <f aca="false">IF(AND(Eingabe!$F$18&gt;0,Eingabe!$E$18&gt;=164),"10."&amp;Eingabe!$D$18&amp;".164.10 – 10."&amp;Eingabe!$D$18&amp;".164.250","")</f>
        <v/>
      </c>
      <c r="I1990" s="21" t="str">
        <f aca="false">IF(AND(Eingabe!$F$18&gt;0,Eingabe!$E$18&gt;=164),Eingabe!$B$6&amp;"-"&amp;Eingabe!$C$18&amp;"-Pächter","")</f>
        <v/>
      </c>
      <c r="J1990" s="21" t="str">
        <f aca="false">IF(AND(Eingabe!$F$18&gt;0,Eingabe!$E$18&gt;=164),"PPSK: Passwort Parzelle 164","")</f>
        <v/>
      </c>
      <c r="K1990" s="21" t="str">
        <f aca="false">IF(AND(Eingabe!$F$18&gt;0,Eingabe!$E$18&gt;=164),"1. Gerät: 10."&amp;Eingabe!$D$18&amp;".164.10, 2. Gerät: .11","")</f>
        <v/>
      </c>
    </row>
    <row r="1991" customFormat="false" ht="15" hidden="false" customHeight="false" outlineLevel="0" collapsed="false">
      <c r="A1991" s="21" t="str">
        <f aca="false">IF(AND(Eingabe!$F$18&gt;0,Eingabe!$E$18&gt;=165),10,"")</f>
        <v/>
      </c>
      <c r="B1991" s="21" t="str">
        <f aca="false">IF(AND(Eingabe!$F$18&gt;0,Eingabe!$E$18&gt;=165),Eingabe!$B$18,"")</f>
        <v/>
      </c>
      <c r="C1991" s="21" t="str">
        <f aca="false">IF(AND(Eingabe!$F$18&gt;0,Eingabe!$E$18&gt;=165),Eingabe!$C$18&amp;"-Paz."&amp;TEXT(165,"000"),"")</f>
        <v/>
      </c>
      <c r="D1991" s="21" t="str">
        <f aca="false">IF(AND(Eingabe!$F$18&gt;0,Eingabe!$E$18&gt;=165),165,"")</f>
        <v/>
      </c>
      <c r="E1991" s="21" t="str">
        <f aca="false">IF(AND(Eingabe!$F$18&gt;0,Eingabe!$E$18&gt;=165),IF((Eingabe!$G$18+1)&lt;=9,1000+(Eingabe!$G$18+1)*100,3000)+65,"")</f>
        <v/>
      </c>
      <c r="F1991" s="21" t="str">
        <f aca="false">IF(AND(Eingabe!$F$18&gt;0,Eingabe!$E$18&gt;=165),"10."&amp;Eingabe!$D$18&amp;".165.0/24","")</f>
        <v/>
      </c>
      <c r="G1991" s="21" t="str">
        <f aca="false">IF(AND(Eingabe!$F$18&gt;0,Eingabe!$E$18&gt;=165),"10."&amp;Eingabe!$D$18&amp;".165.1","")</f>
        <v/>
      </c>
      <c r="H1991" s="21" t="str">
        <f aca="false">IF(AND(Eingabe!$F$18&gt;0,Eingabe!$E$18&gt;=165),"10."&amp;Eingabe!$D$18&amp;".165.10 – 10."&amp;Eingabe!$D$18&amp;".165.250","")</f>
        <v/>
      </c>
      <c r="I1991" s="21" t="str">
        <f aca="false">IF(AND(Eingabe!$F$18&gt;0,Eingabe!$E$18&gt;=165),Eingabe!$B$6&amp;"-"&amp;Eingabe!$C$18&amp;"-Pächter","")</f>
        <v/>
      </c>
      <c r="J1991" s="21" t="str">
        <f aca="false">IF(AND(Eingabe!$F$18&gt;0,Eingabe!$E$18&gt;=165),"PPSK: Passwort Parzelle 165","")</f>
        <v/>
      </c>
      <c r="K1991" s="21" t="str">
        <f aca="false">IF(AND(Eingabe!$F$18&gt;0,Eingabe!$E$18&gt;=165),"1. Gerät: 10."&amp;Eingabe!$D$18&amp;".165.10, 2. Gerät: .11","")</f>
        <v/>
      </c>
    </row>
    <row r="1992" customFormat="false" ht="15" hidden="false" customHeight="false" outlineLevel="0" collapsed="false">
      <c r="A1992" s="21" t="str">
        <f aca="false">IF(AND(Eingabe!$F$18&gt;0,Eingabe!$E$18&gt;=166),10,"")</f>
        <v/>
      </c>
      <c r="B1992" s="21" t="str">
        <f aca="false">IF(AND(Eingabe!$F$18&gt;0,Eingabe!$E$18&gt;=166),Eingabe!$B$18,"")</f>
        <v/>
      </c>
      <c r="C1992" s="21" t="str">
        <f aca="false">IF(AND(Eingabe!$F$18&gt;0,Eingabe!$E$18&gt;=166),Eingabe!$C$18&amp;"-Paz."&amp;TEXT(166,"000"),"")</f>
        <v/>
      </c>
      <c r="D1992" s="21" t="str">
        <f aca="false">IF(AND(Eingabe!$F$18&gt;0,Eingabe!$E$18&gt;=166),166,"")</f>
        <v/>
      </c>
      <c r="E1992" s="21" t="str">
        <f aca="false">IF(AND(Eingabe!$F$18&gt;0,Eingabe!$E$18&gt;=166),IF((Eingabe!$G$18+1)&lt;=9,1000+(Eingabe!$G$18+1)*100,3000)+66,"")</f>
        <v/>
      </c>
      <c r="F1992" s="21" t="str">
        <f aca="false">IF(AND(Eingabe!$F$18&gt;0,Eingabe!$E$18&gt;=166),"10."&amp;Eingabe!$D$18&amp;".166.0/24","")</f>
        <v/>
      </c>
      <c r="G1992" s="21" t="str">
        <f aca="false">IF(AND(Eingabe!$F$18&gt;0,Eingabe!$E$18&gt;=166),"10."&amp;Eingabe!$D$18&amp;".166.1","")</f>
        <v/>
      </c>
      <c r="H1992" s="21" t="str">
        <f aca="false">IF(AND(Eingabe!$F$18&gt;0,Eingabe!$E$18&gt;=166),"10."&amp;Eingabe!$D$18&amp;".166.10 – 10."&amp;Eingabe!$D$18&amp;".166.250","")</f>
        <v/>
      </c>
      <c r="I1992" s="21" t="str">
        <f aca="false">IF(AND(Eingabe!$F$18&gt;0,Eingabe!$E$18&gt;=166),Eingabe!$B$6&amp;"-"&amp;Eingabe!$C$18&amp;"-Pächter","")</f>
        <v/>
      </c>
      <c r="J1992" s="21" t="str">
        <f aca="false">IF(AND(Eingabe!$F$18&gt;0,Eingabe!$E$18&gt;=166),"PPSK: Passwort Parzelle 166","")</f>
        <v/>
      </c>
      <c r="K1992" s="21" t="str">
        <f aca="false">IF(AND(Eingabe!$F$18&gt;0,Eingabe!$E$18&gt;=166),"1. Gerät: 10."&amp;Eingabe!$D$18&amp;".166.10, 2. Gerät: .11","")</f>
        <v/>
      </c>
    </row>
    <row r="1993" customFormat="false" ht="15" hidden="false" customHeight="false" outlineLevel="0" collapsed="false">
      <c r="A1993" s="21" t="str">
        <f aca="false">IF(AND(Eingabe!$F$18&gt;0,Eingabe!$E$18&gt;=167),10,"")</f>
        <v/>
      </c>
      <c r="B1993" s="21" t="str">
        <f aca="false">IF(AND(Eingabe!$F$18&gt;0,Eingabe!$E$18&gt;=167),Eingabe!$B$18,"")</f>
        <v/>
      </c>
      <c r="C1993" s="21" t="str">
        <f aca="false">IF(AND(Eingabe!$F$18&gt;0,Eingabe!$E$18&gt;=167),Eingabe!$C$18&amp;"-Paz."&amp;TEXT(167,"000"),"")</f>
        <v/>
      </c>
      <c r="D1993" s="21" t="str">
        <f aca="false">IF(AND(Eingabe!$F$18&gt;0,Eingabe!$E$18&gt;=167),167,"")</f>
        <v/>
      </c>
      <c r="E1993" s="21" t="str">
        <f aca="false">IF(AND(Eingabe!$F$18&gt;0,Eingabe!$E$18&gt;=167),IF((Eingabe!$G$18+1)&lt;=9,1000+(Eingabe!$G$18+1)*100,3000)+67,"")</f>
        <v/>
      </c>
      <c r="F1993" s="21" t="str">
        <f aca="false">IF(AND(Eingabe!$F$18&gt;0,Eingabe!$E$18&gt;=167),"10."&amp;Eingabe!$D$18&amp;".167.0/24","")</f>
        <v/>
      </c>
      <c r="G1993" s="21" t="str">
        <f aca="false">IF(AND(Eingabe!$F$18&gt;0,Eingabe!$E$18&gt;=167),"10."&amp;Eingabe!$D$18&amp;".167.1","")</f>
        <v/>
      </c>
      <c r="H1993" s="21" t="str">
        <f aca="false">IF(AND(Eingabe!$F$18&gt;0,Eingabe!$E$18&gt;=167),"10."&amp;Eingabe!$D$18&amp;".167.10 – 10."&amp;Eingabe!$D$18&amp;".167.250","")</f>
        <v/>
      </c>
      <c r="I1993" s="21" t="str">
        <f aca="false">IF(AND(Eingabe!$F$18&gt;0,Eingabe!$E$18&gt;=167),Eingabe!$B$6&amp;"-"&amp;Eingabe!$C$18&amp;"-Pächter","")</f>
        <v/>
      </c>
      <c r="J1993" s="21" t="str">
        <f aca="false">IF(AND(Eingabe!$F$18&gt;0,Eingabe!$E$18&gt;=167),"PPSK: Passwort Parzelle 167","")</f>
        <v/>
      </c>
      <c r="K1993" s="21" t="str">
        <f aca="false">IF(AND(Eingabe!$F$18&gt;0,Eingabe!$E$18&gt;=167),"1. Gerät: 10."&amp;Eingabe!$D$18&amp;".167.10, 2. Gerät: .11","")</f>
        <v/>
      </c>
    </row>
    <row r="1994" customFormat="false" ht="15" hidden="false" customHeight="false" outlineLevel="0" collapsed="false">
      <c r="A1994" s="21" t="str">
        <f aca="false">IF(AND(Eingabe!$F$18&gt;0,Eingabe!$E$18&gt;=168),10,"")</f>
        <v/>
      </c>
      <c r="B1994" s="21" t="str">
        <f aca="false">IF(AND(Eingabe!$F$18&gt;0,Eingabe!$E$18&gt;=168),Eingabe!$B$18,"")</f>
        <v/>
      </c>
      <c r="C1994" s="21" t="str">
        <f aca="false">IF(AND(Eingabe!$F$18&gt;0,Eingabe!$E$18&gt;=168),Eingabe!$C$18&amp;"-Paz."&amp;TEXT(168,"000"),"")</f>
        <v/>
      </c>
      <c r="D1994" s="21" t="str">
        <f aca="false">IF(AND(Eingabe!$F$18&gt;0,Eingabe!$E$18&gt;=168),168,"")</f>
        <v/>
      </c>
      <c r="E1994" s="21" t="str">
        <f aca="false">IF(AND(Eingabe!$F$18&gt;0,Eingabe!$E$18&gt;=168),IF((Eingabe!$G$18+1)&lt;=9,1000+(Eingabe!$G$18+1)*100,3000)+68,"")</f>
        <v/>
      </c>
      <c r="F1994" s="21" t="str">
        <f aca="false">IF(AND(Eingabe!$F$18&gt;0,Eingabe!$E$18&gt;=168),"10."&amp;Eingabe!$D$18&amp;".168.0/24","")</f>
        <v/>
      </c>
      <c r="G1994" s="21" t="str">
        <f aca="false">IF(AND(Eingabe!$F$18&gt;0,Eingabe!$E$18&gt;=168),"10."&amp;Eingabe!$D$18&amp;".168.1","")</f>
        <v/>
      </c>
      <c r="H1994" s="21" t="str">
        <f aca="false">IF(AND(Eingabe!$F$18&gt;0,Eingabe!$E$18&gt;=168),"10."&amp;Eingabe!$D$18&amp;".168.10 – 10."&amp;Eingabe!$D$18&amp;".168.250","")</f>
        <v/>
      </c>
      <c r="I1994" s="21" t="str">
        <f aca="false">IF(AND(Eingabe!$F$18&gt;0,Eingabe!$E$18&gt;=168),Eingabe!$B$6&amp;"-"&amp;Eingabe!$C$18&amp;"-Pächter","")</f>
        <v/>
      </c>
      <c r="J1994" s="21" t="str">
        <f aca="false">IF(AND(Eingabe!$F$18&gt;0,Eingabe!$E$18&gt;=168),"PPSK: Passwort Parzelle 168","")</f>
        <v/>
      </c>
      <c r="K1994" s="21" t="str">
        <f aca="false">IF(AND(Eingabe!$F$18&gt;0,Eingabe!$E$18&gt;=168),"1. Gerät: 10."&amp;Eingabe!$D$18&amp;".168.10, 2. Gerät: .11","")</f>
        <v/>
      </c>
    </row>
    <row r="1995" customFormat="false" ht="15" hidden="false" customHeight="false" outlineLevel="0" collapsed="false">
      <c r="A1995" s="21" t="str">
        <f aca="false">IF(AND(Eingabe!$F$18&gt;0,Eingabe!$E$18&gt;=169),10,"")</f>
        <v/>
      </c>
      <c r="B1995" s="21" t="str">
        <f aca="false">IF(AND(Eingabe!$F$18&gt;0,Eingabe!$E$18&gt;=169),Eingabe!$B$18,"")</f>
        <v/>
      </c>
      <c r="C1995" s="21" t="str">
        <f aca="false">IF(AND(Eingabe!$F$18&gt;0,Eingabe!$E$18&gt;=169),Eingabe!$C$18&amp;"-Paz."&amp;TEXT(169,"000"),"")</f>
        <v/>
      </c>
      <c r="D1995" s="21" t="str">
        <f aca="false">IF(AND(Eingabe!$F$18&gt;0,Eingabe!$E$18&gt;=169),169,"")</f>
        <v/>
      </c>
      <c r="E1995" s="21" t="str">
        <f aca="false">IF(AND(Eingabe!$F$18&gt;0,Eingabe!$E$18&gt;=169),IF((Eingabe!$G$18+1)&lt;=9,1000+(Eingabe!$G$18+1)*100,3000)+69,"")</f>
        <v/>
      </c>
      <c r="F1995" s="21" t="str">
        <f aca="false">IF(AND(Eingabe!$F$18&gt;0,Eingabe!$E$18&gt;=169),"10."&amp;Eingabe!$D$18&amp;".169.0/24","")</f>
        <v/>
      </c>
      <c r="G1995" s="21" t="str">
        <f aca="false">IF(AND(Eingabe!$F$18&gt;0,Eingabe!$E$18&gt;=169),"10."&amp;Eingabe!$D$18&amp;".169.1","")</f>
        <v/>
      </c>
      <c r="H1995" s="21" t="str">
        <f aca="false">IF(AND(Eingabe!$F$18&gt;0,Eingabe!$E$18&gt;=169),"10."&amp;Eingabe!$D$18&amp;".169.10 – 10."&amp;Eingabe!$D$18&amp;".169.250","")</f>
        <v/>
      </c>
      <c r="I1995" s="21" t="str">
        <f aca="false">IF(AND(Eingabe!$F$18&gt;0,Eingabe!$E$18&gt;=169),Eingabe!$B$6&amp;"-"&amp;Eingabe!$C$18&amp;"-Pächter","")</f>
        <v/>
      </c>
      <c r="J1995" s="21" t="str">
        <f aca="false">IF(AND(Eingabe!$F$18&gt;0,Eingabe!$E$18&gt;=169),"PPSK: Passwort Parzelle 169","")</f>
        <v/>
      </c>
      <c r="K1995" s="21" t="str">
        <f aca="false">IF(AND(Eingabe!$F$18&gt;0,Eingabe!$E$18&gt;=169),"1. Gerät: 10."&amp;Eingabe!$D$18&amp;".169.10, 2. Gerät: .11","")</f>
        <v/>
      </c>
    </row>
    <row r="1996" customFormat="false" ht="15" hidden="false" customHeight="false" outlineLevel="0" collapsed="false">
      <c r="A1996" s="21" t="str">
        <f aca="false">IF(AND(Eingabe!$F$18&gt;0,Eingabe!$E$18&gt;=170),10,"")</f>
        <v/>
      </c>
      <c r="B1996" s="21" t="str">
        <f aca="false">IF(AND(Eingabe!$F$18&gt;0,Eingabe!$E$18&gt;=170),Eingabe!$B$18,"")</f>
        <v/>
      </c>
      <c r="C1996" s="21" t="str">
        <f aca="false">IF(AND(Eingabe!$F$18&gt;0,Eingabe!$E$18&gt;=170),Eingabe!$C$18&amp;"-Paz."&amp;TEXT(170,"000"),"")</f>
        <v/>
      </c>
      <c r="D1996" s="21" t="str">
        <f aca="false">IF(AND(Eingabe!$F$18&gt;0,Eingabe!$E$18&gt;=170),170,"")</f>
        <v/>
      </c>
      <c r="E1996" s="21" t="str">
        <f aca="false">IF(AND(Eingabe!$F$18&gt;0,Eingabe!$E$18&gt;=170),IF((Eingabe!$G$18+1)&lt;=9,1000+(Eingabe!$G$18+1)*100,3000)+70,"")</f>
        <v/>
      </c>
      <c r="F1996" s="21" t="str">
        <f aca="false">IF(AND(Eingabe!$F$18&gt;0,Eingabe!$E$18&gt;=170),"10."&amp;Eingabe!$D$18&amp;".170.0/24","")</f>
        <v/>
      </c>
      <c r="G1996" s="21" t="str">
        <f aca="false">IF(AND(Eingabe!$F$18&gt;0,Eingabe!$E$18&gt;=170),"10."&amp;Eingabe!$D$18&amp;".170.1","")</f>
        <v/>
      </c>
      <c r="H1996" s="21" t="str">
        <f aca="false">IF(AND(Eingabe!$F$18&gt;0,Eingabe!$E$18&gt;=170),"10."&amp;Eingabe!$D$18&amp;".170.10 – 10."&amp;Eingabe!$D$18&amp;".170.250","")</f>
        <v/>
      </c>
      <c r="I1996" s="21" t="str">
        <f aca="false">IF(AND(Eingabe!$F$18&gt;0,Eingabe!$E$18&gt;=170),Eingabe!$B$6&amp;"-"&amp;Eingabe!$C$18&amp;"-Pächter","")</f>
        <v/>
      </c>
      <c r="J1996" s="21" t="str">
        <f aca="false">IF(AND(Eingabe!$F$18&gt;0,Eingabe!$E$18&gt;=170),"PPSK: Passwort Parzelle 170","")</f>
        <v/>
      </c>
      <c r="K1996" s="21" t="str">
        <f aca="false">IF(AND(Eingabe!$F$18&gt;0,Eingabe!$E$18&gt;=170),"1. Gerät: 10."&amp;Eingabe!$D$18&amp;".170.10, 2. Gerät: .11","")</f>
        <v/>
      </c>
    </row>
    <row r="1997" customFormat="false" ht="15" hidden="false" customHeight="false" outlineLevel="0" collapsed="false">
      <c r="A1997" s="21" t="str">
        <f aca="false">IF(AND(Eingabe!$F$18&gt;0,Eingabe!$E$18&gt;=171),10,"")</f>
        <v/>
      </c>
      <c r="B1997" s="21" t="str">
        <f aca="false">IF(AND(Eingabe!$F$18&gt;0,Eingabe!$E$18&gt;=171),Eingabe!$B$18,"")</f>
        <v/>
      </c>
      <c r="C1997" s="21" t="str">
        <f aca="false">IF(AND(Eingabe!$F$18&gt;0,Eingabe!$E$18&gt;=171),Eingabe!$C$18&amp;"-Paz."&amp;TEXT(171,"000"),"")</f>
        <v/>
      </c>
      <c r="D1997" s="21" t="str">
        <f aca="false">IF(AND(Eingabe!$F$18&gt;0,Eingabe!$E$18&gt;=171),171,"")</f>
        <v/>
      </c>
      <c r="E1997" s="21" t="str">
        <f aca="false">IF(AND(Eingabe!$F$18&gt;0,Eingabe!$E$18&gt;=171),IF((Eingabe!$G$18+1)&lt;=9,1000+(Eingabe!$G$18+1)*100,3000)+71,"")</f>
        <v/>
      </c>
      <c r="F1997" s="21" t="str">
        <f aca="false">IF(AND(Eingabe!$F$18&gt;0,Eingabe!$E$18&gt;=171),"10."&amp;Eingabe!$D$18&amp;".171.0/24","")</f>
        <v/>
      </c>
      <c r="G1997" s="21" t="str">
        <f aca="false">IF(AND(Eingabe!$F$18&gt;0,Eingabe!$E$18&gt;=171),"10."&amp;Eingabe!$D$18&amp;".171.1","")</f>
        <v/>
      </c>
      <c r="H1997" s="21" t="str">
        <f aca="false">IF(AND(Eingabe!$F$18&gt;0,Eingabe!$E$18&gt;=171),"10."&amp;Eingabe!$D$18&amp;".171.10 – 10."&amp;Eingabe!$D$18&amp;".171.250","")</f>
        <v/>
      </c>
      <c r="I1997" s="21" t="str">
        <f aca="false">IF(AND(Eingabe!$F$18&gt;0,Eingabe!$E$18&gt;=171),Eingabe!$B$6&amp;"-"&amp;Eingabe!$C$18&amp;"-Pächter","")</f>
        <v/>
      </c>
      <c r="J1997" s="21" t="str">
        <f aca="false">IF(AND(Eingabe!$F$18&gt;0,Eingabe!$E$18&gt;=171),"PPSK: Passwort Parzelle 171","")</f>
        <v/>
      </c>
      <c r="K1997" s="21" t="str">
        <f aca="false">IF(AND(Eingabe!$F$18&gt;0,Eingabe!$E$18&gt;=171),"1. Gerät: 10."&amp;Eingabe!$D$18&amp;".171.10, 2. Gerät: .11","")</f>
        <v/>
      </c>
    </row>
    <row r="1998" customFormat="false" ht="15" hidden="false" customHeight="false" outlineLevel="0" collapsed="false">
      <c r="A1998" s="21" t="str">
        <f aca="false">IF(AND(Eingabe!$F$18&gt;0,Eingabe!$E$18&gt;=172),10,"")</f>
        <v/>
      </c>
      <c r="B1998" s="21" t="str">
        <f aca="false">IF(AND(Eingabe!$F$18&gt;0,Eingabe!$E$18&gt;=172),Eingabe!$B$18,"")</f>
        <v/>
      </c>
      <c r="C1998" s="21" t="str">
        <f aca="false">IF(AND(Eingabe!$F$18&gt;0,Eingabe!$E$18&gt;=172),Eingabe!$C$18&amp;"-Paz."&amp;TEXT(172,"000"),"")</f>
        <v/>
      </c>
      <c r="D1998" s="21" t="str">
        <f aca="false">IF(AND(Eingabe!$F$18&gt;0,Eingabe!$E$18&gt;=172),172,"")</f>
        <v/>
      </c>
      <c r="E1998" s="21" t="str">
        <f aca="false">IF(AND(Eingabe!$F$18&gt;0,Eingabe!$E$18&gt;=172),IF((Eingabe!$G$18+1)&lt;=9,1000+(Eingabe!$G$18+1)*100,3000)+72,"")</f>
        <v/>
      </c>
      <c r="F1998" s="21" t="str">
        <f aca="false">IF(AND(Eingabe!$F$18&gt;0,Eingabe!$E$18&gt;=172),"10."&amp;Eingabe!$D$18&amp;".172.0/24","")</f>
        <v/>
      </c>
      <c r="G1998" s="21" t="str">
        <f aca="false">IF(AND(Eingabe!$F$18&gt;0,Eingabe!$E$18&gt;=172),"10."&amp;Eingabe!$D$18&amp;".172.1","")</f>
        <v/>
      </c>
      <c r="H1998" s="21" t="str">
        <f aca="false">IF(AND(Eingabe!$F$18&gt;0,Eingabe!$E$18&gt;=172),"10."&amp;Eingabe!$D$18&amp;".172.10 – 10."&amp;Eingabe!$D$18&amp;".172.250","")</f>
        <v/>
      </c>
      <c r="I1998" s="21" t="str">
        <f aca="false">IF(AND(Eingabe!$F$18&gt;0,Eingabe!$E$18&gt;=172),Eingabe!$B$6&amp;"-"&amp;Eingabe!$C$18&amp;"-Pächter","")</f>
        <v/>
      </c>
      <c r="J1998" s="21" t="str">
        <f aca="false">IF(AND(Eingabe!$F$18&gt;0,Eingabe!$E$18&gt;=172),"PPSK: Passwort Parzelle 172","")</f>
        <v/>
      </c>
      <c r="K1998" s="21" t="str">
        <f aca="false">IF(AND(Eingabe!$F$18&gt;0,Eingabe!$E$18&gt;=172),"1. Gerät: 10."&amp;Eingabe!$D$18&amp;".172.10, 2. Gerät: .11","")</f>
        <v/>
      </c>
    </row>
    <row r="1999" customFormat="false" ht="15" hidden="false" customHeight="false" outlineLevel="0" collapsed="false">
      <c r="A1999" s="21" t="str">
        <f aca="false">IF(AND(Eingabe!$F$18&gt;0,Eingabe!$E$18&gt;=173),10,"")</f>
        <v/>
      </c>
      <c r="B1999" s="21" t="str">
        <f aca="false">IF(AND(Eingabe!$F$18&gt;0,Eingabe!$E$18&gt;=173),Eingabe!$B$18,"")</f>
        <v/>
      </c>
      <c r="C1999" s="21" t="str">
        <f aca="false">IF(AND(Eingabe!$F$18&gt;0,Eingabe!$E$18&gt;=173),Eingabe!$C$18&amp;"-Paz."&amp;TEXT(173,"000"),"")</f>
        <v/>
      </c>
      <c r="D1999" s="21" t="str">
        <f aca="false">IF(AND(Eingabe!$F$18&gt;0,Eingabe!$E$18&gt;=173),173,"")</f>
        <v/>
      </c>
      <c r="E1999" s="21" t="str">
        <f aca="false">IF(AND(Eingabe!$F$18&gt;0,Eingabe!$E$18&gt;=173),IF((Eingabe!$G$18+1)&lt;=9,1000+(Eingabe!$G$18+1)*100,3000)+73,"")</f>
        <v/>
      </c>
      <c r="F1999" s="21" t="str">
        <f aca="false">IF(AND(Eingabe!$F$18&gt;0,Eingabe!$E$18&gt;=173),"10."&amp;Eingabe!$D$18&amp;".173.0/24","")</f>
        <v/>
      </c>
      <c r="G1999" s="21" t="str">
        <f aca="false">IF(AND(Eingabe!$F$18&gt;0,Eingabe!$E$18&gt;=173),"10."&amp;Eingabe!$D$18&amp;".173.1","")</f>
        <v/>
      </c>
      <c r="H1999" s="21" t="str">
        <f aca="false">IF(AND(Eingabe!$F$18&gt;0,Eingabe!$E$18&gt;=173),"10."&amp;Eingabe!$D$18&amp;".173.10 – 10."&amp;Eingabe!$D$18&amp;".173.250","")</f>
        <v/>
      </c>
      <c r="I1999" s="21" t="str">
        <f aca="false">IF(AND(Eingabe!$F$18&gt;0,Eingabe!$E$18&gt;=173),Eingabe!$B$6&amp;"-"&amp;Eingabe!$C$18&amp;"-Pächter","")</f>
        <v/>
      </c>
      <c r="J1999" s="21" t="str">
        <f aca="false">IF(AND(Eingabe!$F$18&gt;0,Eingabe!$E$18&gt;=173),"PPSK: Passwort Parzelle 173","")</f>
        <v/>
      </c>
      <c r="K1999" s="21" t="str">
        <f aca="false">IF(AND(Eingabe!$F$18&gt;0,Eingabe!$E$18&gt;=173),"1. Gerät: 10."&amp;Eingabe!$D$18&amp;".173.10, 2. Gerät: .11","")</f>
        <v/>
      </c>
    </row>
    <row r="2000" customFormat="false" ht="15" hidden="false" customHeight="false" outlineLevel="0" collapsed="false">
      <c r="A2000" s="21" t="str">
        <f aca="false">IF(AND(Eingabe!$F$18&gt;0,Eingabe!$E$18&gt;=174),10,"")</f>
        <v/>
      </c>
      <c r="B2000" s="21" t="str">
        <f aca="false">IF(AND(Eingabe!$F$18&gt;0,Eingabe!$E$18&gt;=174),Eingabe!$B$18,"")</f>
        <v/>
      </c>
      <c r="C2000" s="21" t="str">
        <f aca="false">IF(AND(Eingabe!$F$18&gt;0,Eingabe!$E$18&gt;=174),Eingabe!$C$18&amp;"-Paz."&amp;TEXT(174,"000"),"")</f>
        <v/>
      </c>
      <c r="D2000" s="21" t="str">
        <f aca="false">IF(AND(Eingabe!$F$18&gt;0,Eingabe!$E$18&gt;=174),174,"")</f>
        <v/>
      </c>
      <c r="E2000" s="21" t="str">
        <f aca="false">IF(AND(Eingabe!$F$18&gt;0,Eingabe!$E$18&gt;=174),IF((Eingabe!$G$18+1)&lt;=9,1000+(Eingabe!$G$18+1)*100,3000)+74,"")</f>
        <v/>
      </c>
      <c r="F2000" s="21" t="str">
        <f aca="false">IF(AND(Eingabe!$F$18&gt;0,Eingabe!$E$18&gt;=174),"10."&amp;Eingabe!$D$18&amp;".174.0/24","")</f>
        <v/>
      </c>
      <c r="G2000" s="21" t="str">
        <f aca="false">IF(AND(Eingabe!$F$18&gt;0,Eingabe!$E$18&gt;=174),"10."&amp;Eingabe!$D$18&amp;".174.1","")</f>
        <v/>
      </c>
      <c r="H2000" s="21" t="str">
        <f aca="false">IF(AND(Eingabe!$F$18&gt;0,Eingabe!$E$18&gt;=174),"10."&amp;Eingabe!$D$18&amp;".174.10 – 10."&amp;Eingabe!$D$18&amp;".174.250","")</f>
        <v/>
      </c>
      <c r="I2000" s="21" t="str">
        <f aca="false">IF(AND(Eingabe!$F$18&gt;0,Eingabe!$E$18&gt;=174),Eingabe!$B$6&amp;"-"&amp;Eingabe!$C$18&amp;"-Pächter","")</f>
        <v/>
      </c>
      <c r="J2000" s="21" t="str">
        <f aca="false">IF(AND(Eingabe!$F$18&gt;0,Eingabe!$E$18&gt;=174),"PPSK: Passwort Parzelle 174","")</f>
        <v/>
      </c>
      <c r="K2000" s="21" t="str">
        <f aca="false">IF(AND(Eingabe!$F$18&gt;0,Eingabe!$E$18&gt;=174),"1. Gerät: 10."&amp;Eingabe!$D$18&amp;".174.10, 2. Gerät: .11","")</f>
        <v/>
      </c>
    </row>
    <row r="2001" customFormat="false" ht="15" hidden="false" customHeight="false" outlineLevel="0" collapsed="false">
      <c r="A2001" s="21" t="str">
        <f aca="false">IF(AND(Eingabe!$F$18&gt;0,Eingabe!$E$18&gt;=175),10,"")</f>
        <v/>
      </c>
      <c r="B2001" s="21" t="str">
        <f aca="false">IF(AND(Eingabe!$F$18&gt;0,Eingabe!$E$18&gt;=175),Eingabe!$B$18,"")</f>
        <v/>
      </c>
      <c r="C2001" s="21" t="str">
        <f aca="false">IF(AND(Eingabe!$F$18&gt;0,Eingabe!$E$18&gt;=175),Eingabe!$C$18&amp;"-Paz."&amp;TEXT(175,"000"),"")</f>
        <v/>
      </c>
      <c r="D2001" s="21" t="str">
        <f aca="false">IF(AND(Eingabe!$F$18&gt;0,Eingabe!$E$18&gt;=175),175,"")</f>
        <v/>
      </c>
      <c r="E2001" s="21" t="str">
        <f aca="false">IF(AND(Eingabe!$F$18&gt;0,Eingabe!$E$18&gt;=175),IF((Eingabe!$G$18+1)&lt;=9,1000+(Eingabe!$G$18+1)*100,3000)+75,"")</f>
        <v/>
      </c>
      <c r="F2001" s="21" t="str">
        <f aca="false">IF(AND(Eingabe!$F$18&gt;0,Eingabe!$E$18&gt;=175),"10."&amp;Eingabe!$D$18&amp;".175.0/24","")</f>
        <v/>
      </c>
      <c r="G2001" s="21" t="str">
        <f aca="false">IF(AND(Eingabe!$F$18&gt;0,Eingabe!$E$18&gt;=175),"10."&amp;Eingabe!$D$18&amp;".175.1","")</f>
        <v/>
      </c>
      <c r="H2001" s="21" t="str">
        <f aca="false">IF(AND(Eingabe!$F$18&gt;0,Eingabe!$E$18&gt;=175),"10."&amp;Eingabe!$D$18&amp;".175.10 – 10."&amp;Eingabe!$D$18&amp;".175.250","")</f>
        <v/>
      </c>
      <c r="I2001" s="21" t="str">
        <f aca="false">IF(AND(Eingabe!$F$18&gt;0,Eingabe!$E$18&gt;=175),Eingabe!$B$6&amp;"-"&amp;Eingabe!$C$18&amp;"-Pächter","")</f>
        <v/>
      </c>
      <c r="J2001" s="21" t="str">
        <f aca="false">IF(AND(Eingabe!$F$18&gt;0,Eingabe!$E$18&gt;=175),"PPSK: Passwort Parzelle 175","")</f>
        <v/>
      </c>
      <c r="K2001" s="21" t="str">
        <f aca="false">IF(AND(Eingabe!$F$18&gt;0,Eingabe!$E$18&gt;=175),"1. Gerät: 10."&amp;Eingabe!$D$18&amp;".175.10, 2. Gerät: .11","")</f>
        <v/>
      </c>
    </row>
    <row r="2002" customFormat="false" ht="15" hidden="false" customHeight="false" outlineLevel="0" collapsed="false">
      <c r="A2002" s="21" t="str">
        <f aca="false">IF(AND(Eingabe!$F$18&gt;0,Eingabe!$E$18&gt;=176),10,"")</f>
        <v/>
      </c>
      <c r="B2002" s="21" t="str">
        <f aca="false">IF(AND(Eingabe!$F$18&gt;0,Eingabe!$E$18&gt;=176),Eingabe!$B$18,"")</f>
        <v/>
      </c>
      <c r="C2002" s="21" t="str">
        <f aca="false">IF(AND(Eingabe!$F$18&gt;0,Eingabe!$E$18&gt;=176),Eingabe!$C$18&amp;"-Paz."&amp;TEXT(176,"000"),"")</f>
        <v/>
      </c>
      <c r="D2002" s="21" t="str">
        <f aca="false">IF(AND(Eingabe!$F$18&gt;0,Eingabe!$E$18&gt;=176),176,"")</f>
        <v/>
      </c>
      <c r="E2002" s="21" t="str">
        <f aca="false">IF(AND(Eingabe!$F$18&gt;0,Eingabe!$E$18&gt;=176),IF((Eingabe!$G$18+1)&lt;=9,1000+(Eingabe!$G$18+1)*100,3000)+76,"")</f>
        <v/>
      </c>
      <c r="F2002" s="21" t="str">
        <f aca="false">IF(AND(Eingabe!$F$18&gt;0,Eingabe!$E$18&gt;=176),"10."&amp;Eingabe!$D$18&amp;".176.0/24","")</f>
        <v/>
      </c>
      <c r="G2002" s="21" t="str">
        <f aca="false">IF(AND(Eingabe!$F$18&gt;0,Eingabe!$E$18&gt;=176),"10."&amp;Eingabe!$D$18&amp;".176.1","")</f>
        <v/>
      </c>
      <c r="H2002" s="21" t="str">
        <f aca="false">IF(AND(Eingabe!$F$18&gt;0,Eingabe!$E$18&gt;=176),"10."&amp;Eingabe!$D$18&amp;".176.10 – 10."&amp;Eingabe!$D$18&amp;".176.250","")</f>
        <v/>
      </c>
      <c r="I2002" s="21" t="str">
        <f aca="false">IF(AND(Eingabe!$F$18&gt;0,Eingabe!$E$18&gt;=176),Eingabe!$B$6&amp;"-"&amp;Eingabe!$C$18&amp;"-Pächter","")</f>
        <v/>
      </c>
      <c r="J2002" s="21" t="str">
        <f aca="false">IF(AND(Eingabe!$F$18&gt;0,Eingabe!$E$18&gt;=176),"PPSK: Passwort Parzelle 176","")</f>
        <v/>
      </c>
      <c r="K2002" s="21" t="str">
        <f aca="false">IF(AND(Eingabe!$F$18&gt;0,Eingabe!$E$18&gt;=176),"1. Gerät: 10."&amp;Eingabe!$D$18&amp;".176.10, 2. Gerät: .11","")</f>
        <v/>
      </c>
    </row>
    <row r="2003" customFormat="false" ht="15" hidden="false" customHeight="false" outlineLevel="0" collapsed="false">
      <c r="A2003" s="21" t="str">
        <f aca="false">IF(AND(Eingabe!$F$18&gt;0,Eingabe!$E$18&gt;=177),10,"")</f>
        <v/>
      </c>
      <c r="B2003" s="21" t="str">
        <f aca="false">IF(AND(Eingabe!$F$18&gt;0,Eingabe!$E$18&gt;=177),Eingabe!$B$18,"")</f>
        <v/>
      </c>
      <c r="C2003" s="21" t="str">
        <f aca="false">IF(AND(Eingabe!$F$18&gt;0,Eingabe!$E$18&gt;=177),Eingabe!$C$18&amp;"-Paz."&amp;TEXT(177,"000"),"")</f>
        <v/>
      </c>
      <c r="D2003" s="21" t="str">
        <f aca="false">IF(AND(Eingabe!$F$18&gt;0,Eingabe!$E$18&gt;=177),177,"")</f>
        <v/>
      </c>
      <c r="E2003" s="21" t="str">
        <f aca="false">IF(AND(Eingabe!$F$18&gt;0,Eingabe!$E$18&gt;=177),IF((Eingabe!$G$18+1)&lt;=9,1000+(Eingabe!$G$18+1)*100,3000)+77,"")</f>
        <v/>
      </c>
      <c r="F2003" s="21" t="str">
        <f aca="false">IF(AND(Eingabe!$F$18&gt;0,Eingabe!$E$18&gt;=177),"10."&amp;Eingabe!$D$18&amp;".177.0/24","")</f>
        <v/>
      </c>
      <c r="G2003" s="21" t="str">
        <f aca="false">IF(AND(Eingabe!$F$18&gt;0,Eingabe!$E$18&gt;=177),"10."&amp;Eingabe!$D$18&amp;".177.1","")</f>
        <v/>
      </c>
      <c r="H2003" s="21" t="str">
        <f aca="false">IF(AND(Eingabe!$F$18&gt;0,Eingabe!$E$18&gt;=177),"10."&amp;Eingabe!$D$18&amp;".177.10 – 10."&amp;Eingabe!$D$18&amp;".177.250","")</f>
        <v/>
      </c>
      <c r="I2003" s="21" t="str">
        <f aca="false">IF(AND(Eingabe!$F$18&gt;0,Eingabe!$E$18&gt;=177),Eingabe!$B$6&amp;"-"&amp;Eingabe!$C$18&amp;"-Pächter","")</f>
        <v/>
      </c>
      <c r="J2003" s="21" t="str">
        <f aca="false">IF(AND(Eingabe!$F$18&gt;0,Eingabe!$E$18&gt;=177),"PPSK: Passwort Parzelle 177","")</f>
        <v/>
      </c>
      <c r="K2003" s="21" t="str">
        <f aca="false">IF(AND(Eingabe!$F$18&gt;0,Eingabe!$E$18&gt;=177),"1. Gerät: 10."&amp;Eingabe!$D$18&amp;".177.10, 2. Gerät: .11","")</f>
        <v/>
      </c>
    </row>
    <row r="2004" customFormat="false" ht="15" hidden="false" customHeight="false" outlineLevel="0" collapsed="false">
      <c r="A2004" s="21" t="str">
        <f aca="false">IF(AND(Eingabe!$F$18&gt;0,Eingabe!$E$18&gt;=178),10,"")</f>
        <v/>
      </c>
      <c r="B2004" s="21" t="str">
        <f aca="false">IF(AND(Eingabe!$F$18&gt;0,Eingabe!$E$18&gt;=178),Eingabe!$B$18,"")</f>
        <v/>
      </c>
      <c r="C2004" s="21" t="str">
        <f aca="false">IF(AND(Eingabe!$F$18&gt;0,Eingabe!$E$18&gt;=178),Eingabe!$C$18&amp;"-Paz."&amp;TEXT(178,"000"),"")</f>
        <v/>
      </c>
      <c r="D2004" s="21" t="str">
        <f aca="false">IF(AND(Eingabe!$F$18&gt;0,Eingabe!$E$18&gt;=178),178,"")</f>
        <v/>
      </c>
      <c r="E2004" s="21" t="str">
        <f aca="false">IF(AND(Eingabe!$F$18&gt;0,Eingabe!$E$18&gt;=178),IF((Eingabe!$G$18+1)&lt;=9,1000+(Eingabe!$G$18+1)*100,3000)+78,"")</f>
        <v/>
      </c>
      <c r="F2004" s="21" t="str">
        <f aca="false">IF(AND(Eingabe!$F$18&gt;0,Eingabe!$E$18&gt;=178),"10."&amp;Eingabe!$D$18&amp;".178.0/24","")</f>
        <v/>
      </c>
      <c r="G2004" s="21" t="str">
        <f aca="false">IF(AND(Eingabe!$F$18&gt;0,Eingabe!$E$18&gt;=178),"10."&amp;Eingabe!$D$18&amp;".178.1","")</f>
        <v/>
      </c>
      <c r="H2004" s="21" t="str">
        <f aca="false">IF(AND(Eingabe!$F$18&gt;0,Eingabe!$E$18&gt;=178),"10."&amp;Eingabe!$D$18&amp;".178.10 – 10."&amp;Eingabe!$D$18&amp;".178.250","")</f>
        <v/>
      </c>
      <c r="I2004" s="21" t="str">
        <f aca="false">IF(AND(Eingabe!$F$18&gt;0,Eingabe!$E$18&gt;=178),Eingabe!$B$6&amp;"-"&amp;Eingabe!$C$18&amp;"-Pächter","")</f>
        <v/>
      </c>
      <c r="J2004" s="21" t="str">
        <f aca="false">IF(AND(Eingabe!$F$18&gt;0,Eingabe!$E$18&gt;=178),"PPSK: Passwort Parzelle 178","")</f>
        <v/>
      </c>
      <c r="K2004" s="21" t="str">
        <f aca="false">IF(AND(Eingabe!$F$18&gt;0,Eingabe!$E$18&gt;=178),"1. Gerät: 10."&amp;Eingabe!$D$18&amp;".178.10, 2. Gerät: .11","")</f>
        <v/>
      </c>
    </row>
    <row r="2005" customFormat="false" ht="15" hidden="false" customHeight="false" outlineLevel="0" collapsed="false">
      <c r="A2005" s="21" t="str">
        <f aca="false">IF(AND(Eingabe!$F$18&gt;0,Eingabe!$E$18&gt;=179),10,"")</f>
        <v/>
      </c>
      <c r="B2005" s="21" t="str">
        <f aca="false">IF(AND(Eingabe!$F$18&gt;0,Eingabe!$E$18&gt;=179),Eingabe!$B$18,"")</f>
        <v/>
      </c>
      <c r="C2005" s="21" t="str">
        <f aca="false">IF(AND(Eingabe!$F$18&gt;0,Eingabe!$E$18&gt;=179),Eingabe!$C$18&amp;"-Paz."&amp;TEXT(179,"000"),"")</f>
        <v/>
      </c>
      <c r="D2005" s="21" t="str">
        <f aca="false">IF(AND(Eingabe!$F$18&gt;0,Eingabe!$E$18&gt;=179),179,"")</f>
        <v/>
      </c>
      <c r="E2005" s="21" t="str">
        <f aca="false">IF(AND(Eingabe!$F$18&gt;0,Eingabe!$E$18&gt;=179),IF((Eingabe!$G$18+1)&lt;=9,1000+(Eingabe!$G$18+1)*100,3000)+79,"")</f>
        <v/>
      </c>
      <c r="F2005" s="21" t="str">
        <f aca="false">IF(AND(Eingabe!$F$18&gt;0,Eingabe!$E$18&gt;=179),"10."&amp;Eingabe!$D$18&amp;".179.0/24","")</f>
        <v/>
      </c>
      <c r="G2005" s="21" t="str">
        <f aca="false">IF(AND(Eingabe!$F$18&gt;0,Eingabe!$E$18&gt;=179),"10."&amp;Eingabe!$D$18&amp;".179.1","")</f>
        <v/>
      </c>
      <c r="H2005" s="21" t="str">
        <f aca="false">IF(AND(Eingabe!$F$18&gt;0,Eingabe!$E$18&gt;=179),"10."&amp;Eingabe!$D$18&amp;".179.10 – 10."&amp;Eingabe!$D$18&amp;".179.250","")</f>
        <v/>
      </c>
      <c r="I2005" s="21" t="str">
        <f aca="false">IF(AND(Eingabe!$F$18&gt;0,Eingabe!$E$18&gt;=179),Eingabe!$B$6&amp;"-"&amp;Eingabe!$C$18&amp;"-Pächter","")</f>
        <v/>
      </c>
      <c r="J2005" s="21" t="str">
        <f aca="false">IF(AND(Eingabe!$F$18&gt;0,Eingabe!$E$18&gt;=179),"PPSK: Passwort Parzelle 179","")</f>
        <v/>
      </c>
      <c r="K2005" s="21" t="str">
        <f aca="false">IF(AND(Eingabe!$F$18&gt;0,Eingabe!$E$18&gt;=179),"1. Gerät: 10."&amp;Eingabe!$D$18&amp;".179.10, 2. Gerät: .11","")</f>
        <v/>
      </c>
    </row>
    <row r="2006" customFormat="false" ht="15" hidden="false" customHeight="false" outlineLevel="0" collapsed="false">
      <c r="A2006" s="21" t="str">
        <f aca="false">IF(AND(Eingabe!$F$18&gt;0,Eingabe!$E$18&gt;=180),10,"")</f>
        <v/>
      </c>
      <c r="B2006" s="21" t="str">
        <f aca="false">IF(AND(Eingabe!$F$18&gt;0,Eingabe!$E$18&gt;=180),Eingabe!$B$18,"")</f>
        <v/>
      </c>
      <c r="C2006" s="21" t="str">
        <f aca="false">IF(AND(Eingabe!$F$18&gt;0,Eingabe!$E$18&gt;=180),Eingabe!$C$18&amp;"-Paz."&amp;TEXT(180,"000"),"")</f>
        <v/>
      </c>
      <c r="D2006" s="21" t="str">
        <f aca="false">IF(AND(Eingabe!$F$18&gt;0,Eingabe!$E$18&gt;=180),180,"")</f>
        <v/>
      </c>
      <c r="E2006" s="21" t="str">
        <f aca="false">IF(AND(Eingabe!$F$18&gt;0,Eingabe!$E$18&gt;=180),IF((Eingabe!$G$18+1)&lt;=9,1000+(Eingabe!$G$18+1)*100,3000)+80,"")</f>
        <v/>
      </c>
      <c r="F2006" s="21" t="str">
        <f aca="false">IF(AND(Eingabe!$F$18&gt;0,Eingabe!$E$18&gt;=180),"10."&amp;Eingabe!$D$18&amp;".180.0/24","")</f>
        <v/>
      </c>
      <c r="G2006" s="21" t="str">
        <f aca="false">IF(AND(Eingabe!$F$18&gt;0,Eingabe!$E$18&gt;=180),"10."&amp;Eingabe!$D$18&amp;".180.1","")</f>
        <v/>
      </c>
      <c r="H2006" s="21" t="str">
        <f aca="false">IF(AND(Eingabe!$F$18&gt;0,Eingabe!$E$18&gt;=180),"10."&amp;Eingabe!$D$18&amp;".180.10 – 10."&amp;Eingabe!$D$18&amp;".180.250","")</f>
        <v/>
      </c>
      <c r="I2006" s="21" t="str">
        <f aca="false">IF(AND(Eingabe!$F$18&gt;0,Eingabe!$E$18&gt;=180),Eingabe!$B$6&amp;"-"&amp;Eingabe!$C$18&amp;"-Pächter","")</f>
        <v/>
      </c>
      <c r="J2006" s="21" t="str">
        <f aca="false">IF(AND(Eingabe!$F$18&gt;0,Eingabe!$E$18&gt;=180),"PPSK: Passwort Parzelle 180","")</f>
        <v/>
      </c>
      <c r="K2006" s="21" t="str">
        <f aca="false">IF(AND(Eingabe!$F$18&gt;0,Eingabe!$E$18&gt;=180),"1. Gerät: 10."&amp;Eingabe!$D$18&amp;".180.10, 2. Gerät: .11","")</f>
        <v/>
      </c>
    </row>
    <row r="2007" customFormat="false" ht="15" hidden="false" customHeight="false" outlineLevel="0" collapsed="false">
      <c r="A2007" s="21" t="str">
        <f aca="false">IF(AND(Eingabe!$F$18&gt;0,Eingabe!$E$18&gt;=181),10,"")</f>
        <v/>
      </c>
      <c r="B2007" s="21" t="str">
        <f aca="false">IF(AND(Eingabe!$F$18&gt;0,Eingabe!$E$18&gt;=181),Eingabe!$B$18,"")</f>
        <v/>
      </c>
      <c r="C2007" s="21" t="str">
        <f aca="false">IF(AND(Eingabe!$F$18&gt;0,Eingabe!$E$18&gt;=181),Eingabe!$C$18&amp;"-Paz."&amp;TEXT(181,"000"),"")</f>
        <v/>
      </c>
      <c r="D2007" s="21" t="str">
        <f aca="false">IF(AND(Eingabe!$F$18&gt;0,Eingabe!$E$18&gt;=181),181,"")</f>
        <v/>
      </c>
      <c r="E2007" s="21" t="str">
        <f aca="false">IF(AND(Eingabe!$F$18&gt;0,Eingabe!$E$18&gt;=181),IF((Eingabe!$G$18+1)&lt;=9,1000+(Eingabe!$G$18+1)*100,3000)+81,"")</f>
        <v/>
      </c>
      <c r="F2007" s="21" t="str">
        <f aca="false">IF(AND(Eingabe!$F$18&gt;0,Eingabe!$E$18&gt;=181),"10."&amp;Eingabe!$D$18&amp;".181.0/24","")</f>
        <v/>
      </c>
      <c r="G2007" s="21" t="str">
        <f aca="false">IF(AND(Eingabe!$F$18&gt;0,Eingabe!$E$18&gt;=181),"10."&amp;Eingabe!$D$18&amp;".181.1","")</f>
        <v/>
      </c>
      <c r="H2007" s="21" t="str">
        <f aca="false">IF(AND(Eingabe!$F$18&gt;0,Eingabe!$E$18&gt;=181),"10."&amp;Eingabe!$D$18&amp;".181.10 – 10."&amp;Eingabe!$D$18&amp;".181.250","")</f>
        <v/>
      </c>
      <c r="I2007" s="21" t="str">
        <f aca="false">IF(AND(Eingabe!$F$18&gt;0,Eingabe!$E$18&gt;=181),Eingabe!$B$6&amp;"-"&amp;Eingabe!$C$18&amp;"-Pächter","")</f>
        <v/>
      </c>
      <c r="J2007" s="21" t="str">
        <f aca="false">IF(AND(Eingabe!$F$18&gt;0,Eingabe!$E$18&gt;=181),"PPSK: Passwort Parzelle 181","")</f>
        <v/>
      </c>
      <c r="K2007" s="21" t="str">
        <f aca="false">IF(AND(Eingabe!$F$18&gt;0,Eingabe!$E$18&gt;=181),"1. Gerät: 10."&amp;Eingabe!$D$18&amp;".181.10, 2. Gerät: .11","")</f>
        <v/>
      </c>
    </row>
    <row r="2008" customFormat="false" ht="15" hidden="false" customHeight="false" outlineLevel="0" collapsed="false">
      <c r="A2008" s="21" t="str">
        <f aca="false">IF(AND(Eingabe!$F$18&gt;0,Eingabe!$E$18&gt;=182),10,"")</f>
        <v/>
      </c>
      <c r="B2008" s="21" t="str">
        <f aca="false">IF(AND(Eingabe!$F$18&gt;0,Eingabe!$E$18&gt;=182),Eingabe!$B$18,"")</f>
        <v/>
      </c>
      <c r="C2008" s="21" t="str">
        <f aca="false">IF(AND(Eingabe!$F$18&gt;0,Eingabe!$E$18&gt;=182),Eingabe!$C$18&amp;"-Paz."&amp;TEXT(182,"000"),"")</f>
        <v/>
      </c>
      <c r="D2008" s="21" t="str">
        <f aca="false">IF(AND(Eingabe!$F$18&gt;0,Eingabe!$E$18&gt;=182),182,"")</f>
        <v/>
      </c>
      <c r="E2008" s="21" t="str">
        <f aca="false">IF(AND(Eingabe!$F$18&gt;0,Eingabe!$E$18&gt;=182),IF((Eingabe!$G$18+1)&lt;=9,1000+(Eingabe!$G$18+1)*100,3000)+82,"")</f>
        <v/>
      </c>
      <c r="F2008" s="21" t="str">
        <f aca="false">IF(AND(Eingabe!$F$18&gt;0,Eingabe!$E$18&gt;=182),"10."&amp;Eingabe!$D$18&amp;".182.0/24","")</f>
        <v/>
      </c>
      <c r="G2008" s="21" t="str">
        <f aca="false">IF(AND(Eingabe!$F$18&gt;0,Eingabe!$E$18&gt;=182),"10."&amp;Eingabe!$D$18&amp;".182.1","")</f>
        <v/>
      </c>
      <c r="H2008" s="21" t="str">
        <f aca="false">IF(AND(Eingabe!$F$18&gt;0,Eingabe!$E$18&gt;=182),"10."&amp;Eingabe!$D$18&amp;".182.10 – 10."&amp;Eingabe!$D$18&amp;".182.250","")</f>
        <v/>
      </c>
      <c r="I2008" s="21" t="str">
        <f aca="false">IF(AND(Eingabe!$F$18&gt;0,Eingabe!$E$18&gt;=182),Eingabe!$B$6&amp;"-"&amp;Eingabe!$C$18&amp;"-Pächter","")</f>
        <v/>
      </c>
      <c r="J2008" s="21" t="str">
        <f aca="false">IF(AND(Eingabe!$F$18&gt;0,Eingabe!$E$18&gt;=182),"PPSK: Passwort Parzelle 182","")</f>
        <v/>
      </c>
      <c r="K2008" s="21" t="str">
        <f aca="false">IF(AND(Eingabe!$F$18&gt;0,Eingabe!$E$18&gt;=182),"1. Gerät: 10."&amp;Eingabe!$D$18&amp;".182.10, 2. Gerät: .11","")</f>
        <v/>
      </c>
    </row>
    <row r="2009" customFormat="false" ht="15" hidden="false" customHeight="false" outlineLevel="0" collapsed="false">
      <c r="A2009" s="21" t="str">
        <f aca="false">IF(AND(Eingabe!$F$18&gt;0,Eingabe!$E$18&gt;=183),10,"")</f>
        <v/>
      </c>
      <c r="B2009" s="21" t="str">
        <f aca="false">IF(AND(Eingabe!$F$18&gt;0,Eingabe!$E$18&gt;=183),Eingabe!$B$18,"")</f>
        <v/>
      </c>
      <c r="C2009" s="21" t="str">
        <f aca="false">IF(AND(Eingabe!$F$18&gt;0,Eingabe!$E$18&gt;=183),Eingabe!$C$18&amp;"-Paz."&amp;TEXT(183,"000"),"")</f>
        <v/>
      </c>
      <c r="D2009" s="21" t="str">
        <f aca="false">IF(AND(Eingabe!$F$18&gt;0,Eingabe!$E$18&gt;=183),183,"")</f>
        <v/>
      </c>
      <c r="E2009" s="21" t="str">
        <f aca="false">IF(AND(Eingabe!$F$18&gt;0,Eingabe!$E$18&gt;=183),IF((Eingabe!$G$18+1)&lt;=9,1000+(Eingabe!$G$18+1)*100,3000)+83,"")</f>
        <v/>
      </c>
      <c r="F2009" s="21" t="str">
        <f aca="false">IF(AND(Eingabe!$F$18&gt;0,Eingabe!$E$18&gt;=183),"10."&amp;Eingabe!$D$18&amp;".183.0/24","")</f>
        <v/>
      </c>
      <c r="G2009" s="21" t="str">
        <f aca="false">IF(AND(Eingabe!$F$18&gt;0,Eingabe!$E$18&gt;=183),"10."&amp;Eingabe!$D$18&amp;".183.1","")</f>
        <v/>
      </c>
      <c r="H2009" s="21" t="str">
        <f aca="false">IF(AND(Eingabe!$F$18&gt;0,Eingabe!$E$18&gt;=183),"10."&amp;Eingabe!$D$18&amp;".183.10 – 10."&amp;Eingabe!$D$18&amp;".183.250","")</f>
        <v/>
      </c>
      <c r="I2009" s="21" t="str">
        <f aca="false">IF(AND(Eingabe!$F$18&gt;0,Eingabe!$E$18&gt;=183),Eingabe!$B$6&amp;"-"&amp;Eingabe!$C$18&amp;"-Pächter","")</f>
        <v/>
      </c>
      <c r="J2009" s="21" t="str">
        <f aca="false">IF(AND(Eingabe!$F$18&gt;0,Eingabe!$E$18&gt;=183),"PPSK: Passwort Parzelle 183","")</f>
        <v/>
      </c>
      <c r="K2009" s="21" t="str">
        <f aca="false">IF(AND(Eingabe!$F$18&gt;0,Eingabe!$E$18&gt;=183),"1. Gerät: 10."&amp;Eingabe!$D$18&amp;".183.10, 2. Gerät: .11","")</f>
        <v/>
      </c>
    </row>
    <row r="2010" customFormat="false" ht="15" hidden="false" customHeight="false" outlineLevel="0" collapsed="false">
      <c r="A2010" s="21" t="str">
        <f aca="false">IF(AND(Eingabe!$F$18&gt;0,Eingabe!$E$18&gt;=184),10,"")</f>
        <v/>
      </c>
      <c r="B2010" s="21" t="str">
        <f aca="false">IF(AND(Eingabe!$F$18&gt;0,Eingabe!$E$18&gt;=184),Eingabe!$B$18,"")</f>
        <v/>
      </c>
      <c r="C2010" s="21" t="str">
        <f aca="false">IF(AND(Eingabe!$F$18&gt;0,Eingabe!$E$18&gt;=184),Eingabe!$C$18&amp;"-Paz."&amp;TEXT(184,"000"),"")</f>
        <v/>
      </c>
      <c r="D2010" s="21" t="str">
        <f aca="false">IF(AND(Eingabe!$F$18&gt;0,Eingabe!$E$18&gt;=184),184,"")</f>
        <v/>
      </c>
      <c r="E2010" s="21" t="str">
        <f aca="false">IF(AND(Eingabe!$F$18&gt;0,Eingabe!$E$18&gt;=184),IF((Eingabe!$G$18+1)&lt;=9,1000+(Eingabe!$G$18+1)*100,3000)+84,"")</f>
        <v/>
      </c>
      <c r="F2010" s="21" t="str">
        <f aca="false">IF(AND(Eingabe!$F$18&gt;0,Eingabe!$E$18&gt;=184),"10."&amp;Eingabe!$D$18&amp;".184.0/24","")</f>
        <v/>
      </c>
      <c r="G2010" s="21" t="str">
        <f aca="false">IF(AND(Eingabe!$F$18&gt;0,Eingabe!$E$18&gt;=184),"10."&amp;Eingabe!$D$18&amp;".184.1","")</f>
        <v/>
      </c>
      <c r="H2010" s="21" t="str">
        <f aca="false">IF(AND(Eingabe!$F$18&gt;0,Eingabe!$E$18&gt;=184),"10."&amp;Eingabe!$D$18&amp;".184.10 – 10."&amp;Eingabe!$D$18&amp;".184.250","")</f>
        <v/>
      </c>
      <c r="I2010" s="21" t="str">
        <f aca="false">IF(AND(Eingabe!$F$18&gt;0,Eingabe!$E$18&gt;=184),Eingabe!$B$6&amp;"-"&amp;Eingabe!$C$18&amp;"-Pächter","")</f>
        <v/>
      </c>
      <c r="J2010" s="21" t="str">
        <f aca="false">IF(AND(Eingabe!$F$18&gt;0,Eingabe!$E$18&gt;=184),"PPSK: Passwort Parzelle 184","")</f>
        <v/>
      </c>
      <c r="K2010" s="21" t="str">
        <f aca="false">IF(AND(Eingabe!$F$18&gt;0,Eingabe!$E$18&gt;=184),"1. Gerät: 10."&amp;Eingabe!$D$18&amp;".184.10, 2. Gerät: .11","")</f>
        <v/>
      </c>
    </row>
    <row r="2011" customFormat="false" ht="15" hidden="false" customHeight="false" outlineLevel="0" collapsed="false">
      <c r="A2011" s="21" t="str">
        <f aca="false">IF(AND(Eingabe!$F$18&gt;0,Eingabe!$E$18&gt;=185),10,"")</f>
        <v/>
      </c>
      <c r="B2011" s="21" t="str">
        <f aca="false">IF(AND(Eingabe!$F$18&gt;0,Eingabe!$E$18&gt;=185),Eingabe!$B$18,"")</f>
        <v/>
      </c>
      <c r="C2011" s="21" t="str">
        <f aca="false">IF(AND(Eingabe!$F$18&gt;0,Eingabe!$E$18&gt;=185),Eingabe!$C$18&amp;"-Paz."&amp;TEXT(185,"000"),"")</f>
        <v/>
      </c>
      <c r="D2011" s="21" t="str">
        <f aca="false">IF(AND(Eingabe!$F$18&gt;0,Eingabe!$E$18&gt;=185),185,"")</f>
        <v/>
      </c>
      <c r="E2011" s="21" t="str">
        <f aca="false">IF(AND(Eingabe!$F$18&gt;0,Eingabe!$E$18&gt;=185),IF((Eingabe!$G$18+1)&lt;=9,1000+(Eingabe!$G$18+1)*100,3000)+85,"")</f>
        <v/>
      </c>
      <c r="F2011" s="21" t="str">
        <f aca="false">IF(AND(Eingabe!$F$18&gt;0,Eingabe!$E$18&gt;=185),"10."&amp;Eingabe!$D$18&amp;".185.0/24","")</f>
        <v/>
      </c>
      <c r="G2011" s="21" t="str">
        <f aca="false">IF(AND(Eingabe!$F$18&gt;0,Eingabe!$E$18&gt;=185),"10."&amp;Eingabe!$D$18&amp;".185.1","")</f>
        <v/>
      </c>
      <c r="H2011" s="21" t="str">
        <f aca="false">IF(AND(Eingabe!$F$18&gt;0,Eingabe!$E$18&gt;=185),"10."&amp;Eingabe!$D$18&amp;".185.10 – 10."&amp;Eingabe!$D$18&amp;".185.250","")</f>
        <v/>
      </c>
      <c r="I2011" s="21" t="str">
        <f aca="false">IF(AND(Eingabe!$F$18&gt;0,Eingabe!$E$18&gt;=185),Eingabe!$B$6&amp;"-"&amp;Eingabe!$C$18&amp;"-Pächter","")</f>
        <v/>
      </c>
      <c r="J2011" s="21" t="str">
        <f aca="false">IF(AND(Eingabe!$F$18&gt;0,Eingabe!$E$18&gt;=185),"PPSK: Passwort Parzelle 185","")</f>
        <v/>
      </c>
      <c r="K2011" s="21" t="str">
        <f aca="false">IF(AND(Eingabe!$F$18&gt;0,Eingabe!$E$18&gt;=185),"1. Gerät: 10."&amp;Eingabe!$D$18&amp;".185.10, 2. Gerät: .11","")</f>
        <v/>
      </c>
    </row>
    <row r="2012" customFormat="false" ht="15" hidden="false" customHeight="false" outlineLevel="0" collapsed="false">
      <c r="A2012" s="21" t="str">
        <f aca="false">IF(AND(Eingabe!$F$18&gt;0,Eingabe!$E$18&gt;=186),10,"")</f>
        <v/>
      </c>
      <c r="B2012" s="21" t="str">
        <f aca="false">IF(AND(Eingabe!$F$18&gt;0,Eingabe!$E$18&gt;=186),Eingabe!$B$18,"")</f>
        <v/>
      </c>
      <c r="C2012" s="21" t="str">
        <f aca="false">IF(AND(Eingabe!$F$18&gt;0,Eingabe!$E$18&gt;=186),Eingabe!$C$18&amp;"-Paz."&amp;TEXT(186,"000"),"")</f>
        <v/>
      </c>
      <c r="D2012" s="21" t="str">
        <f aca="false">IF(AND(Eingabe!$F$18&gt;0,Eingabe!$E$18&gt;=186),186,"")</f>
        <v/>
      </c>
      <c r="E2012" s="21" t="str">
        <f aca="false">IF(AND(Eingabe!$F$18&gt;0,Eingabe!$E$18&gt;=186),IF((Eingabe!$G$18+1)&lt;=9,1000+(Eingabe!$G$18+1)*100,3000)+86,"")</f>
        <v/>
      </c>
      <c r="F2012" s="21" t="str">
        <f aca="false">IF(AND(Eingabe!$F$18&gt;0,Eingabe!$E$18&gt;=186),"10."&amp;Eingabe!$D$18&amp;".186.0/24","")</f>
        <v/>
      </c>
      <c r="G2012" s="21" t="str">
        <f aca="false">IF(AND(Eingabe!$F$18&gt;0,Eingabe!$E$18&gt;=186),"10."&amp;Eingabe!$D$18&amp;".186.1","")</f>
        <v/>
      </c>
      <c r="H2012" s="21" t="str">
        <f aca="false">IF(AND(Eingabe!$F$18&gt;0,Eingabe!$E$18&gt;=186),"10."&amp;Eingabe!$D$18&amp;".186.10 – 10."&amp;Eingabe!$D$18&amp;".186.250","")</f>
        <v/>
      </c>
      <c r="I2012" s="21" t="str">
        <f aca="false">IF(AND(Eingabe!$F$18&gt;0,Eingabe!$E$18&gt;=186),Eingabe!$B$6&amp;"-"&amp;Eingabe!$C$18&amp;"-Pächter","")</f>
        <v/>
      </c>
      <c r="J2012" s="21" t="str">
        <f aca="false">IF(AND(Eingabe!$F$18&gt;0,Eingabe!$E$18&gt;=186),"PPSK: Passwort Parzelle 186","")</f>
        <v/>
      </c>
      <c r="K2012" s="21" t="str">
        <f aca="false">IF(AND(Eingabe!$F$18&gt;0,Eingabe!$E$18&gt;=186),"1. Gerät: 10."&amp;Eingabe!$D$18&amp;".186.10, 2. Gerät: .11","")</f>
        <v/>
      </c>
    </row>
    <row r="2013" customFormat="false" ht="15" hidden="false" customHeight="false" outlineLevel="0" collapsed="false">
      <c r="A2013" s="21" t="str">
        <f aca="false">IF(AND(Eingabe!$F$18&gt;0,Eingabe!$E$18&gt;=187),10,"")</f>
        <v/>
      </c>
      <c r="B2013" s="21" t="str">
        <f aca="false">IF(AND(Eingabe!$F$18&gt;0,Eingabe!$E$18&gt;=187),Eingabe!$B$18,"")</f>
        <v/>
      </c>
      <c r="C2013" s="21" t="str">
        <f aca="false">IF(AND(Eingabe!$F$18&gt;0,Eingabe!$E$18&gt;=187),Eingabe!$C$18&amp;"-Paz."&amp;TEXT(187,"000"),"")</f>
        <v/>
      </c>
      <c r="D2013" s="21" t="str">
        <f aca="false">IF(AND(Eingabe!$F$18&gt;0,Eingabe!$E$18&gt;=187),187,"")</f>
        <v/>
      </c>
      <c r="E2013" s="21" t="str">
        <f aca="false">IF(AND(Eingabe!$F$18&gt;0,Eingabe!$E$18&gt;=187),IF((Eingabe!$G$18+1)&lt;=9,1000+(Eingabe!$G$18+1)*100,3000)+87,"")</f>
        <v/>
      </c>
      <c r="F2013" s="21" t="str">
        <f aca="false">IF(AND(Eingabe!$F$18&gt;0,Eingabe!$E$18&gt;=187),"10."&amp;Eingabe!$D$18&amp;".187.0/24","")</f>
        <v/>
      </c>
      <c r="G2013" s="21" t="str">
        <f aca="false">IF(AND(Eingabe!$F$18&gt;0,Eingabe!$E$18&gt;=187),"10."&amp;Eingabe!$D$18&amp;".187.1","")</f>
        <v/>
      </c>
      <c r="H2013" s="21" t="str">
        <f aca="false">IF(AND(Eingabe!$F$18&gt;0,Eingabe!$E$18&gt;=187),"10."&amp;Eingabe!$D$18&amp;".187.10 – 10."&amp;Eingabe!$D$18&amp;".187.250","")</f>
        <v/>
      </c>
      <c r="I2013" s="21" t="str">
        <f aca="false">IF(AND(Eingabe!$F$18&gt;0,Eingabe!$E$18&gt;=187),Eingabe!$B$6&amp;"-"&amp;Eingabe!$C$18&amp;"-Pächter","")</f>
        <v/>
      </c>
      <c r="J2013" s="21" t="str">
        <f aca="false">IF(AND(Eingabe!$F$18&gt;0,Eingabe!$E$18&gt;=187),"PPSK: Passwort Parzelle 187","")</f>
        <v/>
      </c>
      <c r="K2013" s="21" t="str">
        <f aca="false">IF(AND(Eingabe!$F$18&gt;0,Eingabe!$E$18&gt;=187),"1. Gerät: 10."&amp;Eingabe!$D$18&amp;".187.10, 2. Gerät: .11","")</f>
        <v/>
      </c>
    </row>
    <row r="2014" customFormat="false" ht="15" hidden="false" customHeight="false" outlineLevel="0" collapsed="false">
      <c r="A2014" s="21" t="str">
        <f aca="false">IF(AND(Eingabe!$F$18&gt;0,Eingabe!$E$18&gt;=188),10,"")</f>
        <v/>
      </c>
      <c r="B2014" s="21" t="str">
        <f aca="false">IF(AND(Eingabe!$F$18&gt;0,Eingabe!$E$18&gt;=188),Eingabe!$B$18,"")</f>
        <v/>
      </c>
      <c r="C2014" s="21" t="str">
        <f aca="false">IF(AND(Eingabe!$F$18&gt;0,Eingabe!$E$18&gt;=188),Eingabe!$C$18&amp;"-Paz."&amp;TEXT(188,"000"),"")</f>
        <v/>
      </c>
      <c r="D2014" s="21" t="str">
        <f aca="false">IF(AND(Eingabe!$F$18&gt;0,Eingabe!$E$18&gt;=188),188,"")</f>
        <v/>
      </c>
      <c r="E2014" s="21" t="str">
        <f aca="false">IF(AND(Eingabe!$F$18&gt;0,Eingabe!$E$18&gt;=188),IF((Eingabe!$G$18+1)&lt;=9,1000+(Eingabe!$G$18+1)*100,3000)+88,"")</f>
        <v/>
      </c>
      <c r="F2014" s="21" t="str">
        <f aca="false">IF(AND(Eingabe!$F$18&gt;0,Eingabe!$E$18&gt;=188),"10."&amp;Eingabe!$D$18&amp;".188.0/24","")</f>
        <v/>
      </c>
      <c r="G2014" s="21" t="str">
        <f aca="false">IF(AND(Eingabe!$F$18&gt;0,Eingabe!$E$18&gt;=188),"10."&amp;Eingabe!$D$18&amp;".188.1","")</f>
        <v/>
      </c>
      <c r="H2014" s="21" t="str">
        <f aca="false">IF(AND(Eingabe!$F$18&gt;0,Eingabe!$E$18&gt;=188),"10."&amp;Eingabe!$D$18&amp;".188.10 – 10."&amp;Eingabe!$D$18&amp;".188.250","")</f>
        <v/>
      </c>
      <c r="I2014" s="21" t="str">
        <f aca="false">IF(AND(Eingabe!$F$18&gt;0,Eingabe!$E$18&gt;=188),Eingabe!$B$6&amp;"-"&amp;Eingabe!$C$18&amp;"-Pächter","")</f>
        <v/>
      </c>
      <c r="J2014" s="21" t="str">
        <f aca="false">IF(AND(Eingabe!$F$18&gt;0,Eingabe!$E$18&gt;=188),"PPSK: Passwort Parzelle 188","")</f>
        <v/>
      </c>
      <c r="K2014" s="21" t="str">
        <f aca="false">IF(AND(Eingabe!$F$18&gt;0,Eingabe!$E$18&gt;=188),"1. Gerät: 10."&amp;Eingabe!$D$18&amp;".188.10, 2. Gerät: .11","")</f>
        <v/>
      </c>
    </row>
    <row r="2015" customFormat="false" ht="15" hidden="false" customHeight="false" outlineLevel="0" collapsed="false">
      <c r="A2015" s="21" t="str">
        <f aca="false">IF(AND(Eingabe!$F$18&gt;0,Eingabe!$E$18&gt;=189),10,"")</f>
        <v/>
      </c>
      <c r="B2015" s="21" t="str">
        <f aca="false">IF(AND(Eingabe!$F$18&gt;0,Eingabe!$E$18&gt;=189),Eingabe!$B$18,"")</f>
        <v/>
      </c>
      <c r="C2015" s="21" t="str">
        <f aca="false">IF(AND(Eingabe!$F$18&gt;0,Eingabe!$E$18&gt;=189),Eingabe!$C$18&amp;"-Paz."&amp;TEXT(189,"000"),"")</f>
        <v/>
      </c>
      <c r="D2015" s="21" t="str">
        <f aca="false">IF(AND(Eingabe!$F$18&gt;0,Eingabe!$E$18&gt;=189),189,"")</f>
        <v/>
      </c>
      <c r="E2015" s="21" t="str">
        <f aca="false">IF(AND(Eingabe!$F$18&gt;0,Eingabe!$E$18&gt;=189),IF((Eingabe!$G$18+1)&lt;=9,1000+(Eingabe!$G$18+1)*100,3000)+89,"")</f>
        <v/>
      </c>
      <c r="F2015" s="21" t="str">
        <f aca="false">IF(AND(Eingabe!$F$18&gt;0,Eingabe!$E$18&gt;=189),"10."&amp;Eingabe!$D$18&amp;".189.0/24","")</f>
        <v/>
      </c>
      <c r="G2015" s="21" t="str">
        <f aca="false">IF(AND(Eingabe!$F$18&gt;0,Eingabe!$E$18&gt;=189),"10."&amp;Eingabe!$D$18&amp;".189.1","")</f>
        <v/>
      </c>
      <c r="H2015" s="21" t="str">
        <f aca="false">IF(AND(Eingabe!$F$18&gt;0,Eingabe!$E$18&gt;=189),"10."&amp;Eingabe!$D$18&amp;".189.10 – 10."&amp;Eingabe!$D$18&amp;".189.250","")</f>
        <v/>
      </c>
      <c r="I2015" s="21" t="str">
        <f aca="false">IF(AND(Eingabe!$F$18&gt;0,Eingabe!$E$18&gt;=189),Eingabe!$B$6&amp;"-"&amp;Eingabe!$C$18&amp;"-Pächter","")</f>
        <v/>
      </c>
      <c r="J2015" s="21" t="str">
        <f aca="false">IF(AND(Eingabe!$F$18&gt;0,Eingabe!$E$18&gt;=189),"PPSK: Passwort Parzelle 189","")</f>
        <v/>
      </c>
      <c r="K2015" s="21" t="str">
        <f aca="false">IF(AND(Eingabe!$F$18&gt;0,Eingabe!$E$18&gt;=189),"1. Gerät: 10."&amp;Eingabe!$D$18&amp;".189.10, 2. Gerät: .11","")</f>
        <v/>
      </c>
    </row>
    <row r="2016" customFormat="false" ht="15" hidden="false" customHeight="false" outlineLevel="0" collapsed="false">
      <c r="A2016" s="21" t="str">
        <f aca="false">IF(AND(Eingabe!$F$18&gt;0,Eingabe!$E$18&gt;=190),10,"")</f>
        <v/>
      </c>
      <c r="B2016" s="21" t="str">
        <f aca="false">IF(AND(Eingabe!$F$18&gt;0,Eingabe!$E$18&gt;=190),Eingabe!$B$18,"")</f>
        <v/>
      </c>
      <c r="C2016" s="21" t="str">
        <f aca="false">IF(AND(Eingabe!$F$18&gt;0,Eingabe!$E$18&gt;=190),Eingabe!$C$18&amp;"-Paz."&amp;TEXT(190,"000"),"")</f>
        <v/>
      </c>
      <c r="D2016" s="21" t="str">
        <f aca="false">IF(AND(Eingabe!$F$18&gt;0,Eingabe!$E$18&gt;=190),190,"")</f>
        <v/>
      </c>
      <c r="E2016" s="21" t="str">
        <f aca="false">IF(AND(Eingabe!$F$18&gt;0,Eingabe!$E$18&gt;=190),IF((Eingabe!$G$18+1)&lt;=9,1000+(Eingabe!$G$18+1)*100,3000)+90,"")</f>
        <v/>
      </c>
      <c r="F2016" s="21" t="str">
        <f aca="false">IF(AND(Eingabe!$F$18&gt;0,Eingabe!$E$18&gt;=190),"10."&amp;Eingabe!$D$18&amp;".190.0/24","")</f>
        <v/>
      </c>
      <c r="G2016" s="21" t="str">
        <f aca="false">IF(AND(Eingabe!$F$18&gt;0,Eingabe!$E$18&gt;=190),"10."&amp;Eingabe!$D$18&amp;".190.1","")</f>
        <v/>
      </c>
      <c r="H2016" s="21" t="str">
        <f aca="false">IF(AND(Eingabe!$F$18&gt;0,Eingabe!$E$18&gt;=190),"10."&amp;Eingabe!$D$18&amp;".190.10 – 10."&amp;Eingabe!$D$18&amp;".190.250","")</f>
        <v/>
      </c>
      <c r="I2016" s="21" t="str">
        <f aca="false">IF(AND(Eingabe!$F$18&gt;0,Eingabe!$E$18&gt;=190),Eingabe!$B$6&amp;"-"&amp;Eingabe!$C$18&amp;"-Pächter","")</f>
        <v/>
      </c>
      <c r="J2016" s="21" t="str">
        <f aca="false">IF(AND(Eingabe!$F$18&gt;0,Eingabe!$E$18&gt;=190),"PPSK: Passwort Parzelle 190","")</f>
        <v/>
      </c>
      <c r="K2016" s="21" t="str">
        <f aca="false">IF(AND(Eingabe!$F$18&gt;0,Eingabe!$E$18&gt;=190),"1. Gerät: 10."&amp;Eingabe!$D$18&amp;".190.10, 2. Gerät: .11","")</f>
        <v/>
      </c>
    </row>
    <row r="2017" customFormat="false" ht="15" hidden="false" customHeight="false" outlineLevel="0" collapsed="false">
      <c r="A2017" s="21" t="str">
        <f aca="false">IF(AND(Eingabe!$F$18&gt;0,Eingabe!$E$18&gt;=191),10,"")</f>
        <v/>
      </c>
      <c r="B2017" s="21" t="str">
        <f aca="false">IF(AND(Eingabe!$F$18&gt;0,Eingabe!$E$18&gt;=191),Eingabe!$B$18,"")</f>
        <v/>
      </c>
      <c r="C2017" s="21" t="str">
        <f aca="false">IF(AND(Eingabe!$F$18&gt;0,Eingabe!$E$18&gt;=191),Eingabe!$C$18&amp;"-Paz."&amp;TEXT(191,"000"),"")</f>
        <v/>
      </c>
      <c r="D2017" s="21" t="str">
        <f aca="false">IF(AND(Eingabe!$F$18&gt;0,Eingabe!$E$18&gt;=191),191,"")</f>
        <v/>
      </c>
      <c r="E2017" s="21" t="str">
        <f aca="false">IF(AND(Eingabe!$F$18&gt;0,Eingabe!$E$18&gt;=191),IF((Eingabe!$G$18+1)&lt;=9,1000+(Eingabe!$G$18+1)*100,3000)+91,"")</f>
        <v/>
      </c>
      <c r="F2017" s="21" t="str">
        <f aca="false">IF(AND(Eingabe!$F$18&gt;0,Eingabe!$E$18&gt;=191),"10."&amp;Eingabe!$D$18&amp;".191.0/24","")</f>
        <v/>
      </c>
      <c r="G2017" s="21" t="str">
        <f aca="false">IF(AND(Eingabe!$F$18&gt;0,Eingabe!$E$18&gt;=191),"10."&amp;Eingabe!$D$18&amp;".191.1","")</f>
        <v/>
      </c>
      <c r="H2017" s="21" t="str">
        <f aca="false">IF(AND(Eingabe!$F$18&gt;0,Eingabe!$E$18&gt;=191),"10."&amp;Eingabe!$D$18&amp;".191.10 – 10."&amp;Eingabe!$D$18&amp;".191.250","")</f>
        <v/>
      </c>
      <c r="I2017" s="21" t="str">
        <f aca="false">IF(AND(Eingabe!$F$18&gt;0,Eingabe!$E$18&gt;=191),Eingabe!$B$6&amp;"-"&amp;Eingabe!$C$18&amp;"-Pächter","")</f>
        <v/>
      </c>
      <c r="J2017" s="21" t="str">
        <f aca="false">IF(AND(Eingabe!$F$18&gt;0,Eingabe!$E$18&gt;=191),"PPSK: Passwort Parzelle 191","")</f>
        <v/>
      </c>
      <c r="K2017" s="21" t="str">
        <f aca="false">IF(AND(Eingabe!$F$18&gt;0,Eingabe!$E$18&gt;=191),"1. Gerät: 10."&amp;Eingabe!$D$18&amp;".191.10, 2. Gerät: .11","")</f>
        <v/>
      </c>
    </row>
    <row r="2018" customFormat="false" ht="15" hidden="false" customHeight="false" outlineLevel="0" collapsed="false">
      <c r="A2018" s="21" t="str">
        <f aca="false">IF(AND(Eingabe!$F$18&gt;0,Eingabe!$E$18&gt;=192),10,"")</f>
        <v/>
      </c>
      <c r="B2018" s="21" t="str">
        <f aca="false">IF(AND(Eingabe!$F$18&gt;0,Eingabe!$E$18&gt;=192),Eingabe!$B$18,"")</f>
        <v/>
      </c>
      <c r="C2018" s="21" t="str">
        <f aca="false">IF(AND(Eingabe!$F$18&gt;0,Eingabe!$E$18&gt;=192),Eingabe!$C$18&amp;"-Paz."&amp;TEXT(192,"000"),"")</f>
        <v/>
      </c>
      <c r="D2018" s="21" t="str">
        <f aca="false">IF(AND(Eingabe!$F$18&gt;0,Eingabe!$E$18&gt;=192),192,"")</f>
        <v/>
      </c>
      <c r="E2018" s="21" t="str">
        <f aca="false">IF(AND(Eingabe!$F$18&gt;0,Eingabe!$E$18&gt;=192),IF((Eingabe!$G$18+1)&lt;=9,1000+(Eingabe!$G$18+1)*100,3000)+92,"")</f>
        <v/>
      </c>
      <c r="F2018" s="21" t="str">
        <f aca="false">IF(AND(Eingabe!$F$18&gt;0,Eingabe!$E$18&gt;=192),"10."&amp;Eingabe!$D$18&amp;".192.0/24","")</f>
        <v/>
      </c>
      <c r="G2018" s="21" t="str">
        <f aca="false">IF(AND(Eingabe!$F$18&gt;0,Eingabe!$E$18&gt;=192),"10."&amp;Eingabe!$D$18&amp;".192.1","")</f>
        <v/>
      </c>
      <c r="H2018" s="21" t="str">
        <f aca="false">IF(AND(Eingabe!$F$18&gt;0,Eingabe!$E$18&gt;=192),"10."&amp;Eingabe!$D$18&amp;".192.10 – 10."&amp;Eingabe!$D$18&amp;".192.250","")</f>
        <v/>
      </c>
      <c r="I2018" s="21" t="str">
        <f aca="false">IF(AND(Eingabe!$F$18&gt;0,Eingabe!$E$18&gt;=192),Eingabe!$B$6&amp;"-"&amp;Eingabe!$C$18&amp;"-Pächter","")</f>
        <v/>
      </c>
      <c r="J2018" s="21" t="str">
        <f aca="false">IF(AND(Eingabe!$F$18&gt;0,Eingabe!$E$18&gt;=192),"PPSK: Passwort Parzelle 192","")</f>
        <v/>
      </c>
      <c r="K2018" s="21" t="str">
        <f aca="false">IF(AND(Eingabe!$F$18&gt;0,Eingabe!$E$18&gt;=192),"1. Gerät: 10."&amp;Eingabe!$D$18&amp;".192.10, 2. Gerät: .11","")</f>
        <v/>
      </c>
    </row>
    <row r="2019" customFormat="false" ht="15" hidden="false" customHeight="false" outlineLevel="0" collapsed="false">
      <c r="A2019" s="21" t="str">
        <f aca="false">IF(AND(Eingabe!$F$18&gt;0,Eingabe!$E$18&gt;=193),10,"")</f>
        <v/>
      </c>
      <c r="B2019" s="21" t="str">
        <f aca="false">IF(AND(Eingabe!$F$18&gt;0,Eingabe!$E$18&gt;=193),Eingabe!$B$18,"")</f>
        <v/>
      </c>
      <c r="C2019" s="21" t="str">
        <f aca="false">IF(AND(Eingabe!$F$18&gt;0,Eingabe!$E$18&gt;=193),Eingabe!$C$18&amp;"-Paz."&amp;TEXT(193,"000"),"")</f>
        <v/>
      </c>
      <c r="D2019" s="21" t="str">
        <f aca="false">IF(AND(Eingabe!$F$18&gt;0,Eingabe!$E$18&gt;=193),193,"")</f>
        <v/>
      </c>
      <c r="E2019" s="21" t="str">
        <f aca="false">IF(AND(Eingabe!$F$18&gt;0,Eingabe!$E$18&gt;=193),IF((Eingabe!$G$18+1)&lt;=9,1000+(Eingabe!$G$18+1)*100,3000)+93,"")</f>
        <v/>
      </c>
      <c r="F2019" s="21" t="str">
        <f aca="false">IF(AND(Eingabe!$F$18&gt;0,Eingabe!$E$18&gt;=193),"10."&amp;Eingabe!$D$18&amp;".193.0/24","")</f>
        <v/>
      </c>
      <c r="G2019" s="21" t="str">
        <f aca="false">IF(AND(Eingabe!$F$18&gt;0,Eingabe!$E$18&gt;=193),"10."&amp;Eingabe!$D$18&amp;".193.1","")</f>
        <v/>
      </c>
      <c r="H2019" s="21" t="str">
        <f aca="false">IF(AND(Eingabe!$F$18&gt;0,Eingabe!$E$18&gt;=193),"10."&amp;Eingabe!$D$18&amp;".193.10 – 10."&amp;Eingabe!$D$18&amp;".193.250","")</f>
        <v/>
      </c>
      <c r="I2019" s="21" t="str">
        <f aca="false">IF(AND(Eingabe!$F$18&gt;0,Eingabe!$E$18&gt;=193),Eingabe!$B$6&amp;"-"&amp;Eingabe!$C$18&amp;"-Pächter","")</f>
        <v/>
      </c>
      <c r="J2019" s="21" t="str">
        <f aca="false">IF(AND(Eingabe!$F$18&gt;0,Eingabe!$E$18&gt;=193),"PPSK: Passwort Parzelle 193","")</f>
        <v/>
      </c>
      <c r="K2019" s="21" t="str">
        <f aca="false">IF(AND(Eingabe!$F$18&gt;0,Eingabe!$E$18&gt;=193),"1. Gerät: 10."&amp;Eingabe!$D$18&amp;".193.10, 2. Gerät: .11","")</f>
        <v/>
      </c>
    </row>
    <row r="2020" customFormat="false" ht="15" hidden="false" customHeight="false" outlineLevel="0" collapsed="false">
      <c r="A2020" s="21" t="str">
        <f aca="false">IF(AND(Eingabe!$F$18&gt;0,Eingabe!$E$18&gt;=194),10,"")</f>
        <v/>
      </c>
      <c r="B2020" s="21" t="str">
        <f aca="false">IF(AND(Eingabe!$F$18&gt;0,Eingabe!$E$18&gt;=194),Eingabe!$B$18,"")</f>
        <v/>
      </c>
      <c r="C2020" s="21" t="str">
        <f aca="false">IF(AND(Eingabe!$F$18&gt;0,Eingabe!$E$18&gt;=194),Eingabe!$C$18&amp;"-Paz."&amp;TEXT(194,"000"),"")</f>
        <v/>
      </c>
      <c r="D2020" s="21" t="str">
        <f aca="false">IF(AND(Eingabe!$F$18&gt;0,Eingabe!$E$18&gt;=194),194,"")</f>
        <v/>
      </c>
      <c r="E2020" s="21" t="str">
        <f aca="false">IF(AND(Eingabe!$F$18&gt;0,Eingabe!$E$18&gt;=194),IF((Eingabe!$G$18+1)&lt;=9,1000+(Eingabe!$G$18+1)*100,3000)+94,"")</f>
        <v/>
      </c>
      <c r="F2020" s="21" t="str">
        <f aca="false">IF(AND(Eingabe!$F$18&gt;0,Eingabe!$E$18&gt;=194),"10."&amp;Eingabe!$D$18&amp;".194.0/24","")</f>
        <v/>
      </c>
      <c r="G2020" s="21" t="str">
        <f aca="false">IF(AND(Eingabe!$F$18&gt;0,Eingabe!$E$18&gt;=194),"10."&amp;Eingabe!$D$18&amp;".194.1","")</f>
        <v/>
      </c>
      <c r="H2020" s="21" t="str">
        <f aca="false">IF(AND(Eingabe!$F$18&gt;0,Eingabe!$E$18&gt;=194),"10."&amp;Eingabe!$D$18&amp;".194.10 – 10."&amp;Eingabe!$D$18&amp;".194.250","")</f>
        <v/>
      </c>
      <c r="I2020" s="21" t="str">
        <f aca="false">IF(AND(Eingabe!$F$18&gt;0,Eingabe!$E$18&gt;=194),Eingabe!$B$6&amp;"-"&amp;Eingabe!$C$18&amp;"-Pächter","")</f>
        <v/>
      </c>
      <c r="J2020" s="21" t="str">
        <f aca="false">IF(AND(Eingabe!$F$18&gt;0,Eingabe!$E$18&gt;=194),"PPSK: Passwort Parzelle 194","")</f>
        <v/>
      </c>
      <c r="K2020" s="21" t="str">
        <f aca="false">IF(AND(Eingabe!$F$18&gt;0,Eingabe!$E$18&gt;=194),"1. Gerät: 10."&amp;Eingabe!$D$18&amp;".194.10, 2. Gerät: .11","")</f>
        <v/>
      </c>
    </row>
    <row r="2021" customFormat="false" ht="15" hidden="false" customHeight="false" outlineLevel="0" collapsed="false">
      <c r="A2021" s="21" t="str">
        <f aca="false">IF(AND(Eingabe!$F$18&gt;0,Eingabe!$E$18&gt;=195),10,"")</f>
        <v/>
      </c>
      <c r="B2021" s="21" t="str">
        <f aca="false">IF(AND(Eingabe!$F$18&gt;0,Eingabe!$E$18&gt;=195),Eingabe!$B$18,"")</f>
        <v/>
      </c>
      <c r="C2021" s="21" t="str">
        <f aca="false">IF(AND(Eingabe!$F$18&gt;0,Eingabe!$E$18&gt;=195),Eingabe!$C$18&amp;"-Paz."&amp;TEXT(195,"000"),"")</f>
        <v/>
      </c>
      <c r="D2021" s="21" t="str">
        <f aca="false">IF(AND(Eingabe!$F$18&gt;0,Eingabe!$E$18&gt;=195),195,"")</f>
        <v/>
      </c>
      <c r="E2021" s="21" t="str">
        <f aca="false">IF(AND(Eingabe!$F$18&gt;0,Eingabe!$E$18&gt;=195),IF((Eingabe!$G$18+1)&lt;=9,1000+(Eingabe!$G$18+1)*100,3000)+95,"")</f>
        <v/>
      </c>
      <c r="F2021" s="21" t="str">
        <f aca="false">IF(AND(Eingabe!$F$18&gt;0,Eingabe!$E$18&gt;=195),"10."&amp;Eingabe!$D$18&amp;".195.0/24","")</f>
        <v/>
      </c>
      <c r="G2021" s="21" t="str">
        <f aca="false">IF(AND(Eingabe!$F$18&gt;0,Eingabe!$E$18&gt;=195),"10."&amp;Eingabe!$D$18&amp;".195.1","")</f>
        <v/>
      </c>
      <c r="H2021" s="21" t="str">
        <f aca="false">IF(AND(Eingabe!$F$18&gt;0,Eingabe!$E$18&gt;=195),"10."&amp;Eingabe!$D$18&amp;".195.10 – 10."&amp;Eingabe!$D$18&amp;".195.250","")</f>
        <v/>
      </c>
      <c r="I2021" s="21" t="str">
        <f aca="false">IF(AND(Eingabe!$F$18&gt;0,Eingabe!$E$18&gt;=195),Eingabe!$B$6&amp;"-"&amp;Eingabe!$C$18&amp;"-Pächter","")</f>
        <v/>
      </c>
      <c r="J2021" s="21" t="str">
        <f aca="false">IF(AND(Eingabe!$F$18&gt;0,Eingabe!$E$18&gt;=195),"PPSK: Passwort Parzelle 195","")</f>
        <v/>
      </c>
      <c r="K2021" s="21" t="str">
        <f aca="false">IF(AND(Eingabe!$F$18&gt;0,Eingabe!$E$18&gt;=195),"1. Gerät: 10."&amp;Eingabe!$D$18&amp;".195.10, 2. Gerät: .11","")</f>
        <v/>
      </c>
    </row>
    <row r="2022" customFormat="false" ht="15" hidden="false" customHeight="false" outlineLevel="0" collapsed="false">
      <c r="A2022" s="21" t="str">
        <f aca="false">IF(AND(Eingabe!$F$18&gt;0,Eingabe!$E$18&gt;=196),10,"")</f>
        <v/>
      </c>
      <c r="B2022" s="21" t="str">
        <f aca="false">IF(AND(Eingabe!$F$18&gt;0,Eingabe!$E$18&gt;=196),Eingabe!$B$18,"")</f>
        <v/>
      </c>
      <c r="C2022" s="21" t="str">
        <f aca="false">IF(AND(Eingabe!$F$18&gt;0,Eingabe!$E$18&gt;=196),Eingabe!$C$18&amp;"-Paz."&amp;TEXT(196,"000"),"")</f>
        <v/>
      </c>
      <c r="D2022" s="21" t="str">
        <f aca="false">IF(AND(Eingabe!$F$18&gt;0,Eingabe!$E$18&gt;=196),196,"")</f>
        <v/>
      </c>
      <c r="E2022" s="21" t="str">
        <f aca="false">IF(AND(Eingabe!$F$18&gt;0,Eingabe!$E$18&gt;=196),IF((Eingabe!$G$18+1)&lt;=9,1000+(Eingabe!$G$18+1)*100,3000)+96,"")</f>
        <v/>
      </c>
      <c r="F2022" s="21" t="str">
        <f aca="false">IF(AND(Eingabe!$F$18&gt;0,Eingabe!$E$18&gt;=196),"10."&amp;Eingabe!$D$18&amp;".196.0/24","")</f>
        <v/>
      </c>
      <c r="G2022" s="21" t="str">
        <f aca="false">IF(AND(Eingabe!$F$18&gt;0,Eingabe!$E$18&gt;=196),"10."&amp;Eingabe!$D$18&amp;".196.1","")</f>
        <v/>
      </c>
      <c r="H2022" s="21" t="str">
        <f aca="false">IF(AND(Eingabe!$F$18&gt;0,Eingabe!$E$18&gt;=196),"10."&amp;Eingabe!$D$18&amp;".196.10 – 10."&amp;Eingabe!$D$18&amp;".196.250","")</f>
        <v/>
      </c>
      <c r="I2022" s="21" t="str">
        <f aca="false">IF(AND(Eingabe!$F$18&gt;0,Eingabe!$E$18&gt;=196),Eingabe!$B$6&amp;"-"&amp;Eingabe!$C$18&amp;"-Pächter","")</f>
        <v/>
      </c>
      <c r="J2022" s="21" t="str">
        <f aca="false">IF(AND(Eingabe!$F$18&gt;0,Eingabe!$E$18&gt;=196),"PPSK: Passwort Parzelle 196","")</f>
        <v/>
      </c>
      <c r="K2022" s="21" t="str">
        <f aca="false">IF(AND(Eingabe!$F$18&gt;0,Eingabe!$E$18&gt;=196),"1. Gerät: 10."&amp;Eingabe!$D$18&amp;".196.10, 2. Gerät: .11","")</f>
        <v/>
      </c>
    </row>
    <row r="2023" customFormat="false" ht="15" hidden="false" customHeight="false" outlineLevel="0" collapsed="false">
      <c r="A2023" s="21" t="str">
        <f aca="false">IF(AND(Eingabe!$F$18&gt;0,Eingabe!$E$18&gt;=197),10,"")</f>
        <v/>
      </c>
      <c r="B2023" s="21" t="str">
        <f aca="false">IF(AND(Eingabe!$F$18&gt;0,Eingabe!$E$18&gt;=197),Eingabe!$B$18,"")</f>
        <v/>
      </c>
      <c r="C2023" s="21" t="str">
        <f aca="false">IF(AND(Eingabe!$F$18&gt;0,Eingabe!$E$18&gt;=197),Eingabe!$C$18&amp;"-Paz."&amp;TEXT(197,"000"),"")</f>
        <v/>
      </c>
      <c r="D2023" s="21" t="str">
        <f aca="false">IF(AND(Eingabe!$F$18&gt;0,Eingabe!$E$18&gt;=197),197,"")</f>
        <v/>
      </c>
      <c r="E2023" s="21" t="str">
        <f aca="false">IF(AND(Eingabe!$F$18&gt;0,Eingabe!$E$18&gt;=197),IF((Eingabe!$G$18+1)&lt;=9,1000+(Eingabe!$G$18+1)*100,3000)+97,"")</f>
        <v/>
      </c>
      <c r="F2023" s="21" t="str">
        <f aca="false">IF(AND(Eingabe!$F$18&gt;0,Eingabe!$E$18&gt;=197),"10."&amp;Eingabe!$D$18&amp;".197.0/24","")</f>
        <v/>
      </c>
      <c r="G2023" s="21" t="str">
        <f aca="false">IF(AND(Eingabe!$F$18&gt;0,Eingabe!$E$18&gt;=197),"10."&amp;Eingabe!$D$18&amp;".197.1","")</f>
        <v/>
      </c>
      <c r="H2023" s="21" t="str">
        <f aca="false">IF(AND(Eingabe!$F$18&gt;0,Eingabe!$E$18&gt;=197),"10."&amp;Eingabe!$D$18&amp;".197.10 – 10."&amp;Eingabe!$D$18&amp;".197.250","")</f>
        <v/>
      </c>
      <c r="I2023" s="21" t="str">
        <f aca="false">IF(AND(Eingabe!$F$18&gt;0,Eingabe!$E$18&gt;=197),Eingabe!$B$6&amp;"-"&amp;Eingabe!$C$18&amp;"-Pächter","")</f>
        <v/>
      </c>
      <c r="J2023" s="21" t="str">
        <f aca="false">IF(AND(Eingabe!$F$18&gt;0,Eingabe!$E$18&gt;=197),"PPSK: Passwort Parzelle 197","")</f>
        <v/>
      </c>
      <c r="K2023" s="21" t="str">
        <f aca="false">IF(AND(Eingabe!$F$18&gt;0,Eingabe!$E$18&gt;=197),"1. Gerät: 10."&amp;Eingabe!$D$18&amp;".197.10, 2. Gerät: .11","")</f>
        <v/>
      </c>
    </row>
    <row r="2024" customFormat="false" ht="15" hidden="false" customHeight="false" outlineLevel="0" collapsed="false">
      <c r="A2024" s="21" t="str">
        <f aca="false">IF(AND(Eingabe!$F$18&gt;0,Eingabe!$E$18&gt;=198),10,"")</f>
        <v/>
      </c>
      <c r="B2024" s="21" t="str">
        <f aca="false">IF(AND(Eingabe!$F$18&gt;0,Eingabe!$E$18&gt;=198),Eingabe!$B$18,"")</f>
        <v/>
      </c>
      <c r="C2024" s="21" t="str">
        <f aca="false">IF(AND(Eingabe!$F$18&gt;0,Eingabe!$E$18&gt;=198),Eingabe!$C$18&amp;"-Paz."&amp;TEXT(198,"000"),"")</f>
        <v/>
      </c>
      <c r="D2024" s="21" t="str">
        <f aca="false">IF(AND(Eingabe!$F$18&gt;0,Eingabe!$E$18&gt;=198),198,"")</f>
        <v/>
      </c>
      <c r="E2024" s="21" t="str">
        <f aca="false">IF(AND(Eingabe!$F$18&gt;0,Eingabe!$E$18&gt;=198),IF((Eingabe!$G$18+1)&lt;=9,1000+(Eingabe!$G$18+1)*100,3000)+98,"")</f>
        <v/>
      </c>
      <c r="F2024" s="21" t="str">
        <f aca="false">IF(AND(Eingabe!$F$18&gt;0,Eingabe!$E$18&gt;=198),"10."&amp;Eingabe!$D$18&amp;".198.0/24","")</f>
        <v/>
      </c>
      <c r="G2024" s="21" t="str">
        <f aca="false">IF(AND(Eingabe!$F$18&gt;0,Eingabe!$E$18&gt;=198),"10."&amp;Eingabe!$D$18&amp;".198.1","")</f>
        <v/>
      </c>
      <c r="H2024" s="21" t="str">
        <f aca="false">IF(AND(Eingabe!$F$18&gt;0,Eingabe!$E$18&gt;=198),"10."&amp;Eingabe!$D$18&amp;".198.10 – 10."&amp;Eingabe!$D$18&amp;".198.250","")</f>
        <v/>
      </c>
      <c r="I2024" s="21" t="str">
        <f aca="false">IF(AND(Eingabe!$F$18&gt;0,Eingabe!$E$18&gt;=198),Eingabe!$B$6&amp;"-"&amp;Eingabe!$C$18&amp;"-Pächter","")</f>
        <v/>
      </c>
      <c r="J2024" s="21" t="str">
        <f aca="false">IF(AND(Eingabe!$F$18&gt;0,Eingabe!$E$18&gt;=198),"PPSK: Passwort Parzelle 198","")</f>
        <v/>
      </c>
      <c r="K2024" s="21" t="str">
        <f aca="false">IF(AND(Eingabe!$F$18&gt;0,Eingabe!$E$18&gt;=198),"1. Gerät: 10."&amp;Eingabe!$D$18&amp;".198.10, 2. Gerät: .11","")</f>
        <v/>
      </c>
    </row>
    <row r="2025" customFormat="false" ht="15" hidden="false" customHeight="false" outlineLevel="0" collapsed="false">
      <c r="A2025" s="21" t="str">
        <f aca="false">IF(AND(Eingabe!$F$18&gt;0,Eingabe!$E$18&gt;=199),10,"")</f>
        <v/>
      </c>
      <c r="B2025" s="21" t="str">
        <f aca="false">IF(AND(Eingabe!$F$18&gt;0,Eingabe!$E$18&gt;=199),Eingabe!$B$18,"")</f>
        <v/>
      </c>
      <c r="C2025" s="21" t="str">
        <f aca="false">IF(AND(Eingabe!$F$18&gt;0,Eingabe!$E$18&gt;=199),Eingabe!$C$18&amp;"-Paz."&amp;TEXT(199,"000"),"")</f>
        <v/>
      </c>
      <c r="D2025" s="21" t="str">
        <f aca="false">IF(AND(Eingabe!$F$18&gt;0,Eingabe!$E$18&gt;=199),199,"")</f>
        <v/>
      </c>
      <c r="E2025" s="21" t="str">
        <f aca="false">IF(AND(Eingabe!$F$18&gt;0,Eingabe!$E$18&gt;=199),IF((Eingabe!$G$18+1)&lt;=9,1000+(Eingabe!$G$18+1)*100,3000)+99,"")</f>
        <v/>
      </c>
      <c r="F2025" s="21" t="str">
        <f aca="false">IF(AND(Eingabe!$F$18&gt;0,Eingabe!$E$18&gt;=199),"10."&amp;Eingabe!$D$18&amp;".199.0/24","")</f>
        <v/>
      </c>
      <c r="G2025" s="21" t="str">
        <f aca="false">IF(AND(Eingabe!$F$18&gt;0,Eingabe!$E$18&gt;=199),"10."&amp;Eingabe!$D$18&amp;".199.1","")</f>
        <v/>
      </c>
      <c r="H2025" s="21" t="str">
        <f aca="false">IF(AND(Eingabe!$F$18&gt;0,Eingabe!$E$18&gt;=199),"10."&amp;Eingabe!$D$18&amp;".199.10 – 10."&amp;Eingabe!$D$18&amp;".199.250","")</f>
        <v/>
      </c>
      <c r="I2025" s="21" t="str">
        <f aca="false">IF(AND(Eingabe!$F$18&gt;0,Eingabe!$E$18&gt;=199),Eingabe!$B$6&amp;"-"&amp;Eingabe!$C$18&amp;"-Pächter","")</f>
        <v/>
      </c>
      <c r="J2025" s="21" t="str">
        <f aca="false">IF(AND(Eingabe!$F$18&gt;0,Eingabe!$E$18&gt;=199),"PPSK: Passwort Parzelle 199","")</f>
        <v/>
      </c>
      <c r="K2025" s="21" t="str">
        <f aca="false">IF(AND(Eingabe!$F$18&gt;0,Eingabe!$E$18&gt;=199),"1. Gerät: 10."&amp;Eingabe!$D$18&amp;".199.10, 2. Gerät: .11","")</f>
        <v/>
      </c>
    </row>
  </sheetData>
  <autoFilter ref="A4:K20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52"/>
  </cols>
  <sheetData>
    <row r="1" customFormat="false" ht="16.15" hidden="false" customHeight="false" outlineLevel="0" collapsed="false">
      <c r="A1" s="18" t="s">
        <v>71</v>
      </c>
    </row>
    <row r="3" customFormat="false" ht="15" hidden="false" customHeight="false" outlineLevel="0" collapsed="false">
      <c r="A3" s="15" t="s">
        <v>72</v>
      </c>
      <c r="B3" s="15" t="s">
        <v>73</v>
      </c>
      <c r="C3" s="15" t="s">
        <v>37</v>
      </c>
    </row>
    <row r="4" customFormat="false" ht="15" hidden="false" customHeight="false" outlineLevel="0" collapsed="false">
      <c r="A4" s="6" t="s">
        <v>39</v>
      </c>
      <c r="B4" s="6" t="str">
        <f aca="false">"10.0."&amp;Eingabe!$B$4&amp;".1"</f>
        <v>10.0.1.1</v>
      </c>
      <c r="C4" s="6" t="s">
        <v>74</v>
      </c>
    </row>
    <row r="5" customFormat="false" ht="15" hidden="false" customHeight="false" outlineLevel="0" collapsed="false">
      <c r="A5" s="6" t="s">
        <v>75</v>
      </c>
      <c r="B5" s="6" t="str">
        <f aca="false">"10.0."&amp;Eingabe!$B$4&amp;".2 / .3"</f>
        <v>10.0.1.2 / .3</v>
      </c>
      <c r="C5" s="6" t="s">
        <v>76</v>
      </c>
    </row>
    <row r="6" customFormat="false" ht="15" hidden="false" customHeight="false" outlineLevel="0" collapsed="false">
      <c r="A6" s="6" t="s">
        <v>77</v>
      </c>
      <c r="B6" s="6" t="str">
        <f aca="false">"10."&amp;Eingabe!$D$9&amp;".250.11 / .12 / .13"</f>
        <v>10.1.250.11 / .12 / .13</v>
      </c>
      <c r="C6" s="6" t="s">
        <v>78</v>
      </c>
    </row>
    <row r="7" customFormat="false" ht="15" hidden="false" customHeight="false" outlineLevel="0" collapsed="false">
      <c r="A7" s="6" t="s">
        <v>79</v>
      </c>
      <c r="B7" s="6" t="str">
        <f aca="false">"10."&amp;Eingabe!$D$9&amp;".250.51 / .52 / .74"</f>
        <v>10.1.250.51 / .52 / .74</v>
      </c>
      <c r="C7" s="6" t="s">
        <v>80</v>
      </c>
    </row>
    <row r="8" customFormat="false" ht="15" hidden="false" customHeight="false" outlineLevel="0" collapsed="false">
      <c r="A8" s="6" t="s">
        <v>81</v>
      </c>
      <c r="B8" s="6" t="str">
        <f aca="false">"10."&amp;Eingabe!$D$9&amp;".25.1"</f>
        <v>10.1.25.1</v>
      </c>
      <c r="C8" s="6" t="s">
        <v>82</v>
      </c>
    </row>
    <row r="9" customFormat="false" ht="15" hidden="false" customHeight="false" outlineLevel="0" collapsed="false">
      <c r="A9" s="6" t="s">
        <v>83</v>
      </c>
      <c r="B9" s="6" t="str">
        <f aca="false">"10."&amp;Eingabe!$D$9&amp;".25.10 / .11"</f>
        <v>10.1.25.10 / .11</v>
      </c>
      <c r="C9" s="6" t="s">
        <v>84</v>
      </c>
    </row>
    <row r="10" customFormat="false" ht="15" hidden="false" customHeight="false" outlineLevel="0" collapsed="false">
      <c r="A10" s="6" t="s">
        <v>85</v>
      </c>
      <c r="B10" s="6" t="str">
        <f aca="false">"10."&amp;Eingabe!$D$9&amp;".200.10"</f>
        <v>10.1.200.10</v>
      </c>
      <c r="C10" s="6" t="s">
        <v>86</v>
      </c>
    </row>
    <row r="11" customFormat="false" ht="15" hidden="false" customHeight="false" outlineLevel="0" collapsed="false">
      <c r="A11" s="6" t="s">
        <v>87</v>
      </c>
      <c r="B11" s="6" t="str">
        <f aca="false">"10."&amp;Eingabe!$D$9&amp;".201.10"</f>
        <v>10.1.201.10</v>
      </c>
      <c r="C11" s="6" t="s">
        <v>88</v>
      </c>
    </row>
    <row r="13" customFormat="false" ht="15" hidden="false" customHeight="false" outlineLevel="0" collapsed="false">
      <c r="A13" s="2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58"/>
  </cols>
  <sheetData>
    <row r="1" customFormat="false" ht="17.35" hidden="false" customHeight="false" outlineLevel="0" collapsed="false">
      <c r="A1" s="1" t="s">
        <v>90</v>
      </c>
    </row>
    <row r="2" customFormat="false" ht="15" hidden="false" customHeight="false" outlineLevel="0" collapsed="false">
      <c r="A2" s="8" t="s">
        <v>91</v>
      </c>
    </row>
    <row r="4" customFormat="false" ht="15" hidden="false" customHeight="false" outlineLevel="0" collapsed="false">
      <c r="A4" s="15" t="s">
        <v>42</v>
      </c>
      <c r="B4" s="15" t="s">
        <v>62</v>
      </c>
      <c r="C4" s="15" t="s">
        <v>56</v>
      </c>
      <c r="D4" s="15" t="s">
        <v>92</v>
      </c>
    </row>
    <row r="5" customFormat="false" ht="15" hidden="false" customHeight="false" outlineLevel="0" collapsed="false">
      <c r="A5" s="6" t="s">
        <v>93</v>
      </c>
      <c r="B5" s="6" t="s">
        <v>94</v>
      </c>
      <c r="C5" s="6" t="s">
        <v>95</v>
      </c>
      <c r="D5" s="6" t="s">
        <v>96</v>
      </c>
    </row>
    <row r="6" customFormat="false" ht="15" hidden="false" customHeight="false" outlineLevel="0" collapsed="false">
      <c r="A6" s="6" t="s">
        <v>97</v>
      </c>
      <c r="B6" s="6" t="s">
        <v>98</v>
      </c>
      <c r="C6" s="6" t="s">
        <v>99</v>
      </c>
      <c r="D6" s="6" t="s">
        <v>100</v>
      </c>
    </row>
    <row r="7" customFormat="false" ht="15" hidden="false" customHeight="false" outlineLevel="0" collapsed="false">
      <c r="A7" s="6" t="s">
        <v>101</v>
      </c>
      <c r="B7" s="6" t="s">
        <v>102</v>
      </c>
      <c r="C7" s="6" t="s">
        <v>99</v>
      </c>
      <c r="D7" s="6" t="s">
        <v>103</v>
      </c>
    </row>
    <row r="8" customFormat="false" ht="15" hidden="false" customHeight="false" outlineLevel="0" collapsed="false">
      <c r="A8" s="6" t="s">
        <v>104</v>
      </c>
      <c r="B8" s="6" t="s">
        <v>105</v>
      </c>
      <c r="C8" s="6" t="s">
        <v>99</v>
      </c>
      <c r="D8" s="6" t="s">
        <v>106</v>
      </c>
    </row>
    <row r="9" customFormat="false" ht="15" hidden="false" customHeight="false" outlineLevel="0" collapsed="false">
      <c r="A9" s="6" t="s">
        <v>107</v>
      </c>
      <c r="B9" s="6" t="s">
        <v>108</v>
      </c>
      <c r="C9" s="6" t="s">
        <v>109</v>
      </c>
      <c r="D9" s="6" t="s">
        <v>110</v>
      </c>
    </row>
    <row r="10" customFormat="false" ht="15" hidden="false" customHeight="false" outlineLevel="0" collapsed="false">
      <c r="A10" s="6" t="s">
        <v>111</v>
      </c>
      <c r="B10" s="6" t="s">
        <v>112</v>
      </c>
      <c r="C10" s="6" t="s">
        <v>113</v>
      </c>
      <c r="D10" s="6" t="s">
        <v>114</v>
      </c>
    </row>
    <row r="11" customFormat="false" ht="15" hidden="false" customHeight="false" outlineLevel="0" collapsed="false">
      <c r="A11" s="6" t="s">
        <v>115</v>
      </c>
      <c r="B11" s="6" t="s">
        <v>116</v>
      </c>
      <c r="C11" s="6" t="s">
        <v>117</v>
      </c>
      <c r="D11" s="6" t="s">
        <v>118</v>
      </c>
    </row>
    <row r="12" customFormat="false" ht="15" hidden="false" customHeight="false" outlineLevel="0" collapsed="false">
      <c r="A12" s="6" t="s">
        <v>119</v>
      </c>
      <c r="B12" s="6" t="s">
        <v>120</v>
      </c>
      <c r="C12" s="6" t="s">
        <v>121</v>
      </c>
      <c r="D12" s="6" t="s">
        <v>122</v>
      </c>
    </row>
    <row r="14" customFormat="false" ht="15" hidden="false" customHeight="false" outlineLevel="0" collapsed="false">
      <c r="A14" s="22" t="s">
        <v>123</v>
      </c>
    </row>
    <row r="15" customFormat="false" ht="15" hidden="false" customHeight="false" outlineLevel="0" collapsed="false">
      <c r="A15" s="22" t="s">
        <v>124</v>
      </c>
    </row>
    <row r="16" customFormat="false" ht="15" hidden="false" customHeight="false" outlineLevel="0" collapsed="false">
      <c r="A16" s="22" t="s">
        <v>125</v>
      </c>
    </row>
    <row r="17" customFormat="false" ht="15" hidden="false" customHeight="false" outlineLevel="0" collapsed="false">
      <c r="A17" s="22" t="s">
        <v>126</v>
      </c>
    </row>
    <row r="18" customFormat="false" ht="15" hidden="false" customHeight="false" outlineLevel="0" collapsed="false">
      <c r="A18" s="22" t="s">
        <v>127</v>
      </c>
    </row>
    <row r="19" customFormat="false" ht="15" hidden="false" customHeight="false" outlineLevel="0" collapsed="false">
      <c r="A19" s="22" t="s">
        <v>128</v>
      </c>
    </row>
    <row r="20" customFormat="false" ht="15" hidden="false" customHeight="false" outlineLevel="0" collapsed="false">
      <c r="A20" s="22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2026-10-13T16:52:05Z</dcterms:created>
  <dc:creator>openpyxl</dc:creator>
  <dc:description/>
  <dc:language>en-US</dc:language>
  <cp:lastModifiedBy/>
  <dcterms:modified xsi:type="dcterms:W3CDTF">2026-10-13T16:52:06Z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